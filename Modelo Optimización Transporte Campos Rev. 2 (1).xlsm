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2.xml" ContentType="application/vnd.openxmlformats-officedocument.drawing+xml"/>
  <Override PartName="/xl/drawings/drawing8.xml" ContentType="application/vnd.openxmlformats-officedocument.drawing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Types.xml" ContentType="application/vnd.ms-excel.rdrichvaluetyp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richData/rdrichvaluestructure.xml" ContentType="application/vnd.ms-excel.rdrichvaluestructur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officesfg.sharepoint.com/sites/agricola/Shared Documents/Operaciones Agricolas/Planificacion y Control/Planificación Cosecha/2024/Camiones/"/>
    </mc:Choice>
  </mc:AlternateContent>
  <xr:revisionPtr revIDLastSave="6987" documentId="8_{290A6D78-9891-4279-A1D2-48780CE37D42}" xr6:coauthVersionLast="47" xr6:coauthVersionMax="47" xr10:uidLastSave="{2D472822-4F46-497F-B7B9-DABCC6A9D15B}"/>
  <bookViews>
    <workbookView minimized="1" xWindow="-14370" yWindow="8145" windowWidth="14400" windowHeight="7845" tabRatio="776" activeTab="3" xr2:uid="{00000000-000D-0000-FFFF-FFFF00000000}"/>
  </bookViews>
  <sheets>
    <sheet name="Instructivo" sheetId="1" r:id="rId1"/>
    <sheet name="Data Pura Costos" sheetId="2" r:id="rId2"/>
    <sheet name="Data Pura Producción" sheetId="21" r:id="rId3"/>
    <sheet name="Data Consolidada" sheetId="3" r:id="rId4"/>
    <sheet name="Modelo Optimización" sheetId="22" r:id="rId5"/>
    <sheet name="Resultados Modelo" sheetId="24" r:id="rId6"/>
    <sheet name="Auxiliar Resultados" sheetId="11" state="hidden" r:id="rId7"/>
    <sheet name="Parámetros Auxiliares" sheetId="9" r:id="rId8"/>
  </sheets>
  <definedNames>
    <definedName name="_xlnm._FilterDatabase" localSheetId="3" hidden="1">'Data Consolidada'!$B$6:$J$891</definedName>
    <definedName name="_xlnm._FilterDatabase" localSheetId="1" hidden="1">'Data Pura Costos'!$B$6:$J$1377</definedName>
    <definedName name="_xlnm._FilterDatabase" localSheetId="2" hidden="1">'Data Pura Producción'!$B$16:$Y$531</definedName>
    <definedName name="_xlnm._FilterDatabase" localSheetId="4" hidden="1">'Modelo Optimización'!$F$13:$H$53</definedName>
    <definedName name="OpenSolver_ChosenSolver" localSheetId="0" hidden="1">CBC</definedName>
    <definedName name="OpenSolver_ChosenSolver" localSheetId="4" hidden="1">CBC</definedName>
    <definedName name="OpenSolver_ChosenSolver" localSheetId="5" hidden="1">CBC</definedName>
    <definedName name="OpenSolver_DualsNewSheet" localSheetId="0" hidden="1">0</definedName>
    <definedName name="OpenSolver_DualsNewSheet" localSheetId="4" hidden="1">0</definedName>
    <definedName name="OpenSolver_LinearityCheck" localSheetId="0" hidden="1">1</definedName>
    <definedName name="OpenSolver_LinearityCheck" localSheetId="4" hidden="1">1</definedName>
    <definedName name="OpenSolver_LinearityCheck" localSheetId="5" hidden="1">1</definedName>
    <definedName name="OpenSolver_UpdateSensitivity" localSheetId="0" hidden="1">1</definedName>
    <definedName name="OpenSolver_UpdateSensitivity" localSheetId="4" hidden="1">1</definedName>
    <definedName name="solver_adj" localSheetId="4" hidden="1">'Modelo Optimización'!$V$9,'Modelo Optimización'!$C$72:$Y$146</definedName>
    <definedName name="solver_cvg" localSheetId="0" hidden="1">0.0001</definedName>
    <definedName name="solver_cvg" localSheetId="4" hidden="1">0.0001</definedName>
    <definedName name="solver_drv" localSheetId="0" hidden="1">1</definedName>
    <definedName name="solver_drv" localSheetId="4" hidden="1">1</definedName>
    <definedName name="solver_eng" localSheetId="0" hidden="1">1</definedName>
    <definedName name="solver_eng" localSheetId="4" hidden="1">2</definedName>
    <definedName name="solver_est" localSheetId="0" hidden="1">1</definedName>
    <definedName name="solver_est" localSheetId="4" hidden="1">1</definedName>
    <definedName name="solver_itr" localSheetId="4" hidden="1">2147483647</definedName>
    <definedName name="solver_lhs1" localSheetId="4" hidden="1">'Modelo Optimización'!$C$72:$Y$146</definedName>
    <definedName name="solver_lhs2" localSheetId="4" hidden="1">'Modelo Optimización'!$C$72:$Y$146</definedName>
    <definedName name="solver_lhs3" localSheetId="4" hidden="1">'Modelo Optimización'!$X$13:$X$46</definedName>
    <definedName name="solver_lhs4" localSheetId="4" hidden="1">'Modelo Optimización'!$AB$10:$AB$34</definedName>
    <definedName name="solver_lhs5" localSheetId="4" hidden="1">'Modelo Optimización'!$V$9</definedName>
    <definedName name="solver_lhs6" localSheetId="4" hidden="1">'Modelo Optimización'!$V$9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0" hidden="1">1</definedName>
    <definedName name="solver_neg" localSheetId="4" hidden="1">1</definedName>
    <definedName name="solver_nod" localSheetId="4" hidden="1">2147483647</definedName>
    <definedName name="solver_num" localSheetId="0" hidden="1">0</definedName>
    <definedName name="solver_num" localSheetId="4" hidden="1">6</definedName>
    <definedName name="solver_nwt" localSheetId="0" hidden="1">1</definedName>
    <definedName name="solver_nwt" localSheetId="4" hidden="1">1</definedName>
    <definedName name="solver_opt" localSheetId="4" hidden="1">'Modelo Optimización'!$J$8</definedName>
    <definedName name="solver_pre" localSheetId="4" hidden="1">0.000001</definedName>
    <definedName name="solver_rbv" localSheetId="4" hidden="1">1</definedName>
    <definedName name="solver_rel1" localSheetId="4" hidden="1">4</definedName>
    <definedName name="solver_rel2" localSheetId="4" hidden="1">3</definedName>
    <definedName name="solver_rel3" localSheetId="4" hidden="1">3</definedName>
    <definedName name="solver_rel4" localSheetId="4" hidden="1">1</definedName>
    <definedName name="solver_rel5" localSheetId="4" hidden="1">4</definedName>
    <definedName name="solver_rel6" localSheetId="4" hidden="1">3</definedName>
    <definedName name="solver_rhs1" localSheetId="4" hidden="1">integer</definedName>
    <definedName name="solver_rhs2" localSheetId="4" hidden="1">0</definedName>
    <definedName name="solver_rhs3" localSheetId="4" hidden="1">'Modelo Optimización'!$W$13:$W$46</definedName>
    <definedName name="solver_rhs4" localSheetId="4" hidden="1">'Modelo Optimización'!$AA$10:$AA$34</definedName>
    <definedName name="solver_rhs5" localSheetId="4" hidden="1">integer</definedName>
    <definedName name="solver_rhs6" localSheetId="4" hidden="1">0</definedName>
    <definedName name="solver_rlx" localSheetId="0" hidden="1">2</definedName>
    <definedName name="solver_rlx" localSheetId="4" hidden="1">2</definedName>
    <definedName name="solver_rsd" localSheetId="4" hidden="1">0</definedName>
    <definedName name="solver_scl" localSheetId="0" hidden="1">2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0.05</definedName>
    <definedName name="solver_typ" localSheetId="0" hidden="1">2</definedName>
    <definedName name="solver_typ" localSheetId="4" hidden="1">2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" i="22" l="1"/>
  <c r="C10" i="22" a="1"/>
  <c r="C10" i="22" s="1"/>
  <c r="D11" i="22" a="1"/>
  <c r="D11" i="22" s="1"/>
  <c r="AC6" i="3"/>
  <c r="P9" i="3" l="1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S5" i="3"/>
  <c r="Q6" i="3" a="1"/>
  <c r="W8" i="3" l="1"/>
  <c r="AM8" i="3"/>
  <c r="X8" i="3"/>
  <c r="Y8" i="3"/>
  <c r="Z8" i="3"/>
  <c r="AA8" i="3"/>
  <c r="AB8" i="3"/>
  <c r="AC8" i="3"/>
  <c r="AD8" i="3"/>
  <c r="AE8" i="3"/>
  <c r="AF8" i="3"/>
  <c r="AG8" i="3"/>
  <c r="AH8" i="3"/>
  <c r="AL8" i="3"/>
  <c r="S8" i="3"/>
  <c r="AI8" i="3"/>
  <c r="V8" i="3"/>
  <c r="T8" i="3"/>
  <c r="AJ8" i="3"/>
  <c r="U8" i="3"/>
  <c r="AK8" i="3"/>
  <c r="Q6" i="3"/>
  <c r="U7" i="3"/>
  <c r="AK7" i="3"/>
  <c r="V7" i="3"/>
  <c r="AL7" i="3"/>
  <c r="W7" i="3"/>
  <c r="AM7" i="3"/>
  <c r="T7" i="3"/>
  <c r="AH7" i="3"/>
  <c r="AI7" i="3"/>
  <c r="AG7" i="3"/>
  <c r="AF7" i="3"/>
  <c r="AJ7" i="3"/>
  <c r="S7" i="3"/>
  <c r="AE7" i="3"/>
  <c r="AD7" i="3"/>
  <c r="AC7" i="3"/>
  <c r="AB7" i="3"/>
  <c r="AA7" i="3"/>
  <c r="Z7" i="3"/>
  <c r="Y7" i="3"/>
  <c r="X7" i="3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CI36" i="24"/>
  <c r="CI37" i="24"/>
  <c r="CI42" i="24"/>
  <c r="CI61" i="24"/>
  <c r="CI62" i="24"/>
  <c r="CH63" i="24"/>
  <c r="AS30" i="24"/>
  <c r="CH30" i="24" s="1"/>
  <c r="AT30" i="24"/>
  <c r="CI30" i="24" s="1"/>
  <c r="AS31" i="24"/>
  <c r="CH31" i="24" s="1"/>
  <c r="AT31" i="24"/>
  <c r="CI31" i="24" s="1"/>
  <c r="AS32" i="24"/>
  <c r="CH32" i="24" s="1"/>
  <c r="AT32" i="24"/>
  <c r="CI32" i="24" s="1"/>
  <c r="AS33" i="24"/>
  <c r="CH33" i="24" s="1"/>
  <c r="AT33" i="24"/>
  <c r="CI33" i="24" s="1"/>
  <c r="AS34" i="24"/>
  <c r="CH34" i="24" s="1"/>
  <c r="AT34" i="24"/>
  <c r="CI34" i="24" s="1"/>
  <c r="AS35" i="24"/>
  <c r="CH35" i="24" s="1"/>
  <c r="AT35" i="24"/>
  <c r="CI35" i="24" s="1"/>
  <c r="AS36" i="24"/>
  <c r="CH36" i="24" s="1"/>
  <c r="AT36" i="24"/>
  <c r="AS37" i="24"/>
  <c r="CH37" i="24" s="1"/>
  <c r="AT37" i="24"/>
  <c r="AS38" i="24"/>
  <c r="CH38" i="24" s="1"/>
  <c r="AT38" i="24"/>
  <c r="CI38" i="24" s="1"/>
  <c r="AS39" i="24"/>
  <c r="CH39" i="24" s="1"/>
  <c r="AT39" i="24"/>
  <c r="CI39" i="24" s="1"/>
  <c r="AS40" i="24"/>
  <c r="CH40" i="24" s="1"/>
  <c r="AT40" i="24"/>
  <c r="CI40" i="24" s="1"/>
  <c r="AS41" i="24"/>
  <c r="CH41" i="24" s="1"/>
  <c r="AT41" i="24"/>
  <c r="CI41" i="24" s="1"/>
  <c r="AS42" i="24"/>
  <c r="CH42" i="24" s="1"/>
  <c r="AT42" i="24"/>
  <c r="AS43" i="24"/>
  <c r="CH43" i="24" s="1"/>
  <c r="AT43" i="24"/>
  <c r="CI43" i="24" s="1"/>
  <c r="AS44" i="24"/>
  <c r="CH44" i="24" s="1"/>
  <c r="AT44" i="24"/>
  <c r="CI44" i="24" s="1"/>
  <c r="AS45" i="24"/>
  <c r="CH45" i="24" s="1"/>
  <c r="AT45" i="24"/>
  <c r="CI45" i="24" s="1"/>
  <c r="AS46" i="24"/>
  <c r="CH46" i="24" s="1"/>
  <c r="AT46" i="24"/>
  <c r="CI46" i="24" s="1"/>
  <c r="AS47" i="24"/>
  <c r="CH47" i="24" s="1"/>
  <c r="AT47" i="24"/>
  <c r="CI47" i="24" s="1"/>
  <c r="AS48" i="24"/>
  <c r="CH48" i="24" s="1"/>
  <c r="AT48" i="24"/>
  <c r="CI48" i="24" s="1"/>
  <c r="AS49" i="24"/>
  <c r="CH49" i="24" s="1"/>
  <c r="AT49" i="24"/>
  <c r="CI49" i="24" s="1"/>
  <c r="AS50" i="24"/>
  <c r="CH50" i="24" s="1"/>
  <c r="AT50" i="24"/>
  <c r="CI50" i="24" s="1"/>
  <c r="AS51" i="24"/>
  <c r="CH51" i="24" s="1"/>
  <c r="AT51" i="24"/>
  <c r="CI51" i="24" s="1"/>
  <c r="AS52" i="24"/>
  <c r="CH52" i="24" s="1"/>
  <c r="AT52" i="24"/>
  <c r="CI52" i="24" s="1"/>
  <c r="AS53" i="24"/>
  <c r="CH53" i="24" s="1"/>
  <c r="AT53" i="24"/>
  <c r="CI53" i="24" s="1"/>
  <c r="AS54" i="24"/>
  <c r="CH54" i="24" s="1"/>
  <c r="AT54" i="24"/>
  <c r="CI54" i="24" s="1"/>
  <c r="AS55" i="24"/>
  <c r="CH55" i="24" s="1"/>
  <c r="AT55" i="24"/>
  <c r="CI55" i="24" s="1"/>
  <c r="AS56" i="24"/>
  <c r="CH56" i="24" s="1"/>
  <c r="AT56" i="24"/>
  <c r="CI56" i="24" s="1"/>
  <c r="AS57" i="24"/>
  <c r="CH57" i="24" s="1"/>
  <c r="AT57" i="24"/>
  <c r="CI57" i="24" s="1"/>
  <c r="AS58" i="24"/>
  <c r="CH58" i="24" s="1"/>
  <c r="AT58" i="24"/>
  <c r="CI58" i="24" s="1"/>
  <c r="AS59" i="24"/>
  <c r="CH59" i="24" s="1"/>
  <c r="AT59" i="24"/>
  <c r="CI59" i="24" s="1"/>
  <c r="AS60" i="24"/>
  <c r="CH60" i="24" s="1"/>
  <c r="AT60" i="24"/>
  <c r="CI60" i="24" s="1"/>
  <c r="AS61" i="24"/>
  <c r="CH61" i="24" s="1"/>
  <c r="AT61" i="24"/>
  <c r="AS62" i="24"/>
  <c r="CH62" i="24" s="1"/>
  <c r="AT62" i="24"/>
  <c r="AS63" i="24"/>
  <c r="AT63" i="24"/>
  <c r="CI63" i="24" s="1"/>
  <c r="AT7" i="24"/>
  <c r="CI7" i="24" s="1"/>
  <c r="BT7" i="24"/>
  <c r="DI7" i="24" s="1"/>
  <c r="BU7" i="24"/>
  <c r="DJ7" i="24" s="1"/>
  <c r="BV7" i="24"/>
  <c r="DK7" i="24" s="1"/>
  <c r="BW7" i="24"/>
  <c r="DL7" i="24" s="1"/>
  <c r="BX7" i="24"/>
  <c r="DM7" i="24" s="1"/>
  <c r="BY7" i="24"/>
  <c r="DN7" i="24" s="1"/>
  <c r="BZ7" i="24"/>
  <c r="DO7" i="24" s="1"/>
  <c r="CA7" i="24"/>
  <c r="DP7" i="24" s="1"/>
  <c r="CB7" i="24"/>
  <c r="DQ7" i="24" s="1"/>
  <c r="CC7" i="24"/>
  <c r="DR7" i="24" s="1"/>
  <c r="CD7" i="24"/>
  <c r="DS7" i="24" s="1"/>
  <c r="CE7" i="24"/>
  <c r="DT7" i="24" s="1"/>
  <c r="AS7" i="24"/>
  <c r="CH7" i="24" s="1"/>
  <c r="E30" i="24"/>
  <c r="F30" i="24" s="1"/>
  <c r="E31" i="24"/>
  <c r="F31" i="24" s="1"/>
  <c r="E32" i="24"/>
  <c r="F32" i="24" s="1"/>
  <c r="E33" i="24"/>
  <c r="F33" i="24" s="1"/>
  <c r="E34" i="24"/>
  <c r="F34" i="24" s="1"/>
  <c r="E35" i="24"/>
  <c r="F35" i="24" s="1"/>
  <c r="E36" i="24"/>
  <c r="F36" i="24" s="1"/>
  <c r="E37" i="24"/>
  <c r="F37" i="24" s="1"/>
  <c r="E38" i="24"/>
  <c r="F38" i="24" s="1"/>
  <c r="E39" i="24"/>
  <c r="E40" i="24"/>
  <c r="F40" i="24" s="1"/>
  <c r="E41" i="24"/>
  <c r="F41" i="24" s="1"/>
  <c r="E42" i="24"/>
  <c r="F42" i="24" s="1"/>
  <c r="E43" i="24"/>
  <c r="F43" i="24" s="1"/>
  <c r="E44" i="24"/>
  <c r="F44" i="24" s="1"/>
  <c r="E45" i="24"/>
  <c r="F45" i="24" s="1"/>
  <c r="E46" i="24"/>
  <c r="F46" i="24" s="1"/>
  <c r="E47" i="24"/>
  <c r="F47" i="24" s="1"/>
  <c r="E48" i="24"/>
  <c r="F48" i="24" s="1"/>
  <c r="E49" i="24"/>
  <c r="F49" i="24" s="1"/>
  <c r="E50" i="24"/>
  <c r="F50" i="24" s="1"/>
  <c r="E51" i="24"/>
  <c r="F51" i="24" s="1"/>
  <c r="E52" i="24"/>
  <c r="F52" i="24" s="1"/>
  <c r="E53" i="24"/>
  <c r="F53" i="24" s="1"/>
  <c r="E54" i="24"/>
  <c r="F54" i="24" s="1"/>
  <c r="E55" i="24"/>
  <c r="E56" i="24"/>
  <c r="F56" i="24" s="1"/>
  <c r="E57" i="24"/>
  <c r="F57" i="24" s="1"/>
  <c r="E58" i="24"/>
  <c r="F58" i="24" s="1"/>
  <c r="E59" i="24"/>
  <c r="E60" i="24"/>
  <c r="E61" i="24"/>
  <c r="F61" i="24" s="1"/>
  <c r="E62" i="24"/>
  <c r="F62" i="24" s="1"/>
  <c r="E63" i="24"/>
  <c r="F63" i="24" s="1"/>
  <c r="G30" i="24"/>
  <c r="AU30" i="24" s="1"/>
  <c r="CJ30" i="24" s="1"/>
  <c r="H30" i="24"/>
  <c r="AV30" i="24" s="1"/>
  <c r="CK30" i="24" s="1"/>
  <c r="I30" i="24"/>
  <c r="AW30" i="24" s="1"/>
  <c r="CL30" i="24" s="1"/>
  <c r="J30" i="24"/>
  <c r="AX30" i="24" s="1"/>
  <c r="CM30" i="24" s="1"/>
  <c r="K30" i="24"/>
  <c r="AY30" i="24" s="1"/>
  <c r="CN30" i="24" s="1"/>
  <c r="L30" i="24"/>
  <c r="AZ30" i="24" s="1"/>
  <c r="CO30" i="24" s="1"/>
  <c r="M30" i="24"/>
  <c r="BA30" i="24" s="1"/>
  <c r="CP30" i="24" s="1"/>
  <c r="N30" i="24"/>
  <c r="BB30" i="24" s="1"/>
  <c r="CQ30" i="24" s="1"/>
  <c r="O30" i="24"/>
  <c r="BC30" i="24" s="1"/>
  <c r="CR30" i="24" s="1"/>
  <c r="P30" i="24"/>
  <c r="BD30" i="24" s="1"/>
  <c r="CS30" i="24" s="1"/>
  <c r="Q30" i="24"/>
  <c r="BE30" i="24" s="1"/>
  <c r="CT30" i="24" s="1"/>
  <c r="R30" i="24"/>
  <c r="BF30" i="24" s="1"/>
  <c r="CU30" i="24" s="1"/>
  <c r="S30" i="24"/>
  <c r="BG30" i="24" s="1"/>
  <c r="CV30" i="24" s="1"/>
  <c r="T30" i="24"/>
  <c r="BH30" i="24" s="1"/>
  <c r="CW30" i="24" s="1"/>
  <c r="U30" i="24"/>
  <c r="BI30" i="24" s="1"/>
  <c r="CX30" i="24" s="1"/>
  <c r="V30" i="24"/>
  <c r="BJ30" i="24" s="1"/>
  <c r="CY30" i="24" s="1"/>
  <c r="W30" i="24"/>
  <c r="BK30" i="24" s="1"/>
  <c r="CZ30" i="24" s="1"/>
  <c r="X30" i="24"/>
  <c r="BL30" i="24" s="1"/>
  <c r="DA30" i="24" s="1"/>
  <c r="Y30" i="24"/>
  <c r="BM30" i="24" s="1"/>
  <c r="DB30" i="24" s="1"/>
  <c r="Z30" i="24"/>
  <c r="BN30" i="24" s="1"/>
  <c r="DC30" i="24" s="1"/>
  <c r="AA30" i="24"/>
  <c r="BO30" i="24" s="1"/>
  <c r="DD30" i="24" s="1"/>
  <c r="AB30" i="24"/>
  <c r="BP30" i="24" s="1"/>
  <c r="DE30" i="24" s="1"/>
  <c r="AC30" i="24"/>
  <c r="BQ30" i="24" s="1"/>
  <c r="DF30" i="24" s="1"/>
  <c r="AD30" i="24"/>
  <c r="BR30" i="24" s="1"/>
  <c r="DG30" i="24" s="1"/>
  <c r="AE30" i="24"/>
  <c r="BS30" i="24" s="1"/>
  <c r="DH30" i="24" s="1"/>
  <c r="AF30" i="24"/>
  <c r="BT30" i="24" s="1"/>
  <c r="DI30" i="24" s="1"/>
  <c r="AG30" i="24"/>
  <c r="BU30" i="24" s="1"/>
  <c r="DJ30" i="24" s="1"/>
  <c r="AH30" i="24"/>
  <c r="BV30" i="24" s="1"/>
  <c r="DK30" i="24" s="1"/>
  <c r="AI30" i="24"/>
  <c r="BW30" i="24" s="1"/>
  <c r="DL30" i="24" s="1"/>
  <c r="AJ30" i="24"/>
  <c r="BX30" i="24" s="1"/>
  <c r="DM30" i="24" s="1"/>
  <c r="AK30" i="24"/>
  <c r="BY30" i="24" s="1"/>
  <c r="DN30" i="24" s="1"/>
  <c r="AL30" i="24"/>
  <c r="BZ30" i="24" s="1"/>
  <c r="DO30" i="24" s="1"/>
  <c r="AM30" i="24"/>
  <c r="CA30" i="24" s="1"/>
  <c r="DP30" i="24" s="1"/>
  <c r="AN30" i="24"/>
  <c r="CB30" i="24" s="1"/>
  <c r="DQ30" i="24" s="1"/>
  <c r="AO30" i="24"/>
  <c r="CC30" i="24" s="1"/>
  <c r="DR30" i="24" s="1"/>
  <c r="AP30" i="24"/>
  <c r="CD30" i="24" s="1"/>
  <c r="DS30" i="24" s="1"/>
  <c r="AQ30" i="24"/>
  <c r="CE30" i="24" s="1"/>
  <c r="DT30" i="24" s="1"/>
  <c r="G31" i="24"/>
  <c r="AU31" i="24" s="1"/>
  <c r="CJ31" i="24" s="1"/>
  <c r="H31" i="24"/>
  <c r="AV31" i="24" s="1"/>
  <c r="CK31" i="24" s="1"/>
  <c r="I31" i="24"/>
  <c r="AW31" i="24" s="1"/>
  <c r="CL31" i="24" s="1"/>
  <c r="J31" i="24"/>
  <c r="AX31" i="24" s="1"/>
  <c r="CM31" i="24" s="1"/>
  <c r="K31" i="24"/>
  <c r="AY31" i="24" s="1"/>
  <c r="CN31" i="24" s="1"/>
  <c r="L31" i="24"/>
  <c r="AZ31" i="24" s="1"/>
  <c r="CO31" i="24" s="1"/>
  <c r="M31" i="24"/>
  <c r="BA31" i="24" s="1"/>
  <c r="CP31" i="24" s="1"/>
  <c r="N31" i="24"/>
  <c r="BB31" i="24" s="1"/>
  <c r="CQ31" i="24" s="1"/>
  <c r="O31" i="24"/>
  <c r="BC31" i="24" s="1"/>
  <c r="CR31" i="24" s="1"/>
  <c r="P31" i="24"/>
  <c r="BD31" i="24" s="1"/>
  <c r="CS31" i="24" s="1"/>
  <c r="Q31" i="24"/>
  <c r="BE31" i="24" s="1"/>
  <c r="CT31" i="24" s="1"/>
  <c r="R31" i="24"/>
  <c r="BF31" i="24" s="1"/>
  <c r="CU31" i="24" s="1"/>
  <c r="S31" i="24"/>
  <c r="BG31" i="24" s="1"/>
  <c r="CV31" i="24" s="1"/>
  <c r="T31" i="24"/>
  <c r="BH31" i="24" s="1"/>
  <c r="CW31" i="24" s="1"/>
  <c r="U31" i="24"/>
  <c r="BI31" i="24" s="1"/>
  <c r="CX31" i="24" s="1"/>
  <c r="V31" i="24"/>
  <c r="BJ31" i="24" s="1"/>
  <c r="CY31" i="24" s="1"/>
  <c r="W31" i="24"/>
  <c r="BK31" i="24" s="1"/>
  <c r="CZ31" i="24" s="1"/>
  <c r="X31" i="24"/>
  <c r="BL31" i="24" s="1"/>
  <c r="DA31" i="24" s="1"/>
  <c r="Y31" i="24"/>
  <c r="BM31" i="24" s="1"/>
  <c r="DB31" i="24" s="1"/>
  <c r="Z31" i="24"/>
  <c r="BN31" i="24" s="1"/>
  <c r="DC31" i="24" s="1"/>
  <c r="AA31" i="24"/>
  <c r="BO31" i="24" s="1"/>
  <c r="DD31" i="24" s="1"/>
  <c r="AB31" i="24"/>
  <c r="BP31" i="24" s="1"/>
  <c r="DE31" i="24" s="1"/>
  <c r="AC31" i="24"/>
  <c r="BQ31" i="24" s="1"/>
  <c r="DF31" i="24" s="1"/>
  <c r="AD31" i="24"/>
  <c r="BR31" i="24" s="1"/>
  <c r="DG31" i="24" s="1"/>
  <c r="AE31" i="24"/>
  <c r="BS31" i="24" s="1"/>
  <c r="DH31" i="24" s="1"/>
  <c r="AF31" i="24"/>
  <c r="BT31" i="24" s="1"/>
  <c r="DI31" i="24" s="1"/>
  <c r="AG31" i="24"/>
  <c r="BU31" i="24" s="1"/>
  <c r="DJ31" i="24" s="1"/>
  <c r="AH31" i="24"/>
  <c r="BV31" i="24" s="1"/>
  <c r="DK31" i="24" s="1"/>
  <c r="AI31" i="24"/>
  <c r="BW31" i="24" s="1"/>
  <c r="DL31" i="24" s="1"/>
  <c r="AJ31" i="24"/>
  <c r="BX31" i="24" s="1"/>
  <c r="DM31" i="24" s="1"/>
  <c r="AK31" i="24"/>
  <c r="BY31" i="24" s="1"/>
  <c r="DN31" i="24" s="1"/>
  <c r="AL31" i="24"/>
  <c r="BZ31" i="24" s="1"/>
  <c r="DO31" i="24" s="1"/>
  <c r="AM31" i="24"/>
  <c r="CA31" i="24" s="1"/>
  <c r="DP31" i="24" s="1"/>
  <c r="AN31" i="24"/>
  <c r="CB31" i="24" s="1"/>
  <c r="DQ31" i="24" s="1"/>
  <c r="AO31" i="24"/>
  <c r="CC31" i="24" s="1"/>
  <c r="DR31" i="24" s="1"/>
  <c r="AP31" i="24"/>
  <c r="CD31" i="24" s="1"/>
  <c r="DS31" i="24" s="1"/>
  <c r="AQ31" i="24"/>
  <c r="CE31" i="24" s="1"/>
  <c r="DT31" i="24" s="1"/>
  <c r="G32" i="24"/>
  <c r="AU32" i="24" s="1"/>
  <c r="CJ32" i="24" s="1"/>
  <c r="H32" i="24"/>
  <c r="AV32" i="24" s="1"/>
  <c r="CK32" i="24" s="1"/>
  <c r="I32" i="24"/>
  <c r="AW32" i="24" s="1"/>
  <c r="CL32" i="24" s="1"/>
  <c r="J32" i="24"/>
  <c r="AX32" i="24" s="1"/>
  <c r="CM32" i="24" s="1"/>
  <c r="K32" i="24"/>
  <c r="AY32" i="24" s="1"/>
  <c r="CN32" i="24" s="1"/>
  <c r="L32" i="24"/>
  <c r="AZ32" i="24" s="1"/>
  <c r="CO32" i="24" s="1"/>
  <c r="M32" i="24"/>
  <c r="BA32" i="24" s="1"/>
  <c r="CP32" i="24" s="1"/>
  <c r="N32" i="24"/>
  <c r="BB32" i="24" s="1"/>
  <c r="CQ32" i="24" s="1"/>
  <c r="O32" i="24"/>
  <c r="BC32" i="24" s="1"/>
  <c r="CR32" i="24" s="1"/>
  <c r="P32" i="24"/>
  <c r="BD32" i="24" s="1"/>
  <c r="CS32" i="24" s="1"/>
  <c r="Q32" i="24"/>
  <c r="BE32" i="24" s="1"/>
  <c r="CT32" i="24" s="1"/>
  <c r="R32" i="24"/>
  <c r="BF32" i="24" s="1"/>
  <c r="CU32" i="24" s="1"/>
  <c r="S32" i="24"/>
  <c r="BG32" i="24" s="1"/>
  <c r="CV32" i="24" s="1"/>
  <c r="T32" i="24"/>
  <c r="BH32" i="24" s="1"/>
  <c r="CW32" i="24" s="1"/>
  <c r="U32" i="24"/>
  <c r="BI32" i="24" s="1"/>
  <c r="CX32" i="24" s="1"/>
  <c r="V32" i="24"/>
  <c r="BJ32" i="24" s="1"/>
  <c r="CY32" i="24" s="1"/>
  <c r="W32" i="24"/>
  <c r="BK32" i="24" s="1"/>
  <c r="CZ32" i="24" s="1"/>
  <c r="X32" i="24"/>
  <c r="BL32" i="24" s="1"/>
  <c r="DA32" i="24" s="1"/>
  <c r="Y32" i="24"/>
  <c r="BM32" i="24" s="1"/>
  <c r="DB32" i="24" s="1"/>
  <c r="Z32" i="24"/>
  <c r="BN32" i="24" s="1"/>
  <c r="DC32" i="24" s="1"/>
  <c r="AA32" i="24"/>
  <c r="BO32" i="24" s="1"/>
  <c r="DD32" i="24" s="1"/>
  <c r="AB32" i="24"/>
  <c r="BP32" i="24" s="1"/>
  <c r="DE32" i="24" s="1"/>
  <c r="AC32" i="24"/>
  <c r="BQ32" i="24" s="1"/>
  <c r="DF32" i="24" s="1"/>
  <c r="AD32" i="24"/>
  <c r="BR32" i="24" s="1"/>
  <c r="DG32" i="24" s="1"/>
  <c r="AE32" i="24"/>
  <c r="BS32" i="24" s="1"/>
  <c r="DH32" i="24" s="1"/>
  <c r="AF32" i="24"/>
  <c r="BT32" i="24" s="1"/>
  <c r="DI32" i="24" s="1"/>
  <c r="AG32" i="24"/>
  <c r="BU32" i="24" s="1"/>
  <c r="DJ32" i="24" s="1"/>
  <c r="AH32" i="24"/>
  <c r="BV32" i="24" s="1"/>
  <c r="DK32" i="24" s="1"/>
  <c r="AI32" i="24"/>
  <c r="BW32" i="24" s="1"/>
  <c r="DL32" i="24" s="1"/>
  <c r="AJ32" i="24"/>
  <c r="BX32" i="24" s="1"/>
  <c r="DM32" i="24" s="1"/>
  <c r="AK32" i="24"/>
  <c r="BY32" i="24" s="1"/>
  <c r="DN32" i="24" s="1"/>
  <c r="AL32" i="24"/>
  <c r="BZ32" i="24" s="1"/>
  <c r="DO32" i="24" s="1"/>
  <c r="AM32" i="24"/>
  <c r="CA32" i="24" s="1"/>
  <c r="DP32" i="24" s="1"/>
  <c r="AN32" i="24"/>
  <c r="CB32" i="24" s="1"/>
  <c r="DQ32" i="24" s="1"/>
  <c r="AO32" i="24"/>
  <c r="CC32" i="24" s="1"/>
  <c r="DR32" i="24" s="1"/>
  <c r="AP32" i="24"/>
  <c r="CD32" i="24" s="1"/>
  <c r="DS32" i="24" s="1"/>
  <c r="AQ32" i="24"/>
  <c r="CE32" i="24" s="1"/>
  <c r="DT32" i="24" s="1"/>
  <c r="G33" i="24"/>
  <c r="AU33" i="24" s="1"/>
  <c r="CJ33" i="24" s="1"/>
  <c r="H33" i="24"/>
  <c r="AV33" i="24" s="1"/>
  <c r="CK33" i="24" s="1"/>
  <c r="I33" i="24"/>
  <c r="AW33" i="24" s="1"/>
  <c r="CL33" i="24" s="1"/>
  <c r="J33" i="24"/>
  <c r="AX33" i="24" s="1"/>
  <c r="CM33" i="24" s="1"/>
  <c r="K33" i="24"/>
  <c r="AY33" i="24" s="1"/>
  <c r="CN33" i="24" s="1"/>
  <c r="L33" i="24"/>
  <c r="AZ33" i="24" s="1"/>
  <c r="CO33" i="24" s="1"/>
  <c r="M33" i="24"/>
  <c r="BA33" i="24" s="1"/>
  <c r="CP33" i="24" s="1"/>
  <c r="N33" i="24"/>
  <c r="BB33" i="24" s="1"/>
  <c r="CQ33" i="24" s="1"/>
  <c r="O33" i="24"/>
  <c r="BC33" i="24" s="1"/>
  <c r="CR33" i="24" s="1"/>
  <c r="P33" i="24"/>
  <c r="BD33" i="24" s="1"/>
  <c r="CS33" i="24" s="1"/>
  <c r="Q33" i="24"/>
  <c r="BE33" i="24" s="1"/>
  <c r="CT33" i="24" s="1"/>
  <c r="R33" i="24"/>
  <c r="BF33" i="24" s="1"/>
  <c r="CU33" i="24" s="1"/>
  <c r="S33" i="24"/>
  <c r="BG33" i="24" s="1"/>
  <c r="CV33" i="24" s="1"/>
  <c r="T33" i="24"/>
  <c r="BH33" i="24" s="1"/>
  <c r="CW33" i="24" s="1"/>
  <c r="U33" i="24"/>
  <c r="BI33" i="24" s="1"/>
  <c r="CX33" i="24" s="1"/>
  <c r="V33" i="24"/>
  <c r="BJ33" i="24" s="1"/>
  <c r="CY33" i="24" s="1"/>
  <c r="W33" i="24"/>
  <c r="BK33" i="24" s="1"/>
  <c r="CZ33" i="24" s="1"/>
  <c r="X33" i="24"/>
  <c r="BL33" i="24" s="1"/>
  <c r="DA33" i="24" s="1"/>
  <c r="Y33" i="24"/>
  <c r="BM33" i="24" s="1"/>
  <c r="DB33" i="24" s="1"/>
  <c r="Z33" i="24"/>
  <c r="BN33" i="24" s="1"/>
  <c r="DC33" i="24" s="1"/>
  <c r="AA33" i="24"/>
  <c r="BO33" i="24" s="1"/>
  <c r="DD33" i="24" s="1"/>
  <c r="AB33" i="24"/>
  <c r="BP33" i="24" s="1"/>
  <c r="DE33" i="24" s="1"/>
  <c r="AC33" i="24"/>
  <c r="BQ33" i="24" s="1"/>
  <c r="DF33" i="24" s="1"/>
  <c r="AD33" i="24"/>
  <c r="BR33" i="24" s="1"/>
  <c r="DG33" i="24" s="1"/>
  <c r="AE33" i="24"/>
  <c r="BS33" i="24" s="1"/>
  <c r="DH33" i="24" s="1"/>
  <c r="AF33" i="24"/>
  <c r="BT33" i="24" s="1"/>
  <c r="DI33" i="24" s="1"/>
  <c r="AG33" i="24"/>
  <c r="BU33" i="24" s="1"/>
  <c r="DJ33" i="24" s="1"/>
  <c r="AH33" i="24"/>
  <c r="BV33" i="24" s="1"/>
  <c r="DK33" i="24" s="1"/>
  <c r="AI33" i="24"/>
  <c r="BW33" i="24" s="1"/>
  <c r="DL33" i="24" s="1"/>
  <c r="AJ33" i="24"/>
  <c r="BX33" i="24" s="1"/>
  <c r="DM33" i="24" s="1"/>
  <c r="AK33" i="24"/>
  <c r="BY33" i="24" s="1"/>
  <c r="DN33" i="24" s="1"/>
  <c r="AL33" i="24"/>
  <c r="BZ33" i="24" s="1"/>
  <c r="DO33" i="24" s="1"/>
  <c r="AM33" i="24"/>
  <c r="CA33" i="24" s="1"/>
  <c r="DP33" i="24" s="1"/>
  <c r="AN33" i="24"/>
  <c r="CB33" i="24" s="1"/>
  <c r="DQ33" i="24" s="1"/>
  <c r="AO33" i="24"/>
  <c r="CC33" i="24" s="1"/>
  <c r="DR33" i="24" s="1"/>
  <c r="AP33" i="24"/>
  <c r="CD33" i="24" s="1"/>
  <c r="DS33" i="24" s="1"/>
  <c r="AQ33" i="24"/>
  <c r="CE33" i="24" s="1"/>
  <c r="DT33" i="24" s="1"/>
  <c r="G34" i="24"/>
  <c r="AU34" i="24" s="1"/>
  <c r="CJ34" i="24" s="1"/>
  <c r="H34" i="24"/>
  <c r="AV34" i="24" s="1"/>
  <c r="CK34" i="24" s="1"/>
  <c r="I34" i="24"/>
  <c r="AW34" i="24" s="1"/>
  <c r="CL34" i="24" s="1"/>
  <c r="J34" i="24"/>
  <c r="AX34" i="24" s="1"/>
  <c r="CM34" i="24" s="1"/>
  <c r="K34" i="24"/>
  <c r="AY34" i="24" s="1"/>
  <c r="CN34" i="24" s="1"/>
  <c r="L34" i="24"/>
  <c r="AZ34" i="24" s="1"/>
  <c r="CO34" i="24" s="1"/>
  <c r="M34" i="24"/>
  <c r="BA34" i="24" s="1"/>
  <c r="CP34" i="24" s="1"/>
  <c r="N34" i="24"/>
  <c r="BB34" i="24" s="1"/>
  <c r="CQ34" i="24" s="1"/>
  <c r="O34" i="24"/>
  <c r="BC34" i="24" s="1"/>
  <c r="CR34" i="24" s="1"/>
  <c r="P34" i="24"/>
  <c r="BD34" i="24" s="1"/>
  <c r="CS34" i="24" s="1"/>
  <c r="Q34" i="24"/>
  <c r="BE34" i="24" s="1"/>
  <c r="CT34" i="24" s="1"/>
  <c r="R34" i="24"/>
  <c r="BF34" i="24" s="1"/>
  <c r="CU34" i="24" s="1"/>
  <c r="S34" i="24"/>
  <c r="BG34" i="24" s="1"/>
  <c r="CV34" i="24" s="1"/>
  <c r="T34" i="24"/>
  <c r="BH34" i="24" s="1"/>
  <c r="CW34" i="24" s="1"/>
  <c r="U34" i="24"/>
  <c r="BI34" i="24" s="1"/>
  <c r="CX34" i="24" s="1"/>
  <c r="V34" i="24"/>
  <c r="BJ34" i="24" s="1"/>
  <c r="CY34" i="24" s="1"/>
  <c r="W34" i="24"/>
  <c r="BK34" i="24" s="1"/>
  <c r="CZ34" i="24" s="1"/>
  <c r="X34" i="24"/>
  <c r="BL34" i="24" s="1"/>
  <c r="DA34" i="24" s="1"/>
  <c r="Y34" i="24"/>
  <c r="BM34" i="24" s="1"/>
  <c r="DB34" i="24" s="1"/>
  <c r="Z34" i="24"/>
  <c r="BN34" i="24" s="1"/>
  <c r="DC34" i="24" s="1"/>
  <c r="AA34" i="24"/>
  <c r="BO34" i="24" s="1"/>
  <c r="DD34" i="24" s="1"/>
  <c r="AB34" i="24"/>
  <c r="BP34" i="24" s="1"/>
  <c r="DE34" i="24" s="1"/>
  <c r="AC34" i="24"/>
  <c r="BQ34" i="24" s="1"/>
  <c r="DF34" i="24" s="1"/>
  <c r="AD34" i="24"/>
  <c r="BR34" i="24" s="1"/>
  <c r="DG34" i="24" s="1"/>
  <c r="AE34" i="24"/>
  <c r="BS34" i="24" s="1"/>
  <c r="DH34" i="24" s="1"/>
  <c r="AF34" i="24"/>
  <c r="BT34" i="24" s="1"/>
  <c r="DI34" i="24" s="1"/>
  <c r="AG34" i="24"/>
  <c r="BU34" i="24" s="1"/>
  <c r="DJ34" i="24" s="1"/>
  <c r="AH34" i="24"/>
  <c r="BV34" i="24" s="1"/>
  <c r="DK34" i="24" s="1"/>
  <c r="AI34" i="24"/>
  <c r="BW34" i="24" s="1"/>
  <c r="DL34" i="24" s="1"/>
  <c r="AJ34" i="24"/>
  <c r="BX34" i="24" s="1"/>
  <c r="DM34" i="24" s="1"/>
  <c r="AK34" i="24"/>
  <c r="BY34" i="24" s="1"/>
  <c r="DN34" i="24" s="1"/>
  <c r="AL34" i="24"/>
  <c r="BZ34" i="24" s="1"/>
  <c r="DO34" i="24" s="1"/>
  <c r="AM34" i="24"/>
  <c r="CA34" i="24" s="1"/>
  <c r="DP34" i="24" s="1"/>
  <c r="AN34" i="24"/>
  <c r="CB34" i="24" s="1"/>
  <c r="DQ34" i="24" s="1"/>
  <c r="AO34" i="24"/>
  <c r="CC34" i="24" s="1"/>
  <c r="DR34" i="24" s="1"/>
  <c r="AP34" i="24"/>
  <c r="CD34" i="24" s="1"/>
  <c r="DS34" i="24" s="1"/>
  <c r="AQ34" i="24"/>
  <c r="CE34" i="24" s="1"/>
  <c r="DT34" i="24" s="1"/>
  <c r="G35" i="24"/>
  <c r="AU35" i="24" s="1"/>
  <c r="CJ35" i="24" s="1"/>
  <c r="H35" i="24"/>
  <c r="AV35" i="24" s="1"/>
  <c r="CK35" i="24" s="1"/>
  <c r="I35" i="24"/>
  <c r="AW35" i="24" s="1"/>
  <c r="CL35" i="24" s="1"/>
  <c r="J35" i="24"/>
  <c r="AX35" i="24" s="1"/>
  <c r="CM35" i="24" s="1"/>
  <c r="K35" i="24"/>
  <c r="AY35" i="24" s="1"/>
  <c r="CN35" i="24" s="1"/>
  <c r="L35" i="24"/>
  <c r="AZ35" i="24" s="1"/>
  <c r="CO35" i="24" s="1"/>
  <c r="M35" i="24"/>
  <c r="BA35" i="24" s="1"/>
  <c r="CP35" i="24" s="1"/>
  <c r="N35" i="24"/>
  <c r="BB35" i="24" s="1"/>
  <c r="CQ35" i="24" s="1"/>
  <c r="O35" i="24"/>
  <c r="BC35" i="24" s="1"/>
  <c r="CR35" i="24" s="1"/>
  <c r="P35" i="24"/>
  <c r="BD35" i="24" s="1"/>
  <c r="CS35" i="24" s="1"/>
  <c r="Q35" i="24"/>
  <c r="BE35" i="24" s="1"/>
  <c r="CT35" i="24" s="1"/>
  <c r="R35" i="24"/>
  <c r="BF35" i="24" s="1"/>
  <c r="CU35" i="24" s="1"/>
  <c r="S35" i="24"/>
  <c r="BG35" i="24" s="1"/>
  <c r="CV35" i="24" s="1"/>
  <c r="T35" i="24"/>
  <c r="BH35" i="24" s="1"/>
  <c r="CW35" i="24" s="1"/>
  <c r="U35" i="24"/>
  <c r="BI35" i="24" s="1"/>
  <c r="CX35" i="24" s="1"/>
  <c r="V35" i="24"/>
  <c r="BJ35" i="24" s="1"/>
  <c r="CY35" i="24" s="1"/>
  <c r="W35" i="24"/>
  <c r="BK35" i="24" s="1"/>
  <c r="CZ35" i="24" s="1"/>
  <c r="X35" i="24"/>
  <c r="BL35" i="24" s="1"/>
  <c r="DA35" i="24" s="1"/>
  <c r="Y35" i="24"/>
  <c r="BM35" i="24" s="1"/>
  <c r="DB35" i="24" s="1"/>
  <c r="Z35" i="24"/>
  <c r="BN35" i="24" s="1"/>
  <c r="DC35" i="24" s="1"/>
  <c r="AA35" i="24"/>
  <c r="BO35" i="24" s="1"/>
  <c r="DD35" i="24" s="1"/>
  <c r="AB35" i="24"/>
  <c r="BP35" i="24" s="1"/>
  <c r="DE35" i="24" s="1"/>
  <c r="AC35" i="24"/>
  <c r="BQ35" i="24" s="1"/>
  <c r="DF35" i="24" s="1"/>
  <c r="AD35" i="24"/>
  <c r="BR35" i="24" s="1"/>
  <c r="DG35" i="24" s="1"/>
  <c r="AE35" i="24"/>
  <c r="BS35" i="24" s="1"/>
  <c r="DH35" i="24" s="1"/>
  <c r="AF35" i="24"/>
  <c r="BT35" i="24" s="1"/>
  <c r="DI35" i="24" s="1"/>
  <c r="AG35" i="24"/>
  <c r="BU35" i="24" s="1"/>
  <c r="DJ35" i="24" s="1"/>
  <c r="AH35" i="24"/>
  <c r="BV35" i="24" s="1"/>
  <c r="DK35" i="24" s="1"/>
  <c r="AI35" i="24"/>
  <c r="BW35" i="24" s="1"/>
  <c r="DL35" i="24" s="1"/>
  <c r="AJ35" i="24"/>
  <c r="BX35" i="24" s="1"/>
  <c r="DM35" i="24" s="1"/>
  <c r="AK35" i="24"/>
  <c r="BY35" i="24" s="1"/>
  <c r="DN35" i="24" s="1"/>
  <c r="AL35" i="24"/>
  <c r="BZ35" i="24" s="1"/>
  <c r="DO35" i="24" s="1"/>
  <c r="AM35" i="24"/>
  <c r="CA35" i="24" s="1"/>
  <c r="DP35" i="24" s="1"/>
  <c r="AN35" i="24"/>
  <c r="CB35" i="24" s="1"/>
  <c r="DQ35" i="24" s="1"/>
  <c r="AO35" i="24"/>
  <c r="CC35" i="24" s="1"/>
  <c r="DR35" i="24" s="1"/>
  <c r="AP35" i="24"/>
  <c r="CD35" i="24" s="1"/>
  <c r="DS35" i="24" s="1"/>
  <c r="AQ35" i="24"/>
  <c r="CE35" i="24" s="1"/>
  <c r="DT35" i="24" s="1"/>
  <c r="G36" i="24"/>
  <c r="AU36" i="24" s="1"/>
  <c r="CJ36" i="24" s="1"/>
  <c r="H36" i="24"/>
  <c r="AV36" i="24" s="1"/>
  <c r="CK36" i="24" s="1"/>
  <c r="I36" i="24"/>
  <c r="AW36" i="24" s="1"/>
  <c r="CL36" i="24" s="1"/>
  <c r="J36" i="24"/>
  <c r="AX36" i="24" s="1"/>
  <c r="CM36" i="24" s="1"/>
  <c r="K36" i="24"/>
  <c r="AY36" i="24" s="1"/>
  <c r="CN36" i="24" s="1"/>
  <c r="L36" i="24"/>
  <c r="AZ36" i="24" s="1"/>
  <c r="CO36" i="24" s="1"/>
  <c r="M36" i="24"/>
  <c r="BA36" i="24" s="1"/>
  <c r="CP36" i="24" s="1"/>
  <c r="N36" i="24"/>
  <c r="BB36" i="24" s="1"/>
  <c r="CQ36" i="24" s="1"/>
  <c r="O36" i="24"/>
  <c r="BC36" i="24" s="1"/>
  <c r="CR36" i="24" s="1"/>
  <c r="P36" i="24"/>
  <c r="BD36" i="24" s="1"/>
  <c r="CS36" i="24" s="1"/>
  <c r="Q36" i="24"/>
  <c r="BE36" i="24" s="1"/>
  <c r="CT36" i="24" s="1"/>
  <c r="R36" i="24"/>
  <c r="BF36" i="24" s="1"/>
  <c r="CU36" i="24" s="1"/>
  <c r="S36" i="24"/>
  <c r="BG36" i="24" s="1"/>
  <c r="CV36" i="24" s="1"/>
  <c r="T36" i="24"/>
  <c r="BH36" i="24" s="1"/>
  <c r="CW36" i="24" s="1"/>
  <c r="U36" i="24"/>
  <c r="BI36" i="24" s="1"/>
  <c r="CX36" i="24" s="1"/>
  <c r="V36" i="24"/>
  <c r="BJ36" i="24" s="1"/>
  <c r="CY36" i="24" s="1"/>
  <c r="W36" i="24"/>
  <c r="BK36" i="24" s="1"/>
  <c r="CZ36" i="24" s="1"/>
  <c r="X36" i="24"/>
  <c r="BL36" i="24" s="1"/>
  <c r="DA36" i="24" s="1"/>
  <c r="Y36" i="24"/>
  <c r="BM36" i="24" s="1"/>
  <c r="DB36" i="24" s="1"/>
  <c r="Z36" i="24"/>
  <c r="BN36" i="24" s="1"/>
  <c r="DC36" i="24" s="1"/>
  <c r="AA36" i="24"/>
  <c r="BO36" i="24" s="1"/>
  <c r="DD36" i="24" s="1"/>
  <c r="AB36" i="24"/>
  <c r="BP36" i="24" s="1"/>
  <c r="DE36" i="24" s="1"/>
  <c r="AC36" i="24"/>
  <c r="BQ36" i="24" s="1"/>
  <c r="DF36" i="24" s="1"/>
  <c r="AD36" i="24"/>
  <c r="BR36" i="24" s="1"/>
  <c r="DG36" i="24" s="1"/>
  <c r="AE36" i="24"/>
  <c r="BS36" i="24" s="1"/>
  <c r="DH36" i="24" s="1"/>
  <c r="AF36" i="24"/>
  <c r="BT36" i="24" s="1"/>
  <c r="DI36" i="24" s="1"/>
  <c r="AG36" i="24"/>
  <c r="BU36" i="24" s="1"/>
  <c r="DJ36" i="24" s="1"/>
  <c r="AH36" i="24"/>
  <c r="BV36" i="24" s="1"/>
  <c r="DK36" i="24" s="1"/>
  <c r="AI36" i="24"/>
  <c r="BW36" i="24" s="1"/>
  <c r="DL36" i="24" s="1"/>
  <c r="AJ36" i="24"/>
  <c r="BX36" i="24" s="1"/>
  <c r="DM36" i="24" s="1"/>
  <c r="AK36" i="24"/>
  <c r="BY36" i="24" s="1"/>
  <c r="DN36" i="24" s="1"/>
  <c r="AL36" i="24"/>
  <c r="BZ36" i="24" s="1"/>
  <c r="DO36" i="24" s="1"/>
  <c r="AM36" i="24"/>
  <c r="CA36" i="24" s="1"/>
  <c r="DP36" i="24" s="1"/>
  <c r="AN36" i="24"/>
  <c r="CB36" i="24" s="1"/>
  <c r="DQ36" i="24" s="1"/>
  <c r="AO36" i="24"/>
  <c r="CC36" i="24" s="1"/>
  <c r="DR36" i="24" s="1"/>
  <c r="AP36" i="24"/>
  <c r="CD36" i="24" s="1"/>
  <c r="DS36" i="24" s="1"/>
  <c r="AQ36" i="24"/>
  <c r="CE36" i="24" s="1"/>
  <c r="DT36" i="24" s="1"/>
  <c r="G37" i="24"/>
  <c r="AU37" i="24" s="1"/>
  <c r="CJ37" i="24" s="1"/>
  <c r="H37" i="24"/>
  <c r="AV37" i="24" s="1"/>
  <c r="CK37" i="24" s="1"/>
  <c r="I37" i="24"/>
  <c r="AW37" i="24" s="1"/>
  <c r="CL37" i="24" s="1"/>
  <c r="J37" i="24"/>
  <c r="AX37" i="24" s="1"/>
  <c r="CM37" i="24" s="1"/>
  <c r="K37" i="24"/>
  <c r="AY37" i="24" s="1"/>
  <c r="CN37" i="24" s="1"/>
  <c r="L37" i="24"/>
  <c r="AZ37" i="24" s="1"/>
  <c r="CO37" i="24" s="1"/>
  <c r="M37" i="24"/>
  <c r="BA37" i="24" s="1"/>
  <c r="CP37" i="24" s="1"/>
  <c r="N37" i="24"/>
  <c r="BB37" i="24" s="1"/>
  <c r="CQ37" i="24" s="1"/>
  <c r="O37" i="24"/>
  <c r="BC37" i="24" s="1"/>
  <c r="CR37" i="24" s="1"/>
  <c r="P37" i="24"/>
  <c r="BD37" i="24" s="1"/>
  <c r="CS37" i="24" s="1"/>
  <c r="Q37" i="24"/>
  <c r="BE37" i="24" s="1"/>
  <c r="CT37" i="24" s="1"/>
  <c r="R37" i="24"/>
  <c r="BF37" i="24" s="1"/>
  <c r="CU37" i="24" s="1"/>
  <c r="S37" i="24"/>
  <c r="BG37" i="24" s="1"/>
  <c r="CV37" i="24" s="1"/>
  <c r="T37" i="24"/>
  <c r="BH37" i="24" s="1"/>
  <c r="CW37" i="24" s="1"/>
  <c r="U37" i="24"/>
  <c r="BI37" i="24" s="1"/>
  <c r="CX37" i="24" s="1"/>
  <c r="V37" i="24"/>
  <c r="BJ37" i="24" s="1"/>
  <c r="CY37" i="24" s="1"/>
  <c r="W37" i="24"/>
  <c r="BK37" i="24" s="1"/>
  <c r="CZ37" i="24" s="1"/>
  <c r="X37" i="24"/>
  <c r="BL37" i="24" s="1"/>
  <c r="DA37" i="24" s="1"/>
  <c r="Y37" i="24"/>
  <c r="BM37" i="24" s="1"/>
  <c r="DB37" i="24" s="1"/>
  <c r="Z37" i="24"/>
  <c r="BN37" i="24" s="1"/>
  <c r="DC37" i="24" s="1"/>
  <c r="AA37" i="24"/>
  <c r="BO37" i="24" s="1"/>
  <c r="DD37" i="24" s="1"/>
  <c r="AB37" i="24"/>
  <c r="BP37" i="24" s="1"/>
  <c r="DE37" i="24" s="1"/>
  <c r="AC37" i="24"/>
  <c r="BQ37" i="24" s="1"/>
  <c r="DF37" i="24" s="1"/>
  <c r="AD37" i="24"/>
  <c r="BR37" i="24" s="1"/>
  <c r="DG37" i="24" s="1"/>
  <c r="AE37" i="24"/>
  <c r="BS37" i="24" s="1"/>
  <c r="DH37" i="24" s="1"/>
  <c r="AF37" i="24"/>
  <c r="BT37" i="24" s="1"/>
  <c r="DI37" i="24" s="1"/>
  <c r="AG37" i="24"/>
  <c r="BU37" i="24" s="1"/>
  <c r="DJ37" i="24" s="1"/>
  <c r="AH37" i="24"/>
  <c r="BV37" i="24" s="1"/>
  <c r="DK37" i="24" s="1"/>
  <c r="AI37" i="24"/>
  <c r="BW37" i="24" s="1"/>
  <c r="DL37" i="24" s="1"/>
  <c r="AJ37" i="24"/>
  <c r="BX37" i="24" s="1"/>
  <c r="DM37" i="24" s="1"/>
  <c r="AK37" i="24"/>
  <c r="BY37" i="24" s="1"/>
  <c r="DN37" i="24" s="1"/>
  <c r="AL37" i="24"/>
  <c r="BZ37" i="24" s="1"/>
  <c r="DO37" i="24" s="1"/>
  <c r="AM37" i="24"/>
  <c r="CA37" i="24" s="1"/>
  <c r="DP37" i="24" s="1"/>
  <c r="AN37" i="24"/>
  <c r="CB37" i="24" s="1"/>
  <c r="DQ37" i="24" s="1"/>
  <c r="AO37" i="24"/>
  <c r="CC37" i="24" s="1"/>
  <c r="DR37" i="24" s="1"/>
  <c r="AP37" i="24"/>
  <c r="CD37" i="24" s="1"/>
  <c r="DS37" i="24" s="1"/>
  <c r="AQ37" i="24"/>
  <c r="CE37" i="24" s="1"/>
  <c r="DT37" i="24" s="1"/>
  <c r="G38" i="24"/>
  <c r="AU38" i="24" s="1"/>
  <c r="CJ38" i="24" s="1"/>
  <c r="H38" i="24"/>
  <c r="AV38" i="24" s="1"/>
  <c r="CK38" i="24" s="1"/>
  <c r="I38" i="24"/>
  <c r="AW38" i="24" s="1"/>
  <c r="CL38" i="24" s="1"/>
  <c r="J38" i="24"/>
  <c r="AX38" i="24" s="1"/>
  <c r="CM38" i="24" s="1"/>
  <c r="K38" i="24"/>
  <c r="AY38" i="24" s="1"/>
  <c r="CN38" i="24" s="1"/>
  <c r="L38" i="24"/>
  <c r="AZ38" i="24" s="1"/>
  <c r="CO38" i="24" s="1"/>
  <c r="M38" i="24"/>
  <c r="BA38" i="24" s="1"/>
  <c r="CP38" i="24" s="1"/>
  <c r="N38" i="24"/>
  <c r="BB38" i="24" s="1"/>
  <c r="CQ38" i="24" s="1"/>
  <c r="O38" i="24"/>
  <c r="BC38" i="24" s="1"/>
  <c r="CR38" i="24" s="1"/>
  <c r="P38" i="24"/>
  <c r="BD38" i="24" s="1"/>
  <c r="CS38" i="24" s="1"/>
  <c r="Q38" i="24"/>
  <c r="BE38" i="24" s="1"/>
  <c r="CT38" i="24" s="1"/>
  <c r="R38" i="24"/>
  <c r="BF38" i="24" s="1"/>
  <c r="CU38" i="24" s="1"/>
  <c r="S38" i="24"/>
  <c r="BG38" i="24" s="1"/>
  <c r="CV38" i="24" s="1"/>
  <c r="T38" i="24"/>
  <c r="BH38" i="24" s="1"/>
  <c r="CW38" i="24" s="1"/>
  <c r="U38" i="24"/>
  <c r="BI38" i="24" s="1"/>
  <c r="CX38" i="24" s="1"/>
  <c r="V38" i="24"/>
  <c r="BJ38" i="24" s="1"/>
  <c r="CY38" i="24" s="1"/>
  <c r="W38" i="24"/>
  <c r="BK38" i="24" s="1"/>
  <c r="CZ38" i="24" s="1"/>
  <c r="X38" i="24"/>
  <c r="BL38" i="24" s="1"/>
  <c r="DA38" i="24" s="1"/>
  <c r="Y38" i="24"/>
  <c r="BM38" i="24" s="1"/>
  <c r="DB38" i="24" s="1"/>
  <c r="Z38" i="24"/>
  <c r="BN38" i="24" s="1"/>
  <c r="DC38" i="24" s="1"/>
  <c r="AA38" i="24"/>
  <c r="BO38" i="24" s="1"/>
  <c r="DD38" i="24" s="1"/>
  <c r="AB38" i="24"/>
  <c r="BP38" i="24" s="1"/>
  <c r="DE38" i="24" s="1"/>
  <c r="AC38" i="24"/>
  <c r="BQ38" i="24" s="1"/>
  <c r="DF38" i="24" s="1"/>
  <c r="AD38" i="24"/>
  <c r="BR38" i="24" s="1"/>
  <c r="DG38" i="24" s="1"/>
  <c r="AE38" i="24"/>
  <c r="BS38" i="24" s="1"/>
  <c r="DH38" i="24" s="1"/>
  <c r="AF38" i="24"/>
  <c r="BT38" i="24" s="1"/>
  <c r="DI38" i="24" s="1"/>
  <c r="AG38" i="24"/>
  <c r="BU38" i="24" s="1"/>
  <c r="DJ38" i="24" s="1"/>
  <c r="AH38" i="24"/>
  <c r="BV38" i="24" s="1"/>
  <c r="DK38" i="24" s="1"/>
  <c r="AI38" i="24"/>
  <c r="BW38" i="24" s="1"/>
  <c r="DL38" i="24" s="1"/>
  <c r="AJ38" i="24"/>
  <c r="BX38" i="24" s="1"/>
  <c r="DM38" i="24" s="1"/>
  <c r="AK38" i="24"/>
  <c r="BY38" i="24" s="1"/>
  <c r="DN38" i="24" s="1"/>
  <c r="AL38" i="24"/>
  <c r="BZ38" i="24" s="1"/>
  <c r="DO38" i="24" s="1"/>
  <c r="AM38" i="24"/>
  <c r="CA38" i="24" s="1"/>
  <c r="DP38" i="24" s="1"/>
  <c r="AN38" i="24"/>
  <c r="CB38" i="24" s="1"/>
  <c r="DQ38" i="24" s="1"/>
  <c r="AO38" i="24"/>
  <c r="CC38" i="24" s="1"/>
  <c r="DR38" i="24" s="1"/>
  <c r="AP38" i="24"/>
  <c r="CD38" i="24" s="1"/>
  <c r="DS38" i="24" s="1"/>
  <c r="AQ38" i="24"/>
  <c r="CE38" i="24" s="1"/>
  <c r="DT38" i="24" s="1"/>
  <c r="G39" i="24"/>
  <c r="AU39" i="24" s="1"/>
  <c r="CJ39" i="24" s="1"/>
  <c r="H39" i="24"/>
  <c r="AV39" i="24" s="1"/>
  <c r="CK39" i="24" s="1"/>
  <c r="I39" i="24"/>
  <c r="AW39" i="24" s="1"/>
  <c r="CL39" i="24" s="1"/>
  <c r="J39" i="24"/>
  <c r="AX39" i="24" s="1"/>
  <c r="CM39" i="24" s="1"/>
  <c r="K39" i="24"/>
  <c r="AY39" i="24" s="1"/>
  <c r="CN39" i="24" s="1"/>
  <c r="L39" i="24"/>
  <c r="AZ39" i="24" s="1"/>
  <c r="CO39" i="24" s="1"/>
  <c r="M39" i="24"/>
  <c r="BA39" i="24" s="1"/>
  <c r="CP39" i="24" s="1"/>
  <c r="N39" i="24"/>
  <c r="BB39" i="24" s="1"/>
  <c r="CQ39" i="24" s="1"/>
  <c r="O39" i="24"/>
  <c r="BC39" i="24" s="1"/>
  <c r="CR39" i="24" s="1"/>
  <c r="P39" i="24"/>
  <c r="BD39" i="24" s="1"/>
  <c r="CS39" i="24" s="1"/>
  <c r="Q39" i="24"/>
  <c r="BE39" i="24" s="1"/>
  <c r="CT39" i="24" s="1"/>
  <c r="R39" i="24"/>
  <c r="BF39" i="24" s="1"/>
  <c r="CU39" i="24" s="1"/>
  <c r="S39" i="24"/>
  <c r="BG39" i="24" s="1"/>
  <c r="CV39" i="24" s="1"/>
  <c r="T39" i="24"/>
  <c r="BH39" i="24" s="1"/>
  <c r="CW39" i="24" s="1"/>
  <c r="U39" i="24"/>
  <c r="BI39" i="24" s="1"/>
  <c r="CX39" i="24" s="1"/>
  <c r="V39" i="24"/>
  <c r="BJ39" i="24" s="1"/>
  <c r="CY39" i="24" s="1"/>
  <c r="W39" i="24"/>
  <c r="BK39" i="24" s="1"/>
  <c r="CZ39" i="24" s="1"/>
  <c r="X39" i="24"/>
  <c r="BL39" i="24" s="1"/>
  <c r="DA39" i="24" s="1"/>
  <c r="Y39" i="24"/>
  <c r="BM39" i="24" s="1"/>
  <c r="DB39" i="24" s="1"/>
  <c r="Z39" i="24"/>
  <c r="BN39" i="24" s="1"/>
  <c r="DC39" i="24" s="1"/>
  <c r="AA39" i="24"/>
  <c r="BO39" i="24" s="1"/>
  <c r="DD39" i="24" s="1"/>
  <c r="AB39" i="24"/>
  <c r="BP39" i="24" s="1"/>
  <c r="DE39" i="24" s="1"/>
  <c r="AC39" i="24"/>
  <c r="BQ39" i="24" s="1"/>
  <c r="DF39" i="24" s="1"/>
  <c r="AD39" i="24"/>
  <c r="BR39" i="24" s="1"/>
  <c r="DG39" i="24" s="1"/>
  <c r="AE39" i="24"/>
  <c r="BS39" i="24" s="1"/>
  <c r="DH39" i="24" s="1"/>
  <c r="AF39" i="24"/>
  <c r="BT39" i="24" s="1"/>
  <c r="DI39" i="24" s="1"/>
  <c r="AG39" i="24"/>
  <c r="BU39" i="24" s="1"/>
  <c r="DJ39" i="24" s="1"/>
  <c r="AH39" i="24"/>
  <c r="BV39" i="24" s="1"/>
  <c r="DK39" i="24" s="1"/>
  <c r="AI39" i="24"/>
  <c r="BW39" i="24" s="1"/>
  <c r="DL39" i="24" s="1"/>
  <c r="AJ39" i="24"/>
  <c r="BX39" i="24" s="1"/>
  <c r="DM39" i="24" s="1"/>
  <c r="AK39" i="24"/>
  <c r="BY39" i="24" s="1"/>
  <c r="DN39" i="24" s="1"/>
  <c r="AL39" i="24"/>
  <c r="BZ39" i="24" s="1"/>
  <c r="DO39" i="24" s="1"/>
  <c r="AM39" i="24"/>
  <c r="CA39" i="24" s="1"/>
  <c r="DP39" i="24" s="1"/>
  <c r="AN39" i="24"/>
  <c r="CB39" i="24" s="1"/>
  <c r="DQ39" i="24" s="1"/>
  <c r="AO39" i="24"/>
  <c r="CC39" i="24" s="1"/>
  <c r="DR39" i="24" s="1"/>
  <c r="AP39" i="24"/>
  <c r="CD39" i="24" s="1"/>
  <c r="DS39" i="24" s="1"/>
  <c r="AQ39" i="24"/>
  <c r="CE39" i="24" s="1"/>
  <c r="DT39" i="24" s="1"/>
  <c r="G40" i="24"/>
  <c r="AU40" i="24" s="1"/>
  <c r="CJ40" i="24" s="1"/>
  <c r="H40" i="24"/>
  <c r="AV40" i="24" s="1"/>
  <c r="CK40" i="24" s="1"/>
  <c r="I40" i="24"/>
  <c r="AW40" i="24" s="1"/>
  <c r="CL40" i="24" s="1"/>
  <c r="J40" i="24"/>
  <c r="AX40" i="24" s="1"/>
  <c r="CM40" i="24" s="1"/>
  <c r="K40" i="24"/>
  <c r="AY40" i="24" s="1"/>
  <c r="CN40" i="24" s="1"/>
  <c r="L40" i="24"/>
  <c r="AZ40" i="24" s="1"/>
  <c r="CO40" i="24" s="1"/>
  <c r="M40" i="24"/>
  <c r="BA40" i="24" s="1"/>
  <c r="CP40" i="24" s="1"/>
  <c r="N40" i="24"/>
  <c r="BB40" i="24" s="1"/>
  <c r="CQ40" i="24" s="1"/>
  <c r="O40" i="24"/>
  <c r="BC40" i="24" s="1"/>
  <c r="CR40" i="24" s="1"/>
  <c r="P40" i="24"/>
  <c r="BD40" i="24" s="1"/>
  <c r="CS40" i="24" s="1"/>
  <c r="Q40" i="24"/>
  <c r="BE40" i="24" s="1"/>
  <c r="CT40" i="24" s="1"/>
  <c r="R40" i="24"/>
  <c r="BF40" i="24" s="1"/>
  <c r="CU40" i="24" s="1"/>
  <c r="S40" i="24"/>
  <c r="BG40" i="24" s="1"/>
  <c r="CV40" i="24" s="1"/>
  <c r="T40" i="24"/>
  <c r="BH40" i="24" s="1"/>
  <c r="CW40" i="24" s="1"/>
  <c r="U40" i="24"/>
  <c r="BI40" i="24" s="1"/>
  <c r="CX40" i="24" s="1"/>
  <c r="V40" i="24"/>
  <c r="BJ40" i="24" s="1"/>
  <c r="CY40" i="24" s="1"/>
  <c r="W40" i="24"/>
  <c r="BK40" i="24" s="1"/>
  <c r="CZ40" i="24" s="1"/>
  <c r="X40" i="24"/>
  <c r="BL40" i="24" s="1"/>
  <c r="DA40" i="24" s="1"/>
  <c r="Y40" i="24"/>
  <c r="BM40" i="24" s="1"/>
  <c r="DB40" i="24" s="1"/>
  <c r="Z40" i="24"/>
  <c r="BN40" i="24" s="1"/>
  <c r="DC40" i="24" s="1"/>
  <c r="AA40" i="24"/>
  <c r="BO40" i="24" s="1"/>
  <c r="DD40" i="24" s="1"/>
  <c r="AB40" i="24"/>
  <c r="BP40" i="24" s="1"/>
  <c r="DE40" i="24" s="1"/>
  <c r="AC40" i="24"/>
  <c r="BQ40" i="24" s="1"/>
  <c r="DF40" i="24" s="1"/>
  <c r="AD40" i="24"/>
  <c r="BR40" i="24" s="1"/>
  <c r="DG40" i="24" s="1"/>
  <c r="AE40" i="24"/>
  <c r="BS40" i="24" s="1"/>
  <c r="DH40" i="24" s="1"/>
  <c r="AF40" i="24"/>
  <c r="BT40" i="24" s="1"/>
  <c r="DI40" i="24" s="1"/>
  <c r="AG40" i="24"/>
  <c r="BU40" i="24" s="1"/>
  <c r="DJ40" i="24" s="1"/>
  <c r="AH40" i="24"/>
  <c r="BV40" i="24" s="1"/>
  <c r="DK40" i="24" s="1"/>
  <c r="AI40" i="24"/>
  <c r="BW40" i="24" s="1"/>
  <c r="DL40" i="24" s="1"/>
  <c r="AJ40" i="24"/>
  <c r="BX40" i="24" s="1"/>
  <c r="DM40" i="24" s="1"/>
  <c r="AK40" i="24"/>
  <c r="BY40" i="24" s="1"/>
  <c r="DN40" i="24" s="1"/>
  <c r="AL40" i="24"/>
  <c r="BZ40" i="24" s="1"/>
  <c r="DO40" i="24" s="1"/>
  <c r="AM40" i="24"/>
  <c r="CA40" i="24" s="1"/>
  <c r="DP40" i="24" s="1"/>
  <c r="AN40" i="24"/>
  <c r="CB40" i="24" s="1"/>
  <c r="DQ40" i="24" s="1"/>
  <c r="AO40" i="24"/>
  <c r="CC40" i="24" s="1"/>
  <c r="DR40" i="24" s="1"/>
  <c r="AP40" i="24"/>
  <c r="CD40" i="24" s="1"/>
  <c r="DS40" i="24" s="1"/>
  <c r="AQ40" i="24"/>
  <c r="CE40" i="24" s="1"/>
  <c r="DT40" i="24" s="1"/>
  <c r="G41" i="24"/>
  <c r="AU41" i="24" s="1"/>
  <c r="CJ41" i="24" s="1"/>
  <c r="H41" i="24"/>
  <c r="AV41" i="24" s="1"/>
  <c r="CK41" i="24" s="1"/>
  <c r="I41" i="24"/>
  <c r="AW41" i="24" s="1"/>
  <c r="CL41" i="24" s="1"/>
  <c r="J41" i="24"/>
  <c r="AX41" i="24" s="1"/>
  <c r="CM41" i="24" s="1"/>
  <c r="K41" i="24"/>
  <c r="AY41" i="24" s="1"/>
  <c r="CN41" i="24" s="1"/>
  <c r="L41" i="24"/>
  <c r="AZ41" i="24" s="1"/>
  <c r="CO41" i="24" s="1"/>
  <c r="M41" i="24"/>
  <c r="BA41" i="24" s="1"/>
  <c r="CP41" i="24" s="1"/>
  <c r="N41" i="24"/>
  <c r="BB41" i="24" s="1"/>
  <c r="CQ41" i="24" s="1"/>
  <c r="O41" i="24"/>
  <c r="BC41" i="24" s="1"/>
  <c r="CR41" i="24" s="1"/>
  <c r="P41" i="24"/>
  <c r="BD41" i="24" s="1"/>
  <c r="CS41" i="24" s="1"/>
  <c r="Q41" i="24"/>
  <c r="BE41" i="24" s="1"/>
  <c r="CT41" i="24" s="1"/>
  <c r="R41" i="24"/>
  <c r="BF41" i="24" s="1"/>
  <c r="CU41" i="24" s="1"/>
  <c r="S41" i="24"/>
  <c r="BG41" i="24" s="1"/>
  <c r="CV41" i="24" s="1"/>
  <c r="T41" i="24"/>
  <c r="BH41" i="24" s="1"/>
  <c r="CW41" i="24" s="1"/>
  <c r="U41" i="24"/>
  <c r="BI41" i="24" s="1"/>
  <c r="CX41" i="24" s="1"/>
  <c r="V41" i="24"/>
  <c r="BJ41" i="24" s="1"/>
  <c r="CY41" i="24" s="1"/>
  <c r="W41" i="24"/>
  <c r="BK41" i="24" s="1"/>
  <c r="CZ41" i="24" s="1"/>
  <c r="X41" i="24"/>
  <c r="BL41" i="24" s="1"/>
  <c r="DA41" i="24" s="1"/>
  <c r="Y41" i="24"/>
  <c r="BM41" i="24" s="1"/>
  <c r="DB41" i="24" s="1"/>
  <c r="Z41" i="24"/>
  <c r="BN41" i="24" s="1"/>
  <c r="DC41" i="24" s="1"/>
  <c r="AA41" i="24"/>
  <c r="BO41" i="24" s="1"/>
  <c r="DD41" i="24" s="1"/>
  <c r="AB41" i="24"/>
  <c r="BP41" i="24" s="1"/>
  <c r="DE41" i="24" s="1"/>
  <c r="AC41" i="24"/>
  <c r="BQ41" i="24" s="1"/>
  <c r="DF41" i="24" s="1"/>
  <c r="AD41" i="24"/>
  <c r="BR41" i="24" s="1"/>
  <c r="DG41" i="24" s="1"/>
  <c r="AE41" i="24"/>
  <c r="BS41" i="24" s="1"/>
  <c r="DH41" i="24" s="1"/>
  <c r="AF41" i="24"/>
  <c r="BT41" i="24" s="1"/>
  <c r="DI41" i="24" s="1"/>
  <c r="AG41" i="24"/>
  <c r="BU41" i="24" s="1"/>
  <c r="DJ41" i="24" s="1"/>
  <c r="AH41" i="24"/>
  <c r="BV41" i="24" s="1"/>
  <c r="DK41" i="24" s="1"/>
  <c r="AI41" i="24"/>
  <c r="BW41" i="24" s="1"/>
  <c r="DL41" i="24" s="1"/>
  <c r="AJ41" i="24"/>
  <c r="BX41" i="24" s="1"/>
  <c r="DM41" i="24" s="1"/>
  <c r="AK41" i="24"/>
  <c r="BY41" i="24" s="1"/>
  <c r="DN41" i="24" s="1"/>
  <c r="AL41" i="24"/>
  <c r="BZ41" i="24" s="1"/>
  <c r="DO41" i="24" s="1"/>
  <c r="AM41" i="24"/>
  <c r="CA41" i="24" s="1"/>
  <c r="DP41" i="24" s="1"/>
  <c r="AN41" i="24"/>
  <c r="CB41" i="24" s="1"/>
  <c r="DQ41" i="24" s="1"/>
  <c r="AO41" i="24"/>
  <c r="CC41" i="24" s="1"/>
  <c r="DR41" i="24" s="1"/>
  <c r="AP41" i="24"/>
  <c r="CD41" i="24" s="1"/>
  <c r="DS41" i="24" s="1"/>
  <c r="AQ41" i="24"/>
  <c r="CE41" i="24" s="1"/>
  <c r="DT41" i="24" s="1"/>
  <c r="G42" i="24"/>
  <c r="AU42" i="24" s="1"/>
  <c r="CJ42" i="24" s="1"/>
  <c r="H42" i="24"/>
  <c r="AV42" i="24" s="1"/>
  <c r="CK42" i="24" s="1"/>
  <c r="I42" i="24"/>
  <c r="AW42" i="24" s="1"/>
  <c r="CL42" i="24" s="1"/>
  <c r="J42" i="24"/>
  <c r="AX42" i="24" s="1"/>
  <c r="CM42" i="24" s="1"/>
  <c r="K42" i="24"/>
  <c r="AY42" i="24" s="1"/>
  <c r="CN42" i="24" s="1"/>
  <c r="L42" i="24"/>
  <c r="AZ42" i="24" s="1"/>
  <c r="CO42" i="24" s="1"/>
  <c r="M42" i="24"/>
  <c r="BA42" i="24" s="1"/>
  <c r="CP42" i="24" s="1"/>
  <c r="N42" i="24"/>
  <c r="BB42" i="24" s="1"/>
  <c r="CQ42" i="24" s="1"/>
  <c r="O42" i="24"/>
  <c r="BC42" i="24" s="1"/>
  <c r="CR42" i="24" s="1"/>
  <c r="P42" i="24"/>
  <c r="BD42" i="24" s="1"/>
  <c r="CS42" i="24" s="1"/>
  <c r="Q42" i="24"/>
  <c r="BE42" i="24" s="1"/>
  <c r="CT42" i="24" s="1"/>
  <c r="R42" i="24"/>
  <c r="BF42" i="24" s="1"/>
  <c r="CU42" i="24" s="1"/>
  <c r="S42" i="24"/>
  <c r="BG42" i="24" s="1"/>
  <c r="CV42" i="24" s="1"/>
  <c r="T42" i="24"/>
  <c r="BH42" i="24" s="1"/>
  <c r="CW42" i="24" s="1"/>
  <c r="U42" i="24"/>
  <c r="BI42" i="24" s="1"/>
  <c r="CX42" i="24" s="1"/>
  <c r="V42" i="24"/>
  <c r="BJ42" i="24" s="1"/>
  <c r="CY42" i="24" s="1"/>
  <c r="W42" i="24"/>
  <c r="BK42" i="24" s="1"/>
  <c r="CZ42" i="24" s="1"/>
  <c r="X42" i="24"/>
  <c r="BL42" i="24" s="1"/>
  <c r="DA42" i="24" s="1"/>
  <c r="Y42" i="24"/>
  <c r="BM42" i="24" s="1"/>
  <c r="DB42" i="24" s="1"/>
  <c r="Z42" i="24"/>
  <c r="BN42" i="24" s="1"/>
  <c r="DC42" i="24" s="1"/>
  <c r="AA42" i="24"/>
  <c r="BO42" i="24" s="1"/>
  <c r="DD42" i="24" s="1"/>
  <c r="AB42" i="24"/>
  <c r="BP42" i="24" s="1"/>
  <c r="DE42" i="24" s="1"/>
  <c r="AC42" i="24"/>
  <c r="BQ42" i="24" s="1"/>
  <c r="DF42" i="24" s="1"/>
  <c r="AD42" i="24"/>
  <c r="BR42" i="24" s="1"/>
  <c r="DG42" i="24" s="1"/>
  <c r="AE42" i="24"/>
  <c r="BS42" i="24" s="1"/>
  <c r="DH42" i="24" s="1"/>
  <c r="AF42" i="24"/>
  <c r="BT42" i="24" s="1"/>
  <c r="DI42" i="24" s="1"/>
  <c r="AG42" i="24"/>
  <c r="BU42" i="24" s="1"/>
  <c r="DJ42" i="24" s="1"/>
  <c r="AH42" i="24"/>
  <c r="BV42" i="24" s="1"/>
  <c r="DK42" i="24" s="1"/>
  <c r="AI42" i="24"/>
  <c r="BW42" i="24" s="1"/>
  <c r="DL42" i="24" s="1"/>
  <c r="AJ42" i="24"/>
  <c r="BX42" i="24" s="1"/>
  <c r="DM42" i="24" s="1"/>
  <c r="AK42" i="24"/>
  <c r="BY42" i="24" s="1"/>
  <c r="DN42" i="24" s="1"/>
  <c r="AL42" i="24"/>
  <c r="BZ42" i="24" s="1"/>
  <c r="DO42" i="24" s="1"/>
  <c r="AM42" i="24"/>
  <c r="CA42" i="24" s="1"/>
  <c r="DP42" i="24" s="1"/>
  <c r="AN42" i="24"/>
  <c r="CB42" i="24" s="1"/>
  <c r="DQ42" i="24" s="1"/>
  <c r="AO42" i="24"/>
  <c r="CC42" i="24" s="1"/>
  <c r="DR42" i="24" s="1"/>
  <c r="AP42" i="24"/>
  <c r="CD42" i="24" s="1"/>
  <c r="DS42" i="24" s="1"/>
  <c r="AQ42" i="24"/>
  <c r="CE42" i="24" s="1"/>
  <c r="DT42" i="24" s="1"/>
  <c r="G43" i="24"/>
  <c r="AU43" i="24" s="1"/>
  <c r="CJ43" i="24" s="1"/>
  <c r="H43" i="24"/>
  <c r="AV43" i="24" s="1"/>
  <c r="CK43" i="24" s="1"/>
  <c r="I43" i="24"/>
  <c r="AW43" i="24" s="1"/>
  <c r="CL43" i="24" s="1"/>
  <c r="J43" i="24"/>
  <c r="AX43" i="24" s="1"/>
  <c r="CM43" i="24" s="1"/>
  <c r="K43" i="24"/>
  <c r="AY43" i="24" s="1"/>
  <c r="CN43" i="24" s="1"/>
  <c r="L43" i="24"/>
  <c r="AZ43" i="24" s="1"/>
  <c r="CO43" i="24" s="1"/>
  <c r="M43" i="24"/>
  <c r="BA43" i="24" s="1"/>
  <c r="CP43" i="24" s="1"/>
  <c r="N43" i="24"/>
  <c r="BB43" i="24" s="1"/>
  <c r="CQ43" i="24" s="1"/>
  <c r="O43" i="24"/>
  <c r="BC43" i="24" s="1"/>
  <c r="CR43" i="24" s="1"/>
  <c r="P43" i="24"/>
  <c r="BD43" i="24" s="1"/>
  <c r="CS43" i="24" s="1"/>
  <c r="Q43" i="24"/>
  <c r="BE43" i="24" s="1"/>
  <c r="CT43" i="24" s="1"/>
  <c r="R43" i="24"/>
  <c r="BF43" i="24" s="1"/>
  <c r="CU43" i="24" s="1"/>
  <c r="S43" i="24"/>
  <c r="BG43" i="24" s="1"/>
  <c r="CV43" i="24" s="1"/>
  <c r="T43" i="24"/>
  <c r="BH43" i="24" s="1"/>
  <c r="CW43" i="24" s="1"/>
  <c r="U43" i="24"/>
  <c r="BI43" i="24" s="1"/>
  <c r="CX43" i="24" s="1"/>
  <c r="V43" i="24"/>
  <c r="BJ43" i="24" s="1"/>
  <c r="CY43" i="24" s="1"/>
  <c r="W43" i="24"/>
  <c r="BK43" i="24" s="1"/>
  <c r="CZ43" i="24" s="1"/>
  <c r="X43" i="24"/>
  <c r="BL43" i="24" s="1"/>
  <c r="DA43" i="24" s="1"/>
  <c r="Y43" i="24"/>
  <c r="BM43" i="24" s="1"/>
  <c r="DB43" i="24" s="1"/>
  <c r="Z43" i="24"/>
  <c r="BN43" i="24" s="1"/>
  <c r="DC43" i="24" s="1"/>
  <c r="AA43" i="24"/>
  <c r="BO43" i="24" s="1"/>
  <c r="DD43" i="24" s="1"/>
  <c r="AB43" i="24"/>
  <c r="BP43" i="24" s="1"/>
  <c r="DE43" i="24" s="1"/>
  <c r="AC43" i="24"/>
  <c r="BQ43" i="24" s="1"/>
  <c r="DF43" i="24" s="1"/>
  <c r="AD43" i="24"/>
  <c r="BR43" i="24" s="1"/>
  <c r="DG43" i="24" s="1"/>
  <c r="AE43" i="24"/>
  <c r="BS43" i="24" s="1"/>
  <c r="DH43" i="24" s="1"/>
  <c r="AF43" i="24"/>
  <c r="BT43" i="24" s="1"/>
  <c r="DI43" i="24" s="1"/>
  <c r="AG43" i="24"/>
  <c r="BU43" i="24" s="1"/>
  <c r="DJ43" i="24" s="1"/>
  <c r="AH43" i="24"/>
  <c r="BV43" i="24" s="1"/>
  <c r="DK43" i="24" s="1"/>
  <c r="AI43" i="24"/>
  <c r="BW43" i="24" s="1"/>
  <c r="DL43" i="24" s="1"/>
  <c r="AJ43" i="24"/>
  <c r="BX43" i="24" s="1"/>
  <c r="DM43" i="24" s="1"/>
  <c r="AK43" i="24"/>
  <c r="BY43" i="24" s="1"/>
  <c r="DN43" i="24" s="1"/>
  <c r="AL43" i="24"/>
  <c r="BZ43" i="24" s="1"/>
  <c r="DO43" i="24" s="1"/>
  <c r="AM43" i="24"/>
  <c r="CA43" i="24" s="1"/>
  <c r="DP43" i="24" s="1"/>
  <c r="AN43" i="24"/>
  <c r="CB43" i="24" s="1"/>
  <c r="DQ43" i="24" s="1"/>
  <c r="AO43" i="24"/>
  <c r="CC43" i="24" s="1"/>
  <c r="DR43" i="24" s="1"/>
  <c r="AP43" i="24"/>
  <c r="CD43" i="24" s="1"/>
  <c r="DS43" i="24" s="1"/>
  <c r="AQ43" i="24"/>
  <c r="CE43" i="24" s="1"/>
  <c r="DT43" i="24" s="1"/>
  <c r="G44" i="24"/>
  <c r="AU44" i="24" s="1"/>
  <c r="CJ44" i="24" s="1"/>
  <c r="H44" i="24"/>
  <c r="AV44" i="24" s="1"/>
  <c r="CK44" i="24" s="1"/>
  <c r="I44" i="24"/>
  <c r="AW44" i="24" s="1"/>
  <c r="CL44" i="24" s="1"/>
  <c r="J44" i="24"/>
  <c r="AX44" i="24" s="1"/>
  <c r="CM44" i="24" s="1"/>
  <c r="K44" i="24"/>
  <c r="AY44" i="24" s="1"/>
  <c r="CN44" i="24" s="1"/>
  <c r="L44" i="24"/>
  <c r="AZ44" i="24" s="1"/>
  <c r="CO44" i="24" s="1"/>
  <c r="M44" i="24"/>
  <c r="BA44" i="24" s="1"/>
  <c r="CP44" i="24" s="1"/>
  <c r="N44" i="24"/>
  <c r="BB44" i="24" s="1"/>
  <c r="CQ44" i="24" s="1"/>
  <c r="O44" i="24"/>
  <c r="BC44" i="24" s="1"/>
  <c r="CR44" i="24" s="1"/>
  <c r="P44" i="24"/>
  <c r="BD44" i="24" s="1"/>
  <c r="CS44" i="24" s="1"/>
  <c r="Q44" i="24"/>
  <c r="BE44" i="24" s="1"/>
  <c r="CT44" i="24" s="1"/>
  <c r="R44" i="24"/>
  <c r="BF44" i="24" s="1"/>
  <c r="CU44" i="24" s="1"/>
  <c r="S44" i="24"/>
  <c r="BG44" i="24" s="1"/>
  <c r="CV44" i="24" s="1"/>
  <c r="T44" i="24"/>
  <c r="BH44" i="24" s="1"/>
  <c r="CW44" i="24" s="1"/>
  <c r="U44" i="24"/>
  <c r="BI44" i="24" s="1"/>
  <c r="CX44" i="24" s="1"/>
  <c r="V44" i="24"/>
  <c r="BJ44" i="24" s="1"/>
  <c r="CY44" i="24" s="1"/>
  <c r="W44" i="24"/>
  <c r="BK44" i="24" s="1"/>
  <c r="CZ44" i="24" s="1"/>
  <c r="X44" i="24"/>
  <c r="BL44" i="24" s="1"/>
  <c r="DA44" i="24" s="1"/>
  <c r="Y44" i="24"/>
  <c r="BM44" i="24" s="1"/>
  <c r="DB44" i="24" s="1"/>
  <c r="Z44" i="24"/>
  <c r="BN44" i="24" s="1"/>
  <c r="DC44" i="24" s="1"/>
  <c r="AA44" i="24"/>
  <c r="BO44" i="24" s="1"/>
  <c r="DD44" i="24" s="1"/>
  <c r="AB44" i="24"/>
  <c r="BP44" i="24" s="1"/>
  <c r="DE44" i="24" s="1"/>
  <c r="AC44" i="24"/>
  <c r="BQ44" i="24" s="1"/>
  <c r="DF44" i="24" s="1"/>
  <c r="AD44" i="24"/>
  <c r="BR44" i="24" s="1"/>
  <c r="DG44" i="24" s="1"/>
  <c r="AE44" i="24"/>
  <c r="BS44" i="24" s="1"/>
  <c r="DH44" i="24" s="1"/>
  <c r="AF44" i="24"/>
  <c r="BT44" i="24" s="1"/>
  <c r="DI44" i="24" s="1"/>
  <c r="AG44" i="24"/>
  <c r="BU44" i="24" s="1"/>
  <c r="DJ44" i="24" s="1"/>
  <c r="AH44" i="24"/>
  <c r="BV44" i="24" s="1"/>
  <c r="DK44" i="24" s="1"/>
  <c r="AI44" i="24"/>
  <c r="BW44" i="24" s="1"/>
  <c r="DL44" i="24" s="1"/>
  <c r="AJ44" i="24"/>
  <c r="BX44" i="24" s="1"/>
  <c r="DM44" i="24" s="1"/>
  <c r="AK44" i="24"/>
  <c r="BY44" i="24" s="1"/>
  <c r="DN44" i="24" s="1"/>
  <c r="AL44" i="24"/>
  <c r="BZ44" i="24" s="1"/>
  <c r="DO44" i="24" s="1"/>
  <c r="AM44" i="24"/>
  <c r="CA44" i="24" s="1"/>
  <c r="DP44" i="24" s="1"/>
  <c r="AN44" i="24"/>
  <c r="CB44" i="24" s="1"/>
  <c r="DQ44" i="24" s="1"/>
  <c r="AO44" i="24"/>
  <c r="CC44" i="24" s="1"/>
  <c r="DR44" i="24" s="1"/>
  <c r="AP44" i="24"/>
  <c r="CD44" i="24" s="1"/>
  <c r="DS44" i="24" s="1"/>
  <c r="AQ44" i="24"/>
  <c r="CE44" i="24" s="1"/>
  <c r="DT44" i="24" s="1"/>
  <c r="G45" i="24"/>
  <c r="AU45" i="24" s="1"/>
  <c r="CJ45" i="24" s="1"/>
  <c r="H45" i="24"/>
  <c r="AV45" i="24" s="1"/>
  <c r="CK45" i="24" s="1"/>
  <c r="I45" i="24"/>
  <c r="AW45" i="24" s="1"/>
  <c r="CL45" i="24" s="1"/>
  <c r="J45" i="24"/>
  <c r="AX45" i="24" s="1"/>
  <c r="CM45" i="24" s="1"/>
  <c r="K45" i="24"/>
  <c r="AY45" i="24" s="1"/>
  <c r="CN45" i="24" s="1"/>
  <c r="L45" i="24"/>
  <c r="AZ45" i="24" s="1"/>
  <c r="CO45" i="24" s="1"/>
  <c r="M45" i="24"/>
  <c r="BA45" i="24" s="1"/>
  <c r="CP45" i="24" s="1"/>
  <c r="N45" i="24"/>
  <c r="BB45" i="24" s="1"/>
  <c r="CQ45" i="24" s="1"/>
  <c r="O45" i="24"/>
  <c r="BC45" i="24" s="1"/>
  <c r="CR45" i="24" s="1"/>
  <c r="P45" i="24"/>
  <c r="BD45" i="24" s="1"/>
  <c r="CS45" i="24" s="1"/>
  <c r="Q45" i="24"/>
  <c r="BE45" i="24" s="1"/>
  <c r="CT45" i="24" s="1"/>
  <c r="R45" i="24"/>
  <c r="BF45" i="24" s="1"/>
  <c r="CU45" i="24" s="1"/>
  <c r="S45" i="24"/>
  <c r="BG45" i="24" s="1"/>
  <c r="CV45" i="24" s="1"/>
  <c r="T45" i="24"/>
  <c r="BH45" i="24" s="1"/>
  <c r="CW45" i="24" s="1"/>
  <c r="U45" i="24"/>
  <c r="BI45" i="24" s="1"/>
  <c r="CX45" i="24" s="1"/>
  <c r="V45" i="24"/>
  <c r="BJ45" i="24" s="1"/>
  <c r="CY45" i="24" s="1"/>
  <c r="W45" i="24"/>
  <c r="BK45" i="24" s="1"/>
  <c r="CZ45" i="24" s="1"/>
  <c r="X45" i="24"/>
  <c r="BL45" i="24" s="1"/>
  <c r="DA45" i="24" s="1"/>
  <c r="Y45" i="24"/>
  <c r="BM45" i="24" s="1"/>
  <c r="DB45" i="24" s="1"/>
  <c r="Z45" i="24"/>
  <c r="BN45" i="24" s="1"/>
  <c r="DC45" i="24" s="1"/>
  <c r="AA45" i="24"/>
  <c r="BO45" i="24" s="1"/>
  <c r="DD45" i="24" s="1"/>
  <c r="AB45" i="24"/>
  <c r="BP45" i="24" s="1"/>
  <c r="DE45" i="24" s="1"/>
  <c r="AC45" i="24"/>
  <c r="BQ45" i="24" s="1"/>
  <c r="DF45" i="24" s="1"/>
  <c r="AD45" i="24"/>
  <c r="BR45" i="24" s="1"/>
  <c r="DG45" i="24" s="1"/>
  <c r="AE45" i="24"/>
  <c r="BS45" i="24" s="1"/>
  <c r="DH45" i="24" s="1"/>
  <c r="AF45" i="24"/>
  <c r="BT45" i="24" s="1"/>
  <c r="DI45" i="24" s="1"/>
  <c r="AG45" i="24"/>
  <c r="BU45" i="24" s="1"/>
  <c r="DJ45" i="24" s="1"/>
  <c r="AH45" i="24"/>
  <c r="BV45" i="24" s="1"/>
  <c r="DK45" i="24" s="1"/>
  <c r="AI45" i="24"/>
  <c r="BW45" i="24" s="1"/>
  <c r="DL45" i="24" s="1"/>
  <c r="AJ45" i="24"/>
  <c r="BX45" i="24" s="1"/>
  <c r="DM45" i="24" s="1"/>
  <c r="AK45" i="24"/>
  <c r="BY45" i="24" s="1"/>
  <c r="DN45" i="24" s="1"/>
  <c r="AL45" i="24"/>
  <c r="BZ45" i="24" s="1"/>
  <c r="DO45" i="24" s="1"/>
  <c r="AM45" i="24"/>
  <c r="CA45" i="24" s="1"/>
  <c r="DP45" i="24" s="1"/>
  <c r="AN45" i="24"/>
  <c r="CB45" i="24" s="1"/>
  <c r="DQ45" i="24" s="1"/>
  <c r="AO45" i="24"/>
  <c r="CC45" i="24" s="1"/>
  <c r="DR45" i="24" s="1"/>
  <c r="AP45" i="24"/>
  <c r="CD45" i="24" s="1"/>
  <c r="DS45" i="24" s="1"/>
  <c r="AQ45" i="24"/>
  <c r="CE45" i="24" s="1"/>
  <c r="DT45" i="24" s="1"/>
  <c r="G46" i="24"/>
  <c r="AU46" i="24" s="1"/>
  <c r="CJ46" i="24" s="1"/>
  <c r="H46" i="24"/>
  <c r="AV46" i="24" s="1"/>
  <c r="CK46" i="24" s="1"/>
  <c r="I46" i="24"/>
  <c r="AW46" i="24" s="1"/>
  <c r="CL46" i="24" s="1"/>
  <c r="J46" i="24"/>
  <c r="AX46" i="24" s="1"/>
  <c r="CM46" i="24" s="1"/>
  <c r="K46" i="24"/>
  <c r="AY46" i="24" s="1"/>
  <c r="CN46" i="24" s="1"/>
  <c r="L46" i="24"/>
  <c r="AZ46" i="24" s="1"/>
  <c r="CO46" i="24" s="1"/>
  <c r="M46" i="24"/>
  <c r="BA46" i="24" s="1"/>
  <c r="CP46" i="24" s="1"/>
  <c r="N46" i="24"/>
  <c r="BB46" i="24" s="1"/>
  <c r="CQ46" i="24" s="1"/>
  <c r="O46" i="24"/>
  <c r="BC46" i="24" s="1"/>
  <c r="CR46" i="24" s="1"/>
  <c r="P46" i="24"/>
  <c r="BD46" i="24" s="1"/>
  <c r="CS46" i="24" s="1"/>
  <c r="Q46" i="24"/>
  <c r="BE46" i="24" s="1"/>
  <c r="CT46" i="24" s="1"/>
  <c r="R46" i="24"/>
  <c r="BF46" i="24" s="1"/>
  <c r="CU46" i="24" s="1"/>
  <c r="S46" i="24"/>
  <c r="BG46" i="24" s="1"/>
  <c r="CV46" i="24" s="1"/>
  <c r="T46" i="24"/>
  <c r="BH46" i="24" s="1"/>
  <c r="CW46" i="24" s="1"/>
  <c r="U46" i="24"/>
  <c r="BI46" i="24" s="1"/>
  <c r="CX46" i="24" s="1"/>
  <c r="V46" i="24"/>
  <c r="BJ46" i="24" s="1"/>
  <c r="CY46" i="24" s="1"/>
  <c r="W46" i="24"/>
  <c r="BK46" i="24" s="1"/>
  <c r="CZ46" i="24" s="1"/>
  <c r="X46" i="24"/>
  <c r="BL46" i="24" s="1"/>
  <c r="DA46" i="24" s="1"/>
  <c r="Y46" i="24"/>
  <c r="BM46" i="24" s="1"/>
  <c r="DB46" i="24" s="1"/>
  <c r="Z46" i="24"/>
  <c r="BN46" i="24" s="1"/>
  <c r="DC46" i="24" s="1"/>
  <c r="AA46" i="24"/>
  <c r="BO46" i="24" s="1"/>
  <c r="DD46" i="24" s="1"/>
  <c r="AB46" i="24"/>
  <c r="BP46" i="24" s="1"/>
  <c r="DE46" i="24" s="1"/>
  <c r="AC46" i="24"/>
  <c r="BQ46" i="24" s="1"/>
  <c r="DF46" i="24" s="1"/>
  <c r="AD46" i="24"/>
  <c r="BR46" i="24" s="1"/>
  <c r="DG46" i="24" s="1"/>
  <c r="AE46" i="24"/>
  <c r="BS46" i="24" s="1"/>
  <c r="DH46" i="24" s="1"/>
  <c r="AF46" i="24"/>
  <c r="BT46" i="24" s="1"/>
  <c r="DI46" i="24" s="1"/>
  <c r="AG46" i="24"/>
  <c r="BU46" i="24" s="1"/>
  <c r="DJ46" i="24" s="1"/>
  <c r="AH46" i="24"/>
  <c r="BV46" i="24" s="1"/>
  <c r="DK46" i="24" s="1"/>
  <c r="AI46" i="24"/>
  <c r="BW46" i="24" s="1"/>
  <c r="DL46" i="24" s="1"/>
  <c r="AJ46" i="24"/>
  <c r="BX46" i="24" s="1"/>
  <c r="DM46" i="24" s="1"/>
  <c r="AK46" i="24"/>
  <c r="BY46" i="24" s="1"/>
  <c r="DN46" i="24" s="1"/>
  <c r="AL46" i="24"/>
  <c r="BZ46" i="24" s="1"/>
  <c r="DO46" i="24" s="1"/>
  <c r="AM46" i="24"/>
  <c r="CA46" i="24" s="1"/>
  <c r="DP46" i="24" s="1"/>
  <c r="AN46" i="24"/>
  <c r="CB46" i="24" s="1"/>
  <c r="DQ46" i="24" s="1"/>
  <c r="AO46" i="24"/>
  <c r="CC46" i="24" s="1"/>
  <c r="DR46" i="24" s="1"/>
  <c r="AP46" i="24"/>
  <c r="CD46" i="24" s="1"/>
  <c r="DS46" i="24" s="1"/>
  <c r="AQ46" i="24"/>
  <c r="CE46" i="24" s="1"/>
  <c r="DT46" i="24" s="1"/>
  <c r="G47" i="24"/>
  <c r="AU47" i="24" s="1"/>
  <c r="CJ47" i="24" s="1"/>
  <c r="H47" i="24"/>
  <c r="AV47" i="24" s="1"/>
  <c r="CK47" i="24" s="1"/>
  <c r="I47" i="24"/>
  <c r="AW47" i="24" s="1"/>
  <c r="CL47" i="24" s="1"/>
  <c r="J47" i="24"/>
  <c r="AX47" i="24" s="1"/>
  <c r="CM47" i="24" s="1"/>
  <c r="K47" i="24"/>
  <c r="AY47" i="24" s="1"/>
  <c r="CN47" i="24" s="1"/>
  <c r="L47" i="24"/>
  <c r="AZ47" i="24" s="1"/>
  <c r="CO47" i="24" s="1"/>
  <c r="M47" i="24"/>
  <c r="BA47" i="24" s="1"/>
  <c r="CP47" i="24" s="1"/>
  <c r="N47" i="24"/>
  <c r="BB47" i="24" s="1"/>
  <c r="CQ47" i="24" s="1"/>
  <c r="O47" i="24"/>
  <c r="BC47" i="24" s="1"/>
  <c r="CR47" i="24" s="1"/>
  <c r="P47" i="24"/>
  <c r="BD47" i="24" s="1"/>
  <c r="CS47" i="24" s="1"/>
  <c r="Q47" i="24"/>
  <c r="BE47" i="24" s="1"/>
  <c r="CT47" i="24" s="1"/>
  <c r="R47" i="24"/>
  <c r="BF47" i="24" s="1"/>
  <c r="CU47" i="24" s="1"/>
  <c r="S47" i="24"/>
  <c r="BG47" i="24" s="1"/>
  <c r="CV47" i="24" s="1"/>
  <c r="T47" i="24"/>
  <c r="BH47" i="24" s="1"/>
  <c r="CW47" i="24" s="1"/>
  <c r="U47" i="24"/>
  <c r="BI47" i="24" s="1"/>
  <c r="CX47" i="24" s="1"/>
  <c r="V47" i="24"/>
  <c r="BJ47" i="24" s="1"/>
  <c r="CY47" i="24" s="1"/>
  <c r="W47" i="24"/>
  <c r="BK47" i="24" s="1"/>
  <c r="CZ47" i="24" s="1"/>
  <c r="X47" i="24"/>
  <c r="BL47" i="24" s="1"/>
  <c r="DA47" i="24" s="1"/>
  <c r="Y47" i="24"/>
  <c r="BM47" i="24" s="1"/>
  <c r="DB47" i="24" s="1"/>
  <c r="Z47" i="24"/>
  <c r="BN47" i="24" s="1"/>
  <c r="DC47" i="24" s="1"/>
  <c r="AA47" i="24"/>
  <c r="BO47" i="24" s="1"/>
  <c r="DD47" i="24" s="1"/>
  <c r="AB47" i="24"/>
  <c r="BP47" i="24" s="1"/>
  <c r="DE47" i="24" s="1"/>
  <c r="AC47" i="24"/>
  <c r="BQ47" i="24" s="1"/>
  <c r="DF47" i="24" s="1"/>
  <c r="AD47" i="24"/>
  <c r="BR47" i="24" s="1"/>
  <c r="DG47" i="24" s="1"/>
  <c r="AE47" i="24"/>
  <c r="BS47" i="24" s="1"/>
  <c r="DH47" i="24" s="1"/>
  <c r="AF47" i="24"/>
  <c r="BT47" i="24" s="1"/>
  <c r="DI47" i="24" s="1"/>
  <c r="AG47" i="24"/>
  <c r="BU47" i="24" s="1"/>
  <c r="DJ47" i="24" s="1"/>
  <c r="AH47" i="24"/>
  <c r="BV47" i="24" s="1"/>
  <c r="DK47" i="24" s="1"/>
  <c r="AI47" i="24"/>
  <c r="BW47" i="24" s="1"/>
  <c r="DL47" i="24" s="1"/>
  <c r="AJ47" i="24"/>
  <c r="BX47" i="24" s="1"/>
  <c r="DM47" i="24" s="1"/>
  <c r="AK47" i="24"/>
  <c r="BY47" i="24" s="1"/>
  <c r="DN47" i="24" s="1"/>
  <c r="AL47" i="24"/>
  <c r="BZ47" i="24" s="1"/>
  <c r="DO47" i="24" s="1"/>
  <c r="AM47" i="24"/>
  <c r="CA47" i="24" s="1"/>
  <c r="DP47" i="24" s="1"/>
  <c r="AN47" i="24"/>
  <c r="CB47" i="24" s="1"/>
  <c r="DQ47" i="24" s="1"/>
  <c r="AO47" i="24"/>
  <c r="CC47" i="24" s="1"/>
  <c r="DR47" i="24" s="1"/>
  <c r="AP47" i="24"/>
  <c r="CD47" i="24" s="1"/>
  <c r="DS47" i="24" s="1"/>
  <c r="AQ47" i="24"/>
  <c r="CE47" i="24" s="1"/>
  <c r="DT47" i="24" s="1"/>
  <c r="G48" i="24"/>
  <c r="AU48" i="24" s="1"/>
  <c r="CJ48" i="24" s="1"/>
  <c r="H48" i="24"/>
  <c r="AV48" i="24" s="1"/>
  <c r="CK48" i="24" s="1"/>
  <c r="I48" i="24"/>
  <c r="AW48" i="24" s="1"/>
  <c r="CL48" i="24" s="1"/>
  <c r="J48" i="24"/>
  <c r="AX48" i="24" s="1"/>
  <c r="CM48" i="24" s="1"/>
  <c r="K48" i="24"/>
  <c r="AY48" i="24" s="1"/>
  <c r="CN48" i="24" s="1"/>
  <c r="L48" i="24"/>
  <c r="AZ48" i="24" s="1"/>
  <c r="CO48" i="24" s="1"/>
  <c r="M48" i="24"/>
  <c r="BA48" i="24" s="1"/>
  <c r="CP48" i="24" s="1"/>
  <c r="N48" i="24"/>
  <c r="BB48" i="24" s="1"/>
  <c r="CQ48" i="24" s="1"/>
  <c r="O48" i="24"/>
  <c r="BC48" i="24" s="1"/>
  <c r="CR48" i="24" s="1"/>
  <c r="P48" i="24"/>
  <c r="BD48" i="24" s="1"/>
  <c r="CS48" i="24" s="1"/>
  <c r="Q48" i="24"/>
  <c r="BE48" i="24" s="1"/>
  <c r="CT48" i="24" s="1"/>
  <c r="R48" i="24"/>
  <c r="BF48" i="24" s="1"/>
  <c r="CU48" i="24" s="1"/>
  <c r="S48" i="24"/>
  <c r="BG48" i="24" s="1"/>
  <c r="CV48" i="24" s="1"/>
  <c r="T48" i="24"/>
  <c r="BH48" i="24" s="1"/>
  <c r="CW48" i="24" s="1"/>
  <c r="U48" i="24"/>
  <c r="BI48" i="24" s="1"/>
  <c r="CX48" i="24" s="1"/>
  <c r="V48" i="24"/>
  <c r="BJ48" i="24" s="1"/>
  <c r="CY48" i="24" s="1"/>
  <c r="W48" i="24"/>
  <c r="BK48" i="24" s="1"/>
  <c r="CZ48" i="24" s="1"/>
  <c r="X48" i="24"/>
  <c r="BL48" i="24" s="1"/>
  <c r="DA48" i="24" s="1"/>
  <c r="Y48" i="24"/>
  <c r="BM48" i="24" s="1"/>
  <c r="DB48" i="24" s="1"/>
  <c r="Z48" i="24"/>
  <c r="BN48" i="24" s="1"/>
  <c r="DC48" i="24" s="1"/>
  <c r="AA48" i="24"/>
  <c r="BO48" i="24" s="1"/>
  <c r="DD48" i="24" s="1"/>
  <c r="AB48" i="24"/>
  <c r="BP48" i="24" s="1"/>
  <c r="DE48" i="24" s="1"/>
  <c r="AC48" i="24"/>
  <c r="BQ48" i="24" s="1"/>
  <c r="DF48" i="24" s="1"/>
  <c r="AD48" i="24"/>
  <c r="BR48" i="24" s="1"/>
  <c r="DG48" i="24" s="1"/>
  <c r="AE48" i="24"/>
  <c r="BS48" i="24" s="1"/>
  <c r="DH48" i="24" s="1"/>
  <c r="AF48" i="24"/>
  <c r="BT48" i="24" s="1"/>
  <c r="DI48" i="24" s="1"/>
  <c r="AG48" i="24"/>
  <c r="BU48" i="24" s="1"/>
  <c r="DJ48" i="24" s="1"/>
  <c r="AH48" i="24"/>
  <c r="BV48" i="24" s="1"/>
  <c r="DK48" i="24" s="1"/>
  <c r="AI48" i="24"/>
  <c r="BW48" i="24" s="1"/>
  <c r="DL48" i="24" s="1"/>
  <c r="AJ48" i="24"/>
  <c r="BX48" i="24" s="1"/>
  <c r="DM48" i="24" s="1"/>
  <c r="AK48" i="24"/>
  <c r="BY48" i="24" s="1"/>
  <c r="DN48" i="24" s="1"/>
  <c r="AL48" i="24"/>
  <c r="BZ48" i="24" s="1"/>
  <c r="DO48" i="24" s="1"/>
  <c r="AM48" i="24"/>
  <c r="CA48" i="24" s="1"/>
  <c r="DP48" i="24" s="1"/>
  <c r="AN48" i="24"/>
  <c r="CB48" i="24" s="1"/>
  <c r="DQ48" i="24" s="1"/>
  <c r="AO48" i="24"/>
  <c r="CC48" i="24" s="1"/>
  <c r="DR48" i="24" s="1"/>
  <c r="AP48" i="24"/>
  <c r="CD48" i="24" s="1"/>
  <c r="DS48" i="24" s="1"/>
  <c r="AQ48" i="24"/>
  <c r="CE48" i="24" s="1"/>
  <c r="DT48" i="24" s="1"/>
  <c r="G49" i="24"/>
  <c r="AU49" i="24" s="1"/>
  <c r="CJ49" i="24" s="1"/>
  <c r="H49" i="24"/>
  <c r="AV49" i="24" s="1"/>
  <c r="CK49" i="24" s="1"/>
  <c r="I49" i="24"/>
  <c r="AW49" i="24" s="1"/>
  <c r="CL49" i="24" s="1"/>
  <c r="J49" i="24"/>
  <c r="AX49" i="24" s="1"/>
  <c r="CM49" i="24" s="1"/>
  <c r="K49" i="24"/>
  <c r="AY49" i="24" s="1"/>
  <c r="CN49" i="24" s="1"/>
  <c r="L49" i="24"/>
  <c r="AZ49" i="24" s="1"/>
  <c r="CO49" i="24" s="1"/>
  <c r="M49" i="24"/>
  <c r="BA49" i="24" s="1"/>
  <c r="CP49" i="24" s="1"/>
  <c r="N49" i="24"/>
  <c r="BB49" i="24" s="1"/>
  <c r="CQ49" i="24" s="1"/>
  <c r="O49" i="24"/>
  <c r="BC49" i="24" s="1"/>
  <c r="CR49" i="24" s="1"/>
  <c r="P49" i="24"/>
  <c r="BD49" i="24" s="1"/>
  <c r="CS49" i="24" s="1"/>
  <c r="Q49" i="24"/>
  <c r="BE49" i="24" s="1"/>
  <c r="CT49" i="24" s="1"/>
  <c r="R49" i="24"/>
  <c r="BF49" i="24" s="1"/>
  <c r="CU49" i="24" s="1"/>
  <c r="S49" i="24"/>
  <c r="BG49" i="24" s="1"/>
  <c r="CV49" i="24" s="1"/>
  <c r="T49" i="24"/>
  <c r="BH49" i="24" s="1"/>
  <c r="CW49" i="24" s="1"/>
  <c r="U49" i="24"/>
  <c r="BI49" i="24" s="1"/>
  <c r="CX49" i="24" s="1"/>
  <c r="V49" i="24"/>
  <c r="BJ49" i="24" s="1"/>
  <c r="CY49" i="24" s="1"/>
  <c r="W49" i="24"/>
  <c r="BK49" i="24" s="1"/>
  <c r="CZ49" i="24" s="1"/>
  <c r="X49" i="24"/>
  <c r="BL49" i="24" s="1"/>
  <c r="DA49" i="24" s="1"/>
  <c r="Y49" i="24"/>
  <c r="BM49" i="24" s="1"/>
  <c r="DB49" i="24" s="1"/>
  <c r="Z49" i="24"/>
  <c r="BN49" i="24" s="1"/>
  <c r="DC49" i="24" s="1"/>
  <c r="AA49" i="24"/>
  <c r="BO49" i="24" s="1"/>
  <c r="DD49" i="24" s="1"/>
  <c r="AB49" i="24"/>
  <c r="BP49" i="24" s="1"/>
  <c r="DE49" i="24" s="1"/>
  <c r="AC49" i="24"/>
  <c r="BQ49" i="24" s="1"/>
  <c r="DF49" i="24" s="1"/>
  <c r="AD49" i="24"/>
  <c r="BR49" i="24" s="1"/>
  <c r="DG49" i="24" s="1"/>
  <c r="AE49" i="24"/>
  <c r="BS49" i="24" s="1"/>
  <c r="DH49" i="24" s="1"/>
  <c r="AF49" i="24"/>
  <c r="BT49" i="24" s="1"/>
  <c r="DI49" i="24" s="1"/>
  <c r="AG49" i="24"/>
  <c r="BU49" i="24" s="1"/>
  <c r="DJ49" i="24" s="1"/>
  <c r="AH49" i="24"/>
  <c r="BV49" i="24" s="1"/>
  <c r="DK49" i="24" s="1"/>
  <c r="AI49" i="24"/>
  <c r="BW49" i="24" s="1"/>
  <c r="DL49" i="24" s="1"/>
  <c r="AJ49" i="24"/>
  <c r="BX49" i="24" s="1"/>
  <c r="DM49" i="24" s="1"/>
  <c r="AK49" i="24"/>
  <c r="BY49" i="24" s="1"/>
  <c r="DN49" i="24" s="1"/>
  <c r="AL49" i="24"/>
  <c r="BZ49" i="24" s="1"/>
  <c r="DO49" i="24" s="1"/>
  <c r="AM49" i="24"/>
  <c r="CA49" i="24" s="1"/>
  <c r="DP49" i="24" s="1"/>
  <c r="AN49" i="24"/>
  <c r="CB49" i="24" s="1"/>
  <c r="DQ49" i="24" s="1"/>
  <c r="AO49" i="24"/>
  <c r="CC49" i="24" s="1"/>
  <c r="DR49" i="24" s="1"/>
  <c r="AP49" i="24"/>
  <c r="CD49" i="24" s="1"/>
  <c r="DS49" i="24" s="1"/>
  <c r="AQ49" i="24"/>
  <c r="CE49" i="24" s="1"/>
  <c r="DT49" i="24" s="1"/>
  <c r="G50" i="24"/>
  <c r="AU50" i="24" s="1"/>
  <c r="CJ50" i="24" s="1"/>
  <c r="H50" i="24"/>
  <c r="AV50" i="24" s="1"/>
  <c r="CK50" i="24" s="1"/>
  <c r="I50" i="24"/>
  <c r="AW50" i="24" s="1"/>
  <c r="CL50" i="24" s="1"/>
  <c r="J50" i="24"/>
  <c r="AX50" i="24" s="1"/>
  <c r="CM50" i="24" s="1"/>
  <c r="K50" i="24"/>
  <c r="AY50" i="24" s="1"/>
  <c r="CN50" i="24" s="1"/>
  <c r="L50" i="24"/>
  <c r="AZ50" i="24" s="1"/>
  <c r="CO50" i="24" s="1"/>
  <c r="M50" i="24"/>
  <c r="BA50" i="24" s="1"/>
  <c r="CP50" i="24" s="1"/>
  <c r="N50" i="24"/>
  <c r="BB50" i="24" s="1"/>
  <c r="CQ50" i="24" s="1"/>
  <c r="O50" i="24"/>
  <c r="BC50" i="24" s="1"/>
  <c r="CR50" i="24" s="1"/>
  <c r="P50" i="24"/>
  <c r="BD50" i="24" s="1"/>
  <c r="CS50" i="24" s="1"/>
  <c r="Q50" i="24"/>
  <c r="BE50" i="24" s="1"/>
  <c r="CT50" i="24" s="1"/>
  <c r="R50" i="24"/>
  <c r="BF50" i="24" s="1"/>
  <c r="CU50" i="24" s="1"/>
  <c r="S50" i="24"/>
  <c r="BG50" i="24" s="1"/>
  <c r="CV50" i="24" s="1"/>
  <c r="T50" i="24"/>
  <c r="BH50" i="24" s="1"/>
  <c r="CW50" i="24" s="1"/>
  <c r="U50" i="24"/>
  <c r="BI50" i="24" s="1"/>
  <c r="CX50" i="24" s="1"/>
  <c r="V50" i="24"/>
  <c r="BJ50" i="24" s="1"/>
  <c r="CY50" i="24" s="1"/>
  <c r="W50" i="24"/>
  <c r="BK50" i="24" s="1"/>
  <c r="CZ50" i="24" s="1"/>
  <c r="X50" i="24"/>
  <c r="BL50" i="24" s="1"/>
  <c r="DA50" i="24" s="1"/>
  <c r="Y50" i="24"/>
  <c r="BM50" i="24" s="1"/>
  <c r="DB50" i="24" s="1"/>
  <c r="Z50" i="24"/>
  <c r="BN50" i="24" s="1"/>
  <c r="DC50" i="24" s="1"/>
  <c r="AA50" i="24"/>
  <c r="BO50" i="24" s="1"/>
  <c r="DD50" i="24" s="1"/>
  <c r="AB50" i="24"/>
  <c r="BP50" i="24" s="1"/>
  <c r="DE50" i="24" s="1"/>
  <c r="AC50" i="24"/>
  <c r="BQ50" i="24" s="1"/>
  <c r="DF50" i="24" s="1"/>
  <c r="AD50" i="24"/>
  <c r="BR50" i="24" s="1"/>
  <c r="DG50" i="24" s="1"/>
  <c r="AE50" i="24"/>
  <c r="BS50" i="24" s="1"/>
  <c r="DH50" i="24" s="1"/>
  <c r="AF50" i="24"/>
  <c r="BT50" i="24" s="1"/>
  <c r="DI50" i="24" s="1"/>
  <c r="AG50" i="24"/>
  <c r="BU50" i="24" s="1"/>
  <c r="DJ50" i="24" s="1"/>
  <c r="AH50" i="24"/>
  <c r="BV50" i="24" s="1"/>
  <c r="DK50" i="24" s="1"/>
  <c r="AI50" i="24"/>
  <c r="BW50" i="24" s="1"/>
  <c r="DL50" i="24" s="1"/>
  <c r="AJ50" i="24"/>
  <c r="BX50" i="24" s="1"/>
  <c r="DM50" i="24" s="1"/>
  <c r="AK50" i="24"/>
  <c r="BY50" i="24" s="1"/>
  <c r="DN50" i="24" s="1"/>
  <c r="AL50" i="24"/>
  <c r="BZ50" i="24" s="1"/>
  <c r="DO50" i="24" s="1"/>
  <c r="AM50" i="24"/>
  <c r="CA50" i="24" s="1"/>
  <c r="DP50" i="24" s="1"/>
  <c r="AN50" i="24"/>
  <c r="CB50" i="24" s="1"/>
  <c r="DQ50" i="24" s="1"/>
  <c r="AO50" i="24"/>
  <c r="CC50" i="24" s="1"/>
  <c r="DR50" i="24" s="1"/>
  <c r="AP50" i="24"/>
  <c r="CD50" i="24" s="1"/>
  <c r="DS50" i="24" s="1"/>
  <c r="AQ50" i="24"/>
  <c r="CE50" i="24" s="1"/>
  <c r="DT50" i="24" s="1"/>
  <c r="G51" i="24"/>
  <c r="AU51" i="24" s="1"/>
  <c r="CJ51" i="24" s="1"/>
  <c r="H51" i="24"/>
  <c r="AV51" i="24" s="1"/>
  <c r="CK51" i="24" s="1"/>
  <c r="I51" i="24"/>
  <c r="AW51" i="24" s="1"/>
  <c r="CL51" i="24" s="1"/>
  <c r="J51" i="24"/>
  <c r="AX51" i="24" s="1"/>
  <c r="CM51" i="24" s="1"/>
  <c r="K51" i="24"/>
  <c r="AY51" i="24" s="1"/>
  <c r="CN51" i="24" s="1"/>
  <c r="L51" i="24"/>
  <c r="AZ51" i="24" s="1"/>
  <c r="CO51" i="24" s="1"/>
  <c r="M51" i="24"/>
  <c r="BA51" i="24" s="1"/>
  <c r="CP51" i="24" s="1"/>
  <c r="N51" i="24"/>
  <c r="BB51" i="24" s="1"/>
  <c r="CQ51" i="24" s="1"/>
  <c r="O51" i="24"/>
  <c r="BC51" i="24" s="1"/>
  <c r="CR51" i="24" s="1"/>
  <c r="P51" i="24"/>
  <c r="BD51" i="24" s="1"/>
  <c r="CS51" i="24" s="1"/>
  <c r="Q51" i="24"/>
  <c r="BE51" i="24" s="1"/>
  <c r="CT51" i="24" s="1"/>
  <c r="R51" i="24"/>
  <c r="BF51" i="24" s="1"/>
  <c r="CU51" i="24" s="1"/>
  <c r="S51" i="24"/>
  <c r="BG51" i="24" s="1"/>
  <c r="CV51" i="24" s="1"/>
  <c r="T51" i="24"/>
  <c r="BH51" i="24" s="1"/>
  <c r="CW51" i="24" s="1"/>
  <c r="U51" i="24"/>
  <c r="BI51" i="24" s="1"/>
  <c r="CX51" i="24" s="1"/>
  <c r="V51" i="24"/>
  <c r="BJ51" i="24" s="1"/>
  <c r="CY51" i="24" s="1"/>
  <c r="W51" i="24"/>
  <c r="BK51" i="24" s="1"/>
  <c r="CZ51" i="24" s="1"/>
  <c r="X51" i="24"/>
  <c r="BL51" i="24" s="1"/>
  <c r="DA51" i="24" s="1"/>
  <c r="Y51" i="24"/>
  <c r="BM51" i="24" s="1"/>
  <c r="DB51" i="24" s="1"/>
  <c r="Z51" i="24"/>
  <c r="BN51" i="24" s="1"/>
  <c r="DC51" i="24" s="1"/>
  <c r="AA51" i="24"/>
  <c r="BO51" i="24" s="1"/>
  <c r="DD51" i="24" s="1"/>
  <c r="AB51" i="24"/>
  <c r="BP51" i="24" s="1"/>
  <c r="DE51" i="24" s="1"/>
  <c r="AC51" i="24"/>
  <c r="BQ51" i="24" s="1"/>
  <c r="DF51" i="24" s="1"/>
  <c r="AD51" i="24"/>
  <c r="BR51" i="24" s="1"/>
  <c r="DG51" i="24" s="1"/>
  <c r="AE51" i="24"/>
  <c r="BS51" i="24" s="1"/>
  <c r="DH51" i="24" s="1"/>
  <c r="AF51" i="24"/>
  <c r="BT51" i="24" s="1"/>
  <c r="DI51" i="24" s="1"/>
  <c r="AG51" i="24"/>
  <c r="BU51" i="24" s="1"/>
  <c r="DJ51" i="24" s="1"/>
  <c r="AH51" i="24"/>
  <c r="BV51" i="24" s="1"/>
  <c r="DK51" i="24" s="1"/>
  <c r="AI51" i="24"/>
  <c r="BW51" i="24" s="1"/>
  <c r="DL51" i="24" s="1"/>
  <c r="AJ51" i="24"/>
  <c r="BX51" i="24" s="1"/>
  <c r="DM51" i="24" s="1"/>
  <c r="AK51" i="24"/>
  <c r="BY51" i="24" s="1"/>
  <c r="DN51" i="24" s="1"/>
  <c r="AL51" i="24"/>
  <c r="BZ51" i="24" s="1"/>
  <c r="DO51" i="24" s="1"/>
  <c r="AM51" i="24"/>
  <c r="CA51" i="24" s="1"/>
  <c r="DP51" i="24" s="1"/>
  <c r="AN51" i="24"/>
  <c r="CB51" i="24" s="1"/>
  <c r="DQ51" i="24" s="1"/>
  <c r="AO51" i="24"/>
  <c r="CC51" i="24" s="1"/>
  <c r="DR51" i="24" s="1"/>
  <c r="AP51" i="24"/>
  <c r="CD51" i="24" s="1"/>
  <c r="DS51" i="24" s="1"/>
  <c r="AQ51" i="24"/>
  <c r="CE51" i="24" s="1"/>
  <c r="DT51" i="24" s="1"/>
  <c r="G52" i="24"/>
  <c r="AU52" i="24" s="1"/>
  <c r="CJ52" i="24" s="1"/>
  <c r="H52" i="24"/>
  <c r="AV52" i="24" s="1"/>
  <c r="CK52" i="24" s="1"/>
  <c r="I52" i="24"/>
  <c r="AW52" i="24" s="1"/>
  <c r="CL52" i="24" s="1"/>
  <c r="J52" i="24"/>
  <c r="AX52" i="24" s="1"/>
  <c r="CM52" i="24" s="1"/>
  <c r="K52" i="24"/>
  <c r="AY52" i="24" s="1"/>
  <c r="CN52" i="24" s="1"/>
  <c r="L52" i="24"/>
  <c r="AZ52" i="24" s="1"/>
  <c r="CO52" i="24" s="1"/>
  <c r="M52" i="24"/>
  <c r="BA52" i="24" s="1"/>
  <c r="CP52" i="24" s="1"/>
  <c r="N52" i="24"/>
  <c r="BB52" i="24" s="1"/>
  <c r="CQ52" i="24" s="1"/>
  <c r="O52" i="24"/>
  <c r="BC52" i="24" s="1"/>
  <c r="CR52" i="24" s="1"/>
  <c r="P52" i="24"/>
  <c r="BD52" i="24" s="1"/>
  <c r="CS52" i="24" s="1"/>
  <c r="Q52" i="24"/>
  <c r="BE52" i="24" s="1"/>
  <c r="CT52" i="24" s="1"/>
  <c r="R52" i="24"/>
  <c r="BF52" i="24" s="1"/>
  <c r="CU52" i="24" s="1"/>
  <c r="S52" i="24"/>
  <c r="BG52" i="24" s="1"/>
  <c r="CV52" i="24" s="1"/>
  <c r="T52" i="24"/>
  <c r="BH52" i="24" s="1"/>
  <c r="CW52" i="24" s="1"/>
  <c r="U52" i="24"/>
  <c r="BI52" i="24" s="1"/>
  <c r="CX52" i="24" s="1"/>
  <c r="V52" i="24"/>
  <c r="BJ52" i="24" s="1"/>
  <c r="CY52" i="24" s="1"/>
  <c r="W52" i="24"/>
  <c r="BK52" i="24" s="1"/>
  <c r="CZ52" i="24" s="1"/>
  <c r="X52" i="24"/>
  <c r="BL52" i="24" s="1"/>
  <c r="DA52" i="24" s="1"/>
  <c r="Y52" i="24"/>
  <c r="BM52" i="24" s="1"/>
  <c r="DB52" i="24" s="1"/>
  <c r="Z52" i="24"/>
  <c r="BN52" i="24" s="1"/>
  <c r="DC52" i="24" s="1"/>
  <c r="AA52" i="24"/>
  <c r="BO52" i="24" s="1"/>
  <c r="DD52" i="24" s="1"/>
  <c r="AB52" i="24"/>
  <c r="BP52" i="24" s="1"/>
  <c r="DE52" i="24" s="1"/>
  <c r="AC52" i="24"/>
  <c r="BQ52" i="24" s="1"/>
  <c r="DF52" i="24" s="1"/>
  <c r="AD52" i="24"/>
  <c r="BR52" i="24" s="1"/>
  <c r="DG52" i="24" s="1"/>
  <c r="AE52" i="24"/>
  <c r="BS52" i="24" s="1"/>
  <c r="DH52" i="24" s="1"/>
  <c r="AF52" i="24"/>
  <c r="BT52" i="24" s="1"/>
  <c r="DI52" i="24" s="1"/>
  <c r="AG52" i="24"/>
  <c r="BU52" i="24" s="1"/>
  <c r="DJ52" i="24" s="1"/>
  <c r="AH52" i="24"/>
  <c r="BV52" i="24" s="1"/>
  <c r="DK52" i="24" s="1"/>
  <c r="AI52" i="24"/>
  <c r="BW52" i="24" s="1"/>
  <c r="DL52" i="24" s="1"/>
  <c r="AJ52" i="24"/>
  <c r="BX52" i="24" s="1"/>
  <c r="DM52" i="24" s="1"/>
  <c r="AK52" i="24"/>
  <c r="BY52" i="24" s="1"/>
  <c r="DN52" i="24" s="1"/>
  <c r="AL52" i="24"/>
  <c r="BZ52" i="24" s="1"/>
  <c r="DO52" i="24" s="1"/>
  <c r="AM52" i="24"/>
  <c r="CA52" i="24" s="1"/>
  <c r="DP52" i="24" s="1"/>
  <c r="AN52" i="24"/>
  <c r="CB52" i="24" s="1"/>
  <c r="DQ52" i="24" s="1"/>
  <c r="AO52" i="24"/>
  <c r="CC52" i="24" s="1"/>
  <c r="DR52" i="24" s="1"/>
  <c r="AP52" i="24"/>
  <c r="CD52" i="24" s="1"/>
  <c r="DS52" i="24" s="1"/>
  <c r="AQ52" i="24"/>
  <c r="CE52" i="24" s="1"/>
  <c r="DT52" i="24" s="1"/>
  <c r="G53" i="24"/>
  <c r="AU53" i="24" s="1"/>
  <c r="CJ53" i="24" s="1"/>
  <c r="H53" i="24"/>
  <c r="AV53" i="24" s="1"/>
  <c r="CK53" i="24" s="1"/>
  <c r="I53" i="24"/>
  <c r="AW53" i="24" s="1"/>
  <c r="CL53" i="24" s="1"/>
  <c r="J53" i="24"/>
  <c r="AX53" i="24" s="1"/>
  <c r="CM53" i="24" s="1"/>
  <c r="K53" i="24"/>
  <c r="AY53" i="24" s="1"/>
  <c r="CN53" i="24" s="1"/>
  <c r="L53" i="24"/>
  <c r="AZ53" i="24" s="1"/>
  <c r="CO53" i="24" s="1"/>
  <c r="M53" i="24"/>
  <c r="BA53" i="24" s="1"/>
  <c r="CP53" i="24" s="1"/>
  <c r="N53" i="24"/>
  <c r="BB53" i="24" s="1"/>
  <c r="CQ53" i="24" s="1"/>
  <c r="O53" i="24"/>
  <c r="BC53" i="24" s="1"/>
  <c r="CR53" i="24" s="1"/>
  <c r="P53" i="24"/>
  <c r="BD53" i="24" s="1"/>
  <c r="CS53" i="24" s="1"/>
  <c r="Q53" i="24"/>
  <c r="BE53" i="24" s="1"/>
  <c r="CT53" i="24" s="1"/>
  <c r="R53" i="24"/>
  <c r="BF53" i="24" s="1"/>
  <c r="CU53" i="24" s="1"/>
  <c r="S53" i="24"/>
  <c r="BG53" i="24" s="1"/>
  <c r="CV53" i="24" s="1"/>
  <c r="T53" i="24"/>
  <c r="BH53" i="24" s="1"/>
  <c r="CW53" i="24" s="1"/>
  <c r="U53" i="24"/>
  <c r="BI53" i="24" s="1"/>
  <c r="CX53" i="24" s="1"/>
  <c r="V53" i="24"/>
  <c r="BJ53" i="24" s="1"/>
  <c r="CY53" i="24" s="1"/>
  <c r="W53" i="24"/>
  <c r="BK53" i="24" s="1"/>
  <c r="CZ53" i="24" s="1"/>
  <c r="X53" i="24"/>
  <c r="BL53" i="24" s="1"/>
  <c r="DA53" i="24" s="1"/>
  <c r="Y53" i="24"/>
  <c r="BM53" i="24" s="1"/>
  <c r="DB53" i="24" s="1"/>
  <c r="Z53" i="24"/>
  <c r="BN53" i="24" s="1"/>
  <c r="DC53" i="24" s="1"/>
  <c r="AA53" i="24"/>
  <c r="BO53" i="24" s="1"/>
  <c r="DD53" i="24" s="1"/>
  <c r="AB53" i="24"/>
  <c r="BP53" i="24" s="1"/>
  <c r="DE53" i="24" s="1"/>
  <c r="AC53" i="24"/>
  <c r="BQ53" i="24" s="1"/>
  <c r="DF53" i="24" s="1"/>
  <c r="AD53" i="24"/>
  <c r="BR53" i="24" s="1"/>
  <c r="DG53" i="24" s="1"/>
  <c r="AE53" i="24"/>
  <c r="BS53" i="24" s="1"/>
  <c r="DH53" i="24" s="1"/>
  <c r="AF53" i="24"/>
  <c r="BT53" i="24" s="1"/>
  <c r="DI53" i="24" s="1"/>
  <c r="AG53" i="24"/>
  <c r="BU53" i="24" s="1"/>
  <c r="DJ53" i="24" s="1"/>
  <c r="AH53" i="24"/>
  <c r="BV53" i="24" s="1"/>
  <c r="DK53" i="24" s="1"/>
  <c r="AI53" i="24"/>
  <c r="BW53" i="24" s="1"/>
  <c r="DL53" i="24" s="1"/>
  <c r="AJ53" i="24"/>
  <c r="BX53" i="24" s="1"/>
  <c r="DM53" i="24" s="1"/>
  <c r="AK53" i="24"/>
  <c r="BY53" i="24" s="1"/>
  <c r="DN53" i="24" s="1"/>
  <c r="AL53" i="24"/>
  <c r="BZ53" i="24" s="1"/>
  <c r="DO53" i="24" s="1"/>
  <c r="AM53" i="24"/>
  <c r="CA53" i="24" s="1"/>
  <c r="DP53" i="24" s="1"/>
  <c r="AN53" i="24"/>
  <c r="CB53" i="24" s="1"/>
  <c r="DQ53" i="24" s="1"/>
  <c r="AO53" i="24"/>
  <c r="CC53" i="24" s="1"/>
  <c r="DR53" i="24" s="1"/>
  <c r="AP53" i="24"/>
  <c r="CD53" i="24" s="1"/>
  <c r="DS53" i="24" s="1"/>
  <c r="AQ53" i="24"/>
  <c r="CE53" i="24" s="1"/>
  <c r="DT53" i="24" s="1"/>
  <c r="G54" i="24"/>
  <c r="AU54" i="24" s="1"/>
  <c r="CJ54" i="24" s="1"/>
  <c r="H54" i="24"/>
  <c r="AV54" i="24" s="1"/>
  <c r="CK54" i="24" s="1"/>
  <c r="I54" i="24"/>
  <c r="AW54" i="24" s="1"/>
  <c r="CL54" i="24" s="1"/>
  <c r="J54" i="24"/>
  <c r="AX54" i="24" s="1"/>
  <c r="CM54" i="24" s="1"/>
  <c r="K54" i="24"/>
  <c r="AY54" i="24" s="1"/>
  <c r="CN54" i="24" s="1"/>
  <c r="L54" i="24"/>
  <c r="AZ54" i="24" s="1"/>
  <c r="CO54" i="24" s="1"/>
  <c r="M54" i="24"/>
  <c r="BA54" i="24" s="1"/>
  <c r="CP54" i="24" s="1"/>
  <c r="N54" i="24"/>
  <c r="BB54" i="24" s="1"/>
  <c r="CQ54" i="24" s="1"/>
  <c r="O54" i="24"/>
  <c r="BC54" i="24" s="1"/>
  <c r="CR54" i="24" s="1"/>
  <c r="P54" i="24"/>
  <c r="BD54" i="24" s="1"/>
  <c r="CS54" i="24" s="1"/>
  <c r="Q54" i="24"/>
  <c r="BE54" i="24" s="1"/>
  <c r="CT54" i="24" s="1"/>
  <c r="R54" i="24"/>
  <c r="BF54" i="24" s="1"/>
  <c r="CU54" i="24" s="1"/>
  <c r="S54" i="24"/>
  <c r="BG54" i="24" s="1"/>
  <c r="CV54" i="24" s="1"/>
  <c r="T54" i="24"/>
  <c r="BH54" i="24" s="1"/>
  <c r="CW54" i="24" s="1"/>
  <c r="U54" i="24"/>
  <c r="BI54" i="24" s="1"/>
  <c r="CX54" i="24" s="1"/>
  <c r="V54" i="24"/>
  <c r="BJ54" i="24" s="1"/>
  <c r="CY54" i="24" s="1"/>
  <c r="W54" i="24"/>
  <c r="BK54" i="24" s="1"/>
  <c r="CZ54" i="24" s="1"/>
  <c r="X54" i="24"/>
  <c r="BL54" i="24" s="1"/>
  <c r="DA54" i="24" s="1"/>
  <c r="Y54" i="24"/>
  <c r="BM54" i="24" s="1"/>
  <c r="DB54" i="24" s="1"/>
  <c r="Z54" i="24"/>
  <c r="BN54" i="24" s="1"/>
  <c r="DC54" i="24" s="1"/>
  <c r="AA54" i="24"/>
  <c r="BO54" i="24" s="1"/>
  <c r="DD54" i="24" s="1"/>
  <c r="AB54" i="24"/>
  <c r="BP54" i="24" s="1"/>
  <c r="DE54" i="24" s="1"/>
  <c r="AC54" i="24"/>
  <c r="BQ54" i="24" s="1"/>
  <c r="DF54" i="24" s="1"/>
  <c r="AD54" i="24"/>
  <c r="BR54" i="24" s="1"/>
  <c r="DG54" i="24" s="1"/>
  <c r="AE54" i="24"/>
  <c r="BS54" i="24" s="1"/>
  <c r="DH54" i="24" s="1"/>
  <c r="AF54" i="24"/>
  <c r="BT54" i="24" s="1"/>
  <c r="DI54" i="24" s="1"/>
  <c r="AG54" i="24"/>
  <c r="BU54" i="24" s="1"/>
  <c r="DJ54" i="24" s="1"/>
  <c r="AH54" i="24"/>
  <c r="BV54" i="24" s="1"/>
  <c r="DK54" i="24" s="1"/>
  <c r="AI54" i="24"/>
  <c r="BW54" i="24" s="1"/>
  <c r="DL54" i="24" s="1"/>
  <c r="AJ54" i="24"/>
  <c r="BX54" i="24" s="1"/>
  <c r="DM54" i="24" s="1"/>
  <c r="AK54" i="24"/>
  <c r="BY54" i="24" s="1"/>
  <c r="DN54" i="24" s="1"/>
  <c r="AL54" i="24"/>
  <c r="BZ54" i="24" s="1"/>
  <c r="DO54" i="24" s="1"/>
  <c r="AM54" i="24"/>
  <c r="CA54" i="24" s="1"/>
  <c r="DP54" i="24" s="1"/>
  <c r="AN54" i="24"/>
  <c r="CB54" i="24" s="1"/>
  <c r="DQ54" i="24" s="1"/>
  <c r="AO54" i="24"/>
  <c r="CC54" i="24" s="1"/>
  <c r="DR54" i="24" s="1"/>
  <c r="AP54" i="24"/>
  <c r="CD54" i="24" s="1"/>
  <c r="DS54" i="24" s="1"/>
  <c r="AQ54" i="24"/>
  <c r="CE54" i="24" s="1"/>
  <c r="DT54" i="24" s="1"/>
  <c r="G55" i="24"/>
  <c r="AU55" i="24" s="1"/>
  <c r="CJ55" i="24" s="1"/>
  <c r="H55" i="24"/>
  <c r="AV55" i="24" s="1"/>
  <c r="CK55" i="24" s="1"/>
  <c r="I55" i="24"/>
  <c r="AW55" i="24" s="1"/>
  <c r="CL55" i="24" s="1"/>
  <c r="J55" i="24"/>
  <c r="AX55" i="24" s="1"/>
  <c r="CM55" i="24" s="1"/>
  <c r="K55" i="24"/>
  <c r="AY55" i="24" s="1"/>
  <c r="CN55" i="24" s="1"/>
  <c r="L55" i="24"/>
  <c r="AZ55" i="24" s="1"/>
  <c r="CO55" i="24" s="1"/>
  <c r="M55" i="24"/>
  <c r="BA55" i="24" s="1"/>
  <c r="CP55" i="24" s="1"/>
  <c r="N55" i="24"/>
  <c r="BB55" i="24" s="1"/>
  <c r="CQ55" i="24" s="1"/>
  <c r="O55" i="24"/>
  <c r="BC55" i="24" s="1"/>
  <c r="CR55" i="24" s="1"/>
  <c r="P55" i="24"/>
  <c r="BD55" i="24" s="1"/>
  <c r="CS55" i="24" s="1"/>
  <c r="Q55" i="24"/>
  <c r="BE55" i="24" s="1"/>
  <c r="CT55" i="24" s="1"/>
  <c r="R55" i="24"/>
  <c r="BF55" i="24" s="1"/>
  <c r="CU55" i="24" s="1"/>
  <c r="S55" i="24"/>
  <c r="BG55" i="24" s="1"/>
  <c r="CV55" i="24" s="1"/>
  <c r="T55" i="24"/>
  <c r="BH55" i="24" s="1"/>
  <c r="CW55" i="24" s="1"/>
  <c r="U55" i="24"/>
  <c r="BI55" i="24" s="1"/>
  <c r="CX55" i="24" s="1"/>
  <c r="V55" i="24"/>
  <c r="BJ55" i="24" s="1"/>
  <c r="CY55" i="24" s="1"/>
  <c r="W55" i="24"/>
  <c r="BK55" i="24" s="1"/>
  <c r="CZ55" i="24" s="1"/>
  <c r="X55" i="24"/>
  <c r="BL55" i="24" s="1"/>
  <c r="DA55" i="24" s="1"/>
  <c r="Y55" i="24"/>
  <c r="BM55" i="24" s="1"/>
  <c r="DB55" i="24" s="1"/>
  <c r="Z55" i="24"/>
  <c r="BN55" i="24" s="1"/>
  <c r="DC55" i="24" s="1"/>
  <c r="AA55" i="24"/>
  <c r="BO55" i="24" s="1"/>
  <c r="DD55" i="24" s="1"/>
  <c r="AB55" i="24"/>
  <c r="BP55" i="24" s="1"/>
  <c r="DE55" i="24" s="1"/>
  <c r="AC55" i="24"/>
  <c r="BQ55" i="24" s="1"/>
  <c r="DF55" i="24" s="1"/>
  <c r="AD55" i="24"/>
  <c r="BR55" i="24" s="1"/>
  <c r="DG55" i="24" s="1"/>
  <c r="AE55" i="24"/>
  <c r="BS55" i="24" s="1"/>
  <c r="DH55" i="24" s="1"/>
  <c r="AF55" i="24"/>
  <c r="BT55" i="24" s="1"/>
  <c r="DI55" i="24" s="1"/>
  <c r="AG55" i="24"/>
  <c r="BU55" i="24" s="1"/>
  <c r="DJ55" i="24" s="1"/>
  <c r="AH55" i="24"/>
  <c r="BV55" i="24" s="1"/>
  <c r="DK55" i="24" s="1"/>
  <c r="AI55" i="24"/>
  <c r="BW55" i="24" s="1"/>
  <c r="DL55" i="24" s="1"/>
  <c r="AJ55" i="24"/>
  <c r="BX55" i="24" s="1"/>
  <c r="DM55" i="24" s="1"/>
  <c r="AK55" i="24"/>
  <c r="BY55" i="24" s="1"/>
  <c r="DN55" i="24" s="1"/>
  <c r="AL55" i="24"/>
  <c r="BZ55" i="24" s="1"/>
  <c r="DO55" i="24" s="1"/>
  <c r="AM55" i="24"/>
  <c r="CA55" i="24" s="1"/>
  <c r="DP55" i="24" s="1"/>
  <c r="AN55" i="24"/>
  <c r="CB55" i="24" s="1"/>
  <c r="DQ55" i="24" s="1"/>
  <c r="AO55" i="24"/>
  <c r="CC55" i="24" s="1"/>
  <c r="DR55" i="24" s="1"/>
  <c r="AP55" i="24"/>
  <c r="CD55" i="24" s="1"/>
  <c r="DS55" i="24" s="1"/>
  <c r="AQ55" i="24"/>
  <c r="CE55" i="24" s="1"/>
  <c r="DT55" i="24" s="1"/>
  <c r="G56" i="24"/>
  <c r="AU56" i="24" s="1"/>
  <c r="CJ56" i="24" s="1"/>
  <c r="H56" i="24"/>
  <c r="AV56" i="24" s="1"/>
  <c r="CK56" i="24" s="1"/>
  <c r="I56" i="24"/>
  <c r="AW56" i="24" s="1"/>
  <c r="CL56" i="24" s="1"/>
  <c r="J56" i="24"/>
  <c r="AX56" i="24" s="1"/>
  <c r="CM56" i="24" s="1"/>
  <c r="K56" i="24"/>
  <c r="AY56" i="24" s="1"/>
  <c r="CN56" i="24" s="1"/>
  <c r="L56" i="24"/>
  <c r="AZ56" i="24" s="1"/>
  <c r="CO56" i="24" s="1"/>
  <c r="M56" i="24"/>
  <c r="BA56" i="24" s="1"/>
  <c r="CP56" i="24" s="1"/>
  <c r="N56" i="24"/>
  <c r="BB56" i="24" s="1"/>
  <c r="CQ56" i="24" s="1"/>
  <c r="O56" i="24"/>
  <c r="BC56" i="24" s="1"/>
  <c r="CR56" i="24" s="1"/>
  <c r="P56" i="24"/>
  <c r="BD56" i="24" s="1"/>
  <c r="CS56" i="24" s="1"/>
  <c r="Q56" i="24"/>
  <c r="BE56" i="24" s="1"/>
  <c r="CT56" i="24" s="1"/>
  <c r="R56" i="24"/>
  <c r="BF56" i="24" s="1"/>
  <c r="CU56" i="24" s="1"/>
  <c r="S56" i="24"/>
  <c r="BG56" i="24" s="1"/>
  <c r="CV56" i="24" s="1"/>
  <c r="T56" i="24"/>
  <c r="BH56" i="24" s="1"/>
  <c r="CW56" i="24" s="1"/>
  <c r="U56" i="24"/>
  <c r="BI56" i="24" s="1"/>
  <c r="CX56" i="24" s="1"/>
  <c r="V56" i="24"/>
  <c r="BJ56" i="24" s="1"/>
  <c r="CY56" i="24" s="1"/>
  <c r="W56" i="24"/>
  <c r="BK56" i="24" s="1"/>
  <c r="CZ56" i="24" s="1"/>
  <c r="X56" i="24"/>
  <c r="BL56" i="24" s="1"/>
  <c r="DA56" i="24" s="1"/>
  <c r="Y56" i="24"/>
  <c r="BM56" i="24" s="1"/>
  <c r="DB56" i="24" s="1"/>
  <c r="Z56" i="24"/>
  <c r="BN56" i="24" s="1"/>
  <c r="DC56" i="24" s="1"/>
  <c r="AA56" i="24"/>
  <c r="BO56" i="24" s="1"/>
  <c r="DD56" i="24" s="1"/>
  <c r="AB56" i="24"/>
  <c r="BP56" i="24" s="1"/>
  <c r="DE56" i="24" s="1"/>
  <c r="AC56" i="24"/>
  <c r="BQ56" i="24" s="1"/>
  <c r="DF56" i="24" s="1"/>
  <c r="AD56" i="24"/>
  <c r="BR56" i="24" s="1"/>
  <c r="DG56" i="24" s="1"/>
  <c r="AE56" i="24"/>
  <c r="BS56" i="24" s="1"/>
  <c r="DH56" i="24" s="1"/>
  <c r="AF56" i="24"/>
  <c r="BT56" i="24" s="1"/>
  <c r="DI56" i="24" s="1"/>
  <c r="AG56" i="24"/>
  <c r="BU56" i="24" s="1"/>
  <c r="DJ56" i="24" s="1"/>
  <c r="AH56" i="24"/>
  <c r="BV56" i="24" s="1"/>
  <c r="DK56" i="24" s="1"/>
  <c r="AI56" i="24"/>
  <c r="BW56" i="24" s="1"/>
  <c r="DL56" i="24" s="1"/>
  <c r="AJ56" i="24"/>
  <c r="BX56" i="24" s="1"/>
  <c r="DM56" i="24" s="1"/>
  <c r="AK56" i="24"/>
  <c r="BY56" i="24" s="1"/>
  <c r="DN56" i="24" s="1"/>
  <c r="AL56" i="24"/>
  <c r="BZ56" i="24" s="1"/>
  <c r="DO56" i="24" s="1"/>
  <c r="AM56" i="24"/>
  <c r="CA56" i="24" s="1"/>
  <c r="DP56" i="24" s="1"/>
  <c r="AN56" i="24"/>
  <c r="CB56" i="24" s="1"/>
  <c r="DQ56" i="24" s="1"/>
  <c r="AO56" i="24"/>
  <c r="CC56" i="24" s="1"/>
  <c r="DR56" i="24" s="1"/>
  <c r="AP56" i="24"/>
  <c r="CD56" i="24" s="1"/>
  <c r="DS56" i="24" s="1"/>
  <c r="AQ56" i="24"/>
  <c r="CE56" i="24" s="1"/>
  <c r="DT56" i="24" s="1"/>
  <c r="G57" i="24"/>
  <c r="AU57" i="24" s="1"/>
  <c r="CJ57" i="24" s="1"/>
  <c r="H57" i="24"/>
  <c r="AV57" i="24" s="1"/>
  <c r="CK57" i="24" s="1"/>
  <c r="I57" i="24"/>
  <c r="AW57" i="24" s="1"/>
  <c r="CL57" i="24" s="1"/>
  <c r="J57" i="24"/>
  <c r="AX57" i="24" s="1"/>
  <c r="CM57" i="24" s="1"/>
  <c r="K57" i="24"/>
  <c r="AY57" i="24" s="1"/>
  <c r="CN57" i="24" s="1"/>
  <c r="L57" i="24"/>
  <c r="AZ57" i="24" s="1"/>
  <c r="CO57" i="24" s="1"/>
  <c r="M57" i="24"/>
  <c r="BA57" i="24" s="1"/>
  <c r="CP57" i="24" s="1"/>
  <c r="N57" i="24"/>
  <c r="BB57" i="24" s="1"/>
  <c r="CQ57" i="24" s="1"/>
  <c r="O57" i="24"/>
  <c r="BC57" i="24" s="1"/>
  <c r="CR57" i="24" s="1"/>
  <c r="P57" i="24"/>
  <c r="BD57" i="24" s="1"/>
  <c r="CS57" i="24" s="1"/>
  <c r="Q57" i="24"/>
  <c r="BE57" i="24" s="1"/>
  <c r="CT57" i="24" s="1"/>
  <c r="R57" i="24"/>
  <c r="BF57" i="24" s="1"/>
  <c r="CU57" i="24" s="1"/>
  <c r="S57" i="24"/>
  <c r="BG57" i="24" s="1"/>
  <c r="CV57" i="24" s="1"/>
  <c r="T57" i="24"/>
  <c r="BH57" i="24" s="1"/>
  <c r="CW57" i="24" s="1"/>
  <c r="U57" i="24"/>
  <c r="BI57" i="24" s="1"/>
  <c r="CX57" i="24" s="1"/>
  <c r="V57" i="24"/>
  <c r="BJ57" i="24" s="1"/>
  <c r="CY57" i="24" s="1"/>
  <c r="W57" i="24"/>
  <c r="BK57" i="24" s="1"/>
  <c r="CZ57" i="24" s="1"/>
  <c r="X57" i="24"/>
  <c r="BL57" i="24" s="1"/>
  <c r="DA57" i="24" s="1"/>
  <c r="Y57" i="24"/>
  <c r="BM57" i="24" s="1"/>
  <c r="DB57" i="24" s="1"/>
  <c r="Z57" i="24"/>
  <c r="BN57" i="24" s="1"/>
  <c r="DC57" i="24" s="1"/>
  <c r="AA57" i="24"/>
  <c r="BO57" i="24" s="1"/>
  <c r="DD57" i="24" s="1"/>
  <c r="AB57" i="24"/>
  <c r="BP57" i="24" s="1"/>
  <c r="DE57" i="24" s="1"/>
  <c r="AC57" i="24"/>
  <c r="BQ57" i="24" s="1"/>
  <c r="DF57" i="24" s="1"/>
  <c r="AD57" i="24"/>
  <c r="BR57" i="24" s="1"/>
  <c r="DG57" i="24" s="1"/>
  <c r="AE57" i="24"/>
  <c r="BS57" i="24" s="1"/>
  <c r="DH57" i="24" s="1"/>
  <c r="AF57" i="24"/>
  <c r="BT57" i="24" s="1"/>
  <c r="DI57" i="24" s="1"/>
  <c r="AG57" i="24"/>
  <c r="BU57" i="24" s="1"/>
  <c r="DJ57" i="24" s="1"/>
  <c r="AH57" i="24"/>
  <c r="BV57" i="24" s="1"/>
  <c r="DK57" i="24" s="1"/>
  <c r="AI57" i="24"/>
  <c r="BW57" i="24" s="1"/>
  <c r="DL57" i="24" s="1"/>
  <c r="AJ57" i="24"/>
  <c r="BX57" i="24" s="1"/>
  <c r="DM57" i="24" s="1"/>
  <c r="AK57" i="24"/>
  <c r="BY57" i="24" s="1"/>
  <c r="DN57" i="24" s="1"/>
  <c r="AL57" i="24"/>
  <c r="BZ57" i="24" s="1"/>
  <c r="DO57" i="24" s="1"/>
  <c r="AM57" i="24"/>
  <c r="CA57" i="24" s="1"/>
  <c r="DP57" i="24" s="1"/>
  <c r="AN57" i="24"/>
  <c r="CB57" i="24" s="1"/>
  <c r="DQ57" i="24" s="1"/>
  <c r="AO57" i="24"/>
  <c r="CC57" i="24" s="1"/>
  <c r="DR57" i="24" s="1"/>
  <c r="AP57" i="24"/>
  <c r="CD57" i="24" s="1"/>
  <c r="DS57" i="24" s="1"/>
  <c r="AQ57" i="24"/>
  <c r="CE57" i="24" s="1"/>
  <c r="DT57" i="24" s="1"/>
  <c r="G58" i="24"/>
  <c r="AU58" i="24" s="1"/>
  <c r="CJ58" i="24" s="1"/>
  <c r="H58" i="24"/>
  <c r="AV58" i="24" s="1"/>
  <c r="CK58" i="24" s="1"/>
  <c r="I58" i="24"/>
  <c r="AW58" i="24" s="1"/>
  <c r="CL58" i="24" s="1"/>
  <c r="J58" i="24"/>
  <c r="AX58" i="24" s="1"/>
  <c r="CM58" i="24" s="1"/>
  <c r="K58" i="24"/>
  <c r="AY58" i="24" s="1"/>
  <c r="CN58" i="24" s="1"/>
  <c r="L58" i="24"/>
  <c r="AZ58" i="24" s="1"/>
  <c r="CO58" i="24" s="1"/>
  <c r="M58" i="24"/>
  <c r="BA58" i="24" s="1"/>
  <c r="CP58" i="24" s="1"/>
  <c r="N58" i="24"/>
  <c r="BB58" i="24" s="1"/>
  <c r="CQ58" i="24" s="1"/>
  <c r="O58" i="24"/>
  <c r="BC58" i="24" s="1"/>
  <c r="CR58" i="24" s="1"/>
  <c r="P58" i="24"/>
  <c r="BD58" i="24" s="1"/>
  <c r="CS58" i="24" s="1"/>
  <c r="Q58" i="24"/>
  <c r="BE58" i="24" s="1"/>
  <c r="CT58" i="24" s="1"/>
  <c r="R58" i="24"/>
  <c r="BF58" i="24" s="1"/>
  <c r="CU58" i="24" s="1"/>
  <c r="S58" i="24"/>
  <c r="BG58" i="24" s="1"/>
  <c r="CV58" i="24" s="1"/>
  <c r="T58" i="24"/>
  <c r="BH58" i="24" s="1"/>
  <c r="CW58" i="24" s="1"/>
  <c r="U58" i="24"/>
  <c r="BI58" i="24" s="1"/>
  <c r="CX58" i="24" s="1"/>
  <c r="V58" i="24"/>
  <c r="BJ58" i="24" s="1"/>
  <c r="CY58" i="24" s="1"/>
  <c r="W58" i="24"/>
  <c r="BK58" i="24" s="1"/>
  <c r="CZ58" i="24" s="1"/>
  <c r="X58" i="24"/>
  <c r="BL58" i="24" s="1"/>
  <c r="DA58" i="24" s="1"/>
  <c r="Y58" i="24"/>
  <c r="BM58" i="24" s="1"/>
  <c r="DB58" i="24" s="1"/>
  <c r="Z58" i="24"/>
  <c r="BN58" i="24" s="1"/>
  <c r="DC58" i="24" s="1"/>
  <c r="AA58" i="24"/>
  <c r="BO58" i="24" s="1"/>
  <c r="DD58" i="24" s="1"/>
  <c r="AB58" i="24"/>
  <c r="BP58" i="24" s="1"/>
  <c r="DE58" i="24" s="1"/>
  <c r="AC58" i="24"/>
  <c r="BQ58" i="24" s="1"/>
  <c r="DF58" i="24" s="1"/>
  <c r="AD58" i="24"/>
  <c r="BR58" i="24" s="1"/>
  <c r="DG58" i="24" s="1"/>
  <c r="AE58" i="24"/>
  <c r="BS58" i="24" s="1"/>
  <c r="DH58" i="24" s="1"/>
  <c r="AF58" i="24"/>
  <c r="BT58" i="24" s="1"/>
  <c r="DI58" i="24" s="1"/>
  <c r="AG58" i="24"/>
  <c r="BU58" i="24" s="1"/>
  <c r="DJ58" i="24" s="1"/>
  <c r="AH58" i="24"/>
  <c r="BV58" i="24" s="1"/>
  <c r="DK58" i="24" s="1"/>
  <c r="AI58" i="24"/>
  <c r="BW58" i="24" s="1"/>
  <c r="DL58" i="24" s="1"/>
  <c r="AJ58" i="24"/>
  <c r="BX58" i="24" s="1"/>
  <c r="DM58" i="24" s="1"/>
  <c r="AK58" i="24"/>
  <c r="BY58" i="24" s="1"/>
  <c r="DN58" i="24" s="1"/>
  <c r="AL58" i="24"/>
  <c r="BZ58" i="24" s="1"/>
  <c r="DO58" i="24" s="1"/>
  <c r="AM58" i="24"/>
  <c r="CA58" i="24" s="1"/>
  <c r="DP58" i="24" s="1"/>
  <c r="AN58" i="24"/>
  <c r="CB58" i="24" s="1"/>
  <c r="DQ58" i="24" s="1"/>
  <c r="AO58" i="24"/>
  <c r="CC58" i="24" s="1"/>
  <c r="DR58" i="24" s="1"/>
  <c r="AP58" i="24"/>
  <c r="CD58" i="24" s="1"/>
  <c r="DS58" i="24" s="1"/>
  <c r="AQ58" i="24"/>
  <c r="CE58" i="24" s="1"/>
  <c r="DT58" i="24" s="1"/>
  <c r="G59" i="24"/>
  <c r="AU59" i="24" s="1"/>
  <c r="CJ59" i="24" s="1"/>
  <c r="H59" i="24"/>
  <c r="AV59" i="24" s="1"/>
  <c r="CK59" i="24" s="1"/>
  <c r="I59" i="24"/>
  <c r="AW59" i="24" s="1"/>
  <c r="CL59" i="24" s="1"/>
  <c r="J59" i="24"/>
  <c r="AX59" i="24" s="1"/>
  <c r="CM59" i="24" s="1"/>
  <c r="K59" i="24"/>
  <c r="AY59" i="24" s="1"/>
  <c r="CN59" i="24" s="1"/>
  <c r="L59" i="24"/>
  <c r="AZ59" i="24" s="1"/>
  <c r="CO59" i="24" s="1"/>
  <c r="M59" i="24"/>
  <c r="BA59" i="24" s="1"/>
  <c r="CP59" i="24" s="1"/>
  <c r="N59" i="24"/>
  <c r="BB59" i="24" s="1"/>
  <c r="CQ59" i="24" s="1"/>
  <c r="O59" i="24"/>
  <c r="BC59" i="24" s="1"/>
  <c r="CR59" i="24" s="1"/>
  <c r="P59" i="24"/>
  <c r="BD59" i="24" s="1"/>
  <c r="CS59" i="24" s="1"/>
  <c r="Q59" i="24"/>
  <c r="BE59" i="24" s="1"/>
  <c r="CT59" i="24" s="1"/>
  <c r="R59" i="24"/>
  <c r="BF59" i="24" s="1"/>
  <c r="CU59" i="24" s="1"/>
  <c r="S59" i="24"/>
  <c r="BG59" i="24" s="1"/>
  <c r="CV59" i="24" s="1"/>
  <c r="T59" i="24"/>
  <c r="BH59" i="24" s="1"/>
  <c r="CW59" i="24" s="1"/>
  <c r="U59" i="24"/>
  <c r="BI59" i="24" s="1"/>
  <c r="CX59" i="24" s="1"/>
  <c r="V59" i="24"/>
  <c r="BJ59" i="24" s="1"/>
  <c r="CY59" i="24" s="1"/>
  <c r="W59" i="24"/>
  <c r="BK59" i="24" s="1"/>
  <c r="CZ59" i="24" s="1"/>
  <c r="X59" i="24"/>
  <c r="BL59" i="24" s="1"/>
  <c r="DA59" i="24" s="1"/>
  <c r="Y59" i="24"/>
  <c r="BM59" i="24" s="1"/>
  <c r="DB59" i="24" s="1"/>
  <c r="Z59" i="24"/>
  <c r="BN59" i="24" s="1"/>
  <c r="DC59" i="24" s="1"/>
  <c r="AA59" i="24"/>
  <c r="BO59" i="24" s="1"/>
  <c r="DD59" i="24" s="1"/>
  <c r="AB59" i="24"/>
  <c r="BP59" i="24" s="1"/>
  <c r="DE59" i="24" s="1"/>
  <c r="AC59" i="24"/>
  <c r="BQ59" i="24" s="1"/>
  <c r="DF59" i="24" s="1"/>
  <c r="AD59" i="24"/>
  <c r="BR59" i="24" s="1"/>
  <c r="DG59" i="24" s="1"/>
  <c r="AE59" i="24"/>
  <c r="BS59" i="24" s="1"/>
  <c r="DH59" i="24" s="1"/>
  <c r="AF59" i="24"/>
  <c r="BT59" i="24" s="1"/>
  <c r="DI59" i="24" s="1"/>
  <c r="AG59" i="24"/>
  <c r="BU59" i="24" s="1"/>
  <c r="DJ59" i="24" s="1"/>
  <c r="AH59" i="24"/>
  <c r="BV59" i="24" s="1"/>
  <c r="DK59" i="24" s="1"/>
  <c r="AI59" i="24"/>
  <c r="BW59" i="24" s="1"/>
  <c r="DL59" i="24" s="1"/>
  <c r="AJ59" i="24"/>
  <c r="BX59" i="24" s="1"/>
  <c r="DM59" i="24" s="1"/>
  <c r="AK59" i="24"/>
  <c r="BY59" i="24" s="1"/>
  <c r="DN59" i="24" s="1"/>
  <c r="AL59" i="24"/>
  <c r="BZ59" i="24" s="1"/>
  <c r="DO59" i="24" s="1"/>
  <c r="AM59" i="24"/>
  <c r="CA59" i="24" s="1"/>
  <c r="DP59" i="24" s="1"/>
  <c r="AN59" i="24"/>
  <c r="CB59" i="24" s="1"/>
  <c r="DQ59" i="24" s="1"/>
  <c r="AO59" i="24"/>
  <c r="CC59" i="24" s="1"/>
  <c r="DR59" i="24" s="1"/>
  <c r="AP59" i="24"/>
  <c r="CD59" i="24" s="1"/>
  <c r="DS59" i="24" s="1"/>
  <c r="AQ59" i="24"/>
  <c r="CE59" i="24" s="1"/>
  <c r="DT59" i="24" s="1"/>
  <c r="G60" i="24"/>
  <c r="AU60" i="24" s="1"/>
  <c r="CJ60" i="24" s="1"/>
  <c r="H60" i="24"/>
  <c r="AV60" i="24" s="1"/>
  <c r="CK60" i="24" s="1"/>
  <c r="I60" i="24"/>
  <c r="AW60" i="24" s="1"/>
  <c r="CL60" i="24" s="1"/>
  <c r="J60" i="24"/>
  <c r="AX60" i="24" s="1"/>
  <c r="CM60" i="24" s="1"/>
  <c r="K60" i="24"/>
  <c r="AY60" i="24" s="1"/>
  <c r="CN60" i="24" s="1"/>
  <c r="L60" i="24"/>
  <c r="AZ60" i="24" s="1"/>
  <c r="CO60" i="24" s="1"/>
  <c r="M60" i="24"/>
  <c r="BA60" i="24" s="1"/>
  <c r="CP60" i="24" s="1"/>
  <c r="N60" i="24"/>
  <c r="BB60" i="24" s="1"/>
  <c r="CQ60" i="24" s="1"/>
  <c r="O60" i="24"/>
  <c r="BC60" i="24" s="1"/>
  <c r="CR60" i="24" s="1"/>
  <c r="P60" i="24"/>
  <c r="BD60" i="24" s="1"/>
  <c r="CS60" i="24" s="1"/>
  <c r="Q60" i="24"/>
  <c r="BE60" i="24" s="1"/>
  <c r="CT60" i="24" s="1"/>
  <c r="R60" i="24"/>
  <c r="BF60" i="24" s="1"/>
  <c r="CU60" i="24" s="1"/>
  <c r="S60" i="24"/>
  <c r="BG60" i="24" s="1"/>
  <c r="CV60" i="24" s="1"/>
  <c r="T60" i="24"/>
  <c r="BH60" i="24" s="1"/>
  <c r="CW60" i="24" s="1"/>
  <c r="U60" i="24"/>
  <c r="BI60" i="24" s="1"/>
  <c r="CX60" i="24" s="1"/>
  <c r="V60" i="24"/>
  <c r="BJ60" i="24" s="1"/>
  <c r="CY60" i="24" s="1"/>
  <c r="W60" i="24"/>
  <c r="BK60" i="24" s="1"/>
  <c r="CZ60" i="24" s="1"/>
  <c r="X60" i="24"/>
  <c r="BL60" i="24" s="1"/>
  <c r="DA60" i="24" s="1"/>
  <c r="Y60" i="24"/>
  <c r="BM60" i="24" s="1"/>
  <c r="DB60" i="24" s="1"/>
  <c r="Z60" i="24"/>
  <c r="BN60" i="24" s="1"/>
  <c r="DC60" i="24" s="1"/>
  <c r="AA60" i="24"/>
  <c r="BO60" i="24" s="1"/>
  <c r="DD60" i="24" s="1"/>
  <c r="AB60" i="24"/>
  <c r="BP60" i="24" s="1"/>
  <c r="DE60" i="24" s="1"/>
  <c r="AC60" i="24"/>
  <c r="BQ60" i="24" s="1"/>
  <c r="DF60" i="24" s="1"/>
  <c r="AD60" i="24"/>
  <c r="BR60" i="24" s="1"/>
  <c r="DG60" i="24" s="1"/>
  <c r="AE60" i="24"/>
  <c r="BS60" i="24" s="1"/>
  <c r="DH60" i="24" s="1"/>
  <c r="AF60" i="24"/>
  <c r="BT60" i="24" s="1"/>
  <c r="DI60" i="24" s="1"/>
  <c r="AG60" i="24"/>
  <c r="BU60" i="24" s="1"/>
  <c r="DJ60" i="24" s="1"/>
  <c r="AH60" i="24"/>
  <c r="BV60" i="24" s="1"/>
  <c r="DK60" i="24" s="1"/>
  <c r="AI60" i="24"/>
  <c r="BW60" i="24" s="1"/>
  <c r="DL60" i="24" s="1"/>
  <c r="AJ60" i="24"/>
  <c r="BX60" i="24" s="1"/>
  <c r="DM60" i="24" s="1"/>
  <c r="AK60" i="24"/>
  <c r="BY60" i="24" s="1"/>
  <c r="DN60" i="24" s="1"/>
  <c r="AL60" i="24"/>
  <c r="BZ60" i="24" s="1"/>
  <c r="DO60" i="24" s="1"/>
  <c r="AM60" i="24"/>
  <c r="CA60" i="24" s="1"/>
  <c r="DP60" i="24" s="1"/>
  <c r="AN60" i="24"/>
  <c r="CB60" i="24" s="1"/>
  <c r="DQ60" i="24" s="1"/>
  <c r="AO60" i="24"/>
  <c r="CC60" i="24" s="1"/>
  <c r="DR60" i="24" s="1"/>
  <c r="AP60" i="24"/>
  <c r="CD60" i="24" s="1"/>
  <c r="DS60" i="24" s="1"/>
  <c r="AQ60" i="24"/>
  <c r="CE60" i="24" s="1"/>
  <c r="DT60" i="24" s="1"/>
  <c r="G61" i="24"/>
  <c r="AU61" i="24" s="1"/>
  <c r="CJ61" i="24" s="1"/>
  <c r="H61" i="24"/>
  <c r="AV61" i="24" s="1"/>
  <c r="CK61" i="24" s="1"/>
  <c r="I61" i="24"/>
  <c r="AW61" i="24" s="1"/>
  <c r="CL61" i="24" s="1"/>
  <c r="J61" i="24"/>
  <c r="AX61" i="24" s="1"/>
  <c r="CM61" i="24" s="1"/>
  <c r="K61" i="24"/>
  <c r="AY61" i="24" s="1"/>
  <c r="CN61" i="24" s="1"/>
  <c r="L61" i="24"/>
  <c r="AZ61" i="24" s="1"/>
  <c r="CO61" i="24" s="1"/>
  <c r="M61" i="24"/>
  <c r="BA61" i="24" s="1"/>
  <c r="CP61" i="24" s="1"/>
  <c r="N61" i="24"/>
  <c r="BB61" i="24" s="1"/>
  <c r="CQ61" i="24" s="1"/>
  <c r="O61" i="24"/>
  <c r="BC61" i="24" s="1"/>
  <c r="CR61" i="24" s="1"/>
  <c r="P61" i="24"/>
  <c r="BD61" i="24" s="1"/>
  <c r="CS61" i="24" s="1"/>
  <c r="Q61" i="24"/>
  <c r="BE61" i="24" s="1"/>
  <c r="CT61" i="24" s="1"/>
  <c r="R61" i="24"/>
  <c r="BF61" i="24" s="1"/>
  <c r="CU61" i="24" s="1"/>
  <c r="S61" i="24"/>
  <c r="BG61" i="24" s="1"/>
  <c r="CV61" i="24" s="1"/>
  <c r="T61" i="24"/>
  <c r="BH61" i="24" s="1"/>
  <c r="CW61" i="24" s="1"/>
  <c r="U61" i="24"/>
  <c r="BI61" i="24" s="1"/>
  <c r="CX61" i="24" s="1"/>
  <c r="V61" i="24"/>
  <c r="BJ61" i="24" s="1"/>
  <c r="CY61" i="24" s="1"/>
  <c r="W61" i="24"/>
  <c r="BK61" i="24" s="1"/>
  <c r="CZ61" i="24" s="1"/>
  <c r="X61" i="24"/>
  <c r="BL61" i="24" s="1"/>
  <c r="DA61" i="24" s="1"/>
  <c r="Y61" i="24"/>
  <c r="BM61" i="24" s="1"/>
  <c r="DB61" i="24" s="1"/>
  <c r="Z61" i="24"/>
  <c r="BN61" i="24" s="1"/>
  <c r="DC61" i="24" s="1"/>
  <c r="AA61" i="24"/>
  <c r="BO61" i="24" s="1"/>
  <c r="DD61" i="24" s="1"/>
  <c r="AB61" i="24"/>
  <c r="BP61" i="24" s="1"/>
  <c r="DE61" i="24" s="1"/>
  <c r="AC61" i="24"/>
  <c r="BQ61" i="24" s="1"/>
  <c r="DF61" i="24" s="1"/>
  <c r="AD61" i="24"/>
  <c r="BR61" i="24" s="1"/>
  <c r="DG61" i="24" s="1"/>
  <c r="AE61" i="24"/>
  <c r="BS61" i="24" s="1"/>
  <c r="DH61" i="24" s="1"/>
  <c r="AF61" i="24"/>
  <c r="BT61" i="24" s="1"/>
  <c r="DI61" i="24" s="1"/>
  <c r="AG61" i="24"/>
  <c r="BU61" i="24" s="1"/>
  <c r="DJ61" i="24" s="1"/>
  <c r="AH61" i="24"/>
  <c r="BV61" i="24" s="1"/>
  <c r="DK61" i="24" s="1"/>
  <c r="AI61" i="24"/>
  <c r="BW61" i="24" s="1"/>
  <c r="DL61" i="24" s="1"/>
  <c r="AJ61" i="24"/>
  <c r="BX61" i="24" s="1"/>
  <c r="DM61" i="24" s="1"/>
  <c r="AK61" i="24"/>
  <c r="BY61" i="24" s="1"/>
  <c r="DN61" i="24" s="1"/>
  <c r="AL61" i="24"/>
  <c r="BZ61" i="24" s="1"/>
  <c r="DO61" i="24" s="1"/>
  <c r="AM61" i="24"/>
  <c r="CA61" i="24" s="1"/>
  <c r="DP61" i="24" s="1"/>
  <c r="AN61" i="24"/>
  <c r="CB61" i="24" s="1"/>
  <c r="DQ61" i="24" s="1"/>
  <c r="AO61" i="24"/>
  <c r="CC61" i="24" s="1"/>
  <c r="DR61" i="24" s="1"/>
  <c r="AP61" i="24"/>
  <c r="CD61" i="24" s="1"/>
  <c r="DS61" i="24" s="1"/>
  <c r="AQ61" i="24"/>
  <c r="CE61" i="24" s="1"/>
  <c r="DT61" i="24" s="1"/>
  <c r="G62" i="24"/>
  <c r="AU62" i="24" s="1"/>
  <c r="CJ62" i="24" s="1"/>
  <c r="H62" i="24"/>
  <c r="AV62" i="24" s="1"/>
  <c r="CK62" i="24" s="1"/>
  <c r="I62" i="24"/>
  <c r="AW62" i="24" s="1"/>
  <c r="CL62" i="24" s="1"/>
  <c r="J62" i="24"/>
  <c r="AX62" i="24" s="1"/>
  <c r="CM62" i="24" s="1"/>
  <c r="K62" i="24"/>
  <c r="AY62" i="24" s="1"/>
  <c r="CN62" i="24" s="1"/>
  <c r="L62" i="24"/>
  <c r="AZ62" i="24" s="1"/>
  <c r="CO62" i="24" s="1"/>
  <c r="M62" i="24"/>
  <c r="BA62" i="24" s="1"/>
  <c r="CP62" i="24" s="1"/>
  <c r="N62" i="24"/>
  <c r="BB62" i="24" s="1"/>
  <c r="CQ62" i="24" s="1"/>
  <c r="O62" i="24"/>
  <c r="BC62" i="24" s="1"/>
  <c r="CR62" i="24" s="1"/>
  <c r="P62" i="24"/>
  <c r="BD62" i="24" s="1"/>
  <c r="CS62" i="24" s="1"/>
  <c r="Q62" i="24"/>
  <c r="BE62" i="24" s="1"/>
  <c r="CT62" i="24" s="1"/>
  <c r="R62" i="24"/>
  <c r="BF62" i="24" s="1"/>
  <c r="CU62" i="24" s="1"/>
  <c r="S62" i="24"/>
  <c r="BG62" i="24" s="1"/>
  <c r="CV62" i="24" s="1"/>
  <c r="T62" i="24"/>
  <c r="BH62" i="24" s="1"/>
  <c r="CW62" i="24" s="1"/>
  <c r="U62" i="24"/>
  <c r="BI62" i="24" s="1"/>
  <c r="CX62" i="24" s="1"/>
  <c r="V62" i="24"/>
  <c r="BJ62" i="24" s="1"/>
  <c r="CY62" i="24" s="1"/>
  <c r="W62" i="24"/>
  <c r="BK62" i="24" s="1"/>
  <c r="CZ62" i="24" s="1"/>
  <c r="X62" i="24"/>
  <c r="BL62" i="24" s="1"/>
  <c r="DA62" i="24" s="1"/>
  <c r="Y62" i="24"/>
  <c r="BM62" i="24" s="1"/>
  <c r="DB62" i="24" s="1"/>
  <c r="Z62" i="24"/>
  <c r="BN62" i="24" s="1"/>
  <c r="DC62" i="24" s="1"/>
  <c r="AA62" i="24"/>
  <c r="BO62" i="24" s="1"/>
  <c r="DD62" i="24" s="1"/>
  <c r="AB62" i="24"/>
  <c r="BP62" i="24" s="1"/>
  <c r="DE62" i="24" s="1"/>
  <c r="AC62" i="24"/>
  <c r="BQ62" i="24" s="1"/>
  <c r="DF62" i="24" s="1"/>
  <c r="AD62" i="24"/>
  <c r="BR62" i="24" s="1"/>
  <c r="DG62" i="24" s="1"/>
  <c r="AE62" i="24"/>
  <c r="BS62" i="24" s="1"/>
  <c r="DH62" i="24" s="1"/>
  <c r="AF62" i="24"/>
  <c r="BT62" i="24" s="1"/>
  <c r="DI62" i="24" s="1"/>
  <c r="AG62" i="24"/>
  <c r="BU62" i="24" s="1"/>
  <c r="DJ62" i="24" s="1"/>
  <c r="AH62" i="24"/>
  <c r="BV62" i="24" s="1"/>
  <c r="DK62" i="24" s="1"/>
  <c r="AI62" i="24"/>
  <c r="BW62" i="24" s="1"/>
  <c r="DL62" i="24" s="1"/>
  <c r="AJ62" i="24"/>
  <c r="BX62" i="24" s="1"/>
  <c r="DM62" i="24" s="1"/>
  <c r="AK62" i="24"/>
  <c r="BY62" i="24" s="1"/>
  <c r="DN62" i="24" s="1"/>
  <c r="AL62" i="24"/>
  <c r="BZ62" i="24" s="1"/>
  <c r="DO62" i="24" s="1"/>
  <c r="AM62" i="24"/>
  <c r="CA62" i="24" s="1"/>
  <c r="DP62" i="24" s="1"/>
  <c r="AN62" i="24"/>
  <c r="CB62" i="24" s="1"/>
  <c r="DQ62" i="24" s="1"/>
  <c r="AO62" i="24"/>
  <c r="CC62" i="24" s="1"/>
  <c r="DR62" i="24" s="1"/>
  <c r="AP62" i="24"/>
  <c r="CD62" i="24" s="1"/>
  <c r="DS62" i="24" s="1"/>
  <c r="AQ62" i="24"/>
  <c r="CE62" i="24" s="1"/>
  <c r="DT62" i="24" s="1"/>
  <c r="G63" i="24"/>
  <c r="AU63" i="24" s="1"/>
  <c r="CJ63" i="24" s="1"/>
  <c r="H63" i="24"/>
  <c r="AV63" i="24" s="1"/>
  <c r="CK63" i="24" s="1"/>
  <c r="I63" i="24"/>
  <c r="AW63" i="24" s="1"/>
  <c r="CL63" i="24" s="1"/>
  <c r="J63" i="24"/>
  <c r="AX63" i="24" s="1"/>
  <c r="CM63" i="24" s="1"/>
  <c r="K63" i="24"/>
  <c r="AY63" i="24" s="1"/>
  <c r="CN63" i="24" s="1"/>
  <c r="L63" i="24"/>
  <c r="AZ63" i="24" s="1"/>
  <c r="CO63" i="24" s="1"/>
  <c r="M63" i="24"/>
  <c r="BA63" i="24" s="1"/>
  <c r="CP63" i="24" s="1"/>
  <c r="N63" i="24"/>
  <c r="BB63" i="24" s="1"/>
  <c r="CQ63" i="24" s="1"/>
  <c r="O63" i="24"/>
  <c r="BC63" i="24" s="1"/>
  <c r="CR63" i="24" s="1"/>
  <c r="P63" i="24"/>
  <c r="BD63" i="24" s="1"/>
  <c r="CS63" i="24" s="1"/>
  <c r="Q63" i="24"/>
  <c r="BE63" i="24" s="1"/>
  <c r="CT63" i="24" s="1"/>
  <c r="R63" i="24"/>
  <c r="BF63" i="24" s="1"/>
  <c r="CU63" i="24" s="1"/>
  <c r="S63" i="24"/>
  <c r="BG63" i="24" s="1"/>
  <c r="CV63" i="24" s="1"/>
  <c r="T63" i="24"/>
  <c r="BH63" i="24" s="1"/>
  <c r="CW63" i="24" s="1"/>
  <c r="U63" i="24"/>
  <c r="BI63" i="24" s="1"/>
  <c r="CX63" i="24" s="1"/>
  <c r="V63" i="24"/>
  <c r="BJ63" i="24" s="1"/>
  <c r="CY63" i="24" s="1"/>
  <c r="W63" i="24"/>
  <c r="BK63" i="24" s="1"/>
  <c r="CZ63" i="24" s="1"/>
  <c r="X63" i="24"/>
  <c r="BL63" i="24" s="1"/>
  <c r="DA63" i="24" s="1"/>
  <c r="Y63" i="24"/>
  <c r="BM63" i="24" s="1"/>
  <c r="DB63" i="24" s="1"/>
  <c r="Z63" i="24"/>
  <c r="BN63" i="24" s="1"/>
  <c r="DC63" i="24" s="1"/>
  <c r="AA63" i="24"/>
  <c r="BO63" i="24" s="1"/>
  <c r="DD63" i="24" s="1"/>
  <c r="AB63" i="24"/>
  <c r="BP63" i="24" s="1"/>
  <c r="DE63" i="24" s="1"/>
  <c r="AC63" i="24"/>
  <c r="BQ63" i="24" s="1"/>
  <c r="DF63" i="24" s="1"/>
  <c r="AD63" i="24"/>
  <c r="BR63" i="24" s="1"/>
  <c r="DG63" i="24" s="1"/>
  <c r="AE63" i="24"/>
  <c r="BS63" i="24" s="1"/>
  <c r="DH63" i="24" s="1"/>
  <c r="AF63" i="24"/>
  <c r="BT63" i="24" s="1"/>
  <c r="DI63" i="24" s="1"/>
  <c r="AG63" i="24"/>
  <c r="BU63" i="24" s="1"/>
  <c r="DJ63" i="24" s="1"/>
  <c r="AH63" i="24"/>
  <c r="BV63" i="24" s="1"/>
  <c r="DK63" i="24" s="1"/>
  <c r="AI63" i="24"/>
  <c r="BW63" i="24" s="1"/>
  <c r="DL63" i="24" s="1"/>
  <c r="AJ63" i="24"/>
  <c r="BX63" i="24" s="1"/>
  <c r="DM63" i="24" s="1"/>
  <c r="AK63" i="24"/>
  <c r="BY63" i="24" s="1"/>
  <c r="DN63" i="24" s="1"/>
  <c r="AL63" i="24"/>
  <c r="BZ63" i="24" s="1"/>
  <c r="DO63" i="24" s="1"/>
  <c r="AM63" i="24"/>
  <c r="CA63" i="24" s="1"/>
  <c r="DP63" i="24" s="1"/>
  <c r="AN63" i="24"/>
  <c r="CB63" i="24" s="1"/>
  <c r="DQ63" i="24" s="1"/>
  <c r="AO63" i="24"/>
  <c r="CC63" i="24" s="1"/>
  <c r="DR63" i="24" s="1"/>
  <c r="AP63" i="24"/>
  <c r="CD63" i="24" s="1"/>
  <c r="DS63" i="24" s="1"/>
  <c r="AQ63" i="24"/>
  <c r="CE63" i="24" s="1"/>
  <c r="DT63" i="24" s="1"/>
  <c r="AT73" i="22"/>
  <c r="AT74" i="22"/>
  <c r="AT75" i="22"/>
  <c r="AT76" i="22"/>
  <c r="AT77" i="22"/>
  <c r="AT78" i="22"/>
  <c r="AT79" i="22"/>
  <c r="AT80" i="22"/>
  <c r="AT81" i="22"/>
  <c r="AT82" i="22"/>
  <c r="AT83" i="22"/>
  <c r="AT84" i="22"/>
  <c r="AT85" i="22"/>
  <c r="AT86" i="22"/>
  <c r="AT87" i="22"/>
  <c r="AT88" i="22"/>
  <c r="AT89" i="22"/>
  <c r="AT90" i="22"/>
  <c r="AT91" i="22"/>
  <c r="AT92" i="22"/>
  <c r="AT93" i="22"/>
  <c r="AT94" i="22"/>
  <c r="AT95" i="22"/>
  <c r="AT96" i="22"/>
  <c r="AT97" i="22"/>
  <c r="AT98" i="22"/>
  <c r="AT99" i="22"/>
  <c r="AT100" i="22"/>
  <c r="AT101" i="22"/>
  <c r="AT102" i="22"/>
  <c r="AT103" i="22"/>
  <c r="AT104" i="22"/>
  <c r="AT105" i="22"/>
  <c r="AT106" i="22"/>
  <c r="AT107" i="22"/>
  <c r="AT108" i="22"/>
  <c r="AT109" i="22"/>
  <c r="AT110" i="22"/>
  <c r="AT111" i="22"/>
  <c r="AT112" i="22"/>
  <c r="AT113" i="22"/>
  <c r="AT114" i="22"/>
  <c r="AT115" i="22"/>
  <c r="AT116" i="22"/>
  <c r="AT117" i="22"/>
  <c r="AT118" i="22"/>
  <c r="AT119" i="22"/>
  <c r="AT120" i="22"/>
  <c r="AT121" i="22"/>
  <c r="AT122" i="22"/>
  <c r="AT123" i="22"/>
  <c r="AT124" i="22"/>
  <c r="AT125" i="22"/>
  <c r="AT126" i="22"/>
  <c r="AT127" i="22"/>
  <c r="AT128" i="22"/>
  <c r="AT129" i="22"/>
  <c r="AT130" i="22"/>
  <c r="AT131" i="22"/>
  <c r="AT132" i="22"/>
  <c r="AT133" i="22"/>
  <c r="AT134" i="22"/>
  <c r="AT135" i="22"/>
  <c r="AT136" i="22"/>
  <c r="AT137" i="22"/>
  <c r="AT138" i="22"/>
  <c r="AT139" i="22"/>
  <c r="AT140" i="22"/>
  <c r="AT141" i="22"/>
  <c r="AT142" i="22"/>
  <c r="AT143" i="22"/>
  <c r="AT144" i="22"/>
  <c r="AT145" i="22"/>
  <c r="AT146" i="22"/>
  <c r="AT147" i="22"/>
  <c r="AT148" i="22"/>
  <c r="AT149" i="22"/>
  <c r="AT150" i="22"/>
  <c r="AT151" i="22"/>
  <c r="AT152" i="22"/>
  <c r="AT153" i="22"/>
  <c r="AT154" i="22"/>
  <c r="AT155" i="22"/>
  <c r="AT156" i="22"/>
  <c r="AT157" i="22"/>
  <c r="AT158" i="22"/>
  <c r="AT159" i="22"/>
  <c r="AT160" i="22"/>
  <c r="AT161" i="22"/>
  <c r="AT162" i="22"/>
  <c r="AT163" i="22"/>
  <c r="AT164" i="22"/>
  <c r="AT165" i="22"/>
  <c r="AT166" i="22"/>
  <c r="AT167" i="22"/>
  <c r="AT168" i="22"/>
  <c r="AT169" i="22"/>
  <c r="AT170" i="22"/>
  <c r="AT171" i="22"/>
  <c r="AT172" i="22"/>
  <c r="AT173" i="22"/>
  <c r="AT174" i="22"/>
  <c r="AT175" i="22"/>
  <c r="AT176" i="22"/>
  <c r="AT177" i="22"/>
  <c r="AT178" i="22"/>
  <c r="AT179" i="22"/>
  <c r="AT180" i="22"/>
  <c r="AT181" i="22"/>
  <c r="AT182" i="22"/>
  <c r="AT183" i="22"/>
  <c r="AT184" i="22"/>
  <c r="AT185" i="22"/>
  <c r="AT186" i="22"/>
  <c r="AT187" i="22"/>
  <c r="AT188" i="22"/>
  <c r="AT189" i="22"/>
  <c r="AT190" i="22"/>
  <c r="AT191" i="22"/>
  <c r="AT192" i="22"/>
  <c r="AT193" i="22"/>
  <c r="AT194" i="22"/>
  <c r="AT195" i="22"/>
  <c r="AT196" i="22"/>
  <c r="AT197" i="22"/>
  <c r="AT198" i="22"/>
  <c r="AT199" i="22"/>
  <c r="AT200" i="22"/>
  <c r="AT201" i="22"/>
  <c r="AT202" i="22"/>
  <c r="AT203" i="22"/>
  <c r="AT204" i="22"/>
  <c r="AT205" i="22"/>
  <c r="AT206" i="22"/>
  <c r="AT207" i="22"/>
  <c r="AT208" i="22"/>
  <c r="AT209" i="22"/>
  <c r="AT210" i="22"/>
  <c r="AT211" i="22"/>
  <c r="AT212" i="22"/>
  <c r="AT213" i="22"/>
  <c r="AT214" i="22"/>
  <c r="AT215" i="22"/>
  <c r="AT216" i="22"/>
  <c r="AT217" i="22"/>
  <c r="AT72" i="22"/>
  <c r="BX3" i="22"/>
  <c r="BX73" i="22" s="1"/>
  <c r="BY3" i="22"/>
  <c r="BY136" i="22" s="1"/>
  <c r="BZ3" i="22"/>
  <c r="BZ136" i="22" s="1"/>
  <c r="CA3" i="22"/>
  <c r="CA136" i="22" s="1"/>
  <c r="CB3" i="22"/>
  <c r="CB136" i="22" s="1"/>
  <c r="CC3" i="22"/>
  <c r="CC136" i="22" s="1"/>
  <c r="CD3" i="22"/>
  <c r="CD124" i="22" s="1"/>
  <c r="CE3" i="22"/>
  <c r="CE124" i="22" s="1"/>
  <c r="CF3" i="22"/>
  <c r="CF124" i="22" s="1"/>
  <c r="CG3" i="22"/>
  <c r="CG44" i="22" s="1"/>
  <c r="CH3" i="22"/>
  <c r="CH135" i="22" s="1"/>
  <c r="CI3" i="22"/>
  <c r="CI119" i="22" s="1"/>
  <c r="CJ3" i="22"/>
  <c r="CJ98" i="22" s="1"/>
  <c r="CK3" i="22"/>
  <c r="CK87" i="22" s="1"/>
  <c r="CL3" i="22"/>
  <c r="CL128" i="22" s="1"/>
  <c r="CM3" i="22"/>
  <c r="CM135" i="22" s="1"/>
  <c r="CN3" i="22"/>
  <c r="CN124" i="22" s="1"/>
  <c r="CO3" i="22"/>
  <c r="CO86" i="22" s="1"/>
  <c r="T6" i="3" l="1"/>
  <c r="AJ6" i="3"/>
  <c r="U6" i="3"/>
  <c r="AK6" i="3"/>
  <c r="AM6" i="3"/>
  <c r="V6" i="3"/>
  <c r="AL6" i="3"/>
  <c r="W6" i="3"/>
  <c r="AD6" i="3"/>
  <c r="AF6" i="3"/>
  <c r="X6" i="3"/>
  <c r="S6" i="3"/>
  <c r="Y6" i="3"/>
  <c r="Z6" i="3"/>
  <c r="AB6" i="3"/>
  <c r="AH6" i="3"/>
  <c r="AA6" i="3"/>
  <c r="AG6" i="3"/>
  <c r="AE6" i="3"/>
  <c r="AI6" i="3"/>
  <c r="CG36" i="24"/>
  <c r="CG33" i="24"/>
  <c r="CG39" i="24"/>
  <c r="CG58" i="24"/>
  <c r="CG42" i="24"/>
  <c r="CG48" i="24"/>
  <c r="CG32" i="24"/>
  <c r="CG35" i="24"/>
  <c r="CG41" i="24"/>
  <c r="CG44" i="24"/>
  <c r="CG47" i="24"/>
  <c r="CG31" i="24"/>
  <c r="CG40" i="24"/>
  <c r="CG54" i="24"/>
  <c r="CG38" i="24"/>
  <c r="CG57" i="24"/>
  <c r="CG60" i="24"/>
  <c r="CG63" i="24"/>
  <c r="CG50" i="24"/>
  <c r="CG34" i="24"/>
  <c r="CG51" i="24"/>
  <c r="CG53" i="24"/>
  <c r="CG37" i="24"/>
  <c r="CG56" i="24"/>
  <c r="CG45" i="24"/>
  <c r="CG43" i="24"/>
  <c r="CG59" i="24"/>
  <c r="CG62" i="24"/>
  <c r="CG46" i="24"/>
  <c r="CG30" i="24"/>
  <c r="CG61" i="24"/>
  <c r="CG49" i="24"/>
  <c r="CG52" i="24"/>
  <c r="CG55" i="24"/>
  <c r="F60" i="24"/>
  <c r="F59" i="24"/>
  <c r="F55" i="24"/>
  <c r="F39" i="24"/>
  <c r="BZ4" i="22"/>
  <c r="CI142" i="22"/>
  <c r="BX135" i="22"/>
  <c r="CB128" i="22"/>
  <c r="BZ117" i="22"/>
  <c r="BZ71" i="22"/>
  <c r="CD149" i="22"/>
  <c r="CH142" i="22"/>
  <c r="CF127" i="22"/>
  <c r="CI115" i="22"/>
  <c r="CA62" i="22"/>
  <c r="CC149" i="22"/>
  <c r="CO140" i="22"/>
  <c r="CA134" i="22"/>
  <c r="CE127" i="22"/>
  <c r="CH115" i="22"/>
  <c r="BX60" i="22"/>
  <c r="CG148" i="22"/>
  <c r="CN140" i="22"/>
  <c r="BZ134" i="22"/>
  <c r="CI126" i="22"/>
  <c r="CE114" i="22"/>
  <c r="CF148" i="22"/>
  <c r="BY140" i="22"/>
  <c r="CD133" i="22"/>
  <c r="CH126" i="22"/>
  <c r="CJ147" i="22"/>
  <c r="BX140" i="22"/>
  <c r="CC133" i="22"/>
  <c r="CK124" i="22"/>
  <c r="CC111" i="22"/>
  <c r="CI147" i="22"/>
  <c r="CB139" i="22"/>
  <c r="CG132" i="22"/>
  <c r="CJ124" i="22"/>
  <c r="CI110" i="22"/>
  <c r="CM146" i="22"/>
  <c r="CA139" i="22"/>
  <c r="CF132" i="22"/>
  <c r="CJ123" i="22"/>
  <c r="CB106" i="22"/>
  <c r="CE138" i="22"/>
  <c r="CJ131" i="22"/>
  <c r="CI123" i="22"/>
  <c r="CF105" i="22"/>
  <c r="CO145" i="22"/>
  <c r="CD138" i="22"/>
  <c r="CI131" i="22"/>
  <c r="CE122" i="22"/>
  <c r="CG99" i="22"/>
  <c r="BZ145" i="22"/>
  <c r="CH137" i="22"/>
  <c r="CM130" i="22"/>
  <c r="CD122" i="22"/>
  <c r="BY145" i="22"/>
  <c r="CG137" i="22"/>
  <c r="CD121" i="22"/>
  <c r="BX86" i="22"/>
  <c r="CC144" i="22"/>
  <c r="CK136" i="22"/>
  <c r="CO129" i="22"/>
  <c r="CC121" i="22"/>
  <c r="CB85" i="22"/>
  <c r="CB144" i="22"/>
  <c r="CJ136" i="22"/>
  <c r="BZ129" i="22"/>
  <c r="CC120" i="22"/>
  <c r="CC79" i="22"/>
  <c r="CF143" i="22"/>
  <c r="CN135" i="22"/>
  <c r="BY129" i="22"/>
  <c r="CB120" i="22"/>
  <c r="CG78" i="22"/>
  <c r="CA4" i="22"/>
  <c r="CE143" i="22"/>
  <c r="CC128" i="22"/>
  <c r="CA117" i="22"/>
  <c r="BX72" i="22"/>
  <c r="CM5" i="22"/>
  <c r="CM21" i="22"/>
  <c r="CM37" i="22"/>
  <c r="CM53" i="22"/>
  <c r="CM69" i="22"/>
  <c r="CM16" i="22"/>
  <c r="CM32" i="22"/>
  <c r="CM11" i="22"/>
  <c r="CM27" i="22"/>
  <c r="CM43" i="22"/>
  <c r="CM6" i="22"/>
  <c r="CM22" i="22"/>
  <c r="CM38" i="22"/>
  <c r="CM54" i="22"/>
  <c r="CM17" i="22"/>
  <c r="CM33" i="22"/>
  <c r="CM49" i="22"/>
  <c r="CM12" i="22"/>
  <c r="CM28" i="22"/>
  <c r="CM44" i="22"/>
  <c r="CM60" i="22"/>
  <c r="CM18" i="22"/>
  <c r="CM34" i="22"/>
  <c r="CM50" i="22"/>
  <c r="CM13" i="22"/>
  <c r="CM29" i="22"/>
  <c r="CM45" i="22"/>
  <c r="CM61" i="22"/>
  <c r="CM8" i="22"/>
  <c r="CM24" i="22"/>
  <c r="CM40" i="22"/>
  <c r="CM56" i="22"/>
  <c r="CM19" i="22"/>
  <c r="CM35" i="22"/>
  <c r="CM51" i="22"/>
  <c r="CM14" i="22"/>
  <c r="CM30" i="22"/>
  <c r="CM46" i="22"/>
  <c r="CM62" i="22"/>
  <c r="CM9" i="22"/>
  <c r="CM25" i="22"/>
  <c r="CM41" i="22"/>
  <c r="CM57" i="22"/>
  <c r="CM20" i="22"/>
  <c r="CM36" i="22"/>
  <c r="CM52" i="22"/>
  <c r="CM10" i="22"/>
  <c r="CM31" i="22"/>
  <c r="CM82" i="22"/>
  <c r="CM98" i="22"/>
  <c r="CM77" i="22"/>
  <c r="CM93" i="22"/>
  <c r="CM109" i="22"/>
  <c r="CM48" i="22"/>
  <c r="CM64" i="22"/>
  <c r="CM88" i="22"/>
  <c r="CM104" i="22"/>
  <c r="CM120" i="22"/>
  <c r="CM83" i="22"/>
  <c r="CM99" i="22"/>
  <c r="CM115" i="22"/>
  <c r="CM23" i="22"/>
  <c r="CM55" i="22"/>
  <c r="CM78" i="22"/>
  <c r="CM94" i="22"/>
  <c r="CM110" i="22"/>
  <c r="CM7" i="22"/>
  <c r="CM58" i="22"/>
  <c r="CM89" i="22"/>
  <c r="CM105" i="22"/>
  <c r="CM84" i="22"/>
  <c r="CM100" i="22"/>
  <c r="CM116" i="22"/>
  <c r="CM79" i="22"/>
  <c r="CM95" i="22"/>
  <c r="CM111" i="22"/>
  <c r="CM15" i="22"/>
  <c r="CM42" i="22"/>
  <c r="CM68" i="22"/>
  <c r="CM90" i="22"/>
  <c r="CM106" i="22"/>
  <c r="CM63" i="22"/>
  <c r="CM66" i="22"/>
  <c r="CM67" i="22"/>
  <c r="CM70" i="22"/>
  <c r="CM71" i="22"/>
  <c r="CM85" i="22"/>
  <c r="CM101" i="22"/>
  <c r="CM72" i="22"/>
  <c r="CM80" i="22"/>
  <c r="CM96" i="22"/>
  <c r="CM112" i="22"/>
  <c r="CM73" i="22"/>
  <c r="CM91" i="22"/>
  <c r="CM107" i="22"/>
  <c r="CM47" i="22"/>
  <c r="CM65" i="22"/>
  <c r="CM74" i="22"/>
  <c r="CM75" i="22"/>
  <c r="CM86" i="22"/>
  <c r="CM102" i="22"/>
  <c r="CM39" i="22"/>
  <c r="CM26" i="22"/>
  <c r="CM87" i="22"/>
  <c r="CM103" i="22"/>
  <c r="CB4" i="22"/>
  <c r="CE149" i="22"/>
  <c r="CH148" i="22"/>
  <c r="CK147" i="22"/>
  <c r="CN146" i="22"/>
  <c r="BX146" i="22"/>
  <c r="CA145" i="22"/>
  <c r="CD144" i="22"/>
  <c r="CG143" i="22"/>
  <c r="CJ142" i="22"/>
  <c r="CM141" i="22"/>
  <c r="BZ140" i="22"/>
  <c r="CC139" i="22"/>
  <c r="CF138" i="22"/>
  <c r="CI137" i="22"/>
  <c r="CL136" i="22"/>
  <c r="CO135" i="22"/>
  <c r="BY135" i="22"/>
  <c r="CB134" i="22"/>
  <c r="CE133" i="22"/>
  <c r="CH132" i="22"/>
  <c r="CK131" i="22"/>
  <c r="CN130" i="22"/>
  <c r="BX130" i="22"/>
  <c r="CA129" i="22"/>
  <c r="CD128" i="22"/>
  <c r="CG127" i="22"/>
  <c r="CJ126" i="22"/>
  <c r="CM125" i="22"/>
  <c r="CL124" i="22"/>
  <c r="CK123" i="22"/>
  <c r="CJ122" i="22"/>
  <c r="CE121" i="22"/>
  <c r="CD120" i="22"/>
  <c r="CM118" i="22"/>
  <c r="CB117" i="22"/>
  <c r="CJ115" i="22"/>
  <c r="CF114" i="22"/>
  <c r="CD111" i="22"/>
  <c r="CC106" i="22"/>
  <c r="CH99" i="22"/>
  <c r="CM92" i="22"/>
  <c r="BY86" i="22"/>
  <c r="CD79" i="22"/>
  <c r="BY72" i="22"/>
  <c r="CC62" i="22"/>
  <c r="CO4" i="22"/>
  <c r="BY4" i="22"/>
  <c r="CB149" i="22"/>
  <c r="CE148" i="22"/>
  <c r="CH147" i="22"/>
  <c r="CK146" i="22"/>
  <c r="CN145" i="22"/>
  <c r="BX145" i="22"/>
  <c r="CA144" i="22"/>
  <c r="CD143" i="22"/>
  <c r="CG142" i="22"/>
  <c r="CJ141" i="22"/>
  <c r="CM140" i="22"/>
  <c r="BZ139" i="22"/>
  <c r="CC138" i="22"/>
  <c r="CF137" i="22"/>
  <c r="CI136" i="22"/>
  <c r="CL135" i="22"/>
  <c r="CO134" i="22"/>
  <c r="BY134" i="22"/>
  <c r="CB133" i="22"/>
  <c r="CE132" i="22"/>
  <c r="CH131" i="22"/>
  <c r="CK130" i="22"/>
  <c r="CN129" i="22"/>
  <c r="BX129" i="22"/>
  <c r="CA128" i="22"/>
  <c r="CD127" i="22"/>
  <c r="CG126" i="22"/>
  <c r="CJ125" i="22"/>
  <c r="CI124" i="22"/>
  <c r="CH123" i="22"/>
  <c r="CC122" i="22"/>
  <c r="CB121" i="22"/>
  <c r="CN119" i="22"/>
  <c r="CJ118" i="22"/>
  <c r="BY117" i="22"/>
  <c r="CG115" i="22"/>
  <c r="CO113" i="22"/>
  <c r="CG110" i="22"/>
  <c r="CE105" i="22"/>
  <c r="CO91" i="22"/>
  <c r="CA85" i="22"/>
  <c r="CF78" i="22"/>
  <c r="BY71" i="22"/>
  <c r="CM59" i="22"/>
  <c r="CJ6" i="22"/>
  <c r="CJ22" i="22"/>
  <c r="CJ38" i="22"/>
  <c r="CJ54" i="22"/>
  <c r="CJ70" i="22"/>
  <c r="CJ17" i="22"/>
  <c r="CJ33" i="22"/>
  <c r="CJ12" i="22"/>
  <c r="CJ28" i="22"/>
  <c r="CJ44" i="22"/>
  <c r="CJ7" i="22"/>
  <c r="CJ23" i="22"/>
  <c r="CJ39" i="22"/>
  <c r="CJ55" i="22"/>
  <c r="CJ18" i="22"/>
  <c r="CJ34" i="22"/>
  <c r="CJ50" i="22"/>
  <c r="CJ13" i="22"/>
  <c r="CJ29" i="22"/>
  <c r="CJ45" i="22"/>
  <c r="CJ61" i="22"/>
  <c r="CJ19" i="22"/>
  <c r="CJ35" i="22"/>
  <c r="CJ51" i="22"/>
  <c r="CJ14" i="22"/>
  <c r="CJ30" i="22"/>
  <c r="CJ46" i="22"/>
  <c r="CJ62" i="22"/>
  <c r="CJ9" i="22"/>
  <c r="CJ25" i="22"/>
  <c r="CJ41" i="22"/>
  <c r="CJ57" i="22"/>
  <c r="CJ20" i="22"/>
  <c r="CJ36" i="22"/>
  <c r="CJ52" i="22"/>
  <c r="CJ15" i="22"/>
  <c r="CJ31" i="22"/>
  <c r="CJ47" i="22"/>
  <c r="CJ63" i="22"/>
  <c r="CJ10" i="22"/>
  <c r="CJ26" i="22"/>
  <c r="CJ42" i="22"/>
  <c r="CJ58" i="22"/>
  <c r="CJ5" i="22"/>
  <c r="CJ21" i="22"/>
  <c r="CJ37" i="22"/>
  <c r="CJ53" i="22"/>
  <c r="CJ11" i="22"/>
  <c r="CJ40" i="22"/>
  <c r="CJ48" i="22"/>
  <c r="CJ64" i="22"/>
  <c r="CJ83" i="22"/>
  <c r="CJ99" i="22"/>
  <c r="CJ78" i="22"/>
  <c r="CJ94" i="22"/>
  <c r="CJ110" i="22"/>
  <c r="CJ27" i="22"/>
  <c r="CJ89" i="22"/>
  <c r="CJ105" i="22"/>
  <c r="CJ121" i="22"/>
  <c r="CJ32" i="22"/>
  <c r="CJ60" i="22"/>
  <c r="CJ84" i="22"/>
  <c r="CJ100" i="22"/>
  <c r="CJ116" i="22"/>
  <c r="CJ79" i="22"/>
  <c r="CJ95" i="22"/>
  <c r="CJ111" i="22"/>
  <c r="CJ90" i="22"/>
  <c r="CJ106" i="22"/>
  <c r="CJ49" i="22"/>
  <c r="CJ67" i="22"/>
  <c r="CJ68" i="22"/>
  <c r="CJ69" i="22"/>
  <c r="CJ85" i="22"/>
  <c r="CJ101" i="22"/>
  <c r="CJ117" i="22"/>
  <c r="CJ8" i="22"/>
  <c r="CJ24" i="22"/>
  <c r="CJ66" i="22"/>
  <c r="CJ71" i="22"/>
  <c r="CJ72" i="22"/>
  <c r="CJ80" i="22"/>
  <c r="CJ96" i="22"/>
  <c r="CJ112" i="22"/>
  <c r="CJ73" i="22"/>
  <c r="CJ91" i="22"/>
  <c r="CJ107" i="22"/>
  <c r="CJ56" i="22"/>
  <c r="CJ74" i="22"/>
  <c r="CJ86" i="22"/>
  <c r="CJ102" i="22"/>
  <c r="CJ16" i="22"/>
  <c r="CJ65" i="22"/>
  <c r="CJ75" i="22"/>
  <c r="CJ81" i="22"/>
  <c r="CJ97" i="22"/>
  <c r="CJ113" i="22"/>
  <c r="CJ43" i="22"/>
  <c r="CJ59" i="22"/>
  <c r="CJ76" i="22"/>
  <c r="CJ92" i="22"/>
  <c r="CJ108" i="22"/>
  <c r="CJ87" i="22"/>
  <c r="CJ103" i="22"/>
  <c r="CJ88" i="22"/>
  <c r="CJ104" i="22"/>
  <c r="CN4" i="22"/>
  <c r="BX4" i="22"/>
  <c r="CA149" i="22"/>
  <c r="CD148" i="22"/>
  <c r="CG147" i="22"/>
  <c r="CJ146" i="22"/>
  <c r="CM145" i="22"/>
  <c r="BZ144" i="22"/>
  <c r="CC143" i="22"/>
  <c r="CF142" i="22"/>
  <c r="CI141" i="22"/>
  <c r="CL140" i="22"/>
  <c r="CO139" i="22"/>
  <c r="BY139" i="22"/>
  <c r="CB138" i="22"/>
  <c r="CE137" i="22"/>
  <c r="CH136" i="22"/>
  <c r="CK135" i="22"/>
  <c r="CN134" i="22"/>
  <c r="BX134" i="22"/>
  <c r="CA133" i="22"/>
  <c r="CD132" i="22"/>
  <c r="CG131" i="22"/>
  <c r="CJ130" i="22"/>
  <c r="CM129" i="22"/>
  <c r="BZ128" i="22"/>
  <c r="CC127" i="22"/>
  <c r="CF126" i="22"/>
  <c r="CI125" i="22"/>
  <c r="CH124" i="22"/>
  <c r="CG123" i="22"/>
  <c r="CB122" i="22"/>
  <c r="CA121" i="22"/>
  <c r="CM119" i="22"/>
  <c r="CI118" i="22"/>
  <c r="BX117" i="22"/>
  <c r="CF115" i="22"/>
  <c r="CN113" i="22"/>
  <c r="CF110" i="22"/>
  <c r="CI104" i="22"/>
  <c r="CN97" i="22"/>
  <c r="BZ91" i="22"/>
  <c r="CE84" i="22"/>
  <c r="CJ77" i="22"/>
  <c r="CA70" i="22"/>
  <c r="CG57" i="22"/>
  <c r="CM4" i="22"/>
  <c r="BZ149" i="22"/>
  <c r="CC148" i="22"/>
  <c r="CF147" i="22"/>
  <c r="CI146" i="22"/>
  <c r="CL145" i="22"/>
  <c r="CO144" i="22"/>
  <c r="BY144" i="22"/>
  <c r="CB143" i="22"/>
  <c r="CE142" i="22"/>
  <c r="CH141" i="22"/>
  <c r="CK140" i="22"/>
  <c r="CN139" i="22"/>
  <c r="BX139" i="22"/>
  <c r="CA138" i="22"/>
  <c r="CD137" i="22"/>
  <c r="CG136" i="22"/>
  <c r="CJ135" i="22"/>
  <c r="CM134" i="22"/>
  <c r="BZ133" i="22"/>
  <c r="CC132" i="22"/>
  <c r="CF131" i="22"/>
  <c r="CI130" i="22"/>
  <c r="CL129" i="22"/>
  <c r="CO128" i="22"/>
  <c r="BY128" i="22"/>
  <c r="CB127" i="22"/>
  <c r="CE126" i="22"/>
  <c r="CH125" i="22"/>
  <c r="CG124" i="22"/>
  <c r="CB123" i="22"/>
  <c r="CA122" i="22"/>
  <c r="BZ121" i="22"/>
  <c r="CL119" i="22"/>
  <c r="CA118" i="22"/>
  <c r="CE115" i="22"/>
  <c r="CM113" i="22"/>
  <c r="CL109" i="22"/>
  <c r="CH104" i="22"/>
  <c r="CM97" i="22"/>
  <c r="BY91" i="22"/>
  <c r="CD84" i="22"/>
  <c r="CI77" i="22"/>
  <c r="BZ70" i="22"/>
  <c r="CK54" i="22"/>
  <c r="CK98" i="22"/>
  <c r="CL4" i="22"/>
  <c r="CO149" i="22"/>
  <c r="BY149" i="22"/>
  <c r="CB148" i="22"/>
  <c r="CE147" i="22"/>
  <c r="CH146" i="22"/>
  <c r="CK145" i="22"/>
  <c r="CN144" i="22"/>
  <c r="BX144" i="22"/>
  <c r="CA143" i="22"/>
  <c r="CD142" i="22"/>
  <c r="CG141" i="22"/>
  <c r="CJ140" i="22"/>
  <c r="CM139" i="22"/>
  <c r="BZ138" i="22"/>
  <c r="CC137" i="22"/>
  <c r="CF136" i="22"/>
  <c r="CI135" i="22"/>
  <c r="CL134" i="22"/>
  <c r="CO133" i="22"/>
  <c r="BY133" i="22"/>
  <c r="CB132" i="22"/>
  <c r="CE131" i="22"/>
  <c r="CH130" i="22"/>
  <c r="CK129" i="22"/>
  <c r="CN128" i="22"/>
  <c r="BX128" i="22"/>
  <c r="CA127" i="22"/>
  <c r="CD126" i="22"/>
  <c r="CG125" i="22"/>
  <c r="CA123" i="22"/>
  <c r="BZ122" i="22"/>
  <c r="BY121" i="22"/>
  <c r="CK119" i="22"/>
  <c r="BZ118" i="22"/>
  <c r="CO116" i="22"/>
  <c r="CD115" i="22"/>
  <c r="CL113" i="22"/>
  <c r="CJ109" i="22"/>
  <c r="CL103" i="22"/>
  <c r="BX97" i="22"/>
  <c r="CC90" i="22"/>
  <c r="CH83" i="22"/>
  <c r="CM76" i="22"/>
  <c r="CA69" i="22"/>
  <c r="CD51" i="22"/>
  <c r="CF18" i="22"/>
  <c r="CF34" i="22"/>
  <c r="CF50" i="22"/>
  <c r="CF66" i="22"/>
  <c r="CF13" i="22"/>
  <c r="CF29" i="22"/>
  <c r="CF8" i="22"/>
  <c r="CF24" i="22"/>
  <c r="CF40" i="22"/>
  <c r="CF19" i="22"/>
  <c r="CF35" i="22"/>
  <c r="CF51" i="22"/>
  <c r="CF14" i="22"/>
  <c r="CF30" i="22"/>
  <c r="CF46" i="22"/>
  <c r="CF62" i="22"/>
  <c r="CF9" i="22"/>
  <c r="CF25" i="22"/>
  <c r="CF41" i="22"/>
  <c r="CF57" i="22"/>
  <c r="CF73" i="22"/>
  <c r="CF15" i="22"/>
  <c r="CF31" i="22"/>
  <c r="CF47" i="22"/>
  <c r="CF10" i="22"/>
  <c r="CF26" i="22"/>
  <c r="CF42" i="22"/>
  <c r="CF58" i="22"/>
  <c r="CF5" i="22"/>
  <c r="CF21" i="22"/>
  <c r="CF37" i="22"/>
  <c r="CF53" i="22"/>
  <c r="CF16" i="22"/>
  <c r="CF32" i="22"/>
  <c r="CF48" i="22"/>
  <c r="CF64" i="22"/>
  <c r="CF11" i="22"/>
  <c r="CF27" i="22"/>
  <c r="CF43" i="22"/>
  <c r="CF59" i="22"/>
  <c r="CF6" i="22"/>
  <c r="CF22" i="22"/>
  <c r="CF38" i="22"/>
  <c r="CF54" i="22"/>
  <c r="CF17" i="22"/>
  <c r="CF33" i="22"/>
  <c r="CF49" i="22"/>
  <c r="CF7" i="22"/>
  <c r="CF12" i="22"/>
  <c r="CF60" i="22"/>
  <c r="CF79" i="22"/>
  <c r="CF95" i="22"/>
  <c r="CF36" i="22"/>
  <c r="CF55" i="22"/>
  <c r="CF90" i="22"/>
  <c r="CF106" i="22"/>
  <c r="CF122" i="22"/>
  <c r="CF45" i="22"/>
  <c r="CF68" i="22"/>
  <c r="CF69" i="22"/>
  <c r="CF85" i="22"/>
  <c r="CF101" i="22"/>
  <c r="CF117" i="22"/>
  <c r="CF23" i="22"/>
  <c r="CF52" i="22"/>
  <c r="CF67" i="22"/>
  <c r="CF70" i="22"/>
  <c r="CF80" i="22"/>
  <c r="CF96" i="22"/>
  <c r="CF112" i="22"/>
  <c r="CF28" i="22"/>
  <c r="CF71" i="22"/>
  <c r="CF72" i="22"/>
  <c r="CF91" i="22"/>
  <c r="CF107" i="22"/>
  <c r="CF123" i="22"/>
  <c r="CF74" i="22"/>
  <c r="CF86" i="22"/>
  <c r="CF102" i="22"/>
  <c r="CF118" i="22"/>
  <c r="CF75" i="22"/>
  <c r="CF81" i="22"/>
  <c r="CF97" i="22"/>
  <c r="CF113" i="22"/>
  <c r="CF63" i="22"/>
  <c r="CF65" i="22"/>
  <c r="CF76" i="22"/>
  <c r="CF92" i="22"/>
  <c r="CF108" i="22"/>
  <c r="CF20" i="22"/>
  <c r="CF56" i="22"/>
  <c r="CF61" i="22"/>
  <c r="CF87" i="22"/>
  <c r="CF103" i="22"/>
  <c r="CF82" i="22"/>
  <c r="CF98" i="22"/>
  <c r="CF77" i="22"/>
  <c r="CF93" i="22"/>
  <c r="CF109" i="22"/>
  <c r="CF88" i="22"/>
  <c r="CF104" i="22"/>
  <c r="CF39" i="22"/>
  <c r="CF83" i="22"/>
  <c r="CF99" i="22"/>
  <c r="CF44" i="22"/>
  <c r="CF84" i="22"/>
  <c r="CF100" i="22"/>
  <c r="CK4" i="22"/>
  <c r="CN149" i="22"/>
  <c r="BX149" i="22"/>
  <c r="CA148" i="22"/>
  <c r="CD147" i="22"/>
  <c r="CG146" i="22"/>
  <c r="CJ145" i="22"/>
  <c r="CM144" i="22"/>
  <c r="BZ143" i="22"/>
  <c r="CC142" i="22"/>
  <c r="CF141" i="22"/>
  <c r="CI140" i="22"/>
  <c r="CL139" i="22"/>
  <c r="CO138" i="22"/>
  <c r="BY138" i="22"/>
  <c r="CB137" i="22"/>
  <c r="CE136" i="22"/>
  <c r="CK134" i="22"/>
  <c r="CN133" i="22"/>
  <c r="BX133" i="22"/>
  <c r="CA132" i="22"/>
  <c r="CD131" i="22"/>
  <c r="CG130" i="22"/>
  <c r="CJ129" i="22"/>
  <c r="CM128" i="22"/>
  <c r="BZ127" i="22"/>
  <c r="CC126" i="22"/>
  <c r="CF125" i="22"/>
  <c r="BZ123" i="22"/>
  <c r="BY122" i="22"/>
  <c r="BX121" i="22"/>
  <c r="CJ119" i="22"/>
  <c r="BY118" i="22"/>
  <c r="CG116" i="22"/>
  <c r="CC115" i="22"/>
  <c r="BZ113" i="22"/>
  <c r="CI109" i="22"/>
  <c r="CK103" i="22"/>
  <c r="CB90" i="22"/>
  <c r="CG83" i="22"/>
  <c r="CL76" i="22"/>
  <c r="BZ69" i="22"/>
  <c r="CH12" i="22"/>
  <c r="CH28" i="22"/>
  <c r="CH44" i="22"/>
  <c r="CH60" i="22"/>
  <c r="CH7" i="22"/>
  <c r="CH23" i="22"/>
  <c r="CH39" i="22"/>
  <c r="CH18" i="22"/>
  <c r="CH34" i="22"/>
  <c r="CH50" i="22"/>
  <c r="CH13" i="22"/>
  <c r="CH29" i="22"/>
  <c r="CH45" i="22"/>
  <c r="CH61" i="22"/>
  <c r="CH8" i="22"/>
  <c r="CH24" i="22"/>
  <c r="CH40" i="22"/>
  <c r="CH56" i="22"/>
  <c r="CH19" i="22"/>
  <c r="CH35" i="22"/>
  <c r="CH51" i="22"/>
  <c r="CH67" i="22"/>
  <c r="CH9" i="22"/>
  <c r="CH25" i="22"/>
  <c r="CH41" i="22"/>
  <c r="CH57" i="22"/>
  <c r="CH20" i="22"/>
  <c r="CH36" i="22"/>
  <c r="CH52" i="22"/>
  <c r="CH15" i="22"/>
  <c r="CH31" i="22"/>
  <c r="CH47" i="22"/>
  <c r="CH63" i="22"/>
  <c r="CH10" i="22"/>
  <c r="CH26" i="22"/>
  <c r="CH42" i="22"/>
  <c r="CH58" i="22"/>
  <c r="CH5" i="22"/>
  <c r="CH21" i="22"/>
  <c r="CH37" i="22"/>
  <c r="CH53" i="22"/>
  <c r="CH16" i="22"/>
  <c r="CH32" i="22"/>
  <c r="CH48" i="22"/>
  <c r="CH64" i="22"/>
  <c r="CH11" i="22"/>
  <c r="CH27" i="22"/>
  <c r="CH43" i="22"/>
  <c r="CH59" i="22"/>
  <c r="CH62" i="22"/>
  <c r="CH89" i="22"/>
  <c r="CH105" i="22"/>
  <c r="CH84" i="22"/>
  <c r="CH100" i="22"/>
  <c r="CH116" i="22"/>
  <c r="CH6" i="22"/>
  <c r="CH55" i="22"/>
  <c r="CH79" i="22"/>
  <c r="CH95" i="22"/>
  <c r="CH111" i="22"/>
  <c r="CH90" i="22"/>
  <c r="CH106" i="22"/>
  <c r="CH122" i="22"/>
  <c r="CH68" i="22"/>
  <c r="CH69" i="22"/>
  <c r="CH85" i="22"/>
  <c r="CH101" i="22"/>
  <c r="CH117" i="22"/>
  <c r="CH14" i="22"/>
  <c r="CH49" i="22"/>
  <c r="CH66" i="22"/>
  <c r="CH70" i="22"/>
  <c r="CH71" i="22"/>
  <c r="CH80" i="22"/>
  <c r="CH96" i="22"/>
  <c r="CH112" i="22"/>
  <c r="CH72" i="22"/>
  <c r="CH73" i="22"/>
  <c r="CH91" i="22"/>
  <c r="CH107" i="22"/>
  <c r="CH33" i="22"/>
  <c r="CH46" i="22"/>
  <c r="CH74" i="22"/>
  <c r="CH86" i="22"/>
  <c r="CH102" i="22"/>
  <c r="CH118" i="22"/>
  <c r="CH38" i="22"/>
  <c r="CH75" i="22"/>
  <c r="CH81" i="22"/>
  <c r="CH97" i="22"/>
  <c r="CH113" i="22"/>
  <c r="CH65" i="22"/>
  <c r="CH76" i="22"/>
  <c r="CH92" i="22"/>
  <c r="CH108" i="22"/>
  <c r="CH87" i="22"/>
  <c r="CH103" i="22"/>
  <c r="CH82" i="22"/>
  <c r="CH98" i="22"/>
  <c r="CH30" i="22"/>
  <c r="CH54" i="22"/>
  <c r="CH77" i="22"/>
  <c r="CH93" i="22"/>
  <c r="CH109" i="22"/>
  <c r="CH22" i="22"/>
  <c r="CH78" i="22"/>
  <c r="CH94" i="22"/>
  <c r="CH110" i="22"/>
  <c r="CE13" i="22"/>
  <c r="CE29" i="22"/>
  <c r="CE45" i="22"/>
  <c r="CE61" i="22"/>
  <c r="CE8" i="22"/>
  <c r="CE24" i="22"/>
  <c r="CE40" i="22"/>
  <c r="CE19" i="22"/>
  <c r="CE35" i="22"/>
  <c r="CE51" i="22"/>
  <c r="CE14" i="22"/>
  <c r="CE30" i="22"/>
  <c r="CE46" i="22"/>
  <c r="CE62" i="22"/>
  <c r="CE9" i="22"/>
  <c r="CE25" i="22"/>
  <c r="CE41" i="22"/>
  <c r="CE57" i="22"/>
  <c r="CE20" i="22"/>
  <c r="CE36" i="22"/>
  <c r="CE52" i="22"/>
  <c r="CE68" i="22"/>
  <c r="CE10" i="22"/>
  <c r="CE26" i="22"/>
  <c r="CE42" i="22"/>
  <c r="CE58" i="22"/>
  <c r="CE5" i="22"/>
  <c r="CE21" i="22"/>
  <c r="CE37" i="22"/>
  <c r="CE53" i="22"/>
  <c r="CE16" i="22"/>
  <c r="CE32" i="22"/>
  <c r="CE48" i="22"/>
  <c r="CE64" i="22"/>
  <c r="CE11" i="22"/>
  <c r="CE27" i="22"/>
  <c r="CE43" i="22"/>
  <c r="CE59" i="22"/>
  <c r="CE6" i="22"/>
  <c r="CE22" i="22"/>
  <c r="CE38" i="22"/>
  <c r="CE54" i="22"/>
  <c r="CE17" i="22"/>
  <c r="CE33" i="22"/>
  <c r="CE49" i="22"/>
  <c r="CE65" i="22"/>
  <c r="CE12" i="22"/>
  <c r="CE28" i="22"/>
  <c r="CE44" i="22"/>
  <c r="CE60" i="22"/>
  <c r="CE55" i="22"/>
  <c r="CE90" i="22"/>
  <c r="CE106" i="22"/>
  <c r="CE18" i="22"/>
  <c r="CE69" i="22"/>
  <c r="CE85" i="22"/>
  <c r="CE101" i="22"/>
  <c r="CE117" i="22"/>
  <c r="CE23" i="22"/>
  <c r="CE67" i="22"/>
  <c r="CE70" i="22"/>
  <c r="CE80" i="22"/>
  <c r="CE96" i="22"/>
  <c r="CE112" i="22"/>
  <c r="CE66" i="22"/>
  <c r="CE71" i="22"/>
  <c r="CE72" i="22"/>
  <c r="CE91" i="22"/>
  <c r="CE107" i="22"/>
  <c r="CE123" i="22"/>
  <c r="CE7" i="22"/>
  <c r="CE73" i="22"/>
  <c r="CE74" i="22"/>
  <c r="CE86" i="22"/>
  <c r="CE102" i="22"/>
  <c r="CE118" i="22"/>
  <c r="CE75" i="22"/>
  <c r="CE81" i="22"/>
  <c r="CE97" i="22"/>
  <c r="CE113" i="22"/>
  <c r="CE63" i="22"/>
  <c r="CE76" i="22"/>
  <c r="CE92" i="22"/>
  <c r="CE108" i="22"/>
  <c r="CE15" i="22"/>
  <c r="CE56" i="22"/>
  <c r="CE87" i="22"/>
  <c r="CE103" i="22"/>
  <c r="CE119" i="22"/>
  <c r="CE82" i="22"/>
  <c r="CE98" i="22"/>
  <c r="CE50" i="22"/>
  <c r="CE77" i="22"/>
  <c r="CE93" i="22"/>
  <c r="CE109" i="22"/>
  <c r="CE34" i="22"/>
  <c r="CE88" i="22"/>
  <c r="CE104" i="22"/>
  <c r="CE39" i="22"/>
  <c r="CE47" i="22"/>
  <c r="CE83" i="22"/>
  <c r="CE99" i="22"/>
  <c r="CE78" i="22"/>
  <c r="CE94" i="22"/>
  <c r="CE110" i="22"/>
  <c r="CE31" i="22"/>
  <c r="CE79" i="22"/>
  <c r="CE95" i="22"/>
  <c r="CE111" i="22"/>
  <c r="CJ4" i="22"/>
  <c r="CM149" i="22"/>
  <c r="BZ148" i="22"/>
  <c r="CC147" i="22"/>
  <c r="CF146" i="22"/>
  <c r="CI145" i="22"/>
  <c r="CL144" i="22"/>
  <c r="CO143" i="22"/>
  <c r="BY143" i="22"/>
  <c r="CB142" i="22"/>
  <c r="CE141" i="22"/>
  <c r="CH140" i="22"/>
  <c r="CK139" i="22"/>
  <c r="CN138" i="22"/>
  <c r="BX138" i="22"/>
  <c r="CA137" i="22"/>
  <c r="CD136" i="22"/>
  <c r="CG135" i="22"/>
  <c r="CJ134" i="22"/>
  <c r="CM133" i="22"/>
  <c r="BZ132" i="22"/>
  <c r="CC131" i="22"/>
  <c r="CF130" i="22"/>
  <c r="CI129" i="22"/>
  <c r="CO127" i="22"/>
  <c r="BY127" i="22"/>
  <c r="CB126" i="22"/>
  <c r="CE125" i="22"/>
  <c r="BY123" i="22"/>
  <c r="BX122" i="22"/>
  <c r="BX118" i="22"/>
  <c r="CF116" i="22"/>
  <c r="CB115" i="22"/>
  <c r="BY113" i="22"/>
  <c r="CO108" i="22"/>
  <c r="CO102" i="22"/>
  <c r="CA96" i="22"/>
  <c r="CF89" i="22"/>
  <c r="CK82" i="22"/>
  <c r="CO75" i="22"/>
  <c r="CA68" i="22"/>
  <c r="CL16" i="22"/>
  <c r="CL32" i="22"/>
  <c r="CL48" i="22"/>
  <c r="CL64" i="22"/>
  <c r="CL11" i="22"/>
  <c r="CL27" i="22"/>
  <c r="CL43" i="22"/>
  <c r="CL6" i="22"/>
  <c r="CL22" i="22"/>
  <c r="CL38" i="22"/>
  <c r="CL54" i="22"/>
  <c r="CL17" i="22"/>
  <c r="CL33" i="22"/>
  <c r="CL49" i="22"/>
  <c r="CL65" i="22"/>
  <c r="CL12" i="22"/>
  <c r="CL28" i="22"/>
  <c r="CL44" i="22"/>
  <c r="CL60" i="22"/>
  <c r="CL7" i="22"/>
  <c r="CL23" i="22"/>
  <c r="CL39" i="22"/>
  <c r="CL55" i="22"/>
  <c r="CL71" i="22"/>
  <c r="CL13" i="22"/>
  <c r="CL29" i="22"/>
  <c r="CL45" i="22"/>
  <c r="CL8" i="22"/>
  <c r="CL24" i="22"/>
  <c r="CL40" i="22"/>
  <c r="CL56" i="22"/>
  <c r="CL19" i="22"/>
  <c r="CL35" i="22"/>
  <c r="CL51" i="22"/>
  <c r="CL14" i="22"/>
  <c r="CL30" i="22"/>
  <c r="CL46" i="22"/>
  <c r="CL62" i="22"/>
  <c r="CL9" i="22"/>
  <c r="CL25" i="22"/>
  <c r="CL41" i="22"/>
  <c r="CL57" i="22"/>
  <c r="CL20" i="22"/>
  <c r="CL36" i="22"/>
  <c r="CL52" i="22"/>
  <c r="CL68" i="22"/>
  <c r="CL15" i="22"/>
  <c r="CL31" i="22"/>
  <c r="CL47" i="22"/>
  <c r="CL5" i="22"/>
  <c r="CL77" i="22"/>
  <c r="CL93" i="22"/>
  <c r="CL88" i="22"/>
  <c r="CL104" i="22"/>
  <c r="CL120" i="22"/>
  <c r="CL18" i="22"/>
  <c r="CL83" i="22"/>
  <c r="CL99" i="22"/>
  <c r="CL115" i="22"/>
  <c r="CL78" i="22"/>
  <c r="CL94" i="22"/>
  <c r="CL110" i="22"/>
  <c r="CL58" i="22"/>
  <c r="CL89" i="22"/>
  <c r="CL105" i="22"/>
  <c r="CL121" i="22"/>
  <c r="CL84" i="22"/>
  <c r="CL100" i="22"/>
  <c r="CL116" i="22"/>
  <c r="CL37" i="22"/>
  <c r="CL79" i="22"/>
  <c r="CL95" i="22"/>
  <c r="CL111" i="22"/>
  <c r="CL42" i="22"/>
  <c r="CL90" i="22"/>
  <c r="CL106" i="22"/>
  <c r="CL63" i="22"/>
  <c r="CL66" i="22"/>
  <c r="CL67" i="22"/>
  <c r="CL69" i="22"/>
  <c r="CL70" i="22"/>
  <c r="CL85" i="22"/>
  <c r="CL101" i="22"/>
  <c r="CL53" i="22"/>
  <c r="CL72" i="22"/>
  <c r="CL80" i="22"/>
  <c r="CL96" i="22"/>
  <c r="CL112" i="22"/>
  <c r="CL73" i="22"/>
  <c r="CL91" i="22"/>
  <c r="CL107" i="22"/>
  <c r="CL34" i="22"/>
  <c r="CL50" i="22"/>
  <c r="CL61" i="22"/>
  <c r="CL74" i="22"/>
  <c r="CL75" i="22"/>
  <c r="CL86" i="22"/>
  <c r="CL102" i="22"/>
  <c r="CL10" i="22"/>
  <c r="CL59" i="22"/>
  <c r="CL81" i="22"/>
  <c r="CL97" i="22"/>
  <c r="CL21" i="22"/>
  <c r="CL82" i="22"/>
  <c r="CL98" i="22"/>
  <c r="CI17" i="22"/>
  <c r="CI33" i="22"/>
  <c r="CI49" i="22"/>
  <c r="CI65" i="22"/>
  <c r="CI12" i="22"/>
  <c r="CI28" i="22"/>
  <c r="CI44" i="22"/>
  <c r="CI7" i="22"/>
  <c r="CI23" i="22"/>
  <c r="CI39" i="22"/>
  <c r="CI18" i="22"/>
  <c r="CI34" i="22"/>
  <c r="CI50" i="22"/>
  <c r="CI13" i="22"/>
  <c r="CI29" i="22"/>
  <c r="CI45" i="22"/>
  <c r="CI61" i="22"/>
  <c r="CI8" i="22"/>
  <c r="CI24" i="22"/>
  <c r="CI40" i="22"/>
  <c r="CI56" i="22"/>
  <c r="CI72" i="22"/>
  <c r="CI14" i="22"/>
  <c r="CI30" i="22"/>
  <c r="CI46" i="22"/>
  <c r="CI9" i="22"/>
  <c r="CI25" i="22"/>
  <c r="CI41" i="22"/>
  <c r="CI57" i="22"/>
  <c r="CI20" i="22"/>
  <c r="CI36" i="22"/>
  <c r="CI52" i="22"/>
  <c r="CI15" i="22"/>
  <c r="CI31" i="22"/>
  <c r="CI47" i="22"/>
  <c r="CI63" i="22"/>
  <c r="CI10" i="22"/>
  <c r="CI26" i="22"/>
  <c r="CI42" i="22"/>
  <c r="CI58" i="22"/>
  <c r="CI5" i="22"/>
  <c r="CI21" i="22"/>
  <c r="CI37" i="22"/>
  <c r="CI53" i="22"/>
  <c r="CI16" i="22"/>
  <c r="CI32" i="22"/>
  <c r="CI48" i="22"/>
  <c r="CI6" i="22"/>
  <c r="CI22" i="22"/>
  <c r="CI78" i="22"/>
  <c r="CI94" i="22"/>
  <c r="CI27" i="22"/>
  <c r="CI62" i="22"/>
  <c r="CI89" i="22"/>
  <c r="CI105" i="22"/>
  <c r="CI121" i="22"/>
  <c r="CI60" i="22"/>
  <c r="CI84" i="22"/>
  <c r="CI100" i="22"/>
  <c r="CI116" i="22"/>
  <c r="CI55" i="22"/>
  <c r="CI79" i="22"/>
  <c r="CI95" i="22"/>
  <c r="CI111" i="22"/>
  <c r="CI90" i="22"/>
  <c r="CI106" i="22"/>
  <c r="CI122" i="22"/>
  <c r="CI19" i="22"/>
  <c r="CI67" i="22"/>
  <c r="CI68" i="22"/>
  <c r="CI69" i="22"/>
  <c r="CI85" i="22"/>
  <c r="CI101" i="22"/>
  <c r="CI117" i="22"/>
  <c r="CI66" i="22"/>
  <c r="CI70" i="22"/>
  <c r="CI71" i="22"/>
  <c r="CI80" i="22"/>
  <c r="CI96" i="22"/>
  <c r="CI112" i="22"/>
  <c r="CI73" i="22"/>
  <c r="CI91" i="22"/>
  <c r="CI107" i="22"/>
  <c r="CI74" i="22"/>
  <c r="CI86" i="22"/>
  <c r="CI102" i="22"/>
  <c r="CI38" i="22"/>
  <c r="CI75" i="22"/>
  <c r="CI81" i="22"/>
  <c r="CI97" i="22"/>
  <c r="CI113" i="22"/>
  <c r="CI43" i="22"/>
  <c r="CI59" i="22"/>
  <c r="CI76" i="22"/>
  <c r="CI92" i="22"/>
  <c r="CI108" i="22"/>
  <c r="CI87" i="22"/>
  <c r="CI103" i="22"/>
  <c r="CI82" i="22"/>
  <c r="CI98" i="22"/>
  <c r="CI54" i="22"/>
  <c r="CI51" i="22"/>
  <c r="CI64" i="22"/>
  <c r="CI83" i="22"/>
  <c r="CI99" i="22"/>
  <c r="CG7" i="22"/>
  <c r="CG23" i="22"/>
  <c r="CG39" i="22"/>
  <c r="CG55" i="22"/>
  <c r="CG71" i="22"/>
  <c r="CG18" i="22"/>
  <c r="CG34" i="22"/>
  <c r="CG13" i="22"/>
  <c r="CG29" i="22"/>
  <c r="CG45" i="22"/>
  <c r="CG8" i="22"/>
  <c r="CG24" i="22"/>
  <c r="CG40" i="22"/>
  <c r="CG56" i="22"/>
  <c r="CG19" i="22"/>
  <c r="CG35" i="22"/>
  <c r="CG51" i="22"/>
  <c r="CG14" i="22"/>
  <c r="CG30" i="22"/>
  <c r="CG46" i="22"/>
  <c r="CG62" i="22"/>
  <c r="CG20" i="22"/>
  <c r="CG36" i="22"/>
  <c r="CG52" i="22"/>
  <c r="CG15" i="22"/>
  <c r="CG31" i="22"/>
  <c r="CG47" i="22"/>
  <c r="CG63" i="22"/>
  <c r="CG10" i="22"/>
  <c r="CG26" i="22"/>
  <c r="CG42" i="22"/>
  <c r="CG58" i="22"/>
  <c r="CG5" i="22"/>
  <c r="CG21" i="22"/>
  <c r="CG37" i="22"/>
  <c r="CG53" i="22"/>
  <c r="CG16" i="22"/>
  <c r="CG32" i="22"/>
  <c r="CG48" i="22"/>
  <c r="CG64" i="22"/>
  <c r="CG11" i="22"/>
  <c r="CG27" i="22"/>
  <c r="CG43" i="22"/>
  <c r="CG59" i="22"/>
  <c r="CG6" i="22"/>
  <c r="CG22" i="22"/>
  <c r="CG38" i="22"/>
  <c r="CG54" i="22"/>
  <c r="CG12" i="22"/>
  <c r="CG84" i="22"/>
  <c r="CG100" i="22"/>
  <c r="CG60" i="22"/>
  <c r="CG79" i="22"/>
  <c r="CG95" i="22"/>
  <c r="CG111" i="22"/>
  <c r="CG90" i="22"/>
  <c r="CG106" i="22"/>
  <c r="CG122" i="22"/>
  <c r="CG41" i="22"/>
  <c r="CG68" i="22"/>
  <c r="CG69" i="22"/>
  <c r="CG85" i="22"/>
  <c r="CG101" i="22"/>
  <c r="CG117" i="22"/>
  <c r="CG49" i="22"/>
  <c r="CG66" i="22"/>
  <c r="CG67" i="22"/>
  <c r="CG70" i="22"/>
  <c r="CG80" i="22"/>
  <c r="CG96" i="22"/>
  <c r="CG112" i="22"/>
  <c r="CG28" i="22"/>
  <c r="CG72" i="22"/>
  <c r="CG73" i="22"/>
  <c r="CG91" i="22"/>
  <c r="CG107" i="22"/>
  <c r="CG33" i="22"/>
  <c r="CG74" i="22"/>
  <c r="CG86" i="22"/>
  <c r="CG102" i="22"/>
  <c r="CG118" i="22"/>
  <c r="CG75" i="22"/>
  <c r="CG81" i="22"/>
  <c r="CG97" i="22"/>
  <c r="CG113" i="22"/>
  <c r="CG65" i="22"/>
  <c r="CG76" i="22"/>
  <c r="CG92" i="22"/>
  <c r="CG108" i="22"/>
  <c r="CG9" i="22"/>
  <c r="CG61" i="22"/>
  <c r="CG87" i="22"/>
  <c r="CG103" i="22"/>
  <c r="CG25" i="22"/>
  <c r="CG50" i="22"/>
  <c r="CG82" i="22"/>
  <c r="CG98" i="22"/>
  <c r="CG77" i="22"/>
  <c r="CG93" i="22"/>
  <c r="CG109" i="22"/>
  <c r="CG88" i="22"/>
  <c r="CG104" i="22"/>
  <c r="CG17" i="22"/>
  <c r="CG89" i="22"/>
  <c r="CG105" i="22"/>
  <c r="CD8" i="22"/>
  <c r="CD24" i="22"/>
  <c r="CD40" i="22"/>
  <c r="CD56" i="22"/>
  <c r="CD72" i="22"/>
  <c r="CD19" i="22"/>
  <c r="CD35" i="22"/>
  <c r="CD14" i="22"/>
  <c r="CD30" i="22"/>
  <c r="CD46" i="22"/>
  <c r="CD9" i="22"/>
  <c r="CD25" i="22"/>
  <c r="CD41" i="22"/>
  <c r="CD57" i="22"/>
  <c r="CD20" i="22"/>
  <c r="CD36" i="22"/>
  <c r="CD52" i="22"/>
  <c r="CD15" i="22"/>
  <c r="CD31" i="22"/>
  <c r="CD47" i="22"/>
  <c r="CD63" i="22"/>
  <c r="CD5" i="22"/>
  <c r="CD21" i="22"/>
  <c r="CD37" i="22"/>
  <c r="CD53" i="22"/>
  <c r="CD16" i="22"/>
  <c r="CD32" i="22"/>
  <c r="CD48" i="22"/>
  <c r="CD64" i="22"/>
  <c r="CD11" i="22"/>
  <c r="CD27" i="22"/>
  <c r="CD43" i="22"/>
  <c r="CD59" i="22"/>
  <c r="CD6" i="22"/>
  <c r="CD22" i="22"/>
  <c r="CD38" i="22"/>
  <c r="CD54" i="22"/>
  <c r="CD17" i="22"/>
  <c r="CD33" i="22"/>
  <c r="CD49" i="22"/>
  <c r="CD65" i="22"/>
  <c r="CD12" i="22"/>
  <c r="CD28" i="22"/>
  <c r="CD44" i="22"/>
  <c r="CD60" i="22"/>
  <c r="CD7" i="22"/>
  <c r="CD23" i="22"/>
  <c r="CD39" i="22"/>
  <c r="CD55" i="22"/>
  <c r="CD13" i="22"/>
  <c r="CD18" i="22"/>
  <c r="CD69" i="22"/>
  <c r="CD85" i="22"/>
  <c r="CD101" i="22"/>
  <c r="CD45" i="22"/>
  <c r="CD67" i="22"/>
  <c r="CD68" i="22"/>
  <c r="CD70" i="22"/>
  <c r="CD80" i="22"/>
  <c r="CD96" i="22"/>
  <c r="CD112" i="22"/>
  <c r="CD66" i="22"/>
  <c r="CD71" i="22"/>
  <c r="CD91" i="22"/>
  <c r="CD107" i="22"/>
  <c r="CD123" i="22"/>
  <c r="CD58" i="22"/>
  <c r="CD73" i="22"/>
  <c r="CD74" i="22"/>
  <c r="CD86" i="22"/>
  <c r="CD102" i="22"/>
  <c r="CD118" i="22"/>
  <c r="CD75" i="22"/>
  <c r="CD81" i="22"/>
  <c r="CD97" i="22"/>
  <c r="CD113" i="22"/>
  <c r="CD76" i="22"/>
  <c r="CD92" i="22"/>
  <c r="CD108" i="22"/>
  <c r="CD42" i="22"/>
  <c r="CD87" i="22"/>
  <c r="CD103" i="22"/>
  <c r="CD119" i="22"/>
  <c r="CD61" i="22"/>
  <c r="CD82" i="22"/>
  <c r="CD98" i="22"/>
  <c r="CD114" i="22"/>
  <c r="CD29" i="22"/>
  <c r="CD50" i="22"/>
  <c r="CD77" i="22"/>
  <c r="CD93" i="22"/>
  <c r="CD109" i="22"/>
  <c r="CD34" i="22"/>
  <c r="CD88" i="22"/>
  <c r="CD104" i="22"/>
  <c r="CD83" i="22"/>
  <c r="CD99" i="22"/>
  <c r="CD10" i="22"/>
  <c r="CD78" i="22"/>
  <c r="CD94" i="22"/>
  <c r="CD110" i="22"/>
  <c r="CD89" i="22"/>
  <c r="CD105" i="22"/>
  <c r="CD26" i="22"/>
  <c r="CD62" i="22"/>
  <c r="CD90" i="22"/>
  <c r="CD106" i="22"/>
  <c r="CI4" i="22"/>
  <c r="CL149" i="22"/>
  <c r="CO148" i="22"/>
  <c r="BY148" i="22"/>
  <c r="CB147" i="22"/>
  <c r="CE146" i="22"/>
  <c r="CH145" i="22"/>
  <c r="CK144" i="22"/>
  <c r="CN143" i="22"/>
  <c r="BX143" i="22"/>
  <c r="CA142" i="22"/>
  <c r="CD141" i="22"/>
  <c r="CG140" i="22"/>
  <c r="CJ139" i="22"/>
  <c r="CM138" i="22"/>
  <c r="BZ137" i="22"/>
  <c r="CF135" i="22"/>
  <c r="CI134" i="22"/>
  <c r="CL133" i="22"/>
  <c r="CO132" i="22"/>
  <c r="BY132" i="22"/>
  <c r="CB131" i="22"/>
  <c r="CE130" i="22"/>
  <c r="CH129" i="22"/>
  <c r="CK128" i="22"/>
  <c r="CN127" i="22"/>
  <c r="BX127" i="22"/>
  <c r="CA126" i="22"/>
  <c r="CD125" i="22"/>
  <c r="BY124" i="22"/>
  <c r="BX123" i="22"/>
  <c r="CK120" i="22"/>
  <c r="CH119" i="22"/>
  <c r="CE116" i="22"/>
  <c r="CM114" i="22"/>
  <c r="BX113" i="22"/>
  <c r="CM108" i="22"/>
  <c r="CN102" i="22"/>
  <c r="BZ96" i="22"/>
  <c r="CE89" i="22"/>
  <c r="CJ82" i="22"/>
  <c r="CN75" i="22"/>
  <c r="BY68" i="22"/>
  <c r="CB40" i="22"/>
  <c r="CC19" i="22"/>
  <c r="CC35" i="22"/>
  <c r="CC51" i="22"/>
  <c r="CC67" i="22"/>
  <c r="CC14" i="22"/>
  <c r="CC30" i="22"/>
  <c r="CC9" i="22"/>
  <c r="CC25" i="22"/>
  <c r="CC41" i="22"/>
  <c r="CC20" i="22"/>
  <c r="CC36" i="22"/>
  <c r="CC52" i="22"/>
  <c r="CC15" i="22"/>
  <c r="CC31" i="22"/>
  <c r="CC47" i="22"/>
  <c r="CC63" i="22"/>
  <c r="CC10" i="22"/>
  <c r="CC26" i="22"/>
  <c r="CC42" i="22"/>
  <c r="CC58" i="22"/>
  <c r="CC74" i="22"/>
  <c r="CC5" i="22"/>
  <c r="CC16" i="22"/>
  <c r="CC32" i="22"/>
  <c r="CC48" i="22"/>
  <c r="CC11" i="22"/>
  <c r="CC27" i="22"/>
  <c r="CC43" i="22"/>
  <c r="CC59" i="22"/>
  <c r="CC6" i="22"/>
  <c r="CC22" i="22"/>
  <c r="CC38" i="22"/>
  <c r="CC54" i="22"/>
  <c r="CC17" i="22"/>
  <c r="CC33" i="22"/>
  <c r="CC49" i="22"/>
  <c r="CC65" i="22"/>
  <c r="CC12" i="22"/>
  <c r="CC28" i="22"/>
  <c r="CC44" i="22"/>
  <c r="CC60" i="22"/>
  <c r="CC7" i="22"/>
  <c r="CC23" i="22"/>
  <c r="CC39" i="22"/>
  <c r="CC55" i="22"/>
  <c r="CC18" i="22"/>
  <c r="CC34" i="22"/>
  <c r="CC50" i="22"/>
  <c r="CC8" i="22"/>
  <c r="CC45" i="22"/>
  <c r="CC68" i="22"/>
  <c r="CC70" i="22"/>
  <c r="CC80" i="22"/>
  <c r="CC96" i="22"/>
  <c r="CC66" i="22"/>
  <c r="CC71" i="22"/>
  <c r="CC91" i="22"/>
  <c r="CC107" i="22"/>
  <c r="CC123" i="22"/>
  <c r="CC13" i="22"/>
  <c r="CC72" i="22"/>
  <c r="CC73" i="22"/>
  <c r="CC86" i="22"/>
  <c r="CC102" i="22"/>
  <c r="CC118" i="22"/>
  <c r="CC75" i="22"/>
  <c r="CC81" i="22"/>
  <c r="CC97" i="22"/>
  <c r="CC113" i="22"/>
  <c r="CC37" i="22"/>
  <c r="CC76" i="22"/>
  <c r="CC92" i="22"/>
  <c r="CC108" i="22"/>
  <c r="CC124" i="22"/>
  <c r="CC87" i="22"/>
  <c r="CC103" i="22"/>
  <c r="CC119" i="22"/>
  <c r="CC24" i="22"/>
  <c r="CC46" i="22"/>
  <c r="CC56" i="22"/>
  <c r="CC61" i="22"/>
  <c r="CC82" i="22"/>
  <c r="CC98" i="22"/>
  <c r="CC114" i="22"/>
  <c r="CC29" i="22"/>
  <c r="CC53" i="22"/>
  <c r="CC77" i="22"/>
  <c r="CC93" i="22"/>
  <c r="CC109" i="22"/>
  <c r="CC88" i="22"/>
  <c r="CC104" i="22"/>
  <c r="CC83" i="22"/>
  <c r="CC99" i="22"/>
  <c r="CC78" i="22"/>
  <c r="CC94" i="22"/>
  <c r="CC110" i="22"/>
  <c r="CC21" i="22"/>
  <c r="CC89" i="22"/>
  <c r="CC105" i="22"/>
  <c r="CC84" i="22"/>
  <c r="CC100" i="22"/>
  <c r="CC57" i="22"/>
  <c r="CC40" i="22"/>
  <c r="CC69" i="22"/>
  <c r="CC85" i="22"/>
  <c r="CC101" i="22"/>
  <c r="CH4" i="22"/>
  <c r="CK149" i="22"/>
  <c r="CN148" i="22"/>
  <c r="BX148" i="22"/>
  <c r="CA147" i="22"/>
  <c r="CD146" i="22"/>
  <c r="CG145" i="22"/>
  <c r="CJ144" i="22"/>
  <c r="CM143" i="22"/>
  <c r="BZ142" i="22"/>
  <c r="CC141" i="22"/>
  <c r="CF140" i="22"/>
  <c r="CI139" i="22"/>
  <c r="CL138" i="22"/>
  <c r="CO137" i="22"/>
  <c r="BY137" i="22"/>
  <c r="CE135" i="22"/>
  <c r="CH134" i="22"/>
  <c r="CK133" i="22"/>
  <c r="CN132" i="22"/>
  <c r="BX132" i="22"/>
  <c r="CA131" i="22"/>
  <c r="CD130" i="22"/>
  <c r="CG129" i="22"/>
  <c r="CJ128" i="22"/>
  <c r="CM127" i="22"/>
  <c r="BZ126" i="22"/>
  <c r="CC125" i="22"/>
  <c r="BX124" i="22"/>
  <c r="CO121" i="22"/>
  <c r="CJ120" i="22"/>
  <c r="CG119" i="22"/>
  <c r="CO117" i="22"/>
  <c r="CD116" i="22"/>
  <c r="CL114" i="22"/>
  <c r="CL108" i="22"/>
  <c r="BY102" i="22"/>
  <c r="CD95" i="22"/>
  <c r="CI88" i="22"/>
  <c r="CN81" i="22"/>
  <c r="BZ67" i="22"/>
  <c r="CI35" i="22"/>
  <c r="CL92" i="22"/>
  <c r="CK125" i="22"/>
  <c r="CB14" i="22"/>
  <c r="CB30" i="22"/>
  <c r="CB46" i="22"/>
  <c r="CB62" i="22"/>
  <c r="CB9" i="22"/>
  <c r="CB25" i="22"/>
  <c r="CB41" i="22"/>
  <c r="CB20" i="22"/>
  <c r="CB36" i="22"/>
  <c r="CB52" i="22"/>
  <c r="CB15" i="22"/>
  <c r="CB31" i="22"/>
  <c r="CB47" i="22"/>
  <c r="CB63" i="22"/>
  <c r="CB10" i="22"/>
  <c r="CB26" i="22"/>
  <c r="CB42" i="22"/>
  <c r="CB58" i="22"/>
  <c r="CB5" i="22"/>
  <c r="CB21" i="22"/>
  <c r="CB37" i="22"/>
  <c r="CB53" i="22"/>
  <c r="CB69" i="22"/>
  <c r="CB11" i="22"/>
  <c r="CB27" i="22"/>
  <c r="CB43" i="22"/>
  <c r="CB6" i="22"/>
  <c r="CB22" i="22"/>
  <c r="CB38" i="22"/>
  <c r="CB54" i="22"/>
  <c r="CB17" i="22"/>
  <c r="CB33" i="22"/>
  <c r="CB49" i="22"/>
  <c r="CB65" i="22"/>
  <c r="CB12" i="22"/>
  <c r="CB28" i="22"/>
  <c r="CB44" i="22"/>
  <c r="CB60" i="22"/>
  <c r="CB7" i="22"/>
  <c r="CB23" i="22"/>
  <c r="CB39" i="22"/>
  <c r="CB55" i="22"/>
  <c r="CB18" i="22"/>
  <c r="CB34" i="22"/>
  <c r="CB50" i="22"/>
  <c r="CB66" i="22"/>
  <c r="CB13" i="22"/>
  <c r="CB29" i="22"/>
  <c r="CB45" i="22"/>
  <c r="CB61" i="22"/>
  <c r="CB67" i="22"/>
  <c r="CB71" i="22"/>
  <c r="CB91" i="22"/>
  <c r="CB107" i="22"/>
  <c r="CB72" i="22"/>
  <c r="CB73" i="22"/>
  <c r="CB86" i="22"/>
  <c r="CB102" i="22"/>
  <c r="CB118" i="22"/>
  <c r="CB32" i="22"/>
  <c r="CB74" i="22"/>
  <c r="CB75" i="22"/>
  <c r="CB81" i="22"/>
  <c r="CB97" i="22"/>
  <c r="CB113" i="22"/>
  <c r="CB76" i="22"/>
  <c r="CB92" i="22"/>
  <c r="CB108" i="22"/>
  <c r="CB124" i="22"/>
  <c r="CB19" i="22"/>
  <c r="CB87" i="22"/>
  <c r="CB103" i="22"/>
  <c r="CB119" i="22"/>
  <c r="CB24" i="22"/>
  <c r="CB56" i="22"/>
  <c r="CB82" i="22"/>
  <c r="CB98" i="22"/>
  <c r="CB114" i="22"/>
  <c r="CB8" i="22"/>
  <c r="CB77" i="22"/>
  <c r="CB93" i="22"/>
  <c r="CB109" i="22"/>
  <c r="CB88" i="22"/>
  <c r="CB104" i="22"/>
  <c r="CB83" i="22"/>
  <c r="CB99" i="22"/>
  <c r="CB16" i="22"/>
  <c r="CB59" i="22"/>
  <c r="CB78" i="22"/>
  <c r="CB94" i="22"/>
  <c r="CB110" i="22"/>
  <c r="CB89" i="22"/>
  <c r="CB105" i="22"/>
  <c r="CB84" i="22"/>
  <c r="CB100" i="22"/>
  <c r="CB57" i="22"/>
  <c r="CB79" i="22"/>
  <c r="CB95" i="22"/>
  <c r="CB111" i="22"/>
  <c r="CB35" i="22"/>
  <c r="CB51" i="22"/>
  <c r="CB48" i="22"/>
  <c r="CB68" i="22"/>
  <c r="CB70" i="22"/>
  <c r="CB80" i="22"/>
  <c r="CB96" i="22"/>
  <c r="CG4" i="22"/>
  <c r="CJ149" i="22"/>
  <c r="CM148" i="22"/>
  <c r="BZ147" i="22"/>
  <c r="CC146" i="22"/>
  <c r="CF145" i="22"/>
  <c r="CI144" i="22"/>
  <c r="CL143" i="22"/>
  <c r="CO142" i="22"/>
  <c r="BY142" i="22"/>
  <c r="CB141" i="22"/>
  <c r="CE140" i="22"/>
  <c r="CH139" i="22"/>
  <c r="CK138" i="22"/>
  <c r="CN137" i="22"/>
  <c r="BX137" i="22"/>
  <c r="CD135" i="22"/>
  <c r="CG134" i="22"/>
  <c r="CJ133" i="22"/>
  <c r="CM132" i="22"/>
  <c r="BZ131" i="22"/>
  <c r="CC130" i="22"/>
  <c r="CF129" i="22"/>
  <c r="CI128" i="22"/>
  <c r="CL127" i="22"/>
  <c r="CO126" i="22"/>
  <c r="BY126" i="22"/>
  <c r="CB125" i="22"/>
  <c r="CO122" i="22"/>
  <c r="CN121" i="22"/>
  <c r="CI120" i="22"/>
  <c r="CF119" i="22"/>
  <c r="CN117" i="22"/>
  <c r="CC116" i="22"/>
  <c r="CK114" i="22"/>
  <c r="CC112" i="22"/>
  <c r="BY108" i="22"/>
  <c r="BX102" i="22"/>
  <c r="CC95" i="22"/>
  <c r="CH88" i="22"/>
  <c r="CM81" i="22"/>
  <c r="CO74" i="22"/>
  <c r="BX67" i="22"/>
  <c r="BX31" i="22"/>
  <c r="CL146" i="22"/>
  <c r="CA9" i="22"/>
  <c r="CA25" i="22"/>
  <c r="CA41" i="22"/>
  <c r="CA57" i="22"/>
  <c r="CA73" i="22"/>
  <c r="CA20" i="22"/>
  <c r="CA36" i="22"/>
  <c r="CA15" i="22"/>
  <c r="CA31" i="22"/>
  <c r="CA47" i="22"/>
  <c r="CA10" i="22"/>
  <c r="CA26" i="22"/>
  <c r="CA42" i="22"/>
  <c r="CA58" i="22"/>
  <c r="CA5" i="22"/>
  <c r="CA21" i="22"/>
  <c r="CA37" i="22"/>
  <c r="CA53" i="22"/>
  <c r="CA16" i="22"/>
  <c r="CA32" i="22"/>
  <c r="CA48" i="22"/>
  <c r="CA64" i="22"/>
  <c r="CA6" i="22"/>
  <c r="CA22" i="22"/>
  <c r="CA38" i="22"/>
  <c r="CA54" i="22"/>
  <c r="CA17" i="22"/>
  <c r="CA33" i="22"/>
  <c r="CA49" i="22"/>
  <c r="CA12" i="22"/>
  <c r="CA28" i="22"/>
  <c r="CA44" i="22"/>
  <c r="CA60" i="22"/>
  <c r="CA7" i="22"/>
  <c r="CA23" i="22"/>
  <c r="CA39" i="22"/>
  <c r="CA55" i="22"/>
  <c r="CA18" i="22"/>
  <c r="CA34" i="22"/>
  <c r="CA50" i="22"/>
  <c r="CA13" i="22"/>
  <c r="CA29" i="22"/>
  <c r="CA45" i="22"/>
  <c r="CA61" i="22"/>
  <c r="CA8" i="22"/>
  <c r="CA24" i="22"/>
  <c r="CA40" i="22"/>
  <c r="CA56" i="22"/>
  <c r="CA14" i="22"/>
  <c r="CA27" i="22"/>
  <c r="CA66" i="22"/>
  <c r="CA72" i="22"/>
  <c r="CA86" i="22"/>
  <c r="CA102" i="22"/>
  <c r="CA74" i="22"/>
  <c r="CA75" i="22"/>
  <c r="CA81" i="22"/>
  <c r="CA97" i="22"/>
  <c r="CA113" i="22"/>
  <c r="CA52" i="22"/>
  <c r="CA76" i="22"/>
  <c r="CA92" i="22"/>
  <c r="CA108" i="22"/>
  <c r="CA124" i="22"/>
  <c r="CA19" i="22"/>
  <c r="CA87" i="22"/>
  <c r="CA103" i="22"/>
  <c r="CA119" i="22"/>
  <c r="CA82" i="22"/>
  <c r="CA98" i="22"/>
  <c r="CA114" i="22"/>
  <c r="CA46" i="22"/>
  <c r="CA63" i="22"/>
  <c r="CA77" i="22"/>
  <c r="CA93" i="22"/>
  <c r="CA109" i="22"/>
  <c r="CA65" i="22"/>
  <c r="CA88" i="22"/>
  <c r="CA104" i="22"/>
  <c r="CA120" i="22"/>
  <c r="CA83" i="22"/>
  <c r="CA99" i="22"/>
  <c r="CA115" i="22"/>
  <c r="CA59" i="22"/>
  <c r="CA78" i="22"/>
  <c r="CA94" i="22"/>
  <c r="CA110" i="22"/>
  <c r="CA43" i="22"/>
  <c r="CA89" i="22"/>
  <c r="CA105" i="22"/>
  <c r="CA84" i="22"/>
  <c r="CA100" i="22"/>
  <c r="CA30" i="22"/>
  <c r="CA79" i="22"/>
  <c r="CA95" i="22"/>
  <c r="CA111" i="22"/>
  <c r="CA35" i="22"/>
  <c r="CA51" i="22"/>
  <c r="CA90" i="22"/>
  <c r="CA106" i="22"/>
  <c r="CA11" i="22"/>
  <c r="CA67" i="22"/>
  <c r="CA71" i="22"/>
  <c r="CA91" i="22"/>
  <c r="CA107" i="22"/>
  <c r="CF4" i="22"/>
  <c r="CI149" i="22"/>
  <c r="CL148" i="22"/>
  <c r="CO147" i="22"/>
  <c r="BY147" i="22"/>
  <c r="CB146" i="22"/>
  <c r="CE145" i="22"/>
  <c r="CH144" i="22"/>
  <c r="CK143" i="22"/>
  <c r="CN142" i="22"/>
  <c r="BX142" i="22"/>
  <c r="CA141" i="22"/>
  <c r="CD140" i="22"/>
  <c r="CG139" i="22"/>
  <c r="CJ138" i="22"/>
  <c r="CM137" i="22"/>
  <c r="CC135" i="22"/>
  <c r="CF134" i="22"/>
  <c r="CI133" i="22"/>
  <c r="CL132" i="22"/>
  <c r="CO131" i="22"/>
  <c r="BY131" i="22"/>
  <c r="CB130" i="22"/>
  <c r="CE129" i="22"/>
  <c r="CH128" i="22"/>
  <c r="CK127" i="22"/>
  <c r="CN126" i="22"/>
  <c r="BX126" i="22"/>
  <c r="CA125" i="22"/>
  <c r="CO123" i="22"/>
  <c r="CN122" i="22"/>
  <c r="CM121" i="22"/>
  <c r="CH120" i="22"/>
  <c r="BX119" i="22"/>
  <c r="CM117" i="22"/>
  <c r="CB116" i="22"/>
  <c r="CJ114" i="22"/>
  <c r="CB112" i="22"/>
  <c r="CB101" i="22"/>
  <c r="CG94" i="22"/>
  <c r="CL87" i="22"/>
  <c r="BX81" i="22"/>
  <c r="CL26" i="22"/>
  <c r="CL141" i="22"/>
  <c r="CL130" i="22"/>
  <c r="CK118" i="22"/>
  <c r="BZ20" i="22"/>
  <c r="BZ36" i="22"/>
  <c r="BZ52" i="22"/>
  <c r="BZ68" i="22"/>
  <c r="BZ15" i="22"/>
  <c r="BZ31" i="22"/>
  <c r="BZ10" i="22"/>
  <c r="BZ26" i="22"/>
  <c r="BZ42" i="22"/>
  <c r="BZ5" i="22"/>
  <c r="BZ21" i="22"/>
  <c r="BZ37" i="22"/>
  <c r="BZ53" i="22"/>
  <c r="BZ16" i="22"/>
  <c r="BZ32" i="22"/>
  <c r="BZ48" i="22"/>
  <c r="BZ64" i="22"/>
  <c r="BZ11" i="22"/>
  <c r="BZ27" i="22"/>
  <c r="BZ43" i="22"/>
  <c r="BZ59" i="22"/>
  <c r="BZ75" i="22"/>
  <c r="BZ17" i="22"/>
  <c r="BZ33" i="22"/>
  <c r="BZ49" i="22"/>
  <c r="BZ12" i="22"/>
  <c r="BZ28" i="22"/>
  <c r="BZ44" i="22"/>
  <c r="BZ60" i="22"/>
  <c r="BZ7" i="22"/>
  <c r="BZ23" i="22"/>
  <c r="BZ39" i="22"/>
  <c r="BZ55" i="22"/>
  <c r="BZ18" i="22"/>
  <c r="BZ34" i="22"/>
  <c r="BZ50" i="22"/>
  <c r="BZ66" i="22"/>
  <c r="BZ13" i="22"/>
  <c r="BZ29" i="22"/>
  <c r="BZ45" i="22"/>
  <c r="BZ61" i="22"/>
  <c r="BZ8" i="22"/>
  <c r="BZ24" i="22"/>
  <c r="BZ40" i="22"/>
  <c r="BZ56" i="22"/>
  <c r="BZ19" i="22"/>
  <c r="BZ35" i="22"/>
  <c r="BZ51" i="22"/>
  <c r="BZ9" i="22"/>
  <c r="BZ73" i="22"/>
  <c r="BZ74" i="22"/>
  <c r="BZ81" i="22"/>
  <c r="BZ97" i="22"/>
  <c r="BZ6" i="22"/>
  <c r="BZ76" i="22"/>
  <c r="BZ92" i="22"/>
  <c r="BZ108" i="22"/>
  <c r="BZ124" i="22"/>
  <c r="BZ41" i="22"/>
  <c r="BZ58" i="22"/>
  <c r="BZ87" i="22"/>
  <c r="BZ103" i="22"/>
  <c r="BZ119" i="22"/>
  <c r="BZ82" i="22"/>
  <c r="BZ98" i="22"/>
  <c r="BZ114" i="22"/>
  <c r="BZ14" i="22"/>
  <c r="BZ46" i="22"/>
  <c r="BZ63" i="22"/>
  <c r="BZ77" i="22"/>
  <c r="BZ93" i="22"/>
  <c r="BZ109" i="22"/>
  <c r="BZ125" i="22"/>
  <c r="BZ65" i="22"/>
  <c r="BZ88" i="22"/>
  <c r="BZ104" i="22"/>
  <c r="BZ120" i="22"/>
  <c r="BZ83" i="22"/>
  <c r="BZ99" i="22"/>
  <c r="BZ115" i="22"/>
  <c r="BZ38" i="22"/>
  <c r="BZ78" i="22"/>
  <c r="BZ94" i="22"/>
  <c r="BZ110" i="22"/>
  <c r="BZ89" i="22"/>
  <c r="BZ105" i="22"/>
  <c r="BZ25" i="22"/>
  <c r="BZ84" i="22"/>
  <c r="BZ100" i="22"/>
  <c r="BZ30" i="22"/>
  <c r="BZ47" i="22"/>
  <c r="BZ79" i="22"/>
  <c r="BZ95" i="22"/>
  <c r="BZ111" i="22"/>
  <c r="BZ54" i="22"/>
  <c r="BZ57" i="22"/>
  <c r="BZ90" i="22"/>
  <c r="BZ106" i="22"/>
  <c r="BZ62" i="22"/>
  <c r="BZ85" i="22"/>
  <c r="BZ101" i="22"/>
  <c r="BZ72" i="22"/>
  <c r="BZ86" i="22"/>
  <c r="BZ102" i="22"/>
  <c r="CE4" i="22"/>
  <c r="CH149" i="22"/>
  <c r="CK148" i="22"/>
  <c r="CN147" i="22"/>
  <c r="BX147" i="22"/>
  <c r="CA146" i="22"/>
  <c r="CD145" i="22"/>
  <c r="CG144" i="22"/>
  <c r="CJ143" i="22"/>
  <c r="CM142" i="22"/>
  <c r="BZ141" i="22"/>
  <c r="CC140" i="22"/>
  <c r="CF139" i="22"/>
  <c r="CI138" i="22"/>
  <c r="CL137" i="22"/>
  <c r="CO136" i="22"/>
  <c r="CB135" i="22"/>
  <c r="CE134" i="22"/>
  <c r="CH133" i="22"/>
  <c r="CK132" i="22"/>
  <c r="CN131" i="22"/>
  <c r="BX131" i="22"/>
  <c r="CA130" i="22"/>
  <c r="CD129" i="22"/>
  <c r="CG128" i="22"/>
  <c r="CJ127" i="22"/>
  <c r="CM126" i="22"/>
  <c r="CO124" i="22"/>
  <c r="CN123" i="22"/>
  <c r="CM122" i="22"/>
  <c r="CH121" i="22"/>
  <c r="CG120" i="22"/>
  <c r="CL117" i="22"/>
  <c r="CA116" i="22"/>
  <c r="CI114" i="22"/>
  <c r="CA112" i="22"/>
  <c r="CO107" i="22"/>
  <c r="CA101" i="22"/>
  <c r="CF94" i="22"/>
  <c r="CO73" i="22"/>
  <c r="CO65" i="22"/>
  <c r="BZ22" i="22"/>
  <c r="CL125" i="22"/>
  <c r="CL118" i="22"/>
  <c r="CK11" i="22"/>
  <c r="CK27" i="22"/>
  <c r="CK43" i="22"/>
  <c r="CK59" i="22"/>
  <c r="CK75" i="22"/>
  <c r="CK6" i="22"/>
  <c r="CK22" i="22"/>
  <c r="CK38" i="22"/>
  <c r="CK17" i="22"/>
  <c r="CK33" i="22"/>
  <c r="CK49" i="22"/>
  <c r="CK12" i="22"/>
  <c r="CK28" i="22"/>
  <c r="CK44" i="22"/>
  <c r="CK60" i="22"/>
  <c r="CK7" i="22"/>
  <c r="CK23" i="22"/>
  <c r="CK39" i="22"/>
  <c r="CK55" i="22"/>
  <c r="CK18" i="22"/>
  <c r="CK34" i="22"/>
  <c r="CK50" i="22"/>
  <c r="CK66" i="22"/>
  <c r="CK8" i="22"/>
  <c r="CK24" i="22"/>
  <c r="CK40" i="22"/>
  <c r="CK56" i="22"/>
  <c r="CK19" i="22"/>
  <c r="CK35" i="22"/>
  <c r="CK51" i="22"/>
  <c r="CK14" i="22"/>
  <c r="CK30" i="22"/>
  <c r="CK46" i="22"/>
  <c r="CK62" i="22"/>
  <c r="CK9" i="22"/>
  <c r="CK25" i="22"/>
  <c r="CK41" i="22"/>
  <c r="CK57" i="22"/>
  <c r="CK20" i="22"/>
  <c r="CK36" i="22"/>
  <c r="CK52" i="22"/>
  <c r="CK15" i="22"/>
  <c r="CK31" i="22"/>
  <c r="CK47" i="22"/>
  <c r="CK63" i="22"/>
  <c r="CK10" i="22"/>
  <c r="CK26" i="22"/>
  <c r="CK42" i="22"/>
  <c r="CK58" i="22"/>
  <c r="CK5" i="22"/>
  <c r="CK88" i="22"/>
  <c r="CK104" i="22"/>
  <c r="CK48" i="22"/>
  <c r="CK64" i="22"/>
  <c r="CK83" i="22"/>
  <c r="CK99" i="22"/>
  <c r="CK115" i="22"/>
  <c r="CK78" i="22"/>
  <c r="CK94" i="22"/>
  <c r="CK110" i="22"/>
  <c r="CK13" i="22"/>
  <c r="CK45" i="22"/>
  <c r="CK89" i="22"/>
  <c r="CK105" i="22"/>
  <c r="CK121" i="22"/>
  <c r="CK32" i="22"/>
  <c r="CK84" i="22"/>
  <c r="CK100" i="22"/>
  <c r="CK116" i="22"/>
  <c r="CK37" i="22"/>
  <c r="CK79" i="22"/>
  <c r="CK95" i="22"/>
  <c r="CK111" i="22"/>
  <c r="CK90" i="22"/>
  <c r="CK106" i="22"/>
  <c r="CK67" i="22"/>
  <c r="CK68" i="22"/>
  <c r="CK69" i="22"/>
  <c r="CK70" i="22"/>
  <c r="CK85" i="22"/>
  <c r="CK101" i="22"/>
  <c r="CK117" i="22"/>
  <c r="CK53" i="22"/>
  <c r="CK71" i="22"/>
  <c r="CK72" i="22"/>
  <c r="CK80" i="22"/>
  <c r="CK96" i="22"/>
  <c r="CK112" i="22"/>
  <c r="CK29" i="22"/>
  <c r="CK73" i="22"/>
  <c r="CK91" i="22"/>
  <c r="CK107" i="22"/>
  <c r="CK61" i="22"/>
  <c r="CK74" i="22"/>
  <c r="CK86" i="22"/>
  <c r="CK102" i="22"/>
  <c r="CK16" i="22"/>
  <c r="CK65" i="22"/>
  <c r="CK81" i="22"/>
  <c r="CK97" i="22"/>
  <c r="CK113" i="22"/>
  <c r="CK21" i="22"/>
  <c r="CK76" i="22"/>
  <c r="CK92" i="22"/>
  <c r="CK108" i="22"/>
  <c r="CK77" i="22"/>
  <c r="CK93" i="22"/>
  <c r="CK109" i="22"/>
  <c r="CK141" i="22"/>
  <c r="BY15" i="22"/>
  <c r="BY31" i="22"/>
  <c r="BY47" i="22"/>
  <c r="BY63" i="22"/>
  <c r="BY10" i="22"/>
  <c r="BY26" i="22"/>
  <c r="BY42" i="22"/>
  <c r="BY5" i="22"/>
  <c r="BY21" i="22"/>
  <c r="BY37" i="22"/>
  <c r="BY53" i="22"/>
  <c r="BY16" i="22"/>
  <c r="BY32" i="22"/>
  <c r="BY48" i="22"/>
  <c r="BY64" i="22"/>
  <c r="BY11" i="22"/>
  <c r="BY27" i="22"/>
  <c r="BY43" i="22"/>
  <c r="BY59" i="22"/>
  <c r="BY6" i="22"/>
  <c r="BY22" i="22"/>
  <c r="BY38" i="22"/>
  <c r="BY54" i="22"/>
  <c r="BY70" i="22"/>
  <c r="BY12" i="22"/>
  <c r="BY28" i="22"/>
  <c r="BY44" i="22"/>
  <c r="BY7" i="22"/>
  <c r="BY23" i="22"/>
  <c r="BY39" i="22"/>
  <c r="BY55" i="22"/>
  <c r="BY18" i="22"/>
  <c r="BY34" i="22"/>
  <c r="BY50" i="22"/>
  <c r="BY66" i="22"/>
  <c r="BY13" i="22"/>
  <c r="BY29" i="22"/>
  <c r="BY45" i="22"/>
  <c r="BY61" i="22"/>
  <c r="BY8" i="22"/>
  <c r="BY24" i="22"/>
  <c r="BY40" i="22"/>
  <c r="BY56" i="22"/>
  <c r="BY19" i="22"/>
  <c r="BY35" i="22"/>
  <c r="BY51" i="22"/>
  <c r="BY67" i="22"/>
  <c r="BY14" i="22"/>
  <c r="BY30" i="22"/>
  <c r="BY46" i="22"/>
  <c r="BY62" i="22"/>
  <c r="BY36" i="22"/>
  <c r="BY75" i="22"/>
  <c r="BY76" i="22"/>
  <c r="BY92" i="22"/>
  <c r="BY41" i="22"/>
  <c r="BY52" i="22"/>
  <c r="BY58" i="22"/>
  <c r="BY87" i="22"/>
  <c r="BY103" i="22"/>
  <c r="BY119" i="22"/>
  <c r="BY82" i="22"/>
  <c r="BY98" i="22"/>
  <c r="BY114" i="22"/>
  <c r="BY49" i="22"/>
  <c r="BY77" i="22"/>
  <c r="BY93" i="22"/>
  <c r="BY109" i="22"/>
  <c r="BY125" i="22"/>
  <c r="BY65" i="22"/>
  <c r="BY88" i="22"/>
  <c r="BY104" i="22"/>
  <c r="BY120" i="22"/>
  <c r="BY33" i="22"/>
  <c r="BY83" i="22"/>
  <c r="BY99" i="22"/>
  <c r="BY115" i="22"/>
  <c r="BY78" i="22"/>
  <c r="BY94" i="22"/>
  <c r="BY110" i="22"/>
  <c r="BY20" i="22"/>
  <c r="BY89" i="22"/>
  <c r="BY105" i="22"/>
  <c r="BY9" i="22"/>
  <c r="BY25" i="22"/>
  <c r="BY84" i="22"/>
  <c r="BY100" i="22"/>
  <c r="BY79" i="22"/>
  <c r="BY95" i="22"/>
  <c r="BY111" i="22"/>
  <c r="BY57" i="22"/>
  <c r="BY90" i="22"/>
  <c r="BY106" i="22"/>
  <c r="BY85" i="22"/>
  <c r="BY101" i="22"/>
  <c r="BY17" i="22"/>
  <c r="BY69" i="22"/>
  <c r="BY80" i="22"/>
  <c r="BY96" i="22"/>
  <c r="BY112" i="22"/>
  <c r="BY60" i="22"/>
  <c r="BY73" i="22"/>
  <c r="BY74" i="22"/>
  <c r="BY81" i="22"/>
  <c r="BY97" i="22"/>
  <c r="CD4" i="22"/>
  <c r="CG149" i="22"/>
  <c r="CJ148" i="22"/>
  <c r="CM147" i="22"/>
  <c r="BZ146" i="22"/>
  <c r="CC145" i="22"/>
  <c r="CF144" i="22"/>
  <c r="CI143" i="22"/>
  <c r="CL142" i="22"/>
  <c r="CO141" i="22"/>
  <c r="BY141" i="22"/>
  <c r="CB140" i="22"/>
  <c r="CE139" i="22"/>
  <c r="CH138" i="22"/>
  <c r="CK137" i="22"/>
  <c r="CN136" i="22"/>
  <c r="BX136" i="22"/>
  <c r="CA135" i="22"/>
  <c r="CD134" i="22"/>
  <c r="CG133" i="22"/>
  <c r="CJ132" i="22"/>
  <c r="CM131" i="22"/>
  <c r="BZ130" i="22"/>
  <c r="CC129" i="22"/>
  <c r="CF128" i="22"/>
  <c r="CI127" i="22"/>
  <c r="CL126" i="22"/>
  <c r="CO125" i="22"/>
  <c r="CM123" i="22"/>
  <c r="CL122" i="22"/>
  <c r="CG121" i="22"/>
  <c r="CF120" i="22"/>
  <c r="CO118" i="22"/>
  <c r="CD117" i="22"/>
  <c r="BZ116" i="22"/>
  <c r="CH114" i="22"/>
  <c r="BZ112" i="22"/>
  <c r="BZ107" i="22"/>
  <c r="CE100" i="22"/>
  <c r="CJ93" i="22"/>
  <c r="CA80" i="22"/>
  <c r="CC64" i="22"/>
  <c r="CH17" i="22"/>
  <c r="CO15" i="22"/>
  <c r="CO31" i="22"/>
  <c r="CO47" i="22"/>
  <c r="CO63" i="22"/>
  <c r="CO10" i="22"/>
  <c r="CO26" i="22"/>
  <c r="CO42" i="22"/>
  <c r="CO5" i="22"/>
  <c r="CO21" i="22"/>
  <c r="CO37" i="22"/>
  <c r="CO53" i="22"/>
  <c r="CO16" i="22"/>
  <c r="CO32" i="22"/>
  <c r="CO48" i="22"/>
  <c r="CO64" i="22"/>
  <c r="CO11" i="22"/>
  <c r="CO27" i="22"/>
  <c r="CO43" i="22"/>
  <c r="CO59" i="22"/>
  <c r="CO6" i="22"/>
  <c r="CO22" i="22"/>
  <c r="CO38" i="22"/>
  <c r="CO54" i="22"/>
  <c r="CO70" i="22"/>
  <c r="CO12" i="22"/>
  <c r="CO28" i="22"/>
  <c r="CO44" i="22"/>
  <c r="CO7" i="22"/>
  <c r="CO23" i="22"/>
  <c r="CO39" i="22"/>
  <c r="CO55" i="22"/>
  <c r="CO18" i="22"/>
  <c r="CO34" i="22"/>
  <c r="CO50" i="22"/>
  <c r="CO13" i="22"/>
  <c r="CO29" i="22"/>
  <c r="CO45" i="22"/>
  <c r="CO61" i="22"/>
  <c r="CO8" i="22"/>
  <c r="CO24" i="22"/>
  <c r="CO40" i="22"/>
  <c r="CO56" i="22"/>
  <c r="CO19" i="22"/>
  <c r="CO35" i="22"/>
  <c r="CO51" i="22"/>
  <c r="CO67" i="22"/>
  <c r="CO14" i="22"/>
  <c r="CO30" i="22"/>
  <c r="CO46" i="22"/>
  <c r="CO62" i="22"/>
  <c r="CO76" i="22"/>
  <c r="CO92" i="22"/>
  <c r="CO87" i="22"/>
  <c r="CO103" i="22"/>
  <c r="CO119" i="22"/>
  <c r="CO82" i="22"/>
  <c r="CO98" i="22"/>
  <c r="CO114" i="22"/>
  <c r="CO36" i="22"/>
  <c r="CO77" i="22"/>
  <c r="CO93" i="22"/>
  <c r="CO109" i="22"/>
  <c r="CO41" i="22"/>
  <c r="CO88" i="22"/>
  <c r="CO104" i="22"/>
  <c r="CO120" i="22"/>
  <c r="CO52" i="22"/>
  <c r="CO60" i="22"/>
  <c r="CO83" i="22"/>
  <c r="CO99" i="22"/>
  <c r="CO115" i="22"/>
  <c r="CO58" i="22"/>
  <c r="CO78" i="22"/>
  <c r="CO94" i="22"/>
  <c r="CO110" i="22"/>
  <c r="CO49" i="22"/>
  <c r="CO89" i="22"/>
  <c r="CO105" i="22"/>
  <c r="CO33" i="22"/>
  <c r="CO84" i="22"/>
  <c r="CO100" i="22"/>
  <c r="CO79" i="22"/>
  <c r="CO95" i="22"/>
  <c r="CO111" i="22"/>
  <c r="CO9" i="22"/>
  <c r="CO20" i="22"/>
  <c r="CO68" i="22"/>
  <c r="CO69" i="22"/>
  <c r="CO90" i="22"/>
  <c r="CO106" i="22"/>
  <c r="CO25" i="22"/>
  <c r="CO66" i="22"/>
  <c r="CO71" i="22"/>
  <c r="CO85" i="22"/>
  <c r="CO101" i="22"/>
  <c r="CO72" i="22"/>
  <c r="CO80" i="22"/>
  <c r="CO96" i="22"/>
  <c r="CO112" i="22"/>
  <c r="CO17" i="22"/>
  <c r="CO57" i="22"/>
  <c r="CO81" i="22"/>
  <c r="CO97" i="22"/>
  <c r="CN10" i="22"/>
  <c r="CN26" i="22"/>
  <c r="CN42" i="22"/>
  <c r="CN58" i="22"/>
  <c r="CN74" i="22"/>
  <c r="CN5" i="22"/>
  <c r="CN21" i="22"/>
  <c r="CN37" i="22"/>
  <c r="CN16" i="22"/>
  <c r="CN32" i="22"/>
  <c r="CN48" i="22"/>
  <c r="CN11" i="22"/>
  <c r="CN27" i="22"/>
  <c r="CN43" i="22"/>
  <c r="CN59" i="22"/>
  <c r="CN6" i="22"/>
  <c r="CN22" i="22"/>
  <c r="CN38" i="22"/>
  <c r="CN54" i="22"/>
  <c r="CN17" i="22"/>
  <c r="CN33" i="22"/>
  <c r="CN49" i="22"/>
  <c r="CN65" i="22"/>
  <c r="CN7" i="22"/>
  <c r="CN23" i="22"/>
  <c r="CN39" i="22"/>
  <c r="CN55" i="22"/>
  <c r="CN18" i="22"/>
  <c r="CN34" i="22"/>
  <c r="CN50" i="22"/>
  <c r="CN13" i="22"/>
  <c r="CN29" i="22"/>
  <c r="CN45" i="22"/>
  <c r="CN61" i="22"/>
  <c r="CN8" i="22"/>
  <c r="CN24" i="22"/>
  <c r="CN40" i="22"/>
  <c r="CN56" i="22"/>
  <c r="CN19" i="22"/>
  <c r="CN35" i="22"/>
  <c r="CN51" i="22"/>
  <c r="CN14" i="22"/>
  <c r="CN30" i="22"/>
  <c r="CN46" i="22"/>
  <c r="CN62" i="22"/>
  <c r="CN9" i="22"/>
  <c r="CN25" i="22"/>
  <c r="CN41" i="22"/>
  <c r="CN57" i="22"/>
  <c r="CN15" i="22"/>
  <c r="CN87" i="22"/>
  <c r="CN103" i="22"/>
  <c r="CN12" i="22"/>
  <c r="CN31" i="22"/>
  <c r="CN82" i="22"/>
  <c r="CN98" i="22"/>
  <c r="CN114" i="22"/>
  <c r="CN36" i="22"/>
  <c r="CN77" i="22"/>
  <c r="CN93" i="22"/>
  <c r="CN109" i="22"/>
  <c r="CN64" i="22"/>
  <c r="CN88" i="22"/>
  <c r="CN104" i="22"/>
  <c r="CN120" i="22"/>
  <c r="CN52" i="22"/>
  <c r="CN60" i="22"/>
  <c r="CN83" i="22"/>
  <c r="CN99" i="22"/>
  <c r="CN115" i="22"/>
  <c r="CN78" i="22"/>
  <c r="CN94" i="22"/>
  <c r="CN110" i="22"/>
  <c r="CN28" i="22"/>
  <c r="CN89" i="22"/>
  <c r="CN105" i="22"/>
  <c r="CN84" i="22"/>
  <c r="CN100" i="22"/>
  <c r="CN116" i="22"/>
  <c r="CN79" i="22"/>
  <c r="CN95" i="22"/>
  <c r="CN111" i="22"/>
  <c r="CN20" i="22"/>
  <c r="CN68" i="22"/>
  <c r="CN69" i="22"/>
  <c r="CN90" i="22"/>
  <c r="CN106" i="22"/>
  <c r="CN53" i="22"/>
  <c r="CN63" i="22"/>
  <c r="CN66" i="22"/>
  <c r="CN67" i="22"/>
  <c r="CN70" i="22"/>
  <c r="CN71" i="22"/>
  <c r="CN85" i="22"/>
  <c r="CN101" i="22"/>
  <c r="CN72" i="22"/>
  <c r="CN80" i="22"/>
  <c r="CN96" i="22"/>
  <c r="CN112" i="22"/>
  <c r="CN73" i="22"/>
  <c r="CN91" i="22"/>
  <c r="CN107" i="22"/>
  <c r="CN47" i="22"/>
  <c r="CN44" i="22"/>
  <c r="CN76" i="22"/>
  <c r="CN92" i="22"/>
  <c r="CN108" i="22"/>
  <c r="BX10" i="22"/>
  <c r="BX26" i="22"/>
  <c r="BX42" i="22"/>
  <c r="BX58" i="22"/>
  <c r="BX74" i="22"/>
  <c r="BX5" i="22"/>
  <c r="BX21" i="22"/>
  <c r="BX37" i="22"/>
  <c r="BX16" i="22"/>
  <c r="BX32" i="22"/>
  <c r="BX48" i="22"/>
  <c r="BX11" i="22"/>
  <c r="BX27" i="22"/>
  <c r="BX43" i="22"/>
  <c r="BX59" i="22"/>
  <c r="BX6" i="22"/>
  <c r="BX22" i="22"/>
  <c r="BX38" i="22"/>
  <c r="BX54" i="22"/>
  <c r="BX17" i="22"/>
  <c r="BX33" i="22"/>
  <c r="BX49" i="22"/>
  <c r="BX65" i="22"/>
  <c r="BX7" i="22"/>
  <c r="BX23" i="22"/>
  <c r="BX39" i="22"/>
  <c r="BX55" i="22"/>
  <c r="BX18" i="22"/>
  <c r="BX34" i="22"/>
  <c r="BX50" i="22"/>
  <c r="BX13" i="22"/>
  <c r="BX29" i="22"/>
  <c r="BX45" i="22"/>
  <c r="BX61" i="22"/>
  <c r="BX8" i="22"/>
  <c r="BX24" i="22"/>
  <c r="BX40" i="22"/>
  <c r="BX56" i="22"/>
  <c r="BX19" i="22"/>
  <c r="BX35" i="22"/>
  <c r="BX51" i="22"/>
  <c r="BX14" i="22"/>
  <c r="BX30" i="22"/>
  <c r="BX46" i="22"/>
  <c r="BX62" i="22"/>
  <c r="BX9" i="22"/>
  <c r="BX25" i="22"/>
  <c r="BX41" i="22"/>
  <c r="BX57" i="22"/>
  <c r="BX15" i="22"/>
  <c r="BX52" i="22"/>
  <c r="BX87" i="22"/>
  <c r="BX103" i="22"/>
  <c r="BX82" i="22"/>
  <c r="BX98" i="22"/>
  <c r="BX114" i="22"/>
  <c r="BX77" i="22"/>
  <c r="BX93" i="22"/>
  <c r="BX109" i="22"/>
  <c r="BX125" i="22"/>
  <c r="BX28" i="22"/>
  <c r="BX63" i="22"/>
  <c r="BX88" i="22"/>
  <c r="BX104" i="22"/>
  <c r="BX120" i="22"/>
  <c r="BX83" i="22"/>
  <c r="BX99" i="22"/>
  <c r="BX115" i="22"/>
  <c r="BX78" i="22"/>
  <c r="BX94" i="22"/>
  <c r="BX110" i="22"/>
  <c r="BX20" i="22"/>
  <c r="BX53" i="22"/>
  <c r="BX89" i="22"/>
  <c r="BX105" i="22"/>
  <c r="BX84" i="22"/>
  <c r="BX100" i="22"/>
  <c r="BX116" i="22"/>
  <c r="BX79" i="22"/>
  <c r="BX95" i="22"/>
  <c r="BX111" i="22"/>
  <c r="BX47" i="22"/>
  <c r="BX90" i="22"/>
  <c r="BX106" i="22"/>
  <c r="BX85" i="22"/>
  <c r="BX101" i="22"/>
  <c r="BX69" i="22"/>
  <c r="BX80" i="22"/>
  <c r="BX96" i="22"/>
  <c r="BX112" i="22"/>
  <c r="BX44" i="22"/>
  <c r="BX64" i="22"/>
  <c r="BX68" i="22"/>
  <c r="BX70" i="22"/>
  <c r="BX71" i="22"/>
  <c r="BX91" i="22"/>
  <c r="BX107" i="22"/>
  <c r="BX12" i="22"/>
  <c r="BX36" i="22"/>
  <c r="BX66" i="22"/>
  <c r="BX75" i="22"/>
  <c r="BX76" i="22"/>
  <c r="BX92" i="22"/>
  <c r="BX108" i="22"/>
  <c r="CC4" i="22"/>
  <c r="CF149" i="22"/>
  <c r="CI148" i="22"/>
  <c r="CL147" i="22"/>
  <c r="CO146" i="22"/>
  <c r="BY146" i="22"/>
  <c r="CB145" i="22"/>
  <c r="CE144" i="22"/>
  <c r="CH143" i="22"/>
  <c r="CK142" i="22"/>
  <c r="CN141" i="22"/>
  <c r="BX141" i="22"/>
  <c r="CA140" i="22"/>
  <c r="CD139" i="22"/>
  <c r="CG138" i="22"/>
  <c r="CJ137" i="22"/>
  <c r="CM136" i="22"/>
  <c r="BZ135" i="22"/>
  <c r="CC134" i="22"/>
  <c r="CF133" i="22"/>
  <c r="CI132" i="22"/>
  <c r="CL131" i="22"/>
  <c r="CO130" i="22"/>
  <c r="BY130" i="22"/>
  <c r="CB129" i="22"/>
  <c r="CE128" i="22"/>
  <c r="CH127" i="22"/>
  <c r="CK126" i="22"/>
  <c r="CN125" i="22"/>
  <c r="CM124" i="22"/>
  <c r="CL123" i="22"/>
  <c r="CK122" i="22"/>
  <c r="CF121" i="22"/>
  <c r="CE120" i="22"/>
  <c r="CN118" i="22"/>
  <c r="CC117" i="22"/>
  <c r="BY116" i="22"/>
  <c r="CG114" i="22"/>
  <c r="CF111" i="22"/>
  <c r="BY107" i="22"/>
  <c r="CD100" i="22"/>
  <c r="CI93" i="22"/>
  <c r="CN86" i="22"/>
  <c r="BZ80" i="22"/>
  <c r="CB64" i="22"/>
  <c r="CI11" i="22"/>
  <c r="AC70" i="22" l="1"/>
  <c r="AB70" i="22"/>
  <c r="AE70" i="22"/>
  <c r="AR70" i="22"/>
  <c r="AL70" i="22"/>
  <c r="AF70" i="22"/>
  <c r="AM70" i="22"/>
  <c r="AD70" i="22"/>
  <c r="AJ70" i="22"/>
  <c r="AG70" i="22"/>
  <c r="AI70" i="22"/>
  <c r="AO70" i="22"/>
  <c r="AA70" i="22"/>
  <c r="AP70" i="22"/>
  <c r="AQ70" i="22"/>
  <c r="AK70" i="22"/>
  <c r="AH70" i="22"/>
  <c r="AN70" i="22"/>
  <c r="G9" i="22" l="1"/>
  <c r="B892" i="3"/>
  <c r="C892" i="3"/>
  <c r="D892" i="3"/>
  <c r="E892" i="3"/>
  <c r="F892" i="3"/>
  <c r="G892" i="3"/>
  <c r="H892" i="3"/>
  <c r="I892" i="3"/>
  <c r="J892" i="3"/>
  <c r="B893" i="3"/>
  <c r="K893" i="3" s="1"/>
  <c r="C893" i="3"/>
  <c r="D893" i="3"/>
  <c r="E893" i="3"/>
  <c r="F893" i="3"/>
  <c r="G893" i="3"/>
  <c r="H893" i="3"/>
  <c r="I893" i="3"/>
  <c r="J893" i="3"/>
  <c r="B894" i="3"/>
  <c r="C894" i="3"/>
  <c r="D894" i="3"/>
  <c r="E894" i="3"/>
  <c r="F894" i="3"/>
  <c r="G894" i="3"/>
  <c r="H894" i="3"/>
  <c r="I894" i="3"/>
  <c r="J894" i="3"/>
  <c r="B895" i="3"/>
  <c r="C895" i="3"/>
  <c r="D895" i="3"/>
  <c r="E895" i="3"/>
  <c r="F895" i="3"/>
  <c r="G895" i="3"/>
  <c r="H895" i="3"/>
  <c r="I895" i="3"/>
  <c r="J895" i="3"/>
  <c r="B896" i="3"/>
  <c r="C896" i="3"/>
  <c r="D896" i="3"/>
  <c r="E896" i="3"/>
  <c r="F896" i="3"/>
  <c r="G896" i="3"/>
  <c r="H896" i="3"/>
  <c r="I896" i="3"/>
  <c r="J896" i="3"/>
  <c r="B897" i="3"/>
  <c r="K897" i="3" s="1"/>
  <c r="C897" i="3"/>
  <c r="D897" i="3"/>
  <c r="E897" i="3"/>
  <c r="F897" i="3"/>
  <c r="G897" i="3"/>
  <c r="H897" i="3"/>
  <c r="I897" i="3"/>
  <c r="J897" i="3"/>
  <c r="B898" i="3"/>
  <c r="C898" i="3"/>
  <c r="D898" i="3"/>
  <c r="E898" i="3"/>
  <c r="F898" i="3"/>
  <c r="G898" i="3"/>
  <c r="H898" i="3"/>
  <c r="I898" i="3"/>
  <c r="J898" i="3"/>
  <c r="B899" i="3"/>
  <c r="C899" i="3"/>
  <c r="D899" i="3"/>
  <c r="E899" i="3"/>
  <c r="F899" i="3"/>
  <c r="G899" i="3"/>
  <c r="H899" i="3"/>
  <c r="I899" i="3"/>
  <c r="J899" i="3"/>
  <c r="B900" i="3"/>
  <c r="C900" i="3"/>
  <c r="D900" i="3"/>
  <c r="E900" i="3"/>
  <c r="F900" i="3"/>
  <c r="G900" i="3"/>
  <c r="H900" i="3"/>
  <c r="I900" i="3"/>
  <c r="J900" i="3"/>
  <c r="B901" i="3"/>
  <c r="K901" i="3" s="1"/>
  <c r="C901" i="3"/>
  <c r="D901" i="3"/>
  <c r="E901" i="3"/>
  <c r="F901" i="3"/>
  <c r="G901" i="3"/>
  <c r="H901" i="3"/>
  <c r="I901" i="3"/>
  <c r="J901" i="3"/>
  <c r="B902" i="3"/>
  <c r="C902" i="3"/>
  <c r="D902" i="3"/>
  <c r="E902" i="3"/>
  <c r="F902" i="3"/>
  <c r="G902" i="3"/>
  <c r="H902" i="3"/>
  <c r="I902" i="3"/>
  <c r="J902" i="3"/>
  <c r="B903" i="3"/>
  <c r="C903" i="3"/>
  <c r="D903" i="3"/>
  <c r="E903" i="3"/>
  <c r="F903" i="3"/>
  <c r="G903" i="3"/>
  <c r="H903" i="3"/>
  <c r="I903" i="3"/>
  <c r="J903" i="3"/>
  <c r="B904" i="3"/>
  <c r="C904" i="3"/>
  <c r="D904" i="3"/>
  <c r="E904" i="3"/>
  <c r="F904" i="3"/>
  <c r="G904" i="3"/>
  <c r="H904" i="3"/>
  <c r="I904" i="3"/>
  <c r="J904" i="3"/>
  <c r="B905" i="3"/>
  <c r="K905" i="3" s="1"/>
  <c r="C905" i="3"/>
  <c r="D905" i="3"/>
  <c r="E905" i="3"/>
  <c r="F905" i="3"/>
  <c r="G905" i="3"/>
  <c r="H905" i="3"/>
  <c r="I905" i="3"/>
  <c r="J905" i="3"/>
  <c r="B906" i="3"/>
  <c r="C906" i="3"/>
  <c r="D906" i="3"/>
  <c r="E906" i="3"/>
  <c r="F906" i="3"/>
  <c r="G906" i="3"/>
  <c r="H906" i="3"/>
  <c r="I906" i="3"/>
  <c r="J906" i="3"/>
  <c r="B907" i="3"/>
  <c r="C907" i="3"/>
  <c r="D907" i="3"/>
  <c r="E907" i="3"/>
  <c r="F907" i="3"/>
  <c r="G907" i="3"/>
  <c r="H907" i="3"/>
  <c r="I907" i="3"/>
  <c r="J907" i="3"/>
  <c r="B908" i="3"/>
  <c r="C908" i="3"/>
  <c r="D908" i="3"/>
  <c r="E908" i="3"/>
  <c r="F908" i="3"/>
  <c r="G908" i="3"/>
  <c r="H908" i="3"/>
  <c r="I908" i="3"/>
  <c r="J908" i="3"/>
  <c r="B909" i="3"/>
  <c r="K909" i="3" s="1"/>
  <c r="C909" i="3"/>
  <c r="D909" i="3"/>
  <c r="E909" i="3"/>
  <c r="F909" i="3"/>
  <c r="G909" i="3"/>
  <c r="H909" i="3"/>
  <c r="I909" i="3"/>
  <c r="J909" i="3"/>
  <c r="B910" i="3"/>
  <c r="C910" i="3"/>
  <c r="D910" i="3"/>
  <c r="E910" i="3"/>
  <c r="F910" i="3"/>
  <c r="G910" i="3"/>
  <c r="H910" i="3"/>
  <c r="I910" i="3"/>
  <c r="J910" i="3"/>
  <c r="B911" i="3"/>
  <c r="C911" i="3"/>
  <c r="D911" i="3"/>
  <c r="E911" i="3"/>
  <c r="F911" i="3"/>
  <c r="G911" i="3"/>
  <c r="H911" i="3"/>
  <c r="I911" i="3"/>
  <c r="J911" i="3"/>
  <c r="B912" i="3"/>
  <c r="C912" i="3"/>
  <c r="D912" i="3"/>
  <c r="E912" i="3"/>
  <c r="F912" i="3"/>
  <c r="G912" i="3"/>
  <c r="H912" i="3"/>
  <c r="I912" i="3"/>
  <c r="J912" i="3"/>
  <c r="B913" i="3"/>
  <c r="K913" i="3" s="1"/>
  <c r="C913" i="3"/>
  <c r="D913" i="3"/>
  <c r="E913" i="3"/>
  <c r="F913" i="3"/>
  <c r="G913" i="3"/>
  <c r="H913" i="3"/>
  <c r="I913" i="3"/>
  <c r="J913" i="3"/>
  <c r="B914" i="3"/>
  <c r="C914" i="3"/>
  <c r="D914" i="3"/>
  <c r="E914" i="3"/>
  <c r="F914" i="3"/>
  <c r="G914" i="3"/>
  <c r="H914" i="3"/>
  <c r="I914" i="3"/>
  <c r="J914" i="3"/>
  <c r="B915" i="3"/>
  <c r="C915" i="3"/>
  <c r="D915" i="3"/>
  <c r="E915" i="3"/>
  <c r="F915" i="3"/>
  <c r="G915" i="3"/>
  <c r="H915" i="3"/>
  <c r="I915" i="3"/>
  <c r="J915" i="3"/>
  <c r="B916" i="3"/>
  <c r="C916" i="3"/>
  <c r="D916" i="3"/>
  <c r="E916" i="3"/>
  <c r="F916" i="3"/>
  <c r="G916" i="3"/>
  <c r="H916" i="3"/>
  <c r="I916" i="3"/>
  <c r="J916" i="3"/>
  <c r="B917" i="3"/>
  <c r="K917" i="3" s="1"/>
  <c r="C917" i="3"/>
  <c r="D917" i="3"/>
  <c r="E917" i="3"/>
  <c r="F917" i="3"/>
  <c r="G917" i="3"/>
  <c r="H917" i="3"/>
  <c r="I917" i="3"/>
  <c r="J917" i="3"/>
  <c r="B918" i="3"/>
  <c r="K918" i="3" s="1"/>
  <c r="C918" i="3"/>
  <c r="D918" i="3"/>
  <c r="E918" i="3"/>
  <c r="F918" i="3"/>
  <c r="G918" i="3"/>
  <c r="H918" i="3"/>
  <c r="I918" i="3"/>
  <c r="J918" i="3"/>
  <c r="B919" i="3"/>
  <c r="C919" i="3"/>
  <c r="D919" i="3"/>
  <c r="E919" i="3"/>
  <c r="F919" i="3"/>
  <c r="G919" i="3"/>
  <c r="H919" i="3"/>
  <c r="I919" i="3"/>
  <c r="J919" i="3"/>
  <c r="B920" i="3"/>
  <c r="C920" i="3"/>
  <c r="D920" i="3"/>
  <c r="E920" i="3"/>
  <c r="F920" i="3"/>
  <c r="G920" i="3"/>
  <c r="H920" i="3"/>
  <c r="I920" i="3"/>
  <c r="J920" i="3"/>
  <c r="B921" i="3"/>
  <c r="K921" i="3" s="1"/>
  <c r="C921" i="3"/>
  <c r="D921" i="3"/>
  <c r="E921" i="3"/>
  <c r="F921" i="3"/>
  <c r="G921" i="3"/>
  <c r="H921" i="3"/>
  <c r="I921" i="3"/>
  <c r="J921" i="3"/>
  <c r="B922" i="3"/>
  <c r="K922" i="3" s="1"/>
  <c r="C922" i="3"/>
  <c r="D922" i="3"/>
  <c r="E922" i="3"/>
  <c r="F922" i="3"/>
  <c r="G922" i="3"/>
  <c r="H922" i="3"/>
  <c r="I922" i="3"/>
  <c r="J922" i="3"/>
  <c r="B923" i="3"/>
  <c r="C923" i="3"/>
  <c r="D923" i="3"/>
  <c r="E923" i="3"/>
  <c r="F923" i="3"/>
  <c r="G923" i="3"/>
  <c r="H923" i="3"/>
  <c r="I923" i="3"/>
  <c r="J923" i="3"/>
  <c r="B924" i="3"/>
  <c r="C924" i="3"/>
  <c r="D924" i="3"/>
  <c r="E924" i="3"/>
  <c r="F924" i="3"/>
  <c r="G924" i="3"/>
  <c r="H924" i="3"/>
  <c r="I924" i="3"/>
  <c r="J924" i="3"/>
  <c r="B925" i="3"/>
  <c r="K925" i="3" s="1"/>
  <c r="C925" i="3"/>
  <c r="D925" i="3"/>
  <c r="E925" i="3"/>
  <c r="F925" i="3"/>
  <c r="G925" i="3"/>
  <c r="H925" i="3"/>
  <c r="I925" i="3"/>
  <c r="J925" i="3"/>
  <c r="B926" i="3"/>
  <c r="K926" i="3" s="1"/>
  <c r="C926" i="3"/>
  <c r="D926" i="3"/>
  <c r="E926" i="3"/>
  <c r="F926" i="3"/>
  <c r="G926" i="3"/>
  <c r="H926" i="3"/>
  <c r="I926" i="3"/>
  <c r="J926" i="3"/>
  <c r="B927" i="3"/>
  <c r="C927" i="3"/>
  <c r="D927" i="3"/>
  <c r="E927" i="3"/>
  <c r="F927" i="3"/>
  <c r="G927" i="3"/>
  <c r="H927" i="3"/>
  <c r="I927" i="3"/>
  <c r="J927" i="3"/>
  <c r="B928" i="3"/>
  <c r="C928" i="3"/>
  <c r="D928" i="3"/>
  <c r="E928" i="3"/>
  <c r="F928" i="3"/>
  <c r="G928" i="3"/>
  <c r="H928" i="3"/>
  <c r="I928" i="3"/>
  <c r="J928" i="3"/>
  <c r="B929" i="3"/>
  <c r="K929" i="3" s="1"/>
  <c r="C929" i="3"/>
  <c r="D929" i="3"/>
  <c r="E929" i="3"/>
  <c r="F929" i="3"/>
  <c r="G929" i="3"/>
  <c r="H929" i="3"/>
  <c r="I929" i="3"/>
  <c r="J929" i="3"/>
  <c r="B930" i="3"/>
  <c r="K930" i="3" s="1"/>
  <c r="C930" i="3"/>
  <c r="D930" i="3"/>
  <c r="E930" i="3"/>
  <c r="F930" i="3"/>
  <c r="G930" i="3"/>
  <c r="H930" i="3"/>
  <c r="I930" i="3"/>
  <c r="J930" i="3"/>
  <c r="B931" i="3"/>
  <c r="C931" i="3"/>
  <c r="D931" i="3"/>
  <c r="E931" i="3"/>
  <c r="F931" i="3"/>
  <c r="G931" i="3"/>
  <c r="H931" i="3"/>
  <c r="I931" i="3"/>
  <c r="J931" i="3"/>
  <c r="B932" i="3"/>
  <c r="C932" i="3"/>
  <c r="D932" i="3"/>
  <c r="E932" i="3"/>
  <c r="F932" i="3"/>
  <c r="G932" i="3"/>
  <c r="H932" i="3"/>
  <c r="I932" i="3"/>
  <c r="J932" i="3"/>
  <c r="B933" i="3"/>
  <c r="C933" i="3"/>
  <c r="D933" i="3"/>
  <c r="E933" i="3"/>
  <c r="F933" i="3"/>
  <c r="G933" i="3"/>
  <c r="H933" i="3"/>
  <c r="I933" i="3"/>
  <c r="J933" i="3"/>
  <c r="B934" i="3"/>
  <c r="K934" i="3" s="1"/>
  <c r="C934" i="3"/>
  <c r="D934" i="3"/>
  <c r="E934" i="3"/>
  <c r="F934" i="3"/>
  <c r="G934" i="3"/>
  <c r="H934" i="3"/>
  <c r="I934" i="3"/>
  <c r="J934" i="3"/>
  <c r="B935" i="3"/>
  <c r="C935" i="3"/>
  <c r="D935" i="3"/>
  <c r="E935" i="3"/>
  <c r="F935" i="3"/>
  <c r="G935" i="3"/>
  <c r="H935" i="3"/>
  <c r="I935" i="3"/>
  <c r="J935" i="3"/>
  <c r="B936" i="3"/>
  <c r="C936" i="3"/>
  <c r="D936" i="3"/>
  <c r="E936" i="3"/>
  <c r="F936" i="3"/>
  <c r="G936" i="3"/>
  <c r="H936" i="3"/>
  <c r="I936" i="3"/>
  <c r="J936" i="3"/>
  <c r="B937" i="3"/>
  <c r="C937" i="3"/>
  <c r="D937" i="3"/>
  <c r="E937" i="3"/>
  <c r="F937" i="3"/>
  <c r="G937" i="3"/>
  <c r="H937" i="3"/>
  <c r="I937" i="3"/>
  <c r="J937" i="3"/>
  <c r="B938" i="3"/>
  <c r="K938" i="3" s="1"/>
  <c r="C938" i="3"/>
  <c r="D938" i="3"/>
  <c r="E938" i="3"/>
  <c r="F938" i="3"/>
  <c r="G938" i="3"/>
  <c r="H938" i="3"/>
  <c r="I938" i="3"/>
  <c r="J938" i="3"/>
  <c r="B939" i="3"/>
  <c r="C939" i="3"/>
  <c r="D939" i="3"/>
  <c r="E939" i="3"/>
  <c r="F939" i="3"/>
  <c r="G939" i="3"/>
  <c r="H939" i="3"/>
  <c r="I939" i="3"/>
  <c r="J939" i="3"/>
  <c r="B940" i="3"/>
  <c r="C940" i="3"/>
  <c r="D940" i="3"/>
  <c r="E940" i="3"/>
  <c r="F940" i="3"/>
  <c r="G940" i="3"/>
  <c r="H940" i="3"/>
  <c r="I940" i="3"/>
  <c r="J940" i="3"/>
  <c r="B941" i="3"/>
  <c r="C941" i="3"/>
  <c r="D941" i="3"/>
  <c r="E941" i="3"/>
  <c r="F941" i="3"/>
  <c r="G941" i="3"/>
  <c r="H941" i="3"/>
  <c r="I941" i="3"/>
  <c r="J941" i="3"/>
  <c r="B942" i="3"/>
  <c r="K942" i="3" s="1"/>
  <c r="C942" i="3"/>
  <c r="D942" i="3"/>
  <c r="E942" i="3"/>
  <c r="F942" i="3"/>
  <c r="G942" i="3"/>
  <c r="H942" i="3"/>
  <c r="I942" i="3"/>
  <c r="J942" i="3"/>
  <c r="B943" i="3"/>
  <c r="C943" i="3"/>
  <c r="D943" i="3"/>
  <c r="E943" i="3"/>
  <c r="F943" i="3"/>
  <c r="G943" i="3"/>
  <c r="H943" i="3"/>
  <c r="I943" i="3"/>
  <c r="J943" i="3"/>
  <c r="B944" i="3"/>
  <c r="C944" i="3"/>
  <c r="D944" i="3"/>
  <c r="E944" i="3"/>
  <c r="F944" i="3"/>
  <c r="G944" i="3"/>
  <c r="H944" i="3"/>
  <c r="I944" i="3"/>
  <c r="J944" i="3"/>
  <c r="B945" i="3"/>
  <c r="C945" i="3"/>
  <c r="D945" i="3"/>
  <c r="E945" i="3"/>
  <c r="F945" i="3"/>
  <c r="G945" i="3"/>
  <c r="H945" i="3"/>
  <c r="I945" i="3"/>
  <c r="J945" i="3"/>
  <c r="B946" i="3"/>
  <c r="K946" i="3" s="1"/>
  <c r="C946" i="3"/>
  <c r="D946" i="3"/>
  <c r="E946" i="3"/>
  <c r="F946" i="3"/>
  <c r="G946" i="3"/>
  <c r="H946" i="3"/>
  <c r="I946" i="3"/>
  <c r="J946" i="3"/>
  <c r="B947" i="3"/>
  <c r="C947" i="3"/>
  <c r="D947" i="3"/>
  <c r="E947" i="3"/>
  <c r="F947" i="3"/>
  <c r="G947" i="3"/>
  <c r="H947" i="3"/>
  <c r="I947" i="3"/>
  <c r="J947" i="3"/>
  <c r="B948" i="3"/>
  <c r="C948" i="3"/>
  <c r="D948" i="3"/>
  <c r="E948" i="3"/>
  <c r="F948" i="3"/>
  <c r="G948" i="3"/>
  <c r="H948" i="3"/>
  <c r="I948" i="3"/>
  <c r="J948" i="3"/>
  <c r="B949" i="3"/>
  <c r="C949" i="3"/>
  <c r="D949" i="3"/>
  <c r="E949" i="3"/>
  <c r="F949" i="3"/>
  <c r="G949" i="3"/>
  <c r="H949" i="3"/>
  <c r="I949" i="3"/>
  <c r="J949" i="3"/>
  <c r="B950" i="3"/>
  <c r="K950" i="3" s="1"/>
  <c r="C950" i="3"/>
  <c r="D950" i="3"/>
  <c r="E950" i="3"/>
  <c r="F950" i="3"/>
  <c r="G950" i="3"/>
  <c r="H950" i="3"/>
  <c r="I950" i="3"/>
  <c r="J950" i="3"/>
  <c r="B951" i="3"/>
  <c r="C951" i="3"/>
  <c r="D951" i="3"/>
  <c r="E951" i="3"/>
  <c r="F951" i="3"/>
  <c r="G951" i="3"/>
  <c r="H951" i="3"/>
  <c r="I951" i="3"/>
  <c r="J951" i="3"/>
  <c r="B952" i="3"/>
  <c r="C952" i="3"/>
  <c r="D952" i="3"/>
  <c r="E952" i="3"/>
  <c r="F952" i="3"/>
  <c r="G952" i="3"/>
  <c r="H952" i="3"/>
  <c r="I952" i="3"/>
  <c r="J952" i="3"/>
  <c r="B953" i="3"/>
  <c r="C953" i="3"/>
  <c r="D953" i="3"/>
  <c r="E953" i="3"/>
  <c r="F953" i="3"/>
  <c r="G953" i="3"/>
  <c r="H953" i="3"/>
  <c r="I953" i="3"/>
  <c r="J953" i="3"/>
  <c r="B954" i="3"/>
  <c r="K954" i="3" s="1"/>
  <c r="C954" i="3"/>
  <c r="D954" i="3"/>
  <c r="E954" i="3"/>
  <c r="F954" i="3"/>
  <c r="G954" i="3"/>
  <c r="H954" i="3"/>
  <c r="I954" i="3"/>
  <c r="J954" i="3"/>
  <c r="B955" i="3"/>
  <c r="C955" i="3"/>
  <c r="D955" i="3"/>
  <c r="E955" i="3"/>
  <c r="F955" i="3"/>
  <c r="G955" i="3"/>
  <c r="H955" i="3"/>
  <c r="I955" i="3"/>
  <c r="J955" i="3"/>
  <c r="B956" i="3"/>
  <c r="C956" i="3"/>
  <c r="D956" i="3"/>
  <c r="E956" i="3"/>
  <c r="F956" i="3"/>
  <c r="G956" i="3"/>
  <c r="H956" i="3"/>
  <c r="I956" i="3"/>
  <c r="J956" i="3"/>
  <c r="B957" i="3"/>
  <c r="C957" i="3"/>
  <c r="D957" i="3"/>
  <c r="E957" i="3"/>
  <c r="F957" i="3"/>
  <c r="G957" i="3"/>
  <c r="H957" i="3"/>
  <c r="I957" i="3"/>
  <c r="J957" i="3"/>
  <c r="K957" i="3"/>
  <c r="B958" i="3"/>
  <c r="K958" i="3" s="1"/>
  <c r="C958" i="3"/>
  <c r="D958" i="3"/>
  <c r="E958" i="3"/>
  <c r="F958" i="3"/>
  <c r="G958" i="3"/>
  <c r="H958" i="3"/>
  <c r="I958" i="3"/>
  <c r="J958" i="3"/>
  <c r="B959" i="3"/>
  <c r="C959" i="3"/>
  <c r="D959" i="3"/>
  <c r="E959" i="3"/>
  <c r="F959" i="3"/>
  <c r="G959" i="3"/>
  <c r="H959" i="3"/>
  <c r="I959" i="3"/>
  <c r="J959" i="3"/>
  <c r="B960" i="3"/>
  <c r="C960" i="3"/>
  <c r="D960" i="3"/>
  <c r="E960" i="3"/>
  <c r="F960" i="3"/>
  <c r="G960" i="3"/>
  <c r="H960" i="3"/>
  <c r="I960" i="3"/>
  <c r="J960" i="3"/>
  <c r="B961" i="3"/>
  <c r="C961" i="3"/>
  <c r="D961" i="3"/>
  <c r="E961" i="3"/>
  <c r="F961" i="3"/>
  <c r="G961" i="3"/>
  <c r="H961" i="3"/>
  <c r="I961" i="3"/>
  <c r="J961" i="3"/>
  <c r="B962" i="3"/>
  <c r="K962" i="3" s="1"/>
  <c r="C962" i="3"/>
  <c r="D962" i="3"/>
  <c r="E962" i="3"/>
  <c r="F962" i="3"/>
  <c r="G962" i="3"/>
  <c r="H962" i="3"/>
  <c r="I962" i="3"/>
  <c r="J962" i="3"/>
  <c r="B963" i="3"/>
  <c r="C963" i="3"/>
  <c r="D963" i="3"/>
  <c r="E963" i="3"/>
  <c r="F963" i="3"/>
  <c r="G963" i="3"/>
  <c r="H963" i="3"/>
  <c r="I963" i="3"/>
  <c r="J963" i="3"/>
  <c r="B964" i="3"/>
  <c r="C964" i="3"/>
  <c r="D964" i="3"/>
  <c r="E964" i="3"/>
  <c r="F964" i="3"/>
  <c r="G964" i="3"/>
  <c r="H964" i="3"/>
  <c r="I964" i="3"/>
  <c r="J964" i="3"/>
  <c r="B965" i="3"/>
  <c r="C965" i="3"/>
  <c r="D965" i="3"/>
  <c r="E965" i="3"/>
  <c r="F965" i="3"/>
  <c r="G965" i="3"/>
  <c r="H965" i="3"/>
  <c r="I965" i="3"/>
  <c r="J965" i="3"/>
  <c r="B966" i="3"/>
  <c r="K966" i="3" s="1"/>
  <c r="C966" i="3"/>
  <c r="D966" i="3"/>
  <c r="E966" i="3"/>
  <c r="F966" i="3"/>
  <c r="G966" i="3"/>
  <c r="H966" i="3"/>
  <c r="I966" i="3"/>
  <c r="J966" i="3"/>
  <c r="B967" i="3"/>
  <c r="C967" i="3"/>
  <c r="D967" i="3"/>
  <c r="E967" i="3"/>
  <c r="F967" i="3"/>
  <c r="G967" i="3"/>
  <c r="H967" i="3"/>
  <c r="I967" i="3"/>
  <c r="J967" i="3"/>
  <c r="B968" i="3"/>
  <c r="C968" i="3"/>
  <c r="D968" i="3"/>
  <c r="E968" i="3"/>
  <c r="F968" i="3"/>
  <c r="G968" i="3"/>
  <c r="H968" i="3"/>
  <c r="I968" i="3"/>
  <c r="J968" i="3"/>
  <c r="B969" i="3"/>
  <c r="C969" i="3"/>
  <c r="D969" i="3"/>
  <c r="E969" i="3"/>
  <c r="F969" i="3"/>
  <c r="G969" i="3"/>
  <c r="H969" i="3"/>
  <c r="I969" i="3"/>
  <c r="J969" i="3"/>
  <c r="B970" i="3"/>
  <c r="K970" i="3" s="1"/>
  <c r="C970" i="3"/>
  <c r="D970" i="3"/>
  <c r="E970" i="3"/>
  <c r="F970" i="3"/>
  <c r="G970" i="3"/>
  <c r="H970" i="3"/>
  <c r="I970" i="3"/>
  <c r="J970" i="3"/>
  <c r="B971" i="3"/>
  <c r="C971" i="3"/>
  <c r="D971" i="3"/>
  <c r="E971" i="3"/>
  <c r="F971" i="3"/>
  <c r="G971" i="3"/>
  <c r="H971" i="3"/>
  <c r="I971" i="3"/>
  <c r="J971" i="3"/>
  <c r="B972" i="3"/>
  <c r="C972" i="3"/>
  <c r="D972" i="3"/>
  <c r="E972" i="3"/>
  <c r="F972" i="3"/>
  <c r="G972" i="3"/>
  <c r="H972" i="3"/>
  <c r="I972" i="3"/>
  <c r="J972" i="3"/>
  <c r="B973" i="3"/>
  <c r="C973" i="3"/>
  <c r="D973" i="3"/>
  <c r="E973" i="3"/>
  <c r="F973" i="3"/>
  <c r="G973" i="3"/>
  <c r="H973" i="3"/>
  <c r="I973" i="3"/>
  <c r="J973" i="3"/>
  <c r="K973" i="3"/>
  <c r="B974" i="3"/>
  <c r="K974" i="3" s="1"/>
  <c r="C974" i="3"/>
  <c r="D974" i="3"/>
  <c r="E974" i="3"/>
  <c r="F974" i="3"/>
  <c r="G974" i="3"/>
  <c r="H974" i="3"/>
  <c r="I974" i="3"/>
  <c r="J974" i="3"/>
  <c r="B975" i="3"/>
  <c r="C975" i="3"/>
  <c r="D975" i="3"/>
  <c r="E975" i="3"/>
  <c r="F975" i="3"/>
  <c r="G975" i="3"/>
  <c r="H975" i="3"/>
  <c r="I975" i="3"/>
  <c r="J975" i="3"/>
  <c r="B976" i="3"/>
  <c r="C976" i="3"/>
  <c r="D976" i="3"/>
  <c r="E976" i="3"/>
  <c r="F976" i="3"/>
  <c r="G976" i="3"/>
  <c r="H976" i="3"/>
  <c r="I976" i="3"/>
  <c r="J976" i="3"/>
  <c r="B977" i="3"/>
  <c r="C977" i="3"/>
  <c r="D977" i="3"/>
  <c r="E977" i="3"/>
  <c r="F977" i="3"/>
  <c r="G977" i="3"/>
  <c r="H977" i="3"/>
  <c r="I977" i="3"/>
  <c r="J977" i="3"/>
  <c r="B978" i="3"/>
  <c r="K978" i="3" s="1"/>
  <c r="C978" i="3"/>
  <c r="D978" i="3"/>
  <c r="E978" i="3"/>
  <c r="F978" i="3"/>
  <c r="G978" i="3"/>
  <c r="H978" i="3"/>
  <c r="I978" i="3"/>
  <c r="J978" i="3"/>
  <c r="B979" i="3"/>
  <c r="C979" i="3"/>
  <c r="D979" i="3"/>
  <c r="E979" i="3"/>
  <c r="F979" i="3"/>
  <c r="G979" i="3"/>
  <c r="H979" i="3"/>
  <c r="I979" i="3"/>
  <c r="J979" i="3"/>
  <c r="B980" i="3"/>
  <c r="C980" i="3"/>
  <c r="D980" i="3"/>
  <c r="E980" i="3"/>
  <c r="F980" i="3"/>
  <c r="G980" i="3"/>
  <c r="H980" i="3"/>
  <c r="I980" i="3"/>
  <c r="J980" i="3"/>
  <c r="B981" i="3"/>
  <c r="C981" i="3"/>
  <c r="D981" i="3"/>
  <c r="E981" i="3"/>
  <c r="F981" i="3"/>
  <c r="G981" i="3"/>
  <c r="H981" i="3"/>
  <c r="I981" i="3"/>
  <c r="J981" i="3"/>
  <c r="B982" i="3"/>
  <c r="K982" i="3" s="1"/>
  <c r="C982" i="3"/>
  <c r="D982" i="3"/>
  <c r="E982" i="3"/>
  <c r="F982" i="3"/>
  <c r="G982" i="3"/>
  <c r="H982" i="3"/>
  <c r="I982" i="3"/>
  <c r="J982" i="3"/>
  <c r="B983" i="3"/>
  <c r="C983" i="3"/>
  <c r="D983" i="3"/>
  <c r="E983" i="3"/>
  <c r="F983" i="3"/>
  <c r="G983" i="3"/>
  <c r="H983" i="3"/>
  <c r="I983" i="3"/>
  <c r="J983" i="3"/>
  <c r="B984" i="3"/>
  <c r="C984" i="3"/>
  <c r="D984" i="3"/>
  <c r="E984" i="3"/>
  <c r="F984" i="3"/>
  <c r="G984" i="3"/>
  <c r="H984" i="3"/>
  <c r="I984" i="3"/>
  <c r="J984" i="3"/>
  <c r="B985" i="3"/>
  <c r="C985" i="3"/>
  <c r="D985" i="3"/>
  <c r="E985" i="3"/>
  <c r="F985" i="3"/>
  <c r="G985" i="3"/>
  <c r="H985" i="3"/>
  <c r="I985" i="3"/>
  <c r="J985" i="3"/>
  <c r="B986" i="3"/>
  <c r="K986" i="3" s="1"/>
  <c r="C986" i="3"/>
  <c r="D986" i="3"/>
  <c r="E986" i="3"/>
  <c r="F986" i="3"/>
  <c r="G986" i="3"/>
  <c r="H986" i="3"/>
  <c r="I986" i="3"/>
  <c r="J986" i="3"/>
  <c r="B987" i="3"/>
  <c r="C987" i="3"/>
  <c r="D987" i="3"/>
  <c r="E987" i="3"/>
  <c r="F987" i="3"/>
  <c r="G987" i="3"/>
  <c r="H987" i="3"/>
  <c r="I987" i="3"/>
  <c r="J987" i="3"/>
  <c r="B988" i="3"/>
  <c r="C988" i="3"/>
  <c r="D988" i="3"/>
  <c r="E988" i="3"/>
  <c r="F988" i="3"/>
  <c r="G988" i="3"/>
  <c r="H988" i="3"/>
  <c r="I988" i="3"/>
  <c r="J988" i="3"/>
  <c r="B989" i="3"/>
  <c r="C989" i="3"/>
  <c r="D989" i="3"/>
  <c r="E989" i="3"/>
  <c r="F989" i="3"/>
  <c r="G989" i="3"/>
  <c r="H989" i="3"/>
  <c r="I989" i="3"/>
  <c r="J989" i="3"/>
  <c r="B990" i="3"/>
  <c r="K990" i="3" s="1"/>
  <c r="C990" i="3"/>
  <c r="D990" i="3"/>
  <c r="E990" i="3"/>
  <c r="F990" i="3"/>
  <c r="G990" i="3"/>
  <c r="H990" i="3"/>
  <c r="I990" i="3"/>
  <c r="J990" i="3"/>
  <c r="B991" i="3"/>
  <c r="C991" i="3"/>
  <c r="D991" i="3"/>
  <c r="E991" i="3"/>
  <c r="F991" i="3"/>
  <c r="G991" i="3"/>
  <c r="H991" i="3"/>
  <c r="I991" i="3"/>
  <c r="J991" i="3"/>
  <c r="B992" i="3"/>
  <c r="C992" i="3"/>
  <c r="D992" i="3"/>
  <c r="E992" i="3"/>
  <c r="F992" i="3"/>
  <c r="G992" i="3"/>
  <c r="H992" i="3"/>
  <c r="I992" i="3"/>
  <c r="J992" i="3"/>
  <c r="B993" i="3"/>
  <c r="C993" i="3"/>
  <c r="D993" i="3"/>
  <c r="E993" i="3"/>
  <c r="F993" i="3"/>
  <c r="G993" i="3"/>
  <c r="H993" i="3"/>
  <c r="I993" i="3"/>
  <c r="J993" i="3"/>
  <c r="B994" i="3"/>
  <c r="K994" i="3" s="1"/>
  <c r="C994" i="3"/>
  <c r="D994" i="3"/>
  <c r="E994" i="3"/>
  <c r="F994" i="3"/>
  <c r="G994" i="3"/>
  <c r="H994" i="3"/>
  <c r="I994" i="3"/>
  <c r="J994" i="3"/>
  <c r="B995" i="3"/>
  <c r="C995" i="3"/>
  <c r="D995" i="3"/>
  <c r="E995" i="3"/>
  <c r="F995" i="3"/>
  <c r="G995" i="3"/>
  <c r="H995" i="3"/>
  <c r="I995" i="3"/>
  <c r="J995" i="3"/>
  <c r="B996" i="3"/>
  <c r="C996" i="3"/>
  <c r="D996" i="3"/>
  <c r="E996" i="3"/>
  <c r="F996" i="3"/>
  <c r="G996" i="3"/>
  <c r="H996" i="3"/>
  <c r="I996" i="3"/>
  <c r="J996" i="3"/>
  <c r="B997" i="3"/>
  <c r="C997" i="3"/>
  <c r="D997" i="3"/>
  <c r="E997" i="3"/>
  <c r="F997" i="3"/>
  <c r="G997" i="3"/>
  <c r="H997" i="3"/>
  <c r="I997" i="3"/>
  <c r="J997" i="3"/>
  <c r="B998" i="3"/>
  <c r="K998" i="3" s="1"/>
  <c r="C998" i="3"/>
  <c r="D998" i="3"/>
  <c r="E998" i="3"/>
  <c r="F998" i="3"/>
  <c r="G998" i="3"/>
  <c r="H998" i="3"/>
  <c r="I998" i="3"/>
  <c r="J998" i="3"/>
  <c r="B999" i="3"/>
  <c r="C999" i="3"/>
  <c r="D999" i="3"/>
  <c r="E999" i="3"/>
  <c r="F999" i="3"/>
  <c r="G999" i="3"/>
  <c r="H999" i="3"/>
  <c r="I999" i="3"/>
  <c r="J999" i="3"/>
  <c r="B1000" i="3"/>
  <c r="C1000" i="3"/>
  <c r="D1000" i="3"/>
  <c r="E1000" i="3"/>
  <c r="F1000" i="3"/>
  <c r="G1000" i="3"/>
  <c r="H1000" i="3"/>
  <c r="I1000" i="3"/>
  <c r="J1000" i="3"/>
  <c r="B1001" i="3"/>
  <c r="C1001" i="3"/>
  <c r="D1001" i="3"/>
  <c r="E1001" i="3"/>
  <c r="F1001" i="3"/>
  <c r="G1001" i="3"/>
  <c r="H1001" i="3"/>
  <c r="I1001" i="3"/>
  <c r="J1001" i="3"/>
  <c r="B1002" i="3"/>
  <c r="K1002" i="3" s="1"/>
  <c r="C1002" i="3"/>
  <c r="D1002" i="3"/>
  <c r="E1002" i="3"/>
  <c r="F1002" i="3"/>
  <c r="G1002" i="3"/>
  <c r="H1002" i="3"/>
  <c r="I1002" i="3"/>
  <c r="J1002" i="3"/>
  <c r="B1003" i="3"/>
  <c r="C1003" i="3"/>
  <c r="D1003" i="3"/>
  <c r="E1003" i="3"/>
  <c r="F1003" i="3"/>
  <c r="G1003" i="3"/>
  <c r="H1003" i="3"/>
  <c r="I1003" i="3"/>
  <c r="J1003" i="3"/>
  <c r="B1004" i="3"/>
  <c r="C1004" i="3"/>
  <c r="D1004" i="3"/>
  <c r="E1004" i="3"/>
  <c r="F1004" i="3"/>
  <c r="G1004" i="3"/>
  <c r="H1004" i="3"/>
  <c r="I1004" i="3"/>
  <c r="J1004" i="3"/>
  <c r="B1005" i="3"/>
  <c r="C1005" i="3"/>
  <c r="D1005" i="3"/>
  <c r="E1005" i="3"/>
  <c r="F1005" i="3"/>
  <c r="G1005" i="3"/>
  <c r="H1005" i="3"/>
  <c r="I1005" i="3"/>
  <c r="J1005" i="3"/>
  <c r="K1005" i="3"/>
  <c r="B1006" i="3"/>
  <c r="C1006" i="3"/>
  <c r="D1006" i="3"/>
  <c r="E1006" i="3"/>
  <c r="F1006" i="3"/>
  <c r="G1006" i="3"/>
  <c r="H1006" i="3"/>
  <c r="I1006" i="3"/>
  <c r="J1006" i="3"/>
  <c r="B1007" i="3"/>
  <c r="K1007" i="3" s="1"/>
  <c r="C1007" i="3"/>
  <c r="D1007" i="3"/>
  <c r="E1007" i="3"/>
  <c r="F1007" i="3"/>
  <c r="G1007" i="3"/>
  <c r="H1007" i="3"/>
  <c r="I1007" i="3"/>
  <c r="J1007" i="3"/>
  <c r="B1008" i="3"/>
  <c r="C1008" i="3"/>
  <c r="D1008" i="3"/>
  <c r="E1008" i="3"/>
  <c r="F1008" i="3"/>
  <c r="G1008" i="3"/>
  <c r="H1008" i="3"/>
  <c r="I1008" i="3"/>
  <c r="J1008" i="3"/>
  <c r="B1009" i="3"/>
  <c r="C1009" i="3"/>
  <c r="D1009" i="3"/>
  <c r="E1009" i="3"/>
  <c r="F1009" i="3"/>
  <c r="G1009" i="3"/>
  <c r="H1009" i="3"/>
  <c r="I1009" i="3"/>
  <c r="J1009" i="3"/>
  <c r="B1010" i="3"/>
  <c r="C1010" i="3"/>
  <c r="D1010" i="3"/>
  <c r="E1010" i="3"/>
  <c r="F1010" i="3"/>
  <c r="G1010" i="3"/>
  <c r="H1010" i="3"/>
  <c r="I1010" i="3"/>
  <c r="J1010" i="3"/>
  <c r="B1011" i="3"/>
  <c r="K1011" i="3" s="1"/>
  <c r="C1011" i="3"/>
  <c r="D1011" i="3"/>
  <c r="E1011" i="3"/>
  <c r="F1011" i="3"/>
  <c r="G1011" i="3"/>
  <c r="H1011" i="3"/>
  <c r="I1011" i="3"/>
  <c r="J1011" i="3"/>
  <c r="B1012" i="3"/>
  <c r="C1012" i="3"/>
  <c r="D1012" i="3"/>
  <c r="E1012" i="3"/>
  <c r="F1012" i="3"/>
  <c r="G1012" i="3"/>
  <c r="H1012" i="3"/>
  <c r="I1012" i="3"/>
  <c r="J1012" i="3"/>
  <c r="B1013" i="3"/>
  <c r="C1013" i="3"/>
  <c r="D1013" i="3"/>
  <c r="E1013" i="3"/>
  <c r="F1013" i="3"/>
  <c r="G1013" i="3"/>
  <c r="H1013" i="3"/>
  <c r="I1013" i="3"/>
  <c r="J1013" i="3"/>
  <c r="B1014" i="3"/>
  <c r="C1014" i="3"/>
  <c r="D1014" i="3"/>
  <c r="E1014" i="3"/>
  <c r="F1014" i="3"/>
  <c r="G1014" i="3"/>
  <c r="H1014" i="3"/>
  <c r="I1014" i="3"/>
  <c r="J1014" i="3"/>
  <c r="B1015" i="3"/>
  <c r="K1015" i="3" s="1"/>
  <c r="C1015" i="3"/>
  <c r="D1015" i="3"/>
  <c r="E1015" i="3"/>
  <c r="F1015" i="3"/>
  <c r="G1015" i="3"/>
  <c r="H1015" i="3"/>
  <c r="I1015" i="3"/>
  <c r="J1015" i="3"/>
  <c r="B1016" i="3"/>
  <c r="C1016" i="3"/>
  <c r="D1016" i="3"/>
  <c r="E1016" i="3"/>
  <c r="F1016" i="3"/>
  <c r="G1016" i="3"/>
  <c r="H1016" i="3"/>
  <c r="I1016" i="3"/>
  <c r="J1016" i="3"/>
  <c r="B1017" i="3"/>
  <c r="C1017" i="3"/>
  <c r="D1017" i="3"/>
  <c r="E1017" i="3"/>
  <c r="F1017" i="3"/>
  <c r="G1017" i="3"/>
  <c r="H1017" i="3"/>
  <c r="I1017" i="3"/>
  <c r="J1017" i="3"/>
  <c r="B1018" i="3"/>
  <c r="C1018" i="3"/>
  <c r="D1018" i="3"/>
  <c r="E1018" i="3"/>
  <c r="F1018" i="3"/>
  <c r="G1018" i="3"/>
  <c r="H1018" i="3"/>
  <c r="I1018" i="3"/>
  <c r="J1018" i="3"/>
  <c r="B1019" i="3"/>
  <c r="K1019" i="3" s="1"/>
  <c r="C1019" i="3"/>
  <c r="D1019" i="3"/>
  <c r="E1019" i="3"/>
  <c r="F1019" i="3"/>
  <c r="G1019" i="3"/>
  <c r="H1019" i="3"/>
  <c r="I1019" i="3"/>
  <c r="J1019" i="3"/>
  <c r="B1020" i="3"/>
  <c r="C1020" i="3"/>
  <c r="D1020" i="3"/>
  <c r="E1020" i="3"/>
  <c r="F1020" i="3"/>
  <c r="G1020" i="3"/>
  <c r="H1020" i="3"/>
  <c r="I1020" i="3"/>
  <c r="J1020" i="3"/>
  <c r="B1021" i="3"/>
  <c r="C1021" i="3"/>
  <c r="D1021" i="3"/>
  <c r="E1021" i="3"/>
  <c r="F1021" i="3"/>
  <c r="G1021" i="3"/>
  <c r="H1021" i="3"/>
  <c r="I1021" i="3"/>
  <c r="J1021" i="3"/>
  <c r="B1022" i="3"/>
  <c r="C1022" i="3"/>
  <c r="D1022" i="3"/>
  <c r="E1022" i="3"/>
  <c r="F1022" i="3"/>
  <c r="G1022" i="3"/>
  <c r="H1022" i="3"/>
  <c r="I1022" i="3"/>
  <c r="J1022" i="3"/>
  <c r="B1023" i="3"/>
  <c r="K1023" i="3" s="1"/>
  <c r="C1023" i="3"/>
  <c r="D1023" i="3"/>
  <c r="E1023" i="3"/>
  <c r="F1023" i="3"/>
  <c r="G1023" i="3"/>
  <c r="H1023" i="3"/>
  <c r="I1023" i="3"/>
  <c r="J1023" i="3"/>
  <c r="B1024" i="3"/>
  <c r="C1024" i="3"/>
  <c r="D1024" i="3"/>
  <c r="E1024" i="3"/>
  <c r="F1024" i="3"/>
  <c r="G1024" i="3"/>
  <c r="H1024" i="3"/>
  <c r="I1024" i="3"/>
  <c r="J1024" i="3"/>
  <c r="B1025" i="3"/>
  <c r="C1025" i="3"/>
  <c r="D1025" i="3"/>
  <c r="E1025" i="3"/>
  <c r="F1025" i="3"/>
  <c r="G1025" i="3"/>
  <c r="H1025" i="3"/>
  <c r="I1025" i="3"/>
  <c r="J1025" i="3"/>
  <c r="B1026" i="3"/>
  <c r="C1026" i="3"/>
  <c r="D1026" i="3"/>
  <c r="E1026" i="3"/>
  <c r="F1026" i="3"/>
  <c r="G1026" i="3"/>
  <c r="H1026" i="3"/>
  <c r="I1026" i="3"/>
  <c r="J1026" i="3"/>
  <c r="B1027" i="3"/>
  <c r="K1027" i="3" s="1"/>
  <c r="C1027" i="3"/>
  <c r="D1027" i="3"/>
  <c r="E1027" i="3"/>
  <c r="F1027" i="3"/>
  <c r="G1027" i="3"/>
  <c r="H1027" i="3"/>
  <c r="I1027" i="3"/>
  <c r="J1027" i="3"/>
  <c r="B1028" i="3"/>
  <c r="C1028" i="3"/>
  <c r="D1028" i="3"/>
  <c r="E1028" i="3"/>
  <c r="F1028" i="3"/>
  <c r="G1028" i="3"/>
  <c r="H1028" i="3"/>
  <c r="I1028" i="3"/>
  <c r="J1028" i="3"/>
  <c r="B1029" i="3"/>
  <c r="C1029" i="3"/>
  <c r="D1029" i="3"/>
  <c r="E1029" i="3"/>
  <c r="F1029" i="3"/>
  <c r="G1029" i="3"/>
  <c r="H1029" i="3"/>
  <c r="I1029" i="3"/>
  <c r="J1029" i="3"/>
  <c r="B1030" i="3"/>
  <c r="C1030" i="3"/>
  <c r="D1030" i="3"/>
  <c r="E1030" i="3"/>
  <c r="F1030" i="3"/>
  <c r="G1030" i="3"/>
  <c r="H1030" i="3"/>
  <c r="I1030" i="3"/>
  <c r="J1030" i="3"/>
  <c r="B1031" i="3"/>
  <c r="K1031" i="3" s="1"/>
  <c r="C1031" i="3"/>
  <c r="D1031" i="3"/>
  <c r="E1031" i="3"/>
  <c r="F1031" i="3"/>
  <c r="G1031" i="3"/>
  <c r="H1031" i="3"/>
  <c r="I1031" i="3"/>
  <c r="J1031" i="3"/>
  <c r="B1032" i="3"/>
  <c r="C1032" i="3"/>
  <c r="D1032" i="3"/>
  <c r="E1032" i="3"/>
  <c r="F1032" i="3"/>
  <c r="G1032" i="3"/>
  <c r="H1032" i="3"/>
  <c r="I1032" i="3"/>
  <c r="J1032" i="3"/>
  <c r="B1033" i="3"/>
  <c r="C1033" i="3"/>
  <c r="D1033" i="3"/>
  <c r="E1033" i="3"/>
  <c r="F1033" i="3"/>
  <c r="G1033" i="3"/>
  <c r="H1033" i="3"/>
  <c r="I1033" i="3"/>
  <c r="J1033" i="3"/>
  <c r="B1034" i="3"/>
  <c r="C1034" i="3"/>
  <c r="D1034" i="3"/>
  <c r="E1034" i="3"/>
  <c r="F1034" i="3"/>
  <c r="G1034" i="3"/>
  <c r="H1034" i="3"/>
  <c r="I1034" i="3"/>
  <c r="J1034" i="3"/>
  <c r="B1035" i="3"/>
  <c r="K1035" i="3" s="1"/>
  <c r="C1035" i="3"/>
  <c r="D1035" i="3"/>
  <c r="E1035" i="3"/>
  <c r="F1035" i="3"/>
  <c r="G1035" i="3"/>
  <c r="H1035" i="3"/>
  <c r="I1035" i="3"/>
  <c r="J1035" i="3"/>
  <c r="B1036" i="3"/>
  <c r="C1036" i="3"/>
  <c r="D1036" i="3"/>
  <c r="E1036" i="3"/>
  <c r="F1036" i="3"/>
  <c r="G1036" i="3"/>
  <c r="H1036" i="3"/>
  <c r="I1036" i="3"/>
  <c r="J1036" i="3"/>
  <c r="B1037" i="3"/>
  <c r="C1037" i="3"/>
  <c r="D1037" i="3"/>
  <c r="E1037" i="3"/>
  <c r="F1037" i="3"/>
  <c r="G1037" i="3"/>
  <c r="H1037" i="3"/>
  <c r="I1037" i="3"/>
  <c r="J1037" i="3"/>
  <c r="B1038" i="3"/>
  <c r="C1038" i="3"/>
  <c r="D1038" i="3"/>
  <c r="E1038" i="3"/>
  <c r="F1038" i="3"/>
  <c r="G1038" i="3"/>
  <c r="H1038" i="3"/>
  <c r="I1038" i="3"/>
  <c r="J1038" i="3"/>
  <c r="B1039" i="3"/>
  <c r="K1039" i="3" s="1"/>
  <c r="C1039" i="3"/>
  <c r="D1039" i="3"/>
  <c r="E1039" i="3"/>
  <c r="F1039" i="3"/>
  <c r="G1039" i="3"/>
  <c r="H1039" i="3"/>
  <c r="I1039" i="3"/>
  <c r="J1039" i="3"/>
  <c r="B1040" i="3"/>
  <c r="C1040" i="3"/>
  <c r="D1040" i="3"/>
  <c r="E1040" i="3"/>
  <c r="F1040" i="3"/>
  <c r="G1040" i="3"/>
  <c r="H1040" i="3"/>
  <c r="I1040" i="3"/>
  <c r="J1040" i="3"/>
  <c r="B1041" i="3"/>
  <c r="C1041" i="3"/>
  <c r="D1041" i="3"/>
  <c r="E1041" i="3"/>
  <c r="F1041" i="3"/>
  <c r="G1041" i="3"/>
  <c r="H1041" i="3"/>
  <c r="I1041" i="3"/>
  <c r="J1041" i="3"/>
  <c r="B1042" i="3"/>
  <c r="C1042" i="3"/>
  <c r="D1042" i="3"/>
  <c r="E1042" i="3"/>
  <c r="F1042" i="3"/>
  <c r="G1042" i="3"/>
  <c r="H1042" i="3"/>
  <c r="I1042" i="3"/>
  <c r="J1042" i="3"/>
  <c r="B1043" i="3"/>
  <c r="K1043" i="3" s="1"/>
  <c r="C1043" i="3"/>
  <c r="D1043" i="3"/>
  <c r="E1043" i="3"/>
  <c r="F1043" i="3"/>
  <c r="G1043" i="3"/>
  <c r="H1043" i="3"/>
  <c r="I1043" i="3"/>
  <c r="J1043" i="3"/>
  <c r="B1044" i="3"/>
  <c r="C1044" i="3"/>
  <c r="D1044" i="3"/>
  <c r="E1044" i="3"/>
  <c r="F1044" i="3"/>
  <c r="G1044" i="3"/>
  <c r="H1044" i="3"/>
  <c r="I1044" i="3"/>
  <c r="J1044" i="3"/>
  <c r="B1045" i="3"/>
  <c r="C1045" i="3"/>
  <c r="D1045" i="3"/>
  <c r="E1045" i="3"/>
  <c r="F1045" i="3"/>
  <c r="G1045" i="3"/>
  <c r="H1045" i="3"/>
  <c r="I1045" i="3"/>
  <c r="J1045" i="3"/>
  <c r="B1046" i="3"/>
  <c r="C1046" i="3"/>
  <c r="D1046" i="3"/>
  <c r="E1046" i="3"/>
  <c r="F1046" i="3"/>
  <c r="G1046" i="3"/>
  <c r="H1046" i="3"/>
  <c r="I1046" i="3"/>
  <c r="J1046" i="3"/>
  <c r="B1047" i="3"/>
  <c r="K1047" i="3" s="1"/>
  <c r="C1047" i="3"/>
  <c r="D1047" i="3"/>
  <c r="E1047" i="3"/>
  <c r="F1047" i="3"/>
  <c r="G1047" i="3"/>
  <c r="H1047" i="3"/>
  <c r="I1047" i="3"/>
  <c r="J1047" i="3"/>
  <c r="B1048" i="3"/>
  <c r="C1048" i="3"/>
  <c r="D1048" i="3"/>
  <c r="E1048" i="3"/>
  <c r="F1048" i="3"/>
  <c r="G1048" i="3"/>
  <c r="H1048" i="3"/>
  <c r="I1048" i="3"/>
  <c r="J1048" i="3"/>
  <c r="B1049" i="3"/>
  <c r="C1049" i="3"/>
  <c r="D1049" i="3"/>
  <c r="E1049" i="3"/>
  <c r="F1049" i="3"/>
  <c r="G1049" i="3"/>
  <c r="H1049" i="3"/>
  <c r="I1049" i="3"/>
  <c r="J1049" i="3"/>
  <c r="B1050" i="3"/>
  <c r="C1050" i="3"/>
  <c r="D1050" i="3"/>
  <c r="E1050" i="3"/>
  <c r="F1050" i="3"/>
  <c r="G1050" i="3"/>
  <c r="H1050" i="3"/>
  <c r="I1050" i="3"/>
  <c r="J1050" i="3"/>
  <c r="B1051" i="3"/>
  <c r="K1051" i="3" s="1"/>
  <c r="C1051" i="3"/>
  <c r="D1051" i="3"/>
  <c r="E1051" i="3"/>
  <c r="F1051" i="3"/>
  <c r="G1051" i="3"/>
  <c r="H1051" i="3"/>
  <c r="I1051" i="3"/>
  <c r="J1051" i="3"/>
  <c r="B1052" i="3"/>
  <c r="C1052" i="3"/>
  <c r="D1052" i="3"/>
  <c r="E1052" i="3"/>
  <c r="F1052" i="3"/>
  <c r="G1052" i="3"/>
  <c r="H1052" i="3"/>
  <c r="I1052" i="3"/>
  <c r="J1052" i="3"/>
  <c r="B1053" i="3"/>
  <c r="C1053" i="3"/>
  <c r="D1053" i="3"/>
  <c r="E1053" i="3"/>
  <c r="F1053" i="3"/>
  <c r="G1053" i="3"/>
  <c r="H1053" i="3"/>
  <c r="I1053" i="3"/>
  <c r="J1053" i="3"/>
  <c r="B1054" i="3"/>
  <c r="C1054" i="3"/>
  <c r="D1054" i="3"/>
  <c r="E1054" i="3"/>
  <c r="F1054" i="3"/>
  <c r="G1054" i="3"/>
  <c r="H1054" i="3"/>
  <c r="I1054" i="3"/>
  <c r="J1054" i="3"/>
  <c r="B1055" i="3"/>
  <c r="K1055" i="3" s="1"/>
  <c r="C1055" i="3"/>
  <c r="D1055" i="3"/>
  <c r="E1055" i="3"/>
  <c r="F1055" i="3"/>
  <c r="G1055" i="3"/>
  <c r="H1055" i="3"/>
  <c r="I1055" i="3"/>
  <c r="J1055" i="3"/>
  <c r="B1056" i="3"/>
  <c r="C1056" i="3"/>
  <c r="D1056" i="3"/>
  <c r="E1056" i="3"/>
  <c r="F1056" i="3"/>
  <c r="G1056" i="3"/>
  <c r="H1056" i="3"/>
  <c r="I1056" i="3"/>
  <c r="J1056" i="3"/>
  <c r="B1057" i="3"/>
  <c r="C1057" i="3"/>
  <c r="D1057" i="3"/>
  <c r="E1057" i="3"/>
  <c r="F1057" i="3"/>
  <c r="G1057" i="3"/>
  <c r="H1057" i="3"/>
  <c r="I1057" i="3"/>
  <c r="J1057" i="3"/>
  <c r="B1058" i="3"/>
  <c r="C1058" i="3"/>
  <c r="D1058" i="3"/>
  <c r="E1058" i="3"/>
  <c r="F1058" i="3"/>
  <c r="G1058" i="3"/>
  <c r="H1058" i="3"/>
  <c r="I1058" i="3"/>
  <c r="J1058" i="3"/>
  <c r="B1059" i="3"/>
  <c r="K1059" i="3" s="1"/>
  <c r="C1059" i="3"/>
  <c r="D1059" i="3"/>
  <c r="E1059" i="3"/>
  <c r="F1059" i="3"/>
  <c r="G1059" i="3"/>
  <c r="H1059" i="3"/>
  <c r="I1059" i="3"/>
  <c r="J1059" i="3"/>
  <c r="B1060" i="3"/>
  <c r="C1060" i="3"/>
  <c r="D1060" i="3"/>
  <c r="E1060" i="3"/>
  <c r="F1060" i="3"/>
  <c r="G1060" i="3"/>
  <c r="H1060" i="3"/>
  <c r="I1060" i="3"/>
  <c r="J1060" i="3"/>
  <c r="B1061" i="3"/>
  <c r="C1061" i="3"/>
  <c r="D1061" i="3"/>
  <c r="E1061" i="3"/>
  <c r="F1061" i="3"/>
  <c r="G1061" i="3"/>
  <c r="H1061" i="3"/>
  <c r="I1061" i="3"/>
  <c r="J1061" i="3"/>
  <c r="B1062" i="3"/>
  <c r="C1062" i="3"/>
  <c r="D1062" i="3"/>
  <c r="E1062" i="3"/>
  <c r="F1062" i="3"/>
  <c r="G1062" i="3"/>
  <c r="H1062" i="3"/>
  <c r="I1062" i="3"/>
  <c r="J1062" i="3"/>
  <c r="B1063" i="3"/>
  <c r="K1063" i="3" s="1"/>
  <c r="C1063" i="3"/>
  <c r="D1063" i="3"/>
  <c r="E1063" i="3"/>
  <c r="F1063" i="3"/>
  <c r="G1063" i="3"/>
  <c r="H1063" i="3"/>
  <c r="I1063" i="3"/>
  <c r="J1063" i="3"/>
  <c r="B1064" i="3"/>
  <c r="C1064" i="3"/>
  <c r="D1064" i="3"/>
  <c r="E1064" i="3"/>
  <c r="F1064" i="3"/>
  <c r="G1064" i="3"/>
  <c r="H1064" i="3"/>
  <c r="I1064" i="3"/>
  <c r="J1064" i="3"/>
  <c r="B1065" i="3"/>
  <c r="C1065" i="3"/>
  <c r="D1065" i="3"/>
  <c r="E1065" i="3"/>
  <c r="F1065" i="3"/>
  <c r="G1065" i="3"/>
  <c r="H1065" i="3"/>
  <c r="I1065" i="3"/>
  <c r="J1065" i="3"/>
  <c r="B1066" i="3"/>
  <c r="C1066" i="3"/>
  <c r="D1066" i="3"/>
  <c r="E1066" i="3"/>
  <c r="F1066" i="3"/>
  <c r="G1066" i="3"/>
  <c r="H1066" i="3"/>
  <c r="I1066" i="3"/>
  <c r="J1066" i="3"/>
  <c r="B1067" i="3"/>
  <c r="K1067" i="3" s="1"/>
  <c r="C1067" i="3"/>
  <c r="D1067" i="3"/>
  <c r="E1067" i="3"/>
  <c r="F1067" i="3"/>
  <c r="G1067" i="3"/>
  <c r="H1067" i="3"/>
  <c r="I1067" i="3"/>
  <c r="J1067" i="3"/>
  <c r="B1068" i="3"/>
  <c r="C1068" i="3"/>
  <c r="D1068" i="3"/>
  <c r="E1068" i="3"/>
  <c r="F1068" i="3"/>
  <c r="G1068" i="3"/>
  <c r="H1068" i="3"/>
  <c r="I1068" i="3"/>
  <c r="J1068" i="3"/>
  <c r="B1069" i="3"/>
  <c r="C1069" i="3"/>
  <c r="D1069" i="3"/>
  <c r="E1069" i="3"/>
  <c r="F1069" i="3"/>
  <c r="G1069" i="3"/>
  <c r="H1069" i="3"/>
  <c r="I1069" i="3"/>
  <c r="J1069" i="3"/>
  <c r="B1070" i="3"/>
  <c r="C1070" i="3"/>
  <c r="D1070" i="3"/>
  <c r="E1070" i="3"/>
  <c r="F1070" i="3"/>
  <c r="G1070" i="3"/>
  <c r="H1070" i="3"/>
  <c r="I1070" i="3"/>
  <c r="J1070" i="3"/>
  <c r="B1071" i="3"/>
  <c r="K1071" i="3" s="1"/>
  <c r="C1071" i="3"/>
  <c r="D1071" i="3"/>
  <c r="E1071" i="3"/>
  <c r="F1071" i="3"/>
  <c r="G1071" i="3"/>
  <c r="H1071" i="3"/>
  <c r="I1071" i="3"/>
  <c r="J1071" i="3"/>
  <c r="B1072" i="3"/>
  <c r="C1072" i="3"/>
  <c r="D1072" i="3"/>
  <c r="E1072" i="3"/>
  <c r="F1072" i="3"/>
  <c r="G1072" i="3"/>
  <c r="H1072" i="3"/>
  <c r="I1072" i="3"/>
  <c r="J1072" i="3"/>
  <c r="B1073" i="3"/>
  <c r="C1073" i="3"/>
  <c r="D1073" i="3"/>
  <c r="E1073" i="3"/>
  <c r="F1073" i="3"/>
  <c r="G1073" i="3"/>
  <c r="H1073" i="3"/>
  <c r="I1073" i="3"/>
  <c r="J1073" i="3"/>
  <c r="B1074" i="3"/>
  <c r="C1074" i="3"/>
  <c r="D1074" i="3"/>
  <c r="E1074" i="3"/>
  <c r="F1074" i="3"/>
  <c r="G1074" i="3"/>
  <c r="H1074" i="3"/>
  <c r="I1074" i="3"/>
  <c r="J1074" i="3"/>
  <c r="B1075" i="3"/>
  <c r="K1075" i="3" s="1"/>
  <c r="C1075" i="3"/>
  <c r="D1075" i="3"/>
  <c r="E1075" i="3"/>
  <c r="F1075" i="3"/>
  <c r="G1075" i="3"/>
  <c r="H1075" i="3"/>
  <c r="I1075" i="3"/>
  <c r="J1075" i="3"/>
  <c r="B1076" i="3"/>
  <c r="C1076" i="3"/>
  <c r="D1076" i="3"/>
  <c r="E1076" i="3"/>
  <c r="F1076" i="3"/>
  <c r="G1076" i="3"/>
  <c r="H1076" i="3"/>
  <c r="I1076" i="3"/>
  <c r="J1076" i="3"/>
  <c r="B1077" i="3"/>
  <c r="C1077" i="3"/>
  <c r="D1077" i="3"/>
  <c r="E1077" i="3"/>
  <c r="F1077" i="3"/>
  <c r="G1077" i="3"/>
  <c r="H1077" i="3"/>
  <c r="I1077" i="3"/>
  <c r="J1077" i="3"/>
  <c r="B1078" i="3"/>
  <c r="C1078" i="3"/>
  <c r="D1078" i="3"/>
  <c r="E1078" i="3"/>
  <c r="F1078" i="3"/>
  <c r="G1078" i="3"/>
  <c r="H1078" i="3"/>
  <c r="I1078" i="3"/>
  <c r="J1078" i="3"/>
  <c r="B1079" i="3"/>
  <c r="C1079" i="3"/>
  <c r="D1079" i="3"/>
  <c r="E1079" i="3"/>
  <c r="F1079" i="3"/>
  <c r="G1079" i="3"/>
  <c r="H1079" i="3"/>
  <c r="I1079" i="3"/>
  <c r="J1079" i="3"/>
  <c r="B1080" i="3"/>
  <c r="C1080" i="3"/>
  <c r="D1080" i="3"/>
  <c r="E1080" i="3"/>
  <c r="F1080" i="3"/>
  <c r="G1080" i="3"/>
  <c r="H1080" i="3"/>
  <c r="I1080" i="3"/>
  <c r="J1080" i="3"/>
  <c r="B1081" i="3"/>
  <c r="C1081" i="3"/>
  <c r="D1081" i="3"/>
  <c r="E1081" i="3"/>
  <c r="F1081" i="3"/>
  <c r="G1081" i="3"/>
  <c r="H1081" i="3"/>
  <c r="I1081" i="3"/>
  <c r="J1081" i="3"/>
  <c r="B1082" i="3"/>
  <c r="C1082" i="3"/>
  <c r="D1082" i="3"/>
  <c r="E1082" i="3"/>
  <c r="F1082" i="3"/>
  <c r="G1082" i="3"/>
  <c r="H1082" i="3"/>
  <c r="I1082" i="3"/>
  <c r="J1082" i="3"/>
  <c r="B1083" i="3"/>
  <c r="K1083" i="3" s="1"/>
  <c r="C1083" i="3"/>
  <c r="D1083" i="3"/>
  <c r="E1083" i="3"/>
  <c r="F1083" i="3"/>
  <c r="G1083" i="3"/>
  <c r="H1083" i="3"/>
  <c r="I1083" i="3"/>
  <c r="J1083" i="3"/>
  <c r="B1084" i="3"/>
  <c r="C1084" i="3"/>
  <c r="D1084" i="3"/>
  <c r="E1084" i="3"/>
  <c r="F1084" i="3"/>
  <c r="G1084" i="3"/>
  <c r="H1084" i="3"/>
  <c r="I1084" i="3"/>
  <c r="J1084" i="3"/>
  <c r="B1085" i="3"/>
  <c r="C1085" i="3"/>
  <c r="D1085" i="3"/>
  <c r="E1085" i="3"/>
  <c r="F1085" i="3"/>
  <c r="G1085" i="3"/>
  <c r="H1085" i="3"/>
  <c r="I1085" i="3"/>
  <c r="J1085" i="3"/>
  <c r="B1086" i="3"/>
  <c r="C1086" i="3"/>
  <c r="D1086" i="3"/>
  <c r="E1086" i="3"/>
  <c r="F1086" i="3"/>
  <c r="G1086" i="3"/>
  <c r="H1086" i="3"/>
  <c r="I1086" i="3"/>
  <c r="J1086" i="3"/>
  <c r="B1087" i="3"/>
  <c r="C1087" i="3"/>
  <c r="D1087" i="3"/>
  <c r="E1087" i="3"/>
  <c r="F1087" i="3"/>
  <c r="G1087" i="3"/>
  <c r="H1087" i="3"/>
  <c r="I1087" i="3"/>
  <c r="J1087" i="3"/>
  <c r="B1088" i="3"/>
  <c r="C1088" i="3"/>
  <c r="D1088" i="3"/>
  <c r="E1088" i="3"/>
  <c r="F1088" i="3"/>
  <c r="G1088" i="3"/>
  <c r="H1088" i="3"/>
  <c r="I1088" i="3"/>
  <c r="J1088" i="3"/>
  <c r="B1089" i="3"/>
  <c r="C1089" i="3"/>
  <c r="D1089" i="3"/>
  <c r="E1089" i="3"/>
  <c r="F1089" i="3"/>
  <c r="G1089" i="3"/>
  <c r="H1089" i="3"/>
  <c r="I1089" i="3"/>
  <c r="J1089" i="3"/>
  <c r="B1090" i="3"/>
  <c r="C1090" i="3"/>
  <c r="D1090" i="3"/>
  <c r="E1090" i="3"/>
  <c r="F1090" i="3"/>
  <c r="G1090" i="3"/>
  <c r="H1090" i="3"/>
  <c r="I1090" i="3"/>
  <c r="J1090" i="3"/>
  <c r="B1091" i="3"/>
  <c r="C1091" i="3"/>
  <c r="D1091" i="3"/>
  <c r="E1091" i="3"/>
  <c r="F1091" i="3"/>
  <c r="G1091" i="3"/>
  <c r="H1091" i="3"/>
  <c r="I1091" i="3"/>
  <c r="J1091" i="3"/>
  <c r="B1092" i="3"/>
  <c r="C1092" i="3"/>
  <c r="D1092" i="3"/>
  <c r="E1092" i="3"/>
  <c r="F1092" i="3"/>
  <c r="G1092" i="3"/>
  <c r="H1092" i="3"/>
  <c r="I1092" i="3"/>
  <c r="J1092" i="3"/>
  <c r="B1093" i="3"/>
  <c r="C1093" i="3"/>
  <c r="D1093" i="3"/>
  <c r="E1093" i="3"/>
  <c r="F1093" i="3"/>
  <c r="G1093" i="3"/>
  <c r="H1093" i="3"/>
  <c r="I1093" i="3"/>
  <c r="J1093" i="3"/>
  <c r="B1094" i="3"/>
  <c r="C1094" i="3"/>
  <c r="D1094" i="3"/>
  <c r="E1094" i="3"/>
  <c r="F1094" i="3"/>
  <c r="G1094" i="3"/>
  <c r="H1094" i="3"/>
  <c r="I1094" i="3"/>
  <c r="J1094" i="3"/>
  <c r="B1095" i="3"/>
  <c r="C1095" i="3"/>
  <c r="D1095" i="3"/>
  <c r="E1095" i="3"/>
  <c r="F1095" i="3"/>
  <c r="G1095" i="3"/>
  <c r="H1095" i="3"/>
  <c r="I1095" i="3"/>
  <c r="J1095" i="3"/>
  <c r="B1096" i="3"/>
  <c r="C1096" i="3"/>
  <c r="D1096" i="3"/>
  <c r="E1096" i="3"/>
  <c r="F1096" i="3"/>
  <c r="G1096" i="3"/>
  <c r="H1096" i="3"/>
  <c r="I1096" i="3"/>
  <c r="J1096" i="3"/>
  <c r="B1097" i="3"/>
  <c r="C1097" i="3"/>
  <c r="D1097" i="3"/>
  <c r="E1097" i="3"/>
  <c r="F1097" i="3"/>
  <c r="G1097" i="3"/>
  <c r="H1097" i="3"/>
  <c r="I1097" i="3"/>
  <c r="J1097" i="3"/>
  <c r="B1098" i="3"/>
  <c r="C1098" i="3"/>
  <c r="D1098" i="3"/>
  <c r="E1098" i="3"/>
  <c r="F1098" i="3"/>
  <c r="G1098" i="3"/>
  <c r="H1098" i="3"/>
  <c r="I1098" i="3"/>
  <c r="J1098" i="3"/>
  <c r="B1099" i="3"/>
  <c r="C1099" i="3"/>
  <c r="D1099" i="3"/>
  <c r="E1099" i="3"/>
  <c r="F1099" i="3"/>
  <c r="G1099" i="3"/>
  <c r="H1099" i="3"/>
  <c r="I1099" i="3"/>
  <c r="J1099" i="3"/>
  <c r="B1100" i="3"/>
  <c r="C1100" i="3"/>
  <c r="D1100" i="3"/>
  <c r="E1100" i="3"/>
  <c r="F1100" i="3"/>
  <c r="G1100" i="3"/>
  <c r="H1100" i="3"/>
  <c r="I1100" i="3"/>
  <c r="J1100" i="3"/>
  <c r="B1101" i="3"/>
  <c r="C1101" i="3"/>
  <c r="D1101" i="3"/>
  <c r="E1101" i="3"/>
  <c r="F1101" i="3"/>
  <c r="G1101" i="3"/>
  <c r="H1101" i="3"/>
  <c r="I1101" i="3"/>
  <c r="J1101" i="3"/>
  <c r="B1102" i="3"/>
  <c r="C1102" i="3"/>
  <c r="D1102" i="3"/>
  <c r="E1102" i="3"/>
  <c r="F1102" i="3"/>
  <c r="G1102" i="3"/>
  <c r="H1102" i="3"/>
  <c r="I1102" i="3"/>
  <c r="J1102" i="3"/>
  <c r="B1103" i="3"/>
  <c r="C1103" i="3"/>
  <c r="D1103" i="3"/>
  <c r="E1103" i="3"/>
  <c r="F1103" i="3"/>
  <c r="G1103" i="3"/>
  <c r="H1103" i="3"/>
  <c r="I1103" i="3"/>
  <c r="J1103" i="3"/>
  <c r="B1104" i="3"/>
  <c r="C1104" i="3"/>
  <c r="D1104" i="3"/>
  <c r="E1104" i="3"/>
  <c r="F1104" i="3"/>
  <c r="G1104" i="3"/>
  <c r="H1104" i="3"/>
  <c r="I1104" i="3"/>
  <c r="J1104" i="3"/>
  <c r="B1105" i="3"/>
  <c r="C1105" i="3"/>
  <c r="D1105" i="3"/>
  <c r="E1105" i="3"/>
  <c r="F1105" i="3"/>
  <c r="G1105" i="3"/>
  <c r="H1105" i="3"/>
  <c r="I1105" i="3"/>
  <c r="J1105" i="3"/>
  <c r="B1106" i="3"/>
  <c r="C1106" i="3"/>
  <c r="D1106" i="3"/>
  <c r="E1106" i="3"/>
  <c r="F1106" i="3"/>
  <c r="G1106" i="3"/>
  <c r="H1106" i="3"/>
  <c r="I1106" i="3"/>
  <c r="J1106" i="3"/>
  <c r="B1107" i="3"/>
  <c r="C1107" i="3"/>
  <c r="D1107" i="3"/>
  <c r="E1107" i="3"/>
  <c r="F1107" i="3"/>
  <c r="G1107" i="3"/>
  <c r="H1107" i="3"/>
  <c r="I1107" i="3"/>
  <c r="J1107" i="3"/>
  <c r="B1108" i="3"/>
  <c r="C1108" i="3"/>
  <c r="D1108" i="3"/>
  <c r="E1108" i="3"/>
  <c r="F1108" i="3"/>
  <c r="G1108" i="3"/>
  <c r="H1108" i="3"/>
  <c r="I1108" i="3"/>
  <c r="J1108" i="3"/>
  <c r="B1109" i="3"/>
  <c r="C1109" i="3"/>
  <c r="D1109" i="3"/>
  <c r="E1109" i="3"/>
  <c r="F1109" i="3"/>
  <c r="G1109" i="3"/>
  <c r="H1109" i="3"/>
  <c r="I1109" i="3"/>
  <c r="J1109" i="3"/>
  <c r="B1110" i="3"/>
  <c r="C1110" i="3"/>
  <c r="D1110" i="3"/>
  <c r="E1110" i="3"/>
  <c r="F1110" i="3"/>
  <c r="G1110" i="3"/>
  <c r="H1110" i="3"/>
  <c r="I1110" i="3"/>
  <c r="J1110" i="3"/>
  <c r="B1111" i="3"/>
  <c r="C1111" i="3"/>
  <c r="D1111" i="3"/>
  <c r="E1111" i="3"/>
  <c r="F1111" i="3"/>
  <c r="G1111" i="3"/>
  <c r="H1111" i="3"/>
  <c r="I1111" i="3"/>
  <c r="J1111" i="3"/>
  <c r="B1112" i="3"/>
  <c r="C1112" i="3"/>
  <c r="D1112" i="3"/>
  <c r="E1112" i="3"/>
  <c r="F1112" i="3"/>
  <c r="G1112" i="3"/>
  <c r="H1112" i="3"/>
  <c r="I1112" i="3"/>
  <c r="J1112" i="3"/>
  <c r="B1113" i="3"/>
  <c r="C1113" i="3"/>
  <c r="D1113" i="3"/>
  <c r="E1113" i="3"/>
  <c r="F1113" i="3"/>
  <c r="G1113" i="3"/>
  <c r="H1113" i="3"/>
  <c r="I1113" i="3"/>
  <c r="J1113" i="3"/>
  <c r="B1114" i="3"/>
  <c r="C1114" i="3"/>
  <c r="D1114" i="3"/>
  <c r="E1114" i="3"/>
  <c r="F1114" i="3"/>
  <c r="G1114" i="3"/>
  <c r="H1114" i="3"/>
  <c r="I1114" i="3"/>
  <c r="J1114" i="3"/>
  <c r="B1115" i="3"/>
  <c r="C1115" i="3"/>
  <c r="D1115" i="3"/>
  <c r="E1115" i="3"/>
  <c r="F1115" i="3"/>
  <c r="G1115" i="3"/>
  <c r="H1115" i="3"/>
  <c r="I1115" i="3"/>
  <c r="J1115" i="3"/>
  <c r="B1116" i="3"/>
  <c r="C1116" i="3"/>
  <c r="D1116" i="3"/>
  <c r="E1116" i="3"/>
  <c r="F1116" i="3"/>
  <c r="G1116" i="3"/>
  <c r="H1116" i="3"/>
  <c r="I1116" i="3"/>
  <c r="J1116" i="3"/>
  <c r="B1117" i="3"/>
  <c r="C1117" i="3"/>
  <c r="D1117" i="3"/>
  <c r="E1117" i="3"/>
  <c r="F1117" i="3"/>
  <c r="G1117" i="3"/>
  <c r="H1117" i="3"/>
  <c r="I1117" i="3"/>
  <c r="J1117" i="3"/>
  <c r="B1118" i="3"/>
  <c r="C1118" i="3"/>
  <c r="D1118" i="3"/>
  <c r="E1118" i="3"/>
  <c r="F1118" i="3"/>
  <c r="G1118" i="3"/>
  <c r="H1118" i="3"/>
  <c r="I1118" i="3"/>
  <c r="J1118" i="3"/>
  <c r="B1119" i="3"/>
  <c r="C1119" i="3"/>
  <c r="D1119" i="3"/>
  <c r="E1119" i="3"/>
  <c r="F1119" i="3"/>
  <c r="G1119" i="3"/>
  <c r="H1119" i="3"/>
  <c r="I1119" i="3"/>
  <c r="J1119" i="3"/>
  <c r="B1120" i="3"/>
  <c r="C1120" i="3"/>
  <c r="D1120" i="3"/>
  <c r="E1120" i="3"/>
  <c r="F1120" i="3"/>
  <c r="G1120" i="3"/>
  <c r="H1120" i="3"/>
  <c r="I1120" i="3"/>
  <c r="J1120" i="3"/>
  <c r="B1121" i="3"/>
  <c r="C1121" i="3"/>
  <c r="D1121" i="3"/>
  <c r="E1121" i="3"/>
  <c r="F1121" i="3"/>
  <c r="G1121" i="3"/>
  <c r="H1121" i="3"/>
  <c r="I1121" i="3"/>
  <c r="J1121" i="3"/>
  <c r="B1122" i="3"/>
  <c r="C1122" i="3"/>
  <c r="D1122" i="3"/>
  <c r="E1122" i="3"/>
  <c r="F1122" i="3"/>
  <c r="G1122" i="3"/>
  <c r="H1122" i="3"/>
  <c r="I1122" i="3"/>
  <c r="J1122" i="3"/>
  <c r="B1123" i="3"/>
  <c r="C1123" i="3"/>
  <c r="D1123" i="3"/>
  <c r="E1123" i="3"/>
  <c r="F1123" i="3"/>
  <c r="G1123" i="3"/>
  <c r="H1123" i="3"/>
  <c r="I1123" i="3"/>
  <c r="J1123" i="3"/>
  <c r="B1124" i="3"/>
  <c r="C1124" i="3"/>
  <c r="D1124" i="3"/>
  <c r="E1124" i="3"/>
  <c r="F1124" i="3"/>
  <c r="G1124" i="3"/>
  <c r="H1124" i="3"/>
  <c r="I1124" i="3"/>
  <c r="J1124" i="3"/>
  <c r="B1125" i="3"/>
  <c r="C1125" i="3"/>
  <c r="D1125" i="3"/>
  <c r="E1125" i="3"/>
  <c r="F1125" i="3"/>
  <c r="G1125" i="3"/>
  <c r="H1125" i="3"/>
  <c r="I1125" i="3"/>
  <c r="J1125" i="3"/>
  <c r="B1126" i="3"/>
  <c r="C1126" i="3"/>
  <c r="D1126" i="3"/>
  <c r="E1126" i="3"/>
  <c r="F1126" i="3"/>
  <c r="G1126" i="3"/>
  <c r="H1126" i="3"/>
  <c r="I1126" i="3"/>
  <c r="J1126" i="3"/>
  <c r="B1127" i="3"/>
  <c r="C1127" i="3"/>
  <c r="D1127" i="3"/>
  <c r="E1127" i="3"/>
  <c r="F1127" i="3"/>
  <c r="G1127" i="3"/>
  <c r="H1127" i="3"/>
  <c r="I1127" i="3"/>
  <c r="J1127" i="3"/>
  <c r="B1128" i="3"/>
  <c r="C1128" i="3"/>
  <c r="D1128" i="3"/>
  <c r="E1128" i="3"/>
  <c r="F1128" i="3"/>
  <c r="G1128" i="3"/>
  <c r="H1128" i="3"/>
  <c r="I1128" i="3"/>
  <c r="J1128" i="3"/>
  <c r="B1129" i="3"/>
  <c r="C1129" i="3"/>
  <c r="D1129" i="3"/>
  <c r="E1129" i="3"/>
  <c r="F1129" i="3"/>
  <c r="G1129" i="3"/>
  <c r="H1129" i="3"/>
  <c r="I1129" i="3"/>
  <c r="J1129" i="3"/>
  <c r="B1130" i="3"/>
  <c r="C1130" i="3"/>
  <c r="D1130" i="3"/>
  <c r="E1130" i="3"/>
  <c r="F1130" i="3"/>
  <c r="G1130" i="3"/>
  <c r="H1130" i="3"/>
  <c r="I1130" i="3"/>
  <c r="J1130" i="3"/>
  <c r="B1131" i="3"/>
  <c r="C1131" i="3"/>
  <c r="D1131" i="3"/>
  <c r="E1131" i="3"/>
  <c r="F1131" i="3"/>
  <c r="G1131" i="3"/>
  <c r="H1131" i="3"/>
  <c r="I1131" i="3"/>
  <c r="J1131" i="3"/>
  <c r="B1132" i="3"/>
  <c r="C1132" i="3"/>
  <c r="D1132" i="3"/>
  <c r="E1132" i="3"/>
  <c r="F1132" i="3"/>
  <c r="G1132" i="3"/>
  <c r="H1132" i="3"/>
  <c r="I1132" i="3"/>
  <c r="J1132" i="3"/>
  <c r="B1133" i="3"/>
  <c r="C1133" i="3"/>
  <c r="D1133" i="3"/>
  <c r="E1133" i="3"/>
  <c r="F1133" i="3"/>
  <c r="G1133" i="3"/>
  <c r="H1133" i="3"/>
  <c r="I1133" i="3"/>
  <c r="J1133" i="3"/>
  <c r="B1134" i="3"/>
  <c r="C1134" i="3"/>
  <c r="D1134" i="3"/>
  <c r="E1134" i="3"/>
  <c r="F1134" i="3"/>
  <c r="G1134" i="3"/>
  <c r="H1134" i="3"/>
  <c r="I1134" i="3"/>
  <c r="J1134" i="3"/>
  <c r="B1135" i="3"/>
  <c r="C1135" i="3"/>
  <c r="D1135" i="3"/>
  <c r="E1135" i="3"/>
  <c r="F1135" i="3"/>
  <c r="G1135" i="3"/>
  <c r="H1135" i="3"/>
  <c r="I1135" i="3"/>
  <c r="J1135" i="3"/>
  <c r="B1136" i="3"/>
  <c r="C1136" i="3"/>
  <c r="D1136" i="3"/>
  <c r="E1136" i="3"/>
  <c r="F1136" i="3"/>
  <c r="G1136" i="3"/>
  <c r="H1136" i="3"/>
  <c r="I1136" i="3"/>
  <c r="J1136" i="3"/>
  <c r="B1137" i="3"/>
  <c r="C1137" i="3"/>
  <c r="D1137" i="3"/>
  <c r="E1137" i="3"/>
  <c r="F1137" i="3"/>
  <c r="G1137" i="3"/>
  <c r="H1137" i="3"/>
  <c r="I1137" i="3"/>
  <c r="J1137" i="3"/>
  <c r="B1138" i="3"/>
  <c r="C1138" i="3"/>
  <c r="D1138" i="3"/>
  <c r="E1138" i="3"/>
  <c r="F1138" i="3"/>
  <c r="G1138" i="3"/>
  <c r="H1138" i="3"/>
  <c r="I1138" i="3"/>
  <c r="J1138" i="3"/>
  <c r="B1139" i="3"/>
  <c r="C1139" i="3"/>
  <c r="D1139" i="3"/>
  <c r="E1139" i="3"/>
  <c r="F1139" i="3"/>
  <c r="G1139" i="3"/>
  <c r="H1139" i="3"/>
  <c r="I1139" i="3"/>
  <c r="J1139" i="3"/>
  <c r="B1140" i="3"/>
  <c r="C1140" i="3"/>
  <c r="D1140" i="3"/>
  <c r="E1140" i="3"/>
  <c r="F1140" i="3"/>
  <c r="G1140" i="3"/>
  <c r="H1140" i="3"/>
  <c r="I1140" i="3"/>
  <c r="J1140" i="3"/>
  <c r="B1141" i="3"/>
  <c r="C1141" i="3"/>
  <c r="D1141" i="3"/>
  <c r="E1141" i="3"/>
  <c r="F1141" i="3"/>
  <c r="G1141" i="3"/>
  <c r="H1141" i="3"/>
  <c r="I1141" i="3"/>
  <c r="J1141" i="3"/>
  <c r="B1142" i="3"/>
  <c r="C1142" i="3"/>
  <c r="D1142" i="3"/>
  <c r="E1142" i="3"/>
  <c r="F1142" i="3"/>
  <c r="G1142" i="3"/>
  <c r="H1142" i="3"/>
  <c r="I1142" i="3"/>
  <c r="J1142" i="3"/>
  <c r="B1143" i="3"/>
  <c r="C1143" i="3"/>
  <c r="D1143" i="3"/>
  <c r="E1143" i="3"/>
  <c r="F1143" i="3"/>
  <c r="G1143" i="3"/>
  <c r="H1143" i="3"/>
  <c r="I1143" i="3"/>
  <c r="J1143" i="3"/>
  <c r="B1144" i="3"/>
  <c r="C1144" i="3"/>
  <c r="D1144" i="3"/>
  <c r="E1144" i="3"/>
  <c r="F1144" i="3"/>
  <c r="G1144" i="3"/>
  <c r="H1144" i="3"/>
  <c r="I1144" i="3"/>
  <c r="J1144" i="3"/>
  <c r="B1145" i="3"/>
  <c r="C1145" i="3"/>
  <c r="D1145" i="3"/>
  <c r="E1145" i="3"/>
  <c r="F1145" i="3"/>
  <c r="G1145" i="3"/>
  <c r="H1145" i="3"/>
  <c r="I1145" i="3"/>
  <c r="J1145" i="3"/>
  <c r="B1146" i="3"/>
  <c r="C1146" i="3"/>
  <c r="D1146" i="3"/>
  <c r="E1146" i="3"/>
  <c r="F1146" i="3"/>
  <c r="G1146" i="3"/>
  <c r="H1146" i="3"/>
  <c r="I1146" i="3"/>
  <c r="J1146" i="3"/>
  <c r="B1147" i="3"/>
  <c r="C1147" i="3"/>
  <c r="D1147" i="3"/>
  <c r="E1147" i="3"/>
  <c r="F1147" i="3"/>
  <c r="G1147" i="3"/>
  <c r="H1147" i="3"/>
  <c r="I1147" i="3"/>
  <c r="J1147" i="3"/>
  <c r="B1148" i="3"/>
  <c r="C1148" i="3"/>
  <c r="D1148" i="3"/>
  <c r="E1148" i="3"/>
  <c r="F1148" i="3"/>
  <c r="G1148" i="3"/>
  <c r="H1148" i="3"/>
  <c r="I1148" i="3"/>
  <c r="J1148" i="3"/>
  <c r="B1149" i="3"/>
  <c r="C1149" i="3"/>
  <c r="D1149" i="3"/>
  <c r="E1149" i="3"/>
  <c r="F1149" i="3"/>
  <c r="G1149" i="3"/>
  <c r="H1149" i="3"/>
  <c r="I1149" i="3"/>
  <c r="J1149" i="3"/>
  <c r="B1150" i="3"/>
  <c r="C1150" i="3"/>
  <c r="D1150" i="3"/>
  <c r="E1150" i="3"/>
  <c r="F1150" i="3"/>
  <c r="G1150" i="3"/>
  <c r="H1150" i="3"/>
  <c r="I1150" i="3"/>
  <c r="J1150" i="3"/>
  <c r="B1151" i="3"/>
  <c r="C1151" i="3"/>
  <c r="D1151" i="3"/>
  <c r="E1151" i="3"/>
  <c r="F1151" i="3"/>
  <c r="G1151" i="3"/>
  <c r="H1151" i="3"/>
  <c r="I1151" i="3"/>
  <c r="J1151" i="3"/>
  <c r="B1152" i="3"/>
  <c r="C1152" i="3"/>
  <c r="D1152" i="3"/>
  <c r="E1152" i="3"/>
  <c r="F1152" i="3"/>
  <c r="G1152" i="3"/>
  <c r="H1152" i="3"/>
  <c r="I1152" i="3"/>
  <c r="J1152" i="3"/>
  <c r="B1153" i="3"/>
  <c r="C1153" i="3"/>
  <c r="D1153" i="3"/>
  <c r="E1153" i="3"/>
  <c r="F1153" i="3"/>
  <c r="G1153" i="3"/>
  <c r="H1153" i="3"/>
  <c r="I1153" i="3"/>
  <c r="J1153" i="3"/>
  <c r="B1154" i="3"/>
  <c r="C1154" i="3"/>
  <c r="D1154" i="3"/>
  <c r="E1154" i="3"/>
  <c r="F1154" i="3"/>
  <c r="G1154" i="3"/>
  <c r="H1154" i="3"/>
  <c r="I1154" i="3"/>
  <c r="J1154" i="3"/>
  <c r="B1155" i="3"/>
  <c r="C1155" i="3"/>
  <c r="D1155" i="3"/>
  <c r="E1155" i="3"/>
  <c r="F1155" i="3"/>
  <c r="G1155" i="3"/>
  <c r="H1155" i="3"/>
  <c r="I1155" i="3"/>
  <c r="J1155" i="3"/>
  <c r="B1156" i="3"/>
  <c r="C1156" i="3"/>
  <c r="D1156" i="3"/>
  <c r="E1156" i="3"/>
  <c r="F1156" i="3"/>
  <c r="G1156" i="3"/>
  <c r="H1156" i="3"/>
  <c r="I1156" i="3"/>
  <c r="J1156" i="3"/>
  <c r="B1157" i="3"/>
  <c r="C1157" i="3"/>
  <c r="D1157" i="3"/>
  <c r="E1157" i="3"/>
  <c r="F1157" i="3"/>
  <c r="G1157" i="3"/>
  <c r="H1157" i="3"/>
  <c r="I1157" i="3"/>
  <c r="J1157" i="3"/>
  <c r="B1158" i="3"/>
  <c r="C1158" i="3"/>
  <c r="D1158" i="3"/>
  <c r="E1158" i="3"/>
  <c r="F1158" i="3"/>
  <c r="G1158" i="3"/>
  <c r="H1158" i="3"/>
  <c r="I1158" i="3"/>
  <c r="J1158" i="3"/>
  <c r="B1159" i="3"/>
  <c r="C1159" i="3"/>
  <c r="D1159" i="3"/>
  <c r="E1159" i="3"/>
  <c r="F1159" i="3"/>
  <c r="G1159" i="3"/>
  <c r="H1159" i="3"/>
  <c r="I1159" i="3"/>
  <c r="J1159" i="3"/>
  <c r="B1160" i="3"/>
  <c r="C1160" i="3"/>
  <c r="D1160" i="3"/>
  <c r="E1160" i="3"/>
  <c r="F1160" i="3"/>
  <c r="G1160" i="3"/>
  <c r="H1160" i="3"/>
  <c r="I1160" i="3"/>
  <c r="J1160" i="3"/>
  <c r="B1161" i="3"/>
  <c r="C1161" i="3"/>
  <c r="D1161" i="3"/>
  <c r="E1161" i="3"/>
  <c r="F1161" i="3"/>
  <c r="G1161" i="3"/>
  <c r="H1161" i="3"/>
  <c r="I1161" i="3"/>
  <c r="J1161" i="3"/>
  <c r="B1162" i="3"/>
  <c r="C1162" i="3"/>
  <c r="D1162" i="3"/>
  <c r="E1162" i="3"/>
  <c r="F1162" i="3"/>
  <c r="G1162" i="3"/>
  <c r="H1162" i="3"/>
  <c r="I1162" i="3"/>
  <c r="J1162" i="3"/>
  <c r="B1163" i="3"/>
  <c r="C1163" i="3"/>
  <c r="D1163" i="3"/>
  <c r="E1163" i="3"/>
  <c r="F1163" i="3"/>
  <c r="G1163" i="3"/>
  <c r="H1163" i="3"/>
  <c r="I1163" i="3"/>
  <c r="J1163" i="3"/>
  <c r="B1164" i="3"/>
  <c r="C1164" i="3"/>
  <c r="D1164" i="3"/>
  <c r="E1164" i="3"/>
  <c r="F1164" i="3"/>
  <c r="G1164" i="3"/>
  <c r="H1164" i="3"/>
  <c r="I1164" i="3"/>
  <c r="J1164" i="3"/>
  <c r="B1165" i="3"/>
  <c r="C1165" i="3"/>
  <c r="D1165" i="3"/>
  <c r="E1165" i="3"/>
  <c r="F1165" i="3"/>
  <c r="G1165" i="3"/>
  <c r="H1165" i="3"/>
  <c r="I1165" i="3"/>
  <c r="J1165" i="3"/>
  <c r="B1166" i="3"/>
  <c r="C1166" i="3"/>
  <c r="D1166" i="3"/>
  <c r="E1166" i="3"/>
  <c r="F1166" i="3"/>
  <c r="G1166" i="3"/>
  <c r="H1166" i="3"/>
  <c r="I1166" i="3"/>
  <c r="J1166" i="3"/>
  <c r="B1167" i="3"/>
  <c r="C1167" i="3"/>
  <c r="D1167" i="3"/>
  <c r="E1167" i="3"/>
  <c r="F1167" i="3"/>
  <c r="G1167" i="3"/>
  <c r="H1167" i="3"/>
  <c r="I1167" i="3"/>
  <c r="J1167" i="3"/>
  <c r="B1168" i="3"/>
  <c r="C1168" i="3"/>
  <c r="D1168" i="3"/>
  <c r="E1168" i="3"/>
  <c r="F1168" i="3"/>
  <c r="G1168" i="3"/>
  <c r="H1168" i="3"/>
  <c r="I1168" i="3"/>
  <c r="J1168" i="3"/>
  <c r="B1169" i="3"/>
  <c r="C1169" i="3"/>
  <c r="D1169" i="3"/>
  <c r="E1169" i="3"/>
  <c r="F1169" i="3"/>
  <c r="G1169" i="3"/>
  <c r="H1169" i="3"/>
  <c r="I1169" i="3"/>
  <c r="J1169" i="3"/>
  <c r="B1170" i="3"/>
  <c r="C1170" i="3"/>
  <c r="D1170" i="3"/>
  <c r="E1170" i="3"/>
  <c r="F1170" i="3"/>
  <c r="G1170" i="3"/>
  <c r="H1170" i="3"/>
  <c r="I1170" i="3"/>
  <c r="J1170" i="3"/>
  <c r="B1171" i="3"/>
  <c r="C1171" i="3"/>
  <c r="D1171" i="3"/>
  <c r="E1171" i="3"/>
  <c r="F1171" i="3"/>
  <c r="G1171" i="3"/>
  <c r="H1171" i="3"/>
  <c r="I1171" i="3"/>
  <c r="J1171" i="3"/>
  <c r="B1172" i="3"/>
  <c r="C1172" i="3"/>
  <c r="D1172" i="3"/>
  <c r="E1172" i="3"/>
  <c r="F1172" i="3"/>
  <c r="G1172" i="3"/>
  <c r="H1172" i="3"/>
  <c r="I1172" i="3"/>
  <c r="J1172" i="3"/>
  <c r="B1173" i="3"/>
  <c r="C1173" i="3"/>
  <c r="D1173" i="3"/>
  <c r="E1173" i="3"/>
  <c r="F1173" i="3"/>
  <c r="G1173" i="3"/>
  <c r="H1173" i="3"/>
  <c r="I1173" i="3"/>
  <c r="J1173" i="3"/>
  <c r="B1174" i="3"/>
  <c r="C1174" i="3"/>
  <c r="D1174" i="3"/>
  <c r="E1174" i="3"/>
  <c r="F1174" i="3"/>
  <c r="G1174" i="3"/>
  <c r="H1174" i="3"/>
  <c r="I1174" i="3"/>
  <c r="J1174" i="3"/>
  <c r="B1175" i="3"/>
  <c r="C1175" i="3"/>
  <c r="D1175" i="3"/>
  <c r="E1175" i="3"/>
  <c r="F1175" i="3"/>
  <c r="G1175" i="3"/>
  <c r="H1175" i="3"/>
  <c r="I1175" i="3"/>
  <c r="J1175" i="3"/>
  <c r="B1176" i="3"/>
  <c r="C1176" i="3"/>
  <c r="D1176" i="3"/>
  <c r="E1176" i="3"/>
  <c r="F1176" i="3"/>
  <c r="G1176" i="3"/>
  <c r="H1176" i="3"/>
  <c r="I1176" i="3"/>
  <c r="J1176" i="3"/>
  <c r="B1177" i="3"/>
  <c r="C1177" i="3"/>
  <c r="D1177" i="3"/>
  <c r="E1177" i="3"/>
  <c r="F1177" i="3"/>
  <c r="G1177" i="3"/>
  <c r="H1177" i="3"/>
  <c r="I1177" i="3"/>
  <c r="J1177" i="3"/>
  <c r="B1178" i="3"/>
  <c r="C1178" i="3"/>
  <c r="D1178" i="3"/>
  <c r="E1178" i="3"/>
  <c r="F1178" i="3"/>
  <c r="G1178" i="3"/>
  <c r="H1178" i="3"/>
  <c r="I1178" i="3"/>
  <c r="J1178" i="3"/>
  <c r="B1179" i="3"/>
  <c r="C1179" i="3"/>
  <c r="D1179" i="3"/>
  <c r="E1179" i="3"/>
  <c r="F1179" i="3"/>
  <c r="G1179" i="3"/>
  <c r="H1179" i="3"/>
  <c r="I1179" i="3"/>
  <c r="J1179" i="3"/>
  <c r="B1180" i="3"/>
  <c r="C1180" i="3"/>
  <c r="D1180" i="3"/>
  <c r="E1180" i="3"/>
  <c r="F1180" i="3"/>
  <c r="G1180" i="3"/>
  <c r="H1180" i="3"/>
  <c r="I1180" i="3"/>
  <c r="J1180" i="3"/>
  <c r="B1181" i="3"/>
  <c r="C1181" i="3"/>
  <c r="D1181" i="3"/>
  <c r="E1181" i="3"/>
  <c r="F1181" i="3"/>
  <c r="G1181" i="3"/>
  <c r="H1181" i="3"/>
  <c r="I1181" i="3"/>
  <c r="J1181" i="3"/>
  <c r="B1182" i="3"/>
  <c r="C1182" i="3"/>
  <c r="D1182" i="3"/>
  <c r="E1182" i="3"/>
  <c r="F1182" i="3"/>
  <c r="G1182" i="3"/>
  <c r="H1182" i="3"/>
  <c r="I1182" i="3"/>
  <c r="J1182" i="3"/>
  <c r="B1183" i="3"/>
  <c r="C1183" i="3"/>
  <c r="D1183" i="3"/>
  <c r="E1183" i="3"/>
  <c r="F1183" i="3"/>
  <c r="G1183" i="3"/>
  <c r="H1183" i="3"/>
  <c r="I1183" i="3"/>
  <c r="J1183" i="3"/>
  <c r="B1184" i="3"/>
  <c r="C1184" i="3"/>
  <c r="D1184" i="3"/>
  <c r="E1184" i="3"/>
  <c r="F1184" i="3"/>
  <c r="G1184" i="3"/>
  <c r="H1184" i="3"/>
  <c r="I1184" i="3"/>
  <c r="J1184" i="3"/>
  <c r="B1185" i="3"/>
  <c r="C1185" i="3"/>
  <c r="D1185" i="3"/>
  <c r="E1185" i="3"/>
  <c r="F1185" i="3"/>
  <c r="G1185" i="3"/>
  <c r="H1185" i="3"/>
  <c r="I1185" i="3"/>
  <c r="J1185" i="3"/>
  <c r="B1186" i="3"/>
  <c r="C1186" i="3"/>
  <c r="D1186" i="3"/>
  <c r="E1186" i="3"/>
  <c r="F1186" i="3"/>
  <c r="G1186" i="3"/>
  <c r="H1186" i="3"/>
  <c r="I1186" i="3"/>
  <c r="J1186" i="3"/>
  <c r="B1187" i="3"/>
  <c r="C1187" i="3"/>
  <c r="D1187" i="3"/>
  <c r="E1187" i="3"/>
  <c r="F1187" i="3"/>
  <c r="G1187" i="3"/>
  <c r="H1187" i="3"/>
  <c r="I1187" i="3"/>
  <c r="J1187" i="3"/>
  <c r="B1188" i="3"/>
  <c r="C1188" i="3"/>
  <c r="D1188" i="3"/>
  <c r="E1188" i="3"/>
  <c r="F1188" i="3"/>
  <c r="G1188" i="3"/>
  <c r="H1188" i="3"/>
  <c r="I1188" i="3"/>
  <c r="J1188" i="3"/>
  <c r="B1189" i="3"/>
  <c r="C1189" i="3"/>
  <c r="D1189" i="3"/>
  <c r="E1189" i="3"/>
  <c r="F1189" i="3"/>
  <c r="G1189" i="3"/>
  <c r="H1189" i="3"/>
  <c r="I1189" i="3"/>
  <c r="J1189" i="3"/>
  <c r="B1190" i="3"/>
  <c r="C1190" i="3"/>
  <c r="D1190" i="3"/>
  <c r="E1190" i="3"/>
  <c r="F1190" i="3"/>
  <c r="G1190" i="3"/>
  <c r="H1190" i="3"/>
  <c r="I1190" i="3"/>
  <c r="J1190" i="3"/>
  <c r="B1191" i="3"/>
  <c r="C1191" i="3"/>
  <c r="D1191" i="3"/>
  <c r="E1191" i="3"/>
  <c r="F1191" i="3"/>
  <c r="G1191" i="3"/>
  <c r="H1191" i="3"/>
  <c r="I1191" i="3"/>
  <c r="J1191" i="3"/>
  <c r="B1192" i="3"/>
  <c r="C1192" i="3"/>
  <c r="D1192" i="3"/>
  <c r="E1192" i="3"/>
  <c r="F1192" i="3"/>
  <c r="G1192" i="3"/>
  <c r="H1192" i="3"/>
  <c r="I1192" i="3"/>
  <c r="J1192" i="3"/>
  <c r="B1193" i="3"/>
  <c r="C1193" i="3"/>
  <c r="D1193" i="3"/>
  <c r="E1193" i="3"/>
  <c r="F1193" i="3"/>
  <c r="G1193" i="3"/>
  <c r="H1193" i="3"/>
  <c r="I1193" i="3"/>
  <c r="J1193" i="3"/>
  <c r="B1194" i="3"/>
  <c r="C1194" i="3"/>
  <c r="D1194" i="3"/>
  <c r="E1194" i="3"/>
  <c r="F1194" i="3"/>
  <c r="G1194" i="3"/>
  <c r="H1194" i="3"/>
  <c r="I1194" i="3"/>
  <c r="J1194" i="3"/>
  <c r="B1195" i="3"/>
  <c r="C1195" i="3"/>
  <c r="D1195" i="3"/>
  <c r="E1195" i="3"/>
  <c r="F1195" i="3"/>
  <c r="G1195" i="3"/>
  <c r="H1195" i="3"/>
  <c r="I1195" i="3"/>
  <c r="J1195" i="3"/>
  <c r="B1196" i="3"/>
  <c r="C1196" i="3"/>
  <c r="D1196" i="3"/>
  <c r="E1196" i="3"/>
  <c r="F1196" i="3"/>
  <c r="G1196" i="3"/>
  <c r="H1196" i="3"/>
  <c r="I1196" i="3"/>
  <c r="J1196" i="3"/>
  <c r="B1197" i="3"/>
  <c r="C1197" i="3"/>
  <c r="D1197" i="3"/>
  <c r="E1197" i="3"/>
  <c r="F1197" i="3"/>
  <c r="G1197" i="3"/>
  <c r="H1197" i="3"/>
  <c r="I1197" i="3"/>
  <c r="J1197" i="3"/>
  <c r="B1198" i="3"/>
  <c r="C1198" i="3"/>
  <c r="D1198" i="3"/>
  <c r="E1198" i="3"/>
  <c r="F1198" i="3"/>
  <c r="G1198" i="3"/>
  <c r="H1198" i="3"/>
  <c r="I1198" i="3"/>
  <c r="J1198" i="3"/>
  <c r="B1199" i="3"/>
  <c r="C1199" i="3"/>
  <c r="D1199" i="3"/>
  <c r="E1199" i="3"/>
  <c r="F1199" i="3"/>
  <c r="G1199" i="3"/>
  <c r="H1199" i="3"/>
  <c r="I1199" i="3"/>
  <c r="J1199" i="3"/>
  <c r="B1200" i="3"/>
  <c r="C1200" i="3"/>
  <c r="D1200" i="3"/>
  <c r="E1200" i="3"/>
  <c r="F1200" i="3"/>
  <c r="G1200" i="3"/>
  <c r="H1200" i="3"/>
  <c r="I1200" i="3"/>
  <c r="J1200" i="3"/>
  <c r="B1201" i="3"/>
  <c r="C1201" i="3"/>
  <c r="D1201" i="3"/>
  <c r="E1201" i="3"/>
  <c r="F1201" i="3"/>
  <c r="G1201" i="3"/>
  <c r="H1201" i="3"/>
  <c r="I1201" i="3"/>
  <c r="J1201" i="3"/>
  <c r="B1202" i="3"/>
  <c r="C1202" i="3"/>
  <c r="D1202" i="3"/>
  <c r="E1202" i="3"/>
  <c r="F1202" i="3"/>
  <c r="G1202" i="3"/>
  <c r="H1202" i="3"/>
  <c r="I1202" i="3"/>
  <c r="J1202" i="3"/>
  <c r="B1203" i="3"/>
  <c r="C1203" i="3"/>
  <c r="D1203" i="3"/>
  <c r="E1203" i="3"/>
  <c r="F1203" i="3"/>
  <c r="G1203" i="3"/>
  <c r="H1203" i="3"/>
  <c r="I1203" i="3"/>
  <c r="J1203" i="3"/>
  <c r="B1204" i="3"/>
  <c r="C1204" i="3"/>
  <c r="D1204" i="3"/>
  <c r="E1204" i="3"/>
  <c r="F1204" i="3"/>
  <c r="G1204" i="3"/>
  <c r="H1204" i="3"/>
  <c r="I1204" i="3"/>
  <c r="J1204" i="3"/>
  <c r="B1205" i="3"/>
  <c r="C1205" i="3"/>
  <c r="D1205" i="3"/>
  <c r="E1205" i="3"/>
  <c r="F1205" i="3"/>
  <c r="G1205" i="3"/>
  <c r="H1205" i="3"/>
  <c r="I1205" i="3"/>
  <c r="J1205" i="3"/>
  <c r="B1206" i="3"/>
  <c r="C1206" i="3"/>
  <c r="D1206" i="3"/>
  <c r="E1206" i="3"/>
  <c r="F1206" i="3"/>
  <c r="G1206" i="3"/>
  <c r="H1206" i="3"/>
  <c r="I1206" i="3"/>
  <c r="J1206" i="3"/>
  <c r="B1207" i="3"/>
  <c r="C1207" i="3"/>
  <c r="D1207" i="3"/>
  <c r="E1207" i="3"/>
  <c r="F1207" i="3"/>
  <c r="G1207" i="3"/>
  <c r="H1207" i="3"/>
  <c r="I1207" i="3"/>
  <c r="J1207" i="3"/>
  <c r="B1208" i="3"/>
  <c r="C1208" i="3"/>
  <c r="D1208" i="3"/>
  <c r="E1208" i="3"/>
  <c r="F1208" i="3"/>
  <c r="G1208" i="3"/>
  <c r="H1208" i="3"/>
  <c r="I1208" i="3"/>
  <c r="J1208" i="3"/>
  <c r="B1209" i="3"/>
  <c r="C1209" i="3"/>
  <c r="D1209" i="3"/>
  <c r="E1209" i="3"/>
  <c r="F1209" i="3"/>
  <c r="G1209" i="3"/>
  <c r="H1209" i="3"/>
  <c r="I1209" i="3"/>
  <c r="J1209" i="3"/>
  <c r="B1210" i="3"/>
  <c r="C1210" i="3"/>
  <c r="D1210" i="3"/>
  <c r="E1210" i="3"/>
  <c r="F1210" i="3"/>
  <c r="G1210" i="3"/>
  <c r="H1210" i="3"/>
  <c r="I1210" i="3"/>
  <c r="J1210" i="3"/>
  <c r="B1211" i="3"/>
  <c r="K1211" i="3" s="1"/>
  <c r="C1211" i="3"/>
  <c r="D1211" i="3"/>
  <c r="E1211" i="3"/>
  <c r="F1211" i="3"/>
  <c r="G1211" i="3"/>
  <c r="H1211" i="3"/>
  <c r="I1211" i="3"/>
  <c r="J1211" i="3"/>
  <c r="B1212" i="3"/>
  <c r="C1212" i="3"/>
  <c r="D1212" i="3"/>
  <c r="E1212" i="3"/>
  <c r="F1212" i="3"/>
  <c r="G1212" i="3"/>
  <c r="H1212" i="3"/>
  <c r="I1212" i="3"/>
  <c r="J1212" i="3"/>
  <c r="B1213" i="3"/>
  <c r="C1213" i="3"/>
  <c r="D1213" i="3"/>
  <c r="E1213" i="3"/>
  <c r="F1213" i="3"/>
  <c r="G1213" i="3"/>
  <c r="H1213" i="3"/>
  <c r="I1213" i="3"/>
  <c r="J1213" i="3"/>
  <c r="B1214" i="3"/>
  <c r="C1214" i="3"/>
  <c r="D1214" i="3"/>
  <c r="E1214" i="3"/>
  <c r="F1214" i="3"/>
  <c r="G1214" i="3"/>
  <c r="H1214" i="3"/>
  <c r="I1214" i="3"/>
  <c r="J1214" i="3"/>
  <c r="B1215" i="3"/>
  <c r="C1215" i="3"/>
  <c r="D1215" i="3"/>
  <c r="E1215" i="3"/>
  <c r="F1215" i="3"/>
  <c r="G1215" i="3"/>
  <c r="H1215" i="3"/>
  <c r="I1215" i="3"/>
  <c r="J1215" i="3"/>
  <c r="B1216" i="3"/>
  <c r="C1216" i="3"/>
  <c r="D1216" i="3"/>
  <c r="E1216" i="3"/>
  <c r="F1216" i="3"/>
  <c r="G1216" i="3"/>
  <c r="H1216" i="3"/>
  <c r="I1216" i="3"/>
  <c r="J1216" i="3"/>
  <c r="B1217" i="3"/>
  <c r="C1217" i="3"/>
  <c r="D1217" i="3"/>
  <c r="E1217" i="3"/>
  <c r="F1217" i="3"/>
  <c r="G1217" i="3"/>
  <c r="H1217" i="3"/>
  <c r="I1217" i="3"/>
  <c r="J1217" i="3"/>
  <c r="B1218" i="3"/>
  <c r="C1218" i="3"/>
  <c r="D1218" i="3"/>
  <c r="E1218" i="3"/>
  <c r="F1218" i="3"/>
  <c r="G1218" i="3"/>
  <c r="H1218" i="3"/>
  <c r="I1218" i="3"/>
  <c r="J1218" i="3"/>
  <c r="B1219" i="3"/>
  <c r="C1219" i="3"/>
  <c r="D1219" i="3"/>
  <c r="E1219" i="3"/>
  <c r="F1219" i="3"/>
  <c r="G1219" i="3"/>
  <c r="H1219" i="3"/>
  <c r="I1219" i="3"/>
  <c r="J1219" i="3"/>
  <c r="B1220" i="3"/>
  <c r="C1220" i="3"/>
  <c r="D1220" i="3"/>
  <c r="E1220" i="3"/>
  <c r="F1220" i="3"/>
  <c r="G1220" i="3"/>
  <c r="H1220" i="3"/>
  <c r="I1220" i="3"/>
  <c r="J1220" i="3"/>
  <c r="B1221" i="3"/>
  <c r="C1221" i="3"/>
  <c r="D1221" i="3"/>
  <c r="E1221" i="3"/>
  <c r="F1221" i="3"/>
  <c r="G1221" i="3"/>
  <c r="H1221" i="3"/>
  <c r="I1221" i="3"/>
  <c r="J1221" i="3"/>
  <c r="B1222" i="3"/>
  <c r="C1222" i="3"/>
  <c r="D1222" i="3"/>
  <c r="E1222" i="3"/>
  <c r="F1222" i="3"/>
  <c r="G1222" i="3"/>
  <c r="H1222" i="3"/>
  <c r="I1222" i="3"/>
  <c r="J1222" i="3"/>
  <c r="B1223" i="3"/>
  <c r="C1223" i="3"/>
  <c r="D1223" i="3"/>
  <c r="E1223" i="3"/>
  <c r="F1223" i="3"/>
  <c r="G1223" i="3"/>
  <c r="H1223" i="3"/>
  <c r="I1223" i="3"/>
  <c r="J1223" i="3"/>
  <c r="B1224" i="3"/>
  <c r="C1224" i="3"/>
  <c r="D1224" i="3"/>
  <c r="E1224" i="3"/>
  <c r="F1224" i="3"/>
  <c r="G1224" i="3"/>
  <c r="H1224" i="3"/>
  <c r="I1224" i="3"/>
  <c r="J1224" i="3"/>
  <c r="B1225" i="3"/>
  <c r="C1225" i="3"/>
  <c r="D1225" i="3"/>
  <c r="E1225" i="3"/>
  <c r="F1225" i="3"/>
  <c r="G1225" i="3"/>
  <c r="H1225" i="3"/>
  <c r="I1225" i="3"/>
  <c r="J1225" i="3"/>
  <c r="B1226" i="3"/>
  <c r="C1226" i="3"/>
  <c r="D1226" i="3"/>
  <c r="E1226" i="3"/>
  <c r="F1226" i="3"/>
  <c r="G1226" i="3"/>
  <c r="H1226" i="3"/>
  <c r="I1226" i="3"/>
  <c r="J1226" i="3"/>
  <c r="B1227" i="3"/>
  <c r="C1227" i="3"/>
  <c r="D1227" i="3"/>
  <c r="E1227" i="3"/>
  <c r="F1227" i="3"/>
  <c r="G1227" i="3"/>
  <c r="H1227" i="3"/>
  <c r="I1227" i="3"/>
  <c r="J1227" i="3"/>
  <c r="B1228" i="3"/>
  <c r="C1228" i="3"/>
  <c r="D1228" i="3"/>
  <c r="E1228" i="3"/>
  <c r="F1228" i="3"/>
  <c r="G1228" i="3"/>
  <c r="H1228" i="3"/>
  <c r="I1228" i="3"/>
  <c r="J1228" i="3"/>
  <c r="B1229" i="3"/>
  <c r="C1229" i="3"/>
  <c r="D1229" i="3"/>
  <c r="E1229" i="3"/>
  <c r="F1229" i="3"/>
  <c r="G1229" i="3"/>
  <c r="H1229" i="3"/>
  <c r="I1229" i="3"/>
  <c r="J1229" i="3"/>
  <c r="B1230" i="3"/>
  <c r="C1230" i="3"/>
  <c r="D1230" i="3"/>
  <c r="E1230" i="3"/>
  <c r="F1230" i="3"/>
  <c r="G1230" i="3"/>
  <c r="H1230" i="3"/>
  <c r="I1230" i="3"/>
  <c r="J1230" i="3"/>
  <c r="B1231" i="3"/>
  <c r="C1231" i="3"/>
  <c r="D1231" i="3"/>
  <c r="E1231" i="3"/>
  <c r="F1231" i="3"/>
  <c r="G1231" i="3"/>
  <c r="H1231" i="3"/>
  <c r="I1231" i="3"/>
  <c r="J1231" i="3"/>
  <c r="B1232" i="3"/>
  <c r="C1232" i="3"/>
  <c r="D1232" i="3"/>
  <c r="E1232" i="3"/>
  <c r="F1232" i="3"/>
  <c r="G1232" i="3"/>
  <c r="H1232" i="3"/>
  <c r="I1232" i="3"/>
  <c r="J1232" i="3"/>
  <c r="B1233" i="3"/>
  <c r="C1233" i="3"/>
  <c r="D1233" i="3"/>
  <c r="E1233" i="3"/>
  <c r="F1233" i="3"/>
  <c r="G1233" i="3"/>
  <c r="H1233" i="3"/>
  <c r="I1233" i="3"/>
  <c r="J1233" i="3"/>
  <c r="B1234" i="3"/>
  <c r="C1234" i="3"/>
  <c r="D1234" i="3"/>
  <c r="E1234" i="3"/>
  <c r="F1234" i="3"/>
  <c r="G1234" i="3"/>
  <c r="H1234" i="3"/>
  <c r="I1234" i="3"/>
  <c r="J1234" i="3"/>
  <c r="B1235" i="3"/>
  <c r="C1235" i="3"/>
  <c r="D1235" i="3"/>
  <c r="E1235" i="3"/>
  <c r="F1235" i="3"/>
  <c r="G1235" i="3"/>
  <c r="H1235" i="3"/>
  <c r="I1235" i="3"/>
  <c r="J1235" i="3"/>
  <c r="B1236" i="3"/>
  <c r="C1236" i="3"/>
  <c r="D1236" i="3"/>
  <c r="E1236" i="3"/>
  <c r="F1236" i="3"/>
  <c r="G1236" i="3"/>
  <c r="H1236" i="3"/>
  <c r="I1236" i="3"/>
  <c r="J1236" i="3"/>
  <c r="B1237" i="3"/>
  <c r="C1237" i="3"/>
  <c r="D1237" i="3"/>
  <c r="E1237" i="3"/>
  <c r="F1237" i="3"/>
  <c r="G1237" i="3"/>
  <c r="H1237" i="3"/>
  <c r="I1237" i="3"/>
  <c r="J1237" i="3"/>
  <c r="B1238" i="3"/>
  <c r="C1238" i="3"/>
  <c r="D1238" i="3"/>
  <c r="E1238" i="3"/>
  <c r="F1238" i="3"/>
  <c r="G1238" i="3"/>
  <c r="H1238" i="3"/>
  <c r="I1238" i="3"/>
  <c r="J1238" i="3"/>
  <c r="B1239" i="3"/>
  <c r="C1239" i="3"/>
  <c r="D1239" i="3"/>
  <c r="E1239" i="3"/>
  <c r="F1239" i="3"/>
  <c r="G1239" i="3"/>
  <c r="H1239" i="3"/>
  <c r="I1239" i="3"/>
  <c r="J1239" i="3"/>
  <c r="B1240" i="3"/>
  <c r="C1240" i="3"/>
  <c r="D1240" i="3"/>
  <c r="E1240" i="3"/>
  <c r="F1240" i="3"/>
  <c r="G1240" i="3"/>
  <c r="H1240" i="3"/>
  <c r="I1240" i="3"/>
  <c r="J1240" i="3"/>
  <c r="B1241" i="3"/>
  <c r="C1241" i="3"/>
  <c r="D1241" i="3"/>
  <c r="E1241" i="3"/>
  <c r="F1241" i="3"/>
  <c r="G1241" i="3"/>
  <c r="H1241" i="3"/>
  <c r="I1241" i="3"/>
  <c r="J1241" i="3"/>
  <c r="B1242" i="3"/>
  <c r="C1242" i="3"/>
  <c r="D1242" i="3"/>
  <c r="E1242" i="3"/>
  <c r="F1242" i="3"/>
  <c r="G1242" i="3"/>
  <c r="H1242" i="3"/>
  <c r="I1242" i="3"/>
  <c r="J1242" i="3"/>
  <c r="B1243" i="3"/>
  <c r="C1243" i="3"/>
  <c r="D1243" i="3"/>
  <c r="E1243" i="3"/>
  <c r="F1243" i="3"/>
  <c r="G1243" i="3"/>
  <c r="H1243" i="3"/>
  <c r="I1243" i="3"/>
  <c r="J1243" i="3"/>
  <c r="B1244" i="3"/>
  <c r="C1244" i="3"/>
  <c r="D1244" i="3"/>
  <c r="E1244" i="3"/>
  <c r="F1244" i="3"/>
  <c r="G1244" i="3"/>
  <c r="H1244" i="3"/>
  <c r="I1244" i="3"/>
  <c r="J1244" i="3"/>
  <c r="B1245" i="3"/>
  <c r="C1245" i="3"/>
  <c r="D1245" i="3"/>
  <c r="E1245" i="3"/>
  <c r="F1245" i="3"/>
  <c r="G1245" i="3"/>
  <c r="H1245" i="3"/>
  <c r="I1245" i="3"/>
  <c r="J1245" i="3"/>
  <c r="B1246" i="3"/>
  <c r="C1246" i="3"/>
  <c r="D1246" i="3"/>
  <c r="E1246" i="3"/>
  <c r="F1246" i="3"/>
  <c r="G1246" i="3"/>
  <c r="H1246" i="3"/>
  <c r="I1246" i="3"/>
  <c r="J1246" i="3"/>
  <c r="B1247" i="3"/>
  <c r="C1247" i="3"/>
  <c r="D1247" i="3"/>
  <c r="E1247" i="3"/>
  <c r="F1247" i="3"/>
  <c r="G1247" i="3"/>
  <c r="H1247" i="3"/>
  <c r="I1247" i="3"/>
  <c r="J1247" i="3"/>
  <c r="B1248" i="3"/>
  <c r="C1248" i="3"/>
  <c r="D1248" i="3"/>
  <c r="E1248" i="3"/>
  <c r="F1248" i="3"/>
  <c r="G1248" i="3"/>
  <c r="H1248" i="3"/>
  <c r="I1248" i="3"/>
  <c r="J1248" i="3"/>
  <c r="B1249" i="3"/>
  <c r="C1249" i="3"/>
  <c r="D1249" i="3"/>
  <c r="E1249" i="3"/>
  <c r="F1249" i="3"/>
  <c r="G1249" i="3"/>
  <c r="H1249" i="3"/>
  <c r="I1249" i="3"/>
  <c r="J1249" i="3"/>
  <c r="B1250" i="3"/>
  <c r="C1250" i="3"/>
  <c r="D1250" i="3"/>
  <c r="E1250" i="3"/>
  <c r="F1250" i="3"/>
  <c r="G1250" i="3"/>
  <c r="H1250" i="3"/>
  <c r="I1250" i="3"/>
  <c r="J1250" i="3"/>
  <c r="B1251" i="3"/>
  <c r="C1251" i="3"/>
  <c r="D1251" i="3"/>
  <c r="E1251" i="3"/>
  <c r="F1251" i="3"/>
  <c r="G1251" i="3"/>
  <c r="H1251" i="3"/>
  <c r="I1251" i="3"/>
  <c r="J1251" i="3"/>
  <c r="B1252" i="3"/>
  <c r="C1252" i="3"/>
  <c r="D1252" i="3"/>
  <c r="E1252" i="3"/>
  <c r="F1252" i="3"/>
  <c r="G1252" i="3"/>
  <c r="H1252" i="3"/>
  <c r="I1252" i="3"/>
  <c r="J1252" i="3"/>
  <c r="B1253" i="3"/>
  <c r="C1253" i="3"/>
  <c r="D1253" i="3"/>
  <c r="E1253" i="3"/>
  <c r="F1253" i="3"/>
  <c r="G1253" i="3"/>
  <c r="H1253" i="3"/>
  <c r="I1253" i="3"/>
  <c r="J1253" i="3"/>
  <c r="B1254" i="3"/>
  <c r="C1254" i="3"/>
  <c r="D1254" i="3"/>
  <c r="E1254" i="3"/>
  <c r="F1254" i="3"/>
  <c r="G1254" i="3"/>
  <c r="H1254" i="3"/>
  <c r="I1254" i="3"/>
  <c r="J1254" i="3"/>
  <c r="B1255" i="3"/>
  <c r="C1255" i="3"/>
  <c r="D1255" i="3"/>
  <c r="E1255" i="3"/>
  <c r="F1255" i="3"/>
  <c r="G1255" i="3"/>
  <c r="H1255" i="3"/>
  <c r="I1255" i="3"/>
  <c r="J1255" i="3"/>
  <c r="B1256" i="3"/>
  <c r="C1256" i="3"/>
  <c r="D1256" i="3"/>
  <c r="E1256" i="3"/>
  <c r="F1256" i="3"/>
  <c r="G1256" i="3"/>
  <c r="H1256" i="3"/>
  <c r="I1256" i="3"/>
  <c r="J1256" i="3"/>
  <c r="B1257" i="3"/>
  <c r="C1257" i="3"/>
  <c r="D1257" i="3"/>
  <c r="E1257" i="3"/>
  <c r="F1257" i="3"/>
  <c r="G1257" i="3"/>
  <c r="H1257" i="3"/>
  <c r="I1257" i="3"/>
  <c r="J1257" i="3"/>
  <c r="B1258" i="3"/>
  <c r="C1258" i="3"/>
  <c r="D1258" i="3"/>
  <c r="E1258" i="3"/>
  <c r="F1258" i="3"/>
  <c r="G1258" i="3"/>
  <c r="H1258" i="3"/>
  <c r="I1258" i="3"/>
  <c r="J1258" i="3"/>
  <c r="B1259" i="3"/>
  <c r="C1259" i="3"/>
  <c r="D1259" i="3"/>
  <c r="E1259" i="3"/>
  <c r="F1259" i="3"/>
  <c r="G1259" i="3"/>
  <c r="H1259" i="3"/>
  <c r="I1259" i="3"/>
  <c r="J1259" i="3"/>
  <c r="B1260" i="3"/>
  <c r="C1260" i="3"/>
  <c r="D1260" i="3"/>
  <c r="E1260" i="3"/>
  <c r="F1260" i="3"/>
  <c r="G1260" i="3"/>
  <c r="H1260" i="3"/>
  <c r="I1260" i="3"/>
  <c r="J1260" i="3"/>
  <c r="B1261" i="3"/>
  <c r="C1261" i="3"/>
  <c r="D1261" i="3"/>
  <c r="E1261" i="3"/>
  <c r="F1261" i="3"/>
  <c r="G1261" i="3"/>
  <c r="H1261" i="3"/>
  <c r="I1261" i="3"/>
  <c r="J1261" i="3"/>
  <c r="B1262" i="3"/>
  <c r="C1262" i="3"/>
  <c r="D1262" i="3"/>
  <c r="E1262" i="3"/>
  <c r="F1262" i="3"/>
  <c r="G1262" i="3"/>
  <c r="H1262" i="3"/>
  <c r="I1262" i="3"/>
  <c r="J1262" i="3"/>
  <c r="B1263" i="3"/>
  <c r="C1263" i="3"/>
  <c r="D1263" i="3"/>
  <c r="E1263" i="3"/>
  <c r="F1263" i="3"/>
  <c r="G1263" i="3"/>
  <c r="H1263" i="3"/>
  <c r="I1263" i="3"/>
  <c r="J1263" i="3"/>
  <c r="B1264" i="3"/>
  <c r="C1264" i="3"/>
  <c r="D1264" i="3"/>
  <c r="E1264" i="3"/>
  <c r="F1264" i="3"/>
  <c r="G1264" i="3"/>
  <c r="H1264" i="3"/>
  <c r="I1264" i="3"/>
  <c r="J1264" i="3"/>
  <c r="B1265" i="3"/>
  <c r="C1265" i="3"/>
  <c r="D1265" i="3"/>
  <c r="E1265" i="3"/>
  <c r="F1265" i="3"/>
  <c r="G1265" i="3"/>
  <c r="H1265" i="3"/>
  <c r="I1265" i="3"/>
  <c r="J1265" i="3"/>
  <c r="B1266" i="3"/>
  <c r="C1266" i="3"/>
  <c r="D1266" i="3"/>
  <c r="E1266" i="3"/>
  <c r="F1266" i="3"/>
  <c r="G1266" i="3"/>
  <c r="H1266" i="3"/>
  <c r="I1266" i="3"/>
  <c r="J1266" i="3"/>
  <c r="B1267" i="3"/>
  <c r="C1267" i="3"/>
  <c r="D1267" i="3"/>
  <c r="E1267" i="3"/>
  <c r="F1267" i="3"/>
  <c r="G1267" i="3"/>
  <c r="H1267" i="3"/>
  <c r="I1267" i="3"/>
  <c r="J1267" i="3"/>
  <c r="B1268" i="3"/>
  <c r="C1268" i="3"/>
  <c r="D1268" i="3"/>
  <c r="E1268" i="3"/>
  <c r="F1268" i="3"/>
  <c r="G1268" i="3"/>
  <c r="H1268" i="3"/>
  <c r="I1268" i="3"/>
  <c r="J1268" i="3"/>
  <c r="B1269" i="3"/>
  <c r="C1269" i="3"/>
  <c r="D1269" i="3"/>
  <c r="E1269" i="3"/>
  <c r="F1269" i="3"/>
  <c r="G1269" i="3"/>
  <c r="H1269" i="3"/>
  <c r="I1269" i="3"/>
  <c r="J1269" i="3"/>
  <c r="B1270" i="3"/>
  <c r="C1270" i="3"/>
  <c r="D1270" i="3"/>
  <c r="E1270" i="3"/>
  <c r="F1270" i="3"/>
  <c r="G1270" i="3"/>
  <c r="H1270" i="3"/>
  <c r="I1270" i="3"/>
  <c r="J1270" i="3"/>
  <c r="B1271" i="3"/>
  <c r="C1271" i="3"/>
  <c r="D1271" i="3"/>
  <c r="E1271" i="3"/>
  <c r="F1271" i="3"/>
  <c r="G1271" i="3"/>
  <c r="H1271" i="3"/>
  <c r="I1271" i="3"/>
  <c r="J1271" i="3"/>
  <c r="B1272" i="3"/>
  <c r="C1272" i="3"/>
  <c r="D1272" i="3"/>
  <c r="E1272" i="3"/>
  <c r="F1272" i="3"/>
  <c r="G1272" i="3"/>
  <c r="H1272" i="3"/>
  <c r="I1272" i="3"/>
  <c r="J1272" i="3"/>
  <c r="B1273" i="3"/>
  <c r="C1273" i="3"/>
  <c r="D1273" i="3"/>
  <c r="E1273" i="3"/>
  <c r="F1273" i="3"/>
  <c r="G1273" i="3"/>
  <c r="H1273" i="3"/>
  <c r="I1273" i="3"/>
  <c r="J1273" i="3"/>
  <c r="B1274" i="3"/>
  <c r="C1274" i="3"/>
  <c r="D1274" i="3"/>
  <c r="E1274" i="3"/>
  <c r="F1274" i="3"/>
  <c r="G1274" i="3"/>
  <c r="H1274" i="3"/>
  <c r="I1274" i="3"/>
  <c r="J1274" i="3"/>
  <c r="B1275" i="3"/>
  <c r="C1275" i="3"/>
  <c r="D1275" i="3"/>
  <c r="E1275" i="3"/>
  <c r="F1275" i="3"/>
  <c r="G1275" i="3"/>
  <c r="H1275" i="3"/>
  <c r="I1275" i="3"/>
  <c r="J1275" i="3"/>
  <c r="B1276" i="3"/>
  <c r="C1276" i="3"/>
  <c r="D1276" i="3"/>
  <c r="E1276" i="3"/>
  <c r="F1276" i="3"/>
  <c r="G1276" i="3"/>
  <c r="H1276" i="3"/>
  <c r="I1276" i="3"/>
  <c r="J1276" i="3"/>
  <c r="B1277" i="3"/>
  <c r="C1277" i="3"/>
  <c r="D1277" i="3"/>
  <c r="E1277" i="3"/>
  <c r="F1277" i="3"/>
  <c r="G1277" i="3"/>
  <c r="H1277" i="3"/>
  <c r="I1277" i="3"/>
  <c r="J1277" i="3"/>
  <c r="B1278" i="3"/>
  <c r="C1278" i="3"/>
  <c r="D1278" i="3"/>
  <c r="E1278" i="3"/>
  <c r="F1278" i="3"/>
  <c r="G1278" i="3"/>
  <c r="H1278" i="3"/>
  <c r="I1278" i="3"/>
  <c r="J1278" i="3"/>
  <c r="B1279" i="3"/>
  <c r="C1279" i="3"/>
  <c r="D1279" i="3"/>
  <c r="E1279" i="3"/>
  <c r="F1279" i="3"/>
  <c r="G1279" i="3"/>
  <c r="H1279" i="3"/>
  <c r="I1279" i="3"/>
  <c r="J1279" i="3"/>
  <c r="B1280" i="3"/>
  <c r="C1280" i="3"/>
  <c r="D1280" i="3"/>
  <c r="E1280" i="3"/>
  <c r="F1280" i="3"/>
  <c r="G1280" i="3"/>
  <c r="H1280" i="3"/>
  <c r="I1280" i="3"/>
  <c r="J1280" i="3"/>
  <c r="B1281" i="3"/>
  <c r="C1281" i="3"/>
  <c r="D1281" i="3"/>
  <c r="E1281" i="3"/>
  <c r="F1281" i="3"/>
  <c r="G1281" i="3"/>
  <c r="H1281" i="3"/>
  <c r="I1281" i="3"/>
  <c r="J1281" i="3"/>
  <c r="B1282" i="3"/>
  <c r="C1282" i="3"/>
  <c r="D1282" i="3"/>
  <c r="E1282" i="3"/>
  <c r="F1282" i="3"/>
  <c r="G1282" i="3"/>
  <c r="H1282" i="3"/>
  <c r="I1282" i="3"/>
  <c r="J1282" i="3"/>
  <c r="B1283" i="3"/>
  <c r="C1283" i="3"/>
  <c r="D1283" i="3"/>
  <c r="E1283" i="3"/>
  <c r="F1283" i="3"/>
  <c r="G1283" i="3"/>
  <c r="H1283" i="3"/>
  <c r="I1283" i="3"/>
  <c r="J1283" i="3"/>
  <c r="B1284" i="3"/>
  <c r="C1284" i="3"/>
  <c r="D1284" i="3"/>
  <c r="E1284" i="3"/>
  <c r="F1284" i="3"/>
  <c r="G1284" i="3"/>
  <c r="H1284" i="3"/>
  <c r="I1284" i="3"/>
  <c r="J1284" i="3"/>
  <c r="B1285" i="3"/>
  <c r="C1285" i="3"/>
  <c r="D1285" i="3"/>
  <c r="E1285" i="3"/>
  <c r="F1285" i="3"/>
  <c r="G1285" i="3"/>
  <c r="H1285" i="3"/>
  <c r="I1285" i="3"/>
  <c r="J1285" i="3"/>
  <c r="B1286" i="3"/>
  <c r="C1286" i="3"/>
  <c r="D1286" i="3"/>
  <c r="E1286" i="3"/>
  <c r="F1286" i="3"/>
  <c r="G1286" i="3"/>
  <c r="H1286" i="3"/>
  <c r="I1286" i="3"/>
  <c r="J1286" i="3"/>
  <c r="B1287" i="3"/>
  <c r="C1287" i="3"/>
  <c r="D1287" i="3"/>
  <c r="E1287" i="3"/>
  <c r="F1287" i="3"/>
  <c r="G1287" i="3"/>
  <c r="H1287" i="3"/>
  <c r="I1287" i="3"/>
  <c r="J1287" i="3"/>
  <c r="B1288" i="3"/>
  <c r="C1288" i="3"/>
  <c r="D1288" i="3"/>
  <c r="E1288" i="3"/>
  <c r="F1288" i="3"/>
  <c r="G1288" i="3"/>
  <c r="H1288" i="3"/>
  <c r="I1288" i="3"/>
  <c r="J1288" i="3"/>
  <c r="B1289" i="3"/>
  <c r="C1289" i="3"/>
  <c r="D1289" i="3"/>
  <c r="E1289" i="3"/>
  <c r="F1289" i="3"/>
  <c r="G1289" i="3"/>
  <c r="H1289" i="3"/>
  <c r="I1289" i="3"/>
  <c r="J1289" i="3"/>
  <c r="B1290" i="3"/>
  <c r="C1290" i="3"/>
  <c r="D1290" i="3"/>
  <c r="E1290" i="3"/>
  <c r="F1290" i="3"/>
  <c r="G1290" i="3"/>
  <c r="H1290" i="3"/>
  <c r="I1290" i="3"/>
  <c r="J1290" i="3"/>
  <c r="B1291" i="3"/>
  <c r="C1291" i="3"/>
  <c r="D1291" i="3"/>
  <c r="E1291" i="3"/>
  <c r="F1291" i="3"/>
  <c r="G1291" i="3"/>
  <c r="H1291" i="3"/>
  <c r="I1291" i="3"/>
  <c r="J1291" i="3"/>
  <c r="B1292" i="3"/>
  <c r="C1292" i="3"/>
  <c r="D1292" i="3"/>
  <c r="E1292" i="3"/>
  <c r="F1292" i="3"/>
  <c r="G1292" i="3"/>
  <c r="H1292" i="3"/>
  <c r="I1292" i="3"/>
  <c r="J1292" i="3"/>
  <c r="B1293" i="3"/>
  <c r="C1293" i="3"/>
  <c r="D1293" i="3"/>
  <c r="E1293" i="3"/>
  <c r="F1293" i="3"/>
  <c r="G1293" i="3"/>
  <c r="H1293" i="3"/>
  <c r="I1293" i="3"/>
  <c r="J1293" i="3"/>
  <c r="B1294" i="3"/>
  <c r="C1294" i="3"/>
  <c r="D1294" i="3"/>
  <c r="E1294" i="3"/>
  <c r="F1294" i="3"/>
  <c r="G1294" i="3"/>
  <c r="H1294" i="3"/>
  <c r="I1294" i="3"/>
  <c r="J1294" i="3"/>
  <c r="B1295" i="3"/>
  <c r="C1295" i="3"/>
  <c r="D1295" i="3"/>
  <c r="E1295" i="3"/>
  <c r="F1295" i="3"/>
  <c r="G1295" i="3"/>
  <c r="H1295" i="3"/>
  <c r="I1295" i="3"/>
  <c r="J1295" i="3"/>
  <c r="B1296" i="3"/>
  <c r="C1296" i="3"/>
  <c r="D1296" i="3"/>
  <c r="E1296" i="3"/>
  <c r="F1296" i="3"/>
  <c r="G1296" i="3"/>
  <c r="H1296" i="3"/>
  <c r="I1296" i="3"/>
  <c r="J1296" i="3"/>
  <c r="B1297" i="3"/>
  <c r="C1297" i="3"/>
  <c r="D1297" i="3"/>
  <c r="E1297" i="3"/>
  <c r="F1297" i="3"/>
  <c r="G1297" i="3"/>
  <c r="H1297" i="3"/>
  <c r="I1297" i="3"/>
  <c r="J1297" i="3"/>
  <c r="B1298" i="3"/>
  <c r="C1298" i="3"/>
  <c r="D1298" i="3"/>
  <c r="E1298" i="3"/>
  <c r="F1298" i="3"/>
  <c r="G1298" i="3"/>
  <c r="H1298" i="3"/>
  <c r="I1298" i="3"/>
  <c r="J1298" i="3"/>
  <c r="B1299" i="3"/>
  <c r="C1299" i="3"/>
  <c r="D1299" i="3"/>
  <c r="E1299" i="3"/>
  <c r="F1299" i="3"/>
  <c r="G1299" i="3"/>
  <c r="H1299" i="3"/>
  <c r="I1299" i="3"/>
  <c r="J1299" i="3"/>
  <c r="B1300" i="3"/>
  <c r="C1300" i="3"/>
  <c r="D1300" i="3"/>
  <c r="E1300" i="3"/>
  <c r="F1300" i="3"/>
  <c r="G1300" i="3"/>
  <c r="H1300" i="3"/>
  <c r="I1300" i="3"/>
  <c r="J1300" i="3"/>
  <c r="B1301" i="3"/>
  <c r="C1301" i="3"/>
  <c r="D1301" i="3"/>
  <c r="E1301" i="3"/>
  <c r="F1301" i="3"/>
  <c r="G1301" i="3"/>
  <c r="H1301" i="3"/>
  <c r="I1301" i="3"/>
  <c r="J1301" i="3"/>
  <c r="B1302" i="3"/>
  <c r="C1302" i="3"/>
  <c r="D1302" i="3"/>
  <c r="E1302" i="3"/>
  <c r="F1302" i="3"/>
  <c r="G1302" i="3"/>
  <c r="H1302" i="3"/>
  <c r="I1302" i="3"/>
  <c r="J1302" i="3"/>
  <c r="B1303" i="3"/>
  <c r="C1303" i="3"/>
  <c r="D1303" i="3"/>
  <c r="E1303" i="3"/>
  <c r="F1303" i="3"/>
  <c r="G1303" i="3"/>
  <c r="H1303" i="3"/>
  <c r="I1303" i="3"/>
  <c r="J1303" i="3"/>
  <c r="B1304" i="3"/>
  <c r="C1304" i="3"/>
  <c r="D1304" i="3"/>
  <c r="E1304" i="3"/>
  <c r="F1304" i="3"/>
  <c r="G1304" i="3"/>
  <c r="H1304" i="3"/>
  <c r="I1304" i="3"/>
  <c r="J1304" i="3"/>
  <c r="B1305" i="3"/>
  <c r="C1305" i="3"/>
  <c r="D1305" i="3"/>
  <c r="E1305" i="3"/>
  <c r="F1305" i="3"/>
  <c r="G1305" i="3"/>
  <c r="H1305" i="3"/>
  <c r="I1305" i="3"/>
  <c r="J1305" i="3"/>
  <c r="B1306" i="3"/>
  <c r="C1306" i="3"/>
  <c r="D1306" i="3"/>
  <c r="E1306" i="3"/>
  <c r="F1306" i="3"/>
  <c r="G1306" i="3"/>
  <c r="H1306" i="3"/>
  <c r="I1306" i="3"/>
  <c r="J1306" i="3"/>
  <c r="B1307" i="3"/>
  <c r="C1307" i="3"/>
  <c r="D1307" i="3"/>
  <c r="E1307" i="3"/>
  <c r="F1307" i="3"/>
  <c r="G1307" i="3"/>
  <c r="H1307" i="3"/>
  <c r="I1307" i="3"/>
  <c r="J1307" i="3"/>
  <c r="B1308" i="3"/>
  <c r="C1308" i="3"/>
  <c r="D1308" i="3"/>
  <c r="E1308" i="3"/>
  <c r="F1308" i="3"/>
  <c r="G1308" i="3"/>
  <c r="H1308" i="3"/>
  <c r="I1308" i="3"/>
  <c r="J1308" i="3"/>
  <c r="B1309" i="3"/>
  <c r="C1309" i="3"/>
  <c r="D1309" i="3"/>
  <c r="E1309" i="3"/>
  <c r="F1309" i="3"/>
  <c r="G1309" i="3"/>
  <c r="H1309" i="3"/>
  <c r="I1309" i="3"/>
  <c r="J1309" i="3"/>
  <c r="B1310" i="3"/>
  <c r="C1310" i="3"/>
  <c r="D1310" i="3"/>
  <c r="E1310" i="3"/>
  <c r="F1310" i="3"/>
  <c r="G1310" i="3"/>
  <c r="H1310" i="3"/>
  <c r="I1310" i="3"/>
  <c r="J1310" i="3"/>
  <c r="B1311" i="3"/>
  <c r="C1311" i="3"/>
  <c r="D1311" i="3"/>
  <c r="E1311" i="3"/>
  <c r="F1311" i="3"/>
  <c r="G1311" i="3"/>
  <c r="H1311" i="3"/>
  <c r="I1311" i="3"/>
  <c r="J1311" i="3"/>
  <c r="B1312" i="3"/>
  <c r="C1312" i="3"/>
  <c r="D1312" i="3"/>
  <c r="E1312" i="3"/>
  <c r="F1312" i="3"/>
  <c r="G1312" i="3"/>
  <c r="H1312" i="3"/>
  <c r="I1312" i="3"/>
  <c r="J1312" i="3"/>
  <c r="B1313" i="3"/>
  <c r="C1313" i="3"/>
  <c r="D1313" i="3"/>
  <c r="E1313" i="3"/>
  <c r="F1313" i="3"/>
  <c r="G1313" i="3"/>
  <c r="H1313" i="3"/>
  <c r="I1313" i="3"/>
  <c r="J1313" i="3"/>
  <c r="B1314" i="3"/>
  <c r="C1314" i="3"/>
  <c r="D1314" i="3"/>
  <c r="E1314" i="3"/>
  <c r="F1314" i="3"/>
  <c r="G1314" i="3"/>
  <c r="H1314" i="3"/>
  <c r="I1314" i="3"/>
  <c r="J1314" i="3"/>
  <c r="B1315" i="3"/>
  <c r="C1315" i="3"/>
  <c r="D1315" i="3"/>
  <c r="E1315" i="3"/>
  <c r="F1315" i="3"/>
  <c r="G1315" i="3"/>
  <c r="H1315" i="3"/>
  <c r="I1315" i="3"/>
  <c r="J1315" i="3"/>
  <c r="B1316" i="3"/>
  <c r="C1316" i="3"/>
  <c r="D1316" i="3"/>
  <c r="E1316" i="3"/>
  <c r="F1316" i="3"/>
  <c r="G1316" i="3"/>
  <c r="H1316" i="3"/>
  <c r="I1316" i="3"/>
  <c r="J1316" i="3"/>
  <c r="B1317" i="3"/>
  <c r="C1317" i="3"/>
  <c r="D1317" i="3"/>
  <c r="E1317" i="3"/>
  <c r="F1317" i="3"/>
  <c r="G1317" i="3"/>
  <c r="H1317" i="3"/>
  <c r="I1317" i="3"/>
  <c r="J1317" i="3"/>
  <c r="B1318" i="3"/>
  <c r="C1318" i="3"/>
  <c r="D1318" i="3"/>
  <c r="E1318" i="3"/>
  <c r="F1318" i="3"/>
  <c r="G1318" i="3"/>
  <c r="H1318" i="3"/>
  <c r="I1318" i="3"/>
  <c r="J1318" i="3"/>
  <c r="B1319" i="3"/>
  <c r="C1319" i="3"/>
  <c r="D1319" i="3"/>
  <c r="E1319" i="3"/>
  <c r="F1319" i="3"/>
  <c r="G1319" i="3"/>
  <c r="H1319" i="3"/>
  <c r="I1319" i="3"/>
  <c r="J1319" i="3"/>
  <c r="B1320" i="3"/>
  <c r="C1320" i="3"/>
  <c r="D1320" i="3"/>
  <c r="E1320" i="3"/>
  <c r="F1320" i="3"/>
  <c r="G1320" i="3"/>
  <c r="H1320" i="3"/>
  <c r="I1320" i="3"/>
  <c r="J1320" i="3"/>
  <c r="B1321" i="3"/>
  <c r="C1321" i="3"/>
  <c r="D1321" i="3"/>
  <c r="E1321" i="3"/>
  <c r="F1321" i="3"/>
  <c r="G1321" i="3"/>
  <c r="H1321" i="3"/>
  <c r="I1321" i="3"/>
  <c r="J1321" i="3"/>
  <c r="B1322" i="3"/>
  <c r="C1322" i="3"/>
  <c r="D1322" i="3"/>
  <c r="E1322" i="3"/>
  <c r="F1322" i="3"/>
  <c r="G1322" i="3"/>
  <c r="H1322" i="3"/>
  <c r="I1322" i="3"/>
  <c r="J1322" i="3"/>
  <c r="B1323" i="3"/>
  <c r="C1323" i="3"/>
  <c r="D1323" i="3"/>
  <c r="E1323" i="3"/>
  <c r="F1323" i="3"/>
  <c r="G1323" i="3"/>
  <c r="H1323" i="3"/>
  <c r="I1323" i="3"/>
  <c r="J1323" i="3"/>
  <c r="B1324" i="3"/>
  <c r="C1324" i="3"/>
  <c r="D1324" i="3"/>
  <c r="E1324" i="3"/>
  <c r="F1324" i="3"/>
  <c r="G1324" i="3"/>
  <c r="H1324" i="3"/>
  <c r="I1324" i="3"/>
  <c r="J1324" i="3"/>
  <c r="B1325" i="3"/>
  <c r="C1325" i="3"/>
  <c r="D1325" i="3"/>
  <c r="E1325" i="3"/>
  <c r="F1325" i="3"/>
  <c r="G1325" i="3"/>
  <c r="H1325" i="3"/>
  <c r="I1325" i="3"/>
  <c r="J1325" i="3"/>
  <c r="B1326" i="3"/>
  <c r="C1326" i="3"/>
  <c r="D1326" i="3"/>
  <c r="E1326" i="3"/>
  <c r="F1326" i="3"/>
  <c r="G1326" i="3"/>
  <c r="H1326" i="3"/>
  <c r="I1326" i="3"/>
  <c r="J1326" i="3"/>
  <c r="B1327" i="3"/>
  <c r="C1327" i="3"/>
  <c r="D1327" i="3"/>
  <c r="E1327" i="3"/>
  <c r="F1327" i="3"/>
  <c r="G1327" i="3"/>
  <c r="H1327" i="3"/>
  <c r="I1327" i="3"/>
  <c r="J1327" i="3"/>
  <c r="B1328" i="3"/>
  <c r="C1328" i="3"/>
  <c r="D1328" i="3"/>
  <c r="E1328" i="3"/>
  <c r="F1328" i="3"/>
  <c r="G1328" i="3"/>
  <c r="H1328" i="3"/>
  <c r="I1328" i="3"/>
  <c r="J1328" i="3"/>
  <c r="B1329" i="3"/>
  <c r="C1329" i="3"/>
  <c r="D1329" i="3"/>
  <c r="E1329" i="3"/>
  <c r="F1329" i="3"/>
  <c r="G1329" i="3"/>
  <c r="H1329" i="3"/>
  <c r="I1329" i="3"/>
  <c r="J1329" i="3"/>
  <c r="B1330" i="3"/>
  <c r="C1330" i="3"/>
  <c r="D1330" i="3"/>
  <c r="E1330" i="3"/>
  <c r="F1330" i="3"/>
  <c r="G1330" i="3"/>
  <c r="H1330" i="3"/>
  <c r="I1330" i="3"/>
  <c r="J1330" i="3"/>
  <c r="B1331" i="3"/>
  <c r="K1331" i="3" s="1"/>
  <c r="C1331" i="3"/>
  <c r="D1331" i="3"/>
  <c r="E1331" i="3"/>
  <c r="F1331" i="3"/>
  <c r="G1331" i="3"/>
  <c r="H1331" i="3"/>
  <c r="I1331" i="3"/>
  <c r="J1331" i="3"/>
  <c r="B1332" i="3"/>
  <c r="C1332" i="3"/>
  <c r="D1332" i="3"/>
  <c r="E1332" i="3"/>
  <c r="F1332" i="3"/>
  <c r="G1332" i="3"/>
  <c r="H1332" i="3"/>
  <c r="I1332" i="3"/>
  <c r="J1332" i="3"/>
  <c r="B1333" i="3"/>
  <c r="C1333" i="3"/>
  <c r="D1333" i="3"/>
  <c r="E1333" i="3"/>
  <c r="F1333" i="3"/>
  <c r="G1333" i="3"/>
  <c r="H1333" i="3"/>
  <c r="I1333" i="3"/>
  <c r="J1333" i="3"/>
  <c r="B1334" i="3"/>
  <c r="C1334" i="3"/>
  <c r="D1334" i="3"/>
  <c r="E1334" i="3"/>
  <c r="F1334" i="3"/>
  <c r="G1334" i="3"/>
  <c r="H1334" i="3"/>
  <c r="I1334" i="3"/>
  <c r="J1334" i="3"/>
  <c r="B1335" i="3"/>
  <c r="C1335" i="3"/>
  <c r="D1335" i="3"/>
  <c r="E1335" i="3"/>
  <c r="F1335" i="3"/>
  <c r="G1335" i="3"/>
  <c r="H1335" i="3"/>
  <c r="I1335" i="3"/>
  <c r="J1335" i="3"/>
  <c r="B1336" i="3"/>
  <c r="C1336" i="3"/>
  <c r="D1336" i="3"/>
  <c r="E1336" i="3"/>
  <c r="F1336" i="3"/>
  <c r="G1336" i="3"/>
  <c r="H1336" i="3"/>
  <c r="I1336" i="3"/>
  <c r="J1336" i="3"/>
  <c r="B1337" i="3"/>
  <c r="C1337" i="3"/>
  <c r="D1337" i="3"/>
  <c r="E1337" i="3"/>
  <c r="F1337" i="3"/>
  <c r="G1337" i="3"/>
  <c r="H1337" i="3"/>
  <c r="I1337" i="3"/>
  <c r="J1337" i="3"/>
  <c r="B1338" i="3"/>
  <c r="C1338" i="3"/>
  <c r="D1338" i="3"/>
  <c r="E1338" i="3"/>
  <c r="F1338" i="3"/>
  <c r="G1338" i="3"/>
  <c r="H1338" i="3"/>
  <c r="I1338" i="3"/>
  <c r="J1338" i="3"/>
  <c r="B1339" i="3"/>
  <c r="C1339" i="3"/>
  <c r="D1339" i="3"/>
  <c r="E1339" i="3"/>
  <c r="F1339" i="3"/>
  <c r="G1339" i="3"/>
  <c r="H1339" i="3"/>
  <c r="I1339" i="3"/>
  <c r="J1339" i="3"/>
  <c r="B1340" i="3"/>
  <c r="C1340" i="3"/>
  <c r="D1340" i="3"/>
  <c r="E1340" i="3"/>
  <c r="F1340" i="3"/>
  <c r="G1340" i="3"/>
  <c r="H1340" i="3"/>
  <c r="I1340" i="3"/>
  <c r="J1340" i="3"/>
  <c r="B1341" i="3"/>
  <c r="C1341" i="3"/>
  <c r="D1341" i="3"/>
  <c r="E1341" i="3"/>
  <c r="F1341" i="3"/>
  <c r="G1341" i="3"/>
  <c r="H1341" i="3"/>
  <c r="I1341" i="3"/>
  <c r="J1341" i="3"/>
  <c r="B1342" i="3"/>
  <c r="C1342" i="3"/>
  <c r="D1342" i="3"/>
  <c r="E1342" i="3"/>
  <c r="F1342" i="3"/>
  <c r="G1342" i="3"/>
  <c r="H1342" i="3"/>
  <c r="I1342" i="3"/>
  <c r="J1342" i="3"/>
  <c r="B1343" i="3"/>
  <c r="C1343" i="3"/>
  <c r="D1343" i="3"/>
  <c r="E1343" i="3"/>
  <c r="F1343" i="3"/>
  <c r="G1343" i="3"/>
  <c r="H1343" i="3"/>
  <c r="I1343" i="3"/>
  <c r="J1343" i="3"/>
  <c r="B1344" i="3"/>
  <c r="C1344" i="3"/>
  <c r="D1344" i="3"/>
  <c r="E1344" i="3"/>
  <c r="F1344" i="3"/>
  <c r="G1344" i="3"/>
  <c r="H1344" i="3"/>
  <c r="I1344" i="3"/>
  <c r="J1344" i="3"/>
  <c r="B1345" i="3"/>
  <c r="C1345" i="3"/>
  <c r="D1345" i="3"/>
  <c r="E1345" i="3"/>
  <c r="F1345" i="3"/>
  <c r="G1345" i="3"/>
  <c r="H1345" i="3"/>
  <c r="I1345" i="3"/>
  <c r="J1345" i="3"/>
  <c r="B1346" i="3"/>
  <c r="C1346" i="3"/>
  <c r="D1346" i="3"/>
  <c r="E1346" i="3"/>
  <c r="F1346" i="3"/>
  <c r="G1346" i="3"/>
  <c r="H1346" i="3"/>
  <c r="I1346" i="3"/>
  <c r="J1346" i="3"/>
  <c r="B1347" i="3"/>
  <c r="C1347" i="3"/>
  <c r="D1347" i="3"/>
  <c r="E1347" i="3"/>
  <c r="F1347" i="3"/>
  <c r="G1347" i="3"/>
  <c r="H1347" i="3"/>
  <c r="I1347" i="3"/>
  <c r="J1347" i="3"/>
  <c r="B1348" i="3"/>
  <c r="C1348" i="3"/>
  <c r="D1348" i="3"/>
  <c r="E1348" i="3"/>
  <c r="F1348" i="3"/>
  <c r="G1348" i="3"/>
  <c r="H1348" i="3"/>
  <c r="I1348" i="3"/>
  <c r="J1348" i="3"/>
  <c r="B1349" i="3"/>
  <c r="C1349" i="3"/>
  <c r="D1349" i="3"/>
  <c r="E1349" i="3"/>
  <c r="F1349" i="3"/>
  <c r="G1349" i="3"/>
  <c r="H1349" i="3"/>
  <c r="I1349" i="3"/>
  <c r="J1349" i="3"/>
  <c r="B1350" i="3"/>
  <c r="C1350" i="3"/>
  <c r="D1350" i="3"/>
  <c r="E1350" i="3"/>
  <c r="F1350" i="3"/>
  <c r="G1350" i="3"/>
  <c r="H1350" i="3"/>
  <c r="I1350" i="3"/>
  <c r="J1350" i="3"/>
  <c r="B1351" i="3"/>
  <c r="C1351" i="3"/>
  <c r="D1351" i="3"/>
  <c r="E1351" i="3"/>
  <c r="F1351" i="3"/>
  <c r="G1351" i="3"/>
  <c r="H1351" i="3"/>
  <c r="I1351" i="3"/>
  <c r="J1351" i="3"/>
  <c r="B1352" i="3"/>
  <c r="C1352" i="3"/>
  <c r="D1352" i="3"/>
  <c r="E1352" i="3"/>
  <c r="F1352" i="3"/>
  <c r="G1352" i="3"/>
  <c r="H1352" i="3"/>
  <c r="I1352" i="3"/>
  <c r="J1352" i="3"/>
  <c r="B1353" i="3"/>
  <c r="C1353" i="3"/>
  <c r="D1353" i="3"/>
  <c r="E1353" i="3"/>
  <c r="F1353" i="3"/>
  <c r="G1353" i="3"/>
  <c r="H1353" i="3"/>
  <c r="I1353" i="3"/>
  <c r="J1353" i="3"/>
  <c r="B1354" i="3"/>
  <c r="C1354" i="3"/>
  <c r="D1354" i="3"/>
  <c r="E1354" i="3"/>
  <c r="F1354" i="3"/>
  <c r="G1354" i="3"/>
  <c r="H1354" i="3"/>
  <c r="I1354" i="3"/>
  <c r="J1354" i="3"/>
  <c r="B1355" i="3"/>
  <c r="C1355" i="3"/>
  <c r="D1355" i="3"/>
  <c r="E1355" i="3"/>
  <c r="F1355" i="3"/>
  <c r="G1355" i="3"/>
  <c r="H1355" i="3"/>
  <c r="I1355" i="3"/>
  <c r="J1355" i="3"/>
  <c r="B1356" i="3"/>
  <c r="C1356" i="3"/>
  <c r="D1356" i="3"/>
  <c r="E1356" i="3"/>
  <c r="F1356" i="3"/>
  <c r="G1356" i="3"/>
  <c r="H1356" i="3"/>
  <c r="I1356" i="3"/>
  <c r="J1356" i="3"/>
  <c r="B1357" i="3"/>
  <c r="C1357" i="3"/>
  <c r="D1357" i="3"/>
  <c r="E1357" i="3"/>
  <c r="F1357" i="3"/>
  <c r="G1357" i="3"/>
  <c r="H1357" i="3"/>
  <c r="I1357" i="3"/>
  <c r="J1357" i="3"/>
  <c r="B1358" i="3"/>
  <c r="C1358" i="3"/>
  <c r="D1358" i="3"/>
  <c r="E1358" i="3"/>
  <c r="F1358" i="3"/>
  <c r="G1358" i="3"/>
  <c r="H1358" i="3"/>
  <c r="I1358" i="3"/>
  <c r="J1358" i="3"/>
  <c r="B1359" i="3"/>
  <c r="C1359" i="3"/>
  <c r="D1359" i="3"/>
  <c r="E1359" i="3"/>
  <c r="F1359" i="3"/>
  <c r="G1359" i="3"/>
  <c r="H1359" i="3"/>
  <c r="I1359" i="3"/>
  <c r="J1359" i="3"/>
  <c r="B1360" i="3"/>
  <c r="C1360" i="3"/>
  <c r="D1360" i="3"/>
  <c r="E1360" i="3"/>
  <c r="F1360" i="3"/>
  <c r="G1360" i="3"/>
  <c r="H1360" i="3"/>
  <c r="I1360" i="3"/>
  <c r="J1360" i="3"/>
  <c r="B1361" i="3"/>
  <c r="C1361" i="3"/>
  <c r="D1361" i="3"/>
  <c r="E1361" i="3"/>
  <c r="F1361" i="3"/>
  <c r="G1361" i="3"/>
  <c r="H1361" i="3"/>
  <c r="I1361" i="3"/>
  <c r="J1361" i="3"/>
  <c r="B1362" i="3"/>
  <c r="C1362" i="3"/>
  <c r="D1362" i="3"/>
  <c r="E1362" i="3"/>
  <c r="F1362" i="3"/>
  <c r="G1362" i="3"/>
  <c r="H1362" i="3"/>
  <c r="I1362" i="3"/>
  <c r="J1362" i="3"/>
  <c r="B1363" i="3"/>
  <c r="C1363" i="3"/>
  <c r="D1363" i="3"/>
  <c r="E1363" i="3"/>
  <c r="F1363" i="3"/>
  <c r="G1363" i="3"/>
  <c r="H1363" i="3"/>
  <c r="I1363" i="3"/>
  <c r="J1363" i="3"/>
  <c r="B1364" i="3"/>
  <c r="C1364" i="3"/>
  <c r="D1364" i="3"/>
  <c r="E1364" i="3"/>
  <c r="F1364" i="3"/>
  <c r="G1364" i="3"/>
  <c r="H1364" i="3"/>
  <c r="I1364" i="3"/>
  <c r="J1364" i="3"/>
  <c r="B1365" i="3"/>
  <c r="C1365" i="3"/>
  <c r="D1365" i="3"/>
  <c r="E1365" i="3"/>
  <c r="F1365" i="3"/>
  <c r="G1365" i="3"/>
  <c r="H1365" i="3"/>
  <c r="I1365" i="3"/>
  <c r="J1365" i="3"/>
  <c r="B1366" i="3"/>
  <c r="C1366" i="3"/>
  <c r="D1366" i="3"/>
  <c r="E1366" i="3"/>
  <c r="F1366" i="3"/>
  <c r="G1366" i="3"/>
  <c r="H1366" i="3"/>
  <c r="I1366" i="3"/>
  <c r="J1366" i="3"/>
  <c r="B1367" i="3"/>
  <c r="C1367" i="3"/>
  <c r="D1367" i="3"/>
  <c r="E1367" i="3"/>
  <c r="F1367" i="3"/>
  <c r="G1367" i="3"/>
  <c r="H1367" i="3"/>
  <c r="I1367" i="3"/>
  <c r="J1367" i="3"/>
  <c r="B1368" i="3"/>
  <c r="C1368" i="3"/>
  <c r="D1368" i="3"/>
  <c r="E1368" i="3"/>
  <c r="F1368" i="3"/>
  <c r="G1368" i="3"/>
  <c r="H1368" i="3"/>
  <c r="I1368" i="3"/>
  <c r="J1368" i="3"/>
  <c r="B1369" i="3"/>
  <c r="C1369" i="3"/>
  <c r="D1369" i="3"/>
  <c r="E1369" i="3"/>
  <c r="F1369" i="3"/>
  <c r="G1369" i="3"/>
  <c r="H1369" i="3"/>
  <c r="I1369" i="3"/>
  <c r="J1369" i="3"/>
  <c r="B1370" i="3"/>
  <c r="C1370" i="3"/>
  <c r="D1370" i="3"/>
  <c r="E1370" i="3"/>
  <c r="F1370" i="3"/>
  <c r="G1370" i="3"/>
  <c r="H1370" i="3"/>
  <c r="I1370" i="3"/>
  <c r="J1370" i="3"/>
  <c r="B1371" i="3"/>
  <c r="C1371" i="3"/>
  <c r="D1371" i="3"/>
  <c r="E1371" i="3"/>
  <c r="F1371" i="3"/>
  <c r="G1371" i="3"/>
  <c r="H1371" i="3"/>
  <c r="I1371" i="3"/>
  <c r="J1371" i="3"/>
  <c r="B1372" i="3"/>
  <c r="C1372" i="3"/>
  <c r="D1372" i="3"/>
  <c r="E1372" i="3"/>
  <c r="F1372" i="3"/>
  <c r="G1372" i="3"/>
  <c r="H1372" i="3"/>
  <c r="I1372" i="3"/>
  <c r="J1372" i="3"/>
  <c r="B1373" i="3"/>
  <c r="C1373" i="3"/>
  <c r="D1373" i="3"/>
  <c r="E1373" i="3"/>
  <c r="F1373" i="3"/>
  <c r="G1373" i="3"/>
  <c r="H1373" i="3"/>
  <c r="I1373" i="3"/>
  <c r="J1373" i="3"/>
  <c r="B1374" i="3"/>
  <c r="C1374" i="3"/>
  <c r="D1374" i="3"/>
  <c r="E1374" i="3"/>
  <c r="F1374" i="3"/>
  <c r="G1374" i="3"/>
  <c r="H1374" i="3"/>
  <c r="I1374" i="3"/>
  <c r="J1374" i="3"/>
  <c r="B1375" i="3"/>
  <c r="C1375" i="3"/>
  <c r="D1375" i="3"/>
  <c r="E1375" i="3"/>
  <c r="F1375" i="3"/>
  <c r="G1375" i="3"/>
  <c r="H1375" i="3"/>
  <c r="I1375" i="3"/>
  <c r="J1375" i="3"/>
  <c r="B1376" i="3"/>
  <c r="C1376" i="3"/>
  <c r="D1376" i="3"/>
  <c r="E1376" i="3"/>
  <c r="F1376" i="3"/>
  <c r="G1376" i="3"/>
  <c r="H1376" i="3"/>
  <c r="I1376" i="3"/>
  <c r="J1376" i="3"/>
  <c r="B1377" i="3"/>
  <c r="C1377" i="3"/>
  <c r="D1377" i="3"/>
  <c r="E1377" i="3"/>
  <c r="F1377" i="3"/>
  <c r="G1377" i="3"/>
  <c r="H1377" i="3"/>
  <c r="I1377" i="3"/>
  <c r="J1377" i="3"/>
  <c r="B1378" i="3"/>
  <c r="K1378" i="3" s="1"/>
  <c r="C1378" i="3"/>
  <c r="D1378" i="3"/>
  <c r="E1378" i="3"/>
  <c r="F1378" i="3"/>
  <c r="G1378" i="3"/>
  <c r="H1378" i="3"/>
  <c r="I1378" i="3"/>
  <c r="J1378" i="3"/>
  <c r="B1379" i="3"/>
  <c r="K1379" i="3" s="1"/>
  <c r="C1379" i="3"/>
  <c r="D1379" i="3"/>
  <c r="E1379" i="3"/>
  <c r="F1379" i="3"/>
  <c r="G1379" i="3"/>
  <c r="H1379" i="3"/>
  <c r="I1379" i="3"/>
  <c r="J1379" i="3"/>
  <c r="B1380" i="3"/>
  <c r="K1380" i="3" s="1"/>
  <c r="C1380" i="3"/>
  <c r="D1380" i="3"/>
  <c r="E1380" i="3"/>
  <c r="F1380" i="3"/>
  <c r="G1380" i="3"/>
  <c r="H1380" i="3"/>
  <c r="I1380" i="3"/>
  <c r="J1380" i="3"/>
  <c r="B1381" i="3"/>
  <c r="C1381" i="3"/>
  <c r="D1381" i="3"/>
  <c r="E1381" i="3"/>
  <c r="F1381" i="3"/>
  <c r="G1381" i="3"/>
  <c r="H1381" i="3"/>
  <c r="I1381" i="3"/>
  <c r="J1381" i="3"/>
  <c r="K1381" i="3"/>
  <c r="B1382" i="3"/>
  <c r="K1382" i="3" s="1"/>
  <c r="C1382" i="3"/>
  <c r="D1382" i="3"/>
  <c r="E1382" i="3"/>
  <c r="F1382" i="3"/>
  <c r="G1382" i="3"/>
  <c r="H1382" i="3"/>
  <c r="I1382" i="3"/>
  <c r="J1382" i="3"/>
  <c r="B1383" i="3"/>
  <c r="K1383" i="3" s="1"/>
  <c r="C1383" i="3"/>
  <c r="D1383" i="3"/>
  <c r="E1383" i="3"/>
  <c r="F1383" i="3"/>
  <c r="G1383" i="3"/>
  <c r="H1383" i="3"/>
  <c r="I1383" i="3"/>
  <c r="J1383" i="3"/>
  <c r="B1384" i="3"/>
  <c r="K1384" i="3" s="1"/>
  <c r="C1384" i="3"/>
  <c r="D1384" i="3"/>
  <c r="E1384" i="3"/>
  <c r="F1384" i="3"/>
  <c r="G1384" i="3"/>
  <c r="H1384" i="3"/>
  <c r="I1384" i="3"/>
  <c r="J1384" i="3"/>
  <c r="B1385" i="3"/>
  <c r="K1385" i="3" s="1"/>
  <c r="C1385" i="3"/>
  <c r="D1385" i="3"/>
  <c r="E1385" i="3"/>
  <c r="F1385" i="3"/>
  <c r="G1385" i="3"/>
  <c r="H1385" i="3"/>
  <c r="I1385" i="3"/>
  <c r="J1385" i="3"/>
  <c r="B1386" i="3"/>
  <c r="K1386" i="3" s="1"/>
  <c r="C1386" i="3"/>
  <c r="D1386" i="3"/>
  <c r="E1386" i="3"/>
  <c r="F1386" i="3"/>
  <c r="G1386" i="3"/>
  <c r="H1386" i="3"/>
  <c r="I1386" i="3"/>
  <c r="J1386" i="3"/>
  <c r="B1387" i="3"/>
  <c r="K1387" i="3" s="1"/>
  <c r="C1387" i="3"/>
  <c r="D1387" i="3"/>
  <c r="E1387" i="3"/>
  <c r="F1387" i="3"/>
  <c r="G1387" i="3"/>
  <c r="H1387" i="3"/>
  <c r="I1387" i="3"/>
  <c r="J1387" i="3"/>
  <c r="B1388" i="3"/>
  <c r="K1388" i="3" s="1"/>
  <c r="C1388" i="3"/>
  <c r="D1388" i="3"/>
  <c r="E1388" i="3"/>
  <c r="F1388" i="3"/>
  <c r="G1388" i="3"/>
  <c r="H1388" i="3"/>
  <c r="I1388" i="3"/>
  <c r="J1388" i="3"/>
  <c r="B1389" i="3"/>
  <c r="K1389" i="3" s="1"/>
  <c r="C1389" i="3"/>
  <c r="D1389" i="3"/>
  <c r="E1389" i="3"/>
  <c r="F1389" i="3"/>
  <c r="G1389" i="3"/>
  <c r="H1389" i="3"/>
  <c r="I1389" i="3"/>
  <c r="J1389" i="3"/>
  <c r="B1390" i="3"/>
  <c r="K1390" i="3" s="1"/>
  <c r="C1390" i="3"/>
  <c r="D1390" i="3"/>
  <c r="E1390" i="3"/>
  <c r="F1390" i="3"/>
  <c r="G1390" i="3"/>
  <c r="H1390" i="3"/>
  <c r="I1390" i="3"/>
  <c r="J1390" i="3"/>
  <c r="B1391" i="3"/>
  <c r="K1391" i="3" s="1"/>
  <c r="C1391" i="3"/>
  <c r="D1391" i="3"/>
  <c r="E1391" i="3"/>
  <c r="F1391" i="3"/>
  <c r="G1391" i="3"/>
  <c r="H1391" i="3"/>
  <c r="I1391" i="3"/>
  <c r="J1391" i="3"/>
  <c r="B1392" i="3"/>
  <c r="K1392" i="3" s="1"/>
  <c r="C1392" i="3"/>
  <c r="D1392" i="3"/>
  <c r="E1392" i="3"/>
  <c r="F1392" i="3"/>
  <c r="G1392" i="3"/>
  <c r="H1392" i="3"/>
  <c r="I1392" i="3"/>
  <c r="J1392" i="3"/>
  <c r="B1393" i="3"/>
  <c r="K1393" i="3" s="1"/>
  <c r="C1393" i="3"/>
  <c r="D1393" i="3"/>
  <c r="E1393" i="3"/>
  <c r="F1393" i="3"/>
  <c r="G1393" i="3"/>
  <c r="H1393" i="3"/>
  <c r="I1393" i="3"/>
  <c r="J1393" i="3"/>
  <c r="B1394" i="3"/>
  <c r="K1394" i="3" s="1"/>
  <c r="C1394" i="3"/>
  <c r="D1394" i="3"/>
  <c r="E1394" i="3"/>
  <c r="F1394" i="3"/>
  <c r="G1394" i="3"/>
  <c r="H1394" i="3"/>
  <c r="I1394" i="3"/>
  <c r="J1394" i="3"/>
  <c r="B1395" i="3"/>
  <c r="K1395" i="3" s="1"/>
  <c r="C1395" i="3"/>
  <c r="D1395" i="3"/>
  <c r="E1395" i="3"/>
  <c r="F1395" i="3"/>
  <c r="G1395" i="3"/>
  <c r="H1395" i="3"/>
  <c r="I1395" i="3"/>
  <c r="J1395" i="3"/>
  <c r="B1396" i="3"/>
  <c r="K1396" i="3" s="1"/>
  <c r="C1396" i="3"/>
  <c r="D1396" i="3"/>
  <c r="E1396" i="3"/>
  <c r="F1396" i="3"/>
  <c r="G1396" i="3"/>
  <c r="H1396" i="3"/>
  <c r="I1396" i="3"/>
  <c r="J1396" i="3"/>
  <c r="B1397" i="3"/>
  <c r="K1397" i="3" s="1"/>
  <c r="C1397" i="3"/>
  <c r="D1397" i="3"/>
  <c r="E1397" i="3"/>
  <c r="F1397" i="3"/>
  <c r="G1397" i="3"/>
  <c r="H1397" i="3"/>
  <c r="I1397" i="3"/>
  <c r="J1397" i="3"/>
  <c r="B1398" i="3"/>
  <c r="K1398" i="3" s="1"/>
  <c r="C1398" i="3"/>
  <c r="D1398" i="3"/>
  <c r="E1398" i="3"/>
  <c r="F1398" i="3"/>
  <c r="G1398" i="3"/>
  <c r="H1398" i="3"/>
  <c r="I1398" i="3"/>
  <c r="J1398" i="3"/>
  <c r="B1399" i="3"/>
  <c r="K1399" i="3" s="1"/>
  <c r="C1399" i="3"/>
  <c r="D1399" i="3"/>
  <c r="E1399" i="3"/>
  <c r="F1399" i="3"/>
  <c r="G1399" i="3"/>
  <c r="H1399" i="3"/>
  <c r="I1399" i="3"/>
  <c r="J1399" i="3"/>
  <c r="B1400" i="3"/>
  <c r="K1400" i="3" s="1"/>
  <c r="C1400" i="3"/>
  <c r="D1400" i="3"/>
  <c r="E1400" i="3"/>
  <c r="F1400" i="3"/>
  <c r="G1400" i="3"/>
  <c r="H1400" i="3"/>
  <c r="I1400" i="3"/>
  <c r="J1400" i="3"/>
  <c r="B1401" i="3"/>
  <c r="K1401" i="3" s="1"/>
  <c r="C1401" i="3"/>
  <c r="D1401" i="3"/>
  <c r="E1401" i="3"/>
  <c r="F1401" i="3"/>
  <c r="G1401" i="3"/>
  <c r="H1401" i="3"/>
  <c r="I1401" i="3"/>
  <c r="J1401" i="3"/>
  <c r="B1402" i="3"/>
  <c r="K1402" i="3" s="1"/>
  <c r="C1402" i="3"/>
  <c r="D1402" i="3"/>
  <c r="E1402" i="3"/>
  <c r="F1402" i="3"/>
  <c r="G1402" i="3"/>
  <c r="H1402" i="3"/>
  <c r="I1402" i="3"/>
  <c r="J1402" i="3"/>
  <c r="B1403" i="3"/>
  <c r="K1403" i="3" s="1"/>
  <c r="C1403" i="3"/>
  <c r="D1403" i="3"/>
  <c r="E1403" i="3"/>
  <c r="F1403" i="3"/>
  <c r="G1403" i="3"/>
  <c r="H1403" i="3"/>
  <c r="I1403" i="3"/>
  <c r="J1403" i="3"/>
  <c r="B1404" i="3"/>
  <c r="K1404" i="3" s="1"/>
  <c r="C1404" i="3"/>
  <c r="D1404" i="3"/>
  <c r="E1404" i="3"/>
  <c r="F1404" i="3"/>
  <c r="G1404" i="3"/>
  <c r="H1404" i="3"/>
  <c r="I1404" i="3"/>
  <c r="J1404" i="3"/>
  <c r="B1405" i="3"/>
  <c r="K1405" i="3" s="1"/>
  <c r="C1405" i="3"/>
  <c r="D1405" i="3"/>
  <c r="E1405" i="3"/>
  <c r="F1405" i="3"/>
  <c r="G1405" i="3"/>
  <c r="H1405" i="3"/>
  <c r="I1405" i="3"/>
  <c r="J1405" i="3"/>
  <c r="B1406" i="3"/>
  <c r="K1406" i="3" s="1"/>
  <c r="C1406" i="3"/>
  <c r="D1406" i="3"/>
  <c r="E1406" i="3"/>
  <c r="F1406" i="3"/>
  <c r="G1406" i="3"/>
  <c r="H1406" i="3"/>
  <c r="I1406" i="3"/>
  <c r="J1406" i="3"/>
  <c r="B1407" i="3"/>
  <c r="K1407" i="3" s="1"/>
  <c r="C1407" i="3"/>
  <c r="D1407" i="3"/>
  <c r="E1407" i="3"/>
  <c r="F1407" i="3"/>
  <c r="G1407" i="3"/>
  <c r="H1407" i="3"/>
  <c r="I1407" i="3"/>
  <c r="J1407" i="3"/>
  <c r="B1408" i="3"/>
  <c r="K1408" i="3" s="1"/>
  <c r="C1408" i="3"/>
  <c r="D1408" i="3"/>
  <c r="E1408" i="3"/>
  <c r="F1408" i="3"/>
  <c r="G1408" i="3"/>
  <c r="H1408" i="3"/>
  <c r="I1408" i="3"/>
  <c r="J1408" i="3"/>
  <c r="B1409" i="3"/>
  <c r="K1409" i="3" s="1"/>
  <c r="C1409" i="3"/>
  <c r="D1409" i="3"/>
  <c r="E1409" i="3"/>
  <c r="F1409" i="3"/>
  <c r="G1409" i="3"/>
  <c r="H1409" i="3"/>
  <c r="I1409" i="3"/>
  <c r="J1409" i="3"/>
  <c r="B1410" i="3"/>
  <c r="K1410" i="3" s="1"/>
  <c r="C1410" i="3"/>
  <c r="D1410" i="3"/>
  <c r="E1410" i="3"/>
  <c r="F1410" i="3"/>
  <c r="G1410" i="3"/>
  <c r="H1410" i="3"/>
  <c r="I1410" i="3"/>
  <c r="J1410" i="3"/>
  <c r="B1411" i="3"/>
  <c r="K1411" i="3" s="1"/>
  <c r="C1411" i="3"/>
  <c r="D1411" i="3"/>
  <c r="E1411" i="3"/>
  <c r="F1411" i="3"/>
  <c r="G1411" i="3"/>
  <c r="H1411" i="3"/>
  <c r="I1411" i="3"/>
  <c r="J1411" i="3"/>
  <c r="B1412" i="3"/>
  <c r="K1412" i="3" s="1"/>
  <c r="C1412" i="3"/>
  <c r="D1412" i="3"/>
  <c r="E1412" i="3"/>
  <c r="F1412" i="3"/>
  <c r="G1412" i="3"/>
  <c r="H1412" i="3"/>
  <c r="I1412" i="3"/>
  <c r="J1412" i="3"/>
  <c r="B1413" i="3"/>
  <c r="K1413" i="3" s="1"/>
  <c r="C1413" i="3"/>
  <c r="D1413" i="3"/>
  <c r="E1413" i="3"/>
  <c r="F1413" i="3"/>
  <c r="G1413" i="3"/>
  <c r="H1413" i="3"/>
  <c r="I1413" i="3"/>
  <c r="J1413" i="3"/>
  <c r="B1414" i="3"/>
  <c r="K1414" i="3" s="1"/>
  <c r="C1414" i="3"/>
  <c r="D1414" i="3"/>
  <c r="E1414" i="3"/>
  <c r="F1414" i="3"/>
  <c r="G1414" i="3"/>
  <c r="H1414" i="3"/>
  <c r="I1414" i="3"/>
  <c r="J1414" i="3"/>
  <c r="B1415" i="3"/>
  <c r="K1415" i="3" s="1"/>
  <c r="C1415" i="3"/>
  <c r="D1415" i="3"/>
  <c r="E1415" i="3"/>
  <c r="F1415" i="3"/>
  <c r="G1415" i="3"/>
  <c r="H1415" i="3"/>
  <c r="I1415" i="3"/>
  <c r="J1415" i="3"/>
  <c r="B1416" i="3"/>
  <c r="K1416" i="3" s="1"/>
  <c r="C1416" i="3"/>
  <c r="D1416" i="3"/>
  <c r="E1416" i="3"/>
  <c r="F1416" i="3"/>
  <c r="G1416" i="3"/>
  <c r="H1416" i="3"/>
  <c r="I1416" i="3"/>
  <c r="J1416" i="3"/>
  <c r="B1417" i="3"/>
  <c r="K1417" i="3" s="1"/>
  <c r="C1417" i="3"/>
  <c r="D1417" i="3"/>
  <c r="E1417" i="3"/>
  <c r="F1417" i="3"/>
  <c r="G1417" i="3"/>
  <c r="H1417" i="3"/>
  <c r="I1417" i="3"/>
  <c r="J1417" i="3"/>
  <c r="B1418" i="3"/>
  <c r="K1418" i="3" s="1"/>
  <c r="C1418" i="3"/>
  <c r="D1418" i="3"/>
  <c r="E1418" i="3"/>
  <c r="F1418" i="3"/>
  <c r="G1418" i="3"/>
  <c r="H1418" i="3"/>
  <c r="I1418" i="3"/>
  <c r="J1418" i="3"/>
  <c r="B1419" i="3"/>
  <c r="K1419" i="3" s="1"/>
  <c r="C1419" i="3"/>
  <c r="D1419" i="3"/>
  <c r="E1419" i="3"/>
  <c r="F1419" i="3"/>
  <c r="G1419" i="3"/>
  <c r="H1419" i="3"/>
  <c r="I1419" i="3"/>
  <c r="J1419" i="3"/>
  <c r="B1420" i="3"/>
  <c r="K1420" i="3" s="1"/>
  <c r="C1420" i="3"/>
  <c r="D1420" i="3"/>
  <c r="E1420" i="3"/>
  <c r="F1420" i="3"/>
  <c r="G1420" i="3"/>
  <c r="H1420" i="3"/>
  <c r="I1420" i="3"/>
  <c r="J1420" i="3"/>
  <c r="B1421" i="3"/>
  <c r="K1421" i="3" s="1"/>
  <c r="C1421" i="3"/>
  <c r="D1421" i="3"/>
  <c r="E1421" i="3"/>
  <c r="F1421" i="3"/>
  <c r="G1421" i="3"/>
  <c r="H1421" i="3"/>
  <c r="I1421" i="3"/>
  <c r="J1421" i="3"/>
  <c r="B1422" i="3"/>
  <c r="K1422" i="3" s="1"/>
  <c r="C1422" i="3"/>
  <c r="D1422" i="3"/>
  <c r="E1422" i="3"/>
  <c r="F1422" i="3"/>
  <c r="G1422" i="3"/>
  <c r="H1422" i="3"/>
  <c r="I1422" i="3"/>
  <c r="J1422" i="3"/>
  <c r="B1423" i="3"/>
  <c r="K1423" i="3" s="1"/>
  <c r="C1423" i="3"/>
  <c r="D1423" i="3"/>
  <c r="E1423" i="3"/>
  <c r="F1423" i="3"/>
  <c r="G1423" i="3"/>
  <c r="H1423" i="3"/>
  <c r="I1423" i="3"/>
  <c r="J1423" i="3"/>
  <c r="B1424" i="3"/>
  <c r="K1424" i="3" s="1"/>
  <c r="C1424" i="3"/>
  <c r="D1424" i="3"/>
  <c r="E1424" i="3"/>
  <c r="F1424" i="3"/>
  <c r="G1424" i="3"/>
  <c r="H1424" i="3"/>
  <c r="I1424" i="3"/>
  <c r="J1424" i="3"/>
  <c r="B1425" i="3"/>
  <c r="K1425" i="3" s="1"/>
  <c r="C1425" i="3"/>
  <c r="D1425" i="3"/>
  <c r="E1425" i="3"/>
  <c r="F1425" i="3"/>
  <c r="G1425" i="3"/>
  <c r="H1425" i="3"/>
  <c r="I1425" i="3"/>
  <c r="J1425" i="3"/>
  <c r="B1426" i="3"/>
  <c r="K1426" i="3" s="1"/>
  <c r="C1426" i="3"/>
  <c r="D1426" i="3"/>
  <c r="E1426" i="3"/>
  <c r="F1426" i="3"/>
  <c r="G1426" i="3"/>
  <c r="H1426" i="3"/>
  <c r="I1426" i="3"/>
  <c r="J1426" i="3"/>
  <c r="B1427" i="3"/>
  <c r="K1427" i="3" s="1"/>
  <c r="C1427" i="3"/>
  <c r="D1427" i="3"/>
  <c r="E1427" i="3"/>
  <c r="F1427" i="3"/>
  <c r="G1427" i="3"/>
  <c r="H1427" i="3"/>
  <c r="I1427" i="3"/>
  <c r="J1427" i="3"/>
  <c r="B1428" i="3"/>
  <c r="K1428" i="3" s="1"/>
  <c r="C1428" i="3"/>
  <c r="D1428" i="3"/>
  <c r="E1428" i="3"/>
  <c r="F1428" i="3"/>
  <c r="G1428" i="3"/>
  <c r="H1428" i="3"/>
  <c r="I1428" i="3"/>
  <c r="J1428" i="3"/>
  <c r="B1429" i="3"/>
  <c r="K1429" i="3" s="1"/>
  <c r="C1429" i="3"/>
  <c r="D1429" i="3"/>
  <c r="E1429" i="3"/>
  <c r="F1429" i="3"/>
  <c r="G1429" i="3"/>
  <c r="H1429" i="3"/>
  <c r="I1429" i="3"/>
  <c r="J1429" i="3"/>
  <c r="B1430" i="3"/>
  <c r="K1430" i="3" s="1"/>
  <c r="C1430" i="3"/>
  <c r="D1430" i="3"/>
  <c r="E1430" i="3"/>
  <c r="F1430" i="3"/>
  <c r="G1430" i="3"/>
  <c r="H1430" i="3"/>
  <c r="I1430" i="3"/>
  <c r="J1430" i="3"/>
  <c r="B1431" i="3"/>
  <c r="K1431" i="3" s="1"/>
  <c r="C1431" i="3"/>
  <c r="D1431" i="3"/>
  <c r="E1431" i="3"/>
  <c r="F1431" i="3"/>
  <c r="G1431" i="3"/>
  <c r="H1431" i="3"/>
  <c r="I1431" i="3"/>
  <c r="J1431" i="3"/>
  <c r="B1432" i="3"/>
  <c r="K1432" i="3" s="1"/>
  <c r="C1432" i="3"/>
  <c r="D1432" i="3"/>
  <c r="E1432" i="3"/>
  <c r="F1432" i="3"/>
  <c r="G1432" i="3"/>
  <c r="H1432" i="3"/>
  <c r="I1432" i="3"/>
  <c r="J1432" i="3"/>
  <c r="B1433" i="3"/>
  <c r="K1433" i="3" s="1"/>
  <c r="C1433" i="3"/>
  <c r="D1433" i="3"/>
  <c r="E1433" i="3"/>
  <c r="F1433" i="3"/>
  <c r="G1433" i="3"/>
  <c r="H1433" i="3"/>
  <c r="I1433" i="3"/>
  <c r="J1433" i="3"/>
  <c r="B1434" i="3"/>
  <c r="K1434" i="3" s="1"/>
  <c r="C1434" i="3"/>
  <c r="D1434" i="3"/>
  <c r="E1434" i="3"/>
  <c r="F1434" i="3"/>
  <c r="G1434" i="3"/>
  <c r="H1434" i="3"/>
  <c r="I1434" i="3"/>
  <c r="J1434" i="3"/>
  <c r="B1435" i="3"/>
  <c r="K1435" i="3" s="1"/>
  <c r="C1435" i="3"/>
  <c r="D1435" i="3"/>
  <c r="E1435" i="3"/>
  <c r="F1435" i="3"/>
  <c r="G1435" i="3"/>
  <c r="H1435" i="3"/>
  <c r="I1435" i="3"/>
  <c r="J1435" i="3"/>
  <c r="B1436" i="3"/>
  <c r="K1436" i="3" s="1"/>
  <c r="C1436" i="3"/>
  <c r="D1436" i="3"/>
  <c r="E1436" i="3"/>
  <c r="F1436" i="3"/>
  <c r="G1436" i="3"/>
  <c r="H1436" i="3"/>
  <c r="I1436" i="3"/>
  <c r="J1436" i="3"/>
  <c r="B1437" i="3"/>
  <c r="K1437" i="3" s="1"/>
  <c r="C1437" i="3"/>
  <c r="D1437" i="3"/>
  <c r="E1437" i="3"/>
  <c r="F1437" i="3"/>
  <c r="G1437" i="3"/>
  <c r="H1437" i="3"/>
  <c r="I1437" i="3"/>
  <c r="J1437" i="3"/>
  <c r="B1438" i="3"/>
  <c r="K1438" i="3" s="1"/>
  <c r="C1438" i="3"/>
  <c r="D1438" i="3"/>
  <c r="E1438" i="3"/>
  <c r="F1438" i="3"/>
  <c r="G1438" i="3"/>
  <c r="H1438" i="3"/>
  <c r="I1438" i="3"/>
  <c r="J1438" i="3"/>
  <c r="B1439" i="3"/>
  <c r="K1439" i="3" s="1"/>
  <c r="C1439" i="3"/>
  <c r="D1439" i="3"/>
  <c r="E1439" i="3"/>
  <c r="F1439" i="3"/>
  <c r="G1439" i="3"/>
  <c r="H1439" i="3"/>
  <c r="I1439" i="3"/>
  <c r="J1439" i="3"/>
  <c r="B1440" i="3"/>
  <c r="K1440" i="3" s="1"/>
  <c r="C1440" i="3"/>
  <c r="D1440" i="3"/>
  <c r="E1440" i="3"/>
  <c r="F1440" i="3"/>
  <c r="G1440" i="3"/>
  <c r="H1440" i="3"/>
  <c r="I1440" i="3"/>
  <c r="J1440" i="3"/>
  <c r="B1441" i="3"/>
  <c r="K1441" i="3" s="1"/>
  <c r="C1441" i="3"/>
  <c r="D1441" i="3"/>
  <c r="E1441" i="3"/>
  <c r="F1441" i="3"/>
  <c r="G1441" i="3"/>
  <c r="H1441" i="3"/>
  <c r="I1441" i="3"/>
  <c r="J1441" i="3"/>
  <c r="B1442" i="3"/>
  <c r="K1442" i="3" s="1"/>
  <c r="C1442" i="3"/>
  <c r="D1442" i="3"/>
  <c r="E1442" i="3"/>
  <c r="F1442" i="3"/>
  <c r="G1442" i="3"/>
  <c r="H1442" i="3"/>
  <c r="I1442" i="3"/>
  <c r="J1442" i="3"/>
  <c r="B1443" i="3"/>
  <c r="K1443" i="3" s="1"/>
  <c r="C1443" i="3"/>
  <c r="D1443" i="3"/>
  <c r="E1443" i="3"/>
  <c r="F1443" i="3"/>
  <c r="G1443" i="3"/>
  <c r="H1443" i="3"/>
  <c r="I1443" i="3"/>
  <c r="J1443" i="3"/>
  <c r="B1444" i="3"/>
  <c r="K1444" i="3" s="1"/>
  <c r="C1444" i="3"/>
  <c r="D1444" i="3"/>
  <c r="E1444" i="3"/>
  <c r="F1444" i="3"/>
  <c r="G1444" i="3"/>
  <c r="H1444" i="3"/>
  <c r="I1444" i="3"/>
  <c r="J1444" i="3"/>
  <c r="B1445" i="3"/>
  <c r="K1445" i="3" s="1"/>
  <c r="C1445" i="3"/>
  <c r="D1445" i="3"/>
  <c r="E1445" i="3"/>
  <c r="F1445" i="3"/>
  <c r="G1445" i="3"/>
  <c r="H1445" i="3"/>
  <c r="I1445" i="3"/>
  <c r="J1445" i="3"/>
  <c r="B1446" i="3"/>
  <c r="K1446" i="3" s="1"/>
  <c r="C1446" i="3"/>
  <c r="D1446" i="3"/>
  <c r="E1446" i="3"/>
  <c r="F1446" i="3"/>
  <c r="G1446" i="3"/>
  <c r="H1446" i="3"/>
  <c r="I1446" i="3"/>
  <c r="J1446" i="3"/>
  <c r="B1447" i="3"/>
  <c r="K1447" i="3" s="1"/>
  <c r="C1447" i="3"/>
  <c r="D1447" i="3"/>
  <c r="E1447" i="3"/>
  <c r="F1447" i="3"/>
  <c r="G1447" i="3"/>
  <c r="H1447" i="3"/>
  <c r="I1447" i="3"/>
  <c r="J1447" i="3"/>
  <c r="B1448" i="3"/>
  <c r="K1448" i="3" s="1"/>
  <c r="C1448" i="3"/>
  <c r="D1448" i="3"/>
  <c r="E1448" i="3"/>
  <c r="F1448" i="3"/>
  <c r="G1448" i="3"/>
  <c r="H1448" i="3"/>
  <c r="I1448" i="3"/>
  <c r="J1448" i="3"/>
  <c r="B1449" i="3"/>
  <c r="K1449" i="3" s="1"/>
  <c r="C1449" i="3"/>
  <c r="D1449" i="3"/>
  <c r="E1449" i="3"/>
  <c r="F1449" i="3"/>
  <c r="G1449" i="3"/>
  <c r="H1449" i="3"/>
  <c r="I1449" i="3"/>
  <c r="J1449" i="3"/>
  <c r="B1450" i="3"/>
  <c r="K1450" i="3" s="1"/>
  <c r="C1450" i="3"/>
  <c r="D1450" i="3"/>
  <c r="E1450" i="3"/>
  <c r="F1450" i="3"/>
  <c r="G1450" i="3"/>
  <c r="H1450" i="3"/>
  <c r="I1450" i="3"/>
  <c r="J1450" i="3"/>
  <c r="B1451" i="3"/>
  <c r="K1451" i="3" s="1"/>
  <c r="C1451" i="3"/>
  <c r="D1451" i="3"/>
  <c r="E1451" i="3"/>
  <c r="F1451" i="3"/>
  <c r="G1451" i="3"/>
  <c r="H1451" i="3"/>
  <c r="I1451" i="3"/>
  <c r="J1451" i="3"/>
  <c r="B1452" i="3"/>
  <c r="K1452" i="3" s="1"/>
  <c r="C1452" i="3"/>
  <c r="D1452" i="3"/>
  <c r="E1452" i="3"/>
  <c r="F1452" i="3"/>
  <c r="G1452" i="3"/>
  <c r="H1452" i="3"/>
  <c r="I1452" i="3"/>
  <c r="J1452" i="3"/>
  <c r="B1453" i="3"/>
  <c r="K1453" i="3" s="1"/>
  <c r="C1453" i="3"/>
  <c r="D1453" i="3"/>
  <c r="E1453" i="3"/>
  <c r="F1453" i="3"/>
  <c r="G1453" i="3"/>
  <c r="H1453" i="3"/>
  <c r="I1453" i="3"/>
  <c r="J1453" i="3"/>
  <c r="B1454" i="3"/>
  <c r="K1454" i="3" s="1"/>
  <c r="C1454" i="3"/>
  <c r="D1454" i="3"/>
  <c r="E1454" i="3"/>
  <c r="F1454" i="3"/>
  <c r="G1454" i="3"/>
  <c r="H1454" i="3"/>
  <c r="I1454" i="3"/>
  <c r="J1454" i="3"/>
  <c r="B1455" i="3"/>
  <c r="K1455" i="3" s="1"/>
  <c r="C1455" i="3"/>
  <c r="D1455" i="3"/>
  <c r="E1455" i="3"/>
  <c r="F1455" i="3"/>
  <c r="G1455" i="3"/>
  <c r="H1455" i="3"/>
  <c r="I1455" i="3"/>
  <c r="J1455" i="3"/>
  <c r="B1456" i="3"/>
  <c r="K1456" i="3" s="1"/>
  <c r="C1456" i="3"/>
  <c r="D1456" i="3"/>
  <c r="E1456" i="3"/>
  <c r="F1456" i="3"/>
  <c r="G1456" i="3"/>
  <c r="H1456" i="3"/>
  <c r="I1456" i="3"/>
  <c r="J1456" i="3"/>
  <c r="B1457" i="3"/>
  <c r="K1457" i="3" s="1"/>
  <c r="C1457" i="3"/>
  <c r="D1457" i="3"/>
  <c r="E1457" i="3"/>
  <c r="F1457" i="3"/>
  <c r="G1457" i="3"/>
  <c r="H1457" i="3"/>
  <c r="I1457" i="3"/>
  <c r="J1457" i="3"/>
  <c r="B1458" i="3"/>
  <c r="K1458" i="3" s="1"/>
  <c r="C1458" i="3"/>
  <c r="D1458" i="3"/>
  <c r="E1458" i="3"/>
  <c r="F1458" i="3"/>
  <c r="G1458" i="3"/>
  <c r="H1458" i="3"/>
  <c r="I1458" i="3"/>
  <c r="J1458" i="3"/>
  <c r="B1459" i="3"/>
  <c r="K1459" i="3" s="1"/>
  <c r="C1459" i="3"/>
  <c r="D1459" i="3"/>
  <c r="E1459" i="3"/>
  <c r="F1459" i="3"/>
  <c r="G1459" i="3"/>
  <c r="H1459" i="3"/>
  <c r="I1459" i="3"/>
  <c r="J1459" i="3"/>
  <c r="B1460" i="3"/>
  <c r="K1460" i="3" s="1"/>
  <c r="C1460" i="3"/>
  <c r="D1460" i="3"/>
  <c r="E1460" i="3"/>
  <c r="F1460" i="3"/>
  <c r="G1460" i="3"/>
  <c r="H1460" i="3"/>
  <c r="I1460" i="3"/>
  <c r="J1460" i="3"/>
  <c r="B1461" i="3"/>
  <c r="K1461" i="3" s="1"/>
  <c r="C1461" i="3"/>
  <c r="D1461" i="3"/>
  <c r="E1461" i="3"/>
  <c r="F1461" i="3"/>
  <c r="G1461" i="3"/>
  <c r="H1461" i="3"/>
  <c r="I1461" i="3"/>
  <c r="J1461" i="3"/>
  <c r="B1462" i="3"/>
  <c r="K1462" i="3" s="1"/>
  <c r="C1462" i="3"/>
  <c r="D1462" i="3"/>
  <c r="E1462" i="3"/>
  <c r="F1462" i="3"/>
  <c r="G1462" i="3"/>
  <c r="H1462" i="3"/>
  <c r="I1462" i="3"/>
  <c r="J1462" i="3"/>
  <c r="B1463" i="3"/>
  <c r="K1463" i="3" s="1"/>
  <c r="C1463" i="3"/>
  <c r="D1463" i="3"/>
  <c r="E1463" i="3"/>
  <c r="F1463" i="3"/>
  <c r="G1463" i="3"/>
  <c r="H1463" i="3"/>
  <c r="I1463" i="3"/>
  <c r="J1463" i="3"/>
  <c r="B1464" i="3"/>
  <c r="K1464" i="3" s="1"/>
  <c r="C1464" i="3"/>
  <c r="D1464" i="3"/>
  <c r="E1464" i="3"/>
  <c r="F1464" i="3"/>
  <c r="G1464" i="3"/>
  <c r="H1464" i="3"/>
  <c r="I1464" i="3"/>
  <c r="J1464" i="3"/>
  <c r="B1465" i="3"/>
  <c r="K1465" i="3" s="1"/>
  <c r="C1465" i="3"/>
  <c r="D1465" i="3"/>
  <c r="E1465" i="3"/>
  <c r="F1465" i="3"/>
  <c r="G1465" i="3"/>
  <c r="H1465" i="3"/>
  <c r="I1465" i="3"/>
  <c r="J1465" i="3"/>
  <c r="B1466" i="3"/>
  <c r="K1466" i="3" s="1"/>
  <c r="C1466" i="3"/>
  <c r="D1466" i="3"/>
  <c r="E1466" i="3"/>
  <c r="F1466" i="3"/>
  <c r="G1466" i="3"/>
  <c r="H1466" i="3"/>
  <c r="I1466" i="3"/>
  <c r="J1466" i="3"/>
  <c r="B1467" i="3"/>
  <c r="K1467" i="3" s="1"/>
  <c r="C1467" i="3"/>
  <c r="D1467" i="3"/>
  <c r="E1467" i="3"/>
  <c r="F1467" i="3"/>
  <c r="G1467" i="3"/>
  <c r="H1467" i="3"/>
  <c r="I1467" i="3"/>
  <c r="J1467" i="3"/>
  <c r="B1468" i="3"/>
  <c r="K1468" i="3" s="1"/>
  <c r="C1468" i="3"/>
  <c r="D1468" i="3"/>
  <c r="E1468" i="3"/>
  <c r="F1468" i="3"/>
  <c r="G1468" i="3"/>
  <c r="H1468" i="3"/>
  <c r="I1468" i="3"/>
  <c r="J1468" i="3"/>
  <c r="B1469" i="3"/>
  <c r="K1469" i="3" s="1"/>
  <c r="C1469" i="3"/>
  <c r="D1469" i="3"/>
  <c r="E1469" i="3"/>
  <c r="F1469" i="3"/>
  <c r="G1469" i="3"/>
  <c r="H1469" i="3"/>
  <c r="I1469" i="3"/>
  <c r="J1469" i="3"/>
  <c r="B1470" i="3"/>
  <c r="K1470" i="3" s="1"/>
  <c r="C1470" i="3"/>
  <c r="D1470" i="3"/>
  <c r="E1470" i="3"/>
  <c r="F1470" i="3"/>
  <c r="G1470" i="3"/>
  <c r="H1470" i="3"/>
  <c r="I1470" i="3"/>
  <c r="J1470" i="3"/>
  <c r="B1471" i="3"/>
  <c r="K1471" i="3" s="1"/>
  <c r="C1471" i="3"/>
  <c r="D1471" i="3"/>
  <c r="E1471" i="3"/>
  <c r="F1471" i="3"/>
  <c r="G1471" i="3"/>
  <c r="H1471" i="3"/>
  <c r="I1471" i="3"/>
  <c r="J1471" i="3"/>
  <c r="B1472" i="3"/>
  <c r="K1472" i="3" s="1"/>
  <c r="C1472" i="3"/>
  <c r="D1472" i="3"/>
  <c r="E1472" i="3"/>
  <c r="F1472" i="3"/>
  <c r="G1472" i="3"/>
  <c r="H1472" i="3"/>
  <c r="I1472" i="3"/>
  <c r="J1472" i="3"/>
  <c r="B1473" i="3"/>
  <c r="K1473" i="3" s="1"/>
  <c r="C1473" i="3"/>
  <c r="D1473" i="3"/>
  <c r="E1473" i="3"/>
  <c r="F1473" i="3"/>
  <c r="G1473" i="3"/>
  <c r="H1473" i="3"/>
  <c r="I1473" i="3"/>
  <c r="J1473" i="3"/>
  <c r="B1474" i="3"/>
  <c r="K1474" i="3" s="1"/>
  <c r="C1474" i="3"/>
  <c r="D1474" i="3"/>
  <c r="E1474" i="3"/>
  <c r="F1474" i="3"/>
  <c r="G1474" i="3"/>
  <c r="H1474" i="3"/>
  <c r="I1474" i="3"/>
  <c r="J1474" i="3"/>
  <c r="B1475" i="3"/>
  <c r="K1475" i="3" s="1"/>
  <c r="C1475" i="3"/>
  <c r="D1475" i="3"/>
  <c r="E1475" i="3"/>
  <c r="F1475" i="3"/>
  <c r="G1475" i="3"/>
  <c r="H1475" i="3"/>
  <c r="I1475" i="3"/>
  <c r="J1475" i="3"/>
  <c r="B1476" i="3"/>
  <c r="K1476" i="3" s="1"/>
  <c r="C1476" i="3"/>
  <c r="D1476" i="3"/>
  <c r="E1476" i="3"/>
  <c r="F1476" i="3"/>
  <c r="G1476" i="3"/>
  <c r="H1476" i="3"/>
  <c r="I1476" i="3"/>
  <c r="J1476" i="3"/>
  <c r="B1477" i="3"/>
  <c r="K1477" i="3" s="1"/>
  <c r="C1477" i="3"/>
  <c r="D1477" i="3"/>
  <c r="E1477" i="3"/>
  <c r="F1477" i="3"/>
  <c r="G1477" i="3"/>
  <c r="H1477" i="3"/>
  <c r="I1477" i="3"/>
  <c r="J1477" i="3"/>
  <c r="B1478" i="3"/>
  <c r="K1478" i="3" s="1"/>
  <c r="C1478" i="3"/>
  <c r="D1478" i="3"/>
  <c r="E1478" i="3"/>
  <c r="F1478" i="3"/>
  <c r="G1478" i="3"/>
  <c r="H1478" i="3"/>
  <c r="I1478" i="3"/>
  <c r="J1478" i="3"/>
  <c r="B1479" i="3"/>
  <c r="K1479" i="3" s="1"/>
  <c r="C1479" i="3"/>
  <c r="D1479" i="3"/>
  <c r="E1479" i="3"/>
  <c r="F1479" i="3"/>
  <c r="G1479" i="3"/>
  <c r="H1479" i="3"/>
  <c r="I1479" i="3"/>
  <c r="J1479" i="3"/>
  <c r="B1480" i="3"/>
  <c r="K1480" i="3" s="1"/>
  <c r="C1480" i="3"/>
  <c r="D1480" i="3"/>
  <c r="E1480" i="3"/>
  <c r="F1480" i="3"/>
  <c r="G1480" i="3"/>
  <c r="H1480" i="3"/>
  <c r="I1480" i="3"/>
  <c r="J1480" i="3"/>
  <c r="B1481" i="3"/>
  <c r="K1481" i="3" s="1"/>
  <c r="C1481" i="3"/>
  <c r="D1481" i="3"/>
  <c r="E1481" i="3"/>
  <c r="F1481" i="3"/>
  <c r="G1481" i="3"/>
  <c r="H1481" i="3"/>
  <c r="I1481" i="3"/>
  <c r="J1481" i="3"/>
  <c r="B1482" i="3"/>
  <c r="K1482" i="3" s="1"/>
  <c r="C1482" i="3"/>
  <c r="D1482" i="3"/>
  <c r="E1482" i="3"/>
  <c r="F1482" i="3"/>
  <c r="G1482" i="3"/>
  <c r="H1482" i="3"/>
  <c r="I1482" i="3"/>
  <c r="J1482" i="3"/>
  <c r="B1483" i="3"/>
  <c r="K1483" i="3" s="1"/>
  <c r="C1483" i="3"/>
  <c r="D1483" i="3"/>
  <c r="E1483" i="3"/>
  <c r="F1483" i="3"/>
  <c r="G1483" i="3"/>
  <c r="H1483" i="3"/>
  <c r="I1483" i="3"/>
  <c r="J1483" i="3"/>
  <c r="B1484" i="3"/>
  <c r="K1484" i="3" s="1"/>
  <c r="C1484" i="3"/>
  <c r="D1484" i="3"/>
  <c r="E1484" i="3"/>
  <c r="F1484" i="3"/>
  <c r="G1484" i="3"/>
  <c r="H1484" i="3"/>
  <c r="I1484" i="3"/>
  <c r="J1484" i="3"/>
  <c r="B1485" i="3"/>
  <c r="K1485" i="3" s="1"/>
  <c r="C1485" i="3"/>
  <c r="D1485" i="3"/>
  <c r="E1485" i="3"/>
  <c r="F1485" i="3"/>
  <c r="G1485" i="3"/>
  <c r="H1485" i="3"/>
  <c r="I1485" i="3"/>
  <c r="J1485" i="3"/>
  <c r="B1486" i="3"/>
  <c r="K1486" i="3" s="1"/>
  <c r="C1486" i="3"/>
  <c r="D1486" i="3"/>
  <c r="E1486" i="3"/>
  <c r="F1486" i="3"/>
  <c r="G1486" i="3"/>
  <c r="H1486" i="3"/>
  <c r="I1486" i="3"/>
  <c r="J1486" i="3"/>
  <c r="B1487" i="3"/>
  <c r="K1487" i="3" s="1"/>
  <c r="C1487" i="3"/>
  <c r="D1487" i="3"/>
  <c r="E1487" i="3"/>
  <c r="F1487" i="3"/>
  <c r="G1487" i="3"/>
  <c r="H1487" i="3"/>
  <c r="I1487" i="3"/>
  <c r="J1487" i="3"/>
  <c r="B1488" i="3"/>
  <c r="K1488" i="3" s="1"/>
  <c r="C1488" i="3"/>
  <c r="D1488" i="3"/>
  <c r="E1488" i="3"/>
  <c r="F1488" i="3"/>
  <c r="G1488" i="3"/>
  <c r="H1488" i="3"/>
  <c r="I1488" i="3"/>
  <c r="J1488" i="3"/>
  <c r="B1489" i="3"/>
  <c r="K1489" i="3" s="1"/>
  <c r="C1489" i="3"/>
  <c r="D1489" i="3"/>
  <c r="E1489" i="3"/>
  <c r="F1489" i="3"/>
  <c r="G1489" i="3"/>
  <c r="H1489" i="3"/>
  <c r="I1489" i="3"/>
  <c r="J1489" i="3"/>
  <c r="B1490" i="3"/>
  <c r="K1490" i="3" s="1"/>
  <c r="C1490" i="3"/>
  <c r="D1490" i="3"/>
  <c r="E1490" i="3"/>
  <c r="F1490" i="3"/>
  <c r="G1490" i="3"/>
  <c r="H1490" i="3"/>
  <c r="I1490" i="3"/>
  <c r="J1490" i="3"/>
  <c r="B1491" i="3"/>
  <c r="K1491" i="3" s="1"/>
  <c r="C1491" i="3"/>
  <c r="D1491" i="3"/>
  <c r="E1491" i="3"/>
  <c r="F1491" i="3"/>
  <c r="G1491" i="3"/>
  <c r="H1491" i="3"/>
  <c r="I1491" i="3"/>
  <c r="J1491" i="3"/>
  <c r="B1492" i="3"/>
  <c r="K1492" i="3" s="1"/>
  <c r="C1492" i="3"/>
  <c r="D1492" i="3"/>
  <c r="E1492" i="3"/>
  <c r="F1492" i="3"/>
  <c r="G1492" i="3"/>
  <c r="H1492" i="3"/>
  <c r="I1492" i="3"/>
  <c r="J1492" i="3"/>
  <c r="B1493" i="3"/>
  <c r="K1493" i="3" s="1"/>
  <c r="C1493" i="3"/>
  <c r="D1493" i="3"/>
  <c r="E1493" i="3"/>
  <c r="F1493" i="3"/>
  <c r="G1493" i="3"/>
  <c r="H1493" i="3"/>
  <c r="I1493" i="3"/>
  <c r="J1493" i="3"/>
  <c r="B1494" i="3"/>
  <c r="K1494" i="3" s="1"/>
  <c r="C1494" i="3"/>
  <c r="D1494" i="3"/>
  <c r="E1494" i="3"/>
  <c r="F1494" i="3"/>
  <c r="G1494" i="3"/>
  <c r="H1494" i="3"/>
  <c r="I1494" i="3"/>
  <c r="J1494" i="3"/>
  <c r="B1495" i="3"/>
  <c r="K1495" i="3" s="1"/>
  <c r="C1495" i="3"/>
  <c r="D1495" i="3"/>
  <c r="E1495" i="3"/>
  <c r="F1495" i="3"/>
  <c r="G1495" i="3"/>
  <c r="H1495" i="3"/>
  <c r="I1495" i="3"/>
  <c r="J1495" i="3"/>
  <c r="B1496" i="3"/>
  <c r="K1496" i="3" s="1"/>
  <c r="C1496" i="3"/>
  <c r="D1496" i="3"/>
  <c r="E1496" i="3"/>
  <c r="F1496" i="3"/>
  <c r="G1496" i="3"/>
  <c r="H1496" i="3"/>
  <c r="I1496" i="3"/>
  <c r="J1496" i="3"/>
  <c r="B1497" i="3"/>
  <c r="K1497" i="3" s="1"/>
  <c r="C1497" i="3"/>
  <c r="D1497" i="3"/>
  <c r="E1497" i="3"/>
  <c r="F1497" i="3"/>
  <c r="G1497" i="3"/>
  <c r="H1497" i="3"/>
  <c r="I1497" i="3"/>
  <c r="J1497" i="3"/>
  <c r="B1498" i="3"/>
  <c r="K1498" i="3" s="1"/>
  <c r="C1498" i="3"/>
  <c r="D1498" i="3"/>
  <c r="E1498" i="3"/>
  <c r="F1498" i="3"/>
  <c r="G1498" i="3"/>
  <c r="H1498" i="3"/>
  <c r="I1498" i="3"/>
  <c r="J1498" i="3"/>
  <c r="B1499" i="3"/>
  <c r="K1499" i="3" s="1"/>
  <c r="C1499" i="3"/>
  <c r="D1499" i="3"/>
  <c r="E1499" i="3"/>
  <c r="F1499" i="3"/>
  <c r="G1499" i="3"/>
  <c r="H1499" i="3"/>
  <c r="I1499" i="3"/>
  <c r="J1499" i="3"/>
  <c r="B1500" i="3"/>
  <c r="K1500" i="3" s="1"/>
  <c r="C1500" i="3"/>
  <c r="D1500" i="3"/>
  <c r="E1500" i="3"/>
  <c r="F1500" i="3"/>
  <c r="G1500" i="3"/>
  <c r="H1500" i="3"/>
  <c r="I1500" i="3"/>
  <c r="J1500" i="3"/>
  <c r="B1501" i="3"/>
  <c r="K1501" i="3" s="1"/>
  <c r="C1501" i="3"/>
  <c r="D1501" i="3"/>
  <c r="E1501" i="3"/>
  <c r="F1501" i="3"/>
  <c r="G1501" i="3"/>
  <c r="H1501" i="3"/>
  <c r="I1501" i="3"/>
  <c r="J1501" i="3"/>
  <c r="B1502" i="3"/>
  <c r="K1502" i="3" s="1"/>
  <c r="C1502" i="3"/>
  <c r="D1502" i="3"/>
  <c r="E1502" i="3"/>
  <c r="F1502" i="3"/>
  <c r="G1502" i="3"/>
  <c r="H1502" i="3"/>
  <c r="I1502" i="3"/>
  <c r="J1502" i="3"/>
  <c r="B1503" i="3"/>
  <c r="K1503" i="3" s="1"/>
  <c r="C1503" i="3"/>
  <c r="D1503" i="3"/>
  <c r="E1503" i="3"/>
  <c r="F1503" i="3"/>
  <c r="G1503" i="3"/>
  <c r="H1503" i="3"/>
  <c r="I1503" i="3"/>
  <c r="J1503" i="3"/>
  <c r="B1504" i="3"/>
  <c r="K1504" i="3" s="1"/>
  <c r="C1504" i="3"/>
  <c r="D1504" i="3"/>
  <c r="E1504" i="3"/>
  <c r="F1504" i="3"/>
  <c r="G1504" i="3"/>
  <c r="H1504" i="3"/>
  <c r="I1504" i="3"/>
  <c r="J1504" i="3"/>
  <c r="B1505" i="3"/>
  <c r="K1505" i="3" s="1"/>
  <c r="C1505" i="3"/>
  <c r="D1505" i="3"/>
  <c r="E1505" i="3"/>
  <c r="F1505" i="3"/>
  <c r="G1505" i="3"/>
  <c r="H1505" i="3"/>
  <c r="I1505" i="3"/>
  <c r="J1505" i="3"/>
  <c r="B1506" i="3"/>
  <c r="K1506" i="3" s="1"/>
  <c r="C1506" i="3"/>
  <c r="D1506" i="3"/>
  <c r="E1506" i="3"/>
  <c r="F1506" i="3"/>
  <c r="G1506" i="3"/>
  <c r="H1506" i="3"/>
  <c r="I1506" i="3"/>
  <c r="J1506" i="3"/>
  <c r="B1507" i="3"/>
  <c r="K1507" i="3" s="1"/>
  <c r="C1507" i="3"/>
  <c r="D1507" i="3"/>
  <c r="E1507" i="3"/>
  <c r="F1507" i="3"/>
  <c r="G1507" i="3"/>
  <c r="H1507" i="3"/>
  <c r="I1507" i="3"/>
  <c r="J1507" i="3"/>
  <c r="B1508" i="3"/>
  <c r="K1508" i="3" s="1"/>
  <c r="C1508" i="3"/>
  <c r="D1508" i="3"/>
  <c r="E1508" i="3"/>
  <c r="F1508" i="3"/>
  <c r="G1508" i="3"/>
  <c r="H1508" i="3"/>
  <c r="I1508" i="3"/>
  <c r="J1508" i="3"/>
  <c r="B1509" i="3"/>
  <c r="K1509" i="3" s="1"/>
  <c r="C1509" i="3"/>
  <c r="D1509" i="3"/>
  <c r="E1509" i="3"/>
  <c r="F1509" i="3"/>
  <c r="G1509" i="3"/>
  <c r="H1509" i="3"/>
  <c r="I1509" i="3"/>
  <c r="J1509" i="3"/>
  <c r="B1510" i="3"/>
  <c r="K1510" i="3" s="1"/>
  <c r="C1510" i="3"/>
  <c r="D1510" i="3"/>
  <c r="E1510" i="3"/>
  <c r="F1510" i="3"/>
  <c r="G1510" i="3"/>
  <c r="H1510" i="3"/>
  <c r="I1510" i="3"/>
  <c r="J1510" i="3"/>
  <c r="B1511" i="3"/>
  <c r="K1511" i="3" s="1"/>
  <c r="C1511" i="3"/>
  <c r="D1511" i="3"/>
  <c r="E1511" i="3"/>
  <c r="F1511" i="3"/>
  <c r="G1511" i="3"/>
  <c r="H1511" i="3"/>
  <c r="I1511" i="3"/>
  <c r="J1511" i="3"/>
  <c r="B1512" i="3"/>
  <c r="K1512" i="3" s="1"/>
  <c r="C1512" i="3"/>
  <c r="D1512" i="3"/>
  <c r="E1512" i="3"/>
  <c r="F1512" i="3"/>
  <c r="G1512" i="3"/>
  <c r="H1512" i="3"/>
  <c r="I1512" i="3"/>
  <c r="J1512" i="3"/>
  <c r="B1513" i="3"/>
  <c r="K1513" i="3" s="1"/>
  <c r="C1513" i="3"/>
  <c r="D1513" i="3"/>
  <c r="E1513" i="3"/>
  <c r="F1513" i="3"/>
  <c r="G1513" i="3"/>
  <c r="H1513" i="3"/>
  <c r="I1513" i="3"/>
  <c r="J1513" i="3"/>
  <c r="B1514" i="3"/>
  <c r="K1514" i="3" s="1"/>
  <c r="C1514" i="3"/>
  <c r="D1514" i="3"/>
  <c r="E1514" i="3"/>
  <c r="F1514" i="3"/>
  <c r="G1514" i="3"/>
  <c r="H1514" i="3"/>
  <c r="I1514" i="3"/>
  <c r="J1514" i="3"/>
  <c r="B1515" i="3"/>
  <c r="K1515" i="3" s="1"/>
  <c r="C1515" i="3"/>
  <c r="D1515" i="3"/>
  <c r="E1515" i="3"/>
  <c r="F1515" i="3"/>
  <c r="G1515" i="3"/>
  <c r="H1515" i="3"/>
  <c r="I1515" i="3"/>
  <c r="J1515" i="3"/>
  <c r="B1516" i="3"/>
  <c r="K1516" i="3" s="1"/>
  <c r="C1516" i="3"/>
  <c r="D1516" i="3"/>
  <c r="E1516" i="3"/>
  <c r="F1516" i="3"/>
  <c r="G1516" i="3"/>
  <c r="H1516" i="3"/>
  <c r="I1516" i="3"/>
  <c r="J1516" i="3"/>
  <c r="B1517" i="3"/>
  <c r="K1517" i="3" s="1"/>
  <c r="C1517" i="3"/>
  <c r="D1517" i="3"/>
  <c r="E1517" i="3"/>
  <c r="F1517" i="3"/>
  <c r="G1517" i="3"/>
  <c r="H1517" i="3"/>
  <c r="I1517" i="3"/>
  <c r="J1517" i="3"/>
  <c r="B1518" i="3"/>
  <c r="K1518" i="3" s="1"/>
  <c r="C1518" i="3"/>
  <c r="D1518" i="3"/>
  <c r="E1518" i="3"/>
  <c r="F1518" i="3"/>
  <c r="G1518" i="3"/>
  <c r="H1518" i="3"/>
  <c r="I1518" i="3"/>
  <c r="J1518" i="3"/>
  <c r="B1519" i="3"/>
  <c r="K1519" i="3" s="1"/>
  <c r="C1519" i="3"/>
  <c r="D1519" i="3"/>
  <c r="E1519" i="3"/>
  <c r="F1519" i="3"/>
  <c r="G1519" i="3"/>
  <c r="H1519" i="3"/>
  <c r="I1519" i="3"/>
  <c r="J1519" i="3"/>
  <c r="B1520" i="3"/>
  <c r="K1520" i="3" s="1"/>
  <c r="C1520" i="3"/>
  <c r="D1520" i="3"/>
  <c r="E1520" i="3"/>
  <c r="F1520" i="3"/>
  <c r="G1520" i="3"/>
  <c r="H1520" i="3"/>
  <c r="I1520" i="3"/>
  <c r="J1520" i="3"/>
  <c r="B1521" i="3"/>
  <c r="K1521" i="3" s="1"/>
  <c r="C1521" i="3"/>
  <c r="D1521" i="3"/>
  <c r="E1521" i="3"/>
  <c r="F1521" i="3"/>
  <c r="G1521" i="3"/>
  <c r="H1521" i="3"/>
  <c r="I1521" i="3"/>
  <c r="J1521" i="3"/>
  <c r="B1522" i="3"/>
  <c r="K1522" i="3" s="1"/>
  <c r="C1522" i="3"/>
  <c r="D1522" i="3"/>
  <c r="E1522" i="3"/>
  <c r="F1522" i="3"/>
  <c r="G1522" i="3"/>
  <c r="H1522" i="3"/>
  <c r="I1522" i="3"/>
  <c r="J1522" i="3"/>
  <c r="B1523" i="3"/>
  <c r="K1523" i="3" s="1"/>
  <c r="C1523" i="3"/>
  <c r="D1523" i="3"/>
  <c r="E1523" i="3"/>
  <c r="F1523" i="3"/>
  <c r="G1523" i="3"/>
  <c r="H1523" i="3"/>
  <c r="I1523" i="3"/>
  <c r="J1523" i="3"/>
  <c r="B1524" i="3"/>
  <c r="K1524" i="3" s="1"/>
  <c r="C1524" i="3"/>
  <c r="D1524" i="3"/>
  <c r="E1524" i="3"/>
  <c r="F1524" i="3"/>
  <c r="G1524" i="3"/>
  <c r="H1524" i="3"/>
  <c r="I1524" i="3"/>
  <c r="J1524" i="3"/>
  <c r="B1525" i="3"/>
  <c r="K1525" i="3" s="1"/>
  <c r="C1525" i="3"/>
  <c r="D1525" i="3"/>
  <c r="E1525" i="3"/>
  <c r="F1525" i="3"/>
  <c r="G1525" i="3"/>
  <c r="H1525" i="3"/>
  <c r="I1525" i="3"/>
  <c r="J1525" i="3"/>
  <c r="B1526" i="3"/>
  <c r="K1526" i="3" s="1"/>
  <c r="C1526" i="3"/>
  <c r="D1526" i="3"/>
  <c r="E1526" i="3"/>
  <c r="F1526" i="3"/>
  <c r="G1526" i="3"/>
  <c r="H1526" i="3"/>
  <c r="I1526" i="3"/>
  <c r="J1526" i="3"/>
  <c r="B1527" i="3"/>
  <c r="K1527" i="3" s="1"/>
  <c r="C1527" i="3"/>
  <c r="D1527" i="3"/>
  <c r="E1527" i="3"/>
  <c r="F1527" i="3"/>
  <c r="G1527" i="3"/>
  <c r="H1527" i="3"/>
  <c r="I1527" i="3"/>
  <c r="J1527" i="3"/>
  <c r="B1528" i="3"/>
  <c r="K1528" i="3" s="1"/>
  <c r="C1528" i="3"/>
  <c r="D1528" i="3"/>
  <c r="E1528" i="3"/>
  <c r="F1528" i="3"/>
  <c r="G1528" i="3"/>
  <c r="H1528" i="3"/>
  <c r="I1528" i="3"/>
  <c r="J1528" i="3"/>
  <c r="B1529" i="3"/>
  <c r="K1529" i="3" s="1"/>
  <c r="C1529" i="3"/>
  <c r="D1529" i="3"/>
  <c r="E1529" i="3"/>
  <c r="F1529" i="3"/>
  <c r="G1529" i="3"/>
  <c r="H1529" i="3"/>
  <c r="I1529" i="3"/>
  <c r="J1529" i="3"/>
  <c r="B1530" i="3"/>
  <c r="K1530" i="3" s="1"/>
  <c r="C1530" i="3"/>
  <c r="D1530" i="3"/>
  <c r="E1530" i="3"/>
  <c r="F1530" i="3"/>
  <c r="G1530" i="3"/>
  <c r="H1530" i="3"/>
  <c r="I1530" i="3"/>
  <c r="J1530" i="3"/>
  <c r="B1531" i="3"/>
  <c r="K1531" i="3" s="1"/>
  <c r="C1531" i="3"/>
  <c r="D1531" i="3"/>
  <c r="E1531" i="3"/>
  <c r="F1531" i="3"/>
  <c r="G1531" i="3"/>
  <c r="H1531" i="3"/>
  <c r="I1531" i="3"/>
  <c r="J1531" i="3"/>
  <c r="B1532" i="3"/>
  <c r="K1532" i="3" s="1"/>
  <c r="C1532" i="3"/>
  <c r="D1532" i="3"/>
  <c r="E1532" i="3"/>
  <c r="F1532" i="3"/>
  <c r="G1532" i="3"/>
  <c r="H1532" i="3"/>
  <c r="I1532" i="3"/>
  <c r="J1532" i="3"/>
  <c r="B1533" i="3"/>
  <c r="C1533" i="3"/>
  <c r="D1533" i="3"/>
  <c r="E1533" i="3"/>
  <c r="F1533" i="3"/>
  <c r="G1533" i="3"/>
  <c r="H1533" i="3"/>
  <c r="I1533" i="3"/>
  <c r="J1533" i="3"/>
  <c r="K1533" i="3"/>
  <c r="B1534" i="3"/>
  <c r="K1534" i="3" s="1"/>
  <c r="C1534" i="3"/>
  <c r="D1534" i="3"/>
  <c r="E1534" i="3"/>
  <c r="F1534" i="3"/>
  <c r="G1534" i="3"/>
  <c r="H1534" i="3"/>
  <c r="I1534" i="3"/>
  <c r="J1534" i="3"/>
  <c r="B1535" i="3"/>
  <c r="K1535" i="3" s="1"/>
  <c r="C1535" i="3"/>
  <c r="D1535" i="3"/>
  <c r="E1535" i="3"/>
  <c r="F1535" i="3"/>
  <c r="G1535" i="3"/>
  <c r="H1535" i="3"/>
  <c r="I1535" i="3"/>
  <c r="J1535" i="3"/>
  <c r="B1536" i="3"/>
  <c r="K1536" i="3" s="1"/>
  <c r="C1536" i="3"/>
  <c r="D1536" i="3"/>
  <c r="E1536" i="3"/>
  <c r="F1536" i="3"/>
  <c r="G1536" i="3"/>
  <c r="H1536" i="3"/>
  <c r="I1536" i="3"/>
  <c r="J1536" i="3"/>
  <c r="B1537" i="3"/>
  <c r="K1537" i="3" s="1"/>
  <c r="C1537" i="3"/>
  <c r="D1537" i="3"/>
  <c r="E1537" i="3"/>
  <c r="F1537" i="3"/>
  <c r="G1537" i="3"/>
  <c r="H1537" i="3"/>
  <c r="I1537" i="3"/>
  <c r="J1537" i="3"/>
  <c r="B1538" i="3"/>
  <c r="K1538" i="3" s="1"/>
  <c r="C1538" i="3"/>
  <c r="D1538" i="3"/>
  <c r="E1538" i="3"/>
  <c r="F1538" i="3"/>
  <c r="G1538" i="3"/>
  <c r="H1538" i="3"/>
  <c r="I1538" i="3"/>
  <c r="J1538" i="3"/>
  <c r="B1539" i="3"/>
  <c r="K1539" i="3" s="1"/>
  <c r="C1539" i="3"/>
  <c r="D1539" i="3"/>
  <c r="E1539" i="3"/>
  <c r="F1539" i="3"/>
  <c r="G1539" i="3"/>
  <c r="H1539" i="3"/>
  <c r="I1539" i="3"/>
  <c r="J1539" i="3"/>
  <c r="B1540" i="3"/>
  <c r="K1540" i="3" s="1"/>
  <c r="C1540" i="3"/>
  <c r="D1540" i="3"/>
  <c r="E1540" i="3"/>
  <c r="F1540" i="3"/>
  <c r="G1540" i="3"/>
  <c r="H1540" i="3"/>
  <c r="I1540" i="3"/>
  <c r="J1540" i="3"/>
  <c r="B1541" i="3"/>
  <c r="K1541" i="3" s="1"/>
  <c r="C1541" i="3"/>
  <c r="D1541" i="3"/>
  <c r="E1541" i="3"/>
  <c r="F1541" i="3"/>
  <c r="G1541" i="3"/>
  <c r="H1541" i="3"/>
  <c r="I1541" i="3"/>
  <c r="J1541" i="3"/>
  <c r="B1542" i="3"/>
  <c r="K1542" i="3" s="1"/>
  <c r="C1542" i="3"/>
  <c r="D1542" i="3"/>
  <c r="E1542" i="3"/>
  <c r="F1542" i="3"/>
  <c r="G1542" i="3"/>
  <c r="H1542" i="3"/>
  <c r="I1542" i="3"/>
  <c r="J1542" i="3"/>
  <c r="B1543" i="3"/>
  <c r="K1543" i="3" s="1"/>
  <c r="C1543" i="3"/>
  <c r="D1543" i="3"/>
  <c r="E1543" i="3"/>
  <c r="F1543" i="3"/>
  <c r="G1543" i="3"/>
  <c r="H1543" i="3"/>
  <c r="I1543" i="3"/>
  <c r="J1543" i="3"/>
  <c r="B1544" i="3"/>
  <c r="K1544" i="3" s="1"/>
  <c r="C1544" i="3"/>
  <c r="D1544" i="3"/>
  <c r="E1544" i="3"/>
  <c r="F1544" i="3"/>
  <c r="G1544" i="3"/>
  <c r="H1544" i="3"/>
  <c r="I1544" i="3"/>
  <c r="J1544" i="3"/>
  <c r="B1545" i="3"/>
  <c r="K1545" i="3" s="1"/>
  <c r="C1545" i="3"/>
  <c r="D1545" i="3"/>
  <c r="E1545" i="3"/>
  <c r="F1545" i="3"/>
  <c r="G1545" i="3"/>
  <c r="H1545" i="3"/>
  <c r="I1545" i="3"/>
  <c r="J1545" i="3"/>
  <c r="B1546" i="3"/>
  <c r="K1546" i="3" s="1"/>
  <c r="C1546" i="3"/>
  <c r="D1546" i="3"/>
  <c r="E1546" i="3"/>
  <c r="F1546" i="3"/>
  <c r="G1546" i="3"/>
  <c r="H1546" i="3"/>
  <c r="I1546" i="3"/>
  <c r="J1546" i="3"/>
  <c r="B1547" i="3"/>
  <c r="K1547" i="3" s="1"/>
  <c r="C1547" i="3"/>
  <c r="D1547" i="3"/>
  <c r="E1547" i="3"/>
  <c r="F1547" i="3"/>
  <c r="G1547" i="3"/>
  <c r="H1547" i="3"/>
  <c r="I1547" i="3"/>
  <c r="J1547" i="3"/>
  <c r="B1548" i="3"/>
  <c r="K1548" i="3" s="1"/>
  <c r="C1548" i="3"/>
  <c r="D1548" i="3"/>
  <c r="E1548" i="3"/>
  <c r="F1548" i="3"/>
  <c r="G1548" i="3"/>
  <c r="H1548" i="3"/>
  <c r="I1548" i="3"/>
  <c r="J1548" i="3"/>
  <c r="B1549" i="3"/>
  <c r="K1549" i="3" s="1"/>
  <c r="C1549" i="3"/>
  <c r="D1549" i="3"/>
  <c r="E1549" i="3"/>
  <c r="F1549" i="3"/>
  <c r="G1549" i="3"/>
  <c r="H1549" i="3"/>
  <c r="I1549" i="3"/>
  <c r="J1549" i="3"/>
  <c r="B1550" i="3"/>
  <c r="K1550" i="3" s="1"/>
  <c r="C1550" i="3"/>
  <c r="D1550" i="3"/>
  <c r="E1550" i="3"/>
  <c r="F1550" i="3"/>
  <c r="G1550" i="3"/>
  <c r="H1550" i="3"/>
  <c r="I1550" i="3"/>
  <c r="J1550" i="3"/>
  <c r="B1551" i="3"/>
  <c r="K1551" i="3" s="1"/>
  <c r="C1551" i="3"/>
  <c r="D1551" i="3"/>
  <c r="E1551" i="3"/>
  <c r="F1551" i="3"/>
  <c r="G1551" i="3"/>
  <c r="H1551" i="3"/>
  <c r="I1551" i="3"/>
  <c r="J1551" i="3"/>
  <c r="B1552" i="3"/>
  <c r="K1552" i="3" s="1"/>
  <c r="C1552" i="3"/>
  <c r="D1552" i="3"/>
  <c r="E1552" i="3"/>
  <c r="F1552" i="3"/>
  <c r="G1552" i="3"/>
  <c r="H1552" i="3"/>
  <c r="I1552" i="3"/>
  <c r="J1552" i="3"/>
  <c r="B1553" i="3"/>
  <c r="K1553" i="3" s="1"/>
  <c r="C1553" i="3"/>
  <c r="D1553" i="3"/>
  <c r="E1553" i="3"/>
  <c r="F1553" i="3"/>
  <c r="G1553" i="3"/>
  <c r="H1553" i="3"/>
  <c r="I1553" i="3"/>
  <c r="J1553" i="3"/>
  <c r="B1554" i="3"/>
  <c r="K1554" i="3" s="1"/>
  <c r="C1554" i="3"/>
  <c r="D1554" i="3"/>
  <c r="E1554" i="3"/>
  <c r="F1554" i="3"/>
  <c r="G1554" i="3"/>
  <c r="H1554" i="3"/>
  <c r="I1554" i="3"/>
  <c r="J1554" i="3"/>
  <c r="B1555" i="3"/>
  <c r="K1555" i="3" s="1"/>
  <c r="C1555" i="3"/>
  <c r="D1555" i="3"/>
  <c r="E1555" i="3"/>
  <c r="F1555" i="3"/>
  <c r="G1555" i="3"/>
  <c r="H1555" i="3"/>
  <c r="I1555" i="3"/>
  <c r="J1555" i="3"/>
  <c r="B1556" i="3"/>
  <c r="K1556" i="3" s="1"/>
  <c r="C1556" i="3"/>
  <c r="D1556" i="3"/>
  <c r="E1556" i="3"/>
  <c r="F1556" i="3"/>
  <c r="G1556" i="3"/>
  <c r="H1556" i="3"/>
  <c r="I1556" i="3"/>
  <c r="J1556" i="3"/>
  <c r="B1557" i="3"/>
  <c r="K1557" i="3" s="1"/>
  <c r="C1557" i="3"/>
  <c r="D1557" i="3"/>
  <c r="E1557" i="3"/>
  <c r="F1557" i="3"/>
  <c r="G1557" i="3"/>
  <c r="H1557" i="3"/>
  <c r="I1557" i="3"/>
  <c r="J1557" i="3"/>
  <c r="B1558" i="3"/>
  <c r="K1558" i="3" s="1"/>
  <c r="C1558" i="3"/>
  <c r="D1558" i="3"/>
  <c r="E1558" i="3"/>
  <c r="F1558" i="3"/>
  <c r="G1558" i="3"/>
  <c r="H1558" i="3"/>
  <c r="I1558" i="3"/>
  <c r="J1558" i="3"/>
  <c r="B1559" i="3"/>
  <c r="C1559" i="3"/>
  <c r="D1559" i="3"/>
  <c r="E1559" i="3"/>
  <c r="F1559" i="3"/>
  <c r="G1559" i="3"/>
  <c r="H1559" i="3"/>
  <c r="I1559" i="3"/>
  <c r="J1559" i="3"/>
  <c r="K1559" i="3"/>
  <c r="B1560" i="3"/>
  <c r="K1560" i="3" s="1"/>
  <c r="C1560" i="3"/>
  <c r="D1560" i="3"/>
  <c r="E1560" i="3"/>
  <c r="F1560" i="3"/>
  <c r="G1560" i="3"/>
  <c r="H1560" i="3"/>
  <c r="I1560" i="3"/>
  <c r="J1560" i="3"/>
  <c r="B1561" i="3"/>
  <c r="K1561" i="3" s="1"/>
  <c r="C1561" i="3"/>
  <c r="D1561" i="3"/>
  <c r="E1561" i="3"/>
  <c r="F1561" i="3"/>
  <c r="G1561" i="3"/>
  <c r="H1561" i="3"/>
  <c r="I1561" i="3"/>
  <c r="J1561" i="3"/>
  <c r="B1562" i="3"/>
  <c r="K1562" i="3" s="1"/>
  <c r="C1562" i="3"/>
  <c r="D1562" i="3"/>
  <c r="E1562" i="3"/>
  <c r="F1562" i="3"/>
  <c r="G1562" i="3"/>
  <c r="H1562" i="3"/>
  <c r="I1562" i="3"/>
  <c r="J1562" i="3"/>
  <c r="B1563" i="3"/>
  <c r="K1563" i="3" s="1"/>
  <c r="C1563" i="3"/>
  <c r="D1563" i="3"/>
  <c r="E1563" i="3"/>
  <c r="F1563" i="3"/>
  <c r="G1563" i="3"/>
  <c r="H1563" i="3"/>
  <c r="I1563" i="3"/>
  <c r="J1563" i="3"/>
  <c r="B1564" i="3"/>
  <c r="K1564" i="3" s="1"/>
  <c r="C1564" i="3"/>
  <c r="D1564" i="3"/>
  <c r="E1564" i="3"/>
  <c r="F1564" i="3"/>
  <c r="G1564" i="3"/>
  <c r="H1564" i="3"/>
  <c r="I1564" i="3"/>
  <c r="J1564" i="3"/>
  <c r="B1565" i="3"/>
  <c r="K1565" i="3" s="1"/>
  <c r="C1565" i="3"/>
  <c r="D1565" i="3"/>
  <c r="E1565" i="3"/>
  <c r="F1565" i="3"/>
  <c r="G1565" i="3"/>
  <c r="H1565" i="3"/>
  <c r="I1565" i="3"/>
  <c r="J1565" i="3"/>
  <c r="B1566" i="3"/>
  <c r="K1566" i="3" s="1"/>
  <c r="C1566" i="3"/>
  <c r="D1566" i="3"/>
  <c r="E1566" i="3"/>
  <c r="F1566" i="3"/>
  <c r="G1566" i="3"/>
  <c r="H1566" i="3"/>
  <c r="I1566" i="3"/>
  <c r="J1566" i="3"/>
  <c r="B1567" i="3"/>
  <c r="K1567" i="3" s="1"/>
  <c r="C1567" i="3"/>
  <c r="D1567" i="3"/>
  <c r="E1567" i="3"/>
  <c r="F1567" i="3"/>
  <c r="G1567" i="3"/>
  <c r="H1567" i="3"/>
  <c r="I1567" i="3"/>
  <c r="J1567" i="3"/>
  <c r="B1568" i="3"/>
  <c r="K1568" i="3" s="1"/>
  <c r="C1568" i="3"/>
  <c r="D1568" i="3"/>
  <c r="E1568" i="3"/>
  <c r="F1568" i="3"/>
  <c r="G1568" i="3"/>
  <c r="H1568" i="3"/>
  <c r="I1568" i="3"/>
  <c r="J1568" i="3"/>
  <c r="B1569" i="3"/>
  <c r="K1569" i="3" s="1"/>
  <c r="C1569" i="3"/>
  <c r="D1569" i="3"/>
  <c r="E1569" i="3"/>
  <c r="F1569" i="3"/>
  <c r="G1569" i="3"/>
  <c r="H1569" i="3"/>
  <c r="I1569" i="3"/>
  <c r="J1569" i="3"/>
  <c r="B1570" i="3"/>
  <c r="K1570" i="3" s="1"/>
  <c r="C1570" i="3"/>
  <c r="D1570" i="3"/>
  <c r="E1570" i="3"/>
  <c r="F1570" i="3"/>
  <c r="G1570" i="3"/>
  <c r="H1570" i="3"/>
  <c r="I1570" i="3"/>
  <c r="J1570" i="3"/>
  <c r="B1571" i="3"/>
  <c r="K1571" i="3" s="1"/>
  <c r="C1571" i="3"/>
  <c r="D1571" i="3"/>
  <c r="E1571" i="3"/>
  <c r="F1571" i="3"/>
  <c r="G1571" i="3"/>
  <c r="H1571" i="3"/>
  <c r="I1571" i="3"/>
  <c r="J1571" i="3"/>
  <c r="B1572" i="3"/>
  <c r="K1572" i="3" s="1"/>
  <c r="C1572" i="3"/>
  <c r="D1572" i="3"/>
  <c r="E1572" i="3"/>
  <c r="F1572" i="3"/>
  <c r="G1572" i="3"/>
  <c r="H1572" i="3"/>
  <c r="I1572" i="3"/>
  <c r="J1572" i="3"/>
  <c r="B1573" i="3"/>
  <c r="K1573" i="3" s="1"/>
  <c r="C1573" i="3"/>
  <c r="D1573" i="3"/>
  <c r="E1573" i="3"/>
  <c r="F1573" i="3"/>
  <c r="G1573" i="3"/>
  <c r="H1573" i="3"/>
  <c r="I1573" i="3"/>
  <c r="J1573" i="3"/>
  <c r="B1574" i="3"/>
  <c r="K1574" i="3" s="1"/>
  <c r="C1574" i="3"/>
  <c r="D1574" i="3"/>
  <c r="E1574" i="3"/>
  <c r="F1574" i="3"/>
  <c r="G1574" i="3"/>
  <c r="H1574" i="3"/>
  <c r="I1574" i="3"/>
  <c r="J1574" i="3"/>
  <c r="B1575" i="3"/>
  <c r="K1575" i="3" s="1"/>
  <c r="C1575" i="3"/>
  <c r="D1575" i="3"/>
  <c r="E1575" i="3"/>
  <c r="F1575" i="3"/>
  <c r="G1575" i="3"/>
  <c r="H1575" i="3"/>
  <c r="I1575" i="3"/>
  <c r="J1575" i="3"/>
  <c r="B1576" i="3"/>
  <c r="K1576" i="3" s="1"/>
  <c r="C1576" i="3"/>
  <c r="D1576" i="3"/>
  <c r="E1576" i="3"/>
  <c r="F1576" i="3"/>
  <c r="G1576" i="3"/>
  <c r="H1576" i="3"/>
  <c r="I1576" i="3"/>
  <c r="J1576" i="3"/>
  <c r="B1577" i="3"/>
  <c r="K1577" i="3" s="1"/>
  <c r="C1577" i="3"/>
  <c r="D1577" i="3"/>
  <c r="E1577" i="3"/>
  <c r="F1577" i="3"/>
  <c r="G1577" i="3"/>
  <c r="H1577" i="3"/>
  <c r="I1577" i="3"/>
  <c r="J1577" i="3"/>
  <c r="B1578" i="3"/>
  <c r="K1578" i="3" s="1"/>
  <c r="C1578" i="3"/>
  <c r="D1578" i="3"/>
  <c r="E1578" i="3"/>
  <c r="F1578" i="3"/>
  <c r="G1578" i="3"/>
  <c r="H1578" i="3"/>
  <c r="I1578" i="3"/>
  <c r="J1578" i="3"/>
  <c r="B1579" i="3"/>
  <c r="K1579" i="3" s="1"/>
  <c r="C1579" i="3"/>
  <c r="D1579" i="3"/>
  <c r="E1579" i="3"/>
  <c r="F1579" i="3"/>
  <c r="G1579" i="3"/>
  <c r="H1579" i="3"/>
  <c r="I1579" i="3"/>
  <c r="J1579" i="3"/>
  <c r="B1580" i="3"/>
  <c r="K1580" i="3" s="1"/>
  <c r="C1580" i="3"/>
  <c r="D1580" i="3"/>
  <c r="E1580" i="3"/>
  <c r="F1580" i="3"/>
  <c r="G1580" i="3"/>
  <c r="H1580" i="3"/>
  <c r="I1580" i="3"/>
  <c r="J1580" i="3"/>
  <c r="B1581" i="3"/>
  <c r="K1581" i="3" s="1"/>
  <c r="C1581" i="3"/>
  <c r="D1581" i="3"/>
  <c r="E1581" i="3"/>
  <c r="F1581" i="3"/>
  <c r="G1581" i="3"/>
  <c r="H1581" i="3"/>
  <c r="I1581" i="3"/>
  <c r="J1581" i="3"/>
  <c r="B1582" i="3"/>
  <c r="K1582" i="3" s="1"/>
  <c r="C1582" i="3"/>
  <c r="D1582" i="3"/>
  <c r="E1582" i="3"/>
  <c r="F1582" i="3"/>
  <c r="G1582" i="3"/>
  <c r="H1582" i="3"/>
  <c r="I1582" i="3"/>
  <c r="J1582" i="3"/>
  <c r="B1583" i="3"/>
  <c r="K1583" i="3" s="1"/>
  <c r="C1583" i="3"/>
  <c r="D1583" i="3"/>
  <c r="E1583" i="3"/>
  <c r="F1583" i="3"/>
  <c r="G1583" i="3"/>
  <c r="H1583" i="3"/>
  <c r="I1583" i="3"/>
  <c r="J1583" i="3"/>
  <c r="B1584" i="3"/>
  <c r="K1584" i="3" s="1"/>
  <c r="C1584" i="3"/>
  <c r="D1584" i="3"/>
  <c r="E1584" i="3"/>
  <c r="F1584" i="3"/>
  <c r="G1584" i="3"/>
  <c r="H1584" i="3"/>
  <c r="I1584" i="3"/>
  <c r="J1584" i="3"/>
  <c r="B1585" i="3"/>
  <c r="K1585" i="3" s="1"/>
  <c r="C1585" i="3"/>
  <c r="D1585" i="3"/>
  <c r="E1585" i="3"/>
  <c r="F1585" i="3"/>
  <c r="G1585" i="3"/>
  <c r="H1585" i="3"/>
  <c r="I1585" i="3"/>
  <c r="J1585" i="3"/>
  <c r="B1586" i="3"/>
  <c r="K1586" i="3" s="1"/>
  <c r="C1586" i="3"/>
  <c r="D1586" i="3"/>
  <c r="E1586" i="3"/>
  <c r="F1586" i="3"/>
  <c r="G1586" i="3"/>
  <c r="H1586" i="3"/>
  <c r="I1586" i="3"/>
  <c r="J1586" i="3"/>
  <c r="B1587" i="3"/>
  <c r="K1587" i="3" s="1"/>
  <c r="C1587" i="3"/>
  <c r="D1587" i="3"/>
  <c r="E1587" i="3"/>
  <c r="F1587" i="3"/>
  <c r="G1587" i="3"/>
  <c r="H1587" i="3"/>
  <c r="I1587" i="3"/>
  <c r="J1587" i="3"/>
  <c r="B1588" i="3"/>
  <c r="K1588" i="3" s="1"/>
  <c r="C1588" i="3"/>
  <c r="D1588" i="3"/>
  <c r="E1588" i="3"/>
  <c r="F1588" i="3"/>
  <c r="G1588" i="3"/>
  <c r="H1588" i="3"/>
  <c r="I1588" i="3"/>
  <c r="J1588" i="3"/>
  <c r="B1589" i="3"/>
  <c r="K1589" i="3" s="1"/>
  <c r="C1589" i="3"/>
  <c r="D1589" i="3"/>
  <c r="E1589" i="3"/>
  <c r="F1589" i="3"/>
  <c r="G1589" i="3"/>
  <c r="H1589" i="3"/>
  <c r="I1589" i="3"/>
  <c r="J1589" i="3"/>
  <c r="B1590" i="3"/>
  <c r="K1590" i="3" s="1"/>
  <c r="C1590" i="3"/>
  <c r="D1590" i="3"/>
  <c r="E1590" i="3"/>
  <c r="F1590" i="3"/>
  <c r="G1590" i="3"/>
  <c r="H1590" i="3"/>
  <c r="I1590" i="3"/>
  <c r="J1590" i="3"/>
  <c r="B1591" i="3"/>
  <c r="K1591" i="3" s="1"/>
  <c r="C1591" i="3"/>
  <c r="D1591" i="3"/>
  <c r="E1591" i="3"/>
  <c r="F1591" i="3"/>
  <c r="G1591" i="3"/>
  <c r="H1591" i="3"/>
  <c r="I1591" i="3"/>
  <c r="J1591" i="3"/>
  <c r="B1592" i="3"/>
  <c r="K1592" i="3" s="1"/>
  <c r="C1592" i="3"/>
  <c r="D1592" i="3"/>
  <c r="E1592" i="3"/>
  <c r="F1592" i="3"/>
  <c r="G1592" i="3"/>
  <c r="H1592" i="3"/>
  <c r="I1592" i="3"/>
  <c r="J1592" i="3"/>
  <c r="B1593" i="3"/>
  <c r="K1593" i="3" s="1"/>
  <c r="C1593" i="3"/>
  <c r="D1593" i="3"/>
  <c r="E1593" i="3"/>
  <c r="F1593" i="3"/>
  <c r="G1593" i="3"/>
  <c r="H1593" i="3"/>
  <c r="I1593" i="3"/>
  <c r="J1593" i="3"/>
  <c r="B1594" i="3"/>
  <c r="K1594" i="3" s="1"/>
  <c r="C1594" i="3"/>
  <c r="D1594" i="3"/>
  <c r="E1594" i="3"/>
  <c r="F1594" i="3"/>
  <c r="G1594" i="3"/>
  <c r="H1594" i="3"/>
  <c r="I1594" i="3"/>
  <c r="J1594" i="3"/>
  <c r="B1595" i="3"/>
  <c r="K1595" i="3" s="1"/>
  <c r="C1595" i="3"/>
  <c r="D1595" i="3"/>
  <c r="E1595" i="3"/>
  <c r="F1595" i="3"/>
  <c r="G1595" i="3"/>
  <c r="H1595" i="3"/>
  <c r="I1595" i="3"/>
  <c r="J1595" i="3"/>
  <c r="B1596" i="3"/>
  <c r="K1596" i="3" s="1"/>
  <c r="C1596" i="3"/>
  <c r="D1596" i="3"/>
  <c r="E1596" i="3"/>
  <c r="F1596" i="3"/>
  <c r="G1596" i="3"/>
  <c r="H1596" i="3"/>
  <c r="I1596" i="3"/>
  <c r="J1596" i="3"/>
  <c r="B1597" i="3"/>
  <c r="K1597" i="3" s="1"/>
  <c r="C1597" i="3"/>
  <c r="D1597" i="3"/>
  <c r="E1597" i="3"/>
  <c r="F1597" i="3"/>
  <c r="G1597" i="3"/>
  <c r="H1597" i="3"/>
  <c r="I1597" i="3"/>
  <c r="J1597" i="3"/>
  <c r="B1598" i="3"/>
  <c r="K1598" i="3" s="1"/>
  <c r="C1598" i="3"/>
  <c r="D1598" i="3"/>
  <c r="E1598" i="3"/>
  <c r="F1598" i="3"/>
  <c r="G1598" i="3"/>
  <c r="H1598" i="3"/>
  <c r="I1598" i="3"/>
  <c r="J1598" i="3"/>
  <c r="B1599" i="3"/>
  <c r="K1599" i="3" s="1"/>
  <c r="C1599" i="3"/>
  <c r="D1599" i="3"/>
  <c r="E1599" i="3"/>
  <c r="F1599" i="3"/>
  <c r="G1599" i="3"/>
  <c r="H1599" i="3"/>
  <c r="I1599" i="3"/>
  <c r="J1599" i="3"/>
  <c r="B1600" i="3"/>
  <c r="K1600" i="3" s="1"/>
  <c r="C1600" i="3"/>
  <c r="D1600" i="3"/>
  <c r="E1600" i="3"/>
  <c r="F1600" i="3"/>
  <c r="G1600" i="3"/>
  <c r="H1600" i="3"/>
  <c r="I1600" i="3"/>
  <c r="J1600" i="3"/>
  <c r="B1601" i="3"/>
  <c r="K1601" i="3" s="1"/>
  <c r="C1601" i="3"/>
  <c r="D1601" i="3"/>
  <c r="E1601" i="3"/>
  <c r="F1601" i="3"/>
  <c r="G1601" i="3"/>
  <c r="H1601" i="3"/>
  <c r="I1601" i="3"/>
  <c r="J1601" i="3"/>
  <c r="B1602" i="3"/>
  <c r="K1602" i="3" s="1"/>
  <c r="C1602" i="3"/>
  <c r="D1602" i="3"/>
  <c r="E1602" i="3"/>
  <c r="F1602" i="3"/>
  <c r="G1602" i="3"/>
  <c r="H1602" i="3"/>
  <c r="I1602" i="3"/>
  <c r="J1602" i="3"/>
  <c r="B1603" i="3"/>
  <c r="C1603" i="3"/>
  <c r="D1603" i="3"/>
  <c r="E1603" i="3"/>
  <c r="F1603" i="3"/>
  <c r="G1603" i="3"/>
  <c r="H1603" i="3"/>
  <c r="I1603" i="3"/>
  <c r="J1603" i="3"/>
  <c r="K1603" i="3"/>
  <c r="B1604" i="3"/>
  <c r="K1604" i="3" s="1"/>
  <c r="C1604" i="3"/>
  <c r="D1604" i="3"/>
  <c r="E1604" i="3"/>
  <c r="F1604" i="3"/>
  <c r="G1604" i="3"/>
  <c r="H1604" i="3"/>
  <c r="I1604" i="3"/>
  <c r="J1604" i="3"/>
  <c r="B1605" i="3"/>
  <c r="K1605" i="3" s="1"/>
  <c r="C1605" i="3"/>
  <c r="D1605" i="3"/>
  <c r="E1605" i="3"/>
  <c r="F1605" i="3"/>
  <c r="G1605" i="3"/>
  <c r="H1605" i="3"/>
  <c r="I1605" i="3"/>
  <c r="J1605" i="3"/>
  <c r="B1606" i="3"/>
  <c r="K1606" i="3" s="1"/>
  <c r="C1606" i="3"/>
  <c r="D1606" i="3"/>
  <c r="E1606" i="3"/>
  <c r="F1606" i="3"/>
  <c r="G1606" i="3"/>
  <c r="H1606" i="3"/>
  <c r="I1606" i="3"/>
  <c r="J1606" i="3"/>
  <c r="B1607" i="3"/>
  <c r="K1607" i="3" s="1"/>
  <c r="C1607" i="3"/>
  <c r="D1607" i="3"/>
  <c r="E1607" i="3"/>
  <c r="F1607" i="3"/>
  <c r="G1607" i="3"/>
  <c r="H1607" i="3"/>
  <c r="I1607" i="3"/>
  <c r="J1607" i="3"/>
  <c r="B1608" i="3"/>
  <c r="K1608" i="3" s="1"/>
  <c r="C1608" i="3"/>
  <c r="D1608" i="3"/>
  <c r="E1608" i="3"/>
  <c r="F1608" i="3"/>
  <c r="G1608" i="3"/>
  <c r="H1608" i="3"/>
  <c r="I1608" i="3"/>
  <c r="J1608" i="3"/>
  <c r="B1609" i="3"/>
  <c r="K1609" i="3" s="1"/>
  <c r="C1609" i="3"/>
  <c r="D1609" i="3"/>
  <c r="E1609" i="3"/>
  <c r="F1609" i="3"/>
  <c r="G1609" i="3"/>
  <c r="H1609" i="3"/>
  <c r="I1609" i="3"/>
  <c r="J1609" i="3"/>
  <c r="B1610" i="3"/>
  <c r="K1610" i="3" s="1"/>
  <c r="C1610" i="3"/>
  <c r="D1610" i="3"/>
  <c r="E1610" i="3"/>
  <c r="F1610" i="3"/>
  <c r="G1610" i="3"/>
  <c r="H1610" i="3"/>
  <c r="I1610" i="3"/>
  <c r="J1610" i="3"/>
  <c r="B1611" i="3"/>
  <c r="K1611" i="3" s="1"/>
  <c r="C1611" i="3"/>
  <c r="D1611" i="3"/>
  <c r="E1611" i="3"/>
  <c r="F1611" i="3"/>
  <c r="G1611" i="3"/>
  <c r="H1611" i="3"/>
  <c r="I1611" i="3"/>
  <c r="J1611" i="3"/>
  <c r="B1612" i="3"/>
  <c r="K1612" i="3" s="1"/>
  <c r="C1612" i="3"/>
  <c r="D1612" i="3"/>
  <c r="E1612" i="3"/>
  <c r="F1612" i="3"/>
  <c r="G1612" i="3"/>
  <c r="H1612" i="3"/>
  <c r="I1612" i="3"/>
  <c r="J1612" i="3"/>
  <c r="B1613" i="3"/>
  <c r="K1613" i="3" s="1"/>
  <c r="C1613" i="3"/>
  <c r="D1613" i="3"/>
  <c r="E1613" i="3"/>
  <c r="F1613" i="3"/>
  <c r="G1613" i="3"/>
  <c r="H1613" i="3"/>
  <c r="I1613" i="3"/>
  <c r="J1613" i="3"/>
  <c r="B1614" i="3"/>
  <c r="K1614" i="3" s="1"/>
  <c r="C1614" i="3"/>
  <c r="D1614" i="3"/>
  <c r="E1614" i="3"/>
  <c r="F1614" i="3"/>
  <c r="G1614" i="3"/>
  <c r="H1614" i="3"/>
  <c r="I1614" i="3"/>
  <c r="J1614" i="3"/>
  <c r="B1615" i="3"/>
  <c r="K1615" i="3" s="1"/>
  <c r="C1615" i="3"/>
  <c r="D1615" i="3"/>
  <c r="E1615" i="3"/>
  <c r="F1615" i="3"/>
  <c r="G1615" i="3"/>
  <c r="H1615" i="3"/>
  <c r="I1615" i="3"/>
  <c r="J1615" i="3"/>
  <c r="B1616" i="3"/>
  <c r="K1616" i="3" s="1"/>
  <c r="C1616" i="3"/>
  <c r="D1616" i="3"/>
  <c r="E1616" i="3"/>
  <c r="F1616" i="3"/>
  <c r="G1616" i="3"/>
  <c r="H1616" i="3"/>
  <c r="I1616" i="3"/>
  <c r="J1616" i="3"/>
  <c r="B1617" i="3"/>
  <c r="K1617" i="3" s="1"/>
  <c r="C1617" i="3"/>
  <c r="D1617" i="3"/>
  <c r="E1617" i="3"/>
  <c r="F1617" i="3"/>
  <c r="G1617" i="3"/>
  <c r="H1617" i="3"/>
  <c r="I1617" i="3"/>
  <c r="J1617" i="3"/>
  <c r="B1618" i="3"/>
  <c r="K1618" i="3" s="1"/>
  <c r="C1618" i="3"/>
  <c r="D1618" i="3"/>
  <c r="E1618" i="3"/>
  <c r="F1618" i="3"/>
  <c r="G1618" i="3"/>
  <c r="H1618" i="3"/>
  <c r="I1618" i="3"/>
  <c r="J1618" i="3"/>
  <c r="B1619" i="3"/>
  <c r="K1619" i="3" s="1"/>
  <c r="C1619" i="3"/>
  <c r="D1619" i="3"/>
  <c r="E1619" i="3"/>
  <c r="F1619" i="3"/>
  <c r="G1619" i="3"/>
  <c r="H1619" i="3"/>
  <c r="I1619" i="3"/>
  <c r="J1619" i="3"/>
  <c r="B1620" i="3"/>
  <c r="K1620" i="3" s="1"/>
  <c r="C1620" i="3"/>
  <c r="D1620" i="3"/>
  <c r="E1620" i="3"/>
  <c r="F1620" i="3"/>
  <c r="G1620" i="3"/>
  <c r="H1620" i="3"/>
  <c r="I1620" i="3"/>
  <c r="J1620" i="3"/>
  <c r="B1621" i="3"/>
  <c r="K1621" i="3" s="1"/>
  <c r="C1621" i="3"/>
  <c r="D1621" i="3"/>
  <c r="E1621" i="3"/>
  <c r="F1621" i="3"/>
  <c r="G1621" i="3"/>
  <c r="H1621" i="3"/>
  <c r="I1621" i="3"/>
  <c r="J1621" i="3"/>
  <c r="B1622" i="3"/>
  <c r="K1622" i="3" s="1"/>
  <c r="C1622" i="3"/>
  <c r="D1622" i="3"/>
  <c r="E1622" i="3"/>
  <c r="F1622" i="3"/>
  <c r="G1622" i="3"/>
  <c r="H1622" i="3"/>
  <c r="I1622" i="3"/>
  <c r="J1622" i="3"/>
  <c r="B1623" i="3"/>
  <c r="K1623" i="3" s="1"/>
  <c r="C1623" i="3"/>
  <c r="D1623" i="3"/>
  <c r="E1623" i="3"/>
  <c r="F1623" i="3"/>
  <c r="G1623" i="3"/>
  <c r="H1623" i="3"/>
  <c r="I1623" i="3"/>
  <c r="J1623" i="3"/>
  <c r="B1624" i="3"/>
  <c r="K1624" i="3" s="1"/>
  <c r="C1624" i="3"/>
  <c r="D1624" i="3"/>
  <c r="E1624" i="3"/>
  <c r="F1624" i="3"/>
  <c r="G1624" i="3"/>
  <c r="H1624" i="3"/>
  <c r="I1624" i="3"/>
  <c r="J1624" i="3"/>
  <c r="B1625" i="3"/>
  <c r="K1625" i="3" s="1"/>
  <c r="C1625" i="3"/>
  <c r="D1625" i="3"/>
  <c r="E1625" i="3"/>
  <c r="F1625" i="3"/>
  <c r="G1625" i="3"/>
  <c r="H1625" i="3"/>
  <c r="I1625" i="3"/>
  <c r="J1625" i="3"/>
  <c r="B1626" i="3"/>
  <c r="K1626" i="3" s="1"/>
  <c r="C1626" i="3"/>
  <c r="D1626" i="3"/>
  <c r="E1626" i="3"/>
  <c r="F1626" i="3"/>
  <c r="G1626" i="3"/>
  <c r="H1626" i="3"/>
  <c r="I1626" i="3"/>
  <c r="J1626" i="3"/>
  <c r="B1627" i="3"/>
  <c r="K1627" i="3" s="1"/>
  <c r="C1627" i="3"/>
  <c r="D1627" i="3"/>
  <c r="E1627" i="3"/>
  <c r="F1627" i="3"/>
  <c r="G1627" i="3"/>
  <c r="H1627" i="3"/>
  <c r="I1627" i="3"/>
  <c r="J1627" i="3"/>
  <c r="B1628" i="3"/>
  <c r="K1628" i="3" s="1"/>
  <c r="C1628" i="3"/>
  <c r="D1628" i="3"/>
  <c r="E1628" i="3"/>
  <c r="F1628" i="3"/>
  <c r="G1628" i="3"/>
  <c r="H1628" i="3"/>
  <c r="I1628" i="3"/>
  <c r="J1628" i="3"/>
  <c r="B1629" i="3"/>
  <c r="K1629" i="3" s="1"/>
  <c r="C1629" i="3"/>
  <c r="D1629" i="3"/>
  <c r="E1629" i="3"/>
  <c r="F1629" i="3"/>
  <c r="G1629" i="3"/>
  <c r="H1629" i="3"/>
  <c r="I1629" i="3"/>
  <c r="J1629" i="3"/>
  <c r="B1630" i="3"/>
  <c r="K1630" i="3" s="1"/>
  <c r="C1630" i="3"/>
  <c r="D1630" i="3"/>
  <c r="E1630" i="3"/>
  <c r="F1630" i="3"/>
  <c r="G1630" i="3"/>
  <c r="H1630" i="3"/>
  <c r="I1630" i="3"/>
  <c r="J1630" i="3"/>
  <c r="B1631" i="3"/>
  <c r="K1631" i="3" s="1"/>
  <c r="C1631" i="3"/>
  <c r="D1631" i="3"/>
  <c r="E1631" i="3"/>
  <c r="F1631" i="3"/>
  <c r="G1631" i="3"/>
  <c r="H1631" i="3"/>
  <c r="I1631" i="3"/>
  <c r="J1631" i="3"/>
  <c r="B1632" i="3"/>
  <c r="K1632" i="3" s="1"/>
  <c r="C1632" i="3"/>
  <c r="D1632" i="3"/>
  <c r="E1632" i="3"/>
  <c r="F1632" i="3"/>
  <c r="G1632" i="3"/>
  <c r="H1632" i="3"/>
  <c r="I1632" i="3"/>
  <c r="J1632" i="3"/>
  <c r="B1633" i="3"/>
  <c r="K1633" i="3" s="1"/>
  <c r="C1633" i="3"/>
  <c r="D1633" i="3"/>
  <c r="E1633" i="3"/>
  <c r="F1633" i="3"/>
  <c r="G1633" i="3"/>
  <c r="H1633" i="3"/>
  <c r="I1633" i="3"/>
  <c r="J1633" i="3"/>
  <c r="B1634" i="3"/>
  <c r="K1634" i="3" s="1"/>
  <c r="C1634" i="3"/>
  <c r="D1634" i="3"/>
  <c r="E1634" i="3"/>
  <c r="F1634" i="3"/>
  <c r="G1634" i="3"/>
  <c r="H1634" i="3"/>
  <c r="I1634" i="3"/>
  <c r="J1634" i="3"/>
  <c r="B1635" i="3"/>
  <c r="C1635" i="3"/>
  <c r="D1635" i="3"/>
  <c r="E1635" i="3"/>
  <c r="F1635" i="3"/>
  <c r="G1635" i="3"/>
  <c r="H1635" i="3"/>
  <c r="I1635" i="3"/>
  <c r="J1635" i="3"/>
  <c r="K1635" i="3"/>
  <c r="B1636" i="3"/>
  <c r="K1636" i="3" s="1"/>
  <c r="C1636" i="3"/>
  <c r="D1636" i="3"/>
  <c r="E1636" i="3"/>
  <c r="F1636" i="3"/>
  <c r="G1636" i="3"/>
  <c r="H1636" i="3"/>
  <c r="I1636" i="3"/>
  <c r="J1636" i="3"/>
  <c r="B1637" i="3"/>
  <c r="K1637" i="3" s="1"/>
  <c r="C1637" i="3"/>
  <c r="D1637" i="3"/>
  <c r="E1637" i="3"/>
  <c r="F1637" i="3"/>
  <c r="G1637" i="3"/>
  <c r="H1637" i="3"/>
  <c r="I1637" i="3"/>
  <c r="J1637" i="3"/>
  <c r="B1638" i="3"/>
  <c r="K1638" i="3" s="1"/>
  <c r="C1638" i="3"/>
  <c r="D1638" i="3"/>
  <c r="E1638" i="3"/>
  <c r="F1638" i="3"/>
  <c r="G1638" i="3"/>
  <c r="H1638" i="3"/>
  <c r="I1638" i="3"/>
  <c r="J1638" i="3"/>
  <c r="B1639" i="3"/>
  <c r="K1639" i="3" s="1"/>
  <c r="C1639" i="3"/>
  <c r="D1639" i="3"/>
  <c r="E1639" i="3"/>
  <c r="F1639" i="3"/>
  <c r="G1639" i="3"/>
  <c r="H1639" i="3"/>
  <c r="I1639" i="3"/>
  <c r="J1639" i="3"/>
  <c r="B1640" i="3"/>
  <c r="K1640" i="3" s="1"/>
  <c r="C1640" i="3"/>
  <c r="D1640" i="3"/>
  <c r="E1640" i="3"/>
  <c r="F1640" i="3"/>
  <c r="G1640" i="3"/>
  <c r="H1640" i="3"/>
  <c r="I1640" i="3"/>
  <c r="J1640" i="3"/>
  <c r="B1641" i="3"/>
  <c r="K1641" i="3" s="1"/>
  <c r="C1641" i="3"/>
  <c r="D1641" i="3"/>
  <c r="E1641" i="3"/>
  <c r="F1641" i="3"/>
  <c r="G1641" i="3"/>
  <c r="H1641" i="3"/>
  <c r="I1641" i="3"/>
  <c r="J1641" i="3"/>
  <c r="B1642" i="3"/>
  <c r="K1642" i="3" s="1"/>
  <c r="C1642" i="3"/>
  <c r="D1642" i="3"/>
  <c r="E1642" i="3"/>
  <c r="F1642" i="3"/>
  <c r="G1642" i="3"/>
  <c r="H1642" i="3"/>
  <c r="I1642" i="3"/>
  <c r="J1642" i="3"/>
  <c r="B1643" i="3"/>
  <c r="K1643" i="3" s="1"/>
  <c r="C1643" i="3"/>
  <c r="D1643" i="3"/>
  <c r="E1643" i="3"/>
  <c r="F1643" i="3"/>
  <c r="G1643" i="3"/>
  <c r="H1643" i="3"/>
  <c r="I1643" i="3"/>
  <c r="J1643" i="3"/>
  <c r="B1644" i="3"/>
  <c r="C1644" i="3"/>
  <c r="D1644" i="3"/>
  <c r="E1644" i="3"/>
  <c r="F1644" i="3"/>
  <c r="G1644" i="3"/>
  <c r="H1644" i="3"/>
  <c r="I1644" i="3"/>
  <c r="J1644" i="3"/>
  <c r="K1644" i="3"/>
  <c r="B1645" i="3"/>
  <c r="K1645" i="3" s="1"/>
  <c r="C1645" i="3"/>
  <c r="D1645" i="3"/>
  <c r="E1645" i="3"/>
  <c r="F1645" i="3"/>
  <c r="G1645" i="3"/>
  <c r="H1645" i="3"/>
  <c r="I1645" i="3"/>
  <c r="J1645" i="3"/>
  <c r="B1646" i="3"/>
  <c r="K1646" i="3" s="1"/>
  <c r="C1646" i="3"/>
  <c r="D1646" i="3"/>
  <c r="E1646" i="3"/>
  <c r="F1646" i="3"/>
  <c r="G1646" i="3"/>
  <c r="H1646" i="3"/>
  <c r="I1646" i="3"/>
  <c r="J1646" i="3"/>
  <c r="B1647" i="3"/>
  <c r="K1647" i="3" s="1"/>
  <c r="C1647" i="3"/>
  <c r="D1647" i="3"/>
  <c r="E1647" i="3"/>
  <c r="F1647" i="3"/>
  <c r="G1647" i="3"/>
  <c r="H1647" i="3"/>
  <c r="I1647" i="3"/>
  <c r="J1647" i="3"/>
  <c r="B1648" i="3"/>
  <c r="K1648" i="3" s="1"/>
  <c r="C1648" i="3"/>
  <c r="D1648" i="3"/>
  <c r="E1648" i="3"/>
  <c r="F1648" i="3"/>
  <c r="G1648" i="3"/>
  <c r="H1648" i="3"/>
  <c r="I1648" i="3"/>
  <c r="J1648" i="3"/>
  <c r="B1649" i="3"/>
  <c r="K1649" i="3" s="1"/>
  <c r="C1649" i="3"/>
  <c r="D1649" i="3"/>
  <c r="E1649" i="3"/>
  <c r="F1649" i="3"/>
  <c r="G1649" i="3"/>
  <c r="H1649" i="3"/>
  <c r="I1649" i="3"/>
  <c r="J1649" i="3"/>
  <c r="B1650" i="3"/>
  <c r="K1650" i="3" s="1"/>
  <c r="C1650" i="3"/>
  <c r="D1650" i="3"/>
  <c r="E1650" i="3"/>
  <c r="F1650" i="3"/>
  <c r="G1650" i="3"/>
  <c r="H1650" i="3"/>
  <c r="I1650" i="3"/>
  <c r="J1650" i="3"/>
  <c r="B1651" i="3"/>
  <c r="K1651" i="3" s="1"/>
  <c r="C1651" i="3"/>
  <c r="D1651" i="3"/>
  <c r="E1651" i="3"/>
  <c r="F1651" i="3"/>
  <c r="G1651" i="3"/>
  <c r="H1651" i="3"/>
  <c r="I1651" i="3"/>
  <c r="J1651" i="3"/>
  <c r="B1652" i="3"/>
  <c r="K1652" i="3" s="1"/>
  <c r="C1652" i="3"/>
  <c r="D1652" i="3"/>
  <c r="E1652" i="3"/>
  <c r="F1652" i="3"/>
  <c r="G1652" i="3"/>
  <c r="H1652" i="3"/>
  <c r="I1652" i="3"/>
  <c r="J1652" i="3"/>
  <c r="B1653" i="3"/>
  <c r="K1653" i="3" s="1"/>
  <c r="C1653" i="3"/>
  <c r="D1653" i="3"/>
  <c r="E1653" i="3"/>
  <c r="F1653" i="3"/>
  <c r="G1653" i="3"/>
  <c r="H1653" i="3"/>
  <c r="I1653" i="3"/>
  <c r="J1653" i="3"/>
  <c r="B1654" i="3"/>
  <c r="K1654" i="3" s="1"/>
  <c r="C1654" i="3"/>
  <c r="D1654" i="3"/>
  <c r="E1654" i="3"/>
  <c r="F1654" i="3"/>
  <c r="G1654" i="3"/>
  <c r="H1654" i="3"/>
  <c r="I1654" i="3"/>
  <c r="J1654" i="3"/>
  <c r="B1655" i="3"/>
  <c r="K1655" i="3" s="1"/>
  <c r="C1655" i="3"/>
  <c r="D1655" i="3"/>
  <c r="E1655" i="3"/>
  <c r="F1655" i="3"/>
  <c r="G1655" i="3"/>
  <c r="H1655" i="3"/>
  <c r="I1655" i="3"/>
  <c r="J1655" i="3"/>
  <c r="B1656" i="3"/>
  <c r="K1656" i="3" s="1"/>
  <c r="C1656" i="3"/>
  <c r="D1656" i="3"/>
  <c r="E1656" i="3"/>
  <c r="F1656" i="3"/>
  <c r="G1656" i="3"/>
  <c r="H1656" i="3"/>
  <c r="I1656" i="3"/>
  <c r="J1656" i="3"/>
  <c r="B1657" i="3"/>
  <c r="K1657" i="3" s="1"/>
  <c r="C1657" i="3"/>
  <c r="D1657" i="3"/>
  <c r="E1657" i="3"/>
  <c r="F1657" i="3"/>
  <c r="G1657" i="3"/>
  <c r="H1657" i="3"/>
  <c r="I1657" i="3"/>
  <c r="J1657" i="3"/>
  <c r="B1658" i="3"/>
  <c r="K1658" i="3" s="1"/>
  <c r="C1658" i="3"/>
  <c r="D1658" i="3"/>
  <c r="E1658" i="3"/>
  <c r="F1658" i="3"/>
  <c r="G1658" i="3"/>
  <c r="H1658" i="3"/>
  <c r="I1658" i="3"/>
  <c r="J1658" i="3"/>
  <c r="B1659" i="3"/>
  <c r="K1659" i="3" s="1"/>
  <c r="C1659" i="3"/>
  <c r="D1659" i="3"/>
  <c r="E1659" i="3"/>
  <c r="F1659" i="3"/>
  <c r="G1659" i="3"/>
  <c r="H1659" i="3"/>
  <c r="I1659" i="3"/>
  <c r="J1659" i="3"/>
  <c r="B1660" i="3"/>
  <c r="K1660" i="3" s="1"/>
  <c r="C1660" i="3"/>
  <c r="D1660" i="3"/>
  <c r="E1660" i="3"/>
  <c r="F1660" i="3"/>
  <c r="G1660" i="3"/>
  <c r="H1660" i="3"/>
  <c r="I1660" i="3"/>
  <c r="J1660" i="3"/>
  <c r="B1661" i="3"/>
  <c r="K1661" i="3" s="1"/>
  <c r="C1661" i="3"/>
  <c r="D1661" i="3"/>
  <c r="E1661" i="3"/>
  <c r="F1661" i="3"/>
  <c r="G1661" i="3"/>
  <c r="H1661" i="3"/>
  <c r="I1661" i="3"/>
  <c r="J1661" i="3"/>
  <c r="B1662" i="3"/>
  <c r="K1662" i="3" s="1"/>
  <c r="C1662" i="3"/>
  <c r="D1662" i="3"/>
  <c r="E1662" i="3"/>
  <c r="F1662" i="3"/>
  <c r="G1662" i="3"/>
  <c r="H1662" i="3"/>
  <c r="I1662" i="3"/>
  <c r="J1662" i="3"/>
  <c r="B1663" i="3"/>
  <c r="K1663" i="3" s="1"/>
  <c r="C1663" i="3"/>
  <c r="D1663" i="3"/>
  <c r="E1663" i="3"/>
  <c r="F1663" i="3"/>
  <c r="G1663" i="3"/>
  <c r="H1663" i="3"/>
  <c r="I1663" i="3"/>
  <c r="J1663" i="3"/>
  <c r="B1664" i="3"/>
  <c r="K1664" i="3" s="1"/>
  <c r="C1664" i="3"/>
  <c r="D1664" i="3"/>
  <c r="E1664" i="3"/>
  <c r="F1664" i="3"/>
  <c r="G1664" i="3"/>
  <c r="H1664" i="3"/>
  <c r="I1664" i="3"/>
  <c r="J1664" i="3"/>
  <c r="B1665" i="3"/>
  <c r="C1665" i="3"/>
  <c r="D1665" i="3"/>
  <c r="E1665" i="3"/>
  <c r="F1665" i="3"/>
  <c r="G1665" i="3"/>
  <c r="H1665" i="3"/>
  <c r="I1665" i="3"/>
  <c r="J1665" i="3"/>
  <c r="K1665" i="3"/>
  <c r="B1666" i="3"/>
  <c r="K1666" i="3" s="1"/>
  <c r="C1666" i="3"/>
  <c r="D1666" i="3"/>
  <c r="E1666" i="3"/>
  <c r="F1666" i="3"/>
  <c r="G1666" i="3"/>
  <c r="H1666" i="3"/>
  <c r="I1666" i="3"/>
  <c r="J1666" i="3"/>
  <c r="B1667" i="3"/>
  <c r="K1667" i="3" s="1"/>
  <c r="C1667" i="3"/>
  <c r="D1667" i="3"/>
  <c r="E1667" i="3"/>
  <c r="F1667" i="3"/>
  <c r="G1667" i="3"/>
  <c r="H1667" i="3"/>
  <c r="I1667" i="3"/>
  <c r="J1667" i="3"/>
  <c r="B1668" i="3"/>
  <c r="K1668" i="3" s="1"/>
  <c r="C1668" i="3"/>
  <c r="D1668" i="3"/>
  <c r="E1668" i="3"/>
  <c r="F1668" i="3"/>
  <c r="G1668" i="3"/>
  <c r="H1668" i="3"/>
  <c r="I1668" i="3"/>
  <c r="J1668" i="3"/>
  <c r="B1669" i="3"/>
  <c r="K1669" i="3" s="1"/>
  <c r="C1669" i="3"/>
  <c r="D1669" i="3"/>
  <c r="E1669" i="3"/>
  <c r="F1669" i="3"/>
  <c r="G1669" i="3"/>
  <c r="H1669" i="3"/>
  <c r="I1669" i="3"/>
  <c r="J1669" i="3"/>
  <c r="B1670" i="3"/>
  <c r="K1670" i="3" s="1"/>
  <c r="C1670" i="3"/>
  <c r="D1670" i="3"/>
  <c r="E1670" i="3"/>
  <c r="F1670" i="3"/>
  <c r="G1670" i="3"/>
  <c r="H1670" i="3"/>
  <c r="I1670" i="3"/>
  <c r="J1670" i="3"/>
  <c r="B1671" i="3"/>
  <c r="K1671" i="3" s="1"/>
  <c r="C1671" i="3"/>
  <c r="D1671" i="3"/>
  <c r="E1671" i="3"/>
  <c r="F1671" i="3"/>
  <c r="G1671" i="3"/>
  <c r="H1671" i="3"/>
  <c r="I1671" i="3"/>
  <c r="J1671" i="3"/>
  <c r="B1672" i="3"/>
  <c r="K1672" i="3" s="1"/>
  <c r="C1672" i="3"/>
  <c r="D1672" i="3"/>
  <c r="E1672" i="3"/>
  <c r="F1672" i="3"/>
  <c r="G1672" i="3"/>
  <c r="H1672" i="3"/>
  <c r="I1672" i="3"/>
  <c r="J1672" i="3"/>
  <c r="B1673" i="3"/>
  <c r="K1673" i="3" s="1"/>
  <c r="C1673" i="3"/>
  <c r="D1673" i="3"/>
  <c r="E1673" i="3"/>
  <c r="F1673" i="3"/>
  <c r="G1673" i="3"/>
  <c r="H1673" i="3"/>
  <c r="I1673" i="3"/>
  <c r="J1673" i="3"/>
  <c r="B1674" i="3"/>
  <c r="K1674" i="3" s="1"/>
  <c r="C1674" i="3"/>
  <c r="D1674" i="3"/>
  <c r="E1674" i="3"/>
  <c r="F1674" i="3"/>
  <c r="G1674" i="3"/>
  <c r="H1674" i="3"/>
  <c r="I1674" i="3"/>
  <c r="J1674" i="3"/>
  <c r="B1675" i="3"/>
  <c r="K1675" i="3" s="1"/>
  <c r="C1675" i="3"/>
  <c r="D1675" i="3"/>
  <c r="E1675" i="3"/>
  <c r="F1675" i="3"/>
  <c r="G1675" i="3"/>
  <c r="H1675" i="3"/>
  <c r="I1675" i="3"/>
  <c r="J1675" i="3"/>
  <c r="B1676" i="3"/>
  <c r="K1676" i="3" s="1"/>
  <c r="C1676" i="3"/>
  <c r="D1676" i="3"/>
  <c r="E1676" i="3"/>
  <c r="F1676" i="3"/>
  <c r="G1676" i="3"/>
  <c r="H1676" i="3"/>
  <c r="I1676" i="3"/>
  <c r="J1676" i="3"/>
  <c r="B1677" i="3"/>
  <c r="K1677" i="3" s="1"/>
  <c r="C1677" i="3"/>
  <c r="D1677" i="3"/>
  <c r="E1677" i="3"/>
  <c r="F1677" i="3"/>
  <c r="G1677" i="3"/>
  <c r="H1677" i="3"/>
  <c r="I1677" i="3"/>
  <c r="J1677" i="3"/>
  <c r="B1678" i="3"/>
  <c r="K1678" i="3" s="1"/>
  <c r="C1678" i="3"/>
  <c r="D1678" i="3"/>
  <c r="E1678" i="3"/>
  <c r="F1678" i="3"/>
  <c r="G1678" i="3"/>
  <c r="H1678" i="3"/>
  <c r="I1678" i="3"/>
  <c r="J1678" i="3"/>
  <c r="B1679" i="3"/>
  <c r="K1679" i="3" s="1"/>
  <c r="C1679" i="3"/>
  <c r="D1679" i="3"/>
  <c r="E1679" i="3"/>
  <c r="F1679" i="3"/>
  <c r="G1679" i="3"/>
  <c r="H1679" i="3"/>
  <c r="I1679" i="3"/>
  <c r="J1679" i="3"/>
  <c r="B1680" i="3"/>
  <c r="K1680" i="3" s="1"/>
  <c r="C1680" i="3"/>
  <c r="D1680" i="3"/>
  <c r="E1680" i="3"/>
  <c r="F1680" i="3"/>
  <c r="G1680" i="3"/>
  <c r="H1680" i="3"/>
  <c r="I1680" i="3"/>
  <c r="J1680" i="3"/>
  <c r="B1681" i="3"/>
  <c r="C1681" i="3"/>
  <c r="D1681" i="3"/>
  <c r="E1681" i="3"/>
  <c r="F1681" i="3"/>
  <c r="G1681" i="3"/>
  <c r="H1681" i="3"/>
  <c r="I1681" i="3"/>
  <c r="J1681" i="3"/>
  <c r="K1681" i="3"/>
  <c r="B1682" i="3"/>
  <c r="K1682" i="3" s="1"/>
  <c r="C1682" i="3"/>
  <c r="D1682" i="3"/>
  <c r="E1682" i="3"/>
  <c r="F1682" i="3"/>
  <c r="G1682" i="3"/>
  <c r="H1682" i="3"/>
  <c r="I1682" i="3"/>
  <c r="J1682" i="3"/>
  <c r="B1683" i="3"/>
  <c r="K1683" i="3" s="1"/>
  <c r="C1683" i="3"/>
  <c r="D1683" i="3"/>
  <c r="E1683" i="3"/>
  <c r="F1683" i="3"/>
  <c r="G1683" i="3"/>
  <c r="H1683" i="3"/>
  <c r="I1683" i="3"/>
  <c r="J1683" i="3"/>
  <c r="B1684" i="3"/>
  <c r="K1684" i="3" s="1"/>
  <c r="C1684" i="3"/>
  <c r="D1684" i="3"/>
  <c r="E1684" i="3"/>
  <c r="F1684" i="3"/>
  <c r="G1684" i="3"/>
  <c r="H1684" i="3"/>
  <c r="I1684" i="3"/>
  <c r="J1684" i="3"/>
  <c r="B1685" i="3"/>
  <c r="K1685" i="3" s="1"/>
  <c r="C1685" i="3"/>
  <c r="D1685" i="3"/>
  <c r="E1685" i="3"/>
  <c r="F1685" i="3"/>
  <c r="G1685" i="3"/>
  <c r="H1685" i="3"/>
  <c r="I1685" i="3"/>
  <c r="J1685" i="3"/>
  <c r="B1686" i="3"/>
  <c r="K1686" i="3" s="1"/>
  <c r="C1686" i="3"/>
  <c r="D1686" i="3"/>
  <c r="E1686" i="3"/>
  <c r="F1686" i="3"/>
  <c r="G1686" i="3"/>
  <c r="H1686" i="3"/>
  <c r="I1686" i="3"/>
  <c r="J1686" i="3"/>
  <c r="B1687" i="3"/>
  <c r="K1687" i="3" s="1"/>
  <c r="C1687" i="3"/>
  <c r="D1687" i="3"/>
  <c r="E1687" i="3"/>
  <c r="F1687" i="3"/>
  <c r="G1687" i="3"/>
  <c r="H1687" i="3"/>
  <c r="I1687" i="3"/>
  <c r="J1687" i="3"/>
  <c r="B1688" i="3"/>
  <c r="K1688" i="3" s="1"/>
  <c r="C1688" i="3"/>
  <c r="D1688" i="3"/>
  <c r="E1688" i="3"/>
  <c r="F1688" i="3"/>
  <c r="G1688" i="3"/>
  <c r="H1688" i="3"/>
  <c r="I1688" i="3"/>
  <c r="J1688" i="3"/>
  <c r="B1689" i="3"/>
  <c r="K1689" i="3" s="1"/>
  <c r="C1689" i="3"/>
  <c r="D1689" i="3"/>
  <c r="E1689" i="3"/>
  <c r="F1689" i="3"/>
  <c r="G1689" i="3"/>
  <c r="H1689" i="3"/>
  <c r="I1689" i="3"/>
  <c r="J1689" i="3"/>
  <c r="B1690" i="3"/>
  <c r="K1690" i="3" s="1"/>
  <c r="C1690" i="3"/>
  <c r="D1690" i="3"/>
  <c r="E1690" i="3"/>
  <c r="F1690" i="3"/>
  <c r="G1690" i="3"/>
  <c r="H1690" i="3"/>
  <c r="I1690" i="3"/>
  <c r="J1690" i="3"/>
  <c r="B1691" i="3"/>
  <c r="K1691" i="3" s="1"/>
  <c r="C1691" i="3"/>
  <c r="D1691" i="3"/>
  <c r="E1691" i="3"/>
  <c r="F1691" i="3"/>
  <c r="G1691" i="3"/>
  <c r="H1691" i="3"/>
  <c r="I1691" i="3"/>
  <c r="J1691" i="3"/>
  <c r="B1692" i="3"/>
  <c r="K1692" i="3" s="1"/>
  <c r="C1692" i="3"/>
  <c r="D1692" i="3"/>
  <c r="E1692" i="3"/>
  <c r="F1692" i="3"/>
  <c r="G1692" i="3"/>
  <c r="H1692" i="3"/>
  <c r="I1692" i="3"/>
  <c r="J1692" i="3"/>
  <c r="B1693" i="3"/>
  <c r="K1693" i="3" s="1"/>
  <c r="C1693" i="3"/>
  <c r="D1693" i="3"/>
  <c r="E1693" i="3"/>
  <c r="F1693" i="3"/>
  <c r="G1693" i="3"/>
  <c r="H1693" i="3"/>
  <c r="I1693" i="3"/>
  <c r="J1693" i="3"/>
  <c r="B1694" i="3"/>
  <c r="K1694" i="3" s="1"/>
  <c r="C1694" i="3"/>
  <c r="D1694" i="3"/>
  <c r="E1694" i="3"/>
  <c r="F1694" i="3"/>
  <c r="G1694" i="3"/>
  <c r="H1694" i="3"/>
  <c r="I1694" i="3"/>
  <c r="J1694" i="3"/>
  <c r="B1695" i="3"/>
  <c r="K1695" i="3" s="1"/>
  <c r="C1695" i="3"/>
  <c r="D1695" i="3"/>
  <c r="E1695" i="3"/>
  <c r="F1695" i="3"/>
  <c r="G1695" i="3"/>
  <c r="H1695" i="3"/>
  <c r="I1695" i="3"/>
  <c r="J1695" i="3"/>
  <c r="B1696" i="3"/>
  <c r="K1696" i="3" s="1"/>
  <c r="C1696" i="3"/>
  <c r="D1696" i="3"/>
  <c r="E1696" i="3"/>
  <c r="F1696" i="3"/>
  <c r="G1696" i="3"/>
  <c r="H1696" i="3"/>
  <c r="I1696" i="3"/>
  <c r="J1696" i="3"/>
  <c r="B1697" i="3"/>
  <c r="K1697" i="3" s="1"/>
  <c r="C1697" i="3"/>
  <c r="D1697" i="3"/>
  <c r="E1697" i="3"/>
  <c r="F1697" i="3"/>
  <c r="G1697" i="3"/>
  <c r="H1697" i="3"/>
  <c r="I1697" i="3"/>
  <c r="J1697" i="3"/>
  <c r="B1698" i="3"/>
  <c r="K1698" i="3" s="1"/>
  <c r="C1698" i="3"/>
  <c r="D1698" i="3"/>
  <c r="E1698" i="3"/>
  <c r="F1698" i="3"/>
  <c r="G1698" i="3"/>
  <c r="H1698" i="3"/>
  <c r="I1698" i="3"/>
  <c r="J1698" i="3"/>
  <c r="B1699" i="3"/>
  <c r="K1699" i="3" s="1"/>
  <c r="C1699" i="3"/>
  <c r="D1699" i="3"/>
  <c r="E1699" i="3"/>
  <c r="F1699" i="3"/>
  <c r="G1699" i="3"/>
  <c r="H1699" i="3"/>
  <c r="I1699" i="3"/>
  <c r="J1699" i="3"/>
  <c r="B1700" i="3"/>
  <c r="K1700" i="3" s="1"/>
  <c r="C1700" i="3"/>
  <c r="D1700" i="3"/>
  <c r="E1700" i="3"/>
  <c r="F1700" i="3"/>
  <c r="G1700" i="3"/>
  <c r="H1700" i="3"/>
  <c r="I1700" i="3"/>
  <c r="J1700" i="3"/>
  <c r="B1701" i="3"/>
  <c r="K1701" i="3" s="1"/>
  <c r="C1701" i="3"/>
  <c r="D1701" i="3"/>
  <c r="E1701" i="3"/>
  <c r="F1701" i="3"/>
  <c r="G1701" i="3"/>
  <c r="H1701" i="3"/>
  <c r="I1701" i="3"/>
  <c r="J1701" i="3"/>
  <c r="B1702" i="3"/>
  <c r="K1702" i="3" s="1"/>
  <c r="C1702" i="3"/>
  <c r="D1702" i="3"/>
  <c r="E1702" i="3"/>
  <c r="F1702" i="3"/>
  <c r="G1702" i="3"/>
  <c r="H1702" i="3"/>
  <c r="I1702" i="3"/>
  <c r="J1702" i="3"/>
  <c r="B1703" i="3"/>
  <c r="K1703" i="3" s="1"/>
  <c r="C1703" i="3"/>
  <c r="D1703" i="3"/>
  <c r="E1703" i="3"/>
  <c r="F1703" i="3"/>
  <c r="G1703" i="3"/>
  <c r="H1703" i="3"/>
  <c r="I1703" i="3"/>
  <c r="J1703" i="3"/>
  <c r="B1704" i="3"/>
  <c r="K1704" i="3" s="1"/>
  <c r="C1704" i="3"/>
  <c r="D1704" i="3"/>
  <c r="E1704" i="3"/>
  <c r="F1704" i="3"/>
  <c r="G1704" i="3"/>
  <c r="H1704" i="3"/>
  <c r="I1704" i="3"/>
  <c r="J1704" i="3"/>
  <c r="B1705" i="3"/>
  <c r="K1705" i="3" s="1"/>
  <c r="C1705" i="3"/>
  <c r="D1705" i="3"/>
  <c r="E1705" i="3"/>
  <c r="F1705" i="3"/>
  <c r="G1705" i="3"/>
  <c r="H1705" i="3"/>
  <c r="I1705" i="3"/>
  <c r="J1705" i="3"/>
  <c r="B1706" i="3"/>
  <c r="K1706" i="3" s="1"/>
  <c r="C1706" i="3"/>
  <c r="D1706" i="3"/>
  <c r="E1706" i="3"/>
  <c r="F1706" i="3"/>
  <c r="G1706" i="3"/>
  <c r="H1706" i="3"/>
  <c r="I1706" i="3"/>
  <c r="J1706" i="3"/>
  <c r="B1707" i="3"/>
  <c r="K1707" i="3" s="1"/>
  <c r="C1707" i="3"/>
  <c r="D1707" i="3"/>
  <c r="E1707" i="3"/>
  <c r="F1707" i="3"/>
  <c r="G1707" i="3"/>
  <c r="H1707" i="3"/>
  <c r="I1707" i="3"/>
  <c r="J1707" i="3"/>
  <c r="B1708" i="3"/>
  <c r="K1708" i="3" s="1"/>
  <c r="C1708" i="3"/>
  <c r="D1708" i="3"/>
  <c r="E1708" i="3"/>
  <c r="F1708" i="3"/>
  <c r="G1708" i="3"/>
  <c r="H1708" i="3"/>
  <c r="I1708" i="3"/>
  <c r="J1708" i="3"/>
  <c r="B1709" i="3"/>
  <c r="K1709" i="3" s="1"/>
  <c r="C1709" i="3"/>
  <c r="D1709" i="3"/>
  <c r="E1709" i="3"/>
  <c r="F1709" i="3"/>
  <c r="G1709" i="3"/>
  <c r="H1709" i="3"/>
  <c r="I1709" i="3"/>
  <c r="J1709" i="3"/>
  <c r="B1710" i="3"/>
  <c r="K1710" i="3" s="1"/>
  <c r="C1710" i="3"/>
  <c r="D1710" i="3"/>
  <c r="E1710" i="3"/>
  <c r="F1710" i="3"/>
  <c r="G1710" i="3"/>
  <c r="H1710" i="3"/>
  <c r="I1710" i="3"/>
  <c r="J1710" i="3"/>
  <c r="B1711" i="3"/>
  <c r="K1711" i="3" s="1"/>
  <c r="C1711" i="3"/>
  <c r="D1711" i="3"/>
  <c r="E1711" i="3"/>
  <c r="F1711" i="3"/>
  <c r="G1711" i="3"/>
  <c r="H1711" i="3"/>
  <c r="I1711" i="3"/>
  <c r="J1711" i="3"/>
  <c r="B1712" i="3"/>
  <c r="K1712" i="3" s="1"/>
  <c r="C1712" i="3"/>
  <c r="D1712" i="3"/>
  <c r="E1712" i="3"/>
  <c r="F1712" i="3"/>
  <c r="G1712" i="3"/>
  <c r="H1712" i="3"/>
  <c r="I1712" i="3"/>
  <c r="J1712" i="3"/>
  <c r="B1713" i="3"/>
  <c r="K1713" i="3" s="1"/>
  <c r="C1713" i="3"/>
  <c r="D1713" i="3"/>
  <c r="E1713" i="3"/>
  <c r="F1713" i="3"/>
  <c r="G1713" i="3"/>
  <c r="H1713" i="3"/>
  <c r="I1713" i="3"/>
  <c r="J1713" i="3"/>
  <c r="B1714" i="3"/>
  <c r="K1714" i="3" s="1"/>
  <c r="C1714" i="3"/>
  <c r="D1714" i="3"/>
  <c r="E1714" i="3"/>
  <c r="F1714" i="3"/>
  <c r="G1714" i="3"/>
  <c r="H1714" i="3"/>
  <c r="I1714" i="3"/>
  <c r="J1714" i="3"/>
  <c r="B1715" i="3"/>
  <c r="K1715" i="3" s="1"/>
  <c r="C1715" i="3"/>
  <c r="D1715" i="3"/>
  <c r="E1715" i="3"/>
  <c r="F1715" i="3"/>
  <c r="G1715" i="3"/>
  <c r="H1715" i="3"/>
  <c r="I1715" i="3"/>
  <c r="J1715" i="3"/>
  <c r="B1716" i="3"/>
  <c r="K1716" i="3" s="1"/>
  <c r="C1716" i="3"/>
  <c r="D1716" i="3"/>
  <c r="E1716" i="3"/>
  <c r="F1716" i="3"/>
  <c r="G1716" i="3"/>
  <c r="H1716" i="3"/>
  <c r="I1716" i="3"/>
  <c r="J1716" i="3"/>
  <c r="B1717" i="3"/>
  <c r="K1717" i="3" s="1"/>
  <c r="C1717" i="3"/>
  <c r="D1717" i="3"/>
  <c r="E1717" i="3"/>
  <c r="F1717" i="3"/>
  <c r="G1717" i="3"/>
  <c r="H1717" i="3"/>
  <c r="I1717" i="3"/>
  <c r="J1717" i="3"/>
  <c r="B1718" i="3"/>
  <c r="K1718" i="3" s="1"/>
  <c r="C1718" i="3"/>
  <c r="D1718" i="3"/>
  <c r="E1718" i="3"/>
  <c r="F1718" i="3"/>
  <c r="G1718" i="3"/>
  <c r="H1718" i="3"/>
  <c r="I1718" i="3"/>
  <c r="J1718" i="3"/>
  <c r="B1719" i="3"/>
  <c r="K1719" i="3" s="1"/>
  <c r="C1719" i="3"/>
  <c r="D1719" i="3"/>
  <c r="E1719" i="3"/>
  <c r="F1719" i="3"/>
  <c r="G1719" i="3"/>
  <c r="H1719" i="3"/>
  <c r="I1719" i="3"/>
  <c r="J1719" i="3"/>
  <c r="B1720" i="3"/>
  <c r="K1720" i="3" s="1"/>
  <c r="C1720" i="3"/>
  <c r="D1720" i="3"/>
  <c r="E1720" i="3"/>
  <c r="F1720" i="3"/>
  <c r="G1720" i="3"/>
  <c r="H1720" i="3"/>
  <c r="I1720" i="3"/>
  <c r="J1720" i="3"/>
  <c r="B1721" i="3"/>
  <c r="K1721" i="3" s="1"/>
  <c r="C1721" i="3"/>
  <c r="D1721" i="3"/>
  <c r="E1721" i="3"/>
  <c r="F1721" i="3"/>
  <c r="G1721" i="3"/>
  <c r="H1721" i="3"/>
  <c r="I1721" i="3"/>
  <c r="J1721" i="3"/>
  <c r="B1722" i="3"/>
  <c r="K1722" i="3" s="1"/>
  <c r="C1722" i="3"/>
  <c r="D1722" i="3"/>
  <c r="E1722" i="3"/>
  <c r="F1722" i="3"/>
  <c r="G1722" i="3"/>
  <c r="H1722" i="3"/>
  <c r="I1722" i="3"/>
  <c r="J1722" i="3"/>
  <c r="B1723" i="3"/>
  <c r="K1723" i="3" s="1"/>
  <c r="C1723" i="3"/>
  <c r="D1723" i="3"/>
  <c r="E1723" i="3"/>
  <c r="F1723" i="3"/>
  <c r="G1723" i="3"/>
  <c r="H1723" i="3"/>
  <c r="I1723" i="3"/>
  <c r="J1723" i="3"/>
  <c r="B1724" i="3"/>
  <c r="K1724" i="3" s="1"/>
  <c r="C1724" i="3"/>
  <c r="D1724" i="3"/>
  <c r="E1724" i="3"/>
  <c r="F1724" i="3"/>
  <c r="G1724" i="3"/>
  <c r="H1724" i="3"/>
  <c r="I1724" i="3"/>
  <c r="J1724" i="3"/>
  <c r="B1725" i="3"/>
  <c r="K1725" i="3" s="1"/>
  <c r="C1725" i="3"/>
  <c r="D1725" i="3"/>
  <c r="E1725" i="3"/>
  <c r="F1725" i="3"/>
  <c r="G1725" i="3"/>
  <c r="H1725" i="3"/>
  <c r="I1725" i="3"/>
  <c r="J1725" i="3"/>
  <c r="B1726" i="3"/>
  <c r="K1726" i="3" s="1"/>
  <c r="C1726" i="3"/>
  <c r="D1726" i="3"/>
  <c r="E1726" i="3"/>
  <c r="F1726" i="3"/>
  <c r="G1726" i="3"/>
  <c r="H1726" i="3"/>
  <c r="I1726" i="3"/>
  <c r="J1726" i="3"/>
  <c r="B1727" i="3"/>
  <c r="K1727" i="3" s="1"/>
  <c r="C1727" i="3"/>
  <c r="D1727" i="3"/>
  <c r="E1727" i="3"/>
  <c r="F1727" i="3"/>
  <c r="G1727" i="3"/>
  <c r="H1727" i="3"/>
  <c r="I1727" i="3"/>
  <c r="J1727" i="3"/>
  <c r="B1728" i="3"/>
  <c r="K1728" i="3" s="1"/>
  <c r="C1728" i="3"/>
  <c r="D1728" i="3"/>
  <c r="E1728" i="3"/>
  <c r="F1728" i="3"/>
  <c r="G1728" i="3"/>
  <c r="H1728" i="3"/>
  <c r="I1728" i="3"/>
  <c r="J1728" i="3"/>
  <c r="B1729" i="3"/>
  <c r="K1729" i="3" s="1"/>
  <c r="C1729" i="3"/>
  <c r="D1729" i="3"/>
  <c r="E1729" i="3"/>
  <c r="F1729" i="3"/>
  <c r="G1729" i="3"/>
  <c r="H1729" i="3"/>
  <c r="I1729" i="3"/>
  <c r="J1729" i="3"/>
  <c r="B1730" i="3"/>
  <c r="K1730" i="3" s="1"/>
  <c r="C1730" i="3"/>
  <c r="D1730" i="3"/>
  <c r="E1730" i="3"/>
  <c r="F1730" i="3"/>
  <c r="G1730" i="3"/>
  <c r="H1730" i="3"/>
  <c r="I1730" i="3"/>
  <c r="J1730" i="3"/>
  <c r="B1731" i="3"/>
  <c r="K1731" i="3" s="1"/>
  <c r="C1731" i="3"/>
  <c r="D1731" i="3"/>
  <c r="E1731" i="3"/>
  <c r="F1731" i="3"/>
  <c r="G1731" i="3"/>
  <c r="H1731" i="3"/>
  <c r="I1731" i="3"/>
  <c r="J1731" i="3"/>
  <c r="B1732" i="3"/>
  <c r="K1732" i="3" s="1"/>
  <c r="C1732" i="3"/>
  <c r="D1732" i="3"/>
  <c r="E1732" i="3"/>
  <c r="F1732" i="3"/>
  <c r="G1732" i="3"/>
  <c r="H1732" i="3"/>
  <c r="I1732" i="3"/>
  <c r="J1732" i="3"/>
  <c r="B1733" i="3"/>
  <c r="K1733" i="3" s="1"/>
  <c r="C1733" i="3"/>
  <c r="D1733" i="3"/>
  <c r="E1733" i="3"/>
  <c r="F1733" i="3"/>
  <c r="G1733" i="3"/>
  <c r="H1733" i="3"/>
  <c r="I1733" i="3"/>
  <c r="J1733" i="3"/>
  <c r="B1734" i="3"/>
  <c r="K1734" i="3" s="1"/>
  <c r="C1734" i="3"/>
  <c r="D1734" i="3"/>
  <c r="E1734" i="3"/>
  <c r="F1734" i="3"/>
  <c r="G1734" i="3"/>
  <c r="H1734" i="3"/>
  <c r="I1734" i="3"/>
  <c r="J1734" i="3"/>
  <c r="B1735" i="3"/>
  <c r="K1735" i="3" s="1"/>
  <c r="C1735" i="3"/>
  <c r="D1735" i="3"/>
  <c r="E1735" i="3"/>
  <c r="F1735" i="3"/>
  <c r="G1735" i="3"/>
  <c r="H1735" i="3"/>
  <c r="I1735" i="3"/>
  <c r="J1735" i="3"/>
  <c r="B1736" i="3"/>
  <c r="K1736" i="3" s="1"/>
  <c r="C1736" i="3"/>
  <c r="D1736" i="3"/>
  <c r="E1736" i="3"/>
  <c r="F1736" i="3"/>
  <c r="G1736" i="3"/>
  <c r="H1736" i="3"/>
  <c r="I1736" i="3"/>
  <c r="J1736" i="3"/>
  <c r="B1737" i="3"/>
  <c r="K1737" i="3" s="1"/>
  <c r="C1737" i="3"/>
  <c r="D1737" i="3"/>
  <c r="E1737" i="3"/>
  <c r="F1737" i="3"/>
  <c r="G1737" i="3"/>
  <c r="H1737" i="3"/>
  <c r="I1737" i="3"/>
  <c r="J1737" i="3"/>
  <c r="B1738" i="3"/>
  <c r="K1738" i="3" s="1"/>
  <c r="C1738" i="3"/>
  <c r="D1738" i="3"/>
  <c r="E1738" i="3"/>
  <c r="F1738" i="3"/>
  <c r="G1738" i="3"/>
  <c r="H1738" i="3"/>
  <c r="I1738" i="3"/>
  <c r="J1738" i="3"/>
  <c r="B1739" i="3"/>
  <c r="K1739" i="3" s="1"/>
  <c r="C1739" i="3"/>
  <c r="D1739" i="3"/>
  <c r="E1739" i="3"/>
  <c r="F1739" i="3"/>
  <c r="G1739" i="3"/>
  <c r="H1739" i="3"/>
  <c r="I1739" i="3"/>
  <c r="J1739" i="3"/>
  <c r="B1740" i="3"/>
  <c r="K1740" i="3" s="1"/>
  <c r="C1740" i="3"/>
  <c r="D1740" i="3"/>
  <c r="E1740" i="3"/>
  <c r="F1740" i="3"/>
  <c r="G1740" i="3"/>
  <c r="H1740" i="3"/>
  <c r="I1740" i="3"/>
  <c r="J1740" i="3"/>
  <c r="B1741" i="3"/>
  <c r="K1741" i="3" s="1"/>
  <c r="C1741" i="3"/>
  <c r="D1741" i="3"/>
  <c r="E1741" i="3"/>
  <c r="F1741" i="3"/>
  <c r="G1741" i="3"/>
  <c r="H1741" i="3"/>
  <c r="I1741" i="3"/>
  <c r="J1741" i="3"/>
  <c r="B1742" i="3"/>
  <c r="K1742" i="3" s="1"/>
  <c r="C1742" i="3"/>
  <c r="D1742" i="3"/>
  <c r="E1742" i="3"/>
  <c r="F1742" i="3"/>
  <c r="G1742" i="3"/>
  <c r="H1742" i="3"/>
  <c r="I1742" i="3"/>
  <c r="J1742" i="3"/>
  <c r="B1743" i="3"/>
  <c r="K1743" i="3" s="1"/>
  <c r="C1743" i="3"/>
  <c r="D1743" i="3"/>
  <c r="E1743" i="3"/>
  <c r="F1743" i="3"/>
  <c r="G1743" i="3"/>
  <c r="H1743" i="3"/>
  <c r="I1743" i="3"/>
  <c r="J1743" i="3"/>
  <c r="B1744" i="3"/>
  <c r="K1744" i="3" s="1"/>
  <c r="C1744" i="3"/>
  <c r="D1744" i="3"/>
  <c r="E1744" i="3"/>
  <c r="F1744" i="3"/>
  <c r="G1744" i="3"/>
  <c r="H1744" i="3"/>
  <c r="I1744" i="3"/>
  <c r="J1744" i="3"/>
  <c r="B1745" i="3"/>
  <c r="K1745" i="3" s="1"/>
  <c r="C1745" i="3"/>
  <c r="D1745" i="3"/>
  <c r="E1745" i="3"/>
  <c r="F1745" i="3"/>
  <c r="G1745" i="3"/>
  <c r="H1745" i="3"/>
  <c r="I1745" i="3"/>
  <c r="J1745" i="3"/>
  <c r="B1746" i="3"/>
  <c r="K1746" i="3" s="1"/>
  <c r="C1746" i="3"/>
  <c r="D1746" i="3"/>
  <c r="E1746" i="3"/>
  <c r="F1746" i="3"/>
  <c r="G1746" i="3"/>
  <c r="H1746" i="3"/>
  <c r="I1746" i="3"/>
  <c r="J1746" i="3"/>
  <c r="B1747" i="3"/>
  <c r="K1747" i="3" s="1"/>
  <c r="C1747" i="3"/>
  <c r="D1747" i="3"/>
  <c r="E1747" i="3"/>
  <c r="F1747" i="3"/>
  <c r="G1747" i="3"/>
  <c r="H1747" i="3"/>
  <c r="I1747" i="3"/>
  <c r="J1747" i="3"/>
  <c r="B1748" i="3"/>
  <c r="K1748" i="3" s="1"/>
  <c r="C1748" i="3"/>
  <c r="D1748" i="3"/>
  <c r="E1748" i="3"/>
  <c r="F1748" i="3"/>
  <c r="G1748" i="3"/>
  <c r="H1748" i="3"/>
  <c r="I1748" i="3"/>
  <c r="J1748" i="3"/>
  <c r="B1749" i="3"/>
  <c r="K1749" i="3" s="1"/>
  <c r="C1749" i="3"/>
  <c r="D1749" i="3"/>
  <c r="E1749" i="3"/>
  <c r="F1749" i="3"/>
  <c r="G1749" i="3"/>
  <c r="H1749" i="3"/>
  <c r="I1749" i="3"/>
  <c r="J1749" i="3"/>
  <c r="B1750" i="3"/>
  <c r="K1750" i="3" s="1"/>
  <c r="C1750" i="3"/>
  <c r="D1750" i="3"/>
  <c r="E1750" i="3"/>
  <c r="F1750" i="3"/>
  <c r="G1750" i="3"/>
  <c r="H1750" i="3"/>
  <c r="I1750" i="3"/>
  <c r="J1750" i="3"/>
  <c r="B1751" i="3"/>
  <c r="K1751" i="3" s="1"/>
  <c r="C1751" i="3"/>
  <c r="D1751" i="3"/>
  <c r="E1751" i="3"/>
  <c r="F1751" i="3"/>
  <c r="G1751" i="3"/>
  <c r="H1751" i="3"/>
  <c r="I1751" i="3"/>
  <c r="J1751" i="3"/>
  <c r="B1752" i="3"/>
  <c r="K1752" i="3" s="1"/>
  <c r="C1752" i="3"/>
  <c r="D1752" i="3"/>
  <c r="E1752" i="3"/>
  <c r="F1752" i="3"/>
  <c r="G1752" i="3"/>
  <c r="H1752" i="3"/>
  <c r="I1752" i="3"/>
  <c r="J1752" i="3"/>
  <c r="B1753" i="3"/>
  <c r="K1753" i="3" s="1"/>
  <c r="C1753" i="3"/>
  <c r="D1753" i="3"/>
  <c r="E1753" i="3"/>
  <c r="F1753" i="3"/>
  <c r="G1753" i="3"/>
  <c r="H1753" i="3"/>
  <c r="I1753" i="3"/>
  <c r="J1753" i="3"/>
  <c r="B1754" i="3"/>
  <c r="K1754" i="3" s="1"/>
  <c r="C1754" i="3"/>
  <c r="D1754" i="3"/>
  <c r="E1754" i="3"/>
  <c r="F1754" i="3"/>
  <c r="G1754" i="3"/>
  <c r="H1754" i="3"/>
  <c r="I1754" i="3"/>
  <c r="J1754" i="3"/>
  <c r="B1755" i="3"/>
  <c r="K1755" i="3" s="1"/>
  <c r="C1755" i="3"/>
  <c r="D1755" i="3"/>
  <c r="E1755" i="3"/>
  <c r="F1755" i="3"/>
  <c r="G1755" i="3"/>
  <c r="H1755" i="3"/>
  <c r="I1755" i="3"/>
  <c r="J1755" i="3"/>
  <c r="B1756" i="3"/>
  <c r="K1756" i="3" s="1"/>
  <c r="C1756" i="3"/>
  <c r="D1756" i="3"/>
  <c r="E1756" i="3"/>
  <c r="F1756" i="3"/>
  <c r="G1756" i="3"/>
  <c r="H1756" i="3"/>
  <c r="I1756" i="3"/>
  <c r="J1756" i="3"/>
  <c r="B1757" i="3"/>
  <c r="K1757" i="3" s="1"/>
  <c r="C1757" i="3"/>
  <c r="D1757" i="3"/>
  <c r="E1757" i="3"/>
  <c r="F1757" i="3"/>
  <c r="G1757" i="3"/>
  <c r="H1757" i="3"/>
  <c r="I1757" i="3"/>
  <c r="J1757" i="3"/>
  <c r="B1758" i="3"/>
  <c r="K1758" i="3" s="1"/>
  <c r="C1758" i="3"/>
  <c r="D1758" i="3"/>
  <c r="E1758" i="3"/>
  <c r="F1758" i="3"/>
  <c r="G1758" i="3"/>
  <c r="H1758" i="3"/>
  <c r="I1758" i="3"/>
  <c r="J1758" i="3"/>
  <c r="B1759" i="3"/>
  <c r="K1759" i="3" s="1"/>
  <c r="C1759" i="3"/>
  <c r="D1759" i="3"/>
  <c r="E1759" i="3"/>
  <c r="F1759" i="3"/>
  <c r="G1759" i="3"/>
  <c r="H1759" i="3"/>
  <c r="I1759" i="3"/>
  <c r="J1759" i="3"/>
  <c r="B1760" i="3"/>
  <c r="K1760" i="3" s="1"/>
  <c r="C1760" i="3"/>
  <c r="D1760" i="3"/>
  <c r="E1760" i="3"/>
  <c r="F1760" i="3"/>
  <c r="G1760" i="3"/>
  <c r="H1760" i="3"/>
  <c r="I1760" i="3"/>
  <c r="J1760" i="3"/>
  <c r="B1761" i="3"/>
  <c r="K1761" i="3" s="1"/>
  <c r="C1761" i="3"/>
  <c r="D1761" i="3"/>
  <c r="E1761" i="3"/>
  <c r="F1761" i="3"/>
  <c r="G1761" i="3"/>
  <c r="H1761" i="3"/>
  <c r="I1761" i="3"/>
  <c r="J1761" i="3"/>
  <c r="B1762" i="3"/>
  <c r="K1762" i="3" s="1"/>
  <c r="C1762" i="3"/>
  <c r="D1762" i="3"/>
  <c r="E1762" i="3"/>
  <c r="F1762" i="3"/>
  <c r="G1762" i="3"/>
  <c r="H1762" i="3"/>
  <c r="I1762" i="3"/>
  <c r="J1762" i="3"/>
  <c r="B1763" i="3"/>
  <c r="C1763" i="3"/>
  <c r="D1763" i="3"/>
  <c r="E1763" i="3"/>
  <c r="F1763" i="3"/>
  <c r="G1763" i="3"/>
  <c r="H1763" i="3"/>
  <c r="I1763" i="3"/>
  <c r="J1763" i="3"/>
  <c r="K1763" i="3"/>
  <c r="B1764" i="3"/>
  <c r="K1764" i="3" s="1"/>
  <c r="C1764" i="3"/>
  <c r="D1764" i="3"/>
  <c r="E1764" i="3"/>
  <c r="F1764" i="3"/>
  <c r="G1764" i="3"/>
  <c r="H1764" i="3"/>
  <c r="I1764" i="3"/>
  <c r="J1764" i="3"/>
  <c r="B1765" i="3"/>
  <c r="K1765" i="3" s="1"/>
  <c r="C1765" i="3"/>
  <c r="D1765" i="3"/>
  <c r="E1765" i="3"/>
  <c r="F1765" i="3"/>
  <c r="G1765" i="3"/>
  <c r="H1765" i="3"/>
  <c r="I1765" i="3"/>
  <c r="J1765" i="3"/>
  <c r="B1766" i="3"/>
  <c r="K1766" i="3" s="1"/>
  <c r="C1766" i="3"/>
  <c r="D1766" i="3"/>
  <c r="E1766" i="3"/>
  <c r="F1766" i="3"/>
  <c r="G1766" i="3"/>
  <c r="H1766" i="3"/>
  <c r="I1766" i="3"/>
  <c r="J1766" i="3"/>
  <c r="B1767" i="3"/>
  <c r="K1767" i="3" s="1"/>
  <c r="C1767" i="3"/>
  <c r="D1767" i="3"/>
  <c r="E1767" i="3"/>
  <c r="F1767" i="3"/>
  <c r="G1767" i="3"/>
  <c r="H1767" i="3"/>
  <c r="I1767" i="3"/>
  <c r="J1767" i="3"/>
  <c r="B1768" i="3"/>
  <c r="K1768" i="3" s="1"/>
  <c r="C1768" i="3"/>
  <c r="D1768" i="3"/>
  <c r="E1768" i="3"/>
  <c r="F1768" i="3"/>
  <c r="G1768" i="3"/>
  <c r="H1768" i="3"/>
  <c r="I1768" i="3"/>
  <c r="J1768" i="3"/>
  <c r="B1769" i="3"/>
  <c r="C1769" i="3"/>
  <c r="D1769" i="3"/>
  <c r="E1769" i="3"/>
  <c r="F1769" i="3"/>
  <c r="G1769" i="3"/>
  <c r="H1769" i="3"/>
  <c r="I1769" i="3"/>
  <c r="J1769" i="3"/>
  <c r="K1769" i="3"/>
  <c r="B1770" i="3"/>
  <c r="K1770" i="3" s="1"/>
  <c r="C1770" i="3"/>
  <c r="D1770" i="3"/>
  <c r="E1770" i="3"/>
  <c r="F1770" i="3"/>
  <c r="G1770" i="3"/>
  <c r="H1770" i="3"/>
  <c r="I1770" i="3"/>
  <c r="J1770" i="3"/>
  <c r="B1771" i="3"/>
  <c r="K1771" i="3" s="1"/>
  <c r="C1771" i="3"/>
  <c r="D1771" i="3"/>
  <c r="E1771" i="3"/>
  <c r="F1771" i="3"/>
  <c r="G1771" i="3"/>
  <c r="H1771" i="3"/>
  <c r="I1771" i="3"/>
  <c r="J1771" i="3"/>
  <c r="B1772" i="3"/>
  <c r="K1772" i="3" s="1"/>
  <c r="C1772" i="3"/>
  <c r="D1772" i="3"/>
  <c r="E1772" i="3"/>
  <c r="F1772" i="3"/>
  <c r="G1772" i="3"/>
  <c r="H1772" i="3"/>
  <c r="I1772" i="3"/>
  <c r="J1772" i="3"/>
  <c r="B1773" i="3"/>
  <c r="K1773" i="3" s="1"/>
  <c r="C1773" i="3"/>
  <c r="D1773" i="3"/>
  <c r="E1773" i="3"/>
  <c r="F1773" i="3"/>
  <c r="G1773" i="3"/>
  <c r="H1773" i="3"/>
  <c r="I1773" i="3"/>
  <c r="J1773" i="3"/>
  <c r="B1774" i="3"/>
  <c r="K1774" i="3" s="1"/>
  <c r="C1774" i="3"/>
  <c r="D1774" i="3"/>
  <c r="E1774" i="3"/>
  <c r="F1774" i="3"/>
  <c r="G1774" i="3"/>
  <c r="H1774" i="3"/>
  <c r="I1774" i="3"/>
  <c r="J1774" i="3"/>
  <c r="B1775" i="3"/>
  <c r="K1775" i="3" s="1"/>
  <c r="C1775" i="3"/>
  <c r="D1775" i="3"/>
  <c r="E1775" i="3"/>
  <c r="F1775" i="3"/>
  <c r="G1775" i="3"/>
  <c r="H1775" i="3"/>
  <c r="I1775" i="3"/>
  <c r="J1775" i="3"/>
  <c r="B1776" i="3"/>
  <c r="K1776" i="3" s="1"/>
  <c r="C1776" i="3"/>
  <c r="D1776" i="3"/>
  <c r="E1776" i="3"/>
  <c r="F1776" i="3"/>
  <c r="G1776" i="3"/>
  <c r="H1776" i="3"/>
  <c r="I1776" i="3"/>
  <c r="J1776" i="3"/>
  <c r="B1777" i="3"/>
  <c r="K1777" i="3" s="1"/>
  <c r="C1777" i="3"/>
  <c r="D1777" i="3"/>
  <c r="E1777" i="3"/>
  <c r="F1777" i="3"/>
  <c r="G1777" i="3"/>
  <c r="H1777" i="3"/>
  <c r="I1777" i="3"/>
  <c r="J1777" i="3"/>
  <c r="B1778" i="3"/>
  <c r="K1778" i="3" s="1"/>
  <c r="C1778" i="3"/>
  <c r="D1778" i="3"/>
  <c r="E1778" i="3"/>
  <c r="F1778" i="3"/>
  <c r="G1778" i="3"/>
  <c r="H1778" i="3"/>
  <c r="I1778" i="3"/>
  <c r="J1778" i="3"/>
  <c r="B1779" i="3"/>
  <c r="K1779" i="3" s="1"/>
  <c r="C1779" i="3"/>
  <c r="D1779" i="3"/>
  <c r="E1779" i="3"/>
  <c r="F1779" i="3"/>
  <c r="G1779" i="3"/>
  <c r="H1779" i="3"/>
  <c r="I1779" i="3"/>
  <c r="J1779" i="3"/>
  <c r="B1780" i="3"/>
  <c r="K1780" i="3" s="1"/>
  <c r="C1780" i="3"/>
  <c r="D1780" i="3"/>
  <c r="E1780" i="3"/>
  <c r="F1780" i="3"/>
  <c r="G1780" i="3"/>
  <c r="H1780" i="3"/>
  <c r="I1780" i="3"/>
  <c r="J1780" i="3"/>
  <c r="B1781" i="3"/>
  <c r="K1781" i="3" s="1"/>
  <c r="C1781" i="3"/>
  <c r="D1781" i="3"/>
  <c r="E1781" i="3"/>
  <c r="F1781" i="3"/>
  <c r="G1781" i="3"/>
  <c r="H1781" i="3"/>
  <c r="I1781" i="3"/>
  <c r="J1781" i="3"/>
  <c r="B1782" i="3"/>
  <c r="K1782" i="3" s="1"/>
  <c r="C1782" i="3"/>
  <c r="D1782" i="3"/>
  <c r="E1782" i="3"/>
  <c r="F1782" i="3"/>
  <c r="G1782" i="3"/>
  <c r="H1782" i="3"/>
  <c r="I1782" i="3"/>
  <c r="J1782" i="3"/>
  <c r="B1783" i="3"/>
  <c r="K1783" i="3" s="1"/>
  <c r="C1783" i="3"/>
  <c r="D1783" i="3"/>
  <c r="E1783" i="3"/>
  <c r="F1783" i="3"/>
  <c r="G1783" i="3"/>
  <c r="H1783" i="3"/>
  <c r="I1783" i="3"/>
  <c r="J1783" i="3"/>
  <c r="B1784" i="3"/>
  <c r="K1784" i="3" s="1"/>
  <c r="C1784" i="3"/>
  <c r="D1784" i="3"/>
  <c r="E1784" i="3"/>
  <c r="F1784" i="3"/>
  <c r="G1784" i="3"/>
  <c r="H1784" i="3"/>
  <c r="I1784" i="3"/>
  <c r="J1784" i="3"/>
  <c r="B1785" i="3"/>
  <c r="C1785" i="3"/>
  <c r="D1785" i="3"/>
  <c r="E1785" i="3"/>
  <c r="F1785" i="3"/>
  <c r="G1785" i="3"/>
  <c r="H1785" i="3"/>
  <c r="I1785" i="3"/>
  <c r="J1785" i="3"/>
  <c r="K1785" i="3"/>
  <c r="B1786" i="3"/>
  <c r="K1786" i="3" s="1"/>
  <c r="C1786" i="3"/>
  <c r="D1786" i="3"/>
  <c r="E1786" i="3"/>
  <c r="F1786" i="3"/>
  <c r="G1786" i="3"/>
  <c r="H1786" i="3"/>
  <c r="I1786" i="3"/>
  <c r="J1786" i="3"/>
  <c r="B1787" i="3"/>
  <c r="K1787" i="3" s="1"/>
  <c r="C1787" i="3"/>
  <c r="D1787" i="3"/>
  <c r="E1787" i="3"/>
  <c r="F1787" i="3"/>
  <c r="G1787" i="3"/>
  <c r="H1787" i="3"/>
  <c r="I1787" i="3"/>
  <c r="J1787" i="3"/>
  <c r="B1788" i="3"/>
  <c r="K1788" i="3" s="1"/>
  <c r="C1788" i="3"/>
  <c r="D1788" i="3"/>
  <c r="E1788" i="3"/>
  <c r="F1788" i="3"/>
  <c r="G1788" i="3"/>
  <c r="H1788" i="3"/>
  <c r="I1788" i="3"/>
  <c r="J1788" i="3"/>
  <c r="B1789" i="3"/>
  <c r="K1789" i="3" s="1"/>
  <c r="C1789" i="3"/>
  <c r="D1789" i="3"/>
  <c r="E1789" i="3"/>
  <c r="F1789" i="3"/>
  <c r="G1789" i="3"/>
  <c r="H1789" i="3"/>
  <c r="I1789" i="3"/>
  <c r="J1789" i="3"/>
  <c r="B1790" i="3"/>
  <c r="K1790" i="3" s="1"/>
  <c r="C1790" i="3"/>
  <c r="D1790" i="3"/>
  <c r="E1790" i="3"/>
  <c r="F1790" i="3"/>
  <c r="G1790" i="3"/>
  <c r="H1790" i="3"/>
  <c r="I1790" i="3"/>
  <c r="J1790" i="3"/>
  <c r="B1791" i="3"/>
  <c r="K1791" i="3" s="1"/>
  <c r="C1791" i="3"/>
  <c r="D1791" i="3"/>
  <c r="E1791" i="3"/>
  <c r="F1791" i="3"/>
  <c r="G1791" i="3"/>
  <c r="H1791" i="3"/>
  <c r="I1791" i="3"/>
  <c r="J1791" i="3"/>
  <c r="B1792" i="3"/>
  <c r="K1792" i="3" s="1"/>
  <c r="C1792" i="3"/>
  <c r="D1792" i="3"/>
  <c r="E1792" i="3"/>
  <c r="F1792" i="3"/>
  <c r="G1792" i="3"/>
  <c r="H1792" i="3"/>
  <c r="I1792" i="3"/>
  <c r="J1792" i="3"/>
  <c r="B1793" i="3"/>
  <c r="K1793" i="3" s="1"/>
  <c r="C1793" i="3"/>
  <c r="D1793" i="3"/>
  <c r="E1793" i="3"/>
  <c r="F1793" i="3"/>
  <c r="G1793" i="3"/>
  <c r="H1793" i="3"/>
  <c r="I1793" i="3"/>
  <c r="J1793" i="3"/>
  <c r="B1794" i="3"/>
  <c r="K1794" i="3" s="1"/>
  <c r="C1794" i="3"/>
  <c r="D1794" i="3"/>
  <c r="E1794" i="3"/>
  <c r="F1794" i="3"/>
  <c r="G1794" i="3"/>
  <c r="H1794" i="3"/>
  <c r="I1794" i="3"/>
  <c r="J1794" i="3"/>
  <c r="B1795" i="3"/>
  <c r="K1795" i="3" s="1"/>
  <c r="C1795" i="3"/>
  <c r="D1795" i="3"/>
  <c r="E1795" i="3"/>
  <c r="F1795" i="3"/>
  <c r="G1795" i="3"/>
  <c r="H1795" i="3"/>
  <c r="I1795" i="3"/>
  <c r="J1795" i="3"/>
  <c r="B1796" i="3"/>
  <c r="K1796" i="3" s="1"/>
  <c r="C1796" i="3"/>
  <c r="D1796" i="3"/>
  <c r="E1796" i="3"/>
  <c r="F1796" i="3"/>
  <c r="G1796" i="3"/>
  <c r="H1796" i="3"/>
  <c r="I1796" i="3"/>
  <c r="J1796" i="3"/>
  <c r="B1797" i="3"/>
  <c r="K1797" i="3" s="1"/>
  <c r="C1797" i="3"/>
  <c r="D1797" i="3"/>
  <c r="E1797" i="3"/>
  <c r="F1797" i="3"/>
  <c r="G1797" i="3"/>
  <c r="H1797" i="3"/>
  <c r="I1797" i="3"/>
  <c r="J1797" i="3"/>
  <c r="B1798" i="3"/>
  <c r="K1798" i="3" s="1"/>
  <c r="C1798" i="3"/>
  <c r="D1798" i="3"/>
  <c r="E1798" i="3"/>
  <c r="F1798" i="3"/>
  <c r="G1798" i="3"/>
  <c r="H1798" i="3"/>
  <c r="I1798" i="3"/>
  <c r="J1798" i="3"/>
  <c r="B1799" i="3"/>
  <c r="C1799" i="3"/>
  <c r="D1799" i="3"/>
  <c r="E1799" i="3"/>
  <c r="F1799" i="3"/>
  <c r="G1799" i="3"/>
  <c r="H1799" i="3"/>
  <c r="I1799" i="3"/>
  <c r="J1799" i="3"/>
  <c r="K1799" i="3"/>
  <c r="B1800" i="3"/>
  <c r="K1800" i="3" s="1"/>
  <c r="C1800" i="3"/>
  <c r="D1800" i="3"/>
  <c r="E1800" i="3"/>
  <c r="F1800" i="3"/>
  <c r="G1800" i="3"/>
  <c r="H1800" i="3"/>
  <c r="I1800" i="3"/>
  <c r="J1800" i="3"/>
  <c r="B1801" i="3"/>
  <c r="K1801" i="3" s="1"/>
  <c r="C1801" i="3"/>
  <c r="D1801" i="3"/>
  <c r="E1801" i="3"/>
  <c r="F1801" i="3"/>
  <c r="G1801" i="3"/>
  <c r="H1801" i="3"/>
  <c r="I1801" i="3"/>
  <c r="J1801" i="3"/>
  <c r="B1802" i="3"/>
  <c r="K1802" i="3" s="1"/>
  <c r="C1802" i="3"/>
  <c r="D1802" i="3"/>
  <c r="E1802" i="3"/>
  <c r="F1802" i="3"/>
  <c r="G1802" i="3"/>
  <c r="H1802" i="3"/>
  <c r="I1802" i="3"/>
  <c r="J1802" i="3"/>
  <c r="B1803" i="3"/>
  <c r="K1803" i="3" s="1"/>
  <c r="C1803" i="3"/>
  <c r="D1803" i="3"/>
  <c r="E1803" i="3"/>
  <c r="F1803" i="3"/>
  <c r="G1803" i="3"/>
  <c r="H1803" i="3"/>
  <c r="I1803" i="3"/>
  <c r="J1803" i="3"/>
  <c r="B1804" i="3"/>
  <c r="K1804" i="3" s="1"/>
  <c r="C1804" i="3"/>
  <c r="D1804" i="3"/>
  <c r="E1804" i="3"/>
  <c r="F1804" i="3"/>
  <c r="G1804" i="3"/>
  <c r="H1804" i="3"/>
  <c r="I1804" i="3"/>
  <c r="J1804" i="3"/>
  <c r="B1805" i="3"/>
  <c r="K1805" i="3" s="1"/>
  <c r="C1805" i="3"/>
  <c r="D1805" i="3"/>
  <c r="E1805" i="3"/>
  <c r="F1805" i="3"/>
  <c r="G1805" i="3"/>
  <c r="H1805" i="3"/>
  <c r="I1805" i="3"/>
  <c r="J1805" i="3"/>
  <c r="B1806" i="3"/>
  <c r="K1806" i="3" s="1"/>
  <c r="C1806" i="3"/>
  <c r="D1806" i="3"/>
  <c r="E1806" i="3"/>
  <c r="F1806" i="3"/>
  <c r="G1806" i="3"/>
  <c r="H1806" i="3"/>
  <c r="I1806" i="3"/>
  <c r="J1806" i="3"/>
  <c r="B1807" i="3"/>
  <c r="K1807" i="3" s="1"/>
  <c r="C1807" i="3"/>
  <c r="D1807" i="3"/>
  <c r="E1807" i="3"/>
  <c r="F1807" i="3"/>
  <c r="G1807" i="3"/>
  <c r="H1807" i="3"/>
  <c r="I1807" i="3"/>
  <c r="J1807" i="3"/>
  <c r="B1808" i="3"/>
  <c r="K1808" i="3" s="1"/>
  <c r="C1808" i="3"/>
  <c r="D1808" i="3"/>
  <c r="E1808" i="3"/>
  <c r="F1808" i="3"/>
  <c r="G1808" i="3"/>
  <c r="H1808" i="3"/>
  <c r="I1808" i="3"/>
  <c r="J1808" i="3"/>
  <c r="B1809" i="3"/>
  <c r="K1809" i="3" s="1"/>
  <c r="C1809" i="3"/>
  <c r="D1809" i="3"/>
  <c r="E1809" i="3"/>
  <c r="F1809" i="3"/>
  <c r="G1809" i="3"/>
  <c r="H1809" i="3"/>
  <c r="I1809" i="3"/>
  <c r="J1809" i="3"/>
  <c r="B1810" i="3"/>
  <c r="K1810" i="3" s="1"/>
  <c r="C1810" i="3"/>
  <c r="D1810" i="3"/>
  <c r="E1810" i="3"/>
  <c r="F1810" i="3"/>
  <c r="G1810" i="3"/>
  <c r="H1810" i="3"/>
  <c r="I1810" i="3"/>
  <c r="J1810" i="3"/>
  <c r="B1811" i="3"/>
  <c r="K1811" i="3" s="1"/>
  <c r="C1811" i="3"/>
  <c r="D1811" i="3"/>
  <c r="E1811" i="3"/>
  <c r="F1811" i="3"/>
  <c r="G1811" i="3"/>
  <c r="H1811" i="3"/>
  <c r="I1811" i="3"/>
  <c r="J1811" i="3"/>
  <c r="B1812" i="3"/>
  <c r="K1812" i="3" s="1"/>
  <c r="C1812" i="3"/>
  <c r="D1812" i="3"/>
  <c r="E1812" i="3"/>
  <c r="F1812" i="3"/>
  <c r="G1812" i="3"/>
  <c r="H1812" i="3"/>
  <c r="I1812" i="3"/>
  <c r="J1812" i="3"/>
  <c r="B1813" i="3"/>
  <c r="K1813" i="3" s="1"/>
  <c r="C1813" i="3"/>
  <c r="D1813" i="3"/>
  <c r="E1813" i="3"/>
  <c r="F1813" i="3"/>
  <c r="G1813" i="3"/>
  <c r="H1813" i="3"/>
  <c r="I1813" i="3"/>
  <c r="J1813" i="3"/>
  <c r="B1814" i="3"/>
  <c r="K1814" i="3" s="1"/>
  <c r="C1814" i="3"/>
  <c r="D1814" i="3"/>
  <c r="E1814" i="3"/>
  <c r="F1814" i="3"/>
  <c r="G1814" i="3"/>
  <c r="H1814" i="3"/>
  <c r="I1814" i="3"/>
  <c r="J1814" i="3"/>
  <c r="B1815" i="3"/>
  <c r="K1815" i="3" s="1"/>
  <c r="C1815" i="3"/>
  <c r="D1815" i="3"/>
  <c r="E1815" i="3"/>
  <c r="F1815" i="3"/>
  <c r="G1815" i="3"/>
  <c r="H1815" i="3"/>
  <c r="I1815" i="3"/>
  <c r="J1815" i="3"/>
  <c r="B1816" i="3"/>
  <c r="K1816" i="3" s="1"/>
  <c r="C1816" i="3"/>
  <c r="D1816" i="3"/>
  <c r="E1816" i="3"/>
  <c r="F1816" i="3"/>
  <c r="G1816" i="3"/>
  <c r="H1816" i="3"/>
  <c r="I1816" i="3"/>
  <c r="J1816" i="3"/>
  <c r="B1817" i="3"/>
  <c r="K1817" i="3" s="1"/>
  <c r="C1817" i="3"/>
  <c r="D1817" i="3"/>
  <c r="E1817" i="3"/>
  <c r="F1817" i="3"/>
  <c r="G1817" i="3"/>
  <c r="H1817" i="3"/>
  <c r="I1817" i="3"/>
  <c r="J1817" i="3"/>
  <c r="B1818" i="3"/>
  <c r="K1818" i="3" s="1"/>
  <c r="C1818" i="3"/>
  <c r="D1818" i="3"/>
  <c r="E1818" i="3"/>
  <c r="F1818" i="3"/>
  <c r="G1818" i="3"/>
  <c r="H1818" i="3"/>
  <c r="I1818" i="3"/>
  <c r="J1818" i="3"/>
  <c r="B1819" i="3"/>
  <c r="K1819" i="3" s="1"/>
  <c r="C1819" i="3"/>
  <c r="D1819" i="3"/>
  <c r="E1819" i="3"/>
  <c r="F1819" i="3"/>
  <c r="G1819" i="3"/>
  <c r="H1819" i="3"/>
  <c r="I1819" i="3"/>
  <c r="J1819" i="3"/>
  <c r="B1820" i="3"/>
  <c r="K1820" i="3" s="1"/>
  <c r="C1820" i="3"/>
  <c r="D1820" i="3"/>
  <c r="E1820" i="3"/>
  <c r="F1820" i="3"/>
  <c r="G1820" i="3"/>
  <c r="H1820" i="3"/>
  <c r="I1820" i="3"/>
  <c r="J1820" i="3"/>
  <c r="B1821" i="3"/>
  <c r="K1821" i="3" s="1"/>
  <c r="C1821" i="3"/>
  <c r="D1821" i="3"/>
  <c r="E1821" i="3"/>
  <c r="F1821" i="3"/>
  <c r="G1821" i="3"/>
  <c r="H1821" i="3"/>
  <c r="I1821" i="3"/>
  <c r="J1821" i="3"/>
  <c r="B1822" i="3"/>
  <c r="K1822" i="3" s="1"/>
  <c r="C1822" i="3"/>
  <c r="D1822" i="3"/>
  <c r="E1822" i="3"/>
  <c r="F1822" i="3"/>
  <c r="G1822" i="3"/>
  <c r="H1822" i="3"/>
  <c r="I1822" i="3"/>
  <c r="J1822" i="3"/>
  <c r="B1823" i="3"/>
  <c r="K1823" i="3" s="1"/>
  <c r="C1823" i="3"/>
  <c r="D1823" i="3"/>
  <c r="E1823" i="3"/>
  <c r="F1823" i="3"/>
  <c r="G1823" i="3"/>
  <c r="H1823" i="3"/>
  <c r="I1823" i="3"/>
  <c r="J1823" i="3"/>
  <c r="B1824" i="3"/>
  <c r="K1824" i="3" s="1"/>
  <c r="C1824" i="3"/>
  <c r="D1824" i="3"/>
  <c r="E1824" i="3"/>
  <c r="F1824" i="3"/>
  <c r="G1824" i="3"/>
  <c r="H1824" i="3"/>
  <c r="I1824" i="3"/>
  <c r="J1824" i="3"/>
  <c r="B1825" i="3"/>
  <c r="K1825" i="3" s="1"/>
  <c r="C1825" i="3"/>
  <c r="D1825" i="3"/>
  <c r="E1825" i="3"/>
  <c r="F1825" i="3"/>
  <c r="G1825" i="3"/>
  <c r="H1825" i="3"/>
  <c r="I1825" i="3"/>
  <c r="J1825" i="3"/>
  <c r="B1826" i="3"/>
  <c r="K1826" i="3" s="1"/>
  <c r="C1826" i="3"/>
  <c r="D1826" i="3"/>
  <c r="E1826" i="3"/>
  <c r="F1826" i="3"/>
  <c r="G1826" i="3"/>
  <c r="H1826" i="3"/>
  <c r="I1826" i="3"/>
  <c r="J1826" i="3"/>
  <c r="B1827" i="3"/>
  <c r="K1827" i="3" s="1"/>
  <c r="C1827" i="3"/>
  <c r="D1827" i="3"/>
  <c r="E1827" i="3"/>
  <c r="F1827" i="3"/>
  <c r="G1827" i="3"/>
  <c r="H1827" i="3"/>
  <c r="I1827" i="3"/>
  <c r="J1827" i="3"/>
  <c r="B1828" i="3"/>
  <c r="K1828" i="3" s="1"/>
  <c r="C1828" i="3"/>
  <c r="D1828" i="3"/>
  <c r="E1828" i="3"/>
  <c r="F1828" i="3"/>
  <c r="G1828" i="3"/>
  <c r="H1828" i="3"/>
  <c r="I1828" i="3"/>
  <c r="J1828" i="3"/>
  <c r="B1829" i="3"/>
  <c r="K1829" i="3" s="1"/>
  <c r="C1829" i="3"/>
  <c r="D1829" i="3"/>
  <c r="E1829" i="3"/>
  <c r="F1829" i="3"/>
  <c r="G1829" i="3"/>
  <c r="H1829" i="3"/>
  <c r="I1829" i="3"/>
  <c r="J1829" i="3"/>
  <c r="B1830" i="3"/>
  <c r="K1830" i="3" s="1"/>
  <c r="C1830" i="3"/>
  <c r="D1830" i="3"/>
  <c r="E1830" i="3"/>
  <c r="F1830" i="3"/>
  <c r="G1830" i="3"/>
  <c r="H1830" i="3"/>
  <c r="I1830" i="3"/>
  <c r="J1830" i="3"/>
  <c r="B1831" i="3"/>
  <c r="K1831" i="3" s="1"/>
  <c r="C1831" i="3"/>
  <c r="D1831" i="3"/>
  <c r="E1831" i="3"/>
  <c r="F1831" i="3"/>
  <c r="G1831" i="3"/>
  <c r="H1831" i="3"/>
  <c r="I1831" i="3"/>
  <c r="J1831" i="3"/>
  <c r="B1832" i="3"/>
  <c r="K1832" i="3" s="1"/>
  <c r="C1832" i="3"/>
  <c r="D1832" i="3"/>
  <c r="E1832" i="3"/>
  <c r="F1832" i="3"/>
  <c r="G1832" i="3"/>
  <c r="H1832" i="3"/>
  <c r="I1832" i="3"/>
  <c r="J1832" i="3"/>
  <c r="B1833" i="3"/>
  <c r="K1833" i="3" s="1"/>
  <c r="C1833" i="3"/>
  <c r="D1833" i="3"/>
  <c r="E1833" i="3"/>
  <c r="F1833" i="3"/>
  <c r="G1833" i="3"/>
  <c r="H1833" i="3"/>
  <c r="I1833" i="3"/>
  <c r="J1833" i="3"/>
  <c r="B1834" i="3"/>
  <c r="K1834" i="3" s="1"/>
  <c r="C1834" i="3"/>
  <c r="D1834" i="3"/>
  <c r="E1834" i="3"/>
  <c r="F1834" i="3"/>
  <c r="G1834" i="3"/>
  <c r="H1834" i="3"/>
  <c r="I1834" i="3"/>
  <c r="J1834" i="3"/>
  <c r="B1835" i="3"/>
  <c r="K1835" i="3" s="1"/>
  <c r="C1835" i="3"/>
  <c r="D1835" i="3"/>
  <c r="E1835" i="3"/>
  <c r="F1835" i="3"/>
  <c r="G1835" i="3"/>
  <c r="H1835" i="3"/>
  <c r="I1835" i="3"/>
  <c r="J1835" i="3"/>
  <c r="B1836" i="3"/>
  <c r="K1836" i="3" s="1"/>
  <c r="C1836" i="3"/>
  <c r="D1836" i="3"/>
  <c r="E1836" i="3"/>
  <c r="F1836" i="3"/>
  <c r="G1836" i="3"/>
  <c r="H1836" i="3"/>
  <c r="I1836" i="3"/>
  <c r="J1836" i="3"/>
  <c r="B1837" i="3"/>
  <c r="K1837" i="3" s="1"/>
  <c r="C1837" i="3"/>
  <c r="D1837" i="3"/>
  <c r="E1837" i="3"/>
  <c r="F1837" i="3"/>
  <c r="G1837" i="3"/>
  <c r="H1837" i="3"/>
  <c r="I1837" i="3"/>
  <c r="J1837" i="3"/>
  <c r="B1838" i="3"/>
  <c r="K1838" i="3" s="1"/>
  <c r="C1838" i="3"/>
  <c r="D1838" i="3"/>
  <c r="E1838" i="3"/>
  <c r="F1838" i="3"/>
  <c r="G1838" i="3"/>
  <c r="H1838" i="3"/>
  <c r="I1838" i="3"/>
  <c r="J1838" i="3"/>
  <c r="B1839" i="3"/>
  <c r="K1839" i="3" s="1"/>
  <c r="C1839" i="3"/>
  <c r="D1839" i="3"/>
  <c r="E1839" i="3"/>
  <c r="F1839" i="3"/>
  <c r="G1839" i="3"/>
  <c r="H1839" i="3"/>
  <c r="I1839" i="3"/>
  <c r="J1839" i="3"/>
  <c r="B1840" i="3"/>
  <c r="K1840" i="3" s="1"/>
  <c r="C1840" i="3"/>
  <c r="D1840" i="3"/>
  <c r="E1840" i="3"/>
  <c r="F1840" i="3"/>
  <c r="G1840" i="3"/>
  <c r="H1840" i="3"/>
  <c r="I1840" i="3"/>
  <c r="J1840" i="3"/>
  <c r="B1841" i="3"/>
  <c r="K1841" i="3" s="1"/>
  <c r="C1841" i="3"/>
  <c r="D1841" i="3"/>
  <c r="E1841" i="3"/>
  <c r="F1841" i="3"/>
  <c r="G1841" i="3"/>
  <c r="H1841" i="3"/>
  <c r="I1841" i="3"/>
  <c r="J1841" i="3"/>
  <c r="B1842" i="3"/>
  <c r="K1842" i="3" s="1"/>
  <c r="C1842" i="3"/>
  <c r="D1842" i="3"/>
  <c r="E1842" i="3"/>
  <c r="F1842" i="3"/>
  <c r="G1842" i="3"/>
  <c r="H1842" i="3"/>
  <c r="I1842" i="3"/>
  <c r="J1842" i="3"/>
  <c r="B1843" i="3"/>
  <c r="K1843" i="3" s="1"/>
  <c r="C1843" i="3"/>
  <c r="D1843" i="3"/>
  <c r="E1843" i="3"/>
  <c r="F1843" i="3"/>
  <c r="G1843" i="3"/>
  <c r="H1843" i="3"/>
  <c r="I1843" i="3"/>
  <c r="J1843" i="3"/>
  <c r="B1844" i="3"/>
  <c r="K1844" i="3" s="1"/>
  <c r="C1844" i="3"/>
  <c r="D1844" i="3"/>
  <c r="E1844" i="3"/>
  <c r="F1844" i="3"/>
  <c r="G1844" i="3"/>
  <c r="H1844" i="3"/>
  <c r="I1844" i="3"/>
  <c r="J1844" i="3"/>
  <c r="B1845" i="3"/>
  <c r="K1845" i="3" s="1"/>
  <c r="C1845" i="3"/>
  <c r="D1845" i="3"/>
  <c r="E1845" i="3"/>
  <c r="F1845" i="3"/>
  <c r="G1845" i="3"/>
  <c r="H1845" i="3"/>
  <c r="I1845" i="3"/>
  <c r="J1845" i="3"/>
  <c r="B1846" i="3"/>
  <c r="K1846" i="3" s="1"/>
  <c r="C1846" i="3"/>
  <c r="D1846" i="3"/>
  <c r="E1846" i="3"/>
  <c r="F1846" i="3"/>
  <c r="G1846" i="3"/>
  <c r="H1846" i="3"/>
  <c r="I1846" i="3"/>
  <c r="J1846" i="3"/>
  <c r="B1847" i="3"/>
  <c r="K1847" i="3" s="1"/>
  <c r="C1847" i="3"/>
  <c r="D1847" i="3"/>
  <c r="E1847" i="3"/>
  <c r="F1847" i="3"/>
  <c r="G1847" i="3"/>
  <c r="H1847" i="3"/>
  <c r="I1847" i="3"/>
  <c r="J1847" i="3"/>
  <c r="B1848" i="3"/>
  <c r="C1848" i="3"/>
  <c r="D1848" i="3"/>
  <c r="E1848" i="3"/>
  <c r="F1848" i="3"/>
  <c r="G1848" i="3"/>
  <c r="H1848" i="3"/>
  <c r="I1848" i="3"/>
  <c r="J1848" i="3"/>
  <c r="K1848" i="3"/>
  <c r="B1849" i="3"/>
  <c r="K1849" i="3" s="1"/>
  <c r="C1849" i="3"/>
  <c r="D1849" i="3"/>
  <c r="E1849" i="3"/>
  <c r="F1849" i="3"/>
  <c r="G1849" i="3"/>
  <c r="H1849" i="3"/>
  <c r="I1849" i="3"/>
  <c r="J1849" i="3"/>
  <c r="B1850" i="3"/>
  <c r="K1850" i="3" s="1"/>
  <c r="C1850" i="3"/>
  <c r="D1850" i="3"/>
  <c r="E1850" i="3"/>
  <c r="F1850" i="3"/>
  <c r="G1850" i="3"/>
  <c r="H1850" i="3"/>
  <c r="I1850" i="3"/>
  <c r="J1850" i="3"/>
  <c r="B1851" i="3"/>
  <c r="K1851" i="3" s="1"/>
  <c r="C1851" i="3"/>
  <c r="D1851" i="3"/>
  <c r="E1851" i="3"/>
  <c r="F1851" i="3"/>
  <c r="G1851" i="3"/>
  <c r="H1851" i="3"/>
  <c r="I1851" i="3"/>
  <c r="J1851" i="3"/>
  <c r="B1852" i="3"/>
  <c r="K1852" i="3" s="1"/>
  <c r="C1852" i="3"/>
  <c r="D1852" i="3"/>
  <c r="E1852" i="3"/>
  <c r="F1852" i="3"/>
  <c r="G1852" i="3"/>
  <c r="H1852" i="3"/>
  <c r="I1852" i="3"/>
  <c r="J1852" i="3"/>
  <c r="B1853" i="3"/>
  <c r="K1853" i="3" s="1"/>
  <c r="C1853" i="3"/>
  <c r="D1853" i="3"/>
  <c r="E1853" i="3"/>
  <c r="F1853" i="3"/>
  <c r="G1853" i="3"/>
  <c r="H1853" i="3"/>
  <c r="I1853" i="3"/>
  <c r="J1853" i="3"/>
  <c r="B1854" i="3"/>
  <c r="K1854" i="3" s="1"/>
  <c r="C1854" i="3"/>
  <c r="D1854" i="3"/>
  <c r="E1854" i="3"/>
  <c r="F1854" i="3"/>
  <c r="G1854" i="3"/>
  <c r="H1854" i="3"/>
  <c r="I1854" i="3"/>
  <c r="J1854" i="3"/>
  <c r="B1855" i="3"/>
  <c r="K1855" i="3" s="1"/>
  <c r="C1855" i="3"/>
  <c r="D1855" i="3"/>
  <c r="E1855" i="3"/>
  <c r="F1855" i="3"/>
  <c r="G1855" i="3"/>
  <c r="H1855" i="3"/>
  <c r="I1855" i="3"/>
  <c r="J1855" i="3"/>
  <c r="B1856" i="3"/>
  <c r="K1856" i="3" s="1"/>
  <c r="C1856" i="3"/>
  <c r="D1856" i="3"/>
  <c r="E1856" i="3"/>
  <c r="F1856" i="3"/>
  <c r="G1856" i="3"/>
  <c r="H1856" i="3"/>
  <c r="I1856" i="3"/>
  <c r="J1856" i="3"/>
  <c r="B1857" i="3"/>
  <c r="K1857" i="3" s="1"/>
  <c r="C1857" i="3"/>
  <c r="D1857" i="3"/>
  <c r="E1857" i="3"/>
  <c r="F1857" i="3"/>
  <c r="G1857" i="3"/>
  <c r="H1857" i="3"/>
  <c r="I1857" i="3"/>
  <c r="J1857" i="3"/>
  <c r="B1858" i="3"/>
  <c r="K1858" i="3" s="1"/>
  <c r="C1858" i="3"/>
  <c r="D1858" i="3"/>
  <c r="E1858" i="3"/>
  <c r="F1858" i="3"/>
  <c r="G1858" i="3"/>
  <c r="H1858" i="3"/>
  <c r="I1858" i="3"/>
  <c r="J1858" i="3"/>
  <c r="B1859" i="3"/>
  <c r="K1859" i="3" s="1"/>
  <c r="C1859" i="3"/>
  <c r="D1859" i="3"/>
  <c r="E1859" i="3"/>
  <c r="F1859" i="3"/>
  <c r="G1859" i="3"/>
  <c r="H1859" i="3"/>
  <c r="I1859" i="3"/>
  <c r="J1859" i="3"/>
  <c r="B1860" i="3"/>
  <c r="K1860" i="3" s="1"/>
  <c r="C1860" i="3"/>
  <c r="D1860" i="3"/>
  <c r="E1860" i="3"/>
  <c r="F1860" i="3"/>
  <c r="G1860" i="3"/>
  <c r="H1860" i="3"/>
  <c r="I1860" i="3"/>
  <c r="J1860" i="3"/>
  <c r="B1861" i="3"/>
  <c r="K1861" i="3" s="1"/>
  <c r="C1861" i="3"/>
  <c r="D1861" i="3"/>
  <c r="E1861" i="3"/>
  <c r="F1861" i="3"/>
  <c r="G1861" i="3"/>
  <c r="H1861" i="3"/>
  <c r="I1861" i="3"/>
  <c r="J1861" i="3"/>
  <c r="B1862" i="3"/>
  <c r="K1862" i="3" s="1"/>
  <c r="C1862" i="3"/>
  <c r="D1862" i="3"/>
  <c r="E1862" i="3"/>
  <c r="F1862" i="3"/>
  <c r="G1862" i="3"/>
  <c r="H1862" i="3"/>
  <c r="I1862" i="3"/>
  <c r="J1862" i="3"/>
  <c r="B1863" i="3"/>
  <c r="K1863" i="3" s="1"/>
  <c r="C1863" i="3"/>
  <c r="D1863" i="3"/>
  <c r="E1863" i="3"/>
  <c r="F1863" i="3"/>
  <c r="G1863" i="3"/>
  <c r="H1863" i="3"/>
  <c r="I1863" i="3"/>
  <c r="J1863" i="3"/>
  <c r="B1864" i="3"/>
  <c r="K1864" i="3" s="1"/>
  <c r="C1864" i="3"/>
  <c r="D1864" i="3"/>
  <c r="E1864" i="3"/>
  <c r="F1864" i="3"/>
  <c r="G1864" i="3"/>
  <c r="H1864" i="3"/>
  <c r="I1864" i="3"/>
  <c r="J1864" i="3"/>
  <c r="B1865" i="3"/>
  <c r="C1865" i="3"/>
  <c r="D1865" i="3"/>
  <c r="E1865" i="3"/>
  <c r="F1865" i="3"/>
  <c r="G1865" i="3"/>
  <c r="H1865" i="3"/>
  <c r="I1865" i="3"/>
  <c r="J1865" i="3"/>
  <c r="K1865" i="3"/>
  <c r="B1866" i="3"/>
  <c r="K1866" i="3" s="1"/>
  <c r="C1866" i="3"/>
  <c r="D1866" i="3"/>
  <c r="E1866" i="3"/>
  <c r="F1866" i="3"/>
  <c r="G1866" i="3"/>
  <c r="H1866" i="3"/>
  <c r="I1866" i="3"/>
  <c r="J1866" i="3"/>
  <c r="B1867" i="3"/>
  <c r="K1867" i="3" s="1"/>
  <c r="C1867" i="3"/>
  <c r="D1867" i="3"/>
  <c r="E1867" i="3"/>
  <c r="F1867" i="3"/>
  <c r="G1867" i="3"/>
  <c r="H1867" i="3"/>
  <c r="I1867" i="3"/>
  <c r="J1867" i="3"/>
  <c r="B1868" i="3"/>
  <c r="K1868" i="3" s="1"/>
  <c r="C1868" i="3"/>
  <c r="D1868" i="3"/>
  <c r="E1868" i="3"/>
  <c r="F1868" i="3"/>
  <c r="G1868" i="3"/>
  <c r="H1868" i="3"/>
  <c r="I1868" i="3"/>
  <c r="J1868" i="3"/>
  <c r="B1869" i="3"/>
  <c r="K1869" i="3" s="1"/>
  <c r="C1869" i="3"/>
  <c r="D1869" i="3"/>
  <c r="E1869" i="3"/>
  <c r="F1869" i="3"/>
  <c r="G1869" i="3"/>
  <c r="H1869" i="3"/>
  <c r="I1869" i="3"/>
  <c r="J1869" i="3"/>
  <c r="B1870" i="3"/>
  <c r="K1870" i="3" s="1"/>
  <c r="C1870" i="3"/>
  <c r="D1870" i="3"/>
  <c r="E1870" i="3"/>
  <c r="F1870" i="3"/>
  <c r="G1870" i="3"/>
  <c r="H1870" i="3"/>
  <c r="I1870" i="3"/>
  <c r="J1870" i="3"/>
  <c r="B1871" i="3"/>
  <c r="K1871" i="3" s="1"/>
  <c r="C1871" i="3"/>
  <c r="D1871" i="3"/>
  <c r="E1871" i="3"/>
  <c r="F1871" i="3"/>
  <c r="G1871" i="3"/>
  <c r="H1871" i="3"/>
  <c r="I1871" i="3"/>
  <c r="J1871" i="3"/>
  <c r="B1872" i="3"/>
  <c r="K1872" i="3" s="1"/>
  <c r="C1872" i="3"/>
  <c r="D1872" i="3"/>
  <c r="E1872" i="3"/>
  <c r="F1872" i="3"/>
  <c r="G1872" i="3"/>
  <c r="H1872" i="3"/>
  <c r="I1872" i="3"/>
  <c r="J1872" i="3"/>
  <c r="B1873" i="3"/>
  <c r="K1873" i="3" s="1"/>
  <c r="C1873" i="3"/>
  <c r="D1873" i="3"/>
  <c r="E1873" i="3"/>
  <c r="F1873" i="3"/>
  <c r="G1873" i="3"/>
  <c r="H1873" i="3"/>
  <c r="I1873" i="3"/>
  <c r="J1873" i="3"/>
  <c r="B1874" i="3"/>
  <c r="K1874" i="3" s="1"/>
  <c r="C1874" i="3"/>
  <c r="D1874" i="3"/>
  <c r="E1874" i="3"/>
  <c r="F1874" i="3"/>
  <c r="G1874" i="3"/>
  <c r="H1874" i="3"/>
  <c r="I1874" i="3"/>
  <c r="J1874" i="3"/>
  <c r="B1875" i="3"/>
  <c r="K1875" i="3" s="1"/>
  <c r="C1875" i="3"/>
  <c r="D1875" i="3"/>
  <c r="E1875" i="3"/>
  <c r="F1875" i="3"/>
  <c r="G1875" i="3"/>
  <c r="H1875" i="3"/>
  <c r="I1875" i="3"/>
  <c r="J1875" i="3"/>
  <c r="B1876" i="3"/>
  <c r="K1876" i="3" s="1"/>
  <c r="C1876" i="3"/>
  <c r="D1876" i="3"/>
  <c r="E1876" i="3"/>
  <c r="F1876" i="3"/>
  <c r="G1876" i="3"/>
  <c r="H1876" i="3"/>
  <c r="I1876" i="3"/>
  <c r="J1876" i="3"/>
  <c r="B1877" i="3"/>
  <c r="K1877" i="3" s="1"/>
  <c r="C1877" i="3"/>
  <c r="D1877" i="3"/>
  <c r="E1877" i="3"/>
  <c r="F1877" i="3"/>
  <c r="G1877" i="3"/>
  <c r="H1877" i="3"/>
  <c r="I1877" i="3"/>
  <c r="J1877" i="3"/>
  <c r="B1878" i="3"/>
  <c r="K1878" i="3" s="1"/>
  <c r="C1878" i="3"/>
  <c r="D1878" i="3"/>
  <c r="E1878" i="3"/>
  <c r="F1878" i="3"/>
  <c r="G1878" i="3"/>
  <c r="H1878" i="3"/>
  <c r="I1878" i="3"/>
  <c r="J1878" i="3"/>
  <c r="B1879" i="3"/>
  <c r="K1879" i="3" s="1"/>
  <c r="C1879" i="3"/>
  <c r="D1879" i="3"/>
  <c r="E1879" i="3"/>
  <c r="F1879" i="3"/>
  <c r="G1879" i="3"/>
  <c r="H1879" i="3"/>
  <c r="I1879" i="3"/>
  <c r="J1879" i="3"/>
  <c r="B1880" i="3"/>
  <c r="C1880" i="3"/>
  <c r="D1880" i="3"/>
  <c r="E1880" i="3"/>
  <c r="F1880" i="3"/>
  <c r="G1880" i="3"/>
  <c r="H1880" i="3"/>
  <c r="I1880" i="3"/>
  <c r="J1880" i="3"/>
  <c r="K1880" i="3"/>
  <c r="B1881" i="3"/>
  <c r="K1881" i="3" s="1"/>
  <c r="C1881" i="3"/>
  <c r="D1881" i="3"/>
  <c r="E1881" i="3"/>
  <c r="F1881" i="3"/>
  <c r="G1881" i="3"/>
  <c r="H1881" i="3"/>
  <c r="I1881" i="3"/>
  <c r="J1881" i="3"/>
  <c r="B1882" i="3"/>
  <c r="K1882" i="3" s="1"/>
  <c r="C1882" i="3"/>
  <c r="D1882" i="3"/>
  <c r="E1882" i="3"/>
  <c r="F1882" i="3"/>
  <c r="G1882" i="3"/>
  <c r="H1882" i="3"/>
  <c r="I1882" i="3"/>
  <c r="J1882" i="3"/>
  <c r="B1883" i="3"/>
  <c r="K1883" i="3" s="1"/>
  <c r="C1883" i="3"/>
  <c r="D1883" i="3"/>
  <c r="E1883" i="3"/>
  <c r="F1883" i="3"/>
  <c r="G1883" i="3"/>
  <c r="H1883" i="3"/>
  <c r="I1883" i="3"/>
  <c r="J1883" i="3"/>
  <c r="B1884" i="3"/>
  <c r="K1884" i="3" s="1"/>
  <c r="C1884" i="3"/>
  <c r="D1884" i="3"/>
  <c r="E1884" i="3"/>
  <c r="F1884" i="3"/>
  <c r="G1884" i="3"/>
  <c r="H1884" i="3"/>
  <c r="I1884" i="3"/>
  <c r="J1884" i="3"/>
  <c r="B1885" i="3"/>
  <c r="K1885" i="3" s="1"/>
  <c r="C1885" i="3"/>
  <c r="D1885" i="3"/>
  <c r="E1885" i="3"/>
  <c r="F1885" i="3"/>
  <c r="G1885" i="3"/>
  <c r="H1885" i="3"/>
  <c r="I1885" i="3"/>
  <c r="J1885" i="3"/>
  <c r="B1886" i="3"/>
  <c r="K1886" i="3" s="1"/>
  <c r="C1886" i="3"/>
  <c r="D1886" i="3"/>
  <c r="E1886" i="3"/>
  <c r="F1886" i="3"/>
  <c r="G1886" i="3"/>
  <c r="H1886" i="3"/>
  <c r="I1886" i="3"/>
  <c r="J1886" i="3"/>
  <c r="B1887" i="3"/>
  <c r="K1887" i="3" s="1"/>
  <c r="C1887" i="3"/>
  <c r="D1887" i="3"/>
  <c r="E1887" i="3"/>
  <c r="F1887" i="3"/>
  <c r="G1887" i="3"/>
  <c r="H1887" i="3"/>
  <c r="I1887" i="3"/>
  <c r="J1887" i="3"/>
  <c r="B1888" i="3"/>
  <c r="K1888" i="3" s="1"/>
  <c r="C1888" i="3"/>
  <c r="D1888" i="3"/>
  <c r="E1888" i="3"/>
  <c r="F1888" i="3"/>
  <c r="G1888" i="3"/>
  <c r="H1888" i="3"/>
  <c r="I1888" i="3"/>
  <c r="J1888" i="3"/>
  <c r="B1889" i="3"/>
  <c r="K1889" i="3" s="1"/>
  <c r="C1889" i="3"/>
  <c r="D1889" i="3"/>
  <c r="E1889" i="3"/>
  <c r="F1889" i="3"/>
  <c r="G1889" i="3"/>
  <c r="H1889" i="3"/>
  <c r="I1889" i="3"/>
  <c r="J1889" i="3"/>
  <c r="B1890" i="3"/>
  <c r="K1890" i="3" s="1"/>
  <c r="C1890" i="3"/>
  <c r="D1890" i="3"/>
  <c r="E1890" i="3"/>
  <c r="F1890" i="3"/>
  <c r="G1890" i="3"/>
  <c r="H1890" i="3"/>
  <c r="I1890" i="3"/>
  <c r="J1890" i="3"/>
  <c r="B1891" i="3"/>
  <c r="K1891" i="3" s="1"/>
  <c r="C1891" i="3"/>
  <c r="D1891" i="3"/>
  <c r="E1891" i="3"/>
  <c r="F1891" i="3"/>
  <c r="G1891" i="3"/>
  <c r="H1891" i="3"/>
  <c r="I1891" i="3"/>
  <c r="J1891" i="3"/>
  <c r="B1892" i="3"/>
  <c r="K1892" i="3" s="1"/>
  <c r="C1892" i="3"/>
  <c r="D1892" i="3"/>
  <c r="E1892" i="3"/>
  <c r="F1892" i="3"/>
  <c r="G1892" i="3"/>
  <c r="H1892" i="3"/>
  <c r="I1892" i="3"/>
  <c r="J1892" i="3"/>
  <c r="B1893" i="3"/>
  <c r="K1893" i="3" s="1"/>
  <c r="C1893" i="3"/>
  <c r="D1893" i="3"/>
  <c r="E1893" i="3"/>
  <c r="F1893" i="3"/>
  <c r="G1893" i="3"/>
  <c r="H1893" i="3"/>
  <c r="I1893" i="3"/>
  <c r="J1893" i="3"/>
  <c r="B1894" i="3"/>
  <c r="K1894" i="3" s="1"/>
  <c r="C1894" i="3"/>
  <c r="D1894" i="3"/>
  <c r="E1894" i="3"/>
  <c r="F1894" i="3"/>
  <c r="G1894" i="3"/>
  <c r="H1894" i="3"/>
  <c r="I1894" i="3"/>
  <c r="J1894" i="3"/>
  <c r="B1895" i="3"/>
  <c r="K1895" i="3" s="1"/>
  <c r="C1895" i="3"/>
  <c r="D1895" i="3"/>
  <c r="E1895" i="3"/>
  <c r="F1895" i="3"/>
  <c r="G1895" i="3"/>
  <c r="H1895" i="3"/>
  <c r="I1895" i="3"/>
  <c r="J1895" i="3"/>
  <c r="B1896" i="3"/>
  <c r="K1896" i="3" s="1"/>
  <c r="C1896" i="3"/>
  <c r="D1896" i="3"/>
  <c r="E1896" i="3"/>
  <c r="F1896" i="3"/>
  <c r="G1896" i="3"/>
  <c r="H1896" i="3"/>
  <c r="I1896" i="3"/>
  <c r="J1896" i="3"/>
  <c r="B1897" i="3"/>
  <c r="K1897" i="3" s="1"/>
  <c r="C1897" i="3"/>
  <c r="D1897" i="3"/>
  <c r="E1897" i="3"/>
  <c r="F1897" i="3"/>
  <c r="G1897" i="3"/>
  <c r="H1897" i="3"/>
  <c r="I1897" i="3"/>
  <c r="J1897" i="3"/>
  <c r="B1898" i="3"/>
  <c r="K1898" i="3" s="1"/>
  <c r="C1898" i="3"/>
  <c r="D1898" i="3"/>
  <c r="E1898" i="3"/>
  <c r="F1898" i="3"/>
  <c r="G1898" i="3"/>
  <c r="H1898" i="3"/>
  <c r="I1898" i="3"/>
  <c r="J1898" i="3"/>
  <c r="B1899" i="3"/>
  <c r="K1899" i="3" s="1"/>
  <c r="C1899" i="3"/>
  <c r="D1899" i="3"/>
  <c r="E1899" i="3"/>
  <c r="F1899" i="3"/>
  <c r="G1899" i="3"/>
  <c r="H1899" i="3"/>
  <c r="I1899" i="3"/>
  <c r="J1899" i="3"/>
  <c r="B1900" i="3"/>
  <c r="K1900" i="3" s="1"/>
  <c r="C1900" i="3"/>
  <c r="D1900" i="3"/>
  <c r="E1900" i="3"/>
  <c r="F1900" i="3"/>
  <c r="G1900" i="3"/>
  <c r="H1900" i="3"/>
  <c r="I1900" i="3"/>
  <c r="J1900" i="3"/>
  <c r="B1901" i="3"/>
  <c r="K1901" i="3" s="1"/>
  <c r="C1901" i="3"/>
  <c r="D1901" i="3"/>
  <c r="E1901" i="3"/>
  <c r="F1901" i="3"/>
  <c r="G1901" i="3"/>
  <c r="H1901" i="3"/>
  <c r="I1901" i="3"/>
  <c r="J1901" i="3"/>
  <c r="B1902" i="3"/>
  <c r="K1902" i="3" s="1"/>
  <c r="C1902" i="3"/>
  <c r="D1902" i="3"/>
  <c r="E1902" i="3"/>
  <c r="F1902" i="3"/>
  <c r="G1902" i="3"/>
  <c r="H1902" i="3"/>
  <c r="I1902" i="3"/>
  <c r="J1902" i="3"/>
  <c r="B1903" i="3"/>
  <c r="K1903" i="3" s="1"/>
  <c r="C1903" i="3"/>
  <c r="D1903" i="3"/>
  <c r="E1903" i="3"/>
  <c r="F1903" i="3"/>
  <c r="G1903" i="3"/>
  <c r="H1903" i="3"/>
  <c r="I1903" i="3"/>
  <c r="J1903" i="3"/>
  <c r="B1904" i="3"/>
  <c r="K1904" i="3" s="1"/>
  <c r="C1904" i="3"/>
  <c r="D1904" i="3"/>
  <c r="E1904" i="3"/>
  <c r="F1904" i="3"/>
  <c r="G1904" i="3"/>
  <c r="H1904" i="3"/>
  <c r="I1904" i="3"/>
  <c r="J1904" i="3"/>
  <c r="B1905" i="3"/>
  <c r="K1905" i="3" s="1"/>
  <c r="C1905" i="3"/>
  <c r="D1905" i="3"/>
  <c r="E1905" i="3"/>
  <c r="F1905" i="3"/>
  <c r="G1905" i="3"/>
  <c r="H1905" i="3"/>
  <c r="I1905" i="3"/>
  <c r="J1905" i="3"/>
  <c r="B1906" i="3"/>
  <c r="K1906" i="3" s="1"/>
  <c r="C1906" i="3"/>
  <c r="D1906" i="3"/>
  <c r="E1906" i="3"/>
  <c r="F1906" i="3"/>
  <c r="G1906" i="3"/>
  <c r="H1906" i="3"/>
  <c r="I1906" i="3"/>
  <c r="J1906" i="3"/>
  <c r="B1907" i="3"/>
  <c r="K1907" i="3" s="1"/>
  <c r="C1907" i="3"/>
  <c r="D1907" i="3"/>
  <c r="E1907" i="3"/>
  <c r="F1907" i="3"/>
  <c r="G1907" i="3"/>
  <c r="H1907" i="3"/>
  <c r="I1907" i="3"/>
  <c r="J1907" i="3"/>
  <c r="B1908" i="3"/>
  <c r="C1908" i="3"/>
  <c r="D1908" i="3"/>
  <c r="E1908" i="3"/>
  <c r="F1908" i="3"/>
  <c r="G1908" i="3"/>
  <c r="H1908" i="3"/>
  <c r="I1908" i="3"/>
  <c r="J1908" i="3"/>
  <c r="K1908" i="3"/>
  <c r="B1909" i="3"/>
  <c r="K1909" i="3" s="1"/>
  <c r="C1909" i="3"/>
  <c r="D1909" i="3"/>
  <c r="E1909" i="3"/>
  <c r="F1909" i="3"/>
  <c r="G1909" i="3"/>
  <c r="H1909" i="3"/>
  <c r="I1909" i="3"/>
  <c r="J1909" i="3"/>
  <c r="B1910" i="3"/>
  <c r="K1910" i="3" s="1"/>
  <c r="C1910" i="3"/>
  <c r="D1910" i="3"/>
  <c r="E1910" i="3"/>
  <c r="F1910" i="3"/>
  <c r="G1910" i="3"/>
  <c r="H1910" i="3"/>
  <c r="I1910" i="3"/>
  <c r="J1910" i="3"/>
  <c r="B1911" i="3"/>
  <c r="K1911" i="3" s="1"/>
  <c r="C1911" i="3"/>
  <c r="D1911" i="3"/>
  <c r="E1911" i="3"/>
  <c r="F1911" i="3"/>
  <c r="G1911" i="3"/>
  <c r="H1911" i="3"/>
  <c r="I1911" i="3"/>
  <c r="J1911" i="3"/>
  <c r="B1912" i="3"/>
  <c r="K1912" i="3" s="1"/>
  <c r="C1912" i="3"/>
  <c r="D1912" i="3"/>
  <c r="E1912" i="3"/>
  <c r="F1912" i="3"/>
  <c r="G1912" i="3"/>
  <c r="H1912" i="3"/>
  <c r="I1912" i="3"/>
  <c r="J1912" i="3"/>
  <c r="B1913" i="3"/>
  <c r="K1913" i="3" s="1"/>
  <c r="C1913" i="3"/>
  <c r="D1913" i="3"/>
  <c r="E1913" i="3"/>
  <c r="F1913" i="3"/>
  <c r="G1913" i="3"/>
  <c r="H1913" i="3"/>
  <c r="I1913" i="3"/>
  <c r="J1913" i="3"/>
  <c r="B1914" i="3"/>
  <c r="K1914" i="3" s="1"/>
  <c r="C1914" i="3"/>
  <c r="D1914" i="3"/>
  <c r="E1914" i="3"/>
  <c r="F1914" i="3"/>
  <c r="G1914" i="3"/>
  <c r="H1914" i="3"/>
  <c r="I1914" i="3"/>
  <c r="J1914" i="3"/>
  <c r="B1915" i="3"/>
  <c r="K1915" i="3" s="1"/>
  <c r="C1915" i="3"/>
  <c r="D1915" i="3"/>
  <c r="E1915" i="3"/>
  <c r="F1915" i="3"/>
  <c r="G1915" i="3"/>
  <c r="H1915" i="3"/>
  <c r="I1915" i="3"/>
  <c r="J1915" i="3"/>
  <c r="B1916" i="3"/>
  <c r="K1916" i="3" s="1"/>
  <c r="C1916" i="3"/>
  <c r="D1916" i="3"/>
  <c r="E1916" i="3"/>
  <c r="F1916" i="3"/>
  <c r="G1916" i="3"/>
  <c r="H1916" i="3"/>
  <c r="I1916" i="3"/>
  <c r="J1916" i="3"/>
  <c r="B1917" i="3"/>
  <c r="K1917" i="3" s="1"/>
  <c r="C1917" i="3"/>
  <c r="D1917" i="3"/>
  <c r="E1917" i="3"/>
  <c r="F1917" i="3"/>
  <c r="G1917" i="3"/>
  <c r="H1917" i="3"/>
  <c r="I1917" i="3"/>
  <c r="J1917" i="3"/>
  <c r="B1918" i="3"/>
  <c r="K1918" i="3" s="1"/>
  <c r="C1918" i="3"/>
  <c r="D1918" i="3"/>
  <c r="E1918" i="3"/>
  <c r="F1918" i="3"/>
  <c r="G1918" i="3"/>
  <c r="H1918" i="3"/>
  <c r="I1918" i="3"/>
  <c r="J1918" i="3"/>
  <c r="B1919" i="3"/>
  <c r="K1919" i="3" s="1"/>
  <c r="C1919" i="3"/>
  <c r="D1919" i="3"/>
  <c r="E1919" i="3"/>
  <c r="F1919" i="3"/>
  <c r="G1919" i="3"/>
  <c r="H1919" i="3"/>
  <c r="I1919" i="3"/>
  <c r="J1919" i="3"/>
  <c r="B1920" i="3"/>
  <c r="K1920" i="3" s="1"/>
  <c r="C1920" i="3"/>
  <c r="D1920" i="3"/>
  <c r="E1920" i="3"/>
  <c r="F1920" i="3"/>
  <c r="G1920" i="3"/>
  <c r="H1920" i="3"/>
  <c r="I1920" i="3"/>
  <c r="J1920" i="3"/>
  <c r="B1921" i="3"/>
  <c r="C1921" i="3"/>
  <c r="D1921" i="3"/>
  <c r="E1921" i="3"/>
  <c r="F1921" i="3"/>
  <c r="G1921" i="3"/>
  <c r="H1921" i="3"/>
  <c r="I1921" i="3"/>
  <c r="J1921" i="3"/>
  <c r="K1921" i="3"/>
  <c r="B1922" i="3"/>
  <c r="K1922" i="3" s="1"/>
  <c r="C1922" i="3"/>
  <c r="D1922" i="3"/>
  <c r="E1922" i="3"/>
  <c r="F1922" i="3"/>
  <c r="G1922" i="3"/>
  <c r="H1922" i="3"/>
  <c r="I1922" i="3"/>
  <c r="J1922" i="3"/>
  <c r="B1923" i="3"/>
  <c r="K1923" i="3" s="1"/>
  <c r="C1923" i="3"/>
  <c r="D1923" i="3"/>
  <c r="E1923" i="3"/>
  <c r="F1923" i="3"/>
  <c r="G1923" i="3"/>
  <c r="H1923" i="3"/>
  <c r="I1923" i="3"/>
  <c r="J1923" i="3"/>
  <c r="B1924" i="3"/>
  <c r="K1924" i="3" s="1"/>
  <c r="C1924" i="3"/>
  <c r="D1924" i="3"/>
  <c r="E1924" i="3"/>
  <c r="F1924" i="3"/>
  <c r="G1924" i="3"/>
  <c r="H1924" i="3"/>
  <c r="I1924" i="3"/>
  <c r="J1924" i="3"/>
  <c r="B1925" i="3"/>
  <c r="K1925" i="3" s="1"/>
  <c r="C1925" i="3"/>
  <c r="D1925" i="3"/>
  <c r="E1925" i="3"/>
  <c r="F1925" i="3"/>
  <c r="G1925" i="3"/>
  <c r="H1925" i="3"/>
  <c r="I1925" i="3"/>
  <c r="J1925" i="3"/>
  <c r="B1926" i="3"/>
  <c r="K1926" i="3" s="1"/>
  <c r="C1926" i="3"/>
  <c r="D1926" i="3"/>
  <c r="E1926" i="3"/>
  <c r="F1926" i="3"/>
  <c r="G1926" i="3"/>
  <c r="H1926" i="3"/>
  <c r="I1926" i="3"/>
  <c r="J1926" i="3"/>
  <c r="B1927" i="3"/>
  <c r="K1927" i="3" s="1"/>
  <c r="C1927" i="3"/>
  <c r="D1927" i="3"/>
  <c r="E1927" i="3"/>
  <c r="F1927" i="3"/>
  <c r="G1927" i="3"/>
  <c r="H1927" i="3"/>
  <c r="I1927" i="3"/>
  <c r="J1927" i="3"/>
  <c r="B1928" i="3"/>
  <c r="K1928" i="3" s="1"/>
  <c r="C1928" i="3"/>
  <c r="D1928" i="3"/>
  <c r="E1928" i="3"/>
  <c r="F1928" i="3"/>
  <c r="G1928" i="3"/>
  <c r="H1928" i="3"/>
  <c r="I1928" i="3"/>
  <c r="J1928" i="3"/>
  <c r="B1929" i="3"/>
  <c r="K1929" i="3" s="1"/>
  <c r="C1929" i="3"/>
  <c r="D1929" i="3"/>
  <c r="E1929" i="3"/>
  <c r="F1929" i="3"/>
  <c r="G1929" i="3"/>
  <c r="H1929" i="3"/>
  <c r="I1929" i="3"/>
  <c r="J1929" i="3"/>
  <c r="B1930" i="3"/>
  <c r="K1930" i="3" s="1"/>
  <c r="C1930" i="3"/>
  <c r="D1930" i="3"/>
  <c r="E1930" i="3"/>
  <c r="F1930" i="3"/>
  <c r="G1930" i="3"/>
  <c r="H1930" i="3"/>
  <c r="I1930" i="3"/>
  <c r="J1930" i="3"/>
  <c r="B1931" i="3"/>
  <c r="K1931" i="3" s="1"/>
  <c r="C1931" i="3"/>
  <c r="D1931" i="3"/>
  <c r="E1931" i="3"/>
  <c r="F1931" i="3"/>
  <c r="G1931" i="3"/>
  <c r="H1931" i="3"/>
  <c r="I1931" i="3"/>
  <c r="J1931" i="3"/>
  <c r="B1932" i="3"/>
  <c r="K1932" i="3" s="1"/>
  <c r="C1932" i="3"/>
  <c r="D1932" i="3"/>
  <c r="E1932" i="3"/>
  <c r="F1932" i="3"/>
  <c r="G1932" i="3"/>
  <c r="H1932" i="3"/>
  <c r="I1932" i="3"/>
  <c r="J1932" i="3"/>
  <c r="B1933" i="3"/>
  <c r="K1933" i="3" s="1"/>
  <c r="C1933" i="3"/>
  <c r="D1933" i="3"/>
  <c r="E1933" i="3"/>
  <c r="F1933" i="3"/>
  <c r="G1933" i="3"/>
  <c r="H1933" i="3"/>
  <c r="I1933" i="3"/>
  <c r="J1933" i="3"/>
  <c r="B1934" i="3"/>
  <c r="K1934" i="3" s="1"/>
  <c r="C1934" i="3"/>
  <c r="D1934" i="3"/>
  <c r="E1934" i="3"/>
  <c r="F1934" i="3"/>
  <c r="G1934" i="3"/>
  <c r="H1934" i="3"/>
  <c r="I1934" i="3"/>
  <c r="J1934" i="3"/>
  <c r="B1935" i="3"/>
  <c r="C1935" i="3"/>
  <c r="D1935" i="3"/>
  <c r="E1935" i="3"/>
  <c r="F1935" i="3"/>
  <c r="G1935" i="3"/>
  <c r="H1935" i="3"/>
  <c r="I1935" i="3"/>
  <c r="J1935" i="3"/>
  <c r="K1935" i="3"/>
  <c r="B1936" i="3"/>
  <c r="K1936" i="3" s="1"/>
  <c r="C1936" i="3"/>
  <c r="D1936" i="3"/>
  <c r="E1936" i="3"/>
  <c r="F1936" i="3"/>
  <c r="G1936" i="3"/>
  <c r="H1936" i="3"/>
  <c r="I1936" i="3"/>
  <c r="J1936" i="3"/>
  <c r="B1937" i="3"/>
  <c r="K1937" i="3" s="1"/>
  <c r="C1937" i="3"/>
  <c r="D1937" i="3"/>
  <c r="E1937" i="3"/>
  <c r="F1937" i="3"/>
  <c r="G1937" i="3"/>
  <c r="H1937" i="3"/>
  <c r="I1937" i="3"/>
  <c r="J1937" i="3"/>
  <c r="B1938" i="3"/>
  <c r="K1938" i="3" s="1"/>
  <c r="C1938" i="3"/>
  <c r="D1938" i="3"/>
  <c r="E1938" i="3"/>
  <c r="F1938" i="3"/>
  <c r="G1938" i="3"/>
  <c r="H1938" i="3"/>
  <c r="I1938" i="3"/>
  <c r="J1938" i="3"/>
  <c r="B1939" i="3"/>
  <c r="K1939" i="3" s="1"/>
  <c r="C1939" i="3"/>
  <c r="D1939" i="3"/>
  <c r="E1939" i="3"/>
  <c r="F1939" i="3"/>
  <c r="G1939" i="3"/>
  <c r="H1939" i="3"/>
  <c r="I1939" i="3"/>
  <c r="J1939" i="3"/>
  <c r="B1940" i="3"/>
  <c r="K1940" i="3" s="1"/>
  <c r="C1940" i="3"/>
  <c r="D1940" i="3"/>
  <c r="E1940" i="3"/>
  <c r="F1940" i="3"/>
  <c r="G1940" i="3"/>
  <c r="H1940" i="3"/>
  <c r="I1940" i="3"/>
  <c r="J1940" i="3"/>
  <c r="B1941" i="3"/>
  <c r="K1941" i="3" s="1"/>
  <c r="C1941" i="3"/>
  <c r="D1941" i="3"/>
  <c r="E1941" i="3"/>
  <c r="F1941" i="3"/>
  <c r="G1941" i="3"/>
  <c r="H1941" i="3"/>
  <c r="I1941" i="3"/>
  <c r="J1941" i="3"/>
  <c r="B1942" i="3"/>
  <c r="K1942" i="3" s="1"/>
  <c r="C1942" i="3"/>
  <c r="D1942" i="3"/>
  <c r="E1942" i="3"/>
  <c r="F1942" i="3"/>
  <c r="G1942" i="3"/>
  <c r="H1942" i="3"/>
  <c r="I1942" i="3"/>
  <c r="J1942" i="3"/>
  <c r="B1943" i="3"/>
  <c r="K1943" i="3" s="1"/>
  <c r="C1943" i="3"/>
  <c r="D1943" i="3"/>
  <c r="E1943" i="3"/>
  <c r="F1943" i="3"/>
  <c r="G1943" i="3"/>
  <c r="H1943" i="3"/>
  <c r="I1943" i="3"/>
  <c r="J1943" i="3"/>
  <c r="B1944" i="3"/>
  <c r="K1944" i="3" s="1"/>
  <c r="C1944" i="3"/>
  <c r="D1944" i="3"/>
  <c r="E1944" i="3"/>
  <c r="F1944" i="3"/>
  <c r="G1944" i="3"/>
  <c r="H1944" i="3"/>
  <c r="I1944" i="3"/>
  <c r="J1944" i="3"/>
  <c r="B1945" i="3"/>
  <c r="K1945" i="3" s="1"/>
  <c r="C1945" i="3"/>
  <c r="D1945" i="3"/>
  <c r="E1945" i="3"/>
  <c r="F1945" i="3"/>
  <c r="G1945" i="3"/>
  <c r="H1945" i="3"/>
  <c r="I1945" i="3"/>
  <c r="J1945" i="3"/>
  <c r="B1946" i="3"/>
  <c r="K1946" i="3" s="1"/>
  <c r="C1946" i="3"/>
  <c r="D1946" i="3"/>
  <c r="E1946" i="3"/>
  <c r="F1946" i="3"/>
  <c r="G1946" i="3"/>
  <c r="H1946" i="3"/>
  <c r="I1946" i="3"/>
  <c r="J1946" i="3"/>
  <c r="B1947" i="3"/>
  <c r="K1947" i="3" s="1"/>
  <c r="C1947" i="3"/>
  <c r="D1947" i="3"/>
  <c r="E1947" i="3"/>
  <c r="F1947" i="3"/>
  <c r="G1947" i="3"/>
  <c r="H1947" i="3"/>
  <c r="I1947" i="3"/>
  <c r="J1947" i="3"/>
  <c r="B1948" i="3"/>
  <c r="K1948" i="3" s="1"/>
  <c r="C1948" i="3"/>
  <c r="D1948" i="3"/>
  <c r="E1948" i="3"/>
  <c r="F1948" i="3"/>
  <c r="G1948" i="3"/>
  <c r="H1948" i="3"/>
  <c r="I1948" i="3"/>
  <c r="J1948" i="3"/>
  <c r="B1949" i="3"/>
  <c r="K1949" i="3" s="1"/>
  <c r="C1949" i="3"/>
  <c r="D1949" i="3"/>
  <c r="E1949" i="3"/>
  <c r="F1949" i="3"/>
  <c r="G1949" i="3"/>
  <c r="H1949" i="3"/>
  <c r="I1949" i="3"/>
  <c r="J1949" i="3"/>
  <c r="B1950" i="3"/>
  <c r="K1950" i="3" s="1"/>
  <c r="C1950" i="3"/>
  <c r="D1950" i="3"/>
  <c r="E1950" i="3"/>
  <c r="F1950" i="3"/>
  <c r="G1950" i="3"/>
  <c r="H1950" i="3"/>
  <c r="I1950" i="3"/>
  <c r="J1950" i="3"/>
  <c r="B1951" i="3"/>
  <c r="K1951" i="3" s="1"/>
  <c r="C1951" i="3"/>
  <c r="D1951" i="3"/>
  <c r="E1951" i="3"/>
  <c r="F1951" i="3"/>
  <c r="G1951" i="3"/>
  <c r="H1951" i="3"/>
  <c r="I1951" i="3"/>
  <c r="J1951" i="3"/>
  <c r="B1952" i="3"/>
  <c r="K1952" i="3" s="1"/>
  <c r="C1952" i="3"/>
  <c r="D1952" i="3"/>
  <c r="E1952" i="3"/>
  <c r="F1952" i="3"/>
  <c r="G1952" i="3"/>
  <c r="H1952" i="3"/>
  <c r="I1952" i="3"/>
  <c r="J1952" i="3"/>
  <c r="B1953" i="3"/>
  <c r="K1953" i="3" s="1"/>
  <c r="C1953" i="3"/>
  <c r="D1953" i="3"/>
  <c r="E1953" i="3"/>
  <c r="F1953" i="3"/>
  <c r="G1953" i="3"/>
  <c r="H1953" i="3"/>
  <c r="I1953" i="3"/>
  <c r="J1953" i="3"/>
  <c r="B1954" i="3"/>
  <c r="K1954" i="3" s="1"/>
  <c r="C1954" i="3"/>
  <c r="D1954" i="3"/>
  <c r="E1954" i="3"/>
  <c r="F1954" i="3"/>
  <c r="G1954" i="3"/>
  <c r="H1954" i="3"/>
  <c r="I1954" i="3"/>
  <c r="J1954" i="3"/>
  <c r="B1955" i="3"/>
  <c r="K1955" i="3" s="1"/>
  <c r="C1955" i="3"/>
  <c r="D1955" i="3"/>
  <c r="E1955" i="3"/>
  <c r="F1955" i="3"/>
  <c r="G1955" i="3"/>
  <c r="H1955" i="3"/>
  <c r="I1955" i="3"/>
  <c r="J1955" i="3"/>
  <c r="B1956" i="3"/>
  <c r="K1956" i="3" s="1"/>
  <c r="C1956" i="3"/>
  <c r="D1956" i="3"/>
  <c r="E1956" i="3"/>
  <c r="F1956" i="3"/>
  <c r="G1956" i="3"/>
  <c r="H1956" i="3"/>
  <c r="I1956" i="3"/>
  <c r="J1956" i="3"/>
  <c r="B1957" i="3"/>
  <c r="K1957" i="3" s="1"/>
  <c r="C1957" i="3"/>
  <c r="D1957" i="3"/>
  <c r="E1957" i="3"/>
  <c r="F1957" i="3"/>
  <c r="G1957" i="3"/>
  <c r="H1957" i="3"/>
  <c r="I1957" i="3"/>
  <c r="J1957" i="3"/>
  <c r="B1958" i="3"/>
  <c r="K1958" i="3" s="1"/>
  <c r="C1958" i="3"/>
  <c r="D1958" i="3"/>
  <c r="E1958" i="3"/>
  <c r="F1958" i="3"/>
  <c r="G1958" i="3"/>
  <c r="H1958" i="3"/>
  <c r="I1958" i="3"/>
  <c r="J1958" i="3"/>
  <c r="B1959" i="3"/>
  <c r="K1959" i="3" s="1"/>
  <c r="C1959" i="3"/>
  <c r="D1959" i="3"/>
  <c r="E1959" i="3"/>
  <c r="F1959" i="3"/>
  <c r="G1959" i="3"/>
  <c r="H1959" i="3"/>
  <c r="I1959" i="3"/>
  <c r="J1959" i="3"/>
  <c r="B1960" i="3"/>
  <c r="K1960" i="3" s="1"/>
  <c r="C1960" i="3"/>
  <c r="D1960" i="3"/>
  <c r="E1960" i="3"/>
  <c r="F1960" i="3"/>
  <c r="G1960" i="3"/>
  <c r="H1960" i="3"/>
  <c r="I1960" i="3"/>
  <c r="J1960" i="3"/>
  <c r="B1961" i="3"/>
  <c r="C1961" i="3"/>
  <c r="D1961" i="3"/>
  <c r="E1961" i="3"/>
  <c r="F1961" i="3"/>
  <c r="G1961" i="3"/>
  <c r="H1961" i="3"/>
  <c r="I1961" i="3"/>
  <c r="J1961" i="3"/>
  <c r="K1961" i="3"/>
  <c r="B1962" i="3"/>
  <c r="K1962" i="3" s="1"/>
  <c r="C1962" i="3"/>
  <c r="D1962" i="3"/>
  <c r="E1962" i="3"/>
  <c r="F1962" i="3"/>
  <c r="G1962" i="3"/>
  <c r="H1962" i="3"/>
  <c r="I1962" i="3"/>
  <c r="J1962" i="3"/>
  <c r="B1963" i="3"/>
  <c r="K1963" i="3" s="1"/>
  <c r="C1963" i="3"/>
  <c r="D1963" i="3"/>
  <c r="E1963" i="3"/>
  <c r="F1963" i="3"/>
  <c r="G1963" i="3"/>
  <c r="H1963" i="3"/>
  <c r="I1963" i="3"/>
  <c r="J1963" i="3"/>
  <c r="B1964" i="3"/>
  <c r="K1964" i="3" s="1"/>
  <c r="C1964" i="3"/>
  <c r="D1964" i="3"/>
  <c r="E1964" i="3"/>
  <c r="F1964" i="3"/>
  <c r="G1964" i="3"/>
  <c r="H1964" i="3"/>
  <c r="I1964" i="3"/>
  <c r="J1964" i="3"/>
  <c r="B1965" i="3"/>
  <c r="K1965" i="3" s="1"/>
  <c r="C1965" i="3"/>
  <c r="D1965" i="3"/>
  <c r="E1965" i="3"/>
  <c r="F1965" i="3"/>
  <c r="G1965" i="3"/>
  <c r="H1965" i="3"/>
  <c r="I1965" i="3"/>
  <c r="J1965" i="3"/>
  <c r="B1966" i="3"/>
  <c r="K1966" i="3" s="1"/>
  <c r="C1966" i="3"/>
  <c r="D1966" i="3"/>
  <c r="E1966" i="3"/>
  <c r="F1966" i="3"/>
  <c r="G1966" i="3"/>
  <c r="H1966" i="3"/>
  <c r="I1966" i="3"/>
  <c r="J1966" i="3"/>
  <c r="B1967" i="3"/>
  <c r="K1967" i="3" s="1"/>
  <c r="C1967" i="3"/>
  <c r="D1967" i="3"/>
  <c r="E1967" i="3"/>
  <c r="F1967" i="3"/>
  <c r="G1967" i="3"/>
  <c r="H1967" i="3"/>
  <c r="I1967" i="3"/>
  <c r="J1967" i="3"/>
  <c r="B1968" i="3"/>
  <c r="K1968" i="3" s="1"/>
  <c r="C1968" i="3"/>
  <c r="D1968" i="3"/>
  <c r="E1968" i="3"/>
  <c r="F1968" i="3"/>
  <c r="G1968" i="3"/>
  <c r="H1968" i="3"/>
  <c r="I1968" i="3"/>
  <c r="J1968" i="3"/>
  <c r="B1969" i="3"/>
  <c r="K1969" i="3" s="1"/>
  <c r="C1969" i="3"/>
  <c r="D1969" i="3"/>
  <c r="E1969" i="3"/>
  <c r="F1969" i="3"/>
  <c r="G1969" i="3"/>
  <c r="H1969" i="3"/>
  <c r="I1969" i="3"/>
  <c r="J1969" i="3"/>
  <c r="B1970" i="3"/>
  <c r="K1970" i="3" s="1"/>
  <c r="C1970" i="3"/>
  <c r="D1970" i="3"/>
  <c r="E1970" i="3"/>
  <c r="F1970" i="3"/>
  <c r="G1970" i="3"/>
  <c r="H1970" i="3"/>
  <c r="I1970" i="3"/>
  <c r="J1970" i="3"/>
  <c r="B1971" i="3"/>
  <c r="K1971" i="3" s="1"/>
  <c r="C1971" i="3"/>
  <c r="D1971" i="3"/>
  <c r="E1971" i="3"/>
  <c r="F1971" i="3"/>
  <c r="G1971" i="3"/>
  <c r="H1971" i="3"/>
  <c r="I1971" i="3"/>
  <c r="J1971" i="3"/>
  <c r="B1972" i="3"/>
  <c r="K1972" i="3" s="1"/>
  <c r="C1972" i="3"/>
  <c r="D1972" i="3"/>
  <c r="E1972" i="3"/>
  <c r="F1972" i="3"/>
  <c r="G1972" i="3"/>
  <c r="H1972" i="3"/>
  <c r="I1972" i="3"/>
  <c r="J1972" i="3"/>
  <c r="B1973" i="3"/>
  <c r="K1973" i="3" s="1"/>
  <c r="C1973" i="3"/>
  <c r="D1973" i="3"/>
  <c r="E1973" i="3"/>
  <c r="F1973" i="3"/>
  <c r="G1973" i="3"/>
  <c r="H1973" i="3"/>
  <c r="I1973" i="3"/>
  <c r="J1973" i="3"/>
  <c r="B1974" i="3"/>
  <c r="K1974" i="3" s="1"/>
  <c r="C1974" i="3"/>
  <c r="D1974" i="3"/>
  <c r="E1974" i="3"/>
  <c r="F1974" i="3"/>
  <c r="G1974" i="3"/>
  <c r="H1974" i="3"/>
  <c r="I1974" i="3"/>
  <c r="J1974" i="3"/>
  <c r="B1975" i="3"/>
  <c r="K1975" i="3" s="1"/>
  <c r="C1975" i="3"/>
  <c r="D1975" i="3"/>
  <c r="E1975" i="3"/>
  <c r="F1975" i="3"/>
  <c r="G1975" i="3"/>
  <c r="H1975" i="3"/>
  <c r="I1975" i="3"/>
  <c r="J1975" i="3"/>
  <c r="B1976" i="3"/>
  <c r="K1976" i="3" s="1"/>
  <c r="C1976" i="3"/>
  <c r="D1976" i="3"/>
  <c r="E1976" i="3"/>
  <c r="F1976" i="3"/>
  <c r="G1976" i="3"/>
  <c r="H1976" i="3"/>
  <c r="I1976" i="3"/>
  <c r="J1976" i="3"/>
  <c r="B1977" i="3"/>
  <c r="K1977" i="3" s="1"/>
  <c r="C1977" i="3"/>
  <c r="D1977" i="3"/>
  <c r="E1977" i="3"/>
  <c r="F1977" i="3"/>
  <c r="G1977" i="3"/>
  <c r="H1977" i="3"/>
  <c r="I1977" i="3"/>
  <c r="J1977" i="3"/>
  <c r="B1978" i="3"/>
  <c r="K1978" i="3" s="1"/>
  <c r="C1978" i="3"/>
  <c r="D1978" i="3"/>
  <c r="E1978" i="3"/>
  <c r="F1978" i="3"/>
  <c r="G1978" i="3"/>
  <c r="H1978" i="3"/>
  <c r="I1978" i="3"/>
  <c r="J1978" i="3"/>
  <c r="B1979" i="3"/>
  <c r="K1979" i="3" s="1"/>
  <c r="C1979" i="3"/>
  <c r="D1979" i="3"/>
  <c r="E1979" i="3"/>
  <c r="F1979" i="3"/>
  <c r="G1979" i="3"/>
  <c r="H1979" i="3"/>
  <c r="I1979" i="3"/>
  <c r="J1979" i="3"/>
  <c r="B1980" i="3"/>
  <c r="K1980" i="3" s="1"/>
  <c r="C1980" i="3"/>
  <c r="D1980" i="3"/>
  <c r="E1980" i="3"/>
  <c r="F1980" i="3"/>
  <c r="G1980" i="3"/>
  <c r="H1980" i="3"/>
  <c r="I1980" i="3"/>
  <c r="J1980" i="3"/>
  <c r="B1981" i="3"/>
  <c r="K1981" i="3" s="1"/>
  <c r="C1981" i="3"/>
  <c r="D1981" i="3"/>
  <c r="E1981" i="3"/>
  <c r="F1981" i="3"/>
  <c r="G1981" i="3"/>
  <c r="H1981" i="3"/>
  <c r="I1981" i="3"/>
  <c r="J1981" i="3"/>
  <c r="B1982" i="3"/>
  <c r="K1982" i="3" s="1"/>
  <c r="C1982" i="3"/>
  <c r="D1982" i="3"/>
  <c r="E1982" i="3"/>
  <c r="F1982" i="3"/>
  <c r="G1982" i="3"/>
  <c r="H1982" i="3"/>
  <c r="I1982" i="3"/>
  <c r="J1982" i="3"/>
  <c r="B1983" i="3"/>
  <c r="K1983" i="3" s="1"/>
  <c r="C1983" i="3"/>
  <c r="D1983" i="3"/>
  <c r="E1983" i="3"/>
  <c r="F1983" i="3"/>
  <c r="G1983" i="3"/>
  <c r="H1983" i="3"/>
  <c r="I1983" i="3"/>
  <c r="J1983" i="3"/>
  <c r="B1984" i="3"/>
  <c r="K1984" i="3" s="1"/>
  <c r="C1984" i="3"/>
  <c r="D1984" i="3"/>
  <c r="E1984" i="3"/>
  <c r="F1984" i="3"/>
  <c r="G1984" i="3"/>
  <c r="H1984" i="3"/>
  <c r="I1984" i="3"/>
  <c r="J1984" i="3"/>
  <c r="B1985" i="3"/>
  <c r="K1985" i="3" s="1"/>
  <c r="C1985" i="3"/>
  <c r="D1985" i="3"/>
  <c r="E1985" i="3"/>
  <c r="F1985" i="3"/>
  <c r="G1985" i="3"/>
  <c r="H1985" i="3"/>
  <c r="I1985" i="3"/>
  <c r="J1985" i="3"/>
  <c r="B1986" i="3"/>
  <c r="K1986" i="3" s="1"/>
  <c r="C1986" i="3"/>
  <c r="D1986" i="3"/>
  <c r="E1986" i="3"/>
  <c r="F1986" i="3"/>
  <c r="G1986" i="3"/>
  <c r="H1986" i="3"/>
  <c r="I1986" i="3"/>
  <c r="J1986" i="3"/>
  <c r="B1987" i="3"/>
  <c r="K1987" i="3" s="1"/>
  <c r="C1987" i="3"/>
  <c r="D1987" i="3"/>
  <c r="E1987" i="3"/>
  <c r="F1987" i="3"/>
  <c r="G1987" i="3"/>
  <c r="H1987" i="3"/>
  <c r="I1987" i="3"/>
  <c r="J1987" i="3"/>
  <c r="B1988" i="3"/>
  <c r="K1988" i="3" s="1"/>
  <c r="C1988" i="3"/>
  <c r="D1988" i="3"/>
  <c r="E1988" i="3"/>
  <c r="F1988" i="3"/>
  <c r="G1988" i="3"/>
  <c r="H1988" i="3"/>
  <c r="I1988" i="3"/>
  <c r="J1988" i="3"/>
  <c r="B1989" i="3"/>
  <c r="K1989" i="3" s="1"/>
  <c r="C1989" i="3"/>
  <c r="D1989" i="3"/>
  <c r="E1989" i="3"/>
  <c r="F1989" i="3"/>
  <c r="G1989" i="3"/>
  <c r="H1989" i="3"/>
  <c r="I1989" i="3"/>
  <c r="J1989" i="3"/>
  <c r="B1990" i="3"/>
  <c r="K1990" i="3" s="1"/>
  <c r="C1990" i="3"/>
  <c r="D1990" i="3"/>
  <c r="E1990" i="3"/>
  <c r="F1990" i="3"/>
  <c r="G1990" i="3"/>
  <c r="H1990" i="3"/>
  <c r="I1990" i="3"/>
  <c r="J1990" i="3"/>
  <c r="B1991" i="3"/>
  <c r="K1991" i="3" s="1"/>
  <c r="C1991" i="3"/>
  <c r="D1991" i="3"/>
  <c r="E1991" i="3"/>
  <c r="F1991" i="3"/>
  <c r="G1991" i="3"/>
  <c r="H1991" i="3"/>
  <c r="I1991" i="3"/>
  <c r="J1991" i="3"/>
  <c r="B1992" i="3"/>
  <c r="K1992" i="3" s="1"/>
  <c r="C1992" i="3"/>
  <c r="D1992" i="3"/>
  <c r="E1992" i="3"/>
  <c r="F1992" i="3"/>
  <c r="G1992" i="3"/>
  <c r="H1992" i="3"/>
  <c r="I1992" i="3"/>
  <c r="J1992" i="3"/>
  <c r="B1993" i="3"/>
  <c r="K1993" i="3" s="1"/>
  <c r="C1993" i="3"/>
  <c r="D1993" i="3"/>
  <c r="E1993" i="3"/>
  <c r="F1993" i="3"/>
  <c r="G1993" i="3"/>
  <c r="H1993" i="3"/>
  <c r="I1993" i="3"/>
  <c r="J1993" i="3"/>
  <c r="B1994" i="3"/>
  <c r="K1994" i="3" s="1"/>
  <c r="C1994" i="3"/>
  <c r="D1994" i="3"/>
  <c r="E1994" i="3"/>
  <c r="F1994" i="3"/>
  <c r="G1994" i="3"/>
  <c r="H1994" i="3"/>
  <c r="I1994" i="3"/>
  <c r="J1994" i="3"/>
  <c r="B1995" i="3"/>
  <c r="K1995" i="3" s="1"/>
  <c r="C1995" i="3"/>
  <c r="D1995" i="3"/>
  <c r="E1995" i="3"/>
  <c r="F1995" i="3"/>
  <c r="G1995" i="3"/>
  <c r="H1995" i="3"/>
  <c r="I1995" i="3"/>
  <c r="J1995" i="3"/>
  <c r="B1996" i="3"/>
  <c r="K1996" i="3" s="1"/>
  <c r="C1996" i="3"/>
  <c r="D1996" i="3"/>
  <c r="E1996" i="3"/>
  <c r="F1996" i="3"/>
  <c r="G1996" i="3"/>
  <c r="H1996" i="3"/>
  <c r="I1996" i="3"/>
  <c r="J1996" i="3"/>
  <c r="B1997" i="3"/>
  <c r="K1997" i="3" s="1"/>
  <c r="C1997" i="3"/>
  <c r="D1997" i="3"/>
  <c r="E1997" i="3"/>
  <c r="F1997" i="3"/>
  <c r="G1997" i="3"/>
  <c r="H1997" i="3"/>
  <c r="I1997" i="3"/>
  <c r="J1997" i="3"/>
  <c r="B1998" i="3"/>
  <c r="K1998" i="3" s="1"/>
  <c r="C1998" i="3"/>
  <c r="D1998" i="3"/>
  <c r="E1998" i="3"/>
  <c r="F1998" i="3"/>
  <c r="G1998" i="3"/>
  <c r="H1998" i="3"/>
  <c r="I1998" i="3"/>
  <c r="J1998" i="3"/>
  <c r="B1999" i="3"/>
  <c r="K1999" i="3" s="1"/>
  <c r="C1999" i="3"/>
  <c r="D1999" i="3"/>
  <c r="E1999" i="3"/>
  <c r="F1999" i="3"/>
  <c r="G1999" i="3"/>
  <c r="H1999" i="3"/>
  <c r="I1999" i="3"/>
  <c r="J1999" i="3"/>
  <c r="B2000" i="3"/>
  <c r="K2000" i="3" s="1"/>
  <c r="C2000" i="3"/>
  <c r="D2000" i="3"/>
  <c r="E2000" i="3"/>
  <c r="F2000" i="3"/>
  <c r="G2000" i="3"/>
  <c r="H2000" i="3"/>
  <c r="I2000" i="3"/>
  <c r="J2000" i="3"/>
  <c r="B2001" i="3"/>
  <c r="K2001" i="3" s="1"/>
  <c r="C2001" i="3"/>
  <c r="D2001" i="3"/>
  <c r="E2001" i="3"/>
  <c r="F2001" i="3"/>
  <c r="G2001" i="3"/>
  <c r="H2001" i="3"/>
  <c r="I2001" i="3"/>
  <c r="J2001" i="3"/>
  <c r="B2002" i="3"/>
  <c r="K2002" i="3" s="1"/>
  <c r="C2002" i="3"/>
  <c r="D2002" i="3"/>
  <c r="E2002" i="3"/>
  <c r="F2002" i="3"/>
  <c r="G2002" i="3"/>
  <c r="H2002" i="3"/>
  <c r="I2002" i="3"/>
  <c r="J2002" i="3"/>
  <c r="B2003" i="3"/>
  <c r="K2003" i="3" s="1"/>
  <c r="C2003" i="3"/>
  <c r="D2003" i="3"/>
  <c r="E2003" i="3"/>
  <c r="F2003" i="3"/>
  <c r="G2003" i="3"/>
  <c r="H2003" i="3"/>
  <c r="I2003" i="3"/>
  <c r="J2003" i="3"/>
  <c r="B2004" i="3"/>
  <c r="K2004" i="3" s="1"/>
  <c r="C2004" i="3"/>
  <c r="D2004" i="3"/>
  <c r="E2004" i="3"/>
  <c r="F2004" i="3"/>
  <c r="G2004" i="3"/>
  <c r="H2004" i="3"/>
  <c r="I2004" i="3"/>
  <c r="J2004" i="3"/>
  <c r="B2005" i="3"/>
  <c r="K2005" i="3" s="1"/>
  <c r="C2005" i="3"/>
  <c r="D2005" i="3"/>
  <c r="E2005" i="3"/>
  <c r="F2005" i="3"/>
  <c r="G2005" i="3"/>
  <c r="H2005" i="3"/>
  <c r="I2005" i="3"/>
  <c r="J2005" i="3"/>
  <c r="B2006" i="3"/>
  <c r="K2006" i="3" s="1"/>
  <c r="C2006" i="3"/>
  <c r="D2006" i="3"/>
  <c r="E2006" i="3"/>
  <c r="F2006" i="3"/>
  <c r="G2006" i="3"/>
  <c r="H2006" i="3"/>
  <c r="I2006" i="3"/>
  <c r="J2006" i="3"/>
  <c r="B2007" i="3"/>
  <c r="K2007" i="3" s="1"/>
  <c r="C2007" i="3"/>
  <c r="D2007" i="3"/>
  <c r="E2007" i="3"/>
  <c r="F2007" i="3"/>
  <c r="G2007" i="3"/>
  <c r="H2007" i="3"/>
  <c r="I2007" i="3"/>
  <c r="J2007" i="3"/>
  <c r="B2008" i="3"/>
  <c r="K2008" i="3" s="1"/>
  <c r="C2008" i="3"/>
  <c r="D2008" i="3"/>
  <c r="E2008" i="3"/>
  <c r="F2008" i="3"/>
  <c r="G2008" i="3"/>
  <c r="H2008" i="3"/>
  <c r="I2008" i="3"/>
  <c r="J2008" i="3"/>
  <c r="B2009" i="3"/>
  <c r="K2009" i="3" s="1"/>
  <c r="C2009" i="3"/>
  <c r="D2009" i="3"/>
  <c r="E2009" i="3"/>
  <c r="F2009" i="3"/>
  <c r="G2009" i="3"/>
  <c r="H2009" i="3"/>
  <c r="I2009" i="3"/>
  <c r="J2009" i="3"/>
  <c r="B2010" i="3"/>
  <c r="K2010" i="3" s="1"/>
  <c r="C2010" i="3"/>
  <c r="D2010" i="3"/>
  <c r="E2010" i="3"/>
  <c r="F2010" i="3"/>
  <c r="G2010" i="3"/>
  <c r="H2010" i="3"/>
  <c r="I2010" i="3"/>
  <c r="J2010" i="3"/>
  <c r="B2011" i="3"/>
  <c r="K2011" i="3" s="1"/>
  <c r="C2011" i="3"/>
  <c r="D2011" i="3"/>
  <c r="E2011" i="3"/>
  <c r="F2011" i="3"/>
  <c r="G2011" i="3"/>
  <c r="H2011" i="3"/>
  <c r="I2011" i="3"/>
  <c r="J2011" i="3"/>
  <c r="B2012" i="3"/>
  <c r="K2012" i="3" s="1"/>
  <c r="C2012" i="3"/>
  <c r="D2012" i="3"/>
  <c r="E2012" i="3"/>
  <c r="F2012" i="3"/>
  <c r="G2012" i="3"/>
  <c r="H2012" i="3"/>
  <c r="I2012" i="3"/>
  <c r="J2012" i="3"/>
  <c r="B2013" i="3"/>
  <c r="K2013" i="3" s="1"/>
  <c r="C2013" i="3"/>
  <c r="D2013" i="3"/>
  <c r="E2013" i="3"/>
  <c r="F2013" i="3"/>
  <c r="G2013" i="3"/>
  <c r="H2013" i="3"/>
  <c r="I2013" i="3"/>
  <c r="J2013" i="3"/>
  <c r="B2014" i="3"/>
  <c r="K2014" i="3" s="1"/>
  <c r="C2014" i="3"/>
  <c r="D2014" i="3"/>
  <c r="E2014" i="3"/>
  <c r="F2014" i="3"/>
  <c r="G2014" i="3"/>
  <c r="H2014" i="3"/>
  <c r="I2014" i="3"/>
  <c r="J2014" i="3"/>
  <c r="B2015" i="3"/>
  <c r="K2015" i="3" s="1"/>
  <c r="C2015" i="3"/>
  <c r="D2015" i="3"/>
  <c r="E2015" i="3"/>
  <c r="F2015" i="3"/>
  <c r="G2015" i="3"/>
  <c r="H2015" i="3"/>
  <c r="I2015" i="3"/>
  <c r="J2015" i="3"/>
  <c r="B2016" i="3"/>
  <c r="K2016" i="3" s="1"/>
  <c r="C2016" i="3"/>
  <c r="D2016" i="3"/>
  <c r="E2016" i="3"/>
  <c r="F2016" i="3"/>
  <c r="G2016" i="3"/>
  <c r="H2016" i="3"/>
  <c r="I2016" i="3"/>
  <c r="J2016" i="3"/>
  <c r="B2017" i="3"/>
  <c r="K2017" i="3" s="1"/>
  <c r="C2017" i="3"/>
  <c r="D2017" i="3"/>
  <c r="E2017" i="3"/>
  <c r="F2017" i="3"/>
  <c r="G2017" i="3"/>
  <c r="H2017" i="3"/>
  <c r="I2017" i="3"/>
  <c r="J2017" i="3"/>
  <c r="B2018" i="3"/>
  <c r="K2018" i="3" s="1"/>
  <c r="C2018" i="3"/>
  <c r="D2018" i="3"/>
  <c r="E2018" i="3"/>
  <c r="F2018" i="3"/>
  <c r="G2018" i="3"/>
  <c r="H2018" i="3"/>
  <c r="I2018" i="3"/>
  <c r="J2018" i="3"/>
  <c r="B2019" i="3"/>
  <c r="K2019" i="3" s="1"/>
  <c r="C2019" i="3"/>
  <c r="D2019" i="3"/>
  <c r="E2019" i="3"/>
  <c r="F2019" i="3"/>
  <c r="G2019" i="3"/>
  <c r="H2019" i="3"/>
  <c r="I2019" i="3"/>
  <c r="J2019" i="3"/>
  <c r="B2020" i="3"/>
  <c r="C2020" i="3"/>
  <c r="D2020" i="3"/>
  <c r="E2020" i="3"/>
  <c r="F2020" i="3"/>
  <c r="G2020" i="3"/>
  <c r="H2020" i="3"/>
  <c r="I2020" i="3"/>
  <c r="J2020" i="3"/>
  <c r="K2020" i="3"/>
  <c r="B2021" i="3"/>
  <c r="K2021" i="3" s="1"/>
  <c r="C2021" i="3"/>
  <c r="D2021" i="3"/>
  <c r="E2021" i="3"/>
  <c r="F2021" i="3"/>
  <c r="G2021" i="3"/>
  <c r="H2021" i="3"/>
  <c r="I2021" i="3"/>
  <c r="J2021" i="3"/>
  <c r="B2022" i="3"/>
  <c r="K2022" i="3" s="1"/>
  <c r="C2022" i="3"/>
  <c r="D2022" i="3"/>
  <c r="E2022" i="3"/>
  <c r="F2022" i="3"/>
  <c r="G2022" i="3"/>
  <c r="H2022" i="3"/>
  <c r="I2022" i="3"/>
  <c r="J2022" i="3"/>
  <c r="B2023" i="3"/>
  <c r="K2023" i="3" s="1"/>
  <c r="C2023" i="3"/>
  <c r="D2023" i="3"/>
  <c r="E2023" i="3"/>
  <c r="F2023" i="3"/>
  <c r="G2023" i="3"/>
  <c r="H2023" i="3"/>
  <c r="I2023" i="3"/>
  <c r="J2023" i="3"/>
  <c r="B2024" i="3"/>
  <c r="K2024" i="3" s="1"/>
  <c r="C2024" i="3"/>
  <c r="D2024" i="3"/>
  <c r="E2024" i="3"/>
  <c r="F2024" i="3"/>
  <c r="G2024" i="3"/>
  <c r="H2024" i="3"/>
  <c r="I2024" i="3"/>
  <c r="J2024" i="3"/>
  <c r="B2025" i="3"/>
  <c r="K2025" i="3" s="1"/>
  <c r="C2025" i="3"/>
  <c r="D2025" i="3"/>
  <c r="E2025" i="3"/>
  <c r="F2025" i="3"/>
  <c r="G2025" i="3"/>
  <c r="H2025" i="3"/>
  <c r="I2025" i="3"/>
  <c r="J2025" i="3"/>
  <c r="B2026" i="3"/>
  <c r="K2026" i="3" s="1"/>
  <c r="C2026" i="3"/>
  <c r="D2026" i="3"/>
  <c r="E2026" i="3"/>
  <c r="F2026" i="3"/>
  <c r="G2026" i="3"/>
  <c r="H2026" i="3"/>
  <c r="I2026" i="3"/>
  <c r="J2026" i="3"/>
  <c r="B2027" i="3"/>
  <c r="K2027" i="3" s="1"/>
  <c r="C2027" i="3"/>
  <c r="D2027" i="3"/>
  <c r="E2027" i="3"/>
  <c r="F2027" i="3"/>
  <c r="G2027" i="3"/>
  <c r="H2027" i="3"/>
  <c r="I2027" i="3"/>
  <c r="J2027" i="3"/>
  <c r="B2028" i="3"/>
  <c r="K2028" i="3" s="1"/>
  <c r="C2028" i="3"/>
  <c r="D2028" i="3"/>
  <c r="E2028" i="3"/>
  <c r="F2028" i="3"/>
  <c r="G2028" i="3"/>
  <c r="H2028" i="3"/>
  <c r="I2028" i="3"/>
  <c r="J2028" i="3"/>
  <c r="B2029" i="3"/>
  <c r="K2029" i="3" s="1"/>
  <c r="C2029" i="3"/>
  <c r="D2029" i="3"/>
  <c r="E2029" i="3"/>
  <c r="F2029" i="3"/>
  <c r="G2029" i="3"/>
  <c r="H2029" i="3"/>
  <c r="I2029" i="3"/>
  <c r="J2029" i="3"/>
  <c r="B2030" i="3"/>
  <c r="K2030" i="3" s="1"/>
  <c r="C2030" i="3"/>
  <c r="D2030" i="3"/>
  <c r="E2030" i="3"/>
  <c r="F2030" i="3"/>
  <c r="G2030" i="3"/>
  <c r="H2030" i="3"/>
  <c r="I2030" i="3"/>
  <c r="J2030" i="3"/>
  <c r="B2031" i="3"/>
  <c r="K2031" i="3" s="1"/>
  <c r="C2031" i="3"/>
  <c r="D2031" i="3"/>
  <c r="E2031" i="3"/>
  <c r="F2031" i="3"/>
  <c r="G2031" i="3"/>
  <c r="H2031" i="3"/>
  <c r="I2031" i="3"/>
  <c r="J2031" i="3"/>
  <c r="B2032" i="3"/>
  <c r="K2032" i="3" s="1"/>
  <c r="C2032" i="3"/>
  <c r="D2032" i="3"/>
  <c r="E2032" i="3"/>
  <c r="F2032" i="3"/>
  <c r="G2032" i="3"/>
  <c r="H2032" i="3"/>
  <c r="I2032" i="3"/>
  <c r="J2032" i="3"/>
  <c r="B2033" i="3"/>
  <c r="K2033" i="3" s="1"/>
  <c r="C2033" i="3"/>
  <c r="D2033" i="3"/>
  <c r="E2033" i="3"/>
  <c r="F2033" i="3"/>
  <c r="G2033" i="3"/>
  <c r="H2033" i="3"/>
  <c r="I2033" i="3"/>
  <c r="J2033" i="3"/>
  <c r="B2034" i="3"/>
  <c r="K2034" i="3" s="1"/>
  <c r="C2034" i="3"/>
  <c r="D2034" i="3"/>
  <c r="E2034" i="3"/>
  <c r="F2034" i="3"/>
  <c r="G2034" i="3"/>
  <c r="H2034" i="3"/>
  <c r="I2034" i="3"/>
  <c r="J2034" i="3"/>
  <c r="B2035" i="3"/>
  <c r="K2035" i="3" s="1"/>
  <c r="C2035" i="3"/>
  <c r="D2035" i="3"/>
  <c r="E2035" i="3"/>
  <c r="F2035" i="3"/>
  <c r="G2035" i="3"/>
  <c r="H2035" i="3"/>
  <c r="I2035" i="3"/>
  <c r="J2035" i="3"/>
  <c r="B2036" i="3"/>
  <c r="K2036" i="3" s="1"/>
  <c r="C2036" i="3"/>
  <c r="D2036" i="3"/>
  <c r="E2036" i="3"/>
  <c r="F2036" i="3"/>
  <c r="G2036" i="3"/>
  <c r="H2036" i="3"/>
  <c r="I2036" i="3"/>
  <c r="J2036" i="3"/>
  <c r="B2037" i="3"/>
  <c r="C2037" i="3"/>
  <c r="D2037" i="3"/>
  <c r="E2037" i="3"/>
  <c r="F2037" i="3"/>
  <c r="G2037" i="3"/>
  <c r="H2037" i="3"/>
  <c r="I2037" i="3"/>
  <c r="J2037" i="3"/>
  <c r="K2037" i="3"/>
  <c r="B2038" i="3"/>
  <c r="K2038" i="3" s="1"/>
  <c r="C2038" i="3"/>
  <c r="D2038" i="3"/>
  <c r="E2038" i="3"/>
  <c r="F2038" i="3"/>
  <c r="G2038" i="3"/>
  <c r="H2038" i="3"/>
  <c r="I2038" i="3"/>
  <c r="J2038" i="3"/>
  <c r="B2039" i="3"/>
  <c r="K2039" i="3" s="1"/>
  <c r="C2039" i="3"/>
  <c r="D2039" i="3"/>
  <c r="E2039" i="3"/>
  <c r="F2039" i="3"/>
  <c r="G2039" i="3"/>
  <c r="H2039" i="3"/>
  <c r="I2039" i="3"/>
  <c r="J2039" i="3"/>
  <c r="B2040" i="3"/>
  <c r="K2040" i="3" s="1"/>
  <c r="C2040" i="3"/>
  <c r="D2040" i="3"/>
  <c r="E2040" i="3"/>
  <c r="F2040" i="3"/>
  <c r="G2040" i="3"/>
  <c r="H2040" i="3"/>
  <c r="I2040" i="3"/>
  <c r="J2040" i="3"/>
  <c r="B2041" i="3"/>
  <c r="K2041" i="3" s="1"/>
  <c r="C2041" i="3"/>
  <c r="D2041" i="3"/>
  <c r="E2041" i="3"/>
  <c r="F2041" i="3"/>
  <c r="G2041" i="3"/>
  <c r="H2041" i="3"/>
  <c r="I2041" i="3"/>
  <c r="J2041" i="3"/>
  <c r="B2042" i="3"/>
  <c r="K2042" i="3" s="1"/>
  <c r="C2042" i="3"/>
  <c r="D2042" i="3"/>
  <c r="E2042" i="3"/>
  <c r="F2042" i="3"/>
  <c r="G2042" i="3"/>
  <c r="H2042" i="3"/>
  <c r="I2042" i="3"/>
  <c r="J2042" i="3"/>
  <c r="B2043" i="3"/>
  <c r="K2043" i="3" s="1"/>
  <c r="C2043" i="3"/>
  <c r="D2043" i="3"/>
  <c r="E2043" i="3"/>
  <c r="F2043" i="3"/>
  <c r="G2043" i="3"/>
  <c r="H2043" i="3"/>
  <c r="I2043" i="3"/>
  <c r="J2043" i="3"/>
  <c r="B2044" i="3"/>
  <c r="K2044" i="3" s="1"/>
  <c r="C2044" i="3"/>
  <c r="D2044" i="3"/>
  <c r="E2044" i="3"/>
  <c r="F2044" i="3"/>
  <c r="G2044" i="3"/>
  <c r="H2044" i="3"/>
  <c r="I2044" i="3"/>
  <c r="J2044" i="3"/>
  <c r="B2045" i="3"/>
  <c r="K2045" i="3" s="1"/>
  <c r="C2045" i="3"/>
  <c r="D2045" i="3"/>
  <c r="E2045" i="3"/>
  <c r="F2045" i="3"/>
  <c r="G2045" i="3"/>
  <c r="H2045" i="3"/>
  <c r="I2045" i="3"/>
  <c r="J2045" i="3"/>
  <c r="B2046" i="3"/>
  <c r="K2046" i="3" s="1"/>
  <c r="C2046" i="3"/>
  <c r="D2046" i="3"/>
  <c r="E2046" i="3"/>
  <c r="F2046" i="3"/>
  <c r="G2046" i="3"/>
  <c r="H2046" i="3"/>
  <c r="I2046" i="3"/>
  <c r="J2046" i="3"/>
  <c r="B2047" i="3"/>
  <c r="K2047" i="3" s="1"/>
  <c r="C2047" i="3"/>
  <c r="D2047" i="3"/>
  <c r="E2047" i="3"/>
  <c r="F2047" i="3"/>
  <c r="G2047" i="3"/>
  <c r="H2047" i="3"/>
  <c r="I2047" i="3"/>
  <c r="J2047" i="3"/>
  <c r="B2048" i="3"/>
  <c r="K2048" i="3" s="1"/>
  <c r="C2048" i="3"/>
  <c r="D2048" i="3"/>
  <c r="E2048" i="3"/>
  <c r="F2048" i="3"/>
  <c r="G2048" i="3"/>
  <c r="H2048" i="3"/>
  <c r="I2048" i="3"/>
  <c r="J2048" i="3"/>
  <c r="B2049" i="3"/>
  <c r="K2049" i="3" s="1"/>
  <c r="C2049" i="3"/>
  <c r="D2049" i="3"/>
  <c r="E2049" i="3"/>
  <c r="F2049" i="3"/>
  <c r="G2049" i="3"/>
  <c r="H2049" i="3"/>
  <c r="I2049" i="3"/>
  <c r="J2049" i="3"/>
  <c r="B2050" i="3"/>
  <c r="K2050" i="3" s="1"/>
  <c r="C2050" i="3"/>
  <c r="D2050" i="3"/>
  <c r="E2050" i="3"/>
  <c r="F2050" i="3"/>
  <c r="G2050" i="3"/>
  <c r="H2050" i="3"/>
  <c r="I2050" i="3"/>
  <c r="J2050" i="3"/>
  <c r="B2051" i="3"/>
  <c r="K2051" i="3" s="1"/>
  <c r="C2051" i="3"/>
  <c r="D2051" i="3"/>
  <c r="E2051" i="3"/>
  <c r="F2051" i="3"/>
  <c r="G2051" i="3"/>
  <c r="H2051" i="3"/>
  <c r="I2051" i="3"/>
  <c r="J2051" i="3"/>
  <c r="B2052" i="3"/>
  <c r="K2052" i="3" s="1"/>
  <c r="C2052" i="3"/>
  <c r="D2052" i="3"/>
  <c r="E2052" i="3"/>
  <c r="F2052" i="3"/>
  <c r="G2052" i="3"/>
  <c r="H2052" i="3"/>
  <c r="I2052" i="3"/>
  <c r="J2052" i="3"/>
  <c r="B2053" i="3"/>
  <c r="K2053" i="3" s="1"/>
  <c r="C2053" i="3"/>
  <c r="D2053" i="3"/>
  <c r="E2053" i="3"/>
  <c r="F2053" i="3"/>
  <c r="G2053" i="3"/>
  <c r="H2053" i="3"/>
  <c r="I2053" i="3"/>
  <c r="J2053" i="3"/>
  <c r="B2054" i="3"/>
  <c r="K2054" i="3" s="1"/>
  <c r="C2054" i="3"/>
  <c r="D2054" i="3"/>
  <c r="E2054" i="3"/>
  <c r="F2054" i="3"/>
  <c r="G2054" i="3"/>
  <c r="H2054" i="3"/>
  <c r="I2054" i="3"/>
  <c r="J2054" i="3"/>
  <c r="B2055" i="3"/>
  <c r="K2055" i="3" s="1"/>
  <c r="C2055" i="3"/>
  <c r="D2055" i="3"/>
  <c r="E2055" i="3"/>
  <c r="F2055" i="3"/>
  <c r="G2055" i="3"/>
  <c r="H2055" i="3"/>
  <c r="I2055" i="3"/>
  <c r="J2055" i="3"/>
  <c r="B2056" i="3"/>
  <c r="K2056" i="3" s="1"/>
  <c r="C2056" i="3"/>
  <c r="D2056" i="3"/>
  <c r="E2056" i="3"/>
  <c r="F2056" i="3"/>
  <c r="G2056" i="3"/>
  <c r="H2056" i="3"/>
  <c r="I2056" i="3"/>
  <c r="J2056" i="3"/>
  <c r="B2057" i="3"/>
  <c r="K2057" i="3" s="1"/>
  <c r="C2057" i="3"/>
  <c r="D2057" i="3"/>
  <c r="E2057" i="3"/>
  <c r="F2057" i="3"/>
  <c r="G2057" i="3"/>
  <c r="H2057" i="3"/>
  <c r="I2057" i="3"/>
  <c r="J2057" i="3"/>
  <c r="B2058" i="3"/>
  <c r="K2058" i="3" s="1"/>
  <c r="C2058" i="3"/>
  <c r="D2058" i="3"/>
  <c r="E2058" i="3"/>
  <c r="F2058" i="3"/>
  <c r="G2058" i="3"/>
  <c r="H2058" i="3"/>
  <c r="I2058" i="3"/>
  <c r="J2058" i="3"/>
  <c r="B2059" i="3"/>
  <c r="K2059" i="3" s="1"/>
  <c r="C2059" i="3"/>
  <c r="D2059" i="3"/>
  <c r="E2059" i="3"/>
  <c r="F2059" i="3"/>
  <c r="G2059" i="3"/>
  <c r="H2059" i="3"/>
  <c r="I2059" i="3"/>
  <c r="J2059" i="3"/>
  <c r="B2060" i="3"/>
  <c r="K2060" i="3" s="1"/>
  <c r="C2060" i="3"/>
  <c r="D2060" i="3"/>
  <c r="E2060" i="3"/>
  <c r="F2060" i="3"/>
  <c r="G2060" i="3"/>
  <c r="H2060" i="3"/>
  <c r="I2060" i="3"/>
  <c r="J2060" i="3"/>
  <c r="B2061" i="3"/>
  <c r="K2061" i="3" s="1"/>
  <c r="C2061" i="3"/>
  <c r="D2061" i="3"/>
  <c r="E2061" i="3"/>
  <c r="F2061" i="3"/>
  <c r="G2061" i="3"/>
  <c r="H2061" i="3"/>
  <c r="I2061" i="3"/>
  <c r="J2061" i="3"/>
  <c r="B2062" i="3"/>
  <c r="K2062" i="3" s="1"/>
  <c r="C2062" i="3"/>
  <c r="D2062" i="3"/>
  <c r="E2062" i="3"/>
  <c r="F2062" i="3"/>
  <c r="G2062" i="3"/>
  <c r="H2062" i="3"/>
  <c r="I2062" i="3"/>
  <c r="J2062" i="3"/>
  <c r="B2063" i="3"/>
  <c r="K2063" i="3" s="1"/>
  <c r="C2063" i="3"/>
  <c r="D2063" i="3"/>
  <c r="E2063" i="3"/>
  <c r="F2063" i="3"/>
  <c r="G2063" i="3"/>
  <c r="H2063" i="3"/>
  <c r="I2063" i="3"/>
  <c r="J2063" i="3"/>
  <c r="B2064" i="3"/>
  <c r="K2064" i="3" s="1"/>
  <c r="C2064" i="3"/>
  <c r="D2064" i="3"/>
  <c r="E2064" i="3"/>
  <c r="F2064" i="3"/>
  <c r="G2064" i="3"/>
  <c r="H2064" i="3"/>
  <c r="I2064" i="3"/>
  <c r="J2064" i="3"/>
  <c r="B2065" i="3"/>
  <c r="K2065" i="3" s="1"/>
  <c r="C2065" i="3"/>
  <c r="D2065" i="3"/>
  <c r="E2065" i="3"/>
  <c r="F2065" i="3"/>
  <c r="G2065" i="3"/>
  <c r="H2065" i="3"/>
  <c r="I2065" i="3"/>
  <c r="J2065" i="3"/>
  <c r="B2066" i="3"/>
  <c r="K2066" i="3" s="1"/>
  <c r="C2066" i="3"/>
  <c r="D2066" i="3"/>
  <c r="E2066" i="3"/>
  <c r="F2066" i="3"/>
  <c r="G2066" i="3"/>
  <c r="H2066" i="3"/>
  <c r="I2066" i="3"/>
  <c r="J2066" i="3"/>
  <c r="B2067" i="3"/>
  <c r="K2067" i="3" s="1"/>
  <c r="C2067" i="3"/>
  <c r="D2067" i="3"/>
  <c r="E2067" i="3"/>
  <c r="F2067" i="3"/>
  <c r="G2067" i="3"/>
  <c r="H2067" i="3"/>
  <c r="I2067" i="3"/>
  <c r="J2067" i="3"/>
  <c r="B2068" i="3"/>
  <c r="K2068" i="3" s="1"/>
  <c r="C2068" i="3"/>
  <c r="D2068" i="3"/>
  <c r="E2068" i="3"/>
  <c r="F2068" i="3"/>
  <c r="G2068" i="3"/>
  <c r="H2068" i="3"/>
  <c r="I2068" i="3"/>
  <c r="J2068" i="3"/>
  <c r="B2069" i="3"/>
  <c r="K2069" i="3" s="1"/>
  <c r="C2069" i="3"/>
  <c r="D2069" i="3"/>
  <c r="E2069" i="3"/>
  <c r="F2069" i="3"/>
  <c r="G2069" i="3"/>
  <c r="H2069" i="3"/>
  <c r="I2069" i="3"/>
  <c r="J2069" i="3"/>
  <c r="B2070" i="3"/>
  <c r="K2070" i="3" s="1"/>
  <c r="C2070" i="3"/>
  <c r="D2070" i="3"/>
  <c r="E2070" i="3"/>
  <c r="F2070" i="3"/>
  <c r="G2070" i="3"/>
  <c r="H2070" i="3"/>
  <c r="I2070" i="3"/>
  <c r="J2070" i="3"/>
  <c r="B2071" i="3"/>
  <c r="K2071" i="3" s="1"/>
  <c r="C2071" i="3"/>
  <c r="D2071" i="3"/>
  <c r="E2071" i="3"/>
  <c r="F2071" i="3"/>
  <c r="G2071" i="3"/>
  <c r="H2071" i="3"/>
  <c r="I2071" i="3"/>
  <c r="J2071" i="3"/>
  <c r="B2072" i="3"/>
  <c r="K2072" i="3" s="1"/>
  <c r="C2072" i="3"/>
  <c r="D2072" i="3"/>
  <c r="E2072" i="3"/>
  <c r="F2072" i="3"/>
  <c r="G2072" i="3"/>
  <c r="H2072" i="3"/>
  <c r="I2072" i="3"/>
  <c r="J2072" i="3"/>
  <c r="B2073" i="3"/>
  <c r="K2073" i="3" s="1"/>
  <c r="C2073" i="3"/>
  <c r="D2073" i="3"/>
  <c r="E2073" i="3"/>
  <c r="F2073" i="3"/>
  <c r="G2073" i="3"/>
  <c r="H2073" i="3"/>
  <c r="I2073" i="3"/>
  <c r="J2073" i="3"/>
  <c r="B2074" i="3"/>
  <c r="K2074" i="3" s="1"/>
  <c r="C2074" i="3"/>
  <c r="D2074" i="3"/>
  <c r="E2074" i="3"/>
  <c r="F2074" i="3"/>
  <c r="G2074" i="3"/>
  <c r="H2074" i="3"/>
  <c r="I2074" i="3"/>
  <c r="J2074" i="3"/>
  <c r="B2075" i="3"/>
  <c r="K2075" i="3" s="1"/>
  <c r="C2075" i="3"/>
  <c r="D2075" i="3"/>
  <c r="E2075" i="3"/>
  <c r="F2075" i="3"/>
  <c r="G2075" i="3"/>
  <c r="H2075" i="3"/>
  <c r="I2075" i="3"/>
  <c r="J2075" i="3"/>
  <c r="B2076" i="3"/>
  <c r="K2076" i="3" s="1"/>
  <c r="C2076" i="3"/>
  <c r="D2076" i="3"/>
  <c r="E2076" i="3"/>
  <c r="F2076" i="3"/>
  <c r="G2076" i="3"/>
  <c r="H2076" i="3"/>
  <c r="I2076" i="3"/>
  <c r="J2076" i="3"/>
  <c r="B2077" i="3"/>
  <c r="K2077" i="3" s="1"/>
  <c r="C2077" i="3"/>
  <c r="D2077" i="3"/>
  <c r="E2077" i="3"/>
  <c r="F2077" i="3"/>
  <c r="G2077" i="3"/>
  <c r="H2077" i="3"/>
  <c r="I2077" i="3"/>
  <c r="J2077" i="3"/>
  <c r="B2078" i="3"/>
  <c r="K2078" i="3" s="1"/>
  <c r="C2078" i="3"/>
  <c r="D2078" i="3"/>
  <c r="E2078" i="3"/>
  <c r="F2078" i="3"/>
  <c r="G2078" i="3"/>
  <c r="H2078" i="3"/>
  <c r="I2078" i="3"/>
  <c r="J2078" i="3"/>
  <c r="B2079" i="3"/>
  <c r="K2079" i="3" s="1"/>
  <c r="C2079" i="3"/>
  <c r="D2079" i="3"/>
  <c r="E2079" i="3"/>
  <c r="F2079" i="3"/>
  <c r="G2079" i="3"/>
  <c r="H2079" i="3"/>
  <c r="I2079" i="3"/>
  <c r="J2079" i="3"/>
  <c r="B2080" i="3"/>
  <c r="K2080" i="3" s="1"/>
  <c r="C2080" i="3"/>
  <c r="D2080" i="3"/>
  <c r="E2080" i="3"/>
  <c r="F2080" i="3"/>
  <c r="G2080" i="3"/>
  <c r="H2080" i="3"/>
  <c r="I2080" i="3"/>
  <c r="J2080" i="3"/>
  <c r="B2081" i="3"/>
  <c r="K2081" i="3" s="1"/>
  <c r="C2081" i="3"/>
  <c r="D2081" i="3"/>
  <c r="E2081" i="3"/>
  <c r="F2081" i="3"/>
  <c r="G2081" i="3"/>
  <c r="H2081" i="3"/>
  <c r="I2081" i="3"/>
  <c r="J2081" i="3"/>
  <c r="B2082" i="3"/>
  <c r="K2082" i="3" s="1"/>
  <c r="C2082" i="3"/>
  <c r="D2082" i="3"/>
  <c r="E2082" i="3"/>
  <c r="F2082" i="3"/>
  <c r="G2082" i="3"/>
  <c r="H2082" i="3"/>
  <c r="I2082" i="3"/>
  <c r="J2082" i="3"/>
  <c r="B2083" i="3"/>
  <c r="C2083" i="3"/>
  <c r="D2083" i="3"/>
  <c r="E2083" i="3"/>
  <c r="F2083" i="3"/>
  <c r="G2083" i="3"/>
  <c r="H2083" i="3"/>
  <c r="I2083" i="3"/>
  <c r="J2083" i="3"/>
  <c r="K2083" i="3"/>
  <c r="B2084" i="3"/>
  <c r="K2084" i="3" s="1"/>
  <c r="C2084" i="3"/>
  <c r="D2084" i="3"/>
  <c r="E2084" i="3"/>
  <c r="F2084" i="3"/>
  <c r="G2084" i="3"/>
  <c r="H2084" i="3"/>
  <c r="I2084" i="3"/>
  <c r="J2084" i="3"/>
  <c r="B2085" i="3"/>
  <c r="K2085" i="3" s="1"/>
  <c r="C2085" i="3"/>
  <c r="D2085" i="3"/>
  <c r="E2085" i="3"/>
  <c r="F2085" i="3"/>
  <c r="G2085" i="3"/>
  <c r="H2085" i="3"/>
  <c r="I2085" i="3"/>
  <c r="J2085" i="3"/>
  <c r="B2086" i="3"/>
  <c r="K2086" i="3" s="1"/>
  <c r="C2086" i="3"/>
  <c r="D2086" i="3"/>
  <c r="E2086" i="3"/>
  <c r="F2086" i="3"/>
  <c r="G2086" i="3"/>
  <c r="H2086" i="3"/>
  <c r="I2086" i="3"/>
  <c r="J2086" i="3"/>
  <c r="B2087" i="3"/>
  <c r="K2087" i="3" s="1"/>
  <c r="C2087" i="3"/>
  <c r="D2087" i="3"/>
  <c r="E2087" i="3"/>
  <c r="F2087" i="3"/>
  <c r="G2087" i="3"/>
  <c r="H2087" i="3"/>
  <c r="I2087" i="3"/>
  <c r="J2087" i="3"/>
  <c r="B2088" i="3"/>
  <c r="K2088" i="3" s="1"/>
  <c r="C2088" i="3"/>
  <c r="D2088" i="3"/>
  <c r="E2088" i="3"/>
  <c r="F2088" i="3"/>
  <c r="G2088" i="3"/>
  <c r="H2088" i="3"/>
  <c r="I2088" i="3"/>
  <c r="J2088" i="3"/>
  <c r="B2089" i="3"/>
  <c r="K2089" i="3" s="1"/>
  <c r="C2089" i="3"/>
  <c r="D2089" i="3"/>
  <c r="E2089" i="3"/>
  <c r="F2089" i="3"/>
  <c r="G2089" i="3"/>
  <c r="H2089" i="3"/>
  <c r="I2089" i="3"/>
  <c r="J2089" i="3"/>
  <c r="B2090" i="3"/>
  <c r="K2090" i="3" s="1"/>
  <c r="C2090" i="3"/>
  <c r="D2090" i="3"/>
  <c r="E2090" i="3"/>
  <c r="F2090" i="3"/>
  <c r="G2090" i="3"/>
  <c r="H2090" i="3"/>
  <c r="I2090" i="3"/>
  <c r="J2090" i="3"/>
  <c r="B2091" i="3"/>
  <c r="K2091" i="3" s="1"/>
  <c r="C2091" i="3"/>
  <c r="D2091" i="3"/>
  <c r="E2091" i="3"/>
  <c r="F2091" i="3"/>
  <c r="G2091" i="3"/>
  <c r="H2091" i="3"/>
  <c r="I2091" i="3"/>
  <c r="J2091" i="3"/>
  <c r="B2092" i="3"/>
  <c r="K2092" i="3" s="1"/>
  <c r="C2092" i="3"/>
  <c r="D2092" i="3"/>
  <c r="E2092" i="3"/>
  <c r="F2092" i="3"/>
  <c r="G2092" i="3"/>
  <c r="H2092" i="3"/>
  <c r="I2092" i="3"/>
  <c r="J2092" i="3"/>
  <c r="B2093" i="3"/>
  <c r="K2093" i="3" s="1"/>
  <c r="C2093" i="3"/>
  <c r="D2093" i="3"/>
  <c r="E2093" i="3"/>
  <c r="F2093" i="3"/>
  <c r="G2093" i="3"/>
  <c r="H2093" i="3"/>
  <c r="I2093" i="3"/>
  <c r="J2093" i="3"/>
  <c r="B2094" i="3"/>
  <c r="K2094" i="3" s="1"/>
  <c r="C2094" i="3"/>
  <c r="D2094" i="3"/>
  <c r="E2094" i="3"/>
  <c r="F2094" i="3"/>
  <c r="G2094" i="3"/>
  <c r="H2094" i="3"/>
  <c r="I2094" i="3"/>
  <c r="J2094" i="3"/>
  <c r="B2095" i="3"/>
  <c r="K2095" i="3" s="1"/>
  <c r="C2095" i="3"/>
  <c r="D2095" i="3"/>
  <c r="E2095" i="3"/>
  <c r="F2095" i="3"/>
  <c r="G2095" i="3"/>
  <c r="H2095" i="3"/>
  <c r="I2095" i="3"/>
  <c r="J2095" i="3"/>
  <c r="B2096" i="3"/>
  <c r="K2096" i="3" s="1"/>
  <c r="C2096" i="3"/>
  <c r="D2096" i="3"/>
  <c r="E2096" i="3"/>
  <c r="F2096" i="3"/>
  <c r="G2096" i="3"/>
  <c r="H2096" i="3"/>
  <c r="I2096" i="3"/>
  <c r="J2096" i="3"/>
  <c r="B2097" i="3"/>
  <c r="K2097" i="3" s="1"/>
  <c r="C2097" i="3"/>
  <c r="D2097" i="3"/>
  <c r="E2097" i="3"/>
  <c r="F2097" i="3"/>
  <c r="G2097" i="3"/>
  <c r="H2097" i="3"/>
  <c r="I2097" i="3"/>
  <c r="J2097" i="3"/>
  <c r="B2098" i="3"/>
  <c r="K2098" i="3" s="1"/>
  <c r="C2098" i="3"/>
  <c r="D2098" i="3"/>
  <c r="E2098" i="3"/>
  <c r="F2098" i="3"/>
  <c r="G2098" i="3"/>
  <c r="H2098" i="3"/>
  <c r="I2098" i="3"/>
  <c r="J2098" i="3"/>
  <c r="B2099" i="3"/>
  <c r="K2099" i="3" s="1"/>
  <c r="C2099" i="3"/>
  <c r="D2099" i="3"/>
  <c r="E2099" i="3"/>
  <c r="F2099" i="3"/>
  <c r="G2099" i="3"/>
  <c r="H2099" i="3"/>
  <c r="I2099" i="3"/>
  <c r="J2099" i="3"/>
  <c r="B2100" i="3"/>
  <c r="K2100" i="3" s="1"/>
  <c r="C2100" i="3"/>
  <c r="D2100" i="3"/>
  <c r="E2100" i="3"/>
  <c r="F2100" i="3"/>
  <c r="G2100" i="3"/>
  <c r="H2100" i="3"/>
  <c r="I2100" i="3"/>
  <c r="J2100" i="3"/>
  <c r="B2101" i="3"/>
  <c r="K2101" i="3" s="1"/>
  <c r="C2101" i="3"/>
  <c r="D2101" i="3"/>
  <c r="E2101" i="3"/>
  <c r="F2101" i="3"/>
  <c r="G2101" i="3"/>
  <c r="H2101" i="3"/>
  <c r="I2101" i="3"/>
  <c r="J2101" i="3"/>
  <c r="B2102" i="3"/>
  <c r="K2102" i="3" s="1"/>
  <c r="C2102" i="3"/>
  <c r="D2102" i="3"/>
  <c r="E2102" i="3"/>
  <c r="F2102" i="3"/>
  <c r="G2102" i="3"/>
  <c r="H2102" i="3"/>
  <c r="I2102" i="3"/>
  <c r="J2102" i="3"/>
  <c r="B2103" i="3"/>
  <c r="K2103" i="3" s="1"/>
  <c r="C2103" i="3"/>
  <c r="D2103" i="3"/>
  <c r="E2103" i="3"/>
  <c r="F2103" i="3"/>
  <c r="G2103" i="3"/>
  <c r="H2103" i="3"/>
  <c r="I2103" i="3"/>
  <c r="J2103" i="3"/>
  <c r="B2104" i="3"/>
  <c r="K2104" i="3" s="1"/>
  <c r="C2104" i="3"/>
  <c r="D2104" i="3"/>
  <c r="E2104" i="3"/>
  <c r="F2104" i="3"/>
  <c r="G2104" i="3"/>
  <c r="H2104" i="3"/>
  <c r="I2104" i="3"/>
  <c r="J2104" i="3"/>
  <c r="B2105" i="3"/>
  <c r="K2105" i="3" s="1"/>
  <c r="C2105" i="3"/>
  <c r="D2105" i="3"/>
  <c r="E2105" i="3"/>
  <c r="F2105" i="3"/>
  <c r="G2105" i="3"/>
  <c r="H2105" i="3"/>
  <c r="I2105" i="3"/>
  <c r="J2105" i="3"/>
  <c r="B2106" i="3"/>
  <c r="K2106" i="3" s="1"/>
  <c r="C2106" i="3"/>
  <c r="D2106" i="3"/>
  <c r="E2106" i="3"/>
  <c r="F2106" i="3"/>
  <c r="G2106" i="3"/>
  <c r="H2106" i="3"/>
  <c r="I2106" i="3"/>
  <c r="J2106" i="3"/>
  <c r="B2107" i="3"/>
  <c r="K2107" i="3" s="1"/>
  <c r="C2107" i="3"/>
  <c r="D2107" i="3"/>
  <c r="E2107" i="3"/>
  <c r="F2107" i="3"/>
  <c r="G2107" i="3"/>
  <c r="H2107" i="3"/>
  <c r="I2107" i="3"/>
  <c r="J2107" i="3"/>
  <c r="B2108" i="3"/>
  <c r="K2108" i="3" s="1"/>
  <c r="C2108" i="3"/>
  <c r="D2108" i="3"/>
  <c r="E2108" i="3"/>
  <c r="F2108" i="3"/>
  <c r="G2108" i="3"/>
  <c r="H2108" i="3"/>
  <c r="I2108" i="3"/>
  <c r="J2108" i="3"/>
  <c r="B2109" i="3"/>
  <c r="C2109" i="3"/>
  <c r="D2109" i="3"/>
  <c r="E2109" i="3"/>
  <c r="F2109" i="3"/>
  <c r="G2109" i="3"/>
  <c r="H2109" i="3"/>
  <c r="I2109" i="3"/>
  <c r="J2109" i="3"/>
  <c r="K2109" i="3"/>
  <c r="B2110" i="3"/>
  <c r="K2110" i="3" s="1"/>
  <c r="C2110" i="3"/>
  <c r="D2110" i="3"/>
  <c r="E2110" i="3"/>
  <c r="F2110" i="3"/>
  <c r="G2110" i="3"/>
  <c r="H2110" i="3"/>
  <c r="I2110" i="3"/>
  <c r="J2110" i="3"/>
  <c r="B2111" i="3"/>
  <c r="K2111" i="3" s="1"/>
  <c r="C2111" i="3"/>
  <c r="D2111" i="3"/>
  <c r="E2111" i="3"/>
  <c r="F2111" i="3"/>
  <c r="G2111" i="3"/>
  <c r="H2111" i="3"/>
  <c r="I2111" i="3"/>
  <c r="J2111" i="3"/>
  <c r="B2112" i="3"/>
  <c r="K2112" i="3" s="1"/>
  <c r="C2112" i="3"/>
  <c r="D2112" i="3"/>
  <c r="E2112" i="3"/>
  <c r="F2112" i="3"/>
  <c r="G2112" i="3"/>
  <c r="H2112" i="3"/>
  <c r="I2112" i="3"/>
  <c r="J2112" i="3"/>
  <c r="B2113" i="3"/>
  <c r="K2113" i="3" s="1"/>
  <c r="C2113" i="3"/>
  <c r="D2113" i="3"/>
  <c r="E2113" i="3"/>
  <c r="F2113" i="3"/>
  <c r="G2113" i="3"/>
  <c r="H2113" i="3"/>
  <c r="I2113" i="3"/>
  <c r="J2113" i="3"/>
  <c r="B2114" i="3"/>
  <c r="K2114" i="3" s="1"/>
  <c r="C2114" i="3"/>
  <c r="D2114" i="3"/>
  <c r="E2114" i="3"/>
  <c r="F2114" i="3"/>
  <c r="G2114" i="3"/>
  <c r="H2114" i="3"/>
  <c r="I2114" i="3"/>
  <c r="J2114" i="3"/>
  <c r="B2115" i="3"/>
  <c r="K2115" i="3" s="1"/>
  <c r="C2115" i="3"/>
  <c r="D2115" i="3"/>
  <c r="E2115" i="3"/>
  <c r="F2115" i="3"/>
  <c r="G2115" i="3"/>
  <c r="H2115" i="3"/>
  <c r="I2115" i="3"/>
  <c r="J2115" i="3"/>
  <c r="B2116" i="3"/>
  <c r="K2116" i="3" s="1"/>
  <c r="C2116" i="3"/>
  <c r="D2116" i="3"/>
  <c r="E2116" i="3"/>
  <c r="F2116" i="3"/>
  <c r="G2116" i="3"/>
  <c r="H2116" i="3"/>
  <c r="I2116" i="3"/>
  <c r="J2116" i="3"/>
  <c r="B2117" i="3"/>
  <c r="K2117" i="3" s="1"/>
  <c r="C2117" i="3"/>
  <c r="D2117" i="3"/>
  <c r="E2117" i="3"/>
  <c r="F2117" i="3"/>
  <c r="G2117" i="3"/>
  <c r="H2117" i="3"/>
  <c r="I2117" i="3"/>
  <c r="J2117" i="3"/>
  <c r="B2118" i="3"/>
  <c r="K2118" i="3" s="1"/>
  <c r="C2118" i="3"/>
  <c r="D2118" i="3"/>
  <c r="E2118" i="3"/>
  <c r="F2118" i="3"/>
  <c r="G2118" i="3"/>
  <c r="H2118" i="3"/>
  <c r="I2118" i="3"/>
  <c r="J2118" i="3"/>
  <c r="B2119" i="3"/>
  <c r="K2119" i="3" s="1"/>
  <c r="C2119" i="3"/>
  <c r="D2119" i="3"/>
  <c r="E2119" i="3"/>
  <c r="F2119" i="3"/>
  <c r="G2119" i="3"/>
  <c r="H2119" i="3"/>
  <c r="I2119" i="3"/>
  <c r="J2119" i="3"/>
  <c r="B2120" i="3"/>
  <c r="K2120" i="3" s="1"/>
  <c r="C2120" i="3"/>
  <c r="D2120" i="3"/>
  <c r="E2120" i="3"/>
  <c r="F2120" i="3"/>
  <c r="G2120" i="3"/>
  <c r="H2120" i="3"/>
  <c r="I2120" i="3"/>
  <c r="J2120" i="3"/>
  <c r="B2121" i="3"/>
  <c r="K2121" i="3" s="1"/>
  <c r="C2121" i="3"/>
  <c r="D2121" i="3"/>
  <c r="E2121" i="3"/>
  <c r="F2121" i="3"/>
  <c r="G2121" i="3"/>
  <c r="H2121" i="3"/>
  <c r="I2121" i="3"/>
  <c r="J2121" i="3"/>
  <c r="B2122" i="3"/>
  <c r="K2122" i="3" s="1"/>
  <c r="C2122" i="3"/>
  <c r="D2122" i="3"/>
  <c r="E2122" i="3"/>
  <c r="F2122" i="3"/>
  <c r="G2122" i="3"/>
  <c r="H2122" i="3"/>
  <c r="I2122" i="3"/>
  <c r="J2122" i="3"/>
  <c r="B2123" i="3"/>
  <c r="K2123" i="3" s="1"/>
  <c r="C2123" i="3"/>
  <c r="D2123" i="3"/>
  <c r="E2123" i="3"/>
  <c r="F2123" i="3"/>
  <c r="G2123" i="3"/>
  <c r="H2123" i="3"/>
  <c r="I2123" i="3"/>
  <c r="J2123" i="3"/>
  <c r="B2124" i="3"/>
  <c r="K2124" i="3" s="1"/>
  <c r="C2124" i="3"/>
  <c r="D2124" i="3"/>
  <c r="E2124" i="3"/>
  <c r="F2124" i="3"/>
  <c r="G2124" i="3"/>
  <c r="H2124" i="3"/>
  <c r="I2124" i="3"/>
  <c r="J2124" i="3"/>
  <c r="B2125" i="3"/>
  <c r="C2125" i="3"/>
  <c r="D2125" i="3"/>
  <c r="E2125" i="3"/>
  <c r="F2125" i="3"/>
  <c r="G2125" i="3"/>
  <c r="H2125" i="3"/>
  <c r="I2125" i="3"/>
  <c r="J2125" i="3"/>
  <c r="K2125" i="3"/>
  <c r="B2126" i="3"/>
  <c r="K2126" i="3" s="1"/>
  <c r="C2126" i="3"/>
  <c r="D2126" i="3"/>
  <c r="E2126" i="3"/>
  <c r="F2126" i="3"/>
  <c r="G2126" i="3"/>
  <c r="H2126" i="3"/>
  <c r="I2126" i="3"/>
  <c r="J2126" i="3"/>
  <c r="B2127" i="3"/>
  <c r="K2127" i="3" s="1"/>
  <c r="C2127" i="3"/>
  <c r="D2127" i="3"/>
  <c r="E2127" i="3"/>
  <c r="F2127" i="3"/>
  <c r="G2127" i="3"/>
  <c r="H2127" i="3"/>
  <c r="I2127" i="3"/>
  <c r="J2127" i="3"/>
  <c r="B2128" i="3"/>
  <c r="K2128" i="3" s="1"/>
  <c r="C2128" i="3"/>
  <c r="D2128" i="3"/>
  <c r="E2128" i="3"/>
  <c r="F2128" i="3"/>
  <c r="G2128" i="3"/>
  <c r="H2128" i="3"/>
  <c r="I2128" i="3"/>
  <c r="J2128" i="3"/>
  <c r="B2129" i="3"/>
  <c r="K2129" i="3" s="1"/>
  <c r="C2129" i="3"/>
  <c r="D2129" i="3"/>
  <c r="E2129" i="3"/>
  <c r="F2129" i="3"/>
  <c r="G2129" i="3"/>
  <c r="H2129" i="3"/>
  <c r="I2129" i="3"/>
  <c r="J2129" i="3"/>
  <c r="B2130" i="3"/>
  <c r="K2130" i="3" s="1"/>
  <c r="C2130" i="3"/>
  <c r="D2130" i="3"/>
  <c r="E2130" i="3"/>
  <c r="F2130" i="3"/>
  <c r="G2130" i="3"/>
  <c r="H2130" i="3"/>
  <c r="I2130" i="3"/>
  <c r="J2130" i="3"/>
  <c r="B2131" i="3"/>
  <c r="K2131" i="3" s="1"/>
  <c r="C2131" i="3"/>
  <c r="D2131" i="3"/>
  <c r="E2131" i="3"/>
  <c r="F2131" i="3"/>
  <c r="G2131" i="3"/>
  <c r="H2131" i="3"/>
  <c r="I2131" i="3"/>
  <c r="J2131" i="3"/>
  <c r="B2132" i="3"/>
  <c r="K2132" i="3" s="1"/>
  <c r="C2132" i="3"/>
  <c r="D2132" i="3"/>
  <c r="E2132" i="3"/>
  <c r="F2132" i="3"/>
  <c r="G2132" i="3"/>
  <c r="H2132" i="3"/>
  <c r="I2132" i="3"/>
  <c r="J2132" i="3"/>
  <c r="B2133" i="3"/>
  <c r="K2133" i="3" s="1"/>
  <c r="C2133" i="3"/>
  <c r="D2133" i="3"/>
  <c r="E2133" i="3"/>
  <c r="F2133" i="3"/>
  <c r="G2133" i="3"/>
  <c r="H2133" i="3"/>
  <c r="I2133" i="3"/>
  <c r="J2133" i="3"/>
  <c r="B2134" i="3"/>
  <c r="K2134" i="3" s="1"/>
  <c r="C2134" i="3"/>
  <c r="D2134" i="3"/>
  <c r="E2134" i="3"/>
  <c r="F2134" i="3"/>
  <c r="G2134" i="3"/>
  <c r="H2134" i="3"/>
  <c r="I2134" i="3"/>
  <c r="J2134" i="3"/>
  <c r="B2135" i="3"/>
  <c r="K2135" i="3" s="1"/>
  <c r="C2135" i="3"/>
  <c r="D2135" i="3"/>
  <c r="E2135" i="3"/>
  <c r="F2135" i="3"/>
  <c r="G2135" i="3"/>
  <c r="H2135" i="3"/>
  <c r="I2135" i="3"/>
  <c r="J2135" i="3"/>
  <c r="B2136" i="3"/>
  <c r="K2136" i="3" s="1"/>
  <c r="C2136" i="3"/>
  <c r="D2136" i="3"/>
  <c r="E2136" i="3"/>
  <c r="F2136" i="3"/>
  <c r="G2136" i="3"/>
  <c r="H2136" i="3"/>
  <c r="I2136" i="3"/>
  <c r="J2136" i="3"/>
  <c r="B2137" i="3"/>
  <c r="K2137" i="3" s="1"/>
  <c r="C2137" i="3"/>
  <c r="D2137" i="3"/>
  <c r="E2137" i="3"/>
  <c r="F2137" i="3"/>
  <c r="G2137" i="3"/>
  <c r="H2137" i="3"/>
  <c r="I2137" i="3"/>
  <c r="J2137" i="3"/>
  <c r="B2138" i="3"/>
  <c r="K2138" i="3" s="1"/>
  <c r="C2138" i="3"/>
  <c r="D2138" i="3"/>
  <c r="E2138" i="3"/>
  <c r="F2138" i="3"/>
  <c r="G2138" i="3"/>
  <c r="H2138" i="3"/>
  <c r="I2138" i="3"/>
  <c r="J2138" i="3"/>
  <c r="B2139" i="3"/>
  <c r="K2139" i="3" s="1"/>
  <c r="C2139" i="3"/>
  <c r="D2139" i="3"/>
  <c r="E2139" i="3"/>
  <c r="F2139" i="3"/>
  <c r="G2139" i="3"/>
  <c r="H2139" i="3"/>
  <c r="I2139" i="3"/>
  <c r="J2139" i="3"/>
  <c r="B2140" i="3"/>
  <c r="K2140" i="3" s="1"/>
  <c r="C2140" i="3"/>
  <c r="D2140" i="3"/>
  <c r="E2140" i="3"/>
  <c r="F2140" i="3"/>
  <c r="G2140" i="3"/>
  <c r="H2140" i="3"/>
  <c r="I2140" i="3"/>
  <c r="J2140" i="3"/>
  <c r="B2141" i="3"/>
  <c r="K2141" i="3" s="1"/>
  <c r="C2141" i="3"/>
  <c r="D2141" i="3"/>
  <c r="E2141" i="3"/>
  <c r="F2141" i="3"/>
  <c r="G2141" i="3"/>
  <c r="H2141" i="3"/>
  <c r="I2141" i="3"/>
  <c r="J2141" i="3"/>
  <c r="B2142" i="3"/>
  <c r="K2142" i="3" s="1"/>
  <c r="C2142" i="3"/>
  <c r="D2142" i="3"/>
  <c r="E2142" i="3"/>
  <c r="F2142" i="3"/>
  <c r="G2142" i="3"/>
  <c r="H2142" i="3"/>
  <c r="I2142" i="3"/>
  <c r="J2142" i="3"/>
  <c r="B2143" i="3"/>
  <c r="K2143" i="3" s="1"/>
  <c r="C2143" i="3"/>
  <c r="D2143" i="3"/>
  <c r="E2143" i="3"/>
  <c r="F2143" i="3"/>
  <c r="G2143" i="3"/>
  <c r="H2143" i="3"/>
  <c r="I2143" i="3"/>
  <c r="J2143" i="3"/>
  <c r="B2144" i="3"/>
  <c r="K2144" i="3" s="1"/>
  <c r="C2144" i="3"/>
  <c r="D2144" i="3"/>
  <c r="E2144" i="3"/>
  <c r="F2144" i="3"/>
  <c r="G2144" i="3"/>
  <c r="H2144" i="3"/>
  <c r="I2144" i="3"/>
  <c r="J2144" i="3"/>
  <c r="B2145" i="3"/>
  <c r="K2145" i="3" s="1"/>
  <c r="C2145" i="3"/>
  <c r="D2145" i="3"/>
  <c r="E2145" i="3"/>
  <c r="F2145" i="3"/>
  <c r="G2145" i="3"/>
  <c r="H2145" i="3"/>
  <c r="I2145" i="3"/>
  <c r="J2145" i="3"/>
  <c r="B2146" i="3"/>
  <c r="K2146" i="3" s="1"/>
  <c r="C2146" i="3"/>
  <c r="D2146" i="3"/>
  <c r="E2146" i="3"/>
  <c r="F2146" i="3"/>
  <c r="G2146" i="3"/>
  <c r="H2146" i="3"/>
  <c r="I2146" i="3"/>
  <c r="J2146" i="3"/>
  <c r="B2147" i="3"/>
  <c r="K2147" i="3" s="1"/>
  <c r="C2147" i="3"/>
  <c r="D2147" i="3"/>
  <c r="E2147" i="3"/>
  <c r="F2147" i="3"/>
  <c r="G2147" i="3"/>
  <c r="H2147" i="3"/>
  <c r="I2147" i="3"/>
  <c r="J2147" i="3"/>
  <c r="B2148" i="3"/>
  <c r="K2148" i="3" s="1"/>
  <c r="C2148" i="3"/>
  <c r="D2148" i="3"/>
  <c r="E2148" i="3"/>
  <c r="F2148" i="3"/>
  <c r="G2148" i="3"/>
  <c r="H2148" i="3"/>
  <c r="I2148" i="3"/>
  <c r="J2148" i="3"/>
  <c r="B2149" i="3"/>
  <c r="K2149" i="3" s="1"/>
  <c r="C2149" i="3"/>
  <c r="D2149" i="3"/>
  <c r="E2149" i="3"/>
  <c r="F2149" i="3"/>
  <c r="G2149" i="3"/>
  <c r="H2149" i="3"/>
  <c r="I2149" i="3"/>
  <c r="J2149" i="3"/>
  <c r="B2150" i="3"/>
  <c r="K2150" i="3" s="1"/>
  <c r="C2150" i="3"/>
  <c r="D2150" i="3"/>
  <c r="E2150" i="3"/>
  <c r="F2150" i="3"/>
  <c r="G2150" i="3"/>
  <c r="H2150" i="3"/>
  <c r="I2150" i="3"/>
  <c r="J2150" i="3"/>
  <c r="B2151" i="3"/>
  <c r="K2151" i="3" s="1"/>
  <c r="C2151" i="3"/>
  <c r="D2151" i="3"/>
  <c r="E2151" i="3"/>
  <c r="F2151" i="3"/>
  <c r="G2151" i="3"/>
  <c r="H2151" i="3"/>
  <c r="I2151" i="3"/>
  <c r="J2151" i="3"/>
  <c r="B2152" i="3"/>
  <c r="K2152" i="3" s="1"/>
  <c r="C2152" i="3"/>
  <c r="D2152" i="3"/>
  <c r="E2152" i="3"/>
  <c r="F2152" i="3"/>
  <c r="G2152" i="3"/>
  <c r="H2152" i="3"/>
  <c r="I2152" i="3"/>
  <c r="J2152" i="3"/>
  <c r="B2153" i="3"/>
  <c r="K2153" i="3" s="1"/>
  <c r="C2153" i="3"/>
  <c r="D2153" i="3"/>
  <c r="E2153" i="3"/>
  <c r="F2153" i="3"/>
  <c r="G2153" i="3"/>
  <c r="H2153" i="3"/>
  <c r="I2153" i="3"/>
  <c r="J2153" i="3"/>
  <c r="B2154" i="3"/>
  <c r="K2154" i="3" s="1"/>
  <c r="C2154" i="3"/>
  <c r="D2154" i="3"/>
  <c r="E2154" i="3"/>
  <c r="F2154" i="3"/>
  <c r="G2154" i="3"/>
  <c r="H2154" i="3"/>
  <c r="I2154" i="3"/>
  <c r="J2154" i="3"/>
  <c r="B2155" i="3"/>
  <c r="K2155" i="3" s="1"/>
  <c r="C2155" i="3"/>
  <c r="D2155" i="3"/>
  <c r="E2155" i="3"/>
  <c r="F2155" i="3"/>
  <c r="G2155" i="3"/>
  <c r="H2155" i="3"/>
  <c r="I2155" i="3"/>
  <c r="J2155" i="3"/>
  <c r="B2156" i="3"/>
  <c r="K2156" i="3" s="1"/>
  <c r="C2156" i="3"/>
  <c r="D2156" i="3"/>
  <c r="E2156" i="3"/>
  <c r="F2156" i="3"/>
  <c r="G2156" i="3"/>
  <c r="H2156" i="3"/>
  <c r="I2156" i="3"/>
  <c r="J2156" i="3"/>
  <c r="B2157" i="3"/>
  <c r="K2157" i="3" s="1"/>
  <c r="C2157" i="3"/>
  <c r="D2157" i="3"/>
  <c r="E2157" i="3"/>
  <c r="F2157" i="3"/>
  <c r="G2157" i="3"/>
  <c r="H2157" i="3"/>
  <c r="I2157" i="3"/>
  <c r="J2157" i="3"/>
  <c r="B2158" i="3"/>
  <c r="K2158" i="3" s="1"/>
  <c r="C2158" i="3"/>
  <c r="D2158" i="3"/>
  <c r="E2158" i="3"/>
  <c r="F2158" i="3"/>
  <c r="G2158" i="3"/>
  <c r="H2158" i="3"/>
  <c r="I2158" i="3"/>
  <c r="J2158" i="3"/>
  <c r="B2159" i="3"/>
  <c r="K2159" i="3" s="1"/>
  <c r="C2159" i="3"/>
  <c r="D2159" i="3"/>
  <c r="E2159" i="3"/>
  <c r="F2159" i="3"/>
  <c r="G2159" i="3"/>
  <c r="H2159" i="3"/>
  <c r="I2159" i="3"/>
  <c r="J2159" i="3"/>
  <c r="B2160" i="3"/>
  <c r="K2160" i="3" s="1"/>
  <c r="C2160" i="3"/>
  <c r="D2160" i="3"/>
  <c r="E2160" i="3"/>
  <c r="F2160" i="3"/>
  <c r="G2160" i="3"/>
  <c r="H2160" i="3"/>
  <c r="I2160" i="3"/>
  <c r="J2160" i="3"/>
  <c r="B2161" i="3"/>
  <c r="K2161" i="3" s="1"/>
  <c r="C2161" i="3"/>
  <c r="D2161" i="3"/>
  <c r="E2161" i="3"/>
  <c r="F2161" i="3"/>
  <c r="G2161" i="3"/>
  <c r="H2161" i="3"/>
  <c r="I2161" i="3"/>
  <c r="J2161" i="3"/>
  <c r="B2162" i="3"/>
  <c r="K2162" i="3" s="1"/>
  <c r="C2162" i="3"/>
  <c r="D2162" i="3"/>
  <c r="E2162" i="3"/>
  <c r="F2162" i="3"/>
  <c r="G2162" i="3"/>
  <c r="H2162" i="3"/>
  <c r="I2162" i="3"/>
  <c r="J2162" i="3"/>
  <c r="B2163" i="3"/>
  <c r="K2163" i="3" s="1"/>
  <c r="C2163" i="3"/>
  <c r="D2163" i="3"/>
  <c r="E2163" i="3"/>
  <c r="F2163" i="3"/>
  <c r="G2163" i="3"/>
  <c r="H2163" i="3"/>
  <c r="I2163" i="3"/>
  <c r="J2163" i="3"/>
  <c r="B2164" i="3"/>
  <c r="K2164" i="3" s="1"/>
  <c r="C2164" i="3"/>
  <c r="D2164" i="3"/>
  <c r="E2164" i="3"/>
  <c r="F2164" i="3"/>
  <c r="G2164" i="3"/>
  <c r="H2164" i="3"/>
  <c r="I2164" i="3"/>
  <c r="J2164" i="3"/>
  <c r="B2165" i="3"/>
  <c r="K2165" i="3" s="1"/>
  <c r="C2165" i="3"/>
  <c r="D2165" i="3"/>
  <c r="E2165" i="3"/>
  <c r="F2165" i="3"/>
  <c r="G2165" i="3"/>
  <c r="H2165" i="3"/>
  <c r="I2165" i="3"/>
  <c r="J2165" i="3"/>
  <c r="B2166" i="3"/>
  <c r="K2166" i="3" s="1"/>
  <c r="C2166" i="3"/>
  <c r="D2166" i="3"/>
  <c r="E2166" i="3"/>
  <c r="F2166" i="3"/>
  <c r="G2166" i="3"/>
  <c r="H2166" i="3"/>
  <c r="I2166" i="3"/>
  <c r="J2166" i="3"/>
  <c r="B2167" i="3"/>
  <c r="K2167" i="3" s="1"/>
  <c r="C2167" i="3"/>
  <c r="D2167" i="3"/>
  <c r="E2167" i="3"/>
  <c r="F2167" i="3"/>
  <c r="G2167" i="3"/>
  <c r="H2167" i="3"/>
  <c r="I2167" i="3"/>
  <c r="J2167" i="3"/>
  <c r="B2168" i="3"/>
  <c r="K2168" i="3" s="1"/>
  <c r="C2168" i="3"/>
  <c r="D2168" i="3"/>
  <c r="E2168" i="3"/>
  <c r="F2168" i="3"/>
  <c r="G2168" i="3"/>
  <c r="H2168" i="3"/>
  <c r="I2168" i="3"/>
  <c r="J2168" i="3"/>
  <c r="B2169" i="3"/>
  <c r="K2169" i="3" s="1"/>
  <c r="C2169" i="3"/>
  <c r="D2169" i="3"/>
  <c r="E2169" i="3"/>
  <c r="F2169" i="3"/>
  <c r="G2169" i="3"/>
  <c r="H2169" i="3"/>
  <c r="I2169" i="3"/>
  <c r="J2169" i="3"/>
  <c r="B2170" i="3"/>
  <c r="K2170" i="3" s="1"/>
  <c r="C2170" i="3"/>
  <c r="D2170" i="3"/>
  <c r="E2170" i="3"/>
  <c r="F2170" i="3"/>
  <c r="G2170" i="3"/>
  <c r="H2170" i="3"/>
  <c r="I2170" i="3"/>
  <c r="J2170" i="3"/>
  <c r="B2171" i="3"/>
  <c r="C2171" i="3"/>
  <c r="D2171" i="3"/>
  <c r="E2171" i="3"/>
  <c r="F2171" i="3"/>
  <c r="G2171" i="3"/>
  <c r="H2171" i="3"/>
  <c r="I2171" i="3"/>
  <c r="J2171" i="3"/>
  <c r="K2171" i="3"/>
  <c r="B2172" i="3"/>
  <c r="K2172" i="3" s="1"/>
  <c r="C2172" i="3"/>
  <c r="D2172" i="3"/>
  <c r="E2172" i="3"/>
  <c r="F2172" i="3"/>
  <c r="G2172" i="3"/>
  <c r="H2172" i="3"/>
  <c r="I2172" i="3"/>
  <c r="J2172" i="3"/>
  <c r="B2173" i="3"/>
  <c r="K2173" i="3" s="1"/>
  <c r="C2173" i="3"/>
  <c r="D2173" i="3"/>
  <c r="E2173" i="3"/>
  <c r="F2173" i="3"/>
  <c r="G2173" i="3"/>
  <c r="H2173" i="3"/>
  <c r="I2173" i="3"/>
  <c r="J2173" i="3"/>
  <c r="B2174" i="3"/>
  <c r="K2174" i="3" s="1"/>
  <c r="C2174" i="3"/>
  <c r="D2174" i="3"/>
  <c r="E2174" i="3"/>
  <c r="F2174" i="3"/>
  <c r="G2174" i="3"/>
  <c r="H2174" i="3"/>
  <c r="I2174" i="3"/>
  <c r="J2174" i="3"/>
  <c r="B2175" i="3"/>
  <c r="K2175" i="3" s="1"/>
  <c r="C2175" i="3"/>
  <c r="D2175" i="3"/>
  <c r="E2175" i="3"/>
  <c r="F2175" i="3"/>
  <c r="G2175" i="3"/>
  <c r="H2175" i="3"/>
  <c r="I2175" i="3"/>
  <c r="J2175" i="3"/>
  <c r="B2176" i="3"/>
  <c r="K2176" i="3" s="1"/>
  <c r="C2176" i="3"/>
  <c r="D2176" i="3"/>
  <c r="E2176" i="3"/>
  <c r="F2176" i="3"/>
  <c r="G2176" i="3"/>
  <c r="H2176" i="3"/>
  <c r="I2176" i="3"/>
  <c r="J2176" i="3"/>
  <c r="B2177" i="3"/>
  <c r="K2177" i="3" s="1"/>
  <c r="C2177" i="3"/>
  <c r="D2177" i="3"/>
  <c r="E2177" i="3"/>
  <c r="F2177" i="3"/>
  <c r="G2177" i="3"/>
  <c r="H2177" i="3"/>
  <c r="I2177" i="3"/>
  <c r="J2177" i="3"/>
  <c r="B2178" i="3"/>
  <c r="K2178" i="3" s="1"/>
  <c r="C2178" i="3"/>
  <c r="D2178" i="3"/>
  <c r="E2178" i="3"/>
  <c r="F2178" i="3"/>
  <c r="G2178" i="3"/>
  <c r="H2178" i="3"/>
  <c r="I2178" i="3"/>
  <c r="J2178" i="3"/>
  <c r="B2179" i="3"/>
  <c r="K2179" i="3" s="1"/>
  <c r="C2179" i="3"/>
  <c r="D2179" i="3"/>
  <c r="E2179" i="3"/>
  <c r="F2179" i="3"/>
  <c r="G2179" i="3"/>
  <c r="H2179" i="3"/>
  <c r="I2179" i="3"/>
  <c r="J2179" i="3"/>
  <c r="B2180" i="3"/>
  <c r="K2180" i="3" s="1"/>
  <c r="C2180" i="3"/>
  <c r="D2180" i="3"/>
  <c r="E2180" i="3"/>
  <c r="F2180" i="3"/>
  <c r="G2180" i="3"/>
  <c r="H2180" i="3"/>
  <c r="I2180" i="3"/>
  <c r="J2180" i="3"/>
  <c r="B2181" i="3"/>
  <c r="K2181" i="3" s="1"/>
  <c r="C2181" i="3"/>
  <c r="D2181" i="3"/>
  <c r="E2181" i="3"/>
  <c r="F2181" i="3"/>
  <c r="G2181" i="3"/>
  <c r="H2181" i="3"/>
  <c r="I2181" i="3"/>
  <c r="J2181" i="3"/>
  <c r="B2182" i="3"/>
  <c r="K2182" i="3" s="1"/>
  <c r="C2182" i="3"/>
  <c r="D2182" i="3"/>
  <c r="E2182" i="3"/>
  <c r="F2182" i="3"/>
  <c r="G2182" i="3"/>
  <c r="H2182" i="3"/>
  <c r="I2182" i="3"/>
  <c r="J2182" i="3"/>
  <c r="B2183" i="3"/>
  <c r="C2183" i="3"/>
  <c r="D2183" i="3"/>
  <c r="E2183" i="3"/>
  <c r="F2183" i="3"/>
  <c r="G2183" i="3"/>
  <c r="H2183" i="3"/>
  <c r="I2183" i="3"/>
  <c r="J2183" i="3"/>
  <c r="K2183" i="3"/>
  <c r="B2184" i="3"/>
  <c r="K2184" i="3" s="1"/>
  <c r="C2184" i="3"/>
  <c r="D2184" i="3"/>
  <c r="E2184" i="3"/>
  <c r="F2184" i="3"/>
  <c r="G2184" i="3"/>
  <c r="H2184" i="3"/>
  <c r="I2184" i="3"/>
  <c r="J2184" i="3"/>
  <c r="B2185" i="3"/>
  <c r="K2185" i="3" s="1"/>
  <c r="C2185" i="3"/>
  <c r="D2185" i="3"/>
  <c r="E2185" i="3"/>
  <c r="F2185" i="3"/>
  <c r="G2185" i="3"/>
  <c r="H2185" i="3"/>
  <c r="I2185" i="3"/>
  <c r="J2185" i="3"/>
  <c r="B2186" i="3"/>
  <c r="K2186" i="3" s="1"/>
  <c r="C2186" i="3"/>
  <c r="D2186" i="3"/>
  <c r="E2186" i="3"/>
  <c r="F2186" i="3"/>
  <c r="G2186" i="3"/>
  <c r="H2186" i="3"/>
  <c r="I2186" i="3"/>
  <c r="J2186" i="3"/>
  <c r="B2187" i="3"/>
  <c r="K2187" i="3" s="1"/>
  <c r="C2187" i="3"/>
  <c r="D2187" i="3"/>
  <c r="E2187" i="3"/>
  <c r="F2187" i="3"/>
  <c r="G2187" i="3"/>
  <c r="H2187" i="3"/>
  <c r="I2187" i="3"/>
  <c r="J2187" i="3"/>
  <c r="B2188" i="3"/>
  <c r="K2188" i="3" s="1"/>
  <c r="C2188" i="3"/>
  <c r="D2188" i="3"/>
  <c r="E2188" i="3"/>
  <c r="F2188" i="3"/>
  <c r="G2188" i="3"/>
  <c r="H2188" i="3"/>
  <c r="I2188" i="3"/>
  <c r="J2188" i="3"/>
  <c r="B2189" i="3"/>
  <c r="K2189" i="3" s="1"/>
  <c r="C2189" i="3"/>
  <c r="D2189" i="3"/>
  <c r="E2189" i="3"/>
  <c r="F2189" i="3"/>
  <c r="G2189" i="3"/>
  <c r="H2189" i="3"/>
  <c r="I2189" i="3"/>
  <c r="J2189" i="3"/>
  <c r="B2190" i="3"/>
  <c r="K2190" i="3" s="1"/>
  <c r="C2190" i="3"/>
  <c r="D2190" i="3"/>
  <c r="E2190" i="3"/>
  <c r="F2190" i="3"/>
  <c r="G2190" i="3"/>
  <c r="H2190" i="3"/>
  <c r="I2190" i="3"/>
  <c r="J2190" i="3"/>
  <c r="B2191" i="3"/>
  <c r="K2191" i="3" s="1"/>
  <c r="C2191" i="3"/>
  <c r="D2191" i="3"/>
  <c r="E2191" i="3"/>
  <c r="F2191" i="3"/>
  <c r="G2191" i="3"/>
  <c r="H2191" i="3"/>
  <c r="I2191" i="3"/>
  <c r="J2191" i="3"/>
  <c r="B2192" i="3"/>
  <c r="K2192" i="3" s="1"/>
  <c r="C2192" i="3"/>
  <c r="D2192" i="3"/>
  <c r="E2192" i="3"/>
  <c r="F2192" i="3"/>
  <c r="G2192" i="3"/>
  <c r="H2192" i="3"/>
  <c r="I2192" i="3"/>
  <c r="J2192" i="3"/>
  <c r="B2193" i="3"/>
  <c r="K2193" i="3" s="1"/>
  <c r="C2193" i="3"/>
  <c r="D2193" i="3"/>
  <c r="E2193" i="3"/>
  <c r="F2193" i="3"/>
  <c r="G2193" i="3"/>
  <c r="H2193" i="3"/>
  <c r="I2193" i="3"/>
  <c r="J2193" i="3"/>
  <c r="B2194" i="3"/>
  <c r="K2194" i="3" s="1"/>
  <c r="C2194" i="3"/>
  <c r="D2194" i="3"/>
  <c r="E2194" i="3"/>
  <c r="F2194" i="3"/>
  <c r="G2194" i="3"/>
  <c r="H2194" i="3"/>
  <c r="I2194" i="3"/>
  <c r="J2194" i="3"/>
  <c r="B2195" i="3"/>
  <c r="K2195" i="3" s="1"/>
  <c r="C2195" i="3"/>
  <c r="D2195" i="3"/>
  <c r="E2195" i="3"/>
  <c r="F2195" i="3"/>
  <c r="G2195" i="3"/>
  <c r="H2195" i="3"/>
  <c r="I2195" i="3"/>
  <c r="J2195" i="3"/>
  <c r="B2196" i="3"/>
  <c r="K2196" i="3" s="1"/>
  <c r="C2196" i="3"/>
  <c r="D2196" i="3"/>
  <c r="E2196" i="3"/>
  <c r="F2196" i="3"/>
  <c r="G2196" i="3"/>
  <c r="H2196" i="3"/>
  <c r="I2196" i="3"/>
  <c r="J2196" i="3"/>
  <c r="B2197" i="3"/>
  <c r="K2197" i="3" s="1"/>
  <c r="C2197" i="3"/>
  <c r="D2197" i="3"/>
  <c r="E2197" i="3"/>
  <c r="F2197" i="3"/>
  <c r="G2197" i="3"/>
  <c r="H2197" i="3"/>
  <c r="I2197" i="3"/>
  <c r="J2197" i="3"/>
  <c r="B2198" i="3"/>
  <c r="K2198" i="3" s="1"/>
  <c r="C2198" i="3"/>
  <c r="D2198" i="3"/>
  <c r="E2198" i="3"/>
  <c r="F2198" i="3"/>
  <c r="G2198" i="3"/>
  <c r="H2198" i="3"/>
  <c r="I2198" i="3"/>
  <c r="J2198" i="3"/>
  <c r="B2199" i="3"/>
  <c r="K2199" i="3" s="1"/>
  <c r="C2199" i="3"/>
  <c r="D2199" i="3"/>
  <c r="E2199" i="3"/>
  <c r="F2199" i="3"/>
  <c r="G2199" i="3"/>
  <c r="H2199" i="3"/>
  <c r="I2199" i="3"/>
  <c r="J2199" i="3"/>
  <c r="B2200" i="3"/>
  <c r="K2200" i="3" s="1"/>
  <c r="C2200" i="3"/>
  <c r="D2200" i="3"/>
  <c r="E2200" i="3"/>
  <c r="F2200" i="3"/>
  <c r="G2200" i="3"/>
  <c r="H2200" i="3"/>
  <c r="I2200" i="3"/>
  <c r="J2200" i="3"/>
  <c r="B2201" i="3"/>
  <c r="K2201" i="3" s="1"/>
  <c r="C2201" i="3"/>
  <c r="D2201" i="3"/>
  <c r="E2201" i="3"/>
  <c r="F2201" i="3"/>
  <c r="G2201" i="3"/>
  <c r="H2201" i="3"/>
  <c r="I2201" i="3"/>
  <c r="J2201" i="3"/>
  <c r="B2202" i="3"/>
  <c r="K2202" i="3" s="1"/>
  <c r="C2202" i="3"/>
  <c r="D2202" i="3"/>
  <c r="E2202" i="3"/>
  <c r="F2202" i="3"/>
  <c r="G2202" i="3"/>
  <c r="H2202" i="3"/>
  <c r="I2202" i="3"/>
  <c r="J2202" i="3"/>
  <c r="B2203" i="3"/>
  <c r="K2203" i="3" s="1"/>
  <c r="C2203" i="3"/>
  <c r="D2203" i="3"/>
  <c r="E2203" i="3"/>
  <c r="F2203" i="3"/>
  <c r="G2203" i="3"/>
  <c r="H2203" i="3"/>
  <c r="I2203" i="3"/>
  <c r="J2203" i="3"/>
  <c r="B2204" i="3"/>
  <c r="K2204" i="3" s="1"/>
  <c r="C2204" i="3"/>
  <c r="D2204" i="3"/>
  <c r="E2204" i="3"/>
  <c r="F2204" i="3"/>
  <c r="G2204" i="3"/>
  <c r="H2204" i="3"/>
  <c r="I2204" i="3"/>
  <c r="J2204" i="3"/>
  <c r="B2205" i="3"/>
  <c r="K2205" i="3" s="1"/>
  <c r="C2205" i="3"/>
  <c r="D2205" i="3"/>
  <c r="E2205" i="3"/>
  <c r="F2205" i="3"/>
  <c r="G2205" i="3"/>
  <c r="H2205" i="3"/>
  <c r="I2205" i="3"/>
  <c r="J2205" i="3"/>
  <c r="B2206" i="3"/>
  <c r="K2206" i="3" s="1"/>
  <c r="C2206" i="3"/>
  <c r="D2206" i="3"/>
  <c r="E2206" i="3"/>
  <c r="F2206" i="3"/>
  <c r="G2206" i="3"/>
  <c r="H2206" i="3"/>
  <c r="I2206" i="3"/>
  <c r="J2206" i="3"/>
  <c r="B2207" i="3"/>
  <c r="K2207" i="3" s="1"/>
  <c r="C2207" i="3"/>
  <c r="D2207" i="3"/>
  <c r="E2207" i="3"/>
  <c r="F2207" i="3"/>
  <c r="G2207" i="3"/>
  <c r="H2207" i="3"/>
  <c r="I2207" i="3"/>
  <c r="J2207" i="3"/>
  <c r="B2208" i="3"/>
  <c r="K2208" i="3" s="1"/>
  <c r="C2208" i="3"/>
  <c r="D2208" i="3"/>
  <c r="E2208" i="3"/>
  <c r="F2208" i="3"/>
  <c r="G2208" i="3"/>
  <c r="H2208" i="3"/>
  <c r="I2208" i="3"/>
  <c r="J2208" i="3"/>
  <c r="B2209" i="3"/>
  <c r="K2209" i="3" s="1"/>
  <c r="C2209" i="3"/>
  <c r="D2209" i="3"/>
  <c r="E2209" i="3"/>
  <c r="F2209" i="3"/>
  <c r="G2209" i="3"/>
  <c r="H2209" i="3"/>
  <c r="I2209" i="3"/>
  <c r="J2209" i="3"/>
  <c r="B2210" i="3"/>
  <c r="K2210" i="3" s="1"/>
  <c r="C2210" i="3"/>
  <c r="D2210" i="3"/>
  <c r="E2210" i="3"/>
  <c r="F2210" i="3"/>
  <c r="G2210" i="3"/>
  <c r="H2210" i="3"/>
  <c r="I2210" i="3"/>
  <c r="J2210" i="3"/>
  <c r="B2211" i="3"/>
  <c r="K2211" i="3" s="1"/>
  <c r="C2211" i="3"/>
  <c r="D2211" i="3"/>
  <c r="E2211" i="3"/>
  <c r="F2211" i="3"/>
  <c r="G2211" i="3"/>
  <c r="H2211" i="3"/>
  <c r="I2211" i="3"/>
  <c r="J2211" i="3"/>
  <c r="B2212" i="3"/>
  <c r="K2212" i="3" s="1"/>
  <c r="C2212" i="3"/>
  <c r="D2212" i="3"/>
  <c r="E2212" i="3"/>
  <c r="F2212" i="3"/>
  <c r="G2212" i="3"/>
  <c r="H2212" i="3"/>
  <c r="I2212" i="3"/>
  <c r="J2212" i="3"/>
  <c r="B2213" i="3"/>
  <c r="K2213" i="3" s="1"/>
  <c r="C2213" i="3"/>
  <c r="D2213" i="3"/>
  <c r="E2213" i="3"/>
  <c r="F2213" i="3"/>
  <c r="G2213" i="3"/>
  <c r="H2213" i="3"/>
  <c r="I2213" i="3"/>
  <c r="J2213" i="3"/>
  <c r="B2214" i="3"/>
  <c r="K2214" i="3" s="1"/>
  <c r="C2214" i="3"/>
  <c r="D2214" i="3"/>
  <c r="E2214" i="3"/>
  <c r="F2214" i="3"/>
  <c r="G2214" i="3"/>
  <c r="H2214" i="3"/>
  <c r="I2214" i="3"/>
  <c r="J2214" i="3"/>
  <c r="B2215" i="3"/>
  <c r="K2215" i="3" s="1"/>
  <c r="C2215" i="3"/>
  <c r="D2215" i="3"/>
  <c r="E2215" i="3"/>
  <c r="F2215" i="3"/>
  <c r="G2215" i="3"/>
  <c r="H2215" i="3"/>
  <c r="I2215" i="3"/>
  <c r="J2215" i="3"/>
  <c r="B2216" i="3"/>
  <c r="K2216" i="3" s="1"/>
  <c r="C2216" i="3"/>
  <c r="D2216" i="3"/>
  <c r="E2216" i="3"/>
  <c r="F2216" i="3"/>
  <c r="G2216" i="3"/>
  <c r="H2216" i="3"/>
  <c r="I2216" i="3"/>
  <c r="J2216" i="3"/>
  <c r="B2217" i="3"/>
  <c r="K2217" i="3" s="1"/>
  <c r="C2217" i="3"/>
  <c r="D2217" i="3"/>
  <c r="E2217" i="3"/>
  <c r="F2217" i="3"/>
  <c r="G2217" i="3"/>
  <c r="H2217" i="3"/>
  <c r="I2217" i="3"/>
  <c r="J2217" i="3"/>
  <c r="B2218" i="3"/>
  <c r="K2218" i="3" s="1"/>
  <c r="C2218" i="3"/>
  <c r="D2218" i="3"/>
  <c r="E2218" i="3"/>
  <c r="F2218" i="3"/>
  <c r="G2218" i="3"/>
  <c r="H2218" i="3"/>
  <c r="I2218" i="3"/>
  <c r="J2218" i="3"/>
  <c r="B2219" i="3"/>
  <c r="K2219" i="3" s="1"/>
  <c r="C2219" i="3"/>
  <c r="D2219" i="3"/>
  <c r="E2219" i="3"/>
  <c r="F2219" i="3"/>
  <c r="G2219" i="3"/>
  <c r="H2219" i="3"/>
  <c r="I2219" i="3"/>
  <c r="J2219" i="3"/>
  <c r="B2220" i="3"/>
  <c r="C2220" i="3"/>
  <c r="D2220" i="3"/>
  <c r="E2220" i="3"/>
  <c r="F2220" i="3"/>
  <c r="G2220" i="3"/>
  <c r="H2220" i="3"/>
  <c r="I2220" i="3"/>
  <c r="J2220" i="3"/>
  <c r="K2220" i="3"/>
  <c r="B2221" i="3"/>
  <c r="K2221" i="3" s="1"/>
  <c r="C2221" i="3"/>
  <c r="D2221" i="3"/>
  <c r="E2221" i="3"/>
  <c r="F2221" i="3"/>
  <c r="G2221" i="3"/>
  <c r="H2221" i="3"/>
  <c r="I2221" i="3"/>
  <c r="J2221" i="3"/>
  <c r="B2222" i="3"/>
  <c r="K2222" i="3" s="1"/>
  <c r="C2222" i="3"/>
  <c r="D2222" i="3"/>
  <c r="E2222" i="3"/>
  <c r="F2222" i="3"/>
  <c r="G2222" i="3"/>
  <c r="H2222" i="3"/>
  <c r="I2222" i="3"/>
  <c r="J2222" i="3"/>
  <c r="B2223" i="3"/>
  <c r="K2223" i="3" s="1"/>
  <c r="C2223" i="3"/>
  <c r="D2223" i="3"/>
  <c r="E2223" i="3"/>
  <c r="F2223" i="3"/>
  <c r="G2223" i="3"/>
  <c r="H2223" i="3"/>
  <c r="I2223" i="3"/>
  <c r="J2223" i="3"/>
  <c r="B2224" i="3"/>
  <c r="K2224" i="3" s="1"/>
  <c r="C2224" i="3"/>
  <c r="D2224" i="3"/>
  <c r="E2224" i="3"/>
  <c r="F2224" i="3"/>
  <c r="G2224" i="3"/>
  <c r="H2224" i="3"/>
  <c r="I2224" i="3"/>
  <c r="J2224" i="3"/>
  <c r="B2225" i="3"/>
  <c r="K2225" i="3" s="1"/>
  <c r="C2225" i="3"/>
  <c r="D2225" i="3"/>
  <c r="E2225" i="3"/>
  <c r="F2225" i="3"/>
  <c r="G2225" i="3"/>
  <c r="H2225" i="3"/>
  <c r="I2225" i="3"/>
  <c r="J2225" i="3"/>
  <c r="B2226" i="3"/>
  <c r="K2226" i="3" s="1"/>
  <c r="C2226" i="3"/>
  <c r="D2226" i="3"/>
  <c r="E2226" i="3"/>
  <c r="F2226" i="3"/>
  <c r="G2226" i="3"/>
  <c r="H2226" i="3"/>
  <c r="I2226" i="3"/>
  <c r="J2226" i="3"/>
  <c r="B2227" i="3"/>
  <c r="K2227" i="3" s="1"/>
  <c r="C2227" i="3"/>
  <c r="D2227" i="3"/>
  <c r="E2227" i="3"/>
  <c r="F2227" i="3"/>
  <c r="G2227" i="3"/>
  <c r="H2227" i="3"/>
  <c r="I2227" i="3"/>
  <c r="J2227" i="3"/>
  <c r="B2228" i="3"/>
  <c r="K2228" i="3" s="1"/>
  <c r="C2228" i="3"/>
  <c r="D2228" i="3"/>
  <c r="E2228" i="3"/>
  <c r="F2228" i="3"/>
  <c r="G2228" i="3"/>
  <c r="H2228" i="3"/>
  <c r="I2228" i="3"/>
  <c r="J2228" i="3"/>
  <c r="B2229" i="3"/>
  <c r="K2229" i="3" s="1"/>
  <c r="C2229" i="3"/>
  <c r="D2229" i="3"/>
  <c r="E2229" i="3"/>
  <c r="F2229" i="3"/>
  <c r="G2229" i="3"/>
  <c r="H2229" i="3"/>
  <c r="I2229" i="3"/>
  <c r="J2229" i="3"/>
  <c r="B2230" i="3"/>
  <c r="K2230" i="3" s="1"/>
  <c r="C2230" i="3"/>
  <c r="D2230" i="3"/>
  <c r="E2230" i="3"/>
  <c r="F2230" i="3"/>
  <c r="G2230" i="3"/>
  <c r="H2230" i="3"/>
  <c r="I2230" i="3"/>
  <c r="J2230" i="3"/>
  <c r="B2231" i="3"/>
  <c r="K2231" i="3" s="1"/>
  <c r="C2231" i="3"/>
  <c r="D2231" i="3"/>
  <c r="E2231" i="3"/>
  <c r="F2231" i="3"/>
  <c r="G2231" i="3"/>
  <c r="H2231" i="3"/>
  <c r="I2231" i="3"/>
  <c r="J2231" i="3"/>
  <c r="B2232" i="3"/>
  <c r="K2232" i="3" s="1"/>
  <c r="C2232" i="3"/>
  <c r="D2232" i="3"/>
  <c r="E2232" i="3"/>
  <c r="F2232" i="3"/>
  <c r="G2232" i="3"/>
  <c r="H2232" i="3"/>
  <c r="I2232" i="3"/>
  <c r="J2232" i="3"/>
  <c r="B2233" i="3"/>
  <c r="K2233" i="3" s="1"/>
  <c r="C2233" i="3"/>
  <c r="D2233" i="3"/>
  <c r="E2233" i="3"/>
  <c r="F2233" i="3"/>
  <c r="G2233" i="3"/>
  <c r="H2233" i="3"/>
  <c r="I2233" i="3"/>
  <c r="J2233" i="3"/>
  <c r="B2234" i="3"/>
  <c r="K2234" i="3" s="1"/>
  <c r="C2234" i="3"/>
  <c r="D2234" i="3"/>
  <c r="E2234" i="3"/>
  <c r="F2234" i="3"/>
  <c r="G2234" i="3"/>
  <c r="H2234" i="3"/>
  <c r="I2234" i="3"/>
  <c r="J2234" i="3"/>
  <c r="B2235" i="3"/>
  <c r="K2235" i="3" s="1"/>
  <c r="C2235" i="3"/>
  <c r="D2235" i="3"/>
  <c r="E2235" i="3"/>
  <c r="F2235" i="3"/>
  <c r="G2235" i="3"/>
  <c r="H2235" i="3"/>
  <c r="I2235" i="3"/>
  <c r="J2235" i="3"/>
  <c r="B2236" i="3"/>
  <c r="K2236" i="3" s="1"/>
  <c r="C2236" i="3"/>
  <c r="D2236" i="3"/>
  <c r="E2236" i="3"/>
  <c r="F2236" i="3"/>
  <c r="G2236" i="3"/>
  <c r="H2236" i="3"/>
  <c r="I2236" i="3"/>
  <c r="J2236" i="3"/>
  <c r="B2237" i="3"/>
  <c r="K2237" i="3" s="1"/>
  <c r="C2237" i="3"/>
  <c r="D2237" i="3"/>
  <c r="E2237" i="3"/>
  <c r="F2237" i="3"/>
  <c r="G2237" i="3"/>
  <c r="H2237" i="3"/>
  <c r="I2237" i="3"/>
  <c r="J2237" i="3"/>
  <c r="B2238" i="3"/>
  <c r="K2238" i="3" s="1"/>
  <c r="C2238" i="3"/>
  <c r="D2238" i="3"/>
  <c r="E2238" i="3"/>
  <c r="F2238" i="3"/>
  <c r="G2238" i="3"/>
  <c r="H2238" i="3"/>
  <c r="I2238" i="3"/>
  <c r="J2238" i="3"/>
  <c r="B2239" i="3"/>
  <c r="K2239" i="3" s="1"/>
  <c r="C2239" i="3"/>
  <c r="D2239" i="3"/>
  <c r="E2239" i="3"/>
  <c r="F2239" i="3"/>
  <c r="G2239" i="3"/>
  <c r="H2239" i="3"/>
  <c r="I2239" i="3"/>
  <c r="J2239" i="3"/>
  <c r="B2240" i="3"/>
  <c r="K2240" i="3" s="1"/>
  <c r="C2240" i="3"/>
  <c r="D2240" i="3"/>
  <c r="E2240" i="3"/>
  <c r="F2240" i="3"/>
  <c r="G2240" i="3"/>
  <c r="H2240" i="3"/>
  <c r="I2240" i="3"/>
  <c r="J2240" i="3"/>
  <c r="B2241" i="3"/>
  <c r="K2241" i="3" s="1"/>
  <c r="C2241" i="3"/>
  <c r="D2241" i="3"/>
  <c r="E2241" i="3"/>
  <c r="F2241" i="3"/>
  <c r="G2241" i="3"/>
  <c r="H2241" i="3"/>
  <c r="I2241" i="3"/>
  <c r="J2241" i="3"/>
  <c r="B2242" i="3"/>
  <c r="K2242" i="3" s="1"/>
  <c r="C2242" i="3"/>
  <c r="D2242" i="3"/>
  <c r="E2242" i="3"/>
  <c r="F2242" i="3"/>
  <c r="G2242" i="3"/>
  <c r="H2242" i="3"/>
  <c r="I2242" i="3"/>
  <c r="J2242" i="3"/>
  <c r="B2243" i="3"/>
  <c r="C2243" i="3"/>
  <c r="D2243" i="3"/>
  <c r="E2243" i="3"/>
  <c r="F2243" i="3"/>
  <c r="G2243" i="3"/>
  <c r="H2243" i="3"/>
  <c r="I2243" i="3"/>
  <c r="J2243" i="3"/>
  <c r="K2243" i="3"/>
  <c r="B2244" i="3"/>
  <c r="K2244" i="3" s="1"/>
  <c r="C2244" i="3"/>
  <c r="D2244" i="3"/>
  <c r="E2244" i="3"/>
  <c r="F2244" i="3"/>
  <c r="G2244" i="3"/>
  <c r="H2244" i="3"/>
  <c r="I2244" i="3"/>
  <c r="J2244" i="3"/>
  <c r="B2245" i="3"/>
  <c r="K2245" i="3" s="1"/>
  <c r="C2245" i="3"/>
  <c r="D2245" i="3"/>
  <c r="E2245" i="3"/>
  <c r="F2245" i="3"/>
  <c r="G2245" i="3"/>
  <c r="H2245" i="3"/>
  <c r="I2245" i="3"/>
  <c r="J2245" i="3"/>
  <c r="B2246" i="3"/>
  <c r="K2246" i="3" s="1"/>
  <c r="C2246" i="3"/>
  <c r="D2246" i="3"/>
  <c r="E2246" i="3"/>
  <c r="F2246" i="3"/>
  <c r="G2246" i="3"/>
  <c r="H2246" i="3"/>
  <c r="I2246" i="3"/>
  <c r="J2246" i="3"/>
  <c r="B2247" i="3"/>
  <c r="K2247" i="3" s="1"/>
  <c r="C2247" i="3"/>
  <c r="D2247" i="3"/>
  <c r="E2247" i="3"/>
  <c r="F2247" i="3"/>
  <c r="G2247" i="3"/>
  <c r="H2247" i="3"/>
  <c r="I2247" i="3"/>
  <c r="J2247" i="3"/>
  <c r="B2248" i="3"/>
  <c r="K2248" i="3" s="1"/>
  <c r="C2248" i="3"/>
  <c r="D2248" i="3"/>
  <c r="E2248" i="3"/>
  <c r="F2248" i="3"/>
  <c r="G2248" i="3"/>
  <c r="H2248" i="3"/>
  <c r="I2248" i="3"/>
  <c r="J2248" i="3"/>
  <c r="B2249" i="3"/>
  <c r="K2249" i="3" s="1"/>
  <c r="C2249" i="3"/>
  <c r="D2249" i="3"/>
  <c r="E2249" i="3"/>
  <c r="F2249" i="3"/>
  <c r="G2249" i="3"/>
  <c r="H2249" i="3"/>
  <c r="I2249" i="3"/>
  <c r="J2249" i="3"/>
  <c r="B2250" i="3"/>
  <c r="K2250" i="3" s="1"/>
  <c r="C2250" i="3"/>
  <c r="D2250" i="3"/>
  <c r="E2250" i="3"/>
  <c r="F2250" i="3"/>
  <c r="G2250" i="3"/>
  <c r="H2250" i="3"/>
  <c r="I2250" i="3"/>
  <c r="J2250" i="3"/>
  <c r="B2251" i="3"/>
  <c r="K2251" i="3" s="1"/>
  <c r="C2251" i="3"/>
  <c r="D2251" i="3"/>
  <c r="E2251" i="3"/>
  <c r="F2251" i="3"/>
  <c r="G2251" i="3"/>
  <c r="H2251" i="3"/>
  <c r="I2251" i="3"/>
  <c r="J2251" i="3"/>
  <c r="B2252" i="3"/>
  <c r="K2252" i="3" s="1"/>
  <c r="C2252" i="3"/>
  <c r="D2252" i="3"/>
  <c r="E2252" i="3"/>
  <c r="F2252" i="3"/>
  <c r="G2252" i="3"/>
  <c r="H2252" i="3"/>
  <c r="I2252" i="3"/>
  <c r="J2252" i="3"/>
  <c r="B2253" i="3"/>
  <c r="K2253" i="3" s="1"/>
  <c r="C2253" i="3"/>
  <c r="D2253" i="3"/>
  <c r="E2253" i="3"/>
  <c r="F2253" i="3"/>
  <c r="G2253" i="3"/>
  <c r="H2253" i="3"/>
  <c r="I2253" i="3"/>
  <c r="J2253" i="3"/>
  <c r="B2254" i="3"/>
  <c r="K2254" i="3" s="1"/>
  <c r="C2254" i="3"/>
  <c r="D2254" i="3"/>
  <c r="E2254" i="3"/>
  <c r="F2254" i="3"/>
  <c r="G2254" i="3"/>
  <c r="H2254" i="3"/>
  <c r="I2254" i="3"/>
  <c r="J2254" i="3"/>
  <c r="B2255" i="3"/>
  <c r="K2255" i="3" s="1"/>
  <c r="C2255" i="3"/>
  <c r="D2255" i="3"/>
  <c r="E2255" i="3"/>
  <c r="F2255" i="3"/>
  <c r="G2255" i="3"/>
  <c r="H2255" i="3"/>
  <c r="I2255" i="3"/>
  <c r="J2255" i="3"/>
  <c r="B2256" i="3"/>
  <c r="K2256" i="3" s="1"/>
  <c r="C2256" i="3"/>
  <c r="D2256" i="3"/>
  <c r="E2256" i="3"/>
  <c r="F2256" i="3"/>
  <c r="G2256" i="3"/>
  <c r="H2256" i="3"/>
  <c r="I2256" i="3"/>
  <c r="J2256" i="3"/>
  <c r="B2257" i="3"/>
  <c r="K2257" i="3" s="1"/>
  <c r="C2257" i="3"/>
  <c r="D2257" i="3"/>
  <c r="E2257" i="3"/>
  <c r="F2257" i="3"/>
  <c r="G2257" i="3"/>
  <c r="H2257" i="3"/>
  <c r="I2257" i="3"/>
  <c r="J2257" i="3"/>
  <c r="B2258" i="3"/>
  <c r="K2258" i="3" s="1"/>
  <c r="C2258" i="3"/>
  <c r="D2258" i="3"/>
  <c r="E2258" i="3"/>
  <c r="F2258" i="3"/>
  <c r="G2258" i="3"/>
  <c r="H2258" i="3"/>
  <c r="I2258" i="3"/>
  <c r="J2258" i="3"/>
  <c r="B2259" i="3"/>
  <c r="K2259" i="3" s="1"/>
  <c r="C2259" i="3"/>
  <c r="D2259" i="3"/>
  <c r="E2259" i="3"/>
  <c r="F2259" i="3"/>
  <c r="G2259" i="3"/>
  <c r="H2259" i="3"/>
  <c r="I2259" i="3"/>
  <c r="J2259" i="3"/>
  <c r="B2260" i="3"/>
  <c r="K2260" i="3" s="1"/>
  <c r="C2260" i="3"/>
  <c r="D2260" i="3"/>
  <c r="E2260" i="3"/>
  <c r="F2260" i="3"/>
  <c r="G2260" i="3"/>
  <c r="H2260" i="3"/>
  <c r="I2260" i="3"/>
  <c r="J2260" i="3"/>
  <c r="B2261" i="3"/>
  <c r="K2261" i="3" s="1"/>
  <c r="C2261" i="3"/>
  <c r="D2261" i="3"/>
  <c r="E2261" i="3"/>
  <c r="F2261" i="3"/>
  <c r="G2261" i="3"/>
  <c r="H2261" i="3"/>
  <c r="I2261" i="3"/>
  <c r="J2261" i="3"/>
  <c r="B2262" i="3"/>
  <c r="K2262" i="3" s="1"/>
  <c r="C2262" i="3"/>
  <c r="D2262" i="3"/>
  <c r="E2262" i="3"/>
  <c r="F2262" i="3"/>
  <c r="G2262" i="3"/>
  <c r="H2262" i="3"/>
  <c r="I2262" i="3"/>
  <c r="J2262" i="3"/>
  <c r="B2263" i="3"/>
  <c r="K2263" i="3" s="1"/>
  <c r="C2263" i="3"/>
  <c r="D2263" i="3"/>
  <c r="E2263" i="3"/>
  <c r="F2263" i="3"/>
  <c r="G2263" i="3"/>
  <c r="H2263" i="3"/>
  <c r="I2263" i="3"/>
  <c r="J2263" i="3"/>
  <c r="B2264" i="3"/>
  <c r="K2264" i="3" s="1"/>
  <c r="C2264" i="3"/>
  <c r="D2264" i="3"/>
  <c r="E2264" i="3"/>
  <c r="F2264" i="3"/>
  <c r="G2264" i="3"/>
  <c r="H2264" i="3"/>
  <c r="I2264" i="3"/>
  <c r="J2264" i="3"/>
  <c r="B2265" i="3"/>
  <c r="K2265" i="3" s="1"/>
  <c r="C2265" i="3"/>
  <c r="D2265" i="3"/>
  <c r="E2265" i="3"/>
  <c r="F2265" i="3"/>
  <c r="G2265" i="3"/>
  <c r="H2265" i="3"/>
  <c r="I2265" i="3"/>
  <c r="J2265" i="3"/>
  <c r="B2266" i="3"/>
  <c r="K2266" i="3" s="1"/>
  <c r="C2266" i="3"/>
  <c r="D2266" i="3"/>
  <c r="E2266" i="3"/>
  <c r="F2266" i="3"/>
  <c r="G2266" i="3"/>
  <c r="H2266" i="3"/>
  <c r="I2266" i="3"/>
  <c r="J2266" i="3"/>
  <c r="B2267" i="3"/>
  <c r="K2267" i="3" s="1"/>
  <c r="C2267" i="3"/>
  <c r="D2267" i="3"/>
  <c r="E2267" i="3"/>
  <c r="F2267" i="3"/>
  <c r="G2267" i="3"/>
  <c r="H2267" i="3"/>
  <c r="I2267" i="3"/>
  <c r="J2267" i="3"/>
  <c r="B2268" i="3"/>
  <c r="K2268" i="3" s="1"/>
  <c r="C2268" i="3"/>
  <c r="D2268" i="3"/>
  <c r="E2268" i="3"/>
  <c r="F2268" i="3"/>
  <c r="G2268" i="3"/>
  <c r="H2268" i="3"/>
  <c r="I2268" i="3"/>
  <c r="J2268" i="3"/>
  <c r="B2269" i="3"/>
  <c r="K2269" i="3" s="1"/>
  <c r="C2269" i="3"/>
  <c r="D2269" i="3"/>
  <c r="E2269" i="3"/>
  <c r="F2269" i="3"/>
  <c r="G2269" i="3"/>
  <c r="H2269" i="3"/>
  <c r="I2269" i="3"/>
  <c r="J2269" i="3"/>
  <c r="B2270" i="3"/>
  <c r="K2270" i="3" s="1"/>
  <c r="C2270" i="3"/>
  <c r="D2270" i="3"/>
  <c r="E2270" i="3"/>
  <c r="F2270" i="3"/>
  <c r="G2270" i="3"/>
  <c r="H2270" i="3"/>
  <c r="I2270" i="3"/>
  <c r="J2270" i="3"/>
  <c r="B2271" i="3"/>
  <c r="K2271" i="3" s="1"/>
  <c r="C2271" i="3"/>
  <c r="D2271" i="3"/>
  <c r="E2271" i="3"/>
  <c r="F2271" i="3"/>
  <c r="G2271" i="3"/>
  <c r="H2271" i="3"/>
  <c r="I2271" i="3"/>
  <c r="J2271" i="3"/>
  <c r="B2272" i="3"/>
  <c r="K2272" i="3" s="1"/>
  <c r="C2272" i="3"/>
  <c r="D2272" i="3"/>
  <c r="E2272" i="3"/>
  <c r="F2272" i="3"/>
  <c r="G2272" i="3"/>
  <c r="H2272" i="3"/>
  <c r="I2272" i="3"/>
  <c r="J2272" i="3"/>
  <c r="B2273" i="3"/>
  <c r="K2273" i="3" s="1"/>
  <c r="C2273" i="3"/>
  <c r="D2273" i="3"/>
  <c r="E2273" i="3"/>
  <c r="F2273" i="3"/>
  <c r="G2273" i="3"/>
  <c r="H2273" i="3"/>
  <c r="I2273" i="3"/>
  <c r="J2273" i="3"/>
  <c r="B2274" i="3"/>
  <c r="K2274" i="3" s="1"/>
  <c r="C2274" i="3"/>
  <c r="D2274" i="3"/>
  <c r="E2274" i="3"/>
  <c r="F2274" i="3"/>
  <c r="G2274" i="3"/>
  <c r="H2274" i="3"/>
  <c r="I2274" i="3"/>
  <c r="J2274" i="3"/>
  <c r="B2275" i="3"/>
  <c r="K2275" i="3" s="1"/>
  <c r="C2275" i="3"/>
  <c r="D2275" i="3"/>
  <c r="E2275" i="3"/>
  <c r="F2275" i="3"/>
  <c r="G2275" i="3"/>
  <c r="H2275" i="3"/>
  <c r="I2275" i="3"/>
  <c r="J2275" i="3"/>
  <c r="B2276" i="3"/>
  <c r="K2276" i="3" s="1"/>
  <c r="C2276" i="3"/>
  <c r="D2276" i="3"/>
  <c r="E2276" i="3"/>
  <c r="F2276" i="3"/>
  <c r="G2276" i="3"/>
  <c r="H2276" i="3"/>
  <c r="I2276" i="3"/>
  <c r="J2276" i="3"/>
  <c r="B2277" i="3"/>
  <c r="K2277" i="3" s="1"/>
  <c r="C2277" i="3"/>
  <c r="D2277" i="3"/>
  <c r="E2277" i="3"/>
  <c r="F2277" i="3"/>
  <c r="G2277" i="3"/>
  <c r="H2277" i="3"/>
  <c r="I2277" i="3"/>
  <c r="J2277" i="3"/>
  <c r="B2278" i="3"/>
  <c r="K2278" i="3" s="1"/>
  <c r="C2278" i="3"/>
  <c r="D2278" i="3"/>
  <c r="E2278" i="3"/>
  <c r="F2278" i="3"/>
  <c r="G2278" i="3"/>
  <c r="H2278" i="3"/>
  <c r="I2278" i="3"/>
  <c r="J2278" i="3"/>
  <c r="B2279" i="3"/>
  <c r="K2279" i="3" s="1"/>
  <c r="C2279" i="3"/>
  <c r="D2279" i="3"/>
  <c r="E2279" i="3"/>
  <c r="F2279" i="3"/>
  <c r="G2279" i="3"/>
  <c r="H2279" i="3"/>
  <c r="I2279" i="3"/>
  <c r="J2279" i="3"/>
  <c r="B2280" i="3"/>
  <c r="K2280" i="3" s="1"/>
  <c r="C2280" i="3"/>
  <c r="D2280" i="3"/>
  <c r="E2280" i="3"/>
  <c r="F2280" i="3"/>
  <c r="G2280" i="3"/>
  <c r="H2280" i="3"/>
  <c r="I2280" i="3"/>
  <c r="J2280" i="3"/>
  <c r="B2281" i="3"/>
  <c r="K2281" i="3" s="1"/>
  <c r="C2281" i="3"/>
  <c r="D2281" i="3"/>
  <c r="E2281" i="3"/>
  <c r="F2281" i="3"/>
  <c r="G2281" i="3"/>
  <c r="H2281" i="3"/>
  <c r="I2281" i="3"/>
  <c r="J2281" i="3"/>
  <c r="B2282" i="3"/>
  <c r="K2282" i="3" s="1"/>
  <c r="C2282" i="3"/>
  <c r="D2282" i="3"/>
  <c r="E2282" i="3"/>
  <c r="F2282" i="3"/>
  <c r="G2282" i="3"/>
  <c r="H2282" i="3"/>
  <c r="I2282" i="3"/>
  <c r="J2282" i="3"/>
  <c r="B2283" i="3"/>
  <c r="K2283" i="3" s="1"/>
  <c r="C2283" i="3"/>
  <c r="D2283" i="3"/>
  <c r="E2283" i="3"/>
  <c r="F2283" i="3"/>
  <c r="G2283" i="3"/>
  <c r="H2283" i="3"/>
  <c r="I2283" i="3"/>
  <c r="J2283" i="3"/>
  <c r="B2284" i="3"/>
  <c r="K2284" i="3" s="1"/>
  <c r="C2284" i="3"/>
  <c r="D2284" i="3"/>
  <c r="E2284" i="3"/>
  <c r="F2284" i="3"/>
  <c r="G2284" i="3"/>
  <c r="H2284" i="3"/>
  <c r="I2284" i="3"/>
  <c r="J2284" i="3"/>
  <c r="B2285" i="3"/>
  <c r="C2285" i="3"/>
  <c r="D2285" i="3"/>
  <c r="E2285" i="3"/>
  <c r="F2285" i="3"/>
  <c r="G2285" i="3"/>
  <c r="H2285" i="3"/>
  <c r="I2285" i="3"/>
  <c r="J2285" i="3"/>
  <c r="K2285" i="3"/>
  <c r="B2286" i="3"/>
  <c r="K2286" i="3" s="1"/>
  <c r="C2286" i="3"/>
  <c r="D2286" i="3"/>
  <c r="E2286" i="3"/>
  <c r="F2286" i="3"/>
  <c r="G2286" i="3"/>
  <c r="H2286" i="3"/>
  <c r="I2286" i="3"/>
  <c r="J2286" i="3"/>
  <c r="B2287" i="3"/>
  <c r="K2287" i="3" s="1"/>
  <c r="C2287" i="3"/>
  <c r="D2287" i="3"/>
  <c r="E2287" i="3"/>
  <c r="F2287" i="3"/>
  <c r="G2287" i="3"/>
  <c r="H2287" i="3"/>
  <c r="I2287" i="3"/>
  <c r="J2287" i="3"/>
  <c r="B2288" i="3"/>
  <c r="K2288" i="3" s="1"/>
  <c r="C2288" i="3"/>
  <c r="D2288" i="3"/>
  <c r="E2288" i="3"/>
  <c r="F2288" i="3"/>
  <c r="G2288" i="3"/>
  <c r="H2288" i="3"/>
  <c r="I2288" i="3"/>
  <c r="J2288" i="3"/>
  <c r="B2289" i="3"/>
  <c r="K2289" i="3" s="1"/>
  <c r="C2289" i="3"/>
  <c r="D2289" i="3"/>
  <c r="E2289" i="3"/>
  <c r="F2289" i="3"/>
  <c r="G2289" i="3"/>
  <c r="H2289" i="3"/>
  <c r="I2289" i="3"/>
  <c r="J2289" i="3"/>
  <c r="B2290" i="3"/>
  <c r="K2290" i="3" s="1"/>
  <c r="C2290" i="3"/>
  <c r="D2290" i="3"/>
  <c r="E2290" i="3"/>
  <c r="F2290" i="3"/>
  <c r="G2290" i="3"/>
  <c r="H2290" i="3"/>
  <c r="I2290" i="3"/>
  <c r="J2290" i="3"/>
  <c r="B2291" i="3"/>
  <c r="K2291" i="3" s="1"/>
  <c r="C2291" i="3"/>
  <c r="D2291" i="3"/>
  <c r="E2291" i="3"/>
  <c r="F2291" i="3"/>
  <c r="G2291" i="3"/>
  <c r="H2291" i="3"/>
  <c r="I2291" i="3"/>
  <c r="J2291" i="3"/>
  <c r="B2292" i="3"/>
  <c r="K2292" i="3" s="1"/>
  <c r="C2292" i="3"/>
  <c r="D2292" i="3"/>
  <c r="E2292" i="3"/>
  <c r="F2292" i="3"/>
  <c r="G2292" i="3"/>
  <c r="H2292" i="3"/>
  <c r="I2292" i="3"/>
  <c r="J2292" i="3"/>
  <c r="B2293" i="3"/>
  <c r="K2293" i="3" s="1"/>
  <c r="C2293" i="3"/>
  <c r="D2293" i="3"/>
  <c r="E2293" i="3"/>
  <c r="F2293" i="3"/>
  <c r="G2293" i="3"/>
  <c r="H2293" i="3"/>
  <c r="I2293" i="3"/>
  <c r="J2293" i="3"/>
  <c r="B2294" i="3"/>
  <c r="K2294" i="3" s="1"/>
  <c r="C2294" i="3"/>
  <c r="D2294" i="3"/>
  <c r="E2294" i="3"/>
  <c r="F2294" i="3"/>
  <c r="G2294" i="3"/>
  <c r="H2294" i="3"/>
  <c r="I2294" i="3"/>
  <c r="J2294" i="3"/>
  <c r="B2295" i="3"/>
  <c r="K2295" i="3" s="1"/>
  <c r="C2295" i="3"/>
  <c r="D2295" i="3"/>
  <c r="E2295" i="3"/>
  <c r="F2295" i="3"/>
  <c r="G2295" i="3"/>
  <c r="H2295" i="3"/>
  <c r="I2295" i="3"/>
  <c r="J2295" i="3"/>
  <c r="B2296" i="3"/>
  <c r="K2296" i="3" s="1"/>
  <c r="C2296" i="3"/>
  <c r="D2296" i="3"/>
  <c r="E2296" i="3"/>
  <c r="F2296" i="3"/>
  <c r="G2296" i="3"/>
  <c r="H2296" i="3"/>
  <c r="I2296" i="3"/>
  <c r="J2296" i="3"/>
  <c r="B2297" i="3"/>
  <c r="K2297" i="3" s="1"/>
  <c r="C2297" i="3"/>
  <c r="D2297" i="3"/>
  <c r="E2297" i="3"/>
  <c r="F2297" i="3"/>
  <c r="G2297" i="3"/>
  <c r="H2297" i="3"/>
  <c r="I2297" i="3"/>
  <c r="J2297" i="3"/>
  <c r="B2298" i="3"/>
  <c r="K2298" i="3" s="1"/>
  <c r="C2298" i="3"/>
  <c r="D2298" i="3"/>
  <c r="E2298" i="3"/>
  <c r="F2298" i="3"/>
  <c r="G2298" i="3"/>
  <c r="H2298" i="3"/>
  <c r="I2298" i="3"/>
  <c r="J2298" i="3"/>
  <c r="B2299" i="3"/>
  <c r="K2299" i="3" s="1"/>
  <c r="C2299" i="3"/>
  <c r="D2299" i="3"/>
  <c r="E2299" i="3"/>
  <c r="F2299" i="3"/>
  <c r="G2299" i="3"/>
  <c r="H2299" i="3"/>
  <c r="I2299" i="3"/>
  <c r="J2299" i="3"/>
  <c r="B2300" i="3"/>
  <c r="K2300" i="3" s="1"/>
  <c r="C2300" i="3"/>
  <c r="D2300" i="3"/>
  <c r="E2300" i="3"/>
  <c r="F2300" i="3"/>
  <c r="G2300" i="3"/>
  <c r="H2300" i="3"/>
  <c r="I2300" i="3"/>
  <c r="J2300" i="3"/>
  <c r="B2301" i="3"/>
  <c r="K2301" i="3" s="1"/>
  <c r="C2301" i="3"/>
  <c r="D2301" i="3"/>
  <c r="E2301" i="3"/>
  <c r="F2301" i="3"/>
  <c r="G2301" i="3"/>
  <c r="H2301" i="3"/>
  <c r="I2301" i="3"/>
  <c r="J2301" i="3"/>
  <c r="B2302" i="3"/>
  <c r="K2302" i="3" s="1"/>
  <c r="C2302" i="3"/>
  <c r="D2302" i="3"/>
  <c r="E2302" i="3"/>
  <c r="F2302" i="3"/>
  <c r="G2302" i="3"/>
  <c r="H2302" i="3"/>
  <c r="I2302" i="3"/>
  <c r="J2302" i="3"/>
  <c r="B2303" i="3"/>
  <c r="K2303" i="3" s="1"/>
  <c r="C2303" i="3"/>
  <c r="D2303" i="3"/>
  <c r="E2303" i="3"/>
  <c r="F2303" i="3"/>
  <c r="G2303" i="3"/>
  <c r="H2303" i="3"/>
  <c r="I2303" i="3"/>
  <c r="J2303" i="3"/>
  <c r="B2304" i="3"/>
  <c r="K2304" i="3" s="1"/>
  <c r="C2304" i="3"/>
  <c r="D2304" i="3"/>
  <c r="E2304" i="3"/>
  <c r="F2304" i="3"/>
  <c r="G2304" i="3"/>
  <c r="H2304" i="3"/>
  <c r="I2304" i="3"/>
  <c r="J2304" i="3"/>
  <c r="B2305" i="3"/>
  <c r="K2305" i="3" s="1"/>
  <c r="C2305" i="3"/>
  <c r="D2305" i="3"/>
  <c r="E2305" i="3"/>
  <c r="F2305" i="3"/>
  <c r="G2305" i="3"/>
  <c r="H2305" i="3"/>
  <c r="I2305" i="3"/>
  <c r="J2305" i="3"/>
  <c r="B2306" i="3"/>
  <c r="K2306" i="3" s="1"/>
  <c r="C2306" i="3"/>
  <c r="D2306" i="3"/>
  <c r="E2306" i="3"/>
  <c r="F2306" i="3"/>
  <c r="G2306" i="3"/>
  <c r="H2306" i="3"/>
  <c r="I2306" i="3"/>
  <c r="J2306" i="3"/>
  <c r="B2307" i="3"/>
  <c r="K2307" i="3" s="1"/>
  <c r="C2307" i="3"/>
  <c r="D2307" i="3"/>
  <c r="E2307" i="3"/>
  <c r="F2307" i="3"/>
  <c r="G2307" i="3"/>
  <c r="H2307" i="3"/>
  <c r="I2307" i="3"/>
  <c r="J2307" i="3"/>
  <c r="B2308" i="3"/>
  <c r="K2308" i="3" s="1"/>
  <c r="C2308" i="3"/>
  <c r="D2308" i="3"/>
  <c r="E2308" i="3"/>
  <c r="F2308" i="3"/>
  <c r="G2308" i="3"/>
  <c r="H2308" i="3"/>
  <c r="I2308" i="3"/>
  <c r="J2308" i="3"/>
  <c r="B2309" i="3"/>
  <c r="C2309" i="3"/>
  <c r="D2309" i="3"/>
  <c r="E2309" i="3"/>
  <c r="F2309" i="3"/>
  <c r="G2309" i="3"/>
  <c r="H2309" i="3"/>
  <c r="I2309" i="3"/>
  <c r="J2309" i="3"/>
  <c r="K2309" i="3"/>
  <c r="B2310" i="3"/>
  <c r="K2310" i="3" s="1"/>
  <c r="C2310" i="3"/>
  <c r="D2310" i="3"/>
  <c r="E2310" i="3"/>
  <c r="F2310" i="3"/>
  <c r="G2310" i="3"/>
  <c r="H2310" i="3"/>
  <c r="I2310" i="3"/>
  <c r="J2310" i="3"/>
  <c r="B2311" i="3"/>
  <c r="K2311" i="3" s="1"/>
  <c r="C2311" i="3"/>
  <c r="D2311" i="3"/>
  <c r="E2311" i="3"/>
  <c r="F2311" i="3"/>
  <c r="G2311" i="3"/>
  <c r="H2311" i="3"/>
  <c r="I2311" i="3"/>
  <c r="J2311" i="3"/>
  <c r="B2312" i="3"/>
  <c r="K2312" i="3" s="1"/>
  <c r="C2312" i="3"/>
  <c r="D2312" i="3"/>
  <c r="E2312" i="3"/>
  <c r="F2312" i="3"/>
  <c r="G2312" i="3"/>
  <c r="H2312" i="3"/>
  <c r="I2312" i="3"/>
  <c r="J2312" i="3"/>
  <c r="B2313" i="3"/>
  <c r="K2313" i="3" s="1"/>
  <c r="C2313" i="3"/>
  <c r="D2313" i="3"/>
  <c r="E2313" i="3"/>
  <c r="F2313" i="3"/>
  <c r="G2313" i="3"/>
  <c r="H2313" i="3"/>
  <c r="I2313" i="3"/>
  <c r="J2313" i="3"/>
  <c r="B2314" i="3"/>
  <c r="K2314" i="3" s="1"/>
  <c r="C2314" i="3"/>
  <c r="D2314" i="3"/>
  <c r="E2314" i="3"/>
  <c r="F2314" i="3"/>
  <c r="G2314" i="3"/>
  <c r="H2314" i="3"/>
  <c r="I2314" i="3"/>
  <c r="J2314" i="3"/>
  <c r="B2315" i="3"/>
  <c r="K2315" i="3" s="1"/>
  <c r="C2315" i="3"/>
  <c r="D2315" i="3"/>
  <c r="E2315" i="3"/>
  <c r="F2315" i="3"/>
  <c r="G2315" i="3"/>
  <c r="H2315" i="3"/>
  <c r="I2315" i="3"/>
  <c r="J2315" i="3"/>
  <c r="B2316" i="3"/>
  <c r="K2316" i="3" s="1"/>
  <c r="C2316" i="3"/>
  <c r="D2316" i="3"/>
  <c r="E2316" i="3"/>
  <c r="F2316" i="3"/>
  <c r="G2316" i="3"/>
  <c r="H2316" i="3"/>
  <c r="I2316" i="3"/>
  <c r="J2316" i="3"/>
  <c r="B2317" i="3"/>
  <c r="K2317" i="3" s="1"/>
  <c r="C2317" i="3"/>
  <c r="D2317" i="3"/>
  <c r="E2317" i="3"/>
  <c r="F2317" i="3"/>
  <c r="G2317" i="3"/>
  <c r="H2317" i="3"/>
  <c r="I2317" i="3"/>
  <c r="J2317" i="3"/>
  <c r="B2318" i="3"/>
  <c r="K2318" i="3" s="1"/>
  <c r="C2318" i="3"/>
  <c r="D2318" i="3"/>
  <c r="E2318" i="3"/>
  <c r="F2318" i="3"/>
  <c r="G2318" i="3"/>
  <c r="H2318" i="3"/>
  <c r="I2318" i="3"/>
  <c r="J2318" i="3"/>
  <c r="B2319" i="3"/>
  <c r="K2319" i="3" s="1"/>
  <c r="C2319" i="3"/>
  <c r="D2319" i="3"/>
  <c r="E2319" i="3"/>
  <c r="F2319" i="3"/>
  <c r="G2319" i="3"/>
  <c r="H2319" i="3"/>
  <c r="I2319" i="3"/>
  <c r="J2319" i="3"/>
  <c r="B2320" i="3"/>
  <c r="K2320" i="3" s="1"/>
  <c r="C2320" i="3"/>
  <c r="D2320" i="3"/>
  <c r="E2320" i="3"/>
  <c r="F2320" i="3"/>
  <c r="G2320" i="3"/>
  <c r="H2320" i="3"/>
  <c r="I2320" i="3"/>
  <c r="J2320" i="3"/>
  <c r="B2321" i="3"/>
  <c r="K2321" i="3" s="1"/>
  <c r="C2321" i="3"/>
  <c r="D2321" i="3"/>
  <c r="E2321" i="3"/>
  <c r="F2321" i="3"/>
  <c r="G2321" i="3"/>
  <c r="H2321" i="3"/>
  <c r="I2321" i="3"/>
  <c r="J2321" i="3"/>
  <c r="B2322" i="3"/>
  <c r="K2322" i="3" s="1"/>
  <c r="C2322" i="3"/>
  <c r="D2322" i="3"/>
  <c r="E2322" i="3"/>
  <c r="F2322" i="3"/>
  <c r="G2322" i="3"/>
  <c r="H2322" i="3"/>
  <c r="I2322" i="3"/>
  <c r="J2322" i="3"/>
  <c r="B2323" i="3"/>
  <c r="K2323" i="3" s="1"/>
  <c r="C2323" i="3"/>
  <c r="D2323" i="3"/>
  <c r="E2323" i="3"/>
  <c r="F2323" i="3"/>
  <c r="G2323" i="3"/>
  <c r="H2323" i="3"/>
  <c r="I2323" i="3"/>
  <c r="J2323" i="3"/>
  <c r="B2324" i="3"/>
  <c r="K2324" i="3" s="1"/>
  <c r="C2324" i="3"/>
  <c r="D2324" i="3"/>
  <c r="E2324" i="3"/>
  <c r="F2324" i="3"/>
  <c r="G2324" i="3"/>
  <c r="H2324" i="3"/>
  <c r="I2324" i="3"/>
  <c r="J2324" i="3"/>
  <c r="B2325" i="3"/>
  <c r="K2325" i="3" s="1"/>
  <c r="C2325" i="3"/>
  <c r="D2325" i="3"/>
  <c r="E2325" i="3"/>
  <c r="F2325" i="3"/>
  <c r="G2325" i="3"/>
  <c r="H2325" i="3"/>
  <c r="I2325" i="3"/>
  <c r="J2325" i="3"/>
  <c r="B2326" i="3"/>
  <c r="K2326" i="3" s="1"/>
  <c r="C2326" i="3"/>
  <c r="D2326" i="3"/>
  <c r="E2326" i="3"/>
  <c r="F2326" i="3"/>
  <c r="G2326" i="3"/>
  <c r="H2326" i="3"/>
  <c r="I2326" i="3"/>
  <c r="J2326" i="3"/>
  <c r="B2327" i="3"/>
  <c r="K2327" i="3" s="1"/>
  <c r="C2327" i="3"/>
  <c r="D2327" i="3"/>
  <c r="E2327" i="3"/>
  <c r="F2327" i="3"/>
  <c r="G2327" i="3"/>
  <c r="H2327" i="3"/>
  <c r="I2327" i="3"/>
  <c r="J2327" i="3"/>
  <c r="B2328" i="3"/>
  <c r="K2328" i="3" s="1"/>
  <c r="C2328" i="3"/>
  <c r="D2328" i="3"/>
  <c r="E2328" i="3"/>
  <c r="F2328" i="3"/>
  <c r="G2328" i="3"/>
  <c r="H2328" i="3"/>
  <c r="I2328" i="3"/>
  <c r="J2328" i="3"/>
  <c r="B2329" i="3"/>
  <c r="K2329" i="3" s="1"/>
  <c r="C2329" i="3"/>
  <c r="D2329" i="3"/>
  <c r="E2329" i="3"/>
  <c r="F2329" i="3"/>
  <c r="G2329" i="3"/>
  <c r="H2329" i="3"/>
  <c r="I2329" i="3"/>
  <c r="J2329" i="3"/>
  <c r="B2330" i="3"/>
  <c r="K2330" i="3" s="1"/>
  <c r="C2330" i="3"/>
  <c r="D2330" i="3"/>
  <c r="E2330" i="3"/>
  <c r="F2330" i="3"/>
  <c r="G2330" i="3"/>
  <c r="H2330" i="3"/>
  <c r="I2330" i="3"/>
  <c r="J2330" i="3"/>
  <c r="B2331" i="3"/>
  <c r="K2331" i="3" s="1"/>
  <c r="C2331" i="3"/>
  <c r="D2331" i="3"/>
  <c r="E2331" i="3"/>
  <c r="F2331" i="3"/>
  <c r="G2331" i="3"/>
  <c r="H2331" i="3"/>
  <c r="I2331" i="3"/>
  <c r="J2331" i="3"/>
  <c r="B2332" i="3"/>
  <c r="K2332" i="3" s="1"/>
  <c r="C2332" i="3"/>
  <c r="D2332" i="3"/>
  <c r="E2332" i="3"/>
  <c r="F2332" i="3"/>
  <c r="G2332" i="3"/>
  <c r="H2332" i="3"/>
  <c r="I2332" i="3"/>
  <c r="J2332" i="3"/>
  <c r="B2333" i="3"/>
  <c r="K2333" i="3" s="1"/>
  <c r="C2333" i="3"/>
  <c r="D2333" i="3"/>
  <c r="E2333" i="3"/>
  <c r="F2333" i="3"/>
  <c r="G2333" i="3"/>
  <c r="H2333" i="3"/>
  <c r="I2333" i="3"/>
  <c r="J2333" i="3"/>
  <c r="B2334" i="3"/>
  <c r="K2334" i="3" s="1"/>
  <c r="C2334" i="3"/>
  <c r="D2334" i="3"/>
  <c r="E2334" i="3"/>
  <c r="F2334" i="3"/>
  <c r="G2334" i="3"/>
  <c r="H2334" i="3"/>
  <c r="I2334" i="3"/>
  <c r="J2334" i="3"/>
  <c r="B2335" i="3"/>
  <c r="K2335" i="3" s="1"/>
  <c r="C2335" i="3"/>
  <c r="D2335" i="3"/>
  <c r="E2335" i="3"/>
  <c r="F2335" i="3"/>
  <c r="G2335" i="3"/>
  <c r="H2335" i="3"/>
  <c r="I2335" i="3"/>
  <c r="J2335" i="3"/>
  <c r="B2336" i="3"/>
  <c r="K2336" i="3" s="1"/>
  <c r="C2336" i="3"/>
  <c r="D2336" i="3"/>
  <c r="E2336" i="3"/>
  <c r="F2336" i="3"/>
  <c r="G2336" i="3"/>
  <c r="H2336" i="3"/>
  <c r="I2336" i="3"/>
  <c r="J2336" i="3"/>
  <c r="B2337" i="3"/>
  <c r="K2337" i="3" s="1"/>
  <c r="C2337" i="3"/>
  <c r="D2337" i="3"/>
  <c r="E2337" i="3"/>
  <c r="F2337" i="3"/>
  <c r="G2337" i="3"/>
  <c r="H2337" i="3"/>
  <c r="I2337" i="3"/>
  <c r="J2337" i="3"/>
  <c r="B2338" i="3"/>
  <c r="K2338" i="3" s="1"/>
  <c r="C2338" i="3"/>
  <c r="D2338" i="3"/>
  <c r="E2338" i="3"/>
  <c r="F2338" i="3"/>
  <c r="G2338" i="3"/>
  <c r="H2338" i="3"/>
  <c r="I2338" i="3"/>
  <c r="J2338" i="3"/>
  <c r="B2339" i="3"/>
  <c r="K2339" i="3" s="1"/>
  <c r="C2339" i="3"/>
  <c r="D2339" i="3"/>
  <c r="E2339" i="3"/>
  <c r="F2339" i="3"/>
  <c r="G2339" i="3"/>
  <c r="H2339" i="3"/>
  <c r="I2339" i="3"/>
  <c r="J2339" i="3"/>
  <c r="B2340" i="3"/>
  <c r="K2340" i="3" s="1"/>
  <c r="C2340" i="3"/>
  <c r="D2340" i="3"/>
  <c r="E2340" i="3"/>
  <c r="F2340" i="3"/>
  <c r="G2340" i="3"/>
  <c r="H2340" i="3"/>
  <c r="I2340" i="3"/>
  <c r="J2340" i="3"/>
  <c r="B2341" i="3"/>
  <c r="K2341" i="3" s="1"/>
  <c r="C2341" i="3"/>
  <c r="D2341" i="3"/>
  <c r="E2341" i="3"/>
  <c r="F2341" i="3"/>
  <c r="G2341" i="3"/>
  <c r="H2341" i="3"/>
  <c r="I2341" i="3"/>
  <c r="J2341" i="3"/>
  <c r="B2342" i="3"/>
  <c r="K2342" i="3" s="1"/>
  <c r="C2342" i="3"/>
  <c r="D2342" i="3"/>
  <c r="E2342" i="3"/>
  <c r="F2342" i="3"/>
  <c r="G2342" i="3"/>
  <c r="H2342" i="3"/>
  <c r="I2342" i="3"/>
  <c r="J2342" i="3"/>
  <c r="B2343" i="3"/>
  <c r="K2343" i="3" s="1"/>
  <c r="C2343" i="3"/>
  <c r="D2343" i="3"/>
  <c r="E2343" i="3"/>
  <c r="F2343" i="3"/>
  <c r="G2343" i="3"/>
  <c r="H2343" i="3"/>
  <c r="I2343" i="3"/>
  <c r="J2343" i="3"/>
  <c r="B2344" i="3"/>
  <c r="C2344" i="3"/>
  <c r="D2344" i="3"/>
  <c r="E2344" i="3"/>
  <c r="F2344" i="3"/>
  <c r="G2344" i="3"/>
  <c r="H2344" i="3"/>
  <c r="I2344" i="3"/>
  <c r="J2344" i="3"/>
  <c r="K2344" i="3"/>
  <c r="B2345" i="3"/>
  <c r="K2345" i="3" s="1"/>
  <c r="C2345" i="3"/>
  <c r="D2345" i="3"/>
  <c r="E2345" i="3"/>
  <c r="F2345" i="3"/>
  <c r="G2345" i="3"/>
  <c r="H2345" i="3"/>
  <c r="I2345" i="3"/>
  <c r="J2345" i="3"/>
  <c r="B2346" i="3"/>
  <c r="K2346" i="3" s="1"/>
  <c r="C2346" i="3"/>
  <c r="D2346" i="3"/>
  <c r="E2346" i="3"/>
  <c r="F2346" i="3"/>
  <c r="G2346" i="3"/>
  <c r="H2346" i="3"/>
  <c r="I2346" i="3"/>
  <c r="J2346" i="3"/>
  <c r="B2347" i="3"/>
  <c r="K2347" i="3" s="1"/>
  <c r="C2347" i="3"/>
  <c r="D2347" i="3"/>
  <c r="E2347" i="3"/>
  <c r="F2347" i="3"/>
  <c r="G2347" i="3"/>
  <c r="H2347" i="3"/>
  <c r="I2347" i="3"/>
  <c r="J2347" i="3"/>
  <c r="B2348" i="3"/>
  <c r="K2348" i="3" s="1"/>
  <c r="C2348" i="3"/>
  <c r="D2348" i="3"/>
  <c r="E2348" i="3"/>
  <c r="F2348" i="3"/>
  <c r="G2348" i="3"/>
  <c r="H2348" i="3"/>
  <c r="I2348" i="3"/>
  <c r="J2348" i="3"/>
  <c r="B2349" i="3"/>
  <c r="K2349" i="3" s="1"/>
  <c r="C2349" i="3"/>
  <c r="D2349" i="3"/>
  <c r="E2349" i="3"/>
  <c r="F2349" i="3"/>
  <c r="G2349" i="3"/>
  <c r="H2349" i="3"/>
  <c r="I2349" i="3"/>
  <c r="J2349" i="3"/>
  <c r="B2350" i="3"/>
  <c r="K2350" i="3" s="1"/>
  <c r="C2350" i="3"/>
  <c r="D2350" i="3"/>
  <c r="E2350" i="3"/>
  <c r="F2350" i="3"/>
  <c r="G2350" i="3"/>
  <c r="H2350" i="3"/>
  <c r="I2350" i="3"/>
  <c r="J2350" i="3"/>
  <c r="B2351" i="3"/>
  <c r="K2351" i="3" s="1"/>
  <c r="C2351" i="3"/>
  <c r="D2351" i="3"/>
  <c r="E2351" i="3"/>
  <c r="F2351" i="3"/>
  <c r="G2351" i="3"/>
  <c r="H2351" i="3"/>
  <c r="I2351" i="3"/>
  <c r="J2351" i="3"/>
  <c r="B2352" i="3"/>
  <c r="K2352" i="3" s="1"/>
  <c r="C2352" i="3"/>
  <c r="D2352" i="3"/>
  <c r="E2352" i="3"/>
  <c r="F2352" i="3"/>
  <c r="G2352" i="3"/>
  <c r="H2352" i="3"/>
  <c r="I2352" i="3"/>
  <c r="J2352" i="3"/>
  <c r="B2353" i="3"/>
  <c r="K2353" i="3" s="1"/>
  <c r="C2353" i="3"/>
  <c r="D2353" i="3"/>
  <c r="E2353" i="3"/>
  <c r="F2353" i="3"/>
  <c r="G2353" i="3"/>
  <c r="H2353" i="3"/>
  <c r="I2353" i="3"/>
  <c r="J2353" i="3"/>
  <c r="B2354" i="3"/>
  <c r="K2354" i="3" s="1"/>
  <c r="C2354" i="3"/>
  <c r="D2354" i="3"/>
  <c r="E2354" i="3"/>
  <c r="F2354" i="3"/>
  <c r="G2354" i="3"/>
  <c r="H2354" i="3"/>
  <c r="I2354" i="3"/>
  <c r="J2354" i="3"/>
  <c r="B2355" i="3"/>
  <c r="K2355" i="3" s="1"/>
  <c r="C2355" i="3"/>
  <c r="D2355" i="3"/>
  <c r="E2355" i="3"/>
  <c r="F2355" i="3"/>
  <c r="G2355" i="3"/>
  <c r="H2355" i="3"/>
  <c r="I2355" i="3"/>
  <c r="J2355" i="3"/>
  <c r="B2356" i="3"/>
  <c r="K2356" i="3" s="1"/>
  <c r="C2356" i="3"/>
  <c r="D2356" i="3"/>
  <c r="E2356" i="3"/>
  <c r="F2356" i="3"/>
  <c r="G2356" i="3"/>
  <c r="H2356" i="3"/>
  <c r="I2356" i="3"/>
  <c r="J2356" i="3"/>
  <c r="B2357" i="3"/>
  <c r="K2357" i="3" s="1"/>
  <c r="C2357" i="3"/>
  <c r="D2357" i="3"/>
  <c r="E2357" i="3"/>
  <c r="F2357" i="3"/>
  <c r="G2357" i="3"/>
  <c r="H2357" i="3"/>
  <c r="I2357" i="3"/>
  <c r="J2357" i="3"/>
  <c r="B2358" i="3"/>
  <c r="K2358" i="3" s="1"/>
  <c r="C2358" i="3"/>
  <c r="D2358" i="3"/>
  <c r="E2358" i="3"/>
  <c r="F2358" i="3"/>
  <c r="G2358" i="3"/>
  <c r="H2358" i="3"/>
  <c r="I2358" i="3"/>
  <c r="J2358" i="3"/>
  <c r="B2359" i="3"/>
  <c r="K2359" i="3" s="1"/>
  <c r="C2359" i="3"/>
  <c r="D2359" i="3"/>
  <c r="E2359" i="3"/>
  <c r="F2359" i="3"/>
  <c r="G2359" i="3"/>
  <c r="H2359" i="3"/>
  <c r="I2359" i="3"/>
  <c r="J2359" i="3"/>
  <c r="B2360" i="3"/>
  <c r="K2360" i="3" s="1"/>
  <c r="C2360" i="3"/>
  <c r="D2360" i="3"/>
  <c r="E2360" i="3"/>
  <c r="F2360" i="3"/>
  <c r="G2360" i="3"/>
  <c r="H2360" i="3"/>
  <c r="I2360" i="3"/>
  <c r="J2360" i="3"/>
  <c r="B2361" i="3"/>
  <c r="K2361" i="3" s="1"/>
  <c r="C2361" i="3"/>
  <c r="D2361" i="3"/>
  <c r="E2361" i="3"/>
  <c r="F2361" i="3"/>
  <c r="G2361" i="3"/>
  <c r="H2361" i="3"/>
  <c r="I2361" i="3"/>
  <c r="J2361" i="3"/>
  <c r="B2362" i="3"/>
  <c r="K2362" i="3" s="1"/>
  <c r="C2362" i="3"/>
  <c r="D2362" i="3"/>
  <c r="E2362" i="3"/>
  <c r="F2362" i="3"/>
  <c r="G2362" i="3"/>
  <c r="H2362" i="3"/>
  <c r="I2362" i="3"/>
  <c r="J2362" i="3"/>
  <c r="B2363" i="3"/>
  <c r="K2363" i="3" s="1"/>
  <c r="C2363" i="3"/>
  <c r="D2363" i="3"/>
  <c r="E2363" i="3"/>
  <c r="F2363" i="3"/>
  <c r="G2363" i="3"/>
  <c r="H2363" i="3"/>
  <c r="I2363" i="3"/>
  <c r="J2363" i="3"/>
  <c r="B2364" i="3"/>
  <c r="K2364" i="3" s="1"/>
  <c r="C2364" i="3"/>
  <c r="D2364" i="3"/>
  <c r="E2364" i="3"/>
  <c r="F2364" i="3"/>
  <c r="G2364" i="3"/>
  <c r="H2364" i="3"/>
  <c r="I2364" i="3"/>
  <c r="J2364" i="3"/>
  <c r="B2365" i="3"/>
  <c r="K2365" i="3" s="1"/>
  <c r="C2365" i="3"/>
  <c r="D2365" i="3"/>
  <c r="E2365" i="3"/>
  <c r="F2365" i="3"/>
  <c r="G2365" i="3"/>
  <c r="H2365" i="3"/>
  <c r="I2365" i="3"/>
  <c r="J2365" i="3"/>
  <c r="B2366" i="3"/>
  <c r="K2366" i="3" s="1"/>
  <c r="C2366" i="3"/>
  <c r="D2366" i="3"/>
  <c r="E2366" i="3"/>
  <c r="F2366" i="3"/>
  <c r="G2366" i="3"/>
  <c r="H2366" i="3"/>
  <c r="I2366" i="3"/>
  <c r="J2366" i="3"/>
  <c r="B2367" i="3"/>
  <c r="K2367" i="3" s="1"/>
  <c r="C2367" i="3"/>
  <c r="D2367" i="3"/>
  <c r="E2367" i="3"/>
  <c r="F2367" i="3"/>
  <c r="G2367" i="3"/>
  <c r="H2367" i="3"/>
  <c r="I2367" i="3"/>
  <c r="J2367" i="3"/>
  <c r="B2368" i="3"/>
  <c r="K2368" i="3" s="1"/>
  <c r="C2368" i="3"/>
  <c r="D2368" i="3"/>
  <c r="E2368" i="3"/>
  <c r="F2368" i="3"/>
  <c r="G2368" i="3"/>
  <c r="H2368" i="3"/>
  <c r="I2368" i="3"/>
  <c r="J2368" i="3"/>
  <c r="B2369" i="3"/>
  <c r="K2369" i="3" s="1"/>
  <c r="C2369" i="3"/>
  <c r="D2369" i="3"/>
  <c r="E2369" i="3"/>
  <c r="F2369" i="3"/>
  <c r="G2369" i="3"/>
  <c r="H2369" i="3"/>
  <c r="I2369" i="3"/>
  <c r="J2369" i="3"/>
  <c r="B2370" i="3"/>
  <c r="K2370" i="3" s="1"/>
  <c r="C2370" i="3"/>
  <c r="D2370" i="3"/>
  <c r="E2370" i="3"/>
  <c r="F2370" i="3"/>
  <c r="G2370" i="3"/>
  <c r="H2370" i="3"/>
  <c r="I2370" i="3"/>
  <c r="J2370" i="3"/>
  <c r="B2371" i="3"/>
  <c r="K2371" i="3" s="1"/>
  <c r="C2371" i="3"/>
  <c r="D2371" i="3"/>
  <c r="E2371" i="3"/>
  <c r="F2371" i="3"/>
  <c r="G2371" i="3"/>
  <c r="H2371" i="3"/>
  <c r="I2371" i="3"/>
  <c r="J2371" i="3"/>
  <c r="B2372" i="3"/>
  <c r="K2372" i="3" s="1"/>
  <c r="C2372" i="3"/>
  <c r="D2372" i="3"/>
  <c r="E2372" i="3"/>
  <c r="F2372" i="3"/>
  <c r="G2372" i="3"/>
  <c r="H2372" i="3"/>
  <c r="I2372" i="3"/>
  <c r="J2372" i="3"/>
  <c r="B2373" i="3"/>
  <c r="K2373" i="3" s="1"/>
  <c r="C2373" i="3"/>
  <c r="D2373" i="3"/>
  <c r="E2373" i="3"/>
  <c r="F2373" i="3"/>
  <c r="G2373" i="3"/>
  <c r="H2373" i="3"/>
  <c r="I2373" i="3"/>
  <c r="J2373" i="3"/>
  <c r="B2374" i="3"/>
  <c r="K2374" i="3" s="1"/>
  <c r="C2374" i="3"/>
  <c r="D2374" i="3"/>
  <c r="E2374" i="3"/>
  <c r="F2374" i="3"/>
  <c r="G2374" i="3"/>
  <c r="H2374" i="3"/>
  <c r="I2374" i="3"/>
  <c r="J2374" i="3"/>
  <c r="B2375" i="3"/>
  <c r="K2375" i="3" s="1"/>
  <c r="C2375" i="3"/>
  <c r="D2375" i="3"/>
  <c r="E2375" i="3"/>
  <c r="F2375" i="3"/>
  <c r="G2375" i="3"/>
  <c r="H2375" i="3"/>
  <c r="I2375" i="3"/>
  <c r="J2375" i="3"/>
  <c r="B2376" i="3"/>
  <c r="K2376" i="3" s="1"/>
  <c r="C2376" i="3"/>
  <c r="D2376" i="3"/>
  <c r="E2376" i="3"/>
  <c r="F2376" i="3"/>
  <c r="G2376" i="3"/>
  <c r="H2376" i="3"/>
  <c r="I2376" i="3"/>
  <c r="J2376" i="3"/>
  <c r="B2377" i="3"/>
  <c r="K2377" i="3" s="1"/>
  <c r="C2377" i="3"/>
  <c r="D2377" i="3"/>
  <c r="E2377" i="3"/>
  <c r="F2377" i="3"/>
  <c r="G2377" i="3"/>
  <c r="H2377" i="3"/>
  <c r="I2377" i="3"/>
  <c r="J2377" i="3"/>
  <c r="B2378" i="3"/>
  <c r="K2378" i="3" s="1"/>
  <c r="C2378" i="3"/>
  <c r="D2378" i="3"/>
  <c r="E2378" i="3"/>
  <c r="F2378" i="3"/>
  <c r="G2378" i="3"/>
  <c r="H2378" i="3"/>
  <c r="I2378" i="3"/>
  <c r="J2378" i="3"/>
  <c r="B2379" i="3"/>
  <c r="K2379" i="3" s="1"/>
  <c r="C2379" i="3"/>
  <c r="D2379" i="3"/>
  <c r="E2379" i="3"/>
  <c r="F2379" i="3"/>
  <c r="G2379" i="3"/>
  <c r="H2379" i="3"/>
  <c r="I2379" i="3"/>
  <c r="J2379" i="3"/>
  <c r="B2380" i="3"/>
  <c r="K2380" i="3" s="1"/>
  <c r="C2380" i="3"/>
  <c r="D2380" i="3"/>
  <c r="E2380" i="3"/>
  <c r="F2380" i="3"/>
  <c r="G2380" i="3"/>
  <c r="H2380" i="3"/>
  <c r="I2380" i="3"/>
  <c r="J2380" i="3"/>
  <c r="B2381" i="3"/>
  <c r="K2381" i="3" s="1"/>
  <c r="C2381" i="3"/>
  <c r="D2381" i="3"/>
  <c r="E2381" i="3"/>
  <c r="F2381" i="3"/>
  <c r="G2381" i="3"/>
  <c r="H2381" i="3"/>
  <c r="I2381" i="3"/>
  <c r="J2381" i="3"/>
  <c r="B2382" i="3"/>
  <c r="C2382" i="3"/>
  <c r="D2382" i="3"/>
  <c r="E2382" i="3"/>
  <c r="F2382" i="3"/>
  <c r="G2382" i="3"/>
  <c r="H2382" i="3"/>
  <c r="I2382" i="3"/>
  <c r="J2382" i="3"/>
  <c r="K2382" i="3"/>
  <c r="B2383" i="3"/>
  <c r="K2383" i="3" s="1"/>
  <c r="C2383" i="3"/>
  <c r="D2383" i="3"/>
  <c r="E2383" i="3"/>
  <c r="F2383" i="3"/>
  <c r="G2383" i="3"/>
  <c r="H2383" i="3"/>
  <c r="I2383" i="3"/>
  <c r="J2383" i="3"/>
  <c r="B2384" i="3"/>
  <c r="K2384" i="3" s="1"/>
  <c r="C2384" i="3"/>
  <c r="D2384" i="3"/>
  <c r="E2384" i="3"/>
  <c r="F2384" i="3"/>
  <c r="G2384" i="3"/>
  <c r="H2384" i="3"/>
  <c r="I2384" i="3"/>
  <c r="J2384" i="3"/>
  <c r="B2385" i="3"/>
  <c r="K2385" i="3" s="1"/>
  <c r="C2385" i="3"/>
  <c r="D2385" i="3"/>
  <c r="E2385" i="3"/>
  <c r="F2385" i="3"/>
  <c r="G2385" i="3"/>
  <c r="H2385" i="3"/>
  <c r="I2385" i="3"/>
  <c r="J2385" i="3"/>
  <c r="B2386" i="3"/>
  <c r="K2386" i="3" s="1"/>
  <c r="C2386" i="3"/>
  <c r="D2386" i="3"/>
  <c r="E2386" i="3"/>
  <c r="F2386" i="3"/>
  <c r="G2386" i="3"/>
  <c r="H2386" i="3"/>
  <c r="I2386" i="3"/>
  <c r="J2386" i="3"/>
  <c r="B2387" i="3"/>
  <c r="K2387" i="3" s="1"/>
  <c r="C2387" i="3"/>
  <c r="D2387" i="3"/>
  <c r="E2387" i="3"/>
  <c r="F2387" i="3"/>
  <c r="G2387" i="3"/>
  <c r="H2387" i="3"/>
  <c r="I2387" i="3"/>
  <c r="J2387" i="3"/>
  <c r="B2388" i="3"/>
  <c r="K2388" i="3" s="1"/>
  <c r="C2388" i="3"/>
  <c r="D2388" i="3"/>
  <c r="E2388" i="3"/>
  <c r="F2388" i="3"/>
  <c r="G2388" i="3"/>
  <c r="H2388" i="3"/>
  <c r="I2388" i="3"/>
  <c r="J2388" i="3"/>
  <c r="B2389" i="3"/>
  <c r="K2389" i="3" s="1"/>
  <c r="C2389" i="3"/>
  <c r="D2389" i="3"/>
  <c r="E2389" i="3"/>
  <c r="F2389" i="3"/>
  <c r="G2389" i="3"/>
  <c r="H2389" i="3"/>
  <c r="I2389" i="3"/>
  <c r="J2389" i="3"/>
  <c r="B2390" i="3"/>
  <c r="C2390" i="3"/>
  <c r="D2390" i="3"/>
  <c r="E2390" i="3"/>
  <c r="F2390" i="3"/>
  <c r="G2390" i="3"/>
  <c r="H2390" i="3"/>
  <c r="I2390" i="3"/>
  <c r="J2390" i="3"/>
  <c r="K2390" i="3"/>
  <c r="B2391" i="3"/>
  <c r="K2391" i="3" s="1"/>
  <c r="C2391" i="3"/>
  <c r="D2391" i="3"/>
  <c r="E2391" i="3"/>
  <c r="F2391" i="3"/>
  <c r="G2391" i="3"/>
  <c r="H2391" i="3"/>
  <c r="I2391" i="3"/>
  <c r="J2391" i="3"/>
  <c r="B2392" i="3"/>
  <c r="K2392" i="3" s="1"/>
  <c r="C2392" i="3"/>
  <c r="D2392" i="3"/>
  <c r="E2392" i="3"/>
  <c r="F2392" i="3"/>
  <c r="G2392" i="3"/>
  <c r="H2392" i="3"/>
  <c r="I2392" i="3"/>
  <c r="J2392" i="3"/>
  <c r="B2393" i="3"/>
  <c r="K2393" i="3" s="1"/>
  <c r="C2393" i="3"/>
  <c r="D2393" i="3"/>
  <c r="E2393" i="3"/>
  <c r="F2393" i="3"/>
  <c r="G2393" i="3"/>
  <c r="H2393" i="3"/>
  <c r="I2393" i="3"/>
  <c r="J2393" i="3"/>
  <c r="B2394" i="3"/>
  <c r="K2394" i="3" s="1"/>
  <c r="C2394" i="3"/>
  <c r="D2394" i="3"/>
  <c r="E2394" i="3"/>
  <c r="F2394" i="3"/>
  <c r="G2394" i="3"/>
  <c r="H2394" i="3"/>
  <c r="I2394" i="3"/>
  <c r="J2394" i="3"/>
  <c r="B2395" i="3"/>
  <c r="C2395" i="3"/>
  <c r="D2395" i="3"/>
  <c r="E2395" i="3"/>
  <c r="F2395" i="3"/>
  <c r="G2395" i="3"/>
  <c r="H2395" i="3"/>
  <c r="I2395" i="3"/>
  <c r="J2395" i="3"/>
  <c r="K2395" i="3"/>
  <c r="B2396" i="3"/>
  <c r="K2396" i="3" s="1"/>
  <c r="C2396" i="3"/>
  <c r="D2396" i="3"/>
  <c r="E2396" i="3"/>
  <c r="F2396" i="3"/>
  <c r="G2396" i="3"/>
  <c r="H2396" i="3"/>
  <c r="I2396" i="3"/>
  <c r="J2396" i="3"/>
  <c r="B2397" i="3"/>
  <c r="K2397" i="3" s="1"/>
  <c r="C2397" i="3"/>
  <c r="D2397" i="3"/>
  <c r="E2397" i="3"/>
  <c r="F2397" i="3"/>
  <c r="G2397" i="3"/>
  <c r="H2397" i="3"/>
  <c r="I2397" i="3"/>
  <c r="J2397" i="3"/>
  <c r="B2398" i="3"/>
  <c r="K2398" i="3" s="1"/>
  <c r="C2398" i="3"/>
  <c r="D2398" i="3"/>
  <c r="E2398" i="3"/>
  <c r="F2398" i="3"/>
  <c r="G2398" i="3"/>
  <c r="H2398" i="3"/>
  <c r="I2398" i="3"/>
  <c r="J2398" i="3"/>
  <c r="B2399" i="3"/>
  <c r="K2399" i="3" s="1"/>
  <c r="C2399" i="3"/>
  <c r="D2399" i="3"/>
  <c r="E2399" i="3"/>
  <c r="F2399" i="3"/>
  <c r="G2399" i="3"/>
  <c r="H2399" i="3"/>
  <c r="I2399" i="3"/>
  <c r="J2399" i="3"/>
  <c r="B2400" i="3"/>
  <c r="K2400" i="3" s="1"/>
  <c r="C2400" i="3"/>
  <c r="D2400" i="3"/>
  <c r="E2400" i="3"/>
  <c r="F2400" i="3"/>
  <c r="G2400" i="3"/>
  <c r="H2400" i="3"/>
  <c r="I2400" i="3"/>
  <c r="J2400" i="3"/>
  <c r="B2401" i="3"/>
  <c r="K2401" i="3" s="1"/>
  <c r="C2401" i="3"/>
  <c r="D2401" i="3"/>
  <c r="E2401" i="3"/>
  <c r="F2401" i="3"/>
  <c r="G2401" i="3"/>
  <c r="H2401" i="3"/>
  <c r="I2401" i="3"/>
  <c r="J2401" i="3"/>
  <c r="B2402" i="3"/>
  <c r="K2402" i="3" s="1"/>
  <c r="C2402" i="3"/>
  <c r="D2402" i="3"/>
  <c r="E2402" i="3"/>
  <c r="F2402" i="3"/>
  <c r="G2402" i="3"/>
  <c r="H2402" i="3"/>
  <c r="I2402" i="3"/>
  <c r="J2402" i="3"/>
  <c r="B2403" i="3"/>
  <c r="K2403" i="3" s="1"/>
  <c r="C2403" i="3"/>
  <c r="D2403" i="3"/>
  <c r="E2403" i="3"/>
  <c r="F2403" i="3"/>
  <c r="G2403" i="3"/>
  <c r="H2403" i="3"/>
  <c r="I2403" i="3"/>
  <c r="J2403" i="3"/>
  <c r="B2404" i="3"/>
  <c r="K2404" i="3" s="1"/>
  <c r="C2404" i="3"/>
  <c r="D2404" i="3"/>
  <c r="E2404" i="3"/>
  <c r="F2404" i="3"/>
  <c r="G2404" i="3"/>
  <c r="H2404" i="3"/>
  <c r="I2404" i="3"/>
  <c r="J2404" i="3"/>
  <c r="B2405" i="3"/>
  <c r="K2405" i="3" s="1"/>
  <c r="C2405" i="3"/>
  <c r="D2405" i="3"/>
  <c r="E2405" i="3"/>
  <c r="F2405" i="3"/>
  <c r="G2405" i="3"/>
  <c r="H2405" i="3"/>
  <c r="I2405" i="3"/>
  <c r="J2405" i="3"/>
  <c r="B2406" i="3"/>
  <c r="K2406" i="3" s="1"/>
  <c r="C2406" i="3"/>
  <c r="D2406" i="3"/>
  <c r="E2406" i="3"/>
  <c r="F2406" i="3"/>
  <c r="G2406" i="3"/>
  <c r="H2406" i="3"/>
  <c r="I2406" i="3"/>
  <c r="J2406" i="3"/>
  <c r="B2407" i="3"/>
  <c r="K2407" i="3" s="1"/>
  <c r="C2407" i="3"/>
  <c r="D2407" i="3"/>
  <c r="E2407" i="3"/>
  <c r="F2407" i="3"/>
  <c r="G2407" i="3"/>
  <c r="H2407" i="3"/>
  <c r="I2407" i="3"/>
  <c r="J2407" i="3"/>
  <c r="B2408" i="3"/>
  <c r="K2408" i="3" s="1"/>
  <c r="C2408" i="3"/>
  <c r="D2408" i="3"/>
  <c r="E2408" i="3"/>
  <c r="F2408" i="3"/>
  <c r="G2408" i="3"/>
  <c r="H2408" i="3"/>
  <c r="I2408" i="3"/>
  <c r="J2408" i="3"/>
  <c r="B2409" i="3"/>
  <c r="K2409" i="3" s="1"/>
  <c r="C2409" i="3"/>
  <c r="D2409" i="3"/>
  <c r="E2409" i="3"/>
  <c r="F2409" i="3"/>
  <c r="G2409" i="3"/>
  <c r="H2409" i="3"/>
  <c r="I2409" i="3"/>
  <c r="J2409" i="3"/>
  <c r="B2410" i="3"/>
  <c r="K2410" i="3" s="1"/>
  <c r="C2410" i="3"/>
  <c r="D2410" i="3"/>
  <c r="E2410" i="3"/>
  <c r="F2410" i="3"/>
  <c r="G2410" i="3"/>
  <c r="H2410" i="3"/>
  <c r="I2410" i="3"/>
  <c r="J2410" i="3"/>
  <c r="B2411" i="3"/>
  <c r="K2411" i="3" s="1"/>
  <c r="C2411" i="3"/>
  <c r="D2411" i="3"/>
  <c r="E2411" i="3"/>
  <c r="F2411" i="3"/>
  <c r="G2411" i="3"/>
  <c r="H2411" i="3"/>
  <c r="I2411" i="3"/>
  <c r="J2411" i="3"/>
  <c r="B2412" i="3"/>
  <c r="K2412" i="3" s="1"/>
  <c r="C2412" i="3"/>
  <c r="D2412" i="3"/>
  <c r="E2412" i="3"/>
  <c r="F2412" i="3"/>
  <c r="G2412" i="3"/>
  <c r="H2412" i="3"/>
  <c r="I2412" i="3"/>
  <c r="J2412" i="3"/>
  <c r="B2413" i="3"/>
  <c r="K2413" i="3" s="1"/>
  <c r="C2413" i="3"/>
  <c r="D2413" i="3"/>
  <c r="E2413" i="3"/>
  <c r="F2413" i="3"/>
  <c r="G2413" i="3"/>
  <c r="H2413" i="3"/>
  <c r="I2413" i="3"/>
  <c r="J2413" i="3"/>
  <c r="B2414" i="3"/>
  <c r="K2414" i="3" s="1"/>
  <c r="C2414" i="3"/>
  <c r="D2414" i="3"/>
  <c r="E2414" i="3"/>
  <c r="F2414" i="3"/>
  <c r="G2414" i="3"/>
  <c r="H2414" i="3"/>
  <c r="I2414" i="3"/>
  <c r="J2414" i="3"/>
  <c r="B2415" i="3"/>
  <c r="K2415" i="3" s="1"/>
  <c r="C2415" i="3"/>
  <c r="D2415" i="3"/>
  <c r="E2415" i="3"/>
  <c r="F2415" i="3"/>
  <c r="G2415" i="3"/>
  <c r="H2415" i="3"/>
  <c r="I2415" i="3"/>
  <c r="J2415" i="3"/>
  <c r="B2416" i="3"/>
  <c r="K2416" i="3" s="1"/>
  <c r="C2416" i="3"/>
  <c r="D2416" i="3"/>
  <c r="E2416" i="3"/>
  <c r="F2416" i="3"/>
  <c r="G2416" i="3"/>
  <c r="H2416" i="3"/>
  <c r="I2416" i="3"/>
  <c r="J2416" i="3"/>
  <c r="B2417" i="3"/>
  <c r="K2417" i="3" s="1"/>
  <c r="C2417" i="3"/>
  <c r="D2417" i="3"/>
  <c r="E2417" i="3"/>
  <c r="F2417" i="3"/>
  <c r="G2417" i="3"/>
  <c r="H2417" i="3"/>
  <c r="I2417" i="3"/>
  <c r="J2417" i="3"/>
  <c r="B2418" i="3"/>
  <c r="K2418" i="3" s="1"/>
  <c r="C2418" i="3"/>
  <c r="D2418" i="3"/>
  <c r="E2418" i="3"/>
  <c r="F2418" i="3"/>
  <c r="G2418" i="3"/>
  <c r="H2418" i="3"/>
  <c r="I2418" i="3"/>
  <c r="J2418" i="3"/>
  <c r="B2419" i="3"/>
  <c r="K2419" i="3" s="1"/>
  <c r="C2419" i="3"/>
  <c r="D2419" i="3"/>
  <c r="E2419" i="3"/>
  <c r="F2419" i="3"/>
  <c r="G2419" i="3"/>
  <c r="H2419" i="3"/>
  <c r="I2419" i="3"/>
  <c r="J2419" i="3"/>
  <c r="B2420" i="3"/>
  <c r="K2420" i="3" s="1"/>
  <c r="C2420" i="3"/>
  <c r="D2420" i="3"/>
  <c r="E2420" i="3"/>
  <c r="F2420" i="3"/>
  <c r="G2420" i="3"/>
  <c r="H2420" i="3"/>
  <c r="I2420" i="3"/>
  <c r="J2420" i="3"/>
  <c r="B2421" i="3"/>
  <c r="K2421" i="3" s="1"/>
  <c r="C2421" i="3"/>
  <c r="D2421" i="3"/>
  <c r="E2421" i="3"/>
  <c r="F2421" i="3"/>
  <c r="G2421" i="3"/>
  <c r="H2421" i="3"/>
  <c r="I2421" i="3"/>
  <c r="J2421" i="3"/>
  <c r="B2422" i="3"/>
  <c r="K2422" i="3" s="1"/>
  <c r="C2422" i="3"/>
  <c r="D2422" i="3"/>
  <c r="E2422" i="3"/>
  <c r="F2422" i="3"/>
  <c r="G2422" i="3"/>
  <c r="H2422" i="3"/>
  <c r="I2422" i="3"/>
  <c r="J2422" i="3"/>
  <c r="B2423" i="3"/>
  <c r="K2423" i="3" s="1"/>
  <c r="C2423" i="3"/>
  <c r="D2423" i="3"/>
  <c r="E2423" i="3"/>
  <c r="F2423" i="3"/>
  <c r="G2423" i="3"/>
  <c r="H2423" i="3"/>
  <c r="I2423" i="3"/>
  <c r="J2423" i="3"/>
  <c r="B2424" i="3"/>
  <c r="K2424" i="3" s="1"/>
  <c r="C2424" i="3"/>
  <c r="D2424" i="3"/>
  <c r="E2424" i="3"/>
  <c r="F2424" i="3"/>
  <c r="G2424" i="3"/>
  <c r="H2424" i="3"/>
  <c r="I2424" i="3"/>
  <c r="J2424" i="3"/>
  <c r="B2425" i="3"/>
  <c r="K2425" i="3" s="1"/>
  <c r="C2425" i="3"/>
  <c r="D2425" i="3"/>
  <c r="E2425" i="3"/>
  <c r="F2425" i="3"/>
  <c r="G2425" i="3"/>
  <c r="H2425" i="3"/>
  <c r="I2425" i="3"/>
  <c r="J2425" i="3"/>
  <c r="B2426" i="3"/>
  <c r="K2426" i="3" s="1"/>
  <c r="C2426" i="3"/>
  <c r="D2426" i="3"/>
  <c r="E2426" i="3"/>
  <c r="F2426" i="3"/>
  <c r="G2426" i="3"/>
  <c r="H2426" i="3"/>
  <c r="I2426" i="3"/>
  <c r="J2426" i="3"/>
  <c r="B2427" i="3"/>
  <c r="K2427" i="3" s="1"/>
  <c r="C2427" i="3"/>
  <c r="D2427" i="3"/>
  <c r="E2427" i="3"/>
  <c r="F2427" i="3"/>
  <c r="G2427" i="3"/>
  <c r="H2427" i="3"/>
  <c r="I2427" i="3"/>
  <c r="J2427" i="3"/>
  <c r="B2428" i="3"/>
  <c r="K2428" i="3" s="1"/>
  <c r="C2428" i="3"/>
  <c r="D2428" i="3"/>
  <c r="E2428" i="3"/>
  <c r="F2428" i="3"/>
  <c r="G2428" i="3"/>
  <c r="H2428" i="3"/>
  <c r="I2428" i="3"/>
  <c r="J2428" i="3"/>
  <c r="B2429" i="3"/>
  <c r="K2429" i="3" s="1"/>
  <c r="C2429" i="3"/>
  <c r="D2429" i="3"/>
  <c r="E2429" i="3"/>
  <c r="F2429" i="3"/>
  <c r="G2429" i="3"/>
  <c r="H2429" i="3"/>
  <c r="I2429" i="3"/>
  <c r="J2429" i="3"/>
  <c r="B2430" i="3"/>
  <c r="K2430" i="3" s="1"/>
  <c r="C2430" i="3"/>
  <c r="D2430" i="3"/>
  <c r="E2430" i="3"/>
  <c r="F2430" i="3"/>
  <c r="G2430" i="3"/>
  <c r="H2430" i="3"/>
  <c r="I2430" i="3"/>
  <c r="J2430" i="3"/>
  <c r="B2431" i="3"/>
  <c r="K2431" i="3" s="1"/>
  <c r="C2431" i="3"/>
  <c r="D2431" i="3"/>
  <c r="E2431" i="3"/>
  <c r="F2431" i="3"/>
  <c r="G2431" i="3"/>
  <c r="H2431" i="3"/>
  <c r="I2431" i="3"/>
  <c r="J2431" i="3"/>
  <c r="B2432" i="3"/>
  <c r="K2432" i="3" s="1"/>
  <c r="C2432" i="3"/>
  <c r="D2432" i="3"/>
  <c r="E2432" i="3"/>
  <c r="F2432" i="3"/>
  <c r="G2432" i="3"/>
  <c r="H2432" i="3"/>
  <c r="I2432" i="3"/>
  <c r="J2432" i="3"/>
  <c r="B2433" i="3"/>
  <c r="K2433" i="3" s="1"/>
  <c r="C2433" i="3"/>
  <c r="D2433" i="3"/>
  <c r="E2433" i="3"/>
  <c r="F2433" i="3"/>
  <c r="G2433" i="3"/>
  <c r="H2433" i="3"/>
  <c r="I2433" i="3"/>
  <c r="J2433" i="3"/>
  <c r="B2434" i="3"/>
  <c r="K2434" i="3" s="1"/>
  <c r="C2434" i="3"/>
  <c r="D2434" i="3"/>
  <c r="E2434" i="3"/>
  <c r="F2434" i="3"/>
  <c r="G2434" i="3"/>
  <c r="H2434" i="3"/>
  <c r="I2434" i="3"/>
  <c r="J2434" i="3"/>
  <c r="B2435" i="3"/>
  <c r="C2435" i="3"/>
  <c r="D2435" i="3"/>
  <c r="E2435" i="3"/>
  <c r="F2435" i="3"/>
  <c r="G2435" i="3"/>
  <c r="H2435" i="3"/>
  <c r="I2435" i="3"/>
  <c r="J2435" i="3"/>
  <c r="K2435" i="3"/>
  <c r="B2436" i="3"/>
  <c r="K2436" i="3" s="1"/>
  <c r="C2436" i="3"/>
  <c r="D2436" i="3"/>
  <c r="E2436" i="3"/>
  <c r="F2436" i="3"/>
  <c r="G2436" i="3"/>
  <c r="H2436" i="3"/>
  <c r="I2436" i="3"/>
  <c r="J2436" i="3"/>
  <c r="B2437" i="3"/>
  <c r="K2437" i="3" s="1"/>
  <c r="C2437" i="3"/>
  <c r="D2437" i="3"/>
  <c r="E2437" i="3"/>
  <c r="F2437" i="3"/>
  <c r="G2437" i="3"/>
  <c r="H2437" i="3"/>
  <c r="I2437" i="3"/>
  <c r="J2437" i="3"/>
  <c r="B2438" i="3"/>
  <c r="K2438" i="3" s="1"/>
  <c r="C2438" i="3"/>
  <c r="D2438" i="3"/>
  <c r="E2438" i="3"/>
  <c r="F2438" i="3"/>
  <c r="G2438" i="3"/>
  <c r="H2438" i="3"/>
  <c r="I2438" i="3"/>
  <c r="J2438" i="3"/>
  <c r="B2439" i="3"/>
  <c r="K2439" i="3" s="1"/>
  <c r="C2439" i="3"/>
  <c r="D2439" i="3"/>
  <c r="E2439" i="3"/>
  <c r="F2439" i="3"/>
  <c r="G2439" i="3"/>
  <c r="H2439" i="3"/>
  <c r="I2439" i="3"/>
  <c r="J2439" i="3"/>
  <c r="B2440" i="3"/>
  <c r="K2440" i="3" s="1"/>
  <c r="C2440" i="3"/>
  <c r="D2440" i="3"/>
  <c r="E2440" i="3"/>
  <c r="F2440" i="3"/>
  <c r="G2440" i="3"/>
  <c r="H2440" i="3"/>
  <c r="I2440" i="3"/>
  <c r="J2440" i="3"/>
  <c r="B2441" i="3"/>
  <c r="K2441" i="3" s="1"/>
  <c r="C2441" i="3"/>
  <c r="D2441" i="3"/>
  <c r="E2441" i="3"/>
  <c r="F2441" i="3"/>
  <c r="G2441" i="3"/>
  <c r="H2441" i="3"/>
  <c r="I2441" i="3"/>
  <c r="J2441" i="3"/>
  <c r="B2442" i="3"/>
  <c r="K2442" i="3" s="1"/>
  <c r="C2442" i="3"/>
  <c r="D2442" i="3"/>
  <c r="E2442" i="3"/>
  <c r="F2442" i="3"/>
  <c r="G2442" i="3"/>
  <c r="H2442" i="3"/>
  <c r="I2442" i="3"/>
  <c r="J2442" i="3"/>
  <c r="B2443" i="3"/>
  <c r="K2443" i="3" s="1"/>
  <c r="C2443" i="3"/>
  <c r="D2443" i="3"/>
  <c r="E2443" i="3"/>
  <c r="F2443" i="3"/>
  <c r="G2443" i="3"/>
  <c r="H2443" i="3"/>
  <c r="I2443" i="3"/>
  <c r="J2443" i="3"/>
  <c r="B2444" i="3"/>
  <c r="K2444" i="3" s="1"/>
  <c r="C2444" i="3"/>
  <c r="D2444" i="3"/>
  <c r="E2444" i="3"/>
  <c r="F2444" i="3"/>
  <c r="G2444" i="3"/>
  <c r="H2444" i="3"/>
  <c r="I2444" i="3"/>
  <c r="J2444" i="3"/>
  <c r="B2445" i="3"/>
  <c r="K2445" i="3" s="1"/>
  <c r="C2445" i="3"/>
  <c r="D2445" i="3"/>
  <c r="E2445" i="3"/>
  <c r="F2445" i="3"/>
  <c r="G2445" i="3"/>
  <c r="H2445" i="3"/>
  <c r="I2445" i="3"/>
  <c r="J2445" i="3"/>
  <c r="B2446" i="3"/>
  <c r="K2446" i="3" s="1"/>
  <c r="C2446" i="3"/>
  <c r="D2446" i="3"/>
  <c r="E2446" i="3"/>
  <c r="F2446" i="3"/>
  <c r="G2446" i="3"/>
  <c r="H2446" i="3"/>
  <c r="I2446" i="3"/>
  <c r="J2446" i="3"/>
  <c r="B2447" i="3"/>
  <c r="K2447" i="3" s="1"/>
  <c r="C2447" i="3"/>
  <c r="D2447" i="3"/>
  <c r="E2447" i="3"/>
  <c r="F2447" i="3"/>
  <c r="G2447" i="3"/>
  <c r="H2447" i="3"/>
  <c r="I2447" i="3"/>
  <c r="J2447" i="3"/>
  <c r="B2448" i="3"/>
  <c r="K2448" i="3" s="1"/>
  <c r="C2448" i="3"/>
  <c r="D2448" i="3"/>
  <c r="E2448" i="3"/>
  <c r="F2448" i="3"/>
  <c r="G2448" i="3"/>
  <c r="H2448" i="3"/>
  <c r="I2448" i="3"/>
  <c r="J2448" i="3"/>
  <c r="B2449" i="3"/>
  <c r="K2449" i="3" s="1"/>
  <c r="C2449" i="3"/>
  <c r="D2449" i="3"/>
  <c r="E2449" i="3"/>
  <c r="F2449" i="3"/>
  <c r="G2449" i="3"/>
  <c r="H2449" i="3"/>
  <c r="I2449" i="3"/>
  <c r="J2449" i="3"/>
  <c r="B2450" i="3"/>
  <c r="K2450" i="3" s="1"/>
  <c r="C2450" i="3"/>
  <c r="D2450" i="3"/>
  <c r="E2450" i="3"/>
  <c r="F2450" i="3"/>
  <c r="G2450" i="3"/>
  <c r="H2450" i="3"/>
  <c r="I2450" i="3"/>
  <c r="J2450" i="3"/>
  <c r="B2451" i="3"/>
  <c r="K2451" i="3" s="1"/>
  <c r="C2451" i="3"/>
  <c r="D2451" i="3"/>
  <c r="E2451" i="3"/>
  <c r="F2451" i="3"/>
  <c r="G2451" i="3"/>
  <c r="H2451" i="3"/>
  <c r="I2451" i="3"/>
  <c r="J2451" i="3"/>
  <c r="B2452" i="3"/>
  <c r="K2452" i="3" s="1"/>
  <c r="C2452" i="3"/>
  <c r="D2452" i="3"/>
  <c r="E2452" i="3"/>
  <c r="F2452" i="3"/>
  <c r="G2452" i="3"/>
  <c r="H2452" i="3"/>
  <c r="I2452" i="3"/>
  <c r="J2452" i="3"/>
  <c r="B2453" i="3"/>
  <c r="K2453" i="3" s="1"/>
  <c r="C2453" i="3"/>
  <c r="D2453" i="3"/>
  <c r="E2453" i="3"/>
  <c r="F2453" i="3"/>
  <c r="G2453" i="3"/>
  <c r="H2453" i="3"/>
  <c r="I2453" i="3"/>
  <c r="J2453" i="3"/>
  <c r="B2454" i="3"/>
  <c r="K2454" i="3" s="1"/>
  <c r="C2454" i="3"/>
  <c r="D2454" i="3"/>
  <c r="E2454" i="3"/>
  <c r="F2454" i="3"/>
  <c r="G2454" i="3"/>
  <c r="H2454" i="3"/>
  <c r="I2454" i="3"/>
  <c r="J2454" i="3"/>
  <c r="B2455" i="3"/>
  <c r="K2455" i="3" s="1"/>
  <c r="C2455" i="3"/>
  <c r="D2455" i="3"/>
  <c r="E2455" i="3"/>
  <c r="F2455" i="3"/>
  <c r="G2455" i="3"/>
  <c r="H2455" i="3"/>
  <c r="I2455" i="3"/>
  <c r="J2455" i="3"/>
  <c r="B2456" i="3"/>
  <c r="C2456" i="3"/>
  <c r="D2456" i="3"/>
  <c r="E2456" i="3"/>
  <c r="F2456" i="3"/>
  <c r="G2456" i="3"/>
  <c r="H2456" i="3"/>
  <c r="I2456" i="3"/>
  <c r="J2456" i="3"/>
  <c r="K2456" i="3"/>
  <c r="B2457" i="3"/>
  <c r="K2457" i="3" s="1"/>
  <c r="C2457" i="3"/>
  <c r="D2457" i="3"/>
  <c r="E2457" i="3"/>
  <c r="F2457" i="3"/>
  <c r="G2457" i="3"/>
  <c r="H2457" i="3"/>
  <c r="I2457" i="3"/>
  <c r="J2457" i="3"/>
  <c r="B2458" i="3"/>
  <c r="K2458" i="3" s="1"/>
  <c r="C2458" i="3"/>
  <c r="D2458" i="3"/>
  <c r="E2458" i="3"/>
  <c r="F2458" i="3"/>
  <c r="G2458" i="3"/>
  <c r="H2458" i="3"/>
  <c r="I2458" i="3"/>
  <c r="J2458" i="3"/>
  <c r="B2459" i="3"/>
  <c r="K2459" i="3" s="1"/>
  <c r="C2459" i="3"/>
  <c r="D2459" i="3"/>
  <c r="E2459" i="3"/>
  <c r="F2459" i="3"/>
  <c r="G2459" i="3"/>
  <c r="H2459" i="3"/>
  <c r="I2459" i="3"/>
  <c r="J2459" i="3"/>
  <c r="B2460" i="3"/>
  <c r="K2460" i="3" s="1"/>
  <c r="C2460" i="3"/>
  <c r="D2460" i="3"/>
  <c r="E2460" i="3"/>
  <c r="F2460" i="3"/>
  <c r="G2460" i="3"/>
  <c r="H2460" i="3"/>
  <c r="I2460" i="3"/>
  <c r="J2460" i="3"/>
  <c r="B2461" i="3"/>
  <c r="K2461" i="3" s="1"/>
  <c r="C2461" i="3"/>
  <c r="D2461" i="3"/>
  <c r="E2461" i="3"/>
  <c r="F2461" i="3"/>
  <c r="G2461" i="3"/>
  <c r="H2461" i="3"/>
  <c r="I2461" i="3"/>
  <c r="J2461" i="3"/>
  <c r="B2462" i="3"/>
  <c r="K2462" i="3" s="1"/>
  <c r="C2462" i="3"/>
  <c r="D2462" i="3"/>
  <c r="E2462" i="3"/>
  <c r="F2462" i="3"/>
  <c r="G2462" i="3"/>
  <c r="H2462" i="3"/>
  <c r="I2462" i="3"/>
  <c r="J2462" i="3"/>
  <c r="B2463" i="3"/>
  <c r="K2463" i="3" s="1"/>
  <c r="C2463" i="3"/>
  <c r="D2463" i="3"/>
  <c r="E2463" i="3"/>
  <c r="F2463" i="3"/>
  <c r="G2463" i="3"/>
  <c r="H2463" i="3"/>
  <c r="I2463" i="3"/>
  <c r="J2463" i="3"/>
  <c r="B2464" i="3"/>
  <c r="K2464" i="3" s="1"/>
  <c r="C2464" i="3"/>
  <c r="D2464" i="3"/>
  <c r="E2464" i="3"/>
  <c r="F2464" i="3"/>
  <c r="G2464" i="3"/>
  <c r="H2464" i="3"/>
  <c r="I2464" i="3"/>
  <c r="J2464" i="3"/>
  <c r="B2465" i="3"/>
  <c r="K2465" i="3" s="1"/>
  <c r="C2465" i="3"/>
  <c r="D2465" i="3"/>
  <c r="E2465" i="3"/>
  <c r="F2465" i="3"/>
  <c r="G2465" i="3"/>
  <c r="H2465" i="3"/>
  <c r="I2465" i="3"/>
  <c r="J2465" i="3"/>
  <c r="B2466" i="3"/>
  <c r="K2466" i="3" s="1"/>
  <c r="C2466" i="3"/>
  <c r="D2466" i="3"/>
  <c r="E2466" i="3"/>
  <c r="F2466" i="3"/>
  <c r="G2466" i="3"/>
  <c r="H2466" i="3"/>
  <c r="I2466" i="3"/>
  <c r="J2466" i="3"/>
  <c r="B2467" i="3"/>
  <c r="C2467" i="3"/>
  <c r="D2467" i="3"/>
  <c r="E2467" i="3"/>
  <c r="F2467" i="3"/>
  <c r="G2467" i="3"/>
  <c r="H2467" i="3"/>
  <c r="I2467" i="3"/>
  <c r="J2467" i="3"/>
  <c r="K2467" i="3"/>
  <c r="B2468" i="3"/>
  <c r="K2468" i="3" s="1"/>
  <c r="C2468" i="3"/>
  <c r="D2468" i="3"/>
  <c r="E2468" i="3"/>
  <c r="F2468" i="3"/>
  <c r="G2468" i="3"/>
  <c r="H2468" i="3"/>
  <c r="I2468" i="3"/>
  <c r="J2468" i="3"/>
  <c r="B2469" i="3"/>
  <c r="K2469" i="3" s="1"/>
  <c r="C2469" i="3"/>
  <c r="D2469" i="3"/>
  <c r="E2469" i="3"/>
  <c r="F2469" i="3"/>
  <c r="G2469" i="3"/>
  <c r="H2469" i="3"/>
  <c r="I2469" i="3"/>
  <c r="J2469" i="3"/>
  <c r="B2470" i="3"/>
  <c r="K2470" i="3" s="1"/>
  <c r="C2470" i="3"/>
  <c r="D2470" i="3"/>
  <c r="E2470" i="3"/>
  <c r="F2470" i="3"/>
  <c r="G2470" i="3"/>
  <c r="H2470" i="3"/>
  <c r="I2470" i="3"/>
  <c r="J2470" i="3"/>
  <c r="B2471" i="3"/>
  <c r="K2471" i="3" s="1"/>
  <c r="C2471" i="3"/>
  <c r="D2471" i="3"/>
  <c r="E2471" i="3"/>
  <c r="F2471" i="3"/>
  <c r="G2471" i="3"/>
  <c r="H2471" i="3"/>
  <c r="I2471" i="3"/>
  <c r="J2471" i="3"/>
  <c r="B2472" i="3"/>
  <c r="K2472" i="3" s="1"/>
  <c r="C2472" i="3"/>
  <c r="D2472" i="3"/>
  <c r="E2472" i="3"/>
  <c r="F2472" i="3"/>
  <c r="G2472" i="3"/>
  <c r="H2472" i="3"/>
  <c r="I2472" i="3"/>
  <c r="J2472" i="3"/>
  <c r="B2473" i="3"/>
  <c r="K2473" i="3" s="1"/>
  <c r="C2473" i="3"/>
  <c r="D2473" i="3"/>
  <c r="E2473" i="3"/>
  <c r="F2473" i="3"/>
  <c r="G2473" i="3"/>
  <c r="H2473" i="3"/>
  <c r="I2473" i="3"/>
  <c r="J2473" i="3"/>
  <c r="B2474" i="3"/>
  <c r="K2474" i="3" s="1"/>
  <c r="C2474" i="3"/>
  <c r="D2474" i="3"/>
  <c r="E2474" i="3"/>
  <c r="F2474" i="3"/>
  <c r="G2474" i="3"/>
  <c r="H2474" i="3"/>
  <c r="I2474" i="3"/>
  <c r="J2474" i="3"/>
  <c r="B2475" i="3"/>
  <c r="K2475" i="3" s="1"/>
  <c r="C2475" i="3"/>
  <c r="D2475" i="3"/>
  <c r="E2475" i="3"/>
  <c r="F2475" i="3"/>
  <c r="G2475" i="3"/>
  <c r="H2475" i="3"/>
  <c r="I2475" i="3"/>
  <c r="J2475" i="3"/>
  <c r="B2476" i="3"/>
  <c r="K2476" i="3" s="1"/>
  <c r="C2476" i="3"/>
  <c r="D2476" i="3"/>
  <c r="E2476" i="3"/>
  <c r="F2476" i="3"/>
  <c r="G2476" i="3"/>
  <c r="H2476" i="3"/>
  <c r="I2476" i="3"/>
  <c r="J2476" i="3"/>
  <c r="B2477" i="3"/>
  <c r="K2477" i="3" s="1"/>
  <c r="C2477" i="3"/>
  <c r="D2477" i="3"/>
  <c r="E2477" i="3"/>
  <c r="F2477" i="3"/>
  <c r="G2477" i="3"/>
  <c r="H2477" i="3"/>
  <c r="I2477" i="3"/>
  <c r="J2477" i="3"/>
  <c r="B2478" i="3"/>
  <c r="K2478" i="3" s="1"/>
  <c r="C2478" i="3"/>
  <c r="D2478" i="3"/>
  <c r="E2478" i="3"/>
  <c r="F2478" i="3"/>
  <c r="G2478" i="3"/>
  <c r="H2478" i="3"/>
  <c r="I2478" i="3"/>
  <c r="J2478" i="3"/>
  <c r="B2479" i="3"/>
  <c r="K2479" i="3" s="1"/>
  <c r="C2479" i="3"/>
  <c r="D2479" i="3"/>
  <c r="E2479" i="3"/>
  <c r="F2479" i="3"/>
  <c r="G2479" i="3"/>
  <c r="H2479" i="3"/>
  <c r="I2479" i="3"/>
  <c r="J2479" i="3"/>
  <c r="B2480" i="3"/>
  <c r="K2480" i="3" s="1"/>
  <c r="C2480" i="3"/>
  <c r="D2480" i="3"/>
  <c r="E2480" i="3"/>
  <c r="F2480" i="3"/>
  <c r="G2480" i="3"/>
  <c r="H2480" i="3"/>
  <c r="I2480" i="3"/>
  <c r="J2480" i="3"/>
  <c r="B2481" i="3"/>
  <c r="K2481" i="3" s="1"/>
  <c r="C2481" i="3"/>
  <c r="D2481" i="3"/>
  <c r="E2481" i="3"/>
  <c r="F2481" i="3"/>
  <c r="G2481" i="3"/>
  <c r="H2481" i="3"/>
  <c r="I2481" i="3"/>
  <c r="J2481" i="3"/>
  <c r="B2482" i="3"/>
  <c r="K2482" i="3" s="1"/>
  <c r="C2482" i="3"/>
  <c r="D2482" i="3"/>
  <c r="E2482" i="3"/>
  <c r="F2482" i="3"/>
  <c r="G2482" i="3"/>
  <c r="H2482" i="3"/>
  <c r="I2482" i="3"/>
  <c r="J2482" i="3"/>
  <c r="B2483" i="3"/>
  <c r="K2483" i="3" s="1"/>
  <c r="C2483" i="3"/>
  <c r="D2483" i="3"/>
  <c r="E2483" i="3"/>
  <c r="F2483" i="3"/>
  <c r="G2483" i="3"/>
  <c r="H2483" i="3"/>
  <c r="I2483" i="3"/>
  <c r="J2483" i="3"/>
  <c r="B2484" i="3"/>
  <c r="K2484" i="3" s="1"/>
  <c r="C2484" i="3"/>
  <c r="D2484" i="3"/>
  <c r="E2484" i="3"/>
  <c r="F2484" i="3"/>
  <c r="G2484" i="3"/>
  <c r="H2484" i="3"/>
  <c r="I2484" i="3"/>
  <c r="J2484" i="3"/>
  <c r="B2485" i="3"/>
  <c r="K2485" i="3" s="1"/>
  <c r="C2485" i="3"/>
  <c r="D2485" i="3"/>
  <c r="E2485" i="3"/>
  <c r="F2485" i="3"/>
  <c r="G2485" i="3"/>
  <c r="H2485" i="3"/>
  <c r="I2485" i="3"/>
  <c r="J2485" i="3"/>
  <c r="B2486" i="3"/>
  <c r="K2486" i="3" s="1"/>
  <c r="C2486" i="3"/>
  <c r="D2486" i="3"/>
  <c r="E2486" i="3"/>
  <c r="F2486" i="3"/>
  <c r="G2486" i="3"/>
  <c r="H2486" i="3"/>
  <c r="I2486" i="3"/>
  <c r="J2486" i="3"/>
  <c r="B2487" i="3"/>
  <c r="K2487" i="3" s="1"/>
  <c r="C2487" i="3"/>
  <c r="D2487" i="3"/>
  <c r="E2487" i="3"/>
  <c r="F2487" i="3"/>
  <c r="G2487" i="3"/>
  <c r="H2487" i="3"/>
  <c r="I2487" i="3"/>
  <c r="J2487" i="3"/>
  <c r="B2488" i="3"/>
  <c r="K2488" i="3" s="1"/>
  <c r="C2488" i="3"/>
  <c r="D2488" i="3"/>
  <c r="E2488" i="3"/>
  <c r="F2488" i="3"/>
  <c r="G2488" i="3"/>
  <c r="H2488" i="3"/>
  <c r="I2488" i="3"/>
  <c r="J2488" i="3"/>
  <c r="B2489" i="3"/>
  <c r="K2489" i="3" s="1"/>
  <c r="C2489" i="3"/>
  <c r="D2489" i="3"/>
  <c r="E2489" i="3"/>
  <c r="F2489" i="3"/>
  <c r="G2489" i="3"/>
  <c r="H2489" i="3"/>
  <c r="I2489" i="3"/>
  <c r="J2489" i="3"/>
  <c r="B2490" i="3"/>
  <c r="K2490" i="3" s="1"/>
  <c r="C2490" i="3"/>
  <c r="D2490" i="3"/>
  <c r="E2490" i="3"/>
  <c r="F2490" i="3"/>
  <c r="G2490" i="3"/>
  <c r="H2490" i="3"/>
  <c r="I2490" i="3"/>
  <c r="J2490" i="3"/>
  <c r="B2491" i="3"/>
  <c r="K2491" i="3" s="1"/>
  <c r="C2491" i="3"/>
  <c r="D2491" i="3"/>
  <c r="E2491" i="3"/>
  <c r="F2491" i="3"/>
  <c r="G2491" i="3"/>
  <c r="H2491" i="3"/>
  <c r="I2491" i="3"/>
  <c r="J2491" i="3"/>
  <c r="B2492" i="3"/>
  <c r="K2492" i="3" s="1"/>
  <c r="C2492" i="3"/>
  <c r="D2492" i="3"/>
  <c r="E2492" i="3"/>
  <c r="F2492" i="3"/>
  <c r="G2492" i="3"/>
  <c r="H2492" i="3"/>
  <c r="I2492" i="3"/>
  <c r="J2492" i="3"/>
  <c r="B2493" i="3"/>
  <c r="K2493" i="3" s="1"/>
  <c r="C2493" i="3"/>
  <c r="D2493" i="3"/>
  <c r="E2493" i="3"/>
  <c r="F2493" i="3"/>
  <c r="G2493" i="3"/>
  <c r="H2493" i="3"/>
  <c r="I2493" i="3"/>
  <c r="J2493" i="3"/>
  <c r="B2494" i="3"/>
  <c r="K2494" i="3" s="1"/>
  <c r="C2494" i="3"/>
  <c r="D2494" i="3"/>
  <c r="E2494" i="3"/>
  <c r="F2494" i="3"/>
  <c r="G2494" i="3"/>
  <c r="H2494" i="3"/>
  <c r="I2494" i="3"/>
  <c r="J2494" i="3"/>
  <c r="B2495" i="3"/>
  <c r="K2495" i="3" s="1"/>
  <c r="C2495" i="3"/>
  <c r="D2495" i="3"/>
  <c r="E2495" i="3"/>
  <c r="F2495" i="3"/>
  <c r="G2495" i="3"/>
  <c r="H2495" i="3"/>
  <c r="I2495" i="3"/>
  <c r="J2495" i="3"/>
  <c r="B2496" i="3"/>
  <c r="K2496" i="3" s="1"/>
  <c r="C2496" i="3"/>
  <c r="D2496" i="3"/>
  <c r="E2496" i="3"/>
  <c r="F2496" i="3"/>
  <c r="G2496" i="3"/>
  <c r="H2496" i="3"/>
  <c r="I2496" i="3"/>
  <c r="J2496" i="3"/>
  <c r="B2497" i="3"/>
  <c r="K2497" i="3" s="1"/>
  <c r="C2497" i="3"/>
  <c r="D2497" i="3"/>
  <c r="E2497" i="3"/>
  <c r="F2497" i="3"/>
  <c r="G2497" i="3"/>
  <c r="H2497" i="3"/>
  <c r="I2497" i="3"/>
  <c r="J2497" i="3"/>
  <c r="B2498" i="3"/>
  <c r="K2498" i="3" s="1"/>
  <c r="C2498" i="3"/>
  <c r="D2498" i="3"/>
  <c r="E2498" i="3"/>
  <c r="F2498" i="3"/>
  <c r="G2498" i="3"/>
  <c r="H2498" i="3"/>
  <c r="I2498" i="3"/>
  <c r="J2498" i="3"/>
  <c r="B2499" i="3"/>
  <c r="K2499" i="3" s="1"/>
  <c r="C2499" i="3"/>
  <c r="D2499" i="3"/>
  <c r="E2499" i="3"/>
  <c r="F2499" i="3"/>
  <c r="G2499" i="3"/>
  <c r="H2499" i="3"/>
  <c r="I2499" i="3"/>
  <c r="J2499" i="3"/>
  <c r="B2500" i="3"/>
  <c r="K2500" i="3" s="1"/>
  <c r="C2500" i="3"/>
  <c r="D2500" i="3"/>
  <c r="E2500" i="3"/>
  <c r="F2500" i="3"/>
  <c r="G2500" i="3"/>
  <c r="H2500" i="3"/>
  <c r="I2500" i="3"/>
  <c r="J2500" i="3"/>
  <c r="B2501" i="3"/>
  <c r="K2501" i="3" s="1"/>
  <c r="C2501" i="3"/>
  <c r="D2501" i="3"/>
  <c r="E2501" i="3"/>
  <c r="F2501" i="3"/>
  <c r="G2501" i="3"/>
  <c r="H2501" i="3"/>
  <c r="I2501" i="3"/>
  <c r="J2501" i="3"/>
  <c r="B2502" i="3"/>
  <c r="C2502" i="3"/>
  <c r="D2502" i="3"/>
  <c r="E2502" i="3"/>
  <c r="F2502" i="3"/>
  <c r="G2502" i="3"/>
  <c r="H2502" i="3"/>
  <c r="I2502" i="3"/>
  <c r="J2502" i="3"/>
  <c r="K2502" i="3"/>
  <c r="B2503" i="3"/>
  <c r="K2503" i="3" s="1"/>
  <c r="C2503" i="3"/>
  <c r="D2503" i="3"/>
  <c r="E2503" i="3"/>
  <c r="F2503" i="3"/>
  <c r="G2503" i="3"/>
  <c r="H2503" i="3"/>
  <c r="I2503" i="3"/>
  <c r="J2503" i="3"/>
  <c r="B2504" i="3"/>
  <c r="K2504" i="3" s="1"/>
  <c r="C2504" i="3"/>
  <c r="D2504" i="3"/>
  <c r="E2504" i="3"/>
  <c r="F2504" i="3"/>
  <c r="G2504" i="3"/>
  <c r="H2504" i="3"/>
  <c r="I2504" i="3"/>
  <c r="J2504" i="3"/>
  <c r="B2505" i="3"/>
  <c r="K2505" i="3" s="1"/>
  <c r="C2505" i="3"/>
  <c r="D2505" i="3"/>
  <c r="E2505" i="3"/>
  <c r="F2505" i="3"/>
  <c r="G2505" i="3"/>
  <c r="H2505" i="3"/>
  <c r="I2505" i="3"/>
  <c r="J2505" i="3"/>
  <c r="B2506" i="3"/>
  <c r="K2506" i="3" s="1"/>
  <c r="C2506" i="3"/>
  <c r="D2506" i="3"/>
  <c r="E2506" i="3"/>
  <c r="F2506" i="3"/>
  <c r="G2506" i="3"/>
  <c r="H2506" i="3"/>
  <c r="I2506" i="3"/>
  <c r="J2506" i="3"/>
  <c r="B2507" i="3"/>
  <c r="K2507" i="3" s="1"/>
  <c r="C2507" i="3"/>
  <c r="D2507" i="3"/>
  <c r="E2507" i="3"/>
  <c r="F2507" i="3"/>
  <c r="G2507" i="3"/>
  <c r="H2507" i="3"/>
  <c r="I2507" i="3"/>
  <c r="J2507" i="3"/>
  <c r="B2508" i="3"/>
  <c r="K2508" i="3" s="1"/>
  <c r="C2508" i="3"/>
  <c r="D2508" i="3"/>
  <c r="E2508" i="3"/>
  <c r="F2508" i="3"/>
  <c r="G2508" i="3"/>
  <c r="H2508" i="3"/>
  <c r="I2508" i="3"/>
  <c r="J2508" i="3"/>
  <c r="B2509" i="3"/>
  <c r="K2509" i="3" s="1"/>
  <c r="C2509" i="3"/>
  <c r="D2509" i="3"/>
  <c r="E2509" i="3"/>
  <c r="F2509" i="3"/>
  <c r="G2509" i="3"/>
  <c r="H2509" i="3"/>
  <c r="I2509" i="3"/>
  <c r="J2509" i="3"/>
  <c r="B2510" i="3"/>
  <c r="K2510" i="3" s="1"/>
  <c r="C2510" i="3"/>
  <c r="D2510" i="3"/>
  <c r="E2510" i="3"/>
  <c r="F2510" i="3"/>
  <c r="G2510" i="3"/>
  <c r="H2510" i="3"/>
  <c r="I2510" i="3"/>
  <c r="J2510" i="3"/>
  <c r="B2511" i="3"/>
  <c r="K2511" i="3" s="1"/>
  <c r="C2511" i="3"/>
  <c r="D2511" i="3"/>
  <c r="E2511" i="3"/>
  <c r="F2511" i="3"/>
  <c r="G2511" i="3"/>
  <c r="H2511" i="3"/>
  <c r="I2511" i="3"/>
  <c r="J2511" i="3"/>
  <c r="B2512" i="3"/>
  <c r="K2512" i="3" s="1"/>
  <c r="C2512" i="3"/>
  <c r="D2512" i="3"/>
  <c r="E2512" i="3"/>
  <c r="F2512" i="3"/>
  <c r="G2512" i="3"/>
  <c r="H2512" i="3"/>
  <c r="I2512" i="3"/>
  <c r="J2512" i="3"/>
  <c r="B2513" i="3"/>
  <c r="K2513" i="3" s="1"/>
  <c r="C2513" i="3"/>
  <c r="D2513" i="3"/>
  <c r="E2513" i="3"/>
  <c r="F2513" i="3"/>
  <c r="G2513" i="3"/>
  <c r="H2513" i="3"/>
  <c r="I2513" i="3"/>
  <c r="J2513" i="3"/>
  <c r="B2514" i="3"/>
  <c r="K2514" i="3" s="1"/>
  <c r="C2514" i="3"/>
  <c r="D2514" i="3"/>
  <c r="E2514" i="3"/>
  <c r="F2514" i="3"/>
  <c r="G2514" i="3"/>
  <c r="H2514" i="3"/>
  <c r="I2514" i="3"/>
  <c r="J2514" i="3"/>
  <c r="B2515" i="3"/>
  <c r="K2515" i="3" s="1"/>
  <c r="C2515" i="3"/>
  <c r="D2515" i="3"/>
  <c r="E2515" i="3"/>
  <c r="F2515" i="3"/>
  <c r="G2515" i="3"/>
  <c r="H2515" i="3"/>
  <c r="I2515" i="3"/>
  <c r="J2515" i="3"/>
  <c r="B2516" i="3"/>
  <c r="K2516" i="3" s="1"/>
  <c r="C2516" i="3"/>
  <c r="D2516" i="3"/>
  <c r="E2516" i="3"/>
  <c r="F2516" i="3"/>
  <c r="G2516" i="3"/>
  <c r="H2516" i="3"/>
  <c r="I2516" i="3"/>
  <c r="J2516" i="3"/>
  <c r="B2517" i="3"/>
  <c r="K2517" i="3" s="1"/>
  <c r="C2517" i="3"/>
  <c r="D2517" i="3"/>
  <c r="E2517" i="3"/>
  <c r="F2517" i="3"/>
  <c r="G2517" i="3"/>
  <c r="H2517" i="3"/>
  <c r="I2517" i="3"/>
  <c r="J2517" i="3"/>
  <c r="B2518" i="3"/>
  <c r="K2518" i="3" s="1"/>
  <c r="C2518" i="3"/>
  <c r="D2518" i="3"/>
  <c r="E2518" i="3"/>
  <c r="F2518" i="3"/>
  <c r="G2518" i="3"/>
  <c r="H2518" i="3"/>
  <c r="I2518" i="3"/>
  <c r="J2518" i="3"/>
  <c r="B2519" i="3"/>
  <c r="K2519" i="3" s="1"/>
  <c r="C2519" i="3"/>
  <c r="D2519" i="3"/>
  <c r="E2519" i="3"/>
  <c r="F2519" i="3"/>
  <c r="G2519" i="3"/>
  <c r="H2519" i="3"/>
  <c r="I2519" i="3"/>
  <c r="J2519" i="3"/>
  <c r="B2520" i="3"/>
  <c r="K2520" i="3" s="1"/>
  <c r="C2520" i="3"/>
  <c r="D2520" i="3"/>
  <c r="E2520" i="3"/>
  <c r="F2520" i="3"/>
  <c r="G2520" i="3"/>
  <c r="H2520" i="3"/>
  <c r="I2520" i="3"/>
  <c r="J2520" i="3"/>
  <c r="B2521" i="3"/>
  <c r="K2521" i="3" s="1"/>
  <c r="C2521" i="3"/>
  <c r="D2521" i="3"/>
  <c r="E2521" i="3"/>
  <c r="F2521" i="3"/>
  <c r="G2521" i="3"/>
  <c r="H2521" i="3"/>
  <c r="I2521" i="3"/>
  <c r="J2521" i="3"/>
  <c r="B2522" i="3"/>
  <c r="K2522" i="3" s="1"/>
  <c r="C2522" i="3"/>
  <c r="D2522" i="3"/>
  <c r="E2522" i="3"/>
  <c r="F2522" i="3"/>
  <c r="G2522" i="3"/>
  <c r="H2522" i="3"/>
  <c r="I2522" i="3"/>
  <c r="J2522" i="3"/>
  <c r="B2523" i="3"/>
  <c r="K2523" i="3" s="1"/>
  <c r="C2523" i="3"/>
  <c r="D2523" i="3"/>
  <c r="E2523" i="3"/>
  <c r="F2523" i="3"/>
  <c r="G2523" i="3"/>
  <c r="H2523" i="3"/>
  <c r="I2523" i="3"/>
  <c r="J2523" i="3"/>
  <c r="B2524" i="3"/>
  <c r="K2524" i="3" s="1"/>
  <c r="C2524" i="3"/>
  <c r="D2524" i="3"/>
  <c r="E2524" i="3"/>
  <c r="F2524" i="3"/>
  <c r="G2524" i="3"/>
  <c r="H2524" i="3"/>
  <c r="I2524" i="3"/>
  <c r="J2524" i="3"/>
  <c r="B2525" i="3"/>
  <c r="K2525" i="3" s="1"/>
  <c r="C2525" i="3"/>
  <c r="D2525" i="3"/>
  <c r="E2525" i="3"/>
  <c r="F2525" i="3"/>
  <c r="G2525" i="3"/>
  <c r="H2525" i="3"/>
  <c r="I2525" i="3"/>
  <c r="J2525" i="3"/>
  <c r="B2526" i="3"/>
  <c r="K2526" i="3" s="1"/>
  <c r="C2526" i="3"/>
  <c r="D2526" i="3"/>
  <c r="E2526" i="3"/>
  <c r="F2526" i="3"/>
  <c r="G2526" i="3"/>
  <c r="H2526" i="3"/>
  <c r="I2526" i="3"/>
  <c r="J2526" i="3"/>
  <c r="B2527" i="3"/>
  <c r="K2527" i="3" s="1"/>
  <c r="C2527" i="3"/>
  <c r="D2527" i="3"/>
  <c r="E2527" i="3"/>
  <c r="F2527" i="3"/>
  <c r="G2527" i="3"/>
  <c r="H2527" i="3"/>
  <c r="I2527" i="3"/>
  <c r="J2527" i="3"/>
  <c r="B2528" i="3"/>
  <c r="K2528" i="3" s="1"/>
  <c r="C2528" i="3"/>
  <c r="D2528" i="3"/>
  <c r="E2528" i="3"/>
  <c r="F2528" i="3"/>
  <c r="G2528" i="3"/>
  <c r="H2528" i="3"/>
  <c r="I2528" i="3"/>
  <c r="J2528" i="3"/>
  <c r="B2529" i="3"/>
  <c r="K2529" i="3" s="1"/>
  <c r="C2529" i="3"/>
  <c r="D2529" i="3"/>
  <c r="E2529" i="3"/>
  <c r="F2529" i="3"/>
  <c r="G2529" i="3"/>
  <c r="H2529" i="3"/>
  <c r="I2529" i="3"/>
  <c r="J2529" i="3"/>
  <c r="B2530" i="3"/>
  <c r="K2530" i="3" s="1"/>
  <c r="C2530" i="3"/>
  <c r="D2530" i="3"/>
  <c r="E2530" i="3"/>
  <c r="F2530" i="3"/>
  <c r="G2530" i="3"/>
  <c r="H2530" i="3"/>
  <c r="I2530" i="3"/>
  <c r="J2530" i="3"/>
  <c r="B2531" i="3"/>
  <c r="K2531" i="3" s="1"/>
  <c r="C2531" i="3"/>
  <c r="D2531" i="3"/>
  <c r="E2531" i="3"/>
  <c r="F2531" i="3"/>
  <c r="G2531" i="3"/>
  <c r="H2531" i="3"/>
  <c r="I2531" i="3"/>
  <c r="J2531" i="3"/>
  <c r="B2532" i="3"/>
  <c r="K2532" i="3" s="1"/>
  <c r="C2532" i="3"/>
  <c r="D2532" i="3"/>
  <c r="E2532" i="3"/>
  <c r="F2532" i="3"/>
  <c r="G2532" i="3"/>
  <c r="H2532" i="3"/>
  <c r="I2532" i="3"/>
  <c r="J2532" i="3"/>
  <c r="B2533" i="3"/>
  <c r="K2533" i="3" s="1"/>
  <c r="C2533" i="3"/>
  <c r="D2533" i="3"/>
  <c r="E2533" i="3"/>
  <c r="F2533" i="3"/>
  <c r="G2533" i="3"/>
  <c r="H2533" i="3"/>
  <c r="I2533" i="3"/>
  <c r="J2533" i="3"/>
  <c r="B2534" i="3"/>
  <c r="K2534" i="3" s="1"/>
  <c r="C2534" i="3"/>
  <c r="D2534" i="3"/>
  <c r="E2534" i="3"/>
  <c r="F2534" i="3"/>
  <c r="G2534" i="3"/>
  <c r="H2534" i="3"/>
  <c r="I2534" i="3"/>
  <c r="J2534" i="3"/>
  <c r="B2535" i="3"/>
  <c r="K2535" i="3" s="1"/>
  <c r="C2535" i="3"/>
  <c r="D2535" i="3"/>
  <c r="E2535" i="3"/>
  <c r="F2535" i="3"/>
  <c r="G2535" i="3"/>
  <c r="H2535" i="3"/>
  <c r="I2535" i="3"/>
  <c r="J2535" i="3"/>
  <c r="B2536" i="3"/>
  <c r="K2536" i="3" s="1"/>
  <c r="C2536" i="3"/>
  <c r="D2536" i="3"/>
  <c r="E2536" i="3"/>
  <c r="F2536" i="3"/>
  <c r="G2536" i="3"/>
  <c r="H2536" i="3"/>
  <c r="I2536" i="3"/>
  <c r="J2536" i="3"/>
  <c r="B2537" i="3"/>
  <c r="C2537" i="3"/>
  <c r="D2537" i="3"/>
  <c r="E2537" i="3"/>
  <c r="F2537" i="3"/>
  <c r="G2537" i="3"/>
  <c r="H2537" i="3"/>
  <c r="I2537" i="3"/>
  <c r="J2537" i="3"/>
  <c r="K2537" i="3"/>
  <c r="B2538" i="3"/>
  <c r="K2538" i="3" s="1"/>
  <c r="C2538" i="3"/>
  <c r="D2538" i="3"/>
  <c r="E2538" i="3"/>
  <c r="F2538" i="3"/>
  <c r="G2538" i="3"/>
  <c r="H2538" i="3"/>
  <c r="I2538" i="3"/>
  <c r="J2538" i="3"/>
  <c r="B2539" i="3"/>
  <c r="K2539" i="3" s="1"/>
  <c r="C2539" i="3"/>
  <c r="D2539" i="3"/>
  <c r="E2539" i="3"/>
  <c r="F2539" i="3"/>
  <c r="G2539" i="3"/>
  <c r="H2539" i="3"/>
  <c r="I2539" i="3"/>
  <c r="J2539" i="3"/>
  <c r="B2540" i="3"/>
  <c r="K2540" i="3" s="1"/>
  <c r="C2540" i="3"/>
  <c r="D2540" i="3"/>
  <c r="E2540" i="3"/>
  <c r="F2540" i="3"/>
  <c r="G2540" i="3"/>
  <c r="H2540" i="3"/>
  <c r="I2540" i="3"/>
  <c r="J2540" i="3"/>
  <c r="B2541" i="3"/>
  <c r="K2541" i="3" s="1"/>
  <c r="C2541" i="3"/>
  <c r="D2541" i="3"/>
  <c r="E2541" i="3"/>
  <c r="F2541" i="3"/>
  <c r="G2541" i="3"/>
  <c r="H2541" i="3"/>
  <c r="I2541" i="3"/>
  <c r="J2541" i="3"/>
  <c r="B2542" i="3"/>
  <c r="K2542" i="3" s="1"/>
  <c r="C2542" i="3"/>
  <c r="D2542" i="3"/>
  <c r="E2542" i="3"/>
  <c r="F2542" i="3"/>
  <c r="G2542" i="3"/>
  <c r="H2542" i="3"/>
  <c r="I2542" i="3"/>
  <c r="J2542" i="3"/>
  <c r="B2543" i="3"/>
  <c r="K2543" i="3" s="1"/>
  <c r="C2543" i="3"/>
  <c r="D2543" i="3"/>
  <c r="E2543" i="3"/>
  <c r="F2543" i="3"/>
  <c r="G2543" i="3"/>
  <c r="H2543" i="3"/>
  <c r="I2543" i="3"/>
  <c r="J2543" i="3"/>
  <c r="B2544" i="3"/>
  <c r="K2544" i="3" s="1"/>
  <c r="C2544" i="3"/>
  <c r="D2544" i="3"/>
  <c r="E2544" i="3"/>
  <c r="F2544" i="3"/>
  <c r="G2544" i="3"/>
  <c r="H2544" i="3"/>
  <c r="I2544" i="3"/>
  <c r="J2544" i="3"/>
  <c r="B2545" i="3"/>
  <c r="K2545" i="3" s="1"/>
  <c r="C2545" i="3"/>
  <c r="D2545" i="3"/>
  <c r="E2545" i="3"/>
  <c r="F2545" i="3"/>
  <c r="G2545" i="3"/>
  <c r="H2545" i="3"/>
  <c r="I2545" i="3"/>
  <c r="J2545" i="3"/>
  <c r="B2546" i="3"/>
  <c r="K2546" i="3" s="1"/>
  <c r="C2546" i="3"/>
  <c r="D2546" i="3"/>
  <c r="E2546" i="3"/>
  <c r="F2546" i="3"/>
  <c r="G2546" i="3"/>
  <c r="H2546" i="3"/>
  <c r="I2546" i="3"/>
  <c r="J2546" i="3"/>
  <c r="B2547" i="3"/>
  <c r="K2547" i="3" s="1"/>
  <c r="C2547" i="3"/>
  <c r="D2547" i="3"/>
  <c r="E2547" i="3"/>
  <c r="F2547" i="3"/>
  <c r="G2547" i="3"/>
  <c r="H2547" i="3"/>
  <c r="I2547" i="3"/>
  <c r="J2547" i="3"/>
  <c r="B2548" i="3"/>
  <c r="K2548" i="3" s="1"/>
  <c r="C2548" i="3"/>
  <c r="D2548" i="3"/>
  <c r="E2548" i="3"/>
  <c r="F2548" i="3"/>
  <c r="G2548" i="3"/>
  <c r="H2548" i="3"/>
  <c r="I2548" i="3"/>
  <c r="J2548" i="3"/>
  <c r="B2549" i="3"/>
  <c r="K2549" i="3" s="1"/>
  <c r="C2549" i="3"/>
  <c r="D2549" i="3"/>
  <c r="E2549" i="3"/>
  <c r="F2549" i="3"/>
  <c r="G2549" i="3"/>
  <c r="H2549" i="3"/>
  <c r="I2549" i="3"/>
  <c r="J2549" i="3"/>
  <c r="B2550" i="3"/>
  <c r="K2550" i="3" s="1"/>
  <c r="C2550" i="3"/>
  <c r="D2550" i="3"/>
  <c r="E2550" i="3"/>
  <c r="F2550" i="3"/>
  <c r="G2550" i="3"/>
  <c r="H2550" i="3"/>
  <c r="I2550" i="3"/>
  <c r="J2550" i="3"/>
  <c r="B2551" i="3"/>
  <c r="K2551" i="3" s="1"/>
  <c r="C2551" i="3"/>
  <c r="D2551" i="3"/>
  <c r="E2551" i="3"/>
  <c r="F2551" i="3"/>
  <c r="G2551" i="3"/>
  <c r="H2551" i="3"/>
  <c r="I2551" i="3"/>
  <c r="J2551" i="3"/>
  <c r="B2552" i="3"/>
  <c r="K2552" i="3" s="1"/>
  <c r="C2552" i="3"/>
  <c r="D2552" i="3"/>
  <c r="E2552" i="3"/>
  <c r="F2552" i="3"/>
  <c r="G2552" i="3"/>
  <c r="H2552" i="3"/>
  <c r="I2552" i="3"/>
  <c r="J2552" i="3"/>
  <c r="B2553" i="3"/>
  <c r="K2553" i="3" s="1"/>
  <c r="C2553" i="3"/>
  <c r="D2553" i="3"/>
  <c r="E2553" i="3"/>
  <c r="F2553" i="3"/>
  <c r="G2553" i="3"/>
  <c r="H2553" i="3"/>
  <c r="I2553" i="3"/>
  <c r="J2553" i="3"/>
  <c r="B2554" i="3"/>
  <c r="K2554" i="3" s="1"/>
  <c r="C2554" i="3"/>
  <c r="D2554" i="3"/>
  <c r="E2554" i="3"/>
  <c r="F2554" i="3"/>
  <c r="G2554" i="3"/>
  <c r="H2554" i="3"/>
  <c r="I2554" i="3"/>
  <c r="J2554" i="3"/>
  <c r="B2555" i="3"/>
  <c r="K2555" i="3" s="1"/>
  <c r="C2555" i="3"/>
  <c r="D2555" i="3"/>
  <c r="E2555" i="3"/>
  <c r="F2555" i="3"/>
  <c r="G2555" i="3"/>
  <c r="H2555" i="3"/>
  <c r="I2555" i="3"/>
  <c r="J2555" i="3"/>
  <c r="B2556" i="3"/>
  <c r="K2556" i="3" s="1"/>
  <c r="C2556" i="3"/>
  <c r="D2556" i="3"/>
  <c r="E2556" i="3"/>
  <c r="F2556" i="3"/>
  <c r="G2556" i="3"/>
  <c r="H2556" i="3"/>
  <c r="I2556" i="3"/>
  <c r="J2556" i="3"/>
  <c r="B2557" i="3"/>
  <c r="K2557" i="3" s="1"/>
  <c r="C2557" i="3"/>
  <c r="D2557" i="3"/>
  <c r="E2557" i="3"/>
  <c r="F2557" i="3"/>
  <c r="G2557" i="3"/>
  <c r="H2557" i="3"/>
  <c r="I2557" i="3"/>
  <c r="J2557" i="3"/>
  <c r="B2558" i="3"/>
  <c r="K2558" i="3" s="1"/>
  <c r="C2558" i="3"/>
  <c r="D2558" i="3"/>
  <c r="E2558" i="3"/>
  <c r="F2558" i="3"/>
  <c r="G2558" i="3"/>
  <c r="H2558" i="3"/>
  <c r="I2558" i="3"/>
  <c r="J2558" i="3"/>
  <c r="B2559" i="3"/>
  <c r="K2559" i="3" s="1"/>
  <c r="C2559" i="3"/>
  <c r="D2559" i="3"/>
  <c r="E2559" i="3"/>
  <c r="F2559" i="3"/>
  <c r="G2559" i="3"/>
  <c r="H2559" i="3"/>
  <c r="I2559" i="3"/>
  <c r="J2559" i="3"/>
  <c r="B2560" i="3"/>
  <c r="C2560" i="3"/>
  <c r="D2560" i="3"/>
  <c r="E2560" i="3"/>
  <c r="F2560" i="3"/>
  <c r="G2560" i="3"/>
  <c r="H2560" i="3"/>
  <c r="I2560" i="3"/>
  <c r="J2560" i="3"/>
  <c r="K2560" i="3"/>
  <c r="B2561" i="3"/>
  <c r="K2561" i="3" s="1"/>
  <c r="C2561" i="3"/>
  <c r="D2561" i="3"/>
  <c r="E2561" i="3"/>
  <c r="F2561" i="3"/>
  <c r="G2561" i="3"/>
  <c r="H2561" i="3"/>
  <c r="I2561" i="3"/>
  <c r="J2561" i="3"/>
  <c r="B2562" i="3"/>
  <c r="K2562" i="3" s="1"/>
  <c r="C2562" i="3"/>
  <c r="D2562" i="3"/>
  <c r="E2562" i="3"/>
  <c r="F2562" i="3"/>
  <c r="G2562" i="3"/>
  <c r="H2562" i="3"/>
  <c r="I2562" i="3"/>
  <c r="J2562" i="3"/>
  <c r="B2563" i="3"/>
  <c r="K2563" i="3" s="1"/>
  <c r="C2563" i="3"/>
  <c r="D2563" i="3"/>
  <c r="E2563" i="3"/>
  <c r="F2563" i="3"/>
  <c r="G2563" i="3"/>
  <c r="H2563" i="3"/>
  <c r="I2563" i="3"/>
  <c r="J2563" i="3"/>
  <c r="B2564" i="3"/>
  <c r="K2564" i="3" s="1"/>
  <c r="C2564" i="3"/>
  <c r="D2564" i="3"/>
  <c r="E2564" i="3"/>
  <c r="F2564" i="3"/>
  <c r="G2564" i="3"/>
  <c r="H2564" i="3"/>
  <c r="I2564" i="3"/>
  <c r="J2564" i="3"/>
  <c r="B2565" i="3"/>
  <c r="K2565" i="3" s="1"/>
  <c r="C2565" i="3"/>
  <c r="D2565" i="3"/>
  <c r="E2565" i="3"/>
  <c r="F2565" i="3"/>
  <c r="G2565" i="3"/>
  <c r="H2565" i="3"/>
  <c r="I2565" i="3"/>
  <c r="J2565" i="3"/>
  <c r="B2566" i="3"/>
  <c r="K2566" i="3" s="1"/>
  <c r="C2566" i="3"/>
  <c r="D2566" i="3"/>
  <c r="E2566" i="3"/>
  <c r="F2566" i="3"/>
  <c r="G2566" i="3"/>
  <c r="H2566" i="3"/>
  <c r="I2566" i="3"/>
  <c r="J2566" i="3"/>
  <c r="B2567" i="3"/>
  <c r="K2567" i="3" s="1"/>
  <c r="C2567" i="3"/>
  <c r="D2567" i="3"/>
  <c r="E2567" i="3"/>
  <c r="F2567" i="3"/>
  <c r="G2567" i="3"/>
  <c r="H2567" i="3"/>
  <c r="I2567" i="3"/>
  <c r="J2567" i="3"/>
  <c r="B2568" i="3"/>
  <c r="K2568" i="3" s="1"/>
  <c r="C2568" i="3"/>
  <c r="D2568" i="3"/>
  <c r="E2568" i="3"/>
  <c r="F2568" i="3"/>
  <c r="G2568" i="3"/>
  <c r="H2568" i="3"/>
  <c r="I2568" i="3"/>
  <c r="J2568" i="3"/>
  <c r="B2569" i="3"/>
  <c r="K2569" i="3" s="1"/>
  <c r="C2569" i="3"/>
  <c r="D2569" i="3"/>
  <c r="E2569" i="3"/>
  <c r="F2569" i="3"/>
  <c r="G2569" i="3"/>
  <c r="H2569" i="3"/>
  <c r="I2569" i="3"/>
  <c r="J2569" i="3"/>
  <c r="B2570" i="3"/>
  <c r="K2570" i="3" s="1"/>
  <c r="C2570" i="3"/>
  <c r="D2570" i="3"/>
  <c r="E2570" i="3"/>
  <c r="F2570" i="3"/>
  <c r="G2570" i="3"/>
  <c r="H2570" i="3"/>
  <c r="I2570" i="3"/>
  <c r="J2570" i="3"/>
  <c r="B2571" i="3"/>
  <c r="K2571" i="3" s="1"/>
  <c r="C2571" i="3"/>
  <c r="D2571" i="3"/>
  <c r="E2571" i="3"/>
  <c r="F2571" i="3"/>
  <c r="G2571" i="3"/>
  <c r="H2571" i="3"/>
  <c r="I2571" i="3"/>
  <c r="J2571" i="3"/>
  <c r="B2572" i="3"/>
  <c r="K2572" i="3" s="1"/>
  <c r="C2572" i="3"/>
  <c r="D2572" i="3"/>
  <c r="E2572" i="3"/>
  <c r="F2572" i="3"/>
  <c r="G2572" i="3"/>
  <c r="H2572" i="3"/>
  <c r="I2572" i="3"/>
  <c r="J2572" i="3"/>
  <c r="B2573" i="3"/>
  <c r="K2573" i="3" s="1"/>
  <c r="C2573" i="3"/>
  <c r="D2573" i="3"/>
  <c r="E2573" i="3"/>
  <c r="F2573" i="3"/>
  <c r="G2573" i="3"/>
  <c r="H2573" i="3"/>
  <c r="I2573" i="3"/>
  <c r="J2573" i="3"/>
  <c r="B2574" i="3"/>
  <c r="K2574" i="3" s="1"/>
  <c r="C2574" i="3"/>
  <c r="D2574" i="3"/>
  <c r="E2574" i="3"/>
  <c r="F2574" i="3"/>
  <c r="G2574" i="3"/>
  <c r="H2574" i="3"/>
  <c r="I2574" i="3"/>
  <c r="J2574" i="3"/>
  <c r="B2575" i="3"/>
  <c r="K2575" i="3" s="1"/>
  <c r="C2575" i="3"/>
  <c r="D2575" i="3"/>
  <c r="E2575" i="3"/>
  <c r="F2575" i="3"/>
  <c r="G2575" i="3"/>
  <c r="H2575" i="3"/>
  <c r="I2575" i="3"/>
  <c r="J2575" i="3"/>
  <c r="B2576" i="3"/>
  <c r="C2576" i="3"/>
  <c r="D2576" i="3"/>
  <c r="E2576" i="3"/>
  <c r="F2576" i="3"/>
  <c r="G2576" i="3"/>
  <c r="H2576" i="3"/>
  <c r="I2576" i="3"/>
  <c r="J2576" i="3"/>
  <c r="K2576" i="3"/>
  <c r="B2577" i="3"/>
  <c r="K2577" i="3" s="1"/>
  <c r="C2577" i="3"/>
  <c r="D2577" i="3"/>
  <c r="E2577" i="3"/>
  <c r="F2577" i="3"/>
  <c r="G2577" i="3"/>
  <c r="H2577" i="3"/>
  <c r="I2577" i="3"/>
  <c r="J2577" i="3"/>
  <c r="B2578" i="3"/>
  <c r="K2578" i="3" s="1"/>
  <c r="C2578" i="3"/>
  <c r="D2578" i="3"/>
  <c r="E2578" i="3"/>
  <c r="F2578" i="3"/>
  <c r="G2578" i="3"/>
  <c r="H2578" i="3"/>
  <c r="I2578" i="3"/>
  <c r="J2578" i="3"/>
  <c r="B2579" i="3"/>
  <c r="K2579" i="3" s="1"/>
  <c r="C2579" i="3"/>
  <c r="D2579" i="3"/>
  <c r="E2579" i="3"/>
  <c r="F2579" i="3"/>
  <c r="G2579" i="3"/>
  <c r="H2579" i="3"/>
  <c r="I2579" i="3"/>
  <c r="J2579" i="3"/>
  <c r="B2580" i="3"/>
  <c r="K2580" i="3" s="1"/>
  <c r="C2580" i="3"/>
  <c r="D2580" i="3"/>
  <c r="E2580" i="3"/>
  <c r="F2580" i="3"/>
  <c r="G2580" i="3"/>
  <c r="H2580" i="3"/>
  <c r="I2580" i="3"/>
  <c r="J2580" i="3"/>
  <c r="B2581" i="3"/>
  <c r="K2581" i="3" s="1"/>
  <c r="C2581" i="3"/>
  <c r="D2581" i="3"/>
  <c r="E2581" i="3"/>
  <c r="F2581" i="3"/>
  <c r="G2581" i="3"/>
  <c r="H2581" i="3"/>
  <c r="I2581" i="3"/>
  <c r="J2581" i="3"/>
  <c r="B2582" i="3"/>
  <c r="K2582" i="3" s="1"/>
  <c r="C2582" i="3"/>
  <c r="D2582" i="3"/>
  <c r="E2582" i="3"/>
  <c r="F2582" i="3"/>
  <c r="G2582" i="3"/>
  <c r="H2582" i="3"/>
  <c r="I2582" i="3"/>
  <c r="J2582" i="3"/>
  <c r="B2583" i="3"/>
  <c r="K2583" i="3" s="1"/>
  <c r="C2583" i="3"/>
  <c r="D2583" i="3"/>
  <c r="E2583" i="3"/>
  <c r="F2583" i="3"/>
  <c r="G2583" i="3"/>
  <c r="H2583" i="3"/>
  <c r="I2583" i="3"/>
  <c r="J2583" i="3"/>
  <c r="B2584" i="3"/>
  <c r="K2584" i="3" s="1"/>
  <c r="C2584" i="3"/>
  <c r="D2584" i="3"/>
  <c r="E2584" i="3"/>
  <c r="F2584" i="3"/>
  <c r="G2584" i="3"/>
  <c r="H2584" i="3"/>
  <c r="I2584" i="3"/>
  <c r="J2584" i="3"/>
  <c r="B2585" i="3"/>
  <c r="K2585" i="3" s="1"/>
  <c r="C2585" i="3"/>
  <c r="D2585" i="3"/>
  <c r="E2585" i="3"/>
  <c r="F2585" i="3"/>
  <c r="G2585" i="3"/>
  <c r="H2585" i="3"/>
  <c r="I2585" i="3"/>
  <c r="J2585" i="3"/>
  <c r="B2586" i="3"/>
  <c r="K2586" i="3" s="1"/>
  <c r="C2586" i="3"/>
  <c r="D2586" i="3"/>
  <c r="E2586" i="3"/>
  <c r="F2586" i="3"/>
  <c r="G2586" i="3"/>
  <c r="H2586" i="3"/>
  <c r="I2586" i="3"/>
  <c r="J2586" i="3"/>
  <c r="B2587" i="3"/>
  <c r="K2587" i="3" s="1"/>
  <c r="C2587" i="3"/>
  <c r="D2587" i="3"/>
  <c r="E2587" i="3"/>
  <c r="F2587" i="3"/>
  <c r="G2587" i="3"/>
  <c r="H2587" i="3"/>
  <c r="I2587" i="3"/>
  <c r="J2587" i="3"/>
  <c r="B2588" i="3"/>
  <c r="K2588" i="3" s="1"/>
  <c r="C2588" i="3"/>
  <c r="D2588" i="3"/>
  <c r="E2588" i="3"/>
  <c r="F2588" i="3"/>
  <c r="G2588" i="3"/>
  <c r="H2588" i="3"/>
  <c r="I2588" i="3"/>
  <c r="J2588" i="3"/>
  <c r="B2589" i="3"/>
  <c r="K2589" i="3" s="1"/>
  <c r="C2589" i="3"/>
  <c r="D2589" i="3"/>
  <c r="E2589" i="3"/>
  <c r="F2589" i="3"/>
  <c r="G2589" i="3"/>
  <c r="H2589" i="3"/>
  <c r="I2589" i="3"/>
  <c r="J2589" i="3"/>
  <c r="B2590" i="3"/>
  <c r="K2590" i="3" s="1"/>
  <c r="C2590" i="3"/>
  <c r="D2590" i="3"/>
  <c r="E2590" i="3"/>
  <c r="F2590" i="3"/>
  <c r="G2590" i="3"/>
  <c r="H2590" i="3"/>
  <c r="I2590" i="3"/>
  <c r="J2590" i="3"/>
  <c r="B2591" i="3"/>
  <c r="K2591" i="3" s="1"/>
  <c r="C2591" i="3"/>
  <c r="D2591" i="3"/>
  <c r="E2591" i="3"/>
  <c r="F2591" i="3"/>
  <c r="G2591" i="3"/>
  <c r="H2591" i="3"/>
  <c r="I2591" i="3"/>
  <c r="J2591" i="3"/>
  <c r="B2592" i="3"/>
  <c r="K2592" i="3" s="1"/>
  <c r="C2592" i="3"/>
  <c r="D2592" i="3"/>
  <c r="E2592" i="3"/>
  <c r="F2592" i="3"/>
  <c r="G2592" i="3"/>
  <c r="H2592" i="3"/>
  <c r="I2592" i="3"/>
  <c r="J2592" i="3"/>
  <c r="B2593" i="3"/>
  <c r="K2593" i="3" s="1"/>
  <c r="C2593" i="3"/>
  <c r="D2593" i="3"/>
  <c r="E2593" i="3"/>
  <c r="F2593" i="3"/>
  <c r="G2593" i="3"/>
  <c r="H2593" i="3"/>
  <c r="I2593" i="3"/>
  <c r="J2593" i="3"/>
  <c r="B2594" i="3"/>
  <c r="K2594" i="3" s="1"/>
  <c r="C2594" i="3"/>
  <c r="D2594" i="3"/>
  <c r="E2594" i="3"/>
  <c r="F2594" i="3"/>
  <c r="G2594" i="3"/>
  <c r="H2594" i="3"/>
  <c r="I2594" i="3"/>
  <c r="J2594" i="3"/>
  <c r="B2595" i="3"/>
  <c r="K2595" i="3" s="1"/>
  <c r="C2595" i="3"/>
  <c r="D2595" i="3"/>
  <c r="E2595" i="3"/>
  <c r="F2595" i="3"/>
  <c r="G2595" i="3"/>
  <c r="H2595" i="3"/>
  <c r="I2595" i="3"/>
  <c r="J2595" i="3"/>
  <c r="B2596" i="3"/>
  <c r="K2596" i="3" s="1"/>
  <c r="C2596" i="3"/>
  <c r="D2596" i="3"/>
  <c r="E2596" i="3"/>
  <c r="F2596" i="3"/>
  <c r="G2596" i="3"/>
  <c r="H2596" i="3"/>
  <c r="I2596" i="3"/>
  <c r="J2596" i="3"/>
  <c r="B2597" i="3"/>
  <c r="K2597" i="3" s="1"/>
  <c r="C2597" i="3"/>
  <c r="D2597" i="3"/>
  <c r="E2597" i="3"/>
  <c r="F2597" i="3"/>
  <c r="G2597" i="3"/>
  <c r="H2597" i="3"/>
  <c r="I2597" i="3"/>
  <c r="J2597" i="3"/>
  <c r="B2598" i="3"/>
  <c r="K2598" i="3" s="1"/>
  <c r="C2598" i="3"/>
  <c r="D2598" i="3"/>
  <c r="E2598" i="3"/>
  <c r="F2598" i="3"/>
  <c r="G2598" i="3"/>
  <c r="H2598" i="3"/>
  <c r="I2598" i="3"/>
  <c r="J2598" i="3"/>
  <c r="B2599" i="3"/>
  <c r="K2599" i="3" s="1"/>
  <c r="C2599" i="3"/>
  <c r="D2599" i="3"/>
  <c r="E2599" i="3"/>
  <c r="F2599" i="3"/>
  <c r="G2599" i="3"/>
  <c r="H2599" i="3"/>
  <c r="I2599" i="3"/>
  <c r="J2599" i="3"/>
  <c r="B2600" i="3"/>
  <c r="K2600" i="3" s="1"/>
  <c r="C2600" i="3"/>
  <c r="D2600" i="3"/>
  <c r="E2600" i="3"/>
  <c r="F2600" i="3"/>
  <c r="G2600" i="3"/>
  <c r="H2600" i="3"/>
  <c r="I2600" i="3"/>
  <c r="J2600" i="3"/>
  <c r="B2601" i="3"/>
  <c r="K2601" i="3" s="1"/>
  <c r="C2601" i="3"/>
  <c r="D2601" i="3"/>
  <c r="E2601" i="3"/>
  <c r="F2601" i="3"/>
  <c r="G2601" i="3"/>
  <c r="H2601" i="3"/>
  <c r="I2601" i="3"/>
  <c r="J2601" i="3"/>
  <c r="B2602" i="3"/>
  <c r="K2602" i="3" s="1"/>
  <c r="C2602" i="3"/>
  <c r="D2602" i="3"/>
  <c r="E2602" i="3"/>
  <c r="F2602" i="3"/>
  <c r="G2602" i="3"/>
  <c r="H2602" i="3"/>
  <c r="I2602" i="3"/>
  <c r="J2602" i="3"/>
  <c r="B2603" i="3"/>
  <c r="K2603" i="3" s="1"/>
  <c r="C2603" i="3"/>
  <c r="D2603" i="3"/>
  <c r="E2603" i="3"/>
  <c r="F2603" i="3"/>
  <c r="G2603" i="3"/>
  <c r="H2603" i="3"/>
  <c r="I2603" i="3"/>
  <c r="J2603" i="3"/>
  <c r="B2604" i="3"/>
  <c r="K2604" i="3" s="1"/>
  <c r="C2604" i="3"/>
  <c r="D2604" i="3"/>
  <c r="E2604" i="3"/>
  <c r="F2604" i="3"/>
  <c r="G2604" i="3"/>
  <c r="H2604" i="3"/>
  <c r="I2604" i="3"/>
  <c r="J2604" i="3"/>
  <c r="B2605" i="3"/>
  <c r="K2605" i="3" s="1"/>
  <c r="C2605" i="3"/>
  <c r="D2605" i="3"/>
  <c r="E2605" i="3"/>
  <c r="F2605" i="3"/>
  <c r="G2605" i="3"/>
  <c r="H2605" i="3"/>
  <c r="I2605" i="3"/>
  <c r="J2605" i="3"/>
  <c r="B2606" i="3"/>
  <c r="K2606" i="3" s="1"/>
  <c r="C2606" i="3"/>
  <c r="D2606" i="3"/>
  <c r="E2606" i="3"/>
  <c r="F2606" i="3"/>
  <c r="G2606" i="3"/>
  <c r="H2606" i="3"/>
  <c r="I2606" i="3"/>
  <c r="J2606" i="3"/>
  <c r="B2607" i="3"/>
  <c r="K2607" i="3" s="1"/>
  <c r="C2607" i="3"/>
  <c r="D2607" i="3"/>
  <c r="E2607" i="3"/>
  <c r="F2607" i="3"/>
  <c r="G2607" i="3"/>
  <c r="H2607" i="3"/>
  <c r="I2607" i="3"/>
  <c r="J2607" i="3"/>
  <c r="B2608" i="3"/>
  <c r="K2608" i="3" s="1"/>
  <c r="C2608" i="3"/>
  <c r="D2608" i="3"/>
  <c r="E2608" i="3"/>
  <c r="F2608" i="3"/>
  <c r="G2608" i="3"/>
  <c r="H2608" i="3"/>
  <c r="I2608" i="3"/>
  <c r="J2608" i="3"/>
  <c r="B2609" i="3"/>
  <c r="K2609" i="3" s="1"/>
  <c r="C2609" i="3"/>
  <c r="D2609" i="3"/>
  <c r="E2609" i="3"/>
  <c r="F2609" i="3"/>
  <c r="G2609" i="3"/>
  <c r="H2609" i="3"/>
  <c r="I2609" i="3"/>
  <c r="J2609" i="3"/>
  <c r="B2610" i="3"/>
  <c r="K2610" i="3" s="1"/>
  <c r="C2610" i="3"/>
  <c r="D2610" i="3"/>
  <c r="E2610" i="3"/>
  <c r="F2610" i="3"/>
  <c r="G2610" i="3"/>
  <c r="H2610" i="3"/>
  <c r="I2610" i="3"/>
  <c r="J2610" i="3"/>
  <c r="B2611" i="3"/>
  <c r="K2611" i="3" s="1"/>
  <c r="C2611" i="3"/>
  <c r="D2611" i="3"/>
  <c r="E2611" i="3"/>
  <c r="F2611" i="3"/>
  <c r="G2611" i="3"/>
  <c r="H2611" i="3"/>
  <c r="I2611" i="3"/>
  <c r="J2611" i="3"/>
  <c r="B2612" i="3"/>
  <c r="K2612" i="3" s="1"/>
  <c r="C2612" i="3"/>
  <c r="D2612" i="3"/>
  <c r="E2612" i="3"/>
  <c r="F2612" i="3"/>
  <c r="G2612" i="3"/>
  <c r="H2612" i="3"/>
  <c r="I2612" i="3"/>
  <c r="J2612" i="3"/>
  <c r="B2613" i="3"/>
  <c r="K2613" i="3" s="1"/>
  <c r="C2613" i="3"/>
  <c r="D2613" i="3"/>
  <c r="E2613" i="3"/>
  <c r="F2613" i="3"/>
  <c r="G2613" i="3"/>
  <c r="H2613" i="3"/>
  <c r="I2613" i="3"/>
  <c r="J2613" i="3"/>
  <c r="B2614" i="3"/>
  <c r="C2614" i="3"/>
  <c r="D2614" i="3"/>
  <c r="E2614" i="3"/>
  <c r="F2614" i="3"/>
  <c r="G2614" i="3"/>
  <c r="H2614" i="3"/>
  <c r="I2614" i="3"/>
  <c r="J2614" i="3"/>
  <c r="K2614" i="3"/>
  <c r="B2615" i="3"/>
  <c r="C2615" i="3"/>
  <c r="D2615" i="3"/>
  <c r="E2615" i="3"/>
  <c r="F2615" i="3"/>
  <c r="G2615" i="3"/>
  <c r="H2615" i="3"/>
  <c r="I2615" i="3"/>
  <c r="J2615" i="3"/>
  <c r="K2615" i="3"/>
  <c r="B2616" i="3"/>
  <c r="K2616" i="3" s="1"/>
  <c r="C2616" i="3"/>
  <c r="D2616" i="3"/>
  <c r="E2616" i="3"/>
  <c r="F2616" i="3"/>
  <c r="G2616" i="3"/>
  <c r="H2616" i="3"/>
  <c r="I2616" i="3"/>
  <c r="J2616" i="3"/>
  <c r="B2617" i="3"/>
  <c r="K2617" i="3" s="1"/>
  <c r="C2617" i="3"/>
  <c r="D2617" i="3"/>
  <c r="E2617" i="3"/>
  <c r="F2617" i="3"/>
  <c r="G2617" i="3"/>
  <c r="H2617" i="3"/>
  <c r="I2617" i="3"/>
  <c r="J2617" i="3"/>
  <c r="B2618" i="3"/>
  <c r="K2618" i="3" s="1"/>
  <c r="C2618" i="3"/>
  <c r="D2618" i="3"/>
  <c r="E2618" i="3"/>
  <c r="F2618" i="3"/>
  <c r="G2618" i="3"/>
  <c r="H2618" i="3"/>
  <c r="I2618" i="3"/>
  <c r="J2618" i="3"/>
  <c r="B2619" i="3"/>
  <c r="K2619" i="3" s="1"/>
  <c r="C2619" i="3"/>
  <c r="D2619" i="3"/>
  <c r="E2619" i="3"/>
  <c r="F2619" i="3"/>
  <c r="G2619" i="3"/>
  <c r="H2619" i="3"/>
  <c r="I2619" i="3"/>
  <c r="J2619" i="3"/>
  <c r="B2620" i="3"/>
  <c r="K2620" i="3" s="1"/>
  <c r="C2620" i="3"/>
  <c r="D2620" i="3"/>
  <c r="E2620" i="3"/>
  <c r="F2620" i="3"/>
  <c r="G2620" i="3"/>
  <c r="H2620" i="3"/>
  <c r="I2620" i="3"/>
  <c r="J2620" i="3"/>
  <c r="B2621" i="3"/>
  <c r="K2621" i="3" s="1"/>
  <c r="C2621" i="3"/>
  <c r="D2621" i="3"/>
  <c r="E2621" i="3"/>
  <c r="F2621" i="3"/>
  <c r="G2621" i="3"/>
  <c r="H2621" i="3"/>
  <c r="I2621" i="3"/>
  <c r="J2621" i="3"/>
  <c r="B2622" i="3"/>
  <c r="K2622" i="3" s="1"/>
  <c r="C2622" i="3"/>
  <c r="D2622" i="3"/>
  <c r="E2622" i="3"/>
  <c r="F2622" i="3"/>
  <c r="G2622" i="3"/>
  <c r="H2622" i="3"/>
  <c r="I2622" i="3"/>
  <c r="J2622" i="3"/>
  <c r="B2623" i="3"/>
  <c r="K2623" i="3" s="1"/>
  <c r="C2623" i="3"/>
  <c r="D2623" i="3"/>
  <c r="E2623" i="3"/>
  <c r="F2623" i="3"/>
  <c r="G2623" i="3"/>
  <c r="H2623" i="3"/>
  <c r="I2623" i="3"/>
  <c r="J2623" i="3"/>
  <c r="B2624" i="3"/>
  <c r="K2624" i="3" s="1"/>
  <c r="C2624" i="3"/>
  <c r="D2624" i="3"/>
  <c r="E2624" i="3"/>
  <c r="F2624" i="3"/>
  <c r="G2624" i="3"/>
  <c r="H2624" i="3"/>
  <c r="I2624" i="3"/>
  <c r="J2624" i="3"/>
  <c r="B2625" i="3"/>
  <c r="K2625" i="3" s="1"/>
  <c r="C2625" i="3"/>
  <c r="D2625" i="3"/>
  <c r="E2625" i="3"/>
  <c r="F2625" i="3"/>
  <c r="G2625" i="3"/>
  <c r="H2625" i="3"/>
  <c r="I2625" i="3"/>
  <c r="J2625" i="3"/>
  <c r="B2626" i="3"/>
  <c r="K2626" i="3" s="1"/>
  <c r="C2626" i="3"/>
  <c r="D2626" i="3"/>
  <c r="E2626" i="3"/>
  <c r="F2626" i="3"/>
  <c r="G2626" i="3"/>
  <c r="H2626" i="3"/>
  <c r="I2626" i="3"/>
  <c r="J2626" i="3"/>
  <c r="B2627" i="3"/>
  <c r="K2627" i="3" s="1"/>
  <c r="C2627" i="3"/>
  <c r="D2627" i="3"/>
  <c r="E2627" i="3"/>
  <c r="F2627" i="3"/>
  <c r="G2627" i="3"/>
  <c r="H2627" i="3"/>
  <c r="I2627" i="3"/>
  <c r="J2627" i="3"/>
  <c r="B2628" i="3"/>
  <c r="K2628" i="3" s="1"/>
  <c r="C2628" i="3"/>
  <c r="D2628" i="3"/>
  <c r="E2628" i="3"/>
  <c r="F2628" i="3"/>
  <c r="G2628" i="3"/>
  <c r="H2628" i="3"/>
  <c r="I2628" i="3"/>
  <c r="J2628" i="3"/>
  <c r="B2629" i="3"/>
  <c r="K2629" i="3" s="1"/>
  <c r="C2629" i="3"/>
  <c r="D2629" i="3"/>
  <c r="E2629" i="3"/>
  <c r="F2629" i="3"/>
  <c r="G2629" i="3"/>
  <c r="H2629" i="3"/>
  <c r="I2629" i="3"/>
  <c r="J2629" i="3"/>
  <c r="B2630" i="3"/>
  <c r="K2630" i="3" s="1"/>
  <c r="C2630" i="3"/>
  <c r="D2630" i="3"/>
  <c r="E2630" i="3"/>
  <c r="F2630" i="3"/>
  <c r="G2630" i="3"/>
  <c r="H2630" i="3"/>
  <c r="I2630" i="3"/>
  <c r="J2630" i="3"/>
  <c r="B2631" i="3"/>
  <c r="K2631" i="3" s="1"/>
  <c r="C2631" i="3"/>
  <c r="D2631" i="3"/>
  <c r="E2631" i="3"/>
  <c r="F2631" i="3"/>
  <c r="G2631" i="3"/>
  <c r="H2631" i="3"/>
  <c r="I2631" i="3"/>
  <c r="J2631" i="3"/>
  <c r="B2632" i="3"/>
  <c r="K2632" i="3" s="1"/>
  <c r="C2632" i="3"/>
  <c r="D2632" i="3"/>
  <c r="E2632" i="3"/>
  <c r="F2632" i="3"/>
  <c r="G2632" i="3"/>
  <c r="H2632" i="3"/>
  <c r="I2632" i="3"/>
  <c r="J2632" i="3"/>
  <c r="B2633" i="3"/>
  <c r="K2633" i="3" s="1"/>
  <c r="C2633" i="3"/>
  <c r="D2633" i="3"/>
  <c r="E2633" i="3"/>
  <c r="F2633" i="3"/>
  <c r="G2633" i="3"/>
  <c r="H2633" i="3"/>
  <c r="I2633" i="3"/>
  <c r="J2633" i="3"/>
  <c r="B2634" i="3"/>
  <c r="K2634" i="3" s="1"/>
  <c r="C2634" i="3"/>
  <c r="D2634" i="3"/>
  <c r="E2634" i="3"/>
  <c r="F2634" i="3"/>
  <c r="G2634" i="3"/>
  <c r="H2634" i="3"/>
  <c r="I2634" i="3"/>
  <c r="J2634" i="3"/>
  <c r="B2635" i="3"/>
  <c r="K2635" i="3" s="1"/>
  <c r="C2635" i="3"/>
  <c r="D2635" i="3"/>
  <c r="E2635" i="3"/>
  <c r="F2635" i="3"/>
  <c r="G2635" i="3"/>
  <c r="H2635" i="3"/>
  <c r="I2635" i="3"/>
  <c r="J2635" i="3"/>
  <c r="B2636" i="3"/>
  <c r="C2636" i="3"/>
  <c r="D2636" i="3"/>
  <c r="E2636" i="3"/>
  <c r="F2636" i="3"/>
  <c r="G2636" i="3"/>
  <c r="H2636" i="3"/>
  <c r="I2636" i="3"/>
  <c r="J2636" i="3"/>
  <c r="K2636" i="3"/>
  <c r="B2637" i="3"/>
  <c r="K2637" i="3" s="1"/>
  <c r="C2637" i="3"/>
  <c r="D2637" i="3"/>
  <c r="E2637" i="3"/>
  <c r="F2637" i="3"/>
  <c r="G2637" i="3"/>
  <c r="H2637" i="3"/>
  <c r="I2637" i="3"/>
  <c r="J2637" i="3"/>
  <c r="B2638" i="3"/>
  <c r="K2638" i="3" s="1"/>
  <c r="C2638" i="3"/>
  <c r="D2638" i="3"/>
  <c r="E2638" i="3"/>
  <c r="F2638" i="3"/>
  <c r="G2638" i="3"/>
  <c r="H2638" i="3"/>
  <c r="I2638" i="3"/>
  <c r="J2638" i="3"/>
  <c r="B2639" i="3"/>
  <c r="C2639" i="3"/>
  <c r="D2639" i="3"/>
  <c r="E2639" i="3"/>
  <c r="F2639" i="3"/>
  <c r="G2639" i="3"/>
  <c r="H2639" i="3"/>
  <c r="I2639" i="3"/>
  <c r="J2639" i="3"/>
  <c r="K2639" i="3"/>
  <c r="B2640" i="3"/>
  <c r="K2640" i="3" s="1"/>
  <c r="C2640" i="3"/>
  <c r="D2640" i="3"/>
  <c r="E2640" i="3"/>
  <c r="F2640" i="3"/>
  <c r="G2640" i="3"/>
  <c r="H2640" i="3"/>
  <c r="I2640" i="3"/>
  <c r="J2640" i="3"/>
  <c r="B2641" i="3"/>
  <c r="K2641" i="3" s="1"/>
  <c r="C2641" i="3"/>
  <c r="D2641" i="3"/>
  <c r="E2641" i="3"/>
  <c r="F2641" i="3"/>
  <c r="G2641" i="3"/>
  <c r="H2641" i="3"/>
  <c r="I2641" i="3"/>
  <c r="J2641" i="3"/>
  <c r="B2642" i="3"/>
  <c r="K2642" i="3" s="1"/>
  <c r="C2642" i="3"/>
  <c r="D2642" i="3"/>
  <c r="E2642" i="3"/>
  <c r="F2642" i="3"/>
  <c r="G2642" i="3"/>
  <c r="H2642" i="3"/>
  <c r="I2642" i="3"/>
  <c r="J2642" i="3"/>
  <c r="B2643" i="3"/>
  <c r="K2643" i="3" s="1"/>
  <c r="C2643" i="3"/>
  <c r="D2643" i="3"/>
  <c r="E2643" i="3"/>
  <c r="F2643" i="3"/>
  <c r="G2643" i="3"/>
  <c r="H2643" i="3"/>
  <c r="I2643" i="3"/>
  <c r="J2643" i="3"/>
  <c r="B2644" i="3"/>
  <c r="C2644" i="3"/>
  <c r="D2644" i="3"/>
  <c r="E2644" i="3"/>
  <c r="F2644" i="3"/>
  <c r="G2644" i="3"/>
  <c r="H2644" i="3"/>
  <c r="I2644" i="3"/>
  <c r="J2644" i="3"/>
  <c r="K2644" i="3"/>
  <c r="B2645" i="3"/>
  <c r="K2645" i="3" s="1"/>
  <c r="C2645" i="3"/>
  <c r="D2645" i="3"/>
  <c r="E2645" i="3"/>
  <c r="F2645" i="3"/>
  <c r="G2645" i="3"/>
  <c r="H2645" i="3"/>
  <c r="I2645" i="3"/>
  <c r="J2645" i="3"/>
  <c r="B2646" i="3"/>
  <c r="K2646" i="3" s="1"/>
  <c r="C2646" i="3"/>
  <c r="D2646" i="3"/>
  <c r="E2646" i="3"/>
  <c r="F2646" i="3"/>
  <c r="G2646" i="3"/>
  <c r="H2646" i="3"/>
  <c r="I2646" i="3"/>
  <c r="J2646" i="3"/>
  <c r="B2647" i="3"/>
  <c r="K2647" i="3" s="1"/>
  <c r="C2647" i="3"/>
  <c r="D2647" i="3"/>
  <c r="E2647" i="3"/>
  <c r="F2647" i="3"/>
  <c r="G2647" i="3"/>
  <c r="H2647" i="3"/>
  <c r="I2647" i="3"/>
  <c r="J2647" i="3"/>
  <c r="B2648" i="3"/>
  <c r="K2648" i="3" s="1"/>
  <c r="C2648" i="3"/>
  <c r="D2648" i="3"/>
  <c r="E2648" i="3"/>
  <c r="F2648" i="3"/>
  <c r="G2648" i="3"/>
  <c r="H2648" i="3"/>
  <c r="I2648" i="3"/>
  <c r="J2648" i="3"/>
  <c r="B2649" i="3"/>
  <c r="K2649" i="3" s="1"/>
  <c r="C2649" i="3"/>
  <c r="D2649" i="3"/>
  <c r="E2649" i="3"/>
  <c r="F2649" i="3"/>
  <c r="G2649" i="3"/>
  <c r="H2649" i="3"/>
  <c r="I2649" i="3"/>
  <c r="J2649" i="3"/>
  <c r="B2650" i="3"/>
  <c r="K2650" i="3" s="1"/>
  <c r="C2650" i="3"/>
  <c r="D2650" i="3"/>
  <c r="E2650" i="3"/>
  <c r="F2650" i="3"/>
  <c r="G2650" i="3"/>
  <c r="H2650" i="3"/>
  <c r="I2650" i="3"/>
  <c r="J2650" i="3"/>
  <c r="B2651" i="3"/>
  <c r="K2651" i="3" s="1"/>
  <c r="C2651" i="3"/>
  <c r="D2651" i="3"/>
  <c r="E2651" i="3"/>
  <c r="F2651" i="3"/>
  <c r="G2651" i="3"/>
  <c r="H2651" i="3"/>
  <c r="I2651" i="3"/>
  <c r="J2651" i="3"/>
  <c r="B2652" i="3"/>
  <c r="K2652" i="3" s="1"/>
  <c r="C2652" i="3"/>
  <c r="D2652" i="3"/>
  <c r="E2652" i="3"/>
  <c r="F2652" i="3"/>
  <c r="G2652" i="3"/>
  <c r="H2652" i="3"/>
  <c r="I2652" i="3"/>
  <c r="J2652" i="3"/>
  <c r="B2653" i="3"/>
  <c r="K2653" i="3" s="1"/>
  <c r="C2653" i="3"/>
  <c r="D2653" i="3"/>
  <c r="E2653" i="3"/>
  <c r="F2653" i="3"/>
  <c r="G2653" i="3"/>
  <c r="H2653" i="3"/>
  <c r="I2653" i="3"/>
  <c r="J2653" i="3"/>
  <c r="B2654" i="3"/>
  <c r="K2654" i="3" s="1"/>
  <c r="C2654" i="3"/>
  <c r="D2654" i="3"/>
  <c r="E2654" i="3"/>
  <c r="F2654" i="3"/>
  <c r="G2654" i="3"/>
  <c r="H2654" i="3"/>
  <c r="I2654" i="3"/>
  <c r="J2654" i="3"/>
  <c r="B2655" i="3"/>
  <c r="K2655" i="3" s="1"/>
  <c r="C2655" i="3"/>
  <c r="D2655" i="3"/>
  <c r="E2655" i="3"/>
  <c r="F2655" i="3"/>
  <c r="G2655" i="3"/>
  <c r="H2655" i="3"/>
  <c r="I2655" i="3"/>
  <c r="J2655" i="3"/>
  <c r="B2656" i="3"/>
  <c r="K2656" i="3" s="1"/>
  <c r="C2656" i="3"/>
  <c r="D2656" i="3"/>
  <c r="E2656" i="3"/>
  <c r="F2656" i="3"/>
  <c r="G2656" i="3"/>
  <c r="H2656" i="3"/>
  <c r="I2656" i="3"/>
  <c r="J2656" i="3"/>
  <c r="B2657" i="3"/>
  <c r="K2657" i="3" s="1"/>
  <c r="C2657" i="3"/>
  <c r="D2657" i="3"/>
  <c r="E2657" i="3"/>
  <c r="F2657" i="3"/>
  <c r="G2657" i="3"/>
  <c r="H2657" i="3"/>
  <c r="I2657" i="3"/>
  <c r="J2657" i="3"/>
  <c r="B2658" i="3"/>
  <c r="K2658" i="3" s="1"/>
  <c r="C2658" i="3"/>
  <c r="D2658" i="3"/>
  <c r="E2658" i="3"/>
  <c r="F2658" i="3"/>
  <c r="G2658" i="3"/>
  <c r="H2658" i="3"/>
  <c r="I2658" i="3"/>
  <c r="J2658" i="3"/>
  <c r="B2659" i="3"/>
  <c r="K2659" i="3" s="1"/>
  <c r="C2659" i="3"/>
  <c r="D2659" i="3"/>
  <c r="E2659" i="3"/>
  <c r="F2659" i="3"/>
  <c r="G2659" i="3"/>
  <c r="H2659" i="3"/>
  <c r="I2659" i="3"/>
  <c r="J2659" i="3"/>
  <c r="B2660" i="3"/>
  <c r="K2660" i="3" s="1"/>
  <c r="C2660" i="3"/>
  <c r="D2660" i="3"/>
  <c r="E2660" i="3"/>
  <c r="F2660" i="3"/>
  <c r="G2660" i="3"/>
  <c r="H2660" i="3"/>
  <c r="I2660" i="3"/>
  <c r="J2660" i="3"/>
  <c r="B2661" i="3"/>
  <c r="K2661" i="3" s="1"/>
  <c r="C2661" i="3"/>
  <c r="D2661" i="3"/>
  <c r="E2661" i="3"/>
  <c r="F2661" i="3"/>
  <c r="G2661" i="3"/>
  <c r="H2661" i="3"/>
  <c r="I2661" i="3"/>
  <c r="J2661" i="3"/>
  <c r="B2662" i="3"/>
  <c r="K2662" i="3" s="1"/>
  <c r="C2662" i="3"/>
  <c r="D2662" i="3"/>
  <c r="E2662" i="3"/>
  <c r="F2662" i="3"/>
  <c r="G2662" i="3"/>
  <c r="H2662" i="3"/>
  <c r="I2662" i="3"/>
  <c r="J2662" i="3"/>
  <c r="B2663" i="3"/>
  <c r="K2663" i="3" s="1"/>
  <c r="C2663" i="3"/>
  <c r="D2663" i="3"/>
  <c r="E2663" i="3"/>
  <c r="F2663" i="3"/>
  <c r="G2663" i="3"/>
  <c r="H2663" i="3"/>
  <c r="I2663" i="3"/>
  <c r="J2663" i="3"/>
  <c r="B2664" i="3"/>
  <c r="K2664" i="3" s="1"/>
  <c r="C2664" i="3"/>
  <c r="D2664" i="3"/>
  <c r="E2664" i="3"/>
  <c r="F2664" i="3"/>
  <c r="G2664" i="3"/>
  <c r="H2664" i="3"/>
  <c r="I2664" i="3"/>
  <c r="J2664" i="3"/>
  <c r="B2665" i="3"/>
  <c r="K2665" i="3" s="1"/>
  <c r="C2665" i="3"/>
  <c r="D2665" i="3"/>
  <c r="E2665" i="3"/>
  <c r="F2665" i="3"/>
  <c r="G2665" i="3"/>
  <c r="H2665" i="3"/>
  <c r="I2665" i="3"/>
  <c r="J2665" i="3"/>
  <c r="B2666" i="3"/>
  <c r="K2666" i="3" s="1"/>
  <c r="C2666" i="3"/>
  <c r="D2666" i="3"/>
  <c r="E2666" i="3"/>
  <c r="F2666" i="3"/>
  <c r="G2666" i="3"/>
  <c r="H2666" i="3"/>
  <c r="I2666" i="3"/>
  <c r="J2666" i="3"/>
  <c r="B2667" i="3"/>
  <c r="K2667" i="3" s="1"/>
  <c r="C2667" i="3"/>
  <c r="D2667" i="3"/>
  <c r="E2667" i="3"/>
  <c r="F2667" i="3"/>
  <c r="G2667" i="3"/>
  <c r="H2667" i="3"/>
  <c r="I2667" i="3"/>
  <c r="J2667" i="3"/>
  <c r="B2668" i="3"/>
  <c r="K2668" i="3" s="1"/>
  <c r="C2668" i="3"/>
  <c r="D2668" i="3"/>
  <c r="E2668" i="3"/>
  <c r="F2668" i="3"/>
  <c r="G2668" i="3"/>
  <c r="H2668" i="3"/>
  <c r="I2668" i="3"/>
  <c r="J2668" i="3"/>
  <c r="B2669" i="3"/>
  <c r="K2669" i="3" s="1"/>
  <c r="C2669" i="3"/>
  <c r="D2669" i="3"/>
  <c r="E2669" i="3"/>
  <c r="F2669" i="3"/>
  <c r="G2669" i="3"/>
  <c r="H2669" i="3"/>
  <c r="I2669" i="3"/>
  <c r="J2669" i="3"/>
  <c r="B2670" i="3"/>
  <c r="K2670" i="3" s="1"/>
  <c r="C2670" i="3"/>
  <c r="D2670" i="3"/>
  <c r="E2670" i="3"/>
  <c r="F2670" i="3"/>
  <c r="G2670" i="3"/>
  <c r="H2670" i="3"/>
  <c r="I2670" i="3"/>
  <c r="J2670" i="3"/>
  <c r="B2671" i="3"/>
  <c r="K2671" i="3" s="1"/>
  <c r="C2671" i="3"/>
  <c r="D2671" i="3"/>
  <c r="E2671" i="3"/>
  <c r="F2671" i="3"/>
  <c r="G2671" i="3"/>
  <c r="H2671" i="3"/>
  <c r="I2671" i="3"/>
  <c r="J2671" i="3"/>
  <c r="B2672" i="3"/>
  <c r="K2672" i="3" s="1"/>
  <c r="C2672" i="3"/>
  <c r="D2672" i="3"/>
  <c r="E2672" i="3"/>
  <c r="F2672" i="3"/>
  <c r="G2672" i="3"/>
  <c r="H2672" i="3"/>
  <c r="I2672" i="3"/>
  <c r="J2672" i="3"/>
  <c r="B2673" i="3"/>
  <c r="K2673" i="3" s="1"/>
  <c r="C2673" i="3"/>
  <c r="D2673" i="3"/>
  <c r="E2673" i="3"/>
  <c r="F2673" i="3"/>
  <c r="G2673" i="3"/>
  <c r="H2673" i="3"/>
  <c r="I2673" i="3"/>
  <c r="J2673" i="3"/>
  <c r="B2674" i="3"/>
  <c r="K2674" i="3" s="1"/>
  <c r="C2674" i="3"/>
  <c r="D2674" i="3"/>
  <c r="E2674" i="3"/>
  <c r="F2674" i="3"/>
  <c r="G2674" i="3"/>
  <c r="H2674" i="3"/>
  <c r="I2674" i="3"/>
  <c r="J2674" i="3"/>
  <c r="B2675" i="3"/>
  <c r="K2675" i="3" s="1"/>
  <c r="C2675" i="3"/>
  <c r="D2675" i="3"/>
  <c r="E2675" i="3"/>
  <c r="F2675" i="3"/>
  <c r="G2675" i="3"/>
  <c r="H2675" i="3"/>
  <c r="I2675" i="3"/>
  <c r="J2675" i="3"/>
  <c r="B2676" i="3"/>
  <c r="K2676" i="3" s="1"/>
  <c r="C2676" i="3"/>
  <c r="D2676" i="3"/>
  <c r="E2676" i="3"/>
  <c r="F2676" i="3"/>
  <c r="G2676" i="3"/>
  <c r="H2676" i="3"/>
  <c r="I2676" i="3"/>
  <c r="J2676" i="3"/>
  <c r="B2677" i="3"/>
  <c r="K2677" i="3" s="1"/>
  <c r="C2677" i="3"/>
  <c r="D2677" i="3"/>
  <c r="E2677" i="3"/>
  <c r="F2677" i="3"/>
  <c r="G2677" i="3"/>
  <c r="H2677" i="3"/>
  <c r="I2677" i="3"/>
  <c r="J2677" i="3"/>
  <c r="B2678" i="3"/>
  <c r="K2678" i="3" s="1"/>
  <c r="C2678" i="3"/>
  <c r="D2678" i="3"/>
  <c r="E2678" i="3"/>
  <c r="F2678" i="3"/>
  <c r="G2678" i="3"/>
  <c r="H2678" i="3"/>
  <c r="I2678" i="3"/>
  <c r="J2678" i="3"/>
  <c r="B2679" i="3"/>
  <c r="K2679" i="3" s="1"/>
  <c r="C2679" i="3"/>
  <c r="D2679" i="3"/>
  <c r="E2679" i="3"/>
  <c r="F2679" i="3"/>
  <c r="G2679" i="3"/>
  <c r="H2679" i="3"/>
  <c r="I2679" i="3"/>
  <c r="J2679" i="3"/>
  <c r="B2680" i="3"/>
  <c r="K2680" i="3" s="1"/>
  <c r="C2680" i="3"/>
  <c r="D2680" i="3"/>
  <c r="E2680" i="3"/>
  <c r="F2680" i="3"/>
  <c r="G2680" i="3"/>
  <c r="H2680" i="3"/>
  <c r="I2680" i="3"/>
  <c r="J2680" i="3"/>
  <c r="B2681" i="3"/>
  <c r="K2681" i="3" s="1"/>
  <c r="C2681" i="3"/>
  <c r="D2681" i="3"/>
  <c r="E2681" i="3"/>
  <c r="F2681" i="3"/>
  <c r="G2681" i="3"/>
  <c r="H2681" i="3"/>
  <c r="I2681" i="3"/>
  <c r="J2681" i="3"/>
  <c r="B2682" i="3"/>
  <c r="K2682" i="3" s="1"/>
  <c r="C2682" i="3"/>
  <c r="D2682" i="3"/>
  <c r="E2682" i="3"/>
  <c r="F2682" i="3"/>
  <c r="G2682" i="3"/>
  <c r="H2682" i="3"/>
  <c r="I2682" i="3"/>
  <c r="J2682" i="3"/>
  <c r="B2683" i="3"/>
  <c r="K2683" i="3" s="1"/>
  <c r="C2683" i="3"/>
  <c r="D2683" i="3"/>
  <c r="E2683" i="3"/>
  <c r="F2683" i="3"/>
  <c r="G2683" i="3"/>
  <c r="H2683" i="3"/>
  <c r="I2683" i="3"/>
  <c r="J2683" i="3"/>
  <c r="B2684" i="3"/>
  <c r="K2684" i="3" s="1"/>
  <c r="C2684" i="3"/>
  <c r="D2684" i="3"/>
  <c r="E2684" i="3"/>
  <c r="F2684" i="3"/>
  <c r="G2684" i="3"/>
  <c r="H2684" i="3"/>
  <c r="I2684" i="3"/>
  <c r="J2684" i="3"/>
  <c r="B2685" i="3"/>
  <c r="K2685" i="3" s="1"/>
  <c r="C2685" i="3"/>
  <c r="D2685" i="3"/>
  <c r="E2685" i="3"/>
  <c r="F2685" i="3"/>
  <c r="G2685" i="3"/>
  <c r="H2685" i="3"/>
  <c r="I2685" i="3"/>
  <c r="J2685" i="3"/>
  <c r="B2686" i="3"/>
  <c r="C2686" i="3"/>
  <c r="D2686" i="3"/>
  <c r="E2686" i="3"/>
  <c r="F2686" i="3"/>
  <c r="G2686" i="3"/>
  <c r="H2686" i="3"/>
  <c r="I2686" i="3"/>
  <c r="J2686" i="3"/>
  <c r="K2686" i="3"/>
  <c r="B2687" i="3"/>
  <c r="K2687" i="3" s="1"/>
  <c r="C2687" i="3"/>
  <c r="D2687" i="3"/>
  <c r="E2687" i="3"/>
  <c r="F2687" i="3"/>
  <c r="G2687" i="3"/>
  <c r="H2687" i="3"/>
  <c r="I2687" i="3"/>
  <c r="J2687" i="3"/>
  <c r="B2688" i="3"/>
  <c r="K2688" i="3" s="1"/>
  <c r="C2688" i="3"/>
  <c r="D2688" i="3"/>
  <c r="E2688" i="3"/>
  <c r="F2688" i="3"/>
  <c r="G2688" i="3"/>
  <c r="H2688" i="3"/>
  <c r="I2688" i="3"/>
  <c r="J2688" i="3"/>
  <c r="B2689" i="3"/>
  <c r="K2689" i="3" s="1"/>
  <c r="C2689" i="3"/>
  <c r="D2689" i="3"/>
  <c r="E2689" i="3"/>
  <c r="F2689" i="3"/>
  <c r="G2689" i="3"/>
  <c r="H2689" i="3"/>
  <c r="I2689" i="3"/>
  <c r="J2689" i="3"/>
  <c r="B2690" i="3"/>
  <c r="K2690" i="3" s="1"/>
  <c r="C2690" i="3"/>
  <c r="D2690" i="3"/>
  <c r="E2690" i="3"/>
  <c r="F2690" i="3"/>
  <c r="G2690" i="3"/>
  <c r="H2690" i="3"/>
  <c r="I2690" i="3"/>
  <c r="J2690" i="3"/>
  <c r="B2691" i="3"/>
  <c r="K2691" i="3" s="1"/>
  <c r="C2691" i="3"/>
  <c r="D2691" i="3"/>
  <c r="E2691" i="3"/>
  <c r="F2691" i="3"/>
  <c r="G2691" i="3"/>
  <c r="H2691" i="3"/>
  <c r="I2691" i="3"/>
  <c r="J2691" i="3"/>
  <c r="B2692" i="3"/>
  <c r="K2692" i="3" s="1"/>
  <c r="C2692" i="3"/>
  <c r="D2692" i="3"/>
  <c r="E2692" i="3"/>
  <c r="F2692" i="3"/>
  <c r="G2692" i="3"/>
  <c r="H2692" i="3"/>
  <c r="I2692" i="3"/>
  <c r="J2692" i="3"/>
  <c r="B2693" i="3"/>
  <c r="K2693" i="3" s="1"/>
  <c r="C2693" i="3"/>
  <c r="D2693" i="3"/>
  <c r="E2693" i="3"/>
  <c r="F2693" i="3"/>
  <c r="G2693" i="3"/>
  <c r="H2693" i="3"/>
  <c r="I2693" i="3"/>
  <c r="J2693" i="3"/>
  <c r="B2694" i="3"/>
  <c r="K2694" i="3" s="1"/>
  <c r="C2694" i="3"/>
  <c r="D2694" i="3"/>
  <c r="E2694" i="3"/>
  <c r="F2694" i="3"/>
  <c r="G2694" i="3"/>
  <c r="H2694" i="3"/>
  <c r="I2694" i="3"/>
  <c r="J2694" i="3"/>
  <c r="B2695" i="3"/>
  <c r="K2695" i="3" s="1"/>
  <c r="C2695" i="3"/>
  <c r="D2695" i="3"/>
  <c r="E2695" i="3"/>
  <c r="F2695" i="3"/>
  <c r="G2695" i="3"/>
  <c r="H2695" i="3"/>
  <c r="I2695" i="3"/>
  <c r="J2695" i="3"/>
  <c r="B2696" i="3"/>
  <c r="K2696" i="3" s="1"/>
  <c r="C2696" i="3"/>
  <c r="D2696" i="3"/>
  <c r="E2696" i="3"/>
  <c r="F2696" i="3"/>
  <c r="G2696" i="3"/>
  <c r="H2696" i="3"/>
  <c r="I2696" i="3"/>
  <c r="J2696" i="3"/>
  <c r="B2697" i="3"/>
  <c r="K2697" i="3" s="1"/>
  <c r="C2697" i="3"/>
  <c r="D2697" i="3"/>
  <c r="E2697" i="3"/>
  <c r="F2697" i="3"/>
  <c r="G2697" i="3"/>
  <c r="H2697" i="3"/>
  <c r="I2697" i="3"/>
  <c r="J2697" i="3"/>
  <c r="B2698" i="3"/>
  <c r="K2698" i="3" s="1"/>
  <c r="C2698" i="3"/>
  <c r="D2698" i="3"/>
  <c r="E2698" i="3"/>
  <c r="F2698" i="3"/>
  <c r="G2698" i="3"/>
  <c r="H2698" i="3"/>
  <c r="I2698" i="3"/>
  <c r="J2698" i="3"/>
  <c r="B2699" i="3"/>
  <c r="K2699" i="3" s="1"/>
  <c r="C2699" i="3"/>
  <c r="D2699" i="3"/>
  <c r="E2699" i="3"/>
  <c r="F2699" i="3"/>
  <c r="G2699" i="3"/>
  <c r="H2699" i="3"/>
  <c r="I2699" i="3"/>
  <c r="J2699" i="3"/>
  <c r="B2700" i="3"/>
  <c r="K2700" i="3" s="1"/>
  <c r="C2700" i="3"/>
  <c r="D2700" i="3"/>
  <c r="E2700" i="3"/>
  <c r="F2700" i="3"/>
  <c r="G2700" i="3"/>
  <c r="H2700" i="3"/>
  <c r="I2700" i="3"/>
  <c r="J2700" i="3"/>
  <c r="B2701" i="3"/>
  <c r="K2701" i="3" s="1"/>
  <c r="C2701" i="3"/>
  <c r="D2701" i="3"/>
  <c r="E2701" i="3"/>
  <c r="F2701" i="3"/>
  <c r="G2701" i="3"/>
  <c r="H2701" i="3"/>
  <c r="I2701" i="3"/>
  <c r="J2701" i="3"/>
  <c r="B2702" i="3"/>
  <c r="K2702" i="3" s="1"/>
  <c r="C2702" i="3"/>
  <c r="D2702" i="3"/>
  <c r="E2702" i="3"/>
  <c r="F2702" i="3"/>
  <c r="G2702" i="3"/>
  <c r="H2702" i="3"/>
  <c r="I2702" i="3"/>
  <c r="J2702" i="3"/>
  <c r="B2703" i="3"/>
  <c r="K2703" i="3" s="1"/>
  <c r="C2703" i="3"/>
  <c r="D2703" i="3"/>
  <c r="E2703" i="3"/>
  <c r="F2703" i="3"/>
  <c r="G2703" i="3"/>
  <c r="H2703" i="3"/>
  <c r="I2703" i="3"/>
  <c r="J2703" i="3"/>
  <c r="B2704" i="3"/>
  <c r="K2704" i="3" s="1"/>
  <c r="C2704" i="3"/>
  <c r="D2704" i="3"/>
  <c r="E2704" i="3"/>
  <c r="F2704" i="3"/>
  <c r="G2704" i="3"/>
  <c r="H2704" i="3"/>
  <c r="I2704" i="3"/>
  <c r="J2704" i="3"/>
  <c r="B2705" i="3"/>
  <c r="K2705" i="3" s="1"/>
  <c r="C2705" i="3"/>
  <c r="D2705" i="3"/>
  <c r="E2705" i="3"/>
  <c r="F2705" i="3"/>
  <c r="G2705" i="3"/>
  <c r="H2705" i="3"/>
  <c r="I2705" i="3"/>
  <c r="J2705" i="3"/>
  <c r="B2706" i="3"/>
  <c r="K2706" i="3" s="1"/>
  <c r="C2706" i="3"/>
  <c r="D2706" i="3"/>
  <c r="E2706" i="3"/>
  <c r="F2706" i="3"/>
  <c r="G2706" i="3"/>
  <c r="H2706" i="3"/>
  <c r="I2706" i="3"/>
  <c r="J2706" i="3"/>
  <c r="B2707" i="3"/>
  <c r="K2707" i="3" s="1"/>
  <c r="C2707" i="3"/>
  <c r="D2707" i="3"/>
  <c r="E2707" i="3"/>
  <c r="F2707" i="3"/>
  <c r="G2707" i="3"/>
  <c r="H2707" i="3"/>
  <c r="I2707" i="3"/>
  <c r="J2707" i="3"/>
  <c r="B2708" i="3"/>
  <c r="K2708" i="3" s="1"/>
  <c r="C2708" i="3"/>
  <c r="D2708" i="3"/>
  <c r="E2708" i="3"/>
  <c r="F2708" i="3"/>
  <c r="G2708" i="3"/>
  <c r="H2708" i="3"/>
  <c r="I2708" i="3"/>
  <c r="J2708" i="3"/>
  <c r="B2709" i="3"/>
  <c r="K2709" i="3" s="1"/>
  <c r="C2709" i="3"/>
  <c r="D2709" i="3"/>
  <c r="E2709" i="3"/>
  <c r="F2709" i="3"/>
  <c r="G2709" i="3"/>
  <c r="H2709" i="3"/>
  <c r="I2709" i="3"/>
  <c r="J2709" i="3"/>
  <c r="B2710" i="3"/>
  <c r="K2710" i="3" s="1"/>
  <c r="C2710" i="3"/>
  <c r="D2710" i="3"/>
  <c r="E2710" i="3"/>
  <c r="F2710" i="3"/>
  <c r="G2710" i="3"/>
  <c r="H2710" i="3"/>
  <c r="I2710" i="3"/>
  <c r="J2710" i="3"/>
  <c r="B2711" i="3"/>
  <c r="K2711" i="3" s="1"/>
  <c r="C2711" i="3"/>
  <c r="D2711" i="3"/>
  <c r="E2711" i="3"/>
  <c r="F2711" i="3"/>
  <c r="G2711" i="3"/>
  <c r="H2711" i="3"/>
  <c r="I2711" i="3"/>
  <c r="J2711" i="3"/>
  <c r="B2712" i="3"/>
  <c r="K2712" i="3" s="1"/>
  <c r="C2712" i="3"/>
  <c r="D2712" i="3"/>
  <c r="E2712" i="3"/>
  <c r="F2712" i="3"/>
  <c r="G2712" i="3"/>
  <c r="H2712" i="3"/>
  <c r="I2712" i="3"/>
  <c r="J2712" i="3"/>
  <c r="B2713" i="3"/>
  <c r="K2713" i="3" s="1"/>
  <c r="C2713" i="3"/>
  <c r="D2713" i="3"/>
  <c r="E2713" i="3"/>
  <c r="F2713" i="3"/>
  <c r="G2713" i="3"/>
  <c r="H2713" i="3"/>
  <c r="I2713" i="3"/>
  <c r="J2713" i="3"/>
  <c r="B2714" i="3"/>
  <c r="K2714" i="3" s="1"/>
  <c r="C2714" i="3"/>
  <c r="D2714" i="3"/>
  <c r="E2714" i="3"/>
  <c r="F2714" i="3"/>
  <c r="G2714" i="3"/>
  <c r="H2714" i="3"/>
  <c r="I2714" i="3"/>
  <c r="J2714" i="3"/>
  <c r="B2715" i="3"/>
  <c r="K2715" i="3" s="1"/>
  <c r="C2715" i="3"/>
  <c r="D2715" i="3"/>
  <c r="E2715" i="3"/>
  <c r="F2715" i="3"/>
  <c r="G2715" i="3"/>
  <c r="H2715" i="3"/>
  <c r="I2715" i="3"/>
  <c r="J2715" i="3"/>
  <c r="B2716" i="3"/>
  <c r="K2716" i="3" s="1"/>
  <c r="C2716" i="3"/>
  <c r="D2716" i="3"/>
  <c r="E2716" i="3"/>
  <c r="F2716" i="3"/>
  <c r="G2716" i="3"/>
  <c r="H2716" i="3"/>
  <c r="I2716" i="3"/>
  <c r="J2716" i="3"/>
  <c r="B2717" i="3"/>
  <c r="K2717" i="3" s="1"/>
  <c r="C2717" i="3"/>
  <c r="D2717" i="3"/>
  <c r="E2717" i="3"/>
  <c r="F2717" i="3"/>
  <c r="G2717" i="3"/>
  <c r="H2717" i="3"/>
  <c r="I2717" i="3"/>
  <c r="J2717" i="3"/>
  <c r="B2718" i="3"/>
  <c r="K2718" i="3" s="1"/>
  <c r="C2718" i="3"/>
  <c r="D2718" i="3"/>
  <c r="E2718" i="3"/>
  <c r="F2718" i="3"/>
  <c r="G2718" i="3"/>
  <c r="H2718" i="3"/>
  <c r="I2718" i="3"/>
  <c r="J2718" i="3"/>
  <c r="B2719" i="3"/>
  <c r="K2719" i="3" s="1"/>
  <c r="C2719" i="3"/>
  <c r="D2719" i="3"/>
  <c r="E2719" i="3"/>
  <c r="F2719" i="3"/>
  <c r="G2719" i="3"/>
  <c r="H2719" i="3"/>
  <c r="I2719" i="3"/>
  <c r="J2719" i="3"/>
  <c r="B2720" i="3"/>
  <c r="K2720" i="3" s="1"/>
  <c r="C2720" i="3"/>
  <c r="D2720" i="3"/>
  <c r="E2720" i="3"/>
  <c r="F2720" i="3"/>
  <c r="G2720" i="3"/>
  <c r="H2720" i="3"/>
  <c r="I2720" i="3"/>
  <c r="J2720" i="3"/>
  <c r="B2721" i="3"/>
  <c r="K2721" i="3" s="1"/>
  <c r="C2721" i="3"/>
  <c r="D2721" i="3"/>
  <c r="E2721" i="3"/>
  <c r="F2721" i="3"/>
  <c r="G2721" i="3"/>
  <c r="H2721" i="3"/>
  <c r="I2721" i="3"/>
  <c r="J2721" i="3"/>
  <c r="B2722" i="3"/>
  <c r="K2722" i="3" s="1"/>
  <c r="C2722" i="3"/>
  <c r="D2722" i="3"/>
  <c r="E2722" i="3"/>
  <c r="F2722" i="3"/>
  <c r="G2722" i="3"/>
  <c r="H2722" i="3"/>
  <c r="I2722" i="3"/>
  <c r="J2722" i="3"/>
  <c r="B2723" i="3"/>
  <c r="K2723" i="3" s="1"/>
  <c r="C2723" i="3"/>
  <c r="D2723" i="3"/>
  <c r="E2723" i="3"/>
  <c r="F2723" i="3"/>
  <c r="G2723" i="3"/>
  <c r="H2723" i="3"/>
  <c r="I2723" i="3"/>
  <c r="J2723" i="3"/>
  <c r="B2724" i="3"/>
  <c r="K2724" i="3" s="1"/>
  <c r="C2724" i="3"/>
  <c r="D2724" i="3"/>
  <c r="E2724" i="3"/>
  <c r="F2724" i="3"/>
  <c r="G2724" i="3"/>
  <c r="H2724" i="3"/>
  <c r="I2724" i="3"/>
  <c r="J2724" i="3"/>
  <c r="B2725" i="3"/>
  <c r="K2725" i="3" s="1"/>
  <c r="C2725" i="3"/>
  <c r="D2725" i="3"/>
  <c r="E2725" i="3"/>
  <c r="F2725" i="3"/>
  <c r="G2725" i="3"/>
  <c r="H2725" i="3"/>
  <c r="I2725" i="3"/>
  <c r="J2725" i="3"/>
  <c r="B2726" i="3"/>
  <c r="K2726" i="3" s="1"/>
  <c r="C2726" i="3"/>
  <c r="D2726" i="3"/>
  <c r="E2726" i="3"/>
  <c r="F2726" i="3"/>
  <c r="G2726" i="3"/>
  <c r="H2726" i="3"/>
  <c r="I2726" i="3"/>
  <c r="J2726" i="3"/>
  <c r="B2727" i="3"/>
  <c r="K2727" i="3" s="1"/>
  <c r="C2727" i="3"/>
  <c r="D2727" i="3"/>
  <c r="E2727" i="3"/>
  <c r="F2727" i="3"/>
  <c r="G2727" i="3"/>
  <c r="H2727" i="3"/>
  <c r="I2727" i="3"/>
  <c r="J2727" i="3"/>
  <c r="B2728" i="3"/>
  <c r="K2728" i="3" s="1"/>
  <c r="C2728" i="3"/>
  <c r="D2728" i="3"/>
  <c r="E2728" i="3"/>
  <c r="F2728" i="3"/>
  <c r="G2728" i="3"/>
  <c r="H2728" i="3"/>
  <c r="I2728" i="3"/>
  <c r="J2728" i="3"/>
  <c r="B2729" i="3"/>
  <c r="K2729" i="3" s="1"/>
  <c r="C2729" i="3"/>
  <c r="D2729" i="3"/>
  <c r="E2729" i="3"/>
  <c r="F2729" i="3"/>
  <c r="G2729" i="3"/>
  <c r="H2729" i="3"/>
  <c r="I2729" i="3"/>
  <c r="J2729" i="3"/>
  <c r="B2730" i="3"/>
  <c r="K2730" i="3" s="1"/>
  <c r="C2730" i="3"/>
  <c r="D2730" i="3"/>
  <c r="E2730" i="3"/>
  <c r="F2730" i="3"/>
  <c r="G2730" i="3"/>
  <c r="H2730" i="3"/>
  <c r="I2730" i="3"/>
  <c r="J2730" i="3"/>
  <c r="B2731" i="3"/>
  <c r="C2731" i="3"/>
  <c r="D2731" i="3"/>
  <c r="E2731" i="3"/>
  <c r="F2731" i="3"/>
  <c r="G2731" i="3"/>
  <c r="H2731" i="3"/>
  <c r="I2731" i="3"/>
  <c r="J2731" i="3"/>
  <c r="K2731" i="3"/>
  <c r="B2732" i="3"/>
  <c r="K2732" i="3" s="1"/>
  <c r="C2732" i="3"/>
  <c r="D2732" i="3"/>
  <c r="E2732" i="3"/>
  <c r="F2732" i="3"/>
  <c r="G2732" i="3"/>
  <c r="H2732" i="3"/>
  <c r="I2732" i="3"/>
  <c r="J2732" i="3"/>
  <c r="B2733" i="3"/>
  <c r="K2733" i="3" s="1"/>
  <c r="C2733" i="3"/>
  <c r="D2733" i="3"/>
  <c r="E2733" i="3"/>
  <c r="F2733" i="3"/>
  <c r="G2733" i="3"/>
  <c r="H2733" i="3"/>
  <c r="I2733" i="3"/>
  <c r="J2733" i="3"/>
  <c r="B2734" i="3"/>
  <c r="K2734" i="3" s="1"/>
  <c r="C2734" i="3"/>
  <c r="D2734" i="3"/>
  <c r="E2734" i="3"/>
  <c r="F2734" i="3"/>
  <c r="G2734" i="3"/>
  <c r="H2734" i="3"/>
  <c r="I2734" i="3"/>
  <c r="J2734" i="3"/>
  <c r="B2735" i="3"/>
  <c r="K2735" i="3" s="1"/>
  <c r="C2735" i="3"/>
  <c r="D2735" i="3"/>
  <c r="E2735" i="3"/>
  <c r="F2735" i="3"/>
  <c r="G2735" i="3"/>
  <c r="H2735" i="3"/>
  <c r="I2735" i="3"/>
  <c r="J2735" i="3"/>
  <c r="B2736" i="3"/>
  <c r="K2736" i="3" s="1"/>
  <c r="C2736" i="3"/>
  <c r="D2736" i="3"/>
  <c r="E2736" i="3"/>
  <c r="F2736" i="3"/>
  <c r="G2736" i="3"/>
  <c r="H2736" i="3"/>
  <c r="I2736" i="3"/>
  <c r="J2736" i="3"/>
  <c r="B2737" i="3"/>
  <c r="K2737" i="3" s="1"/>
  <c r="C2737" i="3"/>
  <c r="D2737" i="3"/>
  <c r="E2737" i="3"/>
  <c r="F2737" i="3"/>
  <c r="G2737" i="3"/>
  <c r="H2737" i="3"/>
  <c r="I2737" i="3"/>
  <c r="J2737" i="3"/>
  <c r="B2738" i="3"/>
  <c r="K2738" i="3" s="1"/>
  <c r="C2738" i="3"/>
  <c r="D2738" i="3"/>
  <c r="E2738" i="3"/>
  <c r="F2738" i="3"/>
  <c r="G2738" i="3"/>
  <c r="H2738" i="3"/>
  <c r="I2738" i="3"/>
  <c r="J2738" i="3"/>
  <c r="B2739" i="3"/>
  <c r="K2739" i="3" s="1"/>
  <c r="C2739" i="3"/>
  <c r="D2739" i="3"/>
  <c r="E2739" i="3"/>
  <c r="F2739" i="3"/>
  <c r="G2739" i="3"/>
  <c r="H2739" i="3"/>
  <c r="I2739" i="3"/>
  <c r="J2739" i="3"/>
  <c r="B2740" i="3"/>
  <c r="K2740" i="3" s="1"/>
  <c r="C2740" i="3"/>
  <c r="D2740" i="3"/>
  <c r="E2740" i="3"/>
  <c r="F2740" i="3"/>
  <c r="G2740" i="3"/>
  <c r="H2740" i="3"/>
  <c r="I2740" i="3"/>
  <c r="J2740" i="3"/>
  <c r="B2741" i="3"/>
  <c r="K2741" i="3" s="1"/>
  <c r="C2741" i="3"/>
  <c r="D2741" i="3"/>
  <c r="E2741" i="3"/>
  <c r="F2741" i="3"/>
  <c r="G2741" i="3"/>
  <c r="H2741" i="3"/>
  <c r="I2741" i="3"/>
  <c r="J2741" i="3"/>
  <c r="B2742" i="3"/>
  <c r="K2742" i="3" s="1"/>
  <c r="C2742" i="3"/>
  <c r="D2742" i="3"/>
  <c r="E2742" i="3"/>
  <c r="F2742" i="3"/>
  <c r="G2742" i="3"/>
  <c r="H2742" i="3"/>
  <c r="I2742" i="3"/>
  <c r="J2742" i="3"/>
  <c r="B2743" i="3"/>
  <c r="K2743" i="3" s="1"/>
  <c r="C2743" i="3"/>
  <c r="D2743" i="3"/>
  <c r="E2743" i="3"/>
  <c r="F2743" i="3"/>
  <c r="G2743" i="3"/>
  <c r="H2743" i="3"/>
  <c r="I2743" i="3"/>
  <c r="J2743" i="3"/>
  <c r="B2744" i="3"/>
  <c r="K2744" i="3" s="1"/>
  <c r="C2744" i="3"/>
  <c r="D2744" i="3"/>
  <c r="E2744" i="3"/>
  <c r="F2744" i="3"/>
  <c r="G2744" i="3"/>
  <c r="H2744" i="3"/>
  <c r="I2744" i="3"/>
  <c r="J2744" i="3"/>
  <c r="B2745" i="3"/>
  <c r="K2745" i="3" s="1"/>
  <c r="C2745" i="3"/>
  <c r="D2745" i="3"/>
  <c r="E2745" i="3"/>
  <c r="F2745" i="3"/>
  <c r="G2745" i="3"/>
  <c r="H2745" i="3"/>
  <c r="I2745" i="3"/>
  <c r="J2745" i="3"/>
  <c r="B2746" i="3"/>
  <c r="K2746" i="3" s="1"/>
  <c r="C2746" i="3"/>
  <c r="D2746" i="3"/>
  <c r="E2746" i="3"/>
  <c r="F2746" i="3"/>
  <c r="G2746" i="3"/>
  <c r="H2746" i="3"/>
  <c r="I2746" i="3"/>
  <c r="J2746" i="3"/>
  <c r="B2747" i="3"/>
  <c r="K2747" i="3" s="1"/>
  <c r="C2747" i="3"/>
  <c r="D2747" i="3"/>
  <c r="E2747" i="3"/>
  <c r="F2747" i="3"/>
  <c r="G2747" i="3"/>
  <c r="H2747" i="3"/>
  <c r="I2747" i="3"/>
  <c r="J2747" i="3"/>
  <c r="B2748" i="3"/>
  <c r="K2748" i="3" s="1"/>
  <c r="C2748" i="3"/>
  <c r="D2748" i="3"/>
  <c r="E2748" i="3"/>
  <c r="F2748" i="3"/>
  <c r="G2748" i="3"/>
  <c r="H2748" i="3"/>
  <c r="I2748" i="3"/>
  <c r="J2748" i="3"/>
  <c r="B2749" i="3"/>
  <c r="K2749" i="3" s="1"/>
  <c r="C2749" i="3"/>
  <c r="D2749" i="3"/>
  <c r="E2749" i="3"/>
  <c r="F2749" i="3"/>
  <c r="G2749" i="3"/>
  <c r="H2749" i="3"/>
  <c r="I2749" i="3"/>
  <c r="J2749" i="3"/>
  <c r="B2750" i="3"/>
  <c r="K2750" i="3" s="1"/>
  <c r="C2750" i="3"/>
  <c r="D2750" i="3"/>
  <c r="E2750" i="3"/>
  <c r="F2750" i="3"/>
  <c r="G2750" i="3"/>
  <c r="H2750" i="3"/>
  <c r="I2750" i="3"/>
  <c r="J2750" i="3"/>
  <c r="B2751" i="3"/>
  <c r="C2751" i="3"/>
  <c r="D2751" i="3"/>
  <c r="E2751" i="3"/>
  <c r="F2751" i="3"/>
  <c r="G2751" i="3"/>
  <c r="H2751" i="3"/>
  <c r="I2751" i="3"/>
  <c r="J2751" i="3"/>
  <c r="K2751" i="3"/>
  <c r="B2752" i="3"/>
  <c r="C2752" i="3"/>
  <c r="D2752" i="3"/>
  <c r="E2752" i="3"/>
  <c r="F2752" i="3"/>
  <c r="G2752" i="3"/>
  <c r="H2752" i="3"/>
  <c r="I2752" i="3"/>
  <c r="J2752" i="3"/>
  <c r="K2752" i="3"/>
  <c r="B2753" i="3"/>
  <c r="K2753" i="3" s="1"/>
  <c r="C2753" i="3"/>
  <c r="D2753" i="3"/>
  <c r="E2753" i="3"/>
  <c r="F2753" i="3"/>
  <c r="G2753" i="3"/>
  <c r="H2753" i="3"/>
  <c r="I2753" i="3"/>
  <c r="J2753" i="3"/>
  <c r="B2754" i="3"/>
  <c r="K2754" i="3" s="1"/>
  <c r="C2754" i="3"/>
  <c r="D2754" i="3"/>
  <c r="E2754" i="3"/>
  <c r="F2754" i="3"/>
  <c r="G2754" i="3"/>
  <c r="H2754" i="3"/>
  <c r="I2754" i="3"/>
  <c r="J2754" i="3"/>
  <c r="B2755" i="3"/>
  <c r="K2755" i="3" s="1"/>
  <c r="C2755" i="3"/>
  <c r="D2755" i="3"/>
  <c r="E2755" i="3"/>
  <c r="F2755" i="3"/>
  <c r="G2755" i="3"/>
  <c r="H2755" i="3"/>
  <c r="I2755" i="3"/>
  <c r="J2755" i="3"/>
  <c r="B2756" i="3"/>
  <c r="K2756" i="3" s="1"/>
  <c r="C2756" i="3"/>
  <c r="D2756" i="3"/>
  <c r="E2756" i="3"/>
  <c r="F2756" i="3"/>
  <c r="G2756" i="3"/>
  <c r="H2756" i="3"/>
  <c r="I2756" i="3"/>
  <c r="J2756" i="3"/>
  <c r="B2757" i="3"/>
  <c r="K2757" i="3" s="1"/>
  <c r="C2757" i="3"/>
  <c r="D2757" i="3"/>
  <c r="E2757" i="3"/>
  <c r="F2757" i="3"/>
  <c r="G2757" i="3"/>
  <c r="H2757" i="3"/>
  <c r="I2757" i="3"/>
  <c r="J2757" i="3"/>
  <c r="B2758" i="3"/>
  <c r="K2758" i="3" s="1"/>
  <c r="C2758" i="3"/>
  <c r="D2758" i="3"/>
  <c r="E2758" i="3"/>
  <c r="F2758" i="3"/>
  <c r="G2758" i="3"/>
  <c r="H2758" i="3"/>
  <c r="I2758" i="3"/>
  <c r="J2758" i="3"/>
  <c r="B2759" i="3"/>
  <c r="K2759" i="3" s="1"/>
  <c r="C2759" i="3"/>
  <c r="D2759" i="3"/>
  <c r="E2759" i="3"/>
  <c r="F2759" i="3"/>
  <c r="G2759" i="3"/>
  <c r="H2759" i="3"/>
  <c r="I2759" i="3"/>
  <c r="J2759" i="3"/>
  <c r="B2760" i="3"/>
  <c r="K2760" i="3" s="1"/>
  <c r="C2760" i="3"/>
  <c r="D2760" i="3"/>
  <c r="E2760" i="3"/>
  <c r="F2760" i="3"/>
  <c r="G2760" i="3"/>
  <c r="H2760" i="3"/>
  <c r="I2760" i="3"/>
  <c r="J2760" i="3"/>
  <c r="B2761" i="3"/>
  <c r="K2761" i="3" s="1"/>
  <c r="C2761" i="3"/>
  <c r="D2761" i="3"/>
  <c r="E2761" i="3"/>
  <c r="F2761" i="3"/>
  <c r="G2761" i="3"/>
  <c r="H2761" i="3"/>
  <c r="I2761" i="3"/>
  <c r="J2761" i="3"/>
  <c r="B2762" i="3"/>
  <c r="K2762" i="3" s="1"/>
  <c r="C2762" i="3"/>
  <c r="D2762" i="3"/>
  <c r="E2762" i="3"/>
  <c r="F2762" i="3"/>
  <c r="G2762" i="3"/>
  <c r="H2762" i="3"/>
  <c r="I2762" i="3"/>
  <c r="J2762" i="3"/>
  <c r="B2763" i="3"/>
  <c r="K2763" i="3" s="1"/>
  <c r="C2763" i="3"/>
  <c r="D2763" i="3"/>
  <c r="E2763" i="3"/>
  <c r="F2763" i="3"/>
  <c r="G2763" i="3"/>
  <c r="H2763" i="3"/>
  <c r="I2763" i="3"/>
  <c r="J2763" i="3"/>
  <c r="B2764" i="3"/>
  <c r="C2764" i="3"/>
  <c r="D2764" i="3"/>
  <c r="E2764" i="3"/>
  <c r="F2764" i="3"/>
  <c r="G2764" i="3"/>
  <c r="H2764" i="3"/>
  <c r="I2764" i="3"/>
  <c r="J2764" i="3"/>
  <c r="K2764" i="3"/>
  <c r="B2765" i="3"/>
  <c r="K2765" i="3" s="1"/>
  <c r="C2765" i="3"/>
  <c r="D2765" i="3"/>
  <c r="E2765" i="3"/>
  <c r="F2765" i="3"/>
  <c r="G2765" i="3"/>
  <c r="H2765" i="3"/>
  <c r="I2765" i="3"/>
  <c r="J2765" i="3"/>
  <c r="B2766" i="3"/>
  <c r="K2766" i="3" s="1"/>
  <c r="C2766" i="3"/>
  <c r="D2766" i="3"/>
  <c r="E2766" i="3"/>
  <c r="F2766" i="3"/>
  <c r="G2766" i="3"/>
  <c r="H2766" i="3"/>
  <c r="I2766" i="3"/>
  <c r="J2766" i="3"/>
  <c r="B2767" i="3"/>
  <c r="K2767" i="3" s="1"/>
  <c r="C2767" i="3"/>
  <c r="D2767" i="3"/>
  <c r="E2767" i="3"/>
  <c r="F2767" i="3"/>
  <c r="G2767" i="3"/>
  <c r="H2767" i="3"/>
  <c r="I2767" i="3"/>
  <c r="J2767" i="3"/>
  <c r="B2768" i="3"/>
  <c r="K2768" i="3" s="1"/>
  <c r="C2768" i="3"/>
  <c r="D2768" i="3"/>
  <c r="E2768" i="3"/>
  <c r="F2768" i="3"/>
  <c r="G2768" i="3"/>
  <c r="H2768" i="3"/>
  <c r="I2768" i="3"/>
  <c r="J2768" i="3"/>
  <c r="B2769" i="3"/>
  <c r="K2769" i="3" s="1"/>
  <c r="C2769" i="3"/>
  <c r="D2769" i="3"/>
  <c r="E2769" i="3"/>
  <c r="F2769" i="3"/>
  <c r="G2769" i="3"/>
  <c r="H2769" i="3"/>
  <c r="I2769" i="3"/>
  <c r="J2769" i="3"/>
  <c r="B2770" i="3"/>
  <c r="K2770" i="3" s="1"/>
  <c r="C2770" i="3"/>
  <c r="D2770" i="3"/>
  <c r="E2770" i="3"/>
  <c r="F2770" i="3"/>
  <c r="G2770" i="3"/>
  <c r="H2770" i="3"/>
  <c r="I2770" i="3"/>
  <c r="J2770" i="3"/>
  <c r="B2771" i="3"/>
  <c r="K2771" i="3" s="1"/>
  <c r="C2771" i="3"/>
  <c r="D2771" i="3"/>
  <c r="E2771" i="3"/>
  <c r="F2771" i="3"/>
  <c r="G2771" i="3"/>
  <c r="H2771" i="3"/>
  <c r="I2771" i="3"/>
  <c r="J2771" i="3"/>
  <c r="B2772" i="3"/>
  <c r="K2772" i="3" s="1"/>
  <c r="C2772" i="3"/>
  <c r="D2772" i="3"/>
  <c r="E2772" i="3"/>
  <c r="F2772" i="3"/>
  <c r="G2772" i="3"/>
  <c r="H2772" i="3"/>
  <c r="I2772" i="3"/>
  <c r="J2772" i="3"/>
  <c r="B2773" i="3"/>
  <c r="K2773" i="3" s="1"/>
  <c r="C2773" i="3"/>
  <c r="D2773" i="3"/>
  <c r="E2773" i="3"/>
  <c r="F2773" i="3"/>
  <c r="G2773" i="3"/>
  <c r="H2773" i="3"/>
  <c r="I2773" i="3"/>
  <c r="J2773" i="3"/>
  <c r="B2774" i="3"/>
  <c r="K2774" i="3" s="1"/>
  <c r="C2774" i="3"/>
  <c r="D2774" i="3"/>
  <c r="E2774" i="3"/>
  <c r="F2774" i="3"/>
  <c r="G2774" i="3"/>
  <c r="H2774" i="3"/>
  <c r="I2774" i="3"/>
  <c r="J2774" i="3"/>
  <c r="B2775" i="3"/>
  <c r="K2775" i="3" s="1"/>
  <c r="C2775" i="3"/>
  <c r="D2775" i="3"/>
  <c r="E2775" i="3"/>
  <c r="F2775" i="3"/>
  <c r="G2775" i="3"/>
  <c r="H2775" i="3"/>
  <c r="I2775" i="3"/>
  <c r="J2775" i="3"/>
  <c r="B2776" i="3"/>
  <c r="K2776" i="3" s="1"/>
  <c r="C2776" i="3"/>
  <c r="D2776" i="3"/>
  <c r="E2776" i="3"/>
  <c r="F2776" i="3"/>
  <c r="G2776" i="3"/>
  <c r="H2776" i="3"/>
  <c r="I2776" i="3"/>
  <c r="J2776" i="3"/>
  <c r="B2777" i="3"/>
  <c r="K2777" i="3" s="1"/>
  <c r="C2777" i="3"/>
  <c r="D2777" i="3"/>
  <c r="E2777" i="3"/>
  <c r="F2777" i="3"/>
  <c r="G2777" i="3"/>
  <c r="H2777" i="3"/>
  <c r="I2777" i="3"/>
  <c r="J2777" i="3"/>
  <c r="B2778" i="3"/>
  <c r="K2778" i="3" s="1"/>
  <c r="C2778" i="3"/>
  <c r="D2778" i="3"/>
  <c r="E2778" i="3"/>
  <c r="F2778" i="3"/>
  <c r="G2778" i="3"/>
  <c r="H2778" i="3"/>
  <c r="I2778" i="3"/>
  <c r="J2778" i="3"/>
  <c r="B2779" i="3"/>
  <c r="K2779" i="3" s="1"/>
  <c r="C2779" i="3"/>
  <c r="D2779" i="3"/>
  <c r="E2779" i="3"/>
  <c r="F2779" i="3"/>
  <c r="G2779" i="3"/>
  <c r="H2779" i="3"/>
  <c r="I2779" i="3"/>
  <c r="J2779" i="3"/>
  <c r="B2780" i="3"/>
  <c r="K2780" i="3" s="1"/>
  <c r="C2780" i="3"/>
  <c r="D2780" i="3"/>
  <c r="E2780" i="3"/>
  <c r="F2780" i="3"/>
  <c r="G2780" i="3"/>
  <c r="H2780" i="3"/>
  <c r="I2780" i="3"/>
  <c r="J2780" i="3"/>
  <c r="B2781" i="3"/>
  <c r="K2781" i="3" s="1"/>
  <c r="C2781" i="3"/>
  <c r="D2781" i="3"/>
  <c r="E2781" i="3"/>
  <c r="F2781" i="3"/>
  <c r="G2781" i="3"/>
  <c r="H2781" i="3"/>
  <c r="I2781" i="3"/>
  <c r="J2781" i="3"/>
  <c r="B2782" i="3"/>
  <c r="K2782" i="3" s="1"/>
  <c r="C2782" i="3"/>
  <c r="D2782" i="3"/>
  <c r="E2782" i="3"/>
  <c r="F2782" i="3"/>
  <c r="G2782" i="3"/>
  <c r="H2782" i="3"/>
  <c r="I2782" i="3"/>
  <c r="J2782" i="3"/>
  <c r="B2783" i="3"/>
  <c r="K2783" i="3" s="1"/>
  <c r="C2783" i="3"/>
  <c r="D2783" i="3"/>
  <c r="E2783" i="3"/>
  <c r="F2783" i="3"/>
  <c r="G2783" i="3"/>
  <c r="H2783" i="3"/>
  <c r="I2783" i="3"/>
  <c r="J2783" i="3"/>
  <c r="B2784" i="3"/>
  <c r="K2784" i="3" s="1"/>
  <c r="C2784" i="3"/>
  <c r="D2784" i="3"/>
  <c r="E2784" i="3"/>
  <c r="F2784" i="3"/>
  <c r="G2784" i="3"/>
  <c r="H2784" i="3"/>
  <c r="I2784" i="3"/>
  <c r="J2784" i="3"/>
  <c r="B2785" i="3"/>
  <c r="K2785" i="3" s="1"/>
  <c r="C2785" i="3"/>
  <c r="D2785" i="3"/>
  <c r="E2785" i="3"/>
  <c r="F2785" i="3"/>
  <c r="G2785" i="3"/>
  <c r="H2785" i="3"/>
  <c r="I2785" i="3"/>
  <c r="J2785" i="3"/>
  <c r="B2786" i="3"/>
  <c r="K2786" i="3" s="1"/>
  <c r="C2786" i="3"/>
  <c r="D2786" i="3"/>
  <c r="E2786" i="3"/>
  <c r="F2786" i="3"/>
  <c r="G2786" i="3"/>
  <c r="H2786" i="3"/>
  <c r="I2786" i="3"/>
  <c r="J2786" i="3"/>
  <c r="B2787" i="3"/>
  <c r="C2787" i="3"/>
  <c r="D2787" i="3"/>
  <c r="E2787" i="3"/>
  <c r="F2787" i="3"/>
  <c r="G2787" i="3"/>
  <c r="H2787" i="3"/>
  <c r="I2787" i="3"/>
  <c r="J2787" i="3"/>
  <c r="K2787" i="3"/>
  <c r="B2788" i="3"/>
  <c r="K2788" i="3" s="1"/>
  <c r="C2788" i="3"/>
  <c r="D2788" i="3"/>
  <c r="E2788" i="3"/>
  <c r="F2788" i="3"/>
  <c r="G2788" i="3"/>
  <c r="H2788" i="3"/>
  <c r="I2788" i="3"/>
  <c r="J2788" i="3"/>
  <c r="B2789" i="3"/>
  <c r="K2789" i="3" s="1"/>
  <c r="C2789" i="3"/>
  <c r="D2789" i="3"/>
  <c r="E2789" i="3"/>
  <c r="F2789" i="3"/>
  <c r="G2789" i="3"/>
  <c r="H2789" i="3"/>
  <c r="I2789" i="3"/>
  <c r="J2789" i="3"/>
  <c r="B2790" i="3"/>
  <c r="K2790" i="3" s="1"/>
  <c r="C2790" i="3"/>
  <c r="D2790" i="3"/>
  <c r="E2790" i="3"/>
  <c r="F2790" i="3"/>
  <c r="G2790" i="3"/>
  <c r="H2790" i="3"/>
  <c r="I2790" i="3"/>
  <c r="J2790" i="3"/>
  <c r="B2791" i="3"/>
  <c r="K2791" i="3" s="1"/>
  <c r="C2791" i="3"/>
  <c r="D2791" i="3"/>
  <c r="E2791" i="3"/>
  <c r="F2791" i="3"/>
  <c r="G2791" i="3"/>
  <c r="H2791" i="3"/>
  <c r="I2791" i="3"/>
  <c r="J2791" i="3"/>
  <c r="B2792" i="3"/>
  <c r="K2792" i="3" s="1"/>
  <c r="C2792" i="3"/>
  <c r="D2792" i="3"/>
  <c r="E2792" i="3"/>
  <c r="F2792" i="3"/>
  <c r="G2792" i="3"/>
  <c r="H2792" i="3"/>
  <c r="I2792" i="3"/>
  <c r="J2792" i="3"/>
  <c r="B2793" i="3"/>
  <c r="K2793" i="3" s="1"/>
  <c r="C2793" i="3"/>
  <c r="D2793" i="3"/>
  <c r="E2793" i="3"/>
  <c r="F2793" i="3"/>
  <c r="G2793" i="3"/>
  <c r="H2793" i="3"/>
  <c r="I2793" i="3"/>
  <c r="J2793" i="3"/>
  <c r="B2794" i="3"/>
  <c r="K2794" i="3" s="1"/>
  <c r="C2794" i="3"/>
  <c r="D2794" i="3"/>
  <c r="E2794" i="3"/>
  <c r="F2794" i="3"/>
  <c r="G2794" i="3"/>
  <c r="H2794" i="3"/>
  <c r="I2794" i="3"/>
  <c r="J2794" i="3"/>
  <c r="B2795" i="3"/>
  <c r="K2795" i="3" s="1"/>
  <c r="C2795" i="3"/>
  <c r="D2795" i="3"/>
  <c r="E2795" i="3"/>
  <c r="F2795" i="3"/>
  <c r="G2795" i="3"/>
  <c r="H2795" i="3"/>
  <c r="I2795" i="3"/>
  <c r="J2795" i="3"/>
  <c r="B2796" i="3"/>
  <c r="C2796" i="3"/>
  <c r="D2796" i="3"/>
  <c r="E2796" i="3"/>
  <c r="F2796" i="3"/>
  <c r="G2796" i="3"/>
  <c r="H2796" i="3"/>
  <c r="I2796" i="3"/>
  <c r="J2796" i="3"/>
  <c r="K2796" i="3"/>
  <c r="B2797" i="3"/>
  <c r="K2797" i="3" s="1"/>
  <c r="C2797" i="3"/>
  <c r="D2797" i="3"/>
  <c r="E2797" i="3"/>
  <c r="F2797" i="3"/>
  <c r="G2797" i="3"/>
  <c r="H2797" i="3"/>
  <c r="I2797" i="3"/>
  <c r="J2797" i="3"/>
  <c r="B2798" i="3"/>
  <c r="K2798" i="3" s="1"/>
  <c r="C2798" i="3"/>
  <c r="D2798" i="3"/>
  <c r="E2798" i="3"/>
  <c r="F2798" i="3"/>
  <c r="G2798" i="3"/>
  <c r="H2798" i="3"/>
  <c r="I2798" i="3"/>
  <c r="J2798" i="3"/>
  <c r="B2799" i="3"/>
  <c r="K2799" i="3" s="1"/>
  <c r="C2799" i="3"/>
  <c r="D2799" i="3"/>
  <c r="E2799" i="3"/>
  <c r="F2799" i="3"/>
  <c r="G2799" i="3"/>
  <c r="H2799" i="3"/>
  <c r="I2799" i="3"/>
  <c r="J2799" i="3"/>
  <c r="B2800" i="3"/>
  <c r="K2800" i="3" s="1"/>
  <c r="C2800" i="3"/>
  <c r="D2800" i="3"/>
  <c r="E2800" i="3"/>
  <c r="F2800" i="3"/>
  <c r="G2800" i="3"/>
  <c r="H2800" i="3"/>
  <c r="I2800" i="3"/>
  <c r="J2800" i="3"/>
  <c r="B2801" i="3"/>
  <c r="K2801" i="3" s="1"/>
  <c r="C2801" i="3"/>
  <c r="D2801" i="3"/>
  <c r="E2801" i="3"/>
  <c r="F2801" i="3"/>
  <c r="G2801" i="3"/>
  <c r="H2801" i="3"/>
  <c r="I2801" i="3"/>
  <c r="J2801" i="3"/>
  <c r="B2802" i="3"/>
  <c r="K2802" i="3" s="1"/>
  <c r="C2802" i="3"/>
  <c r="D2802" i="3"/>
  <c r="E2802" i="3"/>
  <c r="F2802" i="3"/>
  <c r="G2802" i="3"/>
  <c r="H2802" i="3"/>
  <c r="I2802" i="3"/>
  <c r="J2802" i="3"/>
  <c r="B2803" i="3"/>
  <c r="K2803" i="3" s="1"/>
  <c r="C2803" i="3"/>
  <c r="D2803" i="3"/>
  <c r="E2803" i="3"/>
  <c r="F2803" i="3"/>
  <c r="G2803" i="3"/>
  <c r="H2803" i="3"/>
  <c r="I2803" i="3"/>
  <c r="J2803" i="3"/>
  <c r="B2804" i="3"/>
  <c r="K2804" i="3" s="1"/>
  <c r="C2804" i="3"/>
  <c r="D2804" i="3"/>
  <c r="E2804" i="3"/>
  <c r="F2804" i="3"/>
  <c r="G2804" i="3"/>
  <c r="H2804" i="3"/>
  <c r="I2804" i="3"/>
  <c r="J2804" i="3"/>
  <c r="B2805" i="3"/>
  <c r="K2805" i="3" s="1"/>
  <c r="C2805" i="3"/>
  <c r="D2805" i="3"/>
  <c r="E2805" i="3"/>
  <c r="F2805" i="3"/>
  <c r="G2805" i="3"/>
  <c r="H2805" i="3"/>
  <c r="I2805" i="3"/>
  <c r="J2805" i="3"/>
  <c r="B2806" i="3"/>
  <c r="K2806" i="3" s="1"/>
  <c r="C2806" i="3"/>
  <c r="D2806" i="3"/>
  <c r="E2806" i="3"/>
  <c r="F2806" i="3"/>
  <c r="G2806" i="3"/>
  <c r="H2806" i="3"/>
  <c r="I2806" i="3"/>
  <c r="J2806" i="3"/>
  <c r="B2807" i="3"/>
  <c r="K2807" i="3" s="1"/>
  <c r="C2807" i="3"/>
  <c r="D2807" i="3"/>
  <c r="E2807" i="3"/>
  <c r="F2807" i="3"/>
  <c r="G2807" i="3"/>
  <c r="H2807" i="3"/>
  <c r="I2807" i="3"/>
  <c r="J2807" i="3"/>
  <c r="B2808" i="3"/>
  <c r="K2808" i="3" s="1"/>
  <c r="C2808" i="3"/>
  <c r="D2808" i="3"/>
  <c r="E2808" i="3"/>
  <c r="F2808" i="3"/>
  <c r="G2808" i="3"/>
  <c r="H2808" i="3"/>
  <c r="I2808" i="3"/>
  <c r="J2808" i="3"/>
  <c r="B2809" i="3"/>
  <c r="K2809" i="3" s="1"/>
  <c r="C2809" i="3"/>
  <c r="D2809" i="3"/>
  <c r="E2809" i="3"/>
  <c r="F2809" i="3"/>
  <c r="G2809" i="3"/>
  <c r="H2809" i="3"/>
  <c r="I2809" i="3"/>
  <c r="J2809" i="3"/>
  <c r="B2810" i="3"/>
  <c r="K2810" i="3" s="1"/>
  <c r="C2810" i="3"/>
  <c r="D2810" i="3"/>
  <c r="E2810" i="3"/>
  <c r="F2810" i="3"/>
  <c r="G2810" i="3"/>
  <c r="H2810" i="3"/>
  <c r="I2810" i="3"/>
  <c r="J2810" i="3"/>
  <c r="B2811" i="3"/>
  <c r="K2811" i="3" s="1"/>
  <c r="C2811" i="3"/>
  <c r="D2811" i="3"/>
  <c r="E2811" i="3"/>
  <c r="F2811" i="3"/>
  <c r="G2811" i="3"/>
  <c r="H2811" i="3"/>
  <c r="I2811" i="3"/>
  <c r="J2811" i="3"/>
  <c r="B2812" i="3"/>
  <c r="K2812" i="3" s="1"/>
  <c r="C2812" i="3"/>
  <c r="D2812" i="3"/>
  <c r="E2812" i="3"/>
  <c r="F2812" i="3"/>
  <c r="G2812" i="3"/>
  <c r="H2812" i="3"/>
  <c r="I2812" i="3"/>
  <c r="J2812" i="3"/>
  <c r="B2813" i="3"/>
  <c r="K2813" i="3" s="1"/>
  <c r="C2813" i="3"/>
  <c r="D2813" i="3"/>
  <c r="E2813" i="3"/>
  <c r="F2813" i="3"/>
  <c r="G2813" i="3"/>
  <c r="H2813" i="3"/>
  <c r="I2813" i="3"/>
  <c r="J2813" i="3"/>
  <c r="B2814" i="3"/>
  <c r="K2814" i="3" s="1"/>
  <c r="C2814" i="3"/>
  <c r="D2814" i="3"/>
  <c r="E2814" i="3"/>
  <c r="F2814" i="3"/>
  <c r="G2814" i="3"/>
  <c r="H2814" i="3"/>
  <c r="I2814" i="3"/>
  <c r="J2814" i="3"/>
  <c r="B2815" i="3"/>
  <c r="K2815" i="3" s="1"/>
  <c r="C2815" i="3"/>
  <c r="D2815" i="3"/>
  <c r="E2815" i="3"/>
  <c r="F2815" i="3"/>
  <c r="G2815" i="3"/>
  <c r="H2815" i="3"/>
  <c r="I2815" i="3"/>
  <c r="J2815" i="3"/>
  <c r="B2816" i="3"/>
  <c r="K2816" i="3" s="1"/>
  <c r="C2816" i="3"/>
  <c r="D2816" i="3"/>
  <c r="E2816" i="3"/>
  <c r="F2816" i="3"/>
  <c r="G2816" i="3"/>
  <c r="H2816" i="3"/>
  <c r="I2816" i="3"/>
  <c r="J2816" i="3"/>
  <c r="B2817" i="3"/>
  <c r="K2817" i="3" s="1"/>
  <c r="C2817" i="3"/>
  <c r="D2817" i="3"/>
  <c r="E2817" i="3"/>
  <c r="F2817" i="3"/>
  <c r="G2817" i="3"/>
  <c r="H2817" i="3"/>
  <c r="I2817" i="3"/>
  <c r="J2817" i="3"/>
  <c r="B2818" i="3"/>
  <c r="K2818" i="3" s="1"/>
  <c r="C2818" i="3"/>
  <c r="D2818" i="3"/>
  <c r="E2818" i="3"/>
  <c r="F2818" i="3"/>
  <c r="G2818" i="3"/>
  <c r="H2818" i="3"/>
  <c r="I2818" i="3"/>
  <c r="J2818" i="3"/>
  <c r="B2819" i="3"/>
  <c r="K2819" i="3" s="1"/>
  <c r="C2819" i="3"/>
  <c r="D2819" i="3"/>
  <c r="E2819" i="3"/>
  <c r="F2819" i="3"/>
  <c r="G2819" i="3"/>
  <c r="H2819" i="3"/>
  <c r="I2819" i="3"/>
  <c r="J2819" i="3"/>
  <c r="B2820" i="3"/>
  <c r="K2820" i="3" s="1"/>
  <c r="C2820" i="3"/>
  <c r="D2820" i="3"/>
  <c r="E2820" i="3"/>
  <c r="F2820" i="3"/>
  <c r="G2820" i="3"/>
  <c r="H2820" i="3"/>
  <c r="I2820" i="3"/>
  <c r="J2820" i="3"/>
  <c r="B2821" i="3"/>
  <c r="K2821" i="3" s="1"/>
  <c r="C2821" i="3"/>
  <c r="D2821" i="3"/>
  <c r="E2821" i="3"/>
  <c r="F2821" i="3"/>
  <c r="G2821" i="3"/>
  <c r="H2821" i="3"/>
  <c r="I2821" i="3"/>
  <c r="J2821" i="3"/>
  <c r="B2822" i="3"/>
  <c r="K2822" i="3" s="1"/>
  <c r="C2822" i="3"/>
  <c r="D2822" i="3"/>
  <c r="E2822" i="3"/>
  <c r="F2822" i="3"/>
  <c r="G2822" i="3"/>
  <c r="H2822" i="3"/>
  <c r="I2822" i="3"/>
  <c r="J2822" i="3"/>
  <c r="B2823" i="3"/>
  <c r="K2823" i="3" s="1"/>
  <c r="C2823" i="3"/>
  <c r="D2823" i="3"/>
  <c r="E2823" i="3"/>
  <c r="F2823" i="3"/>
  <c r="G2823" i="3"/>
  <c r="H2823" i="3"/>
  <c r="I2823" i="3"/>
  <c r="J2823" i="3"/>
  <c r="B2824" i="3"/>
  <c r="K2824" i="3" s="1"/>
  <c r="C2824" i="3"/>
  <c r="D2824" i="3"/>
  <c r="E2824" i="3"/>
  <c r="F2824" i="3"/>
  <c r="G2824" i="3"/>
  <c r="H2824" i="3"/>
  <c r="I2824" i="3"/>
  <c r="J2824" i="3"/>
  <c r="B2825" i="3"/>
  <c r="K2825" i="3" s="1"/>
  <c r="C2825" i="3"/>
  <c r="D2825" i="3"/>
  <c r="E2825" i="3"/>
  <c r="F2825" i="3"/>
  <c r="G2825" i="3"/>
  <c r="H2825" i="3"/>
  <c r="I2825" i="3"/>
  <c r="J2825" i="3"/>
  <c r="B2826" i="3"/>
  <c r="K2826" i="3" s="1"/>
  <c r="C2826" i="3"/>
  <c r="D2826" i="3"/>
  <c r="E2826" i="3"/>
  <c r="F2826" i="3"/>
  <c r="G2826" i="3"/>
  <c r="H2826" i="3"/>
  <c r="I2826" i="3"/>
  <c r="J2826" i="3"/>
  <c r="B2827" i="3"/>
  <c r="K2827" i="3" s="1"/>
  <c r="C2827" i="3"/>
  <c r="D2827" i="3"/>
  <c r="E2827" i="3"/>
  <c r="F2827" i="3"/>
  <c r="G2827" i="3"/>
  <c r="H2827" i="3"/>
  <c r="I2827" i="3"/>
  <c r="J2827" i="3"/>
  <c r="B2828" i="3"/>
  <c r="K2828" i="3" s="1"/>
  <c r="C2828" i="3"/>
  <c r="D2828" i="3"/>
  <c r="E2828" i="3"/>
  <c r="F2828" i="3"/>
  <c r="G2828" i="3"/>
  <c r="H2828" i="3"/>
  <c r="I2828" i="3"/>
  <c r="J2828" i="3"/>
  <c r="B2829" i="3"/>
  <c r="K2829" i="3" s="1"/>
  <c r="C2829" i="3"/>
  <c r="D2829" i="3"/>
  <c r="E2829" i="3"/>
  <c r="F2829" i="3"/>
  <c r="G2829" i="3"/>
  <c r="H2829" i="3"/>
  <c r="I2829" i="3"/>
  <c r="J2829" i="3"/>
  <c r="B2830" i="3"/>
  <c r="K2830" i="3" s="1"/>
  <c r="C2830" i="3"/>
  <c r="D2830" i="3"/>
  <c r="E2830" i="3"/>
  <c r="F2830" i="3"/>
  <c r="G2830" i="3"/>
  <c r="H2830" i="3"/>
  <c r="I2830" i="3"/>
  <c r="J2830" i="3"/>
  <c r="B2831" i="3"/>
  <c r="K2831" i="3" s="1"/>
  <c r="C2831" i="3"/>
  <c r="D2831" i="3"/>
  <c r="E2831" i="3"/>
  <c r="F2831" i="3"/>
  <c r="G2831" i="3"/>
  <c r="H2831" i="3"/>
  <c r="I2831" i="3"/>
  <c r="J2831" i="3"/>
  <c r="B2832" i="3"/>
  <c r="K2832" i="3" s="1"/>
  <c r="C2832" i="3"/>
  <c r="D2832" i="3"/>
  <c r="E2832" i="3"/>
  <c r="F2832" i="3"/>
  <c r="G2832" i="3"/>
  <c r="H2832" i="3"/>
  <c r="I2832" i="3"/>
  <c r="J2832" i="3"/>
  <c r="B2833" i="3"/>
  <c r="K2833" i="3" s="1"/>
  <c r="C2833" i="3"/>
  <c r="D2833" i="3"/>
  <c r="E2833" i="3"/>
  <c r="F2833" i="3"/>
  <c r="G2833" i="3"/>
  <c r="H2833" i="3"/>
  <c r="I2833" i="3"/>
  <c r="J2833" i="3"/>
  <c r="B2834" i="3"/>
  <c r="K2834" i="3" s="1"/>
  <c r="C2834" i="3"/>
  <c r="D2834" i="3"/>
  <c r="E2834" i="3"/>
  <c r="F2834" i="3"/>
  <c r="G2834" i="3"/>
  <c r="H2834" i="3"/>
  <c r="I2834" i="3"/>
  <c r="J2834" i="3"/>
  <c r="B2835" i="3"/>
  <c r="K2835" i="3" s="1"/>
  <c r="C2835" i="3"/>
  <c r="D2835" i="3"/>
  <c r="E2835" i="3"/>
  <c r="F2835" i="3"/>
  <c r="G2835" i="3"/>
  <c r="H2835" i="3"/>
  <c r="I2835" i="3"/>
  <c r="J2835" i="3"/>
  <c r="B2836" i="3"/>
  <c r="K2836" i="3" s="1"/>
  <c r="C2836" i="3"/>
  <c r="D2836" i="3"/>
  <c r="E2836" i="3"/>
  <c r="F2836" i="3"/>
  <c r="G2836" i="3"/>
  <c r="H2836" i="3"/>
  <c r="I2836" i="3"/>
  <c r="J2836" i="3"/>
  <c r="B2837" i="3"/>
  <c r="K2837" i="3" s="1"/>
  <c r="C2837" i="3"/>
  <c r="D2837" i="3"/>
  <c r="E2837" i="3"/>
  <c r="F2837" i="3"/>
  <c r="G2837" i="3"/>
  <c r="H2837" i="3"/>
  <c r="I2837" i="3"/>
  <c r="J2837" i="3"/>
  <c r="B2838" i="3"/>
  <c r="C2838" i="3"/>
  <c r="D2838" i="3"/>
  <c r="E2838" i="3"/>
  <c r="F2838" i="3"/>
  <c r="G2838" i="3"/>
  <c r="H2838" i="3"/>
  <c r="I2838" i="3"/>
  <c r="J2838" i="3"/>
  <c r="K2838" i="3"/>
  <c r="B2839" i="3"/>
  <c r="K2839" i="3" s="1"/>
  <c r="C2839" i="3"/>
  <c r="D2839" i="3"/>
  <c r="E2839" i="3"/>
  <c r="F2839" i="3"/>
  <c r="G2839" i="3"/>
  <c r="H2839" i="3"/>
  <c r="I2839" i="3"/>
  <c r="J2839" i="3"/>
  <c r="B2840" i="3"/>
  <c r="K2840" i="3" s="1"/>
  <c r="C2840" i="3"/>
  <c r="D2840" i="3"/>
  <c r="E2840" i="3"/>
  <c r="F2840" i="3"/>
  <c r="G2840" i="3"/>
  <c r="H2840" i="3"/>
  <c r="I2840" i="3"/>
  <c r="J2840" i="3"/>
  <c r="B2841" i="3"/>
  <c r="K2841" i="3" s="1"/>
  <c r="C2841" i="3"/>
  <c r="D2841" i="3"/>
  <c r="E2841" i="3"/>
  <c r="F2841" i="3"/>
  <c r="G2841" i="3"/>
  <c r="H2841" i="3"/>
  <c r="I2841" i="3"/>
  <c r="J2841" i="3"/>
  <c r="B2842" i="3"/>
  <c r="K2842" i="3" s="1"/>
  <c r="C2842" i="3"/>
  <c r="D2842" i="3"/>
  <c r="E2842" i="3"/>
  <c r="F2842" i="3"/>
  <c r="G2842" i="3"/>
  <c r="H2842" i="3"/>
  <c r="I2842" i="3"/>
  <c r="J2842" i="3"/>
  <c r="B2843" i="3"/>
  <c r="K2843" i="3" s="1"/>
  <c r="C2843" i="3"/>
  <c r="D2843" i="3"/>
  <c r="E2843" i="3"/>
  <c r="F2843" i="3"/>
  <c r="G2843" i="3"/>
  <c r="H2843" i="3"/>
  <c r="I2843" i="3"/>
  <c r="J2843" i="3"/>
  <c r="B2844" i="3"/>
  <c r="C2844" i="3"/>
  <c r="D2844" i="3"/>
  <c r="E2844" i="3"/>
  <c r="F2844" i="3"/>
  <c r="G2844" i="3"/>
  <c r="H2844" i="3"/>
  <c r="I2844" i="3"/>
  <c r="J2844" i="3"/>
  <c r="K2844" i="3"/>
  <c r="B2845" i="3"/>
  <c r="K2845" i="3" s="1"/>
  <c r="C2845" i="3"/>
  <c r="D2845" i="3"/>
  <c r="E2845" i="3"/>
  <c r="F2845" i="3"/>
  <c r="G2845" i="3"/>
  <c r="H2845" i="3"/>
  <c r="I2845" i="3"/>
  <c r="J2845" i="3"/>
  <c r="B2846" i="3"/>
  <c r="K2846" i="3" s="1"/>
  <c r="C2846" i="3"/>
  <c r="D2846" i="3"/>
  <c r="E2846" i="3"/>
  <c r="F2846" i="3"/>
  <c r="G2846" i="3"/>
  <c r="H2846" i="3"/>
  <c r="I2846" i="3"/>
  <c r="J2846" i="3"/>
  <c r="B2847" i="3"/>
  <c r="K2847" i="3" s="1"/>
  <c r="C2847" i="3"/>
  <c r="D2847" i="3"/>
  <c r="E2847" i="3"/>
  <c r="F2847" i="3"/>
  <c r="G2847" i="3"/>
  <c r="H2847" i="3"/>
  <c r="I2847" i="3"/>
  <c r="J2847" i="3"/>
  <c r="B2848" i="3"/>
  <c r="K2848" i="3" s="1"/>
  <c r="C2848" i="3"/>
  <c r="D2848" i="3"/>
  <c r="E2848" i="3"/>
  <c r="F2848" i="3"/>
  <c r="G2848" i="3"/>
  <c r="H2848" i="3"/>
  <c r="I2848" i="3"/>
  <c r="J2848" i="3"/>
  <c r="B2849" i="3"/>
  <c r="K2849" i="3" s="1"/>
  <c r="C2849" i="3"/>
  <c r="D2849" i="3"/>
  <c r="E2849" i="3"/>
  <c r="F2849" i="3"/>
  <c r="G2849" i="3"/>
  <c r="H2849" i="3"/>
  <c r="I2849" i="3"/>
  <c r="J2849" i="3"/>
  <c r="B2850" i="3"/>
  <c r="K2850" i="3" s="1"/>
  <c r="C2850" i="3"/>
  <c r="D2850" i="3"/>
  <c r="E2850" i="3"/>
  <c r="F2850" i="3"/>
  <c r="G2850" i="3"/>
  <c r="H2850" i="3"/>
  <c r="I2850" i="3"/>
  <c r="J2850" i="3"/>
  <c r="B2851" i="3"/>
  <c r="K2851" i="3" s="1"/>
  <c r="C2851" i="3"/>
  <c r="D2851" i="3"/>
  <c r="E2851" i="3"/>
  <c r="F2851" i="3"/>
  <c r="G2851" i="3"/>
  <c r="H2851" i="3"/>
  <c r="I2851" i="3"/>
  <c r="J2851" i="3"/>
  <c r="B2852" i="3"/>
  <c r="K2852" i="3" s="1"/>
  <c r="C2852" i="3"/>
  <c r="D2852" i="3"/>
  <c r="E2852" i="3"/>
  <c r="F2852" i="3"/>
  <c r="G2852" i="3"/>
  <c r="H2852" i="3"/>
  <c r="I2852" i="3"/>
  <c r="J2852" i="3"/>
  <c r="B2853" i="3"/>
  <c r="K2853" i="3" s="1"/>
  <c r="C2853" i="3"/>
  <c r="D2853" i="3"/>
  <c r="E2853" i="3"/>
  <c r="F2853" i="3"/>
  <c r="G2853" i="3"/>
  <c r="H2853" i="3"/>
  <c r="I2853" i="3"/>
  <c r="J2853" i="3"/>
  <c r="B2854" i="3"/>
  <c r="K2854" i="3" s="1"/>
  <c r="C2854" i="3"/>
  <c r="D2854" i="3"/>
  <c r="E2854" i="3"/>
  <c r="F2854" i="3"/>
  <c r="G2854" i="3"/>
  <c r="H2854" i="3"/>
  <c r="I2854" i="3"/>
  <c r="J2854" i="3"/>
  <c r="B2855" i="3"/>
  <c r="K2855" i="3" s="1"/>
  <c r="C2855" i="3"/>
  <c r="D2855" i="3"/>
  <c r="E2855" i="3"/>
  <c r="F2855" i="3"/>
  <c r="G2855" i="3"/>
  <c r="H2855" i="3"/>
  <c r="I2855" i="3"/>
  <c r="J2855" i="3"/>
  <c r="B2856" i="3"/>
  <c r="K2856" i="3" s="1"/>
  <c r="C2856" i="3"/>
  <c r="D2856" i="3"/>
  <c r="E2856" i="3"/>
  <c r="F2856" i="3"/>
  <c r="G2856" i="3"/>
  <c r="H2856" i="3"/>
  <c r="I2856" i="3"/>
  <c r="J2856" i="3"/>
  <c r="B2857" i="3"/>
  <c r="K2857" i="3" s="1"/>
  <c r="C2857" i="3"/>
  <c r="D2857" i="3"/>
  <c r="E2857" i="3"/>
  <c r="F2857" i="3"/>
  <c r="G2857" i="3"/>
  <c r="H2857" i="3"/>
  <c r="I2857" i="3"/>
  <c r="J2857" i="3"/>
  <c r="B2858" i="3"/>
  <c r="C2858" i="3"/>
  <c r="D2858" i="3"/>
  <c r="E2858" i="3"/>
  <c r="F2858" i="3"/>
  <c r="G2858" i="3"/>
  <c r="H2858" i="3"/>
  <c r="I2858" i="3"/>
  <c r="J2858" i="3"/>
  <c r="K2858" i="3"/>
  <c r="B2859" i="3"/>
  <c r="K2859" i="3" s="1"/>
  <c r="C2859" i="3"/>
  <c r="D2859" i="3"/>
  <c r="E2859" i="3"/>
  <c r="F2859" i="3"/>
  <c r="G2859" i="3"/>
  <c r="H2859" i="3"/>
  <c r="I2859" i="3"/>
  <c r="J2859" i="3"/>
  <c r="B2860" i="3"/>
  <c r="K2860" i="3" s="1"/>
  <c r="C2860" i="3"/>
  <c r="D2860" i="3"/>
  <c r="E2860" i="3"/>
  <c r="F2860" i="3"/>
  <c r="G2860" i="3"/>
  <c r="H2860" i="3"/>
  <c r="I2860" i="3"/>
  <c r="J2860" i="3"/>
  <c r="B2861" i="3"/>
  <c r="K2861" i="3" s="1"/>
  <c r="C2861" i="3"/>
  <c r="D2861" i="3"/>
  <c r="E2861" i="3"/>
  <c r="F2861" i="3"/>
  <c r="G2861" i="3"/>
  <c r="H2861" i="3"/>
  <c r="I2861" i="3"/>
  <c r="J2861" i="3"/>
  <c r="B2862" i="3"/>
  <c r="K2862" i="3" s="1"/>
  <c r="C2862" i="3"/>
  <c r="D2862" i="3"/>
  <c r="E2862" i="3"/>
  <c r="F2862" i="3"/>
  <c r="G2862" i="3"/>
  <c r="H2862" i="3"/>
  <c r="I2862" i="3"/>
  <c r="J2862" i="3"/>
  <c r="B2863" i="3"/>
  <c r="K2863" i="3" s="1"/>
  <c r="C2863" i="3"/>
  <c r="D2863" i="3"/>
  <c r="E2863" i="3"/>
  <c r="F2863" i="3"/>
  <c r="G2863" i="3"/>
  <c r="H2863" i="3"/>
  <c r="I2863" i="3"/>
  <c r="J2863" i="3"/>
  <c r="B2864" i="3"/>
  <c r="K2864" i="3" s="1"/>
  <c r="C2864" i="3"/>
  <c r="D2864" i="3"/>
  <c r="E2864" i="3"/>
  <c r="F2864" i="3"/>
  <c r="G2864" i="3"/>
  <c r="H2864" i="3"/>
  <c r="I2864" i="3"/>
  <c r="J2864" i="3"/>
  <c r="B2865" i="3"/>
  <c r="K2865" i="3" s="1"/>
  <c r="C2865" i="3"/>
  <c r="D2865" i="3"/>
  <c r="E2865" i="3"/>
  <c r="F2865" i="3"/>
  <c r="G2865" i="3"/>
  <c r="H2865" i="3"/>
  <c r="I2865" i="3"/>
  <c r="J2865" i="3"/>
  <c r="B2866" i="3"/>
  <c r="K2866" i="3" s="1"/>
  <c r="C2866" i="3"/>
  <c r="D2866" i="3"/>
  <c r="E2866" i="3"/>
  <c r="F2866" i="3"/>
  <c r="G2866" i="3"/>
  <c r="H2866" i="3"/>
  <c r="I2866" i="3"/>
  <c r="J2866" i="3"/>
  <c r="B2867" i="3"/>
  <c r="K2867" i="3" s="1"/>
  <c r="C2867" i="3"/>
  <c r="D2867" i="3"/>
  <c r="E2867" i="3"/>
  <c r="F2867" i="3"/>
  <c r="G2867" i="3"/>
  <c r="H2867" i="3"/>
  <c r="I2867" i="3"/>
  <c r="J2867" i="3"/>
  <c r="B2868" i="3"/>
  <c r="C2868" i="3"/>
  <c r="D2868" i="3"/>
  <c r="E2868" i="3"/>
  <c r="F2868" i="3"/>
  <c r="G2868" i="3"/>
  <c r="H2868" i="3"/>
  <c r="I2868" i="3"/>
  <c r="J2868" i="3"/>
  <c r="K2868" i="3"/>
  <c r="B2869" i="3"/>
  <c r="K2869" i="3" s="1"/>
  <c r="C2869" i="3"/>
  <c r="D2869" i="3"/>
  <c r="E2869" i="3"/>
  <c r="F2869" i="3"/>
  <c r="G2869" i="3"/>
  <c r="H2869" i="3"/>
  <c r="I2869" i="3"/>
  <c r="J2869" i="3"/>
  <c r="B2870" i="3"/>
  <c r="K2870" i="3" s="1"/>
  <c r="C2870" i="3"/>
  <c r="D2870" i="3"/>
  <c r="E2870" i="3"/>
  <c r="F2870" i="3"/>
  <c r="G2870" i="3"/>
  <c r="H2870" i="3"/>
  <c r="I2870" i="3"/>
  <c r="J2870" i="3"/>
  <c r="B2871" i="3"/>
  <c r="K2871" i="3" s="1"/>
  <c r="C2871" i="3"/>
  <c r="D2871" i="3"/>
  <c r="E2871" i="3"/>
  <c r="F2871" i="3"/>
  <c r="G2871" i="3"/>
  <c r="H2871" i="3"/>
  <c r="I2871" i="3"/>
  <c r="J2871" i="3"/>
  <c r="B2872" i="3"/>
  <c r="K2872" i="3" s="1"/>
  <c r="C2872" i="3"/>
  <c r="D2872" i="3"/>
  <c r="E2872" i="3"/>
  <c r="F2872" i="3"/>
  <c r="G2872" i="3"/>
  <c r="H2872" i="3"/>
  <c r="I2872" i="3"/>
  <c r="J2872" i="3"/>
  <c r="B2873" i="3"/>
  <c r="K2873" i="3" s="1"/>
  <c r="C2873" i="3"/>
  <c r="D2873" i="3"/>
  <c r="E2873" i="3"/>
  <c r="F2873" i="3"/>
  <c r="G2873" i="3"/>
  <c r="H2873" i="3"/>
  <c r="I2873" i="3"/>
  <c r="J2873" i="3"/>
  <c r="B2874" i="3"/>
  <c r="K2874" i="3" s="1"/>
  <c r="C2874" i="3"/>
  <c r="D2874" i="3"/>
  <c r="E2874" i="3"/>
  <c r="F2874" i="3"/>
  <c r="G2874" i="3"/>
  <c r="H2874" i="3"/>
  <c r="I2874" i="3"/>
  <c r="J2874" i="3"/>
  <c r="B2875" i="3"/>
  <c r="K2875" i="3" s="1"/>
  <c r="C2875" i="3"/>
  <c r="D2875" i="3"/>
  <c r="E2875" i="3"/>
  <c r="F2875" i="3"/>
  <c r="G2875" i="3"/>
  <c r="H2875" i="3"/>
  <c r="I2875" i="3"/>
  <c r="J2875" i="3"/>
  <c r="B2876" i="3"/>
  <c r="K2876" i="3" s="1"/>
  <c r="C2876" i="3"/>
  <c r="D2876" i="3"/>
  <c r="E2876" i="3"/>
  <c r="F2876" i="3"/>
  <c r="G2876" i="3"/>
  <c r="H2876" i="3"/>
  <c r="I2876" i="3"/>
  <c r="J2876" i="3"/>
  <c r="B2877" i="3"/>
  <c r="K2877" i="3" s="1"/>
  <c r="C2877" i="3"/>
  <c r="D2877" i="3"/>
  <c r="E2877" i="3"/>
  <c r="F2877" i="3"/>
  <c r="G2877" i="3"/>
  <c r="H2877" i="3"/>
  <c r="I2877" i="3"/>
  <c r="J2877" i="3"/>
  <c r="B2878" i="3"/>
  <c r="K2878" i="3" s="1"/>
  <c r="C2878" i="3"/>
  <c r="D2878" i="3"/>
  <c r="E2878" i="3"/>
  <c r="F2878" i="3"/>
  <c r="G2878" i="3"/>
  <c r="H2878" i="3"/>
  <c r="I2878" i="3"/>
  <c r="J2878" i="3"/>
  <c r="B2879" i="3"/>
  <c r="K2879" i="3" s="1"/>
  <c r="C2879" i="3"/>
  <c r="D2879" i="3"/>
  <c r="E2879" i="3"/>
  <c r="F2879" i="3"/>
  <c r="G2879" i="3"/>
  <c r="H2879" i="3"/>
  <c r="I2879" i="3"/>
  <c r="J2879" i="3"/>
  <c r="B2880" i="3"/>
  <c r="K2880" i="3" s="1"/>
  <c r="C2880" i="3"/>
  <c r="D2880" i="3"/>
  <c r="E2880" i="3"/>
  <c r="F2880" i="3"/>
  <c r="G2880" i="3"/>
  <c r="H2880" i="3"/>
  <c r="I2880" i="3"/>
  <c r="J2880" i="3"/>
  <c r="B2881" i="3"/>
  <c r="K2881" i="3" s="1"/>
  <c r="C2881" i="3"/>
  <c r="D2881" i="3"/>
  <c r="E2881" i="3"/>
  <c r="F2881" i="3"/>
  <c r="G2881" i="3"/>
  <c r="H2881" i="3"/>
  <c r="I2881" i="3"/>
  <c r="J2881" i="3"/>
  <c r="B2882" i="3"/>
  <c r="K2882" i="3" s="1"/>
  <c r="C2882" i="3"/>
  <c r="D2882" i="3"/>
  <c r="E2882" i="3"/>
  <c r="F2882" i="3"/>
  <c r="G2882" i="3"/>
  <c r="H2882" i="3"/>
  <c r="I2882" i="3"/>
  <c r="J2882" i="3"/>
  <c r="B2883" i="3"/>
  <c r="K2883" i="3" s="1"/>
  <c r="C2883" i="3"/>
  <c r="D2883" i="3"/>
  <c r="E2883" i="3"/>
  <c r="F2883" i="3"/>
  <c r="G2883" i="3"/>
  <c r="H2883" i="3"/>
  <c r="I2883" i="3"/>
  <c r="J2883" i="3"/>
  <c r="B2884" i="3"/>
  <c r="C2884" i="3"/>
  <c r="D2884" i="3"/>
  <c r="E2884" i="3"/>
  <c r="F2884" i="3"/>
  <c r="G2884" i="3"/>
  <c r="H2884" i="3"/>
  <c r="I2884" i="3"/>
  <c r="J2884" i="3"/>
  <c r="K2884" i="3"/>
  <c r="B2885" i="3"/>
  <c r="K2885" i="3" s="1"/>
  <c r="C2885" i="3"/>
  <c r="D2885" i="3"/>
  <c r="E2885" i="3"/>
  <c r="F2885" i="3"/>
  <c r="G2885" i="3"/>
  <c r="H2885" i="3"/>
  <c r="I2885" i="3"/>
  <c r="J2885" i="3"/>
  <c r="B2886" i="3"/>
  <c r="K2886" i="3" s="1"/>
  <c r="C2886" i="3"/>
  <c r="D2886" i="3"/>
  <c r="E2886" i="3"/>
  <c r="F2886" i="3"/>
  <c r="G2886" i="3"/>
  <c r="H2886" i="3"/>
  <c r="I2886" i="3"/>
  <c r="J2886" i="3"/>
  <c r="B2887" i="3"/>
  <c r="K2887" i="3" s="1"/>
  <c r="C2887" i="3"/>
  <c r="D2887" i="3"/>
  <c r="E2887" i="3"/>
  <c r="F2887" i="3"/>
  <c r="G2887" i="3"/>
  <c r="H2887" i="3"/>
  <c r="I2887" i="3"/>
  <c r="J2887" i="3"/>
  <c r="B2888" i="3"/>
  <c r="K2888" i="3" s="1"/>
  <c r="C2888" i="3"/>
  <c r="D2888" i="3"/>
  <c r="E2888" i="3"/>
  <c r="F2888" i="3"/>
  <c r="G2888" i="3"/>
  <c r="H2888" i="3"/>
  <c r="I2888" i="3"/>
  <c r="J2888" i="3"/>
  <c r="B2889" i="3"/>
  <c r="K2889" i="3" s="1"/>
  <c r="C2889" i="3"/>
  <c r="D2889" i="3"/>
  <c r="E2889" i="3"/>
  <c r="F2889" i="3"/>
  <c r="G2889" i="3"/>
  <c r="H2889" i="3"/>
  <c r="I2889" i="3"/>
  <c r="J2889" i="3"/>
  <c r="B2890" i="3"/>
  <c r="K2890" i="3" s="1"/>
  <c r="C2890" i="3"/>
  <c r="D2890" i="3"/>
  <c r="E2890" i="3"/>
  <c r="F2890" i="3"/>
  <c r="G2890" i="3"/>
  <c r="H2890" i="3"/>
  <c r="I2890" i="3"/>
  <c r="J2890" i="3"/>
  <c r="B2891" i="3"/>
  <c r="C2891" i="3"/>
  <c r="D2891" i="3"/>
  <c r="E2891" i="3"/>
  <c r="F2891" i="3"/>
  <c r="G2891" i="3"/>
  <c r="H2891" i="3"/>
  <c r="I2891" i="3"/>
  <c r="J2891" i="3"/>
  <c r="K2891" i="3"/>
  <c r="B2892" i="3"/>
  <c r="K2892" i="3" s="1"/>
  <c r="C2892" i="3"/>
  <c r="D2892" i="3"/>
  <c r="E2892" i="3"/>
  <c r="F2892" i="3"/>
  <c r="G2892" i="3"/>
  <c r="H2892" i="3"/>
  <c r="I2892" i="3"/>
  <c r="J2892" i="3"/>
  <c r="B2893" i="3"/>
  <c r="K2893" i="3" s="1"/>
  <c r="C2893" i="3"/>
  <c r="D2893" i="3"/>
  <c r="E2893" i="3"/>
  <c r="F2893" i="3"/>
  <c r="G2893" i="3"/>
  <c r="H2893" i="3"/>
  <c r="I2893" i="3"/>
  <c r="J2893" i="3"/>
  <c r="B2894" i="3"/>
  <c r="K2894" i="3" s="1"/>
  <c r="C2894" i="3"/>
  <c r="D2894" i="3"/>
  <c r="E2894" i="3"/>
  <c r="F2894" i="3"/>
  <c r="G2894" i="3"/>
  <c r="H2894" i="3"/>
  <c r="I2894" i="3"/>
  <c r="J2894" i="3"/>
  <c r="B2895" i="3"/>
  <c r="K2895" i="3" s="1"/>
  <c r="C2895" i="3"/>
  <c r="D2895" i="3"/>
  <c r="E2895" i="3"/>
  <c r="F2895" i="3"/>
  <c r="G2895" i="3"/>
  <c r="H2895" i="3"/>
  <c r="I2895" i="3"/>
  <c r="J2895" i="3"/>
  <c r="B2896" i="3"/>
  <c r="K2896" i="3" s="1"/>
  <c r="C2896" i="3"/>
  <c r="D2896" i="3"/>
  <c r="E2896" i="3"/>
  <c r="F2896" i="3"/>
  <c r="G2896" i="3"/>
  <c r="H2896" i="3"/>
  <c r="I2896" i="3"/>
  <c r="J2896" i="3"/>
  <c r="B2897" i="3"/>
  <c r="K2897" i="3" s="1"/>
  <c r="C2897" i="3"/>
  <c r="D2897" i="3"/>
  <c r="E2897" i="3"/>
  <c r="F2897" i="3"/>
  <c r="G2897" i="3"/>
  <c r="H2897" i="3"/>
  <c r="I2897" i="3"/>
  <c r="J2897" i="3"/>
  <c r="B2898" i="3"/>
  <c r="K2898" i="3" s="1"/>
  <c r="C2898" i="3"/>
  <c r="D2898" i="3"/>
  <c r="E2898" i="3"/>
  <c r="F2898" i="3"/>
  <c r="G2898" i="3"/>
  <c r="H2898" i="3"/>
  <c r="I2898" i="3"/>
  <c r="J2898" i="3"/>
  <c r="B2899" i="3"/>
  <c r="K2899" i="3" s="1"/>
  <c r="C2899" i="3"/>
  <c r="D2899" i="3"/>
  <c r="E2899" i="3"/>
  <c r="F2899" i="3"/>
  <c r="G2899" i="3"/>
  <c r="H2899" i="3"/>
  <c r="I2899" i="3"/>
  <c r="J2899" i="3"/>
  <c r="B2900" i="3"/>
  <c r="K2900" i="3" s="1"/>
  <c r="C2900" i="3"/>
  <c r="D2900" i="3"/>
  <c r="E2900" i="3"/>
  <c r="F2900" i="3"/>
  <c r="G2900" i="3"/>
  <c r="H2900" i="3"/>
  <c r="I2900" i="3"/>
  <c r="J2900" i="3"/>
  <c r="B2901" i="3"/>
  <c r="K2901" i="3" s="1"/>
  <c r="C2901" i="3"/>
  <c r="D2901" i="3"/>
  <c r="E2901" i="3"/>
  <c r="F2901" i="3"/>
  <c r="G2901" i="3"/>
  <c r="H2901" i="3"/>
  <c r="I2901" i="3"/>
  <c r="J2901" i="3"/>
  <c r="B2902" i="3"/>
  <c r="K2902" i="3" s="1"/>
  <c r="C2902" i="3"/>
  <c r="D2902" i="3"/>
  <c r="E2902" i="3"/>
  <c r="F2902" i="3"/>
  <c r="G2902" i="3"/>
  <c r="H2902" i="3"/>
  <c r="I2902" i="3"/>
  <c r="J2902" i="3"/>
  <c r="B2903" i="3"/>
  <c r="K2903" i="3" s="1"/>
  <c r="C2903" i="3"/>
  <c r="D2903" i="3"/>
  <c r="E2903" i="3"/>
  <c r="F2903" i="3"/>
  <c r="G2903" i="3"/>
  <c r="H2903" i="3"/>
  <c r="I2903" i="3"/>
  <c r="J2903" i="3"/>
  <c r="B2904" i="3"/>
  <c r="K2904" i="3" s="1"/>
  <c r="C2904" i="3"/>
  <c r="D2904" i="3"/>
  <c r="E2904" i="3"/>
  <c r="F2904" i="3"/>
  <c r="G2904" i="3"/>
  <c r="H2904" i="3"/>
  <c r="I2904" i="3"/>
  <c r="J2904" i="3"/>
  <c r="B2905" i="3"/>
  <c r="K2905" i="3" s="1"/>
  <c r="C2905" i="3"/>
  <c r="D2905" i="3"/>
  <c r="E2905" i="3"/>
  <c r="F2905" i="3"/>
  <c r="G2905" i="3"/>
  <c r="H2905" i="3"/>
  <c r="I2905" i="3"/>
  <c r="J2905" i="3"/>
  <c r="B2906" i="3"/>
  <c r="K2906" i="3" s="1"/>
  <c r="C2906" i="3"/>
  <c r="D2906" i="3"/>
  <c r="E2906" i="3"/>
  <c r="F2906" i="3"/>
  <c r="G2906" i="3"/>
  <c r="H2906" i="3"/>
  <c r="I2906" i="3"/>
  <c r="J2906" i="3"/>
  <c r="B2907" i="3"/>
  <c r="K2907" i="3" s="1"/>
  <c r="C2907" i="3"/>
  <c r="D2907" i="3"/>
  <c r="E2907" i="3"/>
  <c r="F2907" i="3"/>
  <c r="G2907" i="3"/>
  <c r="H2907" i="3"/>
  <c r="I2907" i="3"/>
  <c r="J2907" i="3"/>
  <c r="B2908" i="3"/>
  <c r="K2908" i="3" s="1"/>
  <c r="C2908" i="3"/>
  <c r="D2908" i="3"/>
  <c r="E2908" i="3"/>
  <c r="F2908" i="3"/>
  <c r="G2908" i="3"/>
  <c r="H2908" i="3"/>
  <c r="I2908" i="3"/>
  <c r="J2908" i="3"/>
  <c r="B2909" i="3"/>
  <c r="K2909" i="3" s="1"/>
  <c r="C2909" i="3"/>
  <c r="D2909" i="3"/>
  <c r="E2909" i="3"/>
  <c r="F2909" i="3"/>
  <c r="G2909" i="3"/>
  <c r="H2909" i="3"/>
  <c r="I2909" i="3"/>
  <c r="J2909" i="3"/>
  <c r="B2910" i="3"/>
  <c r="K2910" i="3" s="1"/>
  <c r="C2910" i="3"/>
  <c r="D2910" i="3"/>
  <c r="E2910" i="3"/>
  <c r="F2910" i="3"/>
  <c r="G2910" i="3"/>
  <c r="H2910" i="3"/>
  <c r="I2910" i="3"/>
  <c r="J2910" i="3"/>
  <c r="B2911" i="3"/>
  <c r="K2911" i="3" s="1"/>
  <c r="C2911" i="3"/>
  <c r="D2911" i="3"/>
  <c r="E2911" i="3"/>
  <c r="F2911" i="3"/>
  <c r="G2911" i="3"/>
  <c r="H2911" i="3"/>
  <c r="I2911" i="3"/>
  <c r="J2911" i="3"/>
  <c r="B2912" i="3"/>
  <c r="K2912" i="3" s="1"/>
  <c r="C2912" i="3"/>
  <c r="D2912" i="3"/>
  <c r="E2912" i="3"/>
  <c r="F2912" i="3"/>
  <c r="G2912" i="3"/>
  <c r="H2912" i="3"/>
  <c r="I2912" i="3"/>
  <c r="J2912" i="3"/>
  <c r="B2913" i="3"/>
  <c r="K2913" i="3" s="1"/>
  <c r="C2913" i="3"/>
  <c r="D2913" i="3"/>
  <c r="E2913" i="3"/>
  <c r="F2913" i="3"/>
  <c r="G2913" i="3"/>
  <c r="H2913" i="3"/>
  <c r="I2913" i="3"/>
  <c r="J2913" i="3"/>
  <c r="B2914" i="3"/>
  <c r="K2914" i="3" s="1"/>
  <c r="C2914" i="3"/>
  <c r="D2914" i="3"/>
  <c r="E2914" i="3"/>
  <c r="F2914" i="3"/>
  <c r="G2914" i="3"/>
  <c r="H2914" i="3"/>
  <c r="I2914" i="3"/>
  <c r="J2914" i="3"/>
  <c r="B2915" i="3"/>
  <c r="K2915" i="3" s="1"/>
  <c r="C2915" i="3"/>
  <c r="D2915" i="3"/>
  <c r="E2915" i="3"/>
  <c r="F2915" i="3"/>
  <c r="G2915" i="3"/>
  <c r="H2915" i="3"/>
  <c r="I2915" i="3"/>
  <c r="J2915" i="3"/>
  <c r="B2916" i="3"/>
  <c r="K2916" i="3" s="1"/>
  <c r="C2916" i="3"/>
  <c r="D2916" i="3"/>
  <c r="E2916" i="3"/>
  <c r="F2916" i="3"/>
  <c r="G2916" i="3"/>
  <c r="H2916" i="3"/>
  <c r="I2916" i="3"/>
  <c r="J2916" i="3"/>
  <c r="B2917" i="3"/>
  <c r="K2917" i="3" s="1"/>
  <c r="C2917" i="3"/>
  <c r="D2917" i="3"/>
  <c r="E2917" i="3"/>
  <c r="F2917" i="3"/>
  <c r="G2917" i="3"/>
  <c r="H2917" i="3"/>
  <c r="I2917" i="3"/>
  <c r="J2917" i="3"/>
  <c r="B2918" i="3"/>
  <c r="K2918" i="3" s="1"/>
  <c r="C2918" i="3"/>
  <c r="D2918" i="3"/>
  <c r="E2918" i="3"/>
  <c r="F2918" i="3"/>
  <c r="G2918" i="3"/>
  <c r="H2918" i="3"/>
  <c r="I2918" i="3"/>
  <c r="J2918" i="3"/>
  <c r="B2919" i="3"/>
  <c r="K2919" i="3" s="1"/>
  <c r="C2919" i="3"/>
  <c r="D2919" i="3"/>
  <c r="E2919" i="3"/>
  <c r="F2919" i="3"/>
  <c r="G2919" i="3"/>
  <c r="H2919" i="3"/>
  <c r="I2919" i="3"/>
  <c r="J2919" i="3"/>
  <c r="B2920" i="3"/>
  <c r="K2920" i="3" s="1"/>
  <c r="C2920" i="3"/>
  <c r="D2920" i="3"/>
  <c r="E2920" i="3"/>
  <c r="F2920" i="3"/>
  <c r="G2920" i="3"/>
  <c r="H2920" i="3"/>
  <c r="I2920" i="3"/>
  <c r="J2920" i="3"/>
  <c r="B2921" i="3"/>
  <c r="K2921" i="3" s="1"/>
  <c r="C2921" i="3"/>
  <c r="D2921" i="3"/>
  <c r="E2921" i="3"/>
  <c r="F2921" i="3"/>
  <c r="G2921" i="3"/>
  <c r="H2921" i="3"/>
  <c r="I2921" i="3"/>
  <c r="J2921" i="3"/>
  <c r="B2922" i="3"/>
  <c r="K2922" i="3" s="1"/>
  <c r="C2922" i="3"/>
  <c r="D2922" i="3"/>
  <c r="E2922" i="3"/>
  <c r="F2922" i="3"/>
  <c r="G2922" i="3"/>
  <c r="H2922" i="3"/>
  <c r="I2922" i="3"/>
  <c r="J2922" i="3"/>
  <c r="B2923" i="3"/>
  <c r="K2923" i="3" s="1"/>
  <c r="C2923" i="3"/>
  <c r="D2923" i="3"/>
  <c r="E2923" i="3"/>
  <c r="F2923" i="3"/>
  <c r="G2923" i="3"/>
  <c r="H2923" i="3"/>
  <c r="I2923" i="3"/>
  <c r="J2923" i="3"/>
  <c r="B2924" i="3"/>
  <c r="K2924" i="3" s="1"/>
  <c r="C2924" i="3"/>
  <c r="D2924" i="3"/>
  <c r="E2924" i="3"/>
  <c r="F2924" i="3"/>
  <c r="G2924" i="3"/>
  <c r="H2924" i="3"/>
  <c r="I2924" i="3"/>
  <c r="J2924" i="3"/>
  <c r="B2925" i="3"/>
  <c r="K2925" i="3" s="1"/>
  <c r="C2925" i="3"/>
  <c r="D2925" i="3"/>
  <c r="E2925" i="3"/>
  <c r="F2925" i="3"/>
  <c r="G2925" i="3"/>
  <c r="H2925" i="3"/>
  <c r="I2925" i="3"/>
  <c r="J2925" i="3"/>
  <c r="B2926" i="3"/>
  <c r="K2926" i="3" s="1"/>
  <c r="C2926" i="3"/>
  <c r="D2926" i="3"/>
  <c r="E2926" i="3"/>
  <c r="F2926" i="3"/>
  <c r="G2926" i="3"/>
  <c r="H2926" i="3"/>
  <c r="I2926" i="3"/>
  <c r="J2926" i="3"/>
  <c r="B2927" i="3"/>
  <c r="K2927" i="3" s="1"/>
  <c r="C2927" i="3"/>
  <c r="D2927" i="3"/>
  <c r="E2927" i="3"/>
  <c r="F2927" i="3"/>
  <c r="G2927" i="3"/>
  <c r="H2927" i="3"/>
  <c r="I2927" i="3"/>
  <c r="J2927" i="3"/>
  <c r="B2928" i="3"/>
  <c r="K2928" i="3" s="1"/>
  <c r="C2928" i="3"/>
  <c r="D2928" i="3"/>
  <c r="E2928" i="3"/>
  <c r="F2928" i="3"/>
  <c r="G2928" i="3"/>
  <c r="H2928" i="3"/>
  <c r="I2928" i="3"/>
  <c r="J2928" i="3"/>
  <c r="B2929" i="3"/>
  <c r="K2929" i="3" s="1"/>
  <c r="C2929" i="3"/>
  <c r="D2929" i="3"/>
  <c r="E2929" i="3"/>
  <c r="F2929" i="3"/>
  <c r="G2929" i="3"/>
  <c r="H2929" i="3"/>
  <c r="I2929" i="3"/>
  <c r="J2929" i="3"/>
  <c r="B2930" i="3"/>
  <c r="K2930" i="3" s="1"/>
  <c r="C2930" i="3"/>
  <c r="D2930" i="3"/>
  <c r="E2930" i="3"/>
  <c r="F2930" i="3"/>
  <c r="G2930" i="3"/>
  <c r="H2930" i="3"/>
  <c r="I2930" i="3"/>
  <c r="J2930" i="3"/>
  <c r="B2931" i="3"/>
  <c r="K2931" i="3" s="1"/>
  <c r="C2931" i="3"/>
  <c r="D2931" i="3"/>
  <c r="E2931" i="3"/>
  <c r="F2931" i="3"/>
  <c r="G2931" i="3"/>
  <c r="H2931" i="3"/>
  <c r="I2931" i="3"/>
  <c r="J2931" i="3"/>
  <c r="B2932" i="3"/>
  <c r="K2932" i="3" s="1"/>
  <c r="C2932" i="3"/>
  <c r="D2932" i="3"/>
  <c r="E2932" i="3"/>
  <c r="F2932" i="3"/>
  <c r="G2932" i="3"/>
  <c r="H2932" i="3"/>
  <c r="I2932" i="3"/>
  <c r="J2932" i="3"/>
  <c r="B2933" i="3"/>
  <c r="K2933" i="3" s="1"/>
  <c r="C2933" i="3"/>
  <c r="D2933" i="3"/>
  <c r="E2933" i="3"/>
  <c r="F2933" i="3"/>
  <c r="G2933" i="3"/>
  <c r="H2933" i="3"/>
  <c r="I2933" i="3"/>
  <c r="J2933" i="3"/>
  <c r="B2934" i="3"/>
  <c r="K2934" i="3" s="1"/>
  <c r="C2934" i="3"/>
  <c r="D2934" i="3"/>
  <c r="E2934" i="3"/>
  <c r="F2934" i="3"/>
  <c r="G2934" i="3"/>
  <c r="H2934" i="3"/>
  <c r="I2934" i="3"/>
  <c r="J2934" i="3"/>
  <c r="B2935" i="3"/>
  <c r="K2935" i="3" s="1"/>
  <c r="C2935" i="3"/>
  <c r="D2935" i="3"/>
  <c r="E2935" i="3"/>
  <c r="F2935" i="3"/>
  <c r="G2935" i="3"/>
  <c r="H2935" i="3"/>
  <c r="I2935" i="3"/>
  <c r="J2935" i="3"/>
  <c r="B2936" i="3"/>
  <c r="K2936" i="3" s="1"/>
  <c r="C2936" i="3"/>
  <c r="D2936" i="3"/>
  <c r="E2936" i="3"/>
  <c r="F2936" i="3"/>
  <c r="G2936" i="3"/>
  <c r="H2936" i="3"/>
  <c r="I2936" i="3"/>
  <c r="J2936" i="3"/>
  <c r="B2937" i="3"/>
  <c r="K2937" i="3" s="1"/>
  <c r="C2937" i="3"/>
  <c r="D2937" i="3"/>
  <c r="E2937" i="3"/>
  <c r="F2937" i="3"/>
  <c r="G2937" i="3"/>
  <c r="H2937" i="3"/>
  <c r="I2937" i="3"/>
  <c r="J2937" i="3"/>
  <c r="B2938" i="3"/>
  <c r="K2938" i="3" s="1"/>
  <c r="C2938" i="3"/>
  <c r="D2938" i="3"/>
  <c r="E2938" i="3"/>
  <c r="F2938" i="3"/>
  <c r="G2938" i="3"/>
  <c r="H2938" i="3"/>
  <c r="I2938" i="3"/>
  <c r="J2938" i="3"/>
  <c r="B2939" i="3"/>
  <c r="K2939" i="3" s="1"/>
  <c r="C2939" i="3"/>
  <c r="D2939" i="3"/>
  <c r="E2939" i="3"/>
  <c r="F2939" i="3"/>
  <c r="G2939" i="3"/>
  <c r="H2939" i="3"/>
  <c r="I2939" i="3"/>
  <c r="J2939" i="3"/>
  <c r="B2940" i="3"/>
  <c r="K2940" i="3" s="1"/>
  <c r="C2940" i="3"/>
  <c r="D2940" i="3"/>
  <c r="E2940" i="3"/>
  <c r="F2940" i="3"/>
  <c r="G2940" i="3"/>
  <c r="H2940" i="3"/>
  <c r="I2940" i="3"/>
  <c r="J2940" i="3"/>
  <c r="B2941" i="3"/>
  <c r="K2941" i="3" s="1"/>
  <c r="C2941" i="3"/>
  <c r="D2941" i="3"/>
  <c r="E2941" i="3"/>
  <c r="F2941" i="3"/>
  <c r="G2941" i="3"/>
  <c r="H2941" i="3"/>
  <c r="I2941" i="3"/>
  <c r="J2941" i="3"/>
  <c r="B2942" i="3"/>
  <c r="K2942" i="3" s="1"/>
  <c r="C2942" i="3"/>
  <c r="D2942" i="3"/>
  <c r="E2942" i="3"/>
  <c r="F2942" i="3"/>
  <c r="G2942" i="3"/>
  <c r="H2942" i="3"/>
  <c r="I2942" i="3"/>
  <c r="J2942" i="3"/>
  <c r="B2943" i="3"/>
  <c r="K2943" i="3" s="1"/>
  <c r="C2943" i="3"/>
  <c r="D2943" i="3"/>
  <c r="E2943" i="3"/>
  <c r="F2943" i="3"/>
  <c r="G2943" i="3"/>
  <c r="H2943" i="3"/>
  <c r="I2943" i="3"/>
  <c r="J2943" i="3"/>
  <c r="B2944" i="3"/>
  <c r="K2944" i="3" s="1"/>
  <c r="C2944" i="3"/>
  <c r="D2944" i="3"/>
  <c r="E2944" i="3"/>
  <c r="F2944" i="3"/>
  <c r="G2944" i="3"/>
  <c r="H2944" i="3"/>
  <c r="I2944" i="3"/>
  <c r="J2944" i="3"/>
  <c r="B2945" i="3"/>
  <c r="K2945" i="3" s="1"/>
  <c r="C2945" i="3"/>
  <c r="D2945" i="3"/>
  <c r="E2945" i="3"/>
  <c r="F2945" i="3"/>
  <c r="G2945" i="3"/>
  <c r="H2945" i="3"/>
  <c r="I2945" i="3"/>
  <c r="J2945" i="3"/>
  <c r="B2946" i="3"/>
  <c r="K2946" i="3" s="1"/>
  <c r="C2946" i="3"/>
  <c r="D2946" i="3"/>
  <c r="E2946" i="3"/>
  <c r="F2946" i="3"/>
  <c r="G2946" i="3"/>
  <c r="H2946" i="3"/>
  <c r="I2946" i="3"/>
  <c r="J2946" i="3"/>
  <c r="B2947" i="3"/>
  <c r="C2947" i="3"/>
  <c r="D2947" i="3"/>
  <c r="E2947" i="3"/>
  <c r="F2947" i="3"/>
  <c r="G2947" i="3"/>
  <c r="H2947" i="3"/>
  <c r="I2947" i="3"/>
  <c r="J2947" i="3"/>
  <c r="K2947" i="3"/>
  <c r="B2948" i="3"/>
  <c r="K2948" i="3" s="1"/>
  <c r="C2948" i="3"/>
  <c r="D2948" i="3"/>
  <c r="E2948" i="3"/>
  <c r="F2948" i="3"/>
  <c r="G2948" i="3"/>
  <c r="H2948" i="3"/>
  <c r="I2948" i="3"/>
  <c r="J2948" i="3"/>
  <c r="B2949" i="3"/>
  <c r="K2949" i="3" s="1"/>
  <c r="C2949" i="3"/>
  <c r="D2949" i="3"/>
  <c r="E2949" i="3"/>
  <c r="F2949" i="3"/>
  <c r="G2949" i="3"/>
  <c r="H2949" i="3"/>
  <c r="I2949" i="3"/>
  <c r="J2949" i="3"/>
  <c r="B2950" i="3"/>
  <c r="K2950" i="3" s="1"/>
  <c r="C2950" i="3"/>
  <c r="D2950" i="3"/>
  <c r="E2950" i="3"/>
  <c r="F2950" i="3"/>
  <c r="G2950" i="3"/>
  <c r="H2950" i="3"/>
  <c r="I2950" i="3"/>
  <c r="J2950" i="3"/>
  <c r="B2951" i="3"/>
  <c r="K2951" i="3" s="1"/>
  <c r="C2951" i="3"/>
  <c r="D2951" i="3"/>
  <c r="E2951" i="3"/>
  <c r="F2951" i="3"/>
  <c r="G2951" i="3"/>
  <c r="H2951" i="3"/>
  <c r="I2951" i="3"/>
  <c r="J2951" i="3"/>
  <c r="B2952" i="3"/>
  <c r="K2952" i="3" s="1"/>
  <c r="C2952" i="3"/>
  <c r="D2952" i="3"/>
  <c r="E2952" i="3"/>
  <c r="F2952" i="3"/>
  <c r="G2952" i="3"/>
  <c r="H2952" i="3"/>
  <c r="I2952" i="3"/>
  <c r="J2952" i="3"/>
  <c r="B2953" i="3"/>
  <c r="K2953" i="3" s="1"/>
  <c r="C2953" i="3"/>
  <c r="D2953" i="3"/>
  <c r="E2953" i="3"/>
  <c r="F2953" i="3"/>
  <c r="G2953" i="3"/>
  <c r="H2953" i="3"/>
  <c r="I2953" i="3"/>
  <c r="J2953" i="3"/>
  <c r="B2954" i="3"/>
  <c r="K2954" i="3" s="1"/>
  <c r="C2954" i="3"/>
  <c r="D2954" i="3"/>
  <c r="E2954" i="3"/>
  <c r="F2954" i="3"/>
  <c r="G2954" i="3"/>
  <c r="H2954" i="3"/>
  <c r="I2954" i="3"/>
  <c r="J2954" i="3"/>
  <c r="B2955" i="3"/>
  <c r="K2955" i="3" s="1"/>
  <c r="C2955" i="3"/>
  <c r="D2955" i="3"/>
  <c r="E2955" i="3"/>
  <c r="F2955" i="3"/>
  <c r="G2955" i="3"/>
  <c r="H2955" i="3"/>
  <c r="I2955" i="3"/>
  <c r="J2955" i="3"/>
  <c r="B2956" i="3"/>
  <c r="K2956" i="3" s="1"/>
  <c r="C2956" i="3"/>
  <c r="D2956" i="3"/>
  <c r="E2956" i="3"/>
  <c r="F2956" i="3"/>
  <c r="G2956" i="3"/>
  <c r="H2956" i="3"/>
  <c r="I2956" i="3"/>
  <c r="J2956" i="3"/>
  <c r="B2957" i="3"/>
  <c r="K2957" i="3" s="1"/>
  <c r="C2957" i="3"/>
  <c r="D2957" i="3"/>
  <c r="E2957" i="3"/>
  <c r="F2957" i="3"/>
  <c r="G2957" i="3"/>
  <c r="H2957" i="3"/>
  <c r="I2957" i="3"/>
  <c r="J2957" i="3"/>
  <c r="B2958" i="3"/>
  <c r="K2958" i="3" s="1"/>
  <c r="C2958" i="3"/>
  <c r="D2958" i="3"/>
  <c r="E2958" i="3"/>
  <c r="F2958" i="3"/>
  <c r="G2958" i="3"/>
  <c r="H2958" i="3"/>
  <c r="I2958" i="3"/>
  <c r="J2958" i="3"/>
  <c r="B2959" i="3"/>
  <c r="K2959" i="3" s="1"/>
  <c r="C2959" i="3"/>
  <c r="D2959" i="3"/>
  <c r="E2959" i="3"/>
  <c r="F2959" i="3"/>
  <c r="G2959" i="3"/>
  <c r="H2959" i="3"/>
  <c r="I2959" i="3"/>
  <c r="J2959" i="3"/>
  <c r="B2960" i="3"/>
  <c r="K2960" i="3" s="1"/>
  <c r="C2960" i="3"/>
  <c r="D2960" i="3"/>
  <c r="E2960" i="3"/>
  <c r="F2960" i="3"/>
  <c r="G2960" i="3"/>
  <c r="H2960" i="3"/>
  <c r="I2960" i="3"/>
  <c r="J2960" i="3"/>
  <c r="B2961" i="3"/>
  <c r="K2961" i="3" s="1"/>
  <c r="C2961" i="3"/>
  <c r="D2961" i="3"/>
  <c r="E2961" i="3"/>
  <c r="F2961" i="3"/>
  <c r="G2961" i="3"/>
  <c r="H2961" i="3"/>
  <c r="I2961" i="3"/>
  <c r="J2961" i="3"/>
  <c r="B2962" i="3"/>
  <c r="K2962" i="3" s="1"/>
  <c r="C2962" i="3"/>
  <c r="D2962" i="3"/>
  <c r="E2962" i="3"/>
  <c r="F2962" i="3"/>
  <c r="G2962" i="3"/>
  <c r="H2962" i="3"/>
  <c r="I2962" i="3"/>
  <c r="J2962" i="3"/>
  <c r="B2963" i="3"/>
  <c r="K2963" i="3" s="1"/>
  <c r="C2963" i="3"/>
  <c r="D2963" i="3"/>
  <c r="E2963" i="3"/>
  <c r="F2963" i="3"/>
  <c r="G2963" i="3"/>
  <c r="H2963" i="3"/>
  <c r="I2963" i="3"/>
  <c r="J2963" i="3"/>
  <c r="B2964" i="3"/>
  <c r="K2964" i="3" s="1"/>
  <c r="C2964" i="3"/>
  <c r="D2964" i="3"/>
  <c r="E2964" i="3"/>
  <c r="F2964" i="3"/>
  <c r="G2964" i="3"/>
  <c r="H2964" i="3"/>
  <c r="I2964" i="3"/>
  <c r="J2964" i="3"/>
  <c r="B2965" i="3"/>
  <c r="K2965" i="3" s="1"/>
  <c r="C2965" i="3"/>
  <c r="D2965" i="3"/>
  <c r="E2965" i="3"/>
  <c r="F2965" i="3"/>
  <c r="G2965" i="3"/>
  <c r="H2965" i="3"/>
  <c r="I2965" i="3"/>
  <c r="J2965" i="3"/>
  <c r="B2966" i="3"/>
  <c r="K2966" i="3" s="1"/>
  <c r="C2966" i="3"/>
  <c r="D2966" i="3"/>
  <c r="E2966" i="3"/>
  <c r="F2966" i="3"/>
  <c r="G2966" i="3"/>
  <c r="H2966" i="3"/>
  <c r="I2966" i="3"/>
  <c r="J2966" i="3"/>
  <c r="B2967" i="3"/>
  <c r="K2967" i="3" s="1"/>
  <c r="C2967" i="3"/>
  <c r="D2967" i="3"/>
  <c r="E2967" i="3"/>
  <c r="F2967" i="3"/>
  <c r="G2967" i="3"/>
  <c r="H2967" i="3"/>
  <c r="I2967" i="3"/>
  <c r="J2967" i="3"/>
  <c r="B2968" i="3"/>
  <c r="K2968" i="3" s="1"/>
  <c r="C2968" i="3"/>
  <c r="D2968" i="3"/>
  <c r="E2968" i="3"/>
  <c r="F2968" i="3"/>
  <c r="G2968" i="3"/>
  <c r="H2968" i="3"/>
  <c r="I2968" i="3"/>
  <c r="J2968" i="3"/>
  <c r="B2969" i="3"/>
  <c r="K2969" i="3" s="1"/>
  <c r="C2969" i="3"/>
  <c r="D2969" i="3"/>
  <c r="E2969" i="3"/>
  <c r="F2969" i="3"/>
  <c r="G2969" i="3"/>
  <c r="H2969" i="3"/>
  <c r="I2969" i="3"/>
  <c r="J2969" i="3"/>
  <c r="B2970" i="3"/>
  <c r="K2970" i="3" s="1"/>
  <c r="C2970" i="3"/>
  <c r="D2970" i="3"/>
  <c r="E2970" i="3"/>
  <c r="F2970" i="3"/>
  <c r="G2970" i="3"/>
  <c r="H2970" i="3"/>
  <c r="I2970" i="3"/>
  <c r="J2970" i="3"/>
  <c r="B2971" i="3"/>
  <c r="K2971" i="3" s="1"/>
  <c r="C2971" i="3"/>
  <c r="D2971" i="3"/>
  <c r="E2971" i="3"/>
  <c r="F2971" i="3"/>
  <c r="G2971" i="3"/>
  <c r="H2971" i="3"/>
  <c r="I2971" i="3"/>
  <c r="J2971" i="3"/>
  <c r="B2972" i="3"/>
  <c r="K2972" i="3" s="1"/>
  <c r="C2972" i="3"/>
  <c r="D2972" i="3"/>
  <c r="E2972" i="3"/>
  <c r="F2972" i="3"/>
  <c r="G2972" i="3"/>
  <c r="H2972" i="3"/>
  <c r="I2972" i="3"/>
  <c r="J2972" i="3"/>
  <c r="B2973" i="3"/>
  <c r="K2973" i="3" s="1"/>
  <c r="C2973" i="3"/>
  <c r="D2973" i="3"/>
  <c r="E2973" i="3"/>
  <c r="F2973" i="3"/>
  <c r="G2973" i="3"/>
  <c r="H2973" i="3"/>
  <c r="I2973" i="3"/>
  <c r="J2973" i="3"/>
  <c r="B2974" i="3"/>
  <c r="K2974" i="3" s="1"/>
  <c r="C2974" i="3"/>
  <c r="D2974" i="3"/>
  <c r="E2974" i="3"/>
  <c r="F2974" i="3"/>
  <c r="G2974" i="3"/>
  <c r="H2974" i="3"/>
  <c r="I2974" i="3"/>
  <c r="J2974" i="3"/>
  <c r="B2975" i="3"/>
  <c r="K2975" i="3" s="1"/>
  <c r="C2975" i="3"/>
  <c r="D2975" i="3"/>
  <c r="E2975" i="3"/>
  <c r="F2975" i="3"/>
  <c r="G2975" i="3"/>
  <c r="H2975" i="3"/>
  <c r="I2975" i="3"/>
  <c r="J2975" i="3"/>
  <c r="B2976" i="3"/>
  <c r="K2976" i="3" s="1"/>
  <c r="C2976" i="3"/>
  <c r="D2976" i="3"/>
  <c r="E2976" i="3"/>
  <c r="F2976" i="3"/>
  <c r="G2976" i="3"/>
  <c r="H2976" i="3"/>
  <c r="I2976" i="3"/>
  <c r="J2976" i="3"/>
  <c r="B2977" i="3"/>
  <c r="K2977" i="3" s="1"/>
  <c r="C2977" i="3"/>
  <c r="D2977" i="3"/>
  <c r="E2977" i="3"/>
  <c r="F2977" i="3"/>
  <c r="G2977" i="3"/>
  <c r="H2977" i="3"/>
  <c r="I2977" i="3"/>
  <c r="J2977" i="3"/>
  <c r="B2978" i="3"/>
  <c r="K2978" i="3" s="1"/>
  <c r="C2978" i="3"/>
  <c r="D2978" i="3"/>
  <c r="E2978" i="3"/>
  <c r="F2978" i="3"/>
  <c r="G2978" i="3"/>
  <c r="H2978" i="3"/>
  <c r="I2978" i="3"/>
  <c r="J2978" i="3"/>
  <c r="B2979" i="3"/>
  <c r="C2979" i="3"/>
  <c r="D2979" i="3"/>
  <c r="E2979" i="3"/>
  <c r="F2979" i="3"/>
  <c r="G2979" i="3"/>
  <c r="H2979" i="3"/>
  <c r="I2979" i="3"/>
  <c r="J2979" i="3"/>
  <c r="K2979" i="3"/>
  <c r="B2980" i="3"/>
  <c r="K2980" i="3" s="1"/>
  <c r="C2980" i="3"/>
  <c r="D2980" i="3"/>
  <c r="E2980" i="3"/>
  <c r="F2980" i="3"/>
  <c r="G2980" i="3"/>
  <c r="H2980" i="3"/>
  <c r="I2980" i="3"/>
  <c r="J2980" i="3"/>
  <c r="B2981" i="3"/>
  <c r="K2981" i="3" s="1"/>
  <c r="C2981" i="3"/>
  <c r="D2981" i="3"/>
  <c r="E2981" i="3"/>
  <c r="F2981" i="3"/>
  <c r="G2981" i="3"/>
  <c r="H2981" i="3"/>
  <c r="I2981" i="3"/>
  <c r="J2981" i="3"/>
  <c r="B2982" i="3"/>
  <c r="K2982" i="3" s="1"/>
  <c r="C2982" i="3"/>
  <c r="D2982" i="3"/>
  <c r="E2982" i="3"/>
  <c r="F2982" i="3"/>
  <c r="G2982" i="3"/>
  <c r="H2982" i="3"/>
  <c r="I2982" i="3"/>
  <c r="J2982" i="3"/>
  <c r="B2983" i="3"/>
  <c r="K2983" i="3" s="1"/>
  <c r="C2983" i="3"/>
  <c r="D2983" i="3"/>
  <c r="E2983" i="3"/>
  <c r="F2983" i="3"/>
  <c r="G2983" i="3"/>
  <c r="H2983" i="3"/>
  <c r="I2983" i="3"/>
  <c r="J2983" i="3"/>
  <c r="B2984" i="3"/>
  <c r="K2984" i="3" s="1"/>
  <c r="C2984" i="3"/>
  <c r="D2984" i="3"/>
  <c r="E2984" i="3"/>
  <c r="F2984" i="3"/>
  <c r="G2984" i="3"/>
  <c r="H2984" i="3"/>
  <c r="I2984" i="3"/>
  <c r="J2984" i="3"/>
  <c r="B2985" i="3"/>
  <c r="K2985" i="3" s="1"/>
  <c r="C2985" i="3"/>
  <c r="D2985" i="3"/>
  <c r="E2985" i="3"/>
  <c r="F2985" i="3"/>
  <c r="G2985" i="3"/>
  <c r="H2985" i="3"/>
  <c r="I2985" i="3"/>
  <c r="J2985" i="3"/>
  <c r="B2986" i="3"/>
  <c r="K2986" i="3" s="1"/>
  <c r="C2986" i="3"/>
  <c r="D2986" i="3"/>
  <c r="E2986" i="3"/>
  <c r="F2986" i="3"/>
  <c r="G2986" i="3"/>
  <c r="H2986" i="3"/>
  <c r="I2986" i="3"/>
  <c r="J2986" i="3"/>
  <c r="B2987" i="3"/>
  <c r="K2987" i="3" s="1"/>
  <c r="C2987" i="3"/>
  <c r="D2987" i="3"/>
  <c r="E2987" i="3"/>
  <c r="F2987" i="3"/>
  <c r="G2987" i="3"/>
  <c r="H2987" i="3"/>
  <c r="I2987" i="3"/>
  <c r="J2987" i="3"/>
  <c r="B2988" i="3"/>
  <c r="K2988" i="3" s="1"/>
  <c r="C2988" i="3"/>
  <c r="D2988" i="3"/>
  <c r="E2988" i="3"/>
  <c r="F2988" i="3"/>
  <c r="G2988" i="3"/>
  <c r="H2988" i="3"/>
  <c r="I2988" i="3"/>
  <c r="J2988" i="3"/>
  <c r="B2989" i="3"/>
  <c r="K2989" i="3" s="1"/>
  <c r="C2989" i="3"/>
  <c r="D2989" i="3"/>
  <c r="E2989" i="3"/>
  <c r="F2989" i="3"/>
  <c r="G2989" i="3"/>
  <c r="H2989" i="3"/>
  <c r="I2989" i="3"/>
  <c r="J2989" i="3"/>
  <c r="B2990" i="3"/>
  <c r="K2990" i="3" s="1"/>
  <c r="C2990" i="3"/>
  <c r="D2990" i="3"/>
  <c r="E2990" i="3"/>
  <c r="F2990" i="3"/>
  <c r="G2990" i="3"/>
  <c r="H2990" i="3"/>
  <c r="I2990" i="3"/>
  <c r="J2990" i="3"/>
  <c r="B2991" i="3"/>
  <c r="K2991" i="3" s="1"/>
  <c r="C2991" i="3"/>
  <c r="D2991" i="3"/>
  <c r="E2991" i="3"/>
  <c r="F2991" i="3"/>
  <c r="G2991" i="3"/>
  <c r="H2991" i="3"/>
  <c r="I2991" i="3"/>
  <c r="J2991" i="3"/>
  <c r="B2992" i="3"/>
  <c r="K2992" i="3" s="1"/>
  <c r="C2992" i="3"/>
  <c r="D2992" i="3"/>
  <c r="E2992" i="3"/>
  <c r="F2992" i="3"/>
  <c r="G2992" i="3"/>
  <c r="H2992" i="3"/>
  <c r="I2992" i="3"/>
  <c r="J2992" i="3"/>
  <c r="B2993" i="3"/>
  <c r="K2993" i="3" s="1"/>
  <c r="C2993" i="3"/>
  <c r="D2993" i="3"/>
  <c r="E2993" i="3"/>
  <c r="F2993" i="3"/>
  <c r="G2993" i="3"/>
  <c r="H2993" i="3"/>
  <c r="I2993" i="3"/>
  <c r="J2993" i="3"/>
  <c r="B2994" i="3"/>
  <c r="K2994" i="3" s="1"/>
  <c r="C2994" i="3"/>
  <c r="D2994" i="3"/>
  <c r="E2994" i="3"/>
  <c r="F2994" i="3"/>
  <c r="G2994" i="3"/>
  <c r="H2994" i="3"/>
  <c r="I2994" i="3"/>
  <c r="J2994" i="3"/>
  <c r="B2995" i="3"/>
  <c r="C2995" i="3"/>
  <c r="D2995" i="3"/>
  <c r="E2995" i="3"/>
  <c r="F2995" i="3"/>
  <c r="G2995" i="3"/>
  <c r="H2995" i="3"/>
  <c r="I2995" i="3"/>
  <c r="J2995" i="3"/>
  <c r="K2995" i="3"/>
  <c r="B2996" i="3"/>
  <c r="K2996" i="3" s="1"/>
  <c r="C2996" i="3"/>
  <c r="D2996" i="3"/>
  <c r="E2996" i="3"/>
  <c r="F2996" i="3"/>
  <c r="G2996" i="3"/>
  <c r="H2996" i="3"/>
  <c r="I2996" i="3"/>
  <c r="J2996" i="3"/>
  <c r="B2997" i="3"/>
  <c r="K2997" i="3" s="1"/>
  <c r="C2997" i="3"/>
  <c r="D2997" i="3"/>
  <c r="E2997" i="3"/>
  <c r="F2997" i="3"/>
  <c r="G2997" i="3"/>
  <c r="H2997" i="3"/>
  <c r="I2997" i="3"/>
  <c r="J2997" i="3"/>
  <c r="B2998" i="3"/>
  <c r="K2998" i="3" s="1"/>
  <c r="C2998" i="3"/>
  <c r="D2998" i="3"/>
  <c r="E2998" i="3"/>
  <c r="F2998" i="3"/>
  <c r="G2998" i="3"/>
  <c r="H2998" i="3"/>
  <c r="I2998" i="3"/>
  <c r="J2998" i="3"/>
  <c r="B2999" i="3"/>
  <c r="K2999" i="3" s="1"/>
  <c r="C2999" i="3"/>
  <c r="D2999" i="3"/>
  <c r="E2999" i="3"/>
  <c r="F2999" i="3"/>
  <c r="G2999" i="3"/>
  <c r="H2999" i="3"/>
  <c r="I2999" i="3"/>
  <c r="J2999" i="3"/>
  <c r="B3000" i="3"/>
  <c r="K3000" i="3" s="1"/>
  <c r="C3000" i="3"/>
  <c r="D3000" i="3"/>
  <c r="E3000" i="3"/>
  <c r="F3000" i="3"/>
  <c r="G3000" i="3"/>
  <c r="H3000" i="3"/>
  <c r="I3000" i="3"/>
  <c r="J3000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7" i="3"/>
  <c r="K1324" i="3" l="1"/>
  <c r="K1308" i="3"/>
  <c r="K1296" i="3"/>
  <c r="K1276" i="3"/>
  <c r="K1264" i="3"/>
  <c r="K1316" i="3"/>
  <c r="K1300" i="3"/>
  <c r="K1272" i="3"/>
  <c r="K1244" i="3"/>
  <c r="K1232" i="3"/>
  <c r="K1224" i="3"/>
  <c r="K1216" i="3"/>
  <c r="K1003" i="3"/>
  <c r="K995" i="3"/>
  <c r="K975" i="3"/>
  <c r="K1204" i="3"/>
  <c r="K1176" i="3"/>
  <c r="K1140" i="3"/>
  <c r="K1132" i="3"/>
  <c r="K1120" i="3"/>
  <c r="K1088" i="3"/>
  <c r="K1377" i="3"/>
  <c r="K1369" i="3"/>
  <c r="K1361" i="3"/>
  <c r="K1341" i="3"/>
  <c r="K1333" i="3"/>
  <c r="K1076" i="3"/>
  <c r="K1064" i="3"/>
  <c r="K1048" i="3"/>
  <c r="K1329" i="3"/>
  <c r="K1325" i="3"/>
  <c r="K1321" i="3"/>
  <c r="K1317" i="3"/>
  <c r="K1313" i="3"/>
  <c r="K1309" i="3"/>
  <c r="K1305" i="3"/>
  <c r="K1301" i="3"/>
  <c r="K1297" i="3"/>
  <c r="K1293" i="3"/>
  <c r="K1289" i="3"/>
  <c r="K1285" i="3"/>
  <c r="K1281" i="3"/>
  <c r="K1277" i="3"/>
  <c r="K1273" i="3"/>
  <c r="K1269" i="3"/>
  <c r="K1265" i="3"/>
  <c r="K1261" i="3"/>
  <c r="K1257" i="3"/>
  <c r="K1253" i="3"/>
  <c r="K1249" i="3"/>
  <c r="K1245" i="3"/>
  <c r="K1241" i="3"/>
  <c r="K1237" i="3"/>
  <c r="K1233" i="3"/>
  <c r="K1229" i="3"/>
  <c r="K1225" i="3"/>
  <c r="K1221" i="3"/>
  <c r="K1217" i="3"/>
  <c r="K1213" i="3"/>
  <c r="K1328" i="3"/>
  <c r="K1288" i="3"/>
  <c r="K1260" i="3"/>
  <c r="K1252" i="3"/>
  <c r="K999" i="3"/>
  <c r="K991" i="3"/>
  <c r="K983" i="3"/>
  <c r="K1208" i="3"/>
  <c r="K1200" i="3"/>
  <c r="K1192" i="3"/>
  <c r="K1184" i="3"/>
  <c r="K1160" i="3"/>
  <c r="K1152" i="3"/>
  <c r="K1144" i="3"/>
  <c r="K1136" i="3"/>
  <c r="K1128" i="3"/>
  <c r="K1116" i="3"/>
  <c r="K1096" i="3"/>
  <c r="K1365" i="3"/>
  <c r="K1357" i="3"/>
  <c r="K1349" i="3"/>
  <c r="K1337" i="3"/>
  <c r="K1072" i="3"/>
  <c r="K1056" i="3"/>
  <c r="K1036" i="3"/>
  <c r="K1320" i="3"/>
  <c r="K1312" i="3"/>
  <c r="K1292" i="3"/>
  <c r="K1284" i="3"/>
  <c r="K1236" i="3"/>
  <c r="K1228" i="3"/>
  <c r="K1220" i="3"/>
  <c r="K1212" i="3"/>
  <c r="K987" i="3"/>
  <c r="K979" i="3"/>
  <c r="K1168" i="3"/>
  <c r="K1124" i="3"/>
  <c r="K1112" i="3"/>
  <c r="K1104" i="3"/>
  <c r="K1373" i="3"/>
  <c r="K1353" i="3"/>
  <c r="K1345" i="3"/>
  <c r="K1068" i="3"/>
  <c r="K1060" i="3"/>
  <c r="K1040" i="3"/>
  <c r="K1304" i="3"/>
  <c r="K1280" i="3"/>
  <c r="K1268" i="3"/>
  <c r="K1256" i="3"/>
  <c r="K1248" i="3"/>
  <c r="K1240" i="3"/>
  <c r="K1196" i="3"/>
  <c r="K1188" i="3"/>
  <c r="K1180" i="3"/>
  <c r="K1172" i="3"/>
  <c r="K1164" i="3"/>
  <c r="K1156" i="3"/>
  <c r="K1148" i="3"/>
  <c r="K1108" i="3"/>
  <c r="K1100" i="3"/>
  <c r="K1092" i="3"/>
  <c r="K1084" i="3"/>
  <c r="K1080" i="3"/>
  <c r="K1052" i="3"/>
  <c r="K1044" i="3"/>
  <c r="K910" i="3"/>
  <c r="K894" i="3"/>
  <c r="K1028" i="3"/>
  <c r="K1020" i="3"/>
  <c r="K1181" i="3"/>
  <c r="K1157" i="3"/>
  <c r="K1153" i="3"/>
  <c r="K1149" i="3"/>
  <c r="K1141" i="3"/>
  <c r="K1133" i="3"/>
  <c r="K1129" i="3"/>
  <c r="K1113" i="3"/>
  <c r="K1097" i="3"/>
  <c r="K1089" i="3"/>
  <c r="K1085" i="3"/>
  <c r="K1016" i="3"/>
  <c r="K1012" i="3"/>
  <c r="K1008" i="3"/>
  <c r="K955" i="3"/>
  <c r="K951" i="3"/>
  <c r="K947" i="3"/>
  <c r="K943" i="3"/>
  <c r="K939" i="3"/>
  <c r="K935" i="3"/>
  <c r="K931" i="3"/>
  <c r="K1374" i="3"/>
  <c r="K1370" i="3"/>
  <c r="K1366" i="3"/>
  <c r="K1362" i="3"/>
  <c r="K1358" i="3"/>
  <c r="K1354" i="3"/>
  <c r="K1350" i="3"/>
  <c r="K1346" i="3"/>
  <c r="K1342" i="3"/>
  <c r="K1338" i="3"/>
  <c r="K1334" i="3"/>
  <c r="K1081" i="3"/>
  <c r="K1077" i="3"/>
  <c r="K1330" i="3"/>
  <c r="K1326" i="3"/>
  <c r="K1322" i="3"/>
  <c r="K1318" i="3"/>
  <c r="K1314" i="3"/>
  <c r="K1310" i="3"/>
  <c r="K1306" i="3"/>
  <c r="K1302" i="3"/>
  <c r="K1298" i="3"/>
  <c r="K1294" i="3"/>
  <c r="K1290" i="3"/>
  <c r="K1286" i="3"/>
  <c r="K1282" i="3"/>
  <c r="K1278" i="3"/>
  <c r="K1274" i="3"/>
  <c r="K1270" i="3"/>
  <c r="K1266" i="3"/>
  <c r="K1262" i="3"/>
  <c r="K1258" i="3"/>
  <c r="K898" i="3"/>
  <c r="K1347" i="3"/>
  <c r="K1343" i="3"/>
  <c r="K1339" i="3"/>
  <c r="K1335" i="3"/>
  <c r="K914" i="3"/>
  <c r="K906" i="3"/>
  <c r="K902" i="3"/>
  <c r="K1032" i="3"/>
  <c r="K1024" i="3"/>
  <c r="K971" i="3"/>
  <c r="K967" i="3"/>
  <c r="K963" i="3"/>
  <c r="K959" i="3"/>
  <c r="K1209" i="3"/>
  <c r="K1205" i="3"/>
  <c r="K1201" i="3"/>
  <c r="K1197" i="3"/>
  <c r="K1193" i="3"/>
  <c r="K1189" i="3"/>
  <c r="K1185" i="3"/>
  <c r="K1177" i="3"/>
  <c r="K1173" i="3"/>
  <c r="K1169" i="3"/>
  <c r="K1165" i="3"/>
  <c r="K1161" i="3"/>
  <c r="K1145" i="3"/>
  <c r="K1137" i="3"/>
  <c r="K1125" i="3"/>
  <c r="K1121" i="3"/>
  <c r="K1117" i="3"/>
  <c r="K1109" i="3"/>
  <c r="K1105" i="3"/>
  <c r="K1101" i="3"/>
  <c r="K1093" i="3"/>
  <c r="K1254" i="3"/>
  <c r="K1250" i="3"/>
  <c r="K1246" i="3"/>
  <c r="K1242" i="3"/>
  <c r="K1238" i="3"/>
  <c r="K1234" i="3"/>
  <c r="K1230" i="3"/>
  <c r="K1226" i="3"/>
  <c r="K1222" i="3"/>
  <c r="K1218" i="3"/>
  <c r="K1214" i="3"/>
  <c r="K1073" i="3"/>
  <c r="K1069" i="3"/>
  <c r="K1065" i="3"/>
  <c r="K1061" i="3"/>
  <c r="K1057" i="3"/>
  <c r="K1053" i="3"/>
  <c r="K1049" i="3"/>
  <c r="K1045" i="3"/>
  <c r="K1041" i="3"/>
  <c r="K1037" i="3"/>
  <c r="K1004" i="3"/>
  <c r="K1000" i="3"/>
  <c r="K996" i="3"/>
  <c r="K992" i="3"/>
  <c r="K988" i="3"/>
  <c r="K984" i="3"/>
  <c r="K980" i="3"/>
  <c r="K976" i="3"/>
  <c r="K927" i="3"/>
  <c r="K923" i="3"/>
  <c r="K919" i="3"/>
  <c r="K1375" i="3"/>
  <c r="K1371" i="3"/>
  <c r="K1367" i="3"/>
  <c r="K1363" i="3"/>
  <c r="K1359" i="3"/>
  <c r="K1355" i="3"/>
  <c r="K1351" i="3"/>
  <c r="K1210" i="3"/>
  <c r="K1206" i="3"/>
  <c r="K1202" i="3"/>
  <c r="K1198" i="3"/>
  <c r="K1194" i="3"/>
  <c r="K1190" i="3"/>
  <c r="K1186" i="3"/>
  <c r="K1182" i="3"/>
  <c r="K1178" i="3"/>
  <c r="K1174" i="3"/>
  <c r="K1170" i="3"/>
  <c r="K1166" i="3"/>
  <c r="K1162" i="3"/>
  <c r="K1158" i="3"/>
  <c r="K1154" i="3"/>
  <c r="K1150" i="3"/>
  <c r="K1146" i="3"/>
  <c r="K1142" i="3"/>
  <c r="K1138" i="3"/>
  <c r="K1134" i="3"/>
  <c r="K1130" i="3"/>
  <c r="K1126" i="3"/>
  <c r="K1122" i="3"/>
  <c r="K1118" i="3"/>
  <c r="K1114" i="3"/>
  <c r="K1110" i="3"/>
  <c r="K1106" i="3"/>
  <c r="K1102" i="3"/>
  <c r="K1098" i="3"/>
  <c r="K1094" i="3"/>
  <c r="K1090" i="3"/>
  <c r="K1086" i="3"/>
  <c r="K1033" i="3"/>
  <c r="K1029" i="3"/>
  <c r="K1025" i="3"/>
  <c r="K1021" i="3"/>
  <c r="K972" i="3"/>
  <c r="K968" i="3"/>
  <c r="K964" i="3"/>
  <c r="K960" i="3"/>
  <c r="K915" i="3"/>
  <c r="K911" i="3"/>
  <c r="K907" i="3"/>
  <c r="K903" i="3"/>
  <c r="K899" i="3"/>
  <c r="K895" i="3"/>
  <c r="K932" i="3"/>
  <c r="K1327" i="3"/>
  <c r="K1323" i="3"/>
  <c r="K1319" i="3"/>
  <c r="K1315" i="3"/>
  <c r="K1311" i="3"/>
  <c r="K1307" i="3"/>
  <c r="K1303" i="3"/>
  <c r="K1299" i="3"/>
  <c r="K1295" i="3"/>
  <c r="K1291" i="3"/>
  <c r="K1287" i="3"/>
  <c r="K1283" i="3"/>
  <c r="K1279" i="3"/>
  <c r="K1275" i="3"/>
  <c r="K1271" i="3"/>
  <c r="K1267" i="3"/>
  <c r="K1263" i="3"/>
  <c r="K1259" i="3"/>
  <c r="K1255" i="3"/>
  <c r="K1251" i="3"/>
  <c r="K1247" i="3"/>
  <c r="K1243" i="3"/>
  <c r="K1239" i="3"/>
  <c r="K1235" i="3"/>
  <c r="K1231" i="3"/>
  <c r="K1227" i="3"/>
  <c r="K1223" i="3"/>
  <c r="K1219" i="3"/>
  <c r="K1215" i="3"/>
  <c r="K1074" i="3"/>
  <c r="K1070" i="3"/>
  <c r="K1066" i="3"/>
  <c r="K1062" i="3"/>
  <c r="K1058" i="3"/>
  <c r="K1054" i="3"/>
  <c r="K1050" i="3"/>
  <c r="K1046" i="3"/>
  <c r="K1042" i="3"/>
  <c r="K1038" i="3"/>
  <c r="K1001" i="3"/>
  <c r="K997" i="3"/>
  <c r="K993" i="3"/>
  <c r="K989" i="3"/>
  <c r="K985" i="3"/>
  <c r="K981" i="3"/>
  <c r="K977" i="3"/>
  <c r="K928" i="3"/>
  <c r="K924" i="3"/>
  <c r="K920" i="3"/>
  <c r="K936" i="3"/>
  <c r="K1376" i="3"/>
  <c r="K1372" i="3"/>
  <c r="K1368" i="3"/>
  <c r="K1364" i="3"/>
  <c r="K1360" i="3"/>
  <c r="K1356" i="3"/>
  <c r="K1352" i="3"/>
  <c r="K1348" i="3"/>
  <c r="K1207" i="3"/>
  <c r="K1203" i="3"/>
  <c r="K1199" i="3"/>
  <c r="K1195" i="3"/>
  <c r="K1191" i="3"/>
  <c r="K1187" i="3"/>
  <c r="K1183" i="3"/>
  <c r="K1179" i="3"/>
  <c r="K1175" i="3"/>
  <c r="K1171" i="3"/>
  <c r="K1167" i="3"/>
  <c r="K1163" i="3"/>
  <c r="K1159" i="3"/>
  <c r="K1155" i="3"/>
  <c r="K1151" i="3"/>
  <c r="K1147" i="3"/>
  <c r="K1143" i="3"/>
  <c r="K1139" i="3"/>
  <c r="K1135" i="3"/>
  <c r="K1131" i="3"/>
  <c r="K1127" i="3"/>
  <c r="K1123" i="3"/>
  <c r="K1119" i="3"/>
  <c r="K1115" i="3"/>
  <c r="K1111" i="3"/>
  <c r="K1107" i="3"/>
  <c r="K1103" i="3"/>
  <c r="K1099" i="3"/>
  <c r="K1095" i="3"/>
  <c r="K1091" i="3"/>
  <c r="K1087" i="3"/>
  <c r="K1034" i="3"/>
  <c r="K1030" i="3"/>
  <c r="K1026" i="3"/>
  <c r="K1022" i="3"/>
  <c r="K969" i="3"/>
  <c r="K965" i="3"/>
  <c r="K961" i="3"/>
  <c r="K916" i="3"/>
  <c r="K912" i="3"/>
  <c r="K908" i="3"/>
  <c r="K904" i="3"/>
  <c r="K900" i="3"/>
  <c r="K896" i="3"/>
  <c r="K892" i="3"/>
  <c r="K1082" i="3"/>
  <c r="K1078" i="3"/>
  <c r="K1017" i="3"/>
  <c r="K1013" i="3"/>
  <c r="K1009" i="3"/>
  <c r="K956" i="3"/>
  <c r="K952" i="3"/>
  <c r="K948" i="3"/>
  <c r="K944" i="3"/>
  <c r="K940" i="3"/>
  <c r="K1344" i="3"/>
  <c r="K1340" i="3"/>
  <c r="K1336" i="3"/>
  <c r="K1332" i="3"/>
  <c r="K1079" i="3"/>
  <c r="K1018" i="3"/>
  <c r="K1014" i="3"/>
  <c r="K1010" i="3"/>
  <c r="K1006" i="3"/>
  <c r="K953" i="3"/>
  <c r="K949" i="3"/>
  <c r="K945" i="3"/>
  <c r="K941" i="3"/>
  <c r="K937" i="3"/>
  <c r="K933" i="3"/>
  <c r="M6" i="3" a="1"/>
  <c r="P8" i="3" s="1"/>
  <c r="AN84" i="3"/>
  <c r="AN89" i="3"/>
  <c r="AN65" i="3"/>
  <c r="AN97" i="3"/>
  <c r="AN109" i="3"/>
  <c r="AN101" i="3"/>
  <c r="AN88" i="3"/>
  <c r="AN75" i="3"/>
  <c r="AN72" i="3"/>
  <c r="AN58" i="3"/>
  <c r="AN59" i="3"/>
  <c r="AN56" i="3"/>
  <c r="AN85" i="3"/>
  <c r="AN69" i="3"/>
  <c r="AN68" i="3"/>
  <c r="AN106" i="3"/>
  <c r="AN103" i="3"/>
  <c r="AN105" i="3"/>
  <c r="AN90" i="3"/>
  <c r="AN87" i="3"/>
  <c r="AN53" i="3"/>
  <c r="AN102" i="3"/>
  <c r="AN74" i="3"/>
  <c r="AN71" i="3"/>
  <c r="AN54" i="3"/>
  <c r="AN52" i="3"/>
  <c r="AN112" i="3"/>
  <c r="AN99" i="3"/>
  <c r="AN73" i="3"/>
  <c r="AN55" i="3"/>
  <c r="AN108" i="3"/>
  <c r="AN96" i="3"/>
  <c r="AN86" i="3"/>
  <c r="AN70" i="3"/>
  <c r="AN57" i="3"/>
  <c r="AN92" i="3"/>
  <c r="AN83" i="3"/>
  <c r="AN80" i="3"/>
  <c r="AN67" i="3"/>
  <c r="AN50" i="3"/>
  <c r="AN93" i="3"/>
  <c r="AN64" i="3"/>
  <c r="AN51" i="3"/>
  <c r="AN77" i="3"/>
  <c r="AN76" i="3"/>
  <c r="AN111" i="3"/>
  <c r="AN98" i="3"/>
  <c r="AN61" i="3"/>
  <c r="AN60" i="3"/>
  <c r="AN95" i="3"/>
  <c r="AN79" i="3"/>
  <c r="AN82" i="3"/>
  <c r="AN66" i="3"/>
  <c r="AN107" i="3"/>
  <c r="AN104" i="3"/>
  <c r="AN94" i="3"/>
  <c r="AN81" i="3"/>
  <c r="AN63" i="3"/>
  <c r="AN110" i="3"/>
  <c r="AN100" i="3"/>
  <c r="AN91" i="3"/>
  <c r="AN78" i="3"/>
  <c r="AN62" i="3"/>
  <c r="N8" i="3" l="1"/>
  <c r="M6" i="3"/>
  <c r="Y4" i="3"/>
  <c r="AE4" i="3"/>
  <c r="S4" i="3"/>
  <c r="AM4" i="3"/>
  <c r="X4" i="3"/>
  <c r="W4" i="3"/>
  <c r="AL4" i="3"/>
  <c r="V4" i="3"/>
  <c r="AK4" i="3"/>
  <c r="U4" i="3"/>
  <c r="AJ4" i="3"/>
  <c r="T4" i="3"/>
  <c r="AI4" i="3"/>
  <c r="AB4" i="3"/>
  <c r="AD4" i="3"/>
  <c r="AH4" i="3"/>
  <c r="AA4" i="3"/>
  <c r="AF4" i="3"/>
  <c r="Z4" i="3"/>
  <c r="AG4" i="3"/>
  <c r="AC4" i="3"/>
  <c r="AN8" i="3"/>
  <c r="AN15" i="3"/>
  <c r="AN6" i="3"/>
  <c r="AN24" i="3"/>
  <c r="AN39" i="3"/>
  <c r="AN42" i="3"/>
  <c r="AN22" i="3"/>
  <c r="AN29" i="3"/>
  <c r="AN21" i="3"/>
  <c r="AN9" i="3"/>
  <c r="AN45" i="3"/>
  <c r="AN7" i="3"/>
  <c r="AN31" i="3"/>
  <c r="AN17" i="3"/>
  <c r="AN19" i="3"/>
  <c r="AN20" i="3"/>
  <c r="AN37" i="3"/>
  <c r="AN25" i="3"/>
  <c r="AN48" i="3"/>
  <c r="AN16" i="3"/>
  <c r="AN10" i="3"/>
  <c r="AN34" i="3"/>
  <c r="AN13" i="3"/>
  <c r="AN14" i="3"/>
  <c r="AN35" i="3"/>
  <c r="AN32" i="3"/>
  <c r="AN26" i="3"/>
  <c r="AN23" i="3"/>
  <c r="AN38" i="3"/>
  <c r="AN40" i="3"/>
  <c r="AN44" i="3"/>
  <c r="AN49" i="3"/>
  <c r="AN11" i="3"/>
  <c r="AN43" i="3"/>
  <c r="AN18" i="3"/>
  <c r="AN30" i="3"/>
  <c r="AN47" i="3"/>
  <c r="AN33" i="3"/>
  <c r="AN12" i="3"/>
  <c r="AN46" i="3"/>
  <c r="AN27" i="3"/>
  <c r="AN36" i="3"/>
  <c r="AN41" i="3"/>
  <c r="AN28" i="3"/>
  <c r="AN4" i="3" l="1"/>
  <c r="B80" i="3" l="1"/>
  <c r="C80" i="3"/>
  <c r="D80" i="3"/>
  <c r="F80" i="3"/>
  <c r="G80" i="3"/>
  <c r="H80" i="3"/>
  <c r="I80" i="3"/>
  <c r="J80" i="3"/>
  <c r="B81" i="3"/>
  <c r="C81" i="3"/>
  <c r="D81" i="3"/>
  <c r="F81" i="3"/>
  <c r="G81" i="3"/>
  <c r="H81" i="3"/>
  <c r="I81" i="3"/>
  <c r="J81" i="3"/>
  <c r="B82" i="3"/>
  <c r="C82" i="3"/>
  <c r="D82" i="3"/>
  <c r="F82" i="3"/>
  <c r="G82" i="3"/>
  <c r="H82" i="3"/>
  <c r="I82" i="3"/>
  <c r="J82" i="3"/>
  <c r="B83" i="3"/>
  <c r="C83" i="3"/>
  <c r="D83" i="3"/>
  <c r="F83" i="3"/>
  <c r="G83" i="3"/>
  <c r="H83" i="3"/>
  <c r="I83" i="3"/>
  <c r="J83" i="3"/>
  <c r="B84" i="3"/>
  <c r="C84" i="3"/>
  <c r="D84" i="3"/>
  <c r="F84" i="3"/>
  <c r="G84" i="3"/>
  <c r="H84" i="3"/>
  <c r="I84" i="3"/>
  <c r="J84" i="3"/>
  <c r="B85" i="3"/>
  <c r="C85" i="3"/>
  <c r="D85" i="3"/>
  <c r="F85" i="3"/>
  <c r="G85" i="3"/>
  <c r="H85" i="3"/>
  <c r="I85" i="3"/>
  <c r="J85" i="3"/>
  <c r="B86" i="3"/>
  <c r="C86" i="3"/>
  <c r="D86" i="3"/>
  <c r="F86" i="3"/>
  <c r="G86" i="3"/>
  <c r="H86" i="3"/>
  <c r="I86" i="3"/>
  <c r="J86" i="3"/>
  <c r="B87" i="3"/>
  <c r="C87" i="3"/>
  <c r="D87" i="3"/>
  <c r="F87" i="3"/>
  <c r="G87" i="3"/>
  <c r="H87" i="3"/>
  <c r="I87" i="3"/>
  <c r="J87" i="3"/>
  <c r="B88" i="3"/>
  <c r="C88" i="3"/>
  <c r="D88" i="3"/>
  <c r="F88" i="3"/>
  <c r="G88" i="3"/>
  <c r="H88" i="3"/>
  <c r="I88" i="3"/>
  <c r="J88" i="3"/>
  <c r="B89" i="3"/>
  <c r="C89" i="3"/>
  <c r="D89" i="3"/>
  <c r="F89" i="3"/>
  <c r="G89" i="3"/>
  <c r="H89" i="3"/>
  <c r="I89" i="3"/>
  <c r="J89" i="3"/>
  <c r="B90" i="3"/>
  <c r="C90" i="3"/>
  <c r="D90" i="3"/>
  <c r="F90" i="3"/>
  <c r="G90" i="3"/>
  <c r="H90" i="3"/>
  <c r="I90" i="3"/>
  <c r="J90" i="3"/>
  <c r="B91" i="3"/>
  <c r="C91" i="3"/>
  <c r="D91" i="3"/>
  <c r="F91" i="3"/>
  <c r="G91" i="3"/>
  <c r="H91" i="3"/>
  <c r="I91" i="3"/>
  <c r="J91" i="3"/>
  <c r="B92" i="3"/>
  <c r="C92" i="3"/>
  <c r="D92" i="3"/>
  <c r="F92" i="3"/>
  <c r="G92" i="3"/>
  <c r="H92" i="3"/>
  <c r="I92" i="3"/>
  <c r="J92" i="3"/>
  <c r="B93" i="3"/>
  <c r="C93" i="3"/>
  <c r="D93" i="3"/>
  <c r="F93" i="3"/>
  <c r="G93" i="3"/>
  <c r="H93" i="3"/>
  <c r="I93" i="3"/>
  <c r="J93" i="3"/>
  <c r="B94" i="3"/>
  <c r="C94" i="3"/>
  <c r="D94" i="3"/>
  <c r="F94" i="3"/>
  <c r="G94" i="3"/>
  <c r="H94" i="3"/>
  <c r="I94" i="3"/>
  <c r="J94" i="3"/>
  <c r="B95" i="3"/>
  <c r="C95" i="3"/>
  <c r="D95" i="3"/>
  <c r="F95" i="3"/>
  <c r="G95" i="3"/>
  <c r="H95" i="3"/>
  <c r="I95" i="3"/>
  <c r="J95" i="3"/>
  <c r="B96" i="3"/>
  <c r="C96" i="3"/>
  <c r="D96" i="3"/>
  <c r="F96" i="3"/>
  <c r="G96" i="3"/>
  <c r="H96" i="3"/>
  <c r="I96" i="3"/>
  <c r="J96" i="3"/>
  <c r="B97" i="3"/>
  <c r="C97" i="3"/>
  <c r="D97" i="3"/>
  <c r="F97" i="3"/>
  <c r="G97" i="3"/>
  <c r="H97" i="3"/>
  <c r="I97" i="3"/>
  <c r="J97" i="3"/>
  <c r="B98" i="3"/>
  <c r="C98" i="3"/>
  <c r="D98" i="3"/>
  <c r="F98" i="3"/>
  <c r="G98" i="3"/>
  <c r="H98" i="3"/>
  <c r="I98" i="3"/>
  <c r="J98" i="3"/>
  <c r="B99" i="3"/>
  <c r="C99" i="3"/>
  <c r="D99" i="3"/>
  <c r="F99" i="3"/>
  <c r="G99" i="3"/>
  <c r="H99" i="3"/>
  <c r="I99" i="3"/>
  <c r="J99" i="3"/>
  <c r="B100" i="3"/>
  <c r="C100" i="3"/>
  <c r="D100" i="3"/>
  <c r="F100" i="3"/>
  <c r="G100" i="3"/>
  <c r="H100" i="3"/>
  <c r="I100" i="3"/>
  <c r="J100" i="3"/>
  <c r="B101" i="3"/>
  <c r="C101" i="3"/>
  <c r="D101" i="3"/>
  <c r="F101" i="3"/>
  <c r="G101" i="3"/>
  <c r="H101" i="3"/>
  <c r="I101" i="3"/>
  <c r="J101" i="3"/>
  <c r="B102" i="3"/>
  <c r="C102" i="3"/>
  <c r="D102" i="3"/>
  <c r="F102" i="3"/>
  <c r="G102" i="3"/>
  <c r="H102" i="3"/>
  <c r="I102" i="3"/>
  <c r="J102" i="3"/>
  <c r="B103" i="3"/>
  <c r="C103" i="3"/>
  <c r="D103" i="3"/>
  <c r="F103" i="3"/>
  <c r="G103" i="3"/>
  <c r="H103" i="3"/>
  <c r="I103" i="3"/>
  <c r="J103" i="3"/>
  <c r="B104" i="3"/>
  <c r="C104" i="3"/>
  <c r="D104" i="3"/>
  <c r="F104" i="3"/>
  <c r="G104" i="3"/>
  <c r="H104" i="3"/>
  <c r="I104" i="3"/>
  <c r="J104" i="3"/>
  <c r="B105" i="3"/>
  <c r="C105" i="3"/>
  <c r="D105" i="3"/>
  <c r="F105" i="3"/>
  <c r="G105" i="3"/>
  <c r="H105" i="3"/>
  <c r="I105" i="3"/>
  <c r="J105" i="3"/>
  <c r="B106" i="3"/>
  <c r="C106" i="3"/>
  <c r="D106" i="3"/>
  <c r="F106" i="3"/>
  <c r="G106" i="3"/>
  <c r="H106" i="3"/>
  <c r="I106" i="3"/>
  <c r="J106" i="3"/>
  <c r="B107" i="3"/>
  <c r="C107" i="3"/>
  <c r="D107" i="3"/>
  <c r="F107" i="3"/>
  <c r="G107" i="3"/>
  <c r="H107" i="3"/>
  <c r="I107" i="3"/>
  <c r="J107" i="3"/>
  <c r="B108" i="3"/>
  <c r="C108" i="3"/>
  <c r="D108" i="3"/>
  <c r="F108" i="3"/>
  <c r="G108" i="3"/>
  <c r="H108" i="3"/>
  <c r="I108" i="3"/>
  <c r="J108" i="3"/>
  <c r="B109" i="3"/>
  <c r="C109" i="3"/>
  <c r="D109" i="3"/>
  <c r="F109" i="3"/>
  <c r="G109" i="3"/>
  <c r="H109" i="3"/>
  <c r="I109" i="3"/>
  <c r="J109" i="3"/>
  <c r="B110" i="3"/>
  <c r="C110" i="3"/>
  <c r="D110" i="3"/>
  <c r="F110" i="3"/>
  <c r="G110" i="3"/>
  <c r="H110" i="3"/>
  <c r="I110" i="3"/>
  <c r="J110" i="3"/>
  <c r="B111" i="3"/>
  <c r="C111" i="3"/>
  <c r="D111" i="3"/>
  <c r="F111" i="3"/>
  <c r="G111" i="3"/>
  <c r="H111" i="3"/>
  <c r="I111" i="3"/>
  <c r="J111" i="3"/>
  <c r="B112" i="3"/>
  <c r="C112" i="3"/>
  <c r="D112" i="3"/>
  <c r="F112" i="3"/>
  <c r="G112" i="3"/>
  <c r="H112" i="3"/>
  <c r="I112" i="3"/>
  <c r="J112" i="3"/>
  <c r="B113" i="3"/>
  <c r="C113" i="3"/>
  <c r="D113" i="3"/>
  <c r="F113" i="3"/>
  <c r="G113" i="3"/>
  <c r="H113" i="3"/>
  <c r="I113" i="3"/>
  <c r="J113" i="3"/>
  <c r="B114" i="3"/>
  <c r="C114" i="3"/>
  <c r="D114" i="3"/>
  <c r="F114" i="3"/>
  <c r="G114" i="3"/>
  <c r="H114" i="3"/>
  <c r="I114" i="3"/>
  <c r="J114" i="3"/>
  <c r="B115" i="3"/>
  <c r="C115" i="3"/>
  <c r="D115" i="3"/>
  <c r="F115" i="3"/>
  <c r="G115" i="3"/>
  <c r="H115" i="3"/>
  <c r="I115" i="3"/>
  <c r="J115" i="3"/>
  <c r="B116" i="3"/>
  <c r="C116" i="3"/>
  <c r="D116" i="3"/>
  <c r="F116" i="3"/>
  <c r="G116" i="3"/>
  <c r="H116" i="3"/>
  <c r="I116" i="3"/>
  <c r="J116" i="3"/>
  <c r="B117" i="3"/>
  <c r="C117" i="3"/>
  <c r="D117" i="3"/>
  <c r="F117" i="3"/>
  <c r="G117" i="3"/>
  <c r="H117" i="3"/>
  <c r="I117" i="3"/>
  <c r="J117" i="3"/>
  <c r="B118" i="3"/>
  <c r="C118" i="3"/>
  <c r="D118" i="3"/>
  <c r="F118" i="3"/>
  <c r="G118" i="3"/>
  <c r="H118" i="3"/>
  <c r="I118" i="3"/>
  <c r="J118" i="3"/>
  <c r="B119" i="3"/>
  <c r="C119" i="3"/>
  <c r="D119" i="3"/>
  <c r="F119" i="3"/>
  <c r="G119" i="3"/>
  <c r="H119" i="3"/>
  <c r="I119" i="3"/>
  <c r="J119" i="3"/>
  <c r="B120" i="3"/>
  <c r="C120" i="3"/>
  <c r="D120" i="3"/>
  <c r="F120" i="3"/>
  <c r="G120" i="3"/>
  <c r="H120" i="3"/>
  <c r="I120" i="3"/>
  <c r="J120" i="3"/>
  <c r="B121" i="3"/>
  <c r="C121" i="3"/>
  <c r="D121" i="3"/>
  <c r="F121" i="3"/>
  <c r="G121" i="3"/>
  <c r="H121" i="3"/>
  <c r="I121" i="3"/>
  <c r="J121" i="3"/>
  <c r="B122" i="3"/>
  <c r="C122" i="3"/>
  <c r="D122" i="3"/>
  <c r="F122" i="3"/>
  <c r="G122" i="3"/>
  <c r="H122" i="3"/>
  <c r="I122" i="3"/>
  <c r="J122" i="3"/>
  <c r="B123" i="3"/>
  <c r="C123" i="3"/>
  <c r="D123" i="3"/>
  <c r="F123" i="3"/>
  <c r="G123" i="3"/>
  <c r="H123" i="3"/>
  <c r="I123" i="3"/>
  <c r="J123" i="3"/>
  <c r="B124" i="3"/>
  <c r="C124" i="3"/>
  <c r="D124" i="3"/>
  <c r="F124" i="3"/>
  <c r="G124" i="3"/>
  <c r="H124" i="3"/>
  <c r="I124" i="3"/>
  <c r="J124" i="3"/>
  <c r="B125" i="3"/>
  <c r="C125" i="3"/>
  <c r="D125" i="3"/>
  <c r="F125" i="3"/>
  <c r="G125" i="3"/>
  <c r="H125" i="3"/>
  <c r="I125" i="3"/>
  <c r="J125" i="3"/>
  <c r="B126" i="3"/>
  <c r="C126" i="3"/>
  <c r="D126" i="3"/>
  <c r="F126" i="3"/>
  <c r="G126" i="3"/>
  <c r="H126" i="3"/>
  <c r="I126" i="3"/>
  <c r="J126" i="3"/>
  <c r="B127" i="3"/>
  <c r="C127" i="3"/>
  <c r="D127" i="3"/>
  <c r="F127" i="3"/>
  <c r="G127" i="3"/>
  <c r="H127" i="3"/>
  <c r="I127" i="3"/>
  <c r="J127" i="3"/>
  <c r="B128" i="3"/>
  <c r="C128" i="3"/>
  <c r="D128" i="3"/>
  <c r="F128" i="3"/>
  <c r="G128" i="3"/>
  <c r="H128" i="3"/>
  <c r="I128" i="3"/>
  <c r="J128" i="3"/>
  <c r="B129" i="3"/>
  <c r="C129" i="3"/>
  <c r="D129" i="3"/>
  <c r="F129" i="3"/>
  <c r="G129" i="3"/>
  <c r="H129" i="3"/>
  <c r="I129" i="3"/>
  <c r="J129" i="3"/>
  <c r="B130" i="3"/>
  <c r="C130" i="3"/>
  <c r="D130" i="3"/>
  <c r="F130" i="3"/>
  <c r="G130" i="3"/>
  <c r="H130" i="3"/>
  <c r="I130" i="3"/>
  <c r="J130" i="3"/>
  <c r="B131" i="3"/>
  <c r="C131" i="3"/>
  <c r="D131" i="3"/>
  <c r="F131" i="3"/>
  <c r="G131" i="3"/>
  <c r="H131" i="3"/>
  <c r="I131" i="3"/>
  <c r="J131" i="3"/>
  <c r="B132" i="3"/>
  <c r="C132" i="3"/>
  <c r="D132" i="3"/>
  <c r="F132" i="3"/>
  <c r="G132" i="3"/>
  <c r="H132" i="3"/>
  <c r="I132" i="3"/>
  <c r="J132" i="3"/>
  <c r="B133" i="3"/>
  <c r="C133" i="3"/>
  <c r="D133" i="3"/>
  <c r="F133" i="3"/>
  <c r="G133" i="3"/>
  <c r="H133" i="3"/>
  <c r="I133" i="3"/>
  <c r="J133" i="3"/>
  <c r="B134" i="3"/>
  <c r="C134" i="3"/>
  <c r="D134" i="3"/>
  <c r="F134" i="3"/>
  <c r="G134" i="3"/>
  <c r="H134" i="3"/>
  <c r="I134" i="3"/>
  <c r="J134" i="3"/>
  <c r="B135" i="3"/>
  <c r="C135" i="3"/>
  <c r="D135" i="3"/>
  <c r="F135" i="3"/>
  <c r="G135" i="3"/>
  <c r="H135" i="3"/>
  <c r="I135" i="3"/>
  <c r="J135" i="3"/>
  <c r="B136" i="3"/>
  <c r="C136" i="3"/>
  <c r="D136" i="3"/>
  <c r="F136" i="3"/>
  <c r="G136" i="3"/>
  <c r="H136" i="3"/>
  <c r="I136" i="3"/>
  <c r="J136" i="3"/>
  <c r="B137" i="3"/>
  <c r="C137" i="3"/>
  <c r="D137" i="3"/>
  <c r="F137" i="3"/>
  <c r="G137" i="3"/>
  <c r="H137" i="3"/>
  <c r="I137" i="3"/>
  <c r="J137" i="3"/>
  <c r="B138" i="3"/>
  <c r="C138" i="3"/>
  <c r="D138" i="3"/>
  <c r="F138" i="3"/>
  <c r="G138" i="3"/>
  <c r="H138" i="3"/>
  <c r="I138" i="3"/>
  <c r="J138" i="3"/>
  <c r="B139" i="3"/>
  <c r="C139" i="3"/>
  <c r="D139" i="3"/>
  <c r="F139" i="3"/>
  <c r="G139" i="3"/>
  <c r="H139" i="3"/>
  <c r="I139" i="3"/>
  <c r="J139" i="3"/>
  <c r="B140" i="3"/>
  <c r="C140" i="3"/>
  <c r="D140" i="3"/>
  <c r="F140" i="3"/>
  <c r="G140" i="3"/>
  <c r="H140" i="3"/>
  <c r="I140" i="3"/>
  <c r="J140" i="3"/>
  <c r="B141" i="3"/>
  <c r="C141" i="3"/>
  <c r="D141" i="3"/>
  <c r="F141" i="3"/>
  <c r="G141" i="3"/>
  <c r="H141" i="3"/>
  <c r="I141" i="3"/>
  <c r="J141" i="3"/>
  <c r="B142" i="3"/>
  <c r="C142" i="3"/>
  <c r="D142" i="3"/>
  <c r="F142" i="3"/>
  <c r="G142" i="3"/>
  <c r="H142" i="3"/>
  <c r="I142" i="3"/>
  <c r="J142" i="3"/>
  <c r="B143" i="3"/>
  <c r="C143" i="3"/>
  <c r="D143" i="3"/>
  <c r="F143" i="3"/>
  <c r="G143" i="3"/>
  <c r="H143" i="3"/>
  <c r="I143" i="3"/>
  <c r="J143" i="3"/>
  <c r="B144" i="3"/>
  <c r="C144" i="3"/>
  <c r="D144" i="3"/>
  <c r="F144" i="3"/>
  <c r="G144" i="3"/>
  <c r="H144" i="3"/>
  <c r="I144" i="3"/>
  <c r="J144" i="3"/>
  <c r="B145" i="3"/>
  <c r="C145" i="3"/>
  <c r="D145" i="3"/>
  <c r="F145" i="3"/>
  <c r="G145" i="3"/>
  <c r="H145" i="3"/>
  <c r="I145" i="3"/>
  <c r="J145" i="3"/>
  <c r="B146" i="3"/>
  <c r="C146" i="3"/>
  <c r="D146" i="3"/>
  <c r="F146" i="3"/>
  <c r="G146" i="3"/>
  <c r="H146" i="3"/>
  <c r="I146" i="3"/>
  <c r="J146" i="3"/>
  <c r="B147" i="3"/>
  <c r="C147" i="3"/>
  <c r="D147" i="3"/>
  <c r="F147" i="3"/>
  <c r="G147" i="3"/>
  <c r="H147" i="3"/>
  <c r="I147" i="3"/>
  <c r="J147" i="3"/>
  <c r="B148" i="3"/>
  <c r="C148" i="3"/>
  <c r="D148" i="3"/>
  <c r="F148" i="3"/>
  <c r="G148" i="3"/>
  <c r="H148" i="3"/>
  <c r="I148" i="3"/>
  <c r="J148" i="3"/>
  <c r="B149" i="3"/>
  <c r="C149" i="3"/>
  <c r="D149" i="3"/>
  <c r="F149" i="3"/>
  <c r="G149" i="3"/>
  <c r="H149" i="3"/>
  <c r="I149" i="3"/>
  <c r="J149" i="3"/>
  <c r="B150" i="3"/>
  <c r="C150" i="3"/>
  <c r="D150" i="3"/>
  <c r="F150" i="3"/>
  <c r="G150" i="3"/>
  <c r="H150" i="3"/>
  <c r="I150" i="3"/>
  <c r="J150" i="3"/>
  <c r="B151" i="3"/>
  <c r="C151" i="3"/>
  <c r="D151" i="3"/>
  <c r="F151" i="3"/>
  <c r="G151" i="3"/>
  <c r="H151" i="3"/>
  <c r="I151" i="3"/>
  <c r="J151" i="3"/>
  <c r="B152" i="3"/>
  <c r="C152" i="3"/>
  <c r="D152" i="3"/>
  <c r="F152" i="3"/>
  <c r="G152" i="3"/>
  <c r="H152" i="3"/>
  <c r="I152" i="3"/>
  <c r="J152" i="3"/>
  <c r="B153" i="3"/>
  <c r="C153" i="3"/>
  <c r="D153" i="3"/>
  <c r="F153" i="3"/>
  <c r="G153" i="3"/>
  <c r="H153" i="3"/>
  <c r="I153" i="3"/>
  <c r="J153" i="3"/>
  <c r="B154" i="3"/>
  <c r="C154" i="3"/>
  <c r="D154" i="3"/>
  <c r="F154" i="3"/>
  <c r="G154" i="3"/>
  <c r="H154" i="3"/>
  <c r="I154" i="3"/>
  <c r="J154" i="3"/>
  <c r="B155" i="3"/>
  <c r="C155" i="3"/>
  <c r="D155" i="3"/>
  <c r="F155" i="3"/>
  <c r="G155" i="3"/>
  <c r="H155" i="3"/>
  <c r="I155" i="3"/>
  <c r="J155" i="3"/>
  <c r="B156" i="3"/>
  <c r="C156" i="3"/>
  <c r="D156" i="3"/>
  <c r="F156" i="3"/>
  <c r="G156" i="3"/>
  <c r="H156" i="3"/>
  <c r="I156" i="3"/>
  <c r="J156" i="3"/>
  <c r="B157" i="3"/>
  <c r="C157" i="3"/>
  <c r="D157" i="3"/>
  <c r="F157" i="3"/>
  <c r="G157" i="3"/>
  <c r="H157" i="3"/>
  <c r="I157" i="3"/>
  <c r="J157" i="3"/>
  <c r="B158" i="3"/>
  <c r="C158" i="3"/>
  <c r="D158" i="3"/>
  <c r="F158" i="3"/>
  <c r="G158" i="3"/>
  <c r="H158" i="3"/>
  <c r="I158" i="3"/>
  <c r="J158" i="3"/>
  <c r="B159" i="3"/>
  <c r="C159" i="3"/>
  <c r="D159" i="3"/>
  <c r="F159" i="3"/>
  <c r="G159" i="3"/>
  <c r="H159" i="3"/>
  <c r="I159" i="3"/>
  <c r="J159" i="3"/>
  <c r="B160" i="3"/>
  <c r="C160" i="3"/>
  <c r="D160" i="3"/>
  <c r="F160" i="3"/>
  <c r="G160" i="3"/>
  <c r="H160" i="3"/>
  <c r="I160" i="3"/>
  <c r="J160" i="3"/>
  <c r="B161" i="3"/>
  <c r="C161" i="3"/>
  <c r="D161" i="3"/>
  <c r="F161" i="3"/>
  <c r="G161" i="3"/>
  <c r="H161" i="3"/>
  <c r="I161" i="3"/>
  <c r="J161" i="3"/>
  <c r="B162" i="3"/>
  <c r="C162" i="3"/>
  <c r="D162" i="3"/>
  <c r="F162" i="3"/>
  <c r="G162" i="3"/>
  <c r="H162" i="3"/>
  <c r="I162" i="3"/>
  <c r="J162" i="3"/>
  <c r="B163" i="3"/>
  <c r="C163" i="3"/>
  <c r="D163" i="3"/>
  <c r="F163" i="3"/>
  <c r="G163" i="3"/>
  <c r="H163" i="3"/>
  <c r="I163" i="3"/>
  <c r="J163" i="3"/>
  <c r="B164" i="3"/>
  <c r="C164" i="3"/>
  <c r="D164" i="3"/>
  <c r="F164" i="3"/>
  <c r="G164" i="3"/>
  <c r="H164" i="3"/>
  <c r="I164" i="3"/>
  <c r="J164" i="3"/>
  <c r="B165" i="3"/>
  <c r="C165" i="3"/>
  <c r="D165" i="3"/>
  <c r="F165" i="3"/>
  <c r="G165" i="3"/>
  <c r="H165" i="3"/>
  <c r="I165" i="3"/>
  <c r="J165" i="3"/>
  <c r="B166" i="3"/>
  <c r="C166" i="3"/>
  <c r="D166" i="3"/>
  <c r="F166" i="3"/>
  <c r="G166" i="3"/>
  <c r="H166" i="3"/>
  <c r="I166" i="3"/>
  <c r="J166" i="3"/>
  <c r="B167" i="3"/>
  <c r="C167" i="3"/>
  <c r="D167" i="3"/>
  <c r="F167" i="3"/>
  <c r="G167" i="3"/>
  <c r="H167" i="3"/>
  <c r="I167" i="3"/>
  <c r="J167" i="3"/>
  <c r="B168" i="3"/>
  <c r="C168" i="3"/>
  <c r="D168" i="3"/>
  <c r="F168" i="3"/>
  <c r="G168" i="3"/>
  <c r="H168" i="3"/>
  <c r="I168" i="3"/>
  <c r="J168" i="3"/>
  <c r="B169" i="3"/>
  <c r="C169" i="3"/>
  <c r="D169" i="3"/>
  <c r="F169" i="3"/>
  <c r="G169" i="3"/>
  <c r="H169" i="3"/>
  <c r="I169" i="3"/>
  <c r="J169" i="3"/>
  <c r="B170" i="3"/>
  <c r="C170" i="3"/>
  <c r="D170" i="3"/>
  <c r="F170" i="3"/>
  <c r="G170" i="3"/>
  <c r="H170" i="3"/>
  <c r="I170" i="3"/>
  <c r="J170" i="3"/>
  <c r="B171" i="3"/>
  <c r="C171" i="3"/>
  <c r="D171" i="3"/>
  <c r="F171" i="3"/>
  <c r="G171" i="3"/>
  <c r="H171" i="3"/>
  <c r="I171" i="3"/>
  <c r="J171" i="3"/>
  <c r="B172" i="3"/>
  <c r="C172" i="3"/>
  <c r="D172" i="3"/>
  <c r="F172" i="3"/>
  <c r="G172" i="3"/>
  <c r="H172" i="3"/>
  <c r="I172" i="3"/>
  <c r="J172" i="3"/>
  <c r="B173" i="3"/>
  <c r="C173" i="3"/>
  <c r="D173" i="3"/>
  <c r="F173" i="3"/>
  <c r="G173" i="3"/>
  <c r="H173" i="3"/>
  <c r="I173" i="3"/>
  <c r="J173" i="3"/>
  <c r="B174" i="3"/>
  <c r="C174" i="3"/>
  <c r="D174" i="3"/>
  <c r="F174" i="3"/>
  <c r="G174" i="3"/>
  <c r="H174" i="3"/>
  <c r="I174" i="3"/>
  <c r="J174" i="3"/>
  <c r="B175" i="3"/>
  <c r="C175" i="3"/>
  <c r="D175" i="3"/>
  <c r="F175" i="3"/>
  <c r="G175" i="3"/>
  <c r="H175" i="3"/>
  <c r="I175" i="3"/>
  <c r="J175" i="3"/>
  <c r="B176" i="3"/>
  <c r="C176" i="3"/>
  <c r="D176" i="3"/>
  <c r="F176" i="3"/>
  <c r="G176" i="3"/>
  <c r="H176" i="3"/>
  <c r="I176" i="3"/>
  <c r="J176" i="3"/>
  <c r="B177" i="3"/>
  <c r="C177" i="3"/>
  <c r="D177" i="3"/>
  <c r="F177" i="3"/>
  <c r="G177" i="3"/>
  <c r="H177" i="3"/>
  <c r="I177" i="3"/>
  <c r="J177" i="3"/>
  <c r="B178" i="3"/>
  <c r="C178" i="3"/>
  <c r="D178" i="3"/>
  <c r="F178" i="3"/>
  <c r="G178" i="3"/>
  <c r="H178" i="3"/>
  <c r="I178" i="3"/>
  <c r="J178" i="3"/>
  <c r="B179" i="3"/>
  <c r="C179" i="3"/>
  <c r="D179" i="3"/>
  <c r="F179" i="3"/>
  <c r="G179" i="3"/>
  <c r="H179" i="3"/>
  <c r="I179" i="3"/>
  <c r="J179" i="3"/>
  <c r="B180" i="3"/>
  <c r="C180" i="3"/>
  <c r="D180" i="3"/>
  <c r="F180" i="3"/>
  <c r="G180" i="3"/>
  <c r="H180" i="3"/>
  <c r="I180" i="3"/>
  <c r="J180" i="3"/>
  <c r="B181" i="3"/>
  <c r="C181" i="3"/>
  <c r="D181" i="3"/>
  <c r="F181" i="3"/>
  <c r="G181" i="3"/>
  <c r="H181" i="3"/>
  <c r="I181" i="3"/>
  <c r="J181" i="3"/>
  <c r="B182" i="3"/>
  <c r="C182" i="3"/>
  <c r="D182" i="3"/>
  <c r="F182" i="3"/>
  <c r="G182" i="3"/>
  <c r="H182" i="3"/>
  <c r="I182" i="3"/>
  <c r="J182" i="3"/>
  <c r="B183" i="3"/>
  <c r="C183" i="3"/>
  <c r="D183" i="3"/>
  <c r="F183" i="3"/>
  <c r="G183" i="3"/>
  <c r="H183" i="3"/>
  <c r="I183" i="3"/>
  <c r="J183" i="3"/>
  <c r="B184" i="3"/>
  <c r="C184" i="3"/>
  <c r="D184" i="3"/>
  <c r="F184" i="3"/>
  <c r="G184" i="3"/>
  <c r="H184" i="3"/>
  <c r="I184" i="3"/>
  <c r="J184" i="3"/>
  <c r="B185" i="3"/>
  <c r="C185" i="3"/>
  <c r="D185" i="3"/>
  <c r="F185" i="3"/>
  <c r="G185" i="3"/>
  <c r="H185" i="3"/>
  <c r="I185" i="3"/>
  <c r="J185" i="3"/>
  <c r="B186" i="3"/>
  <c r="C186" i="3"/>
  <c r="D186" i="3"/>
  <c r="F186" i="3"/>
  <c r="G186" i="3"/>
  <c r="H186" i="3"/>
  <c r="I186" i="3"/>
  <c r="J186" i="3"/>
  <c r="B187" i="3"/>
  <c r="C187" i="3"/>
  <c r="D187" i="3"/>
  <c r="F187" i="3"/>
  <c r="G187" i="3"/>
  <c r="H187" i="3"/>
  <c r="I187" i="3"/>
  <c r="J187" i="3"/>
  <c r="B188" i="3"/>
  <c r="C188" i="3"/>
  <c r="D188" i="3"/>
  <c r="F188" i="3"/>
  <c r="G188" i="3"/>
  <c r="H188" i="3"/>
  <c r="I188" i="3"/>
  <c r="J188" i="3"/>
  <c r="B189" i="3"/>
  <c r="C189" i="3"/>
  <c r="D189" i="3"/>
  <c r="F189" i="3"/>
  <c r="G189" i="3"/>
  <c r="H189" i="3"/>
  <c r="I189" i="3"/>
  <c r="J189" i="3"/>
  <c r="B190" i="3"/>
  <c r="C190" i="3"/>
  <c r="D190" i="3"/>
  <c r="F190" i="3"/>
  <c r="G190" i="3"/>
  <c r="H190" i="3"/>
  <c r="I190" i="3"/>
  <c r="J190" i="3"/>
  <c r="B191" i="3"/>
  <c r="C191" i="3"/>
  <c r="D191" i="3"/>
  <c r="F191" i="3"/>
  <c r="G191" i="3"/>
  <c r="H191" i="3"/>
  <c r="I191" i="3"/>
  <c r="J191" i="3"/>
  <c r="B192" i="3"/>
  <c r="C192" i="3"/>
  <c r="D192" i="3"/>
  <c r="F192" i="3"/>
  <c r="G192" i="3"/>
  <c r="H192" i="3"/>
  <c r="I192" i="3"/>
  <c r="J192" i="3"/>
  <c r="B193" i="3"/>
  <c r="C193" i="3"/>
  <c r="D193" i="3"/>
  <c r="F193" i="3"/>
  <c r="G193" i="3"/>
  <c r="H193" i="3"/>
  <c r="I193" i="3"/>
  <c r="J193" i="3"/>
  <c r="B194" i="3"/>
  <c r="C194" i="3"/>
  <c r="D194" i="3"/>
  <c r="F194" i="3"/>
  <c r="G194" i="3"/>
  <c r="H194" i="3"/>
  <c r="I194" i="3"/>
  <c r="J194" i="3"/>
  <c r="B195" i="3"/>
  <c r="C195" i="3"/>
  <c r="D195" i="3"/>
  <c r="F195" i="3"/>
  <c r="G195" i="3"/>
  <c r="H195" i="3"/>
  <c r="I195" i="3"/>
  <c r="J195" i="3"/>
  <c r="B196" i="3"/>
  <c r="C196" i="3"/>
  <c r="D196" i="3"/>
  <c r="F196" i="3"/>
  <c r="G196" i="3"/>
  <c r="H196" i="3"/>
  <c r="I196" i="3"/>
  <c r="J196" i="3"/>
  <c r="B197" i="3"/>
  <c r="C197" i="3"/>
  <c r="D197" i="3"/>
  <c r="F197" i="3"/>
  <c r="G197" i="3"/>
  <c r="H197" i="3"/>
  <c r="I197" i="3"/>
  <c r="J197" i="3"/>
  <c r="B198" i="3"/>
  <c r="C198" i="3"/>
  <c r="D198" i="3"/>
  <c r="F198" i="3"/>
  <c r="G198" i="3"/>
  <c r="H198" i="3"/>
  <c r="I198" i="3"/>
  <c r="J198" i="3"/>
  <c r="B199" i="3"/>
  <c r="C199" i="3"/>
  <c r="D199" i="3"/>
  <c r="F199" i="3"/>
  <c r="G199" i="3"/>
  <c r="H199" i="3"/>
  <c r="I199" i="3"/>
  <c r="J199" i="3"/>
  <c r="B200" i="3"/>
  <c r="C200" i="3"/>
  <c r="D200" i="3"/>
  <c r="F200" i="3"/>
  <c r="G200" i="3"/>
  <c r="H200" i="3"/>
  <c r="I200" i="3"/>
  <c r="J200" i="3"/>
  <c r="B201" i="3"/>
  <c r="C201" i="3"/>
  <c r="D201" i="3"/>
  <c r="F201" i="3"/>
  <c r="G201" i="3"/>
  <c r="H201" i="3"/>
  <c r="I201" i="3"/>
  <c r="J201" i="3"/>
  <c r="B202" i="3"/>
  <c r="C202" i="3"/>
  <c r="D202" i="3"/>
  <c r="F202" i="3"/>
  <c r="G202" i="3"/>
  <c r="H202" i="3"/>
  <c r="I202" i="3"/>
  <c r="J202" i="3"/>
  <c r="B203" i="3"/>
  <c r="C203" i="3"/>
  <c r="D203" i="3"/>
  <c r="F203" i="3"/>
  <c r="G203" i="3"/>
  <c r="H203" i="3"/>
  <c r="I203" i="3"/>
  <c r="J203" i="3"/>
  <c r="B204" i="3"/>
  <c r="C204" i="3"/>
  <c r="D204" i="3"/>
  <c r="F204" i="3"/>
  <c r="G204" i="3"/>
  <c r="H204" i="3"/>
  <c r="I204" i="3"/>
  <c r="J204" i="3"/>
  <c r="B205" i="3"/>
  <c r="C205" i="3"/>
  <c r="D205" i="3"/>
  <c r="F205" i="3"/>
  <c r="G205" i="3"/>
  <c r="H205" i="3"/>
  <c r="I205" i="3"/>
  <c r="J205" i="3"/>
  <c r="B206" i="3"/>
  <c r="C206" i="3"/>
  <c r="D206" i="3"/>
  <c r="F206" i="3"/>
  <c r="G206" i="3"/>
  <c r="H206" i="3"/>
  <c r="I206" i="3"/>
  <c r="J206" i="3"/>
  <c r="B207" i="3"/>
  <c r="C207" i="3"/>
  <c r="D207" i="3"/>
  <c r="F207" i="3"/>
  <c r="G207" i="3"/>
  <c r="H207" i="3"/>
  <c r="I207" i="3"/>
  <c r="J207" i="3"/>
  <c r="B208" i="3"/>
  <c r="C208" i="3"/>
  <c r="D208" i="3"/>
  <c r="F208" i="3"/>
  <c r="G208" i="3"/>
  <c r="H208" i="3"/>
  <c r="I208" i="3"/>
  <c r="J208" i="3"/>
  <c r="B209" i="3"/>
  <c r="C209" i="3"/>
  <c r="D209" i="3"/>
  <c r="F209" i="3"/>
  <c r="G209" i="3"/>
  <c r="H209" i="3"/>
  <c r="I209" i="3"/>
  <c r="J209" i="3"/>
  <c r="B210" i="3"/>
  <c r="C210" i="3"/>
  <c r="D210" i="3"/>
  <c r="F210" i="3"/>
  <c r="G210" i="3"/>
  <c r="H210" i="3"/>
  <c r="I210" i="3"/>
  <c r="J210" i="3"/>
  <c r="B211" i="3"/>
  <c r="C211" i="3"/>
  <c r="D211" i="3"/>
  <c r="F211" i="3"/>
  <c r="G211" i="3"/>
  <c r="H211" i="3"/>
  <c r="I211" i="3"/>
  <c r="J211" i="3"/>
  <c r="B212" i="3"/>
  <c r="C212" i="3"/>
  <c r="D212" i="3"/>
  <c r="F212" i="3"/>
  <c r="G212" i="3"/>
  <c r="H212" i="3"/>
  <c r="I212" i="3"/>
  <c r="J212" i="3"/>
  <c r="B213" i="3"/>
  <c r="C213" i="3"/>
  <c r="D213" i="3"/>
  <c r="F213" i="3"/>
  <c r="G213" i="3"/>
  <c r="H213" i="3"/>
  <c r="I213" i="3"/>
  <c r="J213" i="3"/>
  <c r="B214" i="3"/>
  <c r="C214" i="3"/>
  <c r="D214" i="3"/>
  <c r="F214" i="3"/>
  <c r="G214" i="3"/>
  <c r="H214" i="3"/>
  <c r="I214" i="3"/>
  <c r="J214" i="3"/>
  <c r="B215" i="3"/>
  <c r="C215" i="3"/>
  <c r="D215" i="3"/>
  <c r="F215" i="3"/>
  <c r="G215" i="3"/>
  <c r="H215" i="3"/>
  <c r="I215" i="3"/>
  <c r="J215" i="3"/>
  <c r="B216" i="3"/>
  <c r="C216" i="3"/>
  <c r="D216" i="3"/>
  <c r="F216" i="3"/>
  <c r="G216" i="3"/>
  <c r="H216" i="3"/>
  <c r="I216" i="3"/>
  <c r="J216" i="3"/>
  <c r="B217" i="3"/>
  <c r="C217" i="3"/>
  <c r="D217" i="3"/>
  <c r="F217" i="3"/>
  <c r="G217" i="3"/>
  <c r="H217" i="3"/>
  <c r="I217" i="3"/>
  <c r="J217" i="3"/>
  <c r="B218" i="3"/>
  <c r="C218" i="3"/>
  <c r="D218" i="3"/>
  <c r="F218" i="3"/>
  <c r="G218" i="3"/>
  <c r="H218" i="3"/>
  <c r="I218" i="3"/>
  <c r="J218" i="3"/>
  <c r="B219" i="3"/>
  <c r="C219" i="3"/>
  <c r="D219" i="3"/>
  <c r="F219" i="3"/>
  <c r="G219" i="3"/>
  <c r="H219" i="3"/>
  <c r="I219" i="3"/>
  <c r="J219" i="3"/>
  <c r="B220" i="3"/>
  <c r="C220" i="3"/>
  <c r="D220" i="3"/>
  <c r="F220" i="3"/>
  <c r="G220" i="3"/>
  <c r="H220" i="3"/>
  <c r="I220" i="3"/>
  <c r="J220" i="3"/>
  <c r="B221" i="3"/>
  <c r="C221" i="3"/>
  <c r="D221" i="3"/>
  <c r="F221" i="3"/>
  <c r="G221" i="3"/>
  <c r="H221" i="3"/>
  <c r="I221" i="3"/>
  <c r="J221" i="3"/>
  <c r="B222" i="3"/>
  <c r="C222" i="3"/>
  <c r="D222" i="3"/>
  <c r="F222" i="3"/>
  <c r="G222" i="3"/>
  <c r="H222" i="3"/>
  <c r="I222" i="3"/>
  <c r="J222" i="3"/>
  <c r="B223" i="3"/>
  <c r="C223" i="3"/>
  <c r="D223" i="3"/>
  <c r="F223" i="3"/>
  <c r="G223" i="3"/>
  <c r="H223" i="3"/>
  <c r="I223" i="3"/>
  <c r="J223" i="3"/>
  <c r="B224" i="3"/>
  <c r="C224" i="3"/>
  <c r="D224" i="3"/>
  <c r="F224" i="3"/>
  <c r="G224" i="3"/>
  <c r="H224" i="3"/>
  <c r="I224" i="3"/>
  <c r="J224" i="3"/>
  <c r="B225" i="3"/>
  <c r="C225" i="3"/>
  <c r="D225" i="3"/>
  <c r="F225" i="3"/>
  <c r="G225" i="3"/>
  <c r="H225" i="3"/>
  <c r="I225" i="3"/>
  <c r="J225" i="3"/>
  <c r="B226" i="3"/>
  <c r="C226" i="3"/>
  <c r="D226" i="3"/>
  <c r="F226" i="3"/>
  <c r="G226" i="3"/>
  <c r="H226" i="3"/>
  <c r="I226" i="3"/>
  <c r="J226" i="3"/>
  <c r="B227" i="3"/>
  <c r="C227" i="3"/>
  <c r="D227" i="3"/>
  <c r="F227" i="3"/>
  <c r="G227" i="3"/>
  <c r="H227" i="3"/>
  <c r="I227" i="3"/>
  <c r="J227" i="3"/>
  <c r="B228" i="3"/>
  <c r="C228" i="3"/>
  <c r="D228" i="3"/>
  <c r="F228" i="3"/>
  <c r="G228" i="3"/>
  <c r="H228" i="3"/>
  <c r="I228" i="3"/>
  <c r="J228" i="3"/>
  <c r="B229" i="3"/>
  <c r="C229" i="3"/>
  <c r="D229" i="3"/>
  <c r="F229" i="3"/>
  <c r="G229" i="3"/>
  <c r="H229" i="3"/>
  <c r="I229" i="3"/>
  <c r="J229" i="3"/>
  <c r="B230" i="3"/>
  <c r="C230" i="3"/>
  <c r="D230" i="3"/>
  <c r="F230" i="3"/>
  <c r="G230" i="3"/>
  <c r="H230" i="3"/>
  <c r="I230" i="3"/>
  <c r="J230" i="3"/>
  <c r="B231" i="3"/>
  <c r="C231" i="3"/>
  <c r="D231" i="3"/>
  <c r="F231" i="3"/>
  <c r="G231" i="3"/>
  <c r="H231" i="3"/>
  <c r="I231" i="3"/>
  <c r="J231" i="3"/>
  <c r="B232" i="3"/>
  <c r="C232" i="3"/>
  <c r="D232" i="3"/>
  <c r="F232" i="3"/>
  <c r="G232" i="3"/>
  <c r="H232" i="3"/>
  <c r="I232" i="3"/>
  <c r="J232" i="3"/>
  <c r="B233" i="3"/>
  <c r="C233" i="3"/>
  <c r="D233" i="3"/>
  <c r="F233" i="3"/>
  <c r="G233" i="3"/>
  <c r="H233" i="3"/>
  <c r="I233" i="3"/>
  <c r="J233" i="3"/>
  <c r="B234" i="3"/>
  <c r="C234" i="3"/>
  <c r="D234" i="3"/>
  <c r="F234" i="3"/>
  <c r="G234" i="3"/>
  <c r="H234" i="3"/>
  <c r="I234" i="3"/>
  <c r="J234" i="3"/>
  <c r="B235" i="3"/>
  <c r="C235" i="3"/>
  <c r="D235" i="3"/>
  <c r="F235" i="3"/>
  <c r="G235" i="3"/>
  <c r="H235" i="3"/>
  <c r="I235" i="3"/>
  <c r="J235" i="3"/>
  <c r="B236" i="3"/>
  <c r="C236" i="3"/>
  <c r="D236" i="3"/>
  <c r="F236" i="3"/>
  <c r="G236" i="3"/>
  <c r="H236" i="3"/>
  <c r="I236" i="3"/>
  <c r="J236" i="3"/>
  <c r="B237" i="3"/>
  <c r="C237" i="3"/>
  <c r="D237" i="3"/>
  <c r="F237" i="3"/>
  <c r="G237" i="3"/>
  <c r="H237" i="3"/>
  <c r="I237" i="3"/>
  <c r="J237" i="3"/>
  <c r="B238" i="3"/>
  <c r="C238" i="3"/>
  <c r="D238" i="3"/>
  <c r="F238" i="3"/>
  <c r="G238" i="3"/>
  <c r="H238" i="3"/>
  <c r="I238" i="3"/>
  <c r="J238" i="3"/>
  <c r="B239" i="3"/>
  <c r="C239" i="3"/>
  <c r="D239" i="3"/>
  <c r="F239" i="3"/>
  <c r="G239" i="3"/>
  <c r="H239" i="3"/>
  <c r="I239" i="3"/>
  <c r="J239" i="3"/>
  <c r="B240" i="3"/>
  <c r="C240" i="3"/>
  <c r="D240" i="3"/>
  <c r="F240" i="3"/>
  <c r="G240" i="3"/>
  <c r="H240" i="3"/>
  <c r="I240" i="3"/>
  <c r="J240" i="3"/>
  <c r="B241" i="3"/>
  <c r="C241" i="3"/>
  <c r="D241" i="3"/>
  <c r="F241" i="3"/>
  <c r="G241" i="3"/>
  <c r="H241" i="3"/>
  <c r="I241" i="3"/>
  <c r="J241" i="3"/>
  <c r="B242" i="3"/>
  <c r="C242" i="3"/>
  <c r="D242" i="3"/>
  <c r="F242" i="3"/>
  <c r="G242" i="3"/>
  <c r="H242" i="3"/>
  <c r="I242" i="3"/>
  <c r="J242" i="3"/>
  <c r="B243" i="3"/>
  <c r="C243" i="3"/>
  <c r="D243" i="3"/>
  <c r="F243" i="3"/>
  <c r="G243" i="3"/>
  <c r="H243" i="3"/>
  <c r="I243" i="3"/>
  <c r="J243" i="3"/>
  <c r="B244" i="3"/>
  <c r="C244" i="3"/>
  <c r="D244" i="3"/>
  <c r="F244" i="3"/>
  <c r="G244" i="3"/>
  <c r="H244" i="3"/>
  <c r="I244" i="3"/>
  <c r="J244" i="3"/>
  <c r="B245" i="3"/>
  <c r="C245" i="3"/>
  <c r="D245" i="3"/>
  <c r="F245" i="3"/>
  <c r="G245" i="3"/>
  <c r="H245" i="3"/>
  <c r="I245" i="3"/>
  <c r="J245" i="3"/>
  <c r="B246" i="3"/>
  <c r="C246" i="3"/>
  <c r="D246" i="3"/>
  <c r="F246" i="3"/>
  <c r="G246" i="3"/>
  <c r="H246" i="3"/>
  <c r="I246" i="3"/>
  <c r="J246" i="3"/>
  <c r="B247" i="3"/>
  <c r="C247" i="3"/>
  <c r="D247" i="3"/>
  <c r="F247" i="3"/>
  <c r="G247" i="3"/>
  <c r="H247" i="3"/>
  <c r="I247" i="3"/>
  <c r="J247" i="3"/>
  <c r="B248" i="3"/>
  <c r="C248" i="3"/>
  <c r="D248" i="3"/>
  <c r="F248" i="3"/>
  <c r="G248" i="3"/>
  <c r="H248" i="3"/>
  <c r="I248" i="3"/>
  <c r="J248" i="3"/>
  <c r="B249" i="3"/>
  <c r="C249" i="3"/>
  <c r="D249" i="3"/>
  <c r="F249" i="3"/>
  <c r="G249" i="3"/>
  <c r="H249" i="3"/>
  <c r="I249" i="3"/>
  <c r="J249" i="3"/>
  <c r="B250" i="3"/>
  <c r="C250" i="3"/>
  <c r="D250" i="3"/>
  <c r="F250" i="3"/>
  <c r="G250" i="3"/>
  <c r="H250" i="3"/>
  <c r="I250" i="3"/>
  <c r="J250" i="3"/>
  <c r="B251" i="3"/>
  <c r="C251" i="3"/>
  <c r="D251" i="3"/>
  <c r="F251" i="3"/>
  <c r="G251" i="3"/>
  <c r="H251" i="3"/>
  <c r="I251" i="3"/>
  <c r="J251" i="3"/>
  <c r="B252" i="3"/>
  <c r="C252" i="3"/>
  <c r="D252" i="3"/>
  <c r="F252" i="3"/>
  <c r="G252" i="3"/>
  <c r="H252" i="3"/>
  <c r="I252" i="3"/>
  <c r="J252" i="3"/>
  <c r="B253" i="3"/>
  <c r="C253" i="3"/>
  <c r="D253" i="3"/>
  <c r="F253" i="3"/>
  <c r="G253" i="3"/>
  <c r="H253" i="3"/>
  <c r="I253" i="3"/>
  <c r="J253" i="3"/>
  <c r="B254" i="3"/>
  <c r="C254" i="3"/>
  <c r="D254" i="3"/>
  <c r="F254" i="3"/>
  <c r="G254" i="3"/>
  <c r="H254" i="3"/>
  <c r="I254" i="3"/>
  <c r="J254" i="3"/>
  <c r="B255" i="3"/>
  <c r="C255" i="3"/>
  <c r="D255" i="3"/>
  <c r="F255" i="3"/>
  <c r="G255" i="3"/>
  <c r="H255" i="3"/>
  <c r="I255" i="3"/>
  <c r="J255" i="3"/>
  <c r="B256" i="3"/>
  <c r="C256" i="3"/>
  <c r="D256" i="3"/>
  <c r="F256" i="3"/>
  <c r="G256" i="3"/>
  <c r="H256" i="3"/>
  <c r="I256" i="3"/>
  <c r="J256" i="3"/>
  <c r="B257" i="3"/>
  <c r="C257" i="3"/>
  <c r="D257" i="3"/>
  <c r="F257" i="3"/>
  <c r="G257" i="3"/>
  <c r="H257" i="3"/>
  <c r="I257" i="3"/>
  <c r="J257" i="3"/>
  <c r="B258" i="3"/>
  <c r="C258" i="3"/>
  <c r="D258" i="3"/>
  <c r="F258" i="3"/>
  <c r="G258" i="3"/>
  <c r="H258" i="3"/>
  <c r="I258" i="3"/>
  <c r="J258" i="3"/>
  <c r="B259" i="3"/>
  <c r="C259" i="3"/>
  <c r="D259" i="3"/>
  <c r="F259" i="3"/>
  <c r="G259" i="3"/>
  <c r="H259" i="3"/>
  <c r="I259" i="3"/>
  <c r="J259" i="3"/>
  <c r="B260" i="3"/>
  <c r="C260" i="3"/>
  <c r="D260" i="3"/>
  <c r="F260" i="3"/>
  <c r="G260" i="3"/>
  <c r="H260" i="3"/>
  <c r="I260" i="3"/>
  <c r="J260" i="3"/>
  <c r="B261" i="3"/>
  <c r="C261" i="3"/>
  <c r="D261" i="3"/>
  <c r="F261" i="3"/>
  <c r="G261" i="3"/>
  <c r="H261" i="3"/>
  <c r="I261" i="3"/>
  <c r="J261" i="3"/>
  <c r="B262" i="3"/>
  <c r="C262" i="3"/>
  <c r="D262" i="3"/>
  <c r="F262" i="3"/>
  <c r="G262" i="3"/>
  <c r="H262" i="3"/>
  <c r="I262" i="3"/>
  <c r="J262" i="3"/>
  <c r="B263" i="3"/>
  <c r="C263" i="3"/>
  <c r="D263" i="3"/>
  <c r="F263" i="3"/>
  <c r="G263" i="3"/>
  <c r="H263" i="3"/>
  <c r="I263" i="3"/>
  <c r="J263" i="3"/>
  <c r="B264" i="3"/>
  <c r="C264" i="3"/>
  <c r="D264" i="3"/>
  <c r="F264" i="3"/>
  <c r="G264" i="3"/>
  <c r="H264" i="3"/>
  <c r="I264" i="3"/>
  <c r="J264" i="3"/>
  <c r="B265" i="3"/>
  <c r="C265" i="3"/>
  <c r="D265" i="3"/>
  <c r="F265" i="3"/>
  <c r="G265" i="3"/>
  <c r="H265" i="3"/>
  <c r="I265" i="3"/>
  <c r="J265" i="3"/>
  <c r="B266" i="3"/>
  <c r="C266" i="3"/>
  <c r="D266" i="3"/>
  <c r="F266" i="3"/>
  <c r="G266" i="3"/>
  <c r="H266" i="3"/>
  <c r="I266" i="3"/>
  <c r="J266" i="3"/>
  <c r="B267" i="3"/>
  <c r="C267" i="3"/>
  <c r="D267" i="3"/>
  <c r="F267" i="3"/>
  <c r="G267" i="3"/>
  <c r="H267" i="3"/>
  <c r="I267" i="3"/>
  <c r="J267" i="3"/>
  <c r="B268" i="3"/>
  <c r="C268" i="3"/>
  <c r="D268" i="3"/>
  <c r="F268" i="3"/>
  <c r="G268" i="3"/>
  <c r="H268" i="3"/>
  <c r="I268" i="3"/>
  <c r="J268" i="3"/>
  <c r="B269" i="3"/>
  <c r="C269" i="3"/>
  <c r="D269" i="3"/>
  <c r="F269" i="3"/>
  <c r="G269" i="3"/>
  <c r="H269" i="3"/>
  <c r="I269" i="3"/>
  <c r="J269" i="3"/>
  <c r="B270" i="3"/>
  <c r="C270" i="3"/>
  <c r="D270" i="3"/>
  <c r="F270" i="3"/>
  <c r="G270" i="3"/>
  <c r="H270" i="3"/>
  <c r="I270" i="3"/>
  <c r="J270" i="3"/>
  <c r="B271" i="3"/>
  <c r="C271" i="3"/>
  <c r="D271" i="3"/>
  <c r="F271" i="3"/>
  <c r="G271" i="3"/>
  <c r="H271" i="3"/>
  <c r="I271" i="3"/>
  <c r="J271" i="3"/>
  <c r="B272" i="3"/>
  <c r="C272" i="3"/>
  <c r="D272" i="3"/>
  <c r="F272" i="3"/>
  <c r="G272" i="3"/>
  <c r="H272" i="3"/>
  <c r="I272" i="3"/>
  <c r="J272" i="3"/>
  <c r="B273" i="3"/>
  <c r="C273" i="3"/>
  <c r="D273" i="3"/>
  <c r="F273" i="3"/>
  <c r="G273" i="3"/>
  <c r="H273" i="3"/>
  <c r="I273" i="3"/>
  <c r="J273" i="3"/>
  <c r="B274" i="3"/>
  <c r="C274" i="3"/>
  <c r="D274" i="3"/>
  <c r="F274" i="3"/>
  <c r="G274" i="3"/>
  <c r="H274" i="3"/>
  <c r="I274" i="3"/>
  <c r="J274" i="3"/>
  <c r="B275" i="3"/>
  <c r="C275" i="3"/>
  <c r="D275" i="3"/>
  <c r="F275" i="3"/>
  <c r="G275" i="3"/>
  <c r="H275" i="3"/>
  <c r="I275" i="3"/>
  <c r="J275" i="3"/>
  <c r="B276" i="3"/>
  <c r="C276" i="3"/>
  <c r="D276" i="3"/>
  <c r="F276" i="3"/>
  <c r="G276" i="3"/>
  <c r="H276" i="3"/>
  <c r="I276" i="3"/>
  <c r="J276" i="3"/>
  <c r="B277" i="3"/>
  <c r="C277" i="3"/>
  <c r="D277" i="3"/>
  <c r="F277" i="3"/>
  <c r="G277" i="3"/>
  <c r="H277" i="3"/>
  <c r="I277" i="3"/>
  <c r="J277" i="3"/>
  <c r="B278" i="3"/>
  <c r="C278" i="3"/>
  <c r="D278" i="3"/>
  <c r="F278" i="3"/>
  <c r="G278" i="3"/>
  <c r="H278" i="3"/>
  <c r="I278" i="3"/>
  <c r="J278" i="3"/>
  <c r="B279" i="3"/>
  <c r="C279" i="3"/>
  <c r="D279" i="3"/>
  <c r="F279" i="3"/>
  <c r="G279" i="3"/>
  <c r="H279" i="3"/>
  <c r="I279" i="3"/>
  <c r="J279" i="3"/>
  <c r="B280" i="3"/>
  <c r="C280" i="3"/>
  <c r="D280" i="3"/>
  <c r="F280" i="3"/>
  <c r="G280" i="3"/>
  <c r="H280" i="3"/>
  <c r="I280" i="3"/>
  <c r="J280" i="3"/>
  <c r="B281" i="3"/>
  <c r="C281" i="3"/>
  <c r="D281" i="3"/>
  <c r="F281" i="3"/>
  <c r="G281" i="3"/>
  <c r="H281" i="3"/>
  <c r="I281" i="3"/>
  <c r="J281" i="3"/>
  <c r="B282" i="3"/>
  <c r="C282" i="3"/>
  <c r="D282" i="3"/>
  <c r="F282" i="3"/>
  <c r="G282" i="3"/>
  <c r="H282" i="3"/>
  <c r="I282" i="3"/>
  <c r="J282" i="3"/>
  <c r="B283" i="3"/>
  <c r="C283" i="3"/>
  <c r="D283" i="3"/>
  <c r="F283" i="3"/>
  <c r="G283" i="3"/>
  <c r="H283" i="3"/>
  <c r="I283" i="3"/>
  <c r="J283" i="3"/>
  <c r="B284" i="3"/>
  <c r="C284" i="3"/>
  <c r="D284" i="3"/>
  <c r="F284" i="3"/>
  <c r="G284" i="3"/>
  <c r="H284" i="3"/>
  <c r="I284" i="3"/>
  <c r="J284" i="3"/>
  <c r="B285" i="3"/>
  <c r="C285" i="3"/>
  <c r="D285" i="3"/>
  <c r="F285" i="3"/>
  <c r="G285" i="3"/>
  <c r="H285" i="3"/>
  <c r="I285" i="3"/>
  <c r="J285" i="3"/>
  <c r="B286" i="3"/>
  <c r="C286" i="3"/>
  <c r="D286" i="3"/>
  <c r="F286" i="3"/>
  <c r="G286" i="3"/>
  <c r="H286" i="3"/>
  <c r="I286" i="3"/>
  <c r="J286" i="3"/>
  <c r="B287" i="3"/>
  <c r="C287" i="3"/>
  <c r="D287" i="3"/>
  <c r="F287" i="3"/>
  <c r="G287" i="3"/>
  <c r="H287" i="3"/>
  <c r="I287" i="3"/>
  <c r="J287" i="3"/>
  <c r="B288" i="3"/>
  <c r="C288" i="3"/>
  <c r="D288" i="3"/>
  <c r="F288" i="3"/>
  <c r="G288" i="3"/>
  <c r="H288" i="3"/>
  <c r="I288" i="3"/>
  <c r="J288" i="3"/>
  <c r="B289" i="3"/>
  <c r="C289" i="3"/>
  <c r="D289" i="3"/>
  <c r="F289" i="3"/>
  <c r="G289" i="3"/>
  <c r="H289" i="3"/>
  <c r="I289" i="3"/>
  <c r="J289" i="3"/>
  <c r="B290" i="3"/>
  <c r="C290" i="3"/>
  <c r="D290" i="3"/>
  <c r="F290" i="3"/>
  <c r="G290" i="3"/>
  <c r="H290" i="3"/>
  <c r="I290" i="3"/>
  <c r="J290" i="3"/>
  <c r="B291" i="3"/>
  <c r="C291" i="3"/>
  <c r="D291" i="3"/>
  <c r="F291" i="3"/>
  <c r="G291" i="3"/>
  <c r="H291" i="3"/>
  <c r="I291" i="3"/>
  <c r="J291" i="3"/>
  <c r="B292" i="3"/>
  <c r="C292" i="3"/>
  <c r="D292" i="3"/>
  <c r="F292" i="3"/>
  <c r="G292" i="3"/>
  <c r="H292" i="3"/>
  <c r="I292" i="3"/>
  <c r="J292" i="3"/>
  <c r="B293" i="3"/>
  <c r="C293" i="3"/>
  <c r="D293" i="3"/>
  <c r="F293" i="3"/>
  <c r="G293" i="3"/>
  <c r="H293" i="3"/>
  <c r="I293" i="3"/>
  <c r="J293" i="3"/>
  <c r="B294" i="3"/>
  <c r="C294" i="3"/>
  <c r="D294" i="3"/>
  <c r="F294" i="3"/>
  <c r="G294" i="3"/>
  <c r="H294" i="3"/>
  <c r="I294" i="3"/>
  <c r="J294" i="3"/>
  <c r="B295" i="3"/>
  <c r="C295" i="3"/>
  <c r="D295" i="3"/>
  <c r="F295" i="3"/>
  <c r="G295" i="3"/>
  <c r="H295" i="3"/>
  <c r="I295" i="3"/>
  <c r="J295" i="3"/>
  <c r="B296" i="3"/>
  <c r="C296" i="3"/>
  <c r="D296" i="3"/>
  <c r="F296" i="3"/>
  <c r="G296" i="3"/>
  <c r="H296" i="3"/>
  <c r="I296" i="3"/>
  <c r="J296" i="3"/>
  <c r="B297" i="3"/>
  <c r="C297" i="3"/>
  <c r="D297" i="3"/>
  <c r="F297" i="3"/>
  <c r="G297" i="3"/>
  <c r="H297" i="3"/>
  <c r="I297" i="3"/>
  <c r="J297" i="3"/>
  <c r="B298" i="3"/>
  <c r="C298" i="3"/>
  <c r="D298" i="3"/>
  <c r="F298" i="3"/>
  <c r="G298" i="3"/>
  <c r="H298" i="3"/>
  <c r="I298" i="3"/>
  <c r="J298" i="3"/>
  <c r="B299" i="3"/>
  <c r="C299" i="3"/>
  <c r="D299" i="3"/>
  <c r="F299" i="3"/>
  <c r="G299" i="3"/>
  <c r="H299" i="3"/>
  <c r="I299" i="3"/>
  <c r="J299" i="3"/>
  <c r="B300" i="3"/>
  <c r="C300" i="3"/>
  <c r="D300" i="3"/>
  <c r="F300" i="3"/>
  <c r="G300" i="3"/>
  <c r="H300" i="3"/>
  <c r="I300" i="3"/>
  <c r="J300" i="3"/>
  <c r="B301" i="3"/>
  <c r="C301" i="3"/>
  <c r="D301" i="3"/>
  <c r="F301" i="3"/>
  <c r="G301" i="3"/>
  <c r="H301" i="3"/>
  <c r="I301" i="3"/>
  <c r="J301" i="3"/>
  <c r="B302" i="3"/>
  <c r="C302" i="3"/>
  <c r="D302" i="3"/>
  <c r="F302" i="3"/>
  <c r="G302" i="3"/>
  <c r="H302" i="3"/>
  <c r="I302" i="3"/>
  <c r="J302" i="3"/>
  <c r="B303" i="3"/>
  <c r="C303" i="3"/>
  <c r="D303" i="3"/>
  <c r="F303" i="3"/>
  <c r="G303" i="3"/>
  <c r="H303" i="3"/>
  <c r="I303" i="3"/>
  <c r="J303" i="3"/>
  <c r="B304" i="3"/>
  <c r="C304" i="3"/>
  <c r="D304" i="3"/>
  <c r="F304" i="3"/>
  <c r="G304" i="3"/>
  <c r="H304" i="3"/>
  <c r="I304" i="3"/>
  <c r="J304" i="3"/>
  <c r="B305" i="3"/>
  <c r="C305" i="3"/>
  <c r="D305" i="3"/>
  <c r="F305" i="3"/>
  <c r="G305" i="3"/>
  <c r="H305" i="3"/>
  <c r="I305" i="3"/>
  <c r="J305" i="3"/>
  <c r="B306" i="3"/>
  <c r="C306" i="3"/>
  <c r="D306" i="3"/>
  <c r="F306" i="3"/>
  <c r="G306" i="3"/>
  <c r="H306" i="3"/>
  <c r="I306" i="3"/>
  <c r="J306" i="3"/>
  <c r="B307" i="3"/>
  <c r="C307" i="3"/>
  <c r="D307" i="3"/>
  <c r="F307" i="3"/>
  <c r="G307" i="3"/>
  <c r="H307" i="3"/>
  <c r="I307" i="3"/>
  <c r="J307" i="3"/>
  <c r="B308" i="3"/>
  <c r="C308" i="3"/>
  <c r="D308" i="3"/>
  <c r="F308" i="3"/>
  <c r="G308" i="3"/>
  <c r="H308" i="3"/>
  <c r="I308" i="3"/>
  <c r="J308" i="3"/>
  <c r="B309" i="3"/>
  <c r="C309" i="3"/>
  <c r="D309" i="3"/>
  <c r="F309" i="3"/>
  <c r="G309" i="3"/>
  <c r="H309" i="3"/>
  <c r="I309" i="3"/>
  <c r="J309" i="3"/>
  <c r="B310" i="3"/>
  <c r="C310" i="3"/>
  <c r="D310" i="3"/>
  <c r="F310" i="3"/>
  <c r="G310" i="3"/>
  <c r="H310" i="3"/>
  <c r="I310" i="3"/>
  <c r="J310" i="3"/>
  <c r="B311" i="3"/>
  <c r="C311" i="3"/>
  <c r="D311" i="3"/>
  <c r="F311" i="3"/>
  <c r="G311" i="3"/>
  <c r="H311" i="3"/>
  <c r="I311" i="3"/>
  <c r="J311" i="3"/>
  <c r="B312" i="3"/>
  <c r="C312" i="3"/>
  <c r="D312" i="3"/>
  <c r="F312" i="3"/>
  <c r="G312" i="3"/>
  <c r="H312" i="3"/>
  <c r="I312" i="3"/>
  <c r="J312" i="3"/>
  <c r="B313" i="3"/>
  <c r="C313" i="3"/>
  <c r="D313" i="3"/>
  <c r="F313" i="3"/>
  <c r="G313" i="3"/>
  <c r="H313" i="3"/>
  <c r="I313" i="3"/>
  <c r="J313" i="3"/>
  <c r="B314" i="3"/>
  <c r="C314" i="3"/>
  <c r="D314" i="3"/>
  <c r="F314" i="3"/>
  <c r="G314" i="3"/>
  <c r="H314" i="3"/>
  <c r="I314" i="3"/>
  <c r="J314" i="3"/>
  <c r="B315" i="3"/>
  <c r="C315" i="3"/>
  <c r="D315" i="3"/>
  <c r="F315" i="3"/>
  <c r="G315" i="3"/>
  <c r="H315" i="3"/>
  <c r="I315" i="3"/>
  <c r="J315" i="3"/>
  <c r="B316" i="3"/>
  <c r="C316" i="3"/>
  <c r="D316" i="3"/>
  <c r="F316" i="3"/>
  <c r="G316" i="3"/>
  <c r="H316" i="3"/>
  <c r="I316" i="3"/>
  <c r="J316" i="3"/>
  <c r="B317" i="3"/>
  <c r="C317" i="3"/>
  <c r="D317" i="3"/>
  <c r="F317" i="3"/>
  <c r="G317" i="3"/>
  <c r="H317" i="3"/>
  <c r="I317" i="3"/>
  <c r="J317" i="3"/>
  <c r="B318" i="3"/>
  <c r="C318" i="3"/>
  <c r="D318" i="3"/>
  <c r="F318" i="3"/>
  <c r="G318" i="3"/>
  <c r="H318" i="3"/>
  <c r="I318" i="3"/>
  <c r="J318" i="3"/>
  <c r="B319" i="3"/>
  <c r="C319" i="3"/>
  <c r="D319" i="3"/>
  <c r="F319" i="3"/>
  <c r="G319" i="3"/>
  <c r="H319" i="3"/>
  <c r="I319" i="3"/>
  <c r="J319" i="3"/>
  <c r="B320" i="3"/>
  <c r="C320" i="3"/>
  <c r="D320" i="3"/>
  <c r="F320" i="3"/>
  <c r="G320" i="3"/>
  <c r="H320" i="3"/>
  <c r="I320" i="3"/>
  <c r="J320" i="3"/>
  <c r="B321" i="3"/>
  <c r="C321" i="3"/>
  <c r="D321" i="3"/>
  <c r="F321" i="3"/>
  <c r="G321" i="3"/>
  <c r="H321" i="3"/>
  <c r="I321" i="3"/>
  <c r="J321" i="3"/>
  <c r="B322" i="3"/>
  <c r="C322" i="3"/>
  <c r="D322" i="3"/>
  <c r="F322" i="3"/>
  <c r="G322" i="3"/>
  <c r="H322" i="3"/>
  <c r="I322" i="3"/>
  <c r="J322" i="3"/>
  <c r="B323" i="3"/>
  <c r="C323" i="3"/>
  <c r="D323" i="3"/>
  <c r="F323" i="3"/>
  <c r="G323" i="3"/>
  <c r="H323" i="3"/>
  <c r="I323" i="3"/>
  <c r="J323" i="3"/>
  <c r="B324" i="3"/>
  <c r="C324" i="3"/>
  <c r="D324" i="3"/>
  <c r="F324" i="3"/>
  <c r="G324" i="3"/>
  <c r="H324" i="3"/>
  <c r="I324" i="3"/>
  <c r="J324" i="3"/>
  <c r="B325" i="3"/>
  <c r="C325" i="3"/>
  <c r="D325" i="3"/>
  <c r="F325" i="3"/>
  <c r="G325" i="3"/>
  <c r="H325" i="3"/>
  <c r="I325" i="3"/>
  <c r="J325" i="3"/>
  <c r="B326" i="3"/>
  <c r="C326" i="3"/>
  <c r="D326" i="3"/>
  <c r="F326" i="3"/>
  <c r="G326" i="3"/>
  <c r="H326" i="3"/>
  <c r="I326" i="3"/>
  <c r="J326" i="3"/>
  <c r="B327" i="3"/>
  <c r="C327" i="3"/>
  <c r="D327" i="3"/>
  <c r="F327" i="3"/>
  <c r="G327" i="3"/>
  <c r="H327" i="3"/>
  <c r="I327" i="3"/>
  <c r="J327" i="3"/>
  <c r="B328" i="3"/>
  <c r="C328" i="3"/>
  <c r="D328" i="3"/>
  <c r="F328" i="3"/>
  <c r="G328" i="3"/>
  <c r="H328" i="3"/>
  <c r="I328" i="3"/>
  <c r="J328" i="3"/>
  <c r="B329" i="3"/>
  <c r="C329" i="3"/>
  <c r="D329" i="3"/>
  <c r="F329" i="3"/>
  <c r="G329" i="3"/>
  <c r="H329" i="3"/>
  <c r="I329" i="3"/>
  <c r="J329" i="3"/>
  <c r="B330" i="3"/>
  <c r="C330" i="3"/>
  <c r="D330" i="3"/>
  <c r="F330" i="3"/>
  <c r="G330" i="3"/>
  <c r="H330" i="3"/>
  <c r="I330" i="3"/>
  <c r="J330" i="3"/>
  <c r="B331" i="3"/>
  <c r="C331" i="3"/>
  <c r="D331" i="3"/>
  <c r="F331" i="3"/>
  <c r="G331" i="3"/>
  <c r="H331" i="3"/>
  <c r="I331" i="3"/>
  <c r="J331" i="3"/>
  <c r="B332" i="3"/>
  <c r="C332" i="3"/>
  <c r="D332" i="3"/>
  <c r="F332" i="3"/>
  <c r="G332" i="3"/>
  <c r="H332" i="3"/>
  <c r="I332" i="3"/>
  <c r="J332" i="3"/>
  <c r="B333" i="3"/>
  <c r="C333" i="3"/>
  <c r="D333" i="3"/>
  <c r="F333" i="3"/>
  <c r="G333" i="3"/>
  <c r="H333" i="3"/>
  <c r="I333" i="3"/>
  <c r="J333" i="3"/>
  <c r="B334" i="3"/>
  <c r="C334" i="3"/>
  <c r="D334" i="3"/>
  <c r="F334" i="3"/>
  <c r="G334" i="3"/>
  <c r="H334" i="3"/>
  <c r="I334" i="3"/>
  <c r="J334" i="3"/>
  <c r="B335" i="3"/>
  <c r="C335" i="3"/>
  <c r="D335" i="3"/>
  <c r="F335" i="3"/>
  <c r="G335" i="3"/>
  <c r="H335" i="3"/>
  <c r="I335" i="3"/>
  <c r="J335" i="3"/>
  <c r="B336" i="3"/>
  <c r="C336" i="3"/>
  <c r="D336" i="3"/>
  <c r="F336" i="3"/>
  <c r="G336" i="3"/>
  <c r="H336" i="3"/>
  <c r="I336" i="3"/>
  <c r="J336" i="3"/>
  <c r="B337" i="3"/>
  <c r="C337" i="3"/>
  <c r="D337" i="3"/>
  <c r="F337" i="3"/>
  <c r="G337" i="3"/>
  <c r="H337" i="3"/>
  <c r="I337" i="3"/>
  <c r="J337" i="3"/>
  <c r="B338" i="3"/>
  <c r="C338" i="3"/>
  <c r="D338" i="3"/>
  <c r="F338" i="3"/>
  <c r="G338" i="3"/>
  <c r="H338" i="3"/>
  <c r="I338" i="3"/>
  <c r="J338" i="3"/>
  <c r="B339" i="3"/>
  <c r="C339" i="3"/>
  <c r="D339" i="3"/>
  <c r="F339" i="3"/>
  <c r="G339" i="3"/>
  <c r="H339" i="3"/>
  <c r="I339" i="3"/>
  <c r="J339" i="3"/>
  <c r="B340" i="3"/>
  <c r="C340" i="3"/>
  <c r="D340" i="3"/>
  <c r="F340" i="3"/>
  <c r="G340" i="3"/>
  <c r="H340" i="3"/>
  <c r="I340" i="3"/>
  <c r="J340" i="3"/>
  <c r="B341" i="3"/>
  <c r="C341" i="3"/>
  <c r="D341" i="3"/>
  <c r="F341" i="3"/>
  <c r="G341" i="3"/>
  <c r="H341" i="3"/>
  <c r="I341" i="3"/>
  <c r="J341" i="3"/>
  <c r="B342" i="3"/>
  <c r="C342" i="3"/>
  <c r="D342" i="3"/>
  <c r="F342" i="3"/>
  <c r="G342" i="3"/>
  <c r="H342" i="3"/>
  <c r="I342" i="3"/>
  <c r="J342" i="3"/>
  <c r="B343" i="3"/>
  <c r="C343" i="3"/>
  <c r="D343" i="3"/>
  <c r="F343" i="3"/>
  <c r="G343" i="3"/>
  <c r="H343" i="3"/>
  <c r="I343" i="3"/>
  <c r="J343" i="3"/>
  <c r="B344" i="3"/>
  <c r="C344" i="3"/>
  <c r="D344" i="3"/>
  <c r="F344" i="3"/>
  <c r="G344" i="3"/>
  <c r="H344" i="3"/>
  <c r="I344" i="3"/>
  <c r="J344" i="3"/>
  <c r="B345" i="3"/>
  <c r="C345" i="3"/>
  <c r="D345" i="3"/>
  <c r="F345" i="3"/>
  <c r="G345" i="3"/>
  <c r="H345" i="3"/>
  <c r="I345" i="3"/>
  <c r="J345" i="3"/>
  <c r="B346" i="3"/>
  <c r="C346" i="3"/>
  <c r="D346" i="3"/>
  <c r="F346" i="3"/>
  <c r="G346" i="3"/>
  <c r="H346" i="3"/>
  <c r="I346" i="3"/>
  <c r="J346" i="3"/>
  <c r="B347" i="3"/>
  <c r="C347" i="3"/>
  <c r="D347" i="3"/>
  <c r="F347" i="3"/>
  <c r="G347" i="3"/>
  <c r="H347" i="3"/>
  <c r="I347" i="3"/>
  <c r="J347" i="3"/>
  <c r="B348" i="3"/>
  <c r="C348" i="3"/>
  <c r="D348" i="3"/>
  <c r="F348" i="3"/>
  <c r="G348" i="3"/>
  <c r="H348" i="3"/>
  <c r="I348" i="3"/>
  <c r="J348" i="3"/>
  <c r="B349" i="3"/>
  <c r="C349" i="3"/>
  <c r="D349" i="3"/>
  <c r="F349" i="3"/>
  <c r="G349" i="3"/>
  <c r="H349" i="3"/>
  <c r="I349" i="3"/>
  <c r="J349" i="3"/>
  <c r="B350" i="3"/>
  <c r="C350" i="3"/>
  <c r="D350" i="3"/>
  <c r="F350" i="3"/>
  <c r="G350" i="3"/>
  <c r="H350" i="3"/>
  <c r="I350" i="3"/>
  <c r="J350" i="3"/>
  <c r="B351" i="3"/>
  <c r="C351" i="3"/>
  <c r="D351" i="3"/>
  <c r="F351" i="3"/>
  <c r="G351" i="3"/>
  <c r="H351" i="3"/>
  <c r="I351" i="3"/>
  <c r="J351" i="3"/>
  <c r="B352" i="3"/>
  <c r="C352" i="3"/>
  <c r="D352" i="3"/>
  <c r="F352" i="3"/>
  <c r="G352" i="3"/>
  <c r="H352" i="3"/>
  <c r="I352" i="3"/>
  <c r="J352" i="3"/>
  <c r="B353" i="3"/>
  <c r="C353" i="3"/>
  <c r="D353" i="3"/>
  <c r="F353" i="3"/>
  <c r="G353" i="3"/>
  <c r="H353" i="3"/>
  <c r="I353" i="3"/>
  <c r="J353" i="3"/>
  <c r="B354" i="3"/>
  <c r="C354" i="3"/>
  <c r="D354" i="3"/>
  <c r="F354" i="3"/>
  <c r="G354" i="3"/>
  <c r="H354" i="3"/>
  <c r="I354" i="3"/>
  <c r="J354" i="3"/>
  <c r="B355" i="3"/>
  <c r="C355" i="3"/>
  <c r="D355" i="3"/>
  <c r="F355" i="3"/>
  <c r="G355" i="3"/>
  <c r="H355" i="3"/>
  <c r="I355" i="3"/>
  <c r="J355" i="3"/>
  <c r="B356" i="3"/>
  <c r="C356" i="3"/>
  <c r="D356" i="3"/>
  <c r="F356" i="3"/>
  <c r="G356" i="3"/>
  <c r="H356" i="3"/>
  <c r="I356" i="3"/>
  <c r="J356" i="3"/>
  <c r="B357" i="3"/>
  <c r="C357" i="3"/>
  <c r="D357" i="3"/>
  <c r="F357" i="3"/>
  <c r="G357" i="3"/>
  <c r="H357" i="3"/>
  <c r="I357" i="3"/>
  <c r="J357" i="3"/>
  <c r="B358" i="3"/>
  <c r="C358" i="3"/>
  <c r="D358" i="3"/>
  <c r="F358" i="3"/>
  <c r="G358" i="3"/>
  <c r="H358" i="3"/>
  <c r="I358" i="3"/>
  <c r="J358" i="3"/>
  <c r="B359" i="3"/>
  <c r="C359" i="3"/>
  <c r="D359" i="3"/>
  <c r="F359" i="3"/>
  <c r="G359" i="3"/>
  <c r="H359" i="3"/>
  <c r="I359" i="3"/>
  <c r="J359" i="3"/>
  <c r="B360" i="3"/>
  <c r="C360" i="3"/>
  <c r="D360" i="3"/>
  <c r="F360" i="3"/>
  <c r="G360" i="3"/>
  <c r="H360" i="3"/>
  <c r="I360" i="3"/>
  <c r="J360" i="3"/>
  <c r="B361" i="3"/>
  <c r="C361" i="3"/>
  <c r="D361" i="3"/>
  <c r="F361" i="3"/>
  <c r="G361" i="3"/>
  <c r="H361" i="3"/>
  <c r="I361" i="3"/>
  <c r="J361" i="3"/>
  <c r="B362" i="3"/>
  <c r="C362" i="3"/>
  <c r="D362" i="3"/>
  <c r="F362" i="3"/>
  <c r="G362" i="3"/>
  <c r="H362" i="3"/>
  <c r="I362" i="3"/>
  <c r="J362" i="3"/>
  <c r="B363" i="3"/>
  <c r="C363" i="3"/>
  <c r="D363" i="3"/>
  <c r="F363" i="3"/>
  <c r="G363" i="3"/>
  <c r="H363" i="3"/>
  <c r="I363" i="3"/>
  <c r="J363" i="3"/>
  <c r="B364" i="3"/>
  <c r="C364" i="3"/>
  <c r="D364" i="3"/>
  <c r="F364" i="3"/>
  <c r="G364" i="3"/>
  <c r="H364" i="3"/>
  <c r="I364" i="3"/>
  <c r="J364" i="3"/>
  <c r="B365" i="3"/>
  <c r="C365" i="3"/>
  <c r="D365" i="3"/>
  <c r="F365" i="3"/>
  <c r="G365" i="3"/>
  <c r="H365" i="3"/>
  <c r="I365" i="3"/>
  <c r="J365" i="3"/>
  <c r="B366" i="3"/>
  <c r="K366" i="3" s="1"/>
  <c r="C366" i="3"/>
  <c r="D366" i="3"/>
  <c r="F366" i="3"/>
  <c r="G366" i="3"/>
  <c r="H366" i="3"/>
  <c r="I366" i="3"/>
  <c r="J366" i="3"/>
  <c r="B367" i="3"/>
  <c r="C367" i="3"/>
  <c r="D367" i="3"/>
  <c r="F367" i="3"/>
  <c r="G367" i="3"/>
  <c r="H367" i="3"/>
  <c r="I367" i="3"/>
  <c r="J367" i="3"/>
  <c r="B368" i="3"/>
  <c r="C368" i="3"/>
  <c r="D368" i="3"/>
  <c r="F368" i="3"/>
  <c r="G368" i="3"/>
  <c r="H368" i="3"/>
  <c r="I368" i="3"/>
  <c r="J368" i="3"/>
  <c r="B369" i="3"/>
  <c r="C369" i="3"/>
  <c r="D369" i="3"/>
  <c r="F369" i="3"/>
  <c r="G369" i="3"/>
  <c r="H369" i="3"/>
  <c r="I369" i="3"/>
  <c r="J369" i="3"/>
  <c r="B370" i="3"/>
  <c r="C370" i="3"/>
  <c r="D370" i="3"/>
  <c r="F370" i="3"/>
  <c r="G370" i="3"/>
  <c r="H370" i="3"/>
  <c r="I370" i="3"/>
  <c r="J370" i="3"/>
  <c r="B371" i="3"/>
  <c r="C371" i="3"/>
  <c r="D371" i="3"/>
  <c r="F371" i="3"/>
  <c r="G371" i="3"/>
  <c r="H371" i="3"/>
  <c r="I371" i="3"/>
  <c r="J371" i="3"/>
  <c r="B372" i="3"/>
  <c r="K372" i="3" s="1"/>
  <c r="C372" i="3"/>
  <c r="D372" i="3"/>
  <c r="F372" i="3"/>
  <c r="G372" i="3"/>
  <c r="H372" i="3"/>
  <c r="I372" i="3"/>
  <c r="J372" i="3"/>
  <c r="B373" i="3"/>
  <c r="C373" i="3"/>
  <c r="D373" i="3"/>
  <c r="F373" i="3"/>
  <c r="G373" i="3"/>
  <c r="H373" i="3"/>
  <c r="I373" i="3"/>
  <c r="J373" i="3"/>
  <c r="B374" i="3"/>
  <c r="C374" i="3"/>
  <c r="D374" i="3"/>
  <c r="F374" i="3"/>
  <c r="G374" i="3"/>
  <c r="H374" i="3"/>
  <c r="I374" i="3"/>
  <c r="J374" i="3"/>
  <c r="B375" i="3"/>
  <c r="C375" i="3"/>
  <c r="D375" i="3"/>
  <c r="F375" i="3"/>
  <c r="G375" i="3"/>
  <c r="H375" i="3"/>
  <c r="I375" i="3"/>
  <c r="J375" i="3"/>
  <c r="B376" i="3"/>
  <c r="C376" i="3"/>
  <c r="D376" i="3"/>
  <c r="F376" i="3"/>
  <c r="G376" i="3"/>
  <c r="H376" i="3"/>
  <c r="I376" i="3"/>
  <c r="J376" i="3"/>
  <c r="B377" i="3"/>
  <c r="C377" i="3"/>
  <c r="D377" i="3"/>
  <c r="F377" i="3"/>
  <c r="G377" i="3"/>
  <c r="H377" i="3"/>
  <c r="I377" i="3"/>
  <c r="J377" i="3"/>
  <c r="B378" i="3"/>
  <c r="C378" i="3"/>
  <c r="D378" i="3"/>
  <c r="F378" i="3"/>
  <c r="G378" i="3"/>
  <c r="H378" i="3"/>
  <c r="I378" i="3"/>
  <c r="J378" i="3"/>
  <c r="B379" i="3"/>
  <c r="C379" i="3"/>
  <c r="D379" i="3"/>
  <c r="F379" i="3"/>
  <c r="G379" i="3"/>
  <c r="H379" i="3"/>
  <c r="I379" i="3"/>
  <c r="J379" i="3"/>
  <c r="B380" i="3"/>
  <c r="C380" i="3"/>
  <c r="D380" i="3"/>
  <c r="F380" i="3"/>
  <c r="G380" i="3"/>
  <c r="H380" i="3"/>
  <c r="I380" i="3"/>
  <c r="J380" i="3"/>
  <c r="B381" i="3"/>
  <c r="C381" i="3"/>
  <c r="D381" i="3"/>
  <c r="F381" i="3"/>
  <c r="G381" i="3"/>
  <c r="H381" i="3"/>
  <c r="I381" i="3"/>
  <c r="J381" i="3"/>
  <c r="B382" i="3"/>
  <c r="C382" i="3"/>
  <c r="D382" i="3"/>
  <c r="F382" i="3"/>
  <c r="G382" i="3"/>
  <c r="H382" i="3"/>
  <c r="I382" i="3"/>
  <c r="J382" i="3"/>
  <c r="B383" i="3"/>
  <c r="C383" i="3"/>
  <c r="D383" i="3"/>
  <c r="F383" i="3"/>
  <c r="G383" i="3"/>
  <c r="H383" i="3"/>
  <c r="I383" i="3"/>
  <c r="J383" i="3"/>
  <c r="B384" i="3"/>
  <c r="C384" i="3"/>
  <c r="D384" i="3"/>
  <c r="F384" i="3"/>
  <c r="G384" i="3"/>
  <c r="H384" i="3"/>
  <c r="I384" i="3"/>
  <c r="J384" i="3"/>
  <c r="B385" i="3"/>
  <c r="C385" i="3"/>
  <c r="D385" i="3"/>
  <c r="F385" i="3"/>
  <c r="G385" i="3"/>
  <c r="H385" i="3"/>
  <c r="I385" i="3"/>
  <c r="J385" i="3"/>
  <c r="B386" i="3"/>
  <c r="C386" i="3"/>
  <c r="D386" i="3"/>
  <c r="F386" i="3"/>
  <c r="G386" i="3"/>
  <c r="H386" i="3"/>
  <c r="I386" i="3"/>
  <c r="J386" i="3"/>
  <c r="B387" i="3"/>
  <c r="C387" i="3"/>
  <c r="D387" i="3"/>
  <c r="F387" i="3"/>
  <c r="G387" i="3"/>
  <c r="H387" i="3"/>
  <c r="I387" i="3"/>
  <c r="J387" i="3"/>
  <c r="B388" i="3"/>
  <c r="C388" i="3"/>
  <c r="D388" i="3"/>
  <c r="F388" i="3"/>
  <c r="G388" i="3"/>
  <c r="H388" i="3"/>
  <c r="I388" i="3"/>
  <c r="J388" i="3"/>
  <c r="B389" i="3"/>
  <c r="C389" i="3"/>
  <c r="D389" i="3"/>
  <c r="F389" i="3"/>
  <c r="G389" i="3"/>
  <c r="H389" i="3"/>
  <c r="I389" i="3"/>
  <c r="J389" i="3"/>
  <c r="B390" i="3"/>
  <c r="C390" i="3"/>
  <c r="D390" i="3"/>
  <c r="F390" i="3"/>
  <c r="G390" i="3"/>
  <c r="H390" i="3"/>
  <c r="I390" i="3"/>
  <c r="J390" i="3"/>
  <c r="B391" i="3"/>
  <c r="C391" i="3"/>
  <c r="D391" i="3"/>
  <c r="F391" i="3"/>
  <c r="G391" i="3"/>
  <c r="H391" i="3"/>
  <c r="I391" i="3"/>
  <c r="J391" i="3"/>
  <c r="B392" i="3"/>
  <c r="C392" i="3"/>
  <c r="D392" i="3"/>
  <c r="F392" i="3"/>
  <c r="G392" i="3"/>
  <c r="H392" i="3"/>
  <c r="I392" i="3"/>
  <c r="J392" i="3"/>
  <c r="B393" i="3"/>
  <c r="C393" i="3"/>
  <c r="D393" i="3"/>
  <c r="F393" i="3"/>
  <c r="G393" i="3"/>
  <c r="H393" i="3"/>
  <c r="I393" i="3"/>
  <c r="J393" i="3"/>
  <c r="B394" i="3"/>
  <c r="C394" i="3"/>
  <c r="D394" i="3"/>
  <c r="F394" i="3"/>
  <c r="G394" i="3"/>
  <c r="H394" i="3"/>
  <c r="I394" i="3"/>
  <c r="J394" i="3"/>
  <c r="B395" i="3"/>
  <c r="C395" i="3"/>
  <c r="D395" i="3"/>
  <c r="F395" i="3"/>
  <c r="G395" i="3"/>
  <c r="H395" i="3"/>
  <c r="I395" i="3"/>
  <c r="J395" i="3"/>
  <c r="B396" i="3"/>
  <c r="C396" i="3"/>
  <c r="D396" i="3"/>
  <c r="F396" i="3"/>
  <c r="G396" i="3"/>
  <c r="H396" i="3"/>
  <c r="I396" i="3"/>
  <c r="J396" i="3"/>
  <c r="B397" i="3"/>
  <c r="C397" i="3"/>
  <c r="D397" i="3"/>
  <c r="F397" i="3"/>
  <c r="G397" i="3"/>
  <c r="H397" i="3"/>
  <c r="I397" i="3"/>
  <c r="J397" i="3"/>
  <c r="B398" i="3"/>
  <c r="C398" i="3"/>
  <c r="D398" i="3"/>
  <c r="F398" i="3"/>
  <c r="G398" i="3"/>
  <c r="H398" i="3"/>
  <c r="I398" i="3"/>
  <c r="J398" i="3"/>
  <c r="B399" i="3"/>
  <c r="C399" i="3"/>
  <c r="D399" i="3"/>
  <c r="F399" i="3"/>
  <c r="G399" i="3"/>
  <c r="H399" i="3"/>
  <c r="I399" i="3"/>
  <c r="J399" i="3"/>
  <c r="B400" i="3"/>
  <c r="C400" i="3"/>
  <c r="D400" i="3"/>
  <c r="F400" i="3"/>
  <c r="G400" i="3"/>
  <c r="H400" i="3"/>
  <c r="I400" i="3"/>
  <c r="J400" i="3"/>
  <c r="B401" i="3"/>
  <c r="C401" i="3"/>
  <c r="D401" i="3"/>
  <c r="F401" i="3"/>
  <c r="G401" i="3"/>
  <c r="H401" i="3"/>
  <c r="I401" i="3"/>
  <c r="J401" i="3"/>
  <c r="B402" i="3"/>
  <c r="C402" i="3"/>
  <c r="D402" i="3"/>
  <c r="F402" i="3"/>
  <c r="G402" i="3"/>
  <c r="H402" i="3"/>
  <c r="I402" i="3"/>
  <c r="J402" i="3"/>
  <c r="B403" i="3"/>
  <c r="C403" i="3"/>
  <c r="D403" i="3"/>
  <c r="F403" i="3"/>
  <c r="G403" i="3"/>
  <c r="H403" i="3"/>
  <c r="I403" i="3"/>
  <c r="J403" i="3"/>
  <c r="B404" i="3"/>
  <c r="C404" i="3"/>
  <c r="D404" i="3"/>
  <c r="F404" i="3"/>
  <c r="G404" i="3"/>
  <c r="H404" i="3"/>
  <c r="I404" i="3"/>
  <c r="J404" i="3"/>
  <c r="B405" i="3"/>
  <c r="C405" i="3"/>
  <c r="D405" i="3"/>
  <c r="F405" i="3"/>
  <c r="G405" i="3"/>
  <c r="H405" i="3"/>
  <c r="I405" i="3"/>
  <c r="J405" i="3"/>
  <c r="B406" i="3"/>
  <c r="C406" i="3"/>
  <c r="D406" i="3"/>
  <c r="F406" i="3"/>
  <c r="G406" i="3"/>
  <c r="H406" i="3"/>
  <c r="I406" i="3"/>
  <c r="J406" i="3"/>
  <c r="B407" i="3"/>
  <c r="C407" i="3"/>
  <c r="D407" i="3"/>
  <c r="F407" i="3"/>
  <c r="G407" i="3"/>
  <c r="H407" i="3"/>
  <c r="I407" i="3"/>
  <c r="J407" i="3"/>
  <c r="B408" i="3"/>
  <c r="C408" i="3"/>
  <c r="D408" i="3"/>
  <c r="F408" i="3"/>
  <c r="G408" i="3"/>
  <c r="H408" i="3"/>
  <c r="I408" i="3"/>
  <c r="J408" i="3"/>
  <c r="B409" i="3"/>
  <c r="C409" i="3"/>
  <c r="D409" i="3"/>
  <c r="F409" i="3"/>
  <c r="G409" i="3"/>
  <c r="H409" i="3"/>
  <c r="I409" i="3"/>
  <c r="J409" i="3"/>
  <c r="B410" i="3"/>
  <c r="C410" i="3"/>
  <c r="D410" i="3"/>
  <c r="F410" i="3"/>
  <c r="G410" i="3"/>
  <c r="H410" i="3"/>
  <c r="I410" i="3"/>
  <c r="J410" i="3"/>
  <c r="B411" i="3"/>
  <c r="C411" i="3"/>
  <c r="D411" i="3"/>
  <c r="F411" i="3"/>
  <c r="G411" i="3"/>
  <c r="H411" i="3"/>
  <c r="I411" i="3"/>
  <c r="J411" i="3"/>
  <c r="B412" i="3"/>
  <c r="C412" i="3"/>
  <c r="D412" i="3"/>
  <c r="F412" i="3"/>
  <c r="G412" i="3"/>
  <c r="H412" i="3"/>
  <c r="I412" i="3"/>
  <c r="J412" i="3"/>
  <c r="B413" i="3"/>
  <c r="C413" i="3"/>
  <c r="D413" i="3"/>
  <c r="F413" i="3"/>
  <c r="G413" i="3"/>
  <c r="H413" i="3"/>
  <c r="I413" i="3"/>
  <c r="J413" i="3"/>
  <c r="B414" i="3"/>
  <c r="K414" i="3" s="1"/>
  <c r="C414" i="3"/>
  <c r="D414" i="3"/>
  <c r="F414" i="3"/>
  <c r="G414" i="3"/>
  <c r="H414" i="3"/>
  <c r="I414" i="3"/>
  <c r="J414" i="3"/>
  <c r="B415" i="3"/>
  <c r="C415" i="3"/>
  <c r="D415" i="3"/>
  <c r="F415" i="3"/>
  <c r="G415" i="3"/>
  <c r="H415" i="3"/>
  <c r="I415" i="3"/>
  <c r="J415" i="3"/>
  <c r="B416" i="3"/>
  <c r="C416" i="3"/>
  <c r="D416" i="3"/>
  <c r="F416" i="3"/>
  <c r="G416" i="3"/>
  <c r="H416" i="3"/>
  <c r="I416" i="3"/>
  <c r="J416" i="3"/>
  <c r="B417" i="3"/>
  <c r="C417" i="3"/>
  <c r="D417" i="3"/>
  <c r="F417" i="3"/>
  <c r="G417" i="3"/>
  <c r="H417" i="3"/>
  <c r="I417" i="3"/>
  <c r="J417" i="3"/>
  <c r="B418" i="3"/>
  <c r="C418" i="3"/>
  <c r="D418" i="3"/>
  <c r="F418" i="3"/>
  <c r="G418" i="3"/>
  <c r="H418" i="3"/>
  <c r="I418" i="3"/>
  <c r="J418" i="3"/>
  <c r="B419" i="3"/>
  <c r="C419" i="3"/>
  <c r="D419" i="3"/>
  <c r="F419" i="3"/>
  <c r="G419" i="3"/>
  <c r="H419" i="3"/>
  <c r="I419" i="3"/>
  <c r="J419" i="3"/>
  <c r="B420" i="3"/>
  <c r="K420" i="3" s="1"/>
  <c r="C420" i="3"/>
  <c r="D420" i="3"/>
  <c r="F420" i="3"/>
  <c r="G420" i="3"/>
  <c r="H420" i="3"/>
  <c r="I420" i="3"/>
  <c r="J420" i="3"/>
  <c r="B421" i="3"/>
  <c r="C421" i="3"/>
  <c r="D421" i="3"/>
  <c r="F421" i="3"/>
  <c r="G421" i="3"/>
  <c r="H421" i="3"/>
  <c r="I421" i="3"/>
  <c r="J421" i="3"/>
  <c r="B422" i="3"/>
  <c r="C422" i="3"/>
  <c r="D422" i="3"/>
  <c r="F422" i="3"/>
  <c r="G422" i="3"/>
  <c r="H422" i="3"/>
  <c r="I422" i="3"/>
  <c r="J422" i="3"/>
  <c r="B423" i="3"/>
  <c r="C423" i="3"/>
  <c r="D423" i="3"/>
  <c r="F423" i="3"/>
  <c r="G423" i="3"/>
  <c r="H423" i="3"/>
  <c r="I423" i="3"/>
  <c r="J423" i="3"/>
  <c r="B424" i="3"/>
  <c r="C424" i="3"/>
  <c r="D424" i="3"/>
  <c r="F424" i="3"/>
  <c r="G424" i="3"/>
  <c r="H424" i="3"/>
  <c r="I424" i="3"/>
  <c r="J424" i="3"/>
  <c r="B425" i="3"/>
  <c r="C425" i="3"/>
  <c r="D425" i="3"/>
  <c r="F425" i="3"/>
  <c r="G425" i="3"/>
  <c r="H425" i="3"/>
  <c r="I425" i="3"/>
  <c r="J425" i="3"/>
  <c r="B426" i="3"/>
  <c r="C426" i="3"/>
  <c r="D426" i="3"/>
  <c r="F426" i="3"/>
  <c r="G426" i="3"/>
  <c r="H426" i="3"/>
  <c r="I426" i="3"/>
  <c r="J426" i="3"/>
  <c r="B427" i="3"/>
  <c r="C427" i="3"/>
  <c r="D427" i="3"/>
  <c r="F427" i="3"/>
  <c r="G427" i="3"/>
  <c r="H427" i="3"/>
  <c r="I427" i="3"/>
  <c r="J427" i="3"/>
  <c r="B428" i="3"/>
  <c r="C428" i="3"/>
  <c r="D428" i="3"/>
  <c r="F428" i="3"/>
  <c r="G428" i="3"/>
  <c r="H428" i="3"/>
  <c r="I428" i="3"/>
  <c r="J428" i="3"/>
  <c r="B429" i="3"/>
  <c r="C429" i="3"/>
  <c r="D429" i="3"/>
  <c r="F429" i="3"/>
  <c r="G429" i="3"/>
  <c r="H429" i="3"/>
  <c r="I429" i="3"/>
  <c r="J429" i="3"/>
  <c r="B430" i="3"/>
  <c r="C430" i="3"/>
  <c r="D430" i="3"/>
  <c r="F430" i="3"/>
  <c r="G430" i="3"/>
  <c r="H430" i="3"/>
  <c r="I430" i="3"/>
  <c r="J430" i="3"/>
  <c r="B431" i="3"/>
  <c r="C431" i="3"/>
  <c r="D431" i="3"/>
  <c r="F431" i="3"/>
  <c r="G431" i="3"/>
  <c r="H431" i="3"/>
  <c r="I431" i="3"/>
  <c r="J431" i="3"/>
  <c r="B432" i="3"/>
  <c r="C432" i="3"/>
  <c r="D432" i="3"/>
  <c r="F432" i="3"/>
  <c r="G432" i="3"/>
  <c r="H432" i="3"/>
  <c r="I432" i="3"/>
  <c r="J432" i="3"/>
  <c r="B433" i="3"/>
  <c r="C433" i="3"/>
  <c r="D433" i="3"/>
  <c r="F433" i="3"/>
  <c r="G433" i="3"/>
  <c r="H433" i="3"/>
  <c r="I433" i="3"/>
  <c r="J433" i="3"/>
  <c r="B434" i="3"/>
  <c r="C434" i="3"/>
  <c r="D434" i="3"/>
  <c r="F434" i="3"/>
  <c r="G434" i="3"/>
  <c r="H434" i="3"/>
  <c r="I434" i="3"/>
  <c r="J434" i="3"/>
  <c r="B435" i="3"/>
  <c r="C435" i="3"/>
  <c r="D435" i="3"/>
  <c r="F435" i="3"/>
  <c r="G435" i="3"/>
  <c r="H435" i="3"/>
  <c r="I435" i="3"/>
  <c r="J435" i="3"/>
  <c r="B436" i="3"/>
  <c r="C436" i="3"/>
  <c r="D436" i="3"/>
  <c r="F436" i="3"/>
  <c r="G436" i="3"/>
  <c r="H436" i="3"/>
  <c r="I436" i="3"/>
  <c r="J436" i="3"/>
  <c r="B437" i="3"/>
  <c r="C437" i="3"/>
  <c r="D437" i="3"/>
  <c r="F437" i="3"/>
  <c r="G437" i="3"/>
  <c r="H437" i="3"/>
  <c r="I437" i="3"/>
  <c r="J437" i="3"/>
  <c r="B438" i="3"/>
  <c r="K438" i="3" s="1"/>
  <c r="C438" i="3"/>
  <c r="D438" i="3"/>
  <c r="F438" i="3"/>
  <c r="G438" i="3"/>
  <c r="H438" i="3"/>
  <c r="I438" i="3"/>
  <c r="J438" i="3"/>
  <c r="B439" i="3"/>
  <c r="C439" i="3"/>
  <c r="D439" i="3"/>
  <c r="F439" i="3"/>
  <c r="G439" i="3"/>
  <c r="H439" i="3"/>
  <c r="I439" i="3"/>
  <c r="J439" i="3"/>
  <c r="B440" i="3"/>
  <c r="C440" i="3"/>
  <c r="D440" i="3"/>
  <c r="F440" i="3"/>
  <c r="G440" i="3"/>
  <c r="H440" i="3"/>
  <c r="I440" i="3"/>
  <c r="J440" i="3"/>
  <c r="B441" i="3"/>
  <c r="C441" i="3"/>
  <c r="D441" i="3"/>
  <c r="F441" i="3"/>
  <c r="G441" i="3"/>
  <c r="H441" i="3"/>
  <c r="I441" i="3"/>
  <c r="J441" i="3"/>
  <c r="B442" i="3"/>
  <c r="C442" i="3"/>
  <c r="D442" i="3"/>
  <c r="F442" i="3"/>
  <c r="G442" i="3"/>
  <c r="H442" i="3"/>
  <c r="I442" i="3"/>
  <c r="J442" i="3"/>
  <c r="B443" i="3"/>
  <c r="C443" i="3"/>
  <c r="D443" i="3"/>
  <c r="F443" i="3"/>
  <c r="G443" i="3"/>
  <c r="H443" i="3"/>
  <c r="I443" i="3"/>
  <c r="J443" i="3"/>
  <c r="B444" i="3"/>
  <c r="C444" i="3"/>
  <c r="D444" i="3"/>
  <c r="F444" i="3"/>
  <c r="G444" i="3"/>
  <c r="H444" i="3"/>
  <c r="I444" i="3"/>
  <c r="J444" i="3"/>
  <c r="B445" i="3"/>
  <c r="C445" i="3"/>
  <c r="D445" i="3"/>
  <c r="F445" i="3"/>
  <c r="G445" i="3"/>
  <c r="H445" i="3"/>
  <c r="I445" i="3"/>
  <c r="J445" i="3"/>
  <c r="B446" i="3"/>
  <c r="C446" i="3"/>
  <c r="D446" i="3"/>
  <c r="F446" i="3"/>
  <c r="G446" i="3"/>
  <c r="H446" i="3"/>
  <c r="I446" i="3"/>
  <c r="J446" i="3"/>
  <c r="B447" i="3"/>
  <c r="C447" i="3"/>
  <c r="D447" i="3"/>
  <c r="F447" i="3"/>
  <c r="G447" i="3"/>
  <c r="H447" i="3"/>
  <c r="I447" i="3"/>
  <c r="J447" i="3"/>
  <c r="B448" i="3"/>
  <c r="C448" i="3"/>
  <c r="D448" i="3"/>
  <c r="F448" i="3"/>
  <c r="G448" i="3"/>
  <c r="H448" i="3"/>
  <c r="I448" i="3"/>
  <c r="J448" i="3"/>
  <c r="B449" i="3"/>
  <c r="C449" i="3"/>
  <c r="D449" i="3"/>
  <c r="F449" i="3"/>
  <c r="G449" i="3"/>
  <c r="H449" i="3"/>
  <c r="I449" i="3"/>
  <c r="J449" i="3"/>
  <c r="B450" i="3"/>
  <c r="C450" i="3"/>
  <c r="D450" i="3"/>
  <c r="F450" i="3"/>
  <c r="G450" i="3"/>
  <c r="H450" i="3"/>
  <c r="I450" i="3"/>
  <c r="J450" i="3"/>
  <c r="B451" i="3"/>
  <c r="C451" i="3"/>
  <c r="D451" i="3"/>
  <c r="F451" i="3"/>
  <c r="G451" i="3"/>
  <c r="H451" i="3"/>
  <c r="I451" i="3"/>
  <c r="J451" i="3"/>
  <c r="B452" i="3"/>
  <c r="C452" i="3"/>
  <c r="D452" i="3"/>
  <c r="F452" i="3"/>
  <c r="G452" i="3"/>
  <c r="H452" i="3"/>
  <c r="I452" i="3"/>
  <c r="J452" i="3"/>
  <c r="B453" i="3"/>
  <c r="C453" i="3"/>
  <c r="D453" i="3"/>
  <c r="F453" i="3"/>
  <c r="G453" i="3"/>
  <c r="H453" i="3"/>
  <c r="I453" i="3"/>
  <c r="J453" i="3"/>
  <c r="B454" i="3"/>
  <c r="C454" i="3"/>
  <c r="D454" i="3"/>
  <c r="F454" i="3"/>
  <c r="G454" i="3"/>
  <c r="H454" i="3"/>
  <c r="I454" i="3"/>
  <c r="J454" i="3"/>
  <c r="B455" i="3"/>
  <c r="C455" i="3"/>
  <c r="D455" i="3"/>
  <c r="F455" i="3"/>
  <c r="G455" i="3"/>
  <c r="H455" i="3"/>
  <c r="I455" i="3"/>
  <c r="J455" i="3"/>
  <c r="B456" i="3"/>
  <c r="C456" i="3"/>
  <c r="D456" i="3"/>
  <c r="F456" i="3"/>
  <c r="G456" i="3"/>
  <c r="H456" i="3"/>
  <c r="I456" i="3"/>
  <c r="J456" i="3"/>
  <c r="B457" i="3"/>
  <c r="C457" i="3"/>
  <c r="D457" i="3"/>
  <c r="F457" i="3"/>
  <c r="G457" i="3"/>
  <c r="H457" i="3"/>
  <c r="I457" i="3"/>
  <c r="J457" i="3"/>
  <c r="B458" i="3"/>
  <c r="C458" i="3"/>
  <c r="D458" i="3"/>
  <c r="F458" i="3"/>
  <c r="G458" i="3"/>
  <c r="H458" i="3"/>
  <c r="I458" i="3"/>
  <c r="J458" i="3"/>
  <c r="B459" i="3"/>
  <c r="C459" i="3"/>
  <c r="D459" i="3"/>
  <c r="F459" i="3"/>
  <c r="G459" i="3"/>
  <c r="H459" i="3"/>
  <c r="I459" i="3"/>
  <c r="J459" i="3"/>
  <c r="B460" i="3"/>
  <c r="C460" i="3"/>
  <c r="D460" i="3"/>
  <c r="F460" i="3"/>
  <c r="G460" i="3"/>
  <c r="H460" i="3"/>
  <c r="I460" i="3"/>
  <c r="J460" i="3"/>
  <c r="B461" i="3"/>
  <c r="C461" i="3"/>
  <c r="D461" i="3"/>
  <c r="F461" i="3"/>
  <c r="G461" i="3"/>
  <c r="H461" i="3"/>
  <c r="I461" i="3"/>
  <c r="J461" i="3"/>
  <c r="B462" i="3"/>
  <c r="C462" i="3"/>
  <c r="D462" i="3"/>
  <c r="F462" i="3"/>
  <c r="G462" i="3"/>
  <c r="H462" i="3"/>
  <c r="I462" i="3"/>
  <c r="J462" i="3"/>
  <c r="B463" i="3"/>
  <c r="C463" i="3"/>
  <c r="D463" i="3"/>
  <c r="F463" i="3"/>
  <c r="G463" i="3"/>
  <c r="H463" i="3"/>
  <c r="I463" i="3"/>
  <c r="J463" i="3"/>
  <c r="B464" i="3"/>
  <c r="C464" i="3"/>
  <c r="D464" i="3"/>
  <c r="F464" i="3"/>
  <c r="G464" i="3"/>
  <c r="H464" i="3"/>
  <c r="I464" i="3"/>
  <c r="J464" i="3"/>
  <c r="B465" i="3"/>
  <c r="C465" i="3"/>
  <c r="D465" i="3"/>
  <c r="F465" i="3"/>
  <c r="G465" i="3"/>
  <c r="H465" i="3"/>
  <c r="I465" i="3"/>
  <c r="J465" i="3"/>
  <c r="B466" i="3"/>
  <c r="C466" i="3"/>
  <c r="D466" i="3"/>
  <c r="F466" i="3"/>
  <c r="G466" i="3"/>
  <c r="H466" i="3"/>
  <c r="I466" i="3"/>
  <c r="J466" i="3"/>
  <c r="B467" i="3"/>
  <c r="C467" i="3"/>
  <c r="D467" i="3"/>
  <c r="F467" i="3"/>
  <c r="G467" i="3"/>
  <c r="H467" i="3"/>
  <c r="I467" i="3"/>
  <c r="J467" i="3"/>
  <c r="B468" i="3"/>
  <c r="K468" i="3" s="1"/>
  <c r="C468" i="3"/>
  <c r="D468" i="3"/>
  <c r="F468" i="3"/>
  <c r="G468" i="3"/>
  <c r="H468" i="3"/>
  <c r="I468" i="3"/>
  <c r="J468" i="3"/>
  <c r="B469" i="3"/>
  <c r="C469" i="3"/>
  <c r="D469" i="3"/>
  <c r="F469" i="3"/>
  <c r="G469" i="3"/>
  <c r="H469" i="3"/>
  <c r="I469" i="3"/>
  <c r="J469" i="3"/>
  <c r="B470" i="3"/>
  <c r="C470" i="3"/>
  <c r="D470" i="3"/>
  <c r="F470" i="3"/>
  <c r="G470" i="3"/>
  <c r="H470" i="3"/>
  <c r="I470" i="3"/>
  <c r="J470" i="3"/>
  <c r="B471" i="3"/>
  <c r="C471" i="3"/>
  <c r="D471" i="3"/>
  <c r="F471" i="3"/>
  <c r="G471" i="3"/>
  <c r="H471" i="3"/>
  <c r="I471" i="3"/>
  <c r="J471" i="3"/>
  <c r="B472" i="3"/>
  <c r="C472" i="3"/>
  <c r="D472" i="3"/>
  <c r="F472" i="3"/>
  <c r="G472" i="3"/>
  <c r="H472" i="3"/>
  <c r="I472" i="3"/>
  <c r="J472" i="3"/>
  <c r="B473" i="3"/>
  <c r="C473" i="3"/>
  <c r="D473" i="3"/>
  <c r="F473" i="3"/>
  <c r="G473" i="3"/>
  <c r="H473" i="3"/>
  <c r="I473" i="3"/>
  <c r="J473" i="3"/>
  <c r="B474" i="3"/>
  <c r="C474" i="3"/>
  <c r="D474" i="3"/>
  <c r="F474" i="3"/>
  <c r="G474" i="3"/>
  <c r="H474" i="3"/>
  <c r="I474" i="3"/>
  <c r="J474" i="3"/>
  <c r="B475" i="3"/>
  <c r="C475" i="3"/>
  <c r="D475" i="3"/>
  <c r="F475" i="3"/>
  <c r="G475" i="3"/>
  <c r="H475" i="3"/>
  <c r="I475" i="3"/>
  <c r="J475" i="3"/>
  <c r="B476" i="3"/>
  <c r="C476" i="3"/>
  <c r="D476" i="3"/>
  <c r="F476" i="3"/>
  <c r="G476" i="3"/>
  <c r="H476" i="3"/>
  <c r="I476" i="3"/>
  <c r="J476" i="3"/>
  <c r="B477" i="3"/>
  <c r="C477" i="3"/>
  <c r="D477" i="3"/>
  <c r="F477" i="3"/>
  <c r="G477" i="3"/>
  <c r="H477" i="3"/>
  <c r="I477" i="3"/>
  <c r="J477" i="3"/>
  <c r="B478" i="3"/>
  <c r="C478" i="3"/>
  <c r="D478" i="3"/>
  <c r="F478" i="3"/>
  <c r="G478" i="3"/>
  <c r="H478" i="3"/>
  <c r="I478" i="3"/>
  <c r="J478" i="3"/>
  <c r="B479" i="3"/>
  <c r="C479" i="3"/>
  <c r="D479" i="3"/>
  <c r="F479" i="3"/>
  <c r="G479" i="3"/>
  <c r="H479" i="3"/>
  <c r="I479" i="3"/>
  <c r="J479" i="3"/>
  <c r="B480" i="3"/>
  <c r="C480" i="3"/>
  <c r="D480" i="3"/>
  <c r="F480" i="3"/>
  <c r="G480" i="3"/>
  <c r="H480" i="3"/>
  <c r="I480" i="3"/>
  <c r="J480" i="3"/>
  <c r="B481" i="3"/>
  <c r="C481" i="3"/>
  <c r="D481" i="3"/>
  <c r="F481" i="3"/>
  <c r="G481" i="3"/>
  <c r="H481" i="3"/>
  <c r="I481" i="3"/>
  <c r="J481" i="3"/>
  <c r="B482" i="3"/>
  <c r="C482" i="3"/>
  <c r="D482" i="3"/>
  <c r="F482" i="3"/>
  <c r="G482" i="3"/>
  <c r="H482" i="3"/>
  <c r="I482" i="3"/>
  <c r="J482" i="3"/>
  <c r="B483" i="3"/>
  <c r="C483" i="3"/>
  <c r="D483" i="3"/>
  <c r="F483" i="3"/>
  <c r="G483" i="3"/>
  <c r="H483" i="3"/>
  <c r="I483" i="3"/>
  <c r="J483" i="3"/>
  <c r="B484" i="3"/>
  <c r="C484" i="3"/>
  <c r="D484" i="3"/>
  <c r="F484" i="3"/>
  <c r="G484" i="3"/>
  <c r="H484" i="3"/>
  <c r="I484" i="3"/>
  <c r="J484" i="3"/>
  <c r="B485" i="3"/>
  <c r="C485" i="3"/>
  <c r="D485" i="3"/>
  <c r="F485" i="3"/>
  <c r="G485" i="3"/>
  <c r="H485" i="3"/>
  <c r="I485" i="3"/>
  <c r="J485" i="3"/>
  <c r="B486" i="3"/>
  <c r="C486" i="3"/>
  <c r="D486" i="3"/>
  <c r="F486" i="3"/>
  <c r="G486" i="3"/>
  <c r="H486" i="3"/>
  <c r="I486" i="3"/>
  <c r="J486" i="3"/>
  <c r="B487" i="3"/>
  <c r="C487" i="3"/>
  <c r="D487" i="3"/>
  <c r="F487" i="3"/>
  <c r="G487" i="3"/>
  <c r="H487" i="3"/>
  <c r="I487" i="3"/>
  <c r="J487" i="3"/>
  <c r="B488" i="3"/>
  <c r="C488" i="3"/>
  <c r="D488" i="3"/>
  <c r="F488" i="3"/>
  <c r="G488" i="3"/>
  <c r="H488" i="3"/>
  <c r="I488" i="3"/>
  <c r="J488" i="3"/>
  <c r="B489" i="3"/>
  <c r="C489" i="3"/>
  <c r="D489" i="3"/>
  <c r="F489" i="3"/>
  <c r="G489" i="3"/>
  <c r="H489" i="3"/>
  <c r="I489" i="3"/>
  <c r="J489" i="3"/>
  <c r="B490" i="3"/>
  <c r="C490" i="3"/>
  <c r="D490" i="3"/>
  <c r="F490" i="3"/>
  <c r="G490" i="3"/>
  <c r="H490" i="3"/>
  <c r="I490" i="3"/>
  <c r="J490" i="3"/>
  <c r="B491" i="3"/>
  <c r="C491" i="3"/>
  <c r="D491" i="3"/>
  <c r="F491" i="3"/>
  <c r="G491" i="3"/>
  <c r="H491" i="3"/>
  <c r="I491" i="3"/>
  <c r="J491" i="3"/>
  <c r="B492" i="3"/>
  <c r="C492" i="3"/>
  <c r="D492" i="3"/>
  <c r="F492" i="3"/>
  <c r="G492" i="3"/>
  <c r="H492" i="3"/>
  <c r="I492" i="3"/>
  <c r="J492" i="3"/>
  <c r="B493" i="3"/>
  <c r="C493" i="3"/>
  <c r="D493" i="3"/>
  <c r="F493" i="3"/>
  <c r="G493" i="3"/>
  <c r="H493" i="3"/>
  <c r="I493" i="3"/>
  <c r="J493" i="3"/>
  <c r="B494" i="3"/>
  <c r="C494" i="3"/>
  <c r="D494" i="3"/>
  <c r="F494" i="3"/>
  <c r="G494" i="3"/>
  <c r="H494" i="3"/>
  <c r="I494" i="3"/>
  <c r="J494" i="3"/>
  <c r="B495" i="3"/>
  <c r="C495" i="3"/>
  <c r="D495" i="3"/>
  <c r="F495" i="3"/>
  <c r="G495" i="3"/>
  <c r="H495" i="3"/>
  <c r="I495" i="3"/>
  <c r="J495" i="3"/>
  <c r="B496" i="3"/>
  <c r="C496" i="3"/>
  <c r="D496" i="3"/>
  <c r="F496" i="3"/>
  <c r="G496" i="3"/>
  <c r="H496" i="3"/>
  <c r="I496" i="3"/>
  <c r="J496" i="3"/>
  <c r="B497" i="3"/>
  <c r="C497" i="3"/>
  <c r="D497" i="3"/>
  <c r="F497" i="3"/>
  <c r="G497" i="3"/>
  <c r="H497" i="3"/>
  <c r="I497" i="3"/>
  <c r="J497" i="3"/>
  <c r="B498" i="3"/>
  <c r="C498" i="3"/>
  <c r="D498" i="3"/>
  <c r="F498" i="3"/>
  <c r="G498" i="3"/>
  <c r="H498" i="3"/>
  <c r="I498" i="3"/>
  <c r="J498" i="3"/>
  <c r="B499" i="3"/>
  <c r="C499" i="3"/>
  <c r="D499" i="3"/>
  <c r="F499" i="3"/>
  <c r="G499" i="3"/>
  <c r="H499" i="3"/>
  <c r="I499" i="3"/>
  <c r="J499" i="3"/>
  <c r="B500" i="3"/>
  <c r="C500" i="3"/>
  <c r="D500" i="3"/>
  <c r="F500" i="3"/>
  <c r="G500" i="3"/>
  <c r="H500" i="3"/>
  <c r="I500" i="3"/>
  <c r="J500" i="3"/>
  <c r="B501" i="3"/>
  <c r="C501" i="3"/>
  <c r="D501" i="3"/>
  <c r="F501" i="3"/>
  <c r="G501" i="3"/>
  <c r="H501" i="3"/>
  <c r="I501" i="3"/>
  <c r="J501" i="3"/>
  <c r="B502" i="3"/>
  <c r="C502" i="3"/>
  <c r="D502" i="3"/>
  <c r="F502" i="3"/>
  <c r="G502" i="3"/>
  <c r="H502" i="3"/>
  <c r="I502" i="3"/>
  <c r="J502" i="3"/>
  <c r="B503" i="3"/>
  <c r="C503" i="3"/>
  <c r="D503" i="3"/>
  <c r="F503" i="3"/>
  <c r="G503" i="3"/>
  <c r="H503" i="3"/>
  <c r="I503" i="3"/>
  <c r="J503" i="3"/>
  <c r="B504" i="3"/>
  <c r="K504" i="3" s="1"/>
  <c r="C504" i="3"/>
  <c r="D504" i="3"/>
  <c r="F504" i="3"/>
  <c r="G504" i="3"/>
  <c r="H504" i="3"/>
  <c r="I504" i="3"/>
  <c r="J504" i="3"/>
  <c r="B505" i="3"/>
  <c r="C505" i="3"/>
  <c r="D505" i="3"/>
  <c r="F505" i="3"/>
  <c r="G505" i="3"/>
  <c r="H505" i="3"/>
  <c r="I505" i="3"/>
  <c r="J505" i="3"/>
  <c r="B506" i="3"/>
  <c r="C506" i="3"/>
  <c r="D506" i="3"/>
  <c r="F506" i="3"/>
  <c r="G506" i="3"/>
  <c r="H506" i="3"/>
  <c r="I506" i="3"/>
  <c r="J506" i="3"/>
  <c r="B507" i="3"/>
  <c r="C507" i="3"/>
  <c r="D507" i="3"/>
  <c r="F507" i="3"/>
  <c r="G507" i="3"/>
  <c r="H507" i="3"/>
  <c r="I507" i="3"/>
  <c r="J507" i="3"/>
  <c r="B508" i="3"/>
  <c r="C508" i="3"/>
  <c r="D508" i="3"/>
  <c r="F508" i="3"/>
  <c r="G508" i="3"/>
  <c r="H508" i="3"/>
  <c r="I508" i="3"/>
  <c r="J508" i="3"/>
  <c r="B509" i="3"/>
  <c r="C509" i="3"/>
  <c r="D509" i="3"/>
  <c r="F509" i="3"/>
  <c r="G509" i="3"/>
  <c r="H509" i="3"/>
  <c r="I509" i="3"/>
  <c r="J509" i="3"/>
  <c r="B510" i="3"/>
  <c r="C510" i="3"/>
  <c r="D510" i="3"/>
  <c r="F510" i="3"/>
  <c r="G510" i="3"/>
  <c r="H510" i="3"/>
  <c r="I510" i="3"/>
  <c r="J510" i="3"/>
  <c r="B511" i="3"/>
  <c r="C511" i="3"/>
  <c r="D511" i="3"/>
  <c r="F511" i="3"/>
  <c r="G511" i="3"/>
  <c r="H511" i="3"/>
  <c r="I511" i="3"/>
  <c r="J511" i="3"/>
  <c r="B512" i="3"/>
  <c r="C512" i="3"/>
  <c r="D512" i="3"/>
  <c r="F512" i="3"/>
  <c r="G512" i="3"/>
  <c r="H512" i="3"/>
  <c r="I512" i="3"/>
  <c r="J512" i="3"/>
  <c r="B513" i="3"/>
  <c r="C513" i="3"/>
  <c r="D513" i="3"/>
  <c r="F513" i="3"/>
  <c r="G513" i="3"/>
  <c r="H513" i="3"/>
  <c r="I513" i="3"/>
  <c r="J513" i="3"/>
  <c r="B514" i="3"/>
  <c r="C514" i="3"/>
  <c r="D514" i="3"/>
  <c r="F514" i="3"/>
  <c r="G514" i="3"/>
  <c r="H514" i="3"/>
  <c r="I514" i="3"/>
  <c r="J514" i="3"/>
  <c r="B515" i="3"/>
  <c r="C515" i="3"/>
  <c r="D515" i="3"/>
  <c r="F515" i="3"/>
  <c r="G515" i="3"/>
  <c r="H515" i="3"/>
  <c r="I515" i="3"/>
  <c r="J515" i="3"/>
  <c r="B516" i="3"/>
  <c r="C516" i="3"/>
  <c r="D516" i="3"/>
  <c r="F516" i="3"/>
  <c r="G516" i="3"/>
  <c r="H516" i="3"/>
  <c r="I516" i="3"/>
  <c r="J516" i="3"/>
  <c r="B517" i="3"/>
  <c r="C517" i="3"/>
  <c r="D517" i="3"/>
  <c r="F517" i="3"/>
  <c r="G517" i="3"/>
  <c r="H517" i="3"/>
  <c r="I517" i="3"/>
  <c r="J517" i="3"/>
  <c r="B518" i="3"/>
  <c r="C518" i="3"/>
  <c r="D518" i="3"/>
  <c r="F518" i="3"/>
  <c r="G518" i="3"/>
  <c r="H518" i="3"/>
  <c r="I518" i="3"/>
  <c r="J518" i="3"/>
  <c r="B519" i="3"/>
  <c r="C519" i="3"/>
  <c r="D519" i="3"/>
  <c r="F519" i="3"/>
  <c r="G519" i="3"/>
  <c r="H519" i="3"/>
  <c r="I519" i="3"/>
  <c r="J519" i="3"/>
  <c r="B520" i="3"/>
  <c r="C520" i="3"/>
  <c r="D520" i="3"/>
  <c r="F520" i="3"/>
  <c r="G520" i="3"/>
  <c r="H520" i="3"/>
  <c r="I520" i="3"/>
  <c r="J520" i="3"/>
  <c r="B521" i="3"/>
  <c r="C521" i="3"/>
  <c r="D521" i="3"/>
  <c r="F521" i="3"/>
  <c r="G521" i="3"/>
  <c r="H521" i="3"/>
  <c r="I521" i="3"/>
  <c r="J521" i="3"/>
  <c r="B522" i="3"/>
  <c r="C522" i="3"/>
  <c r="D522" i="3"/>
  <c r="F522" i="3"/>
  <c r="G522" i="3"/>
  <c r="H522" i="3"/>
  <c r="I522" i="3"/>
  <c r="J522" i="3"/>
  <c r="B523" i="3"/>
  <c r="C523" i="3"/>
  <c r="D523" i="3"/>
  <c r="F523" i="3"/>
  <c r="G523" i="3"/>
  <c r="H523" i="3"/>
  <c r="I523" i="3"/>
  <c r="J523" i="3"/>
  <c r="B524" i="3"/>
  <c r="C524" i="3"/>
  <c r="D524" i="3"/>
  <c r="F524" i="3"/>
  <c r="G524" i="3"/>
  <c r="H524" i="3"/>
  <c r="I524" i="3"/>
  <c r="J524" i="3"/>
  <c r="B525" i="3"/>
  <c r="C525" i="3"/>
  <c r="D525" i="3"/>
  <c r="F525" i="3"/>
  <c r="G525" i="3"/>
  <c r="H525" i="3"/>
  <c r="I525" i="3"/>
  <c r="J525" i="3"/>
  <c r="B526" i="3"/>
  <c r="C526" i="3"/>
  <c r="D526" i="3"/>
  <c r="F526" i="3"/>
  <c r="G526" i="3"/>
  <c r="H526" i="3"/>
  <c r="I526" i="3"/>
  <c r="J526" i="3"/>
  <c r="B527" i="3"/>
  <c r="C527" i="3"/>
  <c r="D527" i="3"/>
  <c r="F527" i="3"/>
  <c r="G527" i="3"/>
  <c r="H527" i="3"/>
  <c r="I527" i="3"/>
  <c r="J527" i="3"/>
  <c r="B528" i="3"/>
  <c r="K528" i="3" s="1"/>
  <c r="C528" i="3"/>
  <c r="D528" i="3"/>
  <c r="F528" i="3"/>
  <c r="G528" i="3"/>
  <c r="H528" i="3"/>
  <c r="I528" i="3"/>
  <c r="J528" i="3"/>
  <c r="B529" i="3"/>
  <c r="C529" i="3"/>
  <c r="D529" i="3"/>
  <c r="F529" i="3"/>
  <c r="G529" i="3"/>
  <c r="H529" i="3"/>
  <c r="I529" i="3"/>
  <c r="J529" i="3"/>
  <c r="B530" i="3"/>
  <c r="C530" i="3"/>
  <c r="D530" i="3"/>
  <c r="F530" i="3"/>
  <c r="G530" i="3"/>
  <c r="H530" i="3"/>
  <c r="I530" i="3"/>
  <c r="J530" i="3"/>
  <c r="B531" i="3"/>
  <c r="C531" i="3"/>
  <c r="D531" i="3"/>
  <c r="F531" i="3"/>
  <c r="G531" i="3"/>
  <c r="H531" i="3"/>
  <c r="I531" i="3"/>
  <c r="J531" i="3"/>
  <c r="B532" i="3"/>
  <c r="C532" i="3"/>
  <c r="D532" i="3"/>
  <c r="F532" i="3"/>
  <c r="G532" i="3"/>
  <c r="H532" i="3"/>
  <c r="I532" i="3"/>
  <c r="J532" i="3"/>
  <c r="B533" i="3"/>
  <c r="C533" i="3"/>
  <c r="D533" i="3"/>
  <c r="F533" i="3"/>
  <c r="G533" i="3"/>
  <c r="H533" i="3"/>
  <c r="I533" i="3"/>
  <c r="J533" i="3"/>
  <c r="B534" i="3"/>
  <c r="C534" i="3"/>
  <c r="D534" i="3"/>
  <c r="F534" i="3"/>
  <c r="G534" i="3"/>
  <c r="H534" i="3"/>
  <c r="I534" i="3"/>
  <c r="J534" i="3"/>
  <c r="B535" i="3"/>
  <c r="C535" i="3"/>
  <c r="D535" i="3"/>
  <c r="F535" i="3"/>
  <c r="G535" i="3"/>
  <c r="H535" i="3"/>
  <c r="I535" i="3"/>
  <c r="J535" i="3"/>
  <c r="B536" i="3"/>
  <c r="C536" i="3"/>
  <c r="D536" i="3"/>
  <c r="F536" i="3"/>
  <c r="G536" i="3"/>
  <c r="H536" i="3"/>
  <c r="I536" i="3"/>
  <c r="J536" i="3"/>
  <c r="B537" i="3"/>
  <c r="C537" i="3"/>
  <c r="D537" i="3"/>
  <c r="F537" i="3"/>
  <c r="G537" i="3"/>
  <c r="H537" i="3"/>
  <c r="I537" i="3"/>
  <c r="J537" i="3"/>
  <c r="B538" i="3"/>
  <c r="C538" i="3"/>
  <c r="D538" i="3"/>
  <c r="F538" i="3"/>
  <c r="G538" i="3"/>
  <c r="H538" i="3"/>
  <c r="I538" i="3"/>
  <c r="J538" i="3"/>
  <c r="B539" i="3"/>
  <c r="C539" i="3"/>
  <c r="D539" i="3"/>
  <c r="F539" i="3"/>
  <c r="G539" i="3"/>
  <c r="H539" i="3"/>
  <c r="I539" i="3"/>
  <c r="J539" i="3"/>
  <c r="B540" i="3"/>
  <c r="C540" i="3"/>
  <c r="D540" i="3"/>
  <c r="F540" i="3"/>
  <c r="G540" i="3"/>
  <c r="H540" i="3"/>
  <c r="I540" i="3"/>
  <c r="J540" i="3"/>
  <c r="B541" i="3"/>
  <c r="C541" i="3"/>
  <c r="D541" i="3"/>
  <c r="F541" i="3"/>
  <c r="G541" i="3"/>
  <c r="H541" i="3"/>
  <c r="I541" i="3"/>
  <c r="J541" i="3"/>
  <c r="B542" i="3"/>
  <c r="C542" i="3"/>
  <c r="D542" i="3"/>
  <c r="F542" i="3"/>
  <c r="G542" i="3"/>
  <c r="H542" i="3"/>
  <c r="I542" i="3"/>
  <c r="J542" i="3"/>
  <c r="B543" i="3"/>
  <c r="C543" i="3"/>
  <c r="D543" i="3"/>
  <c r="F543" i="3"/>
  <c r="G543" i="3"/>
  <c r="H543" i="3"/>
  <c r="I543" i="3"/>
  <c r="J543" i="3"/>
  <c r="B544" i="3"/>
  <c r="C544" i="3"/>
  <c r="D544" i="3"/>
  <c r="F544" i="3"/>
  <c r="G544" i="3"/>
  <c r="H544" i="3"/>
  <c r="I544" i="3"/>
  <c r="J544" i="3"/>
  <c r="B545" i="3"/>
  <c r="C545" i="3"/>
  <c r="D545" i="3"/>
  <c r="F545" i="3"/>
  <c r="G545" i="3"/>
  <c r="H545" i="3"/>
  <c r="I545" i="3"/>
  <c r="J545" i="3"/>
  <c r="B546" i="3"/>
  <c r="C546" i="3"/>
  <c r="D546" i="3"/>
  <c r="F546" i="3"/>
  <c r="G546" i="3"/>
  <c r="H546" i="3"/>
  <c r="I546" i="3"/>
  <c r="J546" i="3"/>
  <c r="B547" i="3"/>
  <c r="C547" i="3"/>
  <c r="D547" i="3"/>
  <c r="F547" i="3"/>
  <c r="G547" i="3"/>
  <c r="H547" i="3"/>
  <c r="I547" i="3"/>
  <c r="J547" i="3"/>
  <c r="B548" i="3"/>
  <c r="C548" i="3"/>
  <c r="D548" i="3"/>
  <c r="F548" i="3"/>
  <c r="G548" i="3"/>
  <c r="H548" i="3"/>
  <c r="I548" i="3"/>
  <c r="J548" i="3"/>
  <c r="B549" i="3"/>
  <c r="C549" i="3"/>
  <c r="D549" i="3"/>
  <c r="F549" i="3"/>
  <c r="G549" i="3"/>
  <c r="H549" i="3"/>
  <c r="I549" i="3"/>
  <c r="J549" i="3"/>
  <c r="B550" i="3"/>
  <c r="C550" i="3"/>
  <c r="D550" i="3"/>
  <c r="F550" i="3"/>
  <c r="G550" i="3"/>
  <c r="H550" i="3"/>
  <c r="I550" i="3"/>
  <c r="J550" i="3"/>
  <c r="B551" i="3"/>
  <c r="C551" i="3"/>
  <c r="D551" i="3"/>
  <c r="F551" i="3"/>
  <c r="G551" i="3"/>
  <c r="H551" i="3"/>
  <c r="I551" i="3"/>
  <c r="J551" i="3"/>
  <c r="B552" i="3"/>
  <c r="C552" i="3"/>
  <c r="D552" i="3"/>
  <c r="F552" i="3"/>
  <c r="G552" i="3"/>
  <c r="H552" i="3"/>
  <c r="I552" i="3"/>
  <c r="J552" i="3"/>
  <c r="B553" i="3"/>
  <c r="C553" i="3"/>
  <c r="D553" i="3"/>
  <c r="F553" i="3"/>
  <c r="G553" i="3"/>
  <c r="H553" i="3"/>
  <c r="I553" i="3"/>
  <c r="J553" i="3"/>
  <c r="B554" i="3"/>
  <c r="C554" i="3"/>
  <c r="D554" i="3"/>
  <c r="F554" i="3"/>
  <c r="G554" i="3"/>
  <c r="H554" i="3"/>
  <c r="I554" i="3"/>
  <c r="J554" i="3"/>
  <c r="B555" i="3"/>
  <c r="C555" i="3"/>
  <c r="D555" i="3"/>
  <c r="F555" i="3"/>
  <c r="G555" i="3"/>
  <c r="H555" i="3"/>
  <c r="I555" i="3"/>
  <c r="J555" i="3"/>
  <c r="B556" i="3"/>
  <c r="C556" i="3"/>
  <c r="D556" i="3"/>
  <c r="F556" i="3"/>
  <c r="G556" i="3"/>
  <c r="H556" i="3"/>
  <c r="I556" i="3"/>
  <c r="J556" i="3"/>
  <c r="B557" i="3"/>
  <c r="C557" i="3"/>
  <c r="D557" i="3"/>
  <c r="F557" i="3"/>
  <c r="G557" i="3"/>
  <c r="H557" i="3"/>
  <c r="I557" i="3"/>
  <c r="J557" i="3"/>
  <c r="B558" i="3"/>
  <c r="C558" i="3"/>
  <c r="D558" i="3"/>
  <c r="F558" i="3"/>
  <c r="G558" i="3"/>
  <c r="H558" i="3"/>
  <c r="I558" i="3"/>
  <c r="J558" i="3"/>
  <c r="B559" i="3"/>
  <c r="C559" i="3"/>
  <c r="D559" i="3"/>
  <c r="F559" i="3"/>
  <c r="G559" i="3"/>
  <c r="H559" i="3"/>
  <c r="I559" i="3"/>
  <c r="J559" i="3"/>
  <c r="B560" i="3"/>
  <c r="C560" i="3"/>
  <c r="D560" i="3"/>
  <c r="F560" i="3"/>
  <c r="G560" i="3"/>
  <c r="H560" i="3"/>
  <c r="I560" i="3"/>
  <c r="J560" i="3"/>
  <c r="B561" i="3"/>
  <c r="C561" i="3"/>
  <c r="D561" i="3"/>
  <c r="F561" i="3"/>
  <c r="G561" i="3"/>
  <c r="H561" i="3"/>
  <c r="I561" i="3"/>
  <c r="J561" i="3"/>
  <c r="B562" i="3"/>
  <c r="C562" i="3"/>
  <c r="D562" i="3"/>
  <c r="F562" i="3"/>
  <c r="G562" i="3"/>
  <c r="H562" i="3"/>
  <c r="I562" i="3"/>
  <c r="J562" i="3"/>
  <c r="B563" i="3"/>
  <c r="C563" i="3"/>
  <c r="D563" i="3"/>
  <c r="F563" i="3"/>
  <c r="G563" i="3"/>
  <c r="H563" i="3"/>
  <c r="I563" i="3"/>
  <c r="J563" i="3"/>
  <c r="B564" i="3"/>
  <c r="C564" i="3"/>
  <c r="D564" i="3"/>
  <c r="F564" i="3"/>
  <c r="G564" i="3"/>
  <c r="H564" i="3"/>
  <c r="I564" i="3"/>
  <c r="J564" i="3"/>
  <c r="B565" i="3"/>
  <c r="C565" i="3"/>
  <c r="D565" i="3"/>
  <c r="F565" i="3"/>
  <c r="G565" i="3"/>
  <c r="H565" i="3"/>
  <c r="I565" i="3"/>
  <c r="J565" i="3"/>
  <c r="B566" i="3"/>
  <c r="C566" i="3"/>
  <c r="D566" i="3"/>
  <c r="F566" i="3"/>
  <c r="G566" i="3"/>
  <c r="H566" i="3"/>
  <c r="I566" i="3"/>
  <c r="J566" i="3"/>
  <c r="B567" i="3"/>
  <c r="C567" i="3"/>
  <c r="D567" i="3"/>
  <c r="F567" i="3"/>
  <c r="G567" i="3"/>
  <c r="H567" i="3"/>
  <c r="I567" i="3"/>
  <c r="J567" i="3"/>
  <c r="B568" i="3"/>
  <c r="C568" i="3"/>
  <c r="D568" i="3"/>
  <c r="F568" i="3"/>
  <c r="G568" i="3"/>
  <c r="H568" i="3"/>
  <c r="I568" i="3"/>
  <c r="J568" i="3"/>
  <c r="B569" i="3"/>
  <c r="C569" i="3"/>
  <c r="D569" i="3"/>
  <c r="F569" i="3"/>
  <c r="G569" i="3"/>
  <c r="H569" i="3"/>
  <c r="I569" i="3"/>
  <c r="J569" i="3"/>
  <c r="B570" i="3"/>
  <c r="C570" i="3"/>
  <c r="D570" i="3"/>
  <c r="F570" i="3"/>
  <c r="G570" i="3"/>
  <c r="H570" i="3"/>
  <c r="I570" i="3"/>
  <c r="J570" i="3"/>
  <c r="B571" i="3"/>
  <c r="C571" i="3"/>
  <c r="D571" i="3"/>
  <c r="F571" i="3"/>
  <c r="G571" i="3"/>
  <c r="H571" i="3"/>
  <c r="I571" i="3"/>
  <c r="J571" i="3"/>
  <c r="B572" i="3"/>
  <c r="C572" i="3"/>
  <c r="D572" i="3"/>
  <c r="F572" i="3"/>
  <c r="G572" i="3"/>
  <c r="H572" i="3"/>
  <c r="I572" i="3"/>
  <c r="J572" i="3"/>
  <c r="B573" i="3"/>
  <c r="C573" i="3"/>
  <c r="D573" i="3"/>
  <c r="F573" i="3"/>
  <c r="G573" i="3"/>
  <c r="H573" i="3"/>
  <c r="I573" i="3"/>
  <c r="J573" i="3"/>
  <c r="B574" i="3"/>
  <c r="C574" i="3"/>
  <c r="D574" i="3"/>
  <c r="F574" i="3"/>
  <c r="G574" i="3"/>
  <c r="H574" i="3"/>
  <c r="I574" i="3"/>
  <c r="J574" i="3"/>
  <c r="B575" i="3"/>
  <c r="C575" i="3"/>
  <c r="D575" i="3"/>
  <c r="F575" i="3"/>
  <c r="G575" i="3"/>
  <c r="H575" i="3"/>
  <c r="I575" i="3"/>
  <c r="J575" i="3"/>
  <c r="B576" i="3"/>
  <c r="C576" i="3"/>
  <c r="D576" i="3"/>
  <c r="F576" i="3"/>
  <c r="G576" i="3"/>
  <c r="H576" i="3"/>
  <c r="I576" i="3"/>
  <c r="J576" i="3"/>
  <c r="B577" i="3"/>
  <c r="C577" i="3"/>
  <c r="D577" i="3"/>
  <c r="F577" i="3"/>
  <c r="G577" i="3"/>
  <c r="H577" i="3"/>
  <c r="I577" i="3"/>
  <c r="J577" i="3"/>
  <c r="B578" i="3"/>
  <c r="C578" i="3"/>
  <c r="D578" i="3"/>
  <c r="F578" i="3"/>
  <c r="G578" i="3"/>
  <c r="H578" i="3"/>
  <c r="I578" i="3"/>
  <c r="J578" i="3"/>
  <c r="B579" i="3"/>
  <c r="C579" i="3"/>
  <c r="D579" i="3"/>
  <c r="F579" i="3"/>
  <c r="G579" i="3"/>
  <c r="H579" i="3"/>
  <c r="I579" i="3"/>
  <c r="J579" i="3"/>
  <c r="B580" i="3"/>
  <c r="C580" i="3"/>
  <c r="D580" i="3"/>
  <c r="F580" i="3"/>
  <c r="G580" i="3"/>
  <c r="H580" i="3"/>
  <c r="I580" i="3"/>
  <c r="J580" i="3"/>
  <c r="B581" i="3"/>
  <c r="C581" i="3"/>
  <c r="D581" i="3"/>
  <c r="F581" i="3"/>
  <c r="G581" i="3"/>
  <c r="H581" i="3"/>
  <c r="I581" i="3"/>
  <c r="J581" i="3"/>
  <c r="B582" i="3"/>
  <c r="C582" i="3"/>
  <c r="D582" i="3"/>
  <c r="F582" i="3"/>
  <c r="G582" i="3"/>
  <c r="H582" i="3"/>
  <c r="I582" i="3"/>
  <c r="J582" i="3"/>
  <c r="B583" i="3"/>
  <c r="C583" i="3"/>
  <c r="D583" i="3"/>
  <c r="F583" i="3"/>
  <c r="G583" i="3"/>
  <c r="H583" i="3"/>
  <c r="I583" i="3"/>
  <c r="J583" i="3"/>
  <c r="B584" i="3"/>
  <c r="C584" i="3"/>
  <c r="D584" i="3"/>
  <c r="F584" i="3"/>
  <c r="G584" i="3"/>
  <c r="H584" i="3"/>
  <c r="I584" i="3"/>
  <c r="J584" i="3"/>
  <c r="B585" i="3"/>
  <c r="C585" i="3"/>
  <c r="D585" i="3"/>
  <c r="F585" i="3"/>
  <c r="G585" i="3"/>
  <c r="H585" i="3"/>
  <c r="I585" i="3"/>
  <c r="J585" i="3"/>
  <c r="B586" i="3"/>
  <c r="C586" i="3"/>
  <c r="D586" i="3"/>
  <c r="F586" i="3"/>
  <c r="G586" i="3"/>
  <c r="H586" i="3"/>
  <c r="I586" i="3"/>
  <c r="J586" i="3"/>
  <c r="B587" i="3"/>
  <c r="C587" i="3"/>
  <c r="D587" i="3"/>
  <c r="F587" i="3"/>
  <c r="G587" i="3"/>
  <c r="H587" i="3"/>
  <c r="I587" i="3"/>
  <c r="J587" i="3"/>
  <c r="B588" i="3"/>
  <c r="C588" i="3"/>
  <c r="D588" i="3"/>
  <c r="F588" i="3"/>
  <c r="G588" i="3"/>
  <c r="H588" i="3"/>
  <c r="I588" i="3"/>
  <c r="J588" i="3"/>
  <c r="B589" i="3"/>
  <c r="C589" i="3"/>
  <c r="D589" i="3"/>
  <c r="F589" i="3"/>
  <c r="G589" i="3"/>
  <c r="H589" i="3"/>
  <c r="I589" i="3"/>
  <c r="J589" i="3"/>
  <c r="B590" i="3"/>
  <c r="C590" i="3"/>
  <c r="D590" i="3"/>
  <c r="F590" i="3"/>
  <c r="G590" i="3"/>
  <c r="H590" i="3"/>
  <c r="I590" i="3"/>
  <c r="J590" i="3"/>
  <c r="B591" i="3"/>
  <c r="C591" i="3"/>
  <c r="D591" i="3"/>
  <c r="F591" i="3"/>
  <c r="G591" i="3"/>
  <c r="H591" i="3"/>
  <c r="I591" i="3"/>
  <c r="J591" i="3"/>
  <c r="B592" i="3"/>
  <c r="C592" i="3"/>
  <c r="D592" i="3"/>
  <c r="F592" i="3"/>
  <c r="G592" i="3"/>
  <c r="H592" i="3"/>
  <c r="I592" i="3"/>
  <c r="J592" i="3"/>
  <c r="B593" i="3"/>
  <c r="C593" i="3"/>
  <c r="D593" i="3"/>
  <c r="F593" i="3"/>
  <c r="G593" i="3"/>
  <c r="H593" i="3"/>
  <c r="I593" i="3"/>
  <c r="J593" i="3"/>
  <c r="B594" i="3"/>
  <c r="C594" i="3"/>
  <c r="D594" i="3"/>
  <c r="F594" i="3"/>
  <c r="G594" i="3"/>
  <c r="H594" i="3"/>
  <c r="I594" i="3"/>
  <c r="J594" i="3"/>
  <c r="B595" i="3"/>
  <c r="C595" i="3"/>
  <c r="D595" i="3"/>
  <c r="F595" i="3"/>
  <c r="G595" i="3"/>
  <c r="H595" i="3"/>
  <c r="I595" i="3"/>
  <c r="J595" i="3"/>
  <c r="B596" i="3"/>
  <c r="C596" i="3"/>
  <c r="D596" i="3"/>
  <c r="F596" i="3"/>
  <c r="G596" i="3"/>
  <c r="H596" i="3"/>
  <c r="I596" i="3"/>
  <c r="J596" i="3"/>
  <c r="B597" i="3"/>
  <c r="C597" i="3"/>
  <c r="D597" i="3"/>
  <c r="F597" i="3"/>
  <c r="G597" i="3"/>
  <c r="H597" i="3"/>
  <c r="I597" i="3"/>
  <c r="J597" i="3"/>
  <c r="B598" i="3"/>
  <c r="C598" i="3"/>
  <c r="D598" i="3"/>
  <c r="F598" i="3"/>
  <c r="G598" i="3"/>
  <c r="H598" i="3"/>
  <c r="I598" i="3"/>
  <c r="J598" i="3"/>
  <c r="B599" i="3"/>
  <c r="C599" i="3"/>
  <c r="D599" i="3"/>
  <c r="F599" i="3"/>
  <c r="G599" i="3"/>
  <c r="H599" i="3"/>
  <c r="I599" i="3"/>
  <c r="J599" i="3"/>
  <c r="B600" i="3"/>
  <c r="C600" i="3"/>
  <c r="D600" i="3"/>
  <c r="F600" i="3"/>
  <c r="G600" i="3"/>
  <c r="H600" i="3"/>
  <c r="I600" i="3"/>
  <c r="J600" i="3"/>
  <c r="B601" i="3"/>
  <c r="C601" i="3"/>
  <c r="D601" i="3"/>
  <c r="F601" i="3"/>
  <c r="G601" i="3"/>
  <c r="H601" i="3"/>
  <c r="I601" i="3"/>
  <c r="J601" i="3"/>
  <c r="B602" i="3"/>
  <c r="C602" i="3"/>
  <c r="D602" i="3"/>
  <c r="F602" i="3"/>
  <c r="G602" i="3"/>
  <c r="H602" i="3"/>
  <c r="I602" i="3"/>
  <c r="J602" i="3"/>
  <c r="B603" i="3"/>
  <c r="C603" i="3"/>
  <c r="D603" i="3"/>
  <c r="F603" i="3"/>
  <c r="G603" i="3"/>
  <c r="H603" i="3"/>
  <c r="I603" i="3"/>
  <c r="J603" i="3"/>
  <c r="B604" i="3"/>
  <c r="C604" i="3"/>
  <c r="D604" i="3"/>
  <c r="F604" i="3"/>
  <c r="G604" i="3"/>
  <c r="H604" i="3"/>
  <c r="I604" i="3"/>
  <c r="J604" i="3"/>
  <c r="B605" i="3"/>
  <c r="C605" i="3"/>
  <c r="D605" i="3"/>
  <c r="F605" i="3"/>
  <c r="G605" i="3"/>
  <c r="H605" i="3"/>
  <c r="I605" i="3"/>
  <c r="J605" i="3"/>
  <c r="B606" i="3"/>
  <c r="C606" i="3"/>
  <c r="D606" i="3"/>
  <c r="F606" i="3"/>
  <c r="G606" i="3"/>
  <c r="H606" i="3"/>
  <c r="I606" i="3"/>
  <c r="J606" i="3"/>
  <c r="B607" i="3"/>
  <c r="C607" i="3"/>
  <c r="D607" i="3"/>
  <c r="F607" i="3"/>
  <c r="G607" i="3"/>
  <c r="H607" i="3"/>
  <c r="I607" i="3"/>
  <c r="J607" i="3"/>
  <c r="B608" i="3"/>
  <c r="C608" i="3"/>
  <c r="D608" i="3"/>
  <c r="F608" i="3"/>
  <c r="G608" i="3"/>
  <c r="H608" i="3"/>
  <c r="I608" i="3"/>
  <c r="J608" i="3"/>
  <c r="B609" i="3"/>
  <c r="C609" i="3"/>
  <c r="D609" i="3"/>
  <c r="F609" i="3"/>
  <c r="G609" i="3"/>
  <c r="H609" i="3"/>
  <c r="I609" i="3"/>
  <c r="J609" i="3"/>
  <c r="B610" i="3"/>
  <c r="C610" i="3"/>
  <c r="D610" i="3"/>
  <c r="F610" i="3"/>
  <c r="G610" i="3"/>
  <c r="H610" i="3"/>
  <c r="I610" i="3"/>
  <c r="J610" i="3"/>
  <c r="B611" i="3"/>
  <c r="C611" i="3"/>
  <c r="D611" i="3"/>
  <c r="F611" i="3"/>
  <c r="G611" i="3"/>
  <c r="H611" i="3"/>
  <c r="I611" i="3"/>
  <c r="J611" i="3"/>
  <c r="B612" i="3"/>
  <c r="C612" i="3"/>
  <c r="D612" i="3"/>
  <c r="F612" i="3"/>
  <c r="G612" i="3"/>
  <c r="H612" i="3"/>
  <c r="I612" i="3"/>
  <c r="J612" i="3"/>
  <c r="B613" i="3"/>
  <c r="C613" i="3"/>
  <c r="D613" i="3"/>
  <c r="F613" i="3"/>
  <c r="G613" i="3"/>
  <c r="H613" i="3"/>
  <c r="I613" i="3"/>
  <c r="J613" i="3"/>
  <c r="B614" i="3"/>
  <c r="C614" i="3"/>
  <c r="D614" i="3"/>
  <c r="F614" i="3"/>
  <c r="G614" i="3"/>
  <c r="H614" i="3"/>
  <c r="I614" i="3"/>
  <c r="J614" i="3"/>
  <c r="B615" i="3"/>
  <c r="C615" i="3"/>
  <c r="D615" i="3"/>
  <c r="F615" i="3"/>
  <c r="G615" i="3"/>
  <c r="H615" i="3"/>
  <c r="I615" i="3"/>
  <c r="J615" i="3"/>
  <c r="B616" i="3"/>
  <c r="C616" i="3"/>
  <c r="D616" i="3"/>
  <c r="F616" i="3"/>
  <c r="G616" i="3"/>
  <c r="H616" i="3"/>
  <c r="I616" i="3"/>
  <c r="J616" i="3"/>
  <c r="B617" i="3"/>
  <c r="C617" i="3"/>
  <c r="D617" i="3"/>
  <c r="F617" i="3"/>
  <c r="G617" i="3"/>
  <c r="H617" i="3"/>
  <c r="I617" i="3"/>
  <c r="J617" i="3"/>
  <c r="B618" i="3"/>
  <c r="C618" i="3"/>
  <c r="D618" i="3"/>
  <c r="F618" i="3"/>
  <c r="G618" i="3"/>
  <c r="H618" i="3"/>
  <c r="I618" i="3"/>
  <c r="J618" i="3"/>
  <c r="B619" i="3"/>
  <c r="C619" i="3"/>
  <c r="D619" i="3"/>
  <c r="F619" i="3"/>
  <c r="G619" i="3"/>
  <c r="H619" i="3"/>
  <c r="I619" i="3"/>
  <c r="J619" i="3"/>
  <c r="B620" i="3"/>
  <c r="C620" i="3"/>
  <c r="D620" i="3"/>
  <c r="F620" i="3"/>
  <c r="G620" i="3"/>
  <c r="H620" i="3"/>
  <c r="I620" i="3"/>
  <c r="J620" i="3"/>
  <c r="B621" i="3"/>
  <c r="C621" i="3"/>
  <c r="D621" i="3"/>
  <c r="F621" i="3"/>
  <c r="G621" i="3"/>
  <c r="H621" i="3"/>
  <c r="I621" i="3"/>
  <c r="J621" i="3"/>
  <c r="B622" i="3"/>
  <c r="C622" i="3"/>
  <c r="D622" i="3"/>
  <c r="F622" i="3"/>
  <c r="G622" i="3"/>
  <c r="H622" i="3"/>
  <c r="I622" i="3"/>
  <c r="J622" i="3"/>
  <c r="B623" i="3"/>
  <c r="C623" i="3"/>
  <c r="D623" i="3"/>
  <c r="F623" i="3"/>
  <c r="G623" i="3"/>
  <c r="H623" i="3"/>
  <c r="I623" i="3"/>
  <c r="J623" i="3"/>
  <c r="B624" i="3"/>
  <c r="C624" i="3"/>
  <c r="D624" i="3"/>
  <c r="F624" i="3"/>
  <c r="G624" i="3"/>
  <c r="H624" i="3"/>
  <c r="I624" i="3"/>
  <c r="J624" i="3"/>
  <c r="B625" i="3"/>
  <c r="C625" i="3"/>
  <c r="D625" i="3"/>
  <c r="F625" i="3"/>
  <c r="G625" i="3"/>
  <c r="H625" i="3"/>
  <c r="I625" i="3"/>
  <c r="J625" i="3"/>
  <c r="B626" i="3"/>
  <c r="C626" i="3"/>
  <c r="D626" i="3"/>
  <c r="F626" i="3"/>
  <c r="G626" i="3"/>
  <c r="H626" i="3"/>
  <c r="I626" i="3"/>
  <c r="J626" i="3"/>
  <c r="B627" i="3"/>
  <c r="C627" i="3"/>
  <c r="D627" i="3"/>
  <c r="F627" i="3"/>
  <c r="G627" i="3"/>
  <c r="H627" i="3"/>
  <c r="I627" i="3"/>
  <c r="J627" i="3"/>
  <c r="B628" i="3"/>
  <c r="C628" i="3"/>
  <c r="D628" i="3"/>
  <c r="F628" i="3"/>
  <c r="G628" i="3"/>
  <c r="H628" i="3"/>
  <c r="I628" i="3"/>
  <c r="J628" i="3"/>
  <c r="B629" i="3"/>
  <c r="C629" i="3"/>
  <c r="D629" i="3"/>
  <c r="F629" i="3"/>
  <c r="G629" i="3"/>
  <c r="H629" i="3"/>
  <c r="I629" i="3"/>
  <c r="J629" i="3"/>
  <c r="B630" i="3"/>
  <c r="C630" i="3"/>
  <c r="D630" i="3"/>
  <c r="F630" i="3"/>
  <c r="G630" i="3"/>
  <c r="H630" i="3"/>
  <c r="I630" i="3"/>
  <c r="J630" i="3"/>
  <c r="B631" i="3"/>
  <c r="C631" i="3"/>
  <c r="D631" i="3"/>
  <c r="F631" i="3"/>
  <c r="G631" i="3"/>
  <c r="H631" i="3"/>
  <c r="I631" i="3"/>
  <c r="J631" i="3"/>
  <c r="B632" i="3"/>
  <c r="C632" i="3"/>
  <c r="D632" i="3"/>
  <c r="F632" i="3"/>
  <c r="G632" i="3"/>
  <c r="H632" i="3"/>
  <c r="I632" i="3"/>
  <c r="J632" i="3"/>
  <c r="B633" i="3"/>
  <c r="C633" i="3"/>
  <c r="D633" i="3"/>
  <c r="F633" i="3"/>
  <c r="G633" i="3"/>
  <c r="H633" i="3"/>
  <c r="I633" i="3"/>
  <c r="J633" i="3"/>
  <c r="B634" i="3"/>
  <c r="C634" i="3"/>
  <c r="D634" i="3"/>
  <c r="F634" i="3"/>
  <c r="G634" i="3"/>
  <c r="H634" i="3"/>
  <c r="I634" i="3"/>
  <c r="J634" i="3"/>
  <c r="B635" i="3"/>
  <c r="C635" i="3"/>
  <c r="D635" i="3"/>
  <c r="F635" i="3"/>
  <c r="G635" i="3"/>
  <c r="H635" i="3"/>
  <c r="I635" i="3"/>
  <c r="J635" i="3"/>
  <c r="B636" i="3"/>
  <c r="C636" i="3"/>
  <c r="D636" i="3"/>
  <c r="F636" i="3"/>
  <c r="G636" i="3"/>
  <c r="H636" i="3"/>
  <c r="I636" i="3"/>
  <c r="J636" i="3"/>
  <c r="B637" i="3"/>
  <c r="C637" i="3"/>
  <c r="D637" i="3"/>
  <c r="F637" i="3"/>
  <c r="G637" i="3"/>
  <c r="H637" i="3"/>
  <c r="I637" i="3"/>
  <c r="J637" i="3"/>
  <c r="B638" i="3"/>
  <c r="C638" i="3"/>
  <c r="D638" i="3"/>
  <c r="F638" i="3"/>
  <c r="G638" i="3"/>
  <c r="H638" i="3"/>
  <c r="I638" i="3"/>
  <c r="J638" i="3"/>
  <c r="B639" i="3"/>
  <c r="C639" i="3"/>
  <c r="D639" i="3"/>
  <c r="F639" i="3"/>
  <c r="G639" i="3"/>
  <c r="H639" i="3"/>
  <c r="I639" i="3"/>
  <c r="J639" i="3"/>
  <c r="B640" i="3"/>
  <c r="C640" i="3"/>
  <c r="D640" i="3"/>
  <c r="F640" i="3"/>
  <c r="G640" i="3"/>
  <c r="H640" i="3"/>
  <c r="I640" i="3"/>
  <c r="J640" i="3"/>
  <c r="B641" i="3"/>
  <c r="C641" i="3"/>
  <c r="D641" i="3"/>
  <c r="F641" i="3"/>
  <c r="G641" i="3"/>
  <c r="H641" i="3"/>
  <c r="I641" i="3"/>
  <c r="J641" i="3"/>
  <c r="B642" i="3"/>
  <c r="C642" i="3"/>
  <c r="D642" i="3"/>
  <c r="F642" i="3"/>
  <c r="G642" i="3"/>
  <c r="H642" i="3"/>
  <c r="I642" i="3"/>
  <c r="J642" i="3"/>
  <c r="B643" i="3"/>
  <c r="C643" i="3"/>
  <c r="D643" i="3"/>
  <c r="F643" i="3"/>
  <c r="G643" i="3"/>
  <c r="H643" i="3"/>
  <c r="I643" i="3"/>
  <c r="J643" i="3"/>
  <c r="B644" i="3"/>
  <c r="C644" i="3"/>
  <c r="D644" i="3"/>
  <c r="F644" i="3"/>
  <c r="G644" i="3"/>
  <c r="H644" i="3"/>
  <c r="I644" i="3"/>
  <c r="J644" i="3"/>
  <c r="B645" i="3"/>
  <c r="C645" i="3"/>
  <c r="D645" i="3"/>
  <c r="F645" i="3"/>
  <c r="G645" i="3"/>
  <c r="H645" i="3"/>
  <c r="I645" i="3"/>
  <c r="J645" i="3"/>
  <c r="B646" i="3"/>
  <c r="C646" i="3"/>
  <c r="D646" i="3"/>
  <c r="F646" i="3"/>
  <c r="G646" i="3"/>
  <c r="H646" i="3"/>
  <c r="I646" i="3"/>
  <c r="J646" i="3"/>
  <c r="B647" i="3"/>
  <c r="C647" i="3"/>
  <c r="D647" i="3"/>
  <c r="F647" i="3"/>
  <c r="G647" i="3"/>
  <c r="H647" i="3"/>
  <c r="I647" i="3"/>
  <c r="J647" i="3"/>
  <c r="B648" i="3"/>
  <c r="C648" i="3"/>
  <c r="D648" i="3"/>
  <c r="F648" i="3"/>
  <c r="G648" i="3"/>
  <c r="H648" i="3"/>
  <c r="I648" i="3"/>
  <c r="J648" i="3"/>
  <c r="B649" i="3"/>
  <c r="C649" i="3"/>
  <c r="D649" i="3"/>
  <c r="F649" i="3"/>
  <c r="G649" i="3"/>
  <c r="H649" i="3"/>
  <c r="I649" i="3"/>
  <c r="J649" i="3"/>
  <c r="B650" i="3"/>
  <c r="C650" i="3"/>
  <c r="D650" i="3"/>
  <c r="F650" i="3"/>
  <c r="G650" i="3"/>
  <c r="H650" i="3"/>
  <c r="I650" i="3"/>
  <c r="J650" i="3"/>
  <c r="B651" i="3"/>
  <c r="C651" i="3"/>
  <c r="D651" i="3"/>
  <c r="F651" i="3"/>
  <c r="G651" i="3"/>
  <c r="H651" i="3"/>
  <c r="I651" i="3"/>
  <c r="J651" i="3"/>
  <c r="B652" i="3"/>
  <c r="C652" i="3"/>
  <c r="D652" i="3"/>
  <c r="F652" i="3"/>
  <c r="G652" i="3"/>
  <c r="H652" i="3"/>
  <c r="I652" i="3"/>
  <c r="J652" i="3"/>
  <c r="B653" i="3"/>
  <c r="C653" i="3"/>
  <c r="D653" i="3"/>
  <c r="F653" i="3"/>
  <c r="G653" i="3"/>
  <c r="H653" i="3"/>
  <c r="I653" i="3"/>
  <c r="J653" i="3"/>
  <c r="B654" i="3"/>
  <c r="C654" i="3"/>
  <c r="D654" i="3"/>
  <c r="F654" i="3"/>
  <c r="G654" i="3"/>
  <c r="H654" i="3"/>
  <c r="I654" i="3"/>
  <c r="J654" i="3"/>
  <c r="B655" i="3"/>
  <c r="C655" i="3"/>
  <c r="D655" i="3"/>
  <c r="F655" i="3"/>
  <c r="G655" i="3"/>
  <c r="H655" i="3"/>
  <c r="I655" i="3"/>
  <c r="J655" i="3"/>
  <c r="B656" i="3"/>
  <c r="C656" i="3"/>
  <c r="D656" i="3"/>
  <c r="F656" i="3"/>
  <c r="G656" i="3"/>
  <c r="H656" i="3"/>
  <c r="I656" i="3"/>
  <c r="J656" i="3"/>
  <c r="B657" i="3"/>
  <c r="C657" i="3"/>
  <c r="D657" i="3"/>
  <c r="F657" i="3"/>
  <c r="G657" i="3"/>
  <c r="H657" i="3"/>
  <c r="I657" i="3"/>
  <c r="J657" i="3"/>
  <c r="B658" i="3"/>
  <c r="C658" i="3"/>
  <c r="D658" i="3"/>
  <c r="F658" i="3"/>
  <c r="G658" i="3"/>
  <c r="H658" i="3"/>
  <c r="I658" i="3"/>
  <c r="J658" i="3"/>
  <c r="B659" i="3"/>
  <c r="C659" i="3"/>
  <c r="D659" i="3"/>
  <c r="F659" i="3"/>
  <c r="G659" i="3"/>
  <c r="H659" i="3"/>
  <c r="I659" i="3"/>
  <c r="J659" i="3"/>
  <c r="B660" i="3"/>
  <c r="C660" i="3"/>
  <c r="D660" i="3"/>
  <c r="F660" i="3"/>
  <c r="G660" i="3"/>
  <c r="H660" i="3"/>
  <c r="I660" i="3"/>
  <c r="J660" i="3"/>
  <c r="B661" i="3"/>
  <c r="C661" i="3"/>
  <c r="D661" i="3"/>
  <c r="F661" i="3"/>
  <c r="G661" i="3"/>
  <c r="H661" i="3"/>
  <c r="I661" i="3"/>
  <c r="J661" i="3"/>
  <c r="B662" i="3"/>
  <c r="C662" i="3"/>
  <c r="D662" i="3"/>
  <c r="F662" i="3"/>
  <c r="G662" i="3"/>
  <c r="H662" i="3"/>
  <c r="I662" i="3"/>
  <c r="J662" i="3"/>
  <c r="B663" i="3"/>
  <c r="C663" i="3"/>
  <c r="D663" i="3"/>
  <c r="F663" i="3"/>
  <c r="G663" i="3"/>
  <c r="H663" i="3"/>
  <c r="I663" i="3"/>
  <c r="J663" i="3"/>
  <c r="B664" i="3"/>
  <c r="C664" i="3"/>
  <c r="D664" i="3"/>
  <c r="F664" i="3"/>
  <c r="G664" i="3"/>
  <c r="H664" i="3"/>
  <c r="I664" i="3"/>
  <c r="J664" i="3"/>
  <c r="B665" i="3"/>
  <c r="C665" i="3"/>
  <c r="D665" i="3"/>
  <c r="F665" i="3"/>
  <c r="G665" i="3"/>
  <c r="H665" i="3"/>
  <c r="I665" i="3"/>
  <c r="J665" i="3"/>
  <c r="B666" i="3"/>
  <c r="C666" i="3"/>
  <c r="D666" i="3"/>
  <c r="F666" i="3"/>
  <c r="G666" i="3"/>
  <c r="H666" i="3"/>
  <c r="I666" i="3"/>
  <c r="J666" i="3"/>
  <c r="B667" i="3"/>
  <c r="C667" i="3"/>
  <c r="D667" i="3"/>
  <c r="F667" i="3"/>
  <c r="G667" i="3"/>
  <c r="H667" i="3"/>
  <c r="I667" i="3"/>
  <c r="J667" i="3"/>
  <c r="B668" i="3"/>
  <c r="C668" i="3"/>
  <c r="D668" i="3"/>
  <c r="F668" i="3"/>
  <c r="G668" i="3"/>
  <c r="H668" i="3"/>
  <c r="I668" i="3"/>
  <c r="J668" i="3"/>
  <c r="B669" i="3"/>
  <c r="C669" i="3"/>
  <c r="D669" i="3"/>
  <c r="F669" i="3"/>
  <c r="G669" i="3"/>
  <c r="H669" i="3"/>
  <c r="I669" i="3"/>
  <c r="J669" i="3"/>
  <c r="B670" i="3"/>
  <c r="C670" i="3"/>
  <c r="D670" i="3"/>
  <c r="F670" i="3"/>
  <c r="G670" i="3"/>
  <c r="H670" i="3"/>
  <c r="I670" i="3"/>
  <c r="J670" i="3"/>
  <c r="B671" i="3"/>
  <c r="C671" i="3"/>
  <c r="D671" i="3"/>
  <c r="F671" i="3"/>
  <c r="G671" i="3"/>
  <c r="H671" i="3"/>
  <c r="I671" i="3"/>
  <c r="J671" i="3"/>
  <c r="B672" i="3"/>
  <c r="C672" i="3"/>
  <c r="D672" i="3"/>
  <c r="F672" i="3"/>
  <c r="G672" i="3"/>
  <c r="H672" i="3"/>
  <c r="I672" i="3"/>
  <c r="J672" i="3"/>
  <c r="B673" i="3"/>
  <c r="C673" i="3"/>
  <c r="D673" i="3"/>
  <c r="F673" i="3"/>
  <c r="G673" i="3"/>
  <c r="H673" i="3"/>
  <c r="I673" i="3"/>
  <c r="J673" i="3"/>
  <c r="B674" i="3"/>
  <c r="C674" i="3"/>
  <c r="D674" i="3"/>
  <c r="F674" i="3"/>
  <c r="G674" i="3"/>
  <c r="H674" i="3"/>
  <c r="I674" i="3"/>
  <c r="J674" i="3"/>
  <c r="B675" i="3"/>
  <c r="C675" i="3"/>
  <c r="D675" i="3"/>
  <c r="F675" i="3"/>
  <c r="G675" i="3"/>
  <c r="H675" i="3"/>
  <c r="I675" i="3"/>
  <c r="J675" i="3"/>
  <c r="B676" i="3"/>
  <c r="C676" i="3"/>
  <c r="D676" i="3"/>
  <c r="F676" i="3"/>
  <c r="G676" i="3"/>
  <c r="H676" i="3"/>
  <c r="I676" i="3"/>
  <c r="J676" i="3"/>
  <c r="B677" i="3"/>
  <c r="C677" i="3"/>
  <c r="D677" i="3"/>
  <c r="F677" i="3"/>
  <c r="G677" i="3"/>
  <c r="H677" i="3"/>
  <c r="I677" i="3"/>
  <c r="J677" i="3"/>
  <c r="B678" i="3"/>
  <c r="C678" i="3"/>
  <c r="D678" i="3"/>
  <c r="F678" i="3"/>
  <c r="G678" i="3"/>
  <c r="H678" i="3"/>
  <c r="I678" i="3"/>
  <c r="J678" i="3"/>
  <c r="B679" i="3"/>
  <c r="C679" i="3"/>
  <c r="D679" i="3"/>
  <c r="F679" i="3"/>
  <c r="G679" i="3"/>
  <c r="H679" i="3"/>
  <c r="I679" i="3"/>
  <c r="J679" i="3"/>
  <c r="B680" i="3"/>
  <c r="C680" i="3"/>
  <c r="D680" i="3"/>
  <c r="F680" i="3"/>
  <c r="G680" i="3"/>
  <c r="H680" i="3"/>
  <c r="I680" i="3"/>
  <c r="J680" i="3"/>
  <c r="B681" i="3"/>
  <c r="C681" i="3"/>
  <c r="D681" i="3"/>
  <c r="F681" i="3"/>
  <c r="G681" i="3"/>
  <c r="H681" i="3"/>
  <c r="I681" i="3"/>
  <c r="J681" i="3"/>
  <c r="B682" i="3"/>
  <c r="C682" i="3"/>
  <c r="D682" i="3"/>
  <c r="F682" i="3"/>
  <c r="G682" i="3"/>
  <c r="H682" i="3"/>
  <c r="I682" i="3"/>
  <c r="J682" i="3"/>
  <c r="B683" i="3"/>
  <c r="C683" i="3"/>
  <c r="D683" i="3"/>
  <c r="F683" i="3"/>
  <c r="G683" i="3"/>
  <c r="H683" i="3"/>
  <c r="I683" i="3"/>
  <c r="J683" i="3"/>
  <c r="B684" i="3"/>
  <c r="C684" i="3"/>
  <c r="D684" i="3"/>
  <c r="F684" i="3"/>
  <c r="G684" i="3"/>
  <c r="H684" i="3"/>
  <c r="I684" i="3"/>
  <c r="J684" i="3"/>
  <c r="B685" i="3"/>
  <c r="C685" i="3"/>
  <c r="D685" i="3"/>
  <c r="F685" i="3"/>
  <c r="G685" i="3"/>
  <c r="H685" i="3"/>
  <c r="I685" i="3"/>
  <c r="J685" i="3"/>
  <c r="B686" i="3"/>
  <c r="C686" i="3"/>
  <c r="D686" i="3"/>
  <c r="F686" i="3"/>
  <c r="G686" i="3"/>
  <c r="H686" i="3"/>
  <c r="I686" i="3"/>
  <c r="J686" i="3"/>
  <c r="B687" i="3"/>
  <c r="C687" i="3"/>
  <c r="D687" i="3"/>
  <c r="F687" i="3"/>
  <c r="G687" i="3"/>
  <c r="H687" i="3"/>
  <c r="I687" i="3"/>
  <c r="J687" i="3"/>
  <c r="B688" i="3"/>
  <c r="C688" i="3"/>
  <c r="D688" i="3"/>
  <c r="F688" i="3"/>
  <c r="G688" i="3"/>
  <c r="H688" i="3"/>
  <c r="I688" i="3"/>
  <c r="J688" i="3"/>
  <c r="B689" i="3"/>
  <c r="C689" i="3"/>
  <c r="D689" i="3"/>
  <c r="F689" i="3"/>
  <c r="G689" i="3"/>
  <c r="H689" i="3"/>
  <c r="I689" i="3"/>
  <c r="J689" i="3"/>
  <c r="B690" i="3"/>
  <c r="C690" i="3"/>
  <c r="D690" i="3"/>
  <c r="F690" i="3"/>
  <c r="G690" i="3"/>
  <c r="H690" i="3"/>
  <c r="I690" i="3"/>
  <c r="J690" i="3"/>
  <c r="B691" i="3"/>
  <c r="C691" i="3"/>
  <c r="D691" i="3"/>
  <c r="F691" i="3"/>
  <c r="G691" i="3"/>
  <c r="H691" i="3"/>
  <c r="I691" i="3"/>
  <c r="J691" i="3"/>
  <c r="B692" i="3"/>
  <c r="C692" i="3"/>
  <c r="D692" i="3"/>
  <c r="F692" i="3"/>
  <c r="G692" i="3"/>
  <c r="H692" i="3"/>
  <c r="I692" i="3"/>
  <c r="J692" i="3"/>
  <c r="B693" i="3"/>
  <c r="C693" i="3"/>
  <c r="D693" i="3"/>
  <c r="F693" i="3"/>
  <c r="G693" i="3"/>
  <c r="H693" i="3"/>
  <c r="I693" i="3"/>
  <c r="J693" i="3"/>
  <c r="B694" i="3"/>
  <c r="C694" i="3"/>
  <c r="D694" i="3"/>
  <c r="F694" i="3"/>
  <c r="G694" i="3"/>
  <c r="H694" i="3"/>
  <c r="I694" i="3"/>
  <c r="J694" i="3"/>
  <c r="B695" i="3"/>
  <c r="C695" i="3"/>
  <c r="D695" i="3"/>
  <c r="F695" i="3"/>
  <c r="G695" i="3"/>
  <c r="H695" i="3"/>
  <c r="I695" i="3"/>
  <c r="J695" i="3"/>
  <c r="B696" i="3"/>
  <c r="C696" i="3"/>
  <c r="D696" i="3"/>
  <c r="F696" i="3"/>
  <c r="G696" i="3"/>
  <c r="H696" i="3"/>
  <c r="I696" i="3"/>
  <c r="J696" i="3"/>
  <c r="B697" i="3"/>
  <c r="C697" i="3"/>
  <c r="D697" i="3"/>
  <c r="F697" i="3"/>
  <c r="G697" i="3"/>
  <c r="H697" i="3"/>
  <c r="I697" i="3"/>
  <c r="J697" i="3"/>
  <c r="B698" i="3"/>
  <c r="C698" i="3"/>
  <c r="D698" i="3"/>
  <c r="F698" i="3"/>
  <c r="G698" i="3"/>
  <c r="H698" i="3"/>
  <c r="I698" i="3"/>
  <c r="J698" i="3"/>
  <c r="B699" i="3"/>
  <c r="C699" i="3"/>
  <c r="D699" i="3"/>
  <c r="F699" i="3"/>
  <c r="G699" i="3"/>
  <c r="H699" i="3"/>
  <c r="I699" i="3"/>
  <c r="J699" i="3"/>
  <c r="B700" i="3"/>
  <c r="C700" i="3"/>
  <c r="D700" i="3"/>
  <c r="F700" i="3"/>
  <c r="G700" i="3"/>
  <c r="H700" i="3"/>
  <c r="I700" i="3"/>
  <c r="J700" i="3"/>
  <c r="B701" i="3"/>
  <c r="C701" i="3"/>
  <c r="D701" i="3"/>
  <c r="F701" i="3"/>
  <c r="G701" i="3"/>
  <c r="H701" i="3"/>
  <c r="I701" i="3"/>
  <c r="J701" i="3"/>
  <c r="B702" i="3"/>
  <c r="C702" i="3"/>
  <c r="D702" i="3"/>
  <c r="F702" i="3"/>
  <c r="G702" i="3"/>
  <c r="H702" i="3"/>
  <c r="I702" i="3"/>
  <c r="J702" i="3"/>
  <c r="B703" i="3"/>
  <c r="C703" i="3"/>
  <c r="D703" i="3"/>
  <c r="F703" i="3"/>
  <c r="G703" i="3"/>
  <c r="H703" i="3"/>
  <c r="I703" i="3"/>
  <c r="J703" i="3"/>
  <c r="B704" i="3"/>
  <c r="C704" i="3"/>
  <c r="D704" i="3"/>
  <c r="F704" i="3"/>
  <c r="G704" i="3"/>
  <c r="H704" i="3"/>
  <c r="I704" i="3"/>
  <c r="J704" i="3"/>
  <c r="B705" i="3"/>
  <c r="C705" i="3"/>
  <c r="D705" i="3"/>
  <c r="F705" i="3"/>
  <c r="G705" i="3"/>
  <c r="H705" i="3"/>
  <c r="I705" i="3"/>
  <c r="J705" i="3"/>
  <c r="B706" i="3"/>
  <c r="C706" i="3"/>
  <c r="D706" i="3"/>
  <c r="F706" i="3"/>
  <c r="G706" i="3"/>
  <c r="H706" i="3"/>
  <c r="I706" i="3"/>
  <c r="J706" i="3"/>
  <c r="B707" i="3"/>
  <c r="C707" i="3"/>
  <c r="D707" i="3"/>
  <c r="F707" i="3"/>
  <c r="G707" i="3"/>
  <c r="H707" i="3"/>
  <c r="I707" i="3"/>
  <c r="J707" i="3"/>
  <c r="B708" i="3"/>
  <c r="C708" i="3"/>
  <c r="D708" i="3"/>
  <c r="F708" i="3"/>
  <c r="G708" i="3"/>
  <c r="H708" i="3"/>
  <c r="I708" i="3"/>
  <c r="J708" i="3"/>
  <c r="B709" i="3"/>
  <c r="C709" i="3"/>
  <c r="D709" i="3"/>
  <c r="F709" i="3"/>
  <c r="G709" i="3"/>
  <c r="H709" i="3"/>
  <c r="I709" i="3"/>
  <c r="J709" i="3"/>
  <c r="B710" i="3"/>
  <c r="C710" i="3"/>
  <c r="D710" i="3"/>
  <c r="F710" i="3"/>
  <c r="G710" i="3"/>
  <c r="H710" i="3"/>
  <c r="I710" i="3"/>
  <c r="J710" i="3"/>
  <c r="B711" i="3"/>
  <c r="C711" i="3"/>
  <c r="D711" i="3"/>
  <c r="F711" i="3"/>
  <c r="G711" i="3"/>
  <c r="H711" i="3"/>
  <c r="I711" i="3"/>
  <c r="J711" i="3"/>
  <c r="B712" i="3"/>
  <c r="C712" i="3"/>
  <c r="D712" i="3"/>
  <c r="F712" i="3"/>
  <c r="G712" i="3"/>
  <c r="H712" i="3"/>
  <c r="I712" i="3"/>
  <c r="J712" i="3"/>
  <c r="B713" i="3"/>
  <c r="C713" i="3"/>
  <c r="D713" i="3"/>
  <c r="F713" i="3"/>
  <c r="G713" i="3"/>
  <c r="H713" i="3"/>
  <c r="I713" i="3"/>
  <c r="J713" i="3"/>
  <c r="B714" i="3"/>
  <c r="C714" i="3"/>
  <c r="D714" i="3"/>
  <c r="F714" i="3"/>
  <c r="G714" i="3"/>
  <c r="H714" i="3"/>
  <c r="I714" i="3"/>
  <c r="J714" i="3"/>
  <c r="B715" i="3"/>
  <c r="C715" i="3"/>
  <c r="D715" i="3"/>
  <c r="F715" i="3"/>
  <c r="G715" i="3"/>
  <c r="H715" i="3"/>
  <c r="I715" i="3"/>
  <c r="J715" i="3"/>
  <c r="B716" i="3"/>
  <c r="C716" i="3"/>
  <c r="D716" i="3"/>
  <c r="F716" i="3"/>
  <c r="G716" i="3"/>
  <c r="H716" i="3"/>
  <c r="I716" i="3"/>
  <c r="J716" i="3"/>
  <c r="B717" i="3"/>
  <c r="C717" i="3"/>
  <c r="D717" i="3"/>
  <c r="F717" i="3"/>
  <c r="G717" i="3"/>
  <c r="H717" i="3"/>
  <c r="I717" i="3"/>
  <c r="J717" i="3"/>
  <c r="B718" i="3"/>
  <c r="C718" i="3"/>
  <c r="D718" i="3"/>
  <c r="F718" i="3"/>
  <c r="G718" i="3"/>
  <c r="H718" i="3"/>
  <c r="I718" i="3"/>
  <c r="J718" i="3"/>
  <c r="B719" i="3"/>
  <c r="C719" i="3"/>
  <c r="D719" i="3"/>
  <c r="F719" i="3"/>
  <c r="G719" i="3"/>
  <c r="H719" i="3"/>
  <c r="I719" i="3"/>
  <c r="J719" i="3"/>
  <c r="B720" i="3"/>
  <c r="C720" i="3"/>
  <c r="D720" i="3"/>
  <c r="F720" i="3"/>
  <c r="G720" i="3"/>
  <c r="H720" i="3"/>
  <c r="I720" i="3"/>
  <c r="J720" i="3"/>
  <c r="B721" i="3"/>
  <c r="C721" i="3"/>
  <c r="D721" i="3"/>
  <c r="F721" i="3"/>
  <c r="G721" i="3"/>
  <c r="H721" i="3"/>
  <c r="I721" i="3"/>
  <c r="J721" i="3"/>
  <c r="B722" i="3"/>
  <c r="C722" i="3"/>
  <c r="D722" i="3"/>
  <c r="F722" i="3"/>
  <c r="G722" i="3"/>
  <c r="H722" i="3"/>
  <c r="I722" i="3"/>
  <c r="J722" i="3"/>
  <c r="B723" i="3"/>
  <c r="C723" i="3"/>
  <c r="D723" i="3"/>
  <c r="F723" i="3"/>
  <c r="G723" i="3"/>
  <c r="H723" i="3"/>
  <c r="I723" i="3"/>
  <c r="J723" i="3"/>
  <c r="B724" i="3"/>
  <c r="C724" i="3"/>
  <c r="D724" i="3"/>
  <c r="F724" i="3"/>
  <c r="G724" i="3"/>
  <c r="H724" i="3"/>
  <c r="I724" i="3"/>
  <c r="J724" i="3"/>
  <c r="B725" i="3"/>
  <c r="C725" i="3"/>
  <c r="D725" i="3"/>
  <c r="F725" i="3"/>
  <c r="G725" i="3"/>
  <c r="H725" i="3"/>
  <c r="I725" i="3"/>
  <c r="J725" i="3"/>
  <c r="B726" i="3"/>
  <c r="C726" i="3"/>
  <c r="D726" i="3"/>
  <c r="F726" i="3"/>
  <c r="G726" i="3"/>
  <c r="H726" i="3"/>
  <c r="I726" i="3"/>
  <c r="J726" i="3"/>
  <c r="B727" i="3"/>
  <c r="C727" i="3"/>
  <c r="D727" i="3"/>
  <c r="F727" i="3"/>
  <c r="G727" i="3"/>
  <c r="H727" i="3"/>
  <c r="I727" i="3"/>
  <c r="J727" i="3"/>
  <c r="B728" i="3"/>
  <c r="C728" i="3"/>
  <c r="D728" i="3"/>
  <c r="F728" i="3"/>
  <c r="G728" i="3"/>
  <c r="H728" i="3"/>
  <c r="I728" i="3"/>
  <c r="J728" i="3"/>
  <c r="B729" i="3"/>
  <c r="C729" i="3"/>
  <c r="D729" i="3"/>
  <c r="F729" i="3"/>
  <c r="G729" i="3"/>
  <c r="H729" i="3"/>
  <c r="I729" i="3"/>
  <c r="J729" i="3"/>
  <c r="B730" i="3"/>
  <c r="C730" i="3"/>
  <c r="D730" i="3"/>
  <c r="F730" i="3"/>
  <c r="G730" i="3"/>
  <c r="H730" i="3"/>
  <c r="I730" i="3"/>
  <c r="J730" i="3"/>
  <c r="B731" i="3"/>
  <c r="C731" i="3"/>
  <c r="D731" i="3"/>
  <c r="F731" i="3"/>
  <c r="G731" i="3"/>
  <c r="H731" i="3"/>
  <c r="I731" i="3"/>
  <c r="J731" i="3"/>
  <c r="B732" i="3"/>
  <c r="C732" i="3"/>
  <c r="D732" i="3"/>
  <c r="F732" i="3"/>
  <c r="G732" i="3"/>
  <c r="H732" i="3"/>
  <c r="I732" i="3"/>
  <c r="J732" i="3"/>
  <c r="B733" i="3"/>
  <c r="C733" i="3"/>
  <c r="D733" i="3"/>
  <c r="F733" i="3"/>
  <c r="G733" i="3"/>
  <c r="H733" i="3"/>
  <c r="I733" i="3"/>
  <c r="J733" i="3"/>
  <c r="B734" i="3"/>
  <c r="C734" i="3"/>
  <c r="D734" i="3"/>
  <c r="F734" i="3"/>
  <c r="G734" i="3"/>
  <c r="H734" i="3"/>
  <c r="I734" i="3"/>
  <c r="J734" i="3"/>
  <c r="B735" i="3"/>
  <c r="C735" i="3"/>
  <c r="D735" i="3"/>
  <c r="F735" i="3"/>
  <c r="G735" i="3"/>
  <c r="H735" i="3"/>
  <c r="I735" i="3"/>
  <c r="J735" i="3"/>
  <c r="B736" i="3"/>
  <c r="C736" i="3"/>
  <c r="D736" i="3"/>
  <c r="F736" i="3"/>
  <c r="G736" i="3"/>
  <c r="H736" i="3"/>
  <c r="I736" i="3"/>
  <c r="J736" i="3"/>
  <c r="B737" i="3"/>
  <c r="C737" i="3"/>
  <c r="D737" i="3"/>
  <c r="F737" i="3"/>
  <c r="G737" i="3"/>
  <c r="H737" i="3"/>
  <c r="I737" i="3"/>
  <c r="J737" i="3"/>
  <c r="B738" i="3"/>
  <c r="C738" i="3"/>
  <c r="D738" i="3"/>
  <c r="F738" i="3"/>
  <c r="G738" i="3"/>
  <c r="H738" i="3"/>
  <c r="I738" i="3"/>
  <c r="J738" i="3"/>
  <c r="B739" i="3"/>
  <c r="C739" i="3"/>
  <c r="D739" i="3"/>
  <c r="F739" i="3"/>
  <c r="G739" i="3"/>
  <c r="H739" i="3"/>
  <c r="I739" i="3"/>
  <c r="J739" i="3"/>
  <c r="B740" i="3"/>
  <c r="C740" i="3"/>
  <c r="D740" i="3"/>
  <c r="F740" i="3"/>
  <c r="G740" i="3"/>
  <c r="H740" i="3"/>
  <c r="I740" i="3"/>
  <c r="J740" i="3"/>
  <c r="B741" i="3"/>
  <c r="C741" i="3"/>
  <c r="D741" i="3"/>
  <c r="F741" i="3"/>
  <c r="G741" i="3"/>
  <c r="H741" i="3"/>
  <c r="I741" i="3"/>
  <c r="J741" i="3"/>
  <c r="B742" i="3"/>
  <c r="C742" i="3"/>
  <c r="D742" i="3"/>
  <c r="F742" i="3"/>
  <c r="G742" i="3"/>
  <c r="H742" i="3"/>
  <c r="I742" i="3"/>
  <c r="J742" i="3"/>
  <c r="B743" i="3"/>
  <c r="C743" i="3"/>
  <c r="D743" i="3"/>
  <c r="F743" i="3"/>
  <c r="G743" i="3"/>
  <c r="H743" i="3"/>
  <c r="I743" i="3"/>
  <c r="J743" i="3"/>
  <c r="B744" i="3"/>
  <c r="C744" i="3"/>
  <c r="D744" i="3"/>
  <c r="F744" i="3"/>
  <c r="G744" i="3"/>
  <c r="H744" i="3"/>
  <c r="I744" i="3"/>
  <c r="J744" i="3"/>
  <c r="B745" i="3"/>
  <c r="C745" i="3"/>
  <c r="D745" i="3"/>
  <c r="F745" i="3"/>
  <c r="G745" i="3"/>
  <c r="H745" i="3"/>
  <c r="I745" i="3"/>
  <c r="J745" i="3"/>
  <c r="B746" i="3"/>
  <c r="C746" i="3"/>
  <c r="D746" i="3"/>
  <c r="F746" i="3"/>
  <c r="G746" i="3"/>
  <c r="H746" i="3"/>
  <c r="I746" i="3"/>
  <c r="J746" i="3"/>
  <c r="B747" i="3"/>
  <c r="C747" i="3"/>
  <c r="D747" i="3"/>
  <c r="F747" i="3"/>
  <c r="G747" i="3"/>
  <c r="H747" i="3"/>
  <c r="I747" i="3"/>
  <c r="J747" i="3"/>
  <c r="B748" i="3"/>
  <c r="C748" i="3"/>
  <c r="D748" i="3"/>
  <c r="F748" i="3"/>
  <c r="G748" i="3"/>
  <c r="H748" i="3"/>
  <c r="I748" i="3"/>
  <c r="J748" i="3"/>
  <c r="B749" i="3"/>
  <c r="C749" i="3"/>
  <c r="D749" i="3"/>
  <c r="F749" i="3"/>
  <c r="G749" i="3"/>
  <c r="H749" i="3"/>
  <c r="I749" i="3"/>
  <c r="J749" i="3"/>
  <c r="B750" i="3"/>
  <c r="C750" i="3"/>
  <c r="D750" i="3"/>
  <c r="F750" i="3"/>
  <c r="G750" i="3"/>
  <c r="H750" i="3"/>
  <c r="I750" i="3"/>
  <c r="J750" i="3"/>
  <c r="B751" i="3"/>
  <c r="C751" i="3"/>
  <c r="D751" i="3"/>
  <c r="F751" i="3"/>
  <c r="G751" i="3"/>
  <c r="H751" i="3"/>
  <c r="I751" i="3"/>
  <c r="J751" i="3"/>
  <c r="B752" i="3"/>
  <c r="C752" i="3"/>
  <c r="D752" i="3"/>
  <c r="F752" i="3"/>
  <c r="G752" i="3"/>
  <c r="H752" i="3"/>
  <c r="I752" i="3"/>
  <c r="J752" i="3"/>
  <c r="B753" i="3"/>
  <c r="C753" i="3"/>
  <c r="D753" i="3"/>
  <c r="F753" i="3"/>
  <c r="G753" i="3"/>
  <c r="H753" i="3"/>
  <c r="I753" i="3"/>
  <c r="J753" i="3"/>
  <c r="B754" i="3"/>
  <c r="C754" i="3"/>
  <c r="D754" i="3"/>
  <c r="F754" i="3"/>
  <c r="G754" i="3"/>
  <c r="H754" i="3"/>
  <c r="I754" i="3"/>
  <c r="J754" i="3"/>
  <c r="B755" i="3"/>
  <c r="C755" i="3"/>
  <c r="D755" i="3"/>
  <c r="F755" i="3"/>
  <c r="G755" i="3"/>
  <c r="H755" i="3"/>
  <c r="I755" i="3"/>
  <c r="J755" i="3"/>
  <c r="B756" i="3"/>
  <c r="C756" i="3"/>
  <c r="D756" i="3"/>
  <c r="F756" i="3"/>
  <c r="G756" i="3"/>
  <c r="H756" i="3"/>
  <c r="I756" i="3"/>
  <c r="J756" i="3"/>
  <c r="B757" i="3"/>
  <c r="C757" i="3"/>
  <c r="D757" i="3"/>
  <c r="F757" i="3"/>
  <c r="G757" i="3"/>
  <c r="H757" i="3"/>
  <c r="I757" i="3"/>
  <c r="J757" i="3"/>
  <c r="B758" i="3"/>
  <c r="C758" i="3"/>
  <c r="D758" i="3"/>
  <c r="F758" i="3"/>
  <c r="G758" i="3"/>
  <c r="H758" i="3"/>
  <c r="I758" i="3"/>
  <c r="J758" i="3"/>
  <c r="B759" i="3"/>
  <c r="C759" i="3"/>
  <c r="D759" i="3"/>
  <c r="F759" i="3"/>
  <c r="G759" i="3"/>
  <c r="H759" i="3"/>
  <c r="I759" i="3"/>
  <c r="J759" i="3"/>
  <c r="B760" i="3"/>
  <c r="C760" i="3"/>
  <c r="D760" i="3"/>
  <c r="F760" i="3"/>
  <c r="G760" i="3"/>
  <c r="H760" i="3"/>
  <c r="I760" i="3"/>
  <c r="J760" i="3"/>
  <c r="B761" i="3"/>
  <c r="C761" i="3"/>
  <c r="D761" i="3"/>
  <c r="F761" i="3"/>
  <c r="G761" i="3"/>
  <c r="H761" i="3"/>
  <c r="I761" i="3"/>
  <c r="J761" i="3"/>
  <c r="B762" i="3"/>
  <c r="C762" i="3"/>
  <c r="D762" i="3"/>
  <c r="F762" i="3"/>
  <c r="G762" i="3"/>
  <c r="H762" i="3"/>
  <c r="I762" i="3"/>
  <c r="J762" i="3"/>
  <c r="B763" i="3"/>
  <c r="C763" i="3"/>
  <c r="D763" i="3"/>
  <c r="F763" i="3"/>
  <c r="G763" i="3"/>
  <c r="H763" i="3"/>
  <c r="I763" i="3"/>
  <c r="J763" i="3"/>
  <c r="B764" i="3"/>
  <c r="C764" i="3"/>
  <c r="D764" i="3"/>
  <c r="F764" i="3"/>
  <c r="G764" i="3"/>
  <c r="H764" i="3"/>
  <c r="I764" i="3"/>
  <c r="J764" i="3"/>
  <c r="B765" i="3"/>
  <c r="C765" i="3"/>
  <c r="D765" i="3"/>
  <c r="F765" i="3"/>
  <c r="G765" i="3"/>
  <c r="H765" i="3"/>
  <c r="I765" i="3"/>
  <c r="J765" i="3"/>
  <c r="B766" i="3"/>
  <c r="C766" i="3"/>
  <c r="D766" i="3"/>
  <c r="F766" i="3"/>
  <c r="G766" i="3"/>
  <c r="H766" i="3"/>
  <c r="I766" i="3"/>
  <c r="J766" i="3"/>
  <c r="B767" i="3"/>
  <c r="C767" i="3"/>
  <c r="D767" i="3"/>
  <c r="F767" i="3"/>
  <c r="G767" i="3"/>
  <c r="H767" i="3"/>
  <c r="I767" i="3"/>
  <c r="J767" i="3"/>
  <c r="B768" i="3"/>
  <c r="C768" i="3"/>
  <c r="D768" i="3"/>
  <c r="F768" i="3"/>
  <c r="G768" i="3"/>
  <c r="H768" i="3"/>
  <c r="I768" i="3"/>
  <c r="J768" i="3"/>
  <c r="B769" i="3"/>
  <c r="C769" i="3"/>
  <c r="D769" i="3"/>
  <c r="F769" i="3"/>
  <c r="G769" i="3"/>
  <c r="H769" i="3"/>
  <c r="I769" i="3"/>
  <c r="J769" i="3"/>
  <c r="B770" i="3"/>
  <c r="C770" i="3"/>
  <c r="D770" i="3"/>
  <c r="F770" i="3"/>
  <c r="G770" i="3"/>
  <c r="H770" i="3"/>
  <c r="I770" i="3"/>
  <c r="J770" i="3"/>
  <c r="B771" i="3"/>
  <c r="C771" i="3"/>
  <c r="D771" i="3"/>
  <c r="F771" i="3"/>
  <c r="G771" i="3"/>
  <c r="H771" i="3"/>
  <c r="I771" i="3"/>
  <c r="J771" i="3"/>
  <c r="B772" i="3"/>
  <c r="C772" i="3"/>
  <c r="D772" i="3"/>
  <c r="F772" i="3"/>
  <c r="G772" i="3"/>
  <c r="H772" i="3"/>
  <c r="I772" i="3"/>
  <c r="J772" i="3"/>
  <c r="B773" i="3"/>
  <c r="C773" i="3"/>
  <c r="D773" i="3"/>
  <c r="F773" i="3"/>
  <c r="G773" i="3"/>
  <c r="H773" i="3"/>
  <c r="I773" i="3"/>
  <c r="J773" i="3"/>
  <c r="B774" i="3"/>
  <c r="C774" i="3"/>
  <c r="D774" i="3"/>
  <c r="F774" i="3"/>
  <c r="G774" i="3"/>
  <c r="H774" i="3"/>
  <c r="I774" i="3"/>
  <c r="J774" i="3"/>
  <c r="B775" i="3"/>
  <c r="C775" i="3"/>
  <c r="D775" i="3"/>
  <c r="F775" i="3"/>
  <c r="G775" i="3"/>
  <c r="H775" i="3"/>
  <c r="I775" i="3"/>
  <c r="J775" i="3"/>
  <c r="B776" i="3"/>
  <c r="C776" i="3"/>
  <c r="D776" i="3"/>
  <c r="F776" i="3"/>
  <c r="G776" i="3"/>
  <c r="H776" i="3"/>
  <c r="I776" i="3"/>
  <c r="J776" i="3"/>
  <c r="B777" i="3"/>
  <c r="C777" i="3"/>
  <c r="D777" i="3"/>
  <c r="F777" i="3"/>
  <c r="G777" i="3"/>
  <c r="H777" i="3"/>
  <c r="I777" i="3"/>
  <c r="J777" i="3"/>
  <c r="B778" i="3"/>
  <c r="C778" i="3"/>
  <c r="D778" i="3"/>
  <c r="F778" i="3"/>
  <c r="G778" i="3"/>
  <c r="H778" i="3"/>
  <c r="I778" i="3"/>
  <c r="J778" i="3"/>
  <c r="B779" i="3"/>
  <c r="C779" i="3"/>
  <c r="D779" i="3"/>
  <c r="F779" i="3"/>
  <c r="G779" i="3"/>
  <c r="H779" i="3"/>
  <c r="I779" i="3"/>
  <c r="J779" i="3"/>
  <c r="B780" i="3"/>
  <c r="C780" i="3"/>
  <c r="D780" i="3"/>
  <c r="F780" i="3"/>
  <c r="G780" i="3"/>
  <c r="H780" i="3"/>
  <c r="I780" i="3"/>
  <c r="J780" i="3"/>
  <c r="B781" i="3"/>
  <c r="C781" i="3"/>
  <c r="D781" i="3"/>
  <c r="F781" i="3"/>
  <c r="G781" i="3"/>
  <c r="H781" i="3"/>
  <c r="I781" i="3"/>
  <c r="J781" i="3"/>
  <c r="B782" i="3"/>
  <c r="C782" i="3"/>
  <c r="D782" i="3"/>
  <c r="F782" i="3"/>
  <c r="G782" i="3"/>
  <c r="H782" i="3"/>
  <c r="I782" i="3"/>
  <c r="J782" i="3"/>
  <c r="B783" i="3"/>
  <c r="C783" i="3"/>
  <c r="D783" i="3"/>
  <c r="F783" i="3"/>
  <c r="G783" i="3"/>
  <c r="H783" i="3"/>
  <c r="I783" i="3"/>
  <c r="J783" i="3"/>
  <c r="B784" i="3"/>
  <c r="C784" i="3"/>
  <c r="D784" i="3"/>
  <c r="F784" i="3"/>
  <c r="G784" i="3"/>
  <c r="H784" i="3"/>
  <c r="I784" i="3"/>
  <c r="J784" i="3"/>
  <c r="B785" i="3"/>
  <c r="C785" i="3"/>
  <c r="D785" i="3"/>
  <c r="F785" i="3"/>
  <c r="G785" i="3"/>
  <c r="H785" i="3"/>
  <c r="I785" i="3"/>
  <c r="J785" i="3"/>
  <c r="B786" i="3"/>
  <c r="C786" i="3"/>
  <c r="D786" i="3"/>
  <c r="F786" i="3"/>
  <c r="G786" i="3"/>
  <c r="H786" i="3"/>
  <c r="I786" i="3"/>
  <c r="J786" i="3"/>
  <c r="B787" i="3"/>
  <c r="C787" i="3"/>
  <c r="D787" i="3"/>
  <c r="F787" i="3"/>
  <c r="G787" i="3"/>
  <c r="H787" i="3"/>
  <c r="I787" i="3"/>
  <c r="J787" i="3"/>
  <c r="B788" i="3"/>
  <c r="C788" i="3"/>
  <c r="D788" i="3"/>
  <c r="F788" i="3"/>
  <c r="G788" i="3"/>
  <c r="H788" i="3"/>
  <c r="I788" i="3"/>
  <c r="J788" i="3"/>
  <c r="B789" i="3"/>
  <c r="C789" i="3"/>
  <c r="D789" i="3"/>
  <c r="F789" i="3"/>
  <c r="G789" i="3"/>
  <c r="H789" i="3"/>
  <c r="I789" i="3"/>
  <c r="J789" i="3"/>
  <c r="B790" i="3"/>
  <c r="C790" i="3"/>
  <c r="D790" i="3"/>
  <c r="F790" i="3"/>
  <c r="G790" i="3"/>
  <c r="H790" i="3"/>
  <c r="I790" i="3"/>
  <c r="J790" i="3"/>
  <c r="B791" i="3"/>
  <c r="C791" i="3"/>
  <c r="D791" i="3"/>
  <c r="F791" i="3"/>
  <c r="G791" i="3"/>
  <c r="H791" i="3"/>
  <c r="I791" i="3"/>
  <c r="J791" i="3"/>
  <c r="B792" i="3"/>
  <c r="C792" i="3"/>
  <c r="D792" i="3"/>
  <c r="F792" i="3"/>
  <c r="G792" i="3"/>
  <c r="H792" i="3"/>
  <c r="I792" i="3"/>
  <c r="J792" i="3"/>
  <c r="B793" i="3"/>
  <c r="C793" i="3"/>
  <c r="D793" i="3"/>
  <c r="F793" i="3"/>
  <c r="G793" i="3"/>
  <c r="H793" i="3"/>
  <c r="I793" i="3"/>
  <c r="J793" i="3"/>
  <c r="B794" i="3"/>
  <c r="C794" i="3"/>
  <c r="D794" i="3"/>
  <c r="F794" i="3"/>
  <c r="G794" i="3"/>
  <c r="H794" i="3"/>
  <c r="I794" i="3"/>
  <c r="J794" i="3"/>
  <c r="B795" i="3"/>
  <c r="C795" i="3"/>
  <c r="D795" i="3"/>
  <c r="F795" i="3"/>
  <c r="G795" i="3"/>
  <c r="H795" i="3"/>
  <c r="I795" i="3"/>
  <c r="J795" i="3"/>
  <c r="B796" i="3"/>
  <c r="C796" i="3"/>
  <c r="D796" i="3"/>
  <c r="F796" i="3"/>
  <c r="G796" i="3"/>
  <c r="H796" i="3"/>
  <c r="I796" i="3"/>
  <c r="J796" i="3"/>
  <c r="B797" i="3"/>
  <c r="C797" i="3"/>
  <c r="D797" i="3"/>
  <c r="F797" i="3"/>
  <c r="G797" i="3"/>
  <c r="H797" i="3"/>
  <c r="I797" i="3"/>
  <c r="J797" i="3"/>
  <c r="B798" i="3"/>
  <c r="C798" i="3"/>
  <c r="D798" i="3"/>
  <c r="F798" i="3"/>
  <c r="G798" i="3"/>
  <c r="H798" i="3"/>
  <c r="I798" i="3"/>
  <c r="J798" i="3"/>
  <c r="B799" i="3"/>
  <c r="C799" i="3"/>
  <c r="D799" i="3"/>
  <c r="F799" i="3"/>
  <c r="G799" i="3"/>
  <c r="H799" i="3"/>
  <c r="I799" i="3"/>
  <c r="J799" i="3"/>
  <c r="B800" i="3"/>
  <c r="C800" i="3"/>
  <c r="D800" i="3"/>
  <c r="F800" i="3"/>
  <c r="G800" i="3"/>
  <c r="H800" i="3"/>
  <c r="I800" i="3"/>
  <c r="J800" i="3"/>
  <c r="B801" i="3"/>
  <c r="C801" i="3"/>
  <c r="D801" i="3"/>
  <c r="F801" i="3"/>
  <c r="G801" i="3"/>
  <c r="H801" i="3"/>
  <c r="I801" i="3"/>
  <c r="J801" i="3"/>
  <c r="B802" i="3"/>
  <c r="C802" i="3"/>
  <c r="D802" i="3"/>
  <c r="F802" i="3"/>
  <c r="G802" i="3"/>
  <c r="H802" i="3"/>
  <c r="I802" i="3"/>
  <c r="J802" i="3"/>
  <c r="B803" i="3"/>
  <c r="C803" i="3"/>
  <c r="D803" i="3"/>
  <c r="F803" i="3"/>
  <c r="G803" i="3"/>
  <c r="H803" i="3"/>
  <c r="I803" i="3"/>
  <c r="J803" i="3"/>
  <c r="B804" i="3"/>
  <c r="C804" i="3"/>
  <c r="D804" i="3"/>
  <c r="F804" i="3"/>
  <c r="G804" i="3"/>
  <c r="H804" i="3"/>
  <c r="I804" i="3"/>
  <c r="J804" i="3"/>
  <c r="B805" i="3"/>
  <c r="C805" i="3"/>
  <c r="D805" i="3"/>
  <c r="F805" i="3"/>
  <c r="G805" i="3"/>
  <c r="H805" i="3"/>
  <c r="I805" i="3"/>
  <c r="J805" i="3"/>
  <c r="B806" i="3"/>
  <c r="C806" i="3"/>
  <c r="D806" i="3"/>
  <c r="F806" i="3"/>
  <c r="G806" i="3"/>
  <c r="H806" i="3"/>
  <c r="I806" i="3"/>
  <c r="J806" i="3"/>
  <c r="B807" i="3"/>
  <c r="C807" i="3"/>
  <c r="D807" i="3"/>
  <c r="F807" i="3"/>
  <c r="G807" i="3"/>
  <c r="H807" i="3"/>
  <c r="I807" i="3"/>
  <c r="J807" i="3"/>
  <c r="B808" i="3"/>
  <c r="C808" i="3"/>
  <c r="D808" i="3"/>
  <c r="F808" i="3"/>
  <c r="G808" i="3"/>
  <c r="H808" i="3"/>
  <c r="I808" i="3"/>
  <c r="J808" i="3"/>
  <c r="B809" i="3"/>
  <c r="C809" i="3"/>
  <c r="D809" i="3"/>
  <c r="F809" i="3"/>
  <c r="G809" i="3"/>
  <c r="H809" i="3"/>
  <c r="I809" i="3"/>
  <c r="J809" i="3"/>
  <c r="B810" i="3"/>
  <c r="C810" i="3"/>
  <c r="D810" i="3"/>
  <c r="F810" i="3"/>
  <c r="G810" i="3"/>
  <c r="H810" i="3"/>
  <c r="I810" i="3"/>
  <c r="J810" i="3"/>
  <c r="B811" i="3"/>
  <c r="C811" i="3"/>
  <c r="D811" i="3"/>
  <c r="F811" i="3"/>
  <c r="G811" i="3"/>
  <c r="H811" i="3"/>
  <c r="I811" i="3"/>
  <c r="J811" i="3"/>
  <c r="B812" i="3"/>
  <c r="C812" i="3"/>
  <c r="D812" i="3"/>
  <c r="F812" i="3"/>
  <c r="G812" i="3"/>
  <c r="H812" i="3"/>
  <c r="I812" i="3"/>
  <c r="J812" i="3"/>
  <c r="B813" i="3"/>
  <c r="C813" i="3"/>
  <c r="D813" i="3"/>
  <c r="F813" i="3"/>
  <c r="G813" i="3"/>
  <c r="H813" i="3"/>
  <c r="I813" i="3"/>
  <c r="J813" i="3"/>
  <c r="B814" i="3"/>
  <c r="C814" i="3"/>
  <c r="D814" i="3"/>
  <c r="F814" i="3"/>
  <c r="G814" i="3"/>
  <c r="H814" i="3"/>
  <c r="I814" i="3"/>
  <c r="J814" i="3"/>
  <c r="B815" i="3"/>
  <c r="C815" i="3"/>
  <c r="D815" i="3"/>
  <c r="F815" i="3"/>
  <c r="G815" i="3"/>
  <c r="H815" i="3"/>
  <c r="I815" i="3"/>
  <c r="J815" i="3"/>
  <c r="B816" i="3"/>
  <c r="C816" i="3"/>
  <c r="D816" i="3"/>
  <c r="F816" i="3"/>
  <c r="G816" i="3"/>
  <c r="H816" i="3"/>
  <c r="I816" i="3"/>
  <c r="J816" i="3"/>
  <c r="B817" i="3"/>
  <c r="C817" i="3"/>
  <c r="D817" i="3"/>
  <c r="F817" i="3"/>
  <c r="G817" i="3"/>
  <c r="H817" i="3"/>
  <c r="I817" i="3"/>
  <c r="J817" i="3"/>
  <c r="B818" i="3"/>
  <c r="C818" i="3"/>
  <c r="D818" i="3"/>
  <c r="F818" i="3"/>
  <c r="G818" i="3"/>
  <c r="H818" i="3"/>
  <c r="I818" i="3"/>
  <c r="J818" i="3"/>
  <c r="B819" i="3"/>
  <c r="C819" i="3"/>
  <c r="D819" i="3"/>
  <c r="F819" i="3"/>
  <c r="G819" i="3"/>
  <c r="H819" i="3"/>
  <c r="I819" i="3"/>
  <c r="J819" i="3"/>
  <c r="B820" i="3"/>
  <c r="C820" i="3"/>
  <c r="D820" i="3"/>
  <c r="F820" i="3"/>
  <c r="G820" i="3"/>
  <c r="H820" i="3"/>
  <c r="I820" i="3"/>
  <c r="J820" i="3"/>
  <c r="B821" i="3"/>
  <c r="C821" i="3"/>
  <c r="D821" i="3"/>
  <c r="F821" i="3"/>
  <c r="G821" i="3"/>
  <c r="H821" i="3"/>
  <c r="I821" i="3"/>
  <c r="J821" i="3"/>
  <c r="B822" i="3"/>
  <c r="C822" i="3"/>
  <c r="D822" i="3"/>
  <c r="F822" i="3"/>
  <c r="G822" i="3"/>
  <c r="H822" i="3"/>
  <c r="I822" i="3"/>
  <c r="J822" i="3"/>
  <c r="B823" i="3"/>
  <c r="C823" i="3"/>
  <c r="D823" i="3"/>
  <c r="F823" i="3"/>
  <c r="G823" i="3"/>
  <c r="H823" i="3"/>
  <c r="I823" i="3"/>
  <c r="J823" i="3"/>
  <c r="B824" i="3"/>
  <c r="C824" i="3"/>
  <c r="D824" i="3"/>
  <c r="F824" i="3"/>
  <c r="G824" i="3"/>
  <c r="H824" i="3"/>
  <c r="I824" i="3"/>
  <c r="J824" i="3"/>
  <c r="B825" i="3"/>
  <c r="C825" i="3"/>
  <c r="D825" i="3"/>
  <c r="F825" i="3"/>
  <c r="G825" i="3"/>
  <c r="H825" i="3"/>
  <c r="I825" i="3"/>
  <c r="J825" i="3"/>
  <c r="B826" i="3"/>
  <c r="C826" i="3"/>
  <c r="D826" i="3"/>
  <c r="F826" i="3"/>
  <c r="G826" i="3"/>
  <c r="H826" i="3"/>
  <c r="I826" i="3"/>
  <c r="J826" i="3"/>
  <c r="B827" i="3"/>
  <c r="C827" i="3"/>
  <c r="D827" i="3"/>
  <c r="F827" i="3"/>
  <c r="G827" i="3"/>
  <c r="H827" i="3"/>
  <c r="I827" i="3"/>
  <c r="J827" i="3"/>
  <c r="B828" i="3"/>
  <c r="C828" i="3"/>
  <c r="D828" i="3"/>
  <c r="F828" i="3"/>
  <c r="G828" i="3"/>
  <c r="H828" i="3"/>
  <c r="I828" i="3"/>
  <c r="J828" i="3"/>
  <c r="B829" i="3"/>
  <c r="C829" i="3"/>
  <c r="D829" i="3"/>
  <c r="F829" i="3"/>
  <c r="G829" i="3"/>
  <c r="H829" i="3"/>
  <c r="I829" i="3"/>
  <c r="J829" i="3"/>
  <c r="B830" i="3"/>
  <c r="C830" i="3"/>
  <c r="D830" i="3"/>
  <c r="F830" i="3"/>
  <c r="G830" i="3"/>
  <c r="H830" i="3"/>
  <c r="I830" i="3"/>
  <c r="J830" i="3"/>
  <c r="B831" i="3"/>
  <c r="C831" i="3"/>
  <c r="D831" i="3"/>
  <c r="F831" i="3"/>
  <c r="G831" i="3"/>
  <c r="H831" i="3"/>
  <c r="I831" i="3"/>
  <c r="J831" i="3"/>
  <c r="B832" i="3"/>
  <c r="C832" i="3"/>
  <c r="D832" i="3"/>
  <c r="F832" i="3"/>
  <c r="G832" i="3"/>
  <c r="H832" i="3"/>
  <c r="I832" i="3"/>
  <c r="J832" i="3"/>
  <c r="B833" i="3"/>
  <c r="C833" i="3"/>
  <c r="D833" i="3"/>
  <c r="F833" i="3"/>
  <c r="G833" i="3"/>
  <c r="H833" i="3"/>
  <c r="I833" i="3"/>
  <c r="J833" i="3"/>
  <c r="B834" i="3"/>
  <c r="C834" i="3"/>
  <c r="D834" i="3"/>
  <c r="F834" i="3"/>
  <c r="G834" i="3"/>
  <c r="H834" i="3"/>
  <c r="I834" i="3"/>
  <c r="J834" i="3"/>
  <c r="B835" i="3"/>
  <c r="C835" i="3"/>
  <c r="D835" i="3"/>
  <c r="F835" i="3"/>
  <c r="G835" i="3"/>
  <c r="H835" i="3"/>
  <c r="I835" i="3"/>
  <c r="J835" i="3"/>
  <c r="B836" i="3"/>
  <c r="C836" i="3"/>
  <c r="D836" i="3"/>
  <c r="F836" i="3"/>
  <c r="G836" i="3"/>
  <c r="H836" i="3"/>
  <c r="I836" i="3"/>
  <c r="J836" i="3"/>
  <c r="B837" i="3"/>
  <c r="C837" i="3"/>
  <c r="D837" i="3"/>
  <c r="F837" i="3"/>
  <c r="G837" i="3"/>
  <c r="H837" i="3"/>
  <c r="I837" i="3"/>
  <c r="J837" i="3"/>
  <c r="B838" i="3"/>
  <c r="C838" i="3"/>
  <c r="D838" i="3"/>
  <c r="F838" i="3"/>
  <c r="G838" i="3"/>
  <c r="H838" i="3"/>
  <c r="I838" i="3"/>
  <c r="J838" i="3"/>
  <c r="B839" i="3"/>
  <c r="C839" i="3"/>
  <c r="D839" i="3"/>
  <c r="F839" i="3"/>
  <c r="G839" i="3"/>
  <c r="H839" i="3"/>
  <c r="I839" i="3"/>
  <c r="J839" i="3"/>
  <c r="B840" i="3"/>
  <c r="C840" i="3"/>
  <c r="D840" i="3"/>
  <c r="F840" i="3"/>
  <c r="G840" i="3"/>
  <c r="H840" i="3"/>
  <c r="I840" i="3"/>
  <c r="J840" i="3"/>
  <c r="B841" i="3"/>
  <c r="C841" i="3"/>
  <c r="D841" i="3"/>
  <c r="F841" i="3"/>
  <c r="G841" i="3"/>
  <c r="H841" i="3"/>
  <c r="I841" i="3"/>
  <c r="J841" i="3"/>
  <c r="B842" i="3"/>
  <c r="C842" i="3"/>
  <c r="D842" i="3"/>
  <c r="F842" i="3"/>
  <c r="G842" i="3"/>
  <c r="H842" i="3"/>
  <c r="I842" i="3"/>
  <c r="J842" i="3"/>
  <c r="B843" i="3"/>
  <c r="C843" i="3"/>
  <c r="D843" i="3"/>
  <c r="F843" i="3"/>
  <c r="G843" i="3"/>
  <c r="H843" i="3"/>
  <c r="I843" i="3"/>
  <c r="J843" i="3"/>
  <c r="B844" i="3"/>
  <c r="C844" i="3"/>
  <c r="D844" i="3"/>
  <c r="F844" i="3"/>
  <c r="G844" i="3"/>
  <c r="H844" i="3"/>
  <c r="I844" i="3"/>
  <c r="J844" i="3"/>
  <c r="B845" i="3"/>
  <c r="C845" i="3"/>
  <c r="D845" i="3"/>
  <c r="F845" i="3"/>
  <c r="G845" i="3"/>
  <c r="H845" i="3"/>
  <c r="I845" i="3"/>
  <c r="J845" i="3"/>
  <c r="B846" i="3"/>
  <c r="C846" i="3"/>
  <c r="D846" i="3"/>
  <c r="F846" i="3"/>
  <c r="G846" i="3"/>
  <c r="H846" i="3"/>
  <c r="I846" i="3"/>
  <c r="J846" i="3"/>
  <c r="B847" i="3"/>
  <c r="C847" i="3"/>
  <c r="D847" i="3"/>
  <c r="F847" i="3"/>
  <c r="G847" i="3"/>
  <c r="H847" i="3"/>
  <c r="I847" i="3"/>
  <c r="J847" i="3"/>
  <c r="B848" i="3"/>
  <c r="C848" i="3"/>
  <c r="D848" i="3"/>
  <c r="F848" i="3"/>
  <c r="G848" i="3"/>
  <c r="H848" i="3"/>
  <c r="I848" i="3"/>
  <c r="J848" i="3"/>
  <c r="B849" i="3"/>
  <c r="C849" i="3"/>
  <c r="D849" i="3"/>
  <c r="F849" i="3"/>
  <c r="G849" i="3"/>
  <c r="H849" i="3"/>
  <c r="I849" i="3"/>
  <c r="J849" i="3"/>
  <c r="B850" i="3"/>
  <c r="C850" i="3"/>
  <c r="D850" i="3"/>
  <c r="F850" i="3"/>
  <c r="G850" i="3"/>
  <c r="H850" i="3"/>
  <c r="I850" i="3"/>
  <c r="J850" i="3"/>
  <c r="B851" i="3"/>
  <c r="C851" i="3"/>
  <c r="D851" i="3"/>
  <c r="F851" i="3"/>
  <c r="G851" i="3"/>
  <c r="H851" i="3"/>
  <c r="I851" i="3"/>
  <c r="J851" i="3"/>
  <c r="B852" i="3"/>
  <c r="C852" i="3"/>
  <c r="D852" i="3"/>
  <c r="F852" i="3"/>
  <c r="G852" i="3"/>
  <c r="H852" i="3"/>
  <c r="I852" i="3"/>
  <c r="J852" i="3"/>
  <c r="B853" i="3"/>
  <c r="C853" i="3"/>
  <c r="D853" i="3"/>
  <c r="F853" i="3"/>
  <c r="G853" i="3"/>
  <c r="H853" i="3"/>
  <c r="I853" i="3"/>
  <c r="J853" i="3"/>
  <c r="B854" i="3"/>
  <c r="C854" i="3"/>
  <c r="D854" i="3"/>
  <c r="F854" i="3"/>
  <c r="G854" i="3"/>
  <c r="H854" i="3"/>
  <c r="I854" i="3"/>
  <c r="J854" i="3"/>
  <c r="B855" i="3"/>
  <c r="C855" i="3"/>
  <c r="D855" i="3"/>
  <c r="F855" i="3"/>
  <c r="G855" i="3"/>
  <c r="H855" i="3"/>
  <c r="I855" i="3"/>
  <c r="J855" i="3"/>
  <c r="B856" i="3"/>
  <c r="C856" i="3"/>
  <c r="D856" i="3"/>
  <c r="F856" i="3"/>
  <c r="G856" i="3"/>
  <c r="H856" i="3"/>
  <c r="I856" i="3"/>
  <c r="J856" i="3"/>
  <c r="B857" i="3"/>
  <c r="C857" i="3"/>
  <c r="D857" i="3"/>
  <c r="F857" i="3"/>
  <c r="G857" i="3"/>
  <c r="H857" i="3"/>
  <c r="I857" i="3"/>
  <c r="J857" i="3"/>
  <c r="B858" i="3"/>
  <c r="C858" i="3"/>
  <c r="D858" i="3"/>
  <c r="F858" i="3"/>
  <c r="G858" i="3"/>
  <c r="H858" i="3"/>
  <c r="I858" i="3"/>
  <c r="J858" i="3"/>
  <c r="B859" i="3"/>
  <c r="C859" i="3"/>
  <c r="D859" i="3"/>
  <c r="F859" i="3"/>
  <c r="G859" i="3"/>
  <c r="H859" i="3"/>
  <c r="I859" i="3"/>
  <c r="J859" i="3"/>
  <c r="B860" i="3"/>
  <c r="C860" i="3"/>
  <c r="D860" i="3"/>
  <c r="F860" i="3"/>
  <c r="G860" i="3"/>
  <c r="H860" i="3"/>
  <c r="I860" i="3"/>
  <c r="J860" i="3"/>
  <c r="B861" i="3"/>
  <c r="C861" i="3"/>
  <c r="D861" i="3"/>
  <c r="F861" i="3"/>
  <c r="G861" i="3"/>
  <c r="H861" i="3"/>
  <c r="I861" i="3"/>
  <c r="J861" i="3"/>
  <c r="B862" i="3"/>
  <c r="C862" i="3"/>
  <c r="D862" i="3"/>
  <c r="F862" i="3"/>
  <c r="G862" i="3"/>
  <c r="H862" i="3"/>
  <c r="I862" i="3"/>
  <c r="J862" i="3"/>
  <c r="B863" i="3"/>
  <c r="C863" i="3"/>
  <c r="D863" i="3"/>
  <c r="F863" i="3"/>
  <c r="G863" i="3"/>
  <c r="H863" i="3"/>
  <c r="I863" i="3"/>
  <c r="J863" i="3"/>
  <c r="B864" i="3"/>
  <c r="C864" i="3"/>
  <c r="D864" i="3"/>
  <c r="F864" i="3"/>
  <c r="G864" i="3"/>
  <c r="H864" i="3"/>
  <c r="I864" i="3"/>
  <c r="J864" i="3"/>
  <c r="B865" i="3"/>
  <c r="C865" i="3"/>
  <c r="D865" i="3"/>
  <c r="F865" i="3"/>
  <c r="G865" i="3"/>
  <c r="H865" i="3"/>
  <c r="I865" i="3"/>
  <c r="J865" i="3"/>
  <c r="B866" i="3"/>
  <c r="C866" i="3"/>
  <c r="D866" i="3"/>
  <c r="F866" i="3"/>
  <c r="G866" i="3"/>
  <c r="H866" i="3"/>
  <c r="I866" i="3"/>
  <c r="J866" i="3"/>
  <c r="B867" i="3"/>
  <c r="C867" i="3"/>
  <c r="D867" i="3"/>
  <c r="F867" i="3"/>
  <c r="G867" i="3"/>
  <c r="H867" i="3"/>
  <c r="I867" i="3"/>
  <c r="J867" i="3"/>
  <c r="B868" i="3"/>
  <c r="C868" i="3"/>
  <c r="D868" i="3"/>
  <c r="F868" i="3"/>
  <c r="G868" i="3"/>
  <c r="H868" i="3"/>
  <c r="I868" i="3"/>
  <c r="J868" i="3"/>
  <c r="B869" i="3"/>
  <c r="C869" i="3"/>
  <c r="D869" i="3"/>
  <c r="F869" i="3"/>
  <c r="G869" i="3"/>
  <c r="H869" i="3"/>
  <c r="I869" i="3"/>
  <c r="J869" i="3"/>
  <c r="B870" i="3"/>
  <c r="C870" i="3"/>
  <c r="D870" i="3"/>
  <c r="F870" i="3"/>
  <c r="G870" i="3"/>
  <c r="H870" i="3"/>
  <c r="I870" i="3"/>
  <c r="J870" i="3"/>
  <c r="B871" i="3"/>
  <c r="C871" i="3"/>
  <c r="D871" i="3"/>
  <c r="F871" i="3"/>
  <c r="G871" i="3"/>
  <c r="H871" i="3"/>
  <c r="I871" i="3"/>
  <c r="J871" i="3"/>
  <c r="B872" i="3"/>
  <c r="C872" i="3"/>
  <c r="D872" i="3"/>
  <c r="F872" i="3"/>
  <c r="G872" i="3"/>
  <c r="H872" i="3"/>
  <c r="I872" i="3"/>
  <c r="J872" i="3"/>
  <c r="B873" i="3"/>
  <c r="C873" i="3"/>
  <c r="D873" i="3"/>
  <c r="F873" i="3"/>
  <c r="G873" i="3"/>
  <c r="H873" i="3"/>
  <c r="I873" i="3"/>
  <c r="J873" i="3"/>
  <c r="B874" i="3"/>
  <c r="C874" i="3"/>
  <c r="D874" i="3"/>
  <c r="F874" i="3"/>
  <c r="G874" i="3"/>
  <c r="H874" i="3"/>
  <c r="I874" i="3"/>
  <c r="J874" i="3"/>
  <c r="B875" i="3"/>
  <c r="C875" i="3"/>
  <c r="D875" i="3"/>
  <c r="F875" i="3"/>
  <c r="G875" i="3"/>
  <c r="H875" i="3"/>
  <c r="I875" i="3"/>
  <c r="J875" i="3"/>
  <c r="B876" i="3"/>
  <c r="C876" i="3"/>
  <c r="D876" i="3"/>
  <c r="F876" i="3"/>
  <c r="G876" i="3"/>
  <c r="H876" i="3"/>
  <c r="I876" i="3"/>
  <c r="J876" i="3"/>
  <c r="B877" i="3"/>
  <c r="C877" i="3"/>
  <c r="D877" i="3"/>
  <c r="F877" i="3"/>
  <c r="G877" i="3"/>
  <c r="H877" i="3"/>
  <c r="I877" i="3"/>
  <c r="J877" i="3"/>
  <c r="B878" i="3"/>
  <c r="C878" i="3"/>
  <c r="D878" i="3"/>
  <c r="F878" i="3"/>
  <c r="G878" i="3"/>
  <c r="H878" i="3"/>
  <c r="I878" i="3"/>
  <c r="J878" i="3"/>
  <c r="B879" i="3"/>
  <c r="C879" i="3"/>
  <c r="D879" i="3"/>
  <c r="F879" i="3"/>
  <c r="G879" i="3"/>
  <c r="H879" i="3"/>
  <c r="I879" i="3"/>
  <c r="J879" i="3"/>
  <c r="B880" i="3"/>
  <c r="C880" i="3"/>
  <c r="D880" i="3"/>
  <c r="F880" i="3"/>
  <c r="G880" i="3"/>
  <c r="H880" i="3"/>
  <c r="I880" i="3"/>
  <c r="J880" i="3"/>
  <c r="B881" i="3"/>
  <c r="C881" i="3"/>
  <c r="D881" i="3"/>
  <c r="F881" i="3"/>
  <c r="G881" i="3"/>
  <c r="H881" i="3"/>
  <c r="I881" i="3"/>
  <c r="J881" i="3"/>
  <c r="B882" i="3"/>
  <c r="C882" i="3"/>
  <c r="D882" i="3"/>
  <c r="F882" i="3"/>
  <c r="G882" i="3"/>
  <c r="H882" i="3"/>
  <c r="I882" i="3"/>
  <c r="J882" i="3"/>
  <c r="B883" i="3"/>
  <c r="C883" i="3"/>
  <c r="D883" i="3"/>
  <c r="F883" i="3"/>
  <c r="G883" i="3"/>
  <c r="H883" i="3"/>
  <c r="I883" i="3"/>
  <c r="J883" i="3"/>
  <c r="B884" i="3"/>
  <c r="C884" i="3"/>
  <c r="D884" i="3"/>
  <c r="F884" i="3"/>
  <c r="G884" i="3"/>
  <c r="H884" i="3"/>
  <c r="I884" i="3"/>
  <c r="J884" i="3"/>
  <c r="B885" i="3"/>
  <c r="C885" i="3"/>
  <c r="D885" i="3"/>
  <c r="F885" i="3"/>
  <c r="G885" i="3"/>
  <c r="H885" i="3"/>
  <c r="I885" i="3"/>
  <c r="J885" i="3"/>
  <c r="B886" i="3"/>
  <c r="C886" i="3"/>
  <c r="D886" i="3"/>
  <c r="F886" i="3"/>
  <c r="G886" i="3"/>
  <c r="H886" i="3"/>
  <c r="I886" i="3"/>
  <c r="J886" i="3"/>
  <c r="B887" i="3"/>
  <c r="C887" i="3"/>
  <c r="D887" i="3"/>
  <c r="F887" i="3"/>
  <c r="G887" i="3"/>
  <c r="H887" i="3"/>
  <c r="I887" i="3"/>
  <c r="J887" i="3"/>
  <c r="B888" i="3"/>
  <c r="C888" i="3"/>
  <c r="D888" i="3"/>
  <c r="F888" i="3"/>
  <c r="G888" i="3"/>
  <c r="H888" i="3"/>
  <c r="I888" i="3"/>
  <c r="J888" i="3"/>
  <c r="B889" i="3"/>
  <c r="C889" i="3"/>
  <c r="D889" i="3"/>
  <c r="F889" i="3"/>
  <c r="G889" i="3"/>
  <c r="H889" i="3"/>
  <c r="I889" i="3"/>
  <c r="J889" i="3"/>
  <c r="B890" i="3"/>
  <c r="C890" i="3"/>
  <c r="D890" i="3"/>
  <c r="F890" i="3"/>
  <c r="G890" i="3"/>
  <c r="H890" i="3"/>
  <c r="I890" i="3"/>
  <c r="J890" i="3"/>
  <c r="B891" i="3"/>
  <c r="C891" i="3"/>
  <c r="D891" i="3"/>
  <c r="F891" i="3"/>
  <c r="G891" i="3"/>
  <c r="H891" i="3"/>
  <c r="I891" i="3"/>
  <c r="J891" i="3"/>
  <c r="B10" i="3"/>
  <c r="C10" i="3"/>
  <c r="D10" i="3"/>
  <c r="F10" i="3"/>
  <c r="G10" i="3"/>
  <c r="H10" i="3"/>
  <c r="I10" i="3"/>
  <c r="J10" i="3"/>
  <c r="B11" i="3"/>
  <c r="C11" i="3"/>
  <c r="D11" i="3"/>
  <c r="F11" i="3"/>
  <c r="G11" i="3"/>
  <c r="H11" i="3"/>
  <c r="I11" i="3"/>
  <c r="J11" i="3"/>
  <c r="B12" i="3"/>
  <c r="C12" i="3"/>
  <c r="D12" i="3"/>
  <c r="F12" i="3"/>
  <c r="G12" i="3"/>
  <c r="H12" i="3"/>
  <c r="I12" i="3"/>
  <c r="J12" i="3"/>
  <c r="B13" i="3"/>
  <c r="C13" i="3"/>
  <c r="D13" i="3"/>
  <c r="F13" i="3"/>
  <c r="G13" i="3"/>
  <c r="H13" i="3"/>
  <c r="I13" i="3"/>
  <c r="J13" i="3"/>
  <c r="B14" i="3"/>
  <c r="C14" i="3"/>
  <c r="D14" i="3"/>
  <c r="F14" i="3"/>
  <c r="G14" i="3"/>
  <c r="H14" i="3"/>
  <c r="I14" i="3"/>
  <c r="J14" i="3"/>
  <c r="B15" i="3"/>
  <c r="C15" i="3"/>
  <c r="D15" i="3"/>
  <c r="F15" i="3"/>
  <c r="G15" i="3"/>
  <c r="H15" i="3"/>
  <c r="I15" i="3"/>
  <c r="J15" i="3"/>
  <c r="B16" i="3"/>
  <c r="C16" i="3"/>
  <c r="D16" i="3"/>
  <c r="F16" i="3"/>
  <c r="G16" i="3"/>
  <c r="H16" i="3"/>
  <c r="I16" i="3"/>
  <c r="J16" i="3"/>
  <c r="B17" i="3"/>
  <c r="C17" i="3"/>
  <c r="D17" i="3"/>
  <c r="F17" i="3"/>
  <c r="G17" i="3"/>
  <c r="H17" i="3"/>
  <c r="I17" i="3"/>
  <c r="J17" i="3"/>
  <c r="B18" i="3"/>
  <c r="C18" i="3"/>
  <c r="D18" i="3"/>
  <c r="F18" i="3"/>
  <c r="G18" i="3"/>
  <c r="H18" i="3"/>
  <c r="I18" i="3"/>
  <c r="J18" i="3"/>
  <c r="B19" i="3"/>
  <c r="C19" i="3"/>
  <c r="D19" i="3"/>
  <c r="F19" i="3"/>
  <c r="G19" i="3"/>
  <c r="H19" i="3"/>
  <c r="I19" i="3"/>
  <c r="J19" i="3"/>
  <c r="B20" i="3"/>
  <c r="C20" i="3"/>
  <c r="D20" i="3"/>
  <c r="F20" i="3"/>
  <c r="G20" i="3"/>
  <c r="H20" i="3"/>
  <c r="I20" i="3"/>
  <c r="J20" i="3"/>
  <c r="B21" i="3"/>
  <c r="C21" i="3"/>
  <c r="D21" i="3"/>
  <c r="F21" i="3"/>
  <c r="G21" i="3"/>
  <c r="H21" i="3"/>
  <c r="I21" i="3"/>
  <c r="J21" i="3"/>
  <c r="B22" i="3"/>
  <c r="C22" i="3"/>
  <c r="D22" i="3"/>
  <c r="F22" i="3"/>
  <c r="G22" i="3"/>
  <c r="H22" i="3"/>
  <c r="I22" i="3"/>
  <c r="J22" i="3"/>
  <c r="B23" i="3"/>
  <c r="C23" i="3"/>
  <c r="D23" i="3"/>
  <c r="F23" i="3"/>
  <c r="G23" i="3"/>
  <c r="H23" i="3"/>
  <c r="I23" i="3"/>
  <c r="J23" i="3"/>
  <c r="B24" i="3"/>
  <c r="C24" i="3"/>
  <c r="D24" i="3"/>
  <c r="F24" i="3"/>
  <c r="G24" i="3"/>
  <c r="H24" i="3"/>
  <c r="I24" i="3"/>
  <c r="J24" i="3"/>
  <c r="B25" i="3"/>
  <c r="C25" i="3"/>
  <c r="D25" i="3"/>
  <c r="F25" i="3"/>
  <c r="G25" i="3"/>
  <c r="H25" i="3"/>
  <c r="I25" i="3"/>
  <c r="J25" i="3"/>
  <c r="B26" i="3"/>
  <c r="C26" i="3"/>
  <c r="D26" i="3"/>
  <c r="F26" i="3"/>
  <c r="G26" i="3"/>
  <c r="H26" i="3"/>
  <c r="I26" i="3"/>
  <c r="J26" i="3"/>
  <c r="B27" i="3"/>
  <c r="C27" i="3"/>
  <c r="D27" i="3"/>
  <c r="F27" i="3"/>
  <c r="G27" i="3"/>
  <c r="H27" i="3"/>
  <c r="I27" i="3"/>
  <c r="J27" i="3"/>
  <c r="B28" i="3"/>
  <c r="C28" i="3"/>
  <c r="D28" i="3"/>
  <c r="F28" i="3"/>
  <c r="G28" i="3"/>
  <c r="H28" i="3"/>
  <c r="I28" i="3"/>
  <c r="J28" i="3"/>
  <c r="B29" i="3"/>
  <c r="C29" i="3"/>
  <c r="D29" i="3"/>
  <c r="F29" i="3"/>
  <c r="G29" i="3"/>
  <c r="H29" i="3"/>
  <c r="I29" i="3"/>
  <c r="J29" i="3"/>
  <c r="B30" i="3"/>
  <c r="C30" i="3"/>
  <c r="D30" i="3"/>
  <c r="F30" i="3"/>
  <c r="G30" i="3"/>
  <c r="H30" i="3"/>
  <c r="I30" i="3"/>
  <c r="J30" i="3"/>
  <c r="B31" i="3"/>
  <c r="C31" i="3"/>
  <c r="D31" i="3"/>
  <c r="F31" i="3"/>
  <c r="G31" i="3"/>
  <c r="H31" i="3"/>
  <c r="I31" i="3"/>
  <c r="J31" i="3"/>
  <c r="B32" i="3"/>
  <c r="C32" i="3"/>
  <c r="D32" i="3"/>
  <c r="F32" i="3"/>
  <c r="G32" i="3"/>
  <c r="H32" i="3"/>
  <c r="I32" i="3"/>
  <c r="J32" i="3"/>
  <c r="B33" i="3"/>
  <c r="C33" i="3"/>
  <c r="D33" i="3"/>
  <c r="F33" i="3"/>
  <c r="G33" i="3"/>
  <c r="H33" i="3"/>
  <c r="I33" i="3"/>
  <c r="J33" i="3"/>
  <c r="B34" i="3"/>
  <c r="C34" i="3"/>
  <c r="D34" i="3"/>
  <c r="F34" i="3"/>
  <c r="G34" i="3"/>
  <c r="H34" i="3"/>
  <c r="I34" i="3"/>
  <c r="J34" i="3"/>
  <c r="B35" i="3"/>
  <c r="C35" i="3"/>
  <c r="D35" i="3"/>
  <c r="F35" i="3"/>
  <c r="G35" i="3"/>
  <c r="H35" i="3"/>
  <c r="I35" i="3"/>
  <c r="J35" i="3"/>
  <c r="B36" i="3"/>
  <c r="C36" i="3"/>
  <c r="D36" i="3"/>
  <c r="F36" i="3"/>
  <c r="G36" i="3"/>
  <c r="H36" i="3"/>
  <c r="I36" i="3"/>
  <c r="J36" i="3"/>
  <c r="B37" i="3"/>
  <c r="C37" i="3"/>
  <c r="D37" i="3"/>
  <c r="F37" i="3"/>
  <c r="G37" i="3"/>
  <c r="H37" i="3"/>
  <c r="I37" i="3"/>
  <c r="J37" i="3"/>
  <c r="B38" i="3"/>
  <c r="C38" i="3"/>
  <c r="D38" i="3"/>
  <c r="F38" i="3"/>
  <c r="G38" i="3"/>
  <c r="H38" i="3"/>
  <c r="I38" i="3"/>
  <c r="J38" i="3"/>
  <c r="B39" i="3"/>
  <c r="C39" i="3"/>
  <c r="D39" i="3"/>
  <c r="F39" i="3"/>
  <c r="G39" i="3"/>
  <c r="H39" i="3"/>
  <c r="I39" i="3"/>
  <c r="J39" i="3"/>
  <c r="B40" i="3"/>
  <c r="C40" i="3"/>
  <c r="D40" i="3"/>
  <c r="F40" i="3"/>
  <c r="G40" i="3"/>
  <c r="H40" i="3"/>
  <c r="I40" i="3"/>
  <c r="J40" i="3"/>
  <c r="B41" i="3"/>
  <c r="C41" i="3"/>
  <c r="D41" i="3"/>
  <c r="F41" i="3"/>
  <c r="G41" i="3"/>
  <c r="H41" i="3"/>
  <c r="I41" i="3"/>
  <c r="J41" i="3"/>
  <c r="B42" i="3"/>
  <c r="C42" i="3"/>
  <c r="D42" i="3"/>
  <c r="F42" i="3"/>
  <c r="G42" i="3"/>
  <c r="H42" i="3"/>
  <c r="I42" i="3"/>
  <c r="J42" i="3"/>
  <c r="B43" i="3"/>
  <c r="C43" i="3"/>
  <c r="D43" i="3"/>
  <c r="F43" i="3"/>
  <c r="G43" i="3"/>
  <c r="H43" i="3"/>
  <c r="I43" i="3"/>
  <c r="J43" i="3"/>
  <c r="B44" i="3"/>
  <c r="C44" i="3"/>
  <c r="D44" i="3"/>
  <c r="F44" i="3"/>
  <c r="G44" i="3"/>
  <c r="H44" i="3"/>
  <c r="I44" i="3"/>
  <c r="J44" i="3"/>
  <c r="B45" i="3"/>
  <c r="C45" i="3"/>
  <c r="D45" i="3"/>
  <c r="F45" i="3"/>
  <c r="G45" i="3"/>
  <c r="H45" i="3"/>
  <c r="I45" i="3"/>
  <c r="J45" i="3"/>
  <c r="B46" i="3"/>
  <c r="C46" i="3"/>
  <c r="D46" i="3"/>
  <c r="F46" i="3"/>
  <c r="G46" i="3"/>
  <c r="H46" i="3"/>
  <c r="I46" i="3"/>
  <c r="J46" i="3"/>
  <c r="B47" i="3"/>
  <c r="C47" i="3"/>
  <c r="D47" i="3"/>
  <c r="F47" i="3"/>
  <c r="G47" i="3"/>
  <c r="H47" i="3"/>
  <c r="I47" i="3"/>
  <c r="J47" i="3"/>
  <c r="B48" i="3"/>
  <c r="C48" i="3"/>
  <c r="D48" i="3"/>
  <c r="F48" i="3"/>
  <c r="G48" i="3"/>
  <c r="H48" i="3"/>
  <c r="I48" i="3"/>
  <c r="J48" i="3"/>
  <c r="B49" i="3"/>
  <c r="C49" i="3"/>
  <c r="D49" i="3"/>
  <c r="F49" i="3"/>
  <c r="G49" i="3"/>
  <c r="H49" i="3"/>
  <c r="I49" i="3"/>
  <c r="J49" i="3"/>
  <c r="B50" i="3"/>
  <c r="C50" i="3"/>
  <c r="D50" i="3"/>
  <c r="F50" i="3"/>
  <c r="G50" i="3"/>
  <c r="H50" i="3"/>
  <c r="I50" i="3"/>
  <c r="J50" i="3"/>
  <c r="B51" i="3"/>
  <c r="C51" i="3"/>
  <c r="D51" i="3"/>
  <c r="F51" i="3"/>
  <c r="G51" i="3"/>
  <c r="H51" i="3"/>
  <c r="I51" i="3"/>
  <c r="J51" i="3"/>
  <c r="B52" i="3"/>
  <c r="C52" i="3"/>
  <c r="D52" i="3"/>
  <c r="F52" i="3"/>
  <c r="G52" i="3"/>
  <c r="H52" i="3"/>
  <c r="I52" i="3"/>
  <c r="J52" i="3"/>
  <c r="B53" i="3"/>
  <c r="C53" i="3"/>
  <c r="D53" i="3"/>
  <c r="F53" i="3"/>
  <c r="G53" i="3"/>
  <c r="H53" i="3"/>
  <c r="I53" i="3"/>
  <c r="J53" i="3"/>
  <c r="B54" i="3"/>
  <c r="C54" i="3"/>
  <c r="D54" i="3"/>
  <c r="F54" i="3"/>
  <c r="G54" i="3"/>
  <c r="H54" i="3"/>
  <c r="I54" i="3"/>
  <c r="J54" i="3"/>
  <c r="B55" i="3"/>
  <c r="C55" i="3"/>
  <c r="D55" i="3"/>
  <c r="F55" i="3"/>
  <c r="G55" i="3"/>
  <c r="H55" i="3"/>
  <c r="I55" i="3"/>
  <c r="J55" i="3"/>
  <c r="B56" i="3"/>
  <c r="C56" i="3"/>
  <c r="D56" i="3"/>
  <c r="F56" i="3"/>
  <c r="G56" i="3"/>
  <c r="H56" i="3"/>
  <c r="I56" i="3"/>
  <c r="J56" i="3"/>
  <c r="B57" i="3"/>
  <c r="C57" i="3"/>
  <c r="D57" i="3"/>
  <c r="F57" i="3"/>
  <c r="G57" i="3"/>
  <c r="H57" i="3"/>
  <c r="I57" i="3"/>
  <c r="J57" i="3"/>
  <c r="B58" i="3"/>
  <c r="C58" i="3"/>
  <c r="D58" i="3"/>
  <c r="F58" i="3"/>
  <c r="G58" i="3"/>
  <c r="H58" i="3"/>
  <c r="I58" i="3"/>
  <c r="J58" i="3"/>
  <c r="B59" i="3"/>
  <c r="C59" i="3"/>
  <c r="D59" i="3"/>
  <c r="F59" i="3"/>
  <c r="G59" i="3"/>
  <c r="H59" i="3"/>
  <c r="I59" i="3"/>
  <c r="J59" i="3"/>
  <c r="B60" i="3"/>
  <c r="C60" i="3"/>
  <c r="D60" i="3"/>
  <c r="F60" i="3"/>
  <c r="G60" i="3"/>
  <c r="H60" i="3"/>
  <c r="I60" i="3"/>
  <c r="J60" i="3"/>
  <c r="B61" i="3"/>
  <c r="C61" i="3"/>
  <c r="D61" i="3"/>
  <c r="F61" i="3"/>
  <c r="G61" i="3"/>
  <c r="H61" i="3"/>
  <c r="I61" i="3"/>
  <c r="J61" i="3"/>
  <c r="B62" i="3"/>
  <c r="C62" i="3"/>
  <c r="D62" i="3"/>
  <c r="F62" i="3"/>
  <c r="G62" i="3"/>
  <c r="H62" i="3"/>
  <c r="I62" i="3"/>
  <c r="J62" i="3"/>
  <c r="B63" i="3"/>
  <c r="C63" i="3"/>
  <c r="D63" i="3"/>
  <c r="F63" i="3"/>
  <c r="G63" i="3"/>
  <c r="H63" i="3"/>
  <c r="I63" i="3"/>
  <c r="J63" i="3"/>
  <c r="B64" i="3"/>
  <c r="C64" i="3"/>
  <c r="D64" i="3"/>
  <c r="F64" i="3"/>
  <c r="G64" i="3"/>
  <c r="H64" i="3"/>
  <c r="I64" i="3"/>
  <c r="J64" i="3"/>
  <c r="B65" i="3"/>
  <c r="C65" i="3"/>
  <c r="D65" i="3"/>
  <c r="F65" i="3"/>
  <c r="G65" i="3"/>
  <c r="H65" i="3"/>
  <c r="I65" i="3"/>
  <c r="J65" i="3"/>
  <c r="B66" i="3"/>
  <c r="C66" i="3"/>
  <c r="D66" i="3"/>
  <c r="F66" i="3"/>
  <c r="G66" i="3"/>
  <c r="H66" i="3"/>
  <c r="I66" i="3"/>
  <c r="J66" i="3"/>
  <c r="B67" i="3"/>
  <c r="C67" i="3"/>
  <c r="D67" i="3"/>
  <c r="F67" i="3"/>
  <c r="G67" i="3"/>
  <c r="H67" i="3"/>
  <c r="I67" i="3"/>
  <c r="J67" i="3"/>
  <c r="B68" i="3"/>
  <c r="C68" i="3"/>
  <c r="D68" i="3"/>
  <c r="F68" i="3"/>
  <c r="G68" i="3"/>
  <c r="H68" i="3"/>
  <c r="I68" i="3"/>
  <c r="J68" i="3"/>
  <c r="B69" i="3"/>
  <c r="C69" i="3"/>
  <c r="D69" i="3"/>
  <c r="F69" i="3"/>
  <c r="G69" i="3"/>
  <c r="H69" i="3"/>
  <c r="I69" i="3"/>
  <c r="J69" i="3"/>
  <c r="B70" i="3"/>
  <c r="C70" i="3"/>
  <c r="D70" i="3"/>
  <c r="F70" i="3"/>
  <c r="G70" i="3"/>
  <c r="H70" i="3"/>
  <c r="I70" i="3"/>
  <c r="J70" i="3"/>
  <c r="B71" i="3"/>
  <c r="C71" i="3"/>
  <c r="D71" i="3"/>
  <c r="F71" i="3"/>
  <c r="G71" i="3"/>
  <c r="H71" i="3"/>
  <c r="I71" i="3"/>
  <c r="J71" i="3"/>
  <c r="B72" i="3"/>
  <c r="C72" i="3"/>
  <c r="D72" i="3"/>
  <c r="F72" i="3"/>
  <c r="G72" i="3"/>
  <c r="H72" i="3"/>
  <c r="I72" i="3"/>
  <c r="J72" i="3"/>
  <c r="B73" i="3"/>
  <c r="C73" i="3"/>
  <c r="D73" i="3"/>
  <c r="F73" i="3"/>
  <c r="G73" i="3"/>
  <c r="H73" i="3"/>
  <c r="I73" i="3"/>
  <c r="J73" i="3"/>
  <c r="B74" i="3"/>
  <c r="C74" i="3"/>
  <c r="D74" i="3"/>
  <c r="F74" i="3"/>
  <c r="G74" i="3"/>
  <c r="H74" i="3"/>
  <c r="I74" i="3"/>
  <c r="J74" i="3"/>
  <c r="B75" i="3"/>
  <c r="C75" i="3"/>
  <c r="D75" i="3"/>
  <c r="F75" i="3"/>
  <c r="G75" i="3"/>
  <c r="H75" i="3"/>
  <c r="I75" i="3"/>
  <c r="J75" i="3"/>
  <c r="B76" i="3"/>
  <c r="C76" i="3"/>
  <c r="D76" i="3"/>
  <c r="F76" i="3"/>
  <c r="G76" i="3"/>
  <c r="H76" i="3"/>
  <c r="I76" i="3"/>
  <c r="J76" i="3"/>
  <c r="B77" i="3"/>
  <c r="C77" i="3"/>
  <c r="D77" i="3"/>
  <c r="F77" i="3"/>
  <c r="G77" i="3"/>
  <c r="H77" i="3"/>
  <c r="I77" i="3"/>
  <c r="J77" i="3"/>
  <c r="B78" i="3"/>
  <c r="C78" i="3"/>
  <c r="D78" i="3"/>
  <c r="F78" i="3"/>
  <c r="G78" i="3"/>
  <c r="H78" i="3"/>
  <c r="I78" i="3"/>
  <c r="J78" i="3"/>
  <c r="B79" i="3"/>
  <c r="C79" i="3"/>
  <c r="D79" i="3"/>
  <c r="F79" i="3"/>
  <c r="G79" i="3"/>
  <c r="H79" i="3"/>
  <c r="I79" i="3"/>
  <c r="J79" i="3"/>
  <c r="B8" i="3"/>
  <c r="C8" i="3"/>
  <c r="D8" i="3"/>
  <c r="F8" i="3"/>
  <c r="G8" i="3"/>
  <c r="H8" i="3"/>
  <c r="I8" i="3"/>
  <c r="J8" i="3"/>
  <c r="B9" i="3"/>
  <c r="C9" i="3"/>
  <c r="D9" i="3"/>
  <c r="F9" i="3"/>
  <c r="G9" i="3"/>
  <c r="H9" i="3"/>
  <c r="I9" i="3"/>
  <c r="J9" i="3"/>
  <c r="C7" i="3"/>
  <c r="D7" i="3"/>
  <c r="F7" i="3"/>
  <c r="G7" i="3"/>
  <c r="H7" i="3"/>
  <c r="I7" i="3"/>
  <c r="J7" i="3"/>
  <c r="B7" i="3"/>
  <c r="I6" i="3"/>
  <c r="J6" i="3"/>
  <c r="C6" i="3"/>
  <c r="D6" i="3"/>
  <c r="E6" i="3"/>
  <c r="F6" i="3"/>
  <c r="G6" i="3"/>
  <c r="H6" i="3"/>
  <c r="B6" i="3"/>
  <c r="D7" i="9" l="1" a="1"/>
  <c r="D7" i="9" s="1"/>
  <c r="N7" i="3" s="1"/>
  <c r="P7" i="3" s="1"/>
  <c r="K62" i="3"/>
  <c r="K38" i="3"/>
  <c r="K14" i="3"/>
  <c r="K890" i="3"/>
  <c r="K887" i="3"/>
  <c r="K884" i="3"/>
  <c r="K881" i="3"/>
  <c r="K878" i="3"/>
  <c r="K875" i="3"/>
  <c r="K872" i="3"/>
  <c r="K869" i="3"/>
  <c r="K866" i="3"/>
  <c r="K863" i="3"/>
  <c r="K860" i="3"/>
  <c r="K857" i="3"/>
  <c r="K854" i="3"/>
  <c r="K851" i="3"/>
  <c r="K848" i="3"/>
  <c r="K845" i="3"/>
  <c r="K842" i="3"/>
  <c r="K839" i="3"/>
  <c r="K836" i="3"/>
  <c r="K833" i="3"/>
  <c r="K830" i="3"/>
  <c r="K827" i="3"/>
  <c r="K824" i="3"/>
  <c r="K821" i="3"/>
  <c r="K818" i="3"/>
  <c r="K815" i="3"/>
  <c r="K812" i="3"/>
  <c r="K809" i="3"/>
  <c r="K806" i="3"/>
  <c r="K803" i="3"/>
  <c r="K800" i="3"/>
  <c r="K797" i="3"/>
  <c r="K794" i="3"/>
  <c r="K791" i="3"/>
  <c r="K788" i="3"/>
  <c r="K785" i="3"/>
  <c r="K782" i="3"/>
  <c r="K779" i="3"/>
  <c r="K776" i="3"/>
  <c r="K773" i="3"/>
  <c r="K770" i="3"/>
  <c r="K767" i="3"/>
  <c r="K764" i="3"/>
  <c r="K761" i="3"/>
  <c r="K758" i="3"/>
  <c r="K755" i="3"/>
  <c r="K752" i="3"/>
  <c r="K749" i="3"/>
  <c r="K746" i="3"/>
  <c r="K743" i="3"/>
  <c r="K740" i="3"/>
  <c r="K737" i="3"/>
  <c r="K734" i="3"/>
  <c r="K731" i="3"/>
  <c r="K728" i="3"/>
  <c r="K725" i="3"/>
  <c r="K722" i="3"/>
  <c r="K719" i="3"/>
  <c r="K716" i="3"/>
  <c r="K713" i="3"/>
  <c r="K710" i="3"/>
  <c r="K707" i="3"/>
  <c r="K704" i="3"/>
  <c r="K680" i="3"/>
  <c r="K656" i="3"/>
  <c r="K632" i="3"/>
  <c r="K608" i="3"/>
  <c r="K584" i="3"/>
  <c r="K560" i="3"/>
  <c r="K536" i="3"/>
  <c r="K512" i="3"/>
  <c r="K488" i="3"/>
  <c r="K464" i="3"/>
  <c r="K404" i="3"/>
  <c r="K356" i="3"/>
  <c r="K350" i="3"/>
  <c r="K308" i="3"/>
  <c r="K302" i="3"/>
  <c r="K260" i="3"/>
  <c r="K212" i="3"/>
  <c r="K206" i="3"/>
  <c r="K78" i="3"/>
  <c r="K888" i="3"/>
  <c r="K882" i="3"/>
  <c r="K876" i="3"/>
  <c r="K870" i="3"/>
  <c r="K861" i="3"/>
  <c r="K852" i="3"/>
  <c r="K837" i="3"/>
  <c r="K831" i="3"/>
  <c r="K813" i="3"/>
  <c r="K807" i="3"/>
  <c r="K801" i="3"/>
  <c r="K795" i="3"/>
  <c r="K777" i="3"/>
  <c r="K771" i="3"/>
  <c r="K765" i="3"/>
  <c r="K762" i="3"/>
  <c r="K750" i="3"/>
  <c r="K744" i="3"/>
  <c r="K729" i="3"/>
  <c r="K708" i="3"/>
  <c r="K624" i="3"/>
  <c r="K600" i="3"/>
  <c r="K855" i="3"/>
  <c r="K843" i="3"/>
  <c r="K819" i="3"/>
  <c r="K810" i="3"/>
  <c r="K786" i="3"/>
  <c r="K738" i="3"/>
  <c r="K30" i="3"/>
  <c r="K867" i="3"/>
  <c r="K804" i="3"/>
  <c r="K783" i="3"/>
  <c r="K723" i="3"/>
  <c r="K714" i="3"/>
  <c r="K696" i="3"/>
  <c r="K648" i="3"/>
  <c r="K891" i="3"/>
  <c r="K846" i="3"/>
  <c r="K825" i="3"/>
  <c r="K792" i="3"/>
  <c r="K756" i="3"/>
  <c r="K735" i="3"/>
  <c r="K726" i="3"/>
  <c r="K711" i="3"/>
  <c r="K552" i="3"/>
  <c r="K54" i="3"/>
  <c r="K885" i="3"/>
  <c r="K879" i="3"/>
  <c r="K873" i="3"/>
  <c r="K864" i="3"/>
  <c r="K858" i="3"/>
  <c r="K849" i="3"/>
  <c r="K840" i="3"/>
  <c r="K834" i="3"/>
  <c r="K828" i="3"/>
  <c r="K822" i="3"/>
  <c r="K816" i="3"/>
  <c r="K798" i="3"/>
  <c r="K789" i="3"/>
  <c r="K780" i="3"/>
  <c r="K774" i="3"/>
  <c r="K768" i="3"/>
  <c r="K759" i="3"/>
  <c r="K753" i="3"/>
  <c r="K747" i="3"/>
  <c r="K741" i="3"/>
  <c r="K732" i="3"/>
  <c r="K720" i="3"/>
  <c r="K717" i="3"/>
  <c r="K705" i="3"/>
  <c r="K672" i="3"/>
  <c r="K576" i="3"/>
  <c r="K324" i="3"/>
  <c r="K318" i="3"/>
  <c r="K276" i="3"/>
  <c r="K270" i="3"/>
  <c r="K228" i="3"/>
  <c r="K222" i="3"/>
  <c r="K22" i="3"/>
  <c r="K889" i="3"/>
  <c r="K868" i="3"/>
  <c r="K859" i="3"/>
  <c r="K850" i="3"/>
  <c r="K829" i="3"/>
  <c r="K820" i="3"/>
  <c r="K808" i="3"/>
  <c r="K799" i="3"/>
  <c r="K790" i="3"/>
  <c r="K775" i="3"/>
  <c r="K766" i="3"/>
  <c r="K757" i="3"/>
  <c r="K751" i="3"/>
  <c r="K736" i="3"/>
  <c r="K727" i="3"/>
  <c r="K718" i="3"/>
  <c r="K664" i="3"/>
  <c r="K616" i="3"/>
  <c r="K568" i="3"/>
  <c r="K544" i="3"/>
  <c r="K520" i="3"/>
  <c r="K496" i="3"/>
  <c r="K478" i="3"/>
  <c r="K466" i="3"/>
  <c r="K454" i="3"/>
  <c r="K448" i="3"/>
  <c r="K430" i="3"/>
  <c r="K388" i="3"/>
  <c r="K382" i="3"/>
  <c r="K340" i="3"/>
  <c r="K334" i="3"/>
  <c r="K244" i="3"/>
  <c r="K238" i="3"/>
  <c r="K196" i="3"/>
  <c r="K190" i="3"/>
  <c r="K46" i="3"/>
  <c r="K886" i="3"/>
  <c r="K877" i="3"/>
  <c r="K871" i="3"/>
  <c r="K865" i="3"/>
  <c r="K862" i="3"/>
  <c r="K856" i="3"/>
  <c r="K844" i="3"/>
  <c r="K841" i="3"/>
  <c r="K835" i="3"/>
  <c r="K826" i="3"/>
  <c r="K814" i="3"/>
  <c r="K805" i="3"/>
  <c r="K793" i="3"/>
  <c r="K784" i="3"/>
  <c r="K778" i="3"/>
  <c r="K769" i="3"/>
  <c r="K763" i="3"/>
  <c r="K760" i="3"/>
  <c r="K745" i="3"/>
  <c r="K742" i="3"/>
  <c r="K730" i="3"/>
  <c r="K712" i="3"/>
  <c r="K706" i="3"/>
  <c r="K688" i="3"/>
  <c r="K592" i="3"/>
  <c r="K70" i="3"/>
  <c r="K883" i="3"/>
  <c r="K880" i="3"/>
  <c r="K874" i="3"/>
  <c r="K853" i="3"/>
  <c r="K847" i="3"/>
  <c r="K838" i="3"/>
  <c r="K832" i="3"/>
  <c r="K823" i="3"/>
  <c r="K817" i="3"/>
  <c r="K811" i="3"/>
  <c r="K802" i="3"/>
  <c r="K796" i="3"/>
  <c r="K787" i="3"/>
  <c r="K781" i="3"/>
  <c r="K772" i="3"/>
  <c r="K754" i="3"/>
  <c r="K748" i="3"/>
  <c r="K739" i="3"/>
  <c r="K733" i="3"/>
  <c r="K724" i="3"/>
  <c r="K721" i="3"/>
  <c r="K715" i="3"/>
  <c r="K709" i="3"/>
  <c r="K703" i="3"/>
  <c r="K640" i="3"/>
  <c r="B10" i="22" a="1"/>
  <c r="B10" i="22" s="1"/>
  <c r="Z10" i="22" s="1"/>
  <c r="K180" i="3"/>
  <c r="K174" i="3"/>
  <c r="K164" i="3"/>
  <c r="K158" i="3"/>
  <c r="K142" i="3"/>
  <c r="K126" i="3"/>
  <c r="K398" i="3"/>
  <c r="K292" i="3"/>
  <c r="K286" i="3"/>
  <c r="K254" i="3"/>
  <c r="K110" i="3"/>
  <c r="K79" i="3"/>
  <c r="K695" i="3"/>
  <c r="K679" i="3"/>
  <c r="K647" i="3"/>
  <c r="K631" i="3"/>
  <c r="K615" i="3"/>
  <c r="K599" i="3"/>
  <c r="K583" i="3"/>
  <c r="K567" i="3"/>
  <c r="K561" i="3"/>
  <c r="K551" i="3"/>
  <c r="K545" i="3"/>
  <c r="K535" i="3"/>
  <c r="K529" i="3"/>
  <c r="K519" i="3"/>
  <c r="K513" i="3"/>
  <c r="K503" i="3"/>
  <c r="K497" i="3"/>
  <c r="K487" i="3"/>
  <c r="K479" i="3"/>
  <c r="K463" i="3"/>
  <c r="K455" i="3"/>
  <c r="K447" i="3"/>
  <c r="K439" i="3"/>
  <c r="K429" i="3"/>
  <c r="K421" i="3"/>
  <c r="K413" i="3"/>
  <c r="K405" i="3"/>
  <c r="K397" i="3"/>
  <c r="K389" i="3"/>
  <c r="K381" i="3"/>
  <c r="K373" i="3"/>
  <c r="K365" i="3"/>
  <c r="K357" i="3"/>
  <c r="K349" i="3"/>
  <c r="K341" i="3"/>
  <c r="K333" i="3"/>
  <c r="K325" i="3"/>
  <c r="K317" i="3"/>
  <c r="K309" i="3"/>
  <c r="K301" i="3"/>
  <c r="K293" i="3"/>
  <c r="K285" i="3"/>
  <c r="K277" i="3"/>
  <c r="K269" i="3"/>
  <c r="K261" i="3"/>
  <c r="K253" i="3"/>
  <c r="K245" i="3"/>
  <c r="K237" i="3"/>
  <c r="K229" i="3"/>
  <c r="K221" i="3"/>
  <c r="K213" i="3"/>
  <c r="K205" i="3"/>
  <c r="K197" i="3"/>
  <c r="K189" i="3"/>
  <c r="K181" i="3"/>
  <c r="K173" i="3"/>
  <c r="K165" i="3"/>
  <c r="K157" i="3"/>
  <c r="K151" i="3"/>
  <c r="K149" i="3"/>
  <c r="K141" i="3"/>
  <c r="K135" i="3"/>
  <c r="K133" i="3"/>
  <c r="K125" i="3"/>
  <c r="K119" i="3"/>
  <c r="K117" i="3"/>
  <c r="K109" i="3"/>
  <c r="K103" i="3"/>
  <c r="K101" i="3"/>
  <c r="K93" i="3"/>
  <c r="K87" i="3"/>
  <c r="K85" i="3"/>
  <c r="K53" i="3"/>
  <c r="K31" i="3"/>
  <c r="K71" i="3"/>
  <c r="K663" i="3"/>
  <c r="K37" i="3"/>
  <c r="K21" i="3"/>
  <c r="K55" i="3"/>
  <c r="K69" i="3"/>
  <c r="K47" i="3"/>
  <c r="K63" i="3"/>
  <c r="K94" i="3"/>
  <c r="K76" i="3"/>
  <c r="K60" i="3"/>
  <c r="K44" i="3"/>
  <c r="K28" i="3"/>
  <c r="K12" i="3"/>
  <c r="K702" i="3"/>
  <c r="K686" i="3"/>
  <c r="K670" i="3"/>
  <c r="K654" i="3"/>
  <c r="K638" i="3"/>
  <c r="K622" i="3"/>
  <c r="K606" i="3"/>
  <c r="K590" i="3"/>
  <c r="K574" i="3"/>
  <c r="K558" i="3"/>
  <c r="K542" i="3"/>
  <c r="K526" i="3"/>
  <c r="K510" i="3"/>
  <c r="K494" i="3"/>
  <c r="K461" i="3"/>
  <c r="K445" i="3"/>
  <c r="K436" i="3"/>
  <c r="K427" i="3"/>
  <c r="K411" i="3"/>
  <c r="K395" i="3"/>
  <c r="K379" i="3"/>
  <c r="K363" i="3"/>
  <c r="K347" i="3"/>
  <c r="K331" i="3"/>
  <c r="K315" i="3"/>
  <c r="K299" i="3"/>
  <c r="K283" i="3"/>
  <c r="K267" i="3"/>
  <c r="K251" i="3"/>
  <c r="K235" i="3"/>
  <c r="K208" i="3"/>
  <c r="K192" i="3"/>
  <c r="K176" i="3"/>
  <c r="K160" i="3"/>
  <c r="K144" i="3"/>
  <c r="K128" i="3"/>
  <c r="K112" i="3"/>
  <c r="K96" i="3"/>
  <c r="K80" i="3"/>
  <c r="K43" i="3"/>
  <c r="K27" i="3"/>
  <c r="K11" i="3"/>
  <c r="K701" i="3"/>
  <c r="K685" i="3"/>
  <c r="K18" i="3"/>
  <c r="K692" i="3"/>
  <c r="K676" i="3"/>
  <c r="K660" i="3"/>
  <c r="K644" i="3"/>
  <c r="K628" i="3"/>
  <c r="K612" i="3"/>
  <c r="K596" i="3"/>
  <c r="K580" i="3"/>
  <c r="K564" i="3"/>
  <c r="K548" i="3"/>
  <c r="K532" i="3"/>
  <c r="K516" i="3"/>
  <c r="K500" i="3"/>
  <c r="K484" i="3"/>
  <c r="K475" i="3"/>
  <c r="K451" i="3"/>
  <c r="K433" i="3"/>
  <c r="K417" i="3"/>
  <c r="K401" i="3"/>
  <c r="K385" i="3"/>
  <c r="K9" i="3"/>
  <c r="K691" i="3"/>
  <c r="K659" i="3"/>
  <c r="K643" i="3"/>
  <c r="K611" i="3"/>
  <c r="K595" i="3"/>
  <c r="K579" i="3"/>
  <c r="K563" i="3"/>
  <c r="K531" i="3"/>
  <c r="K515" i="3"/>
  <c r="K499" i="3"/>
  <c r="K483" i="3"/>
  <c r="K474" i="3"/>
  <c r="K450" i="3"/>
  <c r="K432" i="3"/>
  <c r="K416" i="3"/>
  <c r="K400" i="3"/>
  <c r="K384" i="3"/>
  <c r="K368" i="3"/>
  <c r="K352" i="3"/>
  <c r="K336" i="3"/>
  <c r="K320" i="3"/>
  <c r="K304" i="3"/>
  <c r="K288" i="3"/>
  <c r="K272" i="3"/>
  <c r="K256" i="3"/>
  <c r="K240" i="3"/>
  <c r="K224" i="3"/>
  <c r="K675" i="3"/>
  <c r="K627" i="3"/>
  <c r="K547" i="3"/>
  <c r="K72" i="3"/>
  <c r="K56" i="3"/>
  <c r="K40" i="3"/>
  <c r="K24" i="3"/>
  <c r="K698" i="3"/>
  <c r="K682" i="3"/>
  <c r="K666" i="3"/>
  <c r="K650" i="3"/>
  <c r="K634" i="3"/>
  <c r="K618" i="3"/>
  <c r="K602" i="3"/>
  <c r="K586" i="3"/>
  <c r="K570" i="3"/>
  <c r="K554" i="3"/>
  <c r="K538" i="3"/>
  <c r="K522" i="3"/>
  <c r="K506" i="3"/>
  <c r="K490" i="3"/>
  <c r="K481" i="3"/>
  <c r="K472" i="3"/>
  <c r="K470" i="3"/>
  <c r="K457" i="3"/>
  <c r="K441" i="3"/>
  <c r="K423" i="3"/>
  <c r="K407" i="3"/>
  <c r="K391" i="3"/>
  <c r="K375" i="3"/>
  <c r="K359" i="3"/>
  <c r="K343" i="3"/>
  <c r="K327" i="3"/>
  <c r="K311" i="3"/>
  <c r="K295" i="3"/>
  <c r="K279" i="3"/>
  <c r="K263" i="3"/>
  <c r="K247" i="3"/>
  <c r="K231" i="3"/>
  <c r="K215" i="3"/>
  <c r="K199" i="3"/>
  <c r="K183" i="3"/>
  <c r="K167" i="3"/>
  <c r="K33" i="3"/>
  <c r="K15" i="3"/>
  <c r="K689" i="3"/>
  <c r="K673" i="3"/>
  <c r="K657" i="3"/>
  <c r="K641" i="3"/>
  <c r="K625" i="3"/>
  <c r="K609" i="3"/>
  <c r="K593" i="3"/>
  <c r="K577" i="3"/>
  <c r="K45" i="3"/>
  <c r="K29" i="3"/>
  <c r="K13" i="3"/>
  <c r="K687" i="3"/>
  <c r="K671" i="3"/>
  <c r="K655" i="3"/>
  <c r="K639" i="3"/>
  <c r="K623" i="3"/>
  <c r="K607" i="3"/>
  <c r="K591" i="3"/>
  <c r="K575" i="3"/>
  <c r="K559" i="3"/>
  <c r="K543" i="3"/>
  <c r="K527" i="3"/>
  <c r="K511" i="3"/>
  <c r="K495" i="3"/>
  <c r="K446" i="3"/>
  <c r="K428" i="3"/>
  <c r="K412" i="3"/>
  <c r="K396" i="3"/>
  <c r="K380" i="3"/>
  <c r="K364" i="3"/>
  <c r="K348" i="3"/>
  <c r="K332" i="3"/>
  <c r="K316" i="3"/>
  <c r="K300" i="3"/>
  <c r="K284" i="3"/>
  <c r="K268" i="3"/>
  <c r="K252" i="3"/>
  <c r="K236" i="3"/>
  <c r="K220" i="3"/>
  <c r="K204" i="3"/>
  <c r="K188" i="3"/>
  <c r="K172" i="3"/>
  <c r="K156" i="3"/>
  <c r="K140" i="3"/>
  <c r="K124" i="3"/>
  <c r="K108" i="3"/>
  <c r="K92" i="3"/>
  <c r="K77" i="3"/>
  <c r="K52" i="3"/>
  <c r="K36" i="3"/>
  <c r="K20" i="3"/>
  <c r="K694" i="3"/>
  <c r="K678" i="3"/>
  <c r="K662" i="3"/>
  <c r="K646" i="3"/>
  <c r="K630" i="3"/>
  <c r="K614" i="3"/>
  <c r="K598" i="3"/>
  <c r="K582" i="3"/>
  <c r="K566" i="3"/>
  <c r="K550" i="3"/>
  <c r="K534" i="3"/>
  <c r="K518" i="3"/>
  <c r="K502" i="3"/>
  <c r="K486" i="3"/>
  <c r="K477" i="3"/>
  <c r="K462" i="3"/>
  <c r="K453" i="3"/>
  <c r="K437" i="3"/>
  <c r="K435" i="3"/>
  <c r="K419" i="3"/>
  <c r="K403" i="3"/>
  <c r="K387" i="3"/>
  <c r="K371" i="3"/>
  <c r="K355" i="3"/>
  <c r="K339" i="3"/>
  <c r="K323" i="3"/>
  <c r="K307" i="3"/>
  <c r="K291" i="3"/>
  <c r="K275" i="3"/>
  <c r="K259" i="3"/>
  <c r="K243" i="3"/>
  <c r="K227" i="3"/>
  <c r="K211" i="3"/>
  <c r="K195" i="3"/>
  <c r="K179" i="3"/>
  <c r="K163" i="3"/>
  <c r="K147" i="3"/>
  <c r="K131" i="3"/>
  <c r="K115" i="3"/>
  <c r="K99" i="3"/>
  <c r="K83" i="3"/>
  <c r="K65" i="3"/>
  <c r="K17" i="3"/>
  <c r="K669" i="3"/>
  <c r="K653" i="3"/>
  <c r="K637" i="3"/>
  <c r="K621" i="3"/>
  <c r="K605" i="3"/>
  <c r="K589" i="3"/>
  <c r="K573" i="3"/>
  <c r="K557" i="3"/>
  <c r="K541" i="3"/>
  <c r="K525" i="3"/>
  <c r="K509" i="3"/>
  <c r="K493" i="3"/>
  <c r="K460" i="3"/>
  <c r="K444" i="3"/>
  <c r="K426" i="3"/>
  <c r="K410" i="3"/>
  <c r="K394" i="3"/>
  <c r="K378" i="3"/>
  <c r="K362" i="3"/>
  <c r="K346" i="3"/>
  <c r="K330" i="3"/>
  <c r="K314" i="3"/>
  <c r="K298" i="3"/>
  <c r="K282" i="3"/>
  <c r="K266" i="3"/>
  <c r="K250" i="3"/>
  <c r="K234" i="3"/>
  <c r="K218" i="3"/>
  <c r="K202" i="3"/>
  <c r="K186" i="3"/>
  <c r="K170" i="3"/>
  <c r="K154" i="3"/>
  <c r="K138" i="3"/>
  <c r="K122" i="3"/>
  <c r="K106" i="3"/>
  <c r="K90" i="3"/>
  <c r="K61" i="3"/>
  <c r="K75" i="3"/>
  <c r="K50" i="3"/>
  <c r="K369" i="3"/>
  <c r="K353" i="3"/>
  <c r="K337" i="3"/>
  <c r="K321" i="3"/>
  <c r="K305" i="3"/>
  <c r="K289" i="3"/>
  <c r="K273" i="3"/>
  <c r="K257" i="3"/>
  <c r="K241" i="3"/>
  <c r="K225" i="3"/>
  <c r="K209" i="3"/>
  <c r="K193" i="3"/>
  <c r="K177" i="3"/>
  <c r="K161" i="3"/>
  <c r="K145" i="3"/>
  <c r="K129" i="3"/>
  <c r="K113" i="3"/>
  <c r="K97" i="3"/>
  <c r="K81" i="3"/>
  <c r="K66" i="3"/>
  <c r="K73" i="3"/>
  <c r="K57" i="3"/>
  <c r="K41" i="3"/>
  <c r="K25" i="3"/>
  <c r="K699" i="3"/>
  <c r="K683" i="3"/>
  <c r="K667" i="3"/>
  <c r="K651" i="3"/>
  <c r="K635" i="3"/>
  <c r="K619" i="3"/>
  <c r="K603" i="3"/>
  <c r="K587" i="3"/>
  <c r="K571" i="3"/>
  <c r="K555" i="3"/>
  <c r="K539" i="3"/>
  <c r="K523" i="3"/>
  <c r="K507" i="3"/>
  <c r="K491" i="3"/>
  <c r="K482" i="3"/>
  <c r="K473" i="3"/>
  <c r="K458" i="3"/>
  <c r="K442" i="3"/>
  <c r="K424" i="3"/>
  <c r="K408" i="3"/>
  <c r="K392" i="3"/>
  <c r="K376" i="3"/>
  <c r="K360" i="3"/>
  <c r="K344" i="3"/>
  <c r="K328" i="3"/>
  <c r="K312" i="3"/>
  <c r="K296" i="3"/>
  <c r="K280" i="3"/>
  <c r="K264" i="3"/>
  <c r="K248" i="3"/>
  <c r="K232" i="3"/>
  <c r="K216" i="3"/>
  <c r="K200" i="3"/>
  <c r="K184" i="3"/>
  <c r="K168" i="3"/>
  <c r="K152" i="3"/>
  <c r="K136" i="3"/>
  <c r="K120" i="3"/>
  <c r="K104" i="3"/>
  <c r="K88" i="3"/>
  <c r="K68" i="3"/>
  <c r="K59" i="3"/>
  <c r="K34" i="3"/>
  <c r="K8" i="3"/>
  <c r="K64" i="3"/>
  <c r="K48" i="3"/>
  <c r="K32" i="3"/>
  <c r="K16" i="3"/>
  <c r="K690" i="3"/>
  <c r="K674" i="3"/>
  <c r="K658" i="3"/>
  <c r="K642" i="3"/>
  <c r="K626" i="3"/>
  <c r="K610" i="3"/>
  <c r="K594" i="3"/>
  <c r="K578" i="3"/>
  <c r="K562" i="3"/>
  <c r="K546" i="3"/>
  <c r="K530" i="3"/>
  <c r="K514" i="3"/>
  <c r="K498" i="3"/>
  <c r="K471" i="3"/>
  <c r="K449" i="3"/>
  <c r="K431" i="3"/>
  <c r="K415" i="3"/>
  <c r="K399" i="3"/>
  <c r="K383" i="3"/>
  <c r="K367" i="3"/>
  <c r="K351" i="3"/>
  <c r="K335" i="3"/>
  <c r="K319" i="3"/>
  <c r="K303" i="3"/>
  <c r="K287" i="3"/>
  <c r="K271" i="3"/>
  <c r="K255" i="3"/>
  <c r="K239" i="3"/>
  <c r="K223" i="3"/>
  <c r="K207" i="3"/>
  <c r="K191" i="3"/>
  <c r="K175" i="3"/>
  <c r="K159" i="3"/>
  <c r="K143" i="3"/>
  <c r="K127" i="3"/>
  <c r="K111" i="3"/>
  <c r="K95" i="3"/>
  <c r="K49" i="3"/>
  <c r="K39" i="3"/>
  <c r="K23" i="3"/>
  <c r="K697" i="3"/>
  <c r="K681" i="3"/>
  <c r="K665" i="3"/>
  <c r="K649" i="3"/>
  <c r="K633" i="3"/>
  <c r="K617" i="3"/>
  <c r="K601" i="3"/>
  <c r="K585" i="3"/>
  <c r="K569" i="3"/>
  <c r="K553" i="3"/>
  <c r="K537" i="3"/>
  <c r="K521" i="3"/>
  <c r="K505" i="3"/>
  <c r="K489" i="3"/>
  <c r="K480" i="3"/>
  <c r="K469" i="3"/>
  <c r="K467" i="3"/>
  <c r="K465" i="3"/>
  <c r="K456" i="3"/>
  <c r="K440" i="3"/>
  <c r="K422" i="3"/>
  <c r="K406" i="3"/>
  <c r="K390" i="3"/>
  <c r="K374" i="3"/>
  <c r="K358" i="3"/>
  <c r="K342" i="3"/>
  <c r="K326" i="3"/>
  <c r="K310" i="3"/>
  <c r="K294" i="3"/>
  <c r="K278" i="3"/>
  <c r="K262" i="3"/>
  <c r="K246" i="3"/>
  <c r="K230" i="3"/>
  <c r="K214" i="3"/>
  <c r="K198" i="3"/>
  <c r="K182" i="3"/>
  <c r="K166" i="3"/>
  <c r="K150" i="3"/>
  <c r="K134" i="3"/>
  <c r="K118" i="3"/>
  <c r="K102" i="3"/>
  <c r="K86" i="3"/>
  <c r="K148" i="3"/>
  <c r="K132" i="3"/>
  <c r="K116" i="3"/>
  <c r="K100" i="3"/>
  <c r="K84" i="3"/>
  <c r="K219" i="3"/>
  <c r="K203" i="3"/>
  <c r="K187" i="3"/>
  <c r="K171" i="3"/>
  <c r="K155" i="3"/>
  <c r="K139" i="3"/>
  <c r="K123" i="3"/>
  <c r="K107" i="3"/>
  <c r="K91" i="3"/>
  <c r="K35" i="3"/>
  <c r="K19" i="3"/>
  <c r="K693" i="3"/>
  <c r="K677" i="3"/>
  <c r="K661" i="3"/>
  <c r="K645" i="3"/>
  <c r="K629" i="3"/>
  <c r="K613" i="3"/>
  <c r="K597" i="3"/>
  <c r="K581" i="3"/>
  <c r="K565" i="3"/>
  <c r="K549" i="3"/>
  <c r="K533" i="3"/>
  <c r="K517" i="3"/>
  <c r="K501" i="3"/>
  <c r="K485" i="3"/>
  <c r="K476" i="3"/>
  <c r="K452" i="3"/>
  <c r="K434" i="3"/>
  <c r="K418" i="3"/>
  <c r="K402" i="3"/>
  <c r="K386" i="3"/>
  <c r="K370" i="3"/>
  <c r="K354" i="3"/>
  <c r="K338" i="3"/>
  <c r="K322" i="3"/>
  <c r="K306" i="3"/>
  <c r="K290" i="3"/>
  <c r="K274" i="3"/>
  <c r="K258" i="3"/>
  <c r="K242" i="3"/>
  <c r="K226" i="3"/>
  <c r="K210" i="3"/>
  <c r="K194" i="3"/>
  <c r="K178" i="3"/>
  <c r="K162" i="3"/>
  <c r="K146" i="3"/>
  <c r="K130" i="3"/>
  <c r="K114" i="3"/>
  <c r="K98" i="3"/>
  <c r="K82" i="3"/>
  <c r="K67" i="3"/>
  <c r="K51" i="3"/>
  <c r="K7" i="3"/>
  <c r="K74" i="3"/>
  <c r="K58" i="3"/>
  <c r="K42" i="3"/>
  <c r="K26" i="3"/>
  <c r="K10" i="3"/>
  <c r="K700" i="3"/>
  <c r="K684" i="3"/>
  <c r="K668" i="3"/>
  <c r="K652" i="3"/>
  <c r="K636" i="3"/>
  <c r="K620" i="3"/>
  <c r="K604" i="3"/>
  <c r="K588" i="3"/>
  <c r="K572" i="3"/>
  <c r="K556" i="3"/>
  <c r="K540" i="3"/>
  <c r="K524" i="3"/>
  <c r="K508" i="3"/>
  <c r="K492" i="3"/>
  <c r="K459" i="3"/>
  <c r="K443" i="3"/>
  <c r="K425" i="3"/>
  <c r="K409" i="3"/>
  <c r="K393" i="3"/>
  <c r="K377" i="3"/>
  <c r="K361" i="3"/>
  <c r="K345" i="3"/>
  <c r="K329" i="3"/>
  <c r="K313" i="3"/>
  <c r="K297" i="3"/>
  <c r="K281" i="3"/>
  <c r="K265" i="3"/>
  <c r="K249" i="3"/>
  <c r="K233" i="3"/>
  <c r="K217" i="3"/>
  <c r="K201" i="3"/>
  <c r="K185" i="3"/>
  <c r="K169" i="3"/>
  <c r="K153" i="3"/>
  <c r="K137" i="3"/>
  <c r="K121" i="3"/>
  <c r="K105" i="3"/>
  <c r="K89" i="3"/>
  <c r="N6" i="3" l="1"/>
  <c r="P6" i="3" s="1"/>
  <c r="AF2" i="22" s="1" a="1"/>
  <c r="G13" i="22" s="1" a="1"/>
  <c r="B69" i="22"/>
  <c r="AX5" i="22" s="1"/>
  <c r="AY4" i="22"/>
  <c r="G13" i="22" l="1"/>
  <c r="D10" i="22" a="1"/>
  <c r="D10" i="22" s="1"/>
  <c r="AF2" i="22"/>
  <c r="Q55" i="22"/>
  <c r="U12" i="22"/>
  <c r="T64" i="22"/>
  <c r="O59" i="22"/>
  <c r="P56" i="22"/>
  <c r="J53" i="22"/>
  <c r="R52" i="22"/>
  <c r="U63" i="22"/>
  <c r="Q64" i="22"/>
  <c r="J54" i="22"/>
  <c r="N64" i="22"/>
  <c r="O64" i="22"/>
  <c r="U53" i="22"/>
  <c r="U54" i="22"/>
  <c r="T50" i="22"/>
  <c r="J55" i="22"/>
  <c r="I52" i="22"/>
  <c r="M62" i="22"/>
  <c r="S62" i="22"/>
  <c r="M68" i="22"/>
  <c r="M61" i="22"/>
  <c r="S66" i="22"/>
  <c r="J12" i="22"/>
  <c r="N55" i="22"/>
  <c r="Q68" i="22"/>
  <c r="V51" i="22"/>
  <c r="T65" i="22"/>
  <c r="K63" i="22"/>
  <c r="P39" i="22"/>
  <c r="V45" i="22"/>
  <c r="N43" i="22"/>
  <c r="L40" i="22"/>
  <c r="O43" i="22"/>
  <c r="T41" i="22"/>
  <c r="K39" i="22"/>
  <c r="O40" i="22"/>
  <c r="M39" i="22"/>
  <c r="N40" i="22"/>
  <c r="M57" i="22"/>
  <c r="J58" i="22"/>
  <c r="K64" i="22"/>
  <c r="O67" i="22"/>
  <c r="M48" i="22"/>
  <c r="K65" i="22"/>
  <c r="V48" i="22"/>
  <c r="M64" i="22"/>
  <c r="P67" i="22"/>
  <c r="S55" i="22"/>
  <c r="Q60" i="22"/>
  <c r="I57" i="22"/>
  <c r="P66" i="22"/>
  <c r="O50" i="22"/>
  <c r="R61" i="22"/>
  <c r="L62" i="22"/>
  <c r="P58" i="22"/>
  <c r="P47" i="22"/>
  <c r="T57" i="22"/>
  <c r="K54" i="22"/>
  <c r="J52" i="22"/>
  <c r="I63" i="22"/>
  <c r="M56" i="22"/>
  <c r="V52" i="22"/>
  <c r="V12" i="22"/>
  <c r="L64" i="22"/>
  <c r="V54" i="22"/>
  <c r="Q40" i="22"/>
  <c r="M43" i="22"/>
  <c r="K46" i="22"/>
  <c r="V46" i="22"/>
  <c r="P45" i="22"/>
  <c r="N39" i="22"/>
  <c r="S44" i="22"/>
  <c r="T43" i="22"/>
  <c r="R42" i="22"/>
  <c r="K40" i="22"/>
  <c r="R47" i="22"/>
  <c r="P55" i="22"/>
  <c r="M67" i="22"/>
  <c r="T59" i="22"/>
  <c r="J49" i="22"/>
  <c r="K61" i="22"/>
  <c r="T68" i="22"/>
  <c r="P59" i="22"/>
  <c r="N52" i="22"/>
  <c r="R62" i="22"/>
  <c r="K60" i="22"/>
  <c r="K49" i="22"/>
  <c r="U68" i="22"/>
  <c r="Q53" i="22"/>
  <c r="J47" i="22"/>
  <c r="J65" i="22"/>
  <c r="L55" i="22"/>
  <c r="P65" i="22"/>
  <c r="K48" i="22"/>
  <c r="T51" i="22"/>
  <c r="K66" i="22"/>
  <c r="N51" i="22"/>
  <c r="N66" i="22"/>
  <c r="V47" i="22"/>
  <c r="S53" i="22"/>
  <c r="S47" i="22"/>
  <c r="L39" i="22"/>
  <c r="T44" i="22"/>
  <c r="P44" i="22"/>
  <c r="Q44" i="22"/>
  <c r="V41" i="22"/>
  <c r="P41" i="22"/>
  <c r="P43" i="22"/>
  <c r="Q43" i="22"/>
  <c r="O42" i="22"/>
  <c r="J61" i="22"/>
  <c r="L63" i="22"/>
  <c r="O62" i="22"/>
  <c r="J51" i="22"/>
  <c r="N61" i="22"/>
  <c r="N57" i="22"/>
  <c r="M60" i="22"/>
  <c r="Q52" i="22"/>
  <c r="J68" i="22"/>
  <c r="K52" i="22"/>
  <c r="N47" i="22"/>
  <c r="V58" i="22"/>
  <c r="I58" i="22"/>
  <c r="I67" i="22"/>
  <c r="K12" i="22"/>
  <c r="N68" i="22"/>
  <c r="I50" i="22"/>
  <c r="R68" i="22"/>
  <c r="O54" i="22"/>
  <c r="M51" i="22"/>
  <c r="U58" i="22"/>
  <c r="N53" i="22"/>
  <c r="S59" i="22"/>
  <c r="V49" i="22"/>
  <c r="L60" i="22"/>
  <c r="P63" i="22"/>
  <c r="I64" i="22"/>
  <c r="T46" i="22"/>
  <c r="I46" i="22"/>
  <c r="S43" i="22"/>
  <c r="R46" i="22"/>
  <c r="O46" i="22"/>
  <c r="J40" i="22"/>
  <c r="K41" i="22"/>
  <c r="N42" i="22"/>
  <c r="L41" i="22"/>
  <c r="O60" i="22"/>
  <c r="V68" i="22"/>
  <c r="R49" i="22"/>
  <c r="P64" i="22"/>
  <c r="S49" i="22"/>
  <c r="V63" i="22"/>
  <c r="T49" i="22"/>
  <c r="J60" i="22"/>
  <c r="I53" i="22"/>
  <c r="O63" i="22"/>
  <c r="I47" i="22"/>
  <c r="S60" i="22"/>
  <c r="U67" i="22"/>
  <c r="L54" i="22"/>
  <c r="S68" i="22"/>
  <c r="O55" i="22"/>
  <c r="S65" i="22"/>
  <c r="P53" i="22"/>
  <c r="T63" i="22"/>
  <c r="U62" i="22"/>
  <c r="S67" i="22"/>
  <c r="P48" i="22"/>
  <c r="M54" i="22"/>
  <c r="N63" i="22"/>
  <c r="Q48" i="22"/>
  <c r="O48" i="22"/>
  <c r="R59" i="22"/>
  <c r="I39" i="22"/>
  <c r="R43" i="22"/>
  <c r="N41" i="22"/>
  <c r="U39" i="22"/>
  <c r="N46" i="22"/>
  <c r="N44" i="22"/>
  <c r="O45" i="22"/>
  <c r="I40" i="22"/>
  <c r="V40" i="22"/>
  <c r="L51" i="22"/>
  <c r="P61" i="22"/>
  <c r="M49" i="22"/>
  <c r="V53" i="22"/>
  <c r="P49" i="22"/>
  <c r="V57" i="22"/>
  <c r="P57" i="22"/>
  <c r="I66" i="22"/>
  <c r="R50" i="22"/>
  <c r="R57" i="22"/>
  <c r="K50" i="22"/>
  <c r="R64" i="22"/>
  <c r="U61" i="22"/>
  <c r="U52" i="22"/>
  <c r="M66" i="22"/>
  <c r="I12" i="22"/>
  <c r="L47" i="22"/>
  <c r="M12" i="22"/>
  <c r="N56" i="22"/>
  <c r="J62" i="22"/>
  <c r="V59" i="22"/>
  <c r="O66" i="22"/>
  <c r="L58" i="22"/>
  <c r="T52" i="22"/>
  <c r="J63" i="22"/>
  <c r="N65" i="22"/>
  <c r="L66" i="22"/>
  <c r="I42" i="22"/>
  <c r="V39" i="22"/>
  <c r="S45" i="22"/>
  <c r="J43" i="22"/>
  <c r="V43" i="22"/>
  <c r="T40" i="22"/>
  <c r="M41" i="22"/>
  <c r="U41" i="22"/>
  <c r="U42" i="22"/>
  <c r="Q47" i="22"/>
  <c r="Q66" i="22"/>
  <c r="T60" i="22"/>
  <c r="S63" i="22"/>
  <c r="U50" i="22"/>
  <c r="I56" i="22"/>
  <c r="J64" i="22"/>
  <c r="O56" i="22"/>
  <c r="L67" i="22"/>
  <c r="L52" i="22"/>
  <c r="P62" i="22"/>
  <c r="O47" i="22"/>
  <c r="O61" i="22"/>
  <c r="S61" i="22"/>
  <c r="K55" i="22"/>
  <c r="J50" i="22"/>
  <c r="N60" i="22"/>
  <c r="M59" i="22"/>
  <c r="S64" i="22"/>
  <c r="Q65" i="22"/>
  <c r="K57" i="22"/>
  <c r="O57" i="22"/>
  <c r="Q56" i="22"/>
  <c r="V66" i="22"/>
  <c r="I51" i="22"/>
  <c r="O52" i="22"/>
  <c r="P60" i="22"/>
  <c r="P12" i="22"/>
  <c r="O65" i="22"/>
  <c r="Q50" i="22"/>
  <c r="U56" i="22"/>
  <c r="T55" i="22"/>
  <c r="J66" i="22"/>
  <c r="Q63" i="22"/>
  <c r="L12" i="22"/>
  <c r="I65" i="22"/>
  <c r="L50" i="22"/>
  <c r="J59" i="22"/>
  <c r="N50" i="22"/>
  <c r="R60" i="22"/>
  <c r="R58" i="22"/>
  <c r="V65" i="22"/>
  <c r="N62" i="22"/>
  <c r="K56" i="22"/>
  <c r="R12" i="22"/>
  <c r="Q54" i="22"/>
  <c r="N59" i="22"/>
  <c r="S12" i="22"/>
  <c r="L68" i="22"/>
  <c r="K51" i="22"/>
  <c r="O39" i="22"/>
  <c r="P46" i="22"/>
  <c r="O44" i="22"/>
  <c r="J45" i="22"/>
  <c r="S42" i="22"/>
  <c r="M45" i="22"/>
  <c r="L43" i="22"/>
  <c r="J42" i="22"/>
  <c r="T39" i="22"/>
  <c r="U51" i="22"/>
  <c r="T58" i="22"/>
  <c r="N58" i="22"/>
  <c r="S58" i="22"/>
  <c r="V67" i="22"/>
  <c r="J57" i="22"/>
  <c r="N67" i="22"/>
  <c r="L53" i="22"/>
  <c r="P50" i="22"/>
  <c r="V60" i="22"/>
  <c r="L49" i="22"/>
  <c r="M58" i="22"/>
  <c r="L61" i="22"/>
  <c r="R65" i="22"/>
  <c r="V62" i="22"/>
  <c r="V61" i="22"/>
  <c r="V50" i="22"/>
  <c r="K59" i="22"/>
  <c r="V56" i="22"/>
  <c r="N49" i="22"/>
  <c r="U49" i="22"/>
  <c r="K53" i="22"/>
  <c r="Q57" i="22"/>
  <c r="V64" i="22"/>
  <c r="T66" i="22"/>
  <c r="T47" i="22"/>
  <c r="O49" i="22"/>
  <c r="N48" i="22"/>
  <c r="Q45" i="22"/>
  <c r="P42" i="22"/>
  <c r="I41" i="22"/>
  <c r="J41" i="22"/>
  <c r="M40" i="22"/>
  <c r="M46" i="22"/>
  <c r="K44" i="22"/>
  <c r="I43" i="22"/>
  <c r="R45" i="22"/>
  <c r="I49" i="22"/>
  <c r="T12" i="22"/>
  <c r="S52" i="22"/>
  <c r="Q67" i="22"/>
  <c r="O12" i="22"/>
  <c r="M52" i="22"/>
  <c r="K47" i="22"/>
  <c r="S56" i="22"/>
  <c r="U60" i="22"/>
  <c r="M53" i="22"/>
  <c r="L59" i="22"/>
  <c r="Q61" i="22"/>
  <c r="M65" i="22"/>
  <c r="R48" i="22"/>
  <c r="P68" i="22"/>
  <c r="Q58" i="22"/>
  <c r="M63" i="22"/>
  <c r="N54" i="22"/>
  <c r="S50" i="22"/>
  <c r="I61" i="22"/>
  <c r="R67" i="22"/>
  <c r="Q51" i="22"/>
  <c r="V55" i="22"/>
  <c r="L56" i="22"/>
  <c r="I48" i="22"/>
  <c r="P51" i="22"/>
  <c r="T61" i="22"/>
  <c r="S39" i="22"/>
  <c r="U46" i="22"/>
  <c r="L46" i="22"/>
  <c r="O41" i="22"/>
  <c r="U45" i="22"/>
  <c r="T42" i="22"/>
  <c r="J44" i="22"/>
  <c r="V42" i="22"/>
  <c r="S40" i="22"/>
  <c r="M50" i="22"/>
  <c r="Q12" i="22"/>
  <c r="U55" i="22"/>
  <c r="O51" i="22"/>
  <c r="S57" i="22"/>
  <c r="I68" i="22"/>
  <c r="J56" i="22"/>
  <c r="O58" i="22"/>
  <c r="K67" i="22"/>
  <c r="T54" i="22"/>
  <c r="S48" i="22"/>
  <c r="L48" i="22"/>
  <c r="O68" i="22"/>
  <c r="T67" i="22"/>
  <c r="O53" i="22"/>
  <c r="T53" i="22"/>
  <c r="R63" i="22"/>
  <c r="S51" i="22"/>
  <c r="R53" i="22"/>
  <c r="I55" i="22"/>
  <c r="J48" i="22"/>
  <c r="S54" i="22"/>
  <c r="I62" i="22"/>
  <c r="T62" i="22"/>
  <c r="M47" i="22"/>
  <c r="Q62" i="22"/>
  <c r="K43" i="22"/>
  <c r="K42" i="22"/>
  <c r="S46" i="22"/>
  <c r="I45" i="22"/>
  <c r="J39" i="22"/>
  <c r="R44" i="22"/>
  <c r="Q41" i="22"/>
  <c r="K45" i="22"/>
  <c r="I44" i="22"/>
  <c r="R40" i="22"/>
  <c r="M55" i="22"/>
  <c r="U59" i="22"/>
  <c r="P52" i="22"/>
  <c r="U43" i="22"/>
  <c r="R66" i="22"/>
  <c r="U44" i="22"/>
  <c r="T48" i="22"/>
  <c r="R56" i="22"/>
  <c r="K68" i="22"/>
  <c r="Q42" i="22"/>
  <c r="S41" i="22"/>
  <c r="K62" i="22"/>
  <c r="J67" i="22"/>
  <c r="T56" i="22"/>
  <c r="T45" i="22"/>
  <c r="L42" i="22"/>
  <c r="U48" i="22"/>
  <c r="I59" i="22"/>
  <c r="R55" i="22"/>
  <c r="Q59" i="22"/>
  <c r="J46" i="22"/>
  <c r="N12" i="22"/>
  <c r="R51" i="22"/>
  <c r="I60" i="22"/>
  <c r="M42" i="22"/>
  <c r="L65" i="22"/>
  <c r="R41" i="22"/>
  <c r="U47" i="22"/>
  <c r="N45" i="22"/>
  <c r="U57" i="22"/>
  <c r="K58" i="22"/>
  <c r="M44" i="22"/>
  <c r="P54" i="22"/>
  <c r="R54" i="22"/>
  <c r="U66" i="22"/>
  <c r="L45" i="22"/>
  <c r="U65" i="22"/>
  <c r="U64" i="22"/>
  <c r="Q39" i="22"/>
  <c r="V44" i="22"/>
  <c r="I54" i="22"/>
  <c r="U40" i="22"/>
  <c r="R39" i="22"/>
  <c r="L57" i="22"/>
  <c r="Q46" i="22"/>
  <c r="P40" i="22"/>
  <c r="L44" i="22"/>
  <c r="Q49" i="22"/>
  <c r="J18" i="22"/>
  <c r="S31" i="22"/>
  <c r="J36" i="22"/>
  <c r="N20" i="22"/>
  <c r="R33" i="22"/>
  <c r="P34" i="22"/>
  <c r="V30" i="22"/>
  <c r="S29" i="22"/>
  <c r="T33" i="22"/>
  <c r="J31" i="22"/>
  <c r="T15" i="22"/>
  <c r="O35" i="22"/>
  <c r="O15" i="22"/>
  <c r="P22" i="22"/>
  <c r="R31" i="22"/>
  <c r="K15" i="22"/>
  <c r="R25" i="22"/>
  <c r="K24" i="22"/>
  <c r="J19" i="22"/>
  <c r="U30" i="22"/>
  <c r="N36" i="22"/>
  <c r="L34" i="22"/>
  <c r="Q17" i="22"/>
  <c r="S35" i="22"/>
  <c r="S21" i="22"/>
  <c r="M37" i="22"/>
  <c r="L35" i="22"/>
  <c r="R38" i="22"/>
  <c r="R22" i="22"/>
  <c r="T29" i="22"/>
  <c r="S32" i="22"/>
  <c r="L17" i="22"/>
  <c r="I34" i="22"/>
  <c r="N19" i="22"/>
  <c r="J25" i="22"/>
  <c r="T18" i="22"/>
  <c r="Q28" i="22"/>
  <c r="T16" i="22"/>
  <c r="L23" i="22"/>
  <c r="L29" i="22"/>
  <c r="O18" i="22"/>
  <c r="I16" i="22"/>
  <c r="M32" i="22"/>
  <c r="U27" i="22"/>
  <c r="J17" i="22"/>
  <c r="Q36" i="22"/>
  <c r="P28" i="22"/>
  <c r="J21" i="22"/>
  <c r="N31" i="22"/>
  <c r="N23" i="22"/>
  <c r="N25" i="22"/>
  <c r="M18" i="22"/>
  <c r="J26" i="22"/>
  <c r="Q33" i="22"/>
  <c r="K37" i="22"/>
  <c r="O32" i="22"/>
  <c r="K38" i="22"/>
  <c r="I38" i="22"/>
  <c r="Q22" i="22"/>
  <c r="I17" i="22"/>
  <c r="N30" i="22"/>
  <c r="V21" i="22"/>
  <c r="L36" i="22"/>
  <c r="I25" i="22"/>
  <c r="I27" i="22"/>
  <c r="U24" i="22"/>
  <c r="T19" i="22"/>
  <c r="O16" i="22"/>
  <c r="Q24" i="22"/>
  <c r="P26" i="22"/>
  <c r="U20" i="22"/>
  <c r="S19" i="22"/>
  <c r="K28" i="22"/>
  <c r="I20" i="22"/>
  <c r="U34" i="22"/>
  <c r="T30" i="22"/>
  <c r="M27" i="22"/>
  <c r="N22" i="22"/>
  <c r="O27" i="22"/>
  <c r="N35" i="22"/>
  <c r="V35" i="22"/>
  <c r="S28" i="22"/>
  <c r="V24" i="22"/>
  <c r="R19" i="22"/>
  <c r="N18" i="22"/>
  <c r="T23" i="22"/>
  <c r="O20" i="22"/>
  <c r="T20" i="22"/>
  <c r="L22" i="22"/>
  <c r="T27" i="22"/>
  <c r="M23" i="22"/>
  <c r="K30" i="22"/>
  <c r="L19" i="22"/>
  <c r="N29" i="22"/>
  <c r="L30" i="22"/>
  <c r="U32" i="22"/>
  <c r="U21" i="22"/>
  <c r="P30" i="22"/>
  <c r="S17" i="22"/>
  <c r="J24" i="22"/>
  <c r="I24" i="22"/>
  <c r="S37" i="22"/>
  <c r="R37" i="22"/>
  <c r="U38" i="22"/>
  <c r="Q23" i="22"/>
  <c r="U37" i="22"/>
  <c r="I15" i="22"/>
  <c r="N21" i="22"/>
  <c r="L25" i="22"/>
  <c r="Q31" i="22"/>
  <c r="J28" i="22"/>
  <c r="R21" i="22"/>
  <c r="M31" i="22"/>
  <c r="U33" i="22"/>
  <c r="L27" i="22"/>
  <c r="Q18" i="22"/>
  <c r="K35" i="22"/>
  <c r="I18" i="22"/>
  <c r="Q26" i="22"/>
  <c r="L20" i="22"/>
  <c r="I33" i="22"/>
  <c r="S24" i="22"/>
  <c r="P20" i="22"/>
  <c r="Q16" i="22"/>
  <c r="V22" i="22"/>
  <c r="O30" i="22"/>
  <c r="U25" i="22"/>
  <c r="U16" i="22"/>
  <c r="V32" i="22"/>
  <c r="P21" i="22"/>
  <c r="V26" i="22"/>
  <c r="T22" i="22"/>
  <c r="L37" i="22"/>
  <c r="I37" i="22"/>
  <c r="S38" i="22"/>
  <c r="J34" i="22"/>
  <c r="N34" i="22"/>
  <c r="P23" i="22"/>
  <c r="I19" i="22"/>
  <c r="W19" i="22" s="1" a="1"/>
  <c r="W19" i="22" s="1"/>
  <c r="M29" i="22"/>
  <c r="P18" i="22"/>
  <c r="U22" i="22"/>
  <c r="K26" i="22"/>
  <c r="J32" i="22"/>
  <c r="T26" i="22"/>
  <c r="K20" i="22"/>
  <c r="P29" i="22"/>
  <c r="M15" i="22"/>
  <c r="M22" i="22"/>
  <c r="S15" i="22"/>
  <c r="Q30" i="22"/>
  <c r="K16" i="22"/>
  <c r="P19" i="22"/>
  <c r="J23" i="22"/>
  <c r="R28" i="22"/>
  <c r="L16" i="22"/>
  <c r="O24" i="22"/>
  <c r="J30" i="22"/>
  <c r="M34" i="22"/>
  <c r="P32" i="22"/>
  <c r="O22" i="22"/>
  <c r="Q27" i="22"/>
  <c r="Q25" i="22"/>
  <c r="V23" i="22"/>
  <c r="J35" i="22"/>
  <c r="T38" i="22"/>
  <c r="O19" i="22"/>
  <c r="T36" i="22"/>
  <c r="K32" i="22"/>
  <c r="K22" i="22"/>
  <c r="R24" i="22"/>
  <c r="L31" i="22"/>
  <c r="L28" i="22"/>
  <c r="U29" i="22"/>
  <c r="M25" i="22"/>
  <c r="O36" i="22"/>
  <c r="K33" i="22"/>
  <c r="J29" i="22"/>
  <c r="I35" i="22"/>
  <c r="U26" i="22"/>
  <c r="V19" i="22"/>
  <c r="P24" i="22"/>
  <c r="N15" i="22"/>
  <c r="K17" i="22"/>
  <c r="T31" i="22"/>
  <c r="K19" i="22"/>
  <c r="U31" i="22"/>
  <c r="V18" i="22"/>
  <c r="Q35" i="22"/>
  <c r="L15" i="22"/>
  <c r="M28" i="22"/>
  <c r="J37" i="22"/>
  <c r="Q19" i="22"/>
  <c r="Q37" i="22"/>
  <c r="V38" i="22"/>
  <c r="L18" i="22"/>
  <c r="T21" i="22"/>
  <c r="K25" i="22"/>
  <c r="O31" i="22"/>
  <c r="T35" i="22"/>
  <c r="Q20" i="22"/>
  <c r="O34" i="22"/>
  <c r="Q29" i="22"/>
  <c r="V16" i="22"/>
  <c r="R17" i="22"/>
  <c r="R16" i="22"/>
  <c r="O37" i="22"/>
  <c r="L24" i="22"/>
  <c r="N26" i="22"/>
  <c r="P25" i="22"/>
  <c r="M26" i="22"/>
  <c r="I29" i="22"/>
  <c r="N17" i="22"/>
  <c r="O21" i="22"/>
  <c r="M30" i="22"/>
  <c r="S36" i="22"/>
  <c r="K29" i="22"/>
  <c r="V15" i="22"/>
  <c r="J16" i="22"/>
  <c r="L26" i="22"/>
  <c r="I23" i="22"/>
  <c r="S30" i="22"/>
  <c r="P16" i="22"/>
  <c r="R36" i="22"/>
  <c r="U15" i="22"/>
  <c r="V36" i="22"/>
  <c r="T34" i="22"/>
  <c r="V28" i="22"/>
  <c r="M33" i="22"/>
  <c r="I31" i="22"/>
  <c r="R32" i="22"/>
  <c r="K23" i="22"/>
  <c r="J38" i="22"/>
  <c r="S33" i="22"/>
  <c r="L32" i="22"/>
  <c r="V34" i="22"/>
  <c r="J15" i="22"/>
  <c r="R23" i="22"/>
  <c r="P15" i="22"/>
  <c r="J27" i="22"/>
  <c r="U35" i="22"/>
  <c r="S20" i="22"/>
  <c r="I30" i="22"/>
  <c r="O28" i="22"/>
  <c r="S34" i="22"/>
  <c r="M36" i="22"/>
  <c r="S23" i="22"/>
  <c r="P33" i="22"/>
  <c r="V37" i="22"/>
  <c r="I21" i="22"/>
  <c r="R20" i="22"/>
  <c r="Q34" i="22"/>
  <c r="M38" i="22"/>
  <c r="J22" i="22"/>
  <c r="S18" i="22"/>
  <c r="N33" i="22"/>
  <c r="R26" i="22"/>
  <c r="T32" i="22"/>
  <c r="R29" i="22"/>
  <c r="U28" i="22"/>
  <c r="M20" i="22"/>
  <c r="M19" i="22"/>
  <c r="V17" i="22"/>
  <c r="T37" i="22"/>
  <c r="O38" i="22"/>
  <c r="R15" i="22"/>
  <c r="R34" i="22"/>
  <c r="U19" i="22"/>
  <c r="T24" i="22"/>
  <c r="I22" i="22"/>
  <c r="M16" i="22"/>
  <c r="R35" i="22"/>
  <c r="K18" i="22"/>
  <c r="V20" i="22"/>
  <c r="S16" i="22"/>
  <c r="U36" i="22"/>
  <c r="K34" i="22"/>
  <c r="O29" i="22"/>
  <c r="I36" i="22"/>
  <c r="P27" i="22"/>
  <c r="U23" i="22"/>
  <c r="S25" i="22"/>
  <c r="O23" i="22"/>
  <c r="I28" i="22"/>
  <c r="O17" i="22"/>
  <c r="J20" i="22"/>
  <c r="O26" i="22"/>
  <c r="N27" i="22"/>
  <c r="R30" i="22"/>
  <c r="I26" i="22"/>
  <c r="P37" i="22"/>
  <c r="P38" i="22"/>
  <c r="J33" i="22"/>
  <c r="U18" i="22"/>
  <c r="T17" i="22"/>
  <c r="V27" i="22"/>
  <c r="M21" i="22"/>
  <c r="P17" i="22"/>
  <c r="K31" i="22"/>
  <c r="I32" i="22"/>
  <c r="M35" i="22"/>
  <c r="P35" i="22"/>
  <c r="L21" i="22"/>
  <c r="N28" i="22"/>
  <c r="K36" i="22"/>
  <c r="N37" i="22"/>
  <c r="M17" i="22"/>
  <c r="N16" i="22"/>
  <c r="P31" i="22"/>
  <c r="R27" i="22"/>
  <c r="S26" i="22"/>
  <c r="Q32" i="22"/>
  <c r="L33" i="22"/>
  <c r="M24" i="22"/>
  <c r="L38" i="22"/>
  <c r="K21" i="22"/>
  <c r="V29" i="22"/>
  <c r="Q15" i="22"/>
  <c r="O25" i="22"/>
  <c r="S22" i="22"/>
  <c r="P36" i="22"/>
  <c r="Q38" i="22"/>
  <c r="U17" i="22"/>
  <c r="S27" i="22"/>
  <c r="K27" i="22"/>
  <c r="T28" i="22"/>
  <c r="N24" i="22"/>
  <c r="O33" i="22"/>
  <c r="R18" i="22"/>
  <c r="V25" i="22"/>
  <c r="N32" i="22"/>
  <c r="Q21" i="22"/>
  <c r="T25" i="22"/>
  <c r="V31" i="22"/>
  <c r="V33" i="22"/>
  <c r="N38" i="22"/>
  <c r="B72" i="22"/>
  <c r="AS26" i="24"/>
  <c r="CH26" i="24" s="1"/>
  <c r="AS29" i="24"/>
  <c r="CH29" i="24" s="1"/>
  <c r="AT26" i="24"/>
  <c r="CI26" i="24" s="1"/>
  <c r="AT29" i="24"/>
  <c r="CI29" i="24" s="1"/>
  <c r="AS27" i="24"/>
  <c r="CH27" i="24" s="1"/>
  <c r="AS28" i="24"/>
  <c r="CH28" i="24" s="1"/>
  <c r="AT27" i="24"/>
  <c r="CI27" i="24" s="1"/>
  <c r="AT28" i="24"/>
  <c r="CI28" i="24" s="1"/>
  <c r="AY5" i="22"/>
  <c r="AW5" i="22"/>
  <c r="AX6" i="22"/>
  <c r="W28" i="22" l="1" a="1"/>
  <c r="W28" i="22" s="1"/>
  <c r="W29" i="22" a="1"/>
  <c r="W29" i="22" s="1"/>
  <c r="W55" i="22" a="1"/>
  <c r="W55" i="22" s="1"/>
  <c r="W61" i="22" a="1"/>
  <c r="W61" i="22" s="1"/>
  <c r="W66" i="22" a="1"/>
  <c r="W66" i="22" s="1"/>
  <c r="Q14" i="22"/>
  <c r="T14" i="22"/>
  <c r="J14" i="22"/>
  <c r="S14" i="22"/>
  <c r="V14" i="22"/>
  <c r="P14" i="22"/>
  <c r="R14" i="22"/>
  <c r="M14" i="22"/>
  <c r="N14" i="22"/>
  <c r="O14" i="22"/>
  <c r="U14" i="22"/>
  <c r="M13" i="22"/>
  <c r="L14" i="22"/>
  <c r="K14" i="22"/>
  <c r="P13" i="22"/>
  <c r="L13" i="22"/>
  <c r="U13" i="22"/>
  <c r="J13" i="22"/>
  <c r="V13" i="22"/>
  <c r="S13" i="22"/>
  <c r="N13" i="22"/>
  <c r="Q13" i="22"/>
  <c r="O13" i="22"/>
  <c r="T13" i="22"/>
  <c r="I13" i="22"/>
  <c r="K13" i="22"/>
  <c r="R13" i="22"/>
  <c r="W22" i="22" a="1"/>
  <c r="W22" i="22" s="1"/>
  <c r="W59" i="22" a="1"/>
  <c r="W59" i="22" s="1"/>
  <c r="W41" i="22" a="1"/>
  <c r="W41" i="22" s="1"/>
  <c r="W54" i="22" a="1"/>
  <c r="W54" i="22" s="1"/>
  <c r="W56" i="22" a="1"/>
  <c r="W56" i="22" s="1"/>
  <c r="W27" i="22" a="1"/>
  <c r="W27" i="22" s="1"/>
  <c r="W46" i="22" a="1"/>
  <c r="W46" i="22" s="1"/>
  <c r="W50" i="22" a="1"/>
  <c r="W50" i="22" s="1"/>
  <c r="W25" i="22" a="1"/>
  <c r="W25" i="22" s="1"/>
  <c r="W39" i="22" a="1"/>
  <c r="W39" i="22" s="1"/>
  <c r="W64" i="22" a="1"/>
  <c r="W64" i="22" s="1"/>
  <c r="W67" i="22" a="1"/>
  <c r="W67" i="22" s="1"/>
  <c r="W52" i="22" a="1"/>
  <c r="W52" i="22" s="1"/>
  <c r="W33" i="22" a="1"/>
  <c r="W33" i="22" s="1"/>
  <c r="W48" i="22" a="1"/>
  <c r="W48" i="22" s="1"/>
  <c r="W49" i="22" a="1"/>
  <c r="W49" i="22" s="1"/>
  <c r="W51" i="22" a="1"/>
  <c r="W51" i="22" s="1"/>
  <c r="W58" i="22" a="1"/>
  <c r="W58" i="22" s="1"/>
  <c r="W68" i="22" a="1"/>
  <c r="W68" i="22" s="1"/>
  <c r="W42" i="22" a="1"/>
  <c r="W42" i="22" s="1"/>
  <c r="W30" i="22" a="1"/>
  <c r="W30" i="22" s="1"/>
  <c r="W20" i="22" a="1"/>
  <c r="W20" i="22" s="1"/>
  <c r="W17" i="22" a="1"/>
  <c r="W17" i="22" s="1"/>
  <c r="W60" i="22" a="1"/>
  <c r="W60" i="22" s="1"/>
  <c r="W65" i="22" a="1"/>
  <c r="W65" i="22" s="1"/>
  <c r="W16" i="22" a="1"/>
  <c r="W16" i="22" s="1"/>
  <c r="W45" i="22" a="1"/>
  <c r="W45" i="22" s="1"/>
  <c r="W23" i="22" a="1"/>
  <c r="W23" i="22" s="1"/>
  <c r="W24" i="22" a="1"/>
  <c r="W24" i="22" s="1"/>
  <c r="W32" i="22" a="1"/>
  <c r="W32" i="22" s="1"/>
  <c r="W44" i="22" a="1"/>
  <c r="W44" i="22" s="1"/>
  <c r="W62" i="22" a="1"/>
  <c r="W62" i="22" s="1"/>
  <c r="W43" i="22" a="1"/>
  <c r="W43" i="22" s="1"/>
  <c r="W40" i="22" a="1"/>
  <c r="W40" i="22" s="1"/>
  <c r="W47" i="22" a="1"/>
  <c r="W47" i="22" s="1"/>
  <c r="W57" i="22" a="1"/>
  <c r="W57" i="22" s="1"/>
  <c r="W36" i="22" a="1"/>
  <c r="W36" i="22" s="1"/>
  <c r="W38" i="22" a="1"/>
  <c r="W38" i="22" s="1"/>
  <c r="W26" i="22" a="1"/>
  <c r="W26" i="22" s="1"/>
  <c r="W31" i="22" a="1"/>
  <c r="W31" i="22" s="1"/>
  <c r="W37" i="22" a="1"/>
  <c r="W37" i="22" s="1"/>
  <c r="W35" i="22" a="1"/>
  <c r="W35" i="22" s="1"/>
  <c r="W15" i="22" a="1"/>
  <c r="W15" i="22" s="1"/>
  <c r="W21" i="22" a="1"/>
  <c r="W21" i="22" s="1"/>
  <c r="W18" i="22" a="1"/>
  <c r="W18" i="22" s="1"/>
  <c r="W34" i="22" a="1"/>
  <c r="W34" i="22" s="1"/>
  <c r="W53" i="22" a="1"/>
  <c r="W53" i="22" s="1"/>
  <c r="W63" i="22" a="1"/>
  <c r="W63" i="22" s="1"/>
  <c r="AT25" i="24"/>
  <c r="CI25" i="24" s="1"/>
  <c r="AS25" i="24"/>
  <c r="CH25" i="24" s="1"/>
  <c r="AS24" i="24"/>
  <c r="CH24" i="24" s="1"/>
  <c r="AT24" i="24"/>
  <c r="CI24" i="24" s="1"/>
  <c r="AS23" i="24"/>
  <c r="CH23" i="24" s="1"/>
  <c r="AT23" i="24"/>
  <c r="CI23" i="24" s="1"/>
  <c r="AS14" i="24"/>
  <c r="CH14" i="24" s="1"/>
  <c r="AT14" i="24"/>
  <c r="CI14" i="24" s="1"/>
  <c r="AS12" i="24"/>
  <c r="CH12" i="24" s="1"/>
  <c r="AS15" i="24"/>
  <c r="CH15" i="24" s="1"/>
  <c r="AT22" i="24"/>
  <c r="CI22" i="24" s="1"/>
  <c r="AT16" i="24"/>
  <c r="CI16" i="24" s="1"/>
  <c r="AS13" i="24"/>
  <c r="CH13" i="24" s="1"/>
  <c r="AT19" i="24"/>
  <c r="CI19" i="24" s="1"/>
  <c r="AT18" i="24"/>
  <c r="CI18" i="24" s="1"/>
  <c r="AT21" i="24"/>
  <c r="CI21" i="24" s="1"/>
  <c r="AS22" i="24"/>
  <c r="CH22" i="24" s="1"/>
  <c r="AT10" i="24"/>
  <c r="CI10" i="24" s="1"/>
  <c r="AS17" i="24"/>
  <c r="CH17" i="24" s="1"/>
  <c r="AT12" i="24"/>
  <c r="CI12" i="24" s="1"/>
  <c r="AT20" i="24"/>
  <c r="CI20" i="24" s="1"/>
  <c r="AS21" i="24"/>
  <c r="CH21" i="24" s="1"/>
  <c r="AT15" i="24"/>
  <c r="CI15" i="24" s="1"/>
  <c r="AS11" i="24"/>
  <c r="CH11" i="24" s="1"/>
  <c r="AT11" i="24"/>
  <c r="CI11" i="24" s="1"/>
  <c r="AT13" i="24"/>
  <c r="CI13" i="24" s="1"/>
  <c r="AS10" i="24"/>
  <c r="CH10" i="24" s="1"/>
  <c r="AS18" i="24"/>
  <c r="CH18" i="24" s="1"/>
  <c r="AT17" i="24"/>
  <c r="CI17" i="24" s="1"/>
  <c r="AS19" i="24"/>
  <c r="CH19" i="24" s="1"/>
  <c r="AS20" i="24"/>
  <c r="CH20" i="24" s="1"/>
  <c r="B73" i="22"/>
  <c r="AX7" i="22"/>
  <c r="AW6" i="22"/>
  <c r="AY6" i="22"/>
  <c r="W14" i="22" l="1" a="1"/>
  <c r="W14" i="22" s="1"/>
  <c r="W13" i="22" a="1"/>
  <c r="W13" i="22" s="1"/>
  <c r="B74" i="22"/>
  <c r="AW7" i="22"/>
  <c r="AX8" i="22"/>
  <c r="AY7" i="22"/>
  <c r="B8" i="24" l="1" a="1"/>
  <c r="B8" i="24" s="1"/>
  <c r="AS16" i="24"/>
  <c r="CH16" i="24" s="1"/>
  <c r="B75" i="22"/>
  <c r="AX9" i="22"/>
  <c r="AY8" i="22"/>
  <c r="AW8" i="22"/>
  <c r="AT9" i="24" l="1"/>
  <c r="CI9" i="24" s="1"/>
  <c r="J67" i="24" a="1"/>
  <c r="J67" i="24" s="1"/>
  <c r="AS9" i="24"/>
  <c r="CH9" i="24" s="1"/>
  <c r="AT8" i="24"/>
  <c r="CI8" i="24" s="1"/>
  <c r="F67" i="24" a="1"/>
  <c r="F67" i="24" s="1"/>
  <c r="AS8" i="24"/>
  <c r="CH8" i="24" s="1"/>
  <c r="B76" i="22"/>
  <c r="AW9" i="22"/>
  <c r="AX10" i="22"/>
  <c r="AY9" i="22"/>
  <c r="B77" i="22" l="1"/>
  <c r="AW10" i="22"/>
  <c r="AX11" i="22"/>
  <c r="AY10" i="22"/>
  <c r="B78" i="22" l="1"/>
  <c r="AW11" i="22"/>
  <c r="AX12" i="22"/>
  <c r="AY11" i="22"/>
  <c r="B79" i="22" l="1"/>
  <c r="AX13" i="22"/>
  <c r="AY12" i="22"/>
  <c r="AW12" i="22"/>
  <c r="B80" i="22" l="1"/>
  <c r="AW13" i="22"/>
  <c r="AX14" i="22"/>
  <c r="AY13" i="22"/>
  <c r="B81" i="22" l="1"/>
  <c r="AX15" i="22"/>
  <c r="AY14" i="22"/>
  <c r="AW14" i="22"/>
  <c r="B82" i="22" l="1"/>
  <c r="AW15" i="22"/>
  <c r="AX16" i="22"/>
  <c r="AY15" i="22"/>
  <c r="B83" i="22" l="1"/>
  <c r="AY16" i="22"/>
  <c r="AW16" i="22"/>
  <c r="B84" i="22" l="1"/>
  <c r="C71" i="22" l="1" a="1"/>
  <c r="BW3" i="22" s="1"/>
  <c r="BW27" i="22" l="1"/>
  <c r="C71" i="22"/>
  <c r="BG3" i="22"/>
  <c r="BV3" i="22"/>
  <c r="BI3" i="22"/>
  <c r="BT3" i="22"/>
  <c r="BP3" i="22"/>
  <c r="BF3" i="22"/>
  <c r="BU3" i="22"/>
  <c r="BN3" i="22"/>
  <c r="BR3" i="22"/>
  <c r="BE3" i="22"/>
  <c r="BD3" i="22"/>
  <c r="BC3" i="22"/>
  <c r="BS3" i="22"/>
  <c r="BO3" i="22"/>
  <c r="BB3" i="22"/>
  <c r="BL3" i="22"/>
  <c r="BH3" i="22"/>
  <c r="BK3" i="22"/>
  <c r="BM3" i="22"/>
  <c r="BJ3" i="22"/>
  <c r="BA3" i="22"/>
  <c r="BQ3" i="22"/>
  <c r="CP13" i="22"/>
  <c r="BW13" i="22" s="1"/>
  <c r="CP14" i="22"/>
  <c r="BW14" i="22" s="1"/>
  <c r="C69" i="22"/>
  <c r="CP5" i="22"/>
  <c r="BW5" i="22" s="1"/>
  <c r="CP12" i="22"/>
  <c r="BW12" i="22" s="1"/>
  <c r="CP6" i="22"/>
  <c r="BW6" i="22" s="1"/>
  <c r="CP16" i="22"/>
  <c r="BW16" i="22" s="1"/>
  <c r="CP4" i="22"/>
  <c r="BW4" i="22" s="1"/>
  <c r="CP7" i="22"/>
  <c r="BW7" i="22" s="1"/>
  <c r="CP8" i="22"/>
  <c r="BW8" i="22" s="1"/>
  <c r="CP15" i="22"/>
  <c r="BW15" i="22" s="1"/>
  <c r="CP9" i="22"/>
  <c r="BW9" i="22" s="1"/>
  <c r="CP10" i="22"/>
  <c r="BW10" i="22" s="1"/>
  <c r="CP11" i="22"/>
  <c r="BW11" i="22" s="1"/>
  <c r="AS73" i="22" l="1"/>
  <c r="CQ5" i="22"/>
  <c r="AS77" i="22"/>
  <c r="CQ9" i="22"/>
  <c r="AS81" i="22"/>
  <c r="CQ13" i="22"/>
  <c r="AS74" i="22"/>
  <c r="CQ6" i="22"/>
  <c r="AS83" i="22"/>
  <c r="CQ15" i="22"/>
  <c r="AS82" i="22"/>
  <c r="CQ14" i="22"/>
  <c r="AS80" i="22"/>
  <c r="CQ12" i="22"/>
  <c r="AS75" i="22"/>
  <c r="CQ7" i="22"/>
  <c r="AS79" i="22"/>
  <c r="CQ11" i="22"/>
  <c r="AS76" i="22"/>
  <c r="CQ8" i="22"/>
  <c r="AS84" i="22"/>
  <c r="CQ16" i="22"/>
  <c r="AS78" i="22"/>
  <c r="CQ10" i="22"/>
  <c r="AS72" i="22"/>
  <c r="CQ4" i="22"/>
  <c r="B9" i="11" a="1"/>
  <c r="B9" i="11" s="1"/>
  <c r="BB27" i="22"/>
  <c r="BB11" i="22"/>
  <c r="BB25" i="22"/>
  <c r="BB9" i="22"/>
  <c r="BB20" i="22"/>
  <c r="BB19" i="22"/>
  <c r="BB8" i="22"/>
  <c r="BB7" i="22"/>
  <c r="BB28" i="22"/>
  <c r="BB5" i="22"/>
  <c r="BB26" i="22"/>
  <c r="BB6" i="22"/>
  <c r="BB23" i="22"/>
  <c r="BB22" i="22"/>
  <c r="BB21" i="22"/>
  <c r="BB18" i="22"/>
  <c r="BB17" i="22"/>
  <c r="BB15" i="22"/>
  <c r="BB14" i="22"/>
  <c r="BB13" i="22"/>
  <c r="BB12" i="22"/>
  <c r="BB24" i="22"/>
  <c r="BB16" i="22"/>
  <c r="BB10" i="22"/>
  <c r="BB4" i="22"/>
  <c r="BO17" i="22"/>
  <c r="BO26" i="22"/>
  <c r="BO10" i="22"/>
  <c r="BO25" i="22"/>
  <c r="BO9" i="22"/>
  <c r="BO22" i="22"/>
  <c r="BO4" i="22"/>
  <c r="BO21" i="22"/>
  <c r="BO20" i="22"/>
  <c r="BO19" i="22"/>
  <c r="BO16" i="22"/>
  <c r="BO15" i="22"/>
  <c r="BO14" i="22"/>
  <c r="BO13" i="22"/>
  <c r="BO12" i="22"/>
  <c r="BO11" i="22"/>
  <c r="BO8" i="22"/>
  <c r="BO27" i="22"/>
  <c r="BO7" i="22"/>
  <c r="BO23" i="22"/>
  <c r="BO28" i="22"/>
  <c r="BO24" i="22"/>
  <c r="BO18" i="22"/>
  <c r="BO6" i="22"/>
  <c r="BO5" i="22"/>
  <c r="BS15" i="22"/>
  <c r="BS14" i="22"/>
  <c r="BS23" i="22"/>
  <c r="BS7" i="22"/>
  <c r="BS21" i="22"/>
  <c r="BS5" i="22"/>
  <c r="BS18" i="22"/>
  <c r="BS17" i="22"/>
  <c r="BS16" i="22"/>
  <c r="BS13" i="22"/>
  <c r="BS11" i="22"/>
  <c r="BS10" i="22"/>
  <c r="BS9" i="22"/>
  <c r="BS28" i="22"/>
  <c r="BS8" i="22"/>
  <c r="BS27" i="22"/>
  <c r="BS6" i="22"/>
  <c r="BS26" i="22"/>
  <c r="BS25" i="22"/>
  <c r="BS4" i="22"/>
  <c r="BS24" i="22"/>
  <c r="BS22" i="22"/>
  <c r="BS19" i="22"/>
  <c r="BS20" i="22"/>
  <c r="BS12" i="22"/>
  <c r="BC21" i="22"/>
  <c r="BC6" i="22"/>
  <c r="BC28" i="22"/>
  <c r="BC11" i="22"/>
  <c r="BC27" i="22"/>
  <c r="BC10" i="22"/>
  <c r="BC26" i="22"/>
  <c r="BC9" i="22"/>
  <c r="BC22" i="22"/>
  <c r="BC20" i="22"/>
  <c r="BC4" i="22"/>
  <c r="BC19" i="22"/>
  <c r="BC18" i="22"/>
  <c r="BC12" i="22"/>
  <c r="BC14" i="22"/>
  <c r="BC13" i="22"/>
  <c r="BC8" i="22"/>
  <c r="BC7" i="22"/>
  <c r="BC5" i="22"/>
  <c r="BC25" i="22"/>
  <c r="BC23" i="22"/>
  <c r="BC24" i="22"/>
  <c r="BC17" i="22"/>
  <c r="BC16" i="22"/>
  <c r="BC15" i="22"/>
  <c r="BD26" i="22"/>
  <c r="BD9" i="22"/>
  <c r="BD24" i="22"/>
  <c r="BD8" i="22"/>
  <c r="BD19" i="22"/>
  <c r="BD4" i="22"/>
  <c r="BD18" i="22"/>
  <c r="BD17" i="22"/>
  <c r="BD16" i="22"/>
  <c r="BD13" i="22"/>
  <c r="BD11" i="22"/>
  <c r="BD10" i="22"/>
  <c r="BD7" i="22"/>
  <c r="BD6" i="22"/>
  <c r="BD5" i="22"/>
  <c r="BD28" i="22"/>
  <c r="BD27" i="22"/>
  <c r="BD25" i="22"/>
  <c r="BD23" i="22"/>
  <c r="BD22" i="22"/>
  <c r="BD21" i="22"/>
  <c r="BD20" i="22"/>
  <c r="BD15" i="22"/>
  <c r="BD12" i="22"/>
  <c r="BD14" i="22"/>
  <c r="BE19" i="22"/>
  <c r="BE17" i="22"/>
  <c r="BE16" i="22"/>
  <c r="BE15" i="22"/>
  <c r="BE14" i="22"/>
  <c r="BE12" i="22"/>
  <c r="BE28" i="22"/>
  <c r="BE13" i="22"/>
  <c r="BE27" i="22"/>
  <c r="BE11" i="22"/>
  <c r="BE26" i="22"/>
  <c r="BE10" i="22"/>
  <c r="BE25" i="22"/>
  <c r="BE9" i="22"/>
  <c r="BE24" i="22"/>
  <c r="BE8" i="22"/>
  <c r="BE23" i="22"/>
  <c r="BE18" i="22"/>
  <c r="BE4" i="22"/>
  <c r="BE20" i="22"/>
  <c r="BE7" i="22"/>
  <c r="BE6" i="22"/>
  <c r="BE5" i="22"/>
  <c r="BE21" i="22"/>
  <c r="BE22" i="22"/>
  <c r="BR18" i="22"/>
  <c r="BR21" i="22"/>
  <c r="BR5" i="22"/>
  <c r="BR22" i="22"/>
  <c r="BR20" i="22"/>
  <c r="BR4" i="22"/>
  <c r="BR15" i="22"/>
  <c r="BR14" i="22"/>
  <c r="BR12" i="22"/>
  <c r="BR19" i="22"/>
  <c r="BR17" i="22"/>
  <c r="BR16" i="22"/>
  <c r="BR13" i="22"/>
  <c r="BR11" i="22"/>
  <c r="BR10" i="22"/>
  <c r="BR9" i="22"/>
  <c r="BR8" i="22"/>
  <c r="BR7" i="22"/>
  <c r="BR6" i="22"/>
  <c r="BR27" i="22"/>
  <c r="BR26" i="22"/>
  <c r="BR25" i="22"/>
  <c r="BR24" i="22"/>
  <c r="BR28" i="22"/>
  <c r="BR23" i="22"/>
  <c r="BN26" i="22"/>
  <c r="BN9" i="22"/>
  <c r="BN22" i="22"/>
  <c r="BN5" i="22"/>
  <c r="BN21" i="22"/>
  <c r="BN20" i="22"/>
  <c r="BN4" i="22"/>
  <c r="BN16" i="22"/>
  <c r="BN15" i="22"/>
  <c r="BN14" i="22"/>
  <c r="BN13" i="22"/>
  <c r="BN23" i="22"/>
  <c r="BN6" i="22"/>
  <c r="BN25" i="22"/>
  <c r="BN24" i="22"/>
  <c r="BN18" i="22"/>
  <c r="BN19" i="22"/>
  <c r="BN17" i="22"/>
  <c r="BN12" i="22"/>
  <c r="BN11" i="22"/>
  <c r="BN10" i="22"/>
  <c r="BN8" i="22"/>
  <c r="BN7" i="22"/>
  <c r="BN28" i="22"/>
  <c r="BN27" i="22"/>
  <c r="BU14" i="22"/>
  <c r="BU12" i="22"/>
  <c r="BU28" i="22"/>
  <c r="BU13" i="22"/>
  <c r="BU27" i="22"/>
  <c r="BU11" i="22"/>
  <c r="BU26" i="22"/>
  <c r="BU10" i="22"/>
  <c r="BU25" i="22"/>
  <c r="BU9" i="22"/>
  <c r="BU24" i="22"/>
  <c r="BU8" i="22"/>
  <c r="BU23" i="22"/>
  <c r="BU7" i="22"/>
  <c r="BU22" i="22"/>
  <c r="BU6" i="22"/>
  <c r="BU21" i="22"/>
  <c r="BU5" i="22"/>
  <c r="BU20" i="22"/>
  <c r="BU18" i="22"/>
  <c r="BU4" i="22"/>
  <c r="BU19" i="22"/>
  <c r="BU17" i="22"/>
  <c r="BU15" i="22"/>
  <c r="BU16" i="22"/>
  <c r="BQ21" i="22"/>
  <c r="BQ12" i="22"/>
  <c r="BQ15" i="22"/>
  <c r="BQ19" i="22"/>
  <c r="BQ18" i="22"/>
  <c r="BQ17" i="22"/>
  <c r="BQ11" i="22"/>
  <c r="BQ10" i="22"/>
  <c r="BQ28" i="22"/>
  <c r="BQ9" i="22"/>
  <c r="BQ22" i="22"/>
  <c r="BQ4" i="22"/>
  <c r="BQ24" i="22"/>
  <c r="BQ20" i="22"/>
  <c r="BQ16" i="22"/>
  <c r="BQ14" i="22"/>
  <c r="BQ13" i="22"/>
  <c r="BQ8" i="22"/>
  <c r="BQ7" i="22"/>
  <c r="BQ6" i="22"/>
  <c r="BQ5" i="22"/>
  <c r="BQ27" i="22"/>
  <c r="BQ26" i="22"/>
  <c r="BQ25" i="22"/>
  <c r="BQ23" i="22"/>
  <c r="BF18" i="22"/>
  <c r="BF17" i="22"/>
  <c r="BF28" i="22"/>
  <c r="BF13" i="22"/>
  <c r="BF15" i="22"/>
  <c r="BF14" i="22"/>
  <c r="BF12" i="22"/>
  <c r="BF11" i="22"/>
  <c r="BF10" i="22"/>
  <c r="BF9" i="22"/>
  <c r="BF27" i="22"/>
  <c r="BF8" i="22"/>
  <c r="BF26" i="22"/>
  <c r="BF7" i="22"/>
  <c r="BF25" i="22"/>
  <c r="BF6" i="22"/>
  <c r="BF23" i="22"/>
  <c r="BF5" i="22"/>
  <c r="BF24" i="22"/>
  <c r="BF22" i="22"/>
  <c r="BF4" i="22"/>
  <c r="BF21" i="22"/>
  <c r="BF20" i="22"/>
  <c r="BF16" i="22"/>
  <c r="BF19" i="22"/>
  <c r="BA12" i="22"/>
  <c r="BA13" i="22"/>
  <c r="BA11" i="22"/>
  <c r="BA7" i="22"/>
  <c r="BA15" i="22"/>
  <c r="BA14" i="22"/>
  <c r="BA10" i="22"/>
  <c r="BA9" i="22"/>
  <c r="BA8" i="22"/>
  <c r="BA6" i="22"/>
  <c r="BA5" i="22"/>
  <c r="BA4" i="22"/>
  <c r="BA16" i="22"/>
  <c r="BP12" i="22"/>
  <c r="BP28" i="22"/>
  <c r="BP13" i="22"/>
  <c r="BP22" i="22"/>
  <c r="BP5" i="22"/>
  <c r="BP20" i="22"/>
  <c r="BP21" i="22"/>
  <c r="BP18" i="22"/>
  <c r="BP19" i="22"/>
  <c r="BP16" i="22"/>
  <c r="BP15" i="22"/>
  <c r="BP14" i="22"/>
  <c r="BP11" i="22"/>
  <c r="BP10" i="22"/>
  <c r="BP9" i="22"/>
  <c r="BP8" i="22"/>
  <c r="BP27" i="22"/>
  <c r="BP7" i="22"/>
  <c r="BP26" i="22"/>
  <c r="BP6" i="22"/>
  <c r="BP25" i="22"/>
  <c r="BP4" i="22"/>
  <c r="BP23" i="22"/>
  <c r="BP24" i="22"/>
  <c r="BP17" i="22"/>
  <c r="BJ16" i="22"/>
  <c r="BJ15" i="22"/>
  <c r="BJ14" i="22"/>
  <c r="BJ26" i="22"/>
  <c r="BJ9" i="22"/>
  <c r="BJ11" i="22"/>
  <c r="BJ10" i="22"/>
  <c r="BJ8" i="22"/>
  <c r="BJ28" i="22"/>
  <c r="BJ7" i="22"/>
  <c r="BJ27" i="22"/>
  <c r="BJ5" i="22"/>
  <c r="BJ25" i="22"/>
  <c r="BJ6" i="22"/>
  <c r="BJ24" i="22"/>
  <c r="BJ23" i="22"/>
  <c r="BJ4" i="22"/>
  <c r="BJ20" i="22"/>
  <c r="BJ22" i="22"/>
  <c r="BJ21" i="22"/>
  <c r="BJ18" i="22"/>
  <c r="BJ19" i="22"/>
  <c r="BJ17" i="22"/>
  <c r="BJ12" i="22"/>
  <c r="BJ13" i="22"/>
  <c r="BT21" i="22"/>
  <c r="BT5" i="22"/>
  <c r="BT20" i="22"/>
  <c r="BT19" i="22"/>
  <c r="BT4" i="22"/>
  <c r="BT15" i="22"/>
  <c r="BT14" i="22"/>
  <c r="BT12" i="22"/>
  <c r="BT28" i="22"/>
  <c r="BT13" i="22"/>
  <c r="BT22" i="22"/>
  <c r="BT6" i="22"/>
  <c r="BT9" i="22"/>
  <c r="BT8" i="22"/>
  <c r="BT7" i="22"/>
  <c r="BT27" i="22"/>
  <c r="BT26" i="22"/>
  <c r="BT25" i="22"/>
  <c r="BT24" i="22"/>
  <c r="BT23" i="22"/>
  <c r="BT18" i="22"/>
  <c r="BT17" i="22"/>
  <c r="BT16" i="22"/>
  <c r="BT10" i="22"/>
  <c r="BT11" i="22"/>
  <c r="BM24" i="22"/>
  <c r="BM8" i="22"/>
  <c r="BM23" i="22"/>
  <c r="BM7" i="22"/>
  <c r="BM21" i="22"/>
  <c r="BM5" i="22"/>
  <c r="BM17" i="22"/>
  <c r="BM15" i="22"/>
  <c r="BM14" i="22"/>
  <c r="BM12" i="22"/>
  <c r="BM13" i="22"/>
  <c r="BM11" i="22"/>
  <c r="BM10" i="22"/>
  <c r="BM6" i="22"/>
  <c r="BM28" i="22"/>
  <c r="BM27" i="22"/>
  <c r="BM4" i="22"/>
  <c r="BM25" i="22"/>
  <c r="BM22" i="22"/>
  <c r="BM20" i="22"/>
  <c r="BM19" i="22"/>
  <c r="BM18" i="22"/>
  <c r="BM26" i="22"/>
  <c r="BM16" i="22"/>
  <c r="BM9" i="22"/>
  <c r="BI14" i="22"/>
  <c r="BI13" i="22"/>
  <c r="BI25" i="22"/>
  <c r="BI10" i="22"/>
  <c r="BI26" i="22"/>
  <c r="BI9" i="22"/>
  <c r="BI24" i="22"/>
  <c r="BI8" i="22"/>
  <c r="BI21" i="22"/>
  <c r="BI5" i="22"/>
  <c r="BI20" i="22"/>
  <c r="BI18" i="22"/>
  <c r="BI4" i="22"/>
  <c r="BI19" i="22"/>
  <c r="BI17" i="22"/>
  <c r="BI15" i="22"/>
  <c r="BI28" i="22"/>
  <c r="BI27" i="22"/>
  <c r="BI23" i="22"/>
  <c r="BI22" i="22"/>
  <c r="BI16" i="22"/>
  <c r="BI12" i="22"/>
  <c r="BI11" i="22"/>
  <c r="BI7" i="22"/>
  <c r="BI6" i="22"/>
  <c r="BK25" i="22"/>
  <c r="BK10" i="22"/>
  <c r="BK26" i="22"/>
  <c r="BK9" i="22"/>
  <c r="BK23" i="22"/>
  <c r="BK8" i="22"/>
  <c r="BK20" i="22"/>
  <c r="BK19" i="22"/>
  <c r="BK4" i="22"/>
  <c r="BK28" i="22"/>
  <c r="BK12" i="22"/>
  <c r="BK5" i="22"/>
  <c r="BK27" i="22"/>
  <c r="BK24" i="22"/>
  <c r="BK22" i="22"/>
  <c r="BK21" i="22"/>
  <c r="BK15" i="22"/>
  <c r="BK18" i="22"/>
  <c r="BK17" i="22"/>
  <c r="BK16" i="22"/>
  <c r="BK14" i="22"/>
  <c r="BK13" i="22"/>
  <c r="BK11" i="22"/>
  <c r="BK7" i="22"/>
  <c r="BK6" i="22"/>
  <c r="BV26" i="22"/>
  <c r="BV10" i="22"/>
  <c r="BV25" i="22"/>
  <c r="BV9" i="22"/>
  <c r="BV22" i="22"/>
  <c r="BV6" i="22"/>
  <c r="BV21" i="22"/>
  <c r="BV5" i="22"/>
  <c r="BV20" i="22"/>
  <c r="BV19" i="22"/>
  <c r="BV4" i="22"/>
  <c r="BV18" i="22"/>
  <c r="BV17" i="22"/>
  <c r="BV16" i="22"/>
  <c r="BV15" i="22"/>
  <c r="BV14" i="22"/>
  <c r="BV12" i="22"/>
  <c r="BV27" i="22"/>
  <c r="BV11" i="22"/>
  <c r="BV28" i="22"/>
  <c r="BV24" i="22"/>
  <c r="BV23" i="22"/>
  <c r="BV13" i="22"/>
  <c r="BV8" i="22"/>
  <c r="BV7" i="22"/>
  <c r="BH5" i="22"/>
  <c r="BH17" i="22"/>
  <c r="BH28" i="22"/>
  <c r="BH11" i="22"/>
  <c r="BH27" i="22"/>
  <c r="BH10" i="22"/>
  <c r="BH25" i="22"/>
  <c r="BH9" i="22"/>
  <c r="BH21" i="22"/>
  <c r="BH22" i="22"/>
  <c r="BH4" i="22"/>
  <c r="BH13" i="22"/>
  <c r="BH16" i="22"/>
  <c r="BH15" i="22"/>
  <c r="BH14" i="22"/>
  <c r="BH12" i="22"/>
  <c r="BH8" i="22"/>
  <c r="BH7" i="22"/>
  <c r="BH6" i="22"/>
  <c r="BH26" i="22"/>
  <c r="BH24" i="22"/>
  <c r="BH23" i="22"/>
  <c r="BH20" i="22"/>
  <c r="BH19" i="22"/>
  <c r="BH18" i="22"/>
  <c r="BG23" i="22"/>
  <c r="BG8" i="22"/>
  <c r="BG24" i="22"/>
  <c r="BG7" i="22"/>
  <c r="BG20" i="22"/>
  <c r="BG19" i="22"/>
  <c r="BG4" i="22"/>
  <c r="BG18" i="22"/>
  <c r="BG17" i="22"/>
  <c r="BG16" i="22"/>
  <c r="BG15" i="22"/>
  <c r="BG14" i="22"/>
  <c r="BG13" i="22"/>
  <c r="BG28" i="22"/>
  <c r="BG12" i="22"/>
  <c r="BG27" i="22"/>
  <c r="BG11" i="22"/>
  <c r="BG26" i="22"/>
  <c r="BG9" i="22"/>
  <c r="BG25" i="22"/>
  <c r="BG22" i="22"/>
  <c r="BG21" i="22"/>
  <c r="BG10" i="22"/>
  <c r="BG5" i="22"/>
  <c r="BG6" i="22"/>
  <c r="BL25" i="22"/>
  <c r="BL14" i="22"/>
  <c r="BL28" i="22"/>
  <c r="BL10" i="22"/>
  <c r="BL27" i="22"/>
  <c r="BL9" i="22"/>
  <c r="BL26" i="22"/>
  <c r="BL8" i="22"/>
  <c r="BL24" i="22"/>
  <c r="BL7" i="22"/>
  <c r="BL23" i="22"/>
  <c r="BL5" i="22"/>
  <c r="BL21" i="22"/>
  <c r="BL20" i="22"/>
  <c r="BL4" i="22"/>
  <c r="BL19" i="22"/>
  <c r="BL18" i="22"/>
  <c r="BL16" i="22"/>
  <c r="BL15" i="22"/>
  <c r="BL12" i="22"/>
  <c r="BL22" i="22"/>
  <c r="BL17" i="22"/>
  <c r="BL13" i="22"/>
  <c r="BL11" i="22"/>
  <c r="BL6" i="22"/>
  <c r="AZ3" i="22"/>
  <c r="BW29" i="22" l="1"/>
  <c r="BL29" i="22"/>
  <c r="BH29" i="22"/>
  <c r="BK29" i="22"/>
  <c r="BG29" i="22"/>
  <c r="BT29" i="22"/>
  <c r="AZ4" i="22"/>
  <c r="AZ14" i="22"/>
  <c r="AZ13" i="22"/>
  <c r="AZ12" i="22"/>
  <c r="AZ11" i="22"/>
  <c r="AZ10" i="22"/>
  <c r="AZ9" i="22"/>
  <c r="AZ5" i="22"/>
  <c r="AZ8" i="22"/>
  <c r="AZ6" i="22"/>
  <c r="AZ7" i="22"/>
  <c r="AZ15" i="22"/>
  <c r="AZ16" i="22"/>
  <c r="BB29" i="22"/>
  <c r="BU29" i="22"/>
  <c r="BC29" i="22"/>
  <c r="BE29" i="22"/>
  <c r="BS29" i="22"/>
  <c r="BO29" i="22"/>
  <c r="BJ29" i="22"/>
  <c r="BF29" i="22"/>
  <c r="BP29" i="22"/>
  <c r="BD29" i="22"/>
  <c r="BQ29" i="22"/>
  <c r="BN29" i="22"/>
  <c r="BR29" i="22"/>
  <c r="BM29" i="22"/>
  <c r="BV29" i="22"/>
  <c r="BI29" i="22"/>
  <c r="BW17" i="22" l="1"/>
  <c r="BW30" i="22"/>
  <c r="BD30" i="22"/>
  <c r="BO30" i="22"/>
  <c r="BS30" i="22"/>
  <c r="BB30" i="22"/>
  <c r="BT30" i="22"/>
  <c r="BE30" i="22"/>
  <c r="BC30" i="22"/>
  <c r="BF30" i="22"/>
  <c r="BQ30" i="22"/>
  <c r="BN30" i="22"/>
  <c r="BR30" i="22"/>
  <c r="BU30" i="22"/>
  <c r="BP30" i="22"/>
  <c r="BM30" i="22"/>
  <c r="BI30" i="22"/>
  <c r="BJ30" i="22"/>
  <c r="BL30" i="22"/>
  <c r="BK30" i="22"/>
  <c r="BV30" i="22"/>
  <c r="BG30" i="22"/>
  <c r="BH30" i="22"/>
  <c r="BW18" i="22" l="1"/>
  <c r="BW31" i="22"/>
  <c r="BC31" i="22"/>
  <c r="BB31" i="22"/>
  <c r="BE31" i="22"/>
  <c r="BS31" i="22"/>
  <c r="BO31" i="22"/>
  <c r="BR31" i="22"/>
  <c r="BQ31" i="22"/>
  <c r="BD31" i="22"/>
  <c r="BN31" i="22"/>
  <c r="BT31" i="22"/>
  <c r="BF31" i="22"/>
  <c r="BU31" i="22"/>
  <c r="BK31" i="22"/>
  <c r="BJ31" i="22"/>
  <c r="BM31" i="22"/>
  <c r="BP31" i="22"/>
  <c r="BI31" i="22"/>
  <c r="BV31" i="22"/>
  <c r="BH31" i="22"/>
  <c r="BL31" i="22"/>
  <c r="BG31" i="22"/>
  <c r="BW19" i="22" l="1"/>
  <c r="BW32" i="22"/>
  <c r="BC32" i="22"/>
  <c r="BD32" i="22"/>
  <c r="BS32" i="22"/>
  <c r="BE32" i="22"/>
  <c r="BQ32" i="22"/>
  <c r="BO32" i="22"/>
  <c r="BB32" i="22"/>
  <c r="BJ32" i="22"/>
  <c r="BU32" i="22"/>
  <c r="BF32" i="22"/>
  <c r="BR32" i="22"/>
  <c r="BT32" i="22"/>
  <c r="BM32" i="22"/>
  <c r="BK32" i="22"/>
  <c r="BN32" i="22"/>
  <c r="BP32" i="22"/>
  <c r="BI32" i="22"/>
  <c r="BG32" i="22"/>
  <c r="BL32" i="22"/>
  <c r="BV32" i="22"/>
  <c r="BH32" i="22"/>
  <c r="BW20" i="22" l="1"/>
  <c r="BW33" i="22"/>
  <c r="BB33" i="22"/>
  <c r="BS33" i="22"/>
  <c r="BO33" i="22"/>
  <c r="BC33" i="22"/>
  <c r="BD33" i="22"/>
  <c r="BF33" i="22"/>
  <c r="BQ33" i="22"/>
  <c r="BN33" i="22"/>
  <c r="BE33" i="22"/>
  <c r="BR33" i="22"/>
  <c r="BP33" i="22"/>
  <c r="BK33" i="22"/>
  <c r="BI33" i="22"/>
  <c r="BH33" i="22"/>
  <c r="BU33" i="22"/>
  <c r="BJ33" i="22"/>
  <c r="BM33" i="22"/>
  <c r="BT33" i="22"/>
  <c r="BV33" i="22"/>
  <c r="BL33" i="22"/>
  <c r="BG33" i="22"/>
  <c r="BW21" i="22" l="1"/>
  <c r="BO34" i="22"/>
  <c r="BN34" i="22"/>
  <c r="BS34" i="22"/>
  <c r="BB34" i="22"/>
  <c r="BC34" i="22"/>
  <c r="BE34" i="22"/>
  <c r="BR34" i="22"/>
  <c r="BF34" i="22"/>
  <c r="BD34" i="22"/>
  <c r="BU34" i="22"/>
  <c r="BQ34" i="22"/>
  <c r="BH34" i="22"/>
  <c r="BJ34" i="22"/>
  <c r="BV34" i="22"/>
  <c r="BI34" i="22"/>
  <c r="BP34" i="22"/>
  <c r="BT34" i="22"/>
  <c r="BM34" i="22"/>
  <c r="BG34" i="22"/>
  <c r="BK34" i="22"/>
  <c r="BL34" i="22"/>
  <c r="BW22" i="22" l="1"/>
  <c r="BW35" i="22"/>
  <c r="BS35" i="22"/>
  <c r="BO35" i="22"/>
  <c r="BB35" i="22"/>
  <c r="BC35" i="22"/>
  <c r="BF35" i="22"/>
  <c r="BR35" i="22"/>
  <c r="BU35" i="22"/>
  <c r="BT35" i="22"/>
  <c r="BE35" i="22"/>
  <c r="BN35" i="22"/>
  <c r="BD35" i="22"/>
  <c r="BQ35" i="22"/>
  <c r="BJ35" i="22"/>
  <c r="BK35" i="22"/>
  <c r="BM35" i="22"/>
  <c r="BP35" i="22"/>
  <c r="BL35" i="22"/>
  <c r="BH35" i="22"/>
  <c r="BI35" i="22"/>
  <c r="BV35" i="22"/>
  <c r="BG35" i="22"/>
  <c r="BW23" i="22" l="1"/>
  <c r="BO36" i="22"/>
  <c r="BU36" i="22"/>
  <c r="BD36" i="22"/>
  <c r="BB36" i="22"/>
  <c r="BS36" i="22"/>
  <c r="BR36" i="22"/>
  <c r="BN36" i="22"/>
  <c r="BJ36" i="22"/>
  <c r="BE36" i="22"/>
  <c r="BQ36" i="22"/>
  <c r="BF36" i="22"/>
  <c r="BC36" i="22"/>
  <c r="BM36" i="22"/>
  <c r="BV36" i="22"/>
  <c r="BP36" i="22"/>
  <c r="BI36" i="22"/>
  <c r="BT36" i="22"/>
  <c r="BG36" i="22"/>
  <c r="BK36" i="22"/>
  <c r="BL36" i="22"/>
  <c r="BH36" i="22"/>
  <c r="BW24" i="22" l="1"/>
  <c r="BW37" i="22"/>
  <c r="BD37" i="22"/>
  <c r="BB37" i="22"/>
  <c r="BS37" i="22"/>
  <c r="BO37" i="22"/>
  <c r="BC37" i="22"/>
  <c r="BN37" i="22"/>
  <c r="BT37" i="22"/>
  <c r="BQ37" i="22"/>
  <c r="BU37" i="22"/>
  <c r="BE37" i="22"/>
  <c r="BR37" i="22"/>
  <c r="BF37" i="22"/>
  <c r="BK37" i="22"/>
  <c r="BJ37" i="22"/>
  <c r="BV37" i="22"/>
  <c r="BM37" i="22"/>
  <c r="BI37" i="22"/>
  <c r="BP37" i="22"/>
  <c r="BG37" i="22"/>
  <c r="BH37" i="22"/>
  <c r="BL37" i="22"/>
  <c r="BW25" i="22" l="1"/>
  <c r="BO38" i="22"/>
  <c r="BE38" i="22"/>
  <c r="BC38" i="22"/>
  <c r="BD38" i="22"/>
  <c r="BN38" i="22"/>
  <c r="BS38" i="22"/>
  <c r="BB38" i="22"/>
  <c r="BU38" i="22"/>
  <c r="BQ38" i="22"/>
  <c r="BP38" i="22"/>
  <c r="BR38" i="22"/>
  <c r="BI38" i="22"/>
  <c r="BM38" i="22"/>
  <c r="BF38" i="22"/>
  <c r="BJ38" i="22"/>
  <c r="BT38" i="22"/>
  <c r="BK38" i="22"/>
  <c r="BG38" i="22"/>
  <c r="BH38" i="22"/>
  <c r="BV38" i="22"/>
  <c r="BL38" i="22"/>
  <c r="BW26" i="22" l="1"/>
  <c r="BB39" i="22"/>
  <c r="BD39" i="22"/>
  <c r="BE39" i="22"/>
  <c r="BO39" i="22"/>
  <c r="BS39" i="22"/>
  <c r="BR39" i="22"/>
  <c r="BQ39" i="22"/>
  <c r="BC39" i="22"/>
  <c r="BP39" i="22"/>
  <c r="BN39" i="22"/>
  <c r="BU39" i="22"/>
  <c r="BJ39" i="22"/>
  <c r="BI39" i="22"/>
  <c r="BM39" i="22"/>
  <c r="BT39" i="22"/>
  <c r="BF39" i="22"/>
  <c r="BV39" i="22"/>
  <c r="BL39" i="22"/>
  <c r="BH39" i="22"/>
  <c r="BG39" i="22"/>
  <c r="BK39" i="22"/>
  <c r="BW40" i="22" l="1"/>
  <c r="BB40" i="22"/>
  <c r="BC40" i="22"/>
  <c r="BO40" i="22"/>
  <c r="BD40" i="22"/>
  <c r="BF40" i="22"/>
  <c r="BP40" i="22"/>
  <c r="BQ40" i="22"/>
  <c r="BE40" i="22"/>
  <c r="BN40" i="22"/>
  <c r="BU40" i="22"/>
  <c r="BT40" i="22"/>
  <c r="BS40" i="22"/>
  <c r="BR40" i="22"/>
  <c r="BJ40" i="22"/>
  <c r="BH40" i="22"/>
  <c r="BG40" i="22"/>
  <c r="BV40" i="22"/>
  <c r="BM40" i="22"/>
  <c r="BI40" i="22"/>
  <c r="BL40" i="22"/>
  <c r="BK40" i="22"/>
  <c r="BW28" i="22" l="1"/>
  <c r="BW41" i="22"/>
  <c r="BB41" i="22"/>
  <c r="BC41" i="22"/>
  <c r="BO41" i="22"/>
  <c r="BS41" i="22"/>
  <c r="BQ41" i="22"/>
  <c r="BE41" i="22"/>
  <c r="BR41" i="22"/>
  <c r="BU41" i="22"/>
  <c r="BJ41" i="22"/>
  <c r="BD41" i="22"/>
  <c r="BN41" i="22"/>
  <c r="BF41" i="22"/>
  <c r="BP41" i="22"/>
  <c r="BM41" i="22"/>
  <c r="BI41" i="22"/>
  <c r="BV41" i="22"/>
  <c r="BT41" i="22"/>
  <c r="BL41" i="22"/>
  <c r="BH41" i="22"/>
  <c r="BG41" i="22"/>
  <c r="BK41" i="22"/>
  <c r="BW42" i="22" l="1"/>
  <c r="BB42" i="22"/>
  <c r="BO42" i="22"/>
  <c r="BS42" i="22"/>
  <c r="BC42" i="22"/>
  <c r="BR42" i="22"/>
  <c r="BT42" i="22"/>
  <c r="BJ42" i="22"/>
  <c r="BE42" i="22"/>
  <c r="BU42" i="22"/>
  <c r="BD42" i="22"/>
  <c r="BN42" i="22"/>
  <c r="BQ42" i="22"/>
  <c r="BF42" i="22"/>
  <c r="BP42" i="22"/>
  <c r="BI42" i="22"/>
  <c r="BV42" i="22"/>
  <c r="BK42" i="22"/>
  <c r="BH42" i="22"/>
  <c r="BL42" i="22"/>
  <c r="BM42" i="22"/>
  <c r="BG42" i="22"/>
  <c r="BS43" i="22" l="1"/>
  <c r="BB43" i="22"/>
  <c r="BC43" i="22"/>
  <c r="BO43" i="22"/>
  <c r="BF43" i="22"/>
  <c r="BJ43" i="22"/>
  <c r="BD43" i="22"/>
  <c r="BU43" i="22"/>
  <c r="BE43" i="22"/>
  <c r="BN43" i="22"/>
  <c r="BQ43" i="22"/>
  <c r="BR43" i="22"/>
  <c r="BT43" i="22"/>
  <c r="BP43" i="22"/>
  <c r="BK43" i="22"/>
  <c r="BM43" i="22"/>
  <c r="BH43" i="22"/>
  <c r="BI43" i="22"/>
  <c r="BL43" i="22"/>
  <c r="BV43" i="22"/>
  <c r="BG43" i="22"/>
  <c r="BW44" i="22" l="1"/>
  <c r="BC44" i="22"/>
  <c r="BR44" i="22"/>
  <c r="BO44" i="22"/>
  <c r="BD44" i="22"/>
  <c r="BS44" i="22"/>
  <c r="BB44" i="22"/>
  <c r="BU44" i="22"/>
  <c r="BN44" i="22"/>
  <c r="BF44" i="22"/>
  <c r="BQ44" i="22"/>
  <c r="BJ44" i="22"/>
  <c r="BE44" i="22"/>
  <c r="BP44" i="22"/>
  <c r="BT44" i="22"/>
  <c r="BM44" i="22"/>
  <c r="BK44" i="22"/>
  <c r="BV44" i="22"/>
  <c r="BI44" i="22"/>
  <c r="BL44" i="22"/>
  <c r="BG44" i="22"/>
  <c r="BH44" i="22"/>
  <c r="BO45" i="22" l="1"/>
  <c r="BB45" i="22"/>
  <c r="BS45" i="22"/>
  <c r="BQ45" i="22"/>
  <c r="BC45" i="22"/>
  <c r="BE45" i="22"/>
  <c r="BT45" i="22"/>
  <c r="BU45" i="22"/>
  <c r="BF45" i="22"/>
  <c r="BR45" i="22"/>
  <c r="BD45" i="22"/>
  <c r="BN45" i="22"/>
  <c r="BI45" i="22"/>
  <c r="BV45" i="22"/>
  <c r="BP45" i="22"/>
  <c r="BJ45" i="22"/>
  <c r="BM45" i="22"/>
  <c r="BK45" i="22"/>
  <c r="BH45" i="22"/>
  <c r="BL45" i="22"/>
  <c r="BG45" i="22"/>
  <c r="BO46" i="22" l="1"/>
  <c r="BS46" i="22"/>
  <c r="BB46" i="22"/>
  <c r="BC46" i="22"/>
  <c r="BR46" i="22"/>
  <c r="BJ46" i="22"/>
  <c r="BQ46" i="22"/>
  <c r="BF46" i="22"/>
  <c r="BD46" i="22"/>
  <c r="BN46" i="22"/>
  <c r="BE46" i="22"/>
  <c r="BU46" i="22"/>
  <c r="BP46" i="22"/>
  <c r="BM46" i="22"/>
  <c r="BH46" i="22"/>
  <c r="BI46" i="22"/>
  <c r="BK46" i="22"/>
  <c r="BL46" i="22"/>
  <c r="BV46" i="22"/>
  <c r="BG46" i="22"/>
  <c r="BT46" i="22"/>
  <c r="BW34" i="22" l="1"/>
  <c r="BW47" i="22"/>
  <c r="BB47" i="22"/>
  <c r="BC47" i="22"/>
  <c r="BS47" i="22"/>
  <c r="BQ47" i="22"/>
  <c r="BR47" i="22"/>
  <c r="BU47" i="22"/>
  <c r="BE47" i="22"/>
  <c r="BD47" i="22"/>
  <c r="BO47" i="22"/>
  <c r="BN47" i="22"/>
  <c r="BF47" i="22"/>
  <c r="BJ47" i="22"/>
  <c r="BM47" i="22"/>
  <c r="BG47" i="22"/>
  <c r="BT47" i="22"/>
  <c r="BI47" i="22"/>
  <c r="BP47" i="22"/>
  <c r="BK47" i="22"/>
  <c r="BV47" i="22"/>
  <c r="BH47" i="22"/>
  <c r="BL47" i="22"/>
  <c r="BR48" i="22" l="1"/>
  <c r="BS48" i="22"/>
  <c r="BB48" i="22"/>
  <c r="BO48" i="22"/>
  <c r="BC48" i="22"/>
  <c r="BP48" i="22"/>
  <c r="BN48" i="22"/>
  <c r="BD48" i="22"/>
  <c r="BE48" i="22"/>
  <c r="BQ48" i="22"/>
  <c r="BU48" i="22"/>
  <c r="BT48" i="22"/>
  <c r="BI48" i="22"/>
  <c r="BF48" i="22"/>
  <c r="BM48" i="22"/>
  <c r="BK48" i="22"/>
  <c r="BJ48" i="22"/>
  <c r="BG48" i="22"/>
  <c r="BL48" i="22"/>
  <c r="BV48" i="22"/>
  <c r="BH48" i="22"/>
  <c r="BW36" i="22" l="1"/>
  <c r="BB49" i="22"/>
  <c r="BE49" i="22"/>
  <c r="BC49" i="22"/>
  <c r="BO49" i="22"/>
  <c r="BS49" i="22"/>
  <c r="BD49" i="22"/>
  <c r="BF49" i="22"/>
  <c r="BQ49" i="22"/>
  <c r="BR49" i="22"/>
  <c r="BP49" i="22"/>
  <c r="BU49" i="22"/>
  <c r="BN49" i="22"/>
  <c r="BI49" i="22"/>
  <c r="BH49" i="22"/>
  <c r="BK49" i="22"/>
  <c r="BM49" i="22"/>
  <c r="BT49" i="22"/>
  <c r="BV49" i="22"/>
  <c r="BL49" i="22"/>
  <c r="BG49" i="22"/>
  <c r="BJ49" i="22"/>
  <c r="BC50" i="22" l="1"/>
  <c r="BB50" i="22"/>
  <c r="BO50" i="22"/>
  <c r="BS50" i="22"/>
  <c r="BD50" i="22"/>
  <c r="BE50" i="22"/>
  <c r="BJ50" i="22"/>
  <c r="BQ50" i="22"/>
  <c r="BN50" i="22"/>
  <c r="BF50" i="22"/>
  <c r="BR50" i="22"/>
  <c r="BV50" i="22"/>
  <c r="BM50" i="22"/>
  <c r="BI50" i="22"/>
  <c r="BU50" i="22"/>
  <c r="BT50" i="22"/>
  <c r="BP50" i="22"/>
  <c r="BG50" i="22"/>
  <c r="BH50" i="22"/>
  <c r="BK50" i="22"/>
  <c r="BL50" i="22"/>
  <c r="BW38" i="22" l="1"/>
  <c r="BD51" i="22"/>
  <c r="BB51" i="22"/>
  <c r="BN51" i="22"/>
  <c r="BO51" i="22"/>
  <c r="BS51" i="22"/>
  <c r="BC51" i="22"/>
  <c r="BF51" i="22"/>
  <c r="BE51" i="22"/>
  <c r="BU51" i="22"/>
  <c r="BR51" i="22"/>
  <c r="BP51" i="22"/>
  <c r="BQ51" i="22"/>
  <c r="BM51" i="22"/>
  <c r="BJ51" i="22"/>
  <c r="BT51" i="22"/>
  <c r="BV51" i="22"/>
  <c r="BI51" i="22"/>
  <c r="BH51" i="22"/>
  <c r="BL51" i="22"/>
  <c r="BK51" i="22"/>
  <c r="BG51" i="22"/>
  <c r="BW39" i="22" l="1"/>
  <c r="BE52" i="22"/>
  <c r="BD52" i="22"/>
  <c r="BO52" i="22"/>
  <c r="BS52" i="22"/>
  <c r="BB52" i="22"/>
  <c r="BC52" i="22"/>
  <c r="BJ52" i="22"/>
  <c r="BP52" i="22"/>
  <c r="BQ52" i="22"/>
  <c r="BR52" i="22"/>
  <c r="BU52" i="22"/>
  <c r="BF52" i="22"/>
  <c r="BN52" i="22"/>
  <c r="BV52" i="22"/>
  <c r="BI52" i="22"/>
  <c r="BM52" i="22"/>
  <c r="BK52" i="22"/>
  <c r="BT52" i="22"/>
  <c r="BG52" i="22"/>
  <c r="BL52" i="22"/>
  <c r="BH52" i="22"/>
  <c r="BW53" i="22" l="1"/>
  <c r="BB53" i="22"/>
  <c r="BO53" i="22"/>
  <c r="BD53" i="22"/>
  <c r="BS53" i="22"/>
  <c r="BC53" i="22"/>
  <c r="BR53" i="22"/>
  <c r="BN53" i="22"/>
  <c r="BU53" i="22"/>
  <c r="BE53" i="22"/>
  <c r="BF53" i="22"/>
  <c r="BQ53" i="22"/>
  <c r="BP53" i="22"/>
  <c r="BT53" i="22"/>
  <c r="BJ53" i="22"/>
  <c r="BI53" i="22"/>
  <c r="BV53" i="22"/>
  <c r="BK53" i="22"/>
  <c r="BH53" i="22"/>
  <c r="BM53" i="22"/>
  <c r="BL53" i="22"/>
  <c r="BG53" i="22"/>
  <c r="BW54" i="22" l="1"/>
  <c r="BO54" i="22"/>
  <c r="BB54" i="22"/>
  <c r="BS54" i="22"/>
  <c r="BN54" i="22"/>
  <c r="BT54" i="22"/>
  <c r="BJ54" i="22"/>
  <c r="BE54" i="22"/>
  <c r="BR54" i="22"/>
  <c r="BQ54" i="22"/>
  <c r="BF54" i="22"/>
  <c r="BC54" i="22"/>
  <c r="BU54" i="22"/>
  <c r="BD54" i="22"/>
  <c r="BI54" i="22"/>
  <c r="BP54" i="22"/>
  <c r="BM54" i="22"/>
  <c r="BV54" i="22"/>
  <c r="BK54" i="22"/>
  <c r="BH54" i="22"/>
  <c r="BL54" i="22"/>
  <c r="BG54" i="22"/>
  <c r="BW55" i="22" l="1"/>
  <c r="BO55" i="22"/>
  <c r="BE55" i="22"/>
  <c r="BB55" i="22"/>
  <c r="BC55" i="22"/>
  <c r="BD55" i="22"/>
  <c r="BS55" i="22"/>
  <c r="BF55" i="22"/>
  <c r="BQ55" i="22"/>
  <c r="BR55" i="22"/>
  <c r="BU55" i="22"/>
  <c r="BN55" i="22"/>
  <c r="BP55" i="22"/>
  <c r="BI55" i="22"/>
  <c r="BM55" i="22"/>
  <c r="BT55" i="22"/>
  <c r="BK55" i="22"/>
  <c r="BG55" i="22"/>
  <c r="BV55" i="22"/>
  <c r="BL55" i="22"/>
  <c r="BJ55" i="22"/>
  <c r="BH55" i="22"/>
  <c r="BW43" i="22" l="1"/>
  <c r="BW56" i="22"/>
  <c r="BD56" i="22"/>
  <c r="BO56" i="22"/>
  <c r="BB56" i="22"/>
  <c r="BS56" i="22"/>
  <c r="BC56" i="22"/>
  <c r="BR56" i="22"/>
  <c r="BE56" i="22"/>
  <c r="BN56" i="22"/>
  <c r="BQ56" i="22"/>
  <c r="BU56" i="22"/>
  <c r="BF56" i="22"/>
  <c r="BT56" i="22"/>
  <c r="BG56" i="22"/>
  <c r="BM56" i="22"/>
  <c r="BV56" i="22"/>
  <c r="BI56" i="22"/>
  <c r="BJ56" i="22"/>
  <c r="BL56" i="22"/>
  <c r="BH56" i="22"/>
  <c r="BK56" i="22"/>
  <c r="BP56" i="22"/>
  <c r="BW57" i="22" l="1"/>
  <c r="BB57" i="22"/>
  <c r="BS57" i="22"/>
  <c r="BN57" i="22"/>
  <c r="BO57" i="22"/>
  <c r="BD57" i="22"/>
  <c r="BQ57" i="22"/>
  <c r="BR57" i="22"/>
  <c r="BU57" i="22"/>
  <c r="BC57" i="22"/>
  <c r="BP57" i="22"/>
  <c r="BE57" i="22"/>
  <c r="BF57" i="22"/>
  <c r="BV57" i="22"/>
  <c r="BI57" i="22"/>
  <c r="BH57" i="22"/>
  <c r="BM57" i="22"/>
  <c r="BJ57" i="22"/>
  <c r="BG57" i="22"/>
  <c r="BT57" i="22"/>
  <c r="BL57" i="22"/>
  <c r="BK57" i="22"/>
  <c r="BW45" i="22" l="1"/>
  <c r="BW58" i="22"/>
  <c r="BC58" i="22"/>
  <c r="BO58" i="22"/>
  <c r="BS58" i="22"/>
  <c r="BB58" i="22"/>
  <c r="BF58" i="22"/>
  <c r="BQ58" i="22"/>
  <c r="BE58" i="22"/>
  <c r="BU58" i="22"/>
  <c r="BD58" i="22"/>
  <c r="BN58" i="22"/>
  <c r="BP58" i="22"/>
  <c r="BJ58" i="22"/>
  <c r="BR58" i="22"/>
  <c r="BM58" i="22"/>
  <c r="BI58" i="22"/>
  <c r="BT58" i="22"/>
  <c r="BV58" i="22"/>
  <c r="BH58" i="22"/>
  <c r="BK58" i="22"/>
  <c r="BL58" i="22"/>
  <c r="BG58" i="22"/>
  <c r="BW46" i="22" l="1"/>
  <c r="BW59" i="22"/>
  <c r="BC59" i="22"/>
  <c r="BB59" i="22"/>
  <c r="BS59" i="22"/>
  <c r="BO59" i="22"/>
  <c r="BP59" i="22"/>
  <c r="BN59" i="22"/>
  <c r="BF59" i="22"/>
  <c r="BD59" i="22"/>
  <c r="BR59" i="22"/>
  <c r="BU59" i="22"/>
  <c r="BQ59" i="22"/>
  <c r="BE59" i="22"/>
  <c r="BJ59" i="22"/>
  <c r="BM59" i="22"/>
  <c r="BV59" i="22"/>
  <c r="BL59" i="22"/>
  <c r="BT59" i="22"/>
  <c r="BI59" i="22"/>
  <c r="BK59" i="22"/>
  <c r="BH59" i="22"/>
  <c r="BG59" i="22"/>
  <c r="BS60" i="22" l="1"/>
  <c r="BE60" i="22"/>
  <c r="BD60" i="22"/>
  <c r="BO60" i="22"/>
  <c r="BN60" i="22"/>
  <c r="BF60" i="22"/>
  <c r="BR60" i="22"/>
  <c r="BQ60" i="22"/>
  <c r="BB60" i="22"/>
  <c r="BP60" i="22"/>
  <c r="BU60" i="22"/>
  <c r="BC60" i="22"/>
  <c r="BT60" i="22"/>
  <c r="BJ60" i="22"/>
  <c r="BM60" i="22"/>
  <c r="BH60" i="22"/>
  <c r="BV60" i="22"/>
  <c r="BI60" i="22"/>
  <c r="BG60" i="22"/>
  <c r="BL60" i="22"/>
  <c r="BK60" i="22"/>
  <c r="BW48" i="22" l="1"/>
  <c r="BW61" i="22"/>
  <c r="BU61" i="22"/>
  <c r="BO61" i="22"/>
  <c r="BC61" i="22"/>
  <c r="BE61" i="22"/>
  <c r="BB61" i="22"/>
  <c r="BS61" i="22"/>
  <c r="BD61" i="22"/>
  <c r="BT61" i="22"/>
  <c r="BM61" i="22"/>
  <c r="BN61" i="22"/>
  <c r="BQ61" i="22"/>
  <c r="BP61" i="22"/>
  <c r="BF61" i="22"/>
  <c r="BR61" i="22"/>
  <c r="BH61" i="22"/>
  <c r="BI61" i="22"/>
  <c r="BJ61" i="22"/>
  <c r="BV61" i="22"/>
  <c r="BL61" i="22"/>
  <c r="BK61" i="22"/>
  <c r="BG61" i="22"/>
  <c r="BW49" i="22" l="1"/>
  <c r="BE62" i="22"/>
  <c r="BO62" i="22"/>
  <c r="BS62" i="22"/>
  <c r="BB62" i="22"/>
  <c r="BR62" i="22"/>
  <c r="BQ62" i="22"/>
  <c r="BF62" i="22"/>
  <c r="BT62" i="22"/>
  <c r="BC62" i="22"/>
  <c r="BU62" i="22"/>
  <c r="BD62" i="22"/>
  <c r="BP62" i="22"/>
  <c r="BL62" i="22"/>
  <c r="BN62" i="22"/>
  <c r="BJ62" i="22"/>
  <c r="BI62" i="22"/>
  <c r="BK62" i="22"/>
  <c r="BM62" i="22"/>
  <c r="BG62" i="22"/>
  <c r="BH62" i="22"/>
  <c r="BV62" i="22"/>
  <c r="BW50" i="22" l="1"/>
  <c r="BW63" i="22"/>
  <c r="BB63" i="22"/>
  <c r="BS63" i="22"/>
  <c r="BO63" i="22"/>
  <c r="BP63" i="22"/>
  <c r="BJ63" i="22"/>
  <c r="BR63" i="22"/>
  <c r="BU63" i="22"/>
  <c r="BE63" i="22"/>
  <c r="BC63" i="22"/>
  <c r="BD63" i="22"/>
  <c r="BN63" i="22"/>
  <c r="BQ63" i="22"/>
  <c r="BK63" i="22"/>
  <c r="BT63" i="22"/>
  <c r="BI63" i="22"/>
  <c r="BM63" i="22"/>
  <c r="BV63" i="22"/>
  <c r="BL63" i="22"/>
  <c r="BF63" i="22"/>
  <c r="BH63" i="22"/>
  <c r="BG63" i="22"/>
  <c r="BW51" i="22" l="1"/>
  <c r="BO64" i="22"/>
  <c r="BS64" i="22"/>
  <c r="BB64" i="22"/>
  <c r="BC64" i="22"/>
  <c r="BF64" i="22"/>
  <c r="BD64" i="22"/>
  <c r="BQ64" i="22"/>
  <c r="BR64" i="22"/>
  <c r="BP64" i="22"/>
  <c r="BN64" i="22"/>
  <c r="BU64" i="22"/>
  <c r="BE64" i="22"/>
  <c r="BM64" i="22"/>
  <c r="BV64" i="22"/>
  <c r="BJ64" i="22"/>
  <c r="BG64" i="22"/>
  <c r="BK64" i="22"/>
  <c r="BT64" i="22"/>
  <c r="BH64" i="22"/>
  <c r="BL64" i="22"/>
  <c r="BI64" i="22"/>
  <c r="BW52" i="22" l="1"/>
  <c r="BW65" i="22"/>
  <c r="BS65" i="22"/>
  <c r="BD65" i="22"/>
  <c r="BO65" i="22"/>
  <c r="BB65" i="22"/>
  <c r="BQ65" i="22"/>
  <c r="BN65" i="22"/>
  <c r="BC65" i="22"/>
  <c r="BP65" i="22"/>
  <c r="BE65" i="22"/>
  <c r="BJ65" i="22"/>
  <c r="BF65" i="22"/>
  <c r="BU65" i="22"/>
  <c r="BR65" i="22"/>
  <c r="BT65" i="22"/>
  <c r="BL65" i="22"/>
  <c r="BI65" i="22"/>
  <c r="BK65" i="22"/>
  <c r="BM65" i="22"/>
  <c r="BH65" i="22"/>
  <c r="BG65" i="22"/>
  <c r="BV65" i="22"/>
  <c r="BW66" i="22" l="1"/>
  <c r="BB66" i="22"/>
  <c r="BO66" i="22"/>
  <c r="BD66" i="22"/>
  <c r="BN66" i="22"/>
  <c r="BE66" i="22"/>
  <c r="BQ66" i="22"/>
  <c r="BC66" i="22"/>
  <c r="BU66" i="22"/>
  <c r="BF66" i="22"/>
  <c r="BR66" i="22"/>
  <c r="BS66" i="22"/>
  <c r="BP66" i="22"/>
  <c r="BH66" i="22"/>
  <c r="BK66" i="22"/>
  <c r="BJ66" i="22"/>
  <c r="BM66" i="22"/>
  <c r="BV66" i="22"/>
  <c r="BT66" i="22"/>
  <c r="BG66" i="22"/>
  <c r="BL66" i="22"/>
  <c r="BI66" i="22"/>
  <c r="BO67" i="22" l="1"/>
  <c r="BD67" i="22"/>
  <c r="BB67" i="22"/>
  <c r="BS67" i="22"/>
  <c r="BC67" i="22"/>
  <c r="BQ67" i="22"/>
  <c r="BE67" i="22"/>
  <c r="BF67" i="22"/>
  <c r="BR67" i="22"/>
  <c r="BU67" i="22"/>
  <c r="BN67" i="22"/>
  <c r="BJ67" i="22"/>
  <c r="BP67" i="22"/>
  <c r="BV67" i="22"/>
  <c r="BM67" i="22"/>
  <c r="BT67" i="22"/>
  <c r="BL67" i="22"/>
  <c r="BI67" i="22"/>
  <c r="BK67" i="22"/>
  <c r="BH67" i="22"/>
  <c r="BG67" i="22"/>
  <c r="BW68" i="22" l="1"/>
  <c r="BO68" i="22"/>
  <c r="BS68" i="22"/>
  <c r="BD68" i="22"/>
  <c r="BU68" i="22"/>
  <c r="BB68" i="22"/>
  <c r="BC68" i="22"/>
  <c r="BR68" i="22"/>
  <c r="BE68" i="22"/>
  <c r="BN68" i="22"/>
  <c r="BQ68" i="22"/>
  <c r="BF68" i="22"/>
  <c r="BP68" i="22"/>
  <c r="BT68" i="22"/>
  <c r="BJ68" i="22"/>
  <c r="BI68" i="22"/>
  <c r="BK68" i="22"/>
  <c r="BL68" i="22"/>
  <c r="BH68" i="22"/>
  <c r="BG68" i="22"/>
  <c r="BV68" i="22"/>
  <c r="BM68" i="22"/>
  <c r="BW69" i="22" l="1"/>
  <c r="BB69" i="22"/>
  <c r="BO69" i="22"/>
  <c r="BC69" i="22"/>
  <c r="BS69" i="22"/>
  <c r="BR69" i="22"/>
  <c r="BE69" i="22"/>
  <c r="BU69" i="22"/>
  <c r="BN69" i="22"/>
  <c r="BQ69" i="22"/>
  <c r="BF69" i="22"/>
  <c r="BD69" i="22"/>
  <c r="BM69" i="22"/>
  <c r="BJ69" i="22"/>
  <c r="BI69" i="22"/>
  <c r="BT69" i="22"/>
  <c r="BP69" i="22"/>
  <c r="BL69" i="22"/>
  <c r="BG69" i="22"/>
  <c r="BK69" i="22"/>
  <c r="BV69" i="22"/>
  <c r="BH69" i="22"/>
  <c r="BQ70" i="22" l="1"/>
  <c r="BO70" i="22"/>
  <c r="BS70" i="22"/>
  <c r="BC70" i="22"/>
  <c r="BD70" i="22"/>
  <c r="BN70" i="22"/>
  <c r="BF70" i="22"/>
  <c r="BR70" i="22"/>
  <c r="BJ70" i="22"/>
  <c r="BE70" i="22"/>
  <c r="BU70" i="22"/>
  <c r="BB70" i="22"/>
  <c r="BP70" i="22"/>
  <c r="BL70" i="22"/>
  <c r="BT70" i="22"/>
  <c r="BI70" i="22"/>
  <c r="BM70" i="22"/>
  <c r="BK70" i="22"/>
  <c r="BH70" i="22"/>
  <c r="BG70" i="22"/>
  <c r="BV70" i="22"/>
  <c r="BW71" i="22" l="1"/>
  <c r="BS71" i="22"/>
  <c r="BB71" i="22"/>
  <c r="BO71" i="22"/>
  <c r="BC71" i="22"/>
  <c r="BE71" i="22"/>
  <c r="BR71" i="22"/>
  <c r="BN71" i="22"/>
  <c r="BQ71" i="22"/>
  <c r="BJ71" i="22"/>
  <c r="BD71" i="22"/>
  <c r="BF71" i="22"/>
  <c r="BU71" i="22"/>
  <c r="BP71" i="22"/>
  <c r="BH71" i="22"/>
  <c r="BM71" i="22"/>
  <c r="BI71" i="22"/>
  <c r="BT71" i="22"/>
  <c r="BK71" i="22"/>
  <c r="BG71" i="22"/>
  <c r="BL71" i="22"/>
  <c r="BV71" i="22"/>
  <c r="BW72" i="22" l="1"/>
  <c r="BB72" i="22"/>
  <c r="BC72" i="22"/>
  <c r="BD72" i="22"/>
  <c r="BO72" i="22"/>
  <c r="BS72" i="22"/>
  <c r="BQ72" i="22"/>
  <c r="BP72" i="22"/>
  <c r="BE72" i="22"/>
  <c r="BJ72" i="22"/>
  <c r="BT72" i="22"/>
  <c r="BN72" i="22"/>
  <c r="BU72" i="22"/>
  <c r="BF72" i="22"/>
  <c r="BM72" i="22"/>
  <c r="BR72" i="22"/>
  <c r="BI72" i="22"/>
  <c r="BK72" i="22"/>
  <c r="BV72" i="22"/>
  <c r="BH72" i="22"/>
  <c r="BL72" i="22"/>
  <c r="BG72" i="22"/>
  <c r="BW60" i="22" l="1"/>
  <c r="BW73" i="22"/>
  <c r="BN73" i="22"/>
  <c r="BQ73" i="22"/>
  <c r="BB73" i="22"/>
  <c r="BC73" i="22"/>
  <c r="BD73" i="22"/>
  <c r="BS73" i="22"/>
  <c r="BO73" i="22"/>
  <c r="BU73" i="22"/>
  <c r="BE73" i="22"/>
  <c r="BR73" i="22"/>
  <c r="BF73" i="22"/>
  <c r="BP73" i="22"/>
  <c r="BI73" i="22"/>
  <c r="BT73" i="22"/>
  <c r="BK73" i="22"/>
  <c r="BM73" i="22"/>
  <c r="BV73" i="22"/>
  <c r="BG73" i="22"/>
  <c r="BJ73" i="22"/>
  <c r="BL73" i="22"/>
  <c r="BH73" i="22"/>
  <c r="BB74" i="22" l="1"/>
  <c r="BC74" i="22"/>
  <c r="BS74" i="22"/>
  <c r="BO74" i="22"/>
  <c r="BE74" i="22"/>
  <c r="BN74" i="22"/>
  <c r="BU74" i="22"/>
  <c r="BF74" i="22"/>
  <c r="BR74" i="22"/>
  <c r="BD74" i="22"/>
  <c r="BQ74" i="22"/>
  <c r="BI74" i="22"/>
  <c r="BL74" i="22"/>
  <c r="BV74" i="22"/>
  <c r="BP74" i="22"/>
  <c r="BK74" i="22"/>
  <c r="BJ74" i="22"/>
  <c r="BH74" i="22"/>
  <c r="BM74" i="22"/>
  <c r="BG74" i="22"/>
  <c r="BT74" i="22"/>
  <c r="BW62" i="22" l="1"/>
  <c r="BW75" i="22"/>
  <c r="BO75" i="22"/>
  <c r="BD75" i="22"/>
  <c r="BC75" i="22"/>
  <c r="BS75" i="22"/>
  <c r="BB75" i="22"/>
  <c r="BU75" i="22"/>
  <c r="BQ75" i="22"/>
  <c r="BN75" i="22"/>
  <c r="BE75" i="22"/>
  <c r="BJ75" i="22"/>
  <c r="BP75" i="22"/>
  <c r="BT75" i="22"/>
  <c r="BV75" i="22"/>
  <c r="BR75" i="22"/>
  <c r="BI75" i="22"/>
  <c r="BF75" i="22"/>
  <c r="BG75" i="22"/>
  <c r="BH75" i="22"/>
  <c r="BM75" i="22"/>
  <c r="BL75" i="22"/>
  <c r="BK75" i="22"/>
  <c r="BS76" i="22" l="1"/>
  <c r="BC76" i="22"/>
  <c r="BR76" i="22"/>
  <c r="BB76" i="22"/>
  <c r="BO76" i="22"/>
  <c r="BF76" i="22"/>
  <c r="BE76" i="22"/>
  <c r="BJ76" i="22"/>
  <c r="BQ76" i="22"/>
  <c r="BD76" i="22"/>
  <c r="BP76" i="22"/>
  <c r="BU76" i="22"/>
  <c r="BN76" i="22"/>
  <c r="BT76" i="22"/>
  <c r="BM76" i="22"/>
  <c r="BK76" i="22"/>
  <c r="BI76" i="22"/>
  <c r="BH76" i="22"/>
  <c r="BV76" i="22"/>
  <c r="BL76" i="22"/>
  <c r="BG76" i="22"/>
  <c r="BW64" i="22" l="1"/>
  <c r="BW77" i="22"/>
  <c r="BO77" i="22"/>
  <c r="BB77" i="22"/>
  <c r="BS77" i="22"/>
  <c r="BD77" i="22"/>
  <c r="BC77" i="22"/>
  <c r="BJ77" i="22"/>
  <c r="BE77" i="22"/>
  <c r="BU77" i="22"/>
  <c r="BQ77" i="22"/>
  <c r="BN77" i="22"/>
  <c r="BR77" i="22"/>
  <c r="BF77" i="22"/>
  <c r="BM77" i="22"/>
  <c r="BH77" i="22"/>
  <c r="BP77" i="22"/>
  <c r="BK77" i="22"/>
  <c r="BT77" i="22"/>
  <c r="BL77" i="22"/>
  <c r="BI77" i="22"/>
  <c r="BG77" i="22"/>
  <c r="BV77" i="22"/>
  <c r="BB78" i="22" l="1"/>
  <c r="BS78" i="22"/>
  <c r="BE78" i="22"/>
  <c r="BO78" i="22"/>
  <c r="BR78" i="22"/>
  <c r="BQ78" i="22"/>
  <c r="BD78" i="22"/>
  <c r="BN78" i="22"/>
  <c r="BP78" i="22"/>
  <c r="BF78" i="22"/>
  <c r="BU78" i="22"/>
  <c r="BC78" i="22"/>
  <c r="BG78" i="22"/>
  <c r="BI78" i="22"/>
  <c r="BJ78" i="22"/>
  <c r="BM78" i="22"/>
  <c r="BT78" i="22"/>
  <c r="BH78" i="22"/>
  <c r="BL78" i="22"/>
  <c r="BK78" i="22"/>
  <c r="BV78" i="22"/>
  <c r="BO79" i="22" l="1"/>
  <c r="BS79" i="22"/>
  <c r="BC79" i="22"/>
  <c r="BB79" i="22"/>
  <c r="BR79" i="22"/>
  <c r="BD79" i="22"/>
  <c r="BU79" i="22"/>
  <c r="BE79" i="22"/>
  <c r="BF79" i="22"/>
  <c r="BQ79" i="22"/>
  <c r="BN79" i="22"/>
  <c r="BH79" i="22"/>
  <c r="BL79" i="22"/>
  <c r="BM79" i="22"/>
  <c r="BT79" i="22"/>
  <c r="BI79" i="22"/>
  <c r="BJ79" i="22"/>
  <c r="BK79" i="22"/>
  <c r="BP79" i="22"/>
  <c r="BV79" i="22"/>
  <c r="BG79" i="22"/>
  <c r="BW67" i="22" l="1"/>
  <c r="BO80" i="22"/>
  <c r="BS80" i="22"/>
  <c r="BB80" i="22"/>
  <c r="BD80" i="22"/>
  <c r="BC80" i="22"/>
  <c r="BT80" i="22"/>
  <c r="BQ80" i="22"/>
  <c r="BR80" i="22"/>
  <c r="BN80" i="22"/>
  <c r="BU80" i="22"/>
  <c r="BF80" i="22"/>
  <c r="BE80" i="22"/>
  <c r="BJ80" i="22"/>
  <c r="BM80" i="22"/>
  <c r="BK80" i="22"/>
  <c r="BH80" i="22"/>
  <c r="BP80" i="22"/>
  <c r="BI80" i="22"/>
  <c r="BG80" i="22"/>
  <c r="BL80" i="22"/>
  <c r="BV80" i="22"/>
  <c r="BB81" i="22" l="1"/>
  <c r="BS81" i="22"/>
  <c r="BO81" i="22"/>
  <c r="BN81" i="22"/>
  <c r="BD81" i="22"/>
  <c r="BC81" i="22"/>
  <c r="BP81" i="22"/>
  <c r="BR81" i="22"/>
  <c r="BE81" i="22"/>
  <c r="BU81" i="22"/>
  <c r="BV81" i="22"/>
  <c r="BF81" i="22"/>
  <c r="BQ81" i="22"/>
  <c r="BJ81" i="22"/>
  <c r="BT81" i="22"/>
  <c r="BM81" i="22"/>
  <c r="BK81" i="22"/>
  <c r="BG81" i="22"/>
  <c r="BH81" i="22"/>
  <c r="BL81" i="22"/>
  <c r="BI81" i="22"/>
  <c r="BR82" i="22" l="1"/>
  <c r="BO82" i="22"/>
  <c r="BS82" i="22"/>
  <c r="BD82" i="22"/>
  <c r="BB82" i="22"/>
  <c r="BC82" i="22"/>
  <c r="BQ82" i="22"/>
  <c r="BN82" i="22"/>
  <c r="BU82" i="22"/>
  <c r="BP82" i="22"/>
  <c r="BH82" i="22"/>
  <c r="BF82" i="22"/>
  <c r="BI82" i="22"/>
  <c r="BJ82" i="22"/>
  <c r="BT82" i="22"/>
  <c r="BM82" i="22"/>
  <c r="BE82" i="22"/>
  <c r="BK82" i="22"/>
  <c r="BV82" i="22"/>
  <c r="BG82" i="22"/>
  <c r="BL82" i="22"/>
  <c r="BW70" i="22" l="1"/>
  <c r="BD83" i="22"/>
  <c r="BB83" i="22"/>
  <c r="BO83" i="22"/>
  <c r="BS83" i="22"/>
  <c r="BC83" i="22"/>
  <c r="BR83" i="22"/>
  <c r="BE83" i="22"/>
  <c r="BU83" i="22"/>
  <c r="BJ83" i="22"/>
  <c r="BQ83" i="22"/>
  <c r="BN83" i="22"/>
  <c r="BP83" i="22"/>
  <c r="BV83" i="22"/>
  <c r="BM83" i="22"/>
  <c r="BT83" i="22"/>
  <c r="BI83" i="22"/>
  <c r="BK83" i="22"/>
  <c r="BG83" i="22"/>
  <c r="BF83" i="22"/>
  <c r="BL83" i="22"/>
  <c r="BH83" i="22"/>
  <c r="BB84" i="22" l="1"/>
  <c r="BO84" i="22"/>
  <c r="BS84" i="22"/>
  <c r="BE84" i="22"/>
  <c r="BQ84" i="22"/>
  <c r="BT84" i="22"/>
  <c r="BF84" i="22"/>
  <c r="BN84" i="22"/>
  <c r="BU84" i="22"/>
  <c r="BP84" i="22"/>
  <c r="BC84" i="22"/>
  <c r="BD84" i="22"/>
  <c r="BR84" i="22"/>
  <c r="BI84" i="22"/>
  <c r="BV84" i="22"/>
  <c r="BJ84" i="22"/>
  <c r="BK84" i="22"/>
  <c r="BH84" i="22"/>
  <c r="BL84" i="22"/>
  <c r="BM84" i="22"/>
  <c r="BG84" i="22"/>
  <c r="BO85" i="22" l="1"/>
  <c r="BS85" i="22"/>
  <c r="BB85" i="22"/>
  <c r="BC85" i="22"/>
  <c r="BU85" i="22"/>
  <c r="BN85" i="22"/>
  <c r="BD85" i="22"/>
  <c r="BQ85" i="22"/>
  <c r="BR85" i="22"/>
  <c r="BE85" i="22"/>
  <c r="BG85" i="22"/>
  <c r="BF85" i="22"/>
  <c r="BJ85" i="22"/>
  <c r="BI85" i="22"/>
  <c r="BT85" i="22"/>
  <c r="BM85" i="22"/>
  <c r="BP85" i="22"/>
  <c r="BV85" i="22"/>
  <c r="BK85" i="22"/>
  <c r="BL85" i="22"/>
  <c r="BH85" i="22"/>
  <c r="BB86" i="22" l="1"/>
  <c r="BS86" i="22"/>
  <c r="BO86" i="22"/>
  <c r="BR86" i="22"/>
  <c r="BC86" i="22"/>
  <c r="BN86" i="22"/>
  <c r="BQ86" i="22"/>
  <c r="BD86" i="22"/>
  <c r="BF86" i="22"/>
  <c r="BU86" i="22"/>
  <c r="BE86" i="22"/>
  <c r="BT86" i="22"/>
  <c r="BJ86" i="22"/>
  <c r="BM86" i="22"/>
  <c r="BV86" i="22"/>
  <c r="BI86" i="22"/>
  <c r="BP86" i="22"/>
  <c r="BG86" i="22"/>
  <c r="BK86" i="22"/>
  <c r="BH86" i="22"/>
  <c r="BL86" i="22"/>
  <c r="BW74" i="22" l="1"/>
  <c r="BC87" i="22"/>
  <c r="BB87" i="22"/>
  <c r="BO87" i="22"/>
  <c r="BF87" i="22"/>
  <c r="BR87" i="22"/>
  <c r="BU87" i="22"/>
  <c r="BD87" i="22"/>
  <c r="BE87" i="22"/>
  <c r="BP87" i="22"/>
  <c r="BS87" i="22"/>
  <c r="BN87" i="22"/>
  <c r="BQ87" i="22"/>
  <c r="BI87" i="22"/>
  <c r="BK87" i="22"/>
  <c r="BH87" i="22"/>
  <c r="BL87" i="22"/>
  <c r="BM87" i="22"/>
  <c r="BT87" i="22"/>
  <c r="BV87" i="22"/>
  <c r="BJ87" i="22"/>
  <c r="BG87" i="22"/>
  <c r="BB88" i="22" l="1"/>
  <c r="BS88" i="22"/>
  <c r="BO88" i="22"/>
  <c r="BC88" i="22"/>
  <c r="BR88" i="22"/>
  <c r="BD88" i="22"/>
  <c r="BE88" i="22"/>
  <c r="BQ88" i="22"/>
  <c r="BU88" i="22"/>
  <c r="BF88" i="22"/>
  <c r="BN88" i="22"/>
  <c r="BT88" i="22"/>
  <c r="BM88" i="22"/>
  <c r="BJ88" i="22"/>
  <c r="BI88" i="22"/>
  <c r="BP88" i="22"/>
  <c r="BH88" i="22"/>
  <c r="BG88" i="22"/>
  <c r="BV88" i="22"/>
  <c r="BK88" i="22"/>
  <c r="BL88" i="22"/>
  <c r="BW76" i="22" l="1"/>
  <c r="BO89" i="22"/>
  <c r="BC89" i="22"/>
  <c r="BB89" i="22"/>
  <c r="BS89" i="22"/>
  <c r="BD89" i="22"/>
  <c r="BM89" i="22"/>
  <c r="BU89" i="22"/>
  <c r="BF89" i="22"/>
  <c r="BE89" i="22"/>
  <c r="BR89" i="22"/>
  <c r="BN89" i="22"/>
  <c r="BQ89" i="22"/>
  <c r="BJ89" i="22"/>
  <c r="BK89" i="22"/>
  <c r="BP89" i="22"/>
  <c r="BT89" i="22"/>
  <c r="BH89" i="22"/>
  <c r="BL89" i="22"/>
  <c r="BI89" i="22"/>
  <c r="BG89" i="22"/>
  <c r="BV89" i="22"/>
  <c r="BR90" i="22" l="1"/>
  <c r="BN90" i="22"/>
  <c r="BD90" i="22"/>
  <c r="BE90" i="22"/>
  <c r="BS90" i="22"/>
  <c r="BO90" i="22"/>
  <c r="BC90" i="22"/>
  <c r="BB90" i="22"/>
  <c r="BJ90" i="22"/>
  <c r="BQ90" i="22"/>
  <c r="BU90" i="22"/>
  <c r="BF90" i="22"/>
  <c r="BV90" i="22"/>
  <c r="BL90" i="22"/>
  <c r="BI90" i="22"/>
  <c r="BT90" i="22"/>
  <c r="BK90" i="22"/>
  <c r="BM90" i="22"/>
  <c r="BG90" i="22"/>
  <c r="BP90" i="22"/>
  <c r="BH90" i="22"/>
  <c r="BW78" i="22" l="1"/>
  <c r="BS91" i="22"/>
  <c r="BO91" i="22"/>
  <c r="BD91" i="22"/>
  <c r="BU91" i="22"/>
  <c r="BC91" i="22"/>
  <c r="BE91" i="22"/>
  <c r="BB91" i="22"/>
  <c r="BR91" i="22"/>
  <c r="BN91" i="22"/>
  <c r="BP91" i="22"/>
  <c r="BQ91" i="22"/>
  <c r="BH91" i="22"/>
  <c r="BT91" i="22"/>
  <c r="BM91" i="22"/>
  <c r="BF91" i="22"/>
  <c r="BK91" i="22"/>
  <c r="BJ91" i="22"/>
  <c r="BI91" i="22"/>
  <c r="BV91" i="22"/>
  <c r="BG91" i="22"/>
  <c r="BL91" i="22"/>
  <c r="BW79" i="22" l="1"/>
  <c r="BE92" i="22"/>
  <c r="BB92" i="22"/>
  <c r="BS92" i="22"/>
  <c r="BO92" i="22"/>
  <c r="BN92" i="22"/>
  <c r="BF92" i="22"/>
  <c r="BC92" i="22"/>
  <c r="BU92" i="22"/>
  <c r="BR92" i="22"/>
  <c r="BD92" i="22"/>
  <c r="BP92" i="22"/>
  <c r="BT92" i="22"/>
  <c r="BI92" i="22"/>
  <c r="BJ92" i="22"/>
  <c r="BQ92" i="22"/>
  <c r="BV92" i="22"/>
  <c r="BL92" i="22"/>
  <c r="BK92" i="22"/>
  <c r="BG92" i="22"/>
  <c r="BM92" i="22"/>
  <c r="BH92" i="22"/>
  <c r="BW80" i="22" l="1"/>
  <c r="BR93" i="22"/>
  <c r="BS93" i="22"/>
  <c r="BO93" i="22"/>
  <c r="BC93" i="22"/>
  <c r="BB93" i="22"/>
  <c r="BD93" i="22"/>
  <c r="BE93" i="22"/>
  <c r="BU93" i="22"/>
  <c r="BQ93" i="22"/>
  <c r="BN93" i="22"/>
  <c r="BF93" i="22"/>
  <c r="BP93" i="22"/>
  <c r="BJ93" i="22"/>
  <c r="BT93" i="22"/>
  <c r="BM93" i="22"/>
  <c r="BI93" i="22"/>
  <c r="BL93" i="22"/>
  <c r="BG93" i="22"/>
  <c r="BH93" i="22"/>
  <c r="BV93" i="22"/>
  <c r="BK93" i="22"/>
  <c r="BW81" i="22" l="1"/>
  <c r="BB94" i="22"/>
  <c r="BC94" i="22"/>
  <c r="BS94" i="22"/>
  <c r="BO94" i="22"/>
  <c r="BQ94" i="22"/>
  <c r="BD94" i="22"/>
  <c r="BR94" i="22"/>
  <c r="BN94" i="22"/>
  <c r="BF94" i="22"/>
  <c r="BU94" i="22"/>
  <c r="BE94" i="22"/>
  <c r="BK94" i="22"/>
  <c r="BI94" i="22"/>
  <c r="BM94" i="22"/>
  <c r="BP94" i="22"/>
  <c r="BT94" i="22"/>
  <c r="BJ94" i="22"/>
  <c r="BH94" i="22"/>
  <c r="BV94" i="22"/>
  <c r="BG94" i="22"/>
  <c r="BL94" i="22"/>
  <c r="BW82" i="22" l="1"/>
  <c r="BS95" i="22"/>
  <c r="BO95" i="22"/>
  <c r="BB95" i="22"/>
  <c r="BC95" i="22"/>
  <c r="BN95" i="22"/>
  <c r="BQ95" i="22"/>
  <c r="BU95" i="22"/>
  <c r="BE95" i="22"/>
  <c r="BF95" i="22"/>
  <c r="BD95" i="22"/>
  <c r="BM95" i="22"/>
  <c r="BR95" i="22"/>
  <c r="BV95" i="22"/>
  <c r="BP95" i="22"/>
  <c r="BT95" i="22"/>
  <c r="BJ95" i="22"/>
  <c r="BK95" i="22"/>
  <c r="BI95" i="22"/>
  <c r="BG95" i="22"/>
  <c r="BL95" i="22"/>
  <c r="BH95" i="22"/>
  <c r="BW83" i="22" l="1"/>
  <c r="BO96" i="22"/>
  <c r="BS96" i="22"/>
  <c r="BC96" i="22"/>
  <c r="BD96" i="22"/>
  <c r="BR96" i="22"/>
  <c r="BB96" i="22"/>
  <c r="BU96" i="22"/>
  <c r="BE96" i="22"/>
  <c r="BQ96" i="22"/>
  <c r="BF96" i="22"/>
  <c r="BN96" i="22"/>
  <c r="BP96" i="22"/>
  <c r="BJ96" i="22"/>
  <c r="BM96" i="22"/>
  <c r="BH96" i="22"/>
  <c r="BI96" i="22"/>
  <c r="BK96" i="22"/>
  <c r="BV96" i="22"/>
  <c r="BL96" i="22"/>
  <c r="BT96" i="22"/>
  <c r="BG96" i="22"/>
  <c r="BW84" i="22" l="1"/>
  <c r="BD97" i="22"/>
  <c r="BU97" i="22"/>
  <c r="BC97" i="22"/>
  <c r="BB97" i="22"/>
  <c r="BO97" i="22"/>
  <c r="BS97" i="22"/>
  <c r="BP97" i="22"/>
  <c r="BE97" i="22"/>
  <c r="BR97" i="22"/>
  <c r="BN97" i="22"/>
  <c r="BJ97" i="22"/>
  <c r="BF97" i="22"/>
  <c r="BV97" i="22"/>
  <c r="BM97" i="22"/>
  <c r="BQ97" i="22"/>
  <c r="BI97" i="22"/>
  <c r="BG97" i="22"/>
  <c r="BH97" i="22"/>
  <c r="BT97" i="22"/>
  <c r="BL97" i="22"/>
  <c r="BK97" i="22"/>
  <c r="BW85" i="22" l="1"/>
  <c r="BB98" i="22"/>
  <c r="BC98" i="22"/>
  <c r="BO98" i="22"/>
  <c r="BE98" i="22"/>
  <c r="BS98" i="22"/>
  <c r="BR98" i="22"/>
  <c r="BU98" i="22"/>
  <c r="BF98" i="22"/>
  <c r="BN98" i="22"/>
  <c r="BP98" i="22"/>
  <c r="BD98" i="22"/>
  <c r="BI98" i="22"/>
  <c r="BJ98" i="22"/>
  <c r="BM98" i="22"/>
  <c r="BK98" i="22"/>
  <c r="BV98" i="22"/>
  <c r="BT98" i="22"/>
  <c r="BQ98" i="22"/>
  <c r="BH98" i="22"/>
  <c r="BG98" i="22"/>
  <c r="BL98" i="22"/>
  <c r="BW86" i="22" l="1"/>
  <c r="BD99" i="22"/>
  <c r="BB99" i="22"/>
  <c r="BN99" i="22"/>
  <c r="BS99" i="22"/>
  <c r="BE99" i="22"/>
  <c r="BO99" i="22"/>
  <c r="BU99" i="22"/>
  <c r="BC99" i="22"/>
  <c r="BR99" i="22"/>
  <c r="BQ99" i="22"/>
  <c r="BV99" i="22"/>
  <c r="BM99" i="22"/>
  <c r="BP99" i="22"/>
  <c r="BJ99" i="22"/>
  <c r="BF99" i="22"/>
  <c r="BT99" i="22"/>
  <c r="BI99" i="22"/>
  <c r="BH99" i="22"/>
  <c r="BK99" i="22"/>
  <c r="BL99" i="22"/>
  <c r="BG99" i="22"/>
  <c r="BW87" i="22" l="1"/>
  <c r="BS100" i="22"/>
  <c r="BO100" i="22"/>
  <c r="BR100" i="22"/>
  <c r="BQ100" i="22"/>
  <c r="BB100" i="22"/>
  <c r="BC100" i="22"/>
  <c r="BD100" i="22"/>
  <c r="BF100" i="22"/>
  <c r="BT100" i="22"/>
  <c r="BU100" i="22"/>
  <c r="BP100" i="22"/>
  <c r="BE100" i="22"/>
  <c r="BN100" i="22"/>
  <c r="BI100" i="22"/>
  <c r="BJ100" i="22"/>
  <c r="BM100" i="22"/>
  <c r="BK100" i="22"/>
  <c r="BH100" i="22"/>
  <c r="BG100" i="22"/>
  <c r="BV100" i="22"/>
  <c r="BL100" i="22"/>
  <c r="BW88" i="22" l="1"/>
  <c r="BS101" i="22"/>
  <c r="BN101" i="22"/>
  <c r="BB101" i="22"/>
  <c r="BC101" i="22"/>
  <c r="BO101" i="22"/>
  <c r="BD101" i="22"/>
  <c r="BU101" i="22"/>
  <c r="BP101" i="22"/>
  <c r="BJ101" i="22"/>
  <c r="BT101" i="22"/>
  <c r="BR101" i="22"/>
  <c r="BF101" i="22"/>
  <c r="BE101" i="22"/>
  <c r="BG101" i="22"/>
  <c r="BK101" i="22"/>
  <c r="BQ101" i="22"/>
  <c r="BM101" i="22"/>
  <c r="BI101" i="22"/>
  <c r="BV101" i="22"/>
  <c r="BL101" i="22"/>
  <c r="BH101" i="22"/>
  <c r="BW89" i="22" l="1"/>
  <c r="BC102" i="22"/>
  <c r="BD102" i="22"/>
  <c r="BR102" i="22"/>
  <c r="BB102" i="22"/>
  <c r="BO102" i="22"/>
  <c r="BS102" i="22"/>
  <c r="BF102" i="22"/>
  <c r="BN102" i="22"/>
  <c r="BQ102" i="22"/>
  <c r="BU102" i="22"/>
  <c r="BE102" i="22"/>
  <c r="BP102" i="22"/>
  <c r="BI102" i="22"/>
  <c r="BT102" i="22"/>
  <c r="BK102" i="22"/>
  <c r="BV102" i="22"/>
  <c r="BJ102" i="22"/>
  <c r="BL102" i="22"/>
  <c r="BH102" i="22"/>
  <c r="BG102" i="22"/>
  <c r="BM102" i="22"/>
  <c r="BW90" i="22" l="1"/>
  <c r="BS103" i="22"/>
  <c r="BO103" i="22"/>
  <c r="BC103" i="22"/>
  <c r="BD103" i="22"/>
  <c r="BN103" i="22"/>
  <c r="BB103" i="22"/>
  <c r="BF103" i="22"/>
  <c r="BR103" i="22"/>
  <c r="BU103" i="22"/>
  <c r="BQ103" i="22"/>
  <c r="BE103" i="22"/>
  <c r="BT103" i="22"/>
  <c r="BP103" i="22"/>
  <c r="BI103" i="22"/>
  <c r="BM103" i="22"/>
  <c r="BK103" i="22"/>
  <c r="BG103" i="22"/>
  <c r="BH103" i="22"/>
  <c r="BV103" i="22"/>
  <c r="BJ103" i="22"/>
  <c r="BL103" i="22"/>
  <c r="BW91" i="22" l="1"/>
  <c r="BS104" i="22"/>
  <c r="BC104" i="22"/>
  <c r="BD104" i="22"/>
  <c r="BB104" i="22"/>
  <c r="BO104" i="22"/>
  <c r="BU104" i="22"/>
  <c r="BN104" i="22"/>
  <c r="BR104" i="22"/>
  <c r="BF104" i="22"/>
  <c r="BJ104" i="22"/>
  <c r="BV104" i="22"/>
  <c r="BT104" i="22"/>
  <c r="BI104" i="22"/>
  <c r="BQ104" i="22"/>
  <c r="BP104" i="22"/>
  <c r="BE104" i="22"/>
  <c r="BH104" i="22"/>
  <c r="BK104" i="22"/>
  <c r="BL104" i="22"/>
  <c r="BM104" i="22"/>
  <c r="BG104" i="22"/>
  <c r="BW92" i="22" l="1"/>
  <c r="BO105" i="22"/>
  <c r="BB105" i="22"/>
  <c r="BS105" i="22"/>
  <c r="BC105" i="22"/>
  <c r="BE105" i="22"/>
  <c r="BU105" i="22"/>
  <c r="BR105" i="22"/>
  <c r="BN105" i="22"/>
  <c r="BD105" i="22"/>
  <c r="BF105" i="22"/>
  <c r="BH105" i="22"/>
  <c r="BV105" i="22"/>
  <c r="BQ105" i="22"/>
  <c r="BT105" i="22"/>
  <c r="BP105" i="22"/>
  <c r="BJ105" i="22"/>
  <c r="BM105" i="22"/>
  <c r="BK105" i="22"/>
  <c r="BL105" i="22"/>
  <c r="BG105" i="22"/>
  <c r="BI105" i="22"/>
  <c r="BW93" i="22" l="1"/>
  <c r="BC106" i="22"/>
  <c r="BO106" i="22"/>
  <c r="BS106" i="22"/>
  <c r="BB106" i="22"/>
  <c r="BE106" i="22"/>
  <c r="BR106" i="22"/>
  <c r="BD106" i="22"/>
  <c r="BF106" i="22"/>
  <c r="BU106" i="22"/>
  <c r="BN106" i="22"/>
  <c r="BQ106" i="22"/>
  <c r="BT106" i="22"/>
  <c r="BV106" i="22"/>
  <c r="BK106" i="22"/>
  <c r="BP106" i="22"/>
  <c r="BH106" i="22"/>
  <c r="BI106" i="22"/>
  <c r="BM106" i="22"/>
  <c r="BJ106" i="22"/>
  <c r="BL106" i="22"/>
  <c r="BG106" i="22"/>
  <c r="BW94" i="22" l="1"/>
  <c r="BB107" i="22"/>
  <c r="BO107" i="22"/>
  <c r="BN107" i="22"/>
  <c r="BS107" i="22"/>
  <c r="BD107" i="22"/>
  <c r="BU107" i="22"/>
  <c r="BP107" i="22"/>
  <c r="BJ107" i="22"/>
  <c r="BT107" i="22"/>
  <c r="BC107" i="22"/>
  <c r="BQ107" i="22"/>
  <c r="BF107" i="22"/>
  <c r="BE107" i="22"/>
  <c r="BR107" i="22"/>
  <c r="BM107" i="22"/>
  <c r="BV107" i="22"/>
  <c r="BK107" i="22"/>
  <c r="BI107" i="22"/>
  <c r="BL107" i="22"/>
  <c r="BG107" i="22"/>
  <c r="BH107" i="22"/>
  <c r="BW95" i="22" l="1"/>
  <c r="BE108" i="22"/>
  <c r="BB108" i="22"/>
  <c r="BC108" i="22"/>
  <c r="BO108" i="22"/>
  <c r="BN108" i="22"/>
  <c r="BF108" i="22"/>
  <c r="BP108" i="22"/>
  <c r="BS108" i="22"/>
  <c r="BD108" i="22"/>
  <c r="BR108" i="22"/>
  <c r="BU108" i="22"/>
  <c r="BQ108" i="22"/>
  <c r="BT108" i="22"/>
  <c r="BH108" i="22"/>
  <c r="BK108" i="22"/>
  <c r="BM108" i="22"/>
  <c r="BI108" i="22"/>
  <c r="BJ108" i="22"/>
  <c r="BL108" i="22"/>
  <c r="BG108" i="22"/>
  <c r="BV108" i="22"/>
  <c r="BW96" i="22" l="1"/>
  <c r="BC109" i="22"/>
  <c r="BD109" i="22"/>
  <c r="BO109" i="22"/>
  <c r="BB109" i="22"/>
  <c r="BS109" i="22"/>
  <c r="BU109" i="22"/>
  <c r="BJ109" i="22"/>
  <c r="BF109" i="22"/>
  <c r="BQ109" i="22"/>
  <c r="BV109" i="22"/>
  <c r="BE109" i="22"/>
  <c r="BT109" i="22"/>
  <c r="BN109" i="22"/>
  <c r="BR109" i="22"/>
  <c r="BP109" i="22"/>
  <c r="BI109" i="22"/>
  <c r="BG109" i="22"/>
  <c r="BL109" i="22"/>
  <c r="BM109" i="22"/>
  <c r="BH109" i="22"/>
  <c r="BK109" i="22"/>
  <c r="BW97" i="22" l="1"/>
  <c r="BO110" i="22"/>
  <c r="BR110" i="22"/>
  <c r="BB110" i="22"/>
  <c r="BD110" i="22"/>
  <c r="BC110" i="22"/>
  <c r="BT110" i="22"/>
  <c r="BQ110" i="22"/>
  <c r="BU110" i="22"/>
  <c r="BE110" i="22"/>
  <c r="BS110" i="22"/>
  <c r="BN110" i="22"/>
  <c r="BJ110" i="22"/>
  <c r="BI110" i="22"/>
  <c r="BH110" i="22"/>
  <c r="BF110" i="22"/>
  <c r="BM110" i="22"/>
  <c r="BP110" i="22"/>
  <c r="BK110" i="22"/>
  <c r="BV110" i="22"/>
  <c r="BG110" i="22"/>
  <c r="BL110" i="22"/>
  <c r="BW98" i="22" l="1"/>
  <c r="BS111" i="22"/>
  <c r="BQ111" i="22"/>
  <c r="BB111" i="22"/>
  <c r="BC111" i="22"/>
  <c r="BD111" i="22"/>
  <c r="BO111" i="22"/>
  <c r="BU111" i="22"/>
  <c r="BE111" i="22"/>
  <c r="BF111" i="22"/>
  <c r="BR111" i="22"/>
  <c r="BN111" i="22"/>
  <c r="BM111" i="22"/>
  <c r="BK111" i="22"/>
  <c r="BV111" i="22"/>
  <c r="BT111" i="22"/>
  <c r="BI111" i="22"/>
  <c r="BJ111" i="22"/>
  <c r="BP111" i="22"/>
  <c r="BH111" i="22"/>
  <c r="BG111" i="22"/>
  <c r="BL111" i="22"/>
  <c r="BW99" i="22" l="1"/>
  <c r="BS112" i="22"/>
  <c r="BO112" i="22"/>
  <c r="BC112" i="22"/>
  <c r="BD112" i="22"/>
  <c r="BB112" i="22"/>
  <c r="BQ112" i="22"/>
  <c r="BN112" i="22"/>
  <c r="BF112" i="22"/>
  <c r="BJ112" i="22"/>
  <c r="BU112" i="22"/>
  <c r="BE112" i="22"/>
  <c r="BR112" i="22"/>
  <c r="BP112" i="22"/>
  <c r="BH112" i="22"/>
  <c r="BT112" i="22"/>
  <c r="BK112" i="22"/>
  <c r="BI112" i="22"/>
  <c r="BL112" i="22"/>
  <c r="BM112" i="22"/>
  <c r="BG112" i="22"/>
  <c r="BV112" i="22"/>
  <c r="BW100" i="22" l="1"/>
  <c r="BD113" i="22"/>
  <c r="BE113" i="22"/>
  <c r="BB113" i="22"/>
  <c r="BS113" i="22"/>
  <c r="BC113" i="22"/>
  <c r="BO113" i="22"/>
  <c r="BR113" i="22"/>
  <c r="BU113" i="22"/>
  <c r="BQ113" i="22"/>
  <c r="BP113" i="22"/>
  <c r="BN113" i="22"/>
  <c r="BF113" i="22"/>
  <c r="BH113" i="22"/>
  <c r="BV113" i="22"/>
  <c r="BK113" i="22"/>
  <c r="BJ113" i="22"/>
  <c r="BT113" i="22"/>
  <c r="BM113" i="22"/>
  <c r="BG113" i="22"/>
  <c r="BI113" i="22"/>
  <c r="BL113" i="22"/>
  <c r="BW101" i="22" l="1"/>
  <c r="BC114" i="22"/>
  <c r="BO114" i="22"/>
  <c r="BD114" i="22"/>
  <c r="BS114" i="22"/>
  <c r="BE114" i="22"/>
  <c r="BU114" i="22"/>
  <c r="BR114" i="22"/>
  <c r="BF114" i="22"/>
  <c r="BP114" i="22"/>
  <c r="BB114" i="22"/>
  <c r="BN114" i="22"/>
  <c r="BQ114" i="22"/>
  <c r="BK114" i="22"/>
  <c r="BI114" i="22"/>
  <c r="BL114" i="22"/>
  <c r="BM114" i="22"/>
  <c r="BT114" i="22"/>
  <c r="BJ114" i="22"/>
  <c r="BV114" i="22"/>
  <c r="BG114" i="22"/>
  <c r="BH114" i="22"/>
  <c r="BW102" i="22" l="1"/>
  <c r="BB115" i="22"/>
  <c r="BR115" i="22"/>
  <c r="BS115" i="22"/>
  <c r="BQ115" i="22"/>
  <c r="BO115" i="22"/>
  <c r="BC115" i="22"/>
  <c r="BE115" i="22"/>
  <c r="BU115" i="22"/>
  <c r="BD115" i="22"/>
  <c r="BN115" i="22"/>
  <c r="BM115" i="22"/>
  <c r="BT115" i="22"/>
  <c r="BP115" i="22"/>
  <c r="BJ115" i="22"/>
  <c r="BI115" i="22"/>
  <c r="BF115" i="22"/>
  <c r="BH115" i="22"/>
  <c r="BL115" i="22"/>
  <c r="BV115" i="22"/>
  <c r="BK115" i="22"/>
  <c r="BG115" i="22"/>
  <c r="BW103" i="22" l="1"/>
  <c r="BC116" i="22"/>
  <c r="BN116" i="22"/>
  <c r="BD116" i="22"/>
  <c r="BO116" i="22"/>
  <c r="BB116" i="22"/>
  <c r="BS116" i="22"/>
  <c r="BR116" i="22"/>
  <c r="BE116" i="22"/>
  <c r="BU116" i="22"/>
  <c r="BP116" i="22"/>
  <c r="BQ116" i="22"/>
  <c r="BF116" i="22"/>
  <c r="BT116" i="22"/>
  <c r="BI116" i="22"/>
  <c r="BJ116" i="22"/>
  <c r="BM116" i="22"/>
  <c r="BK116" i="22"/>
  <c r="BG116" i="22"/>
  <c r="BV116" i="22"/>
  <c r="BH116" i="22"/>
  <c r="BL116" i="22"/>
  <c r="BW104" i="22" l="1"/>
  <c r="BR117" i="22"/>
  <c r="BS117" i="22"/>
  <c r="BB117" i="22"/>
  <c r="BC117" i="22"/>
  <c r="BD117" i="22"/>
  <c r="BP117" i="22"/>
  <c r="BN117" i="22"/>
  <c r="BO117" i="22"/>
  <c r="BE117" i="22"/>
  <c r="BU117" i="22"/>
  <c r="BG117" i="22"/>
  <c r="BF117" i="22"/>
  <c r="BI117" i="22"/>
  <c r="BQ117" i="22"/>
  <c r="BT117" i="22"/>
  <c r="BM117" i="22"/>
  <c r="BH117" i="22"/>
  <c r="BK117" i="22"/>
  <c r="BJ117" i="22"/>
  <c r="BV117" i="22"/>
  <c r="BL117" i="22"/>
  <c r="BW105" i="22" l="1"/>
  <c r="BN118" i="22"/>
  <c r="BC118" i="22"/>
  <c r="BO118" i="22"/>
  <c r="BB118" i="22"/>
  <c r="BS118" i="22"/>
  <c r="BD118" i="22"/>
  <c r="BF118" i="22"/>
  <c r="BR118" i="22"/>
  <c r="BU118" i="22"/>
  <c r="BE118" i="22"/>
  <c r="BT118" i="22"/>
  <c r="BQ118" i="22"/>
  <c r="BI118" i="22"/>
  <c r="BV118" i="22"/>
  <c r="BK118" i="22"/>
  <c r="BP118" i="22"/>
  <c r="BJ118" i="22"/>
  <c r="BG118" i="22"/>
  <c r="BH118" i="22"/>
  <c r="BM118" i="22"/>
  <c r="BL118" i="22"/>
  <c r="BW106" i="22" l="1"/>
  <c r="BB119" i="22"/>
  <c r="BS119" i="22"/>
  <c r="BO119" i="22"/>
  <c r="BD119" i="22"/>
  <c r="BU119" i="22"/>
  <c r="BM119" i="22"/>
  <c r="BR119" i="22"/>
  <c r="BN119" i="22"/>
  <c r="BE119" i="22"/>
  <c r="BC119" i="22"/>
  <c r="BQ119" i="22"/>
  <c r="BK119" i="22"/>
  <c r="BJ119" i="22"/>
  <c r="BP119" i="22"/>
  <c r="BT119" i="22"/>
  <c r="BV119" i="22"/>
  <c r="BF119" i="22"/>
  <c r="BI119" i="22"/>
  <c r="BG119" i="22"/>
  <c r="BH119" i="22"/>
  <c r="BL119" i="22"/>
  <c r="BW107" i="22" l="1"/>
  <c r="BB120" i="22"/>
  <c r="BC120" i="22"/>
  <c r="BO120" i="22"/>
  <c r="BS120" i="22"/>
  <c r="BD120" i="22"/>
  <c r="BQ120" i="22"/>
  <c r="BE120" i="22"/>
  <c r="BR120" i="22"/>
  <c r="BN120" i="22"/>
  <c r="BT120" i="22"/>
  <c r="BP120" i="22"/>
  <c r="BM120" i="22"/>
  <c r="BU120" i="22"/>
  <c r="BF120" i="22"/>
  <c r="BK120" i="22"/>
  <c r="BI120" i="22"/>
  <c r="BJ120" i="22"/>
  <c r="BH120" i="22"/>
  <c r="BG120" i="22"/>
  <c r="BV120" i="22"/>
  <c r="BL120" i="22"/>
  <c r="BW108" i="22" l="1"/>
  <c r="BU121" i="22"/>
  <c r="BB121" i="22"/>
  <c r="BS121" i="22"/>
  <c r="BD121" i="22"/>
  <c r="BO121" i="22"/>
  <c r="BE121" i="22"/>
  <c r="BP121" i="22"/>
  <c r="BJ121" i="22"/>
  <c r="BC121" i="22"/>
  <c r="BN121" i="22"/>
  <c r="BF121" i="22"/>
  <c r="BR121" i="22"/>
  <c r="BQ121" i="22"/>
  <c r="BT121" i="22"/>
  <c r="BM121" i="22"/>
  <c r="BI121" i="22"/>
  <c r="BV121" i="22"/>
  <c r="BK121" i="22"/>
  <c r="BL121" i="22"/>
  <c r="BH121" i="22"/>
  <c r="BG121" i="22"/>
  <c r="BW109" i="22" l="1"/>
  <c r="BS122" i="22"/>
  <c r="BC122" i="22"/>
  <c r="BD122" i="22"/>
  <c r="BE122" i="22"/>
  <c r="BN122" i="22"/>
  <c r="BO122" i="22"/>
  <c r="BB122" i="22"/>
  <c r="BQ122" i="22"/>
  <c r="BR122" i="22"/>
  <c r="BU122" i="22"/>
  <c r="BF122" i="22"/>
  <c r="BT122" i="22"/>
  <c r="BH122" i="22"/>
  <c r="BI122" i="22"/>
  <c r="BM122" i="22"/>
  <c r="BP122" i="22"/>
  <c r="BK122" i="22"/>
  <c r="BJ122" i="22"/>
  <c r="BG122" i="22"/>
  <c r="BV122" i="22"/>
  <c r="BL122" i="22"/>
  <c r="BW110" i="22" l="1"/>
  <c r="BO123" i="22"/>
  <c r="BD123" i="22"/>
  <c r="BR123" i="22"/>
  <c r="BB123" i="22"/>
  <c r="BU123" i="22"/>
  <c r="BS123" i="22"/>
  <c r="BT123" i="22"/>
  <c r="BF123" i="22"/>
  <c r="BC123" i="22"/>
  <c r="BE123" i="22"/>
  <c r="BN123" i="22"/>
  <c r="BQ123" i="22"/>
  <c r="BM123" i="22"/>
  <c r="BP123" i="22"/>
  <c r="BK123" i="22"/>
  <c r="BH123" i="22"/>
  <c r="BJ123" i="22"/>
  <c r="BI123" i="22"/>
  <c r="BG123" i="22"/>
  <c r="BL123" i="22"/>
  <c r="BV123" i="22"/>
  <c r="BW111" i="22" l="1"/>
  <c r="BC124" i="22"/>
  <c r="BB124" i="22"/>
  <c r="BO124" i="22"/>
  <c r="BS124" i="22"/>
  <c r="BD124" i="22"/>
  <c r="BR124" i="22"/>
  <c r="BP124" i="22"/>
  <c r="BT124" i="22"/>
  <c r="BE124" i="22"/>
  <c r="BN124" i="22"/>
  <c r="BU124" i="22"/>
  <c r="BQ124" i="22"/>
  <c r="BG124" i="22"/>
  <c r="BV124" i="22"/>
  <c r="BF124" i="22"/>
  <c r="BK124" i="22"/>
  <c r="BI124" i="22"/>
  <c r="BH124" i="22"/>
  <c r="BM124" i="22"/>
  <c r="BL124" i="22"/>
  <c r="BJ124" i="22"/>
  <c r="BW112" i="22" l="1"/>
  <c r="BC125" i="22"/>
  <c r="BB125" i="22"/>
  <c r="BS125" i="22"/>
  <c r="BO125" i="22"/>
  <c r="BU125" i="22"/>
  <c r="BP125" i="22"/>
  <c r="BD125" i="22"/>
  <c r="BQ125" i="22"/>
  <c r="BF125" i="22"/>
  <c r="BE125" i="22"/>
  <c r="BR125" i="22"/>
  <c r="BH125" i="22"/>
  <c r="BT125" i="22"/>
  <c r="BK125" i="22"/>
  <c r="BV125" i="22"/>
  <c r="BM125" i="22"/>
  <c r="BJ125" i="22"/>
  <c r="BN125" i="22"/>
  <c r="BI125" i="22"/>
  <c r="BG125" i="22"/>
  <c r="BL125" i="22"/>
  <c r="BW113" i="22" l="1"/>
  <c r="BN126" i="22"/>
  <c r="BO126" i="22"/>
  <c r="BB126" i="22"/>
  <c r="BC126" i="22"/>
  <c r="BS126" i="22"/>
  <c r="BF126" i="22"/>
  <c r="BD126" i="22"/>
  <c r="BU126" i="22"/>
  <c r="BE126" i="22"/>
  <c r="BR126" i="22"/>
  <c r="BP126" i="22"/>
  <c r="BQ126" i="22"/>
  <c r="BI126" i="22"/>
  <c r="BM126" i="22"/>
  <c r="BK126" i="22"/>
  <c r="BT126" i="22"/>
  <c r="BV126" i="22"/>
  <c r="BJ126" i="22"/>
  <c r="BL126" i="22"/>
  <c r="BH126" i="22"/>
  <c r="BG126" i="22"/>
  <c r="BW114" i="22" l="1"/>
  <c r="BO127" i="22"/>
  <c r="BS127" i="22"/>
  <c r="BC127" i="22"/>
  <c r="BD127" i="22"/>
  <c r="BB127" i="22"/>
  <c r="BU127" i="22"/>
  <c r="BE127" i="22"/>
  <c r="BF127" i="22"/>
  <c r="BP127" i="22"/>
  <c r="BR127" i="22"/>
  <c r="BN127" i="22"/>
  <c r="BJ127" i="22"/>
  <c r="BV127" i="22"/>
  <c r="BT127" i="22"/>
  <c r="BI127" i="22"/>
  <c r="BK127" i="22"/>
  <c r="BQ127" i="22"/>
  <c r="BH127" i="22"/>
  <c r="BL127" i="22"/>
  <c r="BG127" i="22"/>
  <c r="BM127" i="22"/>
  <c r="BW115" i="22" l="1"/>
  <c r="BS128" i="22"/>
  <c r="BB128" i="22"/>
  <c r="BO128" i="22"/>
  <c r="BC128" i="22"/>
  <c r="BE128" i="22"/>
  <c r="BR128" i="22"/>
  <c r="BT128" i="22"/>
  <c r="BD128" i="22"/>
  <c r="BN128" i="22"/>
  <c r="BU128" i="22"/>
  <c r="BQ128" i="22"/>
  <c r="BF128" i="22"/>
  <c r="BJ128" i="22"/>
  <c r="BP128" i="22"/>
  <c r="BV128" i="22"/>
  <c r="BL128" i="22"/>
  <c r="BG128" i="22"/>
  <c r="BK128" i="22"/>
  <c r="BH128" i="22"/>
  <c r="BI128" i="22"/>
  <c r="BM128" i="22"/>
  <c r="BW116" i="22" l="1"/>
  <c r="BD129" i="22"/>
  <c r="BS129" i="22"/>
  <c r="BO129" i="22"/>
  <c r="BC129" i="22"/>
  <c r="BB129" i="22"/>
  <c r="BN129" i="22"/>
  <c r="BE129" i="22"/>
  <c r="BU129" i="22"/>
  <c r="BQ129" i="22"/>
  <c r="BJ129" i="22"/>
  <c r="BF129" i="22"/>
  <c r="BR129" i="22"/>
  <c r="BV129" i="22"/>
  <c r="BK129" i="22"/>
  <c r="BP129" i="22"/>
  <c r="BM129" i="22"/>
  <c r="BT129" i="22"/>
  <c r="BI129" i="22"/>
  <c r="BL129" i="22"/>
  <c r="BH129" i="22"/>
  <c r="BG129" i="22"/>
  <c r="BW117" i="22" l="1"/>
  <c r="BC130" i="22"/>
  <c r="BO130" i="22"/>
  <c r="BB130" i="22"/>
  <c r="BS130" i="22"/>
  <c r="BM130" i="22"/>
  <c r="BU130" i="22"/>
  <c r="BF130" i="22"/>
  <c r="BR130" i="22"/>
  <c r="BD130" i="22"/>
  <c r="BN130" i="22"/>
  <c r="BQ130" i="22"/>
  <c r="BE130" i="22"/>
  <c r="BP130" i="22"/>
  <c r="BI130" i="22"/>
  <c r="BJ130" i="22"/>
  <c r="BV130" i="22"/>
  <c r="BT130" i="22"/>
  <c r="BL130" i="22"/>
  <c r="BG130" i="22"/>
  <c r="BK130" i="22"/>
  <c r="BH130" i="22"/>
  <c r="BW118" i="22" l="1"/>
  <c r="BR131" i="22"/>
  <c r="BO131" i="22"/>
  <c r="BC131" i="22"/>
  <c r="BS131" i="22"/>
  <c r="BE131" i="22"/>
  <c r="BU131" i="22"/>
  <c r="BQ131" i="22"/>
  <c r="BB131" i="22"/>
  <c r="BD131" i="22"/>
  <c r="BF131" i="22"/>
  <c r="BN131" i="22"/>
  <c r="BJ131" i="22"/>
  <c r="BP131" i="22"/>
  <c r="BG131" i="22"/>
  <c r="BT131" i="22"/>
  <c r="BK131" i="22"/>
  <c r="BI131" i="22"/>
  <c r="BL131" i="22"/>
  <c r="BV131" i="22"/>
  <c r="BH131" i="22"/>
  <c r="BM131" i="22"/>
  <c r="BW119" i="22" l="1"/>
  <c r="BO132" i="22"/>
  <c r="BC132" i="22"/>
  <c r="BS132" i="22"/>
  <c r="BB132" i="22"/>
  <c r="BM132" i="22"/>
  <c r="BR132" i="22"/>
  <c r="BD132" i="22"/>
  <c r="BQ132" i="22"/>
  <c r="BF132" i="22"/>
  <c r="BN132" i="22"/>
  <c r="BU132" i="22"/>
  <c r="BE132" i="22"/>
  <c r="BP132" i="22"/>
  <c r="BK132" i="22"/>
  <c r="BV132" i="22"/>
  <c r="BJ132" i="22"/>
  <c r="BH132" i="22"/>
  <c r="BL132" i="22"/>
  <c r="BT132" i="22"/>
  <c r="BI132" i="22"/>
  <c r="BG132" i="22"/>
  <c r="BW120" i="22" l="1"/>
  <c r="BB133" i="22"/>
  <c r="BO133" i="22"/>
  <c r="BN133" i="22"/>
  <c r="BC133" i="22"/>
  <c r="BS133" i="22"/>
  <c r="BE133" i="22"/>
  <c r="BQ133" i="22"/>
  <c r="BR133" i="22"/>
  <c r="BU133" i="22"/>
  <c r="BJ133" i="22"/>
  <c r="BF133" i="22"/>
  <c r="BK133" i="22"/>
  <c r="BM133" i="22"/>
  <c r="BI133" i="22"/>
  <c r="BT133" i="22"/>
  <c r="BD133" i="22"/>
  <c r="BP133" i="22"/>
  <c r="BV133" i="22"/>
  <c r="BL133" i="22"/>
  <c r="BG133" i="22"/>
  <c r="BH133" i="22"/>
  <c r="BW121" i="22" l="1"/>
  <c r="BB134" i="22"/>
  <c r="BO134" i="22"/>
  <c r="BC134" i="22"/>
  <c r="BS134" i="22"/>
  <c r="BU134" i="22"/>
  <c r="BJ134" i="22"/>
  <c r="BQ134" i="22"/>
  <c r="BE134" i="22"/>
  <c r="BP134" i="22"/>
  <c r="BF134" i="22"/>
  <c r="BN134" i="22"/>
  <c r="BD134" i="22"/>
  <c r="BR134" i="22"/>
  <c r="BT134" i="22"/>
  <c r="BV134" i="22"/>
  <c r="BI134" i="22"/>
  <c r="BK134" i="22"/>
  <c r="BM134" i="22"/>
  <c r="BL134" i="22"/>
  <c r="BH134" i="22"/>
  <c r="BG134" i="22"/>
  <c r="BW122" i="22" l="1"/>
  <c r="BS135" i="22"/>
  <c r="BC135" i="22"/>
  <c r="BB135" i="22"/>
  <c r="BO135" i="22"/>
  <c r="BE135" i="22"/>
  <c r="BD135" i="22"/>
  <c r="BN135" i="22"/>
  <c r="BR135" i="22"/>
  <c r="BQ135" i="22"/>
  <c r="BF135" i="22"/>
  <c r="BK135" i="22"/>
  <c r="BM135" i="22"/>
  <c r="BP135" i="22"/>
  <c r="BJ135" i="22"/>
  <c r="BT135" i="22"/>
  <c r="BU135" i="22"/>
  <c r="BI135" i="22"/>
  <c r="BH135" i="22"/>
  <c r="BL135" i="22"/>
  <c r="BG135" i="22"/>
  <c r="BV135" i="22"/>
  <c r="BW123" i="22" l="1"/>
  <c r="BS136" i="22"/>
  <c r="BD136" i="22"/>
  <c r="BC136" i="22"/>
  <c r="BB136" i="22"/>
  <c r="BO136" i="22"/>
  <c r="BR136" i="22"/>
  <c r="BP136" i="22"/>
  <c r="BJ136" i="22"/>
  <c r="BN136" i="22"/>
  <c r="BU136" i="22"/>
  <c r="BF136" i="22"/>
  <c r="BE136" i="22"/>
  <c r="BI136" i="22"/>
  <c r="BT136" i="22"/>
  <c r="BQ136" i="22"/>
  <c r="BG136" i="22"/>
  <c r="BM136" i="22"/>
  <c r="BV136" i="22"/>
  <c r="BH136" i="22"/>
  <c r="BK136" i="22"/>
  <c r="BL136" i="22"/>
  <c r="BW124" i="22" l="1"/>
  <c r="BC137" i="22"/>
  <c r="BS137" i="22"/>
  <c r="BB137" i="22"/>
  <c r="BO137" i="22"/>
  <c r="BE137" i="22"/>
  <c r="BN137" i="22"/>
  <c r="BF137" i="22"/>
  <c r="BD137" i="22"/>
  <c r="BQ137" i="22"/>
  <c r="BJ137" i="22"/>
  <c r="BV137" i="22"/>
  <c r="BK137" i="22"/>
  <c r="BT137" i="22"/>
  <c r="BR137" i="22"/>
  <c r="BM137" i="22"/>
  <c r="BU137" i="22"/>
  <c r="BP137" i="22"/>
  <c r="BL137" i="22"/>
  <c r="BI137" i="22"/>
  <c r="BH137" i="22"/>
  <c r="BG137" i="22"/>
  <c r="BW125" i="22" l="1"/>
  <c r="BD138" i="22"/>
  <c r="BE138" i="22"/>
  <c r="BO138" i="22"/>
  <c r="BS138" i="22"/>
  <c r="BB138" i="22"/>
  <c r="BC138" i="22"/>
  <c r="BN138" i="22"/>
  <c r="BF138" i="22"/>
  <c r="BJ138" i="22"/>
  <c r="BT138" i="22"/>
  <c r="BU138" i="22"/>
  <c r="BR138" i="22"/>
  <c r="BQ138" i="22"/>
  <c r="BI138" i="22"/>
  <c r="BP138" i="22"/>
  <c r="BM138" i="22"/>
  <c r="BG138" i="22"/>
  <c r="BV138" i="22"/>
  <c r="BL138" i="22"/>
  <c r="BK138" i="22"/>
  <c r="BH138" i="22"/>
  <c r="BW126" i="22" l="1"/>
  <c r="BS139" i="22"/>
  <c r="BC139" i="22"/>
  <c r="BB139" i="22"/>
  <c r="BD139" i="22"/>
  <c r="BT139" i="22"/>
  <c r="BO139" i="22"/>
  <c r="BR139" i="22"/>
  <c r="BQ139" i="22"/>
  <c r="BP139" i="22"/>
  <c r="BJ139" i="22"/>
  <c r="BE139" i="22"/>
  <c r="BF139" i="22"/>
  <c r="BI139" i="22"/>
  <c r="BM139" i="22"/>
  <c r="BH139" i="22"/>
  <c r="BU139" i="22"/>
  <c r="BN139" i="22"/>
  <c r="BK139" i="22"/>
  <c r="BL139" i="22"/>
  <c r="BV139" i="22"/>
  <c r="BG139" i="22"/>
  <c r="BW127" i="22" l="1"/>
  <c r="BB140" i="22"/>
  <c r="BC140" i="22"/>
  <c r="BO140" i="22"/>
  <c r="BS140" i="22"/>
  <c r="BE140" i="22"/>
  <c r="BR140" i="22"/>
  <c r="BT140" i="22"/>
  <c r="BD140" i="22"/>
  <c r="BU140" i="22"/>
  <c r="BN140" i="22"/>
  <c r="BQ140" i="22"/>
  <c r="BF140" i="22"/>
  <c r="BK140" i="22"/>
  <c r="BP140" i="22"/>
  <c r="BJ140" i="22"/>
  <c r="BH140" i="22"/>
  <c r="BV140" i="22"/>
  <c r="BM140" i="22"/>
  <c r="BI140" i="22"/>
  <c r="BL140" i="22"/>
  <c r="BG140" i="22"/>
  <c r="BW128" i="22" l="1"/>
  <c r="BC141" i="22"/>
  <c r="BD141" i="22"/>
  <c r="BO141" i="22"/>
  <c r="BS141" i="22"/>
  <c r="BB141" i="22"/>
  <c r="BR141" i="22"/>
  <c r="BQ141" i="22"/>
  <c r="BN141" i="22"/>
  <c r="BF141" i="22"/>
  <c r="BJ141" i="22"/>
  <c r="BE141" i="22"/>
  <c r="BT141" i="22"/>
  <c r="BM141" i="22"/>
  <c r="BK141" i="22"/>
  <c r="BI141" i="22"/>
  <c r="BP141" i="22"/>
  <c r="BG141" i="22"/>
  <c r="BV141" i="22"/>
  <c r="BL141" i="22"/>
  <c r="BH141" i="22"/>
  <c r="BU141" i="22"/>
  <c r="BW129" i="22" l="1"/>
  <c r="BO142" i="22"/>
  <c r="BB142" i="22"/>
  <c r="BC142" i="22"/>
  <c r="BD142" i="22"/>
  <c r="BF142" i="22"/>
  <c r="BU142" i="22"/>
  <c r="BE142" i="22"/>
  <c r="BQ142" i="22"/>
  <c r="BS142" i="22"/>
  <c r="BR142" i="22"/>
  <c r="BN142" i="22"/>
  <c r="BH142" i="22"/>
  <c r="BI142" i="22"/>
  <c r="BP142" i="22"/>
  <c r="BM142" i="22"/>
  <c r="BJ142" i="22"/>
  <c r="BT142" i="22"/>
  <c r="BL142" i="22"/>
  <c r="BK142" i="22"/>
  <c r="BV142" i="22"/>
  <c r="BG142" i="22"/>
  <c r="BW130" i="22" l="1"/>
  <c r="BC143" i="22"/>
  <c r="BN143" i="22"/>
  <c r="BE143" i="22"/>
  <c r="BB143" i="22"/>
  <c r="BO143" i="22"/>
  <c r="BS143" i="22"/>
  <c r="BF143" i="22"/>
  <c r="BR143" i="22"/>
  <c r="BD143" i="22"/>
  <c r="BQ143" i="22"/>
  <c r="BV143" i="22"/>
  <c r="BT143" i="22"/>
  <c r="BI143" i="22"/>
  <c r="BK143" i="22"/>
  <c r="BJ143" i="22"/>
  <c r="BU143" i="22"/>
  <c r="BM143" i="22"/>
  <c r="BP143" i="22"/>
  <c r="BL143" i="22"/>
  <c r="BG143" i="22"/>
  <c r="BH143" i="22"/>
  <c r="BW131" i="22" l="1"/>
  <c r="BO144" i="22"/>
  <c r="BN144" i="22"/>
  <c r="BU144" i="22"/>
  <c r="BC144" i="22"/>
  <c r="BD144" i="22"/>
  <c r="BE144" i="22"/>
  <c r="BT144" i="22"/>
  <c r="BS144" i="22"/>
  <c r="BQ144" i="22"/>
  <c r="BB144" i="22"/>
  <c r="BR144" i="22"/>
  <c r="BF144" i="22"/>
  <c r="BP144" i="22"/>
  <c r="BI144" i="22"/>
  <c r="BM144" i="22"/>
  <c r="BK144" i="22"/>
  <c r="BG144" i="22"/>
  <c r="BL144" i="22"/>
  <c r="BH144" i="22"/>
  <c r="BV144" i="22"/>
  <c r="BJ144" i="22"/>
  <c r="BW132" i="22" l="1"/>
  <c r="BD145" i="22"/>
  <c r="BC145" i="22"/>
  <c r="BE145" i="22"/>
  <c r="BS145" i="22"/>
  <c r="BO145" i="22"/>
  <c r="BB145" i="22"/>
  <c r="BR145" i="22"/>
  <c r="BN145" i="22"/>
  <c r="BU145" i="22"/>
  <c r="BQ145" i="22"/>
  <c r="BF145" i="22"/>
  <c r="BH145" i="22"/>
  <c r="BM145" i="22"/>
  <c r="BP145" i="22"/>
  <c r="BJ145" i="22"/>
  <c r="BK145" i="22"/>
  <c r="BT145" i="22"/>
  <c r="BI145" i="22"/>
  <c r="BL145" i="22"/>
  <c r="BV145" i="22"/>
  <c r="BG145" i="22"/>
  <c r="BW133" i="22" l="1"/>
  <c r="BB146" i="22"/>
  <c r="BR146" i="22"/>
  <c r="BO146" i="22"/>
  <c r="BS146" i="22"/>
  <c r="BC146" i="22"/>
  <c r="BU146" i="22"/>
  <c r="BN146" i="22"/>
  <c r="BP146" i="22"/>
  <c r="BF146" i="22"/>
  <c r="BD146" i="22"/>
  <c r="BQ146" i="22"/>
  <c r="BE146" i="22"/>
  <c r="BI146" i="22"/>
  <c r="BJ146" i="22"/>
  <c r="BM146" i="22"/>
  <c r="BT146" i="22"/>
  <c r="BV146" i="22"/>
  <c r="BL146" i="22"/>
  <c r="BG146" i="22"/>
  <c r="BK146" i="22"/>
  <c r="BH146" i="22"/>
  <c r="BW134" i="22" l="1"/>
  <c r="BS147" i="22"/>
  <c r="BO147" i="22"/>
  <c r="BC147" i="22"/>
  <c r="BD147" i="22"/>
  <c r="BB147" i="22"/>
  <c r="BJ147" i="22"/>
  <c r="BF147" i="22"/>
  <c r="BR147" i="22"/>
  <c r="BT147" i="22"/>
  <c r="BQ147" i="22"/>
  <c r="BP147" i="22"/>
  <c r="BN147" i="22"/>
  <c r="BK147" i="22"/>
  <c r="BE147" i="22"/>
  <c r="BG147" i="22"/>
  <c r="BU147" i="22"/>
  <c r="BI147" i="22"/>
  <c r="BL147" i="22"/>
  <c r="BM147" i="22"/>
  <c r="BV147" i="22"/>
  <c r="BH147" i="22"/>
  <c r="BW135" i="22" l="1"/>
  <c r="BO148" i="22"/>
  <c r="BD148" i="22"/>
  <c r="BB148" i="22"/>
  <c r="BC148" i="22"/>
  <c r="BQ148" i="22"/>
  <c r="BS148" i="22"/>
  <c r="BF148" i="22"/>
  <c r="BR148" i="22"/>
  <c r="BE148" i="22"/>
  <c r="BN148" i="22"/>
  <c r="BU148" i="22"/>
  <c r="BP148" i="22"/>
  <c r="BK148" i="22"/>
  <c r="BV148" i="22"/>
  <c r="BJ148" i="22"/>
  <c r="BT148" i="22"/>
  <c r="BL148" i="22"/>
  <c r="BI148" i="22"/>
  <c r="BM148" i="22"/>
  <c r="BG148" i="22"/>
  <c r="BH148" i="22"/>
  <c r="BW136" i="22" l="1"/>
  <c r="X46" i="22"/>
  <c r="X41" i="22"/>
  <c r="X42" i="22"/>
  <c r="X44" i="22"/>
  <c r="X45" i="22"/>
  <c r="X27" i="22"/>
  <c r="X24" i="22"/>
  <c r="X38" i="22"/>
  <c r="X39" i="22"/>
  <c r="X18" i="22"/>
  <c r="X20" i="22"/>
  <c r="X30" i="22"/>
  <c r="X43" i="22"/>
  <c r="X40" i="22"/>
  <c r="E24" i="24"/>
  <c r="E27" i="24"/>
  <c r="E28" i="24"/>
  <c r="E29" i="24"/>
  <c r="G84" i="24" s="1"/>
  <c r="E23" i="24"/>
  <c r="E16" i="24"/>
  <c r="E10" i="24"/>
  <c r="G69" i="24" s="1"/>
  <c r="E26" i="24"/>
  <c r="E25" i="24"/>
  <c r="BS149" i="22"/>
  <c r="V70" i="22" s="1"/>
  <c r="BB149" i="22"/>
  <c r="E70" i="22" s="1"/>
  <c r="BE149" i="22"/>
  <c r="H70" i="22" s="1"/>
  <c r="BC149" i="22"/>
  <c r="F70" i="22" s="1"/>
  <c r="BD149" i="22"/>
  <c r="G70" i="22" s="1"/>
  <c r="BR149" i="22"/>
  <c r="U70" i="22" s="1"/>
  <c r="BJ149" i="22"/>
  <c r="M70" i="22" s="1"/>
  <c r="BF149" i="22"/>
  <c r="I70" i="22" s="1"/>
  <c r="BU149" i="22"/>
  <c r="X70" i="22" s="1"/>
  <c r="BQ149" i="22"/>
  <c r="T70" i="22" s="1"/>
  <c r="BT149" i="22"/>
  <c r="W70" i="22" s="1"/>
  <c r="BO149" i="22"/>
  <c r="R70" i="22" s="1"/>
  <c r="BN149" i="22"/>
  <c r="Q70" i="22" s="1"/>
  <c r="BI149" i="22"/>
  <c r="L70" i="22" s="1"/>
  <c r="BP149" i="22"/>
  <c r="S70" i="22" s="1"/>
  <c r="BM149" i="22"/>
  <c r="P70" i="22" s="1"/>
  <c r="BK149" i="22"/>
  <c r="N70" i="22" s="1"/>
  <c r="BH149" i="22"/>
  <c r="K70" i="22" s="1"/>
  <c r="BV149" i="22"/>
  <c r="BL149" i="22"/>
  <c r="O70" i="22" s="1"/>
  <c r="BG149" i="22"/>
  <c r="J70" i="22" s="1"/>
  <c r="D22" i="22" l="1" a="1"/>
  <c r="D22" i="22" s="1"/>
  <c r="D20" i="22" a="1"/>
  <c r="D20" i="22" s="1"/>
  <c r="D18" i="22" a="1"/>
  <c r="D18" i="22" s="1"/>
  <c r="D16" i="22" a="1"/>
  <c r="D16" i="22" s="1"/>
  <c r="D14" i="22" a="1"/>
  <c r="D14" i="22" s="1"/>
  <c r="D12" i="22" a="1"/>
  <c r="D12" i="22" s="1"/>
  <c r="D15" i="22" a="1"/>
  <c r="D15" i="22" s="1"/>
  <c r="D13" i="22" a="1"/>
  <c r="D13" i="22" s="1"/>
  <c r="D21" i="22" a="1"/>
  <c r="D21" i="22" s="1"/>
  <c r="D19" i="22" a="1"/>
  <c r="D19" i="22" s="1"/>
  <c r="D17" i="22" a="1"/>
  <c r="D17" i="22" s="1"/>
  <c r="BW137" i="22"/>
  <c r="X26" i="22"/>
  <c r="E18" i="24"/>
  <c r="G77" i="24" s="1"/>
  <c r="X23" i="22"/>
  <c r="X28" i="22"/>
  <c r="E14" i="24"/>
  <c r="F14" i="24" s="1"/>
  <c r="X25" i="22"/>
  <c r="X17" i="22"/>
  <c r="E13" i="24"/>
  <c r="F13" i="24" s="1"/>
  <c r="X31" i="22"/>
  <c r="X19" i="22"/>
  <c r="E22" i="24"/>
  <c r="F22" i="24" s="1"/>
  <c r="X37" i="22"/>
  <c r="X16" i="22"/>
  <c r="E11" i="24"/>
  <c r="X35" i="22"/>
  <c r="X21" i="22"/>
  <c r="E15" i="24"/>
  <c r="G74" i="24" s="1"/>
  <c r="X32" i="22"/>
  <c r="E12" i="24"/>
  <c r="G71" i="24" s="1"/>
  <c r="X29" i="22"/>
  <c r="X15" i="22"/>
  <c r="X36" i="22"/>
  <c r="E19" i="24"/>
  <c r="F19" i="24" s="1"/>
  <c r="X33" i="22"/>
  <c r="E20" i="24"/>
  <c r="G79" i="24" s="1"/>
  <c r="X34" i="22"/>
  <c r="X22" i="22"/>
  <c r="E21" i="24"/>
  <c r="G80" i="24" s="1"/>
  <c r="G76" i="24"/>
  <c r="G83" i="24"/>
  <c r="G82" i="24"/>
  <c r="G75" i="24"/>
  <c r="X52" i="22"/>
  <c r="X58" i="22"/>
  <c r="X65" i="22"/>
  <c r="X63" i="22"/>
  <c r="X62" i="22"/>
  <c r="X68" i="22"/>
  <c r="X59" i="22"/>
  <c r="X64" i="22"/>
  <c r="X54" i="22"/>
  <c r="X55" i="22"/>
  <c r="X61" i="22"/>
  <c r="X48" i="22"/>
  <c r="X67" i="22"/>
  <c r="X66" i="22"/>
  <c r="X51" i="22"/>
  <c r="X57" i="22"/>
  <c r="X56" i="22"/>
  <c r="X53" i="22"/>
  <c r="X49" i="22"/>
  <c r="X47" i="22"/>
  <c r="X60" i="22"/>
  <c r="X50" i="22"/>
  <c r="G72" i="24"/>
  <c r="G81" i="24"/>
  <c r="F28" i="24"/>
  <c r="F26" i="24"/>
  <c r="F10" i="24"/>
  <c r="F29" i="24"/>
  <c r="F24" i="24"/>
  <c r="F16" i="24"/>
  <c r="F27" i="24"/>
  <c r="F25" i="24"/>
  <c r="F23" i="24"/>
  <c r="Y70" i="22"/>
  <c r="D69" i="22" l="1"/>
  <c r="AX17" i="22" s="1"/>
  <c r="BW138" i="22"/>
  <c r="F18" i="24"/>
  <c r="G73" i="24"/>
  <c r="F12" i="24"/>
  <c r="F15" i="24"/>
  <c r="K68" i="24"/>
  <c r="G70" i="24"/>
  <c r="F11" i="24"/>
  <c r="K69" i="24"/>
  <c r="F20" i="24"/>
  <c r="F21" i="24"/>
  <c r="G78" i="24"/>
  <c r="BM7" i="24"/>
  <c r="DB7" i="24" s="1"/>
  <c r="BN7" i="24"/>
  <c r="DC7" i="24" s="1"/>
  <c r="BO7" i="24"/>
  <c r="DD7" i="24" s="1"/>
  <c r="BP7" i="24"/>
  <c r="DE7" i="24" s="1"/>
  <c r="BQ7" i="24"/>
  <c r="DF7" i="24" s="1"/>
  <c r="BR7" i="24"/>
  <c r="DG7" i="24" s="1"/>
  <c r="BS7" i="24"/>
  <c r="DH7" i="24" s="1"/>
  <c r="BH7" i="24"/>
  <c r="CW7" i="24" s="1"/>
  <c r="BI7" i="24"/>
  <c r="CX7" i="24" s="1"/>
  <c r="BJ7" i="24"/>
  <c r="CY7" i="24" s="1"/>
  <c r="BK7" i="24"/>
  <c r="CZ7" i="24" s="1"/>
  <c r="BL7" i="24"/>
  <c r="DA7" i="24" s="1"/>
  <c r="AW17" i="22" l="1"/>
  <c r="CP17" i="22" s="1"/>
  <c r="AX18" i="22"/>
  <c r="AY17" i="22"/>
  <c r="BW139" i="22"/>
  <c r="R29" i="24"/>
  <c r="BF29" i="24" s="1"/>
  <c r="CU29" i="24" s="1"/>
  <c r="N17" i="24"/>
  <c r="BB17" i="24" s="1"/>
  <c r="CQ17" i="24" s="1"/>
  <c r="S16" i="24"/>
  <c r="BG16" i="24" s="1"/>
  <c r="CV16" i="24" s="1"/>
  <c r="X15" i="24"/>
  <c r="BL15" i="24" s="1"/>
  <c r="DA15" i="24" s="1"/>
  <c r="Q10" i="24"/>
  <c r="BE10" i="24" s="1"/>
  <c r="CT10" i="24" s="1"/>
  <c r="W15" i="24"/>
  <c r="BK15" i="24" s="1"/>
  <c r="CZ15" i="24" s="1"/>
  <c r="L14" i="24"/>
  <c r="AZ14" i="24" s="1"/>
  <c r="CO14" i="24" s="1"/>
  <c r="L26" i="24"/>
  <c r="AZ26" i="24" s="1"/>
  <c r="CO26" i="24" s="1"/>
  <c r="K23" i="24"/>
  <c r="AY23" i="24" s="1"/>
  <c r="CN23" i="24" s="1"/>
  <c r="V12" i="24"/>
  <c r="BJ12" i="24" s="1"/>
  <c r="CY12" i="24" s="1"/>
  <c r="L29" i="24"/>
  <c r="AZ29" i="24" s="1"/>
  <c r="CO29" i="24" s="1"/>
  <c r="W12" i="24"/>
  <c r="BK12" i="24" s="1"/>
  <c r="CZ12" i="24" s="1"/>
  <c r="K11" i="24"/>
  <c r="AY11" i="24" s="1"/>
  <c r="CN11" i="24" s="1"/>
  <c r="W14" i="24"/>
  <c r="BK14" i="24" s="1"/>
  <c r="CZ14" i="24" s="1"/>
  <c r="L11" i="24"/>
  <c r="AZ11" i="24" s="1"/>
  <c r="CO11" i="24" s="1"/>
  <c r="J27" i="24"/>
  <c r="AX27" i="24" s="1"/>
  <c r="CM27" i="24" s="1"/>
  <c r="H20" i="24"/>
  <c r="AV20" i="24" s="1"/>
  <c r="CK20" i="24" s="1"/>
  <c r="O26" i="24"/>
  <c r="BC26" i="24" s="1"/>
  <c r="CR26" i="24" s="1"/>
  <c r="N25" i="24"/>
  <c r="BB25" i="24" s="1"/>
  <c r="CQ25" i="24" s="1"/>
  <c r="N23" i="24"/>
  <c r="BB23" i="24" s="1"/>
  <c r="CQ23" i="24" s="1"/>
  <c r="I10" i="24"/>
  <c r="AW10" i="24" s="1"/>
  <c r="CL10" i="24" s="1"/>
  <c r="L27" i="24"/>
  <c r="AZ27" i="24" s="1"/>
  <c r="CO27" i="24" s="1"/>
  <c r="H21" i="24"/>
  <c r="AV21" i="24" s="1"/>
  <c r="CK21" i="24" s="1"/>
  <c r="J16" i="24"/>
  <c r="AX16" i="24" s="1"/>
  <c r="CM16" i="24" s="1"/>
  <c r="K24" i="24"/>
  <c r="AY24" i="24" s="1"/>
  <c r="CN24" i="24" s="1"/>
  <c r="M20" i="24"/>
  <c r="BA20" i="24" s="1"/>
  <c r="CP20" i="24" s="1"/>
  <c r="V23" i="24"/>
  <c r="BJ23" i="24" s="1"/>
  <c r="CY23" i="24" s="1"/>
  <c r="Q29" i="24"/>
  <c r="BE29" i="24" s="1"/>
  <c r="CT29" i="24" s="1"/>
  <c r="L17" i="24"/>
  <c r="AZ17" i="24" s="1"/>
  <c r="CO17" i="24" s="1"/>
  <c r="W29" i="24"/>
  <c r="BK29" i="24" s="1"/>
  <c r="CZ29" i="24" s="1"/>
  <c r="K27" i="24"/>
  <c r="AY27" i="24" s="1"/>
  <c r="CN27" i="24" s="1"/>
  <c r="O29" i="24"/>
  <c r="BC29" i="24" s="1"/>
  <c r="CR29" i="24" s="1"/>
  <c r="R14" i="24"/>
  <c r="BF14" i="24" s="1"/>
  <c r="CU14" i="24" s="1"/>
  <c r="P26" i="24"/>
  <c r="BD26" i="24" s="1"/>
  <c r="CS26" i="24" s="1"/>
  <c r="N26" i="24"/>
  <c r="BB26" i="24" s="1"/>
  <c r="CQ26" i="24" s="1"/>
  <c r="X19" i="24"/>
  <c r="BL19" i="24" s="1"/>
  <c r="DA19" i="24" s="1"/>
  <c r="P23" i="24"/>
  <c r="BD23" i="24" s="1"/>
  <c r="CS23" i="24" s="1"/>
  <c r="O23" i="24"/>
  <c r="BC23" i="24" s="1"/>
  <c r="CR23" i="24" s="1"/>
  <c r="J14" i="24"/>
  <c r="AX14" i="24" s="1"/>
  <c r="CM14" i="24" s="1"/>
  <c r="I25" i="24"/>
  <c r="AW25" i="24" s="1"/>
  <c r="CL25" i="24" s="1"/>
  <c r="O20" i="24"/>
  <c r="BC20" i="24" s="1"/>
  <c r="CR20" i="24" s="1"/>
  <c r="I21" i="24"/>
  <c r="AW21" i="24" s="1"/>
  <c r="CL21" i="24" s="1"/>
  <c r="I11" i="24"/>
  <c r="AW11" i="24" s="1"/>
  <c r="CL11" i="24" s="1"/>
  <c r="T10" i="24"/>
  <c r="BH10" i="24" s="1"/>
  <c r="CW10" i="24" s="1"/>
  <c r="T19" i="24"/>
  <c r="BH19" i="24" s="1"/>
  <c r="CW19" i="24" s="1"/>
  <c r="N20" i="24"/>
  <c r="BB20" i="24" s="1"/>
  <c r="CQ20" i="24" s="1"/>
  <c r="K20" i="24"/>
  <c r="AY20" i="24" s="1"/>
  <c r="CN20" i="24" s="1"/>
  <c r="U16" i="24"/>
  <c r="BI16" i="24" s="1"/>
  <c r="CX16" i="24" s="1"/>
  <c r="W28" i="24"/>
  <c r="BK28" i="24" s="1"/>
  <c r="CZ28" i="24" s="1"/>
  <c r="I18" i="24"/>
  <c r="AW18" i="24" s="1"/>
  <c r="CL18" i="24" s="1"/>
  <c r="H18" i="24"/>
  <c r="AV18" i="24" s="1"/>
  <c r="CK18" i="24" s="1"/>
  <c r="J17" i="24"/>
  <c r="AX17" i="24" s="1"/>
  <c r="CM17" i="24" s="1"/>
  <c r="Q23" i="24"/>
  <c r="BE23" i="24" s="1"/>
  <c r="CT23" i="24" s="1"/>
  <c r="S25" i="24"/>
  <c r="BG25" i="24" s="1"/>
  <c r="CV25" i="24" s="1"/>
  <c r="N10" i="24"/>
  <c r="BB10" i="24" s="1"/>
  <c r="CQ10" i="24" s="1"/>
  <c r="O16" i="24"/>
  <c r="BC16" i="24" s="1"/>
  <c r="CR16" i="24" s="1"/>
  <c r="P22" i="24"/>
  <c r="BD22" i="24" s="1"/>
  <c r="CS22" i="24" s="1"/>
  <c r="Q28" i="24"/>
  <c r="BE28" i="24" s="1"/>
  <c r="CT28" i="24" s="1"/>
  <c r="L13" i="24"/>
  <c r="AZ13" i="24" s="1"/>
  <c r="CO13" i="24" s="1"/>
  <c r="M19" i="24"/>
  <c r="BA19" i="24" s="1"/>
  <c r="CP19" i="24" s="1"/>
  <c r="S24" i="24"/>
  <c r="BG24" i="24" s="1"/>
  <c r="CV24" i="24" s="1"/>
  <c r="O15" i="24"/>
  <c r="BC15" i="24" s="1"/>
  <c r="CR15" i="24" s="1"/>
  <c r="K22" i="24"/>
  <c r="AY22" i="24" s="1"/>
  <c r="CN22" i="24" s="1"/>
  <c r="L28" i="24"/>
  <c r="AZ28" i="24" s="1"/>
  <c r="CO28" i="24" s="1"/>
  <c r="W13" i="24"/>
  <c r="BK13" i="24" s="1"/>
  <c r="CZ13" i="24" s="1"/>
  <c r="H19" i="24"/>
  <c r="AV19" i="24" s="1"/>
  <c r="CK19" i="24" s="1"/>
  <c r="N24" i="24"/>
  <c r="BB24" i="24" s="1"/>
  <c r="CQ24" i="24" s="1"/>
  <c r="J15" i="24"/>
  <c r="AX15" i="24" s="1"/>
  <c r="CM15" i="24" s="1"/>
  <c r="V22" i="24"/>
  <c r="BJ22" i="24" s="1"/>
  <c r="CY22" i="24" s="1"/>
  <c r="V28" i="24"/>
  <c r="BJ28" i="24" s="1"/>
  <c r="CY28" i="24" s="1"/>
  <c r="Q13" i="24"/>
  <c r="BE13" i="24" s="1"/>
  <c r="CT13" i="24" s="1"/>
  <c r="R19" i="24"/>
  <c r="BF19" i="24" s="1"/>
  <c r="CU19" i="24" s="1"/>
  <c r="X24" i="24"/>
  <c r="BL24" i="24" s="1"/>
  <c r="DA24" i="24" s="1"/>
  <c r="T15" i="24"/>
  <c r="BH15" i="24" s="1"/>
  <c r="CW15" i="24" s="1"/>
  <c r="U21" i="24"/>
  <c r="BI21" i="24" s="1"/>
  <c r="CX21" i="24" s="1"/>
  <c r="V27" i="24"/>
  <c r="BJ27" i="24" s="1"/>
  <c r="CY27" i="24" s="1"/>
  <c r="Q12" i="24"/>
  <c r="BE12" i="24" s="1"/>
  <c r="CT12" i="24" s="1"/>
  <c r="R18" i="24"/>
  <c r="BF18" i="24" s="1"/>
  <c r="CU18" i="24" s="1"/>
  <c r="X23" i="24"/>
  <c r="BL23" i="24" s="1"/>
  <c r="DA23" i="24" s="1"/>
  <c r="I29" i="24"/>
  <c r="AW29" i="24" s="1"/>
  <c r="CL29" i="24" s="1"/>
  <c r="T14" i="24"/>
  <c r="BH14" i="24" s="1"/>
  <c r="CW14" i="24" s="1"/>
  <c r="P21" i="24"/>
  <c r="BD21" i="24" s="1"/>
  <c r="CS21" i="24" s="1"/>
  <c r="Q27" i="24"/>
  <c r="BE27" i="24" s="1"/>
  <c r="CT27" i="24" s="1"/>
  <c r="L12" i="24"/>
  <c r="AZ12" i="24" s="1"/>
  <c r="CO12" i="24" s="1"/>
  <c r="M18" i="24"/>
  <c r="BA18" i="24" s="1"/>
  <c r="CP18" i="24" s="1"/>
  <c r="S23" i="24"/>
  <c r="BG23" i="24" s="1"/>
  <c r="CV23" i="24" s="1"/>
  <c r="T29" i="24"/>
  <c r="BH29" i="24" s="1"/>
  <c r="CW29" i="24" s="1"/>
  <c r="O14" i="24"/>
  <c r="BC14" i="24" s="1"/>
  <c r="CR14" i="24" s="1"/>
  <c r="K21" i="24"/>
  <c r="AY21" i="24" s="1"/>
  <c r="CN21" i="24" s="1"/>
  <c r="W18" i="24"/>
  <c r="BK18" i="24" s="1"/>
  <c r="CZ18" i="24" s="1"/>
  <c r="H24" i="24"/>
  <c r="AV24" i="24" s="1"/>
  <c r="CK24" i="24" s="1"/>
  <c r="N29" i="24"/>
  <c r="BB29" i="24" s="1"/>
  <c r="CQ29" i="24" s="1"/>
  <c r="I14" i="24"/>
  <c r="AW14" i="24" s="1"/>
  <c r="CL14" i="24" s="1"/>
  <c r="J20" i="24"/>
  <c r="AX20" i="24" s="1"/>
  <c r="CM20" i="24" s="1"/>
  <c r="K26" i="24"/>
  <c r="AY26" i="24" s="1"/>
  <c r="CN26" i="24" s="1"/>
  <c r="V11" i="24"/>
  <c r="BJ11" i="24" s="1"/>
  <c r="CY11" i="24" s="1"/>
  <c r="W17" i="24"/>
  <c r="BK17" i="24" s="1"/>
  <c r="CZ17" i="24" s="1"/>
  <c r="H23" i="24"/>
  <c r="AV23" i="24" s="1"/>
  <c r="CK23" i="24" s="1"/>
  <c r="N28" i="24"/>
  <c r="BB28" i="24" s="1"/>
  <c r="CQ28" i="24" s="1"/>
  <c r="I13" i="24"/>
  <c r="AW13" i="24" s="1"/>
  <c r="CL13" i="24" s="1"/>
  <c r="U20" i="24"/>
  <c r="BI20" i="24" s="1"/>
  <c r="CX20" i="24" s="1"/>
  <c r="V26" i="24"/>
  <c r="BJ26" i="24" s="1"/>
  <c r="CY26" i="24" s="1"/>
  <c r="Q11" i="24"/>
  <c r="BE11" i="24" s="1"/>
  <c r="CT11" i="24" s="1"/>
  <c r="R17" i="24"/>
  <c r="BF17" i="24" s="1"/>
  <c r="CU17" i="24" s="1"/>
  <c r="X22" i="24"/>
  <c r="BL22" i="24" s="1"/>
  <c r="DA22" i="24" s="1"/>
  <c r="I28" i="24"/>
  <c r="AW28" i="24" s="1"/>
  <c r="CL28" i="24" s="1"/>
  <c r="T13" i="24"/>
  <c r="BH13" i="24" s="1"/>
  <c r="CW13" i="24" s="1"/>
  <c r="P20" i="24"/>
  <c r="BD20" i="24" s="1"/>
  <c r="CS20" i="24" s="1"/>
  <c r="M23" i="24"/>
  <c r="BA23" i="24" s="1"/>
  <c r="CP23" i="24" s="1"/>
  <c r="S28" i="24"/>
  <c r="BG28" i="24" s="1"/>
  <c r="CV28" i="24" s="1"/>
  <c r="N13" i="24"/>
  <c r="BB13" i="24" s="1"/>
  <c r="CQ13" i="24" s="1"/>
  <c r="O19" i="24"/>
  <c r="BC19" i="24" s="1"/>
  <c r="CR19" i="24" s="1"/>
  <c r="P25" i="24"/>
  <c r="BD25" i="24" s="1"/>
  <c r="CS25" i="24" s="1"/>
  <c r="K10" i="24"/>
  <c r="AY10" i="24" s="1"/>
  <c r="CN10" i="24" s="1"/>
  <c r="L16" i="24"/>
  <c r="AZ16" i="24" s="1"/>
  <c r="CO16" i="24" s="1"/>
  <c r="M22" i="24"/>
  <c r="BA22" i="24" s="1"/>
  <c r="CP22" i="24" s="1"/>
  <c r="S27" i="24"/>
  <c r="BG27" i="24" s="1"/>
  <c r="CV27" i="24" s="1"/>
  <c r="N12" i="24"/>
  <c r="BB12" i="24" s="1"/>
  <c r="CQ12" i="24" s="1"/>
  <c r="J19" i="24"/>
  <c r="AX19" i="24" s="1"/>
  <c r="CM19" i="24" s="1"/>
  <c r="K25" i="24"/>
  <c r="AY25" i="24" s="1"/>
  <c r="CN25" i="24" s="1"/>
  <c r="V10" i="24"/>
  <c r="BJ10" i="24" s="1"/>
  <c r="CY10" i="24" s="1"/>
  <c r="W16" i="24"/>
  <c r="BK16" i="24" s="1"/>
  <c r="CZ16" i="24" s="1"/>
  <c r="H22" i="24"/>
  <c r="AV22" i="24" s="1"/>
  <c r="CK22" i="24" s="1"/>
  <c r="N27" i="24"/>
  <c r="BB27" i="24" s="1"/>
  <c r="CQ27" i="24" s="1"/>
  <c r="I12" i="24"/>
  <c r="AW12" i="24" s="1"/>
  <c r="CL12" i="24" s="1"/>
  <c r="U19" i="24"/>
  <c r="BI19" i="24" s="1"/>
  <c r="CX19" i="24" s="1"/>
  <c r="U25" i="24"/>
  <c r="BI25" i="24" s="1"/>
  <c r="CX25" i="24" s="1"/>
  <c r="P10" i="24"/>
  <c r="BD10" i="24" s="1"/>
  <c r="CS10" i="24" s="1"/>
  <c r="Q16" i="24"/>
  <c r="BE16" i="24" s="1"/>
  <c r="CT16" i="24" s="1"/>
  <c r="R22" i="24"/>
  <c r="BF22" i="24" s="1"/>
  <c r="CU22" i="24" s="1"/>
  <c r="X27" i="24"/>
  <c r="BL27" i="24" s="1"/>
  <c r="DA27" i="24" s="1"/>
  <c r="S12" i="24"/>
  <c r="BG12" i="24" s="1"/>
  <c r="CV12" i="24" s="1"/>
  <c r="T18" i="24"/>
  <c r="BH18" i="24" s="1"/>
  <c r="CW18" i="24" s="1"/>
  <c r="U24" i="24"/>
  <c r="BI24" i="24" s="1"/>
  <c r="CX24" i="24" s="1"/>
  <c r="Q15" i="24"/>
  <c r="BE15" i="24" s="1"/>
  <c r="CT15" i="24" s="1"/>
  <c r="R21" i="24"/>
  <c r="BF21" i="24" s="1"/>
  <c r="CU21" i="24" s="1"/>
  <c r="X26" i="24"/>
  <c r="BL26" i="24" s="1"/>
  <c r="DA26" i="24" s="1"/>
  <c r="S11" i="24"/>
  <c r="BG11" i="24" s="1"/>
  <c r="CV11" i="24" s="1"/>
  <c r="O18" i="24"/>
  <c r="BC18" i="24" s="1"/>
  <c r="CR18" i="24" s="1"/>
  <c r="P24" i="24"/>
  <c r="BD24" i="24" s="1"/>
  <c r="CS24" i="24" s="1"/>
  <c r="L15" i="24"/>
  <c r="AZ15" i="24" s="1"/>
  <c r="CO15" i="24" s="1"/>
  <c r="M21" i="24"/>
  <c r="BA21" i="24" s="1"/>
  <c r="CP21" i="24" s="1"/>
  <c r="S26" i="24"/>
  <c r="BG26" i="24" s="1"/>
  <c r="CV26" i="24" s="1"/>
  <c r="N11" i="24"/>
  <c r="BB11" i="24" s="1"/>
  <c r="CQ11" i="24" s="1"/>
  <c r="AH10" i="24"/>
  <c r="BV10" i="24" s="1"/>
  <c r="DK10" i="24" s="1"/>
  <c r="AC11" i="24"/>
  <c r="BQ11" i="24" s="1"/>
  <c r="DF11" i="24" s="1"/>
  <c r="AN12" i="24"/>
  <c r="CB12" i="24" s="1"/>
  <c r="DQ12" i="24" s="1"/>
  <c r="AI13" i="24"/>
  <c r="BW13" i="24" s="1"/>
  <c r="DL13" i="24" s="1"/>
  <c r="AD14" i="24"/>
  <c r="BR14" i="24" s="1"/>
  <c r="DG14" i="24" s="1"/>
  <c r="Y15" i="24"/>
  <c r="BM15" i="24" s="1"/>
  <c r="DB15" i="24" s="1"/>
  <c r="AO15" i="24"/>
  <c r="CC15" i="24" s="1"/>
  <c r="DR15" i="24" s="1"/>
  <c r="AJ16" i="24"/>
  <c r="BX16" i="24" s="1"/>
  <c r="DM16" i="24" s="1"/>
  <c r="AE17" i="24"/>
  <c r="BS17" i="24" s="1"/>
  <c r="DH17" i="24" s="1"/>
  <c r="Z18" i="24"/>
  <c r="BN18" i="24" s="1"/>
  <c r="DC18" i="24" s="1"/>
  <c r="AP18" i="24"/>
  <c r="AK19" i="24"/>
  <c r="BY19" i="24" s="1"/>
  <c r="DN19" i="24" s="1"/>
  <c r="AF20" i="24"/>
  <c r="BT20" i="24" s="1"/>
  <c r="DI20" i="24" s="1"/>
  <c r="AA21" i="24"/>
  <c r="BO21" i="24" s="1"/>
  <c r="DD21" i="24" s="1"/>
  <c r="AQ21" i="24"/>
  <c r="AL22" i="24"/>
  <c r="BZ22" i="24" s="1"/>
  <c r="DO22" i="24" s="1"/>
  <c r="AG23" i="24"/>
  <c r="BU23" i="24" s="1"/>
  <c r="DJ23" i="24" s="1"/>
  <c r="AB24" i="24"/>
  <c r="BP24" i="24" s="1"/>
  <c r="DE24" i="24" s="1"/>
  <c r="AM25" i="24"/>
  <c r="CA25" i="24" s="1"/>
  <c r="DP25" i="24" s="1"/>
  <c r="AH26" i="24"/>
  <c r="BV26" i="24" s="1"/>
  <c r="DK26" i="24" s="1"/>
  <c r="AC27" i="24"/>
  <c r="BQ27" i="24" s="1"/>
  <c r="DF27" i="24" s="1"/>
  <c r="AN28" i="24"/>
  <c r="CB28" i="24" s="1"/>
  <c r="DQ28" i="24" s="1"/>
  <c r="AI29" i="24"/>
  <c r="BW29" i="24" s="1"/>
  <c r="DL29" i="24" s="1"/>
  <c r="AI10" i="24"/>
  <c r="BW10" i="24" s="1"/>
  <c r="DL10" i="24" s="1"/>
  <c r="AD11" i="24"/>
  <c r="BR11" i="24" s="1"/>
  <c r="DG11" i="24" s="1"/>
  <c r="Y12" i="24"/>
  <c r="BM12" i="24" s="1"/>
  <c r="DB12" i="24" s="1"/>
  <c r="AO12" i="24"/>
  <c r="CC12" i="24" s="1"/>
  <c r="DR12" i="24" s="1"/>
  <c r="AJ13" i="24"/>
  <c r="BX13" i="24" s="1"/>
  <c r="DM13" i="24" s="1"/>
  <c r="AE14" i="24"/>
  <c r="BS14" i="24" s="1"/>
  <c r="DH14" i="24" s="1"/>
  <c r="Z15" i="24"/>
  <c r="BN15" i="24" s="1"/>
  <c r="DC15" i="24" s="1"/>
  <c r="AP15" i="24"/>
  <c r="AK16" i="24"/>
  <c r="BY16" i="24" s="1"/>
  <c r="DN16" i="24" s="1"/>
  <c r="AF17" i="24"/>
  <c r="BT17" i="24" s="1"/>
  <c r="DI17" i="24" s="1"/>
  <c r="AA18" i="24"/>
  <c r="BO18" i="24" s="1"/>
  <c r="DD18" i="24" s="1"/>
  <c r="AQ18" i="24"/>
  <c r="AL19" i="24"/>
  <c r="BZ19" i="24" s="1"/>
  <c r="DO19" i="24" s="1"/>
  <c r="AG20" i="24"/>
  <c r="BU20" i="24" s="1"/>
  <c r="DJ20" i="24" s="1"/>
  <c r="AB21" i="24"/>
  <c r="BP21" i="24" s="1"/>
  <c r="DE21" i="24" s="1"/>
  <c r="AM22" i="24"/>
  <c r="CA22" i="24" s="1"/>
  <c r="DP22" i="24" s="1"/>
  <c r="AH23" i="24"/>
  <c r="BV23" i="24" s="1"/>
  <c r="DK23" i="24" s="1"/>
  <c r="AC24" i="24"/>
  <c r="BQ24" i="24" s="1"/>
  <c r="DF24" i="24" s="1"/>
  <c r="AN25" i="24"/>
  <c r="CB25" i="24" s="1"/>
  <c r="DQ25" i="24" s="1"/>
  <c r="AI26" i="24"/>
  <c r="BW26" i="24" s="1"/>
  <c r="DL26" i="24" s="1"/>
  <c r="AD27" i="24"/>
  <c r="BR27" i="24" s="1"/>
  <c r="DG27" i="24" s="1"/>
  <c r="Y28" i="24"/>
  <c r="BM28" i="24" s="1"/>
  <c r="DB28" i="24" s="1"/>
  <c r="AO28" i="24"/>
  <c r="CC28" i="24" s="1"/>
  <c r="DR28" i="24" s="1"/>
  <c r="AJ29" i="24"/>
  <c r="BX29" i="24" s="1"/>
  <c r="DM29" i="24" s="1"/>
  <c r="AJ10" i="24"/>
  <c r="BX10" i="24" s="1"/>
  <c r="DM10" i="24" s="1"/>
  <c r="AE11" i="24"/>
  <c r="BS11" i="24" s="1"/>
  <c r="DH11" i="24" s="1"/>
  <c r="Z12" i="24"/>
  <c r="BN12" i="24" s="1"/>
  <c r="DC12" i="24" s="1"/>
  <c r="AP12" i="24"/>
  <c r="AK13" i="24"/>
  <c r="BY13" i="24" s="1"/>
  <c r="DN13" i="24" s="1"/>
  <c r="AF14" i="24"/>
  <c r="BT14" i="24" s="1"/>
  <c r="DI14" i="24" s="1"/>
  <c r="AA15" i="24"/>
  <c r="BO15" i="24" s="1"/>
  <c r="DD15" i="24" s="1"/>
  <c r="AQ15" i="24"/>
  <c r="AL16" i="24"/>
  <c r="BZ16" i="24" s="1"/>
  <c r="DO16" i="24" s="1"/>
  <c r="AG17" i="24"/>
  <c r="BU17" i="24" s="1"/>
  <c r="DJ17" i="24" s="1"/>
  <c r="AB18" i="24"/>
  <c r="BP18" i="24" s="1"/>
  <c r="DE18" i="24" s="1"/>
  <c r="AM19" i="24"/>
  <c r="CA19" i="24" s="1"/>
  <c r="DP19" i="24" s="1"/>
  <c r="AH20" i="24"/>
  <c r="BV20" i="24" s="1"/>
  <c r="DK20" i="24" s="1"/>
  <c r="AC21" i="24"/>
  <c r="BQ21" i="24" s="1"/>
  <c r="DF21" i="24" s="1"/>
  <c r="AN22" i="24"/>
  <c r="CB22" i="24" s="1"/>
  <c r="DQ22" i="24" s="1"/>
  <c r="AI23" i="24"/>
  <c r="BW23" i="24" s="1"/>
  <c r="DL23" i="24" s="1"/>
  <c r="AD24" i="24"/>
  <c r="BR24" i="24" s="1"/>
  <c r="DG24" i="24" s="1"/>
  <c r="Y25" i="24"/>
  <c r="BM25" i="24" s="1"/>
  <c r="DB25" i="24" s="1"/>
  <c r="AO25" i="24"/>
  <c r="CC25" i="24" s="1"/>
  <c r="DR25" i="24" s="1"/>
  <c r="AJ26" i="24"/>
  <c r="BX26" i="24" s="1"/>
  <c r="DM26" i="24" s="1"/>
  <c r="AE27" i="24"/>
  <c r="BS27" i="24" s="1"/>
  <c r="DH27" i="24" s="1"/>
  <c r="Z28" i="24"/>
  <c r="BN28" i="24" s="1"/>
  <c r="DC28" i="24" s="1"/>
  <c r="AP28" i="24"/>
  <c r="AK29" i="24"/>
  <c r="BY29" i="24" s="1"/>
  <c r="DN29" i="24" s="1"/>
  <c r="AK10" i="24"/>
  <c r="BY10" i="24" s="1"/>
  <c r="DN10" i="24" s="1"/>
  <c r="AF11" i="24"/>
  <c r="BT11" i="24" s="1"/>
  <c r="DI11" i="24" s="1"/>
  <c r="AA12" i="24"/>
  <c r="BO12" i="24" s="1"/>
  <c r="DD12" i="24" s="1"/>
  <c r="AQ12" i="24"/>
  <c r="AL13" i="24"/>
  <c r="BZ13" i="24" s="1"/>
  <c r="DO13" i="24" s="1"/>
  <c r="AG14" i="24"/>
  <c r="BU14" i="24" s="1"/>
  <c r="DJ14" i="24" s="1"/>
  <c r="AB15" i="24"/>
  <c r="BP15" i="24" s="1"/>
  <c r="DE15" i="24" s="1"/>
  <c r="AM16" i="24"/>
  <c r="CA16" i="24" s="1"/>
  <c r="DP16" i="24" s="1"/>
  <c r="AH17" i="24"/>
  <c r="BV17" i="24" s="1"/>
  <c r="DK17" i="24" s="1"/>
  <c r="AC18" i="24"/>
  <c r="BQ18" i="24" s="1"/>
  <c r="DF18" i="24" s="1"/>
  <c r="AN19" i="24"/>
  <c r="CB19" i="24" s="1"/>
  <c r="DQ19" i="24" s="1"/>
  <c r="AI20" i="24"/>
  <c r="BW20" i="24" s="1"/>
  <c r="DL20" i="24" s="1"/>
  <c r="AD21" i="24"/>
  <c r="BR21" i="24" s="1"/>
  <c r="DG21" i="24" s="1"/>
  <c r="Y22" i="24"/>
  <c r="BM22" i="24" s="1"/>
  <c r="DB22" i="24" s="1"/>
  <c r="AO22" i="24"/>
  <c r="CC22" i="24" s="1"/>
  <c r="DR22" i="24" s="1"/>
  <c r="AJ23" i="24"/>
  <c r="BX23" i="24" s="1"/>
  <c r="DM23" i="24" s="1"/>
  <c r="AE24" i="24"/>
  <c r="BS24" i="24" s="1"/>
  <c r="DH24" i="24" s="1"/>
  <c r="Z25" i="24"/>
  <c r="BN25" i="24" s="1"/>
  <c r="DC25" i="24" s="1"/>
  <c r="AP25" i="24"/>
  <c r="AK26" i="24"/>
  <c r="BY26" i="24" s="1"/>
  <c r="DN26" i="24" s="1"/>
  <c r="AF27" i="24"/>
  <c r="BT27" i="24" s="1"/>
  <c r="DI27" i="24" s="1"/>
  <c r="AA28" i="24"/>
  <c r="BO28" i="24" s="1"/>
  <c r="DD28" i="24" s="1"/>
  <c r="AQ28" i="24"/>
  <c r="AL29" i="24"/>
  <c r="BZ29" i="24" s="1"/>
  <c r="DO29" i="24" s="1"/>
  <c r="AL10" i="24"/>
  <c r="BZ10" i="24" s="1"/>
  <c r="DO10" i="24" s="1"/>
  <c r="AG11" i="24"/>
  <c r="BU11" i="24" s="1"/>
  <c r="DJ11" i="24" s="1"/>
  <c r="AB12" i="24"/>
  <c r="BP12" i="24" s="1"/>
  <c r="DE12" i="24" s="1"/>
  <c r="AM13" i="24"/>
  <c r="CA13" i="24" s="1"/>
  <c r="DP13" i="24" s="1"/>
  <c r="AH14" i="24"/>
  <c r="BV14" i="24" s="1"/>
  <c r="DK14" i="24" s="1"/>
  <c r="AC15" i="24"/>
  <c r="BQ15" i="24" s="1"/>
  <c r="DF15" i="24" s="1"/>
  <c r="AN16" i="24"/>
  <c r="CB16" i="24" s="1"/>
  <c r="DQ16" i="24" s="1"/>
  <c r="AI17" i="24"/>
  <c r="BW17" i="24" s="1"/>
  <c r="DL17" i="24" s="1"/>
  <c r="AD18" i="24"/>
  <c r="BR18" i="24" s="1"/>
  <c r="DG18" i="24" s="1"/>
  <c r="Y19" i="24"/>
  <c r="BM19" i="24" s="1"/>
  <c r="DB19" i="24" s="1"/>
  <c r="AO19" i="24"/>
  <c r="CC19" i="24" s="1"/>
  <c r="DR19" i="24" s="1"/>
  <c r="AJ20" i="24"/>
  <c r="BX20" i="24" s="1"/>
  <c r="DM20" i="24" s="1"/>
  <c r="AE21" i="24"/>
  <c r="BS21" i="24" s="1"/>
  <c r="DH21" i="24" s="1"/>
  <c r="Z22" i="24"/>
  <c r="BN22" i="24" s="1"/>
  <c r="DC22" i="24" s="1"/>
  <c r="AP22" i="24"/>
  <c r="AK23" i="24"/>
  <c r="BY23" i="24" s="1"/>
  <c r="DN23" i="24" s="1"/>
  <c r="AF24" i="24"/>
  <c r="BT24" i="24" s="1"/>
  <c r="DI24" i="24" s="1"/>
  <c r="AA25" i="24"/>
  <c r="BO25" i="24" s="1"/>
  <c r="DD25" i="24" s="1"/>
  <c r="AQ25" i="24"/>
  <c r="AL26" i="24"/>
  <c r="BZ26" i="24" s="1"/>
  <c r="DO26" i="24" s="1"/>
  <c r="AG27" i="24"/>
  <c r="BU27" i="24" s="1"/>
  <c r="DJ27" i="24" s="1"/>
  <c r="AB28" i="24"/>
  <c r="BP28" i="24" s="1"/>
  <c r="DE28" i="24" s="1"/>
  <c r="AM29" i="24"/>
  <c r="CA29" i="24" s="1"/>
  <c r="DP29" i="24" s="1"/>
  <c r="AM10" i="24"/>
  <c r="CA10" i="24" s="1"/>
  <c r="DP10" i="24" s="1"/>
  <c r="AH11" i="24"/>
  <c r="BV11" i="24" s="1"/>
  <c r="DK11" i="24" s="1"/>
  <c r="AC12" i="24"/>
  <c r="BQ12" i="24" s="1"/>
  <c r="DF12" i="24" s="1"/>
  <c r="AN13" i="24"/>
  <c r="CB13" i="24" s="1"/>
  <c r="DQ13" i="24" s="1"/>
  <c r="AI14" i="24"/>
  <c r="BW14" i="24" s="1"/>
  <c r="DL14" i="24" s="1"/>
  <c r="AD15" i="24"/>
  <c r="BR15" i="24" s="1"/>
  <c r="DG15" i="24" s="1"/>
  <c r="Y16" i="24"/>
  <c r="BM16" i="24" s="1"/>
  <c r="DB16" i="24" s="1"/>
  <c r="AO16" i="24"/>
  <c r="CC16" i="24" s="1"/>
  <c r="DR16" i="24" s="1"/>
  <c r="AJ17" i="24"/>
  <c r="BX17" i="24" s="1"/>
  <c r="DM17" i="24" s="1"/>
  <c r="AE18" i="24"/>
  <c r="BS18" i="24" s="1"/>
  <c r="DH18" i="24" s="1"/>
  <c r="Z19" i="24"/>
  <c r="BN19" i="24" s="1"/>
  <c r="DC19" i="24" s="1"/>
  <c r="AP19" i="24"/>
  <c r="AK20" i="24"/>
  <c r="BY20" i="24" s="1"/>
  <c r="DN20" i="24" s="1"/>
  <c r="AF21" i="24"/>
  <c r="BT21" i="24" s="1"/>
  <c r="DI21" i="24" s="1"/>
  <c r="AA22" i="24"/>
  <c r="BO22" i="24" s="1"/>
  <c r="DD22" i="24" s="1"/>
  <c r="AQ22" i="24"/>
  <c r="AL23" i="24"/>
  <c r="BZ23" i="24" s="1"/>
  <c r="DO23" i="24" s="1"/>
  <c r="AG24" i="24"/>
  <c r="BU24" i="24" s="1"/>
  <c r="DJ24" i="24" s="1"/>
  <c r="AB25" i="24"/>
  <c r="BP25" i="24" s="1"/>
  <c r="DE25" i="24" s="1"/>
  <c r="AM26" i="24"/>
  <c r="CA26" i="24" s="1"/>
  <c r="DP26" i="24" s="1"/>
  <c r="AH27" i="24"/>
  <c r="BV27" i="24" s="1"/>
  <c r="DK27" i="24" s="1"/>
  <c r="AC28" i="24"/>
  <c r="BQ28" i="24" s="1"/>
  <c r="DF28" i="24" s="1"/>
  <c r="AN29" i="24"/>
  <c r="CB29" i="24" s="1"/>
  <c r="DQ29" i="24" s="1"/>
  <c r="AN10" i="24"/>
  <c r="CB10" i="24" s="1"/>
  <c r="DQ10" i="24" s="1"/>
  <c r="AI11" i="24"/>
  <c r="BW11" i="24" s="1"/>
  <c r="DL11" i="24" s="1"/>
  <c r="AD12" i="24"/>
  <c r="BR12" i="24" s="1"/>
  <c r="DG12" i="24" s="1"/>
  <c r="Y13" i="24"/>
  <c r="BM13" i="24" s="1"/>
  <c r="DB13" i="24" s="1"/>
  <c r="AO13" i="24"/>
  <c r="CC13" i="24" s="1"/>
  <c r="DR13" i="24" s="1"/>
  <c r="AJ14" i="24"/>
  <c r="BX14" i="24" s="1"/>
  <c r="DM14" i="24" s="1"/>
  <c r="AE15" i="24"/>
  <c r="BS15" i="24" s="1"/>
  <c r="DH15" i="24" s="1"/>
  <c r="Z16" i="24"/>
  <c r="BN16" i="24" s="1"/>
  <c r="DC16" i="24" s="1"/>
  <c r="AP16" i="24"/>
  <c r="AK17" i="24"/>
  <c r="BY17" i="24" s="1"/>
  <c r="DN17" i="24" s="1"/>
  <c r="AF18" i="24"/>
  <c r="BT18" i="24" s="1"/>
  <c r="DI18" i="24" s="1"/>
  <c r="AA19" i="24"/>
  <c r="BO19" i="24" s="1"/>
  <c r="DD19" i="24" s="1"/>
  <c r="AQ19" i="24"/>
  <c r="AL20" i="24"/>
  <c r="BZ20" i="24" s="1"/>
  <c r="DO20" i="24" s="1"/>
  <c r="AG21" i="24"/>
  <c r="BU21" i="24" s="1"/>
  <c r="DJ21" i="24" s="1"/>
  <c r="AB22" i="24"/>
  <c r="BP22" i="24" s="1"/>
  <c r="DE22" i="24" s="1"/>
  <c r="AM23" i="24"/>
  <c r="CA23" i="24" s="1"/>
  <c r="DP23" i="24" s="1"/>
  <c r="AH24" i="24"/>
  <c r="BV24" i="24" s="1"/>
  <c r="DK24" i="24" s="1"/>
  <c r="AC25" i="24"/>
  <c r="BQ25" i="24" s="1"/>
  <c r="DF25" i="24" s="1"/>
  <c r="AN26" i="24"/>
  <c r="CB26" i="24" s="1"/>
  <c r="DQ26" i="24" s="1"/>
  <c r="AI27" i="24"/>
  <c r="BW27" i="24" s="1"/>
  <c r="DL27" i="24" s="1"/>
  <c r="AD28" i="24"/>
  <c r="BR28" i="24" s="1"/>
  <c r="DG28" i="24" s="1"/>
  <c r="Y29" i="24"/>
  <c r="BM29" i="24" s="1"/>
  <c r="DB29" i="24" s="1"/>
  <c r="AO29" i="24"/>
  <c r="CC29" i="24" s="1"/>
  <c r="DR29" i="24" s="1"/>
  <c r="Y10" i="24"/>
  <c r="BM10" i="24" s="1"/>
  <c r="DB10" i="24" s="1"/>
  <c r="AO10" i="24"/>
  <c r="CC10" i="24" s="1"/>
  <c r="DR10" i="24" s="1"/>
  <c r="AJ11" i="24"/>
  <c r="BX11" i="24" s="1"/>
  <c r="DM11" i="24" s="1"/>
  <c r="AE12" i="24"/>
  <c r="BS12" i="24" s="1"/>
  <c r="DH12" i="24" s="1"/>
  <c r="Z13" i="24"/>
  <c r="BN13" i="24" s="1"/>
  <c r="DC13" i="24" s="1"/>
  <c r="AP13" i="24"/>
  <c r="AK14" i="24"/>
  <c r="BY14" i="24" s="1"/>
  <c r="DN14" i="24" s="1"/>
  <c r="AF15" i="24"/>
  <c r="BT15" i="24" s="1"/>
  <c r="DI15" i="24" s="1"/>
  <c r="AA16" i="24"/>
  <c r="BO16" i="24" s="1"/>
  <c r="DD16" i="24" s="1"/>
  <c r="AQ16" i="24"/>
  <c r="AL17" i="24"/>
  <c r="BZ17" i="24" s="1"/>
  <c r="DO17" i="24" s="1"/>
  <c r="AG18" i="24"/>
  <c r="BU18" i="24" s="1"/>
  <c r="DJ18" i="24" s="1"/>
  <c r="AB19" i="24"/>
  <c r="BP19" i="24" s="1"/>
  <c r="DE19" i="24" s="1"/>
  <c r="AM20" i="24"/>
  <c r="CA20" i="24" s="1"/>
  <c r="DP20" i="24" s="1"/>
  <c r="AH21" i="24"/>
  <c r="BV21" i="24" s="1"/>
  <c r="DK21" i="24" s="1"/>
  <c r="AC22" i="24"/>
  <c r="BQ22" i="24" s="1"/>
  <c r="DF22" i="24" s="1"/>
  <c r="AN23" i="24"/>
  <c r="CB23" i="24" s="1"/>
  <c r="DQ23" i="24" s="1"/>
  <c r="AI24" i="24"/>
  <c r="BW24" i="24" s="1"/>
  <c r="DL24" i="24" s="1"/>
  <c r="AD25" i="24"/>
  <c r="BR25" i="24" s="1"/>
  <c r="DG25" i="24" s="1"/>
  <c r="Y26" i="24"/>
  <c r="BM26" i="24" s="1"/>
  <c r="DB26" i="24" s="1"/>
  <c r="AO26" i="24"/>
  <c r="CC26" i="24" s="1"/>
  <c r="DR26" i="24" s="1"/>
  <c r="AJ27" i="24"/>
  <c r="BX27" i="24" s="1"/>
  <c r="DM27" i="24" s="1"/>
  <c r="AE28" i="24"/>
  <c r="BS28" i="24" s="1"/>
  <c r="DH28" i="24" s="1"/>
  <c r="Z29" i="24"/>
  <c r="BN29" i="24" s="1"/>
  <c r="DC29" i="24" s="1"/>
  <c r="AP29" i="24"/>
  <c r="Z10" i="24"/>
  <c r="BN10" i="24" s="1"/>
  <c r="DC10" i="24" s="1"/>
  <c r="AP10" i="24"/>
  <c r="AK11" i="24"/>
  <c r="BY11" i="24" s="1"/>
  <c r="DN11" i="24" s="1"/>
  <c r="AF12" i="24"/>
  <c r="BT12" i="24" s="1"/>
  <c r="DI12" i="24" s="1"/>
  <c r="AA13" i="24"/>
  <c r="BO13" i="24" s="1"/>
  <c r="DD13" i="24" s="1"/>
  <c r="AQ13" i="24"/>
  <c r="AL14" i="24"/>
  <c r="BZ14" i="24" s="1"/>
  <c r="DO14" i="24" s="1"/>
  <c r="AG15" i="24"/>
  <c r="BU15" i="24" s="1"/>
  <c r="DJ15" i="24" s="1"/>
  <c r="AB16" i="24"/>
  <c r="BP16" i="24" s="1"/>
  <c r="DE16" i="24" s="1"/>
  <c r="AM17" i="24"/>
  <c r="CA17" i="24" s="1"/>
  <c r="DP17" i="24" s="1"/>
  <c r="AH18" i="24"/>
  <c r="BV18" i="24" s="1"/>
  <c r="DK18" i="24" s="1"/>
  <c r="AC19" i="24"/>
  <c r="BQ19" i="24" s="1"/>
  <c r="DF19" i="24" s="1"/>
  <c r="AN20" i="24"/>
  <c r="CB20" i="24" s="1"/>
  <c r="DQ20" i="24" s="1"/>
  <c r="AI21" i="24"/>
  <c r="BW21" i="24" s="1"/>
  <c r="DL21" i="24" s="1"/>
  <c r="AD22" i="24"/>
  <c r="BR22" i="24" s="1"/>
  <c r="DG22" i="24" s="1"/>
  <c r="Y23" i="24"/>
  <c r="BM23" i="24" s="1"/>
  <c r="DB23" i="24" s="1"/>
  <c r="AO23" i="24"/>
  <c r="CC23" i="24" s="1"/>
  <c r="DR23" i="24" s="1"/>
  <c r="AJ24" i="24"/>
  <c r="BX24" i="24" s="1"/>
  <c r="DM24" i="24" s="1"/>
  <c r="AE25" i="24"/>
  <c r="BS25" i="24" s="1"/>
  <c r="DH25" i="24" s="1"/>
  <c r="Z26" i="24"/>
  <c r="BN26" i="24" s="1"/>
  <c r="DC26" i="24" s="1"/>
  <c r="AP26" i="24"/>
  <c r="AK27" i="24"/>
  <c r="BY27" i="24" s="1"/>
  <c r="DN27" i="24" s="1"/>
  <c r="AF28" i="24"/>
  <c r="BT28" i="24" s="1"/>
  <c r="DI28" i="24" s="1"/>
  <c r="AA29" i="24"/>
  <c r="BO29" i="24" s="1"/>
  <c r="DD29" i="24" s="1"/>
  <c r="AQ29" i="24"/>
  <c r="AA10" i="24"/>
  <c r="BO10" i="24" s="1"/>
  <c r="DD10" i="24" s="1"/>
  <c r="AQ10" i="24"/>
  <c r="AL11" i="24"/>
  <c r="BZ11" i="24" s="1"/>
  <c r="DO11" i="24" s="1"/>
  <c r="AG12" i="24"/>
  <c r="BU12" i="24" s="1"/>
  <c r="DJ12" i="24" s="1"/>
  <c r="AB13" i="24"/>
  <c r="BP13" i="24" s="1"/>
  <c r="DE13" i="24" s="1"/>
  <c r="AM14" i="24"/>
  <c r="CA14" i="24" s="1"/>
  <c r="DP14" i="24" s="1"/>
  <c r="AH15" i="24"/>
  <c r="BV15" i="24" s="1"/>
  <c r="DK15" i="24" s="1"/>
  <c r="AC16" i="24"/>
  <c r="BQ16" i="24" s="1"/>
  <c r="DF16" i="24" s="1"/>
  <c r="AN17" i="24"/>
  <c r="CB17" i="24" s="1"/>
  <c r="DQ17" i="24" s="1"/>
  <c r="AI18" i="24"/>
  <c r="BW18" i="24" s="1"/>
  <c r="DL18" i="24" s="1"/>
  <c r="AD19" i="24"/>
  <c r="BR19" i="24" s="1"/>
  <c r="DG19" i="24" s="1"/>
  <c r="Y20" i="24"/>
  <c r="BM20" i="24" s="1"/>
  <c r="DB20" i="24" s="1"/>
  <c r="AO20" i="24"/>
  <c r="CC20" i="24" s="1"/>
  <c r="DR20" i="24" s="1"/>
  <c r="AJ21" i="24"/>
  <c r="BX21" i="24" s="1"/>
  <c r="DM21" i="24" s="1"/>
  <c r="AE22" i="24"/>
  <c r="BS22" i="24" s="1"/>
  <c r="DH22" i="24" s="1"/>
  <c r="Z23" i="24"/>
  <c r="BN23" i="24" s="1"/>
  <c r="DC23" i="24" s="1"/>
  <c r="AP23" i="24"/>
  <c r="AK24" i="24"/>
  <c r="BY24" i="24" s="1"/>
  <c r="DN24" i="24" s="1"/>
  <c r="AF25" i="24"/>
  <c r="BT25" i="24" s="1"/>
  <c r="DI25" i="24" s="1"/>
  <c r="AA26" i="24"/>
  <c r="BO26" i="24" s="1"/>
  <c r="DD26" i="24" s="1"/>
  <c r="AQ26" i="24"/>
  <c r="AL27" i="24"/>
  <c r="BZ27" i="24" s="1"/>
  <c r="DO27" i="24" s="1"/>
  <c r="AG28" i="24"/>
  <c r="BU28" i="24" s="1"/>
  <c r="DJ28" i="24" s="1"/>
  <c r="AB29" i="24"/>
  <c r="BP29" i="24" s="1"/>
  <c r="DE29" i="24" s="1"/>
  <c r="AB10" i="24"/>
  <c r="BP10" i="24" s="1"/>
  <c r="DE10" i="24" s="1"/>
  <c r="AM11" i="24"/>
  <c r="CA11" i="24" s="1"/>
  <c r="DP11" i="24" s="1"/>
  <c r="AH12" i="24"/>
  <c r="BV12" i="24" s="1"/>
  <c r="DK12" i="24" s="1"/>
  <c r="AC13" i="24"/>
  <c r="BQ13" i="24" s="1"/>
  <c r="DF13" i="24" s="1"/>
  <c r="AN14" i="24"/>
  <c r="CB14" i="24" s="1"/>
  <c r="DQ14" i="24" s="1"/>
  <c r="AI15" i="24"/>
  <c r="BW15" i="24" s="1"/>
  <c r="DL15" i="24" s="1"/>
  <c r="AD16" i="24"/>
  <c r="BR16" i="24" s="1"/>
  <c r="DG16" i="24" s="1"/>
  <c r="Y17" i="24"/>
  <c r="BM17" i="24" s="1"/>
  <c r="DB17" i="24" s="1"/>
  <c r="AO17" i="24"/>
  <c r="CC17" i="24" s="1"/>
  <c r="DR17" i="24" s="1"/>
  <c r="AJ18" i="24"/>
  <c r="BX18" i="24" s="1"/>
  <c r="DM18" i="24" s="1"/>
  <c r="AE19" i="24"/>
  <c r="BS19" i="24" s="1"/>
  <c r="DH19" i="24" s="1"/>
  <c r="Z20" i="24"/>
  <c r="BN20" i="24" s="1"/>
  <c r="DC20" i="24" s="1"/>
  <c r="AP20" i="24"/>
  <c r="AK21" i="24"/>
  <c r="BY21" i="24" s="1"/>
  <c r="DN21" i="24" s="1"/>
  <c r="AF22" i="24"/>
  <c r="BT22" i="24" s="1"/>
  <c r="DI22" i="24" s="1"/>
  <c r="AA23" i="24"/>
  <c r="BO23" i="24" s="1"/>
  <c r="DD23" i="24" s="1"/>
  <c r="AQ23" i="24"/>
  <c r="AL24" i="24"/>
  <c r="BZ24" i="24" s="1"/>
  <c r="DO24" i="24" s="1"/>
  <c r="AG25" i="24"/>
  <c r="BU25" i="24" s="1"/>
  <c r="DJ25" i="24" s="1"/>
  <c r="AB26" i="24"/>
  <c r="BP26" i="24" s="1"/>
  <c r="DE26" i="24" s="1"/>
  <c r="AM27" i="24"/>
  <c r="CA27" i="24" s="1"/>
  <c r="DP27" i="24" s="1"/>
  <c r="AH28" i="24"/>
  <c r="BV28" i="24" s="1"/>
  <c r="DK28" i="24" s="1"/>
  <c r="AC29" i="24"/>
  <c r="BQ29" i="24" s="1"/>
  <c r="DF29" i="24" s="1"/>
  <c r="AC10" i="24"/>
  <c r="BQ10" i="24" s="1"/>
  <c r="DF10" i="24" s="1"/>
  <c r="AN11" i="24"/>
  <c r="CB11" i="24" s="1"/>
  <c r="DQ11" i="24" s="1"/>
  <c r="AI12" i="24"/>
  <c r="BW12" i="24" s="1"/>
  <c r="DL12" i="24" s="1"/>
  <c r="AD13" i="24"/>
  <c r="BR13" i="24" s="1"/>
  <c r="DG13" i="24" s="1"/>
  <c r="Y14" i="24"/>
  <c r="BM14" i="24" s="1"/>
  <c r="DB14" i="24" s="1"/>
  <c r="AO14" i="24"/>
  <c r="CC14" i="24" s="1"/>
  <c r="DR14" i="24" s="1"/>
  <c r="AJ15" i="24"/>
  <c r="BX15" i="24" s="1"/>
  <c r="DM15" i="24" s="1"/>
  <c r="AE16" i="24"/>
  <c r="BS16" i="24" s="1"/>
  <c r="DH16" i="24" s="1"/>
  <c r="Z17" i="24"/>
  <c r="BN17" i="24" s="1"/>
  <c r="DC17" i="24" s="1"/>
  <c r="AP17" i="24"/>
  <c r="AK18" i="24"/>
  <c r="BY18" i="24" s="1"/>
  <c r="DN18" i="24" s="1"/>
  <c r="AF19" i="24"/>
  <c r="BT19" i="24" s="1"/>
  <c r="DI19" i="24" s="1"/>
  <c r="AA20" i="24"/>
  <c r="BO20" i="24" s="1"/>
  <c r="DD20" i="24" s="1"/>
  <c r="AQ20" i="24"/>
  <c r="AL21" i="24"/>
  <c r="BZ21" i="24" s="1"/>
  <c r="DO21" i="24" s="1"/>
  <c r="AG22" i="24"/>
  <c r="BU22" i="24" s="1"/>
  <c r="DJ22" i="24" s="1"/>
  <c r="AB23" i="24"/>
  <c r="BP23" i="24" s="1"/>
  <c r="DE23" i="24" s="1"/>
  <c r="AM24" i="24"/>
  <c r="CA24" i="24" s="1"/>
  <c r="DP24" i="24" s="1"/>
  <c r="AH25" i="24"/>
  <c r="BV25" i="24" s="1"/>
  <c r="DK25" i="24" s="1"/>
  <c r="AC26" i="24"/>
  <c r="BQ26" i="24" s="1"/>
  <c r="DF26" i="24" s="1"/>
  <c r="AN27" i="24"/>
  <c r="CB27" i="24" s="1"/>
  <c r="DQ27" i="24" s="1"/>
  <c r="AI28" i="24"/>
  <c r="BW28" i="24" s="1"/>
  <c r="DL28" i="24" s="1"/>
  <c r="AD29" i="24"/>
  <c r="BR29" i="24" s="1"/>
  <c r="DG29" i="24" s="1"/>
  <c r="AD10" i="24"/>
  <c r="BR10" i="24" s="1"/>
  <c r="DG10" i="24" s="1"/>
  <c r="Y11" i="24"/>
  <c r="BM11" i="24" s="1"/>
  <c r="DB11" i="24" s="1"/>
  <c r="AO11" i="24"/>
  <c r="CC11" i="24" s="1"/>
  <c r="DR11" i="24" s="1"/>
  <c r="AJ12" i="24"/>
  <c r="BX12" i="24" s="1"/>
  <c r="DM12" i="24" s="1"/>
  <c r="AE13" i="24"/>
  <c r="BS13" i="24" s="1"/>
  <c r="DH13" i="24" s="1"/>
  <c r="Z14" i="24"/>
  <c r="BN14" i="24" s="1"/>
  <c r="DC14" i="24" s="1"/>
  <c r="AP14" i="24"/>
  <c r="AK15" i="24"/>
  <c r="BY15" i="24" s="1"/>
  <c r="DN15" i="24" s="1"/>
  <c r="AF16" i="24"/>
  <c r="BT16" i="24" s="1"/>
  <c r="DI16" i="24" s="1"/>
  <c r="AA17" i="24"/>
  <c r="BO17" i="24" s="1"/>
  <c r="DD17" i="24" s="1"/>
  <c r="AQ17" i="24"/>
  <c r="AL18" i="24"/>
  <c r="BZ18" i="24" s="1"/>
  <c r="DO18" i="24" s="1"/>
  <c r="AG19" i="24"/>
  <c r="BU19" i="24" s="1"/>
  <c r="DJ19" i="24" s="1"/>
  <c r="AB20" i="24"/>
  <c r="BP20" i="24" s="1"/>
  <c r="DE20" i="24" s="1"/>
  <c r="AM21" i="24"/>
  <c r="CA21" i="24" s="1"/>
  <c r="DP21" i="24" s="1"/>
  <c r="AH22" i="24"/>
  <c r="BV22" i="24" s="1"/>
  <c r="DK22" i="24" s="1"/>
  <c r="AC23" i="24"/>
  <c r="BQ23" i="24" s="1"/>
  <c r="DF23" i="24" s="1"/>
  <c r="AN24" i="24"/>
  <c r="CB24" i="24" s="1"/>
  <c r="DQ24" i="24" s="1"/>
  <c r="AI25" i="24"/>
  <c r="BW25" i="24" s="1"/>
  <c r="DL25" i="24" s="1"/>
  <c r="AD26" i="24"/>
  <c r="BR26" i="24" s="1"/>
  <c r="DG26" i="24" s="1"/>
  <c r="Y27" i="24"/>
  <c r="BM27" i="24" s="1"/>
  <c r="DB27" i="24" s="1"/>
  <c r="AO27" i="24"/>
  <c r="CC27" i="24" s="1"/>
  <c r="DR27" i="24" s="1"/>
  <c r="AJ28" i="24"/>
  <c r="BX28" i="24" s="1"/>
  <c r="DM28" i="24" s="1"/>
  <c r="AE29" i="24"/>
  <c r="BS29" i="24" s="1"/>
  <c r="DH29" i="24" s="1"/>
  <c r="AE10" i="24"/>
  <c r="BS10" i="24" s="1"/>
  <c r="DH10" i="24" s="1"/>
  <c r="Z11" i="24"/>
  <c r="BN11" i="24" s="1"/>
  <c r="DC11" i="24" s="1"/>
  <c r="AP11" i="24"/>
  <c r="AK12" i="24"/>
  <c r="BY12" i="24" s="1"/>
  <c r="DN12" i="24" s="1"/>
  <c r="AF13" i="24"/>
  <c r="BT13" i="24" s="1"/>
  <c r="DI13" i="24" s="1"/>
  <c r="AA14" i="24"/>
  <c r="BO14" i="24" s="1"/>
  <c r="DD14" i="24" s="1"/>
  <c r="AQ14" i="24"/>
  <c r="AL15" i="24"/>
  <c r="BZ15" i="24" s="1"/>
  <c r="DO15" i="24" s="1"/>
  <c r="AG16" i="24"/>
  <c r="BU16" i="24" s="1"/>
  <c r="DJ16" i="24" s="1"/>
  <c r="AB17" i="24"/>
  <c r="BP17" i="24" s="1"/>
  <c r="DE17" i="24" s="1"/>
  <c r="AM18" i="24"/>
  <c r="CA18" i="24" s="1"/>
  <c r="DP18" i="24" s="1"/>
  <c r="AH19" i="24"/>
  <c r="BV19" i="24" s="1"/>
  <c r="DK19" i="24" s="1"/>
  <c r="AC20" i="24"/>
  <c r="BQ20" i="24" s="1"/>
  <c r="DF20" i="24" s="1"/>
  <c r="AN21" i="24"/>
  <c r="CB21" i="24" s="1"/>
  <c r="DQ21" i="24" s="1"/>
  <c r="AI22" i="24"/>
  <c r="BW22" i="24" s="1"/>
  <c r="DL22" i="24" s="1"/>
  <c r="AD23" i="24"/>
  <c r="BR23" i="24" s="1"/>
  <c r="DG23" i="24" s="1"/>
  <c r="Y24" i="24"/>
  <c r="BM24" i="24" s="1"/>
  <c r="DB24" i="24" s="1"/>
  <c r="AO24" i="24"/>
  <c r="CC24" i="24" s="1"/>
  <c r="DR24" i="24" s="1"/>
  <c r="AJ25" i="24"/>
  <c r="BX25" i="24" s="1"/>
  <c r="DM25" i="24" s="1"/>
  <c r="AE26" i="24"/>
  <c r="BS26" i="24" s="1"/>
  <c r="DH26" i="24" s="1"/>
  <c r="Z27" i="24"/>
  <c r="BN27" i="24" s="1"/>
  <c r="DC27" i="24" s="1"/>
  <c r="AP27" i="24"/>
  <c r="AK28" i="24"/>
  <c r="BY28" i="24" s="1"/>
  <c r="DN28" i="24" s="1"/>
  <c r="AF29" i="24"/>
  <c r="BT29" i="24" s="1"/>
  <c r="DI29" i="24" s="1"/>
  <c r="AF10" i="24"/>
  <c r="BT10" i="24" s="1"/>
  <c r="DI10" i="24" s="1"/>
  <c r="AA11" i="24"/>
  <c r="BO11" i="24" s="1"/>
  <c r="DD11" i="24" s="1"/>
  <c r="AQ11" i="24"/>
  <c r="AL12" i="24"/>
  <c r="BZ12" i="24" s="1"/>
  <c r="DO12" i="24" s="1"/>
  <c r="AG13" i="24"/>
  <c r="BU13" i="24" s="1"/>
  <c r="DJ13" i="24" s="1"/>
  <c r="AB14" i="24"/>
  <c r="BP14" i="24" s="1"/>
  <c r="DE14" i="24" s="1"/>
  <c r="AM15" i="24"/>
  <c r="CA15" i="24" s="1"/>
  <c r="DP15" i="24" s="1"/>
  <c r="AH16" i="24"/>
  <c r="BV16" i="24" s="1"/>
  <c r="DK16" i="24" s="1"/>
  <c r="AC17" i="24"/>
  <c r="BQ17" i="24" s="1"/>
  <c r="DF17" i="24" s="1"/>
  <c r="AN18" i="24"/>
  <c r="CB18" i="24" s="1"/>
  <c r="DQ18" i="24" s="1"/>
  <c r="AI19" i="24"/>
  <c r="BW19" i="24" s="1"/>
  <c r="DL19" i="24" s="1"/>
  <c r="AD20" i="24"/>
  <c r="BR20" i="24" s="1"/>
  <c r="DG20" i="24" s="1"/>
  <c r="Y21" i="24"/>
  <c r="BM21" i="24" s="1"/>
  <c r="DB21" i="24" s="1"/>
  <c r="AO21" i="24"/>
  <c r="CC21" i="24" s="1"/>
  <c r="DR21" i="24" s="1"/>
  <c r="AJ22" i="24"/>
  <c r="BX22" i="24" s="1"/>
  <c r="DM22" i="24" s="1"/>
  <c r="AE23" i="24"/>
  <c r="BS23" i="24" s="1"/>
  <c r="DH23" i="24" s="1"/>
  <c r="Z24" i="24"/>
  <c r="BN24" i="24" s="1"/>
  <c r="DC24" i="24" s="1"/>
  <c r="AP24" i="24"/>
  <c r="AK25" i="24"/>
  <c r="BY25" i="24" s="1"/>
  <c r="DN25" i="24" s="1"/>
  <c r="AF26" i="24"/>
  <c r="BT26" i="24" s="1"/>
  <c r="DI26" i="24" s="1"/>
  <c r="AA27" i="24"/>
  <c r="BO27" i="24" s="1"/>
  <c r="DD27" i="24" s="1"/>
  <c r="AQ27" i="24"/>
  <c r="AL28" i="24"/>
  <c r="BZ28" i="24" s="1"/>
  <c r="DO28" i="24" s="1"/>
  <c r="AG29" i="24"/>
  <c r="BU29" i="24" s="1"/>
  <c r="DJ29" i="24" s="1"/>
  <c r="AB27" i="24"/>
  <c r="BP27" i="24" s="1"/>
  <c r="DE27" i="24" s="1"/>
  <c r="AM28" i="24"/>
  <c r="CA28" i="24" s="1"/>
  <c r="DP28" i="24" s="1"/>
  <c r="AH29" i="24"/>
  <c r="BV29" i="24" s="1"/>
  <c r="DK29" i="24" s="1"/>
  <c r="AG10" i="24"/>
  <c r="BU10" i="24" s="1"/>
  <c r="DJ10" i="24" s="1"/>
  <c r="AB11" i="24"/>
  <c r="BP11" i="24" s="1"/>
  <c r="DE11" i="24" s="1"/>
  <c r="AM12" i="24"/>
  <c r="CA12" i="24" s="1"/>
  <c r="DP12" i="24" s="1"/>
  <c r="AH13" i="24"/>
  <c r="BV13" i="24" s="1"/>
  <c r="DK13" i="24" s="1"/>
  <c r="AC14" i="24"/>
  <c r="BQ14" i="24" s="1"/>
  <c r="DF14" i="24" s="1"/>
  <c r="AN15" i="24"/>
  <c r="CB15" i="24" s="1"/>
  <c r="DQ15" i="24" s="1"/>
  <c r="AI16" i="24"/>
  <c r="BW16" i="24" s="1"/>
  <c r="DL16" i="24" s="1"/>
  <c r="AD17" i="24"/>
  <c r="BR17" i="24" s="1"/>
  <c r="DG17" i="24" s="1"/>
  <c r="Y18" i="24"/>
  <c r="BM18" i="24" s="1"/>
  <c r="DB18" i="24" s="1"/>
  <c r="AO18" i="24"/>
  <c r="CC18" i="24" s="1"/>
  <c r="DR18" i="24" s="1"/>
  <c r="AJ19" i="24"/>
  <c r="BX19" i="24" s="1"/>
  <c r="DM19" i="24" s="1"/>
  <c r="AE20" i="24"/>
  <c r="BS20" i="24" s="1"/>
  <c r="DH20" i="24" s="1"/>
  <c r="Z21" i="24"/>
  <c r="BN21" i="24" s="1"/>
  <c r="DC21" i="24" s="1"/>
  <c r="AP21" i="24"/>
  <c r="AK22" i="24"/>
  <c r="BY22" i="24" s="1"/>
  <c r="DN22" i="24" s="1"/>
  <c r="AF23" i="24"/>
  <c r="BT23" i="24" s="1"/>
  <c r="DI23" i="24" s="1"/>
  <c r="AA24" i="24"/>
  <c r="BO24" i="24" s="1"/>
  <c r="DD24" i="24" s="1"/>
  <c r="AQ24" i="24"/>
  <c r="AL25" i="24"/>
  <c r="BZ25" i="24" s="1"/>
  <c r="DO25" i="24" s="1"/>
  <c r="AG26" i="24"/>
  <c r="BU26" i="24" s="1"/>
  <c r="DJ26" i="24" s="1"/>
  <c r="H15" i="24"/>
  <c r="AV15" i="24" s="1"/>
  <c r="CK15" i="24" s="1"/>
  <c r="J24" i="24"/>
  <c r="AX24" i="24" s="1"/>
  <c r="CM24" i="24" s="1"/>
  <c r="V15" i="24"/>
  <c r="BJ15" i="24" s="1"/>
  <c r="CY15" i="24" s="1"/>
  <c r="W21" i="24"/>
  <c r="BK21" i="24" s="1"/>
  <c r="CZ21" i="24" s="1"/>
  <c r="H27" i="24"/>
  <c r="AV27" i="24" s="1"/>
  <c r="CK27" i="24" s="1"/>
  <c r="X11" i="24"/>
  <c r="BL11" i="24" s="1"/>
  <c r="DA11" i="24" s="1"/>
  <c r="I17" i="24"/>
  <c r="AW17" i="24" s="1"/>
  <c r="CL17" i="24" s="1"/>
  <c r="J23" i="24"/>
  <c r="AX23" i="24" s="1"/>
  <c r="CM23" i="24" s="1"/>
  <c r="K29" i="24"/>
  <c r="AY29" i="24" s="1"/>
  <c r="CN29" i="24" s="1"/>
  <c r="V14" i="24"/>
  <c r="BJ14" i="24" s="1"/>
  <c r="CY14" i="24" s="1"/>
  <c r="W20" i="24"/>
  <c r="BK20" i="24" s="1"/>
  <c r="CZ20" i="24" s="1"/>
  <c r="H26" i="24"/>
  <c r="AV26" i="24" s="1"/>
  <c r="CK26" i="24" s="1"/>
  <c r="X10" i="24"/>
  <c r="BL10" i="24" s="1"/>
  <c r="DA10" i="24" s="1"/>
  <c r="T17" i="24"/>
  <c r="BH17" i="24" s="1"/>
  <c r="CW17" i="24" s="1"/>
  <c r="U23" i="24"/>
  <c r="BI23" i="24" s="1"/>
  <c r="CX23" i="24" s="1"/>
  <c r="V29" i="24"/>
  <c r="BJ29" i="24" s="1"/>
  <c r="CY29" i="24" s="1"/>
  <c r="Q14" i="24"/>
  <c r="BE14" i="24" s="1"/>
  <c r="CT14" i="24" s="1"/>
  <c r="R20" i="24"/>
  <c r="BF20" i="24" s="1"/>
  <c r="CU20" i="24" s="1"/>
  <c r="X25" i="24"/>
  <c r="BL25" i="24" s="1"/>
  <c r="DA25" i="24" s="1"/>
  <c r="S10" i="24"/>
  <c r="BG10" i="24" s="1"/>
  <c r="CV10" i="24" s="1"/>
  <c r="O17" i="24"/>
  <c r="BC17" i="24" s="1"/>
  <c r="CR17" i="24" s="1"/>
  <c r="G25" i="24"/>
  <c r="AU25" i="24" s="1"/>
  <c r="CJ25" i="24" s="1"/>
  <c r="G22" i="24"/>
  <c r="AU22" i="24" s="1"/>
  <c r="CJ22" i="24" s="1"/>
  <c r="G19" i="24"/>
  <c r="AU19" i="24" s="1"/>
  <c r="CJ19" i="24" s="1"/>
  <c r="G16" i="24"/>
  <c r="AU16" i="24" s="1"/>
  <c r="CJ16" i="24" s="1"/>
  <c r="G13" i="24"/>
  <c r="AU13" i="24" s="1"/>
  <c r="CJ13" i="24" s="1"/>
  <c r="G29" i="24"/>
  <c r="AU29" i="24" s="1"/>
  <c r="CJ29" i="24" s="1"/>
  <c r="G10" i="24"/>
  <c r="AU10" i="24" s="1"/>
  <c r="CJ10" i="24" s="1"/>
  <c r="G26" i="24"/>
  <c r="AU26" i="24" s="1"/>
  <c r="CJ26" i="24" s="1"/>
  <c r="G23" i="24"/>
  <c r="AU23" i="24" s="1"/>
  <c r="CJ23" i="24" s="1"/>
  <c r="G20" i="24"/>
  <c r="AU20" i="24" s="1"/>
  <c r="CJ20" i="24" s="1"/>
  <c r="G17" i="24"/>
  <c r="AU17" i="24" s="1"/>
  <c r="CJ17" i="24" s="1"/>
  <c r="G14" i="24"/>
  <c r="AU14" i="24" s="1"/>
  <c r="CJ14" i="24" s="1"/>
  <c r="G11" i="24"/>
  <c r="AU11" i="24" s="1"/>
  <c r="CJ11" i="24" s="1"/>
  <c r="G27" i="24"/>
  <c r="AU27" i="24" s="1"/>
  <c r="CJ27" i="24" s="1"/>
  <c r="G24" i="24"/>
  <c r="AU24" i="24" s="1"/>
  <c r="CJ24" i="24" s="1"/>
  <c r="G21" i="24"/>
  <c r="AU21" i="24" s="1"/>
  <c r="CJ21" i="24" s="1"/>
  <c r="G18" i="24"/>
  <c r="AU18" i="24" s="1"/>
  <c r="CJ18" i="24" s="1"/>
  <c r="G15" i="24"/>
  <c r="AU15" i="24" s="1"/>
  <c r="CJ15" i="24" s="1"/>
  <c r="G12" i="24"/>
  <c r="AU12" i="24" s="1"/>
  <c r="CJ12" i="24" s="1"/>
  <c r="G28" i="24"/>
  <c r="AU28" i="24" s="1"/>
  <c r="CJ28" i="24" s="1"/>
  <c r="M14" i="24"/>
  <c r="BA14" i="24" s="1"/>
  <c r="CP14" i="24" s="1"/>
  <c r="P29" i="24"/>
  <c r="BD29" i="24" s="1"/>
  <c r="CS29" i="24" s="1"/>
  <c r="K14" i="24"/>
  <c r="AY14" i="24" s="1"/>
  <c r="CN14" i="24" s="1"/>
  <c r="L20" i="24"/>
  <c r="AZ20" i="24" s="1"/>
  <c r="CO20" i="24" s="1"/>
  <c r="M26" i="24"/>
  <c r="BA26" i="24" s="1"/>
  <c r="CP26" i="24" s="1"/>
  <c r="H11" i="24"/>
  <c r="AV11" i="24" s="1"/>
  <c r="CK11" i="24" s="1"/>
  <c r="N16" i="24"/>
  <c r="BB16" i="24" s="1"/>
  <c r="CQ16" i="24" s="1"/>
  <c r="O22" i="24"/>
  <c r="BC22" i="24" s="1"/>
  <c r="CR22" i="24" s="1"/>
  <c r="P28" i="24"/>
  <c r="BD28" i="24" s="1"/>
  <c r="CS28" i="24" s="1"/>
  <c r="K13" i="24"/>
  <c r="AY13" i="24" s="1"/>
  <c r="CN13" i="24" s="1"/>
  <c r="L19" i="24"/>
  <c r="AZ19" i="24" s="1"/>
  <c r="CO19" i="24" s="1"/>
  <c r="M25" i="24"/>
  <c r="BA25" i="24" s="1"/>
  <c r="CP25" i="24" s="1"/>
  <c r="H10" i="24"/>
  <c r="AV10" i="24" s="1"/>
  <c r="CK10" i="24" s="1"/>
  <c r="I16" i="24"/>
  <c r="AW16" i="24" s="1"/>
  <c r="CL16" i="24" s="1"/>
  <c r="J22" i="24"/>
  <c r="AX22" i="24" s="1"/>
  <c r="CM22" i="24" s="1"/>
  <c r="K28" i="24"/>
  <c r="AY28" i="24" s="1"/>
  <c r="CN28" i="24" s="1"/>
  <c r="V13" i="24"/>
  <c r="BJ13" i="24" s="1"/>
  <c r="CY13" i="24" s="1"/>
  <c r="W19" i="24"/>
  <c r="BK19" i="24" s="1"/>
  <c r="CZ19" i="24" s="1"/>
  <c r="H25" i="24"/>
  <c r="AV25" i="24" s="1"/>
  <c r="CK25" i="24" s="1"/>
  <c r="T16" i="24"/>
  <c r="BH16" i="24" s="1"/>
  <c r="CW16" i="24" s="1"/>
  <c r="R13" i="24"/>
  <c r="BF13" i="24" s="1"/>
  <c r="CU13" i="24" s="1"/>
  <c r="T22" i="24"/>
  <c r="BH22" i="24" s="1"/>
  <c r="CW22" i="24" s="1"/>
  <c r="U28" i="24"/>
  <c r="BI28" i="24" s="1"/>
  <c r="CX28" i="24" s="1"/>
  <c r="P13" i="24"/>
  <c r="BD13" i="24" s="1"/>
  <c r="CS13" i="24" s="1"/>
  <c r="Q19" i="24"/>
  <c r="BE19" i="24" s="1"/>
  <c r="CT19" i="24" s="1"/>
  <c r="R25" i="24"/>
  <c r="BF25" i="24" s="1"/>
  <c r="CU25" i="24" s="1"/>
  <c r="M10" i="24"/>
  <c r="BA10" i="24" s="1"/>
  <c r="CP10" i="24" s="1"/>
  <c r="S15" i="24"/>
  <c r="BG15" i="24" s="1"/>
  <c r="CV15" i="24" s="1"/>
  <c r="T21" i="24"/>
  <c r="BH21" i="24" s="1"/>
  <c r="CW21" i="24" s="1"/>
  <c r="U27" i="24"/>
  <c r="BI27" i="24" s="1"/>
  <c r="CX27" i="24" s="1"/>
  <c r="P12" i="24"/>
  <c r="BD12" i="24" s="1"/>
  <c r="CS12" i="24" s="1"/>
  <c r="Q18" i="24"/>
  <c r="BE18" i="24" s="1"/>
  <c r="CT18" i="24" s="1"/>
  <c r="R24" i="24"/>
  <c r="BF24" i="24" s="1"/>
  <c r="CU24" i="24" s="1"/>
  <c r="N15" i="24"/>
  <c r="BB15" i="24" s="1"/>
  <c r="CQ15" i="24" s="1"/>
  <c r="O21" i="24"/>
  <c r="BC21" i="24" s="1"/>
  <c r="CR21" i="24" s="1"/>
  <c r="P27" i="24"/>
  <c r="BD27" i="24" s="1"/>
  <c r="CS27" i="24" s="1"/>
  <c r="K12" i="24"/>
  <c r="AY12" i="24" s="1"/>
  <c r="CN12" i="24" s="1"/>
  <c r="L18" i="24"/>
  <c r="AZ18" i="24" s="1"/>
  <c r="CO18" i="24" s="1"/>
  <c r="M24" i="24"/>
  <c r="BA24" i="24" s="1"/>
  <c r="CP24" i="24" s="1"/>
  <c r="I15" i="24"/>
  <c r="AW15" i="24" s="1"/>
  <c r="CL15" i="24" s="1"/>
  <c r="U12" i="24"/>
  <c r="BI12" i="24" s="1"/>
  <c r="CX12" i="24" s="1"/>
  <c r="V18" i="24"/>
  <c r="BJ18" i="24" s="1"/>
  <c r="CY18" i="24" s="1"/>
  <c r="W24" i="24"/>
  <c r="BK24" i="24" s="1"/>
  <c r="CZ24" i="24" s="1"/>
  <c r="X14" i="24"/>
  <c r="BL14" i="24" s="1"/>
  <c r="DA14" i="24" s="1"/>
  <c r="I20" i="24"/>
  <c r="AW20" i="24" s="1"/>
  <c r="CL20" i="24" s="1"/>
  <c r="J26" i="24"/>
  <c r="AX26" i="24" s="1"/>
  <c r="CM26" i="24" s="1"/>
  <c r="U11" i="24"/>
  <c r="BI11" i="24" s="1"/>
  <c r="CX11" i="24" s="1"/>
  <c r="V17" i="24"/>
  <c r="BJ17" i="24" s="1"/>
  <c r="CY17" i="24" s="1"/>
  <c r="W23" i="24"/>
  <c r="BK23" i="24" s="1"/>
  <c r="CZ23" i="24" s="1"/>
  <c r="X29" i="24"/>
  <c r="BL29" i="24" s="1"/>
  <c r="DA29" i="24" s="1"/>
  <c r="S14" i="24"/>
  <c r="BG14" i="24" s="1"/>
  <c r="CV14" i="24" s="1"/>
  <c r="T20" i="24"/>
  <c r="BH20" i="24" s="1"/>
  <c r="CW20" i="24" s="1"/>
  <c r="U26" i="24"/>
  <c r="BI26" i="24" s="1"/>
  <c r="CX26" i="24" s="1"/>
  <c r="P11" i="24"/>
  <c r="BD11" i="24" s="1"/>
  <c r="CS11" i="24" s="1"/>
  <c r="Q17" i="24"/>
  <c r="BE17" i="24" s="1"/>
  <c r="CT17" i="24" s="1"/>
  <c r="R23" i="24"/>
  <c r="BF23" i="24" s="1"/>
  <c r="CU23" i="24" s="1"/>
  <c r="S29" i="24"/>
  <c r="BG29" i="24" s="1"/>
  <c r="CV29" i="24" s="1"/>
  <c r="N14" i="24"/>
  <c r="BB14" i="24" s="1"/>
  <c r="CQ14" i="24" s="1"/>
  <c r="J11" i="24"/>
  <c r="AX11" i="24" s="1"/>
  <c r="CM11" i="24" s="1"/>
  <c r="K17" i="24"/>
  <c r="AY17" i="24" s="1"/>
  <c r="CN17" i="24" s="1"/>
  <c r="L23" i="24"/>
  <c r="AZ23" i="24" s="1"/>
  <c r="CO23" i="24" s="1"/>
  <c r="M29" i="24"/>
  <c r="BA29" i="24" s="1"/>
  <c r="CP29" i="24" s="1"/>
  <c r="H14" i="24"/>
  <c r="AV14" i="24" s="1"/>
  <c r="CK14" i="24" s="1"/>
  <c r="N19" i="24"/>
  <c r="BB19" i="24" s="1"/>
  <c r="CQ19" i="24" s="1"/>
  <c r="O25" i="24"/>
  <c r="BC25" i="24" s="1"/>
  <c r="CR25" i="24" s="1"/>
  <c r="J10" i="24"/>
  <c r="AX10" i="24" s="1"/>
  <c r="CM10" i="24" s="1"/>
  <c r="K16" i="24"/>
  <c r="AY16" i="24" s="1"/>
  <c r="CN16" i="24" s="1"/>
  <c r="L22" i="24"/>
  <c r="AZ22" i="24" s="1"/>
  <c r="CO22" i="24" s="1"/>
  <c r="H29" i="24"/>
  <c r="AV29" i="24" s="1"/>
  <c r="CK29" i="24" s="1"/>
  <c r="X13" i="24"/>
  <c r="BL13" i="24" s="1"/>
  <c r="DA13" i="24" s="1"/>
  <c r="I19" i="24"/>
  <c r="AW19" i="24" s="1"/>
  <c r="CL19" i="24" s="1"/>
  <c r="J25" i="24"/>
  <c r="AX25" i="24" s="1"/>
  <c r="CM25" i="24" s="1"/>
  <c r="U10" i="24"/>
  <c r="BI10" i="24" s="1"/>
  <c r="CX10" i="24" s="1"/>
  <c r="V16" i="24"/>
  <c r="BJ16" i="24" s="1"/>
  <c r="CY16" i="24" s="1"/>
  <c r="W22" i="24"/>
  <c r="BK22" i="24" s="1"/>
  <c r="CZ22" i="24" s="1"/>
  <c r="X28" i="24"/>
  <c r="BL28" i="24" s="1"/>
  <c r="DA28" i="24" s="1"/>
  <c r="S13" i="24"/>
  <c r="BG13" i="24" s="1"/>
  <c r="CV13" i="24" s="1"/>
  <c r="S19" i="24"/>
  <c r="BG19" i="24" s="1"/>
  <c r="CV19" i="24" s="1"/>
  <c r="T25" i="24"/>
  <c r="BH25" i="24" s="1"/>
  <c r="CW25" i="24" s="1"/>
  <c r="O10" i="24"/>
  <c r="BC10" i="24" s="1"/>
  <c r="CR10" i="24" s="1"/>
  <c r="P16" i="24"/>
  <c r="BD16" i="24" s="1"/>
  <c r="CS16" i="24" s="1"/>
  <c r="Q22" i="24"/>
  <c r="BE22" i="24" s="1"/>
  <c r="CT22" i="24" s="1"/>
  <c r="R28" i="24"/>
  <c r="BF28" i="24" s="1"/>
  <c r="CU28" i="24" s="1"/>
  <c r="M13" i="24"/>
  <c r="BA13" i="24" s="1"/>
  <c r="CP13" i="24" s="1"/>
  <c r="S18" i="24"/>
  <c r="BG18" i="24" s="1"/>
  <c r="CV18" i="24" s="1"/>
  <c r="T24" i="24"/>
  <c r="BH24" i="24" s="1"/>
  <c r="CW24" i="24" s="1"/>
  <c r="P15" i="24"/>
  <c r="BD15" i="24" s="1"/>
  <c r="CS15" i="24" s="1"/>
  <c r="Q21" i="24"/>
  <c r="BE21" i="24" s="1"/>
  <c r="CT21" i="24" s="1"/>
  <c r="M28" i="24"/>
  <c r="BA28" i="24" s="1"/>
  <c r="CP28" i="24" s="1"/>
  <c r="H13" i="24"/>
  <c r="AV13" i="24" s="1"/>
  <c r="CK13" i="24" s="1"/>
  <c r="N18" i="24"/>
  <c r="BB18" i="24" s="1"/>
  <c r="CQ18" i="24" s="1"/>
  <c r="O24" i="24"/>
  <c r="BC24" i="24" s="1"/>
  <c r="CR24" i="24" s="1"/>
  <c r="K15" i="24"/>
  <c r="AY15" i="24" s="1"/>
  <c r="CN15" i="24" s="1"/>
  <c r="L21" i="24"/>
  <c r="AZ21" i="24" s="1"/>
  <c r="CO21" i="24" s="1"/>
  <c r="H28" i="24"/>
  <c r="AV28" i="24" s="1"/>
  <c r="CK28" i="24" s="1"/>
  <c r="X12" i="24"/>
  <c r="BL12" i="24" s="1"/>
  <c r="DA12" i="24" s="1"/>
  <c r="X18" i="24"/>
  <c r="BL18" i="24" s="1"/>
  <c r="DA18" i="24" s="1"/>
  <c r="I24" i="24"/>
  <c r="AW24" i="24" s="1"/>
  <c r="CL24" i="24" s="1"/>
  <c r="U15" i="24"/>
  <c r="BI15" i="24" s="1"/>
  <c r="CX15" i="24" s="1"/>
  <c r="V21" i="24"/>
  <c r="BJ21" i="24" s="1"/>
  <c r="CY21" i="24" s="1"/>
  <c r="W27" i="24"/>
  <c r="BK27" i="24" s="1"/>
  <c r="CZ27" i="24" s="1"/>
  <c r="R12" i="24"/>
  <c r="BF12" i="24" s="1"/>
  <c r="CU12" i="24" s="1"/>
  <c r="X17" i="24"/>
  <c r="BL17" i="24" s="1"/>
  <c r="DA17" i="24" s="1"/>
  <c r="I23" i="24"/>
  <c r="AW23" i="24" s="1"/>
  <c r="CL23" i="24" s="1"/>
  <c r="J29" i="24"/>
  <c r="AX29" i="24" s="1"/>
  <c r="CM29" i="24" s="1"/>
  <c r="U14" i="24"/>
  <c r="BI14" i="24" s="1"/>
  <c r="CX14" i="24" s="1"/>
  <c r="V20" i="24"/>
  <c r="BJ20" i="24" s="1"/>
  <c r="CY20" i="24" s="1"/>
  <c r="R27" i="24"/>
  <c r="BF27" i="24" s="1"/>
  <c r="CU27" i="24" s="1"/>
  <c r="M12" i="24"/>
  <c r="BA12" i="24" s="1"/>
  <c r="CP12" i="24" s="1"/>
  <c r="S17" i="24"/>
  <c r="BG17" i="24" s="1"/>
  <c r="CV17" i="24" s="1"/>
  <c r="T23" i="24"/>
  <c r="BH23" i="24" s="1"/>
  <c r="CW23" i="24" s="1"/>
  <c r="U29" i="24"/>
  <c r="BI29" i="24" s="1"/>
  <c r="CX29" i="24" s="1"/>
  <c r="P14" i="24"/>
  <c r="BD14" i="24" s="1"/>
  <c r="CS14" i="24" s="1"/>
  <c r="Q20" i="24"/>
  <c r="BE20" i="24" s="1"/>
  <c r="CT20" i="24" s="1"/>
  <c r="M27" i="24"/>
  <c r="BA27" i="24" s="1"/>
  <c r="CP27" i="24" s="1"/>
  <c r="H12" i="24"/>
  <c r="AV12" i="24" s="1"/>
  <c r="CK12" i="24" s="1"/>
  <c r="H17" i="24"/>
  <c r="AV17" i="24" s="1"/>
  <c r="CK17" i="24" s="1"/>
  <c r="N22" i="24"/>
  <c r="BB22" i="24" s="1"/>
  <c r="CQ22" i="24" s="1"/>
  <c r="O28" i="24"/>
  <c r="BC28" i="24" s="1"/>
  <c r="CR28" i="24" s="1"/>
  <c r="J13" i="24"/>
  <c r="AX13" i="24" s="1"/>
  <c r="CM13" i="24" s="1"/>
  <c r="K19" i="24"/>
  <c r="AY19" i="24" s="1"/>
  <c r="CN19" i="24" s="1"/>
  <c r="W26" i="24"/>
  <c r="BK26" i="24" s="1"/>
  <c r="CZ26" i="24" s="1"/>
  <c r="R11" i="24"/>
  <c r="BF11" i="24" s="1"/>
  <c r="CU11" i="24" s="1"/>
  <c r="X16" i="24"/>
  <c r="BL16" i="24" s="1"/>
  <c r="DA16" i="24" s="1"/>
  <c r="I22" i="24"/>
  <c r="AW22" i="24" s="1"/>
  <c r="CL22" i="24" s="1"/>
  <c r="J28" i="24"/>
  <c r="AX28" i="24" s="1"/>
  <c r="CM28" i="24" s="1"/>
  <c r="U13" i="24"/>
  <c r="BI13" i="24" s="1"/>
  <c r="CX13" i="24" s="1"/>
  <c r="V19" i="24"/>
  <c r="BJ19" i="24" s="1"/>
  <c r="CY19" i="24" s="1"/>
  <c r="R26" i="24"/>
  <c r="BF26" i="24" s="1"/>
  <c r="CU26" i="24" s="1"/>
  <c r="M11" i="24"/>
  <c r="BA11" i="24" s="1"/>
  <c r="CP11" i="24" s="1"/>
  <c r="W11" i="24"/>
  <c r="BK11" i="24" s="1"/>
  <c r="CZ11" i="24" s="1"/>
  <c r="Q26" i="24"/>
  <c r="BE26" i="24" s="1"/>
  <c r="CT26" i="24" s="1"/>
  <c r="M17" i="24"/>
  <c r="BA17" i="24" s="1"/>
  <c r="CP17" i="24" s="1"/>
  <c r="S22" i="24"/>
  <c r="BG22" i="24" s="1"/>
  <c r="CV22" i="24" s="1"/>
  <c r="T28" i="24"/>
  <c r="BH28" i="24" s="1"/>
  <c r="CW28" i="24" s="1"/>
  <c r="O13" i="24"/>
  <c r="BC13" i="24" s="1"/>
  <c r="CR13" i="24" s="1"/>
  <c r="P19" i="24"/>
  <c r="BD19" i="24" s="1"/>
  <c r="CS19" i="24" s="1"/>
  <c r="Q25" i="24"/>
  <c r="BE25" i="24" s="1"/>
  <c r="CT25" i="24" s="1"/>
  <c r="L10" i="24"/>
  <c r="AZ10" i="24" s="1"/>
  <c r="CO10" i="24" s="1"/>
  <c r="M16" i="24"/>
  <c r="BA16" i="24" s="1"/>
  <c r="CP16" i="24" s="1"/>
  <c r="S21" i="24"/>
  <c r="BG21" i="24" s="1"/>
  <c r="CV21" i="24" s="1"/>
  <c r="T27" i="24"/>
  <c r="BH27" i="24" s="1"/>
  <c r="CW27" i="24" s="1"/>
  <c r="O12" i="24"/>
  <c r="BC12" i="24" s="1"/>
  <c r="CR12" i="24" s="1"/>
  <c r="P18" i="24"/>
  <c r="BD18" i="24" s="1"/>
  <c r="CS18" i="24" s="1"/>
  <c r="L25" i="24"/>
  <c r="AZ25" i="24" s="1"/>
  <c r="CO25" i="24" s="1"/>
  <c r="W10" i="24"/>
  <c r="BK10" i="24" s="1"/>
  <c r="CZ10" i="24" s="1"/>
  <c r="H16" i="24"/>
  <c r="AV16" i="24" s="1"/>
  <c r="CK16" i="24" s="1"/>
  <c r="N21" i="24"/>
  <c r="BB21" i="24" s="1"/>
  <c r="CQ21" i="24" s="1"/>
  <c r="O27" i="24"/>
  <c r="BC27" i="24" s="1"/>
  <c r="CR27" i="24" s="1"/>
  <c r="J12" i="24"/>
  <c r="AX12" i="24" s="1"/>
  <c r="CM12" i="24" s="1"/>
  <c r="K18" i="24"/>
  <c r="AY18" i="24" s="1"/>
  <c r="CN18" i="24" s="1"/>
  <c r="W25" i="24"/>
  <c r="BK25" i="24" s="1"/>
  <c r="CZ25" i="24" s="1"/>
  <c r="R10" i="24"/>
  <c r="BF10" i="24" s="1"/>
  <c r="CU10" i="24" s="1"/>
  <c r="U22" i="24"/>
  <c r="BI22" i="24" s="1"/>
  <c r="CX22" i="24" s="1"/>
  <c r="J21" i="24"/>
  <c r="AX21" i="24" s="1"/>
  <c r="CM21" i="24" s="1"/>
  <c r="V25" i="24"/>
  <c r="BJ25" i="24" s="1"/>
  <c r="CY25" i="24" s="1"/>
  <c r="R16" i="24"/>
  <c r="BF16" i="24" s="1"/>
  <c r="CU16" i="24" s="1"/>
  <c r="X21" i="24"/>
  <c r="BL21" i="24" s="1"/>
  <c r="DA21" i="24" s="1"/>
  <c r="I27" i="24"/>
  <c r="AW27" i="24" s="1"/>
  <c r="CL27" i="24" s="1"/>
  <c r="T12" i="24"/>
  <c r="BH12" i="24" s="1"/>
  <c r="CW12" i="24" s="1"/>
  <c r="U18" i="24"/>
  <c r="BI18" i="24" s="1"/>
  <c r="CX18" i="24" s="1"/>
  <c r="V24" i="24"/>
  <c r="BJ24" i="24" s="1"/>
  <c r="CY24" i="24" s="1"/>
  <c r="R15" i="24"/>
  <c r="BF15" i="24" s="1"/>
  <c r="CU15" i="24" s="1"/>
  <c r="X20" i="24"/>
  <c r="BL20" i="24" s="1"/>
  <c r="DA20" i="24" s="1"/>
  <c r="I26" i="24"/>
  <c r="AW26" i="24" s="1"/>
  <c r="CL26" i="24" s="1"/>
  <c r="T11" i="24"/>
  <c r="BH11" i="24" s="1"/>
  <c r="CW11" i="24" s="1"/>
  <c r="U17" i="24"/>
  <c r="BI17" i="24" s="1"/>
  <c r="CX17" i="24" s="1"/>
  <c r="Q24" i="24"/>
  <c r="BE24" i="24" s="1"/>
  <c r="CT24" i="24" s="1"/>
  <c r="M15" i="24"/>
  <c r="BA15" i="24" s="1"/>
  <c r="CP15" i="24" s="1"/>
  <c r="S20" i="24"/>
  <c r="BG20" i="24" s="1"/>
  <c r="CV20" i="24" s="1"/>
  <c r="T26" i="24"/>
  <c r="BH26" i="24" s="1"/>
  <c r="CW26" i="24" s="1"/>
  <c r="O11" i="24"/>
  <c r="BC11" i="24" s="1"/>
  <c r="CR11" i="24" s="1"/>
  <c r="P17" i="24"/>
  <c r="BD17" i="24" s="1"/>
  <c r="CS17" i="24" s="1"/>
  <c r="L24" i="24"/>
  <c r="AZ24" i="24" s="1"/>
  <c r="CO24" i="24" s="1"/>
  <c r="B85" i="22" l="1"/>
  <c r="BA17" i="22"/>
  <c r="AZ17" i="22"/>
  <c r="AY18" i="22"/>
  <c r="AW18" i="22"/>
  <c r="CP18" i="22" s="1"/>
  <c r="AX19" i="22"/>
  <c r="AS85" i="22"/>
  <c r="CQ17" i="22"/>
  <c r="BW140" i="22"/>
  <c r="CD12" i="24"/>
  <c r="DS12" i="24" s="1"/>
  <c r="CE10" i="24"/>
  <c r="DT10" i="24" s="1"/>
  <c r="CD13" i="24"/>
  <c r="DS13" i="24" s="1"/>
  <c r="CD22" i="24"/>
  <c r="DS22" i="24" s="1"/>
  <c r="CE27" i="24"/>
  <c r="DT27" i="24" s="1"/>
  <c r="CD23" i="24"/>
  <c r="DS23" i="24" s="1"/>
  <c r="CE18" i="24"/>
  <c r="DT18" i="24" s="1"/>
  <c r="CD14" i="24"/>
  <c r="DS14" i="24" s="1"/>
  <c r="CE19" i="24"/>
  <c r="DT19" i="24" s="1"/>
  <c r="CE28" i="24"/>
  <c r="DT28" i="24" s="1"/>
  <c r="CE20" i="24"/>
  <c r="DT20" i="24" s="1"/>
  <c r="CE29" i="24"/>
  <c r="DT29" i="24" s="1"/>
  <c r="CE11" i="24"/>
  <c r="DT11" i="24" s="1"/>
  <c r="CD24" i="24"/>
  <c r="DS24" i="24" s="1"/>
  <c r="CE12" i="24"/>
  <c r="DT12" i="24" s="1"/>
  <c r="CD15" i="24"/>
  <c r="DS15" i="24" s="1"/>
  <c r="CE13" i="24"/>
  <c r="DT13" i="24" s="1"/>
  <c r="CD16" i="24"/>
  <c r="DS16" i="24" s="1"/>
  <c r="CD25" i="24"/>
  <c r="DS25" i="24" s="1"/>
  <c r="CE21" i="24"/>
  <c r="DT21" i="24" s="1"/>
  <c r="CD17" i="24"/>
  <c r="DS17" i="24" s="1"/>
  <c r="CD26" i="24"/>
  <c r="DS26" i="24" s="1"/>
  <c r="CE22" i="24"/>
  <c r="DT22" i="24" s="1"/>
  <c r="CE23" i="24"/>
  <c r="DT23" i="24" s="1"/>
  <c r="CE24" i="24"/>
  <c r="DT24" i="24" s="1"/>
  <c r="CE14" i="24"/>
  <c r="DT14" i="24" s="1"/>
  <c r="CD27" i="24"/>
  <c r="DS27" i="24" s="1"/>
  <c r="CD10" i="24"/>
  <c r="DS10" i="24" s="1"/>
  <c r="CD18" i="24"/>
  <c r="DS18" i="24" s="1"/>
  <c r="CD19" i="24"/>
  <c r="DS19" i="24" s="1"/>
  <c r="CE15" i="24"/>
  <c r="DT15" i="24" s="1"/>
  <c r="CD20" i="24"/>
  <c r="DS20" i="24" s="1"/>
  <c r="CE16" i="24"/>
  <c r="DT16" i="24" s="1"/>
  <c r="CE25" i="24"/>
  <c r="DT25" i="24" s="1"/>
  <c r="CD28" i="24"/>
  <c r="DS28" i="24" s="1"/>
  <c r="CD21" i="24"/>
  <c r="DS21" i="24" s="1"/>
  <c r="CD11" i="24"/>
  <c r="DS11" i="24" s="1"/>
  <c r="CE26" i="24"/>
  <c r="DT26" i="24" s="1"/>
  <c r="CD29" i="24"/>
  <c r="DS29" i="24" s="1"/>
  <c r="CE17" i="24"/>
  <c r="DT17" i="24" s="1"/>
  <c r="AS86" i="22" l="1"/>
  <c r="CQ18" i="22"/>
  <c r="B86" i="22"/>
  <c r="BA18" i="22"/>
  <c r="AZ18" i="22"/>
  <c r="AW19" i="22"/>
  <c r="CP19" i="22" s="1"/>
  <c r="AX20" i="22"/>
  <c r="AY19" i="22"/>
  <c r="BW141" i="22"/>
  <c r="CG21" i="24"/>
  <c r="CG13" i="24"/>
  <c r="CG27" i="24"/>
  <c r="H82" i="24" s="1"/>
  <c r="CG16" i="24"/>
  <c r="CG24" i="24"/>
  <c r="CG14" i="24"/>
  <c r="H73" i="24" s="1"/>
  <c r="CG23" i="24"/>
  <c r="H80" i="24" s="1"/>
  <c r="CG29" i="24"/>
  <c r="H84" i="24" s="1"/>
  <c r="CG28" i="24"/>
  <c r="H83" i="24" s="1"/>
  <c r="CG17" i="24"/>
  <c r="H74" i="24" s="1"/>
  <c r="CG11" i="24"/>
  <c r="CG22" i="24"/>
  <c r="H79" i="24" s="1"/>
  <c r="CG25" i="24"/>
  <c r="CG10" i="24"/>
  <c r="H69" i="24" s="1"/>
  <c r="CG26" i="24"/>
  <c r="CG20" i="24"/>
  <c r="CG12" i="24"/>
  <c r="H71" i="24" s="1"/>
  <c r="CG19" i="24"/>
  <c r="CG15" i="24"/>
  <c r="AS87" i="22" l="1"/>
  <c r="CQ19" i="22"/>
  <c r="B87" i="22"/>
  <c r="BA19" i="22"/>
  <c r="AZ19" i="22"/>
  <c r="AX21" i="22"/>
  <c r="AY20" i="22"/>
  <c r="AW20" i="22"/>
  <c r="CP20" i="22" s="1"/>
  <c r="BW142" i="22"/>
  <c r="H75" i="24"/>
  <c r="H77" i="24"/>
  <c r="H76" i="24"/>
  <c r="H78" i="24"/>
  <c r="H70" i="24"/>
  <c r="L68" i="24"/>
  <c r="H72" i="24"/>
  <c r="L69" i="24"/>
  <c r="H81" i="24"/>
  <c r="B88" i="22" l="1"/>
  <c r="BA20" i="22"/>
  <c r="AZ20" i="22"/>
  <c r="AX22" i="22"/>
  <c r="AY21" i="22"/>
  <c r="AW21" i="22"/>
  <c r="CP21" i="22" s="1"/>
  <c r="CQ20" i="22"/>
  <c r="AS88" i="22"/>
  <c r="BW143" i="22"/>
  <c r="AW22" i="22" l="1"/>
  <c r="CP22" i="22" s="1"/>
  <c r="AY22" i="22"/>
  <c r="AX23" i="22"/>
  <c r="AS89" i="22"/>
  <c r="CQ21" i="22"/>
  <c r="B89" i="22"/>
  <c r="AZ21" i="22"/>
  <c r="BA21" i="22"/>
  <c r="BW144" i="22"/>
  <c r="AX24" i="22" l="1"/>
  <c r="AY23" i="22"/>
  <c r="AW23" i="22"/>
  <c r="CP23" i="22" s="1"/>
  <c r="B90" i="22"/>
  <c r="BA22" i="22"/>
  <c r="AZ22" i="22"/>
  <c r="AS90" i="22"/>
  <c r="CQ22" i="22"/>
  <c r="BW145" i="22"/>
  <c r="B91" i="22" l="1"/>
  <c r="BA23" i="22"/>
  <c r="AZ23" i="22"/>
  <c r="AS91" i="22"/>
  <c r="CQ23" i="22"/>
  <c r="AW24" i="22"/>
  <c r="CP24" i="22" s="1"/>
  <c r="AX25" i="22"/>
  <c r="AY24" i="22"/>
  <c r="BW146" i="22"/>
  <c r="AS92" i="22" l="1"/>
  <c r="CQ24" i="22"/>
  <c r="B92" i="22"/>
  <c r="AZ24" i="22"/>
  <c r="BA24" i="22"/>
  <c r="AY25" i="22"/>
  <c r="AW25" i="22"/>
  <c r="CP25" i="22" s="1"/>
  <c r="AX26" i="22"/>
  <c r="BW147" i="22"/>
  <c r="B93" i="22" l="1"/>
  <c r="AZ25" i="22"/>
  <c r="BA25" i="22"/>
  <c r="AW26" i="22"/>
  <c r="CP26" i="22" s="1"/>
  <c r="AX27" i="22"/>
  <c r="AY26" i="22"/>
  <c r="CQ25" i="22"/>
  <c r="AS93" i="22"/>
  <c r="BW148" i="22"/>
  <c r="B94" i="22" l="1"/>
  <c r="BA26" i="22"/>
  <c r="AZ26" i="22"/>
  <c r="AX28" i="22"/>
  <c r="AY27" i="22"/>
  <c r="AW27" i="22"/>
  <c r="CP27" i="22" s="1"/>
  <c r="AS94" i="22"/>
  <c r="CQ26" i="22"/>
  <c r="BW149" i="22"/>
  <c r="Z70" i="22" s="1"/>
  <c r="AS95" i="22" l="1"/>
  <c r="CQ27" i="22"/>
  <c r="B95" i="22"/>
  <c r="AZ27" i="22"/>
  <c r="BA27" i="22"/>
  <c r="AW28" i="22"/>
  <c r="CP28" i="22" s="1"/>
  <c r="AY28" i="22"/>
  <c r="AX29" i="22"/>
  <c r="E17" i="24"/>
  <c r="F17" i="24" s="1"/>
  <c r="AY29" i="22" l="1"/>
  <c r="AX30" i="22"/>
  <c r="AW29" i="22"/>
  <c r="CP29" i="22" s="1"/>
  <c r="B96" i="22"/>
  <c r="AZ28" i="22"/>
  <c r="BA28" i="22"/>
  <c r="CQ28" i="22"/>
  <c r="AS96" i="22"/>
  <c r="AS97" i="22" l="1"/>
  <c r="CQ29" i="22"/>
  <c r="AY30" i="22"/>
  <c r="AX31" i="22"/>
  <c r="AW30" i="22"/>
  <c r="CP30" i="22" s="1"/>
  <c r="B97" i="22"/>
  <c r="AZ29" i="22"/>
  <c r="BA29" i="22"/>
  <c r="CQ30" i="22" l="1"/>
  <c r="AS98" i="22"/>
  <c r="B98" i="22"/>
  <c r="AZ30" i="22"/>
  <c r="BA30" i="22"/>
  <c r="AY31" i="22"/>
  <c r="AW31" i="22"/>
  <c r="CP31" i="22" s="1"/>
  <c r="AX32" i="22"/>
  <c r="AX33" i="22" l="1"/>
  <c r="AY32" i="22"/>
  <c r="AW32" i="22"/>
  <c r="CP32" i="22" s="1"/>
  <c r="B99" i="22"/>
  <c r="AZ31" i="22"/>
  <c r="BA31" i="22"/>
  <c r="AS99" i="22"/>
  <c r="CQ31" i="22"/>
  <c r="AS100" i="22" l="1"/>
  <c r="CQ32" i="22"/>
  <c r="AY33" i="22"/>
  <c r="AX34" i="22"/>
  <c r="AW33" i="22"/>
  <c r="CP33" i="22" s="1"/>
  <c r="B100" i="22"/>
  <c r="AZ32" i="22"/>
  <c r="BA32" i="22"/>
  <c r="CQ33" i="22" l="1"/>
  <c r="AS101" i="22"/>
  <c r="AX35" i="22"/>
  <c r="AW34" i="22"/>
  <c r="CP34" i="22" s="1"/>
  <c r="AY34" i="22"/>
  <c r="B101" i="22"/>
  <c r="BA33" i="22"/>
  <c r="AZ33" i="22"/>
  <c r="BA34" i="22" l="1"/>
  <c r="B102" i="22"/>
  <c r="AZ34" i="22"/>
  <c r="AS102" i="22"/>
  <c r="CQ34" i="22"/>
  <c r="AY35" i="22"/>
  <c r="AX36" i="22"/>
  <c r="AW35" i="22"/>
  <c r="CP35" i="22" s="1"/>
  <c r="AX37" i="22" l="1"/>
  <c r="AY36" i="22"/>
  <c r="AW36" i="22"/>
  <c r="CP36" i="22" s="1"/>
  <c r="AS103" i="22"/>
  <c r="CQ35" i="22"/>
  <c r="B103" i="22"/>
  <c r="AZ35" i="22"/>
  <c r="BA35" i="22"/>
  <c r="AS104" i="22" l="1"/>
  <c r="CQ36" i="22"/>
  <c r="AZ36" i="22"/>
  <c r="B104" i="22"/>
  <c r="BA36" i="22"/>
  <c r="AX38" i="22"/>
  <c r="AY37" i="22"/>
  <c r="AW37" i="22"/>
  <c r="CP37" i="22" s="1"/>
  <c r="AS105" i="22" l="1"/>
  <c r="CQ37" i="22"/>
  <c r="AW38" i="22"/>
  <c r="CP38" i="22" s="1"/>
  <c r="AY38" i="22"/>
  <c r="AX39" i="22"/>
  <c r="B105" i="22"/>
  <c r="AZ37" i="22"/>
  <c r="BA37" i="22"/>
  <c r="AW39" i="22" l="1"/>
  <c r="CP39" i="22" s="1"/>
  <c r="AX40" i="22"/>
  <c r="AY39" i="22"/>
  <c r="AS106" i="22"/>
  <c r="CQ38" i="22"/>
  <c r="BA38" i="22"/>
  <c r="B106" i="22"/>
  <c r="AZ38" i="22"/>
  <c r="BA39" i="22" l="1"/>
  <c r="B107" i="22"/>
  <c r="AZ39" i="22"/>
  <c r="AY40" i="22"/>
  <c r="AW40" i="22"/>
  <c r="CP40" i="22" s="1"/>
  <c r="AX41" i="22"/>
  <c r="AS107" i="22"/>
  <c r="CQ39" i="22"/>
  <c r="B108" i="22" l="1"/>
  <c r="BA40" i="22"/>
  <c r="AZ40" i="22"/>
  <c r="AY41" i="22"/>
  <c r="AW41" i="22"/>
  <c r="CP41" i="22" s="1"/>
  <c r="AX42" i="22"/>
  <c r="AS108" i="22"/>
  <c r="CQ40" i="22"/>
  <c r="B109" i="22" l="1"/>
  <c r="AZ41" i="22"/>
  <c r="BA41" i="22"/>
  <c r="AY42" i="22"/>
  <c r="AX43" i="22"/>
  <c r="AW42" i="22"/>
  <c r="CP42" i="22" s="1"/>
  <c r="CQ41" i="22"/>
  <c r="AS109" i="22"/>
  <c r="B110" i="22" l="1"/>
  <c r="BA42" i="22"/>
  <c r="AZ42" i="22"/>
  <c r="AS110" i="22"/>
  <c r="CQ42" i="22"/>
  <c r="AY43" i="22"/>
  <c r="AX44" i="22"/>
  <c r="AW43" i="22"/>
  <c r="CP43" i="22" s="1"/>
  <c r="CQ43" i="22" l="1"/>
  <c r="AS111" i="22"/>
  <c r="AW44" i="22"/>
  <c r="CP44" i="22" s="1"/>
  <c r="AY44" i="22"/>
  <c r="AX45" i="22"/>
  <c r="BA43" i="22"/>
  <c r="B111" i="22"/>
  <c r="AZ43" i="22"/>
  <c r="AX46" i="22" l="1"/>
  <c r="AY45" i="22"/>
  <c r="AW45" i="22"/>
  <c r="CP45" i="22" s="1"/>
  <c r="B112" i="22"/>
  <c r="BA44" i="22"/>
  <c r="AZ44" i="22"/>
  <c r="CQ44" i="22"/>
  <c r="AS112" i="22"/>
  <c r="CQ45" i="22" l="1"/>
  <c r="AS113" i="22"/>
  <c r="BA45" i="22"/>
  <c r="B113" i="22"/>
  <c r="AZ45" i="22"/>
  <c r="AW46" i="22"/>
  <c r="CP46" i="22" s="1"/>
  <c r="AX47" i="22"/>
  <c r="AY46" i="22"/>
  <c r="BA46" i="22" l="1"/>
  <c r="B114" i="22"/>
  <c r="AZ46" i="22"/>
  <c r="AX48" i="22"/>
  <c r="AY47" i="22"/>
  <c r="AW47" i="22"/>
  <c r="CP47" i="22" s="1"/>
  <c r="AS114" i="22"/>
  <c r="CQ46" i="22"/>
  <c r="AS115" i="22" l="1"/>
  <c r="CQ47" i="22"/>
  <c r="B115" i="22"/>
  <c r="BA47" i="22"/>
  <c r="AZ47" i="22"/>
  <c r="AY48" i="22"/>
  <c r="AX49" i="22"/>
  <c r="AW48" i="22"/>
  <c r="CP48" i="22" s="1"/>
  <c r="AS116" i="22" l="1"/>
  <c r="CQ48" i="22"/>
  <c r="AW49" i="22"/>
  <c r="CP49" i="22" s="1"/>
  <c r="AY49" i="22"/>
  <c r="AX50" i="22"/>
  <c r="BA48" i="22"/>
  <c r="AZ48" i="22"/>
  <c r="B116" i="22"/>
  <c r="AX51" i="22" l="1"/>
  <c r="AY50" i="22"/>
  <c r="AW50" i="22"/>
  <c r="CP50" i="22" s="1"/>
  <c r="BA49" i="22"/>
  <c r="B117" i="22"/>
  <c r="AZ49" i="22"/>
  <c r="AS117" i="22"/>
  <c r="CQ49" i="22"/>
  <c r="AS118" i="22" l="1"/>
  <c r="CQ50" i="22"/>
  <c r="AW51" i="22"/>
  <c r="CP51" i="22" s="1"/>
  <c r="AX52" i="22"/>
  <c r="AY51" i="22"/>
  <c r="AZ50" i="22"/>
  <c r="B118" i="22"/>
  <c r="BA50" i="22"/>
  <c r="AW52" i="22" l="1"/>
  <c r="CP52" i="22" s="1"/>
  <c r="AY52" i="22"/>
  <c r="AX53" i="22"/>
  <c r="AS119" i="22"/>
  <c r="CQ51" i="22"/>
  <c r="BA51" i="22"/>
  <c r="B119" i="22"/>
  <c r="AZ51" i="22"/>
  <c r="AY53" i="22" l="1"/>
  <c r="AW53" i="22"/>
  <c r="CP53" i="22" s="1"/>
  <c r="AX54" i="22"/>
  <c r="BA52" i="22"/>
  <c r="B120" i="22"/>
  <c r="AZ52" i="22"/>
  <c r="AS120" i="22"/>
  <c r="CQ52" i="22"/>
  <c r="AY54" i="22" l="1"/>
  <c r="AX55" i="22"/>
  <c r="AW54" i="22"/>
  <c r="CP54" i="22" s="1"/>
  <c r="AS121" i="22"/>
  <c r="CQ53" i="22"/>
  <c r="B121" i="22"/>
  <c r="BA53" i="22"/>
  <c r="AZ53" i="22"/>
  <c r="AY55" i="22" l="1"/>
  <c r="AW55" i="22"/>
  <c r="CP55" i="22" s="1"/>
  <c r="AX56" i="22"/>
  <c r="B122" i="22"/>
  <c r="BA54" i="22"/>
  <c r="AZ54" i="22"/>
  <c r="AS122" i="22"/>
  <c r="CQ54" i="22"/>
  <c r="AY56" i="22" l="1"/>
  <c r="AW56" i="22"/>
  <c r="CP56" i="22" s="1"/>
  <c r="AX57" i="22"/>
  <c r="CQ55" i="22"/>
  <c r="AS123" i="22"/>
  <c r="B123" i="22"/>
  <c r="AZ55" i="22"/>
  <c r="BA55" i="22"/>
  <c r="AW57" i="22" l="1"/>
  <c r="CP57" i="22" s="1"/>
  <c r="AY57" i="22"/>
  <c r="AX58" i="22"/>
  <c r="AS124" i="22"/>
  <c r="CQ56" i="22"/>
  <c r="B124" i="22"/>
  <c r="AZ56" i="22"/>
  <c r="BA56" i="22"/>
  <c r="AX59" i="22" l="1"/>
  <c r="AY58" i="22"/>
  <c r="AW58" i="22"/>
  <c r="CP58" i="22" s="1"/>
  <c r="AS125" i="22"/>
  <c r="CQ57" i="22"/>
  <c r="B125" i="22"/>
  <c r="BA57" i="22"/>
  <c r="AZ57" i="22"/>
  <c r="AS126" i="22" l="1"/>
  <c r="CQ58" i="22"/>
  <c r="B126" i="22"/>
  <c r="AZ58" i="22"/>
  <c r="BA58" i="22"/>
  <c r="AW59" i="22"/>
  <c r="CP59" i="22" s="1"/>
  <c r="AX60" i="22"/>
  <c r="AY59" i="22"/>
  <c r="B127" i="22" l="1"/>
  <c r="AZ59" i="22"/>
  <c r="BA59" i="22"/>
  <c r="AY60" i="22"/>
  <c r="AX61" i="22"/>
  <c r="AW60" i="22"/>
  <c r="CP60" i="22" s="1"/>
  <c r="AS127" i="22"/>
  <c r="CQ59" i="22"/>
  <c r="AY61" i="22" l="1"/>
  <c r="AX62" i="22"/>
  <c r="AW61" i="22"/>
  <c r="CP61" i="22" s="1"/>
  <c r="CQ60" i="22"/>
  <c r="AS128" i="22"/>
  <c r="BA60" i="22"/>
  <c r="B128" i="22"/>
  <c r="AZ60" i="22"/>
  <c r="AY62" i="22" l="1"/>
  <c r="AX63" i="22"/>
  <c r="AW62" i="22"/>
  <c r="CP62" i="22" s="1"/>
  <c r="B129" i="22"/>
  <c r="AZ61" i="22"/>
  <c r="BA61" i="22"/>
  <c r="AS129" i="22"/>
  <c r="CQ61" i="22"/>
  <c r="AW63" i="22" l="1"/>
  <c r="CP63" i="22" s="1"/>
  <c r="AX64" i="22"/>
  <c r="AY63" i="22"/>
  <c r="BA62" i="22"/>
  <c r="AZ62" i="22"/>
  <c r="B130" i="22"/>
  <c r="AS130" i="22"/>
  <c r="CQ62" i="22"/>
  <c r="B131" i="22" l="1"/>
  <c r="BA63" i="22"/>
  <c r="AZ63" i="22"/>
  <c r="AY64" i="22"/>
  <c r="AW64" i="22"/>
  <c r="CP64" i="22" s="1"/>
  <c r="AX65" i="22"/>
  <c r="AS131" i="22"/>
  <c r="CQ63" i="22"/>
  <c r="AX66" i="22" l="1"/>
  <c r="AY65" i="22"/>
  <c r="AW65" i="22"/>
  <c r="CP65" i="22" s="1"/>
  <c r="AS132" i="22"/>
  <c r="CQ64" i="22"/>
  <c r="BA64" i="22"/>
  <c r="B132" i="22"/>
  <c r="AZ64" i="22"/>
  <c r="AS133" i="22" l="1"/>
  <c r="CQ65" i="22"/>
  <c r="B133" i="22"/>
  <c r="AZ65" i="22"/>
  <c r="BA65" i="22"/>
  <c r="AY66" i="22"/>
  <c r="AW66" i="22"/>
  <c r="CP66" i="22" s="1"/>
  <c r="AX67" i="22"/>
  <c r="B134" i="22" l="1"/>
  <c r="AZ66" i="22"/>
  <c r="BA66" i="22"/>
  <c r="AW67" i="22"/>
  <c r="CP67" i="22" s="1"/>
  <c r="AY67" i="22"/>
  <c r="AX68" i="22"/>
  <c r="AS134" i="22"/>
  <c r="CQ66" i="22"/>
  <c r="AW68" i="22" l="1"/>
  <c r="CP68" i="22" s="1"/>
  <c r="AX69" i="22"/>
  <c r="AY68" i="22"/>
  <c r="AZ67" i="22"/>
  <c r="BA67" i="22"/>
  <c r="B135" i="22"/>
  <c r="CQ67" i="22"/>
  <c r="AS135" i="22"/>
  <c r="B136" i="22" l="1"/>
  <c r="BA68" i="22"/>
  <c r="AZ68" i="22"/>
  <c r="AY69" i="22"/>
  <c r="AW69" i="22"/>
  <c r="CP69" i="22" s="1"/>
  <c r="AX70" i="22"/>
  <c r="AS136" i="22"/>
  <c r="CQ68" i="22"/>
  <c r="B137" i="22" l="1"/>
  <c r="BA69" i="22"/>
  <c r="AZ69" i="22"/>
  <c r="AX71" i="22"/>
  <c r="AW70" i="22"/>
  <c r="CP70" i="22" s="1"/>
  <c r="AY70" i="22"/>
  <c r="CQ69" i="22"/>
  <c r="AS137" i="22"/>
  <c r="AX72" i="22" l="1"/>
  <c r="AW71" i="22"/>
  <c r="CP71" i="22" s="1"/>
  <c r="AY71" i="22"/>
  <c r="BA70" i="22"/>
  <c r="B138" i="22"/>
  <c r="AZ70" i="22"/>
  <c r="AS138" i="22"/>
  <c r="CQ70" i="22"/>
  <c r="B139" i="22" l="1"/>
  <c r="BA71" i="22"/>
  <c r="AZ71" i="22"/>
  <c r="AS139" i="22"/>
  <c r="CQ71" i="22"/>
  <c r="AX73" i="22"/>
  <c r="AY72" i="22"/>
  <c r="AW72" i="22"/>
  <c r="CP72" i="22" s="1"/>
  <c r="AS140" i="22" l="1"/>
  <c r="CQ72" i="22"/>
  <c r="B140" i="22"/>
  <c r="AZ72" i="22"/>
  <c r="BA72" i="22"/>
  <c r="AX74" i="22"/>
  <c r="AY73" i="22"/>
  <c r="AW73" i="22"/>
  <c r="CP73" i="22" s="1"/>
  <c r="B141" i="22" l="1"/>
  <c r="BA73" i="22"/>
  <c r="AZ73" i="22"/>
  <c r="AS141" i="22"/>
  <c r="CQ73" i="22"/>
  <c r="AY74" i="22"/>
  <c r="AW74" i="22"/>
  <c r="CP74" i="22" s="1"/>
  <c r="AX75" i="22"/>
  <c r="AS142" i="22" l="1"/>
  <c r="CQ74" i="22"/>
  <c r="BA74" i="22"/>
  <c r="B142" i="22"/>
  <c r="AZ74" i="22"/>
  <c r="AX76" i="22"/>
  <c r="AY75" i="22"/>
  <c r="AW75" i="22"/>
  <c r="CP75" i="22" s="1"/>
  <c r="AS143" i="22" l="1"/>
  <c r="CQ75" i="22"/>
  <c r="B143" i="22"/>
  <c r="BA75" i="22"/>
  <c r="AZ75" i="22"/>
  <c r="AX77" i="22"/>
  <c r="AW76" i="22"/>
  <c r="CP76" i="22" s="1"/>
  <c r="AY76" i="22"/>
  <c r="CQ76" i="22" l="1"/>
  <c r="AS144" i="22"/>
  <c r="AW77" i="22"/>
  <c r="CP77" i="22" s="1"/>
  <c r="AX78" i="22"/>
  <c r="AY77" i="22"/>
  <c r="BA76" i="22"/>
  <c r="B144" i="22"/>
  <c r="AZ76" i="22"/>
  <c r="B145" i="22" l="1"/>
  <c r="BA77" i="22"/>
  <c r="AZ77" i="22"/>
  <c r="CQ77" i="22"/>
  <c r="AS145" i="22"/>
  <c r="AY78" i="22"/>
  <c r="AW78" i="22"/>
  <c r="CP78" i="22" s="1"/>
  <c r="AX79" i="22"/>
  <c r="AS146" i="22" l="1"/>
  <c r="CQ78" i="22"/>
  <c r="AW79" i="22"/>
  <c r="CP79" i="22" s="1"/>
  <c r="AX80" i="22"/>
  <c r="AY79" i="22"/>
  <c r="AZ78" i="22"/>
  <c r="B146" i="22"/>
  <c r="BA78" i="22"/>
  <c r="BA79" i="22" l="1"/>
  <c r="B147" i="22"/>
  <c r="AZ79" i="22"/>
  <c r="AY80" i="22"/>
  <c r="AX81" i="22"/>
  <c r="AW80" i="22"/>
  <c r="CP80" i="22" s="1"/>
  <c r="AS147" i="22"/>
  <c r="CQ79" i="22"/>
  <c r="AW81" i="22" l="1"/>
  <c r="CP81" i="22" s="1"/>
  <c r="AY81" i="22"/>
  <c r="AX82" i="22"/>
  <c r="AS148" i="22"/>
  <c r="CQ80" i="22"/>
  <c r="BA80" i="22"/>
  <c r="B148" i="22"/>
  <c r="AZ80" i="22"/>
  <c r="AS149" i="22" l="1"/>
  <c r="CQ81" i="22"/>
  <c r="AY82" i="22"/>
  <c r="AX83" i="22"/>
  <c r="AW82" i="22"/>
  <c r="CP82" i="22" s="1"/>
  <c r="BA81" i="22"/>
  <c r="AZ81" i="22"/>
  <c r="B149" i="22"/>
  <c r="AX84" i="22" l="1"/>
  <c r="AY83" i="22"/>
  <c r="AW83" i="22"/>
  <c r="CP83" i="22" s="1"/>
  <c r="AZ82" i="22"/>
  <c r="B150" i="22"/>
  <c r="BA82" i="22"/>
  <c r="CQ82" i="22"/>
  <c r="AS150" i="22"/>
  <c r="BA83" i="22" l="1"/>
  <c r="B151" i="22"/>
  <c r="AZ83" i="22"/>
  <c r="AY84" i="22"/>
  <c r="AX85" i="22"/>
  <c r="AW84" i="22"/>
  <c r="CP84" i="22" s="1"/>
  <c r="AS151" i="22"/>
  <c r="CQ83" i="22"/>
  <c r="AX86" i="22" l="1"/>
  <c r="AY85" i="22"/>
  <c r="AW85" i="22"/>
  <c r="CP85" i="22" s="1"/>
  <c r="BA84" i="22"/>
  <c r="B152" i="22"/>
  <c r="AZ84" i="22"/>
  <c r="AS152" i="22"/>
  <c r="CQ84" i="22"/>
  <c r="AS153" i="22" l="1"/>
  <c r="CQ85" i="22"/>
  <c r="BA85" i="22"/>
  <c r="B153" i="22"/>
  <c r="AZ85" i="22"/>
  <c r="AY86" i="22"/>
  <c r="AX87" i="22"/>
  <c r="AW86" i="22"/>
  <c r="CP86" i="22" s="1"/>
  <c r="AS154" i="22" l="1"/>
  <c r="CQ86" i="22"/>
  <c r="AX88" i="22"/>
  <c r="AY87" i="22"/>
  <c r="AW87" i="22"/>
  <c r="CP87" i="22" s="1"/>
  <c r="BA86" i="22"/>
  <c r="B154" i="22"/>
  <c r="AZ86" i="22"/>
  <c r="AS155" i="22" l="1"/>
  <c r="CQ87" i="22"/>
  <c r="BA87" i="22"/>
  <c r="B155" i="22"/>
  <c r="AZ87" i="22"/>
  <c r="AY88" i="22"/>
  <c r="AW88" i="22"/>
  <c r="CP88" i="22" s="1"/>
  <c r="AX89" i="22"/>
  <c r="AY89" i="22" l="1"/>
  <c r="AW89" i="22"/>
  <c r="CP89" i="22" s="1"/>
  <c r="AX90" i="22"/>
  <c r="BA88" i="22"/>
  <c r="AZ88" i="22"/>
  <c r="B156" i="22"/>
  <c r="CQ88" i="22"/>
  <c r="AS156" i="22"/>
  <c r="AY90" i="22" l="1"/>
  <c r="AX91" i="22"/>
  <c r="AW90" i="22"/>
  <c r="CP90" i="22" s="1"/>
  <c r="CQ89" i="22"/>
  <c r="AS157" i="22"/>
  <c r="AZ89" i="22"/>
  <c r="B157" i="22"/>
  <c r="BA89" i="22"/>
  <c r="AS158" i="22" l="1"/>
  <c r="CQ90" i="22"/>
  <c r="AX92" i="22"/>
  <c r="AW91" i="22"/>
  <c r="CP91" i="22" s="1"/>
  <c r="AY91" i="22"/>
  <c r="AZ90" i="22"/>
  <c r="B158" i="22"/>
  <c r="BA90" i="22"/>
  <c r="AZ91" i="22" l="1"/>
  <c r="B159" i="22"/>
  <c r="BA91" i="22"/>
  <c r="AS159" i="22"/>
  <c r="CQ91" i="22"/>
  <c r="AY92" i="22"/>
  <c r="AX93" i="22"/>
  <c r="AW92" i="22"/>
  <c r="CP92" i="22" s="1"/>
  <c r="AS160" i="22" l="1"/>
  <c r="CQ92" i="22"/>
  <c r="AY93" i="22"/>
  <c r="AX94" i="22"/>
  <c r="AW93" i="22"/>
  <c r="CP93" i="22" s="1"/>
  <c r="BA92" i="22"/>
  <c r="AZ92" i="22"/>
  <c r="B160" i="22"/>
  <c r="CQ93" i="22" l="1"/>
  <c r="AS161" i="22"/>
  <c r="AX95" i="22"/>
  <c r="AY94" i="22"/>
  <c r="AW94" i="22"/>
  <c r="CP94" i="22" s="1"/>
  <c r="BA93" i="22"/>
  <c r="AZ93" i="22"/>
  <c r="B161" i="22"/>
  <c r="AS162" i="22" l="1"/>
  <c r="CQ94" i="22"/>
  <c r="AX96" i="22"/>
  <c r="AY95" i="22"/>
  <c r="AW95" i="22"/>
  <c r="CP95" i="22" s="1"/>
  <c r="AZ94" i="22"/>
  <c r="B162" i="22"/>
  <c r="BA94" i="22"/>
  <c r="AS163" i="22" l="1"/>
  <c r="CQ95" i="22"/>
  <c r="AX97" i="22"/>
  <c r="AW96" i="22"/>
  <c r="CP96" i="22" s="1"/>
  <c r="AY96" i="22"/>
  <c r="BA95" i="22"/>
  <c r="B163" i="22"/>
  <c r="AZ95" i="22"/>
  <c r="BA96" i="22" l="1"/>
  <c r="B164" i="22"/>
  <c r="AZ96" i="22"/>
  <c r="AS164" i="22"/>
  <c r="CQ96" i="22"/>
  <c r="AY97" i="22"/>
  <c r="AW97" i="22"/>
  <c r="CP97" i="22" s="1"/>
  <c r="AX98" i="22"/>
  <c r="AY98" i="22" l="1"/>
  <c r="AW98" i="22"/>
  <c r="CP98" i="22" s="1"/>
  <c r="AX99" i="22"/>
  <c r="AZ97" i="22"/>
  <c r="BA97" i="22"/>
  <c r="B165" i="22"/>
  <c r="AS165" i="22"/>
  <c r="CQ97" i="22"/>
  <c r="BA98" i="22" l="1"/>
  <c r="B166" i="22"/>
  <c r="AZ98" i="22"/>
  <c r="AY99" i="22"/>
  <c r="AX100" i="22"/>
  <c r="AW99" i="22"/>
  <c r="CP99" i="22" s="1"/>
  <c r="AS166" i="22"/>
  <c r="CQ98" i="22"/>
  <c r="AY100" i="22" l="1"/>
  <c r="AX101" i="22"/>
  <c r="AW100" i="22"/>
  <c r="CP100" i="22" s="1"/>
  <c r="BA99" i="22"/>
  <c r="AZ99" i="22"/>
  <c r="B167" i="22"/>
  <c r="AS167" i="22"/>
  <c r="CQ99" i="22"/>
  <c r="AS168" i="22" l="1"/>
  <c r="CQ100" i="22"/>
  <c r="AX102" i="22"/>
  <c r="AW101" i="22"/>
  <c r="CP101" i="22" s="1"/>
  <c r="AY101" i="22"/>
  <c r="AZ100" i="22"/>
  <c r="B168" i="22"/>
  <c r="BA100" i="22"/>
  <c r="AX103" i="22" l="1"/>
  <c r="AW102" i="22"/>
  <c r="CP102" i="22" s="1"/>
  <c r="AY102" i="22"/>
  <c r="CQ101" i="22"/>
  <c r="AS169" i="22"/>
  <c r="BA101" i="22"/>
  <c r="AZ101" i="22"/>
  <c r="B169" i="22"/>
  <c r="BA102" i="22" l="1"/>
  <c r="B170" i="22"/>
  <c r="AZ102" i="22"/>
  <c r="AS170" i="22"/>
  <c r="CQ102" i="22"/>
  <c r="AX104" i="22"/>
  <c r="AY103" i="22"/>
  <c r="AW103" i="22"/>
  <c r="CP103" i="22" s="1"/>
  <c r="AZ103" i="22" l="1"/>
  <c r="B171" i="22"/>
  <c r="BA103" i="22"/>
  <c r="AX105" i="22"/>
  <c r="AW104" i="22"/>
  <c r="CP104" i="22" s="1"/>
  <c r="AY104" i="22"/>
  <c r="AS171" i="22"/>
  <c r="CQ103" i="22"/>
  <c r="AW105" i="22" l="1"/>
  <c r="CP105" i="22" s="1"/>
  <c r="AY105" i="22"/>
  <c r="AX106" i="22"/>
  <c r="AS172" i="22"/>
  <c r="CQ104" i="22"/>
  <c r="AZ104" i="22"/>
  <c r="B172" i="22"/>
  <c r="BA104" i="22"/>
  <c r="AX107" i="22" l="1"/>
  <c r="AW106" i="22"/>
  <c r="CP106" i="22" s="1"/>
  <c r="AY106" i="22"/>
  <c r="BA105" i="22"/>
  <c r="B173" i="22"/>
  <c r="AZ105" i="22"/>
  <c r="AS173" i="22"/>
  <c r="CQ105" i="22"/>
  <c r="BA106" i="22" l="1"/>
  <c r="B174" i="22"/>
  <c r="AZ106" i="22"/>
  <c r="AS174" i="22"/>
  <c r="CQ106" i="22"/>
  <c r="AX108" i="22"/>
  <c r="AW107" i="22"/>
  <c r="CP107" i="22" s="1"/>
  <c r="AY107" i="22"/>
  <c r="AS175" i="22" l="1"/>
  <c r="CQ107" i="22"/>
  <c r="AX109" i="22"/>
  <c r="AW108" i="22"/>
  <c r="CP108" i="22" s="1"/>
  <c r="AY108" i="22"/>
  <c r="AZ107" i="22"/>
  <c r="BA107" i="22"/>
  <c r="B175" i="22"/>
  <c r="AS176" i="22" l="1"/>
  <c r="CQ108" i="22"/>
  <c r="AW109" i="22"/>
  <c r="CP109" i="22" s="1"/>
  <c r="AX110" i="22"/>
  <c r="AY109" i="22"/>
  <c r="AZ108" i="22"/>
  <c r="B176" i="22"/>
  <c r="BA108" i="22"/>
  <c r="BA109" i="22" l="1"/>
  <c r="B177" i="22"/>
  <c r="AZ109" i="22"/>
  <c r="AX111" i="22"/>
  <c r="AY110" i="22"/>
  <c r="AW110" i="22"/>
  <c r="CP110" i="22" s="1"/>
  <c r="AS177" i="22"/>
  <c r="CQ109" i="22"/>
  <c r="AS178" i="22" l="1"/>
  <c r="CQ110" i="22"/>
  <c r="BA110" i="22"/>
  <c r="B178" i="22"/>
  <c r="AZ110" i="22"/>
  <c r="AW111" i="22"/>
  <c r="CP111" i="22" s="1"/>
  <c r="AX112" i="22"/>
  <c r="AY111" i="22"/>
  <c r="AZ111" i="22" l="1"/>
  <c r="B179" i="22"/>
  <c r="BA111" i="22"/>
  <c r="AY112" i="22"/>
  <c r="AW112" i="22"/>
  <c r="CP112" i="22" s="1"/>
  <c r="AX113" i="22"/>
  <c r="CQ111" i="22"/>
  <c r="AS179" i="22"/>
  <c r="AY113" i="22" l="1"/>
  <c r="AW113" i="22"/>
  <c r="CP113" i="22" s="1"/>
  <c r="AX114" i="22"/>
  <c r="BA112" i="22"/>
  <c r="AZ112" i="22"/>
  <c r="B180" i="22"/>
  <c r="AS180" i="22"/>
  <c r="CQ112" i="22"/>
  <c r="AX115" i="22" l="1"/>
  <c r="AW114" i="22"/>
  <c r="CP114" i="22" s="1"/>
  <c r="AY114" i="22"/>
  <c r="AS181" i="22"/>
  <c r="CQ113" i="22"/>
  <c r="BA113" i="22"/>
  <c r="AZ113" i="22"/>
  <c r="B181" i="22"/>
  <c r="BA114" i="22" l="1"/>
  <c r="B182" i="22"/>
  <c r="AZ114" i="22"/>
  <c r="AS182" i="22"/>
  <c r="CQ114" i="22"/>
  <c r="AW115" i="22"/>
  <c r="CP115" i="22" s="1"/>
  <c r="AY115" i="22"/>
  <c r="AX116" i="22"/>
  <c r="BA115" i="22" l="1"/>
  <c r="B183" i="22"/>
  <c r="AZ115" i="22"/>
  <c r="CQ115" i="22"/>
  <c r="AS183" i="22"/>
  <c r="AY116" i="22"/>
  <c r="AW116" i="22"/>
  <c r="CP116" i="22" s="1"/>
  <c r="AX117" i="22"/>
  <c r="AS184" i="22" l="1"/>
  <c r="CQ116" i="22"/>
  <c r="AW117" i="22"/>
  <c r="CP117" i="22" s="1"/>
  <c r="AY117" i="22"/>
  <c r="AX118" i="22"/>
  <c r="BA116" i="22"/>
  <c r="AZ116" i="22"/>
  <c r="B184" i="22"/>
  <c r="AX119" i="22" l="1"/>
  <c r="AY118" i="22"/>
  <c r="AW118" i="22"/>
  <c r="CP118" i="22" s="1"/>
  <c r="CQ117" i="22"/>
  <c r="AS185" i="22"/>
  <c r="BA117" i="22"/>
  <c r="AZ117" i="22"/>
  <c r="B185" i="22"/>
  <c r="AS186" i="22" l="1"/>
  <c r="CQ118" i="22"/>
  <c r="BA118" i="22"/>
  <c r="AZ118" i="22"/>
  <c r="B186" i="22"/>
  <c r="AX120" i="22"/>
  <c r="AW119" i="22"/>
  <c r="CP119" i="22" s="1"/>
  <c r="AY119" i="22"/>
  <c r="AZ119" i="22" l="1"/>
  <c r="B187" i="22"/>
  <c r="BA119" i="22"/>
  <c r="AS187" i="22"/>
  <c r="CQ119" i="22"/>
  <c r="AW120" i="22"/>
  <c r="CP120" i="22" s="1"/>
  <c r="AY120" i="22"/>
  <c r="AX121" i="22"/>
  <c r="AW121" i="22" l="1"/>
  <c r="CP121" i="22" s="1"/>
  <c r="AX122" i="22"/>
  <c r="AY121" i="22"/>
  <c r="BA120" i="22"/>
  <c r="B188" i="22"/>
  <c r="AZ120" i="22"/>
  <c r="AS188" i="22"/>
  <c r="CQ120" i="22"/>
  <c r="BA121" i="22" l="1"/>
  <c r="B189" i="22"/>
  <c r="AZ121" i="22"/>
  <c r="AX123" i="22"/>
  <c r="AY122" i="22"/>
  <c r="AW122" i="22"/>
  <c r="CP122" i="22" s="1"/>
  <c r="AS189" i="22"/>
  <c r="CQ121" i="22"/>
  <c r="CQ122" i="22" l="1"/>
  <c r="AS190" i="22"/>
  <c r="BA122" i="22"/>
  <c r="B190" i="22"/>
  <c r="AZ122" i="22"/>
  <c r="AW123" i="22"/>
  <c r="CP123" i="22" s="1"/>
  <c r="AY123" i="22"/>
  <c r="AX124" i="22"/>
  <c r="CQ123" i="22" l="1"/>
  <c r="AS191" i="22"/>
  <c r="AW124" i="22"/>
  <c r="CP124" i="22" s="1"/>
  <c r="AY124" i="22"/>
  <c r="AX125" i="22"/>
  <c r="AZ123" i="22"/>
  <c r="B191" i="22"/>
  <c r="BA123" i="22"/>
  <c r="AW125" i="22" l="1"/>
  <c r="CP125" i="22" s="1"/>
  <c r="AY125" i="22"/>
  <c r="AX126" i="22"/>
  <c r="AS192" i="22"/>
  <c r="CQ124" i="22"/>
  <c r="AZ124" i="22"/>
  <c r="B192" i="22"/>
  <c r="BA124" i="22"/>
  <c r="AX127" i="22" l="1"/>
  <c r="AW126" i="22"/>
  <c r="CP126" i="22" s="1"/>
  <c r="AY126" i="22"/>
  <c r="AZ125" i="22"/>
  <c r="B193" i="22"/>
  <c r="BA125" i="22"/>
  <c r="AS193" i="22"/>
  <c r="CQ125" i="22"/>
  <c r="AS194" i="22" l="1"/>
  <c r="CQ126" i="22"/>
  <c r="AW127" i="22"/>
  <c r="CP127" i="22" s="1"/>
  <c r="AX128" i="22"/>
  <c r="AY127" i="22"/>
  <c r="AZ126" i="22"/>
  <c r="B194" i="22"/>
  <c r="BA126" i="22"/>
  <c r="AZ127" i="22" l="1"/>
  <c r="BA127" i="22"/>
  <c r="B195" i="22"/>
  <c r="AW128" i="22"/>
  <c r="CP128" i="22" s="1"/>
  <c r="AX129" i="22"/>
  <c r="AY128" i="22"/>
  <c r="AS195" i="22"/>
  <c r="CQ127" i="22"/>
  <c r="AZ128" i="22" l="1"/>
  <c r="B196" i="22"/>
  <c r="BA128" i="22"/>
  <c r="AS196" i="22"/>
  <c r="CQ128" i="22"/>
  <c r="AW129" i="22"/>
  <c r="CP129" i="22" s="1"/>
  <c r="AY129" i="22"/>
  <c r="AX130" i="22"/>
  <c r="AW130" i="22" l="1"/>
  <c r="CP130" i="22" s="1"/>
  <c r="AY130" i="22"/>
  <c r="AX131" i="22"/>
  <c r="AZ129" i="22"/>
  <c r="B197" i="22"/>
  <c r="BA129" i="22"/>
  <c r="AS197" i="22"/>
  <c r="CQ129" i="22"/>
  <c r="AX132" i="22" l="1"/>
  <c r="AY131" i="22"/>
  <c r="AW131" i="22"/>
  <c r="CP131" i="22" s="1"/>
  <c r="AZ130" i="22"/>
  <c r="BA130" i="22"/>
  <c r="B198" i="22"/>
  <c r="CQ130" i="22"/>
  <c r="AS198" i="22"/>
  <c r="CQ131" i="22" l="1"/>
  <c r="AS199" i="22"/>
  <c r="BA131" i="22"/>
  <c r="AZ131" i="22"/>
  <c r="B199" i="22"/>
  <c r="AY132" i="22"/>
  <c r="AX133" i="22"/>
  <c r="AW132" i="22"/>
  <c r="CP132" i="22" s="1"/>
  <c r="AX134" i="22" l="1"/>
  <c r="AW133" i="22"/>
  <c r="CP133" i="22" s="1"/>
  <c r="AY133" i="22"/>
  <c r="CQ132" i="22"/>
  <c r="AS200" i="22"/>
  <c r="BA132" i="22"/>
  <c r="B200" i="22"/>
  <c r="AZ132" i="22"/>
  <c r="AZ133" i="22" l="1"/>
  <c r="B201" i="22"/>
  <c r="BA133" i="22"/>
  <c r="CQ133" i="22"/>
  <c r="AS201" i="22"/>
  <c r="AY134" i="22"/>
  <c r="AX135" i="22"/>
  <c r="AW134" i="22"/>
  <c r="CP134" i="22" s="1"/>
  <c r="AS202" i="22" l="1"/>
  <c r="CQ134" i="22"/>
  <c r="AW135" i="22"/>
  <c r="CP135" i="22" s="1"/>
  <c r="AY135" i="22"/>
  <c r="AX136" i="22"/>
  <c r="BA134" i="22"/>
  <c r="B202" i="22"/>
  <c r="AZ134" i="22"/>
  <c r="CQ135" i="22" l="1"/>
  <c r="AS203" i="22"/>
  <c r="AX137" i="22"/>
  <c r="AY136" i="22"/>
  <c r="AW136" i="22"/>
  <c r="CP136" i="22" s="1"/>
  <c r="BA135" i="22"/>
  <c r="AZ135" i="22"/>
  <c r="B203" i="22"/>
  <c r="AZ136" i="22" l="1"/>
  <c r="B204" i="22"/>
  <c r="BA136" i="22"/>
  <c r="AY137" i="22"/>
  <c r="AW137" i="22"/>
  <c r="CP137" i="22" s="1"/>
  <c r="AX138" i="22"/>
  <c r="CQ136" i="22"/>
  <c r="AS204" i="22"/>
  <c r="AZ137" i="22" l="1"/>
  <c r="BA137" i="22"/>
  <c r="B205" i="22"/>
  <c r="AY138" i="22"/>
  <c r="AX139" i="22"/>
  <c r="AW138" i="22"/>
  <c r="CP138" i="22" s="1"/>
  <c r="AS205" i="22"/>
  <c r="CQ137" i="22"/>
  <c r="B206" i="22" l="1"/>
  <c r="AZ138" i="22"/>
  <c r="BA138" i="22"/>
  <c r="CQ138" i="22"/>
  <c r="AS206" i="22"/>
  <c r="AY139" i="22"/>
  <c r="AX140" i="22"/>
  <c r="AW139" i="22"/>
  <c r="CP139" i="22" s="1"/>
  <c r="AX141" i="22" l="1"/>
  <c r="AY140" i="22"/>
  <c r="AW140" i="22"/>
  <c r="CP140" i="22" s="1"/>
  <c r="AS207" i="22"/>
  <c r="CQ139" i="22"/>
  <c r="B207" i="22"/>
  <c r="AZ139" i="22"/>
  <c r="BA139" i="22"/>
  <c r="CQ140" i="22" l="1"/>
  <c r="AS208" i="22"/>
  <c r="B208" i="22"/>
  <c r="AZ140" i="22"/>
  <c r="BA140" i="22"/>
  <c r="AW141" i="22"/>
  <c r="CP141" i="22" s="1"/>
  <c r="AX142" i="22"/>
  <c r="AY141" i="22"/>
  <c r="B209" i="22" l="1"/>
  <c r="AZ141" i="22"/>
  <c r="BA141" i="22"/>
  <c r="AY142" i="22"/>
  <c r="AW142" i="22"/>
  <c r="CP142" i="22" s="1"/>
  <c r="AX143" i="22"/>
  <c r="AS209" i="22"/>
  <c r="CQ141" i="22"/>
  <c r="AY143" i="22" l="1"/>
  <c r="AW143" i="22"/>
  <c r="CP143" i="22" s="1"/>
  <c r="AX144" i="22"/>
  <c r="AS210" i="22"/>
  <c r="CQ142" i="22"/>
  <c r="B210" i="22"/>
  <c r="BA142" i="22"/>
  <c r="AZ142" i="22"/>
  <c r="AS211" i="22" l="1"/>
  <c r="CQ143" i="22"/>
  <c r="AW144" i="22"/>
  <c r="CP144" i="22" s="1"/>
  <c r="AX145" i="22"/>
  <c r="AY144" i="22"/>
  <c r="B211" i="22"/>
  <c r="BA143" i="22"/>
  <c r="AZ143" i="22"/>
  <c r="B212" i="22" l="1"/>
  <c r="AZ144" i="22"/>
  <c r="BA144" i="22"/>
  <c r="AY145" i="22"/>
  <c r="AW145" i="22"/>
  <c r="CP145" i="22" s="1"/>
  <c r="AX146" i="22"/>
  <c r="CQ144" i="22"/>
  <c r="AS212" i="22"/>
  <c r="AY146" i="22" l="1"/>
  <c r="AX147" i="22"/>
  <c r="AW146" i="22"/>
  <c r="CP146" i="22" s="1"/>
  <c r="AS213" i="22"/>
  <c r="CQ145" i="22"/>
  <c r="BA145" i="22"/>
  <c r="AZ145" i="22"/>
  <c r="B213" i="22"/>
  <c r="AS214" i="22" l="1"/>
  <c r="CQ146" i="22"/>
  <c r="AW147" i="22"/>
  <c r="CP147" i="22" s="1"/>
  <c r="AY147" i="22"/>
  <c r="AX148" i="22"/>
  <c r="BA146" i="22"/>
  <c r="B214" i="22"/>
  <c r="AZ146" i="22"/>
  <c r="BA147" i="22" l="1"/>
  <c r="B215" i="22"/>
  <c r="AZ147" i="22"/>
  <c r="CQ147" i="22"/>
  <c r="AS215" i="22"/>
  <c r="AX149" i="22"/>
  <c r="AY148" i="22"/>
  <c r="AW148" i="22"/>
  <c r="CP148" i="22" s="1"/>
  <c r="BA148" i="22" l="1"/>
  <c r="B216" i="22"/>
  <c r="AZ148" i="22"/>
  <c r="AS216" i="22"/>
  <c r="CQ148" i="22"/>
  <c r="AW149" i="22"/>
  <c r="CP149" i="22" s="1"/>
  <c r="AY149" i="22"/>
  <c r="CQ149" i="22" l="1"/>
  <c r="AS217" i="22"/>
  <c r="C8" i="11" s="1" a="1"/>
  <c r="B217" i="22"/>
  <c r="AB52" i="22" s="1" a="1"/>
  <c r="AB52" i="22" s="1"/>
  <c r="AC52" i="22" s="1"/>
  <c r="AZ149" i="22"/>
  <c r="C70" i="22" s="1"/>
  <c r="BA149" i="22"/>
  <c r="AB30" i="22" a="1"/>
  <c r="AB30" i="22" s="1"/>
  <c r="AC30" i="22" s="1"/>
  <c r="AB38" i="22" a="1"/>
  <c r="AB38" i="22" s="1"/>
  <c r="AC38" i="22" s="1"/>
  <c r="AB18" i="22" a="1"/>
  <c r="AB18" i="22" s="1"/>
  <c r="AC18" i="22" s="1"/>
  <c r="AB62" i="22" a="1"/>
  <c r="AB62" i="22" s="1"/>
  <c r="AC62" i="22" s="1"/>
  <c r="AB63" i="22" l="1" a="1"/>
  <c r="AB63" i="22" s="1"/>
  <c r="AC63" i="22" s="1"/>
  <c r="AB43" i="22" a="1"/>
  <c r="AB43" i="22" s="1"/>
  <c r="AC43" i="22" s="1"/>
  <c r="AB58" i="22" a="1"/>
  <c r="AB58" i="22" s="1"/>
  <c r="AC58" i="22" s="1"/>
  <c r="C8" i="11"/>
  <c r="G7" i="24" s="1" a="1"/>
  <c r="AU6" i="11"/>
  <c r="AZ6" i="11"/>
  <c r="Z7" i="11"/>
  <c r="Z6" i="11" s="1"/>
  <c r="O7" i="11"/>
  <c r="O6" i="11" s="1"/>
  <c r="V7" i="11"/>
  <c r="V6" i="11" s="1"/>
  <c r="BK6" i="11"/>
  <c r="AP6" i="11"/>
  <c r="K7" i="11"/>
  <c r="K6" i="11" s="1"/>
  <c r="AE7" i="11"/>
  <c r="AE6" i="11" s="1"/>
  <c r="W7" i="11"/>
  <c r="W6" i="11" s="1"/>
  <c r="AV6" i="11"/>
  <c r="AA7" i="11"/>
  <c r="AA6" i="11" s="1"/>
  <c r="P7" i="11"/>
  <c r="P6" i="11" s="1"/>
  <c r="X7" i="11"/>
  <c r="X6" i="11" s="1"/>
  <c r="AX6" i="11"/>
  <c r="BD6" i="11"/>
  <c r="L7" i="11"/>
  <c r="L6" i="11" s="1"/>
  <c r="AG7" i="11"/>
  <c r="AG6" i="11" s="1"/>
  <c r="I7" i="11"/>
  <c r="I6" i="11" s="1"/>
  <c r="BN6" i="11"/>
  <c r="AW6" i="11"/>
  <c r="AB7" i="11"/>
  <c r="AB6" i="11" s="1"/>
  <c r="H7" i="11"/>
  <c r="H6" i="11" s="1"/>
  <c r="AS6" i="11"/>
  <c r="AY6" i="11"/>
  <c r="AR6" i="11"/>
  <c r="AC7" i="11"/>
  <c r="AC6" i="11" s="1"/>
  <c r="S7" i="11"/>
  <c r="S6" i="11" s="1"/>
  <c r="E7" i="11"/>
  <c r="E6" i="11" s="1"/>
  <c r="AT6" i="11"/>
  <c r="AO6" i="11"/>
  <c r="BG6" i="11"/>
  <c r="Y7" i="11"/>
  <c r="Y6" i="11" s="1"/>
  <c r="AD7" i="11"/>
  <c r="AD6" i="11" s="1"/>
  <c r="BJ6" i="11"/>
  <c r="BM6" i="11"/>
  <c r="BH6" i="11"/>
  <c r="AJ7" i="11"/>
  <c r="AJ6" i="11" s="1"/>
  <c r="AL7" i="11"/>
  <c r="AL6" i="11" s="1"/>
  <c r="U7" i="11"/>
  <c r="U6" i="11" s="1"/>
  <c r="BA6" i="11"/>
  <c r="BL6" i="11"/>
  <c r="BC6" i="11"/>
  <c r="AH7" i="11"/>
  <c r="AH6" i="11" s="1"/>
  <c r="AF7" i="11"/>
  <c r="AF6" i="11" s="1"/>
  <c r="J7" i="11"/>
  <c r="J6" i="11" s="1"/>
  <c r="AI7" i="11"/>
  <c r="AI6" i="11" s="1"/>
  <c r="BB6" i="11"/>
  <c r="AN6" i="11"/>
  <c r="AM7" i="11"/>
  <c r="AM6" i="11" s="1"/>
  <c r="Q7" i="11"/>
  <c r="Q6" i="11" s="1"/>
  <c r="G7" i="11"/>
  <c r="G6" i="11" s="1"/>
  <c r="BF6" i="11"/>
  <c r="BE6" i="11"/>
  <c r="M7" i="11"/>
  <c r="M6" i="11" s="1"/>
  <c r="R7" i="11"/>
  <c r="R6" i="11" s="1"/>
  <c r="F7" i="11"/>
  <c r="F6" i="11" s="1"/>
  <c r="BI6" i="11"/>
  <c r="BO6" i="11"/>
  <c r="AQ6" i="11"/>
  <c r="C7" i="11"/>
  <c r="N7" i="11"/>
  <c r="N6" i="11" s="1"/>
  <c r="AK7" i="11"/>
  <c r="AK6" i="11" s="1"/>
  <c r="D7" i="11"/>
  <c r="D6" i="11" s="1"/>
  <c r="T7" i="11"/>
  <c r="T6" i="11" s="1"/>
  <c r="AB53" i="22" a="1"/>
  <c r="AB53" i="22" s="1"/>
  <c r="AC53" i="22" s="1"/>
  <c r="AB33" i="22" a="1"/>
  <c r="AB33" i="22" s="1"/>
  <c r="AC33" i="22" s="1"/>
  <c r="AB51" i="22" a="1"/>
  <c r="AB51" i="22" s="1"/>
  <c r="AC51" i="22" s="1"/>
  <c r="AB67" i="22" a="1"/>
  <c r="AB67" i="22" s="1"/>
  <c r="AC67" i="22" s="1"/>
  <c r="AB23" i="22" a="1"/>
  <c r="AB23" i="22" s="1"/>
  <c r="AC23" i="22" s="1"/>
  <c r="AB41" i="22" a="1"/>
  <c r="AB41" i="22" s="1"/>
  <c r="AC41" i="22" s="1"/>
  <c r="D70" i="22"/>
  <c r="J8" i="22"/>
  <c r="M6" i="22"/>
  <c r="AB36" i="22" a="1"/>
  <c r="AB36" i="22" s="1"/>
  <c r="AC36" i="22" s="1"/>
  <c r="AB66" i="22" a="1"/>
  <c r="AB66" i="22" s="1"/>
  <c r="AC66" i="22" s="1"/>
  <c r="AB40" i="22" a="1"/>
  <c r="AB40" i="22" s="1"/>
  <c r="AC40" i="22" s="1"/>
  <c r="AB64" i="22" a="1"/>
  <c r="AB64" i="22" s="1"/>
  <c r="AC64" i="22" s="1"/>
  <c r="AB10" i="22" a="1"/>
  <c r="AB10" i="22" s="1"/>
  <c r="AB49" i="22" a="1"/>
  <c r="AB49" i="22" s="1"/>
  <c r="AC49" i="22" s="1"/>
  <c r="AB47" i="22" a="1"/>
  <c r="AB47" i="22" s="1"/>
  <c r="AC47" i="22" s="1"/>
  <c r="AB21" i="22" a="1"/>
  <c r="AB21" i="22" s="1"/>
  <c r="AC21" i="22" s="1"/>
  <c r="AB15" i="22" a="1"/>
  <c r="AB15" i="22" s="1"/>
  <c r="AC15" i="22" s="1"/>
  <c r="AB16" i="22" a="1"/>
  <c r="AB16" i="22" s="1"/>
  <c r="AC16" i="22" s="1"/>
  <c r="AB34" i="22" a="1"/>
  <c r="AB34" i="22" s="1"/>
  <c r="AC34" i="22" s="1"/>
  <c r="AB31" i="22" a="1"/>
  <c r="AB31" i="22" s="1"/>
  <c r="AC31" i="22" s="1"/>
  <c r="AB65" i="22" a="1"/>
  <c r="AB65" i="22" s="1"/>
  <c r="AC65" i="22" s="1"/>
  <c r="AB44" i="22" a="1"/>
  <c r="AB44" i="22" s="1"/>
  <c r="AC44" i="22" s="1"/>
  <c r="AB45" i="22" a="1"/>
  <c r="AB45" i="22" s="1"/>
  <c r="AC45" i="22" s="1"/>
  <c r="AB25" i="22" a="1"/>
  <c r="AB25" i="22" s="1"/>
  <c r="AC25" i="22" s="1"/>
  <c r="AB20" i="22" a="1"/>
  <c r="AB20" i="22" s="1"/>
  <c r="AC20" i="22" s="1"/>
  <c r="AB48" i="22" a="1"/>
  <c r="AB48" i="22" s="1"/>
  <c r="AC48" i="22" s="1"/>
  <c r="AB28" i="22" a="1"/>
  <c r="AB28" i="22" s="1"/>
  <c r="AC28" i="22" s="1"/>
  <c r="AB37" i="22" a="1"/>
  <c r="AB37" i="22" s="1"/>
  <c r="AC37" i="22" s="1"/>
  <c r="AB61" i="22" a="1"/>
  <c r="AB61" i="22" s="1"/>
  <c r="AC61" i="22" s="1"/>
  <c r="AB22" i="22" a="1"/>
  <c r="AB22" i="22" s="1"/>
  <c r="AC22" i="22" s="1"/>
  <c r="AB24" i="22" a="1"/>
  <c r="AB24" i="22" s="1"/>
  <c r="AC24" i="22" s="1"/>
  <c r="AB13" i="22" a="1"/>
  <c r="AB13" i="22" s="1"/>
  <c r="AC13" i="22" s="1"/>
  <c r="AB57" i="22" a="1"/>
  <c r="AB57" i="22" s="1"/>
  <c r="AC57" i="22" s="1"/>
  <c r="AB11" i="22" a="1"/>
  <c r="AB11" i="22" s="1"/>
  <c r="AC11" i="22" s="1"/>
  <c r="AB39" i="22" a="1"/>
  <c r="AB39" i="22" s="1"/>
  <c r="AC39" i="22" s="1"/>
  <c r="AB12" i="22" a="1"/>
  <c r="AB12" i="22" s="1"/>
  <c r="AC12" i="22" s="1"/>
  <c r="AB29" i="22" a="1"/>
  <c r="AB29" i="22" s="1"/>
  <c r="AC29" i="22" s="1"/>
  <c r="AB50" i="22" a="1"/>
  <c r="AB50" i="22" s="1"/>
  <c r="AC50" i="22" s="1"/>
  <c r="AB27" i="22" a="1"/>
  <c r="AB27" i="22" s="1"/>
  <c r="AC27" i="22" s="1"/>
  <c r="AB68" i="22" a="1"/>
  <c r="AB68" i="22" s="1"/>
  <c r="AC68" i="22" s="1"/>
  <c r="AB60" i="22" a="1"/>
  <c r="AB60" i="22" s="1"/>
  <c r="AC60" i="22" s="1"/>
  <c r="AB19" i="22" a="1"/>
  <c r="AB19" i="22" s="1"/>
  <c r="AC19" i="22" s="1"/>
  <c r="AB59" i="22" a="1"/>
  <c r="AB59" i="22" s="1"/>
  <c r="AC59" i="22" s="1"/>
  <c r="AB26" i="22" a="1"/>
  <c r="AB26" i="22" s="1"/>
  <c r="AC26" i="22" s="1"/>
  <c r="AB42" i="22" a="1"/>
  <c r="AB42" i="22" s="1"/>
  <c r="AC42" i="22" s="1"/>
  <c r="AB46" i="22" a="1"/>
  <c r="AB46" i="22" s="1"/>
  <c r="AC46" i="22" s="1"/>
  <c r="AB35" i="22" a="1"/>
  <c r="AB35" i="22" s="1"/>
  <c r="AC35" i="22" s="1"/>
  <c r="AB17" i="22" a="1"/>
  <c r="AB17" i="22" s="1"/>
  <c r="AC17" i="22" s="1"/>
  <c r="AB54" i="22" a="1"/>
  <c r="AB54" i="22" s="1"/>
  <c r="AC54" i="22" s="1"/>
  <c r="AB14" i="22" a="1"/>
  <c r="AB14" i="22" s="1"/>
  <c r="AC14" i="22" s="1"/>
  <c r="AB56" i="22" a="1"/>
  <c r="AB56" i="22" s="1"/>
  <c r="AC56" i="22" s="1"/>
  <c r="AB32" i="22" a="1"/>
  <c r="AB32" i="22" s="1"/>
  <c r="AC32" i="22" s="1"/>
  <c r="AB55" i="22" a="1"/>
  <c r="AB55" i="22" s="1"/>
  <c r="AC55" i="22" s="1"/>
  <c r="E9" i="24"/>
  <c r="X13" i="22"/>
  <c r="E8" i="24"/>
  <c r="X14" i="22"/>
  <c r="C6" i="11" l="1"/>
  <c r="AM9" i="24" s="1"/>
  <c r="CA9" i="24" s="1"/>
  <c r="DP9" i="24" s="1"/>
  <c r="G7" i="24"/>
  <c r="AU7" i="24" s="1"/>
  <c r="CJ7" i="24" s="1"/>
  <c r="BF7" i="24"/>
  <c r="CU7" i="24" s="1"/>
  <c r="AW7" i="24"/>
  <c r="CL7" i="24" s="1"/>
  <c r="AY7" i="24"/>
  <c r="CN7" i="24" s="1"/>
  <c r="BA7" i="24"/>
  <c r="CP7" i="24" s="1"/>
  <c r="BB7" i="24"/>
  <c r="CQ7" i="24" s="1"/>
  <c r="BD7" i="24"/>
  <c r="CS7" i="24" s="1"/>
  <c r="AV7" i="24"/>
  <c r="CK7" i="24" s="1"/>
  <c r="AX7" i="24"/>
  <c r="CM7" i="24" s="1"/>
  <c r="AZ7" i="24"/>
  <c r="CO7" i="24" s="1"/>
  <c r="BG7" i="24"/>
  <c r="CV7" i="24" s="1"/>
  <c r="BC7" i="24"/>
  <c r="CR7" i="24" s="1"/>
  <c r="BE7" i="24"/>
  <c r="CT7" i="24" s="1"/>
  <c r="J18" i="24"/>
  <c r="AX18" i="24" s="1"/>
  <c r="CM18" i="24" s="1"/>
  <c r="CG18" i="24" s="1"/>
  <c r="M7" i="22"/>
  <c r="M9" i="22" s="1"/>
  <c r="AC10" i="22"/>
  <c r="S6" i="22" s="1"/>
  <c r="K67" i="24"/>
  <c r="K65" i="24" s="1"/>
  <c r="G67" i="24"/>
  <c r="F8" i="24"/>
  <c r="F9" i="24"/>
  <c r="G68" i="24"/>
  <c r="AQ9" i="24" l="1"/>
  <c r="CE9" i="24" s="1"/>
  <c r="DT9" i="24" s="1"/>
  <c r="H9" i="24"/>
  <c r="V8" i="24"/>
  <c r="AP9" i="24"/>
  <c r="CD9" i="24" s="1"/>
  <c r="DS9" i="24" s="1"/>
  <c r="N8" i="24"/>
  <c r="BB8" i="24" s="1"/>
  <c r="CQ8" i="24" s="1"/>
  <c r="Z8" i="24"/>
  <c r="BN8" i="24" s="1"/>
  <c r="DC8" i="24" s="1"/>
  <c r="AF8" i="24"/>
  <c r="BT8" i="24" s="1"/>
  <c r="DI8" i="24" s="1"/>
  <c r="AK9" i="24"/>
  <c r="BY9" i="24" s="1"/>
  <c r="DN9" i="24" s="1"/>
  <c r="AO9" i="24"/>
  <c r="CC9" i="24" s="1"/>
  <c r="DR9" i="24" s="1"/>
  <c r="AB8" i="24"/>
  <c r="BP8" i="24" s="1"/>
  <c r="DE8" i="24" s="1"/>
  <c r="P8" i="24"/>
  <c r="BD8" i="24" s="1"/>
  <c r="CS8" i="24" s="1"/>
  <c r="AD9" i="24"/>
  <c r="BR9" i="24" s="1"/>
  <c r="DG9" i="24" s="1"/>
  <c r="M8" i="24"/>
  <c r="BA8" i="24" s="1"/>
  <c r="CP8" i="24" s="1"/>
  <c r="W9" i="24"/>
  <c r="BK9" i="24" s="1"/>
  <c r="CZ9" i="24" s="1"/>
  <c r="Z9" i="24"/>
  <c r="BN9" i="24" s="1"/>
  <c r="DC9" i="24" s="1"/>
  <c r="AN9" i="24"/>
  <c r="CB9" i="24" s="1"/>
  <c r="DQ9" i="24" s="1"/>
  <c r="AP8" i="24"/>
  <c r="CD8" i="24" s="1"/>
  <c r="DS8" i="24" s="1"/>
  <c r="Q8" i="24"/>
  <c r="BE8" i="24" s="1"/>
  <c r="CT8" i="24" s="1"/>
  <c r="AF9" i="24"/>
  <c r="BT9" i="24" s="1"/>
  <c r="DI9" i="24" s="1"/>
  <c r="AC9" i="24"/>
  <c r="BQ9" i="24" s="1"/>
  <c r="DF9" i="24" s="1"/>
  <c r="H8" i="24"/>
  <c r="AV8" i="24" s="1"/>
  <c r="CK8" i="24" s="1"/>
  <c r="V9" i="24"/>
  <c r="BJ9" i="24" s="1"/>
  <c r="CY9" i="24" s="1"/>
  <c r="J8" i="24"/>
  <c r="AX8" i="24" s="1"/>
  <c r="CM8" i="24" s="1"/>
  <c r="N9" i="24"/>
  <c r="BB9" i="24" s="1"/>
  <c r="CQ9" i="24" s="1"/>
  <c r="P9" i="24"/>
  <c r="BD9" i="24" s="1"/>
  <c r="CS9" i="24" s="1"/>
  <c r="AH8" i="24"/>
  <c r="K8" i="24"/>
  <c r="AY8" i="24" s="1"/>
  <c r="CN8" i="24" s="1"/>
  <c r="AE8" i="24"/>
  <c r="BS8" i="24" s="1"/>
  <c r="DH8" i="24" s="1"/>
  <c r="W8" i="24"/>
  <c r="BK8" i="24" s="1"/>
  <c r="CZ8" i="24" s="1"/>
  <c r="K9" i="24"/>
  <c r="AY9" i="24" s="1"/>
  <c r="CN9" i="24" s="1"/>
  <c r="I9" i="24"/>
  <c r="AW9" i="24" s="1"/>
  <c r="CL9" i="24" s="1"/>
  <c r="X8" i="24"/>
  <c r="BL8" i="24" s="1"/>
  <c r="DA8" i="24" s="1"/>
  <c r="AO8" i="24"/>
  <c r="CC8" i="24" s="1"/>
  <c r="DR8" i="24" s="1"/>
  <c r="DR6" i="24" s="1"/>
  <c r="AM8" i="24"/>
  <c r="CA8" i="24" s="1"/>
  <c r="DP8" i="24" s="1"/>
  <c r="DP6" i="24" s="1"/>
  <c r="T8" i="24"/>
  <c r="BH8" i="24" s="1"/>
  <c r="CW8" i="24" s="1"/>
  <c r="AI8" i="24"/>
  <c r="Q9" i="24"/>
  <c r="BE9" i="24" s="1"/>
  <c r="CT9" i="24" s="1"/>
  <c r="O9" i="24"/>
  <c r="BC9" i="24" s="1"/>
  <c r="CR9" i="24" s="1"/>
  <c r="L9" i="24"/>
  <c r="AZ9" i="24" s="1"/>
  <c r="CO9" i="24" s="1"/>
  <c r="AI9" i="24"/>
  <c r="BW9" i="24" s="1"/>
  <c r="DL9" i="24" s="1"/>
  <c r="AE9" i="24"/>
  <c r="BS9" i="24" s="1"/>
  <c r="DH9" i="24" s="1"/>
  <c r="O8" i="24"/>
  <c r="BC8" i="24" s="1"/>
  <c r="CR8" i="24" s="1"/>
  <c r="AL9" i="24"/>
  <c r="BZ9" i="24" s="1"/>
  <c r="DO9" i="24" s="1"/>
  <c r="Y8" i="24"/>
  <c r="BM8" i="24" s="1"/>
  <c r="DB8" i="24" s="1"/>
  <c r="AJ9" i="24"/>
  <c r="BX9" i="24" s="1"/>
  <c r="DM9" i="24" s="1"/>
  <c r="AA8" i="24"/>
  <c r="BO8" i="24" s="1"/>
  <c r="DD8" i="24" s="1"/>
  <c r="AB9" i="24"/>
  <c r="BP9" i="24" s="1"/>
  <c r="DE9" i="24" s="1"/>
  <c r="AK8" i="24"/>
  <c r="Y9" i="24"/>
  <c r="BM9" i="24" s="1"/>
  <c r="DB9" i="24" s="1"/>
  <c r="AC8" i="24"/>
  <c r="BQ8" i="24" s="1"/>
  <c r="DF8" i="24" s="1"/>
  <c r="M9" i="24"/>
  <c r="BA9" i="24" s="1"/>
  <c r="CP9" i="24" s="1"/>
  <c r="X9" i="24"/>
  <c r="BL9" i="24" s="1"/>
  <c r="DA9" i="24" s="1"/>
  <c r="J9" i="24"/>
  <c r="AX9" i="24" s="1"/>
  <c r="CM9" i="24" s="1"/>
  <c r="T9" i="24"/>
  <c r="BH9" i="24" s="1"/>
  <c r="CW9" i="24" s="1"/>
  <c r="S8" i="24"/>
  <c r="BG8" i="24" s="1"/>
  <c r="CV8" i="24" s="1"/>
  <c r="AH9" i="24"/>
  <c r="BV9" i="24" s="1"/>
  <c r="DK9" i="24" s="1"/>
  <c r="S9" i="24"/>
  <c r="BG9" i="24" s="1"/>
  <c r="CV9" i="24" s="1"/>
  <c r="AJ8" i="24"/>
  <c r="BX8" i="24" s="1"/>
  <c r="DM8" i="24" s="1"/>
  <c r="AQ8" i="24"/>
  <c r="CE8" i="24" s="1"/>
  <c r="DT8" i="24" s="1"/>
  <c r="AD8" i="24"/>
  <c r="BR8" i="24" s="1"/>
  <c r="DG8" i="24" s="1"/>
  <c r="DG6" i="24" s="1"/>
  <c r="AA9" i="24"/>
  <c r="BO9" i="24" s="1"/>
  <c r="DD9" i="24" s="1"/>
  <c r="R9" i="24"/>
  <c r="BF9" i="24" s="1"/>
  <c r="CU9" i="24" s="1"/>
  <c r="AG8" i="24"/>
  <c r="BU8" i="24" s="1"/>
  <c r="DJ8" i="24" s="1"/>
  <c r="L8" i="24"/>
  <c r="AL8" i="24"/>
  <c r="BZ8" i="24" s="1"/>
  <c r="DO8" i="24" s="1"/>
  <c r="AN8" i="24"/>
  <c r="CB8" i="24" s="1"/>
  <c r="DQ8" i="24" s="1"/>
  <c r="I8" i="24"/>
  <c r="I6" i="24" s="1"/>
  <c r="U9" i="24"/>
  <c r="BI9" i="24" s="1"/>
  <c r="CX9" i="24" s="1"/>
  <c r="AG9" i="24"/>
  <c r="BU9" i="24" s="1"/>
  <c r="DJ9" i="24" s="1"/>
  <c r="U8" i="24"/>
  <c r="R8" i="24"/>
  <c r="BF8" i="24" s="1"/>
  <c r="CU8" i="24" s="1"/>
  <c r="G8" i="24"/>
  <c r="G9" i="24"/>
  <c r="AU9" i="24" s="1"/>
  <c r="CJ9" i="24" s="1"/>
  <c r="B67" i="24" a="1"/>
  <c r="B67" i="24" s="1"/>
  <c r="M8" i="22"/>
  <c r="AV9" i="24"/>
  <c r="CK9" i="24" s="1"/>
  <c r="BV8" i="24"/>
  <c r="DK8" i="24" s="1"/>
  <c r="BJ8" i="24"/>
  <c r="CY8" i="24" s="1"/>
  <c r="G65" i="24"/>
  <c r="CP6" i="24" l="1"/>
  <c r="DT6" i="24"/>
  <c r="DQ6" i="24"/>
  <c r="L6" i="24"/>
  <c r="CZ6" i="24"/>
  <c r="DC6" i="24"/>
  <c r="AW8" i="24"/>
  <c r="CL8" i="24" s="1"/>
  <c r="CL6" i="24" s="1"/>
  <c r="P6" i="24"/>
  <c r="DA6" i="24"/>
  <c r="N6" i="24"/>
  <c r="DH6" i="24"/>
  <c r="J6" i="24"/>
  <c r="DI6" i="24"/>
  <c r="Z6" i="24"/>
  <c r="U6" i="24"/>
  <c r="DM6" i="24"/>
  <c r="W6" i="24"/>
  <c r="M6" i="24"/>
  <c r="AE6" i="24"/>
  <c r="H6" i="24"/>
  <c r="K6" i="24"/>
  <c r="DS6" i="24"/>
  <c r="AP6" i="24"/>
  <c r="AZ8" i="24"/>
  <c r="CO8" i="24" s="1"/>
  <c r="CO6" i="24" s="1"/>
  <c r="CY6" i="24"/>
  <c r="AL6" i="24"/>
  <c r="AG6" i="24"/>
  <c r="DO6" i="24"/>
  <c r="AK6" i="24"/>
  <c r="AI6" i="24"/>
  <c r="V6" i="24"/>
  <c r="CW6" i="24"/>
  <c r="AN6" i="24"/>
  <c r="AF6" i="24"/>
  <c r="DF6" i="24"/>
  <c r="AH6" i="24"/>
  <c r="DK6" i="24"/>
  <c r="X6" i="24"/>
  <c r="AA6" i="24"/>
  <c r="S6" i="24"/>
  <c r="AM6" i="24"/>
  <c r="AD6" i="24"/>
  <c r="DB6" i="24"/>
  <c r="Y6" i="24"/>
  <c r="AQ6" i="24"/>
  <c r="CM6" i="24"/>
  <c r="AB6" i="24"/>
  <c r="T6" i="24"/>
  <c r="O6" i="24"/>
  <c r="AC6" i="24"/>
  <c r="BY8" i="24"/>
  <c r="DN8" i="24" s="1"/>
  <c r="DN6" i="24" s="1"/>
  <c r="CU6" i="24"/>
  <c r="Q6" i="24"/>
  <c r="R6" i="24"/>
  <c r="CT6" i="24"/>
  <c r="DE6" i="24"/>
  <c r="AO6" i="24"/>
  <c r="BW8" i="24"/>
  <c r="DL8" i="24" s="1"/>
  <c r="DL6" i="24" s="1"/>
  <c r="DD6" i="24"/>
  <c r="BI8" i="24"/>
  <c r="CX8" i="24" s="1"/>
  <c r="CX6" i="24" s="1"/>
  <c r="DJ6" i="24"/>
  <c r="AJ6" i="24"/>
  <c r="G6" i="24"/>
  <c r="AU8" i="24"/>
  <c r="CJ8" i="24" s="1"/>
  <c r="CR6" i="24"/>
  <c r="CN6" i="24"/>
  <c r="CS6" i="24"/>
  <c r="CK6" i="24"/>
  <c r="CG9" i="24"/>
  <c r="H68" i="24" s="1"/>
  <c r="CQ6" i="24"/>
  <c r="CV6" i="24"/>
  <c r="CG8" i="24" l="1"/>
  <c r="H67" i="24" s="1"/>
  <c r="H65" i="24" s="1"/>
  <c r="C67" i="24" a="1"/>
  <c r="C67" i="24" s="1"/>
  <c r="C65" i="24" s="1"/>
  <c r="CJ6" i="24"/>
  <c r="D67" i="24" s="1" a="1"/>
  <c r="D67" i="24" s="1"/>
  <c r="D65" i="24" s="1"/>
  <c r="CG6" i="24" l="1"/>
  <c r="L67" i="24"/>
  <c r="L65" i="2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<sst xmlns="http://schemas.openxmlformats.org/spreadsheetml/2006/main" count="8716" uniqueCount="282">
  <si>
    <t>MOLINA</t>
  </si>
  <si>
    <t>VALPARAISO</t>
  </si>
  <si>
    <t>SAN ANTONIO</t>
  </si>
  <si>
    <t>CORONEL</t>
  </si>
  <si>
    <t>MOSTAZAL</t>
  </si>
  <si>
    <t>MALLOA</t>
  </si>
  <si>
    <t>CHAMONATE</t>
  </si>
  <si>
    <t>EL CARMELO</t>
  </si>
  <si>
    <t>MACEBE</t>
  </si>
  <si>
    <t>MANUEL GARAY</t>
  </si>
  <si>
    <t>Restricciones</t>
  </si>
  <si>
    <t>Transportista</t>
  </si>
  <si>
    <t>i</t>
  </si>
  <si>
    <t>j</t>
  </si>
  <si>
    <t>k</t>
  </si>
  <si>
    <t>Costos:</t>
  </si>
  <si>
    <t>Destino</t>
  </si>
  <si>
    <t>Variables</t>
  </si>
  <si>
    <t>Función Objetivo</t>
  </si>
  <si>
    <t>TOTAL</t>
  </si>
  <si>
    <t>Libre</t>
  </si>
  <si>
    <t>Origen</t>
  </si>
  <si>
    <t xml:space="preserve">Localidad </t>
  </si>
  <si>
    <t>KM</t>
  </si>
  <si>
    <t>Precio</t>
  </si>
  <si>
    <t>Proveedor</t>
  </si>
  <si>
    <t xml:space="preserve">TIPO DE CAMION </t>
  </si>
  <si>
    <t>$/km</t>
  </si>
  <si>
    <t>Temporada</t>
  </si>
  <si>
    <t>El Descanso</t>
  </si>
  <si>
    <t>Sagrada Familia, VII región</t>
  </si>
  <si>
    <t>Mostazal</t>
  </si>
  <si>
    <t>TRANS. LOPEZ</t>
  </si>
  <si>
    <t>Los Encinos</t>
  </si>
  <si>
    <t>Huechun, RM</t>
  </si>
  <si>
    <t>Malloa</t>
  </si>
  <si>
    <t>Molina</t>
  </si>
  <si>
    <t>Almahue</t>
  </si>
  <si>
    <t>Pichidegua, VI región</t>
  </si>
  <si>
    <t>TH TRANSPORTES</t>
  </si>
  <si>
    <t>Bodega</t>
  </si>
  <si>
    <t>Linares, VII region.</t>
  </si>
  <si>
    <t>Chumpirro</t>
  </si>
  <si>
    <t>Angol, IX región</t>
  </si>
  <si>
    <t>Chimbarongo, VI Region.</t>
  </si>
  <si>
    <t>El Espino</t>
  </si>
  <si>
    <t>Colbún, VII región</t>
  </si>
  <si>
    <t>El Huaico</t>
  </si>
  <si>
    <t>Palmila Ohiggins</t>
  </si>
  <si>
    <t>El Parque</t>
  </si>
  <si>
    <t>San Francisco de Mostazal.VI Region.</t>
  </si>
  <si>
    <t>El Recurso</t>
  </si>
  <si>
    <t>El Retiro</t>
  </si>
  <si>
    <t>Rosario, VI Region.</t>
  </si>
  <si>
    <t>El Retorno</t>
  </si>
  <si>
    <t>El Rosario</t>
  </si>
  <si>
    <t>Entre Rios/Puente Negro/Rio Claro</t>
  </si>
  <si>
    <t>Puente negro, san fernando.VI Region.</t>
  </si>
  <si>
    <t>La Esperanza</t>
  </si>
  <si>
    <t>Peumo, VI región</t>
  </si>
  <si>
    <t>La Lajuela</t>
  </si>
  <si>
    <t>Santa Cruz, VI Región</t>
  </si>
  <si>
    <t>La Morera</t>
  </si>
  <si>
    <t>La compañia, VI Region.</t>
  </si>
  <si>
    <t>Aculeo, RM</t>
  </si>
  <si>
    <t>Las Cabras</t>
  </si>
  <si>
    <t>Las Cabras, VI región</t>
  </si>
  <si>
    <t>Las Vertientes</t>
  </si>
  <si>
    <t>Lihueimo</t>
  </si>
  <si>
    <t>Peralillo ohiggins</t>
  </si>
  <si>
    <t>Cocalán, VI región</t>
  </si>
  <si>
    <t>Los Toldos</t>
  </si>
  <si>
    <t>Panquehue</t>
  </si>
  <si>
    <t>Panquehue, V región</t>
  </si>
  <si>
    <t>San Hernán</t>
  </si>
  <si>
    <t>Graneros, VI región</t>
  </si>
  <si>
    <t>Santa Mónica</t>
  </si>
  <si>
    <t>TRANS. MAX SOTO G. E.I.R.L.</t>
  </si>
  <si>
    <t>DOÑA CLARA SPA.</t>
  </si>
  <si>
    <t>PATRICIO VALENZUELA TRANS. E.I.R.L.</t>
  </si>
  <si>
    <t xml:space="preserve">TRANSPORTES PAULA SPA. </t>
  </si>
  <si>
    <t>TRANS. MITRE SPA.</t>
  </si>
  <si>
    <t>EMP. SIGRIEDS MAHIGERD E.I.R.L</t>
  </si>
  <si>
    <t>C&amp;G LTDA.</t>
  </si>
  <si>
    <t xml:space="preserve">TRANS. NEGRETE </t>
  </si>
  <si>
    <t>TRANS. MARCELO ROMERO LTDA.</t>
  </si>
  <si>
    <t>TRANS. P&amp;P SpA.</t>
  </si>
  <si>
    <t xml:space="preserve">J. ANTONIO SALAS </t>
  </si>
  <si>
    <t xml:space="preserve">GUILLERMO REYES </t>
  </si>
  <si>
    <t>SERV. Y TEC. Sp.A.</t>
  </si>
  <si>
    <t>SOC. DE TRANS. MACEBE LTDA.</t>
  </si>
  <si>
    <t>CABO FRIO LTDA.</t>
  </si>
  <si>
    <t>ALVARO PARRAO</t>
  </si>
  <si>
    <t>TRANS. C y C E HIJOS SPA.</t>
  </si>
  <si>
    <t xml:space="preserve">SERVICIOS SAN FABIAN S.A </t>
  </si>
  <si>
    <t>El Picaso</t>
  </si>
  <si>
    <t>Talhuén</t>
  </si>
  <si>
    <t>La Estación</t>
  </si>
  <si>
    <t>La Rinconada</t>
  </si>
  <si>
    <t xml:space="preserve">LOPEZ </t>
  </si>
  <si>
    <t>TRANS. MORROS LTDA.</t>
  </si>
  <si>
    <t>Campo</t>
  </si>
  <si>
    <t>Aux1</t>
  </si>
  <si>
    <t>N° Camiones</t>
  </si>
  <si>
    <t>Capacidad Camión</t>
  </si>
  <si>
    <t>PLANTA</t>
  </si>
  <si>
    <t>KG. DIA PICK</t>
  </si>
  <si>
    <t>AGROEX</t>
  </si>
  <si>
    <t>CHISA</t>
  </si>
  <si>
    <t>TOTES</t>
  </si>
  <si>
    <t>CAJAS EXP.</t>
  </si>
  <si>
    <t>TOTAL KG</t>
  </si>
  <si>
    <t>KILOS</t>
  </si>
  <si>
    <t>WEEK TOTAL</t>
  </si>
  <si>
    <t>OBSERVACIONES</t>
  </si>
  <si>
    <t>GLOBAL GAP</t>
  </si>
  <si>
    <t>TN11</t>
  </si>
  <si>
    <t>GRASP</t>
  </si>
  <si>
    <t>FSMA</t>
  </si>
  <si>
    <t>PROSPECCIONES</t>
  </si>
  <si>
    <t>MEXICO</t>
  </si>
  <si>
    <t>CARTERA</t>
  </si>
  <si>
    <t>CSG</t>
  </si>
  <si>
    <t>RUT</t>
  </si>
  <si>
    <t>REGION</t>
  </si>
  <si>
    <t>PACKING</t>
  </si>
  <si>
    <t>COMUNA</t>
  </si>
  <si>
    <t>FAMILIA</t>
  </si>
  <si>
    <t>ESPECIE</t>
  </si>
  <si>
    <t>VARIEDAD</t>
  </si>
  <si>
    <t>VAR COMERCIAL</t>
  </si>
  <si>
    <t>COLOR PULPA</t>
  </si>
  <si>
    <t>COLOR PIEL</t>
  </si>
  <si>
    <t>LINEA PROD.</t>
  </si>
  <si>
    <t>CEREZAS</t>
  </si>
  <si>
    <t>SANTINA</t>
  </si>
  <si>
    <t>VI</t>
  </si>
  <si>
    <t>76474099-8</t>
  </si>
  <si>
    <t>Lunes</t>
  </si>
  <si>
    <t>Martes</t>
  </si>
  <si>
    <t>Miércoles</t>
  </si>
  <si>
    <t>Jueves</t>
  </si>
  <si>
    <t>Viernes</t>
  </si>
  <si>
    <t>Sábado</t>
  </si>
  <si>
    <t>Domingo</t>
  </si>
  <si>
    <t>NO</t>
  </si>
  <si>
    <t>ROJA</t>
  </si>
  <si>
    <t>ROJO</t>
  </si>
  <si>
    <t>SI</t>
  </si>
  <si>
    <t>AMARILLA</t>
  </si>
  <si>
    <t>AMARILLO</t>
  </si>
  <si>
    <t>Campo Producción</t>
  </si>
  <si>
    <t>Campo Cotización</t>
  </si>
  <si>
    <t>0.  En los videos Tutoriales se explica como realizar los siguientes pasos, esto es más una "ayuda de memoria" una vez que estén confiados en el uso del archivo</t>
  </si>
  <si>
    <t>1. Actualizar Data de Proveedores en Hoja "Data Pura Costos" copiando y pegando la hoja completa del archivo base</t>
  </si>
  <si>
    <t>3. En Hoja "Data Consolidada" relacionar los nombres de plantas y campos que se llaman distintos en los archivos originales de data</t>
  </si>
  <si>
    <t>Tipo</t>
  </si>
  <si>
    <t>Totes</t>
  </si>
  <si>
    <t>Mini Bins</t>
  </si>
  <si>
    <t>Colocar Datos Reales</t>
  </si>
  <si>
    <t>N/A</t>
  </si>
  <si>
    <t>Considerar</t>
  </si>
  <si>
    <t>4.  Modificar parámetros problema (celdas amarillas) y ajustar dimensiones del problema de solver</t>
  </si>
  <si>
    <t>5. Correr solver</t>
  </si>
  <si>
    <t>5.  Revisar resultados en hoja de Resultados</t>
  </si>
  <si>
    <t>Auxiliar Lista</t>
  </si>
  <si>
    <t>Camiones</t>
  </si>
  <si>
    <t>Proveedores</t>
  </si>
  <si>
    <t>Mínimo</t>
  </si>
  <si>
    <t>Se usa?</t>
  </si>
  <si>
    <t>TRANSPORTISTA</t>
  </si>
  <si>
    <t>DESTINO</t>
  </si>
  <si>
    <t>Total Camiones</t>
  </si>
  <si>
    <t>Faltan Camiones</t>
  </si>
  <si>
    <t>Costo Total</t>
  </si>
  <si>
    <t>Costo Unitario</t>
  </si>
  <si>
    <t>Asignados</t>
  </si>
  <si>
    <t>Requeridos</t>
  </si>
  <si>
    <t>Faltante</t>
  </si>
  <si>
    <t>Asignación Global</t>
  </si>
  <si>
    <t>Asignaciones Proveedores</t>
  </si>
  <si>
    <t>Presupuesto</t>
  </si>
  <si>
    <t>Asignaciones</t>
  </si>
  <si>
    <t>Planta</t>
  </si>
  <si>
    <t>2. Actualizar Data de Producción en Hoja "Data Pura Pura Producción" copiando y pegando la hoja completa del archivo base</t>
  </si>
  <si>
    <t>42</t>
  </si>
  <si>
    <t>43</t>
  </si>
  <si>
    <t>SEMANA 41</t>
  </si>
  <si>
    <t>SEMANA 42</t>
  </si>
  <si>
    <t>SEMANA 43</t>
  </si>
  <si>
    <t>Bisemanal Sem. 41 - 43</t>
  </si>
  <si>
    <t>TOTAL SEMANA 41</t>
  </si>
  <si>
    <t>TOTAL SEMANA 42</t>
  </si>
  <si>
    <t>TOTAL SEMANA 43</t>
  </si>
  <si>
    <t>RADIO</t>
  </si>
  <si>
    <t>CAMPAÑA</t>
  </si>
  <si>
    <t>RAZON SOCIAL</t>
  </si>
  <si>
    <t>HUERTO</t>
  </si>
  <si>
    <t>JTC</t>
  </si>
  <si>
    <t>NOTA</t>
  </si>
  <si>
    <t>41</t>
  </si>
  <si>
    <t>3125893Agricola Prunus Spa</t>
  </si>
  <si>
    <t>3125893SANTINA</t>
  </si>
  <si>
    <t>KOREA</t>
  </si>
  <si>
    <t>PROPIOS</t>
  </si>
  <si>
    <t>77324655-6</t>
  </si>
  <si>
    <t>Agricola Prunus Spa</t>
  </si>
  <si>
    <t>V</t>
  </si>
  <si>
    <t>SANTA MARÍA</t>
  </si>
  <si>
    <t>Guillermo Henriquez</t>
  </si>
  <si>
    <t>3125895Agricola Prunus Spa</t>
  </si>
  <si>
    <t>3125895ROYAL RAINIER</t>
  </si>
  <si>
    <t>ROYAL RAINIER</t>
  </si>
  <si>
    <t>3125895GLEN RED</t>
  </si>
  <si>
    <t>GLEN RED</t>
  </si>
  <si>
    <t>3125895CORAL</t>
  </si>
  <si>
    <t>CORAL</t>
  </si>
  <si>
    <t>3125895BROOKS</t>
  </si>
  <si>
    <t>BROOKS</t>
  </si>
  <si>
    <t>3125895BLACK PEARL</t>
  </si>
  <si>
    <t>BLACK PEARL</t>
  </si>
  <si>
    <t>110209Agroindustrial Valle Arriba Spa</t>
  </si>
  <si>
    <t>110209BROOKS</t>
  </si>
  <si>
    <t>OVALLE</t>
  </si>
  <si>
    <t>TERCEROS</t>
  </si>
  <si>
    <t>76810846-3</t>
  </si>
  <si>
    <t>Agroindustrial Valle Arriba Spa</t>
  </si>
  <si>
    <t>Fundo Tabali</t>
  </si>
  <si>
    <t>Ignacio Pizarro</t>
  </si>
  <si>
    <t>115098Agricola Hge Spa</t>
  </si>
  <si>
    <t>115098ROYAL DAWN</t>
  </si>
  <si>
    <t>Agricola Hge Spa</t>
  </si>
  <si>
    <t>PANQUEHUE</t>
  </si>
  <si>
    <t>Cristian Gonzalez</t>
  </si>
  <si>
    <t>ROYAL DAWN</t>
  </si>
  <si>
    <t>115098GLEN RED</t>
  </si>
  <si>
    <t>115098BLACK PEARL</t>
  </si>
  <si>
    <t>169929Sutil Organic Farms Spa</t>
  </si>
  <si>
    <t>169929GLEN RED</t>
  </si>
  <si>
    <t>76695385-9</t>
  </si>
  <si>
    <t>Sutil Organic Farms Spa</t>
  </si>
  <si>
    <t>Tabali Bajo</t>
  </si>
  <si>
    <t>Ricardo Haz</t>
  </si>
  <si>
    <t>169929BROOKS</t>
  </si>
  <si>
    <t xml:space="preserve">CRISTIAN LÓPEZ </t>
  </si>
  <si>
    <t>Termo</t>
  </si>
  <si>
    <t>24-25</t>
  </si>
  <si>
    <t xml:space="preserve">Caliboro </t>
  </si>
  <si>
    <t>San Javier, VII región</t>
  </si>
  <si>
    <t>El Cóndor</t>
  </si>
  <si>
    <t xml:space="preserve">GUSTAVO ZÚÑIGA </t>
  </si>
  <si>
    <t>Calleuque</t>
  </si>
  <si>
    <t>Peralillo ohiggins, VI región</t>
  </si>
  <si>
    <t xml:space="preserve"> Cocalán</t>
  </si>
  <si>
    <t xml:space="preserve">San Clemente, VII región </t>
  </si>
  <si>
    <t>Palmilla, VI región</t>
  </si>
  <si>
    <t xml:space="preserve">La Roblería </t>
  </si>
  <si>
    <t>Los Maitenes</t>
  </si>
  <si>
    <t>Mallorca</t>
  </si>
  <si>
    <t xml:space="preserve">Molina, VII región </t>
  </si>
  <si>
    <t>Retorno</t>
  </si>
  <si>
    <t>Santa maria, V región</t>
  </si>
  <si>
    <t xml:space="preserve">Rancagua, sector Chancón, VI región </t>
  </si>
  <si>
    <t>Villaseca</t>
  </si>
  <si>
    <t>Retiro, VII reginón</t>
  </si>
  <si>
    <t>LAVALLE</t>
  </si>
  <si>
    <t xml:space="preserve">Manuel Sepúlveda </t>
  </si>
  <si>
    <t>PARRAO</t>
  </si>
  <si>
    <t>PAULA</t>
  </si>
  <si>
    <t>TRAIDILL</t>
  </si>
  <si>
    <t>Triunfo</t>
  </si>
  <si>
    <t xml:space="preserve">San Esteban, V región </t>
  </si>
  <si>
    <t>TRANS. ALMENDRAL</t>
  </si>
  <si>
    <t xml:space="preserve">  TRANS. MORROS LTDA.</t>
  </si>
  <si>
    <t xml:space="preserve">ARIEL VARGAS </t>
  </si>
  <si>
    <t>Santa Margarita</t>
  </si>
  <si>
    <t xml:space="preserve">La punta, Mostazal VI región </t>
  </si>
  <si>
    <t xml:space="preserve">Carlos Gómez </t>
  </si>
  <si>
    <t>Francisco Astroza</t>
  </si>
  <si>
    <t xml:space="preserve">Transarco </t>
  </si>
  <si>
    <t xml:space="preserve">Mostazal </t>
  </si>
  <si>
    <t xml:space="preserve">Gustavo Cabezas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</si>
</sst>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 &quot;$&quot;* #,##0_ ;_ &quot;$&quot;* \-#,##0_ ;_ &quot;$&quot;* &quot;-&quot;_ ;_ @_ "/>
    <numFmt numFmtId="41" formatCode="_ * #,##0_ ;_ * \-#,##0_ ;_ * &quot;-&quot;_ ;_ @_ "/>
    <numFmt numFmtId="164" formatCode="_-* #,##0_-;\-* #,##0_-;_-* &quot;-&quot;_-;_-@_-"/>
    <numFmt numFmtId="165" formatCode="&quot;$&quot;#,##0"/>
    <numFmt numFmtId="166" formatCode="&quot;$&quot;#,##0.0"/>
    <numFmt numFmtId="167" formatCode="#,##0&quot; Kg.&quot;"/>
    <numFmt numFmtId="168" formatCode="#,##0&quot; bins&quot;"/>
    <numFmt numFmtId="169" formatCode="#,##0&quot; totes&quot;"/>
    <numFmt numFmtId="170" formatCode="#,##0.0&quot; Kg.&quot;"/>
    <numFmt numFmtId="171" formatCode="d/m/yy;@"/>
    <numFmt numFmtId="172" formatCode="_-* #,##0_-;\-* #,##0_-;_-* &quot;-&quot;??_-;_-@_-"/>
    <numFmt numFmtId="173" formatCode="_-* #,##0.00_-;\-* #,##0.00_-;_-* &quot;-&quot;??_-;_-@_-"/>
    <numFmt numFmtId="174" formatCode="_-* #,##0\ _€_-;\-* #,##0\ _€_-;_-* &quot;-&quot;??\ _€_-;_-@_-"/>
    <numFmt numFmtId="175" formatCode="#,##0&quot; kg.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0" tint="-0.34998626667073579"/>
      <name val="Calibri"/>
      <family val="2"/>
      <scheme val="minor"/>
    </font>
    <font>
      <sz val="16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Arial"/>
      <family val="2"/>
    </font>
    <font>
      <b/>
      <sz val="10"/>
      <color rgb="FFFF0000"/>
      <name val="Calibri"/>
      <family val="2"/>
      <scheme val="minor"/>
    </font>
    <font>
      <sz val="8"/>
      <color indexed="8"/>
      <name val="Calibri"/>
      <family val="2"/>
      <scheme val="minor"/>
    </font>
    <font>
      <sz val="9"/>
      <color theme="1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AD4FE"/>
        <bgColor indexed="64"/>
      </patternFill>
    </fill>
    <fill>
      <patternFill patternType="solid">
        <fgColor rgb="FFEE6A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6" fillId="0" borderId="0"/>
    <xf numFmtId="173" fontId="16" fillId="0" borderId="0" applyFont="0" applyFill="0" applyBorder="0" applyAlignment="0" applyProtection="0"/>
  </cellStyleXfs>
  <cellXfs count="355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4" fillId="0" borderId="1" xfId="0" applyFont="1" applyBorder="1"/>
    <xf numFmtId="0" fontId="0" fillId="0" borderId="1" xfId="0" applyBorder="1"/>
    <xf numFmtId="0" fontId="3" fillId="0" borderId="0" xfId="0" applyFont="1"/>
    <xf numFmtId="0" fontId="4" fillId="0" borderId="0" xfId="0" applyFont="1"/>
    <xf numFmtId="165" fontId="4" fillId="0" borderId="1" xfId="0" applyNumberFormat="1" applyFont="1" applyBorder="1"/>
    <xf numFmtId="164" fontId="4" fillId="0" borderId="0" xfId="0" applyNumberFormat="1" applyFont="1"/>
    <xf numFmtId="0" fontId="4" fillId="2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9" xfId="0" applyFont="1" applyBorder="1"/>
    <xf numFmtId="0" fontId="4" fillId="0" borderId="11" xfId="0" applyFont="1" applyBorder="1"/>
    <xf numFmtId="0" fontId="0" fillId="0" borderId="7" xfId="0" applyBorder="1"/>
    <xf numFmtId="0" fontId="5" fillId="0" borderId="0" xfId="0" applyFont="1" applyAlignment="1">
      <alignment horizontal="right"/>
    </xf>
    <xf numFmtId="0" fontId="7" fillId="0" borderId="0" xfId="0" applyFont="1"/>
    <xf numFmtId="0" fontId="0" fillId="0" borderId="6" xfId="0" applyBorder="1"/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6" xfId="0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11" xfId="0" applyBorder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9" fontId="0" fillId="0" borderId="0" xfId="5" applyFont="1"/>
    <xf numFmtId="0" fontId="0" fillId="0" borderId="0" xfId="0" applyAlignment="1">
      <alignment horizontal="righ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31" xfId="0" applyBorder="1"/>
    <xf numFmtId="165" fontId="4" fillId="0" borderId="0" xfId="0" applyNumberFormat="1" applyFont="1"/>
    <xf numFmtId="165" fontId="2" fillId="3" borderId="1" xfId="0" applyNumberFormat="1" applyFont="1" applyFill="1" applyBorder="1" applyAlignment="1">
      <alignment horizontal="center" vertical="center" wrapText="1"/>
    </xf>
    <xf numFmtId="166" fontId="2" fillId="3" borderId="1" xfId="0" applyNumberFormat="1" applyFont="1" applyFill="1" applyBorder="1" applyAlignment="1">
      <alignment horizontal="center" vertical="center" wrapText="1"/>
    </xf>
    <xf numFmtId="0" fontId="12" fillId="0" borderId="0" xfId="0" applyFont="1"/>
    <xf numFmtId="165" fontId="12" fillId="0" borderId="0" xfId="0" applyNumberFormat="1" applyFont="1"/>
    <xf numFmtId="165" fontId="0" fillId="0" borderId="0" xfId="0" applyNumberFormat="1"/>
    <xf numFmtId="165" fontId="0" fillId="0" borderId="1" xfId="0" applyNumberFormat="1" applyBorder="1"/>
    <xf numFmtId="0" fontId="4" fillId="0" borderId="0" xfId="0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164" fontId="4" fillId="0" borderId="0" xfId="1" applyFont="1" applyFill="1" applyAlignment="1">
      <alignment horizontal="center"/>
    </xf>
    <xf numFmtId="0" fontId="0" fillId="0" borderId="8" xfId="0" applyBorder="1"/>
    <xf numFmtId="0" fontId="2" fillId="0" borderId="10" xfId="0" applyFont="1" applyBorder="1"/>
    <xf numFmtId="1" fontId="0" fillId="0" borderId="21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5" xfId="0" applyFont="1" applyBorder="1" applyAlignment="1">
      <alignment horizontal="center"/>
    </xf>
    <xf numFmtId="0" fontId="11" fillId="0" borderId="1" xfId="0" applyFont="1" applyBorder="1"/>
    <xf numFmtId="0" fontId="2" fillId="2" borderId="1" xfId="0" applyFont="1" applyFill="1" applyBorder="1" applyAlignment="1">
      <alignment horizontal="center"/>
    </xf>
    <xf numFmtId="165" fontId="11" fillId="0" borderId="0" xfId="0" applyNumberFormat="1" applyFont="1"/>
    <xf numFmtId="167" fontId="5" fillId="0" borderId="39" xfId="0" applyNumberFormat="1" applyFont="1" applyBorder="1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171" fontId="14" fillId="11" borderId="0" xfId="0" applyNumberFormat="1" applyFont="1" applyFill="1" applyAlignment="1">
      <alignment horizontal="center"/>
    </xf>
    <xf numFmtId="171" fontId="14" fillId="11" borderId="27" xfId="0" applyNumberFormat="1" applyFont="1" applyFill="1" applyBorder="1" applyAlignment="1">
      <alignment horizontal="center"/>
    </xf>
    <xf numFmtId="0" fontId="13" fillId="2" borderId="0" xfId="0" applyFont="1" applyFill="1"/>
    <xf numFmtId="41" fontId="2" fillId="12" borderId="1" xfId="6" applyFont="1" applyFill="1" applyBorder="1" applyAlignment="1">
      <alignment horizontal="center"/>
    </xf>
    <xf numFmtId="41" fontId="2" fillId="12" borderId="3" xfId="6" applyFont="1" applyFill="1" applyBorder="1"/>
    <xf numFmtId="41" fontId="0" fillId="12" borderId="9" xfId="6" applyFont="1" applyFill="1" applyBorder="1"/>
    <xf numFmtId="41" fontId="0" fillId="12" borderId="1" xfId="6" applyFont="1" applyFill="1" applyBorder="1"/>
    <xf numFmtId="41" fontId="2" fillId="4" borderId="1" xfId="6" applyFont="1" applyFill="1" applyBorder="1" applyAlignment="1">
      <alignment horizontal="center"/>
    </xf>
    <xf numFmtId="41" fontId="2" fillId="4" borderId="3" xfId="6" applyFont="1" applyFill="1" applyBorder="1"/>
    <xf numFmtId="41" fontId="0" fillId="4" borderId="9" xfId="6" applyFont="1" applyFill="1" applyBorder="1"/>
    <xf numFmtId="41" fontId="0" fillId="4" borderId="1" xfId="6" applyFont="1" applyFill="1" applyBorder="1"/>
    <xf numFmtId="41" fontId="2" fillId="13" borderId="1" xfId="6" applyFont="1" applyFill="1" applyBorder="1" applyAlignment="1">
      <alignment horizontal="center"/>
    </xf>
    <xf numFmtId="41" fontId="2" fillId="13" borderId="3" xfId="6" applyFont="1" applyFill="1" applyBorder="1"/>
    <xf numFmtId="41" fontId="0" fillId="13" borderId="9" xfId="6" applyFont="1" applyFill="1" applyBorder="1"/>
    <xf numFmtId="41" fontId="0" fillId="13" borderId="1" xfId="6" applyFont="1" applyFill="1" applyBorder="1"/>
    <xf numFmtId="41" fontId="2" fillId="14" borderId="1" xfId="6" applyFont="1" applyFill="1" applyBorder="1" applyAlignment="1">
      <alignment horizontal="center"/>
    </xf>
    <xf numFmtId="41" fontId="2" fillId="14" borderId="3" xfId="6" applyFont="1" applyFill="1" applyBorder="1"/>
    <xf numFmtId="41" fontId="0" fillId="14" borderId="9" xfId="6" applyFont="1" applyFill="1" applyBorder="1"/>
    <xf numFmtId="41" fontId="0" fillId="14" borderId="1" xfId="6" applyFont="1" applyFill="1" applyBorder="1"/>
    <xf numFmtId="41" fontId="2" fillId="15" borderId="1" xfId="6" applyFont="1" applyFill="1" applyBorder="1" applyAlignment="1">
      <alignment horizontal="center"/>
    </xf>
    <xf numFmtId="41" fontId="2" fillId="15" borderId="3" xfId="6" applyFont="1" applyFill="1" applyBorder="1"/>
    <xf numFmtId="41" fontId="0" fillId="15" borderId="9" xfId="6" applyFont="1" applyFill="1" applyBorder="1"/>
    <xf numFmtId="41" fontId="0" fillId="15" borderId="1" xfId="6" applyFont="1" applyFill="1" applyBorder="1"/>
    <xf numFmtId="41" fontId="2" fillId="16" borderId="1" xfId="6" applyFont="1" applyFill="1" applyBorder="1" applyAlignment="1">
      <alignment horizontal="center"/>
    </xf>
    <xf numFmtId="41" fontId="2" fillId="16" borderId="3" xfId="6" applyFont="1" applyFill="1" applyBorder="1"/>
    <xf numFmtId="41" fontId="0" fillId="16" borderId="9" xfId="6" applyFont="1" applyFill="1" applyBorder="1"/>
    <xf numFmtId="41" fontId="0" fillId="16" borderId="1" xfId="6" applyFont="1" applyFill="1" applyBorder="1"/>
    <xf numFmtId="0" fontId="9" fillId="9" borderId="0" xfId="0" applyFont="1" applyFill="1" applyAlignment="1">
      <alignment horizontal="center"/>
    </xf>
    <xf numFmtId="41" fontId="9" fillId="9" borderId="0" xfId="0" applyNumberFormat="1" applyFont="1" applyFill="1"/>
    <xf numFmtId="41" fontId="9" fillId="9" borderId="23" xfId="0" applyNumberFormat="1" applyFont="1" applyFill="1" applyBorder="1"/>
    <xf numFmtId="0" fontId="13" fillId="0" borderId="23" xfId="0" applyFont="1" applyBorder="1"/>
    <xf numFmtId="172" fontId="13" fillId="0" borderId="0" xfId="0" applyNumberFormat="1" applyFont="1"/>
    <xf numFmtId="0" fontId="13" fillId="0" borderId="0" xfId="0" applyFont="1" applyAlignment="1">
      <alignment vertical="center"/>
    </xf>
    <xf numFmtId="0" fontId="15" fillId="17" borderId="0" xfId="0" applyFont="1" applyFill="1"/>
    <xf numFmtId="172" fontId="17" fillId="4" borderId="23" xfId="7" applyNumberFormat="1" applyFont="1" applyFill="1" applyBorder="1" applyAlignment="1">
      <alignment horizontal="center"/>
    </xf>
    <xf numFmtId="172" fontId="17" fillId="4" borderId="0" xfId="7" applyNumberFormat="1" applyFont="1" applyFill="1" applyAlignment="1">
      <alignment horizontal="center"/>
    </xf>
    <xf numFmtId="172" fontId="17" fillId="4" borderId="40" xfId="7" applyNumberFormat="1" applyFont="1" applyFill="1" applyBorder="1" applyAlignment="1">
      <alignment horizontal="center"/>
    </xf>
    <xf numFmtId="0" fontId="15" fillId="17" borderId="37" xfId="0" applyFont="1" applyFill="1" applyBorder="1"/>
    <xf numFmtId="172" fontId="17" fillId="4" borderId="27" xfId="7" applyNumberFormat="1" applyFont="1" applyFill="1" applyBorder="1" applyAlignment="1">
      <alignment horizontal="center"/>
    </xf>
    <xf numFmtId="172" fontId="17" fillId="4" borderId="37" xfId="7" applyNumberFormat="1" applyFont="1" applyFill="1" applyBorder="1" applyAlignment="1">
      <alignment horizontal="center"/>
    </xf>
    <xf numFmtId="172" fontId="17" fillId="4" borderId="41" xfId="7" applyNumberFormat="1" applyFont="1" applyFill="1" applyBorder="1" applyAlignment="1">
      <alignment horizontal="center"/>
    </xf>
    <xf numFmtId="0" fontId="15" fillId="17" borderId="35" xfId="0" applyFont="1" applyFill="1" applyBorder="1"/>
    <xf numFmtId="172" fontId="17" fillId="4" borderId="9" xfId="7" applyNumberFormat="1" applyFont="1" applyFill="1" applyBorder="1" applyAlignment="1">
      <alignment horizontal="center"/>
    </xf>
    <xf numFmtId="0" fontId="18" fillId="2" borderId="42" xfId="7" applyFont="1" applyFill="1" applyBorder="1" applyAlignment="1">
      <alignment horizontal="center" vertical="center"/>
    </xf>
    <xf numFmtId="172" fontId="17" fillId="18" borderId="0" xfId="7" applyNumberFormat="1" applyFont="1" applyFill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7" fillId="2" borderId="42" xfId="7" applyFont="1" applyFill="1" applyBorder="1" applyAlignment="1">
      <alignment horizontal="center" vertical="center"/>
    </xf>
    <xf numFmtId="0" fontId="20" fillId="2" borderId="42" xfId="7" applyFont="1" applyFill="1" applyBorder="1" applyAlignment="1">
      <alignment horizontal="center" vertical="center"/>
    </xf>
    <xf numFmtId="41" fontId="21" fillId="4" borderId="0" xfId="6" applyFont="1" applyFill="1" applyAlignment="1">
      <alignment horizontal="center" vertical="center"/>
    </xf>
    <xf numFmtId="174" fontId="15" fillId="19" borderId="1" xfId="8" applyNumberFormat="1" applyFont="1" applyFill="1" applyBorder="1" applyAlignment="1">
      <alignment horizontal="center" vertical="center"/>
    </xf>
    <xf numFmtId="174" fontId="17" fillId="19" borderId="1" xfId="8" applyNumberFormat="1" applyFont="1" applyFill="1" applyBorder="1" applyAlignment="1">
      <alignment horizontal="center" vertical="center"/>
    </xf>
    <xf numFmtId="174" fontId="22" fillId="19" borderId="1" xfId="8" applyNumberFormat="1" applyFont="1" applyFill="1" applyBorder="1" applyAlignment="1">
      <alignment horizontal="center" vertical="center"/>
    </xf>
    <xf numFmtId="174" fontId="14" fillId="20" borderId="1" xfId="8" applyNumberFormat="1" applyFont="1" applyFill="1" applyBorder="1" applyAlignment="1">
      <alignment horizontal="center" vertical="center"/>
    </xf>
    <xf numFmtId="174" fontId="23" fillId="19" borderId="1" xfId="8" applyNumberFormat="1" applyFont="1" applyFill="1" applyBorder="1" applyAlignment="1">
      <alignment horizontal="center" vertical="center"/>
    </xf>
    <xf numFmtId="174" fontId="17" fillId="4" borderId="42" xfId="8" applyNumberFormat="1" applyFont="1" applyFill="1" applyBorder="1" applyAlignment="1">
      <alignment horizontal="center" vertical="center" wrapText="1"/>
    </xf>
    <xf numFmtId="174" fontId="17" fillId="5" borderId="43" xfId="8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24" fillId="2" borderId="1" xfId="0" applyFont="1" applyFill="1" applyBorder="1"/>
    <xf numFmtId="0" fontId="25" fillId="4" borderId="2" xfId="0" applyFont="1" applyFill="1" applyBorder="1"/>
    <xf numFmtId="0" fontId="26" fillId="21" borderId="1" xfId="0" applyFont="1" applyFill="1" applyBorder="1" applyAlignment="1">
      <alignment vertical="top"/>
    </xf>
    <xf numFmtId="0" fontId="27" fillId="9" borderId="1" xfId="0" applyFont="1" applyFill="1" applyBorder="1" applyAlignment="1">
      <alignment horizontal="center"/>
    </xf>
    <xf numFmtId="0" fontId="24" fillId="22" borderId="1" xfId="0" applyFont="1" applyFill="1" applyBorder="1"/>
    <xf numFmtId="171" fontId="15" fillId="0" borderId="14" xfId="7" applyNumberFormat="1" applyFont="1" applyBorder="1" applyAlignment="1">
      <alignment horizontal="center"/>
    </xf>
    <xf numFmtId="171" fontId="17" fillId="0" borderId="36" xfId="7" applyNumberFormat="1" applyFont="1" applyBorder="1" applyAlignment="1">
      <alignment horizontal="center"/>
    </xf>
    <xf numFmtId="171" fontId="15" fillId="0" borderId="36" xfId="7" applyNumberFormat="1" applyFont="1" applyBorder="1" applyAlignment="1">
      <alignment horizontal="center"/>
    </xf>
    <xf numFmtId="171" fontId="28" fillId="0" borderId="16" xfId="7" applyNumberFormat="1" applyFont="1" applyBorder="1" applyAlignment="1">
      <alignment horizontal="center"/>
    </xf>
    <xf numFmtId="1" fontId="17" fillId="18" borderId="36" xfId="7" applyNumberFormat="1" applyFont="1" applyFill="1" applyBorder="1" applyAlignment="1">
      <alignment horizontal="center"/>
    </xf>
    <xf numFmtId="1" fontId="17" fillId="18" borderId="15" xfId="7" applyNumberFormat="1" applyFont="1" applyFill="1" applyBorder="1" applyAlignment="1">
      <alignment horizontal="center"/>
    </xf>
    <xf numFmtId="0" fontId="13" fillId="0" borderId="36" xfId="0" applyFont="1" applyBorder="1"/>
    <xf numFmtId="0" fontId="17" fillId="0" borderId="1" xfId="0" applyFont="1" applyBorder="1"/>
    <xf numFmtId="0" fontId="28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left"/>
    </xf>
    <xf numFmtId="0" fontId="30" fillId="0" borderId="1" xfId="0" applyFont="1" applyBorder="1" applyAlignment="1">
      <alignment horizontal="right"/>
    </xf>
    <xf numFmtId="0" fontId="30" fillId="0" borderId="15" xfId="0" applyFont="1" applyBorder="1" applyAlignment="1">
      <alignment horizontal="left"/>
    </xf>
    <xf numFmtId="0" fontId="30" fillId="0" borderId="15" xfId="0" applyFont="1" applyBorder="1"/>
    <xf numFmtId="0" fontId="31" fillId="0" borderId="1" xfId="0" applyFont="1" applyBorder="1" applyAlignment="1">
      <alignment horizontal="center"/>
    </xf>
    <xf numFmtId="0" fontId="13" fillId="22" borderId="1" xfId="0" applyFont="1" applyFill="1" applyBorder="1" applyAlignment="1" applyProtection="1">
      <alignment horizontal="left"/>
      <protection hidden="1"/>
    </xf>
    <xf numFmtId="41" fontId="15" fillId="22" borderId="3" xfId="6" applyFont="1" applyFill="1" applyBorder="1" applyProtection="1">
      <protection hidden="1"/>
    </xf>
    <xf numFmtId="172" fontId="20" fillId="10" borderId="9" xfId="8" applyNumberFormat="1" applyFont="1" applyFill="1" applyBorder="1" applyAlignment="1">
      <alignment horizontal="center"/>
    </xf>
    <xf numFmtId="172" fontId="20" fillId="10" borderId="1" xfId="8" applyNumberFormat="1" applyFont="1" applyFill="1" applyBorder="1" applyAlignment="1">
      <alignment horizontal="center"/>
    </xf>
    <xf numFmtId="172" fontId="20" fillId="6" borderId="10" xfId="8" applyNumberFormat="1" applyFont="1" applyFill="1" applyBorder="1" applyAlignment="1">
      <alignment horizontal="center"/>
    </xf>
    <xf numFmtId="174" fontId="17" fillId="18" borderId="4" xfId="8" applyNumberFormat="1" applyFont="1" applyFill="1" applyBorder="1" applyAlignment="1">
      <alignment horizontal="center" vertical="center"/>
    </xf>
    <xf numFmtId="174" fontId="17" fillId="18" borderId="1" xfId="8" applyNumberFormat="1" applyFont="1" applyFill="1" applyBorder="1" applyAlignment="1">
      <alignment horizontal="center" vertical="center"/>
    </xf>
    <xf numFmtId="174" fontId="13" fillId="0" borderId="4" xfId="0" applyNumberFormat="1" applyFont="1" applyBorder="1"/>
    <xf numFmtId="0" fontId="20" fillId="0" borderId="1" xfId="0" applyFont="1" applyBorder="1"/>
    <xf numFmtId="0" fontId="31" fillId="0" borderId="1" xfId="0" applyFont="1" applyBorder="1" applyAlignment="1">
      <alignment horizontal="left"/>
    </xf>
    <xf numFmtId="0" fontId="30" fillId="0" borderId="34" xfId="0" applyFont="1" applyBorder="1" applyAlignment="1">
      <alignment horizontal="left"/>
    </xf>
    <xf numFmtId="0" fontId="32" fillId="0" borderId="1" xfId="0" applyFont="1" applyBorder="1"/>
    <xf numFmtId="0" fontId="17" fillId="0" borderId="1" xfId="0" applyFont="1" applyBorder="1" applyAlignment="1">
      <alignment horizontal="center"/>
    </xf>
    <xf numFmtId="0" fontId="3" fillId="2" borderId="0" xfId="0" applyFont="1" applyFill="1"/>
    <xf numFmtId="0" fontId="4" fillId="2" borderId="0" xfId="0" applyFont="1" applyFill="1" applyAlignment="1">
      <alignment horizontal="center"/>
    </xf>
    <xf numFmtId="175" fontId="0" fillId="2" borderId="1" xfId="0" applyNumberFormat="1" applyFill="1" applyBorder="1" applyAlignment="1">
      <alignment horizontal="center"/>
    </xf>
    <xf numFmtId="175" fontId="8" fillId="0" borderId="0" xfId="0" applyNumberFormat="1" applyFont="1"/>
    <xf numFmtId="0" fontId="2" fillId="2" borderId="6" xfId="0" applyFont="1" applyFill="1" applyBorder="1"/>
    <xf numFmtId="0" fontId="3" fillId="0" borderId="9" xfId="0" applyFont="1" applyBorder="1"/>
    <xf numFmtId="175" fontId="0" fillId="2" borderId="12" xfId="0" applyNumberFormat="1" applyFill="1" applyBorder="1" applyAlignment="1">
      <alignment horizontal="center"/>
    </xf>
    <xf numFmtId="175" fontId="2" fillId="2" borderId="21" xfId="0" applyNumberFormat="1" applyFont="1" applyFill="1" applyBorder="1"/>
    <xf numFmtId="175" fontId="2" fillId="2" borderId="22" xfId="0" applyNumberFormat="1" applyFont="1" applyFill="1" applyBorder="1"/>
    <xf numFmtId="1" fontId="0" fillId="0" borderId="27" xfId="0" applyNumberFormat="1" applyBorder="1" applyAlignment="1">
      <alignment horizontal="left"/>
    </xf>
    <xf numFmtId="0" fontId="2" fillId="0" borderId="44" xfId="0" applyFont="1" applyBorder="1" applyAlignment="1">
      <alignment horizontal="center"/>
    </xf>
    <xf numFmtId="165" fontId="2" fillId="5" borderId="5" xfId="0" applyNumberFormat="1" applyFont="1" applyFill="1" applyBorder="1" applyAlignment="1">
      <alignment horizontal="center"/>
    </xf>
    <xf numFmtId="9" fontId="0" fillId="0" borderId="0" xfId="5" applyFont="1" applyFill="1" applyBorder="1" applyAlignment="1">
      <alignment horizontal="left"/>
    </xf>
    <xf numFmtId="1" fontId="0" fillId="0" borderId="0" xfId="0" applyNumberFormat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167" fontId="0" fillId="0" borderId="1" xfId="0" applyNumberFormat="1" applyBorder="1"/>
    <xf numFmtId="167" fontId="0" fillId="0" borderId="7" xfId="0" applyNumberFormat="1" applyBorder="1"/>
    <xf numFmtId="167" fontId="0" fillId="0" borderId="12" xfId="0" applyNumberFormat="1" applyBorder="1"/>
    <xf numFmtId="0" fontId="8" fillId="0" borderId="0" xfId="0" applyFont="1"/>
    <xf numFmtId="0" fontId="3" fillId="0" borderId="0" xfId="0" applyFont="1" applyAlignment="1">
      <alignment horizontal="right"/>
    </xf>
    <xf numFmtId="0" fontId="2" fillId="0" borderId="46" xfId="0" applyFont="1" applyBorder="1" applyAlignment="1">
      <alignment horizontal="center"/>
    </xf>
    <xf numFmtId="165" fontId="11" fillId="0" borderId="0" xfId="0" applyNumberFormat="1" applyFont="1" applyAlignment="1">
      <alignment horizontal="center"/>
    </xf>
    <xf numFmtId="0" fontId="2" fillId="0" borderId="5" xfId="0" applyFont="1" applyBorder="1" applyAlignment="1">
      <alignment horizontal="left"/>
    </xf>
    <xf numFmtId="0" fontId="0" fillId="0" borderId="3" xfId="0" applyBorder="1"/>
    <xf numFmtId="0" fontId="0" fillId="0" borderId="33" xfId="0" applyBorder="1"/>
    <xf numFmtId="168" fontId="0" fillId="4" borderId="20" xfId="0" applyNumberFormat="1" applyFill="1" applyBorder="1" applyAlignment="1">
      <alignment horizontal="center"/>
    </xf>
    <xf numFmtId="169" fontId="0" fillId="4" borderId="21" xfId="0" applyNumberFormat="1" applyFill="1" applyBorder="1" applyAlignment="1">
      <alignment horizontal="center"/>
    </xf>
    <xf numFmtId="170" fontId="0" fillId="4" borderId="22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167" fontId="5" fillId="4" borderId="5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/>
    </xf>
    <xf numFmtId="0" fontId="0" fillId="0" borderId="1" xfId="0" applyBorder="1" applyAlignment="1">
      <alignment horizontal="left"/>
    </xf>
    <xf numFmtId="0" fontId="9" fillId="23" borderId="17" xfId="0" applyFont="1" applyFill="1" applyBorder="1" applyAlignment="1">
      <alignment horizontal="center"/>
    </xf>
    <xf numFmtId="0" fontId="9" fillId="23" borderId="18" xfId="0" applyFont="1" applyFill="1" applyBorder="1" applyAlignment="1">
      <alignment horizontal="center"/>
    </xf>
    <xf numFmtId="0" fontId="9" fillId="23" borderId="19" xfId="0" applyFont="1" applyFill="1" applyBorder="1" applyAlignment="1">
      <alignment horizontal="center"/>
    </xf>
    <xf numFmtId="0" fontId="0" fillId="0" borderId="46" xfId="0" applyBorder="1" applyAlignment="1">
      <alignment horizontal="center"/>
    </xf>
    <xf numFmtId="1" fontId="0" fillId="0" borderId="20" xfId="0" applyNumberFormat="1" applyBorder="1" applyAlignment="1">
      <alignment horizontal="left"/>
    </xf>
    <xf numFmtId="1" fontId="0" fillId="0" borderId="38" xfId="0" applyNumberFormat="1" applyBorder="1" applyAlignment="1">
      <alignment horizontal="left"/>
    </xf>
    <xf numFmtId="1" fontId="0" fillId="0" borderId="39" xfId="0" applyNumberFormat="1" applyBorder="1" applyAlignment="1">
      <alignment horizontal="left"/>
    </xf>
    <xf numFmtId="1" fontId="0" fillId="0" borderId="20" xfId="0" applyNumberFormat="1" applyBorder="1" applyAlignment="1">
      <alignment horizontal="center"/>
    </xf>
    <xf numFmtId="1" fontId="0" fillId="0" borderId="47" xfId="0" applyNumberFormat="1" applyBorder="1" applyAlignment="1">
      <alignment horizontal="left"/>
    </xf>
    <xf numFmtId="1" fontId="0" fillId="0" borderId="48" xfId="0" applyNumberFormat="1" applyBorder="1" applyAlignment="1">
      <alignment horizontal="left"/>
    </xf>
    <xf numFmtId="1" fontId="0" fillId="0" borderId="32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7" fontId="0" fillId="0" borderId="6" xfId="0" applyNumberFormat="1" applyBorder="1"/>
    <xf numFmtId="167" fontId="0" fillId="0" borderId="8" xfId="0" applyNumberFormat="1" applyBorder="1"/>
    <xf numFmtId="167" fontId="0" fillId="0" borderId="9" xfId="0" applyNumberFormat="1" applyBorder="1"/>
    <xf numFmtId="167" fontId="0" fillId="0" borderId="10" xfId="0" applyNumberFormat="1" applyBorder="1"/>
    <xf numFmtId="167" fontId="0" fillId="0" borderId="11" xfId="0" applyNumberFormat="1" applyBorder="1"/>
    <xf numFmtId="167" fontId="0" fillId="0" borderId="13" xfId="0" applyNumberFormat="1" applyBorder="1"/>
    <xf numFmtId="0" fontId="2" fillId="0" borderId="49" xfId="0" applyFont="1" applyBorder="1" applyAlignment="1">
      <alignment horizontal="center"/>
    </xf>
    <xf numFmtId="14" fontId="2" fillId="0" borderId="50" xfId="0" applyNumberFormat="1" applyFon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1" fontId="0" fillId="6" borderId="6" xfId="0" applyNumberFormat="1" applyFill="1" applyBorder="1" applyAlignment="1">
      <alignment horizontal="center"/>
    </xf>
    <xf numFmtId="1" fontId="0" fillId="6" borderId="7" xfId="0" applyNumberFormat="1" applyFill="1" applyBorder="1" applyAlignment="1">
      <alignment horizontal="center"/>
    </xf>
    <xf numFmtId="1" fontId="0" fillId="6" borderId="9" xfId="0" applyNumberFormat="1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1" fontId="0" fillId="6" borderId="1" xfId="5" applyNumberFormat="1" applyFon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1" fontId="0" fillId="6" borderId="12" xfId="0" applyNumberFormat="1" applyFill="1" applyBorder="1" applyAlignment="1">
      <alignment horizontal="center"/>
    </xf>
    <xf numFmtId="1" fontId="0" fillId="6" borderId="12" xfId="5" applyNumberFormat="1" applyFont="1" applyFill="1" applyBorder="1" applyAlignment="1">
      <alignment horizontal="center"/>
    </xf>
    <xf numFmtId="0" fontId="0" fillId="0" borderId="4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3" fillId="0" borderId="0" xfId="0" applyFont="1" applyAlignment="1">
      <alignment horizontal="center"/>
    </xf>
    <xf numFmtId="1" fontId="0" fillId="6" borderId="31" xfId="0" applyNumberFormat="1" applyFill="1" applyBorder="1" applyAlignment="1">
      <alignment horizontal="center"/>
    </xf>
    <xf numFmtId="1" fontId="0" fillId="6" borderId="3" xfId="0" applyNumberFormat="1" applyFill="1" applyBorder="1" applyAlignment="1">
      <alignment horizontal="center"/>
    </xf>
    <xf numFmtId="1" fontId="0" fillId="6" borderId="33" xfId="0" applyNumberFormat="1" applyFill="1" applyBorder="1" applyAlignment="1">
      <alignment horizontal="center"/>
    </xf>
    <xf numFmtId="1" fontId="0" fillId="24" borderId="0" xfId="0" applyNumberFormat="1" applyFill="1" applyAlignment="1">
      <alignment horizontal="center"/>
    </xf>
    <xf numFmtId="1" fontId="11" fillId="0" borderId="0" xfId="0" applyNumberFormat="1" applyFont="1" applyAlignment="1">
      <alignment horizontal="left"/>
    </xf>
    <xf numFmtId="0" fontId="0" fillId="4" borderId="47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" xfId="0" applyFill="1" applyBorder="1"/>
    <xf numFmtId="0" fontId="7" fillId="0" borderId="0" xfId="0" applyFont="1" applyAlignment="1">
      <alignment horizontal="right"/>
    </xf>
    <xf numFmtId="165" fontId="2" fillId="0" borderId="20" xfId="0" applyNumberFormat="1" applyFont="1" applyBorder="1" applyAlignment="1">
      <alignment horizontal="center"/>
    </xf>
    <xf numFmtId="1" fontId="2" fillId="0" borderId="21" xfId="0" applyNumberFormat="1" applyFont="1" applyBorder="1" applyAlignment="1">
      <alignment horizontal="center"/>
    </xf>
    <xf numFmtId="165" fontId="2" fillId="0" borderId="22" xfId="0" applyNumberFormat="1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0" fillId="0" borderId="14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3" xfId="0" applyBorder="1" applyAlignment="1">
      <alignment horizontal="left"/>
    </xf>
    <xf numFmtId="165" fontId="8" fillId="0" borderId="0" xfId="0" applyNumberFormat="1" applyFont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165" fontId="2" fillId="0" borderId="17" xfId="0" applyNumberFormat="1" applyFont="1" applyBorder="1" applyAlignment="1">
      <alignment horizontal="center"/>
    </xf>
    <xf numFmtId="165" fontId="2" fillId="0" borderId="18" xfId="0" applyNumberFormat="1" applyFont="1" applyBorder="1" applyAlignment="1">
      <alignment horizontal="center"/>
    </xf>
    <xf numFmtId="165" fontId="2" fillId="0" borderId="19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36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2" xfId="0" applyBorder="1" applyAlignment="1">
      <alignment horizontal="left"/>
    </xf>
    <xf numFmtId="165" fontId="2" fillId="0" borderId="21" xfId="0" applyNumberFormat="1" applyFont="1" applyBorder="1" applyAlignment="1">
      <alignment horizontal="center"/>
    </xf>
    <xf numFmtId="165" fontId="8" fillId="0" borderId="5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165" fontId="2" fillId="0" borderId="25" xfId="0" applyNumberFormat="1" applyFon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51" xfId="0" applyNumberFormat="1" applyBorder="1" applyAlignment="1">
      <alignment horizontal="center"/>
    </xf>
    <xf numFmtId="174" fontId="28" fillId="19" borderId="1" xfId="8" applyNumberFormat="1" applyFont="1" applyFill="1" applyBorder="1" applyAlignment="1">
      <alignment horizontal="center" vertical="center"/>
    </xf>
    <xf numFmtId="171" fontId="28" fillId="0" borderId="36" xfId="7" applyNumberFormat="1" applyFont="1" applyBorder="1" applyAlignment="1">
      <alignment horizontal="center"/>
    </xf>
    <xf numFmtId="171" fontId="17" fillId="14" borderId="14" xfId="7" applyNumberFormat="1" applyFont="1" applyFill="1" applyBorder="1" applyAlignment="1">
      <alignment horizontal="center"/>
    </xf>
    <xf numFmtId="171" fontId="17" fillId="14" borderId="36" xfId="7" applyNumberFormat="1" applyFont="1" applyFill="1" applyBorder="1" applyAlignment="1">
      <alignment horizontal="center"/>
    </xf>
    <xf numFmtId="171" fontId="15" fillId="14" borderId="36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33" fillId="0" borderId="15" xfId="0" applyFont="1" applyBorder="1" applyAlignment="1">
      <alignment horizontal="left"/>
    </xf>
    <xf numFmtId="0" fontId="33" fillId="0" borderId="15" xfId="0" applyFont="1" applyBorder="1"/>
    <xf numFmtId="0" fontId="34" fillId="0" borderId="1" xfId="0" applyFont="1" applyBorder="1" applyAlignment="1">
      <alignment horizontal="center"/>
    </xf>
    <xf numFmtId="172" fontId="17" fillId="2" borderId="28" xfId="7" applyNumberFormat="1" applyFont="1" applyFill="1" applyBorder="1"/>
    <xf numFmtId="172" fontId="17" fillId="2" borderId="35" xfId="7" applyNumberFormat="1" applyFont="1" applyFill="1" applyBorder="1"/>
    <xf numFmtId="172" fontId="17" fillId="2" borderId="30" xfId="7" applyNumberFormat="1" applyFont="1" applyFill="1" applyBorder="1"/>
    <xf numFmtId="172" fontId="17" fillId="14" borderId="28" xfId="7" applyNumberFormat="1" applyFont="1" applyFill="1" applyBorder="1"/>
    <xf numFmtId="172" fontId="17" fillId="14" borderId="35" xfId="7" applyNumberFormat="1" applyFont="1" applyFill="1" applyBorder="1"/>
    <xf numFmtId="172" fontId="17" fillId="14" borderId="30" xfId="7" applyNumberFormat="1" applyFont="1" applyFill="1" applyBorder="1"/>
    <xf numFmtId="0" fontId="19" fillId="2" borderId="3" xfId="7" applyFont="1" applyFill="1" applyBorder="1" applyAlignment="1">
      <alignment vertical="center"/>
    </xf>
    <xf numFmtId="0" fontId="19" fillId="2" borderId="35" xfId="7" applyFont="1" applyFill="1" applyBorder="1" applyAlignment="1">
      <alignment vertical="center"/>
    </xf>
    <xf numFmtId="0" fontId="19" fillId="2" borderId="4" xfId="7" applyFont="1" applyFill="1" applyBorder="1" applyAlignment="1">
      <alignment vertical="center"/>
    </xf>
    <xf numFmtId="0" fontId="2" fillId="2" borderId="31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175" fontId="2" fillId="0" borderId="2" xfId="0" applyNumberFormat="1" applyFont="1" applyBorder="1" applyAlignment="1">
      <alignment horizontal="center"/>
    </xf>
    <xf numFmtId="175" fontId="0" fillId="2" borderId="9" xfId="0" applyNumberFormat="1" applyFill="1" applyBorder="1" applyAlignment="1">
      <alignment horizontal="center"/>
    </xf>
    <xf numFmtId="175" fontId="0" fillId="2" borderId="10" xfId="0" applyNumberFormat="1" applyFill="1" applyBorder="1" applyAlignment="1">
      <alignment horizontal="center"/>
    </xf>
    <xf numFmtId="175" fontId="0" fillId="2" borderId="11" xfId="0" applyNumberFormat="1" applyFill="1" applyBorder="1" applyAlignment="1">
      <alignment horizontal="center"/>
    </xf>
    <xf numFmtId="175" fontId="0" fillId="2" borderId="13" xfId="0" applyNumberFormat="1" applyFill="1" applyBorder="1" applyAlignment="1">
      <alignment horizontal="center"/>
    </xf>
    <xf numFmtId="175" fontId="0" fillId="2" borderId="14" xfId="0" applyNumberFormat="1" applyFill="1" applyBorder="1" applyAlignment="1">
      <alignment horizontal="center"/>
    </xf>
    <xf numFmtId="175" fontId="0" fillId="2" borderId="15" xfId="0" applyNumberFormat="1" applyFill="1" applyBorder="1" applyAlignment="1">
      <alignment horizontal="center"/>
    </xf>
    <xf numFmtId="175" fontId="0" fillId="2" borderId="16" xfId="0" applyNumberFormat="1" applyFill="1" applyBorder="1" applyAlignment="1">
      <alignment horizontal="center"/>
    </xf>
    <xf numFmtId="175" fontId="2" fillId="2" borderId="38" xfId="0" applyNumberFormat="1" applyFont="1" applyFill="1" applyBorder="1"/>
    <xf numFmtId="14" fontId="2" fillId="0" borderId="17" xfId="0" applyNumberFormat="1" applyFont="1" applyBorder="1"/>
    <xf numFmtId="14" fontId="2" fillId="0" borderId="18" xfId="0" applyNumberFormat="1" applyFont="1" applyBorder="1"/>
    <xf numFmtId="14" fontId="2" fillId="0" borderId="19" xfId="0" applyNumberFormat="1" applyFont="1" applyBorder="1"/>
    <xf numFmtId="0" fontId="5" fillId="0" borderId="0" xfId="0" applyFont="1" applyAlignment="1">
      <alignment horizontal="center"/>
    </xf>
    <xf numFmtId="0" fontId="0" fillId="7" borderId="6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0" xfId="0" applyFont="1" applyAlignment="1">
      <alignment horizontal="center" wrapText="1"/>
    </xf>
  </cellXfs>
  <cellStyles count="9">
    <cellStyle name="Millares [0]" xfId="6" builtinId="6"/>
    <cellStyle name="Millares [0] 2" xfId="1" xr:uid="{AAEA83AD-1C21-469D-B90C-86FC75C15E80}"/>
    <cellStyle name="Millares [0] 2 2" xfId="3" xr:uid="{763DEF7C-D6D9-41F8-A720-3C2E687BEE3B}"/>
    <cellStyle name="Millares 2 2" xfId="8" xr:uid="{A54A27EC-229B-412B-B21C-EF8314E7D055}"/>
    <cellStyle name="Moneda [0] 2" xfId="4" xr:uid="{D19DEE86-FD86-468A-925E-223496C4446A}"/>
    <cellStyle name="Normal" xfId="0" builtinId="0"/>
    <cellStyle name="Normal 2" xfId="7" xr:uid="{18955924-8D34-4D41-AF03-CFCEA746F97B}"/>
    <cellStyle name="Porcentaje" xfId="5" builtinId="5"/>
    <cellStyle name="Porcentaje 2" xfId="2" xr:uid="{D50C3D1E-4679-4006-A512-3F67032E14E7}"/>
  </cellStyles>
  <dxfs count="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19050</xdr:colOff>
      <xdr:row>0</xdr:row>
      <xdr:rowOff>57150</xdr:rowOff>
    </xdr:from>
    <xdr:to>
      <xdr:col>28</xdr:col>
      <xdr:colOff>276225</xdr:colOff>
      <xdr:row>4</xdr:row>
      <xdr:rowOff>23897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5850" y="57150"/>
          <a:ext cx="1476375" cy="728747"/>
        </a:xfrm>
        <a:prstGeom prst="rect">
          <a:avLst/>
        </a:prstGeom>
      </xdr:spPr>
    </xdr:pic>
    <xdr:clientData/>
  </xdr:twoCellAnchor>
  <xdr:twoCellAnchor>
    <xdr:from>
      <xdr:col>1</xdr:col>
      <xdr:colOff>1038225</xdr:colOff>
      <xdr:row>0</xdr:row>
      <xdr:rowOff>38100</xdr:rowOff>
    </xdr:from>
    <xdr:to>
      <xdr:col>25</xdr:col>
      <xdr:colOff>571500</xdr:colOff>
      <xdr:row>4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647825" y="38100"/>
          <a:ext cx="14620875" cy="781050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Instructivo Uso Modelo Optimización Transporte</a:t>
          </a:r>
          <a:r>
            <a:rPr lang="es-CL" sz="4400" b="1" baseline="0">
              <a:solidFill>
                <a:schemeClr val="bg1"/>
              </a:solidFill>
            </a:rPr>
            <a:t> Campos</a:t>
          </a:r>
          <a:endParaRPr lang="es-CL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85725</xdr:colOff>
      <xdr:row>0</xdr:row>
      <xdr:rowOff>95249</xdr:rowOff>
    </xdr:from>
    <xdr:to>
      <xdr:col>1</xdr:col>
      <xdr:colOff>914400</xdr:colOff>
      <xdr:row>4</xdr:row>
      <xdr:rowOff>28574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5725" y="95249"/>
          <a:ext cx="1438275" cy="695325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0</xdr:row>
      <xdr:rowOff>76200</xdr:rowOff>
    </xdr:from>
    <xdr:to>
      <xdr:col>17</xdr:col>
      <xdr:colOff>114300</xdr:colOff>
      <xdr:row>3</xdr:row>
      <xdr:rowOff>236622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9175" y="76200"/>
          <a:ext cx="1476375" cy="728747"/>
        </a:xfrm>
        <a:prstGeom prst="rect">
          <a:avLst/>
        </a:prstGeom>
      </xdr:spPr>
    </xdr:pic>
    <xdr:clientData/>
  </xdr:twoCellAnchor>
  <xdr:twoCellAnchor>
    <xdr:from>
      <xdr:col>1</xdr:col>
      <xdr:colOff>1676401</xdr:colOff>
      <xdr:row>0</xdr:row>
      <xdr:rowOff>57150</xdr:rowOff>
    </xdr:from>
    <xdr:to>
      <xdr:col>15</xdr:col>
      <xdr:colOff>47625</xdr:colOff>
      <xdr:row>4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28801" y="57150"/>
          <a:ext cx="14316074" cy="781050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Base</a:t>
          </a:r>
          <a:r>
            <a:rPr lang="es-CL" sz="4400" b="1" baseline="0">
              <a:solidFill>
                <a:schemeClr val="bg1"/>
              </a:solidFill>
            </a:rPr>
            <a:t> de Datos</a:t>
          </a:r>
          <a:endParaRPr lang="es-CL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114299</xdr:rowOff>
    </xdr:from>
    <xdr:to>
      <xdr:col>1</xdr:col>
      <xdr:colOff>1571625</xdr:colOff>
      <xdr:row>3</xdr:row>
      <xdr:rowOff>238124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38125" y="114299"/>
          <a:ext cx="1485900" cy="695325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1143000</xdr:colOff>
      <xdr:row>0</xdr:row>
      <xdr:rowOff>76200</xdr:rowOff>
    </xdr:from>
    <xdr:to>
      <xdr:col>16</xdr:col>
      <xdr:colOff>1416050</xdr:colOff>
      <xdr:row>4</xdr:row>
      <xdr:rowOff>68347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5739BE-F242-4E30-AFA7-49042CE3F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0" y="76200"/>
          <a:ext cx="1476375" cy="728747"/>
        </a:xfrm>
        <a:prstGeom prst="rect">
          <a:avLst/>
        </a:prstGeom>
      </xdr:spPr>
    </xdr:pic>
    <xdr:clientData/>
  </xdr:twoCellAnchor>
  <xdr:twoCellAnchor>
    <xdr:from>
      <xdr:col>2</xdr:col>
      <xdr:colOff>85725</xdr:colOff>
      <xdr:row>0</xdr:row>
      <xdr:rowOff>57150</xdr:rowOff>
    </xdr:from>
    <xdr:to>
      <xdr:col>15</xdr:col>
      <xdr:colOff>1009650</xdr:colOff>
      <xdr:row>4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7CD1905-549C-487E-A7ED-60C0650C0044}"/>
            </a:ext>
          </a:extLst>
        </xdr:cNvPr>
        <xdr:cNvSpPr txBox="1"/>
      </xdr:nvSpPr>
      <xdr:spPr>
        <a:xfrm>
          <a:off x="1685925" y="57150"/>
          <a:ext cx="14468475" cy="676275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Base</a:t>
          </a:r>
          <a:r>
            <a:rPr lang="es-CL" sz="4400" b="1" baseline="0">
              <a:solidFill>
                <a:schemeClr val="bg1"/>
              </a:solidFill>
            </a:rPr>
            <a:t> de Datos Producción</a:t>
          </a:r>
          <a:endParaRPr lang="es-CL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57151</xdr:colOff>
      <xdr:row>0</xdr:row>
      <xdr:rowOff>76201</xdr:rowOff>
    </xdr:from>
    <xdr:to>
      <xdr:col>2</xdr:col>
      <xdr:colOff>1</xdr:colOff>
      <xdr:row>4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DA2181E-D88B-4C42-B7F9-5FE3F0720D5C}"/>
            </a:ext>
          </a:extLst>
        </xdr:cNvPr>
        <xdr:cNvSpPr txBox="1"/>
      </xdr:nvSpPr>
      <xdr:spPr>
        <a:xfrm>
          <a:off x="57151" y="76201"/>
          <a:ext cx="1543050" cy="657224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3781425</xdr:colOff>
      <xdr:row>0</xdr:row>
      <xdr:rowOff>95250</xdr:rowOff>
    </xdr:from>
    <xdr:to>
      <xdr:col>11</xdr:col>
      <xdr:colOff>647700</xdr:colOff>
      <xdr:row>3</xdr:row>
      <xdr:rowOff>258847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FAD2C4-7F2E-499B-9514-312BB540B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49650" y="95250"/>
          <a:ext cx="1476375" cy="728747"/>
        </a:xfrm>
        <a:prstGeom prst="rect">
          <a:avLst/>
        </a:prstGeom>
      </xdr:spPr>
    </xdr:pic>
    <xdr:clientData/>
  </xdr:twoCellAnchor>
  <xdr:twoCellAnchor>
    <xdr:from>
      <xdr:col>1</xdr:col>
      <xdr:colOff>1619251</xdr:colOff>
      <xdr:row>0</xdr:row>
      <xdr:rowOff>76200</xdr:rowOff>
    </xdr:from>
    <xdr:to>
      <xdr:col>10</xdr:col>
      <xdr:colOff>3648075</xdr:colOff>
      <xdr:row>4</xdr:row>
      <xdr:rowOff>19050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4C7077A-D47B-4712-B786-727548C1B2E3}"/>
            </a:ext>
          </a:extLst>
        </xdr:cNvPr>
        <xdr:cNvSpPr txBox="1"/>
      </xdr:nvSpPr>
      <xdr:spPr>
        <a:xfrm>
          <a:off x="1771651" y="76200"/>
          <a:ext cx="14344649" cy="790575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Base</a:t>
          </a:r>
          <a:r>
            <a:rPr lang="es-CL" sz="4400" b="1" baseline="0">
              <a:solidFill>
                <a:schemeClr val="bg1"/>
              </a:solidFill>
            </a:rPr>
            <a:t> de Datos Consolidada</a:t>
          </a:r>
        </a:p>
      </xdr:txBody>
    </xdr:sp>
    <xdr:clientData/>
  </xdr:twoCellAnchor>
  <xdr:twoCellAnchor>
    <xdr:from>
      <xdr:col>1</xdr:col>
      <xdr:colOff>28575</xdr:colOff>
      <xdr:row>0</xdr:row>
      <xdr:rowOff>133349</xdr:rowOff>
    </xdr:from>
    <xdr:to>
      <xdr:col>1</xdr:col>
      <xdr:colOff>1514475</xdr:colOff>
      <xdr:row>3</xdr:row>
      <xdr:rowOff>257174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1B4A1B9-B101-4073-B7ED-322203D70073}"/>
            </a:ext>
          </a:extLst>
        </xdr:cNvPr>
        <xdr:cNvSpPr txBox="1"/>
      </xdr:nvSpPr>
      <xdr:spPr>
        <a:xfrm>
          <a:off x="180975" y="133349"/>
          <a:ext cx="1485900" cy="695325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409575</xdr:colOff>
      <xdr:row>0</xdr:row>
      <xdr:rowOff>95250</xdr:rowOff>
    </xdr:from>
    <xdr:to>
      <xdr:col>22</xdr:col>
      <xdr:colOff>381000</xdr:colOff>
      <xdr:row>4</xdr:row>
      <xdr:rowOff>30247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21BEAA-0872-4B7B-9730-C63F5F7AD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95250"/>
          <a:ext cx="1476375" cy="728747"/>
        </a:xfrm>
        <a:prstGeom prst="rect">
          <a:avLst/>
        </a:prstGeom>
      </xdr:spPr>
    </xdr:pic>
    <xdr:clientData/>
  </xdr:twoCellAnchor>
  <xdr:twoCellAnchor>
    <xdr:from>
      <xdr:col>1</xdr:col>
      <xdr:colOff>1571624</xdr:colOff>
      <xdr:row>0</xdr:row>
      <xdr:rowOff>76200</xdr:rowOff>
    </xdr:from>
    <xdr:to>
      <xdr:col>20</xdr:col>
      <xdr:colOff>333374</xdr:colOff>
      <xdr:row>4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10287DE-6160-4CC3-B6D1-27E08300329E}"/>
            </a:ext>
          </a:extLst>
        </xdr:cNvPr>
        <xdr:cNvSpPr txBox="1"/>
      </xdr:nvSpPr>
      <xdr:spPr>
        <a:xfrm>
          <a:off x="1666874" y="76200"/>
          <a:ext cx="14430375" cy="809625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Modelo de Optimización</a:t>
          </a:r>
          <a:r>
            <a:rPr lang="es-CL" sz="4400" b="1" baseline="0">
              <a:solidFill>
                <a:schemeClr val="bg1"/>
              </a:solidFill>
            </a:rPr>
            <a:t> Transporte Campos</a:t>
          </a:r>
          <a:endParaRPr lang="es-CL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66676</xdr:colOff>
      <xdr:row>0</xdr:row>
      <xdr:rowOff>133349</xdr:rowOff>
    </xdr:from>
    <xdr:to>
      <xdr:col>1</xdr:col>
      <xdr:colOff>1514475</xdr:colOff>
      <xdr:row>4</xdr:row>
      <xdr:rowOff>66674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EC5FC47-3E87-451A-86E4-FBA05CF3F465}"/>
            </a:ext>
          </a:extLst>
        </xdr:cNvPr>
        <xdr:cNvSpPr txBox="1"/>
      </xdr:nvSpPr>
      <xdr:spPr>
        <a:xfrm>
          <a:off x="66676" y="133349"/>
          <a:ext cx="1543049" cy="723900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  <xdr:twoCellAnchor>
    <xdr:from>
      <xdr:col>21</xdr:col>
      <xdr:colOff>0</xdr:colOff>
      <xdr:row>8</xdr:row>
      <xdr:rowOff>0</xdr:rowOff>
    </xdr:from>
    <xdr:to>
      <xdr:col>22</xdr:col>
      <xdr:colOff>0</xdr:colOff>
      <xdr:row>9</xdr:row>
      <xdr:rowOff>0</xdr:rowOff>
    </xdr:to>
    <xdr:sp macro="" textlink="">
      <xdr:nvSpPr>
        <xdr:cNvPr id="23" name="OpenSolver1">
          <a:extLst>
            <a:ext uri="{FF2B5EF4-FFF2-40B4-BE49-F238E27FC236}">
              <a16:creationId xmlns:a16="http://schemas.microsoft.com/office/drawing/2014/main" id="{CAF37A4C-1032-B697-AFFA-B4AE17A37FB0}"/>
            </a:ext>
          </a:extLst>
        </xdr:cNvPr>
        <xdr:cNvSpPr/>
      </xdr:nvSpPr>
      <xdr:spPr>
        <a:xfrm>
          <a:off x="16678275" y="1552575"/>
          <a:ext cx="752475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s-C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71</xdr:row>
      <xdr:rowOff>0</xdr:rowOff>
    </xdr:from>
    <xdr:to>
      <xdr:col>25</xdr:col>
      <xdr:colOff>0</xdr:colOff>
      <xdr:row>146</xdr:row>
      <xdr:rowOff>0</xdr:rowOff>
    </xdr:to>
    <xdr:sp macro="" textlink="">
      <xdr:nvSpPr>
        <xdr:cNvPr id="24" name="OpenSolver2">
          <a:extLst>
            <a:ext uri="{FF2B5EF4-FFF2-40B4-BE49-F238E27FC236}">
              <a16:creationId xmlns:a16="http://schemas.microsoft.com/office/drawing/2014/main" id="{81D0512A-ADAD-583B-3260-0E23959E1268}"/>
            </a:ext>
          </a:extLst>
        </xdr:cNvPr>
        <xdr:cNvSpPr/>
      </xdr:nvSpPr>
      <xdr:spPr>
        <a:xfrm>
          <a:off x="2428875" y="13554075"/>
          <a:ext cx="17325975" cy="14287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s-C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5" name="OpenSolver3">
          <a:extLst>
            <a:ext uri="{FF2B5EF4-FFF2-40B4-BE49-F238E27FC236}">
              <a16:creationId xmlns:a16="http://schemas.microsoft.com/office/drawing/2014/main" id="{43622741-46AC-26A2-445D-F028985D0671}"/>
            </a:ext>
          </a:extLst>
        </xdr:cNvPr>
        <xdr:cNvSpPr/>
      </xdr:nvSpPr>
      <xdr:spPr>
        <a:xfrm>
          <a:off x="7486650" y="1362075"/>
          <a:ext cx="7524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s-C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733425</xdr:colOff>
      <xdr:row>6</xdr:row>
      <xdr:rowOff>111125</xdr:rowOff>
    </xdr:from>
    <xdr:to>
      <xdr:col>9</xdr:col>
      <xdr:colOff>212039</xdr:colOff>
      <xdr:row>7</xdr:row>
      <xdr:rowOff>47625</xdr:rowOff>
    </xdr:to>
    <xdr:sp macro="" textlink="">
      <xdr:nvSpPr>
        <xdr:cNvPr id="26" name="OpenSolver4">
          <a:extLst>
            <a:ext uri="{FF2B5EF4-FFF2-40B4-BE49-F238E27FC236}">
              <a16:creationId xmlns:a16="http://schemas.microsoft.com/office/drawing/2014/main" id="{AD2E288F-2354-C46D-302A-987AA835D143}"/>
            </a:ext>
          </a:extLst>
        </xdr:cNvPr>
        <xdr:cNvSpPr/>
      </xdr:nvSpPr>
      <xdr:spPr>
        <a:xfrm>
          <a:off x="74676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s-CL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2</xdr:col>
      <xdr:colOff>12700</xdr:colOff>
      <xdr:row>71</xdr:row>
      <xdr:rowOff>12700</xdr:rowOff>
    </xdr:from>
    <xdr:to>
      <xdr:col>25</xdr:col>
      <xdr:colOff>0</xdr:colOff>
      <xdr:row>146</xdr:row>
      <xdr:rowOff>0</xdr:rowOff>
    </xdr:to>
    <xdr:sp macro="" textlink="">
      <xdr:nvSpPr>
        <xdr:cNvPr id="27" name="OpenSolverC72:Y146">
          <a:extLst>
            <a:ext uri="{FF2B5EF4-FFF2-40B4-BE49-F238E27FC236}">
              <a16:creationId xmlns:a16="http://schemas.microsoft.com/office/drawing/2014/main" id="{07AEA7B2-79FA-7F82-09FD-EC7F83448325}"/>
            </a:ext>
          </a:extLst>
        </xdr:cNvPr>
        <xdr:cNvSpPr/>
      </xdr:nvSpPr>
      <xdr:spPr>
        <a:xfrm>
          <a:off x="2441575" y="13566775"/>
          <a:ext cx="17313275" cy="14274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es-CL" sz="1100" b="1">
              <a:solidFill>
                <a:srgbClr val="0000FF"/>
              </a:solidFill>
            </a:rPr>
            <a:t>0≤</a:t>
          </a:r>
        </a:p>
      </xdr:txBody>
    </xdr:sp>
    <xdr:clientData/>
  </xdr:twoCellAnchor>
  <xdr:twoCellAnchor>
    <xdr:from>
      <xdr:col>22</xdr:col>
      <xdr:colOff>0</xdr:colOff>
      <xdr:row>12</xdr:row>
      <xdr:rowOff>0</xdr:rowOff>
    </xdr:from>
    <xdr:to>
      <xdr:col>23</xdr:col>
      <xdr:colOff>0</xdr:colOff>
      <xdr:row>46</xdr:row>
      <xdr:rowOff>0</xdr:rowOff>
    </xdr:to>
    <xdr:sp macro="" textlink="">
      <xdr:nvSpPr>
        <xdr:cNvPr id="28" name="OpenSolver6">
          <a:extLst>
            <a:ext uri="{FF2B5EF4-FFF2-40B4-BE49-F238E27FC236}">
              <a16:creationId xmlns:a16="http://schemas.microsoft.com/office/drawing/2014/main" id="{76C3DF43-240A-15E7-CFD7-FFC8D6F7EED7}"/>
            </a:ext>
          </a:extLst>
        </xdr:cNvPr>
        <xdr:cNvSpPr/>
      </xdr:nvSpPr>
      <xdr:spPr>
        <a:xfrm>
          <a:off x="17430750" y="2314575"/>
          <a:ext cx="962025" cy="647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s-C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23</xdr:col>
      <xdr:colOff>0</xdr:colOff>
      <xdr:row>12</xdr:row>
      <xdr:rowOff>0</xdr:rowOff>
    </xdr:from>
    <xdr:to>
      <xdr:col>24</xdr:col>
      <xdr:colOff>0</xdr:colOff>
      <xdr:row>46</xdr:row>
      <xdr:rowOff>0</xdr:rowOff>
    </xdr:to>
    <xdr:sp macro="" textlink="">
      <xdr:nvSpPr>
        <xdr:cNvPr id="29" name="OpenSolver7">
          <a:extLst>
            <a:ext uri="{FF2B5EF4-FFF2-40B4-BE49-F238E27FC236}">
              <a16:creationId xmlns:a16="http://schemas.microsoft.com/office/drawing/2014/main" id="{645EE632-A923-0A24-2BF3-484AEB7A037E}"/>
            </a:ext>
          </a:extLst>
        </xdr:cNvPr>
        <xdr:cNvSpPr/>
      </xdr:nvSpPr>
      <xdr:spPr>
        <a:xfrm>
          <a:off x="18249900" y="2314575"/>
          <a:ext cx="666750" cy="647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s-C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23</xdr:col>
      <xdr:colOff>0</xdr:colOff>
      <xdr:row>29</xdr:row>
      <xdr:rowOff>0</xdr:rowOff>
    </xdr:from>
    <xdr:to>
      <xdr:col>23</xdr:col>
      <xdr:colOff>0</xdr:colOff>
      <xdr:row>29</xdr:row>
      <xdr:rowOff>0</xdr:rowOff>
    </xdr:to>
    <xdr:cxnSp macro="">
      <xdr:nvCxnSpPr>
        <xdr:cNvPr id="30" name="OpenSolver8">
          <a:extLst>
            <a:ext uri="{FF2B5EF4-FFF2-40B4-BE49-F238E27FC236}">
              <a16:creationId xmlns:a16="http://schemas.microsoft.com/office/drawing/2014/main" id="{6D5BF1B0-2F25-9C9B-0AF7-DA8FC61F8F84}"/>
            </a:ext>
          </a:extLst>
        </xdr:cNvPr>
        <xdr:cNvCxnSpPr>
          <a:stCxn id="28" idx="3"/>
          <a:endCxn id="29" idx="1"/>
        </xdr:cNvCxnSpPr>
      </xdr:nvCxnSpPr>
      <xdr:spPr>
        <a:xfrm>
          <a:off x="18249900" y="555307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628650</xdr:colOff>
      <xdr:row>28</xdr:row>
      <xdr:rowOff>63500</xdr:rowOff>
    </xdr:from>
    <xdr:to>
      <xdr:col>23</xdr:col>
      <xdr:colOff>190500</xdr:colOff>
      <xdr:row>29</xdr:row>
      <xdr:rowOff>127000</xdr:rowOff>
    </xdr:to>
    <xdr:sp macro="" textlink="">
      <xdr:nvSpPr>
        <xdr:cNvPr id="31" name="OpenSolver9">
          <a:extLst>
            <a:ext uri="{FF2B5EF4-FFF2-40B4-BE49-F238E27FC236}">
              <a16:creationId xmlns:a16="http://schemas.microsoft.com/office/drawing/2014/main" id="{44DAC978-846F-42CC-C6F8-5145697933A6}"/>
            </a:ext>
          </a:extLst>
        </xdr:cNvPr>
        <xdr:cNvSpPr/>
      </xdr:nvSpPr>
      <xdr:spPr>
        <a:xfrm>
          <a:off x="18059400" y="54260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26</xdr:col>
      <xdr:colOff>0</xdr:colOff>
      <xdr:row>9</xdr:row>
      <xdr:rowOff>0</xdr:rowOff>
    </xdr:from>
    <xdr:to>
      <xdr:col>27</xdr:col>
      <xdr:colOff>0</xdr:colOff>
      <xdr:row>34</xdr:row>
      <xdr:rowOff>0</xdr:rowOff>
    </xdr:to>
    <xdr:sp macro="" textlink="">
      <xdr:nvSpPr>
        <xdr:cNvPr id="32" name="OpenSolver10">
          <a:extLst>
            <a:ext uri="{FF2B5EF4-FFF2-40B4-BE49-F238E27FC236}">
              <a16:creationId xmlns:a16="http://schemas.microsoft.com/office/drawing/2014/main" id="{60AFA332-2642-EFC9-1DA6-51E37EE69EA1}"/>
            </a:ext>
          </a:extLst>
        </xdr:cNvPr>
        <xdr:cNvSpPr/>
      </xdr:nvSpPr>
      <xdr:spPr>
        <a:xfrm>
          <a:off x="22231350" y="1743075"/>
          <a:ext cx="704850" cy="476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s-C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27</xdr:col>
      <xdr:colOff>0</xdr:colOff>
      <xdr:row>9</xdr:row>
      <xdr:rowOff>0</xdr:rowOff>
    </xdr:from>
    <xdr:to>
      <xdr:col>28</xdr:col>
      <xdr:colOff>0</xdr:colOff>
      <xdr:row>34</xdr:row>
      <xdr:rowOff>0</xdr:rowOff>
    </xdr:to>
    <xdr:sp macro="" textlink="">
      <xdr:nvSpPr>
        <xdr:cNvPr id="33" name="OpenSolver11">
          <a:extLst>
            <a:ext uri="{FF2B5EF4-FFF2-40B4-BE49-F238E27FC236}">
              <a16:creationId xmlns:a16="http://schemas.microsoft.com/office/drawing/2014/main" id="{8329D6FB-D012-9EFB-4696-DB41B7DA249F}"/>
            </a:ext>
          </a:extLst>
        </xdr:cNvPr>
        <xdr:cNvSpPr/>
      </xdr:nvSpPr>
      <xdr:spPr>
        <a:xfrm>
          <a:off x="22793325" y="1743075"/>
          <a:ext cx="695325" cy="476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s-CL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27</xdr:col>
      <xdr:colOff>0</xdr:colOff>
      <xdr:row>21</xdr:row>
      <xdr:rowOff>95250</xdr:rowOff>
    </xdr:from>
    <xdr:to>
      <xdr:col>27</xdr:col>
      <xdr:colOff>0</xdr:colOff>
      <xdr:row>21</xdr:row>
      <xdr:rowOff>95250</xdr:rowOff>
    </xdr:to>
    <xdr:cxnSp macro="">
      <xdr:nvCxnSpPr>
        <xdr:cNvPr id="34" name="OpenSolver12">
          <a:extLst>
            <a:ext uri="{FF2B5EF4-FFF2-40B4-BE49-F238E27FC236}">
              <a16:creationId xmlns:a16="http://schemas.microsoft.com/office/drawing/2014/main" id="{63B78FD7-B364-6CA7-B34E-C373385612CF}"/>
            </a:ext>
          </a:extLst>
        </xdr:cNvPr>
        <xdr:cNvCxnSpPr>
          <a:stCxn id="32" idx="3"/>
          <a:endCxn id="33" idx="1"/>
        </xdr:cNvCxnSpPr>
      </xdr:nvCxnSpPr>
      <xdr:spPr>
        <a:xfrm>
          <a:off x="22793325" y="4124325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514348</xdr:colOff>
      <xdr:row>20</xdr:row>
      <xdr:rowOff>158750</xdr:rowOff>
    </xdr:from>
    <xdr:to>
      <xdr:col>27</xdr:col>
      <xdr:colOff>190498</xdr:colOff>
      <xdr:row>22</xdr:row>
      <xdr:rowOff>31750</xdr:rowOff>
    </xdr:to>
    <xdr:sp macro="" textlink="">
      <xdr:nvSpPr>
        <xdr:cNvPr id="35" name="OpenSolver13">
          <a:extLst>
            <a:ext uri="{FF2B5EF4-FFF2-40B4-BE49-F238E27FC236}">
              <a16:creationId xmlns:a16="http://schemas.microsoft.com/office/drawing/2014/main" id="{CAA0B70A-AF46-9C69-B804-541A66594328}"/>
            </a:ext>
          </a:extLst>
        </xdr:cNvPr>
        <xdr:cNvSpPr/>
      </xdr:nvSpPr>
      <xdr:spPr>
        <a:xfrm>
          <a:off x="22602823" y="39973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12700</xdr:colOff>
      <xdr:row>8</xdr:row>
      <xdr:rowOff>12700</xdr:rowOff>
    </xdr:from>
    <xdr:to>
      <xdr:col>22</xdr:col>
      <xdr:colOff>0</xdr:colOff>
      <xdr:row>9</xdr:row>
      <xdr:rowOff>0</xdr:rowOff>
    </xdr:to>
    <xdr:sp macro="" textlink="">
      <xdr:nvSpPr>
        <xdr:cNvPr id="36" name="OpenSolverV9">
          <a:extLst>
            <a:ext uri="{FF2B5EF4-FFF2-40B4-BE49-F238E27FC236}">
              <a16:creationId xmlns:a16="http://schemas.microsoft.com/office/drawing/2014/main" id="{01ADC1CA-0FCC-2C24-D652-78510F309F86}"/>
            </a:ext>
          </a:extLst>
        </xdr:cNvPr>
        <xdr:cNvSpPr/>
      </xdr:nvSpPr>
      <xdr:spPr>
        <a:xfrm>
          <a:off x="16690975" y="1565275"/>
          <a:ext cx="739775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s-CL" sz="1100" b="1">
              <a:solidFill>
                <a:srgbClr val="800000"/>
              </a:solidFill>
            </a:rPr>
            <a:t>0≤</a:t>
          </a:r>
        </a:p>
      </xdr:txBody>
    </xdr:sp>
    <xdr:clientData/>
  </xdr:twoCellAnchor>
  <xdr:twoCellAnchor>
    <xdr:from>
      <xdr:col>2</xdr:col>
      <xdr:colOff>25400</xdr:colOff>
      <xdr:row>71</xdr:row>
      <xdr:rowOff>25400</xdr:rowOff>
    </xdr:from>
    <xdr:to>
      <xdr:col>25</xdr:col>
      <xdr:colOff>0</xdr:colOff>
      <xdr:row>146</xdr:row>
      <xdr:rowOff>0</xdr:rowOff>
    </xdr:to>
    <xdr:sp macro="" textlink="">
      <xdr:nvSpPr>
        <xdr:cNvPr id="37" name="OpenSolver15">
          <a:extLst>
            <a:ext uri="{FF2B5EF4-FFF2-40B4-BE49-F238E27FC236}">
              <a16:creationId xmlns:a16="http://schemas.microsoft.com/office/drawing/2014/main" id="{214C9121-723E-BF00-24AA-C6EC2EDDED77}"/>
            </a:ext>
          </a:extLst>
        </xdr:cNvPr>
        <xdr:cNvSpPr/>
      </xdr:nvSpPr>
      <xdr:spPr>
        <a:xfrm>
          <a:off x="2454275" y="13579475"/>
          <a:ext cx="17300575" cy="142621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s-C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9525</xdr:colOff>
      <xdr:row>70</xdr:row>
      <xdr:rowOff>136525</xdr:rowOff>
    </xdr:from>
    <xdr:to>
      <xdr:col>2</xdr:col>
      <xdr:colOff>370458</xdr:colOff>
      <xdr:row>71</xdr:row>
      <xdr:rowOff>73025</xdr:rowOff>
    </xdr:to>
    <xdr:sp macro="" textlink="">
      <xdr:nvSpPr>
        <xdr:cNvPr id="38" name="OpenSolver16">
          <a:extLst>
            <a:ext uri="{FF2B5EF4-FFF2-40B4-BE49-F238E27FC236}">
              <a16:creationId xmlns:a16="http://schemas.microsoft.com/office/drawing/2014/main" id="{2E8FF606-45BE-DDEF-C158-EE5D9659563B}"/>
            </a:ext>
          </a:extLst>
        </xdr:cNvPr>
        <xdr:cNvSpPr/>
      </xdr:nvSpPr>
      <xdr:spPr>
        <a:xfrm>
          <a:off x="2438400" y="13500100"/>
          <a:ext cx="360933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s-CL" sz="900">
              <a:solidFill>
                <a:srgbClr val="000000"/>
              </a:solidFill>
            </a:rPr>
            <a:t>integer</a:t>
          </a:r>
        </a:p>
      </xdr:txBody>
    </xdr:sp>
    <xdr:clientData/>
  </xdr:twoCellAnchor>
  <xdr:twoCellAnchor>
    <xdr:from>
      <xdr:col>21</xdr:col>
      <xdr:colOff>25400</xdr:colOff>
      <xdr:row>8</xdr:row>
      <xdr:rowOff>25400</xdr:rowOff>
    </xdr:from>
    <xdr:to>
      <xdr:col>22</xdr:col>
      <xdr:colOff>0</xdr:colOff>
      <xdr:row>9</xdr:row>
      <xdr:rowOff>0</xdr:rowOff>
    </xdr:to>
    <xdr:sp macro="" textlink="">
      <xdr:nvSpPr>
        <xdr:cNvPr id="39" name="OpenSolver17">
          <a:extLst>
            <a:ext uri="{FF2B5EF4-FFF2-40B4-BE49-F238E27FC236}">
              <a16:creationId xmlns:a16="http://schemas.microsoft.com/office/drawing/2014/main" id="{E1E3BF93-D5ED-67A1-C36D-F604144566F3}"/>
            </a:ext>
          </a:extLst>
        </xdr:cNvPr>
        <xdr:cNvSpPr/>
      </xdr:nvSpPr>
      <xdr:spPr>
        <a:xfrm>
          <a:off x="16703675" y="1577975"/>
          <a:ext cx="727075" cy="1651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s-C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21</xdr:col>
      <xdr:colOff>9525</xdr:colOff>
      <xdr:row>7</xdr:row>
      <xdr:rowOff>136525</xdr:rowOff>
    </xdr:from>
    <xdr:to>
      <xdr:col>21</xdr:col>
      <xdr:colOff>370458</xdr:colOff>
      <xdr:row>8</xdr:row>
      <xdr:rowOff>73025</xdr:rowOff>
    </xdr:to>
    <xdr:sp macro="" textlink="">
      <xdr:nvSpPr>
        <xdr:cNvPr id="40" name="OpenSolver18">
          <a:extLst>
            <a:ext uri="{FF2B5EF4-FFF2-40B4-BE49-F238E27FC236}">
              <a16:creationId xmlns:a16="http://schemas.microsoft.com/office/drawing/2014/main" id="{E5F043C7-CF14-391A-E247-F41610E4289C}"/>
            </a:ext>
          </a:extLst>
        </xdr:cNvPr>
        <xdr:cNvSpPr/>
      </xdr:nvSpPr>
      <xdr:spPr>
        <a:xfrm>
          <a:off x="16687800" y="1498600"/>
          <a:ext cx="360933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s-CL" sz="900">
              <a:solidFill>
                <a:srgbClr val="000000"/>
              </a:solidFill>
            </a:rPr>
            <a:t>integer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505883</xdr:colOff>
      <xdr:row>0</xdr:row>
      <xdr:rowOff>95250</xdr:rowOff>
    </xdr:from>
    <xdr:to>
      <xdr:col>18</xdr:col>
      <xdr:colOff>552449</xdr:colOff>
      <xdr:row>4</xdr:row>
      <xdr:rowOff>61997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F5002D-68F2-4CBF-A779-C20907B5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12608" y="95250"/>
          <a:ext cx="1475316" cy="728747"/>
        </a:xfrm>
        <a:prstGeom prst="rect">
          <a:avLst/>
        </a:prstGeom>
      </xdr:spPr>
    </xdr:pic>
    <xdr:clientData/>
  </xdr:twoCellAnchor>
  <xdr:twoCellAnchor>
    <xdr:from>
      <xdr:col>1</xdr:col>
      <xdr:colOff>1514475</xdr:colOff>
      <xdr:row>0</xdr:row>
      <xdr:rowOff>85725</xdr:rowOff>
    </xdr:from>
    <xdr:to>
      <xdr:col>16</xdr:col>
      <xdr:colOff>352424</xdr:colOff>
      <xdr:row>4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DE1E39-932D-4416-81E4-CE7D419AC201}"/>
            </a:ext>
          </a:extLst>
        </xdr:cNvPr>
        <xdr:cNvSpPr txBox="1"/>
      </xdr:nvSpPr>
      <xdr:spPr>
        <a:xfrm>
          <a:off x="1733550" y="85725"/>
          <a:ext cx="14325599" cy="781050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Resultados Modelo de Optimización</a:t>
          </a:r>
          <a:r>
            <a:rPr lang="es-CL" sz="4400" b="1" baseline="0">
              <a:solidFill>
                <a:schemeClr val="bg1"/>
              </a:solidFill>
            </a:rPr>
            <a:t> Estratégico</a:t>
          </a:r>
          <a:endParaRPr lang="es-CL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130175</xdr:colOff>
      <xdr:row>0</xdr:row>
      <xdr:rowOff>133350</xdr:rowOff>
    </xdr:from>
    <xdr:to>
      <xdr:col>1</xdr:col>
      <xdr:colOff>1419225</xdr:colOff>
      <xdr:row>4</xdr:row>
      <xdr:rowOff>66675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CE96283-1855-4127-9ECA-0C70D2EBBEDD}"/>
            </a:ext>
          </a:extLst>
        </xdr:cNvPr>
        <xdr:cNvSpPr txBox="1"/>
      </xdr:nvSpPr>
      <xdr:spPr>
        <a:xfrm>
          <a:off x="130175" y="133350"/>
          <a:ext cx="1508125" cy="695325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10583</xdr:colOff>
      <xdr:row>0</xdr:row>
      <xdr:rowOff>95250</xdr:rowOff>
    </xdr:from>
    <xdr:to>
      <xdr:col>22</xdr:col>
      <xdr:colOff>1485899</xdr:colOff>
      <xdr:row>4</xdr:row>
      <xdr:rowOff>61997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0" y="95250"/>
          <a:ext cx="1484841" cy="728747"/>
        </a:xfrm>
        <a:prstGeom prst="rect">
          <a:avLst/>
        </a:prstGeom>
      </xdr:spPr>
    </xdr:pic>
    <xdr:clientData/>
  </xdr:twoCellAnchor>
  <xdr:twoCellAnchor>
    <xdr:from>
      <xdr:col>2</xdr:col>
      <xdr:colOff>518583</xdr:colOff>
      <xdr:row>0</xdr:row>
      <xdr:rowOff>85725</xdr:rowOff>
    </xdr:from>
    <xdr:to>
      <xdr:col>21</xdr:col>
      <xdr:colOff>709083</xdr:colOff>
      <xdr:row>4</xdr:row>
      <xdr:rowOff>104775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682750" y="85725"/>
          <a:ext cx="16520583" cy="781050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Resultados Modelo de Optimización</a:t>
          </a:r>
          <a:r>
            <a:rPr lang="es-CL" sz="4400" b="1" baseline="0">
              <a:solidFill>
                <a:schemeClr val="bg1"/>
              </a:solidFill>
            </a:rPr>
            <a:t> Estratégico</a:t>
          </a:r>
          <a:endParaRPr lang="es-CL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130175</xdr:colOff>
      <xdr:row>0</xdr:row>
      <xdr:rowOff>133350</xdr:rowOff>
    </xdr:from>
    <xdr:to>
      <xdr:col>2</xdr:col>
      <xdr:colOff>412750</xdr:colOff>
      <xdr:row>4</xdr:row>
      <xdr:rowOff>66675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0175" y="133350"/>
          <a:ext cx="1446742" cy="695325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428625</xdr:colOff>
      <xdr:row>0</xdr:row>
      <xdr:rowOff>85725</xdr:rowOff>
    </xdr:from>
    <xdr:to>
      <xdr:col>29</xdr:col>
      <xdr:colOff>76200</xdr:colOff>
      <xdr:row>4</xdr:row>
      <xdr:rowOff>49297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78225" y="85725"/>
          <a:ext cx="1476375" cy="728747"/>
        </a:xfrm>
        <a:prstGeom prst="rect">
          <a:avLst/>
        </a:prstGeom>
      </xdr:spPr>
    </xdr:pic>
    <xdr:clientData/>
  </xdr:twoCellAnchor>
  <xdr:twoCellAnchor>
    <xdr:from>
      <xdr:col>2</xdr:col>
      <xdr:colOff>466724</xdr:colOff>
      <xdr:row>0</xdr:row>
      <xdr:rowOff>66675</xdr:rowOff>
    </xdr:from>
    <xdr:to>
      <xdr:col>26</xdr:col>
      <xdr:colOff>285750</xdr:colOff>
      <xdr:row>4</xdr:row>
      <xdr:rowOff>85725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685924" y="66675"/>
          <a:ext cx="14449426" cy="781050"/>
        </a:xfrm>
        <a:prstGeom prst="rect">
          <a:avLst/>
        </a:prstGeom>
        <a:solidFill>
          <a:srgbClr val="007B3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4400" b="1">
              <a:solidFill>
                <a:schemeClr val="bg1"/>
              </a:solidFill>
            </a:rPr>
            <a:t>Parámetros Auxiliares</a:t>
          </a:r>
        </a:p>
      </xdr:txBody>
    </xdr:sp>
    <xdr:clientData/>
  </xdr:twoCellAnchor>
  <xdr:twoCellAnchor>
    <xdr:from>
      <xdr:col>0</xdr:col>
      <xdr:colOff>76200</xdr:colOff>
      <xdr:row>0</xdr:row>
      <xdr:rowOff>123824</xdr:rowOff>
    </xdr:from>
    <xdr:to>
      <xdr:col>2</xdr:col>
      <xdr:colOff>295275</xdr:colOff>
      <xdr:row>4</xdr:row>
      <xdr:rowOff>57149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6200" y="123824"/>
          <a:ext cx="1438275" cy="695325"/>
        </a:xfrm>
        <a:prstGeom prst="rect">
          <a:avLst/>
        </a:prstGeom>
        <a:solidFill>
          <a:schemeClr val="lt1"/>
        </a:solidFill>
        <a:ln w="9525" cmpd="sng">
          <a:solidFill>
            <a:srgbClr val="E5332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200" b="1">
              <a:solidFill>
                <a:srgbClr val="E53328"/>
              </a:solidFill>
            </a:rPr>
            <a:t>Fernando</a:t>
          </a:r>
          <a:r>
            <a:rPr lang="es-CL" sz="1200" b="1" baseline="0">
              <a:solidFill>
                <a:srgbClr val="E53328"/>
              </a:solidFill>
            </a:rPr>
            <a:t> Moore</a:t>
          </a:r>
        </a:p>
        <a:p>
          <a:pPr algn="ctr"/>
          <a:endParaRPr lang="es-CL" sz="1200" b="1" baseline="0">
            <a:solidFill>
              <a:srgbClr val="E53328"/>
            </a:solidFill>
          </a:endParaRPr>
        </a:p>
        <a:p>
          <a:pPr algn="ctr"/>
          <a:r>
            <a:rPr lang="es-CL" sz="1200" b="1" baseline="0">
              <a:solidFill>
                <a:srgbClr val="E53328"/>
              </a:solidFill>
            </a:rPr>
            <a:t>Consultoría Externa</a:t>
          </a:r>
          <a:endParaRPr lang="es-CL" sz="1200" b="1">
            <a:solidFill>
              <a:srgbClr val="E53328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B18"/>
  <sheetViews>
    <sheetView showGridLines="0" workbookViewId="0">
      <selection activeCell="B11" sqref="B11"/>
    </sheetView>
  </sheetViews>
  <sheetFormatPr baseColWidth="10" defaultColWidth="8.7265625" defaultRowHeight="14.5" x14ac:dyDescent="0.35"/>
  <cols>
    <col min="2" max="2" width="16" bestFit="1" customWidth="1"/>
    <col min="3" max="11" width="9.1796875" customWidth="1"/>
  </cols>
  <sheetData>
    <row r="6" spans="2:2" x14ac:dyDescent="0.35">
      <c r="B6" s="199" t="s">
        <v>153</v>
      </c>
    </row>
    <row r="8" spans="2:2" x14ac:dyDescent="0.35">
      <c r="B8" s="11" t="s">
        <v>154</v>
      </c>
    </row>
    <row r="10" spans="2:2" x14ac:dyDescent="0.35">
      <c r="B10" s="11" t="s">
        <v>184</v>
      </c>
    </row>
    <row r="12" spans="2:2" x14ac:dyDescent="0.35">
      <c r="B12" s="11" t="s">
        <v>155</v>
      </c>
    </row>
    <row r="14" spans="2:2" x14ac:dyDescent="0.35">
      <c r="B14" s="11" t="s">
        <v>162</v>
      </c>
    </row>
    <row r="15" spans="2:2" x14ac:dyDescent="0.35">
      <c r="B15" s="11"/>
    </row>
    <row r="16" spans="2:2" x14ac:dyDescent="0.35">
      <c r="B16" s="11" t="s">
        <v>163</v>
      </c>
    </row>
    <row r="18" spans="2:2" x14ac:dyDescent="0.35">
      <c r="B18" s="11" t="s">
        <v>164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1FCEC-AA73-48F1-A033-24093A727407}">
  <sheetPr codeName="Sheet2">
    <tabColor rgb="FFFFFF00"/>
  </sheetPr>
  <dimension ref="A1:IN1377"/>
  <sheetViews>
    <sheetView showGridLines="0" workbookViewId="0">
      <selection activeCell="B7" sqref="B7:J81"/>
    </sheetView>
  </sheetViews>
  <sheetFormatPr baseColWidth="10" defaultColWidth="11.453125" defaultRowHeight="14.5" x14ac:dyDescent="0.35"/>
  <cols>
    <col min="1" max="1" width="2.26953125" style="10" customWidth="1"/>
    <col min="2" max="2" width="32.453125" style="7" bestFit="1" customWidth="1"/>
    <col min="3" max="3" width="36" style="7" bestFit="1" customWidth="1"/>
    <col min="4" max="4" width="8.54296875" style="7" bestFit="1" customWidth="1"/>
    <col min="5" max="5" width="11.1796875" style="59" bestFit="1" customWidth="1"/>
    <col min="6" max="6" width="12.453125" style="7" bestFit="1" customWidth="1"/>
    <col min="7" max="7" width="35" style="7" bestFit="1" customWidth="1"/>
    <col min="8" max="8" width="20.7265625" style="66" bestFit="1" customWidth="1"/>
    <col min="9" max="9" width="10.1796875" style="67" bestFit="1" customWidth="1"/>
    <col min="10" max="10" width="15.54296875" style="66" bestFit="1" customWidth="1"/>
    <col min="11" max="233" width="11.453125" style="10"/>
    <col min="234" max="234" width="2.54296875" style="10" customWidth="1"/>
    <col min="235" max="235" width="18.1796875" style="10" bestFit="1" customWidth="1"/>
    <col min="236" max="236" width="13.1796875" style="10" bestFit="1" customWidth="1"/>
    <col min="237" max="237" width="14.7265625" style="10" bestFit="1" customWidth="1"/>
    <col min="238" max="238" width="17.1796875" style="10" bestFit="1" customWidth="1"/>
    <col min="239" max="239" width="16.453125" style="10" bestFit="1" customWidth="1"/>
    <col min="240" max="240" width="13.26953125" style="10" customWidth="1"/>
    <col min="241" max="241" width="13.1796875" style="10" customWidth="1"/>
    <col min="242" max="242" width="15.26953125" style="10" bestFit="1" customWidth="1"/>
    <col min="243" max="243" width="9.7265625" style="10" customWidth="1"/>
    <col min="244" max="244" width="14.1796875" style="10" customWidth="1"/>
    <col min="245" max="245" width="13.26953125" style="10" customWidth="1"/>
    <col min="246" max="246" width="15.81640625" style="10" customWidth="1"/>
    <col min="247" max="247" width="9.1796875" style="10" customWidth="1"/>
    <col min="248" max="248" width="6.1796875" style="10" customWidth="1"/>
    <col min="249" max="249" width="18" style="10" customWidth="1"/>
    <col min="250" max="250" width="19.26953125" style="10" customWidth="1"/>
    <col min="251" max="251" width="6.1796875" style="10" customWidth="1"/>
    <col min="252" max="252" width="13.81640625" style="10" bestFit="1" customWidth="1"/>
    <col min="253" max="253" width="11.453125" style="10"/>
    <col min="254" max="254" width="13" style="10" bestFit="1" customWidth="1"/>
    <col min="255" max="255" width="13.54296875" style="10" bestFit="1" customWidth="1"/>
    <col min="256" max="256" width="15.7265625" style="10" customWidth="1"/>
    <col min="257" max="489" width="11.453125" style="10"/>
    <col min="490" max="490" width="2.54296875" style="10" customWidth="1"/>
    <col min="491" max="491" width="18.1796875" style="10" bestFit="1" customWidth="1"/>
    <col min="492" max="492" width="13.1796875" style="10" bestFit="1" customWidth="1"/>
    <col min="493" max="493" width="14.7265625" style="10" bestFit="1" customWidth="1"/>
    <col min="494" max="494" width="17.1796875" style="10" bestFit="1" customWidth="1"/>
    <col min="495" max="495" width="16.453125" style="10" bestFit="1" customWidth="1"/>
    <col min="496" max="496" width="13.26953125" style="10" customWidth="1"/>
    <col min="497" max="497" width="13.1796875" style="10" customWidth="1"/>
    <col min="498" max="498" width="15.26953125" style="10" bestFit="1" customWidth="1"/>
    <col min="499" max="499" width="9.7265625" style="10" customWidth="1"/>
    <col min="500" max="500" width="14.1796875" style="10" customWidth="1"/>
    <col min="501" max="501" width="13.26953125" style="10" customWidth="1"/>
    <col min="502" max="502" width="15.81640625" style="10" customWidth="1"/>
    <col min="503" max="503" width="9.1796875" style="10" customWidth="1"/>
    <col min="504" max="504" width="6.1796875" style="10" customWidth="1"/>
    <col min="505" max="505" width="18" style="10" customWidth="1"/>
    <col min="506" max="506" width="19.26953125" style="10" customWidth="1"/>
    <col min="507" max="507" width="6.1796875" style="10" customWidth="1"/>
    <col min="508" max="508" width="13.81640625" style="10" bestFit="1" customWidth="1"/>
    <col min="509" max="509" width="11.453125" style="10"/>
    <col min="510" max="510" width="13" style="10" bestFit="1" customWidth="1"/>
    <col min="511" max="511" width="13.54296875" style="10" bestFit="1" customWidth="1"/>
    <col min="512" max="512" width="15.7265625" style="10" customWidth="1"/>
    <col min="513" max="745" width="11.453125" style="10"/>
    <col min="746" max="746" width="2.54296875" style="10" customWidth="1"/>
    <col min="747" max="747" width="18.1796875" style="10" bestFit="1" customWidth="1"/>
    <col min="748" max="748" width="13.1796875" style="10" bestFit="1" customWidth="1"/>
    <col min="749" max="749" width="14.7265625" style="10" bestFit="1" customWidth="1"/>
    <col min="750" max="750" width="17.1796875" style="10" bestFit="1" customWidth="1"/>
    <col min="751" max="751" width="16.453125" style="10" bestFit="1" customWidth="1"/>
    <col min="752" max="752" width="13.26953125" style="10" customWidth="1"/>
    <col min="753" max="753" width="13.1796875" style="10" customWidth="1"/>
    <col min="754" max="754" width="15.26953125" style="10" bestFit="1" customWidth="1"/>
    <col min="755" max="755" width="9.7265625" style="10" customWidth="1"/>
    <col min="756" max="756" width="14.1796875" style="10" customWidth="1"/>
    <col min="757" max="757" width="13.26953125" style="10" customWidth="1"/>
    <col min="758" max="758" width="15.81640625" style="10" customWidth="1"/>
    <col min="759" max="759" width="9.1796875" style="10" customWidth="1"/>
    <col min="760" max="760" width="6.1796875" style="10" customWidth="1"/>
    <col min="761" max="761" width="18" style="10" customWidth="1"/>
    <col min="762" max="762" width="19.26953125" style="10" customWidth="1"/>
    <col min="763" max="763" width="6.1796875" style="10" customWidth="1"/>
    <col min="764" max="764" width="13.81640625" style="10" bestFit="1" customWidth="1"/>
    <col min="765" max="765" width="11.453125" style="10"/>
    <col min="766" max="766" width="13" style="10" bestFit="1" customWidth="1"/>
    <col min="767" max="767" width="13.54296875" style="10" bestFit="1" customWidth="1"/>
    <col min="768" max="768" width="15.7265625" style="10" customWidth="1"/>
    <col min="769" max="1001" width="11.453125" style="10"/>
    <col min="1002" max="1002" width="2.54296875" style="10" customWidth="1"/>
    <col min="1003" max="1003" width="18.1796875" style="10" bestFit="1" customWidth="1"/>
    <col min="1004" max="1004" width="13.1796875" style="10" bestFit="1" customWidth="1"/>
    <col min="1005" max="1005" width="14.7265625" style="10" bestFit="1" customWidth="1"/>
    <col min="1006" max="1006" width="17.1796875" style="10" bestFit="1" customWidth="1"/>
    <col min="1007" max="1007" width="16.453125" style="10" bestFit="1" customWidth="1"/>
    <col min="1008" max="1008" width="13.26953125" style="10" customWidth="1"/>
    <col min="1009" max="1009" width="13.1796875" style="10" customWidth="1"/>
    <col min="1010" max="1010" width="15.26953125" style="10" bestFit="1" customWidth="1"/>
    <col min="1011" max="1011" width="9.7265625" style="10" customWidth="1"/>
    <col min="1012" max="1012" width="14.1796875" style="10" customWidth="1"/>
    <col min="1013" max="1013" width="13.26953125" style="10" customWidth="1"/>
    <col min="1014" max="1014" width="15.81640625" style="10" customWidth="1"/>
    <col min="1015" max="1015" width="9.1796875" style="10" customWidth="1"/>
    <col min="1016" max="1016" width="6.1796875" style="10" customWidth="1"/>
    <col min="1017" max="1017" width="18" style="10" customWidth="1"/>
    <col min="1018" max="1018" width="19.26953125" style="10" customWidth="1"/>
    <col min="1019" max="1019" width="6.1796875" style="10" customWidth="1"/>
    <col min="1020" max="1020" width="13.81640625" style="10" bestFit="1" customWidth="1"/>
    <col min="1021" max="1021" width="11.453125" style="10"/>
    <col min="1022" max="1022" width="13" style="10" bestFit="1" customWidth="1"/>
    <col min="1023" max="1023" width="13.54296875" style="10" bestFit="1" customWidth="1"/>
    <col min="1024" max="1024" width="15.7265625" style="10" customWidth="1"/>
    <col min="1025" max="1257" width="11.453125" style="10"/>
    <col min="1258" max="1258" width="2.54296875" style="10" customWidth="1"/>
    <col min="1259" max="1259" width="18.1796875" style="10" bestFit="1" customWidth="1"/>
    <col min="1260" max="1260" width="13.1796875" style="10" bestFit="1" customWidth="1"/>
    <col min="1261" max="1261" width="14.7265625" style="10" bestFit="1" customWidth="1"/>
    <col min="1262" max="1262" width="17.1796875" style="10" bestFit="1" customWidth="1"/>
    <col min="1263" max="1263" width="16.453125" style="10" bestFit="1" customWidth="1"/>
    <col min="1264" max="1264" width="13.26953125" style="10" customWidth="1"/>
    <col min="1265" max="1265" width="13.1796875" style="10" customWidth="1"/>
    <col min="1266" max="1266" width="15.26953125" style="10" bestFit="1" customWidth="1"/>
    <col min="1267" max="1267" width="9.7265625" style="10" customWidth="1"/>
    <col min="1268" max="1268" width="14.1796875" style="10" customWidth="1"/>
    <col min="1269" max="1269" width="13.26953125" style="10" customWidth="1"/>
    <col min="1270" max="1270" width="15.81640625" style="10" customWidth="1"/>
    <col min="1271" max="1271" width="9.1796875" style="10" customWidth="1"/>
    <col min="1272" max="1272" width="6.1796875" style="10" customWidth="1"/>
    <col min="1273" max="1273" width="18" style="10" customWidth="1"/>
    <col min="1274" max="1274" width="19.26953125" style="10" customWidth="1"/>
    <col min="1275" max="1275" width="6.1796875" style="10" customWidth="1"/>
    <col min="1276" max="1276" width="13.81640625" style="10" bestFit="1" customWidth="1"/>
    <col min="1277" max="1277" width="11.453125" style="10"/>
    <col min="1278" max="1278" width="13" style="10" bestFit="1" customWidth="1"/>
    <col min="1279" max="1279" width="13.54296875" style="10" bestFit="1" customWidth="1"/>
    <col min="1280" max="1280" width="15.7265625" style="10" customWidth="1"/>
    <col min="1281" max="1513" width="11.453125" style="10"/>
    <col min="1514" max="1514" width="2.54296875" style="10" customWidth="1"/>
    <col min="1515" max="1515" width="18.1796875" style="10" bestFit="1" customWidth="1"/>
    <col min="1516" max="1516" width="13.1796875" style="10" bestFit="1" customWidth="1"/>
    <col min="1517" max="1517" width="14.7265625" style="10" bestFit="1" customWidth="1"/>
    <col min="1518" max="1518" width="17.1796875" style="10" bestFit="1" customWidth="1"/>
    <col min="1519" max="1519" width="16.453125" style="10" bestFit="1" customWidth="1"/>
    <col min="1520" max="1520" width="13.26953125" style="10" customWidth="1"/>
    <col min="1521" max="1521" width="13.1796875" style="10" customWidth="1"/>
    <col min="1522" max="1522" width="15.26953125" style="10" bestFit="1" customWidth="1"/>
    <col min="1523" max="1523" width="9.7265625" style="10" customWidth="1"/>
    <col min="1524" max="1524" width="14.1796875" style="10" customWidth="1"/>
    <col min="1525" max="1525" width="13.26953125" style="10" customWidth="1"/>
    <col min="1526" max="1526" width="15.81640625" style="10" customWidth="1"/>
    <col min="1527" max="1527" width="9.1796875" style="10" customWidth="1"/>
    <col min="1528" max="1528" width="6.1796875" style="10" customWidth="1"/>
    <col min="1529" max="1529" width="18" style="10" customWidth="1"/>
    <col min="1530" max="1530" width="19.26953125" style="10" customWidth="1"/>
    <col min="1531" max="1531" width="6.1796875" style="10" customWidth="1"/>
    <col min="1532" max="1532" width="13.81640625" style="10" bestFit="1" customWidth="1"/>
    <col min="1533" max="1533" width="11.453125" style="10"/>
    <col min="1534" max="1534" width="13" style="10" bestFit="1" customWidth="1"/>
    <col min="1535" max="1535" width="13.54296875" style="10" bestFit="1" customWidth="1"/>
    <col min="1536" max="1536" width="15.7265625" style="10" customWidth="1"/>
    <col min="1537" max="1769" width="11.453125" style="10"/>
    <col min="1770" max="1770" width="2.54296875" style="10" customWidth="1"/>
    <col min="1771" max="1771" width="18.1796875" style="10" bestFit="1" customWidth="1"/>
    <col min="1772" max="1772" width="13.1796875" style="10" bestFit="1" customWidth="1"/>
    <col min="1773" max="1773" width="14.7265625" style="10" bestFit="1" customWidth="1"/>
    <col min="1774" max="1774" width="17.1796875" style="10" bestFit="1" customWidth="1"/>
    <col min="1775" max="1775" width="16.453125" style="10" bestFit="1" customWidth="1"/>
    <col min="1776" max="1776" width="13.26953125" style="10" customWidth="1"/>
    <col min="1777" max="1777" width="13.1796875" style="10" customWidth="1"/>
    <col min="1778" max="1778" width="15.26953125" style="10" bestFit="1" customWidth="1"/>
    <col min="1779" max="1779" width="9.7265625" style="10" customWidth="1"/>
    <col min="1780" max="1780" width="14.1796875" style="10" customWidth="1"/>
    <col min="1781" max="1781" width="13.26953125" style="10" customWidth="1"/>
    <col min="1782" max="1782" width="15.81640625" style="10" customWidth="1"/>
    <col min="1783" max="1783" width="9.1796875" style="10" customWidth="1"/>
    <col min="1784" max="1784" width="6.1796875" style="10" customWidth="1"/>
    <col min="1785" max="1785" width="18" style="10" customWidth="1"/>
    <col min="1786" max="1786" width="19.26953125" style="10" customWidth="1"/>
    <col min="1787" max="1787" width="6.1796875" style="10" customWidth="1"/>
    <col min="1788" max="1788" width="13.81640625" style="10" bestFit="1" customWidth="1"/>
    <col min="1789" max="1789" width="11.453125" style="10"/>
    <col min="1790" max="1790" width="13" style="10" bestFit="1" customWidth="1"/>
    <col min="1791" max="1791" width="13.54296875" style="10" bestFit="1" customWidth="1"/>
    <col min="1792" max="1792" width="15.7265625" style="10" customWidth="1"/>
    <col min="1793" max="2025" width="11.453125" style="10"/>
    <col min="2026" max="2026" width="2.54296875" style="10" customWidth="1"/>
    <col min="2027" max="2027" width="18.1796875" style="10" bestFit="1" customWidth="1"/>
    <col min="2028" max="2028" width="13.1796875" style="10" bestFit="1" customWidth="1"/>
    <col min="2029" max="2029" width="14.7265625" style="10" bestFit="1" customWidth="1"/>
    <col min="2030" max="2030" width="17.1796875" style="10" bestFit="1" customWidth="1"/>
    <col min="2031" max="2031" width="16.453125" style="10" bestFit="1" customWidth="1"/>
    <col min="2032" max="2032" width="13.26953125" style="10" customWidth="1"/>
    <col min="2033" max="2033" width="13.1796875" style="10" customWidth="1"/>
    <col min="2034" max="2034" width="15.26953125" style="10" bestFit="1" customWidth="1"/>
    <col min="2035" max="2035" width="9.7265625" style="10" customWidth="1"/>
    <col min="2036" max="2036" width="14.1796875" style="10" customWidth="1"/>
    <col min="2037" max="2037" width="13.26953125" style="10" customWidth="1"/>
    <col min="2038" max="2038" width="15.81640625" style="10" customWidth="1"/>
    <col min="2039" max="2039" width="9.1796875" style="10" customWidth="1"/>
    <col min="2040" max="2040" width="6.1796875" style="10" customWidth="1"/>
    <col min="2041" max="2041" width="18" style="10" customWidth="1"/>
    <col min="2042" max="2042" width="19.26953125" style="10" customWidth="1"/>
    <col min="2043" max="2043" width="6.1796875" style="10" customWidth="1"/>
    <col min="2044" max="2044" width="13.81640625" style="10" bestFit="1" customWidth="1"/>
    <col min="2045" max="2045" width="11.453125" style="10"/>
    <col min="2046" max="2046" width="13" style="10" bestFit="1" customWidth="1"/>
    <col min="2047" max="2047" width="13.54296875" style="10" bestFit="1" customWidth="1"/>
    <col min="2048" max="2048" width="15.7265625" style="10" customWidth="1"/>
    <col min="2049" max="2281" width="11.453125" style="10"/>
    <col min="2282" max="2282" width="2.54296875" style="10" customWidth="1"/>
    <col min="2283" max="2283" width="18.1796875" style="10" bestFit="1" customWidth="1"/>
    <col min="2284" max="2284" width="13.1796875" style="10" bestFit="1" customWidth="1"/>
    <col min="2285" max="2285" width="14.7265625" style="10" bestFit="1" customWidth="1"/>
    <col min="2286" max="2286" width="17.1796875" style="10" bestFit="1" customWidth="1"/>
    <col min="2287" max="2287" width="16.453125" style="10" bestFit="1" customWidth="1"/>
    <col min="2288" max="2288" width="13.26953125" style="10" customWidth="1"/>
    <col min="2289" max="2289" width="13.1796875" style="10" customWidth="1"/>
    <col min="2290" max="2290" width="15.26953125" style="10" bestFit="1" customWidth="1"/>
    <col min="2291" max="2291" width="9.7265625" style="10" customWidth="1"/>
    <col min="2292" max="2292" width="14.1796875" style="10" customWidth="1"/>
    <col min="2293" max="2293" width="13.26953125" style="10" customWidth="1"/>
    <col min="2294" max="2294" width="15.81640625" style="10" customWidth="1"/>
    <col min="2295" max="2295" width="9.1796875" style="10" customWidth="1"/>
    <col min="2296" max="2296" width="6.1796875" style="10" customWidth="1"/>
    <col min="2297" max="2297" width="18" style="10" customWidth="1"/>
    <col min="2298" max="2298" width="19.26953125" style="10" customWidth="1"/>
    <col min="2299" max="2299" width="6.1796875" style="10" customWidth="1"/>
    <col min="2300" max="2300" width="13.81640625" style="10" bestFit="1" customWidth="1"/>
    <col min="2301" max="2301" width="11.453125" style="10"/>
    <col min="2302" max="2302" width="13" style="10" bestFit="1" customWidth="1"/>
    <col min="2303" max="2303" width="13.54296875" style="10" bestFit="1" customWidth="1"/>
    <col min="2304" max="2304" width="15.7265625" style="10" customWidth="1"/>
    <col min="2305" max="2537" width="11.453125" style="10"/>
    <col min="2538" max="2538" width="2.54296875" style="10" customWidth="1"/>
    <col min="2539" max="2539" width="18.1796875" style="10" bestFit="1" customWidth="1"/>
    <col min="2540" max="2540" width="13.1796875" style="10" bestFit="1" customWidth="1"/>
    <col min="2541" max="2541" width="14.7265625" style="10" bestFit="1" customWidth="1"/>
    <col min="2542" max="2542" width="17.1796875" style="10" bestFit="1" customWidth="1"/>
    <col min="2543" max="2543" width="16.453125" style="10" bestFit="1" customWidth="1"/>
    <col min="2544" max="2544" width="13.26953125" style="10" customWidth="1"/>
    <col min="2545" max="2545" width="13.1796875" style="10" customWidth="1"/>
    <col min="2546" max="2546" width="15.26953125" style="10" bestFit="1" customWidth="1"/>
    <col min="2547" max="2547" width="9.7265625" style="10" customWidth="1"/>
    <col min="2548" max="2548" width="14.1796875" style="10" customWidth="1"/>
    <col min="2549" max="2549" width="13.26953125" style="10" customWidth="1"/>
    <col min="2550" max="2550" width="15.81640625" style="10" customWidth="1"/>
    <col min="2551" max="2551" width="9.1796875" style="10" customWidth="1"/>
    <col min="2552" max="2552" width="6.1796875" style="10" customWidth="1"/>
    <col min="2553" max="2553" width="18" style="10" customWidth="1"/>
    <col min="2554" max="2554" width="19.26953125" style="10" customWidth="1"/>
    <col min="2555" max="2555" width="6.1796875" style="10" customWidth="1"/>
    <col min="2556" max="2556" width="13.81640625" style="10" bestFit="1" customWidth="1"/>
    <col min="2557" max="2557" width="11.453125" style="10"/>
    <col min="2558" max="2558" width="13" style="10" bestFit="1" customWidth="1"/>
    <col min="2559" max="2559" width="13.54296875" style="10" bestFit="1" customWidth="1"/>
    <col min="2560" max="2560" width="15.7265625" style="10" customWidth="1"/>
    <col min="2561" max="2793" width="11.453125" style="10"/>
    <col min="2794" max="2794" width="2.54296875" style="10" customWidth="1"/>
    <col min="2795" max="2795" width="18.1796875" style="10" bestFit="1" customWidth="1"/>
    <col min="2796" max="2796" width="13.1796875" style="10" bestFit="1" customWidth="1"/>
    <col min="2797" max="2797" width="14.7265625" style="10" bestFit="1" customWidth="1"/>
    <col min="2798" max="2798" width="17.1796875" style="10" bestFit="1" customWidth="1"/>
    <col min="2799" max="2799" width="16.453125" style="10" bestFit="1" customWidth="1"/>
    <col min="2800" max="2800" width="13.26953125" style="10" customWidth="1"/>
    <col min="2801" max="2801" width="13.1796875" style="10" customWidth="1"/>
    <col min="2802" max="2802" width="15.26953125" style="10" bestFit="1" customWidth="1"/>
    <col min="2803" max="2803" width="9.7265625" style="10" customWidth="1"/>
    <col min="2804" max="2804" width="14.1796875" style="10" customWidth="1"/>
    <col min="2805" max="2805" width="13.26953125" style="10" customWidth="1"/>
    <col min="2806" max="2806" width="15.81640625" style="10" customWidth="1"/>
    <col min="2807" max="2807" width="9.1796875" style="10" customWidth="1"/>
    <col min="2808" max="2808" width="6.1796875" style="10" customWidth="1"/>
    <col min="2809" max="2809" width="18" style="10" customWidth="1"/>
    <col min="2810" max="2810" width="19.26953125" style="10" customWidth="1"/>
    <col min="2811" max="2811" width="6.1796875" style="10" customWidth="1"/>
    <col min="2812" max="2812" width="13.81640625" style="10" bestFit="1" customWidth="1"/>
    <col min="2813" max="2813" width="11.453125" style="10"/>
    <col min="2814" max="2814" width="13" style="10" bestFit="1" customWidth="1"/>
    <col min="2815" max="2815" width="13.54296875" style="10" bestFit="1" customWidth="1"/>
    <col min="2816" max="2816" width="15.7265625" style="10" customWidth="1"/>
    <col min="2817" max="3049" width="11.453125" style="10"/>
    <col min="3050" max="3050" width="2.54296875" style="10" customWidth="1"/>
    <col min="3051" max="3051" width="18.1796875" style="10" bestFit="1" customWidth="1"/>
    <col min="3052" max="3052" width="13.1796875" style="10" bestFit="1" customWidth="1"/>
    <col min="3053" max="3053" width="14.7265625" style="10" bestFit="1" customWidth="1"/>
    <col min="3054" max="3054" width="17.1796875" style="10" bestFit="1" customWidth="1"/>
    <col min="3055" max="3055" width="16.453125" style="10" bestFit="1" customWidth="1"/>
    <col min="3056" max="3056" width="13.26953125" style="10" customWidth="1"/>
    <col min="3057" max="3057" width="13.1796875" style="10" customWidth="1"/>
    <col min="3058" max="3058" width="15.26953125" style="10" bestFit="1" customWidth="1"/>
    <col min="3059" max="3059" width="9.7265625" style="10" customWidth="1"/>
    <col min="3060" max="3060" width="14.1796875" style="10" customWidth="1"/>
    <col min="3061" max="3061" width="13.26953125" style="10" customWidth="1"/>
    <col min="3062" max="3062" width="15.81640625" style="10" customWidth="1"/>
    <col min="3063" max="3063" width="9.1796875" style="10" customWidth="1"/>
    <col min="3064" max="3064" width="6.1796875" style="10" customWidth="1"/>
    <col min="3065" max="3065" width="18" style="10" customWidth="1"/>
    <col min="3066" max="3066" width="19.26953125" style="10" customWidth="1"/>
    <col min="3067" max="3067" width="6.1796875" style="10" customWidth="1"/>
    <col min="3068" max="3068" width="13.81640625" style="10" bestFit="1" customWidth="1"/>
    <col min="3069" max="3069" width="11.453125" style="10"/>
    <col min="3070" max="3070" width="13" style="10" bestFit="1" customWidth="1"/>
    <col min="3071" max="3071" width="13.54296875" style="10" bestFit="1" customWidth="1"/>
    <col min="3072" max="3072" width="15.7265625" style="10" customWidth="1"/>
    <col min="3073" max="3305" width="11.453125" style="10"/>
    <col min="3306" max="3306" width="2.54296875" style="10" customWidth="1"/>
    <col min="3307" max="3307" width="18.1796875" style="10" bestFit="1" customWidth="1"/>
    <col min="3308" max="3308" width="13.1796875" style="10" bestFit="1" customWidth="1"/>
    <col min="3309" max="3309" width="14.7265625" style="10" bestFit="1" customWidth="1"/>
    <col min="3310" max="3310" width="17.1796875" style="10" bestFit="1" customWidth="1"/>
    <col min="3311" max="3311" width="16.453125" style="10" bestFit="1" customWidth="1"/>
    <col min="3312" max="3312" width="13.26953125" style="10" customWidth="1"/>
    <col min="3313" max="3313" width="13.1796875" style="10" customWidth="1"/>
    <col min="3314" max="3314" width="15.26953125" style="10" bestFit="1" customWidth="1"/>
    <col min="3315" max="3315" width="9.7265625" style="10" customWidth="1"/>
    <col min="3316" max="3316" width="14.1796875" style="10" customWidth="1"/>
    <col min="3317" max="3317" width="13.26953125" style="10" customWidth="1"/>
    <col min="3318" max="3318" width="15.81640625" style="10" customWidth="1"/>
    <col min="3319" max="3319" width="9.1796875" style="10" customWidth="1"/>
    <col min="3320" max="3320" width="6.1796875" style="10" customWidth="1"/>
    <col min="3321" max="3321" width="18" style="10" customWidth="1"/>
    <col min="3322" max="3322" width="19.26953125" style="10" customWidth="1"/>
    <col min="3323" max="3323" width="6.1796875" style="10" customWidth="1"/>
    <col min="3324" max="3324" width="13.81640625" style="10" bestFit="1" customWidth="1"/>
    <col min="3325" max="3325" width="11.453125" style="10"/>
    <col min="3326" max="3326" width="13" style="10" bestFit="1" customWidth="1"/>
    <col min="3327" max="3327" width="13.54296875" style="10" bestFit="1" customWidth="1"/>
    <col min="3328" max="3328" width="15.7265625" style="10" customWidth="1"/>
    <col min="3329" max="3561" width="11.453125" style="10"/>
    <col min="3562" max="3562" width="2.54296875" style="10" customWidth="1"/>
    <col min="3563" max="3563" width="18.1796875" style="10" bestFit="1" customWidth="1"/>
    <col min="3564" max="3564" width="13.1796875" style="10" bestFit="1" customWidth="1"/>
    <col min="3565" max="3565" width="14.7265625" style="10" bestFit="1" customWidth="1"/>
    <col min="3566" max="3566" width="17.1796875" style="10" bestFit="1" customWidth="1"/>
    <col min="3567" max="3567" width="16.453125" style="10" bestFit="1" customWidth="1"/>
    <col min="3568" max="3568" width="13.26953125" style="10" customWidth="1"/>
    <col min="3569" max="3569" width="13.1796875" style="10" customWidth="1"/>
    <col min="3570" max="3570" width="15.26953125" style="10" bestFit="1" customWidth="1"/>
    <col min="3571" max="3571" width="9.7265625" style="10" customWidth="1"/>
    <col min="3572" max="3572" width="14.1796875" style="10" customWidth="1"/>
    <col min="3573" max="3573" width="13.26953125" style="10" customWidth="1"/>
    <col min="3574" max="3574" width="15.81640625" style="10" customWidth="1"/>
    <col min="3575" max="3575" width="9.1796875" style="10" customWidth="1"/>
    <col min="3576" max="3576" width="6.1796875" style="10" customWidth="1"/>
    <col min="3577" max="3577" width="18" style="10" customWidth="1"/>
    <col min="3578" max="3578" width="19.26953125" style="10" customWidth="1"/>
    <col min="3579" max="3579" width="6.1796875" style="10" customWidth="1"/>
    <col min="3580" max="3580" width="13.81640625" style="10" bestFit="1" customWidth="1"/>
    <col min="3581" max="3581" width="11.453125" style="10"/>
    <col min="3582" max="3582" width="13" style="10" bestFit="1" customWidth="1"/>
    <col min="3583" max="3583" width="13.54296875" style="10" bestFit="1" customWidth="1"/>
    <col min="3584" max="3584" width="15.7265625" style="10" customWidth="1"/>
    <col min="3585" max="3817" width="11.453125" style="10"/>
    <col min="3818" max="3818" width="2.54296875" style="10" customWidth="1"/>
    <col min="3819" max="3819" width="18.1796875" style="10" bestFit="1" customWidth="1"/>
    <col min="3820" max="3820" width="13.1796875" style="10" bestFit="1" customWidth="1"/>
    <col min="3821" max="3821" width="14.7265625" style="10" bestFit="1" customWidth="1"/>
    <col min="3822" max="3822" width="17.1796875" style="10" bestFit="1" customWidth="1"/>
    <col min="3823" max="3823" width="16.453125" style="10" bestFit="1" customWidth="1"/>
    <col min="3824" max="3824" width="13.26953125" style="10" customWidth="1"/>
    <col min="3825" max="3825" width="13.1796875" style="10" customWidth="1"/>
    <col min="3826" max="3826" width="15.26953125" style="10" bestFit="1" customWidth="1"/>
    <col min="3827" max="3827" width="9.7265625" style="10" customWidth="1"/>
    <col min="3828" max="3828" width="14.1796875" style="10" customWidth="1"/>
    <col min="3829" max="3829" width="13.26953125" style="10" customWidth="1"/>
    <col min="3830" max="3830" width="15.81640625" style="10" customWidth="1"/>
    <col min="3831" max="3831" width="9.1796875" style="10" customWidth="1"/>
    <col min="3832" max="3832" width="6.1796875" style="10" customWidth="1"/>
    <col min="3833" max="3833" width="18" style="10" customWidth="1"/>
    <col min="3834" max="3834" width="19.26953125" style="10" customWidth="1"/>
    <col min="3835" max="3835" width="6.1796875" style="10" customWidth="1"/>
    <col min="3836" max="3836" width="13.81640625" style="10" bestFit="1" customWidth="1"/>
    <col min="3837" max="3837" width="11.453125" style="10"/>
    <col min="3838" max="3838" width="13" style="10" bestFit="1" customWidth="1"/>
    <col min="3839" max="3839" width="13.54296875" style="10" bestFit="1" customWidth="1"/>
    <col min="3840" max="3840" width="15.7265625" style="10" customWidth="1"/>
    <col min="3841" max="4073" width="11.453125" style="10"/>
    <col min="4074" max="4074" width="2.54296875" style="10" customWidth="1"/>
    <col min="4075" max="4075" width="18.1796875" style="10" bestFit="1" customWidth="1"/>
    <col min="4076" max="4076" width="13.1796875" style="10" bestFit="1" customWidth="1"/>
    <col min="4077" max="4077" width="14.7265625" style="10" bestFit="1" customWidth="1"/>
    <col min="4078" max="4078" width="17.1796875" style="10" bestFit="1" customWidth="1"/>
    <col min="4079" max="4079" width="16.453125" style="10" bestFit="1" customWidth="1"/>
    <col min="4080" max="4080" width="13.26953125" style="10" customWidth="1"/>
    <col min="4081" max="4081" width="13.1796875" style="10" customWidth="1"/>
    <col min="4082" max="4082" width="15.26953125" style="10" bestFit="1" customWidth="1"/>
    <col min="4083" max="4083" width="9.7265625" style="10" customWidth="1"/>
    <col min="4084" max="4084" width="14.1796875" style="10" customWidth="1"/>
    <col min="4085" max="4085" width="13.26953125" style="10" customWidth="1"/>
    <col min="4086" max="4086" width="15.81640625" style="10" customWidth="1"/>
    <col min="4087" max="4087" width="9.1796875" style="10" customWidth="1"/>
    <col min="4088" max="4088" width="6.1796875" style="10" customWidth="1"/>
    <col min="4089" max="4089" width="18" style="10" customWidth="1"/>
    <col min="4090" max="4090" width="19.26953125" style="10" customWidth="1"/>
    <col min="4091" max="4091" width="6.1796875" style="10" customWidth="1"/>
    <col min="4092" max="4092" width="13.81640625" style="10" bestFit="1" customWidth="1"/>
    <col min="4093" max="4093" width="11.453125" style="10"/>
    <col min="4094" max="4094" width="13" style="10" bestFit="1" customWidth="1"/>
    <col min="4095" max="4095" width="13.54296875" style="10" bestFit="1" customWidth="1"/>
    <col min="4096" max="4096" width="15.7265625" style="10" customWidth="1"/>
    <col min="4097" max="4329" width="11.453125" style="10"/>
    <col min="4330" max="4330" width="2.54296875" style="10" customWidth="1"/>
    <col min="4331" max="4331" width="18.1796875" style="10" bestFit="1" customWidth="1"/>
    <col min="4332" max="4332" width="13.1796875" style="10" bestFit="1" customWidth="1"/>
    <col min="4333" max="4333" width="14.7265625" style="10" bestFit="1" customWidth="1"/>
    <col min="4334" max="4334" width="17.1796875" style="10" bestFit="1" customWidth="1"/>
    <col min="4335" max="4335" width="16.453125" style="10" bestFit="1" customWidth="1"/>
    <col min="4336" max="4336" width="13.26953125" style="10" customWidth="1"/>
    <col min="4337" max="4337" width="13.1796875" style="10" customWidth="1"/>
    <col min="4338" max="4338" width="15.26953125" style="10" bestFit="1" customWidth="1"/>
    <col min="4339" max="4339" width="9.7265625" style="10" customWidth="1"/>
    <col min="4340" max="4340" width="14.1796875" style="10" customWidth="1"/>
    <col min="4341" max="4341" width="13.26953125" style="10" customWidth="1"/>
    <col min="4342" max="4342" width="15.81640625" style="10" customWidth="1"/>
    <col min="4343" max="4343" width="9.1796875" style="10" customWidth="1"/>
    <col min="4344" max="4344" width="6.1796875" style="10" customWidth="1"/>
    <col min="4345" max="4345" width="18" style="10" customWidth="1"/>
    <col min="4346" max="4346" width="19.26953125" style="10" customWidth="1"/>
    <col min="4347" max="4347" width="6.1796875" style="10" customWidth="1"/>
    <col min="4348" max="4348" width="13.81640625" style="10" bestFit="1" customWidth="1"/>
    <col min="4349" max="4349" width="11.453125" style="10"/>
    <col min="4350" max="4350" width="13" style="10" bestFit="1" customWidth="1"/>
    <col min="4351" max="4351" width="13.54296875" style="10" bestFit="1" customWidth="1"/>
    <col min="4352" max="4352" width="15.7265625" style="10" customWidth="1"/>
    <col min="4353" max="4585" width="11.453125" style="10"/>
    <col min="4586" max="4586" width="2.54296875" style="10" customWidth="1"/>
    <col min="4587" max="4587" width="18.1796875" style="10" bestFit="1" customWidth="1"/>
    <col min="4588" max="4588" width="13.1796875" style="10" bestFit="1" customWidth="1"/>
    <col min="4589" max="4589" width="14.7265625" style="10" bestFit="1" customWidth="1"/>
    <col min="4590" max="4590" width="17.1796875" style="10" bestFit="1" customWidth="1"/>
    <col min="4591" max="4591" width="16.453125" style="10" bestFit="1" customWidth="1"/>
    <col min="4592" max="4592" width="13.26953125" style="10" customWidth="1"/>
    <col min="4593" max="4593" width="13.1796875" style="10" customWidth="1"/>
    <col min="4594" max="4594" width="15.26953125" style="10" bestFit="1" customWidth="1"/>
    <col min="4595" max="4595" width="9.7265625" style="10" customWidth="1"/>
    <col min="4596" max="4596" width="14.1796875" style="10" customWidth="1"/>
    <col min="4597" max="4597" width="13.26953125" style="10" customWidth="1"/>
    <col min="4598" max="4598" width="15.81640625" style="10" customWidth="1"/>
    <col min="4599" max="4599" width="9.1796875" style="10" customWidth="1"/>
    <col min="4600" max="4600" width="6.1796875" style="10" customWidth="1"/>
    <col min="4601" max="4601" width="18" style="10" customWidth="1"/>
    <col min="4602" max="4602" width="19.26953125" style="10" customWidth="1"/>
    <col min="4603" max="4603" width="6.1796875" style="10" customWidth="1"/>
    <col min="4604" max="4604" width="13.81640625" style="10" bestFit="1" customWidth="1"/>
    <col min="4605" max="4605" width="11.453125" style="10"/>
    <col min="4606" max="4606" width="13" style="10" bestFit="1" customWidth="1"/>
    <col min="4607" max="4607" width="13.54296875" style="10" bestFit="1" customWidth="1"/>
    <col min="4608" max="4608" width="15.7265625" style="10" customWidth="1"/>
    <col min="4609" max="4841" width="11.453125" style="10"/>
    <col min="4842" max="4842" width="2.54296875" style="10" customWidth="1"/>
    <col min="4843" max="4843" width="18.1796875" style="10" bestFit="1" customWidth="1"/>
    <col min="4844" max="4844" width="13.1796875" style="10" bestFit="1" customWidth="1"/>
    <col min="4845" max="4845" width="14.7265625" style="10" bestFit="1" customWidth="1"/>
    <col min="4846" max="4846" width="17.1796875" style="10" bestFit="1" customWidth="1"/>
    <col min="4847" max="4847" width="16.453125" style="10" bestFit="1" customWidth="1"/>
    <col min="4848" max="4848" width="13.26953125" style="10" customWidth="1"/>
    <col min="4849" max="4849" width="13.1796875" style="10" customWidth="1"/>
    <col min="4850" max="4850" width="15.26953125" style="10" bestFit="1" customWidth="1"/>
    <col min="4851" max="4851" width="9.7265625" style="10" customWidth="1"/>
    <col min="4852" max="4852" width="14.1796875" style="10" customWidth="1"/>
    <col min="4853" max="4853" width="13.26953125" style="10" customWidth="1"/>
    <col min="4854" max="4854" width="15.81640625" style="10" customWidth="1"/>
    <col min="4855" max="4855" width="9.1796875" style="10" customWidth="1"/>
    <col min="4856" max="4856" width="6.1796875" style="10" customWidth="1"/>
    <col min="4857" max="4857" width="18" style="10" customWidth="1"/>
    <col min="4858" max="4858" width="19.26953125" style="10" customWidth="1"/>
    <col min="4859" max="4859" width="6.1796875" style="10" customWidth="1"/>
    <col min="4860" max="4860" width="13.81640625" style="10" bestFit="1" customWidth="1"/>
    <col min="4861" max="4861" width="11.453125" style="10"/>
    <col min="4862" max="4862" width="13" style="10" bestFit="1" customWidth="1"/>
    <col min="4863" max="4863" width="13.54296875" style="10" bestFit="1" customWidth="1"/>
    <col min="4864" max="4864" width="15.7265625" style="10" customWidth="1"/>
    <col min="4865" max="5097" width="11.453125" style="10"/>
    <col min="5098" max="5098" width="2.54296875" style="10" customWidth="1"/>
    <col min="5099" max="5099" width="18.1796875" style="10" bestFit="1" customWidth="1"/>
    <col min="5100" max="5100" width="13.1796875" style="10" bestFit="1" customWidth="1"/>
    <col min="5101" max="5101" width="14.7265625" style="10" bestFit="1" customWidth="1"/>
    <col min="5102" max="5102" width="17.1796875" style="10" bestFit="1" customWidth="1"/>
    <col min="5103" max="5103" width="16.453125" style="10" bestFit="1" customWidth="1"/>
    <col min="5104" max="5104" width="13.26953125" style="10" customWidth="1"/>
    <col min="5105" max="5105" width="13.1796875" style="10" customWidth="1"/>
    <col min="5106" max="5106" width="15.26953125" style="10" bestFit="1" customWidth="1"/>
    <col min="5107" max="5107" width="9.7265625" style="10" customWidth="1"/>
    <col min="5108" max="5108" width="14.1796875" style="10" customWidth="1"/>
    <col min="5109" max="5109" width="13.26953125" style="10" customWidth="1"/>
    <col min="5110" max="5110" width="15.81640625" style="10" customWidth="1"/>
    <col min="5111" max="5111" width="9.1796875" style="10" customWidth="1"/>
    <col min="5112" max="5112" width="6.1796875" style="10" customWidth="1"/>
    <col min="5113" max="5113" width="18" style="10" customWidth="1"/>
    <col min="5114" max="5114" width="19.26953125" style="10" customWidth="1"/>
    <col min="5115" max="5115" width="6.1796875" style="10" customWidth="1"/>
    <col min="5116" max="5116" width="13.81640625" style="10" bestFit="1" customWidth="1"/>
    <col min="5117" max="5117" width="11.453125" style="10"/>
    <col min="5118" max="5118" width="13" style="10" bestFit="1" customWidth="1"/>
    <col min="5119" max="5119" width="13.54296875" style="10" bestFit="1" customWidth="1"/>
    <col min="5120" max="5120" width="15.7265625" style="10" customWidth="1"/>
    <col min="5121" max="5353" width="11.453125" style="10"/>
    <col min="5354" max="5354" width="2.54296875" style="10" customWidth="1"/>
    <col min="5355" max="5355" width="18.1796875" style="10" bestFit="1" customWidth="1"/>
    <col min="5356" max="5356" width="13.1796875" style="10" bestFit="1" customWidth="1"/>
    <col min="5357" max="5357" width="14.7265625" style="10" bestFit="1" customWidth="1"/>
    <col min="5358" max="5358" width="17.1796875" style="10" bestFit="1" customWidth="1"/>
    <col min="5359" max="5359" width="16.453125" style="10" bestFit="1" customWidth="1"/>
    <col min="5360" max="5360" width="13.26953125" style="10" customWidth="1"/>
    <col min="5361" max="5361" width="13.1796875" style="10" customWidth="1"/>
    <col min="5362" max="5362" width="15.26953125" style="10" bestFit="1" customWidth="1"/>
    <col min="5363" max="5363" width="9.7265625" style="10" customWidth="1"/>
    <col min="5364" max="5364" width="14.1796875" style="10" customWidth="1"/>
    <col min="5365" max="5365" width="13.26953125" style="10" customWidth="1"/>
    <col min="5366" max="5366" width="15.81640625" style="10" customWidth="1"/>
    <col min="5367" max="5367" width="9.1796875" style="10" customWidth="1"/>
    <col min="5368" max="5368" width="6.1796875" style="10" customWidth="1"/>
    <col min="5369" max="5369" width="18" style="10" customWidth="1"/>
    <col min="5370" max="5370" width="19.26953125" style="10" customWidth="1"/>
    <col min="5371" max="5371" width="6.1796875" style="10" customWidth="1"/>
    <col min="5372" max="5372" width="13.81640625" style="10" bestFit="1" customWidth="1"/>
    <col min="5373" max="5373" width="11.453125" style="10"/>
    <col min="5374" max="5374" width="13" style="10" bestFit="1" customWidth="1"/>
    <col min="5375" max="5375" width="13.54296875" style="10" bestFit="1" customWidth="1"/>
    <col min="5376" max="5376" width="15.7265625" style="10" customWidth="1"/>
    <col min="5377" max="5609" width="11.453125" style="10"/>
    <col min="5610" max="5610" width="2.54296875" style="10" customWidth="1"/>
    <col min="5611" max="5611" width="18.1796875" style="10" bestFit="1" customWidth="1"/>
    <col min="5612" max="5612" width="13.1796875" style="10" bestFit="1" customWidth="1"/>
    <col min="5613" max="5613" width="14.7265625" style="10" bestFit="1" customWidth="1"/>
    <col min="5614" max="5614" width="17.1796875" style="10" bestFit="1" customWidth="1"/>
    <col min="5615" max="5615" width="16.453125" style="10" bestFit="1" customWidth="1"/>
    <col min="5616" max="5616" width="13.26953125" style="10" customWidth="1"/>
    <col min="5617" max="5617" width="13.1796875" style="10" customWidth="1"/>
    <col min="5618" max="5618" width="15.26953125" style="10" bestFit="1" customWidth="1"/>
    <col min="5619" max="5619" width="9.7265625" style="10" customWidth="1"/>
    <col min="5620" max="5620" width="14.1796875" style="10" customWidth="1"/>
    <col min="5621" max="5621" width="13.26953125" style="10" customWidth="1"/>
    <col min="5622" max="5622" width="15.81640625" style="10" customWidth="1"/>
    <col min="5623" max="5623" width="9.1796875" style="10" customWidth="1"/>
    <col min="5624" max="5624" width="6.1796875" style="10" customWidth="1"/>
    <col min="5625" max="5625" width="18" style="10" customWidth="1"/>
    <col min="5626" max="5626" width="19.26953125" style="10" customWidth="1"/>
    <col min="5627" max="5627" width="6.1796875" style="10" customWidth="1"/>
    <col min="5628" max="5628" width="13.81640625" style="10" bestFit="1" customWidth="1"/>
    <col min="5629" max="5629" width="11.453125" style="10"/>
    <col min="5630" max="5630" width="13" style="10" bestFit="1" customWidth="1"/>
    <col min="5631" max="5631" width="13.54296875" style="10" bestFit="1" customWidth="1"/>
    <col min="5632" max="5632" width="15.7265625" style="10" customWidth="1"/>
    <col min="5633" max="5865" width="11.453125" style="10"/>
    <col min="5866" max="5866" width="2.54296875" style="10" customWidth="1"/>
    <col min="5867" max="5867" width="18.1796875" style="10" bestFit="1" customWidth="1"/>
    <col min="5868" max="5868" width="13.1796875" style="10" bestFit="1" customWidth="1"/>
    <col min="5869" max="5869" width="14.7265625" style="10" bestFit="1" customWidth="1"/>
    <col min="5870" max="5870" width="17.1796875" style="10" bestFit="1" customWidth="1"/>
    <col min="5871" max="5871" width="16.453125" style="10" bestFit="1" customWidth="1"/>
    <col min="5872" max="5872" width="13.26953125" style="10" customWidth="1"/>
    <col min="5873" max="5873" width="13.1796875" style="10" customWidth="1"/>
    <col min="5874" max="5874" width="15.26953125" style="10" bestFit="1" customWidth="1"/>
    <col min="5875" max="5875" width="9.7265625" style="10" customWidth="1"/>
    <col min="5876" max="5876" width="14.1796875" style="10" customWidth="1"/>
    <col min="5877" max="5877" width="13.26953125" style="10" customWidth="1"/>
    <col min="5878" max="5878" width="15.81640625" style="10" customWidth="1"/>
    <col min="5879" max="5879" width="9.1796875" style="10" customWidth="1"/>
    <col min="5880" max="5880" width="6.1796875" style="10" customWidth="1"/>
    <col min="5881" max="5881" width="18" style="10" customWidth="1"/>
    <col min="5882" max="5882" width="19.26953125" style="10" customWidth="1"/>
    <col min="5883" max="5883" width="6.1796875" style="10" customWidth="1"/>
    <col min="5884" max="5884" width="13.81640625" style="10" bestFit="1" customWidth="1"/>
    <col min="5885" max="5885" width="11.453125" style="10"/>
    <col min="5886" max="5886" width="13" style="10" bestFit="1" customWidth="1"/>
    <col min="5887" max="5887" width="13.54296875" style="10" bestFit="1" customWidth="1"/>
    <col min="5888" max="5888" width="15.7265625" style="10" customWidth="1"/>
    <col min="5889" max="6121" width="11.453125" style="10"/>
    <col min="6122" max="6122" width="2.54296875" style="10" customWidth="1"/>
    <col min="6123" max="6123" width="18.1796875" style="10" bestFit="1" customWidth="1"/>
    <col min="6124" max="6124" width="13.1796875" style="10" bestFit="1" customWidth="1"/>
    <col min="6125" max="6125" width="14.7265625" style="10" bestFit="1" customWidth="1"/>
    <col min="6126" max="6126" width="17.1796875" style="10" bestFit="1" customWidth="1"/>
    <col min="6127" max="6127" width="16.453125" style="10" bestFit="1" customWidth="1"/>
    <col min="6128" max="6128" width="13.26953125" style="10" customWidth="1"/>
    <col min="6129" max="6129" width="13.1796875" style="10" customWidth="1"/>
    <col min="6130" max="6130" width="15.26953125" style="10" bestFit="1" customWidth="1"/>
    <col min="6131" max="6131" width="9.7265625" style="10" customWidth="1"/>
    <col min="6132" max="6132" width="14.1796875" style="10" customWidth="1"/>
    <col min="6133" max="6133" width="13.26953125" style="10" customWidth="1"/>
    <col min="6134" max="6134" width="15.81640625" style="10" customWidth="1"/>
    <col min="6135" max="6135" width="9.1796875" style="10" customWidth="1"/>
    <col min="6136" max="6136" width="6.1796875" style="10" customWidth="1"/>
    <col min="6137" max="6137" width="18" style="10" customWidth="1"/>
    <col min="6138" max="6138" width="19.26953125" style="10" customWidth="1"/>
    <col min="6139" max="6139" width="6.1796875" style="10" customWidth="1"/>
    <col min="6140" max="6140" width="13.81640625" style="10" bestFit="1" customWidth="1"/>
    <col min="6141" max="6141" width="11.453125" style="10"/>
    <col min="6142" max="6142" width="13" style="10" bestFit="1" customWidth="1"/>
    <col min="6143" max="6143" width="13.54296875" style="10" bestFit="1" customWidth="1"/>
    <col min="6144" max="6144" width="15.7265625" style="10" customWidth="1"/>
    <col min="6145" max="6377" width="11.453125" style="10"/>
    <col min="6378" max="6378" width="2.54296875" style="10" customWidth="1"/>
    <col min="6379" max="6379" width="18.1796875" style="10" bestFit="1" customWidth="1"/>
    <col min="6380" max="6380" width="13.1796875" style="10" bestFit="1" customWidth="1"/>
    <col min="6381" max="6381" width="14.7265625" style="10" bestFit="1" customWidth="1"/>
    <col min="6382" max="6382" width="17.1796875" style="10" bestFit="1" customWidth="1"/>
    <col min="6383" max="6383" width="16.453125" style="10" bestFit="1" customWidth="1"/>
    <col min="6384" max="6384" width="13.26953125" style="10" customWidth="1"/>
    <col min="6385" max="6385" width="13.1796875" style="10" customWidth="1"/>
    <col min="6386" max="6386" width="15.26953125" style="10" bestFit="1" customWidth="1"/>
    <col min="6387" max="6387" width="9.7265625" style="10" customWidth="1"/>
    <col min="6388" max="6388" width="14.1796875" style="10" customWidth="1"/>
    <col min="6389" max="6389" width="13.26953125" style="10" customWidth="1"/>
    <col min="6390" max="6390" width="15.81640625" style="10" customWidth="1"/>
    <col min="6391" max="6391" width="9.1796875" style="10" customWidth="1"/>
    <col min="6392" max="6392" width="6.1796875" style="10" customWidth="1"/>
    <col min="6393" max="6393" width="18" style="10" customWidth="1"/>
    <col min="6394" max="6394" width="19.26953125" style="10" customWidth="1"/>
    <col min="6395" max="6395" width="6.1796875" style="10" customWidth="1"/>
    <col min="6396" max="6396" width="13.81640625" style="10" bestFit="1" customWidth="1"/>
    <col min="6397" max="6397" width="11.453125" style="10"/>
    <col min="6398" max="6398" width="13" style="10" bestFit="1" customWidth="1"/>
    <col min="6399" max="6399" width="13.54296875" style="10" bestFit="1" customWidth="1"/>
    <col min="6400" max="6400" width="15.7265625" style="10" customWidth="1"/>
    <col min="6401" max="6633" width="11.453125" style="10"/>
    <col min="6634" max="6634" width="2.54296875" style="10" customWidth="1"/>
    <col min="6635" max="6635" width="18.1796875" style="10" bestFit="1" customWidth="1"/>
    <col min="6636" max="6636" width="13.1796875" style="10" bestFit="1" customWidth="1"/>
    <col min="6637" max="6637" width="14.7265625" style="10" bestFit="1" customWidth="1"/>
    <col min="6638" max="6638" width="17.1796875" style="10" bestFit="1" customWidth="1"/>
    <col min="6639" max="6639" width="16.453125" style="10" bestFit="1" customWidth="1"/>
    <col min="6640" max="6640" width="13.26953125" style="10" customWidth="1"/>
    <col min="6641" max="6641" width="13.1796875" style="10" customWidth="1"/>
    <col min="6642" max="6642" width="15.26953125" style="10" bestFit="1" customWidth="1"/>
    <col min="6643" max="6643" width="9.7265625" style="10" customWidth="1"/>
    <col min="6644" max="6644" width="14.1796875" style="10" customWidth="1"/>
    <col min="6645" max="6645" width="13.26953125" style="10" customWidth="1"/>
    <col min="6646" max="6646" width="15.81640625" style="10" customWidth="1"/>
    <col min="6647" max="6647" width="9.1796875" style="10" customWidth="1"/>
    <col min="6648" max="6648" width="6.1796875" style="10" customWidth="1"/>
    <col min="6649" max="6649" width="18" style="10" customWidth="1"/>
    <col min="6650" max="6650" width="19.26953125" style="10" customWidth="1"/>
    <col min="6651" max="6651" width="6.1796875" style="10" customWidth="1"/>
    <col min="6652" max="6652" width="13.81640625" style="10" bestFit="1" customWidth="1"/>
    <col min="6653" max="6653" width="11.453125" style="10"/>
    <col min="6654" max="6654" width="13" style="10" bestFit="1" customWidth="1"/>
    <col min="6655" max="6655" width="13.54296875" style="10" bestFit="1" customWidth="1"/>
    <col min="6656" max="6656" width="15.7265625" style="10" customWidth="1"/>
    <col min="6657" max="6889" width="11.453125" style="10"/>
    <col min="6890" max="6890" width="2.54296875" style="10" customWidth="1"/>
    <col min="6891" max="6891" width="18.1796875" style="10" bestFit="1" customWidth="1"/>
    <col min="6892" max="6892" width="13.1796875" style="10" bestFit="1" customWidth="1"/>
    <col min="6893" max="6893" width="14.7265625" style="10" bestFit="1" customWidth="1"/>
    <col min="6894" max="6894" width="17.1796875" style="10" bestFit="1" customWidth="1"/>
    <col min="6895" max="6895" width="16.453125" style="10" bestFit="1" customWidth="1"/>
    <col min="6896" max="6896" width="13.26953125" style="10" customWidth="1"/>
    <col min="6897" max="6897" width="13.1796875" style="10" customWidth="1"/>
    <col min="6898" max="6898" width="15.26953125" style="10" bestFit="1" customWidth="1"/>
    <col min="6899" max="6899" width="9.7265625" style="10" customWidth="1"/>
    <col min="6900" max="6900" width="14.1796875" style="10" customWidth="1"/>
    <col min="6901" max="6901" width="13.26953125" style="10" customWidth="1"/>
    <col min="6902" max="6902" width="15.81640625" style="10" customWidth="1"/>
    <col min="6903" max="6903" width="9.1796875" style="10" customWidth="1"/>
    <col min="6904" max="6904" width="6.1796875" style="10" customWidth="1"/>
    <col min="6905" max="6905" width="18" style="10" customWidth="1"/>
    <col min="6906" max="6906" width="19.26953125" style="10" customWidth="1"/>
    <col min="6907" max="6907" width="6.1796875" style="10" customWidth="1"/>
    <col min="6908" max="6908" width="13.81640625" style="10" bestFit="1" customWidth="1"/>
    <col min="6909" max="6909" width="11.453125" style="10"/>
    <col min="6910" max="6910" width="13" style="10" bestFit="1" customWidth="1"/>
    <col min="6911" max="6911" width="13.54296875" style="10" bestFit="1" customWidth="1"/>
    <col min="6912" max="6912" width="15.7265625" style="10" customWidth="1"/>
    <col min="6913" max="7145" width="11.453125" style="10"/>
    <col min="7146" max="7146" width="2.54296875" style="10" customWidth="1"/>
    <col min="7147" max="7147" width="18.1796875" style="10" bestFit="1" customWidth="1"/>
    <col min="7148" max="7148" width="13.1796875" style="10" bestFit="1" customWidth="1"/>
    <col min="7149" max="7149" width="14.7265625" style="10" bestFit="1" customWidth="1"/>
    <col min="7150" max="7150" width="17.1796875" style="10" bestFit="1" customWidth="1"/>
    <col min="7151" max="7151" width="16.453125" style="10" bestFit="1" customWidth="1"/>
    <col min="7152" max="7152" width="13.26953125" style="10" customWidth="1"/>
    <col min="7153" max="7153" width="13.1796875" style="10" customWidth="1"/>
    <col min="7154" max="7154" width="15.26953125" style="10" bestFit="1" customWidth="1"/>
    <col min="7155" max="7155" width="9.7265625" style="10" customWidth="1"/>
    <col min="7156" max="7156" width="14.1796875" style="10" customWidth="1"/>
    <col min="7157" max="7157" width="13.26953125" style="10" customWidth="1"/>
    <col min="7158" max="7158" width="15.81640625" style="10" customWidth="1"/>
    <col min="7159" max="7159" width="9.1796875" style="10" customWidth="1"/>
    <col min="7160" max="7160" width="6.1796875" style="10" customWidth="1"/>
    <col min="7161" max="7161" width="18" style="10" customWidth="1"/>
    <col min="7162" max="7162" width="19.26953125" style="10" customWidth="1"/>
    <col min="7163" max="7163" width="6.1796875" style="10" customWidth="1"/>
    <col min="7164" max="7164" width="13.81640625" style="10" bestFit="1" customWidth="1"/>
    <col min="7165" max="7165" width="11.453125" style="10"/>
    <col min="7166" max="7166" width="13" style="10" bestFit="1" customWidth="1"/>
    <col min="7167" max="7167" width="13.54296875" style="10" bestFit="1" customWidth="1"/>
    <col min="7168" max="7168" width="15.7265625" style="10" customWidth="1"/>
    <col min="7169" max="7401" width="11.453125" style="10"/>
    <col min="7402" max="7402" width="2.54296875" style="10" customWidth="1"/>
    <col min="7403" max="7403" width="18.1796875" style="10" bestFit="1" customWidth="1"/>
    <col min="7404" max="7404" width="13.1796875" style="10" bestFit="1" customWidth="1"/>
    <col min="7405" max="7405" width="14.7265625" style="10" bestFit="1" customWidth="1"/>
    <col min="7406" max="7406" width="17.1796875" style="10" bestFit="1" customWidth="1"/>
    <col min="7407" max="7407" width="16.453125" style="10" bestFit="1" customWidth="1"/>
    <col min="7408" max="7408" width="13.26953125" style="10" customWidth="1"/>
    <col min="7409" max="7409" width="13.1796875" style="10" customWidth="1"/>
    <col min="7410" max="7410" width="15.26953125" style="10" bestFit="1" customWidth="1"/>
    <col min="7411" max="7411" width="9.7265625" style="10" customWidth="1"/>
    <col min="7412" max="7412" width="14.1796875" style="10" customWidth="1"/>
    <col min="7413" max="7413" width="13.26953125" style="10" customWidth="1"/>
    <col min="7414" max="7414" width="15.81640625" style="10" customWidth="1"/>
    <col min="7415" max="7415" width="9.1796875" style="10" customWidth="1"/>
    <col min="7416" max="7416" width="6.1796875" style="10" customWidth="1"/>
    <col min="7417" max="7417" width="18" style="10" customWidth="1"/>
    <col min="7418" max="7418" width="19.26953125" style="10" customWidth="1"/>
    <col min="7419" max="7419" width="6.1796875" style="10" customWidth="1"/>
    <col min="7420" max="7420" width="13.81640625" style="10" bestFit="1" customWidth="1"/>
    <col min="7421" max="7421" width="11.453125" style="10"/>
    <col min="7422" max="7422" width="13" style="10" bestFit="1" customWidth="1"/>
    <col min="7423" max="7423" width="13.54296875" style="10" bestFit="1" customWidth="1"/>
    <col min="7424" max="7424" width="15.7265625" style="10" customWidth="1"/>
    <col min="7425" max="7657" width="11.453125" style="10"/>
    <col min="7658" max="7658" width="2.54296875" style="10" customWidth="1"/>
    <col min="7659" max="7659" width="18.1796875" style="10" bestFit="1" customWidth="1"/>
    <col min="7660" max="7660" width="13.1796875" style="10" bestFit="1" customWidth="1"/>
    <col min="7661" max="7661" width="14.7265625" style="10" bestFit="1" customWidth="1"/>
    <col min="7662" max="7662" width="17.1796875" style="10" bestFit="1" customWidth="1"/>
    <col min="7663" max="7663" width="16.453125" style="10" bestFit="1" customWidth="1"/>
    <col min="7664" max="7664" width="13.26953125" style="10" customWidth="1"/>
    <col min="7665" max="7665" width="13.1796875" style="10" customWidth="1"/>
    <col min="7666" max="7666" width="15.26953125" style="10" bestFit="1" customWidth="1"/>
    <col min="7667" max="7667" width="9.7265625" style="10" customWidth="1"/>
    <col min="7668" max="7668" width="14.1796875" style="10" customWidth="1"/>
    <col min="7669" max="7669" width="13.26953125" style="10" customWidth="1"/>
    <col min="7670" max="7670" width="15.81640625" style="10" customWidth="1"/>
    <col min="7671" max="7671" width="9.1796875" style="10" customWidth="1"/>
    <col min="7672" max="7672" width="6.1796875" style="10" customWidth="1"/>
    <col min="7673" max="7673" width="18" style="10" customWidth="1"/>
    <col min="7674" max="7674" width="19.26953125" style="10" customWidth="1"/>
    <col min="7675" max="7675" width="6.1796875" style="10" customWidth="1"/>
    <col min="7676" max="7676" width="13.81640625" style="10" bestFit="1" customWidth="1"/>
    <col min="7677" max="7677" width="11.453125" style="10"/>
    <col min="7678" max="7678" width="13" style="10" bestFit="1" customWidth="1"/>
    <col min="7679" max="7679" width="13.54296875" style="10" bestFit="1" customWidth="1"/>
    <col min="7680" max="7680" width="15.7265625" style="10" customWidth="1"/>
    <col min="7681" max="7913" width="11.453125" style="10"/>
    <col min="7914" max="7914" width="2.54296875" style="10" customWidth="1"/>
    <col min="7915" max="7915" width="18.1796875" style="10" bestFit="1" customWidth="1"/>
    <col min="7916" max="7916" width="13.1796875" style="10" bestFit="1" customWidth="1"/>
    <col min="7917" max="7917" width="14.7265625" style="10" bestFit="1" customWidth="1"/>
    <col min="7918" max="7918" width="17.1796875" style="10" bestFit="1" customWidth="1"/>
    <col min="7919" max="7919" width="16.453125" style="10" bestFit="1" customWidth="1"/>
    <col min="7920" max="7920" width="13.26953125" style="10" customWidth="1"/>
    <col min="7921" max="7921" width="13.1796875" style="10" customWidth="1"/>
    <col min="7922" max="7922" width="15.26953125" style="10" bestFit="1" customWidth="1"/>
    <col min="7923" max="7923" width="9.7265625" style="10" customWidth="1"/>
    <col min="7924" max="7924" width="14.1796875" style="10" customWidth="1"/>
    <col min="7925" max="7925" width="13.26953125" style="10" customWidth="1"/>
    <col min="7926" max="7926" width="15.81640625" style="10" customWidth="1"/>
    <col min="7927" max="7927" width="9.1796875" style="10" customWidth="1"/>
    <col min="7928" max="7928" width="6.1796875" style="10" customWidth="1"/>
    <col min="7929" max="7929" width="18" style="10" customWidth="1"/>
    <col min="7930" max="7930" width="19.26953125" style="10" customWidth="1"/>
    <col min="7931" max="7931" width="6.1796875" style="10" customWidth="1"/>
    <col min="7932" max="7932" width="13.81640625" style="10" bestFit="1" customWidth="1"/>
    <col min="7933" max="7933" width="11.453125" style="10"/>
    <col min="7934" max="7934" width="13" style="10" bestFit="1" customWidth="1"/>
    <col min="7935" max="7935" width="13.54296875" style="10" bestFit="1" customWidth="1"/>
    <col min="7936" max="7936" width="15.7265625" style="10" customWidth="1"/>
    <col min="7937" max="8169" width="11.453125" style="10"/>
    <col min="8170" max="8170" width="2.54296875" style="10" customWidth="1"/>
    <col min="8171" max="8171" width="18.1796875" style="10" bestFit="1" customWidth="1"/>
    <col min="8172" max="8172" width="13.1796875" style="10" bestFit="1" customWidth="1"/>
    <col min="8173" max="8173" width="14.7265625" style="10" bestFit="1" customWidth="1"/>
    <col min="8174" max="8174" width="17.1796875" style="10" bestFit="1" customWidth="1"/>
    <col min="8175" max="8175" width="16.453125" style="10" bestFit="1" customWidth="1"/>
    <col min="8176" max="8176" width="13.26953125" style="10" customWidth="1"/>
    <col min="8177" max="8177" width="13.1796875" style="10" customWidth="1"/>
    <col min="8178" max="8178" width="15.26953125" style="10" bestFit="1" customWidth="1"/>
    <col min="8179" max="8179" width="9.7265625" style="10" customWidth="1"/>
    <col min="8180" max="8180" width="14.1796875" style="10" customWidth="1"/>
    <col min="8181" max="8181" width="13.26953125" style="10" customWidth="1"/>
    <col min="8182" max="8182" width="15.81640625" style="10" customWidth="1"/>
    <col min="8183" max="8183" width="9.1796875" style="10" customWidth="1"/>
    <col min="8184" max="8184" width="6.1796875" style="10" customWidth="1"/>
    <col min="8185" max="8185" width="18" style="10" customWidth="1"/>
    <col min="8186" max="8186" width="19.26953125" style="10" customWidth="1"/>
    <col min="8187" max="8187" width="6.1796875" style="10" customWidth="1"/>
    <col min="8188" max="8188" width="13.81640625" style="10" bestFit="1" customWidth="1"/>
    <col min="8189" max="8189" width="11.453125" style="10"/>
    <col min="8190" max="8190" width="13" style="10" bestFit="1" customWidth="1"/>
    <col min="8191" max="8191" width="13.54296875" style="10" bestFit="1" customWidth="1"/>
    <col min="8192" max="8192" width="15.7265625" style="10" customWidth="1"/>
    <col min="8193" max="8425" width="11.453125" style="10"/>
    <col min="8426" max="8426" width="2.54296875" style="10" customWidth="1"/>
    <col min="8427" max="8427" width="18.1796875" style="10" bestFit="1" customWidth="1"/>
    <col min="8428" max="8428" width="13.1796875" style="10" bestFit="1" customWidth="1"/>
    <col min="8429" max="8429" width="14.7265625" style="10" bestFit="1" customWidth="1"/>
    <col min="8430" max="8430" width="17.1796875" style="10" bestFit="1" customWidth="1"/>
    <col min="8431" max="8431" width="16.453125" style="10" bestFit="1" customWidth="1"/>
    <col min="8432" max="8432" width="13.26953125" style="10" customWidth="1"/>
    <col min="8433" max="8433" width="13.1796875" style="10" customWidth="1"/>
    <col min="8434" max="8434" width="15.26953125" style="10" bestFit="1" customWidth="1"/>
    <col min="8435" max="8435" width="9.7265625" style="10" customWidth="1"/>
    <col min="8436" max="8436" width="14.1796875" style="10" customWidth="1"/>
    <col min="8437" max="8437" width="13.26953125" style="10" customWidth="1"/>
    <col min="8438" max="8438" width="15.81640625" style="10" customWidth="1"/>
    <col min="8439" max="8439" width="9.1796875" style="10" customWidth="1"/>
    <col min="8440" max="8440" width="6.1796875" style="10" customWidth="1"/>
    <col min="8441" max="8441" width="18" style="10" customWidth="1"/>
    <col min="8442" max="8442" width="19.26953125" style="10" customWidth="1"/>
    <col min="8443" max="8443" width="6.1796875" style="10" customWidth="1"/>
    <col min="8444" max="8444" width="13.81640625" style="10" bestFit="1" customWidth="1"/>
    <col min="8445" max="8445" width="11.453125" style="10"/>
    <col min="8446" max="8446" width="13" style="10" bestFit="1" customWidth="1"/>
    <col min="8447" max="8447" width="13.54296875" style="10" bestFit="1" customWidth="1"/>
    <col min="8448" max="8448" width="15.7265625" style="10" customWidth="1"/>
    <col min="8449" max="8681" width="11.453125" style="10"/>
    <col min="8682" max="8682" width="2.54296875" style="10" customWidth="1"/>
    <col min="8683" max="8683" width="18.1796875" style="10" bestFit="1" customWidth="1"/>
    <col min="8684" max="8684" width="13.1796875" style="10" bestFit="1" customWidth="1"/>
    <col min="8685" max="8685" width="14.7265625" style="10" bestFit="1" customWidth="1"/>
    <col min="8686" max="8686" width="17.1796875" style="10" bestFit="1" customWidth="1"/>
    <col min="8687" max="8687" width="16.453125" style="10" bestFit="1" customWidth="1"/>
    <col min="8688" max="8688" width="13.26953125" style="10" customWidth="1"/>
    <col min="8689" max="8689" width="13.1796875" style="10" customWidth="1"/>
    <col min="8690" max="8690" width="15.26953125" style="10" bestFit="1" customWidth="1"/>
    <col min="8691" max="8691" width="9.7265625" style="10" customWidth="1"/>
    <col min="8692" max="8692" width="14.1796875" style="10" customWidth="1"/>
    <col min="8693" max="8693" width="13.26953125" style="10" customWidth="1"/>
    <col min="8694" max="8694" width="15.81640625" style="10" customWidth="1"/>
    <col min="8695" max="8695" width="9.1796875" style="10" customWidth="1"/>
    <col min="8696" max="8696" width="6.1796875" style="10" customWidth="1"/>
    <col min="8697" max="8697" width="18" style="10" customWidth="1"/>
    <col min="8698" max="8698" width="19.26953125" style="10" customWidth="1"/>
    <col min="8699" max="8699" width="6.1796875" style="10" customWidth="1"/>
    <col min="8700" max="8700" width="13.81640625" style="10" bestFit="1" customWidth="1"/>
    <col min="8701" max="8701" width="11.453125" style="10"/>
    <col min="8702" max="8702" width="13" style="10" bestFit="1" customWidth="1"/>
    <col min="8703" max="8703" width="13.54296875" style="10" bestFit="1" customWidth="1"/>
    <col min="8704" max="8704" width="15.7265625" style="10" customWidth="1"/>
    <col min="8705" max="8937" width="11.453125" style="10"/>
    <col min="8938" max="8938" width="2.54296875" style="10" customWidth="1"/>
    <col min="8939" max="8939" width="18.1796875" style="10" bestFit="1" customWidth="1"/>
    <col min="8940" max="8940" width="13.1796875" style="10" bestFit="1" customWidth="1"/>
    <col min="8941" max="8941" width="14.7265625" style="10" bestFit="1" customWidth="1"/>
    <col min="8942" max="8942" width="17.1796875" style="10" bestFit="1" customWidth="1"/>
    <col min="8943" max="8943" width="16.453125" style="10" bestFit="1" customWidth="1"/>
    <col min="8944" max="8944" width="13.26953125" style="10" customWidth="1"/>
    <col min="8945" max="8945" width="13.1796875" style="10" customWidth="1"/>
    <col min="8946" max="8946" width="15.26953125" style="10" bestFit="1" customWidth="1"/>
    <col min="8947" max="8947" width="9.7265625" style="10" customWidth="1"/>
    <col min="8948" max="8948" width="14.1796875" style="10" customWidth="1"/>
    <col min="8949" max="8949" width="13.26953125" style="10" customWidth="1"/>
    <col min="8950" max="8950" width="15.81640625" style="10" customWidth="1"/>
    <col min="8951" max="8951" width="9.1796875" style="10" customWidth="1"/>
    <col min="8952" max="8952" width="6.1796875" style="10" customWidth="1"/>
    <col min="8953" max="8953" width="18" style="10" customWidth="1"/>
    <col min="8954" max="8954" width="19.26953125" style="10" customWidth="1"/>
    <col min="8955" max="8955" width="6.1796875" style="10" customWidth="1"/>
    <col min="8956" max="8956" width="13.81640625" style="10" bestFit="1" customWidth="1"/>
    <col min="8957" max="8957" width="11.453125" style="10"/>
    <col min="8958" max="8958" width="13" style="10" bestFit="1" customWidth="1"/>
    <col min="8959" max="8959" width="13.54296875" style="10" bestFit="1" customWidth="1"/>
    <col min="8960" max="8960" width="15.7265625" style="10" customWidth="1"/>
    <col min="8961" max="9193" width="11.453125" style="10"/>
    <col min="9194" max="9194" width="2.54296875" style="10" customWidth="1"/>
    <col min="9195" max="9195" width="18.1796875" style="10" bestFit="1" customWidth="1"/>
    <col min="9196" max="9196" width="13.1796875" style="10" bestFit="1" customWidth="1"/>
    <col min="9197" max="9197" width="14.7265625" style="10" bestFit="1" customWidth="1"/>
    <col min="9198" max="9198" width="17.1796875" style="10" bestFit="1" customWidth="1"/>
    <col min="9199" max="9199" width="16.453125" style="10" bestFit="1" customWidth="1"/>
    <col min="9200" max="9200" width="13.26953125" style="10" customWidth="1"/>
    <col min="9201" max="9201" width="13.1796875" style="10" customWidth="1"/>
    <col min="9202" max="9202" width="15.26953125" style="10" bestFit="1" customWidth="1"/>
    <col min="9203" max="9203" width="9.7265625" style="10" customWidth="1"/>
    <col min="9204" max="9204" width="14.1796875" style="10" customWidth="1"/>
    <col min="9205" max="9205" width="13.26953125" style="10" customWidth="1"/>
    <col min="9206" max="9206" width="15.81640625" style="10" customWidth="1"/>
    <col min="9207" max="9207" width="9.1796875" style="10" customWidth="1"/>
    <col min="9208" max="9208" width="6.1796875" style="10" customWidth="1"/>
    <col min="9209" max="9209" width="18" style="10" customWidth="1"/>
    <col min="9210" max="9210" width="19.26953125" style="10" customWidth="1"/>
    <col min="9211" max="9211" width="6.1796875" style="10" customWidth="1"/>
    <col min="9212" max="9212" width="13.81640625" style="10" bestFit="1" customWidth="1"/>
    <col min="9213" max="9213" width="11.453125" style="10"/>
    <col min="9214" max="9214" width="13" style="10" bestFit="1" customWidth="1"/>
    <col min="9215" max="9215" width="13.54296875" style="10" bestFit="1" customWidth="1"/>
    <col min="9216" max="9216" width="15.7265625" style="10" customWidth="1"/>
    <col min="9217" max="9449" width="11.453125" style="10"/>
    <col min="9450" max="9450" width="2.54296875" style="10" customWidth="1"/>
    <col min="9451" max="9451" width="18.1796875" style="10" bestFit="1" customWidth="1"/>
    <col min="9452" max="9452" width="13.1796875" style="10" bestFit="1" customWidth="1"/>
    <col min="9453" max="9453" width="14.7265625" style="10" bestFit="1" customWidth="1"/>
    <col min="9454" max="9454" width="17.1796875" style="10" bestFit="1" customWidth="1"/>
    <col min="9455" max="9455" width="16.453125" style="10" bestFit="1" customWidth="1"/>
    <col min="9456" max="9456" width="13.26953125" style="10" customWidth="1"/>
    <col min="9457" max="9457" width="13.1796875" style="10" customWidth="1"/>
    <col min="9458" max="9458" width="15.26953125" style="10" bestFit="1" customWidth="1"/>
    <col min="9459" max="9459" width="9.7265625" style="10" customWidth="1"/>
    <col min="9460" max="9460" width="14.1796875" style="10" customWidth="1"/>
    <col min="9461" max="9461" width="13.26953125" style="10" customWidth="1"/>
    <col min="9462" max="9462" width="15.81640625" style="10" customWidth="1"/>
    <col min="9463" max="9463" width="9.1796875" style="10" customWidth="1"/>
    <col min="9464" max="9464" width="6.1796875" style="10" customWidth="1"/>
    <col min="9465" max="9465" width="18" style="10" customWidth="1"/>
    <col min="9466" max="9466" width="19.26953125" style="10" customWidth="1"/>
    <col min="9467" max="9467" width="6.1796875" style="10" customWidth="1"/>
    <col min="9468" max="9468" width="13.81640625" style="10" bestFit="1" customWidth="1"/>
    <col min="9469" max="9469" width="11.453125" style="10"/>
    <col min="9470" max="9470" width="13" style="10" bestFit="1" customWidth="1"/>
    <col min="9471" max="9471" width="13.54296875" style="10" bestFit="1" customWidth="1"/>
    <col min="9472" max="9472" width="15.7265625" style="10" customWidth="1"/>
    <col min="9473" max="9705" width="11.453125" style="10"/>
    <col min="9706" max="9706" width="2.54296875" style="10" customWidth="1"/>
    <col min="9707" max="9707" width="18.1796875" style="10" bestFit="1" customWidth="1"/>
    <col min="9708" max="9708" width="13.1796875" style="10" bestFit="1" customWidth="1"/>
    <col min="9709" max="9709" width="14.7265625" style="10" bestFit="1" customWidth="1"/>
    <col min="9710" max="9710" width="17.1796875" style="10" bestFit="1" customWidth="1"/>
    <col min="9711" max="9711" width="16.453125" style="10" bestFit="1" customWidth="1"/>
    <col min="9712" max="9712" width="13.26953125" style="10" customWidth="1"/>
    <col min="9713" max="9713" width="13.1796875" style="10" customWidth="1"/>
    <col min="9714" max="9714" width="15.26953125" style="10" bestFit="1" customWidth="1"/>
    <col min="9715" max="9715" width="9.7265625" style="10" customWidth="1"/>
    <col min="9716" max="9716" width="14.1796875" style="10" customWidth="1"/>
    <col min="9717" max="9717" width="13.26953125" style="10" customWidth="1"/>
    <col min="9718" max="9718" width="15.81640625" style="10" customWidth="1"/>
    <col min="9719" max="9719" width="9.1796875" style="10" customWidth="1"/>
    <col min="9720" max="9720" width="6.1796875" style="10" customWidth="1"/>
    <col min="9721" max="9721" width="18" style="10" customWidth="1"/>
    <col min="9722" max="9722" width="19.26953125" style="10" customWidth="1"/>
    <col min="9723" max="9723" width="6.1796875" style="10" customWidth="1"/>
    <col min="9724" max="9724" width="13.81640625" style="10" bestFit="1" customWidth="1"/>
    <col min="9725" max="9725" width="11.453125" style="10"/>
    <col min="9726" max="9726" width="13" style="10" bestFit="1" customWidth="1"/>
    <col min="9727" max="9727" width="13.54296875" style="10" bestFit="1" customWidth="1"/>
    <col min="9728" max="9728" width="15.7265625" style="10" customWidth="1"/>
    <col min="9729" max="9961" width="11.453125" style="10"/>
    <col min="9962" max="9962" width="2.54296875" style="10" customWidth="1"/>
    <col min="9963" max="9963" width="18.1796875" style="10" bestFit="1" customWidth="1"/>
    <col min="9964" max="9964" width="13.1796875" style="10" bestFit="1" customWidth="1"/>
    <col min="9965" max="9965" width="14.7265625" style="10" bestFit="1" customWidth="1"/>
    <col min="9966" max="9966" width="17.1796875" style="10" bestFit="1" customWidth="1"/>
    <col min="9967" max="9967" width="16.453125" style="10" bestFit="1" customWidth="1"/>
    <col min="9968" max="9968" width="13.26953125" style="10" customWidth="1"/>
    <col min="9969" max="9969" width="13.1796875" style="10" customWidth="1"/>
    <col min="9970" max="9970" width="15.26953125" style="10" bestFit="1" customWidth="1"/>
    <col min="9971" max="9971" width="9.7265625" style="10" customWidth="1"/>
    <col min="9972" max="9972" width="14.1796875" style="10" customWidth="1"/>
    <col min="9973" max="9973" width="13.26953125" style="10" customWidth="1"/>
    <col min="9974" max="9974" width="15.81640625" style="10" customWidth="1"/>
    <col min="9975" max="9975" width="9.1796875" style="10" customWidth="1"/>
    <col min="9976" max="9976" width="6.1796875" style="10" customWidth="1"/>
    <col min="9977" max="9977" width="18" style="10" customWidth="1"/>
    <col min="9978" max="9978" width="19.26953125" style="10" customWidth="1"/>
    <col min="9979" max="9979" width="6.1796875" style="10" customWidth="1"/>
    <col min="9980" max="9980" width="13.81640625" style="10" bestFit="1" customWidth="1"/>
    <col min="9981" max="9981" width="11.453125" style="10"/>
    <col min="9982" max="9982" width="13" style="10" bestFit="1" customWidth="1"/>
    <col min="9983" max="9983" width="13.54296875" style="10" bestFit="1" customWidth="1"/>
    <col min="9984" max="9984" width="15.7265625" style="10" customWidth="1"/>
    <col min="9985" max="10217" width="11.453125" style="10"/>
    <col min="10218" max="10218" width="2.54296875" style="10" customWidth="1"/>
    <col min="10219" max="10219" width="18.1796875" style="10" bestFit="1" customWidth="1"/>
    <col min="10220" max="10220" width="13.1796875" style="10" bestFit="1" customWidth="1"/>
    <col min="10221" max="10221" width="14.7265625" style="10" bestFit="1" customWidth="1"/>
    <col min="10222" max="10222" width="17.1796875" style="10" bestFit="1" customWidth="1"/>
    <col min="10223" max="10223" width="16.453125" style="10" bestFit="1" customWidth="1"/>
    <col min="10224" max="10224" width="13.26953125" style="10" customWidth="1"/>
    <col min="10225" max="10225" width="13.1796875" style="10" customWidth="1"/>
    <col min="10226" max="10226" width="15.26953125" style="10" bestFit="1" customWidth="1"/>
    <col min="10227" max="10227" width="9.7265625" style="10" customWidth="1"/>
    <col min="10228" max="10228" width="14.1796875" style="10" customWidth="1"/>
    <col min="10229" max="10229" width="13.26953125" style="10" customWidth="1"/>
    <col min="10230" max="10230" width="15.81640625" style="10" customWidth="1"/>
    <col min="10231" max="10231" width="9.1796875" style="10" customWidth="1"/>
    <col min="10232" max="10232" width="6.1796875" style="10" customWidth="1"/>
    <col min="10233" max="10233" width="18" style="10" customWidth="1"/>
    <col min="10234" max="10234" width="19.26953125" style="10" customWidth="1"/>
    <col min="10235" max="10235" width="6.1796875" style="10" customWidth="1"/>
    <col min="10236" max="10236" width="13.81640625" style="10" bestFit="1" customWidth="1"/>
    <col min="10237" max="10237" width="11.453125" style="10"/>
    <col min="10238" max="10238" width="13" style="10" bestFit="1" customWidth="1"/>
    <col min="10239" max="10239" width="13.54296875" style="10" bestFit="1" customWidth="1"/>
    <col min="10240" max="10240" width="15.7265625" style="10" customWidth="1"/>
    <col min="10241" max="10473" width="11.453125" style="10"/>
    <col min="10474" max="10474" width="2.54296875" style="10" customWidth="1"/>
    <col min="10475" max="10475" width="18.1796875" style="10" bestFit="1" customWidth="1"/>
    <col min="10476" max="10476" width="13.1796875" style="10" bestFit="1" customWidth="1"/>
    <col min="10477" max="10477" width="14.7265625" style="10" bestFit="1" customWidth="1"/>
    <col min="10478" max="10478" width="17.1796875" style="10" bestFit="1" customWidth="1"/>
    <col min="10479" max="10479" width="16.453125" style="10" bestFit="1" customWidth="1"/>
    <col min="10480" max="10480" width="13.26953125" style="10" customWidth="1"/>
    <col min="10481" max="10481" width="13.1796875" style="10" customWidth="1"/>
    <col min="10482" max="10482" width="15.26953125" style="10" bestFit="1" customWidth="1"/>
    <col min="10483" max="10483" width="9.7265625" style="10" customWidth="1"/>
    <col min="10484" max="10484" width="14.1796875" style="10" customWidth="1"/>
    <col min="10485" max="10485" width="13.26953125" style="10" customWidth="1"/>
    <col min="10486" max="10486" width="15.81640625" style="10" customWidth="1"/>
    <col min="10487" max="10487" width="9.1796875" style="10" customWidth="1"/>
    <col min="10488" max="10488" width="6.1796875" style="10" customWidth="1"/>
    <col min="10489" max="10489" width="18" style="10" customWidth="1"/>
    <col min="10490" max="10490" width="19.26953125" style="10" customWidth="1"/>
    <col min="10491" max="10491" width="6.1796875" style="10" customWidth="1"/>
    <col min="10492" max="10492" width="13.81640625" style="10" bestFit="1" customWidth="1"/>
    <col min="10493" max="10493" width="11.453125" style="10"/>
    <col min="10494" max="10494" width="13" style="10" bestFit="1" customWidth="1"/>
    <col min="10495" max="10495" width="13.54296875" style="10" bestFit="1" customWidth="1"/>
    <col min="10496" max="10496" width="15.7265625" style="10" customWidth="1"/>
    <col min="10497" max="10729" width="11.453125" style="10"/>
    <col min="10730" max="10730" width="2.54296875" style="10" customWidth="1"/>
    <col min="10731" max="10731" width="18.1796875" style="10" bestFit="1" customWidth="1"/>
    <col min="10732" max="10732" width="13.1796875" style="10" bestFit="1" customWidth="1"/>
    <col min="10733" max="10733" width="14.7265625" style="10" bestFit="1" customWidth="1"/>
    <col min="10734" max="10734" width="17.1796875" style="10" bestFit="1" customWidth="1"/>
    <col min="10735" max="10735" width="16.453125" style="10" bestFit="1" customWidth="1"/>
    <col min="10736" max="10736" width="13.26953125" style="10" customWidth="1"/>
    <col min="10737" max="10737" width="13.1796875" style="10" customWidth="1"/>
    <col min="10738" max="10738" width="15.26953125" style="10" bestFit="1" customWidth="1"/>
    <col min="10739" max="10739" width="9.7265625" style="10" customWidth="1"/>
    <col min="10740" max="10740" width="14.1796875" style="10" customWidth="1"/>
    <col min="10741" max="10741" width="13.26953125" style="10" customWidth="1"/>
    <col min="10742" max="10742" width="15.81640625" style="10" customWidth="1"/>
    <col min="10743" max="10743" width="9.1796875" style="10" customWidth="1"/>
    <col min="10744" max="10744" width="6.1796875" style="10" customWidth="1"/>
    <col min="10745" max="10745" width="18" style="10" customWidth="1"/>
    <col min="10746" max="10746" width="19.26953125" style="10" customWidth="1"/>
    <col min="10747" max="10747" width="6.1796875" style="10" customWidth="1"/>
    <col min="10748" max="10748" width="13.81640625" style="10" bestFit="1" customWidth="1"/>
    <col min="10749" max="10749" width="11.453125" style="10"/>
    <col min="10750" max="10750" width="13" style="10" bestFit="1" customWidth="1"/>
    <col min="10751" max="10751" width="13.54296875" style="10" bestFit="1" customWidth="1"/>
    <col min="10752" max="10752" width="15.7265625" style="10" customWidth="1"/>
    <col min="10753" max="10985" width="11.453125" style="10"/>
    <col min="10986" max="10986" width="2.54296875" style="10" customWidth="1"/>
    <col min="10987" max="10987" width="18.1796875" style="10" bestFit="1" customWidth="1"/>
    <col min="10988" max="10988" width="13.1796875" style="10" bestFit="1" customWidth="1"/>
    <col min="10989" max="10989" width="14.7265625" style="10" bestFit="1" customWidth="1"/>
    <col min="10990" max="10990" width="17.1796875" style="10" bestFit="1" customWidth="1"/>
    <col min="10991" max="10991" width="16.453125" style="10" bestFit="1" customWidth="1"/>
    <col min="10992" max="10992" width="13.26953125" style="10" customWidth="1"/>
    <col min="10993" max="10993" width="13.1796875" style="10" customWidth="1"/>
    <col min="10994" max="10994" width="15.26953125" style="10" bestFit="1" customWidth="1"/>
    <col min="10995" max="10995" width="9.7265625" style="10" customWidth="1"/>
    <col min="10996" max="10996" width="14.1796875" style="10" customWidth="1"/>
    <col min="10997" max="10997" width="13.26953125" style="10" customWidth="1"/>
    <col min="10998" max="10998" width="15.81640625" style="10" customWidth="1"/>
    <col min="10999" max="10999" width="9.1796875" style="10" customWidth="1"/>
    <col min="11000" max="11000" width="6.1796875" style="10" customWidth="1"/>
    <col min="11001" max="11001" width="18" style="10" customWidth="1"/>
    <col min="11002" max="11002" width="19.26953125" style="10" customWidth="1"/>
    <col min="11003" max="11003" width="6.1796875" style="10" customWidth="1"/>
    <col min="11004" max="11004" width="13.81640625" style="10" bestFit="1" customWidth="1"/>
    <col min="11005" max="11005" width="11.453125" style="10"/>
    <col min="11006" max="11006" width="13" style="10" bestFit="1" customWidth="1"/>
    <col min="11007" max="11007" width="13.54296875" style="10" bestFit="1" customWidth="1"/>
    <col min="11008" max="11008" width="15.7265625" style="10" customWidth="1"/>
    <col min="11009" max="11241" width="11.453125" style="10"/>
    <col min="11242" max="11242" width="2.54296875" style="10" customWidth="1"/>
    <col min="11243" max="11243" width="18.1796875" style="10" bestFit="1" customWidth="1"/>
    <col min="11244" max="11244" width="13.1796875" style="10" bestFit="1" customWidth="1"/>
    <col min="11245" max="11245" width="14.7265625" style="10" bestFit="1" customWidth="1"/>
    <col min="11246" max="11246" width="17.1796875" style="10" bestFit="1" customWidth="1"/>
    <col min="11247" max="11247" width="16.453125" style="10" bestFit="1" customWidth="1"/>
    <col min="11248" max="11248" width="13.26953125" style="10" customWidth="1"/>
    <col min="11249" max="11249" width="13.1796875" style="10" customWidth="1"/>
    <col min="11250" max="11250" width="15.26953125" style="10" bestFit="1" customWidth="1"/>
    <col min="11251" max="11251" width="9.7265625" style="10" customWidth="1"/>
    <col min="11252" max="11252" width="14.1796875" style="10" customWidth="1"/>
    <col min="11253" max="11253" width="13.26953125" style="10" customWidth="1"/>
    <col min="11254" max="11254" width="15.81640625" style="10" customWidth="1"/>
    <col min="11255" max="11255" width="9.1796875" style="10" customWidth="1"/>
    <col min="11256" max="11256" width="6.1796875" style="10" customWidth="1"/>
    <col min="11257" max="11257" width="18" style="10" customWidth="1"/>
    <col min="11258" max="11258" width="19.26953125" style="10" customWidth="1"/>
    <col min="11259" max="11259" width="6.1796875" style="10" customWidth="1"/>
    <col min="11260" max="11260" width="13.81640625" style="10" bestFit="1" customWidth="1"/>
    <col min="11261" max="11261" width="11.453125" style="10"/>
    <col min="11262" max="11262" width="13" style="10" bestFit="1" customWidth="1"/>
    <col min="11263" max="11263" width="13.54296875" style="10" bestFit="1" customWidth="1"/>
    <col min="11264" max="11264" width="15.7265625" style="10" customWidth="1"/>
    <col min="11265" max="11497" width="11.453125" style="10"/>
    <col min="11498" max="11498" width="2.54296875" style="10" customWidth="1"/>
    <col min="11499" max="11499" width="18.1796875" style="10" bestFit="1" customWidth="1"/>
    <col min="11500" max="11500" width="13.1796875" style="10" bestFit="1" customWidth="1"/>
    <col min="11501" max="11501" width="14.7265625" style="10" bestFit="1" customWidth="1"/>
    <col min="11502" max="11502" width="17.1796875" style="10" bestFit="1" customWidth="1"/>
    <col min="11503" max="11503" width="16.453125" style="10" bestFit="1" customWidth="1"/>
    <col min="11504" max="11504" width="13.26953125" style="10" customWidth="1"/>
    <col min="11505" max="11505" width="13.1796875" style="10" customWidth="1"/>
    <col min="11506" max="11506" width="15.26953125" style="10" bestFit="1" customWidth="1"/>
    <col min="11507" max="11507" width="9.7265625" style="10" customWidth="1"/>
    <col min="11508" max="11508" width="14.1796875" style="10" customWidth="1"/>
    <col min="11509" max="11509" width="13.26953125" style="10" customWidth="1"/>
    <col min="11510" max="11510" width="15.81640625" style="10" customWidth="1"/>
    <col min="11511" max="11511" width="9.1796875" style="10" customWidth="1"/>
    <col min="11512" max="11512" width="6.1796875" style="10" customWidth="1"/>
    <col min="11513" max="11513" width="18" style="10" customWidth="1"/>
    <col min="11514" max="11514" width="19.26953125" style="10" customWidth="1"/>
    <col min="11515" max="11515" width="6.1796875" style="10" customWidth="1"/>
    <col min="11516" max="11516" width="13.81640625" style="10" bestFit="1" customWidth="1"/>
    <col min="11517" max="11517" width="11.453125" style="10"/>
    <col min="11518" max="11518" width="13" style="10" bestFit="1" customWidth="1"/>
    <col min="11519" max="11519" width="13.54296875" style="10" bestFit="1" customWidth="1"/>
    <col min="11520" max="11520" width="15.7265625" style="10" customWidth="1"/>
    <col min="11521" max="11753" width="11.453125" style="10"/>
    <col min="11754" max="11754" width="2.54296875" style="10" customWidth="1"/>
    <col min="11755" max="11755" width="18.1796875" style="10" bestFit="1" customWidth="1"/>
    <col min="11756" max="11756" width="13.1796875" style="10" bestFit="1" customWidth="1"/>
    <col min="11757" max="11757" width="14.7265625" style="10" bestFit="1" customWidth="1"/>
    <col min="11758" max="11758" width="17.1796875" style="10" bestFit="1" customWidth="1"/>
    <col min="11759" max="11759" width="16.453125" style="10" bestFit="1" customWidth="1"/>
    <col min="11760" max="11760" width="13.26953125" style="10" customWidth="1"/>
    <col min="11761" max="11761" width="13.1796875" style="10" customWidth="1"/>
    <col min="11762" max="11762" width="15.26953125" style="10" bestFit="1" customWidth="1"/>
    <col min="11763" max="11763" width="9.7265625" style="10" customWidth="1"/>
    <col min="11764" max="11764" width="14.1796875" style="10" customWidth="1"/>
    <col min="11765" max="11765" width="13.26953125" style="10" customWidth="1"/>
    <col min="11766" max="11766" width="15.81640625" style="10" customWidth="1"/>
    <col min="11767" max="11767" width="9.1796875" style="10" customWidth="1"/>
    <col min="11768" max="11768" width="6.1796875" style="10" customWidth="1"/>
    <col min="11769" max="11769" width="18" style="10" customWidth="1"/>
    <col min="11770" max="11770" width="19.26953125" style="10" customWidth="1"/>
    <col min="11771" max="11771" width="6.1796875" style="10" customWidth="1"/>
    <col min="11772" max="11772" width="13.81640625" style="10" bestFit="1" customWidth="1"/>
    <col min="11773" max="11773" width="11.453125" style="10"/>
    <col min="11774" max="11774" width="13" style="10" bestFit="1" customWidth="1"/>
    <col min="11775" max="11775" width="13.54296875" style="10" bestFit="1" customWidth="1"/>
    <col min="11776" max="11776" width="15.7265625" style="10" customWidth="1"/>
    <col min="11777" max="12009" width="11.453125" style="10"/>
    <col min="12010" max="12010" width="2.54296875" style="10" customWidth="1"/>
    <col min="12011" max="12011" width="18.1796875" style="10" bestFit="1" customWidth="1"/>
    <col min="12012" max="12012" width="13.1796875" style="10" bestFit="1" customWidth="1"/>
    <col min="12013" max="12013" width="14.7265625" style="10" bestFit="1" customWidth="1"/>
    <col min="12014" max="12014" width="17.1796875" style="10" bestFit="1" customWidth="1"/>
    <col min="12015" max="12015" width="16.453125" style="10" bestFit="1" customWidth="1"/>
    <col min="12016" max="12016" width="13.26953125" style="10" customWidth="1"/>
    <col min="12017" max="12017" width="13.1796875" style="10" customWidth="1"/>
    <col min="12018" max="12018" width="15.26953125" style="10" bestFit="1" customWidth="1"/>
    <col min="12019" max="12019" width="9.7265625" style="10" customWidth="1"/>
    <col min="12020" max="12020" width="14.1796875" style="10" customWidth="1"/>
    <col min="12021" max="12021" width="13.26953125" style="10" customWidth="1"/>
    <col min="12022" max="12022" width="15.81640625" style="10" customWidth="1"/>
    <col min="12023" max="12023" width="9.1796875" style="10" customWidth="1"/>
    <col min="12024" max="12024" width="6.1796875" style="10" customWidth="1"/>
    <col min="12025" max="12025" width="18" style="10" customWidth="1"/>
    <col min="12026" max="12026" width="19.26953125" style="10" customWidth="1"/>
    <col min="12027" max="12027" width="6.1796875" style="10" customWidth="1"/>
    <col min="12028" max="12028" width="13.81640625" style="10" bestFit="1" customWidth="1"/>
    <col min="12029" max="12029" width="11.453125" style="10"/>
    <col min="12030" max="12030" width="13" style="10" bestFit="1" customWidth="1"/>
    <col min="12031" max="12031" width="13.54296875" style="10" bestFit="1" customWidth="1"/>
    <col min="12032" max="12032" width="15.7265625" style="10" customWidth="1"/>
    <col min="12033" max="12265" width="11.453125" style="10"/>
    <col min="12266" max="12266" width="2.54296875" style="10" customWidth="1"/>
    <col min="12267" max="12267" width="18.1796875" style="10" bestFit="1" customWidth="1"/>
    <col min="12268" max="12268" width="13.1796875" style="10" bestFit="1" customWidth="1"/>
    <col min="12269" max="12269" width="14.7265625" style="10" bestFit="1" customWidth="1"/>
    <col min="12270" max="12270" width="17.1796875" style="10" bestFit="1" customWidth="1"/>
    <col min="12271" max="12271" width="16.453125" style="10" bestFit="1" customWidth="1"/>
    <col min="12272" max="12272" width="13.26953125" style="10" customWidth="1"/>
    <col min="12273" max="12273" width="13.1796875" style="10" customWidth="1"/>
    <col min="12274" max="12274" width="15.26953125" style="10" bestFit="1" customWidth="1"/>
    <col min="12275" max="12275" width="9.7265625" style="10" customWidth="1"/>
    <col min="12276" max="12276" width="14.1796875" style="10" customWidth="1"/>
    <col min="12277" max="12277" width="13.26953125" style="10" customWidth="1"/>
    <col min="12278" max="12278" width="15.81640625" style="10" customWidth="1"/>
    <col min="12279" max="12279" width="9.1796875" style="10" customWidth="1"/>
    <col min="12280" max="12280" width="6.1796875" style="10" customWidth="1"/>
    <col min="12281" max="12281" width="18" style="10" customWidth="1"/>
    <col min="12282" max="12282" width="19.26953125" style="10" customWidth="1"/>
    <col min="12283" max="12283" width="6.1796875" style="10" customWidth="1"/>
    <col min="12284" max="12284" width="13.81640625" style="10" bestFit="1" customWidth="1"/>
    <col min="12285" max="12285" width="11.453125" style="10"/>
    <col min="12286" max="12286" width="13" style="10" bestFit="1" customWidth="1"/>
    <col min="12287" max="12287" width="13.54296875" style="10" bestFit="1" customWidth="1"/>
    <col min="12288" max="12288" width="15.7265625" style="10" customWidth="1"/>
    <col min="12289" max="12521" width="11.453125" style="10"/>
    <col min="12522" max="12522" width="2.54296875" style="10" customWidth="1"/>
    <col min="12523" max="12523" width="18.1796875" style="10" bestFit="1" customWidth="1"/>
    <col min="12524" max="12524" width="13.1796875" style="10" bestFit="1" customWidth="1"/>
    <col min="12525" max="12525" width="14.7265625" style="10" bestFit="1" customWidth="1"/>
    <col min="12526" max="12526" width="17.1796875" style="10" bestFit="1" customWidth="1"/>
    <col min="12527" max="12527" width="16.453125" style="10" bestFit="1" customWidth="1"/>
    <col min="12528" max="12528" width="13.26953125" style="10" customWidth="1"/>
    <col min="12529" max="12529" width="13.1796875" style="10" customWidth="1"/>
    <col min="12530" max="12530" width="15.26953125" style="10" bestFit="1" customWidth="1"/>
    <col min="12531" max="12531" width="9.7265625" style="10" customWidth="1"/>
    <col min="12532" max="12532" width="14.1796875" style="10" customWidth="1"/>
    <col min="12533" max="12533" width="13.26953125" style="10" customWidth="1"/>
    <col min="12534" max="12534" width="15.81640625" style="10" customWidth="1"/>
    <col min="12535" max="12535" width="9.1796875" style="10" customWidth="1"/>
    <col min="12536" max="12536" width="6.1796875" style="10" customWidth="1"/>
    <col min="12537" max="12537" width="18" style="10" customWidth="1"/>
    <col min="12538" max="12538" width="19.26953125" style="10" customWidth="1"/>
    <col min="12539" max="12539" width="6.1796875" style="10" customWidth="1"/>
    <col min="12540" max="12540" width="13.81640625" style="10" bestFit="1" customWidth="1"/>
    <col min="12541" max="12541" width="11.453125" style="10"/>
    <col min="12542" max="12542" width="13" style="10" bestFit="1" customWidth="1"/>
    <col min="12543" max="12543" width="13.54296875" style="10" bestFit="1" customWidth="1"/>
    <col min="12544" max="12544" width="15.7265625" style="10" customWidth="1"/>
    <col min="12545" max="12777" width="11.453125" style="10"/>
    <col min="12778" max="12778" width="2.54296875" style="10" customWidth="1"/>
    <col min="12779" max="12779" width="18.1796875" style="10" bestFit="1" customWidth="1"/>
    <col min="12780" max="12780" width="13.1796875" style="10" bestFit="1" customWidth="1"/>
    <col min="12781" max="12781" width="14.7265625" style="10" bestFit="1" customWidth="1"/>
    <col min="12782" max="12782" width="17.1796875" style="10" bestFit="1" customWidth="1"/>
    <col min="12783" max="12783" width="16.453125" style="10" bestFit="1" customWidth="1"/>
    <col min="12784" max="12784" width="13.26953125" style="10" customWidth="1"/>
    <col min="12785" max="12785" width="13.1796875" style="10" customWidth="1"/>
    <col min="12786" max="12786" width="15.26953125" style="10" bestFit="1" customWidth="1"/>
    <col min="12787" max="12787" width="9.7265625" style="10" customWidth="1"/>
    <col min="12788" max="12788" width="14.1796875" style="10" customWidth="1"/>
    <col min="12789" max="12789" width="13.26953125" style="10" customWidth="1"/>
    <col min="12790" max="12790" width="15.81640625" style="10" customWidth="1"/>
    <col min="12791" max="12791" width="9.1796875" style="10" customWidth="1"/>
    <col min="12792" max="12792" width="6.1796875" style="10" customWidth="1"/>
    <col min="12793" max="12793" width="18" style="10" customWidth="1"/>
    <col min="12794" max="12794" width="19.26953125" style="10" customWidth="1"/>
    <col min="12795" max="12795" width="6.1796875" style="10" customWidth="1"/>
    <col min="12796" max="12796" width="13.81640625" style="10" bestFit="1" customWidth="1"/>
    <col min="12797" max="12797" width="11.453125" style="10"/>
    <col min="12798" max="12798" width="13" style="10" bestFit="1" customWidth="1"/>
    <col min="12799" max="12799" width="13.54296875" style="10" bestFit="1" customWidth="1"/>
    <col min="12800" max="12800" width="15.7265625" style="10" customWidth="1"/>
    <col min="12801" max="13033" width="11.453125" style="10"/>
    <col min="13034" max="13034" width="2.54296875" style="10" customWidth="1"/>
    <col min="13035" max="13035" width="18.1796875" style="10" bestFit="1" customWidth="1"/>
    <col min="13036" max="13036" width="13.1796875" style="10" bestFit="1" customWidth="1"/>
    <col min="13037" max="13037" width="14.7265625" style="10" bestFit="1" customWidth="1"/>
    <col min="13038" max="13038" width="17.1796875" style="10" bestFit="1" customWidth="1"/>
    <col min="13039" max="13039" width="16.453125" style="10" bestFit="1" customWidth="1"/>
    <col min="13040" max="13040" width="13.26953125" style="10" customWidth="1"/>
    <col min="13041" max="13041" width="13.1796875" style="10" customWidth="1"/>
    <col min="13042" max="13042" width="15.26953125" style="10" bestFit="1" customWidth="1"/>
    <col min="13043" max="13043" width="9.7265625" style="10" customWidth="1"/>
    <col min="13044" max="13044" width="14.1796875" style="10" customWidth="1"/>
    <col min="13045" max="13045" width="13.26953125" style="10" customWidth="1"/>
    <col min="13046" max="13046" width="15.81640625" style="10" customWidth="1"/>
    <col min="13047" max="13047" width="9.1796875" style="10" customWidth="1"/>
    <col min="13048" max="13048" width="6.1796875" style="10" customWidth="1"/>
    <col min="13049" max="13049" width="18" style="10" customWidth="1"/>
    <col min="13050" max="13050" width="19.26953125" style="10" customWidth="1"/>
    <col min="13051" max="13051" width="6.1796875" style="10" customWidth="1"/>
    <col min="13052" max="13052" width="13.81640625" style="10" bestFit="1" customWidth="1"/>
    <col min="13053" max="13053" width="11.453125" style="10"/>
    <col min="13054" max="13054" width="13" style="10" bestFit="1" customWidth="1"/>
    <col min="13055" max="13055" width="13.54296875" style="10" bestFit="1" customWidth="1"/>
    <col min="13056" max="13056" width="15.7265625" style="10" customWidth="1"/>
    <col min="13057" max="13289" width="11.453125" style="10"/>
    <col min="13290" max="13290" width="2.54296875" style="10" customWidth="1"/>
    <col min="13291" max="13291" width="18.1796875" style="10" bestFit="1" customWidth="1"/>
    <col min="13292" max="13292" width="13.1796875" style="10" bestFit="1" customWidth="1"/>
    <col min="13293" max="13293" width="14.7265625" style="10" bestFit="1" customWidth="1"/>
    <col min="13294" max="13294" width="17.1796875" style="10" bestFit="1" customWidth="1"/>
    <col min="13295" max="13295" width="16.453125" style="10" bestFit="1" customWidth="1"/>
    <col min="13296" max="13296" width="13.26953125" style="10" customWidth="1"/>
    <col min="13297" max="13297" width="13.1796875" style="10" customWidth="1"/>
    <col min="13298" max="13298" width="15.26953125" style="10" bestFit="1" customWidth="1"/>
    <col min="13299" max="13299" width="9.7265625" style="10" customWidth="1"/>
    <col min="13300" max="13300" width="14.1796875" style="10" customWidth="1"/>
    <col min="13301" max="13301" width="13.26953125" style="10" customWidth="1"/>
    <col min="13302" max="13302" width="15.81640625" style="10" customWidth="1"/>
    <col min="13303" max="13303" width="9.1796875" style="10" customWidth="1"/>
    <col min="13304" max="13304" width="6.1796875" style="10" customWidth="1"/>
    <col min="13305" max="13305" width="18" style="10" customWidth="1"/>
    <col min="13306" max="13306" width="19.26953125" style="10" customWidth="1"/>
    <col min="13307" max="13307" width="6.1796875" style="10" customWidth="1"/>
    <col min="13308" max="13308" width="13.81640625" style="10" bestFit="1" customWidth="1"/>
    <col min="13309" max="13309" width="11.453125" style="10"/>
    <col min="13310" max="13310" width="13" style="10" bestFit="1" customWidth="1"/>
    <col min="13311" max="13311" width="13.54296875" style="10" bestFit="1" customWidth="1"/>
    <col min="13312" max="13312" width="15.7265625" style="10" customWidth="1"/>
    <col min="13313" max="13545" width="11.453125" style="10"/>
    <col min="13546" max="13546" width="2.54296875" style="10" customWidth="1"/>
    <col min="13547" max="13547" width="18.1796875" style="10" bestFit="1" customWidth="1"/>
    <col min="13548" max="13548" width="13.1796875" style="10" bestFit="1" customWidth="1"/>
    <col min="13549" max="13549" width="14.7265625" style="10" bestFit="1" customWidth="1"/>
    <col min="13550" max="13550" width="17.1796875" style="10" bestFit="1" customWidth="1"/>
    <col min="13551" max="13551" width="16.453125" style="10" bestFit="1" customWidth="1"/>
    <col min="13552" max="13552" width="13.26953125" style="10" customWidth="1"/>
    <col min="13553" max="13553" width="13.1796875" style="10" customWidth="1"/>
    <col min="13554" max="13554" width="15.26953125" style="10" bestFit="1" customWidth="1"/>
    <col min="13555" max="13555" width="9.7265625" style="10" customWidth="1"/>
    <col min="13556" max="13556" width="14.1796875" style="10" customWidth="1"/>
    <col min="13557" max="13557" width="13.26953125" style="10" customWidth="1"/>
    <col min="13558" max="13558" width="15.81640625" style="10" customWidth="1"/>
    <col min="13559" max="13559" width="9.1796875" style="10" customWidth="1"/>
    <col min="13560" max="13560" width="6.1796875" style="10" customWidth="1"/>
    <col min="13561" max="13561" width="18" style="10" customWidth="1"/>
    <col min="13562" max="13562" width="19.26953125" style="10" customWidth="1"/>
    <col min="13563" max="13563" width="6.1796875" style="10" customWidth="1"/>
    <col min="13564" max="13564" width="13.81640625" style="10" bestFit="1" customWidth="1"/>
    <col min="13565" max="13565" width="11.453125" style="10"/>
    <col min="13566" max="13566" width="13" style="10" bestFit="1" customWidth="1"/>
    <col min="13567" max="13567" width="13.54296875" style="10" bestFit="1" customWidth="1"/>
    <col min="13568" max="13568" width="15.7265625" style="10" customWidth="1"/>
    <col min="13569" max="13801" width="11.453125" style="10"/>
    <col min="13802" max="13802" width="2.54296875" style="10" customWidth="1"/>
    <col min="13803" max="13803" width="18.1796875" style="10" bestFit="1" customWidth="1"/>
    <col min="13804" max="13804" width="13.1796875" style="10" bestFit="1" customWidth="1"/>
    <col min="13805" max="13805" width="14.7265625" style="10" bestFit="1" customWidth="1"/>
    <col min="13806" max="13806" width="17.1796875" style="10" bestFit="1" customWidth="1"/>
    <col min="13807" max="13807" width="16.453125" style="10" bestFit="1" customWidth="1"/>
    <col min="13808" max="13808" width="13.26953125" style="10" customWidth="1"/>
    <col min="13809" max="13809" width="13.1796875" style="10" customWidth="1"/>
    <col min="13810" max="13810" width="15.26953125" style="10" bestFit="1" customWidth="1"/>
    <col min="13811" max="13811" width="9.7265625" style="10" customWidth="1"/>
    <col min="13812" max="13812" width="14.1796875" style="10" customWidth="1"/>
    <col min="13813" max="13813" width="13.26953125" style="10" customWidth="1"/>
    <col min="13814" max="13814" width="15.81640625" style="10" customWidth="1"/>
    <col min="13815" max="13815" width="9.1796875" style="10" customWidth="1"/>
    <col min="13816" max="13816" width="6.1796875" style="10" customWidth="1"/>
    <col min="13817" max="13817" width="18" style="10" customWidth="1"/>
    <col min="13818" max="13818" width="19.26953125" style="10" customWidth="1"/>
    <col min="13819" max="13819" width="6.1796875" style="10" customWidth="1"/>
    <col min="13820" max="13820" width="13.81640625" style="10" bestFit="1" customWidth="1"/>
    <col min="13821" max="13821" width="11.453125" style="10"/>
    <col min="13822" max="13822" width="13" style="10" bestFit="1" customWidth="1"/>
    <col min="13823" max="13823" width="13.54296875" style="10" bestFit="1" customWidth="1"/>
    <col min="13824" max="13824" width="15.7265625" style="10" customWidth="1"/>
    <col min="13825" max="14057" width="11.453125" style="10"/>
    <col min="14058" max="14058" width="2.54296875" style="10" customWidth="1"/>
    <col min="14059" max="14059" width="18.1796875" style="10" bestFit="1" customWidth="1"/>
    <col min="14060" max="14060" width="13.1796875" style="10" bestFit="1" customWidth="1"/>
    <col min="14061" max="14061" width="14.7265625" style="10" bestFit="1" customWidth="1"/>
    <col min="14062" max="14062" width="17.1796875" style="10" bestFit="1" customWidth="1"/>
    <col min="14063" max="14063" width="16.453125" style="10" bestFit="1" customWidth="1"/>
    <col min="14064" max="14064" width="13.26953125" style="10" customWidth="1"/>
    <col min="14065" max="14065" width="13.1796875" style="10" customWidth="1"/>
    <col min="14066" max="14066" width="15.26953125" style="10" bestFit="1" customWidth="1"/>
    <col min="14067" max="14067" width="9.7265625" style="10" customWidth="1"/>
    <col min="14068" max="14068" width="14.1796875" style="10" customWidth="1"/>
    <col min="14069" max="14069" width="13.26953125" style="10" customWidth="1"/>
    <col min="14070" max="14070" width="15.81640625" style="10" customWidth="1"/>
    <col min="14071" max="14071" width="9.1796875" style="10" customWidth="1"/>
    <col min="14072" max="14072" width="6.1796875" style="10" customWidth="1"/>
    <col min="14073" max="14073" width="18" style="10" customWidth="1"/>
    <col min="14074" max="14074" width="19.26953125" style="10" customWidth="1"/>
    <col min="14075" max="14075" width="6.1796875" style="10" customWidth="1"/>
    <col min="14076" max="14076" width="13.81640625" style="10" bestFit="1" customWidth="1"/>
    <col min="14077" max="14077" width="11.453125" style="10"/>
    <col min="14078" max="14078" width="13" style="10" bestFit="1" customWidth="1"/>
    <col min="14079" max="14079" width="13.54296875" style="10" bestFit="1" customWidth="1"/>
    <col min="14080" max="14080" width="15.7265625" style="10" customWidth="1"/>
    <col min="14081" max="14313" width="11.453125" style="10"/>
    <col min="14314" max="14314" width="2.54296875" style="10" customWidth="1"/>
    <col min="14315" max="14315" width="18.1796875" style="10" bestFit="1" customWidth="1"/>
    <col min="14316" max="14316" width="13.1796875" style="10" bestFit="1" customWidth="1"/>
    <col min="14317" max="14317" width="14.7265625" style="10" bestFit="1" customWidth="1"/>
    <col min="14318" max="14318" width="17.1796875" style="10" bestFit="1" customWidth="1"/>
    <col min="14319" max="14319" width="16.453125" style="10" bestFit="1" customWidth="1"/>
    <col min="14320" max="14320" width="13.26953125" style="10" customWidth="1"/>
    <col min="14321" max="14321" width="13.1796875" style="10" customWidth="1"/>
    <col min="14322" max="14322" width="15.26953125" style="10" bestFit="1" customWidth="1"/>
    <col min="14323" max="14323" width="9.7265625" style="10" customWidth="1"/>
    <col min="14324" max="14324" width="14.1796875" style="10" customWidth="1"/>
    <col min="14325" max="14325" width="13.26953125" style="10" customWidth="1"/>
    <col min="14326" max="14326" width="15.81640625" style="10" customWidth="1"/>
    <col min="14327" max="14327" width="9.1796875" style="10" customWidth="1"/>
    <col min="14328" max="14328" width="6.1796875" style="10" customWidth="1"/>
    <col min="14329" max="14329" width="18" style="10" customWidth="1"/>
    <col min="14330" max="14330" width="19.26953125" style="10" customWidth="1"/>
    <col min="14331" max="14331" width="6.1796875" style="10" customWidth="1"/>
    <col min="14332" max="14332" width="13.81640625" style="10" bestFit="1" customWidth="1"/>
    <col min="14333" max="14333" width="11.453125" style="10"/>
    <col min="14334" max="14334" width="13" style="10" bestFit="1" customWidth="1"/>
    <col min="14335" max="14335" width="13.54296875" style="10" bestFit="1" customWidth="1"/>
    <col min="14336" max="14336" width="15.7265625" style="10" customWidth="1"/>
    <col min="14337" max="14569" width="11.453125" style="10"/>
    <col min="14570" max="14570" width="2.54296875" style="10" customWidth="1"/>
    <col min="14571" max="14571" width="18.1796875" style="10" bestFit="1" customWidth="1"/>
    <col min="14572" max="14572" width="13.1796875" style="10" bestFit="1" customWidth="1"/>
    <col min="14573" max="14573" width="14.7265625" style="10" bestFit="1" customWidth="1"/>
    <col min="14574" max="14574" width="17.1796875" style="10" bestFit="1" customWidth="1"/>
    <col min="14575" max="14575" width="16.453125" style="10" bestFit="1" customWidth="1"/>
    <col min="14576" max="14576" width="13.26953125" style="10" customWidth="1"/>
    <col min="14577" max="14577" width="13.1796875" style="10" customWidth="1"/>
    <col min="14578" max="14578" width="15.26953125" style="10" bestFit="1" customWidth="1"/>
    <col min="14579" max="14579" width="9.7265625" style="10" customWidth="1"/>
    <col min="14580" max="14580" width="14.1796875" style="10" customWidth="1"/>
    <col min="14581" max="14581" width="13.26953125" style="10" customWidth="1"/>
    <col min="14582" max="14582" width="15.81640625" style="10" customWidth="1"/>
    <col min="14583" max="14583" width="9.1796875" style="10" customWidth="1"/>
    <col min="14584" max="14584" width="6.1796875" style="10" customWidth="1"/>
    <col min="14585" max="14585" width="18" style="10" customWidth="1"/>
    <col min="14586" max="14586" width="19.26953125" style="10" customWidth="1"/>
    <col min="14587" max="14587" width="6.1796875" style="10" customWidth="1"/>
    <col min="14588" max="14588" width="13.81640625" style="10" bestFit="1" customWidth="1"/>
    <col min="14589" max="14589" width="11.453125" style="10"/>
    <col min="14590" max="14590" width="13" style="10" bestFit="1" customWidth="1"/>
    <col min="14591" max="14591" width="13.54296875" style="10" bestFit="1" customWidth="1"/>
    <col min="14592" max="14592" width="15.7265625" style="10" customWidth="1"/>
    <col min="14593" max="14825" width="11.453125" style="10"/>
    <col min="14826" max="14826" width="2.54296875" style="10" customWidth="1"/>
    <col min="14827" max="14827" width="18.1796875" style="10" bestFit="1" customWidth="1"/>
    <col min="14828" max="14828" width="13.1796875" style="10" bestFit="1" customWidth="1"/>
    <col min="14829" max="14829" width="14.7265625" style="10" bestFit="1" customWidth="1"/>
    <col min="14830" max="14830" width="17.1796875" style="10" bestFit="1" customWidth="1"/>
    <col min="14831" max="14831" width="16.453125" style="10" bestFit="1" customWidth="1"/>
    <col min="14832" max="14832" width="13.26953125" style="10" customWidth="1"/>
    <col min="14833" max="14833" width="13.1796875" style="10" customWidth="1"/>
    <col min="14834" max="14834" width="15.26953125" style="10" bestFit="1" customWidth="1"/>
    <col min="14835" max="14835" width="9.7265625" style="10" customWidth="1"/>
    <col min="14836" max="14836" width="14.1796875" style="10" customWidth="1"/>
    <col min="14837" max="14837" width="13.26953125" style="10" customWidth="1"/>
    <col min="14838" max="14838" width="15.81640625" style="10" customWidth="1"/>
    <col min="14839" max="14839" width="9.1796875" style="10" customWidth="1"/>
    <col min="14840" max="14840" width="6.1796875" style="10" customWidth="1"/>
    <col min="14841" max="14841" width="18" style="10" customWidth="1"/>
    <col min="14842" max="14842" width="19.26953125" style="10" customWidth="1"/>
    <col min="14843" max="14843" width="6.1796875" style="10" customWidth="1"/>
    <col min="14844" max="14844" width="13.81640625" style="10" bestFit="1" customWidth="1"/>
    <col min="14845" max="14845" width="11.453125" style="10"/>
    <col min="14846" max="14846" width="13" style="10" bestFit="1" customWidth="1"/>
    <col min="14847" max="14847" width="13.54296875" style="10" bestFit="1" customWidth="1"/>
    <col min="14848" max="14848" width="15.7265625" style="10" customWidth="1"/>
    <col min="14849" max="15081" width="11.453125" style="10"/>
    <col min="15082" max="15082" width="2.54296875" style="10" customWidth="1"/>
    <col min="15083" max="15083" width="18.1796875" style="10" bestFit="1" customWidth="1"/>
    <col min="15084" max="15084" width="13.1796875" style="10" bestFit="1" customWidth="1"/>
    <col min="15085" max="15085" width="14.7265625" style="10" bestFit="1" customWidth="1"/>
    <col min="15086" max="15086" width="17.1796875" style="10" bestFit="1" customWidth="1"/>
    <col min="15087" max="15087" width="16.453125" style="10" bestFit="1" customWidth="1"/>
    <col min="15088" max="15088" width="13.26953125" style="10" customWidth="1"/>
    <col min="15089" max="15089" width="13.1796875" style="10" customWidth="1"/>
    <col min="15090" max="15090" width="15.26953125" style="10" bestFit="1" customWidth="1"/>
    <col min="15091" max="15091" width="9.7265625" style="10" customWidth="1"/>
    <col min="15092" max="15092" width="14.1796875" style="10" customWidth="1"/>
    <col min="15093" max="15093" width="13.26953125" style="10" customWidth="1"/>
    <col min="15094" max="15094" width="15.81640625" style="10" customWidth="1"/>
    <col min="15095" max="15095" width="9.1796875" style="10" customWidth="1"/>
    <col min="15096" max="15096" width="6.1796875" style="10" customWidth="1"/>
    <col min="15097" max="15097" width="18" style="10" customWidth="1"/>
    <col min="15098" max="15098" width="19.26953125" style="10" customWidth="1"/>
    <col min="15099" max="15099" width="6.1796875" style="10" customWidth="1"/>
    <col min="15100" max="15100" width="13.81640625" style="10" bestFit="1" customWidth="1"/>
    <col min="15101" max="15101" width="11.453125" style="10"/>
    <col min="15102" max="15102" width="13" style="10" bestFit="1" customWidth="1"/>
    <col min="15103" max="15103" width="13.54296875" style="10" bestFit="1" customWidth="1"/>
    <col min="15104" max="15104" width="15.7265625" style="10" customWidth="1"/>
    <col min="15105" max="15337" width="11.453125" style="10"/>
    <col min="15338" max="15338" width="2.54296875" style="10" customWidth="1"/>
    <col min="15339" max="15339" width="18.1796875" style="10" bestFit="1" customWidth="1"/>
    <col min="15340" max="15340" width="13.1796875" style="10" bestFit="1" customWidth="1"/>
    <col min="15341" max="15341" width="14.7265625" style="10" bestFit="1" customWidth="1"/>
    <col min="15342" max="15342" width="17.1796875" style="10" bestFit="1" customWidth="1"/>
    <col min="15343" max="15343" width="16.453125" style="10" bestFit="1" customWidth="1"/>
    <col min="15344" max="15344" width="13.26953125" style="10" customWidth="1"/>
    <col min="15345" max="15345" width="13.1796875" style="10" customWidth="1"/>
    <col min="15346" max="15346" width="15.26953125" style="10" bestFit="1" customWidth="1"/>
    <col min="15347" max="15347" width="9.7265625" style="10" customWidth="1"/>
    <col min="15348" max="15348" width="14.1796875" style="10" customWidth="1"/>
    <col min="15349" max="15349" width="13.26953125" style="10" customWidth="1"/>
    <col min="15350" max="15350" width="15.81640625" style="10" customWidth="1"/>
    <col min="15351" max="15351" width="9.1796875" style="10" customWidth="1"/>
    <col min="15352" max="15352" width="6.1796875" style="10" customWidth="1"/>
    <col min="15353" max="15353" width="18" style="10" customWidth="1"/>
    <col min="15354" max="15354" width="19.26953125" style="10" customWidth="1"/>
    <col min="15355" max="15355" width="6.1796875" style="10" customWidth="1"/>
    <col min="15356" max="15356" width="13.81640625" style="10" bestFit="1" customWidth="1"/>
    <col min="15357" max="15357" width="11.453125" style="10"/>
    <col min="15358" max="15358" width="13" style="10" bestFit="1" customWidth="1"/>
    <col min="15359" max="15359" width="13.54296875" style="10" bestFit="1" customWidth="1"/>
    <col min="15360" max="15360" width="15.7265625" style="10" customWidth="1"/>
    <col min="15361" max="15593" width="11.453125" style="10"/>
    <col min="15594" max="15594" width="2.54296875" style="10" customWidth="1"/>
    <col min="15595" max="15595" width="18.1796875" style="10" bestFit="1" customWidth="1"/>
    <col min="15596" max="15596" width="13.1796875" style="10" bestFit="1" customWidth="1"/>
    <col min="15597" max="15597" width="14.7265625" style="10" bestFit="1" customWidth="1"/>
    <col min="15598" max="15598" width="17.1796875" style="10" bestFit="1" customWidth="1"/>
    <col min="15599" max="15599" width="16.453125" style="10" bestFit="1" customWidth="1"/>
    <col min="15600" max="15600" width="13.26953125" style="10" customWidth="1"/>
    <col min="15601" max="15601" width="13.1796875" style="10" customWidth="1"/>
    <col min="15602" max="15602" width="15.26953125" style="10" bestFit="1" customWidth="1"/>
    <col min="15603" max="15603" width="9.7265625" style="10" customWidth="1"/>
    <col min="15604" max="15604" width="14.1796875" style="10" customWidth="1"/>
    <col min="15605" max="15605" width="13.26953125" style="10" customWidth="1"/>
    <col min="15606" max="15606" width="15.81640625" style="10" customWidth="1"/>
    <col min="15607" max="15607" width="9.1796875" style="10" customWidth="1"/>
    <col min="15608" max="15608" width="6.1796875" style="10" customWidth="1"/>
    <col min="15609" max="15609" width="18" style="10" customWidth="1"/>
    <col min="15610" max="15610" width="19.26953125" style="10" customWidth="1"/>
    <col min="15611" max="15611" width="6.1796875" style="10" customWidth="1"/>
    <col min="15612" max="15612" width="13.81640625" style="10" bestFit="1" customWidth="1"/>
    <col min="15613" max="15613" width="11.453125" style="10"/>
    <col min="15614" max="15614" width="13" style="10" bestFit="1" customWidth="1"/>
    <col min="15615" max="15615" width="13.54296875" style="10" bestFit="1" customWidth="1"/>
    <col min="15616" max="15616" width="15.7265625" style="10" customWidth="1"/>
    <col min="15617" max="15849" width="11.453125" style="10"/>
    <col min="15850" max="15850" width="2.54296875" style="10" customWidth="1"/>
    <col min="15851" max="15851" width="18.1796875" style="10" bestFit="1" customWidth="1"/>
    <col min="15852" max="15852" width="13.1796875" style="10" bestFit="1" customWidth="1"/>
    <col min="15853" max="15853" width="14.7265625" style="10" bestFit="1" customWidth="1"/>
    <col min="15854" max="15854" width="17.1796875" style="10" bestFit="1" customWidth="1"/>
    <col min="15855" max="15855" width="16.453125" style="10" bestFit="1" customWidth="1"/>
    <col min="15856" max="15856" width="13.26953125" style="10" customWidth="1"/>
    <col min="15857" max="15857" width="13.1796875" style="10" customWidth="1"/>
    <col min="15858" max="15858" width="15.26953125" style="10" bestFit="1" customWidth="1"/>
    <col min="15859" max="15859" width="9.7265625" style="10" customWidth="1"/>
    <col min="15860" max="15860" width="14.1796875" style="10" customWidth="1"/>
    <col min="15861" max="15861" width="13.26953125" style="10" customWidth="1"/>
    <col min="15862" max="15862" width="15.81640625" style="10" customWidth="1"/>
    <col min="15863" max="15863" width="9.1796875" style="10" customWidth="1"/>
    <col min="15864" max="15864" width="6.1796875" style="10" customWidth="1"/>
    <col min="15865" max="15865" width="18" style="10" customWidth="1"/>
    <col min="15866" max="15866" width="19.26953125" style="10" customWidth="1"/>
    <col min="15867" max="15867" width="6.1796875" style="10" customWidth="1"/>
    <col min="15868" max="15868" width="13.81640625" style="10" bestFit="1" customWidth="1"/>
    <col min="15869" max="15869" width="11.453125" style="10"/>
    <col min="15870" max="15870" width="13" style="10" bestFit="1" customWidth="1"/>
    <col min="15871" max="15871" width="13.54296875" style="10" bestFit="1" customWidth="1"/>
    <col min="15872" max="15872" width="15.7265625" style="10" customWidth="1"/>
    <col min="15873" max="16105" width="11.453125" style="10"/>
    <col min="16106" max="16106" width="2.54296875" style="10" customWidth="1"/>
    <col min="16107" max="16107" width="18.1796875" style="10" bestFit="1" customWidth="1"/>
    <col min="16108" max="16108" width="13.1796875" style="10" bestFit="1" customWidth="1"/>
    <col min="16109" max="16109" width="14.7265625" style="10" bestFit="1" customWidth="1"/>
    <col min="16110" max="16110" width="17.1796875" style="10" bestFit="1" customWidth="1"/>
    <col min="16111" max="16111" width="16.453125" style="10" bestFit="1" customWidth="1"/>
    <col min="16112" max="16112" width="13.26953125" style="10" customWidth="1"/>
    <col min="16113" max="16113" width="13.1796875" style="10" customWidth="1"/>
    <col min="16114" max="16114" width="15.26953125" style="10" bestFit="1" customWidth="1"/>
    <col min="16115" max="16115" width="9.7265625" style="10" customWidth="1"/>
    <col min="16116" max="16116" width="14.1796875" style="10" customWidth="1"/>
    <col min="16117" max="16117" width="13.26953125" style="10" customWidth="1"/>
    <col min="16118" max="16118" width="15.81640625" style="10" customWidth="1"/>
    <col min="16119" max="16119" width="9.1796875" style="10" customWidth="1"/>
    <col min="16120" max="16120" width="6.1796875" style="10" customWidth="1"/>
    <col min="16121" max="16121" width="18" style="10" customWidth="1"/>
    <col min="16122" max="16122" width="19.26953125" style="10" customWidth="1"/>
    <col min="16123" max="16123" width="6.1796875" style="10" customWidth="1"/>
    <col min="16124" max="16124" width="13.81640625" style="10" bestFit="1" customWidth="1"/>
    <col min="16125" max="16125" width="11.453125" style="10"/>
    <col min="16126" max="16126" width="13" style="10" bestFit="1" customWidth="1"/>
    <col min="16127" max="16127" width="13.54296875" style="10" bestFit="1" customWidth="1"/>
    <col min="16128" max="16128" width="15.7265625" style="10" customWidth="1"/>
    <col min="16129" max="16384" width="11.453125" style="10"/>
  </cols>
  <sheetData>
    <row r="1" spans="1:248" s="7" customFormat="1" x14ac:dyDescent="0.35">
      <c r="E1" s="59"/>
      <c r="H1" s="66"/>
      <c r="I1" s="67"/>
      <c r="J1" s="66"/>
    </row>
    <row r="2" spans="1:248" s="7" customFormat="1" x14ac:dyDescent="0.35">
      <c r="E2" s="59"/>
      <c r="H2" s="66"/>
      <c r="I2" s="67"/>
      <c r="J2" s="66"/>
    </row>
    <row r="3" spans="1:248" s="7" customFormat="1" x14ac:dyDescent="0.35">
      <c r="E3" s="59"/>
      <c r="H3" s="66"/>
      <c r="I3" s="67"/>
      <c r="J3" s="66"/>
    </row>
    <row r="4" spans="1:248" customFormat="1" ht="21" x14ac:dyDescent="0.5">
      <c r="C4" s="62"/>
      <c r="D4" s="62"/>
      <c r="E4" s="63"/>
      <c r="F4" s="62"/>
      <c r="G4" s="62"/>
      <c r="H4" s="68"/>
      <c r="I4" s="69"/>
      <c r="J4" s="43"/>
    </row>
    <row r="5" spans="1:248" customFormat="1" x14ac:dyDescent="0.35">
      <c r="E5" s="64"/>
      <c r="H5" s="43"/>
      <c r="I5" s="70"/>
      <c r="J5" s="43"/>
    </row>
    <row r="6" spans="1:248" s="1" customFormat="1" x14ac:dyDescent="0.35">
      <c r="B6" s="2" t="s">
        <v>21</v>
      </c>
      <c r="C6" s="2" t="s">
        <v>22</v>
      </c>
      <c r="D6" s="2" t="s">
        <v>23</v>
      </c>
      <c r="E6" s="60" t="s">
        <v>24</v>
      </c>
      <c r="F6" s="2" t="s">
        <v>16</v>
      </c>
      <c r="G6" s="2" t="s">
        <v>25</v>
      </c>
      <c r="H6" s="2" t="s">
        <v>26</v>
      </c>
      <c r="I6" s="61" t="s">
        <v>27</v>
      </c>
      <c r="J6" s="2" t="s">
        <v>28</v>
      </c>
    </row>
    <row r="7" spans="1:248" s="3" customFormat="1" x14ac:dyDescent="0.35">
      <c r="A7" s="6"/>
      <c r="B7" s="4" t="s">
        <v>37</v>
      </c>
      <c r="C7" s="4" t="s">
        <v>38</v>
      </c>
      <c r="D7" s="5">
        <v>108</v>
      </c>
      <c r="E7" s="65">
        <v>450000</v>
      </c>
      <c r="F7" s="5" t="s">
        <v>31</v>
      </c>
      <c r="G7" s="5" t="s">
        <v>244</v>
      </c>
      <c r="H7" s="52" t="s">
        <v>245</v>
      </c>
      <c r="I7" s="71">
        <v>4166.666666666667</v>
      </c>
      <c r="J7" s="52" t="s">
        <v>246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</row>
    <row r="8" spans="1:248" s="3" customFormat="1" x14ac:dyDescent="0.35">
      <c r="A8" s="6"/>
      <c r="B8" s="4" t="s">
        <v>40</v>
      </c>
      <c r="C8" s="4" t="s">
        <v>41</v>
      </c>
      <c r="D8" s="5">
        <v>264</v>
      </c>
      <c r="E8" s="65">
        <v>730000</v>
      </c>
      <c r="F8" s="5" t="s">
        <v>31</v>
      </c>
      <c r="G8" s="5" t="s">
        <v>244</v>
      </c>
      <c r="H8" s="52" t="s">
        <v>245</v>
      </c>
      <c r="I8" s="71">
        <v>2765.151515151515</v>
      </c>
      <c r="J8" s="52" t="s">
        <v>246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</row>
    <row r="9" spans="1:248" s="3" customFormat="1" x14ac:dyDescent="0.35">
      <c r="A9" s="6"/>
      <c r="B9" s="4" t="s">
        <v>247</v>
      </c>
      <c r="C9" s="4" t="s">
        <v>248</v>
      </c>
      <c r="D9" s="5">
        <v>258</v>
      </c>
      <c r="E9" s="65">
        <v>730000</v>
      </c>
      <c r="F9" s="5" t="s">
        <v>31</v>
      </c>
      <c r="G9" s="5" t="s">
        <v>244</v>
      </c>
      <c r="H9" s="52" t="s">
        <v>245</v>
      </c>
      <c r="I9" s="71">
        <v>2829.4573643410854</v>
      </c>
      <c r="J9" s="52" t="s">
        <v>246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</row>
    <row r="10" spans="1:248" s="3" customFormat="1" x14ac:dyDescent="0.35">
      <c r="A10" s="6"/>
      <c r="B10" s="4" t="s">
        <v>42</v>
      </c>
      <c r="C10" s="4" t="s">
        <v>43</v>
      </c>
      <c r="D10" s="5">
        <v>499</v>
      </c>
      <c r="E10" s="65">
        <v>1250000</v>
      </c>
      <c r="F10" s="5" t="s">
        <v>31</v>
      </c>
      <c r="G10" s="5" t="s">
        <v>244</v>
      </c>
      <c r="H10" s="52" t="s">
        <v>245</v>
      </c>
      <c r="I10" s="71">
        <v>2505.0100200400802</v>
      </c>
      <c r="J10" s="52" t="s">
        <v>246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</row>
    <row r="11" spans="1:248" s="3" customFormat="1" x14ac:dyDescent="0.35">
      <c r="A11" s="6"/>
      <c r="B11" s="4" t="s">
        <v>249</v>
      </c>
      <c r="C11" s="4" t="s">
        <v>44</v>
      </c>
      <c r="D11" s="5">
        <v>150</v>
      </c>
      <c r="E11" s="65">
        <v>500000</v>
      </c>
      <c r="F11" s="5" t="s">
        <v>31</v>
      </c>
      <c r="G11" s="5" t="s">
        <v>244</v>
      </c>
      <c r="H11" s="52" t="s">
        <v>245</v>
      </c>
      <c r="I11" s="71">
        <v>3333.3333333333335</v>
      </c>
      <c r="J11" s="52" t="s">
        <v>246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</row>
    <row r="12" spans="1:248" s="3" customFormat="1" x14ac:dyDescent="0.35">
      <c r="A12" s="6"/>
      <c r="B12" s="4" t="s">
        <v>29</v>
      </c>
      <c r="C12" s="4" t="s">
        <v>30</v>
      </c>
      <c r="D12" s="5">
        <v>240</v>
      </c>
      <c r="E12" s="65">
        <v>665000</v>
      </c>
      <c r="F12" s="5" t="s">
        <v>31</v>
      </c>
      <c r="G12" s="5" t="s">
        <v>244</v>
      </c>
      <c r="H12" s="52" t="s">
        <v>245</v>
      </c>
      <c r="I12" s="71">
        <v>2770.8333333333335</v>
      </c>
      <c r="J12" s="52" t="s">
        <v>246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</row>
    <row r="13" spans="1:248" s="3" customFormat="1" x14ac:dyDescent="0.35">
      <c r="A13" s="6"/>
      <c r="B13" s="4" t="s">
        <v>33</v>
      </c>
      <c r="C13" s="4" t="s">
        <v>34</v>
      </c>
      <c r="D13" s="5">
        <v>85</v>
      </c>
      <c r="E13" s="65">
        <v>500000</v>
      </c>
      <c r="F13" s="5" t="s">
        <v>31</v>
      </c>
      <c r="G13" s="5" t="s">
        <v>244</v>
      </c>
      <c r="H13" s="52" t="s">
        <v>245</v>
      </c>
      <c r="I13" s="71">
        <v>5882.3529411764703</v>
      </c>
      <c r="J13" s="52" t="s">
        <v>246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</row>
    <row r="14" spans="1:248" s="3" customFormat="1" x14ac:dyDescent="0.35">
      <c r="A14" s="6"/>
      <c r="B14" s="4" t="s">
        <v>72</v>
      </c>
      <c r="C14" s="4" t="s">
        <v>73</v>
      </c>
      <c r="D14" s="5">
        <v>165</v>
      </c>
      <c r="E14" s="65">
        <v>550000</v>
      </c>
      <c r="F14" s="5" t="s">
        <v>31</v>
      </c>
      <c r="G14" s="5" t="s">
        <v>244</v>
      </c>
      <c r="H14" s="52" t="s">
        <v>245</v>
      </c>
      <c r="I14" s="71">
        <v>3333.3333333333335</v>
      </c>
      <c r="J14" s="52" t="s">
        <v>246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</row>
    <row r="15" spans="1:248" s="3" customFormat="1" x14ac:dyDescent="0.35">
      <c r="A15" s="6"/>
      <c r="B15" s="4" t="s">
        <v>37</v>
      </c>
      <c r="C15" s="4" t="s">
        <v>38</v>
      </c>
      <c r="D15" s="5">
        <v>134</v>
      </c>
      <c r="E15" s="65">
        <v>500000</v>
      </c>
      <c r="F15" s="5" t="s">
        <v>36</v>
      </c>
      <c r="G15" s="5" t="s">
        <v>244</v>
      </c>
      <c r="H15" s="52" t="s">
        <v>245</v>
      </c>
      <c r="I15" s="71">
        <v>3731.3432835820895</v>
      </c>
      <c r="J15" s="52" t="s">
        <v>246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</row>
    <row r="16" spans="1:248" s="3" customFormat="1" x14ac:dyDescent="0.35">
      <c r="A16" s="6"/>
      <c r="B16" s="4" t="s">
        <v>40</v>
      </c>
      <c r="C16" s="4" t="s">
        <v>41</v>
      </c>
      <c r="D16" s="5">
        <v>123</v>
      </c>
      <c r="E16" s="65">
        <v>500000</v>
      </c>
      <c r="F16" s="5" t="s">
        <v>36</v>
      </c>
      <c r="G16" s="5" t="s">
        <v>244</v>
      </c>
      <c r="H16" s="52" t="s">
        <v>245</v>
      </c>
      <c r="I16" s="71">
        <v>4065.040650406504</v>
      </c>
      <c r="J16" s="52" t="s">
        <v>246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</row>
    <row r="17" spans="1:248" s="3" customFormat="1" x14ac:dyDescent="0.35">
      <c r="A17" s="6"/>
      <c r="B17" s="4" t="s">
        <v>247</v>
      </c>
      <c r="C17" s="4" t="s">
        <v>248</v>
      </c>
      <c r="D17" s="5">
        <v>118</v>
      </c>
      <c r="E17" s="65">
        <v>500000</v>
      </c>
      <c r="F17" s="5" t="s">
        <v>36</v>
      </c>
      <c r="G17" s="5" t="s">
        <v>244</v>
      </c>
      <c r="H17" s="52" t="s">
        <v>245</v>
      </c>
      <c r="I17" s="71">
        <v>4237.2881355932204</v>
      </c>
      <c r="J17" s="52" t="s">
        <v>246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</row>
    <row r="18" spans="1:248" s="3" customFormat="1" x14ac:dyDescent="0.35">
      <c r="A18" s="6"/>
      <c r="B18" s="4" t="s">
        <v>42</v>
      </c>
      <c r="C18" s="4" t="s">
        <v>43</v>
      </c>
      <c r="D18" s="5">
        <v>358</v>
      </c>
      <c r="E18" s="65">
        <v>950000</v>
      </c>
      <c r="F18" s="5" t="s">
        <v>36</v>
      </c>
      <c r="G18" s="5" t="s">
        <v>244</v>
      </c>
      <c r="H18" s="52" t="s">
        <v>245</v>
      </c>
      <c r="I18" s="71">
        <v>2653.6312849162009</v>
      </c>
      <c r="J18" s="52" t="s">
        <v>246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</row>
    <row r="19" spans="1:248" s="7" customFormat="1" x14ac:dyDescent="0.35">
      <c r="B19" s="4" t="s">
        <v>249</v>
      </c>
      <c r="C19" s="4" t="s">
        <v>44</v>
      </c>
      <c r="D19" s="4">
        <v>60</v>
      </c>
      <c r="E19" s="8">
        <v>370000</v>
      </c>
      <c r="F19" s="4" t="s">
        <v>36</v>
      </c>
      <c r="G19" s="4" t="s">
        <v>244</v>
      </c>
      <c r="H19" s="72" t="s">
        <v>245</v>
      </c>
      <c r="I19" s="73">
        <v>6166.666666666667</v>
      </c>
      <c r="J19" s="72" t="s">
        <v>246</v>
      </c>
    </row>
    <row r="20" spans="1:248" s="7" customFormat="1" x14ac:dyDescent="0.35">
      <c r="B20" s="4" t="s">
        <v>29</v>
      </c>
      <c r="C20" s="4" t="s">
        <v>30</v>
      </c>
      <c r="D20" s="4">
        <v>22</v>
      </c>
      <c r="E20" s="8">
        <v>330000</v>
      </c>
      <c r="F20" s="4" t="s">
        <v>36</v>
      </c>
      <c r="G20" s="4" t="s">
        <v>244</v>
      </c>
      <c r="H20" s="72" t="s">
        <v>245</v>
      </c>
      <c r="I20" s="73">
        <v>15000</v>
      </c>
      <c r="J20" s="72" t="s">
        <v>246</v>
      </c>
    </row>
    <row r="21" spans="1:248" s="7" customFormat="1" x14ac:dyDescent="0.35">
      <c r="B21" s="4" t="s">
        <v>33</v>
      </c>
      <c r="C21" s="4" t="s">
        <v>34</v>
      </c>
      <c r="D21" s="4">
        <v>230</v>
      </c>
      <c r="E21" s="8">
        <v>665000</v>
      </c>
      <c r="F21" s="4" t="s">
        <v>36</v>
      </c>
      <c r="G21" s="4" t="s">
        <v>244</v>
      </c>
      <c r="H21" s="72" t="s">
        <v>245</v>
      </c>
      <c r="I21" s="73">
        <v>2891.304347826087</v>
      </c>
      <c r="J21" s="72" t="s">
        <v>246</v>
      </c>
    </row>
    <row r="22" spans="1:248" s="7" customFormat="1" x14ac:dyDescent="0.35">
      <c r="B22" s="4" t="s">
        <v>72</v>
      </c>
      <c r="C22" s="4" t="s">
        <v>73</v>
      </c>
      <c r="D22" s="4">
        <v>310</v>
      </c>
      <c r="E22" s="8">
        <v>850000</v>
      </c>
      <c r="F22" s="4" t="s">
        <v>36</v>
      </c>
      <c r="G22" s="4" t="s">
        <v>244</v>
      </c>
      <c r="H22" s="72" t="s">
        <v>245</v>
      </c>
      <c r="I22" s="73">
        <v>2741.9354838709678</v>
      </c>
      <c r="J22" s="72" t="s">
        <v>246</v>
      </c>
    </row>
    <row r="23" spans="1:248" s="7" customFormat="1" x14ac:dyDescent="0.35">
      <c r="B23" s="4" t="s">
        <v>37</v>
      </c>
      <c r="C23" s="4" t="s">
        <v>38</v>
      </c>
      <c r="D23" s="4">
        <v>50</v>
      </c>
      <c r="E23" s="8">
        <v>370000</v>
      </c>
      <c r="F23" s="4" t="s">
        <v>35</v>
      </c>
      <c r="G23" s="4" t="s">
        <v>244</v>
      </c>
      <c r="H23" s="72" t="s">
        <v>245</v>
      </c>
      <c r="I23" s="73">
        <v>7400</v>
      </c>
      <c r="J23" s="72" t="s">
        <v>246</v>
      </c>
    </row>
    <row r="24" spans="1:248" s="7" customFormat="1" x14ac:dyDescent="0.35">
      <c r="B24" s="4" t="s">
        <v>40</v>
      </c>
      <c r="C24" s="4" t="s">
        <v>41</v>
      </c>
      <c r="D24" s="4">
        <v>211</v>
      </c>
      <c r="E24" s="8">
        <v>585000</v>
      </c>
      <c r="F24" s="4" t="s">
        <v>35</v>
      </c>
      <c r="G24" s="4" t="s">
        <v>244</v>
      </c>
      <c r="H24" s="72" t="s">
        <v>245</v>
      </c>
      <c r="I24" s="73">
        <v>2772.5118483412321</v>
      </c>
      <c r="J24" s="72" t="s">
        <v>246</v>
      </c>
    </row>
    <row r="25" spans="1:248" s="7" customFormat="1" x14ac:dyDescent="0.35">
      <c r="B25" s="4" t="s">
        <v>247</v>
      </c>
      <c r="C25" s="4" t="s">
        <v>248</v>
      </c>
      <c r="D25" s="4">
        <v>206</v>
      </c>
      <c r="E25" s="8">
        <v>585000</v>
      </c>
      <c r="F25" s="4" t="s">
        <v>35</v>
      </c>
      <c r="G25" s="4" t="s">
        <v>244</v>
      </c>
      <c r="H25" s="72" t="s">
        <v>245</v>
      </c>
      <c r="I25" s="73">
        <v>2839.8058252427186</v>
      </c>
      <c r="J25" s="72" t="s">
        <v>246</v>
      </c>
    </row>
    <row r="26" spans="1:248" s="7" customFormat="1" x14ac:dyDescent="0.35">
      <c r="B26" s="4" t="s">
        <v>42</v>
      </c>
      <c r="C26" s="4" t="s">
        <v>43</v>
      </c>
      <c r="D26" s="4">
        <v>450</v>
      </c>
      <c r="E26" s="8">
        <v>1125000</v>
      </c>
      <c r="F26" s="4" t="s">
        <v>35</v>
      </c>
      <c r="G26" s="4" t="s">
        <v>244</v>
      </c>
      <c r="H26" s="72" t="s">
        <v>245</v>
      </c>
      <c r="I26" s="73">
        <v>2500</v>
      </c>
      <c r="J26" s="72" t="s">
        <v>246</v>
      </c>
    </row>
    <row r="27" spans="1:248" s="7" customFormat="1" x14ac:dyDescent="0.35">
      <c r="B27" s="4" t="s">
        <v>249</v>
      </c>
      <c r="C27" s="4" t="s">
        <v>44</v>
      </c>
      <c r="D27" s="4">
        <v>60</v>
      </c>
      <c r="E27" s="8">
        <v>370000</v>
      </c>
      <c r="F27" s="4" t="s">
        <v>35</v>
      </c>
      <c r="G27" s="4" t="s">
        <v>244</v>
      </c>
      <c r="H27" s="72" t="s">
        <v>245</v>
      </c>
      <c r="I27" s="73">
        <v>6166.666666666667</v>
      </c>
      <c r="J27" s="72" t="s">
        <v>246</v>
      </c>
    </row>
    <row r="28" spans="1:248" s="7" customFormat="1" x14ac:dyDescent="0.35">
      <c r="B28" s="4" t="s">
        <v>29</v>
      </c>
      <c r="C28" s="4" t="s">
        <v>30</v>
      </c>
      <c r="D28" s="4">
        <v>100</v>
      </c>
      <c r="E28" s="8">
        <v>450000</v>
      </c>
      <c r="F28" s="4" t="s">
        <v>35</v>
      </c>
      <c r="G28" s="4" t="s">
        <v>244</v>
      </c>
      <c r="H28" s="72" t="s">
        <v>245</v>
      </c>
      <c r="I28" s="73">
        <v>4500</v>
      </c>
      <c r="J28" s="72" t="s">
        <v>246</v>
      </c>
    </row>
    <row r="29" spans="1:248" s="7" customFormat="1" x14ac:dyDescent="0.35">
      <c r="B29" s="4" t="s">
        <v>33</v>
      </c>
      <c r="C29" s="4" t="s">
        <v>34</v>
      </c>
      <c r="D29" s="4">
        <v>145</v>
      </c>
      <c r="E29" s="8">
        <v>500000</v>
      </c>
      <c r="F29" s="4" t="s">
        <v>35</v>
      </c>
      <c r="G29" s="4" t="s">
        <v>244</v>
      </c>
      <c r="H29" s="72" t="s">
        <v>245</v>
      </c>
      <c r="I29" s="73">
        <v>3448.2758620689656</v>
      </c>
      <c r="J29" s="72" t="s">
        <v>246</v>
      </c>
    </row>
    <row r="30" spans="1:248" s="7" customFormat="1" x14ac:dyDescent="0.35">
      <c r="B30" s="4" t="s">
        <v>72</v>
      </c>
      <c r="C30" s="4" t="s">
        <v>73</v>
      </c>
      <c r="D30" s="4">
        <v>230</v>
      </c>
      <c r="E30" s="8">
        <v>665000</v>
      </c>
      <c r="F30" s="4" t="s">
        <v>35</v>
      </c>
      <c r="G30" s="4" t="s">
        <v>244</v>
      </c>
      <c r="H30" s="72" t="s">
        <v>245</v>
      </c>
      <c r="I30" s="73">
        <v>2891.304347826087</v>
      </c>
      <c r="J30" s="72" t="s">
        <v>246</v>
      </c>
    </row>
    <row r="31" spans="1:248" s="7" customFormat="1" x14ac:dyDescent="0.35">
      <c r="B31" s="4" t="s">
        <v>37</v>
      </c>
      <c r="C31" s="4" t="s">
        <v>38</v>
      </c>
      <c r="D31" s="4">
        <v>108</v>
      </c>
      <c r="E31" s="8">
        <v>400000</v>
      </c>
      <c r="F31" s="4" t="s">
        <v>31</v>
      </c>
      <c r="G31" s="4" t="s">
        <v>250</v>
      </c>
      <c r="H31" s="72" t="s">
        <v>245</v>
      </c>
      <c r="I31" s="73">
        <v>3703.7037037037039</v>
      </c>
      <c r="J31" s="72" t="s">
        <v>246</v>
      </c>
    </row>
    <row r="32" spans="1:248" s="7" customFormat="1" x14ac:dyDescent="0.35">
      <c r="B32" s="4" t="s">
        <v>40</v>
      </c>
      <c r="C32" s="4" t="s">
        <v>41</v>
      </c>
      <c r="D32" s="4">
        <v>264</v>
      </c>
      <c r="E32" s="8">
        <v>720000</v>
      </c>
      <c r="F32" s="4" t="s">
        <v>31</v>
      </c>
      <c r="G32" s="4" t="s">
        <v>250</v>
      </c>
      <c r="H32" s="72" t="s">
        <v>245</v>
      </c>
      <c r="I32" s="73">
        <v>2727.2727272727275</v>
      </c>
      <c r="J32" s="72" t="s">
        <v>246</v>
      </c>
    </row>
    <row r="33" spans="2:10" s="7" customFormat="1" x14ac:dyDescent="0.35">
      <c r="B33" s="4" t="s">
        <v>247</v>
      </c>
      <c r="C33" s="4" t="s">
        <v>248</v>
      </c>
      <c r="D33" s="4">
        <v>258</v>
      </c>
      <c r="E33" s="8">
        <v>720000</v>
      </c>
      <c r="F33" s="4" t="s">
        <v>31</v>
      </c>
      <c r="G33" s="4" t="s">
        <v>250</v>
      </c>
      <c r="H33" s="72" t="s">
        <v>245</v>
      </c>
      <c r="I33" s="73">
        <v>2790.6976744186045</v>
      </c>
      <c r="J33" s="72" t="s">
        <v>246</v>
      </c>
    </row>
    <row r="34" spans="2:10" s="7" customFormat="1" x14ac:dyDescent="0.35">
      <c r="B34" s="4" t="s">
        <v>251</v>
      </c>
      <c r="C34" s="4" t="s">
        <v>252</v>
      </c>
      <c r="D34" s="4">
        <v>143</v>
      </c>
      <c r="E34" s="8">
        <v>450000</v>
      </c>
      <c r="F34" s="4" t="s">
        <v>31</v>
      </c>
      <c r="G34" s="4" t="s">
        <v>250</v>
      </c>
      <c r="H34" s="72" t="s">
        <v>245</v>
      </c>
      <c r="I34" s="73">
        <v>3146.8531468531469</v>
      </c>
      <c r="J34" s="72" t="s">
        <v>246</v>
      </c>
    </row>
    <row r="35" spans="2:10" s="7" customFormat="1" x14ac:dyDescent="0.35">
      <c r="B35" s="4" t="s">
        <v>42</v>
      </c>
      <c r="C35" s="4" t="s">
        <v>43</v>
      </c>
      <c r="D35" s="4">
        <v>499</v>
      </c>
      <c r="E35" s="8">
        <v>1290000</v>
      </c>
      <c r="F35" s="4" t="s">
        <v>31</v>
      </c>
      <c r="G35" s="4" t="s">
        <v>250</v>
      </c>
      <c r="H35" s="72" t="s">
        <v>245</v>
      </c>
      <c r="I35" s="73">
        <v>2585.1703406813626</v>
      </c>
      <c r="J35" s="72" t="s">
        <v>246</v>
      </c>
    </row>
    <row r="36" spans="2:10" s="7" customFormat="1" x14ac:dyDescent="0.35">
      <c r="B36" s="4" t="s">
        <v>253</v>
      </c>
      <c r="C36" s="4" t="s">
        <v>70</v>
      </c>
      <c r="D36" s="4">
        <v>113</v>
      </c>
      <c r="E36" s="8">
        <v>400000</v>
      </c>
      <c r="F36" s="4" t="s">
        <v>31</v>
      </c>
      <c r="G36" s="4" t="s">
        <v>250</v>
      </c>
      <c r="H36" s="72" t="s">
        <v>245</v>
      </c>
      <c r="I36" s="73">
        <v>3539.8230088495575</v>
      </c>
      <c r="J36" s="72" t="s">
        <v>246</v>
      </c>
    </row>
    <row r="37" spans="2:10" s="7" customFormat="1" x14ac:dyDescent="0.35">
      <c r="B37" s="4" t="s">
        <v>249</v>
      </c>
      <c r="C37" s="4" t="s">
        <v>44</v>
      </c>
      <c r="D37" s="4">
        <v>150</v>
      </c>
      <c r="E37" s="8">
        <v>450000</v>
      </c>
      <c r="F37" s="4" t="s">
        <v>31</v>
      </c>
      <c r="G37" s="4" t="s">
        <v>250</v>
      </c>
      <c r="H37" s="72" t="s">
        <v>245</v>
      </c>
      <c r="I37" s="73">
        <v>3000</v>
      </c>
      <c r="J37" s="72" t="s">
        <v>246</v>
      </c>
    </row>
    <row r="38" spans="2:10" s="7" customFormat="1" x14ac:dyDescent="0.35">
      <c r="B38" s="4" t="s">
        <v>29</v>
      </c>
      <c r="C38" s="4" t="s">
        <v>30</v>
      </c>
      <c r="D38" s="4">
        <v>240</v>
      </c>
      <c r="E38" s="8">
        <v>640000</v>
      </c>
      <c r="F38" s="4" t="s">
        <v>31</v>
      </c>
      <c r="G38" s="4" t="s">
        <v>250</v>
      </c>
      <c r="H38" s="72" t="s">
        <v>245</v>
      </c>
      <c r="I38" s="73">
        <v>2666.6666666666665</v>
      </c>
      <c r="J38" s="72" t="s">
        <v>246</v>
      </c>
    </row>
    <row r="39" spans="2:10" s="7" customFormat="1" x14ac:dyDescent="0.35">
      <c r="B39" s="4" t="s">
        <v>45</v>
      </c>
      <c r="C39" s="4" t="s">
        <v>46</v>
      </c>
      <c r="D39" s="4">
        <v>240</v>
      </c>
      <c r="E39" s="8">
        <v>640000</v>
      </c>
      <c r="F39" s="4" t="s">
        <v>31</v>
      </c>
      <c r="G39" s="4" t="s">
        <v>250</v>
      </c>
      <c r="H39" s="72" t="s">
        <v>245</v>
      </c>
      <c r="I39" s="73">
        <v>2666.6666666666665</v>
      </c>
      <c r="J39" s="72" t="s">
        <v>246</v>
      </c>
    </row>
    <row r="40" spans="2:10" s="7" customFormat="1" x14ac:dyDescent="0.35">
      <c r="B40" s="4" t="s">
        <v>47</v>
      </c>
      <c r="C40" s="4" t="s">
        <v>48</v>
      </c>
      <c r="D40" s="4">
        <v>124</v>
      </c>
      <c r="E40" s="8">
        <v>420000</v>
      </c>
      <c r="F40" s="4" t="s">
        <v>31</v>
      </c>
      <c r="G40" s="4" t="s">
        <v>250</v>
      </c>
      <c r="H40" s="72" t="s">
        <v>245</v>
      </c>
      <c r="I40" s="73">
        <v>3387.0967741935483</v>
      </c>
      <c r="J40" s="72" t="s">
        <v>246</v>
      </c>
    </row>
    <row r="41" spans="2:10" s="7" customFormat="1" x14ac:dyDescent="0.35">
      <c r="B41" s="4" t="s">
        <v>49</v>
      </c>
      <c r="C41" s="4" t="s">
        <v>50</v>
      </c>
      <c r="D41" s="4">
        <v>3</v>
      </c>
      <c r="E41" s="8">
        <v>250000</v>
      </c>
      <c r="F41" s="4" t="s">
        <v>31</v>
      </c>
      <c r="G41" s="4" t="s">
        <v>250</v>
      </c>
      <c r="H41" s="72" t="s">
        <v>245</v>
      </c>
      <c r="I41" s="73">
        <v>83333.333333333328</v>
      </c>
      <c r="J41" s="72" t="s">
        <v>246</v>
      </c>
    </row>
    <row r="42" spans="2:10" s="7" customFormat="1" x14ac:dyDescent="0.35">
      <c r="B42" s="4" t="s">
        <v>95</v>
      </c>
      <c r="C42" s="4" t="s">
        <v>254</v>
      </c>
      <c r="D42" s="4">
        <v>208</v>
      </c>
      <c r="E42" s="8">
        <v>550000</v>
      </c>
      <c r="F42" s="4" t="s">
        <v>31</v>
      </c>
      <c r="G42" s="4" t="s">
        <v>250</v>
      </c>
      <c r="H42" s="72" t="s">
        <v>245</v>
      </c>
      <c r="I42" s="73">
        <v>2644.2307692307691</v>
      </c>
      <c r="J42" s="72" t="s">
        <v>246</v>
      </c>
    </row>
    <row r="43" spans="2:10" s="7" customFormat="1" x14ac:dyDescent="0.35">
      <c r="B43" s="4" t="s">
        <v>51</v>
      </c>
      <c r="C43" s="4" t="s">
        <v>50</v>
      </c>
      <c r="D43" s="4">
        <v>3</v>
      </c>
      <c r="E43" s="8">
        <v>250000</v>
      </c>
      <c r="F43" s="4" t="s">
        <v>31</v>
      </c>
      <c r="G43" s="4" t="s">
        <v>250</v>
      </c>
      <c r="H43" s="72" t="s">
        <v>245</v>
      </c>
      <c r="I43" s="73">
        <v>83333.333333333328</v>
      </c>
      <c r="J43" s="72" t="s">
        <v>246</v>
      </c>
    </row>
    <row r="44" spans="2:10" s="7" customFormat="1" x14ac:dyDescent="0.35">
      <c r="B44" s="4" t="s">
        <v>55</v>
      </c>
      <c r="C44" s="4" t="s">
        <v>41</v>
      </c>
      <c r="D44" s="4">
        <v>260</v>
      </c>
      <c r="E44" s="8">
        <v>720000</v>
      </c>
      <c r="F44" s="4" t="s">
        <v>31</v>
      </c>
      <c r="G44" s="4" t="s">
        <v>250</v>
      </c>
      <c r="H44" s="72" t="s">
        <v>245</v>
      </c>
      <c r="I44" s="73">
        <v>2769.2307692307691</v>
      </c>
      <c r="J44" s="72" t="s">
        <v>246</v>
      </c>
    </row>
    <row r="45" spans="2:10" s="7" customFormat="1" x14ac:dyDescent="0.35">
      <c r="B45" s="4" t="s">
        <v>52</v>
      </c>
      <c r="C45" s="4" t="s">
        <v>53</v>
      </c>
      <c r="D45" s="4">
        <v>45</v>
      </c>
      <c r="E45" s="8">
        <v>320000</v>
      </c>
      <c r="F45" s="4" t="s">
        <v>31</v>
      </c>
      <c r="G45" s="4" t="s">
        <v>250</v>
      </c>
      <c r="H45" s="72" t="s">
        <v>245</v>
      </c>
      <c r="I45" s="73">
        <v>7111.1111111111113</v>
      </c>
      <c r="J45" s="72" t="s">
        <v>246</v>
      </c>
    </row>
    <row r="46" spans="2:10" s="7" customFormat="1" x14ac:dyDescent="0.35">
      <c r="B46" s="4" t="s">
        <v>58</v>
      </c>
      <c r="C46" s="4" t="s">
        <v>59</v>
      </c>
      <c r="D46" s="4">
        <v>98</v>
      </c>
      <c r="E46" s="8">
        <v>380000</v>
      </c>
      <c r="F46" s="4" t="s">
        <v>31</v>
      </c>
      <c r="G46" s="4" t="s">
        <v>250</v>
      </c>
      <c r="H46" s="72" t="s">
        <v>245</v>
      </c>
      <c r="I46" s="73">
        <v>3877.5510204081634</v>
      </c>
      <c r="J46" s="72" t="s">
        <v>246</v>
      </c>
    </row>
    <row r="47" spans="2:10" s="7" customFormat="1" x14ac:dyDescent="0.35">
      <c r="B47" s="4" t="s">
        <v>97</v>
      </c>
      <c r="C47" s="4" t="s">
        <v>255</v>
      </c>
      <c r="D47" s="4">
        <v>125</v>
      </c>
      <c r="E47" s="8">
        <v>420000</v>
      </c>
      <c r="F47" s="4" t="s">
        <v>31</v>
      </c>
      <c r="G47" s="4" t="s">
        <v>250</v>
      </c>
      <c r="H47" s="72" t="s">
        <v>245</v>
      </c>
      <c r="I47" s="73">
        <v>3360</v>
      </c>
      <c r="J47" s="72" t="s">
        <v>246</v>
      </c>
    </row>
    <row r="48" spans="2:10" s="7" customFormat="1" x14ac:dyDescent="0.35">
      <c r="B48" s="4" t="s">
        <v>60</v>
      </c>
      <c r="C48" s="4" t="s">
        <v>61</v>
      </c>
      <c r="D48" s="4">
        <v>128</v>
      </c>
      <c r="E48" s="8">
        <v>420000</v>
      </c>
      <c r="F48" s="4" t="s">
        <v>31</v>
      </c>
      <c r="G48" s="4" t="s">
        <v>250</v>
      </c>
      <c r="H48" s="72" t="s">
        <v>245</v>
      </c>
      <c r="I48" s="73">
        <v>3281.25</v>
      </c>
      <c r="J48" s="72" t="s">
        <v>246</v>
      </c>
    </row>
    <row r="49" spans="2:10" s="7" customFormat="1" x14ac:dyDescent="0.35">
      <c r="B49" s="4" t="s">
        <v>62</v>
      </c>
      <c r="C49" s="4" t="s">
        <v>63</v>
      </c>
      <c r="D49" s="4">
        <v>16</v>
      </c>
      <c r="E49" s="8">
        <v>280000</v>
      </c>
      <c r="F49" s="4" t="s">
        <v>31</v>
      </c>
      <c r="G49" s="4" t="s">
        <v>250</v>
      </c>
      <c r="H49" s="72" t="s">
        <v>245</v>
      </c>
      <c r="I49" s="73">
        <v>17500</v>
      </c>
      <c r="J49" s="72" t="s">
        <v>246</v>
      </c>
    </row>
    <row r="50" spans="2:10" s="7" customFormat="1" x14ac:dyDescent="0.35">
      <c r="B50" s="4" t="s">
        <v>98</v>
      </c>
      <c r="C50" s="4" t="s">
        <v>38</v>
      </c>
      <c r="D50" s="4">
        <v>110</v>
      </c>
      <c r="E50" s="8">
        <v>400000</v>
      </c>
      <c r="F50" s="4" t="s">
        <v>31</v>
      </c>
      <c r="G50" s="4" t="s">
        <v>250</v>
      </c>
      <c r="H50" s="72" t="s">
        <v>245</v>
      </c>
      <c r="I50" s="73">
        <v>3636.3636363636365</v>
      </c>
      <c r="J50" s="72" t="s">
        <v>246</v>
      </c>
    </row>
    <row r="51" spans="2:10" s="7" customFormat="1" x14ac:dyDescent="0.35">
      <c r="B51" s="4" t="s">
        <v>256</v>
      </c>
      <c r="C51" s="4" t="s">
        <v>64</v>
      </c>
      <c r="D51" s="4">
        <v>40</v>
      </c>
      <c r="E51" s="8">
        <v>320000</v>
      </c>
      <c r="F51" s="4" t="s">
        <v>31</v>
      </c>
      <c r="G51" s="4" t="s">
        <v>250</v>
      </c>
      <c r="H51" s="72" t="s">
        <v>245</v>
      </c>
      <c r="I51" s="73">
        <v>8000</v>
      </c>
      <c r="J51" s="72" t="s">
        <v>246</v>
      </c>
    </row>
    <row r="52" spans="2:10" s="7" customFormat="1" x14ac:dyDescent="0.35">
      <c r="B52" s="4" t="s">
        <v>65</v>
      </c>
      <c r="C52" s="4" t="s">
        <v>66</v>
      </c>
      <c r="D52" s="4">
        <v>110</v>
      </c>
      <c r="E52" s="8">
        <v>400000</v>
      </c>
      <c r="F52" s="4" t="s">
        <v>31</v>
      </c>
      <c r="G52" s="4" t="s">
        <v>250</v>
      </c>
      <c r="H52" s="72" t="s">
        <v>245</v>
      </c>
      <c r="I52" s="73">
        <v>3636.3636363636365</v>
      </c>
      <c r="J52" s="72" t="s">
        <v>246</v>
      </c>
    </row>
    <row r="53" spans="2:10" s="7" customFormat="1" x14ac:dyDescent="0.35">
      <c r="B53" s="4" t="s">
        <v>67</v>
      </c>
      <c r="C53" s="4" t="s">
        <v>38</v>
      </c>
      <c r="D53" s="4">
        <v>103</v>
      </c>
      <c r="E53" s="8">
        <v>400000</v>
      </c>
      <c r="F53" s="4" t="s">
        <v>31</v>
      </c>
      <c r="G53" s="4" t="s">
        <v>250</v>
      </c>
      <c r="H53" s="72" t="s">
        <v>245</v>
      </c>
      <c r="I53" s="73">
        <v>3883.4951456310678</v>
      </c>
      <c r="J53" s="72" t="s">
        <v>246</v>
      </c>
    </row>
    <row r="54" spans="2:10" s="7" customFormat="1" x14ac:dyDescent="0.35">
      <c r="B54" s="4" t="s">
        <v>68</v>
      </c>
      <c r="C54" s="4" t="s">
        <v>69</v>
      </c>
      <c r="D54" s="4">
        <v>131</v>
      </c>
      <c r="E54" s="8">
        <v>420000</v>
      </c>
      <c r="F54" s="4" t="s">
        <v>31</v>
      </c>
      <c r="G54" s="4" t="s">
        <v>250</v>
      </c>
      <c r="H54" s="72" t="s">
        <v>245</v>
      </c>
      <c r="I54" s="73">
        <v>3206.1068702290077</v>
      </c>
      <c r="J54" s="72" t="s">
        <v>246</v>
      </c>
    </row>
    <row r="55" spans="2:10" s="7" customFormat="1" x14ac:dyDescent="0.35">
      <c r="B55" s="4" t="s">
        <v>33</v>
      </c>
      <c r="C55" s="4" t="s">
        <v>34</v>
      </c>
      <c r="D55" s="4">
        <v>85</v>
      </c>
      <c r="E55" s="8">
        <v>400000</v>
      </c>
      <c r="F55" s="4" t="s">
        <v>31</v>
      </c>
      <c r="G55" s="4" t="s">
        <v>250</v>
      </c>
      <c r="H55" s="72" t="s">
        <v>245</v>
      </c>
      <c r="I55" s="73">
        <v>4705.8823529411766</v>
      </c>
      <c r="J55" s="72" t="s">
        <v>246</v>
      </c>
    </row>
    <row r="56" spans="2:10" s="7" customFormat="1" x14ac:dyDescent="0.35">
      <c r="B56" s="4" t="s">
        <v>257</v>
      </c>
      <c r="C56" s="4" t="s">
        <v>66</v>
      </c>
      <c r="D56" s="4">
        <v>118</v>
      </c>
      <c r="E56" s="8">
        <v>400000</v>
      </c>
      <c r="F56" s="4" t="s">
        <v>31</v>
      </c>
      <c r="G56" s="4" t="s">
        <v>250</v>
      </c>
      <c r="H56" s="72" t="s">
        <v>245</v>
      </c>
      <c r="I56" s="73">
        <v>3389.8305084745762</v>
      </c>
      <c r="J56" s="72" t="s">
        <v>246</v>
      </c>
    </row>
    <row r="57" spans="2:10" s="7" customFormat="1" x14ac:dyDescent="0.35">
      <c r="B57" s="4" t="s">
        <v>71</v>
      </c>
      <c r="C57" s="4" t="s">
        <v>43</v>
      </c>
      <c r="D57" s="4">
        <v>549</v>
      </c>
      <c r="E57" s="8">
        <v>1480000</v>
      </c>
      <c r="F57" s="4" t="s">
        <v>31</v>
      </c>
      <c r="G57" s="4" t="s">
        <v>250</v>
      </c>
      <c r="H57" s="72" t="s">
        <v>245</v>
      </c>
      <c r="I57" s="73">
        <v>2695.8105646630238</v>
      </c>
      <c r="J57" s="72" t="s">
        <v>246</v>
      </c>
    </row>
    <row r="58" spans="2:10" s="7" customFormat="1" x14ac:dyDescent="0.35">
      <c r="B58" s="4" t="s">
        <v>258</v>
      </c>
      <c r="C58" s="4" t="s">
        <v>259</v>
      </c>
      <c r="D58" s="4">
        <v>144</v>
      </c>
      <c r="E58" s="8">
        <v>460000</v>
      </c>
      <c r="F58" s="4" t="s">
        <v>31</v>
      </c>
      <c r="G58" s="4" t="s">
        <v>250</v>
      </c>
      <c r="H58" s="72" t="s">
        <v>245</v>
      </c>
      <c r="I58" s="73">
        <v>3194.4444444444443</v>
      </c>
      <c r="J58" s="72" t="s">
        <v>246</v>
      </c>
    </row>
    <row r="59" spans="2:10" s="7" customFormat="1" x14ac:dyDescent="0.35">
      <c r="B59" s="4" t="s">
        <v>72</v>
      </c>
      <c r="C59" s="4" t="s">
        <v>73</v>
      </c>
      <c r="D59" s="4">
        <v>165</v>
      </c>
      <c r="E59" s="8">
        <v>480000</v>
      </c>
      <c r="F59" s="4" t="s">
        <v>31</v>
      </c>
      <c r="G59" s="4" t="s">
        <v>250</v>
      </c>
      <c r="H59" s="72" t="s">
        <v>245</v>
      </c>
      <c r="I59" s="73">
        <v>2909.090909090909</v>
      </c>
      <c r="J59" s="72" t="s">
        <v>246</v>
      </c>
    </row>
    <row r="60" spans="2:10" s="7" customFormat="1" x14ac:dyDescent="0.35">
      <c r="B60" s="4" t="s">
        <v>56</v>
      </c>
      <c r="C60" s="4" t="s">
        <v>57</v>
      </c>
      <c r="D60" s="4">
        <v>100</v>
      </c>
      <c r="E60" s="8">
        <v>400000</v>
      </c>
      <c r="F60" s="4" t="s">
        <v>31</v>
      </c>
      <c r="G60" s="4" t="s">
        <v>250</v>
      </c>
      <c r="H60" s="72" t="s">
        <v>245</v>
      </c>
      <c r="I60" s="73">
        <v>4000</v>
      </c>
      <c r="J60" s="72" t="s">
        <v>246</v>
      </c>
    </row>
    <row r="61" spans="2:10" s="7" customFormat="1" x14ac:dyDescent="0.35">
      <c r="B61" s="4" t="s">
        <v>260</v>
      </c>
      <c r="C61" s="4" t="s">
        <v>261</v>
      </c>
      <c r="D61" s="4">
        <v>162</v>
      </c>
      <c r="E61" s="8">
        <v>480000</v>
      </c>
      <c r="F61" s="4" t="s">
        <v>31</v>
      </c>
      <c r="G61" s="4" t="s">
        <v>250</v>
      </c>
      <c r="H61" s="72" t="s">
        <v>245</v>
      </c>
      <c r="I61" s="73">
        <v>2962.962962962963</v>
      </c>
      <c r="J61" s="72" t="s">
        <v>246</v>
      </c>
    </row>
    <row r="62" spans="2:10" s="7" customFormat="1" x14ac:dyDescent="0.35">
      <c r="B62" s="4" t="s">
        <v>74</v>
      </c>
      <c r="C62" s="4" t="s">
        <v>75</v>
      </c>
      <c r="D62" s="4">
        <v>10</v>
      </c>
      <c r="E62" s="8">
        <v>280000</v>
      </c>
      <c r="F62" s="4" t="s">
        <v>31</v>
      </c>
      <c r="G62" s="4" t="s">
        <v>250</v>
      </c>
      <c r="H62" s="72" t="s">
        <v>245</v>
      </c>
      <c r="I62" s="73">
        <v>28000</v>
      </c>
      <c r="J62" s="72" t="s">
        <v>246</v>
      </c>
    </row>
    <row r="63" spans="2:10" s="7" customFormat="1" x14ac:dyDescent="0.35">
      <c r="B63" s="4" t="s">
        <v>76</v>
      </c>
      <c r="C63" s="4" t="s">
        <v>262</v>
      </c>
      <c r="D63" s="4">
        <v>20</v>
      </c>
      <c r="E63" s="8">
        <v>280000</v>
      </c>
      <c r="F63" s="4" t="s">
        <v>31</v>
      </c>
      <c r="G63" s="4" t="s">
        <v>250</v>
      </c>
      <c r="H63" s="72" t="s">
        <v>245</v>
      </c>
      <c r="I63" s="73">
        <v>14000</v>
      </c>
      <c r="J63" s="72" t="s">
        <v>246</v>
      </c>
    </row>
    <row r="64" spans="2:10" s="7" customFormat="1" x14ac:dyDescent="0.35">
      <c r="B64" s="4" t="s">
        <v>96</v>
      </c>
      <c r="C64" s="4" t="s">
        <v>255</v>
      </c>
      <c r="D64" s="4">
        <v>122</v>
      </c>
      <c r="E64" s="8">
        <v>420000</v>
      </c>
      <c r="F64" s="4" t="s">
        <v>31</v>
      </c>
      <c r="G64" s="4" t="s">
        <v>250</v>
      </c>
      <c r="H64" s="72" t="s">
        <v>245</v>
      </c>
      <c r="I64" s="73">
        <v>3442.622950819672</v>
      </c>
      <c r="J64" s="72" t="s">
        <v>246</v>
      </c>
    </row>
    <row r="65" spans="2:10" s="7" customFormat="1" x14ac:dyDescent="0.35">
      <c r="B65" s="4" t="s">
        <v>263</v>
      </c>
      <c r="C65" s="4" t="s">
        <v>264</v>
      </c>
      <c r="D65" s="4">
        <v>297</v>
      </c>
      <c r="E65" s="8">
        <v>790000</v>
      </c>
      <c r="F65" s="4" t="s">
        <v>31</v>
      </c>
      <c r="G65" s="4" t="s">
        <v>250</v>
      </c>
      <c r="H65" s="72" t="s">
        <v>245</v>
      </c>
      <c r="I65" s="73">
        <v>2659.93265993266</v>
      </c>
      <c r="J65" s="72" t="s">
        <v>246</v>
      </c>
    </row>
    <row r="66" spans="2:10" s="7" customFormat="1" x14ac:dyDescent="0.35">
      <c r="B66" s="4" t="s">
        <v>37</v>
      </c>
      <c r="C66" s="4" t="s">
        <v>38</v>
      </c>
      <c r="D66" s="4">
        <v>134</v>
      </c>
      <c r="E66" s="8">
        <v>420000</v>
      </c>
      <c r="F66" s="4" t="s">
        <v>36</v>
      </c>
      <c r="G66" s="4" t="s">
        <v>250</v>
      </c>
      <c r="H66" s="72" t="s">
        <v>245</v>
      </c>
      <c r="I66" s="73">
        <v>3134.3283582089553</v>
      </c>
      <c r="J66" s="72" t="s">
        <v>246</v>
      </c>
    </row>
    <row r="67" spans="2:10" s="7" customFormat="1" x14ac:dyDescent="0.35">
      <c r="B67" s="4" t="s">
        <v>40</v>
      </c>
      <c r="C67" s="4" t="s">
        <v>41</v>
      </c>
      <c r="D67" s="4">
        <v>123</v>
      </c>
      <c r="E67" s="8">
        <v>420000</v>
      </c>
      <c r="F67" s="4" t="s">
        <v>36</v>
      </c>
      <c r="G67" s="4" t="s">
        <v>250</v>
      </c>
      <c r="H67" s="72" t="s">
        <v>245</v>
      </c>
      <c r="I67" s="73">
        <v>3414.6341463414633</v>
      </c>
      <c r="J67" s="72" t="s">
        <v>246</v>
      </c>
    </row>
    <row r="68" spans="2:10" s="7" customFormat="1" x14ac:dyDescent="0.35">
      <c r="B68" s="4" t="s">
        <v>247</v>
      </c>
      <c r="C68" s="4" t="s">
        <v>248</v>
      </c>
      <c r="D68" s="4">
        <v>118</v>
      </c>
      <c r="E68" s="8">
        <v>400000</v>
      </c>
      <c r="F68" s="4" t="s">
        <v>36</v>
      </c>
      <c r="G68" s="4" t="s">
        <v>250</v>
      </c>
      <c r="H68" s="72" t="s">
        <v>245</v>
      </c>
      <c r="I68" s="73">
        <v>3389.8305084745762</v>
      </c>
      <c r="J68" s="72" t="s">
        <v>246</v>
      </c>
    </row>
    <row r="69" spans="2:10" s="7" customFormat="1" x14ac:dyDescent="0.35">
      <c r="B69" s="4" t="s">
        <v>251</v>
      </c>
      <c r="C69" s="4" t="s">
        <v>252</v>
      </c>
      <c r="D69" s="4">
        <v>103</v>
      </c>
      <c r="E69" s="8">
        <v>400000</v>
      </c>
      <c r="F69" s="4" t="s">
        <v>36</v>
      </c>
      <c r="G69" s="4" t="s">
        <v>250</v>
      </c>
      <c r="H69" s="72" t="s">
        <v>245</v>
      </c>
      <c r="I69" s="73">
        <v>3883.4951456310678</v>
      </c>
      <c r="J69" s="72" t="s">
        <v>246</v>
      </c>
    </row>
    <row r="70" spans="2:10" s="7" customFormat="1" x14ac:dyDescent="0.35">
      <c r="B70" s="4" t="s">
        <v>42</v>
      </c>
      <c r="C70" s="4" t="s">
        <v>43</v>
      </c>
      <c r="D70" s="4">
        <v>358</v>
      </c>
      <c r="E70" s="8">
        <v>960000</v>
      </c>
      <c r="F70" s="4" t="s">
        <v>36</v>
      </c>
      <c r="G70" s="4" t="s">
        <v>250</v>
      </c>
      <c r="H70" s="72" t="s">
        <v>245</v>
      </c>
      <c r="I70" s="73">
        <v>2681.564245810056</v>
      </c>
      <c r="J70" s="72" t="s">
        <v>246</v>
      </c>
    </row>
    <row r="71" spans="2:10" s="7" customFormat="1" x14ac:dyDescent="0.35">
      <c r="B71" s="4" t="s">
        <v>253</v>
      </c>
      <c r="C71" s="4" t="s">
        <v>70</v>
      </c>
      <c r="D71" s="4">
        <v>141</v>
      </c>
      <c r="E71" s="8">
        <v>460000</v>
      </c>
      <c r="F71" s="4" t="s">
        <v>36</v>
      </c>
      <c r="G71" s="4" t="s">
        <v>250</v>
      </c>
      <c r="H71" s="72" t="s">
        <v>245</v>
      </c>
      <c r="I71" s="73">
        <v>3262.4113475177305</v>
      </c>
      <c r="J71" s="72" t="s">
        <v>246</v>
      </c>
    </row>
    <row r="72" spans="2:10" s="7" customFormat="1" x14ac:dyDescent="0.35">
      <c r="B72" s="4" t="s">
        <v>249</v>
      </c>
      <c r="C72" s="4" t="s">
        <v>44</v>
      </c>
      <c r="D72" s="4">
        <v>60</v>
      </c>
      <c r="E72" s="8">
        <v>350000</v>
      </c>
      <c r="F72" s="4" t="s">
        <v>36</v>
      </c>
      <c r="G72" s="4" t="s">
        <v>250</v>
      </c>
      <c r="H72" s="72" t="s">
        <v>245</v>
      </c>
      <c r="I72" s="73">
        <v>5833.333333333333</v>
      </c>
      <c r="J72" s="72" t="s">
        <v>246</v>
      </c>
    </row>
    <row r="73" spans="2:10" s="7" customFormat="1" x14ac:dyDescent="0.35">
      <c r="B73" s="4" t="s">
        <v>29</v>
      </c>
      <c r="C73" s="4" t="s">
        <v>30</v>
      </c>
      <c r="D73" s="4">
        <v>22</v>
      </c>
      <c r="E73" s="8">
        <v>280000</v>
      </c>
      <c r="F73" s="4" t="s">
        <v>36</v>
      </c>
      <c r="G73" s="4" t="s">
        <v>250</v>
      </c>
      <c r="H73" s="72" t="s">
        <v>245</v>
      </c>
      <c r="I73" s="73">
        <v>12727.272727272728</v>
      </c>
      <c r="J73" s="72" t="s">
        <v>246</v>
      </c>
    </row>
    <row r="74" spans="2:10" s="7" customFormat="1" x14ac:dyDescent="0.35">
      <c r="B74" s="4" t="s">
        <v>45</v>
      </c>
      <c r="C74" s="4" t="s">
        <v>46</v>
      </c>
      <c r="D74" s="4">
        <v>100</v>
      </c>
      <c r="E74" s="8">
        <v>400000</v>
      </c>
      <c r="F74" s="4" t="s">
        <v>36</v>
      </c>
      <c r="G74" s="4" t="s">
        <v>250</v>
      </c>
      <c r="H74" s="72" t="s">
        <v>245</v>
      </c>
      <c r="I74" s="73">
        <v>4000</v>
      </c>
      <c r="J74" s="72" t="s">
        <v>246</v>
      </c>
    </row>
    <row r="75" spans="2:10" s="7" customFormat="1" x14ac:dyDescent="0.35">
      <c r="B75" s="4" t="s">
        <v>47</v>
      </c>
      <c r="C75" s="4" t="s">
        <v>48</v>
      </c>
      <c r="D75" s="4">
        <v>85</v>
      </c>
      <c r="E75" s="8">
        <v>360000</v>
      </c>
      <c r="F75" s="4" t="s">
        <v>36</v>
      </c>
      <c r="G75" s="4" t="s">
        <v>250</v>
      </c>
      <c r="H75" s="72" t="s">
        <v>245</v>
      </c>
      <c r="I75" s="73">
        <v>4235.2941176470586</v>
      </c>
      <c r="J75" s="72" t="s">
        <v>246</v>
      </c>
    </row>
    <row r="76" spans="2:10" s="7" customFormat="1" x14ac:dyDescent="0.35">
      <c r="B76" s="4" t="s">
        <v>49</v>
      </c>
      <c r="C76" s="4" t="s">
        <v>50</v>
      </c>
      <c r="D76" s="4">
        <v>144</v>
      </c>
      <c r="E76" s="8">
        <v>460000</v>
      </c>
      <c r="F76" s="4" t="s">
        <v>36</v>
      </c>
      <c r="G76" s="4" t="s">
        <v>250</v>
      </c>
      <c r="H76" s="72" t="s">
        <v>245</v>
      </c>
      <c r="I76" s="73">
        <v>3194.4444444444443</v>
      </c>
      <c r="J76" s="72" t="s">
        <v>246</v>
      </c>
    </row>
    <row r="77" spans="2:10" s="7" customFormat="1" x14ac:dyDescent="0.35">
      <c r="B77" s="4" t="s">
        <v>95</v>
      </c>
      <c r="C77" s="4" t="s">
        <v>254</v>
      </c>
      <c r="D77" s="4">
        <v>60</v>
      </c>
      <c r="E77" s="8">
        <v>350000</v>
      </c>
      <c r="F77" s="4" t="s">
        <v>36</v>
      </c>
      <c r="G77" s="4" t="s">
        <v>250</v>
      </c>
      <c r="H77" s="72" t="s">
        <v>245</v>
      </c>
      <c r="I77" s="73">
        <v>5833.333333333333</v>
      </c>
      <c r="J77" s="72" t="s">
        <v>246</v>
      </c>
    </row>
    <row r="78" spans="2:10" s="7" customFormat="1" x14ac:dyDescent="0.35">
      <c r="B78" s="4" t="s">
        <v>51</v>
      </c>
      <c r="C78" s="4" t="s">
        <v>50</v>
      </c>
      <c r="D78" s="4">
        <v>144</v>
      </c>
      <c r="E78" s="8">
        <v>460000</v>
      </c>
      <c r="F78" s="4" t="s">
        <v>36</v>
      </c>
      <c r="G78" s="4" t="s">
        <v>250</v>
      </c>
      <c r="H78" s="72" t="s">
        <v>245</v>
      </c>
      <c r="I78" s="73">
        <v>3194.4444444444443</v>
      </c>
      <c r="J78" s="72" t="s">
        <v>246</v>
      </c>
    </row>
    <row r="79" spans="2:10" s="7" customFormat="1" x14ac:dyDescent="0.35">
      <c r="B79" s="4" t="s">
        <v>55</v>
      </c>
      <c r="C79" s="4" t="s">
        <v>41</v>
      </c>
      <c r="D79" s="4">
        <v>120</v>
      </c>
      <c r="E79" s="8">
        <v>420000</v>
      </c>
      <c r="F79" s="4" t="s">
        <v>36</v>
      </c>
      <c r="G79" s="4" t="s">
        <v>250</v>
      </c>
      <c r="H79" s="72" t="s">
        <v>245</v>
      </c>
      <c r="I79" s="73">
        <v>3500</v>
      </c>
      <c r="J79" s="72" t="s">
        <v>246</v>
      </c>
    </row>
    <row r="80" spans="2:10" s="7" customFormat="1" x14ac:dyDescent="0.35">
      <c r="B80" s="4" t="s">
        <v>52</v>
      </c>
      <c r="C80" s="4" t="s">
        <v>53</v>
      </c>
      <c r="D80" s="4">
        <v>100</v>
      </c>
      <c r="E80" s="8">
        <v>400000</v>
      </c>
      <c r="F80" s="4" t="s">
        <v>36</v>
      </c>
      <c r="G80" s="4" t="s">
        <v>250</v>
      </c>
      <c r="H80" s="72" t="s">
        <v>245</v>
      </c>
      <c r="I80" s="73">
        <v>4000</v>
      </c>
      <c r="J80" s="72" t="s">
        <v>246</v>
      </c>
    </row>
    <row r="81" spans="2:10" s="7" customFormat="1" x14ac:dyDescent="0.35">
      <c r="B81" s="4" t="s">
        <v>58</v>
      </c>
      <c r="C81" s="4" t="s">
        <v>59</v>
      </c>
      <c r="D81" s="4">
        <v>125</v>
      </c>
      <c r="E81" s="8">
        <v>420000</v>
      </c>
      <c r="F81" s="4" t="s">
        <v>36</v>
      </c>
      <c r="G81" s="4" t="s">
        <v>250</v>
      </c>
      <c r="H81" s="72" t="s">
        <v>245</v>
      </c>
      <c r="I81" s="73">
        <v>3360</v>
      </c>
      <c r="J81" s="72" t="s">
        <v>246</v>
      </c>
    </row>
    <row r="82" spans="2:10" s="7" customFormat="1" x14ac:dyDescent="0.35">
      <c r="B82" s="4" t="s">
        <v>97</v>
      </c>
      <c r="C82" s="4" t="s">
        <v>255</v>
      </c>
      <c r="D82" s="4">
        <v>90</v>
      </c>
      <c r="E82" s="8">
        <v>380000</v>
      </c>
      <c r="F82" s="4" t="s">
        <v>36</v>
      </c>
      <c r="G82" s="4" t="s">
        <v>250</v>
      </c>
      <c r="H82" s="72" t="s">
        <v>245</v>
      </c>
      <c r="I82" s="73">
        <v>4222.2222222222226</v>
      </c>
      <c r="J82" s="72" t="s">
        <v>246</v>
      </c>
    </row>
    <row r="83" spans="2:10" s="7" customFormat="1" x14ac:dyDescent="0.35">
      <c r="B83" s="4" t="s">
        <v>60</v>
      </c>
      <c r="C83" s="4" t="s">
        <v>61</v>
      </c>
      <c r="D83" s="4">
        <v>80</v>
      </c>
      <c r="E83" s="8">
        <v>360000</v>
      </c>
      <c r="F83" s="4" t="s">
        <v>36</v>
      </c>
      <c r="G83" s="4" t="s">
        <v>250</v>
      </c>
      <c r="H83" s="72" t="s">
        <v>245</v>
      </c>
      <c r="I83" s="73">
        <v>4500</v>
      </c>
      <c r="J83" s="72" t="s">
        <v>246</v>
      </c>
    </row>
    <row r="84" spans="2:10" s="7" customFormat="1" x14ac:dyDescent="0.35">
      <c r="B84" s="4" t="s">
        <v>62</v>
      </c>
      <c r="C84" s="4" t="s">
        <v>63</v>
      </c>
      <c r="D84" s="4">
        <v>130</v>
      </c>
      <c r="E84" s="8">
        <v>420000</v>
      </c>
      <c r="F84" s="4" t="s">
        <v>36</v>
      </c>
      <c r="G84" s="4" t="s">
        <v>250</v>
      </c>
      <c r="H84" s="72" t="s">
        <v>245</v>
      </c>
      <c r="I84" s="73">
        <v>3230.7692307692309</v>
      </c>
      <c r="J84" s="72" t="s">
        <v>246</v>
      </c>
    </row>
    <row r="85" spans="2:10" s="7" customFormat="1" x14ac:dyDescent="0.35">
      <c r="B85" s="4" t="s">
        <v>98</v>
      </c>
      <c r="C85" s="4" t="s">
        <v>38</v>
      </c>
      <c r="D85" s="4">
        <v>133</v>
      </c>
      <c r="E85" s="8">
        <v>420000</v>
      </c>
      <c r="F85" s="4" t="s">
        <v>36</v>
      </c>
      <c r="G85" s="4" t="s">
        <v>250</v>
      </c>
      <c r="H85" s="72" t="s">
        <v>245</v>
      </c>
      <c r="I85" s="73">
        <v>3157.8947368421054</v>
      </c>
      <c r="J85" s="72" t="s">
        <v>246</v>
      </c>
    </row>
    <row r="86" spans="2:10" s="7" customFormat="1" x14ac:dyDescent="0.35">
      <c r="B86" s="4" t="s">
        <v>256</v>
      </c>
      <c r="C86" s="4" t="s">
        <v>64</v>
      </c>
      <c r="D86" s="4">
        <v>180</v>
      </c>
      <c r="E86" s="8">
        <v>520000</v>
      </c>
      <c r="F86" s="4" t="s">
        <v>36</v>
      </c>
      <c r="G86" s="4" t="s">
        <v>250</v>
      </c>
      <c r="H86" s="72" t="s">
        <v>245</v>
      </c>
      <c r="I86" s="73">
        <v>2888.8888888888887</v>
      </c>
      <c r="J86" s="72" t="s">
        <v>246</v>
      </c>
    </row>
    <row r="87" spans="2:10" s="7" customFormat="1" x14ac:dyDescent="0.35">
      <c r="B87" s="4" t="s">
        <v>65</v>
      </c>
      <c r="C87" s="4" t="s">
        <v>66</v>
      </c>
      <c r="D87" s="4">
        <v>140</v>
      </c>
      <c r="E87" s="8">
        <v>460000</v>
      </c>
      <c r="F87" s="4" t="s">
        <v>36</v>
      </c>
      <c r="G87" s="4" t="s">
        <v>250</v>
      </c>
      <c r="H87" s="72" t="s">
        <v>245</v>
      </c>
      <c r="I87" s="73">
        <v>3285.7142857142858</v>
      </c>
      <c r="J87" s="72" t="s">
        <v>246</v>
      </c>
    </row>
    <row r="88" spans="2:10" s="7" customFormat="1" x14ac:dyDescent="0.35">
      <c r="B88" s="4" t="s">
        <v>67</v>
      </c>
      <c r="C88" s="4" t="s">
        <v>38</v>
      </c>
      <c r="D88" s="4">
        <v>130</v>
      </c>
      <c r="E88" s="8">
        <v>420000</v>
      </c>
      <c r="F88" s="4" t="s">
        <v>36</v>
      </c>
      <c r="G88" s="4" t="s">
        <v>250</v>
      </c>
      <c r="H88" s="72" t="s">
        <v>245</v>
      </c>
      <c r="I88" s="73">
        <v>3230.7692307692309</v>
      </c>
      <c r="J88" s="72" t="s">
        <v>246</v>
      </c>
    </row>
    <row r="89" spans="2:10" s="7" customFormat="1" x14ac:dyDescent="0.35">
      <c r="B89" s="4" t="s">
        <v>68</v>
      </c>
      <c r="C89" s="4" t="s">
        <v>69</v>
      </c>
      <c r="D89" s="4">
        <v>90</v>
      </c>
      <c r="E89" s="8">
        <v>380000</v>
      </c>
      <c r="F89" s="4" t="s">
        <v>36</v>
      </c>
      <c r="G89" s="4" t="s">
        <v>250</v>
      </c>
      <c r="H89" s="72" t="s">
        <v>245</v>
      </c>
      <c r="I89" s="73">
        <v>4222.2222222222226</v>
      </c>
      <c r="J89" s="72" t="s">
        <v>246</v>
      </c>
    </row>
    <row r="90" spans="2:10" s="7" customFormat="1" x14ac:dyDescent="0.35">
      <c r="B90" s="4" t="s">
        <v>33</v>
      </c>
      <c r="C90" s="4" t="s">
        <v>34</v>
      </c>
      <c r="D90" s="4">
        <v>230</v>
      </c>
      <c r="E90" s="8">
        <v>650000</v>
      </c>
      <c r="F90" s="4" t="s">
        <v>36</v>
      </c>
      <c r="G90" s="4" t="s">
        <v>250</v>
      </c>
      <c r="H90" s="72" t="s">
        <v>245</v>
      </c>
      <c r="I90" s="73">
        <v>2826.086956521739</v>
      </c>
      <c r="J90" s="72" t="s">
        <v>246</v>
      </c>
    </row>
    <row r="91" spans="2:10" s="7" customFormat="1" x14ac:dyDescent="0.35">
      <c r="B91" s="4" t="s">
        <v>257</v>
      </c>
      <c r="C91" s="4" t="s">
        <v>66</v>
      </c>
      <c r="D91" s="4">
        <v>144</v>
      </c>
      <c r="E91" s="8">
        <v>460000</v>
      </c>
      <c r="F91" s="4" t="s">
        <v>36</v>
      </c>
      <c r="G91" s="4" t="s">
        <v>250</v>
      </c>
      <c r="H91" s="72" t="s">
        <v>245</v>
      </c>
      <c r="I91" s="73">
        <v>3194.4444444444443</v>
      </c>
      <c r="J91" s="72" t="s">
        <v>246</v>
      </c>
    </row>
    <row r="92" spans="2:10" s="7" customFormat="1" x14ac:dyDescent="0.35">
      <c r="B92" s="4" t="s">
        <v>71</v>
      </c>
      <c r="C92" s="4" t="s">
        <v>43</v>
      </c>
      <c r="D92" s="4">
        <v>408</v>
      </c>
      <c r="E92" s="8">
        <v>1100000</v>
      </c>
      <c r="F92" s="4" t="s">
        <v>36</v>
      </c>
      <c r="G92" s="4" t="s">
        <v>250</v>
      </c>
      <c r="H92" s="72" t="s">
        <v>245</v>
      </c>
      <c r="I92" s="73">
        <v>2696.0784313725489</v>
      </c>
      <c r="J92" s="72" t="s">
        <v>246</v>
      </c>
    </row>
    <row r="93" spans="2:10" s="7" customFormat="1" x14ac:dyDescent="0.35">
      <c r="B93" s="4" t="s">
        <v>258</v>
      </c>
      <c r="C93" s="4" t="s">
        <v>259</v>
      </c>
      <c r="D93" s="4">
        <v>1</v>
      </c>
      <c r="E93" s="8">
        <v>250000</v>
      </c>
      <c r="F93" s="4" t="s">
        <v>36</v>
      </c>
      <c r="G93" s="4" t="s">
        <v>250</v>
      </c>
      <c r="H93" s="72" t="s">
        <v>245</v>
      </c>
      <c r="I93" s="73">
        <v>250000</v>
      </c>
      <c r="J93" s="72" t="s">
        <v>246</v>
      </c>
    </row>
    <row r="94" spans="2:10" s="7" customFormat="1" x14ac:dyDescent="0.35">
      <c r="B94" s="4" t="s">
        <v>72</v>
      </c>
      <c r="C94" s="4" t="s">
        <v>73</v>
      </c>
      <c r="D94" s="4">
        <v>310</v>
      </c>
      <c r="E94" s="8">
        <v>830000</v>
      </c>
      <c r="F94" s="4" t="s">
        <v>36</v>
      </c>
      <c r="G94" s="4" t="s">
        <v>250</v>
      </c>
      <c r="H94" s="72" t="s">
        <v>245</v>
      </c>
      <c r="I94" s="73">
        <v>2677.4193548387098</v>
      </c>
      <c r="J94" s="72" t="s">
        <v>246</v>
      </c>
    </row>
    <row r="95" spans="2:10" s="7" customFormat="1" x14ac:dyDescent="0.35">
      <c r="B95" s="4" t="s">
        <v>56</v>
      </c>
      <c r="C95" s="4" t="s">
        <v>57</v>
      </c>
      <c r="D95" s="4">
        <v>95</v>
      </c>
      <c r="E95" s="8">
        <v>380000</v>
      </c>
      <c r="F95" s="4" t="s">
        <v>36</v>
      </c>
      <c r="G95" s="4" t="s">
        <v>250</v>
      </c>
      <c r="H95" s="72" t="s">
        <v>245</v>
      </c>
      <c r="I95" s="73">
        <v>4000</v>
      </c>
      <c r="J95" s="72" t="s">
        <v>246</v>
      </c>
    </row>
    <row r="96" spans="2:10" s="7" customFormat="1" x14ac:dyDescent="0.35">
      <c r="B96" s="4" t="s">
        <v>260</v>
      </c>
      <c r="C96" s="4" t="s">
        <v>261</v>
      </c>
      <c r="D96" s="4">
        <v>305</v>
      </c>
      <c r="E96" s="8">
        <v>810000</v>
      </c>
      <c r="F96" s="4" t="s">
        <v>36</v>
      </c>
      <c r="G96" s="4" t="s">
        <v>250</v>
      </c>
      <c r="H96" s="72" t="s">
        <v>245</v>
      </c>
      <c r="I96" s="73">
        <v>2655.7377049180327</v>
      </c>
      <c r="J96" s="72" t="s">
        <v>246</v>
      </c>
    </row>
    <row r="97" spans="2:10" s="7" customFormat="1" x14ac:dyDescent="0.35">
      <c r="B97" s="4" t="s">
        <v>74</v>
      </c>
      <c r="C97" s="4" t="s">
        <v>75</v>
      </c>
      <c r="D97" s="4">
        <v>140</v>
      </c>
      <c r="E97" s="8">
        <v>460000</v>
      </c>
      <c r="F97" s="4" t="s">
        <v>36</v>
      </c>
      <c r="G97" s="4" t="s">
        <v>250</v>
      </c>
      <c r="H97" s="72" t="s">
        <v>245</v>
      </c>
      <c r="I97" s="73">
        <v>3285.7142857142858</v>
      </c>
      <c r="J97" s="72" t="s">
        <v>246</v>
      </c>
    </row>
    <row r="98" spans="2:10" s="7" customFormat="1" x14ac:dyDescent="0.35">
      <c r="B98" s="4" t="s">
        <v>76</v>
      </c>
      <c r="C98" s="4" t="s">
        <v>262</v>
      </c>
      <c r="D98" s="4">
        <v>130</v>
      </c>
      <c r="E98" s="8">
        <v>420000</v>
      </c>
      <c r="F98" s="4" t="s">
        <v>36</v>
      </c>
      <c r="G98" s="4" t="s">
        <v>250</v>
      </c>
      <c r="H98" s="72" t="s">
        <v>245</v>
      </c>
      <c r="I98" s="73">
        <v>3230.7692307692309</v>
      </c>
      <c r="J98" s="72" t="s">
        <v>246</v>
      </c>
    </row>
    <row r="99" spans="2:10" s="7" customFormat="1" x14ac:dyDescent="0.35">
      <c r="B99" s="4" t="s">
        <v>96</v>
      </c>
      <c r="C99" s="4" t="s">
        <v>255</v>
      </c>
      <c r="D99" s="4">
        <v>95</v>
      </c>
      <c r="E99" s="8">
        <v>380000</v>
      </c>
      <c r="F99" s="4" t="s">
        <v>36</v>
      </c>
      <c r="G99" s="4" t="s">
        <v>250</v>
      </c>
      <c r="H99" s="72" t="s">
        <v>245</v>
      </c>
      <c r="I99" s="73">
        <v>4000</v>
      </c>
      <c r="J99" s="72" t="s">
        <v>246</v>
      </c>
    </row>
    <row r="100" spans="2:10" s="7" customFormat="1" x14ac:dyDescent="0.35">
      <c r="B100" s="4" t="s">
        <v>263</v>
      </c>
      <c r="C100" s="4" t="s">
        <v>264</v>
      </c>
      <c r="D100" s="4">
        <v>160</v>
      </c>
      <c r="E100" s="8">
        <v>480000</v>
      </c>
      <c r="F100" s="4" t="s">
        <v>36</v>
      </c>
      <c r="G100" s="4" t="s">
        <v>250</v>
      </c>
      <c r="H100" s="72" t="s">
        <v>245</v>
      </c>
      <c r="I100" s="73">
        <v>3000</v>
      </c>
      <c r="J100" s="72" t="s">
        <v>246</v>
      </c>
    </row>
    <row r="101" spans="2:10" s="7" customFormat="1" x14ac:dyDescent="0.35">
      <c r="B101" s="4" t="s">
        <v>37</v>
      </c>
      <c r="C101" s="4" t="s">
        <v>38</v>
      </c>
      <c r="D101" s="4">
        <v>50</v>
      </c>
      <c r="E101" s="8">
        <v>350000</v>
      </c>
      <c r="F101" s="4" t="s">
        <v>35</v>
      </c>
      <c r="G101" s="4" t="s">
        <v>250</v>
      </c>
      <c r="H101" s="72" t="s">
        <v>245</v>
      </c>
      <c r="I101" s="73">
        <v>7000</v>
      </c>
      <c r="J101" s="72" t="s">
        <v>246</v>
      </c>
    </row>
    <row r="102" spans="2:10" s="7" customFormat="1" x14ac:dyDescent="0.35">
      <c r="B102" s="4" t="s">
        <v>40</v>
      </c>
      <c r="C102" s="4" t="s">
        <v>41</v>
      </c>
      <c r="D102" s="4">
        <v>211</v>
      </c>
      <c r="E102" s="8">
        <v>550000</v>
      </c>
      <c r="F102" s="4" t="s">
        <v>35</v>
      </c>
      <c r="G102" s="4" t="s">
        <v>250</v>
      </c>
      <c r="H102" s="72" t="s">
        <v>245</v>
      </c>
      <c r="I102" s="73">
        <v>2606.6350710900474</v>
      </c>
      <c r="J102" s="72" t="s">
        <v>246</v>
      </c>
    </row>
    <row r="103" spans="2:10" s="7" customFormat="1" x14ac:dyDescent="0.35">
      <c r="B103" s="4" t="s">
        <v>247</v>
      </c>
      <c r="C103" s="4" t="s">
        <v>248</v>
      </c>
      <c r="D103" s="4">
        <v>206</v>
      </c>
      <c r="E103" s="8">
        <v>550000</v>
      </c>
      <c r="F103" s="4" t="s">
        <v>35</v>
      </c>
      <c r="G103" s="4" t="s">
        <v>250</v>
      </c>
      <c r="H103" s="72" t="s">
        <v>245</v>
      </c>
      <c r="I103" s="73">
        <v>2669.9029126213591</v>
      </c>
      <c r="J103" s="72" t="s">
        <v>246</v>
      </c>
    </row>
    <row r="104" spans="2:10" s="7" customFormat="1" x14ac:dyDescent="0.35">
      <c r="B104" s="4" t="s">
        <v>251</v>
      </c>
      <c r="C104" s="4" t="s">
        <v>252</v>
      </c>
      <c r="D104" s="4">
        <v>80</v>
      </c>
      <c r="E104" s="8">
        <v>360000</v>
      </c>
      <c r="F104" s="4" t="s">
        <v>35</v>
      </c>
      <c r="G104" s="4" t="s">
        <v>250</v>
      </c>
      <c r="H104" s="72" t="s">
        <v>245</v>
      </c>
      <c r="I104" s="73">
        <v>4500</v>
      </c>
      <c r="J104" s="72" t="s">
        <v>246</v>
      </c>
    </row>
    <row r="105" spans="2:10" s="7" customFormat="1" x14ac:dyDescent="0.35">
      <c r="B105" s="4" t="s">
        <v>42</v>
      </c>
      <c r="C105" s="4" t="s">
        <v>43</v>
      </c>
      <c r="D105" s="4">
        <v>450</v>
      </c>
      <c r="E105" s="8">
        <v>1210000</v>
      </c>
      <c r="F105" s="4" t="s">
        <v>35</v>
      </c>
      <c r="G105" s="4" t="s">
        <v>250</v>
      </c>
      <c r="H105" s="72" t="s">
        <v>245</v>
      </c>
      <c r="I105" s="73">
        <v>2688.8888888888887</v>
      </c>
      <c r="J105" s="72" t="s">
        <v>246</v>
      </c>
    </row>
    <row r="106" spans="2:10" s="7" customFormat="1" x14ac:dyDescent="0.35">
      <c r="B106" s="4" t="s">
        <v>253</v>
      </c>
      <c r="C106" s="4" t="s">
        <v>70</v>
      </c>
      <c r="D106" s="4">
        <v>50</v>
      </c>
      <c r="E106" s="8">
        <v>350000</v>
      </c>
      <c r="F106" s="4" t="s">
        <v>35</v>
      </c>
      <c r="G106" s="4" t="s">
        <v>250</v>
      </c>
      <c r="H106" s="72" t="s">
        <v>245</v>
      </c>
      <c r="I106" s="73">
        <v>7000</v>
      </c>
      <c r="J106" s="72" t="s">
        <v>246</v>
      </c>
    </row>
    <row r="107" spans="2:10" s="7" customFormat="1" x14ac:dyDescent="0.35">
      <c r="B107" s="4" t="s">
        <v>249</v>
      </c>
      <c r="C107" s="4" t="s">
        <v>44</v>
      </c>
      <c r="D107" s="4">
        <v>60</v>
      </c>
      <c r="E107" s="8">
        <v>350000</v>
      </c>
      <c r="F107" s="4" t="s">
        <v>35</v>
      </c>
      <c r="G107" s="4" t="s">
        <v>250</v>
      </c>
      <c r="H107" s="72" t="s">
        <v>245</v>
      </c>
      <c r="I107" s="73">
        <v>5833.333333333333</v>
      </c>
      <c r="J107" s="72" t="s">
        <v>246</v>
      </c>
    </row>
    <row r="108" spans="2:10" s="7" customFormat="1" x14ac:dyDescent="0.35">
      <c r="B108" s="4" t="s">
        <v>29</v>
      </c>
      <c r="C108" s="4" t="s">
        <v>30</v>
      </c>
      <c r="D108" s="4">
        <v>100</v>
      </c>
      <c r="E108" s="8">
        <v>400000</v>
      </c>
      <c r="F108" s="4" t="s">
        <v>35</v>
      </c>
      <c r="G108" s="4" t="s">
        <v>250</v>
      </c>
      <c r="H108" s="72" t="s">
        <v>245</v>
      </c>
      <c r="I108" s="73">
        <v>4000</v>
      </c>
      <c r="J108" s="72" t="s">
        <v>246</v>
      </c>
    </row>
    <row r="109" spans="2:10" s="7" customFormat="1" x14ac:dyDescent="0.35">
      <c r="B109" s="4" t="s">
        <v>45</v>
      </c>
      <c r="C109" s="4" t="s">
        <v>46</v>
      </c>
      <c r="D109" s="4">
        <v>190</v>
      </c>
      <c r="E109" s="8">
        <v>530000</v>
      </c>
      <c r="F109" s="4" t="s">
        <v>35</v>
      </c>
      <c r="G109" s="4" t="s">
        <v>250</v>
      </c>
      <c r="H109" s="72" t="s">
        <v>245</v>
      </c>
      <c r="I109" s="73">
        <v>2789.4736842105262</v>
      </c>
      <c r="J109" s="72" t="s">
        <v>246</v>
      </c>
    </row>
    <row r="110" spans="2:10" s="7" customFormat="1" x14ac:dyDescent="0.35">
      <c r="B110" s="4" t="s">
        <v>47</v>
      </c>
      <c r="C110" s="4" t="s">
        <v>48</v>
      </c>
      <c r="D110" s="4">
        <v>75</v>
      </c>
      <c r="E110" s="8">
        <v>360000</v>
      </c>
      <c r="F110" s="4" t="s">
        <v>35</v>
      </c>
      <c r="G110" s="4" t="s">
        <v>250</v>
      </c>
      <c r="H110" s="72" t="s">
        <v>245</v>
      </c>
      <c r="I110" s="73">
        <v>4800</v>
      </c>
      <c r="J110" s="72" t="s">
        <v>246</v>
      </c>
    </row>
    <row r="111" spans="2:10" s="7" customFormat="1" x14ac:dyDescent="0.35">
      <c r="B111" s="4" t="s">
        <v>49</v>
      </c>
      <c r="C111" s="4" t="s">
        <v>50</v>
      </c>
      <c r="D111" s="4">
        <v>70</v>
      </c>
      <c r="E111" s="8">
        <v>360000</v>
      </c>
      <c r="F111" s="4" t="s">
        <v>35</v>
      </c>
      <c r="G111" s="4" t="s">
        <v>250</v>
      </c>
      <c r="H111" s="72" t="s">
        <v>245</v>
      </c>
      <c r="I111" s="73">
        <v>5142.8571428571431</v>
      </c>
      <c r="J111" s="72" t="s">
        <v>246</v>
      </c>
    </row>
    <row r="112" spans="2:10" s="7" customFormat="1" x14ac:dyDescent="0.35">
      <c r="B112" s="4" t="s">
        <v>95</v>
      </c>
      <c r="C112" s="4" t="s">
        <v>254</v>
      </c>
      <c r="D112" s="4">
        <v>160</v>
      </c>
      <c r="E112" s="8">
        <v>460000</v>
      </c>
      <c r="F112" s="4" t="s">
        <v>35</v>
      </c>
      <c r="G112" s="4" t="s">
        <v>250</v>
      </c>
      <c r="H112" s="72" t="s">
        <v>245</v>
      </c>
      <c r="I112" s="73">
        <v>2875</v>
      </c>
      <c r="J112" s="72" t="s">
        <v>246</v>
      </c>
    </row>
    <row r="113" spans="2:10" s="7" customFormat="1" x14ac:dyDescent="0.35">
      <c r="B113" s="4" t="s">
        <v>51</v>
      </c>
      <c r="C113" s="4" t="s">
        <v>50</v>
      </c>
      <c r="D113" s="4">
        <v>70</v>
      </c>
      <c r="E113" s="8">
        <v>350000</v>
      </c>
      <c r="F113" s="4" t="s">
        <v>35</v>
      </c>
      <c r="G113" s="4" t="s">
        <v>250</v>
      </c>
      <c r="H113" s="72" t="s">
        <v>245</v>
      </c>
      <c r="I113" s="73">
        <v>5000</v>
      </c>
      <c r="J113" s="72" t="s">
        <v>246</v>
      </c>
    </row>
    <row r="114" spans="2:10" s="7" customFormat="1" x14ac:dyDescent="0.35">
      <c r="B114" s="4" t="s">
        <v>55</v>
      </c>
      <c r="C114" s="4" t="s">
        <v>41</v>
      </c>
      <c r="D114" s="4">
        <v>210</v>
      </c>
      <c r="E114" s="8">
        <v>550000</v>
      </c>
      <c r="F114" s="4" t="s">
        <v>35</v>
      </c>
      <c r="G114" s="4" t="s">
        <v>250</v>
      </c>
      <c r="H114" s="72" t="s">
        <v>245</v>
      </c>
      <c r="I114" s="73">
        <v>2619.0476190476193</v>
      </c>
      <c r="J114" s="72" t="s">
        <v>246</v>
      </c>
    </row>
    <row r="115" spans="2:10" s="7" customFormat="1" x14ac:dyDescent="0.35">
      <c r="B115" s="4" t="s">
        <v>52</v>
      </c>
      <c r="C115" s="4" t="s">
        <v>53</v>
      </c>
      <c r="D115" s="4">
        <v>25</v>
      </c>
      <c r="E115" s="8">
        <v>280000</v>
      </c>
      <c r="F115" s="4" t="s">
        <v>35</v>
      </c>
      <c r="G115" s="4" t="s">
        <v>250</v>
      </c>
      <c r="H115" s="72" t="s">
        <v>245</v>
      </c>
      <c r="I115" s="73">
        <v>11200</v>
      </c>
      <c r="J115" s="72" t="s">
        <v>246</v>
      </c>
    </row>
    <row r="116" spans="2:10" s="7" customFormat="1" x14ac:dyDescent="0.35">
      <c r="B116" s="4" t="s">
        <v>58</v>
      </c>
      <c r="C116" s="4" t="s">
        <v>59</v>
      </c>
      <c r="D116" s="4">
        <v>35</v>
      </c>
      <c r="E116" s="8">
        <v>320000</v>
      </c>
      <c r="F116" s="4" t="s">
        <v>35</v>
      </c>
      <c r="G116" s="4" t="s">
        <v>250</v>
      </c>
      <c r="H116" s="72" t="s">
        <v>245</v>
      </c>
      <c r="I116" s="73">
        <v>9142.8571428571431</v>
      </c>
      <c r="J116" s="72" t="s">
        <v>246</v>
      </c>
    </row>
    <row r="117" spans="2:10" s="7" customFormat="1" x14ac:dyDescent="0.35">
      <c r="B117" s="4" t="s">
        <v>97</v>
      </c>
      <c r="C117" s="4" t="s">
        <v>255</v>
      </c>
      <c r="D117" s="4">
        <v>75</v>
      </c>
      <c r="E117" s="8">
        <v>350000</v>
      </c>
      <c r="F117" s="4" t="s">
        <v>35</v>
      </c>
      <c r="G117" s="4" t="s">
        <v>250</v>
      </c>
      <c r="H117" s="72" t="s">
        <v>245</v>
      </c>
      <c r="I117" s="73">
        <v>4666.666666666667</v>
      </c>
      <c r="J117" s="72" t="s">
        <v>246</v>
      </c>
    </row>
    <row r="118" spans="2:10" s="7" customFormat="1" x14ac:dyDescent="0.35">
      <c r="B118" s="4" t="s">
        <v>60</v>
      </c>
      <c r="C118" s="4" t="s">
        <v>61</v>
      </c>
      <c r="D118" s="4">
        <v>75</v>
      </c>
      <c r="E118" s="8">
        <v>350000</v>
      </c>
      <c r="F118" s="4" t="s">
        <v>35</v>
      </c>
      <c r="G118" s="4" t="s">
        <v>250</v>
      </c>
      <c r="H118" s="72" t="s">
        <v>245</v>
      </c>
      <c r="I118" s="73">
        <v>4666.666666666667</v>
      </c>
      <c r="J118" s="72" t="s">
        <v>246</v>
      </c>
    </row>
    <row r="119" spans="2:10" s="7" customFormat="1" x14ac:dyDescent="0.35">
      <c r="B119" s="4" t="s">
        <v>62</v>
      </c>
      <c r="C119" s="4" t="s">
        <v>63</v>
      </c>
      <c r="D119" s="4">
        <v>55</v>
      </c>
      <c r="E119" s="8">
        <v>350000</v>
      </c>
      <c r="F119" s="4" t="s">
        <v>35</v>
      </c>
      <c r="G119" s="4" t="s">
        <v>250</v>
      </c>
      <c r="H119" s="72" t="s">
        <v>245</v>
      </c>
      <c r="I119" s="73">
        <v>6363.636363636364</v>
      </c>
      <c r="J119" s="72" t="s">
        <v>246</v>
      </c>
    </row>
    <row r="120" spans="2:10" s="7" customFormat="1" x14ac:dyDescent="0.35">
      <c r="B120" s="4" t="s">
        <v>98</v>
      </c>
      <c r="C120" s="4" t="s">
        <v>38</v>
      </c>
      <c r="D120" s="4">
        <v>45</v>
      </c>
      <c r="E120" s="8">
        <v>320000</v>
      </c>
      <c r="F120" s="4" t="s">
        <v>35</v>
      </c>
      <c r="G120" s="4" t="s">
        <v>250</v>
      </c>
      <c r="H120" s="72" t="s">
        <v>245</v>
      </c>
      <c r="I120" s="73">
        <v>7111.1111111111113</v>
      </c>
      <c r="J120" s="72" t="s">
        <v>246</v>
      </c>
    </row>
    <row r="121" spans="2:10" s="7" customFormat="1" x14ac:dyDescent="0.35">
      <c r="B121" s="4" t="s">
        <v>256</v>
      </c>
      <c r="C121" s="4" t="s">
        <v>64</v>
      </c>
      <c r="D121" s="4">
        <v>105</v>
      </c>
      <c r="E121" s="8">
        <v>400000</v>
      </c>
      <c r="F121" s="4" t="s">
        <v>35</v>
      </c>
      <c r="G121" s="4" t="s">
        <v>250</v>
      </c>
      <c r="H121" s="72" t="s">
        <v>245</v>
      </c>
      <c r="I121" s="73">
        <v>3809.5238095238096</v>
      </c>
      <c r="J121" s="72" t="s">
        <v>246</v>
      </c>
    </row>
    <row r="122" spans="2:10" s="7" customFormat="1" x14ac:dyDescent="0.35">
      <c r="B122" s="4" t="s">
        <v>65</v>
      </c>
      <c r="C122" s="4" t="s">
        <v>66</v>
      </c>
      <c r="D122" s="4">
        <v>45</v>
      </c>
      <c r="E122" s="8">
        <v>320000</v>
      </c>
      <c r="F122" s="4" t="s">
        <v>35</v>
      </c>
      <c r="G122" s="4" t="s">
        <v>250</v>
      </c>
      <c r="H122" s="72" t="s">
        <v>245</v>
      </c>
      <c r="I122" s="73">
        <v>7111.1111111111113</v>
      </c>
      <c r="J122" s="72" t="s">
        <v>246</v>
      </c>
    </row>
    <row r="123" spans="2:10" s="7" customFormat="1" x14ac:dyDescent="0.35">
      <c r="B123" s="4" t="s">
        <v>67</v>
      </c>
      <c r="C123" s="4" t="s">
        <v>38</v>
      </c>
      <c r="D123" s="4">
        <v>40</v>
      </c>
      <c r="E123" s="8">
        <v>300000</v>
      </c>
      <c r="F123" s="4" t="s">
        <v>35</v>
      </c>
      <c r="G123" s="4" t="s">
        <v>250</v>
      </c>
      <c r="H123" s="72" t="s">
        <v>245</v>
      </c>
      <c r="I123" s="73">
        <v>7500</v>
      </c>
      <c r="J123" s="72" t="s">
        <v>246</v>
      </c>
    </row>
    <row r="124" spans="2:10" s="7" customFormat="1" x14ac:dyDescent="0.35">
      <c r="B124" s="4" t="s">
        <v>68</v>
      </c>
      <c r="C124" s="4" t="s">
        <v>69</v>
      </c>
      <c r="D124" s="4">
        <v>80</v>
      </c>
      <c r="E124" s="8">
        <v>360000</v>
      </c>
      <c r="F124" s="4" t="s">
        <v>35</v>
      </c>
      <c r="G124" s="4" t="s">
        <v>250</v>
      </c>
      <c r="H124" s="72" t="s">
        <v>245</v>
      </c>
      <c r="I124" s="73">
        <v>4500</v>
      </c>
      <c r="J124" s="72" t="s">
        <v>246</v>
      </c>
    </row>
    <row r="125" spans="2:10" s="7" customFormat="1" x14ac:dyDescent="0.35">
      <c r="B125" s="4" t="s">
        <v>33</v>
      </c>
      <c r="C125" s="4" t="s">
        <v>34</v>
      </c>
      <c r="D125" s="4">
        <v>145</v>
      </c>
      <c r="E125" s="8">
        <v>490000</v>
      </c>
      <c r="F125" s="4" t="s">
        <v>35</v>
      </c>
      <c r="G125" s="4" t="s">
        <v>250</v>
      </c>
      <c r="H125" s="72" t="s">
        <v>245</v>
      </c>
      <c r="I125" s="73">
        <v>3379.3103448275861</v>
      </c>
      <c r="J125" s="72" t="s">
        <v>246</v>
      </c>
    </row>
    <row r="126" spans="2:10" s="7" customFormat="1" x14ac:dyDescent="0.35">
      <c r="B126" s="4" t="s">
        <v>257</v>
      </c>
      <c r="C126" s="4" t="s">
        <v>66</v>
      </c>
      <c r="D126" s="4">
        <v>60</v>
      </c>
      <c r="E126" s="8">
        <v>350000</v>
      </c>
      <c r="F126" s="4" t="s">
        <v>35</v>
      </c>
      <c r="G126" s="4" t="s">
        <v>250</v>
      </c>
      <c r="H126" s="72" t="s">
        <v>245</v>
      </c>
      <c r="I126" s="73">
        <v>5833.333333333333</v>
      </c>
      <c r="J126" s="72" t="s">
        <v>246</v>
      </c>
    </row>
    <row r="127" spans="2:10" s="7" customFormat="1" x14ac:dyDescent="0.35">
      <c r="B127" s="4" t="s">
        <v>71</v>
      </c>
      <c r="C127" s="4" t="s">
        <v>43</v>
      </c>
      <c r="D127" s="4">
        <v>50</v>
      </c>
      <c r="E127" s="8">
        <v>1350000</v>
      </c>
      <c r="F127" s="4" t="s">
        <v>35</v>
      </c>
      <c r="G127" s="4" t="s">
        <v>250</v>
      </c>
      <c r="H127" s="72" t="s">
        <v>245</v>
      </c>
      <c r="I127" s="73">
        <v>27000</v>
      </c>
      <c r="J127" s="72" t="s">
        <v>246</v>
      </c>
    </row>
    <row r="128" spans="2:10" s="7" customFormat="1" x14ac:dyDescent="0.35">
      <c r="B128" s="4" t="s">
        <v>258</v>
      </c>
      <c r="C128" s="4" t="s">
        <v>259</v>
      </c>
      <c r="D128" s="4">
        <v>95</v>
      </c>
      <c r="E128" s="8">
        <v>380000</v>
      </c>
      <c r="F128" s="4" t="s">
        <v>35</v>
      </c>
      <c r="G128" s="4" t="s">
        <v>250</v>
      </c>
      <c r="H128" s="72" t="s">
        <v>245</v>
      </c>
      <c r="I128" s="73">
        <v>4000</v>
      </c>
      <c r="J128" s="72" t="s">
        <v>246</v>
      </c>
    </row>
    <row r="129" spans="2:10" s="7" customFormat="1" x14ac:dyDescent="0.35">
      <c r="B129" s="4" t="s">
        <v>72</v>
      </c>
      <c r="C129" s="4" t="s">
        <v>73</v>
      </c>
      <c r="D129" s="4">
        <v>230</v>
      </c>
      <c r="E129" s="8">
        <v>630000</v>
      </c>
      <c r="F129" s="4" t="s">
        <v>35</v>
      </c>
      <c r="G129" s="4" t="s">
        <v>250</v>
      </c>
      <c r="H129" s="72" t="s">
        <v>245</v>
      </c>
      <c r="I129" s="73">
        <v>2739.1304347826085</v>
      </c>
      <c r="J129" s="72" t="s">
        <v>246</v>
      </c>
    </row>
    <row r="130" spans="2:10" s="7" customFormat="1" x14ac:dyDescent="0.35">
      <c r="B130" s="4" t="s">
        <v>56</v>
      </c>
      <c r="C130" s="4" t="s">
        <v>57</v>
      </c>
      <c r="D130" s="4">
        <v>50</v>
      </c>
      <c r="E130" s="8">
        <v>350000</v>
      </c>
      <c r="F130" s="4" t="s">
        <v>35</v>
      </c>
      <c r="G130" s="4" t="s">
        <v>250</v>
      </c>
      <c r="H130" s="72" t="s">
        <v>245</v>
      </c>
      <c r="I130" s="73">
        <v>7000</v>
      </c>
      <c r="J130" s="72" t="s">
        <v>246</v>
      </c>
    </row>
    <row r="131" spans="2:10" s="7" customFormat="1" x14ac:dyDescent="0.35">
      <c r="B131" s="4" t="s">
        <v>260</v>
      </c>
      <c r="C131" s="4" t="s">
        <v>261</v>
      </c>
      <c r="D131" s="4">
        <v>225</v>
      </c>
      <c r="E131" s="8">
        <v>630000</v>
      </c>
      <c r="F131" s="4" t="s">
        <v>35</v>
      </c>
      <c r="G131" s="4" t="s">
        <v>250</v>
      </c>
      <c r="H131" s="72" t="s">
        <v>245</v>
      </c>
      <c r="I131" s="73">
        <v>2800</v>
      </c>
      <c r="J131" s="72" t="s">
        <v>246</v>
      </c>
    </row>
    <row r="132" spans="2:10" s="7" customFormat="1" x14ac:dyDescent="0.35">
      <c r="B132" s="4" t="s">
        <v>74</v>
      </c>
      <c r="C132" s="4" t="s">
        <v>75</v>
      </c>
      <c r="D132" s="4">
        <v>60</v>
      </c>
      <c r="E132" s="8">
        <v>350000</v>
      </c>
      <c r="F132" s="4" t="s">
        <v>35</v>
      </c>
      <c r="G132" s="4" t="s">
        <v>250</v>
      </c>
      <c r="H132" s="72" t="s">
        <v>245</v>
      </c>
      <c r="I132" s="73">
        <v>5833.333333333333</v>
      </c>
      <c r="J132" s="72" t="s">
        <v>246</v>
      </c>
    </row>
    <row r="133" spans="2:10" s="7" customFormat="1" x14ac:dyDescent="0.35">
      <c r="B133" s="4" t="s">
        <v>76</v>
      </c>
      <c r="C133" s="4" t="s">
        <v>262</v>
      </c>
      <c r="D133" s="4">
        <v>55</v>
      </c>
      <c r="E133" s="8">
        <v>350000</v>
      </c>
      <c r="F133" s="4" t="s">
        <v>35</v>
      </c>
      <c r="G133" s="4" t="s">
        <v>250</v>
      </c>
      <c r="H133" s="72" t="s">
        <v>245</v>
      </c>
      <c r="I133" s="73">
        <v>6363.636363636364</v>
      </c>
      <c r="J133" s="72" t="s">
        <v>246</v>
      </c>
    </row>
    <row r="134" spans="2:10" s="7" customFormat="1" x14ac:dyDescent="0.35">
      <c r="B134" s="4" t="s">
        <v>96</v>
      </c>
      <c r="C134" s="4" t="s">
        <v>255</v>
      </c>
      <c r="D134" s="4">
        <v>60</v>
      </c>
      <c r="E134" s="8">
        <v>350000</v>
      </c>
      <c r="F134" s="4" t="s">
        <v>35</v>
      </c>
      <c r="G134" s="4" t="s">
        <v>250</v>
      </c>
      <c r="H134" s="72" t="s">
        <v>245</v>
      </c>
      <c r="I134" s="73">
        <v>5833.333333333333</v>
      </c>
      <c r="J134" s="72" t="s">
        <v>246</v>
      </c>
    </row>
    <row r="135" spans="2:10" s="7" customFormat="1" x14ac:dyDescent="0.35">
      <c r="B135" s="4" t="s">
        <v>263</v>
      </c>
      <c r="C135" s="4" t="s">
        <v>264</v>
      </c>
      <c r="D135" s="4">
        <v>250</v>
      </c>
      <c r="E135" s="8">
        <v>680000</v>
      </c>
      <c r="F135" s="4" t="s">
        <v>35</v>
      </c>
      <c r="G135" s="4" t="s">
        <v>250</v>
      </c>
      <c r="H135" s="72" t="s">
        <v>245</v>
      </c>
      <c r="I135" s="73">
        <v>2720</v>
      </c>
      <c r="J135" s="72" t="s">
        <v>246</v>
      </c>
    </row>
    <row r="136" spans="2:10" s="7" customFormat="1" x14ac:dyDescent="0.35">
      <c r="B136" s="4" t="s">
        <v>37</v>
      </c>
      <c r="C136" s="4" t="s">
        <v>38</v>
      </c>
      <c r="D136" s="4">
        <v>108</v>
      </c>
      <c r="E136" s="8">
        <v>380000</v>
      </c>
      <c r="F136" s="4" t="s">
        <v>31</v>
      </c>
      <c r="G136" s="4" t="s">
        <v>265</v>
      </c>
      <c r="H136" s="72" t="s">
        <v>245</v>
      </c>
      <c r="I136" s="73">
        <v>3518.5185185185187</v>
      </c>
      <c r="J136" s="72" t="s">
        <v>246</v>
      </c>
    </row>
    <row r="137" spans="2:10" s="7" customFormat="1" x14ac:dyDescent="0.35">
      <c r="B137" s="4" t="s">
        <v>40</v>
      </c>
      <c r="C137" s="4" t="s">
        <v>41</v>
      </c>
      <c r="D137" s="4">
        <v>264</v>
      </c>
      <c r="E137" s="8">
        <v>480000</v>
      </c>
      <c r="F137" s="4" t="s">
        <v>31</v>
      </c>
      <c r="G137" s="4" t="s">
        <v>265</v>
      </c>
      <c r="H137" s="72" t="s">
        <v>245</v>
      </c>
      <c r="I137" s="73">
        <v>1818.1818181818182</v>
      </c>
      <c r="J137" s="72" t="s">
        <v>246</v>
      </c>
    </row>
    <row r="138" spans="2:10" s="7" customFormat="1" x14ac:dyDescent="0.35">
      <c r="B138" s="4" t="s">
        <v>247</v>
      </c>
      <c r="C138" s="4" t="s">
        <v>248</v>
      </c>
      <c r="D138" s="4">
        <v>258</v>
      </c>
      <c r="E138" s="8">
        <v>480000</v>
      </c>
      <c r="F138" s="4" t="s">
        <v>31</v>
      </c>
      <c r="G138" s="4" t="s">
        <v>265</v>
      </c>
      <c r="H138" s="72" t="s">
        <v>245</v>
      </c>
      <c r="I138" s="73">
        <v>1860.4651162790697</v>
      </c>
      <c r="J138" s="72" t="s">
        <v>246</v>
      </c>
    </row>
    <row r="139" spans="2:10" s="7" customFormat="1" x14ac:dyDescent="0.35">
      <c r="B139" s="4" t="s">
        <v>251</v>
      </c>
      <c r="C139" s="4" t="s">
        <v>252</v>
      </c>
      <c r="D139" s="4">
        <v>143</v>
      </c>
      <c r="E139" s="8">
        <v>390000</v>
      </c>
      <c r="F139" s="4" t="s">
        <v>31</v>
      </c>
      <c r="G139" s="4" t="s">
        <v>265</v>
      </c>
      <c r="H139" s="72" t="s">
        <v>245</v>
      </c>
      <c r="I139" s="73">
        <v>2727.2727272727275</v>
      </c>
      <c r="J139" s="72" t="s">
        <v>246</v>
      </c>
    </row>
    <row r="140" spans="2:10" s="7" customFormat="1" x14ac:dyDescent="0.35">
      <c r="B140" s="4" t="s">
        <v>42</v>
      </c>
      <c r="C140" s="4" t="s">
        <v>43</v>
      </c>
      <c r="D140" s="4">
        <v>499</v>
      </c>
      <c r="E140" s="8">
        <v>1200000</v>
      </c>
      <c r="F140" s="4" t="s">
        <v>31</v>
      </c>
      <c r="G140" s="4" t="s">
        <v>265</v>
      </c>
      <c r="H140" s="72" t="s">
        <v>245</v>
      </c>
      <c r="I140" s="73">
        <v>2404.8096192384769</v>
      </c>
      <c r="J140" s="72" t="s">
        <v>246</v>
      </c>
    </row>
    <row r="141" spans="2:10" s="7" customFormat="1" x14ac:dyDescent="0.35">
      <c r="B141" s="4" t="s">
        <v>253</v>
      </c>
      <c r="C141" s="4" t="s">
        <v>70</v>
      </c>
      <c r="D141" s="4">
        <v>113</v>
      </c>
      <c r="E141" s="8">
        <v>380000</v>
      </c>
      <c r="F141" s="4" t="s">
        <v>31</v>
      </c>
      <c r="G141" s="4" t="s">
        <v>265</v>
      </c>
      <c r="H141" s="72" t="s">
        <v>245</v>
      </c>
      <c r="I141" s="73">
        <v>3362.8318584070798</v>
      </c>
      <c r="J141" s="72" t="s">
        <v>246</v>
      </c>
    </row>
    <row r="142" spans="2:10" s="7" customFormat="1" x14ac:dyDescent="0.35">
      <c r="B142" s="4" t="s">
        <v>29</v>
      </c>
      <c r="C142" s="4" t="s">
        <v>30</v>
      </c>
      <c r="D142" s="4">
        <v>240</v>
      </c>
      <c r="E142" s="8">
        <v>380000</v>
      </c>
      <c r="F142" s="4" t="s">
        <v>31</v>
      </c>
      <c r="G142" s="4" t="s">
        <v>265</v>
      </c>
      <c r="H142" s="72" t="s">
        <v>245</v>
      </c>
      <c r="I142" s="73">
        <v>1583.3333333333333</v>
      </c>
      <c r="J142" s="72" t="s">
        <v>246</v>
      </c>
    </row>
    <row r="143" spans="2:10" s="7" customFormat="1" x14ac:dyDescent="0.35">
      <c r="B143" s="4" t="s">
        <v>47</v>
      </c>
      <c r="C143" s="4" t="s">
        <v>48</v>
      </c>
      <c r="D143" s="4">
        <v>124</v>
      </c>
      <c r="E143" s="8">
        <v>390000</v>
      </c>
      <c r="F143" s="4" t="s">
        <v>31</v>
      </c>
      <c r="G143" s="4" t="s">
        <v>265</v>
      </c>
      <c r="H143" s="72" t="s">
        <v>245</v>
      </c>
      <c r="I143" s="73">
        <v>3145.1612903225805</v>
      </c>
      <c r="J143" s="72" t="s">
        <v>246</v>
      </c>
    </row>
    <row r="144" spans="2:10" s="7" customFormat="1" x14ac:dyDescent="0.35">
      <c r="B144" s="4" t="s">
        <v>55</v>
      </c>
      <c r="C144" s="4" t="s">
        <v>41</v>
      </c>
      <c r="D144" s="4">
        <v>260</v>
      </c>
      <c r="E144" s="8">
        <v>480000</v>
      </c>
      <c r="F144" s="4" t="s">
        <v>31</v>
      </c>
      <c r="G144" s="4" t="s">
        <v>265</v>
      </c>
      <c r="H144" s="72" t="s">
        <v>245</v>
      </c>
      <c r="I144" s="73">
        <v>1846.1538461538462</v>
      </c>
      <c r="J144" s="72" t="s">
        <v>246</v>
      </c>
    </row>
    <row r="145" spans="2:10" s="7" customFormat="1" x14ac:dyDescent="0.35">
      <c r="B145" s="4" t="s">
        <v>58</v>
      </c>
      <c r="C145" s="4" t="s">
        <v>59</v>
      </c>
      <c r="D145" s="4">
        <v>98</v>
      </c>
      <c r="E145" s="8">
        <v>380000</v>
      </c>
      <c r="F145" s="4" t="s">
        <v>31</v>
      </c>
      <c r="G145" s="4" t="s">
        <v>265</v>
      </c>
      <c r="H145" s="72" t="s">
        <v>245</v>
      </c>
      <c r="I145" s="73">
        <v>3877.5510204081634</v>
      </c>
      <c r="J145" s="72" t="s">
        <v>246</v>
      </c>
    </row>
    <row r="146" spans="2:10" s="7" customFormat="1" x14ac:dyDescent="0.35">
      <c r="B146" s="4" t="s">
        <v>97</v>
      </c>
      <c r="C146" s="4" t="s">
        <v>255</v>
      </c>
      <c r="D146" s="4">
        <v>125</v>
      </c>
      <c r="E146" s="8">
        <v>400000</v>
      </c>
      <c r="F146" s="4" t="s">
        <v>31</v>
      </c>
      <c r="G146" s="4" t="s">
        <v>265</v>
      </c>
      <c r="H146" s="72" t="s">
        <v>245</v>
      </c>
      <c r="I146" s="73">
        <v>3200</v>
      </c>
      <c r="J146" s="72" t="s">
        <v>246</v>
      </c>
    </row>
    <row r="147" spans="2:10" s="7" customFormat="1" x14ac:dyDescent="0.35">
      <c r="B147" s="4" t="s">
        <v>60</v>
      </c>
      <c r="C147" s="4" t="s">
        <v>61</v>
      </c>
      <c r="D147" s="4">
        <v>128</v>
      </c>
      <c r="E147" s="8">
        <v>420000</v>
      </c>
      <c r="F147" s="4" t="s">
        <v>31</v>
      </c>
      <c r="G147" s="4" t="s">
        <v>265</v>
      </c>
      <c r="H147" s="72" t="s">
        <v>245</v>
      </c>
      <c r="I147" s="73">
        <v>3281.25</v>
      </c>
      <c r="J147" s="72" t="s">
        <v>246</v>
      </c>
    </row>
    <row r="148" spans="2:10" s="7" customFormat="1" x14ac:dyDescent="0.35">
      <c r="B148" s="4" t="s">
        <v>98</v>
      </c>
      <c r="C148" s="4" t="s">
        <v>38</v>
      </c>
      <c r="D148" s="4">
        <v>110</v>
      </c>
      <c r="E148" s="8">
        <v>380000</v>
      </c>
      <c r="F148" s="4" t="s">
        <v>31</v>
      </c>
      <c r="G148" s="4" t="s">
        <v>265</v>
      </c>
      <c r="H148" s="72" t="s">
        <v>245</v>
      </c>
      <c r="I148" s="73">
        <v>3454.5454545454545</v>
      </c>
      <c r="J148" s="72" t="s">
        <v>246</v>
      </c>
    </row>
    <row r="149" spans="2:10" s="7" customFormat="1" x14ac:dyDescent="0.35">
      <c r="B149" s="4" t="s">
        <v>65</v>
      </c>
      <c r="C149" s="4" t="s">
        <v>66</v>
      </c>
      <c r="D149" s="4">
        <v>110</v>
      </c>
      <c r="E149" s="8">
        <v>380000</v>
      </c>
      <c r="F149" s="4" t="s">
        <v>31</v>
      </c>
      <c r="G149" s="4" t="s">
        <v>265</v>
      </c>
      <c r="H149" s="72" t="s">
        <v>245</v>
      </c>
      <c r="I149" s="73">
        <v>3454.5454545454545</v>
      </c>
      <c r="J149" s="72" t="s">
        <v>246</v>
      </c>
    </row>
    <row r="150" spans="2:10" s="7" customFormat="1" x14ac:dyDescent="0.35">
      <c r="B150" s="4" t="s">
        <v>67</v>
      </c>
      <c r="C150" s="4" t="s">
        <v>38</v>
      </c>
      <c r="D150" s="4">
        <v>103</v>
      </c>
      <c r="E150" s="8">
        <v>380000</v>
      </c>
      <c r="F150" s="4" t="s">
        <v>31</v>
      </c>
      <c r="G150" s="4" t="s">
        <v>265</v>
      </c>
      <c r="H150" s="72" t="s">
        <v>245</v>
      </c>
      <c r="I150" s="73">
        <v>3689.3203883495144</v>
      </c>
      <c r="J150" s="72" t="s">
        <v>246</v>
      </c>
    </row>
    <row r="151" spans="2:10" s="7" customFormat="1" x14ac:dyDescent="0.35">
      <c r="B151" s="4" t="s">
        <v>68</v>
      </c>
      <c r="C151" s="4" t="s">
        <v>69</v>
      </c>
      <c r="D151" s="4">
        <v>131</v>
      </c>
      <c r="E151" s="8">
        <v>390000</v>
      </c>
      <c r="F151" s="4" t="s">
        <v>31</v>
      </c>
      <c r="G151" s="4" t="s">
        <v>265</v>
      </c>
      <c r="H151" s="72" t="s">
        <v>245</v>
      </c>
      <c r="I151" s="73">
        <v>2977.0992366412215</v>
      </c>
      <c r="J151" s="72" t="s">
        <v>246</v>
      </c>
    </row>
    <row r="152" spans="2:10" s="7" customFormat="1" x14ac:dyDescent="0.35">
      <c r="B152" s="4" t="s">
        <v>257</v>
      </c>
      <c r="C152" s="4" t="s">
        <v>66</v>
      </c>
      <c r="D152" s="4">
        <v>118</v>
      </c>
      <c r="E152" s="8">
        <v>380000</v>
      </c>
      <c r="F152" s="4" t="s">
        <v>31</v>
      </c>
      <c r="G152" s="4" t="s">
        <v>265</v>
      </c>
      <c r="H152" s="72" t="s">
        <v>245</v>
      </c>
      <c r="I152" s="73">
        <v>3220.3389830508477</v>
      </c>
      <c r="J152" s="72" t="s">
        <v>246</v>
      </c>
    </row>
    <row r="153" spans="2:10" s="7" customFormat="1" x14ac:dyDescent="0.35">
      <c r="B153" s="4" t="s">
        <v>71</v>
      </c>
      <c r="C153" s="4" t="s">
        <v>43</v>
      </c>
      <c r="D153" s="4">
        <v>549</v>
      </c>
      <c r="E153" s="8">
        <v>1000000</v>
      </c>
      <c r="F153" s="4" t="s">
        <v>31</v>
      </c>
      <c r="G153" s="4" t="s">
        <v>265</v>
      </c>
      <c r="H153" s="72" t="s">
        <v>245</v>
      </c>
      <c r="I153" s="73">
        <v>1821.4936247723133</v>
      </c>
      <c r="J153" s="72" t="s">
        <v>246</v>
      </c>
    </row>
    <row r="154" spans="2:10" s="7" customFormat="1" x14ac:dyDescent="0.35">
      <c r="B154" s="4" t="s">
        <v>96</v>
      </c>
      <c r="C154" s="4" t="s">
        <v>255</v>
      </c>
      <c r="D154" s="4">
        <v>122</v>
      </c>
      <c r="E154" s="8">
        <v>390000</v>
      </c>
      <c r="F154" s="4" t="s">
        <v>31</v>
      </c>
      <c r="G154" s="4" t="s">
        <v>265</v>
      </c>
      <c r="H154" s="72" t="s">
        <v>245</v>
      </c>
      <c r="I154" s="73">
        <v>3196.7213114754099</v>
      </c>
      <c r="J154" s="72" t="s">
        <v>246</v>
      </c>
    </row>
    <row r="155" spans="2:10" s="7" customFormat="1" x14ac:dyDescent="0.35">
      <c r="B155" s="4" t="s">
        <v>263</v>
      </c>
      <c r="C155" s="4" t="s">
        <v>264</v>
      </c>
      <c r="D155" s="4">
        <v>297</v>
      </c>
      <c r="E155" s="8">
        <v>480000</v>
      </c>
      <c r="F155" s="4" t="s">
        <v>31</v>
      </c>
      <c r="G155" s="4" t="s">
        <v>265</v>
      </c>
      <c r="H155" s="72" t="s">
        <v>245</v>
      </c>
      <c r="I155" s="73">
        <v>1616.1616161616162</v>
      </c>
      <c r="J155" s="72" t="s">
        <v>246</v>
      </c>
    </row>
    <row r="156" spans="2:10" s="7" customFormat="1" x14ac:dyDescent="0.35">
      <c r="B156" s="4" t="s">
        <v>37</v>
      </c>
      <c r="C156" s="4" t="s">
        <v>38</v>
      </c>
      <c r="D156" s="4">
        <v>134</v>
      </c>
      <c r="E156" s="8">
        <v>390000</v>
      </c>
      <c r="F156" s="4" t="s">
        <v>36</v>
      </c>
      <c r="G156" s="4" t="s">
        <v>265</v>
      </c>
      <c r="H156" s="72" t="s">
        <v>245</v>
      </c>
      <c r="I156" s="73">
        <v>2910.4477611940297</v>
      </c>
      <c r="J156" s="72" t="s">
        <v>246</v>
      </c>
    </row>
    <row r="157" spans="2:10" s="7" customFormat="1" x14ac:dyDescent="0.35">
      <c r="B157" s="4" t="s">
        <v>40</v>
      </c>
      <c r="C157" s="4" t="s">
        <v>41</v>
      </c>
      <c r="D157" s="4">
        <v>123</v>
      </c>
      <c r="E157" s="8">
        <v>420000</v>
      </c>
      <c r="F157" s="4" t="s">
        <v>36</v>
      </c>
      <c r="G157" s="4" t="s">
        <v>265</v>
      </c>
      <c r="H157" s="72" t="s">
        <v>245</v>
      </c>
      <c r="I157" s="73">
        <v>3414.6341463414633</v>
      </c>
      <c r="J157" s="72" t="s">
        <v>246</v>
      </c>
    </row>
    <row r="158" spans="2:10" s="7" customFormat="1" x14ac:dyDescent="0.35">
      <c r="B158" s="4" t="s">
        <v>247</v>
      </c>
      <c r="C158" s="4" t="s">
        <v>248</v>
      </c>
      <c r="D158" s="4">
        <v>118</v>
      </c>
      <c r="E158" s="8">
        <v>420000</v>
      </c>
      <c r="F158" s="4" t="s">
        <v>36</v>
      </c>
      <c r="G158" s="4" t="s">
        <v>265</v>
      </c>
      <c r="H158" s="72" t="s">
        <v>245</v>
      </c>
      <c r="I158" s="73">
        <v>3559.3220338983051</v>
      </c>
      <c r="J158" s="72" t="s">
        <v>246</v>
      </c>
    </row>
    <row r="159" spans="2:10" s="7" customFormat="1" x14ac:dyDescent="0.35">
      <c r="B159" s="4" t="s">
        <v>251</v>
      </c>
      <c r="C159" s="4" t="s">
        <v>252</v>
      </c>
      <c r="D159" s="4">
        <v>103</v>
      </c>
      <c r="E159" s="8">
        <v>400000</v>
      </c>
      <c r="F159" s="4" t="s">
        <v>36</v>
      </c>
      <c r="G159" s="4" t="s">
        <v>265</v>
      </c>
      <c r="H159" s="72" t="s">
        <v>245</v>
      </c>
      <c r="I159" s="73">
        <v>3883.4951456310678</v>
      </c>
      <c r="J159" s="72" t="s">
        <v>246</v>
      </c>
    </row>
    <row r="160" spans="2:10" s="7" customFormat="1" x14ac:dyDescent="0.35">
      <c r="B160" s="4" t="s">
        <v>42</v>
      </c>
      <c r="C160" s="4" t="s">
        <v>43</v>
      </c>
      <c r="D160" s="4">
        <v>358</v>
      </c>
      <c r="E160" s="8">
        <v>1100000</v>
      </c>
      <c r="F160" s="4" t="s">
        <v>36</v>
      </c>
      <c r="G160" s="4" t="s">
        <v>265</v>
      </c>
      <c r="H160" s="72" t="s">
        <v>245</v>
      </c>
      <c r="I160" s="73">
        <v>3072.6256983240223</v>
      </c>
      <c r="J160" s="72" t="s">
        <v>246</v>
      </c>
    </row>
    <row r="161" spans="2:10" s="7" customFormat="1" x14ac:dyDescent="0.35">
      <c r="B161" s="4" t="s">
        <v>253</v>
      </c>
      <c r="C161" s="4" t="s">
        <v>70</v>
      </c>
      <c r="D161" s="4">
        <v>141</v>
      </c>
      <c r="E161" s="8">
        <v>410000</v>
      </c>
      <c r="F161" s="4" t="s">
        <v>36</v>
      </c>
      <c r="G161" s="4" t="s">
        <v>265</v>
      </c>
      <c r="H161" s="72" t="s">
        <v>245</v>
      </c>
      <c r="I161" s="73">
        <v>2907.8014184397161</v>
      </c>
      <c r="J161" s="72" t="s">
        <v>246</v>
      </c>
    </row>
    <row r="162" spans="2:10" s="7" customFormat="1" x14ac:dyDescent="0.35">
      <c r="B162" s="4" t="s">
        <v>29</v>
      </c>
      <c r="C162" s="4" t="s">
        <v>30</v>
      </c>
      <c r="D162" s="4">
        <v>22</v>
      </c>
      <c r="E162" s="8">
        <v>200000</v>
      </c>
      <c r="F162" s="4" t="s">
        <v>36</v>
      </c>
      <c r="G162" s="4" t="s">
        <v>265</v>
      </c>
      <c r="H162" s="72" t="s">
        <v>245</v>
      </c>
      <c r="I162" s="73">
        <v>9090.9090909090901</v>
      </c>
      <c r="J162" s="72" t="s">
        <v>246</v>
      </c>
    </row>
    <row r="163" spans="2:10" s="7" customFormat="1" x14ac:dyDescent="0.35">
      <c r="B163" s="4" t="s">
        <v>47</v>
      </c>
      <c r="C163" s="4" t="s">
        <v>48</v>
      </c>
      <c r="D163" s="4">
        <v>85</v>
      </c>
      <c r="E163" s="8">
        <v>390000</v>
      </c>
      <c r="F163" s="4" t="s">
        <v>36</v>
      </c>
      <c r="G163" s="4" t="s">
        <v>265</v>
      </c>
      <c r="H163" s="72" t="s">
        <v>245</v>
      </c>
      <c r="I163" s="73">
        <v>4588.2352941176468</v>
      </c>
      <c r="J163" s="72" t="s">
        <v>246</v>
      </c>
    </row>
    <row r="164" spans="2:10" s="7" customFormat="1" x14ac:dyDescent="0.35">
      <c r="B164" s="4" t="s">
        <v>55</v>
      </c>
      <c r="C164" s="4" t="s">
        <v>41</v>
      </c>
      <c r="D164" s="4">
        <v>120</v>
      </c>
      <c r="E164" s="8">
        <v>420000</v>
      </c>
      <c r="F164" s="4" t="s">
        <v>36</v>
      </c>
      <c r="G164" s="4" t="s">
        <v>265</v>
      </c>
      <c r="H164" s="72" t="s">
        <v>245</v>
      </c>
      <c r="I164" s="73">
        <v>3500</v>
      </c>
      <c r="J164" s="72" t="s">
        <v>246</v>
      </c>
    </row>
    <row r="165" spans="2:10" s="7" customFormat="1" x14ac:dyDescent="0.35">
      <c r="B165" s="4" t="s">
        <v>58</v>
      </c>
      <c r="C165" s="4" t="s">
        <v>59</v>
      </c>
      <c r="D165" s="4">
        <v>125</v>
      </c>
      <c r="E165" s="8">
        <v>390000</v>
      </c>
      <c r="F165" s="4" t="s">
        <v>36</v>
      </c>
      <c r="G165" s="4" t="s">
        <v>265</v>
      </c>
      <c r="H165" s="72" t="s">
        <v>245</v>
      </c>
      <c r="I165" s="73">
        <v>3120</v>
      </c>
      <c r="J165" s="72" t="s">
        <v>246</v>
      </c>
    </row>
    <row r="166" spans="2:10" s="7" customFormat="1" x14ac:dyDescent="0.35">
      <c r="B166" s="4" t="s">
        <v>97</v>
      </c>
      <c r="C166" s="4" t="s">
        <v>255</v>
      </c>
      <c r="D166" s="4">
        <v>90</v>
      </c>
      <c r="E166" s="8">
        <v>420000</v>
      </c>
      <c r="F166" s="4" t="s">
        <v>36</v>
      </c>
      <c r="G166" s="4" t="s">
        <v>265</v>
      </c>
      <c r="H166" s="72" t="s">
        <v>245</v>
      </c>
      <c r="I166" s="73">
        <v>4666.666666666667</v>
      </c>
      <c r="J166" s="72" t="s">
        <v>246</v>
      </c>
    </row>
    <row r="167" spans="2:10" s="7" customFormat="1" x14ac:dyDescent="0.35">
      <c r="B167" s="4" t="s">
        <v>60</v>
      </c>
      <c r="C167" s="4" t="s">
        <v>61</v>
      </c>
      <c r="D167" s="4">
        <v>80</v>
      </c>
      <c r="E167" s="8">
        <v>420000</v>
      </c>
      <c r="F167" s="4" t="s">
        <v>36</v>
      </c>
      <c r="G167" s="4" t="s">
        <v>265</v>
      </c>
      <c r="H167" s="72" t="s">
        <v>245</v>
      </c>
      <c r="I167" s="73">
        <v>5250</v>
      </c>
      <c r="J167" s="72" t="s">
        <v>246</v>
      </c>
    </row>
    <row r="168" spans="2:10" s="7" customFormat="1" x14ac:dyDescent="0.35">
      <c r="B168" s="4" t="s">
        <v>98</v>
      </c>
      <c r="C168" s="4" t="s">
        <v>38</v>
      </c>
      <c r="D168" s="4">
        <v>133</v>
      </c>
      <c r="E168" s="8">
        <v>390000</v>
      </c>
      <c r="F168" s="4" t="s">
        <v>36</v>
      </c>
      <c r="G168" s="4" t="s">
        <v>265</v>
      </c>
      <c r="H168" s="72" t="s">
        <v>245</v>
      </c>
      <c r="I168" s="73">
        <v>2932.3308270676694</v>
      </c>
      <c r="J168" s="72" t="s">
        <v>246</v>
      </c>
    </row>
    <row r="169" spans="2:10" s="7" customFormat="1" x14ac:dyDescent="0.35">
      <c r="B169" s="4" t="s">
        <v>65</v>
      </c>
      <c r="C169" s="4" t="s">
        <v>66</v>
      </c>
      <c r="D169" s="4">
        <v>140</v>
      </c>
      <c r="E169" s="8">
        <v>390000</v>
      </c>
      <c r="F169" s="4" t="s">
        <v>36</v>
      </c>
      <c r="G169" s="4" t="s">
        <v>265</v>
      </c>
      <c r="H169" s="72" t="s">
        <v>245</v>
      </c>
      <c r="I169" s="73">
        <v>2785.7142857142858</v>
      </c>
      <c r="J169" s="72" t="s">
        <v>246</v>
      </c>
    </row>
    <row r="170" spans="2:10" s="7" customFormat="1" x14ac:dyDescent="0.35">
      <c r="B170" s="4" t="s">
        <v>67</v>
      </c>
      <c r="C170" s="4" t="s">
        <v>38</v>
      </c>
      <c r="D170" s="4">
        <v>130</v>
      </c>
      <c r="E170" s="8">
        <v>390000</v>
      </c>
      <c r="F170" s="4" t="s">
        <v>36</v>
      </c>
      <c r="G170" s="4" t="s">
        <v>265</v>
      </c>
      <c r="H170" s="72" t="s">
        <v>245</v>
      </c>
      <c r="I170" s="73">
        <v>3000</v>
      </c>
      <c r="J170" s="72" t="s">
        <v>246</v>
      </c>
    </row>
    <row r="171" spans="2:10" s="7" customFormat="1" x14ac:dyDescent="0.35">
      <c r="B171" s="4" t="s">
        <v>68</v>
      </c>
      <c r="C171" s="4" t="s">
        <v>69</v>
      </c>
      <c r="D171" s="4">
        <v>90</v>
      </c>
      <c r="E171" s="8">
        <v>400000</v>
      </c>
      <c r="F171" s="4" t="s">
        <v>36</v>
      </c>
      <c r="G171" s="4" t="s">
        <v>265</v>
      </c>
      <c r="H171" s="72" t="s">
        <v>245</v>
      </c>
      <c r="I171" s="73">
        <v>4444.4444444444443</v>
      </c>
      <c r="J171" s="72" t="s">
        <v>246</v>
      </c>
    </row>
    <row r="172" spans="2:10" s="7" customFormat="1" x14ac:dyDescent="0.35">
      <c r="B172" s="4" t="s">
        <v>257</v>
      </c>
      <c r="C172" s="4" t="s">
        <v>66</v>
      </c>
      <c r="D172" s="4">
        <v>144</v>
      </c>
      <c r="E172" s="8">
        <v>390000</v>
      </c>
      <c r="F172" s="4" t="s">
        <v>36</v>
      </c>
      <c r="G172" s="4" t="s">
        <v>265</v>
      </c>
      <c r="H172" s="72" t="s">
        <v>245</v>
      </c>
      <c r="I172" s="73">
        <v>2708.3333333333335</v>
      </c>
      <c r="J172" s="72" t="s">
        <v>246</v>
      </c>
    </row>
    <row r="173" spans="2:10" s="7" customFormat="1" x14ac:dyDescent="0.35">
      <c r="B173" s="4" t="s">
        <v>71</v>
      </c>
      <c r="C173" s="4" t="s">
        <v>43</v>
      </c>
      <c r="D173" s="4">
        <v>408</v>
      </c>
      <c r="E173" s="8">
        <v>1100000</v>
      </c>
      <c r="F173" s="4" t="s">
        <v>36</v>
      </c>
      <c r="G173" s="4" t="s">
        <v>265</v>
      </c>
      <c r="H173" s="72" t="s">
        <v>245</v>
      </c>
      <c r="I173" s="73">
        <v>2696.0784313725489</v>
      </c>
      <c r="J173" s="72" t="s">
        <v>246</v>
      </c>
    </row>
    <row r="174" spans="2:10" s="7" customFormat="1" x14ac:dyDescent="0.35">
      <c r="B174" s="4" t="s">
        <v>96</v>
      </c>
      <c r="C174" s="4" t="s">
        <v>255</v>
      </c>
      <c r="D174" s="4">
        <v>95</v>
      </c>
      <c r="E174" s="8">
        <v>390000</v>
      </c>
      <c r="F174" s="4" t="s">
        <v>36</v>
      </c>
      <c r="G174" s="4" t="s">
        <v>265</v>
      </c>
      <c r="H174" s="72" t="s">
        <v>245</v>
      </c>
      <c r="I174" s="73">
        <v>4105.2631578947367</v>
      </c>
      <c r="J174" s="72" t="s">
        <v>246</v>
      </c>
    </row>
    <row r="175" spans="2:10" s="7" customFormat="1" x14ac:dyDescent="0.35">
      <c r="B175" s="4" t="s">
        <v>263</v>
      </c>
      <c r="C175" s="4" t="s">
        <v>264</v>
      </c>
      <c r="D175" s="4">
        <v>160</v>
      </c>
      <c r="E175" s="8">
        <v>420000</v>
      </c>
      <c r="F175" s="4" t="s">
        <v>36</v>
      </c>
      <c r="G175" s="4" t="s">
        <v>265</v>
      </c>
      <c r="H175" s="72" t="s">
        <v>245</v>
      </c>
      <c r="I175" s="73">
        <v>2625</v>
      </c>
      <c r="J175" s="72" t="s">
        <v>246</v>
      </c>
    </row>
    <row r="176" spans="2:10" s="7" customFormat="1" x14ac:dyDescent="0.35">
      <c r="B176" s="4" t="s">
        <v>37</v>
      </c>
      <c r="C176" s="4" t="s">
        <v>38</v>
      </c>
      <c r="D176" s="4">
        <v>50</v>
      </c>
      <c r="E176" s="8">
        <v>290000</v>
      </c>
      <c r="F176" s="4" t="s">
        <v>35</v>
      </c>
      <c r="G176" s="4" t="s">
        <v>265</v>
      </c>
      <c r="H176" s="72" t="s">
        <v>245</v>
      </c>
      <c r="I176" s="73">
        <v>5800</v>
      </c>
      <c r="J176" s="72" t="s">
        <v>246</v>
      </c>
    </row>
    <row r="177" spans="2:10" s="7" customFormat="1" x14ac:dyDescent="0.35">
      <c r="B177" s="4" t="s">
        <v>40</v>
      </c>
      <c r="C177" s="4" t="s">
        <v>41</v>
      </c>
      <c r="D177" s="4">
        <v>211</v>
      </c>
      <c r="E177" s="8">
        <v>450000</v>
      </c>
      <c r="F177" s="4" t="s">
        <v>35</v>
      </c>
      <c r="G177" s="4" t="s">
        <v>265</v>
      </c>
      <c r="H177" s="72" t="s">
        <v>245</v>
      </c>
      <c r="I177" s="73">
        <v>2132.7014218009481</v>
      </c>
      <c r="J177" s="72" t="s">
        <v>246</v>
      </c>
    </row>
    <row r="178" spans="2:10" s="7" customFormat="1" x14ac:dyDescent="0.35">
      <c r="B178" s="4" t="s">
        <v>247</v>
      </c>
      <c r="C178" s="4" t="s">
        <v>248</v>
      </c>
      <c r="D178" s="4">
        <v>206</v>
      </c>
      <c r="E178" s="8">
        <v>450000</v>
      </c>
      <c r="F178" s="4" t="s">
        <v>35</v>
      </c>
      <c r="G178" s="4" t="s">
        <v>265</v>
      </c>
      <c r="H178" s="72" t="s">
        <v>245</v>
      </c>
      <c r="I178" s="73">
        <v>2184.4660194174758</v>
      </c>
      <c r="J178" s="72" t="s">
        <v>246</v>
      </c>
    </row>
    <row r="179" spans="2:10" s="7" customFormat="1" x14ac:dyDescent="0.35">
      <c r="B179" s="4" t="s">
        <v>251</v>
      </c>
      <c r="C179" s="4" t="s">
        <v>252</v>
      </c>
      <c r="D179" s="4">
        <v>80</v>
      </c>
      <c r="E179" s="8">
        <v>310000</v>
      </c>
      <c r="F179" s="4" t="s">
        <v>35</v>
      </c>
      <c r="G179" s="4" t="s">
        <v>265</v>
      </c>
      <c r="H179" s="72" t="s">
        <v>245</v>
      </c>
      <c r="I179" s="73">
        <v>3875</v>
      </c>
      <c r="J179" s="72" t="s">
        <v>246</v>
      </c>
    </row>
    <row r="180" spans="2:10" s="7" customFormat="1" x14ac:dyDescent="0.35">
      <c r="B180" s="4" t="s">
        <v>42</v>
      </c>
      <c r="C180" s="4" t="s">
        <v>43</v>
      </c>
      <c r="D180" s="4">
        <v>450</v>
      </c>
      <c r="E180" s="8">
        <v>1150000</v>
      </c>
      <c r="F180" s="4" t="s">
        <v>35</v>
      </c>
      <c r="G180" s="4" t="s">
        <v>265</v>
      </c>
      <c r="H180" s="72" t="s">
        <v>245</v>
      </c>
      <c r="I180" s="73">
        <v>2555.5555555555557</v>
      </c>
      <c r="J180" s="72" t="s">
        <v>246</v>
      </c>
    </row>
    <row r="181" spans="2:10" s="7" customFormat="1" x14ac:dyDescent="0.35">
      <c r="B181" s="4" t="s">
        <v>253</v>
      </c>
      <c r="C181" s="4" t="s">
        <v>70</v>
      </c>
      <c r="D181" s="4">
        <v>50</v>
      </c>
      <c r="E181" s="8">
        <v>300000</v>
      </c>
      <c r="F181" s="4" t="s">
        <v>35</v>
      </c>
      <c r="G181" s="4" t="s">
        <v>265</v>
      </c>
      <c r="H181" s="72" t="s">
        <v>245</v>
      </c>
      <c r="I181" s="73">
        <v>6000</v>
      </c>
      <c r="J181" s="72" t="s">
        <v>246</v>
      </c>
    </row>
    <row r="182" spans="2:10" s="7" customFormat="1" x14ac:dyDescent="0.35">
      <c r="B182" s="4" t="s">
        <v>29</v>
      </c>
      <c r="C182" s="4" t="s">
        <v>30</v>
      </c>
      <c r="D182" s="4">
        <v>100</v>
      </c>
      <c r="E182" s="8">
        <v>320000</v>
      </c>
      <c r="F182" s="4" t="s">
        <v>35</v>
      </c>
      <c r="G182" s="4" t="s">
        <v>265</v>
      </c>
      <c r="H182" s="72" t="s">
        <v>245</v>
      </c>
      <c r="I182" s="73">
        <v>3200</v>
      </c>
      <c r="J182" s="72" t="s">
        <v>246</v>
      </c>
    </row>
    <row r="183" spans="2:10" s="7" customFormat="1" x14ac:dyDescent="0.35">
      <c r="B183" s="4" t="s">
        <v>47</v>
      </c>
      <c r="C183" s="4" t="s">
        <v>48</v>
      </c>
      <c r="D183" s="4">
        <v>75</v>
      </c>
      <c r="E183" s="8">
        <v>320000</v>
      </c>
      <c r="F183" s="4" t="s">
        <v>35</v>
      </c>
      <c r="G183" s="4" t="s">
        <v>265</v>
      </c>
      <c r="H183" s="72" t="s">
        <v>245</v>
      </c>
      <c r="I183" s="73">
        <v>4266.666666666667</v>
      </c>
      <c r="J183" s="72" t="s">
        <v>246</v>
      </c>
    </row>
    <row r="184" spans="2:10" s="7" customFormat="1" x14ac:dyDescent="0.35">
      <c r="B184" s="4" t="s">
        <v>55</v>
      </c>
      <c r="C184" s="4" t="s">
        <v>41</v>
      </c>
      <c r="D184" s="4">
        <v>210</v>
      </c>
      <c r="E184" s="8">
        <v>450000</v>
      </c>
      <c r="F184" s="4" t="s">
        <v>35</v>
      </c>
      <c r="G184" s="4" t="s">
        <v>265</v>
      </c>
      <c r="H184" s="72" t="s">
        <v>245</v>
      </c>
      <c r="I184" s="73">
        <v>2142.8571428571427</v>
      </c>
      <c r="J184" s="72" t="s">
        <v>246</v>
      </c>
    </row>
    <row r="185" spans="2:10" s="7" customFormat="1" x14ac:dyDescent="0.35">
      <c r="B185" s="4" t="s">
        <v>58</v>
      </c>
      <c r="C185" s="4" t="s">
        <v>59</v>
      </c>
      <c r="D185" s="4">
        <v>35</v>
      </c>
      <c r="E185" s="8">
        <v>290000</v>
      </c>
      <c r="F185" s="4" t="s">
        <v>35</v>
      </c>
      <c r="G185" s="4" t="s">
        <v>265</v>
      </c>
      <c r="H185" s="72" t="s">
        <v>245</v>
      </c>
      <c r="I185" s="73">
        <v>8285.7142857142862</v>
      </c>
      <c r="J185" s="72" t="s">
        <v>246</v>
      </c>
    </row>
    <row r="186" spans="2:10" s="7" customFormat="1" x14ac:dyDescent="0.35">
      <c r="B186" s="4" t="s">
        <v>97</v>
      </c>
      <c r="C186" s="4" t="s">
        <v>255</v>
      </c>
      <c r="D186" s="4">
        <v>75</v>
      </c>
      <c r="E186" s="8">
        <v>330000</v>
      </c>
      <c r="F186" s="4" t="s">
        <v>35</v>
      </c>
      <c r="G186" s="4" t="s">
        <v>265</v>
      </c>
      <c r="H186" s="72" t="s">
        <v>245</v>
      </c>
      <c r="I186" s="73">
        <v>4400</v>
      </c>
      <c r="J186" s="72" t="s">
        <v>246</v>
      </c>
    </row>
    <row r="187" spans="2:10" s="7" customFormat="1" x14ac:dyDescent="0.35">
      <c r="B187" s="4" t="s">
        <v>60</v>
      </c>
      <c r="C187" s="4" t="s">
        <v>61</v>
      </c>
      <c r="D187" s="4">
        <v>75</v>
      </c>
      <c r="E187" s="8">
        <v>350000</v>
      </c>
      <c r="F187" s="4" t="s">
        <v>35</v>
      </c>
      <c r="G187" s="4" t="s">
        <v>265</v>
      </c>
      <c r="H187" s="72" t="s">
        <v>245</v>
      </c>
      <c r="I187" s="73">
        <v>4666.666666666667</v>
      </c>
      <c r="J187" s="72" t="s">
        <v>246</v>
      </c>
    </row>
    <row r="188" spans="2:10" s="7" customFormat="1" x14ac:dyDescent="0.35">
      <c r="B188" s="4" t="s">
        <v>98</v>
      </c>
      <c r="C188" s="4" t="s">
        <v>38</v>
      </c>
      <c r="D188" s="4">
        <v>45</v>
      </c>
      <c r="E188" s="8">
        <v>290000</v>
      </c>
      <c r="F188" s="4" t="s">
        <v>35</v>
      </c>
      <c r="G188" s="4" t="s">
        <v>265</v>
      </c>
      <c r="H188" s="72" t="s">
        <v>245</v>
      </c>
      <c r="I188" s="73">
        <v>6444.4444444444443</v>
      </c>
      <c r="J188" s="72" t="s">
        <v>246</v>
      </c>
    </row>
    <row r="189" spans="2:10" s="7" customFormat="1" x14ac:dyDescent="0.35">
      <c r="B189" s="4" t="s">
        <v>65</v>
      </c>
      <c r="C189" s="4" t="s">
        <v>66</v>
      </c>
      <c r="D189" s="4">
        <v>45</v>
      </c>
      <c r="E189" s="8">
        <v>290000</v>
      </c>
      <c r="F189" s="4" t="s">
        <v>35</v>
      </c>
      <c r="G189" s="4" t="s">
        <v>265</v>
      </c>
      <c r="H189" s="72" t="s">
        <v>245</v>
      </c>
      <c r="I189" s="73">
        <v>6444.4444444444443</v>
      </c>
      <c r="J189" s="72" t="s">
        <v>246</v>
      </c>
    </row>
    <row r="190" spans="2:10" s="7" customFormat="1" x14ac:dyDescent="0.35">
      <c r="B190" s="4" t="s">
        <v>67</v>
      </c>
      <c r="C190" s="4" t="s">
        <v>38</v>
      </c>
      <c r="D190" s="4">
        <v>40</v>
      </c>
      <c r="E190" s="8">
        <v>290000</v>
      </c>
      <c r="F190" s="4" t="s">
        <v>35</v>
      </c>
      <c r="G190" s="4" t="s">
        <v>265</v>
      </c>
      <c r="H190" s="72" t="s">
        <v>245</v>
      </c>
      <c r="I190" s="73">
        <v>7250</v>
      </c>
      <c r="J190" s="72" t="s">
        <v>246</v>
      </c>
    </row>
    <row r="191" spans="2:10" s="7" customFormat="1" x14ac:dyDescent="0.35">
      <c r="B191" s="4" t="s">
        <v>68</v>
      </c>
      <c r="C191" s="4" t="s">
        <v>69</v>
      </c>
      <c r="D191" s="4">
        <v>80</v>
      </c>
      <c r="E191" s="8">
        <v>310000</v>
      </c>
      <c r="F191" s="4" t="s">
        <v>35</v>
      </c>
      <c r="G191" s="4" t="s">
        <v>265</v>
      </c>
      <c r="H191" s="72" t="s">
        <v>245</v>
      </c>
      <c r="I191" s="73">
        <v>3875</v>
      </c>
      <c r="J191" s="72" t="s">
        <v>246</v>
      </c>
    </row>
    <row r="192" spans="2:10" s="7" customFormat="1" x14ac:dyDescent="0.35">
      <c r="B192" s="4" t="s">
        <v>257</v>
      </c>
      <c r="C192" s="4" t="s">
        <v>66</v>
      </c>
      <c r="D192" s="4">
        <v>60</v>
      </c>
      <c r="E192" s="8">
        <v>290000</v>
      </c>
      <c r="F192" s="4" t="s">
        <v>35</v>
      </c>
      <c r="G192" s="4" t="s">
        <v>265</v>
      </c>
      <c r="H192" s="72" t="s">
        <v>245</v>
      </c>
      <c r="I192" s="73">
        <v>4833.333333333333</v>
      </c>
      <c r="J192" s="72" t="s">
        <v>246</v>
      </c>
    </row>
    <row r="193" spans="2:10" s="7" customFormat="1" x14ac:dyDescent="0.35">
      <c r="B193" s="4" t="s">
        <v>71</v>
      </c>
      <c r="C193" s="4" t="s">
        <v>43</v>
      </c>
      <c r="D193" s="4">
        <v>50</v>
      </c>
      <c r="E193" s="8">
        <v>1150000</v>
      </c>
      <c r="F193" s="4" t="s">
        <v>35</v>
      </c>
      <c r="G193" s="4" t="s">
        <v>265</v>
      </c>
      <c r="H193" s="72" t="s">
        <v>245</v>
      </c>
      <c r="I193" s="73">
        <v>23000</v>
      </c>
      <c r="J193" s="72" t="s">
        <v>246</v>
      </c>
    </row>
    <row r="194" spans="2:10" s="7" customFormat="1" x14ac:dyDescent="0.35">
      <c r="B194" s="4" t="s">
        <v>96</v>
      </c>
      <c r="C194" s="4" t="s">
        <v>255</v>
      </c>
      <c r="D194" s="4">
        <v>60</v>
      </c>
      <c r="E194" s="8">
        <v>320000</v>
      </c>
      <c r="F194" s="4" t="s">
        <v>35</v>
      </c>
      <c r="G194" s="4" t="s">
        <v>265</v>
      </c>
      <c r="H194" s="72" t="s">
        <v>245</v>
      </c>
      <c r="I194" s="73">
        <v>5333.333333333333</v>
      </c>
      <c r="J194" s="72" t="s">
        <v>246</v>
      </c>
    </row>
    <row r="195" spans="2:10" s="7" customFormat="1" x14ac:dyDescent="0.35">
      <c r="B195" s="4" t="s">
        <v>263</v>
      </c>
      <c r="C195" s="4" t="s">
        <v>264</v>
      </c>
      <c r="D195" s="4">
        <v>250</v>
      </c>
      <c r="E195" s="8">
        <v>450000</v>
      </c>
      <c r="F195" s="4" t="s">
        <v>35</v>
      </c>
      <c r="G195" s="4" t="s">
        <v>265</v>
      </c>
      <c r="H195" s="72" t="s">
        <v>245</v>
      </c>
      <c r="I195" s="73">
        <v>1800</v>
      </c>
      <c r="J195" s="72" t="s">
        <v>246</v>
      </c>
    </row>
    <row r="196" spans="2:10" s="7" customFormat="1" x14ac:dyDescent="0.35">
      <c r="B196" s="4" t="s">
        <v>74</v>
      </c>
      <c r="C196" s="4" t="s">
        <v>75</v>
      </c>
      <c r="D196" s="4">
        <v>10</v>
      </c>
      <c r="E196" s="8">
        <v>295034</v>
      </c>
      <c r="F196" s="4" t="s">
        <v>31</v>
      </c>
      <c r="G196" s="4" t="s">
        <v>8</v>
      </c>
      <c r="H196" s="72" t="s">
        <v>245</v>
      </c>
      <c r="I196" s="73">
        <v>29503.4</v>
      </c>
      <c r="J196" s="72" t="s">
        <v>246</v>
      </c>
    </row>
    <row r="197" spans="2:10" s="7" customFormat="1" x14ac:dyDescent="0.35">
      <c r="B197" s="4" t="s">
        <v>74</v>
      </c>
      <c r="C197" s="4" t="s">
        <v>75</v>
      </c>
      <c r="D197" s="4">
        <v>140</v>
      </c>
      <c r="E197" s="8">
        <v>485284</v>
      </c>
      <c r="F197" s="4" t="s">
        <v>36</v>
      </c>
      <c r="G197" s="4" t="s">
        <v>8</v>
      </c>
      <c r="H197" s="72" t="s">
        <v>245</v>
      </c>
      <c r="I197" s="73">
        <v>3466.3142857142857</v>
      </c>
      <c r="J197" s="72" t="s">
        <v>246</v>
      </c>
    </row>
    <row r="198" spans="2:10" s="7" customFormat="1" x14ac:dyDescent="0.35">
      <c r="B198" s="4" t="s">
        <v>74</v>
      </c>
      <c r="C198" s="4" t="s">
        <v>75</v>
      </c>
      <c r="D198" s="4">
        <v>60</v>
      </c>
      <c r="E198" s="8">
        <v>352352</v>
      </c>
      <c r="F198" s="4" t="s">
        <v>35</v>
      </c>
      <c r="G198" s="4" t="s">
        <v>8</v>
      </c>
      <c r="H198" s="72" t="s">
        <v>245</v>
      </c>
      <c r="I198" s="73">
        <v>5872.5333333333338</v>
      </c>
      <c r="J198" s="72" t="s">
        <v>246</v>
      </c>
    </row>
    <row r="199" spans="2:10" s="7" customFormat="1" x14ac:dyDescent="0.35">
      <c r="B199" s="4" t="s">
        <v>37</v>
      </c>
      <c r="C199" s="4" t="s">
        <v>38</v>
      </c>
      <c r="D199" s="4">
        <v>108</v>
      </c>
      <c r="E199" s="8">
        <v>380000</v>
      </c>
      <c r="F199" s="4" t="s">
        <v>31</v>
      </c>
      <c r="G199" s="4" t="s">
        <v>266</v>
      </c>
      <c r="H199" s="72" t="s">
        <v>245</v>
      </c>
      <c r="I199" s="73">
        <v>3518.5185185185187</v>
      </c>
      <c r="J199" s="72" t="s">
        <v>246</v>
      </c>
    </row>
    <row r="200" spans="2:10" s="7" customFormat="1" x14ac:dyDescent="0.35">
      <c r="B200" s="4" t="s">
        <v>40</v>
      </c>
      <c r="C200" s="4" t="s">
        <v>41</v>
      </c>
      <c r="D200" s="4">
        <v>264</v>
      </c>
      <c r="E200" s="8">
        <v>740000</v>
      </c>
      <c r="F200" s="4" t="s">
        <v>31</v>
      </c>
      <c r="G200" s="4" t="s">
        <v>266</v>
      </c>
      <c r="H200" s="72" t="s">
        <v>245</v>
      </c>
      <c r="I200" s="73">
        <v>2803.030303030303</v>
      </c>
      <c r="J200" s="72" t="s">
        <v>246</v>
      </c>
    </row>
    <row r="201" spans="2:10" s="7" customFormat="1" x14ac:dyDescent="0.35">
      <c r="B201" s="4" t="s">
        <v>247</v>
      </c>
      <c r="C201" s="4" t="s">
        <v>248</v>
      </c>
      <c r="D201" s="4">
        <v>258</v>
      </c>
      <c r="E201" s="8">
        <v>740000</v>
      </c>
      <c r="F201" s="4" t="s">
        <v>31</v>
      </c>
      <c r="G201" s="4" t="s">
        <v>266</v>
      </c>
      <c r="H201" s="72" t="s">
        <v>245</v>
      </c>
      <c r="I201" s="73">
        <v>2868.2170542635658</v>
      </c>
      <c r="J201" s="72" t="s">
        <v>246</v>
      </c>
    </row>
    <row r="202" spans="2:10" s="7" customFormat="1" x14ac:dyDescent="0.35">
      <c r="B202" s="4" t="s">
        <v>251</v>
      </c>
      <c r="C202" s="4" t="s">
        <v>252</v>
      </c>
      <c r="D202" s="4">
        <v>143</v>
      </c>
      <c r="E202" s="8">
        <v>450000</v>
      </c>
      <c r="F202" s="4" t="s">
        <v>31</v>
      </c>
      <c r="G202" s="4" t="s">
        <v>266</v>
      </c>
      <c r="H202" s="72" t="s">
        <v>245</v>
      </c>
      <c r="I202" s="73">
        <v>3146.8531468531469</v>
      </c>
      <c r="J202" s="72" t="s">
        <v>246</v>
      </c>
    </row>
    <row r="203" spans="2:10" s="7" customFormat="1" x14ac:dyDescent="0.35">
      <c r="B203" s="4" t="s">
        <v>42</v>
      </c>
      <c r="C203" s="4" t="s">
        <v>43</v>
      </c>
      <c r="D203" s="4">
        <v>499</v>
      </c>
      <c r="E203" s="8">
        <v>1400000</v>
      </c>
      <c r="F203" s="4" t="s">
        <v>31</v>
      </c>
      <c r="G203" s="4" t="s">
        <v>266</v>
      </c>
      <c r="H203" s="72" t="s">
        <v>245</v>
      </c>
      <c r="I203" s="73">
        <v>2805.6112224448898</v>
      </c>
      <c r="J203" s="72" t="s">
        <v>246</v>
      </c>
    </row>
    <row r="204" spans="2:10" s="7" customFormat="1" x14ac:dyDescent="0.35">
      <c r="B204" s="4" t="s">
        <v>253</v>
      </c>
      <c r="C204" s="4" t="s">
        <v>70</v>
      </c>
      <c r="D204" s="4">
        <v>113</v>
      </c>
      <c r="E204" s="8">
        <v>385000</v>
      </c>
      <c r="F204" s="4" t="s">
        <v>31</v>
      </c>
      <c r="G204" s="4" t="s">
        <v>266</v>
      </c>
      <c r="H204" s="72" t="s">
        <v>245</v>
      </c>
      <c r="I204" s="73">
        <v>3407.0796460176989</v>
      </c>
      <c r="J204" s="72" t="s">
        <v>246</v>
      </c>
    </row>
    <row r="205" spans="2:10" s="7" customFormat="1" x14ac:dyDescent="0.35">
      <c r="B205" s="4" t="s">
        <v>249</v>
      </c>
      <c r="C205" s="4" t="s">
        <v>44</v>
      </c>
      <c r="D205" s="4">
        <v>150</v>
      </c>
      <c r="E205" s="8">
        <v>450000</v>
      </c>
      <c r="F205" s="4" t="s">
        <v>31</v>
      </c>
      <c r="G205" s="4" t="s">
        <v>266</v>
      </c>
      <c r="H205" s="72" t="s">
        <v>245</v>
      </c>
      <c r="I205" s="73">
        <v>3000</v>
      </c>
      <c r="J205" s="72" t="s">
        <v>246</v>
      </c>
    </row>
    <row r="206" spans="2:10" s="7" customFormat="1" x14ac:dyDescent="0.35">
      <c r="B206" s="4" t="s">
        <v>29</v>
      </c>
      <c r="C206" s="4" t="s">
        <v>30</v>
      </c>
      <c r="D206" s="4">
        <v>240</v>
      </c>
      <c r="E206" s="8">
        <v>700000</v>
      </c>
      <c r="F206" s="4" t="s">
        <v>31</v>
      </c>
      <c r="G206" s="4" t="s">
        <v>266</v>
      </c>
      <c r="H206" s="72" t="s">
        <v>245</v>
      </c>
      <c r="I206" s="73">
        <v>2916.6666666666665</v>
      </c>
      <c r="J206" s="72" t="s">
        <v>246</v>
      </c>
    </row>
    <row r="207" spans="2:10" s="7" customFormat="1" x14ac:dyDescent="0.35">
      <c r="B207" s="4" t="s">
        <v>45</v>
      </c>
      <c r="C207" s="4" t="s">
        <v>46</v>
      </c>
      <c r="D207" s="4">
        <v>240</v>
      </c>
      <c r="E207" s="8">
        <v>700000</v>
      </c>
      <c r="F207" s="4" t="s">
        <v>31</v>
      </c>
      <c r="G207" s="4" t="s">
        <v>266</v>
      </c>
      <c r="H207" s="72" t="s">
        <v>245</v>
      </c>
      <c r="I207" s="73">
        <v>2916.6666666666665</v>
      </c>
      <c r="J207" s="72" t="s">
        <v>246</v>
      </c>
    </row>
    <row r="208" spans="2:10" s="7" customFormat="1" x14ac:dyDescent="0.35">
      <c r="B208" s="4" t="s">
        <v>47</v>
      </c>
      <c r="C208" s="4" t="s">
        <v>48</v>
      </c>
      <c r="D208" s="4">
        <v>124</v>
      </c>
      <c r="E208" s="8">
        <v>400000</v>
      </c>
      <c r="F208" s="4" t="s">
        <v>31</v>
      </c>
      <c r="G208" s="4" t="s">
        <v>266</v>
      </c>
      <c r="H208" s="72" t="s">
        <v>245</v>
      </c>
      <c r="I208" s="73">
        <v>3225.8064516129034</v>
      </c>
      <c r="J208" s="72" t="s">
        <v>246</v>
      </c>
    </row>
    <row r="209" spans="2:10" s="7" customFormat="1" x14ac:dyDescent="0.35">
      <c r="B209" s="4" t="s">
        <v>49</v>
      </c>
      <c r="C209" s="4" t="s">
        <v>50</v>
      </c>
      <c r="D209" s="4">
        <v>3</v>
      </c>
      <c r="E209" s="8">
        <v>280000</v>
      </c>
      <c r="F209" s="4" t="s">
        <v>31</v>
      </c>
      <c r="G209" s="4" t="s">
        <v>266</v>
      </c>
      <c r="H209" s="72" t="s">
        <v>245</v>
      </c>
      <c r="I209" s="73">
        <v>93333.333333333328</v>
      </c>
      <c r="J209" s="72" t="s">
        <v>246</v>
      </c>
    </row>
    <row r="210" spans="2:10" s="7" customFormat="1" x14ac:dyDescent="0.35">
      <c r="B210" s="4" t="s">
        <v>95</v>
      </c>
      <c r="C210" s="4" t="s">
        <v>254</v>
      </c>
      <c r="D210" s="4">
        <v>208</v>
      </c>
      <c r="E210" s="8">
        <v>650000</v>
      </c>
      <c r="F210" s="4" t="s">
        <v>31</v>
      </c>
      <c r="G210" s="4" t="s">
        <v>266</v>
      </c>
      <c r="H210" s="72" t="s">
        <v>245</v>
      </c>
      <c r="I210" s="73">
        <v>3125</v>
      </c>
      <c r="J210" s="72" t="s">
        <v>246</v>
      </c>
    </row>
    <row r="211" spans="2:10" s="7" customFormat="1" x14ac:dyDescent="0.35">
      <c r="B211" s="4" t="s">
        <v>51</v>
      </c>
      <c r="C211" s="4" t="s">
        <v>50</v>
      </c>
      <c r="D211" s="4">
        <v>3</v>
      </c>
      <c r="E211" s="8">
        <v>280000</v>
      </c>
      <c r="F211" s="4" t="s">
        <v>31</v>
      </c>
      <c r="G211" s="4" t="s">
        <v>266</v>
      </c>
      <c r="H211" s="72" t="s">
        <v>245</v>
      </c>
      <c r="I211" s="73">
        <v>93333.333333333328</v>
      </c>
      <c r="J211" s="72" t="s">
        <v>246</v>
      </c>
    </row>
    <row r="212" spans="2:10" s="7" customFormat="1" x14ac:dyDescent="0.35">
      <c r="B212" s="4" t="s">
        <v>55</v>
      </c>
      <c r="C212" s="4" t="s">
        <v>41</v>
      </c>
      <c r="D212" s="4">
        <v>260</v>
      </c>
      <c r="E212" s="8">
        <v>740000</v>
      </c>
      <c r="F212" s="4" t="s">
        <v>31</v>
      </c>
      <c r="G212" s="4" t="s">
        <v>266</v>
      </c>
      <c r="H212" s="72" t="s">
        <v>245</v>
      </c>
      <c r="I212" s="73">
        <v>2846.1538461538462</v>
      </c>
      <c r="J212" s="72" t="s">
        <v>246</v>
      </c>
    </row>
    <row r="213" spans="2:10" s="7" customFormat="1" x14ac:dyDescent="0.35">
      <c r="B213" s="4" t="s">
        <v>52</v>
      </c>
      <c r="C213" s="4" t="s">
        <v>53</v>
      </c>
      <c r="D213" s="4">
        <v>45</v>
      </c>
      <c r="E213" s="8">
        <v>280000</v>
      </c>
      <c r="F213" s="4" t="s">
        <v>31</v>
      </c>
      <c r="G213" s="4" t="s">
        <v>266</v>
      </c>
      <c r="H213" s="72" t="s">
        <v>245</v>
      </c>
      <c r="I213" s="73">
        <v>6222.2222222222226</v>
      </c>
      <c r="J213" s="72" t="s">
        <v>246</v>
      </c>
    </row>
    <row r="214" spans="2:10" s="7" customFormat="1" x14ac:dyDescent="0.35">
      <c r="B214" s="4" t="s">
        <v>58</v>
      </c>
      <c r="C214" s="4" t="s">
        <v>59</v>
      </c>
      <c r="D214" s="4">
        <v>98</v>
      </c>
      <c r="E214" s="8">
        <v>345000</v>
      </c>
      <c r="F214" s="4" t="s">
        <v>31</v>
      </c>
      <c r="G214" s="4" t="s">
        <v>266</v>
      </c>
      <c r="H214" s="72" t="s">
        <v>245</v>
      </c>
      <c r="I214" s="73">
        <v>3520.408163265306</v>
      </c>
      <c r="J214" s="72" t="s">
        <v>246</v>
      </c>
    </row>
    <row r="215" spans="2:10" s="7" customFormat="1" x14ac:dyDescent="0.35">
      <c r="B215" s="4" t="s">
        <v>97</v>
      </c>
      <c r="C215" s="4" t="s">
        <v>255</v>
      </c>
      <c r="D215" s="4">
        <v>125</v>
      </c>
      <c r="E215" s="8">
        <v>400000</v>
      </c>
      <c r="F215" s="4" t="s">
        <v>31</v>
      </c>
      <c r="G215" s="4" t="s">
        <v>266</v>
      </c>
      <c r="H215" s="72" t="s">
        <v>245</v>
      </c>
      <c r="I215" s="73">
        <v>3200</v>
      </c>
      <c r="J215" s="72" t="s">
        <v>246</v>
      </c>
    </row>
    <row r="216" spans="2:10" s="7" customFormat="1" x14ac:dyDescent="0.35">
      <c r="B216" s="4" t="s">
        <v>60</v>
      </c>
      <c r="C216" s="4" t="s">
        <v>61</v>
      </c>
      <c r="D216" s="4">
        <v>128</v>
      </c>
      <c r="E216" s="8">
        <v>400000</v>
      </c>
      <c r="F216" s="4" t="s">
        <v>31</v>
      </c>
      <c r="G216" s="4" t="s">
        <v>266</v>
      </c>
      <c r="H216" s="72" t="s">
        <v>245</v>
      </c>
      <c r="I216" s="73">
        <v>3125</v>
      </c>
      <c r="J216" s="72" t="s">
        <v>246</v>
      </c>
    </row>
    <row r="217" spans="2:10" s="7" customFormat="1" x14ac:dyDescent="0.35">
      <c r="B217" s="4" t="s">
        <v>62</v>
      </c>
      <c r="C217" s="4" t="s">
        <v>63</v>
      </c>
      <c r="D217" s="4">
        <v>16</v>
      </c>
      <c r="E217" s="8">
        <v>280000</v>
      </c>
      <c r="F217" s="4" t="s">
        <v>31</v>
      </c>
      <c r="G217" s="4" t="s">
        <v>266</v>
      </c>
      <c r="H217" s="72" t="s">
        <v>245</v>
      </c>
      <c r="I217" s="73">
        <v>17500</v>
      </c>
      <c r="J217" s="72" t="s">
        <v>246</v>
      </c>
    </row>
    <row r="218" spans="2:10" s="7" customFormat="1" x14ac:dyDescent="0.35">
      <c r="B218" s="4" t="s">
        <v>98</v>
      </c>
      <c r="C218" s="4" t="s">
        <v>38</v>
      </c>
      <c r="D218" s="4">
        <v>110</v>
      </c>
      <c r="E218" s="8">
        <v>385000</v>
      </c>
      <c r="F218" s="4" t="s">
        <v>31</v>
      </c>
      <c r="G218" s="4" t="s">
        <v>266</v>
      </c>
      <c r="H218" s="72" t="s">
        <v>245</v>
      </c>
      <c r="I218" s="73">
        <v>3500</v>
      </c>
      <c r="J218" s="72" t="s">
        <v>246</v>
      </c>
    </row>
    <row r="219" spans="2:10" s="7" customFormat="1" x14ac:dyDescent="0.35">
      <c r="B219" s="4" t="s">
        <v>256</v>
      </c>
      <c r="C219" s="4" t="s">
        <v>64</v>
      </c>
      <c r="D219" s="4">
        <v>40</v>
      </c>
      <c r="E219" s="8">
        <v>280000</v>
      </c>
      <c r="F219" s="4" t="s">
        <v>31</v>
      </c>
      <c r="G219" s="4" t="s">
        <v>266</v>
      </c>
      <c r="H219" s="72" t="s">
        <v>245</v>
      </c>
      <c r="I219" s="73">
        <v>7000</v>
      </c>
      <c r="J219" s="72" t="s">
        <v>246</v>
      </c>
    </row>
    <row r="220" spans="2:10" s="7" customFormat="1" x14ac:dyDescent="0.35">
      <c r="B220" s="4" t="s">
        <v>65</v>
      </c>
      <c r="C220" s="4" t="s">
        <v>66</v>
      </c>
      <c r="D220" s="4">
        <v>110</v>
      </c>
      <c r="E220" s="8">
        <v>385000</v>
      </c>
      <c r="F220" s="4" t="s">
        <v>31</v>
      </c>
      <c r="G220" s="4" t="s">
        <v>266</v>
      </c>
      <c r="H220" s="72" t="s">
        <v>245</v>
      </c>
      <c r="I220" s="73">
        <v>3500</v>
      </c>
      <c r="J220" s="72" t="s">
        <v>246</v>
      </c>
    </row>
    <row r="221" spans="2:10" s="7" customFormat="1" x14ac:dyDescent="0.35">
      <c r="B221" s="4" t="s">
        <v>67</v>
      </c>
      <c r="C221" s="4" t="s">
        <v>38</v>
      </c>
      <c r="D221" s="4">
        <v>103</v>
      </c>
      <c r="E221" s="8">
        <v>385000</v>
      </c>
      <c r="F221" s="4" t="s">
        <v>31</v>
      </c>
      <c r="G221" s="4" t="s">
        <v>266</v>
      </c>
      <c r="H221" s="72" t="s">
        <v>245</v>
      </c>
      <c r="I221" s="73">
        <v>3737.8640776699031</v>
      </c>
      <c r="J221" s="72" t="s">
        <v>246</v>
      </c>
    </row>
    <row r="222" spans="2:10" s="7" customFormat="1" x14ac:dyDescent="0.35">
      <c r="B222" s="4" t="s">
        <v>68</v>
      </c>
      <c r="C222" s="4" t="s">
        <v>69</v>
      </c>
      <c r="D222" s="4">
        <v>131</v>
      </c>
      <c r="E222" s="8">
        <v>450000</v>
      </c>
      <c r="F222" s="4" t="s">
        <v>31</v>
      </c>
      <c r="G222" s="4" t="s">
        <v>266</v>
      </c>
      <c r="H222" s="72" t="s">
        <v>245</v>
      </c>
      <c r="I222" s="73">
        <v>3435.1145038167938</v>
      </c>
      <c r="J222" s="72" t="s">
        <v>246</v>
      </c>
    </row>
    <row r="223" spans="2:10" s="7" customFormat="1" x14ac:dyDescent="0.35">
      <c r="B223" s="4" t="s">
        <v>33</v>
      </c>
      <c r="C223" s="4" t="s">
        <v>34</v>
      </c>
      <c r="D223" s="4">
        <v>85</v>
      </c>
      <c r="E223" s="8">
        <v>345000</v>
      </c>
      <c r="F223" s="4" t="s">
        <v>31</v>
      </c>
      <c r="G223" s="4" t="s">
        <v>266</v>
      </c>
      <c r="H223" s="72" t="s">
        <v>245</v>
      </c>
      <c r="I223" s="73">
        <v>4058.8235294117649</v>
      </c>
      <c r="J223" s="72" t="s">
        <v>246</v>
      </c>
    </row>
    <row r="224" spans="2:10" s="7" customFormat="1" x14ac:dyDescent="0.35">
      <c r="B224" s="4" t="s">
        <v>257</v>
      </c>
      <c r="C224" s="4" t="s">
        <v>66</v>
      </c>
      <c r="D224" s="4">
        <v>118</v>
      </c>
      <c r="E224" s="8">
        <v>385000</v>
      </c>
      <c r="F224" s="4" t="s">
        <v>31</v>
      </c>
      <c r="G224" s="4" t="s">
        <v>266</v>
      </c>
      <c r="H224" s="72" t="s">
        <v>245</v>
      </c>
      <c r="I224" s="73">
        <v>3262.7118644067796</v>
      </c>
      <c r="J224" s="72" t="s">
        <v>246</v>
      </c>
    </row>
    <row r="225" spans="2:10" s="7" customFormat="1" x14ac:dyDescent="0.35">
      <c r="B225" s="4" t="s">
        <v>71</v>
      </c>
      <c r="C225" s="4" t="s">
        <v>43</v>
      </c>
      <c r="D225" s="4">
        <v>549</v>
      </c>
      <c r="E225" s="8">
        <v>1540000</v>
      </c>
      <c r="F225" s="4" t="s">
        <v>31</v>
      </c>
      <c r="G225" s="4" t="s">
        <v>266</v>
      </c>
      <c r="H225" s="72" t="s">
        <v>245</v>
      </c>
      <c r="I225" s="73">
        <v>2805.1001821493624</v>
      </c>
      <c r="J225" s="72" t="s">
        <v>246</v>
      </c>
    </row>
    <row r="226" spans="2:10" s="7" customFormat="1" x14ac:dyDescent="0.35">
      <c r="B226" s="4" t="s">
        <v>258</v>
      </c>
      <c r="C226" s="4" t="s">
        <v>259</v>
      </c>
      <c r="D226" s="4">
        <v>144</v>
      </c>
      <c r="E226" s="8">
        <v>450000</v>
      </c>
      <c r="F226" s="4" t="s">
        <v>31</v>
      </c>
      <c r="G226" s="4" t="s">
        <v>266</v>
      </c>
      <c r="H226" s="72" t="s">
        <v>245</v>
      </c>
      <c r="I226" s="73">
        <v>3125</v>
      </c>
      <c r="J226" s="72" t="s">
        <v>246</v>
      </c>
    </row>
    <row r="227" spans="2:10" s="7" customFormat="1" x14ac:dyDescent="0.35">
      <c r="B227" s="4" t="s">
        <v>72</v>
      </c>
      <c r="C227" s="4" t="s">
        <v>73</v>
      </c>
      <c r="D227" s="4">
        <v>165</v>
      </c>
      <c r="E227" s="8">
        <v>520000</v>
      </c>
      <c r="F227" s="4" t="s">
        <v>31</v>
      </c>
      <c r="G227" s="4" t="s">
        <v>266</v>
      </c>
      <c r="H227" s="72" t="s">
        <v>245</v>
      </c>
      <c r="I227" s="73">
        <v>3151.5151515151515</v>
      </c>
      <c r="J227" s="72" t="s">
        <v>246</v>
      </c>
    </row>
    <row r="228" spans="2:10" s="7" customFormat="1" x14ac:dyDescent="0.35">
      <c r="B228" s="4" t="s">
        <v>56</v>
      </c>
      <c r="C228" s="4" t="s">
        <v>57</v>
      </c>
      <c r="D228" s="4">
        <v>100</v>
      </c>
      <c r="E228" s="8">
        <v>358000</v>
      </c>
      <c r="F228" s="4" t="s">
        <v>31</v>
      </c>
      <c r="G228" s="4" t="s">
        <v>266</v>
      </c>
      <c r="H228" s="72" t="s">
        <v>245</v>
      </c>
      <c r="I228" s="73">
        <v>3580</v>
      </c>
      <c r="J228" s="72" t="s">
        <v>246</v>
      </c>
    </row>
    <row r="229" spans="2:10" s="7" customFormat="1" x14ac:dyDescent="0.35">
      <c r="B229" s="4" t="s">
        <v>260</v>
      </c>
      <c r="C229" s="4" t="s">
        <v>261</v>
      </c>
      <c r="D229" s="4">
        <v>162</v>
      </c>
      <c r="E229" s="8">
        <v>520000</v>
      </c>
      <c r="F229" s="4" t="s">
        <v>31</v>
      </c>
      <c r="G229" s="4" t="s">
        <v>266</v>
      </c>
      <c r="H229" s="72" t="s">
        <v>245</v>
      </c>
      <c r="I229" s="73">
        <v>3209.8765432098767</v>
      </c>
      <c r="J229" s="72" t="s">
        <v>246</v>
      </c>
    </row>
    <row r="230" spans="2:10" s="7" customFormat="1" x14ac:dyDescent="0.35">
      <c r="B230" s="4" t="s">
        <v>74</v>
      </c>
      <c r="C230" s="4" t="s">
        <v>75</v>
      </c>
      <c r="D230" s="4">
        <v>10</v>
      </c>
      <c r="E230" s="8">
        <v>280000</v>
      </c>
      <c r="F230" s="4" t="s">
        <v>31</v>
      </c>
      <c r="G230" s="4" t="s">
        <v>266</v>
      </c>
      <c r="H230" s="72" t="s">
        <v>245</v>
      </c>
      <c r="I230" s="73">
        <v>28000</v>
      </c>
      <c r="J230" s="72" t="s">
        <v>246</v>
      </c>
    </row>
    <row r="231" spans="2:10" s="7" customFormat="1" x14ac:dyDescent="0.35">
      <c r="B231" s="4" t="s">
        <v>76</v>
      </c>
      <c r="C231" s="4" t="s">
        <v>262</v>
      </c>
      <c r="D231" s="4">
        <v>20</v>
      </c>
      <c r="E231" s="8">
        <v>280000</v>
      </c>
      <c r="F231" s="4" t="s">
        <v>31</v>
      </c>
      <c r="G231" s="4" t="s">
        <v>266</v>
      </c>
      <c r="H231" s="72" t="s">
        <v>245</v>
      </c>
      <c r="I231" s="73">
        <v>14000</v>
      </c>
      <c r="J231" s="72" t="s">
        <v>246</v>
      </c>
    </row>
    <row r="232" spans="2:10" s="7" customFormat="1" x14ac:dyDescent="0.35">
      <c r="B232" s="4" t="s">
        <v>96</v>
      </c>
      <c r="C232" s="4" t="s">
        <v>255</v>
      </c>
      <c r="D232" s="4">
        <v>122</v>
      </c>
      <c r="E232" s="8">
        <v>400000</v>
      </c>
      <c r="F232" s="4" t="s">
        <v>31</v>
      </c>
      <c r="G232" s="4" t="s">
        <v>266</v>
      </c>
      <c r="H232" s="72" t="s">
        <v>245</v>
      </c>
      <c r="I232" s="73">
        <v>3278.688524590164</v>
      </c>
      <c r="J232" s="72" t="s">
        <v>246</v>
      </c>
    </row>
    <row r="233" spans="2:10" s="7" customFormat="1" x14ac:dyDescent="0.35">
      <c r="B233" s="4" t="s">
        <v>263</v>
      </c>
      <c r="C233" s="4" t="s">
        <v>264</v>
      </c>
      <c r="D233" s="4">
        <v>297</v>
      </c>
      <c r="E233" s="8">
        <v>840000</v>
      </c>
      <c r="F233" s="4" t="s">
        <v>31</v>
      </c>
      <c r="G233" s="4" t="s">
        <v>266</v>
      </c>
      <c r="H233" s="72" t="s">
        <v>245</v>
      </c>
      <c r="I233" s="73">
        <v>2828.2828282828282</v>
      </c>
      <c r="J233" s="72" t="s">
        <v>246</v>
      </c>
    </row>
    <row r="234" spans="2:10" s="7" customFormat="1" x14ac:dyDescent="0.35">
      <c r="B234" s="4" t="s">
        <v>37</v>
      </c>
      <c r="C234" s="4" t="s">
        <v>38</v>
      </c>
      <c r="D234" s="4">
        <v>108</v>
      </c>
      <c r="E234" s="8">
        <v>380000</v>
      </c>
      <c r="F234" s="4" t="s">
        <v>36</v>
      </c>
      <c r="G234" s="4" t="s">
        <v>266</v>
      </c>
      <c r="H234" s="72" t="s">
        <v>245</v>
      </c>
      <c r="I234" s="73">
        <v>3518.5185185185187</v>
      </c>
      <c r="J234" s="72" t="s">
        <v>246</v>
      </c>
    </row>
    <row r="235" spans="2:10" s="7" customFormat="1" x14ac:dyDescent="0.35">
      <c r="B235" s="4" t="s">
        <v>40</v>
      </c>
      <c r="C235" s="4" t="s">
        <v>41</v>
      </c>
      <c r="D235" s="4">
        <v>264</v>
      </c>
      <c r="E235" s="8">
        <v>740000</v>
      </c>
      <c r="F235" s="4" t="s">
        <v>36</v>
      </c>
      <c r="G235" s="4" t="s">
        <v>266</v>
      </c>
      <c r="H235" s="72" t="s">
        <v>245</v>
      </c>
      <c r="I235" s="73">
        <v>2803.030303030303</v>
      </c>
      <c r="J235" s="72" t="s">
        <v>246</v>
      </c>
    </row>
    <row r="236" spans="2:10" s="7" customFormat="1" x14ac:dyDescent="0.35">
      <c r="B236" s="4" t="s">
        <v>247</v>
      </c>
      <c r="C236" s="4" t="s">
        <v>248</v>
      </c>
      <c r="D236" s="4">
        <v>258</v>
      </c>
      <c r="E236" s="8">
        <v>740000</v>
      </c>
      <c r="F236" s="4" t="s">
        <v>36</v>
      </c>
      <c r="G236" s="4" t="s">
        <v>266</v>
      </c>
      <c r="H236" s="72" t="s">
        <v>245</v>
      </c>
      <c r="I236" s="73">
        <v>2868.2170542635658</v>
      </c>
      <c r="J236" s="72" t="s">
        <v>246</v>
      </c>
    </row>
    <row r="237" spans="2:10" s="7" customFormat="1" x14ac:dyDescent="0.35">
      <c r="B237" s="4" t="s">
        <v>251</v>
      </c>
      <c r="C237" s="4" t="s">
        <v>252</v>
      </c>
      <c r="D237" s="4">
        <v>143</v>
      </c>
      <c r="E237" s="8">
        <v>450000</v>
      </c>
      <c r="F237" s="4" t="s">
        <v>36</v>
      </c>
      <c r="G237" s="4" t="s">
        <v>266</v>
      </c>
      <c r="H237" s="72" t="s">
        <v>245</v>
      </c>
      <c r="I237" s="73">
        <v>3146.8531468531469</v>
      </c>
      <c r="J237" s="72" t="s">
        <v>246</v>
      </c>
    </row>
    <row r="238" spans="2:10" s="7" customFormat="1" x14ac:dyDescent="0.35">
      <c r="B238" s="4" t="s">
        <v>42</v>
      </c>
      <c r="C238" s="4" t="s">
        <v>43</v>
      </c>
      <c r="D238" s="4">
        <v>499</v>
      </c>
      <c r="E238" s="8">
        <v>1400000</v>
      </c>
      <c r="F238" s="4" t="s">
        <v>36</v>
      </c>
      <c r="G238" s="4" t="s">
        <v>266</v>
      </c>
      <c r="H238" s="72" t="s">
        <v>245</v>
      </c>
      <c r="I238" s="73">
        <v>2805.6112224448898</v>
      </c>
      <c r="J238" s="72" t="s">
        <v>246</v>
      </c>
    </row>
    <row r="239" spans="2:10" s="7" customFormat="1" x14ac:dyDescent="0.35">
      <c r="B239" s="4" t="s">
        <v>253</v>
      </c>
      <c r="C239" s="4" t="s">
        <v>70</v>
      </c>
      <c r="D239" s="4">
        <v>113</v>
      </c>
      <c r="E239" s="8">
        <v>385000</v>
      </c>
      <c r="F239" s="4" t="s">
        <v>36</v>
      </c>
      <c r="G239" s="4" t="s">
        <v>266</v>
      </c>
      <c r="H239" s="72" t="s">
        <v>245</v>
      </c>
      <c r="I239" s="73">
        <v>3407.0796460176989</v>
      </c>
      <c r="J239" s="72" t="s">
        <v>246</v>
      </c>
    </row>
    <row r="240" spans="2:10" s="7" customFormat="1" x14ac:dyDescent="0.35">
      <c r="B240" s="4" t="s">
        <v>249</v>
      </c>
      <c r="C240" s="4" t="s">
        <v>44</v>
      </c>
      <c r="D240" s="4">
        <v>150</v>
      </c>
      <c r="E240" s="8">
        <v>450000</v>
      </c>
      <c r="F240" s="4" t="s">
        <v>36</v>
      </c>
      <c r="G240" s="4" t="s">
        <v>266</v>
      </c>
      <c r="H240" s="72" t="s">
        <v>245</v>
      </c>
      <c r="I240" s="73">
        <v>3000</v>
      </c>
      <c r="J240" s="72" t="s">
        <v>246</v>
      </c>
    </row>
    <row r="241" spans="2:10" s="7" customFormat="1" x14ac:dyDescent="0.35">
      <c r="B241" s="4" t="s">
        <v>29</v>
      </c>
      <c r="C241" s="4" t="s">
        <v>30</v>
      </c>
      <c r="D241" s="4">
        <v>240</v>
      </c>
      <c r="E241" s="8">
        <v>700000</v>
      </c>
      <c r="F241" s="4" t="s">
        <v>36</v>
      </c>
      <c r="G241" s="4" t="s">
        <v>266</v>
      </c>
      <c r="H241" s="72" t="s">
        <v>245</v>
      </c>
      <c r="I241" s="73">
        <v>2916.6666666666665</v>
      </c>
      <c r="J241" s="72" t="s">
        <v>246</v>
      </c>
    </row>
    <row r="242" spans="2:10" s="7" customFormat="1" x14ac:dyDescent="0.35">
      <c r="B242" s="4" t="s">
        <v>45</v>
      </c>
      <c r="C242" s="4" t="s">
        <v>46</v>
      </c>
      <c r="D242" s="4">
        <v>240</v>
      </c>
      <c r="E242" s="8">
        <v>700000</v>
      </c>
      <c r="F242" s="4" t="s">
        <v>36</v>
      </c>
      <c r="G242" s="4" t="s">
        <v>266</v>
      </c>
      <c r="H242" s="72" t="s">
        <v>245</v>
      </c>
      <c r="I242" s="73">
        <v>2916.6666666666665</v>
      </c>
      <c r="J242" s="72" t="s">
        <v>246</v>
      </c>
    </row>
    <row r="243" spans="2:10" s="7" customFormat="1" x14ac:dyDescent="0.35">
      <c r="B243" s="4" t="s">
        <v>47</v>
      </c>
      <c r="C243" s="4" t="s">
        <v>48</v>
      </c>
      <c r="D243" s="4">
        <v>124</v>
      </c>
      <c r="E243" s="8">
        <v>400000</v>
      </c>
      <c r="F243" s="4" t="s">
        <v>36</v>
      </c>
      <c r="G243" s="4" t="s">
        <v>266</v>
      </c>
      <c r="H243" s="72" t="s">
        <v>245</v>
      </c>
      <c r="I243" s="73">
        <v>3225.8064516129034</v>
      </c>
      <c r="J243" s="72" t="s">
        <v>246</v>
      </c>
    </row>
    <row r="244" spans="2:10" s="7" customFormat="1" x14ac:dyDescent="0.35">
      <c r="B244" s="4" t="s">
        <v>49</v>
      </c>
      <c r="C244" s="4" t="s">
        <v>50</v>
      </c>
      <c r="D244" s="4">
        <v>3</v>
      </c>
      <c r="E244" s="8">
        <v>280000</v>
      </c>
      <c r="F244" s="4" t="s">
        <v>36</v>
      </c>
      <c r="G244" s="4" t="s">
        <v>266</v>
      </c>
      <c r="H244" s="72" t="s">
        <v>245</v>
      </c>
      <c r="I244" s="73">
        <v>93333.333333333328</v>
      </c>
      <c r="J244" s="72" t="s">
        <v>246</v>
      </c>
    </row>
    <row r="245" spans="2:10" s="7" customFormat="1" x14ac:dyDescent="0.35">
      <c r="B245" s="4" t="s">
        <v>95</v>
      </c>
      <c r="C245" s="4" t="s">
        <v>254</v>
      </c>
      <c r="D245" s="4">
        <v>208</v>
      </c>
      <c r="E245" s="8">
        <v>650000</v>
      </c>
      <c r="F245" s="4" t="s">
        <v>36</v>
      </c>
      <c r="G245" s="4" t="s">
        <v>266</v>
      </c>
      <c r="H245" s="72" t="s">
        <v>245</v>
      </c>
      <c r="I245" s="73">
        <v>3125</v>
      </c>
      <c r="J245" s="72" t="s">
        <v>246</v>
      </c>
    </row>
    <row r="246" spans="2:10" s="7" customFormat="1" x14ac:dyDescent="0.35">
      <c r="B246" s="4" t="s">
        <v>51</v>
      </c>
      <c r="C246" s="4" t="s">
        <v>50</v>
      </c>
      <c r="D246" s="4">
        <v>3</v>
      </c>
      <c r="E246" s="8">
        <v>280000</v>
      </c>
      <c r="F246" s="4" t="s">
        <v>36</v>
      </c>
      <c r="G246" s="4" t="s">
        <v>266</v>
      </c>
      <c r="H246" s="72" t="s">
        <v>245</v>
      </c>
      <c r="I246" s="73">
        <v>93333.333333333328</v>
      </c>
      <c r="J246" s="72" t="s">
        <v>246</v>
      </c>
    </row>
    <row r="247" spans="2:10" s="7" customFormat="1" x14ac:dyDescent="0.35">
      <c r="B247" s="4" t="s">
        <v>55</v>
      </c>
      <c r="C247" s="4" t="s">
        <v>41</v>
      </c>
      <c r="D247" s="4">
        <v>260</v>
      </c>
      <c r="E247" s="8">
        <v>740000</v>
      </c>
      <c r="F247" s="4" t="s">
        <v>36</v>
      </c>
      <c r="G247" s="4" t="s">
        <v>266</v>
      </c>
      <c r="H247" s="72" t="s">
        <v>245</v>
      </c>
      <c r="I247" s="73">
        <v>2846.1538461538462</v>
      </c>
      <c r="J247" s="72" t="s">
        <v>246</v>
      </c>
    </row>
    <row r="248" spans="2:10" s="7" customFormat="1" x14ac:dyDescent="0.35">
      <c r="B248" s="4" t="s">
        <v>52</v>
      </c>
      <c r="C248" s="4" t="s">
        <v>53</v>
      </c>
      <c r="D248" s="4">
        <v>45</v>
      </c>
      <c r="E248" s="8">
        <v>280000</v>
      </c>
      <c r="F248" s="4" t="s">
        <v>36</v>
      </c>
      <c r="G248" s="4" t="s">
        <v>266</v>
      </c>
      <c r="H248" s="72" t="s">
        <v>245</v>
      </c>
      <c r="I248" s="73">
        <v>6222.2222222222226</v>
      </c>
      <c r="J248" s="72" t="s">
        <v>246</v>
      </c>
    </row>
    <row r="249" spans="2:10" s="7" customFormat="1" x14ac:dyDescent="0.35">
      <c r="B249" s="4" t="s">
        <v>58</v>
      </c>
      <c r="C249" s="4" t="s">
        <v>59</v>
      </c>
      <c r="D249" s="4">
        <v>98</v>
      </c>
      <c r="E249" s="8">
        <v>345000</v>
      </c>
      <c r="F249" s="4" t="s">
        <v>36</v>
      </c>
      <c r="G249" s="4" t="s">
        <v>266</v>
      </c>
      <c r="H249" s="72" t="s">
        <v>245</v>
      </c>
      <c r="I249" s="73">
        <v>3520.408163265306</v>
      </c>
      <c r="J249" s="72" t="s">
        <v>246</v>
      </c>
    </row>
    <row r="250" spans="2:10" s="7" customFormat="1" x14ac:dyDescent="0.35">
      <c r="B250" s="4" t="s">
        <v>97</v>
      </c>
      <c r="C250" s="4" t="s">
        <v>255</v>
      </c>
      <c r="D250" s="4">
        <v>125</v>
      </c>
      <c r="E250" s="8">
        <v>400000</v>
      </c>
      <c r="F250" s="4" t="s">
        <v>36</v>
      </c>
      <c r="G250" s="4" t="s">
        <v>266</v>
      </c>
      <c r="H250" s="72" t="s">
        <v>245</v>
      </c>
      <c r="I250" s="73">
        <v>3200</v>
      </c>
      <c r="J250" s="72" t="s">
        <v>246</v>
      </c>
    </row>
    <row r="251" spans="2:10" s="7" customFormat="1" x14ac:dyDescent="0.35">
      <c r="B251" s="4" t="s">
        <v>60</v>
      </c>
      <c r="C251" s="4" t="s">
        <v>61</v>
      </c>
      <c r="D251" s="4">
        <v>128</v>
      </c>
      <c r="E251" s="8">
        <v>400000</v>
      </c>
      <c r="F251" s="4" t="s">
        <v>36</v>
      </c>
      <c r="G251" s="4" t="s">
        <v>266</v>
      </c>
      <c r="H251" s="72" t="s">
        <v>245</v>
      </c>
      <c r="I251" s="73">
        <v>3125</v>
      </c>
      <c r="J251" s="72" t="s">
        <v>246</v>
      </c>
    </row>
    <row r="252" spans="2:10" s="7" customFormat="1" x14ac:dyDescent="0.35">
      <c r="B252" s="4" t="s">
        <v>62</v>
      </c>
      <c r="C252" s="4" t="s">
        <v>63</v>
      </c>
      <c r="D252" s="4">
        <v>16</v>
      </c>
      <c r="E252" s="8">
        <v>280000</v>
      </c>
      <c r="F252" s="4" t="s">
        <v>36</v>
      </c>
      <c r="G252" s="4" t="s">
        <v>266</v>
      </c>
      <c r="H252" s="72" t="s">
        <v>245</v>
      </c>
      <c r="I252" s="73">
        <v>17500</v>
      </c>
      <c r="J252" s="72" t="s">
        <v>246</v>
      </c>
    </row>
    <row r="253" spans="2:10" s="7" customFormat="1" x14ac:dyDescent="0.35">
      <c r="B253" s="4" t="s">
        <v>98</v>
      </c>
      <c r="C253" s="4" t="s">
        <v>38</v>
      </c>
      <c r="D253" s="4">
        <v>110</v>
      </c>
      <c r="E253" s="8">
        <v>385000</v>
      </c>
      <c r="F253" s="4" t="s">
        <v>36</v>
      </c>
      <c r="G253" s="4" t="s">
        <v>266</v>
      </c>
      <c r="H253" s="72" t="s">
        <v>245</v>
      </c>
      <c r="I253" s="73">
        <v>3500</v>
      </c>
      <c r="J253" s="72" t="s">
        <v>246</v>
      </c>
    </row>
    <row r="254" spans="2:10" s="7" customFormat="1" x14ac:dyDescent="0.35">
      <c r="B254" s="4" t="s">
        <v>256</v>
      </c>
      <c r="C254" s="4" t="s">
        <v>64</v>
      </c>
      <c r="D254" s="4">
        <v>40</v>
      </c>
      <c r="E254" s="8">
        <v>280000</v>
      </c>
      <c r="F254" s="4" t="s">
        <v>36</v>
      </c>
      <c r="G254" s="4" t="s">
        <v>266</v>
      </c>
      <c r="H254" s="72" t="s">
        <v>245</v>
      </c>
      <c r="I254" s="73">
        <v>7000</v>
      </c>
      <c r="J254" s="72" t="s">
        <v>246</v>
      </c>
    </row>
    <row r="255" spans="2:10" s="7" customFormat="1" x14ac:dyDescent="0.35">
      <c r="B255" s="4" t="s">
        <v>65</v>
      </c>
      <c r="C255" s="4" t="s">
        <v>66</v>
      </c>
      <c r="D255" s="4">
        <v>110</v>
      </c>
      <c r="E255" s="8">
        <v>385000</v>
      </c>
      <c r="F255" s="4" t="s">
        <v>36</v>
      </c>
      <c r="G255" s="4" t="s">
        <v>266</v>
      </c>
      <c r="H255" s="72" t="s">
        <v>245</v>
      </c>
      <c r="I255" s="73">
        <v>3500</v>
      </c>
      <c r="J255" s="72" t="s">
        <v>246</v>
      </c>
    </row>
    <row r="256" spans="2:10" s="7" customFormat="1" x14ac:dyDescent="0.35">
      <c r="B256" s="4" t="s">
        <v>67</v>
      </c>
      <c r="C256" s="4" t="s">
        <v>38</v>
      </c>
      <c r="D256" s="4">
        <v>103</v>
      </c>
      <c r="E256" s="8">
        <v>385000</v>
      </c>
      <c r="F256" s="4" t="s">
        <v>36</v>
      </c>
      <c r="G256" s="4" t="s">
        <v>266</v>
      </c>
      <c r="H256" s="72" t="s">
        <v>245</v>
      </c>
      <c r="I256" s="73">
        <v>3737.8640776699031</v>
      </c>
      <c r="J256" s="72" t="s">
        <v>246</v>
      </c>
    </row>
    <row r="257" spans="2:10" s="7" customFormat="1" x14ac:dyDescent="0.35">
      <c r="B257" s="4" t="s">
        <v>68</v>
      </c>
      <c r="C257" s="4" t="s">
        <v>69</v>
      </c>
      <c r="D257" s="4">
        <v>131</v>
      </c>
      <c r="E257" s="8">
        <v>450000</v>
      </c>
      <c r="F257" s="4" t="s">
        <v>36</v>
      </c>
      <c r="G257" s="4" t="s">
        <v>266</v>
      </c>
      <c r="H257" s="72" t="s">
        <v>245</v>
      </c>
      <c r="I257" s="73">
        <v>3435.1145038167938</v>
      </c>
      <c r="J257" s="72" t="s">
        <v>246</v>
      </c>
    </row>
    <row r="258" spans="2:10" s="7" customFormat="1" x14ac:dyDescent="0.35">
      <c r="B258" s="4" t="s">
        <v>33</v>
      </c>
      <c r="C258" s="4" t="s">
        <v>34</v>
      </c>
      <c r="D258" s="4">
        <v>85</v>
      </c>
      <c r="E258" s="8">
        <v>345000</v>
      </c>
      <c r="F258" s="4" t="s">
        <v>36</v>
      </c>
      <c r="G258" s="4" t="s">
        <v>266</v>
      </c>
      <c r="H258" s="72" t="s">
        <v>245</v>
      </c>
      <c r="I258" s="73">
        <v>4058.8235294117649</v>
      </c>
      <c r="J258" s="72" t="s">
        <v>246</v>
      </c>
    </row>
    <row r="259" spans="2:10" s="7" customFormat="1" x14ac:dyDescent="0.35">
      <c r="B259" s="4" t="s">
        <v>257</v>
      </c>
      <c r="C259" s="4" t="s">
        <v>66</v>
      </c>
      <c r="D259" s="4">
        <v>118</v>
      </c>
      <c r="E259" s="8">
        <v>385000</v>
      </c>
      <c r="F259" s="4" t="s">
        <v>36</v>
      </c>
      <c r="G259" s="4" t="s">
        <v>266</v>
      </c>
      <c r="H259" s="72" t="s">
        <v>245</v>
      </c>
      <c r="I259" s="73">
        <v>3262.7118644067796</v>
      </c>
      <c r="J259" s="72" t="s">
        <v>246</v>
      </c>
    </row>
    <row r="260" spans="2:10" s="7" customFormat="1" x14ac:dyDescent="0.35">
      <c r="B260" s="4" t="s">
        <v>71</v>
      </c>
      <c r="C260" s="4" t="s">
        <v>43</v>
      </c>
      <c r="D260" s="4">
        <v>549</v>
      </c>
      <c r="E260" s="8">
        <v>1540000</v>
      </c>
      <c r="F260" s="4" t="s">
        <v>36</v>
      </c>
      <c r="G260" s="4" t="s">
        <v>266</v>
      </c>
      <c r="H260" s="72" t="s">
        <v>245</v>
      </c>
      <c r="I260" s="73">
        <v>2805.1001821493624</v>
      </c>
      <c r="J260" s="72" t="s">
        <v>246</v>
      </c>
    </row>
    <row r="261" spans="2:10" s="7" customFormat="1" x14ac:dyDescent="0.35">
      <c r="B261" s="4" t="s">
        <v>258</v>
      </c>
      <c r="C261" s="4" t="s">
        <v>259</v>
      </c>
      <c r="D261" s="4">
        <v>144</v>
      </c>
      <c r="E261" s="8">
        <v>450000</v>
      </c>
      <c r="F261" s="4" t="s">
        <v>36</v>
      </c>
      <c r="G261" s="4" t="s">
        <v>266</v>
      </c>
      <c r="H261" s="72" t="s">
        <v>245</v>
      </c>
      <c r="I261" s="73">
        <v>3125</v>
      </c>
      <c r="J261" s="72" t="s">
        <v>246</v>
      </c>
    </row>
    <row r="262" spans="2:10" s="7" customFormat="1" x14ac:dyDescent="0.35">
      <c r="B262" s="4" t="s">
        <v>72</v>
      </c>
      <c r="C262" s="4" t="s">
        <v>73</v>
      </c>
      <c r="D262" s="4">
        <v>165</v>
      </c>
      <c r="E262" s="8">
        <v>520000</v>
      </c>
      <c r="F262" s="4" t="s">
        <v>36</v>
      </c>
      <c r="G262" s="4" t="s">
        <v>266</v>
      </c>
      <c r="H262" s="72" t="s">
        <v>245</v>
      </c>
      <c r="I262" s="73">
        <v>3151.5151515151515</v>
      </c>
      <c r="J262" s="72" t="s">
        <v>246</v>
      </c>
    </row>
    <row r="263" spans="2:10" s="7" customFormat="1" x14ac:dyDescent="0.35">
      <c r="B263" s="4" t="s">
        <v>56</v>
      </c>
      <c r="C263" s="4" t="s">
        <v>57</v>
      </c>
      <c r="D263" s="4">
        <v>100</v>
      </c>
      <c r="E263" s="8">
        <v>358000</v>
      </c>
      <c r="F263" s="4" t="s">
        <v>36</v>
      </c>
      <c r="G263" s="4" t="s">
        <v>266</v>
      </c>
      <c r="H263" s="72" t="s">
        <v>245</v>
      </c>
      <c r="I263" s="73">
        <v>3580</v>
      </c>
      <c r="J263" s="72" t="s">
        <v>246</v>
      </c>
    </row>
    <row r="264" spans="2:10" s="7" customFormat="1" x14ac:dyDescent="0.35">
      <c r="B264" s="4" t="s">
        <v>260</v>
      </c>
      <c r="C264" s="4" t="s">
        <v>261</v>
      </c>
      <c r="D264" s="4">
        <v>162</v>
      </c>
      <c r="E264" s="8">
        <v>520000</v>
      </c>
      <c r="F264" s="4" t="s">
        <v>36</v>
      </c>
      <c r="G264" s="4" t="s">
        <v>266</v>
      </c>
      <c r="H264" s="72" t="s">
        <v>245</v>
      </c>
      <c r="I264" s="73">
        <v>3209.8765432098767</v>
      </c>
      <c r="J264" s="72" t="s">
        <v>246</v>
      </c>
    </row>
    <row r="265" spans="2:10" s="7" customFormat="1" x14ac:dyDescent="0.35">
      <c r="B265" s="4" t="s">
        <v>74</v>
      </c>
      <c r="C265" s="4" t="s">
        <v>75</v>
      </c>
      <c r="D265" s="4">
        <v>10</v>
      </c>
      <c r="E265" s="8">
        <v>280000</v>
      </c>
      <c r="F265" s="4" t="s">
        <v>36</v>
      </c>
      <c r="G265" s="4" t="s">
        <v>266</v>
      </c>
      <c r="H265" s="72" t="s">
        <v>245</v>
      </c>
      <c r="I265" s="73">
        <v>28000</v>
      </c>
      <c r="J265" s="72" t="s">
        <v>246</v>
      </c>
    </row>
    <row r="266" spans="2:10" s="7" customFormat="1" x14ac:dyDescent="0.35">
      <c r="B266" s="4" t="s">
        <v>76</v>
      </c>
      <c r="C266" s="4" t="s">
        <v>262</v>
      </c>
      <c r="D266" s="4">
        <v>20</v>
      </c>
      <c r="E266" s="8">
        <v>280000</v>
      </c>
      <c r="F266" s="4" t="s">
        <v>36</v>
      </c>
      <c r="G266" s="4" t="s">
        <v>266</v>
      </c>
      <c r="H266" s="72" t="s">
        <v>245</v>
      </c>
      <c r="I266" s="73">
        <v>14000</v>
      </c>
      <c r="J266" s="72" t="s">
        <v>246</v>
      </c>
    </row>
    <row r="267" spans="2:10" s="7" customFormat="1" x14ac:dyDescent="0.35">
      <c r="B267" s="4" t="s">
        <v>96</v>
      </c>
      <c r="C267" s="4" t="s">
        <v>255</v>
      </c>
      <c r="D267" s="4">
        <v>122</v>
      </c>
      <c r="E267" s="8">
        <v>400000</v>
      </c>
      <c r="F267" s="4" t="s">
        <v>36</v>
      </c>
      <c r="G267" s="4" t="s">
        <v>266</v>
      </c>
      <c r="H267" s="72" t="s">
        <v>245</v>
      </c>
      <c r="I267" s="73">
        <v>3278.688524590164</v>
      </c>
      <c r="J267" s="72" t="s">
        <v>246</v>
      </c>
    </row>
    <row r="268" spans="2:10" s="7" customFormat="1" x14ac:dyDescent="0.35">
      <c r="B268" s="4" t="s">
        <v>263</v>
      </c>
      <c r="C268" s="4" t="s">
        <v>264</v>
      </c>
      <c r="D268" s="4">
        <v>297</v>
      </c>
      <c r="E268" s="8">
        <v>840000</v>
      </c>
      <c r="F268" s="4" t="s">
        <v>36</v>
      </c>
      <c r="G268" s="4" t="s">
        <v>266</v>
      </c>
      <c r="H268" s="72" t="s">
        <v>245</v>
      </c>
      <c r="I268" s="73">
        <v>2828.2828282828282</v>
      </c>
      <c r="J268" s="72" t="s">
        <v>246</v>
      </c>
    </row>
    <row r="269" spans="2:10" s="7" customFormat="1" x14ac:dyDescent="0.35">
      <c r="B269" s="4" t="s">
        <v>37</v>
      </c>
      <c r="C269" s="4" t="s">
        <v>38</v>
      </c>
      <c r="D269" s="4">
        <v>50</v>
      </c>
      <c r="E269" s="8">
        <v>280000</v>
      </c>
      <c r="F269" s="4" t="s">
        <v>35</v>
      </c>
      <c r="G269" s="4" t="s">
        <v>266</v>
      </c>
      <c r="H269" s="72" t="s">
        <v>245</v>
      </c>
      <c r="I269" s="73">
        <v>5600</v>
      </c>
      <c r="J269" s="72" t="s">
        <v>246</v>
      </c>
    </row>
    <row r="270" spans="2:10" s="7" customFormat="1" x14ac:dyDescent="0.35">
      <c r="B270" s="4" t="s">
        <v>40</v>
      </c>
      <c r="C270" s="4" t="s">
        <v>41</v>
      </c>
      <c r="D270" s="4">
        <v>211</v>
      </c>
      <c r="E270" s="8">
        <v>650000</v>
      </c>
      <c r="F270" s="4" t="s">
        <v>35</v>
      </c>
      <c r="G270" s="4" t="s">
        <v>266</v>
      </c>
      <c r="H270" s="72" t="s">
        <v>245</v>
      </c>
      <c r="I270" s="73">
        <v>3080.5687203791467</v>
      </c>
      <c r="J270" s="72" t="s">
        <v>246</v>
      </c>
    </row>
    <row r="271" spans="2:10" s="7" customFormat="1" x14ac:dyDescent="0.35">
      <c r="B271" s="4" t="s">
        <v>247</v>
      </c>
      <c r="C271" s="4" t="s">
        <v>248</v>
      </c>
      <c r="D271" s="4">
        <v>206</v>
      </c>
      <c r="E271" s="8">
        <v>650000</v>
      </c>
      <c r="F271" s="4" t="s">
        <v>35</v>
      </c>
      <c r="G271" s="4" t="s">
        <v>266</v>
      </c>
      <c r="H271" s="72" t="s">
        <v>245</v>
      </c>
      <c r="I271" s="73">
        <v>3155.3398058252428</v>
      </c>
      <c r="J271" s="72" t="s">
        <v>246</v>
      </c>
    </row>
    <row r="272" spans="2:10" s="7" customFormat="1" x14ac:dyDescent="0.35">
      <c r="B272" s="4" t="s">
        <v>251</v>
      </c>
      <c r="C272" s="4" t="s">
        <v>252</v>
      </c>
      <c r="D272" s="4">
        <v>80</v>
      </c>
      <c r="E272" s="8">
        <v>345000</v>
      </c>
      <c r="F272" s="4" t="s">
        <v>35</v>
      </c>
      <c r="G272" s="4" t="s">
        <v>266</v>
      </c>
      <c r="H272" s="72" t="s">
        <v>245</v>
      </c>
      <c r="I272" s="73">
        <v>4312.5</v>
      </c>
      <c r="J272" s="72" t="s">
        <v>246</v>
      </c>
    </row>
    <row r="273" spans="2:10" s="7" customFormat="1" x14ac:dyDescent="0.35">
      <c r="B273" s="4" t="s">
        <v>42</v>
      </c>
      <c r="C273" s="4" t="s">
        <v>43</v>
      </c>
      <c r="D273" s="4">
        <v>450</v>
      </c>
      <c r="E273" s="8">
        <v>1350000</v>
      </c>
      <c r="F273" s="4" t="s">
        <v>35</v>
      </c>
      <c r="G273" s="4" t="s">
        <v>266</v>
      </c>
      <c r="H273" s="72" t="s">
        <v>245</v>
      </c>
      <c r="I273" s="73">
        <v>3000</v>
      </c>
      <c r="J273" s="72" t="s">
        <v>246</v>
      </c>
    </row>
    <row r="274" spans="2:10" s="7" customFormat="1" x14ac:dyDescent="0.35">
      <c r="B274" s="4" t="s">
        <v>253</v>
      </c>
      <c r="C274" s="4" t="s">
        <v>70</v>
      </c>
      <c r="D274" s="4">
        <v>50</v>
      </c>
      <c r="E274" s="8">
        <v>280000</v>
      </c>
      <c r="F274" s="4" t="s">
        <v>35</v>
      </c>
      <c r="G274" s="4" t="s">
        <v>266</v>
      </c>
      <c r="H274" s="72" t="s">
        <v>245</v>
      </c>
      <c r="I274" s="73">
        <v>5600</v>
      </c>
      <c r="J274" s="72" t="s">
        <v>246</v>
      </c>
    </row>
    <row r="275" spans="2:10" s="7" customFormat="1" x14ac:dyDescent="0.35">
      <c r="B275" s="4" t="s">
        <v>249</v>
      </c>
      <c r="C275" s="4" t="s">
        <v>44</v>
      </c>
      <c r="D275" s="4">
        <v>60</v>
      </c>
      <c r="E275" s="8">
        <v>280000</v>
      </c>
      <c r="F275" s="4" t="s">
        <v>35</v>
      </c>
      <c r="G275" s="4" t="s">
        <v>266</v>
      </c>
      <c r="H275" s="72" t="s">
        <v>245</v>
      </c>
      <c r="I275" s="73">
        <v>4666.666666666667</v>
      </c>
      <c r="J275" s="72" t="s">
        <v>246</v>
      </c>
    </row>
    <row r="276" spans="2:10" s="7" customFormat="1" x14ac:dyDescent="0.35">
      <c r="B276" s="4" t="s">
        <v>29</v>
      </c>
      <c r="C276" s="4" t="s">
        <v>30</v>
      </c>
      <c r="D276" s="4">
        <v>100</v>
      </c>
      <c r="E276" s="8">
        <v>385000</v>
      </c>
      <c r="F276" s="4" t="s">
        <v>35</v>
      </c>
      <c r="G276" s="4" t="s">
        <v>266</v>
      </c>
      <c r="H276" s="72" t="s">
        <v>245</v>
      </c>
      <c r="I276" s="73">
        <v>3850</v>
      </c>
      <c r="J276" s="72" t="s">
        <v>246</v>
      </c>
    </row>
    <row r="277" spans="2:10" s="7" customFormat="1" x14ac:dyDescent="0.35">
      <c r="B277" s="4" t="s">
        <v>45</v>
      </c>
      <c r="C277" s="4" t="s">
        <v>46</v>
      </c>
      <c r="D277" s="4">
        <v>190</v>
      </c>
      <c r="E277" s="8">
        <v>590000</v>
      </c>
      <c r="F277" s="4" t="s">
        <v>35</v>
      </c>
      <c r="G277" s="4" t="s">
        <v>266</v>
      </c>
      <c r="H277" s="72" t="s">
        <v>245</v>
      </c>
      <c r="I277" s="73">
        <v>3105.2631578947367</v>
      </c>
      <c r="J277" s="72" t="s">
        <v>246</v>
      </c>
    </row>
    <row r="278" spans="2:10" s="7" customFormat="1" x14ac:dyDescent="0.35">
      <c r="B278" s="4" t="s">
        <v>47</v>
      </c>
      <c r="C278" s="4" t="s">
        <v>48</v>
      </c>
      <c r="D278" s="4">
        <v>75</v>
      </c>
      <c r="E278" s="8">
        <v>345000</v>
      </c>
      <c r="F278" s="4" t="s">
        <v>35</v>
      </c>
      <c r="G278" s="4" t="s">
        <v>266</v>
      </c>
      <c r="H278" s="72" t="s">
        <v>245</v>
      </c>
      <c r="I278" s="73">
        <v>4600</v>
      </c>
      <c r="J278" s="72" t="s">
        <v>246</v>
      </c>
    </row>
    <row r="279" spans="2:10" s="7" customFormat="1" x14ac:dyDescent="0.35">
      <c r="B279" s="4" t="s">
        <v>49</v>
      </c>
      <c r="C279" s="4" t="s">
        <v>50</v>
      </c>
      <c r="D279" s="4">
        <v>70</v>
      </c>
      <c r="E279" s="8">
        <v>345000</v>
      </c>
      <c r="F279" s="4" t="s">
        <v>35</v>
      </c>
      <c r="G279" s="4" t="s">
        <v>266</v>
      </c>
      <c r="H279" s="72" t="s">
        <v>245</v>
      </c>
      <c r="I279" s="73">
        <v>4928.5714285714284</v>
      </c>
      <c r="J279" s="72" t="s">
        <v>246</v>
      </c>
    </row>
    <row r="280" spans="2:10" s="7" customFormat="1" x14ac:dyDescent="0.35">
      <c r="B280" s="4" t="s">
        <v>95</v>
      </c>
      <c r="C280" s="4" t="s">
        <v>254</v>
      </c>
      <c r="D280" s="4">
        <v>160</v>
      </c>
      <c r="E280" s="8">
        <v>520000</v>
      </c>
      <c r="F280" s="4" t="s">
        <v>35</v>
      </c>
      <c r="G280" s="4" t="s">
        <v>266</v>
      </c>
      <c r="H280" s="72" t="s">
        <v>245</v>
      </c>
      <c r="I280" s="73">
        <v>3250</v>
      </c>
      <c r="J280" s="72" t="s">
        <v>246</v>
      </c>
    </row>
    <row r="281" spans="2:10" s="7" customFormat="1" x14ac:dyDescent="0.35">
      <c r="B281" s="4" t="s">
        <v>51</v>
      </c>
      <c r="C281" s="4" t="s">
        <v>50</v>
      </c>
      <c r="D281" s="4">
        <v>70</v>
      </c>
      <c r="E281" s="8">
        <v>345000</v>
      </c>
      <c r="F281" s="4" t="s">
        <v>35</v>
      </c>
      <c r="G281" s="4" t="s">
        <v>266</v>
      </c>
      <c r="H281" s="72" t="s">
        <v>245</v>
      </c>
      <c r="I281" s="73">
        <v>4928.5714285714284</v>
      </c>
      <c r="J281" s="72" t="s">
        <v>246</v>
      </c>
    </row>
    <row r="282" spans="2:10" s="7" customFormat="1" x14ac:dyDescent="0.35">
      <c r="B282" s="4" t="s">
        <v>55</v>
      </c>
      <c r="C282" s="4" t="s">
        <v>41</v>
      </c>
      <c r="D282" s="4">
        <v>210</v>
      </c>
      <c r="E282" s="8">
        <v>650000</v>
      </c>
      <c r="F282" s="4" t="s">
        <v>35</v>
      </c>
      <c r="G282" s="4" t="s">
        <v>266</v>
      </c>
      <c r="H282" s="72" t="s">
        <v>245</v>
      </c>
      <c r="I282" s="73">
        <v>3095.2380952380954</v>
      </c>
      <c r="J282" s="72" t="s">
        <v>246</v>
      </c>
    </row>
    <row r="283" spans="2:10" s="7" customFormat="1" x14ac:dyDescent="0.35">
      <c r="B283" s="4" t="s">
        <v>52</v>
      </c>
      <c r="C283" s="4" t="s">
        <v>53</v>
      </c>
      <c r="D283" s="4">
        <v>25</v>
      </c>
      <c r="E283" s="8">
        <v>280000</v>
      </c>
      <c r="F283" s="4" t="s">
        <v>35</v>
      </c>
      <c r="G283" s="4" t="s">
        <v>266</v>
      </c>
      <c r="H283" s="72" t="s">
        <v>245</v>
      </c>
      <c r="I283" s="73">
        <v>11200</v>
      </c>
      <c r="J283" s="72" t="s">
        <v>246</v>
      </c>
    </row>
    <row r="284" spans="2:10" s="7" customFormat="1" x14ac:dyDescent="0.35">
      <c r="B284" s="4" t="s">
        <v>58</v>
      </c>
      <c r="C284" s="4" t="s">
        <v>59</v>
      </c>
      <c r="D284" s="4">
        <v>35</v>
      </c>
      <c r="E284" s="8">
        <v>280000</v>
      </c>
      <c r="F284" s="4" t="s">
        <v>35</v>
      </c>
      <c r="G284" s="4" t="s">
        <v>266</v>
      </c>
      <c r="H284" s="72" t="s">
        <v>245</v>
      </c>
      <c r="I284" s="73">
        <v>8000</v>
      </c>
      <c r="J284" s="72" t="s">
        <v>246</v>
      </c>
    </row>
    <row r="285" spans="2:10" s="7" customFormat="1" x14ac:dyDescent="0.35">
      <c r="B285" s="4" t="s">
        <v>97</v>
      </c>
      <c r="C285" s="4" t="s">
        <v>255</v>
      </c>
      <c r="D285" s="4">
        <v>75</v>
      </c>
      <c r="E285" s="8">
        <v>345000</v>
      </c>
      <c r="F285" s="4" t="s">
        <v>35</v>
      </c>
      <c r="G285" s="4" t="s">
        <v>266</v>
      </c>
      <c r="H285" s="72" t="s">
        <v>245</v>
      </c>
      <c r="I285" s="73">
        <v>4600</v>
      </c>
      <c r="J285" s="72" t="s">
        <v>246</v>
      </c>
    </row>
    <row r="286" spans="2:10" s="7" customFormat="1" x14ac:dyDescent="0.35">
      <c r="B286" s="4" t="s">
        <v>60</v>
      </c>
      <c r="C286" s="4" t="s">
        <v>61</v>
      </c>
      <c r="D286" s="4">
        <v>75</v>
      </c>
      <c r="E286" s="8">
        <v>345000</v>
      </c>
      <c r="F286" s="4" t="s">
        <v>35</v>
      </c>
      <c r="G286" s="4" t="s">
        <v>266</v>
      </c>
      <c r="H286" s="72" t="s">
        <v>245</v>
      </c>
      <c r="I286" s="73">
        <v>4600</v>
      </c>
      <c r="J286" s="72" t="s">
        <v>246</v>
      </c>
    </row>
    <row r="287" spans="2:10" s="7" customFormat="1" x14ac:dyDescent="0.35">
      <c r="B287" s="4" t="s">
        <v>62</v>
      </c>
      <c r="C287" s="4" t="s">
        <v>63</v>
      </c>
      <c r="D287" s="4">
        <v>55</v>
      </c>
      <c r="E287" s="8">
        <v>280000</v>
      </c>
      <c r="F287" s="4" t="s">
        <v>35</v>
      </c>
      <c r="G287" s="4" t="s">
        <v>266</v>
      </c>
      <c r="H287" s="72" t="s">
        <v>245</v>
      </c>
      <c r="I287" s="73">
        <v>5090.909090909091</v>
      </c>
      <c r="J287" s="72" t="s">
        <v>246</v>
      </c>
    </row>
    <row r="288" spans="2:10" s="7" customFormat="1" x14ac:dyDescent="0.35">
      <c r="B288" s="4" t="s">
        <v>98</v>
      </c>
      <c r="C288" s="4" t="s">
        <v>38</v>
      </c>
      <c r="D288" s="4">
        <v>45</v>
      </c>
      <c r="E288" s="8">
        <v>280000</v>
      </c>
      <c r="F288" s="4" t="s">
        <v>35</v>
      </c>
      <c r="G288" s="4" t="s">
        <v>266</v>
      </c>
      <c r="H288" s="72" t="s">
        <v>245</v>
      </c>
      <c r="I288" s="73">
        <v>6222.2222222222226</v>
      </c>
      <c r="J288" s="72" t="s">
        <v>246</v>
      </c>
    </row>
    <row r="289" spans="2:10" s="7" customFormat="1" x14ac:dyDescent="0.35">
      <c r="B289" s="4" t="s">
        <v>256</v>
      </c>
      <c r="C289" s="4" t="s">
        <v>64</v>
      </c>
      <c r="D289" s="4">
        <v>105</v>
      </c>
      <c r="E289" s="8">
        <v>385000</v>
      </c>
      <c r="F289" s="4" t="s">
        <v>35</v>
      </c>
      <c r="G289" s="4" t="s">
        <v>266</v>
      </c>
      <c r="H289" s="72" t="s">
        <v>245</v>
      </c>
      <c r="I289" s="73">
        <v>3666.6666666666665</v>
      </c>
      <c r="J289" s="72" t="s">
        <v>246</v>
      </c>
    </row>
    <row r="290" spans="2:10" s="7" customFormat="1" x14ac:dyDescent="0.35">
      <c r="B290" s="4" t="s">
        <v>65</v>
      </c>
      <c r="C290" s="4" t="s">
        <v>66</v>
      </c>
      <c r="D290" s="4">
        <v>45</v>
      </c>
      <c r="E290" s="8">
        <v>280000</v>
      </c>
      <c r="F290" s="4" t="s">
        <v>35</v>
      </c>
      <c r="G290" s="4" t="s">
        <v>266</v>
      </c>
      <c r="H290" s="72" t="s">
        <v>245</v>
      </c>
      <c r="I290" s="73">
        <v>6222.2222222222226</v>
      </c>
      <c r="J290" s="72" t="s">
        <v>246</v>
      </c>
    </row>
    <row r="291" spans="2:10" s="7" customFormat="1" x14ac:dyDescent="0.35">
      <c r="B291" s="4" t="s">
        <v>67</v>
      </c>
      <c r="C291" s="4" t="s">
        <v>38</v>
      </c>
      <c r="D291" s="4">
        <v>40</v>
      </c>
      <c r="E291" s="8">
        <v>280000</v>
      </c>
      <c r="F291" s="4" t="s">
        <v>35</v>
      </c>
      <c r="G291" s="4" t="s">
        <v>266</v>
      </c>
      <c r="H291" s="72" t="s">
        <v>245</v>
      </c>
      <c r="I291" s="73">
        <v>7000</v>
      </c>
      <c r="J291" s="72" t="s">
        <v>246</v>
      </c>
    </row>
    <row r="292" spans="2:10" s="7" customFormat="1" x14ac:dyDescent="0.35">
      <c r="B292" s="4" t="s">
        <v>68</v>
      </c>
      <c r="C292" s="4" t="s">
        <v>69</v>
      </c>
      <c r="D292" s="4">
        <v>80</v>
      </c>
      <c r="E292" s="8">
        <v>345000</v>
      </c>
      <c r="F292" s="4" t="s">
        <v>35</v>
      </c>
      <c r="G292" s="4" t="s">
        <v>266</v>
      </c>
      <c r="H292" s="72" t="s">
        <v>245</v>
      </c>
      <c r="I292" s="73">
        <v>4312.5</v>
      </c>
      <c r="J292" s="72" t="s">
        <v>246</v>
      </c>
    </row>
    <row r="293" spans="2:10" s="7" customFormat="1" x14ac:dyDescent="0.35">
      <c r="B293" s="4" t="s">
        <v>33</v>
      </c>
      <c r="C293" s="4" t="s">
        <v>34</v>
      </c>
      <c r="D293" s="4">
        <v>145</v>
      </c>
      <c r="E293" s="8">
        <v>450000</v>
      </c>
      <c r="F293" s="4" t="s">
        <v>35</v>
      </c>
      <c r="G293" s="4" t="s">
        <v>266</v>
      </c>
      <c r="H293" s="72" t="s">
        <v>245</v>
      </c>
      <c r="I293" s="73">
        <v>3103.4482758620688</v>
      </c>
      <c r="J293" s="72" t="s">
        <v>246</v>
      </c>
    </row>
    <row r="294" spans="2:10" s="7" customFormat="1" x14ac:dyDescent="0.35">
      <c r="B294" s="4" t="s">
        <v>257</v>
      </c>
      <c r="C294" s="4" t="s">
        <v>66</v>
      </c>
      <c r="D294" s="4">
        <v>60</v>
      </c>
      <c r="E294" s="8">
        <v>280000</v>
      </c>
      <c r="F294" s="4" t="s">
        <v>35</v>
      </c>
      <c r="G294" s="4" t="s">
        <v>266</v>
      </c>
      <c r="H294" s="72" t="s">
        <v>245</v>
      </c>
      <c r="I294" s="73">
        <v>4666.666666666667</v>
      </c>
      <c r="J294" s="72" t="s">
        <v>246</v>
      </c>
    </row>
    <row r="295" spans="2:10" s="7" customFormat="1" x14ac:dyDescent="0.35">
      <c r="B295" s="4" t="s">
        <v>71</v>
      </c>
      <c r="C295" s="4" t="s">
        <v>43</v>
      </c>
      <c r="D295" s="4">
        <v>50</v>
      </c>
      <c r="E295" s="8">
        <v>1450000</v>
      </c>
      <c r="F295" s="4" t="s">
        <v>35</v>
      </c>
      <c r="G295" s="4" t="s">
        <v>266</v>
      </c>
      <c r="H295" s="72" t="s">
        <v>245</v>
      </c>
      <c r="I295" s="73">
        <v>29000</v>
      </c>
      <c r="J295" s="72" t="s">
        <v>246</v>
      </c>
    </row>
    <row r="296" spans="2:10" s="7" customFormat="1" x14ac:dyDescent="0.35">
      <c r="B296" s="4" t="s">
        <v>258</v>
      </c>
      <c r="C296" s="4" t="s">
        <v>259</v>
      </c>
      <c r="D296" s="4">
        <v>95</v>
      </c>
      <c r="E296" s="8">
        <v>345000</v>
      </c>
      <c r="F296" s="4" t="s">
        <v>35</v>
      </c>
      <c r="G296" s="4" t="s">
        <v>266</v>
      </c>
      <c r="H296" s="72" t="s">
        <v>245</v>
      </c>
      <c r="I296" s="73">
        <v>3631.5789473684213</v>
      </c>
      <c r="J296" s="72" t="s">
        <v>246</v>
      </c>
    </row>
    <row r="297" spans="2:10" s="7" customFormat="1" x14ac:dyDescent="0.35">
      <c r="B297" s="4" t="s">
        <v>72</v>
      </c>
      <c r="C297" s="4" t="s">
        <v>73</v>
      </c>
      <c r="D297" s="4">
        <v>230</v>
      </c>
      <c r="E297" s="8">
        <v>620000</v>
      </c>
      <c r="F297" s="4" t="s">
        <v>35</v>
      </c>
      <c r="G297" s="4" t="s">
        <v>266</v>
      </c>
      <c r="H297" s="72" t="s">
        <v>245</v>
      </c>
      <c r="I297" s="73">
        <v>2695.6521739130435</v>
      </c>
      <c r="J297" s="72" t="s">
        <v>246</v>
      </c>
    </row>
    <row r="298" spans="2:10" s="7" customFormat="1" x14ac:dyDescent="0.35">
      <c r="B298" s="4" t="s">
        <v>56</v>
      </c>
      <c r="C298" s="4" t="s">
        <v>57</v>
      </c>
      <c r="D298" s="4">
        <v>50</v>
      </c>
      <c r="E298" s="8">
        <v>280000</v>
      </c>
      <c r="F298" s="4" t="s">
        <v>35</v>
      </c>
      <c r="G298" s="4" t="s">
        <v>266</v>
      </c>
      <c r="H298" s="72" t="s">
        <v>245</v>
      </c>
      <c r="I298" s="73">
        <v>5600</v>
      </c>
      <c r="J298" s="72" t="s">
        <v>246</v>
      </c>
    </row>
    <row r="299" spans="2:10" s="7" customFormat="1" x14ac:dyDescent="0.35">
      <c r="B299" s="4" t="s">
        <v>260</v>
      </c>
      <c r="C299" s="4" t="s">
        <v>261</v>
      </c>
      <c r="D299" s="4">
        <v>225</v>
      </c>
      <c r="E299" s="8">
        <v>620000</v>
      </c>
      <c r="F299" s="4" t="s">
        <v>35</v>
      </c>
      <c r="G299" s="4" t="s">
        <v>266</v>
      </c>
      <c r="H299" s="72" t="s">
        <v>245</v>
      </c>
      <c r="I299" s="73">
        <v>2755.5555555555557</v>
      </c>
      <c r="J299" s="72" t="s">
        <v>246</v>
      </c>
    </row>
    <row r="300" spans="2:10" s="7" customFormat="1" x14ac:dyDescent="0.35">
      <c r="B300" s="4" t="s">
        <v>74</v>
      </c>
      <c r="C300" s="4" t="s">
        <v>75</v>
      </c>
      <c r="D300" s="4">
        <v>60</v>
      </c>
      <c r="E300" s="8">
        <v>280000</v>
      </c>
      <c r="F300" s="4" t="s">
        <v>35</v>
      </c>
      <c r="G300" s="4" t="s">
        <v>266</v>
      </c>
      <c r="H300" s="72" t="s">
        <v>245</v>
      </c>
      <c r="I300" s="73">
        <v>4666.666666666667</v>
      </c>
      <c r="J300" s="72" t="s">
        <v>246</v>
      </c>
    </row>
    <row r="301" spans="2:10" s="7" customFormat="1" x14ac:dyDescent="0.35">
      <c r="B301" s="4" t="s">
        <v>76</v>
      </c>
      <c r="C301" s="4" t="s">
        <v>262</v>
      </c>
      <c r="D301" s="4">
        <v>55</v>
      </c>
      <c r="E301" s="8">
        <v>280000</v>
      </c>
      <c r="F301" s="4" t="s">
        <v>35</v>
      </c>
      <c r="G301" s="4" t="s">
        <v>266</v>
      </c>
      <c r="H301" s="72" t="s">
        <v>245</v>
      </c>
      <c r="I301" s="73">
        <v>5090.909090909091</v>
      </c>
      <c r="J301" s="72" t="s">
        <v>246</v>
      </c>
    </row>
    <row r="302" spans="2:10" s="7" customFormat="1" x14ac:dyDescent="0.35">
      <c r="B302" s="4" t="s">
        <v>96</v>
      </c>
      <c r="C302" s="4" t="s">
        <v>255</v>
      </c>
      <c r="D302" s="4">
        <v>60</v>
      </c>
      <c r="E302" s="8">
        <v>280000</v>
      </c>
      <c r="F302" s="4" t="s">
        <v>35</v>
      </c>
      <c r="G302" s="4" t="s">
        <v>266</v>
      </c>
      <c r="H302" s="72" t="s">
        <v>245</v>
      </c>
      <c r="I302" s="73">
        <v>4666.666666666667</v>
      </c>
      <c r="J302" s="72" t="s">
        <v>246</v>
      </c>
    </row>
    <row r="303" spans="2:10" s="7" customFormat="1" x14ac:dyDescent="0.35">
      <c r="B303" s="4" t="s">
        <v>263</v>
      </c>
      <c r="C303" s="4" t="s">
        <v>264</v>
      </c>
      <c r="D303" s="4">
        <v>250</v>
      </c>
      <c r="E303" s="8">
        <v>740000</v>
      </c>
      <c r="F303" s="4" t="s">
        <v>35</v>
      </c>
      <c r="G303" s="4" t="s">
        <v>266</v>
      </c>
      <c r="H303" s="72" t="s">
        <v>245</v>
      </c>
      <c r="I303" s="73">
        <v>2960</v>
      </c>
      <c r="J303" s="72" t="s">
        <v>246</v>
      </c>
    </row>
    <row r="304" spans="2:10" s="7" customFormat="1" x14ac:dyDescent="0.35">
      <c r="B304" s="4" t="s">
        <v>37</v>
      </c>
      <c r="C304" s="4" t="s">
        <v>38</v>
      </c>
      <c r="D304" s="4">
        <v>108</v>
      </c>
      <c r="E304" s="8">
        <v>340000</v>
      </c>
      <c r="F304" s="4" t="s">
        <v>31</v>
      </c>
      <c r="G304" s="4" t="s">
        <v>77</v>
      </c>
      <c r="H304" s="72" t="s">
        <v>245</v>
      </c>
      <c r="I304" s="73">
        <v>3148.1481481481483</v>
      </c>
      <c r="J304" s="72" t="s">
        <v>246</v>
      </c>
    </row>
    <row r="305" spans="2:10" s="7" customFormat="1" x14ac:dyDescent="0.35">
      <c r="B305" s="4" t="s">
        <v>40</v>
      </c>
      <c r="C305" s="4" t="s">
        <v>41</v>
      </c>
      <c r="D305" s="4">
        <v>264</v>
      </c>
      <c r="E305" s="8">
        <v>600000</v>
      </c>
      <c r="F305" s="4" t="s">
        <v>31</v>
      </c>
      <c r="G305" s="4" t="s">
        <v>77</v>
      </c>
      <c r="H305" s="72" t="s">
        <v>245</v>
      </c>
      <c r="I305" s="73">
        <v>2272.7272727272725</v>
      </c>
      <c r="J305" s="72" t="s">
        <v>246</v>
      </c>
    </row>
    <row r="306" spans="2:10" s="7" customFormat="1" x14ac:dyDescent="0.35">
      <c r="B306" s="4" t="s">
        <v>247</v>
      </c>
      <c r="C306" s="4" t="s">
        <v>248</v>
      </c>
      <c r="D306" s="4">
        <v>258</v>
      </c>
      <c r="E306" s="8">
        <v>600000</v>
      </c>
      <c r="F306" s="4" t="s">
        <v>31</v>
      </c>
      <c r="G306" s="4" t="s">
        <v>77</v>
      </c>
      <c r="H306" s="72" t="s">
        <v>245</v>
      </c>
      <c r="I306" s="73">
        <v>2325.5813953488373</v>
      </c>
      <c r="J306" s="72" t="s">
        <v>246</v>
      </c>
    </row>
    <row r="307" spans="2:10" s="7" customFormat="1" x14ac:dyDescent="0.35">
      <c r="B307" s="4" t="s">
        <v>251</v>
      </c>
      <c r="C307" s="4" t="s">
        <v>252</v>
      </c>
      <c r="D307" s="4">
        <v>143</v>
      </c>
      <c r="E307" s="8">
        <v>380000</v>
      </c>
      <c r="F307" s="4" t="s">
        <v>31</v>
      </c>
      <c r="G307" s="4" t="s">
        <v>77</v>
      </c>
      <c r="H307" s="72" t="s">
        <v>245</v>
      </c>
      <c r="I307" s="73">
        <v>2657.3426573426573</v>
      </c>
      <c r="J307" s="72" t="s">
        <v>246</v>
      </c>
    </row>
    <row r="308" spans="2:10" s="7" customFormat="1" x14ac:dyDescent="0.35">
      <c r="B308" s="4" t="s">
        <v>42</v>
      </c>
      <c r="C308" s="4" t="s">
        <v>43</v>
      </c>
      <c r="D308" s="4">
        <v>499</v>
      </c>
      <c r="E308" s="8">
        <v>1050000</v>
      </c>
      <c r="F308" s="4" t="s">
        <v>31</v>
      </c>
      <c r="G308" s="4" t="s">
        <v>77</v>
      </c>
      <c r="H308" s="72" t="s">
        <v>245</v>
      </c>
      <c r="I308" s="73">
        <v>2104.2084168336673</v>
      </c>
      <c r="J308" s="72" t="s">
        <v>246</v>
      </c>
    </row>
    <row r="309" spans="2:10" s="7" customFormat="1" x14ac:dyDescent="0.35">
      <c r="B309" s="4" t="s">
        <v>253</v>
      </c>
      <c r="C309" s="4" t="s">
        <v>70</v>
      </c>
      <c r="D309" s="4">
        <v>113</v>
      </c>
      <c r="E309" s="8">
        <v>350000</v>
      </c>
      <c r="F309" s="4" t="s">
        <v>31</v>
      </c>
      <c r="G309" s="4" t="s">
        <v>77</v>
      </c>
      <c r="H309" s="72" t="s">
        <v>245</v>
      </c>
      <c r="I309" s="73">
        <v>3097.3451327433627</v>
      </c>
      <c r="J309" s="72" t="s">
        <v>246</v>
      </c>
    </row>
    <row r="310" spans="2:10" s="7" customFormat="1" x14ac:dyDescent="0.35">
      <c r="B310" s="4" t="s">
        <v>249</v>
      </c>
      <c r="C310" s="4" t="s">
        <v>44</v>
      </c>
      <c r="D310" s="4">
        <v>150</v>
      </c>
      <c r="E310" s="8">
        <v>380000</v>
      </c>
      <c r="F310" s="4" t="s">
        <v>31</v>
      </c>
      <c r="G310" s="4" t="s">
        <v>77</v>
      </c>
      <c r="H310" s="72" t="s">
        <v>245</v>
      </c>
      <c r="I310" s="73">
        <v>2533.3333333333335</v>
      </c>
      <c r="J310" s="72" t="s">
        <v>246</v>
      </c>
    </row>
    <row r="311" spans="2:10" s="7" customFormat="1" x14ac:dyDescent="0.35">
      <c r="B311" s="4" t="s">
        <v>29</v>
      </c>
      <c r="C311" s="4" t="s">
        <v>30</v>
      </c>
      <c r="D311" s="4">
        <v>240</v>
      </c>
      <c r="E311" s="8">
        <v>390000</v>
      </c>
      <c r="F311" s="4" t="s">
        <v>31</v>
      </c>
      <c r="G311" s="4" t="s">
        <v>77</v>
      </c>
      <c r="H311" s="72" t="s">
        <v>245</v>
      </c>
      <c r="I311" s="73">
        <v>1625</v>
      </c>
      <c r="J311" s="72" t="s">
        <v>246</v>
      </c>
    </row>
    <row r="312" spans="2:10" s="7" customFormat="1" x14ac:dyDescent="0.35">
      <c r="B312" s="4" t="s">
        <v>45</v>
      </c>
      <c r="C312" s="4" t="s">
        <v>46</v>
      </c>
      <c r="D312" s="4">
        <v>240</v>
      </c>
      <c r="E312" s="8">
        <v>550000</v>
      </c>
      <c r="F312" s="4" t="s">
        <v>31</v>
      </c>
      <c r="G312" s="4" t="s">
        <v>77</v>
      </c>
      <c r="H312" s="72" t="s">
        <v>245</v>
      </c>
      <c r="I312" s="73">
        <v>2291.6666666666665</v>
      </c>
      <c r="J312" s="72" t="s">
        <v>246</v>
      </c>
    </row>
    <row r="313" spans="2:10" s="7" customFormat="1" x14ac:dyDescent="0.35">
      <c r="B313" s="4" t="s">
        <v>47</v>
      </c>
      <c r="C313" s="4" t="s">
        <v>48</v>
      </c>
      <c r="D313" s="4">
        <v>124</v>
      </c>
      <c r="E313" s="8">
        <v>350000</v>
      </c>
      <c r="F313" s="4" t="s">
        <v>31</v>
      </c>
      <c r="G313" s="4" t="s">
        <v>77</v>
      </c>
      <c r="H313" s="72" t="s">
        <v>245</v>
      </c>
      <c r="I313" s="73">
        <v>2822.5806451612902</v>
      </c>
      <c r="J313" s="72" t="s">
        <v>246</v>
      </c>
    </row>
    <row r="314" spans="2:10" s="7" customFormat="1" x14ac:dyDescent="0.35">
      <c r="B314" s="4" t="s">
        <v>49</v>
      </c>
      <c r="C314" s="4" t="s">
        <v>50</v>
      </c>
      <c r="D314" s="4">
        <v>3</v>
      </c>
      <c r="E314" s="8">
        <v>275000</v>
      </c>
      <c r="F314" s="4" t="s">
        <v>31</v>
      </c>
      <c r="G314" s="4" t="s">
        <v>77</v>
      </c>
      <c r="H314" s="72" t="s">
        <v>245</v>
      </c>
      <c r="I314" s="73">
        <v>91666.666666666672</v>
      </c>
      <c r="J314" s="72" t="s">
        <v>246</v>
      </c>
    </row>
    <row r="315" spans="2:10" s="7" customFormat="1" x14ac:dyDescent="0.35">
      <c r="B315" s="4" t="s">
        <v>95</v>
      </c>
      <c r="C315" s="4" t="s">
        <v>254</v>
      </c>
      <c r="D315" s="4">
        <v>208</v>
      </c>
      <c r="E315" s="8">
        <v>520000</v>
      </c>
      <c r="F315" s="4" t="s">
        <v>31</v>
      </c>
      <c r="G315" s="4" t="s">
        <v>77</v>
      </c>
      <c r="H315" s="72" t="s">
        <v>245</v>
      </c>
      <c r="I315" s="73">
        <v>2500</v>
      </c>
      <c r="J315" s="72" t="s">
        <v>246</v>
      </c>
    </row>
    <row r="316" spans="2:10" s="7" customFormat="1" x14ac:dyDescent="0.35">
      <c r="B316" s="4" t="s">
        <v>51</v>
      </c>
      <c r="C316" s="4" t="s">
        <v>50</v>
      </c>
      <c r="D316" s="4">
        <v>3</v>
      </c>
      <c r="E316" s="8">
        <v>275000</v>
      </c>
      <c r="F316" s="4" t="s">
        <v>31</v>
      </c>
      <c r="G316" s="4" t="s">
        <v>77</v>
      </c>
      <c r="H316" s="72" t="s">
        <v>245</v>
      </c>
      <c r="I316" s="73">
        <v>91666.666666666672</v>
      </c>
      <c r="J316" s="72" t="s">
        <v>246</v>
      </c>
    </row>
    <row r="317" spans="2:10" s="7" customFormat="1" x14ac:dyDescent="0.35">
      <c r="B317" s="4" t="s">
        <v>55</v>
      </c>
      <c r="C317" s="4" t="s">
        <v>41</v>
      </c>
      <c r="D317" s="4">
        <v>260</v>
      </c>
      <c r="E317" s="8">
        <v>600000</v>
      </c>
      <c r="F317" s="4" t="s">
        <v>31</v>
      </c>
      <c r="G317" s="4" t="s">
        <v>77</v>
      </c>
      <c r="H317" s="72" t="s">
        <v>245</v>
      </c>
      <c r="I317" s="73">
        <v>2307.6923076923076</v>
      </c>
      <c r="J317" s="72" t="s">
        <v>246</v>
      </c>
    </row>
    <row r="318" spans="2:10" s="7" customFormat="1" x14ac:dyDescent="0.35">
      <c r="B318" s="4" t="s">
        <v>52</v>
      </c>
      <c r="C318" s="4" t="s">
        <v>53</v>
      </c>
      <c r="D318" s="4">
        <v>45</v>
      </c>
      <c r="E318" s="8">
        <v>275000</v>
      </c>
      <c r="F318" s="4" t="s">
        <v>31</v>
      </c>
      <c r="G318" s="4" t="s">
        <v>77</v>
      </c>
      <c r="H318" s="72" t="s">
        <v>245</v>
      </c>
      <c r="I318" s="73">
        <v>6111.1111111111113</v>
      </c>
      <c r="J318" s="72" t="s">
        <v>246</v>
      </c>
    </row>
    <row r="319" spans="2:10" s="7" customFormat="1" x14ac:dyDescent="0.35">
      <c r="B319" s="4" t="s">
        <v>58</v>
      </c>
      <c r="C319" s="4" t="s">
        <v>59</v>
      </c>
      <c r="D319" s="4">
        <v>98</v>
      </c>
      <c r="E319" s="8">
        <v>350000</v>
      </c>
      <c r="F319" s="4" t="s">
        <v>31</v>
      </c>
      <c r="G319" s="4" t="s">
        <v>77</v>
      </c>
      <c r="H319" s="72" t="s">
        <v>245</v>
      </c>
      <c r="I319" s="73">
        <v>3571.4285714285716</v>
      </c>
      <c r="J319" s="72" t="s">
        <v>246</v>
      </c>
    </row>
    <row r="320" spans="2:10" s="7" customFormat="1" x14ac:dyDescent="0.35">
      <c r="B320" s="4" t="s">
        <v>97</v>
      </c>
      <c r="C320" s="4" t="s">
        <v>255</v>
      </c>
      <c r="D320" s="4">
        <v>125</v>
      </c>
      <c r="E320" s="8">
        <v>350000</v>
      </c>
      <c r="F320" s="4" t="s">
        <v>31</v>
      </c>
      <c r="G320" s="4" t="s">
        <v>77</v>
      </c>
      <c r="H320" s="72" t="s">
        <v>245</v>
      </c>
      <c r="I320" s="73">
        <v>2800</v>
      </c>
      <c r="J320" s="72" t="s">
        <v>246</v>
      </c>
    </row>
    <row r="321" spans="2:10" s="7" customFormat="1" x14ac:dyDescent="0.35">
      <c r="B321" s="4" t="s">
        <v>60</v>
      </c>
      <c r="C321" s="4" t="s">
        <v>61</v>
      </c>
      <c r="D321" s="4">
        <v>128</v>
      </c>
      <c r="E321" s="8">
        <v>350000</v>
      </c>
      <c r="F321" s="4" t="s">
        <v>31</v>
      </c>
      <c r="G321" s="4" t="s">
        <v>77</v>
      </c>
      <c r="H321" s="72" t="s">
        <v>245</v>
      </c>
      <c r="I321" s="73">
        <v>2734.375</v>
      </c>
      <c r="J321" s="72" t="s">
        <v>246</v>
      </c>
    </row>
    <row r="322" spans="2:10" s="7" customFormat="1" x14ac:dyDescent="0.35">
      <c r="B322" s="4" t="s">
        <v>62</v>
      </c>
      <c r="C322" s="4" t="s">
        <v>63</v>
      </c>
      <c r="D322" s="4">
        <v>16</v>
      </c>
      <c r="E322" s="8">
        <v>275000</v>
      </c>
      <c r="F322" s="4" t="s">
        <v>31</v>
      </c>
      <c r="G322" s="4" t="s">
        <v>77</v>
      </c>
      <c r="H322" s="72" t="s">
        <v>245</v>
      </c>
      <c r="I322" s="73">
        <v>17187.5</v>
      </c>
      <c r="J322" s="72" t="s">
        <v>246</v>
      </c>
    </row>
    <row r="323" spans="2:10" s="7" customFormat="1" x14ac:dyDescent="0.35">
      <c r="B323" s="4" t="s">
        <v>98</v>
      </c>
      <c r="C323" s="4" t="s">
        <v>38</v>
      </c>
      <c r="D323" s="4">
        <v>110</v>
      </c>
      <c r="E323" s="8">
        <v>350000</v>
      </c>
      <c r="F323" s="4" t="s">
        <v>31</v>
      </c>
      <c r="G323" s="4" t="s">
        <v>77</v>
      </c>
      <c r="H323" s="72" t="s">
        <v>245</v>
      </c>
      <c r="I323" s="73">
        <v>3181.818181818182</v>
      </c>
      <c r="J323" s="72" t="s">
        <v>246</v>
      </c>
    </row>
    <row r="324" spans="2:10" s="7" customFormat="1" x14ac:dyDescent="0.35">
      <c r="B324" s="4" t="s">
        <v>256</v>
      </c>
      <c r="C324" s="4" t="s">
        <v>64</v>
      </c>
      <c r="D324" s="4">
        <v>40</v>
      </c>
      <c r="E324" s="8">
        <v>300000</v>
      </c>
      <c r="F324" s="4" t="s">
        <v>31</v>
      </c>
      <c r="G324" s="4" t="s">
        <v>77</v>
      </c>
      <c r="H324" s="72" t="s">
        <v>245</v>
      </c>
      <c r="I324" s="73">
        <v>7500</v>
      </c>
      <c r="J324" s="72" t="s">
        <v>246</v>
      </c>
    </row>
    <row r="325" spans="2:10" s="7" customFormat="1" x14ac:dyDescent="0.35">
      <c r="B325" s="4" t="s">
        <v>65</v>
      </c>
      <c r="C325" s="4" t="s">
        <v>66</v>
      </c>
      <c r="D325" s="4">
        <v>110</v>
      </c>
      <c r="E325" s="8">
        <v>350000</v>
      </c>
      <c r="F325" s="4" t="s">
        <v>31</v>
      </c>
      <c r="G325" s="4" t="s">
        <v>77</v>
      </c>
      <c r="H325" s="72" t="s">
        <v>245</v>
      </c>
      <c r="I325" s="73">
        <v>3181.818181818182</v>
      </c>
      <c r="J325" s="72" t="s">
        <v>246</v>
      </c>
    </row>
    <row r="326" spans="2:10" s="7" customFormat="1" x14ac:dyDescent="0.35">
      <c r="B326" s="4" t="s">
        <v>67</v>
      </c>
      <c r="C326" s="4" t="s">
        <v>38</v>
      </c>
      <c r="D326" s="4">
        <v>103</v>
      </c>
      <c r="E326" s="8">
        <v>350000</v>
      </c>
      <c r="F326" s="4" t="s">
        <v>31</v>
      </c>
      <c r="G326" s="4" t="s">
        <v>77</v>
      </c>
      <c r="H326" s="72" t="s">
        <v>245</v>
      </c>
      <c r="I326" s="73">
        <v>3398.0582524271845</v>
      </c>
      <c r="J326" s="72" t="s">
        <v>246</v>
      </c>
    </row>
    <row r="327" spans="2:10" s="7" customFormat="1" x14ac:dyDescent="0.35">
      <c r="B327" s="4" t="s">
        <v>68</v>
      </c>
      <c r="C327" s="4" t="s">
        <v>69</v>
      </c>
      <c r="D327" s="4">
        <v>131</v>
      </c>
      <c r="E327" s="8">
        <v>360000</v>
      </c>
      <c r="F327" s="4" t="s">
        <v>31</v>
      </c>
      <c r="G327" s="4" t="s">
        <v>77</v>
      </c>
      <c r="H327" s="72" t="s">
        <v>245</v>
      </c>
      <c r="I327" s="73">
        <v>2748.0916030534349</v>
      </c>
      <c r="J327" s="72" t="s">
        <v>246</v>
      </c>
    </row>
    <row r="328" spans="2:10" s="7" customFormat="1" x14ac:dyDescent="0.35">
      <c r="B328" s="4" t="s">
        <v>33</v>
      </c>
      <c r="C328" s="4" t="s">
        <v>34</v>
      </c>
      <c r="D328" s="4">
        <v>85</v>
      </c>
      <c r="E328" s="8">
        <v>350000</v>
      </c>
      <c r="F328" s="4" t="s">
        <v>31</v>
      </c>
      <c r="G328" s="4" t="s">
        <v>77</v>
      </c>
      <c r="H328" s="72" t="s">
        <v>245</v>
      </c>
      <c r="I328" s="73">
        <v>4117.6470588235297</v>
      </c>
      <c r="J328" s="72" t="s">
        <v>246</v>
      </c>
    </row>
    <row r="329" spans="2:10" s="7" customFormat="1" x14ac:dyDescent="0.35">
      <c r="B329" s="4" t="s">
        <v>257</v>
      </c>
      <c r="C329" s="4" t="s">
        <v>66</v>
      </c>
      <c r="D329" s="4">
        <v>118</v>
      </c>
      <c r="E329" s="8">
        <v>350000</v>
      </c>
      <c r="F329" s="4" t="s">
        <v>31</v>
      </c>
      <c r="G329" s="4" t="s">
        <v>77</v>
      </c>
      <c r="H329" s="72" t="s">
        <v>245</v>
      </c>
      <c r="I329" s="73">
        <v>2966.101694915254</v>
      </c>
      <c r="J329" s="72" t="s">
        <v>246</v>
      </c>
    </row>
    <row r="330" spans="2:10" s="7" customFormat="1" x14ac:dyDescent="0.35">
      <c r="B330" s="4" t="s">
        <v>71</v>
      </c>
      <c r="C330" s="4" t="s">
        <v>43</v>
      </c>
      <c r="D330" s="4">
        <v>549</v>
      </c>
      <c r="E330" s="8">
        <v>1050000</v>
      </c>
      <c r="F330" s="4" t="s">
        <v>31</v>
      </c>
      <c r="G330" s="4" t="s">
        <v>77</v>
      </c>
      <c r="H330" s="72" t="s">
        <v>245</v>
      </c>
      <c r="I330" s="73">
        <v>1912.5683060109291</v>
      </c>
      <c r="J330" s="72" t="s">
        <v>246</v>
      </c>
    </row>
    <row r="331" spans="2:10" s="7" customFormat="1" x14ac:dyDescent="0.35">
      <c r="B331" s="4" t="s">
        <v>258</v>
      </c>
      <c r="C331" s="4" t="s">
        <v>259</v>
      </c>
      <c r="D331" s="4">
        <v>144</v>
      </c>
      <c r="E331" s="8">
        <v>380000</v>
      </c>
      <c r="F331" s="4" t="s">
        <v>31</v>
      </c>
      <c r="G331" s="4" t="s">
        <v>77</v>
      </c>
      <c r="H331" s="72" t="s">
        <v>245</v>
      </c>
      <c r="I331" s="73">
        <v>2638.8888888888887</v>
      </c>
      <c r="J331" s="72" t="s">
        <v>246</v>
      </c>
    </row>
    <row r="332" spans="2:10" s="7" customFormat="1" x14ac:dyDescent="0.35">
      <c r="B332" s="4" t="s">
        <v>72</v>
      </c>
      <c r="C332" s="4" t="s">
        <v>73</v>
      </c>
      <c r="D332" s="4">
        <v>165</v>
      </c>
      <c r="E332" s="8">
        <v>490000</v>
      </c>
      <c r="F332" s="4" t="s">
        <v>31</v>
      </c>
      <c r="G332" s="4" t="s">
        <v>77</v>
      </c>
      <c r="H332" s="72" t="s">
        <v>245</v>
      </c>
      <c r="I332" s="73">
        <v>2969.6969696969695</v>
      </c>
      <c r="J332" s="72" t="s">
        <v>246</v>
      </c>
    </row>
    <row r="333" spans="2:10" s="7" customFormat="1" x14ac:dyDescent="0.35">
      <c r="B333" s="4" t="s">
        <v>56</v>
      </c>
      <c r="C333" s="4" t="s">
        <v>57</v>
      </c>
      <c r="D333" s="4">
        <v>100</v>
      </c>
      <c r="E333" s="8">
        <v>350000</v>
      </c>
      <c r="F333" s="4" t="s">
        <v>31</v>
      </c>
      <c r="G333" s="4" t="s">
        <v>77</v>
      </c>
      <c r="H333" s="72" t="s">
        <v>245</v>
      </c>
      <c r="I333" s="73">
        <v>3500</v>
      </c>
      <c r="J333" s="72" t="s">
        <v>246</v>
      </c>
    </row>
    <row r="334" spans="2:10" s="7" customFormat="1" x14ac:dyDescent="0.35">
      <c r="B334" s="4" t="s">
        <v>260</v>
      </c>
      <c r="C334" s="4" t="s">
        <v>261</v>
      </c>
      <c r="D334" s="4">
        <v>162</v>
      </c>
      <c r="E334" s="8">
        <v>490000</v>
      </c>
      <c r="F334" s="4" t="s">
        <v>31</v>
      </c>
      <c r="G334" s="4" t="s">
        <v>77</v>
      </c>
      <c r="H334" s="72" t="s">
        <v>245</v>
      </c>
      <c r="I334" s="73">
        <v>3024.6913580246915</v>
      </c>
      <c r="J334" s="72" t="s">
        <v>246</v>
      </c>
    </row>
    <row r="335" spans="2:10" s="7" customFormat="1" x14ac:dyDescent="0.35">
      <c r="B335" s="4" t="s">
        <v>74</v>
      </c>
      <c r="C335" s="4" t="s">
        <v>75</v>
      </c>
      <c r="D335" s="4">
        <v>10</v>
      </c>
      <c r="E335" s="8">
        <v>275000</v>
      </c>
      <c r="F335" s="4" t="s">
        <v>31</v>
      </c>
      <c r="G335" s="4" t="s">
        <v>77</v>
      </c>
      <c r="H335" s="72" t="s">
        <v>245</v>
      </c>
      <c r="I335" s="73">
        <v>27500</v>
      </c>
      <c r="J335" s="72" t="s">
        <v>246</v>
      </c>
    </row>
    <row r="336" spans="2:10" s="7" customFormat="1" x14ac:dyDescent="0.35">
      <c r="B336" s="4" t="s">
        <v>76</v>
      </c>
      <c r="C336" s="4" t="s">
        <v>262</v>
      </c>
      <c r="D336" s="4">
        <v>20</v>
      </c>
      <c r="E336" s="8">
        <v>275000</v>
      </c>
      <c r="F336" s="4" t="s">
        <v>31</v>
      </c>
      <c r="G336" s="4" t="s">
        <v>77</v>
      </c>
      <c r="H336" s="72" t="s">
        <v>245</v>
      </c>
      <c r="I336" s="73">
        <v>13750</v>
      </c>
      <c r="J336" s="72" t="s">
        <v>246</v>
      </c>
    </row>
    <row r="337" spans="2:10" s="7" customFormat="1" x14ac:dyDescent="0.35">
      <c r="B337" s="4" t="s">
        <v>96</v>
      </c>
      <c r="C337" s="4" t="s">
        <v>255</v>
      </c>
      <c r="D337" s="4">
        <v>122</v>
      </c>
      <c r="E337" s="8">
        <v>350000</v>
      </c>
      <c r="F337" s="4" t="s">
        <v>31</v>
      </c>
      <c r="G337" s="4" t="s">
        <v>77</v>
      </c>
      <c r="H337" s="72" t="s">
        <v>245</v>
      </c>
      <c r="I337" s="73">
        <v>2868.8524590163934</v>
      </c>
      <c r="J337" s="72" t="s">
        <v>246</v>
      </c>
    </row>
    <row r="338" spans="2:10" s="7" customFormat="1" x14ac:dyDescent="0.35">
      <c r="B338" s="4" t="s">
        <v>263</v>
      </c>
      <c r="C338" s="4" t="s">
        <v>264</v>
      </c>
      <c r="D338" s="4">
        <v>297</v>
      </c>
      <c r="E338" s="8">
        <v>650000</v>
      </c>
      <c r="F338" s="4" t="s">
        <v>31</v>
      </c>
      <c r="G338" s="4" t="s">
        <v>77</v>
      </c>
      <c r="H338" s="72" t="s">
        <v>245</v>
      </c>
      <c r="I338" s="73">
        <v>2188.5521885521885</v>
      </c>
      <c r="J338" s="72" t="s">
        <v>246</v>
      </c>
    </row>
    <row r="339" spans="2:10" s="7" customFormat="1" x14ac:dyDescent="0.35">
      <c r="B339" s="4" t="s">
        <v>37</v>
      </c>
      <c r="C339" s="4" t="s">
        <v>38</v>
      </c>
      <c r="D339" s="4">
        <v>134</v>
      </c>
      <c r="E339" s="8">
        <v>360000</v>
      </c>
      <c r="F339" s="4" t="s">
        <v>36</v>
      </c>
      <c r="G339" s="4" t="s">
        <v>77</v>
      </c>
      <c r="H339" s="72" t="s">
        <v>245</v>
      </c>
      <c r="I339" s="73">
        <v>2686.5671641791046</v>
      </c>
      <c r="J339" s="72" t="s">
        <v>246</v>
      </c>
    </row>
    <row r="340" spans="2:10" s="7" customFormat="1" x14ac:dyDescent="0.35">
      <c r="B340" s="4" t="s">
        <v>40</v>
      </c>
      <c r="C340" s="4" t="s">
        <v>41</v>
      </c>
      <c r="D340" s="4">
        <v>123</v>
      </c>
      <c r="E340" s="8">
        <v>360000</v>
      </c>
      <c r="F340" s="4" t="s">
        <v>36</v>
      </c>
      <c r="G340" s="4" t="s">
        <v>77</v>
      </c>
      <c r="H340" s="72" t="s">
        <v>245</v>
      </c>
      <c r="I340" s="73">
        <v>2926.8292682926831</v>
      </c>
      <c r="J340" s="72" t="s">
        <v>246</v>
      </c>
    </row>
    <row r="341" spans="2:10" s="7" customFormat="1" x14ac:dyDescent="0.35">
      <c r="B341" s="4" t="s">
        <v>247</v>
      </c>
      <c r="C341" s="4" t="s">
        <v>248</v>
      </c>
      <c r="D341" s="4">
        <v>118</v>
      </c>
      <c r="E341" s="8">
        <v>350000</v>
      </c>
      <c r="F341" s="4" t="s">
        <v>36</v>
      </c>
      <c r="G341" s="4" t="s">
        <v>77</v>
      </c>
      <c r="H341" s="72" t="s">
        <v>245</v>
      </c>
      <c r="I341" s="73">
        <v>2966.101694915254</v>
      </c>
      <c r="J341" s="72" t="s">
        <v>246</v>
      </c>
    </row>
    <row r="342" spans="2:10" s="7" customFormat="1" x14ac:dyDescent="0.35">
      <c r="B342" s="4" t="s">
        <v>251</v>
      </c>
      <c r="C342" s="4" t="s">
        <v>252</v>
      </c>
      <c r="D342" s="4">
        <v>103</v>
      </c>
      <c r="E342" s="8">
        <v>350000</v>
      </c>
      <c r="F342" s="4" t="s">
        <v>36</v>
      </c>
      <c r="G342" s="4" t="s">
        <v>77</v>
      </c>
      <c r="H342" s="72" t="s">
        <v>245</v>
      </c>
      <c r="I342" s="73">
        <v>3398.0582524271845</v>
      </c>
      <c r="J342" s="72" t="s">
        <v>246</v>
      </c>
    </row>
    <row r="343" spans="2:10" s="7" customFormat="1" x14ac:dyDescent="0.35">
      <c r="B343" s="4" t="s">
        <v>42</v>
      </c>
      <c r="C343" s="4" t="s">
        <v>43</v>
      </c>
      <c r="D343" s="4">
        <v>358</v>
      </c>
      <c r="E343" s="8">
        <v>900000</v>
      </c>
      <c r="F343" s="4" t="s">
        <v>36</v>
      </c>
      <c r="G343" s="4" t="s">
        <v>77</v>
      </c>
      <c r="H343" s="72" t="s">
        <v>245</v>
      </c>
      <c r="I343" s="73">
        <v>2513.9664804469276</v>
      </c>
      <c r="J343" s="72" t="s">
        <v>246</v>
      </c>
    </row>
    <row r="344" spans="2:10" s="7" customFormat="1" x14ac:dyDescent="0.35">
      <c r="B344" s="4" t="s">
        <v>253</v>
      </c>
      <c r="C344" s="4" t="s">
        <v>70</v>
      </c>
      <c r="D344" s="4">
        <v>141</v>
      </c>
      <c r="E344" s="8">
        <v>380000</v>
      </c>
      <c r="F344" s="4" t="s">
        <v>36</v>
      </c>
      <c r="G344" s="4" t="s">
        <v>77</v>
      </c>
      <c r="H344" s="72" t="s">
        <v>245</v>
      </c>
      <c r="I344" s="73">
        <v>2695.0354609929077</v>
      </c>
      <c r="J344" s="72" t="s">
        <v>246</v>
      </c>
    </row>
    <row r="345" spans="2:10" s="7" customFormat="1" x14ac:dyDescent="0.35">
      <c r="B345" s="4" t="s">
        <v>249</v>
      </c>
      <c r="C345" s="4" t="s">
        <v>44</v>
      </c>
      <c r="D345" s="4">
        <v>60</v>
      </c>
      <c r="E345" s="8">
        <v>280000</v>
      </c>
      <c r="F345" s="4" t="s">
        <v>36</v>
      </c>
      <c r="G345" s="4" t="s">
        <v>77</v>
      </c>
      <c r="H345" s="72" t="s">
        <v>245</v>
      </c>
      <c r="I345" s="73">
        <v>4666.666666666667</v>
      </c>
      <c r="J345" s="72" t="s">
        <v>246</v>
      </c>
    </row>
    <row r="346" spans="2:10" s="7" customFormat="1" x14ac:dyDescent="0.35">
      <c r="B346" s="4" t="s">
        <v>29</v>
      </c>
      <c r="C346" s="4" t="s">
        <v>30</v>
      </c>
      <c r="D346" s="4">
        <v>22</v>
      </c>
      <c r="E346" s="8">
        <v>275000</v>
      </c>
      <c r="F346" s="4" t="s">
        <v>36</v>
      </c>
      <c r="G346" s="4" t="s">
        <v>77</v>
      </c>
      <c r="H346" s="72" t="s">
        <v>245</v>
      </c>
      <c r="I346" s="73">
        <v>12500</v>
      </c>
      <c r="J346" s="72" t="s">
        <v>246</v>
      </c>
    </row>
    <row r="347" spans="2:10" s="7" customFormat="1" x14ac:dyDescent="0.35">
      <c r="B347" s="4" t="s">
        <v>45</v>
      </c>
      <c r="C347" s="4" t="s">
        <v>46</v>
      </c>
      <c r="D347" s="4">
        <v>100</v>
      </c>
      <c r="E347" s="8">
        <v>330000</v>
      </c>
      <c r="F347" s="4" t="s">
        <v>36</v>
      </c>
      <c r="G347" s="4" t="s">
        <v>77</v>
      </c>
      <c r="H347" s="72" t="s">
        <v>245</v>
      </c>
      <c r="I347" s="73">
        <v>3300</v>
      </c>
      <c r="J347" s="72" t="s">
        <v>246</v>
      </c>
    </row>
    <row r="348" spans="2:10" s="7" customFormat="1" x14ac:dyDescent="0.35">
      <c r="B348" s="4" t="s">
        <v>47</v>
      </c>
      <c r="C348" s="4" t="s">
        <v>48</v>
      </c>
      <c r="D348" s="4">
        <v>85</v>
      </c>
      <c r="E348" s="8">
        <v>300000</v>
      </c>
      <c r="F348" s="4" t="s">
        <v>36</v>
      </c>
      <c r="G348" s="4" t="s">
        <v>77</v>
      </c>
      <c r="H348" s="72" t="s">
        <v>245</v>
      </c>
      <c r="I348" s="73">
        <v>3529.4117647058824</v>
      </c>
      <c r="J348" s="72" t="s">
        <v>246</v>
      </c>
    </row>
    <row r="349" spans="2:10" s="7" customFormat="1" x14ac:dyDescent="0.35">
      <c r="B349" s="4" t="s">
        <v>49</v>
      </c>
      <c r="C349" s="4" t="s">
        <v>50</v>
      </c>
      <c r="D349" s="4">
        <v>144</v>
      </c>
      <c r="E349" s="8">
        <v>380000</v>
      </c>
      <c r="F349" s="4" t="s">
        <v>36</v>
      </c>
      <c r="G349" s="4" t="s">
        <v>77</v>
      </c>
      <c r="H349" s="72" t="s">
        <v>245</v>
      </c>
      <c r="I349" s="73">
        <v>2638.8888888888887</v>
      </c>
      <c r="J349" s="72" t="s">
        <v>246</v>
      </c>
    </row>
    <row r="350" spans="2:10" s="7" customFormat="1" x14ac:dyDescent="0.35">
      <c r="B350" s="4" t="s">
        <v>95</v>
      </c>
      <c r="C350" s="4" t="s">
        <v>254</v>
      </c>
      <c r="D350" s="4">
        <v>60</v>
      </c>
      <c r="E350" s="8">
        <v>280000</v>
      </c>
      <c r="F350" s="4" t="s">
        <v>36</v>
      </c>
      <c r="G350" s="4" t="s">
        <v>77</v>
      </c>
      <c r="H350" s="72" t="s">
        <v>245</v>
      </c>
      <c r="I350" s="73">
        <v>4666.666666666667</v>
      </c>
      <c r="J350" s="72" t="s">
        <v>246</v>
      </c>
    </row>
    <row r="351" spans="2:10" s="7" customFormat="1" x14ac:dyDescent="0.35">
      <c r="B351" s="4" t="s">
        <v>51</v>
      </c>
      <c r="C351" s="4" t="s">
        <v>50</v>
      </c>
      <c r="D351" s="4">
        <v>144</v>
      </c>
      <c r="E351" s="8">
        <v>380000</v>
      </c>
      <c r="F351" s="4" t="s">
        <v>36</v>
      </c>
      <c r="G351" s="4" t="s">
        <v>77</v>
      </c>
      <c r="H351" s="72" t="s">
        <v>245</v>
      </c>
      <c r="I351" s="73">
        <v>2638.8888888888887</v>
      </c>
      <c r="J351" s="72" t="s">
        <v>246</v>
      </c>
    </row>
    <row r="352" spans="2:10" s="7" customFormat="1" x14ac:dyDescent="0.35">
      <c r="B352" s="4" t="s">
        <v>55</v>
      </c>
      <c r="C352" s="4" t="s">
        <v>41</v>
      </c>
      <c r="D352" s="4">
        <v>120</v>
      </c>
      <c r="E352" s="8">
        <v>360000</v>
      </c>
      <c r="F352" s="4" t="s">
        <v>36</v>
      </c>
      <c r="G352" s="4" t="s">
        <v>77</v>
      </c>
      <c r="H352" s="72" t="s">
        <v>245</v>
      </c>
      <c r="I352" s="73">
        <v>3000</v>
      </c>
      <c r="J352" s="72" t="s">
        <v>246</v>
      </c>
    </row>
    <row r="353" spans="2:10" s="7" customFormat="1" x14ac:dyDescent="0.35">
      <c r="B353" s="4" t="s">
        <v>52</v>
      </c>
      <c r="C353" s="4" t="s">
        <v>53</v>
      </c>
      <c r="D353" s="4">
        <v>100</v>
      </c>
      <c r="E353" s="8">
        <v>350000</v>
      </c>
      <c r="F353" s="4" t="s">
        <v>36</v>
      </c>
      <c r="G353" s="4" t="s">
        <v>77</v>
      </c>
      <c r="H353" s="72" t="s">
        <v>245</v>
      </c>
      <c r="I353" s="73">
        <v>3500</v>
      </c>
      <c r="J353" s="72" t="s">
        <v>246</v>
      </c>
    </row>
    <row r="354" spans="2:10" s="7" customFormat="1" x14ac:dyDescent="0.35">
      <c r="B354" s="4" t="s">
        <v>58</v>
      </c>
      <c r="C354" s="4" t="s">
        <v>59</v>
      </c>
      <c r="D354" s="4">
        <v>125</v>
      </c>
      <c r="E354" s="8">
        <v>360000</v>
      </c>
      <c r="F354" s="4" t="s">
        <v>36</v>
      </c>
      <c r="G354" s="4" t="s">
        <v>77</v>
      </c>
      <c r="H354" s="72" t="s">
        <v>245</v>
      </c>
      <c r="I354" s="73">
        <v>2880</v>
      </c>
      <c r="J354" s="72" t="s">
        <v>246</v>
      </c>
    </row>
    <row r="355" spans="2:10" s="7" customFormat="1" x14ac:dyDescent="0.35">
      <c r="B355" s="4" t="s">
        <v>97</v>
      </c>
      <c r="C355" s="4" t="s">
        <v>255</v>
      </c>
      <c r="D355" s="4">
        <v>90</v>
      </c>
      <c r="E355" s="8">
        <v>350000</v>
      </c>
      <c r="F355" s="4" t="s">
        <v>36</v>
      </c>
      <c r="G355" s="4" t="s">
        <v>77</v>
      </c>
      <c r="H355" s="72" t="s">
        <v>245</v>
      </c>
      <c r="I355" s="73">
        <v>3888.8888888888887</v>
      </c>
      <c r="J355" s="72" t="s">
        <v>246</v>
      </c>
    </row>
    <row r="356" spans="2:10" s="7" customFormat="1" x14ac:dyDescent="0.35">
      <c r="B356" s="4" t="s">
        <v>60</v>
      </c>
      <c r="C356" s="4" t="s">
        <v>61</v>
      </c>
      <c r="D356" s="4">
        <v>80</v>
      </c>
      <c r="E356" s="8">
        <v>350000</v>
      </c>
      <c r="F356" s="4" t="s">
        <v>36</v>
      </c>
      <c r="G356" s="4" t="s">
        <v>77</v>
      </c>
      <c r="H356" s="72" t="s">
        <v>245</v>
      </c>
      <c r="I356" s="73">
        <v>4375</v>
      </c>
      <c r="J356" s="72" t="s">
        <v>246</v>
      </c>
    </row>
    <row r="357" spans="2:10" s="7" customFormat="1" x14ac:dyDescent="0.35">
      <c r="B357" s="4" t="s">
        <v>62</v>
      </c>
      <c r="C357" s="4" t="s">
        <v>63</v>
      </c>
      <c r="D357" s="4">
        <v>130</v>
      </c>
      <c r="E357" s="8">
        <v>380000</v>
      </c>
      <c r="F357" s="4" t="s">
        <v>36</v>
      </c>
      <c r="G357" s="4" t="s">
        <v>77</v>
      </c>
      <c r="H357" s="72" t="s">
        <v>245</v>
      </c>
      <c r="I357" s="73">
        <v>2923.0769230769229</v>
      </c>
      <c r="J357" s="72" t="s">
        <v>246</v>
      </c>
    </row>
    <row r="358" spans="2:10" s="7" customFormat="1" x14ac:dyDescent="0.35">
      <c r="B358" s="4" t="s">
        <v>98</v>
      </c>
      <c r="C358" s="4" t="s">
        <v>38</v>
      </c>
      <c r="D358" s="4">
        <v>133</v>
      </c>
      <c r="E358" s="8">
        <v>380000</v>
      </c>
      <c r="F358" s="4" t="s">
        <v>36</v>
      </c>
      <c r="G358" s="4" t="s">
        <v>77</v>
      </c>
      <c r="H358" s="72" t="s">
        <v>245</v>
      </c>
      <c r="I358" s="73">
        <v>2857.1428571428573</v>
      </c>
      <c r="J358" s="72" t="s">
        <v>246</v>
      </c>
    </row>
    <row r="359" spans="2:10" s="7" customFormat="1" x14ac:dyDescent="0.35">
      <c r="B359" s="4" t="s">
        <v>256</v>
      </c>
      <c r="C359" s="4" t="s">
        <v>64</v>
      </c>
      <c r="D359" s="4">
        <v>180</v>
      </c>
      <c r="E359" s="8">
        <v>440000</v>
      </c>
      <c r="F359" s="4" t="s">
        <v>36</v>
      </c>
      <c r="G359" s="4" t="s">
        <v>77</v>
      </c>
      <c r="H359" s="72" t="s">
        <v>245</v>
      </c>
      <c r="I359" s="73">
        <v>2444.4444444444443</v>
      </c>
      <c r="J359" s="72" t="s">
        <v>246</v>
      </c>
    </row>
    <row r="360" spans="2:10" s="7" customFormat="1" x14ac:dyDescent="0.35">
      <c r="B360" s="4" t="s">
        <v>65</v>
      </c>
      <c r="C360" s="4" t="s">
        <v>66</v>
      </c>
      <c r="D360" s="4">
        <v>140</v>
      </c>
      <c r="E360" s="8">
        <v>380000</v>
      </c>
      <c r="F360" s="4" t="s">
        <v>36</v>
      </c>
      <c r="G360" s="4" t="s">
        <v>77</v>
      </c>
      <c r="H360" s="72" t="s">
        <v>245</v>
      </c>
      <c r="I360" s="73">
        <v>2714.2857142857142</v>
      </c>
      <c r="J360" s="72" t="s">
        <v>246</v>
      </c>
    </row>
    <row r="361" spans="2:10" s="7" customFormat="1" x14ac:dyDescent="0.35">
      <c r="B361" s="4" t="s">
        <v>67</v>
      </c>
      <c r="C361" s="4" t="s">
        <v>38</v>
      </c>
      <c r="D361" s="4">
        <v>130</v>
      </c>
      <c r="E361" s="8">
        <v>380000</v>
      </c>
      <c r="F361" s="4" t="s">
        <v>36</v>
      </c>
      <c r="G361" s="4" t="s">
        <v>77</v>
      </c>
      <c r="H361" s="72" t="s">
        <v>245</v>
      </c>
      <c r="I361" s="73">
        <v>2923.0769230769229</v>
      </c>
      <c r="J361" s="72" t="s">
        <v>246</v>
      </c>
    </row>
    <row r="362" spans="2:10" s="7" customFormat="1" x14ac:dyDescent="0.35">
      <c r="B362" s="4" t="s">
        <v>68</v>
      </c>
      <c r="C362" s="4" t="s">
        <v>69</v>
      </c>
      <c r="D362" s="4">
        <v>90</v>
      </c>
      <c r="E362" s="8">
        <v>350000</v>
      </c>
      <c r="F362" s="4" t="s">
        <v>36</v>
      </c>
      <c r="G362" s="4" t="s">
        <v>77</v>
      </c>
      <c r="H362" s="72" t="s">
        <v>245</v>
      </c>
      <c r="I362" s="73">
        <v>3888.8888888888887</v>
      </c>
      <c r="J362" s="72" t="s">
        <v>246</v>
      </c>
    </row>
    <row r="363" spans="2:10" s="7" customFormat="1" x14ac:dyDescent="0.35">
      <c r="B363" s="4" t="s">
        <v>33</v>
      </c>
      <c r="C363" s="4" t="s">
        <v>34</v>
      </c>
      <c r="D363" s="4">
        <v>230</v>
      </c>
      <c r="E363" s="8">
        <v>520000</v>
      </c>
      <c r="F363" s="4" t="s">
        <v>36</v>
      </c>
      <c r="G363" s="4" t="s">
        <v>77</v>
      </c>
      <c r="H363" s="72" t="s">
        <v>245</v>
      </c>
      <c r="I363" s="73">
        <v>2260.8695652173915</v>
      </c>
      <c r="J363" s="72" t="s">
        <v>246</v>
      </c>
    </row>
    <row r="364" spans="2:10" s="7" customFormat="1" x14ac:dyDescent="0.35">
      <c r="B364" s="4" t="s">
        <v>257</v>
      </c>
      <c r="C364" s="4" t="s">
        <v>66</v>
      </c>
      <c r="D364" s="4">
        <v>144</v>
      </c>
      <c r="E364" s="8">
        <v>380000</v>
      </c>
      <c r="F364" s="4" t="s">
        <v>36</v>
      </c>
      <c r="G364" s="4" t="s">
        <v>77</v>
      </c>
      <c r="H364" s="72" t="s">
        <v>245</v>
      </c>
      <c r="I364" s="73">
        <v>2638.8888888888887</v>
      </c>
      <c r="J364" s="72" t="s">
        <v>246</v>
      </c>
    </row>
    <row r="365" spans="2:10" s="7" customFormat="1" x14ac:dyDescent="0.35">
      <c r="B365" s="4" t="s">
        <v>71</v>
      </c>
      <c r="C365" s="4" t="s">
        <v>43</v>
      </c>
      <c r="D365" s="4">
        <v>408</v>
      </c>
      <c r="E365" s="8">
        <v>920000</v>
      </c>
      <c r="F365" s="4" t="s">
        <v>36</v>
      </c>
      <c r="G365" s="4" t="s">
        <v>77</v>
      </c>
      <c r="H365" s="72" t="s">
        <v>245</v>
      </c>
      <c r="I365" s="73">
        <v>2254.9019607843138</v>
      </c>
      <c r="J365" s="72" t="s">
        <v>246</v>
      </c>
    </row>
    <row r="366" spans="2:10" s="7" customFormat="1" x14ac:dyDescent="0.35">
      <c r="B366" s="4" t="s">
        <v>258</v>
      </c>
      <c r="C366" s="4" t="s">
        <v>259</v>
      </c>
      <c r="D366" s="4">
        <v>1</v>
      </c>
      <c r="E366" s="8">
        <v>275000</v>
      </c>
      <c r="F366" s="4" t="s">
        <v>36</v>
      </c>
      <c r="G366" s="4" t="s">
        <v>77</v>
      </c>
      <c r="H366" s="72" t="s">
        <v>245</v>
      </c>
      <c r="I366" s="73">
        <v>275000</v>
      </c>
      <c r="J366" s="72" t="s">
        <v>246</v>
      </c>
    </row>
    <row r="367" spans="2:10" s="7" customFormat="1" x14ac:dyDescent="0.35">
      <c r="B367" s="4" t="s">
        <v>72</v>
      </c>
      <c r="C367" s="4" t="s">
        <v>73</v>
      </c>
      <c r="D367" s="4">
        <v>310</v>
      </c>
      <c r="E367" s="8">
        <v>650000</v>
      </c>
      <c r="F367" s="4" t="s">
        <v>36</v>
      </c>
      <c r="G367" s="4" t="s">
        <v>77</v>
      </c>
      <c r="H367" s="72" t="s">
        <v>245</v>
      </c>
      <c r="I367" s="73">
        <v>2096.7741935483873</v>
      </c>
      <c r="J367" s="72" t="s">
        <v>246</v>
      </c>
    </row>
    <row r="368" spans="2:10" s="7" customFormat="1" x14ac:dyDescent="0.35">
      <c r="B368" s="4" t="s">
        <v>56</v>
      </c>
      <c r="C368" s="4" t="s">
        <v>57</v>
      </c>
      <c r="D368" s="4">
        <v>95</v>
      </c>
      <c r="E368" s="8">
        <v>360000</v>
      </c>
      <c r="F368" s="4" t="s">
        <v>36</v>
      </c>
      <c r="G368" s="4" t="s">
        <v>77</v>
      </c>
      <c r="H368" s="72" t="s">
        <v>245</v>
      </c>
      <c r="I368" s="73">
        <v>3789.4736842105262</v>
      </c>
      <c r="J368" s="72" t="s">
        <v>246</v>
      </c>
    </row>
    <row r="369" spans="2:10" s="7" customFormat="1" x14ac:dyDescent="0.35">
      <c r="B369" s="4" t="s">
        <v>260</v>
      </c>
      <c r="C369" s="4" t="s">
        <v>261</v>
      </c>
      <c r="D369" s="4">
        <v>305</v>
      </c>
      <c r="E369" s="8">
        <v>650000</v>
      </c>
      <c r="F369" s="4" t="s">
        <v>36</v>
      </c>
      <c r="G369" s="4" t="s">
        <v>77</v>
      </c>
      <c r="H369" s="72" t="s">
        <v>245</v>
      </c>
      <c r="I369" s="73">
        <v>2131.1475409836066</v>
      </c>
      <c r="J369" s="72" t="s">
        <v>246</v>
      </c>
    </row>
    <row r="370" spans="2:10" s="7" customFormat="1" x14ac:dyDescent="0.35">
      <c r="B370" s="4" t="s">
        <v>74</v>
      </c>
      <c r="C370" s="4" t="s">
        <v>75</v>
      </c>
      <c r="D370" s="4">
        <v>140</v>
      </c>
      <c r="E370" s="8">
        <v>380000</v>
      </c>
      <c r="F370" s="4" t="s">
        <v>36</v>
      </c>
      <c r="G370" s="4" t="s">
        <v>77</v>
      </c>
      <c r="H370" s="72" t="s">
        <v>245</v>
      </c>
      <c r="I370" s="73">
        <v>2714.2857142857142</v>
      </c>
      <c r="J370" s="72" t="s">
        <v>246</v>
      </c>
    </row>
    <row r="371" spans="2:10" s="7" customFormat="1" x14ac:dyDescent="0.35">
      <c r="B371" s="4" t="s">
        <v>76</v>
      </c>
      <c r="C371" s="4" t="s">
        <v>262</v>
      </c>
      <c r="D371" s="4">
        <v>130</v>
      </c>
      <c r="E371" s="8">
        <v>360000</v>
      </c>
      <c r="F371" s="4" t="s">
        <v>36</v>
      </c>
      <c r="G371" s="4" t="s">
        <v>77</v>
      </c>
      <c r="H371" s="72" t="s">
        <v>245</v>
      </c>
      <c r="I371" s="73">
        <v>2769.2307692307691</v>
      </c>
      <c r="J371" s="72" t="s">
        <v>246</v>
      </c>
    </row>
    <row r="372" spans="2:10" s="7" customFormat="1" x14ac:dyDescent="0.35">
      <c r="B372" s="4" t="s">
        <v>96</v>
      </c>
      <c r="C372" s="4" t="s">
        <v>255</v>
      </c>
      <c r="D372" s="4">
        <v>95</v>
      </c>
      <c r="E372" s="8">
        <v>350000</v>
      </c>
      <c r="F372" s="4" t="s">
        <v>36</v>
      </c>
      <c r="G372" s="4" t="s">
        <v>77</v>
      </c>
      <c r="H372" s="72" t="s">
        <v>245</v>
      </c>
      <c r="I372" s="73">
        <v>3684.2105263157896</v>
      </c>
      <c r="J372" s="72" t="s">
        <v>246</v>
      </c>
    </row>
    <row r="373" spans="2:10" s="7" customFormat="1" x14ac:dyDescent="0.35">
      <c r="B373" s="4" t="s">
        <v>263</v>
      </c>
      <c r="C373" s="4" t="s">
        <v>264</v>
      </c>
      <c r="D373" s="4">
        <v>160</v>
      </c>
      <c r="E373" s="8">
        <v>420000</v>
      </c>
      <c r="F373" s="4" t="s">
        <v>36</v>
      </c>
      <c r="G373" s="4" t="s">
        <v>77</v>
      </c>
      <c r="H373" s="72" t="s">
        <v>245</v>
      </c>
      <c r="I373" s="73">
        <v>2625</v>
      </c>
      <c r="J373" s="72" t="s">
        <v>246</v>
      </c>
    </row>
    <row r="374" spans="2:10" s="7" customFormat="1" x14ac:dyDescent="0.35">
      <c r="B374" s="4" t="s">
        <v>37</v>
      </c>
      <c r="C374" s="4" t="s">
        <v>38</v>
      </c>
      <c r="D374" s="4">
        <v>50</v>
      </c>
      <c r="E374" s="8">
        <v>300000</v>
      </c>
      <c r="F374" s="4" t="s">
        <v>35</v>
      </c>
      <c r="G374" s="4" t="s">
        <v>77</v>
      </c>
      <c r="H374" s="72" t="s">
        <v>245</v>
      </c>
      <c r="I374" s="73">
        <v>6000</v>
      </c>
      <c r="J374" s="72" t="s">
        <v>246</v>
      </c>
    </row>
    <row r="375" spans="2:10" s="7" customFormat="1" x14ac:dyDescent="0.35">
      <c r="B375" s="4" t="s">
        <v>40</v>
      </c>
      <c r="C375" s="4" t="s">
        <v>41</v>
      </c>
      <c r="D375" s="4">
        <v>211</v>
      </c>
      <c r="E375" s="8">
        <v>460000</v>
      </c>
      <c r="F375" s="4" t="s">
        <v>35</v>
      </c>
      <c r="G375" s="4" t="s">
        <v>77</v>
      </c>
      <c r="H375" s="72" t="s">
        <v>245</v>
      </c>
      <c r="I375" s="73">
        <v>2180.0947867298578</v>
      </c>
      <c r="J375" s="72" t="s">
        <v>246</v>
      </c>
    </row>
    <row r="376" spans="2:10" s="7" customFormat="1" x14ac:dyDescent="0.35">
      <c r="B376" s="4" t="s">
        <v>247</v>
      </c>
      <c r="C376" s="4" t="s">
        <v>248</v>
      </c>
      <c r="D376" s="4">
        <v>206</v>
      </c>
      <c r="E376" s="8">
        <v>460000</v>
      </c>
      <c r="F376" s="4" t="s">
        <v>35</v>
      </c>
      <c r="G376" s="4" t="s">
        <v>77</v>
      </c>
      <c r="H376" s="72" t="s">
        <v>245</v>
      </c>
      <c r="I376" s="73">
        <v>2233.009708737864</v>
      </c>
      <c r="J376" s="72" t="s">
        <v>246</v>
      </c>
    </row>
    <row r="377" spans="2:10" s="7" customFormat="1" x14ac:dyDescent="0.35">
      <c r="B377" s="4" t="s">
        <v>251</v>
      </c>
      <c r="C377" s="4" t="s">
        <v>252</v>
      </c>
      <c r="D377" s="4">
        <v>80</v>
      </c>
      <c r="E377" s="8">
        <v>350000</v>
      </c>
      <c r="F377" s="4" t="s">
        <v>35</v>
      </c>
      <c r="G377" s="4" t="s">
        <v>77</v>
      </c>
      <c r="H377" s="72" t="s">
        <v>245</v>
      </c>
      <c r="I377" s="73">
        <v>4375</v>
      </c>
      <c r="J377" s="72" t="s">
        <v>246</v>
      </c>
    </row>
    <row r="378" spans="2:10" s="7" customFormat="1" x14ac:dyDescent="0.35">
      <c r="B378" s="4" t="s">
        <v>42</v>
      </c>
      <c r="C378" s="4" t="s">
        <v>43</v>
      </c>
      <c r="D378" s="4">
        <v>450</v>
      </c>
      <c r="E378" s="8">
        <v>980000</v>
      </c>
      <c r="F378" s="4" t="s">
        <v>35</v>
      </c>
      <c r="G378" s="4" t="s">
        <v>77</v>
      </c>
      <c r="H378" s="72" t="s">
        <v>245</v>
      </c>
      <c r="I378" s="73">
        <v>2177.7777777777778</v>
      </c>
      <c r="J378" s="72" t="s">
        <v>246</v>
      </c>
    </row>
    <row r="379" spans="2:10" s="7" customFormat="1" x14ac:dyDescent="0.35">
      <c r="B379" s="4" t="s">
        <v>253</v>
      </c>
      <c r="C379" s="4" t="s">
        <v>70</v>
      </c>
      <c r="D379" s="4">
        <v>50</v>
      </c>
      <c r="E379" s="8">
        <v>300000</v>
      </c>
      <c r="F379" s="4" t="s">
        <v>35</v>
      </c>
      <c r="G379" s="4" t="s">
        <v>77</v>
      </c>
      <c r="H379" s="72" t="s">
        <v>245</v>
      </c>
      <c r="I379" s="73">
        <v>6000</v>
      </c>
      <c r="J379" s="72" t="s">
        <v>246</v>
      </c>
    </row>
    <row r="380" spans="2:10" s="7" customFormat="1" x14ac:dyDescent="0.35">
      <c r="B380" s="4" t="s">
        <v>249</v>
      </c>
      <c r="C380" s="4" t="s">
        <v>44</v>
      </c>
      <c r="D380" s="4">
        <v>60</v>
      </c>
      <c r="E380" s="8">
        <v>320000</v>
      </c>
      <c r="F380" s="4" t="s">
        <v>35</v>
      </c>
      <c r="G380" s="4" t="s">
        <v>77</v>
      </c>
      <c r="H380" s="72" t="s">
        <v>245</v>
      </c>
      <c r="I380" s="73">
        <v>5333.333333333333</v>
      </c>
      <c r="J380" s="72" t="s">
        <v>246</v>
      </c>
    </row>
    <row r="381" spans="2:10" s="7" customFormat="1" x14ac:dyDescent="0.35">
      <c r="B381" s="4" t="s">
        <v>29</v>
      </c>
      <c r="C381" s="4" t="s">
        <v>30</v>
      </c>
      <c r="D381" s="4">
        <v>100</v>
      </c>
      <c r="E381" s="8">
        <v>340000</v>
      </c>
      <c r="F381" s="4" t="s">
        <v>35</v>
      </c>
      <c r="G381" s="4" t="s">
        <v>77</v>
      </c>
      <c r="H381" s="72" t="s">
        <v>245</v>
      </c>
      <c r="I381" s="73">
        <v>3400</v>
      </c>
      <c r="J381" s="72" t="s">
        <v>246</v>
      </c>
    </row>
    <row r="382" spans="2:10" s="7" customFormat="1" x14ac:dyDescent="0.35">
      <c r="B382" s="4" t="s">
        <v>45</v>
      </c>
      <c r="C382" s="4" t="s">
        <v>46</v>
      </c>
      <c r="D382" s="4">
        <v>190</v>
      </c>
      <c r="E382" s="8">
        <v>420000</v>
      </c>
      <c r="F382" s="4" t="s">
        <v>35</v>
      </c>
      <c r="G382" s="4" t="s">
        <v>77</v>
      </c>
      <c r="H382" s="72" t="s">
        <v>245</v>
      </c>
      <c r="I382" s="73">
        <v>2210.5263157894738</v>
      </c>
      <c r="J382" s="72" t="s">
        <v>246</v>
      </c>
    </row>
    <row r="383" spans="2:10" s="7" customFormat="1" x14ac:dyDescent="0.35">
      <c r="B383" s="4" t="s">
        <v>47</v>
      </c>
      <c r="C383" s="4" t="s">
        <v>48</v>
      </c>
      <c r="D383" s="4">
        <v>75</v>
      </c>
      <c r="E383" s="8">
        <v>330000</v>
      </c>
      <c r="F383" s="4" t="s">
        <v>35</v>
      </c>
      <c r="G383" s="4" t="s">
        <v>77</v>
      </c>
      <c r="H383" s="72" t="s">
        <v>245</v>
      </c>
      <c r="I383" s="73">
        <v>4400</v>
      </c>
      <c r="J383" s="72" t="s">
        <v>246</v>
      </c>
    </row>
    <row r="384" spans="2:10" s="7" customFormat="1" x14ac:dyDescent="0.35">
      <c r="B384" s="4" t="s">
        <v>49</v>
      </c>
      <c r="C384" s="4" t="s">
        <v>50</v>
      </c>
      <c r="D384" s="4">
        <v>70</v>
      </c>
      <c r="E384" s="8">
        <v>330000</v>
      </c>
      <c r="F384" s="4" t="s">
        <v>35</v>
      </c>
      <c r="G384" s="4" t="s">
        <v>77</v>
      </c>
      <c r="H384" s="72" t="s">
        <v>245</v>
      </c>
      <c r="I384" s="73">
        <v>4714.2857142857147</v>
      </c>
      <c r="J384" s="72" t="s">
        <v>246</v>
      </c>
    </row>
    <row r="385" spans="2:10" s="7" customFormat="1" x14ac:dyDescent="0.35">
      <c r="B385" s="4" t="s">
        <v>95</v>
      </c>
      <c r="C385" s="4" t="s">
        <v>254</v>
      </c>
      <c r="D385" s="4">
        <v>160</v>
      </c>
      <c r="E385" s="8">
        <v>380000</v>
      </c>
      <c r="F385" s="4" t="s">
        <v>35</v>
      </c>
      <c r="G385" s="4" t="s">
        <v>77</v>
      </c>
      <c r="H385" s="72" t="s">
        <v>245</v>
      </c>
      <c r="I385" s="73">
        <v>2375</v>
      </c>
      <c r="J385" s="72" t="s">
        <v>246</v>
      </c>
    </row>
    <row r="386" spans="2:10" s="7" customFormat="1" x14ac:dyDescent="0.35">
      <c r="B386" s="4" t="s">
        <v>51</v>
      </c>
      <c r="C386" s="4" t="s">
        <v>50</v>
      </c>
      <c r="D386" s="4">
        <v>70</v>
      </c>
      <c r="E386" s="8">
        <v>330000</v>
      </c>
      <c r="F386" s="4" t="s">
        <v>35</v>
      </c>
      <c r="G386" s="4" t="s">
        <v>77</v>
      </c>
      <c r="H386" s="72" t="s">
        <v>245</v>
      </c>
      <c r="I386" s="73">
        <v>4714.2857142857147</v>
      </c>
      <c r="J386" s="72" t="s">
        <v>246</v>
      </c>
    </row>
    <row r="387" spans="2:10" s="7" customFormat="1" x14ac:dyDescent="0.35">
      <c r="B387" s="4" t="s">
        <v>55</v>
      </c>
      <c r="C387" s="4" t="s">
        <v>41</v>
      </c>
      <c r="D387" s="4">
        <v>210</v>
      </c>
      <c r="E387" s="8">
        <v>460000</v>
      </c>
      <c r="F387" s="4" t="s">
        <v>35</v>
      </c>
      <c r="G387" s="4" t="s">
        <v>77</v>
      </c>
      <c r="H387" s="72" t="s">
        <v>245</v>
      </c>
      <c r="I387" s="73">
        <v>2190.4761904761904</v>
      </c>
      <c r="J387" s="72" t="s">
        <v>246</v>
      </c>
    </row>
    <row r="388" spans="2:10" s="7" customFormat="1" x14ac:dyDescent="0.35">
      <c r="B388" s="4" t="s">
        <v>52</v>
      </c>
      <c r="C388" s="4" t="s">
        <v>53</v>
      </c>
      <c r="D388" s="4">
        <v>25</v>
      </c>
      <c r="E388" s="8">
        <v>275000</v>
      </c>
      <c r="F388" s="4" t="s">
        <v>35</v>
      </c>
      <c r="G388" s="4" t="s">
        <v>77</v>
      </c>
      <c r="H388" s="72" t="s">
        <v>245</v>
      </c>
      <c r="I388" s="73">
        <v>11000</v>
      </c>
      <c r="J388" s="72" t="s">
        <v>246</v>
      </c>
    </row>
    <row r="389" spans="2:10" s="7" customFormat="1" x14ac:dyDescent="0.35">
      <c r="B389" s="4" t="s">
        <v>58</v>
      </c>
      <c r="C389" s="4" t="s">
        <v>59</v>
      </c>
      <c r="D389" s="4">
        <v>35</v>
      </c>
      <c r="E389" s="8">
        <v>275000</v>
      </c>
      <c r="F389" s="4" t="s">
        <v>35</v>
      </c>
      <c r="G389" s="4" t="s">
        <v>77</v>
      </c>
      <c r="H389" s="72" t="s">
        <v>245</v>
      </c>
      <c r="I389" s="73">
        <v>7857.1428571428569</v>
      </c>
      <c r="J389" s="72" t="s">
        <v>246</v>
      </c>
    </row>
    <row r="390" spans="2:10" s="7" customFormat="1" x14ac:dyDescent="0.35">
      <c r="B390" s="4" t="s">
        <v>97</v>
      </c>
      <c r="C390" s="4" t="s">
        <v>255</v>
      </c>
      <c r="D390" s="4">
        <v>75</v>
      </c>
      <c r="E390" s="8">
        <v>330000</v>
      </c>
      <c r="F390" s="4" t="s">
        <v>35</v>
      </c>
      <c r="G390" s="4" t="s">
        <v>77</v>
      </c>
      <c r="H390" s="72" t="s">
        <v>245</v>
      </c>
      <c r="I390" s="73">
        <v>4400</v>
      </c>
      <c r="J390" s="72" t="s">
        <v>246</v>
      </c>
    </row>
    <row r="391" spans="2:10" s="7" customFormat="1" x14ac:dyDescent="0.35">
      <c r="B391" s="4" t="s">
        <v>60</v>
      </c>
      <c r="C391" s="4" t="s">
        <v>61</v>
      </c>
      <c r="D391" s="4">
        <v>75</v>
      </c>
      <c r="E391" s="8">
        <v>330000</v>
      </c>
      <c r="F391" s="4" t="s">
        <v>35</v>
      </c>
      <c r="G391" s="4" t="s">
        <v>77</v>
      </c>
      <c r="H391" s="72" t="s">
        <v>245</v>
      </c>
      <c r="I391" s="73">
        <v>4400</v>
      </c>
      <c r="J391" s="72" t="s">
        <v>246</v>
      </c>
    </row>
    <row r="392" spans="2:10" s="7" customFormat="1" x14ac:dyDescent="0.35">
      <c r="B392" s="4" t="s">
        <v>62</v>
      </c>
      <c r="C392" s="4" t="s">
        <v>63</v>
      </c>
      <c r="D392" s="4">
        <v>55</v>
      </c>
      <c r="E392" s="8">
        <v>320000</v>
      </c>
      <c r="F392" s="4" t="s">
        <v>35</v>
      </c>
      <c r="G392" s="4" t="s">
        <v>77</v>
      </c>
      <c r="H392" s="72" t="s">
        <v>245</v>
      </c>
      <c r="I392" s="73">
        <v>5818.181818181818</v>
      </c>
      <c r="J392" s="72" t="s">
        <v>246</v>
      </c>
    </row>
    <row r="393" spans="2:10" s="7" customFormat="1" x14ac:dyDescent="0.35">
      <c r="B393" s="4" t="s">
        <v>98</v>
      </c>
      <c r="C393" s="4" t="s">
        <v>38</v>
      </c>
      <c r="D393" s="4">
        <v>45</v>
      </c>
      <c r="E393" s="8">
        <v>300000</v>
      </c>
      <c r="F393" s="4" t="s">
        <v>35</v>
      </c>
      <c r="G393" s="4" t="s">
        <v>77</v>
      </c>
      <c r="H393" s="72" t="s">
        <v>245</v>
      </c>
      <c r="I393" s="73">
        <v>6666.666666666667</v>
      </c>
      <c r="J393" s="72" t="s">
        <v>246</v>
      </c>
    </row>
    <row r="394" spans="2:10" s="7" customFormat="1" x14ac:dyDescent="0.35">
      <c r="B394" s="4" t="s">
        <v>256</v>
      </c>
      <c r="C394" s="4" t="s">
        <v>64</v>
      </c>
      <c r="D394" s="4">
        <v>105</v>
      </c>
      <c r="E394" s="8">
        <v>380000</v>
      </c>
      <c r="F394" s="4" t="s">
        <v>35</v>
      </c>
      <c r="G394" s="4" t="s">
        <v>77</v>
      </c>
      <c r="H394" s="72" t="s">
        <v>245</v>
      </c>
      <c r="I394" s="73">
        <v>3619.0476190476193</v>
      </c>
      <c r="J394" s="72" t="s">
        <v>246</v>
      </c>
    </row>
    <row r="395" spans="2:10" s="7" customFormat="1" x14ac:dyDescent="0.35">
      <c r="B395" s="4" t="s">
        <v>65</v>
      </c>
      <c r="C395" s="4" t="s">
        <v>66</v>
      </c>
      <c r="D395" s="4">
        <v>45</v>
      </c>
      <c r="E395" s="8">
        <v>300000</v>
      </c>
      <c r="F395" s="4" t="s">
        <v>35</v>
      </c>
      <c r="G395" s="4" t="s">
        <v>77</v>
      </c>
      <c r="H395" s="72" t="s">
        <v>245</v>
      </c>
      <c r="I395" s="73">
        <v>6666.666666666667</v>
      </c>
      <c r="J395" s="72" t="s">
        <v>246</v>
      </c>
    </row>
    <row r="396" spans="2:10" s="7" customFormat="1" x14ac:dyDescent="0.35">
      <c r="B396" s="4" t="s">
        <v>67</v>
      </c>
      <c r="C396" s="4" t="s">
        <v>38</v>
      </c>
      <c r="D396" s="4">
        <v>40</v>
      </c>
      <c r="E396" s="8">
        <v>300000</v>
      </c>
      <c r="F396" s="4" t="s">
        <v>35</v>
      </c>
      <c r="G396" s="4" t="s">
        <v>77</v>
      </c>
      <c r="H396" s="72" t="s">
        <v>245</v>
      </c>
      <c r="I396" s="73">
        <v>7500</v>
      </c>
      <c r="J396" s="72" t="s">
        <v>246</v>
      </c>
    </row>
    <row r="397" spans="2:10" s="7" customFormat="1" x14ac:dyDescent="0.35">
      <c r="B397" s="4" t="s">
        <v>68</v>
      </c>
      <c r="C397" s="4" t="s">
        <v>69</v>
      </c>
      <c r="D397" s="4">
        <v>80</v>
      </c>
      <c r="E397" s="8">
        <v>330000</v>
      </c>
      <c r="F397" s="4" t="s">
        <v>35</v>
      </c>
      <c r="G397" s="4" t="s">
        <v>77</v>
      </c>
      <c r="H397" s="72" t="s">
        <v>245</v>
      </c>
      <c r="I397" s="73">
        <v>4125</v>
      </c>
      <c r="J397" s="72" t="s">
        <v>246</v>
      </c>
    </row>
    <row r="398" spans="2:10" s="7" customFormat="1" x14ac:dyDescent="0.35">
      <c r="B398" s="4" t="s">
        <v>33</v>
      </c>
      <c r="C398" s="4" t="s">
        <v>34</v>
      </c>
      <c r="D398" s="4">
        <v>145</v>
      </c>
      <c r="E398" s="8">
        <v>430000</v>
      </c>
      <c r="F398" s="4" t="s">
        <v>35</v>
      </c>
      <c r="G398" s="4" t="s">
        <v>77</v>
      </c>
      <c r="H398" s="72" t="s">
        <v>245</v>
      </c>
      <c r="I398" s="73">
        <v>2965.5172413793102</v>
      </c>
      <c r="J398" s="72" t="s">
        <v>246</v>
      </c>
    </row>
    <row r="399" spans="2:10" s="7" customFormat="1" x14ac:dyDescent="0.35">
      <c r="B399" s="4" t="s">
        <v>257</v>
      </c>
      <c r="C399" s="4" t="s">
        <v>66</v>
      </c>
      <c r="D399" s="4">
        <v>60</v>
      </c>
      <c r="E399" s="8">
        <v>320000</v>
      </c>
      <c r="F399" s="4" t="s">
        <v>35</v>
      </c>
      <c r="G399" s="4" t="s">
        <v>77</v>
      </c>
      <c r="H399" s="72" t="s">
        <v>245</v>
      </c>
      <c r="I399" s="73">
        <v>5333.333333333333</v>
      </c>
      <c r="J399" s="72" t="s">
        <v>246</v>
      </c>
    </row>
    <row r="400" spans="2:10" s="7" customFormat="1" x14ac:dyDescent="0.35">
      <c r="B400" s="4" t="s">
        <v>71</v>
      </c>
      <c r="C400" s="4" t="s">
        <v>43</v>
      </c>
      <c r="D400" s="4">
        <v>50</v>
      </c>
      <c r="E400" s="8">
        <v>990000</v>
      </c>
      <c r="F400" s="4" t="s">
        <v>35</v>
      </c>
      <c r="G400" s="4" t="s">
        <v>77</v>
      </c>
      <c r="H400" s="72" t="s">
        <v>245</v>
      </c>
      <c r="I400" s="73">
        <v>19800</v>
      </c>
      <c r="J400" s="72" t="s">
        <v>246</v>
      </c>
    </row>
    <row r="401" spans="2:10" s="7" customFormat="1" x14ac:dyDescent="0.35">
      <c r="B401" s="4" t="s">
        <v>258</v>
      </c>
      <c r="C401" s="4" t="s">
        <v>259</v>
      </c>
      <c r="D401" s="4">
        <v>95</v>
      </c>
      <c r="E401" s="8">
        <v>360000</v>
      </c>
      <c r="F401" s="4" t="s">
        <v>35</v>
      </c>
      <c r="G401" s="4" t="s">
        <v>77</v>
      </c>
      <c r="H401" s="72" t="s">
        <v>245</v>
      </c>
      <c r="I401" s="73">
        <v>3789.4736842105262</v>
      </c>
      <c r="J401" s="72" t="s">
        <v>246</v>
      </c>
    </row>
    <row r="402" spans="2:10" s="7" customFormat="1" x14ac:dyDescent="0.35">
      <c r="B402" s="4" t="s">
        <v>72</v>
      </c>
      <c r="C402" s="4" t="s">
        <v>73</v>
      </c>
      <c r="D402" s="4">
        <v>230</v>
      </c>
      <c r="E402" s="8">
        <v>600000</v>
      </c>
      <c r="F402" s="4" t="s">
        <v>35</v>
      </c>
      <c r="G402" s="4" t="s">
        <v>77</v>
      </c>
      <c r="H402" s="72" t="s">
        <v>245</v>
      </c>
      <c r="I402" s="73">
        <v>2608.695652173913</v>
      </c>
      <c r="J402" s="72" t="s">
        <v>246</v>
      </c>
    </row>
    <row r="403" spans="2:10" s="7" customFormat="1" x14ac:dyDescent="0.35">
      <c r="B403" s="4" t="s">
        <v>56</v>
      </c>
      <c r="C403" s="4" t="s">
        <v>57</v>
      </c>
      <c r="D403" s="4">
        <v>50</v>
      </c>
      <c r="E403" s="8">
        <v>300000</v>
      </c>
      <c r="F403" s="4" t="s">
        <v>35</v>
      </c>
      <c r="G403" s="4" t="s">
        <v>77</v>
      </c>
      <c r="H403" s="72" t="s">
        <v>245</v>
      </c>
      <c r="I403" s="73">
        <v>6000</v>
      </c>
      <c r="J403" s="72" t="s">
        <v>246</v>
      </c>
    </row>
    <row r="404" spans="2:10" s="7" customFormat="1" x14ac:dyDescent="0.35">
      <c r="B404" s="4" t="s">
        <v>260</v>
      </c>
      <c r="C404" s="4" t="s">
        <v>261</v>
      </c>
      <c r="D404" s="4">
        <v>225</v>
      </c>
      <c r="E404" s="8">
        <v>600000</v>
      </c>
      <c r="F404" s="4" t="s">
        <v>35</v>
      </c>
      <c r="G404" s="4" t="s">
        <v>77</v>
      </c>
      <c r="H404" s="72" t="s">
        <v>245</v>
      </c>
      <c r="I404" s="73">
        <v>2666.6666666666665</v>
      </c>
      <c r="J404" s="72" t="s">
        <v>246</v>
      </c>
    </row>
    <row r="405" spans="2:10" s="7" customFormat="1" x14ac:dyDescent="0.35">
      <c r="B405" s="4" t="s">
        <v>74</v>
      </c>
      <c r="C405" s="4" t="s">
        <v>75</v>
      </c>
      <c r="D405" s="4">
        <v>60</v>
      </c>
      <c r="E405" s="8">
        <v>320000</v>
      </c>
      <c r="F405" s="4" t="s">
        <v>35</v>
      </c>
      <c r="G405" s="4" t="s">
        <v>77</v>
      </c>
      <c r="H405" s="72" t="s">
        <v>245</v>
      </c>
      <c r="I405" s="73">
        <v>5333.333333333333</v>
      </c>
      <c r="J405" s="72" t="s">
        <v>246</v>
      </c>
    </row>
    <row r="406" spans="2:10" s="7" customFormat="1" x14ac:dyDescent="0.35">
      <c r="B406" s="4" t="s">
        <v>76</v>
      </c>
      <c r="C406" s="4" t="s">
        <v>262</v>
      </c>
      <c r="D406" s="4">
        <v>55</v>
      </c>
      <c r="E406" s="8">
        <v>300000</v>
      </c>
      <c r="F406" s="4" t="s">
        <v>35</v>
      </c>
      <c r="G406" s="4" t="s">
        <v>77</v>
      </c>
      <c r="H406" s="72" t="s">
        <v>245</v>
      </c>
      <c r="I406" s="73">
        <v>5454.545454545455</v>
      </c>
      <c r="J406" s="72" t="s">
        <v>246</v>
      </c>
    </row>
    <row r="407" spans="2:10" s="7" customFormat="1" x14ac:dyDescent="0.35">
      <c r="B407" s="4" t="s">
        <v>96</v>
      </c>
      <c r="C407" s="4" t="s">
        <v>255</v>
      </c>
      <c r="D407" s="4">
        <v>60</v>
      </c>
      <c r="E407" s="8">
        <v>300000</v>
      </c>
      <c r="F407" s="4" t="s">
        <v>35</v>
      </c>
      <c r="G407" s="4" t="s">
        <v>77</v>
      </c>
      <c r="H407" s="72" t="s">
        <v>245</v>
      </c>
      <c r="I407" s="73">
        <v>5000</v>
      </c>
      <c r="J407" s="72" t="s">
        <v>246</v>
      </c>
    </row>
    <row r="408" spans="2:10" s="7" customFormat="1" x14ac:dyDescent="0.35">
      <c r="B408" s="4" t="s">
        <v>263</v>
      </c>
      <c r="C408" s="4" t="s">
        <v>264</v>
      </c>
      <c r="D408" s="4">
        <v>250</v>
      </c>
      <c r="E408" s="8">
        <v>600000</v>
      </c>
      <c r="F408" s="4" t="s">
        <v>35</v>
      </c>
      <c r="G408" s="4" t="s">
        <v>77</v>
      </c>
      <c r="H408" s="72" t="s">
        <v>245</v>
      </c>
      <c r="I408" s="73">
        <v>2400</v>
      </c>
      <c r="J408" s="72" t="s">
        <v>246</v>
      </c>
    </row>
    <row r="409" spans="2:10" s="7" customFormat="1" x14ac:dyDescent="0.35">
      <c r="B409" s="4" t="s">
        <v>37</v>
      </c>
      <c r="C409" s="4" t="s">
        <v>38</v>
      </c>
      <c r="D409" s="4">
        <v>108</v>
      </c>
      <c r="E409" s="8">
        <v>380000</v>
      </c>
      <c r="F409" s="4" t="s">
        <v>31</v>
      </c>
      <c r="G409" s="4" t="s">
        <v>81</v>
      </c>
      <c r="H409" s="72" t="s">
        <v>245</v>
      </c>
      <c r="I409" s="73">
        <v>3518.5185185185187</v>
      </c>
      <c r="J409" s="72" t="s">
        <v>246</v>
      </c>
    </row>
    <row r="410" spans="2:10" s="7" customFormat="1" x14ac:dyDescent="0.35">
      <c r="B410" s="4" t="s">
        <v>40</v>
      </c>
      <c r="C410" s="4" t="s">
        <v>41</v>
      </c>
      <c r="D410" s="4">
        <v>264</v>
      </c>
      <c r="E410" s="8">
        <v>480000</v>
      </c>
      <c r="F410" s="4" t="s">
        <v>31</v>
      </c>
      <c r="G410" s="4" t="s">
        <v>81</v>
      </c>
      <c r="H410" s="72" t="s">
        <v>245</v>
      </c>
      <c r="I410" s="73">
        <v>1818.1818181818182</v>
      </c>
      <c r="J410" s="72" t="s">
        <v>246</v>
      </c>
    </row>
    <row r="411" spans="2:10" s="7" customFormat="1" x14ac:dyDescent="0.35">
      <c r="B411" s="4" t="s">
        <v>247</v>
      </c>
      <c r="C411" s="4" t="s">
        <v>248</v>
      </c>
      <c r="D411" s="4">
        <v>258</v>
      </c>
      <c r="E411" s="8">
        <v>480000</v>
      </c>
      <c r="F411" s="4" t="s">
        <v>31</v>
      </c>
      <c r="G411" s="4" t="s">
        <v>81</v>
      </c>
      <c r="H411" s="72" t="s">
        <v>245</v>
      </c>
      <c r="I411" s="73">
        <v>1860.4651162790697</v>
      </c>
      <c r="J411" s="72" t="s">
        <v>246</v>
      </c>
    </row>
    <row r="412" spans="2:10" s="7" customFormat="1" x14ac:dyDescent="0.35">
      <c r="B412" s="4" t="s">
        <v>251</v>
      </c>
      <c r="C412" s="4" t="s">
        <v>252</v>
      </c>
      <c r="D412" s="4">
        <v>143</v>
      </c>
      <c r="E412" s="8">
        <v>390000</v>
      </c>
      <c r="F412" s="4" t="s">
        <v>31</v>
      </c>
      <c r="G412" s="4" t="s">
        <v>81</v>
      </c>
      <c r="H412" s="72" t="s">
        <v>245</v>
      </c>
      <c r="I412" s="73">
        <v>2727.2727272727275</v>
      </c>
      <c r="J412" s="72" t="s">
        <v>246</v>
      </c>
    </row>
    <row r="413" spans="2:10" s="7" customFormat="1" x14ac:dyDescent="0.35">
      <c r="B413" s="4" t="s">
        <v>42</v>
      </c>
      <c r="C413" s="4" t="s">
        <v>43</v>
      </c>
      <c r="D413" s="4">
        <v>499</v>
      </c>
      <c r="E413" s="8">
        <v>1200000</v>
      </c>
      <c r="F413" s="4" t="s">
        <v>31</v>
      </c>
      <c r="G413" s="4" t="s">
        <v>81</v>
      </c>
      <c r="H413" s="72" t="s">
        <v>245</v>
      </c>
      <c r="I413" s="73">
        <v>2404.8096192384769</v>
      </c>
      <c r="J413" s="72" t="s">
        <v>246</v>
      </c>
    </row>
    <row r="414" spans="2:10" s="7" customFormat="1" x14ac:dyDescent="0.35">
      <c r="B414" s="4" t="s">
        <v>253</v>
      </c>
      <c r="C414" s="4" t="s">
        <v>70</v>
      </c>
      <c r="D414" s="4">
        <v>113</v>
      </c>
      <c r="E414" s="8">
        <v>380000</v>
      </c>
      <c r="F414" s="4" t="s">
        <v>31</v>
      </c>
      <c r="G414" s="4" t="s">
        <v>81</v>
      </c>
      <c r="H414" s="72" t="s">
        <v>245</v>
      </c>
      <c r="I414" s="73">
        <v>3362.8318584070798</v>
      </c>
      <c r="J414" s="72" t="s">
        <v>246</v>
      </c>
    </row>
    <row r="415" spans="2:10" s="7" customFormat="1" x14ac:dyDescent="0.35">
      <c r="B415" s="4" t="s">
        <v>29</v>
      </c>
      <c r="C415" s="4" t="s">
        <v>30</v>
      </c>
      <c r="D415" s="4">
        <v>240</v>
      </c>
      <c r="E415" s="8">
        <v>380000</v>
      </c>
      <c r="F415" s="4" t="s">
        <v>31</v>
      </c>
      <c r="G415" s="4" t="s">
        <v>81</v>
      </c>
      <c r="H415" s="72" t="s">
        <v>245</v>
      </c>
      <c r="I415" s="73">
        <v>1583.3333333333333</v>
      </c>
      <c r="J415" s="72" t="s">
        <v>246</v>
      </c>
    </row>
    <row r="416" spans="2:10" s="7" customFormat="1" x14ac:dyDescent="0.35">
      <c r="B416" s="4" t="s">
        <v>47</v>
      </c>
      <c r="C416" s="4" t="s">
        <v>48</v>
      </c>
      <c r="D416" s="4">
        <v>124</v>
      </c>
      <c r="E416" s="8">
        <v>390000</v>
      </c>
      <c r="F416" s="4" t="s">
        <v>31</v>
      </c>
      <c r="G416" s="4" t="s">
        <v>81</v>
      </c>
      <c r="H416" s="72" t="s">
        <v>245</v>
      </c>
      <c r="I416" s="73">
        <v>3145.1612903225805</v>
      </c>
      <c r="J416" s="72" t="s">
        <v>246</v>
      </c>
    </row>
    <row r="417" spans="2:11" s="7" customFormat="1" x14ac:dyDescent="0.35">
      <c r="B417" s="4" t="s">
        <v>55</v>
      </c>
      <c r="C417" s="4" t="s">
        <v>41</v>
      </c>
      <c r="D417" s="4">
        <v>260</v>
      </c>
      <c r="E417" s="8">
        <v>480000</v>
      </c>
      <c r="F417" s="4" t="s">
        <v>31</v>
      </c>
      <c r="G417" s="4" t="s">
        <v>81</v>
      </c>
      <c r="H417" s="72" t="s">
        <v>245</v>
      </c>
      <c r="I417" s="73">
        <v>1846.1538461538462</v>
      </c>
      <c r="J417" s="72" t="s">
        <v>246</v>
      </c>
    </row>
    <row r="418" spans="2:11" s="7" customFormat="1" x14ac:dyDescent="0.35">
      <c r="B418" s="4" t="s">
        <v>58</v>
      </c>
      <c r="C418" s="4" t="s">
        <v>59</v>
      </c>
      <c r="D418" s="4">
        <v>98</v>
      </c>
      <c r="E418" s="8">
        <v>380000</v>
      </c>
      <c r="F418" s="4" t="s">
        <v>31</v>
      </c>
      <c r="G418" s="4" t="s">
        <v>81</v>
      </c>
      <c r="H418" s="72" t="s">
        <v>245</v>
      </c>
      <c r="I418" s="73">
        <v>3877.5510204081634</v>
      </c>
      <c r="J418" s="72" t="s">
        <v>246</v>
      </c>
    </row>
    <row r="419" spans="2:11" s="7" customFormat="1" x14ac:dyDescent="0.35">
      <c r="B419" s="4" t="s">
        <v>97</v>
      </c>
      <c r="C419" s="4" t="s">
        <v>255</v>
      </c>
      <c r="D419" s="4">
        <v>125</v>
      </c>
      <c r="E419" s="8">
        <v>400000</v>
      </c>
      <c r="F419" s="4" t="s">
        <v>31</v>
      </c>
      <c r="G419" s="4" t="s">
        <v>81</v>
      </c>
      <c r="H419" s="72" t="s">
        <v>245</v>
      </c>
      <c r="I419" s="73">
        <v>3200</v>
      </c>
      <c r="J419" s="72" t="s">
        <v>246</v>
      </c>
    </row>
    <row r="420" spans="2:11" s="7" customFormat="1" x14ac:dyDescent="0.35">
      <c r="B420" s="4" t="s">
        <v>60</v>
      </c>
      <c r="C420" s="4" t="s">
        <v>61</v>
      </c>
      <c r="D420" s="4">
        <v>128</v>
      </c>
      <c r="E420" s="8">
        <v>420000</v>
      </c>
      <c r="F420" s="4" t="s">
        <v>31</v>
      </c>
      <c r="G420" s="4" t="s">
        <v>81</v>
      </c>
      <c r="H420" s="72" t="s">
        <v>245</v>
      </c>
      <c r="I420" s="73">
        <v>3281.25</v>
      </c>
      <c r="J420" s="72" t="s">
        <v>246</v>
      </c>
    </row>
    <row r="421" spans="2:11" s="7" customFormat="1" x14ac:dyDescent="0.35">
      <c r="B421" s="4" t="s">
        <v>98</v>
      </c>
      <c r="C421" s="4" t="s">
        <v>38</v>
      </c>
      <c r="D421" s="4">
        <v>110</v>
      </c>
      <c r="E421" s="8">
        <v>380000</v>
      </c>
      <c r="F421" s="4" t="s">
        <v>31</v>
      </c>
      <c r="G421" s="4" t="s">
        <v>81</v>
      </c>
      <c r="H421" s="72" t="s">
        <v>245</v>
      </c>
      <c r="I421" s="73">
        <v>3454.5454545454545</v>
      </c>
      <c r="J421" s="72" t="s">
        <v>246</v>
      </c>
    </row>
    <row r="422" spans="2:11" s="7" customFormat="1" x14ac:dyDescent="0.35">
      <c r="B422" s="4" t="s">
        <v>65</v>
      </c>
      <c r="C422" s="4" t="s">
        <v>66</v>
      </c>
      <c r="D422" s="4">
        <v>110</v>
      </c>
      <c r="E422" s="8">
        <v>380000</v>
      </c>
      <c r="F422" s="4" t="s">
        <v>31</v>
      </c>
      <c r="G422" s="4" t="s">
        <v>81</v>
      </c>
      <c r="H422" s="72" t="s">
        <v>245</v>
      </c>
      <c r="I422" s="73">
        <v>3454.5454545454545</v>
      </c>
      <c r="J422" s="72" t="s">
        <v>246</v>
      </c>
    </row>
    <row r="423" spans="2:11" s="7" customFormat="1" x14ac:dyDescent="0.35">
      <c r="B423" s="4" t="s">
        <v>67</v>
      </c>
      <c r="C423" s="4" t="s">
        <v>38</v>
      </c>
      <c r="D423" s="4">
        <v>103</v>
      </c>
      <c r="E423" s="8">
        <v>380000</v>
      </c>
      <c r="F423" s="4" t="s">
        <v>31</v>
      </c>
      <c r="G423" s="4" t="s">
        <v>81</v>
      </c>
      <c r="H423" s="72" t="s">
        <v>245</v>
      </c>
      <c r="I423" s="73">
        <v>3689.3203883495144</v>
      </c>
      <c r="J423" s="72" t="s">
        <v>246</v>
      </c>
    </row>
    <row r="424" spans="2:11" s="7" customFormat="1" x14ac:dyDescent="0.35">
      <c r="B424" s="4" t="s">
        <v>68</v>
      </c>
      <c r="C424" s="4" t="s">
        <v>69</v>
      </c>
      <c r="D424" s="4">
        <v>131</v>
      </c>
      <c r="E424" s="8">
        <v>390000</v>
      </c>
      <c r="F424" s="4" t="s">
        <v>31</v>
      </c>
      <c r="G424" s="4" t="s">
        <v>81</v>
      </c>
      <c r="H424" s="72" t="s">
        <v>245</v>
      </c>
      <c r="I424" s="73">
        <v>2977.0992366412215</v>
      </c>
      <c r="J424" s="72" t="s">
        <v>246</v>
      </c>
    </row>
    <row r="425" spans="2:11" s="7" customFormat="1" x14ac:dyDescent="0.35">
      <c r="B425" s="4" t="s">
        <v>257</v>
      </c>
      <c r="C425" s="4" t="s">
        <v>66</v>
      </c>
      <c r="D425" s="4">
        <v>118</v>
      </c>
      <c r="E425" s="8">
        <v>380000</v>
      </c>
      <c r="F425" s="4" t="s">
        <v>31</v>
      </c>
      <c r="G425" s="4" t="s">
        <v>81</v>
      </c>
      <c r="H425" s="72" t="s">
        <v>245</v>
      </c>
      <c r="I425" s="73">
        <v>3220.3389830508477</v>
      </c>
      <c r="J425" s="72" t="s">
        <v>246</v>
      </c>
    </row>
    <row r="426" spans="2:11" s="7" customFormat="1" x14ac:dyDescent="0.35">
      <c r="B426" s="4" t="s">
        <v>71</v>
      </c>
      <c r="C426" s="4" t="s">
        <v>43</v>
      </c>
      <c r="D426" s="4">
        <v>549</v>
      </c>
      <c r="E426" s="8">
        <v>1000000</v>
      </c>
      <c r="F426" s="4" t="s">
        <v>31</v>
      </c>
      <c r="G426" s="4" t="s">
        <v>81</v>
      </c>
      <c r="H426" s="72" t="s">
        <v>245</v>
      </c>
      <c r="I426" s="73">
        <v>1821.4936247723133</v>
      </c>
      <c r="J426" s="72" t="s">
        <v>246</v>
      </c>
    </row>
    <row r="427" spans="2:11" s="7" customFormat="1" x14ac:dyDescent="0.35">
      <c r="B427" s="4" t="s">
        <v>96</v>
      </c>
      <c r="C427" s="4" t="s">
        <v>255</v>
      </c>
      <c r="D427" s="4">
        <v>122</v>
      </c>
      <c r="E427" s="8">
        <v>390000</v>
      </c>
      <c r="F427" s="4" t="s">
        <v>31</v>
      </c>
      <c r="G427" s="4" t="s">
        <v>81</v>
      </c>
      <c r="H427" s="72" t="s">
        <v>245</v>
      </c>
      <c r="I427" s="73">
        <v>3196.7213114754099</v>
      </c>
      <c r="J427" s="72" t="s">
        <v>246</v>
      </c>
    </row>
    <row r="428" spans="2:11" s="7" customFormat="1" x14ac:dyDescent="0.35">
      <c r="B428" s="4" t="s">
        <v>263</v>
      </c>
      <c r="C428" s="4" t="s">
        <v>264</v>
      </c>
      <c r="D428" s="4">
        <v>297</v>
      </c>
      <c r="E428" s="8">
        <v>480000</v>
      </c>
      <c r="F428" s="4" t="s">
        <v>31</v>
      </c>
      <c r="G428" s="4" t="s">
        <v>81</v>
      </c>
      <c r="H428" s="72" t="s">
        <v>245</v>
      </c>
      <c r="I428" s="73">
        <v>1616.1616161616162</v>
      </c>
      <c r="J428" s="72" t="s">
        <v>246</v>
      </c>
    </row>
    <row r="429" spans="2:11" s="7" customFormat="1" x14ac:dyDescent="0.35">
      <c r="B429" s="4" t="s">
        <v>37</v>
      </c>
      <c r="C429" s="4" t="s">
        <v>38</v>
      </c>
      <c r="D429" s="4">
        <v>134</v>
      </c>
      <c r="E429" s="8">
        <v>390000</v>
      </c>
      <c r="F429" s="4" t="s">
        <v>36</v>
      </c>
      <c r="G429" s="4" t="s">
        <v>81</v>
      </c>
      <c r="H429" s="72" t="s">
        <v>245</v>
      </c>
      <c r="I429" s="73">
        <v>2910.4477611940297</v>
      </c>
      <c r="J429" s="72" t="s">
        <v>246</v>
      </c>
    </row>
    <row r="430" spans="2:11" s="7" customFormat="1" x14ac:dyDescent="0.35">
      <c r="B430" s="4" t="s">
        <v>40</v>
      </c>
      <c r="C430" s="4" t="s">
        <v>41</v>
      </c>
      <c r="D430" s="4">
        <v>123</v>
      </c>
      <c r="E430" s="8">
        <v>420000</v>
      </c>
      <c r="F430" s="4" t="s">
        <v>36</v>
      </c>
      <c r="G430" s="4" t="s">
        <v>81</v>
      </c>
      <c r="H430" s="72" t="s">
        <v>245</v>
      </c>
      <c r="I430" s="73">
        <v>3414.6341463414633</v>
      </c>
      <c r="J430" s="72" t="s">
        <v>246</v>
      </c>
    </row>
    <row r="431" spans="2:11" s="7" customFormat="1" x14ac:dyDescent="0.35">
      <c r="B431" s="4" t="s">
        <v>247</v>
      </c>
      <c r="C431" s="4" t="s">
        <v>248</v>
      </c>
      <c r="D431" s="4">
        <v>118</v>
      </c>
      <c r="E431" s="8">
        <v>420000</v>
      </c>
      <c r="F431" s="4" t="s">
        <v>36</v>
      </c>
      <c r="G431" s="4" t="s">
        <v>81</v>
      </c>
      <c r="H431" s="72" t="s">
        <v>245</v>
      </c>
      <c r="I431" s="73">
        <v>3559.3220338983051</v>
      </c>
      <c r="J431" s="72" t="s">
        <v>246</v>
      </c>
      <c r="K431" s="9"/>
    </row>
    <row r="432" spans="2:11" s="7" customFormat="1" x14ac:dyDescent="0.35">
      <c r="B432" s="4" t="s">
        <v>251</v>
      </c>
      <c r="C432" s="4" t="s">
        <v>252</v>
      </c>
      <c r="D432" s="4">
        <v>103</v>
      </c>
      <c r="E432" s="8">
        <v>400000</v>
      </c>
      <c r="F432" s="4" t="s">
        <v>36</v>
      </c>
      <c r="G432" s="4" t="s">
        <v>81</v>
      </c>
      <c r="H432" s="72" t="s">
        <v>245</v>
      </c>
      <c r="I432" s="73">
        <v>3883.4951456310678</v>
      </c>
      <c r="J432" s="72" t="s">
        <v>246</v>
      </c>
      <c r="K432" s="9"/>
    </row>
    <row r="433" spans="2:11" s="7" customFormat="1" x14ac:dyDescent="0.35">
      <c r="B433" s="4" t="s">
        <v>42</v>
      </c>
      <c r="C433" s="4" t="s">
        <v>43</v>
      </c>
      <c r="D433" s="4">
        <v>358</v>
      </c>
      <c r="E433" s="8">
        <v>1100000</v>
      </c>
      <c r="F433" s="4" t="s">
        <v>36</v>
      </c>
      <c r="G433" s="4" t="s">
        <v>81</v>
      </c>
      <c r="H433" s="72" t="s">
        <v>245</v>
      </c>
      <c r="I433" s="73">
        <v>3072.6256983240223</v>
      </c>
      <c r="J433" s="72" t="s">
        <v>246</v>
      </c>
      <c r="K433" s="9"/>
    </row>
    <row r="434" spans="2:11" s="7" customFormat="1" x14ac:dyDescent="0.35">
      <c r="B434" s="4" t="s">
        <v>253</v>
      </c>
      <c r="C434" s="4" t="s">
        <v>70</v>
      </c>
      <c r="D434" s="4">
        <v>141</v>
      </c>
      <c r="E434" s="8">
        <v>410000</v>
      </c>
      <c r="F434" s="4" t="s">
        <v>36</v>
      </c>
      <c r="G434" s="4" t="s">
        <v>81</v>
      </c>
      <c r="H434" s="72" t="s">
        <v>245</v>
      </c>
      <c r="I434" s="73">
        <v>2907.8014184397161</v>
      </c>
      <c r="J434" s="72" t="s">
        <v>246</v>
      </c>
      <c r="K434" s="9"/>
    </row>
    <row r="435" spans="2:11" s="7" customFormat="1" x14ac:dyDescent="0.35">
      <c r="B435" s="4" t="s">
        <v>29</v>
      </c>
      <c r="C435" s="4" t="s">
        <v>30</v>
      </c>
      <c r="D435" s="4">
        <v>22</v>
      </c>
      <c r="E435" s="8">
        <v>200000</v>
      </c>
      <c r="F435" s="4" t="s">
        <v>36</v>
      </c>
      <c r="G435" s="4" t="s">
        <v>81</v>
      </c>
      <c r="H435" s="72" t="s">
        <v>245</v>
      </c>
      <c r="I435" s="73">
        <v>9090.9090909090901</v>
      </c>
      <c r="J435" s="72" t="s">
        <v>246</v>
      </c>
      <c r="K435" s="9"/>
    </row>
    <row r="436" spans="2:11" s="7" customFormat="1" x14ac:dyDescent="0.35">
      <c r="B436" s="4" t="s">
        <v>47</v>
      </c>
      <c r="C436" s="4" t="s">
        <v>48</v>
      </c>
      <c r="D436" s="4">
        <v>85</v>
      </c>
      <c r="E436" s="8">
        <v>390000</v>
      </c>
      <c r="F436" s="4" t="s">
        <v>36</v>
      </c>
      <c r="G436" s="4" t="s">
        <v>81</v>
      </c>
      <c r="H436" s="72" t="s">
        <v>245</v>
      </c>
      <c r="I436" s="73">
        <v>4588.2352941176468</v>
      </c>
      <c r="J436" s="72" t="s">
        <v>246</v>
      </c>
      <c r="K436" s="9"/>
    </row>
    <row r="437" spans="2:11" s="7" customFormat="1" x14ac:dyDescent="0.35">
      <c r="B437" s="4" t="s">
        <v>55</v>
      </c>
      <c r="C437" s="4" t="s">
        <v>41</v>
      </c>
      <c r="D437" s="4">
        <v>120</v>
      </c>
      <c r="E437" s="8">
        <v>420000</v>
      </c>
      <c r="F437" s="4" t="s">
        <v>36</v>
      </c>
      <c r="G437" s="4" t="s">
        <v>81</v>
      </c>
      <c r="H437" s="72" t="s">
        <v>245</v>
      </c>
      <c r="I437" s="73">
        <v>3500</v>
      </c>
      <c r="J437" s="72" t="s">
        <v>246</v>
      </c>
      <c r="K437" s="9"/>
    </row>
    <row r="438" spans="2:11" s="7" customFormat="1" x14ac:dyDescent="0.35">
      <c r="B438" s="4" t="s">
        <v>58</v>
      </c>
      <c r="C438" s="4" t="s">
        <v>59</v>
      </c>
      <c r="D438" s="4">
        <v>125</v>
      </c>
      <c r="E438" s="8">
        <v>390000</v>
      </c>
      <c r="F438" s="4" t="s">
        <v>36</v>
      </c>
      <c r="G438" s="4" t="s">
        <v>81</v>
      </c>
      <c r="H438" s="72" t="s">
        <v>245</v>
      </c>
      <c r="I438" s="73">
        <v>3120</v>
      </c>
      <c r="J438" s="72" t="s">
        <v>246</v>
      </c>
      <c r="K438" s="9"/>
    </row>
    <row r="439" spans="2:11" s="7" customFormat="1" x14ac:dyDescent="0.35">
      <c r="B439" s="4" t="s">
        <v>97</v>
      </c>
      <c r="C439" s="4" t="s">
        <v>255</v>
      </c>
      <c r="D439" s="4">
        <v>90</v>
      </c>
      <c r="E439" s="8">
        <v>420000</v>
      </c>
      <c r="F439" s="4" t="s">
        <v>36</v>
      </c>
      <c r="G439" s="4" t="s">
        <v>81</v>
      </c>
      <c r="H439" s="72" t="s">
        <v>245</v>
      </c>
      <c r="I439" s="73">
        <v>4666.666666666667</v>
      </c>
      <c r="J439" s="72" t="s">
        <v>246</v>
      </c>
      <c r="K439" s="9"/>
    </row>
    <row r="440" spans="2:11" s="7" customFormat="1" x14ac:dyDescent="0.35">
      <c r="B440" s="4" t="s">
        <v>60</v>
      </c>
      <c r="C440" s="4" t="s">
        <v>61</v>
      </c>
      <c r="D440" s="4">
        <v>80</v>
      </c>
      <c r="E440" s="8">
        <v>420000</v>
      </c>
      <c r="F440" s="4" t="s">
        <v>36</v>
      </c>
      <c r="G440" s="4" t="s">
        <v>81</v>
      </c>
      <c r="H440" s="72" t="s">
        <v>245</v>
      </c>
      <c r="I440" s="73">
        <v>5250</v>
      </c>
      <c r="J440" s="72" t="s">
        <v>246</v>
      </c>
      <c r="K440" s="9"/>
    </row>
    <row r="441" spans="2:11" s="7" customFormat="1" x14ac:dyDescent="0.35">
      <c r="B441" s="4" t="s">
        <v>98</v>
      </c>
      <c r="C441" s="4" t="s">
        <v>38</v>
      </c>
      <c r="D441" s="4">
        <v>133</v>
      </c>
      <c r="E441" s="8">
        <v>390000</v>
      </c>
      <c r="F441" s="4" t="s">
        <v>36</v>
      </c>
      <c r="G441" s="4" t="s">
        <v>81</v>
      </c>
      <c r="H441" s="72" t="s">
        <v>245</v>
      </c>
      <c r="I441" s="73">
        <v>2932.3308270676694</v>
      </c>
      <c r="J441" s="72" t="s">
        <v>246</v>
      </c>
      <c r="K441" s="9"/>
    </row>
    <row r="442" spans="2:11" s="7" customFormat="1" x14ac:dyDescent="0.35">
      <c r="B442" s="4" t="s">
        <v>65</v>
      </c>
      <c r="C442" s="4" t="s">
        <v>66</v>
      </c>
      <c r="D442" s="4">
        <v>140</v>
      </c>
      <c r="E442" s="8">
        <v>390000</v>
      </c>
      <c r="F442" s="4" t="s">
        <v>36</v>
      </c>
      <c r="G442" s="4" t="s">
        <v>81</v>
      </c>
      <c r="H442" s="72" t="s">
        <v>245</v>
      </c>
      <c r="I442" s="73">
        <v>2785.7142857142858</v>
      </c>
      <c r="J442" s="72" t="s">
        <v>246</v>
      </c>
      <c r="K442" s="9"/>
    </row>
    <row r="443" spans="2:11" s="7" customFormat="1" x14ac:dyDescent="0.35">
      <c r="B443" s="4" t="s">
        <v>67</v>
      </c>
      <c r="C443" s="4" t="s">
        <v>38</v>
      </c>
      <c r="D443" s="4">
        <v>130</v>
      </c>
      <c r="E443" s="8">
        <v>390000</v>
      </c>
      <c r="F443" s="4" t="s">
        <v>36</v>
      </c>
      <c r="G443" s="4" t="s">
        <v>81</v>
      </c>
      <c r="H443" s="72" t="s">
        <v>245</v>
      </c>
      <c r="I443" s="73">
        <v>3000</v>
      </c>
      <c r="J443" s="72" t="s">
        <v>246</v>
      </c>
      <c r="K443" s="9"/>
    </row>
    <row r="444" spans="2:11" s="7" customFormat="1" x14ac:dyDescent="0.35">
      <c r="B444" s="4" t="s">
        <v>68</v>
      </c>
      <c r="C444" s="4" t="s">
        <v>69</v>
      </c>
      <c r="D444" s="4">
        <v>90</v>
      </c>
      <c r="E444" s="8">
        <v>400000</v>
      </c>
      <c r="F444" s="4" t="s">
        <v>36</v>
      </c>
      <c r="G444" s="4" t="s">
        <v>81</v>
      </c>
      <c r="H444" s="72" t="s">
        <v>245</v>
      </c>
      <c r="I444" s="73">
        <v>4444.4444444444443</v>
      </c>
      <c r="J444" s="72" t="s">
        <v>246</v>
      </c>
      <c r="K444" s="9"/>
    </row>
    <row r="445" spans="2:11" s="7" customFormat="1" x14ac:dyDescent="0.35">
      <c r="B445" s="4" t="s">
        <v>257</v>
      </c>
      <c r="C445" s="4" t="s">
        <v>66</v>
      </c>
      <c r="D445" s="4">
        <v>144</v>
      </c>
      <c r="E445" s="8">
        <v>390000</v>
      </c>
      <c r="F445" s="4" t="s">
        <v>36</v>
      </c>
      <c r="G445" s="4" t="s">
        <v>81</v>
      </c>
      <c r="H445" s="72" t="s">
        <v>245</v>
      </c>
      <c r="I445" s="73">
        <v>2708.3333333333335</v>
      </c>
      <c r="J445" s="72" t="s">
        <v>246</v>
      </c>
      <c r="K445" s="9"/>
    </row>
    <row r="446" spans="2:11" s="7" customFormat="1" x14ac:dyDescent="0.35">
      <c r="B446" s="4" t="s">
        <v>71</v>
      </c>
      <c r="C446" s="4" t="s">
        <v>43</v>
      </c>
      <c r="D446" s="4">
        <v>408</v>
      </c>
      <c r="E446" s="8">
        <v>1100000</v>
      </c>
      <c r="F446" s="4" t="s">
        <v>36</v>
      </c>
      <c r="G446" s="4" t="s">
        <v>81</v>
      </c>
      <c r="H446" s="72" t="s">
        <v>245</v>
      </c>
      <c r="I446" s="73">
        <v>2696.0784313725489</v>
      </c>
      <c r="J446" s="72" t="s">
        <v>246</v>
      </c>
      <c r="K446" s="9"/>
    </row>
    <row r="447" spans="2:11" s="7" customFormat="1" x14ac:dyDescent="0.35">
      <c r="B447" s="4" t="s">
        <v>96</v>
      </c>
      <c r="C447" s="4" t="s">
        <v>255</v>
      </c>
      <c r="D447" s="4">
        <v>95</v>
      </c>
      <c r="E447" s="8">
        <v>390000</v>
      </c>
      <c r="F447" s="4" t="s">
        <v>36</v>
      </c>
      <c r="G447" s="4" t="s">
        <v>81</v>
      </c>
      <c r="H447" s="72" t="s">
        <v>245</v>
      </c>
      <c r="I447" s="73">
        <v>4105.2631578947367</v>
      </c>
      <c r="J447" s="72" t="s">
        <v>246</v>
      </c>
      <c r="K447" s="9"/>
    </row>
    <row r="448" spans="2:11" s="7" customFormat="1" x14ac:dyDescent="0.35">
      <c r="B448" s="4" t="s">
        <v>263</v>
      </c>
      <c r="C448" s="4" t="s">
        <v>264</v>
      </c>
      <c r="D448" s="4">
        <v>160</v>
      </c>
      <c r="E448" s="8">
        <v>420000</v>
      </c>
      <c r="F448" s="4" t="s">
        <v>36</v>
      </c>
      <c r="G448" s="4" t="s">
        <v>81</v>
      </c>
      <c r="H448" s="72" t="s">
        <v>245</v>
      </c>
      <c r="I448" s="73">
        <v>2625</v>
      </c>
      <c r="J448" s="72" t="s">
        <v>246</v>
      </c>
      <c r="K448" s="9"/>
    </row>
    <row r="449" spans="2:11" s="7" customFormat="1" x14ac:dyDescent="0.35">
      <c r="B449" s="4" t="s">
        <v>37</v>
      </c>
      <c r="C449" s="4" t="s">
        <v>38</v>
      </c>
      <c r="D449" s="4">
        <v>50</v>
      </c>
      <c r="E449" s="8">
        <v>290000</v>
      </c>
      <c r="F449" s="4" t="s">
        <v>35</v>
      </c>
      <c r="G449" s="4" t="s">
        <v>81</v>
      </c>
      <c r="H449" s="72" t="s">
        <v>245</v>
      </c>
      <c r="I449" s="73">
        <v>5800</v>
      </c>
      <c r="J449" s="72" t="s">
        <v>246</v>
      </c>
      <c r="K449" s="9"/>
    </row>
    <row r="450" spans="2:11" s="7" customFormat="1" x14ac:dyDescent="0.35">
      <c r="B450" s="4" t="s">
        <v>40</v>
      </c>
      <c r="C450" s="4" t="s">
        <v>41</v>
      </c>
      <c r="D450" s="4">
        <v>211</v>
      </c>
      <c r="E450" s="8">
        <v>450000</v>
      </c>
      <c r="F450" s="4" t="s">
        <v>35</v>
      </c>
      <c r="G450" s="4" t="s">
        <v>81</v>
      </c>
      <c r="H450" s="72" t="s">
        <v>245</v>
      </c>
      <c r="I450" s="73">
        <v>2132.7014218009481</v>
      </c>
      <c r="J450" s="72" t="s">
        <v>246</v>
      </c>
      <c r="K450" s="9"/>
    </row>
    <row r="451" spans="2:11" s="7" customFormat="1" x14ac:dyDescent="0.35">
      <c r="B451" s="4" t="s">
        <v>247</v>
      </c>
      <c r="C451" s="4" t="s">
        <v>248</v>
      </c>
      <c r="D451" s="4">
        <v>206</v>
      </c>
      <c r="E451" s="8">
        <v>450000</v>
      </c>
      <c r="F451" s="4" t="s">
        <v>35</v>
      </c>
      <c r="G451" s="4" t="s">
        <v>81</v>
      </c>
      <c r="H451" s="72" t="s">
        <v>245</v>
      </c>
      <c r="I451" s="73">
        <v>2184.4660194174758</v>
      </c>
      <c r="J451" s="72" t="s">
        <v>246</v>
      </c>
      <c r="K451" s="9"/>
    </row>
    <row r="452" spans="2:11" s="7" customFormat="1" x14ac:dyDescent="0.35">
      <c r="B452" s="4" t="s">
        <v>251</v>
      </c>
      <c r="C452" s="4" t="s">
        <v>252</v>
      </c>
      <c r="D452" s="4">
        <v>80</v>
      </c>
      <c r="E452" s="8">
        <v>310000</v>
      </c>
      <c r="F452" s="4" t="s">
        <v>35</v>
      </c>
      <c r="G452" s="4" t="s">
        <v>81</v>
      </c>
      <c r="H452" s="72" t="s">
        <v>245</v>
      </c>
      <c r="I452" s="73">
        <v>3875</v>
      </c>
      <c r="J452" s="72" t="s">
        <v>246</v>
      </c>
      <c r="K452" s="9"/>
    </row>
    <row r="453" spans="2:11" s="7" customFormat="1" x14ac:dyDescent="0.35">
      <c r="B453" s="4" t="s">
        <v>42</v>
      </c>
      <c r="C453" s="4" t="s">
        <v>43</v>
      </c>
      <c r="D453" s="4">
        <v>450</v>
      </c>
      <c r="E453" s="8">
        <v>1150000</v>
      </c>
      <c r="F453" s="4" t="s">
        <v>35</v>
      </c>
      <c r="G453" s="4" t="s">
        <v>81</v>
      </c>
      <c r="H453" s="72" t="s">
        <v>245</v>
      </c>
      <c r="I453" s="73">
        <v>2555.5555555555557</v>
      </c>
      <c r="J453" s="72" t="s">
        <v>246</v>
      </c>
      <c r="K453" s="9"/>
    </row>
    <row r="454" spans="2:11" s="7" customFormat="1" x14ac:dyDescent="0.35">
      <c r="B454" s="4" t="s">
        <v>253</v>
      </c>
      <c r="C454" s="4" t="s">
        <v>70</v>
      </c>
      <c r="D454" s="4">
        <v>50</v>
      </c>
      <c r="E454" s="8">
        <v>300000</v>
      </c>
      <c r="F454" s="4" t="s">
        <v>35</v>
      </c>
      <c r="G454" s="4" t="s">
        <v>81</v>
      </c>
      <c r="H454" s="72" t="s">
        <v>245</v>
      </c>
      <c r="I454" s="73">
        <v>6000</v>
      </c>
      <c r="J454" s="72" t="s">
        <v>246</v>
      </c>
      <c r="K454" s="9"/>
    </row>
    <row r="455" spans="2:11" s="7" customFormat="1" x14ac:dyDescent="0.35">
      <c r="B455" s="4" t="s">
        <v>29</v>
      </c>
      <c r="C455" s="4" t="s">
        <v>30</v>
      </c>
      <c r="D455" s="4">
        <v>100</v>
      </c>
      <c r="E455" s="8">
        <v>320000</v>
      </c>
      <c r="F455" s="4" t="s">
        <v>35</v>
      </c>
      <c r="G455" s="4" t="s">
        <v>81</v>
      </c>
      <c r="H455" s="72" t="s">
        <v>245</v>
      </c>
      <c r="I455" s="73">
        <v>3200</v>
      </c>
      <c r="J455" s="72" t="s">
        <v>246</v>
      </c>
      <c r="K455" s="9"/>
    </row>
    <row r="456" spans="2:11" s="7" customFormat="1" x14ac:dyDescent="0.35">
      <c r="B456" s="4" t="s">
        <v>47</v>
      </c>
      <c r="C456" s="4" t="s">
        <v>48</v>
      </c>
      <c r="D456" s="4">
        <v>75</v>
      </c>
      <c r="E456" s="8">
        <v>320000</v>
      </c>
      <c r="F456" s="4" t="s">
        <v>35</v>
      </c>
      <c r="G456" s="4" t="s">
        <v>81</v>
      </c>
      <c r="H456" s="72" t="s">
        <v>245</v>
      </c>
      <c r="I456" s="73">
        <v>4266.666666666667</v>
      </c>
      <c r="J456" s="72" t="s">
        <v>246</v>
      </c>
      <c r="K456" s="9"/>
    </row>
    <row r="457" spans="2:11" s="7" customFormat="1" x14ac:dyDescent="0.35">
      <c r="B457" s="4" t="s">
        <v>55</v>
      </c>
      <c r="C457" s="4" t="s">
        <v>41</v>
      </c>
      <c r="D457" s="4">
        <v>210</v>
      </c>
      <c r="E457" s="8">
        <v>450000</v>
      </c>
      <c r="F457" s="4" t="s">
        <v>35</v>
      </c>
      <c r="G457" s="4" t="s">
        <v>81</v>
      </c>
      <c r="H457" s="72" t="s">
        <v>245</v>
      </c>
      <c r="I457" s="73">
        <v>2142.8571428571427</v>
      </c>
      <c r="J457" s="72" t="s">
        <v>246</v>
      </c>
      <c r="K457" s="9"/>
    </row>
    <row r="458" spans="2:11" s="7" customFormat="1" x14ac:dyDescent="0.35">
      <c r="B458" s="4" t="s">
        <v>58</v>
      </c>
      <c r="C458" s="4" t="s">
        <v>59</v>
      </c>
      <c r="D458" s="4">
        <v>35</v>
      </c>
      <c r="E458" s="8">
        <v>290000</v>
      </c>
      <c r="F458" s="4" t="s">
        <v>35</v>
      </c>
      <c r="G458" s="4" t="s">
        <v>81</v>
      </c>
      <c r="H458" s="72" t="s">
        <v>245</v>
      </c>
      <c r="I458" s="73">
        <v>8285.7142857142862</v>
      </c>
      <c r="J458" s="72" t="s">
        <v>246</v>
      </c>
      <c r="K458" s="9"/>
    </row>
    <row r="459" spans="2:11" s="7" customFormat="1" x14ac:dyDescent="0.35">
      <c r="B459" s="4" t="s">
        <v>97</v>
      </c>
      <c r="C459" s="4" t="s">
        <v>255</v>
      </c>
      <c r="D459" s="4">
        <v>75</v>
      </c>
      <c r="E459" s="8">
        <v>330000</v>
      </c>
      <c r="F459" s="4" t="s">
        <v>35</v>
      </c>
      <c r="G459" s="4" t="s">
        <v>81</v>
      </c>
      <c r="H459" s="72" t="s">
        <v>245</v>
      </c>
      <c r="I459" s="73">
        <v>4400</v>
      </c>
      <c r="J459" s="72" t="s">
        <v>246</v>
      </c>
      <c r="K459" s="9"/>
    </row>
    <row r="460" spans="2:11" s="7" customFormat="1" x14ac:dyDescent="0.35">
      <c r="B460" s="4" t="s">
        <v>60</v>
      </c>
      <c r="C460" s="4" t="s">
        <v>61</v>
      </c>
      <c r="D460" s="4">
        <v>75</v>
      </c>
      <c r="E460" s="8">
        <v>350000</v>
      </c>
      <c r="F460" s="4" t="s">
        <v>35</v>
      </c>
      <c r="G460" s="4" t="s">
        <v>81</v>
      </c>
      <c r="H460" s="72" t="s">
        <v>245</v>
      </c>
      <c r="I460" s="73">
        <v>4666.666666666667</v>
      </c>
      <c r="J460" s="72" t="s">
        <v>246</v>
      </c>
      <c r="K460" s="9"/>
    </row>
    <row r="461" spans="2:11" s="7" customFormat="1" x14ac:dyDescent="0.35">
      <c r="B461" s="4" t="s">
        <v>98</v>
      </c>
      <c r="C461" s="4" t="s">
        <v>38</v>
      </c>
      <c r="D461" s="4">
        <v>45</v>
      </c>
      <c r="E461" s="8">
        <v>290000</v>
      </c>
      <c r="F461" s="4" t="s">
        <v>35</v>
      </c>
      <c r="G461" s="4" t="s">
        <v>81</v>
      </c>
      <c r="H461" s="72" t="s">
        <v>245</v>
      </c>
      <c r="I461" s="73">
        <v>6444.4444444444443</v>
      </c>
      <c r="J461" s="72" t="s">
        <v>246</v>
      </c>
      <c r="K461" s="9"/>
    </row>
    <row r="462" spans="2:11" s="7" customFormat="1" x14ac:dyDescent="0.35">
      <c r="B462" s="4" t="s">
        <v>65</v>
      </c>
      <c r="C462" s="4" t="s">
        <v>66</v>
      </c>
      <c r="D462" s="4">
        <v>45</v>
      </c>
      <c r="E462" s="8">
        <v>290000</v>
      </c>
      <c r="F462" s="4" t="s">
        <v>35</v>
      </c>
      <c r="G462" s="4" t="s">
        <v>81</v>
      </c>
      <c r="H462" s="72" t="s">
        <v>245</v>
      </c>
      <c r="I462" s="73">
        <v>6444.4444444444443</v>
      </c>
      <c r="J462" s="72" t="s">
        <v>246</v>
      </c>
      <c r="K462" s="9"/>
    </row>
    <row r="463" spans="2:11" s="7" customFormat="1" x14ac:dyDescent="0.35">
      <c r="B463" s="4" t="s">
        <v>67</v>
      </c>
      <c r="C463" s="4" t="s">
        <v>38</v>
      </c>
      <c r="D463" s="4">
        <v>40</v>
      </c>
      <c r="E463" s="8">
        <v>290000</v>
      </c>
      <c r="F463" s="4" t="s">
        <v>35</v>
      </c>
      <c r="G463" s="4" t="s">
        <v>81</v>
      </c>
      <c r="H463" s="72" t="s">
        <v>245</v>
      </c>
      <c r="I463" s="73">
        <v>7250</v>
      </c>
      <c r="J463" s="72" t="s">
        <v>246</v>
      </c>
      <c r="K463" s="9"/>
    </row>
    <row r="464" spans="2:11" s="7" customFormat="1" x14ac:dyDescent="0.35">
      <c r="B464" s="4" t="s">
        <v>68</v>
      </c>
      <c r="C464" s="4" t="s">
        <v>69</v>
      </c>
      <c r="D464" s="4">
        <v>80</v>
      </c>
      <c r="E464" s="8">
        <v>310000</v>
      </c>
      <c r="F464" s="4" t="s">
        <v>35</v>
      </c>
      <c r="G464" s="4" t="s">
        <v>81</v>
      </c>
      <c r="H464" s="72" t="s">
        <v>245</v>
      </c>
      <c r="I464" s="73">
        <v>3875</v>
      </c>
      <c r="J464" s="72" t="s">
        <v>246</v>
      </c>
      <c r="K464" s="9"/>
    </row>
    <row r="465" spans="2:11" s="7" customFormat="1" x14ac:dyDescent="0.35">
      <c r="B465" s="4" t="s">
        <v>257</v>
      </c>
      <c r="C465" s="4" t="s">
        <v>66</v>
      </c>
      <c r="D465" s="4">
        <v>60</v>
      </c>
      <c r="E465" s="8">
        <v>290000</v>
      </c>
      <c r="F465" s="4" t="s">
        <v>35</v>
      </c>
      <c r="G465" s="4" t="s">
        <v>81</v>
      </c>
      <c r="H465" s="72" t="s">
        <v>245</v>
      </c>
      <c r="I465" s="73">
        <v>4833.333333333333</v>
      </c>
      <c r="J465" s="72" t="s">
        <v>246</v>
      </c>
      <c r="K465" s="9"/>
    </row>
    <row r="466" spans="2:11" s="7" customFormat="1" x14ac:dyDescent="0.35">
      <c r="B466" s="4" t="s">
        <v>71</v>
      </c>
      <c r="C466" s="4" t="s">
        <v>43</v>
      </c>
      <c r="D466" s="4">
        <v>50</v>
      </c>
      <c r="E466" s="8">
        <v>1150000</v>
      </c>
      <c r="F466" s="4" t="s">
        <v>35</v>
      </c>
      <c r="G466" s="4" t="s">
        <v>81</v>
      </c>
      <c r="H466" s="72" t="s">
        <v>245</v>
      </c>
      <c r="I466" s="73">
        <v>23000</v>
      </c>
      <c r="J466" s="72" t="s">
        <v>246</v>
      </c>
      <c r="K466" s="9"/>
    </row>
    <row r="467" spans="2:11" s="7" customFormat="1" x14ac:dyDescent="0.35">
      <c r="B467" s="4" t="s">
        <v>96</v>
      </c>
      <c r="C467" s="4" t="s">
        <v>255</v>
      </c>
      <c r="D467" s="4">
        <v>60</v>
      </c>
      <c r="E467" s="8">
        <v>320000</v>
      </c>
      <c r="F467" s="4" t="s">
        <v>35</v>
      </c>
      <c r="G467" s="4" t="s">
        <v>81</v>
      </c>
      <c r="H467" s="72" t="s">
        <v>245</v>
      </c>
      <c r="I467" s="73">
        <v>5333.333333333333</v>
      </c>
      <c r="J467" s="72" t="s">
        <v>246</v>
      </c>
      <c r="K467" s="9"/>
    </row>
    <row r="468" spans="2:11" s="7" customFormat="1" x14ac:dyDescent="0.35">
      <c r="B468" s="4" t="s">
        <v>263</v>
      </c>
      <c r="C468" s="4" t="s">
        <v>264</v>
      </c>
      <c r="D468" s="4">
        <v>250</v>
      </c>
      <c r="E468" s="8">
        <v>450000</v>
      </c>
      <c r="F468" s="4" t="s">
        <v>35</v>
      </c>
      <c r="G468" s="4" t="s">
        <v>81</v>
      </c>
      <c r="H468" s="72" t="s">
        <v>245</v>
      </c>
      <c r="I468" s="73">
        <v>1800</v>
      </c>
      <c r="J468" s="72" t="s">
        <v>246</v>
      </c>
      <c r="K468" s="9"/>
    </row>
    <row r="469" spans="2:11" s="7" customFormat="1" x14ac:dyDescent="0.35">
      <c r="B469" s="4" t="s">
        <v>37</v>
      </c>
      <c r="C469" s="4" t="s">
        <v>38</v>
      </c>
      <c r="D469" s="4">
        <v>108</v>
      </c>
      <c r="E469" s="8">
        <v>380000</v>
      </c>
      <c r="F469" s="4" t="s">
        <v>31</v>
      </c>
      <c r="G469" s="4" t="s">
        <v>267</v>
      </c>
      <c r="H469" s="72" t="s">
        <v>245</v>
      </c>
      <c r="I469" s="73">
        <v>3518.5185185185187</v>
      </c>
      <c r="J469" s="72" t="s">
        <v>246</v>
      </c>
      <c r="K469" s="9"/>
    </row>
    <row r="470" spans="2:11" s="7" customFormat="1" x14ac:dyDescent="0.35">
      <c r="B470" s="4" t="s">
        <v>40</v>
      </c>
      <c r="C470" s="4" t="s">
        <v>41</v>
      </c>
      <c r="D470" s="4">
        <v>264</v>
      </c>
      <c r="E470" s="8">
        <v>700000</v>
      </c>
      <c r="F470" s="4" t="s">
        <v>31</v>
      </c>
      <c r="G470" s="4" t="s">
        <v>267</v>
      </c>
      <c r="H470" s="72" t="s">
        <v>245</v>
      </c>
      <c r="I470" s="73">
        <v>2651.5151515151515</v>
      </c>
      <c r="J470" s="72" t="s">
        <v>246</v>
      </c>
      <c r="K470" s="9"/>
    </row>
    <row r="471" spans="2:11" s="7" customFormat="1" x14ac:dyDescent="0.35">
      <c r="B471" s="4" t="s">
        <v>247</v>
      </c>
      <c r="C471" s="4" t="s">
        <v>248</v>
      </c>
      <c r="D471" s="4">
        <v>258</v>
      </c>
      <c r="E471" s="8">
        <v>700000</v>
      </c>
      <c r="F471" s="4" t="s">
        <v>31</v>
      </c>
      <c r="G471" s="4" t="s">
        <v>267</v>
      </c>
      <c r="H471" s="72" t="s">
        <v>245</v>
      </c>
      <c r="I471" s="73">
        <v>2713.1782945736436</v>
      </c>
      <c r="J471" s="72" t="s">
        <v>246</v>
      </c>
      <c r="K471" s="9"/>
    </row>
    <row r="472" spans="2:11" s="7" customFormat="1" x14ac:dyDescent="0.35">
      <c r="B472" s="4" t="s">
        <v>251</v>
      </c>
      <c r="C472" s="4" t="s">
        <v>252</v>
      </c>
      <c r="D472" s="4">
        <v>143</v>
      </c>
      <c r="E472" s="8">
        <v>400000</v>
      </c>
      <c r="F472" s="4" t="s">
        <v>31</v>
      </c>
      <c r="G472" s="4" t="s">
        <v>267</v>
      </c>
      <c r="H472" s="72" t="s">
        <v>245</v>
      </c>
      <c r="I472" s="73">
        <v>2797.2027972027972</v>
      </c>
      <c r="J472" s="72" t="s">
        <v>246</v>
      </c>
      <c r="K472" s="9"/>
    </row>
    <row r="473" spans="2:11" s="7" customFormat="1" x14ac:dyDescent="0.35">
      <c r="B473" s="4" t="s">
        <v>42</v>
      </c>
      <c r="C473" s="4" t="s">
        <v>43</v>
      </c>
      <c r="D473" s="4">
        <v>499</v>
      </c>
      <c r="E473" s="8">
        <v>1250000</v>
      </c>
      <c r="F473" s="4" t="s">
        <v>31</v>
      </c>
      <c r="G473" s="4" t="s">
        <v>267</v>
      </c>
      <c r="H473" s="72" t="s">
        <v>245</v>
      </c>
      <c r="I473" s="73">
        <v>2505.0100200400802</v>
      </c>
      <c r="J473" s="72" t="s">
        <v>246</v>
      </c>
      <c r="K473" s="9"/>
    </row>
    <row r="474" spans="2:11" s="7" customFormat="1" x14ac:dyDescent="0.35">
      <c r="B474" s="4" t="s">
        <v>253</v>
      </c>
      <c r="C474" s="4" t="s">
        <v>70</v>
      </c>
      <c r="D474" s="4">
        <v>113</v>
      </c>
      <c r="E474" s="8">
        <v>380000</v>
      </c>
      <c r="F474" s="4" t="s">
        <v>31</v>
      </c>
      <c r="G474" s="4" t="s">
        <v>267</v>
      </c>
      <c r="H474" s="72" t="s">
        <v>245</v>
      </c>
      <c r="I474" s="73">
        <v>3362.8318584070798</v>
      </c>
      <c r="J474" s="72" t="s">
        <v>246</v>
      </c>
      <c r="K474" s="9"/>
    </row>
    <row r="475" spans="2:11" s="7" customFormat="1" x14ac:dyDescent="0.35">
      <c r="B475" s="4" t="s">
        <v>249</v>
      </c>
      <c r="C475" s="4" t="s">
        <v>44</v>
      </c>
      <c r="D475" s="4">
        <v>150</v>
      </c>
      <c r="E475" s="8">
        <v>380000</v>
      </c>
      <c r="F475" s="4" t="s">
        <v>31</v>
      </c>
      <c r="G475" s="4" t="s">
        <v>267</v>
      </c>
      <c r="H475" s="72" t="s">
        <v>245</v>
      </c>
      <c r="I475" s="73">
        <v>2533.3333333333335</v>
      </c>
      <c r="J475" s="72" t="s">
        <v>246</v>
      </c>
      <c r="K475" s="9"/>
    </row>
    <row r="476" spans="2:11" s="7" customFormat="1" x14ac:dyDescent="0.35">
      <c r="B476" s="4" t="s">
        <v>29</v>
      </c>
      <c r="C476" s="4" t="s">
        <v>30</v>
      </c>
      <c r="D476" s="4">
        <v>240</v>
      </c>
      <c r="E476" s="8">
        <v>380000</v>
      </c>
      <c r="F476" s="4" t="s">
        <v>31</v>
      </c>
      <c r="G476" s="4" t="s">
        <v>267</v>
      </c>
      <c r="H476" s="72" t="s">
        <v>245</v>
      </c>
      <c r="I476" s="73">
        <v>1583.3333333333333</v>
      </c>
      <c r="J476" s="72" t="s">
        <v>246</v>
      </c>
      <c r="K476" s="9"/>
    </row>
    <row r="477" spans="2:11" s="7" customFormat="1" x14ac:dyDescent="0.35">
      <c r="B477" s="4" t="s">
        <v>45</v>
      </c>
      <c r="C477" s="4" t="s">
        <v>46</v>
      </c>
      <c r="D477" s="4">
        <v>240</v>
      </c>
      <c r="E477" s="8">
        <v>550000</v>
      </c>
      <c r="F477" s="4" t="s">
        <v>31</v>
      </c>
      <c r="G477" s="4" t="s">
        <v>267</v>
      </c>
      <c r="H477" s="72" t="s">
        <v>245</v>
      </c>
      <c r="I477" s="73">
        <v>2291.6666666666665</v>
      </c>
      <c r="J477" s="72" t="s">
        <v>246</v>
      </c>
      <c r="K477" s="9"/>
    </row>
    <row r="478" spans="2:11" s="7" customFormat="1" x14ac:dyDescent="0.35">
      <c r="B478" s="4" t="s">
        <v>47</v>
      </c>
      <c r="C478" s="4" t="s">
        <v>48</v>
      </c>
      <c r="D478" s="4">
        <v>124</v>
      </c>
      <c r="E478" s="8">
        <v>380000</v>
      </c>
      <c r="F478" s="4" t="s">
        <v>31</v>
      </c>
      <c r="G478" s="4" t="s">
        <v>267</v>
      </c>
      <c r="H478" s="72" t="s">
        <v>245</v>
      </c>
      <c r="I478" s="73">
        <v>3064.516129032258</v>
      </c>
      <c r="J478" s="72" t="s">
        <v>246</v>
      </c>
      <c r="K478" s="9"/>
    </row>
    <row r="479" spans="2:11" s="7" customFormat="1" x14ac:dyDescent="0.35">
      <c r="B479" s="4" t="s">
        <v>49</v>
      </c>
      <c r="C479" s="4" t="s">
        <v>50</v>
      </c>
      <c r="D479" s="4">
        <v>3</v>
      </c>
      <c r="E479" s="8">
        <v>220000</v>
      </c>
      <c r="F479" s="4" t="s">
        <v>31</v>
      </c>
      <c r="G479" s="4" t="s">
        <v>267</v>
      </c>
      <c r="H479" s="72" t="s">
        <v>245</v>
      </c>
      <c r="I479" s="73">
        <v>73333.333333333328</v>
      </c>
      <c r="J479" s="72" t="s">
        <v>246</v>
      </c>
      <c r="K479" s="9"/>
    </row>
    <row r="480" spans="2:11" s="7" customFormat="1" x14ac:dyDescent="0.35">
      <c r="B480" s="4" t="s">
        <v>95</v>
      </c>
      <c r="C480" s="4" t="s">
        <v>254</v>
      </c>
      <c r="D480" s="4">
        <v>208</v>
      </c>
      <c r="E480" s="8">
        <v>550000</v>
      </c>
      <c r="F480" s="4" t="s">
        <v>31</v>
      </c>
      <c r="G480" s="4" t="s">
        <v>267</v>
      </c>
      <c r="H480" s="72" t="s">
        <v>245</v>
      </c>
      <c r="I480" s="73">
        <v>2644.2307692307691</v>
      </c>
      <c r="J480" s="72" t="s">
        <v>246</v>
      </c>
      <c r="K480" s="9"/>
    </row>
    <row r="481" spans="2:11" s="7" customFormat="1" x14ac:dyDescent="0.35">
      <c r="B481" s="4" t="s">
        <v>51</v>
      </c>
      <c r="C481" s="4" t="s">
        <v>50</v>
      </c>
      <c r="D481" s="4">
        <v>3</v>
      </c>
      <c r="E481" s="8">
        <v>220000</v>
      </c>
      <c r="F481" s="4" t="s">
        <v>31</v>
      </c>
      <c r="G481" s="4" t="s">
        <v>267</v>
      </c>
      <c r="H481" s="72" t="s">
        <v>245</v>
      </c>
      <c r="I481" s="73">
        <v>73333.333333333328</v>
      </c>
      <c r="J481" s="72" t="s">
        <v>246</v>
      </c>
      <c r="K481" s="9"/>
    </row>
    <row r="482" spans="2:11" s="7" customFormat="1" x14ac:dyDescent="0.35">
      <c r="B482" s="4" t="s">
        <v>55</v>
      </c>
      <c r="C482" s="4" t="s">
        <v>41</v>
      </c>
      <c r="D482" s="4">
        <v>260</v>
      </c>
      <c r="E482" s="8">
        <v>700000</v>
      </c>
      <c r="F482" s="4" t="s">
        <v>31</v>
      </c>
      <c r="G482" s="4" t="s">
        <v>267</v>
      </c>
      <c r="H482" s="72" t="s">
        <v>245</v>
      </c>
      <c r="I482" s="73">
        <v>2692.3076923076924</v>
      </c>
      <c r="J482" s="72" t="s">
        <v>246</v>
      </c>
      <c r="K482" s="9"/>
    </row>
    <row r="483" spans="2:11" s="7" customFormat="1" x14ac:dyDescent="0.35">
      <c r="B483" s="4" t="s">
        <v>52</v>
      </c>
      <c r="C483" s="4" t="s">
        <v>53</v>
      </c>
      <c r="D483" s="4">
        <v>45</v>
      </c>
      <c r="E483" s="8">
        <v>260000</v>
      </c>
      <c r="F483" s="4" t="s">
        <v>31</v>
      </c>
      <c r="G483" s="4" t="s">
        <v>267</v>
      </c>
      <c r="H483" s="72" t="s">
        <v>245</v>
      </c>
      <c r="I483" s="73">
        <v>5777.7777777777774</v>
      </c>
      <c r="J483" s="72" t="s">
        <v>246</v>
      </c>
      <c r="K483" s="9"/>
    </row>
    <row r="484" spans="2:11" s="7" customFormat="1" x14ac:dyDescent="0.35">
      <c r="B484" s="4" t="s">
        <v>58</v>
      </c>
      <c r="C484" s="4" t="s">
        <v>59</v>
      </c>
      <c r="D484" s="4">
        <v>98</v>
      </c>
      <c r="E484" s="8">
        <v>380000</v>
      </c>
      <c r="F484" s="4" t="s">
        <v>31</v>
      </c>
      <c r="G484" s="4" t="s">
        <v>267</v>
      </c>
      <c r="H484" s="72" t="s">
        <v>245</v>
      </c>
      <c r="I484" s="73">
        <v>3877.5510204081634</v>
      </c>
      <c r="J484" s="72" t="s">
        <v>246</v>
      </c>
      <c r="K484" s="9"/>
    </row>
    <row r="485" spans="2:11" s="7" customFormat="1" x14ac:dyDescent="0.35">
      <c r="B485" s="4" t="s">
        <v>97</v>
      </c>
      <c r="C485" s="4" t="s">
        <v>255</v>
      </c>
      <c r="D485" s="4">
        <v>125</v>
      </c>
      <c r="E485" s="8">
        <v>380000</v>
      </c>
      <c r="F485" s="4" t="s">
        <v>31</v>
      </c>
      <c r="G485" s="4" t="s">
        <v>267</v>
      </c>
      <c r="H485" s="72" t="s">
        <v>245</v>
      </c>
      <c r="I485" s="73">
        <v>3040</v>
      </c>
      <c r="J485" s="72" t="s">
        <v>246</v>
      </c>
      <c r="K485" s="9"/>
    </row>
    <row r="486" spans="2:11" s="7" customFormat="1" x14ac:dyDescent="0.35">
      <c r="B486" s="4" t="s">
        <v>60</v>
      </c>
      <c r="C486" s="4" t="s">
        <v>61</v>
      </c>
      <c r="D486" s="4">
        <v>128</v>
      </c>
      <c r="E486" s="8">
        <v>380000</v>
      </c>
      <c r="F486" s="4" t="s">
        <v>31</v>
      </c>
      <c r="G486" s="4" t="s">
        <v>267</v>
      </c>
      <c r="H486" s="72" t="s">
        <v>245</v>
      </c>
      <c r="I486" s="73">
        <v>2968.75</v>
      </c>
      <c r="J486" s="72" t="s">
        <v>246</v>
      </c>
      <c r="K486" s="9"/>
    </row>
    <row r="487" spans="2:11" s="7" customFormat="1" x14ac:dyDescent="0.35">
      <c r="B487" s="4" t="s">
        <v>62</v>
      </c>
      <c r="C487" s="4" t="s">
        <v>63</v>
      </c>
      <c r="D487" s="4">
        <v>16</v>
      </c>
      <c r="E487" s="8">
        <v>220000</v>
      </c>
      <c r="F487" s="4" t="s">
        <v>31</v>
      </c>
      <c r="G487" s="4" t="s">
        <v>267</v>
      </c>
      <c r="H487" s="72" t="s">
        <v>245</v>
      </c>
      <c r="I487" s="73">
        <v>13750</v>
      </c>
      <c r="J487" s="72" t="s">
        <v>246</v>
      </c>
      <c r="K487" s="9"/>
    </row>
    <row r="488" spans="2:11" s="7" customFormat="1" x14ac:dyDescent="0.35">
      <c r="B488" s="4" t="s">
        <v>98</v>
      </c>
      <c r="C488" s="4" t="s">
        <v>38</v>
      </c>
      <c r="D488" s="4">
        <v>110</v>
      </c>
      <c r="E488" s="8">
        <v>380000</v>
      </c>
      <c r="F488" s="4" t="s">
        <v>31</v>
      </c>
      <c r="G488" s="4" t="s">
        <v>267</v>
      </c>
      <c r="H488" s="72" t="s">
        <v>245</v>
      </c>
      <c r="I488" s="73">
        <v>3454.5454545454545</v>
      </c>
      <c r="J488" s="72" t="s">
        <v>246</v>
      </c>
      <c r="K488" s="9"/>
    </row>
    <row r="489" spans="2:11" s="7" customFormat="1" x14ac:dyDescent="0.35">
      <c r="B489" s="4" t="s">
        <v>256</v>
      </c>
      <c r="C489" s="4" t="s">
        <v>64</v>
      </c>
      <c r="D489" s="4">
        <v>40</v>
      </c>
      <c r="E489" s="8">
        <v>350000</v>
      </c>
      <c r="F489" s="4" t="s">
        <v>31</v>
      </c>
      <c r="G489" s="4" t="s">
        <v>267</v>
      </c>
      <c r="H489" s="72" t="s">
        <v>245</v>
      </c>
      <c r="I489" s="73">
        <v>8750</v>
      </c>
      <c r="J489" s="72" t="s">
        <v>246</v>
      </c>
      <c r="K489" s="9"/>
    </row>
    <row r="490" spans="2:11" s="7" customFormat="1" x14ac:dyDescent="0.35">
      <c r="B490" s="4" t="s">
        <v>65</v>
      </c>
      <c r="C490" s="4" t="s">
        <v>66</v>
      </c>
      <c r="D490" s="4">
        <v>110</v>
      </c>
      <c r="E490" s="8">
        <v>380000</v>
      </c>
      <c r="F490" s="4" t="s">
        <v>31</v>
      </c>
      <c r="G490" s="4" t="s">
        <v>267</v>
      </c>
      <c r="H490" s="72" t="s">
        <v>245</v>
      </c>
      <c r="I490" s="73">
        <v>3454.5454545454545</v>
      </c>
      <c r="J490" s="72" t="s">
        <v>246</v>
      </c>
      <c r="K490" s="9"/>
    </row>
    <row r="491" spans="2:11" s="7" customFormat="1" x14ac:dyDescent="0.35">
      <c r="B491" s="4" t="s">
        <v>67</v>
      </c>
      <c r="C491" s="4" t="s">
        <v>38</v>
      </c>
      <c r="D491" s="4">
        <v>103</v>
      </c>
      <c r="E491" s="8">
        <v>380000</v>
      </c>
      <c r="F491" s="4" t="s">
        <v>31</v>
      </c>
      <c r="G491" s="4" t="s">
        <v>267</v>
      </c>
      <c r="H491" s="72" t="s">
        <v>245</v>
      </c>
      <c r="I491" s="73">
        <v>3689.3203883495144</v>
      </c>
      <c r="J491" s="72" t="s">
        <v>246</v>
      </c>
      <c r="K491" s="9"/>
    </row>
    <row r="492" spans="2:11" s="7" customFormat="1" x14ac:dyDescent="0.35">
      <c r="B492" s="4" t="s">
        <v>68</v>
      </c>
      <c r="C492" s="4" t="s">
        <v>69</v>
      </c>
      <c r="D492" s="4">
        <v>131</v>
      </c>
      <c r="E492" s="8">
        <v>380000</v>
      </c>
      <c r="F492" s="4" t="s">
        <v>31</v>
      </c>
      <c r="G492" s="4" t="s">
        <v>267</v>
      </c>
      <c r="H492" s="72" t="s">
        <v>245</v>
      </c>
      <c r="I492" s="73">
        <v>2900.7633587786258</v>
      </c>
      <c r="J492" s="72" t="s">
        <v>246</v>
      </c>
      <c r="K492" s="9"/>
    </row>
    <row r="493" spans="2:11" s="7" customFormat="1" x14ac:dyDescent="0.35">
      <c r="B493" s="4" t="s">
        <v>33</v>
      </c>
      <c r="C493" s="4" t="s">
        <v>34</v>
      </c>
      <c r="D493" s="4">
        <v>85</v>
      </c>
      <c r="E493" s="8">
        <v>380000</v>
      </c>
      <c r="F493" s="4" t="s">
        <v>31</v>
      </c>
      <c r="G493" s="4" t="s">
        <v>267</v>
      </c>
      <c r="H493" s="72" t="s">
        <v>245</v>
      </c>
      <c r="I493" s="73">
        <v>4470.588235294118</v>
      </c>
      <c r="J493" s="72" t="s">
        <v>246</v>
      </c>
      <c r="K493" s="9"/>
    </row>
    <row r="494" spans="2:11" s="7" customFormat="1" x14ac:dyDescent="0.35">
      <c r="B494" s="4" t="s">
        <v>257</v>
      </c>
      <c r="C494" s="4" t="s">
        <v>66</v>
      </c>
      <c r="D494" s="4">
        <v>118</v>
      </c>
      <c r="E494" s="8">
        <v>380000</v>
      </c>
      <c r="F494" s="4" t="s">
        <v>31</v>
      </c>
      <c r="G494" s="4" t="s">
        <v>267</v>
      </c>
      <c r="H494" s="72" t="s">
        <v>245</v>
      </c>
      <c r="I494" s="73">
        <v>3220.3389830508477</v>
      </c>
      <c r="J494" s="72" t="s">
        <v>246</v>
      </c>
      <c r="K494" s="9"/>
    </row>
    <row r="495" spans="2:11" s="7" customFormat="1" x14ac:dyDescent="0.35">
      <c r="B495" s="4" t="s">
        <v>71</v>
      </c>
      <c r="C495" s="4" t="s">
        <v>43</v>
      </c>
      <c r="D495" s="4">
        <v>549</v>
      </c>
      <c r="E495" s="8">
        <v>1250000</v>
      </c>
      <c r="F495" s="4" t="s">
        <v>31</v>
      </c>
      <c r="G495" s="4" t="s">
        <v>267</v>
      </c>
      <c r="H495" s="72" t="s">
        <v>245</v>
      </c>
      <c r="I495" s="73">
        <v>2276.8670309653917</v>
      </c>
      <c r="J495" s="72" t="s">
        <v>246</v>
      </c>
      <c r="K495" s="9"/>
    </row>
    <row r="496" spans="2:11" s="7" customFormat="1" x14ac:dyDescent="0.35">
      <c r="B496" s="4" t="s">
        <v>72</v>
      </c>
      <c r="C496" s="4" t="s">
        <v>73</v>
      </c>
      <c r="D496" s="4">
        <v>165</v>
      </c>
      <c r="E496" s="8">
        <v>450000</v>
      </c>
      <c r="F496" s="4" t="s">
        <v>31</v>
      </c>
      <c r="G496" s="4" t="s">
        <v>267</v>
      </c>
      <c r="H496" s="72" t="s">
        <v>245</v>
      </c>
      <c r="I496" s="73">
        <v>2727.2727272727275</v>
      </c>
      <c r="J496" s="72" t="s">
        <v>246</v>
      </c>
      <c r="K496" s="9"/>
    </row>
    <row r="497" spans="2:11" s="7" customFormat="1" x14ac:dyDescent="0.35">
      <c r="B497" s="4" t="s">
        <v>56</v>
      </c>
      <c r="C497" s="4" t="s">
        <v>57</v>
      </c>
      <c r="D497" s="4">
        <v>100</v>
      </c>
      <c r="E497" s="8">
        <v>320000</v>
      </c>
      <c r="F497" s="4" t="s">
        <v>31</v>
      </c>
      <c r="G497" s="4" t="s">
        <v>267</v>
      </c>
      <c r="H497" s="72" t="s">
        <v>245</v>
      </c>
      <c r="I497" s="73">
        <v>3200</v>
      </c>
      <c r="J497" s="72" t="s">
        <v>246</v>
      </c>
      <c r="K497" s="9"/>
    </row>
    <row r="498" spans="2:11" s="7" customFormat="1" x14ac:dyDescent="0.35">
      <c r="B498" s="4" t="s">
        <v>260</v>
      </c>
      <c r="C498" s="4" t="s">
        <v>261</v>
      </c>
      <c r="D498" s="4">
        <v>162</v>
      </c>
      <c r="E498" s="8">
        <v>450000</v>
      </c>
      <c r="F498" s="4" t="s">
        <v>31</v>
      </c>
      <c r="G498" s="4" t="s">
        <v>267</v>
      </c>
      <c r="H498" s="72" t="s">
        <v>245</v>
      </c>
      <c r="I498" s="73">
        <v>2777.7777777777778</v>
      </c>
      <c r="J498" s="72" t="s">
        <v>246</v>
      </c>
      <c r="K498" s="9"/>
    </row>
    <row r="499" spans="2:11" s="7" customFormat="1" x14ac:dyDescent="0.35">
      <c r="B499" s="4" t="s">
        <v>74</v>
      </c>
      <c r="C499" s="4" t="s">
        <v>75</v>
      </c>
      <c r="D499" s="4">
        <v>10</v>
      </c>
      <c r="E499" s="8">
        <v>220000</v>
      </c>
      <c r="F499" s="4" t="s">
        <v>31</v>
      </c>
      <c r="G499" s="4" t="s">
        <v>267</v>
      </c>
      <c r="H499" s="72" t="s">
        <v>245</v>
      </c>
      <c r="I499" s="73">
        <v>22000</v>
      </c>
      <c r="J499" s="72" t="s">
        <v>246</v>
      </c>
      <c r="K499" s="9"/>
    </row>
    <row r="500" spans="2:11" s="7" customFormat="1" x14ac:dyDescent="0.35">
      <c r="B500" s="4" t="s">
        <v>76</v>
      </c>
      <c r="C500" s="4" t="s">
        <v>262</v>
      </c>
      <c r="D500" s="4">
        <v>20</v>
      </c>
      <c r="E500" s="8">
        <v>220000</v>
      </c>
      <c r="F500" s="4" t="s">
        <v>31</v>
      </c>
      <c r="G500" s="4" t="s">
        <v>267</v>
      </c>
      <c r="H500" s="72" t="s">
        <v>245</v>
      </c>
      <c r="I500" s="73">
        <v>11000</v>
      </c>
      <c r="J500" s="72" t="s">
        <v>246</v>
      </c>
      <c r="K500" s="9"/>
    </row>
    <row r="501" spans="2:11" s="7" customFormat="1" x14ac:dyDescent="0.35">
      <c r="B501" s="4" t="s">
        <v>96</v>
      </c>
      <c r="C501" s="4" t="s">
        <v>255</v>
      </c>
      <c r="D501" s="4">
        <v>122</v>
      </c>
      <c r="E501" s="8">
        <v>380000</v>
      </c>
      <c r="F501" s="4" t="s">
        <v>31</v>
      </c>
      <c r="G501" s="4" t="s">
        <v>267</v>
      </c>
      <c r="H501" s="72" t="s">
        <v>245</v>
      </c>
      <c r="I501" s="73">
        <v>3114.7540983606559</v>
      </c>
      <c r="J501" s="72" t="s">
        <v>246</v>
      </c>
      <c r="K501" s="9"/>
    </row>
    <row r="502" spans="2:11" s="7" customFormat="1" x14ac:dyDescent="0.35">
      <c r="B502" s="4" t="s">
        <v>263</v>
      </c>
      <c r="C502" s="4" t="s">
        <v>264</v>
      </c>
      <c r="D502" s="4">
        <v>297</v>
      </c>
      <c r="E502" s="8">
        <v>720000</v>
      </c>
      <c r="F502" s="4" t="s">
        <v>31</v>
      </c>
      <c r="G502" s="4" t="s">
        <v>267</v>
      </c>
      <c r="H502" s="72" t="s">
        <v>245</v>
      </c>
      <c r="I502" s="73">
        <v>2424.242424242424</v>
      </c>
      <c r="J502" s="72" t="s">
        <v>246</v>
      </c>
      <c r="K502" s="9"/>
    </row>
    <row r="503" spans="2:11" s="7" customFormat="1" x14ac:dyDescent="0.35">
      <c r="B503" s="4" t="s">
        <v>37</v>
      </c>
      <c r="C503" s="4" t="s">
        <v>38</v>
      </c>
      <c r="D503" s="4">
        <v>134</v>
      </c>
      <c r="E503" s="8">
        <v>400000</v>
      </c>
      <c r="F503" s="4" t="s">
        <v>36</v>
      </c>
      <c r="G503" s="4" t="s">
        <v>267</v>
      </c>
      <c r="H503" s="72" t="s">
        <v>245</v>
      </c>
      <c r="I503" s="73">
        <v>2985.0746268656717</v>
      </c>
      <c r="J503" s="72" t="s">
        <v>246</v>
      </c>
      <c r="K503" s="9"/>
    </row>
    <row r="504" spans="2:11" s="7" customFormat="1" x14ac:dyDescent="0.35">
      <c r="B504" s="4" t="s">
        <v>40</v>
      </c>
      <c r="C504" s="4" t="s">
        <v>41</v>
      </c>
      <c r="D504" s="4">
        <v>123</v>
      </c>
      <c r="E504" s="8">
        <v>480000</v>
      </c>
      <c r="F504" s="4" t="s">
        <v>36</v>
      </c>
      <c r="G504" s="4" t="s">
        <v>267</v>
      </c>
      <c r="H504" s="72" t="s">
        <v>245</v>
      </c>
      <c r="I504" s="73">
        <v>3902.439024390244</v>
      </c>
      <c r="J504" s="72" t="s">
        <v>246</v>
      </c>
      <c r="K504" s="9"/>
    </row>
    <row r="505" spans="2:11" s="7" customFormat="1" x14ac:dyDescent="0.35">
      <c r="B505" s="4" t="s">
        <v>247</v>
      </c>
      <c r="C505" s="4" t="s">
        <v>248</v>
      </c>
      <c r="D505" s="4">
        <v>118</v>
      </c>
      <c r="E505" s="8">
        <v>480000</v>
      </c>
      <c r="F505" s="4" t="s">
        <v>36</v>
      </c>
      <c r="G505" s="4" t="s">
        <v>267</v>
      </c>
      <c r="H505" s="72" t="s">
        <v>245</v>
      </c>
      <c r="I505" s="73">
        <v>4067.7966101694915</v>
      </c>
      <c r="J505" s="72" t="s">
        <v>246</v>
      </c>
      <c r="K505" s="9"/>
    </row>
    <row r="506" spans="2:11" s="7" customFormat="1" x14ac:dyDescent="0.35">
      <c r="B506" s="4" t="s">
        <v>251</v>
      </c>
      <c r="C506" s="4" t="s">
        <v>252</v>
      </c>
      <c r="D506" s="4">
        <v>103</v>
      </c>
      <c r="E506" s="8">
        <v>380000</v>
      </c>
      <c r="F506" s="4" t="s">
        <v>36</v>
      </c>
      <c r="G506" s="4" t="s">
        <v>267</v>
      </c>
      <c r="H506" s="72" t="s">
        <v>245</v>
      </c>
      <c r="I506" s="73">
        <v>3689.3203883495144</v>
      </c>
      <c r="J506" s="72" t="s">
        <v>246</v>
      </c>
      <c r="K506" s="9"/>
    </row>
    <row r="507" spans="2:11" s="7" customFormat="1" x14ac:dyDescent="0.35">
      <c r="B507" s="4" t="s">
        <v>42</v>
      </c>
      <c r="C507" s="4" t="s">
        <v>43</v>
      </c>
      <c r="D507" s="4">
        <v>358</v>
      </c>
      <c r="E507" s="8">
        <v>950000</v>
      </c>
      <c r="F507" s="4" t="s">
        <v>36</v>
      </c>
      <c r="G507" s="4" t="s">
        <v>267</v>
      </c>
      <c r="H507" s="72" t="s">
        <v>245</v>
      </c>
      <c r="I507" s="73">
        <v>2653.6312849162009</v>
      </c>
      <c r="J507" s="72" t="s">
        <v>246</v>
      </c>
      <c r="K507" s="9"/>
    </row>
    <row r="508" spans="2:11" s="7" customFormat="1" x14ac:dyDescent="0.35">
      <c r="B508" s="4" t="s">
        <v>253</v>
      </c>
      <c r="C508" s="4" t="s">
        <v>70</v>
      </c>
      <c r="D508" s="4">
        <v>141</v>
      </c>
      <c r="E508" s="8">
        <v>420000</v>
      </c>
      <c r="F508" s="4" t="s">
        <v>36</v>
      </c>
      <c r="G508" s="4" t="s">
        <v>267</v>
      </c>
      <c r="H508" s="72" t="s">
        <v>245</v>
      </c>
      <c r="I508" s="73">
        <v>2978.7234042553191</v>
      </c>
      <c r="J508" s="72" t="s">
        <v>246</v>
      </c>
      <c r="K508" s="9"/>
    </row>
    <row r="509" spans="2:11" s="7" customFormat="1" x14ac:dyDescent="0.35">
      <c r="B509" s="4" t="s">
        <v>249</v>
      </c>
      <c r="C509" s="4" t="s">
        <v>44</v>
      </c>
      <c r="D509" s="4">
        <v>60</v>
      </c>
      <c r="E509" s="8">
        <v>300000</v>
      </c>
      <c r="F509" s="4" t="s">
        <v>36</v>
      </c>
      <c r="G509" s="4" t="s">
        <v>267</v>
      </c>
      <c r="H509" s="72" t="s">
        <v>245</v>
      </c>
      <c r="I509" s="73">
        <v>5000</v>
      </c>
      <c r="J509" s="72" t="s">
        <v>246</v>
      </c>
      <c r="K509" s="9"/>
    </row>
    <row r="510" spans="2:11" s="7" customFormat="1" x14ac:dyDescent="0.35">
      <c r="B510" s="4" t="s">
        <v>29</v>
      </c>
      <c r="C510" s="4" t="s">
        <v>30</v>
      </c>
      <c r="D510" s="4">
        <v>22</v>
      </c>
      <c r="E510" s="8">
        <v>220000</v>
      </c>
      <c r="F510" s="4" t="s">
        <v>36</v>
      </c>
      <c r="G510" s="4" t="s">
        <v>267</v>
      </c>
      <c r="H510" s="72" t="s">
        <v>245</v>
      </c>
      <c r="I510" s="73">
        <v>10000</v>
      </c>
      <c r="J510" s="72" t="s">
        <v>246</v>
      </c>
      <c r="K510" s="9"/>
    </row>
    <row r="511" spans="2:11" s="7" customFormat="1" x14ac:dyDescent="0.35">
      <c r="B511" s="4" t="s">
        <v>45</v>
      </c>
      <c r="C511" s="4" t="s">
        <v>46</v>
      </c>
      <c r="D511" s="4">
        <v>100</v>
      </c>
      <c r="E511" s="8">
        <v>380000</v>
      </c>
      <c r="F511" s="4" t="s">
        <v>36</v>
      </c>
      <c r="G511" s="4" t="s">
        <v>267</v>
      </c>
      <c r="H511" s="72" t="s">
        <v>245</v>
      </c>
      <c r="I511" s="73">
        <v>3800</v>
      </c>
      <c r="J511" s="72" t="s">
        <v>246</v>
      </c>
      <c r="K511" s="9"/>
    </row>
    <row r="512" spans="2:11" s="7" customFormat="1" x14ac:dyDescent="0.35">
      <c r="B512" s="4" t="s">
        <v>47</v>
      </c>
      <c r="C512" s="4" t="s">
        <v>48</v>
      </c>
      <c r="D512" s="4">
        <v>85</v>
      </c>
      <c r="E512" s="8">
        <v>380000</v>
      </c>
      <c r="F512" s="4" t="s">
        <v>36</v>
      </c>
      <c r="G512" s="4" t="s">
        <v>267</v>
      </c>
      <c r="H512" s="72" t="s">
        <v>245</v>
      </c>
      <c r="I512" s="73">
        <v>4470.588235294118</v>
      </c>
      <c r="J512" s="72" t="s">
        <v>246</v>
      </c>
      <c r="K512" s="9"/>
    </row>
    <row r="513" spans="2:11" s="7" customFormat="1" x14ac:dyDescent="0.35">
      <c r="B513" s="4" t="s">
        <v>49</v>
      </c>
      <c r="C513" s="4" t="s">
        <v>50</v>
      </c>
      <c r="D513" s="4">
        <v>144</v>
      </c>
      <c r="E513" s="8">
        <v>380000</v>
      </c>
      <c r="F513" s="4" t="s">
        <v>36</v>
      </c>
      <c r="G513" s="4" t="s">
        <v>267</v>
      </c>
      <c r="H513" s="72" t="s">
        <v>245</v>
      </c>
      <c r="I513" s="73">
        <v>2638.8888888888887</v>
      </c>
      <c r="J513" s="72" t="s">
        <v>246</v>
      </c>
      <c r="K513" s="9"/>
    </row>
    <row r="514" spans="2:11" s="7" customFormat="1" x14ac:dyDescent="0.35">
      <c r="B514" s="4" t="s">
        <v>95</v>
      </c>
      <c r="C514" s="4" t="s">
        <v>254</v>
      </c>
      <c r="D514" s="4">
        <v>60</v>
      </c>
      <c r="E514" s="8">
        <v>350000</v>
      </c>
      <c r="F514" s="4" t="s">
        <v>36</v>
      </c>
      <c r="G514" s="4" t="s">
        <v>267</v>
      </c>
      <c r="H514" s="72" t="s">
        <v>245</v>
      </c>
      <c r="I514" s="73">
        <v>5833.333333333333</v>
      </c>
      <c r="J514" s="72" t="s">
        <v>246</v>
      </c>
      <c r="K514" s="9"/>
    </row>
    <row r="515" spans="2:11" s="7" customFormat="1" x14ac:dyDescent="0.35">
      <c r="B515" s="4" t="s">
        <v>51</v>
      </c>
      <c r="C515" s="4" t="s">
        <v>50</v>
      </c>
      <c r="D515" s="4">
        <v>144</v>
      </c>
      <c r="E515" s="8">
        <v>380000</v>
      </c>
      <c r="F515" s="4" t="s">
        <v>36</v>
      </c>
      <c r="G515" s="4" t="s">
        <v>267</v>
      </c>
      <c r="H515" s="72" t="s">
        <v>245</v>
      </c>
      <c r="I515" s="73">
        <v>2638.8888888888887</v>
      </c>
      <c r="J515" s="72" t="s">
        <v>246</v>
      </c>
      <c r="K515" s="9"/>
    </row>
    <row r="516" spans="2:11" s="7" customFormat="1" x14ac:dyDescent="0.35">
      <c r="B516" s="4" t="s">
        <v>55</v>
      </c>
      <c r="C516" s="4" t="s">
        <v>41</v>
      </c>
      <c r="D516" s="4">
        <v>120</v>
      </c>
      <c r="E516" s="8">
        <v>480000</v>
      </c>
      <c r="F516" s="4" t="s">
        <v>36</v>
      </c>
      <c r="G516" s="4" t="s">
        <v>267</v>
      </c>
      <c r="H516" s="72" t="s">
        <v>245</v>
      </c>
      <c r="I516" s="73">
        <v>4000</v>
      </c>
      <c r="J516" s="72" t="s">
        <v>246</v>
      </c>
      <c r="K516" s="9"/>
    </row>
    <row r="517" spans="2:11" s="7" customFormat="1" x14ac:dyDescent="0.35">
      <c r="B517" s="4" t="s">
        <v>52</v>
      </c>
      <c r="C517" s="4" t="s">
        <v>53</v>
      </c>
      <c r="D517" s="4">
        <v>100</v>
      </c>
      <c r="E517" s="8">
        <v>320000</v>
      </c>
      <c r="F517" s="4" t="s">
        <v>36</v>
      </c>
      <c r="G517" s="4" t="s">
        <v>267</v>
      </c>
      <c r="H517" s="72" t="s">
        <v>245</v>
      </c>
      <c r="I517" s="73">
        <v>3200</v>
      </c>
      <c r="J517" s="72" t="s">
        <v>246</v>
      </c>
      <c r="K517" s="9"/>
    </row>
    <row r="518" spans="2:11" s="7" customFormat="1" x14ac:dyDescent="0.35">
      <c r="B518" s="4" t="s">
        <v>58</v>
      </c>
      <c r="C518" s="4" t="s">
        <v>59</v>
      </c>
      <c r="D518" s="4">
        <v>125</v>
      </c>
      <c r="E518" s="8">
        <v>400000</v>
      </c>
      <c r="F518" s="4" t="s">
        <v>36</v>
      </c>
      <c r="G518" s="4" t="s">
        <v>267</v>
      </c>
      <c r="H518" s="72" t="s">
        <v>245</v>
      </c>
      <c r="I518" s="73">
        <v>3200</v>
      </c>
      <c r="J518" s="72" t="s">
        <v>246</v>
      </c>
      <c r="K518" s="9"/>
    </row>
    <row r="519" spans="2:11" s="7" customFormat="1" x14ac:dyDescent="0.35">
      <c r="B519" s="4" t="s">
        <v>97</v>
      </c>
      <c r="C519" s="4" t="s">
        <v>255</v>
      </c>
      <c r="D519" s="4">
        <v>90</v>
      </c>
      <c r="E519" s="8">
        <v>400000</v>
      </c>
      <c r="F519" s="4" t="s">
        <v>36</v>
      </c>
      <c r="G519" s="4" t="s">
        <v>267</v>
      </c>
      <c r="H519" s="72" t="s">
        <v>245</v>
      </c>
      <c r="I519" s="73">
        <v>4444.4444444444443</v>
      </c>
      <c r="J519" s="72" t="s">
        <v>246</v>
      </c>
      <c r="K519" s="9"/>
    </row>
    <row r="520" spans="2:11" s="7" customFormat="1" x14ac:dyDescent="0.35">
      <c r="B520" s="4" t="s">
        <v>60</v>
      </c>
      <c r="C520" s="4" t="s">
        <v>61</v>
      </c>
      <c r="D520" s="4">
        <v>80</v>
      </c>
      <c r="E520" s="8">
        <v>420000</v>
      </c>
      <c r="F520" s="4" t="s">
        <v>36</v>
      </c>
      <c r="G520" s="4" t="s">
        <v>267</v>
      </c>
      <c r="H520" s="72" t="s">
        <v>245</v>
      </c>
      <c r="I520" s="73">
        <v>5250</v>
      </c>
      <c r="J520" s="72" t="s">
        <v>246</v>
      </c>
      <c r="K520" s="9"/>
    </row>
    <row r="521" spans="2:11" s="7" customFormat="1" x14ac:dyDescent="0.35">
      <c r="B521" s="4" t="s">
        <v>62</v>
      </c>
      <c r="C521" s="4" t="s">
        <v>63</v>
      </c>
      <c r="D521" s="4">
        <v>130</v>
      </c>
      <c r="E521" s="8">
        <v>380000</v>
      </c>
      <c r="F521" s="4" t="s">
        <v>36</v>
      </c>
      <c r="G521" s="4" t="s">
        <v>267</v>
      </c>
      <c r="H521" s="72" t="s">
        <v>245</v>
      </c>
      <c r="I521" s="73">
        <v>2923.0769230769229</v>
      </c>
      <c r="J521" s="72" t="s">
        <v>246</v>
      </c>
      <c r="K521" s="9"/>
    </row>
    <row r="522" spans="2:11" s="7" customFormat="1" x14ac:dyDescent="0.35">
      <c r="B522" s="4" t="s">
        <v>98</v>
      </c>
      <c r="C522" s="4" t="s">
        <v>38</v>
      </c>
      <c r="D522" s="4">
        <v>133</v>
      </c>
      <c r="E522" s="8">
        <v>420000</v>
      </c>
      <c r="F522" s="4" t="s">
        <v>36</v>
      </c>
      <c r="G522" s="4" t="s">
        <v>267</v>
      </c>
      <c r="H522" s="72" t="s">
        <v>245</v>
      </c>
      <c r="I522" s="73">
        <v>3157.8947368421054</v>
      </c>
      <c r="J522" s="72" t="s">
        <v>246</v>
      </c>
      <c r="K522" s="9"/>
    </row>
    <row r="523" spans="2:11" s="7" customFormat="1" x14ac:dyDescent="0.35">
      <c r="B523" s="4" t="s">
        <v>256</v>
      </c>
      <c r="C523" s="4" t="s">
        <v>64</v>
      </c>
      <c r="D523" s="4">
        <v>180</v>
      </c>
      <c r="E523" s="8">
        <v>450000</v>
      </c>
      <c r="F523" s="4" t="s">
        <v>36</v>
      </c>
      <c r="G523" s="4" t="s">
        <v>267</v>
      </c>
      <c r="H523" s="72" t="s">
        <v>245</v>
      </c>
      <c r="I523" s="73">
        <v>2500</v>
      </c>
      <c r="J523" s="72" t="s">
        <v>246</v>
      </c>
      <c r="K523" s="9"/>
    </row>
    <row r="524" spans="2:11" s="7" customFormat="1" x14ac:dyDescent="0.35">
      <c r="B524" s="4" t="s">
        <v>65</v>
      </c>
      <c r="C524" s="4" t="s">
        <v>66</v>
      </c>
      <c r="D524" s="4">
        <v>140</v>
      </c>
      <c r="E524" s="8">
        <v>420000</v>
      </c>
      <c r="F524" s="4" t="s">
        <v>36</v>
      </c>
      <c r="G524" s="4" t="s">
        <v>267</v>
      </c>
      <c r="H524" s="72" t="s">
        <v>245</v>
      </c>
      <c r="I524" s="73">
        <v>3000</v>
      </c>
      <c r="J524" s="72" t="s">
        <v>246</v>
      </c>
      <c r="K524" s="9"/>
    </row>
    <row r="525" spans="2:11" s="7" customFormat="1" x14ac:dyDescent="0.35">
      <c r="B525" s="4" t="s">
        <v>67</v>
      </c>
      <c r="C525" s="4" t="s">
        <v>38</v>
      </c>
      <c r="D525" s="4">
        <v>130</v>
      </c>
      <c r="E525" s="8">
        <v>420000</v>
      </c>
      <c r="F525" s="4" t="s">
        <v>36</v>
      </c>
      <c r="G525" s="4" t="s">
        <v>267</v>
      </c>
      <c r="H525" s="72" t="s">
        <v>245</v>
      </c>
      <c r="I525" s="73">
        <v>3230.7692307692309</v>
      </c>
      <c r="J525" s="72" t="s">
        <v>246</v>
      </c>
      <c r="K525" s="9"/>
    </row>
    <row r="526" spans="2:11" s="7" customFormat="1" x14ac:dyDescent="0.35">
      <c r="B526" s="4" t="s">
        <v>68</v>
      </c>
      <c r="C526" s="4" t="s">
        <v>69</v>
      </c>
      <c r="D526" s="4">
        <v>90</v>
      </c>
      <c r="E526" s="8">
        <v>400000</v>
      </c>
      <c r="F526" s="4" t="s">
        <v>36</v>
      </c>
      <c r="G526" s="4" t="s">
        <v>267</v>
      </c>
      <c r="H526" s="72" t="s">
        <v>245</v>
      </c>
      <c r="I526" s="73">
        <v>4444.4444444444443</v>
      </c>
      <c r="J526" s="72" t="s">
        <v>246</v>
      </c>
      <c r="K526" s="9"/>
    </row>
    <row r="527" spans="2:11" s="7" customFormat="1" x14ac:dyDescent="0.35">
      <c r="B527" s="4" t="s">
        <v>33</v>
      </c>
      <c r="C527" s="4" t="s">
        <v>34</v>
      </c>
      <c r="D527" s="4">
        <v>230</v>
      </c>
      <c r="E527" s="8">
        <v>570000</v>
      </c>
      <c r="F527" s="4" t="s">
        <v>36</v>
      </c>
      <c r="G527" s="4" t="s">
        <v>267</v>
      </c>
      <c r="H527" s="72" t="s">
        <v>245</v>
      </c>
      <c r="I527" s="73">
        <v>2478.2608695652175</v>
      </c>
      <c r="J527" s="72" t="s">
        <v>246</v>
      </c>
      <c r="K527" s="9"/>
    </row>
    <row r="528" spans="2:11" s="7" customFormat="1" x14ac:dyDescent="0.35">
      <c r="B528" s="4" t="s">
        <v>257</v>
      </c>
      <c r="C528" s="4" t="s">
        <v>66</v>
      </c>
      <c r="D528" s="4">
        <v>144</v>
      </c>
      <c r="E528" s="8">
        <v>420000</v>
      </c>
      <c r="F528" s="4" t="s">
        <v>36</v>
      </c>
      <c r="G528" s="4" t="s">
        <v>267</v>
      </c>
      <c r="H528" s="72" t="s">
        <v>245</v>
      </c>
      <c r="I528" s="73">
        <v>2916.6666666666665</v>
      </c>
      <c r="J528" s="72" t="s">
        <v>246</v>
      </c>
      <c r="K528" s="9"/>
    </row>
    <row r="529" spans="2:11" s="7" customFormat="1" x14ac:dyDescent="0.35">
      <c r="B529" s="4" t="s">
        <v>71</v>
      </c>
      <c r="C529" s="4" t="s">
        <v>43</v>
      </c>
      <c r="D529" s="4">
        <v>408</v>
      </c>
      <c r="E529" s="8">
        <v>950000</v>
      </c>
      <c r="F529" s="4" t="s">
        <v>36</v>
      </c>
      <c r="G529" s="4" t="s">
        <v>267</v>
      </c>
      <c r="H529" s="72" t="s">
        <v>245</v>
      </c>
      <c r="I529" s="73">
        <v>2328.4313725490197</v>
      </c>
      <c r="J529" s="72" t="s">
        <v>246</v>
      </c>
      <c r="K529" s="9"/>
    </row>
    <row r="530" spans="2:11" s="7" customFormat="1" x14ac:dyDescent="0.35">
      <c r="B530" s="4" t="s">
        <v>72</v>
      </c>
      <c r="C530" s="4" t="s">
        <v>73</v>
      </c>
      <c r="D530" s="4">
        <v>310</v>
      </c>
      <c r="E530" s="8">
        <v>720000</v>
      </c>
      <c r="F530" s="4" t="s">
        <v>36</v>
      </c>
      <c r="G530" s="4" t="s">
        <v>267</v>
      </c>
      <c r="H530" s="72" t="s">
        <v>245</v>
      </c>
      <c r="I530" s="73">
        <v>2322.5806451612902</v>
      </c>
      <c r="J530" s="72" t="s">
        <v>246</v>
      </c>
      <c r="K530" s="9"/>
    </row>
    <row r="531" spans="2:11" s="7" customFormat="1" x14ac:dyDescent="0.35">
      <c r="B531" s="4" t="s">
        <v>56</v>
      </c>
      <c r="C531" s="4" t="s">
        <v>57</v>
      </c>
      <c r="D531" s="4">
        <v>95</v>
      </c>
      <c r="E531" s="8">
        <v>320000</v>
      </c>
      <c r="F531" s="4" t="s">
        <v>36</v>
      </c>
      <c r="G531" s="4" t="s">
        <v>267</v>
      </c>
      <c r="H531" s="72" t="s">
        <v>245</v>
      </c>
      <c r="I531" s="73">
        <v>3368.4210526315787</v>
      </c>
      <c r="J531" s="72" t="s">
        <v>246</v>
      </c>
      <c r="K531" s="9"/>
    </row>
    <row r="532" spans="2:11" s="7" customFormat="1" x14ac:dyDescent="0.35">
      <c r="B532" s="4" t="s">
        <v>260</v>
      </c>
      <c r="C532" s="4" t="s">
        <v>261</v>
      </c>
      <c r="D532" s="4">
        <v>305</v>
      </c>
      <c r="E532" s="8">
        <v>7200000</v>
      </c>
      <c r="F532" s="4" t="s">
        <v>36</v>
      </c>
      <c r="G532" s="4" t="s">
        <v>267</v>
      </c>
      <c r="H532" s="72" t="s">
        <v>245</v>
      </c>
      <c r="I532" s="73">
        <v>23606.557377049179</v>
      </c>
      <c r="J532" s="72" t="s">
        <v>246</v>
      </c>
      <c r="K532" s="9"/>
    </row>
    <row r="533" spans="2:11" s="7" customFormat="1" x14ac:dyDescent="0.35">
      <c r="B533" s="4" t="s">
        <v>74</v>
      </c>
      <c r="C533" s="4" t="s">
        <v>75</v>
      </c>
      <c r="D533" s="4">
        <v>140</v>
      </c>
      <c r="E533" s="8">
        <v>3800000</v>
      </c>
      <c r="F533" s="4" t="s">
        <v>36</v>
      </c>
      <c r="G533" s="4" t="s">
        <v>267</v>
      </c>
      <c r="H533" s="72" t="s">
        <v>245</v>
      </c>
      <c r="I533" s="73">
        <v>27142.857142857141</v>
      </c>
      <c r="J533" s="72" t="s">
        <v>246</v>
      </c>
      <c r="K533" s="9"/>
    </row>
    <row r="534" spans="2:11" s="7" customFormat="1" x14ac:dyDescent="0.35">
      <c r="B534" s="4" t="s">
        <v>76</v>
      </c>
      <c r="C534" s="4" t="s">
        <v>262</v>
      </c>
      <c r="D534" s="4">
        <v>130</v>
      </c>
      <c r="E534" s="8">
        <v>380000</v>
      </c>
      <c r="F534" s="4" t="s">
        <v>36</v>
      </c>
      <c r="G534" s="4" t="s">
        <v>267</v>
      </c>
      <c r="H534" s="72" t="s">
        <v>245</v>
      </c>
      <c r="I534" s="73">
        <v>2923.0769230769229</v>
      </c>
      <c r="J534" s="72" t="s">
        <v>246</v>
      </c>
      <c r="K534" s="9"/>
    </row>
    <row r="535" spans="2:11" s="7" customFormat="1" x14ac:dyDescent="0.35">
      <c r="B535" s="4" t="s">
        <v>96</v>
      </c>
      <c r="C535" s="4" t="s">
        <v>255</v>
      </c>
      <c r="D535" s="4">
        <v>95</v>
      </c>
      <c r="E535" s="8">
        <v>420000</v>
      </c>
      <c r="F535" s="4" t="s">
        <v>36</v>
      </c>
      <c r="G535" s="4" t="s">
        <v>267</v>
      </c>
      <c r="H535" s="72" t="s">
        <v>245</v>
      </c>
      <c r="I535" s="73">
        <v>4421.0526315789475</v>
      </c>
      <c r="J535" s="72" t="s">
        <v>246</v>
      </c>
      <c r="K535" s="9"/>
    </row>
    <row r="536" spans="2:11" s="7" customFormat="1" x14ac:dyDescent="0.35">
      <c r="B536" s="4" t="s">
        <v>263</v>
      </c>
      <c r="C536" s="4" t="s">
        <v>264</v>
      </c>
      <c r="D536" s="4">
        <v>160</v>
      </c>
      <c r="E536" s="8">
        <v>450000</v>
      </c>
      <c r="F536" s="4" t="s">
        <v>36</v>
      </c>
      <c r="G536" s="4" t="s">
        <v>267</v>
      </c>
      <c r="H536" s="72" t="s">
        <v>245</v>
      </c>
      <c r="I536" s="73">
        <v>2812.5</v>
      </c>
      <c r="J536" s="72" t="s">
        <v>246</v>
      </c>
      <c r="K536" s="9"/>
    </row>
    <row r="537" spans="2:11" s="7" customFormat="1" x14ac:dyDescent="0.35">
      <c r="B537" s="4" t="s">
        <v>37</v>
      </c>
      <c r="C537" s="4" t="s">
        <v>38</v>
      </c>
      <c r="D537" s="4">
        <v>50</v>
      </c>
      <c r="E537" s="8">
        <v>350000</v>
      </c>
      <c r="F537" s="4" t="s">
        <v>35</v>
      </c>
      <c r="G537" s="4" t="s">
        <v>267</v>
      </c>
      <c r="H537" s="72" t="s">
        <v>245</v>
      </c>
      <c r="I537" s="73">
        <v>7000</v>
      </c>
      <c r="J537" s="72" t="s">
        <v>246</v>
      </c>
    </row>
    <row r="538" spans="2:11" s="7" customFormat="1" x14ac:dyDescent="0.35">
      <c r="B538" s="4" t="s">
        <v>40</v>
      </c>
      <c r="C538" s="4" t="s">
        <v>41</v>
      </c>
      <c r="D538" s="4">
        <v>211</v>
      </c>
      <c r="E538" s="8">
        <v>650000</v>
      </c>
      <c r="F538" s="4" t="s">
        <v>35</v>
      </c>
      <c r="G538" s="4" t="s">
        <v>267</v>
      </c>
      <c r="H538" s="72" t="s">
        <v>245</v>
      </c>
      <c r="I538" s="73">
        <v>3080.5687203791467</v>
      </c>
      <c r="J538" s="72" t="s">
        <v>246</v>
      </c>
    </row>
    <row r="539" spans="2:11" s="7" customFormat="1" x14ac:dyDescent="0.35">
      <c r="B539" s="4" t="s">
        <v>247</v>
      </c>
      <c r="C539" s="4" t="s">
        <v>248</v>
      </c>
      <c r="D539" s="4">
        <v>206</v>
      </c>
      <c r="E539" s="8">
        <v>650000</v>
      </c>
      <c r="F539" s="4" t="s">
        <v>35</v>
      </c>
      <c r="G539" s="4" t="s">
        <v>267</v>
      </c>
      <c r="H539" s="72" t="s">
        <v>245</v>
      </c>
      <c r="I539" s="73">
        <v>3155.3398058252428</v>
      </c>
      <c r="J539" s="72" t="s">
        <v>246</v>
      </c>
    </row>
    <row r="540" spans="2:11" s="7" customFormat="1" x14ac:dyDescent="0.35">
      <c r="B540" s="4" t="s">
        <v>251</v>
      </c>
      <c r="C540" s="4" t="s">
        <v>252</v>
      </c>
      <c r="D540" s="4">
        <v>80</v>
      </c>
      <c r="E540" s="8">
        <v>320000</v>
      </c>
      <c r="F540" s="4" t="s">
        <v>35</v>
      </c>
      <c r="G540" s="4" t="s">
        <v>267</v>
      </c>
      <c r="H540" s="72" t="s">
        <v>245</v>
      </c>
      <c r="I540" s="73">
        <v>4000</v>
      </c>
      <c r="J540" s="72" t="s">
        <v>246</v>
      </c>
    </row>
    <row r="541" spans="2:11" s="7" customFormat="1" x14ac:dyDescent="0.35">
      <c r="B541" s="4" t="s">
        <v>42</v>
      </c>
      <c r="C541" s="4" t="s">
        <v>43</v>
      </c>
      <c r="D541" s="4">
        <v>450</v>
      </c>
      <c r="E541" s="8">
        <v>1150000</v>
      </c>
      <c r="F541" s="4" t="s">
        <v>35</v>
      </c>
      <c r="G541" s="4" t="s">
        <v>267</v>
      </c>
      <c r="H541" s="72" t="s">
        <v>245</v>
      </c>
      <c r="I541" s="73">
        <v>2555.5555555555557</v>
      </c>
      <c r="J541" s="72" t="s">
        <v>246</v>
      </c>
    </row>
    <row r="542" spans="2:11" s="7" customFormat="1" x14ac:dyDescent="0.35">
      <c r="B542" s="4" t="s">
        <v>253</v>
      </c>
      <c r="C542" s="4" t="s">
        <v>70</v>
      </c>
      <c r="D542" s="4">
        <v>50</v>
      </c>
      <c r="E542" s="8">
        <v>350000</v>
      </c>
      <c r="F542" s="4" t="s">
        <v>35</v>
      </c>
      <c r="G542" s="4" t="s">
        <v>267</v>
      </c>
      <c r="H542" s="72" t="s">
        <v>245</v>
      </c>
      <c r="I542" s="73">
        <v>7000</v>
      </c>
      <c r="J542" s="72" t="s">
        <v>246</v>
      </c>
    </row>
    <row r="543" spans="2:11" s="7" customFormat="1" x14ac:dyDescent="0.35">
      <c r="B543" s="4" t="s">
        <v>249</v>
      </c>
      <c r="C543" s="4" t="s">
        <v>44</v>
      </c>
      <c r="D543" s="4">
        <v>60</v>
      </c>
      <c r="E543" s="8">
        <v>300000</v>
      </c>
      <c r="F543" s="4" t="s">
        <v>35</v>
      </c>
      <c r="G543" s="4" t="s">
        <v>267</v>
      </c>
      <c r="H543" s="72" t="s">
        <v>245</v>
      </c>
      <c r="I543" s="73">
        <v>5000</v>
      </c>
      <c r="J543" s="72" t="s">
        <v>246</v>
      </c>
    </row>
    <row r="544" spans="2:11" s="7" customFormat="1" x14ac:dyDescent="0.35">
      <c r="B544" s="4" t="s">
        <v>29</v>
      </c>
      <c r="C544" s="4" t="s">
        <v>30</v>
      </c>
      <c r="D544" s="4">
        <v>100</v>
      </c>
      <c r="E544" s="8">
        <v>380000</v>
      </c>
      <c r="F544" s="4" t="s">
        <v>35</v>
      </c>
      <c r="G544" s="4" t="s">
        <v>267</v>
      </c>
      <c r="H544" s="72" t="s">
        <v>245</v>
      </c>
      <c r="I544" s="73">
        <v>3800</v>
      </c>
      <c r="J544" s="72" t="s">
        <v>246</v>
      </c>
    </row>
    <row r="545" spans="2:10" s="7" customFormat="1" x14ac:dyDescent="0.35">
      <c r="B545" s="4" t="s">
        <v>45</v>
      </c>
      <c r="C545" s="4" t="s">
        <v>46</v>
      </c>
      <c r="D545" s="4">
        <v>190</v>
      </c>
      <c r="E545" s="8">
        <v>450000</v>
      </c>
      <c r="F545" s="4" t="s">
        <v>35</v>
      </c>
      <c r="G545" s="4" t="s">
        <v>267</v>
      </c>
      <c r="H545" s="72" t="s">
        <v>245</v>
      </c>
      <c r="I545" s="73">
        <v>2368.4210526315787</v>
      </c>
      <c r="J545" s="72" t="s">
        <v>246</v>
      </c>
    </row>
    <row r="546" spans="2:10" s="7" customFormat="1" x14ac:dyDescent="0.35">
      <c r="B546" s="4" t="s">
        <v>47</v>
      </c>
      <c r="C546" s="4" t="s">
        <v>48</v>
      </c>
      <c r="D546" s="4">
        <v>75</v>
      </c>
      <c r="E546" s="8">
        <v>350000</v>
      </c>
      <c r="F546" s="4" t="s">
        <v>35</v>
      </c>
      <c r="G546" s="4" t="s">
        <v>267</v>
      </c>
      <c r="H546" s="72" t="s">
        <v>245</v>
      </c>
      <c r="I546" s="73">
        <v>4666.666666666667</v>
      </c>
      <c r="J546" s="72" t="s">
        <v>246</v>
      </c>
    </row>
    <row r="547" spans="2:10" s="7" customFormat="1" x14ac:dyDescent="0.35">
      <c r="B547" s="4" t="s">
        <v>49</v>
      </c>
      <c r="C547" s="4" t="s">
        <v>50</v>
      </c>
      <c r="D547" s="4">
        <v>70</v>
      </c>
      <c r="E547" s="8">
        <v>300000</v>
      </c>
      <c r="F547" s="4" t="s">
        <v>35</v>
      </c>
      <c r="G547" s="4" t="s">
        <v>267</v>
      </c>
      <c r="H547" s="72" t="s">
        <v>245</v>
      </c>
      <c r="I547" s="73">
        <v>4285.7142857142853</v>
      </c>
      <c r="J547" s="72" t="s">
        <v>246</v>
      </c>
    </row>
    <row r="548" spans="2:10" s="7" customFormat="1" x14ac:dyDescent="0.35">
      <c r="B548" s="4" t="s">
        <v>95</v>
      </c>
      <c r="C548" s="4" t="s">
        <v>254</v>
      </c>
      <c r="D548" s="4">
        <v>160</v>
      </c>
      <c r="E548" s="8">
        <v>420000</v>
      </c>
      <c r="F548" s="4" t="s">
        <v>35</v>
      </c>
      <c r="G548" s="4" t="s">
        <v>267</v>
      </c>
      <c r="H548" s="72" t="s">
        <v>245</v>
      </c>
      <c r="I548" s="73">
        <v>2625</v>
      </c>
      <c r="J548" s="72" t="s">
        <v>246</v>
      </c>
    </row>
    <row r="549" spans="2:10" s="7" customFormat="1" x14ac:dyDescent="0.35">
      <c r="B549" s="4" t="s">
        <v>51</v>
      </c>
      <c r="C549" s="4" t="s">
        <v>50</v>
      </c>
      <c r="D549" s="4">
        <v>70</v>
      </c>
      <c r="E549" s="8">
        <v>300000</v>
      </c>
      <c r="F549" s="4" t="s">
        <v>35</v>
      </c>
      <c r="G549" s="4" t="s">
        <v>267</v>
      </c>
      <c r="H549" s="72" t="s">
        <v>245</v>
      </c>
      <c r="I549" s="73">
        <v>4285.7142857142853</v>
      </c>
      <c r="J549" s="72" t="s">
        <v>246</v>
      </c>
    </row>
    <row r="550" spans="2:10" s="7" customFormat="1" x14ac:dyDescent="0.35">
      <c r="B550" s="4" t="s">
        <v>55</v>
      </c>
      <c r="C550" s="4" t="s">
        <v>41</v>
      </c>
      <c r="D550" s="4">
        <v>210</v>
      </c>
      <c r="E550" s="8">
        <v>650000</v>
      </c>
      <c r="F550" s="4" t="s">
        <v>35</v>
      </c>
      <c r="G550" s="4" t="s">
        <v>267</v>
      </c>
      <c r="H550" s="72" t="s">
        <v>245</v>
      </c>
      <c r="I550" s="73">
        <v>3095.2380952380954</v>
      </c>
      <c r="J550" s="72" t="s">
        <v>246</v>
      </c>
    </row>
    <row r="551" spans="2:10" s="7" customFormat="1" x14ac:dyDescent="0.35">
      <c r="B551" s="4" t="s">
        <v>52</v>
      </c>
      <c r="C551" s="4" t="s">
        <v>53</v>
      </c>
      <c r="D551" s="4">
        <v>25</v>
      </c>
      <c r="E551" s="8">
        <v>220000</v>
      </c>
      <c r="F551" s="4" t="s">
        <v>35</v>
      </c>
      <c r="G551" s="4" t="s">
        <v>267</v>
      </c>
      <c r="H551" s="72" t="s">
        <v>245</v>
      </c>
      <c r="I551" s="73">
        <v>8800</v>
      </c>
      <c r="J551" s="72" t="s">
        <v>246</v>
      </c>
    </row>
    <row r="552" spans="2:10" s="7" customFormat="1" x14ac:dyDescent="0.35">
      <c r="B552" s="4" t="s">
        <v>58</v>
      </c>
      <c r="C552" s="4" t="s">
        <v>59</v>
      </c>
      <c r="D552" s="4">
        <v>35</v>
      </c>
      <c r="E552" s="8">
        <v>300000</v>
      </c>
      <c r="F552" s="4" t="s">
        <v>35</v>
      </c>
      <c r="G552" s="4" t="s">
        <v>267</v>
      </c>
      <c r="H552" s="72" t="s">
        <v>245</v>
      </c>
      <c r="I552" s="73">
        <v>8571.4285714285706</v>
      </c>
      <c r="J552" s="72" t="s">
        <v>246</v>
      </c>
    </row>
    <row r="553" spans="2:10" s="7" customFormat="1" x14ac:dyDescent="0.35">
      <c r="B553" s="4" t="s">
        <v>97</v>
      </c>
      <c r="C553" s="4" t="s">
        <v>255</v>
      </c>
      <c r="D553" s="4">
        <v>75</v>
      </c>
      <c r="E553" s="8">
        <v>380000</v>
      </c>
      <c r="F553" s="4" t="s">
        <v>35</v>
      </c>
      <c r="G553" s="4" t="s">
        <v>267</v>
      </c>
      <c r="H553" s="72" t="s">
        <v>245</v>
      </c>
      <c r="I553" s="73">
        <v>5066.666666666667</v>
      </c>
      <c r="J553" s="72" t="s">
        <v>246</v>
      </c>
    </row>
    <row r="554" spans="2:10" s="7" customFormat="1" x14ac:dyDescent="0.35">
      <c r="B554" s="4" t="s">
        <v>60</v>
      </c>
      <c r="C554" s="4" t="s">
        <v>61</v>
      </c>
      <c r="D554" s="4">
        <v>75</v>
      </c>
      <c r="E554" s="8">
        <v>380000</v>
      </c>
      <c r="F554" s="4" t="s">
        <v>35</v>
      </c>
      <c r="G554" s="4" t="s">
        <v>267</v>
      </c>
      <c r="H554" s="72" t="s">
        <v>245</v>
      </c>
      <c r="I554" s="73">
        <v>5066.666666666667</v>
      </c>
      <c r="J554" s="72" t="s">
        <v>246</v>
      </c>
    </row>
    <row r="555" spans="2:10" s="7" customFormat="1" x14ac:dyDescent="0.35">
      <c r="B555" s="4" t="s">
        <v>62</v>
      </c>
      <c r="C555" s="4" t="s">
        <v>63</v>
      </c>
      <c r="D555" s="4">
        <v>55</v>
      </c>
      <c r="E555" s="8">
        <v>300000</v>
      </c>
      <c r="F555" s="4" t="s">
        <v>35</v>
      </c>
      <c r="G555" s="4" t="s">
        <v>267</v>
      </c>
      <c r="H555" s="72" t="s">
        <v>245</v>
      </c>
      <c r="I555" s="73">
        <v>5454.545454545455</v>
      </c>
      <c r="J555" s="72" t="s">
        <v>246</v>
      </c>
    </row>
    <row r="556" spans="2:10" s="7" customFormat="1" x14ac:dyDescent="0.35">
      <c r="B556" s="4" t="s">
        <v>98</v>
      </c>
      <c r="C556" s="4" t="s">
        <v>38</v>
      </c>
      <c r="D556" s="4">
        <v>45</v>
      </c>
      <c r="E556" s="8">
        <v>300000</v>
      </c>
      <c r="F556" s="4" t="s">
        <v>35</v>
      </c>
      <c r="G556" s="4" t="s">
        <v>267</v>
      </c>
      <c r="H556" s="72" t="s">
        <v>245</v>
      </c>
      <c r="I556" s="73">
        <v>6666.666666666667</v>
      </c>
      <c r="J556" s="72" t="s">
        <v>246</v>
      </c>
    </row>
    <row r="557" spans="2:10" s="7" customFormat="1" x14ac:dyDescent="0.35">
      <c r="B557" s="4" t="s">
        <v>256</v>
      </c>
      <c r="C557" s="4" t="s">
        <v>64</v>
      </c>
      <c r="D557" s="4">
        <v>105</v>
      </c>
      <c r="E557" s="8">
        <v>380000</v>
      </c>
      <c r="F557" s="4" t="s">
        <v>35</v>
      </c>
      <c r="G557" s="4" t="s">
        <v>267</v>
      </c>
      <c r="H557" s="72" t="s">
        <v>245</v>
      </c>
      <c r="I557" s="73">
        <v>3619.0476190476193</v>
      </c>
      <c r="J557" s="72" t="s">
        <v>246</v>
      </c>
    </row>
    <row r="558" spans="2:10" s="7" customFormat="1" x14ac:dyDescent="0.35">
      <c r="B558" s="4" t="s">
        <v>65</v>
      </c>
      <c r="C558" s="4" t="s">
        <v>66</v>
      </c>
      <c r="D558" s="4">
        <v>45</v>
      </c>
      <c r="E558" s="8">
        <v>300000</v>
      </c>
      <c r="F558" s="4" t="s">
        <v>35</v>
      </c>
      <c r="G558" s="4" t="s">
        <v>267</v>
      </c>
      <c r="H558" s="72" t="s">
        <v>245</v>
      </c>
      <c r="I558" s="73">
        <v>6666.666666666667</v>
      </c>
      <c r="J558" s="72" t="s">
        <v>246</v>
      </c>
    </row>
    <row r="559" spans="2:10" s="7" customFormat="1" x14ac:dyDescent="0.35">
      <c r="B559" s="4" t="s">
        <v>67</v>
      </c>
      <c r="C559" s="4" t="s">
        <v>38</v>
      </c>
      <c r="D559" s="4">
        <v>40</v>
      </c>
      <c r="E559" s="8">
        <v>300000</v>
      </c>
      <c r="F559" s="4" t="s">
        <v>35</v>
      </c>
      <c r="G559" s="4" t="s">
        <v>267</v>
      </c>
      <c r="H559" s="72" t="s">
        <v>245</v>
      </c>
      <c r="I559" s="73">
        <v>7500</v>
      </c>
      <c r="J559" s="72" t="s">
        <v>246</v>
      </c>
    </row>
    <row r="560" spans="2:10" s="7" customFormat="1" x14ac:dyDescent="0.35">
      <c r="B560" s="4" t="s">
        <v>68</v>
      </c>
      <c r="C560" s="4" t="s">
        <v>69</v>
      </c>
      <c r="D560" s="4">
        <v>80</v>
      </c>
      <c r="E560" s="8">
        <v>350000</v>
      </c>
      <c r="F560" s="4" t="s">
        <v>35</v>
      </c>
      <c r="G560" s="4" t="s">
        <v>267</v>
      </c>
      <c r="H560" s="72" t="s">
        <v>245</v>
      </c>
      <c r="I560" s="73">
        <v>4375</v>
      </c>
      <c r="J560" s="72" t="s">
        <v>246</v>
      </c>
    </row>
    <row r="561" spans="2:10" s="7" customFormat="1" x14ac:dyDescent="0.35">
      <c r="B561" s="4" t="s">
        <v>33</v>
      </c>
      <c r="C561" s="4" t="s">
        <v>34</v>
      </c>
      <c r="D561" s="4">
        <v>145</v>
      </c>
      <c r="E561" s="8">
        <v>450000</v>
      </c>
      <c r="F561" s="4" t="s">
        <v>35</v>
      </c>
      <c r="G561" s="4" t="s">
        <v>267</v>
      </c>
      <c r="H561" s="72" t="s">
        <v>245</v>
      </c>
      <c r="I561" s="73">
        <v>3103.4482758620688</v>
      </c>
      <c r="J561" s="72" t="s">
        <v>246</v>
      </c>
    </row>
    <row r="562" spans="2:10" s="7" customFormat="1" x14ac:dyDescent="0.35">
      <c r="B562" s="4" t="s">
        <v>257</v>
      </c>
      <c r="C562" s="4" t="s">
        <v>66</v>
      </c>
      <c r="D562" s="4">
        <v>60</v>
      </c>
      <c r="E562" s="8">
        <v>350000</v>
      </c>
      <c r="F562" s="4" t="s">
        <v>35</v>
      </c>
      <c r="G562" s="4" t="s">
        <v>267</v>
      </c>
      <c r="H562" s="72" t="s">
        <v>245</v>
      </c>
      <c r="I562" s="73">
        <v>5833.333333333333</v>
      </c>
      <c r="J562" s="72" t="s">
        <v>246</v>
      </c>
    </row>
    <row r="563" spans="2:10" s="7" customFormat="1" x14ac:dyDescent="0.35">
      <c r="B563" s="4" t="s">
        <v>71</v>
      </c>
      <c r="C563" s="4" t="s">
        <v>43</v>
      </c>
      <c r="D563" s="4">
        <v>50</v>
      </c>
      <c r="E563" s="8">
        <v>1150000</v>
      </c>
      <c r="F563" s="4" t="s">
        <v>35</v>
      </c>
      <c r="G563" s="4" t="s">
        <v>267</v>
      </c>
      <c r="H563" s="72" t="s">
        <v>245</v>
      </c>
      <c r="I563" s="73">
        <v>23000</v>
      </c>
      <c r="J563" s="72" t="s">
        <v>246</v>
      </c>
    </row>
    <row r="564" spans="2:10" s="7" customFormat="1" x14ac:dyDescent="0.35">
      <c r="B564" s="4" t="s">
        <v>72</v>
      </c>
      <c r="C564" s="4" t="s">
        <v>73</v>
      </c>
      <c r="D564" s="4">
        <v>230</v>
      </c>
      <c r="E564" s="8">
        <v>550000</v>
      </c>
      <c r="F564" s="4" t="s">
        <v>35</v>
      </c>
      <c r="G564" s="4" t="s">
        <v>267</v>
      </c>
      <c r="H564" s="72" t="s">
        <v>245</v>
      </c>
      <c r="I564" s="73">
        <v>2391.304347826087</v>
      </c>
      <c r="J564" s="72" t="s">
        <v>246</v>
      </c>
    </row>
    <row r="565" spans="2:10" s="7" customFormat="1" x14ac:dyDescent="0.35">
      <c r="B565" s="4" t="s">
        <v>56</v>
      </c>
      <c r="C565" s="4" t="s">
        <v>57</v>
      </c>
      <c r="D565" s="4">
        <v>50</v>
      </c>
      <c r="E565" s="8">
        <v>220000</v>
      </c>
      <c r="F565" s="4" t="s">
        <v>35</v>
      </c>
      <c r="G565" s="4" t="s">
        <v>267</v>
      </c>
      <c r="H565" s="72" t="s">
        <v>245</v>
      </c>
      <c r="I565" s="73">
        <v>4400</v>
      </c>
      <c r="J565" s="72" t="s">
        <v>246</v>
      </c>
    </row>
    <row r="566" spans="2:10" s="7" customFormat="1" x14ac:dyDescent="0.35">
      <c r="B566" s="4" t="s">
        <v>260</v>
      </c>
      <c r="C566" s="4" t="s">
        <v>261</v>
      </c>
      <c r="D566" s="4">
        <v>225</v>
      </c>
      <c r="E566" s="8">
        <v>550000</v>
      </c>
      <c r="F566" s="4" t="s">
        <v>35</v>
      </c>
      <c r="G566" s="4" t="s">
        <v>267</v>
      </c>
      <c r="H566" s="72" t="s">
        <v>245</v>
      </c>
      <c r="I566" s="73">
        <v>2444.4444444444443</v>
      </c>
      <c r="J566" s="72" t="s">
        <v>246</v>
      </c>
    </row>
    <row r="567" spans="2:10" s="7" customFormat="1" x14ac:dyDescent="0.35">
      <c r="B567" s="4" t="s">
        <v>74</v>
      </c>
      <c r="C567" s="4" t="s">
        <v>75</v>
      </c>
      <c r="D567" s="4">
        <v>60</v>
      </c>
      <c r="E567" s="8">
        <v>300000</v>
      </c>
      <c r="F567" s="4" t="s">
        <v>35</v>
      </c>
      <c r="G567" s="4" t="s">
        <v>267</v>
      </c>
      <c r="H567" s="72" t="s">
        <v>245</v>
      </c>
      <c r="I567" s="73">
        <v>5000</v>
      </c>
      <c r="J567" s="72" t="s">
        <v>246</v>
      </c>
    </row>
    <row r="568" spans="2:10" s="7" customFormat="1" x14ac:dyDescent="0.35">
      <c r="B568" s="4" t="s">
        <v>76</v>
      </c>
      <c r="C568" s="4" t="s">
        <v>262</v>
      </c>
      <c r="D568" s="4">
        <v>55</v>
      </c>
      <c r="E568" s="8">
        <v>300000</v>
      </c>
      <c r="F568" s="4" t="s">
        <v>35</v>
      </c>
      <c r="G568" s="4" t="s">
        <v>267</v>
      </c>
      <c r="H568" s="72" t="s">
        <v>245</v>
      </c>
      <c r="I568" s="73">
        <v>5454.545454545455</v>
      </c>
      <c r="J568" s="72" t="s">
        <v>246</v>
      </c>
    </row>
    <row r="569" spans="2:10" s="7" customFormat="1" x14ac:dyDescent="0.35">
      <c r="B569" s="4" t="s">
        <v>96</v>
      </c>
      <c r="C569" s="4" t="s">
        <v>255</v>
      </c>
      <c r="D569" s="4">
        <v>60</v>
      </c>
      <c r="E569" s="8">
        <v>350000</v>
      </c>
      <c r="F569" s="4" t="s">
        <v>35</v>
      </c>
      <c r="G569" s="4" t="s">
        <v>267</v>
      </c>
      <c r="H569" s="72" t="s">
        <v>245</v>
      </c>
      <c r="I569" s="73">
        <v>5833.333333333333</v>
      </c>
      <c r="J569" s="72" t="s">
        <v>246</v>
      </c>
    </row>
    <row r="570" spans="2:10" s="7" customFormat="1" x14ac:dyDescent="0.35">
      <c r="B570" s="4" t="s">
        <v>263</v>
      </c>
      <c r="C570" s="4" t="s">
        <v>264</v>
      </c>
      <c r="D570" s="4">
        <v>250</v>
      </c>
      <c r="E570" s="8">
        <v>650000</v>
      </c>
      <c r="F570" s="4" t="s">
        <v>35</v>
      </c>
      <c r="G570" s="4" t="s">
        <v>267</v>
      </c>
      <c r="H570" s="72" t="s">
        <v>245</v>
      </c>
      <c r="I570" s="73">
        <v>2600</v>
      </c>
      <c r="J570" s="72" t="s">
        <v>246</v>
      </c>
    </row>
    <row r="571" spans="2:10" s="7" customFormat="1" x14ac:dyDescent="0.35">
      <c r="B571" s="4" t="s">
        <v>37</v>
      </c>
      <c r="C571" s="4" t="s">
        <v>38</v>
      </c>
      <c r="D571" s="4">
        <v>108</v>
      </c>
      <c r="E571" s="8">
        <v>360000</v>
      </c>
      <c r="F571" s="4" t="s">
        <v>31</v>
      </c>
      <c r="G571" s="4" t="s">
        <v>268</v>
      </c>
      <c r="H571" s="72" t="s">
        <v>245</v>
      </c>
      <c r="I571" s="73">
        <v>3333.3333333333335</v>
      </c>
      <c r="J571" s="72" t="s">
        <v>246</v>
      </c>
    </row>
    <row r="572" spans="2:10" s="7" customFormat="1" x14ac:dyDescent="0.35">
      <c r="B572" s="4" t="s">
        <v>40</v>
      </c>
      <c r="C572" s="4" t="s">
        <v>41</v>
      </c>
      <c r="D572" s="4">
        <v>264</v>
      </c>
      <c r="E572" s="8">
        <v>630000</v>
      </c>
      <c r="F572" s="4" t="s">
        <v>31</v>
      </c>
      <c r="G572" s="4" t="s">
        <v>268</v>
      </c>
      <c r="H572" s="72" t="s">
        <v>245</v>
      </c>
      <c r="I572" s="73">
        <v>2386.3636363636365</v>
      </c>
      <c r="J572" s="72" t="s">
        <v>246</v>
      </c>
    </row>
    <row r="573" spans="2:10" s="7" customFormat="1" x14ac:dyDescent="0.35">
      <c r="B573" s="4" t="s">
        <v>247</v>
      </c>
      <c r="C573" s="4" t="s">
        <v>248</v>
      </c>
      <c r="D573" s="4">
        <v>258</v>
      </c>
      <c r="E573" s="8">
        <v>610000</v>
      </c>
      <c r="F573" s="4" t="s">
        <v>31</v>
      </c>
      <c r="G573" s="4" t="s">
        <v>268</v>
      </c>
      <c r="H573" s="72" t="s">
        <v>245</v>
      </c>
      <c r="I573" s="73">
        <v>2364.3410852713178</v>
      </c>
      <c r="J573" s="72" t="s">
        <v>246</v>
      </c>
    </row>
    <row r="574" spans="2:10" s="7" customFormat="1" x14ac:dyDescent="0.35">
      <c r="B574" s="4" t="s">
        <v>251</v>
      </c>
      <c r="C574" s="4" t="s">
        <v>252</v>
      </c>
      <c r="D574" s="4">
        <v>143</v>
      </c>
      <c r="E574" s="8">
        <v>460000</v>
      </c>
      <c r="F574" s="4" t="s">
        <v>31</v>
      </c>
      <c r="G574" s="4" t="s">
        <v>268</v>
      </c>
      <c r="H574" s="72" t="s">
        <v>245</v>
      </c>
      <c r="I574" s="73">
        <v>3216.7832167832166</v>
      </c>
      <c r="J574" s="72" t="s">
        <v>246</v>
      </c>
    </row>
    <row r="575" spans="2:10" s="7" customFormat="1" x14ac:dyDescent="0.35">
      <c r="B575" s="4" t="s">
        <v>42</v>
      </c>
      <c r="C575" s="4" t="s">
        <v>43</v>
      </c>
      <c r="D575" s="4">
        <v>499</v>
      </c>
      <c r="E575" s="8">
        <v>1300000</v>
      </c>
      <c r="F575" s="4" t="s">
        <v>31</v>
      </c>
      <c r="G575" s="4" t="s">
        <v>268</v>
      </c>
      <c r="H575" s="72" t="s">
        <v>245</v>
      </c>
      <c r="I575" s="73">
        <v>2605.2104208416836</v>
      </c>
      <c r="J575" s="72" t="s">
        <v>246</v>
      </c>
    </row>
    <row r="576" spans="2:10" s="7" customFormat="1" x14ac:dyDescent="0.35">
      <c r="B576" s="4" t="s">
        <v>253</v>
      </c>
      <c r="C576" s="4" t="s">
        <v>70</v>
      </c>
      <c r="D576" s="4">
        <v>113</v>
      </c>
      <c r="E576" s="8">
        <v>400000</v>
      </c>
      <c r="F576" s="4" t="s">
        <v>31</v>
      </c>
      <c r="G576" s="4" t="s">
        <v>268</v>
      </c>
      <c r="H576" s="72" t="s">
        <v>245</v>
      </c>
      <c r="I576" s="73">
        <v>3539.8230088495575</v>
      </c>
      <c r="J576" s="72" t="s">
        <v>246</v>
      </c>
    </row>
    <row r="577" spans="2:10" s="7" customFormat="1" x14ac:dyDescent="0.35">
      <c r="B577" s="4" t="s">
        <v>249</v>
      </c>
      <c r="C577" s="4" t="s">
        <v>44</v>
      </c>
      <c r="D577" s="4">
        <v>150</v>
      </c>
      <c r="E577" s="8">
        <v>410000</v>
      </c>
      <c r="F577" s="4" t="s">
        <v>31</v>
      </c>
      <c r="G577" s="4" t="s">
        <v>268</v>
      </c>
      <c r="H577" s="72" t="s">
        <v>245</v>
      </c>
      <c r="I577" s="73">
        <v>2733.3333333333335</v>
      </c>
      <c r="J577" s="72" t="s">
        <v>246</v>
      </c>
    </row>
    <row r="578" spans="2:10" s="7" customFormat="1" x14ac:dyDescent="0.35">
      <c r="B578" s="4" t="s">
        <v>29</v>
      </c>
      <c r="C578" s="4" t="s">
        <v>30</v>
      </c>
      <c r="D578" s="4">
        <v>240</v>
      </c>
      <c r="E578" s="8">
        <v>560000</v>
      </c>
      <c r="F578" s="4" t="s">
        <v>31</v>
      </c>
      <c r="G578" s="4" t="s">
        <v>268</v>
      </c>
      <c r="H578" s="72" t="s">
        <v>245</v>
      </c>
      <c r="I578" s="73">
        <v>2333.3333333333335</v>
      </c>
      <c r="J578" s="72" t="s">
        <v>246</v>
      </c>
    </row>
    <row r="579" spans="2:10" s="7" customFormat="1" x14ac:dyDescent="0.35">
      <c r="B579" s="4" t="s">
        <v>45</v>
      </c>
      <c r="C579" s="4" t="s">
        <v>46</v>
      </c>
      <c r="D579" s="4">
        <v>240</v>
      </c>
      <c r="E579" s="8">
        <v>560000</v>
      </c>
      <c r="F579" s="4" t="s">
        <v>31</v>
      </c>
      <c r="G579" s="4" t="s">
        <v>268</v>
      </c>
      <c r="H579" s="72" t="s">
        <v>245</v>
      </c>
      <c r="I579" s="73">
        <v>2333.3333333333335</v>
      </c>
      <c r="J579" s="72" t="s">
        <v>246</v>
      </c>
    </row>
    <row r="580" spans="2:10" s="7" customFormat="1" x14ac:dyDescent="0.35">
      <c r="B580" s="4" t="s">
        <v>47</v>
      </c>
      <c r="C580" s="4" t="s">
        <v>48</v>
      </c>
      <c r="D580" s="4">
        <v>124</v>
      </c>
      <c r="E580" s="8">
        <v>400000</v>
      </c>
      <c r="F580" s="4" t="s">
        <v>31</v>
      </c>
      <c r="G580" s="4" t="s">
        <v>268</v>
      </c>
      <c r="H580" s="72" t="s">
        <v>245</v>
      </c>
      <c r="I580" s="73">
        <v>3225.8064516129034</v>
      </c>
      <c r="J580" s="72" t="s">
        <v>246</v>
      </c>
    </row>
    <row r="581" spans="2:10" s="7" customFormat="1" x14ac:dyDescent="0.35">
      <c r="B581" s="4" t="s">
        <v>49</v>
      </c>
      <c r="C581" s="4" t="s">
        <v>50</v>
      </c>
      <c r="D581" s="4">
        <v>3</v>
      </c>
      <c r="E581" s="8">
        <v>250000</v>
      </c>
      <c r="F581" s="4" t="s">
        <v>31</v>
      </c>
      <c r="G581" s="4" t="s">
        <v>268</v>
      </c>
      <c r="H581" s="72" t="s">
        <v>245</v>
      </c>
      <c r="I581" s="73">
        <v>83333.333333333328</v>
      </c>
      <c r="J581" s="72" t="s">
        <v>246</v>
      </c>
    </row>
    <row r="582" spans="2:10" s="7" customFormat="1" x14ac:dyDescent="0.35">
      <c r="B582" s="4" t="s">
        <v>95</v>
      </c>
      <c r="C582" s="4" t="s">
        <v>254</v>
      </c>
      <c r="D582" s="4">
        <v>208</v>
      </c>
      <c r="E582" s="8">
        <v>560000</v>
      </c>
      <c r="F582" s="4" t="s">
        <v>31</v>
      </c>
      <c r="G582" s="4" t="s">
        <v>268</v>
      </c>
      <c r="H582" s="72" t="s">
        <v>245</v>
      </c>
      <c r="I582" s="73">
        <v>2692.3076923076924</v>
      </c>
      <c r="J582" s="72" t="s">
        <v>246</v>
      </c>
    </row>
    <row r="583" spans="2:10" s="7" customFormat="1" x14ac:dyDescent="0.35">
      <c r="B583" s="4" t="s">
        <v>51</v>
      </c>
      <c r="C583" s="4" t="s">
        <v>50</v>
      </c>
      <c r="D583" s="4">
        <v>3</v>
      </c>
      <c r="E583" s="8">
        <v>250000</v>
      </c>
      <c r="F583" s="4" t="s">
        <v>31</v>
      </c>
      <c r="G583" s="4" t="s">
        <v>268</v>
      </c>
      <c r="H583" s="72" t="s">
        <v>245</v>
      </c>
      <c r="I583" s="73">
        <v>83333.333333333328</v>
      </c>
      <c r="J583" s="72" t="s">
        <v>246</v>
      </c>
    </row>
    <row r="584" spans="2:10" s="7" customFormat="1" x14ac:dyDescent="0.35">
      <c r="B584" s="4" t="s">
        <v>55</v>
      </c>
      <c r="C584" s="4" t="s">
        <v>41</v>
      </c>
      <c r="D584" s="4">
        <v>260</v>
      </c>
      <c r="E584" s="8">
        <v>920000</v>
      </c>
      <c r="F584" s="4" t="s">
        <v>31</v>
      </c>
      <c r="G584" s="4" t="s">
        <v>268</v>
      </c>
      <c r="H584" s="72" t="s">
        <v>245</v>
      </c>
      <c r="I584" s="73">
        <v>3538.4615384615386</v>
      </c>
      <c r="J584" s="72" t="s">
        <v>246</v>
      </c>
    </row>
    <row r="585" spans="2:10" s="7" customFormat="1" x14ac:dyDescent="0.35">
      <c r="B585" s="4" t="s">
        <v>52</v>
      </c>
      <c r="C585" s="4" t="s">
        <v>53</v>
      </c>
      <c r="D585" s="4">
        <v>45</v>
      </c>
      <c r="E585" s="8">
        <v>330000</v>
      </c>
      <c r="F585" s="4" t="s">
        <v>31</v>
      </c>
      <c r="G585" s="4" t="s">
        <v>268</v>
      </c>
      <c r="H585" s="72" t="s">
        <v>245</v>
      </c>
      <c r="I585" s="73">
        <v>7333.333333333333</v>
      </c>
      <c r="J585" s="72" t="s">
        <v>246</v>
      </c>
    </row>
    <row r="586" spans="2:10" s="7" customFormat="1" x14ac:dyDescent="0.35">
      <c r="B586" s="4" t="s">
        <v>58</v>
      </c>
      <c r="C586" s="4" t="s">
        <v>59</v>
      </c>
      <c r="D586" s="4">
        <v>98</v>
      </c>
      <c r="E586" s="8">
        <v>380000</v>
      </c>
      <c r="F586" s="4" t="s">
        <v>31</v>
      </c>
      <c r="G586" s="4" t="s">
        <v>268</v>
      </c>
      <c r="H586" s="72" t="s">
        <v>245</v>
      </c>
      <c r="I586" s="73">
        <v>3877.5510204081634</v>
      </c>
      <c r="J586" s="72" t="s">
        <v>246</v>
      </c>
    </row>
    <row r="587" spans="2:10" s="7" customFormat="1" x14ac:dyDescent="0.35">
      <c r="B587" s="4" t="s">
        <v>97</v>
      </c>
      <c r="C587" s="4" t="s">
        <v>255</v>
      </c>
      <c r="D587" s="4">
        <v>125</v>
      </c>
      <c r="E587" s="8">
        <v>400000</v>
      </c>
      <c r="F587" s="4" t="s">
        <v>31</v>
      </c>
      <c r="G587" s="4" t="s">
        <v>268</v>
      </c>
      <c r="H587" s="72" t="s">
        <v>245</v>
      </c>
      <c r="I587" s="73">
        <v>3200</v>
      </c>
      <c r="J587" s="72" t="s">
        <v>246</v>
      </c>
    </row>
    <row r="588" spans="2:10" s="7" customFormat="1" x14ac:dyDescent="0.35">
      <c r="B588" s="4" t="s">
        <v>60</v>
      </c>
      <c r="C588" s="4" t="s">
        <v>61</v>
      </c>
      <c r="D588" s="4">
        <v>128</v>
      </c>
      <c r="E588" s="8">
        <v>400000</v>
      </c>
      <c r="F588" s="4" t="s">
        <v>31</v>
      </c>
      <c r="G588" s="4" t="s">
        <v>268</v>
      </c>
      <c r="H588" s="72" t="s">
        <v>245</v>
      </c>
      <c r="I588" s="73">
        <v>3125</v>
      </c>
      <c r="J588" s="72" t="s">
        <v>246</v>
      </c>
    </row>
    <row r="589" spans="2:10" s="7" customFormat="1" x14ac:dyDescent="0.35">
      <c r="B589" s="4" t="s">
        <v>62</v>
      </c>
      <c r="C589" s="4" t="s">
        <v>63</v>
      </c>
      <c r="D589" s="4">
        <v>16</v>
      </c>
      <c r="E589" s="8">
        <v>250000</v>
      </c>
      <c r="F589" s="4" t="s">
        <v>31</v>
      </c>
      <c r="G589" s="4" t="s">
        <v>268</v>
      </c>
      <c r="H589" s="72" t="s">
        <v>245</v>
      </c>
      <c r="I589" s="73">
        <v>15625</v>
      </c>
      <c r="J589" s="72" t="s">
        <v>246</v>
      </c>
    </row>
    <row r="590" spans="2:10" s="7" customFormat="1" x14ac:dyDescent="0.35">
      <c r="B590" s="4" t="s">
        <v>98</v>
      </c>
      <c r="C590" s="4" t="s">
        <v>38</v>
      </c>
      <c r="D590" s="4">
        <v>110</v>
      </c>
      <c r="E590" s="8">
        <v>400000</v>
      </c>
      <c r="F590" s="4" t="s">
        <v>31</v>
      </c>
      <c r="G590" s="4" t="s">
        <v>268</v>
      </c>
      <c r="H590" s="72" t="s">
        <v>245</v>
      </c>
      <c r="I590" s="73">
        <v>3636.3636363636365</v>
      </c>
      <c r="J590" s="72" t="s">
        <v>246</v>
      </c>
    </row>
    <row r="591" spans="2:10" s="7" customFormat="1" x14ac:dyDescent="0.35">
      <c r="B591" s="4" t="s">
        <v>256</v>
      </c>
      <c r="C591" s="4" t="s">
        <v>64</v>
      </c>
      <c r="D591" s="4">
        <v>40</v>
      </c>
      <c r="E591" s="8">
        <v>330000</v>
      </c>
      <c r="F591" s="4" t="s">
        <v>31</v>
      </c>
      <c r="G591" s="4" t="s">
        <v>268</v>
      </c>
      <c r="H591" s="72" t="s">
        <v>245</v>
      </c>
      <c r="I591" s="73">
        <v>8250</v>
      </c>
      <c r="J591" s="72" t="s">
        <v>246</v>
      </c>
    </row>
    <row r="592" spans="2:10" s="7" customFormat="1" x14ac:dyDescent="0.35">
      <c r="B592" s="4" t="s">
        <v>65</v>
      </c>
      <c r="C592" s="4" t="s">
        <v>66</v>
      </c>
      <c r="D592" s="4">
        <v>110</v>
      </c>
      <c r="E592" s="8">
        <v>400000</v>
      </c>
      <c r="F592" s="4" t="s">
        <v>31</v>
      </c>
      <c r="G592" s="4" t="s">
        <v>268</v>
      </c>
      <c r="H592" s="72" t="s">
        <v>245</v>
      </c>
      <c r="I592" s="73">
        <v>3636.3636363636365</v>
      </c>
      <c r="J592" s="72" t="s">
        <v>246</v>
      </c>
    </row>
    <row r="593" spans="2:10" s="7" customFormat="1" x14ac:dyDescent="0.35">
      <c r="B593" s="4" t="s">
        <v>67</v>
      </c>
      <c r="C593" s="4" t="s">
        <v>38</v>
      </c>
      <c r="D593" s="4">
        <v>103</v>
      </c>
      <c r="E593" s="8">
        <v>400000</v>
      </c>
      <c r="F593" s="4" t="s">
        <v>31</v>
      </c>
      <c r="G593" s="4" t="s">
        <v>268</v>
      </c>
      <c r="H593" s="72" t="s">
        <v>245</v>
      </c>
      <c r="I593" s="73">
        <v>3883.4951456310678</v>
      </c>
      <c r="J593" s="72" t="s">
        <v>246</v>
      </c>
    </row>
    <row r="594" spans="2:10" s="7" customFormat="1" x14ac:dyDescent="0.35">
      <c r="B594" s="4" t="s">
        <v>68</v>
      </c>
      <c r="C594" s="4" t="s">
        <v>69</v>
      </c>
      <c r="D594" s="4">
        <v>131</v>
      </c>
      <c r="E594" s="8">
        <v>410000</v>
      </c>
      <c r="F594" s="4" t="s">
        <v>31</v>
      </c>
      <c r="G594" s="4" t="s">
        <v>268</v>
      </c>
      <c r="H594" s="72" t="s">
        <v>245</v>
      </c>
      <c r="I594" s="73">
        <v>3129.7709923664124</v>
      </c>
      <c r="J594" s="72" t="s">
        <v>246</v>
      </c>
    </row>
    <row r="595" spans="2:10" s="7" customFormat="1" x14ac:dyDescent="0.35">
      <c r="B595" s="4" t="s">
        <v>33</v>
      </c>
      <c r="C595" s="4" t="s">
        <v>34</v>
      </c>
      <c r="D595" s="4">
        <v>85</v>
      </c>
      <c r="E595" s="8">
        <v>380000</v>
      </c>
      <c r="F595" s="4" t="s">
        <v>31</v>
      </c>
      <c r="G595" s="4" t="s">
        <v>268</v>
      </c>
      <c r="H595" s="72" t="s">
        <v>245</v>
      </c>
      <c r="I595" s="73">
        <v>4470.588235294118</v>
      </c>
      <c r="J595" s="72" t="s">
        <v>246</v>
      </c>
    </row>
    <row r="596" spans="2:10" s="7" customFormat="1" x14ac:dyDescent="0.35">
      <c r="B596" s="4" t="s">
        <v>257</v>
      </c>
      <c r="C596" s="4" t="s">
        <v>66</v>
      </c>
      <c r="D596" s="4">
        <v>118</v>
      </c>
      <c r="E596" s="8">
        <v>400000</v>
      </c>
      <c r="F596" s="4" t="s">
        <v>31</v>
      </c>
      <c r="G596" s="4" t="s">
        <v>268</v>
      </c>
      <c r="H596" s="72" t="s">
        <v>245</v>
      </c>
      <c r="I596" s="73">
        <v>3389.8305084745762</v>
      </c>
      <c r="J596" s="72" t="s">
        <v>246</v>
      </c>
    </row>
    <row r="597" spans="2:10" s="7" customFormat="1" x14ac:dyDescent="0.35">
      <c r="B597" s="4" t="s">
        <v>71</v>
      </c>
      <c r="C597" s="4" t="s">
        <v>43</v>
      </c>
      <c r="D597" s="4">
        <v>549</v>
      </c>
      <c r="E597" s="8">
        <v>1500000</v>
      </c>
      <c r="F597" s="4" t="s">
        <v>31</v>
      </c>
      <c r="G597" s="4" t="s">
        <v>268</v>
      </c>
      <c r="H597" s="72" t="s">
        <v>245</v>
      </c>
      <c r="I597" s="73">
        <v>2732.2404371584698</v>
      </c>
      <c r="J597" s="72" t="s">
        <v>246</v>
      </c>
    </row>
    <row r="598" spans="2:10" s="7" customFormat="1" x14ac:dyDescent="0.35">
      <c r="B598" s="4" t="s">
        <v>258</v>
      </c>
      <c r="C598" s="4" t="s">
        <v>259</v>
      </c>
      <c r="D598" s="4">
        <v>144</v>
      </c>
      <c r="E598" s="8">
        <v>460000</v>
      </c>
      <c r="F598" s="4" t="s">
        <v>31</v>
      </c>
      <c r="G598" s="4" t="s">
        <v>268</v>
      </c>
      <c r="H598" s="72" t="s">
        <v>245</v>
      </c>
      <c r="I598" s="73">
        <v>3194.4444444444443</v>
      </c>
      <c r="J598" s="72" t="s">
        <v>246</v>
      </c>
    </row>
    <row r="599" spans="2:10" s="7" customFormat="1" x14ac:dyDescent="0.35">
      <c r="B599" s="4" t="s">
        <v>72</v>
      </c>
      <c r="C599" s="4" t="s">
        <v>73</v>
      </c>
      <c r="D599" s="4">
        <v>165</v>
      </c>
      <c r="E599" s="8">
        <v>500000</v>
      </c>
      <c r="F599" s="4" t="s">
        <v>31</v>
      </c>
      <c r="G599" s="4" t="s">
        <v>268</v>
      </c>
      <c r="H599" s="72" t="s">
        <v>245</v>
      </c>
      <c r="I599" s="73">
        <v>3030.3030303030305</v>
      </c>
      <c r="J599" s="72" t="s">
        <v>246</v>
      </c>
    </row>
    <row r="600" spans="2:10" s="7" customFormat="1" x14ac:dyDescent="0.35">
      <c r="B600" s="4" t="s">
        <v>56</v>
      </c>
      <c r="C600" s="4" t="s">
        <v>57</v>
      </c>
      <c r="D600" s="4">
        <v>100</v>
      </c>
      <c r="E600" s="8">
        <v>400000</v>
      </c>
      <c r="F600" s="4" t="s">
        <v>31</v>
      </c>
      <c r="G600" s="4" t="s">
        <v>268</v>
      </c>
      <c r="H600" s="72" t="s">
        <v>245</v>
      </c>
      <c r="I600" s="73">
        <v>4000</v>
      </c>
      <c r="J600" s="72" t="s">
        <v>246</v>
      </c>
    </row>
    <row r="601" spans="2:10" s="7" customFormat="1" x14ac:dyDescent="0.35">
      <c r="B601" s="4" t="s">
        <v>260</v>
      </c>
      <c r="C601" s="4" t="s">
        <v>261</v>
      </c>
      <c r="D601" s="4">
        <v>162</v>
      </c>
      <c r="E601" s="8">
        <v>500000</v>
      </c>
      <c r="F601" s="4" t="s">
        <v>31</v>
      </c>
      <c r="G601" s="4" t="s">
        <v>268</v>
      </c>
      <c r="H601" s="72" t="s">
        <v>245</v>
      </c>
      <c r="I601" s="73">
        <v>3086.4197530864199</v>
      </c>
      <c r="J601" s="72" t="s">
        <v>246</v>
      </c>
    </row>
    <row r="602" spans="2:10" s="7" customFormat="1" x14ac:dyDescent="0.35">
      <c r="B602" s="4" t="s">
        <v>74</v>
      </c>
      <c r="C602" s="4" t="s">
        <v>75</v>
      </c>
      <c r="D602" s="4">
        <v>10</v>
      </c>
      <c r="E602" s="8">
        <v>250000</v>
      </c>
      <c r="F602" s="4" t="s">
        <v>31</v>
      </c>
      <c r="G602" s="4" t="s">
        <v>268</v>
      </c>
      <c r="H602" s="72" t="s">
        <v>245</v>
      </c>
      <c r="I602" s="73">
        <v>25000</v>
      </c>
      <c r="J602" s="72" t="s">
        <v>246</v>
      </c>
    </row>
    <row r="603" spans="2:10" s="7" customFormat="1" x14ac:dyDescent="0.35">
      <c r="B603" s="4" t="s">
        <v>76</v>
      </c>
      <c r="C603" s="4" t="s">
        <v>262</v>
      </c>
      <c r="D603" s="4">
        <v>20</v>
      </c>
      <c r="E603" s="8">
        <v>300000</v>
      </c>
      <c r="F603" s="4" t="s">
        <v>31</v>
      </c>
      <c r="G603" s="4" t="s">
        <v>268</v>
      </c>
      <c r="H603" s="72" t="s">
        <v>245</v>
      </c>
      <c r="I603" s="73">
        <v>15000</v>
      </c>
      <c r="J603" s="72" t="s">
        <v>246</v>
      </c>
    </row>
    <row r="604" spans="2:10" s="7" customFormat="1" x14ac:dyDescent="0.35">
      <c r="B604" s="4" t="s">
        <v>96</v>
      </c>
      <c r="C604" s="4" t="s">
        <v>255</v>
      </c>
      <c r="D604" s="4">
        <v>122</v>
      </c>
      <c r="E604" s="8">
        <v>400000</v>
      </c>
      <c r="F604" s="4" t="s">
        <v>31</v>
      </c>
      <c r="G604" s="4" t="s">
        <v>268</v>
      </c>
      <c r="H604" s="72" t="s">
        <v>245</v>
      </c>
      <c r="I604" s="73">
        <v>3278.688524590164</v>
      </c>
      <c r="J604" s="72" t="s">
        <v>246</v>
      </c>
    </row>
    <row r="605" spans="2:10" s="7" customFormat="1" x14ac:dyDescent="0.35">
      <c r="B605" s="4" t="s">
        <v>263</v>
      </c>
      <c r="C605" s="4" t="s">
        <v>264</v>
      </c>
      <c r="D605" s="4">
        <v>297</v>
      </c>
      <c r="E605" s="8">
        <v>1000000</v>
      </c>
      <c r="F605" s="4" t="s">
        <v>31</v>
      </c>
      <c r="G605" s="4" t="s">
        <v>268</v>
      </c>
      <c r="H605" s="72" t="s">
        <v>245</v>
      </c>
      <c r="I605" s="73">
        <v>3367.0033670033672</v>
      </c>
      <c r="J605" s="72" t="s">
        <v>246</v>
      </c>
    </row>
    <row r="606" spans="2:10" s="7" customFormat="1" x14ac:dyDescent="0.35">
      <c r="B606" s="4" t="s">
        <v>37</v>
      </c>
      <c r="C606" s="4" t="s">
        <v>38</v>
      </c>
      <c r="D606" s="4">
        <v>134</v>
      </c>
      <c r="E606" s="8">
        <v>450000</v>
      </c>
      <c r="F606" s="4" t="s">
        <v>36</v>
      </c>
      <c r="G606" s="4" t="s">
        <v>268</v>
      </c>
      <c r="H606" s="72" t="s">
        <v>245</v>
      </c>
      <c r="I606" s="73">
        <v>3358.2089552238808</v>
      </c>
      <c r="J606" s="72" t="s">
        <v>246</v>
      </c>
    </row>
    <row r="607" spans="2:10" s="7" customFormat="1" x14ac:dyDescent="0.35">
      <c r="B607" s="4" t="s">
        <v>40</v>
      </c>
      <c r="C607" s="4" t="s">
        <v>41</v>
      </c>
      <c r="D607" s="4">
        <v>123</v>
      </c>
      <c r="E607" s="8">
        <v>450000</v>
      </c>
      <c r="F607" s="4" t="s">
        <v>36</v>
      </c>
      <c r="G607" s="4" t="s">
        <v>268</v>
      </c>
      <c r="H607" s="72" t="s">
        <v>245</v>
      </c>
      <c r="I607" s="73">
        <v>3658.5365853658536</v>
      </c>
      <c r="J607" s="72" t="s">
        <v>246</v>
      </c>
    </row>
    <row r="608" spans="2:10" s="7" customFormat="1" x14ac:dyDescent="0.35">
      <c r="B608" s="4" t="s">
        <v>247</v>
      </c>
      <c r="C608" s="4" t="s">
        <v>248</v>
      </c>
      <c r="D608" s="4">
        <v>118</v>
      </c>
      <c r="E608" s="8">
        <v>380000</v>
      </c>
      <c r="F608" s="4" t="s">
        <v>36</v>
      </c>
      <c r="G608" s="4" t="s">
        <v>268</v>
      </c>
      <c r="H608" s="72" t="s">
        <v>245</v>
      </c>
      <c r="I608" s="73">
        <v>3220.3389830508477</v>
      </c>
      <c r="J608" s="72" t="s">
        <v>246</v>
      </c>
    </row>
    <row r="609" spans="2:10" s="7" customFormat="1" x14ac:dyDescent="0.35">
      <c r="B609" s="4" t="s">
        <v>251</v>
      </c>
      <c r="C609" s="4" t="s">
        <v>252</v>
      </c>
      <c r="D609" s="4">
        <v>103</v>
      </c>
      <c r="E609" s="8">
        <v>340000</v>
      </c>
      <c r="F609" s="4" t="s">
        <v>36</v>
      </c>
      <c r="G609" s="4" t="s">
        <v>268</v>
      </c>
      <c r="H609" s="72" t="s">
        <v>245</v>
      </c>
      <c r="I609" s="73">
        <v>3300.970873786408</v>
      </c>
      <c r="J609" s="72" t="s">
        <v>246</v>
      </c>
    </row>
    <row r="610" spans="2:10" s="7" customFormat="1" x14ac:dyDescent="0.35">
      <c r="B610" s="4" t="s">
        <v>42</v>
      </c>
      <c r="C610" s="4" t="s">
        <v>43</v>
      </c>
      <c r="D610" s="4">
        <v>358</v>
      </c>
      <c r="E610" s="8">
        <v>1100000</v>
      </c>
      <c r="F610" s="4" t="s">
        <v>36</v>
      </c>
      <c r="G610" s="4" t="s">
        <v>268</v>
      </c>
      <c r="H610" s="72" t="s">
        <v>245</v>
      </c>
      <c r="I610" s="73">
        <v>3072.6256983240223</v>
      </c>
      <c r="J610" s="72" t="s">
        <v>246</v>
      </c>
    </row>
    <row r="611" spans="2:10" s="7" customFormat="1" x14ac:dyDescent="0.35">
      <c r="B611" s="4" t="s">
        <v>253</v>
      </c>
      <c r="C611" s="4" t="s">
        <v>70</v>
      </c>
      <c r="D611" s="4">
        <v>141</v>
      </c>
      <c r="E611" s="8">
        <v>460000</v>
      </c>
      <c r="F611" s="4" t="s">
        <v>36</v>
      </c>
      <c r="G611" s="4" t="s">
        <v>268</v>
      </c>
      <c r="H611" s="72" t="s">
        <v>245</v>
      </c>
      <c r="I611" s="73">
        <v>3262.4113475177305</v>
      </c>
      <c r="J611" s="72" t="s">
        <v>246</v>
      </c>
    </row>
    <row r="612" spans="2:10" s="7" customFormat="1" x14ac:dyDescent="0.35">
      <c r="B612" s="4" t="s">
        <v>249</v>
      </c>
      <c r="C612" s="4" t="s">
        <v>44</v>
      </c>
      <c r="D612" s="4">
        <v>60</v>
      </c>
      <c r="E612" s="8">
        <v>380000</v>
      </c>
      <c r="F612" s="4" t="s">
        <v>36</v>
      </c>
      <c r="G612" s="4" t="s">
        <v>268</v>
      </c>
      <c r="H612" s="72" t="s">
        <v>245</v>
      </c>
      <c r="I612" s="73">
        <v>6333.333333333333</v>
      </c>
      <c r="J612" s="72" t="s">
        <v>246</v>
      </c>
    </row>
    <row r="613" spans="2:10" s="7" customFormat="1" x14ac:dyDescent="0.35">
      <c r="B613" s="4" t="s">
        <v>29</v>
      </c>
      <c r="C613" s="4" t="s">
        <v>30</v>
      </c>
      <c r="D613" s="4">
        <v>22</v>
      </c>
      <c r="E613" s="8">
        <v>300000</v>
      </c>
      <c r="F613" s="4" t="s">
        <v>36</v>
      </c>
      <c r="G613" s="4" t="s">
        <v>268</v>
      </c>
      <c r="H613" s="72" t="s">
        <v>245</v>
      </c>
      <c r="I613" s="73">
        <v>13636.363636363636</v>
      </c>
      <c r="J613" s="72" t="s">
        <v>246</v>
      </c>
    </row>
    <row r="614" spans="2:10" s="7" customFormat="1" x14ac:dyDescent="0.35">
      <c r="B614" s="4" t="s">
        <v>45</v>
      </c>
      <c r="C614" s="4" t="s">
        <v>46</v>
      </c>
      <c r="D614" s="4">
        <v>100</v>
      </c>
      <c r="E614" s="8">
        <v>400000</v>
      </c>
      <c r="F614" s="4" t="s">
        <v>36</v>
      </c>
      <c r="G614" s="4" t="s">
        <v>268</v>
      </c>
      <c r="H614" s="72" t="s">
        <v>245</v>
      </c>
      <c r="I614" s="73">
        <v>4000</v>
      </c>
      <c r="J614" s="72" t="s">
        <v>246</v>
      </c>
    </row>
    <row r="615" spans="2:10" s="7" customFormat="1" x14ac:dyDescent="0.35">
      <c r="B615" s="4" t="s">
        <v>47</v>
      </c>
      <c r="C615" s="4" t="s">
        <v>48</v>
      </c>
      <c r="D615" s="4">
        <v>85</v>
      </c>
      <c r="E615" s="8">
        <v>380000</v>
      </c>
      <c r="F615" s="4" t="s">
        <v>36</v>
      </c>
      <c r="G615" s="4" t="s">
        <v>268</v>
      </c>
      <c r="H615" s="72" t="s">
        <v>245</v>
      </c>
      <c r="I615" s="73">
        <v>4470.588235294118</v>
      </c>
      <c r="J615" s="72" t="s">
        <v>246</v>
      </c>
    </row>
    <row r="616" spans="2:10" s="7" customFormat="1" x14ac:dyDescent="0.35">
      <c r="B616" s="4" t="s">
        <v>49</v>
      </c>
      <c r="C616" s="4" t="s">
        <v>50</v>
      </c>
      <c r="D616" s="4">
        <v>144</v>
      </c>
      <c r="E616" s="8">
        <v>460000</v>
      </c>
      <c r="F616" s="4" t="s">
        <v>36</v>
      </c>
      <c r="G616" s="4" t="s">
        <v>268</v>
      </c>
      <c r="H616" s="72" t="s">
        <v>245</v>
      </c>
      <c r="I616" s="73">
        <v>3194.4444444444443</v>
      </c>
      <c r="J616" s="72" t="s">
        <v>246</v>
      </c>
    </row>
    <row r="617" spans="2:10" s="7" customFormat="1" x14ac:dyDescent="0.35">
      <c r="B617" s="4" t="s">
        <v>95</v>
      </c>
      <c r="C617" s="4" t="s">
        <v>254</v>
      </c>
      <c r="D617" s="4">
        <v>60</v>
      </c>
      <c r="E617" s="8">
        <v>380000</v>
      </c>
      <c r="F617" s="4" t="s">
        <v>36</v>
      </c>
      <c r="G617" s="4" t="s">
        <v>268</v>
      </c>
      <c r="H617" s="72" t="s">
        <v>245</v>
      </c>
      <c r="I617" s="73">
        <v>6333.333333333333</v>
      </c>
      <c r="J617" s="72" t="s">
        <v>246</v>
      </c>
    </row>
    <row r="618" spans="2:10" s="7" customFormat="1" x14ac:dyDescent="0.35">
      <c r="B618" s="4" t="s">
        <v>51</v>
      </c>
      <c r="C618" s="4" t="s">
        <v>50</v>
      </c>
      <c r="D618" s="4">
        <v>144</v>
      </c>
      <c r="E618" s="8">
        <v>460000</v>
      </c>
      <c r="F618" s="4" t="s">
        <v>36</v>
      </c>
      <c r="G618" s="4" t="s">
        <v>268</v>
      </c>
      <c r="H618" s="72" t="s">
        <v>245</v>
      </c>
      <c r="I618" s="73">
        <v>3194.4444444444443</v>
      </c>
      <c r="J618" s="72" t="s">
        <v>246</v>
      </c>
    </row>
    <row r="619" spans="2:10" s="7" customFormat="1" x14ac:dyDescent="0.35">
      <c r="B619" s="4" t="s">
        <v>55</v>
      </c>
      <c r="C619" s="4" t="s">
        <v>41</v>
      </c>
      <c r="D619" s="4">
        <v>120</v>
      </c>
      <c r="E619" s="8">
        <v>400000</v>
      </c>
      <c r="F619" s="4" t="s">
        <v>36</v>
      </c>
      <c r="G619" s="4" t="s">
        <v>268</v>
      </c>
      <c r="H619" s="72" t="s">
        <v>245</v>
      </c>
      <c r="I619" s="73">
        <v>3333.3333333333335</v>
      </c>
      <c r="J619" s="72" t="s">
        <v>246</v>
      </c>
    </row>
    <row r="620" spans="2:10" s="7" customFormat="1" x14ac:dyDescent="0.35">
      <c r="B620" s="4" t="s">
        <v>52</v>
      </c>
      <c r="C620" s="4" t="s">
        <v>53</v>
      </c>
      <c r="D620" s="4">
        <v>100</v>
      </c>
      <c r="E620" s="8">
        <v>400000</v>
      </c>
      <c r="F620" s="4" t="s">
        <v>36</v>
      </c>
      <c r="G620" s="4" t="s">
        <v>268</v>
      </c>
      <c r="H620" s="72" t="s">
        <v>245</v>
      </c>
      <c r="I620" s="73">
        <v>4000</v>
      </c>
      <c r="J620" s="72" t="s">
        <v>246</v>
      </c>
    </row>
    <row r="621" spans="2:10" s="7" customFormat="1" x14ac:dyDescent="0.35">
      <c r="B621" s="4" t="s">
        <v>58</v>
      </c>
      <c r="C621" s="4" t="s">
        <v>59</v>
      </c>
      <c r="D621" s="4">
        <v>125</v>
      </c>
      <c r="E621" s="8">
        <v>400000</v>
      </c>
      <c r="F621" s="4" t="s">
        <v>36</v>
      </c>
      <c r="G621" s="4" t="s">
        <v>268</v>
      </c>
      <c r="H621" s="72" t="s">
        <v>245</v>
      </c>
      <c r="I621" s="73">
        <v>3200</v>
      </c>
      <c r="J621" s="72" t="s">
        <v>246</v>
      </c>
    </row>
    <row r="622" spans="2:10" s="7" customFormat="1" x14ac:dyDescent="0.35">
      <c r="B622" s="4" t="s">
        <v>97</v>
      </c>
      <c r="C622" s="4" t="s">
        <v>255</v>
      </c>
      <c r="D622" s="4">
        <v>90</v>
      </c>
      <c r="E622" s="8">
        <v>380000</v>
      </c>
      <c r="F622" s="4" t="s">
        <v>36</v>
      </c>
      <c r="G622" s="4" t="s">
        <v>268</v>
      </c>
      <c r="H622" s="72" t="s">
        <v>245</v>
      </c>
      <c r="I622" s="73">
        <v>4222.2222222222226</v>
      </c>
      <c r="J622" s="72" t="s">
        <v>246</v>
      </c>
    </row>
    <row r="623" spans="2:10" s="7" customFormat="1" x14ac:dyDescent="0.35">
      <c r="B623" s="4" t="s">
        <v>60</v>
      </c>
      <c r="C623" s="4" t="s">
        <v>61</v>
      </c>
      <c r="D623" s="4">
        <v>80</v>
      </c>
      <c r="E623" s="8">
        <v>380000</v>
      </c>
      <c r="F623" s="4" t="s">
        <v>36</v>
      </c>
      <c r="G623" s="4" t="s">
        <v>268</v>
      </c>
      <c r="H623" s="72" t="s">
        <v>245</v>
      </c>
      <c r="I623" s="73">
        <v>4750</v>
      </c>
      <c r="J623" s="72" t="s">
        <v>246</v>
      </c>
    </row>
    <row r="624" spans="2:10" s="7" customFormat="1" x14ac:dyDescent="0.35">
      <c r="B624" s="4" t="s">
        <v>62</v>
      </c>
      <c r="C624" s="4" t="s">
        <v>63</v>
      </c>
      <c r="D624" s="4">
        <v>130</v>
      </c>
      <c r="E624" s="8">
        <v>410000</v>
      </c>
      <c r="F624" s="4" t="s">
        <v>36</v>
      </c>
      <c r="G624" s="4" t="s">
        <v>268</v>
      </c>
      <c r="H624" s="72" t="s">
        <v>245</v>
      </c>
      <c r="I624" s="73">
        <v>3153.8461538461538</v>
      </c>
      <c r="J624" s="72" t="s">
        <v>246</v>
      </c>
    </row>
    <row r="625" spans="2:10" s="7" customFormat="1" x14ac:dyDescent="0.35">
      <c r="B625" s="4" t="s">
        <v>98</v>
      </c>
      <c r="C625" s="4" t="s">
        <v>38</v>
      </c>
      <c r="D625" s="4">
        <v>133</v>
      </c>
      <c r="E625" s="8">
        <v>410000</v>
      </c>
      <c r="F625" s="4" t="s">
        <v>36</v>
      </c>
      <c r="G625" s="4" t="s">
        <v>268</v>
      </c>
      <c r="H625" s="72" t="s">
        <v>245</v>
      </c>
      <c r="I625" s="73">
        <v>3082.7067669172934</v>
      </c>
      <c r="J625" s="72" t="s">
        <v>246</v>
      </c>
    </row>
    <row r="626" spans="2:10" s="7" customFormat="1" x14ac:dyDescent="0.35">
      <c r="B626" s="4" t="s">
        <v>256</v>
      </c>
      <c r="C626" s="4" t="s">
        <v>64</v>
      </c>
      <c r="D626" s="4">
        <v>180</v>
      </c>
      <c r="E626" s="8">
        <v>500000</v>
      </c>
      <c r="F626" s="4" t="s">
        <v>36</v>
      </c>
      <c r="G626" s="4" t="s">
        <v>268</v>
      </c>
      <c r="H626" s="72" t="s">
        <v>245</v>
      </c>
      <c r="I626" s="73">
        <v>2777.7777777777778</v>
      </c>
      <c r="J626" s="72" t="s">
        <v>246</v>
      </c>
    </row>
    <row r="627" spans="2:10" s="7" customFormat="1" x14ac:dyDescent="0.35">
      <c r="B627" s="4" t="s">
        <v>65</v>
      </c>
      <c r="C627" s="4" t="s">
        <v>66</v>
      </c>
      <c r="D627" s="4">
        <v>140</v>
      </c>
      <c r="E627" s="8">
        <v>460000</v>
      </c>
      <c r="F627" s="4" t="s">
        <v>36</v>
      </c>
      <c r="G627" s="4" t="s">
        <v>268</v>
      </c>
      <c r="H627" s="72" t="s">
        <v>245</v>
      </c>
      <c r="I627" s="73">
        <v>3285.7142857142858</v>
      </c>
      <c r="J627" s="72" t="s">
        <v>246</v>
      </c>
    </row>
    <row r="628" spans="2:10" s="7" customFormat="1" x14ac:dyDescent="0.35">
      <c r="B628" s="4" t="s">
        <v>67</v>
      </c>
      <c r="C628" s="4" t="s">
        <v>38</v>
      </c>
      <c r="D628" s="4">
        <v>130</v>
      </c>
      <c r="E628" s="8">
        <v>410000</v>
      </c>
      <c r="F628" s="4" t="s">
        <v>36</v>
      </c>
      <c r="G628" s="4" t="s">
        <v>268</v>
      </c>
      <c r="H628" s="72" t="s">
        <v>245</v>
      </c>
      <c r="I628" s="73">
        <v>3153.8461538461538</v>
      </c>
      <c r="J628" s="72" t="s">
        <v>246</v>
      </c>
    </row>
    <row r="629" spans="2:10" s="7" customFormat="1" x14ac:dyDescent="0.35">
      <c r="B629" s="4" t="s">
        <v>68</v>
      </c>
      <c r="C629" s="4" t="s">
        <v>69</v>
      </c>
      <c r="D629" s="4">
        <v>90</v>
      </c>
      <c r="E629" s="8">
        <v>380000</v>
      </c>
      <c r="F629" s="4" t="s">
        <v>36</v>
      </c>
      <c r="G629" s="4" t="s">
        <v>268</v>
      </c>
      <c r="H629" s="72" t="s">
        <v>245</v>
      </c>
      <c r="I629" s="73">
        <v>4222.2222222222226</v>
      </c>
      <c r="J629" s="72" t="s">
        <v>246</v>
      </c>
    </row>
    <row r="630" spans="2:10" s="7" customFormat="1" x14ac:dyDescent="0.35">
      <c r="B630" s="4" t="s">
        <v>33</v>
      </c>
      <c r="C630" s="4" t="s">
        <v>34</v>
      </c>
      <c r="D630" s="4">
        <v>230</v>
      </c>
      <c r="E630" s="8">
        <v>560000</v>
      </c>
      <c r="F630" s="4" t="s">
        <v>36</v>
      </c>
      <c r="G630" s="4" t="s">
        <v>268</v>
      </c>
      <c r="H630" s="72" t="s">
        <v>245</v>
      </c>
      <c r="I630" s="73">
        <v>2434.782608695652</v>
      </c>
      <c r="J630" s="72" t="s">
        <v>246</v>
      </c>
    </row>
    <row r="631" spans="2:10" s="7" customFormat="1" x14ac:dyDescent="0.35">
      <c r="B631" s="4" t="s">
        <v>257</v>
      </c>
      <c r="C631" s="4" t="s">
        <v>66</v>
      </c>
      <c r="D631" s="4">
        <v>144</v>
      </c>
      <c r="E631" s="8">
        <v>460000</v>
      </c>
      <c r="F631" s="4" t="s">
        <v>36</v>
      </c>
      <c r="G631" s="4" t="s">
        <v>268</v>
      </c>
      <c r="H631" s="72" t="s">
        <v>245</v>
      </c>
      <c r="I631" s="73">
        <v>3194.4444444444443</v>
      </c>
      <c r="J631" s="72" t="s">
        <v>246</v>
      </c>
    </row>
    <row r="632" spans="2:10" s="7" customFormat="1" x14ac:dyDescent="0.35">
      <c r="B632" s="4" t="s">
        <v>71</v>
      </c>
      <c r="C632" s="4" t="s">
        <v>43</v>
      </c>
      <c r="D632" s="4">
        <v>408</v>
      </c>
      <c r="E632" s="8">
        <v>1150000</v>
      </c>
      <c r="F632" s="4" t="s">
        <v>36</v>
      </c>
      <c r="G632" s="4" t="s">
        <v>268</v>
      </c>
      <c r="H632" s="72" t="s">
        <v>245</v>
      </c>
      <c r="I632" s="73">
        <v>2818.627450980392</v>
      </c>
      <c r="J632" s="72" t="s">
        <v>246</v>
      </c>
    </row>
    <row r="633" spans="2:10" s="7" customFormat="1" x14ac:dyDescent="0.35">
      <c r="B633" s="4" t="s">
        <v>258</v>
      </c>
      <c r="C633" s="4" t="s">
        <v>259</v>
      </c>
      <c r="D633" s="4">
        <v>1</v>
      </c>
      <c r="E633" s="8">
        <v>230000</v>
      </c>
      <c r="F633" s="4" t="s">
        <v>36</v>
      </c>
      <c r="G633" s="4" t="s">
        <v>268</v>
      </c>
      <c r="H633" s="72" t="s">
        <v>245</v>
      </c>
      <c r="I633" s="73">
        <v>230000</v>
      </c>
      <c r="J633" s="72" t="s">
        <v>246</v>
      </c>
    </row>
    <row r="634" spans="2:10" s="7" customFormat="1" x14ac:dyDescent="0.35">
      <c r="B634" s="4" t="s">
        <v>72</v>
      </c>
      <c r="C634" s="4" t="s">
        <v>73</v>
      </c>
      <c r="D634" s="4">
        <v>310</v>
      </c>
      <c r="E634" s="8">
        <v>1000000</v>
      </c>
      <c r="F634" s="4" t="s">
        <v>36</v>
      </c>
      <c r="G634" s="4" t="s">
        <v>268</v>
      </c>
      <c r="H634" s="72" t="s">
        <v>245</v>
      </c>
      <c r="I634" s="73">
        <v>3225.8064516129034</v>
      </c>
      <c r="J634" s="72" t="s">
        <v>246</v>
      </c>
    </row>
    <row r="635" spans="2:10" s="7" customFormat="1" x14ac:dyDescent="0.35">
      <c r="B635" s="4" t="s">
        <v>56</v>
      </c>
      <c r="C635" s="4" t="s">
        <v>57</v>
      </c>
      <c r="D635" s="4">
        <v>95</v>
      </c>
      <c r="E635" s="8">
        <v>380000</v>
      </c>
      <c r="F635" s="4" t="s">
        <v>36</v>
      </c>
      <c r="G635" s="4" t="s">
        <v>268</v>
      </c>
      <c r="H635" s="72" t="s">
        <v>245</v>
      </c>
      <c r="I635" s="73">
        <v>4000</v>
      </c>
      <c r="J635" s="72" t="s">
        <v>246</v>
      </c>
    </row>
    <row r="636" spans="2:10" s="7" customFormat="1" x14ac:dyDescent="0.35">
      <c r="B636" s="4" t="s">
        <v>260</v>
      </c>
      <c r="C636" s="4" t="s">
        <v>261</v>
      </c>
      <c r="D636" s="4">
        <v>305</v>
      </c>
      <c r="E636" s="8">
        <v>1000000</v>
      </c>
      <c r="F636" s="4" t="s">
        <v>36</v>
      </c>
      <c r="G636" s="4" t="s">
        <v>268</v>
      </c>
      <c r="H636" s="72" t="s">
        <v>245</v>
      </c>
      <c r="I636" s="73">
        <v>3278.688524590164</v>
      </c>
      <c r="J636" s="72" t="s">
        <v>246</v>
      </c>
    </row>
    <row r="637" spans="2:10" s="7" customFormat="1" x14ac:dyDescent="0.35">
      <c r="B637" s="4" t="s">
        <v>74</v>
      </c>
      <c r="C637" s="4" t="s">
        <v>75</v>
      </c>
      <c r="D637" s="4">
        <v>140</v>
      </c>
      <c r="E637" s="8">
        <v>460000</v>
      </c>
      <c r="F637" s="4" t="s">
        <v>36</v>
      </c>
      <c r="G637" s="4" t="s">
        <v>268</v>
      </c>
      <c r="H637" s="72" t="s">
        <v>245</v>
      </c>
      <c r="I637" s="73">
        <v>3285.7142857142858</v>
      </c>
      <c r="J637" s="72" t="s">
        <v>246</v>
      </c>
    </row>
    <row r="638" spans="2:10" s="7" customFormat="1" x14ac:dyDescent="0.35">
      <c r="B638" s="4" t="s">
        <v>76</v>
      </c>
      <c r="C638" s="4" t="s">
        <v>262</v>
      </c>
      <c r="D638" s="4">
        <v>130</v>
      </c>
      <c r="E638" s="8">
        <v>410000</v>
      </c>
      <c r="F638" s="4" t="s">
        <v>36</v>
      </c>
      <c r="G638" s="4" t="s">
        <v>268</v>
      </c>
      <c r="H638" s="72" t="s">
        <v>245</v>
      </c>
      <c r="I638" s="73">
        <v>3153.8461538461538</v>
      </c>
      <c r="J638" s="72" t="s">
        <v>246</v>
      </c>
    </row>
    <row r="639" spans="2:10" s="7" customFormat="1" x14ac:dyDescent="0.35">
      <c r="B639" s="4" t="s">
        <v>96</v>
      </c>
      <c r="C639" s="4" t="s">
        <v>255</v>
      </c>
      <c r="D639" s="4">
        <v>95</v>
      </c>
      <c r="E639" s="8">
        <v>380000</v>
      </c>
      <c r="F639" s="4" t="s">
        <v>36</v>
      </c>
      <c r="G639" s="4" t="s">
        <v>268</v>
      </c>
      <c r="H639" s="72" t="s">
        <v>245</v>
      </c>
      <c r="I639" s="73">
        <v>4000</v>
      </c>
      <c r="J639" s="72" t="s">
        <v>246</v>
      </c>
    </row>
    <row r="640" spans="2:10" s="7" customFormat="1" x14ac:dyDescent="0.35">
      <c r="B640" s="4" t="s">
        <v>263</v>
      </c>
      <c r="C640" s="4" t="s">
        <v>264</v>
      </c>
      <c r="D640" s="4">
        <v>160</v>
      </c>
      <c r="E640" s="8">
        <v>500000</v>
      </c>
      <c r="F640" s="4" t="s">
        <v>36</v>
      </c>
      <c r="G640" s="4" t="s">
        <v>268</v>
      </c>
      <c r="H640" s="72" t="s">
        <v>245</v>
      </c>
      <c r="I640" s="73">
        <v>3125</v>
      </c>
      <c r="J640" s="72" t="s">
        <v>246</v>
      </c>
    </row>
    <row r="641" spans="2:10" s="7" customFormat="1" x14ac:dyDescent="0.35">
      <c r="B641" s="4" t="s">
        <v>37</v>
      </c>
      <c r="C641" s="4" t="s">
        <v>38</v>
      </c>
      <c r="D641" s="4">
        <v>50</v>
      </c>
      <c r="E641" s="8">
        <v>330000</v>
      </c>
      <c r="F641" s="4" t="s">
        <v>35</v>
      </c>
      <c r="G641" s="4" t="s">
        <v>268</v>
      </c>
      <c r="H641" s="72" t="s">
        <v>245</v>
      </c>
      <c r="I641" s="73">
        <v>6600</v>
      </c>
      <c r="J641" s="72" t="s">
        <v>246</v>
      </c>
    </row>
    <row r="642" spans="2:10" s="7" customFormat="1" x14ac:dyDescent="0.35">
      <c r="B642" s="4" t="s">
        <v>40</v>
      </c>
      <c r="C642" s="4" t="s">
        <v>41</v>
      </c>
      <c r="D642" s="4">
        <v>211</v>
      </c>
      <c r="E642" s="8">
        <v>560000</v>
      </c>
      <c r="F642" s="4" t="s">
        <v>35</v>
      </c>
      <c r="G642" s="4" t="s">
        <v>268</v>
      </c>
      <c r="H642" s="72" t="s">
        <v>245</v>
      </c>
      <c r="I642" s="73">
        <v>2654.0284360189576</v>
      </c>
      <c r="J642" s="72" t="s">
        <v>246</v>
      </c>
    </row>
    <row r="643" spans="2:10" s="7" customFormat="1" x14ac:dyDescent="0.35">
      <c r="B643" s="4" t="s">
        <v>247</v>
      </c>
      <c r="C643" s="4" t="s">
        <v>248</v>
      </c>
      <c r="D643" s="4">
        <v>206</v>
      </c>
      <c r="E643" s="8">
        <v>530000</v>
      </c>
      <c r="F643" s="4" t="s">
        <v>35</v>
      </c>
      <c r="G643" s="4" t="s">
        <v>268</v>
      </c>
      <c r="H643" s="72" t="s">
        <v>245</v>
      </c>
      <c r="I643" s="73">
        <v>2572.8155339805826</v>
      </c>
      <c r="J643" s="72" t="s">
        <v>246</v>
      </c>
    </row>
    <row r="644" spans="2:10" s="7" customFormat="1" x14ac:dyDescent="0.35">
      <c r="B644" s="4" t="s">
        <v>251</v>
      </c>
      <c r="C644" s="4" t="s">
        <v>252</v>
      </c>
      <c r="D644" s="4">
        <v>80</v>
      </c>
      <c r="E644" s="8">
        <v>350000</v>
      </c>
      <c r="F644" s="4" t="s">
        <v>35</v>
      </c>
      <c r="G644" s="4" t="s">
        <v>268</v>
      </c>
      <c r="H644" s="72" t="s">
        <v>245</v>
      </c>
      <c r="I644" s="73">
        <v>4375</v>
      </c>
      <c r="J644" s="72" t="s">
        <v>246</v>
      </c>
    </row>
    <row r="645" spans="2:10" s="7" customFormat="1" x14ac:dyDescent="0.35">
      <c r="B645" s="4" t="s">
        <v>42</v>
      </c>
      <c r="C645" s="4" t="s">
        <v>43</v>
      </c>
      <c r="D645" s="4">
        <v>450</v>
      </c>
      <c r="E645" s="8">
        <v>1200000</v>
      </c>
      <c r="F645" s="4" t="s">
        <v>35</v>
      </c>
      <c r="G645" s="4" t="s">
        <v>268</v>
      </c>
      <c r="H645" s="72" t="s">
        <v>245</v>
      </c>
      <c r="I645" s="73">
        <v>2666.6666666666665</v>
      </c>
      <c r="J645" s="72" t="s">
        <v>246</v>
      </c>
    </row>
    <row r="646" spans="2:10" s="7" customFormat="1" x14ac:dyDescent="0.35">
      <c r="B646" s="4" t="s">
        <v>253</v>
      </c>
      <c r="C646" s="4" t="s">
        <v>70</v>
      </c>
      <c r="D646" s="4">
        <v>50</v>
      </c>
      <c r="E646" s="8">
        <v>350000</v>
      </c>
      <c r="F646" s="4" t="s">
        <v>35</v>
      </c>
      <c r="G646" s="4" t="s">
        <v>268</v>
      </c>
      <c r="H646" s="72" t="s">
        <v>245</v>
      </c>
      <c r="I646" s="73">
        <v>7000</v>
      </c>
      <c r="J646" s="72" t="s">
        <v>246</v>
      </c>
    </row>
    <row r="647" spans="2:10" s="7" customFormat="1" x14ac:dyDescent="0.35">
      <c r="B647" s="4" t="s">
        <v>249</v>
      </c>
      <c r="C647" s="4" t="s">
        <v>44</v>
      </c>
      <c r="D647" s="4">
        <v>60</v>
      </c>
      <c r="E647" s="8">
        <v>380000</v>
      </c>
      <c r="F647" s="4" t="s">
        <v>35</v>
      </c>
      <c r="G647" s="4" t="s">
        <v>268</v>
      </c>
      <c r="H647" s="72" t="s">
        <v>245</v>
      </c>
      <c r="I647" s="73">
        <v>6333.333333333333</v>
      </c>
      <c r="J647" s="72" t="s">
        <v>246</v>
      </c>
    </row>
    <row r="648" spans="2:10" s="7" customFormat="1" x14ac:dyDescent="0.35">
      <c r="B648" s="4" t="s">
        <v>29</v>
      </c>
      <c r="C648" s="4" t="s">
        <v>30</v>
      </c>
      <c r="D648" s="4">
        <v>100</v>
      </c>
      <c r="E648" s="8">
        <v>400000</v>
      </c>
      <c r="F648" s="4" t="s">
        <v>35</v>
      </c>
      <c r="G648" s="4" t="s">
        <v>268</v>
      </c>
      <c r="H648" s="72" t="s">
        <v>245</v>
      </c>
      <c r="I648" s="73">
        <v>4000</v>
      </c>
      <c r="J648" s="72" t="s">
        <v>246</v>
      </c>
    </row>
    <row r="649" spans="2:10" s="7" customFormat="1" x14ac:dyDescent="0.35">
      <c r="B649" s="4" t="s">
        <v>45</v>
      </c>
      <c r="C649" s="4" t="s">
        <v>46</v>
      </c>
      <c r="D649" s="4">
        <v>190</v>
      </c>
      <c r="E649" s="8">
        <v>550000</v>
      </c>
      <c r="F649" s="4" t="s">
        <v>35</v>
      </c>
      <c r="G649" s="4" t="s">
        <v>268</v>
      </c>
      <c r="H649" s="72" t="s">
        <v>245</v>
      </c>
      <c r="I649" s="73">
        <v>2894.7368421052633</v>
      </c>
      <c r="J649" s="72" t="s">
        <v>246</v>
      </c>
    </row>
    <row r="650" spans="2:10" s="7" customFormat="1" x14ac:dyDescent="0.35">
      <c r="B650" s="4" t="s">
        <v>47</v>
      </c>
      <c r="C650" s="4" t="s">
        <v>48</v>
      </c>
      <c r="D650" s="4">
        <v>75</v>
      </c>
      <c r="E650" s="8">
        <v>380000</v>
      </c>
      <c r="F650" s="4" t="s">
        <v>35</v>
      </c>
      <c r="G650" s="4" t="s">
        <v>268</v>
      </c>
      <c r="H650" s="72" t="s">
        <v>245</v>
      </c>
      <c r="I650" s="73">
        <v>5066.666666666667</v>
      </c>
      <c r="J650" s="72" t="s">
        <v>246</v>
      </c>
    </row>
    <row r="651" spans="2:10" s="7" customFormat="1" x14ac:dyDescent="0.35">
      <c r="B651" s="4" t="s">
        <v>49</v>
      </c>
      <c r="C651" s="4" t="s">
        <v>50</v>
      </c>
      <c r="D651" s="4">
        <v>70</v>
      </c>
      <c r="E651" s="8">
        <v>380000</v>
      </c>
      <c r="F651" s="4" t="s">
        <v>35</v>
      </c>
      <c r="G651" s="4" t="s">
        <v>268</v>
      </c>
      <c r="H651" s="72" t="s">
        <v>245</v>
      </c>
      <c r="I651" s="73">
        <v>5428.5714285714284</v>
      </c>
      <c r="J651" s="72" t="s">
        <v>246</v>
      </c>
    </row>
    <row r="652" spans="2:10" s="7" customFormat="1" x14ac:dyDescent="0.35">
      <c r="B652" s="4" t="s">
        <v>95</v>
      </c>
      <c r="C652" s="4" t="s">
        <v>254</v>
      </c>
      <c r="D652" s="4">
        <v>160</v>
      </c>
      <c r="E652" s="8">
        <v>500000</v>
      </c>
      <c r="F652" s="4" t="s">
        <v>35</v>
      </c>
      <c r="G652" s="4" t="s">
        <v>268</v>
      </c>
      <c r="H652" s="72" t="s">
        <v>245</v>
      </c>
      <c r="I652" s="73">
        <v>3125</v>
      </c>
      <c r="J652" s="72" t="s">
        <v>246</v>
      </c>
    </row>
    <row r="653" spans="2:10" s="7" customFormat="1" x14ac:dyDescent="0.35">
      <c r="B653" s="4" t="s">
        <v>51</v>
      </c>
      <c r="C653" s="4" t="s">
        <v>50</v>
      </c>
      <c r="D653" s="4">
        <v>70</v>
      </c>
      <c r="E653" s="8">
        <v>380000</v>
      </c>
      <c r="F653" s="4" t="s">
        <v>35</v>
      </c>
      <c r="G653" s="4" t="s">
        <v>268</v>
      </c>
      <c r="H653" s="72" t="s">
        <v>245</v>
      </c>
      <c r="I653" s="73">
        <v>5428.5714285714284</v>
      </c>
      <c r="J653" s="72" t="s">
        <v>246</v>
      </c>
    </row>
    <row r="654" spans="2:10" s="7" customFormat="1" x14ac:dyDescent="0.35">
      <c r="B654" s="4" t="s">
        <v>55</v>
      </c>
      <c r="C654" s="4" t="s">
        <v>41</v>
      </c>
      <c r="D654" s="4">
        <v>210</v>
      </c>
      <c r="E654" s="8">
        <v>560000</v>
      </c>
      <c r="F654" s="4" t="s">
        <v>35</v>
      </c>
      <c r="G654" s="4" t="s">
        <v>268</v>
      </c>
      <c r="H654" s="72" t="s">
        <v>245</v>
      </c>
      <c r="I654" s="73">
        <v>2666.6666666666665</v>
      </c>
      <c r="J654" s="72" t="s">
        <v>246</v>
      </c>
    </row>
    <row r="655" spans="2:10" s="7" customFormat="1" x14ac:dyDescent="0.35">
      <c r="B655" s="4" t="s">
        <v>52</v>
      </c>
      <c r="C655" s="4" t="s">
        <v>53</v>
      </c>
      <c r="D655" s="4">
        <v>25</v>
      </c>
      <c r="E655" s="8">
        <v>300000</v>
      </c>
      <c r="F655" s="4" t="s">
        <v>35</v>
      </c>
      <c r="G655" s="4" t="s">
        <v>268</v>
      </c>
      <c r="H655" s="72" t="s">
        <v>245</v>
      </c>
      <c r="I655" s="73">
        <v>12000</v>
      </c>
      <c r="J655" s="72" t="s">
        <v>246</v>
      </c>
    </row>
    <row r="656" spans="2:10" s="7" customFormat="1" x14ac:dyDescent="0.35">
      <c r="B656" s="4" t="s">
        <v>58</v>
      </c>
      <c r="C656" s="4" t="s">
        <v>59</v>
      </c>
      <c r="D656" s="4">
        <v>35</v>
      </c>
      <c r="E656" s="8">
        <v>330000</v>
      </c>
      <c r="F656" s="4" t="s">
        <v>35</v>
      </c>
      <c r="G656" s="4" t="s">
        <v>268</v>
      </c>
      <c r="H656" s="72" t="s">
        <v>245</v>
      </c>
      <c r="I656" s="73">
        <v>9428.5714285714294</v>
      </c>
      <c r="J656" s="72" t="s">
        <v>246</v>
      </c>
    </row>
    <row r="657" spans="2:10" s="7" customFormat="1" x14ac:dyDescent="0.35">
      <c r="B657" s="4" t="s">
        <v>97</v>
      </c>
      <c r="C657" s="4" t="s">
        <v>255</v>
      </c>
      <c r="D657" s="4">
        <v>75</v>
      </c>
      <c r="E657" s="8">
        <v>380000</v>
      </c>
      <c r="F657" s="4" t="s">
        <v>35</v>
      </c>
      <c r="G657" s="4" t="s">
        <v>268</v>
      </c>
      <c r="H657" s="72" t="s">
        <v>245</v>
      </c>
      <c r="I657" s="73">
        <v>5066.666666666667</v>
      </c>
      <c r="J657" s="72" t="s">
        <v>246</v>
      </c>
    </row>
    <row r="658" spans="2:10" s="7" customFormat="1" x14ac:dyDescent="0.35">
      <c r="B658" s="4" t="s">
        <v>60</v>
      </c>
      <c r="C658" s="4" t="s">
        <v>61</v>
      </c>
      <c r="D658" s="4">
        <v>75</v>
      </c>
      <c r="E658" s="8">
        <v>380000</v>
      </c>
      <c r="F658" s="4" t="s">
        <v>35</v>
      </c>
      <c r="G658" s="4" t="s">
        <v>268</v>
      </c>
      <c r="H658" s="72" t="s">
        <v>245</v>
      </c>
      <c r="I658" s="73">
        <v>5066.666666666667</v>
      </c>
      <c r="J658" s="72" t="s">
        <v>246</v>
      </c>
    </row>
    <row r="659" spans="2:10" s="7" customFormat="1" x14ac:dyDescent="0.35">
      <c r="B659" s="4" t="s">
        <v>62</v>
      </c>
      <c r="C659" s="4" t="s">
        <v>63</v>
      </c>
      <c r="D659" s="4">
        <v>55</v>
      </c>
      <c r="E659" s="8">
        <v>380000</v>
      </c>
      <c r="F659" s="4" t="s">
        <v>35</v>
      </c>
      <c r="G659" s="4" t="s">
        <v>268</v>
      </c>
      <c r="H659" s="72" t="s">
        <v>245</v>
      </c>
      <c r="I659" s="73">
        <v>6909.090909090909</v>
      </c>
      <c r="J659" s="72" t="s">
        <v>246</v>
      </c>
    </row>
    <row r="660" spans="2:10" s="7" customFormat="1" x14ac:dyDescent="0.35">
      <c r="B660" s="4" t="s">
        <v>98</v>
      </c>
      <c r="C660" s="4" t="s">
        <v>38</v>
      </c>
      <c r="D660" s="4">
        <v>45</v>
      </c>
      <c r="E660" s="8">
        <v>330000</v>
      </c>
      <c r="F660" s="4" t="s">
        <v>35</v>
      </c>
      <c r="G660" s="4" t="s">
        <v>268</v>
      </c>
      <c r="H660" s="72" t="s">
        <v>245</v>
      </c>
      <c r="I660" s="73">
        <v>7333.333333333333</v>
      </c>
      <c r="J660" s="72" t="s">
        <v>246</v>
      </c>
    </row>
    <row r="661" spans="2:10" s="7" customFormat="1" x14ac:dyDescent="0.35">
      <c r="B661" s="4" t="s">
        <v>256</v>
      </c>
      <c r="C661" s="4" t="s">
        <v>64</v>
      </c>
      <c r="D661" s="4">
        <v>105</v>
      </c>
      <c r="E661" s="8">
        <v>400000</v>
      </c>
      <c r="F661" s="4" t="s">
        <v>35</v>
      </c>
      <c r="G661" s="4" t="s">
        <v>268</v>
      </c>
      <c r="H661" s="72" t="s">
        <v>245</v>
      </c>
      <c r="I661" s="73">
        <v>3809.5238095238096</v>
      </c>
      <c r="J661" s="72" t="s">
        <v>246</v>
      </c>
    </row>
    <row r="662" spans="2:10" s="7" customFormat="1" x14ac:dyDescent="0.35">
      <c r="B662" s="4" t="s">
        <v>65</v>
      </c>
      <c r="C662" s="4" t="s">
        <v>66</v>
      </c>
      <c r="D662" s="4">
        <v>45</v>
      </c>
      <c r="E662" s="8">
        <v>330000</v>
      </c>
      <c r="F662" s="4" t="s">
        <v>35</v>
      </c>
      <c r="G662" s="4" t="s">
        <v>268</v>
      </c>
      <c r="H662" s="72" t="s">
        <v>245</v>
      </c>
      <c r="I662" s="73">
        <v>7333.333333333333</v>
      </c>
      <c r="J662" s="72" t="s">
        <v>246</v>
      </c>
    </row>
    <row r="663" spans="2:10" s="7" customFormat="1" x14ac:dyDescent="0.35">
      <c r="B663" s="4" t="s">
        <v>67</v>
      </c>
      <c r="C663" s="4" t="s">
        <v>38</v>
      </c>
      <c r="D663" s="4">
        <v>40</v>
      </c>
      <c r="E663" s="8">
        <v>330000</v>
      </c>
      <c r="F663" s="4" t="s">
        <v>35</v>
      </c>
      <c r="G663" s="4" t="s">
        <v>268</v>
      </c>
      <c r="H663" s="72" t="s">
        <v>245</v>
      </c>
      <c r="I663" s="73">
        <v>8250</v>
      </c>
      <c r="J663" s="72" t="s">
        <v>246</v>
      </c>
    </row>
    <row r="664" spans="2:10" s="7" customFormat="1" x14ac:dyDescent="0.35">
      <c r="B664" s="4" t="s">
        <v>68</v>
      </c>
      <c r="C664" s="4" t="s">
        <v>69</v>
      </c>
      <c r="D664" s="4">
        <v>80</v>
      </c>
      <c r="E664" s="8">
        <v>380000</v>
      </c>
      <c r="F664" s="4" t="s">
        <v>35</v>
      </c>
      <c r="G664" s="4" t="s">
        <v>268</v>
      </c>
      <c r="H664" s="72" t="s">
        <v>245</v>
      </c>
      <c r="I664" s="73">
        <v>4750</v>
      </c>
      <c r="J664" s="72" t="s">
        <v>246</v>
      </c>
    </row>
    <row r="665" spans="2:10" s="7" customFormat="1" x14ac:dyDescent="0.35">
      <c r="B665" s="4" t="s">
        <v>33</v>
      </c>
      <c r="C665" s="4" t="s">
        <v>34</v>
      </c>
      <c r="D665" s="4">
        <v>145</v>
      </c>
      <c r="E665" s="8">
        <v>460000</v>
      </c>
      <c r="F665" s="4" t="s">
        <v>35</v>
      </c>
      <c r="G665" s="4" t="s">
        <v>268</v>
      </c>
      <c r="H665" s="72" t="s">
        <v>245</v>
      </c>
      <c r="I665" s="73">
        <v>3172.4137931034484</v>
      </c>
      <c r="J665" s="72" t="s">
        <v>246</v>
      </c>
    </row>
    <row r="666" spans="2:10" s="7" customFormat="1" x14ac:dyDescent="0.35">
      <c r="B666" s="4" t="s">
        <v>257</v>
      </c>
      <c r="C666" s="4" t="s">
        <v>66</v>
      </c>
      <c r="D666" s="4">
        <v>60</v>
      </c>
      <c r="E666" s="8">
        <v>380000</v>
      </c>
      <c r="F666" s="4" t="s">
        <v>35</v>
      </c>
      <c r="G666" s="4" t="s">
        <v>268</v>
      </c>
      <c r="H666" s="72" t="s">
        <v>245</v>
      </c>
      <c r="I666" s="73">
        <v>6333.333333333333</v>
      </c>
      <c r="J666" s="72" t="s">
        <v>246</v>
      </c>
    </row>
    <row r="667" spans="2:10" s="7" customFormat="1" x14ac:dyDescent="0.35">
      <c r="B667" s="4" t="s">
        <v>71</v>
      </c>
      <c r="C667" s="4" t="s">
        <v>43</v>
      </c>
      <c r="D667" s="4">
        <v>50</v>
      </c>
      <c r="E667" s="8">
        <v>1400000</v>
      </c>
      <c r="F667" s="4" t="s">
        <v>35</v>
      </c>
      <c r="G667" s="4" t="s">
        <v>268</v>
      </c>
      <c r="H667" s="72" t="s">
        <v>245</v>
      </c>
      <c r="I667" s="73">
        <v>28000</v>
      </c>
      <c r="J667" s="72" t="s">
        <v>246</v>
      </c>
    </row>
    <row r="668" spans="2:10" s="7" customFormat="1" x14ac:dyDescent="0.35">
      <c r="B668" s="4" t="s">
        <v>258</v>
      </c>
      <c r="C668" s="4" t="s">
        <v>259</v>
      </c>
      <c r="D668" s="4">
        <v>95</v>
      </c>
      <c r="E668" s="8">
        <v>380000</v>
      </c>
      <c r="F668" s="4" t="s">
        <v>35</v>
      </c>
      <c r="G668" s="4" t="s">
        <v>268</v>
      </c>
      <c r="H668" s="72" t="s">
        <v>245</v>
      </c>
      <c r="I668" s="73">
        <v>4000</v>
      </c>
      <c r="J668" s="72" t="s">
        <v>246</v>
      </c>
    </row>
    <row r="669" spans="2:10" s="7" customFormat="1" x14ac:dyDescent="0.35">
      <c r="B669" s="4" t="s">
        <v>72</v>
      </c>
      <c r="C669" s="4" t="s">
        <v>73</v>
      </c>
      <c r="D669" s="4">
        <v>230</v>
      </c>
      <c r="E669" s="8">
        <v>560000</v>
      </c>
      <c r="F669" s="4" t="s">
        <v>35</v>
      </c>
      <c r="G669" s="4" t="s">
        <v>268</v>
      </c>
      <c r="H669" s="72" t="s">
        <v>245</v>
      </c>
      <c r="I669" s="73">
        <v>2434.782608695652</v>
      </c>
      <c r="J669" s="72" t="s">
        <v>246</v>
      </c>
    </row>
    <row r="670" spans="2:10" s="7" customFormat="1" x14ac:dyDescent="0.35">
      <c r="B670" s="4" t="s">
        <v>56</v>
      </c>
      <c r="C670" s="4" t="s">
        <v>57</v>
      </c>
      <c r="D670" s="4">
        <v>50</v>
      </c>
      <c r="E670" s="8">
        <v>350000</v>
      </c>
      <c r="F670" s="4" t="s">
        <v>35</v>
      </c>
      <c r="G670" s="4" t="s">
        <v>268</v>
      </c>
      <c r="H670" s="72" t="s">
        <v>245</v>
      </c>
      <c r="I670" s="73">
        <v>7000</v>
      </c>
      <c r="J670" s="72" t="s">
        <v>246</v>
      </c>
    </row>
    <row r="671" spans="2:10" s="7" customFormat="1" x14ac:dyDescent="0.35">
      <c r="B671" s="4" t="s">
        <v>260</v>
      </c>
      <c r="C671" s="4" t="s">
        <v>261</v>
      </c>
      <c r="D671" s="4">
        <v>225</v>
      </c>
      <c r="E671" s="8">
        <v>560000</v>
      </c>
      <c r="F671" s="4" t="s">
        <v>35</v>
      </c>
      <c r="G671" s="4" t="s">
        <v>268</v>
      </c>
      <c r="H671" s="72" t="s">
        <v>245</v>
      </c>
      <c r="I671" s="73">
        <v>2488.8888888888887</v>
      </c>
      <c r="J671" s="72" t="s">
        <v>246</v>
      </c>
    </row>
    <row r="672" spans="2:10" s="7" customFormat="1" x14ac:dyDescent="0.35">
      <c r="B672" s="4" t="s">
        <v>74</v>
      </c>
      <c r="C672" s="4" t="s">
        <v>75</v>
      </c>
      <c r="D672" s="4">
        <v>60</v>
      </c>
      <c r="E672" s="8">
        <v>380000</v>
      </c>
      <c r="F672" s="4" t="s">
        <v>35</v>
      </c>
      <c r="G672" s="4" t="s">
        <v>268</v>
      </c>
      <c r="H672" s="72" t="s">
        <v>245</v>
      </c>
      <c r="I672" s="73">
        <v>6333.333333333333</v>
      </c>
      <c r="J672" s="72" t="s">
        <v>246</v>
      </c>
    </row>
    <row r="673" spans="2:10" s="7" customFormat="1" x14ac:dyDescent="0.35">
      <c r="B673" s="4" t="s">
        <v>76</v>
      </c>
      <c r="C673" s="4" t="s">
        <v>262</v>
      </c>
      <c r="D673" s="4">
        <v>55</v>
      </c>
      <c r="E673" s="8">
        <v>350000</v>
      </c>
      <c r="F673" s="4" t="s">
        <v>35</v>
      </c>
      <c r="G673" s="4" t="s">
        <v>268</v>
      </c>
      <c r="H673" s="72" t="s">
        <v>245</v>
      </c>
      <c r="I673" s="73">
        <v>6363.636363636364</v>
      </c>
      <c r="J673" s="72" t="s">
        <v>246</v>
      </c>
    </row>
    <row r="674" spans="2:10" s="7" customFormat="1" x14ac:dyDescent="0.35">
      <c r="B674" s="4" t="s">
        <v>96</v>
      </c>
      <c r="C674" s="4" t="s">
        <v>255</v>
      </c>
      <c r="D674" s="4">
        <v>60</v>
      </c>
      <c r="E674" s="8">
        <v>380000</v>
      </c>
      <c r="F674" s="4" t="s">
        <v>35</v>
      </c>
      <c r="G674" s="4" t="s">
        <v>268</v>
      </c>
      <c r="H674" s="72" t="s">
        <v>245</v>
      </c>
      <c r="I674" s="73">
        <v>6333.333333333333</v>
      </c>
      <c r="J674" s="72" t="s">
        <v>246</v>
      </c>
    </row>
    <row r="675" spans="2:10" s="7" customFormat="1" x14ac:dyDescent="0.35">
      <c r="B675" s="4" t="s">
        <v>263</v>
      </c>
      <c r="C675" s="4" t="s">
        <v>264</v>
      </c>
      <c r="D675" s="4">
        <v>250</v>
      </c>
      <c r="E675" s="8">
        <v>920000</v>
      </c>
      <c r="F675" s="4" t="s">
        <v>35</v>
      </c>
      <c r="G675" s="4" t="s">
        <v>268</v>
      </c>
      <c r="H675" s="72" t="s">
        <v>245</v>
      </c>
      <c r="I675" s="73">
        <v>3680</v>
      </c>
      <c r="J675" s="72" t="s">
        <v>246</v>
      </c>
    </row>
    <row r="676" spans="2:10" s="7" customFormat="1" x14ac:dyDescent="0.35">
      <c r="B676" s="4" t="s">
        <v>37</v>
      </c>
      <c r="C676" s="4" t="s">
        <v>38</v>
      </c>
      <c r="D676" s="4">
        <v>108</v>
      </c>
      <c r="E676" s="8">
        <v>600000</v>
      </c>
      <c r="F676" s="4" t="s">
        <v>31</v>
      </c>
      <c r="G676" s="4" t="s">
        <v>39</v>
      </c>
      <c r="H676" s="72" t="s">
        <v>245</v>
      </c>
      <c r="I676" s="73">
        <v>5555.5555555555557</v>
      </c>
      <c r="J676" s="72" t="s">
        <v>246</v>
      </c>
    </row>
    <row r="677" spans="2:10" s="7" customFormat="1" x14ac:dyDescent="0.35">
      <c r="B677" s="4" t="s">
        <v>40</v>
      </c>
      <c r="C677" s="4" t="s">
        <v>41</v>
      </c>
      <c r="D677" s="4">
        <v>264</v>
      </c>
      <c r="E677" s="8">
        <v>800000</v>
      </c>
      <c r="F677" s="4" t="s">
        <v>31</v>
      </c>
      <c r="G677" s="4" t="s">
        <v>39</v>
      </c>
      <c r="H677" s="72" t="s">
        <v>245</v>
      </c>
      <c r="I677" s="73">
        <v>3030.3030303030305</v>
      </c>
      <c r="J677" s="72" t="s">
        <v>246</v>
      </c>
    </row>
    <row r="678" spans="2:10" s="7" customFormat="1" x14ac:dyDescent="0.35">
      <c r="B678" s="4" t="s">
        <v>247</v>
      </c>
      <c r="C678" s="4" t="s">
        <v>248</v>
      </c>
      <c r="D678" s="4">
        <v>258</v>
      </c>
      <c r="E678" s="8">
        <v>800000</v>
      </c>
      <c r="F678" s="4" t="s">
        <v>31</v>
      </c>
      <c r="G678" s="4" t="s">
        <v>39</v>
      </c>
      <c r="H678" s="72" t="s">
        <v>245</v>
      </c>
      <c r="I678" s="73">
        <v>3100.7751937984494</v>
      </c>
      <c r="J678" s="72" t="s">
        <v>246</v>
      </c>
    </row>
    <row r="679" spans="2:10" s="7" customFormat="1" x14ac:dyDescent="0.35">
      <c r="B679" s="4" t="s">
        <v>251</v>
      </c>
      <c r="C679" s="4" t="s">
        <v>252</v>
      </c>
      <c r="D679" s="4">
        <v>143</v>
      </c>
      <c r="E679" s="8">
        <v>640000</v>
      </c>
      <c r="F679" s="4" t="s">
        <v>31</v>
      </c>
      <c r="G679" s="4" t="s">
        <v>39</v>
      </c>
      <c r="H679" s="72" t="s">
        <v>245</v>
      </c>
      <c r="I679" s="73">
        <v>4475.5244755244757</v>
      </c>
      <c r="J679" s="72" t="s">
        <v>246</v>
      </c>
    </row>
    <row r="680" spans="2:10" s="7" customFormat="1" x14ac:dyDescent="0.35">
      <c r="B680" s="4" t="s">
        <v>42</v>
      </c>
      <c r="C680" s="4" t="s">
        <v>43</v>
      </c>
      <c r="D680" s="4">
        <v>499</v>
      </c>
      <c r="E680" s="8">
        <v>1350000</v>
      </c>
      <c r="F680" s="4" t="s">
        <v>31</v>
      </c>
      <c r="G680" s="4" t="s">
        <v>39</v>
      </c>
      <c r="H680" s="72" t="s">
        <v>245</v>
      </c>
      <c r="I680" s="73">
        <v>2705.4108216432865</v>
      </c>
      <c r="J680" s="72" t="s">
        <v>246</v>
      </c>
    </row>
    <row r="681" spans="2:10" s="7" customFormat="1" x14ac:dyDescent="0.35">
      <c r="B681" s="4" t="s">
        <v>253</v>
      </c>
      <c r="C681" s="4" t="s">
        <v>70</v>
      </c>
      <c r="D681" s="4">
        <v>113</v>
      </c>
      <c r="E681" s="8">
        <v>600000</v>
      </c>
      <c r="F681" s="4" t="s">
        <v>31</v>
      </c>
      <c r="G681" s="4" t="s">
        <v>39</v>
      </c>
      <c r="H681" s="72" t="s">
        <v>245</v>
      </c>
      <c r="I681" s="73">
        <v>5309.7345132743367</v>
      </c>
      <c r="J681" s="72" t="s">
        <v>246</v>
      </c>
    </row>
    <row r="682" spans="2:10" s="7" customFormat="1" x14ac:dyDescent="0.35">
      <c r="B682" s="4" t="s">
        <v>249</v>
      </c>
      <c r="C682" s="4" t="s">
        <v>44</v>
      </c>
      <c r="D682" s="4">
        <v>150</v>
      </c>
      <c r="E682" s="8">
        <v>650000</v>
      </c>
      <c r="F682" s="4" t="s">
        <v>31</v>
      </c>
      <c r="G682" s="4" t="s">
        <v>39</v>
      </c>
      <c r="H682" s="72" t="s">
        <v>245</v>
      </c>
      <c r="I682" s="73">
        <v>4333.333333333333</v>
      </c>
      <c r="J682" s="72" t="s">
        <v>246</v>
      </c>
    </row>
    <row r="683" spans="2:10" s="7" customFormat="1" x14ac:dyDescent="0.35">
      <c r="B683" s="4" t="s">
        <v>29</v>
      </c>
      <c r="C683" s="4" t="s">
        <v>30</v>
      </c>
      <c r="D683" s="4">
        <v>240</v>
      </c>
      <c r="E683" s="8">
        <v>800000</v>
      </c>
      <c r="F683" s="4" t="s">
        <v>31</v>
      </c>
      <c r="G683" s="4" t="s">
        <v>39</v>
      </c>
      <c r="H683" s="72" t="s">
        <v>245</v>
      </c>
      <c r="I683" s="73">
        <v>3333.3333333333335</v>
      </c>
      <c r="J683" s="72" t="s">
        <v>246</v>
      </c>
    </row>
    <row r="684" spans="2:10" s="7" customFormat="1" x14ac:dyDescent="0.35">
      <c r="B684" s="4" t="s">
        <v>45</v>
      </c>
      <c r="C684" s="4" t="s">
        <v>46</v>
      </c>
      <c r="D684" s="4">
        <v>240</v>
      </c>
      <c r="E684" s="8">
        <v>800000</v>
      </c>
      <c r="F684" s="4" t="s">
        <v>31</v>
      </c>
      <c r="G684" s="4" t="s">
        <v>39</v>
      </c>
      <c r="H684" s="72" t="s">
        <v>245</v>
      </c>
      <c r="I684" s="73">
        <v>3333.3333333333335</v>
      </c>
      <c r="J684" s="72" t="s">
        <v>246</v>
      </c>
    </row>
    <row r="685" spans="2:10" s="7" customFormat="1" x14ac:dyDescent="0.35">
      <c r="B685" s="4" t="s">
        <v>47</v>
      </c>
      <c r="C685" s="4" t="s">
        <v>48</v>
      </c>
      <c r="D685" s="4">
        <v>124</v>
      </c>
      <c r="E685" s="8">
        <v>620000</v>
      </c>
      <c r="F685" s="4" t="s">
        <v>31</v>
      </c>
      <c r="G685" s="4" t="s">
        <v>39</v>
      </c>
      <c r="H685" s="72" t="s">
        <v>245</v>
      </c>
      <c r="I685" s="73">
        <v>5000</v>
      </c>
      <c r="J685" s="72" t="s">
        <v>246</v>
      </c>
    </row>
    <row r="686" spans="2:10" s="7" customFormat="1" x14ac:dyDescent="0.35">
      <c r="B686" s="4" t="s">
        <v>49</v>
      </c>
      <c r="C686" s="4" t="s">
        <v>50</v>
      </c>
      <c r="D686" s="4">
        <v>3</v>
      </c>
      <c r="E686" s="8">
        <v>250000</v>
      </c>
      <c r="F686" s="4" t="s">
        <v>31</v>
      </c>
      <c r="G686" s="4" t="s">
        <v>39</v>
      </c>
      <c r="H686" s="72" t="s">
        <v>245</v>
      </c>
      <c r="I686" s="73">
        <v>83333.333333333328</v>
      </c>
      <c r="J686" s="72" t="s">
        <v>246</v>
      </c>
    </row>
    <row r="687" spans="2:10" s="7" customFormat="1" x14ac:dyDescent="0.35">
      <c r="B687" s="4" t="s">
        <v>95</v>
      </c>
      <c r="C687" s="4" t="s">
        <v>254</v>
      </c>
      <c r="D687" s="4">
        <v>208</v>
      </c>
      <c r="E687" s="8">
        <v>750000</v>
      </c>
      <c r="F687" s="4" t="s">
        <v>31</v>
      </c>
      <c r="G687" s="4" t="s">
        <v>39</v>
      </c>
      <c r="H687" s="72" t="s">
        <v>245</v>
      </c>
      <c r="I687" s="73">
        <v>3605.7692307692309</v>
      </c>
      <c r="J687" s="72" t="s">
        <v>246</v>
      </c>
    </row>
    <row r="688" spans="2:10" s="7" customFormat="1" x14ac:dyDescent="0.35">
      <c r="B688" s="4" t="s">
        <v>51</v>
      </c>
      <c r="C688" s="4" t="s">
        <v>50</v>
      </c>
      <c r="D688" s="4">
        <v>3</v>
      </c>
      <c r="E688" s="8">
        <v>250000</v>
      </c>
      <c r="F688" s="4" t="s">
        <v>31</v>
      </c>
      <c r="G688" s="4" t="s">
        <v>39</v>
      </c>
      <c r="H688" s="72" t="s">
        <v>245</v>
      </c>
      <c r="I688" s="73">
        <v>83333.333333333328</v>
      </c>
      <c r="J688" s="72" t="s">
        <v>246</v>
      </c>
    </row>
    <row r="689" spans="2:10" s="7" customFormat="1" x14ac:dyDescent="0.35">
      <c r="B689" s="4" t="s">
        <v>55</v>
      </c>
      <c r="C689" s="4" t="s">
        <v>41</v>
      </c>
      <c r="D689" s="4">
        <v>260</v>
      </c>
      <c r="E689" s="8">
        <v>800000</v>
      </c>
      <c r="F689" s="4" t="s">
        <v>31</v>
      </c>
      <c r="G689" s="4" t="s">
        <v>39</v>
      </c>
      <c r="H689" s="72" t="s">
        <v>245</v>
      </c>
      <c r="I689" s="73">
        <v>3076.9230769230771</v>
      </c>
      <c r="J689" s="72" t="s">
        <v>246</v>
      </c>
    </row>
    <row r="690" spans="2:10" s="7" customFormat="1" x14ac:dyDescent="0.35">
      <c r="B690" s="4" t="s">
        <v>52</v>
      </c>
      <c r="C690" s="4" t="s">
        <v>53</v>
      </c>
      <c r="D690" s="4">
        <v>45</v>
      </c>
      <c r="E690" s="8">
        <v>550000</v>
      </c>
      <c r="F690" s="4" t="s">
        <v>31</v>
      </c>
      <c r="G690" s="4" t="s">
        <v>39</v>
      </c>
      <c r="H690" s="72" t="s">
        <v>245</v>
      </c>
      <c r="I690" s="73">
        <v>12222.222222222223</v>
      </c>
      <c r="J690" s="72" t="s">
        <v>246</v>
      </c>
    </row>
    <row r="691" spans="2:10" s="7" customFormat="1" x14ac:dyDescent="0.35">
      <c r="B691" s="4" t="s">
        <v>58</v>
      </c>
      <c r="C691" s="4" t="s">
        <v>59</v>
      </c>
      <c r="D691" s="4">
        <v>98</v>
      </c>
      <c r="E691" s="8">
        <v>600000</v>
      </c>
      <c r="F691" s="4" t="s">
        <v>31</v>
      </c>
      <c r="G691" s="4" t="s">
        <v>39</v>
      </c>
      <c r="H691" s="72" t="s">
        <v>245</v>
      </c>
      <c r="I691" s="73">
        <v>6122.4489795918371</v>
      </c>
      <c r="J691" s="72" t="s">
        <v>246</v>
      </c>
    </row>
    <row r="692" spans="2:10" s="7" customFormat="1" x14ac:dyDescent="0.35">
      <c r="B692" s="4" t="s">
        <v>97</v>
      </c>
      <c r="C692" s="4" t="s">
        <v>255</v>
      </c>
      <c r="D692" s="4">
        <v>125</v>
      </c>
      <c r="E692" s="8">
        <v>620000</v>
      </c>
      <c r="F692" s="4" t="s">
        <v>31</v>
      </c>
      <c r="G692" s="4" t="s">
        <v>39</v>
      </c>
      <c r="H692" s="72" t="s">
        <v>245</v>
      </c>
      <c r="I692" s="73">
        <v>4960</v>
      </c>
      <c r="J692" s="72" t="s">
        <v>246</v>
      </c>
    </row>
    <row r="693" spans="2:10" s="7" customFormat="1" x14ac:dyDescent="0.35">
      <c r="B693" s="4" t="s">
        <v>60</v>
      </c>
      <c r="C693" s="4" t="s">
        <v>61</v>
      </c>
      <c r="D693" s="4">
        <v>128</v>
      </c>
      <c r="E693" s="8">
        <v>620000</v>
      </c>
      <c r="F693" s="4" t="s">
        <v>31</v>
      </c>
      <c r="G693" s="4" t="s">
        <v>39</v>
      </c>
      <c r="H693" s="72" t="s">
        <v>245</v>
      </c>
      <c r="I693" s="73">
        <v>4843.75</v>
      </c>
      <c r="J693" s="72" t="s">
        <v>246</v>
      </c>
    </row>
    <row r="694" spans="2:10" s="7" customFormat="1" x14ac:dyDescent="0.35">
      <c r="B694" s="4" t="s">
        <v>62</v>
      </c>
      <c r="C694" s="4" t="s">
        <v>63</v>
      </c>
      <c r="D694" s="4">
        <v>16</v>
      </c>
      <c r="E694" s="8">
        <v>300000</v>
      </c>
      <c r="F694" s="4" t="s">
        <v>31</v>
      </c>
      <c r="G694" s="4" t="s">
        <v>39</v>
      </c>
      <c r="H694" s="72" t="s">
        <v>245</v>
      </c>
      <c r="I694" s="73">
        <v>18750</v>
      </c>
      <c r="J694" s="72" t="s">
        <v>246</v>
      </c>
    </row>
    <row r="695" spans="2:10" s="7" customFormat="1" x14ac:dyDescent="0.35">
      <c r="B695" s="4" t="s">
        <v>98</v>
      </c>
      <c r="C695" s="4" t="s">
        <v>38</v>
      </c>
      <c r="D695" s="4">
        <v>110</v>
      </c>
      <c r="E695" s="8">
        <v>600000</v>
      </c>
      <c r="F695" s="4" t="s">
        <v>31</v>
      </c>
      <c r="G695" s="4" t="s">
        <v>39</v>
      </c>
      <c r="H695" s="72" t="s">
        <v>245</v>
      </c>
      <c r="I695" s="73">
        <v>5454.545454545455</v>
      </c>
      <c r="J695" s="72" t="s">
        <v>246</v>
      </c>
    </row>
    <row r="696" spans="2:10" s="7" customFormat="1" x14ac:dyDescent="0.35">
      <c r="B696" s="4" t="s">
        <v>256</v>
      </c>
      <c r="C696" s="4" t="s">
        <v>64</v>
      </c>
      <c r="D696" s="4">
        <v>40</v>
      </c>
      <c r="E696" s="8">
        <v>540000</v>
      </c>
      <c r="F696" s="4" t="s">
        <v>31</v>
      </c>
      <c r="G696" s="4" t="s">
        <v>39</v>
      </c>
      <c r="H696" s="72" t="s">
        <v>245</v>
      </c>
      <c r="I696" s="73">
        <v>13500</v>
      </c>
      <c r="J696" s="72" t="s">
        <v>246</v>
      </c>
    </row>
    <row r="697" spans="2:10" s="7" customFormat="1" x14ac:dyDescent="0.35">
      <c r="B697" s="4" t="s">
        <v>65</v>
      </c>
      <c r="C697" s="4" t="s">
        <v>66</v>
      </c>
      <c r="D697" s="4">
        <v>110</v>
      </c>
      <c r="E697" s="8">
        <v>600000</v>
      </c>
      <c r="F697" s="4" t="s">
        <v>31</v>
      </c>
      <c r="G697" s="4" t="s">
        <v>39</v>
      </c>
      <c r="H697" s="72" t="s">
        <v>245</v>
      </c>
      <c r="I697" s="73">
        <v>5454.545454545455</v>
      </c>
      <c r="J697" s="72" t="s">
        <v>246</v>
      </c>
    </row>
    <row r="698" spans="2:10" s="7" customFormat="1" x14ac:dyDescent="0.35">
      <c r="B698" s="4" t="s">
        <v>67</v>
      </c>
      <c r="C698" s="4" t="s">
        <v>38</v>
      </c>
      <c r="D698" s="4">
        <v>103</v>
      </c>
      <c r="E698" s="8">
        <v>600000</v>
      </c>
      <c r="F698" s="4" t="s">
        <v>31</v>
      </c>
      <c r="G698" s="4" t="s">
        <v>39</v>
      </c>
      <c r="H698" s="72" t="s">
        <v>245</v>
      </c>
      <c r="I698" s="73">
        <v>5825.2427184466023</v>
      </c>
      <c r="J698" s="72" t="s">
        <v>246</v>
      </c>
    </row>
    <row r="699" spans="2:10" s="7" customFormat="1" x14ac:dyDescent="0.35">
      <c r="B699" s="4" t="s">
        <v>68</v>
      </c>
      <c r="C699" s="4" t="s">
        <v>69</v>
      </c>
      <c r="D699" s="4">
        <v>131</v>
      </c>
      <c r="E699" s="8">
        <v>620000</v>
      </c>
      <c r="F699" s="4" t="s">
        <v>31</v>
      </c>
      <c r="G699" s="4" t="s">
        <v>39</v>
      </c>
      <c r="H699" s="72" t="s">
        <v>245</v>
      </c>
      <c r="I699" s="73">
        <v>4732.8244274809158</v>
      </c>
      <c r="J699" s="72" t="s">
        <v>246</v>
      </c>
    </row>
    <row r="700" spans="2:10" s="7" customFormat="1" x14ac:dyDescent="0.35">
      <c r="B700" s="4" t="s">
        <v>33</v>
      </c>
      <c r="C700" s="4" t="s">
        <v>34</v>
      </c>
      <c r="D700" s="4">
        <v>85</v>
      </c>
      <c r="E700" s="8">
        <v>580000</v>
      </c>
      <c r="F700" s="4" t="s">
        <v>31</v>
      </c>
      <c r="G700" s="4" t="s">
        <v>39</v>
      </c>
      <c r="H700" s="72" t="s">
        <v>245</v>
      </c>
      <c r="I700" s="73">
        <v>6823.5294117647063</v>
      </c>
      <c r="J700" s="72" t="s">
        <v>246</v>
      </c>
    </row>
    <row r="701" spans="2:10" s="7" customFormat="1" x14ac:dyDescent="0.35">
      <c r="B701" s="4" t="s">
        <v>257</v>
      </c>
      <c r="C701" s="4" t="s">
        <v>66</v>
      </c>
      <c r="D701" s="4">
        <v>118</v>
      </c>
      <c r="E701" s="8">
        <v>620000</v>
      </c>
      <c r="F701" s="4" t="s">
        <v>31</v>
      </c>
      <c r="G701" s="4" t="s">
        <v>39</v>
      </c>
      <c r="H701" s="72" t="s">
        <v>245</v>
      </c>
      <c r="I701" s="73">
        <v>5254.2372881355932</v>
      </c>
      <c r="J701" s="72" t="s">
        <v>246</v>
      </c>
    </row>
    <row r="702" spans="2:10" s="7" customFormat="1" x14ac:dyDescent="0.35">
      <c r="B702" s="4" t="s">
        <v>71</v>
      </c>
      <c r="C702" s="4" t="s">
        <v>43</v>
      </c>
      <c r="D702" s="4">
        <v>549</v>
      </c>
      <c r="E702" s="8">
        <v>1400000</v>
      </c>
      <c r="F702" s="4" t="s">
        <v>31</v>
      </c>
      <c r="G702" s="4" t="s">
        <v>39</v>
      </c>
      <c r="H702" s="72" t="s">
        <v>245</v>
      </c>
      <c r="I702" s="73">
        <v>2550.0910746812388</v>
      </c>
      <c r="J702" s="72" t="s">
        <v>246</v>
      </c>
    </row>
    <row r="703" spans="2:10" s="7" customFormat="1" x14ac:dyDescent="0.35">
      <c r="B703" s="7" t="s">
        <v>258</v>
      </c>
      <c r="C703" s="7" t="s">
        <v>259</v>
      </c>
      <c r="D703" s="7">
        <v>144</v>
      </c>
      <c r="E703" s="59">
        <v>640000</v>
      </c>
      <c r="F703" s="7" t="s">
        <v>31</v>
      </c>
      <c r="G703" s="7" t="s">
        <v>39</v>
      </c>
      <c r="H703" s="66" t="s">
        <v>245</v>
      </c>
      <c r="I703" s="67">
        <v>4444.4444444444443</v>
      </c>
      <c r="J703" s="66" t="s">
        <v>246</v>
      </c>
    </row>
    <row r="704" spans="2:10" s="7" customFormat="1" x14ac:dyDescent="0.35">
      <c r="B704" s="7" t="s">
        <v>72</v>
      </c>
      <c r="C704" s="7" t="s">
        <v>73</v>
      </c>
      <c r="D704" s="7">
        <v>165</v>
      </c>
      <c r="E704" s="59">
        <v>650000</v>
      </c>
      <c r="F704" s="7" t="s">
        <v>31</v>
      </c>
      <c r="G704" s="7" t="s">
        <v>39</v>
      </c>
      <c r="H704" s="66" t="s">
        <v>245</v>
      </c>
      <c r="I704" s="67">
        <v>3939.3939393939395</v>
      </c>
      <c r="J704" s="66" t="s">
        <v>246</v>
      </c>
    </row>
    <row r="705" spans="2:10" s="7" customFormat="1" x14ac:dyDescent="0.35">
      <c r="B705" s="7" t="s">
        <v>56</v>
      </c>
      <c r="C705" s="7" t="s">
        <v>57</v>
      </c>
      <c r="D705" s="7">
        <v>100</v>
      </c>
      <c r="E705" s="59">
        <v>600000</v>
      </c>
      <c r="F705" s="7" t="s">
        <v>31</v>
      </c>
      <c r="G705" s="7" t="s">
        <v>39</v>
      </c>
      <c r="H705" s="66" t="s">
        <v>245</v>
      </c>
      <c r="I705" s="67">
        <v>6000</v>
      </c>
      <c r="J705" s="66" t="s">
        <v>246</v>
      </c>
    </row>
    <row r="706" spans="2:10" s="7" customFormat="1" x14ac:dyDescent="0.35">
      <c r="B706" s="7" t="s">
        <v>260</v>
      </c>
      <c r="C706" s="7" t="s">
        <v>261</v>
      </c>
      <c r="D706" s="7">
        <v>162</v>
      </c>
      <c r="E706" s="59">
        <v>650000</v>
      </c>
      <c r="F706" s="7" t="s">
        <v>31</v>
      </c>
      <c r="G706" s="7" t="s">
        <v>39</v>
      </c>
      <c r="H706" s="66" t="s">
        <v>245</v>
      </c>
      <c r="I706" s="67">
        <v>4012.3456790123455</v>
      </c>
      <c r="J706" s="66" t="s">
        <v>246</v>
      </c>
    </row>
    <row r="707" spans="2:10" s="7" customFormat="1" x14ac:dyDescent="0.35">
      <c r="B707" s="7" t="s">
        <v>74</v>
      </c>
      <c r="C707" s="7" t="s">
        <v>75</v>
      </c>
      <c r="D707" s="7">
        <v>10</v>
      </c>
      <c r="E707" s="59">
        <v>300000</v>
      </c>
      <c r="F707" s="7" t="s">
        <v>31</v>
      </c>
      <c r="G707" s="7" t="s">
        <v>39</v>
      </c>
      <c r="H707" s="66" t="s">
        <v>245</v>
      </c>
      <c r="I707" s="67">
        <v>30000</v>
      </c>
      <c r="J707" s="66" t="s">
        <v>246</v>
      </c>
    </row>
    <row r="708" spans="2:10" s="7" customFormat="1" x14ac:dyDescent="0.35">
      <c r="B708" s="7" t="s">
        <v>76</v>
      </c>
      <c r="C708" s="7" t="s">
        <v>262</v>
      </c>
      <c r="D708" s="7">
        <v>20</v>
      </c>
      <c r="E708" s="59">
        <v>350000</v>
      </c>
      <c r="F708" s="7" t="s">
        <v>31</v>
      </c>
      <c r="G708" s="7" t="s">
        <v>39</v>
      </c>
      <c r="H708" s="66" t="s">
        <v>245</v>
      </c>
      <c r="I708" s="67">
        <v>17500</v>
      </c>
      <c r="J708" s="66" t="s">
        <v>246</v>
      </c>
    </row>
    <row r="709" spans="2:10" s="7" customFormat="1" x14ac:dyDescent="0.35">
      <c r="B709" s="7" t="s">
        <v>96</v>
      </c>
      <c r="C709" s="7" t="s">
        <v>255</v>
      </c>
      <c r="D709" s="7">
        <v>122</v>
      </c>
      <c r="E709" s="59">
        <v>620000</v>
      </c>
      <c r="F709" s="7" t="s">
        <v>31</v>
      </c>
      <c r="G709" s="7" t="s">
        <v>39</v>
      </c>
      <c r="H709" s="66" t="s">
        <v>245</v>
      </c>
      <c r="I709" s="67">
        <v>5081.9672131147545</v>
      </c>
      <c r="J709" s="66" t="s">
        <v>246</v>
      </c>
    </row>
    <row r="710" spans="2:10" s="7" customFormat="1" x14ac:dyDescent="0.35">
      <c r="B710" s="7" t="s">
        <v>37</v>
      </c>
      <c r="C710" s="7" t="s">
        <v>38</v>
      </c>
      <c r="D710" s="7">
        <v>134</v>
      </c>
      <c r="E710" s="59">
        <v>620000</v>
      </c>
      <c r="F710" s="7" t="s">
        <v>36</v>
      </c>
      <c r="G710" s="7" t="s">
        <v>39</v>
      </c>
      <c r="H710" s="66" t="s">
        <v>245</v>
      </c>
      <c r="I710" s="67">
        <v>4626.8656716417909</v>
      </c>
      <c r="J710" s="66" t="s">
        <v>246</v>
      </c>
    </row>
    <row r="711" spans="2:10" s="7" customFormat="1" x14ac:dyDescent="0.35">
      <c r="B711" s="7" t="s">
        <v>40</v>
      </c>
      <c r="C711" s="7" t="s">
        <v>41</v>
      </c>
      <c r="D711" s="7">
        <v>123</v>
      </c>
      <c r="E711" s="59">
        <v>620000</v>
      </c>
      <c r="F711" s="7" t="s">
        <v>36</v>
      </c>
      <c r="G711" s="7" t="s">
        <v>39</v>
      </c>
      <c r="H711" s="66" t="s">
        <v>245</v>
      </c>
      <c r="I711" s="67">
        <v>5040.6504065040654</v>
      </c>
      <c r="J711" s="66" t="s">
        <v>246</v>
      </c>
    </row>
    <row r="712" spans="2:10" s="7" customFormat="1" x14ac:dyDescent="0.35">
      <c r="B712" s="7" t="s">
        <v>247</v>
      </c>
      <c r="C712" s="7" t="s">
        <v>248</v>
      </c>
      <c r="D712" s="7">
        <v>118</v>
      </c>
      <c r="E712" s="59">
        <v>620000</v>
      </c>
      <c r="F712" s="7" t="s">
        <v>36</v>
      </c>
      <c r="G712" s="7" t="s">
        <v>39</v>
      </c>
      <c r="H712" s="66" t="s">
        <v>245</v>
      </c>
      <c r="I712" s="67">
        <v>5254.2372881355932</v>
      </c>
      <c r="J712" s="66" t="s">
        <v>246</v>
      </c>
    </row>
    <row r="713" spans="2:10" s="7" customFormat="1" x14ac:dyDescent="0.35">
      <c r="B713" s="7" t="s">
        <v>251</v>
      </c>
      <c r="C713" s="7" t="s">
        <v>252</v>
      </c>
      <c r="D713" s="7">
        <v>103</v>
      </c>
      <c r="E713" s="59">
        <v>600000</v>
      </c>
      <c r="F713" s="7" t="s">
        <v>36</v>
      </c>
      <c r="G713" s="7" t="s">
        <v>39</v>
      </c>
      <c r="H713" s="66" t="s">
        <v>245</v>
      </c>
      <c r="I713" s="67">
        <v>5825.2427184466023</v>
      </c>
      <c r="J713" s="66" t="s">
        <v>246</v>
      </c>
    </row>
    <row r="714" spans="2:10" s="7" customFormat="1" x14ac:dyDescent="0.35">
      <c r="B714" s="7" t="s">
        <v>42</v>
      </c>
      <c r="C714" s="7" t="s">
        <v>43</v>
      </c>
      <c r="D714" s="7">
        <v>358</v>
      </c>
      <c r="E714" s="59">
        <v>1200000</v>
      </c>
      <c r="F714" s="7" t="s">
        <v>36</v>
      </c>
      <c r="G714" s="7" t="s">
        <v>39</v>
      </c>
      <c r="H714" s="66" t="s">
        <v>245</v>
      </c>
      <c r="I714" s="67">
        <v>3351.9553072625699</v>
      </c>
      <c r="J714" s="66" t="s">
        <v>246</v>
      </c>
    </row>
    <row r="715" spans="2:10" s="7" customFormat="1" x14ac:dyDescent="0.35">
      <c r="B715" s="7" t="s">
        <v>253</v>
      </c>
      <c r="C715" s="7" t="s">
        <v>70</v>
      </c>
      <c r="D715" s="7">
        <v>141</v>
      </c>
      <c r="E715" s="59">
        <v>640000</v>
      </c>
      <c r="F715" s="7" t="s">
        <v>36</v>
      </c>
      <c r="G715" s="7" t="s">
        <v>39</v>
      </c>
      <c r="H715" s="66" t="s">
        <v>245</v>
      </c>
      <c r="I715" s="67">
        <v>4539.0070921985816</v>
      </c>
      <c r="J715" s="66" t="s">
        <v>246</v>
      </c>
    </row>
    <row r="716" spans="2:10" s="7" customFormat="1" x14ac:dyDescent="0.35">
      <c r="B716" s="7" t="s">
        <v>249</v>
      </c>
      <c r="C716" s="7" t="s">
        <v>44</v>
      </c>
      <c r="D716" s="7">
        <v>60</v>
      </c>
      <c r="E716" s="59">
        <v>550000</v>
      </c>
      <c r="F716" s="7" t="s">
        <v>36</v>
      </c>
      <c r="G716" s="7" t="s">
        <v>39</v>
      </c>
      <c r="H716" s="66" t="s">
        <v>245</v>
      </c>
      <c r="I716" s="67">
        <v>9166.6666666666661</v>
      </c>
      <c r="J716" s="66" t="s">
        <v>246</v>
      </c>
    </row>
    <row r="717" spans="2:10" s="7" customFormat="1" x14ac:dyDescent="0.35">
      <c r="B717" s="7" t="s">
        <v>29</v>
      </c>
      <c r="C717" s="7" t="s">
        <v>30</v>
      </c>
      <c r="D717" s="7">
        <v>22</v>
      </c>
      <c r="E717" s="59">
        <v>350000</v>
      </c>
      <c r="F717" s="7" t="s">
        <v>36</v>
      </c>
      <c r="G717" s="7" t="s">
        <v>39</v>
      </c>
      <c r="H717" s="66" t="s">
        <v>245</v>
      </c>
      <c r="I717" s="67">
        <v>15909.09090909091</v>
      </c>
      <c r="J717" s="66" t="s">
        <v>246</v>
      </c>
    </row>
    <row r="718" spans="2:10" s="7" customFormat="1" x14ac:dyDescent="0.35">
      <c r="B718" s="7" t="s">
        <v>45</v>
      </c>
      <c r="C718" s="7" t="s">
        <v>46</v>
      </c>
      <c r="D718" s="7">
        <v>100</v>
      </c>
      <c r="E718" s="59">
        <v>600000</v>
      </c>
      <c r="F718" s="7" t="s">
        <v>36</v>
      </c>
      <c r="G718" s="7" t="s">
        <v>39</v>
      </c>
      <c r="H718" s="66" t="s">
        <v>245</v>
      </c>
      <c r="I718" s="67">
        <v>6000</v>
      </c>
      <c r="J718" s="66" t="s">
        <v>246</v>
      </c>
    </row>
    <row r="719" spans="2:10" s="7" customFormat="1" x14ac:dyDescent="0.35">
      <c r="B719" s="7" t="s">
        <v>47</v>
      </c>
      <c r="C719" s="7" t="s">
        <v>48</v>
      </c>
      <c r="D719" s="7">
        <v>85</v>
      </c>
      <c r="E719" s="59">
        <v>580000</v>
      </c>
      <c r="F719" s="7" t="s">
        <v>36</v>
      </c>
      <c r="G719" s="7" t="s">
        <v>39</v>
      </c>
      <c r="H719" s="66" t="s">
        <v>245</v>
      </c>
      <c r="I719" s="67">
        <v>6823.5294117647063</v>
      </c>
      <c r="J719" s="66" t="s">
        <v>246</v>
      </c>
    </row>
    <row r="720" spans="2:10" s="7" customFormat="1" x14ac:dyDescent="0.35">
      <c r="B720" s="7" t="s">
        <v>49</v>
      </c>
      <c r="C720" s="7" t="s">
        <v>50</v>
      </c>
      <c r="D720" s="7">
        <v>144</v>
      </c>
      <c r="E720" s="59">
        <v>640000</v>
      </c>
      <c r="F720" s="7" t="s">
        <v>36</v>
      </c>
      <c r="G720" s="7" t="s">
        <v>39</v>
      </c>
      <c r="H720" s="66" t="s">
        <v>245</v>
      </c>
      <c r="I720" s="67">
        <v>4444.4444444444443</v>
      </c>
      <c r="J720" s="66" t="s">
        <v>246</v>
      </c>
    </row>
    <row r="721" spans="2:10" s="7" customFormat="1" x14ac:dyDescent="0.35">
      <c r="B721" s="7" t="s">
        <v>95</v>
      </c>
      <c r="C721" s="7" t="s">
        <v>254</v>
      </c>
      <c r="D721" s="7">
        <v>60</v>
      </c>
      <c r="E721" s="59">
        <v>550000</v>
      </c>
      <c r="F721" s="7" t="s">
        <v>36</v>
      </c>
      <c r="G721" s="7" t="s">
        <v>39</v>
      </c>
      <c r="H721" s="66" t="s">
        <v>245</v>
      </c>
      <c r="I721" s="67">
        <v>9166.6666666666661</v>
      </c>
      <c r="J721" s="66" t="s">
        <v>246</v>
      </c>
    </row>
    <row r="722" spans="2:10" s="7" customFormat="1" x14ac:dyDescent="0.35">
      <c r="B722" s="7" t="s">
        <v>51</v>
      </c>
      <c r="C722" s="7" t="s">
        <v>50</v>
      </c>
      <c r="D722" s="7">
        <v>144</v>
      </c>
      <c r="E722" s="59">
        <v>640000</v>
      </c>
      <c r="F722" s="7" t="s">
        <v>36</v>
      </c>
      <c r="G722" s="7" t="s">
        <v>39</v>
      </c>
      <c r="H722" s="66" t="s">
        <v>245</v>
      </c>
      <c r="I722" s="67">
        <v>4444.4444444444443</v>
      </c>
      <c r="J722" s="66" t="s">
        <v>246</v>
      </c>
    </row>
    <row r="723" spans="2:10" s="7" customFormat="1" x14ac:dyDescent="0.35">
      <c r="B723" s="7" t="s">
        <v>55</v>
      </c>
      <c r="C723" s="7" t="s">
        <v>41</v>
      </c>
      <c r="D723" s="7">
        <v>120</v>
      </c>
      <c r="E723" s="59">
        <v>620000</v>
      </c>
      <c r="F723" s="7" t="s">
        <v>36</v>
      </c>
      <c r="G723" s="7" t="s">
        <v>39</v>
      </c>
      <c r="H723" s="66" t="s">
        <v>245</v>
      </c>
      <c r="I723" s="67">
        <v>5166.666666666667</v>
      </c>
      <c r="J723" s="66" t="s">
        <v>246</v>
      </c>
    </row>
    <row r="724" spans="2:10" s="7" customFormat="1" x14ac:dyDescent="0.35">
      <c r="B724" s="7" t="s">
        <v>52</v>
      </c>
      <c r="C724" s="7" t="s">
        <v>53</v>
      </c>
      <c r="D724" s="7">
        <v>100</v>
      </c>
      <c r="E724" s="59">
        <v>600000</v>
      </c>
      <c r="F724" s="7" t="s">
        <v>36</v>
      </c>
      <c r="G724" s="7" t="s">
        <v>39</v>
      </c>
      <c r="H724" s="66" t="s">
        <v>245</v>
      </c>
      <c r="I724" s="67">
        <v>6000</v>
      </c>
      <c r="J724" s="66" t="s">
        <v>246</v>
      </c>
    </row>
    <row r="725" spans="2:10" s="7" customFormat="1" x14ac:dyDescent="0.35">
      <c r="B725" s="7" t="s">
        <v>58</v>
      </c>
      <c r="C725" s="7" t="s">
        <v>59</v>
      </c>
      <c r="D725" s="7">
        <v>125</v>
      </c>
      <c r="E725" s="59">
        <v>620000</v>
      </c>
      <c r="F725" s="7" t="s">
        <v>36</v>
      </c>
      <c r="G725" s="7" t="s">
        <v>39</v>
      </c>
      <c r="H725" s="66" t="s">
        <v>245</v>
      </c>
      <c r="I725" s="67">
        <v>4960</v>
      </c>
      <c r="J725" s="66" t="s">
        <v>246</v>
      </c>
    </row>
    <row r="726" spans="2:10" s="7" customFormat="1" x14ac:dyDescent="0.35">
      <c r="B726" s="7" t="s">
        <v>97</v>
      </c>
      <c r="C726" s="7" t="s">
        <v>255</v>
      </c>
      <c r="D726" s="7">
        <v>90</v>
      </c>
      <c r="E726" s="59">
        <v>600000</v>
      </c>
      <c r="F726" s="7" t="s">
        <v>36</v>
      </c>
      <c r="G726" s="7" t="s">
        <v>39</v>
      </c>
      <c r="H726" s="66" t="s">
        <v>245</v>
      </c>
      <c r="I726" s="67">
        <v>6666.666666666667</v>
      </c>
      <c r="J726" s="66" t="s">
        <v>246</v>
      </c>
    </row>
    <row r="727" spans="2:10" s="7" customFormat="1" x14ac:dyDescent="0.35">
      <c r="B727" s="7" t="s">
        <v>60</v>
      </c>
      <c r="C727" s="7" t="s">
        <v>61</v>
      </c>
      <c r="D727" s="7">
        <v>80</v>
      </c>
      <c r="E727" s="59">
        <v>580000</v>
      </c>
      <c r="F727" s="7" t="s">
        <v>36</v>
      </c>
      <c r="G727" s="7" t="s">
        <v>39</v>
      </c>
      <c r="H727" s="66" t="s">
        <v>245</v>
      </c>
      <c r="I727" s="67">
        <v>7250</v>
      </c>
      <c r="J727" s="66" t="s">
        <v>246</v>
      </c>
    </row>
    <row r="728" spans="2:10" s="7" customFormat="1" x14ac:dyDescent="0.35">
      <c r="B728" s="7" t="s">
        <v>62</v>
      </c>
      <c r="C728" s="7" t="s">
        <v>63</v>
      </c>
      <c r="D728" s="7">
        <v>130</v>
      </c>
      <c r="E728" s="59">
        <v>620000</v>
      </c>
      <c r="F728" s="7" t="s">
        <v>36</v>
      </c>
      <c r="G728" s="7" t="s">
        <v>39</v>
      </c>
      <c r="H728" s="66" t="s">
        <v>245</v>
      </c>
      <c r="I728" s="67">
        <v>4769.2307692307695</v>
      </c>
      <c r="J728" s="66" t="s">
        <v>246</v>
      </c>
    </row>
    <row r="729" spans="2:10" s="7" customFormat="1" x14ac:dyDescent="0.35">
      <c r="B729" s="7" t="s">
        <v>98</v>
      </c>
      <c r="C729" s="7" t="s">
        <v>38</v>
      </c>
      <c r="D729" s="7">
        <v>133</v>
      </c>
      <c r="E729" s="59">
        <v>620000</v>
      </c>
      <c r="F729" s="7" t="s">
        <v>36</v>
      </c>
      <c r="G729" s="7" t="s">
        <v>39</v>
      </c>
      <c r="H729" s="66" t="s">
        <v>245</v>
      </c>
      <c r="I729" s="67">
        <v>4661.6541353383454</v>
      </c>
      <c r="J729" s="66" t="s">
        <v>246</v>
      </c>
    </row>
    <row r="730" spans="2:10" s="7" customFormat="1" x14ac:dyDescent="0.35">
      <c r="B730" s="7" t="s">
        <v>256</v>
      </c>
      <c r="C730" s="7" t="s">
        <v>64</v>
      </c>
      <c r="D730" s="7">
        <v>180</v>
      </c>
      <c r="E730" s="59">
        <v>680000</v>
      </c>
      <c r="F730" s="7" t="s">
        <v>36</v>
      </c>
      <c r="G730" s="7" t="s">
        <v>39</v>
      </c>
      <c r="H730" s="66" t="s">
        <v>245</v>
      </c>
      <c r="I730" s="67">
        <v>3777.7777777777778</v>
      </c>
      <c r="J730" s="66" t="s">
        <v>246</v>
      </c>
    </row>
    <row r="731" spans="2:10" s="7" customFormat="1" x14ac:dyDescent="0.35">
      <c r="B731" s="7" t="s">
        <v>65</v>
      </c>
      <c r="C731" s="7" t="s">
        <v>66</v>
      </c>
      <c r="D731" s="7">
        <v>140</v>
      </c>
      <c r="E731" s="59">
        <v>640000</v>
      </c>
      <c r="F731" s="7" t="s">
        <v>36</v>
      </c>
      <c r="G731" s="7" t="s">
        <v>39</v>
      </c>
      <c r="H731" s="66" t="s">
        <v>245</v>
      </c>
      <c r="I731" s="67">
        <v>4571.4285714285716</v>
      </c>
      <c r="J731" s="66" t="s">
        <v>246</v>
      </c>
    </row>
    <row r="732" spans="2:10" s="7" customFormat="1" x14ac:dyDescent="0.35">
      <c r="B732" s="7" t="s">
        <v>67</v>
      </c>
      <c r="C732" s="7" t="s">
        <v>38</v>
      </c>
      <c r="D732" s="7">
        <v>130</v>
      </c>
      <c r="E732" s="59">
        <v>620000</v>
      </c>
      <c r="F732" s="7" t="s">
        <v>36</v>
      </c>
      <c r="G732" s="7" t="s">
        <v>39</v>
      </c>
      <c r="H732" s="66" t="s">
        <v>245</v>
      </c>
      <c r="I732" s="67">
        <v>4769.2307692307695</v>
      </c>
      <c r="J732" s="66" t="s">
        <v>246</v>
      </c>
    </row>
    <row r="733" spans="2:10" s="7" customFormat="1" x14ac:dyDescent="0.35">
      <c r="B733" s="7" t="s">
        <v>68</v>
      </c>
      <c r="C733" s="7" t="s">
        <v>69</v>
      </c>
      <c r="D733" s="7">
        <v>90</v>
      </c>
      <c r="E733" s="59">
        <v>600000</v>
      </c>
      <c r="F733" s="7" t="s">
        <v>36</v>
      </c>
      <c r="G733" s="7" t="s">
        <v>39</v>
      </c>
      <c r="H733" s="66" t="s">
        <v>245</v>
      </c>
      <c r="I733" s="67">
        <v>6666.666666666667</v>
      </c>
      <c r="J733" s="66" t="s">
        <v>246</v>
      </c>
    </row>
    <row r="734" spans="2:10" s="7" customFormat="1" x14ac:dyDescent="0.35">
      <c r="B734" s="7" t="s">
        <v>33</v>
      </c>
      <c r="C734" s="7" t="s">
        <v>34</v>
      </c>
      <c r="D734" s="7">
        <v>230</v>
      </c>
      <c r="E734" s="59">
        <v>780000</v>
      </c>
      <c r="F734" s="7" t="s">
        <v>36</v>
      </c>
      <c r="G734" s="7" t="s">
        <v>39</v>
      </c>
      <c r="H734" s="66" t="s">
        <v>245</v>
      </c>
      <c r="I734" s="67">
        <v>3391.304347826087</v>
      </c>
      <c r="J734" s="66" t="s">
        <v>246</v>
      </c>
    </row>
    <row r="735" spans="2:10" s="7" customFormat="1" x14ac:dyDescent="0.35">
      <c r="B735" s="7" t="s">
        <v>257</v>
      </c>
      <c r="C735" s="7" t="s">
        <v>66</v>
      </c>
      <c r="D735" s="7">
        <v>144</v>
      </c>
      <c r="E735" s="59">
        <v>650000</v>
      </c>
      <c r="F735" s="7" t="s">
        <v>36</v>
      </c>
      <c r="G735" s="7" t="s">
        <v>39</v>
      </c>
      <c r="H735" s="66" t="s">
        <v>245</v>
      </c>
      <c r="I735" s="67">
        <v>4513.8888888888887</v>
      </c>
      <c r="J735" s="66" t="s">
        <v>246</v>
      </c>
    </row>
    <row r="736" spans="2:10" s="7" customFormat="1" x14ac:dyDescent="0.35">
      <c r="B736" s="7" t="s">
        <v>71</v>
      </c>
      <c r="C736" s="7" t="s">
        <v>43</v>
      </c>
      <c r="D736" s="7">
        <v>408</v>
      </c>
      <c r="E736" s="59">
        <v>1200000</v>
      </c>
      <c r="F736" s="7" t="s">
        <v>36</v>
      </c>
      <c r="G736" s="7" t="s">
        <v>39</v>
      </c>
      <c r="H736" s="66" t="s">
        <v>245</v>
      </c>
      <c r="I736" s="67">
        <v>2941.1764705882351</v>
      </c>
      <c r="J736" s="66" t="s">
        <v>246</v>
      </c>
    </row>
    <row r="737" spans="2:10" s="7" customFormat="1" x14ac:dyDescent="0.35">
      <c r="B737" s="7" t="s">
        <v>258</v>
      </c>
      <c r="C737" s="7" t="s">
        <v>259</v>
      </c>
      <c r="D737" s="7">
        <v>1</v>
      </c>
      <c r="E737" s="59">
        <v>250000</v>
      </c>
      <c r="F737" s="7" t="s">
        <v>36</v>
      </c>
      <c r="G737" s="7" t="s">
        <v>39</v>
      </c>
      <c r="H737" s="66" t="s">
        <v>245</v>
      </c>
      <c r="I737" s="67">
        <v>250000</v>
      </c>
      <c r="J737" s="66" t="s">
        <v>246</v>
      </c>
    </row>
    <row r="738" spans="2:10" s="7" customFormat="1" x14ac:dyDescent="0.35">
      <c r="B738" s="7" t="s">
        <v>72</v>
      </c>
      <c r="C738" s="7" t="s">
        <v>73</v>
      </c>
      <c r="D738" s="7">
        <v>310</v>
      </c>
      <c r="E738" s="59">
        <v>850000</v>
      </c>
      <c r="F738" s="7" t="s">
        <v>36</v>
      </c>
      <c r="G738" s="7" t="s">
        <v>39</v>
      </c>
      <c r="H738" s="66" t="s">
        <v>245</v>
      </c>
      <c r="I738" s="67">
        <v>2741.9354838709678</v>
      </c>
      <c r="J738" s="66" t="s">
        <v>246</v>
      </c>
    </row>
    <row r="739" spans="2:10" s="7" customFormat="1" x14ac:dyDescent="0.35">
      <c r="B739" s="7" t="s">
        <v>56</v>
      </c>
      <c r="C739" s="7" t="s">
        <v>57</v>
      </c>
      <c r="D739" s="7">
        <v>95</v>
      </c>
      <c r="E739" s="59">
        <v>600000</v>
      </c>
      <c r="F739" s="7" t="s">
        <v>36</v>
      </c>
      <c r="G739" s="7" t="s">
        <v>39</v>
      </c>
      <c r="H739" s="66" t="s">
        <v>245</v>
      </c>
      <c r="I739" s="67">
        <v>6315.7894736842109</v>
      </c>
      <c r="J739" s="66" t="s">
        <v>246</v>
      </c>
    </row>
    <row r="740" spans="2:10" s="7" customFormat="1" x14ac:dyDescent="0.35">
      <c r="B740" s="7" t="s">
        <v>260</v>
      </c>
      <c r="C740" s="7" t="s">
        <v>261</v>
      </c>
      <c r="D740" s="7">
        <v>305</v>
      </c>
      <c r="E740" s="59">
        <v>850000</v>
      </c>
      <c r="F740" s="7" t="s">
        <v>36</v>
      </c>
      <c r="G740" s="7" t="s">
        <v>39</v>
      </c>
      <c r="H740" s="66" t="s">
        <v>245</v>
      </c>
      <c r="I740" s="67">
        <v>2786.8852459016393</v>
      </c>
      <c r="J740" s="66" t="s">
        <v>246</v>
      </c>
    </row>
    <row r="741" spans="2:10" s="7" customFormat="1" x14ac:dyDescent="0.35">
      <c r="B741" s="7" t="s">
        <v>74</v>
      </c>
      <c r="C741" s="7" t="s">
        <v>75</v>
      </c>
      <c r="D741" s="7">
        <v>140</v>
      </c>
      <c r="E741" s="59">
        <v>640000</v>
      </c>
      <c r="F741" s="7" t="s">
        <v>36</v>
      </c>
      <c r="G741" s="7" t="s">
        <v>39</v>
      </c>
      <c r="H741" s="66" t="s">
        <v>245</v>
      </c>
      <c r="I741" s="67">
        <v>4571.4285714285716</v>
      </c>
      <c r="J741" s="66" t="s">
        <v>246</v>
      </c>
    </row>
    <row r="742" spans="2:10" s="7" customFormat="1" x14ac:dyDescent="0.35">
      <c r="B742" s="7" t="s">
        <v>76</v>
      </c>
      <c r="C742" s="7" t="s">
        <v>262</v>
      </c>
      <c r="D742" s="7">
        <v>130</v>
      </c>
      <c r="E742" s="59">
        <v>620000</v>
      </c>
      <c r="F742" s="7" t="s">
        <v>36</v>
      </c>
      <c r="G742" s="7" t="s">
        <v>39</v>
      </c>
      <c r="H742" s="66" t="s">
        <v>245</v>
      </c>
      <c r="I742" s="67">
        <v>4769.2307692307695</v>
      </c>
      <c r="J742" s="66" t="s">
        <v>246</v>
      </c>
    </row>
    <row r="743" spans="2:10" s="7" customFormat="1" x14ac:dyDescent="0.35">
      <c r="B743" s="7" t="s">
        <v>96</v>
      </c>
      <c r="C743" s="7" t="s">
        <v>255</v>
      </c>
      <c r="D743" s="7">
        <v>95</v>
      </c>
      <c r="E743" s="59">
        <v>600000</v>
      </c>
      <c r="F743" s="7" t="s">
        <v>36</v>
      </c>
      <c r="G743" s="7" t="s">
        <v>39</v>
      </c>
      <c r="H743" s="66" t="s">
        <v>245</v>
      </c>
      <c r="I743" s="67">
        <v>6315.7894736842109</v>
      </c>
      <c r="J743" s="66" t="s">
        <v>246</v>
      </c>
    </row>
    <row r="744" spans="2:10" s="7" customFormat="1" x14ac:dyDescent="0.35">
      <c r="B744" s="7" t="s">
        <v>37</v>
      </c>
      <c r="C744" s="7" t="s">
        <v>38</v>
      </c>
      <c r="D744" s="7">
        <v>50</v>
      </c>
      <c r="E744" s="59">
        <v>550000</v>
      </c>
      <c r="F744" s="7" t="s">
        <v>35</v>
      </c>
      <c r="G744" s="7" t="s">
        <v>39</v>
      </c>
      <c r="H744" s="66" t="s">
        <v>245</v>
      </c>
      <c r="I744" s="67">
        <v>11000</v>
      </c>
      <c r="J744" s="66" t="s">
        <v>246</v>
      </c>
    </row>
    <row r="745" spans="2:10" s="7" customFormat="1" x14ac:dyDescent="0.35">
      <c r="B745" s="7" t="s">
        <v>40</v>
      </c>
      <c r="C745" s="7" t="s">
        <v>41</v>
      </c>
      <c r="D745" s="7">
        <v>211</v>
      </c>
      <c r="E745" s="59">
        <v>750000</v>
      </c>
      <c r="F745" s="7" t="s">
        <v>35</v>
      </c>
      <c r="G745" s="7" t="s">
        <v>39</v>
      </c>
      <c r="H745" s="66" t="s">
        <v>245</v>
      </c>
      <c r="I745" s="67">
        <v>3554.5023696682465</v>
      </c>
      <c r="J745" s="66" t="s">
        <v>246</v>
      </c>
    </row>
    <row r="746" spans="2:10" s="7" customFormat="1" x14ac:dyDescent="0.35">
      <c r="B746" s="7" t="s">
        <v>247</v>
      </c>
      <c r="C746" s="7" t="s">
        <v>248</v>
      </c>
      <c r="D746" s="7">
        <v>206</v>
      </c>
      <c r="E746" s="59">
        <v>750000</v>
      </c>
      <c r="F746" s="7" t="s">
        <v>35</v>
      </c>
      <c r="G746" s="7" t="s">
        <v>39</v>
      </c>
      <c r="H746" s="66" t="s">
        <v>245</v>
      </c>
      <c r="I746" s="67">
        <v>3640.7766990291261</v>
      </c>
      <c r="J746" s="66" t="s">
        <v>246</v>
      </c>
    </row>
    <row r="747" spans="2:10" s="7" customFormat="1" x14ac:dyDescent="0.35">
      <c r="B747" s="7" t="s">
        <v>251</v>
      </c>
      <c r="C747" s="7" t="s">
        <v>252</v>
      </c>
      <c r="D747" s="7">
        <v>80</v>
      </c>
      <c r="E747" s="59">
        <v>580000</v>
      </c>
      <c r="F747" s="7" t="s">
        <v>35</v>
      </c>
      <c r="G747" s="7" t="s">
        <v>39</v>
      </c>
      <c r="H747" s="66" t="s">
        <v>245</v>
      </c>
      <c r="I747" s="67">
        <v>7250</v>
      </c>
      <c r="J747" s="66" t="s">
        <v>246</v>
      </c>
    </row>
    <row r="748" spans="2:10" s="7" customFormat="1" x14ac:dyDescent="0.35">
      <c r="B748" s="7" t="s">
        <v>42</v>
      </c>
      <c r="C748" s="7" t="s">
        <v>43</v>
      </c>
      <c r="D748" s="7">
        <v>450</v>
      </c>
      <c r="E748" s="59">
        <v>1250000</v>
      </c>
      <c r="F748" s="7" t="s">
        <v>35</v>
      </c>
      <c r="G748" s="7" t="s">
        <v>39</v>
      </c>
      <c r="H748" s="66" t="s">
        <v>245</v>
      </c>
      <c r="I748" s="67">
        <v>2777.7777777777778</v>
      </c>
      <c r="J748" s="66" t="s">
        <v>246</v>
      </c>
    </row>
    <row r="749" spans="2:10" s="7" customFormat="1" x14ac:dyDescent="0.35">
      <c r="B749" s="7" t="s">
        <v>253</v>
      </c>
      <c r="C749" s="7" t="s">
        <v>70</v>
      </c>
      <c r="D749" s="7">
        <v>50</v>
      </c>
      <c r="E749" s="59">
        <v>550000</v>
      </c>
      <c r="F749" s="7" t="s">
        <v>35</v>
      </c>
      <c r="G749" s="7" t="s">
        <v>39</v>
      </c>
      <c r="H749" s="66" t="s">
        <v>245</v>
      </c>
      <c r="I749" s="67">
        <v>11000</v>
      </c>
      <c r="J749" s="66" t="s">
        <v>246</v>
      </c>
    </row>
    <row r="750" spans="2:10" s="7" customFormat="1" x14ac:dyDescent="0.35">
      <c r="B750" s="7" t="s">
        <v>249</v>
      </c>
      <c r="C750" s="7" t="s">
        <v>44</v>
      </c>
      <c r="D750" s="7">
        <v>60</v>
      </c>
      <c r="E750" s="59">
        <v>550000</v>
      </c>
      <c r="F750" s="7" t="s">
        <v>35</v>
      </c>
      <c r="G750" s="7" t="s">
        <v>39</v>
      </c>
      <c r="H750" s="66" t="s">
        <v>245</v>
      </c>
      <c r="I750" s="67">
        <v>9166.6666666666661</v>
      </c>
      <c r="J750" s="66" t="s">
        <v>246</v>
      </c>
    </row>
    <row r="751" spans="2:10" s="7" customFormat="1" x14ac:dyDescent="0.35">
      <c r="B751" s="7" t="s">
        <v>29</v>
      </c>
      <c r="C751" s="7" t="s">
        <v>30</v>
      </c>
      <c r="D751" s="7">
        <v>100</v>
      </c>
      <c r="E751" s="59">
        <v>600000</v>
      </c>
      <c r="F751" s="7" t="s">
        <v>35</v>
      </c>
      <c r="G751" s="7" t="s">
        <v>39</v>
      </c>
      <c r="H751" s="66" t="s">
        <v>245</v>
      </c>
      <c r="I751" s="67">
        <v>6000</v>
      </c>
      <c r="J751" s="66" t="s">
        <v>246</v>
      </c>
    </row>
    <row r="752" spans="2:10" s="7" customFormat="1" x14ac:dyDescent="0.35">
      <c r="B752" s="7" t="s">
        <v>45</v>
      </c>
      <c r="C752" s="7" t="s">
        <v>46</v>
      </c>
      <c r="D752" s="7">
        <v>190</v>
      </c>
      <c r="E752" s="59">
        <v>750000</v>
      </c>
      <c r="F752" s="7" t="s">
        <v>35</v>
      </c>
      <c r="G752" s="7" t="s">
        <v>39</v>
      </c>
      <c r="H752" s="66" t="s">
        <v>245</v>
      </c>
      <c r="I752" s="67">
        <v>3947.3684210526317</v>
      </c>
      <c r="J752" s="66" t="s">
        <v>246</v>
      </c>
    </row>
    <row r="753" spans="2:10" s="7" customFormat="1" x14ac:dyDescent="0.35">
      <c r="B753" s="7" t="s">
        <v>47</v>
      </c>
      <c r="C753" s="7" t="s">
        <v>48</v>
      </c>
      <c r="D753" s="7">
        <v>75</v>
      </c>
      <c r="E753" s="59">
        <v>580000</v>
      </c>
      <c r="F753" s="7" t="s">
        <v>35</v>
      </c>
      <c r="G753" s="7" t="s">
        <v>39</v>
      </c>
      <c r="H753" s="66" t="s">
        <v>245</v>
      </c>
      <c r="I753" s="67">
        <v>7733.333333333333</v>
      </c>
      <c r="J753" s="66" t="s">
        <v>246</v>
      </c>
    </row>
    <row r="754" spans="2:10" s="7" customFormat="1" x14ac:dyDescent="0.35">
      <c r="B754" s="7" t="s">
        <v>49</v>
      </c>
      <c r="C754" s="7" t="s">
        <v>50</v>
      </c>
      <c r="D754" s="7">
        <v>70</v>
      </c>
      <c r="E754" s="59">
        <v>560000</v>
      </c>
      <c r="F754" s="7" t="s">
        <v>35</v>
      </c>
      <c r="G754" s="7" t="s">
        <v>39</v>
      </c>
      <c r="H754" s="66" t="s">
        <v>245</v>
      </c>
      <c r="I754" s="67">
        <v>8000</v>
      </c>
      <c r="J754" s="66" t="s">
        <v>246</v>
      </c>
    </row>
    <row r="755" spans="2:10" s="7" customFormat="1" x14ac:dyDescent="0.35">
      <c r="B755" s="7" t="s">
        <v>95</v>
      </c>
      <c r="C755" s="7" t="s">
        <v>254</v>
      </c>
      <c r="D755" s="7">
        <v>160</v>
      </c>
      <c r="E755" s="59">
        <v>650000</v>
      </c>
      <c r="F755" s="7" t="s">
        <v>35</v>
      </c>
      <c r="G755" s="7" t="s">
        <v>39</v>
      </c>
      <c r="H755" s="66" t="s">
        <v>245</v>
      </c>
      <c r="I755" s="67">
        <v>4062.5</v>
      </c>
      <c r="J755" s="66" t="s">
        <v>246</v>
      </c>
    </row>
    <row r="756" spans="2:10" s="7" customFormat="1" x14ac:dyDescent="0.35">
      <c r="B756" s="7" t="s">
        <v>51</v>
      </c>
      <c r="C756" s="7" t="s">
        <v>50</v>
      </c>
      <c r="D756" s="7">
        <v>70</v>
      </c>
      <c r="E756" s="59">
        <v>560000</v>
      </c>
      <c r="F756" s="7" t="s">
        <v>35</v>
      </c>
      <c r="G756" s="7" t="s">
        <v>39</v>
      </c>
      <c r="H756" s="66" t="s">
        <v>245</v>
      </c>
      <c r="I756" s="67">
        <v>8000</v>
      </c>
      <c r="J756" s="66" t="s">
        <v>246</v>
      </c>
    </row>
    <row r="757" spans="2:10" s="7" customFormat="1" x14ac:dyDescent="0.35">
      <c r="B757" s="7" t="s">
        <v>55</v>
      </c>
      <c r="C757" s="7" t="s">
        <v>41</v>
      </c>
      <c r="D757" s="7">
        <v>210</v>
      </c>
      <c r="E757" s="59">
        <v>750000</v>
      </c>
      <c r="F757" s="7" t="s">
        <v>35</v>
      </c>
      <c r="G757" s="7" t="s">
        <v>39</v>
      </c>
      <c r="H757" s="66" t="s">
        <v>245</v>
      </c>
      <c r="I757" s="67">
        <v>3571.4285714285716</v>
      </c>
      <c r="J757" s="66" t="s">
        <v>246</v>
      </c>
    </row>
    <row r="758" spans="2:10" s="7" customFormat="1" x14ac:dyDescent="0.35">
      <c r="B758" s="7" t="s">
        <v>52</v>
      </c>
      <c r="C758" s="7" t="s">
        <v>53</v>
      </c>
      <c r="D758" s="7">
        <v>25</v>
      </c>
      <c r="E758" s="59">
        <v>350000</v>
      </c>
      <c r="F758" s="7" t="s">
        <v>35</v>
      </c>
      <c r="G758" s="7" t="s">
        <v>39</v>
      </c>
      <c r="H758" s="66" t="s">
        <v>245</v>
      </c>
      <c r="I758" s="67">
        <v>14000</v>
      </c>
      <c r="J758" s="66" t="s">
        <v>246</v>
      </c>
    </row>
    <row r="759" spans="2:10" s="7" customFormat="1" x14ac:dyDescent="0.35">
      <c r="B759" s="7" t="s">
        <v>58</v>
      </c>
      <c r="C759" s="7" t="s">
        <v>59</v>
      </c>
      <c r="D759" s="7">
        <v>35</v>
      </c>
      <c r="E759" s="59">
        <v>400000</v>
      </c>
      <c r="F759" s="7" t="s">
        <v>35</v>
      </c>
      <c r="G759" s="7" t="s">
        <v>39</v>
      </c>
      <c r="H759" s="66" t="s">
        <v>245</v>
      </c>
      <c r="I759" s="67">
        <v>11428.571428571429</v>
      </c>
      <c r="J759" s="66" t="s">
        <v>246</v>
      </c>
    </row>
    <row r="760" spans="2:10" s="7" customFormat="1" x14ac:dyDescent="0.35">
      <c r="B760" s="7" t="s">
        <v>97</v>
      </c>
      <c r="C760" s="7" t="s">
        <v>255</v>
      </c>
      <c r="D760" s="7">
        <v>75</v>
      </c>
      <c r="E760" s="59">
        <v>580000</v>
      </c>
      <c r="F760" s="7" t="s">
        <v>35</v>
      </c>
      <c r="G760" s="7" t="s">
        <v>39</v>
      </c>
      <c r="H760" s="66" t="s">
        <v>245</v>
      </c>
      <c r="I760" s="67">
        <v>7733.333333333333</v>
      </c>
      <c r="J760" s="66" t="s">
        <v>246</v>
      </c>
    </row>
    <row r="761" spans="2:10" s="7" customFormat="1" x14ac:dyDescent="0.35">
      <c r="B761" s="7" t="s">
        <v>60</v>
      </c>
      <c r="C761" s="7" t="s">
        <v>61</v>
      </c>
      <c r="D761" s="7">
        <v>75</v>
      </c>
      <c r="E761" s="59">
        <v>580000</v>
      </c>
      <c r="F761" s="7" t="s">
        <v>35</v>
      </c>
      <c r="G761" s="7" t="s">
        <v>39</v>
      </c>
      <c r="H761" s="66" t="s">
        <v>245</v>
      </c>
      <c r="I761" s="67">
        <v>7733.333333333333</v>
      </c>
      <c r="J761" s="66" t="s">
        <v>246</v>
      </c>
    </row>
    <row r="762" spans="2:10" s="7" customFormat="1" x14ac:dyDescent="0.35">
      <c r="B762" s="7" t="s">
        <v>62</v>
      </c>
      <c r="C762" s="7" t="s">
        <v>63</v>
      </c>
      <c r="D762" s="7">
        <v>55</v>
      </c>
      <c r="E762" s="59">
        <v>550000</v>
      </c>
      <c r="F762" s="7" t="s">
        <v>35</v>
      </c>
      <c r="G762" s="7" t="s">
        <v>39</v>
      </c>
      <c r="H762" s="66" t="s">
        <v>245</v>
      </c>
      <c r="I762" s="67">
        <v>10000</v>
      </c>
      <c r="J762" s="66" t="s">
        <v>246</v>
      </c>
    </row>
    <row r="763" spans="2:10" s="7" customFormat="1" x14ac:dyDescent="0.35">
      <c r="B763" s="7" t="s">
        <v>98</v>
      </c>
      <c r="C763" s="7" t="s">
        <v>38</v>
      </c>
      <c r="D763" s="7">
        <v>45</v>
      </c>
      <c r="E763" s="59">
        <v>550000</v>
      </c>
      <c r="F763" s="7" t="s">
        <v>35</v>
      </c>
      <c r="G763" s="7" t="s">
        <v>39</v>
      </c>
      <c r="H763" s="66" t="s">
        <v>245</v>
      </c>
      <c r="I763" s="67">
        <v>12222.222222222223</v>
      </c>
      <c r="J763" s="66" t="s">
        <v>246</v>
      </c>
    </row>
    <row r="764" spans="2:10" s="7" customFormat="1" x14ac:dyDescent="0.35">
      <c r="B764" s="7" t="s">
        <v>256</v>
      </c>
      <c r="C764" s="7" t="s">
        <v>64</v>
      </c>
      <c r="D764" s="7">
        <v>105</v>
      </c>
      <c r="E764" s="59">
        <v>600000</v>
      </c>
      <c r="F764" s="7" t="s">
        <v>35</v>
      </c>
      <c r="G764" s="7" t="s">
        <v>39</v>
      </c>
      <c r="H764" s="66" t="s">
        <v>245</v>
      </c>
      <c r="I764" s="67">
        <v>5714.2857142857147</v>
      </c>
      <c r="J764" s="66" t="s">
        <v>246</v>
      </c>
    </row>
    <row r="765" spans="2:10" s="7" customFormat="1" x14ac:dyDescent="0.35">
      <c r="B765" s="7" t="s">
        <v>65</v>
      </c>
      <c r="C765" s="7" t="s">
        <v>66</v>
      </c>
      <c r="D765" s="7">
        <v>45</v>
      </c>
      <c r="E765" s="59">
        <v>550000</v>
      </c>
      <c r="F765" s="7" t="s">
        <v>35</v>
      </c>
      <c r="G765" s="7" t="s">
        <v>39</v>
      </c>
      <c r="H765" s="66" t="s">
        <v>245</v>
      </c>
      <c r="I765" s="67">
        <v>12222.222222222223</v>
      </c>
      <c r="J765" s="66" t="s">
        <v>246</v>
      </c>
    </row>
    <row r="766" spans="2:10" s="7" customFormat="1" x14ac:dyDescent="0.35">
      <c r="B766" s="7" t="s">
        <v>67</v>
      </c>
      <c r="C766" s="7" t="s">
        <v>38</v>
      </c>
      <c r="D766" s="7">
        <v>40</v>
      </c>
      <c r="E766" s="59">
        <v>540000</v>
      </c>
      <c r="F766" s="7" t="s">
        <v>35</v>
      </c>
      <c r="G766" s="7" t="s">
        <v>39</v>
      </c>
      <c r="H766" s="66" t="s">
        <v>245</v>
      </c>
      <c r="I766" s="67">
        <v>13500</v>
      </c>
      <c r="J766" s="66" t="s">
        <v>246</v>
      </c>
    </row>
    <row r="767" spans="2:10" s="7" customFormat="1" x14ac:dyDescent="0.35">
      <c r="B767" s="7" t="s">
        <v>68</v>
      </c>
      <c r="C767" s="7" t="s">
        <v>69</v>
      </c>
      <c r="D767" s="7">
        <v>80</v>
      </c>
      <c r="E767" s="59">
        <v>580000</v>
      </c>
      <c r="F767" s="7" t="s">
        <v>35</v>
      </c>
      <c r="G767" s="7" t="s">
        <v>39</v>
      </c>
      <c r="H767" s="66" t="s">
        <v>245</v>
      </c>
      <c r="I767" s="67">
        <v>7250</v>
      </c>
      <c r="J767" s="66" t="s">
        <v>246</v>
      </c>
    </row>
    <row r="768" spans="2:10" s="7" customFormat="1" x14ac:dyDescent="0.35">
      <c r="B768" s="7" t="s">
        <v>33</v>
      </c>
      <c r="C768" s="7" t="s">
        <v>34</v>
      </c>
      <c r="D768" s="7">
        <v>145</v>
      </c>
      <c r="E768" s="59">
        <v>650000</v>
      </c>
      <c r="F768" s="7" t="s">
        <v>35</v>
      </c>
      <c r="G768" s="7" t="s">
        <v>39</v>
      </c>
      <c r="H768" s="66" t="s">
        <v>245</v>
      </c>
      <c r="I768" s="67">
        <v>4482.7586206896549</v>
      </c>
      <c r="J768" s="66" t="s">
        <v>246</v>
      </c>
    </row>
    <row r="769" spans="2:10" s="7" customFormat="1" x14ac:dyDescent="0.35">
      <c r="B769" s="7" t="s">
        <v>257</v>
      </c>
      <c r="C769" s="7" t="s">
        <v>66</v>
      </c>
      <c r="D769" s="7">
        <v>60</v>
      </c>
      <c r="E769" s="59">
        <v>550000</v>
      </c>
      <c r="F769" s="7" t="s">
        <v>35</v>
      </c>
      <c r="G769" s="7" t="s">
        <v>39</v>
      </c>
      <c r="H769" s="66" t="s">
        <v>245</v>
      </c>
      <c r="I769" s="67">
        <v>9166.6666666666661</v>
      </c>
      <c r="J769" s="66" t="s">
        <v>246</v>
      </c>
    </row>
    <row r="770" spans="2:10" s="7" customFormat="1" x14ac:dyDescent="0.35">
      <c r="B770" s="7" t="s">
        <v>71</v>
      </c>
      <c r="C770" s="7" t="s">
        <v>43</v>
      </c>
      <c r="D770" s="7">
        <v>50</v>
      </c>
      <c r="E770" s="59">
        <v>1350000</v>
      </c>
      <c r="F770" s="7" t="s">
        <v>35</v>
      </c>
      <c r="G770" s="7" t="s">
        <v>39</v>
      </c>
      <c r="H770" s="66" t="s">
        <v>245</v>
      </c>
      <c r="I770" s="67">
        <v>27000</v>
      </c>
      <c r="J770" s="66" t="s">
        <v>246</v>
      </c>
    </row>
    <row r="771" spans="2:10" s="7" customFormat="1" x14ac:dyDescent="0.35">
      <c r="B771" s="7" t="s">
        <v>258</v>
      </c>
      <c r="C771" s="7" t="s">
        <v>259</v>
      </c>
      <c r="D771" s="7">
        <v>95</v>
      </c>
      <c r="E771" s="59">
        <v>600000</v>
      </c>
      <c r="F771" s="7" t="s">
        <v>35</v>
      </c>
      <c r="G771" s="7" t="s">
        <v>39</v>
      </c>
      <c r="H771" s="66" t="s">
        <v>245</v>
      </c>
      <c r="I771" s="67">
        <v>6315.7894736842109</v>
      </c>
      <c r="J771" s="66" t="s">
        <v>246</v>
      </c>
    </row>
    <row r="772" spans="2:10" s="7" customFormat="1" x14ac:dyDescent="0.35">
      <c r="B772" s="7" t="s">
        <v>72</v>
      </c>
      <c r="C772" s="7" t="s">
        <v>73</v>
      </c>
      <c r="D772" s="7">
        <v>230</v>
      </c>
      <c r="E772" s="59">
        <v>750000</v>
      </c>
      <c r="F772" s="7" t="s">
        <v>35</v>
      </c>
      <c r="G772" s="7" t="s">
        <v>39</v>
      </c>
      <c r="H772" s="66" t="s">
        <v>245</v>
      </c>
      <c r="I772" s="67">
        <v>3260.8695652173915</v>
      </c>
      <c r="J772" s="66" t="s">
        <v>246</v>
      </c>
    </row>
    <row r="773" spans="2:10" s="7" customFormat="1" x14ac:dyDescent="0.35">
      <c r="B773" s="7" t="s">
        <v>56</v>
      </c>
      <c r="C773" s="7" t="s">
        <v>57</v>
      </c>
      <c r="D773" s="7">
        <v>50</v>
      </c>
      <c r="E773" s="59">
        <v>550000</v>
      </c>
      <c r="F773" s="7" t="s">
        <v>35</v>
      </c>
      <c r="G773" s="7" t="s">
        <v>39</v>
      </c>
      <c r="H773" s="66" t="s">
        <v>245</v>
      </c>
      <c r="I773" s="67">
        <v>11000</v>
      </c>
      <c r="J773" s="66" t="s">
        <v>246</v>
      </c>
    </row>
    <row r="774" spans="2:10" s="7" customFormat="1" x14ac:dyDescent="0.35">
      <c r="B774" s="7" t="s">
        <v>260</v>
      </c>
      <c r="C774" s="7" t="s">
        <v>261</v>
      </c>
      <c r="D774" s="7">
        <v>225</v>
      </c>
      <c r="E774" s="59">
        <v>780000</v>
      </c>
      <c r="F774" s="7" t="s">
        <v>35</v>
      </c>
      <c r="G774" s="7" t="s">
        <v>39</v>
      </c>
      <c r="H774" s="66" t="s">
        <v>245</v>
      </c>
      <c r="I774" s="67">
        <v>3466.6666666666665</v>
      </c>
      <c r="J774" s="66" t="s">
        <v>246</v>
      </c>
    </row>
    <row r="775" spans="2:10" s="7" customFormat="1" x14ac:dyDescent="0.35">
      <c r="B775" s="7" t="s">
        <v>74</v>
      </c>
      <c r="C775" s="7" t="s">
        <v>75</v>
      </c>
      <c r="D775" s="7">
        <v>60</v>
      </c>
      <c r="E775" s="59">
        <v>550000</v>
      </c>
      <c r="F775" s="7" t="s">
        <v>35</v>
      </c>
      <c r="G775" s="7" t="s">
        <v>39</v>
      </c>
      <c r="H775" s="66" t="s">
        <v>245</v>
      </c>
      <c r="I775" s="67">
        <v>9166.6666666666661</v>
      </c>
      <c r="J775" s="66" t="s">
        <v>246</v>
      </c>
    </row>
    <row r="776" spans="2:10" s="7" customFormat="1" x14ac:dyDescent="0.35">
      <c r="B776" s="7" t="s">
        <v>76</v>
      </c>
      <c r="C776" s="7" t="s">
        <v>262</v>
      </c>
      <c r="D776" s="7">
        <v>55</v>
      </c>
      <c r="E776" s="59">
        <v>550000</v>
      </c>
      <c r="F776" s="7" t="s">
        <v>35</v>
      </c>
      <c r="G776" s="7" t="s">
        <v>39</v>
      </c>
      <c r="H776" s="66" t="s">
        <v>245</v>
      </c>
      <c r="I776" s="67">
        <v>10000</v>
      </c>
      <c r="J776" s="66" t="s">
        <v>246</v>
      </c>
    </row>
    <row r="777" spans="2:10" s="7" customFormat="1" x14ac:dyDescent="0.35">
      <c r="B777" s="7" t="s">
        <v>96</v>
      </c>
      <c r="C777" s="7" t="s">
        <v>255</v>
      </c>
      <c r="D777" s="7">
        <v>60</v>
      </c>
      <c r="E777" s="59">
        <v>550000</v>
      </c>
      <c r="F777" s="7" t="s">
        <v>35</v>
      </c>
      <c r="G777" s="7" t="s">
        <v>39</v>
      </c>
      <c r="H777" s="66" t="s">
        <v>245</v>
      </c>
      <c r="I777" s="67">
        <v>9166.6666666666661</v>
      </c>
      <c r="J777" s="66" t="s">
        <v>246</v>
      </c>
    </row>
    <row r="778" spans="2:10" s="7" customFormat="1" x14ac:dyDescent="0.35">
      <c r="B778" s="7" t="s">
        <v>37</v>
      </c>
      <c r="C778" s="7" t="s">
        <v>38</v>
      </c>
      <c r="D778" s="7">
        <v>108</v>
      </c>
      <c r="E778" s="59">
        <v>400000</v>
      </c>
      <c r="F778" s="7" t="s">
        <v>31</v>
      </c>
      <c r="G778" s="7" t="s">
        <v>269</v>
      </c>
      <c r="H778" s="66" t="s">
        <v>245</v>
      </c>
      <c r="I778" s="67">
        <v>3703.7037037037039</v>
      </c>
      <c r="J778" s="66" t="s">
        <v>246</v>
      </c>
    </row>
    <row r="779" spans="2:10" s="7" customFormat="1" x14ac:dyDescent="0.35">
      <c r="B779" s="7" t="s">
        <v>40</v>
      </c>
      <c r="C779" s="7" t="s">
        <v>41</v>
      </c>
      <c r="D779" s="7">
        <v>264</v>
      </c>
      <c r="E779" s="59">
        <v>650000</v>
      </c>
      <c r="F779" s="7" t="s">
        <v>31</v>
      </c>
      <c r="G779" s="7" t="s">
        <v>269</v>
      </c>
      <c r="H779" s="66" t="s">
        <v>245</v>
      </c>
      <c r="I779" s="67">
        <v>2462.121212121212</v>
      </c>
      <c r="J779" s="66" t="s">
        <v>246</v>
      </c>
    </row>
    <row r="780" spans="2:10" s="7" customFormat="1" x14ac:dyDescent="0.35">
      <c r="B780" s="7" t="s">
        <v>247</v>
      </c>
      <c r="C780" s="7" t="s">
        <v>248</v>
      </c>
      <c r="D780" s="7">
        <v>258</v>
      </c>
      <c r="E780" s="59">
        <v>650000</v>
      </c>
      <c r="F780" s="7" t="s">
        <v>31</v>
      </c>
      <c r="G780" s="7" t="s">
        <v>269</v>
      </c>
      <c r="H780" s="66" t="s">
        <v>245</v>
      </c>
      <c r="I780" s="67">
        <v>2519.3798449612405</v>
      </c>
      <c r="J780" s="66" t="s">
        <v>246</v>
      </c>
    </row>
    <row r="781" spans="2:10" s="7" customFormat="1" x14ac:dyDescent="0.35">
      <c r="B781" s="7" t="s">
        <v>251</v>
      </c>
      <c r="C781" s="7" t="s">
        <v>252</v>
      </c>
      <c r="D781" s="7">
        <v>143</v>
      </c>
      <c r="E781" s="59">
        <v>520000</v>
      </c>
      <c r="F781" s="7" t="s">
        <v>31</v>
      </c>
      <c r="G781" s="7" t="s">
        <v>269</v>
      </c>
      <c r="H781" s="66" t="s">
        <v>245</v>
      </c>
      <c r="I781" s="67">
        <v>3636.3636363636365</v>
      </c>
      <c r="J781" s="66" t="s">
        <v>246</v>
      </c>
    </row>
    <row r="782" spans="2:10" s="7" customFormat="1" x14ac:dyDescent="0.35">
      <c r="B782" s="7" t="s">
        <v>42</v>
      </c>
      <c r="C782" s="7" t="s">
        <v>43</v>
      </c>
      <c r="D782" s="7">
        <v>499</v>
      </c>
      <c r="E782" s="59">
        <v>1350000</v>
      </c>
      <c r="F782" s="7" t="s">
        <v>31</v>
      </c>
      <c r="G782" s="7" t="s">
        <v>269</v>
      </c>
      <c r="H782" s="66" t="s">
        <v>245</v>
      </c>
      <c r="I782" s="67">
        <v>2705.4108216432865</v>
      </c>
      <c r="J782" s="66" t="s">
        <v>246</v>
      </c>
    </row>
    <row r="783" spans="2:10" s="7" customFormat="1" x14ac:dyDescent="0.35">
      <c r="B783" s="7" t="s">
        <v>253</v>
      </c>
      <c r="C783" s="7" t="s">
        <v>70</v>
      </c>
      <c r="D783" s="7">
        <v>113</v>
      </c>
      <c r="E783" s="59">
        <v>480000</v>
      </c>
      <c r="F783" s="7" t="s">
        <v>31</v>
      </c>
      <c r="G783" s="7" t="s">
        <v>269</v>
      </c>
      <c r="H783" s="66" t="s">
        <v>245</v>
      </c>
      <c r="I783" s="67">
        <v>4247.787610619469</v>
      </c>
      <c r="J783" s="74" t="s">
        <v>246</v>
      </c>
    </row>
    <row r="784" spans="2:10" s="7" customFormat="1" x14ac:dyDescent="0.35">
      <c r="B784" s="7" t="s">
        <v>29</v>
      </c>
      <c r="C784" s="7" t="s">
        <v>30</v>
      </c>
      <c r="D784" s="7">
        <v>240</v>
      </c>
      <c r="E784" s="59">
        <v>650000</v>
      </c>
      <c r="F784" s="7" t="s">
        <v>31</v>
      </c>
      <c r="G784" s="7" t="s">
        <v>269</v>
      </c>
      <c r="H784" s="66" t="s">
        <v>245</v>
      </c>
      <c r="I784" s="67">
        <v>2708.3333333333335</v>
      </c>
      <c r="J784" s="74" t="s">
        <v>246</v>
      </c>
    </row>
    <row r="785" spans="2:10" s="7" customFormat="1" x14ac:dyDescent="0.35">
      <c r="B785" s="7" t="s">
        <v>45</v>
      </c>
      <c r="C785" s="7" t="s">
        <v>46</v>
      </c>
      <c r="D785" s="7">
        <v>240</v>
      </c>
      <c r="E785" s="59">
        <v>650000</v>
      </c>
      <c r="F785" s="7" t="s">
        <v>31</v>
      </c>
      <c r="G785" s="7" t="s">
        <v>269</v>
      </c>
      <c r="H785" s="66" t="s">
        <v>245</v>
      </c>
      <c r="I785" s="67">
        <v>2708.3333333333335</v>
      </c>
      <c r="J785" s="74" t="s">
        <v>246</v>
      </c>
    </row>
    <row r="786" spans="2:10" s="7" customFormat="1" x14ac:dyDescent="0.35">
      <c r="B786" s="7" t="s">
        <v>47</v>
      </c>
      <c r="C786" s="7" t="s">
        <v>48</v>
      </c>
      <c r="D786" s="7">
        <v>124</v>
      </c>
      <c r="E786" s="59">
        <v>500000</v>
      </c>
      <c r="F786" s="7" t="s">
        <v>31</v>
      </c>
      <c r="G786" s="7" t="s">
        <v>269</v>
      </c>
      <c r="H786" s="66" t="s">
        <v>245</v>
      </c>
      <c r="I786" s="67">
        <v>4032.2580645161293</v>
      </c>
      <c r="J786" s="74" t="s">
        <v>246</v>
      </c>
    </row>
    <row r="787" spans="2:10" s="7" customFormat="1" x14ac:dyDescent="0.35">
      <c r="B787" s="7" t="s">
        <v>95</v>
      </c>
      <c r="C787" s="7" t="s">
        <v>254</v>
      </c>
      <c r="D787" s="7">
        <v>208</v>
      </c>
      <c r="E787" s="59">
        <v>650000</v>
      </c>
      <c r="F787" s="7" t="s">
        <v>31</v>
      </c>
      <c r="G787" s="7" t="s">
        <v>269</v>
      </c>
      <c r="H787" s="66" t="s">
        <v>245</v>
      </c>
      <c r="I787" s="67">
        <v>3125</v>
      </c>
      <c r="J787" s="74" t="s">
        <v>246</v>
      </c>
    </row>
    <row r="788" spans="2:10" s="7" customFormat="1" x14ac:dyDescent="0.35">
      <c r="B788" s="7" t="s">
        <v>55</v>
      </c>
      <c r="C788" s="7" t="s">
        <v>41</v>
      </c>
      <c r="D788" s="7">
        <v>260</v>
      </c>
      <c r="E788" s="59">
        <v>650000</v>
      </c>
      <c r="F788" s="7" t="s">
        <v>31</v>
      </c>
      <c r="G788" s="7" t="s">
        <v>269</v>
      </c>
      <c r="H788" s="66" t="s">
        <v>245</v>
      </c>
      <c r="I788" s="67">
        <v>2500</v>
      </c>
      <c r="J788" s="74" t="s">
        <v>246</v>
      </c>
    </row>
    <row r="789" spans="2:10" s="7" customFormat="1" x14ac:dyDescent="0.35">
      <c r="B789" s="7" t="s">
        <v>58</v>
      </c>
      <c r="C789" s="7" t="s">
        <v>59</v>
      </c>
      <c r="D789" s="7">
        <v>98</v>
      </c>
      <c r="E789" s="59">
        <v>450000</v>
      </c>
      <c r="F789" s="7" t="s">
        <v>31</v>
      </c>
      <c r="G789" s="7" t="s">
        <v>269</v>
      </c>
      <c r="H789" s="66" t="s">
        <v>245</v>
      </c>
      <c r="I789" s="67">
        <v>4591.8367346938776</v>
      </c>
      <c r="J789" s="74" t="s">
        <v>246</v>
      </c>
    </row>
    <row r="790" spans="2:10" s="7" customFormat="1" x14ac:dyDescent="0.35">
      <c r="B790" s="7" t="s">
        <v>97</v>
      </c>
      <c r="C790" s="7" t="s">
        <v>255</v>
      </c>
      <c r="D790" s="7">
        <v>125</v>
      </c>
      <c r="E790" s="59">
        <v>500000</v>
      </c>
      <c r="F790" s="7" t="s">
        <v>31</v>
      </c>
      <c r="G790" s="7" t="s">
        <v>269</v>
      </c>
      <c r="H790" s="66" t="s">
        <v>245</v>
      </c>
      <c r="I790" s="67">
        <v>4000</v>
      </c>
      <c r="J790" s="74" t="s">
        <v>246</v>
      </c>
    </row>
    <row r="791" spans="2:10" s="7" customFormat="1" x14ac:dyDescent="0.35">
      <c r="B791" s="7" t="s">
        <v>60</v>
      </c>
      <c r="C791" s="7" t="s">
        <v>61</v>
      </c>
      <c r="D791" s="7">
        <v>128</v>
      </c>
      <c r="E791" s="59">
        <v>500000</v>
      </c>
      <c r="F791" s="7" t="s">
        <v>31</v>
      </c>
      <c r="G791" s="7" t="s">
        <v>269</v>
      </c>
      <c r="H791" s="66" t="s">
        <v>245</v>
      </c>
      <c r="I791" s="67">
        <v>3906.25</v>
      </c>
      <c r="J791" s="74" t="s">
        <v>246</v>
      </c>
    </row>
    <row r="792" spans="2:10" s="7" customFormat="1" x14ac:dyDescent="0.35">
      <c r="B792" s="7" t="s">
        <v>98</v>
      </c>
      <c r="C792" s="7" t="s">
        <v>38</v>
      </c>
      <c r="D792" s="7">
        <v>110</v>
      </c>
      <c r="E792" s="59">
        <v>400000</v>
      </c>
      <c r="F792" s="7" t="s">
        <v>31</v>
      </c>
      <c r="G792" s="7" t="s">
        <v>269</v>
      </c>
      <c r="H792" s="66" t="s">
        <v>245</v>
      </c>
      <c r="I792" s="67">
        <v>3636.3636363636365</v>
      </c>
      <c r="J792" s="74" t="s">
        <v>246</v>
      </c>
    </row>
    <row r="793" spans="2:10" s="7" customFormat="1" x14ac:dyDescent="0.35">
      <c r="B793" s="7" t="s">
        <v>65</v>
      </c>
      <c r="C793" s="7" t="s">
        <v>66</v>
      </c>
      <c r="D793" s="7">
        <v>110</v>
      </c>
      <c r="E793" s="59">
        <v>450000</v>
      </c>
      <c r="F793" s="7" t="s">
        <v>31</v>
      </c>
      <c r="G793" s="7" t="s">
        <v>269</v>
      </c>
      <c r="H793" s="66" t="s">
        <v>245</v>
      </c>
      <c r="I793" s="67">
        <v>4090.909090909091</v>
      </c>
      <c r="J793" s="74" t="s">
        <v>246</v>
      </c>
    </row>
    <row r="794" spans="2:10" s="7" customFormat="1" x14ac:dyDescent="0.35">
      <c r="B794" s="7" t="s">
        <v>67</v>
      </c>
      <c r="C794" s="7" t="s">
        <v>38</v>
      </c>
      <c r="D794" s="7">
        <v>103</v>
      </c>
      <c r="E794" s="59">
        <v>450000</v>
      </c>
      <c r="F794" s="7" t="s">
        <v>31</v>
      </c>
      <c r="G794" s="7" t="s">
        <v>269</v>
      </c>
      <c r="H794" s="66" t="s">
        <v>245</v>
      </c>
      <c r="I794" s="67">
        <v>4368.9320388349515</v>
      </c>
      <c r="J794" s="74" t="s">
        <v>246</v>
      </c>
    </row>
    <row r="795" spans="2:10" s="7" customFormat="1" x14ac:dyDescent="0.35">
      <c r="B795" s="7" t="s">
        <v>68</v>
      </c>
      <c r="C795" s="7" t="s">
        <v>69</v>
      </c>
      <c r="D795" s="7">
        <v>131</v>
      </c>
      <c r="E795" s="59">
        <v>550000</v>
      </c>
      <c r="F795" s="7" t="s">
        <v>31</v>
      </c>
      <c r="G795" s="7" t="s">
        <v>269</v>
      </c>
      <c r="H795" s="66" t="s">
        <v>245</v>
      </c>
      <c r="I795" s="67">
        <v>4198.4732824427483</v>
      </c>
      <c r="J795" s="74" t="s">
        <v>246</v>
      </c>
    </row>
    <row r="796" spans="2:10" s="7" customFormat="1" x14ac:dyDescent="0.35">
      <c r="B796" s="7" t="s">
        <v>257</v>
      </c>
      <c r="C796" s="7" t="s">
        <v>66</v>
      </c>
      <c r="D796" s="7">
        <v>118</v>
      </c>
      <c r="E796" s="59">
        <v>450000</v>
      </c>
      <c r="F796" s="7" t="s">
        <v>31</v>
      </c>
      <c r="G796" s="7" t="s">
        <v>269</v>
      </c>
      <c r="H796" s="66" t="s">
        <v>245</v>
      </c>
      <c r="I796" s="67">
        <v>3813.5593220338983</v>
      </c>
      <c r="J796" s="74" t="s">
        <v>246</v>
      </c>
    </row>
    <row r="797" spans="2:10" s="7" customFormat="1" x14ac:dyDescent="0.35">
      <c r="B797" s="7" t="s">
        <v>71</v>
      </c>
      <c r="C797" s="7" t="s">
        <v>43</v>
      </c>
      <c r="D797" s="7">
        <v>549</v>
      </c>
      <c r="E797" s="59">
        <v>1350000</v>
      </c>
      <c r="F797" s="7" t="s">
        <v>31</v>
      </c>
      <c r="G797" s="7" t="s">
        <v>269</v>
      </c>
      <c r="H797" s="66" t="s">
        <v>245</v>
      </c>
      <c r="I797" s="67">
        <v>2459.0163934426228</v>
      </c>
      <c r="J797" s="74" t="s">
        <v>246</v>
      </c>
    </row>
    <row r="798" spans="2:10" s="7" customFormat="1" x14ac:dyDescent="0.35">
      <c r="B798" s="7" t="s">
        <v>258</v>
      </c>
      <c r="C798" s="7" t="s">
        <v>259</v>
      </c>
      <c r="D798" s="7">
        <v>144</v>
      </c>
      <c r="E798" s="59">
        <v>500000</v>
      </c>
      <c r="F798" s="7" t="s">
        <v>31</v>
      </c>
      <c r="G798" s="7" t="s">
        <v>269</v>
      </c>
      <c r="H798" s="66" t="s">
        <v>245</v>
      </c>
      <c r="I798" s="67">
        <v>3472.2222222222222</v>
      </c>
      <c r="J798" s="74" t="s">
        <v>246</v>
      </c>
    </row>
    <row r="799" spans="2:10" s="7" customFormat="1" x14ac:dyDescent="0.35">
      <c r="B799" s="7" t="s">
        <v>72</v>
      </c>
      <c r="C799" s="7" t="s">
        <v>73</v>
      </c>
      <c r="D799" s="7">
        <v>165</v>
      </c>
      <c r="E799" s="59">
        <v>550000</v>
      </c>
      <c r="F799" s="7" t="s">
        <v>31</v>
      </c>
      <c r="G799" s="7" t="s">
        <v>269</v>
      </c>
      <c r="H799" s="66" t="s">
        <v>245</v>
      </c>
      <c r="I799" s="67">
        <v>3333.3333333333335</v>
      </c>
      <c r="J799" s="74" t="s">
        <v>246</v>
      </c>
    </row>
    <row r="800" spans="2:10" s="7" customFormat="1" x14ac:dyDescent="0.35">
      <c r="B800" s="7" t="s">
        <v>260</v>
      </c>
      <c r="C800" s="7" t="s">
        <v>261</v>
      </c>
      <c r="D800" s="7">
        <v>162</v>
      </c>
      <c r="E800" s="59">
        <v>550000</v>
      </c>
      <c r="F800" s="7" t="s">
        <v>31</v>
      </c>
      <c r="G800" s="7" t="s">
        <v>269</v>
      </c>
      <c r="H800" s="66" t="s">
        <v>245</v>
      </c>
      <c r="I800" s="67">
        <v>3395.0617283950619</v>
      </c>
      <c r="J800" s="74" t="s">
        <v>246</v>
      </c>
    </row>
    <row r="801" spans="2:10" s="7" customFormat="1" x14ac:dyDescent="0.35">
      <c r="B801" s="7" t="s">
        <v>96</v>
      </c>
      <c r="C801" s="7" t="s">
        <v>255</v>
      </c>
      <c r="D801" s="7">
        <v>122</v>
      </c>
      <c r="E801" s="59">
        <v>500000</v>
      </c>
      <c r="F801" s="7" t="s">
        <v>31</v>
      </c>
      <c r="G801" s="7" t="s">
        <v>269</v>
      </c>
      <c r="H801" s="66" t="s">
        <v>245</v>
      </c>
      <c r="I801" s="67">
        <v>4098.3606557377052</v>
      </c>
      <c r="J801" s="74" t="s">
        <v>246</v>
      </c>
    </row>
    <row r="802" spans="2:10" s="7" customFormat="1" x14ac:dyDescent="0.35">
      <c r="B802" s="7" t="s">
        <v>270</v>
      </c>
      <c r="C802" s="7" t="s">
        <v>271</v>
      </c>
      <c r="E802" s="59">
        <v>550000</v>
      </c>
      <c r="F802" s="7" t="s">
        <v>31</v>
      </c>
      <c r="G802" s="7" t="s">
        <v>269</v>
      </c>
      <c r="H802" s="66" t="s">
        <v>245</v>
      </c>
      <c r="I802" s="67" t="e">
        <v>#DIV/0!</v>
      </c>
      <c r="J802" s="66" t="s">
        <v>246</v>
      </c>
    </row>
    <row r="803" spans="2:10" s="7" customFormat="1" x14ac:dyDescent="0.35">
      <c r="B803" s="7" t="s">
        <v>263</v>
      </c>
      <c r="C803" s="7" t="s">
        <v>264</v>
      </c>
      <c r="D803" s="7">
        <v>297</v>
      </c>
      <c r="E803" s="59">
        <v>800000</v>
      </c>
      <c r="F803" s="7" t="s">
        <v>31</v>
      </c>
      <c r="G803" s="7" t="s">
        <v>269</v>
      </c>
      <c r="H803" s="66" t="s">
        <v>245</v>
      </c>
      <c r="I803" s="67">
        <v>2693.6026936026938</v>
      </c>
      <c r="J803" s="66" t="s">
        <v>246</v>
      </c>
    </row>
    <row r="804" spans="2:10" s="7" customFormat="1" x14ac:dyDescent="0.35">
      <c r="B804" s="7" t="s">
        <v>37</v>
      </c>
      <c r="C804" s="7" t="s">
        <v>38</v>
      </c>
      <c r="D804" s="7">
        <v>134</v>
      </c>
      <c r="E804" s="59">
        <v>450000</v>
      </c>
      <c r="F804" s="7" t="s">
        <v>36</v>
      </c>
      <c r="G804" s="7" t="s">
        <v>269</v>
      </c>
      <c r="H804" s="66" t="s">
        <v>245</v>
      </c>
      <c r="I804" s="67">
        <v>3358.2089552238808</v>
      </c>
      <c r="J804" s="66" t="s">
        <v>246</v>
      </c>
    </row>
    <row r="805" spans="2:10" s="7" customFormat="1" x14ac:dyDescent="0.35">
      <c r="B805" s="7" t="s">
        <v>40</v>
      </c>
      <c r="C805" s="7" t="s">
        <v>41</v>
      </c>
      <c r="D805" s="7">
        <v>123</v>
      </c>
      <c r="E805" s="59">
        <v>650000</v>
      </c>
      <c r="F805" s="7" t="s">
        <v>36</v>
      </c>
      <c r="G805" s="7" t="s">
        <v>269</v>
      </c>
      <c r="H805" s="66" t="s">
        <v>245</v>
      </c>
      <c r="I805" s="67">
        <v>5284.5528455284557</v>
      </c>
      <c r="J805" s="66" t="s">
        <v>246</v>
      </c>
    </row>
    <row r="806" spans="2:10" s="7" customFormat="1" x14ac:dyDescent="0.35">
      <c r="B806" s="7" t="s">
        <v>247</v>
      </c>
      <c r="C806" s="7" t="s">
        <v>248</v>
      </c>
      <c r="D806" s="7">
        <v>118</v>
      </c>
      <c r="E806" s="59">
        <v>650000</v>
      </c>
      <c r="F806" s="7" t="s">
        <v>36</v>
      </c>
      <c r="G806" s="7" t="s">
        <v>269</v>
      </c>
      <c r="H806" s="66" t="s">
        <v>245</v>
      </c>
      <c r="I806" s="67">
        <v>5508.4745762711864</v>
      </c>
      <c r="J806" s="66" t="s">
        <v>246</v>
      </c>
    </row>
    <row r="807" spans="2:10" s="7" customFormat="1" x14ac:dyDescent="0.35">
      <c r="B807" s="7" t="s">
        <v>251</v>
      </c>
      <c r="C807" s="7" t="s">
        <v>252</v>
      </c>
      <c r="D807" s="7">
        <v>103</v>
      </c>
      <c r="E807" s="59">
        <v>450000</v>
      </c>
      <c r="F807" s="7" t="s">
        <v>36</v>
      </c>
      <c r="G807" s="7" t="s">
        <v>269</v>
      </c>
      <c r="H807" s="66" t="s">
        <v>245</v>
      </c>
      <c r="I807" s="67">
        <v>4368.9320388349515</v>
      </c>
      <c r="J807" s="66" t="s">
        <v>246</v>
      </c>
    </row>
    <row r="808" spans="2:10" s="7" customFormat="1" x14ac:dyDescent="0.35">
      <c r="B808" s="7" t="s">
        <v>42</v>
      </c>
      <c r="C808" s="7" t="s">
        <v>43</v>
      </c>
      <c r="D808" s="7">
        <v>358</v>
      </c>
      <c r="E808" s="59">
        <v>1150000</v>
      </c>
      <c r="F808" s="7" t="s">
        <v>36</v>
      </c>
      <c r="G808" s="7" t="s">
        <v>269</v>
      </c>
      <c r="H808" s="66" t="s">
        <v>245</v>
      </c>
      <c r="I808" s="67">
        <v>3212.2905027932961</v>
      </c>
      <c r="J808" s="66" t="s">
        <v>246</v>
      </c>
    </row>
    <row r="809" spans="2:10" s="7" customFormat="1" x14ac:dyDescent="0.35">
      <c r="B809" s="7" t="s">
        <v>253</v>
      </c>
      <c r="C809" s="7" t="s">
        <v>70</v>
      </c>
      <c r="D809" s="7">
        <v>141</v>
      </c>
      <c r="E809" s="59">
        <v>480000</v>
      </c>
      <c r="F809" s="7" t="s">
        <v>36</v>
      </c>
      <c r="G809" s="7" t="s">
        <v>269</v>
      </c>
      <c r="H809" s="66" t="s">
        <v>245</v>
      </c>
      <c r="I809" s="67">
        <v>3404.255319148936</v>
      </c>
      <c r="J809" s="66" t="s">
        <v>246</v>
      </c>
    </row>
    <row r="810" spans="2:10" s="7" customFormat="1" x14ac:dyDescent="0.35">
      <c r="B810" s="7" t="s">
        <v>45</v>
      </c>
      <c r="C810" s="7" t="s">
        <v>46</v>
      </c>
      <c r="D810" s="7">
        <v>100</v>
      </c>
      <c r="E810" s="59">
        <v>600000</v>
      </c>
      <c r="F810" s="7" t="s">
        <v>36</v>
      </c>
      <c r="G810" s="7" t="s">
        <v>269</v>
      </c>
      <c r="H810" s="66" t="s">
        <v>245</v>
      </c>
      <c r="I810" s="67">
        <v>6000</v>
      </c>
      <c r="J810" s="66" t="s">
        <v>246</v>
      </c>
    </row>
    <row r="811" spans="2:10" s="7" customFormat="1" x14ac:dyDescent="0.35">
      <c r="B811" s="7" t="s">
        <v>47</v>
      </c>
      <c r="C811" s="7" t="s">
        <v>48</v>
      </c>
      <c r="D811" s="7">
        <v>85</v>
      </c>
      <c r="E811" s="59">
        <v>450000</v>
      </c>
      <c r="F811" s="7" t="s">
        <v>36</v>
      </c>
      <c r="G811" s="7" t="s">
        <v>269</v>
      </c>
      <c r="H811" s="66" t="s">
        <v>245</v>
      </c>
      <c r="I811" s="67">
        <v>5294.1176470588234</v>
      </c>
      <c r="J811" s="66" t="s">
        <v>246</v>
      </c>
    </row>
    <row r="812" spans="2:10" s="7" customFormat="1" x14ac:dyDescent="0.35">
      <c r="B812" s="7" t="s">
        <v>95</v>
      </c>
      <c r="C812" s="7" t="s">
        <v>254</v>
      </c>
      <c r="D812" s="7">
        <v>60</v>
      </c>
      <c r="E812" s="59">
        <v>500000</v>
      </c>
      <c r="F812" s="7" t="s">
        <v>36</v>
      </c>
      <c r="G812" s="7" t="s">
        <v>269</v>
      </c>
      <c r="H812" s="66" t="s">
        <v>245</v>
      </c>
      <c r="I812" s="67">
        <v>8333.3333333333339</v>
      </c>
      <c r="J812" s="66" t="s">
        <v>246</v>
      </c>
    </row>
    <row r="813" spans="2:10" s="7" customFormat="1" x14ac:dyDescent="0.35">
      <c r="B813" s="7" t="s">
        <v>55</v>
      </c>
      <c r="C813" s="7" t="s">
        <v>41</v>
      </c>
      <c r="D813" s="7">
        <v>120</v>
      </c>
      <c r="E813" s="59">
        <v>650000</v>
      </c>
      <c r="F813" s="7" t="s">
        <v>36</v>
      </c>
      <c r="G813" s="7" t="s">
        <v>269</v>
      </c>
      <c r="H813" s="66" t="s">
        <v>245</v>
      </c>
      <c r="I813" s="67">
        <v>5416.666666666667</v>
      </c>
      <c r="J813" s="66" t="s">
        <v>246</v>
      </c>
    </row>
    <row r="814" spans="2:10" s="7" customFormat="1" x14ac:dyDescent="0.35">
      <c r="B814" s="7" t="s">
        <v>58</v>
      </c>
      <c r="C814" s="7" t="s">
        <v>59</v>
      </c>
      <c r="D814" s="7">
        <v>125</v>
      </c>
      <c r="E814" s="59">
        <v>450000</v>
      </c>
      <c r="F814" s="7" t="s">
        <v>36</v>
      </c>
      <c r="G814" s="7" t="s">
        <v>269</v>
      </c>
      <c r="H814" s="66" t="s">
        <v>245</v>
      </c>
      <c r="I814" s="67">
        <v>3600</v>
      </c>
      <c r="J814" s="66" t="s">
        <v>246</v>
      </c>
    </row>
    <row r="815" spans="2:10" s="7" customFormat="1" x14ac:dyDescent="0.35">
      <c r="B815" s="7" t="s">
        <v>97</v>
      </c>
      <c r="C815" s="7" t="s">
        <v>255</v>
      </c>
      <c r="D815" s="7">
        <v>90</v>
      </c>
      <c r="E815" s="59">
        <v>450000</v>
      </c>
      <c r="F815" s="7" t="s">
        <v>36</v>
      </c>
      <c r="G815" s="7" t="s">
        <v>269</v>
      </c>
      <c r="H815" s="66" t="s">
        <v>245</v>
      </c>
      <c r="I815" s="67">
        <v>5000</v>
      </c>
      <c r="J815" s="66" t="s">
        <v>246</v>
      </c>
    </row>
    <row r="816" spans="2:10" s="7" customFormat="1" x14ac:dyDescent="0.35">
      <c r="B816" s="7" t="s">
        <v>60</v>
      </c>
      <c r="C816" s="7" t="s">
        <v>61</v>
      </c>
      <c r="D816" s="7">
        <v>80</v>
      </c>
      <c r="E816" s="59">
        <v>450000</v>
      </c>
      <c r="F816" s="7" t="s">
        <v>36</v>
      </c>
      <c r="G816" s="7" t="s">
        <v>269</v>
      </c>
      <c r="H816" s="66" t="s">
        <v>245</v>
      </c>
      <c r="I816" s="67">
        <v>5625</v>
      </c>
      <c r="J816" s="66" t="s">
        <v>246</v>
      </c>
    </row>
    <row r="817" spans="2:10" s="7" customFormat="1" x14ac:dyDescent="0.35">
      <c r="B817" s="7" t="s">
        <v>98</v>
      </c>
      <c r="C817" s="7" t="s">
        <v>38</v>
      </c>
      <c r="D817" s="7">
        <v>133</v>
      </c>
      <c r="E817" s="59">
        <v>450000</v>
      </c>
      <c r="F817" s="7" t="s">
        <v>36</v>
      </c>
      <c r="G817" s="7" t="s">
        <v>269</v>
      </c>
      <c r="H817" s="66" t="s">
        <v>245</v>
      </c>
      <c r="I817" s="67">
        <v>3383.4586466165415</v>
      </c>
      <c r="J817" s="66" t="s">
        <v>246</v>
      </c>
    </row>
    <row r="818" spans="2:10" s="7" customFormat="1" x14ac:dyDescent="0.35">
      <c r="B818" s="7" t="s">
        <v>65</v>
      </c>
      <c r="C818" s="7" t="s">
        <v>66</v>
      </c>
      <c r="D818" s="7">
        <v>140</v>
      </c>
      <c r="E818" s="59">
        <v>450000</v>
      </c>
      <c r="F818" s="7" t="s">
        <v>36</v>
      </c>
      <c r="G818" s="7" t="s">
        <v>269</v>
      </c>
      <c r="H818" s="66" t="s">
        <v>245</v>
      </c>
      <c r="I818" s="67">
        <v>3214.2857142857142</v>
      </c>
      <c r="J818" s="66" t="s">
        <v>246</v>
      </c>
    </row>
    <row r="819" spans="2:10" s="7" customFormat="1" x14ac:dyDescent="0.35">
      <c r="B819" s="7" t="s">
        <v>67</v>
      </c>
      <c r="C819" s="7" t="s">
        <v>38</v>
      </c>
      <c r="D819" s="7">
        <v>130</v>
      </c>
      <c r="E819" s="59">
        <v>450000</v>
      </c>
      <c r="F819" s="7" t="s">
        <v>36</v>
      </c>
      <c r="G819" s="7" t="s">
        <v>269</v>
      </c>
      <c r="H819" s="66" t="s">
        <v>245</v>
      </c>
      <c r="I819" s="67">
        <v>3461.5384615384614</v>
      </c>
      <c r="J819" s="66" t="s">
        <v>246</v>
      </c>
    </row>
    <row r="820" spans="2:10" s="7" customFormat="1" x14ac:dyDescent="0.35">
      <c r="B820" s="7" t="s">
        <v>257</v>
      </c>
      <c r="C820" s="7" t="s">
        <v>66</v>
      </c>
      <c r="D820" s="7">
        <v>144</v>
      </c>
      <c r="E820" s="59">
        <v>450000</v>
      </c>
      <c r="F820" s="7" t="s">
        <v>36</v>
      </c>
      <c r="G820" s="7" t="s">
        <v>269</v>
      </c>
      <c r="H820" s="66" t="s">
        <v>245</v>
      </c>
      <c r="I820" s="67">
        <v>3125</v>
      </c>
      <c r="J820" s="66" t="s">
        <v>246</v>
      </c>
    </row>
    <row r="821" spans="2:10" s="7" customFormat="1" x14ac:dyDescent="0.35">
      <c r="B821" s="7" t="s">
        <v>71</v>
      </c>
      <c r="C821" s="7" t="s">
        <v>43</v>
      </c>
      <c r="D821" s="7">
        <v>408</v>
      </c>
      <c r="E821" s="59">
        <v>1150000</v>
      </c>
      <c r="F821" s="7" t="s">
        <v>36</v>
      </c>
      <c r="G821" s="7" t="s">
        <v>269</v>
      </c>
      <c r="H821" s="66" t="s">
        <v>245</v>
      </c>
      <c r="I821" s="67">
        <v>2818.627450980392</v>
      </c>
      <c r="J821" s="66" t="s">
        <v>246</v>
      </c>
    </row>
    <row r="822" spans="2:10" s="7" customFormat="1" x14ac:dyDescent="0.35">
      <c r="B822" s="7" t="s">
        <v>72</v>
      </c>
      <c r="C822" s="7" t="s">
        <v>73</v>
      </c>
      <c r="D822" s="7">
        <v>310</v>
      </c>
      <c r="E822" s="59">
        <v>700000</v>
      </c>
      <c r="F822" s="7" t="s">
        <v>36</v>
      </c>
      <c r="G822" s="7" t="s">
        <v>269</v>
      </c>
      <c r="H822" s="66" t="s">
        <v>245</v>
      </c>
      <c r="I822" s="67">
        <v>2258.0645161290322</v>
      </c>
      <c r="J822" s="66" t="s">
        <v>246</v>
      </c>
    </row>
    <row r="823" spans="2:10" s="7" customFormat="1" x14ac:dyDescent="0.35">
      <c r="B823" s="7" t="s">
        <v>260</v>
      </c>
      <c r="C823" s="7" t="s">
        <v>261</v>
      </c>
      <c r="D823" s="7">
        <v>305</v>
      </c>
      <c r="E823" s="59">
        <v>650000</v>
      </c>
      <c r="F823" s="7" t="s">
        <v>36</v>
      </c>
      <c r="G823" s="7" t="s">
        <v>269</v>
      </c>
      <c r="H823" s="66" t="s">
        <v>245</v>
      </c>
      <c r="I823" s="67">
        <v>2131.1475409836066</v>
      </c>
      <c r="J823" s="66" t="s">
        <v>246</v>
      </c>
    </row>
    <row r="824" spans="2:10" s="7" customFormat="1" x14ac:dyDescent="0.35">
      <c r="B824" s="7" t="s">
        <v>96</v>
      </c>
      <c r="C824" s="7" t="s">
        <v>255</v>
      </c>
      <c r="D824" s="7">
        <v>95</v>
      </c>
      <c r="E824" s="59">
        <v>500000</v>
      </c>
      <c r="F824" s="7" t="s">
        <v>36</v>
      </c>
      <c r="G824" s="7" t="s">
        <v>269</v>
      </c>
      <c r="H824" s="66" t="s">
        <v>245</v>
      </c>
      <c r="I824" s="67">
        <v>5263.1578947368425</v>
      </c>
      <c r="J824" s="66" t="s">
        <v>246</v>
      </c>
    </row>
    <row r="825" spans="2:10" s="7" customFormat="1" x14ac:dyDescent="0.35">
      <c r="B825" s="7" t="s">
        <v>270</v>
      </c>
      <c r="C825" s="7" t="s">
        <v>271</v>
      </c>
      <c r="E825" s="59">
        <v>700000</v>
      </c>
      <c r="F825" s="7" t="s">
        <v>36</v>
      </c>
      <c r="G825" s="7" t="s">
        <v>269</v>
      </c>
      <c r="H825" s="66" t="s">
        <v>245</v>
      </c>
      <c r="I825" s="67" t="e">
        <v>#DIV/0!</v>
      </c>
      <c r="J825" s="66" t="s">
        <v>246</v>
      </c>
    </row>
    <row r="826" spans="2:10" s="7" customFormat="1" x14ac:dyDescent="0.35">
      <c r="B826" s="7" t="s">
        <v>263</v>
      </c>
      <c r="C826" s="7" t="s">
        <v>264</v>
      </c>
      <c r="D826" s="7">
        <v>160</v>
      </c>
      <c r="E826" s="59">
        <v>600000</v>
      </c>
      <c r="F826" s="7" t="s">
        <v>36</v>
      </c>
      <c r="G826" s="7" t="s">
        <v>269</v>
      </c>
      <c r="H826" s="66" t="s">
        <v>245</v>
      </c>
      <c r="I826" s="67">
        <v>3750</v>
      </c>
      <c r="J826" s="66" t="s">
        <v>246</v>
      </c>
    </row>
    <row r="827" spans="2:10" s="7" customFormat="1" x14ac:dyDescent="0.35">
      <c r="B827" s="7" t="s">
        <v>37</v>
      </c>
      <c r="C827" s="7" t="s">
        <v>38</v>
      </c>
      <c r="D827" s="7">
        <v>50</v>
      </c>
      <c r="E827" s="59">
        <v>400000</v>
      </c>
      <c r="F827" s="7" t="s">
        <v>35</v>
      </c>
      <c r="G827" s="7" t="s">
        <v>269</v>
      </c>
      <c r="H827" s="66" t="s">
        <v>245</v>
      </c>
      <c r="I827" s="67">
        <v>8000</v>
      </c>
      <c r="J827" s="66" t="s">
        <v>246</v>
      </c>
    </row>
    <row r="828" spans="2:10" s="7" customFormat="1" x14ac:dyDescent="0.35">
      <c r="B828" s="7" t="s">
        <v>40</v>
      </c>
      <c r="C828" s="7" t="s">
        <v>41</v>
      </c>
      <c r="D828" s="7">
        <v>211</v>
      </c>
      <c r="E828" s="59">
        <v>650000</v>
      </c>
      <c r="F828" s="7" t="s">
        <v>35</v>
      </c>
      <c r="G828" s="7" t="s">
        <v>269</v>
      </c>
      <c r="H828" s="66" t="s">
        <v>245</v>
      </c>
      <c r="I828" s="67">
        <v>3080.5687203791467</v>
      </c>
      <c r="J828" s="66" t="s">
        <v>246</v>
      </c>
    </row>
    <row r="829" spans="2:10" s="7" customFormat="1" x14ac:dyDescent="0.35">
      <c r="B829" s="7" t="s">
        <v>247</v>
      </c>
      <c r="C829" s="7" t="s">
        <v>248</v>
      </c>
      <c r="D829" s="7">
        <v>206</v>
      </c>
      <c r="E829" s="59">
        <v>650000</v>
      </c>
      <c r="F829" s="7" t="s">
        <v>35</v>
      </c>
      <c r="G829" s="7" t="s">
        <v>269</v>
      </c>
      <c r="H829" s="66" t="s">
        <v>245</v>
      </c>
      <c r="I829" s="67">
        <v>3155.3398058252428</v>
      </c>
      <c r="J829" s="66" t="s">
        <v>246</v>
      </c>
    </row>
    <row r="830" spans="2:10" s="7" customFormat="1" x14ac:dyDescent="0.35">
      <c r="B830" s="7" t="s">
        <v>251</v>
      </c>
      <c r="C830" s="7" t="s">
        <v>252</v>
      </c>
      <c r="D830" s="7">
        <v>80</v>
      </c>
      <c r="E830" s="59">
        <v>400000</v>
      </c>
      <c r="F830" s="7" t="s">
        <v>35</v>
      </c>
      <c r="G830" s="7" t="s">
        <v>269</v>
      </c>
      <c r="H830" s="66" t="s">
        <v>245</v>
      </c>
      <c r="I830" s="67">
        <v>5000</v>
      </c>
      <c r="J830" s="66" t="s">
        <v>246</v>
      </c>
    </row>
    <row r="831" spans="2:10" s="7" customFormat="1" x14ac:dyDescent="0.35">
      <c r="B831" s="7" t="s">
        <v>42</v>
      </c>
      <c r="C831" s="7" t="s">
        <v>43</v>
      </c>
      <c r="D831" s="7">
        <v>450</v>
      </c>
      <c r="E831" s="59">
        <v>1350000</v>
      </c>
      <c r="F831" s="7" t="s">
        <v>35</v>
      </c>
      <c r="G831" s="7" t="s">
        <v>269</v>
      </c>
      <c r="H831" s="66" t="s">
        <v>245</v>
      </c>
      <c r="I831" s="67">
        <v>3000</v>
      </c>
      <c r="J831" s="66" t="s">
        <v>246</v>
      </c>
    </row>
    <row r="832" spans="2:10" s="7" customFormat="1" x14ac:dyDescent="0.35">
      <c r="B832" s="7" t="s">
        <v>253</v>
      </c>
      <c r="C832" s="7" t="s">
        <v>70</v>
      </c>
      <c r="D832" s="7">
        <v>50</v>
      </c>
      <c r="E832" s="59">
        <v>400000</v>
      </c>
      <c r="F832" s="7" t="s">
        <v>35</v>
      </c>
      <c r="G832" s="7" t="s">
        <v>269</v>
      </c>
      <c r="H832" s="66" t="s">
        <v>245</v>
      </c>
      <c r="I832" s="67">
        <v>8000</v>
      </c>
      <c r="J832" s="66" t="s">
        <v>246</v>
      </c>
    </row>
    <row r="833" spans="2:10" s="7" customFormat="1" x14ac:dyDescent="0.35">
      <c r="B833" s="7" t="s">
        <v>29</v>
      </c>
      <c r="C833" s="7" t="s">
        <v>30</v>
      </c>
      <c r="D833" s="7">
        <v>100</v>
      </c>
      <c r="E833" s="59">
        <v>550000</v>
      </c>
      <c r="F833" s="7" t="s">
        <v>35</v>
      </c>
      <c r="G833" s="7" t="s">
        <v>269</v>
      </c>
      <c r="H833" s="66" t="s">
        <v>245</v>
      </c>
      <c r="I833" s="67">
        <v>5500</v>
      </c>
      <c r="J833" s="66" t="s">
        <v>246</v>
      </c>
    </row>
    <row r="834" spans="2:10" s="7" customFormat="1" x14ac:dyDescent="0.35">
      <c r="B834" s="7" t="s">
        <v>45</v>
      </c>
      <c r="C834" s="7" t="s">
        <v>46</v>
      </c>
      <c r="D834" s="7">
        <v>190</v>
      </c>
      <c r="E834" s="59">
        <v>650000</v>
      </c>
      <c r="F834" s="7" t="s">
        <v>35</v>
      </c>
      <c r="G834" s="7" t="s">
        <v>269</v>
      </c>
      <c r="H834" s="66" t="s">
        <v>245</v>
      </c>
      <c r="I834" s="67">
        <v>3421.0526315789475</v>
      </c>
      <c r="J834" s="66" t="s">
        <v>246</v>
      </c>
    </row>
    <row r="835" spans="2:10" s="7" customFormat="1" x14ac:dyDescent="0.35">
      <c r="B835" s="7" t="s">
        <v>47</v>
      </c>
      <c r="C835" s="7" t="s">
        <v>48</v>
      </c>
      <c r="D835" s="7">
        <v>75</v>
      </c>
      <c r="E835" s="59">
        <v>400000</v>
      </c>
      <c r="F835" s="7" t="s">
        <v>35</v>
      </c>
      <c r="G835" s="7" t="s">
        <v>269</v>
      </c>
      <c r="H835" s="66" t="s">
        <v>245</v>
      </c>
      <c r="I835" s="67">
        <v>5333.333333333333</v>
      </c>
      <c r="J835" s="66" t="s">
        <v>246</v>
      </c>
    </row>
    <row r="836" spans="2:10" s="7" customFormat="1" x14ac:dyDescent="0.35">
      <c r="B836" s="7" t="s">
        <v>95</v>
      </c>
      <c r="C836" s="7" t="s">
        <v>254</v>
      </c>
      <c r="D836" s="7">
        <v>160</v>
      </c>
      <c r="E836" s="59">
        <v>600000</v>
      </c>
      <c r="F836" s="7" t="s">
        <v>35</v>
      </c>
      <c r="G836" s="7" t="s">
        <v>269</v>
      </c>
      <c r="H836" s="66" t="s">
        <v>245</v>
      </c>
      <c r="I836" s="67">
        <v>3750</v>
      </c>
      <c r="J836" s="66" t="s">
        <v>246</v>
      </c>
    </row>
    <row r="837" spans="2:10" s="7" customFormat="1" x14ac:dyDescent="0.35">
      <c r="B837" s="7" t="s">
        <v>55</v>
      </c>
      <c r="C837" s="7" t="s">
        <v>41</v>
      </c>
      <c r="D837" s="7">
        <v>210</v>
      </c>
      <c r="E837" s="59">
        <v>650000</v>
      </c>
      <c r="F837" s="7" t="s">
        <v>35</v>
      </c>
      <c r="G837" s="7" t="s">
        <v>269</v>
      </c>
      <c r="H837" s="66" t="s">
        <v>245</v>
      </c>
      <c r="I837" s="67">
        <v>3095.2380952380954</v>
      </c>
      <c r="J837" s="66" t="s">
        <v>246</v>
      </c>
    </row>
    <row r="838" spans="2:10" s="7" customFormat="1" x14ac:dyDescent="0.35">
      <c r="B838" s="7" t="s">
        <v>58</v>
      </c>
      <c r="C838" s="7" t="s">
        <v>59</v>
      </c>
      <c r="D838" s="7">
        <v>35</v>
      </c>
      <c r="E838" s="59">
        <v>400000</v>
      </c>
      <c r="F838" s="7" t="s">
        <v>35</v>
      </c>
      <c r="G838" s="7" t="s">
        <v>269</v>
      </c>
      <c r="H838" s="66" t="s">
        <v>245</v>
      </c>
      <c r="I838" s="67">
        <v>11428.571428571429</v>
      </c>
      <c r="J838" s="66" t="s">
        <v>246</v>
      </c>
    </row>
    <row r="839" spans="2:10" s="7" customFormat="1" x14ac:dyDescent="0.35">
      <c r="B839" s="7" t="s">
        <v>97</v>
      </c>
      <c r="C839" s="7" t="s">
        <v>255</v>
      </c>
      <c r="D839" s="7">
        <v>75</v>
      </c>
      <c r="E839" s="59">
        <v>450000</v>
      </c>
      <c r="F839" s="7" t="s">
        <v>35</v>
      </c>
      <c r="G839" s="7" t="s">
        <v>269</v>
      </c>
      <c r="H839" s="66" t="s">
        <v>245</v>
      </c>
      <c r="I839" s="67">
        <v>6000</v>
      </c>
      <c r="J839" s="66" t="s">
        <v>246</v>
      </c>
    </row>
    <row r="840" spans="2:10" s="7" customFormat="1" x14ac:dyDescent="0.35">
      <c r="B840" s="7" t="s">
        <v>60</v>
      </c>
      <c r="C840" s="7" t="s">
        <v>61</v>
      </c>
      <c r="D840" s="7">
        <v>75</v>
      </c>
      <c r="E840" s="59">
        <v>450000</v>
      </c>
      <c r="F840" s="7" t="s">
        <v>35</v>
      </c>
      <c r="G840" s="7" t="s">
        <v>269</v>
      </c>
      <c r="H840" s="66" t="s">
        <v>245</v>
      </c>
      <c r="I840" s="67">
        <v>6000</v>
      </c>
      <c r="J840" s="66" t="s">
        <v>246</v>
      </c>
    </row>
    <row r="841" spans="2:10" s="7" customFormat="1" x14ac:dyDescent="0.35">
      <c r="B841" s="7" t="s">
        <v>98</v>
      </c>
      <c r="C841" s="7" t="s">
        <v>38</v>
      </c>
      <c r="D841" s="7">
        <v>45</v>
      </c>
      <c r="E841" s="59">
        <v>400000</v>
      </c>
      <c r="F841" s="7" t="s">
        <v>35</v>
      </c>
      <c r="G841" s="7" t="s">
        <v>269</v>
      </c>
      <c r="H841" s="66" t="s">
        <v>245</v>
      </c>
      <c r="I841" s="67">
        <v>8888.8888888888887</v>
      </c>
      <c r="J841" s="66" t="s">
        <v>246</v>
      </c>
    </row>
    <row r="842" spans="2:10" s="7" customFormat="1" x14ac:dyDescent="0.35">
      <c r="B842" s="7" t="s">
        <v>65</v>
      </c>
      <c r="C842" s="7" t="s">
        <v>66</v>
      </c>
      <c r="D842" s="7">
        <v>45</v>
      </c>
      <c r="E842" s="59">
        <v>400000</v>
      </c>
      <c r="F842" s="7" t="s">
        <v>35</v>
      </c>
      <c r="G842" s="7" t="s">
        <v>269</v>
      </c>
      <c r="H842" s="66" t="s">
        <v>245</v>
      </c>
      <c r="I842" s="67">
        <v>8888.8888888888887</v>
      </c>
      <c r="J842" s="66" t="s">
        <v>246</v>
      </c>
    </row>
    <row r="843" spans="2:10" s="7" customFormat="1" x14ac:dyDescent="0.35">
      <c r="B843" s="7" t="s">
        <v>67</v>
      </c>
      <c r="C843" s="7" t="s">
        <v>38</v>
      </c>
      <c r="D843" s="7">
        <v>40</v>
      </c>
      <c r="E843" s="59">
        <v>400000</v>
      </c>
      <c r="F843" s="7" t="s">
        <v>35</v>
      </c>
      <c r="G843" s="7" t="s">
        <v>269</v>
      </c>
      <c r="H843" s="66" t="s">
        <v>245</v>
      </c>
      <c r="I843" s="67">
        <v>10000</v>
      </c>
      <c r="J843" s="66" t="s">
        <v>246</v>
      </c>
    </row>
    <row r="844" spans="2:10" s="7" customFormat="1" x14ac:dyDescent="0.35">
      <c r="B844" s="7" t="s">
        <v>257</v>
      </c>
      <c r="C844" s="7" t="s">
        <v>66</v>
      </c>
      <c r="D844" s="7">
        <v>60</v>
      </c>
      <c r="E844" s="59">
        <v>400000</v>
      </c>
      <c r="F844" s="7" t="s">
        <v>35</v>
      </c>
      <c r="G844" s="7" t="s">
        <v>269</v>
      </c>
      <c r="H844" s="66" t="s">
        <v>245</v>
      </c>
      <c r="I844" s="67">
        <v>6666.666666666667</v>
      </c>
      <c r="J844" s="66" t="s">
        <v>246</v>
      </c>
    </row>
    <row r="845" spans="2:10" s="7" customFormat="1" x14ac:dyDescent="0.35">
      <c r="B845" s="7" t="s">
        <v>71</v>
      </c>
      <c r="C845" s="7" t="s">
        <v>43</v>
      </c>
      <c r="D845" s="7">
        <v>50</v>
      </c>
      <c r="E845" s="59">
        <v>1350000</v>
      </c>
      <c r="F845" s="7" t="s">
        <v>35</v>
      </c>
      <c r="G845" s="7" t="s">
        <v>269</v>
      </c>
      <c r="H845" s="66" t="s">
        <v>245</v>
      </c>
      <c r="I845" s="67">
        <v>27000</v>
      </c>
      <c r="J845" s="66" t="s">
        <v>246</v>
      </c>
    </row>
    <row r="846" spans="2:10" s="7" customFormat="1" x14ac:dyDescent="0.35">
      <c r="B846" s="7" t="s">
        <v>258</v>
      </c>
      <c r="C846" s="7" t="s">
        <v>259</v>
      </c>
      <c r="D846" s="7">
        <v>95</v>
      </c>
      <c r="E846" s="59">
        <v>450000</v>
      </c>
      <c r="F846" s="7" t="s">
        <v>35</v>
      </c>
      <c r="G846" s="7" t="s">
        <v>269</v>
      </c>
      <c r="H846" s="66" t="s">
        <v>245</v>
      </c>
      <c r="I846" s="67">
        <v>4736.8421052631575</v>
      </c>
      <c r="J846" s="66" t="s">
        <v>246</v>
      </c>
    </row>
    <row r="847" spans="2:10" s="7" customFormat="1" x14ac:dyDescent="0.35">
      <c r="B847" s="7" t="s">
        <v>72</v>
      </c>
      <c r="C847" s="7" t="s">
        <v>73</v>
      </c>
      <c r="D847" s="7">
        <v>230</v>
      </c>
      <c r="E847" s="59">
        <v>600000</v>
      </c>
      <c r="F847" s="7" t="s">
        <v>35</v>
      </c>
      <c r="G847" s="7" t="s">
        <v>269</v>
      </c>
      <c r="H847" s="66" t="s">
        <v>245</v>
      </c>
      <c r="I847" s="67">
        <v>2608.695652173913</v>
      </c>
      <c r="J847" s="66" t="s">
        <v>246</v>
      </c>
    </row>
    <row r="848" spans="2:10" s="7" customFormat="1" x14ac:dyDescent="0.35">
      <c r="B848" s="7" t="s">
        <v>260</v>
      </c>
      <c r="C848" s="7" t="s">
        <v>261</v>
      </c>
      <c r="D848" s="7">
        <v>225</v>
      </c>
      <c r="E848" s="59">
        <v>500000</v>
      </c>
      <c r="F848" s="7" t="s">
        <v>35</v>
      </c>
      <c r="G848" s="7" t="s">
        <v>269</v>
      </c>
      <c r="H848" s="66" t="s">
        <v>245</v>
      </c>
      <c r="I848" s="67">
        <v>2222.2222222222222</v>
      </c>
      <c r="J848" s="66" t="s">
        <v>246</v>
      </c>
    </row>
    <row r="849" spans="2:10" s="7" customFormat="1" x14ac:dyDescent="0.35">
      <c r="B849" s="7" t="s">
        <v>96</v>
      </c>
      <c r="C849" s="7" t="s">
        <v>255</v>
      </c>
      <c r="D849" s="7">
        <v>60</v>
      </c>
      <c r="E849" s="59">
        <v>400000</v>
      </c>
      <c r="F849" s="7" t="s">
        <v>35</v>
      </c>
      <c r="G849" s="7" t="s">
        <v>269</v>
      </c>
      <c r="H849" s="66" t="s">
        <v>245</v>
      </c>
      <c r="I849" s="67">
        <v>6666.666666666667</v>
      </c>
      <c r="J849" s="66" t="s">
        <v>246</v>
      </c>
    </row>
    <row r="850" spans="2:10" s="7" customFormat="1" x14ac:dyDescent="0.35">
      <c r="B850" s="7" t="s">
        <v>270</v>
      </c>
      <c r="C850" s="7" t="s">
        <v>271</v>
      </c>
      <c r="E850" s="59">
        <v>600000</v>
      </c>
      <c r="F850" s="7" t="s">
        <v>35</v>
      </c>
      <c r="G850" s="7" t="s">
        <v>269</v>
      </c>
      <c r="H850" s="66" t="s">
        <v>245</v>
      </c>
      <c r="I850" s="67" t="e">
        <v>#DIV/0!</v>
      </c>
      <c r="J850" s="66" t="s">
        <v>246</v>
      </c>
    </row>
    <row r="851" spans="2:10" s="7" customFormat="1" x14ac:dyDescent="0.35">
      <c r="B851" s="7" t="s">
        <v>263</v>
      </c>
      <c r="C851" s="7" t="s">
        <v>264</v>
      </c>
      <c r="D851" s="7">
        <v>250</v>
      </c>
      <c r="E851" s="59">
        <v>800000</v>
      </c>
      <c r="F851" s="7" t="s">
        <v>35</v>
      </c>
      <c r="G851" s="7" t="s">
        <v>269</v>
      </c>
      <c r="H851" s="66" t="s">
        <v>245</v>
      </c>
      <c r="I851" s="67">
        <v>3200</v>
      </c>
      <c r="J851" s="66" t="s">
        <v>246</v>
      </c>
    </row>
    <row r="852" spans="2:10" s="7" customFormat="1" x14ac:dyDescent="0.35">
      <c r="B852" s="7" t="s">
        <v>72</v>
      </c>
      <c r="C852" s="7" t="s">
        <v>73</v>
      </c>
      <c r="D852" s="7">
        <v>165</v>
      </c>
      <c r="E852" s="59">
        <v>640000</v>
      </c>
      <c r="F852" s="7" t="s">
        <v>31</v>
      </c>
      <c r="G852" s="7" t="s">
        <v>272</v>
      </c>
      <c r="H852" s="66" t="s">
        <v>245</v>
      </c>
      <c r="I852" s="67">
        <v>3878.787878787879</v>
      </c>
      <c r="J852" s="66" t="s">
        <v>246</v>
      </c>
    </row>
    <row r="853" spans="2:10" s="7" customFormat="1" x14ac:dyDescent="0.35">
      <c r="B853" s="7" t="s">
        <v>260</v>
      </c>
      <c r="C853" s="7" t="s">
        <v>261</v>
      </c>
      <c r="D853" s="7">
        <v>162</v>
      </c>
      <c r="E853" s="59">
        <v>640000</v>
      </c>
      <c r="F853" s="7" t="s">
        <v>31</v>
      </c>
      <c r="G853" s="7" t="s">
        <v>272</v>
      </c>
      <c r="H853" s="66" t="s">
        <v>245</v>
      </c>
      <c r="I853" s="67">
        <v>3950.6172839506171</v>
      </c>
      <c r="J853" s="66" t="s">
        <v>246</v>
      </c>
    </row>
    <row r="854" spans="2:10" s="7" customFormat="1" x14ac:dyDescent="0.35">
      <c r="B854" s="7" t="s">
        <v>72</v>
      </c>
      <c r="C854" s="7" t="s">
        <v>73</v>
      </c>
      <c r="D854" s="7">
        <v>310</v>
      </c>
      <c r="E854" s="59">
        <v>850000</v>
      </c>
      <c r="F854" s="7" t="s">
        <v>36</v>
      </c>
      <c r="G854" s="7" t="s">
        <v>272</v>
      </c>
      <c r="H854" s="66" t="s">
        <v>245</v>
      </c>
      <c r="I854" s="67">
        <v>2741.9354838709678</v>
      </c>
      <c r="J854" s="66" t="s">
        <v>246</v>
      </c>
    </row>
    <row r="855" spans="2:10" s="7" customFormat="1" x14ac:dyDescent="0.35">
      <c r="B855" s="7" t="s">
        <v>260</v>
      </c>
      <c r="C855" s="7" t="s">
        <v>261</v>
      </c>
      <c r="D855" s="7">
        <v>305</v>
      </c>
      <c r="E855" s="59">
        <v>850000</v>
      </c>
      <c r="F855" s="7" t="s">
        <v>36</v>
      </c>
      <c r="G855" s="7" t="s">
        <v>272</v>
      </c>
      <c r="H855" s="66" t="s">
        <v>245</v>
      </c>
      <c r="I855" s="67">
        <v>2786.8852459016393</v>
      </c>
      <c r="J855" s="66" t="s">
        <v>246</v>
      </c>
    </row>
    <row r="856" spans="2:10" s="7" customFormat="1" x14ac:dyDescent="0.35">
      <c r="B856" s="7" t="s">
        <v>72</v>
      </c>
      <c r="C856" s="7" t="s">
        <v>73</v>
      </c>
      <c r="D856" s="7">
        <v>230</v>
      </c>
      <c r="E856" s="59">
        <v>730000</v>
      </c>
      <c r="F856" s="7" t="s">
        <v>35</v>
      </c>
      <c r="G856" s="7" t="s">
        <v>272</v>
      </c>
      <c r="H856" s="66" t="s">
        <v>245</v>
      </c>
      <c r="I856" s="67">
        <v>3173.913043478261</v>
      </c>
      <c r="J856" s="66" t="s">
        <v>246</v>
      </c>
    </row>
    <row r="857" spans="2:10" s="7" customFormat="1" x14ac:dyDescent="0.35">
      <c r="B857" s="7" t="s">
        <v>260</v>
      </c>
      <c r="C857" s="7" t="s">
        <v>261</v>
      </c>
      <c r="D857" s="7">
        <v>225</v>
      </c>
      <c r="E857" s="59">
        <v>730000</v>
      </c>
      <c r="F857" s="7" t="s">
        <v>35</v>
      </c>
      <c r="G857" s="7" t="s">
        <v>272</v>
      </c>
      <c r="H857" s="66" t="s">
        <v>245</v>
      </c>
      <c r="I857" s="67">
        <v>3244.4444444444443</v>
      </c>
      <c r="J857" s="66" t="s">
        <v>246</v>
      </c>
    </row>
    <row r="858" spans="2:10" s="7" customFormat="1" x14ac:dyDescent="0.35">
      <c r="B858" s="7" t="s">
        <v>37</v>
      </c>
      <c r="C858" s="7" t="s">
        <v>38</v>
      </c>
      <c r="D858" s="7">
        <v>108</v>
      </c>
      <c r="E858" s="59">
        <v>340000</v>
      </c>
      <c r="F858" s="7" t="s">
        <v>31</v>
      </c>
      <c r="G858" s="7" t="s">
        <v>273</v>
      </c>
      <c r="H858" s="66" t="s">
        <v>245</v>
      </c>
      <c r="I858" s="67">
        <v>3148.1481481481483</v>
      </c>
      <c r="J858" s="66" t="s">
        <v>246</v>
      </c>
    </row>
    <row r="859" spans="2:10" s="7" customFormat="1" x14ac:dyDescent="0.35">
      <c r="B859" s="7" t="s">
        <v>40</v>
      </c>
      <c r="C859" s="7" t="s">
        <v>41</v>
      </c>
      <c r="D859" s="7">
        <v>264</v>
      </c>
      <c r="E859" s="59">
        <v>460000</v>
      </c>
      <c r="F859" s="7" t="s">
        <v>31</v>
      </c>
      <c r="G859" s="7" t="s">
        <v>273</v>
      </c>
      <c r="H859" s="66" t="s">
        <v>245</v>
      </c>
      <c r="I859" s="67">
        <v>1742.4242424242425</v>
      </c>
      <c r="J859" s="66" t="s">
        <v>246</v>
      </c>
    </row>
    <row r="860" spans="2:10" s="7" customFormat="1" x14ac:dyDescent="0.35">
      <c r="B860" s="7" t="s">
        <v>247</v>
      </c>
      <c r="C860" s="7" t="s">
        <v>248</v>
      </c>
      <c r="D860" s="7">
        <v>258</v>
      </c>
      <c r="E860" s="59">
        <v>460000</v>
      </c>
      <c r="F860" s="7" t="s">
        <v>31</v>
      </c>
      <c r="G860" s="7" t="s">
        <v>273</v>
      </c>
      <c r="H860" s="66" t="s">
        <v>245</v>
      </c>
      <c r="I860" s="67">
        <v>1782.9457364341085</v>
      </c>
      <c r="J860" s="66" t="s">
        <v>246</v>
      </c>
    </row>
    <row r="861" spans="2:10" s="7" customFormat="1" x14ac:dyDescent="0.35">
      <c r="B861" s="7" t="s">
        <v>251</v>
      </c>
      <c r="C861" s="7" t="s">
        <v>252</v>
      </c>
      <c r="D861" s="7">
        <v>143</v>
      </c>
      <c r="E861" s="59">
        <v>340000</v>
      </c>
      <c r="F861" s="7" t="s">
        <v>31</v>
      </c>
      <c r="G861" s="7" t="s">
        <v>273</v>
      </c>
      <c r="H861" s="66" t="s">
        <v>245</v>
      </c>
      <c r="I861" s="67">
        <v>2377.6223776223778</v>
      </c>
      <c r="J861" s="66" t="s">
        <v>246</v>
      </c>
    </row>
    <row r="862" spans="2:10" s="7" customFormat="1" x14ac:dyDescent="0.35">
      <c r="B862" s="7" t="s">
        <v>42</v>
      </c>
      <c r="C862" s="7" t="s">
        <v>43</v>
      </c>
      <c r="D862" s="7">
        <v>499</v>
      </c>
      <c r="E862" s="59">
        <v>1207833</v>
      </c>
      <c r="F862" s="7" t="s">
        <v>31</v>
      </c>
      <c r="G862" s="7" t="s">
        <v>273</v>
      </c>
      <c r="H862" s="66" t="s">
        <v>245</v>
      </c>
      <c r="I862" s="67">
        <v>2420.5070140280559</v>
      </c>
      <c r="J862" s="66" t="s">
        <v>246</v>
      </c>
    </row>
    <row r="863" spans="2:10" s="7" customFormat="1" x14ac:dyDescent="0.35">
      <c r="B863" s="7" t="s">
        <v>253</v>
      </c>
      <c r="C863" s="7" t="s">
        <v>70</v>
      </c>
      <c r="D863" s="7">
        <v>113</v>
      </c>
      <c r="E863" s="59">
        <v>300000</v>
      </c>
      <c r="F863" s="7" t="s">
        <v>31</v>
      </c>
      <c r="G863" s="7" t="s">
        <v>273</v>
      </c>
      <c r="H863" s="66" t="s">
        <v>245</v>
      </c>
      <c r="I863" s="67">
        <v>2654.8672566371683</v>
      </c>
      <c r="J863" s="66" t="s">
        <v>246</v>
      </c>
    </row>
    <row r="864" spans="2:10" s="7" customFormat="1" x14ac:dyDescent="0.35">
      <c r="B864" s="7" t="s">
        <v>249</v>
      </c>
      <c r="C864" s="7" t="s">
        <v>44</v>
      </c>
      <c r="D864" s="7">
        <v>150</v>
      </c>
      <c r="E864" s="59">
        <v>350000</v>
      </c>
      <c r="F864" s="7" t="s">
        <v>31</v>
      </c>
      <c r="G864" s="7" t="s">
        <v>273</v>
      </c>
      <c r="H864" s="66" t="s">
        <v>245</v>
      </c>
      <c r="I864" s="67">
        <v>2333.3333333333335</v>
      </c>
      <c r="J864" s="66" t="s">
        <v>246</v>
      </c>
    </row>
    <row r="865" spans="2:10" s="7" customFormat="1" x14ac:dyDescent="0.35">
      <c r="B865" s="7" t="s">
        <v>29</v>
      </c>
      <c r="C865" s="7" t="s">
        <v>30</v>
      </c>
      <c r="D865" s="7">
        <v>240</v>
      </c>
      <c r="E865" s="59">
        <v>440000</v>
      </c>
      <c r="F865" s="7" t="s">
        <v>31</v>
      </c>
      <c r="G865" s="7" t="s">
        <v>273</v>
      </c>
      <c r="H865" s="66" t="s">
        <v>245</v>
      </c>
      <c r="I865" s="67">
        <v>1833.3333333333333</v>
      </c>
      <c r="J865" s="66" t="s">
        <v>246</v>
      </c>
    </row>
    <row r="866" spans="2:10" s="7" customFormat="1" x14ac:dyDescent="0.35">
      <c r="B866" s="7" t="s">
        <v>45</v>
      </c>
      <c r="C866" s="7" t="s">
        <v>46</v>
      </c>
      <c r="D866" s="7">
        <v>240</v>
      </c>
      <c r="E866" s="59">
        <v>440000</v>
      </c>
      <c r="F866" s="7" t="s">
        <v>31</v>
      </c>
      <c r="G866" s="7" t="s">
        <v>273</v>
      </c>
      <c r="H866" s="66" t="s">
        <v>245</v>
      </c>
      <c r="I866" s="67">
        <v>1833.3333333333333</v>
      </c>
      <c r="J866" s="66" t="s">
        <v>246</v>
      </c>
    </row>
    <row r="867" spans="2:10" s="7" customFormat="1" x14ac:dyDescent="0.35">
      <c r="B867" s="7" t="s">
        <v>47</v>
      </c>
      <c r="C867" s="7" t="s">
        <v>48</v>
      </c>
      <c r="D867" s="7">
        <v>124</v>
      </c>
      <c r="E867" s="59">
        <v>300000</v>
      </c>
      <c r="F867" s="7" t="s">
        <v>31</v>
      </c>
      <c r="G867" s="7" t="s">
        <v>273</v>
      </c>
      <c r="H867" s="66" t="s">
        <v>245</v>
      </c>
      <c r="I867" s="67">
        <v>2419.3548387096776</v>
      </c>
      <c r="J867" s="66" t="s">
        <v>246</v>
      </c>
    </row>
    <row r="868" spans="2:10" s="7" customFormat="1" x14ac:dyDescent="0.35">
      <c r="B868" s="7" t="s">
        <v>95</v>
      </c>
      <c r="C868" s="7" t="s">
        <v>254</v>
      </c>
      <c r="D868" s="7">
        <v>208</v>
      </c>
      <c r="E868" s="59">
        <v>400000</v>
      </c>
      <c r="F868" s="7" t="s">
        <v>31</v>
      </c>
      <c r="G868" s="7" t="s">
        <v>273</v>
      </c>
      <c r="H868" s="66" t="s">
        <v>245</v>
      </c>
      <c r="I868" s="67">
        <v>1923.0769230769231</v>
      </c>
      <c r="J868" s="66" t="s">
        <v>246</v>
      </c>
    </row>
    <row r="869" spans="2:10" s="7" customFormat="1" x14ac:dyDescent="0.35">
      <c r="B869" s="7" t="s">
        <v>55</v>
      </c>
      <c r="C869" s="7" t="s">
        <v>41</v>
      </c>
      <c r="D869" s="7">
        <v>260</v>
      </c>
      <c r="E869" s="59">
        <v>460000</v>
      </c>
      <c r="F869" s="7" t="s">
        <v>31</v>
      </c>
      <c r="G869" s="7" t="s">
        <v>273</v>
      </c>
      <c r="H869" s="66" t="s">
        <v>245</v>
      </c>
      <c r="I869" s="67">
        <v>1769.2307692307693</v>
      </c>
      <c r="J869" s="66" t="s">
        <v>246</v>
      </c>
    </row>
    <row r="870" spans="2:10" s="7" customFormat="1" x14ac:dyDescent="0.35">
      <c r="B870" s="7" t="s">
        <v>52</v>
      </c>
      <c r="C870" s="7" t="s">
        <v>53</v>
      </c>
      <c r="D870" s="7">
        <v>45</v>
      </c>
      <c r="E870" s="59">
        <v>250000</v>
      </c>
      <c r="F870" s="7" t="s">
        <v>31</v>
      </c>
      <c r="G870" s="7" t="s">
        <v>273</v>
      </c>
      <c r="H870" s="66" t="s">
        <v>245</v>
      </c>
      <c r="I870" s="67">
        <v>5555.5555555555557</v>
      </c>
      <c r="J870" s="66" t="s">
        <v>246</v>
      </c>
    </row>
    <row r="871" spans="2:10" s="7" customFormat="1" x14ac:dyDescent="0.35">
      <c r="B871" s="7" t="s">
        <v>58</v>
      </c>
      <c r="C871" s="7" t="s">
        <v>59</v>
      </c>
      <c r="D871" s="7">
        <v>98</v>
      </c>
      <c r="E871" s="59">
        <v>290000</v>
      </c>
      <c r="F871" s="7" t="s">
        <v>31</v>
      </c>
      <c r="G871" s="7" t="s">
        <v>273</v>
      </c>
      <c r="H871" s="66" t="s">
        <v>245</v>
      </c>
      <c r="I871" s="67">
        <v>2959.1836734693879</v>
      </c>
      <c r="J871" s="66" t="s">
        <v>246</v>
      </c>
    </row>
    <row r="872" spans="2:10" s="7" customFormat="1" x14ac:dyDescent="0.35">
      <c r="B872" s="7" t="s">
        <v>97</v>
      </c>
      <c r="C872" s="7" t="s">
        <v>255</v>
      </c>
      <c r="D872" s="7">
        <v>125</v>
      </c>
      <c r="E872" s="59">
        <v>300000</v>
      </c>
      <c r="F872" s="7" t="s">
        <v>31</v>
      </c>
      <c r="G872" s="7" t="s">
        <v>273</v>
      </c>
      <c r="H872" s="66" t="s">
        <v>245</v>
      </c>
      <c r="I872" s="67">
        <v>2400</v>
      </c>
      <c r="J872" s="66" t="s">
        <v>246</v>
      </c>
    </row>
    <row r="873" spans="2:10" s="7" customFormat="1" x14ac:dyDescent="0.35">
      <c r="B873" s="7" t="s">
        <v>60</v>
      </c>
      <c r="C873" s="7" t="s">
        <v>61</v>
      </c>
      <c r="D873" s="7">
        <v>128</v>
      </c>
      <c r="E873" s="59">
        <v>300000</v>
      </c>
      <c r="F873" s="7" t="s">
        <v>31</v>
      </c>
      <c r="G873" s="7" t="s">
        <v>273</v>
      </c>
      <c r="H873" s="66" t="s">
        <v>245</v>
      </c>
      <c r="I873" s="67">
        <v>2343.75</v>
      </c>
      <c r="J873" s="66" t="s">
        <v>246</v>
      </c>
    </row>
    <row r="874" spans="2:10" s="7" customFormat="1" x14ac:dyDescent="0.35">
      <c r="B874" s="7" t="s">
        <v>62</v>
      </c>
      <c r="C874" s="7" t="s">
        <v>63</v>
      </c>
      <c r="D874" s="7">
        <v>16</v>
      </c>
      <c r="E874" s="59">
        <v>180000</v>
      </c>
      <c r="F874" s="7" t="s">
        <v>31</v>
      </c>
      <c r="G874" s="7" t="s">
        <v>273</v>
      </c>
      <c r="H874" s="66" t="s">
        <v>245</v>
      </c>
      <c r="I874" s="67">
        <v>11250</v>
      </c>
      <c r="J874" s="66" t="s">
        <v>246</v>
      </c>
    </row>
    <row r="875" spans="2:10" s="7" customFormat="1" x14ac:dyDescent="0.35">
      <c r="B875" s="7" t="s">
        <v>98</v>
      </c>
      <c r="C875" s="7" t="s">
        <v>38</v>
      </c>
      <c r="D875" s="7">
        <v>110</v>
      </c>
      <c r="E875" s="59">
        <v>300000</v>
      </c>
      <c r="F875" s="7" t="s">
        <v>31</v>
      </c>
      <c r="G875" s="7" t="s">
        <v>273</v>
      </c>
      <c r="H875" s="66" t="s">
        <v>245</v>
      </c>
      <c r="I875" s="67">
        <v>2727.2727272727275</v>
      </c>
      <c r="J875" s="66" t="s">
        <v>246</v>
      </c>
    </row>
    <row r="876" spans="2:10" s="7" customFormat="1" x14ac:dyDescent="0.35">
      <c r="B876" s="7" t="s">
        <v>256</v>
      </c>
      <c r="C876" s="7" t="s">
        <v>64</v>
      </c>
      <c r="D876" s="7">
        <v>40</v>
      </c>
      <c r="E876" s="59">
        <v>250000</v>
      </c>
      <c r="F876" s="7" t="s">
        <v>31</v>
      </c>
      <c r="G876" s="7" t="s">
        <v>273</v>
      </c>
      <c r="H876" s="66" t="s">
        <v>245</v>
      </c>
      <c r="I876" s="67">
        <v>6250</v>
      </c>
      <c r="J876" s="66" t="s">
        <v>246</v>
      </c>
    </row>
    <row r="877" spans="2:10" s="7" customFormat="1" x14ac:dyDescent="0.35">
      <c r="B877" s="7" t="s">
        <v>65</v>
      </c>
      <c r="C877" s="7" t="s">
        <v>66</v>
      </c>
      <c r="D877" s="7">
        <v>110</v>
      </c>
      <c r="E877" s="59">
        <v>300000</v>
      </c>
      <c r="F877" s="7" t="s">
        <v>31</v>
      </c>
      <c r="G877" s="7" t="s">
        <v>273</v>
      </c>
      <c r="H877" s="66" t="s">
        <v>245</v>
      </c>
      <c r="I877" s="67">
        <v>2727.2727272727275</v>
      </c>
      <c r="J877" s="66" t="s">
        <v>246</v>
      </c>
    </row>
    <row r="878" spans="2:10" s="7" customFormat="1" x14ac:dyDescent="0.35">
      <c r="B878" s="7" t="s">
        <v>67</v>
      </c>
      <c r="C878" s="7" t="s">
        <v>38</v>
      </c>
      <c r="D878" s="7">
        <v>103</v>
      </c>
      <c r="E878" s="59">
        <v>300000</v>
      </c>
      <c r="F878" s="7" t="s">
        <v>31</v>
      </c>
      <c r="G878" s="7" t="s">
        <v>273</v>
      </c>
      <c r="H878" s="66" t="s">
        <v>245</v>
      </c>
      <c r="I878" s="67">
        <v>2912.6213592233012</v>
      </c>
      <c r="J878" s="66" t="s">
        <v>246</v>
      </c>
    </row>
    <row r="879" spans="2:10" s="7" customFormat="1" x14ac:dyDescent="0.35">
      <c r="B879" s="7" t="s">
        <v>68</v>
      </c>
      <c r="C879" s="7" t="s">
        <v>69</v>
      </c>
      <c r="D879" s="7">
        <v>131</v>
      </c>
      <c r="E879" s="59">
        <v>340000</v>
      </c>
      <c r="F879" s="7" t="s">
        <v>31</v>
      </c>
      <c r="G879" s="7" t="s">
        <v>273</v>
      </c>
      <c r="H879" s="66" t="s">
        <v>245</v>
      </c>
      <c r="I879" s="67">
        <v>2595.4198473282445</v>
      </c>
      <c r="J879" s="66" t="s">
        <v>246</v>
      </c>
    </row>
    <row r="880" spans="2:10" s="7" customFormat="1" x14ac:dyDescent="0.35">
      <c r="B880" s="7" t="s">
        <v>33</v>
      </c>
      <c r="C880" s="7" t="s">
        <v>34</v>
      </c>
      <c r="D880" s="7">
        <v>85</v>
      </c>
      <c r="E880" s="59">
        <v>290000</v>
      </c>
      <c r="F880" s="7" t="s">
        <v>31</v>
      </c>
      <c r="G880" s="7" t="s">
        <v>273</v>
      </c>
      <c r="H880" s="66" t="s">
        <v>245</v>
      </c>
      <c r="I880" s="67">
        <v>3411.7647058823532</v>
      </c>
      <c r="J880" s="66" t="s">
        <v>246</v>
      </c>
    </row>
    <row r="881" spans="2:10" s="7" customFormat="1" x14ac:dyDescent="0.35">
      <c r="B881" s="7" t="s">
        <v>257</v>
      </c>
      <c r="C881" s="7" t="s">
        <v>66</v>
      </c>
      <c r="D881" s="7">
        <v>118</v>
      </c>
      <c r="E881" s="59">
        <v>300000</v>
      </c>
      <c r="F881" s="7" t="s">
        <v>31</v>
      </c>
      <c r="G881" s="7" t="s">
        <v>273</v>
      </c>
      <c r="H881" s="66" t="s">
        <v>245</v>
      </c>
      <c r="I881" s="67">
        <v>2542.3728813559323</v>
      </c>
      <c r="J881" s="66" t="s">
        <v>246</v>
      </c>
    </row>
    <row r="882" spans="2:10" s="7" customFormat="1" x14ac:dyDescent="0.35">
      <c r="B882" s="7" t="s">
        <v>71</v>
      </c>
      <c r="C882" s="7" t="s">
        <v>43</v>
      </c>
      <c r="D882" s="7">
        <v>549</v>
      </c>
      <c r="E882" s="59">
        <v>1350000</v>
      </c>
      <c r="F882" s="7" t="s">
        <v>31</v>
      </c>
      <c r="G882" s="7" t="s">
        <v>273</v>
      </c>
      <c r="H882" s="66" t="s">
        <v>245</v>
      </c>
      <c r="I882" s="67">
        <v>2459.0163934426228</v>
      </c>
      <c r="J882" s="66" t="s">
        <v>246</v>
      </c>
    </row>
    <row r="883" spans="2:10" s="7" customFormat="1" x14ac:dyDescent="0.35">
      <c r="B883" s="7" t="s">
        <v>258</v>
      </c>
      <c r="C883" s="7" t="s">
        <v>259</v>
      </c>
      <c r="D883" s="7">
        <v>144</v>
      </c>
      <c r="E883" s="59">
        <v>340000</v>
      </c>
      <c r="F883" s="7" t="s">
        <v>31</v>
      </c>
      <c r="G883" s="7" t="s">
        <v>273</v>
      </c>
      <c r="H883" s="66" t="s">
        <v>245</v>
      </c>
      <c r="I883" s="67">
        <v>2361.1111111111113</v>
      </c>
      <c r="J883" s="66" t="s">
        <v>246</v>
      </c>
    </row>
    <row r="884" spans="2:10" s="7" customFormat="1" x14ac:dyDescent="0.35">
      <c r="B884" s="7" t="s">
        <v>72</v>
      </c>
      <c r="C884" s="7" t="s">
        <v>73</v>
      </c>
      <c r="D884" s="7">
        <v>165</v>
      </c>
      <c r="E884" s="59">
        <v>350000</v>
      </c>
      <c r="F884" s="7" t="s">
        <v>31</v>
      </c>
      <c r="G884" s="7" t="s">
        <v>273</v>
      </c>
      <c r="H884" s="66" t="s">
        <v>245</v>
      </c>
      <c r="I884" s="67">
        <v>2121.212121212121</v>
      </c>
      <c r="J884" s="66" t="s">
        <v>246</v>
      </c>
    </row>
    <row r="885" spans="2:10" s="7" customFormat="1" x14ac:dyDescent="0.35">
      <c r="B885" s="7" t="s">
        <v>56</v>
      </c>
      <c r="C885" s="7" t="s">
        <v>57</v>
      </c>
      <c r="D885" s="7">
        <v>100</v>
      </c>
      <c r="E885" s="59">
        <v>300000</v>
      </c>
      <c r="F885" s="7" t="s">
        <v>31</v>
      </c>
      <c r="G885" s="7" t="s">
        <v>273</v>
      </c>
      <c r="H885" s="66" t="s">
        <v>245</v>
      </c>
      <c r="I885" s="67">
        <v>3000</v>
      </c>
      <c r="J885" s="66" t="s">
        <v>246</v>
      </c>
    </row>
    <row r="886" spans="2:10" s="7" customFormat="1" x14ac:dyDescent="0.35">
      <c r="B886" s="7" t="s">
        <v>260</v>
      </c>
      <c r="C886" s="7" t="s">
        <v>261</v>
      </c>
      <c r="D886" s="7">
        <v>162</v>
      </c>
      <c r="E886" s="59">
        <v>350000</v>
      </c>
      <c r="F886" s="7" t="s">
        <v>31</v>
      </c>
      <c r="G886" s="7" t="s">
        <v>273</v>
      </c>
      <c r="H886" s="66" t="s">
        <v>245</v>
      </c>
      <c r="I886" s="67">
        <v>2160.4938271604938</v>
      </c>
      <c r="J886" s="66" t="s">
        <v>246</v>
      </c>
    </row>
    <row r="887" spans="2:10" s="7" customFormat="1" x14ac:dyDescent="0.35">
      <c r="B887" s="7" t="s">
        <v>74</v>
      </c>
      <c r="C887" s="7" t="s">
        <v>75</v>
      </c>
      <c r="D887" s="7">
        <v>10</v>
      </c>
      <c r="E887" s="59">
        <v>180000</v>
      </c>
      <c r="F887" s="7" t="s">
        <v>31</v>
      </c>
      <c r="G887" s="7" t="s">
        <v>273</v>
      </c>
      <c r="H887" s="66" t="s">
        <v>245</v>
      </c>
      <c r="I887" s="67">
        <v>18000</v>
      </c>
      <c r="J887" s="66" t="s">
        <v>246</v>
      </c>
    </row>
    <row r="888" spans="2:10" s="7" customFormat="1" x14ac:dyDescent="0.35">
      <c r="B888" s="7" t="s">
        <v>76</v>
      </c>
      <c r="C888" s="7" t="s">
        <v>262</v>
      </c>
      <c r="D888" s="7">
        <v>20</v>
      </c>
      <c r="E888" s="59">
        <v>275333</v>
      </c>
      <c r="F888" s="7" t="s">
        <v>31</v>
      </c>
      <c r="G888" s="7" t="s">
        <v>273</v>
      </c>
      <c r="H888" s="66" t="s">
        <v>245</v>
      </c>
      <c r="I888" s="67">
        <v>13766.65</v>
      </c>
      <c r="J888" s="66" t="s">
        <v>246</v>
      </c>
    </row>
    <row r="889" spans="2:10" s="7" customFormat="1" x14ac:dyDescent="0.35">
      <c r="B889" s="7" t="s">
        <v>96</v>
      </c>
      <c r="C889" s="7" t="s">
        <v>255</v>
      </c>
      <c r="D889" s="7">
        <v>122</v>
      </c>
      <c r="E889" s="59">
        <v>300000</v>
      </c>
      <c r="F889" s="7" t="s">
        <v>31</v>
      </c>
      <c r="G889" s="7" t="s">
        <v>273</v>
      </c>
      <c r="H889" s="66" t="s">
        <v>245</v>
      </c>
      <c r="I889" s="67">
        <v>2459.0163934426228</v>
      </c>
      <c r="J889" s="66" t="s">
        <v>246</v>
      </c>
    </row>
    <row r="890" spans="2:10" s="7" customFormat="1" x14ac:dyDescent="0.35">
      <c r="B890" s="7" t="s">
        <v>263</v>
      </c>
      <c r="C890" s="7" t="s">
        <v>264</v>
      </c>
      <c r="D890" s="7">
        <v>162</v>
      </c>
      <c r="E890" s="59">
        <v>500613</v>
      </c>
      <c r="F890" s="7" t="s">
        <v>31</v>
      </c>
      <c r="G890" s="7" t="s">
        <v>273</v>
      </c>
      <c r="H890" s="66" t="s">
        <v>245</v>
      </c>
      <c r="I890" s="67">
        <v>3090.2037037037039</v>
      </c>
      <c r="J890" s="66" t="s">
        <v>246</v>
      </c>
    </row>
    <row r="891" spans="2:10" s="7" customFormat="1" x14ac:dyDescent="0.35">
      <c r="B891" s="7" t="s">
        <v>37</v>
      </c>
      <c r="C891" s="7" t="s">
        <v>38</v>
      </c>
      <c r="D891" s="7">
        <v>134</v>
      </c>
      <c r="E891" s="59">
        <v>340000</v>
      </c>
      <c r="F891" s="7" t="s">
        <v>36</v>
      </c>
      <c r="G891" s="7" t="s">
        <v>273</v>
      </c>
      <c r="H891" s="66" t="s">
        <v>245</v>
      </c>
      <c r="I891" s="67">
        <v>2537.313432835821</v>
      </c>
      <c r="J891" s="66" t="s">
        <v>246</v>
      </c>
    </row>
    <row r="892" spans="2:10" s="7" customFormat="1" x14ac:dyDescent="0.35">
      <c r="B892" s="7" t="s">
        <v>40</v>
      </c>
      <c r="C892" s="7" t="s">
        <v>41</v>
      </c>
      <c r="D892" s="7">
        <v>123</v>
      </c>
      <c r="E892" s="59">
        <v>300000</v>
      </c>
      <c r="F892" s="7" t="s">
        <v>36</v>
      </c>
      <c r="G892" s="7" t="s">
        <v>273</v>
      </c>
      <c r="H892" s="66" t="s">
        <v>245</v>
      </c>
      <c r="I892" s="67">
        <v>2439.0243902439024</v>
      </c>
      <c r="J892" s="66" t="s">
        <v>246</v>
      </c>
    </row>
    <row r="893" spans="2:10" s="7" customFormat="1" x14ac:dyDescent="0.35">
      <c r="B893" s="7" t="s">
        <v>247</v>
      </c>
      <c r="C893" s="7" t="s">
        <v>248</v>
      </c>
      <c r="D893" s="7">
        <v>118</v>
      </c>
      <c r="E893" s="59">
        <v>300000</v>
      </c>
      <c r="F893" s="7" t="s">
        <v>36</v>
      </c>
      <c r="G893" s="7" t="s">
        <v>273</v>
      </c>
      <c r="H893" s="66" t="s">
        <v>245</v>
      </c>
      <c r="I893" s="67">
        <v>2542.3728813559323</v>
      </c>
      <c r="J893" s="66" t="s">
        <v>246</v>
      </c>
    </row>
    <row r="894" spans="2:10" s="7" customFormat="1" x14ac:dyDescent="0.35">
      <c r="B894" s="7" t="s">
        <v>251</v>
      </c>
      <c r="C894" s="7" t="s">
        <v>252</v>
      </c>
      <c r="D894" s="7">
        <v>103</v>
      </c>
      <c r="E894" s="59">
        <v>300000</v>
      </c>
      <c r="F894" s="7" t="s">
        <v>36</v>
      </c>
      <c r="G894" s="7" t="s">
        <v>273</v>
      </c>
      <c r="H894" s="66" t="s">
        <v>245</v>
      </c>
      <c r="I894" s="67">
        <v>2912.6213592233012</v>
      </c>
      <c r="J894" s="66" t="s">
        <v>246</v>
      </c>
    </row>
    <row r="895" spans="2:10" s="7" customFormat="1" x14ac:dyDescent="0.35">
      <c r="B895" s="7" t="s">
        <v>42</v>
      </c>
      <c r="C895" s="7" t="s">
        <v>43</v>
      </c>
      <c r="D895" s="7">
        <v>358</v>
      </c>
      <c r="E895" s="59">
        <v>750000</v>
      </c>
      <c r="F895" s="7" t="s">
        <v>36</v>
      </c>
      <c r="G895" s="7" t="s">
        <v>273</v>
      </c>
      <c r="H895" s="66" t="s">
        <v>245</v>
      </c>
      <c r="I895" s="67">
        <v>2094.9720670391062</v>
      </c>
      <c r="J895" s="66" t="s">
        <v>246</v>
      </c>
    </row>
    <row r="896" spans="2:10" s="7" customFormat="1" x14ac:dyDescent="0.35">
      <c r="B896" s="7" t="s">
        <v>253</v>
      </c>
      <c r="C896" s="7" t="s">
        <v>70</v>
      </c>
      <c r="D896" s="7">
        <v>141</v>
      </c>
      <c r="E896" s="59">
        <v>340000</v>
      </c>
      <c r="F896" s="7" t="s">
        <v>36</v>
      </c>
      <c r="G896" s="7" t="s">
        <v>273</v>
      </c>
      <c r="H896" s="66" t="s">
        <v>245</v>
      </c>
      <c r="I896" s="67">
        <v>2411.3475177304963</v>
      </c>
      <c r="J896" s="66" t="s">
        <v>246</v>
      </c>
    </row>
    <row r="897" spans="2:10" s="7" customFormat="1" x14ac:dyDescent="0.35">
      <c r="B897" s="7" t="s">
        <v>249</v>
      </c>
      <c r="C897" s="7" t="s">
        <v>44</v>
      </c>
      <c r="D897" s="7">
        <v>60</v>
      </c>
      <c r="E897" s="59">
        <v>240000</v>
      </c>
      <c r="F897" s="7" t="s">
        <v>36</v>
      </c>
      <c r="G897" s="7" t="s">
        <v>273</v>
      </c>
      <c r="H897" s="66" t="s">
        <v>245</v>
      </c>
      <c r="I897" s="67">
        <v>4000</v>
      </c>
      <c r="J897" s="66" t="s">
        <v>246</v>
      </c>
    </row>
    <row r="898" spans="2:10" s="7" customFormat="1" x14ac:dyDescent="0.35">
      <c r="B898" s="7" t="s">
        <v>29</v>
      </c>
      <c r="C898" s="7" t="s">
        <v>30</v>
      </c>
      <c r="D898" s="7">
        <v>22</v>
      </c>
      <c r="E898" s="59">
        <v>210000</v>
      </c>
      <c r="F898" s="7" t="s">
        <v>36</v>
      </c>
      <c r="G898" s="7" t="s">
        <v>273</v>
      </c>
      <c r="H898" s="66" t="s">
        <v>245</v>
      </c>
      <c r="I898" s="67">
        <v>9545.454545454546</v>
      </c>
      <c r="J898" s="66" t="s">
        <v>246</v>
      </c>
    </row>
    <row r="899" spans="2:10" s="7" customFormat="1" x14ac:dyDescent="0.35">
      <c r="B899" s="7" t="s">
        <v>45</v>
      </c>
      <c r="C899" s="7" t="s">
        <v>46</v>
      </c>
      <c r="D899" s="7">
        <v>100</v>
      </c>
      <c r="E899" s="59">
        <v>300000</v>
      </c>
      <c r="F899" s="7" t="s">
        <v>36</v>
      </c>
      <c r="G899" s="7" t="s">
        <v>273</v>
      </c>
      <c r="H899" s="66" t="s">
        <v>245</v>
      </c>
      <c r="I899" s="67">
        <v>3000</v>
      </c>
      <c r="J899" s="66" t="s">
        <v>246</v>
      </c>
    </row>
    <row r="900" spans="2:10" s="7" customFormat="1" x14ac:dyDescent="0.35">
      <c r="B900" s="7" t="s">
        <v>47</v>
      </c>
      <c r="C900" s="7" t="s">
        <v>48</v>
      </c>
      <c r="D900" s="7">
        <v>85</v>
      </c>
      <c r="E900" s="59">
        <v>290000</v>
      </c>
      <c r="F900" s="7" t="s">
        <v>36</v>
      </c>
      <c r="G900" s="7" t="s">
        <v>273</v>
      </c>
      <c r="H900" s="66" t="s">
        <v>245</v>
      </c>
      <c r="I900" s="67">
        <v>3411.7647058823532</v>
      </c>
      <c r="J900" s="66" t="s">
        <v>246</v>
      </c>
    </row>
    <row r="901" spans="2:10" s="7" customFormat="1" x14ac:dyDescent="0.35">
      <c r="B901" s="7" t="s">
        <v>95</v>
      </c>
      <c r="C901" s="7" t="s">
        <v>254</v>
      </c>
      <c r="D901" s="7">
        <v>60</v>
      </c>
      <c r="E901" s="59">
        <v>250000</v>
      </c>
      <c r="F901" s="7" t="s">
        <v>36</v>
      </c>
      <c r="G901" s="7" t="s">
        <v>273</v>
      </c>
      <c r="H901" s="66" t="s">
        <v>245</v>
      </c>
      <c r="I901" s="67">
        <v>4166.666666666667</v>
      </c>
      <c r="J901" s="66" t="s">
        <v>246</v>
      </c>
    </row>
    <row r="902" spans="2:10" s="7" customFormat="1" x14ac:dyDescent="0.35">
      <c r="B902" s="7" t="s">
        <v>55</v>
      </c>
      <c r="C902" s="7" t="s">
        <v>41</v>
      </c>
      <c r="D902" s="7">
        <v>120</v>
      </c>
      <c r="E902" s="59">
        <v>300000</v>
      </c>
      <c r="F902" s="7" t="s">
        <v>36</v>
      </c>
      <c r="G902" s="7" t="s">
        <v>273</v>
      </c>
      <c r="H902" s="66" t="s">
        <v>245</v>
      </c>
      <c r="I902" s="67">
        <v>2500</v>
      </c>
      <c r="J902" s="66" t="s">
        <v>246</v>
      </c>
    </row>
    <row r="903" spans="2:10" s="7" customFormat="1" x14ac:dyDescent="0.35">
      <c r="B903" s="7" t="s">
        <v>52</v>
      </c>
      <c r="C903" s="7" t="s">
        <v>53</v>
      </c>
      <c r="D903" s="7">
        <v>100</v>
      </c>
      <c r="E903" s="59">
        <v>300000</v>
      </c>
      <c r="F903" s="7" t="s">
        <v>36</v>
      </c>
      <c r="G903" s="7" t="s">
        <v>273</v>
      </c>
      <c r="H903" s="66" t="s">
        <v>245</v>
      </c>
      <c r="I903" s="67">
        <v>3000</v>
      </c>
      <c r="J903" s="66" t="s">
        <v>246</v>
      </c>
    </row>
    <row r="904" spans="2:10" s="7" customFormat="1" x14ac:dyDescent="0.35">
      <c r="B904" s="7" t="s">
        <v>58</v>
      </c>
      <c r="C904" s="7" t="s">
        <v>59</v>
      </c>
      <c r="D904" s="7">
        <v>125</v>
      </c>
      <c r="E904" s="59">
        <v>300000</v>
      </c>
      <c r="F904" s="7" t="s">
        <v>36</v>
      </c>
      <c r="G904" s="7" t="s">
        <v>273</v>
      </c>
      <c r="H904" s="66" t="s">
        <v>245</v>
      </c>
      <c r="I904" s="67">
        <v>2400</v>
      </c>
      <c r="J904" s="66" t="s">
        <v>246</v>
      </c>
    </row>
    <row r="905" spans="2:10" s="7" customFormat="1" x14ac:dyDescent="0.35">
      <c r="B905" s="7" t="s">
        <v>97</v>
      </c>
      <c r="C905" s="7" t="s">
        <v>255</v>
      </c>
      <c r="D905" s="7">
        <v>90</v>
      </c>
      <c r="E905" s="59">
        <v>290000</v>
      </c>
      <c r="F905" s="7" t="s">
        <v>36</v>
      </c>
      <c r="G905" s="7" t="s">
        <v>273</v>
      </c>
      <c r="H905" s="66" t="s">
        <v>245</v>
      </c>
      <c r="I905" s="67">
        <v>3222.2222222222222</v>
      </c>
      <c r="J905" s="66" t="s">
        <v>246</v>
      </c>
    </row>
    <row r="906" spans="2:10" s="7" customFormat="1" x14ac:dyDescent="0.35">
      <c r="B906" s="7" t="s">
        <v>60</v>
      </c>
      <c r="C906" s="7" t="s">
        <v>61</v>
      </c>
      <c r="D906" s="7">
        <v>80</v>
      </c>
      <c r="E906" s="59">
        <v>290000</v>
      </c>
      <c r="F906" s="7" t="s">
        <v>36</v>
      </c>
      <c r="G906" s="7" t="s">
        <v>273</v>
      </c>
      <c r="H906" s="66" t="s">
        <v>245</v>
      </c>
      <c r="I906" s="67">
        <v>3625</v>
      </c>
      <c r="J906" s="66" t="s">
        <v>246</v>
      </c>
    </row>
    <row r="907" spans="2:10" s="7" customFormat="1" x14ac:dyDescent="0.35">
      <c r="B907" s="7" t="s">
        <v>62</v>
      </c>
      <c r="C907" s="7" t="s">
        <v>63</v>
      </c>
      <c r="D907" s="7">
        <v>130</v>
      </c>
      <c r="E907" s="59">
        <v>340000</v>
      </c>
      <c r="F907" s="7" t="s">
        <v>36</v>
      </c>
      <c r="G907" s="7" t="s">
        <v>273</v>
      </c>
      <c r="H907" s="66" t="s">
        <v>245</v>
      </c>
      <c r="I907" s="67">
        <v>2615.3846153846152</v>
      </c>
      <c r="J907" s="66" t="s">
        <v>246</v>
      </c>
    </row>
    <row r="908" spans="2:10" s="7" customFormat="1" x14ac:dyDescent="0.35">
      <c r="B908" s="7" t="s">
        <v>98</v>
      </c>
      <c r="C908" s="7" t="s">
        <v>38</v>
      </c>
      <c r="D908" s="7">
        <v>133</v>
      </c>
      <c r="E908" s="59">
        <v>340000</v>
      </c>
      <c r="F908" s="7" t="s">
        <v>36</v>
      </c>
      <c r="G908" s="7" t="s">
        <v>273</v>
      </c>
      <c r="H908" s="66" t="s">
        <v>245</v>
      </c>
      <c r="I908" s="67">
        <v>2556.3909774436092</v>
      </c>
      <c r="J908" s="66" t="s">
        <v>246</v>
      </c>
    </row>
    <row r="909" spans="2:10" s="7" customFormat="1" x14ac:dyDescent="0.35">
      <c r="B909" s="7" t="s">
        <v>256</v>
      </c>
      <c r="C909" s="7" t="s">
        <v>64</v>
      </c>
      <c r="D909" s="7">
        <v>180</v>
      </c>
      <c r="E909" s="59">
        <v>390000</v>
      </c>
      <c r="F909" s="7" t="s">
        <v>36</v>
      </c>
      <c r="G909" s="7" t="s">
        <v>273</v>
      </c>
      <c r="H909" s="66" t="s">
        <v>245</v>
      </c>
      <c r="I909" s="67">
        <v>2166.6666666666665</v>
      </c>
      <c r="J909" s="66" t="s">
        <v>246</v>
      </c>
    </row>
    <row r="910" spans="2:10" s="7" customFormat="1" x14ac:dyDescent="0.35">
      <c r="B910" s="7" t="s">
        <v>65</v>
      </c>
      <c r="C910" s="7" t="s">
        <v>66</v>
      </c>
      <c r="D910" s="7">
        <v>140</v>
      </c>
      <c r="E910" s="59">
        <v>340000</v>
      </c>
      <c r="F910" s="7" t="s">
        <v>36</v>
      </c>
      <c r="G910" s="7" t="s">
        <v>273</v>
      </c>
      <c r="H910" s="66" t="s">
        <v>245</v>
      </c>
      <c r="I910" s="67">
        <v>2428.5714285714284</v>
      </c>
      <c r="J910" s="66" t="s">
        <v>246</v>
      </c>
    </row>
    <row r="911" spans="2:10" s="7" customFormat="1" x14ac:dyDescent="0.35">
      <c r="B911" s="7" t="s">
        <v>67</v>
      </c>
      <c r="C911" s="7" t="s">
        <v>38</v>
      </c>
      <c r="D911" s="7">
        <v>130</v>
      </c>
      <c r="E911" s="59">
        <v>340000</v>
      </c>
      <c r="F911" s="7" t="s">
        <v>36</v>
      </c>
      <c r="G911" s="7" t="s">
        <v>273</v>
      </c>
      <c r="H911" s="66" t="s">
        <v>245</v>
      </c>
      <c r="I911" s="67">
        <v>2615.3846153846152</v>
      </c>
      <c r="J911" s="66" t="s">
        <v>246</v>
      </c>
    </row>
    <row r="912" spans="2:10" s="7" customFormat="1" x14ac:dyDescent="0.35">
      <c r="B912" s="7" t="s">
        <v>68</v>
      </c>
      <c r="C912" s="7" t="s">
        <v>69</v>
      </c>
      <c r="D912" s="7">
        <v>90</v>
      </c>
      <c r="E912" s="59">
        <v>290000</v>
      </c>
      <c r="F912" s="7" t="s">
        <v>36</v>
      </c>
      <c r="G912" s="7" t="s">
        <v>273</v>
      </c>
      <c r="H912" s="66" t="s">
        <v>245</v>
      </c>
      <c r="I912" s="67">
        <v>3222.2222222222222</v>
      </c>
      <c r="J912" s="66" t="s">
        <v>246</v>
      </c>
    </row>
    <row r="913" spans="2:10" s="7" customFormat="1" x14ac:dyDescent="0.35">
      <c r="B913" s="7" t="s">
        <v>33</v>
      </c>
      <c r="C913" s="7" t="s">
        <v>34</v>
      </c>
      <c r="D913" s="7">
        <v>230</v>
      </c>
      <c r="E913" s="59">
        <v>440000</v>
      </c>
      <c r="F913" s="7" t="s">
        <v>36</v>
      </c>
      <c r="G913" s="7" t="s">
        <v>273</v>
      </c>
      <c r="H913" s="66" t="s">
        <v>245</v>
      </c>
      <c r="I913" s="67">
        <v>1913.0434782608695</v>
      </c>
      <c r="J913" s="66" t="s">
        <v>246</v>
      </c>
    </row>
    <row r="914" spans="2:10" s="7" customFormat="1" x14ac:dyDescent="0.35">
      <c r="B914" s="7" t="s">
        <v>257</v>
      </c>
      <c r="C914" s="7" t="s">
        <v>66</v>
      </c>
      <c r="D914" s="7">
        <v>144</v>
      </c>
      <c r="E914" s="59">
        <v>340000</v>
      </c>
      <c r="F914" s="7" t="s">
        <v>36</v>
      </c>
      <c r="G914" s="7" t="s">
        <v>273</v>
      </c>
      <c r="H914" s="66" t="s">
        <v>245</v>
      </c>
      <c r="I914" s="67">
        <v>2361.1111111111113</v>
      </c>
      <c r="J914" s="66" t="s">
        <v>246</v>
      </c>
    </row>
    <row r="915" spans="2:10" s="7" customFormat="1" x14ac:dyDescent="0.35">
      <c r="B915" s="7" t="s">
        <v>71</v>
      </c>
      <c r="C915" s="7" t="s">
        <v>43</v>
      </c>
      <c r="D915" s="7">
        <v>408</v>
      </c>
      <c r="E915" s="59">
        <v>860000</v>
      </c>
      <c r="F915" s="7" t="s">
        <v>36</v>
      </c>
      <c r="G915" s="7" t="s">
        <v>273</v>
      </c>
      <c r="H915" s="66" t="s">
        <v>245</v>
      </c>
      <c r="I915" s="67">
        <v>2107.8431372549021</v>
      </c>
      <c r="J915" s="66" t="s">
        <v>246</v>
      </c>
    </row>
    <row r="916" spans="2:10" s="7" customFormat="1" x14ac:dyDescent="0.35">
      <c r="B916" s="7" t="s">
        <v>72</v>
      </c>
      <c r="C916" s="7" t="s">
        <v>73</v>
      </c>
      <c r="D916" s="7">
        <v>310</v>
      </c>
      <c r="E916" s="59">
        <v>710000</v>
      </c>
      <c r="F916" s="7" t="s">
        <v>36</v>
      </c>
      <c r="G916" s="7" t="s">
        <v>273</v>
      </c>
      <c r="H916" s="66" t="s">
        <v>245</v>
      </c>
      <c r="I916" s="67">
        <v>2290.3225806451615</v>
      </c>
      <c r="J916" s="66" t="s">
        <v>246</v>
      </c>
    </row>
    <row r="917" spans="2:10" s="7" customFormat="1" x14ac:dyDescent="0.35">
      <c r="B917" s="7" t="s">
        <v>56</v>
      </c>
      <c r="C917" s="7" t="s">
        <v>57</v>
      </c>
      <c r="D917" s="7">
        <v>95</v>
      </c>
      <c r="E917" s="59">
        <v>290000</v>
      </c>
      <c r="F917" s="7" t="s">
        <v>36</v>
      </c>
      <c r="G917" s="7" t="s">
        <v>273</v>
      </c>
      <c r="H917" s="66" t="s">
        <v>245</v>
      </c>
      <c r="I917" s="67">
        <v>3052.6315789473683</v>
      </c>
      <c r="J917" s="66" t="s">
        <v>246</v>
      </c>
    </row>
    <row r="918" spans="2:10" s="7" customFormat="1" x14ac:dyDescent="0.35">
      <c r="B918" s="7" t="s">
        <v>260</v>
      </c>
      <c r="C918" s="7" t="s">
        <v>261</v>
      </c>
      <c r="D918" s="7">
        <v>305</v>
      </c>
      <c r="E918" s="59">
        <v>710000</v>
      </c>
      <c r="F918" s="7" t="s">
        <v>36</v>
      </c>
      <c r="G918" s="7" t="s">
        <v>273</v>
      </c>
      <c r="H918" s="66" t="s">
        <v>245</v>
      </c>
      <c r="I918" s="67">
        <v>2327.8688524590166</v>
      </c>
      <c r="J918" s="66" t="s">
        <v>246</v>
      </c>
    </row>
    <row r="919" spans="2:10" s="7" customFormat="1" x14ac:dyDescent="0.35">
      <c r="B919" s="7" t="s">
        <v>74</v>
      </c>
      <c r="C919" s="7" t="s">
        <v>75</v>
      </c>
      <c r="D919" s="7">
        <v>140</v>
      </c>
      <c r="E919" s="59">
        <v>340000</v>
      </c>
      <c r="F919" s="7" t="s">
        <v>36</v>
      </c>
      <c r="G919" s="7" t="s">
        <v>273</v>
      </c>
      <c r="H919" s="66" t="s">
        <v>245</v>
      </c>
      <c r="I919" s="67">
        <v>2428.5714285714284</v>
      </c>
      <c r="J919" s="66" t="s">
        <v>246</v>
      </c>
    </row>
    <row r="920" spans="2:10" s="7" customFormat="1" x14ac:dyDescent="0.35">
      <c r="B920" s="7" t="s">
        <v>76</v>
      </c>
      <c r="C920" s="7" t="s">
        <v>262</v>
      </c>
      <c r="D920" s="7">
        <v>130</v>
      </c>
      <c r="E920" s="59">
        <v>340000</v>
      </c>
      <c r="F920" s="7" t="s">
        <v>36</v>
      </c>
      <c r="G920" s="7" t="s">
        <v>273</v>
      </c>
      <c r="H920" s="66" t="s">
        <v>245</v>
      </c>
      <c r="I920" s="67">
        <v>2615.3846153846152</v>
      </c>
      <c r="J920" s="66" t="s">
        <v>246</v>
      </c>
    </row>
    <row r="921" spans="2:10" s="7" customFormat="1" x14ac:dyDescent="0.35">
      <c r="B921" s="7" t="s">
        <v>96</v>
      </c>
      <c r="C921" s="7" t="s">
        <v>255</v>
      </c>
      <c r="D921" s="7">
        <v>95</v>
      </c>
      <c r="E921" s="59">
        <v>290000</v>
      </c>
      <c r="F921" s="7" t="s">
        <v>36</v>
      </c>
      <c r="G921" s="7" t="s">
        <v>273</v>
      </c>
      <c r="H921" s="66" t="s">
        <v>245</v>
      </c>
      <c r="I921" s="67">
        <v>3052.6315789473683</v>
      </c>
      <c r="J921" s="66" t="s">
        <v>246</v>
      </c>
    </row>
    <row r="922" spans="2:10" s="7" customFormat="1" x14ac:dyDescent="0.35">
      <c r="B922" s="7" t="s">
        <v>263</v>
      </c>
      <c r="C922" s="7" t="s">
        <v>264</v>
      </c>
      <c r="D922" s="7">
        <v>350</v>
      </c>
      <c r="E922" s="59">
        <v>479080</v>
      </c>
      <c r="F922" s="7" t="s">
        <v>36</v>
      </c>
      <c r="G922" s="7" t="s">
        <v>273</v>
      </c>
      <c r="H922" s="66" t="s">
        <v>245</v>
      </c>
      <c r="I922" s="67">
        <v>1368.8</v>
      </c>
      <c r="J922" s="66" t="s">
        <v>246</v>
      </c>
    </row>
    <row r="923" spans="2:10" s="7" customFormat="1" x14ac:dyDescent="0.35">
      <c r="B923" s="7" t="s">
        <v>37</v>
      </c>
      <c r="C923" s="7" t="s">
        <v>38</v>
      </c>
      <c r="D923" s="7">
        <v>50</v>
      </c>
      <c r="E923" s="59">
        <v>240000</v>
      </c>
      <c r="F923" s="7" t="s">
        <v>35</v>
      </c>
      <c r="G923" s="7" t="s">
        <v>273</v>
      </c>
      <c r="H923" s="66" t="s">
        <v>245</v>
      </c>
      <c r="I923" s="67">
        <v>4800</v>
      </c>
      <c r="J923" s="66" t="s">
        <v>246</v>
      </c>
    </row>
    <row r="924" spans="2:10" s="7" customFormat="1" x14ac:dyDescent="0.35">
      <c r="B924" s="7" t="s">
        <v>40</v>
      </c>
      <c r="C924" s="7" t="s">
        <v>41</v>
      </c>
      <c r="D924" s="7">
        <v>211</v>
      </c>
      <c r="E924" s="59">
        <v>400000</v>
      </c>
      <c r="F924" s="7" t="s">
        <v>35</v>
      </c>
      <c r="G924" s="7" t="s">
        <v>273</v>
      </c>
      <c r="H924" s="66" t="s">
        <v>245</v>
      </c>
      <c r="I924" s="67">
        <v>1895.7345971563982</v>
      </c>
      <c r="J924" s="66" t="s">
        <v>246</v>
      </c>
    </row>
    <row r="925" spans="2:10" s="7" customFormat="1" x14ac:dyDescent="0.35">
      <c r="B925" s="7" t="s">
        <v>247</v>
      </c>
      <c r="C925" s="7" t="s">
        <v>248</v>
      </c>
      <c r="D925" s="7">
        <v>206</v>
      </c>
      <c r="E925" s="59">
        <v>400000</v>
      </c>
      <c r="F925" s="7" t="s">
        <v>35</v>
      </c>
      <c r="G925" s="7" t="s">
        <v>273</v>
      </c>
      <c r="H925" s="66" t="s">
        <v>245</v>
      </c>
      <c r="I925" s="67">
        <v>1941.7475728155339</v>
      </c>
      <c r="J925" s="66" t="s">
        <v>246</v>
      </c>
    </row>
    <row r="926" spans="2:10" s="7" customFormat="1" x14ac:dyDescent="0.35">
      <c r="B926" s="7" t="s">
        <v>251</v>
      </c>
      <c r="C926" s="7" t="s">
        <v>252</v>
      </c>
      <c r="D926" s="7">
        <v>80</v>
      </c>
      <c r="E926" s="59">
        <v>290000</v>
      </c>
      <c r="F926" s="7" t="s">
        <v>35</v>
      </c>
      <c r="G926" s="7" t="s">
        <v>273</v>
      </c>
      <c r="H926" s="66" t="s">
        <v>245</v>
      </c>
      <c r="I926" s="67">
        <v>3625</v>
      </c>
      <c r="J926" s="66" t="s">
        <v>246</v>
      </c>
    </row>
    <row r="927" spans="2:10" s="7" customFormat="1" x14ac:dyDescent="0.35">
      <c r="B927" s="7" t="s">
        <v>42</v>
      </c>
      <c r="C927" s="7" t="s">
        <v>43</v>
      </c>
      <c r="D927" s="7">
        <v>450</v>
      </c>
      <c r="E927" s="59">
        <v>900000</v>
      </c>
      <c r="F927" s="7" t="s">
        <v>35</v>
      </c>
      <c r="G927" s="7" t="s">
        <v>273</v>
      </c>
      <c r="H927" s="66" t="s">
        <v>245</v>
      </c>
      <c r="I927" s="67">
        <v>2000</v>
      </c>
      <c r="J927" s="66" t="s">
        <v>246</v>
      </c>
    </row>
    <row r="928" spans="2:10" s="7" customFormat="1" x14ac:dyDescent="0.35">
      <c r="B928" s="7" t="s">
        <v>253</v>
      </c>
      <c r="C928" s="7" t="s">
        <v>70</v>
      </c>
      <c r="D928" s="7">
        <v>50</v>
      </c>
      <c r="E928" s="59">
        <v>240000</v>
      </c>
      <c r="F928" s="7" t="s">
        <v>35</v>
      </c>
      <c r="G928" s="7" t="s">
        <v>273</v>
      </c>
      <c r="H928" s="66" t="s">
        <v>245</v>
      </c>
      <c r="I928" s="67">
        <v>4800</v>
      </c>
      <c r="J928" s="66" t="s">
        <v>246</v>
      </c>
    </row>
    <row r="929" spans="2:10" s="7" customFormat="1" x14ac:dyDescent="0.35">
      <c r="B929" s="7" t="s">
        <v>249</v>
      </c>
      <c r="C929" s="7" t="s">
        <v>44</v>
      </c>
      <c r="D929" s="7">
        <v>60</v>
      </c>
      <c r="E929" s="59">
        <v>240000</v>
      </c>
      <c r="F929" s="7" t="s">
        <v>35</v>
      </c>
      <c r="G929" s="7" t="s">
        <v>273</v>
      </c>
      <c r="H929" s="66" t="s">
        <v>245</v>
      </c>
      <c r="I929" s="67">
        <v>4000</v>
      </c>
      <c r="J929" s="66" t="s">
        <v>246</v>
      </c>
    </row>
    <row r="930" spans="2:10" s="7" customFormat="1" x14ac:dyDescent="0.35">
      <c r="B930" s="7" t="s">
        <v>29</v>
      </c>
      <c r="C930" s="7" t="s">
        <v>30</v>
      </c>
      <c r="D930" s="7">
        <v>100</v>
      </c>
      <c r="E930" s="59">
        <v>300000</v>
      </c>
      <c r="F930" s="7" t="s">
        <v>35</v>
      </c>
      <c r="G930" s="7" t="s">
        <v>273</v>
      </c>
      <c r="H930" s="66" t="s">
        <v>245</v>
      </c>
      <c r="I930" s="67">
        <v>3000</v>
      </c>
      <c r="J930" s="66" t="s">
        <v>246</v>
      </c>
    </row>
    <row r="931" spans="2:10" s="7" customFormat="1" x14ac:dyDescent="0.35">
      <c r="B931" s="7" t="s">
        <v>45</v>
      </c>
      <c r="C931" s="7" t="s">
        <v>46</v>
      </c>
      <c r="D931" s="7">
        <v>190</v>
      </c>
      <c r="E931" s="59">
        <v>390000</v>
      </c>
      <c r="F931" s="7" t="s">
        <v>35</v>
      </c>
      <c r="G931" s="7" t="s">
        <v>273</v>
      </c>
      <c r="H931" s="66" t="s">
        <v>245</v>
      </c>
      <c r="I931" s="67">
        <v>2052.6315789473683</v>
      </c>
      <c r="J931" s="66" t="s">
        <v>246</v>
      </c>
    </row>
    <row r="932" spans="2:10" s="7" customFormat="1" x14ac:dyDescent="0.35">
      <c r="B932" s="7" t="s">
        <v>47</v>
      </c>
      <c r="C932" s="7" t="s">
        <v>48</v>
      </c>
      <c r="D932" s="7">
        <v>75</v>
      </c>
      <c r="E932" s="59">
        <v>280000</v>
      </c>
      <c r="F932" s="7" t="s">
        <v>35</v>
      </c>
      <c r="G932" s="7" t="s">
        <v>273</v>
      </c>
      <c r="H932" s="66" t="s">
        <v>245</v>
      </c>
      <c r="I932" s="67">
        <v>3733.3333333333335</v>
      </c>
      <c r="J932" s="66" t="s">
        <v>246</v>
      </c>
    </row>
    <row r="933" spans="2:10" s="7" customFormat="1" x14ac:dyDescent="0.35">
      <c r="B933" s="7" t="s">
        <v>95</v>
      </c>
      <c r="C933" s="7" t="s">
        <v>254</v>
      </c>
      <c r="D933" s="7">
        <v>160</v>
      </c>
      <c r="E933" s="59">
        <v>350000</v>
      </c>
      <c r="F933" s="7" t="s">
        <v>35</v>
      </c>
      <c r="G933" s="7" t="s">
        <v>273</v>
      </c>
      <c r="H933" s="66" t="s">
        <v>245</v>
      </c>
      <c r="I933" s="67">
        <v>2187.5</v>
      </c>
      <c r="J933" s="66" t="s">
        <v>246</v>
      </c>
    </row>
    <row r="934" spans="2:10" s="7" customFormat="1" x14ac:dyDescent="0.35">
      <c r="B934" s="7" t="s">
        <v>55</v>
      </c>
      <c r="C934" s="7" t="s">
        <v>41</v>
      </c>
      <c r="D934" s="7">
        <v>210</v>
      </c>
      <c r="E934" s="59">
        <v>400000</v>
      </c>
      <c r="F934" s="7" t="s">
        <v>35</v>
      </c>
      <c r="G934" s="7" t="s">
        <v>273</v>
      </c>
      <c r="H934" s="66" t="s">
        <v>245</v>
      </c>
      <c r="I934" s="67">
        <v>1904.7619047619048</v>
      </c>
      <c r="J934" s="66" t="s">
        <v>246</v>
      </c>
    </row>
    <row r="935" spans="2:10" s="7" customFormat="1" x14ac:dyDescent="0.35">
      <c r="B935" s="7" t="s">
        <v>52</v>
      </c>
      <c r="C935" s="7" t="s">
        <v>53</v>
      </c>
      <c r="D935" s="7">
        <v>25</v>
      </c>
      <c r="E935" s="59">
        <v>210000</v>
      </c>
      <c r="F935" s="7" t="s">
        <v>35</v>
      </c>
      <c r="G935" s="7" t="s">
        <v>273</v>
      </c>
      <c r="H935" s="66" t="s">
        <v>245</v>
      </c>
      <c r="I935" s="67">
        <v>8400</v>
      </c>
      <c r="J935" s="66" t="s">
        <v>246</v>
      </c>
    </row>
    <row r="936" spans="2:10" s="7" customFormat="1" x14ac:dyDescent="0.35">
      <c r="B936" s="7" t="s">
        <v>58</v>
      </c>
      <c r="C936" s="7" t="s">
        <v>59</v>
      </c>
      <c r="D936" s="7">
        <v>35</v>
      </c>
      <c r="E936" s="59">
        <v>250000</v>
      </c>
      <c r="F936" s="7" t="s">
        <v>35</v>
      </c>
      <c r="G936" s="7" t="s">
        <v>273</v>
      </c>
      <c r="H936" s="66" t="s">
        <v>245</v>
      </c>
      <c r="I936" s="67">
        <v>7142.8571428571431</v>
      </c>
      <c r="J936" s="66" t="s">
        <v>246</v>
      </c>
    </row>
    <row r="937" spans="2:10" s="7" customFormat="1" x14ac:dyDescent="0.35">
      <c r="B937" s="7" t="s">
        <v>97</v>
      </c>
      <c r="C937" s="7" t="s">
        <v>255</v>
      </c>
      <c r="D937" s="7">
        <v>75</v>
      </c>
      <c r="E937" s="59">
        <v>280000</v>
      </c>
      <c r="F937" s="7" t="s">
        <v>35</v>
      </c>
      <c r="G937" s="7" t="s">
        <v>273</v>
      </c>
      <c r="H937" s="66" t="s">
        <v>245</v>
      </c>
      <c r="I937" s="67">
        <v>3733.3333333333335</v>
      </c>
      <c r="J937" s="66" t="s">
        <v>246</v>
      </c>
    </row>
    <row r="938" spans="2:10" s="7" customFormat="1" x14ac:dyDescent="0.35">
      <c r="B938" s="7" t="s">
        <v>60</v>
      </c>
      <c r="C938" s="7" t="s">
        <v>61</v>
      </c>
      <c r="D938" s="7">
        <v>75</v>
      </c>
      <c r="E938" s="59">
        <v>280000</v>
      </c>
      <c r="F938" s="7" t="s">
        <v>35</v>
      </c>
      <c r="G938" s="7" t="s">
        <v>273</v>
      </c>
      <c r="H938" s="66" t="s">
        <v>245</v>
      </c>
      <c r="I938" s="67">
        <v>3733.3333333333335</v>
      </c>
      <c r="J938" s="66" t="s">
        <v>246</v>
      </c>
    </row>
    <row r="939" spans="2:10" s="7" customFormat="1" x14ac:dyDescent="0.35">
      <c r="B939" s="7" t="s">
        <v>62</v>
      </c>
      <c r="C939" s="7" t="s">
        <v>63</v>
      </c>
      <c r="D939" s="7">
        <v>55</v>
      </c>
      <c r="E939" s="59">
        <v>240000</v>
      </c>
      <c r="F939" s="7" t="s">
        <v>35</v>
      </c>
      <c r="G939" s="7" t="s">
        <v>273</v>
      </c>
      <c r="H939" s="66" t="s">
        <v>245</v>
      </c>
      <c r="I939" s="67">
        <v>4363.636363636364</v>
      </c>
      <c r="J939" s="66" t="s">
        <v>246</v>
      </c>
    </row>
    <row r="940" spans="2:10" s="7" customFormat="1" x14ac:dyDescent="0.35">
      <c r="B940" s="7" t="s">
        <v>98</v>
      </c>
      <c r="C940" s="7" t="s">
        <v>38</v>
      </c>
      <c r="D940" s="7">
        <v>45</v>
      </c>
      <c r="E940" s="59">
        <v>250000</v>
      </c>
      <c r="F940" s="7" t="s">
        <v>35</v>
      </c>
      <c r="G940" s="7" t="s">
        <v>273</v>
      </c>
      <c r="H940" s="66" t="s">
        <v>245</v>
      </c>
      <c r="I940" s="67">
        <v>5555.5555555555557</v>
      </c>
      <c r="J940" s="66" t="s">
        <v>246</v>
      </c>
    </row>
    <row r="941" spans="2:10" s="7" customFormat="1" x14ac:dyDescent="0.35">
      <c r="B941" s="7" t="s">
        <v>256</v>
      </c>
      <c r="C941" s="7" t="s">
        <v>64</v>
      </c>
      <c r="D941" s="7">
        <v>105</v>
      </c>
      <c r="E941" s="59">
        <v>300000</v>
      </c>
      <c r="F941" s="7" t="s">
        <v>35</v>
      </c>
      <c r="G941" s="7" t="s">
        <v>273</v>
      </c>
      <c r="H941" s="66" t="s">
        <v>245</v>
      </c>
      <c r="I941" s="67">
        <v>2857.1428571428573</v>
      </c>
      <c r="J941" s="66" t="s">
        <v>246</v>
      </c>
    </row>
    <row r="942" spans="2:10" s="7" customFormat="1" x14ac:dyDescent="0.35">
      <c r="B942" s="7" t="s">
        <v>65</v>
      </c>
      <c r="C942" s="7" t="s">
        <v>66</v>
      </c>
      <c r="D942" s="7">
        <v>45</v>
      </c>
      <c r="E942" s="59">
        <v>250000</v>
      </c>
      <c r="F942" s="7" t="s">
        <v>35</v>
      </c>
      <c r="G942" s="7" t="s">
        <v>273</v>
      </c>
      <c r="H942" s="66" t="s">
        <v>245</v>
      </c>
      <c r="I942" s="67">
        <v>5555.5555555555557</v>
      </c>
      <c r="J942" s="66" t="s">
        <v>246</v>
      </c>
    </row>
    <row r="943" spans="2:10" s="7" customFormat="1" x14ac:dyDescent="0.35">
      <c r="B943" s="7" t="s">
        <v>67</v>
      </c>
      <c r="C943" s="7" t="s">
        <v>38</v>
      </c>
      <c r="D943" s="7">
        <v>40</v>
      </c>
      <c r="E943" s="59">
        <v>250000</v>
      </c>
      <c r="F943" s="7" t="s">
        <v>35</v>
      </c>
      <c r="G943" s="7" t="s">
        <v>273</v>
      </c>
      <c r="H943" s="66" t="s">
        <v>245</v>
      </c>
      <c r="I943" s="67">
        <v>6250</v>
      </c>
      <c r="J943" s="66" t="s">
        <v>246</v>
      </c>
    </row>
    <row r="944" spans="2:10" s="7" customFormat="1" x14ac:dyDescent="0.35">
      <c r="B944" s="7" t="s">
        <v>68</v>
      </c>
      <c r="C944" s="7" t="s">
        <v>69</v>
      </c>
      <c r="D944" s="7">
        <v>80</v>
      </c>
      <c r="E944" s="59">
        <v>290000</v>
      </c>
      <c r="F944" s="7" t="s">
        <v>35</v>
      </c>
      <c r="G944" s="7" t="s">
        <v>273</v>
      </c>
      <c r="H944" s="66" t="s">
        <v>245</v>
      </c>
      <c r="I944" s="67">
        <v>3625</v>
      </c>
      <c r="J944" s="66" t="s">
        <v>246</v>
      </c>
    </row>
    <row r="945" spans="2:10" s="7" customFormat="1" x14ac:dyDescent="0.35">
      <c r="B945" s="7" t="s">
        <v>33</v>
      </c>
      <c r="C945" s="7" t="s">
        <v>34</v>
      </c>
      <c r="D945" s="7">
        <v>145</v>
      </c>
      <c r="E945" s="59">
        <v>340000</v>
      </c>
      <c r="F945" s="7" t="s">
        <v>35</v>
      </c>
      <c r="G945" s="7" t="s">
        <v>273</v>
      </c>
      <c r="H945" s="66" t="s">
        <v>245</v>
      </c>
      <c r="I945" s="67">
        <v>2344.8275862068967</v>
      </c>
      <c r="J945" s="66" t="s">
        <v>246</v>
      </c>
    </row>
    <row r="946" spans="2:10" s="7" customFormat="1" x14ac:dyDescent="0.35">
      <c r="B946" s="7" t="s">
        <v>257</v>
      </c>
      <c r="C946" s="7" t="s">
        <v>66</v>
      </c>
      <c r="D946" s="7">
        <v>60</v>
      </c>
      <c r="E946" s="59">
        <v>240000</v>
      </c>
      <c r="F946" s="7" t="s">
        <v>35</v>
      </c>
      <c r="G946" s="7" t="s">
        <v>273</v>
      </c>
      <c r="H946" s="66" t="s">
        <v>245</v>
      </c>
      <c r="I946" s="67">
        <v>4000</v>
      </c>
      <c r="J946" s="66" t="s">
        <v>246</v>
      </c>
    </row>
    <row r="947" spans="2:10" s="7" customFormat="1" x14ac:dyDescent="0.35">
      <c r="B947" s="7" t="s">
        <v>71</v>
      </c>
      <c r="C947" s="7" t="s">
        <v>43</v>
      </c>
      <c r="D947" s="7">
        <v>50</v>
      </c>
      <c r="E947" s="59">
        <v>1100000</v>
      </c>
      <c r="F947" s="7" t="s">
        <v>35</v>
      </c>
      <c r="G947" s="7" t="s">
        <v>273</v>
      </c>
      <c r="H947" s="66" t="s">
        <v>245</v>
      </c>
      <c r="I947" s="67">
        <v>22000</v>
      </c>
      <c r="J947" s="66" t="s">
        <v>246</v>
      </c>
    </row>
    <row r="948" spans="2:10" s="7" customFormat="1" x14ac:dyDescent="0.35">
      <c r="B948" s="7" t="s">
        <v>258</v>
      </c>
      <c r="C948" s="7" t="s">
        <v>259</v>
      </c>
      <c r="D948" s="7">
        <v>95</v>
      </c>
      <c r="E948" s="59">
        <v>290000</v>
      </c>
      <c r="F948" s="7" t="s">
        <v>35</v>
      </c>
      <c r="G948" s="7" t="s">
        <v>273</v>
      </c>
      <c r="H948" s="66" t="s">
        <v>245</v>
      </c>
      <c r="I948" s="67">
        <v>3052.6315789473683</v>
      </c>
      <c r="J948" s="66" t="s">
        <v>246</v>
      </c>
    </row>
    <row r="949" spans="2:10" s="7" customFormat="1" x14ac:dyDescent="0.35">
      <c r="B949" s="7" t="s">
        <v>72</v>
      </c>
      <c r="C949" s="7" t="s">
        <v>73</v>
      </c>
      <c r="D949" s="7">
        <v>230</v>
      </c>
      <c r="E949" s="59">
        <v>440000</v>
      </c>
      <c r="F949" s="7" t="s">
        <v>35</v>
      </c>
      <c r="G949" s="7" t="s">
        <v>273</v>
      </c>
      <c r="H949" s="66" t="s">
        <v>245</v>
      </c>
      <c r="I949" s="67">
        <v>1913.0434782608695</v>
      </c>
      <c r="J949" s="66" t="s">
        <v>246</v>
      </c>
    </row>
    <row r="950" spans="2:10" s="7" customFormat="1" x14ac:dyDescent="0.35">
      <c r="B950" s="7" t="s">
        <v>56</v>
      </c>
      <c r="C950" s="7" t="s">
        <v>57</v>
      </c>
      <c r="D950" s="7">
        <v>50</v>
      </c>
      <c r="E950" s="59">
        <v>240000</v>
      </c>
      <c r="F950" s="7" t="s">
        <v>35</v>
      </c>
      <c r="G950" s="7" t="s">
        <v>273</v>
      </c>
      <c r="H950" s="66" t="s">
        <v>245</v>
      </c>
      <c r="I950" s="67">
        <v>4800</v>
      </c>
      <c r="J950" s="66" t="s">
        <v>246</v>
      </c>
    </row>
    <row r="951" spans="2:10" s="7" customFormat="1" x14ac:dyDescent="0.35">
      <c r="B951" s="7" t="s">
        <v>260</v>
      </c>
      <c r="C951" s="7" t="s">
        <v>261</v>
      </c>
      <c r="D951" s="7">
        <v>225</v>
      </c>
      <c r="E951" s="59">
        <v>400000</v>
      </c>
      <c r="F951" s="7" t="s">
        <v>35</v>
      </c>
      <c r="G951" s="7" t="s">
        <v>273</v>
      </c>
      <c r="H951" s="66" t="s">
        <v>245</v>
      </c>
      <c r="I951" s="67">
        <v>1777.7777777777778</v>
      </c>
      <c r="J951" s="66" t="s">
        <v>246</v>
      </c>
    </row>
    <row r="952" spans="2:10" s="7" customFormat="1" x14ac:dyDescent="0.35">
      <c r="B952" s="7" t="s">
        <v>74</v>
      </c>
      <c r="C952" s="7" t="s">
        <v>75</v>
      </c>
      <c r="D952" s="7">
        <v>60</v>
      </c>
      <c r="E952" s="59">
        <v>240000</v>
      </c>
      <c r="F952" s="7" t="s">
        <v>35</v>
      </c>
      <c r="G952" s="7" t="s">
        <v>273</v>
      </c>
      <c r="H952" s="66" t="s">
        <v>245</v>
      </c>
      <c r="I952" s="67">
        <v>4000</v>
      </c>
      <c r="J952" s="66" t="s">
        <v>246</v>
      </c>
    </row>
    <row r="953" spans="2:10" s="7" customFormat="1" x14ac:dyDescent="0.35">
      <c r="B953" s="7" t="s">
        <v>76</v>
      </c>
      <c r="C953" s="7" t="s">
        <v>262</v>
      </c>
      <c r="D953" s="7">
        <v>55</v>
      </c>
      <c r="E953" s="59">
        <v>240000</v>
      </c>
      <c r="F953" s="7" t="s">
        <v>35</v>
      </c>
      <c r="G953" s="7" t="s">
        <v>273</v>
      </c>
      <c r="H953" s="66" t="s">
        <v>245</v>
      </c>
      <c r="I953" s="67">
        <v>4363.636363636364</v>
      </c>
      <c r="J953" s="66" t="s">
        <v>246</v>
      </c>
    </row>
    <row r="954" spans="2:10" s="7" customFormat="1" x14ac:dyDescent="0.35">
      <c r="B954" s="7" t="s">
        <v>96</v>
      </c>
      <c r="C954" s="7" t="s">
        <v>255</v>
      </c>
      <c r="D954" s="7">
        <v>60</v>
      </c>
      <c r="E954" s="59">
        <v>240000</v>
      </c>
      <c r="F954" s="7" t="s">
        <v>35</v>
      </c>
      <c r="G954" s="7" t="s">
        <v>273</v>
      </c>
      <c r="H954" s="66" t="s">
        <v>245</v>
      </c>
      <c r="I954" s="67">
        <v>4000</v>
      </c>
      <c r="J954" s="66" t="s">
        <v>246</v>
      </c>
    </row>
    <row r="955" spans="2:10" s="7" customFormat="1" x14ac:dyDescent="0.35">
      <c r="B955" s="7" t="s">
        <v>263</v>
      </c>
      <c r="C955" s="7" t="s">
        <v>264</v>
      </c>
      <c r="D955" s="7">
        <v>250</v>
      </c>
      <c r="E955" s="59">
        <v>487200</v>
      </c>
      <c r="F955" s="7" t="s">
        <v>35</v>
      </c>
      <c r="G955" s="7" t="s">
        <v>273</v>
      </c>
      <c r="H955" s="66" t="s">
        <v>245</v>
      </c>
      <c r="I955" s="67">
        <v>1948.8</v>
      </c>
      <c r="J955" s="66" t="s">
        <v>246</v>
      </c>
    </row>
    <row r="956" spans="2:10" s="7" customFormat="1" x14ac:dyDescent="0.35">
      <c r="B956" s="7" t="s">
        <v>37</v>
      </c>
      <c r="C956" s="7" t="s">
        <v>38</v>
      </c>
      <c r="D956" s="7">
        <v>108</v>
      </c>
      <c r="E956" s="59">
        <v>475200</v>
      </c>
      <c r="F956" s="7" t="s">
        <v>31</v>
      </c>
      <c r="G956" s="7" t="s">
        <v>274</v>
      </c>
      <c r="H956" s="66" t="s">
        <v>245</v>
      </c>
      <c r="I956" s="67">
        <v>4400</v>
      </c>
      <c r="J956" s="66" t="s">
        <v>246</v>
      </c>
    </row>
    <row r="957" spans="2:10" s="7" customFormat="1" x14ac:dyDescent="0.35">
      <c r="B957" s="7" t="s">
        <v>40</v>
      </c>
      <c r="C957" s="7" t="s">
        <v>41</v>
      </c>
      <c r="D957" s="7">
        <v>264</v>
      </c>
      <c r="E957" s="59">
        <v>1161600</v>
      </c>
      <c r="F957" s="7" t="s">
        <v>31</v>
      </c>
      <c r="G957" s="7" t="s">
        <v>274</v>
      </c>
      <c r="H957" s="66" t="s">
        <v>245</v>
      </c>
      <c r="I957" s="67">
        <v>4400</v>
      </c>
      <c r="J957" s="66" t="s">
        <v>246</v>
      </c>
    </row>
    <row r="958" spans="2:10" s="7" customFormat="1" x14ac:dyDescent="0.35">
      <c r="B958" s="7" t="s">
        <v>247</v>
      </c>
      <c r="C958" s="7" t="s">
        <v>248</v>
      </c>
      <c r="D958" s="7">
        <v>258</v>
      </c>
      <c r="E958" s="59">
        <v>1100000</v>
      </c>
      <c r="F958" s="7" t="s">
        <v>31</v>
      </c>
      <c r="G958" s="7" t="s">
        <v>274</v>
      </c>
      <c r="H958" s="66" t="s">
        <v>245</v>
      </c>
      <c r="I958" s="67">
        <v>4263.5658914728683</v>
      </c>
      <c r="J958" s="66" t="s">
        <v>246</v>
      </c>
    </row>
    <row r="959" spans="2:10" s="7" customFormat="1" x14ac:dyDescent="0.35">
      <c r="B959" s="7" t="s">
        <v>251</v>
      </c>
      <c r="C959" s="7" t="s">
        <v>252</v>
      </c>
      <c r="D959" s="7">
        <v>143</v>
      </c>
      <c r="E959" s="59">
        <v>629200</v>
      </c>
      <c r="F959" s="7" t="s">
        <v>31</v>
      </c>
      <c r="G959" s="7" t="s">
        <v>274</v>
      </c>
      <c r="H959" s="66" t="s">
        <v>245</v>
      </c>
      <c r="I959" s="67">
        <v>4400</v>
      </c>
      <c r="J959" s="66" t="s">
        <v>246</v>
      </c>
    </row>
    <row r="960" spans="2:10" s="7" customFormat="1" x14ac:dyDescent="0.35">
      <c r="B960" s="7" t="s">
        <v>42</v>
      </c>
      <c r="C960" s="7" t="s">
        <v>43</v>
      </c>
      <c r="D960" s="7">
        <v>499</v>
      </c>
      <c r="E960" s="59">
        <v>2195600</v>
      </c>
      <c r="F960" s="7" t="s">
        <v>31</v>
      </c>
      <c r="G960" s="7" t="s">
        <v>274</v>
      </c>
      <c r="H960" s="66" t="s">
        <v>245</v>
      </c>
      <c r="I960" s="67">
        <v>4400</v>
      </c>
      <c r="J960" s="66" t="s">
        <v>246</v>
      </c>
    </row>
    <row r="961" spans="2:10" s="7" customFormat="1" x14ac:dyDescent="0.35">
      <c r="B961" s="7" t="s">
        <v>253</v>
      </c>
      <c r="C961" s="7" t="s">
        <v>70</v>
      </c>
      <c r="D961" s="7">
        <v>113</v>
      </c>
      <c r="E961" s="59">
        <v>497200</v>
      </c>
      <c r="F961" s="7" t="s">
        <v>31</v>
      </c>
      <c r="G961" s="7" t="s">
        <v>274</v>
      </c>
      <c r="H961" s="66" t="s">
        <v>245</v>
      </c>
      <c r="I961" s="67">
        <v>4400</v>
      </c>
      <c r="J961" s="66" t="s">
        <v>246</v>
      </c>
    </row>
    <row r="962" spans="2:10" s="7" customFormat="1" x14ac:dyDescent="0.35">
      <c r="B962" s="7" t="s">
        <v>249</v>
      </c>
      <c r="C962" s="7" t="s">
        <v>44</v>
      </c>
      <c r="D962" s="7">
        <v>150</v>
      </c>
      <c r="E962" s="59">
        <v>660000</v>
      </c>
      <c r="F962" s="7" t="s">
        <v>31</v>
      </c>
      <c r="G962" s="7" t="s">
        <v>274</v>
      </c>
      <c r="H962" s="66" t="s">
        <v>245</v>
      </c>
      <c r="I962" s="67">
        <v>4400</v>
      </c>
      <c r="J962" s="66" t="s">
        <v>246</v>
      </c>
    </row>
    <row r="963" spans="2:10" s="7" customFormat="1" x14ac:dyDescent="0.35">
      <c r="B963" s="7" t="s">
        <v>29</v>
      </c>
      <c r="C963" s="7" t="s">
        <v>30</v>
      </c>
      <c r="D963" s="7">
        <v>240</v>
      </c>
      <c r="E963" s="59">
        <v>1056000</v>
      </c>
      <c r="F963" s="7" t="s">
        <v>31</v>
      </c>
      <c r="G963" s="7" t="s">
        <v>274</v>
      </c>
      <c r="H963" s="66" t="s">
        <v>245</v>
      </c>
      <c r="I963" s="67">
        <v>4400</v>
      </c>
      <c r="J963" s="66" t="s">
        <v>246</v>
      </c>
    </row>
    <row r="964" spans="2:10" s="7" customFormat="1" x14ac:dyDescent="0.35">
      <c r="B964" s="7" t="s">
        <v>45</v>
      </c>
      <c r="C964" s="7" t="s">
        <v>46</v>
      </c>
      <c r="D964" s="7">
        <v>240</v>
      </c>
      <c r="E964" s="59">
        <v>1056000</v>
      </c>
      <c r="F964" s="7" t="s">
        <v>31</v>
      </c>
      <c r="G964" s="7" t="s">
        <v>274</v>
      </c>
      <c r="H964" s="66" t="s">
        <v>245</v>
      </c>
      <c r="I964" s="67">
        <v>4400</v>
      </c>
      <c r="J964" s="66" t="s">
        <v>246</v>
      </c>
    </row>
    <row r="965" spans="2:10" s="7" customFormat="1" x14ac:dyDescent="0.35">
      <c r="B965" s="7" t="s">
        <v>47</v>
      </c>
      <c r="C965" s="7" t="s">
        <v>48</v>
      </c>
      <c r="D965" s="7">
        <v>124</v>
      </c>
      <c r="E965" s="59">
        <v>545600</v>
      </c>
      <c r="F965" s="7" t="s">
        <v>31</v>
      </c>
      <c r="G965" s="7" t="s">
        <v>274</v>
      </c>
      <c r="H965" s="66" t="s">
        <v>245</v>
      </c>
      <c r="I965" s="67">
        <v>4400</v>
      </c>
      <c r="J965" s="66" t="s">
        <v>246</v>
      </c>
    </row>
    <row r="966" spans="2:10" s="7" customFormat="1" x14ac:dyDescent="0.35">
      <c r="B966" s="7" t="s">
        <v>49</v>
      </c>
      <c r="C966" s="7" t="s">
        <v>50</v>
      </c>
      <c r="D966" s="7">
        <v>3</v>
      </c>
      <c r="E966" s="59">
        <v>200000</v>
      </c>
      <c r="F966" s="7" t="s">
        <v>31</v>
      </c>
      <c r="G966" s="7" t="s">
        <v>274</v>
      </c>
      <c r="H966" s="66" t="s">
        <v>245</v>
      </c>
      <c r="I966" s="67">
        <v>66666.666666666672</v>
      </c>
      <c r="J966" s="66" t="s">
        <v>246</v>
      </c>
    </row>
    <row r="967" spans="2:10" s="7" customFormat="1" x14ac:dyDescent="0.35">
      <c r="B967" s="7" t="s">
        <v>95</v>
      </c>
      <c r="C967" s="7" t="s">
        <v>254</v>
      </c>
      <c r="D967" s="7">
        <v>208</v>
      </c>
      <c r="E967" s="59">
        <v>915200</v>
      </c>
      <c r="F967" s="7" t="s">
        <v>31</v>
      </c>
      <c r="G967" s="7" t="s">
        <v>274</v>
      </c>
      <c r="H967" s="66" t="s">
        <v>245</v>
      </c>
      <c r="I967" s="67">
        <v>4400</v>
      </c>
      <c r="J967" s="66" t="s">
        <v>246</v>
      </c>
    </row>
    <row r="968" spans="2:10" s="7" customFormat="1" x14ac:dyDescent="0.35">
      <c r="B968" s="7" t="s">
        <v>51</v>
      </c>
      <c r="C968" s="7" t="s">
        <v>50</v>
      </c>
      <c r="D968" s="7">
        <v>3</v>
      </c>
      <c r="E968" s="59">
        <v>200000</v>
      </c>
      <c r="F968" s="7" t="s">
        <v>31</v>
      </c>
      <c r="G968" s="7" t="s">
        <v>274</v>
      </c>
      <c r="H968" s="66" t="s">
        <v>245</v>
      </c>
      <c r="I968" s="67">
        <v>66666.666666666672</v>
      </c>
      <c r="J968" s="66" t="s">
        <v>246</v>
      </c>
    </row>
    <row r="969" spans="2:10" s="7" customFormat="1" x14ac:dyDescent="0.35">
      <c r="B969" s="7" t="s">
        <v>55</v>
      </c>
      <c r="C969" s="7" t="s">
        <v>41</v>
      </c>
      <c r="D969" s="7">
        <v>260</v>
      </c>
      <c r="E969" s="59">
        <v>1144000</v>
      </c>
      <c r="F969" s="7" t="s">
        <v>31</v>
      </c>
      <c r="G969" s="7" t="s">
        <v>274</v>
      </c>
      <c r="H969" s="66" t="s">
        <v>245</v>
      </c>
      <c r="I969" s="67">
        <v>4400</v>
      </c>
      <c r="J969" s="66" t="s">
        <v>246</v>
      </c>
    </row>
    <row r="970" spans="2:10" s="7" customFormat="1" x14ac:dyDescent="0.35">
      <c r="B970" s="7" t="s">
        <v>52</v>
      </c>
      <c r="C970" s="7" t="s">
        <v>53</v>
      </c>
      <c r="D970" s="7">
        <v>45</v>
      </c>
      <c r="E970" s="59">
        <v>300000</v>
      </c>
      <c r="F970" s="7" t="s">
        <v>31</v>
      </c>
      <c r="G970" s="7" t="s">
        <v>274</v>
      </c>
      <c r="H970" s="66" t="s">
        <v>245</v>
      </c>
      <c r="I970" s="67">
        <v>6666.666666666667</v>
      </c>
      <c r="J970" s="66" t="s">
        <v>246</v>
      </c>
    </row>
    <row r="971" spans="2:10" s="7" customFormat="1" x14ac:dyDescent="0.35">
      <c r="B971" s="7" t="s">
        <v>58</v>
      </c>
      <c r="C971" s="7" t="s">
        <v>59</v>
      </c>
      <c r="D971" s="7">
        <v>98</v>
      </c>
      <c r="E971" s="59">
        <v>431200</v>
      </c>
      <c r="F971" s="7" t="s">
        <v>31</v>
      </c>
      <c r="G971" s="7" t="s">
        <v>274</v>
      </c>
      <c r="H971" s="66" t="s">
        <v>245</v>
      </c>
      <c r="I971" s="67">
        <v>4400</v>
      </c>
      <c r="J971" s="66" t="s">
        <v>246</v>
      </c>
    </row>
    <row r="972" spans="2:10" s="7" customFormat="1" x14ac:dyDescent="0.35">
      <c r="B972" s="7" t="s">
        <v>97</v>
      </c>
      <c r="C972" s="7" t="s">
        <v>255</v>
      </c>
      <c r="D972" s="7">
        <v>125</v>
      </c>
      <c r="E972" s="59">
        <v>550000</v>
      </c>
      <c r="F972" s="7" t="s">
        <v>31</v>
      </c>
      <c r="G972" s="7" t="s">
        <v>274</v>
      </c>
      <c r="H972" s="66" t="s">
        <v>245</v>
      </c>
      <c r="I972" s="67">
        <v>4400</v>
      </c>
      <c r="J972" s="66" t="s">
        <v>246</v>
      </c>
    </row>
    <row r="973" spans="2:10" s="7" customFormat="1" x14ac:dyDescent="0.35">
      <c r="B973" s="7" t="s">
        <v>60</v>
      </c>
      <c r="C973" s="7" t="s">
        <v>61</v>
      </c>
      <c r="D973" s="7">
        <v>128</v>
      </c>
      <c r="E973" s="59">
        <v>563200</v>
      </c>
      <c r="F973" s="7" t="s">
        <v>31</v>
      </c>
      <c r="G973" s="7" t="s">
        <v>274</v>
      </c>
      <c r="H973" s="66" t="s">
        <v>245</v>
      </c>
      <c r="I973" s="67">
        <v>4400</v>
      </c>
      <c r="J973" s="66" t="s">
        <v>246</v>
      </c>
    </row>
    <row r="974" spans="2:10" s="7" customFormat="1" x14ac:dyDescent="0.35">
      <c r="B974" s="7" t="s">
        <v>62</v>
      </c>
      <c r="C974" s="7" t="s">
        <v>63</v>
      </c>
      <c r="D974" s="7">
        <v>16</v>
      </c>
      <c r="E974" s="59">
        <v>250000</v>
      </c>
      <c r="F974" s="7" t="s">
        <v>31</v>
      </c>
      <c r="G974" s="7" t="s">
        <v>274</v>
      </c>
      <c r="H974" s="66" t="s">
        <v>245</v>
      </c>
      <c r="I974" s="67">
        <v>15625</v>
      </c>
      <c r="J974" s="66" t="s">
        <v>246</v>
      </c>
    </row>
    <row r="975" spans="2:10" s="7" customFormat="1" x14ac:dyDescent="0.35">
      <c r="B975" s="7" t="s">
        <v>98</v>
      </c>
      <c r="C975" s="7" t="s">
        <v>38</v>
      </c>
      <c r="D975" s="7">
        <v>110</v>
      </c>
      <c r="E975" s="59">
        <v>484000</v>
      </c>
      <c r="F975" s="7" t="s">
        <v>31</v>
      </c>
      <c r="G975" s="7" t="s">
        <v>274</v>
      </c>
      <c r="H975" s="66" t="s">
        <v>245</v>
      </c>
      <c r="I975" s="67">
        <v>4400</v>
      </c>
      <c r="J975" s="66" t="s">
        <v>246</v>
      </c>
    </row>
    <row r="976" spans="2:10" s="7" customFormat="1" x14ac:dyDescent="0.35">
      <c r="B976" s="7" t="s">
        <v>256</v>
      </c>
      <c r="C976" s="7" t="s">
        <v>64</v>
      </c>
      <c r="D976" s="7">
        <v>40</v>
      </c>
      <c r="E976" s="59">
        <v>300000</v>
      </c>
      <c r="F976" s="7" t="s">
        <v>31</v>
      </c>
      <c r="G976" s="7" t="s">
        <v>274</v>
      </c>
      <c r="H976" s="66" t="s">
        <v>245</v>
      </c>
      <c r="I976" s="67">
        <v>7500</v>
      </c>
      <c r="J976" s="66" t="s">
        <v>246</v>
      </c>
    </row>
    <row r="977" spans="2:10" s="7" customFormat="1" x14ac:dyDescent="0.35">
      <c r="B977" s="7" t="s">
        <v>65</v>
      </c>
      <c r="C977" s="7" t="s">
        <v>66</v>
      </c>
      <c r="D977" s="7">
        <v>110</v>
      </c>
      <c r="E977" s="59">
        <v>484000</v>
      </c>
      <c r="F977" s="7" t="s">
        <v>31</v>
      </c>
      <c r="G977" s="7" t="s">
        <v>274</v>
      </c>
      <c r="H977" s="66" t="s">
        <v>245</v>
      </c>
      <c r="I977" s="67">
        <v>4400</v>
      </c>
      <c r="J977" s="66" t="s">
        <v>246</v>
      </c>
    </row>
    <row r="978" spans="2:10" s="7" customFormat="1" x14ac:dyDescent="0.35">
      <c r="B978" s="7" t="s">
        <v>67</v>
      </c>
      <c r="C978" s="7" t="s">
        <v>38</v>
      </c>
      <c r="D978" s="7">
        <v>103</v>
      </c>
      <c r="E978" s="59">
        <v>453200</v>
      </c>
      <c r="F978" s="7" t="s">
        <v>31</v>
      </c>
      <c r="G978" s="7" t="s">
        <v>274</v>
      </c>
      <c r="H978" s="66" t="s">
        <v>245</v>
      </c>
      <c r="I978" s="67">
        <v>4400</v>
      </c>
      <c r="J978" s="66" t="s">
        <v>246</v>
      </c>
    </row>
    <row r="979" spans="2:10" s="7" customFormat="1" x14ac:dyDescent="0.35">
      <c r="B979" s="7" t="s">
        <v>68</v>
      </c>
      <c r="C979" s="7" t="s">
        <v>69</v>
      </c>
      <c r="D979" s="7">
        <v>131</v>
      </c>
      <c r="E979" s="59">
        <v>576400</v>
      </c>
      <c r="F979" s="7" t="s">
        <v>31</v>
      </c>
      <c r="G979" s="7" t="s">
        <v>274</v>
      </c>
      <c r="H979" s="66" t="s">
        <v>245</v>
      </c>
      <c r="I979" s="67">
        <v>4400</v>
      </c>
      <c r="J979" s="66" t="s">
        <v>246</v>
      </c>
    </row>
    <row r="980" spans="2:10" s="7" customFormat="1" x14ac:dyDescent="0.35">
      <c r="B980" s="7" t="s">
        <v>33</v>
      </c>
      <c r="C980" s="7" t="s">
        <v>34</v>
      </c>
      <c r="D980" s="7">
        <v>85</v>
      </c>
      <c r="E980" s="59">
        <v>450000</v>
      </c>
      <c r="F980" s="7" t="s">
        <v>31</v>
      </c>
      <c r="G980" s="7" t="s">
        <v>274</v>
      </c>
      <c r="H980" s="66" t="s">
        <v>245</v>
      </c>
      <c r="I980" s="67">
        <v>5294.1176470588234</v>
      </c>
      <c r="J980" s="66" t="s">
        <v>246</v>
      </c>
    </row>
    <row r="981" spans="2:10" s="7" customFormat="1" x14ac:dyDescent="0.35">
      <c r="B981" s="7" t="s">
        <v>257</v>
      </c>
      <c r="C981" s="7" t="s">
        <v>66</v>
      </c>
      <c r="D981" s="7">
        <v>118</v>
      </c>
      <c r="E981" s="59">
        <v>519200</v>
      </c>
      <c r="F981" s="7" t="s">
        <v>31</v>
      </c>
      <c r="G981" s="7" t="s">
        <v>274</v>
      </c>
      <c r="H981" s="66" t="s">
        <v>245</v>
      </c>
      <c r="I981" s="67">
        <v>4400</v>
      </c>
      <c r="J981" s="66" t="s">
        <v>246</v>
      </c>
    </row>
    <row r="982" spans="2:10" s="7" customFormat="1" x14ac:dyDescent="0.35">
      <c r="B982" s="7" t="s">
        <v>71</v>
      </c>
      <c r="C982" s="7" t="s">
        <v>43</v>
      </c>
      <c r="D982" s="7">
        <v>549</v>
      </c>
      <c r="E982" s="59">
        <v>2415600</v>
      </c>
      <c r="F982" s="7" t="s">
        <v>31</v>
      </c>
      <c r="G982" s="7" t="s">
        <v>274</v>
      </c>
      <c r="H982" s="66" t="s">
        <v>245</v>
      </c>
      <c r="I982" s="67">
        <v>4400</v>
      </c>
      <c r="J982" s="66" t="s">
        <v>246</v>
      </c>
    </row>
    <row r="983" spans="2:10" s="7" customFormat="1" x14ac:dyDescent="0.35">
      <c r="B983" s="7" t="s">
        <v>258</v>
      </c>
      <c r="C983" s="7" t="s">
        <v>259</v>
      </c>
      <c r="D983" s="7">
        <v>144</v>
      </c>
      <c r="E983" s="59">
        <v>633600</v>
      </c>
      <c r="F983" s="7" t="s">
        <v>31</v>
      </c>
      <c r="G983" s="7" t="s">
        <v>274</v>
      </c>
      <c r="H983" s="66" t="s">
        <v>245</v>
      </c>
      <c r="I983" s="67">
        <v>4400</v>
      </c>
      <c r="J983" s="66" t="s">
        <v>246</v>
      </c>
    </row>
    <row r="984" spans="2:10" s="7" customFormat="1" x14ac:dyDescent="0.35">
      <c r="B984" s="7" t="s">
        <v>72</v>
      </c>
      <c r="C984" s="7" t="s">
        <v>73</v>
      </c>
      <c r="D984" s="7">
        <v>165</v>
      </c>
      <c r="E984" s="59">
        <v>726000</v>
      </c>
      <c r="F984" s="7" t="s">
        <v>31</v>
      </c>
      <c r="G984" s="7" t="s">
        <v>274</v>
      </c>
      <c r="H984" s="66" t="s">
        <v>245</v>
      </c>
      <c r="I984" s="67">
        <v>4400</v>
      </c>
      <c r="J984" s="66" t="s">
        <v>246</v>
      </c>
    </row>
    <row r="985" spans="2:10" s="7" customFormat="1" x14ac:dyDescent="0.35">
      <c r="B985" s="7" t="s">
        <v>56</v>
      </c>
      <c r="C985" s="7" t="s">
        <v>57</v>
      </c>
      <c r="D985" s="7">
        <v>100</v>
      </c>
      <c r="E985" s="59">
        <v>450000</v>
      </c>
      <c r="F985" s="7" t="s">
        <v>31</v>
      </c>
      <c r="G985" s="7" t="s">
        <v>274</v>
      </c>
      <c r="H985" s="66" t="s">
        <v>245</v>
      </c>
      <c r="I985" s="67">
        <v>4500</v>
      </c>
      <c r="J985" s="66" t="s">
        <v>246</v>
      </c>
    </row>
    <row r="986" spans="2:10" s="7" customFormat="1" x14ac:dyDescent="0.35">
      <c r="B986" s="7" t="s">
        <v>260</v>
      </c>
      <c r="C986" s="7" t="s">
        <v>261</v>
      </c>
      <c r="D986" s="7">
        <v>162</v>
      </c>
      <c r="E986" s="59">
        <v>712800</v>
      </c>
      <c r="F986" s="7" t="s">
        <v>31</v>
      </c>
      <c r="G986" s="7" t="s">
        <v>274</v>
      </c>
      <c r="H986" s="66" t="s">
        <v>245</v>
      </c>
      <c r="I986" s="67">
        <v>4400</v>
      </c>
      <c r="J986" s="66" t="s">
        <v>246</v>
      </c>
    </row>
    <row r="987" spans="2:10" s="7" customFormat="1" x14ac:dyDescent="0.35">
      <c r="B987" s="7" t="s">
        <v>74</v>
      </c>
      <c r="C987" s="7" t="s">
        <v>75</v>
      </c>
      <c r="D987" s="7">
        <v>10</v>
      </c>
      <c r="E987" s="59">
        <v>300000</v>
      </c>
      <c r="F987" s="7" t="s">
        <v>31</v>
      </c>
      <c r="G987" s="7" t="s">
        <v>274</v>
      </c>
      <c r="H987" s="66" t="s">
        <v>245</v>
      </c>
      <c r="I987" s="67">
        <v>30000</v>
      </c>
      <c r="J987" s="66" t="s">
        <v>246</v>
      </c>
    </row>
    <row r="988" spans="2:10" s="7" customFormat="1" x14ac:dyDescent="0.35">
      <c r="B988" s="7" t="s">
        <v>76</v>
      </c>
      <c r="C988" s="7" t="s">
        <v>262</v>
      </c>
      <c r="D988" s="7">
        <v>20</v>
      </c>
      <c r="E988" s="59">
        <v>300000</v>
      </c>
      <c r="F988" s="7" t="s">
        <v>31</v>
      </c>
      <c r="G988" s="7" t="s">
        <v>274</v>
      </c>
      <c r="H988" s="66" t="s">
        <v>245</v>
      </c>
      <c r="I988" s="67">
        <v>15000</v>
      </c>
      <c r="J988" s="66" t="s">
        <v>246</v>
      </c>
    </row>
    <row r="989" spans="2:10" s="7" customFormat="1" x14ac:dyDescent="0.35">
      <c r="B989" s="7" t="s">
        <v>96</v>
      </c>
      <c r="C989" s="7" t="s">
        <v>255</v>
      </c>
      <c r="D989" s="7">
        <v>122</v>
      </c>
      <c r="E989" s="59">
        <v>536800</v>
      </c>
      <c r="F989" s="7" t="s">
        <v>31</v>
      </c>
      <c r="G989" s="7" t="s">
        <v>274</v>
      </c>
      <c r="H989" s="66" t="s">
        <v>245</v>
      </c>
      <c r="I989" s="67">
        <v>4400</v>
      </c>
      <c r="J989" s="66" t="s">
        <v>246</v>
      </c>
    </row>
    <row r="990" spans="2:10" s="7" customFormat="1" x14ac:dyDescent="0.35">
      <c r="B990" s="7" t="s">
        <v>263</v>
      </c>
      <c r="C990" s="7" t="s">
        <v>264</v>
      </c>
      <c r="D990" s="7">
        <v>162</v>
      </c>
      <c r="E990" s="59">
        <v>1306800</v>
      </c>
      <c r="F990" s="7" t="s">
        <v>31</v>
      </c>
      <c r="G990" s="7" t="s">
        <v>274</v>
      </c>
      <c r="H990" s="66" t="s">
        <v>245</v>
      </c>
      <c r="I990" s="67">
        <v>8066.666666666667</v>
      </c>
      <c r="J990" s="66" t="s">
        <v>246</v>
      </c>
    </row>
    <row r="991" spans="2:10" s="7" customFormat="1" x14ac:dyDescent="0.35">
      <c r="B991" s="7" t="s">
        <v>37</v>
      </c>
      <c r="C991" s="7" t="s">
        <v>38</v>
      </c>
      <c r="D991" s="7">
        <v>134</v>
      </c>
      <c r="E991" s="59">
        <v>589600</v>
      </c>
      <c r="F991" s="7" t="s">
        <v>36</v>
      </c>
      <c r="G991" s="7" t="s">
        <v>274</v>
      </c>
      <c r="H991" s="66" t="s">
        <v>245</v>
      </c>
      <c r="I991" s="67">
        <v>4400</v>
      </c>
      <c r="J991" s="66" t="s">
        <v>246</v>
      </c>
    </row>
    <row r="992" spans="2:10" s="7" customFormat="1" x14ac:dyDescent="0.35">
      <c r="B992" s="7" t="s">
        <v>40</v>
      </c>
      <c r="C992" s="7" t="s">
        <v>41</v>
      </c>
      <c r="D992" s="7">
        <v>123</v>
      </c>
      <c r="E992" s="59">
        <v>541200</v>
      </c>
      <c r="F992" s="7" t="s">
        <v>36</v>
      </c>
      <c r="G992" s="7" t="s">
        <v>274</v>
      </c>
      <c r="H992" s="66" t="s">
        <v>245</v>
      </c>
      <c r="I992" s="67">
        <v>4400</v>
      </c>
      <c r="J992" s="66" t="s">
        <v>246</v>
      </c>
    </row>
    <row r="993" spans="2:10" s="7" customFormat="1" x14ac:dyDescent="0.35">
      <c r="B993" s="7" t="s">
        <v>247</v>
      </c>
      <c r="C993" s="7" t="s">
        <v>248</v>
      </c>
      <c r="D993" s="7">
        <v>118</v>
      </c>
      <c r="E993" s="59">
        <v>519200</v>
      </c>
      <c r="F993" s="7" t="s">
        <v>36</v>
      </c>
      <c r="G993" s="7" t="s">
        <v>274</v>
      </c>
      <c r="H993" s="66" t="s">
        <v>245</v>
      </c>
      <c r="I993" s="67">
        <v>4400</v>
      </c>
      <c r="J993" s="66" t="s">
        <v>246</v>
      </c>
    </row>
    <row r="994" spans="2:10" s="7" customFormat="1" x14ac:dyDescent="0.35">
      <c r="B994" s="7" t="s">
        <v>251</v>
      </c>
      <c r="C994" s="7" t="s">
        <v>252</v>
      </c>
      <c r="D994" s="7">
        <v>103</v>
      </c>
      <c r="E994" s="59">
        <v>460200</v>
      </c>
      <c r="F994" s="7" t="s">
        <v>36</v>
      </c>
      <c r="G994" s="7" t="s">
        <v>274</v>
      </c>
      <c r="H994" s="66" t="s">
        <v>245</v>
      </c>
      <c r="I994" s="67">
        <v>4467.961165048544</v>
      </c>
      <c r="J994" s="66" t="s">
        <v>246</v>
      </c>
    </row>
    <row r="995" spans="2:10" s="7" customFormat="1" x14ac:dyDescent="0.35">
      <c r="B995" s="7" t="s">
        <v>42</v>
      </c>
      <c r="C995" s="7" t="s">
        <v>43</v>
      </c>
      <c r="D995" s="7">
        <v>358</v>
      </c>
      <c r="E995" s="59">
        <v>1575200</v>
      </c>
      <c r="F995" s="7" t="s">
        <v>36</v>
      </c>
      <c r="G995" s="7" t="s">
        <v>274</v>
      </c>
      <c r="H995" s="66" t="s">
        <v>245</v>
      </c>
      <c r="I995" s="67">
        <v>4400</v>
      </c>
      <c r="J995" s="66" t="s">
        <v>246</v>
      </c>
    </row>
    <row r="996" spans="2:10" s="7" customFormat="1" x14ac:dyDescent="0.35">
      <c r="B996" s="7" t="s">
        <v>253</v>
      </c>
      <c r="C996" s="7" t="s">
        <v>70</v>
      </c>
      <c r="D996" s="7">
        <v>141</v>
      </c>
      <c r="E996" s="59">
        <v>620400</v>
      </c>
      <c r="F996" s="7" t="s">
        <v>36</v>
      </c>
      <c r="G996" s="7" t="s">
        <v>274</v>
      </c>
      <c r="H996" s="66" t="s">
        <v>245</v>
      </c>
      <c r="I996" s="67">
        <v>4400</v>
      </c>
      <c r="J996" s="66" t="s">
        <v>246</v>
      </c>
    </row>
    <row r="997" spans="2:10" s="7" customFormat="1" x14ac:dyDescent="0.35">
      <c r="B997" s="7" t="s">
        <v>249</v>
      </c>
      <c r="C997" s="7" t="s">
        <v>44</v>
      </c>
      <c r="D997" s="7">
        <v>60</v>
      </c>
      <c r="E997" s="59">
        <v>300000</v>
      </c>
      <c r="F997" s="7" t="s">
        <v>36</v>
      </c>
      <c r="G997" s="7" t="s">
        <v>274</v>
      </c>
      <c r="H997" s="66" t="s">
        <v>245</v>
      </c>
      <c r="I997" s="67">
        <v>5000</v>
      </c>
      <c r="J997" s="66" t="s">
        <v>246</v>
      </c>
    </row>
    <row r="998" spans="2:10" s="7" customFormat="1" x14ac:dyDescent="0.35">
      <c r="B998" s="7" t="s">
        <v>29</v>
      </c>
      <c r="C998" s="7" t="s">
        <v>30</v>
      </c>
      <c r="D998" s="7">
        <v>22</v>
      </c>
      <c r="E998" s="59">
        <v>300000</v>
      </c>
      <c r="F998" s="7" t="s">
        <v>36</v>
      </c>
      <c r="G998" s="7" t="s">
        <v>274</v>
      </c>
      <c r="H998" s="66" t="s">
        <v>245</v>
      </c>
      <c r="I998" s="67">
        <v>13636.363636363636</v>
      </c>
      <c r="J998" s="66" t="s">
        <v>246</v>
      </c>
    </row>
    <row r="999" spans="2:10" s="7" customFormat="1" x14ac:dyDescent="0.35">
      <c r="B999" s="7" t="s">
        <v>45</v>
      </c>
      <c r="C999" s="7" t="s">
        <v>46</v>
      </c>
      <c r="D999" s="7">
        <v>100</v>
      </c>
      <c r="E999" s="59">
        <v>450000</v>
      </c>
      <c r="F999" s="7" t="s">
        <v>36</v>
      </c>
      <c r="G999" s="7" t="s">
        <v>274</v>
      </c>
      <c r="H999" s="66" t="s">
        <v>245</v>
      </c>
      <c r="I999" s="67">
        <v>4500</v>
      </c>
      <c r="J999" s="66" t="s">
        <v>246</v>
      </c>
    </row>
    <row r="1000" spans="2:10" s="7" customFormat="1" x14ac:dyDescent="0.35">
      <c r="B1000" s="7" t="s">
        <v>47</v>
      </c>
      <c r="C1000" s="7" t="s">
        <v>48</v>
      </c>
      <c r="D1000" s="7">
        <v>85</v>
      </c>
      <c r="E1000" s="59">
        <v>400000</v>
      </c>
      <c r="F1000" s="7" t="s">
        <v>36</v>
      </c>
      <c r="G1000" s="7" t="s">
        <v>274</v>
      </c>
      <c r="H1000" s="66" t="s">
        <v>245</v>
      </c>
      <c r="I1000" s="67">
        <v>4705.8823529411766</v>
      </c>
      <c r="J1000" s="66" t="s">
        <v>246</v>
      </c>
    </row>
    <row r="1001" spans="2:10" s="7" customFormat="1" x14ac:dyDescent="0.35">
      <c r="B1001" s="7" t="s">
        <v>49</v>
      </c>
      <c r="C1001" s="7" t="s">
        <v>50</v>
      </c>
      <c r="D1001" s="7">
        <v>144</v>
      </c>
      <c r="E1001" s="59">
        <v>633600</v>
      </c>
      <c r="F1001" s="7" t="s">
        <v>36</v>
      </c>
      <c r="G1001" s="7" t="s">
        <v>274</v>
      </c>
      <c r="H1001" s="66" t="s">
        <v>245</v>
      </c>
      <c r="I1001" s="67">
        <v>4400</v>
      </c>
      <c r="J1001" s="66" t="s">
        <v>246</v>
      </c>
    </row>
    <row r="1002" spans="2:10" s="7" customFormat="1" x14ac:dyDescent="0.35">
      <c r="B1002" s="7" t="s">
        <v>95</v>
      </c>
      <c r="C1002" s="7" t="s">
        <v>254</v>
      </c>
      <c r="D1002" s="7">
        <v>60</v>
      </c>
      <c r="E1002" s="59">
        <v>300000</v>
      </c>
      <c r="F1002" s="7" t="s">
        <v>36</v>
      </c>
      <c r="G1002" s="7" t="s">
        <v>274</v>
      </c>
      <c r="H1002" s="66" t="s">
        <v>245</v>
      </c>
      <c r="I1002" s="67">
        <v>5000</v>
      </c>
      <c r="J1002" s="66" t="s">
        <v>246</v>
      </c>
    </row>
    <row r="1003" spans="2:10" s="7" customFormat="1" x14ac:dyDescent="0.35">
      <c r="B1003" s="7" t="s">
        <v>51</v>
      </c>
      <c r="C1003" s="7" t="s">
        <v>50</v>
      </c>
      <c r="D1003" s="7">
        <v>144</v>
      </c>
      <c r="E1003" s="59">
        <v>633600</v>
      </c>
      <c r="F1003" s="7" t="s">
        <v>36</v>
      </c>
      <c r="G1003" s="7" t="s">
        <v>274</v>
      </c>
      <c r="H1003" s="66" t="s">
        <v>245</v>
      </c>
      <c r="I1003" s="67">
        <v>4400</v>
      </c>
      <c r="J1003" s="66" t="s">
        <v>246</v>
      </c>
    </row>
    <row r="1004" spans="2:10" s="7" customFormat="1" x14ac:dyDescent="0.35">
      <c r="B1004" s="7" t="s">
        <v>55</v>
      </c>
      <c r="C1004" s="7" t="s">
        <v>41</v>
      </c>
      <c r="D1004" s="7">
        <v>120</v>
      </c>
      <c r="E1004" s="59">
        <v>530000</v>
      </c>
      <c r="F1004" s="7" t="s">
        <v>36</v>
      </c>
      <c r="G1004" s="7" t="s">
        <v>274</v>
      </c>
      <c r="H1004" s="66" t="s">
        <v>245</v>
      </c>
      <c r="I1004" s="67">
        <v>4416.666666666667</v>
      </c>
      <c r="J1004" s="66" t="s">
        <v>246</v>
      </c>
    </row>
    <row r="1005" spans="2:10" s="7" customFormat="1" x14ac:dyDescent="0.35">
      <c r="B1005" s="7" t="s">
        <v>52</v>
      </c>
      <c r="C1005" s="7" t="s">
        <v>53</v>
      </c>
      <c r="D1005" s="7">
        <v>100</v>
      </c>
      <c r="E1005" s="59">
        <v>450000</v>
      </c>
      <c r="F1005" s="7" t="s">
        <v>36</v>
      </c>
      <c r="G1005" s="7" t="s">
        <v>274</v>
      </c>
      <c r="H1005" s="66" t="s">
        <v>245</v>
      </c>
      <c r="I1005" s="67">
        <v>4500</v>
      </c>
      <c r="J1005" s="66" t="s">
        <v>246</v>
      </c>
    </row>
    <row r="1006" spans="2:10" s="7" customFormat="1" x14ac:dyDescent="0.35">
      <c r="B1006" s="7" t="s">
        <v>58</v>
      </c>
      <c r="C1006" s="7" t="s">
        <v>59</v>
      </c>
      <c r="D1006" s="7">
        <v>125</v>
      </c>
      <c r="E1006" s="59">
        <v>550000</v>
      </c>
      <c r="F1006" s="7" t="s">
        <v>36</v>
      </c>
      <c r="G1006" s="7" t="s">
        <v>274</v>
      </c>
      <c r="H1006" s="66" t="s">
        <v>245</v>
      </c>
      <c r="I1006" s="67">
        <v>4400</v>
      </c>
      <c r="J1006" s="66" t="s">
        <v>246</v>
      </c>
    </row>
    <row r="1007" spans="2:10" s="7" customFormat="1" x14ac:dyDescent="0.35">
      <c r="B1007" s="7" t="s">
        <v>97</v>
      </c>
      <c r="C1007" s="7" t="s">
        <v>255</v>
      </c>
      <c r="D1007" s="7">
        <v>90</v>
      </c>
      <c r="E1007" s="59">
        <v>450000</v>
      </c>
      <c r="F1007" s="7" t="s">
        <v>36</v>
      </c>
      <c r="G1007" s="7" t="s">
        <v>274</v>
      </c>
      <c r="H1007" s="66" t="s">
        <v>245</v>
      </c>
      <c r="I1007" s="67">
        <v>5000</v>
      </c>
      <c r="J1007" s="66" t="s">
        <v>246</v>
      </c>
    </row>
    <row r="1008" spans="2:10" s="7" customFormat="1" x14ac:dyDescent="0.35">
      <c r="B1008" s="7" t="s">
        <v>60</v>
      </c>
      <c r="C1008" s="7" t="s">
        <v>61</v>
      </c>
      <c r="D1008" s="7">
        <v>80</v>
      </c>
      <c r="E1008" s="59">
        <v>450000</v>
      </c>
      <c r="F1008" s="7" t="s">
        <v>36</v>
      </c>
      <c r="G1008" s="7" t="s">
        <v>274</v>
      </c>
      <c r="H1008" s="66" t="s">
        <v>245</v>
      </c>
      <c r="I1008" s="67">
        <v>5625</v>
      </c>
      <c r="J1008" s="66" t="s">
        <v>246</v>
      </c>
    </row>
    <row r="1009" spans="2:10" s="7" customFormat="1" x14ac:dyDescent="0.35">
      <c r="B1009" s="7" t="s">
        <v>62</v>
      </c>
      <c r="C1009" s="7" t="s">
        <v>63</v>
      </c>
      <c r="D1009" s="7">
        <v>130</v>
      </c>
      <c r="E1009" s="59">
        <v>572000</v>
      </c>
      <c r="F1009" s="7" t="s">
        <v>36</v>
      </c>
      <c r="G1009" s="7" t="s">
        <v>274</v>
      </c>
      <c r="H1009" s="66" t="s">
        <v>245</v>
      </c>
      <c r="I1009" s="67">
        <v>4400</v>
      </c>
      <c r="J1009" s="66" t="s">
        <v>246</v>
      </c>
    </row>
    <row r="1010" spans="2:10" s="7" customFormat="1" x14ac:dyDescent="0.35">
      <c r="B1010" s="7" t="s">
        <v>98</v>
      </c>
      <c r="C1010" s="7" t="s">
        <v>38</v>
      </c>
      <c r="D1010" s="7">
        <v>133</v>
      </c>
      <c r="E1010" s="59">
        <v>585200</v>
      </c>
      <c r="F1010" s="7" t="s">
        <v>36</v>
      </c>
      <c r="G1010" s="7" t="s">
        <v>274</v>
      </c>
      <c r="H1010" s="66" t="s">
        <v>245</v>
      </c>
      <c r="I1010" s="67">
        <v>4400</v>
      </c>
      <c r="J1010" s="66" t="s">
        <v>246</v>
      </c>
    </row>
    <row r="1011" spans="2:10" s="7" customFormat="1" x14ac:dyDescent="0.35">
      <c r="B1011" s="7" t="s">
        <v>256</v>
      </c>
      <c r="C1011" s="7" t="s">
        <v>64</v>
      </c>
      <c r="D1011" s="7">
        <v>180</v>
      </c>
      <c r="E1011" s="59">
        <v>792000</v>
      </c>
      <c r="F1011" s="7" t="s">
        <v>36</v>
      </c>
      <c r="G1011" s="7" t="s">
        <v>274</v>
      </c>
      <c r="H1011" s="66" t="s">
        <v>245</v>
      </c>
      <c r="I1011" s="67">
        <v>4400</v>
      </c>
      <c r="J1011" s="66" t="s">
        <v>246</v>
      </c>
    </row>
    <row r="1012" spans="2:10" s="7" customFormat="1" x14ac:dyDescent="0.35">
      <c r="B1012" s="7" t="s">
        <v>65</v>
      </c>
      <c r="C1012" s="7" t="s">
        <v>66</v>
      </c>
      <c r="D1012" s="7">
        <v>140</v>
      </c>
      <c r="E1012" s="59">
        <v>620000</v>
      </c>
      <c r="F1012" s="7" t="s">
        <v>36</v>
      </c>
      <c r="G1012" s="7" t="s">
        <v>274</v>
      </c>
      <c r="H1012" s="66" t="s">
        <v>245</v>
      </c>
      <c r="I1012" s="67">
        <v>4428.5714285714284</v>
      </c>
      <c r="J1012" s="66" t="s">
        <v>246</v>
      </c>
    </row>
    <row r="1013" spans="2:10" s="7" customFormat="1" x14ac:dyDescent="0.35">
      <c r="B1013" s="7" t="s">
        <v>67</v>
      </c>
      <c r="C1013" s="7" t="s">
        <v>38</v>
      </c>
      <c r="D1013" s="7">
        <v>130</v>
      </c>
      <c r="E1013" s="59">
        <v>572000</v>
      </c>
      <c r="F1013" s="7" t="s">
        <v>36</v>
      </c>
      <c r="G1013" s="7" t="s">
        <v>274</v>
      </c>
      <c r="H1013" s="66" t="s">
        <v>245</v>
      </c>
      <c r="I1013" s="67">
        <v>4400</v>
      </c>
      <c r="J1013" s="66" t="s">
        <v>246</v>
      </c>
    </row>
    <row r="1014" spans="2:10" s="7" customFormat="1" x14ac:dyDescent="0.35">
      <c r="B1014" s="7" t="s">
        <v>68</v>
      </c>
      <c r="C1014" s="7" t="s">
        <v>69</v>
      </c>
      <c r="D1014" s="7">
        <v>90</v>
      </c>
      <c r="E1014" s="59">
        <v>450000</v>
      </c>
      <c r="F1014" s="7" t="s">
        <v>36</v>
      </c>
      <c r="G1014" s="7" t="s">
        <v>274</v>
      </c>
      <c r="H1014" s="66" t="s">
        <v>245</v>
      </c>
      <c r="I1014" s="67">
        <v>5000</v>
      </c>
      <c r="J1014" s="66" t="s">
        <v>246</v>
      </c>
    </row>
    <row r="1015" spans="2:10" s="7" customFormat="1" x14ac:dyDescent="0.35">
      <c r="B1015" s="7" t="s">
        <v>33</v>
      </c>
      <c r="C1015" s="7" t="s">
        <v>34</v>
      </c>
      <c r="D1015" s="7">
        <v>230</v>
      </c>
      <c r="E1015" s="59">
        <v>1012000</v>
      </c>
      <c r="F1015" s="7" t="s">
        <v>36</v>
      </c>
      <c r="G1015" s="7" t="s">
        <v>274</v>
      </c>
      <c r="H1015" s="66" t="s">
        <v>245</v>
      </c>
      <c r="I1015" s="67">
        <v>4400</v>
      </c>
      <c r="J1015" s="66" t="s">
        <v>246</v>
      </c>
    </row>
    <row r="1016" spans="2:10" s="7" customFormat="1" x14ac:dyDescent="0.35">
      <c r="B1016" s="7" t="s">
        <v>257</v>
      </c>
      <c r="C1016" s="7" t="s">
        <v>66</v>
      </c>
      <c r="D1016" s="7">
        <v>144</v>
      </c>
      <c r="E1016" s="59">
        <v>633600</v>
      </c>
      <c r="F1016" s="7" t="s">
        <v>36</v>
      </c>
      <c r="G1016" s="7" t="s">
        <v>274</v>
      </c>
      <c r="H1016" s="66" t="s">
        <v>245</v>
      </c>
      <c r="I1016" s="67">
        <v>4400</v>
      </c>
      <c r="J1016" s="66" t="s">
        <v>246</v>
      </c>
    </row>
    <row r="1017" spans="2:10" s="7" customFormat="1" x14ac:dyDescent="0.35">
      <c r="B1017" s="7" t="s">
        <v>71</v>
      </c>
      <c r="C1017" s="7" t="s">
        <v>43</v>
      </c>
      <c r="D1017" s="7">
        <v>408</v>
      </c>
      <c r="E1017" s="59">
        <v>1795200</v>
      </c>
      <c r="F1017" s="7" t="s">
        <v>36</v>
      </c>
      <c r="G1017" s="7" t="s">
        <v>274</v>
      </c>
      <c r="H1017" s="66" t="s">
        <v>245</v>
      </c>
      <c r="I1017" s="67">
        <v>4400</v>
      </c>
      <c r="J1017" s="66" t="s">
        <v>246</v>
      </c>
    </row>
    <row r="1018" spans="2:10" s="7" customFormat="1" x14ac:dyDescent="0.35">
      <c r="B1018" s="7" t="s">
        <v>258</v>
      </c>
      <c r="C1018" s="7" t="s">
        <v>259</v>
      </c>
      <c r="D1018" s="7">
        <v>1</v>
      </c>
      <c r="E1018" s="59">
        <v>300000</v>
      </c>
      <c r="F1018" s="7" t="s">
        <v>36</v>
      </c>
      <c r="G1018" s="7" t="s">
        <v>274</v>
      </c>
      <c r="H1018" s="66" t="s">
        <v>245</v>
      </c>
      <c r="I1018" s="67">
        <v>300000</v>
      </c>
      <c r="J1018" s="66" t="s">
        <v>246</v>
      </c>
    </row>
    <row r="1019" spans="2:10" s="7" customFormat="1" x14ac:dyDescent="0.35">
      <c r="B1019" s="7" t="s">
        <v>72</v>
      </c>
      <c r="C1019" s="7" t="s">
        <v>73</v>
      </c>
      <c r="D1019" s="7">
        <v>310</v>
      </c>
      <c r="E1019" s="59">
        <v>1364000</v>
      </c>
      <c r="F1019" s="7" t="s">
        <v>36</v>
      </c>
      <c r="G1019" s="7" t="s">
        <v>274</v>
      </c>
      <c r="H1019" s="66" t="s">
        <v>245</v>
      </c>
      <c r="I1019" s="67">
        <v>4400</v>
      </c>
      <c r="J1019" s="66" t="s">
        <v>246</v>
      </c>
    </row>
    <row r="1020" spans="2:10" s="7" customFormat="1" x14ac:dyDescent="0.35">
      <c r="B1020" s="7" t="s">
        <v>56</v>
      </c>
      <c r="C1020" s="7" t="s">
        <v>57</v>
      </c>
      <c r="D1020" s="7">
        <v>95</v>
      </c>
      <c r="E1020" s="59">
        <v>460000</v>
      </c>
      <c r="F1020" s="7" t="s">
        <v>36</v>
      </c>
      <c r="G1020" s="7" t="s">
        <v>274</v>
      </c>
      <c r="H1020" s="66" t="s">
        <v>245</v>
      </c>
      <c r="I1020" s="67">
        <v>4842.105263157895</v>
      </c>
      <c r="J1020" s="66" t="s">
        <v>246</v>
      </c>
    </row>
    <row r="1021" spans="2:10" s="7" customFormat="1" x14ac:dyDescent="0.35">
      <c r="B1021" s="7" t="s">
        <v>260</v>
      </c>
      <c r="C1021" s="7" t="s">
        <v>261</v>
      </c>
      <c r="D1021" s="7">
        <v>305</v>
      </c>
      <c r="E1021" s="59">
        <v>1342000</v>
      </c>
      <c r="F1021" s="7" t="s">
        <v>36</v>
      </c>
      <c r="G1021" s="7" t="s">
        <v>274</v>
      </c>
      <c r="H1021" s="66" t="s">
        <v>245</v>
      </c>
      <c r="I1021" s="67">
        <v>4400</v>
      </c>
      <c r="J1021" s="66" t="s">
        <v>246</v>
      </c>
    </row>
    <row r="1022" spans="2:10" s="7" customFormat="1" x14ac:dyDescent="0.35">
      <c r="B1022" s="7" t="s">
        <v>74</v>
      </c>
      <c r="C1022" s="7" t="s">
        <v>75</v>
      </c>
      <c r="D1022" s="7">
        <v>140</v>
      </c>
      <c r="E1022" s="59">
        <v>616000</v>
      </c>
      <c r="F1022" s="7" t="s">
        <v>36</v>
      </c>
      <c r="G1022" s="7" t="s">
        <v>274</v>
      </c>
      <c r="H1022" s="66" t="s">
        <v>245</v>
      </c>
      <c r="I1022" s="67">
        <v>4400</v>
      </c>
      <c r="J1022" s="66" t="s">
        <v>246</v>
      </c>
    </row>
    <row r="1023" spans="2:10" s="7" customFormat="1" x14ac:dyDescent="0.35">
      <c r="B1023" s="7" t="s">
        <v>275</v>
      </c>
      <c r="C1023" s="7" t="s">
        <v>276</v>
      </c>
      <c r="D1023" s="7">
        <v>150</v>
      </c>
      <c r="E1023" s="59">
        <v>660000</v>
      </c>
      <c r="F1023" s="7" t="s">
        <v>36</v>
      </c>
      <c r="G1023" s="7" t="s">
        <v>274</v>
      </c>
      <c r="H1023" s="66" t="s">
        <v>245</v>
      </c>
      <c r="I1023" s="67">
        <v>4400</v>
      </c>
      <c r="J1023" s="66" t="s">
        <v>246</v>
      </c>
    </row>
    <row r="1024" spans="2:10" s="7" customFormat="1" x14ac:dyDescent="0.35">
      <c r="B1024" s="7" t="s">
        <v>76</v>
      </c>
      <c r="C1024" s="7" t="s">
        <v>262</v>
      </c>
      <c r="D1024" s="7">
        <v>130</v>
      </c>
      <c r="E1024" s="59">
        <v>572000</v>
      </c>
      <c r="F1024" s="7" t="s">
        <v>36</v>
      </c>
      <c r="G1024" s="7" t="s">
        <v>274</v>
      </c>
      <c r="H1024" s="66" t="s">
        <v>245</v>
      </c>
      <c r="I1024" s="67">
        <v>4400</v>
      </c>
      <c r="J1024" s="66" t="s">
        <v>246</v>
      </c>
    </row>
    <row r="1025" spans="2:10" s="7" customFormat="1" x14ac:dyDescent="0.35">
      <c r="B1025" s="7" t="s">
        <v>96</v>
      </c>
      <c r="C1025" s="7" t="s">
        <v>255</v>
      </c>
      <c r="D1025" s="7">
        <v>95</v>
      </c>
      <c r="E1025" s="59">
        <v>460000</v>
      </c>
      <c r="F1025" s="7" t="s">
        <v>36</v>
      </c>
      <c r="G1025" s="7" t="s">
        <v>274</v>
      </c>
      <c r="H1025" s="66" t="s">
        <v>245</v>
      </c>
      <c r="I1025" s="67">
        <v>4842.105263157895</v>
      </c>
      <c r="J1025" s="66" t="s">
        <v>246</v>
      </c>
    </row>
    <row r="1026" spans="2:10" s="7" customFormat="1" x14ac:dyDescent="0.35">
      <c r="B1026" s="7" t="s">
        <v>37</v>
      </c>
      <c r="C1026" s="7" t="s">
        <v>38</v>
      </c>
      <c r="D1026" s="7">
        <v>50</v>
      </c>
      <c r="E1026" s="59">
        <v>350000</v>
      </c>
      <c r="F1026" s="7" t="s">
        <v>35</v>
      </c>
      <c r="G1026" s="7" t="s">
        <v>274</v>
      </c>
      <c r="H1026" s="66" t="s">
        <v>245</v>
      </c>
      <c r="I1026" s="67">
        <v>7000</v>
      </c>
      <c r="J1026" s="66" t="s">
        <v>246</v>
      </c>
    </row>
    <row r="1027" spans="2:10" s="7" customFormat="1" x14ac:dyDescent="0.35">
      <c r="B1027" s="7" t="s">
        <v>40</v>
      </c>
      <c r="C1027" s="7" t="s">
        <v>41</v>
      </c>
      <c r="D1027" s="7">
        <v>211</v>
      </c>
      <c r="E1027" s="59">
        <v>928400</v>
      </c>
      <c r="F1027" s="7" t="s">
        <v>35</v>
      </c>
      <c r="G1027" s="7" t="s">
        <v>274</v>
      </c>
      <c r="H1027" s="66" t="s">
        <v>245</v>
      </c>
      <c r="I1027" s="67">
        <v>4400</v>
      </c>
      <c r="J1027" s="66" t="s">
        <v>246</v>
      </c>
    </row>
    <row r="1028" spans="2:10" s="7" customFormat="1" x14ac:dyDescent="0.35">
      <c r="B1028" s="7" t="s">
        <v>247</v>
      </c>
      <c r="C1028" s="7" t="s">
        <v>248</v>
      </c>
      <c r="D1028" s="7">
        <v>206</v>
      </c>
      <c r="E1028" s="59">
        <v>906400</v>
      </c>
      <c r="F1028" s="7" t="s">
        <v>35</v>
      </c>
      <c r="G1028" s="7" t="s">
        <v>274</v>
      </c>
      <c r="H1028" s="66" t="s">
        <v>245</v>
      </c>
      <c r="I1028" s="67">
        <v>4400</v>
      </c>
      <c r="J1028" s="66" t="s">
        <v>246</v>
      </c>
    </row>
    <row r="1029" spans="2:10" s="7" customFormat="1" x14ac:dyDescent="0.35">
      <c r="B1029" s="7" t="s">
        <v>251</v>
      </c>
      <c r="C1029" s="7" t="s">
        <v>252</v>
      </c>
      <c r="D1029" s="7">
        <v>80</v>
      </c>
      <c r="E1029" s="59">
        <v>450000</v>
      </c>
      <c r="F1029" s="7" t="s">
        <v>35</v>
      </c>
      <c r="G1029" s="7" t="s">
        <v>274</v>
      </c>
      <c r="H1029" s="66" t="s">
        <v>245</v>
      </c>
      <c r="I1029" s="67">
        <v>5625</v>
      </c>
      <c r="J1029" s="66" t="s">
        <v>246</v>
      </c>
    </row>
    <row r="1030" spans="2:10" s="7" customFormat="1" x14ac:dyDescent="0.35">
      <c r="B1030" s="7" t="s">
        <v>42</v>
      </c>
      <c r="C1030" s="7" t="s">
        <v>43</v>
      </c>
      <c r="D1030" s="7">
        <v>450</v>
      </c>
      <c r="E1030" s="59">
        <v>1980000</v>
      </c>
      <c r="F1030" s="7" t="s">
        <v>35</v>
      </c>
      <c r="G1030" s="7" t="s">
        <v>274</v>
      </c>
      <c r="H1030" s="66" t="s">
        <v>245</v>
      </c>
      <c r="I1030" s="67">
        <v>4400</v>
      </c>
      <c r="J1030" s="66" t="s">
        <v>246</v>
      </c>
    </row>
    <row r="1031" spans="2:10" s="7" customFormat="1" x14ac:dyDescent="0.35">
      <c r="B1031" s="7" t="s">
        <v>253</v>
      </c>
      <c r="C1031" s="7" t="s">
        <v>70</v>
      </c>
      <c r="D1031" s="7">
        <v>50</v>
      </c>
      <c r="E1031" s="59">
        <v>350000</v>
      </c>
      <c r="F1031" s="7" t="s">
        <v>35</v>
      </c>
      <c r="G1031" s="7" t="s">
        <v>274</v>
      </c>
      <c r="H1031" s="66" t="s">
        <v>245</v>
      </c>
      <c r="I1031" s="67">
        <v>7000</v>
      </c>
      <c r="J1031" s="66" t="s">
        <v>246</v>
      </c>
    </row>
    <row r="1032" spans="2:10" s="7" customFormat="1" x14ac:dyDescent="0.35">
      <c r="B1032" s="7" t="s">
        <v>249</v>
      </c>
      <c r="C1032" s="7" t="s">
        <v>44</v>
      </c>
      <c r="D1032" s="7">
        <v>60</v>
      </c>
      <c r="E1032" s="59">
        <v>350000</v>
      </c>
      <c r="F1032" s="7" t="s">
        <v>35</v>
      </c>
      <c r="G1032" s="7" t="s">
        <v>274</v>
      </c>
      <c r="H1032" s="66" t="s">
        <v>245</v>
      </c>
      <c r="I1032" s="67">
        <v>5833.333333333333</v>
      </c>
      <c r="J1032" s="66" t="s">
        <v>246</v>
      </c>
    </row>
    <row r="1033" spans="2:10" s="7" customFormat="1" x14ac:dyDescent="0.35">
      <c r="B1033" s="7" t="s">
        <v>29</v>
      </c>
      <c r="C1033" s="7" t="s">
        <v>30</v>
      </c>
      <c r="D1033" s="7">
        <v>100</v>
      </c>
      <c r="E1033" s="59">
        <v>450000</v>
      </c>
      <c r="F1033" s="7" t="s">
        <v>35</v>
      </c>
      <c r="G1033" s="7" t="s">
        <v>274</v>
      </c>
      <c r="H1033" s="66" t="s">
        <v>245</v>
      </c>
      <c r="I1033" s="67">
        <v>4500</v>
      </c>
      <c r="J1033" s="66" t="s">
        <v>246</v>
      </c>
    </row>
    <row r="1034" spans="2:10" s="7" customFormat="1" x14ac:dyDescent="0.35">
      <c r="B1034" s="7" t="s">
        <v>45</v>
      </c>
      <c r="C1034" s="7" t="s">
        <v>46</v>
      </c>
      <c r="D1034" s="7">
        <v>190</v>
      </c>
      <c r="E1034" s="59">
        <v>836000</v>
      </c>
      <c r="F1034" s="7" t="s">
        <v>35</v>
      </c>
      <c r="G1034" s="7" t="s">
        <v>274</v>
      </c>
      <c r="H1034" s="66" t="s">
        <v>245</v>
      </c>
      <c r="I1034" s="67">
        <v>4400</v>
      </c>
      <c r="J1034" s="66" t="s">
        <v>246</v>
      </c>
    </row>
    <row r="1035" spans="2:10" s="7" customFormat="1" x14ac:dyDescent="0.35">
      <c r="B1035" s="7" t="s">
        <v>47</v>
      </c>
      <c r="C1035" s="7" t="s">
        <v>48</v>
      </c>
      <c r="D1035" s="7">
        <v>75</v>
      </c>
      <c r="E1035" s="59">
        <v>400000</v>
      </c>
      <c r="F1035" s="7" t="s">
        <v>35</v>
      </c>
      <c r="G1035" s="7" t="s">
        <v>274</v>
      </c>
      <c r="H1035" s="66" t="s">
        <v>245</v>
      </c>
      <c r="I1035" s="67">
        <v>5333.333333333333</v>
      </c>
      <c r="J1035" s="66" t="s">
        <v>246</v>
      </c>
    </row>
    <row r="1036" spans="2:10" s="7" customFormat="1" x14ac:dyDescent="0.35">
      <c r="B1036" s="7" t="s">
        <v>49</v>
      </c>
      <c r="C1036" s="7" t="s">
        <v>50</v>
      </c>
      <c r="D1036" s="7">
        <v>70</v>
      </c>
      <c r="E1036" s="59">
        <v>400000</v>
      </c>
      <c r="F1036" s="7" t="s">
        <v>35</v>
      </c>
      <c r="G1036" s="7" t="s">
        <v>274</v>
      </c>
      <c r="H1036" s="66" t="s">
        <v>245</v>
      </c>
      <c r="I1036" s="67">
        <v>5714.2857142857147</v>
      </c>
      <c r="J1036" s="66" t="s">
        <v>246</v>
      </c>
    </row>
    <row r="1037" spans="2:10" s="7" customFormat="1" x14ac:dyDescent="0.35">
      <c r="B1037" s="7" t="s">
        <v>95</v>
      </c>
      <c r="C1037" s="7" t="s">
        <v>254</v>
      </c>
      <c r="D1037" s="7">
        <v>160</v>
      </c>
      <c r="E1037" s="59">
        <v>704000</v>
      </c>
      <c r="F1037" s="7" t="s">
        <v>35</v>
      </c>
      <c r="G1037" s="7" t="s">
        <v>274</v>
      </c>
      <c r="H1037" s="66" t="s">
        <v>245</v>
      </c>
      <c r="I1037" s="67">
        <v>4400</v>
      </c>
      <c r="J1037" s="66" t="s">
        <v>246</v>
      </c>
    </row>
    <row r="1038" spans="2:10" s="7" customFormat="1" x14ac:dyDescent="0.35">
      <c r="B1038" s="7" t="s">
        <v>51</v>
      </c>
      <c r="C1038" s="7" t="s">
        <v>50</v>
      </c>
      <c r="D1038" s="7">
        <v>70</v>
      </c>
      <c r="E1038" s="59">
        <v>400000</v>
      </c>
      <c r="F1038" s="7" t="s">
        <v>35</v>
      </c>
      <c r="G1038" s="7" t="s">
        <v>274</v>
      </c>
      <c r="H1038" s="66" t="s">
        <v>245</v>
      </c>
      <c r="I1038" s="67">
        <v>5714.2857142857147</v>
      </c>
      <c r="J1038" s="66" t="s">
        <v>246</v>
      </c>
    </row>
    <row r="1039" spans="2:10" s="7" customFormat="1" x14ac:dyDescent="0.35">
      <c r="B1039" s="7" t="s">
        <v>55</v>
      </c>
      <c r="C1039" s="7" t="s">
        <v>41</v>
      </c>
      <c r="D1039" s="7">
        <v>210</v>
      </c>
      <c r="E1039" s="59">
        <v>924000</v>
      </c>
      <c r="F1039" s="7" t="s">
        <v>35</v>
      </c>
      <c r="G1039" s="7" t="s">
        <v>274</v>
      </c>
      <c r="H1039" s="66" t="s">
        <v>245</v>
      </c>
      <c r="I1039" s="67">
        <v>4400</v>
      </c>
      <c r="J1039" s="66" t="s">
        <v>246</v>
      </c>
    </row>
    <row r="1040" spans="2:10" s="7" customFormat="1" x14ac:dyDescent="0.35">
      <c r="B1040" s="7" t="s">
        <v>52</v>
      </c>
      <c r="C1040" s="7" t="s">
        <v>53</v>
      </c>
      <c r="D1040" s="7">
        <v>25</v>
      </c>
      <c r="E1040" s="59">
        <v>300000</v>
      </c>
      <c r="F1040" s="7" t="s">
        <v>35</v>
      </c>
      <c r="G1040" s="7" t="s">
        <v>274</v>
      </c>
      <c r="H1040" s="66" t="s">
        <v>245</v>
      </c>
      <c r="I1040" s="67">
        <v>12000</v>
      </c>
      <c r="J1040" s="66" t="s">
        <v>246</v>
      </c>
    </row>
    <row r="1041" spans="2:10" s="7" customFormat="1" x14ac:dyDescent="0.35">
      <c r="B1041" s="7" t="s">
        <v>58</v>
      </c>
      <c r="C1041" s="7" t="s">
        <v>59</v>
      </c>
      <c r="D1041" s="7">
        <v>35</v>
      </c>
      <c r="E1041" s="59">
        <v>300000</v>
      </c>
      <c r="F1041" s="7" t="s">
        <v>35</v>
      </c>
      <c r="G1041" s="7" t="s">
        <v>274</v>
      </c>
      <c r="H1041" s="66" t="s">
        <v>245</v>
      </c>
      <c r="I1041" s="67">
        <v>8571.4285714285706</v>
      </c>
      <c r="J1041" s="66" t="s">
        <v>246</v>
      </c>
    </row>
    <row r="1042" spans="2:10" s="7" customFormat="1" x14ac:dyDescent="0.35">
      <c r="B1042" s="7" t="s">
        <v>97</v>
      </c>
      <c r="C1042" s="7" t="s">
        <v>255</v>
      </c>
      <c r="D1042" s="7">
        <v>75</v>
      </c>
      <c r="E1042" s="59">
        <v>400000</v>
      </c>
      <c r="F1042" s="7" t="s">
        <v>35</v>
      </c>
      <c r="G1042" s="7" t="s">
        <v>274</v>
      </c>
      <c r="H1042" s="66" t="s">
        <v>245</v>
      </c>
      <c r="I1042" s="67">
        <v>5333.333333333333</v>
      </c>
      <c r="J1042" s="66" t="s">
        <v>246</v>
      </c>
    </row>
    <row r="1043" spans="2:10" s="7" customFormat="1" x14ac:dyDescent="0.35">
      <c r="B1043" s="7" t="s">
        <v>60</v>
      </c>
      <c r="C1043" s="7" t="s">
        <v>61</v>
      </c>
      <c r="D1043" s="7">
        <v>75</v>
      </c>
      <c r="E1043" s="59">
        <v>400000</v>
      </c>
      <c r="F1043" s="7" t="s">
        <v>35</v>
      </c>
      <c r="G1043" s="7" t="s">
        <v>274</v>
      </c>
      <c r="H1043" s="66" t="s">
        <v>245</v>
      </c>
      <c r="I1043" s="67">
        <v>5333.333333333333</v>
      </c>
      <c r="J1043" s="66" t="s">
        <v>246</v>
      </c>
    </row>
    <row r="1044" spans="2:10" s="7" customFormat="1" x14ac:dyDescent="0.35">
      <c r="B1044" s="7" t="s">
        <v>62</v>
      </c>
      <c r="C1044" s="7" t="s">
        <v>63</v>
      </c>
      <c r="D1044" s="7">
        <v>55</v>
      </c>
      <c r="E1044" s="59">
        <v>350000</v>
      </c>
      <c r="F1044" s="7" t="s">
        <v>35</v>
      </c>
      <c r="G1044" s="7" t="s">
        <v>274</v>
      </c>
      <c r="H1044" s="66" t="s">
        <v>245</v>
      </c>
      <c r="I1044" s="67">
        <v>6363.636363636364</v>
      </c>
      <c r="J1044" s="66" t="s">
        <v>246</v>
      </c>
    </row>
    <row r="1045" spans="2:10" s="7" customFormat="1" x14ac:dyDescent="0.35">
      <c r="B1045" s="7" t="s">
        <v>98</v>
      </c>
      <c r="C1045" s="7" t="s">
        <v>38</v>
      </c>
      <c r="D1045" s="7">
        <v>45</v>
      </c>
      <c r="E1045" s="59">
        <v>300000</v>
      </c>
      <c r="F1045" s="7" t="s">
        <v>35</v>
      </c>
      <c r="G1045" s="7" t="s">
        <v>274</v>
      </c>
      <c r="H1045" s="66" t="s">
        <v>245</v>
      </c>
      <c r="I1045" s="67">
        <v>6666.666666666667</v>
      </c>
      <c r="J1045" s="66" t="s">
        <v>246</v>
      </c>
    </row>
    <row r="1046" spans="2:10" s="7" customFormat="1" x14ac:dyDescent="0.35">
      <c r="B1046" s="7" t="s">
        <v>256</v>
      </c>
      <c r="C1046" s="7" t="s">
        <v>64</v>
      </c>
      <c r="D1046" s="7">
        <v>105</v>
      </c>
      <c r="E1046" s="59">
        <v>462000</v>
      </c>
      <c r="F1046" s="7" t="s">
        <v>35</v>
      </c>
      <c r="G1046" s="7" t="s">
        <v>274</v>
      </c>
      <c r="H1046" s="66" t="s">
        <v>245</v>
      </c>
      <c r="I1046" s="67">
        <v>4400</v>
      </c>
      <c r="J1046" s="66" t="s">
        <v>246</v>
      </c>
    </row>
    <row r="1047" spans="2:10" x14ac:dyDescent="0.35">
      <c r="B1047" s="7" t="s">
        <v>65</v>
      </c>
      <c r="C1047" s="7" t="s">
        <v>66</v>
      </c>
      <c r="D1047" s="7">
        <v>45</v>
      </c>
      <c r="E1047" s="59">
        <v>300000</v>
      </c>
      <c r="F1047" s="7" t="s">
        <v>35</v>
      </c>
      <c r="G1047" s="7" t="s">
        <v>274</v>
      </c>
      <c r="H1047" s="66" t="s">
        <v>245</v>
      </c>
      <c r="I1047" s="67">
        <v>6666.666666666667</v>
      </c>
      <c r="J1047" s="66" t="s">
        <v>246</v>
      </c>
    </row>
    <row r="1048" spans="2:10" x14ac:dyDescent="0.35">
      <c r="B1048" s="7" t="s">
        <v>67</v>
      </c>
      <c r="C1048" s="7" t="s">
        <v>38</v>
      </c>
      <c r="D1048" s="7">
        <v>40</v>
      </c>
      <c r="E1048" s="59">
        <v>300000</v>
      </c>
      <c r="F1048" s="7" t="s">
        <v>35</v>
      </c>
      <c r="G1048" s="7" t="s">
        <v>274</v>
      </c>
      <c r="H1048" s="66" t="s">
        <v>245</v>
      </c>
      <c r="I1048" s="67">
        <v>7500</v>
      </c>
      <c r="J1048" s="66" t="s">
        <v>246</v>
      </c>
    </row>
    <row r="1049" spans="2:10" x14ac:dyDescent="0.35">
      <c r="B1049" s="7" t="s">
        <v>68</v>
      </c>
      <c r="C1049" s="7" t="s">
        <v>69</v>
      </c>
      <c r="D1049" s="7">
        <v>80</v>
      </c>
      <c r="E1049" s="59">
        <v>450000</v>
      </c>
      <c r="F1049" s="7" t="s">
        <v>35</v>
      </c>
      <c r="G1049" s="7" t="s">
        <v>274</v>
      </c>
      <c r="H1049" s="66" t="s">
        <v>245</v>
      </c>
      <c r="I1049" s="67">
        <v>5625</v>
      </c>
      <c r="J1049" s="66" t="s">
        <v>246</v>
      </c>
    </row>
    <row r="1050" spans="2:10" x14ac:dyDescent="0.35">
      <c r="B1050" s="7" t="s">
        <v>33</v>
      </c>
      <c r="C1050" s="7" t="s">
        <v>34</v>
      </c>
      <c r="D1050" s="7">
        <v>145</v>
      </c>
      <c r="E1050" s="59">
        <v>638000</v>
      </c>
      <c r="F1050" s="7" t="s">
        <v>35</v>
      </c>
      <c r="G1050" s="7" t="s">
        <v>274</v>
      </c>
      <c r="H1050" s="66" t="s">
        <v>245</v>
      </c>
      <c r="I1050" s="67">
        <v>4400</v>
      </c>
      <c r="J1050" s="66" t="s">
        <v>246</v>
      </c>
    </row>
    <row r="1051" spans="2:10" x14ac:dyDescent="0.35">
      <c r="B1051" s="7" t="s">
        <v>257</v>
      </c>
      <c r="C1051" s="7" t="s">
        <v>66</v>
      </c>
      <c r="D1051" s="7">
        <v>60</v>
      </c>
      <c r="E1051" s="59">
        <v>350000</v>
      </c>
      <c r="F1051" s="7" t="s">
        <v>35</v>
      </c>
      <c r="G1051" s="7" t="s">
        <v>274</v>
      </c>
      <c r="H1051" s="66" t="s">
        <v>245</v>
      </c>
      <c r="I1051" s="67">
        <v>5833.333333333333</v>
      </c>
      <c r="J1051" s="66" t="s">
        <v>246</v>
      </c>
    </row>
    <row r="1052" spans="2:10" x14ac:dyDescent="0.35">
      <c r="B1052" s="7" t="s">
        <v>71</v>
      </c>
      <c r="C1052" s="7" t="s">
        <v>43</v>
      </c>
      <c r="D1052" s="7">
        <v>50</v>
      </c>
      <c r="E1052" s="59">
        <v>2200000</v>
      </c>
      <c r="F1052" s="7" t="s">
        <v>35</v>
      </c>
      <c r="G1052" s="7" t="s">
        <v>274</v>
      </c>
      <c r="H1052" s="66" t="s">
        <v>245</v>
      </c>
      <c r="I1052" s="67">
        <v>44000</v>
      </c>
      <c r="J1052" s="66" t="s">
        <v>246</v>
      </c>
    </row>
    <row r="1053" spans="2:10" x14ac:dyDescent="0.35">
      <c r="B1053" s="7" t="s">
        <v>258</v>
      </c>
      <c r="C1053" s="7" t="s">
        <v>259</v>
      </c>
      <c r="D1053" s="7">
        <v>95</v>
      </c>
      <c r="E1053" s="59">
        <v>460000</v>
      </c>
      <c r="F1053" s="7" t="s">
        <v>35</v>
      </c>
      <c r="G1053" s="7" t="s">
        <v>274</v>
      </c>
      <c r="H1053" s="66" t="s">
        <v>245</v>
      </c>
      <c r="I1053" s="67">
        <v>4842.105263157895</v>
      </c>
      <c r="J1053" s="66" t="s">
        <v>246</v>
      </c>
    </row>
    <row r="1054" spans="2:10" x14ac:dyDescent="0.35">
      <c r="B1054" s="7" t="s">
        <v>72</v>
      </c>
      <c r="C1054" s="7" t="s">
        <v>73</v>
      </c>
      <c r="D1054" s="7">
        <v>230</v>
      </c>
      <c r="E1054" s="59">
        <v>1012000</v>
      </c>
      <c r="F1054" s="7" t="s">
        <v>35</v>
      </c>
      <c r="G1054" s="7" t="s">
        <v>274</v>
      </c>
      <c r="H1054" s="66" t="s">
        <v>245</v>
      </c>
      <c r="I1054" s="67">
        <v>4400</v>
      </c>
      <c r="J1054" s="66" t="s">
        <v>246</v>
      </c>
    </row>
    <row r="1055" spans="2:10" x14ac:dyDescent="0.35">
      <c r="B1055" s="7" t="s">
        <v>56</v>
      </c>
      <c r="C1055" s="7" t="s">
        <v>57</v>
      </c>
      <c r="D1055" s="7">
        <v>50</v>
      </c>
      <c r="E1055" s="59">
        <v>350000</v>
      </c>
      <c r="F1055" s="7" t="s">
        <v>35</v>
      </c>
      <c r="G1055" s="7" t="s">
        <v>274</v>
      </c>
      <c r="H1055" s="66" t="s">
        <v>245</v>
      </c>
      <c r="I1055" s="67">
        <v>7000</v>
      </c>
      <c r="J1055" s="66" t="s">
        <v>246</v>
      </c>
    </row>
    <row r="1056" spans="2:10" x14ac:dyDescent="0.35">
      <c r="B1056" s="7" t="s">
        <v>260</v>
      </c>
      <c r="C1056" s="7" t="s">
        <v>261</v>
      </c>
      <c r="D1056" s="7">
        <v>225</v>
      </c>
      <c r="E1056" s="59">
        <v>990000</v>
      </c>
      <c r="F1056" s="7" t="s">
        <v>35</v>
      </c>
      <c r="G1056" s="7" t="s">
        <v>274</v>
      </c>
      <c r="H1056" s="66" t="s">
        <v>245</v>
      </c>
      <c r="I1056" s="67">
        <v>4400</v>
      </c>
      <c r="J1056" s="66" t="s">
        <v>246</v>
      </c>
    </row>
    <row r="1057" spans="2:10" x14ac:dyDescent="0.35">
      <c r="B1057" s="7" t="s">
        <v>74</v>
      </c>
      <c r="C1057" s="7" t="s">
        <v>75</v>
      </c>
      <c r="D1057" s="7">
        <v>60</v>
      </c>
      <c r="E1057" s="59">
        <v>350000</v>
      </c>
      <c r="F1057" s="7" t="s">
        <v>35</v>
      </c>
      <c r="G1057" s="7" t="s">
        <v>274</v>
      </c>
      <c r="H1057" s="66" t="s">
        <v>245</v>
      </c>
      <c r="I1057" s="67">
        <v>5833.333333333333</v>
      </c>
      <c r="J1057" s="66" t="s">
        <v>246</v>
      </c>
    </row>
    <row r="1058" spans="2:10" x14ac:dyDescent="0.35">
      <c r="B1058" s="7" t="s">
        <v>275</v>
      </c>
      <c r="C1058" s="7" t="s">
        <v>276</v>
      </c>
      <c r="D1058" s="7">
        <v>70</v>
      </c>
      <c r="E1058" s="59">
        <v>400000</v>
      </c>
      <c r="F1058" s="7" t="s">
        <v>35</v>
      </c>
      <c r="G1058" s="7" t="s">
        <v>274</v>
      </c>
      <c r="H1058" s="66" t="s">
        <v>245</v>
      </c>
      <c r="I1058" s="67">
        <v>5714.2857142857147</v>
      </c>
      <c r="J1058" s="66" t="s">
        <v>246</v>
      </c>
    </row>
    <row r="1059" spans="2:10" x14ac:dyDescent="0.35">
      <c r="B1059" s="7" t="s">
        <v>76</v>
      </c>
      <c r="C1059" s="7" t="s">
        <v>262</v>
      </c>
      <c r="D1059" s="7">
        <v>55</v>
      </c>
      <c r="E1059" s="59">
        <v>350000</v>
      </c>
      <c r="F1059" s="7" t="s">
        <v>35</v>
      </c>
      <c r="G1059" s="7" t="s">
        <v>274</v>
      </c>
      <c r="H1059" s="66" t="s">
        <v>245</v>
      </c>
      <c r="I1059" s="67">
        <v>6363.636363636364</v>
      </c>
      <c r="J1059" s="66" t="s">
        <v>246</v>
      </c>
    </row>
    <row r="1060" spans="2:10" x14ac:dyDescent="0.35">
      <c r="B1060" s="7" t="s">
        <v>96</v>
      </c>
      <c r="C1060" s="7" t="s">
        <v>255</v>
      </c>
      <c r="D1060" s="7">
        <v>60</v>
      </c>
      <c r="E1060" s="59">
        <v>350000</v>
      </c>
      <c r="F1060" s="7" t="s">
        <v>35</v>
      </c>
      <c r="G1060" s="7" t="s">
        <v>274</v>
      </c>
      <c r="H1060" s="66" t="s">
        <v>245</v>
      </c>
      <c r="I1060" s="67">
        <v>5833.333333333333</v>
      </c>
      <c r="J1060" s="66" t="s">
        <v>246</v>
      </c>
    </row>
    <row r="1061" spans="2:10" x14ac:dyDescent="0.35">
      <c r="B1061" s="7" t="s">
        <v>263</v>
      </c>
      <c r="C1061" s="7" t="s">
        <v>264</v>
      </c>
      <c r="D1061" s="7">
        <v>250</v>
      </c>
      <c r="E1061" s="59">
        <v>11000000</v>
      </c>
      <c r="F1061" s="7" t="s">
        <v>35</v>
      </c>
      <c r="G1061" s="7" t="s">
        <v>274</v>
      </c>
      <c r="H1061" s="66" t="s">
        <v>245</v>
      </c>
      <c r="I1061" s="67">
        <v>44000</v>
      </c>
      <c r="J1061" s="66" t="s">
        <v>246</v>
      </c>
    </row>
    <row r="1062" spans="2:10" x14ac:dyDescent="0.35">
      <c r="B1062" s="7" t="s">
        <v>40</v>
      </c>
      <c r="C1062" s="7" t="s">
        <v>41</v>
      </c>
      <c r="D1062" s="7">
        <v>264</v>
      </c>
      <c r="E1062" s="59">
        <v>730000</v>
      </c>
      <c r="F1062" s="7" t="s">
        <v>31</v>
      </c>
      <c r="G1062" s="7" t="s">
        <v>277</v>
      </c>
      <c r="H1062" s="66" t="s">
        <v>245</v>
      </c>
      <c r="I1062" s="67">
        <v>2765.151515151515</v>
      </c>
      <c r="J1062" s="66" t="s">
        <v>246</v>
      </c>
    </row>
    <row r="1063" spans="2:10" x14ac:dyDescent="0.35">
      <c r="B1063" s="7" t="s">
        <v>247</v>
      </c>
      <c r="C1063" s="7" t="s">
        <v>248</v>
      </c>
      <c r="D1063" s="7">
        <v>258</v>
      </c>
      <c r="E1063" s="59">
        <v>730000</v>
      </c>
      <c r="F1063" s="7" t="s">
        <v>31</v>
      </c>
      <c r="G1063" s="7" t="s">
        <v>277</v>
      </c>
      <c r="H1063" s="66" t="s">
        <v>245</v>
      </c>
      <c r="I1063" s="67">
        <v>2829.4573643410854</v>
      </c>
      <c r="J1063" s="66" t="s">
        <v>246</v>
      </c>
    </row>
    <row r="1064" spans="2:10" x14ac:dyDescent="0.35">
      <c r="B1064" s="7" t="s">
        <v>251</v>
      </c>
      <c r="C1064" s="7" t="s">
        <v>252</v>
      </c>
      <c r="D1064" s="7">
        <v>143</v>
      </c>
      <c r="E1064" s="59">
        <v>540000</v>
      </c>
      <c r="F1064" s="7" t="s">
        <v>31</v>
      </c>
      <c r="G1064" s="7" t="s">
        <v>277</v>
      </c>
      <c r="H1064" s="66" t="s">
        <v>245</v>
      </c>
      <c r="I1064" s="67">
        <v>3776.2237762237764</v>
      </c>
      <c r="J1064" s="66" t="s">
        <v>246</v>
      </c>
    </row>
    <row r="1065" spans="2:10" x14ac:dyDescent="0.35">
      <c r="B1065" s="7" t="s">
        <v>42</v>
      </c>
      <c r="C1065" s="7" t="s">
        <v>43</v>
      </c>
      <c r="D1065" s="7">
        <v>499</v>
      </c>
      <c r="E1065" s="59">
        <v>1370000</v>
      </c>
      <c r="F1065" s="7" t="s">
        <v>31</v>
      </c>
      <c r="G1065" s="7" t="s">
        <v>277</v>
      </c>
      <c r="H1065" s="66" t="s">
        <v>245</v>
      </c>
      <c r="I1065" s="67">
        <v>2745.4909819639279</v>
      </c>
      <c r="J1065" s="66" t="s">
        <v>246</v>
      </c>
    </row>
    <row r="1066" spans="2:10" x14ac:dyDescent="0.35">
      <c r="B1066" s="7" t="s">
        <v>253</v>
      </c>
      <c r="C1066" s="7" t="s">
        <v>70</v>
      </c>
      <c r="D1066" s="7">
        <v>113</v>
      </c>
      <c r="E1066" s="59">
        <v>440000</v>
      </c>
      <c r="F1066" s="7" t="s">
        <v>31</v>
      </c>
      <c r="G1066" s="7" t="s">
        <v>277</v>
      </c>
      <c r="H1066" s="66" t="s">
        <v>245</v>
      </c>
      <c r="I1066" s="67">
        <v>3893.8053097345132</v>
      </c>
      <c r="J1066" s="66" t="s">
        <v>246</v>
      </c>
    </row>
    <row r="1067" spans="2:10" x14ac:dyDescent="0.35">
      <c r="B1067" s="7" t="s">
        <v>249</v>
      </c>
      <c r="C1067" s="7" t="s">
        <v>44</v>
      </c>
      <c r="D1067" s="7">
        <v>150</v>
      </c>
      <c r="E1067" s="59">
        <v>540000</v>
      </c>
      <c r="F1067" s="7" t="s">
        <v>31</v>
      </c>
      <c r="G1067" s="7" t="s">
        <v>277</v>
      </c>
      <c r="H1067" s="66" t="s">
        <v>245</v>
      </c>
      <c r="I1067" s="67">
        <v>3600</v>
      </c>
      <c r="J1067" s="66" t="s">
        <v>246</v>
      </c>
    </row>
    <row r="1068" spans="2:10" x14ac:dyDescent="0.35">
      <c r="B1068" s="7" t="s">
        <v>29</v>
      </c>
      <c r="C1068" s="7" t="s">
        <v>30</v>
      </c>
      <c r="D1068" s="7">
        <v>240</v>
      </c>
      <c r="E1068" s="59">
        <v>700000</v>
      </c>
      <c r="F1068" s="7" t="s">
        <v>31</v>
      </c>
      <c r="G1068" s="7" t="s">
        <v>277</v>
      </c>
      <c r="H1068" s="66" t="s">
        <v>245</v>
      </c>
      <c r="I1068" s="67">
        <v>2916.6666666666665</v>
      </c>
      <c r="J1068" s="66" t="s">
        <v>246</v>
      </c>
    </row>
    <row r="1069" spans="2:10" x14ac:dyDescent="0.35">
      <c r="B1069" s="7" t="s">
        <v>45</v>
      </c>
      <c r="C1069" s="7" t="s">
        <v>46</v>
      </c>
      <c r="D1069" s="7">
        <v>240</v>
      </c>
      <c r="E1069" s="59">
        <v>700000</v>
      </c>
      <c r="F1069" s="7" t="s">
        <v>31</v>
      </c>
      <c r="G1069" s="7" t="s">
        <v>277</v>
      </c>
      <c r="H1069" s="66" t="s">
        <v>245</v>
      </c>
      <c r="I1069" s="67">
        <v>2916.6666666666665</v>
      </c>
      <c r="J1069" s="66" t="s">
        <v>246</v>
      </c>
    </row>
    <row r="1070" spans="2:10" x14ac:dyDescent="0.35">
      <c r="B1070" s="7" t="s">
        <v>47</v>
      </c>
      <c r="C1070" s="7" t="s">
        <v>48</v>
      </c>
      <c r="D1070" s="7">
        <v>124</v>
      </c>
      <c r="E1070" s="59">
        <v>440000</v>
      </c>
      <c r="F1070" s="7" t="s">
        <v>31</v>
      </c>
      <c r="G1070" s="7" t="s">
        <v>277</v>
      </c>
      <c r="H1070" s="66" t="s">
        <v>245</v>
      </c>
      <c r="I1070" s="67">
        <v>3548.3870967741937</v>
      </c>
      <c r="J1070" s="66" t="s">
        <v>246</v>
      </c>
    </row>
    <row r="1071" spans="2:10" x14ac:dyDescent="0.35">
      <c r="B1071" s="7" t="s">
        <v>49</v>
      </c>
      <c r="C1071" s="7" t="s">
        <v>50</v>
      </c>
      <c r="D1071" s="7">
        <v>3</v>
      </c>
      <c r="E1071" s="59">
        <v>250000</v>
      </c>
      <c r="F1071" s="7" t="s">
        <v>31</v>
      </c>
      <c r="G1071" s="7" t="s">
        <v>277</v>
      </c>
      <c r="H1071" s="66" t="s">
        <v>245</v>
      </c>
      <c r="I1071" s="67">
        <v>83333.333333333328</v>
      </c>
      <c r="J1071" s="66" t="s">
        <v>246</v>
      </c>
    </row>
    <row r="1072" spans="2:10" x14ac:dyDescent="0.35">
      <c r="B1072" s="7" t="s">
        <v>95</v>
      </c>
      <c r="C1072" s="7" t="s">
        <v>254</v>
      </c>
      <c r="D1072" s="7">
        <v>208</v>
      </c>
      <c r="E1072" s="59">
        <v>650000</v>
      </c>
      <c r="F1072" s="7" t="s">
        <v>31</v>
      </c>
      <c r="G1072" s="7" t="s">
        <v>277</v>
      </c>
      <c r="H1072" s="66" t="s">
        <v>245</v>
      </c>
      <c r="I1072" s="67">
        <v>3125</v>
      </c>
      <c r="J1072" s="66" t="s">
        <v>246</v>
      </c>
    </row>
    <row r="1073" spans="2:10" x14ac:dyDescent="0.35">
      <c r="B1073" s="7" t="s">
        <v>51</v>
      </c>
      <c r="C1073" s="7" t="s">
        <v>50</v>
      </c>
      <c r="D1073" s="7">
        <v>3</v>
      </c>
      <c r="E1073" s="59">
        <v>250000</v>
      </c>
      <c r="F1073" s="7" t="s">
        <v>31</v>
      </c>
      <c r="G1073" s="7" t="s">
        <v>277</v>
      </c>
      <c r="H1073" s="66" t="s">
        <v>245</v>
      </c>
      <c r="I1073" s="67">
        <v>83333.333333333328</v>
      </c>
      <c r="J1073" s="66" t="s">
        <v>246</v>
      </c>
    </row>
    <row r="1074" spans="2:10" x14ac:dyDescent="0.35">
      <c r="B1074" s="7" t="s">
        <v>55</v>
      </c>
      <c r="C1074" s="7" t="s">
        <v>41</v>
      </c>
      <c r="D1074" s="7">
        <v>260</v>
      </c>
      <c r="E1074" s="59">
        <v>730000</v>
      </c>
      <c r="F1074" s="7" t="s">
        <v>31</v>
      </c>
      <c r="G1074" s="7" t="s">
        <v>277</v>
      </c>
      <c r="H1074" s="66" t="s">
        <v>245</v>
      </c>
      <c r="I1074" s="67">
        <v>2807.6923076923076</v>
      </c>
      <c r="J1074" s="66" t="s">
        <v>246</v>
      </c>
    </row>
    <row r="1075" spans="2:10" x14ac:dyDescent="0.35">
      <c r="B1075" s="7" t="s">
        <v>52</v>
      </c>
      <c r="C1075" s="7" t="s">
        <v>53</v>
      </c>
      <c r="D1075" s="7">
        <v>45</v>
      </c>
      <c r="E1075" s="59">
        <v>370000</v>
      </c>
      <c r="F1075" s="7" t="s">
        <v>31</v>
      </c>
      <c r="G1075" s="7" t="s">
        <v>277</v>
      </c>
      <c r="H1075" s="66" t="s">
        <v>245</v>
      </c>
      <c r="I1075" s="67">
        <v>8222.2222222222226</v>
      </c>
      <c r="J1075" s="66" t="s">
        <v>246</v>
      </c>
    </row>
    <row r="1076" spans="2:10" x14ac:dyDescent="0.35">
      <c r="B1076" s="7" t="s">
        <v>58</v>
      </c>
      <c r="C1076" s="7" t="s">
        <v>59</v>
      </c>
      <c r="D1076" s="7">
        <v>98</v>
      </c>
      <c r="E1076" s="59">
        <v>420000</v>
      </c>
      <c r="F1076" s="7" t="s">
        <v>31</v>
      </c>
      <c r="G1076" s="7" t="s">
        <v>277</v>
      </c>
      <c r="H1076" s="66" t="s">
        <v>245</v>
      </c>
      <c r="I1076" s="67">
        <v>4285.7142857142853</v>
      </c>
      <c r="J1076" s="66" t="s">
        <v>246</v>
      </c>
    </row>
    <row r="1077" spans="2:10" x14ac:dyDescent="0.35">
      <c r="B1077" s="7" t="s">
        <v>97</v>
      </c>
      <c r="C1077" s="7" t="s">
        <v>255</v>
      </c>
      <c r="D1077" s="7">
        <v>125</v>
      </c>
      <c r="E1077" s="59">
        <v>440000</v>
      </c>
      <c r="F1077" s="7" t="s">
        <v>31</v>
      </c>
      <c r="G1077" s="7" t="s">
        <v>277</v>
      </c>
      <c r="H1077" s="66" t="s">
        <v>245</v>
      </c>
      <c r="I1077" s="67">
        <v>3520</v>
      </c>
      <c r="J1077" s="66" t="s">
        <v>246</v>
      </c>
    </row>
    <row r="1078" spans="2:10" x14ac:dyDescent="0.35">
      <c r="B1078" s="7" t="s">
        <v>60</v>
      </c>
      <c r="C1078" s="7" t="s">
        <v>61</v>
      </c>
      <c r="D1078" s="7">
        <v>128</v>
      </c>
      <c r="E1078" s="59">
        <v>440000</v>
      </c>
      <c r="F1078" s="7" t="s">
        <v>31</v>
      </c>
      <c r="G1078" s="7" t="s">
        <v>277</v>
      </c>
      <c r="H1078" s="66" t="s">
        <v>245</v>
      </c>
      <c r="I1078" s="67">
        <v>3437.5</v>
      </c>
      <c r="J1078" s="66" t="s">
        <v>246</v>
      </c>
    </row>
    <row r="1079" spans="2:10" x14ac:dyDescent="0.35">
      <c r="B1079" s="7" t="s">
        <v>62</v>
      </c>
      <c r="C1079" s="7" t="s">
        <v>63</v>
      </c>
      <c r="D1079" s="7">
        <v>16</v>
      </c>
      <c r="E1079" s="59">
        <v>250000</v>
      </c>
      <c r="F1079" s="7" t="s">
        <v>31</v>
      </c>
      <c r="G1079" s="7" t="s">
        <v>277</v>
      </c>
      <c r="H1079" s="66" t="s">
        <v>245</v>
      </c>
      <c r="I1079" s="67">
        <v>15625</v>
      </c>
      <c r="J1079" s="66" t="s">
        <v>246</v>
      </c>
    </row>
    <row r="1080" spans="2:10" x14ac:dyDescent="0.35">
      <c r="B1080" s="7" t="s">
        <v>98</v>
      </c>
      <c r="C1080" s="7" t="s">
        <v>38</v>
      </c>
      <c r="D1080" s="7">
        <v>110</v>
      </c>
      <c r="E1080" s="59">
        <v>440000</v>
      </c>
      <c r="F1080" s="7" t="s">
        <v>31</v>
      </c>
      <c r="G1080" s="7" t="s">
        <v>277</v>
      </c>
      <c r="H1080" s="66" t="s">
        <v>245</v>
      </c>
      <c r="I1080" s="67">
        <v>4000</v>
      </c>
      <c r="J1080" s="66" t="s">
        <v>246</v>
      </c>
    </row>
    <row r="1081" spans="2:10" x14ac:dyDescent="0.35">
      <c r="B1081" s="7" t="s">
        <v>256</v>
      </c>
      <c r="C1081" s="7" t="s">
        <v>64</v>
      </c>
      <c r="D1081" s="7">
        <v>40</v>
      </c>
      <c r="E1081" s="59">
        <v>370000</v>
      </c>
      <c r="F1081" s="7" t="s">
        <v>31</v>
      </c>
      <c r="G1081" s="7" t="s">
        <v>277</v>
      </c>
      <c r="H1081" s="66" t="s">
        <v>245</v>
      </c>
      <c r="I1081" s="67">
        <v>9250</v>
      </c>
      <c r="J1081" s="66" t="s">
        <v>246</v>
      </c>
    </row>
    <row r="1082" spans="2:10" x14ac:dyDescent="0.35">
      <c r="B1082" s="7" t="s">
        <v>65</v>
      </c>
      <c r="C1082" s="7" t="s">
        <v>66</v>
      </c>
      <c r="D1082" s="7">
        <v>110</v>
      </c>
      <c r="E1082" s="59">
        <v>440000</v>
      </c>
      <c r="F1082" s="7" t="s">
        <v>31</v>
      </c>
      <c r="G1082" s="7" t="s">
        <v>277</v>
      </c>
      <c r="H1082" s="66" t="s">
        <v>245</v>
      </c>
      <c r="I1082" s="67">
        <v>4000</v>
      </c>
      <c r="J1082" s="66" t="s">
        <v>246</v>
      </c>
    </row>
    <row r="1083" spans="2:10" x14ac:dyDescent="0.35">
      <c r="B1083" s="7" t="s">
        <v>67</v>
      </c>
      <c r="C1083" s="7" t="s">
        <v>38</v>
      </c>
      <c r="D1083" s="7">
        <v>103</v>
      </c>
      <c r="E1083" s="59">
        <v>440000</v>
      </c>
      <c r="F1083" s="7" t="s">
        <v>31</v>
      </c>
      <c r="G1083" s="7" t="s">
        <v>277</v>
      </c>
      <c r="H1083" s="66" t="s">
        <v>245</v>
      </c>
      <c r="I1083" s="67">
        <v>4271.844660194175</v>
      </c>
      <c r="J1083" s="66" t="s">
        <v>246</v>
      </c>
    </row>
    <row r="1084" spans="2:10" x14ac:dyDescent="0.35">
      <c r="B1084" s="7" t="s">
        <v>68</v>
      </c>
      <c r="C1084" s="7" t="s">
        <v>69</v>
      </c>
      <c r="D1084" s="7">
        <v>131</v>
      </c>
      <c r="E1084" s="59">
        <v>460000</v>
      </c>
      <c r="F1084" s="7" t="s">
        <v>31</v>
      </c>
      <c r="G1084" s="7" t="s">
        <v>277</v>
      </c>
      <c r="H1084" s="66" t="s">
        <v>245</v>
      </c>
      <c r="I1084" s="67">
        <v>3511.4503816793895</v>
      </c>
      <c r="J1084" s="66" t="s">
        <v>246</v>
      </c>
    </row>
    <row r="1085" spans="2:10" x14ac:dyDescent="0.35">
      <c r="B1085" s="7" t="s">
        <v>33</v>
      </c>
      <c r="C1085" s="7" t="s">
        <v>34</v>
      </c>
      <c r="D1085" s="7">
        <v>85</v>
      </c>
      <c r="E1085" s="59">
        <v>420000</v>
      </c>
      <c r="F1085" s="7" t="s">
        <v>31</v>
      </c>
      <c r="G1085" s="7" t="s">
        <v>277</v>
      </c>
      <c r="H1085" s="66" t="s">
        <v>245</v>
      </c>
      <c r="I1085" s="67">
        <v>4941.1764705882351</v>
      </c>
      <c r="J1085" s="66" t="s">
        <v>246</v>
      </c>
    </row>
    <row r="1086" spans="2:10" x14ac:dyDescent="0.35">
      <c r="B1086" s="7" t="s">
        <v>257</v>
      </c>
      <c r="C1086" s="7" t="s">
        <v>66</v>
      </c>
      <c r="D1086" s="7">
        <v>118</v>
      </c>
      <c r="E1086" s="59">
        <v>440000</v>
      </c>
      <c r="F1086" s="7" t="s">
        <v>31</v>
      </c>
      <c r="G1086" s="7" t="s">
        <v>277</v>
      </c>
      <c r="H1086" s="66" t="s">
        <v>245</v>
      </c>
      <c r="I1086" s="67">
        <v>3728.8135593220341</v>
      </c>
      <c r="J1086" s="66" t="s">
        <v>246</v>
      </c>
    </row>
    <row r="1087" spans="2:10" x14ac:dyDescent="0.35">
      <c r="B1087" s="7" t="s">
        <v>71</v>
      </c>
      <c r="C1087" s="7" t="s">
        <v>43</v>
      </c>
      <c r="D1087" s="7">
        <v>549</v>
      </c>
      <c r="E1087" s="59">
        <v>1410000</v>
      </c>
      <c r="F1087" s="7" t="s">
        <v>31</v>
      </c>
      <c r="G1087" s="7" t="s">
        <v>277</v>
      </c>
      <c r="H1087" s="66" t="s">
        <v>245</v>
      </c>
      <c r="I1087" s="67">
        <v>2568.3060109289618</v>
      </c>
      <c r="J1087" s="66" t="s">
        <v>246</v>
      </c>
    </row>
    <row r="1088" spans="2:10" x14ac:dyDescent="0.35">
      <c r="B1088" s="7" t="s">
        <v>258</v>
      </c>
      <c r="C1088" s="7" t="s">
        <v>259</v>
      </c>
      <c r="D1088" s="7">
        <v>144</v>
      </c>
      <c r="E1088" s="59">
        <v>550000</v>
      </c>
      <c r="F1088" s="7" t="s">
        <v>31</v>
      </c>
      <c r="G1088" s="7" t="s">
        <v>277</v>
      </c>
      <c r="H1088" s="66" t="s">
        <v>245</v>
      </c>
      <c r="I1088" s="67">
        <v>3819.4444444444443</v>
      </c>
      <c r="J1088" s="66" t="s">
        <v>246</v>
      </c>
    </row>
    <row r="1089" spans="2:10" x14ac:dyDescent="0.35">
      <c r="B1089" s="7" t="s">
        <v>72</v>
      </c>
      <c r="C1089" s="7" t="s">
        <v>73</v>
      </c>
      <c r="D1089" s="7">
        <v>165</v>
      </c>
      <c r="E1089" s="59">
        <v>570000</v>
      </c>
      <c r="F1089" s="7" t="s">
        <v>31</v>
      </c>
      <c r="G1089" s="7" t="s">
        <v>277</v>
      </c>
      <c r="H1089" s="66" t="s">
        <v>245</v>
      </c>
      <c r="I1089" s="67">
        <v>3454.5454545454545</v>
      </c>
      <c r="J1089" s="66" t="s">
        <v>246</v>
      </c>
    </row>
    <row r="1090" spans="2:10" x14ac:dyDescent="0.35">
      <c r="B1090" s="7" t="s">
        <v>56</v>
      </c>
      <c r="C1090" s="7" t="s">
        <v>57</v>
      </c>
      <c r="D1090" s="7">
        <v>100</v>
      </c>
      <c r="E1090" s="59">
        <v>440000</v>
      </c>
      <c r="F1090" s="7" t="s">
        <v>31</v>
      </c>
      <c r="G1090" s="7" t="s">
        <v>277</v>
      </c>
      <c r="H1090" s="66" t="s">
        <v>245</v>
      </c>
      <c r="I1090" s="67">
        <v>4400</v>
      </c>
      <c r="J1090" s="66" t="s">
        <v>246</v>
      </c>
    </row>
    <row r="1091" spans="2:10" x14ac:dyDescent="0.35">
      <c r="B1091" s="7" t="s">
        <v>260</v>
      </c>
      <c r="C1091" s="7" t="s">
        <v>261</v>
      </c>
      <c r="D1091" s="7">
        <v>162</v>
      </c>
      <c r="E1091" s="59">
        <v>570000</v>
      </c>
      <c r="F1091" s="7" t="s">
        <v>31</v>
      </c>
      <c r="G1091" s="7" t="s">
        <v>277</v>
      </c>
      <c r="H1091" s="66" t="s">
        <v>245</v>
      </c>
      <c r="I1091" s="67">
        <v>3518.5185185185187</v>
      </c>
      <c r="J1091" s="66" t="s">
        <v>246</v>
      </c>
    </row>
    <row r="1092" spans="2:10" x14ac:dyDescent="0.35">
      <c r="B1092" s="7" t="s">
        <v>74</v>
      </c>
      <c r="C1092" s="7" t="s">
        <v>75</v>
      </c>
      <c r="D1092" s="7">
        <v>10</v>
      </c>
      <c r="E1092" s="59">
        <v>250000</v>
      </c>
      <c r="F1092" s="7" t="s">
        <v>31</v>
      </c>
      <c r="G1092" s="7" t="s">
        <v>277</v>
      </c>
      <c r="H1092" s="66" t="s">
        <v>245</v>
      </c>
      <c r="I1092" s="67">
        <v>25000</v>
      </c>
      <c r="J1092" s="66" t="s">
        <v>246</v>
      </c>
    </row>
    <row r="1093" spans="2:10" x14ac:dyDescent="0.35">
      <c r="B1093" s="7" t="s">
        <v>76</v>
      </c>
      <c r="C1093" s="7" t="s">
        <v>262</v>
      </c>
      <c r="D1093" s="7">
        <v>20</v>
      </c>
      <c r="E1093" s="59">
        <v>280000</v>
      </c>
      <c r="F1093" s="7" t="s">
        <v>31</v>
      </c>
      <c r="G1093" s="7" t="s">
        <v>277</v>
      </c>
      <c r="H1093" s="66" t="s">
        <v>245</v>
      </c>
      <c r="I1093" s="67">
        <v>14000</v>
      </c>
      <c r="J1093" s="66" t="s">
        <v>246</v>
      </c>
    </row>
    <row r="1094" spans="2:10" x14ac:dyDescent="0.35">
      <c r="B1094" s="7" t="s">
        <v>96</v>
      </c>
      <c r="C1094" s="7" t="s">
        <v>255</v>
      </c>
      <c r="D1094" s="7">
        <v>122</v>
      </c>
      <c r="E1094" s="59">
        <v>440000</v>
      </c>
      <c r="F1094" s="7" t="s">
        <v>31</v>
      </c>
      <c r="G1094" s="7" t="s">
        <v>277</v>
      </c>
      <c r="H1094" s="66" t="s">
        <v>245</v>
      </c>
      <c r="I1094" s="67">
        <v>3606.5573770491801</v>
      </c>
      <c r="J1094" s="66" t="s">
        <v>246</v>
      </c>
    </row>
    <row r="1095" spans="2:10" x14ac:dyDescent="0.35">
      <c r="B1095" s="7" t="s">
        <v>263</v>
      </c>
      <c r="C1095" s="7" t="s">
        <v>264</v>
      </c>
      <c r="D1095" s="7">
        <v>162</v>
      </c>
      <c r="E1095" s="59">
        <v>780000</v>
      </c>
      <c r="F1095" s="7" t="s">
        <v>31</v>
      </c>
      <c r="G1095" s="7" t="s">
        <v>277</v>
      </c>
      <c r="H1095" s="66" t="s">
        <v>245</v>
      </c>
      <c r="I1095" s="67">
        <v>4814.8148148148148</v>
      </c>
      <c r="J1095" s="66" t="s">
        <v>246</v>
      </c>
    </row>
    <row r="1096" spans="2:10" x14ac:dyDescent="0.35">
      <c r="B1096" s="7" t="s">
        <v>37</v>
      </c>
      <c r="C1096" s="7" t="s">
        <v>38</v>
      </c>
      <c r="D1096" s="7">
        <v>134</v>
      </c>
      <c r="E1096" s="59">
        <v>540000</v>
      </c>
      <c r="F1096" s="7" t="s">
        <v>36</v>
      </c>
      <c r="G1096" s="7" t="s">
        <v>277</v>
      </c>
      <c r="H1096" s="66" t="s">
        <v>245</v>
      </c>
      <c r="I1096" s="67">
        <v>4029.8507462686566</v>
      </c>
      <c r="J1096" s="66" t="s">
        <v>246</v>
      </c>
    </row>
    <row r="1097" spans="2:10" x14ac:dyDescent="0.35">
      <c r="B1097" s="7" t="s">
        <v>40</v>
      </c>
      <c r="C1097" s="7" t="s">
        <v>41</v>
      </c>
      <c r="D1097" s="7">
        <v>123</v>
      </c>
      <c r="E1097" s="59">
        <v>520000</v>
      </c>
      <c r="F1097" s="7" t="s">
        <v>36</v>
      </c>
      <c r="G1097" s="7" t="s">
        <v>277</v>
      </c>
      <c r="H1097" s="66" t="s">
        <v>245</v>
      </c>
      <c r="I1097" s="67">
        <v>4227.6422764227646</v>
      </c>
      <c r="J1097" s="66" t="s">
        <v>246</v>
      </c>
    </row>
    <row r="1098" spans="2:10" x14ac:dyDescent="0.35">
      <c r="B1098" s="7" t="s">
        <v>247</v>
      </c>
      <c r="C1098" s="7" t="s">
        <v>248</v>
      </c>
      <c r="D1098" s="7">
        <v>118</v>
      </c>
      <c r="E1098" s="59">
        <v>520000</v>
      </c>
      <c r="F1098" s="7" t="s">
        <v>36</v>
      </c>
      <c r="G1098" s="7" t="s">
        <v>277</v>
      </c>
      <c r="H1098" s="66" t="s">
        <v>245</v>
      </c>
      <c r="I1098" s="67">
        <v>4406.7796610169489</v>
      </c>
      <c r="J1098" s="66" t="s">
        <v>246</v>
      </c>
    </row>
    <row r="1099" spans="2:10" x14ac:dyDescent="0.35">
      <c r="B1099" s="7" t="s">
        <v>251</v>
      </c>
      <c r="C1099" s="7" t="s">
        <v>252</v>
      </c>
      <c r="D1099" s="7">
        <v>103</v>
      </c>
      <c r="E1099" s="59">
        <v>440000</v>
      </c>
      <c r="F1099" s="7" t="s">
        <v>36</v>
      </c>
      <c r="G1099" s="7" t="s">
        <v>277</v>
      </c>
      <c r="H1099" s="66" t="s">
        <v>245</v>
      </c>
      <c r="I1099" s="67">
        <v>4271.844660194175</v>
      </c>
      <c r="J1099" s="66" t="s">
        <v>246</v>
      </c>
    </row>
    <row r="1100" spans="2:10" x14ac:dyDescent="0.35">
      <c r="B1100" s="7" t="s">
        <v>42</v>
      </c>
      <c r="C1100" s="7" t="s">
        <v>43</v>
      </c>
      <c r="D1100" s="7">
        <v>358</v>
      </c>
      <c r="E1100" s="59">
        <v>1200000</v>
      </c>
      <c r="F1100" s="7" t="s">
        <v>36</v>
      </c>
      <c r="G1100" s="7" t="s">
        <v>277</v>
      </c>
      <c r="H1100" s="66" t="s">
        <v>245</v>
      </c>
      <c r="I1100" s="67">
        <v>3351.9553072625699</v>
      </c>
      <c r="J1100" s="66" t="s">
        <v>246</v>
      </c>
    </row>
    <row r="1101" spans="2:10" x14ac:dyDescent="0.35">
      <c r="B1101" s="7" t="s">
        <v>253</v>
      </c>
      <c r="C1101" s="7" t="s">
        <v>70</v>
      </c>
      <c r="D1101" s="7">
        <v>141</v>
      </c>
      <c r="E1101" s="59">
        <v>540000</v>
      </c>
      <c r="F1101" s="7" t="s">
        <v>36</v>
      </c>
      <c r="G1101" s="7" t="s">
        <v>277</v>
      </c>
      <c r="H1101" s="66" t="s">
        <v>245</v>
      </c>
      <c r="I1101" s="67">
        <v>3829.7872340425533</v>
      </c>
      <c r="J1101" s="66" t="s">
        <v>246</v>
      </c>
    </row>
    <row r="1102" spans="2:10" x14ac:dyDescent="0.35">
      <c r="B1102" s="7" t="s">
        <v>249</v>
      </c>
      <c r="C1102" s="7" t="s">
        <v>44</v>
      </c>
      <c r="D1102" s="7">
        <v>60</v>
      </c>
      <c r="E1102" s="59">
        <v>380000</v>
      </c>
      <c r="F1102" s="7" t="s">
        <v>36</v>
      </c>
      <c r="G1102" s="7" t="s">
        <v>277</v>
      </c>
      <c r="H1102" s="66" t="s">
        <v>245</v>
      </c>
      <c r="I1102" s="67">
        <v>6333.333333333333</v>
      </c>
      <c r="J1102" s="66" t="s">
        <v>246</v>
      </c>
    </row>
    <row r="1103" spans="2:10" x14ac:dyDescent="0.35">
      <c r="B1103" s="7" t="s">
        <v>29</v>
      </c>
      <c r="C1103" s="7" t="s">
        <v>30</v>
      </c>
      <c r="D1103" s="7">
        <v>22</v>
      </c>
      <c r="E1103" s="59">
        <v>330000</v>
      </c>
      <c r="F1103" s="7" t="s">
        <v>36</v>
      </c>
      <c r="G1103" s="7" t="s">
        <v>277</v>
      </c>
      <c r="H1103" s="66" t="s">
        <v>245</v>
      </c>
      <c r="I1103" s="67">
        <v>15000</v>
      </c>
      <c r="J1103" s="66" t="s">
        <v>246</v>
      </c>
    </row>
    <row r="1104" spans="2:10" x14ac:dyDescent="0.35">
      <c r="B1104" s="7" t="s">
        <v>45</v>
      </c>
      <c r="C1104" s="7" t="s">
        <v>46</v>
      </c>
      <c r="D1104" s="7">
        <v>100</v>
      </c>
      <c r="E1104" s="59">
        <v>520000</v>
      </c>
      <c r="F1104" s="7" t="s">
        <v>36</v>
      </c>
      <c r="G1104" s="7" t="s">
        <v>277</v>
      </c>
      <c r="H1104" s="66" t="s">
        <v>245</v>
      </c>
      <c r="I1104" s="67">
        <v>5200</v>
      </c>
      <c r="J1104" s="66" t="s">
        <v>246</v>
      </c>
    </row>
    <row r="1105" spans="2:10" x14ac:dyDescent="0.35">
      <c r="B1105" s="7" t="s">
        <v>47</v>
      </c>
      <c r="C1105" s="7" t="s">
        <v>48</v>
      </c>
      <c r="D1105" s="7">
        <v>85</v>
      </c>
      <c r="E1105" s="59">
        <v>420000</v>
      </c>
      <c r="F1105" s="7" t="s">
        <v>36</v>
      </c>
      <c r="G1105" s="7" t="s">
        <v>277</v>
      </c>
      <c r="H1105" s="66" t="s">
        <v>245</v>
      </c>
      <c r="I1105" s="67">
        <v>4941.1764705882351</v>
      </c>
      <c r="J1105" s="66" t="s">
        <v>246</v>
      </c>
    </row>
    <row r="1106" spans="2:10" x14ac:dyDescent="0.35">
      <c r="B1106" s="7" t="s">
        <v>49</v>
      </c>
      <c r="C1106" s="7" t="s">
        <v>50</v>
      </c>
      <c r="D1106" s="7">
        <v>144</v>
      </c>
      <c r="E1106" s="59">
        <v>540000</v>
      </c>
      <c r="F1106" s="7" t="s">
        <v>36</v>
      </c>
      <c r="G1106" s="7" t="s">
        <v>277</v>
      </c>
      <c r="H1106" s="66" t="s">
        <v>245</v>
      </c>
      <c r="I1106" s="67">
        <v>3750</v>
      </c>
      <c r="J1106" s="66" t="s">
        <v>246</v>
      </c>
    </row>
    <row r="1107" spans="2:10" x14ac:dyDescent="0.35">
      <c r="B1107" s="7" t="s">
        <v>95</v>
      </c>
      <c r="C1107" s="7" t="s">
        <v>254</v>
      </c>
      <c r="D1107" s="7">
        <v>60</v>
      </c>
      <c r="E1107" s="59">
        <v>380000</v>
      </c>
      <c r="F1107" s="7" t="s">
        <v>36</v>
      </c>
      <c r="G1107" s="7" t="s">
        <v>277</v>
      </c>
      <c r="H1107" s="66" t="s">
        <v>245</v>
      </c>
      <c r="I1107" s="67">
        <v>6333.333333333333</v>
      </c>
      <c r="J1107" s="66" t="s">
        <v>246</v>
      </c>
    </row>
    <row r="1108" spans="2:10" x14ac:dyDescent="0.35">
      <c r="B1108" s="7" t="s">
        <v>51</v>
      </c>
      <c r="C1108" s="7" t="s">
        <v>50</v>
      </c>
      <c r="D1108" s="7">
        <v>144</v>
      </c>
      <c r="E1108" s="59">
        <v>550000</v>
      </c>
      <c r="F1108" s="7" t="s">
        <v>36</v>
      </c>
      <c r="G1108" s="7" t="s">
        <v>277</v>
      </c>
      <c r="H1108" s="66" t="s">
        <v>245</v>
      </c>
      <c r="I1108" s="67">
        <v>3819.4444444444443</v>
      </c>
      <c r="J1108" s="66" t="s">
        <v>246</v>
      </c>
    </row>
    <row r="1109" spans="2:10" x14ac:dyDescent="0.35">
      <c r="B1109" s="7" t="s">
        <v>55</v>
      </c>
      <c r="C1109" s="7" t="s">
        <v>41</v>
      </c>
      <c r="D1109" s="7">
        <v>120</v>
      </c>
      <c r="E1109" s="59">
        <v>520000</v>
      </c>
      <c r="F1109" s="7" t="s">
        <v>36</v>
      </c>
      <c r="G1109" s="7" t="s">
        <v>277</v>
      </c>
      <c r="H1109" s="66" t="s">
        <v>245</v>
      </c>
      <c r="I1109" s="67">
        <v>4333.333333333333</v>
      </c>
      <c r="J1109" s="66" t="s">
        <v>246</v>
      </c>
    </row>
    <row r="1110" spans="2:10" x14ac:dyDescent="0.35">
      <c r="B1110" s="7" t="s">
        <v>52</v>
      </c>
      <c r="C1110" s="7" t="s">
        <v>53</v>
      </c>
      <c r="D1110" s="7">
        <v>100</v>
      </c>
      <c r="E1110" s="59">
        <v>440000</v>
      </c>
      <c r="F1110" s="7" t="s">
        <v>36</v>
      </c>
      <c r="G1110" s="7" t="s">
        <v>277</v>
      </c>
      <c r="H1110" s="66" t="s">
        <v>245</v>
      </c>
      <c r="I1110" s="67">
        <v>4400</v>
      </c>
      <c r="J1110" s="66" t="s">
        <v>246</v>
      </c>
    </row>
    <row r="1111" spans="2:10" x14ac:dyDescent="0.35">
      <c r="B1111" s="7" t="s">
        <v>58</v>
      </c>
      <c r="C1111" s="7" t="s">
        <v>59</v>
      </c>
      <c r="D1111" s="7">
        <v>125</v>
      </c>
      <c r="E1111" s="59">
        <v>520000</v>
      </c>
      <c r="F1111" s="7" t="s">
        <v>36</v>
      </c>
      <c r="G1111" s="7" t="s">
        <v>277</v>
      </c>
      <c r="H1111" s="66" t="s">
        <v>245</v>
      </c>
      <c r="I1111" s="67">
        <v>4160</v>
      </c>
      <c r="J1111" s="66" t="s">
        <v>246</v>
      </c>
    </row>
    <row r="1112" spans="2:10" x14ac:dyDescent="0.35">
      <c r="B1112" s="7" t="s">
        <v>97</v>
      </c>
      <c r="C1112" s="7" t="s">
        <v>255</v>
      </c>
      <c r="D1112" s="7">
        <v>90</v>
      </c>
      <c r="E1112" s="59">
        <v>420000</v>
      </c>
      <c r="F1112" s="7" t="s">
        <v>36</v>
      </c>
      <c r="G1112" s="7" t="s">
        <v>277</v>
      </c>
      <c r="H1112" s="66" t="s">
        <v>245</v>
      </c>
      <c r="I1112" s="67">
        <v>4666.666666666667</v>
      </c>
      <c r="J1112" s="66" t="s">
        <v>246</v>
      </c>
    </row>
    <row r="1113" spans="2:10" x14ac:dyDescent="0.35">
      <c r="B1113" s="7" t="s">
        <v>60</v>
      </c>
      <c r="C1113" s="7" t="s">
        <v>61</v>
      </c>
      <c r="D1113" s="7">
        <v>80</v>
      </c>
      <c r="E1113" s="59">
        <v>420000</v>
      </c>
      <c r="F1113" s="7" t="s">
        <v>36</v>
      </c>
      <c r="G1113" s="7" t="s">
        <v>277</v>
      </c>
      <c r="H1113" s="66" t="s">
        <v>245</v>
      </c>
      <c r="I1113" s="67">
        <v>5250</v>
      </c>
      <c r="J1113" s="66" t="s">
        <v>246</v>
      </c>
    </row>
    <row r="1114" spans="2:10" x14ac:dyDescent="0.35">
      <c r="B1114" s="7" t="s">
        <v>62</v>
      </c>
      <c r="C1114" s="7" t="s">
        <v>63</v>
      </c>
      <c r="D1114" s="7">
        <v>130</v>
      </c>
      <c r="E1114" s="59">
        <v>550000</v>
      </c>
      <c r="F1114" s="7" t="s">
        <v>36</v>
      </c>
      <c r="G1114" s="7" t="s">
        <v>277</v>
      </c>
      <c r="H1114" s="66" t="s">
        <v>245</v>
      </c>
      <c r="I1114" s="67">
        <v>4230.7692307692305</v>
      </c>
      <c r="J1114" s="66" t="s">
        <v>246</v>
      </c>
    </row>
    <row r="1115" spans="2:10" x14ac:dyDescent="0.35">
      <c r="B1115" s="7" t="s">
        <v>98</v>
      </c>
      <c r="C1115" s="7" t="s">
        <v>38</v>
      </c>
      <c r="D1115" s="7">
        <v>133</v>
      </c>
      <c r="E1115" s="59">
        <v>550000</v>
      </c>
      <c r="F1115" s="7" t="s">
        <v>36</v>
      </c>
      <c r="G1115" s="7" t="s">
        <v>277</v>
      </c>
      <c r="H1115" s="66" t="s">
        <v>245</v>
      </c>
      <c r="I1115" s="67">
        <v>4135.3383458646613</v>
      </c>
      <c r="J1115" s="66" t="s">
        <v>246</v>
      </c>
    </row>
    <row r="1116" spans="2:10" x14ac:dyDescent="0.35">
      <c r="B1116" s="7" t="s">
        <v>256</v>
      </c>
      <c r="C1116" s="7" t="s">
        <v>64</v>
      </c>
      <c r="D1116" s="7">
        <v>180</v>
      </c>
      <c r="E1116" s="59">
        <v>620000</v>
      </c>
      <c r="F1116" s="7" t="s">
        <v>36</v>
      </c>
      <c r="G1116" s="7" t="s">
        <v>277</v>
      </c>
      <c r="H1116" s="66" t="s">
        <v>245</v>
      </c>
      <c r="I1116" s="67">
        <v>3444.4444444444443</v>
      </c>
      <c r="J1116" s="66" t="s">
        <v>246</v>
      </c>
    </row>
    <row r="1117" spans="2:10" x14ac:dyDescent="0.35">
      <c r="B1117" s="7" t="s">
        <v>65</v>
      </c>
      <c r="C1117" s="7" t="s">
        <v>66</v>
      </c>
      <c r="D1117" s="7">
        <v>140</v>
      </c>
      <c r="E1117" s="59">
        <v>570000</v>
      </c>
      <c r="F1117" s="7" t="s">
        <v>36</v>
      </c>
      <c r="G1117" s="7" t="s">
        <v>277</v>
      </c>
      <c r="H1117" s="66" t="s">
        <v>245</v>
      </c>
      <c r="I1117" s="67">
        <v>4071.4285714285716</v>
      </c>
      <c r="J1117" s="66" t="s">
        <v>246</v>
      </c>
    </row>
    <row r="1118" spans="2:10" x14ac:dyDescent="0.35">
      <c r="B1118" s="7" t="s">
        <v>67</v>
      </c>
      <c r="C1118" s="7" t="s">
        <v>38</v>
      </c>
      <c r="D1118" s="7">
        <v>130</v>
      </c>
      <c r="E1118" s="59">
        <v>550000</v>
      </c>
      <c r="F1118" s="7" t="s">
        <v>36</v>
      </c>
      <c r="G1118" s="7" t="s">
        <v>277</v>
      </c>
      <c r="H1118" s="66" t="s">
        <v>245</v>
      </c>
      <c r="I1118" s="67">
        <v>4230.7692307692305</v>
      </c>
      <c r="J1118" s="66" t="s">
        <v>246</v>
      </c>
    </row>
    <row r="1119" spans="2:10" x14ac:dyDescent="0.35">
      <c r="B1119" s="7" t="s">
        <v>68</v>
      </c>
      <c r="C1119" s="7" t="s">
        <v>69</v>
      </c>
      <c r="D1119" s="7">
        <v>90</v>
      </c>
      <c r="E1119" s="59">
        <v>440000</v>
      </c>
      <c r="F1119" s="7" t="s">
        <v>36</v>
      </c>
      <c r="G1119" s="7" t="s">
        <v>277</v>
      </c>
      <c r="H1119" s="66" t="s">
        <v>245</v>
      </c>
      <c r="I1119" s="67">
        <v>4888.8888888888887</v>
      </c>
      <c r="J1119" s="66" t="s">
        <v>246</v>
      </c>
    </row>
    <row r="1120" spans="2:10" x14ac:dyDescent="0.35">
      <c r="B1120" s="7" t="s">
        <v>33</v>
      </c>
      <c r="C1120" s="7" t="s">
        <v>34</v>
      </c>
      <c r="D1120" s="7">
        <v>230</v>
      </c>
      <c r="E1120" s="59">
        <v>700000</v>
      </c>
      <c r="F1120" s="7" t="s">
        <v>36</v>
      </c>
      <c r="G1120" s="7" t="s">
        <v>277</v>
      </c>
      <c r="H1120" s="66" t="s">
        <v>245</v>
      </c>
      <c r="I1120" s="67">
        <v>3043.478260869565</v>
      </c>
      <c r="J1120" s="66" t="s">
        <v>246</v>
      </c>
    </row>
    <row r="1121" spans="2:10" x14ac:dyDescent="0.35">
      <c r="B1121" s="7" t="s">
        <v>257</v>
      </c>
      <c r="C1121" s="7" t="s">
        <v>66</v>
      </c>
      <c r="D1121" s="7">
        <v>144</v>
      </c>
      <c r="E1121" s="59">
        <v>570000</v>
      </c>
      <c r="F1121" s="7" t="s">
        <v>36</v>
      </c>
      <c r="G1121" s="7" t="s">
        <v>277</v>
      </c>
      <c r="H1121" s="66" t="s">
        <v>245</v>
      </c>
      <c r="I1121" s="67">
        <v>3958.3333333333335</v>
      </c>
      <c r="J1121" s="66" t="s">
        <v>246</v>
      </c>
    </row>
    <row r="1122" spans="2:10" x14ac:dyDescent="0.35">
      <c r="B1122" s="7" t="s">
        <v>71</v>
      </c>
      <c r="C1122" s="7" t="s">
        <v>43</v>
      </c>
      <c r="D1122" s="7">
        <v>408</v>
      </c>
      <c r="E1122" s="59">
        <v>1200000</v>
      </c>
      <c r="F1122" s="7" t="s">
        <v>36</v>
      </c>
      <c r="G1122" s="7" t="s">
        <v>277</v>
      </c>
      <c r="H1122" s="66" t="s">
        <v>245</v>
      </c>
      <c r="I1122" s="67">
        <v>2941.1764705882351</v>
      </c>
      <c r="J1122" s="66" t="s">
        <v>246</v>
      </c>
    </row>
    <row r="1123" spans="2:10" x14ac:dyDescent="0.35">
      <c r="B1123" s="7" t="s">
        <v>258</v>
      </c>
      <c r="C1123" s="7" t="s">
        <v>259</v>
      </c>
      <c r="D1123" s="7">
        <v>1</v>
      </c>
      <c r="E1123" s="59">
        <v>250000</v>
      </c>
      <c r="F1123" s="7" t="s">
        <v>36</v>
      </c>
      <c r="G1123" s="7" t="s">
        <v>277</v>
      </c>
      <c r="H1123" s="66" t="s">
        <v>245</v>
      </c>
      <c r="I1123" s="67">
        <v>250000</v>
      </c>
      <c r="J1123" s="66" t="s">
        <v>246</v>
      </c>
    </row>
    <row r="1124" spans="2:10" x14ac:dyDescent="0.35">
      <c r="B1124" s="7" t="s">
        <v>72</v>
      </c>
      <c r="C1124" s="7" t="s">
        <v>73</v>
      </c>
      <c r="D1124" s="7">
        <v>310</v>
      </c>
      <c r="E1124" s="59">
        <v>850000</v>
      </c>
      <c r="F1124" s="7" t="s">
        <v>36</v>
      </c>
      <c r="G1124" s="7" t="s">
        <v>277</v>
      </c>
      <c r="H1124" s="66" t="s">
        <v>245</v>
      </c>
      <c r="I1124" s="67">
        <v>2741.9354838709678</v>
      </c>
      <c r="J1124" s="66" t="s">
        <v>246</v>
      </c>
    </row>
    <row r="1125" spans="2:10" x14ac:dyDescent="0.35">
      <c r="B1125" s="7" t="s">
        <v>56</v>
      </c>
      <c r="C1125" s="7" t="s">
        <v>57</v>
      </c>
      <c r="D1125" s="7">
        <v>95</v>
      </c>
      <c r="E1125" s="59">
        <v>420000</v>
      </c>
      <c r="F1125" s="7" t="s">
        <v>36</v>
      </c>
      <c r="G1125" s="7" t="s">
        <v>277</v>
      </c>
      <c r="H1125" s="66" t="s">
        <v>245</v>
      </c>
      <c r="I1125" s="67">
        <v>4421.0526315789475</v>
      </c>
      <c r="J1125" s="66" t="s">
        <v>246</v>
      </c>
    </row>
    <row r="1126" spans="2:10" x14ac:dyDescent="0.35">
      <c r="B1126" s="7" t="s">
        <v>260</v>
      </c>
      <c r="C1126" s="7" t="s">
        <v>261</v>
      </c>
      <c r="D1126" s="7">
        <v>305</v>
      </c>
      <c r="E1126" s="59">
        <v>850000</v>
      </c>
      <c r="F1126" s="7" t="s">
        <v>36</v>
      </c>
      <c r="G1126" s="7" t="s">
        <v>277</v>
      </c>
      <c r="H1126" s="66" t="s">
        <v>245</v>
      </c>
      <c r="I1126" s="67">
        <v>2786.8852459016393</v>
      </c>
      <c r="J1126" s="66" t="s">
        <v>246</v>
      </c>
    </row>
    <row r="1127" spans="2:10" x14ac:dyDescent="0.35">
      <c r="B1127" s="7" t="s">
        <v>74</v>
      </c>
      <c r="C1127" s="7" t="s">
        <v>75</v>
      </c>
      <c r="D1127" s="7">
        <v>140</v>
      </c>
      <c r="E1127" s="59">
        <v>570000</v>
      </c>
      <c r="F1127" s="7" t="s">
        <v>36</v>
      </c>
      <c r="G1127" s="7" t="s">
        <v>277</v>
      </c>
      <c r="H1127" s="66" t="s">
        <v>245</v>
      </c>
      <c r="I1127" s="67">
        <v>4071.4285714285716</v>
      </c>
      <c r="J1127" s="66" t="s">
        <v>246</v>
      </c>
    </row>
    <row r="1128" spans="2:10" x14ac:dyDescent="0.35">
      <c r="B1128" s="7" t="s">
        <v>275</v>
      </c>
      <c r="C1128" s="7" t="s">
        <v>276</v>
      </c>
      <c r="D1128" s="7">
        <v>150</v>
      </c>
      <c r="E1128" s="59">
        <v>580000</v>
      </c>
      <c r="F1128" s="7" t="s">
        <v>36</v>
      </c>
      <c r="G1128" s="7" t="s">
        <v>277</v>
      </c>
      <c r="H1128" s="66" t="s">
        <v>245</v>
      </c>
      <c r="I1128" s="67">
        <v>3866.6666666666665</v>
      </c>
      <c r="J1128" s="66" t="s">
        <v>246</v>
      </c>
    </row>
    <row r="1129" spans="2:10" x14ac:dyDescent="0.35">
      <c r="B1129" s="7" t="s">
        <v>76</v>
      </c>
      <c r="C1129" s="7" t="s">
        <v>262</v>
      </c>
      <c r="D1129" s="7">
        <v>130</v>
      </c>
      <c r="E1129" s="59">
        <v>530000</v>
      </c>
      <c r="F1129" s="7" t="s">
        <v>36</v>
      </c>
      <c r="G1129" s="7" t="s">
        <v>277</v>
      </c>
      <c r="H1129" s="66" t="s">
        <v>245</v>
      </c>
      <c r="I1129" s="67">
        <v>4076.9230769230771</v>
      </c>
      <c r="J1129" s="66" t="s">
        <v>246</v>
      </c>
    </row>
    <row r="1130" spans="2:10" x14ac:dyDescent="0.35">
      <c r="B1130" s="7" t="s">
        <v>96</v>
      </c>
      <c r="C1130" s="7" t="s">
        <v>255</v>
      </c>
      <c r="D1130" s="7">
        <v>95</v>
      </c>
      <c r="E1130" s="59">
        <v>430000</v>
      </c>
      <c r="F1130" s="7" t="s">
        <v>36</v>
      </c>
      <c r="G1130" s="7" t="s">
        <v>277</v>
      </c>
      <c r="H1130" s="66" t="s">
        <v>245</v>
      </c>
      <c r="I1130" s="67">
        <v>4526.3157894736842</v>
      </c>
      <c r="J1130" s="66" t="s">
        <v>246</v>
      </c>
    </row>
    <row r="1131" spans="2:10" x14ac:dyDescent="0.35">
      <c r="B1131" s="7" t="s">
        <v>263</v>
      </c>
      <c r="C1131" s="7" t="s">
        <v>264</v>
      </c>
      <c r="E1131" s="59">
        <v>620000</v>
      </c>
      <c r="F1131" s="7" t="s">
        <v>36</v>
      </c>
      <c r="G1131" s="7" t="s">
        <v>277</v>
      </c>
      <c r="H1131" s="66" t="s">
        <v>245</v>
      </c>
      <c r="I1131" s="67" t="e">
        <v>#DIV/0!</v>
      </c>
      <c r="J1131" s="66" t="s">
        <v>246</v>
      </c>
    </row>
    <row r="1132" spans="2:10" x14ac:dyDescent="0.35">
      <c r="B1132" s="7" t="s">
        <v>40</v>
      </c>
      <c r="C1132" s="7" t="s">
        <v>41</v>
      </c>
      <c r="D1132" s="7">
        <v>211</v>
      </c>
      <c r="E1132" s="59">
        <v>650000</v>
      </c>
      <c r="F1132" s="7" t="s">
        <v>35</v>
      </c>
      <c r="G1132" s="7" t="s">
        <v>277</v>
      </c>
      <c r="H1132" s="66" t="s">
        <v>245</v>
      </c>
      <c r="I1132" s="67">
        <v>3080.5687203791467</v>
      </c>
      <c r="J1132" s="66" t="s">
        <v>246</v>
      </c>
    </row>
    <row r="1133" spans="2:10" x14ac:dyDescent="0.35">
      <c r="B1133" s="7" t="s">
        <v>247</v>
      </c>
      <c r="C1133" s="7" t="s">
        <v>248</v>
      </c>
      <c r="D1133" s="7">
        <v>206</v>
      </c>
      <c r="E1133" s="59">
        <v>650000</v>
      </c>
      <c r="F1133" s="7" t="s">
        <v>35</v>
      </c>
      <c r="G1133" s="7" t="s">
        <v>277</v>
      </c>
      <c r="H1133" s="66" t="s">
        <v>245</v>
      </c>
      <c r="I1133" s="67">
        <v>3155.3398058252428</v>
      </c>
      <c r="J1133" s="66" t="s">
        <v>246</v>
      </c>
    </row>
    <row r="1134" spans="2:10" x14ac:dyDescent="0.35">
      <c r="B1134" s="7" t="s">
        <v>251</v>
      </c>
      <c r="C1134" s="7" t="s">
        <v>252</v>
      </c>
      <c r="D1134" s="7">
        <v>80</v>
      </c>
      <c r="E1134" s="59">
        <v>420000</v>
      </c>
      <c r="F1134" s="7" t="s">
        <v>35</v>
      </c>
      <c r="G1134" s="7" t="s">
        <v>277</v>
      </c>
      <c r="H1134" s="66" t="s">
        <v>245</v>
      </c>
      <c r="I1134" s="67">
        <v>5250</v>
      </c>
      <c r="J1134" s="66" t="s">
        <v>246</v>
      </c>
    </row>
    <row r="1135" spans="2:10" x14ac:dyDescent="0.35">
      <c r="B1135" s="7" t="s">
        <v>42</v>
      </c>
      <c r="C1135" s="7" t="s">
        <v>43</v>
      </c>
      <c r="D1135" s="7">
        <v>450</v>
      </c>
      <c r="E1135" s="59">
        <v>1300000</v>
      </c>
      <c r="F1135" s="7" t="s">
        <v>35</v>
      </c>
      <c r="G1135" s="7" t="s">
        <v>277</v>
      </c>
      <c r="H1135" s="66" t="s">
        <v>245</v>
      </c>
      <c r="I1135" s="67">
        <v>2888.8888888888887</v>
      </c>
      <c r="J1135" s="66" t="s">
        <v>246</v>
      </c>
    </row>
    <row r="1136" spans="2:10" x14ac:dyDescent="0.35">
      <c r="B1136" s="7" t="s">
        <v>253</v>
      </c>
      <c r="C1136" s="7" t="s">
        <v>70</v>
      </c>
      <c r="D1136" s="7">
        <v>50</v>
      </c>
      <c r="E1136" s="59">
        <v>400000</v>
      </c>
      <c r="F1136" s="7" t="s">
        <v>35</v>
      </c>
      <c r="G1136" s="7" t="s">
        <v>277</v>
      </c>
      <c r="H1136" s="66" t="s">
        <v>245</v>
      </c>
      <c r="I1136" s="67">
        <v>8000</v>
      </c>
      <c r="J1136" s="66" t="s">
        <v>246</v>
      </c>
    </row>
    <row r="1137" spans="2:10" x14ac:dyDescent="0.35">
      <c r="B1137" s="7" t="s">
        <v>249</v>
      </c>
      <c r="C1137" s="7" t="s">
        <v>44</v>
      </c>
      <c r="D1137" s="7">
        <v>60</v>
      </c>
      <c r="E1137" s="59">
        <v>400000</v>
      </c>
      <c r="F1137" s="7" t="s">
        <v>35</v>
      </c>
      <c r="G1137" s="7" t="s">
        <v>277</v>
      </c>
      <c r="H1137" s="66" t="s">
        <v>245</v>
      </c>
      <c r="I1137" s="67">
        <v>6666.666666666667</v>
      </c>
      <c r="J1137" s="66" t="s">
        <v>246</v>
      </c>
    </row>
    <row r="1138" spans="2:10" x14ac:dyDescent="0.35">
      <c r="B1138" s="7" t="s">
        <v>29</v>
      </c>
      <c r="C1138" s="7" t="s">
        <v>30</v>
      </c>
      <c r="D1138" s="7">
        <v>100</v>
      </c>
      <c r="E1138" s="59">
        <v>440000</v>
      </c>
      <c r="F1138" s="7" t="s">
        <v>35</v>
      </c>
      <c r="G1138" s="7" t="s">
        <v>277</v>
      </c>
      <c r="H1138" s="66" t="s">
        <v>245</v>
      </c>
      <c r="I1138" s="67">
        <v>4400</v>
      </c>
      <c r="J1138" s="66" t="s">
        <v>246</v>
      </c>
    </row>
    <row r="1139" spans="2:10" x14ac:dyDescent="0.35">
      <c r="B1139" s="7" t="s">
        <v>45</v>
      </c>
      <c r="C1139" s="7" t="s">
        <v>46</v>
      </c>
      <c r="D1139" s="7">
        <v>190</v>
      </c>
      <c r="E1139" s="59">
        <v>620000</v>
      </c>
      <c r="F1139" s="7" t="s">
        <v>35</v>
      </c>
      <c r="G1139" s="7" t="s">
        <v>277</v>
      </c>
      <c r="H1139" s="66" t="s">
        <v>245</v>
      </c>
      <c r="I1139" s="67">
        <v>3263.1578947368421</v>
      </c>
      <c r="J1139" s="66" t="s">
        <v>246</v>
      </c>
    </row>
    <row r="1140" spans="2:10" x14ac:dyDescent="0.35">
      <c r="B1140" s="7" t="s">
        <v>47</v>
      </c>
      <c r="C1140" s="7" t="s">
        <v>48</v>
      </c>
      <c r="D1140" s="7">
        <v>75</v>
      </c>
      <c r="E1140" s="59">
        <v>420000</v>
      </c>
      <c r="F1140" s="7" t="s">
        <v>35</v>
      </c>
      <c r="G1140" s="7" t="s">
        <v>277</v>
      </c>
      <c r="H1140" s="66" t="s">
        <v>245</v>
      </c>
      <c r="I1140" s="67">
        <v>5600</v>
      </c>
      <c r="J1140" s="66" t="s">
        <v>246</v>
      </c>
    </row>
    <row r="1141" spans="2:10" x14ac:dyDescent="0.35">
      <c r="B1141" s="7" t="s">
        <v>49</v>
      </c>
      <c r="C1141" s="7" t="s">
        <v>50</v>
      </c>
      <c r="D1141" s="7">
        <v>70</v>
      </c>
      <c r="E1141" s="59">
        <v>420000</v>
      </c>
      <c r="F1141" s="7" t="s">
        <v>35</v>
      </c>
      <c r="G1141" s="7" t="s">
        <v>277</v>
      </c>
      <c r="H1141" s="66" t="s">
        <v>245</v>
      </c>
      <c r="I1141" s="67">
        <v>6000</v>
      </c>
      <c r="J1141" s="66" t="s">
        <v>246</v>
      </c>
    </row>
    <row r="1142" spans="2:10" x14ac:dyDescent="0.35">
      <c r="B1142" s="7" t="s">
        <v>95</v>
      </c>
      <c r="C1142" s="7" t="s">
        <v>254</v>
      </c>
      <c r="D1142" s="7">
        <v>160</v>
      </c>
      <c r="E1142" s="59">
        <v>580000</v>
      </c>
      <c r="F1142" s="7" t="s">
        <v>35</v>
      </c>
      <c r="G1142" s="7" t="s">
        <v>277</v>
      </c>
      <c r="H1142" s="66" t="s">
        <v>245</v>
      </c>
      <c r="I1142" s="67">
        <v>3625</v>
      </c>
      <c r="J1142" s="66" t="s">
        <v>246</v>
      </c>
    </row>
    <row r="1143" spans="2:10" x14ac:dyDescent="0.35">
      <c r="B1143" s="7" t="s">
        <v>51</v>
      </c>
      <c r="C1143" s="7" t="s">
        <v>50</v>
      </c>
      <c r="D1143" s="7">
        <v>70</v>
      </c>
      <c r="E1143" s="59">
        <v>420000</v>
      </c>
      <c r="F1143" s="7" t="s">
        <v>35</v>
      </c>
      <c r="G1143" s="7" t="s">
        <v>277</v>
      </c>
      <c r="H1143" s="66" t="s">
        <v>245</v>
      </c>
      <c r="I1143" s="67">
        <v>6000</v>
      </c>
      <c r="J1143" s="66" t="s">
        <v>246</v>
      </c>
    </row>
    <row r="1144" spans="2:10" x14ac:dyDescent="0.35">
      <c r="B1144" s="7" t="s">
        <v>55</v>
      </c>
      <c r="C1144" s="7" t="s">
        <v>41</v>
      </c>
      <c r="D1144" s="7">
        <v>210</v>
      </c>
      <c r="E1144" s="59">
        <v>650000</v>
      </c>
      <c r="F1144" s="7" t="s">
        <v>35</v>
      </c>
      <c r="G1144" s="7" t="s">
        <v>277</v>
      </c>
      <c r="H1144" s="66" t="s">
        <v>245</v>
      </c>
      <c r="I1144" s="67">
        <v>3095.2380952380954</v>
      </c>
      <c r="J1144" s="66" t="s">
        <v>246</v>
      </c>
    </row>
    <row r="1145" spans="2:10" x14ac:dyDescent="0.35">
      <c r="B1145" s="7" t="s">
        <v>52</v>
      </c>
      <c r="C1145" s="7" t="s">
        <v>53</v>
      </c>
      <c r="D1145" s="7">
        <v>25</v>
      </c>
      <c r="E1145" s="59">
        <v>370000</v>
      </c>
      <c r="F1145" s="7" t="s">
        <v>35</v>
      </c>
      <c r="G1145" s="7" t="s">
        <v>277</v>
      </c>
      <c r="H1145" s="66" t="s">
        <v>245</v>
      </c>
      <c r="I1145" s="67">
        <v>14800</v>
      </c>
      <c r="J1145" s="66" t="s">
        <v>246</v>
      </c>
    </row>
    <row r="1146" spans="2:10" x14ac:dyDescent="0.35">
      <c r="B1146" s="7" t="s">
        <v>58</v>
      </c>
      <c r="C1146" s="7" t="s">
        <v>59</v>
      </c>
      <c r="D1146" s="7">
        <v>35</v>
      </c>
      <c r="E1146" s="59">
        <v>370000</v>
      </c>
      <c r="F1146" s="7" t="s">
        <v>35</v>
      </c>
      <c r="G1146" s="7" t="s">
        <v>277</v>
      </c>
      <c r="H1146" s="66" t="s">
        <v>245</v>
      </c>
      <c r="I1146" s="67">
        <v>10571.428571428571</v>
      </c>
      <c r="J1146" s="66" t="s">
        <v>246</v>
      </c>
    </row>
    <row r="1147" spans="2:10" x14ac:dyDescent="0.35">
      <c r="B1147" s="7" t="s">
        <v>97</v>
      </c>
      <c r="C1147" s="7" t="s">
        <v>255</v>
      </c>
      <c r="D1147" s="7">
        <v>75</v>
      </c>
      <c r="E1147" s="59">
        <v>420000</v>
      </c>
      <c r="F1147" s="7" t="s">
        <v>35</v>
      </c>
      <c r="G1147" s="7" t="s">
        <v>277</v>
      </c>
      <c r="H1147" s="66" t="s">
        <v>245</v>
      </c>
      <c r="I1147" s="67">
        <v>5600</v>
      </c>
      <c r="J1147" s="66" t="s">
        <v>246</v>
      </c>
    </row>
    <row r="1148" spans="2:10" x14ac:dyDescent="0.35">
      <c r="B1148" s="7" t="s">
        <v>60</v>
      </c>
      <c r="C1148" s="7" t="s">
        <v>61</v>
      </c>
      <c r="D1148" s="7">
        <v>75</v>
      </c>
      <c r="E1148" s="59">
        <v>420000</v>
      </c>
      <c r="F1148" s="7" t="s">
        <v>35</v>
      </c>
      <c r="G1148" s="7" t="s">
        <v>277</v>
      </c>
      <c r="H1148" s="66" t="s">
        <v>245</v>
      </c>
      <c r="I1148" s="67">
        <v>5600</v>
      </c>
      <c r="J1148" s="66" t="s">
        <v>246</v>
      </c>
    </row>
    <row r="1149" spans="2:10" x14ac:dyDescent="0.35">
      <c r="B1149" s="7" t="s">
        <v>62</v>
      </c>
      <c r="C1149" s="7" t="s">
        <v>63</v>
      </c>
      <c r="D1149" s="7">
        <v>55</v>
      </c>
      <c r="E1149" s="59">
        <v>400000</v>
      </c>
      <c r="F1149" s="7" t="s">
        <v>35</v>
      </c>
      <c r="G1149" s="7" t="s">
        <v>277</v>
      </c>
      <c r="H1149" s="66" t="s">
        <v>245</v>
      </c>
      <c r="I1149" s="67">
        <v>7272.727272727273</v>
      </c>
      <c r="J1149" s="66" t="s">
        <v>246</v>
      </c>
    </row>
    <row r="1150" spans="2:10" x14ac:dyDescent="0.35">
      <c r="B1150" s="7" t="s">
        <v>98</v>
      </c>
      <c r="C1150" s="7" t="s">
        <v>38</v>
      </c>
      <c r="D1150" s="7">
        <v>45</v>
      </c>
      <c r="E1150" s="59">
        <v>400000</v>
      </c>
      <c r="F1150" s="7" t="s">
        <v>35</v>
      </c>
      <c r="G1150" s="7" t="s">
        <v>277</v>
      </c>
      <c r="H1150" s="66" t="s">
        <v>245</v>
      </c>
      <c r="I1150" s="67">
        <v>8888.8888888888887</v>
      </c>
      <c r="J1150" s="66" t="s">
        <v>246</v>
      </c>
    </row>
    <row r="1151" spans="2:10" x14ac:dyDescent="0.35">
      <c r="B1151" s="7" t="s">
        <v>256</v>
      </c>
      <c r="C1151" s="7" t="s">
        <v>64</v>
      </c>
      <c r="D1151" s="7">
        <v>105</v>
      </c>
      <c r="E1151" s="59">
        <v>450000</v>
      </c>
      <c r="F1151" s="7" t="s">
        <v>35</v>
      </c>
      <c r="G1151" s="7" t="s">
        <v>277</v>
      </c>
      <c r="H1151" s="66" t="s">
        <v>245</v>
      </c>
      <c r="I1151" s="67">
        <v>4285.7142857142853</v>
      </c>
      <c r="J1151" s="66" t="s">
        <v>246</v>
      </c>
    </row>
    <row r="1152" spans="2:10" x14ac:dyDescent="0.35">
      <c r="B1152" s="7" t="s">
        <v>65</v>
      </c>
      <c r="C1152" s="7" t="s">
        <v>66</v>
      </c>
      <c r="D1152" s="7">
        <v>45</v>
      </c>
      <c r="E1152" s="59">
        <v>400000</v>
      </c>
      <c r="F1152" s="7" t="s">
        <v>35</v>
      </c>
      <c r="G1152" s="7" t="s">
        <v>277</v>
      </c>
      <c r="H1152" s="66" t="s">
        <v>245</v>
      </c>
      <c r="I1152" s="67">
        <v>8888.8888888888887</v>
      </c>
      <c r="J1152" s="66" t="s">
        <v>246</v>
      </c>
    </row>
    <row r="1153" spans="2:10" x14ac:dyDescent="0.35">
      <c r="B1153" s="7" t="s">
        <v>67</v>
      </c>
      <c r="C1153" s="7" t="s">
        <v>38</v>
      </c>
      <c r="D1153" s="7">
        <v>40</v>
      </c>
      <c r="E1153" s="59">
        <v>400000</v>
      </c>
      <c r="F1153" s="7" t="s">
        <v>35</v>
      </c>
      <c r="G1153" s="7" t="s">
        <v>277</v>
      </c>
      <c r="H1153" s="66" t="s">
        <v>245</v>
      </c>
      <c r="I1153" s="67">
        <v>10000</v>
      </c>
      <c r="J1153" s="66" t="s">
        <v>246</v>
      </c>
    </row>
    <row r="1154" spans="2:10" x14ac:dyDescent="0.35">
      <c r="B1154" s="7" t="s">
        <v>68</v>
      </c>
      <c r="C1154" s="7" t="s">
        <v>69</v>
      </c>
      <c r="D1154" s="7">
        <v>80</v>
      </c>
      <c r="E1154" s="59">
        <v>420000</v>
      </c>
      <c r="F1154" s="7" t="s">
        <v>35</v>
      </c>
      <c r="G1154" s="7" t="s">
        <v>277</v>
      </c>
      <c r="H1154" s="66" t="s">
        <v>245</v>
      </c>
      <c r="I1154" s="67">
        <v>5250</v>
      </c>
      <c r="J1154" s="66" t="s">
        <v>246</v>
      </c>
    </row>
    <row r="1155" spans="2:10" x14ac:dyDescent="0.35">
      <c r="B1155" s="7" t="s">
        <v>33</v>
      </c>
      <c r="C1155" s="7" t="s">
        <v>34</v>
      </c>
      <c r="D1155" s="7">
        <v>145</v>
      </c>
      <c r="E1155" s="59">
        <v>550000</v>
      </c>
      <c r="F1155" s="7" t="s">
        <v>35</v>
      </c>
      <c r="G1155" s="7" t="s">
        <v>277</v>
      </c>
      <c r="H1155" s="66" t="s">
        <v>245</v>
      </c>
      <c r="I1155" s="67">
        <v>3793.1034482758619</v>
      </c>
      <c r="J1155" s="66" t="s">
        <v>246</v>
      </c>
    </row>
    <row r="1156" spans="2:10" x14ac:dyDescent="0.35">
      <c r="B1156" s="7" t="s">
        <v>257</v>
      </c>
      <c r="C1156" s="7" t="s">
        <v>66</v>
      </c>
      <c r="D1156" s="7">
        <v>60</v>
      </c>
      <c r="E1156" s="59">
        <v>400000</v>
      </c>
      <c r="F1156" s="7" t="s">
        <v>35</v>
      </c>
      <c r="G1156" s="7" t="s">
        <v>277</v>
      </c>
      <c r="H1156" s="66" t="s">
        <v>245</v>
      </c>
      <c r="I1156" s="67">
        <v>6666.666666666667</v>
      </c>
      <c r="J1156" s="66" t="s">
        <v>246</v>
      </c>
    </row>
    <row r="1157" spans="2:10" x14ac:dyDescent="0.35">
      <c r="B1157" s="7" t="s">
        <v>71</v>
      </c>
      <c r="C1157" s="7" t="s">
        <v>43</v>
      </c>
      <c r="D1157" s="7">
        <v>50</v>
      </c>
      <c r="E1157" s="59">
        <v>1350000</v>
      </c>
      <c r="F1157" s="7" t="s">
        <v>35</v>
      </c>
      <c r="G1157" s="7" t="s">
        <v>277</v>
      </c>
      <c r="H1157" s="66" t="s">
        <v>245</v>
      </c>
      <c r="I1157" s="67">
        <v>27000</v>
      </c>
      <c r="J1157" s="66" t="s">
        <v>246</v>
      </c>
    </row>
    <row r="1158" spans="2:10" x14ac:dyDescent="0.35">
      <c r="B1158" s="7" t="s">
        <v>258</v>
      </c>
      <c r="C1158" s="7" t="s">
        <v>259</v>
      </c>
      <c r="D1158" s="7">
        <v>95</v>
      </c>
      <c r="E1158" s="59">
        <v>440000</v>
      </c>
      <c r="F1158" s="7" t="s">
        <v>35</v>
      </c>
      <c r="G1158" s="7" t="s">
        <v>277</v>
      </c>
      <c r="H1158" s="66" t="s">
        <v>245</v>
      </c>
      <c r="I1158" s="67">
        <v>4631.5789473684208</v>
      </c>
      <c r="J1158" s="66" t="s">
        <v>246</v>
      </c>
    </row>
    <row r="1159" spans="2:10" x14ac:dyDescent="0.35">
      <c r="B1159" s="7" t="s">
        <v>72</v>
      </c>
      <c r="C1159" s="7" t="s">
        <v>73</v>
      </c>
      <c r="D1159" s="7">
        <v>230</v>
      </c>
      <c r="E1159" s="59">
        <v>700000</v>
      </c>
      <c r="F1159" s="7" t="s">
        <v>35</v>
      </c>
      <c r="G1159" s="7" t="s">
        <v>277</v>
      </c>
      <c r="H1159" s="66" t="s">
        <v>245</v>
      </c>
      <c r="I1159" s="67">
        <v>3043.478260869565</v>
      </c>
      <c r="J1159" s="66" t="s">
        <v>246</v>
      </c>
    </row>
    <row r="1160" spans="2:10" x14ac:dyDescent="0.35">
      <c r="B1160" s="7" t="s">
        <v>56</v>
      </c>
      <c r="C1160" s="7" t="s">
        <v>57</v>
      </c>
      <c r="D1160" s="7">
        <v>50</v>
      </c>
      <c r="E1160" s="59">
        <v>400000</v>
      </c>
      <c r="F1160" s="7" t="s">
        <v>35</v>
      </c>
      <c r="G1160" s="7" t="s">
        <v>277</v>
      </c>
      <c r="H1160" s="66" t="s">
        <v>245</v>
      </c>
      <c r="I1160" s="67">
        <v>8000</v>
      </c>
      <c r="J1160" s="66" t="s">
        <v>246</v>
      </c>
    </row>
    <row r="1161" spans="2:10" x14ac:dyDescent="0.35">
      <c r="B1161" s="7" t="s">
        <v>260</v>
      </c>
      <c r="C1161" s="7" t="s">
        <v>261</v>
      </c>
      <c r="D1161" s="7">
        <v>225</v>
      </c>
      <c r="E1161" s="59">
        <v>700000</v>
      </c>
      <c r="F1161" s="7" t="s">
        <v>35</v>
      </c>
      <c r="G1161" s="7" t="s">
        <v>277</v>
      </c>
      <c r="H1161" s="66" t="s">
        <v>245</v>
      </c>
      <c r="I1161" s="67">
        <v>3111.1111111111113</v>
      </c>
      <c r="J1161" s="66" t="s">
        <v>246</v>
      </c>
    </row>
    <row r="1162" spans="2:10" x14ac:dyDescent="0.35">
      <c r="B1162" s="7" t="s">
        <v>74</v>
      </c>
      <c r="C1162" s="7" t="s">
        <v>75</v>
      </c>
      <c r="D1162" s="7">
        <v>60</v>
      </c>
      <c r="E1162" s="59">
        <v>400000</v>
      </c>
      <c r="F1162" s="7" t="s">
        <v>35</v>
      </c>
      <c r="G1162" s="7" t="s">
        <v>277</v>
      </c>
      <c r="H1162" s="66" t="s">
        <v>245</v>
      </c>
      <c r="I1162" s="67">
        <v>6666.666666666667</v>
      </c>
      <c r="J1162" s="66" t="s">
        <v>246</v>
      </c>
    </row>
    <row r="1163" spans="2:10" x14ac:dyDescent="0.35">
      <c r="B1163" s="7" t="s">
        <v>275</v>
      </c>
      <c r="C1163" s="7" t="s">
        <v>276</v>
      </c>
      <c r="D1163" s="7">
        <v>70</v>
      </c>
      <c r="E1163" s="59">
        <v>420000</v>
      </c>
      <c r="F1163" s="7" t="s">
        <v>35</v>
      </c>
      <c r="G1163" s="7" t="s">
        <v>277</v>
      </c>
      <c r="H1163" s="66" t="s">
        <v>245</v>
      </c>
      <c r="I1163" s="67">
        <v>6000</v>
      </c>
      <c r="J1163" s="66" t="s">
        <v>246</v>
      </c>
    </row>
    <row r="1164" spans="2:10" x14ac:dyDescent="0.35">
      <c r="B1164" s="7" t="s">
        <v>76</v>
      </c>
      <c r="C1164" s="7" t="s">
        <v>262</v>
      </c>
      <c r="D1164" s="7">
        <v>55</v>
      </c>
      <c r="E1164" s="59">
        <v>400000</v>
      </c>
      <c r="F1164" s="7" t="s">
        <v>35</v>
      </c>
      <c r="G1164" s="7" t="s">
        <v>277</v>
      </c>
      <c r="H1164" s="66" t="s">
        <v>245</v>
      </c>
      <c r="I1164" s="67">
        <v>7272.727272727273</v>
      </c>
      <c r="J1164" s="66" t="s">
        <v>246</v>
      </c>
    </row>
    <row r="1165" spans="2:10" x14ac:dyDescent="0.35">
      <c r="B1165" s="7" t="s">
        <v>96</v>
      </c>
      <c r="C1165" s="7" t="s">
        <v>255</v>
      </c>
      <c r="D1165" s="7">
        <v>60</v>
      </c>
      <c r="E1165" s="59">
        <v>400000</v>
      </c>
      <c r="F1165" s="7" t="s">
        <v>35</v>
      </c>
      <c r="G1165" s="7" t="s">
        <v>277</v>
      </c>
      <c r="H1165" s="66" t="s">
        <v>245</v>
      </c>
      <c r="I1165" s="67">
        <v>6666.666666666667</v>
      </c>
      <c r="J1165" s="66" t="s">
        <v>246</v>
      </c>
    </row>
    <row r="1166" spans="2:10" x14ac:dyDescent="0.35">
      <c r="B1166" s="7" t="s">
        <v>263</v>
      </c>
      <c r="C1166" s="7" t="s">
        <v>264</v>
      </c>
      <c r="D1166" s="7">
        <v>250</v>
      </c>
      <c r="E1166" s="59">
        <v>720000</v>
      </c>
      <c r="F1166" s="7" t="s">
        <v>35</v>
      </c>
      <c r="G1166" s="7" t="s">
        <v>277</v>
      </c>
      <c r="H1166" s="66" t="s">
        <v>245</v>
      </c>
      <c r="I1166" s="67">
        <v>2880</v>
      </c>
      <c r="J1166" s="66" t="s">
        <v>246</v>
      </c>
    </row>
    <row r="1167" spans="2:10" x14ac:dyDescent="0.35">
      <c r="B1167" s="7" t="s">
        <v>37</v>
      </c>
      <c r="C1167" s="7" t="s">
        <v>38</v>
      </c>
      <c r="D1167" s="7">
        <v>108</v>
      </c>
      <c r="E1167" s="59">
        <v>380000</v>
      </c>
      <c r="F1167" s="7" t="s">
        <v>31</v>
      </c>
      <c r="G1167" s="7" t="s">
        <v>278</v>
      </c>
      <c r="H1167" s="66" t="s">
        <v>245</v>
      </c>
      <c r="I1167" s="67">
        <v>3518.5185185185187</v>
      </c>
      <c r="J1167" s="66" t="s">
        <v>246</v>
      </c>
    </row>
    <row r="1168" spans="2:10" x14ac:dyDescent="0.35">
      <c r="B1168" s="7" t="s">
        <v>40</v>
      </c>
      <c r="C1168" s="7" t="s">
        <v>41</v>
      </c>
      <c r="D1168" s="7">
        <v>264</v>
      </c>
      <c r="E1168" s="59">
        <v>500000</v>
      </c>
      <c r="F1168" s="7" t="s">
        <v>31</v>
      </c>
      <c r="G1168" s="7" t="s">
        <v>278</v>
      </c>
      <c r="H1168" s="66" t="s">
        <v>245</v>
      </c>
      <c r="I1168" s="67">
        <v>1893.939393939394</v>
      </c>
      <c r="J1168" s="66" t="s">
        <v>246</v>
      </c>
    </row>
    <row r="1169" spans="2:10" x14ac:dyDescent="0.35">
      <c r="B1169" s="7" t="s">
        <v>247</v>
      </c>
      <c r="C1169" s="7" t="s">
        <v>248</v>
      </c>
      <c r="D1169" s="7">
        <v>258</v>
      </c>
      <c r="E1169" s="59">
        <v>500000</v>
      </c>
      <c r="F1169" s="7" t="s">
        <v>31</v>
      </c>
      <c r="G1169" s="7" t="s">
        <v>278</v>
      </c>
      <c r="H1169" s="66" t="s">
        <v>245</v>
      </c>
      <c r="I1169" s="67">
        <v>1937.984496124031</v>
      </c>
      <c r="J1169" s="66" t="s">
        <v>246</v>
      </c>
    </row>
    <row r="1170" spans="2:10" x14ac:dyDescent="0.35">
      <c r="B1170" s="7" t="s">
        <v>251</v>
      </c>
      <c r="C1170" s="7" t="s">
        <v>252</v>
      </c>
      <c r="D1170" s="7">
        <v>143</v>
      </c>
      <c r="E1170" s="59">
        <v>420000</v>
      </c>
      <c r="F1170" s="7" t="s">
        <v>31</v>
      </c>
      <c r="G1170" s="7" t="s">
        <v>278</v>
      </c>
      <c r="H1170" s="66" t="s">
        <v>245</v>
      </c>
      <c r="I1170" s="67">
        <v>2937.0629370629372</v>
      </c>
      <c r="J1170" s="66" t="s">
        <v>246</v>
      </c>
    </row>
    <row r="1171" spans="2:10" x14ac:dyDescent="0.35">
      <c r="B1171" s="7" t="s">
        <v>42</v>
      </c>
      <c r="C1171" s="7" t="s">
        <v>43</v>
      </c>
      <c r="D1171" s="7">
        <v>499</v>
      </c>
      <c r="E1171" s="59">
        <v>1250000</v>
      </c>
      <c r="F1171" s="7" t="s">
        <v>31</v>
      </c>
      <c r="G1171" s="7" t="s">
        <v>278</v>
      </c>
      <c r="H1171" s="66" t="s">
        <v>245</v>
      </c>
      <c r="I1171" s="67">
        <v>2505.0100200400802</v>
      </c>
      <c r="J1171" s="66" t="s">
        <v>246</v>
      </c>
    </row>
    <row r="1172" spans="2:10" x14ac:dyDescent="0.35">
      <c r="B1172" s="7" t="s">
        <v>253</v>
      </c>
      <c r="C1172" s="7" t="s">
        <v>70</v>
      </c>
      <c r="D1172" s="7">
        <v>113</v>
      </c>
      <c r="E1172" s="59">
        <v>380000</v>
      </c>
      <c r="F1172" s="7" t="s">
        <v>31</v>
      </c>
      <c r="G1172" s="7" t="s">
        <v>278</v>
      </c>
      <c r="H1172" s="66" t="s">
        <v>245</v>
      </c>
      <c r="I1172" s="67">
        <v>3362.8318584070798</v>
      </c>
      <c r="J1172" s="66" t="s">
        <v>246</v>
      </c>
    </row>
    <row r="1173" spans="2:10" x14ac:dyDescent="0.35">
      <c r="B1173" s="7" t="s">
        <v>29</v>
      </c>
      <c r="C1173" s="7" t="s">
        <v>30</v>
      </c>
      <c r="D1173" s="7">
        <v>240</v>
      </c>
      <c r="E1173" s="59">
        <v>450000</v>
      </c>
      <c r="F1173" s="7" t="s">
        <v>31</v>
      </c>
      <c r="G1173" s="7" t="s">
        <v>278</v>
      </c>
      <c r="H1173" s="66" t="s">
        <v>245</v>
      </c>
      <c r="I1173" s="67">
        <v>1875</v>
      </c>
      <c r="J1173" s="66" t="s">
        <v>246</v>
      </c>
    </row>
    <row r="1174" spans="2:10" x14ac:dyDescent="0.35">
      <c r="B1174" s="7" t="s">
        <v>47</v>
      </c>
      <c r="C1174" s="7" t="s">
        <v>48</v>
      </c>
      <c r="D1174" s="7">
        <v>124</v>
      </c>
      <c r="E1174" s="59">
        <v>390000</v>
      </c>
      <c r="F1174" s="7" t="s">
        <v>31</v>
      </c>
      <c r="G1174" s="7" t="s">
        <v>278</v>
      </c>
      <c r="H1174" s="66" t="s">
        <v>245</v>
      </c>
      <c r="I1174" s="67">
        <v>3145.1612903225805</v>
      </c>
      <c r="J1174" s="66" t="s">
        <v>246</v>
      </c>
    </row>
    <row r="1175" spans="2:10" x14ac:dyDescent="0.35">
      <c r="B1175" s="7" t="s">
        <v>55</v>
      </c>
      <c r="C1175" s="7" t="s">
        <v>41</v>
      </c>
      <c r="D1175" s="7">
        <v>260</v>
      </c>
      <c r="E1175" s="59">
        <v>500000</v>
      </c>
      <c r="F1175" s="7" t="s">
        <v>31</v>
      </c>
      <c r="G1175" s="7" t="s">
        <v>278</v>
      </c>
      <c r="H1175" s="66" t="s">
        <v>245</v>
      </c>
      <c r="I1175" s="67">
        <v>1923.0769230769231</v>
      </c>
      <c r="J1175" s="66" t="s">
        <v>246</v>
      </c>
    </row>
    <row r="1176" spans="2:10" x14ac:dyDescent="0.35">
      <c r="B1176" s="7" t="s">
        <v>58</v>
      </c>
      <c r="C1176" s="7" t="s">
        <v>59</v>
      </c>
      <c r="D1176" s="7">
        <v>98</v>
      </c>
      <c r="E1176" s="59">
        <v>380000</v>
      </c>
      <c r="F1176" s="7" t="s">
        <v>31</v>
      </c>
      <c r="G1176" s="7" t="s">
        <v>278</v>
      </c>
      <c r="H1176" s="66" t="s">
        <v>245</v>
      </c>
      <c r="I1176" s="67">
        <v>3877.5510204081634</v>
      </c>
      <c r="J1176" s="66" t="s">
        <v>246</v>
      </c>
    </row>
    <row r="1177" spans="2:10" x14ac:dyDescent="0.35">
      <c r="B1177" s="7" t="s">
        <v>97</v>
      </c>
      <c r="C1177" s="7" t="s">
        <v>255</v>
      </c>
      <c r="D1177" s="7">
        <v>125</v>
      </c>
      <c r="E1177" s="59">
        <v>400000</v>
      </c>
      <c r="F1177" s="7" t="s">
        <v>31</v>
      </c>
      <c r="G1177" s="7" t="s">
        <v>278</v>
      </c>
      <c r="H1177" s="66" t="s">
        <v>245</v>
      </c>
      <c r="I1177" s="67">
        <v>3200</v>
      </c>
      <c r="J1177" s="66" t="s">
        <v>246</v>
      </c>
    </row>
    <row r="1178" spans="2:10" x14ac:dyDescent="0.35">
      <c r="B1178" s="7" t="s">
        <v>60</v>
      </c>
      <c r="C1178" s="7" t="s">
        <v>61</v>
      </c>
      <c r="D1178" s="7">
        <v>128</v>
      </c>
      <c r="E1178" s="59">
        <v>420000</v>
      </c>
      <c r="F1178" s="7" t="s">
        <v>31</v>
      </c>
      <c r="G1178" s="7" t="s">
        <v>278</v>
      </c>
      <c r="H1178" s="66" t="s">
        <v>245</v>
      </c>
      <c r="I1178" s="67">
        <v>3281.25</v>
      </c>
      <c r="J1178" s="66" t="s">
        <v>246</v>
      </c>
    </row>
    <row r="1179" spans="2:10" x14ac:dyDescent="0.35">
      <c r="B1179" s="7" t="s">
        <v>98</v>
      </c>
      <c r="C1179" s="7" t="s">
        <v>38</v>
      </c>
      <c r="D1179" s="7">
        <v>110</v>
      </c>
      <c r="E1179" s="59">
        <v>380000</v>
      </c>
      <c r="F1179" s="7" t="s">
        <v>31</v>
      </c>
      <c r="G1179" s="7" t="s">
        <v>278</v>
      </c>
      <c r="H1179" s="66" t="s">
        <v>245</v>
      </c>
      <c r="I1179" s="67">
        <v>3454.5454545454545</v>
      </c>
      <c r="J1179" s="66" t="s">
        <v>246</v>
      </c>
    </row>
    <row r="1180" spans="2:10" x14ac:dyDescent="0.35">
      <c r="B1180" s="7" t="s">
        <v>65</v>
      </c>
      <c r="C1180" s="7" t="s">
        <v>66</v>
      </c>
      <c r="D1180" s="7">
        <v>110</v>
      </c>
      <c r="E1180" s="59">
        <v>380000</v>
      </c>
      <c r="F1180" s="7" t="s">
        <v>31</v>
      </c>
      <c r="G1180" s="7" t="s">
        <v>278</v>
      </c>
      <c r="H1180" s="66" t="s">
        <v>245</v>
      </c>
      <c r="I1180" s="67">
        <v>3454.5454545454545</v>
      </c>
      <c r="J1180" s="66" t="s">
        <v>246</v>
      </c>
    </row>
    <row r="1181" spans="2:10" x14ac:dyDescent="0.35">
      <c r="B1181" s="7" t="s">
        <v>67</v>
      </c>
      <c r="C1181" s="7" t="s">
        <v>38</v>
      </c>
      <c r="D1181" s="7">
        <v>103</v>
      </c>
      <c r="E1181" s="59">
        <v>380000</v>
      </c>
      <c r="F1181" s="7" t="s">
        <v>31</v>
      </c>
      <c r="G1181" s="7" t="s">
        <v>278</v>
      </c>
      <c r="H1181" s="66" t="s">
        <v>245</v>
      </c>
      <c r="I1181" s="67">
        <v>3689.3203883495144</v>
      </c>
      <c r="J1181" s="66" t="s">
        <v>246</v>
      </c>
    </row>
    <row r="1182" spans="2:10" x14ac:dyDescent="0.35">
      <c r="B1182" s="7" t="s">
        <v>68</v>
      </c>
      <c r="C1182" s="7" t="s">
        <v>69</v>
      </c>
      <c r="D1182" s="7">
        <v>131</v>
      </c>
      <c r="E1182" s="59">
        <v>390000</v>
      </c>
      <c r="F1182" s="7" t="s">
        <v>31</v>
      </c>
      <c r="G1182" s="7" t="s">
        <v>278</v>
      </c>
      <c r="H1182" s="66" t="s">
        <v>245</v>
      </c>
      <c r="I1182" s="67">
        <v>2977.0992366412215</v>
      </c>
      <c r="J1182" s="66" t="s">
        <v>246</v>
      </c>
    </row>
    <row r="1183" spans="2:10" x14ac:dyDescent="0.35">
      <c r="B1183" s="7" t="s">
        <v>257</v>
      </c>
      <c r="C1183" s="7" t="s">
        <v>66</v>
      </c>
      <c r="D1183" s="7">
        <v>118</v>
      </c>
      <c r="E1183" s="59">
        <v>380000</v>
      </c>
      <c r="F1183" s="7" t="s">
        <v>31</v>
      </c>
      <c r="G1183" s="7" t="s">
        <v>278</v>
      </c>
      <c r="H1183" s="66" t="s">
        <v>245</v>
      </c>
      <c r="I1183" s="67">
        <v>3220.3389830508477</v>
      </c>
      <c r="J1183" s="66" t="s">
        <v>246</v>
      </c>
    </row>
    <row r="1184" spans="2:10" x14ac:dyDescent="0.35">
      <c r="B1184" s="7" t="s">
        <v>71</v>
      </c>
      <c r="C1184" s="7" t="s">
        <v>43</v>
      </c>
      <c r="D1184" s="7">
        <v>549</v>
      </c>
      <c r="E1184" s="59">
        <v>1300000</v>
      </c>
      <c r="F1184" s="7" t="s">
        <v>31</v>
      </c>
      <c r="G1184" s="7" t="s">
        <v>278</v>
      </c>
      <c r="H1184" s="66" t="s">
        <v>245</v>
      </c>
      <c r="I1184" s="67">
        <v>2367.9417122040072</v>
      </c>
      <c r="J1184" s="66" t="s">
        <v>246</v>
      </c>
    </row>
    <row r="1185" spans="2:10" x14ac:dyDescent="0.35">
      <c r="B1185" s="7" t="s">
        <v>96</v>
      </c>
      <c r="C1185" s="7" t="s">
        <v>255</v>
      </c>
      <c r="D1185" s="7">
        <v>122</v>
      </c>
      <c r="E1185" s="59">
        <v>400000</v>
      </c>
      <c r="F1185" s="7" t="s">
        <v>31</v>
      </c>
      <c r="G1185" s="7" t="s">
        <v>278</v>
      </c>
      <c r="H1185" s="66" t="s">
        <v>245</v>
      </c>
      <c r="I1185" s="67">
        <v>3278.688524590164</v>
      </c>
      <c r="J1185" s="66" t="s">
        <v>246</v>
      </c>
    </row>
    <row r="1186" spans="2:10" x14ac:dyDescent="0.35">
      <c r="B1186" s="7" t="s">
        <v>263</v>
      </c>
      <c r="C1186" s="7" t="s">
        <v>264</v>
      </c>
      <c r="D1186" s="7">
        <v>162</v>
      </c>
      <c r="E1186" s="59">
        <v>500000</v>
      </c>
      <c r="F1186" s="7" t="s">
        <v>31</v>
      </c>
      <c r="G1186" s="7" t="s">
        <v>278</v>
      </c>
      <c r="H1186" s="66" t="s">
        <v>245</v>
      </c>
      <c r="I1186" s="67">
        <v>3086.4197530864199</v>
      </c>
      <c r="J1186" s="66" t="s">
        <v>246</v>
      </c>
    </row>
    <row r="1187" spans="2:10" x14ac:dyDescent="0.35">
      <c r="B1187" s="7" t="s">
        <v>37</v>
      </c>
      <c r="C1187" s="7" t="s">
        <v>38</v>
      </c>
      <c r="D1187" s="7">
        <v>134</v>
      </c>
      <c r="E1187" s="59">
        <v>390000</v>
      </c>
      <c r="F1187" s="7" t="s">
        <v>36</v>
      </c>
      <c r="G1187" s="7" t="s">
        <v>278</v>
      </c>
      <c r="H1187" s="66" t="s">
        <v>245</v>
      </c>
      <c r="I1187" s="67">
        <v>2910.4477611940297</v>
      </c>
      <c r="J1187" s="66" t="s">
        <v>246</v>
      </c>
    </row>
    <row r="1188" spans="2:10" x14ac:dyDescent="0.35">
      <c r="B1188" s="7" t="s">
        <v>40</v>
      </c>
      <c r="C1188" s="7" t="s">
        <v>41</v>
      </c>
      <c r="D1188" s="7">
        <v>123</v>
      </c>
      <c r="E1188" s="59">
        <v>420000</v>
      </c>
      <c r="F1188" s="7" t="s">
        <v>36</v>
      </c>
      <c r="G1188" s="7" t="s">
        <v>278</v>
      </c>
      <c r="H1188" s="66" t="s">
        <v>245</v>
      </c>
      <c r="I1188" s="67">
        <v>3414.6341463414633</v>
      </c>
      <c r="J1188" s="66" t="s">
        <v>246</v>
      </c>
    </row>
    <row r="1189" spans="2:10" x14ac:dyDescent="0.35">
      <c r="B1189" s="7" t="s">
        <v>247</v>
      </c>
      <c r="C1189" s="7" t="s">
        <v>248</v>
      </c>
      <c r="D1189" s="7">
        <v>118</v>
      </c>
      <c r="E1189" s="59">
        <v>420000</v>
      </c>
      <c r="F1189" s="7" t="s">
        <v>36</v>
      </c>
      <c r="G1189" s="7" t="s">
        <v>278</v>
      </c>
      <c r="H1189" s="66" t="s">
        <v>245</v>
      </c>
      <c r="I1189" s="67">
        <v>3559.3220338983051</v>
      </c>
      <c r="J1189" s="66" t="s">
        <v>246</v>
      </c>
    </row>
    <row r="1190" spans="2:10" x14ac:dyDescent="0.35">
      <c r="B1190" s="7" t="s">
        <v>251</v>
      </c>
      <c r="C1190" s="7" t="s">
        <v>252</v>
      </c>
      <c r="D1190" s="7">
        <v>103</v>
      </c>
      <c r="E1190" s="59">
        <v>380000</v>
      </c>
      <c r="F1190" s="7" t="s">
        <v>36</v>
      </c>
      <c r="G1190" s="7" t="s">
        <v>278</v>
      </c>
      <c r="H1190" s="66" t="s">
        <v>245</v>
      </c>
      <c r="I1190" s="67">
        <v>3689.3203883495144</v>
      </c>
      <c r="J1190" s="66" t="s">
        <v>246</v>
      </c>
    </row>
    <row r="1191" spans="2:10" x14ac:dyDescent="0.35">
      <c r="B1191" s="7" t="s">
        <v>42</v>
      </c>
      <c r="C1191" s="7" t="s">
        <v>43</v>
      </c>
      <c r="D1191" s="7">
        <v>358</v>
      </c>
      <c r="E1191" s="59">
        <v>1100000</v>
      </c>
      <c r="F1191" s="7" t="s">
        <v>36</v>
      </c>
      <c r="G1191" s="7" t="s">
        <v>278</v>
      </c>
      <c r="H1191" s="66" t="s">
        <v>245</v>
      </c>
      <c r="I1191" s="67">
        <v>3072.6256983240223</v>
      </c>
      <c r="J1191" s="66" t="s">
        <v>246</v>
      </c>
    </row>
    <row r="1192" spans="2:10" x14ac:dyDescent="0.35">
      <c r="B1192" s="7" t="s">
        <v>253</v>
      </c>
      <c r="C1192" s="7" t="s">
        <v>70</v>
      </c>
      <c r="D1192" s="7">
        <v>141</v>
      </c>
      <c r="E1192" s="59">
        <v>390000</v>
      </c>
      <c r="F1192" s="7" t="s">
        <v>36</v>
      </c>
      <c r="G1192" s="7" t="s">
        <v>278</v>
      </c>
      <c r="H1192" s="66" t="s">
        <v>245</v>
      </c>
      <c r="I1192" s="67">
        <v>2765.9574468085107</v>
      </c>
      <c r="J1192" s="66" t="s">
        <v>246</v>
      </c>
    </row>
    <row r="1193" spans="2:10" x14ac:dyDescent="0.35">
      <c r="B1193" s="7" t="s">
        <v>29</v>
      </c>
      <c r="C1193" s="7" t="s">
        <v>30</v>
      </c>
      <c r="D1193" s="7">
        <v>22</v>
      </c>
      <c r="E1193" s="59">
        <v>250000</v>
      </c>
      <c r="F1193" s="7" t="s">
        <v>36</v>
      </c>
      <c r="G1193" s="7" t="s">
        <v>278</v>
      </c>
      <c r="H1193" s="66" t="s">
        <v>245</v>
      </c>
      <c r="I1193" s="67">
        <v>11363.636363636364</v>
      </c>
      <c r="J1193" s="66" t="s">
        <v>246</v>
      </c>
    </row>
    <row r="1194" spans="2:10" x14ac:dyDescent="0.35">
      <c r="B1194" s="7" t="s">
        <v>47</v>
      </c>
      <c r="C1194" s="7" t="s">
        <v>48</v>
      </c>
      <c r="D1194" s="7">
        <v>85</v>
      </c>
      <c r="E1194" s="59">
        <v>380000</v>
      </c>
      <c r="F1194" s="7" t="s">
        <v>36</v>
      </c>
      <c r="G1194" s="7" t="s">
        <v>278</v>
      </c>
      <c r="H1194" s="66" t="s">
        <v>245</v>
      </c>
      <c r="I1194" s="67">
        <v>4470.588235294118</v>
      </c>
      <c r="J1194" s="66" t="s">
        <v>246</v>
      </c>
    </row>
    <row r="1195" spans="2:10" x14ac:dyDescent="0.35">
      <c r="B1195" s="7" t="s">
        <v>55</v>
      </c>
      <c r="C1195" s="7" t="s">
        <v>41</v>
      </c>
      <c r="D1195" s="7">
        <v>120</v>
      </c>
      <c r="E1195" s="59">
        <v>420000</v>
      </c>
      <c r="F1195" s="7" t="s">
        <v>36</v>
      </c>
      <c r="G1195" s="7" t="s">
        <v>278</v>
      </c>
      <c r="H1195" s="66" t="s">
        <v>245</v>
      </c>
      <c r="I1195" s="67">
        <v>3500</v>
      </c>
      <c r="J1195" s="66" t="s">
        <v>246</v>
      </c>
    </row>
    <row r="1196" spans="2:10" x14ac:dyDescent="0.35">
      <c r="B1196" s="7" t="s">
        <v>58</v>
      </c>
      <c r="C1196" s="7" t="s">
        <v>59</v>
      </c>
      <c r="D1196" s="7">
        <v>125</v>
      </c>
      <c r="E1196" s="59">
        <v>420000</v>
      </c>
      <c r="F1196" s="7" t="s">
        <v>36</v>
      </c>
      <c r="G1196" s="7" t="s">
        <v>278</v>
      </c>
      <c r="H1196" s="66" t="s">
        <v>245</v>
      </c>
      <c r="I1196" s="67">
        <v>3360</v>
      </c>
      <c r="J1196" s="66" t="s">
        <v>246</v>
      </c>
    </row>
    <row r="1197" spans="2:10" x14ac:dyDescent="0.35">
      <c r="B1197" s="7" t="s">
        <v>97</v>
      </c>
      <c r="C1197" s="7" t="s">
        <v>255</v>
      </c>
      <c r="D1197" s="7">
        <v>90</v>
      </c>
      <c r="E1197" s="59">
        <v>410000</v>
      </c>
      <c r="F1197" s="7" t="s">
        <v>36</v>
      </c>
      <c r="G1197" s="7" t="s">
        <v>278</v>
      </c>
      <c r="H1197" s="66" t="s">
        <v>245</v>
      </c>
      <c r="I1197" s="67">
        <v>4555.5555555555557</v>
      </c>
      <c r="J1197" s="66" t="s">
        <v>246</v>
      </c>
    </row>
    <row r="1198" spans="2:10" x14ac:dyDescent="0.35">
      <c r="B1198" s="7" t="s">
        <v>60</v>
      </c>
      <c r="C1198" s="7" t="s">
        <v>61</v>
      </c>
      <c r="D1198" s="7">
        <v>80</v>
      </c>
      <c r="E1198" s="59">
        <v>410000</v>
      </c>
      <c r="F1198" s="7" t="s">
        <v>36</v>
      </c>
      <c r="G1198" s="7" t="s">
        <v>278</v>
      </c>
      <c r="H1198" s="66" t="s">
        <v>245</v>
      </c>
      <c r="I1198" s="67">
        <v>5125</v>
      </c>
      <c r="J1198" s="66" t="s">
        <v>246</v>
      </c>
    </row>
    <row r="1199" spans="2:10" x14ac:dyDescent="0.35">
      <c r="B1199" s="7" t="s">
        <v>98</v>
      </c>
      <c r="C1199" s="7" t="s">
        <v>38</v>
      </c>
      <c r="D1199" s="7">
        <v>133</v>
      </c>
      <c r="E1199" s="59">
        <v>390000</v>
      </c>
      <c r="F1199" s="7" t="s">
        <v>36</v>
      </c>
      <c r="G1199" s="7" t="s">
        <v>278</v>
      </c>
      <c r="H1199" s="66" t="s">
        <v>245</v>
      </c>
      <c r="I1199" s="67">
        <v>2932.3308270676694</v>
      </c>
      <c r="J1199" s="66" t="s">
        <v>246</v>
      </c>
    </row>
    <row r="1200" spans="2:10" x14ac:dyDescent="0.35">
      <c r="B1200" s="7" t="s">
        <v>65</v>
      </c>
      <c r="C1200" s="7" t="s">
        <v>66</v>
      </c>
      <c r="D1200" s="7">
        <v>140</v>
      </c>
      <c r="E1200" s="59">
        <v>390000</v>
      </c>
      <c r="F1200" s="7" t="s">
        <v>36</v>
      </c>
      <c r="G1200" s="7" t="s">
        <v>278</v>
      </c>
      <c r="H1200" s="66" t="s">
        <v>245</v>
      </c>
      <c r="I1200" s="67">
        <v>2785.7142857142858</v>
      </c>
      <c r="J1200" s="66" t="s">
        <v>246</v>
      </c>
    </row>
    <row r="1201" spans="2:10" x14ac:dyDescent="0.35">
      <c r="B1201" s="7" t="s">
        <v>67</v>
      </c>
      <c r="C1201" s="7" t="s">
        <v>38</v>
      </c>
      <c r="D1201" s="7">
        <v>130</v>
      </c>
      <c r="E1201" s="59">
        <v>390000</v>
      </c>
      <c r="F1201" s="7" t="s">
        <v>36</v>
      </c>
      <c r="G1201" s="7" t="s">
        <v>278</v>
      </c>
      <c r="H1201" s="66" t="s">
        <v>245</v>
      </c>
      <c r="I1201" s="67">
        <v>3000</v>
      </c>
      <c r="J1201" s="66" t="s">
        <v>246</v>
      </c>
    </row>
    <row r="1202" spans="2:10" x14ac:dyDescent="0.35">
      <c r="B1202" s="7" t="s">
        <v>68</v>
      </c>
      <c r="C1202" s="7" t="s">
        <v>69</v>
      </c>
      <c r="D1202" s="7">
        <v>90</v>
      </c>
      <c r="E1202" s="59">
        <v>380000</v>
      </c>
      <c r="F1202" s="7" t="s">
        <v>36</v>
      </c>
      <c r="G1202" s="7" t="s">
        <v>278</v>
      </c>
      <c r="H1202" s="66" t="s">
        <v>245</v>
      </c>
      <c r="I1202" s="67">
        <v>4222.2222222222226</v>
      </c>
      <c r="J1202" s="66" t="s">
        <v>246</v>
      </c>
    </row>
    <row r="1203" spans="2:10" x14ac:dyDescent="0.35">
      <c r="B1203" s="7" t="s">
        <v>257</v>
      </c>
      <c r="C1203" s="7" t="s">
        <v>66</v>
      </c>
      <c r="D1203" s="7">
        <v>144</v>
      </c>
      <c r="E1203" s="59">
        <v>390000</v>
      </c>
      <c r="F1203" s="7" t="s">
        <v>36</v>
      </c>
      <c r="G1203" s="7" t="s">
        <v>278</v>
      </c>
      <c r="H1203" s="66" t="s">
        <v>245</v>
      </c>
      <c r="I1203" s="67">
        <v>2708.3333333333335</v>
      </c>
      <c r="J1203" s="66" t="s">
        <v>246</v>
      </c>
    </row>
    <row r="1204" spans="2:10" x14ac:dyDescent="0.35">
      <c r="B1204" s="7" t="s">
        <v>71</v>
      </c>
      <c r="C1204" s="7" t="s">
        <v>43</v>
      </c>
      <c r="D1204" s="7">
        <v>408</v>
      </c>
      <c r="E1204" s="59">
        <v>1200000</v>
      </c>
      <c r="F1204" s="7" t="s">
        <v>36</v>
      </c>
      <c r="G1204" s="7" t="s">
        <v>278</v>
      </c>
      <c r="H1204" s="66" t="s">
        <v>245</v>
      </c>
      <c r="I1204" s="67">
        <v>2941.1764705882351</v>
      </c>
      <c r="J1204" s="66" t="s">
        <v>246</v>
      </c>
    </row>
    <row r="1205" spans="2:10" x14ac:dyDescent="0.35">
      <c r="B1205" s="7" t="s">
        <v>96</v>
      </c>
      <c r="C1205" s="7" t="s">
        <v>255</v>
      </c>
      <c r="D1205" s="7">
        <v>95</v>
      </c>
      <c r="E1205" s="59">
        <v>410000</v>
      </c>
      <c r="F1205" s="7" t="s">
        <v>36</v>
      </c>
      <c r="G1205" s="7" t="s">
        <v>278</v>
      </c>
      <c r="H1205" s="66" t="s">
        <v>245</v>
      </c>
      <c r="I1205" s="67">
        <v>4315.7894736842109</v>
      </c>
      <c r="J1205" s="66" t="s">
        <v>246</v>
      </c>
    </row>
    <row r="1206" spans="2:10" x14ac:dyDescent="0.35">
      <c r="B1206" s="7" t="s">
        <v>263</v>
      </c>
      <c r="C1206" s="7" t="s">
        <v>264</v>
      </c>
      <c r="E1206" s="59">
        <v>430000</v>
      </c>
      <c r="F1206" s="7" t="s">
        <v>36</v>
      </c>
      <c r="G1206" s="7" t="s">
        <v>278</v>
      </c>
      <c r="H1206" s="66" t="s">
        <v>245</v>
      </c>
      <c r="I1206" s="67" t="e">
        <v>#DIV/0!</v>
      </c>
      <c r="J1206" s="66" t="s">
        <v>246</v>
      </c>
    </row>
    <row r="1207" spans="2:10" x14ac:dyDescent="0.35">
      <c r="B1207" s="7" t="s">
        <v>37</v>
      </c>
      <c r="C1207" s="7" t="s">
        <v>38</v>
      </c>
      <c r="D1207" s="7">
        <v>50</v>
      </c>
      <c r="E1207" s="59">
        <v>320000</v>
      </c>
      <c r="F1207" s="7" t="s">
        <v>35</v>
      </c>
      <c r="G1207" s="7" t="s">
        <v>278</v>
      </c>
      <c r="H1207" s="66" t="s">
        <v>245</v>
      </c>
      <c r="I1207" s="67">
        <v>6400</v>
      </c>
      <c r="J1207" s="66" t="s">
        <v>246</v>
      </c>
    </row>
    <row r="1208" spans="2:10" x14ac:dyDescent="0.35">
      <c r="B1208" s="7" t="s">
        <v>40</v>
      </c>
      <c r="C1208" s="7" t="s">
        <v>41</v>
      </c>
      <c r="D1208" s="7">
        <v>211</v>
      </c>
      <c r="E1208" s="59">
        <v>500000</v>
      </c>
      <c r="F1208" s="7" t="s">
        <v>35</v>
      </c>
      <c r="G1208" s="7" t="s">
        <v>278</v>
      </c>
      <c r="H1208" s="66" t="s">
        <v>245</v>
      </c>
      <c r="I1208" s="67">
        <v>2369.6682464454975</v>
      </c>
      <c r="J1208" s="66" t="s">
        <v>246</v>
      </c>
    </row>
    <row r="1209" spans="2:10" x14ac:dyDescent="0.35">
      <c r="B1209" s="7" t="s">
        <v>247</v>
      </c>
      <c r="C1209" s="7" t="s">
        <v>248</v>
      </c>
      <c r="D1209" s="7">
        <v>206</v>
      </c>
      <c r="E1209" s="59">
        <v>500000</v>
      </c>
      <c r="F1209" s="7" t="s">
        <v>35</v>
      </c>
      <c r="G1209" s="7" t="s">
        <v>278</v>
      </c>
      <c r="H1209" s="66" t="s">
        <v>245</v>
      </c>
      <c r="I1209" s="67">
        <v>2427.1844660194174</v>
      </c>
      <c r="J1209" s="66" t="s">
        <v>246</v>
      </c>
    </row>
    <row r="1210" spans="2:10" x14ac:dyDescent="0.35">
      <c r="B1210" s="7" t="s">
        <v>251</v>
      </c>
      <c r="C1210" s="7" t="s">
        <v>252</v>
      </c>
      <c r="D1210" s="7">
        <v>80</v>
      </c>
      <c r="E1210" s="59">
        <v>340000</v>
      </c>
      <c r="F1210" s="7" t="s">
        <v>35</v>
      </c>
      <c r="G1210" s="7" t="s">
        <v>278</v>
      </c>
      <c r="H1210" s="66" t="s">
        <v>245</v>
      </c>
      <c r="I1210" s="67">
        <v>4250</v>
      </c>
      <c r="J1210" s="66" t="s">
        <v>246</v>
      </c>
    </row>
    <row r="1211" spans="2:10" x14ac:dyDescent="0.35">
      <c r="B1211" s="7" t="s">
        <v>42</v>
      </c>
      <c r="C1211" s="7" t="s">
        <v>43</v>
      </c>
      <c r="D1211" s="7">
        <v>450</v>
      </c>
      <c r="E1211" s="59">
        <v>1250000</v>
      </c>
      <c r="F1211" s="7" t="s">
        <v>35</v>
      </c>
      <c r="G1211" s="7" t="s">
        <v>278</v>
      </c>
      <c r="H1211" s="66" t="s">
        <v>245</v>
      </c>
      <c r="I1211" s="67">
        <v>2777.7777777777778</v>
      </c>
      <c r="J1211" s="66" t="s">
        <v>246</v>
      </c>
    </row>
    <row r="1212" spans="2:10" x14ac:dyDescent="0.35">
      <c r="B1212" s="7" t="s">
        <v>253</v>
      </c>
      <c r="C1212" s="7" t="s">
        <v>70</v>
      </c>
      <c r="D1212" s="7">
        <v>50</v>
      </c>
      <c r="E1212" s="59">
        <v>320000</v>
      </c>
      <c r="F1212" s="7" t="s">
        <v>35</v>
      </c>
      <c r="G1212" s="7" t="s">
        <v>278</v>
      </c>
      <c r="H1212" s="66" t="s">
        <v>245</v>
      </c>
      <c r="I1212" s="67">
        <v>6400</v>
      </c>
      <c r="J1212" s="66" t="s">
        <v>246</v>
      </c>
    </row>
    <row r="1213" spans="2:10" x14ac:dyDescent="0.35">
      <c r="B1213" s="7" t="s">
        <v>29</v>
      </c>
      <c r="C1213" s="7" t="s">
        <v>30</v>
      </c>
      <c r="D1213" s="7">
        <v>100</v>
      </c>
      <c r="E1213" s="59">
        <v>360000</v>
      </c>
      <c r="F1213" s="7" t="s">
        <v>35</v>
      </c>
      <c r="G1213" s="7" t="s">
        <v>278</v>
      </c>
      <c r="H1213" s="66" t="s">
        <v>245</v>
      </c>
      <c r="I1213" s="67">
        <v>3600</v>
      </c>
      <c r="J1213" s="66" t="s">
        <v>246</v>
      </c>
    </row>
    <row r="1214" spans="2:10" x14ac:dyDescent="0.35">
      <c r="B1214" s="7" t="s">
        <v>55</v>
      </c>
      <c r="C1214" s="7" t="s">
        <v>41</v>
      </c>
      <c r="D1214" s="7">
        <v>210</v>
      </c>
      <c r="E1214" s="59">
        <v>500000</v>
      </c>
      <c r="F1214" s="7" t="s">
        <v>35</v>
      </c>
      <c r="G1214" s="7" t="s">
        <v>278</v>
      </c>
      <c r="H1214" s="66" t="s">
        <v>245</v>
      </c>
      <c r="I1214" s="67">
        <v>2380.9523809523807</v>
      </c>
      <c r="J1214" s="66" t="s">
        <v>246</v>
      </c>
    </row>
    <row r="1215" spans="2:10" x14ac:dyDescent="0.35">
      <c r="B1215" s="7" t="s">
        <v>58</v>
      </c>
      <c r="C1215" s="7" t="s">
        <v>59</v>
      </c>
      <c r="D1215" s="7">
        <v>35</v>
      </c>
      <c r="E1215" s="59">
        <v>290000</v>
      </c>
      <c r="F1215" s="7" t="s">
        <v>35</v>
      </c>
      <c r="G1215" s="7" t="s">
        <v>278</v>
      </c>
      <c r="H1215" s="66" t="s">
        <v>245</v>
      </c>
      <c r="I1215" s="67">
        <v>8285.7142857142862</v>
      </c>
      <c r="J1215" s="66" t="s">
        <v>246</v>
      </c>
    </row>
    <row r="1216" spans="2:10" x14ac:dyDescent="0.35">
      <c r="B1216" s="7" t="s">
        <v>97</v>
      </c>
      <c r="C1216" s="7" t="s">
        <v>255</v>
      </c>
      <c r="D1216" s="7">
        <v>75</v>
      </c>
      <c r="E1216" s="59">
        <v>350000</v>
      </c>
      <c r="F1216" s="7" t="s">
        <v>35</v>
      </c>
      <c r="G1216" s="7" t="s">
        <v>278</v>
      </c>
      <c r="H1216" s="66" t="s">
        <v>245</v>
      </c>
      <c r="I1216" s="67">
        <v>4666.666666666667</v>
      </c>
      <c r="J1216" s="66" t="s">
        <v>246</v>
      </c>
    </row>
    <row r="1217" spans="2:10" x14ac:dyDescent="0.35">
      <c r="B1217" s="7" t="s">
        <v>60</v>
      </c>
      <c r="C1217" s="7" t="s">
        <v>61</v>
      </c>
      <c r="D1217" s="7">
        <v>75</v>
      </c>
      <c r="E1217" s="59">
        <v>350000</v>
      </c>
      <c r="F1217" s="7" t="s">
        <v>35</v>
      </c>
      <c r="G1217" s="7" t="s">
        <v>278</v>
      </c>
      <c r="H1217" s="66" t="s">
        <v>245</v>
      </c>
      <c r="I1217" s="67">
        <v>4666.666666666667</v>
      </c>
      <c r="J1217" s="66" t="s">
        <v>246</v>
      </c>
    </row>
    <row r="1218" spans="2:10" x14ac:dyDescent="0.35">
      <c r="B1218" s="7" t="s">
        <v>98</v>
      </c>
      <c r="C1218" s="7" t="s">
        <v>38</v>
      </c>
      <c r="D1218" s="7">
        <v>45</v>
      </c>
      <c r="E1218" s="59">
        <v>290000</v>
      </c>
      <c r="F1218" s="7" t="s">
        <v>35</v>
      </c>
      <c r="G1218" s="7" t="s">
        <v>278</v>
      </c>
      <c r="H1218" s="66" t="s">
        <v>245</v>
      </c>
      <c r="I1218" s="67">
        <v>6444.4444444444443</v>
      </c>
      <c r="J1218" s="66" t="s">
        <v>246</v>
      </c>
    </row>
    <row r="1219" spans="2:10" x14ac:dyDescent="0.35">
      <c r="B1219" s="7" t="s">
        <v>65</v>
      </c>
      <c r="C1219" s="7" t="s">
        <v>66</v>
      </c>
      <c r="D1219" s="7">
        <v>45</v>
      </c>
      <c r="E1219" s="59">
        <v>290000</v>
      </c>
      <c r="F1219" s="7" t="s">
        <v>35</v>
      </c>
      <c r="G1219" s="7" t="s">
        <v>278</v>
      </c>
      <c r="H1219" s="66" t="s">
        <v>245</v>
      </c>
      <c r="I1219" s="67">
        <v>6444.4444444444443</v>
      </c>
      <c r="J1219" s="66" t="s">
        <v>246</v>
      </c>
    </row>
    <row r="1220" spans="2:10" x14ac:dyDescent="0.35">
      <c r="B1220" s="7" t="s">
        <v>67</v>
      </c>
      <c r="C1220" s="7" t="s">
        <v>38</v>
      </c>
      <c r="D1220" s="7">
        <v>40</v>
      </c>
      <c r="E1220" s="59">
        <v>290000</v>
      </c>
      <c r="F1220" s="7" t="s">
        <v>35</v>
      </c>
      <c r="G1220" s="7" t="s">
        <v>278</v>
      </c>
      <c r="H1220" s="66" t="s">
        <v>245</v>
      </c>
      <c r="I1220" s="67">
        <v>7250</v>
      </c>
      <c r="J1220" s="66" t="s">
        <v>246</v>
      </c>
    </row>
    <row r="1221" spans="2:10" x14ac:dyDescent="0.35">
      <c r="B1221" s="7" t="s">
        <v>68</v>
      </c>
      <c r="C1221" s="7" t="s">
        <v>69</v>
      </c>
      <c r="D1221" s="7">
        <v>80</v>
      </c>
      <c r="E1221" s="59">
        <v>380000</v>
      </c>
      <c r="F1221" s="7" t="s">
        <v>35</v>
      </c>
      <c r="G1221" s="7" t="s">
        <v>278</v>
      </c>
      <c r="H1221" s="66" t="s">
        <v>245</v>
      </c>
      <c r="I1221" s="67">
        <v>4750</v>
      </c>
      <c r="J1221" s="66" t="s">
        <v>246</v>
      </c>
    </row>
    <row r="1222" spans="2:10" x14ac:dyDescent="0.35">
      <c r="B1222" s="7" t="s">
        <v>257</v>
      </c>
      <c r="C1222" s="7" t="s">
        <v>66</v>
      </c>
      <c r="D1222" s="7">
        <v>60</v>
      </c>
      <c r="E1222" s="59">
        <v>290000</v>
      </c>
      <c r="F1222" s="7" t="s">
        <v>35</v>
      </c>
      <c r="G1222" s="7" t="s">
        <v>278</v>
      </c>
      <c r="H1222" s="66" t="s">
        <v>245</v>
      </c>
      <c r="I1222" s="67">
        <v>4833.333333333333</v>
      </c>
      <c r="J1222" s="66" t="s">
        <v>246</v>
      </c>
    </row>
    <row r="1223" spans="2:10" x14ac:dyDescent="0.35">
      <c r="B1223" s="7" t="s">
        <v>71</v>
      </c>
      <c r="C1223" s="7" t="s">
        <v>43</v>
      </c>
      <c r="D1223" s="7">
        <v>50</v>
      </c>
      <c r="E1223" s="59">
        <v>1250000</v>
      </c>
      <c r="F1223" s="7" t="s">
        <v>35</v>
      </c>
      <c r="G1223" s="7" t="s">
        <v>278</v>
      </c>
      <c r="H1223" s="66" t="s">
        <v>245</v>
      </c>
      <c r="I1223" s="67">
        <v>25000</v>
      </c>
      <c r="J1223" s="66" t="s">
        <v>246</v>
      </c>
    </row>
    <row r="1224" spans="2:10" x14ac:dyDescent="0.35">
      <c r="B1224" s="7" t="s">
        <v>96</v>
      </c>
      <c r="C1224" s="7" t="s">
        <v>255</v>
      </c>
      <c r="D1224" s="7">
        <v>60</v>
      </c>
      <c r="E1224" s="59">
        <v>330000</v>
      </c>
      <c r="F1224" s="7" t="s">
        <v>35</v>
      </c>
      <c r="G1224" s="7" t="s">
        <v>278</v>
      </c>
      <c r="H1224" s="66" t="s">
        <v>245</v>
      </c>
      <c r="I1224" s="67">
        <v>5500</v>
      </c>
      <c r="J1224" s="66" t="s">
        <v>246</v>
      </c>
    </row>
    <row r="1225" spans="2:10" x14ac:dyDescent="0.35">
      <c r="B1225" s="7" t="s">
        <v>263</v>
      </c>
      <c r="C1225" s="7" t="s">
        <v>264</v>
      </c>
      <c r="D1225" s="7">
        <v>250</v>
      </c>
      <c r="E1225" s="59">
        <v>490000</v>
      </c>
      <c r="F1225" s="7" t="s">
        <v>35</v>
      </c>
      <c r="G1225" s="7" t="s">
        <v>278</v>
      </c>
      <c r="H1225" s="66" t="s">
        <v>245</v>
      </c>
      <c r="I1225" s="67">
        <v>1960</v>
      </c>
      <c r="J1225" s="66" t="s">
        <v>246</v>
      </c>
    </row>
    <row r="1226" spans="2:10" x14ac:dyDescent="0.35">
      <c r="B1226" s="7" t="s">
        <v>37</v>
      </c>
      <c r="C1226" s="7" t="s">
        <v>38</v>
      </c>
      <c r="D1226" s="7">
        <v>108</v>
      </c>
      <c r="E1226" s="59">
        <v>340000</v>
      </c>
      <c r="F1226" s="7" t="s">
        <v>31</v>
      </c>
      <c r="G1226" s="7" t="s">
        <v>79</v>
      </c>
      <c r="H1226" s="66" t="s">
        <v>245</v>
      </c>
      <c r="I1226" s="67">
        <v>3148.1481481481483</v>
      </c>
      <c r="J1226" s="66" t="s">
        <v>246</v>
      </c>
    </row>
    <row r="1227" spans="2:10" x14ac:dyDescent="0.35">
      <c r="B1227" s="7" t="s">
        <v>49</v>
      </c>
      <c r="C1227" s="7" t="s">
        <v>50</v>
      </c>
      <c r="D1227" s="7">
        <v>3</v>
      </c>
      <c r="E1227" s="59">
        <v>320000</v>
      </c>
      <c r="F1227" s="7" t="s">
        <v>31</v>
      </c>
      <c r="G1227" s="7" t="s">
        <v>79</v>
      </c>
      <c r="H1227" s="66" t="s">
        <v>245</v>
      </c>
      <c r="I1227" s="67">
        <v>106666.66666666667</v>
      </c>
      <c r="J1227" s="66" t="s">
        <v>246</v>
      </c>
    </row>
    <row r="1228" spans="2:10" x14ac:dyDescent="0.35">
      <c r="B1228" s="7" t="s">
        <v>52</v>
      </c>
      <c r="C1228" s="7" t="s">
        <v>53</v>
      </c>
      <c r="D1228" s="7">
        <v>45</v>
      </c>
      <c r="E1228" s="59">
        <v>350000</v>
      </c>
      <c r="F1228" s="7" t="s">
        <v>31</v>
      </c>
      <c r="G1228" s="7" t="s">
        <v>79</v>
      </c>
      <c r="H1228" s="66" t="s">
        <v>245</v>
      </c>
      <c r="I1228" s="67">
        <v>7777.7777777777774</v>
      </c>
      <c r="J1228" s="66" t="s">
        <v>246</v>
      </c>
    </row>
    <row r="1229" spans="2:10" x14ac:dyDescent="0.35">
      <c r="B1229" s="7" t="s">
        <v>256</v>
      </c>
      <c r="C1229" s="7" t="s">
        <v>64</v>
      </c>
      <c r="D1229" s="7">
        <v>40</v>
      </c>
      <c r="E1229" s="59">
        <v>330000</v>
      </c>
      <c r="F1229" s="7" t="s">
        <v>31</v>
      </c>
      <c r="G1229" s="7" t="s">
        <v>79</v>
      </c>
      <c r="H1229" s="66" t="s">
        <v>245</v>
      </c>
      <c r="I1229" s="67">
        <v>8250</v>
      </c>
      <c r="J1229" s="66" t="s">
        <v>246</v>
      </c>
    </row>
    <row r="1230" spans="2:10" x14ac:dyDescent="0.35">
      <c r="B1230" s="7" t="s">
        <v>56</v>
      </c>
      <c r="C1230" s="7" t="s">
        <v>57</v>
      </c>
      <c r="D1230" s="7">
        <v>100</v>
      </c>
      <c r="E1230" s="59">
        <v>390000</v>
      </c>
      <c r="F1230" s="7" t="s">
        <v>31</v>
      </c>
      <c r="G1230" s="7" t="s">
        <v>79</v>
      </c>
      <c r="H1230" s="66" t="s">
        <v>245</v>
      </c>
      <c r="I1230" s="67">
        <v>3900</v>
      </c>
      <c r="J1230" s="66" t="s">
        <v>246</v>
      </c>
    </row>
    <row r="1231" spans="2:10" x14ac:dyDescent="0.35">
      <c r="B1231" s="7" t="s">
        <v>37</v>
      </c>
      <c r="C1231" s="7" t="s">
        <v>38</v>
      </c>
      <c r="D1231" s="7">
        <v>134</v>
      </c>
      <c r="E1231" s="59">
        <v>400000</v>
      </c>
      <c r="F1231" s="7" t="s">
        <v>36</v>
      </c>
      <c r="G1231" s="7" t="s">
        <v>79</v>
      </c>
      <c r="H1231" s="66" t="s">
        <v>245</v>
      </c>
      <c r="I1231" s="67">
        <v>2985.0746268656717</v>
      </c>
      <c r="J1231" s="66" t="s">
        <v>246</v>
      </c>
    </row>
    <row r="1232" spans="2:10" x14ac:dyDescent="0.35">
      <c r="B1232" s="7" t="s">
        <v>49</v>
      </c>
      <c r="C1232" s="7" t="s">
        <v>50</v>
      </c>
      <c r="D1232" s="7">
        <v>144</v>
      </c>
      <c r="E1232" s="59">
        <v>420000</v>
      </c>
      <c r="F1232" s="7" t="s">
        <v>36</v>
      </c>
      <c r="G1232" s="7" t="s">
        <v>79</v>
      </c>
      <c r="H1232" s="66" t="s">
        <v>245</v>
      </c>
      <c r="I1232" s="67">
        <v>2916.6666666666665</v>
      </c>
      <c r="J1232" s="66" t="s">
        <v>246</v>
      </c>
    </row>
    <row r="1233" spans="2:10" x14ac:dyDescent="0.35">
      <c r="B1233" s="7" t="s">
        <v>52</v>
      </c>
      <c r="C1233" s="7" t="s">
        <v>53</v>
      </c>
      <c r="D1233" s="7">
        <v>100</v>
      </c>
      <c r="E1233" s="59">
        <v>400000</v>
      </c>
      <c r="F1233" s="7" t="s">
        <v>36</v>
      </c>
      <c r="G1233" s="7" t="s">
        <v>79</v>
      </c>
      <c r="H1233" s="66" t="s">
        <v>245</v>
      </c>
      <c r="I1233" s="67">
        <v>4000</v>
      </c>
      <c r="J1233" s="66" t="s">
        <v>246</v>
      </c>
    </row>
    <row r="1234" spans="2:10" x14ac:dyDescent="0.35">
      <c r="B1234" s="7" t="s">
        <v>256</v>
      </c>
      <c r="C1234" s="7" t="s">
        <v>64</v>
      </c>
      <c r="D1234" s="7">
        <v>180</v>
      </c>
      <c r="E1234" s="59">
        <v>470000</v>
      </c>
      <c r="F1234" s="7" t="s">
        <v>36</v>
      </c>
      <c r="G1234" s="7" t="s">
        <v>79</v>
      </c>
      <c r="H1234" s="66" t="s">
        <v>245</v>
      </c>
      <c r="I1234" s="67">
        <v>2611.1111111111113</v>
      </c>
      <c r="J1234" s="66" t="s">
        <v>246</v>
      </c>
    </row>
    <row r="1235" spans="2:10" x14ac:dyDescent="0.35">
      <c r="B1235" s="7" t="s">
        <v>56</v>
      </c>
      <c r="C1235" s="7" t="s">
        <v>57</v>
      </c>
      <c r="D1235" s="7">
        <v>95</v>
      </c>
      <c r="E1235" s="59">
        <v>390000</v>
      </c>
      <c r="F1235" s="7" t="s">
        <v>36</v>
      </c>
      <c r="G1235" s="7" t="s">
        <v>79</v>
      </c>
      <c r="H1235" s="66" t="s">
        <v>245</v>
      </c>
      <c r="I1235" s="67">
        <v>4105.2631578947367</v>
      </c>
      <c r="J1235" s="66" t="s">
        <v>246</v>
      </c>
    </row>
    <row r="1236" spans="2:10" x14ac:dyDescent="0.35">
      <c r="B1236" s="7" t="s">
        <v>37</v>
      </c>
      <c r="C1236" s="7" t="s">
        <v>38</v>
      </c>
      <c r="D1236" s="7">
        <v>50</v>
      </c>
      <c r="E1236" s="59">
        <v>320000</v>
      </c>
      <c r="F1236" s="7" t="s">
        <v>35</v>
      </c>
      <c r="G1236" s="7" t="s">
        <v>79</v>
      </c>
      <c r="H1236" s="66" t="s">
        <v>245</v>
      </c>
      <c r="I1236" s="67">
        <v>6400</v>
      </c>
      <c r="J1236" s="66" t="s">
        <v>246</v>
      </c>
    </row>
    <row r="1237" spans="2:10" x14ac:dyDescent="0.35">
      <c r="B1237" s="7" t="s">
        <v>49</v>
      </c>
      <c r="C1237" s="7" t="s">
        <v>50</v>
      </c>
      <c r="D1237" s="7">
        <v>70</v>
      </c>
      <c r="E1237" s="59">
        <v>370000</v>
      </c>
      <c r="F1237" s="7" t="s">
        <v>35</v>
      </c>
      <c r="G1237" s="7" t="s">
        <v>79</v>
      </c>
      <c r="H1237" s="66" t="s">
        <v>245</v>
      </c>
      <c r="I1237" s="67">
        <v>5285.7142857142853</v>
      </c>
      <c r="J1237" s="66" t="s">
        <v>246</v>
      </c>
    </row>
    <row r="1238" spans="2:10" x14ac:dyDescent="0.35">
      <c r="B1238" s="7" t="s">
        <v>52</v>
      </c>
      <c r="C1238" s="7" t="s">
        <v>53</v>
      </c>
      <c r="D1238" s="7">
        <v>25</v>
      </c>
      <c r="E1238" s="59">
        <v>350000</v>
      </c>
      <c r="F1238" s="7" t="s">
        <v>35</v>
      </c>
      <c r="G1238" s="7" t="s">
        <v>79</v>
      </c>
      <c r="H1238" s="66" t="s">
        <v>245</v>
      </c>
      <c r="I1238" s="67">
        <v>14000</v>
      </c>
      <c r="J1238" s="66" t="s">
        <v>246</v>
      </c>
    </row>
    <row r="1239" spans="2:10" x14ac:dyDescent="0.35">
      <c r="B1239" s="7" t="s">
        <v>256</v>
      </c>
      <c r="C1239" s="7" t="s">
        <v>64</v>
      </c>
      <c r="D1239" s="7">
        <v>105</v>
      </c>
      <c r="E1239" s="59">
        <v>370000</v>
      </c>
      <c r="F1239" s="7" t="s">
        <v>35</v>
      </c>
      <c r="G1239" s="7" t="s">
        <v>79</v>
      </c>
      <c r="H1239" s="66" t="s">
        <v>245</v>
      </c>
      <c r="I1239" s="67">
        <v>3523.8095238095239</v>
      </c>
      <c r="J1239" s="66" t="s">
        <v>246</v>
      </c>
    </row>
    <row r="1240" spans="2:10" x14ac:dyDescent="0.35">
      <c r="B1240" s="7" t="s">
        <v>56</v>
      </c>
      <c r="C1240" s="7" t="s">
        <v>57</v>
      </c>
      <c r="D1240" s="7">
        <v>50</v>
      </c>
      <c r="E1240" s="59">
        <v>330000</v>
      </c>
      <c r="F1240" s="7" t="s">
        <v>35</v>
      </c>
      <c r="G1240" s="7" t="s">
        <v>79</v>
      </c>
      <c r="H1240" s="66" t="s">
        <v>245</v>
      </c>
      <c r="I1240" s="67">
        <v>6600</v>
      </c>
      <c r="J1240" s="66" t="s">
        <v>246</v>
      </c>
    </row>
    <row r="1241" spans="2:10" x14ac:dyDescent="0.35">
      <c r="B1241" s="7" t="s">
        <v>37</v>
      </c>
      <c r="C1241" s="7" t="s">
        <v>38</v>
      </c>
      <c r="D1241" s="7">
        <v>108</v>
      </c>
      <c r="E1241" s="59">
        <v>356400</v>
      </c>
      <c r="F1241" s="7" t="s">
        <v>31</v>
      </c>
      <c r="G1241" s="7" t="s">
        <v>279</v>
      </c>
      <c r="H1241" s="66" t="s">
        <v>245</v>
      </c>
      <c r="I1241" s="67">
        <v>3300</v>
      </c>
      <c r="J1241" s="66" t="s">
        <v>246</v>
      </c>
    </row>
    <row r="1242" spans="2:10" x14ac:dyDescent="0.35">
      <c r="B1242" s="7" t="s">
        <v>40</v>
      </c>
      <c r="C1242" s="7" t="s">
        <v>41</v>
      </c>
      <c r="D1242" s="7">
        <v>264</v>
      </c>
      <c r="E1242" s="59">
        <v>792000</v>
      </c>
      <c r="F1242" s="7" t="s">
        <v>31</v>
      </c>
      <c r="G1242" s="7" t="s">
        <v>279</v>
      </c>
      <c r="H1242" s="66" t="s">
        <v>245</v>
      </c>
      <c r="I1242" s="67">
        <v>3000</v>
      </c>
      <c r="J1242" s="66" t="s">
        <v>246</v>
      </c>
    </row>
    <row r="1243" spans="2:10" x14ac:dyDescent="0.35">
      <c r="B1243" s="7" t="s">
        <v>247</v>
      </c>
      <c r="C1243" s="7" t="s">
        <v>248</v>
      </c>
      <c r="D1243" s="7">
        <v>258</v>
      </c>
      <c r="E1243" s="59">
        <v>774000</v>
      </c>
      <c r="F1243" s="7" t="s">
        <v>31</v>
      </c>
      <c r="G1243" s="7" t="s">
        <v>279</v>
      </c>
      <c r="H1243" s="66" t="s">
        <v>245</v>
      </c>
      <c r="I1243" s="67">
        <v>3000</v>
      </c>
      <c r="J1243" s="66" t="s">
        <v>246</v>
      </c>
    </row>
    <row r="1244" spans="2:10" x14ac:dyDescent="0.35">
      <c r="B1244" s="7" t="s">
        <v>251</v>
      </c>
      <c r="C1244" s="7" t="s">
        <v>252</v>
      </c>
      <c r="D1244" s="7">
        <v>143</v>
      </c>
      <c r="E1244" s="59">
        <v>471900</v>
      </c>
      <c r="F1244" s="7" t="s">
        <v>31</v>
      </c>
      <c r="G1244" s="7" t="s">
        <v>279</v>
      </c>
      <c r="H1244" s="66" t="s">
        <v>245</v>
      </c>
      <c r="I1244" s="67">
        <v>3300</v>
      </c>
      <c r="J1244" s="66" t="s">
        <v>246</v>
      </c>
    </row>
    <row r="1245" spans="2:10" x14ac:dyDescent="0.35">
      <c r="B1245" s="7" t="s">
        <v>42</v>
      </c>
      <c r="C1245" s="7" t="s">
        <v>43</v>
      </c>
      <c r="D1245" s="7">
        <v>499</v>
      </c>
      <c r="E1245" s="59">
        <v>1397200</v>
      </c>
      <c r="F1245" s="7" t="s">
        <v>31</v>
      </c>
      <c r="G1245" s="7" t="s">
        <v>279</v>
      </c>
      <c r="H1245" s="66" t="s">
        <v>245</v>
      </c>
      <c r="I1245" s="67">
        <v>2800</v>
      </c>
      <c r="J1245" s="66" t="s">
        <v>246</v>
      </c>
    </row>
    <row r="1246" spans="2:10" x14ac:dyDescent="0.35">
      <c r="B1246" s="7" t="s">
        <v>253</v>
      </c>
      <c r="C1246" s="7" t="s">
        <v>70</v>
      </c>
      <c r="D1246" s="7">
        <v>113</v>
      </c>
      <c r="E1246" s="59">
        <v>372900</v>
      </c>
      <c r="F1246" s="7" t="s">
        <v>31</v>
      </c>
      <c r="G1246" s="7" t="s">
        <v>279</v>
      </c>
      <c r="H1246" s="66" t="s">
        <v>245</v>
      </c>
      <c r="I1246" s="67">
        <v>3300</v>
      </c>
      <c r="J1246" s="66" t="s">
        <v>246</v>
      </c>
    </row>
    <row r="1247" spans="2:10" x14ac:dyDescent="0.35">
      <c r="B1247" s="7" t="s">
        <v>249</v>
      </c>
      <c r="C1247" s="7" t="s">
        <v>44</v>
      </c>
      <c r="D1247" s="7">
        <v>150</v>
      </c>
      <c r="E1247" s="59">
        <v>495000</v>
      </c>
      <c r="F1247" s="7" t="s">
        <v>31</v>
      </c>
      <c r="G1247" s="7" t="s">
        <v>279</v>
      </c>
      <c r="H1247" s="66" t="s">
        <v>245</v>
      </c>
      <c r="I1247" s="67">
        <v>3300</v>
      </c>
      <c r="J1247" s="66" t="s">
        <v>246</v>
      </c>
    </row>
    <row r="1248" spans="2:10" x14ac:dyDescent="0.35">
      <c r="B1248" s="7" t="s">
        <v>29</v>
      </c>
      <c r="C1248" s="7" t="s">
        <v>30</v>
      </c>
      <c r="D1248" s="7">
        <v>240</v>
      </c>
      <c r="E1248" s="59">
        <v>720000</v>
      </c>
      <c r="F1248" s="7" t="s">
        <v>31</v>
      </c>
      <c r="G1248" s="7" t="s">
        <v>279</v>
      </c>
      <c r="H1248" s="66" t="s">
        <v>245</v>
      </c>
      <c r="I1248" s="67">
        <v>3000</v>
      </c>
      <c r="J1248" s="66" t="s">
        <v>246</v>
      </c>
    </row>
    <row r="1249" spans="2:10" x14ac:dyDescent="0.35">
      <c r="B1249" s="7" t="s">
        <v>45</v>
      </c>
      <c r="C1249" s="7" t="s">
        <v>46</v>
      </c>
      <c r="D1249" s="7">
        <v>240</v>
      </c>
      <c r="E1249" s="59">
        <v>720000</v>
      </c>
      <c r="F1249" s="7" t="s">
        <v>31</v>
      </c>
      <c r="G1249" s="7" t="s">
        <v>279</v>
      </c>
      <c r="H1249" s="66" t="s">
        <v>245</v>
      </c>
      <c r="I1249" s="67">
        <v>3000</v>
      </c>
      <c r="J1249" s="66" t="s">
        <v>246</v>
      </c>
    </row>
    <row r="1250" spans="2:10" x14ac:dyDescent="0.35">
      <c r="B1250" s="7" t="s">
        <v>47</v>
      </c>
      <c r="C1250" s="7" t="s">
        <v>48</v>
      </c>
      <c r="D1250" s="7">
        <v>124</v>
      </c>
      <c r="E1250" s="59">
        <v>409200</v>
      </c>
      <c r="F1250" s="7" t="s">
        <v>31</v>
      </c>
      <c r="G1250" s="7" t="s">
        <v>279</v>
      </c>
      <c r="H1250" s="66" t="s">
        <v>245</v>
      </c>
      <c r="I1250" s="67">
        <v>3300</v>
      </c>
      <c r="J1250" s="66" t="s">
        <v>246</v>
      </c>
    </row>
    <row r="1251" spans="2:10" x14ac:dyDescent="0.35">
      <c r="B1251" s="7" t="s">
        <v>49</v>
      </c>
      <c r="C1251" s="7" t="s">
        <v>50</v>
      </c>
      <c r="D1251" s="7">
        <v>3</v>
      </c>
      <c r="E1251" s="59">
        <v>250000</v>
      </c>
      <c r="F1251" s="7" t="s">
        <v>31</v>
      </c>
      <c r="G1251" s="7" t="s">
        <v>279</v>
      </c>
      <c r="H1251" s="66" t="s">
        <v>245</v>
      </c>
      <c r="I1251" s="67">
        <v>83333.333333333328</v>
      </c>
      <c r="J1251" s="66" t="s">
        <v>246</v>
      </c>
    </row>
    <row r="1252" spans="2:10" x14ac:dyDescent="0.35">
      <c r="B1252" s="7" t="s">
        <v>95</v>
      </c>
      <c r="C1252" s="7" t="s">
        <v>254</v>
      </c>
      <c r="D1252" s="7">
        <v>208</v>
      </c>
      <c r="E1252" s="59">
        <v>624000</v>
      </c>
      <c r="F1252" s="7" t="s">
        <v>31</v>
      </c>
      <c r="G1252" s="7" t="s">
        <v>279</v>
      </c>
      <c r="H1252" s="66" t="s">
        <v>245</v>
      </c>
      <c r="I1252" s="67">
        <v>3000</v>
      </c>
      <c r="J1252" s="66" t="s">
        <v>246</v>
      </c>
    </row>
    <row r="1253" spans="2:10" x14ac:dyDescent="0.35">
      <c r="B1253" s="7" t="s">
        <v>51</v>
      </c>
      <c r="C1253" s="7" t="s">
        <v>50</v>
      </c>
      <c r="D1253" s="7">
        <v>3</v>
      </c>
      <c r="E1253" s="59">
        <v>250000</v>
      </c>
      <c r="F1253" s="7" t="s">
        <v>31</v>
      </c>
      <c r="G1253" s="7" t="s">
        <v>279</v>
      </c>
      <c r="H1253" s="66" t="s">
        <v>245</v>
      </c>
      <c r="I1253" s="67">
        <v>83333.333333333328</v>
      </c>
      <c r="J1253" s="66" t="s">
        <v>246</v>
      </c>
    </row>
    <row r="1254" spans="2:10" x14ac:dyDescent="0.35">
      <c r="B1254" s="7" t="s">
        <v>55</v>
      </c>
      <c r="C1254" s="7" t="s">
        <v>41</v>
      </c>
      <c r="D1254" s="7">
        <v>260</v>
      </c>
      <c r="E1254" s="59">
        <v>780000</v>
      </c>
      <c r="F1254" s="7" t="s">
        <v>31</v>
      </c>
      <c r="G1254" s="7" t="s">
        <v>279</v>
      </c>
      <c r="H1254" s="66" t="s">
        <v>245</v>
      </c>
      <c r="I1254" s="67">
        <v>3000</v>
      </c>
      <c r="J1254" s="66" t="s">
        <v>246</v>
      </c>
    </row>
    <row r="1255" spans="2:10" x14ac:dyDescent="0.35">
      <c r="B1255" s="7" t="s">
        <v>52</v>
      </c>
      <c r="C1255" s="7" t="s">
        <v>53</v>
      </c>
      <c r="D1255" s="7">
        <v>45</v>
      </c>
      <c r="E1255" s="59">
        <v>270000</v>
      </c>
      <c r="F1255" s="7" t="s">
        <v>31</v>
      </c>
      <c r="G1255" s="7" t="s">
        <v>279</v>
      </c>
      <c r="H1255" s="66" t="s">
        <v>245</v>
      </c>
      <c r="I1255" s="67">
        <v>6000</v>
      </c>
      <c r="J1255" s="66" t="s">
        <v>246</v>
      </c>
    </row>
    <row r="1256" spans="2:10" x14ac:dyDescent="0.35">
      <c r="B1256" s="7" t="s">
        <v>58</v>
      </c>
      <c r="C1256" s="7" t="s">
        <v>59</v>
      </c>
      <c r="D1256" s="7">
        <v>98</v>
      </c>
      <c r="E1256" s="59">
        <v>323400</v>
      </c>
      <c r="F1256" s="7" t="s">
        <v>31</v>
      </c>
      <c r="G1256" s="7" t="s">
        <v>279</v>
      </c>
      <c r="H1256" s="66" t="s">
        <v>245</v>
      </c>
      <c r="I1256" s="67">
        <v>3300</v>
      </c>
      <c r="J1256" s="66" t="s">
        <v>246</v>
      </c>
    </row>
    <row r="1257" spans="2:10" x14ac:dyDescent="0.35">
      <c r="B1257" s="7" t="s">
        <v>97</v>
      </c>
      <c r="C1257" s="7" t="s">
        <v>255</v>
      </c>
      <c r="D1257" s="7">
        <v>125</v>
      </c>
      <c r="E1257" s="59">
        <v>412500</v>
      </c>
      <c r="F1257" s="7" t="s">
        <v>31</v>
      </c>
      <c r="G1257" s="7" t="s">
        <v>279</v>
      </c>
      <c r="H1257" s="66" t="s">
        <v>245</v>
      </c>
      <c r="I1257" s="67">
        <v>3300</v>
      </c>
      <c r="J1257" s="66" t="s">
        <v>246</v>
      </c>
    </row>
    <row r="1258" spans="2:10" x14ac:dyDescent="0.35">
      <c r="B1258" s="7" t="s">
        <v>60</v>
      </c>
      <c r="C1258" s="7" t="s">
        <v>61</v>
      </c>
      <c r="D1258" s="7">
        <v>128</v>
      </c>
      <c r="E1258" s="59">
        <v>422400</v>
      </c>
      <c r="F1258" s="7" t="s">
        <v>31</v>
      </c>
      <c r="G1258" s="7" t="s">
        <v>279</v>
      </c>
      <c r="H1258" s="66" t="s">
        <v>245</v>
      </c>
      <c r="I1258" s="67">
        <v>3300</v>
      </c>
      <c r="J1258" s="66" t="s">
        <v>246</v>
      </c>
    </row>
    <row r="1259" spans="2:10" x14ac:dyDescent="0.35">
      <c r="B1259" s="7" t="s">
        <v>62</v>
      </c>
      <c r="C1259" s="7" t="s">
        <v>63</v>
      </c>
      <c r="D1259" s="7">
        <v>16</v>
      </c>
      <c r="E1259" s="59">
        <v>250000</v>
      </c>
      <c r="F1259" s="7" t="s">
        <v>31</v>
      </c>
      <c r="G1259" s="7" t="s">
        <v>279</v>
      </c>
      <c r="H1259" s="66" t="s">
        <v>245</v>
      </c>
      <c r="I1259" s="67">
        <v>15625</v>
      </c>
      <c r="J1259" s="66" t="s">
        <v>246</v>
      </c>
    </row>
    <row r="1260" spans="2:10" x14ac:dyDescent="0.35">
      <c r="B1260" s="7" t="s">
        <v>98</v>
      </c>
      <c r="C1260" s="7" t="s">
        <v>38</v>
      </c>
      <c r="D1260" s="7">
        <v>110</v>
      </c>
      <c r="E1260" s="59">
        <v>363000</v>
      </c>
      <c r="F1260" s="7" t="s">
        <v>31</v>
      </c>
      <c r="G1260" s="7" t="s">
        <v>279</v>
      </c>
      <c r="H1260" s="66" t="s">
        <v>245</v>
      </c>
      <c r="I1260" s="67">
        <v>3300</v>
      </c>
      <c r="J1260" s="66" t="s">
        <v>246</v>
      </c>
    </row>
    <row r="1261" spans="2:10" x14ac:dyDescent="0.35">
      <c r="B1261" s="7" t="s">
        <v>256</v>
      </c>
      <c r="C1261" s="7" t="s">
        <v>64</v>
      </c>
      <c r="D1261" s="7">
        <v>40</v>
      </c>
      <c r="E1261" s="59">
        <v>280000</v>
      </c>
      <c r="F1261" s="7" t="s">
        <v>31</v>
      </c>
      <c r="G1261" s="7" t="s">
        <v>279</v>
      </c>
      <c r="H1261" s="66" t="s">
        <v>245</v>
      </c>
      <c r="I1261" s="67">
        <v>7000</v>
      </c>
      <c r="J1261" s="66" t="s">
        <v>246</v>
      </c>
    </row>
    <row r="1262" spans="2:10" x14ac:dyDescent="0.35">
      <c r="B1262" s="7" t="s">
        <v>65</v>
      </c>
      <c r="C1262" s="7" t="s">
        <v>66</v>
      </c>
      <c r="D1262" s="7">
        <v>110</v>
      </c>
      <c r="E1262" s="59">
        <v>363000</v>
      </c>
      <c r="F1262" s="7" t="s">
        <v>31</v>
      </c>
      <c r="G1262" s="7" t="s">
        <v>279</v>
      </c>
      <c r="H1262" s="66" t="s">
        <v>245</v>
      </c>
      <c r="I1262" s="67">
        <v>3300</v>
      </c>
      <c r="J1262" s="66" t="s">
        <v>246</v>
      </c>
    </row>
    <row r="1263" spans="2:10" x14ac:dyDescent="0.35">
      <c r="B1263" s="7" t="s">
        <v>67</v>
      </c>
      <c r="C1263" s="7" t="s">
        <v>38</v>
      </c>
      <c r="D1263" s="7">
        <v>103</v>
      </c>
      <c r="E1263" s="59">
        <v>339900</v>
      </c>
      <c r="F1263" s="7" t="s">
        <v>31</v>
      </c>
      <c r="G1263" s="7" t="s">
        <v>279</v>
      </c>
      <c r="H1263" s="66" t="s">
        <v>245</v>
      </c>
      <c r="I1263" s="67">
        <v>3300</v>
      </c>
      <c r="J1263" s="66" t="s">
        <v>246</v>
      </c>
    </row>
    <row r="1264" spans="2:10" x14ac:dyDescent="0.35">
      <c r="B1264" s="7" t="s">
        <v>68</v>
      </c>
      <c r="C1264" s="7" t="s">
        <v>69</v>
      </c>
      <c r="D1264" s="7">
        <v>131</v>
      </c>
      <c r="E1264" s="59">
        <v>432300</v>
      </c>
      <c r="F1264" s="7" t="s">
        <v>31</v>
      </c>
      <c r="G1264" s="7" t="s">
        <v>279</v>
      </c>
      <c r="H1264" s="66" t="s">
        <v>245</v>
      </c>
      <c r="I1264" s="67">
        <v>3300</v>
      </c>
      <c r="J1264" s="66" t="s">
        <v>246</v>
      </c>
    </row>
    <row r="1265" spans="2:10" x14ac:dyDescent="0.35">
      <c r="B1265" s="7" t="s">
        <v>33</v>
      </c>
      <c r="C1265" s="7" t="s">
        <v>34</v>
      </c>
      <c r="D1265" s="7">
        <v>85</v>
      </c>
      <c r="E1265" s="59">
        <v>300000</v>
      </c>
      <c r="F1265" s="7" t="s">
        <v>31</v>
      </c>
      <c r="G1265" s="7" t="s">
        <v>279</v>
      </c>
      <c r="H1265" s="66" t="s">
        <v>245</v>
      </c>
      <c r="I1265" s="67">
        <v>3529.4117647058824</v>
      </c>
      <c r="J1265" s="66" t="s">
        <v>246</v>
      </c>
    </row>
    <row r="1266" spans="2:10" x14ac:dyDescent="0.35">
      <c r="B1266" s="7" t="s">
        <v>257</v>
      </c>
      <c r="C1266" s="7" t="s">
        <v>66</v>
      </c>
      <c r="D1266" s="7">
        <v>118</v>
      </c>
      <c r="E1266" s="59">
        <v>389400</v>
      </c>
      <c r="F1266" s="7" t="s">
        <v>31</v>
      </c>
      <c r="G1266" s="7" t="s">
        <v>279</v>
      </c>
      <c r="H1266" s="66" t="s">
        <v>245</v>
      </c>
      <c r="I1266" s="67">
        <v>3300</v>
      </c>
      <c r="J1266" s="66" t="s">
        <v>246</v>
      </c>
    </row>
    <row r="1267" spans="2:10" x14ac:dyDescent="0.35">
      <c r="B1267" s="7" t="s">
        <v>71</v>
      </c>
      <c r="C1267" s="7" t="s">
        <v>43</v>
      </c>
      <c r="D1267" s="7">
        <v>549</v>
      </c>
      <c r="E1267" s="59">
        <v>1537200</v>
      </c>
      <c r="F1267" s="7" t="s">
        <v>31</v>
      </c>
      <c r="G1267" s="7" t="s">
        <v>279</v>
      </c>
      <c r="H1267" s="66" t="s">
        <v>245</v>
      </c>
      <c r="I1267" s="67">
        <v>2800</v>
      </c>
      <c r="J1267" s="66" t="s">
        <v>246</v>
      </c>
    </row>
    <row r="1268" spans="2:10" x14ac:dyDescent="0.35">
      <c r="B1268" s="7" t="s">
        <v>258</v>
      </c>
      <c r="C1268" s="7" t="s">
        <v>259</v>
      </c>
      <c r="D1268" s="7">
        <v>144</v>
      </c>
      <c r="E1268" s="59">
        <v>475200</v>
      </c>
      <c r="F1268" s="7" t="s">
        <v>31</v>
      </c>
      <c r="G1268" s="7" t="s">
        <v>279</v>
      </c>
      <c r="H1268" s="66" t="s">
        <v>245</v>
      </c>
      <c r="I1268" s="67">
        <v>3300</v>
      </c>
      <c r="J1268" s="66" t="s">
        <v>246</v>
      </c>
    </row>
    <row r="1269" spans="2:10" x14ac:dyDescent="0.35">
      <c r="B1269" s="7" t="s">
        <v>72</v>
      </c>
      <c r="C1269" s="7" t="s">
        <v>73</v>
      </c>
      <c r="D1269" s="7">
        <v>165</v>
      </c>
      <c r="E1269" s="59">
        <v>544500</v>
      </c>
      <c r="F1269" s="7" t="s">
        <v>31</v>
      </c>
      <c r="G1269" s="7" t="s">
        <v>279</v>
      </c>
      <c r="H1269" s="66" t="s">
        <v>245</v>
      </c>
      <c r="I1269" s="67">
        <v>3300</v>
      </c>
      <c r="J1269" s="66" t="s">
        <v>246</v>
      </c>
    </row>
    <row r="1270" spans="2:10" x14ac:dyDescent="0.35">
      <c r="B1270" s="7" t="s">
        <v>56</v>
      </c>
      <c r="C1270" s="7" t="s">
        <v>57</v>
      </c>
      <c r="D1270" s="7">
        <v>100</v>
      </c>
      <c r="E1270" s="59">
        <v>330000</v>
      </c>
      <c r="F1270" s="7" t="s">
        <v>31</v>
      </c>
      <c r="G1270" s="7" t="s">
        <v>279</v>
      </c>
      <c r="H1270" s="66" t="s">
        <v>245</v>
      </c>
      <c r="I1270" s="67">
        <v>3300</v>
      </c>
      <c r="J1270" s="66" t="s">
        <v>246</v>
      </c>
    </row>
    <row r="1271" spans="2:10" x14ac:dyDescent="0.35">
      <c r="B1271" s="7" t="s">
        <v>260</v>
      </c>
      <c r="C1271" s="7" t="s">
        <v>261</v>
      </c>
      <c r="D1271" s="7">
        <v>162</v>
      </c>
      <c r="E1271" s="59">
        <v>534600</v>
      </c>
      <c r="F1271" s="7" t="s">
        <v>31</v>
      </c>
      <c r="G1271" s="7" t="s">
        <v>279</v>
      </c>
      <c r="H1271" s="66" t="s">
        <v>245</v>
      </c>
      <c r="I1271" s="67">
        <v>3300</v>
      </c>
      <c r="J1271" s="66" t="s">
        <v>246</v>
      </c>
    </row>
    <row r="1272" spans="2:10" x14ac:dyDescent="0.35">
      <c r="B1272" s="7" t="s">
        <v>74</v>
      </c>
      <c r="C1272" s="7" t="s">
        <v>75</v>
      </c>
      <c r="D1272" s="7">
        <v>10</v>
      </c>
      <c r="E1272" s="59">
        <v>250000</v>
      </c>
      <c r="F1272" s="7" t="s">
        <v>31</v>
      </c>
      <c r="G1272" s="7" t="s">
        <v>279</v>
      </c>
      <c r="H1272" s="66" t="s">
        <v>245</v>
      </c>
      <c r="I1272" s="67">
        <v>25000</v>
      </c>
      <c r="J1272" s="66" t="s">
        <v>246</v>
      </c>
    </row>
    <row r="1273" spans="2:10" x14ac:dyDescent="0.35">
      <c r="B1273" s="7" t="s">
        <v>76</v>
      </c>
      <c r="C1273" s="7" t="s">
        <v>262</v>
      </c>
      <c r="D1273" s="7">
        <v>20</v>
      </c>
      <c r="E1273" s="59">
        <v>250000</v>
      </c>
      <c r="F1273" s="7" t="s">
        <v>31</v>
      </c>
      <c r="G1273" s="7" t="s">
        <v>279</v>
      </c>
      <c r="H1273" s="66" t="s">
        <v>245</v>
      </c>
      <c r="I1273" s="67">
        <v>12500</v>
      </c>
      <c r="J1273" s="66" t="s">
        <v>246</v>
      </c>
    </row>
    <row r="1274" spans="2:10" x14ac:dyDescent="0.35">
      <c r="B1274" s="7" t="s">
        <v>96</v>
      </c>
      <c r="C1274" s="7" t="s">
        <v>255</v>
      </c>
      <c r="D1274" s="7">
        <v>122</v>
      </c>
      <c r="E1274" s="59">
        <v>402600</v>
      </c>
      <c r="F1274" s="7" t="s">
        <v>31</v>
      </c>
      <c r="G1274" s="7" t="s">
        <v>279</v>
      </c>
      <c r="H1274" s="66" t="s">
        <v>245</v>
      </c>
      <c r="I1274" s="67">
        <v>3300</v>
      </c>
      <c r="J1274" s="66" t="s">
        <v>246</v>
      </c>
    </row>
    <row r="1275" spans="2:10" x14ac:dyDescent="0.35">
      <c r="B1275" s="7" t="s">
        <v>270</v>
      </c>
      <c r="C1275" s="7" t="s">
        <v>271</v>
      </c>
      <c r="E1275" s="59">
        <v>495000</v>
      </c>
      <c r="F1275" s="7" t="s">
        <v>31</v>
      </c>
      <c r="G1275" s="7" t="s">
        <v>279</v>
      </c>
      <c r="H1275" s="66" t="s">
        <v>245</v>
      </c>
      <c r="I1275" s="67" t="e">
        <v>#DIV/0!</v>
      </c>
      <c r="J1275" s="66" t="s">
        <v>246</v>
      </c>
    </row>
    <row r="1276" spans="2:10" x14ac:dyDescent="0.35">
      <c r="B1276" s="7" t="s">
        <v>263</v>
      </c>
      <c r="C1276" s="7" t="s">
        <v>264</v>
      </c>
      <c r="D1276" s="7">
        <v>162</v>
      </c>
      <c r="E1276" s="59">
        <v>861300</v>
      </c>
      <c r="F1276" s="7" t="s">
        <v>31</v>
      </c>
      <c r="G1276" s="7" t="s">
        <v>279</v>
      </c>
      <c r="H1276" s="66" t="s">
        <v>245</v>
      </c>
      <c r="I1276" s="67">
        <v>5316.666666666667</v>
      </c>
      <c r="J1276" s="66" t="s">
        <v>246</v>
      </c>
    </row>
    <row r="1277" spans="2:10" x14ac:dyDescent="0.35">
      <c r="B1277" s="7" t="s">
        <v>37</v>
      </c>
      <c r="C1277" s="7" t="s">
        <v>38</v>
      </c>
      <c r="D1277" s="7">
        <v>134</v>
      </c>
      <c r="E1277" s="59">
        <v>356400</v>
      </c>
      <c r="F1277" s="7" t="s">
        <v>36</v>
      </c>
      <c r="G1277" s="7" t="s">
        <v>279</v>
      </c>
      <c r="H1277" s="66" t="s">
        <v>245</v>
      </c>
      <c r="I1277" s="67">
        <v>2659.7014925373132</v>
      </c>
      <c r="J1277" s="66" t="s">
        <v>246</v>
      </c>
    </row>
    <row r="1278" spans="2:10" x14ac:dyDescent="0.35">
      <c r="B1278" s="7" t="s">
        <v>40</v>
      </c>
      <c r="C1278" s="7" t="s">
        <v>41</v>
      </c>
      <c r="D1278" s="7">
        <v>123</v>
      </c>
      <c r="E1278" s="59">
        <v>792000</v>
      </c>
      <c r="F1278" s="7" t="s">
        <v>36</v>
      </c>
      <c r="G1278" s="7" t="s">
        <v>279</v>
      </c>
      <c r="H1278" s="66" t="s">
        <v>245</v>
      </c>
      <c r="I1278" s="67">
        <v>6439.0243902439024</v>
      </c>
      <c r="J1278" s="66" t="s">
        <v>246</v>
      </c>
    </row>
    <row r="1279" spans="2:10" x14ac:dyDescent="0.35">
      <c r="B1279" s="7" t="s">
        <v>247</v>
      </c>
      <c r="C1279" s="7" t="s">
        <v>248</v>
      </c>
      <c r="D1279" s="7">
        <v>118</v>
      </c>
      <c r="E1279" s="59">
        <v>774000</v>
      </c>
      <c r="F1279" s="7" t="s">
        <v>36</v>
      </c>
      <c r="G1279" s="7" t="s">
        <v>279</v>
      </c>
      <c r="H1279" s="66" t="s">
        <v>245</v>
      </c>
      <c r="I1279" s="67">
        <v>6559.3220338983047</v>
      </c>
      <c r="J1279" s="66" t="s">
        <v>246</v>
      </c>
    </row>
    <row r="1280" spans="2:10" x14ac:dyDescent="0.35">
      <c r="B1280" s="7" t="s">
        <v>251</v>
      </c>
      <c r="C1280" s="7" t="s">
        <v>252</v>
      </c>
      <c r="D1280" s="7">
        <v>103</v>
      </c>
      <c r="E1280" s="59">
        <v>471900</v>
      </c>
      <c r="F1280" s="7" t="s">
        <v>36</v>
      </c>
      <c r="G1280" s="7" t="s">
        <v>279</v>
      </c>
      <c r="H1280" s="66" t="s">
        <v>245</v>
      </c>
      <c r="I1280" s="67">
        <v>4581.5533980582522</v>
      </c>
      <c r="J1280" s="66" t="s">
        <v>246</v>
      </c>
    </row>
    <row r="1281" spans="2:10" x14ac:dyDescent="0.35">
      <c r="B1281" s="7" t="s">
        <v>42</v>
      </c>
      <c r="C1281" s="7" t="s">
        <v>43</v>
      </c>
      <c r="D1281" s="7">
        <v>358</v>
      </c>
      <c r="E1281" s="59">
        <v>1397200</v>
      </c>
      <c r="F1281" s="7" t="s">
        <v>36</v>
      </c>
      <c r="G1281" s="7" t="s">
        <v>279</v>
      </c>
      <c r="H1281" s="66" t="s">
        <v>245</v>
      </c>
      <c r="I1281" s="67">
        <v>3902.7932960893854</v>
      </c>
      <c r="J1281" s="66" t="s">
        <v>246</v>
      </c>
    </row>
    <row r="1282" spans="2:10" x14ac:dyDescent="0.35">
      <c r="B1282" s="7" t="s">
        <v>253</v>
      </c>
      <c r="C1282" s="7" t="s">
        <v>70</v>
      </c>
      <c r="D1282" s="7">
        <v>141</v>
      </c>
      <c r="E1282" s="59">
        <v>372900</v>
      </c>
      <c r="F1282" s="7" t="s">
        <v>36</v>
      </c>
      <c r="G1282" s="7" t="s">
        <v>279</v>
      </c>
      <c r="H1282" s="66" t="s">
        <v>245</v>
      </c>
      <c r="I1282" s="67">
        <v>2644.6808510638298</v>
      </c>
      <c r="J1282" s="66" t="s">
        <v>246</v>
      </c>
    </row>
    <row r="1283" spans="2:10" x14ac:dyDescent="0.35">
      <c r="B1283" s="7" t="s">
        <v>249</v>
      </c>
      <c r="C1283" s="7" t="s">
        <v>44</v>
      </c>
      <c r="D1283" s="7">
        <v>60</v>
      </c>
      <c r="E1283" s="59">
        <v>495000</v>
      </c>
      <c r="F1283" s="7" t="s">
        <v>36</v>
      </c>
      <c r="G1283" s="7" t="s">
        <v>279</v>
      </c>
      <c r="H1283" s="66" t="s">
        <v>245</v>
      </c>
      <c r="I1283" s="67">
        <v>8250</v>
      </c>
      <c r="J1283" s="66" t="s">
        <v>246</v>
      </c>
    </row>
    <row r="1284" spans="2:10" x14ac:dyDescent="0.35">
      <c r="B1284" s="7" t="s">
        <v>29</v>
      </c>
      <c r="C1284" s="7" t="s">
        <v>30</v>
      </c>
      <c r="D1284" s="7">
        <v>22</v>
      </c>
      <c r="E1284" s="59">
        <v>720000</v>
      </c>
      <c r="F1284" s="7" t="s">
        <v>36</v>
      </c>
      <c r="G1284" s="7" t="s">
        <v>279</v>
      </c>
      <c r="H1284" s="66" t="s">
        <v>245</v>
      </c>
      <c r="I1284" s="67">
        <v>32727.272727272728</v>
      </c>
      <c r="J1284" s="66" t="s">
        <v>246</v>
      </c>
    </row>
    <row r="1285" spans="2:10" x14ac:dyDescent="0.35">
      <c r="B1285" s="7" t="s">
        <v>45</v>
      </c>
      <c r="C1285" s="7" t="s">
        <v>46</v>
      </c>
      <c r="D1285" s="7">
        <v>100</v>
      </c>
      <c r="E1285" s="59">
        <v>720000</v>
      </c>
      <c r="F1285" s="7" t="s">
        <v>36</v>
      </c>
      <c r="G1285" s="7" t="s">
        <v>279</v>
      </c>
      <c r="H1285" s="66" t="s">
        <v>245</v>
      </c>
      <c r="I1285" s="67">
        <v>7200</v>
      </c>
      <c r="J1285" s="66" t="s">
        <v>246</v>
      </c>
    </row>
    <row r="1286" spans="2:10" x14ac:dyDescent="0.35">
      <c r="B1286" s="7" t="s">
        <v>47</v>
      </c>
      <c r="C1286" s="7" t="s">
        <v>48</v>
      </c>
      <c r="D1286" s="7">
        <v>85</v>
      </c>
      <c r="E1286" s="59">
        <v>409200</v>
      </c>
      <c r="F1286" s="7" t="s">
        <v>36</v>
      </c>
      <c r="G1286" s="7" t="s">
        <v>279</v>
      </c>
      <c r="H1286" s="66" t="s">
        <v>245</v>
      </c>
      <c r="I1286" s="67">
        <v>4814.1176470588234</v>
      </c>
      <c r="J1286" s="66" t="s">
        <v>246</v>
      </c>
    </row>
    <row r="1287" spans="2:10" x14ac:dyDescent="0.35">
      <c r="B1287" s="7" t="s">
        <v>49</v>
      </c>
      <c r="C1287" s="7" t="s">
        <v>50</v>
      </c>
      <c r="D1287" s="7">
        <v>144</v>
      </c>
      <c r="E1287" s="59">
        <v>250000</v>
      </c>
      <c r="F1287" s="7" t="s">
        <v>36</v>
      </c>
      <c r="G1287" s="7" t="s">
        <v>279</v>
      </c>
      <c r="H1287" s="66" t="s">
        <v>245</v>
      </c>
      <c r="I1287" s="67">
        <v>1736.1111111111111</v>
      </c>
      <c r="J1287" s="66" t="s">
        <v>246</v>
      </c>
    </row>
    <row r="1288" spans="2:10" x14ac:dyDescent="0.35">
      <c r="B1288" s="7" t="s">
        <v>95</v>
      </c>
      <c r="C1288" s="7" t="s">
        <v>254</v>
      </c>
      <c r="D1288" s="7">
        <v>60</v>
      </c>
      <c r="E1288" s="59">
        <v>624000</v>
      </c>
      <c r="F1288" s="7" t="s">
        <v>36</v>
      </c>
      <c r="G1288" s="7" t="s">
        <v>279</v>
      </c>
      <c r="H1288" s="66" t="s">
        <v>245</v>
      </c>
      <c r="I1288" s="67">
        <v>10400</v>
      </c>
      <c r="J1288" s="66" t="s">
        <v>246</v>
      </c>
    </row>
    <row r="1289" spans="2:10" x14ac:dyDescent="0.35">
      <c r="B1289" s="7" t="s">
        <v>51</v>
      </c>
      <c r="C1289" s="7" t="s">
        <v>50</v>
      </c>
      <c r="D1289" s="7">
        <v>144</v>
      </c>
      <c r="E1289" s="59">
        <v>250000</v>
      </c>
      <c r="F1289" s="7" t="s">
        <v>36</v>
      </c>
      <c r="G1289" s="7" t="s">
        <v>279</v>
      </c>
      <c r="H1289" s="66" t="s">
        <v>245</v>
      </c>
      <c r="I1289" s="67">
        <v>1736.1111111111111</v>
      </c>
      <c r="J1289" s="66" t="s">
        <v>246</v>
      </c>
    </row>
    <row r="1290" spans="2:10" x14ac:dyDescent="0.35">
      <c r="B1290" s="7" t="s">
        <v>55</v>
      </c>
      <c r="C1290" s="7" t="s">
        <v>41</v>
      </c>
      <c r="D1290" s="7">
        <v>120</v>
      </c>
      <c r="E1290" s="59">
        <v>780000</v>
      </c>
      <c r="F1290" s="7" t="s">
        <v>36</v>
      </c>
      <c r="G1290" s="7" t="s">
        <v>279</v>
      </c>
      <c r="H1290" s="66" t="s">
        <v>245</v>
      </c>
      <c r="I1290" s="67">
        <v>6500</v>
      </c>
      <c r="J1290" s="66" t="s">
        <v>246</v>
      </c>
    </row>
    <row r="1291" spans="2:10" x14ac:dyDescent="0.35">
      <c r="B1291" s="7" t="s">
        <v>52</v>
      </c>
      <c r="C1291" s="7" t="s">
        <v>53</v>
      </c>
      <c r="D1291" s="7">
        <v>100</v>
      </c>
      <c r="E1291" s="59">
        <v>270000</v>
      </c>
      <c r="F1291" s="7" t="s">
        <v>36</v>
      </c>
      <c r="G1291" s="7" t="s">
        <v>279</v>
      </c>
      <c r="H1291" s="66" t="s">
        <v>245</v>
      </c>
      <c r="I1291" s="67">
        <v>2700</v>
      </c>
      <c r="J1291" s="66" t="s">
        <v>246</v>
      </c>
    </row>
    <row r="1292" spans="2:10" x14ac:dyDescent="0.35">
      <c r="B1292" s="7" t="s">
        <v>58</v>
      </c>
      <c r="C1292" s="7" t="s">
        <v>59</v>
      </c>
      <c r="D1292" s="7">
        <v>125</v>
      </c>
      <c r="E1292" s="59">
        <v>323400</v>
      </c>
      <c r="F1292" s="7" t="s">
        <v>36</v>
      </c>
      <c r="G1292" s="7" t="s">
        <v>279</v>
      </c>
      <c r="H1292" s="66" t="s">
        <v>245</v>
      </c>
      <c r="I1292" s="67">
        <v>2587.1999999999998</v>
      </c>
      <c r="J1292" s="66" t="s">
        <v>246</v>
      </c>
    </row>
    <row r="1293" spans="2:10" x14ac:dyDescent="0.35">
      <c r="B1293" s="7" t="s">
        <v>97</v>
      </c>
      <c r="C1293" s="7" t="s">
        <v>255</v>
      </c>
      <c r="D1293" s="7">
        <v>90</v>
      </c>
      <c r="E1293" s="59">
        <v>412500</v>
      </c>
      <c r="F1293" s="7" t="s">
        <v>36</v>
      </c>
      <c r="G1293" s="7" t="s">
        <v>279</v>
      </c>
      <c r="H1293" s="66" t="s">
        <v>245</v>
      </c>
      <c r="I1293" s="67">
        <v>4583.333333333333</v>
      </c>
      <c r="J1293" s="66" t="s">
        <v>246</v>
      </c>
    </row>
    <row r="1294" spans="2:10" x14ac:dyDescent="0.35">
      <c r="B1294" s="7" t="s">
        <v>60</v>
      </c>
      <c r="C1294" s="7" t="s">
        <v>61</v>
      </c>
      <c r="D1294" s="7">
        <v>80</v>
      </c>
      <c r="E1294" s="59">
        <v>422400</v>
      </c>
      <c r="F1294" s="7" t="s">
        <v>36</v>
      </c>
      <c r="G1294" s="7" t="s">
        <v>279</v>
      </c>
      <c r="H1294" s="66" t="s">
        <v>245</v>
      </c>
      <c r="I1294" s="67">
        <v>5280</v>
      </c>
      <c r="J1294" s="66" t="s">
        <v>246</v>
      </c>
    </row>
    <row r="1295" spans="2:10" x14ac:dyDescent="0.35">
      <c r="B1295" s="7" t="s">
        <v>62</v>
      </c>
      <c r="C1295" s="7" t="s">
        <v>63</v>
      </c>
      <c r="D1295" s="7">
        <v>130</v>
      </c>
      <c r="E1295" s="59">
        <v>250000</v>
      </c>
      <c r="F1295" s="7" t="s">
        <v>36</v>
      </c>
      <c r="G1295" s="7" t="s">
        <v>279</v>
      </c>
      <c r="H1295" s="66" t="s">
        <v>245</v>
      </c>
      <c r="I1295" s="67">
        <v>1923.0769230769231</v>
      </c>
      <c r="J1295" s="66" t="s">
        <v>246</v>
      </c>
    </row>
    <row r="1296" spans="2:10" x14ac:dyDescent="0.35">
      <c r="B1296" s="7" t="s">
        <v>98</v>
      </c>
      <c r="C1296" s="7" t="s">
        <v>38</v>
      </c>
      <c r="D1296" s="7">
        <v>133</v>
      </c>
      <c r="E1296" s="59">
        <v>363000</v>
      </c>
      <c r="F1296" s="7" t="s">
        <v>36</v>
      </c>
      <c r="G1296" s="7" t="s">
        <v>279</v>
      </c>
      <c r="H1296" s="66" t="s">
        <v>245</v>
      </c>
      <c r="I1296" s="67">
        <v>2729.3233082706765</v>
      </c>
      <c r="J1296" s="66" t="s">
        <v>246</v>
      </c>
    </row>
    <row r="1297" spans="2:10" x14ac:dyDescent="0.35">
      <c r="B1297" s="7" t="s">
        <v>256</v>
      </c>
      <c r="C1297" s="7" t="s">
        <v>64</v>
      </c>
      <c r="D1297" s="7">
        <v>180</v>
      </c>
      <c r="E1297" s="59">
        <v>280000</v>
      </c>
      <c r="F1297" s="7" t="s">
        <v>36</v>
      </c>
      <c r="G1297" s="7" t="s">
        <v>279</v>
      </c>
      <c r="H1297" s="66" t="s">
        <v>245</v>
      </c>
      <c r="I1297" s="67">
        <v>1555.5555555555557</v>
      </c>
      <c r="J1297" s="66" t="s">
        <v>246</v>
      </c>
    </row>
    <row r="1298" spans="2:10" x14ac:dyDescent="0.35">
      <c r="B1298" s="7" t="s">
        <v>65</v>
      </c>
      <c r="C1298" s="7" t="s">
        <v>66</v>
      </c>
      <c r="D1298" s="7">
        <v>140</v>
      </c>
      <c r="E1298" s="59">
        <v>363000</v>
      </c>
      <c r="F1298" s="7" t="s">
        <v>36</v>
      </c>
      <c r="G1298" s="7" t="s">
        <v>279</v>
      </c>
      <c r="H1298" s="66" t="s">
        <v>245</v>
      </c>
      <c r="I1298" s="67">
        <v>2592.8571428571427</v>
      </c>
      <c r="J1298" s="66" t="s">
        <v>246</v>
      </c>
    </row>
    <row r="1299" spans="2:10" x14ac:dyDescent="0.35">
      <c r="B1299" s="7" t="s">
        <v>67</v>
      </c>
      <c r="C1299" s="7" t="s">
        <v>38</v>
      </c>
      <c r="D1299" s="7">
        <v>130</v>
      </c>
      <c r="E1299" s="59">
        <v>339900</v>
      </c>
      <c r="F1299" s="7" t="s">
        <v>36</v>
      </c>
      <c r="G1299" s="7" t="s">
        <v>279</v>
      </c>
      <c r="H1299" s="66" t="s">
        <v>245</v>
      </c>
      <c r="I1299" s="67">
        <v>2614.6153846153848</v>
      </c>
      <c r="J1299" s="66" t="s">
        <v>246</v>
      </c>
    </row>
    <row r="1300" spans="2:10" x14ac:dyDescent="0.35">
      <c r="B1300" s="7" t="s">
        <v>68</v>
      </c>
      <c r="C1300" s="7" t="s">
        <v>69</v>
      </c>
      <c r="D1300" s="7">
        <v>90</v>
      </c>
      <c r="E1300" s="59">
        <v>432300</v>
      </c>
      <c r="F1300" s="7" t="s">
        <v>36</v>
      </c>
      <c r="G1300" s="7" t="s">
        <v>279</v>
      </c>
      <c r="H1300" s="66" t="s">
        <v>245</v>
      </c>
      <c r="I1300" s="67">
        <v>4803.333333333333</v>
      </c>
      <c r="J1300" s="66" t="s">
        <v>246</v>
      </c>
    </row>
    <row r="1301" spans="2:10" x14ac:dyDescent="0.35">
      <c r="B1301" s="7" t="s">
        <v>33</v>
      </c>
      <c r="C1301" s="7" t="s">
        <v>34</v>
      </c>
      <c r="D1301" s="7">
        <v>230</v>
      </c>
      <c r="E1301" s="59">
        <v>300000</v>
      </c>
      <c r="F1301" s="7" t="s">
        <v>36</v>
      </c>
      <c r="G1301" s="7" t="s">
        <v>279</v>
      </c>
      <c r="H1301" s="66" t="s">
        <v>245</v>
      </c>
      <c r="I1301" s="67">
        <v>1304.3478260869565</v>
      </c>
      <c r="J1301" s="66" t="s">
        <v>246</v>
      </c>
    </row>
    <row r="1302" spans="2:10" x14ac:dyDescent="0.35">
      <c r="B1302" s="7" t="s">
        <v>257</v>
      </c>
      <c r="C1302" s="7" t="s">
        <v>66</v>
      </c>
      <c r="D1302" s="7">
        <v>144</v>
      </c>
      <c r="E1302" s="59">
        <v>389400</v>
      </c>
      <c r="F1302" s="7" t="s">
        <v>36</v>
      </c>
      <c r="G1302" s="7" t="s">
        <v>279</v>
      </c>
      <c r="H1302" s="66" t="s">
        <v>245</v>
      </c>
      <c r="I1302" s="67">
        <v>2704.1666666666665</v>
      </c>
      <c r="J1302" s="66" t="s">
        <v>246</v>
      </c>
    </row>
    <row r="1303" spans="2:10" x14ac:dyDescent="0.35">
      <c r="B1303" s="7" t="s">
        <v>71</v>
      </c>
      <c r="C1303" s="7" t="s">
        <v>43</v>
      </c>
      <c r="D1303" s="7">
        <v>408</v>
      </c>
      <c r="E1303" s="59">
        <v>1537200</v>
      </c>
      <c r="F1303" s="7" t="s">
        <v>36</v>
      </c>
      <c r="G1303" s="7" t="s">
        <v>279</v>
      </c>
      <c r="H1303" s="66" t="s">
        <v>245</v>
      </c>
      <c r="I1303" s="67">
        <v>3767.6470588235293</v>
      </c>
      <c r="J1303" s="66" t="s">
        <v>246</v>
      </c>
    </row>
    <row r="1304" spans="2:10" x14ac:dyDescent="0.35">
      <c r="B1304" s="7" t="s">
        <v>258</v>
      </c>
      <c r="C1304" s="7" t="s">
        <v>259</v>
      </c>
      <c r="D1304" s="7">
        <v>1</v>
      </c>
      <c r="E1304" s="59">
        <v>475200</v>
      </c>
      <c r="F1304" s="7" t="s">
        <v>36</v>
      </c>
      <c r="G1304" s="7" t="s">
        <v>279</v>
      </c>
      <c r="H1304" s="66" t="s">
        <v>245</v>
      </c>
      <c r="I1304" s="67">
        <v>475200</v>
      </c>
      <c r="J1304" s="66" t="s">
        <v>246</v>
      </c>
    </row>
    <row r="1305" spans="2:10" x14ac:dyDescent="0.35">
      <c r="B1305" s="7" t="s">
        <v>72</v>
      </c>
      <c r="C1305" s="7" t="s">
        <v>73</v>
      </c>
      <c r="D1305" s="7">
        <v>310</v>
      </c>
      <c r="E1305" s="59">
        <v>544500</v>
      </c>
      <c r="F1305" s="7" t="s">
        <v>36</v>
      </c>
      <c r="G1305" s="7" t="s">
        <v>279</v>
      </c>
      <c r="H1305" s="66" t="s">
        <v>245</v>
      </c>
      <c r="I1305" s="67">
        <v>1756.4516129032259</v>
      </c>
      <c r="J1305" s="66" t="s">
        <v>246</v>
      </c>
    </row>
    <row r="1306" spans="2:10" x14ac:dyDescent="0.35">
      <c r="B1306" s="7" t="s">
        <v>56</v>
      </c>
      <c r="C1306" s="7" t="s">
        <v>57</v>
      </c>
      <c r="D1306" s="7">
        <v>95</v>
      </c>
      <c r="E1306" s="59">
        <v>330000</v>
      </c>
      <c r="F1306" s="7" t="s">
        <v>36</v>
      </c>
      <c r="G1306" s="7" t="s">
        <v>279</v>
      </c>
      <c r="H1306" s="66" t="s">
        <v>245</v>
      </c>
      <c r="I1306" s="67">
        <v>3473.6842105263158</v>
      </c>
      <c r="J1306" s="66" t="s">
        <v>246</v>
      </c>
    </row>
    <row r="1307" spans="2:10" x14ac:dyDescent="0.35">
      <c r="B1307" s="7" t="s">
        <v>260</v>
      </c>
      <c r="C1307" s="7" t="s">
        <v>261</v>
      </c>
      <c r="D1307" s="7">
        <v>305</v>
      </c>
      <c r="E1307" s="59">
        <v>534600</v>
      </c>
      <c r="F1307" s="7" t="s">
        <v>36</v>
      </c>
      <c r="G1307" s="7" t="s">
        <v>279</v>
      </c>
      <c r="H1307" s="66" t="s">
        <v>245</v>
      </c>
      <c r="I1307" s="67">
        <v>1752.7868852459017</v>
      </c>
      <c r="J1307" s="66" t="s">
        <v>246</v>
      </c>
    </row>
    <row r="1308" spans="2:10" x14ac:dyDescent="0.35">
      <c r="B1308" s="7" t="s">
        <v>74</v>
      </c>
      <c r="C1308" s="7" t="s">
        <v>75</v>
      </c>
      <c r="D1308" s="7">
        <v>140</v>
      </c>
      <c r="E1308" s="59">
        <v>250000</v>
      </c>
      <c r="F1308" s="7" t="s">
        <v>36</v>
      </c>
      <c r="G1308" s="7" t="s">
        <v>279</v>
      </c>
      <c r="H1308" s="66" t="s">
        <v>245</v>
      </c>
      <c r="I1308" s="67">
        <v>1785.7142857142858</v>
      </c>
      <c r="J1308" s="66" t="s">
        <v>246</v>
      </c>
    </row>
    <row r="1309" spans="2:10" x14ac:dyDescent="0.35">
      <c r="B1309" s="7" t="s">
        <v>76</v>
      </c>
      <c r="C1309" s="7" t="s">
        <v>262</v>
      </c>
      <c r="D1309" s="7">
        <v>130</v>
      </c>
      <c r="E1309" s="59">
        <v>250000</v>
      </c>
      <c r="F1309" s="7" t="s">
        <v>36</v>
      </c>
      <c r="G1309" s="7" t="s">
        <v>279</v>
      </c>
      <c r="H1309" s="66" t="s">
        <v>245</v>
      </c>
      <c r="I1309" s="67">
        <v>1923.0769230769231</v>
      </c>
      <c r="J1309" s="66" t="s">
        <v>246</v>
      </c>
    </row>
    <row r="1310" spans="2:10" x14ac:dyDescent="0.35">
      <c r="B1310" s="7" t="s">
        <v>96</v>
      </c>
      <c r="C1310" s="7" t="s">
        <v>255</v>
      </c>
      <c r="D1310" s="7">
        <v>95</v>
      </c>
      <c r="E1310" s="59">
        <v>402600</v>
      </c>
      <c r="F1310" s="7" t="s">
        <v>36</v>
      </c>
      <c r="G1310" s="7" t="s">
        <v>279</v>
      </c>
      <c r="H1310" s="66" t="s">
        <v>245</v>
      </c>
      <c r="I1310" s="67">
        <v>4237.894736842105</v>
      </c>
      <c r="J1310" s="66" t="s">
        <v>246</v>
      </c>
    </row>
    <row r="1311" spans="2:10" x14ac:dyDescent="0.35">
      <c r="B1311" s="7" t="s">
        <v>270</v>
      </c>
      <c r="C1311" s="7" t="s">
        <v>271</v>
      </c>
      <c r="D1311" s="7">
        <v>0</v>
      </c>
      <c r="E1311" s="59">
        <v>495000</v>
      </c>
      <c r="F1311" s="7" t="s">
        <v>36</v>
      </c>
      <c r="G1311" s="7" t="s">
        <v>279</v>
      </c>
      <c r="H1311" s="66" t="s">
        <v>245</v>
      </c>
      <c r="I1311" s="67" t="e">
        <v>#DIV/0!</v>
      </c>
      <c r="J1311" s="66" t="s">
        <v>246</v>
      </c>
    </row>
    <row r="1312" spans="2:10" x14ac:dyDescent="0.35">
      <c r="B1312" s="7" t="s">
        <v>263</v>
      </c>
      <c r="C1312" s="7" t="s">
        <v>264</v>
      </c>
      <c r="D1312" s="7">
        <v>0</v>
      </c>
      <c r="E1312" s="59">
        <v>861300</v>
      </c>
      <c r="F1312" s="7" t="s">
        <v>36</v>
      </c>
      <c r="G1312" s="7" t="s">
        <v>279</v>
      </c>
      <c r="H1312" s="66" t="s">
        <v>245</v>
      </c>
      <c r="I1312" s="67" t="e">
        <v>#DIV/0!</v>
      </c>
      <c r="J1312" s="66" t="s">
        <v>246</v>
      </c>
    </row>
    <row r="1313" spans="2:10" x14ac:dyDescent="0.35">
      <c r="B1313" s="7" t="s">
        <v>37</v>
      </c>
      <c r="C1313" s="7" t="s">
        <v>38</v>
      </c>
      <c r="D1313" s="7">
        <v>50</v>
      </c>
      <c r="E1313" s="59">
        <v>280000</v>
      </c>
      <c r="F1313" s="7" t="s">
        <v>35</v>
      </c>
      <c r="G1313" s="7" t="s">
        <v>279</v>
      </c>
      <c r="H1313" s="66" t="s">
        <v>245</v>
      </c>
      <c r="I1313" s="67">
        <v>5600</v>
      </c>
      <c r="J1313" s="66" t="s">
        <v>246</v>
      </c>
    </row>
    <row r="1314" spans="2:10" x14ac:dyDescent="0.35">
      <c r="B1314" s="7" t="s">
        <v>40</v>
      </c>
      <c r="C1314" s="7" t="s">
        <v>41</v>
      </c>
      <c r="D1314" s="7">
        <v>211</v>
      </c>
      <c r="E1314" s="59">
        <v>654100</v>
      </c>
      <c r="F1314" s="7" t="s">
        <v>35</v>
      </c>
      <c r="G1314" s="7" t="s">
        <v>279</v>
      </c>
      <c r="H1314" s="66" t="s">
        <v>245</v>
      </c>
      <c r="I1314" s="67">
        <v>3100</v>
      </c>
      <c r="J1314" s="66" t="s">
        <v>246</v>
      </c>
    </row>
    <row r="1315" spans="2:10" x14ac:dyDescent="0.35">
      <c r="B1315" s="7" t="s">
        <v>247</v>
      </c>
      <c r="C1315" s="7" t="s">
        <v>248</v>
      </c>
      <c r="D1315" s="7">
        <v>206</v>
      </c>
      <c r="E1315" s="59">
        <v>450000</v>
      </c>
      <c r="F1315" s="7" t="s">
        <v>35</v>
      </c>
      <c r="G1315" s="7" t="s">
        <v>279</v>
      </c>
      <c r="H1315" s="66" t="s">
        <v>245</v>
      </c>
      <c r="I1315" s="67">
        <v>2184.4660194174758</v>
      </c>
      <c r="J1315" s="66" t="s">
        <v>246</v>
      </c>
    </row>
    <row r="1316" spans="2:10" x14ac:dyDescent="0.35">
      <c r="B1316" s="7" t="s">
        <v>251</v>
      </c>
      <c r="C1316" s="7" t="s">
        <v>252</v>
      </c>
      <c r="D1316" s="7">
        <v>80</v>
      </c>
      <c r="E1316" s="59">
        <v>280000</v>
      </c>
      <c r="F1316" s="7" t="s">
        <v>35</v>
      </c>
      <c r="G1316" s="7" t="s">
        <v>279</v>
      </c>
      <c r="H1316" s="66" t="s">
        <v>245</v>
      </c>
      <c r="I1316" s="67">
        <v>3500</v>
      </c>
      <c r="J1316" s="66" t="s">
        <v>246</v>
      </c>
    </row>
    <row r="1317" spans="2:10" x14ac:dyDescent="0.35">
      <c r="B1317" s="7" t="s">
        <v>42</v>
      </c>
      <c r="C1317" s="7" t="s">
        <v>43</v>
      </c>
      <c r="D1317" s="7">
        <v>450</v>
      </c>
      <c r="E1317" s="59">
        <v>1260000</v>
      </c>
      <c r="F1317" s="7" t="s">
        <v>35</v>
      </c>
      <c r="G1317" s="7" t="s">
        <v>279</v>
      </c>
      <c r="H1317" s="66" t="s">
        <v>245</v>
      </c>
      <c r="I1317" s="67">
        <v>2800</v>
      </c>
      <c r="J1317" s="66" t="s">
        <v>246</v>
      </c>
    </row>
    <row r="1318" spans="2:10" x14ac:dyDescent="0.35">
      <c r="B1318" s="7" t="s">
        <v>253</v>
      </c>
      <c r="C1318" s="7" t="s">
        <v>70</v>
      </c>
      <c r="D1318" s="7">
        <v>50</v>
      </c>
      <c r="E1318" s="59">
        <v>280000</v>
      </c>
      <c r="F1318" s="7" t="s">
        <v>35</v>
      </c>
      <c r="G1318" s="7" t="s">
        <v>279</v>
      </c>
      <c r="H1318" s="66" t="s">
        <v>245</v>
      </c>
      <c r="I1318" s="67">
        <v>5600</v>
      </c>
      <c r="J1318" s="66" t="s">
        <v>246</v>
      </c>
    </row>
    <row r="1319" spans="2:10" x14ac:dyDescent="0.35">
      <c r="B1319" s="7" t="s">
        <v>249</v>
      </c>
      <c r="C1319" s="7" t="s">
        <v>44</v>
      </c>
      <c r="D1319" s="7">
        <v>60</v>
      </c>
      <c r="E1319" s="59">
        <v>280000</v>
      </c>
      <c r="F1319" s="7" t="s">
        <v>35</v>
      </c>
      <c r="G1319" s="7" t="s">
        <v>279</v>
      </c>
      <c r="H1319" s="66" t="s">
        <v>245</v>
      </c>
      <c r="I1319" s="67">
        <v>4666.666666666667</v>
      </c>
      <c r="J1319" s="66" t="s">
        <v>246</v>
      </c>
    </row>
    <row r="1320" spans="2:10" x14ac:dyDescent="0.35">
      <c r="B1320" s="7" t="s">
        <v>29</v>
      </c>
      <c r="C1320" s="7" t="s">
        <v>30</v>
      </c>
      <c r="D1320" s="7">
        <v>100</v>
      </c>
      <c r="E1320" s="59">
        <v>330000</v>
      </c>
      <c r="F1320" s="7" t="s">
        <v>35</v>
      </c>
      <c r="G1320" s="7" t="s">
        <v>279</v>
      </c>
      <c r="H1320" s="66" t="s">
        <v>245</v>
      </c>
      <c r="I1320" s="67">
        <v>3300</v>
      </c>
      <c r="J1320" s="66" t="s">
        <v>246</v>
      </c>
    </row>
    <row r="1321" spans="2:10" x14ac:dyDescent="0.35">
      <c r="B1321" s="7" t="s">
        <v>45</v>
      </c>
      <c r="C1321" s="7" t="s">
        <v>46</v>
      </c>
      <c r="D1321" s="7">
        <v>190</v>
      </c>
      <c r="E1321" s="59">
        <v>589000</v>
      </c>
      <c r="F1321" s="7" t="s">
        <v>35</v>
      </c>
      <c r="G1321" s="7" t="s">
        <v>279</v>
      </c>
      <c r="H1321" s="66" t="s">
        <v>245</v>
      </c>
      <c r="I1321" s="67">
        <v>3100</v>
      </c>
      <c r="J1321" s="66" t="s">
        <v>246</v>
      </c>
    </row>
    <row r="1322" spans="2:10" x14ac:dyDescent="0.35">
      <c r="B1322" s="7" t="s">
        <v>47</v>
      </c>
      <c r="C1322" s="7" t="s">
        <v>48</v>
      </c>
      <c r="D1322" s="7">
        <v>75</v>
      </c>
      <c r="E1322" s="59">
        <v>280000</v>
      </c>
      <c r="F1322" s="7" t="s">
        <v>35</v>
      </c>
      <c r="G1322" s="7" t="s">
        <v>279</v>
      </c>
      <c r="H1322" s="66" t="s">
        <v>245</v>
      </c>
      <c r="I1322" s="67">
        <v>3733.3333333333335</v>
      </c>
      <c r="J1322" s="66" t="s">
        <v>246</v>
      </c>
    </row>
    <row r="1323" spans="2:10" x14ac:dyDescent="0.35">
      <c r="B1323" s="7" t="s">
        <v>49</v>
      </c>
      <c r="C1323" s="7" t="s">
        <v>50</v>
      </c>
      <c r="D1323" s="7">
        <v>70</v>
      </c>
      <c r="E1323" s="59">
        <v>280000</v>
      </c>
      <c r="F1323" s="7" t="s">
        <v>35</v>
      </c>
      <c r="G1323" s="7" t="s">
        <v>279</v>
      </c>
      <c r="H1323" s="66" t="s">
        <v>245</v>
      </c>
      <c r="I1323" s="67">
        <v>4000</v>
      </c>
      <c r="J1323" s="66" t="s">
        <v>246</v>
      </c>
    </row>
    <row r="1324" spans="2:10" x14ac:dyDescent="0.35">
      <c r="B1324" s="7" t="s">
        <v>95</v>
      </c>
      <c r="C1324" s="7" t="s">
        <v>254</v>
      </c>
      <c r="D1324" s="7">
        <v>160</v>
      </c>
      <c r="E1324" s="59">
        <v>528000</v>
      </c>
      <c r="F1324" s="7" t="s">
        <v>35</v>
      </c>
      <c r="G1324" s="7" t="s">
        <v>279</v>
      </c>
      <c r="H1324" s="66" t="s">
        <v>245</v>
      </c>
      <c r="I1324" s="67">
        <v>3300</v>
      </c>
      <c r="J1324" s="66" t="s">
        <v>246</v>
      </c>
    </row>
    <row r="1325" spans="2:10" x14ac:dyDescent="0.35">
      <c r="B1325" s="7" t="s">
        <v>51</v>
      </c>
      <c r="C1325" s="7" t="s">
        <v>50</v>
      </c>
      <c r="D1325" s="7">
        <v>70</v>
      </c>
      <c r="E1325" s="59">
        <v>280000</v>
      </c>
      <c r="F1325" s="7" t="s">
        <v>35</v>
      </c>
      <c r="G1325" s="7" t="s">
        <v>279</v>
      </c>
      <c r="H1325" s="66" t="s">
        <v>245</v>
      </c>
      <c r="I1325" s="67">
        <v>4000</v>
      </c>
      <c r="J1325" s="66" t="s">
        <v>246</v>
      </c>
    </row>
    <row r="1326" spans="2:10" x14ac:dyDescent="0.35">
      <c r="B1326" s="7" t="s">
        <v>55</v>
      </c>
      <c r="C1326" s="7" t="s">
        <v>41</v>
      </c>
      <c r="D1326" s="7">
        <v>210</v>
      </c>
      <c r="E1326" s="59">
        <v>651000</v>
      </c>
      <c r="F1326" s="7" t="s">
        <v>35</v>
      </c>
      <c r="G1326" s="7" t="s">
        <v>279</v>
      </c>
      <c r="H1326" s="66" t="s">
        <v>245</v>
      </c>
      <c r="I1326" s="67">
        <v>3100</v>
      </c>
      <c r="J1326" s="66" t="s">
        <v>246</v>
      </c>
    </row>
    <row r="1327" spans="2:10" x14ac:dyDescent="0.35">
      <c r="B1327" s="7" t="s">
        <v>52</v>
      </c>
      <c r="C1327" s="7" t="s">
        <v>53</v>
      </c>
      <c r="D1327" s="7">
        <v>25</v>
      </c>
      <c r="E1327" s="59">
        <v>250000</v>
      </c>
      <c r="F1327" s="7" t="s">
        <v>35</v>
      </c>
      <c r="G1327" s="7" t="s">
        <v>279</v>
      </c>
      <c r="H1327" s="66" t="s">
        <v>245</v>
      </c>
      <c r="I1327" s="67">
        <v>10000</v>
      </c>
      <c r="J1327" s="66" t="s">
        <v>246</v>
      </c>
    </row>
    <row r="1328" spans="2:10" x14ac:dyDescent="0.35">
      <c r="B1328" s="7" t="s">
        <v>58</v>
      </c>
      <c r="C1328" s="7" t="s">
        <v>59</v>
      </c>
      <c r="D1328" s="7">
        <v>35</v>
      </c>
      <c r="E1328" s="59">
        <v>250000</v>
      </c>
      <c r="F1328" s="7" t="s">
        <v>35</v>
      </c>
      <c r="G1328" s="7" t="s">
        <v>279</v>
      </c>
      <c r="H1328" s="66" t="s">
        <v>245</v>
      </c>
      <c r="I1328" s="67">
        <v>7142.8571428571431</v>
      </c>
      <c r="J1328" s="66" t="s">
        <v>246</v>
      </c>
    </row>
    <row r="1329" spans="2:10" x14ac:dyDescent="0.35">
      <c r="B1329" s="7" t="s">
        <v>97</v>
      </c>
      <c r="C1329" s="7" t="s">
        <v>255</v>
      </c>
      <c r="D1329" s="7">
        <v>75</v>
      </c>
      <c r="E1329" s="59">
        <v>280000</v>
      </c>
      <c r="F1329" s="7" t="s">
        <v>35</v>
      </c>
      <c r="G1329" s="7" t="s">
        <v>279</v>
      </c>
      <c r="H1329" s="66" t="s">
        <v>245</v>
      </c>
      <c r="I1329" s="67">
        <v>3733.3333333333335</v>
      </c>
      <c r="J1329" s="66" t="s">
        <v>246</v>
      </c>
    </row>
    <row r="1330" spans="2:10" x14ac:dyDescent="0.35">
      <c r="B1330" s="7" t="s">
        <v>60</v>
      </c>
      <c r="C1330" s="7" t="s">
        <v>61</v>
      </c>
      <c r="D1330" s="7">
        <v>75</v>
      </c>
      <c r="E1330" s="59">
        <v>280000</v>
      </c>
      <c r="F1330" s="7" t="s">
        <v>35</v>
      </c>
      <c r="G1330" s="7" t="s">
        <v>279</v>
      </c>
      <c r="H1330" s="66" t="s">
        <v>245</v>
      </c>
      <c r="I1330" s="67">
        <v>3733.3333333333335</v>
      </c>
      <c r="J1330" s="66" t="s">
        <v>246</v>
      </c>
    </row>
    <row r="1331" spans="2:10" x14ac:dyDescent="0.35">
      <c r="B1331" s="7" t="s">
        <v>62</v>
      </c>
      <c r="C1331" s="7" t="s">
        <v>63</v>
      </c>
      <c r="D1331" s="7">
        <v>55</v>
      </c>
      <c r="E1331" s="59">
        <v>280000</v>
      </c>
      <c r="F1331" s="7" t="s">
        <v>35</v>
      </c>
      <c r="G1331" s="7" t="s">
        <v>279</v>
      </c>
      <c r="H1331" s="66" t="s">
        <v>245</v>
      </c>
      <c r="I1331" s="67">
        <v>5090.909090909091</v>
      </c>
      <c r="J1331" s="66" t="s">
        <v>246</v>
      </c>
    </row>
    <row r="1332" spans="2:10" x14ac:dyDescent="0.35">
      <c r="B1332" s="7" t="s">
        <v>98</v>
      </c>
      <c r="C1332" s="7" t="s">
        <v>38</v>
      </c>
      <c r="D1332" s="7">
        <v>45</v>
      </c>
      <c r="E1332" s="59">
        <v>280000</v>
      </c>
      <c r="F1332" s="7" t="s">
        <v>35</v>
      </c>
      <c r="G1332" s="7" t="s">
        <v>279</v>
      </c>
      <c r="H1332" s="66" t="s">
        <v>245</v>
      </c>
      <c r="I1332" s="67">
        <v>6222.2222222222226</v>
      </c>
      <c r="J1332" s="66" t="s">
        <v>246</v>
      </c>
    </row>
    <row r="1333" spans="2:10" x14ac:dyDescent="0.35">
      <c r="B1333" s="7" t="s">
        <v>256</v>
      </c>
      <c r="C1333" s="7" t="s">
        <v>64</v>
      </c>
      <c r="D1333" s="7">
        <v>105</v>
      </c>
      <c r="E1333" s="59">
        <v>346500</v>
      </c>
      <c r="F1333" s="7" t="s">
        <v>35</v>
      </c>
      <c r="G1333" s="7" t="s">
        <v>279</v>
      </c>
      <c r="H1333" s="66" t="s">
        <v>245</v>
      </c>
      <c r="I1333" s="67">
        <v>3300</v>
      </c>
      <c r="J1333" s="66" t="s">
        <v>246</v>
      </c>
    </row>
    <row r="1334" spans="2:10" x14ac:dyDescent="0.35">
      <c r="B1334" s="7" t="s">
        <v>65</v>
      </c>
      <c r="C1334" s="7" t="s">
        <v>66</v>
      </c>
      <c r="D1334" s="7">
        <v>45</v>
      </c>
      <c r="E1334" s="59">
        <v>280000</v>
      </c>
      <c r="F1334" s="7" t="s">
        <v>35</v>
      </c>
      <c r="G1334" s="7" t="s">
        <v>279</v>
      </c>
      <c r="H1334" s="66" t="s">
        <v>245</v>
      </c>
      <c r="I1334" s="67">
        <v>6222.2222222222226</v>
      </c>
      <c r="J1334" s="66" t="s">
        <v>246</v>
      </c>
    </row>
    <row r="1335" spans="2:10" x14ac:dyDescent="0.35">
      <c r="B1335" s="7" t="s">
        <v>67</v>
      </c>
      <c r="C1335" s="7" t="s">
        <v>38</v>
      </c>
      <c r="D1335" s="7">
        <v>40</v>
      </c>
      <c r="E1335" s="59">
        <v>280000</v>
      </c>
      <c r="F1335" s="7" t="s">
        <v>35</v>
      </c>
      <c r="G1335" s="7" t="s">
        <v>279</v>
      </c>
      <c r="H1335" s="66" t="s">
        <v>245</v>
      </c>
      <c r="I1335" s="67">
        <v>7000</v>
      </c>
      <c r="J1335" s="66" t="s">
        <v>246</v>
      </c>
    </row>
    <row r="1336" spans="2:10" x14ac:dyDescent="0.35">
      <c r="B1336" s="7" t="s">
        <v>68</v>
      </c>
      <c r="C1336" s="7" t="s">
        <v>69</v>
      </c>
      <c r="D1336" s="7">
        <v>80</v>
      </c>
      <c r="E1336" s="59">
        <v>280000</v>
      </c>
      <c r="F1336" s="7" t="s">
        <v>35</v>
      </c>
      <c r="G1336" s="7" t="s">
        <v>279</v>
      </c>
      <c r="H1336" s="66" t="s">
        <v>245</v>
      </c>
      <c r="I1336" s="67">
        <v>3500</v>
      </c>
      <c r="J1336" s="66" t="s">
        <v>246</v>
      </c>
    </row>
    <row r="1337" spans="2:10" x14ac:dyDescent="0.35">
      <c r="B1337" s="7" t="s">
        <v>33</v>
      </c>
      <c r="C1337" s="7" t="s">
        <v>34</v>
      </c>
      <c r="D1337" s="7">
        <v>145</v>
      </c>
      <c r="E1337" s="59">
        <v>478500</v>
      </c>
      <c r="F1337" s="7" t="s">
        <v>35</v>
      </c>
      <c r="G1337" s="7" t="s">
        <v>279</v>
      </c>
      <c r="H1337" s="66" t="s">
        <v>245</v>
      </c>
      <c r="I1337" s="67">
        <v>3300</v>
      </c>
      <c r="J1337" s="66" t="s">
        <v>246</v>
      </c>
    </row>
    <row r="1338" spans="2:10" x14ac:dyDescent="0.35">
      <c r="B1338" s="7" t="s">
        <v>257</v>
      </c>
      <c r="C1338" s="7" t="s">
        <v>66</v>
      </c>
      <c r="D1338" s="7">
        <v>60</v>
      </c>
      <c r="E1338" s="59">
        <v>280000</v>
      </c>
      <c r="F1338" s="7" t="s">
        <v>35</v>
      </c>
      <c r="G1338" s="7" t="s">
        <v>279</v>
      </c>
      <c r="H1338" s="66" t="s">
        <v>245</v>
      </c>
      <c r="I1338" s="67">
        <v>4666.666666666667</v>
      </c>
      <c r="J1338" s="66" t="s">
        <v>246</v>
      </c>
    </row>
    <row r="1339" spans="2:10" x14ac:dyDescent="0.35">
      <c r="B1339" s="7" t="s">
        <v>71</v>
      </c>
      <c r="C1339" s="7" t="s">
        <v>43</v>
      </c>
      <c r="D1339" s="7">
        <v>50</v>
      </c>
      <c r="E1339" s="59">
        <v>1400000</v>
      </c>
      <c r="F1339" s="7" t="s">
        <v>35</v>
      </c>
      <c r="G1339" s="7" t="s">
        <v>279</v>
      </c>
      <c r="H1339" s="66" t="s">
        <v>245</v>
      </c>
      <c r="I1339" s="67">
        <v>28000</v>
      </c>
      <c r="J1339" s="66" t="s">
        <v>246</v>
      </c>
    </row>
    <row r="1340" spans="2:10" x14ac:dyDescent="0.35">
      <c r="B1340" s="7" t="s">
        <v>258</v>
      </c>
      <c r="C1340" s="7" t="s">
        <v>259</v>
      </c>
      <c r="D1340" s="7">
        <v>95</v>
      </c>
      <c r="E1340" s="59">
        <v>323000</v>
      </c>
      <c r="F1340" s="7" t="s">
        <v>35</v>
      </c>
      <c r="G1340" s="7" t="s">
        <v>279</v>
      </c>
      <c r="H1340" s="66" t="s">
        <v>245</v>
      </c>
      <c r="I1340" s="67">
        <v>3400</v>
      </c>
      <c r="J1340" s="66" t="s">
        <v>246</v>
      </c>
    </row>
    <row r="1341" spans="2:10" x14ac:dyDescent="0.35">
      <c r="B1341" s="7" t="s">
        <v>72</v>
      </c>
      <c r="C1341" s="7" t="s">
        <v>73</v>
      </c>
      <c r="D1341" s="7">
        <v>230</v>
      </c>
      <c r="E1341" s="59">
        <v>713000</v>
      </c>
      <c r="F1341" s="7" t="s">
        <v>35</v>
      </c>
      <c r="G1341" s="7" t="s">
        <v>279</v>
      </c>
      <c r="H1341" s="66" t="s">
        <v>245</v>
      </c>
      <c r="I1341" s="67">
        <v>3100</v>
      </c>
      <c r="J1341" s="66" t="s">
        <v>246</v>
      </c>
    </row>
    <row r="1342" spans="2:10" x14ac:dyDescent="0.35">
      <c r="B1342" s="7" t="s">
        <v>56</v>
      </c>
      <c r="C1342" s="7" t="s">
        <v>57</v>
      </c>
      <c r="D1342" s="7">
        <v>50</v>
      </c>
      <c r="E1342" s="59">
        <v>280000</v>
      </c>
      <c r="F1342" s="7" t="s">
        <v>35</v>
      </c>
      <c r="G1342" s="7" t="s">
        <v>279</v>
      </c>
      <c r="H1342" s="66" t="s">
        <v>245</v>
      </c>
      <c r="I1342" s="67">
        <v>5600</v>
      </c>
      <c r="J1342" s="66" t="s">
        <v>246</v>
      </c>
    </row>
    <row r="1343" spans="2:10" x14ac:dyDescent="0.35">
      <c r="B1343" s="7" t="s">
        <v>260</v>
      </c>
      <c r="C1343" s="7" t="s">
        <v>261</v>
      </c>
      <c r="D1343" s="7">
        <v>225</v>
      </c>
      <c r="E1343" s="59">
        <v>697500</v>
      </c>
      <c r="F1343" s="7" t="s">
        <v>35</v>
      </c>
      <c r="G1343" s="7" t="s">
        <v>279</v>
      </c>
      <c r="H1343" s="66" t="s">
        <v>245</v>
      </c>
      <c r="I1343" s="67">
        <v>3100</v>
      </c>
      <c r="J1343" s="66" t="s">
        <v>246</v>
      </c>
    </row>
    <row r="1344" spans="2:10" x14ac:dyDescent="0.35">
      <c r="B1344" s="7" t="s">
        <v>74</v>
      </c>
      <c r="C1344" s="7" t="s">
        <v>75</v>
      </c>
      <c r="D1344" s="7">
        <v>60</v>
      </c>
      <c r="E1344" s="59">
        <v>280000</v>
      </c>
      <c r="F1344" s="7" t="s">
        <v>35</v>
      </c>
      <c r="G1344" s="7" t="s">
        <v>279</v>
      </c>
      <c r="H1344" s="66" t="s">
        <v>245</v>
      </c>
      <c r="I1344" s="67">
        <v>4666.666666666667</v>
      </c>
      <c r="J1344" s="66" t="s">
        <v>246</v>
      </c>
    </row>
    <row r="1345" spans="2:10" x14ac:dyDescent="0.35">
      <c r="B1345" s="7" t="s">
        <v>275</v>
      </c>
      <c r="C1345" s="7" t="s">
        <v>276</v>
      </c>
      <c r="D1345" s="7">
        <v>70</v>
      </c>
      <c r="E1345" s="59">
        <v>280000</v>
      </c>
      <c r="F1345" s="7" t="s">
        <v>35</v>
      </c>
      <c r="G1345" s="7" t="s">
        <v>279</v>
      </c>
      <c r="H1345" s="66" t="s">
        <v>245</v>
      </c>
      <c r="I1345" s="67">
        <v>4000</v>
      </c>
      <c r="J1345" s="66" t="s">
        <v>246</v>
      </c>
    </row>
    <row r="1346" spans="2:10" x14ac:dyDescent="0.35">
      <c r="B1346" s="7" t="s">
        <v>76</v>
      </c>
      <c r="C1346" s="7" t="s">
        <v>262</v>
      </c>
      <c r="D1346" s="7">
        <v>55</v>
      </c>
      <c r="E1346" s="59">
        <v>280000</v>
      </c>
      <c r="F1346" s="7" t="s">
        <v>35</v>
      </c>
      <c r="G1346" s="7" t="s">
        <v>279</v>
      </c>
      <c r="H1346" s="66" t="s">
        <v>245</v>
      </c>
      <c r="I1346" s="67">
        <v>5090.909090909091</v>
      </c>
      <c r="J1346" s="66" t="s">
        <v>246</v>
      </c>
    </row>
    <row r="1347" spans="2:10" x14ac:dyDescent="0.35">
      <c r="B1347" s="7" t="s">
        <v>96</v>
      </c>
      <c r="C1347" s="7" t="s">
        <v>255</v>
      </c>
      <c r="D1347" s="7">
        <v>60</v>
      </c>
      <c r="E1347" s="59">
        <v>280000</v>
      </c>
      <c r="F1347" s="7" t="s">
        <v>35</v>
      </c>
      <c r="G1347" s="7" t="s">
        <v>279</v>
      </c>
      <c r="H1347" s="66" t="s">
        <v>245</v>
      </c>
      <c r="I1347" s="67">
        <v>4666.666666666667</v>
      </c>
      <c r="J1347" s="66" t="s">
        <v>246</v>
      </c>
    </row>
    <row r="1348" spans="2:10" x14ac:dyDescent="0.35">
      <c r="B1348" s="7" t="s">
        <v>263</v>
      </c>
      <c r="C1348" s="7" t="s">
        <v>264</v>
      </c>
      <c r="D1348" s="7">
        <v>250</v>
      </c>
      <c r="E1348" s="59">
        <v>775000</v>
      </c>
      <c r="F1348" s="7" t="s">
        <v>35</v>
      </c>
      <c r="G1348" s="7" t="s">
        <v>279</v>
      </c>
      <c r="H1348" s="66" t="s">
        <v>245</v>
      </c>
      <c r="I1348" s="67">
        <v>3100</v>
      </c>
      <c r="J1348" s="66" t="s">
        <v>246</v>
      </c>
    </row>
    <row r="1349" spans="2:10" x14ac:dyDescent="0.35">
      <c r="B1349" s="7" t="s">
        <v>37</v>
      </c>
      <c r="C1349" s="7" t="s">
        <v>38</v>
      </c>
      <c r="D1349" s="7">
        <v>108</v>
      </c>
      <c r="E1349" s="59">
        <v>480000</v>
      </c>
      <c r="F1349" s="7" t="s">
        <v>280</v>
      </c>
      <c r="G1349" s="7" t="s">
        <v>281</v>
      </c>
      <c r="H1349" s="66" t="s">
        <v>245</v>
      </c>
      <c r="I1349" s="67">
        <v>4444.4444444444443</v>
      </c>
      <c r="J1349" s="66" t="s">
        <v>246</v>
      </c>
    </row>
    <row r="1350" spans="2:10" x14ac:dyDescent="0.35">
      <c r="B1350" s="7" t="s">
        <v>40</v>
      </c>
      <c r="C1350" s="7" t="s">
        <v>41</v>
      </c>
      <c r="D1350" s="7">
        <v>264</v>
      </c>
      <c r="E1350" s="59">
        <v>650000</v>
      </c>
      <c r="F1350" s="7" t="s">
        <v>280</v>
      </c>
      <c r="G1350" s="7" t="s">
        <v>281</v>
      </c>
      <c r="H1350" s="66" t="s">
        <v>245</v>
      </c>
      <c r="I1350" s="67">
        <v>2462.121212121212</v>
      </c>
      <c r="J1350" s="66" t="s">
        <v>246</v>
      </c>
    </row>
    <row r="1351" spans="2:10" x14ac:dyDescent="0.35">
      <c r="B1351" s="7" t="s">
        <v>247</v>
      </c>
      <c r="C1351" s="7" t="s">
        <v>248</v>
      </c>
      <c r="D1351" s="7">
        <v>258</v>
      </c>
      <c r="E1351" s="59">
        <v>620000</v>
      </c>
      <c r="F1351" s="7" t="s">
        <v>280</v>
      </c>
      <c r="G1351" s="7" t="s">
        <v>281</v>
      </c>
      <c r="H1351" s="66" t="s">
        <v>245</v>
      </c>
      <c r="I1351" s="67">
        <v>2403.1007751937987</v>
      </c>
      <c r="J1351" s="66" t="s">
        <v>246</v>
      </c>
    </row>
    <row r="1352" spans="2:10" x14ac:dyDescent="0.35">
      <c r="B1352" s="7" t="s">
        <v>251</v>
      </c>
      <c r="C1352" s="7" t="s">
        <v>252</v>
      </c>
      <c r="D1352" s="7">
        <v>143</v>
      </c>
      <c r="E1352" s="59">
        <v>510000</v>
      </c>
      <c r="F1352" s="7" t="s">
        <v>280</v>
      </c>
      <c r="G1352" s="7" t="s">
        <v>281</v>
      </c>
      <c r="H1352" s="66" t="s">
        <v>245</v>
      </c>
      <c r="I1352" s="67">
        <v>3566.4335664335663</v>
      </c>
      <c r="J1352" s="66" t="s">
        <v>246</v>
      </c>
    </row>
    <row r="1353" spans="2:10" x14ac:dyDescent="0.35">
      <c r="B1353" s="7" t="s">
        <v>42</v>
      </c>
      <c r="C1353" s="7" t="s">
        <v>43</v>
      </c>
      <c r="D1353" s="7">
        <v>499</v>
      </c>
      <c r="E1353" s="59">
        <v>1250000</v>
      </c>
      <c r="F1353" s="7" t="s">
        <v>280</v>
      </c>
      <c r="G1353" s="7" t="s">
        <v>281</v>
      </c>
      <c r="H1353" s="66" t="s">
        <v>245</v>
      </c>
      <c r="I1353" s="67">
        <v>2505.0100200400802</v>
      </c>
      <c r="J1353" s="66" t="s">
        <v>246</v>
      </c>
    </row>
    <row r="1354" spans="2:10" x14ac:dyDescent="0.35">
      <c r="B1354" s="7" t="s">
        <v>253</v>
      </c>
      <c r="C1354" s="7" t="s">
        <v>70</v>
      </c>
      <c r="D1354" s="7">
        <v>113</v>
      </c>
      <c r="E1354" s="59">
        <v>450000</v>
      </c>
      <c r="F1354" s="7" t="s">
        <v>280</v>
      </c>
      <c r="G1354" s="7" t="s">
        <v>281</v>
      </c>
      <c r="H1354" s="66" t="s">
        <v>245</v>
      </c>
      <c r="I1354" s="67">
        <v>3982.3008849557523</v>
      </c>
      <c r="J1354" s="66" t="s">
        <v>246</v>
      </c>
    </row>
    <row r="1355" spans="2:10" x14ac:dyDescent="0.35">
      <c r="B1355" s="7" t="s">
        <v>249</v>
      </c>
      <c r="C1355" s="7" t="s">
        <v>44</v>
      </c>
      <c r="D1355" s="7">
        <v>150</v>
      </c>
      <c r="E1355" s="59">
        <v>510000</v>
      </c>
      <c r="F1355" s="7" t="s">
        <v>280</v>
      </c>
      <c r="G1355" s="7" t="s">
        <v>281</v>
      </c>
      <c r="H1355" s="66" t="s">
        <v>245</v>
      </c>
      <c r="I1355" s="67">
        <v>3400</v>
      </c>
      <c r="J1355" s="66" t="s">
        <v>246</v>
      </c>
    </row>
    <row r="1356" spans="2:10" x14ac:dyDescent="0.35">
      <c r="B1356" s="7" t="s">
        <v>29</v>
      </c>
      <c r="C1356" s="7" t="s">
        <v>30</v>
      </c>
      <c r="D1356" s="7">
        <v>240</v>
      </c>
      <c r="E1356" s="59">
        <v>580000</v>
      </c>
      <c r="F1356" s="7" t="s">
        <v>280</v>
      </c>
      <c r="G1356" s="7" t="s">
        <v>281</v>
      </c>
      <c r="H1356" s="66" t="s">
        <v>245</v>
      </c>
      <c r="I1356" s="67">
        <v>2416.6666666666665</v>
      </c>
      <c r="J1356" s="66" t="s">
        <v>246</v>
      </c>
    </row>
    <row r="1357" spans="2:10" x14ac:dyDescent="0.35">
      <c r="B1357" s="7" t="s">
        <v>45</v>
      </c>
      <c r="C1357" s="7" t="s">
        <v>46</v>
      </c>
      <c r="D1357" s="7">
        <v>240</v>
      </c>
      <c r="E1357" s="59">
        <v>620000</v>
      </c>
      <c r="F1357" s="7" t="s">
        <v>280</v>
      </c>
      <c r="G1357" s="7" t="s">
        <v>281</v>
      </c>
      <c r="H1357" s="66" t="s">
        <v>245</v>
      </c>
      <c r="I1357" s="67">
        <v>2583.3333333333335</v>
      </c>
      <c r="J1357" s="66" t="s">
        <v>246</v>
      </c>
    </row>
    <row r="1358" spans="2:10" x14ac:dyDescent="0.35">
      <c r="B1358" s="7" t="s">
        <v>47</v>
      </c>
      <c r="C1358" s="7" t="s">
        <v>48</v>
      </c>
      <c r="D1358" s="7">
        <v>124</v>
      </c>
      <c r="E1358" s="59">
        <v>480000</v>
      </c>
      <c r="F1358" s="7" t="s">
        <v>280</v>
      </c>
      <c r="G1358" s="7" t="s">
        <v>281</v>
      </c>
      <c r="H1358" s="66" t="s">
        <v>245</v>
      </c>
      <c r="I1358" s="67">
        <v>3870.9677419354839</v>
      </c>
      <c r="J1358" s="66" t="s">
        <v>246</v>
      </c>
    </row>
    <row r="1359" spans="2:10" x14ac:dyDescent="0.35">
      <c r="B1359" s="7" t="s">
        <v>95</v>
      </c>
      <c r="C1359" s="7" t="s">
        <v>254</v>
      </c>
      <c r="D1359" s="7">
        <v>208</v>
      </c>
      <c r="E1359" s="59">
        <v>580000</v>
      </c>
      <c r="F1359" s="7" t="s">
        <v>280</v>
      </c>
      <c r="G1359" s="7" t="s">
        <v>281</v>
      </c>
      <c r="H1359" s="66" t="s">
        <v>245</v>
      </c>
      <c r="I1359" s="67">
        <v>2788.4615384615386</v>
      </c>
      <c r="J1359" s="66" t="s">
        <v>246</v>
      </c>
    </row>
    <row r="1360" spans="2:10" x14ac:dyDescent="0.35">
      <c r="B1360" s="7" t="s">
        <v>55</v>
      </c>
      <c r="C1360" s="7" t="s">
        <v>41</v>
      </c>
      <c r="D1360" s="7">
        <v>260</v>
      </c>
      <c r="E1360" s="59">
        <v>650000</v>
      </c>
      <c r="F1360" s="7" t="s">
        <v>280</v>
      </c>
      <c r="G1360" s="7" t="s">
        <v>281</v>
      </c>
      <c r="H1360" s="66" t="s">
        <v>245</v>
      </c>
      <c r="I1360" s="67">
        <v>2500</v>
      </c>
      <c r="J1360" s="66" t="s">
        <v>246</v>
      </c>
    </row>
    <row r="1361" spans="2:10" x14ac:dyDescent="0.35">
      <c r="B1361" s="7" t="s">
        <v>52</v>
      </c>
      <c r="C1361" s="7" t="s">
        <v>53</v>
      </c>
      <c r="D1361" s="7">
        <v>45</v>
      </c>
      <c r="E1361" s="59">
        <v>350000</v>
      </c>
      <c r="F1361" s="7" t="s">
        <v>280</v>
      </c>
      <c r="G1361" s="7" t="s">
        <v>281</v>
      </c>
      <c r="H1361" s="66" t="s">
        <v>245</v>
      </c>
      <c r="I1361" s="67">
        <v>7777.7777777777774</v>
      </c>
      <c r="J1361" s="66" t="s">
        <v>246</v>
      </c>
    </row>
    <row r="1362" spans="2:10" x14ac:dyDescent="0.35">
      <c r="B1362" s="7" t="s">
        <v>58</v>
      </c>
      <c r="C1362" s="7" t="s">
        <v>59</v>
      </c>
      <c r="D1362" s="7">
        <v>98</v>
      </c>
      <c r="E1362" s="59">
        <v>450000</v>
      </c>
      <c r="F1362" s="7" t="s">
        <v>280</v>
      </c>
      <c r="G1362" s="7" t="s">
        <v>281</v>
      </c>
      <c r="H1362" s="66" t="s">
        <v>245</v>
      </c>
      <c r="I1362" s="67">
        <v>4591.8367346938776</v>
      </c>
      <c r="J1362" s="66" t="s">
        <v>246</v>
      </c>
    </row>
    <row r="1363" spans="2:10" x14ac:dyDescent="0.35">
      <c r="B1363" s="7" t="s">
        <v>97</v>
      </c>
      <c r="C1363" s="7" t="s">
        <v>255</v>
      </c>
      <c r="D1363" s="7">
        <v>125</v>
      </c>
      <c r="E1363" s="59">
        <v>480000</v>
      </c>
      <c r="F1363" s="7" t="s">
        <v>280</v>
      </c>
      <c r="G1363" s="7" t="s">
        <v>281</v>
      </c>
      <c r="H1363" s="66" t="s">
        <v>245</v>
      </c>
      <c r="I1363" s="67">
        <v>3840</v>
      </c>
      <c r="J1363" s="66" t="s">
        <v>246</v>
      </c>
    </row>
    <row r="1364" spans="2:10" x14ac:dyDescent="0.35">
      <c r="B1364" s="7" t="s">
        <v>60</v>
      </c>
      <c r="C1364" s="7" t="s">
        <v>61</v>
      </c>
      <c r="D1364" s="7">
        <v>128</v>
      </c>
      <c r="E1364" s="59">
        <v>490000</v>
      </c>
      <c r="F1364" s="7" t="s">
        <v>280</v>
      </c>
      <c r="G1364" s="7" t="s">
        <v>281</v>
      </c>
      <c r="H1364" s="66" t="s">
        <v>245</v>
      </c>
      <c r="I1364" s="67">
        <v>3828.125</v>
      </c>
      <c r="J1364" s="66" t="s">
        <v>246</v>
      </c>
    </row>
    <row r="1365" spans="2:10" x14ac:dyDescent="0.35">
      <c r="B1365" s="7" t="s">
        <v>98</v>
      </c>
      <c r="C1365" s="7" t="s">
        <v>38</v>
      </c>
      <c r="D1365" s="7">
        <v>110</v>
      </c>
      <c r="E1365" s="59">
        <v>480000</v>
      </c>
      <c r="F1365" s="7" t="s">
        <v>280</v>
      </c>
      <c r="G1365" s="7" t="s">
        <v>281</v>
      </c>
      <c r="H1365" s="66" t="s">
        <v>245</v>
      </c>
      <c r="I1365" s="67">
        <v>4363.636363636364</v>
      </c>
      <c r="J1365" s="66" t="s">
        <v>246</v>
      </c>
    </row>
    <row r="1366" spans="2:10" x14ac:dyDescent="0.35">
      <c r="B1366" s="7" t="s">
        <v>65</v>
      </c>
      <c r="C1366" s="7" t="s">
        <v>66</v>
      </c>
      <c r="D1366" s="7">
        <v>110</v>
      </c>
      <c r="E1366" s="59">
        <v>480000</v>
      </c>
      <c r="F1366" s="7" t="s">
        <v>280</v>
      </c>
      <c r="G1366" s="7" t="s">
        <v>281</v>
      </c>
      <c r="H1366" s="66" t="s">
        <v>245</v>
      </c>
      <c r="I1366" s="67">
        <v>4363.636363636364</v>
      </c>
      <c r="J1366" s="66" t="s">
        <v>246</v>
      </c>
    </row>
    <row r="1367" spans="2:10" x14ac:dyDescent="0.35">
      <c r="B1367" s="7" t="s">
        <v>67</v>
      </c>
      <c r="C1367" s="7" t="s">
        <v>38</v>
      </c>
      <c r="D1367" s="7">
        <v>103</v>
      </c>
      <c r="E1367" s="59">
        <v>480000</v>
      </c>
      <c r="F1367" s="7" t="s">
        <v>280</v>
      </c>
      <c r="G1367" s="7" t="s">
        <v>281</v>
      </c>
      <c r="H1367" s="66" t="s">
        <v>245</v>
      </c>
      <c r="I1367" s="67">
        <v>4660.1941747572819</v>
      </c>
      <c r="J1367" s="66" t="s">
        <v>246</v>
      </c>
    </row>
    <row r="1368" spans="2:10" x14ac:dyDescent="0.35">
      <c r="B1368" s="7" t="s">
        <v>68</v>
      </c>
      <c r="C1368" s="7" t="s">
        <v>69</v>
      </c>
      <c r="D1368" s="7">
        <v>131</v>
      </c>
      <c r="E1368" s="59">
        <v>510000</v>
      </c>
      <c r="F1368" s="7" t="s">
        <v>280</v>
      </c>
      <c r="G1368" s="7" t="s">
        <v>281</v>
      </c>
      <c r="H1368" s="66" t="s">
        <v>245</v>
      </c>
      <c r="I1368" s="67">
        <v>3893.1297709923665</v>
      </c>
      <c r="J1368" s="66" t="s">
        <v>246</v>
      </c>
    </row>
    <row r="1369" spans="2:10" x14ac:dyDescent="0.35">
      <c r="B1369" s="7" t="s">
        <v>33</v>
      </c>
      <c r="C1369" s="7" t="s">
        <v>34</v>
      </c>
      <c r="D1369" s="7">
        <v>85</v>
      </c>
      <c r="E1369" s="59">
        <v>510000</v>
      </c>
      <c r="F1369" s="7" t="s">
        <v>280</v>
      </c>
      <c r="G1369" s="7" t="s">
        <v>281</v>
      </c>
      <c r="H1369" s="66" t="s">
        <v>245</v>
      </c>
      <c r="I1369" s="67">
        <v>6000</v>
      </c>
      <c r="J1369" s="66" t="s">
        <v>246</v>
      </c>
    </row>
    <row r="1370" spans="2:10" x14ac:dyDescent="0.35">
      <c r="B1370" s="7" t="s">
        <v>257</v>
      </c>
      <c r="C1370" s="7" t="s">
        <v>66</v>
      </c>
      <c r="D1370" s="7">
        <v>118</v>
      </c>
      <c r="E1370" s="59">
        <v>510000</v>
      </c>
      <c r="F1370" s="7" t="s">
        <v>280</v>
      </c>
      <c r="G1370" s="7" t="s">
        <v>281</v>
      </c>
      <c r="H1370" s="66" t="s">
        <v>245</v>
      </c>
      <c r="I1370" s="67">
        <v>4322.0338983050851</v>
      </c>
      <c r="J1370" s="66" t="s">
        <v>246</v>
      </c>
    </row>
    <row r="1371" spans="2:10" x14ac:dyDescent="0.35">
      <c r="B1371" s="7" t="s">
        <v>71</v>
      </c>
      <c r="C1371" s="7" t="s">
        <v>43</v>
      </c>
      <c r="D1371" s="7">
        <v>549</v>
      </c>
      <c r="E1371" s="59">
        <v>1250000</v>
      </c>
      <c r="F1371" s="7" t="s">
        <v>280</v>
      </c>
      <c r="G1371" s="7" t="s">
        <v>281</v>
      </c>
      <c r="H1371" s="66" t="s">
        <v>245</v>
      </c>
      <c r="I1371" s="67">
        <v>2276.8670309653917</v>
      </c>
      <c r="J1371" s="66" t="s">
        <v>246</v>
      </c>
    </row>
    <row r="1372" spans="2:10" x14ac:dyDescent="0.35">
      <c r="B1372" s="7" t="s">
        <v>258</v>
      </c>
      <c r="C1372" s="7" t="s">
        <v>259</v>
      </c>
      <c r="D1372" s="7">
        <v>144</v>
      </c>
      <c r="E1372" s="59">
        <v>580000</v>
      </c>
      <c r="F1372" s="7" t="s">
        <v>280</v>
      </c>
      <c r="G1372" s="7" t="s">
        <v>281</v>
      </c>
      <c r="H1372" s="66" t="s">
        <v>245</v>
      </c>
      <c r="I1372" s="67">
        <v>4027.7777777777778</v>
      </c>
      <c r="J1372" s="66" t="s">
        <v>246</v>
      </c>
    </row>
    <row r="1373" spans="2:10" x14ac:dyDescent="0.35">
      <c r="B1373" s="7" t="s">
        <v>72</v>
      </c>
      <c r="C1373" s="7" t="s">
        <v>73</v>
      </c>
      <c r="D1373" s="7">
        <v>165</v>
      </c>
      <c r="E1373" s="59">
        <v>580000</v>
      </c>
      <c r="F1373" s="7" t="s">
        <v>280</v>
      </c>
      <c r="G1373" s="7" t="s">
        <v>281</v>
      </c>
      <c r="H1373" s="66" t="s">
        <v>245</v>
      </c>
      <c r="I1373" s="67">
        <v>3515.151515151515</v>
      </c>
      <c r="J1373" s="66" t="s">
        <v>246</v>
      </c>
    </row>
    <row r="1374" spans="2:10" x14ac:dyDescent="0.35">
      <c r="B1374" s="7" t="s">
        <v>56</v>
      </c>
      <c r="C1374" s="7" t="s">
        <v>57</v>
      </c>
      <c r="D1374" s="7">
        <v>100</v>
      </c>
      <c r="E1374" s="59">
        <v>480000</v>
      </c>
      <c r="F1374" s="7" t="s">
        <v>280</v>
      </c>
      <c r="G1374" s="7" t="s">
        <v>281</v>
      </c>
      <c r="H1374" s="66" t="s">
        <v>245</v>
      </c>
      <c r="I1374" s="67">
        <v>4800</v>
      </c>
      <c r="J1374" s="66" t="s">
        <v>246</v>
      </c>
    </row>
    <row r="1375" spans="2:10" x14ac:dyDescent="0.35">
      <c r="B1375" s="7" t="s">
        <v>260</v>
      </c>
      <c r="C1375" s="7" t="s">
        <v>261</v>
      </c>
      <c r="D1375" s="7">
        <v>162</v>
      </c>
      <c r="E1375" s="59">
        <v>550000</v>
      </c>
      <c r="F1375" s="7" t="s">
        <v>280</v>
      </c>
      <c r="G1375" s="7" t="s">
        <v>281</v>
      </c>
      <c r="H1375" s="66" t="s">
        <v>245</v>
      </c>
      <c r="I1375" s="67">
        <v>3395.0617283950619</v>
      </c>
      <c r="J1375" s="66" t="s">
        <v>246</v>
      </c>
    </row>
    <row r="1376" spans="2:10" x14ac:dyDescent="0.35">
      <c r="B1376" s="7" t="s">
        <v>96</v>
      </c>
      <c r="C1376" s="7" t="s">
        <v>255</v>
      </c>
      <c r="D1376" s="7">
        <v>122</v>
      </c>
      <c r="E1376" s="59">
        <v>520000</v>
      </c>
      <c r="F1376" s="7" t="s">
        <v>280</v>
      </c>
      <c r="G1376" s="7" t="s">
        <v>281</v>
      </c>
      <c r="H1376" s="66" t="s">
        <v>245</v>
      </c>
      <c r="I1376" s="67">
        <v>4262.2950819672133</v>
      </c>
      <c r="J1376" s="66" t="s">
        <v>246</v>
      </c>
    </row>
    <row r="1377" spans="2:10" x14ac:dyDescent="0.35">
      <c r="B1377" s="7" t="s">
        <v>263</v>
      </c>
      <c r="C1377" s="7" t="s">
        <v>264</v>
      </c>
      <c r="D1377" s="7">
        <v>162</v>
      </c>
      <c r="E1377" s="59">
        <v>750000</v>
      </c>
      <c r="F1377" s="7" t="s">
        <v>280</v>
      </c>
      <c r="G1377" s="7" t="s">
        <v>281</v>
      </c>
      <c r="H1377" s="66" t="s">
        <v>245</v>
      </c>
      <c r="I1377" s="67">
        <v>4629.6296296296296</v>
      </c>
      <c r="J1377" s="66" t="s">
        <v>246</v>
      </c>
    </row>
  </sheetData>
  <autoFilter ref="B6:J1377" xr:uid="{28C1FCEC-AA73-48F1-A033-24093A727407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8105E-F5A7-47B7-8894-3D78A57D936A}">
  <sheetPr codeName="Sheet7">
    <tabColor rgb="FFFFFF00"/>
  </sheetPr>
  <dimension ref="A1:DL157"/>
  <sheetViews>
    <sheetView showGridLines="0" topLeftCell="B9" workbookViewId="0">
      <selection activeCell="Z16" sqref="Z16:AC28"/>
    </sheetView>
  </sheetViews>
  <sheetFormatPr baseColWidth="10" defaultColWidth="11.453125" defaultRowHeight="13" x14ac:dyDescent="0.3"/>
  <cols>
    <col min="1" max="1" width="30.6328125" style="86" bestFit="1" customWidth="1"/>
    <col min="2" max="2" width="14.26953125" style="86" customWidth="1"/>
    <col min="3" max="3" width="13.54296875" style="86" customWidth="1"/>
    <col min="4" max="7" width="10.26953125" style="86" customWidth="1"/>
    <col min="8" max="8" width="19.26953125" style="86" customWidth="1"/>
    <col min="9" max="9" width="15.26953125" style="86" customWidth="1"/>
    <col min="10" max="10" width="12.1796875" style="86" customWidth="1"/>
    <col min="11" max="11" width="10.26953125" style="86" customWidth="1"/>
    <col min="12" max="12" width="12.54296875" style="87" customWidth="1"/>
    <col min="13" max="13" width="45.453125" style="86" customWidth="1"/>
    <col min="14" max="14" width="14.7265625" style="88" customWidth="1"/>
    <col min="15" max="15" width="18.7265625" style="86" customWidth="1"/>
    <col min="16" max="16" width="18" style="86" customWidth="1"/>
    <col min="17" max="17" width="22" style="86" customWidth="1"/>
    <col min="18" max="19" width="10.7265625" style="86" customWidth="1"/>
    <col min="20" max="20" width="16.26953125" style="86" customWidth="1"/>
    <col min="21" max="21" width="13.81640625" style="86" customWidth="1"/>
    <col min="22" max="22" width="17.1796875" style="86" bestFit="1" customWidth="1"/>
    <col min="23" max="23" width="15.1796875" style="86" bestFit="1" customWidth="1"/>
    <col min="24" max="24" width="15.7265625" style="86" bestFit="1" customWidth="1"/>
    <col min="25" max="25" width="15" style="86" bestFit="1" customWidth="1"/>
    <col min="26" max="26" width="12.26953125" style="86" customWidth="1"/>
    <col min="27" max="27" width="13.453125" style="86" customWidth="1"/>
    <col min="28" max="32" width="13" style="86" customWidth="1"/>
    <col min="33" max="33" width="12.26953125" style="86" customWidth="1"/>
    <col min="34" max="34" width="13.453125" style="86" customWidth="1"/>
    <col min="35" max="45" width="13" style="86" customWidth="1"/>
    <col min="46" max="50" width="13" style="91" customWidth="1"/>
    <col min="51" max="51" width="15" style="91" customWidth="1"/>
    <col min="52" max="102" width="11.453125" style="91"/>
    <col min="103" max="16384" width="11.453125" style="86"/>
  </cols>
  <sheetData>
    <row r="1" spans="2:107" x14ac:dyDescent="0.3">
      <c r="X1" s="89"/>
      <c r="Y1" s="89"/>
      <c r="Z1" s="90"/>
      <c r="AA1" s="89" t="s">
        <v>105</v>
      </c>
      <c r="AB1" s="89"/>
      <c r="AC1" s="89" t="s">
        <v>106</v>
      </c>
      <c r="AD1" s="89">
        <v>45572</v>
      </c>
      <c r="AE1" s="89">
        <v>45573</v>
      </c>
      <c r="AF1" s="89">
        <v>45574</v>
      </c>
      <c r="AG1" s="90">
        <v>45575</v>
      </c>
      <c r="AH1" s="89">
        <v>45576</v>
      </c>
      <c r="AI1" s="89">
        <v>45577</v>
      </c>
      <c r="AJ1" s="89">
        <v>45578</v>
      </c>
      <c r="AK1" s="89">
        <v>45579</v>
      </c>
      <c r="AL1" s="89">
        <v>45580</v>
      </c>
      <c r="AM1" s="89">
        <v>45581</v>
      </c>
      <c r="AN1" s="89">
        <v>45582</v>
      </c>
      <c r="AO1" s="89">
        <v>45583</v>
      </c>
      <c r="AP1" s="89">
        <v>45584</v>
      </c>
      <c r="AQ1" s="89">
        <v>45585</v>
      </c>
      <c r="AR1" s="89">
        <v>45586</v>
      </c>
      <c r="AS1" s="89">
        <v>45587</v>
      </c>
      <c r="AT1" s="89">
        <v>45588</v>
      </c>
      <c r="AU1" s="89">
        <v>45589</v>
      </c>
      <c r="AV1" s="89">
        <v>45590</v>
      </c>
      <c r="AW1" s="89">
        <v>45591</v>
      </c>
      <c r="AX1" s="89">
        <v>45592</v>
      </c>
      <c r="AZ1" s="91" t="s">
        <v>185</v>
      </c>
      <c r="BA1" s="91" t="s">
        <v>186</v>
      </c>
      <c r="BB1" s="91" t="e">
        <v>#REF!</v>
      </c>
      <c r="BC1" s="91" t="s">
        <v>113</v>
      </c>
    </row>
    <row r="2" spans="2:107" ht="14.5" x14ac:dyDescent="0.35">
      <c r="X2" s="92"/>
      <c r="Y2" s="93"/>
      <c r="Z2" s="94"/>
      <c r="AA2" s="95" t="s">
        <v>4</v>
      </c>
      <c r="AB2" s="95"/>
      <c r="AC2" s="95">
        <v>600000</v>
      </c>
      <c r="AD2" s="95">
        <v>0</v>
      </c>
      <c r="AE2" s="95">
        <v>0</v>
      </c>
      <c r="AF2" s="95">
        <v>0</v>
      </c>
      <c r="AG2" s="94">
        <v>0</v>
      </c>
      <c r="AH2" s="95">
        <v>0</v>
      </c>
      <c r="AI2" s="95">
        <v>0</v>
      </c>
      <c r="AJ2" s="95">
        <v>0</v>
      </c>
      <c r="AK2" s="95">
        <v>0</v>
      </c>
      <c r="AL2" s="95">
        <v>0</v>
      </c>
      <c r="AM2" s="95">
        <v>0</v>
      </c>
      <c r="AN2" s="95">
        <v>1000</v>
      </c>
      <c r="AO2" s="95">
        <v>1000</v>
      </c>
      <c r="AP2" s="95">
        <v>1000</v>
      </c>
      <c r="AQ2" s="95">
        <v>1000</v>
      </c>
      <c r="AR2" s="95">
        <v>4000</v>
      </c>
      <c r="AS2" s="95">
        <v>5800</v>
      </c>
      <c r="AT2" s="95">
        <v>5500</v>
      </c>
      <c r="AU2" s="95">
        <v>8700</v>
      </c>
      <c r="AV2" s="95">
        <v>8500</v>
      </c>
      <c r="AW2" s="95">
        <v>15200</v>
      </c>
      <c r="AX2" s="95">
        <v>14000</v>
      </c>
      <c r="AZ2" s="91">
        <v>4000</v>
      </c>
      <c r="BA2" s="91">
        <v>61700</v>
      </c>
      <c r="BB2" s="91" t="e">
        <v>#REF!</v>
      </c>
      <c r="BC2" s="91">
        <v>65700</v>
      </c>
    </row>
    <row r="3" spans="2:107" ht="14.5" x14ac:dyDescent="0.35">
      <c r="X3" s="96"/>
      <c r="Y3" s="97"/>
      <c r="Z3" s="98"/>
      <c r="AA3" s="99" t="s">
        <v>0</v>
      </c>
      <c r="AB3" s="99"/>
      <c r="AC3" s="99">
        <v>320000</v>
      </c>
      <c r="AD3" s="99">
        <v>0</v>
      </c>
      <c r="AE3" s="99">
        <v>0</v>
      </c>
      <c r="AF3" s="99">
        <v>0</v>
      </c>
      <c r="AG3" s="98">
        <v>0</v>
      </c>
      <c r="AH3" s="99">
        <v>0</v>
      </c>
      <c r="AI3" s="99">
        <v>0</v>
      </c>
      <c r="AJ3" s="99">
        <v>0</v>
      </c>
      <c r="AK3" s="99">
        <v>0</v>
      </c>
      <c r="AL3" s="99">
        <v>0</v>
      </c>
      <c r="AM3" s="99">
        <v>0</v>
      </c>
      <c r="AN3" s="99">
        <v>0</v>
      </c>
      <c r="AO3" s="99">
        <v>0</v>
      </c>
      <c r="AP3" s="99">
        <v>0</v>
      </c>
      <c r="AQ3" s="99">
        <v>0</v>
      </c>
      <c r="AR3" s="99">
        <v>0</v>
      </c>
      <c r="AS3" s="99">
        <v>0</v>
      </c>
      <c r="AT3" s="99">
        <v>0</v>
      </c>
      <c r="AU3" s="99">
        <v>0</v>
      </c>
      <c r="AV3" s="99">
        <v>0</v>
      </c>
      <c r="AW3" s="99">
        <v>0</v>
      </c>
      <c r="AX3" s="99">
        <v>0</v>
      </c>
      <c r="AZ3" s="91">
        <v>0</v>
      </c>
      <c r="BA3" s="91">
        <v>0</v>
      </c>
      <c r="BB3" s="91">
        <v>0</v>
      </c>
      <c r="BC3" s="91">
        <v>0</v>
      </c>
    </row>
    <row r="4" spans="2:107" ht="14.5" x14ac:dyDescent="0.35">
      <c r="X4" s="100"/>
      <c r="Y4" s="101"/>
      <c r="Z4" s="102"/>
      <c r="AA4" s="103" t="s">
        <v>5</v>
      </c>
      <c r="AB4" s="103"/>
      <c r="AC4" s="103">
        <v>200000</v>
      </c>
      <c r="AD4" s="103">
        <v>0</v>
      </c>
      <c r="AE4" s="103">
        <v>0</v>
      </c>
      <c r="AF4" s="103">
        <v>0</v>
      </c>
      <c r="AG4" s="102">
        <v>0</v>
      </c>
      <c r="AH4" s="103">
        <v>0</v>
      </c>
      <c r="AI4" s="103">
        <v>0</v>
      </c>
      <c r="AJ4" s="103">
        <v>0</v>
      </c>
      <c r="AK4" s="103">
        <v>0</v>
      </c>
      <c r="AL4" s="103">
        <v>0</v>
      </c>
      <c r="AM4" s="103">
        <v>0</v>
      </c>
      <c r="AN4" s="103">
        <v>0</v>
      </c>
      <c r="AO4" s="103">
        <v>0</v>
      </c>
      <c r="AP4" s="103">
        <v>0</v>
      </c>
      <c r="AQ4" s="103">
        <v>0</v>
      </c>
      <c r="AR4" s="103">
        <v>0</v>
      </c>
      <c r="AS4" s="103">
        <v>0</v>
      </c>
      <c r="AT4" s="103">
        <v>0</v>
      </c>
      <c r="AU4" s="103">
        <v>0</v>
      </c>
      <c r="AV4" s="103">
        <v>0</v>
      </c>
      <c r="AW4" s="103">
        <v>0</v>
      </c>
      <c r="AX4" s="103">
        <v>0</v>
      </c>
      <c r="AZ4" s="91">
        <v>0</v>
      </c>
      <c r="BA4" s="91">
        <v>0</v>
      </c>
      <c r="BB4" s="91">
        <v>0</v>
      </c>
      <c r="BC4" s="91">
        <v>0</v>
      </c>
    </row>
    <row r="5" spans="2:107" ht="14.5" x14ac:dyDescent="0.35">
      <c r="X5" s="104"/>
      <c r="Y5" s="105"/>
      <c r="Z5" s="106"/>
      <c r="AA5" s="107" t="s">
        <v>6</v>
      </c>
      <c r="AB5" s="107"/>
      <c r="AC5" s="107">
        <v>160000</v>
      </c>
      <c r="AD5" s="107">
        <v>0</v>
      </c>
      <c r="AE5" s="107">
        <v>0</v>
      </c>
      <c r="AF5" s="107">
        <v>0</v>
      </c>
      <c r="AG5" s="106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Z5" s="91">
        <v>0</v>
      </c>
      <c r="BA5" s="91">
        <v>0</v>
      </c>
      <c r="BB5" s="91">
        <v>0</v>
      </c>
      <c r="BC5" s="91">
        <v>0</v>
      </c>
    </row>
    <row r="6" spans="2:107" ht="14.5" x14ac:dyDescent="0.35">
      <c r="X6" s="108"/>
      <c r="Y6" s="109"/>
      <c r="Z6" s="110"/>
      <c r="AA6" s="111" t="s">
        <v>7</v>
      </c>
      <c r="AB6" s="111"/>
      <c r="AC6" s="111"/>
      <c r="AD6" s="111">
        <v>0</v>
      </c>
      <c r="AE6" s="111">
        <v>0</v>
      </c>
      <c r="AF6" s="111">
        <v>0</v>
      </c>
      <c r="AG6" s="110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  <c r="AU6" s="111">
        <v>0</v>
      </c>
      <c r="AV6" s="111">
        <v>0</v>
      </c>
      <c r="AW6" s="111">
        <v>0</v>
      </c>
      <c r="AX6" s="111">
        <v>0</v>
      </c>
      <c r="AZ6" s="91">
        <v>0</v>
      </c>
      <c r="BA6" s="91">
        <v>0</v>
      </c>
      <c r="BB6" s="91">
        <v>0</v>
      </c>
      <c r="BC6" s="91">
        <v>0</v>
      </c>
    </row>
    <row r="7" spans="2:107" ht="14.5" x14ac:dyDescent="0.35">
      <c r="X7" s="112"/>
      <c r="Y7" s="113"/>
      <c r="Z7" s="114"/>
      <c r="AA7" s="115" t="s">
        <v>107</v>
      </c>
      <c r="AB7" s="115"/>
      <c r="AC7" s="115"/>
      <c r="AD7" s="115">
        <v>0</v>
      </c>
      <c r="AE7" s="115">
        <v>0</v>
      </c>
      <c r="AF7" s="115">
        <v>0</v>
      </c>
      <c r="AG7" s="114">
        <v>0</v>
      </c>
      <c r="AH7" s="115">
        <v>0</v>
      </c>
      <c r="AI7" s="115">
        <v>0</v>
      </c>
      <c r="AJ7" s="115">
        <v>0</v>
      </c>
      <c r="AK7" s="115">
        <v>0</v>
      </c>
      <c r="AL7" s="115">
        <v>0</v>
      </c>
      <c r="AM7" s="115">
        <v>0</v>
      </c>
      <c r="AN7" s="115">
        <v>0</v>
      </c>
      <c r="AO7" s="115">
        <v>0</v>
      </c>
      <c r="AP7" s="115">
        <v>0</v>
      </c>
      <c r="AQ7" s="115">
        <v>0</v>
      </c>
      <c r="AR7" s="115">
        <v>0</v>
      </c>
      <c r="AS7" s="115">
        <v>0</v>
      </c>
      <c r="AT7" s="115">
        <v>0</v>
      </c>
      <c r="AU7" s="115">
        <v>0</v>
      </c>
      <c r="AV7" s="115">
        <v>0</v>
      </c>
      <c r="AW7" s="115">
        <v>0</v>
      </c>
      <c r="AX7" s="115">
        <v>0</v>
      </c>
      <c r="AZ7" s="91">
        <v>0</v>
      </c>
      <c r="BA7" s="91">
        <v>0</v>
      </c>
      <c r="BB7" s="91">
        <v>0</v>
      </c>
      <c r="BC7" s="91">
        <v>0</v>
      </c>
    </row>
    <row r="8" spans="2:107" ht="14.5" x14ac:dyDescent="0.35">
      <c r="X8" s="112"/>
      <c r="Y8" s="113"/>
      <c r="Z8" s="114"/>
      <c r="AA8" s="115" t="s">
        <v>108</v>
      </c>
      <c r="AB8" s="115"/>
      <c r="AC8" s="115"/>
      <c r="AD8" s="115">
        <v>0</v>
      </c>
      <c r="AE8" s="115">
        <v>0</v>
      </c>
      <c r="AF8" s="115">
        <v>0</v>
      </c>
      <c r="AG8" s="114">
        <v>0</v>
      </c>
      <c r="AH8" s="115">
        <v>0</v>
      </c>
      <c r="AI8" s="115">
        <v>0</v>
      </c>
      <c r="AJ8" s="115">
        <v>0</v>
      </c>
      <c r="AK8" s="115">
        <v>0</v>
      </c>
      <c r="AL8" s="115">
        <v>0</v>
      </c>
      <c r="AM8" s="115">
        <v>0</v>
      </c>
      <c r="AN8" s="115">
        <v>0</v>
      </c>
      <c r="AO8" s="115">
        <v>0</v>
      </c>
      <c r="AP8" s="115">
        <v>0</v>
      </c>
      <c r="AQ8" s="115">
        <v>0</v>
      </c>
      <c r="AR8" s="115">
        <v>0</v>
      </c>
      <c r="AS8" s="115">
        <v>0</v>
      </c>
      <c r="AT8" s="115">
        <v>0</v>
      </c>
      <c r="AU8" s="115">
        <v>0</v>
      </c>
      <c r="AV8" s="115">
        <v>0</v>
      </c>
      <c r="AW8" s="115">
        <v>0</v>
      </c>
      <c r="AX8" s="115">
        <v>0</v>
      </c>
      <c r="AZ8" s="91">
        <v>0</v>
      </c>
      <c r="BA8" s="91">
        <v>0</v>
      </c>
      <c r="BB8" s="91">
        <v>0</v>
      </c>
      <c r="BC8" s="91">
        <v>0</v>
      </c>
    </row>
    <row r="9" spans="2:107" customFormat="1" ht="14.5" x14ac:dyDescent="0.35">
      <c r="L9" s="54"/>
      <c r="N9" s="45"/>
      <c r="X9" s="116"/>
      <c r="Y9" s="117"/>
      <c r="Z9" s="118"/>
      <c r="AA9" s="117" t="s">
        <v>19</v>
      </c>
      <c r="AB9" s="117"/>
      <c r="AC9" s="117">
        <v>1280000</v>
      </c>
      <c r="AD9" s="117">
        <v>0</v>
      </c>
      <c r="AE9" s="117">
        <v>0</v>
      </c>
      <c r="AF9" s="117">
        <v>0</v>
      </c>
      <c r="AG9" s="118">
        <v>0</v>
      </c>
      <c r="AH9" s="117">
        <v>0</v>
      </c>
      <c r="AI9" s="117">
        <v>0</v>
      </c>
      <c r="AJ9" s="117">
        <v>0</v>
      </c>
      <c r="AK9" s="117">
        <v>0</v>
      </c>
      <c r="AL9" s="117">
        <v>0</v>
      </c>
      <c r="AM9" s="117">
        <v>0</v>
      </c>
      <c r="AN9" s="117">
        <v>1000</v>
      </c>
      <c r="AO9" s="117">
        <v>1000</v>
      </c>
      <c r="AP9" s="117">
        <v>1000</v>
      </c>
      <c r="AQ9" s="117">
        <v>1000</v>
      </c>
      <c r="AR9" s="117">
        <v>4000</v>
      </c>
      <c r="AS9" s="117">
        <v>5800</v>
      </c>
      <c r="AT9" s="117">
        <v>5500</v>
      </c>
      <c r="AU9" s="117">
        <v>8700</v>
      </c>
      <c r="AV9" s="117">
        <v>8500</v>
      </c>
      <c r="AW9" s="117">
        <v>15200</v>
      </c>
      <c r="AX9" s="117">
        <v>14000</v>
      </c>
      <c r="AY9" s="1"/>
      <c r="AZ9" s="1">
        <v>4000</v>
      </c>
      <c r="BA9" s="1">
        <v>61700</v>
      </c>
      <c r="BB9" s="1" t="e">
        <v>#REF!</v>
      </c>
      <c r="BC9" s="1">
        <v>65700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</row>
    <row r="10" spans="2:107" x14ac:dyDescent="0.3">
      <c r="Z10" s="119"/>
      <c r="AA10" s="120"/>
      <c r="AB10" s="120"/>
      <c r="AC10" s="120"/>
      <c r="AD10" s="120"/>
      <c r="AE10" s="120"/>
      <c r="AF10" s="120"/>
      <c r="AG10" s="119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CX10" s="86"/>
    </row>
    <row r="11" spans="2:107" x14ac:dyDescent="0.3">
      <c r="R11" s="121"/>
      <c r="S11" s="121"/>
      <c r="T11" s="121"/>
      <c r="U11" s="121"/>
      <c r="V11" s="121"/>
      <c r="W11" s="121"/>
      <c r="X11" s="121"/>
      <c r="Y11" s="122"/>
      <c r="Z11" s="123"/>
      <c r="AA11" s="124"/>
      <c r="AB11" s="124"/>
      <c r="AC11" s="124" t="s">
        <v>109</v>
      </c>
      <c r="AD11" s="124">
        <v>0</v>
      </c>
      <c r="AE11" s="124">
        <v>0</v>
      </c>
      <c r="AF11" s="125">
        <v>0</v>
      </c>
      <c r="AG11" s="123">
        <v>0</v>
      </c>
      <c r="AH11" s="124">
        <v>0</v>
      </c>
      <c r="AI11" s="124">
        <v>0</v>
      </c>
      <c r="AJ11" s="124">
        <v>0</v>
      </c>
      <c r="AK11" s="124">
        <v>0</v>
      </c>
      <c r="AL11" s="124">
        <v>0</v>
      </c>
      <c r="AM11" s="125">
        <v>0</v>
      </c>
      <c r="AN11" s="124">
        <v>114.94252873563219</v>
      </c>
      <c r="AO11" s="124">
        <v>114.94252873563219</v>
      </c>
      <c r="AP11" s="124">
        <v>114.94252873563219</v>
      </c>
      <c r="AQ11" s="124">
        <v>114.94252873563219</v>
      </c>
      <c r="AR11" s="124">
        <v>459.77011494252878</v>
      </c>
      <c r="AS11" s="124">
        <v>666.66666666666674</v>
      </c>
      <c r="AT11" s="125">
        <v>632.18390804597709</v>
      </c>
      <c r="AU11" s="124">
        <v>1000.0000000000001</v>
      </c>
      <c r="AV11" s="124">
        <v>977.0114942528736</v>
      </c>
      <c r="AW11" s="124">
        <v>1747.1264367816093</v>
      </c>
      <c r="AX11" s="125">
        <v>1609.1954022988507</v>
      </c>
      <c r="AY11" s="91">
        <v>0</v>
      </c>
      <c r="AZ11" s="91">
        <v>459.77011494252878</v>
      </c>
      <c r="BA11" s="91">
        <v>7091.954022988506</v>
      </c>
      <c r="BB11" s="91" t="e">
        <v>#REF!</v>
      </c>
      <c r="BC11" s="91">
        <v>7551.7241379310353</v>
      </c>
      <c r="CW11" s="86"/>
      <c r="CX11" s="86"/>
    </row>
    <row r="12" spans="2:107" x14ac:dyDescent="0.3">
      <c r="R12" s="121"/>
      <c r="S12" s="121"/>
      <c r="T12" s="121"/>
      <c r="U12" s="121"/>
      <c r="V12" s="121"/>
      <c r="W12" s="121"/>
      <c r="X12" s="121"/>
      <c r="Y12" s="126"/>
      <c r="Z12" s="127"/>
      <c r="AA12" s="128"/>
      <c r="AB12" s="128"/>
      <c r="AC12" s="128" t="s">
        <v>110</v>
      </c>
      <c r="AD12" s="128">
        <v>0</v>
      </c>
      <c r="AE12" s="128">
        <v>0</v>
      </c>
      <c r="AF12" s="129">
        <v>0</v>
      </c>
      <c r="AG12" s="127">
        <v>0</v>
      </c>
      <c r="AH12" s="128">
        <v>0</v>
      </c>
      <c r="AI12" s="128">
        <v>0</v>
      </c>
      <c r="AJ12" s="128">
        <v>0</v>
      </c>
      <c r="AK12" s="128">
        <v>0</v>
      </c>
      <c r="AL12" s="128">
        <v>0</v>
      </c>
      <c r="AM12" s="129">
        <v>0</v>
      </c>
      <c r="AN12" s="128">
        <v>160.91954022988506</v>
      </c>
      <c r="AO12" s="128">
        <v>160.91954022988506</v>
      </c>
      <c r="AP12" s="128">
        <v>160.91954022988506</v>
      </c>
      <c r="AQ12" s="128">
        <v>160.91954022988506</v>
      </c>
      <c r="AR12" s="128">
        <v>643.67816091954023</v>
      </c>
      <c r="AS12" s="128">
        <v>933.33333333333337</v>
      </c>
      <c r="AT12" s="129">
        <v>885.0574712643679</v>
      </c>
      <c r="AU12" s="128">
        <v>1400</v>
      </c>
      <c r="AV12" s="128">
        <v>1367.816091954023</v>
      </c>
      <c r="AW12" s="128">
        <v>2445.977011494253</v>
      </c>
      <c r="AX12" s="129">
        <v>2252.8735632183907</v>
      </c>
      <c r="AY12" s="91">
        <v>0</v>
      </c>
      <c r="AZ12" s="91">
        <v>643.67816091954023</v>
      </c>
      <c r="BA12" s="91">
        <v>9928.735632183907</v>
      </c>
      <c r="BB12" s="91" t="e">
        <v>#REF!</v>
      </c>
      <c r="BC12" s="91">
        <v>10572.413793103449</v>
      </c>
      <c r="CW12" s="86"/>
      <c r="CX12" s="86"/>
    </row>
    <row r="13" spans="2:107" ht="15.75" customHeight="1" x14ac:dyDescent="0.3">
      <c r="N13" s="86"/>
      <c r="Y13" s="130"/>
      <c r="Z13" s="131"/>
      <c r="AA13" s="131"/>
      <c r="AB13" s="131"/>
      <c r="AC13" s="131" t="s">
        <v>111</v>
      </c>
      <c r="AD13" s="131">
        <v>0</v>
      </c>
      <c r="AE13" s="131">
        <v>0</v>
      </c>
      <c r="AF13" s="131">
        <v>0</v>
      </c>
      <c r="AG13" s="131">
        <v>0</v>
      </c>
      <c r="AH13" s="131">
        <v>0</v>
      </c>
      <c r="AI13" s="131">
        <v>0</v>
      </c>
      <c r="AJ13" s="131">
        <v>0</v>
      </c>
      <c r="AK13" s="131">
        <v>0</v>
      </c>
      <c r="AL13" s="131">
        <v>0</v>
      </c>
      <c r="AM13" s="131">
        <v>0</v>
      </c>
      <c r="AN13" s="131">
        <v>1000</v>
      </c>
      <c r="AO13" s="131">
        <v>1000</v>
      </c>
      <c r="AP13" s="131">
        <v>1000</v>
      </c>
      <c r="AQ13" s="131">
        <v>1000</v>
      </c>
      <c r="AR13" s="131">
        <v>4000</v>
      </c>
      <c r="AS13" s="131">
        <v>5800</v>
      </c>
      <c r="AT13" s="131">
        <v>5500</v>
      </c>
      <c r="AU13" s="131">
        <v>8700</v>
      </c>
      <c r="AV13" s="131">
        <v>8500</v>
      </c>
      <c r="AW13" s="131">
        <v>15200</v>
      </c>
      <c r="AX13" s="131">
        <v>14000</v>
      </c>
      <c r="AY13" s="91">
        <v>0</v>
      </c>
      <c r="AZ13" s="91">
        <v>4000</v>
      </c>
      <c r="BA13" s="91">
        <v>61700</v>
      </c>
      <c r="BB13" s="91" t="e">
        <v>#REF!</v>
      </c>
      <c r="BC13" s="91">
        <v>65700</v>
      </c>
      <c r="CW13" s="86"/>
      <c r="CX13" s="86"/>
    </row>
    <row r="14" spans="2:107" ht="15.75" customHeight="1" thickBot="1" x14ac:dyDescent="0.35">
      <c r="N14" s="86"/>
      <c r="Y14" s="132"/>
      <c r="Z14" s="322"/>
      <c r="AA14" s="323"/>
      <c r="AB14" s="323"/>
      <c r="AC14" s="323" t="s">
        <v>112</v>
      </c>
      <c r="AD14" s="323" t="s">
        <v>187</v>
      </c>
      <c r="AE14" s="323"/>
      <c r="AF14" s="324"/>
      <c r="AG14" s="325"/>
      <c r="AH14" s="326"/>
      <c r="AI14" s="326"/>
      <c r="AJ14" s="326"/>
      <c r="AK14" s="326" t="s">
        <v>188</v>
      </c>
      <c r="AL14" s="326"/>
      <c r="AM14" s="327"/>
      <c r="AN14" s="323"/>
      <c r="AO14" s="323"/>
      <c r="AP14" s="323"/>
      <c r="AQ14" s="323"/>
      <c r="AR14" s="323" t="s">
        <v>189</v>
      </c>
      <c r="AS14" s="323"/>
      <c r="AT14" s="324"/>
      <c r="AU14" s="133"/>
      <c r="AV14" s="133"/>
      <c r="AW14" s="133"/>
      <c r="AX14" s="133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6"/>
      <c r="CM14" s="86"/>
      <c r="CN14" s="86"/>
      <c r="CO14" s="86"/>
      <c r="CP14" s="86"/>
      <c r="CQ14" s="86"/>
      <c r="CR14" s="86"/>
      <c r="CS14" s="86"/>
      <c r="CT14" s="86"/>
      <c r="CU14" s="86"/>
      <c r="CV14" s="86"/>
      <c r="CW14" s="86"/>
      <c r="CX14" s="86"/>
    </row>
    <row r="15" spans="2:107" s="134" customFormat="1" ht="21.5" thickBot="1" x14ac:dyDescent="0.4">
      <c r="K15" s="328"/>
      <c r="L15" s="329"/>
      <c r="M15" s="330" t="s">
        <v>190</v>
      </c>
      <c r="N15" s="135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7"/>
      <c r="Z15" s="138"/>
      <c r="AA15" s="139"/>
      <c r="AB15" s="139"/>
      <c r="AC15" s="138">
        <v>65700</v>
      </c>
      <c r="AD15" s="312" t="s">
        <v>138</v>
      </c>
      <c r="AE15" s="140" t="s">
        <v>139</v>
      </c>
      <c r="AF15" s="141" t="s">
        <v>140</v>
      </c>
      <c r="AG15" s="139" t="s">
        <v>141</v>
      </c>
      <c r="AH15" s="139" t="s">
        <v>142</v>
      </c>
      <c r="AI15" s="139" t="s">
        <v>143</v>
      </c>
      <c r="AJ15" s="138" t="s">
        <v>144</v>
      </c>
      <c r="AK15" s="138" t="s">
        <v>138</v>
      </c>
      <c r="AL15" s="140" t="s">
        <v>139</v>
      </c>
      <c r="AM15" s="141" t="s">
        <v>140</v>
      </c>
      <c r="AN15" s="142" t="s">
        <v>141</v>
      </c>
      <c r="AO15" s="140" t="s">
        <v>142</v>
      </c>
      <c r="AP15" s="139" t="s">
        <v>143</v>
      </c>
      <c r="AQ15" s="140" t="s">
        <v>144</v>
      </c>
      <c r="AR15" s="139" t="s">
        <v>138</v>
      </c>
      <c r="AS15" s="139" t="s">
        <v>139</v>
      </c>
      <c r="AT15" s="141" t="s">
        <v>140</v>
      </c>
      <c r="AU15" s="143" t="s">
        <v>141</v>
      </c>
      <c r="AV15" s="143" t="s">
        <v>142</v>
      </c>
      <c r="AW15" s="143" t="s">
        <v>143</v>
      </c>
      <c r="AX15" s="144" t="s">
        <v>144</v>
      </c>
      <c r="AY15" s="134" t="s">
        <v>191</v>
      </c>
      <c r="AZ15" s="134" t="s">
        <v>192</v>
      </c>
      <c r="BA15" s="134" t="s">
        <v>193</v>
      </c>
      <c r="BB15" s="134" t="e">
        <v>#REF!</v>
      </c>
      <c r="BC15" s="134" t="s">
        <v>113</v>
      </c>
      <c r="CW15" s="145"/>
      <c r="CX15" s="145"/>
      <c r="CY15" s="145"/>
      <c r="CZ15" s="145"/>
      <c r="DA15" s="145"/>
      <c r="DB15" s="145"/>
      <c r="DC15" s="145"/>
    </row>
    <row r="16" spans="2:107" s="91" customFormat="1" x14ac:dyDescent="0.3">
      <c r="B16" s="146"/>
      <c r="C16" s="147" t="s">
        <v>114</v>
      </c>
      <c r="D16" s="148" t="s">
        <v>194</v>
      </c>
      <c r="E16" s="148" t="s">
        <v>195</v>
      </c>
      <c r="F16" s="148" t="s">
        <v>115</v>
      </c>
      <c r="G16" s="148" t="s">
        <v>116</v>
      </c>
      <c r="H16" s="146" t="s">
        <v>117</v>
      </c>
      <c r="I16" s="146" t="s">
        <v>118</v>
      </c>
      <c r="J16" s="146" t="s">
        <v>119</v>
      </c>
      <c r="K16" s="149" t="s">
        <v>120</v>
      </c>
      <c r="L16" s="149" t="s">
        <v>121</v>
      </c>
      <c r="M16" s="146" t="s">
        <v>122</v>
      </c>
      <c r="N16" s="146" t="s">
        <v>123</v>
      </c>
      <c r="O16" s="146" t="s">
        <v>196</v>
      </c>
      <c r="P16" s="146" t="s">
        <v>124</v>
      </c>
      <c r="Q16" s="146" t="s">
        <v>125</v>
      </c>
      <c r="R16" s="146" t="s">
        <v>197</v>
      </c>
      <c r="S16" s="146" t="s">
        <v>126</v>
      </c>
      <c r="T16" s="146" t="s">
        <v>198</v>
      </c>
      <c r="U16" s="150" t="s">
        <v>127</v>
      </c>
      <c r="V16" s="150" t="s">
        <v>128</v>
      </c>
      <c r="W16" s="150" t="s">
        <v>129</v>
      </c>
      <c r="X16" s="150" t="s">
        <v>130</v>
      </c>
      <c r="Y16" s="150" t="s">
        <v>131</v>
      </c>
      <c r="Z16" s="151" t="s">
        <v>132</v>
      </c>
      <c r="AA16" s="152" t="s">
        <v>133</v>
      </c>
      <c r="AB16" s="152" t="s">
        <v>199</v>
      </c>
      <c r="AC16" s="153" t="s">
        <v>112</v>
      </c>
      <c r="AD16" s="313">
        <v>45572</v>
      </c>
      <c r="AE16" s="152">
        <v>45573</v>
      </c>
      <c r="AF16" s="154">
        <v>45574</v>
      </c>
      <c r="AG16" s="314">
        <v>45575</v>
      </c>
      <c r="AH16" s="315">
        <v>45576</v>
      </c>
      <c r="AI16" s="315">
        <v>45577</v>
      </c>
      <c r="AJ16" s="316">
        <v>45578</v>
      </c>
      <c r="AK16" s="316">
        <v>45579</v>
      </c>
      <c r="AL16" s="315">
        <v>45580</v>
      </c>
      <c r="AM16" s="154">
        <v>45581</v>
      </c>
      <c r="AN16" s="152">
        <v>45582</v>
      </c>
      <c r="AO16" s="152">
        <v>45583</v>
      </c>
      <c r="AP16" s="152">
        <v>45584</v>
      </c>
      <c r="AQ16" s="152">
        <v>45585</v>
      </c>
      <c r="AR16" s="152">
        <v>45586</v>
      </c>
      <c r="AS16" s="152">
        <v>45587</v>
      </c>
      <c r="AT16" s="154">
        <v>45588</v>
      </c>
      <c r="AU16" s="155">
        <v>45589</v>
      </c>
      <c r="AV16" s="155">
        <v>45590</v>
      </c>
      <c r="AW16" s="156">
        <v>45591</v>
      </c>
      <c r="AX16" s="157">
        <v>45592</v>
      </c>
      <c r="AY16" s="91" t="s">
        <v>200</v>
      </c>
      <c r="AZ16" s="91" t="s">
        <v>185</v>
      </c>
      <c r="BA16" s="91" t="s">
        <v>186</v>
      </c>
      <c r="BB16" s="91" t="e">
        <v>#REF!</v>
      </c>
      <c r="BC16" s="91" t="s">
        <v>113</v>
      </c>
      <c r="CW16" s="86"/>
      <c r="CX16" s="86"/>
      <c r="CY16" s="86"/>
      <c r="CZ16" s="86"/>
      <c r="DA16" s="86"/>
      <c r="DB16" s="86"/>
      <c r="DC16" s="86"/>
    </row>
    <row r="17" spans="1:116" x14ac:dyDescent="0.3">
      <c r="A17" s="86" t="s">
        <v>201</v>
      </c>
      <c r="B17" s="158" t="s">
        <v>202</v>
      </c>
      <c r="C17" s="159"/>
      <c r="D17" s="160">
        <v>27.2</v>
      </c>
      <c r="E17" s="160" t="s">
        <v>1</v>
      </c>
      <c r="F17" s="160" t="s">
        <v>145</v>
      </c>
      <c r="G17" s="160" t="s">
        <v>145</v>
      </c>
      <c r="H17" s="161" t="s">
        <v>145</v>
      </c>
      <c r="I17" s="161" t="s">
        <v>145</v>
      </c>
      <c r="J17" s="162" t="s">
        <v>203</v>
      </c>
      <c r="K17" s="163" t="s">
        <v>120</v>
      </c>
      <c r="L17" s="163" t="s">
        <v>204</v>
      </c>
      <c r="M17" s="162">
        <v>3125893</v>
      </c>
      <c r="N17" s="164" t="s">
        <v>205</v>
      </c>
      <c r="O17" s="162" t="s">
        <v>206</v>
      </c>
      <c r="P17" s="165" t="s">
        <v>207</v>
      </c>
      <c r="Q17" s="162" t="s">
        <v>4</v>
      </c>
      <c r="R17" s="166" t="s">
        <v>54</v>
      </c>
      <c r="S17" s="166" t="s">
        <v>208</v>
      </c>
      <c r="T17" s="162" t="s">
        <v>209</v>
      </c>
      <c r="U17" s="167" t="s">
        <v>134</v>
      </c>
      <c r="V17" s="167" t="s">
        <v>134</v>
      </c>
      <c r="W17" s="167" t="s">
        <v>135</v>
      </c>
      <c r="X17" s="167"/>
      <c r="Y17" s="168" t="s">
        <v>146</v>
      </c>
      <c r="Z17" s="169" t="s">
        <v>147</v>
      </c>
      <c r="AA17" s="170" t="s">
        <v>146</v>
      </c>
      <c r="AB17" s="170"/>
      <c r="AC17" s="170">
        <v>2000</v>
      </c>
      <c r="AD17" s="170">
        <v>0</v>
      </c>
      <c r="AE17" s="170">
        <v>0</v>
      </c>
      <c r="AF17" s="171">
        <v>0</v>
      </c>
      <c r="AG17" s="169">
        <v>0</v>
      </c>
      <c r="AH17" s="170">
        <v>0</v>
      </c>
      <c r="AI17" s="170">
        <v>0</v>
      </c>
      <c r="AJ17" s="170">
        <v>0</v>
      </c>
      <c r="AK17" s="170">
        <v>0</v>
      </c>
      <c r="AL17" s="170">
        <v>0</v>
      </c>
      <c r="AM17" s="171">
        <v>0</v>
      </c>
      <c r="AN17" s="170">
        <v>0</v>
      </c>
      <c r="AO17" s="170">
        <v>0</v>
      </c>
      <c r="AP17" s="170">
        <v>0</v>
      </c>
      <c r="AQ17" s="170">
        <v>0</v>
      </c>
      <c r="AR17" s="170">
        <v>0</v>
      </c>
      <c r="AS17" s="170">
        <v>0</v>
      </c>
      <c r="AT17" s="171">
        <v>0</v>
      </c>
      <c r="AU17" s="172">
        <v>0</v>
      </c>
      <c r="AV17" s="172">
        <v>0</v>
      </c>
      <c r="AW17" s="173">
        <v>1000</v>
      </c>
      <c r="AX17" s="174">
        <v>1000</v>
      </c>
      <c r="AY17" s="91">
        <v>0</v>
      </c>
      <c r="AZ17" s="91">
        <v>0</v>
      </c>
      <c r="BA17" s="91">
        <v>2000</v>
      </c>
      <c r="BB17" s="91" t="e">
        <v>#REF!</v>
      </c>
      <c r="BC17" s="91">
        <v>2000</v>
      </c>
      <c r="BD17" s="91">
        <v>0</v>
      </c>
      <c r="BE17" s="91">
        <v>0</v>
      </c>
      <c r="BF17" s="91">
        <v>0</v>
      </c>
      <c r="CW17" s="86"/>
      <c r="CX17" s="86"/>
    </row>
    <row r="18" spans="1:116" x14ac:dyDescent="0.3">
      <c r="A18" s="86" t="s">
        <v>210</v>
      </c>
      <c r="B18" s="158" t="s">
        <v>211</v>
      </c>
      <c r="C18" s="159"/>
      <c r="D18" s="160">
        <v>27.2</v>
      </c>
      <c r="E18" s="160" t="s">
        <v>1</v>
      </c>
      <c r="F18" s="160" t="s">
        <v>145</v>
      </c>
      <c r="G18" s="160" t="s">
        <v>145</v>
      </c>
      <c r="H18" s="161" t="s">
        <v>145</v>
      </c>
      <c r="I18" s="161" t="s">
        <v>145</v>
      </c>
      <c r="J18" s="162" t="s">
        <v>203</v>
      </c>
      <c r="K18" s="163" t="s">
        <v>120</v>
      </c>
      <c r="L18" s="163" t="s">
        <v>204</v>
      </c>
      <c r="M18" s="162">
        <v>3125895</v>
      </c>
      <c r="N18" s="164" t="s">
        <v>205</v>
      </c>
      <c r="O18" s="162" t="s">
        <v>206</v>
      </c>
      <c r="P18" s="165" t="s">
        <v>207</v>
      </c>
      <c r="Q18" s="162" t="s">
        <v>4</v>
      </c>
      <c r="R18" s="166" t="s">
        <v>54</v>
      </c>
      <c r="S18" s="166" t="s">
        <v>208</v>
      </c>
      <c r="T18" s="162" t="s">
        <v>209</v>
      </c>
      <c r="U18" s="167" t="s">
        <v>134</v>
      </c>
      <c r="V18" s="167" t="s">
        <v>134</v>
      </c>
      <c r="W18" s="167" t="s">
        <v>212</v>
      </c>
      <c r="X18" s="167"/>
      <c r="Y18" s="168" t="s">
        <v>149</v>
      </c>
      <c r="Z18" s="169" t="s">
        <v>150</v>
      </c>
      <c r="AA18" s="170" t="s">
        <v>149</v>
      </c>
      <c r="AB18" s="170"/>
      <c r="AC18" s="170">
        <v>5000</v>
      </c>
      <c r="AD18" s="170">
        <v>0</v>
      </c>
      <c r="AE18" s="170">
        <v>0</v>
      </c>
      <c r="AF18" s="171">
        <v>0</v>
      </c>
      <c r="AG18" s="170">
        <v>0</v>
      </c>
      <c r="AH18" s="170">
        <v>0</v>
      </c>
      <c r="AI18" s="170">
        <v>0</v>
      </c>
      <c r="AJ18" s="170">
        <v>0</v>
      </c>
      <c r="AK18" s="170">
        <v>0</v>
      </c>
      <c r="AL18" s="170">
        <v>0</v>
      </c>
      <c r="AM18" s="171">
        <v>0</v>
      </c>
      <c r="AN18" s="170">
        <v>0</v>
      </c>
      <c r="AO18" s="170">
        <v>0</v>
      </c>
      <c r="AP18" s="170">
        <v>0</v>
      </c>
      <c r="AQ18" s="170">
        <v>0</v>
      </c>
      <c r="AR18" s="170">
        <v>0</v>
      </c>
      <c r="AS18" s="170">
        <v>0</v>
      </c>
      <c r="AT18" s="171">
        <v>0</v>
      </c>
      <c r="AU18" s="172">
        <v>1000</v>
      </c>
      <c r="AV18" s="172">
        <v>1000</v>
      </c>
      <c r="AW18" s="173">
        <v>1000</v>
      </c>
      <c r="AX18" s="174">
        <v>2000</v>
      </c>
      <c r="AY18" s="91">
        <v>0</v>
      </c>
      <c r="AZ18" s="91">
        <v>0</v>
      </c>
      <c r="BA18" s="91">
        <v>5000</v>
      </c>
      <c r="BB18" s="91" t="e">
        <v>#REF!</v>
      </c>
      <c r="BC18" s="91">
        <v>5000</v>
      </c>
      <c r="BD18" s="91">
        <v>0</v>
      </c>
      <c r="BE18" s="91">
        <v>0</v>
      </c>
      <c r="BF18" s="91">
        <v>0</v>
      </c>
      <c r="CW18" s="86"/>
      <c r="CX18" s="86"/>
    </row>
    <row r="19" spans="1:116" s="91" customFormat="1" x14ac:dyDescent="0.3">
      <c r="A19" s="86" t="s">
        <v>210</v>
      </c>
      <c r="B19" s="175" t="s">
        <v>213</v>
      </c>
      <c r="C19" s="159"/>
      <c r="D19" s="160">
        <v>27.2</v>
      </c>
      <c r="E19" s="160" t="s">
        <v>1</v>
      </c>
      <c r="F19" s="160" t="s">
        <v>145</v>
      </c>
      <c r="G19" s="160" t="s">
        <v>145</v>
      </c>
      <c r="H19" s="161" t="s">
        <v>145</v>
      </c>
      <c r="I19" s="161" t="s">
        <v>145</v>
      </c>
      <c r="J19" s="162" t="s">
        <v>203</v>
      </c>
      <c r="K19" s="163" t="s">
        <v>120</v>
      </c>
      <c r="L19" s="163" t="s">
        <v>204</v>
      </c>
      <c r="M19" s="162">
        <v>3125895</v>
      </c>
      <c r="N19" s="164" t="s">
        <v>205</v>
      </c>
      <c r="O19" s="162" t="s">
        <v>206</v>
      </c>
      <c r="P19" s="165" t="s">
        <v>207</v>
      </c>
      <c r="Q19" s="162" t="s">
        <v>4</v>
      </c>
      <c r="R19" s="166" t="s">
        <v>54</v>
      </c>
      <c r="S19" s="166" t="s">
        <v>208</v>
      </c>
      <c r="T19" s="177" t="s">
        <v>209</v>
      </c>
      <c r="U19" s="167" t="s">
        <v>134</v>
      </c>
      <c r="V19" s="167" t="s">
        <v>134</v>
      </c>
      <c r="W19" s="167" t="s">
        <v>214</v>
      </c>
      <c r="X19" s="167"/>
      <c r="Y19" s="168" t="s">
        <v>146</v>
      </c>
      <c r="Z19" s="169" t="s">
        <v>147</v>
      </c>
      <c r="AA19" s="169" t="s">
        <v>146</v>
      </c>
      <c r="AB19" s="169"/>
      <c r="AC19" s="169">
        <v>10200</v>
      </c>
      <c r="AD19" s="170">
        <v>0</v>
      </c>
      <c r="AE19" s="170">
        <v>0</v>
      </c>
      <c r="AF19" s="171">
        <v>0</v>
      </c>
      <c r="AG19" s="169">
        <v>0</v>
      </c>
      <c r="AH19" s="170">
        <v>0</v>
      </c>
      <c r="AI19" s="170">
        <v>0</v>
      </c>
      <c r="AJ19" s="170">
        <v>0</v>
      </c>
      <c r="AK19" s="170">
        <v>0</v>
      </c>
      <c r="AL19" s="170">
        <v>0</v>
      </c>
      <c r="AM19" s="171">
        <v>0</v>
      </c>
      <c r="AN19" s="170">
        <v>0</v>
      </c>
      <c r="AO19" s="170">
        <v>0</v>
      </c>
      <c r="AP19" s="170">
        <v>0</v>
      </c>
      <c r="AQ19" s="170">
        <v>0</v>
      </c>
      <c r="AR19" s="170">
        <v>1000</v>
      </c>
      <c r="AS19" s="170">
        <v>1000</v>
      </c>
      <c r="AT19" s="171">
        <v>1000</v>
      </c>
      <c r="AU19" s="172">
        <v>1200</v>
      </c>
      <c r="AV19" s="172">
        <v>1000</v>
      </c>
      <c r="AW19" s="173">
        <v>2000</v>
      </c>
      <c r="AX19" s="174">
        <v>3000</v>
      </c>
      <c r="AY19" s="91">
        <v>0</v>
      </c>
      <c r="AZ19" s="91">
        <v>0</v>
      </c>
      <c r="BA19" s="91">
        <v>10200</v>
      </c>
      <c r="BB19" s="91" t="e">
        <v>#REF!</v>
      </c>
      <c r="BC19" s="91">
        <v>10200</v>
      </c>
      <c r="BD19" s="91">
        <v>0</v>
      </c>
      <c r="BE19" s="91">
        <v>0</v>
      </c>
      <c r="BF19" s="91">
        <v>0</v>
      </c>
      <c r="CW19" s="86"/>
      <c r="CX19" s="86"/>
      <c r="CY19" s="86"/>
      <c r="CZ19" s="86"/>
      <c r="DA19" s="86"/>
      <c r="DB19" s="86"/>
      <c r="DC19" s="86"/>
      <c r="DD19" s="86"/>
      <c r="DE19" s="86"/>
      <c r="DF19" s="86"/>
      <c r="DG19" s="86"/>
      <c r="DH19" s="86"/>
      <c r="DI19" s="86"/>
      <c r="DJ19" s="86"/>
      <c r="DK19" s="86"/>
      <c r="DL19" s="86"/>
    </row>
    <row r="20" spans="1:116" s="91" customFormat="1" x14ac:dyDescent="0.3">
      <c r="A20" s="86" t="s">
        <v>210</v>
      </c>
      <c r="B20" s="175" t="s">
        <v>215</v>
      </c>
      <c r="C20" s="159"/>
      <c r="D20" s="160">
        <v>27.2</v>
      </c>
      <c r="E20" s="160" t="s">
        <v>1</v>
      </c>
      <c r="F20" s="160" t="s">
        <v>145</v>
      </c>
      <c r="G20" s="160" t="s">
        <v>145</v>
      </c>
      <c r="H20" s="161" t="s">
        <v>145</v>
      </c>
      <c r="I20" s="161" t="s">
        <v>145</v>
      </c>
      <c r="J20" s="162" t="s">
        <v>203</v>
      </c>
      <c r="K20" s="163" t="s">
        <v>120</v>
      </c>
      <c r="L20" s="163" t="s">
        <v>204</v>
      </c>
      <c r="M20" s="162">
        <v>3125895</v>
      </c>
      <c r="N20" s="164" t="s">
        <v>205</v>
      </c>
      <c r="O20" s="162" t="s">
        <v>206</v>
      </c>
      <c r="P20" s="165" t="s">
        <v>207</v>
      </c>
      <c r="Q20" s="162" t="s">
        <v>4</v>
      </c>
      <c r="R20" s="166" t="s">
        <v>54</v>
      </c>
      <c r="S20" s="166" t="s">
        <v>208</v>
      </c>
      <c r="T20" s="162" t="s">
        <v>209</v>
      </c>
      <c r="U20" s="167" t="s">
        <v>134</v>
      </c>
      <c r="V20" s="167" t="s">
        <v>134</v>
      </c>
      <c r="W20" s="167" t="s">
        <v>216</v>
      </c>
      <c r="X20" s="167"/>
      <c r="Y20" s="168" t="s">
        <v>146</v>
      </c>
      <c r="Z20" s="169" t="s">
        <v>147</v>
      </c>
      <c r="AA20" s="170" t="s">
        <v>146</v>
      </c>
      <c r="AB20" s="170"/>
      <c r="AC20" s="170">
        <v>8000</v>
      </c>
      <c r="AD20" s="170">
        <v>0</v>
      </c>
      <c r="AE20" s="170">
        <v>0</v>
      </c>
      <c r="AF20" s="171">
        <v>0</v>
      </c>
      <c r="AG20" s="169">
        <v>0</v>
      </c>
      <c r="AH20" s="169">
        <v>0</v>
      </c>
      <c r="AI20" s="169">
        <v>0</v>
      </c>
      <c r="AJ20" s="170">
        <v>0</v>
      </c>
      <c r="AK20" s="170">
        <v>0</v>
      </c>
      <c r="AL20" s="170">
        <v>0</v>
      </c>
      <c r="AM20" s="171">
        <v>0</v>
      </c>
      <c r="AN20" s="170">
        <v>0</v>
      </c>
      <c r="AO20" s="170">
        <v>0</v>
      </c>
      <c r="AP20" s="170">
        <v>0</v>
      </c>
      <c r="AQ20" s="170">
        <v>0</v>
      </c>
      <c r="AR20" s="170">
        <v>1000</v>
      </c>
      <c r="AS20" s="170">
        <v>1000</v>
      </c>
      <c r="AT20" s="171">
        <v>1000</v>
      </c>
      <c r="AU20" s="172">
        <v>1000</v>
      </c>
      <c r="AV20" s="172">
        <v>1000</v>
      </c>
      <c r="AW20" s="173">
        <v>2000</v>
      </c>
      <c r="AX20" s="174">
        <v>1000</v>
      </c>
      <c r="AY20" s="91">
        <v>0</v>
      </c>
      <c r="AZ20" s="91">
        <v>0</v>
      </c>
      <c r="BA20" s="91">
        <v>8000</v>
      </c>
      <c r="BB20" s="91" t="e">
        <v>#REF!</v>
      </c>
      <c r="BC20" s="91">
        <v>8000</v>
      </c>
      <c r="BD20" s="91">
        <v>0</v>
      </c>
      <c r="BE20" s="91">
        <v>0</v>
      </c>
      <c r="BF20" s="91">
        <v>0</v>
      </c>
      <c r="CW20" s="86"/>
      <c r="CX20" s="86"/>
      <c r="CY20" s="86"/>
      <c r="CZ20" s="86"/>
      <c r="DA20" s="86"/>
      <c r="DB20" s="86"/>
      <c r="DC20" s="86"/>
      <c r="DD20" s="86"/>
      <c r="DE20" s="86"/>
      <c r="DF20" s="86"/>
      <c r="DG20" s="86"/>
      <c r="DH20" s="86"/>
      <c r="DI20" s="86"/>
      <c r="DJ20" s="86"/>
      <c r="DK20" s="86"/>
      <c r="DL20" s="86"/>
    </row>
    <row r="21" spans="1:116" s="91" customFormat="1" x14ac:dyDescent="0.3">
      <c r="A21" s="86" t="s">
        <v>210</v>
      </c>
      <c r="B21" s="175" t="s">
        <v>217</v>
      </c>
      <c r="C21" s="159"/>
      <c r="D21" s="160">
        <v>27.2</v>
      </c>
      <c r="E21" s="160" t="s">
        <v>1</v>
      </c>
      <c r="F21" s="160" t="s">
        <v>145</v>
      </c>
      <c r="G21" s="160" t="s">
        <v>145</v>
      </c>
      <c r="H21" s="161" t="s">
        <v>145</v>
      </c>
      <c r="I21" s="161" t="s">
        <v>145</v>
      </c>
      <c r="J21" s="162" t="s">
        <v>203</v>
      </c>
      <c r="K21" s="163" t="s">
        <v>120</v>
      </c>
      <c r="L21" s="163" t="s">
        <v>204</v>
      </c>
      <c r="M21" s="162">
        <v>3125895</v>
      </c>
      <c r="N21" s="164" t="s">
        <v>205</v>
      </c>
      <c r="O21" s="162" t="s">
        <v>206</v>
      </c>
      <c r="P21" s="165" t="s">
        <v>207</v>
      </c>
      <c r="Q21" s="162" t="s">
        <v>4</v>
      </c>
      <c r="R21" s="166" t="s">
        <v>54</v>
      </c>
      <c r="S21" s="166" t="s">
        <v>208</v>
      </c>
      <c r="T21" s="162" t="s">
        <v>209</v>
      </c>
      <c r="U21" s="167" t="s">
        <v>134</v>
      </c>
      <c r="V21" s="167" t="s">
        <v>134</v>
      </c>
      <c r="W21" s="167" t="s">
        <v>218</v>
      </c>
      <c r="X21" s="167"/>
      <c r="Y21" s="168" t="s">
        <v>146</v>
      </c>
      <c r="Z21" s="169" t="s">
        <v>147</v>
      </c>
      <c r="AA21" s="170" t="s">
        <v>146</v>
      </c>
      <c r="AB21" s="170"/>
      <c r="AC21" s="170">
        <v>15700</v>
      </c>
      <c r="AD21" s="170">
        <v>0</v>
      </c>
      <c r="AE21" s="170">
        <v>0</v>
      </c>
      <c r="AF21" s="171">
        <v>0</v>
      </c>
      <c r="AG21" s="170">
        <v>0</v>
      </c>
      <c r="AH21" s="170">
        <v>0</v>
      </c>
      <c r="AI21" s="170">
        <v>0</v>
      </c>
      <c r="AJ21" s="170">
        <v>0</v>
      </c>
      <c r="AK21" s="170">
        <v>0</v>
      </c>
      <c r="AL21" s="170">
        <v>0</v>
      </c>
      <c r="AM21" s="171">
        <v>0</v>
      </c>
      <c r="AN21" s="170">
        <v>1000</v>
      </c>
      <c r="AO21" s="170">
        <v>1000</v>
      </c>
      <c r="AP21" s="170">
        <v>1000</v>
      </c>
      <c r="AQ21" s="170">
        <v>1000</v>
      </c>
      <c r="AR21" s="170">
        <v>1000</v>
      </c>
      <c r="AS21" s="170">
        <v>1200</v>
      </c>
      <c r="AT21" s="171">
        <v>1500</v>
      </c>
      <c r="AU21" s="172">
        <v>1500</v>
      </c>
      <c r="AV21" s="172">
        <v>1500</v>
      </c>
      <c r="AW21" s="173">
        <v>2000</v>
      </c>
      <c r="AX21" s="174">
        <v>3000</v>
      </c>
      <c r="AY21" s="91">
        <v>0</v>
      </c>
      <c r="AZ21" s="91">
        <v>4000</v>
      </c>
      <c r="BA21" s="91">
        <v>11700</v>
      </c>
      <c r="BB21" s="91" t="e">
        <v>#REF!</v>
      </c>
      <c r="BC21" s="91">
        <v>15700</v>
      </c>
      <c r="BD21" s="91">
        <v>0</v>
      </c>
      <c r="BE21" s="91">
        <v>0</v>
      </c>
      <c r="BF21" s="91">
        <v>0</v>
      </c>
      <c r="CW21" s="86"/>
      <c r="CX21" s="86"/>
      <c r="CY21" s="86"/>
      <c r="CZ21" s="86"/>
      <c r="DA21" s="86"/>
      <c r="DB21" s="86"/>
      <c r="DC21" s="86"/>
      <c r="DD21" s="86"/>
      <c r="DE21" s="86"/>
      <c r="DF21" s="86"/>
      <c r="DG21" s="86"/>
      <c r="DH21" s="86"/>
      <c r="DI21" s="86"/>
      <c r="DJ21" s="86"/>
      <c r="DK21" s="86"/>
      <c r="DL21" s="86"/>
    </row>
    <row r="22" spans="1:116" x14ac:dyDescent="0.3">
      <c r="A22" s="86" t="s">
        <v>210</v>
      </c>
      <c r="B22" s="175" t="s">
        <v>219</v>
      </c>
      <c r="C22" s="159"/>
      <c r="D22" s="160">
        <v>27.2</v>
      </c>
      <c r="E22" s="160" t="s">
        <v>1</v>
      </c>
      <c r="F22" s="160" t="s">
        <v>145</v>
      </c>
      <c r="G22" s="160" t="s">
        <v>145</v>
      </c>
      <c r="H22" s="161" t="s">
        <v>145</v>
      </c>
      <c r="I22" s="161" t="s">
        <v>145</v>
      </c>
      <c r="J22" s="162" t="s">
        <v>203</v>
      </c>
      <c r="K22" s="163" t="s">
        <v>120</v>
      </c>
      <c r="L22" s="163" t="s">
        <v>204</v>
      </c>
      <c r="M22" s="162">
        <v>3125895</v>
      </c>
      <c r="N22" s="164" t="s">
        <v>205</v>
      </c>
      <c r="O22" s="162" t="s">
        <v>206</v>
      </c>
      <c r="P22" s="165" t="s">
        <v>207</v>
      </c>
      <c r="Q22" s="162" t="s">
        <v>4</v>
      </c>
      <c r="R22" s="166" t="s">
        <v>54</v>
      </c>
      <c r="S22" s="166" t="s">
        <v>208</v>
      </c>
      <c r="T22" s="162" t="s">
        <v>209</v>
      </c>
      <c r="U22" s="167" t="s">
        <v>134</v>
      </c>
      <c r="V22" s="167" t="s">
        <v>134</v>
      </c>
      <c r="W22" s="167" t="s">
        <v>220</v>
      </c>
      <c r="X22" s="167"/>
      <c r="Y22" s="168" t="s">
        <v>146</v>
      </c>
      <c r="Z22" s="169" t="s">
        <v>147</v>
      </c>
      <c r="AA22" s="170" t="s">
        <v>146</v>
      </c>
      <c r="AB22" s="170"/>
      <c r="AC22" s="170">
        <v>4000</v>
      </c>
      <c r="AD22" s="170">
        <v>0</v>
      </c>
      <c r="AE22" s="170">
        <v>0</v>
      </c>
      <c r="AF22" s="171">
        <v>0</v>
      </c>
      <c r="AG22" s="169">
        <v>0</v>
      </c>
      <c r="AH22" s="170">
        <v>0</v>
      </c>
      <c r="AI22" s="170">
        <v>0</v>
      </c>
      <c r="AJ22" s="170">
        <v>0</v>
      </c>
      <c r="AK22" s="170">
        <v>0</v>
      </c>
      <c r="AL22" s="170">
        <v>0</v>
      </c>
      <c r="AM22" s="171">
        <v>0</v>
      </c>
      <c r="AN22" s="170">
        <v>0</v>
      </c>
      <c r="AO22" s="170">
        <v>0</v>
      </c>
      <c r="AP22" s="170">
        <v>0</v>
      </c>
      <c r="AQ22" s="170">
        <v>0</v>
      </c>
      <c r="AR22" s="170">
        <v>0</v>
      </c>
      <c r="AS22" s="170">
        <v>0</v>
      </c>
      <c r="AT22" s="171">
        <v>0</v>
      </c>
      <c r="AU22" s="172">
        <v>1000</v>
      </c>
      <c r="AV22" s="172">
        <v>1000</v>
      </c>
      <c r="AW22" s="173">
        <v>1000</v>
      </c>
      <c r="AX22" s="174">
        <v>1000</v>
      </c>
      <c r="AY22" s="91">
        <v>0</v>
      </c>
      <c r="AZ22" s="91">
        <v>0</v>
      </c>
      <c r="BA22" s="91">
        <v>4000</v>
      </c>
      <c r="BB22" s="91" t="e">
        <v>#REF!</v>
      </c>
      <c r="BC22" s="91">
        <v>4000</v>
      </c>
      <c r="BD22" s="91">
        <v>0</v>
      </c>
      <c r="BE22" s="91">
        <v>0</v>
      </c>
      <c r="BF22" s="91">
        <v>0</v>
      </c>
    </row>
    <row r="23" spans="1:116" x14ac:dyDescent="0.3">
      <c r="A23" s="86" t="s">
        <v>221</v>
      </c>
      <c r="B23" s="175" t="s">
        <v>222</v>
      </c>
      <c r="C23" s="159"/>
      <c r="D23" s="160">
        <v>27.2</v>
      </c>
      <c r="E23" s="160" t="s">
        <v>223</v>
      </c>
      <c r="F23" s="160" t="s">
        <v>148</v>
      </c>
      <c r="G23" s="160" t="s">
        <v>145</v>
      </c>
      <c r="H23" s="161" t="s">
        <v>145</v>
      </c>
      <c r="I23" s="161" t="s">
        <v>145</v>
      </c>
      <c r="J23" s="162" t="s">
        <v>203</v>
      </c>
      <c r="K23" s="163" t="s">
        <v>120</v>
      </c>
      <c r="L23" s="163" t="s">
        <v>224</v>
      </c>
      <c r="M23" s="162">
        <v>110209</v>
      </c>
      <c r="N23" s="164" t="s">
        <v>225</v>
      </c>
      <c r="O23" s="162" t="s">
        <v>226</v>
      </c>
      <c r="P23" s="165" t="s">
        <v>136</v>
      </c>
      <c r="Q23" s="162" t="s">
        <v>4</v>
      </c>
      <c r="R23" s="166" t="s">
        <v>227</v>
      </c>
      <c r="S23" s="166" t="s">
        <v>223</v>
      </c>
      <c r="T23" s="162" t="s">
        <v>228</v>
      </c>
      <c r="U23" s="167" t="s">
        <v>134</v>
      </c>
      <c r="V23" s="167" t="s">
        <v>134</v>
      </c>
      <c r="W23" s="167" t="s">
        <v>218</v>
      </c>
      <c r="X23" s="167"/>
      <c r="Y23" s="168" t="s">
        <v>146</v>
      </c>
      <c r="Z23" s="169" t="s">
        <v>147</v>
      </c>
      <c r="AA23" s="170" t="s">
        <v>146</v>
      </c>
      <c r="AB23" s="170"/>
      <c r="AC23" s="170">
        <v>2000</v>
      </c>
      <c r="AD23" s="170">
        <v>0</v>
      </c>
      <c r="AE23" s="170">
        <v>0</v>
      </c>
      <c r="AF23" s="171">
        <v>0</v>
      </c>
      <c r="AG23" s="169">
        <v>0</v>
      </c>
      <c r="AH23" s="169">
        <v>0</v>
      </c>
      <c r="AI23" s="169">
        <v>0</v>
      </c>
      <c r="AJ23" s="169">
        <v>0</v>
      </c>
      <c r="AK23" s="169">
        <v>0</v>
      </c>
      <c r="AL23" s="169">
        <v>0</v>
      </c>
      <c r="AM23" s="171">
        <v>0</v>
      </c>
      <c r="AN23" s="170">
        <v>0</v>
      </c>
      <c r="AO23" s="170">
        <v>0</v>
      </c>
      <c r="AP23" s="170">
        <v>0</v>
      </c>
      <c r="AQ23" s="170">
        <v>0</v>
      </c>
      <c r="AR23" s="170">
        <v>0</v>
      </c>
      <c r="AS23" s="170">
        <v>1000</v>
      </c>
      <c r="AT23" s="171">
        <v>0</v>
      </c>
      <c r="AU23" s="172">
        <v>0</v>
      </c>
      <c r="AV23" s="172">
        <v>0</v>
      </c>
      <c r="AW23" s="173">
        <v>1000</v>
      </c>
      <c r="AX23" s="174">
        <v>0</v>
      </c>
      <c r="AY23" s="91">
        <v>0</v>
      </c>
      <c r="AZ23" s="91">
        <v>0</v>
      </c>
      <c r="BA23" s="91">
        <v>2000</v>
      </c>
      <c r="BB23" s="91" t="e">
        <v>#REF!</v>
      </c>
      <c r="BC23" s="91">
        <v>2000</v>
      </c>
      <c r="BD23" s="91">
        <v>0</v>
      </c>
      <c r="BE23" s="91">
        <v>0</v>
      </c>
      <c r="BF23" s="91">
        <v>0</v>
      </c>
    </row>
    <row r="24" spans="1:116" x14ac:dyDescent="0.3">
      <c r="A24" s="86" t="s">
        <v>229</v>
      </c>
      <c r="B24" s="179" t="s">
        <v>230</v>
      </c>
      <c r="C24" s="159"/>
      <c r="D24" s="160" t="e">
        <v>#REF!</v>
      </c>
      <c r="E24" s="160" t="e">
        <v>#REF!</v>
      </c>
      <c r="F24" s="160" t="s">
        <v>148</v>
      </c>
      <c r="G24" s="160" t="s">
        <v>148</v>
      </c>
      <c r="H24" s="161" t="s">
        <v>148</v>
      </c>
      <c r="I24" s="161" t="s">
        <v>148</v>
      </c>
      <c r="J24" s="162" t="e">
        <v>#REF!</v>
      </c>
      <c r="K24" s="163" t="e">
        <v>#REF!</v>
      </c>
      <c r="L24" s="163" t="s">
        <v>204</v>
      </c>
      <c r="M24" s="162">
        <v>115098</v>
      </c>
      <c r="N24" s="164" t="s">
        <v>137</v>
      </c>
      <c r="O24" s="162" t="s">
        <v>231</v>
      </c>
      <c r="P24" s="165" t="s">
        <v>207</v>
      </c>
      <c r="Q24" s="162" t="s">
        <v>4</v>
      </c>
      <c r="R24" s="166" t="s">
        <v>72</v>
      </c>
      <c r="S24" s="166" t="s">
        <v>232</v>
      </c>
      <c r="T24" s="162" t="s">
        <v>233</v>
      </c>
      <c r="U24" s="167" t="s">
        <v>134</v>
      </c>
      <c r="V24" s="167" t="s">
        <v>134</v>
      </c>
      <c r="W24" s="167" t="s">
        <v>234</v>
      </c>
      <c r="X24" s="167"/>
      <c r="Y24" s="168" t="s">
        <v>146</v>
      </c>
      <c r="Z24" s="169" t="s">
        <v>147</v>
      </c>
      <c r="AA24" s="170" t="s">
        <v>146</v>
      </c>
      <c r="AB24" s="170"/>
      <c r="AC24" s="170">
        <v>7000</v>
      </c>
      <c r="AD24" s="170">
        <v>0</v>
      </c>
      <c r="AE24" s="170">
        <v>0</v>
      </c>
      <c r="AF24" s="171">
        <v>0</v>
      </c>
      <c r="AG24" s="169">
        <v>0</v>
      </c>
      <c r="AH24" s="169">
        <v>0</v>
      </c>
      <c r="AI24" s="169">
        <v>0</v>
      </c>
      <c r="AJ24" s="169">
        <v>0</v>
      </c>
      <c r="AK24" s="169">
        <v>0</v>
      </c>
      <c r="AL24" s="169">
        <v>0</v>
      </c>
      <c r="AM24" s="171">
        <v>0</v>
      </c>
      <c r="AN24" s="169">
        <v>0</v>
      </c>
      <c r="AO24" s="169">
        <v>0</v>
      </c>
      <c r="AP24" s="169">
        <v>0</v>
      </c>
      <c r="AQ24" s="169">
        <v>0</v>
      </c>
      <c r="AR24" s="169">
        <v>1000</v>
      </c>
      <c r="AS24" s="170">
        <v>1000</v>
      </c>
      <c r="AT24" s="171">
        <v>1000</v>
      </c>
      <c r="AU24" s="172">
        <v>1000</v>
      </c>
      <c r="AV24" s="172">
        <v>1000</v>
      </c>
      <c r="AW24" s="173">
        <v>1000</v>
      </c>
      <c r="AX24" s="174">
        <v>1000</v>
      </c>
      <c r="AY24" s="91">
        <v>0</v>
      </c>
      <c r="AZ24" s="91">
        <v>0</v>
      </c>
      <c r="BA24" s="91">
        <v>7000</v>
      </c>
      <c r="BB24" s="91" t="e">
        <v>#REF!</v>
      </c>
      <c r="BC24" s="91">
        <v>7000</v>
      </c>
      <c r="BD24" s="91">
        <v>0</v>
      </c>
      <c r="BE24" s="91">
        <v>0</v>
      </c>
      <c r="BF24" s="91">
        <v>0</v>
      </c>
    </row>
    <row r="25" spans="1:116" x14ac:dyDescent="0.3">
      <c r="A25" s="86" t="s">
        <v>229</v>
      </c>
      <c r="B25" s="179" t="s">
        <v>235</v>
      </c>
      <c r="C25" s="159"/>
      <c r="D25" s="160" t="e">
        <v>#REF!</v>
      </c>
      <c r="E25" s="160" t="e">
        <v>#REF!</v>
      </c>
      <c r="F25" s="160" t="s">
        <v>148</v>
      </c>
      <c r="G25" s="160" t="s">
        <v>148</v>
      </c>
      <c r="H25" s="161" t="s">
        <v>148</v>
      </c>
      <c r="I25" s="161" t="s">
        <v>148</v>
      </c>
      <c r="J25" s="162" t="e">
        <v>#REF!</v>
      </c>
      <c r="K25" s="163" t="e">
        <v>#REF!</v>
      </c>
      <c r="L25" s="163" t="s">
        <v>204</v>
      </c>
      <c r="M25" s="162">
        <v>115098</v>
      </c>
      <c r="N25" s="164" t="s">
        <v>137</v>
      </c>
      <c r="O25" s="162" t="s">
        <v>231</v>
      </c>
      <c r="P25" s="165" t="s">
        <v>207</v>
      </c>
      <c r="Q25" s="162" t="s">
        <v>4</v>
      </c>
      <c r="R25" s="166" t="s">
        <v>72</v>
      </c>
      <c r="S25" s="166" t="s">
        <v>232</v>
      </c>
      <c r="T25" s="162" t="s">
        <v>233</v>
      </c>
      <c r="U25" s="167" t="s">
        <v>134</v>
      </c>
      <c r="V25" s="167" t="s">
        <v>134</v>
      </c>
      <c r="W25" s="167" t="s">
        <v>214</v>
      </c>
      <c r="X25" s="167"/>
      <c r="Y25" s="168" t="s">
        <v>146</v>
      </c>
      <c r="Z25" s="169" t="s">
        <v>147</v>
      </c>
      <c r="AA25" s="170" t="s">
        <v>146</v>
      </c>
      <c r="AB25" s="170"/>
      <c r="AC25" s="170">
        <v>5000</v>
      </c>
      <c r="AD25" s="170">
        <v>0</v>
      </c>
      <c r="AE25" s="170">
        <v>0</v>
      </c>
      <c r="AF25" s="171">
        <v>0</v>
      </c>
      <c r="AG25" s="169">
        <v>0</v>
      </c>
      <c r="AH25" s="170">
        <v>0</v>
      </c>
      <c r="AI25" s="170">
        <v>0</v>
      </c>
      <c r="AJ25" s="170">
        <v>0</v>
      </c>
      <c r="AK25" s="170">
        <v>0</v>
      </c>
      <c r="AL25" s="170">
        <v>0</v>
      </c>
      <c r="AM25" s="171">
        <v>0</v>
      </c>
      <c r="AN25" s="170">
        <v>0</v>
      </c>
      <c r="AO25" s="170">
        <v>0</v>
      </c>
      <c r="AP25" s="170">
        <v>0</v>
      </c>
      <c r="AQ25" s="170">
        <v>0</v>
      </c>
      <c r="AR25" s="170">
        <v>0</v>
      </c>
      <c r="AS25" s="170">
        <v>0</v>
      </c>
      <c r="AT25" s="171">
        <v>1000</v>
      </c>
      <c r="AU25" s="172">
        <v>1000</v>
      </c>
      <c r="AV25" s="172">
        <v>1000</v>
      </c>
      <c r="AW25" s="173">
        <v>1000</v>
      </c>
      <c r="AX25" s="174">
        <v>1000</v>
      </c>
      <c r="AY25" s="91">
        <v>0</v>
      </c>
      <c r="AZ25" s="91">
        <v>0</v>
      </c>
      <c r="BA25" s="91">
        <v>5000</v>
      </c>
      <c r="BB25" s="91" t="e">
        <v>#REF!</v>
      </c>
      <c r="BC25" s="91">
        <v>5000</v>
      </c>
      <c r="BD25" s="91">
        <v>0</v>
      </c>
      <c r="BE25" s="91">
        <v>0</v>
      </c>
      <c r="BF25" s="91">
        <v>0</v>
      </c>
    </row>
    <row r="26" spans="1:116" x14ac:dyDescent="0.3">
      <c r="A26" s="86" t="s">
        <v>229</v>
      </c>
      <c r="B26" s="175" t="s">
        <v>236</v>
      </c>
      <c r="C26" s="159"/>
      <c r="D26" s="160" t="e">
        <v>#REF!</v>
      </c>
      <c r="E26" s="160" t="e">
        <v>#REF!</v>
      </c>
      <c r="F26" s="160" t="s">
        <v>148</v>
      </c>
      <c r="G26" s="160" t="s">
        <v>148</v>
      </c>
      <c r="H26" s="161" t="s">
        <v>148</v>
      </c>
      <c r="I26" s="161" t="s">
        <v>148</v>
      </c>
      <c r="J26" s="162" t="e">
        <v>#REF!</v>
      </c>
      <c r="K26" s="163" t="e">
        <v>#REF!</v>
      </c>
      <c r="L26" s="163" t="s">
        <v>204</v>
      </c>
      <c r="M26" s="162">
        <v>115098</v>
      </c>
      <c r="N26" s="164" t="s">
        <v>137</v>
      </c>
      <c r="O26" s="162" t="s">
        <v>231</v>
      </c>
      <c r="P26" s="165" t="s">
        <v>207</v>
      </c>
      <c r="Q26" s="162" t="s">
        <v>4</v>
      </c>
      <c r="R26" s="166" t="s">
        <v>72</v>
      </c>
      <c r="S26" s="166" t="s">
        <v>232</v>
      </c>
      <c r="T26" s="162" t="s">
        <v>233</v>
      </c>
      <c r="U26" s="167" t="s">
        <v>134</v>
      </c>
      <c r="V26" s="167" t="s">
        <v>134</v>
      </c>
      <c r="W26" s="167" t="s">
        <v>220</v>
      </c>
      <c r="X26" s="167"/>
      <c r="Y26" s="168" t="s">
        <v>146</v>
      </c>
      <c r="Z26" s="169" t="s">
        <v>147</v>
      </c>
      <c r="AA26" s="170" t="s">
        <v>146</v>
      </c>
      <c r="AB26" s="170"/>
      <c r="AC26" s="170">
        <v>4000</v>
      </c>
      <c r="AD26" s="170">
        <v>0</v>
      </c>
      <c r="AE26" s="170">
        <v>0</v>
      </c>
      <c r="AF26" s="171">
        <v>0</v>
      </c>
      <c r="AG26" s="169">
        <v>0</v>
      </c>
      <c r="AH26" s="170">
        <v>0</v>
      </c>
      <c r="AI26" s="170">
        <v>0</v>
      </c>
      <c r="AJ26" s="170">
        <v>0</v>
      </c>
      <c r="AK26" s="170">
        <v>0</v>
      </c>
      <c r="AL26" s="170">
        <v>0</v>
      </c>
      <c r="AM26" s="171">
        <v>0</v>
      </c>
      <c r="AN26" s="170">
        <v>0</v>
      </c>
      <c r="AO26" s="170">
        <v>0</v>
      </c>
      <c r="AP26" s="170">
        <v>0</v>
      </c>
      <c r="AQ26" s="170">
        <v>0</v>
      </c>
      <c r="AR26" s="170">
        <v>0</v>
      </c>
      <c r="AS26" s="170">
        <v>0</v>
      </c>
      <c r="AT26" s="171">
        <v>0</v>
      </c>
      <c r="AU26" s="172">
        <v>1000</v>
      </c>
      <c r="AV26" s="172">
        <v>1000</v>
      </c>
      <c r="AW26" s="173">
        <v>1000</v>
      </c>
      <c r="AX26" s="174">
        <v>1000</v>
      </c>
      <c r="AY26" s="91">
        <v>0</v>
      </c>
      <c r="AZ26" s="91">
        <v>0</v>
      </c>
      <c r="BA26" s="91">
        <v>4000</v>
      </c>
      <c r="BB26" s="91" t="e">
        <v>#REF!</v>
      </c>
      <c r="BC26" s="91">
        <v>4000</v>
      </c>
      <c r="BD26" s="91">
        <v>0</v>
      </c>
      <c r="BE26" s="91">
        <v>0</v>
      </c>
      <c r="BF26" s="91">
        <v>0</v>
      </c>
    </row>
    <row r="27" spans="1:116" x14ac:dyDescent="0.3">
      <c r="A27" s="86" t="s">
        <v>237</v>
      </c>
      <c r="B27" s="158" t="s">
        <v>238</v>
      </c>
      <c r="C27" s="159"/>
      <c r="D27" s="160">
        <v>27.2</v>
      </c>
      <c r="E27" s="160" t="s">
        <v>223</v>
      </c>
      <c r="F27" s="160" t="s">
        <v>145</v>
      </c>
      <c r="G27" s="160" t="s">
        <v>145</v>
      </c>
      <c r="H27" s="161" t="s">
        <v>145</v>
      </c>
      <c r="I27" s="161" t="s">
        <v>145</v>
      </c>
      <c r="J27" s="162" t="s">
        <v>203</v>
      </c>
      <c r="K27" s="163" t="s">
        <v>120</v>
      </c>
      <c r="L27" s="163" t="s">
        <v>224</v>
      </c>
      <c r="M27" s="162">
        <v>169929</v>
      </c>
      <c r="N27" s="164" t="s">
        <v>239</v>
      </c>
      <c r="O27" s="162" t="s">
        <v>240</v>
      </c>
      <c r="P27" s="165" t="s">
        <v>136</v>
      </c>
      <c r="Q27" s="162" t="s">
        <v>4</v>
      </c>
      <c r="R27" s="166" t="s">
        <v>241</v>
      </c>
      <c r="S27" s="166" t="s">
        <v>223</v>
      </c>
      <c r="T27" s="162" t="s">
        <v>242</v>
      </c>
      <c r="U27" s="167" t="s">
        <v>134</v>
      </c>
      <c r="V27" s="167" t="s">
        <v>134</v>
      </c>
      <c r="W27" s="167" t="s">
        <v>214</v>
      </c>
      <c r="X27" s="167"/>
      <c r="Y27" s="168" t="s">
        <v>146</v>
      </c>
      <c r="Z27" s="169" t="s">
        <v>147</v>
      </c>
      <c r="AA27" s="170" t="s">
        <v>146</v>
      </c>
      <c r="AB27" s="170"/>
      <c r="AC27" s="170">
        <v>1000</v>
      </c>
      <c r="AD27" s="170">
        <v>0</v>
      </c>
      <c r="AE27" s="170">
        <v>0</v>
      </c>
      <c r="AF27" s="171">
        <v>0</v>
      </c>
      <c r="AG27" s="169">
        <v>0</v>
      </c>
      <c r="AH27" s="170">
        <v>0</v>
      </c>
      <c r="AI27" s="170">
        <v>0</v>
      </c>
      <c r="AJ27" s="170">
        <v>0</v>
      </c>
      <c r="AK27" s="170">
        <v>0</v>
      </c>
      <c r="AL27" s="170">
        <v>0</v>
      </c>
      <c r="AM27" s="171">
        <v>0</v>
      </c>
      <c r="AN27" s="170">
        <v>0</v>
      </c>
      <c r="AO27" s="170">
        <v>0</v>
      </c>
      <c r="AP27" s="170">
        <v>0</v>
      </c>
      <c r="AQ27" s="170">
        <v>0</v>
      </c>
      <c r="AR27" s="170">
        <v>0</v>
      </c>
      <c r="AS27" s="170">
        <v>0</v>
      </c>
      <c r="AT27" s="171">
        <v>0</v>
      </c>
      <c r="AU27" s="172">
        <v>0</v>
      </c>
      <c r="AV27" s="172">
        <v>0</v>
      </c>
      <c r="AW27" s="173">
        <v>1000</v>
      </c>
      <c r="AX27" s="174">
        <v>0</v>
      </c>
      <c r="AY27" s="91">
        <v>0</v>
      </c>
      <c r="AZ27" s="91">
        <v>0</v>
      </c>
      <c r="BA27" s="91">
        <v>1000</v>
      </c>
      <c r="BB27" s="91" t="e">
        <v>#REF!</v>
      </c>
      <c r="BC27" s="91">
        <v>1000</v>
      </c>
      <c r="BD27" s="91">
        <v>0</v>
      </c>
      <c r="BE27" s="91">
        <v>0</v>
      </c>
      <c r="BF27" s="91">
        <v>0</v>
      </c>
    </row>
    <row r="28" spans="1:116" x14ac:dyDescent="0.3">
      <c r="A28" s="86" t="s">
        <v>237</v>
      </c>
      <c r="B28" s="175" t="s">
        <v>243</v>
      </c>
      <c r="C28" s="159"/>
      <c r="D28" s="160">
        <v>27.2</v>
      </c>
      <c r="E28" s="160" t="s">
        <v>223</v>
      </c>
      <c r="F28" s="160" t="s">
        <v>145</v>
      </c>
      <c r="G28" s="160" t="s">
        <v>145</v>
      </c>
      <c r="H28" s="161" t="s">
        <v>145</v>
      </c>
      <c r="I28" s="161" t="s">
        <v>145</v>
      </c>
      <c r="J28" s="162" t="s">
        <v>203</v>
      </c>
      <c r="K28" s="163" t="s">
        <v>120</v>
      </c>
      <c r="L28" s="163" t="s">
        <v>224</v>
      </c>
      <c r="M28" s="162">
        <v>169929</v>
      </c>
      <c r="N28" s="164" t="s">
        <v>239</v>
      </c>
      <c r="O28" s="162" t="s">
        <v>240</v>
      </c>
      <c r="P28" s="165" t="s">
        <v>136</v>
      </c>
      <c r="Q28" s="176" t="s">
        <v>4</v>
      </c>
      <c r="R28" s="166" t="s">
        <v>241</v>
      </c>
      <c r="S28" s="166" t="s">
        <v>223</v>
      </c>
      <c r="T28" s="162" t="s">
        <v>242</v>
      </c>
      <c r="U28" s="167" t="s">
        <v>134</v>
      </c>
      <c r="V28" s="167" t="s">
        <v>134</v>
      </c>
      <c r="W28" s="167" t="s">
        <v>218</v>
      </c>
      <c r="X28" s="167"/>
      <c r="Y28" s="168" t="s">
        <v>146</v>
      </c>
      <c r="Z28" s="169" t="s">
        <v>147</v>
      </c>
      <c r="AA28" s="170" t="s">
        <v>146</v>
      </c>
      <c r="AB28" s="170"/>
      <c r="AC28" s="170">
        <v>1800</v>
      </c>
      <c r="AD28" s="170">
        <v>0</v>
      </c>
      <c r="AE28" s="170">
        <v>0</v>
      </c>
      <c r="AF28" s="171">
        <v>0</v>
      </c>
      <c r="AG28" s="169">
        <v>0</v>
      </c>
      <c r="AH28" s="170">
        <v>0</v>
      </c>
      <c r="AI28" s="170">
        <v>0</v>
      </c>
      <c r="AJ28" s="170">
        <v>0</v>
      </c>
      <c r="AK28" s="170">
        <v>0</v>
      </c>
      <c r="AL28" s="170">
        <v>0</v>
      </c>
      <c r="AM28" s="171">
        <v>0</v>
      </c>
      <c r="AN28" s="170">
        <v>0</v>
      </c>
      <c r="AO28" s="170">
        <v>0</v>
      </c>
      <c r="AP28" s="170">
        <v>0</v>
      </c>
      <c r="AQ28" s="170">
        <v>0</v>
      </c>
      <c r="AR28" s="170">
        <v>0</v>
      </c>
      <c r="AS28" s="170">
        <v>600</v>
      </c>
      <c r="AT28" s="171">
        <v>0</v>
      </c>
      <c r="AU28" s="172">
        <v>0</v>
      </c>
      <c r="AV28" s="172">
        <v>0</v>
      </c>
      <c r="AW28" s="173">
        <v>1200</v>
      </c>
      <c r="AX28" s="174">
        <v>0</v>
      </c>
      <c r="AY28" s="91">
        <v>0</v>
      </c>
      <c r="AZ28" s="91">
        <v>0</v>
      </c>
      <c r="BA28" s="91">
        <v>1800</v>
      </c>
      <c r="BB28" s="91" t="e">
        <v>#REF!</v>
      </c>
      <c r="BC28" s="91">
        <v>1800</v>
      </c>
      <c r="BD28" s="91">
        <v>0</v>
      </c>
      <c r="BE28" s="91">
        <v>0</v>
      </c>
      <c r="BF28" s="91">
        <v>0</v>
      </c>
    </row>
    <row r="29" spans="1:116" x14ac:dyDescent="0.3">
      <c r="B29" s="175"/>
      <c r="C29" s="159"/>
      <c r="D29" s="160"/>
      <c r="E29" s="160"/>
      <c r="F29" s="160"/>
      <c r="G29" s="160"/>
      <c r="H29" s="161"/>
      <c r="I29" s="161"/>
      <c r="J29" s="162"/>
      <c r="K29" s="163"/>
      <c r="L29" s="163"/>
      <c r="M29" s="162"/>
      <c r="N29" s="164"/>
      <c r="O29" s="162"/>
      <c r="P29" s="165"/>
      <c r="Q29" s="176"/>
      <c r="R29" s="166"/>
      <c r="S29" s="166"/>
      <c r="T29" s="162"/>
      <c r="U29" s="167"/>
      <c r="V29" s="167"/>
      <c r="W29" s="167"/>
      <c r="X29" s="167"/>
      <c r="Y29" s="168"/>
      <c r="Z29" s="169"/>
      <c r="AA29" s="170"/>
      <c r="AB29" s="170"/>
      <c r="AC29" s="170"/>
      <c r="AD29" s="170"/>
      <c r="AE29" s="170"/>
      <c r="AF29" s="171"/>
      <c r="AG29" s="169"/>
      <c r="AH29" s="170"/>
      <c r="AI29" s="170"/>
      <c r="AJ29" s="170"/>
      <c r="AK29" s="170"/>
      <c r="AL29" s="170"/>
      <c r="AM29" s="171"/>
      <c r="AN29" s="170"/>
      <c r="AO29" s="170"/>
      <c r="AP29" s="170"/>
      <c r="AQ29" s="170"/>
      <c r="AR29" s="170"/>
      <c r="AS29" s="170"/>
      <c r="AT29" s="171"/>
      <c r="AU29" s="172"/>
      <c r="AV29" s="172"/>
      <c r="AW29" s="173"/>
      <c r="AX29" s="174"/>
    </row>
    <row r="30" spans="1:116" x14ac:dyDescent="0.3">
      <c r="B30" s="175"/>
      <c r="C30" s="159"/>
      <c r="D30" s="160"/>
      <c r="E30" s="160"/>
      <c r="F30" s="160"/>
      <c r="G30" s="160"/>
      <c r="H30" s="161"/>
      <c r="I30" s="161"/>
      <c r="J30" s="162"/>
      <c r="K30" s="163"/>
      <c r="L30" s="163"/>
      <c r="M30" s="162"/>
      <c r="N30" s="164"/>
      <c r="O30" s="162"/>
      <c r="P30" s="165"/>
      <c r="Q30" s="176"/>
      <c r="R30" s="166"/>
      <c r="S30" s="166"/>
      <c r="T30" s="162"/>
      <c r="U30" s="167"/>
      <c r="V30" s="167"/>
      <c r="W30" s="167"/>
      <c r="X30" s="167"/>
      <c r="Y30" s="168"/>
      <c r="Z30" s="169"/>
      <c r="AA30" s="170"/>
      <c r="AB30" s="170"/>
      <c r="AC30" s="170"/>
      <c r="AD30" s="170"/>
      <c r="AE30" s="170"/>
      <c r="AF30" s="171"/>
      <c r="AG30" s="169"/>
      <c r="AH30" s="170"/>
      <c r="AI30" s="170"/>
      <c r="AJ30" s="170"/>
      <c r="AK30" s="170"/>
      <c r="AL30" s="170"/>
      <c r="AM30" s="171"/>
      <c r="AN30" s="170"/>
      <c r="AO30" s="170"/>
      <c r="AP30" s="170"/>
      <c r="AQ30" s="170"/>
      <c r="AR30" s="170"/>
      <c r="AS30" s="170"/>
      <c r="AT30" s="171"/>
      <c r="AU30" s="172"/>
      <c r="AV30" s="172"/>
      <c r="AW30" s="173"/>
      <c r="AX30" s="174"/>
    </row>
    <row r="31" spans="1:116" x14ac:dyDescent="0.3">
      <c r="B31" s="175"/>
      <c r="C31" s="159"/>
      <c r="D31" s="160"/>
      <c r="E31" s="160"/>
      <c r="F31" s="160"/>
      <c r="G31" s="160"/>
      <c r="H31" s="161"/>
      <c r="I31" s="161"/>
      <c r="J31" s="162"/>
      <c r="K31" s="163"/>
      <c r="L31" s="163"/>
      <c r="M31" s="162"/>
      <c r="N31" s="164"/>
      <c r="O31" s="162"/>
      <c r="P31" s="165"/>
      <c r="Q31" s="176"/>
      <c r="R31" s="166"/>
      <c r="S31" s="166"/>
      <c r="T31" s="162"/>
      <c r="U31" s="167"/>
      <c r="V31" s="167"/>
      <c r="W31" s="167"/>
      <c r="X31" s="167"/>
      <c r="Y31" s="168"/>
      <c r="Z31" s="169"/>
      <c r="AA31" s="170"/>
      <c r="AB31" s="170"/>
      <c r="AC31" s="170"/>
      <c r="AD31" s="170"/>
      <c r="AE31" s="170"/>
      <c r="AF31" s="171"/>
      <c r="AG31" s="169"/>
      <c r="AH31" s="170"/>
      <c r="AI31" s="170"/>
      <c r="AJ31" s="170"/>
      <c r="AK31" s="170"/>
      <c r="AL31" s="170"/>
      <c r="AM31" s="171"/>
      <c r="AN31" s="170"/>
      <c r="AO31" s="170"/>
      <c r="AP31" s="170"/>
      <c r="AQ31" s="170"/>
      <c r="AR31" s="170"/>
      <c r="AS31" s="170"/>
      <c r="AT31" s="171"/>
      <c r="AU31" s="172"/>
      <c r="AV31" s="172"/>
      <c r="AW31" s="173"/>
      <c r="AX31" s="174"/>
    </row>
    <row r="32" spans="1:116" x14ac:dyDescent="0.3">
      <c r="B32" s="175"/>
      <c r="C32" s="159"/>
      <c r="D32" s="160"/>
      <c r="E32" s="160"/>
      <c r="F32" s="160"/>
      <c r="G32" s="160"/>
      <c r="H32" s="161"/>
      <c r="I32" s="161"/>
      <c r="J32" s="162"/>
      <c r="K32" s="163"/>
      <c r="L32" s="163"/>
      <c r="M32" s="162"/>
      <c r="N32" s="164"/>
      <c r="O32" s="162"/>
      <c r="P32" s="178"/>
      <c r="Q32" s="176"/>
      <c r="R32" s="166"/>
      <c r="S32" s="166"/>
      <c r="T32" s="162"/>
      <c r="U32" s="167"/>
      <c r="V32" s="167"/>
      <c r="W32" s="167"/>
      <c r="X32" s="167"/>
      <c r="Y32" s="168"/>
      <c r="Z32" s="169"/>
      <c r="AA32" s="170"/>
      <c r="AB32" s="170"/>
      <c r="AC32" s="170"/>
      <c r="AD32" s="170"/>
      <c r="AE32" s="170"/>
      <c r="AF32" s="171"/>
      <c r="AG32" s="169"/>
      <c r="AH32" s="170"/>
      <c r="AI32" s="170"/>
      <c r="AJ32" s="170"/>
      <c r="AK32" s="170"/>
      <c r="AL32" s="170"/>
      <c r="AM32" s="171"/>
      <c r="AN32" s="170"/>
      <c r="AO32" s="170"/>
      <c r="AP32" s="170"/>
      <c r="AQ32" s="170"/>
      <c r="AR32" s="170"/>
      <c r="AS32" s="170"/>
      <c r="AT32" s="171"/>
      <c r="AU32" s="172"/>
      <c r="AV32" s="172"/>
      <c r="AW32" s="173"/>
      <c r="AX32" s="174"/>
    </row>
    <row r="33" spans="2:103" x14ac:dyDescent="0.3">
      <c r="B33" s="179"/>
      <c r="C33" s="159"/>
      <c r="D33" s="160"/>
      <c r="E33" s="160"/>
      <c r="F33" s="160"/>
      <c r="G33" s="160"/>
      <c r="H33" s="161"/>
      <c r="I33" s="161"/>
      <c r="J33" s="162"/>
      <c r="K33" s="163"/>
      <c r="L33" s="163"/>
      <c r="M33" s="162"/>
      <c r="N33" s="164"/>
      <c r="O33" s="162"/>
      <c r="P33" s="178"/>
      <c r="Q33" s="176"/>
      <c r="R33" s="166"/>
      <c r="S33" s="166"/>
      <c r="T33" s="162"/>
      <c r="U33" s="167"/>
      <c r="V33" s="167"/>
      <c r="W33" s="167"/>
      <c r="X33" s="167"/>
      <c r="Y33" s="168"/>
      <c r="Z33" s="169"/>
      <c r="AA33" s="170"/>
      <c r="AB33" s="170"/>
      <c r="AC33" s="170"/>
      <c r="AD33" s="170"/>
      <c r="AE33" s="170"/>
      <c r="AF33" s="171"/>
      <c r="AG33" s="169"/>
      <c r="AH33" s="170"/>
      <c r="AI33" s="170"/>
      <c r="AJ33" s="170"/>
      <c r="AK33" s="170"/>
      <c r="AL33" s="170"/>
      <c r="AM33" s="171"/>
      <c r="AN33" s="170"/>
      <c r="AO33" s="170"/>
      <c r="AP33" s="170"/>
      <c r="AQ33" s="170"/>
      <c r="AR33" s="170"/>
      <c r="AS33" s="170"/>
      <c r="AT33" s="171"/>
      <c r="AU33" s="172"/>
      <c r="AV33" s="172"/>
      <c r="AW33" s="173"/>
      <c r="AX33" s="174"/>
    </row>
    <row r="34" spans="2:103" x14ac:dyDescent="0.3">
      <c r="B34" s="175"/>
      <c r="C34" s="159"/>
      <c r="D34" s="160"/>
      <c r="E34" s="160"/>
      <c r="F34" s="160"/>
      <c r="G34" s="160"/>
      <c r="H34" s="161"/>
      <c r="I34" s="161"/>
      <c r="J34" s="162"/>
      <c r="K34" s="163"/>
      <c r="L34" s="163"/>
      <c r="M34" s="162"/>
      <c r="N34" s="164"/>
      <c r="O34" s="162"/>
      <c r="P34" s="165"/>
      <c r="Q34" s="162"/>
      <c r="R34" s="166"/>
      <c r="S34" s="166"/>
      <c r="T34" s="162"/>
      <c r="U34" s="167"/>
      <c r="V34" s="167"/>
      <c r="W34" s="167"/>
      <c r="X34" s="167"/>
      <c r="Y34" s="168"/>
      <c r="Z34" s="169"/>
      <c r="AA34" s="170"/>
      <c r="AB34" s="170"/>
      <c r="AC34" s="170"/>
      <c r="AD34" s="170"/>
      <c r="AE34" s="170"/>
      <c r="AF34" s="171"/>
      <c r="AG34" s="169"/>
      <c r="AH34" s="170"/>
      <c r="AI34" s="170"/>
      <c r="AJ34" s="170"/>
      <c r="AK34" s="170"/>
      <c r="AL34" s="170"/>
      <c r="AM34" s="171"/>
      <c r="AN34" s="170"/>
      <c r="AO34" s="170"/>
      <c r="AP34" s="170"/>
      <c r="AQ34" s="170"/>
      <c r="AR34" s="170"/>
      <c r="AS34" s="170"/>
      <c r="AT34" s="171"/>
      <c r="AU34" s="172"/>
      <c r="AV34" s="172"/>
      <c r="AW34" s="173"/>
      <c r="AX34" s="174"/>
    </row>
    <row r="35" spans="2:103" x14ac:dyDescent="0.3">
      <c r="B35" s="175"/>
      <c r="C35" s="159"/>
      <c r="D35" s="160"/>
      <c r="E35" s="160"/>
      <c r="F35" s="160"/>
      <c r="G35" s="160"/>
      <c r="H35" s="161"/>
      <c r="I35" s="161"/>
      <c r="J35" s="162"/>
      <c r="K35" s="163"/>
      <c r="L35" s="163"/>
      <c r="M35" s="162"/>
      <c r="N35" s="164"/>
      <c r="O35" s="162"/>
      <c r="P35" s="165"/>
      <c r="Q35" s="162"/>
      <c r="R35" s="166"/>
      <c r="S35" s="166"/>
      <c r="T35" s="162"/>
      <c r="U35" s="167"/>
      <c r="V35" s="167"/>
      <c r="W35" s="167"/>
      <c r="X35" s="167"/>
      <c r="Y35" s="168"/>
      <c r="Z35" s="169"/>
      <c r="AA35" s="169"/>
      <c r="AB35" s="169"/>
      <c r="AC35" s="170"/>
      <c r="AD35" s="170"/>
      <c r="AE35" s="170"/>
      <c r="AF35" s="171"/>
      <c r="AG35" s="169"/>
      <c r="AH35" s="170"/>
      <c r="AI35" s="170"/>
      <c r="AJ35" s="170"/>
      <c r="AK35" s="170"/>
      <c r="AL35" s="170"/>
      <c r="AM35" s="171"/>
      <c r="AN35" s="170"/>
      <c r="AO35" s="170"/>
      <c r="AP35" s="170"/>
      <c r="AQ35" s="170"/>
      <c r="AR35" s="170"/>
      <c r="AS35" s="170"/>
      <c r="AT35" s="171"/>
      <c r="AU35" s="172"/>
      <c r="AV35" s="172"/>
      <c r="AW35" s="173"/>
      <c r="AX35" s="174"/>
    </row>
    <row r="36" spans="2:103" x14ac:dyDescent="0.3">
      <c r="B36" s="175"/>
      <c r="C36" s="159"/>
      <c r="D36" s="160"/>
      <c r="E36" s="160"/>
      <c r="F36" s="160"/>
      <c r="G36" s="160"/>
      <c r="H36" s="161"/>
      <c r="I36" s="161"/>
      <c r="J36" s="162"/>
      <c r="K36" s="163"/>
      <c r="L36" s="163"/>
      <c r="M36" s="162"/>
      <c r="N36" s="164"/>
      <c r="O36" s="162"/>
      <c r="P36" s="165"/>
      <c r="Q36" s="162"/>
      <c r="R36" s="166"/>
      <c r="S36" s="166"/>
      <c r="T36" s="162"/>
      <c r="U36" s="167"/>
      <c r="V36" s="167"/>
      <c r="W36" s="167"/>
      <c r="X36" s="167"/>
      <c r="Y36" s="168"/>
      <c r="Z36" s="169"/>
      <c r="AA36" s="169"/>
      <c r="AB36" s="170"/>
      <c r="AC36" s="170"/>
      <c r="AD36" s="170"/>
      <c r="AE36" s="170"/>
      <c r="AF36" s="171"/>
      <c r="AG36" s="169"/>
      <c r="AH36" s="170"/>
      <c r="AI36" s="170"/>
      <c r="AJ36" s="170"/>
      <c r="AK36" s="170"/>
      <c r="AL36" s="170"/>
      <c r="AM36" s="171"/>
      <c r="AN36" s="170"/>
      <c r="AO36" s="170"/>
      <c r="AP36" s="170"/>
      <c r="AQ36" s="170"/>
      <c r="AR36" s="170"/>
      <c r="AS36" s="170"/>
      <c r="AT36" s="171"/>
      <c r="AU36" s="172"/>
      <c r="AV36" s="172"/>
      <c r="AW36" s="173"/>
      <c r="AX36" s="174"/>
    </row>
    <row r="37" spans="2:103" x14ac:dyDescent="0.3">
      <c r="B37" s="175"/>
      <c r="C37" s="159"/>
      <c r="D37" s="160"/>
      <c r="E37" s="160"/>
      <c r="F37" s="160"/>
      <c r="G37" s="160"/>
      <c r="H37" s="161"/>
      <c r="I37" s="161"/>
      <c r="J37" s="162"/>
      <c r="K37" s="163"/>
      <c r="L37" s="163"/>
      <c r="M37" s="162"/>
      <c r="N37" s="164"/>
      <c r="O37" s="162"/>
      <c r="P37" s="165"/>
      <c r="Q37" s="162"/>
      <c r="R37" s="166"/>
      <c r="S37" s="166"/>
      <c r="T37" s="162"/>
      <c r="U37" s="167"/>
      <c r="V37" s="167"/>
      <c r="W37" s="167"/>
      <c r="X37" s="167"/>
      <c r="Y37" s="168"/>
      <c r="Z37" s="169"/>
      <c r="AA37" s="169"/>
      <c r="AB37" s="170"/>
      <c r="AC37" s="170"/>
      <c r="AD37" s="170"/>
      <c r="AE37" s="170"/>
      <c r="AF37" s="171"/>
      <c r="AG37" s="169"/>
      <c r="AH37" s="170"/>
      <c r="AI37" s="170"/>
      <c r="AJ37" s="170"/>
      <c r="AK37" s="170"/>
      <c r="AL37" s="170"/>
      <c r="AM37" s="171"/>
      <c r="AN37" s="170"/>
      <c r="AO37" s="170"/>
      <c r="AP37" s="170"/>
      <c r="AQ37" s="170"/>
      <c r="AR37" s="170"/>
      <c r="AS37" s="170"/>
      <c r="AT37" s="171"/>
      <c r="AU37" s="172"/>
      <c r="AV37" s="172"/>
      <c r="AW37" s="173"/>
      <c r="AX37" s="174"/>
    </row>
    <row r="38" spans="2:103" x14ac:dyDescent="0.3">
      <c r="B38" s="175"/>
      <c r="C38" s="159"/>
      <c r="D38" s="160"/>
      <c r="E38" s="160"/>
      <c r="F38" s="160"/>
      <c r="G38" s="160"/>
      <c r="H38" s="161"/>
      <c r="I38" s="161"/>
      <c r="J38" s="162"/>
      <c r="K38" s="163"/>
      <c r="L38" s="163"/>
      <c r="M38" s="162"/>
      <c r="N38" s="164"/>
      <c r="O38" s="162"/>
      <c r="P38" s="165"/>
      <c r="Q38" s="162"/>
      <c r="R38" s="166"/>
      <c r="S38" s="166"/>
      <c r="T38" s="162"/>
      <c r="U38" s="167"/>
      <c r="V38" s="167"/>
      <c r="W38" s="167"/>
      <c r="X38" s="167"/>
      <c r="Y38" s="168"/>
      <c r="Z38" s="169"/>
      <c r="AA38" s="169"/>
      <c r="AB38" s="170"/>
      <c r="AC38" s="170"/>
      <c r="AD38" s="170"/>
      <c r="AE38" s="170"/>
      <c r="AF38" s="171"/>
      <c r="AG38" s="170"/>
      <c r="AH38" s="170"/>
      <c r="AI38" s="170"/>
      <c r="AJ38" s="170"/>
      <c r="AK38" s="170"/>
      <c r="AL38" s="170"/>
      <c r="AM38" s="171"/>
      <c r="AN38" s="170"/>
      <c r="AO38" s="170"/>
      <c r="AP38" s="170"/>
      <c r="AQ38" s="170"/>
      <c r="AR38" s="170"/>
      <c r="AS38" s="170"/>
      <c r="AT38" s="171"/>
      <c r="AU38" s="172"/>
      <c r="AV38" s="172"/>
      <c r="AW38" s="173"/>
      <c r="AX38" s="174"/>
    </row>
    <row r="39" spans="2:103" x14ac:dyDescent="0.3">
      <c r="B39" s="159"/>
      <c r="C39" s="160"/>
      <c r="D39" s="160"/>
      <c r="E39" s="160"/>
      <c r="F39" s="160"/>
      <c r="G39" s="160"/>
      <c r="H39" s="161"/>
      <c r="I39" s="161"/>
      <c r="J39" s="162"/>
      <c r="K39" s="317"/>
      <c r="L39" s="163"/>
      <c r="M39" s="162"/>
      <c r="N39" s="318"/>
      <c r="O39" s="319"/>
      <c r="P39" s="320"/>
      <c r="Q39" s="320"/>
      <c r="R39" s="321"/>
      <c r="S39" s="321"/>
      <c r="T39" s="177"/>
      <c r="U39" s="167"/>
      <c r="V39" s="167"/>
      <c r="W39" s="167"/>
      <c r="X39" s="167"/>
      <c r="Y39" s="168"/>
      <c r="Z39" s="169"/>
      <c r="AA39" s="170"/>
      <c r="AB39" s="170"/>
      <c r="AC39" s="170"/>
      <c r="AD39" s="170"/>
      <c r="AE39" s="170"/>
      <c r="AF39" s="171"/>
      <c r="AG39" s="169"/>
      <c r="AH39" s="170"/>
      <c r="AI39" s="170"/>
      <c r="AJ39" s="170"/>
      <c r="AK39" s="170"/>
      <c r="AL39" s="170"/>
      <c r="AM39" s="171"/>
      <c r="AN39" s="170"/>
      <c r="AO39" s="170"/>
      <c r="AP39" s="170"/>
      <c r="AQ39" s="170"/>
      <c r="AR39" s="170"/>
      <c r="AS39" s="170"/>
      <c r="AT39" s="171"/>
      <c r="AU39" s="172"/>
      <c r="AV39" s="172"/>
      <c r="AW39" s="173"/>
      <c r="AX39" s="174"/>
      <c r="CY39" s="91"/>
    </row>
    <row r="40" spans="2:103" x14ac:dyDescent="0.3">
      <c r="B40" s="159"/>
      <c r="C40" s="160"/>
      <c r="D40" s="160"/>
      <c r="E40" s="160"/>
      <c r="F40" s="160"/>
      <c r="G40" s="160"/>
      <c r="H40" s="161"/>
      <c r="I40" s="161"/>
      <c r="J40" s="162"/>
      <c r="K40" s="317"/>
      <c r="L40" s="163"/>
      <c r="M40" s="162"/>
      <c r="N40" s="318"/>
      <c r="O40" s="319"/>
      <c r="P40" s="320"/>
      <c r="Q40" s="320"/>
      <c r="R40" s="321"/>
      <c r="S40" s="321"/>
      <c r="T40" s="177"/>
      <c r="U40" s="167"/>
      <c r="V40" s="167"/>
      <c r="W40" s="167"/>
      <c r="X40" s="167"/>
      <c r="Y40" s="168"/>
      <c r="Z40" s="169"/>
      <c r="AA40" s="170"/>
      <c r="AB40" s="170"/>
      <c r="AC40" s="170"/>
      <c r="AD40" s="170"/>
      <c r="AE40" s="170"/>
      <c r="AF40" s="171"/>
      <c r="AG40" s="169"/>
      <c r="AH40" s="170"/>
      <c r="AI40" s="170"/>
      <c r="AJ40" s="170"/>
      <c r="AK40" s="170"/>
      <c r="AL40" s="170"/>
      <c r="AM40" s="171"/>
      <c r="AN40" s="170"/>
      <c r="AO40" s="170"/>
      <c r="AP40" s="170"/>
      <c r="AQ40" s="170"/>
      <c r="AR40" s="170"/>
      <c r="AS40" s="170"/>
      <c r="AT40" s="171"/>
      <c r="AU40" s="172"/>
      <c r="AV40" s="172"/>
      <c r="AW40" s="173"/>
      <c r="AX40" s="174"/>
      <c r="CY40" s="91"/>
    </row>
    <row r="41" spans="2:103" x14ac:dyDescent="0.3">
      <c r="B41" s="159"/>
      <c r="C41" s="160"/>
      <c r="D41" s="160"/>
      <c r="E41" s="160"/>
      <c r="F41" s="160"/>
      <c r="G41" s="160"/>
      <c r="H41" s="161"/>
      <c r="I41" s="161"/>
      <c r="J41" s="162"/>
      <c r="K41" s="317"/>
      <c r="L41" s="163"/>
      <c r="M41" s="162"/>
      <c r="N41" s="318"/>
      <c r="O41" s="319"/>
      <c r="P41" s="320"/>
      <c r="Q41" s="320"/>
      <c r="R41" s="166"/>
      <c r="S41" s="166"/>
      <c r="T41" s="162"/>
      <c r="U41" s="167"/>
      <c r="V41" s="167"/>
      <c r="W41" s="167"/>
      <c r="X41" s="167"/>
      <c r="Y41" s="168"/>
      <c r="Z41" s="169"/>
      <c r="AA41" s="170"/>
      <c r="AB41" s="170"/>
      <c r="AC41" s="170"/>
      <c r="AD41" s="170"/>
      <c r="AE41" s="170"/>
      <c r="AF41" s="171"/>
      <c r="AG41" s="169"/>
      <c r="AH41" s="170"/>
      <c r="AI41" s="170"/>
      <c r="AJ41" s="170"/>
      <c r="AK41" s="170"/>
      <c r="AL41" s="170"/>
      <c r="AM41" s="171"/>
      <c r="AN41" s="170"/>
      <c r="AO41" s="170"/>
      <c r="AP41" s="170"/>
      <c r="AQ41" s="170"/>
      <c r="AR41" s="170"/>
      <c r="AS41" s="170"/>
      <c r="AT41" s="171"/>
      <c r="AU41" s="172"/>
      <c r="AV41" s="172"/>
      <c r="AW41" s="173"/>
      <c r="AX41" s="174"/>
      <c r="CY41" s="91"/>
    </row>
    <row r="42" spans="2:103" x14ac:dyDescent="0.3">
      <c r="B42" s="159"/>
      <c r="C42" s="160"/>
      <c r="D42" s="160"/>
      <c r="E42" s="160"/>
      <c r="F42" s="160"/>
      <c r="G42" s="160"/>
      <c r="H42" s="161"/>
      <c r="I42" s="161"/>
      <c r="J42" s="162"/>
      <c r="K42" s="317"/>
      <c r="L42" s="163"/>
      <c r="M42" s="162"/>
      <c r="N42" s="318"/>
      <c r="O42" s="319"/>
      <c r="P42" s="320"/>
      <c r="Q42" s="320"/>
      <c r="R42" s="166"/>
      <c r="S42" s="166"/>
      <c r="T42" s="162"/>
      <c r="U42" s="167"/>
      <c r="V42" s="167"/>
      <c r="W42" s="167"/>
      <c r="X42" s="167"/>
      <c r="Y42" s="168"/>
      <c r="Z42" s="169"/>
      <c r="AA42" s="170"/>
      <c r="AB42" s="170"/>
      <c r="AC42" s="170"/>
      <c r="AD42" s="170"/>
      <c r="AE42" s="170"/>
      <c r="AF42" s="171"/>
      <c r="AG42" s="169"/>
      <c r="AH42" s="170"/>
      <c r="AI42" s="170"/>
      <c r="AJ42" s="170"/>
      <c r="AK42" s="170"/>
      <c r="AL42" s="170"/>
      <c r="AM42" s="171"/>
      <c r="AN42" s="170"/>
      <c r="AO42" s="170"/>
      <c r="AP42" s="170"/>
      <c r="AQ42" s="170"/>
      <c r="AR42" s="170"/>
      <c r="AS42" s="170"/>
      <c r="AT42" s="171"/>
      <c r="AU42" s="172"/>
      <c r="AV42" s="172"/>
      <c r="AW42" s="173"/>
      <c r="AX42" s="174"/>
      <c r="CY42" s="91"/>
    </row>
    <row r="43" spans="2:103" x14ac:dyDescent="0.3">
      <c r="B43" s="159"/>
      <c r="C43" s="160"/>
      <c r="D43" s="160"/>
      <c r="E43" s="160"/>
      <c r="F43" s="160"/>
      <c r="G43" s="160"/>
      <c r="H43" s="161"/>
      <c r="I43" s="161"/>
      <c r="J43" s="162"/>
      <c r="K43" s="317"/>
      <c r="L43" s="163"/>
      <c r="M43" s="162"/>
      <c r="N43" s="318"/>
      <c r="O43" s="319"/>
      <c r="P43" s="320"/>
      <c r="Q43" s="320"/>
      <c r="R43" s="166"/>
      <c r="S43" s="166"/>
      <c r="T43" s="162"/>
      <c r="U43" s="167"/>
      <c r="V43" s="167"/>
      <c r="W43" s="167"/>
      <c r="X43" s="167"/>
      <c r="Y43" s="168"/>
      <c r="Z43" s="169"/>
      <c r="AA43" s="170"/>
      <c r="AB43" s="170"/>
      <c r="AC43" s="170"/>
      <c r="AD43" s="170"/>
      <c r="AE43" s="170"/>
      <c r="AF43" s="171"/>
      <c r="AG43" s="169"/>
      <c r="AH43" s="170"/>
      <c r="AI43" s="170"/>
      <c r="AJ43" s="170"/>
      <c r="AK43" s="170"/>
      <c r="AL43" s="170"/>
      <c r="AM43" s="171"/>
      <c r="AN43" s="170"/>
      <c r="AO43" s="170"/>
      <c r="AP43" s="170"/>
      <c r="AQ43" s="170"/>
      <c r="AR43" s="170"/>
      <c r="AS43" s="170"/>
      <c r="AT43" s="171"/>
      <c r="AU43" s="172"/>
      <c r="AV43" s="172"/>
      <c r="AW43" s="173"/>
      <c r="AX43" s="174"/>
      <c r="CY43" s="91"/>
    </row>
    <row r="44" spans="2:103" x14ac:dyDescent="0.3">
      <c r="B44" s="159"/>
      <c r="C44" s="160"/>
      <c r="D44" s="160"/>
      <c r="E44" s="160"/>
      <c r="F44" s="160"/>
      <c r="G44" s="160"/>
      <c r="H44" s="161"/>
      <c r="I44" s="161"/>
      <c r="J44" s="162"/>
      <c r="K44" s="317"/>
      <c r="L44" s="163"/>
      <c r="M44" s="162"/>
      <c r="N44" s="318"/>
      <c r="O44" s="319"/>
      <c r="P44" s="320"/>
      <c r="Q44" s="320"/>
      <c r="R44" s="166"/>
      <c r="S44" s="166"/>
      <c r="T44" s="177"/>
      <c r="U44" s="167"/>
      <c r="V44" s="167"/>
      <c r="W44" s="167"/>
      <c r="X44" s="167"/>
      <c r="Y44" s="168"/>
      <c r="Z44" s="169"/>
      <c r="AA44" s="170"/>
      <c r="AB44" s="170"/>
      <c r="AC44" s="170"/>
      <c r="AD44" s="170"/>
      <c r="AE44" s="170"/>
      <c r="AF44" s="171"/>
      <c r="AG44" s="169"/>
      <c r="AH44" s="170"/>
      <c r="AI44" s="170"/>
      <c r="AJ44" s="170"/>
      <c r="AK44" s="170"/>
      <c r="AL44" s="170"/>
      <c r="AM44" s="171"/>
      <c r="AN44" s="170"/>
      <c r="AO44" s="170"/>
      <c r="AP44" s="170"/>
      <c r="AQ44" s="170"/>
      <c r="AR44" s="170"/>
      <c r="AS44" s="170"/>
      <c r="AT44" s="171"/>
      <c r="AU44" s="172"/>
      <c r="AV44" s="172"/>
      <c r="AW44" s="173"/>
      <c r="AX44" s="174"/>
      <c r="CY44" s="91"/>
    </row>
    <row r="45" spans="2:103" x14ac:dyDescent="0.3">
      <c r="B45" s="159"/>
      <c r="C45" s="160"/>
      <c r="D45" s="160"/>
      <c r="E45" s="160"/>
      <c r="F45" s="160"/>
      <c r="G45" s="160"/>
      <c r="H45" s="161"/>
      <c r="I45" s="161"/>
      <c r="J45" s="162"/>
      <c r="K45" s="317"/>
      <c r="L45" s="163"/>
      <c r="M45" s="162"/>
      <c r="N45" s="318"/>
      <c r="O45" s="319"/>
      <c r="P45" s="320"/>
      <c r="Q45" s="320"/>
      <c r="R45" s="166"/>
      <c r="S45" s="166"/>
      <c r="T45" s="177"/>
      <c r="U45" s="167"/>
      <c r="V45" s="167"/>
      <c r="W45" s="167"/>
      <c r="X45" s="167"/>
      <c r="Y45" s="168"/>
      <c r="Z45" s="169"/>
      <c r="AA45" s="170"/>
      <c r="AB45" s="170"/>
      <c r="AC45" s="170"/>
      <c r="AD45" s="170"/>
      <c r="AE45" s="170"/>
      <c r="AF45" s="171"/>
      <c r="AG45" s="169"/>
      <c r="AH45" s="170"/>
      <c r="AI45" s="170"/>
      <c r="AJ45" s="170"/>
      <c r="AK45" s="170"/>
      <c r="AL45" s="170"/>
      <c r="AM45" s="171"/>
      <c r="AN45" s="170"/>
      <c r="AO45" s="170"/>
      <c r="AP45" s="170"/>
      <c r="AQ45" s="170"/>
      <c r="AR45" s="170"/>
      <c r="AS45" s="170"/>
      <c r="AT45" s="171"/>
      <c r="AU45" s="172"/>
      <c r="AV45" s="172"/>
      <c r="AW45" s="173"/>
      <c r="AX45" s="174"/>
      <c r="CY45" s="91"/>
    </row>
    <row r="46" spans="2:103" x14ac:dyDescent="0.3">
      <c r="B46" s="159"/>
      <c r="C46" s="160"/>
      <c r="D46" s="160"/>
      <c r="E46" s="160"/>
      <c r="F46" s="160"/>
      <c r="G46" s="160"/>
      <c r="H46" s="161"/>
      <c r="I46" s="161"/>
      <c r="J46" s="162"/>
      <c r="K46" s="317"/>
      <c r="L46" s="163"/>
      <c r="M46" s="162"/>
      <c r="N46" s="318"/>
      <c r="O46" s="319"/>
      <c r="P46" s="320"/>
      <c r="Q46" s="320"/>
      <c r="R46" s="166"/>
      <c r="S46" s="166"/>
      <c r="T46" s="177"/>
      <c r="U46" s="167"/>
      <c r="V46" s="167"/>
      <c r="W46" s="167"/>
      <c r="X46" s="167"/>
      <c r="Y46" s="168"/>
      <c r="Z46" s="169"/>
      <c r="AA46" s="170"/>
      <c r="AB46" s="170"/>
      <c r="AC46" s="170"/>
      <c r="AD46" s="170"/>
      <c r="AE46" s="170"/>
      <c r="AF46" s="171"/>
      <c r="AG46" s="169"/>
      <c r="AH46" s="169"/>
      <c r="AI46" s="169"/>
      <c r="AJ46" s="170"/>
      <c r="AK46" s="170"/>
      <c r="AL46" s="170"/>
      <c r="AM46" s="171"/>
      <c r="AN46" s="170"/>
      <c r="AO46" s="170"/>
      <c r="AP46" s="170"/>
      <c r="AQ46" s="170"/>
      <c r="AR46" s="170"/>
      <c r="AS46" s="170"/>
      <c r="AT46" s="171"/>
      <c r="AU46" s="172"/>
      <c r="AV46" s="172"/>
      <c r="AW46" s="173"/>
      <c r="AX46" s="174"/>
      <c r="CY46" s="91"/>
    </row>
    <row r="47" spans="2:103" x14ac:dyDescent="0.3">
      <c r="B47" s="159"/>
      <c r="C47" s="160"/>
      <c r="D47" s="160"/>
      <c r="E47" s="160"/>
      <c r="F47" s="160"/>
      <c r="G47" s="160"/>
      <c r="H47" s="161"/>
      <c r="I47" s="161"/>
      <c r="J47" s="162"/>
      <c r="K47" s="317"/>
      <c r="L47" s="163"/>
      <c r="M47" s="162"/>
      <c r="N47" s="318"/>
      <c r="O47" s="319"/>
      <c r="P47" s="320"/>
      <c r="Q47" s="320"/>
      <c r="R47" s="166"/>
      <c r="S47" s="166"/>
      <c r="T47" s="177"/>
      <c r="U47" s="167"/>
      <c r="V47" s="167"/>
      <c r="W47" s="167"/>
      <c r="X47" s="167"/>
      <c r="Y47" s="168"/>
      <c r="Z47" s="169"/>
      <c r="AA47" s="170"/>
      <c r="AB47" s="170"/>
      <c r="AC47" s="170"/>
      <c r="AD47" s="170"/>
      <c r="AE47" s="170"/>
      <c r="AF47" s="171"/>
      <c r="AG47" s="169"/>
      <c r="AH47" s="169"/>
      <c r="AI47" s="169"/>
      <c r="AJ47" s="169"/>
      <c r="AK47" s="170"/>
      <c r="AL47" s="170"/>
      <c r="AM47" s="171"/>
      <c r="AN47" s="170"/>
      <c r="AO47" s="170"/>
      <c r="AP47" s="170"/>
      <c r="AQ47" s="170"/>
      <c r="AR47" s="170"/>
      <c r="AS47" s="170"/>
      <c r="AT47" s="171"/>
      <c r="AU47" s="172"/>
      <c r="AV47" s="172"/>
      <c r="AW47" s="173"/>
      <c r="AX47" s="174"/>
      <c r="CY47" s="91"/>
    </row>
    <row r="48" spans="2:103" x14ac:dyDescent="0.3">
      <c r="B48" s="159"/>
      <c r="C48" s="160"/>
      <c r="D48" s="160"/>
      <c r="E48" s="160"/>
      <c r="F48" s="160"/>
      <c r="G48" s="160"/>
      <c r="H48" s="161"/>
      <c r="I48" s="161"/>
      <c r="J48" s="162"/>
      <c r="K48" s="317"/>
      <c r="L48" s="163"/>
      <c r="M48" s="162"/>
      <c r="N48" s="318"/>
      <c r="O48" s="319"/>
      <c r="P48" s="320"/>
      <c r="Q48" s="320"/>
      <c r="R48" s="166"/>
      <c r="S48" s="166"/>
      <c r="T48" s="177"/>
      <c r="U48" s="167"/>
      <c r="V48" s="167"/>
      <c r="W48" s="167"/>
      <c r="X48" s="167"/>
      <c r="Y48" s="168"/>
      <c r="Z48" s="169"/>
      <c r="AA48" s="170"/>
      <c r="AB48" s="170"/>
      <c r="AC48" s="170"/>
      <c r="AD48" s="170"/>
      <c r="AE48" s="170"/>
      <c r="AF48" s="171"/>
      <c r="AG48" s="169"/>
      <c r="AH48" s="170"/>
      <c r="AI48" s="170"/>
      <c r="AJ48" s="170"/>
      <c r="AK48" s="170"/>
      <c r="AL48" s="170"/>
      <c r="AM48" s="171"/>
      <c r="AN48" s="170"/>
      <c r="AO48" s="170"/>
      <c r="AP48" s="170"/>
      <c r="AQ48" s="170"/>
      <c r="AR48" s="170"/>
      <c r="AS48" s="170"/>
      <c r="AT48" s="171"/>
      <c r="AU48" s="172"/>
      <c r="AV48" s="172"/>
      <c r="AW48" s="173"/>
      <c r="AX48" s="174"/>
      <c r="CY48" s="91"/>
    </row>
    <row r="49" spans="2:103" x14ac:dyDescent="0.3">
      <c r="B49" s="159"/>
      <c r="C49" s="160"/>
      <c r="D49" s="160"/>
      <c r="E49" s="160"/>
      <c r="F49" s="160"/>
      <c r="G49" s="160"/>
      <c r="H49" s="161"/>
      <c r="I49" s="161"/>
      <c r="J49" s="162"/>
      <c r="K49" s="317"/>
      <c r="L49" s="163"/>
      <c r="M49" s="162"/>
      <c r="N49" s="318"/>
      <c r="O49" s="319"/>
      <c r="P49" s="320"/>
      <c r="Q49" s="320"/>
      <c r="R49" s="166"/>
      <c r="S49" s="166"/>
      <c r="T49" s="177"/>
      <c r="U49" s="167"/>
      <c r="V49" s="167"/>
      <c r="W49" s="167"/>
      <c r="X49" s="167"/>
      <c r="Y49" s="168"/>
      <c r="Z49" s="169"/>
      <c r="AA49" s="170"/>
      <c r="AB49" s="170"/>
      <c r="AC49" s="170"/>
      <c r="AD49" s="170"/>
      <c r="AE49" s="170"/>
      <c r="AF49" s="171"/>
      <c r="AG49" s="169"/>
      <c r="AH49" s="170"/>
      <c r="AI49" s="170"/>
      <c r="AJ49" s="170"/>
      <c r="AK49" s="170"/>
      <c r="AL49" s="170"/>
      <c r="AM49" s="171"/>
      <c r="AN49" s="170"/>
      <c r="AO49" s="170"/>
      <c r="AP49" s="170"/>
      <c r="AQ49" s="170"/>
      <c r="AR49" s="170"/>
      <c r="AS49" s="170"/>
      <c r="AT49" s="171"/>
      <c r="AU49" s="172"/>
      <c r="AV49" s="172"/>
      <c r="AW49" s="173"/>
      <c r="AX49" s="174"/>
      <c r="CY49" s="91"/>
    </row>
    <row r="50" spans="2:103" x14ac:dyDescent="0.3">
      <c r="B50" s="158"/>
      <c r="C50" s="159"/>
      <c r="D50" s="160"/>
      <c r="E50" s="160"/>
      <c r="F50" s="160"/>
      <c r="G50" s="160"/>
      <c r="H50" s="161"/>
      <c r="I50" s="161"/>
      <c r="J50" s="162"/>
      <c r="K50" s="163"/>
      <c r="L50" s="163"/>
      <c r="M50" s="162"/>
      <c r="N50" s="164"/>
      <c r="O50" s="162"/>
      <c r="P50" s="165"/>
      <c r="Q50" s="176"/>
      <c r="R50" s="166"/>
      <c r="S50" s="166"/>
      <c r="T50" s="177"/>
      <c r="U50" s="167"/>
      <c r="V50" s="167"/>
      <c r="W50" s="167"/>
      <c r="X50" s="167"/>
      <c r="Y50" s="168"/>
      <c r="Z50" s="169"/>
      <c r="AA50" s="170"/>
      <c r="AB50" s="170"/>
      <c r="AC50" s="170"/>
      <c r="AD50" s="170"/>
      <c r="AE50" s="170"/>
      <c r="AF50" s="171"/>
      <c r="AG50" s="169"/>
      <c r="AH50" s="170"/>
      <c r="AI50" s="170"/>
      <c r="AJ50" s="170"/>
      <c r="AK50" s="170"/>
      <c r="AL50" s="170"/>
      <c r="AM50" s="171"/>
      <c r="AN50" s="170"/>
      <c r="AO50" s="170"/>
      <c r="AP50" s="170"/>
      <c r="AQ50" s="170"/>
      <c r="AR50" s="170"/>
      <c r="AS50" s="170"/>
      <c r="AT50" s="171"/>
      <c r="AU50" s="172"/>
      <c r="AV50" s="172"/>
      <c r="AW50" s="173"/>
      <c r="AX50" s="174"/>
    </row>
    <row r="51" spans="2:103" x14ac:dyDescent="0.3">
      <c r="B51" s="175"/>
      <c r="C51" s="159"/>
      <c r="D51" s="160"/>
      <c r="E51" s="160"/>
      <c r="F51" s="160"/>
      <c r="G51" s="160"/>
      <c r="H51" s="161"/>
      <c r="I51" s="161"/>
      <c r="J51" s="162"/>
      <c r="K51" s="163"/>
      <c r="L51" s="163"/>
      <c r="M51" s="162"/>
      <c r="N51" s="164"/>
      <c r="O51" s="162"/>
      <c r="P51" s="165"/>
      <c r="Q51" s="176"/>
      <c r="R51" s="166"/>
      <c r="S51" s="166"/>
      <c r="T51" s="177"/>
      <c r="U51" s="167"/>
      <c r="V51" s="167"/>
      <c r="W51" s="167"/>
      <c r="X51" s="167"/>
      <c r="Y51" s="168"/>
      <c r="Z51" s="169"/>
      <c r="AA51" s="170"/>
      <c r="AB51" s="170"/>
      <c r="AC51" s="170"/>
      <c r="AD51" s="170"/>
      <c r="AE51" s="170"/>
      <c r="AF51" s="171"/>
      <c r="AG51" s="169"/>
      <c r="AH51" s="170"/>
      <c r="AI51" s="170"/>
      <c r="AJ51" s="170"/>
      <c r="AK51" s="170"/>
      <c r="AL51" s="170"/>
      <c r="AM51" s="171"/>
      <c r="AN51" s="170"/>
      <c r="AO51" s="170"/>
      <c r="AP51" s="170"/>
      <c r="AQ51" s="170"/>
      <c r="AR51" s="170"/>
      <c r="AS51" s="170"/>
      <c r="AT51" s="171"/>
      <c r="AU51" s="172"/>
      <c r="AV51" s="172"/>
      <c r="AW51" s="173"/>
      <c r="AX51" s="174"/>
    </row>
    <row r="52" spans="2:103" x14ac:dyDescent="0.3">
      <c r="B52" s="175"/>
      <c r="C52" s="159"/>
      <c r="D52" s="160"/>
      <c r="E52" s="160"/>
      <c r="F52" s="160"/>
      <c r="G52" s="160"/>
      <c r="H52" s="161"/>
      <c r="I52" s="161"/>
      <c r="J52" s="162"/>
      <c r="K52" s="163"/>
      <c r="L52" s="163"/>
      <c r="M52" s="162"/>
      <c r="N52" s="164"/>
      <c r="O52" s="162"/>
      <c r="P52" s="165"/>
      <c r="Q52" s="176"/>
      <c r="R52" s="166"/>
      <c r="S52" s="166"/>
      <c r="T52" s="177"/>
      <c r="U52" s="167"/>
      <c r="V52" s="167"/>
      <c r="W52" s="167"/>
      <c r="X52" s="167"/>
      <c r="Y52" s="168"/>
      <c r="Z52" s="169"/>
      <c r="AA52" s="170"/>
      <c r="AB52" s="170"/>
      <c r="AC52" s="170"/>
      <c r="AD52" s="170"/>
      <c r="AE52" s="170"/>
      <c r="AF52" s="171"/>
      <c r="AG52" s="169"/>
      <c r="AH52" s="170"/>
      <c r="AI52" s="170"/>
      <c r="AJ52" s="170"/>
      <c r="AK52" s="170"/>
      <c r="AL52" s="170"/>
      <c r="AM52" s="171"/>
      <c r="AN52" s="170"/>
      <c r="AO52" s="170"/>
      <c r="AP52" s="170"/>
      <c r="AQ52" s="170"/>
      <c r="AR52" s="170"/>
      <c r="AS52" s="170"/>
      <c r="AT52" s="171"/>
      <c r="AU52" s="172"/>
      <c r="AV52" s="172"/>
      <c r="AW52" s="173"/>
      <c r="AX52" s="174"/>
    </row>
    <row r="53" spans="2:103" x14ac:dyDescent="0.3">
      <c r="B53" s="175"/>
      <c r="C53" s="159"/>
      <c r="D53" s="160"/>
      <c r="E53" s="160"/>
      <c r="F53" s="160"/>
      <c r="G53" s="160"/>
      <c r="H53" s="161"/>
      <c r="I53" s="161"/>
      <c r="J53" s="162"/>
      <c r="K53" s="163"/>
      <c r="L53" s="163"/>
      <c r="M53" s="162"/>
      <c r="N53" s="164"/>
      <c r="O53" s="162"/>
      <c r="P53" s="165"/>
      <c r="Q53" s="176"/>
      <c r="R53" s="166"/>
      <c r="S53" s="166"/>
      <c r="T53" s="177"/>
      <c r="U53" s="167"/>
      <c r="V53" s="167"/>
      <c r="W53" s="167"/>
      <c r="X53" s="167"/>
      <c r="Y53" s="168"/>
      <c r="Z53" s="169"/>
      <c r="AA53" s="170"/>
      <c r="AB53" s="170"/>
      <c r="AC53" s="170"/>
      <c r="AD53" s="170"/>
      <c r="AE53" s="170"/>
      <c r="AF53" s="171"/>
      <c r="AG53" s="169"/>
      <c r="AH53" s="170"/>
      <c r="AI53" s="170"/>
      <c r="AJ53" s="170"/>
      <c r="AK53" s="170"/>
      <c r="AL53" s="170"/>
      <c r="AM53" s="171"/>
      <c r="AN53" s="170"/>
      <c r="AO53" s="170"/>
      <c r="AP53" s="170"/>
      <c r="AQ53" s="170"/>
      <c r="AR53" s="170"/>
      <c r="AS53" s="170"/>
      <c r="AT53" s="171"/>
      <c r="AU53" s="172"/>
      <c r="AV53" s="172"/>
      <c r="AW53" s="173"/>
      <c r="AX53" s="174"/>
    </row>
    <row r="54" spans="2:103" x14ac:dyDescent="0.3">
      <c r="B54" s="175"/>
      <c r="C54" s="159"/>
      <c r="D54" s="160"/>
      <c r="E54" s="160"/>
      <c r="F54" s="160"/>
      <c r="G54" s="160"/>
      <c r="H54" s="161"/>
      <c r="I54" s="161"/>
      <c r="J54" s="162"/>
      <c r="K54" s="163"/>
      <c r="L54" s="163"/>
      <c r="M54" s="162"/>
      <c r="N54" s="164"/>
      <c r="O54" s="162"/>
      <c r="P54" s="165"/>
      <c r="Q54" s="176"/>
      <c r="R54" s="166"/>
      <c r="S54" s="166"/>
      <c r="T54" s="162"/>
      <c r="U54" s="167"/>
      <c r="V54" s="167"/>
      <c r="W54" s="167"/>
      <c r="X54" s="167"/>
      <c r="Y54" s="168"/>
      <c r="Z54" s="169"/>
      <c r="AA54" s="170"/>
      <c r="AB54" s="170"/>
      <c r="AC54" s="170"/>
      <c r="AD54" s="170"/>
      <c r="AE54" s="170"/>
      <c r="AF54" s="171"/>
      <c r="AG54" s="169"/>
      <c r="AH54" s="170"/>
      <c r="AI54" s="170"/>
      <c r="AJ54" s="170"/>
      <c r="AK54" s="170"/>
      <c r="AL54" s="170"/>
      <c r="AM54" s="171"/>
      <c r="AN54" s="170"/>
      <c r="AO54" s="170"/>
      <c r="AP54" s="170"/>
      <c r="AQ54" s="170"/>
      <c r="AR54" s="170"/>
      <c r="AS54" s="170"/>
      <c r="AT54" s="171"/>
      <c r="AU54" s="172"/>
      <c r="AV54" s="172"/>
      <c r="AW54" s="173"/>
      <c r="AX54" s="174"/>
    </row>
    <row r="55" spans="2:103" x14ac:dyDescent="0.3">
      <c r="B55" s="175"/>
      <c r="C55" s="159"/>
      <c r="D55" s="160"/>
      <c r="E55" s="160"/>
      <c r="F55" s="160"/>
      <c r="G55" s="160"/>
      <c r="H55" s="161"/>
      <c r="I55" s="161"/>
      <c r="J55" s="162"/>
      <c r="K55" s="163"/>
      <c r="L55" s="163"/>
      <c r="M55" s="162"/>
      <c r="N55" s="164"/>
      <c r="O55" s="162"/>
      <c r="P55" s="165"/>
      <c r="Q55" s="176"/>
      <c r="R55" s="166"/>
      <c r="S55" s="166"/>
      <c r="T55" s="162"/>
      <c r="U55" s="167"/>
      <c r="V55" s="167"/>
      <c r="W55" s="167"/>
      <c r="X55" s="167"/>
      <c r="Y55" s="168"/>
      <c r="Z55" s="169"/>
      <c r="AA55" s="170"/>
      <c r="AB55" s="170"/>
      <c r="AC55" s="170"/>
      <c r="AD55" s="170"/>
      <c r="AE55" s="170"/>
      <c r="AF55" s="171"/>
      <c r="AG55" s="169"/>
      <c r="AH55" s="170"/>
      <c r="AI55" s="170"/>
      <c r="AJ55" s="170"/>
      <c r="AK55" s="170"/>
      <c r="AL55" s="170"/>
      <c r="AM55" s="171"/>
      <c r="AN55" s="170"/>
      <c r="AO55" s="170"/>
      <c r="AP55" s="170"/>
      <c r="AQ55" s="170"/>
      <c r="AR55" s="170"/>
      <c r="AS55" s="170"/>
      <c r="AT55" s="171"/>
      <c r="AU55" s="172"/>
      <c r="AV55" s="172"/>
      <c r="AW55" s="173"/>
      <c r="AX55" s="174"/>
    </row>
    <row r="56" spans="2:103" x14ac:dyDescent="0.3">
      <c r="B56" s="158"/>
      <c r="C56" s="159"/>
      <c r="D56" s="160"/>
      <c r="E56" s="160"/>
      <c r="F56" s="160"/>
      <c r="G56" s="160"/>
      <c r="H56" s="161"/>
      <c r="I56" s="161"/>
      <c r="J56" s="162"/>
      <c r="K56" s="163"/>
      <c r="L56" s="163"/>
      <c r="M56" s="162"/>
      <c r="N56" s="164"/>
      <c r="O56" s="162"/>
      <c r="P56" s="165"/>
      <c r="Q56" s="162"/>
      <c r="R56" s="166"/>
      <c r="S56" s="166"/>
      <c r="T56" s="162"/>
      <c r="U56" s="167"/>
      <c r="V56" s="167"/>
      <c r="W56" s="167"/>
      <c r="X56" s="167"/>
      <c r="Y56" s="168"/>
      <c r="Z56" s="169"/>
      <c r="AA56" s="170"/>
      <c r="AB56" s="170"/>
      <c r="AC56" s="170"/>
      <c r="AD56" s="170"/>
      <c r="AE56" s="170"/>
      <c r="AF56" s="171"/>
      <c r="AG56" s="169"/>
      <c r="AH56" s="170"/>
      <c r="AI56" s="170"/>
      <c r="AJ56" s="170"/>
      <c r="AK56" s="170"/>
      <c r="AL56" s="170"/>
      <c r="AM56" s="171"/>
      <c r="AN56" s="170"/>
      <c r="AO56" s="170"/>
      <c r="AP56" s="170"/>
      <c r="AQ56" s="170"/>
      <c r="AR56" s="170"/>
      <c r="AS56" s="170"/>
      <c r="AT56" s="171"/>
      <c r="AU56" s="172"/>
      <c r="AV56" s="172"/>
      <c r="AW56" s="173"/>
      <c r="AX56" s="174"/>
    </row>
    <row r="57" spans="2:103" x14ac:dyDescent="0.3">
      <c r="B57" s="175"/>
      <c r="C57" s="159"/>
      <c r="D57" s="160"/>
      <c r="E57" s="160"/>
      <c r="F57" s="160"/>
      <c r="G57" s="160"/>
      <c r="H57" s="161"/>
      <c r="I57" s="161"/>
      <c r="J57" s="162"/>
      <c r="K57" s="163"/>
      <c r="L57" s="163"/>
      <c r="M57" s="162"/>
      <c r="N57" s="164"/>
      <c r="O57" s="162"/>
      <c r="P57" s="165"/>
      <c r="Q57" s="162"/>
      <c r="R57" s="166"/>
      <c r="S57" s="166"/>
      <c r="T57" s="177"/>
      <c r="U57" s="167"/>
      <c r="V57" s="167"/>
      <c r="W57" s="167"/>
      <c r="X57" s="167"/>
      <c r="Y57" s="168"/>
      <c r="Z57" s="169"/>
      <c r="AA57" s="170"/>
      <c r="AB57" s="170"/>
      <c r="AC57" s="170"/>
      <c r="AD57" s="170"/>
      <c r="AE57" s="170"/>
      <c r="AF57" s="171"/>
      <c r="AG57" s="169"/>
      <c r="AH57" s="170"/>
      <c r="AI57" s="170"/>
      <c r="AJ57" s="170"/>
      <c r="AK57" s="170"/>
      <c r="AL57" s="170"/>
      <c r="AM57" s="171"/>
      <c r="AN57" s="170"/>
      <c r="AO57" s="170"/>
      <c r="AP57" s="170"/>
      <c r="AQ57" s="170"/>
      <c r="AR57" s="170"/>
      <c r="AS57" s="170"/>
      <c r="AT57" s="171"/>
      <c r="AU57" s="172"/>
      <c r="AV57" s="172"/>
      <c r="AW57" s="173"/>
      <c r="AX57" s="174"/>
    </row>
    <row r="58" spans="2:103" x14ac:dyDescent="0.3">
      <c r="B58" s="175"/>
      <c r="C58" s="159"/>
      <c r="D58" s="160"/>
      <c r="E58" s="160"/>
      <c r="F58" s="160"/>
      <c r="G58" s="160"/>
      <c r="H58" s="161"/>
      <c r="I58" s="161"/>
      <c r="J58" s="162"/>
      <c r="K58" s="163"/>
      <c r="L58" s="163"/>
      <c r="M58" s="162"/>
      <c r="N58" s="164"/>
      <c r="O58" s="162"/>
      <c r="P58" s="165"/>
      <c r="Q58" s="162"/>
      <c r="R58" s="166"/>
      <c r="S58" s="166"/>
      <c r="T58" s="177"/>
      <c r="U58" s="167"/>
      <c r="V58" s="167"/>
      <c r="W58" s="167"/>
      <c r="X58" s="167"/>
      <c r="Y58" s="168"/>
      <c r="Z58" s="169"/>
      <c r="AA58" s="170"/>
      <c r="AB58" s="170"/>
      <c r="AC58" s="170"/>
      <c r="AD58" s="170"/>
      <c r="AE58" s="170"/>
      <c r="AF58" s="171"/>
      <c r="AG58" s="169"/>
      <c r="AH58" s="170"/>
      <c r="AI58" s="170"/>
      <c r="AJ58" s="170"/>
      <c r="AK58" s="170"/>
      <c r="AL58" s="170"/>
      <c r="AM58" s="171"/>
      <c r="AN58" s="170"/>
      <c r="AO58" s="170"/>
      <c r="AP58" s="170"/>
      <c r="AQ58" s="170"/>
      <c r="AR58" s="170"/>
      <c r="AS58" s="170"/>
      <c r="AT58" s="171"/>
      <c r="AU58" s="172"/>
      <c r="AV58" s="172"/>
      <c r="AW58" s="173"/>
      <c r="AX58" s="174"/>
    </row>
    <row r="59" spans="2:103" x14ac:dyDescent="0.3">
      <c r="B59" s="175"/>
      <c r="C59" s="159"/>
      <c r="D59" s="160"/>
      <c r="E59" s="160"/>
      <c r="F59" s="160"/>
      <c r="G59" s="160"/>
      <c r="H59" s="161"/>
      <c r="I59" s="161"/>
      <c r="J59" s="162"/>
      <c r="K59" s="163"/>
      <c r="L59" s="163"/>
      <c r="M59" s="162"/>
      <c r="N59" s="164"/>
      <c r="O59" s="162"/>
      <c r="P59" s="165"/>
      <c r="Q59" s="162"/>
      <c r="R59" s="166"/>
      <c r="S59" s="166"/>
      <c r="T59" s="162"/>
      <c r="U59" s="167"/>
      <c r="V59" s="167"/>
      <c r="W59" s="167"/>
      <c r="X59" s="167"/>
      <c r="Y59" s="168"/>
      <c r="Z59" s="169"/>
      <c r="AA59" s="170"/>
      <c r="AB59" s="170"/>
      <c r="AC59" s="170"/>
      <c r="AD59" s="170"/>
      <c r="AE59" s="170"/>
      <c r="AF59" s="171"/>
      <c r="AG59" s="169"/>
      <c r="AH59" s="170"/>
      <c r="AI59" s="170"/>
      <c r="AJ59" s="170"/>
      <c r="AK59" s="170"/>
      <c r="AL59" s="170"/>
      <c r="AM59" s="171"/>
      <c r="AN59" s="170"/>
      <c r="AO59" s="170"/>
      <c r="AP59" s="170"/>
      <c r="AQ59" s="170"/>
      <c r="AR59" s="170"/>
      <c r="AS59" s="170"/>
      <c r="AT59" s="171"/>
      <c r="AU59" s="172"/>
      <c r="AV59" s="172"/>
      <c r="AW59" s="173"/>
      <c r="AX59" s="174"/>
    </row>
    <row r="60" spans="2:103" x14ac:dyDescent="0.3">
      <c r="B60" s="175"/>
      <c r="C60" s="159"/>
      <c r="D60" s="160"/>
      <c r="E60" s="160"/>
      <c r="F60" s="160"/>
      <c r="G60" s="160"/>
      <c r="H60" s="161"/>
      <c r="I60" s="161"/>
      <c r="J60" s="162"/>
      <c r="K60" s="163"/>
      <c r="L60" s="163"/>
      <c r="M60" s="162"/>
      <c r="N60" s="164"/>
      <c r="O60" s="162"/>
      <c r="P60" s="165"/>
      <c r="Q60" s="162"/>
      <c r="R60" s="166"/>
      <c r="S60" s="166"/>
      <c r="T60" s="162"/>
      <c r="U60" s="167"/>
      <c r="V60" s="167"/>
      <c r="W60" s="167"/>
      <c r="X60" s="167"/>
      <c r="Y60" s="168"/>
      <c r="Z60" s="169"/>
      <c r="AA60" s="170"/>
      <c r="AB60" s="170"/>
      <c r="AC60" s="170"/>
      <c r="AD60" s="170"/>
      <c r="AE60" s="170"/>
      <c r="AF60" s="171"/>
      <c r="AG60" s="169"/>
      <c r="AH60" s="170"/>
      <c r="AI60" s="170"/>
      <c r="AJ60" s="170"/>
      <c r="AK60" s="170"/>
      <c r="AL60" s="170"/>
      <c r="AM60" s="171"/>
      <c r="AN60" s="170"/>
      <c r="AO60" s="170"/>
      <c r="AP60" s="170"/>
      <c r="AQ60" s="170"/>
      <c r="AR60" s="170"/>
      <c r="AS60" s="170"/>
      <c r="AT60" s="171"/>
      <c r="AU60" s="172"/>
      <c r="AV60" s="172"/>
      <c r="AW60" s="173"/>
      <c r="AX60" s="174"/>
    </row>
    <row r="61" spans="2:103" x14ac:dyDescent="0.3">
      <c r="B61" s="175"/>
      <c r="C61" s="159"/>
      <c r="D61" s="160"/>
      <c r="E61" s="160"/>
      <c r="F61" s="160"/>
      <c r="G61" s="160"/>
      <c r="H61" s="161"/>
      <c r="I61" s="161"/>
      <c r="J61" s="162"/>
      <c r="K61" s="163"/>
      <c r="L61" s="163"/>
      <c r="M61" s="162"/>
      <c r="N61" s="164"/>
      <c r="O61" s="162"/>
      <c r="P61" s="165"/>
      <c r="Q61" s="162"/>
      <c r="R61" s="166"/>
      <c r="S61" s="166"/>
      <c r="T61" s="162"/>
      <c r="U61" s="167"/>
      <c r="V61" s="167"/>
      <c r="W61" s="167"/>
      <c r="X61" s="167"/>
      <c r="Y61" s="168"/>
      <c r="Z61" s="169"/>
      <c r="AA61" s="170"/>
      <c r="AB61" s="170"/>
      <c r="AC61" s="170"/>
      <c r="AD61" s="170"/>
      <c r="AE61" s="170"/>
      <c r="AF61" s="171"/>
      <c r="AG61" s="169"/>
      <c r="AH61" s="170"/>
      <c r="AI61" s="170"/>
      <c r="AJ61" s="170"/>
      <c r="AK61" s="170"/>
      <c r="AL61" s="170"/>
      <c r="AM61" s="171"/>
      <c r="AN61" s="170"/>
      <c r="AO61" s="170"/>
      <c r="AP61" s="170"/>
      <c r="AQ61" s="170"/>
      <c r="AR61" s="170"/>
      <c r="AS61" s="170"/>
      <c r="AT61" s="171"/>
      <c r="AU61" s="172"/>
      <c r="AV61" s="172"/>
      <c r="AW61" s="173"/>
      <c r="AX61" s="174"/>
    </row>
    <row r="62" spans="2:103" x14ac:dyDescent="0.3">
      <c r="B62" s="175"/>
      <c r="C62" s="159"/>
      <c r="D62" s="160"/>
      <c r="E62" s="160"/>
      <c r="F62" s="160"/>
      <c r="G62" s="160"/>
      <c r="H62" s="161"/>
      <c r="I62" s="161"/>
      <c r="J62" s="162"/>
      <c r="K62" s="163"/>
      <c r="L62" s="163"/>
      <c r="M62" s="162"/>
      <c r="N62" s="164"/>
      <c r="O62" s="162"/>
      <c r="P62" s="165"/>
      <c r="Q62" s="162"/>
      <c r="R62" s="166"/>
      <c r="S62" s="166"/>
      <c r="T62" s="162"/>
      <c r="U62" s="167"/>
      <c r="V62" s="167"/>
      <c r="W62" s="167"/>
      <c r="X62" s="167"/>
      <c r="Y62" s="168"/>
      <c r="Z62" s="169"/>
      <c r="AA62" s="170"/>
      <c r="AB62" s="170"/>
      <c r="AC62" s="170"/>
      <c r="AD62" s="170"/>
      <c r="AE62" s="170"/>
      <c r="AF62" s="171"/>
      <c r="AG62" s="169"/>
      <c r="AH62" s="170"/>
      <c r="AI62" s="170"/>
      <c r="AJ62" s="170"/>
      <c r="AK62" s="170"/>
      <c r="AL62" s="170"/>
      <c r="AM62" s="171"/>
      <c r="AN62" s="170"/>
      <c r="AO62" s="170"/>
      <c r="AP62" s="170"/>
      <c r="AQ62" s="170"/>
      <c r="AR62" s="170"/>
      <c r="AS62" s="170"/>
      <c r="AT62" s="171"/>
      <c r="AU62" s="172"/>
      <c r="AV62" s="172"/>
      <c r="AW62" s="173"/>
      <c r="AX62" s="174"/>
    </row>
    <row r="63" spans="2:103" x14ac:dyDescent="0.3">
      <c r="B63" s="175"/>
      <c r="C63" s="159"/>
      <c r="D63" s="160"/>
      <c r="E63" s="160"/>
      <c r="F63" s="160"/>
      <c r="G63" s="160"/>
      <c r="H63" s="161"/>
      <c r="I63" s="161"/>
      <c r="J63" s="162"/>
      <c r="K63" s="163"/>
      <c r="L63" s="163"/>
      <c r="M63" s="162"/>
      <c r="N63" s="164"/>
      <c r="O63" s="162"/>
      <c r="P63" s="162"/>
      <c r="Q63" s="162"/>
      <c r="R63" s="166"/>
      <c r="S63" s="166"/>
      <c r="T63" s="162"/>
      <c r="U63" s="167"/>
      <c r="V63" s="167"/>
      <c r="W63" s="167"/>
      <c r="X63" s="167"/>
      <c r="Y63" s="168"/>
      <c r="Z63" s="169"/>
      <c r="AA63" s="170"/>
      <c r="AB63" s="170"/>
      <c r="AC63" s="170"/>
      <c r="AD63" s="170"/>
      <c r="AE63" s="170"/>
      <c r="AF63" s="171"/>
      <c r="AG63" s="169"/>
      <c r="AH63" s="170"/>
      <c r="AI63" s="170"/>
      <c r="AJ63" s="170"/>
      <c r="AK63" s="170"/>
      <c r="AL63" s="170"/>
      <c r="AM63" s="171"/>
      <c r="AN63" s="170"/>
      <c r="AO63" s="170"/>
      <c r="AP63" s="170"/>
      <c r="AQ63" s="170"/>
      <c r="AR63" s="170"/>
      <c r="AS63" s="170"/>
      <c r="AT63" s="171"/>
      <c r="AU63" s="172"/>
      <c r="AV63" s="172"/>
      <c r="AW63" s="173"/>
      <c r="AX63" s="174"/>
    </row>
    <row r="64" spans="2:103" x14ac:dyDescent="0.3">
      <c r="B64" s="179"/>
      <c r="C64" s="159"/>
      <c r="D64" s="160"/>
      <c r="E64" s="160"/>
      <c r="F64" s="160"/>
      <c r="G64" s="160"/>
      <c r="H64" s="161"/>
      <c r="I64" s="161"/>
      <c r="J64" s="162"/>
      <c r="K64" s="163"/>
      <c r="L64" s="163"/>
      <c r="M64" s="162"/>
      <c r="N64" s="164"/>
      <c r="O64" s="162"/>
      <c r="P64" s="162"/>
      <c r="Q64" s="162"/>
      <c r="R64" s="166"/>
      <c r="S64" s="166"/>
      <c r="T64" s="162"/>
      <c r="U64" s="167"/>
      <c r="V64" s="167"/>
      <c r="W64" s="167"/>
      <c r="X64" s="167"/>
      <c r="Y64" s="168"/>
      <c r="Z64" s="169"/>
      <c r="AA64" s="170"/>
      <c r="AB64" s="170"/>
      <c r="AC64" s="170"/>
      <c r="AD64" s="170"/>
      <c r="AE64" s="170"/>
      <c r="AF64" s="171"/>
      <c r="AG64" s="169"/>
      <c r="AH64" s="170"/>
      <c r="AI64" s="170"/>
      <c r="AJ64" s="170"/>
      <c r="AK64" s="170"/>
      <c r="AL64" s="170"/>
      <c r="AM64" s="171"/>
      <c r="AN64" s="170"/>
      <c r="AO64" s="170"/>
      <c r="AP64" s="170"/>
      <c r="AQ64" s="170"/>
      <c r="AR64" s="170"/>
      <c r="AS64" s="170"/>
      <c r="AT64" s="171"/>
      <c r="AU64" s="172"/>
      <c r="AV64" s="172"/>
      <c r="AW64" s="173"/>
      <c r="AX64" s="174"/>
    </row>
    <row r="65" spans="2:50" x14ac:dyDescent="0.3">
      <c r="B65" s="179"/>
      <c r="C65" s="159"/>
      <c r="D65" s="160"/>
      <c r="E65" s="160"/>
      <c r="F65" s="160"/>
      <c r="G65" s="160"/>
      <c r="H65" s="161"/>
      <c r="I65" s="161"/>
      <c r="J65" s="162"/>
      <c r="K65" s="163"/>
      <c r="L65" s="163"/>
      <c r="M65" s="162"/>
      <c r="N65" s="164"/>
      <c r="O65" s="162"/>
      <c r="P65" s="162"/>
      <c r="Q65" s="162"/>
      <c r="R65" s="166"/>
      <c r="S65" s="166"/>
      <c r="T65" s="162"/>
      <c r="U65" s="167"/>
      <c r="V65" s="167"/>
      <c r="W65" s="167"/>
      <c r="X65" s="167"/>
      <c r="Y65" s="168"/>
      <c r="Z65" s="169"/>
      <c r="AA65" s="170"/>
      <c r="AB65" s="170"/>
      <c r="AC65" s="170"/>
      <c r="AD65" s="170"/>
      <c r="AE65" s="170"/>
      <c r="AF65" s="171"/>
      <c r="AG65" s="169"/>
      <c r="AH65" s="170"/>
      <c r="AI65" s="170"/>
      <c r="AJ65" s="170"/>
      <c r="AK65" s="170"/>
      <c r="AL65" s="170"/>
      <c r="AM65" s="171"/>
      <c r="AN65" s="170"/>
      <c r="AO65" s="170"/>
      <c r="AP65" s="170"/>
      <c r="AQ65" s="170"/>
      <c r="AR65" s="170"/>
      <c r="AS65" s="170"/>
      <c r="AT65" s="171"/>
      <c r="AU65" s="172"/>
      <c r="AV65" s="172"/>
      <c r="AW65" s="173"/>
      <c r="AX65" s="174"/>
    </row>
    <row r="66" spans="2:50" x14ac:dyDescent="0.3">
      <c r="B66" s="175"/>
      <c r="C66" s="159"/>
      <c r="D66" s="160"/>
      <c r="E66" s="160"/>
      <c r="F66" s="160"/>
      <c r="G66" s="160"/>
      <c r="H66" s="161"/>
      <c r="I66" s="161"/>
      <c r="J66" s="162"/>
      <c r="K66" s="163"/>
      <c r="L66" s="163"/>
      <c r="M66" s="162"/>
      <c r="N66" s="164"/>
      <c r="O66" s="162"/>
      <c r="P66" s="162"/>
      <c r="Q66" s="162"/>
      <c r="R66" s="166"/>
      <c r="S66" s="166"/>
      <c r="T66" s="162"/>
      <c r="U66" s="167"/>
      <c r="V66" s="167"/>
      <c r="W66" s="167"/>
      <c r="X66" s="167"/>
      <c r="Y66" s="168"/>
      <c r="Z66" s="169"/>
      <c r="AA66" s="170"/>
      <c r="AB66" s="170"/>
      <c r="AC66" s="170"/>
      <c r="AD66" s="170"/>
      <c r="AE66" s="170"/>
      <c r="AF66" s="171"/>
      <c r="AG66" s="169"/>
      <c r="AH66" s="170"/>
      <c r="AI66" s="170"/>
      <c r="AJ66" s="170"/>
      <c r="AK66" s="170"/>
      <c r="AL66" s="170"/>
      <c r="AM66" s="171"/>
      <c r="AN66" s="170"/>
      <c r="AO66" s="170"/>
      <c r="AP66" s="170"/>
      <c r="AQ66" s="170"/>
      <c r="AR66" s="170"/>
      <c r="AS66" s="170"/>
      <c r="AT66" s="171"/>
      <c r="AU66" s="172"/>
      <c r="AV66" s="172"/>
      <c r="AW66" s="173"/>
      <c r="AX66" s="174"/>
    </row>
    <row r="67" spans="2:50" x14ac:dyDescent="0.3">
      <c r="B67" s="175"/>
      <c r="C67" s="159"/>
      <c r="D67" s="160"/>
      <c r="E67" s="160"/>
      <c r="F67" s="160"/>
      <c r="G67" s="160"/>
      <c r="H67" s="161"/>
      <c r="I67" s="161"/>
      <c r="J67" s="162"/>
      <c r="K67" s="163"/>
      <c r="L67" s="163"/>
      <c r="M67" s="162"/>
      <c r="N67" s="164"/>
      <c r="O67" s="162"/>
      <c r="P67" s="162"/>
      <c r="Q67" s="162"/>
      <c r="R67" s="166"/>
      <c r="S67" s="166"/>
      <c r="T67" s="177"/>
      <c r="U67" s="167"/>
      <c r="V67" s="167"/>
      <c r="W67" s="167"/>
      <c r="X67" s="167"/>
      <c r="Y67" s="168"/>
      <c r="Z67" s="169"/>
      <c r="AA67" s="170"/>
      <c r="AB67" s="170"/>
      <c r="AC67" s="170"/>
      <c r="AD67" s="170"/>
      <c r="AE67" s="170"/>
      <c r="AF67" s="171"/>
      <c r="AG67" s="169"/>
      <c r="AH67" s="170"/>
      <c r="AI67" s="170"/>
      <c r="AJ67" s="170"/>
      <c r="AK67" s="170"/>
      <c r="AL67" s="170"/>
      <c r="AM67" s="171"/>
      <c r="AN67" s="170"/>
      <c r="AO67" s="170"/>
      <c r="AP67" s="170"/>
      <c r="AQ67" s="170"/>
      <c r="AR67" s="170"/>
      <c r="AS67" s="170"/>
      <c r="AT67" s="171"/>
      <c r="AU67" s="172"/>
      <c r="AV67" s="172"/>
      <c r="AW67" s="173"/>
      <c r="AX67" s="174"/>
    </row>
    <row r="68" spans="2:50" x14ac:dyDescent="0.3">
      <c r="B68" s="175"/>
      <c r="C68" s="159"/>
      <c r="D68" s="160"/>
      <c r="E68" s="160"/>
      <c r="F68" s="160"/>
      <c r="G68" s="160"/>
      <c r="H68" s="161"/>
      <c r="I68" s="161"/>
      <c r="J68" s="162"/>
      <c r="K68" s="163"/>
      <c r="L68" s="163"/>
      <c r="M68" s="162"/>
      <c r="N68" s="164"/>
      <c r="O68" s="162"/>
      <c r="P68" s="162"/>
      <c r="Q68" s="162"/>
      <c r="R68" s="166"/>
      <c r="S68" s="166"/>
      <c r="T68" s="177"/>
      <c r="U68" s="167"/>
      <c r="V68" s="167"/>
      <c r="W68" s="167"/>
      <c r="X68" s="167"/>
      <c r="Y68" s="168"/>
      <c r="Z68" s="169"/>
      <c r="AA68" s="170"/>
      <c r="AB68" s="170"/>
      <c r="AC68" s="170"/>
      <c r="AD68" s="170"/>
      <c r="AE68" s="170"/>
      <c r="AF68" s="171"/>
      <c r="AG68" s="169"/>
      <c r="AH68" s="170"/>
      <c r="AI68" s="170"/>
      <c r="AJ68" s="170"/>
      <c r="AK68" s="170"/>
      <c r="AL68" s="170"/>
      <c r="AM68" s="171"/>
      <c r="AN68" s="170"/>
      <c r="AO68" s="170"/>
      <c r="AP68" s="170"/>
      <c r="AQ68" s="170"/>
      <c r="AR68" s="170"/>
      <c r="AS68" s="170"/>
      <c r="AT68" s="171"/>
      <c r="AU68" s="172"/>
      <c r="AV68" s="172"/>
      <c r="AW68" s="173"/>
      <c r="AX68" s="174"/>
    </row>
    <row r="69" spans="2:50" x14ac:dyDescent="0.3">
      <c r="B69" s="175"/>
      <c r="C69" s="159"/>
      <c r="D69" s="160"/>
      <c r="E69" s="160"/>
      <c r="F69" s="160"/>
      <c r="G69" s="160"/>
      <c r="H69" s="161"/>
      <c r="I69" s="161"/>
      <c r="J69" s="162"/>
      <c r="K69" s="163"/>
      <c r="L69" s="163"/>
      <c r="M69" s="162"/>
      <c r="N69" s="164"/>
      <c r="O69" s="162"/>
      <c r="P69" s="162"/>
      <c r="Q69" s="162"/>
      <c r="R69" s="166"/>
      <c r="S69" s="166"/>
      <c r="T69" s="177"/>
      <c r="U69" s="167"/>
      <c r="V69" s="167"/>
      <c r="W69" s="167"/>
      <c r="X69" s="167"/>
      <c r="Y69" s="168"/>
      <c r="Z69" s="169"/>
      <c r="AA69" s="170"/>
      <c r="AB69" s="170"/>
      <c r="AC69" s="170"/>
      <c r="AD69" s="170"/>
      <c r="AE69" s="170"/>
      <c r="AF69" s="171"/>
      <c r="AG69" s="169"/>
      <c r="AH69" s="170"/>
      <c r="AI69" s="170"/>
      <c r="AJ69" s="170"/>
      <c r="AK69" s="170"/>
      <c r="AL69" s="170"/>
      <c r="AM69" s="171"/>
      <c r="AN69" s="170"/>
      <c r="AO69" s="170"/>
      <c r="AP69" s="170"/>
      <c r="AQ69" s="170"/>
      <c r="AR69" s="170"/>
      <c r="AS69" s="170"/>
      <c r="AT69" s="171"/>
      <c r="AU69" s="172"/>
      <c r="AV69" s="172"/>
      <c r="AW69" s="173"/>
      <c r="AX69" s="174"/>
    </row>
    <row r="70" spans="2:50" x14ac:dyDescent="0.3">
      <c r="B70" s="175"/>
      <c r="C70" s="159"/>
      <c r="D70" s="160"/>
      <c r="E70" s="160"/>
      <c r="F70" s="160"/>
      <c r="G70" s="160"/>
      <c r="H70" s="161"/>
      <c r="I70" s="161"/>
      <c r="J70" s="162"/>
      <c r="K70" s="163"/>
      <c r="L70" s="163"/>
      <c r="M70" s="162"/>
      <c r="N70" s="164"/>
      <c r="O70" s="162"/>
      <c r="P70" s="162"/>
      <c r="Q70" s="162"/>
      <c r="R70" s="166"/>
      <c r="S70" s="166"/>
      <c r="T70" s="177"/>
      <c r="U70" s="167"/>
      <c r="V70" s="167"/>
      <c r="W70" s="167"/>
      <c r="X70" s="167"/>
      <c r="Y70" s="168"/>
      <c r="Z70" s="169"/>
      <c r="AA70" s="170"/>
      <c r="AB70" s="170"/>
      <c r="AC70" s="170"/>
      <c r="AD70" s="170"/>
      <c r="AE70" s="170"/>
      <c r="AF70" s="171"/>
      <c r="AG70" s="169"/>
      <c r="AH70" s="170"/>
      <c r="AI70" s="170"/>
      <c r="AJ70" s="170"/>
      <c r="AK70" s="170"/>
      <c r="AL70" s="170"/>
      <c r="AM70" s="171"/>
      <c r="AN70" s="170"/>
      <c r="AO70" s="170"/>
      <c r="AP70" s="170"/>
      <c r="AQ70" s="170"/>
      <c r="AR70" s="170"/>
      <c r="AS70" s="170"/>
      <c r="AT70" s="171"/>
      <c r="AU70" s="172"/>
      <c r="AV70" s="172"/>
      <c r="AW70" s="173"/>
      <c r="AX70" s="174"/>
    </row>
    <row r="71" spans="2:50" x14ac:dyDescent="0.3">
      <c r="B71" s="175"/>
      <c r="C71" s="159"/>
      <c r="D71" s="160"/>
      <c r="E71" s="160"/>
      <c r="F71" s="160"/>
      <c r="G71" s="160"/>
      <c r="H71" s="161"/>
      <c r="I71" s="161"/>
      <c r="J71" s="162"/>
      <c r="K71" s="163"/>
      <c r="L71" s="163"/>
      <c r="M71" s="162"/>
      <c r="N71" s="164"/>
      <c r="O71" s="162"/>
      <c r="P71" s="162"/>
      <c r="Q71" s="162"/>
      <c r="R71" s="166"/>
      <c r="S71" s="166"/>
      <c r="T71" s="177"/>
      <c r="U71" s="167"/>
      <c r="V71" s="167"/>
      <c r="W71" s="167"/>
      <c r="X71" s="167"/>
      <c r="Y71" s="168"/>
      <c r="Z71" s="169"/>
      <c r="AA71" s="170"/>
      <c r="AB71" s="170"/>
      <c r="AC71" s="170"/>
      <c r="AD71" s="170"/>
      <c r="AE71" s="170"/>
      <c r="AF71" s="171"/>
      <c r="AG71" s="169"/>
      <c r="AH71" s="170"/>
      <c r="AI71" s="170"/>
      <c r="AJ71" s="170"/>
      <c r="AK71" s="170"/>
      <c r="AL71" s="170"/>
      <c r="AM71" s="171"/>
      <c r="AN71" s="170"/>
      <c r="AO71" s="170"/>
      <c r="AP71" s="170"/>
      <c r="AQ71" s="170"/>
      <c r="AR71" s="170"/>
      <c r="AS71" s="170"/>
      <c r="AT71" s="171"/>
      <c r="AU71" s="172"/>
      <c r="AV71" s="172"/>
      <c r="AW71" s="173"/>
      <c r="AX71" s="174"/>
    </row>
    <row r="72" spans="2:50" x14ac:dyDescent="0.3">
      <c r="B72" s="175"/>
      <c r="C72" s="159"/>
      <c r="D72" s="160"/>
      <c r="E72" s="160"/>
      <c r="F72" s="160"/>
      <c r="G72" s="160"/>
      <c r="H72" s="161"/>
      <c r="I72" s="161"/>
      <c r="J72" s="162"/>
      <c r="K72" s="163"/>
      <c r="L72" s="163"/>
      <c r="M72" s="162"/>
      <c r="N72" s="164"/>
      <c r="O72" s="162"/>
      <c r="P72" s="162"/>
      <c r="Q72" s="162"/>
      <c r="R72" s="166"/>
      <c r="S72" s="166"/>
      <c r="T72" s="177"/>
      <c r="U72" s="167"/>
      <c r="V72" s="167"/>
      <c r="W72" s="167"/>
      <c r="X72" s="167"/>
      <c r="Y72" s="168"/>
      <c r="Z72" s="169"/>
      <c r="AA72" s="170"/>
      <c r="AB72" s="170"/>
      <c r="AC72" s="170"/>
      <c r="AD72" s="170"/>
      <c r="AE72" s="170"/>
      <c r="AF72" s="171"/>
      <c r="AG72" s="169"/>
      <c r="AH72" s="170"/>
      <c r="AI72" s="170"/>
      <c r="AJ72" s="170"/>
      <c r="AK72" s="170"/>
      <c r="AL72" s="170"/>
      <c r="AM72" s="171"/>
      <c r="AN72" s="170"/>
      <c r="AO72" s="170"/>
      <c r="AP72" s="170"/>
      <c r="AQ72" s="170"/>
      <c r="AR72" s="170"/>
      <c r="AS72" s="170"/>
      <c r="AT72" s="171"/>
      <c r="AU72" s="172"/>
      <c r="AV72" s="172"/>
      <c r="AW72" s="173"/>
      <c r="AX72" s="174"/>
    </row>
    <row r="73" spans="2:50" x14ac:dyDescent="0.3">
      <c r="B73" s="175"/>
      <c r="C73" s="159"/>
      <c r="D73" s="160"/>
      <c r="E73" s="160"/>
      <c r="F73" s="160"/>
      <c r="G73" s="160"/>
      <c r="H73" s="161"/>
      <c r="I73" s="161"/>
      <c r="J73" s="162"/>
      <c r="K73" s="163"/>
      <c r="L73" s="163"/>
      <c r="M73" s="162"/>
      <c r="N73" s="164"/>
      <c r="O73" s="162"/>
      <c r="P73" s="162"/>
      <c r="Q73" s="162"/>
      <c r="R73" s="166"/>
      <c r="S73" s="166"/>
      <c r="T73" s="177"/>
      <c r="U73" s="167"/>
      <c r="V73" s="167"/>
      <c r="W73" s="167"/>
      <c r="X73" s="167"/>
      <c r="Y73" s="168"/>
      <c r="Z73" s="169"/>
      <c r="AA73" s="170"/>
      <c r="AB73" s="170"/>
      <c r="AC73" s="170"/>
      <c r="AD73" s="170"/>
      <c r="AE73" s="170"/>
      <c r="AF73" s="171"/>
      <c r="AG73" s="169"/>
      <c r="AH73" s="170"/>
      <c r="AI73" s="170"/>
      <c r="AJ73" s="170"/>
      <c r="AK73" s="170"/>
      <c r="AL73" s="170"/>
      <c r="AM73" s="171"/>
      <c r="AN73" s="170"/>
      <c r="AO73" s="170"/>
      <c r="AP73" s="170"/>
      <c r="AQ73" s="170"/>
      <c r="AR73" s="170"/>
      <c r="AS73" s="170"/>
      <c r="AT73" s="171"/>
      <c r="AU73" s="172"/>
      <c r="AV73" s="172"/>
      <c r="AW73" s="173"/>
      <c r="AX73" s="174"/>
    </row>
    <row r="74" spans="2:50" x14ac:dyDescent="0.3">
      <c r="B74" s="175"/>
      <c r="C74" s="159"/>
      <c r="D74" s="160"/>
      <c r="E74" s="160"/>
      <c r="F74" s="160"/>
      <c r="G74" s="160"/>
      <c r="H74" s="161"/>
      <c r="I74" s="161"/>
      <c r="J74" s="162"/>
      <c r="K74" s="163"/>
      <c r="L74" s="163"/>
      <c r="M74" s="162"/>
      <c r="N74" s="164"/>
      <c r="O74" s="162"/>
      <c r="P74" s="162"/>
      <c r="Q74" s="162"/>
      <c r="R74" s="166"/>
      <c r="S74" s="166"/>
      <c r="T74" s="177"/>
      <c r="U74" s="167"/>
      <c r="V74" s="167"/>
      <c r="W74" s="167"/>
      <c r="X74" s="167"/>
      <c r="Y74" s="168"/>
      <c r="Z74" s="169"/>
      <c r="AA74" s="170"/>
      <c r="AB74" s="170"/>
      <c r="AC74" s="170"/>
      <c r="AD74" s="170"/>
      <c r="AE74" s="170"/>
      <c r="AF74" s="171"/>
      <c r="AG74" s="169"/>
      <c r="AH74" s="170"/>
      <c r="AI74" s="170"/>
      <c r="AJ74" s="170"/>
      <c r="AK74" s="170"/>
      <c r="AL74" s="170"/>
      <c r="AM74" s="171"/>
      <c r="AN74" s="170"/>
      <c r="AO74" s="170"/>
      <c r="AP74" s="170"/>
      <c r="AQ74" s="170"/>
      <c r="AR74" s="170"/>
      <c r="AS74" s="170"/>
      <c r="AT74" s="171"/>
      <c r="AU74" s="172"/>
      <c r="AV74" s="172"/>
      <c r="AW74" s="173"/>
      <c r="AX74" s="174"/>
    </row>
    <row r="75" spans="2:50" x14ac:dyDescent="0.3">
      <c r="B75" s="175"/>
      <c r="C75" s="159"/>
      <c r="D75" s="160"/>
      <c r="E75" s="160"/>
      <c r="F75" s="160"/>
      <c r="G75" s="160"/>
      <c r="H75" s="161"/>
      <c r="I75" s="161"/>
      <c r="J75" s="162"/>
      <c r="K75" s="163"/>
      <c r="L75" s="163"/>
      <c r="M75" s="162"/>
      <c r="N75" s="164"/>
      <c r="O75" s="162"/>
      <c r="P75" s="162"/>
      <c r="Q75" s="162"/>
      <c r="R75" s="166"/>
      <c r="S75" s="166"/>
      <c r="T75" s="177"/>
      <c r="U75" s="167"/>
      <c r="V75" s="167"/>
      <c r="W75" s="167"/>
      <c r="X75" s="167"/>
      <c r="Y75" s="168"/>
      <c r="Z75" s="169"/>
      <c r="AA75" s="170"/>
      <c r="AB75" s="170"/>
      <c r="AC75" s="170"/>
      <c r="AD75" s="170"/>
      <c r="AE75" s="170"/>
      <c r="AF75" s="171"/>
      <c r="AG75" s="169"/>
      <c r="AH75" s="170"/>
      <c r="AI75" s="170"/>
      <c r="AJ75" s="170"/>
      <c r="AK75" s="170"/>
      <c r="AL75" s="170"/>
      <c r="AM75" s="171"/>
      <c r="AN75" s="170"/>
      <c r="AO75" s="170"/>
      <c r="AP75" s="170"/>
      <c r="AQ75" s="170"/>
      <c r="AR75" s="170"/>
      <c r="AS75" s="170"/>
      <c r="AT75" s="171"/>
      <c r="AU75" s="172"/>
      <c r="AV75" s="172"/>
      <c r="AW75" s="173"/>
      <c r="AX75" s="174"/>
    </row>
    <row r="76" spans="2:50" x14ac:dyDescent="0.3">
      <c r="B76" s="175"/>
      <c r="C76" s="159"/>
      <c r="D76" s="160"/>
      <c r="E76" s="160"/>
      <c r="F76" s="160"/>
      <c r="G76" s="160"/>
      <c r="H76" s="161"/>
      <c r="I76" s="161"/>
      <c r="J76" s="162"/>
      <c r="K76" s="163"/>
      <c r="L76" s="163"/>
      <c r="M76" s="162"/>
      <c r="N76" s="164"/>
      <c r="O76" s="162"/>
      <c r="P76" s="162"/>
      <c r="Q76" s="162"/>
      <c r="R76" s="166"/>
      <c r="S76" s="166"/>
      <c r="T76" s="177"/>
      <c r="U76" s="167"/>
      <c r="V76" s="167"/>
      <c r="W76" s="167"/>
      <c r="X76" s="167"/>
      <c r="Y76" s="168"/>
      <c r="Z76" s="169"/>
      <c r="AA76" s="170"/>
      <c r="AB76" s="170"/>
      <c r="AC76" s="170"/>
      <c r="AD76" s="170"/>
      <c r="AE76" s="170"/>
      <c r="AF76" s="171"/>
      <c r="AG76" s="169"/>
      <c r="AH76" s="170"/>
      <c r="AI76" s="170"/>
      <c r="AJ76" s="170"/>
      <c r="AK76" s="170"/>
      <c r="AL76" s="170"/>
      <c r="AM76" s="171"/>
      <c r="AN76" s="170"/>
      <c r="AO76" s="170"/>
      <c r="AP76" s="170"/>
      <c r="AQ76" s="170"/>
      <c r="AR76" s="170"/>
      <c r="AS76" s="170"/>
      <c r="AT76" s="171"/>
      <c r="AU76" s="172"/>
      <c r="AV76" s="172"/>
      <c r="AW76" s="173"/>
      <c r="AX76" s="174"/>
    </row>
    <row r="77" spans="2:50" x14ac:dyDescent="0.3">
      <c r="B77" s="175"/>
      <c r="C77" s="159"/>
      <c r="D77" s="160"/>
      <c r="E77" s="160"/>
      <c r="F77" s="160"/>
      <c r="G77" s="160"/>
      <c r="H77" s="161"/>
      <c r="I77" s="161"/>
      <c r="J77" s="162"/>
      <c r="K77" s="163"/>
      <c r="L77" s="163"/>
      <c r="M77" s="162"/>
      <c r="N77" s="164"/>
      <c r="O77" s="162"/>
      <c r="P77" s="162"/>
      <c r="Q77" s="162"/>
      <c r="R77" s="166"/>
      <c r="S77" s="166"/>
      <c r="T77" s="162"/>
      <c r="U77" s="167"/>
      <c r="V77" s="167"/>
      <c r="W77" s="167"/>
      <c r="X77" s="167"/>
      <c r="Y77" s="168"/>
      <c r="Z77" s="169"/>
      <c r="AA77" s="170"/>
      <c r="AB77" s="170"/>
      <c r="AC77" s="170"/>
      <c r="AD77" s="170"/>
      <c r="AE77" s="170"/>
      <c r="AF77" s="171"/>
      <c r="AG77" s="169"/>
      <c r="AH77" s="170"/>
      <c r="AI77" s="170"/>
      <c r="AJ77" s="170"/>
      <c r="AK77" s="170"/>
      <c r="AL77" s="170"/>
      <c r="AM77" s="171"/>
      <c r="AN77" s="170"/>
      <c r="AO77" s="170"/>
      <c r="AP77" s="170"/>
      <c r="AQ77" s="170"/>
      <c r="AR77" s="170"/>
      <c r="AS77" s="170"/>
      <c r="AT77" s="171"/>
      <c r="AU77" s="172"/>
      <c r="AV77" s="172"/>
      <c r="AW77" s="173"/>
      <c r="AX77" s="174"/>
    </row>
    <row r="78" spans="2:50" x14ac:dyDescent="0.3">
      <c r="B78" s="175"/>
      <c r="C78" s="159"/>
      <c r="D78" s="160"/>
      <c r="E78" s="160"/>
      <c r="F78" s="160"/>
      <c r="G78" s="160"/>
      <c r="H78" s="161"/>
      <c r="I78" s="161"/>
      <c r="J78" s="162"/>
      <c r="K78" s="163"/>
      <c r="L78" s="163"/>
      <c r="M78" s="162"/>
      <c r="N78" s="164"/>
      <c r="O78" s="162"/>
      <c r="P78" s="162"/>
      <c r="Q78" s="162"/>
      <c r="R78" s="166"/>
      <c r="S78" s="166"/>
      <c r="T78" s="162"/>
      <c r="U78" s="167"/>
      <c r="V78" s="167"/>
      <c r="W78" s="167"/>
      <c r="X78" s="167"/>
      <c r="Y78" s="168"/>
      <c r="Z78" s="169"/>
      <c r="AA78" s="170"/>
      <c r="AB78" s="170"/>
      <c r="AC78" s="170"/>
      <c r="AD78" s="170"/>
      <c r="AE78" s="170"/>
      <c r="AF78" s="171"/>
      <c r="AG78" s="169"/>
      <c r="AH78" s="170"/>
      <c r="AI78" s="170"/>
      <c r="AJ78" s="170"/>
      <c r="AK78" s="170"/>
      <c r="AL78" s="170"/>
      <c r="AM78" s="171"/>
      <c r="AN78" s="170"/>
      <c r="AO78" s="170"/>
      <c r="AP78" s="170"/>
      <c r="AQ78" s="170"/>
      <c r="AR78" s="170"/>
      <c r="AS78" s="170"/>
      <c r="AT78" s="171"/>
      <c r="AU78" s="172"/>
      <c r="AV78" s="172"/>
      <c r="AW78" s="173"/>
      <c r="AX78" s="174"/>
    </row>
    <row r="79" spans="2:50" x14ac:dyDescent="0.3">
      <c r="B79" s="175"/>
      <c r="C79" s="159"/>
      <c r="D79" s="160"/>
      <c r="E79" s="160"/>
      <c r="F79" s="160"/>
      <c r="G79" s="160"/>
      <c r="H79" s="161"/>
      <c r="I79" s="161"/>
      <c r="J79" s="162"/>
      <c r="K79" s="163"/>
      <c r="L79" s="163"/>
      <c r="M79" s="162"/>
      <c r="N79" s="164"/>
      <c r="O79" s="162"/>
      <c r="P79" s="162"/>
      <c r="Q79" s="162"/>
      <c r="R79" s="166"/>
      <c r="S79" s="166"/>
      <c r="T79" s="162"/>
      <c r="U79" s="167"/>
      <c r="V79" s="167"/>
      <c r="W79" s="167"/>
      <c r="X79" s="167"/>
      <c r="Y79" s="168"/>
      <c r="Z79" s="169"/>
      <c r="AA79" s="170"/>
      <c r="AB79" s="170"/>
      <c r="AC79" s="170"/>
      <c r="AD79" s="170"/>
      <c r="AE79" s="170"/>
      <c r="AF79" s="171"/>
      <c r="AG79" s="169"/>
      <c r="AH79" s="170"/>
      <c r="AI79" s="170"/>
      <c r="AJ79" s="170"/>
      <c r="AK79" s="170"/>
      <c r="AL79" s="170"/>
      <c r="AM79" s="171"/>
      <c r="AN79" s="170"/>
      <c r="AO79" s="170"/>
      <c r="AP79" s="170"/>
      <c r="AQ79" s="170"/>
      <c r="AR79" s="170"/>
      <c r="AS79" s="170"/>
      <c r="AT79" s="171"/>
      <c r="AU79" s="172"/>
      <c r="AV79" s="172"/>
      <c r="AW79" s="173"/>
      <c r="AX79" s="174"/>
    </row>
    <row r="80" spans="2:50" x14ac:dyDescent="0.3">
      <c r="B80" s="158"/>
      <c r="C80" s="159"/>
      <c r="D80" s="160"/>
      <c r="E80" s="160"/>
      <c r="F80" s="160"/>
      <c r="G80" s="160"/>
      <c r="H80" s="161"/>
      <c r="I80" s="161"/>
      <c r="J80" s="162"/>
      <c r="K80" s="163"/>
      <c r="L80" s="163"/>
      <c r="M80" s="162"/>
      <c r="N80" s="164"/>
      <c r="O80" s="162"/>
      <c r="P80" s="165"/>
      <c r="Q80" s="162"/>
      <c r="R80" s="166"/>
      <c r="S80" s="166"/>
      <c r="T80" s="162"/>
      <c r="U80" s="167"/>
      <c r="V80" s="167"/>
      <c r="W80" s="167"/>
      <c r="X80" s="167"/>
      <c r="Y80" s="168"/>
      <c r="Z80" s="169"/>
      <c r="AA80" s="170"/>
      <c r="AB80" s="170"/>
      <c r="AC80" s="170"/>
      <c r="AD80" s="170"/>
      <c r="AE80" s="170"/>
      <c r="AF80" s="171"/>
      <c r="AG80" s="169"/>
      <c r="AH80" s="170"/>
      <c r="AI80" s="170"/>
      <c r="AJ80" s="170"/>
      <c r="AK80" s="170"/>
      <c r="AL80" s="170"/>
      <c r="AM80" s="171"/>
      <c r="AN80" s="170"/>
      <c r="AO80" s="170"/>
      <c r="AP80" s="170"/>
      <c r="AQ80" s="170"/>
      <c r="AR80" s="170"/>
      <c r="AS80" s="170"/>
      <c r="AT80" s="171"/>
      <c r="AU80" s="172"/>
      <c r="AV80" s="172"/>
      <c r="AW80" s="173"/>
      <c r="AX80" s="174"/>
    </row>
    <row r="81" spans="2:50" x14ac:dyDescent="0.3">
      <c r="B81" s="175"/>
      <c r="C81" s="159"/>
      <c r="D81" s="160"/>
      <c r="E81" s="160"/>
      <c r="F81" s="160"/>
      <c r="G81" s="160"/>
      <c r="H81" s="161"/>
      <c r="I81" s="161"/>
      <c r="J81" s="162"/>
      <c r="K81" s="163"/>
      <c r="L81" s="163"/>
      <c r="M81" s="162"/>
      <c r="N81" s="164"/>
      <c r="O81" s="162"/>
      <c r="P81" s="165"/>
      <c r="Q81" s="162"/>
      <c r="R81" s="166"/>
      <c r="S81" s="166"/>
      <c r="T81" s="177"/>
      <c r="U81" s="167"/>
      <c r="V81" s="167"/>
      <c r="W81" s="167"/>
      <c r="X81" s="167"/>
      <c r="Y81" s="168"/>
      <c r="Z81" s="169"/>
      <c r="AA81" s="170"/>
      <c r="AB81" s="170"/>
      <c r="AC81" s="170"/>
      <c r="AD81" s="170"/>
      <c r="AE81" s="170"/>
      <c r="AF81" s="171"/>
      <c r="AG81" s="169"/>
      <c r="AH81" s="170"/>
      <c r="AI81" s="170"/>
      <c r="AJ81" s="170"/>
      <c r="AK81" s="170"/>
      <c r="AL81" s="170"/>
      <c r="AM81" s="171"/>
      <c r="AN81" s="170"/>
      <c r="AO81" s="170"/>
      <c r="AP81" s="170"/>
      <c r="AQ81" s="170"/>
      <c r="AR81" s="170"/>
      <c r="AS81" s="170"/>
      <c r="AT81" s="171"/>
      <c r="AU81" s="172"/>
      <c r="AV81" s="172"/>
      <c r="AW81" s="173"/>
      <c r="AX81" s="174"/>
    </row>
    <row r="82" spans="2:50" x14ac:dyDescent="0.3">
      <c r="B82" s="158"/>
      <c r="C82" s="159"/>
      <c r="D82" s="160"/>
      <c r="E82" s="160"/>
      <c r="F82" s="160"/>
      <c r="G82" s="160"/>
      <c r="H82" s="161"/>
      <c r="I82" s="161"/>
      <c r="J82" s="162"/>
      <c r="K82" s="163"/>
      <c r="L82" s="163"/>
      <c r="M82" s="162"/>
      <c r="N82" s="164"/>
      <c r="O82" s="162"/>
      <c r="P82" s="165"/>
      <c r="Q82" s="162"/>
      <c r="R82" s="166"/>
      <c r="S82" s="166"/>
      <c r="T82" s="162"/>
      <c r="U82" s="167"/>
      <c r="V82" s="167"/>
      <c r="W82" s="167"/>
      <c r="X82" s="167"/>
      <c r="Y82" s="168"/>
      <c r="Z82" s="169"/>
      <c r="AA82" s="170"/>
      <c r="AB82" s="170"/>
      <c r="AC82" s="170"/>
      <c r="AD82" s="170"/>
      <c r="AE82" s="170"/>
      <c r="AF82" s="171"/>
      <c r="AG82" s="169"/>
      <c r="AH82" s="170"/>
      <c r="AI82" s="170"/>
      <c r="AJ82" s="170"/>
      <c r="AK82" s="170"/>
      <c r="AL82" s="170"/>
      <c r="AM82" s="171"/>
      <c r="AN82" s="170"/>
      <c r="AO82" s="170"/>
      <c r="AP82" s="170"/>
      <c r="AQ82" s="170"/>
      <c r="AR82" s="170"/>
      <c r="AS82" s="170"/>
      <c r="AT82" s="171"/>
      <c r="AU82" s="172"/>
      <c r="AV82" s="172"/>
      <c r="AW82" s="173"/>
      <c r="AX82" s="174"/>
    </row>
    <row r="83" spans="2:50" x14ac:dyDescent="0.3">
      <c r="B83" s="175"/>
      <c r="C83" s="159"/>
      <c r="D83" s="160"/>
      <c r="E83" s="160"/>
      <c r="F83" s="160"/>
      <c r="G83" s="160"/>
      <c r="H83" s="161"/>
      <c r="I83" s="161"/>
      <c r="J83" s="162"/>
      <c r="K83" s="163"/>
      <c r="L83" s="163"/>
      <c r="M83" s="162"/>
      <c r="N83" s="164"/>
      <c r="O83" s="162"/>
      <c r="P83" s="165"/>
      <c r="Q83" s="176"/>
      <c r="R83" s="166"/>
      <c r="S83" s="166"/>
      <c r="T83" s="162"/>
      <c r="U83" s="167"/>
      <c r="V83" s="167"/>
      <c r="W83" s="167"/>
      <c r="X83" s="167"/>
      <c r="Y83" s="168"/>
      <c r="Z83" s="169"/>
      <c r="AA83" s="170"/>
      <c r="AB83" s="170"/>
      <c r="AC83" s="170"/>
      <c r="AD83" s="170"/>
      <c r="AE83" s="170"/>
      <c r="AF83" s="171"/>
      <c r="AG83" s="169"/>
      <c r="AH83" s="170"/>
      <c r="AI83" s="170"/>
      <c r="AJ83" s="170"/>
      <c r="AK83" s="170"/>
      <c r="AL83" s="170"/>
      <c r="AM83" s="171"/>
      <c r="AN83" s="170"/>
      <c r="AO83" s="170"/>
      <c r="AP83" s="170"/>
      <c r="AQ83" s="170"/>
      <c r="AR83" s="170"/>
      <c r="AS83" s="170"/>
      <c r="AT83" s="171"/>
      <c r="AU83" s="172"/>
      <c r="AV83" s="172"/>
      <c r="AW83" s="173"/>
      <c r="AX83" s="174"/>
    </row>
    <row r="84" spans="2:50" x14ac:dyDescent="0.3">
      <c r="B84" s="175"/>
      <c r="C84" s="159"/>
      <c r="D84" s="160"/>
      <c r="E84" s="160"/>
      <c r="F84" s="160"/>
      <c r="G84" s="160"/>
      <c r="H84" s="161"/>
      <c r="I84" s="161"/>
      <c r="J84" s="162"/>
      <c r="K84" s="163"/>
      <c r="L84" s="163"/>
      <c r="M84" s="162"/>
      <c r="N84" s="164"/>
      <c r="O84" s="162"/>
      <c r="P84" s="165"/>
      <c r="Q84" s="176"/>
      <c r="R84" s="166"/>
      <c r="S84" s="166"/>
      <c r="T84" s="177"/>
      <c r="U84" s="167"/>
      <c r="V84" s="167"/>
      <c r="W84" s="167"/>
      <c r="X84" s="167"/>
      <c r="Y84" s="168"/>
      <c r="Z84" s="169"/>
      <c r="AA84" s="170"/>
      <c r="AB84" s="170"/>
      <c r="AC84" s="170"/>
      <c r="AD84" s="170"/>
      <c r="AF84" s="171"/>
      <c r="AG84" s="169"/>
      <c r="AH84" s="170"/>
      <c r="AI84" s="170"/>
      <c r="AJ84" s="170"/>
      <c r="AK84" s="170"/>
      <c r="AL84" s="170"/>
      <c r="AM84" s="171"/>
      <c r="AN84" s="170"/>
      <c r="AO84" s="170"/>
      <c r="AP84" s="170"/>
      <c r="AQ84" s="170"/>
      <c r="AR84" s="170"/>
      <c r="AS84" s="170"/>
      <c r="AT84" s="171"/>
      <c r="AU84" s="172"/>
      <c r="AV84" s="172"/>
      <c r="AW84" s="173"/>
      <c r="AX84" s="174"/>
    </row>
    <row r="85" spans="2:50" x14ac:dyDescent="0.3">
      <c r="B85" s="175"/>
      <c r="C85" s="159"/>
      <c r="D85" s="160"/>
      <c r="E85" s="160"/>
      <c r="F85" s="160"/>
      <c r="G85" s="160"/>
      <c r="H85" s="161"/>
      <c r="I85" s="161"/>
      <c r="J85" s="162"/>
      <c r="K85" s="163"/>
      <c r="L85" s="163"/>
      <c r="M85" s="162"/>
      <c r="N85" s="164"/>
      <c r="O85" s="162"/>
      <c r="P85" s="165"/>
      <c r="Q85" s="162"/>
      <c r="R85" s="166"/>
      <c r="S85" s="166"/>
      <c r="T85" s="177"/>
      <c r="U85" s="167"/>
      <c r="V85" s="167"/>
      <c r="W85" s="167"/>
      <c r="X85" s="167"/>
      <c r="Y85" s="168"/>
      <c r="Z85" s="170"/>
      <c r="AA85" s="170"/>
      <c r="AB85" s="170"/>
      <c r="AC85" s="170"/>
      <c r="AD85" s="170"/>
      <c r="AE85" s="170"/>
      <c r="AF85" s="171"/>
      <c r="AG85" s="170"/>
      <c r="AH85" s="170"/>
      <c r="AI85" s="170"/>
      <c r="AJ85" s="170"/>
      <c r="AK85" s="170"/>
      <c r="AL85" s="170"/>
      <c r="AM85" s="171"/>
      <c r="AN85" s="170"/>
      <c r="AO85" s="170"/>
      <c r="AP85" s="170"/>
      <c r="AQ85" s="170"/>
      <c r="AR85" s="170"/>
      <c r="AS85" s="170"/>
      <c r="AT85" s="171"/>
      <c r="AU85" s="172"/>
      <c r="AV85" s="172"/>
      <c r="AW85" s="173"/>
      <c r="AX85" s="174"/>
    </row>
    <row r="86" spans="2:50" x14ac:dyDescent="0.3">
      <c r="B86" s="175"/>
      <c r="C86" s="159"/>
      <c r="D86" s="160"/>
      <c r="E86" s="160"/>
      <c r="F86" s="160"/>
      <c r="G86" s="160"/>
      <c r="H86" s="161"/>
      <c r="I86" s="161"/>
      <c r="J86" s="162"/>
      <c r="K86" s="163"/>
      <c r="L86" s="163"/>
      <c r="M86" s="162"/>
      <c r="N86" s="164"/>
      <c r="O86" s="162"/>
      <c r="P86" s="165"/>
      <c r="Q86" s="162"/>
      <c r="R86" s="166"/>
      <c r="S86" s="166"/>
      <c r="T86" s="177"/>
      <c r="U86" s="167"/>
      <c r="V86" s="167"/>
      <c r="W86" s="167"/>
      <c r="X86" s="167"/>
      <c r="Y86" s="168"/>
      <c r="Z86" s="170"/>
      <c r="AA86" s="170"/>
      <c r="AB86" s="170"/>
      <c r="AC86" s="170"/>
      <c r="AD86" s="170"/>
      <c r="AE86" s="170"/>
      <c r="AF86" s="171"/>
      <c r="AG86" s="170"/>
      <c r="AH86" s="170"/>
      <c r="AI86" s="170"/>
      <c r="AJ86" s="170"/>
      <c r="AK86" s="170"/>
      <c r="AL86" s="170"/>
      <c r="AM86" s="171"/>
      <c r="AN86" s="170"/>
      <c r="AO86" s="170"/>
      <c r="AP86" s="170"/>
      <c r="AQ86" s="170"/>
      <c r="AR86" s="170"/>
      <c r="AS86" s="170"/>
      <c r="AT86" s="171"/>
      <c r="AU86" s="172"/>
      <c r="AV86" s="172"/>
      <c r="AW86" s="173"/>
      <c r="AX86" s="174"/>
    </row>
    <row r="87" spans="2:50" x14ac:dyDescent="0.3">
      <c r="B87" s="175"/>
      <c r="C87" s="159"/>
      <c r="D87" s="160"/>
      <c r="E87" s="160"/>
      <c r="F87" s="160"/>
      <c r="G87" s="160"/>
      <c r="H87" s="161"/>
      <c r="I87" s="161"/>
      <c r="J87" s="162"/>
      <c r="K87" s="163"/>
      <c r="L87" s="163"/>
      <c r="M87" s="162"/>
      <c r="N87" s="164"/>
      <c r="O87" s="162"/>
      <c r="P87" s="162"/>
      <c r="Q87" s="176"/>
      <c r="R87" s="166"/>
      <c r="S87" s="166"/>
      <c r="T87" s="177"/>
      <c r="U87" s="167"/>
      <c r="V87" s="167"/>
      <c r="W87" s="167"/>
      <c r="X87" s="167"/>
      <c r="Y87" s="168"/>
      <c r="Z87" s="170"/>
      <c r="AA87" s="170"/>
      <c r="AB87" s="170"/>
      <c r="AC87" s="170"/>
      <c r="AD87" s="170"/>
      <c r="AE87" s="170"/>
      <c r="AF87" s="171"/>
      <c r="AG87" s="170"/>
      <c r="AH87" s="170"/>
      <c r="AI87" s="170"/>
      <c r="AJ87" s="170"/>
      <c r="AK87" s="170"/>
      <c r="AL87" s="170"/>
      <c r="AM87" s="171"/>
      <c r="AN87" s="170"/>
      <c r="AO87" s="170"/>
      <c r="AP87" s="170"/>
      <c r="AQ87" s="170"/>
      <c r="AR87" s="170"/>
      <c r="AS87" s="170"/>
      <c r="AT87" s="171"/>
      <c r="AU87" s="172"/>
      <c r="AV87" s="172"/>
      <c r="AW87" s="173"/>
      <c r="AX87" s="174"/>
    </row>
    <row r="88" spans="2:50" x14ac:dyDescent="0.3">
      <c r="B88" s="175"/>
      <c r="C88" s="159"/>
      <c r="D88" s="160"/>
      <c r="E88" s="160"/>
      <c r="F88" s="160"/>
      <c r="G88" s="160"/>
      <c r="H88" s="161"/>
      <c r="I88" s="161"/>
      <c r="J88" s="162"/>
      <c r="K88" s="163"/>
      <c r="L88" s="163"/>
      <c r="M88" s="162"/>
      <c r="N88" s="164"/>
      <c r="O88" s="162"/>
      <c r="P88" s="162"/>
      <c r="Q88" s="176"/>
      <c r="R88" s="166"/>
      <c r="S88" s="166"/>
      <c r="T88" s="177"/>
      <c r="U88" s="167"/>
      <c r="V88" s="167"/>
      <c r="W88" s="167"/>
      <c r="X88" s="167"/>
      <c r="Y88" s="168"/>
      <c r="Z88" s="170"/>
      <c r="AA88" s="170"/>
      <c r="AB88" s="170"/>
      <c r="AC88" s="170"/>
      <c r="AD88" s="170"/>
      <c r="AE88" s="170"/>
      <c r="AF88" s="171"/>
      <c r="AG88" s="170"/>
      <c r="AH88" s="170"/>
      <c r="AI88" s="170"/>
      <c r="AJ88" s="170"/>
      <c r="AK88" s="170"/>
      <c r="AL88" s="170"/>
      <c r="AM88" s="171"/>
      <c r="AN88" s="170"/>
      <c r="AO88" s="170"/>
      <c r="AP88" s="170"/>
      <c r="AQ88" s="170"/>
      <c r="AR88" s="170"/>
      <c r="AS88" s="170"/>
      <c r="AT88" s="171"/>
      <c r="AU88" s="172"/>
      <c r="AV88" s="172"/>
      <c r="AW88" s="173"/>
      <c r="AX88" s="174"/>
    </row>
    <row r="89" spans="2:50" x14ac:dyDescent="0.3">
      <c r="B89" s="179"/>
      <c r="C89" s="159"/>
      <c r="D89" s="160"/>
      <c r="E89" s="160"/>
      <c r="F89" s="160"/>
      <c r="G89" s="160"/>
      <c r="H89" s="161"/>
      <c r="I89" s="161"/>
      <c r="J89" s="162"/>
      <c r="K89" s="163"/>
      <c r="L89" s="163"/>
      <c r="M89" s="162"/>
      <c r="N89" s="164"/>
      <c r="O89" s="162"/>
      <c r="P89" s="162"/>
      <c r="Q89" s="176"/>
      <c r="R89" s="166"/>
      <c r="S89" s="166"/>
      <c r="T89" s="177"/>
      <c r="U89" s="167"/>
      <c r="V89" s="167"/>
      <c r="W89" s="167"/>
      <c r="X89" s="167"/>
      <c r="Y89" s="168"/>
      <c r="Z89" s="170"/>
      <c r="AA89" s="170"/>
      <c r="AB89" s="170"/>
      <c r="AC89" s="170"/>
      <c r="AD89" s="170"/>
      <c r="AE89" s="170"/>
      <c r="AF89" s="171"/>
      <c r="AG89" s="170"/>
      <c r="AH89" s="170"/>
      <c r="AI89" s="170"/>
      <c r="AJ89" s="170"/>
      <c r="AK89" s="170"/>
      <c r="AL89" s="170"/>
      <c r="AM89" s="171"/>
      <c r="AN89" s="170"/>
      <c r="AO89" s="170"/>
      <c r="AP89" s="170"/>
      <c r="AQ89" s="170"/>
      <c r="AR89" s="170"/>
      <c r="AS89" s="170"/>
      <c r="AT89" s="171"/>
      <c r="AU89" s="172"/>
      <c r="AV89" s="172"/>
      <c r="AW89" s="173"/>
      <c r="AX89" s="174"/>
    </row>
    <row r="90" spans="2:50" x14ac:dyDescent="0.3">
      <c r="B90" s="179"/>
      <c r="C90" s="159"/>
      <c r="D90" s="160"/>
      <c r="E90" s="160"/>
      <c r="F90" s="160"/>
      <c r="G90" s="160"/>
      <c r="H90" s="161"/>
      <c r="I90" s="161"/>
      <c r="J90" s="162"/>
      <c r="K90" s="163"/>
      <c r="L90" s="163"/>
      <c r="M90" s="162"/>
      <c r="N90" s="164"/>
      <c r="O90" s="162"/>
      <c r="P90" s="162"/>
      <c r="Q90" s="176"/>
      <c r="R90" s="166"/>
      <c r="S90" s="166"/>
      <c r="T90" s="177"/>
      <c r="U90" s="167"/>
      <c r="V90" s="167"/>
      <c r="W90" s="167"/>
      <c r="X90" s="167"/>
      <c r="Y90" s="168"/>
      <c r="Z90" s="170"/>
      <c r="AA90" s="170"/>
      <c r="AB90" s="170"/>
      <c r="AC90" s="170"/>
      <c r="AD90" s="170"/>
      <c r="AE90" s="170"/>
      <c r="AF90" s="171"/>
      <c r="AG90" s="170"/>
      <c r="AH90" s="170"/>
      <c r="AI90" s="170"/>
      <c r="AJ90" s="170"/>
      <c r="AK90" s="170"/>
      <c r="AL90" s="170"/>
      <c r="AM90" s="171"/>
      <c r="AN90" s="170"/>
      <c r="AO90" s="170"/>
      <c r="AP90" s="170"/>
      <c r="AQ90" s="170"/>
      <c r="AR90" s="170"/>
      <c r="AS90" s="170"/>
      <c r="AT90" s="171"/>
      <c r="AU90" s="172"/>
      <c r="AV90" s="172"/>
      <c r="AW90" s="173"/>
      <c r="AX90" s="174"/>
    </row>
    <row r="91" spans="2:50" x14ac:dyDescent="0.3">
      <c r="B91" s="175"/>
      <c r="C91" s="159"/>
      <c r="D91" s="160"/>
      <c r="E91" s="160"/>
      <c r="F91" s="160"/>
      <c r="G91" s="160"/>
      <c r="H91" s="161"/>
      <c r="I91" s="161"/>
      <c r="J91" s="162"/>
      <c r="K91" s="163"/>
      <c r="L91" s="163"/>
      <c r="M91" s="162"/>
      <c r="N91" s="164"/>
      <c r="O91" s="162"/>
      <c r="P91" s="162"/>
      <c r="Q91" s="176"/>
      <c r="R91" s="166"/>
      <c r="S91" s="166"/>
      <c r="T91" s="177"/>
      <c r="U91" s="167"/>
      <c r="V91" s="167"/>
      <c r="W91" s="167"/>
      <c r="X91" s="167"/>
      <c r="Y91" s="168"/>
      <c r="Z91" s="170"/>
      <c r="AA91" s="170"/>
      <c r="AB91" s="170"/>
      <c r="AC91" s="170"/>
      <c r="AD91" s="170"/>
      <c r="AE91" s="170"/>
      <c r="AF91" s="171"/>
      <c r="AG91" s="170"/>
      <c r="AH91" s="170"/>
      <c r="AI91" s="170"/>
      <c r="AJ91" s="170"/>
      <c r="AK91" s="170"/>
      <c r="AL91" s="170"/>
      <c r="AM91" s="171"/>
      <c r="AN91" s="170"/>
      <c r="AO91" s="170"/>
      <c r="AP91" s="170"/>
      <c r="AQ91" s="170"/>
      <c r="AR91" s="170"/>
      <c r="AS91" s="170"/>
      <c r="AT91" s="171"/>
      <c r="AU91" s="172"/>
      <c r="AV91" s="172"/>
      <c r="AW91" s="173"/>
      <c r="AX91" s="174"/>
    </row>
    <row r="92" spans="2:50" x14ac:dyDescent="0.3">
      <c r="B92" s="175"/>
      <c r="C92" s="159"/>
      <c r="D92" s="160"/>
      <c r="E92" s="160"/>
      <c r="F92" s="160"/>
      <c r="G92" s="160"/>
      <c r="H92" s="161"/>
      <c r="I92" s="161"/>
      <c r="J92" s="162"/>
      <c r="K92" s="163"/>
      <c r="L92" s="163"/>
      <c r="M92" s="162"/>
      <c r="N92" s="164"/>
      <c r="O92" s="162"/>
      <c r="P92" s="162"/>
      <c r="Q92" s="176"/>
      <c r="R92" s="166"/>
      <c r="S92" s="166"/>
      <c r="T92" s="177"/>
      <c r="U92" s="167"/>
      <c r="V92" s="167"/>
      <c r="W92" s="167"/>
      <c r="X92" s="167"/>
      <c r="Y92" s="168"/>
      <c r="Z92" s="170"/>
      <c r="AA92" s="170"/>
      <c r="AB92" s="170"/>
      <c r="AC92" s="170"/>
      <c r="AD92" s="170"/>
      <c r="AE92" s="170"/>
      <c r="AF92" s="171"/>
      <c r="AG92" s="170"/>
      <c r="AH92" s="170"/>
      <c r="AI92" s="170"/>
      <c r="AJ92" s="170"/>
      <c r="AK92" s="170"/>
      <c r="AL92" s="170"/>
      <c r="AM92" s="171"/>
      <c r="AN92" s="170"/>
      <c r="AO92" s="170"/>
      <c r="AP92" s="170"/>
      <c r="AQ92" s="170"/>
      <c r="AR92" s="170"/>
      <c r="AS92" s="170"/>
      <c r="AT92" s="171"/>
      <c r="AU92" s="172"/>
      <c r="AV92" s="172"/>
      <c r="AW92" s="173"/>
      <c r="AX92" s="174"/>
    </row>
    <row r="93" spans="2:50" x14ac:dyDescent="0.3">
      <c r="B93" s="175"/>
      <c r="C93" s="159"/>
      <c r="D93" s="160"/>
      <c r="E93" s="160"/>
      <c r="F93" s="160"/>
      <c r="G93" s="160"/>
      <c r="H93" s="161"/>
      <c r="I93" s="161"/>
      <c r="J93" s="162"/>
      <c r="K93" s="163"/>
      <c r="L93" s="163"/>
      <c r="M93" s="162"/>
      <c r="N93" s="164"/>
      <c r="O93" s="162"/>
      <c r="P93" s="162"/>
      <c r="Q93" s="176"/>
      <c r="R93" s="166"/>
      <c r="S93" s="166"/>
      <c r="T93" s="177"/>
      <c r="U93" s="167"/>
      <c r="V93" s="167"/>
      <c r="W93" s="167"/>
      <c r="X93" s="167"/>
      <c r="Y93" s="168"/>
      <c r="Z93" s="170"/>
      <c r="AA93" s="170"/>
      <c r="AB93" s="170"/>
      <c r="AC93" s="170"/>
      <c r="AD93" s="170"/>
      <c r="AE93" s="170"/>
      <c r="AF93" s="171"/>
      <c r="AG93" s="170"/>
      <c r="AH93" s="170"/>
      <c r="AI93" s="170"/>
      <c r="AJ93" s="170"/>
      <c r="AK93" s="170"/>
      <c r="AL93" s="170"/>
      <c r="AM93" s="171"/>
      <c r="AN93" s="170"/>
      <c r="AO93" s="170"/>
      <c r="AP93" s="170"/>
      <c r="AQ93" s="170"/>
      <c r="AR93" s="170"/>
      <c r="AS93" s="170"/>
      <c r="AT93" s="171"/>
      <c r="AU93" s="172"/>
      <c r="AV93" s="172"/>
      <c r="AW93" s="173"/>
      <c r="AX93" s="174"/>
    </row>
    <row r="94" spans="2:50" x14ac:dyDescent="0.3">
      <c r="B94" s="175"/>
      <c r="C94" s="159"/>
      <c r="D94" s="160"/>
      <c r="E94" s="160"/>
      <c r="F94" s="160"/>
      <c r="G94" s="160"/>
      <c r="H94" s="161"/>
      <c r="I94" s="161"/>
      <c r="J94" s="162"/>
      <c r="K94" s="163"/>
      <c r="L94" s="163"/>
      <c r="M94" s="162"/>
      <c r="N94" s="164"/>
      <c r="O94" s="162"/>
      <c r="P94" s="162"/>
      <c r="Q94" s="176"/>
      <c r="R94" s="166"/>
      <c r="S94" s="166"/>
      <c r="T94" s="177"/>
      <c r="U94" s="167"/>
      <c r="V94" s="167"/>
      <c r="W94" s="167"/>
      <c r="X94" s="167"/>
      <c r="Y94" s="168"/>
      <c r="Z94" s="170"/>
      <c r="AA94" s="170"/>
      <c r="AB94" s="170"/>
      <c r="AC94" s="170"/>
      <c r="AD94" s="170"/>
      <c r="AE94" s="170"/>
      <c r="AF94" s="171"/>
      <c r="AG94" s="170"/>
      <c r="AH94" s="170"/>
      <c r="AI94" s="170"/>
      <c r="AJ94" s="170"/>
      <c r="AK94" s="170"/>
      <c r="AL94" s="170"/>
      <c r="AM94" s="171"/>
      <c r="AN94" s="170"/>
      <c r="AO94" s="170"/>
      <c r="AP94" s="170"/>
      <c r="AQ94" s="170"/>
      <c r="AR94" s="170"/>
      <c r="AS94" s="170"/>
      <c r="AT94" s="171"/>
      <c r="AU94" s="172"/>
      <c r="AV94" s="172"/>
      <c r="AW94" s="173"/>
      <c r="AX94" s="174"/>
    </row>
    <row r="95" spans="2:50" x14ac:dyDescent="0.3">
      <c r="B95" s="175"/>
      <c r="C95" s="159"/>
      <c r="D95" s="160"/>
      <c r="E95" s="160"/>
      <c r="F95" s="160"/>
      <c r="G95" s="160"/>
      <c r="H95" s="161"/>
      <c r="I95" s="161"/>
      <c r="J95" s="162"/>
      <c r="K95" s="163"/>
      <c r="L95" s="163"/>
      <c r="M95" s="162"/>
      <c r="N95" s="164"/>
      <c r="O95" s="162"/>
      <c r="P95" s="162"/>
      <c r="Q95" s="176"/>
      <c r="R95" s="166"/>
      <c r="S95" s="166"/>
      <c r="T95" s="177"/>
      <c r="U95" s="167"/>
      <c r="V95" s="167"/>
      <c r="W95" s="167"/>
      <c r="X95" s="167"/>
      <c r="Y95" s="168"/>
      <c r="Z95" s="170"/>
      <c r="AA95" s="170"/>
      <c r="AB95" s="170"/>
      <c r="AC95" s="170"/>
      <c r="AD95" s="170"/>
      <c r="AE95" s="170"/>
      <c r="AF95" s="171"/>
      <c r="AG95" s="170"/>
      <c r="AH95" s="170"/>
      <c r="AI95" s="170"/>
      <c r="AJ95" s="170"/>
      <c r="AK95" s="170"/>
      <c r="AL95" s="170"/>
      <c r="AM95" s="171"/>
      <c r="AN95" s="170"/>
      <c r="AO95" s="170"/>
      <c r="AP95" s="170"/>
      <c r="AQ95" s="170"/>
      <c r="AR95" s="170"/>
      <c r="AS95" s="170"/>
      <c r="AT95" s="171"/>
      <c r="AU95" s="172"/>
      <c r="AV95" s="172"/>
      <c r="AW95" s="173"/>
      <c r="AX95" s="174"/>
    </row>
    <row r="96" spans="2:50" x14ac:dyDescent="0.3">
      <c r="B96" s="175"/>
      <c r="C96" s="159"/>
      <c r="D96" s="160"/>
      <c r="E96" s="160"/>
      <c r="F96" s="160"/>
      <c r="G96" s="160"/>
      <c r="H96" s="161"/>
      <c r="I96" s="161"/>
      <c r="J96" s="162"/>
      <c r="K96" s="163"/>
      <c r="L96" s="163"/>
      <c r="M96" s="162"/>
      <c r="N96" s="164"/>
      <c r="O96" s="162"/>
      <c r="P96" s="162"/>
      <c r="Q96" s="176"/>
      <c r="R96" s="166"/>
      <c r="S96" s="166"/>
      <c r="T96" s="177"/>
      <c r="U96" s="167"/>
      <c r="V96" s="167"/>
      <c r="W96" s="167"/>
      <c r="X96" s="167"/>
      <c r="Y96" s="168"/>
      <c r="Z96" s="169"/>
      <c r="AA96" s="170"/>
      <c r="AB96" s="170"/>
      <c r="AC96" s="170"/>
      <c r="AD96" s="170"/>
      <c r="AE96" s="170"/>
      <c r="AF96" s="171"/>
      <c r="AG96" s="170"/>
      <c r="AH96" s="170"/>
      <c r="AI96" s="170"/>
      <c r="AJ96" s="170"/>
      <c r="AK96" s="170"/>
      <c r="AL96" s="170"/>
      <c r="AM96" s="171"/>
      <c r="AN96" s="170"/>
      <c r="AO96" s="170"/>
      <c r="AP96" s="170"/>
      <c r="AQ96" s="170"/>
      <c r="AR96" s="170"/>
      <c r="AS96" s="170"/>
      <c r="AT96" s="171"/>
      <c r="AU96" s="172"/>
      <c r="AV96" s="172"/>
      <c r="AW96" s="173"/>
      <c r="AX96" s="174"/>
    </row>
    <row r="97" spans="2:50" x14ac:dyDescent="0.3">
      <c r="B97" s="175"/>
      <c r="C97" s="159"/>
      <c r="D97" s="160"/>
      <c r="E97" s="160"/>
      <c r="F97" s="160"/>
      <c r="G97" s="160"/>
      <c r="H97" s="161"/>
      <c r="I97" s="161"/>
      <c r="J97" s="162"/>
      <c r="K97" s="163"/>
      <c r="L97" s="163"/>
      <c r="M97" s="162"/>
      <c r="N97" s="164"/>
      <c r="O97" s="162"/>
      <c r="P97" s="162"/>
      <c r="Q97" s="176"/>
      <c r="R97" s="166"/>
      <c r="S97" s="166"/>
      <c r="T97" s="177"/>
      <c r="U97" s="167"/>
      <c r="V97" s="167"/>
      <c r="W97" s="167"/>
      <c r="X97" s="167"/>
      <c r="Y97" s="168"/>
      <c r="Z97" s="169"/>
      <c r="AA97" s="170"/>
      <c r="AB97" s="170"/>
      <c r="AC97" s="170"/>
      <c r="AD97" s="170"/>
      <c r="AE97" s="170"/>
      <c r="AF97" s="171"/>
      <c r="AG97" s="170"/>
      <c r="AH97" s="170"/>
      <c r="AI97" s="170"/>
      <c r="AJ97" s="170"/>
      <c r="AK97" s="170"/>
      <c r="AL97" s="170"/>
      <c r="AM97" s="171"/>
      <c r="AN97" s="170"/>
      <c r="AO97" s="170"/>
      <c r="AP97" s="170"/>
      <c r="AQ97" s="170"/>
      <c r="AR97" s="170"/>
      <c r="AS97" s="170"/>
      <c r="AT97" s="171"/>
      <c r="AU97" s="172"/>
      <c r="AV97" s="172"/>
      <c r="AW97" s="173"/>
      <c r="AX97" s="174"/>
    </row>
    <row r="98" spans="2:50" x14ac:dyDescent="0.3">
      <c r="B98" s="175"/>
      <c r="C98" s="159"/>
      <c r="D98" s="160"/>
      <c r="E98" s="160"/>
      <c r="F98" s="160"/>
      <c r="G98" s="160"/>
      <c r="H98" s="161"/>
      <c r="I98" s="161"/>
      <c r="J98" s="162"/>
      <c r="K98" s="163"/>
      <c r="L98" s="163"/>
      <c r="M98" s="162"/>
      <c r="N98" s="164"/>
      <c r="O98" s="162"/>
      <c r="P98" s="162"/>
      <c r="Q98" s="176"/>
      <c r="R98" s="166"/>
      <c r="S98" s="166"/>
      <c r="T98" s="177"/>
      <c r="U98" s="167"/>
      <c r="V98" s="167"/>
      <c r="W98" s="167"/>
      <c r="X98" s="167"/>
      <c r="Y98" s="168"/>
      <c r="Z98" s="169"/>
      <c r="AA98" s="170"/>
      <c r="AB98" s="170"/>
      <c r="AC98" s="170"/>
      <c r="AD98" s="170"/>
      <c r="AE98" s="170"/>
      <c r="AF98" s="171"/>
      <c r="AG98" s="170"/>
      <c r="AH98" s="170"/>
      <c r="AI98" s="170"/>
      <c r="AJ98" s="170"/>
      <c r="AK98" s="170"/>
      <c r="AL98" s="170"/>
      <c r="AM98" s="171"/>
      <c r="AN98" s="170"/>
      <c r="AO98" s="170"/>
      <c r="AP98" s="170"/>
      <c r="AQ98" s="170"/>
      <c r="AR98" s="170"/>
      <c r="AS98" s="170"/>
      <c r="AT98" s="171"/>
      <c r="AU98" s="172"/>
      <c r="AV98" s="172"/>
      <c r="AW98" s="173"/>
      <c r="AX98" s="174"/>
    </row>
    <row r="99" spans="2:50" x14ac:dyDescent="0.3">
      <c r="B99" s="175"/>
      <c r="C99" s="159"/>
      <c r="D99" s="160"/>
      <c r="E99" s="160"/>
      <c r="F99" s="160"/>
      <c r="G99" s="160"/>
      <c r="H99" s="161"/>
      <c r="I99" s="161"/>
      <c r="J99" s="162"/>
      <c r="K99" s="163"/>
      <c r="L99" s="163"/>
      <c r="M99" s="162"/>
      <c r="N99" s="164"/>
      <c r="O99" s="162"/>
      <c r="P99" s="162"/>
      <c r="Q99" s="176"/>
      <c r="R99" s="166"/>
      <c r="S99" s="166"/>
      <c r="T99" s="177"/>
      <c r="U99" s="167"/>
      <c r="V99" s="167"/>
      <c r="W99" s="167"/>
      <c r="X99" s="167"/>
      <c r="Y99" s="168"/>
      <c r="Z99" s="169"/>
      <c r="AA99" s="170"/>
      <c r="AB99" s="170"/>
      <c r="AC99" s="170"/>
      <c r="AD99" s="170"/>
      <c r="AE99" s="170"/>
      <c r="AF99" s="171"/>
      <c r="AG99" s="170"/>
      <c r="AH99" s="170"/>
      <c r="AI99" s="170"/>
      <c r="AJ99" s="170"/>
      <c r="AK99" s="170"/>
      <c r="AL99" s="170"/>
      <c r="AM99" s="171"/>
      <c r="AN99" s="170"/>
      <c r="AO99" s="170"/>
      <c r="AP99" s="170"/>
      <c r="AQ99" s="170"/>
      <c r="AR99" s="170"/>
      <c r="AS99" s="170"/>
      <c r="AT99" s="171"/>
      <c r="AU99" s="172"/>
      <c r="AV99" s="172"/>
      <c r="AW99" s="173"/>
      <c r="AX99" s="174"/>
    </row>
    <row r="100" spans="2:50" x14ac:dyDescent="0.3">
      <c r="B100" s="175"/>
      <c r="C100" s="159"/>
      <c r="D100" s="160"/>
      <c r="E100" s="160"/>
      <c r="F100" s="160"/>
      <c r="G100" s="160"/>
      <c r="H100" s="161"/>
      <c r="I100" s="161"/>
      <c r="J100" s="162"/>
      <c r="K100" s="163"/>
      <c r="L100" s="163"/>
      <c r="M100" s="162"/>
      <c r="N100" s="164"/>
      <c r="O100" s="162"/>
      <c r="P100" s="162"/>
      <c r="Q100" s="176"/>
      <c r="R100" s="166"/>
      <c r="S100" s="166"/>
      <c r="T100" s="177"/>
      <c r="U100" s="167"/>
      <c r="V100" s="167"/>
      <c r="W100" s="167"/>
      <c r="X100" s="167"/>
      <c r="Y100" s="168"/>
      <c r="Z100" s="169"/>
      <c r="AA100" s="170"/>
      <c r="AB100" s="170"/>
      <c r="AC100" s="170"/>
      <c r="AD100" s="170"/>
      <c r="AE100" s="170"/>
      <c r="AF100" s="171"/>
      <c r="AG100" s="170"/>
      <c r="AH100" s="170"/>
      <c r="AI100" s="170"/>
      <c r="AJ100" s="170"/>
      <c r="AK100" s="170"/>
      <c r="AL100" s="170"/>
      <c r="AM100" s="171"/>
      <c r="AN100" s="170"/>
      <c r="AO100" s="170"/>
      <c r="AP100" s="170"/>
      <c r="AQ100" s="170"/>
      <c r="AR100" s="170"/>
      <c r="AS100" s="170"/>
      <c r="AT100" s="171"/>
      <c r="AU100" s="172"/>
      <c r="AV100" s="172"/>
      <c r="AW100" s="173"/>
      <c r="AX100" s="174"/>
    </row>
    <row r="101" spans="2:50" x14ac:dyDescent="0.3">
      <c r="B101" s="175"/>
      <c r="C101" s="159"/>
      <c r="D101" s="160"/>
      <c r="E101" s="160"/>
      <c r="F101" s="160"/>
      <c r="G101" s="160"/>
      <c r="H101" s="161"/>
      <c r="I101" s="161"/>
      <c r="J101" s="162"/>
      <c r="K101" s="163"/>
      <c r="L101" s="163"/>
      <c r="M101" s="162"/>
      <c r="N101" s="164"/>
      <c r="O101" s="162"/>
      <c r="P101" s="162"/>
      <c r="Q101" s="176"/>
      <c r="R101" s="166"/>
      <c r="S101" s="166"/>
      <c r="T101" s="177"/>
      <c r="U101" s="167"/>
      <c r="V101" s="167"/>
      <c r="W101" s="167"/>
      <c r="X101" s="167"/>
      <c r="Y101" s="168"/>
      <c r="Z101" s="169"/>
      <c r="AA101" s="170"/>
      <c r="AB101" s="170"/>
      <c r="AC101" s="170"/>
      <c r="AD101" s="170"/>
      <c r="AE101" s="170"/>
      <c r="AF101" s="171"/>
      <c r="AG101" s="170"/>
      <c r="AH101" s="170"/>
      <c r="AI101" s="170"/>
      <c r="AJ101" s="170"/>
      <c r="AK101" s="170"/>
      <c r="AL101" s="170"/>
      <c r="AM101" s="171"/>
      <c r="AN101" s="170"/>
      <c r="AO101" s="170"/>
      <c r="AP101" s="170"/>
      <c r="AQ101" s="170"/>
      <c r="AR101" s="170"/>
      <c r="AS101" s="170"/>
      <c r="AT101" s="171"/>
      <c r="AU101" s="172"/>
      <c r="AV101" s="172"/>
      <c r="AW101" s="173"/>
      <c r="AX101" s="174"/>
    </row>
    <row r="102" spans="2:50" x14ac:dyDescent="0.3">
      <c r="B102" s="175"/>
      <c r="C102" s="159"/>
      <c r="D102" s="160"/>
      <c r="E102" s="160"/>
      <c r="F102" s="160"/>
      <c r="G102" s="160"/>
      <c r="H102" s="161"/>
      <c r="I102" s="161"/>
      <c r="J102" s="162"/>
      <c r="K102" s="163"/>
      <c r="L102" s="163"/>
      <c r="M102" s="162"/>
      <c r="N102" s="164"/>
      <c r="O102" s="162"/>
      <c r="P102" s="162"/>
      <c r="Q102" s="176"/>
      <c r="R102" s="166"/>
      <c r="S102" s="166"/>
      <c r="T102" s="177"/>
      <c r="U102" s="167"/>
      <c r="V102" s="167"/>
      <c r="W102" s="167"/>
      <c r="X102" s="167"/>
      <c r="Y102" s="168"/>
      <c r="Z102" s="169"/>
      <c r="AA102" s="170"/>
      <c r="AB102" s="170"/>
      <c r="AC102" s="170"/>
      <c r="AD102" s="170"/>
      <c r="AE102" s="170"/>
      <c r="AF102" s="171"/>
      <c r="AG102" s="170"/>
      <c r="AH102" s="170"/>
      <c r="AI102" s="170"/>
      <c r="AJ102" s="170"/>
      <c r="AK102" s="170"/>
      <c r="AL102" s="170"/>
      <c r="AM102" s="171"/>
      <c r="AN102" s="170"/>
      <c r="AO102" s="170"/>
      <c r="AP102" s="170"/>
      <c r="AQ102" s="170"/>
      <c r="AR102" s="170"/>
      <c r="AS102" s="170"/>
      <c r="AT102" s="171"/>
      <c r="AU102" s="172"/>
      <c r="AV102" s="172"/>
      <c r="AW102" s="173"/>
      <c r="AX102" s="174"/>
    </row>
    <row r="103" spans="2:50" x14ac:dyDescent="0.3">
      <c r="B103" s="175"/>
      <c r="C103" s="159"/>
      <c r="D103" s="160"/>
      <c r="E103" s="160"/>
      <c r="F103" s="160"/>
      <c r="G103" s="160"/>
      <c r="H103" s="161"/>
      <c r="I103" s="161"/>
      <c r="J103" s="162"/>
      <c r="K103" s="163"/>
      <c r="L103" s="163"/>
      <c r="M103" s="162"/>
      <c r="N103" s="164"/>
      <c r="O103" s="162"/>
      <c r="P103" s="165"/>
      <c r="Q103" s="176"/>
      <c r="R103" s="166"/>
      <c r="S103" s="166"/>
      <c r="T103" s="177"/>
      <c r="U103" s="167"/>
      <c r="V103" s="167"/>
      <c r="W103" s="167"/>
      <c r="X103" s="167"/>
      <c r="Y103" s="168"/>
      <c r="Z103" s="169"/>
      <c r="AA103" s="170"/>
      <c r="AB103" s="170"/>
      <c r="AC103" s="170"/>
      <c r="AD103" s="170"/>
      <c r="AE103" s="170"/>
      <c r="AF103" s="171"/>
      <c r="AG103" s="169"/>
      <c r="AH103" s="170"/>
      <c r="AI103" s="170"/>
      <c r="AJ103" s="170"/>
      <c r="AK103" s="170"/>
      <c r="AL103" s="170"/>
      <c r="AM103" s="171"/>
      <c r="AN103" s="170"/>
      <c r="AO103" s="170"/>
      <c r="AP103" s="170"/>
      <c r="AQ103" s="170"/>
      <c r="AR103" s="170"/>
      <c r="AS103" s="170"/>
      <c r="AT103" s="171"/>
      <c r="AU103" s="172"/>
      <c r="AV103" s="172"/>
      <c r="AW103" s="173"/>
      <c r="AX103" s="174"/>
    </row>
    <row r="104" spans="2:50" x14ac:dyDescent="0.3">
      <c r="B104" s="158"/>
      <c r="C104" s="159"/>
      <c r="D104" s="160"/>
      <c r="E104" s="160"/>
      <c r="F104" s="160"/>
      <c r="G104" s="160"/>
      <c r="H104" s="161"/>
      <c r="I104" s="161"/>
      <c r="J104" s="162"/>
      <c r="K104" s="163"/>
      <c r="L104" s="163"/>
      <c r="M104" s="162"/>
      <c r="N104" s="164"/>
      <c r="O104" s="162"/>
      <c r="P104" s="165"/>
      <c r="Q104" s="162"/>
      <c r="R104" s="166"/>
      <c r="S104" s="166"/>
      <c r="T104" s="162"/>
      <c r="U104" s="167"/>
      <c r="V104" s="167"/>
      <c r="W104" s="167"/>
      <c r="X104" s="167"/>
      <c r="Y104" s="168"/>
      <c r="Z104" s="169"/>
      <c r="AA104" s="170"/>
      <c r="AB104" s="170"/>
      <c r="AC104" s="170"/>
      <c r="AD104" s="170"/>
      <c r="AE104" s="170"/>
      <c r="AF104" s="171"/>
      <c r="AG104" s="169"/>
      <c r="AH104" s="170"/>
      <c r="AI104" s="170"/>
      <c r="AJ104" s="170"/>
      <c r="AK104" s="170"/>
      <c r="AL104" s="170"/>
      <c r="AM104" s="171"/>
      <c r="AN104" s="170"/>
      <c r="AO104" s="170"/>
      <c r="AP104" s="170"/>
      <c r="AQ104" s="170"/>
      <c r="AR104" s="170"/>
      <c r="AS104" s="170"/>
      <c r="AT104" s="171"/>
      <c r="AU104" s="172"/>
      <c r="AV104" s="172"/>
      <c r="AW104" s="173"/>
      <c r="AX104" s="174"/>
    </row>
    <row r="105" spans="2:50" x14ac:dyDescent="0.3">
      <c r="B105" s="175"/>
      <c r="C105" s="159"/>
      <c r="D105" s="160"/>
      <c r="E105" s="160"/>
      <c r="F105" s="160"/>
      <c r="G105" s="160"/>
      <c r="H105" s="161"/>
      <c r="I105" s="161"/>
      <c r="J105" s="162"/>
      <c r="K105" s="163"/>
      <c r="L105" s="163"/>
      <c r="M105" s="162"/>
      <c r="N105" s="164"/>
      <c r="O105" s="162"/>
      <c r="P105" s="165"/>
      <c r="Q105" s="162"/>
      <c r="R105" s="166"/>
      <c r="S105" s="166"/>
      <c r="T105" s="177"/>
      <c r="U105" s="167"/>
      <c r="V105" s="167"/>
      <c r="W105" s="167"/>
      <c r="X105" s="167"/>
      <c r="Y105" s="168"/>
      <c r="Z105" s="169"/>
      <c r="AA105" s="170"/>
      <c r="AB105" s="170"/>
      <c r="AC105" s="170"/>
      <c r="AD105" s="170"/>
      <c r="AE105" s="170"/>
      <c r="AF105" s="171"/>
      <c r="AG105" s="169"/>
      <c r="AH105" s="170"/>
      <c r="AI105" s="170"/>
      <c r="AJ105" s="170"/>
      <c r="AK105" s="170"/>
      <c r="AL105" s="170"/>
      <c r="AM105" s="171"/>
      <c r="AN105" s="170"/>
      <c r="AO105" s="170"/>
      <c r="AP105" s="170"/>
      <c r="AQ105" s="170"/>
      <c r="AR105" s="170"/>
      <c r="AS105" s="170"/>
      <c r="AT105" s="171"/>
      <c r="AU105" s="172"/>
      <c r="AV105" s="172"/>
      <c r="AW105" s="173"/>
      <c r="AX105" s="174"/>
    </row>
    <row r="106" spans="2:50" x14ac:dyDescent="0.3">
      <c r="B106" s="175"/>
      <c r="C106" s="159"/>
      <c r="D106" s="160"/>
      <c r="E106" s="160"/>
      <c r="F106" s="160"/>
      <c r="G106" s="160"/>
      <c r="H106" s="161"/>
      <c r="I106" s="161"/>
      <c r="J106" s="162"/>
      <c r="K106" s="163"/>
      <c r="L106" s="163"/>
      <c r="M106" s="162"/>
      <c r="N106" s="164"/>
      <c r="O106" s="162"/>
      <c r="P106" s="165"/>
      <c r="Q106" s="162"/>
      <c r="R106" s="166"/>
      <c r="S106" s="166"/>
      <c r="T106" s="177"/>
      <c r="U106" s="167"/>
      <c r="V106" s="167"/>
      <c r="W106" s="167"/>
      <c r="X106" s="167"/>
      <c r="Y106" s="168"/>
      <c r="Z106" s="169"/>
      <c r="AA106" s="170"/>
      <c r="AB106" s="170"/>
      <c r="AC106" s="170"/>
      <c r="AD106" s="170"/>
      <c r="AE106" s="170"/>
      <c r="AF106" s="171"/>
      <c r="AG106" s="169"/>
      <c r="AH106" s="170"/>
      <c r="AI106" s="170"/>
      <c r="AJ106" s="170"/>
      <c r="AK106" s="170"/>
      <c r="AL106" s="170"/>
      <c r="AM106" s="171"/>
      <c r="AN106" s="170"/>
      <c r="AO106" s="170"/>
      <c r="AP106" s="170"/>
      <c r="AQ106" s="170"/>
      <c r="AR106" s="170"/>
      <c r="AS106" s="170"/>
      <c r="AT106" s="171"/>
      <c r="AU106" s="172"/>
      <c r="AV106" s="172"/>
      <c r="AW106" s="173"/>
      <c r="AX106" s="174"/>
    </row>
    <row r="107" spans="2:50" x14ac:dyDescent="0.3">
      <c r="B107" s="175"/>
      <c r="C107" s="159"/>
      <c r="D107" s="160"/>
      <c r="E107" s="160"/>
      <c r="F107" s="160"/>
      <c r="G107" s="160"/>
      <c r="H107" s="161"/>
      <c r="I107" s="161"/>
      <c r="J107" s="162"/>
      <c r="K107" s="163"/>
      <c r="L107" s="163"/>
      <c r="M107" s="162"/>
      <c r="N107" s="164"/>
      <c r="O107" s="162"/>
      <c r="P107" s="165"/>
      <c r="Q107" s="162"/>
      <c r="R107" s="166"/>
      <c r="S107" s="166"/>
      <c r="T107" s="162"/>
      <c r="U107" s="167"/>
      <c r="V107" s="167"/>
      <c r="W107" s="167"/>
      <c r="X107" s="167"/>
      <c r="Y107" s="168"/>
      <c r="Z107" s="169"/>
      <c r="AA107" s="170"/>
      <c r="AB107" s="170"/>
      <c r="AC107" s="170"/>
      <c r="AD107" s="170"/>
      <c r="AE107" s="170"/>
      <c r="AF107" s="171"/>
      <c r="AG107" s="169"/>
      <c r="AH107" s="170"/>
      <c r="AI107" s="170"/>
      <c r="AJ107" s="170"/>
      <c r="AK107" s="170"/>
      <c r="AL107" s="170"/>
      <c r="AM107" s="171"/>
      <c r="AN107" s="170"/>
      <c r="AO107" s="170"/>
      <c r="AP107" s="170"/>
      <c r="AQ107" s="170"/>
      <c r="AR107" s="170"/>
      <c r="AS107" s="170"/>
      <c r="AT107" s="171"/>
      <c r="AU107" s="172"/>
      <c r="AV107" s="172"/>
      <c r="AW107" s="173"/>
      <c r="AX107" s="174"/>
    </row>
    <row r="108" spans="2:50" x14ac:dyDescent="0.3">
      <c r="B108" s="175"/>
      <c r="C108" s="159"/>
      <c r="D108" s="160"/>
      <c r="E108" s="160"/>
      <c r="F108" s="160"/>
      <c r="G108" s="160"/>
      <c r="H108" s="161"/>
      <c r="I108" s="161"/>
      <c r="J108" s="162"/>
      <c r="K108" s="163"/>
      <c r="L108" s="163"/>
      <c r="M108" s="162"/>
      <c r="N108" s="164"/>
      <c r="O108" s="162"/>
      <c r="P108" s="165"/>
      <c r="Q108" s="162"/>
      <c r="R108" s="166"/>
      <c r="S108" s="166"/>
      <c r="T108" s="162"/>
      <c r="U108" s="167"/>
      <c r="V108" s="167"/>
      <c r="W108" s="167"/>
      <c r="X108" s="167"/>
      <c r="Y108" s="168"/>
      <c r="Z108" s="169"/>
      <c r="AA108" s="170"/>
      <c r="AB108" s="170"/>
      <c r="AC108" s="170"/>
      <c r="AD108" s="170"/>
      <c r="AE108" s="170"/>
      <c r="AF108" s="171"/>
      <c r="AG108" s="169"/>
      <c r="AH108" s="170"/>
      <c r="AI108" s="170"/>
      <c r="AJ108" s="170"/>
      <c r="AK108" s="170"/>
      <c r="AL108" s="170"/>
      <c r="AM108" s="171"/>
      <c r="AN108" s="170"/>
      <c r="AO108" s="170"/>
      <c r="AP108" s="170"/>
      <c r="AQ108" s="170"/>
      <c r="AR108" s="170"/>
      <c r="AS108" s="170"/>
      <c r="AT108" s="171"/>
      <c r="AU108" s="172"/>
      <c r="AV108" s="172"/>
      <c r="AW108" s="173"/>
      <c r="AX108" s="174"/>
    </row>
    <row r="109" spans="2:50" x14ac:dyDescent="0.3">
      <c r="B109" s="175"/>
      <c r="C109" s="159"/>
      <c r="D109" s="160"/>
      <c r="E109" s="160"/>
      <c r="F109" s="160"/>
      <c r="G109" s="160"/>
      <c r="H109" s="161"/>
      <c r="I109" s="161"/>
      <c r="J109" s="162"/>
      <c r="K109" s="163"/>
      <c r="L109" s="163"/>
      <c r="M109" s="162"/>
      <c r="N109" s="164"/>
      <c r="O109" s="162"/>
      <c r="P109" s="165"/>
      <c r="Q109" s="162"/>
      <c r="R109" s="166"/>
      <c r="S109" s="166"/>
      <c r="T109" s="162"/>
      <c r="U109" s="167"/>
      <c r="V109" s="167"/>
      <c r="W109" s="167"/>
      <c r="X109" s="167"/>
      <c r="Y109" s="168"/>
      <c r="Z109" s="169"/>
      <c r="AA109" s="170"/>
      <c r="AB109" s="170"/>
      <c r="AC109" s="170"/>
      <c r="AD109" s="170"/>
      <c r="AE109" s="170"/>
      <c r="AF109" s="171"/>
      <c r="AG109" s="169"/>
      <c r="AH109" s="170"/>
      <c r="AI109" s="170"/>
      <c r="AJ109" s="170"/>
      <c r="AK109" s="170"/>
      <c r="AL109" s="170"/>
      <c r="AM109" s="171"/>
      <c r="AN109" s="170"/>
      <c r="AO109" s="170"/>
      <c r="AP109" s="170"/>
      <c r="AQ109" s="170"/>
      <c r="AR109" s="170"/>
      <c r="AS109" s="170"/>
      <c r="AT109" s="171"/>
      <c r="AU109" s="172"/>
      <c r="AV109" s="172"/>
      <c r="AW109" s="173"/>
      <c r="AX109" s="174"/>
    </row>
    <row r="110" spans="2:50" x14ac:dyDescent="0.3">
      <c r="B110" s="179"/>
      <c r="C110" s="159"/>
      <c r="D110" s="160"/>
      <c r="E110" s="160"/>
      <c r="F110" s="160"/>
      <c r="G110" s="160"/>
      <c r="H110" s="161"/>
      <c r="I110" s="161"/>
      <c r="J110" s="162"/>
      <c r="K110" s="163"/>
      <c r="L110" s="163"/>
      <c r="M110" s="162"/>
      <c r="N110" s="164"/>
      <c r="O110" s="162"/>
      <c r="P110" s="165"/>
      <c r="Q110" s="162"/>
      <c r="R110" s="166"/>
      <c r="S110" s="166"/>
      <c r="T110" s="162"/>
      <c r="U110" s="167"/>
      <c r="V110" s="167"/>
      <c r="W110" s="167"/>
      <c r="X110" s="167"/>
      <c r="Y110" s="168"/>
      <c r="Z110" s="169"/>
      <c r="AA110" s="170"/>
      <c r="AB110" s="170"/>
      <c r="AC110" s="170"/>
      <c r="AD110" s="170"/>
      <c r="AE110" s="170"/>
      <c r="AF110" s="171"/>
      <c r="AG110" s="169"/>
      <c r="AH110" s="170"/>
      <c r="AI110" s="170"/>
      <c r="AJ110" s="170"/>
      <c r="AK110" s="170"/>
      <c r="AL110" s="170"/>
      <c r="AM110" s="171"/>
      <c r="AN110" s="170"/>
      <c r="AO110" s="170"/>
      <c r="AP110" s="170"/>
      <c r="AQ110" s="170"/>
      <c r="AR110" s="170"/>
      <c r="AS110" s="170"/>
      <c r="AT110" s="171"/>
      <c r="AU110" s="172"/>
      <c r="AV110" s="172"/>
      <c r="AW110" s="173"/>
      <c r="AX110" s="174"/>
    </row>
    <row r="111" spans="2:50" x14ac:dyDescent="0.3">
      <c r="B111" s="179"/>
      <c r="C111" s="159"/>
      <c r="D111" s="160"/>
      <c r="E111" s="160"/>
      <c r="F111" s="160"/>
      <c r="G111" s="160"/>
      <c r="H111" s="161"/>
      <c r="I111" s="161"/>
      <c r="J111" s="162"/>
      <c r="K111" s="163"/>
      <c r="L111" s="163"/>
      <c r="M111" s="162"/>
      <c r="N111" s="164"/>
      <c r="O111" s="162"/>
      <c r="P111" s="165"/>
      <c r="Q111" s="162"/>
      <c r="R111" s="166"/>
      <c r="S111" s="166"/>
      <c r="T111" s="162"/>
      <c r="U111" s="167"/>
      <c r="V111" s="167"/>
      <c r="W111" s="167"/>
      <c r="X111" s="167"/>
      <c r="Y111" s="168"/>
      <c r="Z111" s="169"/>
      <c r="AA111" s="170"/>
      <c r="AB111" s="170"/>
      <c r="AC111" s="170"/>
      <c r="AD111" s="170"/>
      <c r="AE111" s="170"/>
      <c r="AF111" s="171"/>
      <c r="AG111" s="169"/>
      <c r="AH111" s="170"/>
      <c r="AI111" s="170"/>
      <c r="AJ111" s="170"/>
      <c r="AK111" s="170"/>
      <c r="AL111" s="170"/>
      <c r="AM111" s="171"/>
      <c r="AN111" s="170"/>
      <c r="AO111" s="170"/>
      <c r="AP111" s="170"/>
      <c r="AQ111" s="170"/>
      <c r="AR111" s="170"/>
      <c r="AS111" s="170"/>
      <c r="AT111" s="171"/>
      <c r="AU111" s="172"/>
      <c r="AV111" s="172"/>
      <c r="AW111" s="173"/>
      <c r="AX111" s="174"/>
    </row>
    <row r="112" spans="2:50" x14ac:dyDescent="0.3">
      <c r="B112" s="175"/>
      <c r="C112" s="159"/>
      <c r="D112" s="160"/>
      <c r="E112" s="160"/>
      <c r="F112" s="160"/>
      <c r="G112" s="160"/>
      <c r="H112" s="161"/>
      <c r="I112" s="161"/>
      <c r="J112" s="162"/>
      <c r="K112" s="163"/>
      <c r="L112" s="163"/>
      <c r="M112" s="162"/>
      <c r="N112" s="164"/>
      <c r="O112" s="162"/>
      <c r="P112" s="165"/>
      <c r="Q112" s="176"/>
      <c r="R112" s="166"/>
      <c r="S112" s="166"/>
      <c r="T112" s="162"/>
      <c r="U112" s="167"/>
      <c r="V112" s="167"/>
      <c r="W112" s="167"/>
      <c r="X112" s="167"/>
      <c r="Y112" s="168"/>
      <c r="Z112" s="169"/>
      <c r="AA112" s="170"/>
      <c r="AB112" s="170"/>
      <c r="AC112" s="170"/>
      <c r="AD112" s="170"/>
      <c r="AE112" s="170"/>
      <c r="AF112" s="171"/>
      <c r="AG112" s="169"/>
      <c r="AH112" s="170"/>
      <c r="AI112" s="170"/>
      <c r="AJ112" s="170"/>
      <c r="AK112" s="170"/>
      <c r="AL112" s="170"/>
      <c r="AM112" s="171"/>
      <c r="AN112" s="170"/>
      <c r="AO112" s="170"/>
      <c r="AP112" s="170"/>
      <c r="AQ112" s="170"/>
      <c r="AR112" s="170"/>
      <c r="AS112" s="170"/>
      <c r="AT112" s="171"/>
      <c r="AU112" s="172"/>
      <c r="AV112" s="172"/>
      <c r="AW112" s="173"/>
      <c r="AX112" s="174"/>
    </row>
    <row r="113" spans="2:50" x14ac:dyDescent="0.3">
      <c r="B113" s="175"/>
      <c r="C113" s="159"/>
      <c r="D113" s="160"/>
      <c r="E113" s="160"/>
      <c r="F113" s="160"/>
      <c r="G113" s="160"/>
      <c r="H113" s="161"/>
      <c r="I113" s="161"/>
      <c r="J113" s="162"/>
      <c r="K113" s="163"/>
      <c r="L113" s="163"/>
      <c r="M113" s="162"/>
      <c r="N113" s="164"/>
      <c r="O113" s="162"/>
      <c r="P113" s="165"/>
      <c r="Q113" s="176"/>
      <c r="R113" s="166"/>
      <c r="S113" s="166"/>
      <c r="T113" s="162"/>
      <c r="U113" s="167"/>
      <c r="V113" s="167"/>
      <c r="W113" s="167"/>
      <c r="X113" s="167"/>
      <c r="Y113" s="168"/>
      <c r="Z113" s="169"/>
      <c r="AA113" s="170"/>
      <c r="AB113" s="170"/>
      <c r="AC113" s="170"/>
      <c r="AD113" s="170"/>
      <c r="AE113" s="170"/>
      <c r="AF113" s="171"/>
      <c r="AG113" s="169"/>
      <c r="AH113" s="170"/>
      <c r="AI113" s="170"/>
      <c r="AJ113" s="170"/>
      <c r="AK113" s="170"/>
      <c r="AL113" s="170"/>
      <c r="AM113" s="171"/>
      <c r="AN113" s="170"/>
      <c r="AO113" s="170"/>
      <c r="AP113" s="170"/>
      <c r="AQ113" s="170"/>
      <c r="AR113" s="170"/>
      <c r="AS113" s="170"/>
      <c r="AT113" s="171"/>
      <c r="AU113" s="172"/>
      <c r="AV113" s="172"/>
      <c r="AW113" s="173"/>
      <c r="AX113" s="174"/>
    </row>
    <row r="114" spans="2:50" x14ac:dyDescent="0.3">
      <c r="B114" s="175"/>
      <c r="C114" s="159"/>
      <c r="D114" s="160"/>
      <c r="E114" s="160"/>
      <c r="F114" s="160"/>
      <c r="G114" s="160"/>
      <c r="H114" s="161"/>
      <c r="I114" s="161"/>
      <c r="J114" s="162"/>
      <c r="K114" s="163"/>
      <c r="L114" s="163"/>
      <c r="M114" s="162"/>
      <c r="N114" s="164"/>
      <c r="O114" s="162"/>
      <c r="P114" s="165"/>
      <c r="Q114" s="176"/>
      <c r="R114" s="166"/>
      <c r="S114" s="166"/>
      <c r="T114" s="162"/>
      <c r="U114" s="167"/>
      <c r="V114" s="167"/>
      <c r="W114" s="167"/>
      <c r="X114" s="167"/>
      <c r="Y114" s="168"/>
      <c r="Z114" s="169"/>
      <c r="AA114" s="170"/>
      <c r="AB114" s="170"/>
      <c r="AC114" s="170"/>
      <c r="AD114" s="170"/>
      <c r="AE114" s="170"/>
      <c r="AF114" s="171"/>
      <c r="AG114" s="169"/>
      <c r="AH114" s="170"/>
      <c r="AI114" s="170"/>
      <c r="AJ114" s="170"/>
      <c r="AK114" s="170"/>
      <c r="AL114" s="170"/>
      <c r="AM114" s="171"/>
      <c r="AN114" s="170"/>
      <c r="AO114" s="170"/>
      <c r="AP114" s="170"/>
      <c r="AQ114" s="170"/>
      <c r="AR114" s="170"/>
      <c r="AS114" s="170"/>
      <c r="AT114" s="171"/>
      <c r="AU114" s="172"/>
      <c r="AV114" s="172"/>
      <c r="AW114" s="173"/>
      <c r="AX114" s="174"/>
    </row>
    <row r="115" spans="2:50" x14ac:dyDescent="0.3">
      <c r="B115" s="175"/>
      <c r="C115" s="159"/>
      <c r="D115" s="160"/>
      <c r="E115" s="160"/>
      <c r="F115" s="160"/>
      <c r="G115" s="160"/>
      <c r="H115" s="161"/>
      <c r="I115" s="161"/>
      <c r="J115" s="162"/>
      <c r="K115" s="163"/>
      <c r="L115" s="163"/>
      <c r="M115" s="162"/>
      <c r="N115" s="164"/>
      <c r="O115" s="162"/>
      <c r="P115" s="162"/>
      <c r="Q115" s="162"/>
      <c r="R115" s="166"/>
      <c r="S115" s="166"/>
      <c r="T115" s="162"/>
      <c r="U115" s="167"/>
      <c r="V115" s="167"/>
      <c r="W115" s="167"/>
      <c r="X115" s="167"/>
      <c r="Y115" s="168"/>
      <c r="Z115" s="169"/>
      <c r="AA115" s="170"/>
      <c r="AB115" s="170"/>
      <c r="AC115" s="170"/>
      <c r="AD115" s="170"/>
      <c r="AE115" s="170"/>
      <c r="AF115" s="171"/>
      <c r="AG115" s="169"/>
      <c r="AH115" s="170"/>
      <c r="AI115" s="170"/>
      <c r="AJ115" s="170"/>
      <c r="AK115" s="170"/>
      <c r="AL115" s="170"/>
      <c r="AM115" s="171"/>
      <c r="AN115" s="170"/>
      <c r="AO115" s="170"/>
      <c r="AP115" s="170"/>
      <c r="AQ115" s="170"/>
      <c r="AR115" s="170"/>
      <c r="AS115" s="170"/>
      <c r="AT115" s="171"/>
      <c r="AU115" s="172"/>
      <c r="AV115" s="172"/>
      <c r="AW115" s="173"/>
      <c r="AX115" s="174"/>
    </row>
    <row r="116" spans="2:50" x14ac:dyDescent="0.3">
      <c r="B116" s="175"/>
      <c r="C116" s="159"/>
      <c r="D116" s="160"/>
      <c r="E116" s="160"/>
      <c r="F116" s="160"/>
      <c r="G116" s="160"/>
      <c r="H116" s="161"/>
      <c r="I116" s="161"/>
      <c r="J116" s="162"/>
      <c r="K116" s="163"/>
      <c r="L116" s="163"/>
      <c r="M116" s="162"/>
      <c r="N116" s="164"/>
      <c r="O116" s="162"/>
      <c r="P116" s="162"/>
      <c r="Q116" s="162"/>
      <c r="R116" s="166"/>
      <c r="S116" s="166"/>
      <c r="T116" s="177"/>
      <c r="U116" s="167"/>
      <c r="V116" s="167"/>
      <c r="W116" s="167"/>
      <c r="X116" s="167"/>
      <c r="Y116" s="168"/>
      <c r="Z116" s="169"/>
      <c r="AA116" s="170"/>
      <c r="AB116" s="170"/>
      <c r="AC116" s="170"/>
      <c r="AD116" s="170"/>
      <c r="AE116" s="170"/>
      <c r="AF116" s="171"/>
      <c r="AG116" s="169"/>
      <c r="AH116" s="170"/>
      <c r="AI116" s="170"/>
      <c r="AJ116" s="170"/>
      <c r="AK116" s="170"/>
      <c r="AL116" s="170"/>
      <c r="AM116" s="171"/>
      <c r="AN116" s="170"/>
      <c r="AO116" s="170"/>
      <c r="AP116" s="170"/>
      <c r="AQ116" s="170"/>
      <c r="AR116" s="170"/>
      <c r="AS116" s="170"/>
      <c r="AT116" s="171"/>
      <c r="AU116" s="172"/>
      <c r="AV116" s="172"/>
      <c r="AW116" s="173"/>
      <c r="AX116" s="174"/>
    </row>
    <row r="117" spans="2:50" x14ac:dyDescent="0.3">
      <c r="B117" s="175"/>
      <c r="C117" s="159"/>
      <c r="D117" s="160"/>
      <c r="E117" s="160"/>
      <c r="F117" s="160"/>
      <c r="G117" s="160"/>
      <c r="H117" s="161"/>
      <c r="I117" s="161"/>
      <c r="J117" s="162"/>
      <c r="K117" s="163"/>
      <c r="L117" s="163"/>
      <c r="M117" s="162"/>
      <c r="N117" s="164"/>
      <c r="O117" s="162"/>
      <c r="P117" s="162"/>
      <c r="Q117" s="162"/>
      <c r="R117" s="166"/>
      <c r="S117" s="166"/>
      <c r="T117" s="177"/>
      <c r="U117" s="167"/>
      <c r="V117" s="167"/>
      <c r="W117" s="167"/>
      <c r="X117" s="167"/>
      <c r="Y117" s="168"/>
      <c r="Z117" s="169"/>
      <c r="AA117" s="170"/>
      <c r="AB117" s="170"/>
      <c r="AC117" s="170"/>
      <c r="AD117" s="170"/>
      <c r="AE117" s="170"/>
      <c r="AF117" s="171"/>
      <c r="AG117" s="169"/>
      <c r="AH117" s="170"/>
      <c r="AI117" s="170"/>
      <c r="AJ117" s="170"/>
      <c r="AK117" s="170"/>
      <c r="AL117" s="170"/>
      <c r="AM117" s="171"/>
      <c r="AN117" s="170"/>
      <c r="AO117" s="170"/>
      <c r="AP117" s="170"/>
      <c r="AQ117" s="170"/>
      <c r="AR117" s="170"/>
      <c r="AS117" s="170"/>
      <c r="AT117" s="171"/>
      <c r="AU117" s="172"/>
      <c r="AV117" s="172"/>
      <c r="AW117" s="173"/>
      <c r="AX117" s="174"/>
    </row>
    <row r="118" spans="2:50" x14ac:dyDescent="0.3">
      <c r="B118" s="175"/>
      <c r="C118" s="159"/>
      <c r="D118" s="160"/>
      <c r="E118" s="160"/>
      <c r="F118" s="160"/>
      <c r="G118" s="160"/>
      <c r="H118" s="161"/>
      <c r="I118" s="161"/>
      <c r="J118" s="162"/>
      <c r="K118" s="163"/>
      <c r="L118" s="163"/>
      <c r="M118" s="162"/>
      <c r="N118" s="164"/>
      <c r="O118" s="162"/>
      <c r="P118" s="162"/>
      <c r="Q118" s="162"/>
      <c r="R118" s="166"/>
      <c r="S118" s="166"/>
      <c r="T118" s="177"/>
      <c r="U118" s="167"/>
      <c r="V118" s="167"/>
      <c r="W118" s="167"/>
      <c r="X118" s="167"/>
      <c r="Y118" s="168"/>
      <c r="Z118" s="169"/>
      <c r="AA118" s="170"/>
      <c r="AB118" s="170"/>
      <c r="AC118" s="170"/>
      <c r="AD118" s="170"/>
      <c r="AE118" s="170"/>
      <c r="AF118" s="171"/>
      <c r="AG118" s="169"/>
      <c r="AH118" s="170"/>
      <c r="AI118" s="170"/>
      <c r="AJ118" s="170"/>
      <c r="AK118" s="170"/>
      <c r="AL118" s="170"/>
      <c r="AM118" s="171"/>
      <c r="AN118" s="170"/>
      <c r="AO118" s="170"/>
      <c r="AP118" s="170"/>
      <c r="AQ118" s="170"/>
      <c r="AR118" s="170"/>
      <c r="AS118" s="170"/>
      <c r="AT118" s="171"/>
      <c r="AU118" s="172"/>
      <c r="AV118" s="172"/>
      <c r="AW118" s="173"/>
      <c r="AX118" s="174"/>
    </row>
    <row r="119" spans="2:50" x14ac:dyDescent="0.3">
      <c r="B119" s="175"/>
      <c r="C119" s="159"/>
      <c r="D119" s="160"/>
      <c r="E119" s="160"/>
      <c r="F119" s="160"/>
      <c r="G119" s="160"/>
      <c r="H119" s="161"/>
      <c r="I119" s="161"/>
      <c r="J119" s="162"/>
      <c r="K119" s="163"/>
      <c r="L119" s="163"/>
      <c r="M119" s="162"/>
      <c r="N119" s="164"/>
      <c r="O119" s="162"/>
      <c r="P119" s="162"/>
      <c r="Q119" s="162"/>
      <c r="R119" s="166"/>
      <c r="S119" s="166"/>
      <c r="T119" s="177"/>
      <c r="U119" s="167"/>
      <c r="V119" s="167"/>
      <c r="W119" s="167"/>
      <c r="X119" s="167"/>
      <c r="Y119" s="168"/>
      <c r="Z119" s="169"/>
      <c r="AA119" s="170"/>
      <c r="AB119" s="170"/>
      <c r="AC119" s="170"/>
      <c r="AD119" s="170"/>
      <c r="AE119" s="170"/>
      <c r="AF119" s="171"/>
      <c r="AG119" s="169"/>
      <c r="AH119" s="170"/>
      <c r="AI119" s="170"/>
      <c r="AJ119" s="170"/>
      <c r="AK119" s="170"/>
      <c r="AL119" s="170"/>
      <c r="AM119" s="171"/>
      <c r="AN119" s="170"/>
      <c r="AO119" s="170"/>
      <c r="AP119" s="170"/>
      <c r="AQ119" s="170"/>
      <c r="AR119" s="170"/>
      <c r="AS119" s="170"/>
      <c r="AT119" s="171"/>
      <c r="AU119" s="172"/>
      <c r="AV119" s="172"/>
      <c r="AW119" s="173"/>
      <c r="AX119" s="174"/>
    </row>
    <row r="120" spans="2:50" x14ac:dyDescent="0.3">
      <c r="B120" s="175"/>
      <c r="C120" s="159"/>
      <c r="D120" s="160"/>
      <c r="E120" s="160"/>
      <c r="F120" s="160"/>
      <c r="G120" s="160"/>
      <c r="H120" s="161"/>
      <c r="I120" s="161"/>
      <c r="J120" s="162"/>
      <c r="K120" s="163"/>
      <c r="L120" s="163"/>
      <c r="M120" s="162"/>
      <c r="N120" s="164"/>
      <c r="O120" s="162"/>
      <c r="P120" s="162"/>
      <c r="Q120" s="162"/>
      <c r="R120" s="166"/>
      <c r="S120" s="166"/>
      <c r="T120" s="177"/>
      <c r="U120" s="167"/>
      <c r="V120" s="167"/>
      <c r="W120" s="167"/>
      <c r="X120" s="167"/>
      <c r="Y120" s="168"/>
      <c r="Z120" s="169"/>
      <c r="AA120" s="170"/>
      <c r="AB120" s="170"/>
      <c r="AC120" s="170"/>
      <c r="AD120" s="170"/>
      <c r="AE120" s="170"/>
      <c r="AF120" s="171"/>
      <c r="AG120" s="169"/>
      <c r="AH120" s="170"/>
      <c r="AI120" s="170"/>
      <c r="AJ120" s="170"/>
      <c r="AK120" s="170"/>
      <c r="AL120" s="170"/>
      <c r="AM120" s="171"/>
      <c r="AN120" s="170"/>
      <c r="AO120" s="170"/>
      <c r="AP120" s="170"/>
      <c r="AQ120" s="170"/>
      <c r="AR120" s="170"/>
      <c r="AS120" s="170"/>
      <c r="AT120" s="171"/>
      <c r="AU120" s="172"/>
      <c r="AV120" s="172"/>
      <c r="AW120" s="173"/>
      <c r="AX120" s="174"/>
    </row>
    <row r="121" spans="2:50" x14ac:dyDescent="0.3">
      <c r="B121" s="175"/>
      <c r="C121" s="159"/>
      <c r="D121" s="160"/>
      <c r="E121" s="160"/>
      <c r="F121" s="160"/>
      <c r="G121" s="160"/>
      <c r="H121" s="161"/>
      <c r="I121" s="161"/>
      <c r="J121" s="162"/>
      <c r="K121" s="163"/>
      <c r="L121" s="163"/>
      <c r="M121" s="162"/>
      <c r="N121" s="164"/>
      <c r="O121" s="162"/>
      <c r="P121" s="162"/>
      <c r="Q121" s="162"/>
      <c r="R121" s="166"/>
      <c r="S121" s="166"/>
      <c r="T121" s="177"/>
      <c r="U121" s="167"/>
      <c r="V121" s="167"/>
      <c r="W121" s="167"/>
      <c r="X121" s="167"/>
      <c r="Y121" s="168"/>
      <c r="Z121" s="169"/>
      <c r="AA121" s="170"/>
      <c r="AB121" s="170"/>
      <c r="AC121" s="170"/>
      <c r="AD121" s="170"/>
      <c r="AE121" s="170"/>
      <c r="AF121" s="171"/>
      <c r="AG121" s="169"/>
      <c r="AH121" s="170"/>
      <c r="AI121" s="170"/>
      <c r="AJ121" s="170"/>
      <c r="AK121" s="170"/>
      <c r="AL121" s="170"/>
      <c r="AM121" s="171"/>
      <c r="AN121" s="170"/>
      <c r="AO121" s="170"/>
      <c r="AP121" s="170"/>
      <c r="AQ121" s="170"/>
      <c r="AR121" s="170"/>
      <c r="AS121" s="170"/>
      <c r="AT121" s="171"/>
      <c r="AU121" s="172"/>
      <c r="AV121" s="172"/>
      <c r="AW121" s="173"/>
      <c r="AX121" s="174"/>
    </row>
    <row r="122" spans="2:50" x14ac:dyDescent="0.3">
      <c r="B122" s="175"/>
      <c r="C122" s="159"/>
      <c r="D122" s="160"/>
      <c r="E122" s="160"/>
      <c r="F122" s="160"/>
      <c r="G122" s="160"/>
      <c r="H122" s="161"/>
      <c r="I122" s="161"/>
      <c r="J122" s="162"/>
      <c r="K122" s="163"/>
      <c r="L122" s="163"/>
      <c r="M122" s="162"/>
      <c r="N122" s="164"/>
      <c r="O122" s="162"/>
      <c r="P122" s="162"/>
      <c r="Q122" s="162"/>
      <c r="R122" s="166"/>
      <c r="S122" s="166"/>
      <c r="T122" s="177"/>
      <c r="U122" s="167"/>
      <c r="V122" s="167"/>
      <c r="W122" s="167"/>
      <c r="X122" s="167"/>
      <c r="Y122" s="168"/>
      <c r="Z122" s="169"/>
      <c r="AA122" s="170"/>
      <c r="AB122" s="170"/>
      <c r="AC122" s="170"/>
      <c r="AD122" s="170"/>
      <c r="AE122" s="170"/>
      <c r="AF122" s="171"/>
      <c r="AG122" s="169"/>
      <c r="AH122" s="170"/>
      <c r="AI122" s="170"/>
      <c r="AJ122" s="170"/>
      <c r="AK122" s="170"/>
      <c r="AL122" s="170"/>
      <c r="AM122" s="171"/>
      <c r="AN122" s="170"/>
      <c r="AO122" s="170"/>
      <c r="AP122" s="170"/>
      <c r="AQ122" s="170"/>
      <c r="AR122" s="170"/>
      <c r="AS122" s="170"/>
      <c r="AT122" s="171"/>
      <c r="AU122" s="172"/>
      <c r="AV122" s="172"/>
      <c r="AW122" s="173"/>
      <c r="AX122" s="174"/>
    </row>
    <row r="123" spans="2:50" x14ac:dyDescent="0.3">
      <c r="B123" s="175"/>
      <c r="C123" s="159"/>
      <c r="D123" s="160"/>
      <c r="E123" s="160"/>
      <c r="F123" s="160"/>
      <c r="G123" s="160"/>
      <c r="H123" s="161"/>
      <c r="I123" s="161"/>
      <c r="J123" s="162"/>
      <c r="K123" s="163"/>
      <c r="L123" s="163"/>
      <c r="M123" s="162"/>
      <c r="N123" s="164"/>
      <c r="O123" s="162"/>
      <c r="P123" s="162"/>
      <c r="Q123" s="162"/>
      <c r="R123" s="166"/>
      <c r="S123" s="166"/>
      <c r="T123" s="177"/>
      <c r="U123" s="167"/>
      <c r="V123" s="167"/>
      <c r="W123" s="167"/>
      <c r="X123" s="167"/>
      <c r="Y123" s="168"/>
      <c r="Z123" s="169"/>
      <c r="AA123" s="170"/>
      <c r="AB123" s="170"/>
      <c r="AC123" s="170"/>
      <c r="AD123" s="170"/>
      <c r="AE123" s="170"/>
      <c r="AF123" s="171"/>
      <c r="AG123" s="169"/>
      <c r="AH123" s="170"/>
      <c r="AI123" s="170"/>
      <c r="AJ123" s="170"/>
      <c r="AK123" s="170"/>
      <c r="AL123" s="170"/>
      <c r="AM123" s="171"/>
      <c r="AN123" s="170"/>
      <c r="AO123" s="170"/>
      <c r="AP123" s="170"/>
      <c r="AQ123" s="170"/>
      <c r="AR123" s="170"/>
      <c r="AS123" s="170"/>
      <c r="AT123" s="171"/>
      <c r="AU123" s="172"/>
      <c r="AV123" s="172"/>
      <c r="AW123" s="173"/>
      <c r="AX123" s="174"/>
    </row>
    <row r="124" spans="2:50" x14ac:dyDescent="0.3">
      <c r="B124" s="175"/>
      <c r="C124" s="159"/>
      <c r="D124" s="160"/>
      <c r="E124" s="160"/>
      <c r="F124" s="160"/>
      <c r="G124" s="160"/>
      <c r="H124" s="161"/>
      <c r="I124" s="161"/>
      <c r="J124" s="162"/>
      <c r="K124" s="163"/>
      <c r="L124" s="163"/>
      <c r="M124" s="162"/>
      <c r="N124" s="164"/>
      <c r="O124" s="162"/>
      <c r="P124" s="162"/>
      <c r="Q124" s="162"/>
      <c r="R124" s="166"/>
      <c r="S124" s="166"/>
      <c r="T124" s="177"/>
      <c r="U124" s="167"/>
      <c r="V124" s="167"/>
      <c r="W124" s="167"/>
      <c r="X124" s="167"/>
      <c r="Y124" s="168"/>
      <c r="Z124" s="169"/>
      <c r="AA124" s="170"/>
      <c r="AB124" s="170"/>
      <c r="AC124" s="170"/>
      <c r="AD124" s="170"/>
      <c r="AE124" s="170"/>
      <c r="AF124" s="171"/>
      <c r="AG124" s="169"/>
      <c r="AH124" s="170"/>
      <c r="AI124" s="170"/>
      <c r="AJ124" s="170"/>
      <c r="AK124" s="170"/>
      <c r="AL124" s="170"/>
      <c r="AM124" s="171"/>
      <c r="AN124" s="170"/>
      <c r="AO124" s="170"/>
      <c r="AP124" s="170"/>
      <c r="AQ124" s="170"/>
      <c r="AR124" s="170"/>
      <c r="AS124" s="170"/>
      <c r="AT124" s="171"/>
      <c r="AU124" s="172"/>
      <c r="AV124" s="172"/>
      <c r="AW124" s="173"/>
      <c r="AX124" s="174"/>
    </row>
    <row r="125" spans="2:50" x14ac:dyDescent="0.3">
      <c r="B125" s="175"/>
      <c r="C125" s="159"/>
      <c r="D125" s="160"/>
      <c r="E125" s="160"/>
      <c r="F125" s="160"/>
      <c r="G125" s="160"/>
      <c r="H125" s="161"/>
      <c r="I125" s="161"/>
      <c r="J125" s="162"/>
      <c r="K125" s="163"/>
      <c r="L125" s="163"/>
      <c r="M125" s="162"/>
      <c r="N125" s="164"/>
      <c r="O125" s="162"/>
      <c r="P125" s="162"/>
      <c r="Q125" s="162"/>
      <c r="R125" s="166"/>
      <c r="S125" s="166"/>
      <c r="T125" s="177"/>
      <c r="U125" s="167"/>
      <c r="V125" s="167"/>
      <c r="W125" s="167"/>
      <c r="X125" s="167"/>
      <c r="Y125" s="168"/>
      <c r="Z125" s="169"/>
      <c r="AA125" s="170"/>
      <c r="AB125" s="170"/>
      <c r="AC125" s="170"/>
      <c r="AD125" s="170"/>
      <c r="AE125" s="170"/>
      <c r="AF125" s="171"/>
      <c r="AG125" s="169"/>
      <c r="AH125" s="170"/>
      <c r="AI125" s="170"/>
      <c r="AJ125" s="170"/>
      <c r="AK125" s="170"/>
      <c r="AL125" s="170"/>
      <c r="AM125" s="171"/>
      <c r="AN125" s="170"/>
      <c r="AO125" s="170"/>
      <c r="AP125" s="170"/>
      <c r="AQ125" s="170"/>
      <c r="AR125" s="170"/>
      <c r="AS125" s="170"/>
      <c r="AT125" s="171"/>
      <c r="AU125" s="172"/>
      <c r="AV125" s="172"/>
      <c r="AW125" s="173"/>
      <c r="AX125" s="174"/>
    </row>
    <row r="126" spans="2:50" x14ac:dyDescent="0.3">
      <c r="B126" s="175"/>
      <c r="C126" s="159"/>
      <c r="D126" s="160"/>
      <c r="E126" s="160"/>
      <c r="F126" s="160"/>
      <c r="G126" s="160"/>
      <c r="H126" s="161"/>
      <c r="I126" s="161"/>
      <c r="J126" s="162"/>
      <c r="K126" s="163"/>
      <c r="L126" s="163"/>
      <c r="M126" s="162"/>
      <c r="N126" s="164"/>
      <c r="O126" s="162"/>
      <c r="P126" s="162"/>
      <c r="Q126" s="162"/>
      <c r="R126" s="166"/>
      <c r="S126" s="166"/>
      <c r="T126" s="177"/>
      <c r="U126" s="167"/>
      <c r="V126" s="167"/>
      <c r="W126" s="167"/>
      <c r="X126" s="167"/>
      <c r="Y126" s="168"/>
      <c r="Z126" s="169"/>
      <c r="AA126" s="170"/>
      <c r="AB126" s="170"/>
      <c r="AC126" s="170"/>
      <c r="AD126" s="170"/>
      <c r="AE126" s="170"/>
      <c r="AF126" s="171"/>
      <c r="AG126" s="169"/>
      <c r="AH126" s="170"/>
      <c r="AI126" s="170"/>
      <c r="AJ126" s="170"/>
      <c r="AK126" s="170"/>
      <c r="AL126" s="170"/>
      <c r="AM126" s="171"/>
      <c r="AN126" s="170"/>
      <c r="AO126" s="170"/>
      <c r="AP126" s="170"/>
      <c r="AQ126" s="170"/>
      <c r="AR126" s="170"/>
      <c r="AS126" s="170"/>
      <c r="AT126" s="171"/>
      <c r="AU126" s="172"/>
      <c r="AV126" s="172"/>
      <c r="AW126" s="173"/>
      <c r="AX126" s="174"/>
    </row>
    <row r="127" spans="2:50" x14ac:dyDescent="0.3">
      <c r="B127" s="175"/>
      <c r="C127" s="159"/>
      <c r="D127" s="160"/>
      <c r="E127" s="160"/>
      <c r="F127" s="160"/>
      <c r="G127" s="160"/>
      <c r="H127" s="161"/>
      <c r="I127" s="161"/>
      <c r="J127" s="162"/>
      <c r="K127" s="163"/>
      <c r="L127" s="163"/>
      <c r="M127" s="162"/>
      <c r="N127" s="164"/>
      <c r="O127" s="162"/>
      <c r="P127" s="162"/>
      <c r="Q127" s="162"/>
      <c r="R127" s="166"/>
      <c r="S127" s="166"/>
      <c r="T127" s="177"/>
      <c r="U127" s="167"/>
      <c r="V127" s="167"/>
      <c r="W127" s="167"/>
      <c r="X127" s="167"/>
      <c r="Y127" s="168"/>
      <c r="Z127" s="169"/>
      <c r="AA127" s="170"/>
      <c r="AB127" s="170"/>
      <c r="AC127" s="170"/>
      <c r="AD127" s="170"/>
      <c r="AE127" s="170"/>
      <c r="AF127" s="171"/>
      <c r="AG127" s="169"/>
      <c r="AH127" s="170"/>
      <c r="AI127" s="170"/>
      <c r="AJ127" s="170"/>
      <c r="AK127" s="170"/>
      <c r="AL127" s="170"/>
      <c r="AM127" s="171"/>
      <c r="AN127" s="170"/>
      <c r="AO127" s="170"/>
      <c r="AP127" s="170"/>
      <c r="AQ127" s="170"/>
      <c r="AR127" s="170"/>
      <c r="AS127" s="170"/>
      <c r="AT127" s="171"/>
      <c r="AU127" s="172"/>
      <c r="AV127" s="172"/>
      <c r="AW127" s="173"/>
      <c r="AX127" s="174"/>
    </row>
    <row r="128" spans="2:50" x14ac:dyDescent="0.3">
      <c r="B128" s="175"/>
      <c r="C128" s="159"/>
      <c r="D128" s="160"/>
      <c r="E128" s="160"/>
      <c r="F128" s="160"/>
      <c r="G128" s="160"/>
      <c r="H128" s="161"/>
      <c r="I128" s="161"/>
      <c r="J128" s="162"/>
      <c r="K128" s="163"/>
      <c r="L128" s="163"/>
      <c r="M128" s="162"/>
      <c r="N128" s="164"/>
      <c r="O128" s="162"/>
      <c r="P128" s="162"/>
      <c r="Q128" s="162"/>
      <c r="R128" s="166"/>
      <c r="S128" s="166"/>
      <c r="T128" s="177"/>
      <c r="U128" s="167"/>
      <c r="V128" s="167"/>
      <c r="W128" s="167"/>
      <c r="X128" s="167"/>
      <c r="Y128" s="168"/>
      <c r="Z128" s="169"/>
      <c r="AA128" s="170"/>
      <c r="AB128" s="170"/>
      <c r="AC128" s="170"/>
      <c r="AD128" s="170"/>
      <c r="AE128" s="170"/>
      <c r="AF128" s="171"/>
      <c r="AG128" s="169"/>
      <c r="AH128" s="170"/>
      <c r="AI128" s="170"/>
      <c r="AJ128" s="170"/>
      <c r="AK128" s="170"/>
      <c r="AL128" s="170"/>
      <c r="AM128" s="171"/>
      <c r="AN128" s="170"/>
      <c r="AO128" s="170"/>
      <c r="AP128" s="170"/>
      <c r="AQ128" s="170"/>
      <c r="AR128" s="170"/>
      <c r="AS128" s="170"/>
      <c r="AT128" s="171"/>
      <c r="AU128" s="172"/>
      <c r="AV128" s="172"/>
      <c r="AW128" s="173"/>
      <c r="AX128" s="174"/>
    </row>
    <row r="129" spans="2:50" x14ac:dyDescent="0.3">
      <c r="B129" s="175"/>
      <c r="C129" s="159"/>
      <c r="D129" s="160"/>
      <c r="E129" s="160"/>
      <c r="F129" s="160"/>
      <c r="G129" s="160"/>
      <c r="H129" s="161"/>
      <c r="I129" s="161"/>
      <c r="J129" s="162"/>
      <c r="K129" s="163"/>
      <c r="L129" s="163"/>
      <c r="M129" s="162"/>
      <c r="N129" s="164"/>
      <c r="O129" s="162"/>
      <c r="P129" s="162"/>
      <c r="Q129" s="162"/>
      <c r="R129" s="166"/>
      <c r="S129" s="166"/>
      <c r="T129" s="177"/>
      <c r="U129" s="167"/>
      <c r="V129" s="167"/>
      <c r="W129" s="167"/>
      <c r="X129" s="167"/>
      <c r="Y129" s="168"/>
      <c r="Z129" s="169"/>
      <c r="AA129" s="170"/>
      <c r="AB129" s="170"/>
      <c r="AC129" s="170"/>
      <c r="AD129" s="170"/>
      <c r="AE129" s="170"/>
      <c r="AF129" s="171"/>
      <c r="AG129" s="169"/>
      <c r="AH129" s="170"/>
      <c r="AI129" s="170"/>
      <c r="AJ129" s="170"/>
      <c r="AK129" s="170"/>
      <c r="AL129" s="170"/>
      <c r="AM129" s="171"/>
      <c r="AN129" s="170"/>
      <c r="AO129" s="170"/>
      <c r="AP129" s="170"/>
      <c r="AQ129" s="170"/>
      <c r="AR129" s="170"/>
      <c r="AS129" s="170"/>
      <c r="AT129" s="171"/>
      <c r="AU129" s="172"/>
      <c r="AV129" s="172"/>
      <c r="AW129" s="173"/>
      <c r="AX129" s="174"/>
    </row>
    <row r="130" spans="2:50" x14ac:dyDescent="0.3">
      <c r="B130" s="175"/>
      <c r="C130" s="159"/>
      <c r="D130" s="160"/>
      <c r="E130" s="160"/>
      <c r="F130" s="160"/>
      <c r="G130" s="160"/>
      <c r="H130" s="161"/>
      <c r="I130" s="161"/>
      <c r="J130" s="162"/>
      <c r="K130" s="163"/>
      <c r="L130" s="163"/>
      <c r="M130" s="162"/>
      <c r="N130" s="164"/>
      <c r="O130" s="162"/>
      <c r="P130" s="162"/>
      <c r="Q130" s="162"/>
      <c r="R130" s="166"/>
      <c r="S130" s="166"/>
      <c r="T130" s="177"/>
      <c r="U130" s="167"/>
      <c r="V130" s="167"/>
      <c r="W130" s="167"/>
      <c r="X130" s="167"/>
      <c r="Y130" s="168"/>
      <c r="Z130" s="169"/>
      <c r="AA130" s="170"/>
      <c r="AB130" s="170"/>
      <c r="AC130" s="170"/>
      <c r="AD130" s="170"/>
      <c r="AE130" s="170"/>
      <c r="AF130" s="171"/>
      <c r="AG130" s="169"/>
      <c r="AH130" s="170"/>
      <c r="AI130" s="170"/>
      <c r="AJ130" s="170"/>
      <c r="AK130" s="170"/>
      <c r="AL130" s="170"/>
      <c r="AM130" s="171"/>
      <c r="AN130" s="170"/>
      <c r="AO130" s="170"/>
      <c r="AP130" s="170"/>
      <c r="AQ130" s="170"/>
      <c r="AR130" s="170"/>
      <c r="AS130" s="170"/>
      <c r="AT130" s="171"/>
      <c r="AU130" s="172"/>
      <c r="AV130" s="172"/>
      <c r="AW130" s="173"/>
      <c r="AX130" s="174"/>
    </row>
    <row r="131" spans="2:50" x14ac:dyDescent="0.3">
      <c r="B131" s="175"/>
      <c r="C131" s="159"/>
      <c r="D131" s="160"/>
      <c r="E131" s="160"/>
      <c r="F131" s="160"/>
      <c r="G131" s="160"/>
      <c r="H131" s="161"/>
      <c r="I131" s="161"/>
      <c r="J131" s="162"/>
      <c r="K131" s="163"/>
      <c r="L131" s="163"/>
      <c r="M131" s="162"/>
      <c r="N131" s="164"/>
      <c r="O131" s="162"/>
      <c r="P131" s="162"/>
      <c r="Q131" s="162"/>
      <c r="R131" s="166"/>
      <c r="S131" s="166"/>
      <c r="T131" s="177"/>
      <c r="U131" s="167"/>
      <c r="V131" s="167"/>
      <c r="W131" s="167"/>
      <c r="X131" s="167"/>
      <c r="Y131" s="168"/>
      <c r="Z131" s="169"/>
      <c r="AA131" s="170"/>
      <c r="AB131" s="170"/>
      <c r="AC131" s="170"/>
      <c r="AD131" s="170"/>
      <c r="AE131" s="170"/>
      <c r="AF131" s="171"/>
      <c r="AG131" s="169"/>
      <c r="AH131" s="170"/>
      <c r="AI131" s="170"/>
      <c r="AJ131" s="170"/>
      <c r="AK131" s="170"/>
      <c r="AL131" s="170"/>
      <c r="AM131" s="171"/>
      <c r="AN131" s="170"/>
      <c r="AO131" s="170"/>
      <c r="AP131" s="170"/>
      <c r="AQ131" s="170"/>
      <c r="AR131" s="170"/>
      <c r="AS131" s="170"/>
      <c r="AT131" s="171"/>
      <c r="AU131" s="172"/>
      <c r="AV131" s="172"/>
      <c r="AW131" s="173"/>
      <c r="AX131" s="174"/>
    </row>
    <row r="132" spans="2:50" x14ac:dyDescent="0.3">
      <c r="B132" s="175"/>
      <c r="C132" s="159"/>
      <c r="D132" s="160"/>
      <c r="E132" s="160"/>
      <c r="F132" s="160"/>
      <c r="G132" s="160"/>
      <c r="H132" s="161"/>
      <c r="I132" s="161"/>
      <c r="J132" s="162"/>
      <c r="K132" s="163"/>
      <c r="L132" s="163"/>
      <c r="M132" s="162"/>
      <c r="N132" s="164"/>
      <c r="O132" s="162"/>
      <c r="P132" s="162"/>
      <c r="Q132" s="162"/>
      <c r="R132" s="166"/>
      <c r="S132" s="166"/>
      <c r="T132" s="177"/>
      <c r="U132" s="167"/>
      <c r="V132" s="167"/>
      <c r="W132" s="167"/>
      <c r="X132" s="167"/>
      <c r="Y132" s="168"/>
      <c r="Z132" s="169"/>
      <c r="AA132" s="170"/>
      <c r="AB132" s="170"/>
      <c r="AC132" s="170"/>
      <c r="AD132" s="170"/>
      <c r="AE132" s="170"/>
      <c r="AF132" s="171"/>
      <c r="AG132" s="169"/>
      <c r="AH132" s="170"/>
      <c r="AI132" s="170"/>
      <c r="AJ132" s="170"/>
      <c r="AK132" s="170"/>
      <c r="AL132" s="170"/>
      <c r="AM132" s="171"/>
      <c r="AN132" s="170"/>
      <c r="AO132" s="170"/>
      <c r="AP132" s="170"/>
      <c r="AQ132" s="170"/>
      <c r="AR132" s="170"/>
      <c r="AS132" s="170"/>
      <c r="AT132" s="171"/>
      <c r="AU132" s="172"/>
      <c r="AV132" s="172"/>
      <c r="AW132" s="173"/>
      <c r="AX132" s="174"/>
    </row>
    <row r="133" spans="2:50" x14ac:dyDescent="0.3">
      <c r="B133" s="175"/>
      <c r="C133" s="159"/>
      <c r="D133" s="160"/>
      <c r="E133" s="160"/>
      <c r="F133" s="160"/>
      <c r="G133" s="160"/>
      <c r="H133" s="161"/>
      <c r="I133" s="161"/>
      <c r="J133" s="162"/>
      <c r="K133" s="163"/>
      <c r="L133" s="163"/>
      <c r="M133" s="162"/>
      <c r="N133" s="164"/>
      <c r="O133" s="162"/>
      <c r="P133" s="162"/>
      <c r="Q133" s="162"/>
      <c r="R133" s="166"/>
      <c r="S133" s="166"/>
      <c r="T133" s="177"/>
      <c r="U133" s="167"/>
      <c r="V133" s="167"/>
      <c r="W133" s="167"/>
      <c r="X133" s="167"/>
      <c r="Y133" s="168"/>
      <c r="Z133" s="169"/>
      <c r="AA133" s="170"/>
      <c r="AB133" s="170"/>
      <c r="AC133" s="170"/>
      <c r="AD133" s="170"/>
      <c r="AE133" s="170"/>
      <c r="AF133" s="171"/>
      <c r="AG133" s="169"/>
      <c r="AH133" s="170"/>
      <c r="AI133" s="170"/>
      <c r="AJ133" s="170"/>
      <c r="AK133" s="170"/>
      <c r="AL133" s="170"/>
      <c r="AM133" s="171"/>
      <c r="AN133" s="170"/>
      <c r="AO133" s="170"/>
      <c r="AP133" s="170"/>
      <c r="AQ133" s="170"/>
      <c r="AR133" s="170"/>
      <c r="AS133" s="170"/>
      <c r="AT133" s="171"/>
      <c r="AU133" s="172"/>
      <c r="AV133" s="172"/>
      <c r="AW133" s="173"/>
      <c r="AX133" s="174"/>
    </row>
    <row r="134" spans="2:50" x14ac:dyDescent="0.3">
      <c r="B134" s="175"/>
      <c r="C134" s="159"/>
      <c r="D134" s="160"/>
      <c r="E134" s="160"/>
      <c r="F134" s="160"/>
      <c r="G134" s="160"/>
      <c r="H134" s="161"/>
      <c r="I134" s="161"/>
      <c r="J134" s="162"/>
      <c r="K134" s="163"/>
      <c r="L134" s="163"/>
      <c r="M134" s="162"/>
      <c r="N134" s="164"/>
      <c r="O134" s="162"/>
      <c r="P134" s="162"/>
      <c r="Q134" s="162"/>
      <c r="R134" s="166"/>
      <c r="S134" s="166"/>
      <c r="T134" s="177"/>
      <c r="U134" s="167"/>
      <c r="V134" s="167"/>
      <c r="W134" s="167"/>
      <c r="X134" s="167"/>
      <c r="Y134" s="168"/>
      <c r="Z134" s="169"/>
      <c r="AA134" s="170"/>
      <c r="AB134" s="170"/>
      <c r="AC134" s="170"/>
      <c r="AD134" s="170"/>
      <c r="AE134" s="170"/>
      <c r="AF134" s="171"/>
      <c r="AG134" s="169"/>
      <c r="AH134" s="170"/>
      <c r="AI134" s="170"/>
      <c r="AJ134" s="170"/>
      <c r="AK134" s="170"/>
      <c r="AL134" s="170"/>
      <c r="AM134" s="171"/>
      <c r="AN134" s="170"/>
      <c r="AO134" s="170"/>
      <c r="AP134" s="170"/>
      <c r="AQ134" s="170"/>
      <c r="AR134" s="170"/>
      <c r="AS134" s="170"/>
      <c r="AT134" s="171"/>
      <c r="AU134" s="172"/>
      <c r="AV134" s="172"/>
      <c r="AW134" s="173"/>
      <c r="AX134" s="174"/>
    </row>
    <row r="135" spans="2:50" x14ac:dyDescent="0.3">
      <c r="B135" s="175"/>
      <c r="C135" s="159"/>
      <c r="D135" s="160"/>
      <c r="E135" s="160"/>
      <c r="F135" s="160"/>
      <c r="G135" s="160"/>
      <c r="H135" s="161"/>
      <c r="I135" s="161"/>
      <c r="J135" s="162"/>
      <c r="K135" s="163"/>
      <c r="L135" s="163"/>
      <c r="M135" s="162"/>
      <c r="N135" s="164"/>
      <c r="O135" s="162"/>
      <c r="P135" s="162"/>
      <c r="Q135" s="162"/>
      <c r="R135" s="166"/>
      <c r="S135" s="166"/>
      <c r="T135" s="177"/>
      <c r="U135" s="167"/>
      <c r="V135" s="167"/>
      <c r="W135" s="167"/>
      <c r="X135" s="167"/>
      <c r="Y135" s="168"/>
      <c r="Z135" s="169"/>
      <c r="AA135" s="170"/>
      <c r="AB135" s="170"/>
      <c r="AC135" s="170"/>
      <c r="AD135" s="170"/>
      <c r="AE135" s="170"/>
      <c r="AF135" s="171"/>
      <c r="AG135" s="169"/>
      <c r="AH135" s="170"/>
      <c r="AI135" s="170"/>
      <c r="AJ135" s="170"/>
      <c r="AK135" s="170"/>
      <c r="AL135" s="170"/>
      <c r="AM135" s="171"/>
      <c r="AN135" s="170"/>
      <c r="AO135" s="170"/>
      <c r="AP135" s="170"/>
      <c r="AQ135" s="170"/>
      <c r="AR135" s="170"/>
      <c r="AS135" s="170"/>
      <c r="AT135" s="171"/>
      <c r="AU135" s="172"/>
      <c r="AV135" s="172"/>
      <c r="AW135" s="173"/>
      <c r="AX135" s="174"/>
    </row>
    <row r="136" spans="2:50" x14ac:dyDescent="0.3">
      <c r="B136" s="175"/>
      <c r="C136" s="159"/>
      <c r="D136" s="160"/>
      <c r="E136" s="160"/>
      <c r="F136" s="160"/>
      <c r="G136" s="160"/>
      <c r="H136" s="161"/>
      <c r="I136" s="161"/>
      <c r="J136" s="162"/>
      <c r="K136" s="163"/>
      <c r="L136" s="163"/>
      <c r="M136" s="162"/>
      <c r="N136" s="164"/>
      <c r="O136" s="162"/>
      <c r="P136" s="162"/>
      <c r="Q136" s="162"/>
      <c r="R136" s="166"/>
      <c r="S136" s="166"/>
      <c r="T136" s="177"/>
      <c r="U136" s="167"/>
      <c r="V136" s="167"/>
      <c r="W136" s="167"/>
      <c r="X136" s="167"/>
      <c r="Y136" s="168"/>
      <c r="Z136" s="169"/>
      <c r="AA136" s="170"/>
      <c r="AB136" s="170"/>
      <c r="AC136" s="170"/>
      <c r="AD136" s="170"/>
      <c r="AE136" s="170"/>
      <c r="AF136" s="171"/>
      <c r="AG136" s="169"/>
      <c r="AH136" s="170"/>
      <c r="AI136" s="170"/>
      <c r="AJ136" s="170"/>
      <c r="AK136" s="170"/>
      <c r="AL136" s="170"/>
      <c r="AM136" s="171"/>
      <c r="AN136" s="170"/>
      <c r="AO136" s="170"/>
      <c r="AP136" s="170"/>
      <c r="AQ136" s="170"/>
      <c r="AR136" s="170"/>
      <c r="AS136" s="170"/>
      <c r="AT136" s="171"/>
      <c r="AU136" s="172"/>
      <c r="AV136" s="172"/>
      <c r="AW136" s="173"/>
      <c r="AX136" s="174"/>
    </row>
    <row r="137" spans="2:50" x14ac:dyDescent="0.3">
      <c r="B137" s="175"/>
      <c r="C137" s="159"/>
      <c r="D137" s="160"/>
      <c r="E137" s="160"/>
      <c r="F137" s="160"/>
      <c r="G137" s="160"/>
      <c r="H137" s="161"/>
      <c r="I137" s="161"/>
      <c r="J137" s="162"/>
      <c r="K137" s="163"/>
      <c r="L137" s="163"/>
      <c r="M137" s="162"/>
      <c r="N137" s="164"/>
      <c r="O137" s="162"/>
      <c r="P137" s="162"/>
      <c r="Q137" s="162"/>
      <c r="R137" s="166"/>
      <c r="S137" s="166"/>
      <c r="T137" s="177"/>
      <c r="U137" s="167"/>
      <c r="V137" s="167"/>
      <c r="W137" s="167"/>
      <c r="X137" s="167"/>
      <c r="Y137" s="168"/>
      <c r="Z137" s="169"/>
      <c r="AA137" s="170"/>
      <c r="AB137" s="170"/>
      <c r="AC137" s="170"/>
      <c r="AD137" s="170"/>
      <c r="AE137" s="170"/>
      <c r="AF137" s="171"/>
      <c r="AG137" s="169"/>
      <c r="AH137" s="170"/>
      <c r="AI137" s="170"/>
      <c r="AJ137" s="170"/>
      <c r="AK137" s="170"/>
      <c r="AL137" s="170"/>
      <c r="AM137" s="171"/>
      <c r="AN137" s="170"/>
      <c r="AO137" s="170"/>
      <c r="AP137" s="170"/>
      <c r="AQ137" s="170"/>
      <c r="AR137" s="170"/>
      <c r="AS137" s="170"/>
      <c r="AT137" s="171"/>
      <c r="AU137" s="172"/>
      <c r="AV137" s="172"/>
      <c r="AW137" s="173"/>
      <c r="AX137" s="174"/>
    </row>
    <row r="138" spans="2:50" x14ac:dyDescent="0.3">
      <c r="B138" s="175"/>
      <c r="C138" s="159"/>
      <c r="D138" s="160"/>
      <c r="E138" s="160"/>
      <c r="F138" s="160"/>
      <c r="G138" s="160"/>
      <c r="H138" s="161"/>
      <c r="I138" s="161"/>
      <c r="J138" s="162"/>
      <c r="K138" s="163"/>
      <c r="L138" s="163"/>
      <c r="M138" s="162"/>
      <c r="N138" s="164"/>
      <c r="O138" s="162"/>
      <c r="P138" s="165"/>
      <c r="Q138" s="162"/>
      <c r="R138" s="166"/>
      <c r="S138" s="166"/>
      <c r="T138" s="162"/>
      <c r="U138" s="167"/>
      <c r="V138" s="167"/>
      <c r="W138" s="167"/>
      <c r="X138" s="167"/>
      <c r="Y138" s="168"/>
      <c r="Z138" s="169"/>
      <c r="AA138" s="170"/>
      <c r="AB138" s="170"/>
      <c r="AC138" s="170"/>
      <c r="AD138" s="170"/>
      <c r="AE138" s="170"/>
      <c r="AF138" s="171"/>
      <c r="AG138" s="169"/>
      <c r="AH138" s="170"/>
      <c r="AI138" s="170"/>
      <c r="AJ138" s="170"/>
      <c r="AK138" s="170"/>
      <c r="AL138" s="170"/>
      <c r="AM138" s="171"/>
      <c r="AN138" s="170"/>
      <c r="AO138" s="170"/>
      <c r="AP138" s="170"/>
      <c r="AQ138" s="170"/>
      <c r="AR138" s="170"/>
      <c r="AS138" s="170"/>
      <c r="AT138" s="171"/>
      <c r="AU138" s="172"/>
      <c r="AV138" s="172"/>
      <c r="AW138" s="173"/>
      <c r="AX138" s="174"/>
    </row>
    <row r="139" spans="2:50" x14ac:dyDescent="0.3">
      <c r="B139" s="175"/>
      <c r="C139" s="159"/>
      <c r="D139" s="160"/>
      <c r="E139" s="160"/>
      <c r="F139" s="160"/>
      <c r="G139" s="160"/>
      <c r="H139" s="161"/>
      <c r="I139" s="161"/>
      <c r="J139" s="162"/>
      <c r="K139" s="163"/>
      <c r="L139" s="163"/>
      <c r="M139" s="162"/>
      <c r="N139" s="164"/>
      <c r="O139" s="162"/>
      <c r="P139" s="165"/>
      <c r="Q139" s="176"/>
      <c r="R139" s="166"/>
      <c r="S139" s="166"/>
      <c r="T139" s="177"/>
      <c r="U139" s="167"/>
      <c r="V139" s="167"/>
      <c r="W139" s="167"/>
      <c r="X139" s="167"/>
      <c r="Y139" s="168"/>
      <c r="Z139" s="169"/>
      <c r="AA139" s="170"/>
      <c r="AB139" s="170"/>
      <c r="AC139" s="170"/>
      <c r="AD139" s="170"/>
      <c r="AE139" s="170"/>
      <c r="AF139" s="171"/>
      <c r="AG139" s="169"/>
      <c r="AH139" s="170"/>
      <c r="AI139" s="170"/>
      <c r="AJ139" s="170"/>
      <c r="AK139" s="170"/>
      <c r="AL139" s="170"/>
      <c r="AM139" s="171"/>
      <c r="AN139" s="170"/>
      <c r="AO139" s="170"/>
      <c r="AP139" s="170"/>
      <c r="AQ139" s="170"/>
      <c r="AR139" s="170"/>
      <c r="AS139" s="170"/>
      <c r="AT139" s="171"/>
      <c r="AU139" s="172"/>
      <c r="AV139" s="172"/>
      <c r="AW139" s="173"/>
      <c r="AX139" s="174"/>
    </row>
    <row r="140" spans="2:50" x14ac:dyDescent="0.3">
      <c r="B140" s="175"/>
      <c r="C140" s="159"/>
      <c r="D140" s="160"/>
      <c r="E140" s="160"/>
      <c r="F140" s="160"/>
      <c r="G140" s="160"/>
      <c r="H140" s="161"/>
      <c r="I140" s="161"/>
      <c r="J140" s="162"/>
      <c r="K140" s="163"/>
      <c r="L140" s="163"/>
      <c r="M140" s="162"/>
      <c r="N140" s="164"/>
      <c r="O140" s="162"/>
      <c r="P140" s="165"/>
      <c r="Q140" s="176"/>
      <c r="R140" s="166"/>
      <c r="S140" s="166"/>
      <c r="T140" s="177"/>
      <c r="U140" s="167"/>
      <c r="V140" s="167"/>
      <c r="W140" s="167"/>
      <c r="X140" s="167"/>
      <c r="Y140" s="168"/>
      <c r="Z140" s="169"/>
      <c r="AA140" s="170"/>
      <c r="AB140" s="170"/>
      <c r="AC140" s="170"/>
      <c r="AD140" s="170"/>
      <c r="AE140" s="170"/>
      <c r="AF140" s="171"/>
      <c r="AG140" s="169"/>
      <c r="AH140" s="170"/>
      <c r="AI140" s="170"/>
      <c r="AJ140" s="170"/>
      <c r="AK140" s="170"/>
      <c r="AL140" s="170"/>
      <c r="AM140" s="171"/>
      <c r="AN140" s="170"/>
      <c r="AO140" s="170"/>
      <c r="AP140" s="170"/>
      <c r="AQ140" s="170"/>
      <c r="AR140" s="170"/>
      <c r="AS140" s="170"/>
      <c r="AT140" s="171"/>
      <c r="AU140" s="172"/>
      <c r="AV140" s="172"/>
      <c r="AW140" s="173"/>
      <c r="AX140" s="174"/>
    </row>
    <row r="141" spans="2:50" x14ac:dyDescent="0.3">
      <c r="B141" s="175"/>
      <c r="C141" s="159"/>
      <c r="D141" s="160"/>
      <c r="E141" s="160"/>
      <c r="F141" s="160"/>
      <c r="G141" s="160"/>
      <c r="H141" s="161"/>
      <c r="I141" s="161"/>
      <c r="J141" s="162"/>
      <c r="K141" s="163"/>
      <c r="L141" s="163"/>
      <c r="M141" s="162"/>
      <c r="N141" s="164"/>
      <c r="O141" s="162"/>
      <c r="P141" s="165"/>
      <c r="Q141" s="176"/>
      <c r="R141" s="166"/>
      <c r="S141" s="166"/>
      <c r="T141" s="162"/>
      <c r="U141" s="167"/>
      <c r="V141" s="167"/>
      <c r="W141" s="167"/>
      <c r="X141" s="167"/>
      <c r="Y141" s="168"/>
      <c r="Z141" s="169"/>
      <c r="AA141" s="170"/>
      <c r="AB141" s="170"/>
      <c r="AC141" s="170"/>
      <c r="AD141" s="170"/>
      <c r="AE141" s="170"/>
      <c r="AF141" s="171"/>
      <c r="AG141" s="169"/>
      <c r="AH141" s="170"/>
      <c r="AI141" s="170"/>
      <c r="AJ141" s="170"/>
      <c r="AK141" s="170"/>
      <c r="AL141" s="170"/>
      <c r="AM141" s="171"/>
      <c r="AN141" s="170"/>
      <c r="AO141" s="170"/>
      <c r="AP141" s="170"/>
      <c r="AQ141" s="170"/>
      <c r="AR141" s="170"/>
      <c r="AS141" s="170"/>
      <c r="AT141" s="171"/>
      <c r="AU141" s="172"/>
      <c r="AV141" s="172"/>
      <c r="AW141" s="173"/>
      <c r="AX141" s="174"/>
    </row>
    <row r="142" spans="2:50" x14ac:dyDescent="0.3">
      <c r="B142" s="175"/>
      <c r="C142" s="159"/>
      <c r="D142" s="160"/>
      <c r="E142" s="160"/>
      <c r="F142" s="160"/>
      <c r="G142" s="160"/>
      <c r="H142" s="161"/>
      <c r="I142" s="161"/>
      <c r="J142" s="162"/>
      <c r="K142" s="163"/>
      <c r="L142" s="163"/>
      <c r="M142" s="162"/>
      <c r="N142" s="164"/>
      <c r="O142" s="162"/>
      <c r="P142" s="165"/>
      <c r="Q142" s="176"/>
      <c r="R142" s="166"/>
      <c r="S142" s="166"/>
      <c r="T142" s="162"/>
      <c r="U142" s="167"/>
      <c r="V142" s="167"/>
      <c r="W142" s="167"/>
      <c r="X142" s="167"/>
      <c r="Y142" s="168"/>
      <c r="Z142" s="169"/>
      <c r="AA142" s="170"/>
      <c r="AB142" s="170"/>
      <c r="AC142" s="170"/>
      <c r="AD142" s="170"/>
      <c r="AE142" s="170"/>
      <c r="AF142" s="171"/>
      <c r="AG142" s="169"/>
      <c r="AH142" s="170"/>
      <c r="AI142" s="170"/>
      <c r="AJ142" s="170"/>
      <c r="AK142" s="170"/>
      <c r="AL142" s="170"/>
      <c r="AM142" s="171"/>
      <c r="AN142" s="170"/>
      <c r="AO142" s="170"/>
      <c r="AP142" s="170"/>
      <c r="AQ142" s="170"/>
      <c r="AR142" s="170"/>
      <c r="AS142" s="170"/>
      <c r="AT142" s="171"/>
      <c r="AU142" s="172"/>
      <c r="AV142" s="172"/>
      <c r="AW142" s="173"/>
      <c r="AX142" s="174"/>
    </row>
    <row r="143" spans="2:50" x14ac:dyDescent="0.3">
      <c r="B143" s="175"/>
      <c r="C143" s="159"/>
      <c r="D143" s="160"/>
      <c r="E143" s="160"/>
      <c r="F143" s="160"/>
      <c r="G143" s="160"/>
      <c r="H143" s="161"/>
      <c r="I143" s="161"/>
      <c r="J143" s="162"/>
      <c r="K143" s="163"/>
      <c r="L143" s="163"/>
      <c r="M143" s="162"/>
      <c r="N143" s="164"/>
      <c r="O143" s="162"/>
      <c r="P143" s="165"/>
      <c r="Q143" s="176"/>
      <c r="R143" s="166"/>
      <c r="S143" s="166"/>
      <c r="T143" s="162"/>
      <c r="U143" s="167"/>
      <c r="V143" s="167"/>
      <c r="W143" s="167"/>
      <c r="X143" s="167"/>
      <c r="Y143" s="168"/>
      <c r="Z143" s="169"/>
      <c r="AA143" s="170"/>
      <c r="AB143" s="170"/>
      <c r="AC143" s="170"/>
      <c r="AD143" s="170"/>
      <c r="AE143" s="170"/>
      <c r="AF143" s="171"/>
      <c r="AG143" s="169"/>
      <c r="AH143" s="170"/>
      <c r="AI143" s="170"/>
      <c r="AJ143" s="170"/>
      <c r="AK143" s="170"/>
      <c r="AL143" s="170"/>
      <c r="AM143" s="171"/>
      <c r="AN143" s="170"/>
      <c r="AO143" s="170"/>
      <c r="AP143" s="170"/>
      <c r="AQ143" s="170"/>
      <c r="AR143" s="170"/>
      <c r="AS143" s="170"/>
      <c r="AT143" s="171"/>
      <c r="AU143" s="172"/>
      <c r="AV143" s="172"/>
      <c r="AW143" s="173"/>
      <c r="AX143" s="174"/>
    </row>
    <row r="144" spans="2:50" x14ac:dyDescent="0.3">
      <c r="B144" s="175"/>
      <c r="C144" s="159"/>
      <c r="D144" s="160"/>
      <c r="E144" s="160"/>
      <c r="F144" s="160"/>
      <c r="G144" s="160"/>
      <c r="H144" s="161"/>
      <c r="I144" s="161"/>
      <c r="J144" s="162"/>
      <c r="K144" s="163"/>
      <c r="L144" s="163"/>
      <c r="M144" s="162"/>
      <c r="N144" s="164"/>
      <c r="O144" s="162"/>
      <c r="P144" s="178"/>
      <c r="Q144" s="176"/>
      <c r="R144" s="166"/>
      <c r="S144" s="166"/>
      <c r="T144" s="162"/>
      <c r="U144" s="167"/>
      <c r="V144" s="167"/>
      <c r="W144" s="167"/>
      <c r="X144" s="167"/>
      <c r="Y144" s="168"/>
      <c r="Z144" s="169"/>
      <c r="AA144" s="170"/>
      <c r="AB144" s="170"/>
      <c r="AC144" s="170"/>
      <c r="AD144" s="170"/>
      <c r="AE144" s="170"/>
      <c r="AF144" s="171"/>
      <c r="AG144" s="169"/>
      <c r="AH144" s="170"/>
      <c r="AI144" s="170"/>
      <c r="AJ144" s="170"/>
      <c r="AK144" s="170"/>
      <c r="AL144" s="170"/>
      <c r="AM144" s="171"/>
      <c r="AN144" s="170"/>
      <c r="AO144" s="170"/>
      <c r="AP144" s="170"/>
      <c r="AQ144" s="170"/>
      <c r="AR144" s="170"/>
      <c r="AS144" s="170"/>
      <c r="AT144" s="171"/>
      <c r="AU144" s="172"/>
      <c r="AV144" s="172"/>
      <c r="AW144" s="173"/>
      <c r="AX144" s="174"/>
    </row>
    <row r="145" spans="2:50" x14ac:dyDescent="0.3">
      <c r="B145" s="175"/>
      <c r="C145" s="159"/>
      <c r="D145" s="160"/>
      <c r="E145" s="160"/>
      <c r="F145" s="160"/>
      <c r="G145" s="160"/>
      <c r="H145" s="161"/>
      <c r="I145" s="161"/>
      <c r="J145" s="162"/>
      <c r="K145" s="163"/>
      <c r="L145" s="163"/>
      <c r="M145" s="162"/>
      <c r="N145" s="164"/>
      <c r="O145" s="162"/>
      <c r="P145" s="162"/>
      <c r="Q145" s="162"/>
      <c r="R145" s="166"/>
      <c r="S145" s="166"/>
      <c r="T145" s="177"/>
      <c r="U145" s="167"/>
      <c r="V145" s="167"/>
      <c r="W145" s="167"/>
      <c r="X145" s="167"/>
      <c r="Y145" s="168"/>
      <c r="Z145" s="169"/>
      <c r="AA145" s="170"/>
      <c r="AB145" s="170"/>
      <c r="AC145" s="170"/>
      <c r="AD145" s="170"/>
      <c r="AE145" s="170"/>
      <c r="AF145" s="171"/>
      <c r="AG145" s="169"/>
      <c r="AH145" s="170"/>
      <c r="AI145" s="170"/>
      <c r="AJ145" s="170"/>
      <c r="AK145" s="170"/>
      <c r="AL145" s="170"/>
      <c r="AM145" s="171"/>
      <c r="AN145" s="170"/>
      <c r="AO145" s="170"/>
      <c r="AP145" s="170"/>
      <c r="AQ145" s="170"/>
      <c r="AR145" s="170"/>
      <c r="AS145" s="170"/>
      <c r="AT145" s="171"/>
      <c r="AU145" s="172"/>
      <c r="AV145" s="172"/>
      <c r="AW145" s="173"/>
      <c r="AX145" s="174"/>
    </row>
    <row r="146" spans="2:50" x14ac:dyDescent="0.3">
      <c r="B146" s="175"/>
      <c r="C146" s="159"/>
      <c r="D146" s="160"/>
      <c r="E146" s="160"/>
      <c r="F146" s="160"/>
      <c r="G146" s="160"/>
      <c r="H146" s="161"/>
      <c r="I146" s="161"/>
      <c r="J146" s="162"/>
      <c r="K146" s="163"/>
      <c r="L146" s="163"/>
      <c r="M146" s="162"/>
      <c r="N146" s="164"/>
      <c r="O146" s="162"/>
      <c r="P146" s="162"/>
      <c r="Q146" s="162"/>
      <c r="R146" s="166"/>
      <c r="S146" s="166"/>
      <c r="T146" s="177"/>
      <c r="U146" s="167"/>
      <c r="V146" s="167"/>
      <c r="W146" s="167"/>
      <c r="X146" s="167"/>
      <c r="Y146" s="168"/>
      <c r="Z146" s="169"/>
      <c r="AA146" s="170"/>
      <c r="AB146" s="170"/>
      <c r="AC146" s="170"/>
      <c r="AD146" s="170"/>
      <c r="AE146" s="170"/>
      <c r="AF146" s="171"/>
      <c r="AG146" s="169"/>
      <c r="AH146" s="170"/>
      <c r="AI146" s="170"/>
      <c r="AJ146" s="170"/>
      <c r="AK146" s="170"/>
      <c r="AL146" s="170"/>
      <c r="AM146" s="171"/>
      <c r="AN146" s="170"/>
      <c r="AO146" s="170"/>
      <c r="AP146" s="170"/>
      <c r="AQ146" s="170"/>
      <c r="AR146" s="170"/>
      <c r="AS146" s="170"/>
      <c r="AT146" s="171"/>
      <c r="AU146" s="172"/>
      <c r="AV146" s="172"/>
      <c r="AW146" s="173"/>
      <c r="AX146" s="174"/>
    </row>
    <row r="147" spans="2:50" x14ac:dyDescent="0.3">
      <c r="B147" s="175"/>
      <c r="C147" s="159"/>
      <c r="D147" s="160"/>
      <c r="E147" s="160"/>
      <c r="F147" s="160"/>
      <c r="G147" s="160"/>
      <c r="H147" s="161"/>
      <c r="I147" s="161"/>
      <c r="J147" s="162"/>
      <c r="K147" s="163"/>
      <c r="L147" s="163"/>
      <c r="M147" s="162"/>
      <c r="N147" s="164"/>
      <c r="O147" s="162"/>
      <c r="P147" s="162"/>
      <c r="Q147" s="162"/>
      <c r="R147" s="166"/>
      <c r="S147" s="166"/>
      <c r="T147" s="177"/>
      <c r="U147" s="167"/>
      <c r="V147" s="167"/>
      <c r="W147" s="167"/>
      <c r="X147" s="167"/>
      <c r="Y147" s="168"/>
      <c r="Z147" s="169"/>
      <c r="AA147" s="170"/>
      <c r="AB147" s="170"/>
      <c r="AC147" s="170"/>
      <c r="AD147" s="170"/>
      <c r="AE147" s="170"/>
      <c r="AF147" s="171"/>
      <c r="AG147" s="169"/>
      <c r="AH147" s="170"/>
      <c r="AI147" s="170"/>
      <c r="AJ147" s="170"/>
      <c r="AK147" s="170"/>
      <c r="AL147" s="170"/>
      <c r="AM147" s="171"/>
      <c r="AN147" s="170"/>
      <c r="AO147" s="170"/>
      <c r="AP147" s="170"/>
      <c r="AQ147" s="170"/>
      <c r="AR147" s="170"/>
      <c r="AS147" s="170"/>
      <c r="AT147" s="171"/>
      <c r="AU147" s="172"/>
      <c r="AV147" s="172"/>
      <c r="AW147" s="173"/>
      <c r="AX147" s="174"/>
    </row>
    <row r="148" spans="2:50" x14ac:dyDescent="0.3">
      <c r="B148" s="175"/>
      <c r="C148" s="159"/>
      <c r="D148" s="160"/>
      <c r="E148" s="160"/>
      <c r="F148" s="160"/>
      <c r="G148" s="160"/>
      <c r="H148" s="161"/>
      <c r="I148" s="161"/>
      <c r="J148" s="162"/>
      <c r="K148" s="163"/>
      <c r="L148" s="163"/>
      <c r="M148" s="162"/>
      <c r="N148" s="164"/>
      <c r="O148" s="162"/>
      <c r="P148" s="162"/>
      <c r="Q148" s="162"/>
      <c r="R148" s="166"/>
      <c r="S148" s="166"/>
      <c r="T148" s="177"/>
      <c r="U148" s="167"/>
      <c r="V148" s="167"/>
      <c r="W148" s="167"/>
      <c r="X148" s="167"/>
      <c r="Y148" s="168"/>
      <c r="Z148" s="169"/>
      <c r="AA148" s="170"/>
      <c r="AB148" s="170"/>
      <c r="AC148" s="170"/>
      <c r="AD148" s="170"/>
      <c r="AE148" s="170"/>
      <c r="AF148" s="171"/>
      <c r="AG148" s="169"/>
      <c r="AH148" s="170"/>
      <c r="AI148" s="170"/>
      <c r="AJ148" s="170"/>
      <c r="AK148" s="170"/>
      <c r="AL148" s="170"/>
      <c r="AM148" s="171"/>
      <c r="AN148" s="170"/>
      <c r="AO148" s="170"/>
      <c r="AP148" s="170"/>
      <c r="AQ148" s="170"/>
      <c r="AR148" s="170"/>
      <c r="AS148" s="170"/>
      <c r="AT148" s="171"/>
      <c r="AU148" s="172"/>
      <c r="AV148" s="172"/>
      <c r="AW148" s="173"/>
      <c r="AX148" s="174"/>
    </row>
    <row r="149" spans="2:50" x14ac:dyDescent="0.3">
      <c r="B149" s="175"/>
      <c r="C149" s="159"/>
      <c r="D149" s="160"/>
      <c r="E149" s="160"/>
      <c r="F149" s="160"/>
      <c r="G149" s="160"/>
      <c r="H149" s="161"/>
      <c r="I149" s="161"/>
      <c r="J149" s="162"/>
      <c r="K149" s="163"/>
      <c r="L149" s="163"/>
      <c r="M149" s="162"/>
      <c r="N149" s="164"/>
      <c r="O149" s="162"/>
      <c r="P149" s="162"/>
      <c r="Q149" s="162"/>
      <c r="R149" s="166"/>
      <c r="S149" s="166"/>
      <c r="T149" s="177"/>
      <c r="U149" s="167"/>
      <c r="V149" s="167"/>
      <c r="W149" s="167"/>
      <c r="X149" s="167"/>
      <c r="Y149" s="168"/>
      <c r="Z149" s="169"/>
      <c r="AA149" s="170"/>
      <c r="AB149" s="170"/>
      <c r="AC149" s="170"/>
      <c r="AD149" s="170"/>
      <c r="AE149" s="170"/>
      <c r="AF149" s="171"/>
      <c r="AG149" s="169"/>
      <c r="AH149" s="170"/>
      <c r="AI149" s="170"/>
      <c r="AJ149" s="170"/>
      <c r="AK149" s="170"/>
      <c r="AL149" s="170"/>
      <c r="AM149" s="171"/>
      <c r="AN149" s="170"/>
      <c r="AO149" s="170"/>
      <c r="AP149" s="170"/>
      <c r="AQ149" s="170"/>
      <c r="AR149" s="170"/>
      <c r="AS149" s="170"/>
      <c r="AT149" s="171"/>
      <c r="AU149" s="172"/>
      <c r="AV149" s="172"/>
      <c r="AW149" s="173"/>
      <c r="AX149" s="174"/>
    </row>
    <row r="150" spans="2:50" x14ac:dyDescent="0.3">
      <c r="B150" s="175"/>
      <c r="C150" s="159"/>
      <c r="D150" s="160"/>
      <c r="E150" s="160"/>
      <c r="F150" s="160"/>
      <c r="G150" s="160"/>
      <c r="H150" s="161"/>
      <c r="I150" s="161"/>
      <c r="J150" s="162"/>
      <c r="K150" s="163"/>
      <c r="L150" s="163"/>
      <c r="M150" s="162"/>
      <c r="N150" s="164"/>
      <c r="O150" s="162"/>
      <c r="P150" s="162"/>
      <c r="Q150" s="162"/>
      <c r="R150" s="166"/>
      <c r="S150" s="166"/>
      <c r="T150" s="177"/>
      <c r="U150" s="167"/>
      <c r="V150" s="167"/>
      <c r="W150" s="167"/>
      <c r="X150" s="167"/>
      <c r="Y150" s="168"/>
      <c r="Z150" s="169"/>
      <c r="AA150" s="170"/>
      <c r="AB150" s="170"/>
      <c r="AC150" s="170"/>
      <c r="AD150" s="170"/>
      <c r="AE150" s="170"/>
      <c r="AF150" s="171"/>
      <c r="AG150" s="169"/>
      <c r="AH150" s="170"/>
      <c r="AI150" s="170"/>
      <c r="AJ150" s="170"/>
      <c r="AK150" s="170"/>
      <c r="AL150" s="170"/>
      <c r="AM150" s="171"/>
      <c r="AN150" s="170"/>
      <c r="AO150" s="170"/>
      <c r="AP150" s="170"/>
      <c r="AQ150" s="170"/>
      <c r="AR150" s="170"/>
      <c r="AS150" s="170"/>
      <c r="AT150" s="171"/>
      <c r="AU150" s="172"/>
      <c r="AV150" s="172"/>
      <c r="AW150" s="173"/>
      <c r="AX150" s="174"/>
    </row>
    <row r="151" spans="2:50" x14ac:dyDescent="0.3">
      <c r="B151" s="175"/>
      <c r="C151" s="159"/>
      <c r="D151" s="160"/>
      <c r="E151" s="160"/>
      <c r="F151" s="160"/>
      <c r="G151" s="160"/>
      <c r="H151" s="161"/>
      <c r="I151" s="161"/>
      <c r="J151" s="162"/>
      <c r="K151" s="163"/>
      <c r="L151" s="163"/>
      <c r="M151" s="162"/>
      <c r="N151" s="164"/>
      <c r="O151" s="162"/>
      <c r="P151" s="162"/>
      <c r="Q151" s="162"/>
      <c r="R151" s="166"/>
      <c r="S151" s="166"/>
      <c r="T151" s="177"/>
      <c r="U151" s="167"/>
      <c r="V151" s="167"/>
      <c r="W151" s="167"/>
      <c r="X151" s="167"/>
      <c r="Y151" s="168"/>
      <c r="Z151" s="169"/>
      <c r="AA151" s="170"/>
      <c r="AB151" s="170"/>
      <c r="AC151" s="170"/>
      <c r="AD151" s="170"/>
      <c r="AE151" s="170"/>
      <c r="AF151" s="171"/>
      <c r="AG151" s="169"/>
      <c r="AH151" s="170"/>
      <c r="AI151" s="170"/>
      <c r="AJ151" s="170"/>
      <c r="AK151" s="170"/>
      <c r="AL151" s="170"/>
      <c r="AM151" s="171"/>
      <c r="AN151" s="170"/>
      <c r="AO151" s="170"/>
      <c r="AP151" s="170"/>
      <c r="AQ151" s="170"/>
      <c r="AR151" s="170"/>
      <c r="AS151" s="170"/>
      <c r="AT151" s="171"/>
      <c r="AU151" s="172"/>
      <c r="AV151" s="172"/>
      <c r="AW151" s="173"/>
      <c r="AX151" s="174"/>
    </row>
    <row r="152" spans="2:50" x14ac:dyDescent="0.3">
      <c r="B152" s="175"/>
      <c r="C152" s="159"/>
      <c r="D152" s="160"/>
      <c r="E152" s="160"/>
      <c r="F152" s="160"/>
      <c r="G152" s="160"/>
      <c r="H152" s="161"/>
      <c r="I152" s="161"/>
      <c r="J152" s="162"/>
      <c r="K152" s="163"/>
      <c r="L152" s="163"/>
      <c r="M152" s="162"/>
      <c r="N152" s="164"/>
      <c r="O152" s="162"/>
      <c r="P152" s="162"/>
      <c r="Q152" s="162"/>
      <c r="R152" s="166"/>
      <c r="S152" s="166"/>
      <c r="T152" s="177"/>
      <c r="U152" s="167"/>
      <c r="V152" s="167"/>
      <c r="W152" s="167"/>
      <c r="X152" s="167"/>
      <c r="Y152" s="168"/>
      <c r="Z152" s="169"/>
      <c r="AA152" s="170"/>
      <c r="AB152" s="170"/>
      <c r="AC152" s="170"/>
      <c r="AD152" s="170"/>
      <c r="AE152" s="170"/>
      <c r="AF152" s="171"/>
      <c r="AG152" s="169"/>
      <c r="AH152" s="170"/>
      <c r="AI152" s="170"/>
      <c r="AJ152" s="170"/>
      <c r="AK152" s="170"/>
      <c r="AL152" s="170"/>
      <c r="AM152" s="171"/>
      <c r="AN152" s="170"/>
      <c r="AO152" s="170"/>
      <c r="AP152" s="170"/>
      <c r="AQ152" s="170"/>
      <c r="AR152" s="170"/>
      <c r="AS152" s="170"/>
      <c r="AT152" s="171"/>
      <c r="AU152" s="172"/>
      <c r="AV152" s="172"/>
      <c r="AW152" s="173"/>
      <c r="AX152" s="174"/>
    </row>
    <row r="153" spans="2:50" x14ac:dyDescent="0.3">
      <c r="B153" s="175"/>
      <c r="C153" s="159"/>
      <c r="D153" s="160"/>
      <c r="E153" s="160"/>
      <c r="F153" s="160"/>
      <c r="G153" s="160"/>
      <c r="H153" s="161"/>
      <c r="I153" s="161"/>
      <c r="J153" s="162"/>
      <c r="K153" s="163"/>
      <c r="L153" s="163"/>
      <c r="M153" s="162"/>
      <c r="N153" s="164"/>
      <c r="O153" s="162"/>
      <c r="P153" s="162"/>
      <c r="Q153" s="162"/>
      <c r="R153" s="166"/>
      <c r="S153" s="166"/>
      <c r="T153" s="177"/>
      <c r="U153" s="167"/>
      <c r="V153" s="167"/>
      <c r="W153" s="167"/>
      <c r="X153" s="167"/>
      <c r="Y153" s="168"/>
      <c r="Z153" s="169"/>
      <c r="AA153" s="170"/>
      <c r="AB153" s="170"/>
      <c r="AC153" s="170"/>
      <c r="AD153" s="170"/>
      <c r="AE153" s="170"/>
      <c r="AF153" s="171"/>
      <c r="AG153" s="169"/>
      <c r="AH153" s="170"/>
      <c r="AI153" s="170"/>
      <c r="AJ153" s="170"/>
      <c r="AK153" s="170"/>
      <c r="AL153" s="170"/>
      <c r="AM153" s="171"/>
      <c r="AN153" s="170"/>
      <c r="AO153" s="170"/>
      <c r="AP153" s="170"/>
      <c r="AQ153" s="170"/>
      <c r="AR153" s="170"/>
      <c r="AS153" s="170"/>
      <c r="AT153" s="171"/>
      <c r="AU153" s="172"/>
      <c r="AV153" s="172"/>
      <c r="AW153" s="173"/>
      <c r="AX153" s="174"/>
    </row>
    <row r="154" spans="2:50" x14ac:dyDescent="0.3">
      <c r="B154" s="175"/>
      <c r="C154" s="159"/>
      <c r="D154" s="160"/>
      <c r="E154" s="160"/>
      <c r="F154" s="160"/>
      <c r="G154" s="160"/>
      <c r="H154" s="161"/>
      <c r="I154" s="161"/>
      <c r="J154" s="162"/>
      <c r="K154" s="163"/>
      <c r="L154" s="163"/>
      <c r="M154" s="162"/>
      <c r="N154" s="164"/>
      <c r="O154" s="162"/>
      <c r="P154" s="162"/>
      <c r="Q154" s="162"/>
      <c r="R154" s="166"/>
      <c r="S154" s="166"/>
      <c r="T154" s="177"/>
      <c r="U154" s="167"/>
      <c r="V154" s="167"/>
      <c r="W154" s="167"/>
      <c r="X154" s="167"/>
      <c r="Y154" s="168"/>
      <c r="Z154" s="169"/>
      <c r="AA154" s="170"/>
      <c r="AB154" s="170"/>
      <c r="AC154" s="170"/>
      <c r="AD154" s="170"/>
      <c r="AE154" s="170"/>
      <c r="AF154" s="171"/>
      <c r="AG154" s="169"/>
      <c r="AH154" s="170"/>
      <c r="AI154" s="170"/>
      <c r="AJ154" s="170"/>
      <c r="AK154" s="170"/>
      <c r="AL154" s="170"/>
      <c r="AM154" s="171"/>
      <c r="AN154" s="170"/>
      <c r="AO154" s="170"/>
      <c r="AP154" s="170"/>
      <c r="AQ154" s="170"/>
      <c r="AR154" s="170"/>
      <c r="AS154" s="170"/>
      <c r="AT154" s="171"/>
      <c r="AU154" s="172"/>
      <c r="AV154" s="172"/>
      <c r="AW154" s="173"/>
      <c r="AX154" s="174"/>
    </row>
    <row r="155" spans="2:50" x14ac:dyDescent="0.3">
      <c r="B155" s="175"/>
      <c r="C155" s="159"/>
      <c r="D155" s="160"/>
      <c r="E155" s="160"/>
      <c r="F155" s="160"/>
      <c r="G155" s="160"/>
      <c r="H155" s="161"/>
      <c r="I155" s="161"/>
      <c r="J155" s="162"/>
      <c r="K155" s="163"/>
      <c r="L155" s="163"/>
      <c r="M155" s="162"/>
      <c r="N155" s="164"/>
      <c r="O155" s="162"/>
      <c r="P155" s="162"/>
      <c r="Q155" s="162"/>
      <c r="R155" s="166"/>
      <c r="S155" s="166"/>
      <c r="T155" s="177"/>
      <c r="U155" s="167"/>
      <c r="V155" s="167"/>
      <c r="W155" s="167"/>
      <c r="X155" s="167"/>
      <c r="Y155" s="168"/>
      <c r="Z155" s="169"/>
      <c r="AA155" s="170"/>
      <c r="AB155" s="170"/>
      <c r="AC155" s="170"/>
      <c r="AD155" s="170"/>
      <c r="AE155" s="170"/>
      <c r="AF155" s="171"/>
      <c r="AG155" s="169"/>
      <c r="AH155" s="170"/>
      <c r="AI155" s="170"/>
      <c r="AJ155" s="170"/>
      <c r="AK155" s="170"/>
      <c r="AL155" s="170"/>
      <c r="AM155" s="171"/>
      <c r="AN155" s="170"/>
      <c r="AO155" s="170"/>
      <c r="AP155" s="170"/>
      <c r="AQ155" s="170"/>
      <c r="AR155" s="170"/>
      <c r="AS155" s="170"/>
      <c r="AT155" s="171"/>
      <c r="AU155" s="172"/>
      <c r="AV155" s="172"/>
      <c r="AW155" s="173"/>
      <c r="AX155" s="174"/>
    </row>
    <row r="156" spans="2:50" x14ac:dyDescent="0.3">
      <c r="B156" s="175"/>
      <c r="C156" s="159"/>
      <c r="D156" s="160"/>
      <c r="E156" s="160"/>
      <c r="F156" s="160"/>
      <c r="G156" s="160"/>
      <c r="H156" s="161"/>
      <c r="I156" s="161"/>
      <c r="J156" s="162"/>
      <c r="K156" s="163"/>
      <c r="L156" s="163"/>
      <c r="M156" s="162"/>
      <c r="N156" s="164"/>
      <c r="O156" s="162"/>
      <c r="P156" s="162"/>
      <c r="Q156" s="162"/>
      <c r="R156" s="166"/>
      <c r="S156" s="166"/>
      <c r="T156" s="177"/>
      <c r="U156" s="167"/>
      <c r="V156" s="167"/>
      <c r="W156" s="167"/>
      <c r="X156" s="167"/>
      <c r="Y156" s="168"/>
      <c r="Z156" s="169"/>
      <c r="AA156" s="170"/>
      <c r="AB156" s="170"/>
      <c r="AC156" s="170"/>
      <c r="AD156" s="170"/>
      <c r="AE156" s="170"/>
      <c r="AF156" s="171"/>
      <c r="AG156" s="169"/>
      <c r="AH156" s="170"/>
      <c r="AI156" s="170"/>
      <c r="AJ156" s="170"/>
      <c r="AK156" s="170"/>
      <c r="AL156" s="170"/>
      <c r="AM156" s="171"/>
      <c r="AN156" s="170"/>
      <c r="AO156" s="170"/>
      <c r="AP156" s="170"/>
      <c r="AQ156" s="170"/>
      <c r="AR156" s="170"/>
      <c r="AS156" s="170"/>
      <c r="AT156" s="171"/>
      <c r="AU156" s="172"/>
      <c r="AV156" s="172"/>
      <c r="AW156" s="173"/>
      <c r="AX156" s="174"/>
    </row>
    <row r="157" spans="2:50" x14ac:dyDescent="0.3">
      <c r="B157" s="175"/>
      <c r="C157" s="159"/>
      <c r="D157" s="160"/>
      <c r="E157" s="160"/>
      <c r="F157" s="160"/>
      <c r="G157" s="160"/>
      <c r="H157" s="161"/>
      <c r="I157" s="161"/>
      <c r="J157" s="162"/>
      <c r="K157" s="163"/>
      <c r="L157" s="163"/>
      <c r="M157" s="162"/>
      <c r="N157" s="164"/>
      <c r="O157" s="162"/>
      <c r="P157" s="162"/>
      <c r="Q157" s="162"/>
      <c r="R157" s="166"/>
      <c r="S157" s="166"/>
      <c r="T157" s="177"/>
      <c r="U157" s="167"/>
      <c r="V157" s="167"/>
      <c r="W157" s="167"/>
      <c r="X157" s="167"/>
      <c r="Y157" s="168"/>
      <c r="Z157" s="169"/>
      <c r="AA157" s="170"/>
      <c r="AB157" s="170"/>
      <c r="AC157" s="170"/>
      <c r="AD157" s="170"/>
      <c r="AE157" s="170"/>
      <c r="AF157" s="171"/>
      <c r="AG157" s="169"/>
      <c r="AH157" s="170"/>
      <c r="AI157" s="170"/>
      <c r="AJ157" s="170"/>
      <c r="AK157" s="170"/>
      <c r="AL157" s="170"/>
      <c r="AM157" s="171"/>
      <c r="AN157" s="170"/>
      <c r="AO157" s="170"/>
      <c r="AP157" s="170"/>
      <c r="AQ157" s="170"/>
      <c r="AR157" s="170"/>
      <c r="AS157" s="170"/>
      <c r="AT157" s="171"/>
      <c r="AU157" s="172"/>
      <c r="AV157" s="172"/>
      <c r="AW157" s="173"/>
      <c r="AX157" s="174"/>
    </row>
  </sheetData>
  <autoFilter ref="B16:Y531" xr:uid="{B658105E-F5A7-47B7-8894-3D78A57D936A}"/>
  <conditionalFormatting sqref="C39:F49">
    <cfRule type="containsText" dxfId="2" priority="2" operator="containsText" text="NO">
      <formula>NOT(ISERROR(SEARCH("NO",C39)))</formula>
    </cfRule>
  </conditionalFormatting>
  <conditionalFormatting sqref="D17:G157">
    <cfRule type="containsText" dxfId="1" priority="1" operator="containsText" text="NO">
      <formula>NOT(ISERROR(SEARCH("NO",D17)))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E1836-E547-4E2A-A35B-1DD7E78D3328}">
  <sheetPr codeName="Sheet3">
    <tabColor rgb="FFFFFF00"/>
  </sheetPr>
  <dimension ref="B1:AN3000"/>
  <sheetViews>
    <sheetView showGridLines="0" tabSelected="1" topLeftCell="C1" workbookViewId="0">
      <selection activeCell="L10" sqref="L10"/>
    </sheetView>
  </sheetViews>
  <sheetFormatPr baseColWidth="10" defaultColWidth="11.453125" defaultRowHeight="14.5" x14ac:dyDescent="0.35"/>
  <cols>
    <col min="1" max="1" width="2.26953125" style="10" customWidth="1"/>
    <col min="2" max="2" width="32.453125" style="7" bestFit="1" customWidth="1"/>
    <col min="3" max="3" width="36" style="7" bestFit="1" customWidth="1"/>
    <col min="4" max="4" width="8.54296875" style="7" bestFit="1" customWidth="1"/>
    <col min="5" max="5" width="14.81640625" style="59" customWidth="1"/>
    <col min="6" max="6" width="12.453125" style="7" bestFit="1" customWidth="1"/>
    <col min="7" max="7" width="35" style="7" bestFit="1" customWidth="1"/>
    <col min="8" max="8" width="20.7265625" style="66" bestFit="1" customWidth="1"/>
    <col min="9" max="9" width="10.1796875" style="67" bestFit="1" customWidth="1"/>
    <col min="10" max="10" width="15.54296875" style="66" bestFit="1" customWidth="1"/>
    <col min="11" max="11" width="69.1796875" style="10" bestFit="1" customWidth="1"/>
    <col min="12" max="12" width="11.453125" style="10"/>
    <col min="13" max="13" width="35.1796875" style="10" bestFit="1" customWidth="1"/>
    <col min="14" max="14" width="16.81640625" style="10" bestFit="1" customWidth="1"/>
    <col min="15" max="16" width="11.453125" style="10"/>
    <col min="17" max="17" width="34.7265625" style="10" bestFit="1" customWidth="1"/>
    <col min="18" max="18" width="10.54296875" style="181" bestFit="1" customWidth="1"/>
    <col min="19" max="39" width="10.453125" style="180" bestFit="1" customWidth="1"/>
    <col min="40" max="40" width="12.1796875" style="10" bestFit="1" customWidth="1"/>
    <col min="41" max="16384" width="11.453125" style="10"/>
  </cols>
  <sheetData>
    <row r="1" spans="2:40" s="7" customFormat="1" x14ac:dyDescent="0.35">
      <c r="E1" s="59"/>
      <c r="H1" s="66"/>
      <c r="I1" s="67"/>
      <c r="J1" s="66"/>
      <c r="R1" s="6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</row>
    <row r="2" spans="2:40" s="7" customFormat="1" x14ac:dyDescent="0.35">
      <c r="E2" s="59"/>
      <c r="H2" s="66"/>
      <c r="I2" s="67"/>
      <c r="J2" s="66"/>
      <c r="R2" s="6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</row>
    <row r="3" spans="2:40" s="7" customFormat="1" x14ac:dyDescent="0.35">
      <c r="E3" s="59"/>
      <c r="H3" s="66"/>
      <c r="I3" s="67"/>
      <c r="J3" s="66"/>
      <c r="R3" s="6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</row>
    <row r="4" spans="2:40" customFormat="1" ht="21.5" thickBot="1" x14ac:dyDescent="0.55000000000000004">
      <c r="C4" s="62"/>
      <c r="D4" s="62"/>
      <c r="E4" s="63"/>
      <c r="F4" s="62"/>
      <c r="G4" s="62"/>
      <c r="H4" s="68"/>
      <c r="I4" s="69"/>
      <c r="J4" s="43"/>
      <c r="R4" s="43"/>
      <c r="S4" s="335">
        <f>+SUM(S6:S112)</f>
        <v>0</v>
      </c>
      <c r="T4" s="335">
        <f t="shared" ref="T4:AM4" si="0">+SUM(T6:T112)</f>
        <v>0</v>
      </c>
      <c r="U4" s="335">
        <f t="shared" si="0"/>
        <v>0</v>
      </c>
      <c r="V4" s="335">
        <f t="shared" si="0"/>
        <v>0</v>
      </c>
      <c r="W4" s="335">
        <f t="shared" si="0"/>
        <v>0</v>
      </c>
      <c r="X4" s="335">
        <f t="shared" si="0"/>
        <v>0</v>
      </c>
      <c r="Y4" s="335">
        <f t="shared" si="0"/>
        <v>0</v>
      </c>
      <c r="Z4" s="335">
        <f t="shared" si="0"/>
        <v>0</v>
      </c>
      <c r="AA4" s="335">
        <f t="shared" si="0"/>
        <v>0</v>
      </c>
      <c r="AB4" s="335">
        <f t="shared" si="0"/>
        <v>0</v>
      </c>
      <c r="AC4" s="335">
        <f t="shared" si="0"/>
        <v>1000</v>
      </c>
      <c r="AD4" s="335">
        <f t="shared" si="0"/>
        <v>1000</v>
      </c>
      <c r="AE4" s="335">
        <f t="shared" si="0"/>
        <v>1000</v>
      </c>
      <c r="AF4" s="335">
        <f t="shared" si="0"/>
        <v>1000</v>
      </c>
      <c r="AG4" s="335">
        <f t="shared" si="0"/>
        <v>4000</v>
      </c>
      <c r="AH4" s="335">
        <f t="shared" si="0"/>
        <v>4200</v>
      </c>
      <c r="AI4" s="335">
        <f t="shared" si="0"/>
        <v>5500</v>
      </c>
      <c r="AJ4" s="335">
        <f t="shared" si="0"/>
        <v>8700</v>
      </c>
      <c r="AK4" s="335">
        <f t="shared" si="0"/>
        <v>8500</v>
      </c>
      <c r="AL4" s="335">
        <f t="shared" si="0"/>
        <v>12000</v>
      </c>
      <c r="AM4" s="335">
        <f t="shared" si="0"/>
        <v>14000</v>
      </c>
      <c r="AN4" s="183">
        <f>+SUM(AN6:AN49)</f>
        <v>60900</v>
      </c>
    </row>
    <row r="5" spans="2:40" customFormat="1" ht="15" thickBot="1" x14ac:dyDescent="0.4">
      <c r="E5" s="64"/>
      <c r="H5" s="43"/>
      <c r="I5" s="70"/>
      <c r="J5" s="43"/>
      <c r="M5" s="194" t="s">
        <v>151</v>
      </c>
      <c r="N5" s="195" t="s">
        <v>152</v>
      </c>
      <c r="P5" s="12" t="s">
        <v>101</v>
      </c>
      <c r="Q5" s="29" t="s">
        <v>21</v>
      </c>
      <c r="R5" s="232" t="s">
        <v>16</v>
      </c>
      <c r="S5" s="344">
        <f>+'Data Pura Producción'!AD16</f>
        <v>45572</v>
      </c>
      <c r="T5" s="345">
        <f>+'Data Pura Producción'!AE16</f>
        <v>45573</v>
      </c>
      <c r="U5" s="345">
        <f>+'Data Pura Producción'!AF16</f>
        <v>45574</v>
      </c>
      <c r="V5" s="345">
        <f>+'Data Pura Producción'!AG16</f>
        <v>45575</v>
      </c>
      <c r="W5" s="345">
        <f>+'Data Pura Producción'!AH16</f>
        <v>45576</v>
      </c>
      <c r="X5" s="345">
        <f>+'Data Pura Producción'!AI16</f>
        <v>45577</v>
      </c>
      <c r="Y5" s="345">
        <f>+'Data Pura Producción'!AJ16</f>
        <v>45578</v>
      </c>
      <c r="Z5" s="345">
        <f>+'Data Pura Producción'!AK16</f>
        <v>45579</v>
      </c>
      <c r="AA5" s="345">
        <f>+'Data Pura Producción'!AL16</f>
        <v>45580</v>
      </c>
      <c r="AB5" s="345">
        <f>+'Data Pura Producción'!AM16</f>
        <v>45581</v>
      </c>
      <c r="AC5" s="345">
        <f>+'Data Pura Producción'!AN16</f>
        <v>45582</v>
      </c>
      <c r="AD5" s="345">
        <f>+'Data Pura Producción'!AO16</f>
        <v>45583</v>
      </c>
      <c r="AE5" s="345">
        <f>+'Data Pura Producción'!AP16</f>
        <v>45584</v>
      </c>
      <c r="AF5" s="345">
        <f>+'Data Pura Producción'!AQ16</f>
        <v>45585</v>
      </c>
      <c r="AG5" s="345">
        <f>+'Data Pura Producción'!AR16</f>
        <v>45586</v>
      </c>
      <c r="AH5" s="345">
        <f>+'Data Pura Producción'!AS16</f>
        <v>45587</v>
      </c>
      <c r="AI5" s="345">
        <f>+'Data Pura Producción'!AT16</f>
        <v>45588</v>
      </c>
      <c r="AJ5" s="345">
        <f>+'Data Pura Producción'!AU16</f>
        <v>45589</v>
      </c>
      <c r="AK5" s="345">
        <f>+'Data Pura Producción'!AV16</f>
        <v>45590</v>
      </c>
      <c r="AL5" s="345">
        <f>+'Data Pura Producción'!AW16</f>
        <v>45591</v>
      </c>
      <c r="AM5" s="346">
        <f>+'Data Pura Producción'!AX16</f>
        <v>45592</v>
      </c>
      <c r="AN5" s="57" t="s">
        <v>19</v>
      </c>
    </row>
    <row r="6" spans="2:40" s="1" customFormat="1" x14ac:dyDescent="0.35">
      <c r="B6" s="2" t="str">
        <f>+IF('Data Pura Costos'!B6="","",'Data Pura Costos'!B6)</f>
        <v>Origen</v>
      </c>
      <c r="C6" s="2" t="str">
        <f>+IF('Data Pura Costos'!C6="","",'Data Pura Costos'!C6)</f>
        <v xml:space="preserve">Localidad </v>
      </c>
      <c r="D6" s="2" t="str">
        <f>+IF('Data Pura Costos'!D6="","",'Data Pura Costos'!D6)</f>
        <v>KM</v>
      </c>
      <c r="E6" s="60" t="str">
        <f>+IF('Data Pura Costos'!E6="","",'Data Pura Costos'!E6)</f>
        <v>Precio</v>
      </c>
      <c r="F6" s="2" t="str">
        <f>+IF('Data Pura Costos'!F6="","",'Data Pura Costos'!F6)</f>
        <v>Destino</v>
      </c>
      <c r="G6" s="2" t="str">
        <f>+IF('Data Pura Costos'!G6="","",'Data Pura Costos'!G6)</f>
        <v>Proveedor</v>
      </c>
      <c r="H6" s="2" t="str">
        <f>+IF('Data Pura Costos'!H6="","",'Data Pura Costos'!H6)</f>
        <v xml:space="preserve">TIPO DE CAMION </v>
      </c>
      <c r="I6" s="61" t="str">
        <f>+IF('Data Pura Costos'!I6="","",'Data Pura Costos'!I6)</f>
        <v>$/km</v>
      </c>
      <c r="J6" s="2" t="str">
        <f>+IF('Data Pura Costos'!J6="","",'Data Pura Costos'!J6)</f>
        <v>Temporada</v>
      </c>
      <c r="K6" s="83" t="s">
        <v>102</v>
      </c>
      <c r="M6" s="5" t="str" cm="1">
        <f t="array" ref="M6:M7">+_xlfn._xlws.SORT(_xlfn._xlws.FILTER(_xlfn.UNIQUE(Q6:Q112),_xlfn.UNIQUE(Q6:Q112)&lt;&gt;""),1)</f>
        <v>El Retorno</v>
      </c>
      <c r="N6" s="5" t="str">
        <f>+IF(M6="","",INDEX('Parámetros Auxiliares'!$D$7:$D$65,MATCH(M6,'Parámetros Auxiliares'!$D$7:$D$65,0)))</f>
        <v>El Retorno</v>
      </c>
      <c r="O6" s="259" t="s">
        <v>54</v>
      </c>
      <c r="P6" s="1" t="str">
        <f>+IF(M6="","",IF(O6="",N6,O6))</f>
        <v>El Retorno</v>
      </c>
      <c r="Q6" s="184" t="str" cm="1">
        <f t="array" ref="Q6:R7">+_xlfn._xlws.SORT(_xlfn.UNIQUE(_xlfn.CHOOSECOLS(_xlfn.UNIQUE(_xlfn._xlws.FILTER('Data Pura Producción'!J17:R531,'Data Pura Producción'!L17:L531="PROPIOS")),9,8)),1,1)</f>
        <v>El Retorno</v>
      </c>
      <c r="R6" s="331" t="str">
        <v>MOSTAZAL</v>
      </c>
      <c r="S6" s="340" t="str">
        <f>+IF($Q6="","",IF(SUMIFS('Data Pura Producción'!AD$17:AD$531,'Data Pura Producción'!$R$17:$R$531,$Q6,'Data Pura Producción'!$Q$17:$Q$531,$R6)=0,"",SUMIFS('Data Pura Producción'!AD$17:AD$531,'Data Pura Producción'!$R$17:$R$531,$Q6,'Data Pura Producción'!$Q$17:$Q$531,$R6)))</f>
        <v/>
      </c>
      <c r="T6" s="341" t="str">
        <f>+IF($Q6="","",IF(SUMIFS('Data Pura Producción'!AE$17:AE$531,'Data Pura Producción'!$R$17:$R$531,$Q6,'Data Pura Producción'!$Q$17:$Q$531,$R6)=0,"",SUMIFS('Data Pura Producción'!AE$17:AE$531,'Data Pura Producción'!$R$17:$R$531,$Q6,'Data Pura Producción'!$Q$17:$Q$531,$R6)))</f>
        <v/>
      </c>
      <c r="U6" s="341" t="str">
        <f>+IF($Q6="","",IF(SUMIFS('Data Pura Producción'!AF$17:AF$531,'Data Pura Producción'!$R$17:$R$531,$Q6,'Data Pura Producción'!$Q$17:$Q$531,$R6)=0,"",SUMIFS('Data Pura Producción'!AF$17:AF$531,'Data Pura Producción'!$R$17:$R$531,$Q6,'Data Pura Producción'!$Q$17:$Q$531,$R6)))</f>
        <v/>
      </c>
      <c r="V6" s="341" t="str">
        <f>+IF($Q6="","",IF(SUMIFS('Data Pura Producción'!AG$17:AG$531,'Data Pura Producción'!$R$17:$R$531,$Q6,'Data Pura Producción'!$Q$17:$Q$531,$R6)=0,"",SUMIFS('Data Pura Producción'!AG$17:AG$531,'Data Pura Producción'!$R$17:$R$531,$Q6,'Data Pura Producción'!$Q$17:$Q$531,$R6)))</f>
        <v/>
      </c>
      <c r="W6" s="341" t="str">
        <f>+IF($Q6="","",IF(SUMIFS('Data Pura Producción'!AH$17:AH$531,'Data Pura Producción'!$R$17:$R$531,$Q6,'Data Pura Producción'!$Q$17:$Q$531,$R6)=0,"",SUMIFS('Data Pura Producción'!AH$17:AH$531,'Data Pura Producción'!$R$17:$R$531,$Q6,'Data Pura Producción'!$Q$17:$Q$531,$R6)))</f>
        <v/>
      </c>
      <c r="X6" s="341" t="str">
        <f>+IF($Q6="","",IF(SUMIFS('Data Pura Producción'!AI$17:AI$531,'Data Pura Producción'!$R$17:$R$531,$Q6,'Data Pura Producción'!$Q$17:$Q$531,$R6)=0,"",SUMIFS('Data Pura Producción'!AI$17:AI$531,'Data Pura Producción'!$R$17:$R$531,$Q6,'Data Pura Producción'!$Q$17:$Q$531,$R6)))</f>
        <v/>
      </c>
      <c r="Y6" s="341" t="str">
        <f>+IF($Q6="","",IF(SUMIFS('Data Pura Producción'!AJ$17:AJ$531,'Data Pura Producción'!$R$17:$R$531,$Q6,'Data Pura Producción'!$Q$17:$Q$531,$R6)=0,"",SUMIFS('Data Pura Producción'!AJ$17:AJ$531,'Data Pura Producción'!$R$17:$R$531,$Q6,'Data Pura Producción'!$Q$17:$Q$531,$R6)))</f>
        <v/>
      </c>
      <c r="Z6" s="341" t="str">
        <f>+IF($Q6="","",IF(SUMIFS('Data Pura Producción'!AK$17:AK$531,'Data Pura Producción'!$R$17:$R$531,$Q6,'Data Pura Producción'!$Q$17:$Q$531,$R6)=0,"",SUMIFS('Data Pura Producción'!AK$17:AK$531,'Data Pura Producción'!$R$17:$R$531,$Q6,'Data Pura Producción'!$Q$17:$Q$531,$R6)))</f>
        <v/>
      </c>
      <c r="AA6" s="341" t="str">
        <f>+IF($Q6="","",IF(SUMIFS('Data Pura Producción'!AL$17:AL$531,'Data Pura Producción'!$R$17:$R$531,$Q6,'Data Pura Producción'!$Q$17:$Q$531,$R6)=0,"",SUMIFS('Data Pura Producción'!AL$17:AL$531,'Data Pura Producción'!$R$17:$R$531,$Q6,'Data Pura Producción'!$Q$17:$Q$531,$R6)))</f>
        <v/>
      </c>
      <c r="AB6" s="341" t="str">
        <f>+IF($Q6="","",IF(SUMIFS('Data Pura Producción'!AM$17:AM$531,'Data Pura Producción'!$R$17:$R$531,$Q6,'Data Pura Producción'!$Q$17:$Q$531,$R6)=0,"",SUMIFS('Data Pura Producción'!AM$17:AM$531,'Data Pura Producción'!$R$17:$R$531,$Q6,'Data Pura Producción'!$Q$17:$Q$531,$R6)))</f>
        <v/>
      </c>
      <c r="AC6" s="341">
        <f>+IF($Q6="","",IF(SUMIFS('Data Pura Producción'!AN$17:AN$531,'Data Pura Producción'!$R$17:$R$531,$Q6,'Data Pura Producción'!$Q$17:$Q$531,$R6)=0,"",SUMIFS('Data Pura Producción'!AN$17:AN$531,'Data Pura Producción'!$R$17:$R$531,$Q6,'Data Pura Producción'!$Q$17:$Q$531,$R6)))</f>
        <v>1000</v>
      </c>
      <c r="AD6" s="341">
        <f>+IF($Q6="","",IF(SUMIFS('Data Pura Producción'!AO$17:AO$531,'Data Pura Producción'!$R$17:$R$531,$Q6,'Data Pura Producción'!$Q$17:$Q$531,$R6)=0,"",SUMIFS('Data Pura Producción'!AO$17:AO$531,'Data Pura Producción'!$R$17:$R$531,$Q6,'Data Pura Producción'!$Q$17:$Q$531,$R6)))</f>
        <v>1000</v>
      </c>
      <c r="AE6" s="341">
        <f>+IF($Q6="","",IF(SUMIFS('Data Pura Producción'!AP$17:AP$531,'Data Pura Producción'!$R$17:$R$531,$Q6,'Data Pura Producción'!$Q$17:$Q$531,$R6)=0,"",SUMIFS('Data Pura Producción'!AP$17:AP$531,'Data Pura Producción'!$R$17:$R$531,$Q6,'Data Pura Producción'!$Q$17:$Q$531,$R6)))</f>
        <v>1000</v>
      </c>
      <c r="AF6" s="341">
        <f>+IF($Q6="","",IF(SUMIFS('Data Pura Producción'!AQ$17:AQ$531,'Data Pura Producción'!$R$17:$R$531,$Q6,'Data Pura Producción'!$Q$17:$Q$531,$R6)=0,"",SUMIFS('Data Pura Producción'!AQ$17:AQ$531,'Data Pura Producción'!$R$17:$R$531,$Q6,'Data Pura Producción'!$Q$17:$Q$531,$R6)))</f>
        <v>1000</v>
      </c>
      <c r="AG6" s="341">
        <f>+IF($Q6="","",IF(SUMIFS('Data Pura Producción'!AR$17:AR$531,'Data Pura Producción'!$R$17:$R$531,$Q6,'Data Pura Producción'!$Q$17:$Q$531,$R6)=0,"",SUMIFS('Data Pura Producción'!AR$17:AR$531,'Data Pura Producción'!$R$17:$R$531,$Q6,'Data Pura Producción'!$Q$17:$Q$531,$R6)))</f>
        <v>3000</v>
      </c>
      <c r="AH6" s="341">
        <f>+IF($Q6="","",IF(SUMIFS('Data Pura Producción'!AS$17:AS$531,'Data Pura Producción'!$R$17:$R$531,$Q6,'Data Pura Producción'!$Q$17:$Q$531,$R6)=0,"",SUMIFS('Data Pura Producción'!AS$17:AS$531,'Data Pura Producción'!$R$17:$R$531,$Q6,'Data Pura Producción'!$Q$17:$Q$531,$R6)))</f>
        <v>3200</v>
      </c>
      <c r="AI6" s="341">
        <f>+IF($Q6="","",IF(SUMIFS('Data Pura Producción'!AT$17:AT$531,'Data Pura Producción'!$R$17:$R$531,$Q6,'Data Pura Producción'!$Q$17:$Q$531,$R6)=0,"",SUMIFS('Data Pura Producción'!AT$17:AT$531,'Data Pura Producción'!$R$17:$R$531,$Q6,'Data Pura Producción'!$Q$17:$Q$531,$R6)))</f>
        <v>3500</v>
      </c>
      <c r="AJ6" s="341">
        <f>+IF($Q6="","",IF(SUMIFS('Data Pura Producción'!AU$17:AU$531,'Data Pura Producción'!$R$17:$R$531,$Q6,'Data Pura Producción'!$Q$17:$Q$531,$R6)=0,"",SUMIFS('Data Pura Producción'!AU$17:AU$531,'Data Pura Producción'!$R$17:$R$531,$Q6,'Data Pura Producción'!$Q$17:$Q$531,$R6)))</f>
        <v>5700</v>
      </c>
      <c r="AK6" s="341">
        <f>+IF($Q6="","",IF(SUMIFS('Data Pura Producción'!AV$17:AV$531,'Data Pura Producción'!$R$17:$R$531,$Q6,'Data Pura Producción'!$Q$17:$Q$531,$R6)=0,"",SUMIFS('Data Pura Producción'!AV$17:AV$531,'Data Pura Producción'!$R$17:$R$531,$Q6,'Data Pura Producción'!$Q$17:$Q$531,$R6)))</f>
        <v>5500</v>
      </c>
      <c r="AL6" s="341">
        <f>+IF($Q6="","",IF(SUMIFS('Data Pura Producción'!AW$17:AW$531,'Data Pura Producción'!$R$17:$R$531,$Q6,'Data Pura Producción'!$Q$17:$Q$531,$R6)=0,"",SUMIFS('Data Pura Producción'!AW$17:AW$531,'Data Pura Producción'!$R$17:$R$531,$Q6,'Data Pura Producción'!$Q$17:$Q$531,$R6)))</f>
        <v>9000</v>
      </c>
      <c r="AM6" s="342">
        <f>+IF($Q6="","",IF(SUMIFS('Data Pura Producción'!AX$17:AX$531,'Data Pura Producción'!$R$17:$R$531,$Q6,'Data Pura Producción'!$Q$17:$Q$531,$R6)=0,"",SUMIFS('Data Pura Producción'!AX$17:AX$531,'Data Pura Producción'!$R$17:$R$531,$Q6,'Data Pura Producción'!$Q$17:$Q$531,$R6)))</f>
        <v>11000</v>
      </c>
      <c r="AN6" s="343">
        <f>+IF(SUM(S6:AM6)=0,"",SUM(S6:AM6))</f>
        <v>44900</v>
      </c>
    </row>
    <row r="7" spans="2:40" s="6" customFormat="1" x14ac:dyDescent="0.35">
      <c r="B7" s="4" t="str">
        <f>+IF('Data Pura Costos'!B7="","",'Data Pura Costos'!B7)</f>
        <v>Almahue</v>
      </c>
      <c r="C7" s="4" t="str">
        <f>+IF('Data Pura Costos'!C7="","",'Data Pura Costos'!C7)</f>
        <v>Pichidegua, VI región</v>
      </c>
      <c r="D7" s="5">
        <f>+IF('Data Pura Costos'!D7="","",'Data Pura Costos'!D7)</f>
        <v>108</v>
      </c>
      <c r="E7" s="65">
        <f>+IF('Data Pura Costos'!E7="","",IF('Data Pura Costos'!E7=0,MAX('Data Pura Costos'!$E$7:$E$3000)*1000,'Data Pura Costos'!E7))</f>
        <v>450000</v>
      </c>
      <c r="F7" s="5" t="str">
        <f>+IF('Data Pura Costos'!F7="","",'Data Pura Costos'!F7)</f>
        <v>Mostazal</v>
      </c>
      <c r="G7" s="5" t="str">
        <f>+IF('Data Pura Costos'!G7="","",'Data Pura Costos'!G7)</f>
        <v xml:space="preserve">CRISTIAN LÓPEZ </v>
      </c>
      <c r="H7" s="52" t="str">
        <f>+IF('Data Pura Costos'!H7="","",'Data Pura Costos'!H7)</f>
        <v>Termo</v>
      </c>
      <c r="I7" s="71">
        <f>+IF('Data Pura Costos'!I7="","",'Data Pura Costos'!I7)</f>
        <v>4166.666666666667</v>
      </c>
      <c r="J7" s="52" t="str">
        <f>+IF('Data Pura Costos'!J7="","",'Data Pura Costos'!J7)</f>
        <v>24-25</v>
      </c>
      <c r="K7" s="82" t="str">
        <f>+IF(B7="","",CONCATENATE(B7,"-",F7,"-",G7))</f>
        <v xml:space="preserve">Almahue-Mostazal-CRISTIAN LÓPEZ </v>
      </c>
      <c r="M7" s="4" t="str">
        <v>Panquehue</v>
      </c>
      <c r="N7" s="5" t="str">
        <f>+IF(M7="","",INDEX('Parámetros Auxiliares'!$D$7:$D$65,MATCH(M7,'Parámetros Auxiliares'!$D$7:$D$65,0)))</f>
        <v>Panquehue</v>
      </c>
      <c r="O7" s="259" t="s">
        <v>72</v>
      </c>
      <c r="P7" s="1" t="str">
        <f t="shared" ref="P7:P70" si="1">+IF(M7="","",IF(O7="",N7,O7))</f>
        <v>Panquehue</v>
      </c>
      <c r="Q7" s="185" t="str">
        <v>Panquehue</v>
      </c>
      <c r="R7" s="332" t="str">
        <v>MOSTAZAL</v>
      </c>
      <c r="S7" s="336" t="str">
        <f>+IF($Q7="","",IF(SUMIFS('Data Pura Producción'!AD$17:AD$531,'Data Pura Producción'!$R$17:$R$531,$Q7,'Data Pura Producción'!$Q$17:$Q$531,$R7)=0,"",SUMIFS('Data Pura Producción'!AD$17:AD$531,'Data Pura Producción'!$R$17:$R$531,$Q7,'Data Pura Producción'!$Q$17:$Q$531,$R7)))</f>
        <v/>
      </c>
      <c r="T7" s="182" t="str">
        <f>+IF($Q7="","",IF(SUMIFS('Data Pura Producción'!AE$17:AE$531,'Data Pura Producción'!$R$17:$R$531,$Q7,'Data Pura Producción'!$Q$17:$Q$531,$R7)=0,"",SUMIFS('Data Pura Producción'!AE$17:AE$531,'Data Pura Producción'!$R$17:$R$531,$Q7,'Data Pura Producción'!$Q$17:$Q$531,$R7)))</f>
        <v/>
      </c>
      <c r="U7" s="182" t="str">
        <f>+IF($Q7="","",IF(SUMIFS('Data Pura Producción'!AF$17:AF$531,'Data Pura Producción'!$R$17:$R$531,$Q7,'Data Pura Producción'!$Q$17:$Q$531,$R7)=0,"",SUMIFS('Data Pura Producción'!AF$17:AF$531,'Data Pura Producción'!$R$17:$R$531,$Q7,'Data Pura Producción'!$Q$17:$Q$531,$R7)))</f>
        <v/>
      </c>
      <c r="V7" s="182" t="str">
        <f>+IF($Q7="","",IF(SUMIFS('Data Pura Producción'!AG$17:AG$531,'Data Pura Producción'!$R$17:$R$531,$Q7,'Data Pura Producción'!$Q$17:$Q$531,$R7)=0,"",SUMIFS('Data Pura Producción'!AG$17:AG$531,'Data Pura Producción'!$R$17:$R$531,$Q7,'Data Pura Producción'!$Q$17:$Q$531,$R7)))</f>
        <v/>
      </c>
      <c r="W7" s="182" t="str">
        <f>+IF($Q7="","",IF(SUMIFS('Data Pura Producción'!AH$17:AH$531,'Data Pura Producción'!$R$17:$R$531,$Q7,'Data Pura Producción'!$Q$17:$Q$531,$R7)=0,"",SUMIFS('Data Pura Producción'!AH$17:AH$531,'Data Pura Producción'!$R$17:$R$531,$Q7,'Data Pura Producción'!$Q$17:$Q$531,$R7)))</f>
        <v/>
      </c>
      <c r="X7" s="182" t="str">
        <f>+IF($Q7="","",IF(SUMIFS('Data Pura Producción'!AI$17:AI$531,'Data Pura Producción'!$R$17:$R$531,$Q7,'Data Pura Producción'!$Q$17:$Q$531,$R7)=0,"",SUMIFS('Data Pura Producción'!AI$17:AI$531,'Data Pura Producción'!$R$17:$R$531,$Q7,'Data Pura Producción'!$Q$17:$Q$531,$R7)))</f>
        <v/>
      </c>
      <c r="Y7" s="182" t="str">
        <f>+IF($Q7="","",IF(SUMIFS('Data Pura Producción'!AJ$17:AJ$531,'Data Pura Producción'!$R$17:$R$531,$Q7,'Data Pura Producción'!$Q$17:$Q$531,$R7)=0,"",SUMIFS('Data Pura Producción'!AJ$17:AJ$531,'Data Pura Producción'!$R$17:$R$531,$Q7,'Data Pura Producción'!$Q$17:$Q$531,$R7)))</f>
        <v/>
      </c>
      <c r="Z7" s="182" t="str">
        <f>+IF($Q7="","",IF(SUMIFS('Data Pura Producción'!AK$17:AK$531,'Data Pura Producción'!$R$17:$R$531,$Q7,'Data Pura Producción'!$Q$17:$Q$531,$R7)=0,"",SUMIFS('Data Pura Producción'!AK$17:AK$531,'Data Pura Producción'!$R$17:$R$531,$Q7,'Data Pura Producción'!$Q$17:$Q$531,$R7)))</f>
        <v/>
      </c>
      <c r="AA7" s="182" t="str">
        <f>+IF($Q7="","",IF(SUMIFS('Data Pura Producción'!AL$17:AL$531,'Data Pura Producción'!$R$17:$R$531,$Q7,'Data Pura Producción'!$Q$17:$Q$531,$R7)=0,"",SUMIFS('Data Pura Producción'!AL$17:AL$531,'Data Pura Producción'!$R$17:$R$531,$Q7,'Data Pura Producción'!$Q$17:$Q$531,$R7)))</f>
        <v/>
      </c>
      <c r="AB7" s="182" t="str">
        <f>+IF($Q7="","",IF(SUMIFS('Data Pura Producción'!AM$17:AM$531,'Data Pura Producción'!$R$17:$R$531,$Q7,'Data Pura Producción'!$Q$17:$Q$531,$R7)=0,"",SUMIFS('Data Pura Producción'!AM$17:AM$531,'Data Pura Producción'!$R$17:$R$531,$Q7,'Data Pura Producción'!$Q$17:$Q$531,$R7)))</f>
        <v/>
      </c>
      <c r="AC7" s="182" t="str">
        <f>+IF($Q7="","",IF(SUMIFS('Data Pura Producción'!AN$17:AN$531,'Data Pura Producción'!$R$17:$R$531,$Q7,'Data Pura Producción'!$Q$17:$Q$531,$R7)=0,"",SUMIFS('Data Pura Producción'!AN$17:AN$531,'Data Pura Producción'!$R$17:$R$531,$Q7,'Data Pura Producción'!$Q$17:$Q$531,$R7)))</f>
        <v/>
      </c>
      <c r="AD7" s="182" t="str">
        <f>+IF($Q7="","",IF(SUMIFS('Data Pura Producción'!AO$17:AO$531,'Data Pura Producción'!$R$17:$R$531,$Q7,'Data Pura Producción'!$Q$17:$Q$531,$R7)=0,"",SUMIFS('Data Pura Producción'!AO$17:AO$531,'Data Pura Producción'!$R$17:$R$531,$Q7,'Data Pura Producción'!$Q$17:$Q$531,$R7)))</f>
        <v/>
      </c>
      <c r="AE7" s="182" t="str">
        <f>+IF($Q7="","",IF(SUMIFS('Data Pura Producción'!AP$17:AP$531,'Data Pura Producción'!$R$17:$R$531,$Q7,'Data Pura Producción'!$Q$17:$Q$531,$R7)=0,"",SUMIFS('Data Pura Producción'!AP$17:AP$531,'Data Pura Producción'!$R$17:$R$531,$Q7,'Data Pura Producción'!$Q$17:$Q$531,$R7)))</f>
        <v/>
      </c>
      <c r="AF7" s="182" t="str">
        <f>+IF($Q7="","",IF(SUMIFS('Data Pura Producción'!AQ$17:AQ$531,'Data Pura Producción'!$R$17:$R$531,$Q7,'Data Pura Producción'!$Q$17:$Q$531,$R7)=0,"",SUMIFS('Data Pura Producción'!AQ$17:AQ$531,'Data Pura Producción'!$R$17:$R$531,$Q7,'Data Pura Producción'!$Q$17:$Q$531,$R7)))</f>
        <v/>
      </c>
      <c r="AG7" s="182">
        <f>+IF($Q7="","",IF(SUMIFS('Data Pura Producción'!AR$17:AR$531,'Data Pura Producción'!$R$17:$R$531,$Q7,'Data Pura Producción'!$Q$17:$Q$531,$R7)=0,"",SUMIFS('Data Pura Producción'!AR$17:AR$531,'Data Pura Producción'!$R$17:$R$531,$Q7,'Data Pura Producción'!$Q$17:$Q$531,$R7)))</f>
        <v>1000</v>
      </c>
      <c r="AH7" s="182">
        <f>+IF($Q7="","",IF(SUMIFS('Data Pura Producción'!AS$17:AS$531,'Data Pura Producción'!$R$17:$R$531,$Q7,'Data Pura Producción'!$Q$17:$Q$531,$R7)=0,"",SUMIFS('Data Pura Producción'!AS$17:AS$531,'Data Pura Producción'!$R$17:$R$531,$Q7,'Data Pura Producción'!$Q$17:$Q$531,$R7)))</f>
        <v>1000</v>
      </c>
      <c r="AI7" s="182">
        <f>+IF($Q7="","",IF(SUMIFS('Data Pura Producción'!AT$17:AT$531,'Data Pura Producción'!$R$17:$R$531,$Q7,'Data Pura Producción'!$Q$17:$Q$531,$R7)=0,"",SUMIFS('Data Pura Producción'!AT$17:AT$531,'Data Pura Producción'!$R$17:$R$531,$Q7,'Data Pura Producción'!$Q$17:$Q$531,$R7)))</f>
        <v>2000</v>
      </c>
      <c r="AJ7" s="182">
        <f>+IF($Q7="","",IF(SUMIFS('Data Pura Producción'!AU$17:AU$531,'Data Pura Producción'!$R$17:$R$531,$Q7,'Data Pura Producción'!$Q$17:$Q$531,$R7)=0,"",SUMIFS('Data Pura Producción'!AU$17:AU$531,'Data Pura Producción'!$R$17:$R$531,$Q7,'Data Pura Producción'!$Q$17:$Q$531,$R7)))</f>
        <v>3000</v>
      </c>
      <c r="AK7" s="182">
        <f>+IF($Q7="","",IF(SUMIFS('Data Pura Producción'!AV$17:AV$531,'Data Pura Producción'!$R$17:$R$531,$Q7,'Data Pura Producción'!$Q$17:$Q$531,$R7)=0,"",SUMIFS('Data Pura Producción'!AV$17:AV$531,'Data Pura Producción'!$R$17:$R$531,$Q7,'Data Pura Producción'!$Q$17:$Q$531,$R7)))</f>
        <v>3000</v>
      </c>
      <c r="AL7" s="182">
        <f>+IF($Q7="","",IF(SUMIFS('Data Pura Producción'!AW$17:AW$531,'Data Pura Producción'!$R$17:$R$531,$Q7,'Data Pura Producción'!$Q$17:$Q$531,$R7)=0,"",SUMIFS('Data Pura Producción'!AW$17:AW$531,'Data Pura Producción'!$R$17:$R$531,$Q7,'Data Pura Producción'!$Q$17:$Q$531,$R7)))</f>
        <v>3000</v>
      </c>
      <c r="AM7" s="337">
        <f>+IF($Q7="","",IF(SUMIFS('Data Pura Producción'!AX$17:AX$531,'Data Pura Producción'!$R$17:$R$531,$Q7,'Data Pura Producción'!$Q$17:$Q$531,$R7)=0,"",SUMIFS('Data Pura Producción'!AX$17:AX$531,'Data Pura Producción'!$R$17:$R$531,$Q7,'Data Pura Producción'!$Q$17:$Q$531,$R7)))</f>
        <v>3000</v>
      </c>
      <c r="AN7" s="187">
        <f t="shared" ref="AN7:AN49" si="2">+IF(SUM(S7:AM7)=0,"",SUM(S7:AM7))</f>
        <v>16000</v>
      </c>
    </row>
    <row r="8" spans="2:40" s="6" customFormat="1" x14ac:dyDescent="0.35">
      <c r="B8" s="4" t="str">
        <f>+IF('Data Pura Costos'!B8="","",'Data Pura Costos'!B8)</f>
        <v>Bodega</v>
      </c>
      <c r="C8" s="4" t="str">
        <f>+IF('Data Pura Costos'!C8="","",'Data Pura Costos'!C8)</f>
        <v>Linares, VII region.</v>
      </c>
      <c r="D8" s="5">
        <f>+IF('Data Pura Costos'!D8="","",'Data Pura Costos'!D8)</f>
        <v>264</v>
      </c>
      <c r="E8" s="65">
        <f>+IF('Data Pura Costos'!E8="","",IF('Data Pura Costos'!E8=0,MAX('Data Pura Costos'!$E$7:$E$3000)*1000,'Data Pura Costos'!E8))</f>
        <v>730000</v>
      </c>
      <c r="F8" s="5" t="str">
        <f>+IF('Data Pura Costos'!F8="","",'Data Pura Costos'!F8)</f>
        <v>Mostazal</v>
      </c>
      <c r="G8" s="5" t="str">
        <f>+IF('Data Pura Costos'!G8="","",'Data Pura Costos'!G8)</f>
        <v xml:space="preserve">CRISTIAN LÓPEZ </v>
      </c>
      <c r="H8" s="52" t="str">
        <f>+IF('Data Pura Costos'!H8="","",'Data Pura Costos'!H8)</f>
        <v>Termo</v>
      </c>
      <c r="I8" s="71">
        <f>+IF('Data Pura Costos'!I8="","",'Data Pura Costos'!I8)</f>
        <v>2765.151515151515</v>
      </c>
      <c r="J8" s="52" t="str">
        <f>+IF('Data Pura Costos'!J8="","",'Data Pura Costos'!J8)</f>
        <v>24-25</v>
      </c>
      <c r="K8" s="82" t="str">
        <f t="shared" ref="K8:K71" si="3">+IF(B8="","",CONCATENATE(B8,"-",F8,"-",G8))</f>
        <v xml:space="preserve">Bodega-Mostazal-CRISTIAN LÓPEZ </v>
      </c>
      <c r="M8" s="4"/>
      <c r="N8" s="5" t="str">
        <f>+IF(M8="","",INDEX('Parámetros Auxiliares'!$D$7:$D$65,MATCH(M8,'Parámetros Auxiliares'!$D$7:$D$65,0)))</f>
        <v/>
      </c>
      <c r="O8" s="259"/>
      <c r="P8" s="1" t="str">
        <f t="shared" si="1"/>
        <v/>
      </c>
      <c r="Q8" s="185"/>
      <c r="R8" s="332"/>
      <c r="S8" s="336" t="str">
        <f>+IF($Q8="","",IF(SUMIFS('Data Pura Producción'!AD$17:AD$531,'Data Pura Producción'!$R$17:$R$531,$Q8,'Data Pura Producción'!$Q$17:$Q$531,$R8)=0,"",SUMIFS('Data Pura Producción'!AD$17:AD$531,'Data Pura Producción'!$R$17:$R$531,$Q8,'Data Pura Producción'!$Q$17:$Q$531,$R8)))</f>
        <v/>
      </c>
      <c r="T8" s="182" t="str">
        <f>+IF($Q8="","",IF(SUMIFS('Data Pura Producción'!AE$17:AE$531,'Data Pura Producción'!$R$17:$R$531,$Q8,'Data Pura Producción'!$Q$17:$Q$531,$R8)=0,"",SUMIFS('Data Pura Producción'!AE$17:AE$531,'Data Pura Producción'!$R$17:$R$531,$Q8,'Data Pura Producción'!$Q$17:$Q$531,$R8)))</f>
        <v/>
      </c>
      <c r="U8" s="182" t="str">
        <f>+IF($Q8="","",IF(SUMIFS('Data Pura Producción'!AF$17:AF$531,'Data Pura Producción'!$R$17:$R$531,$Q8,'Data Pura Producción'!$Q$17:$Q$531,$R8)=0,"",SUMIFS('Data Pura Producción'!AF$17:AF$531,'Data Pura Producción'!$R$17:$R$531,$Q8,'Data Pura Producción'!$Q$17:$Q$531,$R8)))</f>
        <v/>
      </c>
      <c r="V8" s="182" t="str">
        <f>+IF($Q8="","",IF(SUMIFS('Data Pura Producción'!AG$17:AG$531,'Data Pura Producción'!$R$17:$R$531,$Q8,'Data Pura Producción'!$Q$17:$Q$531,$R8)=0,"",SUMIFS('Data Pura Producción'!AG$17:AG$531,'Data Pura Producción'!$R$17:$R$531,$Q8,'Data Pura Producción'!$Q$17:$Q$531,$R8)))</f>
        <v/>
      </c>
      <c r="W8" s="182" t="str">
        <f>+IF($Q8="","",IF(SUMIFS('Data Pura Producción'!AH$17:AH$531,'Data Pura Producción'!$R$17:$R$531,$Q8,'Data Pura Producción'!$Q$17:$Q$531,$R8)=0,"",SUMIFS('Data Pura Producción'!AH$17:AH$531,'Data Pura Producción'!$R$17:$R$531,$Q8,'Data Pura Producción'!$Q$17:$Q$531,$R8)))</f>
        <v/>
      </c>
      <c r="X8" s="182" t="str">
        <f>+IF($Q8="","",IF(SUMIFS('Data Pura Producción'!AI$17:AI$531,'Data Pura Producción'!$R$17:$R$531,$Q8,'Data Pura Producción'!$Q$17:$Q$531,$R8)=0,"",SUMIFS('Data Pura Producción'!AI$17:AI$531,'Data Pura Producción'!$R$17:$R$531,$Q8,'Data Pura Producción'!$Q$17:$Q$531,$R8)))</f>
        <v/>
      </c>
      <c r="Y8" s="182" t="str">
        <f>+IF($Q8="","",IF(SUMIFS('Data Pura Producción'!AJ$17:AJ$531,'Data Pura Producción'!$R$17:$R$531,$Q8,'Data Pura Producción'!$Q$17:$Q$531,$R8)=0,"",SUMIFS('Data Pura Producción'!AJ$17:AJ$531,'Data Pura Producción'!$R$17:$R$531,$Q8,'Data Pura Producción'!$Q$17:$Q$531,$R8)))</f>
        <v/>
      </c>
      <c r="Z8" s="182" t="str">
        <f>+IF($Q8="","",IF(SUMIFS('Data Pura Producción'!AK$17:AK$531,'Data Pura Producción'!$R$17:$R$531,$Q8,'Data Pura Producción'!$Q$17:$Q$531,$R8)=0,"",SUMIFS('Data Pura Producción'!AK$17:AK$531,'Data Pura Producción'!$R$17:$R$531,$Q8,'Data Pura Producción'!$Q$17:$Q$531,$R8)))</f>
        <v/>
      </c>
      <c r="AA8" s="182" t="str">
        <f>+IF($Q8="","",IF(SUMIFS('Data Pura Producción'!AL$17:AL$531,'Data Pura Producción'!$R$17:$R$531,$Q8,'Data Pura Producción'!$Q$17:$Q$531,$R8)=0,"",SUMIFS('Data Pura Producción'!AL$17:AL$531,'Data Pura Producción'!$R$17:$R$531,$Q8,'Data Pura Producción'!$Q$17:$Q$531,$R8)))</f>
        <v/>
      </c>
      <c r="AB8" s="182" t="str">
        <f>+IF($Q8="","",IF(SUMIFS('Data Pura Producción'!AM$17:AM$531,'Data Pura Producción'!$R$17:$R$531,$Q8,'Data Pura Producción'!$Q$17:$Q$531,$R8)=0,"",SUMIFS('Data Pura Producción'!AM$17:AM$531,'Data Pura Producción'!$R$17:$R$531,$Q8,'Data Pura Producción'!$Q$17:$Q$531,$R8)))</f>
        <v/>
      </c>
      <c r="AC8" s="182" t="str">
        <f>+IF($Q8="","",IF(SUMIFS('Data Pura Producción'!AN$17:AN$531,'Data Pura Producción'!$R$17:$R$531,$Q8,'Data Pura Producción'!$Q$17:$Q$531,$R8)=0,"",SUMIFS('Data Pura Producción'!AN$17:AN$531,'Data Pura Producción'!$R$17:$R$531,$Q8,'Data Pura Producción'!$Q$17:$Q$531,$R8)))</f>
        <v/>
      </c>
      <c r="AD8" s="182" t="str">
        <f>+IF($Q8="","",IF(SUMIFS('Data Pura Producción'!AO$17:AO$531,'Data Pura Producción'!$R$17:$R$531,$Q8,'Data Pura Producción'!$Q$17:$Q$531,$R8)=0,"",SUMIFS('Data Pura Producción'!AO$17:AO$531,'Data Pura Producción'!$R$17:$R$531,$Q8,'Data Pura Producción'!$Q$17:$Q$531,$R8)))</f>
        <v/>
      </c>
      <c r="AE8" s="182" t="str">
        <f>+IF($Q8="","",IF(SUMIFS('Data Pura Producción'!AP$17:AP$531,'Data Pura Producción'!$R$17:$R$531,$Q8,'Data Pura Producción'!$Q$17:$Q$531,$R8)=0,"",SUMIFS('Data Pura Producción'!AP$17:AP$531,'Data Pura Producción'!$R$17:$R$531,$Q8,'Data Pura Producción'!$Q$17:$Q$531,$R8)))</f>
        <v/>
      </c>
      <c r="AF8" s="182" t="str">
        <f>+IF($Q8="","",IF(SUMIFS('Data Pura Producción'!AQ$17:AQ$531,'Data Pura Producción'!$R$17:$R$531,$Q8,'Data Pura Producción'!$Q$17:$Q$531,$R8)=0,"",SUMIFS('Data Pura Producción'!AQ$17:AQ$531,'Data Pura Producción'!$R$17:$R$531,$Q8,'Data Pura Producción'!$Q$17:$Q$531,$R8)))</f>
        <v/>
      </c>
      <c r="AG8" s="182" t="str">
        <f>+IF($Q8="","",IF(SUMIFS('Data Pura Producción'!AR$17:AR$531,'Data Pura Producción'!$R$17:$R$531,$Q8,'Data Pura Producción'!$Q$17:$Q$531,$R8)=0,"",SUMIFS('Data Pura Producción'!AR$17:AR$531,'Data Pura Producción'!$R$17:$R$531,$Q8,'Data Pura Producción'!$Q$17:$Q$531,$R8)))</f>
        <v/>
      </c>
      <c r="AH8" s="182" t="str">
        <f>+IF($Q8="","",IF(SUMIFS('Data Pura Producción'!AS$17:AS$531,'Data Pura Producción'!$R$17:$R$531,$Q8,'Data Pura Producción'!$Q$17:$Q$531,$R8)=0,"",SUMIFS('Data Pura Producción'!AS$17:AS$531,'Data Pura Producción'!$R$17:$R$531,$Q8,'Data Pura Producción'!$Q$17:$Q$531,$R8)))</f>
        <v/>
      </c>
      <c r="AI8" s="182" t="str">
        <f>+IF($Q8="","",IF(SUMIFS('Data Pura Producción'!AT$17:AT$531,'Data Pura Producción'!$R$17:$R$531,$Q8,'Data Pura Producción'!$Q$17:$Q$531,$R8)=0,"",SUMIFS('Data Pura Producción'!AT$17:AT$531,'Data Pura Producción'!$R$17:$R$531,$Q8,'Data Pura Producción'!$Q$17:$Q$531,$R8)))</f>
        <v/>
      </c>
      <c r="AJ8" s="182" t="str">
        <f>+IF($Q8="","",IF(SUMIFS('Data Pura Producción'!AU$17:AU$531,'Data Pura Producción'!$R$17:$R$531,$Q8,'Data Pura Producción'!$Q$17:$Q$531,$R8)=0,"",SUMIFS('Data Pura Producción'!AU$17:AU$531,'Data Pura Producción'!$R$17:$R$531,$Q8,'Data Pura Producción'!$Q$17:$Q$531,$R8)))</f>
        <v/>
      </c>
      <c r="AK8" s="182" t="str">
        <f>+IF($Q8="","",IF(SUMIFS('Data Pura Producción'!AV$17:AV$531,'Data Pura Producción'!$R$17:$R$531,$Q8,'Data Pura Producción'!$Q$17:$Q$531,$R8)=0,"",SUMIFS('Data Pura Producción'!AV$17:AV$531,'Data Pura Producción'!$R$17:$R$531,$Q8,'Data Pura Producción'!$Q$17:$Q$531,$R8)))</f>
        <v/>
      </c>
      <c r="AL8" s="182" t="str">
        <f>+IF($Q8="","",IF(SUMIFS('Data Pura Producción'!AW$17:AW$531,'Data Pura Producción'!$R$17:$R$531,$Q8,'Data Pura Producción'!$Q$17:$Q$531,$R8)=0,"",SUMIFS('Data Pura Producción'!AW$17:AW$531,'Data Pura Producción'!$R$17:$R$531,$Q8,'Data Pura Producción'!$Q$17:$Q$531,$R8)))</f>
        <v/>
      </c>
      <c r="AM8" s="337" t="str">
        <f>+IF($Q8="","",IF(SUMIFS('Data Pura Producción'!AX$17:AX$531,'Data Pura Producción'!$R$17:$R$531,$Q8,'Data Pura Producción'!$Q$17:$Q$531,$R8)=0,"",SUMIFS('Data Pura Producción'!AX$17:AX$531,'Data Pura Producción'!$R$17:$R$531,$Q8,'Data Pura Producción'!$Q$17:$Q$531,$R8)))</f>
        <v/>
      </c>
      <c r="AN8" s="187" t="str">
        <f t="shared" si="2"/>
        <v/>
      </c>
    </row>
    <row r="9" spans="2:40" s="6" customFormat="1" x14ac:dyDescent="0.35">
      <c r="B9" s="4" t="str">
        <f>+IF('Data Pura Costos'!B9="","",'Data Pura Costos'!B9)</f>
        <v xml:space="preserve">Caliboro </v>
      </c>
      <c r="C9" s="4" t="str">
        <f>+IF('Data Pura Costos'!C9="","",'Data Pura Costos'!C9)</f>
        <v>San Javier, VII región</v>
      </c>
      <c r="D9" s="5">
        <f>+IF('Data Pura Costos'!D9="","",'Data Pura Costos'!D9)</f>
        <v>258</v>
      </c>
      <c r="E9" s="65">
        <f>+IF('Data Pura Costos'!E9="","",IF('Data Pura Costos'!E9=0,MAX('Data Pura Costos'!$E$7:$E$3000)*1000,'Data Pura Costos'!E9))</f>
        <v>730000</v>
      </c>
      <c r="F9" s="5" t="str">
        <f>+IF('Data Pura Costos'!F9="","",'Data Pura Costos'!F9)</f>
        <v>Mostazal</v>
      </c>
      <c r="G9" s="5" t="str">
        <f>+IF('Data Pura Costos'!G9="","",'Data Pura Costos'!G9)</f>
        <v xml:space="preserve">CRISTIAN LÓPEZ </v>
      </c>
      <c r="H9" s="52" t="str">
        <f>+IF('Data Pura Costos'!H9="","",'Data Pura Costos'!H9)</f>
        <v>Termo</v>
      </c>
      <c r="I9" s="71">
        <f>+IF('Data Pura Costos'!I9="","",'Data Pura Costos'!I9)</f>
        <v>2829.4573643410854</v>
      </c>
      <c r="J9" s="52" t="str">
        <f>+IF('Data Pura Costos'!J9="","",'Data Pura Costos'!J9)</f>
        <v>24-25</v>
      </c>
      <c r="K9" s="82" t="str">
        <f t="shared" si="3"/>
        <v xml:space="preserve">Caliboro -Mostazal-CRISTIAN LÓPEZ </v>
      </c>
      <c r="M9" s="4"/>
      <c r="N9" s="5" t="str">
        <f>+IF(M9="","",INDEX('Parámetros Auxiliares'!$D$7:$D$65,MATCH(M9,'Parámetros Auxiliares'!$D$7:$D$65,0)))</f>
        <v/>
      </c>
      <c r="O9" s="259"/>
      <c r="P9" s="1" t="str">
        <f t="shared" si="1"/>
        <v/>
      </c>
      <c r="Q9" s="185"/>
      <c r="R9" s="332"/>
      <c r="S9" s="336" t="str">
        <f>+IF($Q9="","",IF(SUMIFS('Data Pura Producción'!AD$17:AD$531,'Data Pura Producción'!$R$17:$R$531,$Q9,'Data Pura Producción'!$Q$17:$Q$531,$R9)=0,"",SUMIFS('Data Pura Producción'!AD$17:AD$531,'Data Pura Producción'!$R$17:$R$531,$Q9,'Data Pura Producción'!$Q$17:$Q$531,$R9)))</f>
        <v/>
      </c>
      <c r="T9" s="182" t="str">
        <f>+IF($Q9="","",IF(SUMIFS('Data Pura Producción'!AE$17:AE$531,'Data Pura Producción'!$R$17:$R$531,$Q9,'Data Pura Producción'!$Q$17:$Q$531,$R9)=0,"",SUMIFS('Data Pura Producción'!AE$17:AE$531,'Data Pura Producción'!$R$17:$R$531,$Q9,'Data Pura Producción'!$Q$17:$Q$531,$R9)))</f>
        <v/>
      </c>
      <c r="U9" s="182" t="str">
        <f>+IF($Q9="","",IF(SUMIFS('Data Pura Producción'!AF$17:AF$531,'Data Pura Producción'!$R$17:$R$531,$Q9,'Data Pura Producción'!$Q$17:$Q$531,$R9)=0,"",SUMIFS('Data Pura Producción'!AF$17:AF$531,'Data Pura Producción'!$R$17:$R$531,$Q9,'Data Pura Producción'!$Q$17:$Q$531,$R9)))</f>
        <v/>
      </c>
      <c r="V9" s="182" t="str">
        <f>+IF($Q9="","",IF(SUMIFS('Data Pura Producción'!AG$17:AG$531,'Data Pura Producción'!$R$17:$R$531,$Q9,'Data Pura Producción'!$Q$17:$Q$531,$R9)=0,"",SUMIFS('Data Pura Producción'!AG$17:AG$531,'Data Pura Producción'!$R$17:$R$531,$Q9,'Data Pura Producción'!$Q$17:$Q$531,$R9)))</f>
        <v/>
      </c>
      <c r="W9" s="182" t="str">
        <f>+IF($Q9="","",IF(SUMIFS('Data Pura Producción'!AH$17:AH$531,'Data Pura Producción'!$R$17:$R$531,$Q9,'Data Pura Producción'!$Q$17:$Q$531,$R9)=0,"",SUMIFS('Data Pura Producción'!AH$17:AH$531,'Data Pura Producción'!$R$17:$R$531,$Q9,'Data Pura Producción'!$Q$17:$Q$531,$R9)))</f>
        <v/>
      </c>
      <c r="X9" s="182" t="str">
        <f>+IF($Q9="","",IF(SUMIFS('Data Pura Producción'!AI$17:AI$531,'Data Pura Producción'!$R$17:$R$531,$Q9,'Data Pura Producción'!$Q$17:$Q$531,$R9)=0,"",SUMIFS('Data Pura Producción'!AI$17:AI$531,'Data Pura Producción'!$R$17:$R$531,$Q9,'Data Pura Producción'!$Q$17:$Q$531,$R9)))</f>
        <v/>
      </c>
      <c r="Y9" s="182" t="str">
        <f>+IF($Q9="","",IF(SUMIFS('Data Pura Producción'!AJ$17:AJ$531,'Data Pura Producción'!$R$17:$R$531,$Q9,'Data Pura Producción'!$Q$17:$Q$531,$R9)=0,"",SUMIFS('Data Pura Producción'!AJ$17:AJ$531,'Data Pura Producción'!$R$17:$R$531,$Q9,'Data Pura Producción'!$Q$17:$Q$531,$R9)))</f>
        <v/>
      </c>
      <c r="Z9" s="182" t="str">
        <f>+IF($Q9="","",IF(SUMIFS('Data Pura Producción'!AK$17:AK$531,'Data Pura Producción'!$R$17:$R$531,$Q9,'Data Pura Producción'!$Q$17:$Q$531,$R9)=0,"",SUMIFS('Data Pura Producción'!AK$17:AK$531,'Data Pura Producción'!$R$17:$R$531,$Q9,'Data Pura Producción'!$Q$17:$Q$531,$R9)))</f>
        <v/>
      </c>
      <c r="AA9" s="182" t="str">
        <f>+IF($Q9="","",IF(SUMIFS('Data Pura Producción'!AL$17:AL$531,'Data Pura Producción'!$R$17:$R$531,$Q9,'Data Pura Producción'!$Q$17:$Q$531,$R9)=0,"",SUMIFS('Data Pura Producción'!AL$17:AL$531,'Data Pura Producción'!$R$17:$R$531,$Q9,'Data Pura Producción'!$Q$17:$Q$531,$R9)))</f>
        <v/>
      </c>
      <c r="AB9" s="182" t="str">
        <f>+IF($Q9="","",IF(SUMIFS('Data Pura Producción'!AM$17:AM$531,'Data Pura Producción'!$R$17:$R$531,$Q9,'Data Pura Producción'!$Q$17:$Q$531,$R9)=0,"",SUMIFS('Data Pura Producción'!AM$17:AM$531,'Data Pura Producción'!$R$17:$R$531,$Q9,'Data Pura Producción'!$Q$17:$Q$531,$R9)))</f>
        <v/>
      </c>
      <c r="AC9" s="182" t="str">
        <f>+IF($Q9="","",IF(SUMIFS('Data Pura Producción'!AN$17:AN$531,'Data Pura Producción'!$R$17:$R$531,$Q9,'Data Pura Producción'!$Q$17:$Q$531,$R9)=0,"",SUMIFS('Data Pura Producción'!AN$17:AN$531,'Data Pura Producción'!$R$17:$R$531,$Q9,'Data Pura Producción'!$Q$17:$Q$531,$R9)))</f>
        <v/>
      </c>
      <c r="AD9" s="182" t="str">
        <f>+IF($Q9="","",IF(SUMIFS('Data Pura Producción'!AO$17:AO$531,'Data Pura Producción'!$R$17:$R$531,$Q9,'Data Pura Producción'!$Q$17:$Q$531,$R9)=0,"",SUMIFS('Data Pura Producción'!AO$17:AO$531,'Data Pura Producción'!$R$17:$R$531,$Q9,'Data Pura Producción'!$Q$17:$Q$531,$R9)))</f>
        <v/>
      </c>
      <c r="AE9" s="182" t="str">
        <f>+IF($Q9="","",IF(SUMIFS('Data Pura Producción'!AP$17:AP$531,'Data Pura Producción'!$R$17:$R$531,$Q9,'Data Pura Producción'!$Q$17:$Q$531,$R9)=0,"",SUMIFS('Data Pura Producción'!AP$17:AP$531,'Data Pura Producción'!$R$17:$R$531,$Q9,'Data Pura Producción'!$Q$17:$Q$531,$R9)))</f>
        <v/>
      </c>
      <c r="AF9" s="182" t="str">
        <f>+IF($Q9="","",IF(SUMIFS('Data Pura Producción'!AQ$17:AQ$531,'Data Pura Producción'!$R$17:$R$531,$Q9,'Data Pura Producción'!$Q$17:$Q$531,$R9)=0,"",SUMIFS('Data Pura Producción'!AQ$17:AQ$531,'Data Pura Producción'!$R$17:$R$531,$Q9,'Data Pura Producción'!$Q$17:$Q$531,$R9)))</f>
        <v/>
      </c>
      <c r="AG9" s="182" t="str">
        <f>+IF($Q9="","",IF(SUMIFS('Data Pura Producción'!AR$17:AR$531,'Data Pura Producción'!$R$17:$R$531,$Q9,'Data Pura Producción'!$Q$17:$Q$531,$R9)=0,"",SUMIFS('Data Pura Producción'!AR$17:AR$531,'Data Pura Producción'!$R$17:$R$531,$Q9,'Data Pura Producción'!$Q$17:$Q$531,$R9)))</f>
        <v/>
      </c>
      <c r="AH9" s="182" t="str">
        <f>+IF($Q9="","",IF(SUMIFS('Data Pura Producción'!AS$17:AS$531,'Data Pura Producción'!$R$17:$R$531,$Q9,'Data Pura Producción'!$Q$17:$Q$531,$R9)=0,"",SUMIFS('Data Pura Producción'!AS$17:AS$531,'Data Pura Producción'!$R$17:$R$531,$Q9,'Data Pura Producción'!$Q$17:$Q$531,$R9)))</f>
        <v/>
      </c>
      <c r="AI9" s="182" t="str">
        <f>+IF($Q9="","",IF(SUMIFS('Data Pura Producción'!AT$17:AT$531,'Data Pura Producción'!$R$17:$R$531,$Q9,'Data Pura Producción'!$Q$17:$Q$531,$R9)=0,"",SUMIFS('Data Pura Producción'!AT$17:AT$531,'Data Pura Producción'!$R$17:$R$531,$Q9,'Data Pura Producción'!$Q$17:$Q$531,$R9)))</f>
        <v/>
      </c>
      <c r="AJ9" s="182" t="str">
        <f>+IF($Q9="","",IF(SUMIFS('Data Pura Producción'!AU$17:AU$531,'Data Pura Producción'!$R$17:$R$531,$Q9,'Data Pura Producción'!$Q$17:$Q$531,$R9)=0,"",SUMIFS('Data Pura Producción'!AU$17:AU$531,'Data Pura Producción'!$R$17:$R$531,$Q9,'Data Pura Producción'!$Q$17:$Q$531,$R9)))</f>
        <v/>
      </c>
      <c r="AK9" s="182" t="str">
        <f>+IF($Q9="","",IF(SUMIFS('Data Pura Producción'!AV$17:AV$531,'Data Pura Producción'!$R$17:$R$531,$Q9,'Data Pura Producción'!$Q$17:$Q$531,$R9)=0,"",SUMIFS('Data Pura Producción'!AV$17:AV$531,'Data Pura Producción'!$R$17:$R$531,$Q9,'Data Pura Producción'!$Q$17:$Q$531,$R9)))</f>
        <v/>
      </c>
      <c r="AL9" s="182" t="str">
        <f>+IF($Q9="","",IF(SUMIFS('Data Pura Producción'!AW$17:AW$531,'Data Pura Producción'!$R$17:$R$531,$Q9,'Data Pura Producción'!$Q$17:$Q$531,$R9)=0,"",SUMIFS('Data Pura Producción'!AW$17:AW$531,'Data Pura Producción'!$R$17:$R$531,$Q9,'Data Pura Producción'!$Q$17:$Q$531,$R9)))</f>
        <v/>
      </c>
      <c r="AM9" s="337" t="str">
        <f>+IF($Q9="","",IF(SUMIFS('Data Pura Producción'!AX$17:AX$531,'Data Pura Producción'!$R$17:$R$531,$Q9,'Data Pura Producción'!$Q$17:$Q$531,$R9)=0,"",SUMIFS('Data Pura Producción'!AX$17:AX$531,'Data Pura Producción'!$R$17:$R$531,$Q9,'Data Pura Producción'!$Q$17:$Q$531,$R9)))</f>
        <v/>
      </c>
      <c r="AN9" s="187" t="str">
        <f t="shared" si="2"/>
        <v/>
      </c>
    </row>
    <row r="10" spans="2:40" s="6" customFormat="1" x14ac:dyDescent="0.35">
      <c r="B10" s="4" t="str">
        <f>+IF('Data Pura Costos'!B10="","",'Data Pura Costos'!B10)</f>
        <v>Chumpirro</v>
      </c>
      <c r="C10" s="4" t="str">
        <f>+IF('Data Pura Costos'!C10="","",'Data Pura Costos'!C10)</f>
        <v>Angol, IX región</v>
      </c>
      <c r="D10" s="5">
        <f>+IF('Data Pura Costos'!D10="","",'Data Pura Costos'!D10)</f>
        <v>499</v>
      </c>
      <c r="E10" s="65">
        <f>+IF('Data Pura Costos'!E10="","",IF('Data Pura Costos'!E10=0,MAX('Data Pura Costos'!$E$7:$E$3000)*1000,'Data Pura Costos'!E10))</f>
        <v>1250000</v>
      </c>
      <c r="F10" s="5" t="str">
        <f>+IF('Data Pura Costos'!F10="","",'Data Pura Costos'!F10)</f>
        <v>Mostazal</v>
      </c>
      <c r="G10" s="5" t="str">
        <f>+IF('Data Pura Costos'!G10="","",'Data Pura Costos'!G10)</f>
        <v xml:space="preserve">CRISTIAN LÓPEZ </v>
      </c>
      <c r="H10" s="52" t="str">
        <f>+IF('Data Pura Costos'!H10="","",'Data Pura Costos'!H10)</f>
        <v>Termo</v>
      </c>
      <c r="I10" s="71">
        <f>+IF('Data Pura Costos'!I10="","",'Data Pura Costos'!I10)</f>
        <v>2505.0100200400802</v>
      </c>
      <c r="J10" s="52" t="str">
        <f>+IF('Data Pura Costos'!J10="","",'Data Pura Costos'!J10)</f>
        <v>24-25</v>
      </c>
      <c r="K10" s="82" t="str">
        <f t="shared" si="3"/>
        <v xml:space="preserve">Chumpirro-Mostazal-CRISTIAN LÓPEZ </v>
      </c>
      <c r="M10" s="4"/>
      <c r="N10" s="5" t="str">
        <f>+IF(M10="","",INDEX('Parámetros Auxiliares'!$D$7:$D$65,MATCH(M10,'Parámetros Auxiliares'!$D$7:$D$65,0)))</f>
        <v/>
      </c>
      <c r="O10" s="259"/>
      <c r="P10" s="1" t="str">
        <f t="shared" si="1"/>
        <v/>
      </c>
      <c r="Q10" s="185"/>
      <c r="R10" s="332"/>
      <c r="S10" s="336" t="str">
        <f>+IF($Q10="","",IF(SUMIFS('Data Pura Producción'!AD$17:AD$531,'Data Pura Producción'!$R$17:$R$531,$Q10,'Data Pura Producción'!$Q$17:$Q$531,$R10)=0,"",SUMIFS('Data Pura Producción'!AD$17:AD$531,'Data Pura Producción'!$R$17:$R$531,$Q10,'Data Pura Producción'!$Q$17:$Q$531,$R10)))</f>
        <v/>
      </c>
      <c r="T10" s="182" t="str">
        <f>+IF($Q10="","",IF(SUMIFS('Data Pura Producción'!AE$17:AE$531,'Data Pura Producción'!$R$17:$R$531,$Q10,'Data Pura Producción'!$Q$17:$Q$531,$R10)=0,"",SUMIFS('Data Pura Producción'!AE$17:AE$531,'Data Pura Producción'!$R$17:$R$531,$Q10,'Data Pura Producción'!$Q$17:$Q$531,$R10)))</f>
        <v/>
      </c>
      <c r="U10" s="182" t="str">
        <f>+IF($Q10="","",IF(SUMIFS('Data Pura Producción'!AF$17:AF$531,'Data Pura Producción'!$R$17:$R$531,$Q10,'Data Pura Producción'!$Q$17:$Q$531,$R10)=0,"",SUMIFS('Data Pura Producción'!AF$17:AF$531,'Data Pura Producción'!$R$17:$R$531,$Q10,'Data Pura Producción'!$Q$17:$Q$531,$R10)))</f>
        <v/>
      </c>
      <c r="V10" s="182" t="str">
        <f>+IF($Q10="","",IF(SUMIFS('Data Pura Producción'!AG$17:AG$531,'Data Pura Producción'!$R$17:$R$531,$Q10,'Data Pura Producción'!$Q$17:$Q$531,$R10)=0,"",SUMIFS('Data Pura Producción'!AG$17:AG$531,'Data Pura Producción'!$R$17:$R$531,$Q10,'Data Pura Producción'!$Q$17:$Q$531,$R10)))</f>
        <v/>
      </c>
      <c r="W10" s="182" t="str">
        <f>+IF($Q10="","",IF(SUMIFS('Data Pura Producción'!AH$17:AH$531,'Data Pura Producción'!$R$17:$R$531,$Q10,'Data Pura Producción'!$Q$17:$Q$531,$R10)=0,"",SUMIFS('Data Pura Producción'!AH$17:AH$531,'Data Pura Producción'!$R$17:$R$531,$Q10,'Data Pura Producción'!$Q$17:$Q$531,$R10)))</f>
        <v/>
      </c>
      <c r="X10" s="182" t="str">
        <f>+IF($Q10="","",IF(SUMIFS('Data Pura Producción'!AI$17:AI$531,'Data Pura Producción'!$R$17:$R$531,$Q10,'Data Pura Producción'!$Q$17:$Q$531,$R10)=0,"",SUMIFS('Data Pura Producción'!AI$17:AI$531,'Data Pura Producción'!$R$17:$R$531,$Q10,'Data Pura Producción'!$Q$17:$Q$531,$R10)))</f>
        <v/>
      </c>
      <c r="Y10" s="182" t="str">
        <f>+IF($Q10="","",IF(SUMIFS('Data Pura Producción'!AJ$17:AJ$531,'Data Pura Producción'!$R$17:$R$531,$Q10,'Data Pura Producción'!$Q$17:$Q$531,$R10)=0,"",SUMIFS('Data Pura Producción'!AJ$17:AJ$531,'Data Pura Producción'!$R$17:$R$531,$Q10,'Data Pura Producción'!$Q$17:$Q$531,$R10)))</f>
        <v/>
      </c>
      <c r="Z10" s="182" t="str">
        <f>+IF($Q10="","",IF(SUMIFS('Data Pura Producción'!AK$17:AK$531,'Data Pura Producción'!$R$17:$R$531,$Q10,'Data Pura Producción'!$Q$17:$Q$531,$R10)=0,"",SUMIFS('Data Pura Producción'!AK$17:AK$531,'Data Pura Producción'!$R$17:$R$531,$Q10,'Data Pura Producción'!$Q$17:$Q$531,$R10)))</f>
        <v/>
      </c>
      <c r="AA10" s="182" t="str">
        <f>+IF($Q10="","",IF(SUMIFS('Data Pura Producción'!AL$17:AL$531,'Data Pura Producción'!$R$17:$R$531,$Q10,'Data Pura Producción'!$Q$17:$Q$531,$R10)=0,"",SUMIFS('Data Pura Producción'!AL$17:AL$531,'Data Pura Producción'!$R$17:$R$531,$Q10,'Data Pura Producción'!$Q$17:$Q$531,$R10)))</f>
        <v/>
      </c>
      <c r="AB10" s="182" t="str">
        <f>+IF($Q10="","",IF(SUMIFS('Data Pura Producción'!AM$17:AM$531,'Data Pura Producción'!$R$17:$R$531,$Q10,'Data Pura Producción'!$Q$17:$Q$531,$R10)=0,"",SUMIFS('Data Pura Producción'!AM$17:AM$531,'Data Pura Producción'!$R$17:$R$531,$Q10,'Data Pura Producción'!$Q$17:$Q$531,$R10)))</f>
        <v/>
      </c>
      <c r="AC10" s="182" t="str">
        <f>+IF($Q10="","",IF(SUMIFS('Data Pura Producción'!AN$17:AN$531,'Data Pura Producción'!$R$17:$R$531,$Q10,'Data Pura Producción'!$Q$17:$Q$531,$R10)=0,"",SUMIFS('Data Pura Producción'!AN$17:AN$531,'Data Pura Producción'!$R$17:$R$531,$Q10,'Data Pura Producción'!$Q$17:$Q$531,$R10)))</f>
        <v/>
      </c>
      <c r="AD10" s="182" t="str">
        <f>+IF($Q10="","",IF(SUMIFS('Data Pura Producción'!AO$17:AO$531,'Data Pura Producción'!$R$17:$R$531,$Q10,'Data Pura Producción'!$Q$17:$Q$531,$R10)=0,"",SUMIFS('Data Pura Producción'!AO$17:AO$531,'Data Pura Producción'!$R$17:$R$531,$Q10,'Data Pura Producción'!$Q$17:$Q$531,$R10)))</f>
        <v/>
      </c>
      <c r="AE10" s="182" t="str">
        <f>+IF($Q10="","",IF(SUMIFS('Data Pura Producción'!AP$17:AP$531,'Data Pura Producción'!$R$17:$R$531,$Q10,'Data Pura Producción'!$Q$17:$Q$531,$R10)=0,"",SUMIFS('Data Pura Producción'!AP$17:AP$531,'Data Pura Producción'!$R$17:$R$531,$Q10,'Data Pura Producción'!$Q$17:$Q$531,$R10)))</f>
        <v/>
      </c>
      <c r="AF10" s="182" t="str">
        <f>+IF($Q10="","",IF(SUMIFS('Data Pura Producción'!AQ$17:AQ$531,'Data Pura Producción'!$R$17:$R$531,$Q10,'Data Pura Producción'!$Q$17:$Q$531,$R10)=0,"",SUMIFS('Data Pura Producción'!AQ$17:AQ$531,'Data Pura Producción'!$R$17:$R$531,$Q10,'Data Pura Producción'!$Q$17:$Q$531,$R10)))</f>
        <v/>
      </c>
      <c r="AG10" s="182" t="str">
        <f>+IF($Q10="","",IF(SUMIFS('Data Pura Producción'!AR$17:AR$531,'Data Pura Producción'!$R$17:$R$531,$Q10,'Data Pura Producción'!$Q$17:$Q$531,$R10)=0,"",SUMIFS('Data Pura Producción'!AR$17:AR$531,'Data Pura Producción'!$R$17:$R$531,$Q10,'Data Pura Producción'!$Q$17:$Q$531,$R10)))</f>
        <v/>
      </c>
      <c r="AH10" s="182" t="str">
        <f>+IF($Q10="","",IF(SUMIFS('Data Pura Producción'!AS$17:AS$531,'Data Pura Producción'!$R$17:$R$531,$Q10,'Data Pura Producción'!$Q$17:$Q$531,$R10)=0,"",SUMIFS('Data Pura Producción'!AS$17:AS$531,'Data Pura Producción'!$R$17:$R$531,$Q10,'Data Pura Producción'!$Q$17:$Q$531,$R10)))</f>
        <v/>
      </c>
      <c r="AI10" s="182" t="str">
        <f>+IF($Q10="","",IF(SUMIFS('Data Pura Producción'!AT$17:AT$531,'Data Pura Producción'!$R$17:$R$531,$Q10,'Data Pura Producción'!$Q$17:$Q$531,$R10)=0,"",SUMIFS('Data Pura Producción'!AT$17:AT$531,'Data Pura Producción'!$R$17:$R$531,$Q10,'Data Pura Producción'!$Q$17:$Q$531,$R10)))</f>
        <v/>
      </c>
      <c r="AJ10" s="182" t="str">
        <f>+IF($Q10="","",IF(SUMIFS('Data Pura Producción'!AU$17:AU$531,'Data Pura Producción'!$R$17:$R$531,$Q10,'Data Pura Producción'!$Q$17:$Q$531,$R10)=0,"",SUMIFS('Data Pura Producción'!AU$17:AU$531,'Data Pura Producción'!$R$17:$R$531,$Q10,'Data Pura Producción'!$Q$17:$Q$531,$R10)))</f>
        <v/>
      </c>
      <c r="AK10" s="182" t="str">
        <f>+IF($Q10="","",IF(SUMIFS('Data Pura Producción'!AV$17:AV$531,'Data Pura Producción'!$R$17:$R$531,$Q10,'Data Pura Producción'!$Q$17:$Q$531,$R10)=0,"",SUMIFS('Data Pura Producción'!AV$17:AV$531,'Data Pura Producción'!$R$17:$R$531,$Q10,'Data Pura Producción'!$Q$17:$Q$531,$R10)))</f>
        <v/>
      </c>
      <c r="AL10" s="182" t="str">
        <f>+IF($Q10="","",IF(SUMIFS('Data Pura Producción'!AW$17:AW$531,'Data Pura Producción'!$R$17:$R$531,$Q10,'Data Pura Producción'!$Q$17:$Q$531,$R10)=0,"",SUMIFS('Data Pura Producción'!AW$17:AW$531,'Data Pura Producción'!$R$17:$R$531,$Q10,'Data Pura Producción'!$Q$17:$Q$531,$R10)))</f>
        <v/>
      </c>
      <c r="AM10" s="337" t="str">
        <f>+IF($Q10="","",IF(SUMIFS('Data Pura Producción'!AX$17:AX$531,'Data Pura Producción'!$R$17:$R$531,$Q10,'Data Pura Producción'!$Q$17:$Q$531,$R10)=0,"",SUMIFS('Data Pura Producción'!AX$17:AX$531,'Data Pura Producción'!$R$17:$R$531,$Q10,'Data Pura Producción'!$Q$17:$Q$531,$R10)))</f>
        <v/>
      </c>
      <c r="AN10" s="187" t="str">
        <f t="shared" si="2"/>
        <v/>
      </c>
    </row>
    <row r="11" spans="2:40" s="6" customFormat="1" x14ac:dyDescent="0.35">
      <c r="B11" s="4" t="str">
        <f>+IF('Data Pura Costos'!B11="","",'Data Pura Costos'!B11)</f>
        <v>El Cóndor</v>
      </c>
      <c r="C11" s="4" t="str">
        <f>+IF('Data Pura Costos'!C11="","",'Data Pura Costos'!C11)</f>
        <v>Chimbarongo, VI Region.</v>
      </c>
      <c r="D11" s="5">
        <f>+IF('Data Pura Costos'!D11="","",'Data Pura Costos'!D11)</f>
        <v>150</v>
      </c>
      <c r="E11" s="65">
        <f>+IF('Data Pura Costos'!E11="","",IF('Data Pura Costos'!E11=0,MAX('Data Pura Costos'!$E$7:$E$3000)*1000,'Data Pura Costos'!E11))</f>
        <v>500000</v>
      </c>
      <c r="F11" s="5" t="str">
        <f>+IF('Data Pura Costos'!F11="","",'Data Pura Costos'!F11)</f>
        <v>Mostazal</v>
      </c>
      <c r="G11" s="5" t="str">
        <f>+IF('Data Pura Costos'!G11="","",'Data Pura Costos'!G11)</f>
        <v xml:space="preserve">CRISTIAN LÓPEZ </v>
      </c>
      <c r="H11" s="52" t="str">
        <f>+IF('Data Pura Costos'!H11="","",'Data Pura Costos'!H11)</f>
        <v>Termo</v>
      </c>
      <c r="I11" s="71">
        <f>+IF('Data Pura Costos'!I11="","",'Data Pura Costos'!I11)</f>
        <v>3333.3333333333335</v>
      </c>
      <c r="J11" s="52" t="str">
        <f>+IF('Data Pura Costos'!J11="","",'Data Pura Costos'!J11)</f>
        <v>24-25</v>
      </c>
      <c r="K11" s="82" t="str">
        <f t="shared" si="3"/>
        <v xml:space="preserve">El Cóndor-Mostazal-CRISTIAN LÓPEZ </v>
      </c>
      <c r="M11" s="4"/>
      <c r="N11" s="5" t="str">
        <f>+IF(M11="","",INDEX('Parámetros Auxiliares'!$D$7:$D$65,MATCH(M11,'Parámetros Auxiliares'!$D$7:$D$65,0)))</f>
        <v/>
      </c>
      <c r="O11" s="259"/>
      <c r="P11" s="1" t="str">
        <f t="shared" si="1"/>
        <v/>
      </c>
      <c r="Q11" s="185"/>
      <c r="R11" s="332"/>
      <c r="S11" s="336" t="str">
        <f>+IF($Q11="","",IF(SUMIFS('Data Pura Producción'!AD$17:AD$531,'Data Pura Producción'!$R$17:$R$531,$Q11,'Data Pura Producción'!$Q$17:$Q$531,$R11)=0,"",SUMIFS('Data Pura Producción'!AD$17:AD$531,'Data Pura Producción'!$R$17:$R$531,$Q11,'Data Pura Producción'!$Q$17:$Q$531,$R11)))</f>
        <v/>
      </c>
      <c r="T11" s="182" t="str">
        <f>+IF($Q11="","",IF(SUMIFS('Data Pura Producción'!AE$17:AE$531,'Data Pura Producción'!$R$17:$R$531,$Q11,'Data Pura Producción'!$Q$17:$Q$531,$R11)=0,"",SUMIFS('Data Pura Producción'!AE$17:AE$531,'Data Pura Producción'!$R$17:$R$531,$Q11,'Data Pura Producción'!$Q$17:$Q$531,$R11)))</f>
        <v/>
      </c>
      <c r="U11" s="182" t="str">
        <f>+IF($Q11="","",IF(SUMIFS('Data Pura Producción'!AF$17:AF$531,'Data Pura Producción'!$R$17:$R$531,$Q11,'Data Pura Producción'!$Q$17:$Q$531,$R11)=0,"",SUMIFS('Data Pura Producción'!AF$17:AF$531,'Data Pura Producción'!$R$17:$R$531,$Q11,'Data Pura Producción'!$Q$17:$Q$531,$R11)))</f>
        <v/>
      </c>
      <c r="V11" s="182" t="str">
        <f>+IF($Q11="","",IF(SUMIFS('Data Pura Producción'!AG$17:AG$531,'Data Pura Producción'!$R$17:$R$531,$Q11,'Data Pura Producción'!$Q$17:$Q$531,$R11)=0,"",SUMIFS('Data Pura Producción'!AG$17:AG$531,'Data Pura Producción'!$R$17:$R$531,$Q11,'Data Pura Producción'!$Q$17:$Q$531,$R11)))</f>
        <v/>
      </c>
      <c r="W11" s="182" t="str">
        <f>+IF($Q11="","",IF(SUMIFS('Data Pura Producción'!AH$17:AH$531,'Data Pura Producción'!$R$17:$R$531,$Q11,'Data Pura Producción'!$Q$17:$Q$531,$R11)=0,"",SUMIFS('Data Pura Producción'!AH$17:AH$531,'Data Pura Producción'!$R$17:$R$531,$Q11,'Data Pura Producción'!$Q$17:$Q$531,$R11)))</f>
        <v/>
      </c>
      <c r="X11" s="182" t="str">
        <f>+IF($Q11="","",IF(SUMIFS('Data Pura Producción'!AI$17:AI$531,'Data Pura Producción'!$R$17:$R$531,$Q11,'Data Pura Producción'!$Q$17:$Q$531,$R11)=0,"",SUMIFS('Data Pura Producción'!AI$17:AI$531,'Data Pura Producción'!$R$17:$R$531,$Q11,'Data Pura Producción'!$Q$17:$Q$531,$R11)))</f>
        <v/>
      </c>
      <c r="Y11" s="182" t="str">
        <f>+IF($Q11="","",IF(SUMIFS('Data Pura Producción'!AJ$17:AJ$531,'Data Pura Producción'!$R$17:$R$531,$Q11,'Data Pura Producción'!$Q$17:$Q$531,$R11)=0,"",SUMIFS('Data Pura Producción'!AJ$17:AJ$531,'Data Pura Producción'!$R$17:$R$531,$Q11,'Data Pura Producción'!$Q$17:$Q$531,$R11)))</f>
        <v/>
      </c>
      <c r="Z11" s="182" t="str">
        <f>+IF($Q11="","",IF(SUMIFS('Data Pura Producción'!AK$17:AK$531,'Data Pura Producción'!$R$17:$R$531,$Q11,'Data Pura Producción'!$Q$17:$Q$531,$R11)=0,"",SUMIFS('Data Pura Producción'!AK$17:AK$531,'Data Pura Producción'!$R$17:$R$531,$Q11,'Data Pura Producción'!$Q$17:$Q$531,$R11)))</f>
        <v/>
      </c>
      <c r="AA11" s="182" t="str">
        <f>+IF($Q11="","",IF(SUMIFS('Data Pura Producción'!AL$17:AL$531,'Data Pura Producción'!$R$17:$R$531,$Q11,'Data Pura Producción'!$Q$17:$Q$531,$R11)=0,"",SUMIFS('Data Pura Producción'!AL$17:AL$531,'Data Pura Producción'!$R$17:$R$531,$Q11,'Data Pura Producción'!$Q$17:$Q$531,$R11)))</f>
        <v/>
      </c>
      <c r="AB11" s="182" t="str">
        <f>+IF($Q11="","",IF(SUMIFS('Data Pura Producción'!AM$17:AM$531,'Data Pura Producción'!$R$17:$R$531,$Q11,'Data Pura Producción'!$Q$17:$Q$531,$R11)=0,"",SUMIFS('Data Pura Producción'!AM$17:AM$531,'Data Pura Producción'!$R$17:$R$531,$Q11,'Data Pura Producción'!$Q$17:$Q$531,$R11)))</f>
        <v/>
      </c>
      <c r="AC11" s="182" t="str">
        <f>+IF($Q11="","",IF(SUMIFS('Data Pura Producción'!AN$17:AN$531,'Data Pura Producción'!$R$17:$R$531,$Q11,'Data Pura Producción'!$Q$17:$Q$531,$R11)=0,"",SUMIFS('Data Pura Producción'!AN$17:AN$531,'Data Pura Producción'!$R$17:$R$531,$Q11,'Data Pura Producción'!$Q$17:$Q$531,$R11)))</f>
        <v/>
      </c>
      <c r="AD11" s="182" t="str">
        <f>+IF($Q11="","",IF(SUMIFS('Data Pura Producción'!AO$17:AO$531,'Data Pura Producción'!$R$17:$R$531,$Q11,'Data Pura Producción'!$Q$17:$Q$531,$R11)=0,"",SUMIFS('Data Pura Producción'!AO$17:AO$531,'Data Pura Producción'!$R$17:$R$531,$Q11,'Data Pura Producción'!$Q$17:$Q$531,$R11)))</f>
        <v/>
      </c>
      <c r="AE11" s="182" t="str">
        <f>+IF($Q11="","",IF(SUMIFS('Data Pura Producción'!AP$17:AP$531,'Data Pura Producción'!$R$17:$R$531,$Q11,'Data Pura Producción'!$Q$17:$Q$531,$R11)=0,"",SUMIFS('Data Pura Producción'!AP$17:AP$531,'Data Pura Producción'!$R$17:$R$531,$Q11,'Data Pura Producción'!$Q$17:$Q$531,$R11)))</f>
        <v/>
      </c>
      <c r="AF11" s="182" t="str">
        <f>+IF($Q11="","",IF(SUMIFS('Data Pura Producción'!AQ$17:AQ$531,'Data Pura Producción'!$R$17:$R$531,$Q11,'Data Pura Producción'!$Q$17:$Q$531,$R11)=0,"",SUMIFS('Data Pura Producción'!AQ$17:AQ$531,'Data Pura Producción'!$R$17:$R$531,$Q11,'Data Pura Producción'!$Q$17:$Q$531,$R11)))</f>
        <v/>
      </c>
      <c r="AG11" s="182" t="str">
        <f>+IF($Q11="","",IF(SUMIFS('Data Pura Producción'!AR$17:AR$531,'Data Pura Producción'!$R$17:$R$531,$Q11,'Data Pura Producción'!$Q$17:$Q$531,$R11)=0,"",SUMIFS('Data Pura Producción'!AR$17:AR$531,'Data Pura Producción'!$R$17:$R$531,$Q11,'Data Pura Producción'!$Q$17:$Q$531,$R11)))</f>
        <v/>
      </c>
      <c r="AH11" s="182" t="str">
        <f>+IF($Q11="","",IF(SUMIFS('Data Pura Producción'!AS$17:AS$531,'Data Pura Producción'!$R$17:$R$531,$Q11,'Data Pura Producción'!$Q$17:$Q$531,$R11)=0,"",SUMIFS('Data Pura Producción'!AS$17:AS$531,'Data Pura Producción'!$R$17:$R$531,$Q11,'Data Pura Producción'!$Q$17:$Q$531,$R11)))</f>
        <v/>
      </c>
      <c r="AI11" s="182" t="str">
        <f>+IF($Q11="","",IF(SUMIFS('Data Pura Producción'!AT$17:AT$531,'Data Pura Producción'!$R$17:$R$531,$Q11,'Data Pura Producción'!$Q$17:$Q$531,$R11)=0,"",SUMIFS('Data Pura Producción'!AT$17:AT$531,'Data Pura Producción'!$R$17:$R$531,$Q11,'Data Pura Producción'!$Q$17:$Q$531,$R11)))</f>
        <v/>
      </c>
      <c r="AJ11" s="182" t="str">
        <f>+IF($Q11="","",IF(SUMIFS('Data Pura Producción'!AU$17:AU$531,'Data Pura Producción'!$R$17:$R$531,$Q11,'Data Pura Producción'!$Q$17:$Q$531,$R11)=0,"",SUMIFS('Data Pura Producción'!AU$17:AU$531,'Data Pura Producción'!$R$17:$R$531,$Q11,'Data Pura Producción'!$Q$17:$Q$531,$R11)))</f>
        <v/>
      </c>
      <c r="AK11" s="182" t="str">
        <f>+IF($Q11="","",IF(SUMIFS('Data Pura Producción'!AV$17:AV$531,'Data Pura Producción'!$R$17:$R$531,$Q11,'Data Pura Producción'!$Q$17:$Q$531,$R11)=0,"",SUMIFS('Data Pura Producción'!AV$17:AV$531,'Data Pura Producción'!$R$17:$R$531,$Q11,'Data Pura Producción'!$Q$17:$Q$531,$R11)))</f>
        <v/>
      </c>
      <c r="AL11" s="182" t="str">
        <f>+IF($Q11="","",IF(SUMIFS('Data Pura Producción'!AW$17:AW$531,'Data Pura Producción'!$R$17:$R$531,$Q11,'Data Pura Producción'!$Q$17:$Q$531,$R11)=0,"",SUMIFS('Data Pura Producción'!AW$17:AW$531,'Data Pura Producción'!$R$17:$R$531,$Q11,'Data Pura Producción'!$Q$17:$Q$531,$R11)))</f>
        <v/>
      </c>
      <c r="AM11" s="337" t="str">
        <f>+IF($Q11="","",IF(SUMIFS('Data Pura Producción'!AX$17:AX$531,'Data Pura Producción'!$R$17:$R$531,$Q11,'Data Pura Producción'!$Q$17:$Q$531,$R11)=0,"",SUMIFS('Data Pura Producción'!AX$17:AX$531,'Data Pura Producción'!$R$17:$R$531,$Q11,'Data Pura Producción'!$Q$17:$Q$531,$R11)))</f>
        <v/>
      </c>
      <c r="AN11" s="187" t="str">
        <f t="shared" si="2"/>
        <v/>
      </c>
    </row>
    <row r="12" spans="2:40" s="6" customFormat="1" x14ac:dyDescent="0.35">
      <c r="B12" s="4" t="str">
        <f>+IF('Data Pura Costos'!B12="","",'Data Pura Costos'!B12)</f>
        <v>El Descanso</v>
      </c>
      <c r="C12" s="4" t="str">
        <f>+IF('Data Pura Costos'!C12="","",'Data Pura Costos'!C12)</f>
        <v>Sagrada Familia, VII región</v>
      </c>
      <c r="D12" s="5">
        <f>+IF('Data Pura Costos'!D12="","",'Data Pura Costos'!D12)</f>
        <v>240</v>
      </c>
      <c r="E12" s="65">
        <f>+IF('Data Pura Costos'!E12="","",IF('Data Pura Costos'!E12=0,MAX('Data Pura Costos'!$E$7:$E$3000)*1000,'Data Pura Costos'!E12))</f>
        <v>665000</v>
      </c>
      <c r="F12" s="5" t="str">
        <f>+IF('Data Pura Costos'!F12="","",'Data Pura Costos'!F12)</f>
        <v>Mostazal</v>
      </c>
      <c r="G12" s="5" t="str">
        <f>+IF('Data Pura Costos'!G12="","",'Data Pura Costos'!G12)</f>
        <v xml:space="preserve">CRISTIAN LÓPEZ </v>
      </c>
      <c r="H12" s="52" t="str">
        <f>+IF('Data Pura Costos'!H12="","",'Data Pura Costos'!H12)</f>
        <v>Termo</v>
      </c>
      <c r="I12" s="71">
        <f>+IF('Data Pura Costos'!I12="","",'Data Pura Costos'!I12)</f>
        <v>2770.8333333333335</v>
      </c>
      <c r="J12" s="52" t="str">
        <f>+IF('Data Pura Costos'!J12="","",'Data Pura Costos'!J12)</f>
        <v>24-25</v>
      </c>
      <c r="K12" s="82" t="str">
        <f t="shared" si="3"/>
        <v xml:space="preserve">El Descanso-Mostazal-CRISTIAN LÓPEZ </v>
      </c>
      <c r="M12" s="4"/>
      <c r="N12" s="5" t="str">
        <f>+IF(M12="","",INDEX('Parámetros Auxiliares'!$D$7:$D$65,MATCH(M12,'Parámetros Auxiliares'!$D$7:$D$65,0)))</f>
        <v/>
      </c>
      <c r="O12" s="259"/>
      <c r="P12" s="1" t="str">
        <f t="shared" si="1"/>
        <v/>
      </c>
      <c r="Q12" s="185"/>
      <c r="R12" s="332"/>
      <c r="S12" s="336" t="str">
        <f>+IF($Q12="","",IF(SUMIFS('Data Pura Producción'!AD$17:AD$531,'Data Pura Producción'!$R$17:$R$531,$Q12,'Data Pura Producción'!$Q$17:$Q$531,$R12)=0,"",SUMIFS('Data Pura Producción'!AD$17:AD$531,'Data Pura Producción'!$R$17:$R$531,$Q12,'Data Pura Producción'!$Q$17:$Q$531,$R12)))</f>
        <v/>
      </c>
      <c r="T12" s="182" t="str">
        <f>+IF($Q12="","",IF(SUMIFS('Data Pura Producción'!AE$17:AE$531,'Data Pura Producción'!$R$17:$R$531,$Q12,'Data Pura Producción'!$Q$17:$Q$531,$R12)=0,"",SUMIFS('Data Pura Producción'!AE$17:AE$531,'Data Pura Producción'!$R$17:$R$531,$Q12,'Data Pura Producción'!$Q$17:$Q$531,$R12)))</f>
        <v/>
      </c>
      <c r="U12" s="182" t="str">
        <f>+IF($Q12="","",IF(SUMIFS('Data Pura Producción'!AF$17:AF$531,'Data Pura Producción'!$R$17:$R$531,$Q12,'Data Pura Producción'!$Q$17:$Q$531,$R12)=0,"",SUMIFS('Data Pura Producción'!AF$17:AF$531,'Data Pura Producción'!$R$17:$R$531,$Q12,'Data Pura Producción'!$Q$17:$Q$531,$R12)))</f>
        <v/>
      </c>
      <c r="V12" s="182" t="str">
        <f>+IF($Q12="","",IF(SUMIFS('Data Pura Producción'!AG$17:AG$531,'Data Pura Producción'!$R$17:$R$531,$Q12,'Data Pura Producción'!$Q$17:$Q$531,$R12)=0,"",SUMIFS('Data Pura Producción'!AG$17:AG$531,'Data Pura Producción'!$R$17:$R$531,$Q12,'Data Pura Producción'!$Q$17:$Q$531,$R12)))</f>
        <v/>
      </c>
      <c r="W12" s="182" t="str">
        <f>+IF($Q12="","",IF(SUMIFS('Data Pura Producción'!AH$17:AH$531,'Data Pura Producción'!$R$17:$R$531,$Q12,'Data Pura Producción'!$Q$17:$Q$531,$R12)=0,"",SUMIFS('Data Pura Producción'!AH$17:AH$531,'Data Pura Producción'!$R$17:$R$531,$Q12,'Data Pura Producción'!$Q$17:$Q$531,$R12)))</f>
        <v/>
      </c>
      <c r="X12" s="182" t="str">
        <f>+IF($Q12="","",IF(SUMIFS('Data Pura Producción'!AI$17:AI$531,'Data Pura Producción'!$R$17:$R$531,$Q12,'Data Pura Producción'!$Q$17:$Q$531,$R12)=0,"",SUMIFS('Data Pura Producción'!AI$17:AI$531,'Data Pura Producción'!$R$17:$R$531,$Q12,'Data Pura Producción'!$Q$17:$Q$531,$R12)))</f>
        <v/>
      </c>
      <c r="Y12" s="182" t="str">
        <f>+IF($Q12="","",IF(SUMIFS('Data Pura Producción'!AJ$17:AJ$531,'Data Pura Producción'!$R$17:$R$531,$Q12,'Data Pura Producción'!$Q$17:$Q$531,$R12)=0,"",SUMIFS('Data Pura Producción'!AJ$17:AJ$531,'Data Pura Producción'!$R$17:$R$531,$Q12,'Data Pura Producción'!$Q$17:$Q$531,$R12)))</f>
        <v/>
      </c>
      <c r="Z12" s="182" t="str">
        <f>+IF($Q12="","",IF(SUMIFS('Data Pura Producción'!AK$17:AK$531,'Data Pura Producción'!$R$17:$R$531,$Q12,'Data Pura Producción'!$Q$17:$Q$531,$R12)=0,"",SUMIFS('Data Pura Producción'!AK$17:AK$531,'Data Pura Producción'!$R$17:$R$531,$Q12,'Data Pura Producción'!$Q$17:$Q$531,$R12)))</f>
        <v/>
      </c>
      <c r="AA12" s="182" t="str">
        <f>+IF($Q12="","",IF(SUMIFS('Data Pura Producción'!AL$17:AL$531,'Data Pura Producción'!$R$17:$R$531,$Q12,'Data Pura Producción'!$Q$17:$Q$531,$R12)=0,"",SUMIFS('Data Pura Producción'!AL$17:AL$531,'Data Pura Producción'!$R$17:$R$531,$Q12,'Data Pura Producción'!$Q$17:$Q$531,$R12)))</f>
        <v/>
      </c>
      <c r="AB12" s="182" t="str">
        <f>+IF($Q12="","",IF(SUMIFS('Data Pura Producción'!AM$17:AM$531,'Data Pura Producción'!$R$17:$R$531,$Q12,'Data Pura Producción'!$Q$17:$Q$531,$R12)=0,"",SUMIFS('Data Pura Producción'!AM$17:AM$531,'Data Pura Producción'!$R$17:$R$531,$Q12,'Data Pura Producción'!$Q$17:$Q$531,$R12)))</f>
        <v/>
      </c>
      <c r="AC12" s="182" t="str">
        <f>+IF($Q12="","",IF(SUMIFS('Data Pura Producción'!AN$17:AN$531,'Data Pura Producción'!$R$17:$R$531,$Q12,'Data Pura Producción'!$Q$17:$Q$531,$R12)=0,"",SUMIFS('Data Pura Producción'!AN$17:AN$531,'Data Pura Producción'!$R$17:$R$531,$Q12,'Data Pura Producción'!$Q$17:$Q$531,$R12)))</f>
        <v/>
      </c>
      <c r="AD12" s="182" t="str">
        <f>+IF($Q12="","",IF(SUMIFS('Data Pura Producción'!AO$17:AO$531,'Data Pura Producción'!$R$17:$R$531,$Q12,'Data Pura Producción'!$Q$17:$Q$531,$R12)=0,"",SUMIFS('Data Pura Producción'!AO$17:AO$531,'Data Pura Producción'!$R$17:$R$531,$Q12,'Data Pura Producción'!$Q$17:$Q$531,$R12)))</f>
        <v/>
      </c>
      <c r="AE12" s="182" t="str">
        <f>+IF($Q12="","",IF(SUMIFS('Data Pura Producción'!AP$17:AP$531,'Data Pura Producción'!$R$17:$R$531,$Q12,'Data Pura Producción'!$Q$17:$Q$531,$R12)=0,"",SUMIFS('Data Pura Producción'!AP$17:AP$531,'Data Pura Producción'!$R$17:$R$531,$Q12,'Data Pura Producción'!$Q$17:$Q$531,$R12)))</f>
        <v/>
      </c>
      <c r="AF12" s="182" t="str">
        <f>+IF($Q12="","",IF(SUMIFS('Data Pura Producción'!AQ$17:AQ$531,'Data Pura Producción'!$R$17:$R$531,$Q12,'Data Pura Producción'!$Q$17:$Q$531,$R12)=0,"",SUMIFS('Data Pura Producción'!AQ$17:AQ$531,'Data Pura Producción'!$R$17:$R$531,$Q12,'Data Pura Producción'!$Q$17:$Q$531,$R12)))</f>
        <v/>
      </c>
      <c r="AG12" s="182" t="str">
        <f>+IF($Q12="","",IF(SUMIFS('Data Pura Producción'!AR$17:AR$531,'Data Pura Producción'!$R$17:$R$531,$Q12,'Data Pura Producción'!$Q$17:$Q$531,$R12)=0,"",SUMIFS('Data Pura Producción'!AR$17:AR$531,'Data Pura Producción'!$R$17:$R$531,$Q12,'Data Pura Producción'!$Q$17:$Q$531,$R12)))</f>
        <v/>
      </c>
      <c r="AH12" s="182" t="str">
        <f>+IF($Q12="","",IF(SUMIFS('Data Pura Producción'!AS$17:AS$531,'Data Pura Producción'!$R$17:$R$531,$Q12,'Data Pura Producción'!$Q$17:$Q$531,$R12)=0,"",SUMIFS('Data Pura Producción'!AS$17:AS$531,'Data Pura Producción'!$R$17:$R$531,$Q12,'Data Pura Producción'!$Q$17:$Q$531,$R12)))</f>
        <v/>
      </c>
      <c r="AI12" s="182" t="str">
        <f>+IF($Q12="","",IF(SUMIFS('Data Pura Producción'!AT$17:AT$531,'Data Pura Producción'!$R$17:$R$531,$Q12,'Data Pura Producción'!$Q$17:$Q$531,$R12)=0,"",SUMIFS('Data Pura Producción'!AT$17:AT$531,'Data Pura Producción'!$R$17:$R$531,$Q12,'Data Pura Producción'!$Q$17:$Q$531,$R12)))</f>
        <v/>
      </c>
      <c r="AJ12" s="182" t="str">
        <f>+IF($Q12="","",IF(SUMIFS('Data Pura Producción'!AU$17:AU$531,'Data Pura Producción'!$R$17:$R$531,$Q12,'Data Pura Producción'!$Q$17:$Q$531,$R12)=0,"",SUMIFS('Data Pura Producción'!AU$17:AU$531,'Data Pura Producción'!$R$17:$R$531,$Q12,'Data Pura Producción'!$Q$17:$Q$531,$R12)))</f>
        <v/>
      </c>
      <c r="AK12" s="182" t="str">
        <f>+IF($Q12="","",IF(SUMIFS('Data Pura Producción'!AV$17:AV$531,'Data Pura Producción'!$R$17:$R$531,$Q12,'Data Pura Producción'!$Q$17:$Q$531,$R12)=0,"",SUMIFS('Data Pura Producción'!AV$17:AV$531,'Data Pura Producción'!$R$17:$R$531,$Q12,'Data Pura Producción'!$Q$17:$Q$531,$R12)))</f>
        <v/>
      </c>
      <c r="AL12" s="182" t="str">
        <f>+IF($Q12="","",IF(SUMIFS('Data Pura Producción'!AW$17:AW$531,'Data Pura Producción'!$R$17:$R$531,$Q12,'Data Pura Producción'!$Q$17:$Q$531,$R12)=0,"",SUMIFS('Data Pura Producción'!AW$17:AW$531,'Data Pura Producción'!$R$17:$R$531,$Q12,'Data Pura Producción'!$Q$17:$Q$531,$R12)))</f>
        <v/>
      </c>
      <c r="AM12" s="337" t="str">
        <f>+IF($Q12="","",IF(SUMIFS('Data Pura Producción'!AX$17:AX$531,'Data Pura Producción'!$R$17:$R$531,$Q12,'Data Pura Producción'!$Q$17:$Q$531,$R12)=0,"",SUMIFS('Data Pura Producción'!AX$17:AX$531,'Data Pura Producción'!$R$17:$R$531,$Q12,'Data Pura Producción'!$Q$17:$Q$531,$R12)))</f>
        <v/>
      </c>
      <c r="AN12" s="187" t="str">
        <f t="shared" si="2"/>
        <v/>
      </c>
    </row>
    <row r="13" spans="2:40" s="6" customFormat="1" x14ac:dyDescent="0.35">
      <c r="B13" s="4" t="str">
        <f>+IF('Data Pura Costos'!B13="","",'Data Pura Costos'!B13)</f>
        <v>Los Encinos</v>
      </c>
      <c r="C13" s="4" t="str">
        <f>+IF('Data Pura Costos'!C13="","",'Data Pura Costos'!C13)</f>
        <v>Huechun, RM</v>
      </c>
      <c r="D13" s="5">
        <f>+IF('Data Pura Costos'!D13="","",'Data Pura Costos'!D13)</f>
        <v>85</v>
      </c>
      <c r="E13" s="65">
        <f>+IF('Data Pura Costos'!E13="","",IF('Data Pura Costos'!E13=0,MAX('Data Pura Costos'!$E$7:$E$3000)*1000,'Data Pura Costos'!E13))</f>
        <v>500000</v>
      </c>
      <c r="F13" s="5" t="str">
        <f>+IF('Data Pura Costos'!F13="","",'Data Pura Costos'!F13)</f>
        <v>Mostazal</v>
      </c>
      <c r="G13" s="5" t="str">
        <f>+IF('Data Pura Costos'!G13="","",'Data Pura Costos'!G13)</f>
        <v xml:space="preserve">CRISTIAN LÓPEZ </v>
      </c>
      <c r="H13" s="52" t="str">
        <f>+IF('Data Pura Costos'!H13="","",'Data Pura Costos'!H13)</f>
        <v>Termo</v>
      </c>
      <c r="I13" s="71">
        <f>+IF('Data Pura Costos'!I13="","",'Data Pura Costos'!I13)</f>
        <v>5882.3529411764703</v>
      </c>
      <c r="J13" s="52" t="str">
        <f>+IF('Data Pura Costos'!J13="","",'Data Pura Costos'!J13)</f>
        <v>24-25</v>
      </c>
      <c r="K13" s="82" t="str">
        <f t="shared" si="3"/>
        <v xml:space="preserve">Los Encinos-Mostazal-CRISTIAN LÓPEZ </v>
      </c>
      <c r="M13" s="4"/>
      <c r="N13" s="5" t="str">
        <f>+IF(M13="","",INDEX('Parámetros Auxiliares'!$D$7:$D$65,MATCH(M13,'Parámetros Auxiliares'!$D$7:$D$65,0)))</f>
        <v/>
      </c>
      <c r="O13" s="259"/>
      <c r="P13" s="1" t="str">
        <f t="shared" si="1"/>
        <v/>
      </c>
      <c r="Q13" s="185"/>
      <c r="R13" s="332"/>
      <c r="S13" s="336" t="str">
        <f>+IF($Q13="","",IF(SUMIFS('Data Pura Producción'!AD$17:AD$531,'Data Pura Producción'!$R$17:$R$531,$Q13,'Data Pura Producción'!$Q$17:$Q$531,$R13)=0,"",SUMIFS('Data Pura Producción'!AD$17:AD$531,'Data Pura Producción'!$R$17:$R$531,$Q13,'Data Pura Producción'!$Q$17:$Q$531,$R13)))</f>
        <v/>
      </c>
      <c r="T13" s="182" t="str">
        <f>+IF($Q13="","",IF(SUMIFS('Data Pura Producción'!AE$17:AE$531,'Data Pura Producción'!$R$17:$R$531,$Q13,'Data Pura Producción'!$Q$17:$Q$531,$R13)=0,"",SUMIFS('Data Pura Producción'!AE$17:AE$531,'Data Pura Producción'!$R$17:$R$531,$Q13,'Data Pura Producción'!$Q$17:$Q$531,$R13)))</f>
        <v/>
      </c>
      <c r="U13" s="182" t="str">
        <f>+IF($Q13="","",IF(SUMIFS('Data Pura Producción'!AF$17:AF$531,'Data Pura Producción'!$R$17:$R$531,$Q13,'Data Pura Producción'!$Q$17:$Q$531,$R13)=0,"",SUMIFS('Data Pura Producción'!AF$17:AF$531,'Data Pura Producción'!$R$17:$R$531,$Q13,'Data Pura Producción'!$Q$17:$Q$531,$R13)))</f>
        <v/>
      </c>
      <c r="V13" s="182" t="str">
        <f>+IF($Q13="","",IF(SUMIFS('Data Pura Producción'!AG$17:AG$531,'Data Pura Producción'!$R$17:$R$531,$Q13,'Data Pura Producción'!$Q$17:$Q$531,$R13)=0,"",SUMIFS('Data Pura Producción'!AG$17:AG$531,'Data Pura Producción'!$R$17:$R$531,$Q13,'Data Pura Producción'!$Q$17:$Q$531,$R13)))</f>
        <v/>
      </c>
      <c r="W13" s="182" t="str">
        <f>+IF($Q13="","",IF(SUMIFS('Data Pura Producción'!AH$17:AH$531,'Data Pura Producción'!$R$17:$R$531,$Q13,'Data Pura Producción'!$Q$17:$Q$531,$R13)=0,"",SUMIFS('Data Pura Producción'!AH$17:AH$531,'Data Pura Producción'!$R$17:$R$531,$Q13,'Data Pura Producción'!$Q$17:$Q$531,$R13)))</f>
        <v/>
      </c>
      <c r="X13" s="182" t="str">
        <f>+IF($Q13="","",IF(SUMIFS('Data Pura Producción'!AI$17:AI$531,'Data Pura Producción'!$R$17:$R$531,$Q13,'Data Pura Producción'!$Q$17:$Q$531,$R13)=0,"",SUMIFS('Data Pura Producción'!AI$17:AI$531,'Data Pura Producción'!$R$17:$R$531,$Q13,'Data Pura Producción'!$Q$17:$Q$531,$R13)))</f>
        <v/>
      </c>
      <c r="Y13" s="182" t="str">
        <f>+IF($Q13="","",IF(SUMIFS('Data Pura Producción'!AJ$17:AJ$531,'Data Pura Producción'!$R$17:$R$531,$Q13,'Data Pura Producción'!$Q$17:$Q$531,$R13)=0,"",SUMIFS('Data Pura Producción'!AJ$17:AJ$531,'Data Pura Producción'!$R$17:$R$531,$Q13,'Data Pura Producción'!$Q$17:$Q$531,$R13)))</f>
        <v/>
      </c>
      <c r="Z13" s="182" t="str">
        <f>+IF($Q13="","",IF(SUMIFS('Data Pura Producción'!AK$17:AK$531,'Data Pura Producción'!$R$17:$R$531,$Q13,'Data Pura Producción'!$Q$17:$Q$531,$R13)=0,"",SUMIFS('Data Pura Producción'!AK$17:AK$531,'Data Pura Producción'!$R$17:$R$531,$Q13,'Data Pura Producción'!$Q$17:$Q$531,$R13)))</f>
        <v/>
      </c>
      <c r="AA13" s="182" t="str">
        <f>+IF($Q13="","",IF(SUMIFS('Data Pura Producción'!AL$17:AL$531,'Data Pura Producción'!$R$17:$R$531,$Q13,'Data Pura Producción'!$Q$17:$Q$531,$R13)=0,"",SUMIFS('Data Pura Producción'!AL$17:AL$531,'Data Pura Producción'!$R$17:$R$531,$Q13,'Data Pura Producción'!$Q$17:$Q$531,$R13)))</f>
        <v/>
      </c>
      <c r="AB13" s="182" t="str">
        <f>+IF($Q13="","",IF(SUMIFS('Data Pura Producción'!AM$17:AM$531,'Data Pura Producción'!$R$17:$R$531,$Q13,'Data Pura Producción'!$Q$17:$Q$531,$R13)=0,"",SUMIFS('Data Pura Producción'!AM$17:AM$531,'Data Pura Producción'!$R$17:$R$531,$Q13,'Data Pura Producción'!$Q$17:$Q$531,$R13)))</f>
        <v/>
      </c>
      <c r="AC13" s="182" t="str">
        <f>+IF($Q13="","",IF(SUMIFS('Data Pura Producción'!AN$17:AN$531,'Data Pura Producción'!$R$17:$R$531,$Q13,'Data Pura Producción'!$Q$17:$Q$531,$R13)=0,"",SUMIFS('Data Pura Producción'!AN$17:AN$531,'Data Pura Producción'!$R$17:$R$531,$Q13,'Data Pura Producción'!$Q$17:$Q$531,$R13)))</f>
        <v/>
      </c>
      <c r="AD13" s="182" t="str">
        <f>+IF($Q13="","",IF(SUMIFS('Data Pura Producción'!AO$17:AO$531,'Data Pura Producción'!$R$17:$R$531,$Q13,'Data Pura Producción'!$Q$17:$Q$531,$R13)=0,"",SUMIFS('Data Pura Producción'!AO$17:AO$531,'Data Pura Producción'!$R$17:$R$531,$Q13,'Data Pura Producción'!$Q$17:$Q$531,$R13)))</f>
        <v/>
      </c>
      <c r="AE13" s="182" t="str">
        <f>+IF($Q13="","",IF(SUMIFS('Data Pura Producción'!AP$17:AP$531,'Data Pura Producción'!$R$17:$R$531,$Q13,'Data Pura Producción'!$Q$17:$Q$531,$R13)=0,"",SUMIFS('Data Pura Producción'!AP$17:AP$531,'Data Pura Producción'!$R$17:$R$531,$Q13,'Data Pura Producción'!$Q$17:$Q$531,$R13)))</f>
        <v/>
      </c>
      <c r="AF13" s="182" t="str">
        <f>+IF($Q13="","",IF(SUMIFS('Data Pura Producción'!AQ$17:AQ$531,'Data Pura Producción'!$R$17:$R$531,$Q13,'Data Pura Producción'!$Q$17:$Q$531,$R13)=0,"",SUMIFS('Data Pura Producción'!AQ$17:AQ$531,'Data Pura Producción'!$R$17:$R$531,$Q13,'Data Pura Producción'!$Q$17:$Q$531,$R13)))</f>
        <v/>
      </c>
      <c r="AG13" s="182" t="str">
        <f>+IF($Q13="","",IF(SUMIFS('Data Pura Producción'!AR$17:AR$531,'Data Pura Producción'!$R$17:$R$531,$Q13,'Data Pura Producción'!$Q$17:$Q$531,$R13)=0,"",SUMIFS('Data Pura Producción'!AR$17:AR$531,'Data Pura Producción'!$R$17:$R$531,$Q13,'Data Pura Producción'!$Q$17:$Q$531,$R13)))</f>
        <v/>
      </c>
      <c r="AH13" s="182" t="str">
        <f>+IF($Q13="","",IF(SUMIFS('Data Pura Producción'!AS$17:AS$531,'Data Pura Producción'!$R$17:$R$531,$Q13,'Data Pura Producción'!$Q$17:$Q$531,$R13)=0,"",SUMIFS('Data Pura Producción'!AS$17:AS$531,'Data Pura Producción'!$R$17:$R$531,$Q13,'Data Pura Producción'!$Q$17:$Q$531,$R13)))</f>
        <v/>
      </c>
      <c r="AI13" s="182" t="str">
        <f>+IF($Q13="","",IF(SUMIFS('Data Pura Producción'!AT$17:AT$531,'Data Pura Producción'!$R$17:$R$531,$Q13,'Data Pura Producción'!$Q$17:$Q$531,$R13)=0,"",SUMIFS('Data Pura Producción'!AT$17:AT$531,'Data Pura Producción'!$R$17:$R$531,$Q13,'Data Pura Producción'!$Q$17:$Q$531,$R13)))</f>
        <v/>
      </c>
      <c r="AJ13" s="182" t="str">
        <f>+IF($Q13="","",IF(SUMIFS('Data Pura Producción'!AU$17:AU$531,'Data Pura Producción'!$R$17:$R$531,$Q13,'Data Pura Producción'!$Q$17:$Q$531,$R13)=0,"",SUMIFS('Data Pura Producción'!AU$17:AU$531,'Data Pura Producción'!$R$17:$R$531,$Q13,'Data Pura Producción'!$Q$17:$Q$531,$R13)))</f>
        <v/>
      </c>
      <c r="AK13" s="182" t="str">
        <f>+IF($Q13="","",IF(SUMIFS('Data Pura Producción'!AV$17:AV$531,'Data Pura Producción'!$R$17:$R$531,$Q13,'Data Pura Producción'!$Q$17:$Q$531,$R13)=0,"",SUMIFS('Data Pura Producción'!AV$17:AV$531,'Data Pura Producción'!$R$17:$R$531,$Q13,'Data Pura Producción'!$Q$17:$Q$531,$R13)))</f>
        <v/>
      </c>
      <c r="AL13" s="182" t="str">
        <f>+IF($Q13="","",IF(SUMIFS('Data Pura Producción'!AW$17:AW$531,'Data Pura Producción'!$R$17:$R$531,$Q13,'Data Pura Producción'!$Q$17:$Q$531,$R13)=0,"",SUMIFS('Data Pura Producción'!AW$17:AW$531,'Data Pura Producción'!$R$17:$R$531,$Q13,'Data Pura Producción'!$Q$17:$Q$531,$R13)))</f>
        <v/>
      </c>
      <c r="AM13" s="337" t="str">
        <f>+IF($Q13="","",IF(SUMIFS('Data Pura Producción'!AX$17:AX$531,'Data Pura Producción'!$R$17:$R$531,$Q13,'Data Pura Producción'!$Q$17:$Q$531,$R13)=0,"",SUMIFS('Data Pura Producción'!AX$17:AX$531,'Data Pura Producción'!$R$17:$R$531,$Q13,'Data Pura Producción'!$Q$17:$Q$531,$R13)))</f>
        <v/>
      </c>
      <c r="AN13" s="187" t="str">
        <f t="shared" si="2"/>
        <v/>
      </c>
    </row>
    <row r="14" spans="2:40" s="6" customFormat="1" x14ac:dyDescent="0.35">
      <c r="B14" s="4" t="str">
        <f>+IF('Data Pura Costos'!B14="","",'Data Pura Costos'!B14)</f>
        <v>Panquehue</v>
      </c>
      <c r="C14" s="4" t="str">
        <f>+IF('Data Pura Costos'!C14="","",'Data Pura Costos'!C14)</f>
        <v>Panquehue, V región</v>
      </c>
      <c r="D14" s="5">
        <f>+IF('Data Pura Costos'!D14="","",'Data Pura Costos'!D14)</f>
        <v>165</v>
      </c>
      <c r="E14" s="65">
        <f>+IF('Data Pura Costos'!E14="","",IF('Data Pura Costos'!E14=0,MAX('Data Pura Costos'!$E$7:$E$3000)*1000,'Data Pura Costos'!E14))</f>
        <v>550000</v>
      </c>
      <c r="F14" s="5" t="str">
        <f>+IF('Data Pura Costos'!F14="","",'Data Pura Costos'!F14)</f>
        <v>Mostazal</v>
      </c>
      <c r="G14" s="5" t="str">
        <f>+IF('Data Pura Costos'!G14="","",'Data Pura Costos'!G14)</f>
        <v xml:space="preserve">CRISTIAN LÓPEZ </v>
      </c>
      <c r="H14" s="52" t="str">
        <f>+IF('Data Pura Costos'!H14="","",'Data Pura Costos'!H14)</f>
        <v>Termo</v>
      </c>
      <c r="I14" s="71">
        <f>+IF('Data Pura Costos'!I14="","",'Data Pura Costos'!I14)</f>
        <v>3333.3333333333335</v>
      </c>
      <c r="J14" s="52" t="str">
        <f>+IF('Data Pura Costos'!J14="","",'Data Pura Costos'!J14)</f>
        <v>24-25</v>
      </c>
      <c r="K14" s="82" t="str">
        <f t="shared" si="3"/>
        <v xml:space="preserve">Panquehue-Mostazal-CRISTIAN LÓPEZ </v>
      </c>
      <c r="M14" s="4"/>
      <c r="N14" s="5" t="str">
        <f>+IF(M14="","",INDEX('Parámetros Auxiliares'!$D$7:$D$65,MATCH(M14,'Parámetros Auxiliares'!$D$7:$D$65,0)))</f>
        <v/>
      </c>
      <c r="O14" s="259"/>
      <c r="P14" s="1" t="str">
        <f t="shared" si="1"/>
        <v/>
      </c>
      <c r="Q14" s="185"/>
      <c r="R14" s="332"/>
      <c r="S14" s="336" t="str">
        <f>+IF($Q14="","",IF(SUMIFS('Data Pura Producción'!AD$17:AD$531,'Data Pura Producción'!$R$17:$R$531,$Q14,'Data Pura Producción'!$Q$17:$Q$531,$R14)=0,"",SUMIFS('Data Pura Producción'!AD$17:AD$531,'Data Pura Producción'!$R$17:$R$531,$Q14,'Data Pura Producción'!$Q$17:$Q$531,$R14)))</f>
        <v/>
      </c>
      <c r="T14" s="182" t="str">
        <f>+IF($Q14="","",IF(SUMIFS('Data Pura Producción'!AE$17:AE$531,'Data Pura Producción'!$R$17:$R$531,$Q14,'Data Pura Producción'!$Q$17:$Q$531,$R14)=0,"",SUMIFS('Data Pura Producción'!AE$17:AE$531,'Data Pura Producción'!$R$17:$R$531,$Q14,'Data Pura Producción'!$Q$17:$Q$531,$R14)))</f>
        <v/>
      </c>
      <c r="U14" s="182" t="str">
        <f>+IF($Q14="","",IF(SUMIFS('Data Pura Producción'!AF$17:AF$531,'Data Pura Producción'!$R$17:$R$531,$Q14,'Data Pura Producción'!$Q$17:$Q$531,$R14)=0,"",SUMIFS('Data Pura Producción'!AF$17:AF$531,'Data Pura Producción'!$R$17:$R$531,$Q14,'Data Pura Producción'!$Q$17:$Q$531,$R14)))</f>
        <v/>
      </c>
      <c r="V14" s="182" t="str">
        <f>+IF($Q14="","",IF(SUMIFS('Data Pura Producción'!AG$17:AG$531,'Data Pura Producción'!$R$17:$R$531,$Q14,'Data Pura Producción'!$Q$17:$Q$531,$R14)=0,"",SUMIFS('Data Pura Producción'!AG$17:AG$531,'Data Pura Producción'!$R$17:$R$531,$Q14,'Data Pura Producción'!$Q$17:$Q$531,$R14)))</f>
        <v/>
      </c>
      <c r="W14" s="182" t="str">
        <f>+IF($Q14="","",IF(SUMIFS('Data Pura Producción'!AH$17:AH$531,'Data Pura Producción'!$R$17:$R$531,$Q14,'Data Pura Producción'!$Q$17:$Q$531,$R14)=0,"",SUMIFS('Data Pura Producción'!AH$17:AH$531,'Data Pura Producción'!$R$17:$R$531,$Q14,'Data Pura Producción'!$Q$17:$Q$531,$R14)))</f>
        <v/>
      </c>
      <c r="X14" s="182" t="str">
        <f>+IF($Q14="","",IF(SUMIFS('Data Pura Producción'!AI$17:AI$531,'Data Pura Producción'!$R$17:$R$531,$Q14,'Data Pura Producción'!$Q$17:$Q$531,$R14)=0,"",SUMIFS('Data Pura Producción'!AI$17:AI$531,'Data Pura Producción'!$R$17:$R$531,$Q14,'Data Pura Producción'!$Q$17:$Q$531,$R14)))</f>
        <v/>
      </c>
      <c r="Y14" s="182" t="str">
        <f>+IF($Q14="","",IF(SUMIFS('Data Pura Producción'!AJ$17:AJ$531,'Data Pura Producción'!$R$17:$R$531,$Q14,'Data Pura Producción'!$Q$17:$Q$531,$R14)=0,"",SUMIFS('Data Pura Producción'!AJ$17:AJ$531,'Data Pura Producción'!$R$17:$R$531,$Q14,'Data Pura Producción'!$Q$17:$Q$531,$R14)))</f>
        <v/>
      </c>
      <c r="Z14" s="182" t="str">
        <f>+IF($Q14="","",IF(SUMIFS('Data Pura Producción'!AK$17:AK$531,'Data Pura Producción'!$R$17:$R$531,$Q14,'Data Pura Producción'!$Q$17:$Q$531,$R14)=0,"",SUMIFS('Data Pura Producción'!AK$17:AK$531,'Data Pura Producción'!$R$17:$R$531,$Q14,'Data Pura Producción'!$Q$17:$Q$531,$R14)))</f>
        <v/>
      </c>
      <c r="AA14" s="182" t="str">
        <f>+IF($Q14="","",IF(SUMIFS('Data Pura Producción'!AL$17:AL$531,'Data Pura Producción'!$R$17:$R$531,$Q14,'Data Pura Producción'!$Q$17:$Q$531,$R14)=0,"",SUMIFS('Data Pura Producción'!AL$17:AL$531,'Data Pura Producción'!$R$17:$R$531,$Q14,'Data Pura Producción'!$Q$17:$Q$531,$R14)))</f>
        <v/>
      </c>
      <c r="AB14" s="182" t="str">
        <f>+IF($Q14="","",IF(SUMIFS('Data Pura Producción'!AM$17:AM$531,'Data Pura Producción'!$R$17:$R$531,$Q14,'Data Pura Producción'!$Q$17:$Q$531,$R14)=0,"",SUMIFS('Data Pura Producción'!AM$17:AM$531,'Data Pura Producción'!$R$17:$R$531,$Q14,'Data Pura Producción'!$Q$17:$Q$531,$R14)))</f>
        <v/>
      </c>
      <c r="AC14" s="182" t="str">
        <f>+IF($Q14="","",IF(SUMIFS('Data Pura Producción'!AN$17:AN$531,'Data Pura Producción'!$R$17:$R$531,$Q14,'Data Pura Producción'!$Q$17:$Q$531,$R14)=0,"",SUMIFS('Data Pura Producción'!AN$17:AN$531,'Data Pura Producción'!$R$17:$R$531,$Q14,'Data Pura Producción'!$Q$17:$Q$531,$R14)))</f>
        <v/>
      </c>
      <c r="AD14" s="182" t="str">
        <f>+IF($Q14="","",IF(SUMIFS('Data Pura Producción'!AO$17:AO$531,'Data Pura Producción'!$R$17:$R$531,$Q14,'Data Pura Producción'!$Q$17:$Q$531,$R14)=0,"",SUMIFS('Data Pura Producción'!AO$17:AO$531,'Data Pura Producción'!$R$17:$R$531,$Q14,'Data Pura Producción'!$Q$17:$Q$531,$R14)))</f>
        <v/>
      </c>
      <c r="AE14" s="182" t="str">
        <f>+IF($Q14="","",IF(SUMIFS('Data Pura Producción'!AP$17:AP$531,'Data Pura Producción'!$R$17:$R$531,$Q14,'Data Pura Producción'!$Q$17:$Q$531,$R14)=0,"",SUMIFS('Data Pura Producción'!AP$17:AP$531,'Data Pura Producción'!$R$17:$R$531,$Q14,'Data Pura Producción'!$Q$17:$Q$531,$R14)))</f>
        <v/>
      </c>
      <c r="AF14" s="182" t="str">
        <f>+IF($Q14="","",IF(SUMIFS('Data Pura Producción'!AQ$17:AQ$531,'Data Pura Producción'!$R$17:$R$531,$Q14,'Data Pura Producción'!$Q$17:$Q$531,$R14)=0,"",SUMIFS('Data Pura Producción'!AQ$17:AQ$531,'Data Pura Producción'!$R$17:$R$531,$Q14,'Data Pura Producción'!$Q$17:$Q$531,$R14)))</f>
        <v/>
      </c>
      <c r="AG14" s="182" t="str">
        <f>+IF($Q14="","",IF(SUMIFS('Data Pura Producción'!AR$17:AR$531,'Data Pura Producción'!$R$17:$R$531,$Q14,'Data Pura Producción'!$Q$17:$Q$531,$R14)=0,"",SUMIFS('Data Pura Producción'!AR$17:AR$531,'Data Pura Producción'!$R$17:$R$531,$Q14,'Data Pura Producción'!$Q$17:$Q$531,$R14)))</f>
        <v/>
      </c>
      <c r="AH14" s="182" t="str">
        <f>+IF($Q14="","",IF(SUMIFS('Data Pura Producción'!AS$17:AS$531,'Data Pura Producción'!$R$17:$R$531,$Q14,'Data Pura Producción'!$Q$17:$Q$531,$R14)=0,"",SUMIFS('Data Pura Producción'!AS$17:AS$531,'Data Pura Producción'!$R$17:$R$531,$Q14,'Data Pura Producción'!$Q$17:$Q$531,$R14)))</f>
        <v/>
      </c>
      <c r="AI14" s="182" t="str">
        <f>+IF($Q14="","",IF(SUMIFS('Data Pura Producción'!AT$17:AT$531,'Data Pura Producción'!$R$17:$R$531,$Q14,'Data Pura Producción'!$Q$17:$Q$531,$R14)=0,"",SUMIFS('Data Pura Producción'!AT$17:AT$531,'Data Pura Producción'!$R$17:$R$531,$Q14,'Data Pura Producción'!$Q$17:$Q$531,$R14)))</f>
        <v/>
      </c>
      <c r="AJ14" s="182" t="str">
        <f>+IF($Q14="","",IF(SUMIFS('Data Pura Producción'!AU$17:AU$531,'Data Pura Producción'!$R$17:$R$531,$Q14,'Data Pura Producción'!$Q$17:$Q$531,$R14)=0,"",SUMIFS('Data Pura Producción'!AU$17:AU$531,'Data Pura Producción'!$R$17:$R$531,$Q14,'Data Pura Producción'!$Q$17:$Q$531,$R14)))</f>
        <v/>
      </c>
      <c r="AK14" s="182" t="str">
        <f>+IF($Q14="","",IF(SUMIFS('Data Pura Producción'!AV$17:AV$531,'Data Pura Producción'!$R$17:$R$531,$Q14,'Data Pura Producción'!$Q$17:$Q$531,$R14)=0,"",SUMIFS('Data Pura Producción'!AV$17:AV$531,'Data Pura Producción'!$R$17:$R$531,$Q14,'Data Pura Producción'!$Q$17:$Q$531,$R14)))</f>
        <v/>
      </c>
      <c r="AL14" s="182" t="str">
        <f>+IF($Q14="","",IF(SUMIFS('Data Pura Producción'!AW$17:AW$531,'Data Pura Producción'!$R$17:$R$531,$Q14,'Data Pura Producción'!$Q$17:$Q$531,$R14)=0,"",SUMIFS('Data Pura Producción'!AW$17:AW$531,'Data Pura Producción'!$R$17:$R$531,$Q14,'Data Pura Producción'!$Q$17:$Q$531,$R14)))</f>
        <v/>
      </c>
      <c r="AM14" s="337" t="str">
        <f>+IF($Q14="","",IF(SUMIFS('Data Pura Producción'!AX$17:AX$531,'Data Pura Producción'!$R$17:$R$531,$Q14,'Data Pura Producción'!$Q$17:$Q$531,$R14)=0,"",SUMIFS('Data Pura Producción'!AX$17:AX$531,'Data Pura Producción'!$R$17:$R$531,$Q14,'Data Pura Producción'!$Q$17:$Q$531,$R14)))</f>
        <v/>
      </c>
      <c r="AN14" s="187" t="str">
        <f t="shared" si="2"/>
        <v/>
      </c>
    </row>
    <row r="15" spans="2:40" s="6" customFormat="1" x14ac:dyDescent="0.35">
      <c r="B15" s="4" t="str">
        <f>+IF('Data Pura Costos'!B15="","",'Data Pura Costos'!B15)</f>
        <v>Almahue</v>
      </c>
      <c r="C15" s="4" t="str">
        <f>+IF('Data Pura Costos'!C15="","",'Data Pura Costos'!C15)</f>
        <v>Pichidegua, VI región</v>
      </c>
      <c r="D15" s="5">
        <f>+IF('Data Pura Costos'!D15="","",'Data Pura Costos'!D15)</f>
        <v>134</v>
      </c>
      <c r="E15" s="65">
        <f>+IF('Data Pura Costos'!E15="","",IF('Data Pura Costos'!E15=0,MAX('Data Pura Costos'!$E$7:$E$3000)*1000,'Data Pura Costos'!E15))</f>
        <v>500000</v>
      </c>
      <c r="F15" s="5" t="str">
        <f>+IF('Data Pura Costos'!F15="","",'Data Pura Costos'!F15)</f>
        <v>Molina</v>
      </c>
      <c r="G15" s="5" t="str">
        <f>+IF('Data Pura Costos'!G15="","",'Data Pura Costos'!G15)</f>
        <v xml:space="preserve">CRISTIAN LÓPEZ </v>
      </c>
      <c r="H15" s="52" t="str">
        <f>+IF('Data Pura Costos'!H15="","",'Data Pura Costos'!H15)</f>
        <v>Termo</v>
      </c>
      <c r="I15" s="71">
        <f>+IF('Data Pura Costos'!I15="","",'Data Pura Costos'!I15)</f>
        <v>3731.3432835820895</v>
      </c>
      <c r="J15" s="52" t="str">
        <f>+IF('Data Pura Costos'!J15="","",'Data Pura Costos'!J15)</f>
        <v>24-25</v>
      </c>
      <c r="K15" s="82" t="str">
        <f t="shared" si="3"/>
        <v xml:space="preserve">Almahue-Molina-CRISTIAN LÓPEZ </v>
      </c>
      <c r="M15" s="4"/>
      <c r="N15" s="5" t="str">
        <f>+IF(M15="","",INDEX('Parámetros Auxiliares'!$D$7:$D$65,MATCH(M15,'Parámetros Auxiliares'!$D$7:$D$65,0)))</f>
        <v/>
      </c>
      <c r="O15" s="259"/>
      <c r="P15" s="1" t="str">
        <f t="shared" si="1"/>
        <v/>
      </c>
      <c r="Q15" s="185"/>
      <c r="R15" s="332"/>
      <c r="S15" s="336" t="str">
        <f>+IF($Q15="","",IF(SUMIFS('Data Pura Producción'!AD$17:AD$531,'Data Pura Producción'!$R$17:$R$531,$Q15,'Data Pura Producción'!$Q$17:$Q$531,$R15)=0,"",SUMIFS('Data Pura Producción'!AD$17:AD$531,'Data Pura Producción'!$R$17:$R$531,$Q15,'Data Pura Producción'!$Q$17:$Q$531,$R15)))</f>
        <v/>
      </c>
      <c r="T15" s="182" t="str">
        <f>+IF($Q15="","",IF(SUMIFS('Data Pura Producción'!AE$17:AE$531,'Data Pura Producción'!$R$17:$R$531,$Q15,'Data Pura Producción'!$Q$17:$Q$531,$R15)=0,"",SUMIFS('Data Pura Producción'!AE$17:AE$531,'Data Pura Producción'!$R$17:$R$531,$Q15,'Data Pura Producción'!$Q$17:$Q$531,$R15)))</f>
        <v/>
      </c>
      <c r="U15" s="182" t="str">
        <f>+IF($Q15="","",IF(SUMIFS('Data Pura Producción'!AF$17:AF$531,'Data Pura Producción'!$R$17:$R$531,$Q15,'Data Pura Producción'!$Q$17:$Q$531,$R15)=0,"",SUMIFS('Data Pura Producción'!AF$17:AF$531,'Data Pura Producción'!$R$17:$R$531,$Q15,'Data Pura Producción'!$Q$17:$Q$531,$R15)))</f>
        <v/>
      </c>
      <c r="V15" s="182" t="str">
        <f>+IF($Q15="","",IF(SUMIFS('Data Pura Producción'!AG$17:AG$531,'Data Pura Producción'!$R$17:$R$531,$Q15,'Data Pura Producción'!$Q$17:$Q$531,$R15)=0,"",SUMIFS('Data Pura Producción'!AG$17:AG$531,'Data Pura Producción'!$R$17:$R$531,$Q15,'Data Pura Producción'!$Q$17:$Q$531,$R15)))</f>
        <v/>
      </c>
      <c r="W15" s="182" t="str">
        <f>+IF($Q15="","",IF(SUMIFS('Data Pura Producción'!AH$17:AH$531,'Data Pura Producción'!$R$17:$R$531,$Q15,'Data Pura Producción'!$Q$17:$Q$531,$R15)=0,"",SUMIFS('Data Pura Producción'!AH$17:AH$531,'Data Pura Producción'!$R$17:$R$531,$Q15,'Data Pura Producción'!$Q$17:$Q$531,$R15)))</f>
        <v/>
      </c>
      <c r="X15" s="182" t="str">
        <f>+IF($Q15="","",IF(SUMIFS('Data Pura Producción'!AI$17:AI$531,'Data Pura Producción'!$R$17:$R$531,$Q15,'Data Pura Producción'!$Q$17:$Q$531,$R15)=0,"",SUMIFS('Data Pura Producción'!AI$17:AI$531,'Data Pura Producción'!$R$17:$R$531,$Q15,'Data Pura Producción'!$Q$17:$Q$531,$R15)))</f>
        <v/>
      </c>
      <c r="Y15" s="182" t="str">
        <f>+IF($Q15="","",IF(SUMIFS('Data Pura Producción'!AJ$17:AJ$531,'Data Pura Producción'!$R$17:$R$531,$Q15,'Data Pura Producción'!$Q$17:$Q$531,$R15)=0,"",SUMIFS('Data Pura Producción'!AJ$17:AJ$531,'Data Pura Producción'!$R$17:$R$531,$Q15,'Data Pura Producción'!$Q$17:$Q$531,$R15)))</f>
        <v/>
      </c>
      <c r="Z15" s="182" t="str">
        <f>+IF($Q15="","",IF(SUMIFS('Data Pura Producción'!AK$17:AK$531,'Data Pura Producción'!$R$17:$R$531,$Q15,'Data Pura Producción'!$Q$17:$Q$531,$R15)=0,"",SUMIFS('Data Pura Producción'!AK$17:AK$531,'Data Pura Producción'!$R$17:$R$531,$Q15,'Data Pura Producción'!$Q$17:$Q$531,$R15)))</f>
        <v/>
      </c>
      <c r="AA15" s="182" t="str">
        <f>+IF($Q15="","",IF(SUMIFS('Data Pura Producción'!AL$17:AL$531,'Data Pura Producción'!$R$17:$R$531,$Q15,'Data Pura Producción'!$Q$17:$Q$531,$R15)=0,"",SUMIFS('Data Pura Producción'!AL$17:AL$531,'Data Pura Producción'!$R$17:$R$531,$Q15,'Data Pura Producción'!$Q$17:$Q$531,$R15)))</f>
        <v/>
      </c>
      <c r="AB15" s="182" t="str">
        <f>+IF($Q15="","",IF(SUMIFS('Data Pura Producción'!AM$17:AM$531,'Data Pura Producción'!$R$17:$R$531,$Q15,'Data Pura Producción'!$Q$17:$Q$531,$R15)=0,"",SUMIFS('Data Pura Producción'!AM$17:AM$531,'Data Pura Producción'!$R$17:$R$531,$Q15,'Data Pura Producción'!$Q$17:$Q$531,$R15)))</f>
        <v/>
      </c>
      <c r="AC15" s="182" t="str">
        <f>+IF($Q15="","",IF(SUMIFS('Data Pura Producción'!AN$17:AN$531,'Data Pura Producción'!$R$17:$R$531,$Q15,'Data Pura Producción'!$Q$17:$Q$531,$R15)=0,"",SUMIFS('Data Pura Producción'!AN$17:AN$531,'Data Pura Producción'!$R$17:$R$531,$Q15,'Data Pura Producción'!$Q$17:$Q$531,$R15)))</f>
        <v/>
      </c>
      <c r="AD15" s="182" t="str">
        <f>+IF($Q15="","",IF(SUMIFS('Data Pura Producción'!AO$17:AO$531,'Data Pura Producción'!$R$17:$R$531,$Q15,'Data Pura Producción'!$Q$17:$Q$531,$R15)=0,"",SUMIFS('Data Pura Producción'!AO$17:AO$531,'Data Pura Producción'!$R$17:$R$531,$Q15,'Data Pura Producción'!$Q$17:$Q$531,$R15)))</f>
        <v/>
      </c>
      <c r="AE15" s="182" t="str">
        <f>+IF($Q15="","",IF(SUMIFS('Data Pura Producción'!AP$17:AP$531,'Data Pura Producción'!$R$17:$R$531,$Q15,'Data Pura Producción'!$Q$17:$Q$531,$R15)=0,"",SUMIFS('Data Pura Producción'!AP$17:AP$531,'Data Pura Producción'!$R$17:$R$531,$Q15,'Data Pura Producción'!$Q$17:$Q$531,$R15)))</f>
        <v/>
      </c>
      <c r="AF15" s="182" t="str">
        <f>+IF($Q15="","",IF(SUMIFS('Data Pura Producción'!AQ$17:AQ$531,'Data Pura Producción'!$R$17:$R$531,$Q15,'Data Pura Producción'!$Q$17:$Q$531,$R15)=0,"",SUMIFS('Data Pura Producción'!AQ$17:AQ$531,'Data Pura Producción'!$R$17:$R$531,$Q15,'Data Pura Producción'!$Q$17:$Q$531,$R15)))</f>
        <v/>
      </c>
      <c r="AG15" s="182" t="str">
        <f>+IF($Q15="","",IF(SUMIFS('Data Pura Producción'!AR$17:AR$531,'Data Pura Producción'!$R$17:$R$531,$Q15,'Data Pura Producción'!$Q$17:$Q$531,$R15)=0,"",SUMIFS('Data Pura Producción'!AR$17:AR$531,'Data Pura Producción'!$R$17:$R$531,$Q15,'Data Pura Producción'!$Q$17:$Q$531,$R15)))</f>
        <v/>
      </c>
      <c r="AH15" s="182" t="str">
        <f>+IF($Q15="","",IF(SUMIFS('Data Pura Producción'!AS$17:AS$531,'Data Pura Producción'!$R$17:$R$531,$Q15,'Data Pura Producción'!$Q$17:$Q$531,$R15)=0,"",SUMIFS('Data Pura Producción'!AS$17:AS$531,'Data Pura Producción'!$R$17:$R$531,$Q15,'Data Pura Producción'!$Q$17:$Q$531,$R15)))</f>
        <v/>
      </c>
      <c r="AI15" s="182" t="str">
        <f>+IF($Q15="","",IF(SUMIFS('Data Pura Producción'!AT$17:AT$531,'Data Pura Producción'!$R$17:$R$531,$Q15,'Data Pura Producción'!$Q$17:$Q$531,$R15)=0,"",SUMIFS('Data Pura Producción'!AT$17:AT$531,'Data Pura Producción'!$R$17:$R$531,$Q15,'Data Pura Producción'!$Q$17:$Q$531,$R15)))</f>
        <v/>
      </c>
      <c r="AJ15" s="182" t="str">
        <f>+IF($Q15="","",IF(SUMIFS('Data Pura Producción'!AU$17:AU$531,'Data Pura Producción'!$R$17:$R$531,$Q15,'Data Pura Producción'!$Q$17:$Q$531,$R15)=0,"",SUMIFS('Data Pura Producción'!AU$17:AU$531,'Data Pura Producción'!$R$17:$R$531,$Q15,'Data Pura Producción'!$Q$17:$Q$531,$R15)))</f>
        <v/>
      </c>
      <c r="AK15" s="182" t="str">
        <f>+IF($Q15="","",IF(SUMIFS('Data Pura Producción'!AV$17:AV$531,'Data Pura Producción'!$R$17:$R$531,$Q15,'Data Pura Producción'!$Q$17:$Q$531,$R15)=0,"",SUMIFS('Data Pura Producción'!AV$17:AV$531,'Data Pura Producción'!$R$17:$R$531,$Q15,'Data Pura Producción'!$Q$17:$Q$531,$R15)))</f>
        <v/>
      </c>
      <c r="AL15" s="182" t="str">
        <f>+IF($Q15="","",IF(SUMIFS('Data Pura Producción'!AW$17:AW$531,'Data Pura Producción'!$R$17:$R$531,$Q15,'Data Pura Producción'!$Q$17:$Q$531,$R15)=0,"",SUMIFS('Data Pura Producción'!AW$17:AW$531,'Data Pura Producción'!$R$17:$R$531,$Q15,'Data Pura Producción'!$Q$17:$Q$531,$R15)))</f>
        <v/>
      </c>
      <c r="AM15" s="337" t="str">
        <f>+IF($Q15="","",IF(SUMIFS('Data Pura Producción'!AX$17:AX$531,'Data Pura Producción'!$R$17:$R$531,$Q15,'Data Pura Producción'!$Q$17:$Q$531,$R15)=0,"",SUMIFS('Data Pura Producción'!AX$17:AX$531,'Data Pura Producción'!$R$17:$R$531,$Q15,'Data Pura Producción'!$Q$17:$Q$531,$R15)))</f>
        <v/>
      </c>
      <c r="AN15" s="187" t="str">
        <f t="shared" si="2"/>
        <v/>
      </c>
    </row>
    <row r="16" spans="2:40" s="6" customFormat="1" x14ac:dyDescent="0.35">
      <c r="B16" s="4" t="str">
        <f>+IF('Data Pura Costos'!B16="","",'Data Pura Costos'!B16)</f>
        <v>Bodega</v>
      </c>
      <c r="C16" s="4" t="str">
        <f>+IF('Data Pura Costos'!C16="","",'Data Pura Costos'!C16)</f>
        <v>Linares, VII region.</v>
      </c>
      <c r="D16" s="5">
        <f>+IF('Data Pura Costos'!D16="","",'Data Pura Costos'!D16)</f>
        <v>123</v>
      </c>
      <c r="E16" s="65">
        <f>+IF('Data Pura Costos'!E16="","",IF('Data Pura Costos'!E16=0,MAX('Data Pura Costos'!$E$7:$E$3000)*1000,'Data Pura Costos'!E16))</f>
        <v>500000</v>
      </c>
      <c r="F16" s="5" t="str">
        <f>+IF('Data Pura Costos'!F16="","",'Data Pura Costos'!F16)</f>
        <v>Molina</v>
      </c>
      <c r="G16" s="5" t="str">
        <f>+IF('Data Pura Costos'!G16="","",'Data Pura Costos'!G16)</f>
        <v xml:space="preserve">CRISTIAN LÓPEZ </v>
      </c>
      <c r="H16" s="52" t="str">
        <f>+IF('Data Pura Costos'!H16="","",'Data Pura Costos'!H16)</f>
        <v>Termo</v>
      </c>
      <c r="I16" s="71">
        <f>+IF('Data Pura Costos'!I16="","",'Data Pura Costos'!I16)</f>
        <v>4065.040650406504</v>
      </c>
      <c r="J16" s="52" t="str">
        <f>+IF('Data Pura Costos'!J16="","",'Data Pura Costos'!J16)</f>
        <v>24-25</v>
      </c>
      <c r="K16" s="82" t="str">
        <f t="shared" si="3"/>
        <v xml:space="preserve">Bodega-Molina-CRISTIAN LÓPEZ </v>
      </c>
      <c r="M16" s="4"/>
      <c r="N16" s="5" t="str">
        <f>+IF(M16="","",INDEX('Parámetros Auxiliares'!$D$7:$D$65,MATCH(M16,'Parámetros Auxiliares'!$D$7:$D$65,0)))</f>
        <v/>
      </c>
      <c r="O16" s="259"/>
      <c r="P16" s="1" t="str">
        <f t="shared" si="1"/>
        <v/>
      </c>
      <c r="Q16" s="185"/>
      <c r="R16" s="332"/>
      <c r="S16" s="336" t="str">
        <f>+IF($Q16="","",IF(SUMIFS('Data Pura Producción'!AD$17:AD$531,'Data Pura Producción'!$R$17:$R$531,$Q16,'Data Pura Producción'!$Q$17:$Q$531,$R16)=0,"",SUMIFS('Data Pura Producción'!AD$17:AD$531,'Data Pura Producción'!$R$17:$R$531,$Q16,'Data Pura Producción'!$Q$17:$Q$531,$R16)))</f>
        <v/>
      </c>
      <c r="T16" s="182" t="str">
        <f>+IF($Q16="","",IF(SUMIFS('Data Pura Producción'!AE$17:AE$531,'Data Pura Producción'!$R$17:$R$531,$Q16,'Data Pura Producción'!$Q$17:$Q$531,$R16)=0,"",SUMIFS('Data Pura Producción'!AE$17:AE$531,'Data Pura Producción'!$R$17:$R$531,$Q16,'Data Pura Producción'!$Q$17:$Q$531,$R16)))</f>
        <v/>
      </c>
      <c r="U16" s="182" t="str">
        <f>+IF($Q16="","",IF(SUMIFS('Data Pura Producción'!AF$17:AF$531,'Data Pura Producción'!$R$17:$R$531,$Q16,'Data Pura Producción'!$Q$17:$Q$531,$R16)=0,"",SUMIFS('Data Pura Producción'!AF$17:AF$531,'Data Pura Producción'!$R$17:$R$531,$Q16,'Data Pura Producción'!$Q$17:$Q$531,$R16)))</f>
        <v/>
      </c>
      <c r="V16" s="182" t="str">
        <f>+IF($Q16="","",IF(SUMIFS('Data Pura Producción'!AG$17:AG$531,'Data Pura Producción'!$R$17:$R$531,$Q16,'Data Pura Producción'!$Q$17:$Q$531,$R16)=0,"",SUMIFS('Data Pura Producción'!AG$17:AG$531,'Data Pura Producción'!$R$17:$R$531,$Q16,'Data Pura Producción'!$Q$17:$Q$531,$R16)))</f>
        <v/>
      </c>
      <c r="W16" s="182" t="str">
        <f>+IF($Q16="","",IF(SUMIFS('Data Pura Producción'!AH$17:AH$531,'Data Pura Producción'!$R$17:$R$531,$Q16,'Data Pura Producción'!$Q$17:$Q$531,$R16)=0,"",SUMIFS('Data Pura Producción'!AH$17:AH$531,'Data Pura Producción'!$R$17:$R$531,$Q16,'Data Pura Producción'!$Q$17:$Q$531,$R16)))</f>
        <v/>
      </c>
      <c r="X16" s="182" t="str">
        <f>+IF($Q16="","",IF(SUMIFS('Data Pura Producción'!AI$17:AI$531,'Data Pura Producción'!$R$17:$R$531,$Q16,'Data Pura Producción'!$Q$17:$Q$531,$R16)=0,"",SUMIFS('Data Pura Producción'!AI$17:AI$531,'Data Pura Producción'!$R$17:$R$531,$Q16,'Data Pura Producción'!$Q$17:$Q$531,$R16)))</f>
        <v/>
      </c>
      <c r="Y16" s="182" t="str">
        <f>+IF($Q16="","",IF(SUMIFS('Data Pura Producción'!AJ$17:AJ$531,'Data Pura Producción'!$R$17:$R$531,$Q16,'Data Pura Producción'!$Q$17:$Q$531,$R16)=0,"",SUMIFS('Data Pura Producción'!AJ$17:AJ$531,'Data Pura Producción'!$R$17:$R$531,$Q16,'Data Pura Producción'!$Q$17:$Q$531,$R16)))</f>
        <v/>
      </c>
      <c r="Z16" s="182" t="str">
        <f>+IF($Q16="","",IF(SUMIFS('Data Pura Producción'!AK$17:AK$531,'Data Pura Producción'!$R$17:$R$531,$Q16,'Data Pura Producción'!$Q$17:$Q$531,$R16)=0,"",SUMIFS('Data Pura Producción'!AK$17:AK$531,'Data Pura Producción'!$R$17:$R$531,$Q16,'Data Pura Producción'!$Q$17:$Q$531,$R16)))</f>
        <v/>
      </c>
      <c r="AA16" s="182" t="str">
        <f>+IF($Q16="","",IF(SUMIFS('Data Pura Producción'!AL$17:AL$531,'Data Pura Producción'!$R$17:$R$531,$Q16,'Data Pura Producción'!$Q$17:$Q$531,$R16)=0,"",SUMIFS('Data Pura Producción'!AL$17:AL$531,'Data Pura Producción'!$R$17:$R$531,$Q16,'Data Pura Producción'!$Q$17:$Q$531,$R16)))</f>
        <v/>
      </c>
      <c r="AB16" s="182" t="str">
        <f>+IF($Q16="","",IF(SUMIFS('Data Pura Producción'!AM$17:AM$531,'Data Pura Producción'!$R$17:$R$531,$Q16,'Data Pura Producción'!$Q$17:$Q$531,$R16)=0,"",SUMIFS('Data Pura Producción'!AM$17:AM$531,'Data Pura Producción'!$R$17:$R$531,$Q16,'Data Pura Producción'!$Q$17:$Q$531,$R16)))</f>
        <v/>
      </c>
      <c r="AC16" s="182" t="str">
        <f>+IF($Q16="","",IF(SUMIFS('Data Pura Producción'!AN$17:AN$531,'Data Pura Producción'!$R$17:$R$531,$Q16,'Data Pura Producción'!$Q$17:$Q$531,$R16)=0,"",SUMIFS('Data Pura Producción'!AN$17:AN$531,'Data Pura Producción'!$R$17:$R$531,$Q16,'Data Pura Producción'!$Q$17:$Q$531,$R16)))</f>
        <v/>
      </c>
      <c r="AD16" s="182" t="str">
        <f>+IF($Q16="","",IF(SUMIFS('Data Pura Producción'!AO$17:AO$531,'Data Pura Producción'!$R$17:$R$531,$Q16,'Data Pura Producción'!$Q$17:$Q$531,$R16)=0,"",SUMIFS('Data Pura Producción'!AO$17:AO$531,'Data Pura Producción'!$R$17:$R$531,$Q16,'Data Pura Producción'!$Q$17:$Q$531,$R16)))</f>
        <v/>
      </c>
      <c r="AE16" s="182" t="str">
        <f>+IF($Q16="","",IF(SUMIFS('Data Pura Producción'!AP$17:AP$531,'Data Pura Producción'!$R$17:$R$531,$Q16,'Data Pura Producción'!$Q$17:$Q$531,$R16)=0,"",SUMIFS('Data Pura Producción'!AP$17:AP$531,'Data Pura Producción'!$R$17:$R$531,$Q16,'Data Pura Producción'!$Q$17:$Q$531,$R16)))</f>
        <v/>
      </c>
      <c r="AF16" s="182" t="str">
        <f>+IF($Q16="","",IF(SUMIFS('Data Pura Producción'!AQ$17:AQ$531,'Data Pura Producción'!$R$17:$R$531,$Q16,'Data Pura Producción'!$Q$17:$Q$531,$R16)=0,"",SUMIFS('Data Pura Producción'!AQ$17:AQ$531,'Data Pura Producción'!$R$17:$R$531,$Q16,'Data Pura Producción'!$Q$17:$Q$531,$R16)))</f>
        <v/>
      </c>
      <c r="AG16" s="182" t="str">
        <f>+IF($Q16="","",IF(SUMIFS('Data Pura Producción'!AR$17:AR$531,'Data Pura Producción'!$R$17:$R$531,$Q16,'Data Pura Producción'!$Q$17:$Q$531,$R16)=0,"",SUMIFS('Data Pura Producción'!AR$17:AR$531,'Data Pura Producción'!$R$17:$R$531,$Q16,'Data Pura Producción'!$Q$17:$Q$531,$R16)))</f>
        <v/>
      </c>
      <c r="AH16" s="182" t="str">
        <f>+IF($Q16="","",IF(SUMIFS('Data Pura Producción'!AS$17:AS$531,'Data Pura Producción'!$R$17:$R$531,$Q16,'Data Pura Producción'!$Q$17:$Q$531,$R16)=0,"",SUMIFS('Data Pura Producción'!AS$17:AS$531,'Data Pura Producción'!$R$17:$R$531,$Q16,'Data Pura Producción'!$Q$17:$Q$531,$R16)))</f>
        <v/>
      </c>
      <c r="AI16" s="182" t="str">
        <f>+IF($Q16="","",IF(SUMIFS('Data Pura Producción'!AT$17:AT$531,'Data Pura Producción'!$R$17:$R$531,$Q16,'Data Pura Producción'!$Q$17:$Q$531,$R16)=0,"",SUMIFS('Data Pura Producción'!AT$17:AT$531,'Data Pura Producción'!$R$17:$R$531,$Q16,'Data Pura Producción'!$Q$17:$Q$531,$R16)))</f>
        <v/>
      </c>
      <c r="AJ16" s="182" t="str">
        <f>+IF($Q16="","",IF(SUMIFS('Data Pura Producción'!AU$17:AU$531,'Data Pura Producción'!$R$17:$R$531,$Q16,'Data Pura Producción'!$Q$17:$Q$531,$R16)=0,"",SUMIFS('Data Pura Producción'!AU$17:AU$531,'Data Pura Producción'!$R$17:$R$531,$Q16,'Data Pura Producción'!$Q$17:$Q$531,$R16)))</f>
        <v/>
      </c>
      <c r="AK16" s="182" t="str">
        <f>+IF($Q16="","",IF(SUMIFS('Data Pura Producción'!AV$17:AV$531,'Data Pura Producción'!$R$17:$R$531,$Q16,'Data Pura Producción'!$Q$17:$Q$531,$R16)=0,"",SUMIFS('Data Pura Producción'!AV$17:AV$531,'Data Pura Producción'!$R$17:$R$531,$Q16,'Data Pura Producción'!$Q$17:$Q$531,$R16)))</f>
        <v/>
      </c>
      <c r="AL16" s="182" t="str">
        <f>+IF($Q16="","",IF(SUMIFS('Data Pura Producción'!AW$17:AW$531,'Data Pura Producción'!$R$17:$R$531,$Q16,'Data Pura Producción'!$Q$17:$Q$531,$R16)=0,"",SUMIFS('Data Pura Producción'!AW$17:AW$531,'Data Pura Producción'!$R$17:$R$531,$Q16,'Data Pura Producción'!$Q$17:$Q$531,$R16)))</f>
        <v/>
      </c>
      <c r="AM16" s="337" t="str">
        <f>+IF($Q16="","",IF(SUMIFS('Data Pura Producción'!AX$17:AX$531,'Data Pura Producción'!$R$17:$R$531,$Q16,'Data Pura Producción'!$Q$17:$Q$531,$R16)=0,"",SUMIFS('Data Pura Producción'!AX$17:AX$531,'Data Pura Producción'!$R$17:$R$531,$Q16,'Data Pura Producción'!$Q$17:$Q$531,$R16)))</f>
        <v/>
      </c>
      <c r="AN16" s="187" t="str">
        <f t="shared" si="2"/>
        <v/>
      </c>
    </row>
    <row r="17" spans="2:40" s="6" customFormat="1" x14ac:dyDescent="0.35">
      <c r="B17" s="4" t="str">
        <f>+IF('Data Pura Costos'!B17="","",'Data Pura Costos'!B17)</f>
        <v xml:space="preserve">Caliboro </v>
      </c>
      <c r="C17" s="4" t="str">
        <f>+IF('Data Pura Costos'!C17="","",'Data Pura Costos'!C17)</f>
        <v>San Javier, VII región</v>
      </c>
      <c r="D17" s="5">
        <f>+IF('Data Pura Costos'!D17="","",'Data Pura Costos'!D17)</f>
        <v>118</v>
      </c>
      <c r="E17" s="65">
        <f>+IF('Data Pura Costos'!E17="","",IF('Data Pura Costos'!E17=0,MAX('Data Pura Costos'!$E$7:$E$3000)*1000,'Data Pura Costos'!E17))</f>
        <v>500000</v>
      </c>
      <c r="F17" s="5" t="str">
        <f>+IF('Data Pura Costos'!F17="","",'Data Pura Costos'!F17)</f>
        <v>Molina</v>
      </c>
      <c r="G17" s="5" t="str">
        <f>+IF('Data Pura Costos'!G17="","",'Data Pura Costos'!G17)</f>
        <v xml:space="preserve">CRISTIAN LÓPEZ </v>
      </c>
      <c r="H17" s="52" t="str">
        <f>+IF('Data Pura Costos'!H17="","",'Data Pura Costos'!H17)</f>
        <v>Termo</v>
      </c>
      <c r="I17" s="71">
        <f>+IF('Data Pura Costos'!I17="","",'Data Pura Costos'!I17)</f>
        <v>4237.2881355932204</v>
      </c>
      <c r="J17" s="52" t="str">
        <f>+IF('Data Pura Costos'!J17="","",'Data Pura Costos'!J17)</f>
        <v>24-25</v>
      </c>
      <c r="K17" s="82" t="str">
        <f t="shared" si="3"/>
        <v xml:space="preserve">Caliboro -Molina-CRISTIAN LÓPEZ </v>
      </c>
      <c r="M17" s="4"/>
      <c r="N17" s="5" t="str">
        <f>+IF(M17="","",INDEX('Parámetros Auxiliares'!$D$7:$D$65,MATCH(M17,'Parámetros Auxiliares'!$D$7:$D$65,0)))</f>
        <v/>
      </c>
      <c r="O17" s="259"/>
      <c r="P17" s="1" t="str">
        <f t="shared" si="1"/>
        <v/>
      </c>
      <c r="Q17" s="185"/>
      <c r="R17" s="332"/>
      <c r="S17" s="336" t="str">
        <f>+IF($Q17="","",IF(SUMIFS('Data Pura Producción'!AD$17:AD$531,'Data Pura Producción'!$R$17:$R$531,$Q17,'Data Pura Producción'!$Q$17:$Q$531,$R17)=0,"",SUMIFS('Data Pura Producción'!AD$17:AD$531,'Data Pura Producción'!$R$17:$R$531,$Q17,'Data Pura Producción'!$Q$17:$Q$531,$R17)))</f>
        <v/>
      </c>
      <c r="T17" s="182" t="str">
        <f>+IF($Q17="","",IF(SUMIFS('Data Pura Producción'!AE$17:AE$531,'Data Pura Producción'!$R$17:$R$531,$Q17,'Data Pura Producción'!$Q$17:$Q$531,$R17)=0,"",SUMIFS('Data Pura Producción'!AE$17:AE$531,'Data Pura Producción'!$R$17:$R$531,$Q17,'Data Pura Producción'!$Q$17:$Q$531,$R17)))</f>
        <v/>
      </c>
      <c r="U17" s="182" t="str">
        <f>+IF($Q17="","",IF(SUMIFS('Data Pura Producción'!AF$17:AF$531,'Data Pura Producción'!$R$17:$R$531,$Q17,'Data Pura Producción'!$Q$17:$Q$531,$R17)=0,"",SUMIFS('Data Pura Producción'!AF$17:AF$531,'Data Pura Producción'!$R$17:$R$531,$Q17,'Data Pura Producción'!$Q$17:$Q$531,$R17)))</f>
        <v/>
      </c>
      <c r="V17" s="182" t="str">
        <f>+IF($Q17="","",IF(SUMIFS('Data Pura Producción'!AG$17:AG$531,'Data Pura Producción'!$R$17:$R$531,$Q17,'Data Pura Producción'!$Q$17:$Q$531,$R17)=0,"",SUMIFS('Data Pura Producción'!AG$17:AG$531,'Data Pura Producción'!$R$17:$R$531,$Q17,'Data Pura Producción'!$Q$17:$Q$531,$R17)))</f>
        <v/>
      </c>
      <c r="W17" s="182" t="str">
        <f>+IF($Q17="","",IF(SUMIFS('Data Pura Producción'!AH$17:AH$531,'Data Pura Producción'!$R$17:$R$531,$Q17,'Data Pura Producción'!$Q$17:$Q$531,$R17)=0,"",SUMIFS('Data Pura Producción'!AH$17:AH$531,'Data Pura Producción'!$R$17:$R$531,$Q17,'Data Pura Producción'!$Q$17:$Q$531,$R17)))</f>
        <v/>
      </c>
      <c r="X17" s="182" t="str">
        <f>+IF($Q17="","",IF(SUMIFS('Data Pura Producción'!AI$17:AI$531,'Data Pura Producción'!$R$17:$R$531,$Q17,'Data Pura Producción'!$Q$17:$Q$531,$R17)=0,"",SUMIFS('Data Pura Producción'!AI$17:AI$531,'Data Pura Producción'!$R$17:$R$531,$Q17,'Data Pura Producción'!$Q$17:$Q$531,$R17)))</f>
        <v/>
      </c>
      <c r="Y17" s="182" t="str">
        <f>+IF($Q17="","",IF(SUMIFS('Data Pura Producción'!AJ$17:AJ$531,'Data Pura Producción'!$R$17:$R$531,$Q17,'Data Pura Producción'!$Q$17:$Q$531,$R17)=0,"",SUMIFS('Data Pura Producción'!AJ$17:AJ$531,'Data Pura Producción'!$R$17:$R$531,$Q17,'Data Pura Producción'!$Q$17:$Q$531,$R17)))</f>
        <v/>
      </c>
      <c r="Z17" s="182" t="str">
        <f>+IF($Q17="","",IF(SUMIFS('Data Pura Producción'!AK$17:AK$531,'Data Pura Producción'!$R$17:$R$531,$Q17,'Data Pura Producción'!$Q$17:$Q$531,$R17)=0,"",SUMIFS('Data Pura Producción'!AK$17:AK$531,'Data Pura Producción'!$R$17:$R$531,$Q17,'Data Pura Producción'!$Q$17:$Q$531,$R17)))</f>
        <v/>
      </c>
      <c r="AA17" s="182" t="str">
        <f>+IF($Q17="","",IF(SUMIFS('Data Pura Producción'!AL$17:AL$531,'Data Pura Producción'!$R$17:$R$531,$Q17,'Data Pura Producción'!$Q$17:$Q$531,$R17)=0,"",SUMIFS('Data Pura Producción'!AL$17:AL$531,'Data Pura Producción'!$R$17:$R$531,$Q17,'Data Pura Producción'!$Q$17:$Q$531,$R17)))</f>
        <v/>
      </c>
      <c r="AB17" s="182" t="str">
        <f>+IF($Q17="","",IF(SUMIFS('Data Pura Producción'!AM$17:AM$531,'Data Pura Producción'!$R$17:$R$531,$Q17,'Data Pura Producción'!$Q$17:$Q$531,$R17)=0,"",SUMIFS('Data Pura Producción'!AM$17:AM$531,'Data Pura Producción'!$R$17:$R$531,$Q17,'Data Pura Producción'!$Q$17:$Q$531,$R17)))</f>
        <v/>
      </c>
      <c r="AC17" s="182" t="str">
        <f>+IF($Q17="","",IF(SUMIFS('Data Pura Producción'!AN$17:AN$531,'Data Pura Producción'!$R$17:$R$531,$Q17,'Data Pura Producción'!$Q$17:$Q$531,$R17)=0,"",SUMIFS('Data Pura Producción'!AN$17:AN$531,'Data Pura Producción'!$R$17:$R$531,$Q17,'Data Pura Producción'!$Q$17:$Q$531,$R17)))</f>
        <v/>
      </c>
      <c r="AD17" s="182" t="str">
        <f>+IF($Q17="","",IF(SUMIFS('Data Pura Producción'!AO$17:AO$531,'Data Pura Producción'!$R$17:$R$531,$Q17,'Data Pura Producción'!$Q$17:$Q$531,$R17)=0,"",SUMIFS('Data Pura Producción'!AO$17:AO$531,'Data Pura Producción'!$R$17:$R$531,$Q17,'Data Pura Producción'!$Q$17:$Q$531,$R17)))</f>
        <v/>
      </c>
      <c r="AE17" s="182" t="str">
        <f>+IF($Q17="","",IF(SUMIFS('Data Pura Producción'!AP$17:AP$531,'Data Pura Producción'!$R$17:$R$531,$Q17,'Data Pura Producción'!$Q$17:$Q$531,$R17)=0,"",SUMIFS('Data Pura Producción'!AP$17:AP$531,'Data Pura Producción'!$R$17:$R$531,$Q17,'Data Pura Producción'!$Q$17:$Q$531,$R17)))</f>
        <v/>
      </c>
      <c r="AF17" s="182" t="str">
        <f>+IF($Q17="","",IF(SUMIFS('Data Pura Producción'!AQ$17:AQ$531,'Data Pura Producción'!$R$17:$R$531,$Q17,'Data Pura Producción'!$Q$17:$Q$531,$R17)=0,"",SUMIFS('Data Pura Producción'!AQ$17:AQ$531,'Data Pura Producción'!$R$17:$R$531,$Q17,'Data Pura Producción'!$Q$17:$Q$531,$R17)))</f>
        <v/>
      </c>
      <c r="AG17" s="182" t="str">
        <f>+IF($Q17="","",IF(SUMIFS('Data Pura Producción'!AR$17:AR$531,'Data Pura Producción'!$R$17:$R$531,$Q17,'Data Pura Producción'!$Q$17:$Q$531,$R17)=0,"",SUMIFS('Data Pura Producción'!AR$17:AR$531,'Data Pura Producción'!$R$17:$R$531,$Q17,'Data Pura Producción'!$Q$17:$Q$531,$R17)))</f>
        <v/>
      </c>
      <c r="AH17" s="182" t="str">
        <f>+IF($Q17="","",IF(SUMIFS('Data Pura Producción'!AS$17:AS$531,'Data Pura Producción'!$R$17:$R$531,$Q17,'Data Pura Producción'!$Q$17:$Q$531,$R17)=0,"",SUMIFS('Data Pura Producción'!AS$17:AS$531,'Data Pura Producción'!$R$17:$R$531,$Q17,'Data Pura Producción'!$Q$17:$Q$531,$R17)))</f>
        <v/>
      </c>
      <c r="AI17" s="182" t="str">
        <f>+IF($Q17="","",IF(SUMIFS('Data Pura Producción'!AT$17:AT$531,'Data Pura Producción'!$R$17:$R$531,$Q17,'Data Pura Producción'!$Q$17:$Q$531,$R17)=0,"",SUMIFS('Data Pura Producción'!AT$17:AT$531,'Data Pura Producción'!$R$17:$R$531,$Q17,'Data Pura Producción'!$Q$17:$Q$531,$R17)))</f>
        <v/>
      </c>
      <c r="AJ17" s="182" t="str">
        <f>+IF($Q17="","",IF(SUMIFS('Data Pura Producción'!AU$17:AU$531,'Data Pura Producción'!$R$17:$R$531,$Q17,'Data Pura Producción'!$Q$17:$Q$531,$R17)=0,"",SUMIFS('Data Pura Producción'!AU$17:AU$531,'Data Pura Producción'!$R$17:$R$531,$Q17,'Data Pura Producción'!$Q$17:$Q$531,$R17)))</f>
        <v/>
      </c>
      <c r="AK17" s="182" t="str">
        <f>+IF($Q17="","",IF(SUMIFS('Data Pura Producción'!AV$17:AV$531,'Data Pura Producción'!$R$17:$R$531,$Q17,'Data Pura Producción'!$Q$17:$Q$531,$R17)=0,"",SUMIFS('Data Pura Producción'!AV$17:AV$531,'Data Pura Producción'!$R$17:$R$531,$Q17,'Data Pura Producción'!$Q$17:$Q$531,$R17)))</f>
        <v/>
      </c>
      <c r="AL17" s="182" t="str">
        <f>+IF($Q17="","",IF(SUMIFS('Data Pura Producción'!AW$17:AW$531,'Data Pura Producción'!$R$17:$R$531,$Q17,'Data Pura Producción'!$Q$17:$Q$531,$R17)=0,"",SUMIFS('Data Pura Producción'!AW$17:AW$531,'Data Pura Producción'!$R$17:$R$531,$Q17,'Data Pura Producción'!$Q$17:$Q$531,$R17)))</f>
        <v/>
      </c>
      <c r="AM17" s="337" t="str">
        <f>+IF($Q17="","",IF(SUMIFS('Data Pura Producción'!AX$17:AX$531,'Data Pura Producción'!$R$17:$R$531,$Q17,'Data Pura Producción'!$Q$17:$Q$531,$R17)=0,"",SUMIFS('Data Pura Producción'!AX$17:AX$531,'Data Pura Producción'!$R$17:$R$531,$Q17,'Data Pura Producción'!$Q$17:$Q$531,$R17)))</f>
        <v/>
      </c>
      <c r="AN17" s="187" t="str">
        <f t="shared" si="2"/>
        <v/>
      </c>
    </row>
    <row r="18" spans="2:40" s="6" customFormat="1" x14ac:dyDescent="0.35">
      <c r="B18" s="4" t="str">
        <f>+IF('Data Pura Costos'!B18="","",'Data Pura Costos'!B18)</f>
        <v>Chumpirro</v>
      </c>
      <c r="C18" s="4" t="str">
        <f>+IF('Data Pura Costos'!C18="","",'Data Pura Costos'!C18)</f>
        <v>Angol, IX región</v>
      </c>
      <c r="D18" s="5">
        <f>+IF('Data Pura Costos'!D18="","",'Data Pura Costos'!D18)</f>
        <v>358</v>
      </c>
      <c r="E18" s="65">
        <f>+IF('Data Pura Costos'!E18="","",IF('Data Pura Costos'!E18=0,MAX('Data Pura Costos'!$E$7:$E$3000)*1000,'Data Pura Costos'!E18))</f>
        <v>950000</v>
      </c>
      <c r="F18" s="5" t="str">
        <f>+IF('Data Pura Costos'!F18="","",'Data Pura Costos'!F18)</f>
        <v>Molina</v>
      </c>
      <c r="G18" s="5" t="str">
        <f>+IF('Data Pura Costos'!G18="","",'Data Pura Costos'!G18)</f>
        <v xml:space="preserve">CRISTIAN LÓPEZ </v>
      </c>
      <c r="H18" s="52" t="str">
        <f>+IF('Data Pura Costos'!H18="","",'Data Pura Costos'!H18)</f>
        <v>Termo</v>
      </c>
      <c r="I18" s="71">
        <f>+IF('Data Pura Costos'!I18="","",'Data Pura Costos'!I18)</f>
        <v>2653.6312849162009</v>
      </c>
      <c r="J18" s="52" t="str">
        <f>+IF('Data Pura Costos'!J18="","",'Data Pura Costos'!J18)</f>
        <v>24-25</v>
      </c>
      <c r="K18" s="82" t="str">
        <f t="shared" si="3"/>
        <v xml:space="preserve">Chumpirro-Molina-CRISTIAN LÓPEZ </v>
      </c>
      <c r="M18" s="4"/>
      <c r="N18" s="5" t="str">
        <f>+IF(M18="","",INDEX('Parámetros Auxiliares'!$D$7:$D$65,MATCH(M18,'Parámetros Auxiliares'!$D$7:$D$65,0)))</f>
        <v/>
      </c>
      <c r="O18" s="259"/>
      <c r="P18" s="1" t="str">
        <f t="shared" si="1"/>
        <v/>
      </c>
      <c r="Q18" s="185"/>
      <c r="R18" s="332"/>
      <c r="S18" s="336" t="str">
        <f>+IF($Q18="","",IF(SUMIFS('Data Pura Producción'!AD$17:AD$531,'Data Pura Producción'!$R$17:$R$531,$Q18,'Data Pura Producción'!$Q$17:$Q$531,$R18)=0,"",SUMIFS('Data Pura Producción'!AD$17:AD$531,'Data Pura Producción'!$R$17:$R$531,$Q18,'Data Pura Producción'!$Q$17:$Q$531,$R18)))</f>
        <v/>
      </c>
      <c r="T18" s="182" t="str">
        <f>+IF($Q18="","",IF(SUMIFS('Data Pura Producción'!AE$17:AE$531,'Data Pura Producción'!$R$17:$R$531,$Q18,'Data Pura Producción'!$Q$17:$Q$531,$R18)=0,"",SUMIFS('Data Pura Producción'!AE$17:AE$531,'Data Pura Producción'!$R$17:$R$531,$Q18,'Data Pura Producción'!$Q$17:$Q$531,$R18)))</f>
        <v/>
      </c>
      <c r="U18" s="182" t="str">
        <f>+IF($Q18="","",IF(SUMIFS('Data Pura Producción'!AF$17:AF$531,'Data Pura Producción'!$R$17:$R$531,$Q18,'Data Pura Producción'!$Q$17:$Q$531,$R18)=0,"",SUMIFS('Data Pura Producción'!AF$17:AF$531,'Data Pura Producción'!$R$17:$R$531,$Q18,'Data Pura Producción'!$Q$17:$Q$531,$R18)))</f>
        <v/>
      </c>
      <c r="V18" s="182" t="str">
        <f>+IF($Q18="","",IF(SUMIFS('Data Pura Producción'!AG$17:AG$531,'Data Pura Producción'!$R$17:$R$531,$Q18,'Data Pura Producción'!$Q$17:$Q$531,$R18)=0,"",SUMIFS('Data Pura Producción'!AG$17:AG$531,'Data Pura Producción'!$R$17:$R$531,$Q18,'Data Pura Producción'!$Q$17:$Q$531,$R18)))</f>
        <v/>
      </c>
      <c r="W18" s="182" t="str">
        <f>+IF($Q18="","",IF(SUMIFS('Data Pura Producción'!AH$17:AH$531,'Data Pura Producción'!$R$17:$R$531,$Q18,'Data Pura Producción'!$Q$17:$Q$531,$R18)=0,"",SUMIFS('Data Pura Producción'!AH$17:AH$531,'Data Pura Producción'!$R$17:$R$531,$Q18,'Data Pura Producción'!$Q$17:$Q$531,$R18)))</f>
        <v/>
      </c>
      <c r="X18" s="182" t="str">
        <f>+IF($Q18="","",IF(SUMIFS('Data Pura Producción'!AI$17:AI$531,'Data Pura Producción'!$R$17:$R$531,$Q18,'Data Pura Producción'!$Q$17:$Q$531,$R18)=0,"",SUMIFS('Data Pura Producción'!AI$17:AI$531,'Data Pura Producción'!$R$17:$R$531,$Q18,'Data Pura Producción'!$Q$17:$Q$531,$R18)))</f>
        <v/>
      </c>
      <c r="Y18" s="182" t="str">
        <f>+IF($Q18="","",IF(SUMIFS('Data Pura Producción'!AJ$17:AJ$531,'Data Pura Producción'!$R$17:$R$531,$Q18,'Data Pura Producción'!$Q$17:$Q$531,$R18)=0,"",SUMIFS('Data Pura Producción'!AJ$17:AJ$531,'Data Pura Producción'!$R$17:$R$531,$Q18,'Data Pura Producción'!$Q$17:$Q$531,$R18)))</f>
        <v/>
      </c>
      <c r="Z18" s="182" t="str">
        <f>+IF($Q18="","",IF(SUMIFS('Data Pura Producción'!AK$17:AK$531,'Data Pura Producción'!$R$17:$R$531,$Q18,'Data Pura Producción'!$Q$17:$Q$531,$R18)=0,"",SUMIFS('Data Pura Producción'!AK$17:AK$531,'Data Pura Producción'!$R$17:$R$531,$Q18,'Data Pura Producción'!$Q$17:$Q$531,$R18)))</f>
        <v/>
      </c>
      <c r="AA18" s="182" t="str">
        <f>+IF($Q18="","",IF(SUMIFS('Data Pura Producción'!AL$17:AL$531,'Data Pura Producción'!$R$17:$R$531,$Q18,'Data Pura Producción'!$Q$17:$Q$531,$R18)=0,"",SUMIFS('Data Pura Producción'!AL$17:AL$531,'Data Pura Producción'!$R$17:$R$531,$Q18,'Data Pura Producción'!$Q$17:$Q$531,$R18)))</f>
        <v/>
      </c>
      <c r="AB18" s="182" t="str">
        <f>+IF($Q18="","",IF(SUMIFS('Data Pura Producción'!AM$17:AM$531,'Data Pura Producción'!$R$17:$R$531,$Q18,'Data Pura Producción'!$Q$17:$Q$531,$R18)=0,"",SUMIFS('Data Pura Producción'!AM$17:AM$531,'Data Pura Producción'!$R$17:$R$531,$Q18,'Data Pura Producción'!$Q$17:$Q$531,$R18)))</f>
        <v/>
      </c>
      <c r="AC18" s="182" t="str">
        <f>+IF($Q18="","",IF(SUMIFS('Data Pura Producción'!AN$17:AN$531,'Data Pura Producción'!$R$17:$R$531,$Q18,'Data Pura Producción'!$Q$17:$Q$531,$R18)=0,"",SUMIFS('Data Pura Producción'!AN$17:AN$531,'Data Pura Producción'!$R$17:$R$531,$Q18,'Data Pura Producción'!$Q$17:$Q$531,$R18)))</f>
        <v/>
      </c>
      <c r="AD18" s="182" t="str">
        <f>+IF($Q18="","",IF(SUMIFS('Data Pura Producción'!AO$17:AO$531,'Data Pura Producción'!$R$17:$R$531,$Q18,'Data Pura Producción'!$Q$17:$Q$531,$R18)=0,"",SUMIFS('Data Pura Producción'!AO$17:AO$531,'Data Pura Producción'!$R$17:$R$531,$Q18,'Data Pura Producción'!$Q$17:$Q$531,$R18)))</f>
        <v/>
      </c>
      <c r="AE18" s="182" t="str">
        <f>+IF($Q18="","",IF(SUMIFS('Data Pura Producción'!AP$17:AP$531,'Data Pura Producción'!$R$17:$R$531,$Q18,'Data Pura Producción'!$Q$17:$Q$531,$R18)=0,"",SUMIFS('Data Pura Producción'!AP$17:AP$531,'Data Pura Producción'!$R$17:$R$531,$Q18,'Data Pura Producción'!$Q$17:$Q$531,$R18)))</f>
        <v/>
      </c>
      <c r="AF18" s="182" t="str">
        <f>+IF($Q18="","",IF(SUMIFS('Data Pura Producción'!AQ$17:AQ$531,'Data Pura Producción'!$R$17:$R$531,$Q18,'Data Pura Producción'!$Q$17:$Q$531,$R18)=0,"",SUMIFS('Data Pura Producción'!AQ$17:AQ$531,'Data Pura Producción'!$R$17:$R$531,$Q18,'Data Pura Producción'!$Q$17:$Q$531,$R18)))</f>
        <v/>
      </c>
      <c r="AG18" s="182" t="str">
        <f>+IF($Q18="","",IF(SUMIFS('Data Pura Producción'!AR$17:AR$531,'Data Pura Producción'!$R$17:$R$531,$Q18,'Data Pura Producción'!$Q$17:$Q$531,$R18)=0,"",SUMIFS('Data Pura Producción'!AR$17:AR$531,'Data Pura Producción'!$R$17:$R$531,$Q18,'Data Pura Producción'!$Q$17:$Q$531,$R18)))</f>
        <v/>
      </c>
      <c r="AH18" s="182" t="str">
        <f>+IF($Q18="","",IF(SUMIFS('Data Pura Producción'!AS$17:AS$531,'Data Pura Producción'!$R$17:$R$531,$Q18,'Data Pura Producción'!$Q$17:$Q$531,$R18)=0,"",SUMIFS('Data Pura Producción'!AS$17:AS$531,'Data Pura Producción'!$R$17:$R$531,$Q18,'Data Pura Producción'!$Q$17:$Q$531,$R18)))</f>
        <v/>
      </c>
      <c r="AI18" s="182" t="str">
        <f>+IF($Q18="","",IF(SUMIFS('Data Pura Producción'!AT$17:AT$531,'Data Pura Producción'!$R$17:$R$531,$Q18,'Data Pura Producción'!$Q$17:$Q$531,$R18)=0,"",SUMIFS('Data Pura Producción'!AT$17:AT$531,'Data Pura Producción'!$R$17:$R$531,$Q18,'Data Pura Producción'!$Q$17:$Q$531,$R18)))</f>
        <v/>
      </c>
      <c r="AJ18" s="182" t="str">
        <f>+IF($Q18="","",IF(SUMIFS('Data Pura Producción'!AU$17:AU$531,'Data Pura Producción'!$R$17:$R$531,$Q18,'Data Pura Producción'!$Q$17:$Q$531,$R18)=0,"",SUMIFS('Data Pura Producción'!AU$17:AU$531,'Data Pura Producción'!$R$17:$R$531,$Q18,'Data Pura Producción'!$Q$17:$Q$531,$R18)))</f>
        <v/>
      </c>
      <c r="AK18" s="182" t="str">
        <f>+IF($Q18="","",IF(SUMIFS('Data Pura Producción'!AV$17:AV$531,'Data Pura Producción'!$R$17:$R$531,$Q18,'Data Pura Producción'!$Q$17:$Q$531,$R18)=0,"",SUMIFS('Data Pura Producción'!AV$17:AV$531,'Data Pura Producción'!$R$17:$R$531,$Q18,'Data Pura Producción'!$Q$17:$Q$531,$R18)))</f>
        <v/>
      </c>
      <c r="AL18" s="182" t="str">
        <f>+IF($Q18="","",IF(SUMIFS('Data Pura Producción'!AW$17:AW$531,'Data Pura Producción'!$R$17:$R$531,$Q18,'Data Pura Producción'!$Q$17:$Q$531,$R18)=0,"",SUMIFS('Data Pura Producción'!AW$17:AW$531,'Data Pura Producción'!$R$17:$R$531,$Q18,'Data Pura Producción'!$Q$17:$Q$531,$R18)))</f>
        <v/>
      </c>
      <c r="AM18" s="337" t="str">
        <f>+IF($Q18="","",IF(SUMIFS('Data Pura Producción'!AX$17:AX$531,'Data Pura Producción'!$R$17:$R$531,$Q18,'Data Pura Producción'!$Q$17:$Q$531,$R18)=0,"",SUMIFS('Data Pura Producción'!AX$17:AX$531,'Data Pura Producción'!$R$17:$R$531,$Q18,'Data Pura Producción'!$Q$17:$Q$531,$R18)))</f>
        <v/>
      </c>
      <c r="AN18" s="187" t="str">
        <f t="shared" si="2"/>
        <v/>
      </c>
    </row>
    <row r="19" spans="2:40" s="7" customFormat="1" x14ac:dyDescent="0.35">
      <c r="B19" s="4" t="str">
        <f>+IF('Data Pura Costos'!B19="","",'Data Pura Costos'!B19)</f>
        <v>El Cóndor</v>
      </c>
      <c r="C19" s="4" t="str">
        <f>+IF('Data Pura Costos'!C19="","",'Data Pura Costos'!C19)</f>
        <v>Chimbarongo, VI Region.</v>
      </c>
      <c r="D19" s="5">
        <f>+IF('Data Pura Costos'!D19="","",'Data Pura Costos'!D19)</f>
        <v>60</v>
      </c>
      <c r="E19" s="65">
        <f>+IF('Data Pura Costos'!E19="","",IF('Data Pura Costos'!E19=0,MAX('Data Pura Costos'!$E$7:$E$3000)*1000,'Data Pura Costos'!E19))</f>
        <v>370000</v>
      </c>
      <c r="F19" s="5" t="str">
        <f>+IF('Data Pura Costos'!F19="","",'Data Pura Costos'!F19)</f>
        <v>Molina</v>
      </c>
      <c r="G19" s="5" t="str">
        <f>+IF('Data Pura Costos'!G19="","",'Data Pura Costos'!G19)</f>
        <v xml:space="preserve">CRISTIAN LÓPEZ </v>
      </c>
      <c r="H19" s="52" t="str">
        <f>+IF('Data Pura Costos'!H19="","",'Data Pura Costos'!H19)</f>
        <v>Termo</v>
      </c>
      <c r="I19" s="71">
        <f>+IF('Data Pura Costos'!I19="","",'Data Pura Costos'!I19)</f>
        <v>6166.666666666667</v>
      </c>
      <c r="J19" s="52" t="str">
        <f>+IF('Data Pura Costos'!J19="","",'Data Pura Costos'!J19)</f>
        <v>24-25</v>
      </c>
      <c r="K19" s="82" t="str">
        <f t="shared" si="3"/>
        <v xml:space="preserve">El Cóndor-Molina-CRISTIAN LÓPEZ </v>
      </c>
      <c r="M19" s="4"/>
      <c r="N19" s="5" t="str">
        <f>+IF(M19="","",INDEX('Parámetros Auxiliares'!$D$7:$D$65,MATCH(M19,'Parámetros Auxiliares'!$D$7:$D$65,0)))</f>
        <v/>
      </c>
      <c r="O19" s="259"/>
      <c r="P19" s="1" t="str">
        <f t="shared" si="1"/>
        <v/>
      </c>
      <c r="Q19" s="185"/>
      <c r="R19" s="332"/>
      <c r="S19" s="336" t="str">
        <f>+IF($Q19="","",IF(SUMIFS('Data Pura Producción'!AD$17:AD$531,'Data Pura Producción'!$R$17:$R$531,$Q19,'Data Pura Producción'!$Q$17:$Q$531,$R19)=0,"",SUMIFS('Data Pura Producción'!AD$17:AD$531,'Data Pura Producción'!$R$17:$R$531,$Q19,'Data Pura Producción'!$Q$17:$Q$531,$R19)))</f>
        <v/>
      </c>
      <c r="T19" s="182" t="str">
        <f>+IF($Q19="","",IF(SUMIFS('Data Pura Producción'!AE$17:AE$531,'Data Pura Producción'!$R$17:$R$531,$Q19,'Data Pura Producción'!$Q$17:$Q$531,$R19)=0,"",SUMIFS('Data Pura Producción'!AE$17:AE$531,'Data Pura Producción'!$R$17:$R$531,$Q19,'Data Pura Producción'!$Q$17:$Q$531,$R19)))</f>
        <v/>
      </c>
      <c r="U19" s="182" t="str">
        <f>+IF($Q19="","",IF(SUMIFS('Data Pura Producción'!AF$17:AF$531,'Data Pura Producción'!$R$17:$R$531,$Q19,'Data Pura Producción'!$Q$17:$Q$531,$R19)=0,"",SUMIFS('Data Pura Producción'!AF$17:AF$531,'Data Pura Producción'!$R$17:$R$531,$Q19,'Data Pura Producción'!$Q$17:$Q$531,$R19)))</f>
        <v/>
      </c>
      <c r="V19" s="182" t="str">
        <f>+IF($Q19="","",IF(SUMIFS('Data Pura Producción'!AG$17:AG$531,'Data Pura Producción'!$R$17:$R$531,$Q19,'Data Pura Producción'!$Q$17:$Q$531,$R19)=0,"",SUMIFS('Data Pura Producción'!AG$17:AG$531,'Data Pura Producción'!$R$17:$R$531,$Q19,'Data Pura Producción'!$Q$17:$Q$531,$R19)))</f>
        <v/>
      </c>
      <c r="W19" s="182" t="str">
        <f>+IF($Q19="","",IF(SUMIFS('Data Pura Producción'!AH$17:AH$531,'Data Pura Producción'!$R$17:$R$531,$Q19,'Data Pura Producción'!$Q$17:$Q$531,$R19)=0,"",SUMIFS('Data Pura Producción'!AH$17:AH$531,'Data Pura Producción'!$R$17:$R$531,$Q19,'Data Pura Producción'!$Q$17:$Q$531,$R19)))</f>
        <v/>
      </c>
      <c r="X19" s="182" t="str">
        <f>+IF($Q19="","",IF(SUMIFS('Data Pura Producción'!AI$17:AI$531,'Data Pura Producción'!$R$17:$R$531,$Q19,'Data Pura Producción'!$Q$17:$Q$531,$R19)=0,"",SUMIFS('Data Pura Producción'!AI$17:AI$531,'Data Pura Producción'!$R$17:$R$531,$Q19,'Data Pura Producción'!$Q$17:$Q$531,$R19)))</f>
        <v/>
      </c>
      <c r="Y19" s="182" t="str">
        <f>+IF($Q19="","",IF(SUMIFS('Data Pura Producción'!AJ$17:AJ$531,'Data Pura Producción'!$R$17:$R$531,$Q19,'Data Pura Producción'!$Q$17:$Q$531,$R19)=0,"",SUMIFS('Data Pura Producción'!AJ$17:AJ$531,'Data Pura Producción'!$R$17:$R$531,$Q19,'Data Pura Producción'!$Q$17:$Q$531,$R19)))</f>
        <v/>
      </c>
      <c r="Z19" s="182" t="str">
        <f>+IF($Q19="","",IF(SUMIFS('Data Pura Producción'!AK$17:AK$531,'Data Pura Producción'!$R$17:$R$531,$Q19,'Data Pura Producción'!$Q$17:$Q$531,$R19)=0,"",SUMIFS('Data Pura Producción'!AK$17:AK$531,'Data Pura Producción'!$R$17:$R$531,$Q19,'Data Pura Producción'!$Q$17:$Q$531,$R19)))</f>
        <v/>
      </c>
      <c r="AA19" s="182" t="str">
        <f>+IF($Q19="","",IF(SUMIFS('Data Pura Producción'!AL$17:AL$531,'Data Pura Producción'!$R$17:$R$531,$Q19,'Data Pura Producción'!$Q$17:$Q$531,$R19)=0,"",SUMIFS('Data Pura Producción'!AL$17:AL$531,'Data Pura Producción'!$R$17:$R$531,$Q19,'Data Pura Producción'!$Q$17:$Q$531,$R19)))</f>
        <v/>
      </c>
      <c r="AB19" s="182" t="str">
        <f>+IF($Q19="","",IF(SUMIFS('Data Pura Producción'!AM$17:AM$531,'Data Pura Producción'!$R$17:$R$531,$Q19,'Data Pura Producción'!$Q$17:$Q$531,$R19)=0,"",SUMIFS('Data Pura Producción'!AM$17:AM$531,'Data Pura Producción'!$R$17:$R$531,$Q19,'Data Pura Producción'!$Q$17:$Q$531,$R19)))</f>
        <v/>
      </c>
      <c r="AC19" s="182" t="str">
        <f>+IF($Q19="","",IF(SUMIFS('Data Pura Producción'!AN$17:AN$531,'Data Pura Producción'!$R$17:$R$531,$Q19,'Data Pura Producción'!$Q$17:$Q$531,$R19)=0,"",SUMIFS('Data Pura Producción'!AN$17:AN$531,'Data Pura Producción'!$R$17:$R$531,$Q19,'Data Pura Producción'!$Q$17:$Q$531,$R19)))</f>
        <v/>
      </c>
      <c r="AD19" s="182" t="str">
        <f>+IF($Q19="","",IF(SUMIFS('Data Pura Producción'!AO$17:AO$531,'Data Pura Producción'!$R$17:$R$531,$Q19,'Data Pura Producción'!$Q$17:$Q$531,$R19)=0,"",SUMIFS('Data Pura Producción'!AO$17:AO$531,'Data Pura Producción'!$R$17:$R$531,$Q19,'Data Pura Producción'!$Q$17:$Q$531,$R19)))</f>
        <v/>
      </c>
      <c r="AE19" s="182" t="str">
        <f>+IF($Q19="","",IF(SUMIFS('Data Pura Producción'!AP$17:AP$531,'Data Pura Producción'!$R$17:$R$531,$Q19,'Data Pura Producción'!$Q$17:$Q$531,$R19)=0,"",SUMIFS('Data Pura Producción'!AP$17:AP$531,'Data Pura Producción'!$R$17:$R$531,$Q19,'Data Pura Producción'!$Q$17:$Q$531,$R19)))</f>
        <v/>
      </c>
      <c r="AF19" s="182" t="str">
        <f>+IF($Q19="","",IF(SUMIFS('Data Pura Producción'!AQ$17:AQ$531,'Data Pura Producción'!$R$17:$R$531,$Q19,'Data Pura Producción'!$Q$17:$Q$531,$R19)=0,"",SUMIFS('Data Pura Producción'!AQ$17:AQ$531,'Data Pura Producción'!$R$17:$R$531,$Q19,'Data Pura Producción'!$Q$17:$Q$531,$R19)))</f>
        <v/>
      </c>
      <c r="AG19" s="182" t="str">
        <f>+IF($Q19="","",IF(SUMIFS('Data Pura Producción'!AR$17:AR$531,'Data Pura Producción'!$R$17:$R$531,$Q19,'Data Pura Producción'!$Q$17:$Q$531,$R19)=0,"",SUMIFS('Data Pura Producción'!AR$17:AR$531,'Data Pura Producción'!$R$17:$R$531,$Q19,'Data Pura Producción'!$Q$17:$Q$531,$R19)))</f>
        <v/>
      </c>
      <c r="AH19" s="182" t="str">
        <f>+IF($Q19="","",IF(SUMIFS('Data Pura Producción'!AS$17:AS$531,'Data Pura Producción'!$R$17:$R$531,$Q19,'Data Pura Producción'!$Q$17:$Q$531,$R19)=0,"",SUMIFS('Data Pura Producción'!AS$17:AS$531,'Data Pura Producción'!$R$17:$R$531,$Q19,'Data Pura Producción'!$Q$17:$Q$531,$R19)))</f>
        <v/>
      </c>
      <c r="AI19" s="182" t="str">
        <f>+IF($Q19="","",IF(SUMIFS('Data Pura Producción'!AT$17:AT$531,'Data Pura Producción'!$R$17:$R$531,$Q19,'Data Pura Producción'!$Q$17:$Q$531,$R19)=0,"",SUMIFS('Data Pura Producción'!AT$17:AT$531,'Data Pura Producción'!$R$17:$R$531,$Q19,'Data Pura Producción'!$Q$17:$Q$531,$R19)))</f>
        <v/>
      </c>
      <c r="AJ19" s="182" t="str">
        <f>+IF($Q19="","",IF(SUMIFS('Data Pura Producción'!AU$17:AU$531,'Data Pura Producción'!$R$17:$R$531,$Q19,'Data Pura Producción'!$Q$17:$Q$531,$R19)=0,"",SUMIFS('Data Pura Producción'!AU$17:AU$531,'Data Pura Producción'!$R$17:$R$531,$Q19,'Data Pura Producción'!$Q$17:$Q$531,$R19)))</f>
        <v/>
      </c>
      <c r="AK19" s="182" t="str">
        <f>+IF($Q19="","",IF(SUMIFS('Data Pura Producción'!AV$17:AV$531,'Data Pura Producción'!$R$17:$R$531,$Q19,'Data Pura Producción'!$Q$17:$Q$531,$R19)=0,"",SUMIFS('Data Pura Producción'!AV$17:AV$531,'Data Pura Producción'!$R$17:$R$531,$Q19,'Data Pura Producción'!$Q$17:$Q$531,$R19)))</f>
        <v/>
      </c>
      <c r="AL19" s="182" t="str">
        <f>+IF($Q19="","",IF(SUMIFS('Data Pura Producción'!AW$17:AW$531,'Data Pura Producción'!$R$17:$R$531,$Q19,'Data Pura Producción'!$Q$17:$Q$531,$R19)=0,"",SUMIFS('Data Pura Producción'!AW$17:AW$531,'Data Pura Producción'!$R$17:$R$531,$Q19,'Data Pura Producción'!$Q$17:$Q$531,$R19)))</f>
        <v/>
      </c>
      <c r="AM19" s="337" t="str">
        <f>+IF($Q19="","",IF(SUMIFS('Data Pura Producción'!AX$17:AX$531,'Data Pura Producción'!$R$17:$R$531,$Q19,'Data Pura Producción'!$Q$17:$Q$531,$R19)=0,"",SUMIFS('Data Pura Producción'!AX$17:AX$531,'Data Pura Producción'!$R$17:$R$531,$Q19,'Data Pura Producción'!$Q$17:$Q$531,$R19)))</f>
        <v/>
      </c>
      <c r="AN19" s="187" t="str">
        <f t="shared" si="2"/>
        <v/>
      </c>
    </row>
    <row r="20" spans="2:40" s="7" customFormat="1" x14ac:dyDescent="0.35">
      <c r="B20" s="4" t="str">
        <f>+IF('Data Pura Costos'!B20="","",'Data Pura Costos'!B20)</f>
        <v>El Descanso</v>
      </c>
      <c r="C20" s="4" t="str">
        <f>+IF('Data Pura Costos'!C20="","",'Data Pura Costos'!C20)</f>
        <v>Sagrada Familia, VII región</v>
      </c>
      <c r="D20" s="5">
        <f>+IF('Data Pura Costos'!D20="","",'Data Pura Costos'!D20)</f>
        <v>22</v>
      </c>
      <c r="E20" s="65">
        <f>+IF('Data Pura Costos'!E20="","",IF('Data Pura Costos'!E20=0,MAX('Data Pura Costos'!$E$7:$E$3000)*1000,'Data Pura Costos'!E20))</f>
        <v>330000</v>
      </c>
      <c r="F20" s="5" t="str">
        <f>+IF('Data Pura Costos'!F20="","",'Data Pura Costos'!F20)</f>
        <v>Molina</v>
      </c>
      <c r="G20" s="5" t="str">
        <f>+IF('Data Pura Costos'!G20="","",'Data Pura Costos'!G20)</f>
        <v xml:space="preserve">CRISTIAN LÓPEZ </v>
      </c>
      <c r="H20" s="52" t="str">
        <f>+IF('Data Pura Costos'!H20="","",'Data Pura Costos'!H20)</f>
        <v>Termo</v>
      </c>
      <c r="I20" s="71">
        <f>+IF('Data Pura Costos'!I20="","",'Data Pura Costos'!I20)</f>
        <v>15000</v>
      </c>
      <c r="J20" s="52" t="str">
        <f>+IF('Data Pura Costos'!J20="","",'Data Pura Costos'!J20)</f>
        <v>24-25</v>
      </c>
      <c r="K20" s="82" t="str">
        <f t="shared" si="3"/>
        <v xml:space="preserve">El Descanso-Molina-CRISTIAN LÓPEZ </v>
      </c>
      <c r="M20" s="4"/>
      <c r="N20" s="5" t="str">
        <f>+IF(M20="","",INDEX('Parámetros Auxiliares'!$D$7:$D$65,MATCH(M20,'Parámetros Auxiliares'!$D$7:$D$65,0)))</f>
        <v/>
      </c>
      <c r="O20" s="259"/>
      <c r="P20" s="1" t="str">
        <f t="shared" si="1"/>
        <v/>
      </c>
      <c r="Q20" s="185"/>
      <c r="R20" s="332"/>
      <c r="S20" s="336" t="str">
        <f>+IF($Q20="","",IF(SUMIFS('Data Pura Producción'!AD$17:AD$531,'Data Pura Producción'!$R$17:$R$531,$Q20,'Data Pura Producción'!$Q$17:$Q$531,$R20)=0,"",SUMIFS('Data Pura Producción'!AD$17:AD$531,'Data Pura Producción'!$R$17:$R$531,$Q20,'Data Pura Producción'!$Q$17:$Q$531,$R20)))</f>
        <v/>
      </c>
      <c r="T20" s="182" t="str">
        <f>+IF($Q20="","",IF(SUMIFS('Data Pura Producción'!AE$17:AE$531,'Data Pura Producción'!$R$17:$R$531,$Q20,'Data Pura Producción'!$Q$17:$Q$531,$R20)=0,"",SUMIFS('Data Pura Producción'!AE$17:AE$531,'Data Pura Producción'!$R$17:$R$531,$Q20,'Data Pura Producción'!$Q$17:$Q$531,$R20)))</f>
        <v/>
      </c>
      <c r="U20" s="182" t="str">
        <f>+IF($Q20="","",IF(SUMIFS('Data Pura Producción'!AF$17:AF$531,'Data Pura Producción'!$R$17:$R$531,$Q20,'Data Pura Producción'!$Q$17:$Q$531,$R20)=0,"",SUMIFS('Data Pura Producción'!AF$17:AF$531,'Data Pura Producción'!$R$17:$R$531,$Q20,'Data Pura Producción'!$Q$17:$Q$531,$R20)))</f>
        <v/>
      </c>
      <c r="V20" s="182" t="str">
        <f>+IF($Q20="","",IF(SUMIFS('Data Pura Producción'!AG$17:AG$531,'Data Pura Producción'!$R$17:$R$531,$Q20,'Data Pura Producción'!$Q$17:$Q$531,$R20)=0,"",SUMIFS('Data Pura Producción'!AG$17:AG$531,'Data Pura Producción'!$R$17:$R$531,$Q20,'Data Pura Producción'!$Q$17:$Q$531,$R20)))</f>
        <v/>
      </c>
      <c r="W20" s="182" t="str">
        <f>+IF($Q20="","",IF(SUMIFS('Data Pura Producción'!AH$17:AH$531,'Data Pura Producción'!$R$17:$R$531,$Q20,'Data Pura Producción'!$Q$17:$Q$531,$R20)=0,"",SUMIFS('Data Pura Producción'!AH$17:AH$531,'Data Pura Producción'!$R$17:$R$531,$Q20,'Data Pura Producción'!$Q$17:$Q$531,$R20)))</f>
        <v/>
      </c>
      <c r="X20" s="182" t="str">
        <f>+IF($Q20="","",IF(SUMIFS('Data Pura Producción'!AI$17:AI$531,'Data Pura Producción'!$R$17:$R$531,$Q20,'Data Pura Producción'!$Q$17:$Q$531,$R20)=0,"",SUMIFS('Data Pura Producción'!AI$17:AI$531,'Data Pura Producción'!$R$17:$R$531,$Q20,'Data Pura Producción'!$Q$17:$Q$531,$R20)))</f>
        <v/>
      </c>
      <c r="Y20" s="182" t="str">
        <f>+IF($Q20="","",IF(SUMIFS('Data Pura Producción'!AJ$17:AJ$531,'Data Pura Producción'!$R$17:$R$531,$Q20,'Data Pura Producción'!$Q$17:$Q$531,$R20)=0,"",SUMIFS('Data Pura Producción'!AJ$17:AJ$531,'Data Pura Producción'!$R$17:$R$531,$Q20,'Data Pura Producción'!$Q$17:$Q$531,$R20)))</f>
        <v/>
      </c>
      <c r="Z20" s="182" t="str">
        <f>+IF($Q20="","",IF(SUMIFS('Data Pura Producción'!AK$17:AK$531,'Data Pura Producción'!$R$17:$R$531,$Q20,'Data Pura Producción'!$Q$17:$Q$531,$R20)=0,"",SUMIFS('Data Pura Producción'!AK$17:AK$531,'Data Pura Producción'!$R$17:$R$531,$Q20,'Data Pura Producción'!$Q$17:$Q$531,$R20)))</f>
        <v/>
      </c>
      <c r="AA20" s="182" t="str">
        <f>+IF($Q20="","",IF(SUMIFS('Data Pura Producción'!AL$17:AL$531,'Data Pura Producción'!$R$17:$R$531,$Q20,'Data Pura Producción'!$Q$17:$Q$531,$R20)=0,"",SUMIFS('Data Pura Producción'!AL$17:AL$531,'Data Pura Producción'!$R$17:$R$531,$Q20,'Data Pura Producción'!$Q$17:$Q$531,$R20)))</f>
        <v/>
      </c>
      <c r="AB20" s="182" t="str">
        <f>+IF($Q20="","",IF(SUMIFS('Data Pura Producción'!AM$17:AM$531,'Data Pura Producción'!$R$17:$R$531,$Q20,'Data Pura Producción'!$Q$17:$Q$531,$R20)=0,"",SUMIFS('Data Pura Producción'!AM$17:AM$531,'Data Pura Producción'!$R$17:$R$531,$Q20,'Data Pura Producción'!$Q$17:$Q$531,$R20)))</f>
        <v/>
      </c>
      <c r="AC20" s="182" t="str">
        <f>+IF($Q20="","",IF(SUMIFS('Data Pura Producción'!AN$17:AN$531,'Data Pura Producción'!$R$17:$R$531,$Q20,'Data Pura Producción'!$Q$17:$Q$531,$R20)=0,"",SUMIFS('Data Pura Producción'!AN$17:AN$531,'Data Pura Producción'!$R$17:$R$531,$Q20,'Data Pura Producción'!$Q$17:$Q$531,$R20)))</f>
        <v/>
      </c>
      <c r="AD20" s="182" t="str">
        <f>+IF($Q20="","",IF(SUMIFS('Data Pura Producción'!AO$17:AO$531,'Data Pura Producción'!$R$17:$R$531,$Q20,'Data Pura Producción'!$Q$17:$Q$531,$R20)=0,"",SUMIFS('Data Pura Producción'!AO$17:AO$531,'Data Pura Producción'!$R$17:$R$531,$Q20,'Data Pura Producción'!$Q$17:$Q$531,$R20)))</f>
        <v/>
      </c>
      <c r="AE20" s="182" t="str">
        <f>+IF($Q20="","",IF(SUMIFS('Data Pura Producción'!AP$17:AP$531,'Data Pura Producción'!$R$17:$R$531,$Q20,'Data Pura Producción'!$Q$17:$Q$531,$R20)=0,"",SUMIFS('Data Pura Producción'!AP$17:AP$531,'Data Pura Producción'!$R$17:$R$531,$Q20,'Data Pura Producción'!$Q$17:$Q$531,$R20)))</f>
        <v/>
      </c>
      <c r="AF20" s="182" t="str">
        <f>+IF($Q20="","",IF(SUMIFS('Data Pura Producción'!AQ$17:AQ$531,'Data Pura Producción'!$R$17:$R$531,$Q20,'Data Pura Producción'!$Q$17:$Q$531,$R20)=0,"",SUMIFS('Data Pura Producción'!AQ$17:AQ$531,'Data Pura Producción'!$R$17:$R$531,$Q20,'Data Pura Producción'!$Q$17:$Q$531,$R20)))</f>
        <v/>
      </c>
      <c r="AG20" s="182" t="str">
        <f>+IF($Q20="","",IF(SUMIFS('Data Pura Producción'!AR$17:AR$531,'Data Pura Producción'!$R$17:$R$531,$Q20,'Data Pura Producción'!$Q$17:$Q$531,$R20)=0,"",SUMIFS('Data Pura Producción'!AR$17:AR$531,'Data Pura Producción'!$R$17:$R$531,$Q20,'Data Pura Producción'!$Q$17:$Q$531,$R20)))</f>
        <v/>
      </c>
      <c r="AH20" s="182" t="str">
        <f>+IF($Q20="","",IF(SUMIFS('Data Pura Producción'!AS$17:AS$531,'Data Pura Producción'!$R$17:$R$531,$Q20,'Data Pura Producción'!$Q$17:$Q$531,$R20)=0,"",SUMIFS('Data Pura Producción'!AS$17:AS$531,'Data Pura Producción'!$R$17:$R$531,$Q20,'Data Pura Producción'!$Q$17:$Q$531,$R20)))</f>
        <v/>
      </c>
      <c r="AI20" s="182" t="str">
        <f>+IF($Q20="","",IF(SUMIFS('Data Pura Producción'!AT$17:AT$531,'Data Pura Producción'!$R$17:$R$531,$Q20,'Data Pura Producción'!$Q$17:$Q$531,$R20)=0,"",SUMIFS('Data Pura Producción'!AT$17:AT$531,'Data Pura Producción'!$R$17:$R$531,$Q20,'Data Pura Producción'!$Q$17:$Q$531,$R20)))</f>
        <v/>
      </c>
      <c r="AJ20" s="182" t="str">
        <f>+IF($Q20="","",IF(SUMIFS('Data Pura Producción'!AU$17:AU$531,'Data Pura Producción'!$R$17:$R$531,$Q20,'Data Pura Producción'!$Q$17:$Q$531,$R20)=0,"",SUMIFS('Data Pura Producción'!AU$17:AU$531,'Data Pura Producción'!$R$17:$R$531,$Q20,'Data Pura Producción'!$Q$17:$Q$531,$R20)))</f>
        <v/>
      </c>
      <c r="AK20" s="182" t="str">
        <f>+IF($Q20="","",IF(SUMIFS('Data Pura Producción'!AV$17:AV$531,'Data Pura Producción'!$R$17:$R$531,$Q20,'Data Pura Producción'!$Q$17:$Q$531,$R20)=0,"",SUMIFS('Data Pura Producción'!AV$17:AV$531,'Data Pura Producción'!$R$17:$R$531,$Q20,'Data Pura Producción'!$Q$17:$Q$531,$R20)))</f>
        <v/>
      </c>
      <c r="AL20" s="182" t="str">
        <f>+IF($Q20="","",IF(SUMIFS('Data Pura Producción'!AW$17:AW$531,'Data Pura Producción'!$R$17:$R$531,$Q20,'Data Pura Producción'!$Q$17:$Q$531,$R20)=0,"",SUMIFS('Data Pura Producción'!AW$17:AW$531,'Data Pura Producción'!$R$17:$R$531,$Q20,'Data Pura Producción'!$Q$17:$Q$531,$R20)))</f>
        <v/>
      </c>
      <c r="AM20" s="337" t="str">
        <f>+IF($Q20="","",IF(SUMIFS('Data Pura Producción'!AX$17:AX$531,'Data Pura Producción'!$R$17:$R$531,$Q20,'Data Pura Producción'!$Q$17:$Q$531,$R20)=0,"",SUMIFS('Data Pura Producción'!AX$17:AX$531,'Data Pura Producción'!$R$17:$R$531,$Q20,'Data Pura Producción'!$Q$17:$Q$531,$R20)))</f>
        <v/>
      </c>
      <c r="AN20" s="187" t="str">
        <f t="shared" si="2"/>
        <v/>
      </c>
    </row>
    <row r="21" spans="2:40" s="7" customFormat="1" x14ac:dyDescent="0.35">
      <c r="B21" s="4" t="str">
        <f>+IF('Data Pura Costos'!B21="","",'Data Pura Costos'!B21)</f>
        <v>Los Encinos</v>
      </c>
      <c r="C21" s="4" t="str">
        <f>+IF('Data Pura Costos'!C21="","",'Data Pura Costos'!C21)</f>
        <v>Huechun, RM</v>
      </c>
      <c r="D21" s="5">
        <f>+IF('Data Pura Costos'!D21="","",'Data Pura Costos'!D21)</f>
        <v>230</v>
      </c>
      <c r="E21" s="65">
        <f>+IF('Data Pura Costos'!E21="","",IF('Data Pura Costos'!E21=0,MAX('Data Pura Costos'!$E$7:$E$3000)*1000,'Data Pura Costos'!E21))</f>
        <v>665000</v>
      </c>
      <c r="F21" s="5" t="str">
        <f>+IF('Data Pura Costos'!F21="","",'Data Pura Costos'!F21)</f>
        <v>Molina</v>
      </c>
      <c r="G21" s="5" t="str">
        <f>+IF('Data Pura Costos'!G21="","",'Data Pura Costos'!G21)</f>
        <v xml:space="preserve">CRISTIAN LÓPEZ </v>
      </c>
      <c r="H21" s="52" t="str">
        <f>+IF('Data Pura Costos'!H21="","",'Data Pura Costos'!H21)</f>
        <v>Termo</v>
      </c>
      <c r="I21" s="71">
        <f>+IF('Data Pura Costos'!I21="","",'Data Pura Costos'!I21)</f>
        <v>2891.304347826087</v>
      </c>
      <c r="J21" s="52" t="str">
        <f>+IF('Data Pura Costos'!J21="","",'Data Pura Costos'!J21)</f>
        <v>24-25</v>
      </c>
      <c r="K21" s="82" t="str">
        <f t="shared" si="3"/>
        <v xml:space="preserve">Los Encinos-Molina-CRISTIAN LÓPEZ </v>
      </c>
      <c r="M21" s="4"/>
      <c r="N21" s="5" t="str">
        <f>+IF(M21="","",INDEX('Parámetros Auxiliares'!$D$7:$D$65,MATCH(M21,'Parámetros Auxiliares'!$D$7:$D$65,0)))</f>
        <v/>
      </c>
      <c r="O21" s="259"/>
      <c r="P21" s="1" t="str">
        <f t="shared" si="1"/>
        <v/>
      </c>
      <c r="Q21" s="185"/>
      <c r="R21" s="332"/>
      <c r="S21" s="336" t="str">
        <f>+IF($Q21="","",IF(SUMIFS('Data Pura Producción'!AD$17:AD$531,'Data Pura Producción'!$R$17:$R$531,$Q21,'Data Pura Producción'!$Q$17:$Q$531,$R21)=0,"",SUMIFS('Data Pura Producción'!AD$17:AD$531,'Data Pura Producción'!$R$17:$R$531,$Q21,'Data Pura Producción'!$Q$17:$Q$531,$R21)))</f>
        <v/>
      </c>
      <c r="T21" s="182" t="str">
        <f>+IF($Q21="","",IF(SUMIFS('Data Pura Producción'!AE$17:AE$531,'Data Pura Producción'!$R$17:$R$531,$Q21,'Data Pura Producción'!$Q$17:$Q$531,$R21)=0,"",SUMIFS('Data Pura Producción'!AE$17:AE$531,'Data Pura Producción'!$R$17:$R$531,$Q21,'Data Pura Producción'!$Q$17:$Q$531,$R21)))</f>
        <v/>
      </c>
      <c r="U21" s="182" t="str">
        <f>+IF($Q21="","",IF(SUMIFS('Data Pura Producción'!AF$17:AF$531,'Data Pura Producción'!$R$17:$R$531,$Q21,'Data Pura Producción'!$Q$17:$Q$531,$R21)=0,"",SUMIFS('Data Pura Producción'!AF$17:AF$531,'Data Pura Producción'!$R$17:$R$531,$Q21,'Data Pura Producción'!$Q$17:$Q$531,$R21)))</f>
        <v/>
      </c>
      <c r="V21" s="182" t="str">
        <f>+IF($Q21="","",IF(SUMIFS('Data Pura Producción'!AG$17:AG$531,'Data Pura Producción'!$R$17:$R$531,$Q21,'Data Pura Producción'!$Q$17:$Q$531,$R21)=0,"",SUMIFS('Data Pura Producción'!AG$17:AG$531,'Data Pura Producción'!$R$17:$R$531,$Q21,'Data Pura Producción'!$Q$17:$Q$531,$R21)))</f>
        <v/>
      </c>
      <c r="W21" s="182" t="str">
        <f>+IF($Q21="","",IF(SUMIFS('Data Pura Producción'!AH$17:AH$531,'Data Pura Producción'!$R$17:$R$531,$Q21,'Data Pura Producción'!$Q$17:$Q$531,$R21)=0,"",SUMIFS('Data Pura Producción'!AH$17:AH$531,'Data Pura Producción'!$R$17:$R$531,$Q21,'Data Pura Producción'!$Q$17:$Q$531,$R21)))</f>
        <v/>
      </c>
      <c r="X21" s="182" t="str">
        <f>+IF($Q21="","",IF(SUMIFS('Data Pura Producción'!AI$17:AI$531,'Data Pura Producción'!$R$17:$R$531,$Q21,'Data Pura Producción'!$Q$17:$Q$531,$R21)=0,"",SUMIFS('Data Pura Producción'!AI$17:AI$531,'Data Pura Producción'!$R$17:$R$531,$Q21,'Data Pura Producción'!$Q$17:$Q$531,$R21)))</f>
        <v/>
      </c>
      <c r="Y21" s="182" t="str">
        <f>+IF($Q21="","",IF(SUMIFS('Data Pura Producción'!AJ$17:AJ$531,'Data Pura Producción'!$R$17:$R$531,$Q21,'Data Pura Producción'!$Q$17:$Q$531,$R21)=0,"",SUMIFS('Data Pura Producción'!AJ$17:AJ$531,'Data Pura Producción'!$R$17:$R$531,$Q21,'Data Pura Producción'!$Q$17:$Q$531,$R21)))</f>
        <v/>
      </c>
      <c r="Z21" s="182" t="str">
        <f>+IF($Q21="","",IF(SUMIFS('Data Pura Producción'!AK$17:AK$531,'Data Pura Producción'!$R$17:$R$531,$Q21,'Data Pura Producción'!$Q$17:$Q$531,$R21)=0,"",SUMIFS('Data Pura Producción'!AK$17:AK$531,'Data Pura Producción'!$R$17:$R$531,$Q21,'Data Pura Producción'!$Q$17:$Q$531,$R21)))</f>
        <v/>
      </c>
      <c r="AA21" s="182" t="str">
        <f>+IF($Q21="","",IF(SUMIFS('Data Pura Producción'!AL$17:AL$531,'Data Pura Producción'!$R$17:$R$531,$Q21,'Data Pura Producción'!$Q$17:$Q$531,$R21)=0,"",SUMIFS('Data Pura Producción'!AL$17:AL$531,'Data Pura Producción'!$R$17:$R$531,$Q21,'Data Pura Producción'!$Q$17:$Q$531,$R21)))</f>
        <v/>
      </c>
      <c r="AB21" s="182" t="str">
        <f>+IF($Q21="","",IF(SUMIFS('Data Pura Producción'!AM$17:AM$531,'Data Pura Producción'!$R$17:$R$531,$Q21,'Data Pura Producción'!$Q$17:$Q$531,$R21)=0,"",SUMIFS('Data Pura Producción'!AM$17:AM$531,'Data Pura Producción'!$R$17:$R$531,$Q21,'Data Pura Producción'!$Q$17:$Q$531,$R21)))</f>
        <v/>
      </c>
      <c r="AC21" s="182" t="str">
        <f>+IF($Q21="","",IF(SUMIFS('Data Pura Producción'!AN$17:AN$531,'Data Pura Producción'!$R$17:$R$531,$Q21,'Data Pura Producción'!$Q$17:$Q$531,$R21)=0,"",SUMIFS('Data Pura Producción'!AN$17:AN$531,'Data Pura Producción'!$R$17:$R$531,$Q21,'Data Pura Producción'!$Q$17:$Q$531,$R21)))</f>
        <v/>
      </c>
      <c r="AD21" s="182" t="str">
        <f>+IF($Q21="","",IF(SUMIFS('Data Pura Producción'!AO$17:AO$531,'Data Pura Producción'!$R$17:$R$531,$Q21,'Data Pura Producción'!$Q$17:$Q$531,$R21)=0,"",SUMIFS('Data Pura Producción'!AO$17:AO$531,'Data Pura Producción'!$R$17:$R$531,$Q21,'Data Pura Producción'!$Q$17:$Q$531,$R21)))</f>
        <v/>
      </c>
      <c r="AE21" s="182" t="str">
        <f>+IF($Q21="","",IF(SUMIFS('Data Pura Producción'!AP$17:AP$531,'Data Pura Producción'!$R$17:$R$531,$Q21,'Data Pura Producción'!$Q$17:$Q$531,$R21)=0,"",SUMIFS('Data Pura Producción'!AP$17:AP$531,'Data Pura Producción'!$R$17:$R$531,$Q21,'Data Pura Producción'!$Q$17:$Q$531,$R21)))</f>
        <v/>
      </c>
      <c r="AF21" s="182" t="str">
        <f>+IF($Q21="","",IF(SUMIFS('Data Pura Producción'!AQ$17:AQ$531,'Data Pura Producción'!$R$17:$R$531,$Q21,'Data Pura Producción'!$Q$17:$Q$531,$R21)=0,"",SUMIFS('Data Pura Producción'!AQ$17:AQ$531,'Data Pura Producción'!$R$17:$R$531,$Q21,'Data Pura Producción'!$Q$17:$Q$531,$R21)))</f>
        <v/>
      </c>
      <c r="AG21" s="182" t="str">
        <f>+IF($Q21="","",IF(SUMIFS('Data Pura Producción'!AR$17:AR$531,'Data Pura Producción'!$R$17:$R$531,$Q21,'Data Pura Producción'!$Q$17:$Q$531,$R21)=0,"",SUMIFS('Data Pura Producción'!AR$17:AR$531,'Data Pura Producción'!$R$17:$R$531,$Q21,'Data Pura Producción'!$Q$17:$Q$531,$R21)))</f>
        <v/>
      </c>
      <c r="AH21" s="182" t="str">
        <f>+IF($Q21="","",IF(SUMIFS('Data Pura Producción'!AS$17:AS$531,'Data Pura Producción'!$R$17:$R$531,$Q21,'Data Pura Producción'!$Q$17:$Q$531,$R21)=0,"",SUMIFS('Data Pura Producción'!AS$17:AS$531,'Data Pura Producción'!$R$17:$R$531,$Q21,'Data Pura Producción'!$Q$17:$Q$531,$R21)))</f>
        <v/>
      </c>
      <c r="AI21" s="182" t="str">
        <f>+IF($Q21="","",IF(SUMIFS('Data Pura Producción'!AT$17:AT$531,'Data Pura Producción'!$R$17:$R$531,$Q21,'Data Pura Producción'!$Q$17:$Q$531,$R21)=0,"",SUMIFS('Data Pura Producción'!AT$17:AT$531,'Data Pura Producción'!$R$17:$R$531,$Q21,'Data Pura Producción'!$Q$17:$Q$531,$R21)))</f>
        <v/>
      </c>
      <c r="AJ21" s="182" t="str">
        <f>+IF($Q21="","",IF(SUMIFS('Data Pura Producción'!AU$17:AU$531,'Data Pura Producción'!$R$17:$R$531,$Q21,'Data Pura Producción'!$Q$17:$Q$531,$R21)=0,"",SUMIFS('Data Pura Producción'!AU$17:AU$531,'Data Pura Producción'!$R$17:$R$531,$Q21,'Data Pura Producción'!$Q$17:$Q$531,$R21)))</f>
        <v/>
      </c>
      <c r="AK21" s="182" t="str">
        <f>+IF($Q21="","",IF(SUMIFS('Data Pura Producción'!AV$17:AV$531,'Data Pura Producción'!$R$17:$R$531,$Q21,'Data Pura Producción'!$Q$17:$Q$531,$R21)=0,"",SUMIFS('Data Pura Producción'!AV$17:AV$531,'Data Pura Producción'!$R$17:$R$531,$Q21,'Data Pura Producción'!$Q$17:$Q$531,$R21)))</f>
        <v/>
      </c>
      <c r="AL21" s="182" t="str">
        <f>+IF($Q21="","",IF(SUMIFS('Data Pura Producción'!AW$17:AW$531,'Data Pura Producción'!$R$17:$R$531,$Q21,'Data Pura Producción'!$Q$17:$Q$531,$R21)=0,"",SUMIFS('Data Pura Producción'!AW$17:AW$531,'Data Pura Producción'!$R$17:$R$531,$Q21,'Data Pura Producción'!$Q$17:$Q$531,$R21)))</f>
        <v/>
      </c>
      <c r="AM21" s="337" t="str">
        <f>+IF($Q21="","",IF(SUMIFS('Data Pura Producción'!AX$17:AX$531,'Data Pura Producción'!$R$17:$R$531,$Q21,'Data Pura Producción'!$Q$17:$Q$531,$R21)=0,"",SUMIFS('Data Pura Producción'!AX$17:AX$531,'Data Pura Producción'!$R$17:$R$531,$Q21,'Data Pura Producción'!$Q$17:$Q$531,$R21)))</f>
        <v/>
      </c>
      <c r="AN21" s="187" t="str">
        <f t="shared" si="2"/>
        <v/>
      </c>
    </row>
    <row r="22" spans="2:40" s="7" customFormat="1" x14ac:dyDescent="0.35">
      <c r="B22" s="4" t="str">
        <f>+IF('Data Pura Costos'!B22="","",'Data Pura Costos'!B22)</f>
        <v>Panquehue</v>
      </c>
      <c r="C22" s="4" t="str">
        <f>+IF('Data Pura Costos'!C22="","",'Data Pura Costos'!C22)</f>
        <v>Panquehue, V región</v>
      </c>
      <c r="D22" s="5">
        <f>+IF('Data Pura Costos'!D22="","",'Data Pura Costos'!D22)</f>
        <v>310</v>
      </c>
      <c r="E22" s="65">
        <f>+IF('Data Pura Costos'!E22="","",IF('Data Pura Costos'!E22=0,MAX('Data Pura Costos'!$E$7:$E$3000)*1000,'Data Pura Costos'!E22))</f>
        <v>850000</v>
      </c>
      <c r="F22" s="5" t="str">
        <f>+IF('Data Pura Costos'!F22="","",'Data Pura Costos'!F22)</f>
        <v>Molina</v>
      </c>
      <c r="G22" s="5" t="str">
        <f>+IF('Data Pura Costos'!G22="","",'Data Pura Costos'!G22)</f>
        <v xml:space="preserve">CRISTIAN LÓPEZ </v>
      </c>
      <c r="H22" s="52" t="str">
        <f>+IF('Data Pura Costos'!H22="","",'Data Pura Costos'!H22)</f>
        <v>Termo</v>
      </c>
      <c r="I22" s="71">
        <f>+IF('Data Pura Costos'!I22="","",'Data Pura Costos'!I22)</f>
        <v>2741.9354838709678</v>
      </c>
      <c r="J22" s="52" t="str">
        <f>+IF('Data Pura Costos'!J22="","",'Data Pura Costos'!J22)</f>
        <v>24-25</v>
      </c>
      <c r="K22" s="82" t="str">
        <f t="shared" si="3"/>
        <v xml:space="preserve">Panquehue-Molina-CRISTIAN LÓPEZ </v>
      </c>
      <c r="M22" s="4"/>
      <c r="N22" s="5" t="str">
        <f>+IF(M22="","",INDEX('Parámetros Auxiliares'!$D$7:$D$65,MATCH(M22,'Parámetros Auxiliares'!$D$7:$D$65,0)))</f>
        <v/>
      </c>
      <c r="O22" s="259"/>
      <c r="P22" s="1" t="str">
        <f t="shared" si="1"/>
        <v/>
      </c>
      <c r="Q22" s="185"/>
      <c r="R22" s="332"/>
      <c r="S22" s="336" t="str">
        <f>+IF($Q22="","",IF(SUMIFS('Data Pura Producción'!AD$17:AD$531,'Data Pura Producción'!$R$17:$R$531,$Q22,'Data Pura Producción'!$Q$17:$Q$531,$R22)=0,"",SUMIFS('Data Pura Producción'!AD$17:AD$531,'Data Pura Producción'!$R$17:$R$531,$Q22,'Data Pura Producción'!$Q$17:$Q$531,$R22)))</f>
        <v/>
      </c>
      <c r="T22" s="182" t="str">
        <f>+IF($Q22="","",IF(SUMIFS('Data Pura Producción'!AE$17:AE$531,'Data Pura Producción'!$R$17:$R$531,$Q22,'Data Pura Producción'!$Q$17:$Q$531,$R22)=0,"",SUMIFS('Data Pura Producción'!AE$17:AE$531,'Data Pura Producción'!$R$17:$R$531,$Q22,'Data Pura Producción'!$Q$17:$Q$531,$R22)))</f>
        <v/>
      </c>
      <c r="U22" s="182" t="str">
        <f>+IF($Q22="","",IF(SUMIFS('Data Pura Producción'!AF$17:AF$531,'Data Pura Producción'!$R$17:$R$531,$Q22,'Data Pura Producción'!$Q$17:$Q$531,$R22)=0,"",SUMIFS('Data Pura Producción'!AF$17:AF$531,'Data Pura Producción'!$R$17:$R$531,$Q22,'Data Pura Producción'!$Q$17:$Q$531,$R22)))</f>
        <v/>
      </c>
      <c r="V22" s="182" t="str">
        <f>+IF($Q22="","",IF(SUMIFS('Data Pura Producción'!AG$17:AG$531,'Data Pura Producción'!$R$17:$R$531,$Q22,'Data Pura Producción'!$Q$17:$Q$531,$R22)=0,"",SUMIFS('Data Pura Producción'!AG$17:AG$531,'Data Pura Producción'!$R$17:$R$531,$Q22,'Data Pura Producción'!$Q$17:$Q$531,$R22)))</f>
        <v/>
      </c>
      <c r="W22" s="182" t="str">
        <f>+IF($Q22="","",IF(SUMIFS('Data Pura Producción'!AH$17:AH$531,'Data Pura Producción'!$R$17:$R$531,$Q22,'Data Pura Producción'!$Q$17:$Q$531,$R22)=0,"",SUMIFS('Data Pura Producción'!AH$17:AH$531,'Data Pura Producción'!$R$17:$R$531,$Q22,'Data Pura Producción'!$Q$17:$Q$531,$R22)))</f>
        <v/>
      </c>
      <c r="X22" s="182" t="str">
        <f>+IF($Q22="","",IF(SUMIFS('Data Pura Producción'!AI$17:AI$531,'Data Pura Producción'!$R$17:$R$531,$Q22,'Data Pura Producción'!$Q$17:$Q$531,$R22)=0,"",SUMIFS('Data Pura Producción'!AI$17:AI$531,'Data Pura Producción'!$R$17:$R$531,$Q22,'Data Pura Producción'!$Q$17:$Q$531,$R22)))</f>
        <v/>
      </c>
      <c r="Y22" s="182" t="str">
        <f>+IF($Q22="","",IF(SUMIFS('Data Pura Producción'!AJ$17:AJ$531,'Data Pura Producción'!$R$17:$R$531,$Q22,'Data Pura Producción'!$Q$17:$Q$531,$R22)=0,"",SUMIFS('Data Pura Producción'!AJ$17:AJ$531,'Data Pura Producción'!$R$17:$R$531,$Q22,'Data Pura Producción'!$Q$17:$Q$531,$R22)))</f>
        <v/>
      </c>
      <c r="Z22" s="182" t="str">
        <f>+IF($Q22="","",IF(SUMIFS('Data Pura Producción'!AK$17:AK$531,'Data Pura Producción'!$R$17:$R$531,$Q22,'Data Pura Producción'!$Q$17:$Q$531,$R22)=0,"",SUMIFS('Data Pura Producción'!AK$17:AK$531,'Data Pura Producción'!$R$17:$R$531,$Q22,'Data Pura Producción'!$Q$17:$Q$531,$R22)))</f>
        <v/>
      </c>
      <c r="AA22" s="182" t="str">
        <f>+IF($Q22="","",IF(SUMIFS('Data Pura Producción'!AL$17:AL$531,'Data Pura Producción'!$R$17:$R$531,$Q22,'Data Pura Producción'!$Q$17:$Q$531,$R22)=0,"",SUMIFS('Data Pura Producción'!AL$17:AL$531,'Data Pura Producción'!$R$17:$R$531,$Q22,'Data Pura Producción'!$Q$17:$Q$531,$R22)))</f>
        <v/>
      </c>
      <c r="AB22" s="182" t="str">
        <f>+IF($Q22="","",IF(SUMIFS('Data Pura Producción'!AM$17:AM$531,'Data Pura Producción'!$R$17:$R$531,$Q22,'Data Pura Producción'!$Q$17:$Q$531,$R22)=0,"",SUMIFS('Data Pura Producción'!AM$17:AM$531,'Data Pura Producción'!$R$17:$R$531,$Q22,'Data Pura Producción'!$Q$17:$Q$531,$R22)))</f>
        <v/>
      </c>
      <c r="AC22" s="182" t="str">
        <f>+IF($Q22="","",IF(SUMIFS('Data Pura Producción'!AN$17:AN$531,'Data Pura Producción'!$R$17:$R$531,$Q22,'Data Pura Producción'!$Q$17:$Q$531,$R22)=0,"",SUMIFS('Data Pura Producción'!AN$17:AN$531,'Data Pura Producción'!$R$17:$R$531,$Q22,'Data Pura Producción'!$Q$17:$Q$531,$R22)))</f>
        <v/>
      </c>
      <c r="AD22" s="182" t="str">
        <f>+IF($Q22="","",IF(SUMIFS('Data Pura Producción'!AO$17:AO$531,'Data Pura Producción'!$R$17:$R$531,$Q22,'Data Pura Producción'!$Q$17:$Q$531,$R22)=0,"",SUMIFS('Data Pura Producción'!AO$17:AO$531,'Data Pura Producción'!$R$17:$R$531,$Q22,'Data Pura Producción'!$Q$17:$Q$531,$R22)))</f>
        <v/>
      </c>
      <c r="AE22" s="182" t="str">
        <f>+IF($Q22="","",IF(SUMIFS('Data Pura Producción'!AP$17:AP$531,'Data Pura Producción'!$R$17:$R$531,$Q22,'Data Pura Producción'!$Q$17:$Q$531,$R22)=0,"",SUMIFS('Data Pura Producción'!AP$17:AP$531,'Data Pura Producción'!$R$17:$R$531,$Q22,'Data Pura Producción'!$Q$17:$Q$531,$R22)))</f>
        <v/>
      </c>
      <c r="AF22" s="182" t="str">
        <f>+IF($Q22="","",IF(SUMIFS('Data Pura Producción'!AQ$17:AQ$531,'Data Pura Producción'!$R$17:$R$531,$Q22,'Data Pura Producción'!$Q$17:$Q$531,$R22)=0,"",SUMIFS('Data Pura Producción'!AQ$17:AQ$531,'Data Pura Producción'!$R$17:$R$531,$Q22,'Data Pura Producción'!$Q$17:$Q$531,$R22)))</f>
        <v/>
      </c>
      <c r="AG22" s="182" t="str">
        <f>+IF($Q22="","",IF(SUMIFS('Data Pura Producción'!AR$17:AR$531,'Data Pura Producción'!$R$17:$R$531,$Q22,'Data Pura Producción'!$Q$17:$Q$531,$R22)=0,"",SUMIFS('Data Pura Producción'!AR$17:AR$531,'Data Pura Producción'!$R$17:$R$531,$Q22,'Data Pura Producción'!$Q$17:$Q$531,$R22)))</f>
        <v/>
      </c>
      <c r="AH22" s="182" t="str">
        <f>+IF($Q22="","",IF(SUMIFS('Data Pura Producción'!AS$17:AS$531,'Data Pura Producción'!$R$17:$R$531,$Q22,'Data Pura Producción'!$Q$17:$Q$531,$R22)=0,"",SUMIFS('Data Pura Producción'!AS$17:AS$531,'Data Pura Producción'!$R$17:$R$531,$Q22,'Data Pura Producción'!$Q$17:$Q$531,$R22)))</f>
        <v/>
      </c>
      <c r="AI22" s="182" t="str">
        <f>+IF($Q22="","",IF(SUMIFS('Data Pura Producción'!AT$17:AT$531,'Data Pura Producción'!$R$17:$R$531,$Q22,'Data Pura Producción'!$Q$17:$Q$531,$R22)=0,"",SUMIFS('Data Pura Producción'!AT$17:AT$531,'Data Pura Producción'!$R$17:$R$531,$Q22,'Data Pura Producción'!$Q$17:$Q$531,$R22)))</f>
        <v/>
      </c>
      <c r="AJ22" s="182" t="str">
        <f>+IF($Q22="","",IF(SUMIFS('Data Pura Producción'!AU$17:AU$531,'Data Pura Producción'!$R$17:$R$531,$Q22,'Data Pura Producción'!$Q$17:$Q$531,$R22)=0,"",SUMIFS('Data Pura Producción'!AU$17:AU$531,'Data Pura Producción'!$R$17:$R$531,$Q22,'Data Pura Producción'!$Q$17:$Q$531,$R22)))</f>
        <v/>
      </c>
      <c r="AK22" s="182" t="str">
        <f>+IF($Q22="","",IF(SUMIFS('Data Pura Producción'!AV$17:AV$531,'Data Pura Producción'!$R$17:$R$531,$Q22,'Data Pura Producción'!$Q$17:$Q$531,$R22)=0,"",SUMIFS('Data Pura Producción'!AV$17:AV$531,'Data Pura Producción'!$R$17:$R$531,$Q22,'Data Pura Producción'!$Q$17:$Q$531,$R22)))</f>
        <v/>
      </c>
      <c r="AL22" s="182" t="str">
        <f>+IF($Q22="","",IF(SUMIFS('Data Pura Producción'!AW$17:AW$531,'Data Pura Producción'!$R$17:$R$531,$Q22,'Data Pura Producción'!$Q$17:$Q$531,$R22)=0,"",SUMIFS('Data Pura Producción'!AW$17:AW$531,'Data Pura Producción'!$R$17:$R$531,$Q22,'Data Pura Producción'!$Q$17:$Q$531,$R22)))</f>
        <v/>
      </c>
      <c r="AM22" s="337" t="str">
        <f>+IF($Q22="","",IF(SUMIFS('Data Pura Producción'!AX$17:AX$531,'Data Pura Producción'!$R$17:$R$531,$Q22,'Data Pura Producción'!$Q$17:$Q$531,$R22)=0,"",SUMIFS('Data Pura Producción'!AX$17:AX$531,'Data Pura Producción'!$R$17:$R$531,$Q22,'Data Pura Producción'!$Q$17:$Q$531,$R22)))</f>
        <v/>
      </c>
      <c r="AN22" s="187" t="str">
        <f t="shared" si="2"/>
        <v/>
      </c>
    </row>
    <row r="23" spans="2:40" s="7" customFormat="1" x14ac:dyDescent="0.35">
      <c r="B23" s="4" t="str">
        <f>+IF('Data Pura Costos'!B23="","",'Data Pura Costos'!B23)</f>
        <v>Almahue</v>
      </c>
      <c r="C23" s="4" t="str">
        <f>+IF('Data Pura Costos'!C23="","",'Data Pura Costos'!C23)</f>
        <v>Pichidegua, VI región</v>
      </c>
      <c r="D23" s="5">
        <f>+IF('Data Pura Costos'!D23="","",'Data Pura Costos'!D23)</f>
        <v>50</v>
      </c>
      <c r="E23" s="65">
        <f>+IF('Data Pura Costos'!E23="","",IF('Data Pura Costos'!E23=0,MAX('Data Pura Costos'!$E$7:$E$3000)*1000,'Data Pura Costos'!E23))</f>
        <v>370000</v>
      </c>
      <c r="F23" s="5" t="str">
        <f>+IF('Data Pura Costos'!F23="","",'Data Pura Costos'!F23)</f>
        <v>Malloa</v>
      </c>
      <c r="G23" s="5" t="str">
        <f>+IF('Data Pura Costos'!G23="","",'Data Pura Costos'!G23)</f>
        <v xml:space="preserve">CRISTIAN LÓPEZ </v>
      </c>
      <c r="H23" s="52" t="str">
        <f>+IF('Data Pura Costos'!H23="","",'Data Pura Costos'!H23)</f>
        <v>Termo</v>
      </c>
      <c r="I23" s="71">
        <f>+IF('Data Pura Costos'!I23="","",'Data Pura Costos'!I23)</f>
        <v>7400</v>
      </c>
      <c r="J23" s="52" t="str">
        <f>+IF('Data Pura Costos'!J23="","",'Data Pura Costos'!J23)</f>
        <v>24-25</v>
      </c>
      <c r="K23" s="82" t="str">
        <f t="shared" si="3"/>
        <v xml:space="preserve">Almahue-Malloa-CRISTIAN LÓPEZ </v>
      </c>
      <c r="M23" s="4"/>
      <c r="N23" s="5" t="str">
        <f>+IF(M23="","",INDEX('Parámetros Auxiliares'!$D$7:$D$65,MATCH(M23,'Parámetros Auxiliares'!$D$7:$D$65,0)))</f>
        <v/>
      </c>
      <c r="O23" s="259"/>
      <c r="P23" s="1" t="str">
        <f t="shared" si="1"/>
        <v/>
      </c>
      <c r="Q23" s="185"/>
      <c r="R23" s="332"/>
      <c r="S23" s="336" t="str">
        <f>+IF($Q23="","",IF(SUMIFS('Data Pura Producción'!AD$17:AD$531,'Data Pura Producción'!$R$17:$R$531,$Q23,'Data Pura Producción'!$Q$17:$Q$531,$R23)=0,"",SUMIFS('Data Pura Producción'!AD$17:AD$531,'Data Pura Producción'!$R$17:$R$531,$Q23,'Data Pura Producción'!$Q$17:$Q$531,$R23)))</f>
        <v/>
      </c>
      <c r="T23" s="182" t="str">
        <f>+IF($Q23="","",IF(SUMIFS('Data Pura Producción'!AE$17:AE$531,'Data Pura Producción'!$R$17:$R$531,$Q23,'Data Pura Producción'!$Q$17:$Q$531,$R23)=0,"",SUMIFS('Data Pura Producción'!AE$17:AE$531,'Data Pura Producción'!$R$17:$R$531,$Q23,'Data Pura Producción'!$Q$17:$Q$531,$R23)))</f>
        <v/>
      </c>
      <c r="U23" s="182" t="str">
        <f>+IF($Q23="","",IF(SUMIFS('Data Pura Producción'!AF$17:AF$531,'Data Pura Producción'!$R$17:$R$531,$Q23,'Data Pura Producción'!$Q$17:$Q$531,$R23)=0,"",SUMIFS('Data Pura Producción'!AF$17:AF$531,'Data Pura Producción'!$R$17:$R$531,$Q23,'Data Pura Producción'!$Q$17:$Q$531,$R23)))</f>
        <v/>
      </c>
      <c r="V23" s="182" t="str">
        <f>+IF($Q23="","",IF(SUMIFS('Data Pura Producción'!AG$17:AG$531,'Data Pura Producción'!$R$17:$R$531,$Q23,'Data Pura Producción'!$Q$17:$Q$531,$R23)=0,"",SUMIFS('Data Pura Producción'!AG$17:AG$531,'Data Pura Producción'!$R$17:$R$531,$Q23,'Data Pura Producción'!$Q$17:$Q$531,$R23)))</f>
        <v/>
      </c>
      <c r="W23" s="182" t="str">
        <f>+IF($Q23="","",IF(SUMIFS('Data Pura Producción'!AH$17:AH$531,'Data Pura Producción'!$R$17:$R$531,$Q23,'Data Pura Producción'!$Q$17:$Q$531,$R23)=0,"",SUMIFS('Data Pura Producción'!AH$17:AH$531,'Data Pura Producción'!$R$17:$R$531,$Q23,'Data Pura Producción'!$Q$17:$Q$531,$R23)))</f>
        <v/>
      </c>
      <c r="X23" s="182" t="str">
        <f>+IF($Q23="","",IF(SUMIFS('Data Pura Producción'!AI$17:AI$531,'Data Pura Producción'!$R$17:$R$531,$Q23,'Data Pura Producción'!$Q$17:$Q$531,$R23)=0,"",SUMIFS('Data Pura Producción'!AI$17:AI$531,'Data Pura Producción'!$R$17:$R$531,$Q23,'Data Pura Producción'!$Q$17:$Q$531,$R23)))</f>
        <v/>
      </c>
      <c r="Y23" s="182" t="str">
        <f>+IF($Q23="","",IF(SUMIFS('Data Pura Producción'!AJ$17:AJ$531,'Data Pura Producción'!$R$17:$R$531,$Q23,'Data Pura Producción'!$Q$17:$Q$531,$R23)=0,"",SUMIFS('Data Pura Producción'!AJ$17:AJ$531,'Data Pura Producción'!$R$17:$R$531,$Q23,'Data Pura Producción'!$Q$17:$Q$531,$R23)))</f>
        <v/>
      </c>
      <c r="Z23" s="182" t="str">
        <f>+IF($Q23="","",IF(SUMIFS('Data Pura Producción'!AK$17:AK$531,'Data Pura Producción'!$R$17:$R$531,$Q23,'Data Pura Producción'!$Q$17:$Q$531,$R23)=0,"",SUMIFS('Data Pura Producción'!AK$17:AK$531,'Data Pura Producción'!$R$17:$R$531,$Q23,'Data Pura Producción'!$Q$17:$Q$531,$R23)))</f>
        <v/>
      </c>
      <c r="AA23" s="182" t="str">
        <f>+IF($Q23="","",IF(SUMIFS('Data Pura Producción'!AL$17:AL$531,'Data Pura Producción'!$R$17:$R$531,$Q23,'Data Pura Producción'!$Q$17:$Q$531,$R23)=0,"",SUMIFS('Data Pura Producción'!AL$17:AL$531,'Data Pura Producción'!$R$17:$R$531,$Q23,'Data Pura Producción'!$Q$17:$Q$531,$R23)))</f>
        <v/>
      </c>
      <c r="AB23" s="182" t="str">
        <f>+IF($Q23="","",IF(SUMIFS('Data Pura Producción'!AM$17:AM$531,'Data Pura Producción'!$R$17:$R$531,$Q23,'Data Pura Producción'!$Q$17:$Q$531,$R23)=0,"",SUMIFS('Data Pura Producción'!AM$17:AM$531,'Data Pura Producción'!$R$17:$R$531,$Q23,'Data Pura Producción'!$Q$17:$Q$531,$R23)))</f>
        <v/>
      </c>
      <c r="AC23" s="182" t="str">
        <f>+IF($Q23="","",IF(SUMIFS('Data Pura Producción'!AN$17:AN$531,'Data Pura Producción'!$R$17:$R$531,$Q23,'Data Pura Producción'!$Q$17:$Q$531,$R23)=0,"",SUMIFS('Data Pura Producción'!AN$17:AN$531,'Data Pura Producción'!$R$17:$R$531,$Q23,'Data Pura Producción'!$Q$17:$Q$531,$R23)))</f>
        <v/>
      </c>
      <c r="AD23" s="182" t="str">
        <f>+IF($Q23="","",IF(SUMIFS('Data Pura Producción'!AO$17:AO$531,'Data Pura Producción'!$R$17:$R$531,$Q23,'Data Pura Producción'!$Q$17:$Q$531,$R23)=0,"",SUMIFS('Data Pura Producción'!AO$17:AO$531,'Data Pura Producción'!$R$17:$R$531,$Q23,'Data Pura Producción'!$Q$17:$Q$531,$R23)))</f>
        <v/>
      </c>
      <c r="AE23" s="182" t="str">
        <f>+IF($Q23="","",IF(SUMIFS('Data Pura Producción'!AP$17:AP$531,'Data Pura Producción'!$R$17:$R$531,$Q23,'Data Pura Producción'!$Q$17:$Q$531,$R23)=0,"",SUMIFS('Data Pura Producción'!AP$17:AP$531,'Data Pura Producción'!$R$17:$R$531,$Q23,'Data Pura Producción'!$Q$17:$Q$531,$R23)))</f>
        <v/>
      </c>
      <c r="AF23" s="182" t="str">
        <f>+IF($Q23="","",IF(SUMIFS('Data Pura Producción'!AQ$17:AQ$531,'Data Pura Producción'!$R$17:$R$531,$Q23,'Data Pura Producción'!$Q$17:$Q$531,$R23)=0,"",SUMIFS('Data Pura Producción'!AQ$17:AQ$531,'Data Pura Producción'!$R$17:$R$531,$Q23,'Data Pura Producción'!$Q$17:$Q$531,$R23)))</f>
        <v/>
      </c>
      <c r="AG23" s="182" t="str">
        <f>+IF($Q23="","",IF(SUMIFS('Data Pura Producción'!AR$17:AR$531,'Data Pura Producción'!$R$17:$R$531,$Q23,'Data Pura Producción'!$Q$17:$Q$531,$R23)=0,"",SUMIFS('Data Pura Producción'!AR$17:AR$531,'Data Pura Producción'!$R$17:$R$531,$Q23,'Data Pura Producción'!$Q$17:$Q$531,$R23)))</f>
        <v/>
      </c>
      <c r="AH23" s="182" t="str">
        <f>+IF($Q23="","",IF(SUMIFS('Data Pura Producción'!AS$17:AS$531,'Data Pura Producción'!$R$17:$R$531,$Q23,'Data Pura Producción'!$Q$17:$Q$531,$R23)=0,"",SUMIFS('Data Pura Producción'!AS$17:AS$531,'Data Pura Producción'!$R$17:$R$531,$Q23,'Data Pura Producción'!$Q$17:$Q$531,$R23)))</f>
        <v/>
      </c>
      <c r="AI23" s="182" t="str">
        <f>+IF($Q23="","",IF(SUMIFS('Data Pura Producción'!AT$17:AT$531,'Data Pura Producción'!$R$17:$R$531,$Q23,'Data Pura Producción'!$Q$17:$Q$531,$R23)=0,"",SUMIFS('Data Pura Producción'!AT$17:AT$531,'Data Pura Producción'!$R$17:$R$531,$Q23,'Data Pura Producción'!$Q$17:$Q$531,$R23)))</f>
        <v/>
      </c>
      <c r="AJ23" s="182" t="str">
        <f>+IF($Q23="","",IF(SUMIFS('Data Pura Producción'!AU$17:AU$531,'Data Pura Producción'!$R$17:$R$531,$Q23,'Data Pura Producción'!$Q$17:$Q$531,$R23)=0,"",SUMIFS('Data Pura Producción'!AU$17:AU$531,'Data Pura Producción'!$R$17:$R$531,$Q23,'Data Pura Producción'!$Q$17:$Q$531,$R23)))</f>
        <v/>
      </c>
      <c r="AK23" s="182" t="str">
        <f>+IF($Q23="","",IF(SUMIFS('Data Pura Producción'!AV$17:AV$531,'Data Pura Producción'!$R$17:$R$531,$Q23,'Data Pura Producción'!$Q$17:$Q$531,$R23)=0,"",SUMIFS('Data Pura Producción'!AV$17:AV$531,'Data Pura Producción'!$R$17:$R$531,$Q23,'Data Pura Producción'!$Q$17:$Q$531,$R23)))</f>
        <v/>
      </c>
      <c r="AL23" s="182" t="str">
        <f>+IF($Q23="","",IF(SUMIFS('Data Pura Producción'!AW$17:AW$531,'Data Pura Producción'!$R$17:$R$531,$Q23,'Data Pura Producción'!$Q$17:$Q$531,$R23)=0,"",SUMIFS('Data Pura Producción'!AW$17:AW$531,'Data Pura Producción'!$R$17:$R$531,$Q23,'Data Pura Producción'!$Q$17:$Q$531,$R23)))</f>
        <v/>
      </c>
      <c r="AM23" s="337" t="str">
        <f>+IF($Q23="","",IF(SUMIFS('Data Pura Producción'!AX$17:AX$531,'Data Pura Producción'!$R$17:$R$531,$Q23,'Data Pura Producción'!$Q$17:$Q$531,$R23)=0,"",SUMIFS('Data Pura Producción'!AX$17:AX$531,'Data Pura Producción'!$R$17:$R$531,$Q23,'Data Pura Producción'!$Q$17:$Q$531,$R23)))</f>
        <v/>
      </c>
      <c r="AN23" s="187" t="str">
        <f t="shared" si="2"/>
        <v/>
      </c>
    </row>
    <row r="24" spans="2:40" s="7" customFormat="1" x14ac:dyDescent="0.35">
      <c r="B24" s="4" t="str">
        <f>+IF('Data Pura Costos'!B24="","",'Data Pura Costos'!B24)</f>
        <v>Bodega</v>
      </c>
      <c r="C24" s="4" t="str">
        <f>+IF('Data Pura Costos'!C24="","",'Data Pura Costos'!C24)</f>
        <v>Linares, VII region.</v>
      </c>
      <c r="D24" s="5">
        <f>+IF('Data Pura Costos'!D24="","",'Data Pura Costos'!D24)</f>
        <v>211</v>
      </c>
      <c r="E24" s="65">
        <f>+IF('Data Pura Costos'!E24="","",IF('Data Pura Costos'!E24=0,MAX('Data Pura Costos'!$E$7:$E$3000)*1000,'Data Pura Costos'!E24))</f>
        <v>585000</v>
      </c>
      <c r="F24" s="5" t="str">
        <f>+IF('Data Pura Costos'!F24="","",'Data Pura Costos'!F24)</f>
        <v>Malloa</v>
      </c>
      <c r="G24" s="5" t="str">
        <f>+IF('Data Pura Costos'!G24="","",'Data Pura Costos'!G24)</f>
        <v xml:space="preserve">CRISTIAN LÓPEZ </v>
      </c>
      <c r="H24" s="52" t="str">
        <f>+IF('Data Pura Costos'!H24="","",'Data Pura Costos'!H24)</f>
        <v>Termo</v>
      </c>
      <c r="I24" s="71">
        <f>+IF('Data Pura Costos'!I24="","",'Data Pura Costos'!I24)</f>
        <v>2772.5118483412321</v>
      </c>
      <c r="J24" s="52" t="str">
        <f>+IF('Data Pura Costos'!J24="","",'Data Pura Costos'!J24)</f>
        <v>24-25</v>
      </c>
      <c r="K24" s="82" t="str">
        <f t="shared" si="3"/>
        <v xml:space="preserve">Bodega-Malloa-CRISTIAN LÓPEZ </v>
      </c>
      <c r="M24" s="4"/>
      <c r="N24" s="5" t="str">
        <f>+IF(M24="","",INDEX('Parámetros Auxiliares'!$D$7:$D$65,MATCH(M24,'Parámetros Auxiliares'!$D$7:$D$65,0)))</f>
        <v/>
      </c>
      <c r="O24" s="259"/>
      <c r="P24" s="1" t="str">
        <f t="shared" si="1"/>
        <v/>
      </c>
      <c r="Q24" s="185"/>
      <c r="R24" s="332"/>
      <c r="S24" s="336" t="str">
        <f>+IF($Q24="","",IF(SUMIFS('Data Pura Producción'!AD$17:AD$531,'Data Pura Producción'!$R$17:$R$531,$Q24,'Data Pura Producción'!$Q$17:$Q$531,$R24)=0,"",SUMIFS('Data Pura Producción'!AD$17:AD$531,'Data Pura Producción'!$R$17:$R$531,$Q24,'Data Pura Producción'!$Q$17:$Q$531,$R24)))</f>
        <v/>
      </c>
      <c r="T24" s="182" t="str">
        <f>+IF($Q24="","",IF(SUMIFS('Data Pura Producción'!AE$17:AE$531,'Data Pura Producción'!$R$17:$R$531,$Q24,'Data Pura Producción'!$Q$17:$Q$531,$R24)=0,"",SUMIFS('Data Pura Producción'!AE$17:AE$531,'Data Pura Producción'!$R$17:$R$531,$Q24,'Data Pura Producción'!$Q$17:$Q$531,$R24)))</f>
        <v/>
      </c>
      <c r="U24" s="182" t="str">
        <f>+IF($Q24="","",IF(SUMIFS('Data Pura Producción'!AF$17:AF$531,'Data Pura Producción'!$R$17:$R$531,$Q24,'Data Pura Producción'!$Q$17:$Q$531,$R24)=0,"",SUMIFS('Data Pura Producción'!AF$17:AF$531,'Data Pura Producción'!$R$17:$R$531,$Q24,'Data Pura Producción'!$Q$17:$Q$531,$R24)))</f>
        <v/>
      </c>
      <c r="V24" s="182" t="str">
        <f>+IF($Q24="","",IF(SUMIFS('Data Pura Producción'!AG$17:AG$531,'Data Pura Producción'!$R$17:$R$531,$Q24,'Data Pura Producción'!$Q$17:$Q$531,$R24)=0,"",SUMIFS('Data Pura Producción'!AG$17:AG$531,'Data Pura Producción'!$R$17:$R$531,$Q24,'Data Pura Producción'!$Q$17:$Q$531,$R24)))</f>
        <v/>
      </c>
      <c r="W24" s="182" t="str">
        <f>+IF($Q24="","",IF(SUMIFS('Data Pura Producción'!AH$17:AH$531,'Data Pura Producción'!$R$17:$R$531,$Q24,'Data Pura Producción'!$Q$17:$Q$531,$R24)=0,"",SUMIFS('Data Pura Producción'!AH$17:AH$531,'Data Pura Producción'!$R$17:$R$531,$Q24,'Data Pura Producción'!$Q$17:$Q$531,$R24)))</f>
        <v/>
      </c>
      <c r="X24" s="182" t="str">
        <f>+IF($Q24="","",IF(SUMIFS('Data Pura Producción'!AI$17:AI$531,'Data Pura Producción'!$R$17:$R$531,$Q24,'Data Pura Producción'!$Q$17:$Q$531,$R24)=0,"",SUMIFS('Data Pura Producción'!AI$17:AI$531,'Data Pura Producción'!$R$17:$R$531,$Q24,'Data Pura Producción'!$Q$17:$Q$531,$R24)))</f>
        <v/>
      </c>
      <c r="Y24" s="182" t="str">
        <f>+IF($Q24="","",IF(SUMIFS('Data Pura Producción'!AJ$17:AJ$531,'Data Pura Producción'!$R$17:$R$531,$Q24,'Data Pura Producción'!$Q$17:$Q$531,$R24)=0,"",SUMIFS('Data Pura Producción'!AJ$17:AJ$531,'Data Pura Producción'!$R$17:$R$531,$Q24,'Data Pura Producción'!$Q$17:$Q$531,$R24)))</f>
        <v/>
      </c>
      <c r="Z24" s="182" t="str">
        <f>+IF($Q24="","",IF(SUMIFS('Data Pura Producción'!AK$17:AK$531,'Data Pura Producción'!$R$17:$R$531,$Q24,'Data Pura Producción'!$Q$17:$Q$531,$R24)=0,"",SUMIFS('Data Pura Producción'!AK$17:AK$531,'Data Pura Producción'!$R$17:$R$531,$Q24,'Data Pura Producción'!$Q$17:$Q$531,$R24)))</f>
        <v/>
      </c>
      <c r="AA24" s="182" t="str">
        <f>+IF($Q24="","",IF(SUMIFS('Data Pura Producción'!AL$17:AL$531,'Data Pura Producción'!$R$17:$R$531,$Q24,'Data Pura Producción'!$Q$17:$Q$531,$R24)=0,"",SUMIFS('Data Pura Producción'!AL$17:AL$531,'Data Pura Producción'!$R$17:$R$531,$Q24,'Data Pura Producción'!$Q$17:$Q$531,$R24)))</f>
        <v/>
      </c>
      <c r="AB24" s="182" t="str">
        <f>+IF($Q24="","",IF(SUMIFS('Data Pura Producción'!AM$17:AM$531,'Data Pura Producción'!$R$17:$R$531,$Q24,'Data Pura Producción'!$Q$17:$Q$531,$R24)=0,"",SUMIFS('Data Pura Producción'!AM$17:AM$531,'Data Pura Producción'!$R$17:$R$531,$Q24,'Data Pura Producción'!$Q$17:$Q$531,$R24)))</f>
        <v/>
      </c>
      <c r="AC24" s="182" t="str">
        <f>+IF($Q24="","",IF(SUMIFS('Data Pura Producción'!AN$17:AN$531,'Data Pura Producción'!$R$17:$R$531,$Q24,'Data Pura Producción'!$Q$17:$Q$531,$R24)=0,"",SUMIFS('Data Pura Producción'!AN$17:AN$531,'Data Pura Producción'!$R$17:$R$531,$Q24,'Data Pura Producción'!$Q$17:$Q$531,$R24)))</f>
        <v/>
      </c>
      <c r="AD24" s="182" t="str">
        <f>+IF($Q24="","",IF(SUMIFS('Data Pura Producción'!AO$17:AO$531,'Data Pura Producción'!$R$17:$R$531,$Q24,'Data Pura Producción'!$Q$17:$Q$531,$R24)=0,"",SUMIFS('Data Pura Producción'!AO$17:AO$531,'Data Pura Producción'!$R$17:$R$531,$Q24,'Data Pura Producción'!$Q$17:$Q$531,$R24)))</f>
        <v/>
      </c>
      <c r="AE24" s="182" t="str">
        <f>+IF($Q24="","",IF(SUMIFS('Data Pura Producción'!AP$17:AP$531,'Data Pura Producción'!$R$17:$R$531,$Q24,'Data Pura Producción'!$Q$17:$Q$531,$R24)=0,"",SUMIFS('Data Pura Producción'!AP$17:AP$531,'Data Pura Producción'!$R$17:$R$531,$Q24,'Data Pura Producción'!$Q$17:$Q$531,$R24)))</f>
        <v/>
      </c>
      <c r="AF24" s="182" t="str">
        <f>+IF($Q24="","",IF(SUMIFS('Data Pura Producción'!AQ$17:AQ$531,'Data Pura Producción'!$R$17:$R$531,$Q24,'Data Pura Producción'!$Q$17:$Q$531,$R24)=0,"",SUMIFS('Data Pura Producción'!AQ$17:AQ$531,'Data Pura Producción'!$R$17:$R$531,$Q24,'Data Pura Producción'!$Q$17:$Q$531,$R24)))</f>
        <v/>
      </c>
      <c r="AG24" s="182" t="str">
        <f>+IF($Q24="","",IF(SUMIFS('Data Pura Producción'!AR$17:AR$531,'Data Pura Producción'!$R$17:$R$531,$Q24,'Data Pura Producción'!$Q$17:$Q$531,$R24)=0,"",SUMIFS('Data Pura Producción'!AR$17:AR$531,'Data Pura Producción'!$R$17:$R$531,$Q24,'Data Pura Producción'!$Q$17:$Q$531,$R24)))</f>
        <v/>
      </c>
      <c r="AH24" s="182" t="str">
        <f>+IF($Q24="","",IF(SUMIFS('Data Pura Producción'!AS$17:AS$531,'Data Pura Producción'!$R$17:$R$531,$Q24,'Data Pura Producción'!$Q$17:$Q$531,$R24)=0,"",SUMIFS('Data Pura Producción'!AS$17:AS$531,'Data Pura Producción'!$R$17:$R$531,$Q24,'Data Pura Producción'!$Q$17:$Q$531,$R24)))</f>
        <v/>
      </c>
      <c r="AI24" s="182" t="str">
        <f>+IF($Q24="","",IF(SUMIFS('Data Pura Producción'!AT$17:AT$531,'Data Pura Producción'!$R$17:$R$531,$Q24,'Data Pura Producción'!$Q$17:$Q$531,$R24)=0,"",SUMIFS('Data Pura Producción'!AT$17:AT$531,'Data Pura Producción'!$R$17:$R$531,$Q24,'Data Pura Producción'!$Q$17:$Q$531,$R24)))</f>
        <v/>
      </c>
      <c r="AJ24" s="182" t="str">
        <f>+IF($Q24="","",IF(SUMIFS('Data Pura Producción'!AU$17:AU$531,'Data Pura Producción'!$R$17:$R$531,$Q24,'Data Pura Producción'!$Q$17:$Q$531,$R24)=0,"",SUMIFS('Data Pura Producción'!AU$17:AU$531,'Data Pura Producción'!$R$17:$R$531,$Q24,'Data Pura Producción'!$Q$17:$Q$531,$R24)))</f>
        <v/>
      </c>
      <c r="AK24" s="182" t="str">
        <f>+IF($Q24="","",IF(SUMIFS('Data Pura Producción'!AV$17:AV$531,'Data Pura Producción'!$R$17:$R$531,$Q24,'Data Pura Producción'!$Q$17:$Q$531,$R24)=0,"",SUMIFS('Data Pura Producción'!AV$17:AV$531,'Data Pura Producción'!$R$17:$R$531,$Q24,'Data Pura Producción'!$Q$17:$Q$531,$R24)))</f>
        <v/>
      </c>
      <c r="AL24" s="182" t="str">
        <f>+IF($Q24="","",IF(SUMIFS('Data Pura Producción'!AW$17:AW$531,'Data Pura Producción'!$R$17:$R$531,$Q24,'Data Pura Producción'!$Q$17:$Q$531,$R24)=0,"",SUMIFS('Data Pura Producción'!AW$17:AW$531,'Data Pura Producción'!$R$17:$R$531,$Q24,'Data Pura Producción'!$Q$17:$Q$531,$R24)))</f>
        <v/>
      </c>
      <c r="AM24" s="337" t="str">
        <f>+IF($Q24="","",IF(SUMIFS('Data Pura Producción'!AX$17:AX$531,'Data Pura Producción'!$R$17:$R$531,$Q24,'Data Pura Producción'!$Q$17:$Q$531,$R24)=0,"",SUMIFS('Data Pura Producción'!AX$17:AX$531,'Data Pura Producción'!$R$17:$R$531,$Q24,'Data Pura Producción'!$Q$17:$Q$531,$R24)))</f>
        <v/>
      </c>
      <c r="AN24" s="187" t="str">
        <f t="shared" si="2"/>
        <v/>
      </c>
    </row>
    <row r="25" spans="2:40" s="7" customFormat="1" x14ac:dyDescent="0.35">
      <c r="B25" s="4" t="str">
        <f>+IF('Data Pura Costos'!B25="","",'Data Pura Costos'!B25)</f>
        <v xml:space="preserve">Caliboro </v>
      </c>
      <c r="C25" s="4" t="str">
        <f>+IF('Data Pura Costos'!C25="","",'Data Pura Costos'!C25)</f>
        <v>San Javier, VII región</v>
      </c>
      <c r="D25" s="5">
        <f>+IF('Data Pura Costos'!D25="","",'Data Pura Costos'!D25)</f>
        <v>206</v>
      </c>
      <c r="E25" s="65">
        <f>+IF('Data Pura Costos'!E25="","",IF('Data Pura Costos'!E25=0,MAX('Data Pura Costos'!$E$7:$E$3000)*1000,'Data Pura Costos'!E25))</f>
        <v>585000</v>
      </c>
      <c r="F25" s="5" t="str">
        <f>+IF('Data Pura Costos'!F25="","",'Data Pura Costos'!F25)</f>
        <v>Malloa</v>
      </c>
      <c r="G25" s="5" t="str">
        <f>+IF('Data Pura Costos'!G25="","",'Data Pura Costos'!G25)</f>
        <v xml:space="preserve">CRISTIAN LÓPEZ </v>
      </c>
      <c r="H25" s="52" t="str">
        <f>+IF('Data Pura Costos'!H25="","",'Data Pura Costos'!H25)</f>
        <v>Termo</v>
      </c>
      <c r="I25" s="71">
        <f>+IF('Data Pura Costos'!I25="","",'Data Pura Costos'!I25)</f>
        <v>2839.8058252427186</v>
      </c>
      <c r="J25" s="52" t="str">
        <f>+IF('Data Pura Costos'!J25="","",'Data Pura Costos'!J25)</f>
        <v>24-25</v>
      </c>
      <c r="K25" s="82" t="str">
        <f t="shared" si="3"/>
        <v xml:space="preserve">Caliboro -Malloa-CRISTIAN LÓPEZ </v>
      </c>
      <c r="M25" s="4"/>
      <c r="N25" s="5" t="str">
        <f>+IF(M25="","",INDEX('Parámetros Auxiliares'!$D$7:$D$65,MATCH(M25,'Parámetros Auxiliares'!$D$7:$D$65,0)))</f>
        <v/>
      </c>
      <c r="O25" s="259"/>
      <c r="P25" s="1" t="str">
        <f t="shared" si="1"/>
        <v/>
      </c>
      <c r="Q25" s="185"/>
      <c r="R25" s="332"/>
      <c r="S25" s="336" t="str">
        <f>+IF($Q25="","",IF(SUMIFS('Data Pura Producción'!AD$17:AD$531,'Data Pura Producción'!$R$17:$R$531,$Q25,'Data Pura Producción'!$Q$17:$Q$531,$R25)=0,"",SUMIFS('Data Pura Producción'!AD$17:AD$531,'Data Pura Producción'!$R$17:$R$531,$Q25,'Data Pura Producción'!$Q$17:$Q$531,$R25)))</f>
        <v/>
      </c>
      <c r="T25" s="182" t="str">
        <f>+IF($Q25="","",IF(SUMIFS('Data Pura Producción'!AE$17:AE$531,'Data Pura Producción'!$R$17:$R$531,$Q25,'Data Pura Producción'!$Q$17:$Q$531,$R25)=0,"",SUMIFS('Data Pura Producción'!AE$17:AE$531,'Data Pura Producción'!$R$17:$R$531,$Q25,'Data Pura Producción'!$Q$17:$Q$531,$R25)))</f>
        <v/>
      </c>
      <c r="U25" s="182" t="str">
        <f>+IF($Q25="","",IF(SUMIFS('Data Pura Producción'!AF$17:AF$531,'Data Pura Producción'!$R$17:$R$531,$Q25,'Data Pura Producción'!$Q$17:$Q$531,$R25)=0,"",SUMIFS('Data Pura Producción'!AF$17:AF$531,'Data Pura Producción'!$R$17:$R$531,$Q25,'Data Pura Producción'!$Q$17:$Q$531,$R25)))</f>
        <v/>
      </c>
      <c r="V25" s="182" t="str">
        <f>+IF($Q25="","",IF(SUMIFS('Data Pura Producción'!AG$17:AG$531,'Data Pura Producción'!$R$17:$R$531,$Q25,'Data Pura Producción'!$Q$17:$Q$531,$R25)=0,"",SUMIFS('Data Pura Producción'!AG$17:AG$531,'Data Pura Producción'!$R$17:$R$531,$Q25,'Data Pura Producción'!$Q$17:$Q$531,$R25)))</f>
        <v/>
      </c>
      <c r="W25" s="182" t="str">
        <f>+IF($Q25="","",IF(SUMIFS('Data Pura Producción'!AH$17:AH$531,'Data Pura Producción'!$R$17:$R$531,$Q25,'Data Pura Producción'!$Q$17:$Q$531,$R25)=0,"",SUMIFS('Data Pura Producción'!AH$17:AH$531,'Data Pura Producción'!$R$17:$R$531,$Q25,'Data Pura Producción'!$Q$17:$Q$531,$R25)))</f>
        <v/>
      </c>
      <c r="X25" s="182" t="str">
        <f>+IF($Q25="","",IF(SUMIFS('Data Pura Producción'!AI$17:AI$531,'Data Pura Producción'!$R$17:$R$531,$Q25,'Data Pura Producción'!$Q$17:$Q$531,$R25)=0,"",SUMIFS('Data Pura Producción'!AI$17:AI$531,'Data Pura Producción'!$R$17:$R$531,$Q25,'Data Pura Producción'!$Q$17:$Q$531,$R25)))</f>
        <v/>
      </c>
      <c r="Y25" s="182" t="str">
        <f>+IF($Q25="","",IF(SUMIFS('Data Pura Producción'!AJ$17:AJ$531,'Data Pura Producción'!$R$17:$R$531,$Q25,'Data Pura Producción'!$Q$17:$Q$531,$R25)=0,"",SUMIFS('Data Pura Producción'!AJ$17:AJ$531,'Data Pura Producción'!$R$17:$R$531,$Q25,'Data Pura Producción'!$Q$17:$Q$531,$R25)))</f>
        <v/>
      </c>
      <c r="Z25" s="182" t="str">
        <f>+IF($Q25="","",IF(SUMIFS('Data Pura Producción'!AK$17:AK$531,'Data Pura Producción'!$R$17:$R$531,$Q25,'Data Pura Producción'!$Q$17:$Q$531,$R25)=0,"",SUMIFS('Data Pura Producción'!AK$17:AK$531,'Data Pura Producción'!$R$17:$R$531,$Q25,'Data Pura Producción'!$Q$17:$Q$531,$R25)))</f>
        <v/>
      </c>
      <c r="AA25" s="182" t="str">
        <f>+IF($Q25="","",IF(SUMIFS('Data Pura Producción'!AL$17:AL$531,'Data Pura Producción'!$R$17:$R$531,$Q25,'Data Pura Producción'!$Q$17:$Q$531,$R25)=0,"",SUMIFS('Data Pura Producción'!AL$17:AL$531,'Data Pura Producción'!$R$17:$R$531,$Q25,'Data Pura Producción'!$Q$17:$Q$531,$R25)))</f>
        <v/>
      </c>
      <c r="AB25" s="182" t="str">
        <f>+IF($Q25="","",IF(SUMIFS('Data Pura Producción'!AM$17:AM$531,'Data Pura Producción'!$R$17:$R$531,$Q25,'Data Pura Producción'!$Q$17:$Q$531,$R25)=0,"",SUMIFS('Data Pura Producción'!AM$17:AM$531,'Data Pura Producción'!$R$17:$R$531,$Q25,'Data Pura Producción'!$Q$17:$Q$531,$R25)))</f>
        <v/>
      </c>
      <c r="AC25" s="182" t="str">
        <f>+IF($Q25="","",IF(SUMIFS('Data Pura Producción'!AN$17:AN$531,'Data Pura Producción'!$R$17:$R$531,$Q25,'Data Pura Producción'!$Q$17:$Q$531,$R25)=0,"",SUMIFS('Data Pura Producción'!AN$17:AN$531,'Data Pura Producción'!$R$17:$R$531,$Q25,'Data Pura Producción'!$Q$17:$Q$531,$R25)))</f>
        <v/>
      </c>
      <c r="AD25" s="182" t="str">
        <f>+IF($Q25="","",IF(SUMIFS('Data Pura Producción'!AO$17:AO$531,'Data Pura Producción'!$R$17:$R$531,$Q25,'Data Pura Producción'!$Q$17:$Q$531,$R25)=0,"",SUMIFS('Data Pura Producción'!AO$17:AO$531,'Data Pura Producción'!$R$17:$R$531,$Q25,'Data Pura Producción'!$Q$17:$Q$531,$R25)))</f>
        <v/>
      </c>
      <c r="AE25" s="182" t="str">
        <f>+IF($Q25="","",IF(SUMIFS('Data Pura Producción'!AP$17:AP$531,'Data Pura Producción'!$R$17:$R$531,$Q25,'Data Pura Producción'!$Q$17:$Q$531,$R25)=0,"",SUMIFS('Data Pura Producción'!AP$17:AP$531,'Data Pura Producción'!$R$17:$R$531,$Q25,'Data Pura Producción'!$Q$17:$Q$531,$R25)))</f>
        <v/>
      </c>
      <c r="AF25" s="182" t="str">
        <f>+IF($Q25="","",IF(SUMIFS('Data Pura Producción'!AQ$17:AQ$531,'Data Pura Producción'!$R$17:$R$531,$Q25,'Data Pura Producción'!$Q$17:$Q$531,$R25)=0,"",SUMIFS('Data Pura Producción'!AQ$17:AQ$531,'Data Pura Producción'!$R$17:$R$531,$Q25,'Data Pura Producción'!$Q$17:$Q$531,$R25)))</f>
        <v/>
      </c>
      <c r="AG25" s="182" t="str">
        <f>+IF($Q25="","",IF(SUMIFS('Data Pura Producción'!AR$17:AR$531,'Data Pura Producción'!$R$17:$R$531,$Q25,'Data Pura Producción'!$Q$17:$Q$531,$R25)=0,"",SUMIFS('Data Pura Producción'!AR$17:AR$531,'Data Pura Producción'!$R$17:$R$531,$Q25,'Data Pura Producción'!$Q$17:$Q$531,$R25)))</f>
        <v/>
      </c>
      <c r="AH25" s="182" t="str">
        <f>+IF($Q25="","",IF(SUMIFS('Data Pura Producción'!AS$17:AS$531,'Data Pura Producción'!$R$17:$R$531,$Q25,'Data Pura Producción'!$Q$17:$Q$531,$R25)=0,"",SUMIFS('Data Pura Producción'!AS$17:AS$531,'Data Pura Producción'!$R$17:$R$531,$Q25,'Data Pura Producción'!$Q$17:$Q$531,$R25)))</f>
        <v/>
      </c>
      <c r="AI25" s="182" t="str">
        <f>+IF($Q25="","",IF(SUMIFS('Data Pura Producción'!AT$17:AT$531,'Data Pura Producción'!$R$17:$R$531,$Q25,'Data Pura Producción'!$Q$17:$Q$531,$R25)=0,"",SUMIFS('Data Pura Producción'!AT$17:AT$531,'Data Pura Producción'!$R$17:$R$531,$Q25,'Data Pura Producción'!$Q$17:$Q$531,$R25)))</f>
        <v/>
      </c>
      <c r="AJ25" s="182" t="str">
        <f>+IF($Q25="","",IF(SUMIFS('Data Pura Producción'!AU$17:AU$531,'Data Pura Producción'!$R$17:$R$531,$Q25,'Data Pura Producción'!$Q$17:$Q$531,$R25)=0,"",SUMIFS('Data Pura Producción'!AU$17:AU$531,'Data Pura Producción'!$R$17:$R$531,$Q25,'Data Pura Producción'!$Q$17:$Q$531,$R25)))</f>
        <v/>
      </c>
      <c r="AK25" s="182" t="str">
        <f>+IF($Q25="","",IF(SUMIFS('Data Pura Producción'!AV$17:AV$531,'Data Pura Producción'!$R$17:$R$531,$Q25,'Data Pura Producción'!$Q$17:$Q$531,$R25)=0,"",SUMIFS('Data Pura Producción'!AV$17:AV$531,'Data Pura Producción'!$R$17:$R$531,$Q25,'Data Pura Producción'!$Q$17:$Q$531,$R25)))</f>
        <v/>
      </c>
      <c r="AL25" s="182" t="str">
        <f>+IF($Q25="","",IF(SUMIFS('Data Pura Producción'!AW$17:AW$531,'Data Pura Producción'!$R$17:$R$531,$Q25,'Data Pura Producción'!$Q$17:$Q$531,$R25)=0,"",SUMIFS('Data Pura Producción'!AW$17:AW$531,'Data Pura Producción'!$R$17:$R$531,$Q25,'Data Pura Producción'!$Q$17:$Q$531,$R25)))</f>
        <v/>
      </c>
      <c r="AM25" s="337" t="str">
        <f>+IF($Q25="","",IF(SUMIFS('Data Pura Producción'!AX$17:AX$531,'Data Pura Producción'!$R$17:$R$531,$Q25,'Data Pura Producción'!$Q$17:$Q$531,$R25)=0,"",SUMIFS('Data Pura Producción'!AX$17:AX$531,'Data Pura Producción'!$R$17:$R$531,$Q25,'Data Pura Producción'!$Q$17:$Q$531,$R25)))</f>
        <v/>
      </c>
      <c r="AN25" s="187" t="str">
        <f t="shared" si="2"/>
        <v/>
      </c>
    </row>
    <row r="26" spans="2:40" s="7" customFormat="1" x14ac:dyDescent="0.35">
      <c r="B26" s="4" t="str">
        <f>+IF('Data Pura Costos'!B26="","",'Data Pura Costos'!B26)</f>
        <v>Chumpirro</v>
      </c>
      <c r="C26" s="4" t="str">
        <f>+IF('Data Pura Costos'!C26="","",'Data Pura Costos'!C26)</f>
        <v>Angol, IX región</v>
      </c>
      <c r="D26" s="5">
        <f>+IF('Data Pura Costos'!D26="","",'Data Pura Costos'!D26)</f>
        <v>450</v>
      </c>
      <c r="E26" s="65">
        <f>+IF('Data Pura Costos'!E26="","",IF('Data Pura Costos'!E26=0,MAX('Data Pura Costos'!$E$7:$E$3000)*1000,'Data Pura Costos'!E26))</f>
        <v>1125000</v>
      </c>
      <c r="F26" s="5" t="str">
        <f>+IF('Data Pura Costos'!F26="","",'Data Pura Costos'!F26)</f>
        <v>Malloa</v>
      </c>
      <c r="G26" s="5" t="str">
        <f>+IF('Data Pura Costos'!G26="","",'Data Pura Costos'!G26)</f>
        <v xml:space="preserve">CRISTIAN LÓPEZ </v>
      </c>
      <c r="H26" s="52" t="str">
        <f>+IF('Data Pura Costos'!H26="","",'Data Pura Costos'!H26)</f>
        <v>Termo</v>
      </c>
      <c r="I26" s="71">
        <f>+IF('Data Pura Costos'!I26="","",'Data Pura Costos'!I26)</f>
        <v>2500</v>
      </c>
      <c r="J26" s="52" t="str">
        <f>+IF('Data Pura Costos'!J26="","",'Data Pura Costos'!J26)</f>
        <v>24-25</v>
      </c>
      <c r="K26" s="82" t="str">
        <f t="shared" si="3"/>
        <v xml:space="preserve">Chumpirro-Malloa-CRISTIAN LÓPEZ </v>
      </c>
      <c r="M26" s="4"/>
      <c r="N26" s="5" t="str">
        <f>+IF(M26="","",INDEX('Parámetros Auxiliares'!$D$7:$D$65,MATCH(M26,'Parámetros Auxiliares'!$D$7:$D$65,0)))</f>
        <v/>
      </c>
      <c r="O26" s="259"/>
      <c r="P26" s="1" t="str">
        <f t="shared" si="1"/>
        <v/>
      </c>
      <c r="Q26" s="185"/>
      <c r="R26" s="332"/>
      <c r="S26" s="336" t="str">
        <f>+IF($Q26="","",IF(SUMIFS('Data Pura Producción'!AD$17:AD$531,'Data Pura Producción'!$R$17:$R$531,$Q26,'Data Pura Producción'!$Q$17:$Q$531,$R26)=0,"",SUMIFS('Data Pura Producción'!AD$17:AD$531,'Data Pura Producción'!$R$17:$R$531,$Q26,'Data Pura Producción'!$Q$17:$Q$531,$R26)))</f>
        <v/>
      </c>
      <c r="T26" s="182" t="str">
        <f>+IF($Q26="","",IF(SUMIFS('Data Pura Producción'!AE$17:AE$531,'Data Pura Producción'!$R$17:$R$531,$Q26,'Data Pura Producción'!$Q$17:$Q$531,$R26)=0,"",SUMIFS('Data Pura Producción'!AE$17:AE$531,'Data Pura Producción'!$R$17:$R$531,$Q26,'Data Pura Producción'!$Q$17:$Q$531,$R26)))</f>
        <v/>
      </c>
      <c r="U26" s="182" t="str">
        <f>+IF($Q26="","",IF(SUMIFS('Data Pura Producción'!AF$17:AF$531,'Data Pura Producción'!$R$17:$R$531,$Q26,'Data Pura Producción'!$Q$17:$Q$531,$R26)=0,"",SUMIFS('Data Pura Producción'!AF$17:AF$531,'Data Pura Producción'!$R$17:$R$531,$Q26,'Data Pura Producción'!$Q$17:$Q$531,$R26)))</f>
        <v/>
      </c>
      <c r="V26" s="182" t="str">
        <f>+IF($Q26="","",IF(SUMIFS('Data Pura Producción'!AG$17:AG$531,'Data Pura Producción'!$R$17:$R$531,$Q26,'Data Pura Producción'!$Q$17:$Q$531,$R26)=0,"",SUMIFS('Data Pura Producción'!AG$17:AG$531,'Data Pura Producción'!$R$17:$R$531,$Q26,'Data Pura Producción'!$Q$17:$Q$531,$R26)))</f>
        <v/>
      </c>
      <c r="W26" s="182" t="str">
        <f>+IF($Q26="","",IF(SUMIFS('Data Pura Producción'!AH$17:AH$531,'Data Pura Producción'!$R$17:$R$531,$Q26,'Data Pura Producción'!$Q$17:$Q$531,$R26)=0,"",SUMIFS('Data Pura Producción'!AH$17:AH$531,'Data Pura Producción'!$R$17:$R$531,$Q26,'Data Pura Producción'!$Q$17:$Q$531,$R26)))</f>
        <v/>
      </c>
      <c r="X26" s="182" t="str">
        <f>+IF($Q26="","",IF(SUMIFS('Data Pura Producción'!AI$17:AI$531,'Data Pura Producción'!$R$17:$R$531,$Q26,'Data Pura Producción'!$Q$17:$Q$531,$R26)=0,"",SUMIFS('Data Pura Producción'!AI$17:AI$531,'Data Pura Producción'!$R$17:$R$531,$Q26,'Data Pura Producción'!$Q$17:$Q$531,$R26)))</f>
        <v/>
      </c>
      <c r="Y26" s="182" t="str">
        <f>+IF($Q26="","",IF(SUMIFS('Data Pura Producción'!AJ$17:AJ$531,'Data Pura Producción'!$R$17:$R$531,$Q26,'Data Pura Producción'!$Q$17:$Q$531,$R26)=0,"",SUMIFS('Data Pura Producción'!AJ$17:AJ$531,'Data Pura Producción'!$R$17:$R$531,$Q26,'Data Pura Producción'!$Q$17:$Q$531,$R26)))</f>
        <v/>
      </c>
      <c r="Z26" s="182" t="str">
        <f>+IF($Q26="","",IF(SUMIFS('Data Pura Producción'!AK$17:AK$531,'Data Pura Producción'!$R$17:$R$531,$Q26,'Data Pura Producción'!$Q$17:$Q$531,$R26)=0,"",SUMIFS('Data Pura Producción'!AK$17:AK$531,'Data Pura Producción'!$R$17:$R$531,$Q26,'Data Pura Producción'!$Q$17:$Q$531,$R26)))</f>
        <v/>
      </c>
      <c r="AA26" s="182" t="str">
        <f>+IF($Q26="","",IF(SUMIFS('Data Pura Producción'!AL$17:AL$531,'Data Pura Producción'!$R$17:$R$531,$Q26,'Data Pura Producción'!$Q$17:$Q$531,$R26)=0,"",SUMIFS('Data Pura Producción'!AL$17:AL$531,'Data Pura Producción'!$R$17:$R$531,$Q26,'Data Pura Producción'!$Q$17:$Q$531,$R26)))</f>
        <v/>
      </c>
      <c r="AB26" s="182" t="str">
        <f>+IF($Q26="","",IF(SUMIFS('Data Pura Producción'!AM$17:AM$531,'Data Pura Producción'!$R$17:$R$531,$Q26,'Data Pura Producción'!$Q$17:$Q$531,$R26)=0,"",SUMIFS('Data Pura Producción'!AM$17:AM$531,'Data Pura Producción'!$R$17:$R$531,$Q26,'Data Pura Producción'!$Q$17:$Q$531,$R26)))</f>
        <v/>
      </c>
      <c r="AC26" s="182" t="str">
        <f>+IF($Q26="","",IF(SUMIFS('Data Pura Producción'!AN$17:AN$531,'Data Pura Producción'!$R$17:$R$531,$Q26,'Data Pura Producción'!$Q$17:$Q$531,$R26)=0,"",SUMIFS('Data Pura Producción'!AN$17:AN$531,'Data Pura Producción'!$R$17:$R$531,$Q26,'Data Pura Producción'!$Q$17:$Q$531,$R26)))</f>
        <v/>
      </c>
      <c r="AD26" s="182" t="str">
        <f>+IF($Q26="","",IF(SUMIFS('Data Pura Producción'!AO$17:AO$531,'Data Pura Producción'!$R$17:$R$531,$Q26,'Data Pura Producción'!$Q$17:$Q$531,$R26)=0,"",SUMIFS('Data Pura Producción'!AO$17:AO$531,'Data Pura Producción'!$R$17:$R$531,$Q26,'Data Pura Producción'!$Q$17:$Q$531,$R26)))</f>
        <v/>
      </c>
      <c r="AE26" s="182" t="str">
        <f>+IF($Q26="","",IF(SUMIFS('Data Pura Producción'!AP$17:AP$531,'Data Pura Producción'!$R$17:$R$531,$Q26,'Data Pura Producción'!$Q$17:$Q$531,$R26)=0,"",SUMIFS('Data Pura Producción'!AP$17:AP$531,'Data Pura Producción'!$R$17:$R$531,$Q26,'Data Pura Producción'!$Q$17:$Q$531,$R26)))</f>
        <v/>
      </c>
      <c r="AF26" s="182" t="str">
        <f>+IF($Q26="","",IF(SUMIFS('Data Pura Producción'!AQ$17:AQ$531,'Data Pura Producción'!$R$17:$R$531,$Q26,'Data Pura Producción'!$Q$17:$Q$531,$R26)=0,"",SUMIFS('Data Pura Producción'!AQ$17:AQ$531,'Data Pura Producción'!$R$17:$R$531,$Q26,'Data Pura Producción'!$Q$17:$Q$531,$R26)))</f>
        <v/>
      </c>
      <c r="AG26" s="182" t="str">
        <f>+IF($Q26="","",IF(SUMIFS('Data Pura Producción'!AR$17:AR$531,'Data Pura Producción'!$R$17:$R$531,$Q26,'Data Pura Producción'!$Q$17:$Q$531,$R26)=0,"",SUMIFS('Data Pura Producción'!AR$17:AR$531,'Data Pura Producción'!$R$17:$R$531,$Q26,'Data Pura Producción'!$Q$17:$Q$531,$R26)))</f>
        <v/>
      </c>
      <c r="AH26" s="182" t="str">
        <f>+IF($Q26="","",IF(SUMIFS('Data Pura Producción'!AS$17:AS$531,'Data Pura Producción'!$R$17:$R$531,$Q26,'Data Pura Producción'!$Q$17:$Q$531,$R26)=0,"",SUMIFS('Data Pura Producción'!AS$17:AS$531,'Data Pura Producción'!$R$17:$R$531,$Q26,'Data Pura Producción'!$Q$17:$Q$531,$R26)))</f>
        <v/>
      </c>
      <c r="AI26" s="182" t="str">
        <f>+IF($Q26="","",IF(SUMIFS('Data Pura Producción'!AT$17:AT$531,'Data Pura Producción'!$R$17:$R$531,$Q26,'Data Pura Producción'!$Q$17:$Q$531,$R26)=0,"",SUMIFS('Data Pura Producción'!AT$17:AT$531,'Data Pura Producción'!$R$17:$R$531,$Q26,'Data Pura Producción'!$Q$17:$Q$531,$R26)))</f>
        <v/>
      </c>
      <c r="AJ26" s="182" t="str">
        <f>+IF($Q26="","",IF(SUMIFS('Data Pura Producción'!AU$17:AU$531,'Data Pura Producción'!$R$17:$R$531,$Q26,'Data Pura Producción'!$Q$17:$Q$531,$R26)=0,"",SUMIFS('Data Pura Producción'!AU$17:AU$531,'Data Pura Producción'!$R$17:$R$531,$Q26,'Data Pura Producción'!$Q$17:$Q$531,$R26)))</f>
        <v/>
      </c>
      <c r="AK26" s="182" t="str">
        <f>+IF($Q26="","",IF(SUMIFS('Data Pura Producción'!AV$17:AV$531,'Data Pura Producción'!$R$17:$R$531,$Q26,'Data Pura Producción'!$Q$17:$Q$531,$R26)=0,"",SUMIFS('Data Pura Producción'!AV$17:AV$531,'Data Pura Producción'!$R$17:$R$531,$Q26,'Data Pura Producción'!$Q$17:$Q$531,$R26)))</f>
        <v/>
      </c>
      <c r="AL26" s="182" t="str">
        <f>+IF($Q26="","",IF(SUMIFS('Data Pura Producción'!AW$17:AW$531,'Data Pura Producción'!$R$17:$R$531,$Q26,'Data Pura Producción'!$Q$17:$Q$531,$R26)=0,"",SUMIFS('Data Pura Producción'!AW$17:AW$531,'Data Pura Producción'!$R$17:$R$531,$Q26,'Data Pura Producción'!$Q$17:$Q$531,$R26)))</f>
        <v/>
      </c>
      <c r="AM26" s="337" t="str">
        <f>+IF($Q26="","",IF(SUMIFS('Data Pura Producción'!AX$17:AX$531,'Data Pura Producción'!$R$17:$R$531,$Q26,'Data Pura Producción'!$Q$17:$Q$531,$R26)=0,"",SUMIFS('Data Pura Producción'!AX$17:AX$531,'Data Pura Producción'!$R$17:$R$531,$Q26,'Data Pura Producción'!$Q$17:$Q$531,$R26)))</f>
        <v/>
      </c>
      <c r="AN26" s="187" t="str">
        <f t="shared" si="2"/>
        <v/>
      </c>
    </row>
    <row r="27" spans="2:40" s="7" customFormat="1" x14ac:dyDescent="0.35">
      <c r="B27" s="4" t="str">
        <f>+IF('Data Pura Costos'!B27="","",'Data Pura Costos'!B27)</f>
        <v>El Cóndor</v>
      </c>
      <c r="C27" s="4" t="str">
        <f>+IF('Data Pura Costos'!C27="","",'Data Pura Costos'!C27)</f>
        <v>Chimbarongo, VI Region.</v>
      </c>
      <c r="D27" s="5">
        <f>+IF('Data Pura Costos'!D27="","",'Data Pura Costos'!D27)</f>
        <v>60</v>
      </c>
      <c r="E27" s="65">
        <f>+IF('Data Pura Costos'!E27="","",IF('Data Pura Costos'!E27=0,MAX('Data Pura Costos'!$E$7:$E$3000)*1000,'Data Pura Costos'!E27))</f>
        <v>370000</v>
      </c>
      <c r="F27" s="5" t="str">
        <f>+IF('Data Pura Costos'!F27="","",'Data Pura Costos'!F27)</f>
        <v>Malloa</v>
      </c>
      <c r="G27" s="5" t="str">
        <f>+IF('Data Pura Costos'!G27="","",'Data Pura Costos'!G27)</f>
        <v xml:space="preserve">CRISTIAN LÓPEZ </v>
      </c>
      <c r="H27" s="52" t="str">
        <f>+IF('Data Pura Costos'!H27="","",'Data Pura Costos'!H27)</f>
        <v>Termo</v>
      </c>
      <c r="I27" s="71">
        <f>+IF('Data Pura Costos'!I27="","",'Data Pura Costos'!I27)</f>
        <v>6166.666666666667</v>
      </c>
      <c r="J27" s="52" t="str">
        <f>+IF('Data Pura Costos'!J27="","",'Data Pura Costos'!J27)</f>
        <v>24-25</v>
      </c>
      <c r="K27" s="82" t="str">
        <f t="shared" si="3"/>
        <v xml:space="preserve">El Cóndor-Malloa-CRISTIAN LÓPEZ </v>
      </c>
      <c r="M27" s="4"/>
      <c r="N27" s="5" t="str">
        <f>+IF(M27="","",INDEX('Parámetros Auxiliares'!$D$7:$D$65,MATCH(M27,'Parámetros Auxiliares'!$D$7:$D$65,0)))</f>
        <v/>
      </c>
      <c r="O27" s="259"/>
      <c r="P27" s="1" t="str">
        <f t="shared" si="1"/>
        <v/>
      </c>
      <c r="Q27" s="185"/>
      <c r="R27" s="332"/>
      <c r="S27" s="336" t="str">
        <f>+IF($Q27="","",IF(SUMIFS('Data Pura Producción'!AD$17:AD$531,'Data Pura Producción'!$R$17:$R$531,$Q27,'Data Pura Producción'!$Q$17:$Q$531,$R27)=0,"",SUMIFS('Data Pura Producción'!AD$17:AD$531,'Data Pura Producción'!$R$17:$R$531,$Q27,'Data Pura Producción'!$Q$17:$Q$531,$R27)))</f>
        <v/>
      </c>
      <c r="T27" s="182" t="str">
        <f>+IF($Q27="","",IF(SUMIFS('Data Pura Producción'!AE$17:AE$531,'Data Pura Producción'!$R$17:$R$531,$Q27,'Data Pura Producción'!$Q$17:$Q$531,$R27)=0,"",SUMIFS('Data Pura Producción'!AE$17:AE$531,'Data Pura Producción'!$R$17:$R$531,$Q27,'Data Pura Producción'!$Q$17:$Q$531,$R27)))</f>
        <v/>
      </c>
      <c r="U27" s="182" t="str">
        <f>+IF($Q27="","",IF(SUMIFS('Data Pura Producción'!AF$17:AF$531,'Data Pura Producción'!$R$17:$R$531,$Q27,'Data Pura Producción'!$Q$17:$Q$531,$R27)=0,"",SUMIFS('Data Pura Producción'!AF$17:AF$531,'Data Pura Producción'!$R$17:$R$531,$Q27,'Data Pura Producción'!$Q$17:$Q$531,$R27)))</f>
        <v/>
      </c>
      <c r="V27" s="182" t="str">
        <f>+IF($Q27="","",IF(SUMIFS('Data Pura Producción'!AG$17:AG$531,'Data Pura Producción'!$R$17:$R$531,$Q27,'Data Pura Producción'!$Q$17:$Q$531,$R27)=0,"",SUMIFS('Data Pura Producción'!AG$17:AG$531,'Data Pura Producción'!$R$17:$R$531,$Q27,'Data Pura Producción'!$Q$17:$Q$531,$R27)))</f>
        <v/>
      </c>
      <c r="W27" s="182" t="str">
        <f>+IF($Q27="","",IF(SUMIFS('Data Pura Producción'!AH$17:AH$531,'Data Pura Producción'!$R$17:$R$531,$Q27,'Data Pura Producción'!$Q$17:$Q$531,$R27)=0,"",SUMIFS('Data Pura Producción'!AH$17:AH$531,'Data Pura Producción'!$R$17:$R$531,$Q27,'Data Pura Producción'!$Q$17:$Q$531,$R27)))</f>
        <v/>
      </c>
      <c r="X27" s="182" t="str">
        <f>+IF($Q27="","",IF(SUMIFS('Data Pura Producción'!AI$17:AI$531,'Data Pura Producción'!$R$17:$R$531,$Q27,'Data Pura Producción'!$Q$17:$Q$531,$R27)=0,"",SUMIFS('Data Pura Producción'!AI$17:AI$531,'Data Pura Producción'!$R$17:$R$531,$Q27,'Data Pura Producción'!$Q$17:$Q$531,$R27)))</f>
        <v/>
      </c>
      <c r="Y27" s="182" t="str">
        <f>+IF($Q27="","",IF(SUMIFS('Data Pura Producción'!AJ$17:AJ$531,'Data Pura Producción'!$R$17:$R$531,$Q27,'Data Pura Producción'!$Q$17:$Q$531,$R27)=0,"",SUMIFS('Data Pura Producción'!AJ$17:AJ$531,'Data Pura Producción'!$R$17:$R$531,$Q27,'Data Pura Producción'!$Q$17:$Q$531,$R27)))</f>
        <v/>
      </c>
      <c r="Z27" s="182" t="str">
        <f>+IF($Q27="","",IF(SUMIFS('Data Pura Producción'!AK$17:AK$531,'Data Pura Producción'!$R$17:$R$531,$Q27,'Data Pura Producción'!$Q$17:$Q$531,$R27)=0,"",SUMIFS('Data Pura Producción'!AK$17:AK$531,'Data Pura Producción'!$R$17:$R$531,$Q27,'Data Pura Producción'!$Q$17:$Q$531,$R27)))</f>
        <v/>
      </c>
      <c r="AA27" s="182" t="str">
        <f>+IF($Q27="","",IF(SUMIFS('Data Pura Producción'!AL$17:AL$531,'Data Pura Producción'!$R$17:$R$531,$Q27,'Data Pura Producción'!$Q$17:$Q$531,$R27)=0,"",SUMIFS('Data Pura Producción'!AL$17:AL$531,'Data Pura Producción'!$R$17:$R$531,$Q27,'Data Pura Producción'!$Q$17:$Q$531,$R27)))</f>
        <v/>
      </c>
      <c r="AB27" s="182" t="str">
        <f>+IF($Q27="","",IF(SUMIFS('Data Pura Producción'!AM$17:AM$531,'Data Pura Producción'!$R$17:$R$531,$Q27,'Data Pura Producción'!$Q$17:$Q$531,$R27)=0,"",SUMIFS('Data Pura Producción'!AM$17:AM$531,'Data Pura Producción'!$R$17:$R$531,$Q27,'Data Pura Producción'!$Q$17:$Q$531,$R27)))</f>
        <v/>
      </c>
      <c r="AC27" s="182" t="str">
        <f>+IF($Q27="","",IF(SUMIFS('Data Pura Producción'!AN$17:AN$531,'Data Pura Producción'!$R$17:$R$531,$Q27,'Data Pura Producción'!$Q$17:$Q$531,$R27)=0,"",SUMIFS('Data Pura Producción'!AN$17:AN$531,'Data Pura Producción'!$R$17:$R$531,$Q27,'Data Pura Producción'!$Q$17:$Q$531,$R27)))</f>
        <v/>
      </c>
      <c r="AD27" s="182" t="str">
        <f>+IF($Q27="","",IF(SUMIFS('Data Pura Producción'!AO$17:AO$531,'Data Pura Producción'!$R$17:$R$531,$Q27,'Data Pura Producción'!$Q$17:$Q$531,$R27)=0,"",SUMIFS('Data Pura Producción'!AO$17:AO$531,'Data Pura Producción'!$R$17:$R$531,$Q27,'Data Pura Producción'!$Q$17:$Q$531,$R27)))</f>
        <v/>
      </c>
      <c r="AE27" s="182" t="str">
        <f>+IF($Q27="","",IF(SUMIFS('Data Pura Producción'!AP$17:AP$531,'Data Pura Producción'!$R$17:$R$531,$Q27,'Data Pura Producción'!$Q$17:$Q$531,$R27)=0,"",SUMIFS('Data Pura Producción'!AP$17:AP$531,'Data Pura Producción'!$R$17:$R$531,$Q27,'Data Pura Producción'!$Q$17:$Q$531,$R27)))</f>
        <v/>
      </c>
      <c r="AF27" s="182" t="str">
        <f>+IF($Q27="","",IF(SUMIFS('Data Pura Producción'!AQ$17:AQ$531,'Data Pura Producción'!$R$17:$R$531,$Q27,'Data Pura Producción'!$Q$17:$Q$531,$R27)=0,"",SUMIFS('Data Pura Producción'!AQ$17:AQ$531,'Data Pura Producción'!$R$17:$R$531,$Q27,'Data Pura Producción'!$Q$17:$Q$531,$R27)))</f>
        <v/>
      </c>
      <c r="AG27" s="182" t="str">
        <f>+IF($Q27="","",IF(SUMIFS('Data Pura Producción'!AR$17:AR$531,'Data Pura Producción'!$R$17:$R$531,$Q27,'Data Pura Producción'!$Q$17:$Q$531,$R27)=0,"",SUMIFS('Data Pura Producción'!AR$17:AR$531,'Data Pura Producción'!$R$17:$R$531,$Q27,'Data Pura Producción'!$Q$17:$Q$531,$R27)))</f>
        <v/>
      </c>
      <c r="AH27" s="182" t="str">
        <f>+IF($Q27="","",IF(SUMIFS('Data Pura Producción'!AS$17:AS$531,'Data Pura Producción'!$R$17:$R$531,$Q27,'Data Pura Producción'!$Q$17:$Q$531,$R27)=0,"",SUMIFS('Data Pura Producción'!AS$17:AS$531,'Data Pura Producción'!$R$17:$R$531,$Q27,'Data Pura Producción'!$Q$17:$Q$531,$R27)))</f>
        <v/>
      </c>
      <c r="AI27" s="182" t="str">
        <f>+IF($Q27="","",IF(SUMIFS('Data Pura Producción'!AT$17:AT$531,'Data Pura Producción'!$R$17:$R$531,$Q27,'Data Pura Producción'!$Q$17:$Q$531,$R27)=0,"",SUMIFS('Data Pura Producción'!AT$17:AT$531,'Data Pura Producción'!$R$17:$R$531,$Q27,'Data Pura Producción'!$Q$17:$Q$531,$R27)))</f>
        <v/>
      </c>
      <c r="AJ27" s="182" t="str">
        <f>+IF($Q27="","",IF(SUMIFS('Data Pura Producción'!AU$17:AU$531,'Data Pura Producción'!$R$17:$R$531,$Q27,'Data Pura Producción'!$Q$17:$Q$531,$R27)=0,"",SUMIFS('Data Pura Producción'!AU$17:AU$531,'Data Pura Producción'!$R$17:$R$531,$Q27,'Data Pura Producción'!$Q$17:$Q$531,$R27)))</f>
        <v/>
      </c>
      <c r="AK27" s="182" t="str">
        <f>+IF($Q27="","",IF(SUMIFS('Data Pura Producción'!AV$17:AV$531,'Data Pura Producción'!$R$17:$R$531,$Q27,'Data Pura Producción'!$Q$17:$Q$531,$R27)=0,"",SUMIFS('Data Pura Producción'!AV$17:AV$531,'Data Pura Producción'!$R$17:$R$531,$Q27,'Data Pura Producción'!$Q$17:$Q$531,$R27)))</f>
        <v/>
      </c>
      <c r="AL27" s="182" t="str">
        <f>+IF($Q27="","",IF(SUMIFS('Data Pura Producción'!AW$17:AW$531,'Data Pura Producción'!$R$17:$R$531,$Q27,'Data Pura Producción'!$Q$17:$Q$531,$R27)=0,"",SUMIFS('Data Pura Producción'!AW$17:AW$531,'Data Pura Producción'!$R$17:$R$531,$Q27,'Data Pura Producción'!$Q$17:$Q$531,$R27)))</f>
        <v/>
      </c>
      <c r="AM27" s="337" t="str">
        <f>+IF($Q27="","",IF(SUMIFS('Data Pura Producción'!AX$17:AX$531,'Data Pura Producción'!$R$17:$R$531,$Q27,'Data Pura Producción'!$Q$17:$Q$531,$R27)=0,"",SUMIFS('Data Pura Producción'!AX$17:AX$531,'Data Pura Producción'!$R$17:$R$531,$Q27,'Data Pura Producción'!$Q$17:$Q$531,$R27)))</f>
        <v/>
      </c>
      <c r="AN27" s="187" t="str">
        <f t="shared" si="2"/>
        <v/>
      </c>
    </row>
    <row r="28" spans="2:40" s="7" customFormat="1" x14ac:dyDescent="0.35">
      <c r="B28" s="4" t="str">
        <f>+IF('Data Pura Costos'!B28="","",'Data Pura Costos'!B28)</f>
        <v>El Descanso</v>
      </c>
      <c r="C28" s="4" t="str">
        <f>+IF('Data Pura Costos'!C28="","",'Data Pura Costos'!C28)</f>
        <v>Sagrada Familia, VII región</v>
      </c>
      <c r="D28" s="5">
        <f>+IF('Data Pura Costos'!D28="","",'Data Pura Costos'!D28)</f>
        <v>100</v>
      </c>
      <c r="E28" s="65">
        <f>+IF('Data Pura Costos'!E28="","",IF('Data Pura Costos'!E28=0,MAX('Data Pura Costos'!$E$7:$E$3000)*1000,'Data Pura Costos'!E28))</f>
        <v>450000</v>
      </c>
      <c r="F28" s="5" t="str">
        <f>+IF('Data Pura Costos'!F28="","",'Data Pura Costos'!F28)</f>
        <v>Malloa</v>
      </c>
      <c r="G28" s="5" t="str">
        <f>+IF('Data Pura Costos'!G28="","",'Data Pura Costos'!G28)</f>
        <v xml:space="preserve">CRISTIAN LÓPEZ </v>
      </c>
      <c r="H28" s="52" t="str">
        <f>+IF('Data Pura Costos'!H28="","",'Data Pura Costos'!H28)</f>
        <v>Termo</v>
      </c>
      <c r="I28" s="71">
        <f>+IF('Data Pura Costos'!I28="","",'Data Pura Costos'!I28)</f>
        <v>4500</v>
      </c>
      <c r="J28" s="52" t="str">
        <f>+IF('Data Pura Costos'!J28="","",'Data Pura Costos'!J28)</f>
        <v>24-25</v>
      </c>
      <c r="K28" s="82" t="str">
        <f t="shared" si="3"/>
        <v xml:space="preserve">El Descanso-Malloa-CRISTIAN LÓPEZ </v>
      </c>
      <c r="M28" s="4"/>
      <c r="N28" s="5" t="str">
        <f>+IF(M28="","",INDEX('Parámetros Auxiliares'!$D$7:$D$65,MATCH(M28,'Parámetros Auxiliares'!$D$7:$D$65,0)))</f>
        <v/>
      </c>
      <c r="O28" s="259"/>
      <c r="P28" s="1" t="str">
        <f t="shared" si="1"/>
        <v/>
      </c>
      <c r="Q28" s="185"/>
      <c r="R28" s="332"/>
      <c r="S28" s="336" t="str">
        <f>+IF($Q28="","",IF(SUMIFS('Data Pura Producción'!AD$17:AD$531,'Data Pura Producción'!$R$17:$R$531,$Q28,'Data Pura Producción'!$Q$17:$Q$531,$R28)=0,"",SUMIFS('Data Pura Producción'!AD$17:AD$531,'Data Pura Producción'!$R$17:$R$531,$Q28,'Data Pura Producción'!$Q$17:$Q$531,$R28)))</f>
        <v/>
      </c>
      <c r="T28" s="182" t="str">
        <f>+IF($Q28="","",IF(SUMIFS('Data Pura Producción'!AE$17:AE$531,'Data Pura Producción'!$R$17:$R$531,$Q28,'Data Pura Producción'!$Q$17:$Q$531,$R28)=0,"",SUMIFS('Data Pura Producción'!AE$17:AE$531,'Data Pura Producción'!$R$17:$R$531,$Q28,'Data Pura Producción'!$Q$17:$Q$531,$R28)))</f>
        <v/>
      </c>
      <c r="U28" s="182" t="str">
        <f>+IF($Q28="","",IF(SUMIFS('Data Pura Producción'!AF$17:AF$531,'Data Pura Producción'!$R$17:$R$531,$Q28,'Data Pura Producción'!$Q$17:$Q$531,$R28)=0,"",SUMIFS('Data Pura Producción'!AF$17:AF$531,'Data Pura Producción'!$R$17:$R$531,$Q28,'Data Pura Producción'!$Q$17:$Q$531,$R28)))</f>
        <v/>
      </c>
      <c r="V28" s="182" t="str">
        <f>+IF($Q28="","",IF(SUMIFS('Data Pura Producción'!AG$17:AG$531,'Data Pura Producción'!$R$17:$R$531,$Q28,'Data Pura Producción'!$Q$17:$Q$531,$R28)=0,"",SUMIFS('Data Pura Producción'!AG$17:AG$531,'Data Pura Producción'!$R$17:$R$531,$Q28,'Data Pura Producción'!$Q$17:$Q$531,$R28)))</f>
        <v/>
      </c>
      <c r="W28" s="182" t="str">
        <f>+IF($Q28="","",IF(SUMIFS('Data Pura Producción'!AH$17:AH$531,'Data Pura Producción'!$R$17:$R$531,$Q28,'Data Pura Producción'!$Q$17:$Q$531,$R28)=0,"",SUMIFS('Data Pura Producción'!AH$17:AH$531,'Data Pura Producción'!$R$17:$R$531,$Q28,'Data Pura Producción'!$Q$17:$Q$531,$R28)))</f>
        <v/>
      </c>
      <c r="X28" s="182" t="str">
        <f>+IF($Q28="","",IF(SUMIFS('Data Pura Producción'!AI$17:AI$531,'Data Pura Producción'!$R$17:$R$531,$Q28,'Data Pura Producción'!$Q$17:$Q$531,$R28)=0,"",SUMIFS('Data Pura Producción'!AI$17:AI$531,'Data Pura Producción'!$R$17:$R$531,$Q28,'Data Pura Producción'!$Q$17:$Q$531,$R28)))</f>
        <v/>
      </c>
      <c r="Y28" s="182" t="str">
        <f>+IF($Q28="","",IF(SUMIFS('Data Pura Producción'!AJ$17:AJ$531,'Data Pura Producción'!$R$17:$R$531,$Q28,'Data Pura Producción'!$Q$17:$Q$531,$R28)=0,"",SUMIFS('Data Pura Producción'!AJ$17:AJ$531,'Data Pura Producción'!$R$17:$R$531,$Q28,'Data Pura Producción'!$Q$17:$Q$531,$R28)))</f>
        <v/>
      </c>
      <c r="Z28" s="182" t="str">
        <f>+IF($Q28="","",IF(SUMIFS('Data Pura Producción'!AK$17:AK$531,'Data Pura Producción'!$R$17:$R$531,$Q28,'Data Pura Producción'!$Q$17:$Q$531,$R28)=0,"",SUMIFS('Data Pura Producción'!AK$17:AK$531,'Data Pura Producción'!$R$17:$R$531,$Q28,'Data Pura Producción'!$Q$17:$Q$531,$R28)))</f>
        <v/>
      </c>
      <c r="AA28" s="182" t="str">
        <f>+IF($Q28="","",IF(SUMIFS('Data Pura Producción'!AL$17:AL$531,'Data Pura Producción'!$R$17:$R$531,$Q28,'Data Pura Producción'!$Q$17:$Q$531,$R28)=0,"",SUMIFS('Data Pura Producción'!AL$17:AL$531,'Data Pura Producción'!$R$17:$R$531,$Q28,'Data Pura Producción'!$Q$17:$Q$531,$R28)))</f>
        <v/>
      </c>
      <c r="AB28" s="182" t="str">
        <f>+IF($Q28="","",IF(SUMIFS('Data Pura Producción'!AM$17:AM$531,'Data Pura Producción'!$R$17:$R$531,$Q28,'Data Pura Producción'!$Q$17:$Q$531,$R28)=0,"",SUMIFS('Data Pura Producción'!AM$17:AM$531,'Data Pura Producción'!$R$17:$R$531,$Q28,'Data Pura Producción'!$Q$17:$Q$531,$R28)))</f>
        <v/>
      </c>
      <c r="AC28" s="182" t="str">
        <f>+IF($Q28="","",IF(SUMIFS('Data Pura Producción'!AN$17:AN$531,'Data Pura Producción'!$R$17:$R$531,$Q28,'Data Pura Producción'!$Q$17:$Q$531,$R28)=0,"",SUMIFS('Data Pura Producción'!AN$17:AN$531,'Data Pura Producción'!$R$17:$R$531,$Q28,'Data Pura Producción'!$Q$17:$Q$531,$R28)))</f>
        <v/>
      </c>
      <c r="AD28" s="182" t="str">
        <f>+IF($Q28="","",IF(SUMIFS('Data Pura Producción'!AO$17:AO$531,'Data Pura Producción'!$R$17:$R$531,$Q28,'Data Pura Producción'!$Q$17:$Q$531,$R28)=0,"",SUMIFS('Data Pura Producción'!AO$17:AO$531,'Data Pura Producción'!$R$17:$R$531,$Q28,'Data Pura Producción'!$Q$17:$Q$531,$R28)))</f>
        <v/>
      </c>
      <c r="AE28" s="182" t="str">
        <f>+IF($Q28="","",IF(SUMIFS('Data Pura Producción'!AP$17:AP$531,'Data Pura Producción'!$R$17:$R$531,$Q28,'Data Pura Producción'!$Q$17:$Q$531,$R28)=0,"",SUMIFS('Data Pura Producción'!AP$17:AP$531,'Data Pura Producción'!$R$17:$R$531,$Q28,'Data Pura Producción'!$Q$17:$Q$531,$R28)))</f>
        <v/>
      </c>
      <c r="AF28" s="182" t="str">
        <f>+IF($Q28="","",IF(SUMIFS('Data Pura Producción'!AQ$17:AQ$531,'Data Pura Producción'!$R$17:$R$531,$Q28,'Data Pura Producción'!$Q$17:$Q$531,$R28)=0,"",SUMIFS('Data Pura Producción'!AQ$17:AQ$531,'Data Pura Producción'!$R$17:$R$531,$Q28,'Data Pura Producción'!$Q$17:$Q$531,$R28)))</f>
        <v/>
      </c>
      <c r="AG28" s="182" t="str">
        <f>+IF($Q28="","",IF(SUMIFS('Data Pura Producción'!AR$17:AR$531,'Data Pura Producción'!$R$17:$R$531,$Q28,'Data Pura Producción'!$Q$17:$Q$531,$R28)=0,"",SUMIFS('Data Pura Producción'!AR$17:AR$531,'Data Pura Producción'!$R$17:$R$531,$Q28,'Data Pura Producción'!$Q$17:$Q$531,$R28)))</f>
        <v/>
      </c>
      <c r="AH28" s="182" t="str">
        <f>+IF($Q28="","",IF(SUMIFS('Data Pura Producción'!AS$17:AS$531,'Data Pura Producción'!$R$17:$R$531,$Q28,'Data Pura Producción'!$Q$17:$Q$531,$R28)=0,"",SUMIFS('Data Pura Producción'!AS$17:AS$531,'Data Pura Producción'!$R$17:$R$531,$Q28,'Data Pura Producción'!$Q$17:$Q$531,$R28)))</f>
        <v/>
      </c>
      <c r="AI28" s="182" t="str">
        <f>+IF($Q28="","",IF(SUMIFS('Data Pura Producción'!AT$17:AT$531,'Data Pura Producción'!$R$17:$R$531,$Q28,'Data Pura Producción'!$Q$17:$Q$531,$R28)=0,"",SUMIFS('Data Pura Producción'!AT$17:AT$531,'Data Pura Producción'!$R$17:$R$531,$Q28,'Data Pura Producción'!$Q$17:$Q$531,$R28)))</f>
        <v/>
      </c>
      <c r="AJ28" s="182" t="str">
        <f>+IF($Q28="","",IF(SUMIFS('Data Pura Producción'!AU$17:AU$531,'Data Pura Producción'!$R$17:$R$531,$Q28,'Data Pura Producción'!$Q$17:$Q$531,$R28)=0,"",SUMIFS('Data Pura Producción'!AU$17:AU$531,'Data Pura Producción'!$R$17:$R$531,$Q28,'Data Pura Producción'!$Q$17:$Q$531,$R28)))</f>
        <v/>
      </c>
      <c r="AK28" s="182" t="str">
        <f>+IF($Q28="","",IF(SUMIFS('Data Pura Producción'!AV$17:AV$531,'Data Pura Producción'!$R$17:$R$531,$Q28,'Data Pura Producción'!$Q$17:$Q$531,$R28)=0,"",SUMIFS('Data Pura Producción'!AV$17:AV$531,'Data Pura Producción'!$R$17:$R$531,$Q28,'Data Pura Producción'!$Q$17:$Q$531,$R28)))</f>
        <v/>
      </c>
      <c r="AL28" s="182" t="str">
        <f>+IF($Q28="","",IF(SUMIFS('Data Pura Producción'!AW$17:AW$531,'Data Pura Producción'!$R$17:$R$531,$Q28,'Data Pura Producción'!$Q$17:$Q$531,$R28)=0,"",SUMIFS('Data Pura Producción'!AW$17:AW$531,'Data Pura Producción'!$R$17:$R$531,$Q28,'Data Pura Producción'!$Q$17:$Q$531,$R28)))</f>
        <v/>
      </c>
      <c r="AM28" s="337" t="str">
        <f>+IF($Q28="","",IF(SUMIFS('Data Pura Producción'!AX$17:AX$531,'Data Pura Producción'!$R$17:$R$531,$Q28,'Data Pura Producción'!$Q$17:$Q$531,$R28)=0,"",SUMIFS('Data Pura Producción'!AX$17:AX$531,'Data Pura Producción'!$R$17:$R$531,$Q28,'Data Pura Producción'!$Q$17:$Q$531,$R28)))</f>
        <v/>
      </c>
      <c r="AN28" s="187" t="str">
        <f t="shared" si="2"/>
        <v/>
      </c>
    </row>
    <row r="29" spans="2:40" s="7" customFormat="1" x14ac:dyDescent="0.35">
      <c r="B29" s="4" t="str">
        <f>+IF('Data Pura Costos'!B29="","",'Data Pura Costos'!B29)</f>
        <v>Los Encinos</v>
      </c>
      <c r="C29" s="4" t="str">
        <f>+IF('Data Pura Costos'!C29="","",'Data Pura Costos'!C29)</f>
        <v>Huechun, RM</v>
      </c>
      <c r="D29" s="5">
        <f>+IF('Data Pura Costos'!D29="","",'Data Pura Costos'!D29)</f>
        <v>145</v>
      </c>
      <c r="E29" s="65">
        <f>+IF('Data Pura Costos'!E29="","",IF('Data Pura Costos'!E29=0,MAX('Data Pura Costos'!$E$7:$E$3000)*1000,'Data Pura Costos'!E29))</f>
        <v>500000</v>
      </c>
      <c r="F29" s="5" t="str">
        <f>+IF('Data Pura Costos'!F29="","",'Data Pura Costos'!F29)</f>
        <v>Malloa</v>
      </c>
      <c r="G29" s="5" t="str">
        <f>+IF('Data Pura Costos'!G29="","",'Data Pura Costos'!G29)</f>
        <v xml:space="preserve">CRISTIAN LÓPEZ </v>
      </c>
      <c r="H29" s="52" t="str">
        <f>+IF('Data Pura Costos'!H29="","",'Data Pura Costos'!H29)</f>
        <v>Termo</v>
      </c>
      <c r="I29" s="71">
        <f>+IF('Data Pura Costos'!I29="","",'Data Pura Costos'!I29)</f>
        <v>3448.2758620689656</v>
      </c>
      <c r="J29" s="52" t="str">
        <f>+IF('Data Pura Costos'!J29="","",'Data Pura Costos'!J29)</f>
        <v>24-25</v>
      </c>
      <c r="K29" s="82" t="str">
        <f t="shared" si="3"/>
        <v xml:space="preserve">Los Encinos-Malloa-CRISTIAN LÓPEZ </v>
      </c>
      <c r="M29" s="4"/>
      <c r="N29" s="5" t="str">
        <f>+IF(M29="","",INDEX('Parámetros Auxiliares'!$D$7:$D$65,MATCH(M29,'Parámetros Auxiliares'!$D$7:$D$65,0)))</f>
        <v/>
      </c>
      <c r="O29" s="259"/>
      <c r="P29" s="1" t="str">
        <f t="shared" si="1"/>
        <v/>
      </c>
      <c r="Q29" s="185"/>
      <c r="R29" s="332"/>
      <c r="S29" s="336" t="str">
        <f>+IF($Q29="","",IF(SUMIFS('Data Pura Producción'!AD$17:AD$531,'Data Pura Producción'!$R$17:$R$531,$Q29,'Data Pura Producción'!$Q$17:$Q$531,$R29)=0,"",SUMIFS('Data Pura Producción'!AD$17:AD$531,'Data Pura Producción'!$R$17:$R$531,$Q29,'Data Pura Producción'!$Q$17:$Q$531,$R29)))</f>
        <v/>
      </c>
      <c r="T29" s="182" t="str">
        <f>+IF($Q29="","",IF(SUMIFS('Data Pura Producción'!AE$17:AE$531,'Data Pura Producción'!$R$17:$R$531,$Q29,'Data Pura Producción'!$Q$17:$Q$531,$R29)=0,"",SUMIFS('Data Pura Producción'!AE$17:AE$531,'Data Pura Producción'!$R$17:$R$531,$Q29,'Data Pura Producción'!$Q$17:$Q$531,$R29)))</f>
        <v/>
      </c>
      <c r="U29" s="182" t="str">
        <f>+IF($Q29="","",IF(SUMIFS('Data Pura Producción'!AF$17:AF$531,'Data Pura Producción'!$R$17:$R$531,$Q29,'Data Pura Producción'!$Q$17:$Q$531,$R29)=0,"",SUMIFS('Data Pura Producción'!AF$17:AF$531,'Data Pura Producción'!$R$17:$R$531,$Q29,'Data Pura Producción'!$Q$17:$Q$531,$R29)))</f>
        <v/>
      </c>
      <c r="V29" s="182" t="str">
        <f>+IF($Q29="","",IF(SUMIFS('Data Pura Producción'!AG$17:AG$531,'Data Pura Producción'!$R$17:$R$531,$Q29,'Data Pura Producción'!$Q$17:$Q$531,$R29)=0,"",SUMIFS('Data Pura Producción'!AG$17:AG$531,'Data Pura Producción'!$R$17:$R$531,$Q29,'Data Pura Producción'!$Q$17:$Q$531,$R29)))</f>
        <v/>
      </c>
      <c r="W29" s="182" t="str">
        <f>+IF($Q29="","",IF(SUMIFS('Data Pura Producción'!AH$17:AH$531,'Data Pura Producción'!$R$17:$R$531,$Q29,'Data Pura Producción'!$Q$17:$Q$531,$R29)=0,"",SUMIFS('Data Pura Producción'!AH$17:AH$531,'Data Pura Producción'!$R$17:$R$531,$Q29,'Data Pura Producción'!$Q$17:$Q$531,$R29)))</f>
        <v/>
      </c>
      <c r="X29" s="182" t="str">
        <f>+IF($Q29="","",IF(SUMIFS('Data Pura Producción'!AI$17:AI$531,'Data Pura Producción'!$R$17:$R$531,$Q29,'Data Pura Producción'!$Q$17:$Q$531,$R29)=0,"",SUMIFS('Data Pura Producción'!AI$17:AI$531,'Data Pura Producción'!$R$17:$R$531,$Q29,'Data Pura Producción'!$Q$17:$Q$531,$R29)))</f>
        <v/>
      </c>
      <c r="Y29" s="182" t="str">
        <f>+IF($Q29="","",IF(SUMIFS('Data Pura Producción'!AJ$17:AJ$531,'Data Pura Producción'!$R$17:$R$531,$Q29,'Data Pura Producción'!$Q$17:$Q$531,$R29)=0,"",SUMIFS('Data Pura Producción'!AJ$17:AJ$531,'Data Pura Producción'!$R$17:$R$531,$Q29,'Data Pura Producción'!$Q$17:$Q$531,$R29)))</f>
        <v/>
      </c>
      <c r="Z29" s="182" t="str">
        <f>+IF($Q29="","",IF(SUMIFS('Data Pura Producción'!AK$17:AK$531,'Data Pura Producción'!$R$17:$R$531,$Q29,'Data Pura Producción'!$Q$17:$Q$531,$R29)=0,"",SUMIFS('Data Pura Producción'!AK$17:AK$531,'Data Pura Producción'!$R$17:$R$531,$Q29,'Data Pura Producción'!$Q$17:$Q$531,$R29)))</f>
        <v/>
      </c>
      <c r="AA29" s="182" t="str">
        <f>+IF($Q29="","",IF(SUMIFS('Data Pura Producción'!AL$17:AL$531,'Data Pura Producción'!$R$17:$R$531,$Q29,'Data Pura Producción'!$Q$17:$Q$531,$R29)=0,"",SUMIFS('Data Pura Producción'!AL$17:AL$531,'Data Pura Producción'!$R$17:$R$531,$Q29,'Data Pura Producción'!$Q$17:$Q$531,$R29)))</f>
        <v/>
      </c>
      <c r="AB29" s="182" t="str">
        <f>+IF($Q29="","",IF(SUMIFS('Data Pura Producción'!AM$17:AM$531,'Data Pura Producción'!$R$17:$R$531,$Q29,'Data Pura Producción'!$Q$17:$Q$531,$R29)=0,"",SUMIFS('Data Pura Producción'!AM$17:AM$531,'Data Pura Producción'!$R$17:$R$531,$Q29,'Data Pura Producción'!$Q$17:$Q$531,$R29)))</f>
        <v/>
      </c>
      <c r="AC29" s="182" t="str">
        <f>+IF($Q29="","",IF(SUMIFS('Data Pura Producción'!AN$17:AN$531,'Data Pura Producción'!$R$17:$R$531,$Q29,'Data Pura Producción'!$Q$17:$Q$531,$R29)=0,"",SUMIFS('Data Pura Producción'!AN$17:AN$531,'Data Pura Producción'!$R$17:$R$531,$Q29,'Data Pura Producción'!$Q$17:$Q$531,$R29)))</f>
        <v/>
      </c>
      <c r="AD29" s="182" t="str">
        <f>+IF($Q29="","",IF(SUMIFS('Data Pura Producción'!AO$17:AO$531,'Data Pura Producción'!$R$17:$R$531,$Q29,'Data Pura Producción'!$Q$17:$Q$531,$R29)=0,"",SUMIFS('Data Pura Producción'!AO$17:AO$531,'Data Pura Producción'!$R$17:$R$531,$Q29,'Data Pura Producción'!$Q$17:$Q$531,$R29)))</f>
        <v/>
      </c>
      <c r="AE29" s="182" t="str">
        <f>+IF($Q29="","",IF(SUMIFS('Data Pura Producción'!AP$17:AP$531,'Data Pura Producción'!$R$17:$R$531,$Q29,'Data Pura Producción'!$Q$17:$Q$531,$R29)=0,"",SUMIFS('Data Pura Producción'!AP$17:AP$531,'Data Pura Producción'!$R$17:$R$531,$Q29,'Data Pura Producción'!$Q$17:$Q$531,$R29)))</f>
        <v/>
      </c>
      <c r="AF29" s="182" t="str">
        <f>+IF($Q29="","",IF(SUMIFS('Data Pura Producción'!AQ$17:AQ$531,'Data Pura Producción'!$R$17:$R$531,$Q29,'Data Pura Producción'!$Q$17:$Q$531,$R29)=0,"",SUMIFS('Data Pura Producción'!AQ$17:AQ$531,'Data Pura Producción'!$R$17:$R$531,$Q29,'Data Pura Producción'!$Q$17:$Q$531,$R29)))</f>
        <v/>
      </c>
      <c r="AG29" s="182" t="str">
        <f>+IF($Q29="","",IF(SUMIFS('Data Pura Producción'!AR$17:AR$531,'Data Pura Producción'!$R$17:$R$531,$Q29,'Data Pura Producción'!$Q$17:$Q$531,$R29)=0,"",SUMIFS('Data Pura Producción'!AR$17:AR$531,'Data Pura Producción'!$R$17:$R$531,$Q29,'Data Pura Producción'!$Q$17:$Q$531,$R29)))</f>
        <v/>
      </c>
      <c r="AH29" s="182" t="str">
        <f>+IF($Q29="","",IF(SUMIFS('Data Pura Producción'!AS$17:AS$531,'Data Pura Producción'!$R$17:$R$531,$Q29,'Data Pura Producción'!$Q$17:$Q$531,$R29)=0,"",SUMIFS('Data Pura Producción'!AS$17:AS$531,'Data Pura Producción'!$R$17:$R$531,$Q29,'Data Pura Producción'!$Q$17:$Q$531,$R29)))</f>
        <v/>
      </c>
      <c r="AI29" s="182" t="str">
        <f>+IF($Q29="","",IF(SUMIFS('Data Pura Producción'!AT$17:AT$531,'Data Pura Producción'!$R$17:$R$531,$Q29,'Data Pura Producción'!$Q$17:$Q$531,$R29)=0,"",SUMIFS('Data Pura Producción'!AT$17:AT$531,'Data Pura Producción'!$R$17:$R$531,$Q29,'Data Pura Producción'!$Q$17:$Q$531,$R29)))</f>
        <v/>
      </c>
      <c r="AJ29" s="182" t="str">
        <f>+IF($Q29="","",IF(SUMIFS('Data Pura Producción'!AU$17:AU$531,'Data Pura Producción'!$R$17:$R$531,$Q29,'Data Pura Producción'!$Q$17:$Q$531,$R29)=0,"",SUMIFS('Data Pura Producción'!AU$17:AU$531,'Data Pura Producción'!$R$17:$R$531,$Q29,'Data Pura Producción'!$Q$17:$Q$531,$R29)))</f>
        <v/>
      </c>
      <c r="AK29" s="182" t="str">
        <f>+IF($Q29="","",IF(SUMIFS('Data Pura Producción'!AV$17:AV$531,'Data Pura Producción'!$R$17:$R$531,$Q29,'Data Pura Producción'!$Q$17:$Q$531,$R29)=0,"",SUMIFS('Data Pura Producción'!AV$17:AV$531,'Data Pura Producción'!$R$17:$R$531,$Q29,'Data Pura Producción'!$Q$17:$Q$531,$R29)))</f>
        <v/>
      </c>
      <c r="AL29" s="182" t="str">
        <f>+IF($Q29="","",IF(SUMIFS('Data Pura Producción'!AW$17:AW$531,'Data Pura Producción'!$R$17:$R$531,$Q29,'Data Pura Producción'!$Q$17:$Q$531,$R29)=0,"",SUMIFS('Data Pura Producción'!AW$17:AW$531,'Data Pura Producción'!$R$17:$R$531,$Q29,'Data Pura Producción'!$Q$17:$Q$531,$R29)))</f>
        <v/>
      </c>
      <c r="AM29" s="337" t="str">
        <f>+IF($Q29="","",IF(SUMIFS('Data Pura Producción'!AX$17:AX$531,'Data Pura Producción'!$R$17:$R$531,$Q29,'Data Pura Producción'!$Q$17:$Q$531,$R29)=0,"",SUMIFS('Data Pura Producción'!AX$17:AX$531,'Data Pura Producción'!$R$17:$R$531,$Q29,'Data Pura Producción'!$Q$17:$Q$531,$R29)))</f>
        <v/>
      </c>
      <c r="AN29" s="187" t="str">
        <f t="shared" si="2"/>
        <v/>
      </c>
    </row>
    <row r="30" spans="2:40" s="7" customFormat="1" x14ac:dyDescent="0.35">
      <c r="B30" s="4" t="str">
        <f>+IF('Data Pura Costos'!B30="","",'Data Pura Costos'!B30)</f>
        <v>Panquehue</v>
      </c>
      <c r="C30" s="4" t="str">
        <f>+IF('Data Pura Costos'!C30="","",'Data Pura Costos'!C30)</f>
        <v>Panquehue, V región</v>
      </c>
      <c r="D30" s="5">
        <f>+IF('Data Pura Costos'!D30="","",'Data Pura Costos'!D30)</f>
        <v>230</v>
      </c>
      <c r="E30" s="65">
        <f>+IF('Data Pura Costos'!E30="","",IF('Data Pura Costos'!E30=0,MAX('Data Pura Costos'!$E$7:$E$3000)*1000,'Data Pura Costos'!E30))</f>
        <v>665000</v>
      </c>
      <c r="F30" s="5" t="str">
        <f>+IF('Data Pura Costos'!F30="","",'Data Pura Costos'!F30)</f>
        <v>Malloa</v>
      </c>
      <c r="G30" s="5" t="str">
        <f>+IF('Data Pura Costos'!G30="","",'Data Pura Costos'!G30)</f>
        <v xml:space="preserve">CRISTIAN LÓPEZ </v>
      </c>
      <c r="H30" s="52" t="str">
        <f>+IF('Data Pura Costos'!H30="","",'Data Pura Costos'!H30)</f>
        <v>Termo</v>
      </c>
      <c r="I30" s="71">
        <f>+IF('Data Pura Costos'!I30="","",'Data Pura Costos'!I30)</f>
        <v>2891.304347826087</v>
      </c>
      <c r="J30" s="52" t="str">
        <f>+IF('Data Pura Costos'!J30="","",'Data Pura Costos'!J30)</f>
        <v>24-25</v>
      </c>
      <c r="K30" s="82" t="str">
        <f t="shared" si="3"/>
        <v xml:space="preserve">Panquehue-Malloa-CRISTIAN LÓPEZ </v>
      </c>
      <c r="M30" s="4"/>
      <c r="N30" s="5" t="str">
        <f>+IF(M30="","",INDEX('Parámetros Auxiliares'!$D$7:$D$65,MATCH(M30,'Parámetros Auxiliares'!$D$7:$D$65,0)))</f>
        <v/>
      </c>
      <c r="O30" s="259"/>
      <c r="P30" s="1" t="str">
        <f t="shared" si="1"/>
        <v/>
      </c>
      <c r="Q30" s="185"/>
      <c r="R30" s="332"/>
      <c r="S30" s="336" t="str">
        <f>+IF($Q30="","",IF(SUMIFS('Data Pura Producción'!AD$17:AD$531,'Data Pura Producción'!$R$17:$R$531,$Q30,'Data Pura Producción'!$Q$17:$Q$531,$R30)=0,"",SUMIFS('Data Pura Producción'!AD$17:AD$531,'Data Pura Producción'!$R$17:$R$531,$Q30,'Data Pura Producción'!$Q$17:$Q$531,$R30)))</f>
        <v/>
      </c>
      <c r="T30" s="182" t="str">
        <f>+IF($Q30="","",IF(SUMIFS('Data Pura Producción'!AE$17:AE$531,'Data Pura Producción'!$R$17:$R$531,$Q30,'Data Pura Producción'!$Q$17:$Q$531,$R30)=0,"",SUMIFS('Data Pura Producción'!AE$17:AE$531,'Data Pura Producción'!$R$17:$R$531,$Q30,'Data Pura Producción'!$Q$17:$Q$531,$R30)))</f>
        <v/>
      </c>
      <c r="U30" s="182" t="str">
        <f>+IF($Q30="","",IF(SUMIFS('Data Pura Producción'!AF$17:AF$531,'Data Pura Producción'!$R$17:$R$531,$Q30,'Data Pura Producción'!$Q$17:$Q$531,$R30)=0,"",SUMIFS('Data Pura Producción'!AF$17:AF$531,'Data Pura Producción'!$R$17:$R$531,$Q30,'Data Pura Producción'!$Q$17:$Q$531,$R30)))</f>
        <v/>
      </c>
      <c r="V30" s="182" t="str">
        <f>+IF($Q30="","",IF(SUMIFS('Data Pura Producción'!AG$17:AG$531,'Data Pura Producción'!$R$17:$R$531,$Q30,'Data Pura Producción'!$Q$17:$Q$531,$R30)=0,"",SUMIFS('Data Pura Producción'!AG$17:AG$531,'Data Pura Producción'!$R$17:$R$531,$Q30,'Data Pura Producción'!$Q$17:$Q$531,$R30)))</f>
        <v/>
      </c>
      <c r="W30" s="182" t="str">
        <f>+IF($Q30="","",IF(SUMIFS('Data Pura Producción'!AH$17:AH$531,'Data Pura Producción'!$R$17:$R$531,$Q30,'Data Pura Producción'!$Q$17:$Q$531,$R30)=0,"",SUMIFS('Data Pura Producción'!AH$17:AH$531,'Data Pura Producción'!$R$17:$R$531,$Q30,'Data Pura Producción'!$Q$17:$Q$531,$R30)))</f>
        <v/>
      </c>
      <c r="X30" s="182" t="str">
        <f>+IF($Q30="","",IF(SUMIFS('Data Pura Producción'!AI$17:AI$531,'Data Pura Producción'!$R$17:$R$531,$Q30,'Data Pura Producción'!$Q$17:$Q$531,$R30)=0,"",SUMIFS('Data Pura Producción'!AI$17:AI$531,'Data Pura Producción'!$R$17:$R$531,$Q30,'Data Pura Producción'!$Q$17:$Q$531,$R30)))</f>
        <v/>
      </c>
      <c r="Y30" s="182" t="str">
        <f>+IF($Q30="","",IF(SUMIFS('Data Pura Producción'!AJ$17:AJ$531,'Data Pura Producción'!$R$17:$R$531,$Q30,'Data Pura Producción'!$Q$17:$Q$531,$R30)=0,"",SUMIFS('Data Pura Producción'!AJ$17:AJ$531,'Data Pura Producción'!$R$17:$R$531,$Q30,'Data Pura Producción'!$Q$17:$Q$531,$R30)))</f>
        <v/>
      </c>
      <c r="Z30" s="182" t="str">
        <f>+IF($Q30="","",IF(SUMIFS('Data Pura Producción'!AK$17:AK$531,'Data Pura Producción'!$R$17:$R$531,$Q30,'Data Pura Producción'!$Q$17:$Q$531,$R30)=0,"",SUMIFS('Data Pura Producción'!AK$17:AK$531,'Data Pura Producción'!$R$17:$R$531,$Q30,'Data Pura Producción'!$Q$17:$Q$531,$R30)))</f>
        <v/>
      </c>
      <c r="AA30" s="182" t="str">
        <f>+IF($Q30="","",IF(SUMIFS('Data Pura Producción'!AL$17:AL$531,'Data Pura Producción'!$R$17:$R$531,$Q30,'Data Pura Producción'!$Q$17:$Q$531,$R30)=0,"",SUMIFS('Data Pura Producción'!AL$17:AL$531,'Data Pura Producción'!$R$17:$R$531,$Q30,'Data Pura Producción'!$Q$17:$Q$531,$R30)))</f>
        <v/>
      </c>
      <c r="AB30" s="182" t="str">
        <f>+IF($Q30="","",IF(SUMIFS('Data Pura Producción'!AM$17:AM$531,'Data Pura Producción'!$R$17:$R$531,$Q30,'Data Pura Producción'!$Q$17:$Q$531,$R30)=0,"",SUMIFS('Data Pura Producción'!AM$17:AM$531,'Data Pura Producción'!$R$17:$R$531,$Q30,'Data Pura Producción'!$Q$17:$Q$531,$R30)))</f>
        <v/>
      </c>
      <c r="AC30" s="182" t="str">
        <f>+IF($Q30="","",IF(SUMIFS('Data Pura Producción'!AN$17:AN$531,'Data Pura Producción'!$R$17:$R$531,$Q30,'Data Pura Producción'!$Q$17:$Q$531,$R30)=0,"",SUMIFS('Data Pura Producción'!AN$17:AN$531,'Data Pura Producción'!$R$17:$R$531,$Q30,'Data Pura Producción'!$Q$17:$Q$531,$R30)))</f>
        <v/>
      </c>
      <c r="AD30" s="182" t="str">
        <f>+IF($Q30="","",IF(SUMIFS('Data Pura Producción'!AO$17:AO$531,'Data Pura Producción'!$R$17:$R$531,$Q30,'Data Pura Producción'!$Q$17:$Q$531,$R30)=0,"",SUMIFS('Data Pura Producción'!AO$17:AO$531,'Data Pura Producción'!$R$17:$R$531,$Q30,'Data Pura Producción'!$Q$17:$Q$531,$R30)))</f>
        <v/>
      </c>
      <c r="AE30" s="182" t="str">
        <f>+IF($Q30="","",IF(SUMIFS('Data Pura Producción'!AP$17:AP$531,'Data Pura Producción'!$R$17:$R$531,$Q30,'Data Pura Producción'!$Q$17:$Q$531,$R30)=0,"",SUMIFS('Data Pura Producción'!AP$17:AP$531,'Data Pura Producción'!$R$17:$R$531,$Q30,'Data Pura Producción'!$Q$17:$Q$531,$R30)))</f>
        <v/>
      </c>
      <c r="AF30" s="182" t="str">
        <f>+IF($Q30="","",IF(SUMIFS('Data Pura Producción'!AQ$17:AQ$531,'Data Pura Producción'!$R$17:$R$531,$Q30,'Data Pura Producción'!$Q$17:$Q$531,$R30)=0,"",SUMIFS('Data Pura Producción'!AQ$17:AQ$531,'Data Pura Producción'!$R$17:$R$531,$Q30,'Data Pura Producción'!$Q$17:$Q$531,$R30)))</f>
        <v/>
      </c>
      <c r="AG30" s="182" t="str">
        <f>+IF($Q30="","",IF(SUMIFS('Data Pura Producción'!AR$17:AR$531,'Data Pura Producción'!$R$17:$R$531,$Q30,'Data Pura Producción'!$Q$17:$Q$531,$R30)=0,"",SUMIFS('Data Pura Producción'!AR$17:AR$531,'Data Pura Producción'!$R$17:$R$531,$Q30,'Data Pura Producción'!$Q$17:$Q$531,$R30)))</f>
        <v/>
      </c>
      <c r="AH30" s="182" t="str">
        <f>+IF($Q30="","",IF(SUMIFS('Data Pura Producción'!AS$17:AS$531,'Data Pura Producción'!$R$17:$R$531,$Q30,'Data Pura Producción'!$Q$17:$Q$531,$R30)=0,"",SUMIFS('Data Pura Producción'!AS$17:AS$531,'Data Pura Producción'!$R$17:$R$531,$Q30,'Data Pura Producción'!$Q$17:$Q$531,$R30)))</f>
        <v/>
      </c>
      <c r="AI30" s="182" t="str">
        <f>+IF($Q30="","",IF(SUMIFS('Data Pura Producción'!AT$17:AT$531,'Data Pura Producción'!$R$17:$R$531,$Q30,'Data Pura Producción'!$Q$17:$Q$531,$R30)=0,"",SUMIFS('Data Pura Producción'!AT$17:AT$531,'Data Pura Producción'!$R$17:$R$531,$Q30,'Data Pura Producción'!$Q$17:$Q$531,$R30)))</f>
        <v/>
      </c>
      <c r="AJ30" s="182" t="str">
        <f>+IF($Q30="","",IF(SUMIFS('Data Pura Producción'!AU$17:AU$531,'Data Pura Producción'!$R$17:$R$531,$Q30,'Data Pura Producción'!$Q$17:$Q$531,$R30)=0,"",SUMIFS('Data Pura Producción'!AU$17:AU$531,'Data Pura Producción'!$R$17:$R$531,$Q30,'Data Pura Producción'!$Q$17:$Q$531,$R30)))</f>
        <v/>
      </c>
      <c r="AK30" s="182" t="str">
        <f>+IF($Q30="","",IF(SUMIFS('Data Pura Producción'!AV$17:AV$531,'Data Pura Producción'!$R$17:$R$531,$Q30,'Data Pura Producción'!$Q$17:$Q$531,$R30)=0,"",SUMIFS('Data Pura Producción'!AV$17:AV$531,'Data Pura Producción'!$R$17:$R$531,$Q30,'Data Pura Producción'!$Q$17:$Q$531,$R30)))</f>
        <v/>
      </c>
      <c r="AL30" s="182" t="str">
        <f>+IF($Q30="","",IF(SUMIFS('Data Pura Producción'!AW$17:AW$531,'Data Pura Producción'!$R$17:$R$531,$Q30,'Data Pura Producción'!$Q$17:$Q$531,$R30)=0,"",SUMIFS('Data Pura Producción'!AW$17:AW$531,'Data Pura Producción'!$R$17:$R$531,$Q30,'Data Pura Producción'!$Q$17:$Q$531,$R30)))</f>
        <v/>
      </c>
      <c r="AM30" s="337" t="str">
        <f>+IF($Q30="","",IF(SUMIFS('Data Pura Producción'!AX$17:AX$531,'Data Pura Producción'!$R$17:$R$531,$Q30,'Data Pura Producción'!$Q$17:$Q$531,$R30)=0,"",SUMIFS('Data Pura Producción'!AX$17:AX$531,'Data Pura Producción'!$R$17:$R$531,$Q30,'Data Pura Producción'!$Q$17:$Q$531,$R30)))</f>
        <v/>
      </c>
      <c r="AN30" s="187" t="str">
        <f t="shared" si="2"/>
        <v/>
      </c>
    </row>
    <row r="31" spans="2:40" s="7" customFormat="1" x14ac:dyDescent="0.35">
      <c r="B31" s="4" t="str">
        <f>+IF('Data Pura Costos'!B31="","",'Data Pura Costos'!B31)</f>
        <v>Almahue</v>
      </c>
      <c r="C31" s="4" t="str">
        <f>+IF('Data Pura Costos'!C31="","",'Data Pura Costos'!C31)</f>
        <v>Pichidegua, VI región</v>
      </c>
      <c r="D31" s="5">
        <f>+IF('Data Pura Costos'!D31="","",'Data Pura Costos'!D31)</f>
        <v>108</v>
      </c>
      <c r="E31" s="65">
        <f>+IF('Data Pura Costos'!E31="","",IF('Data Pura Costos'!E31=0,MAX('Data Pura Costos'!$E$7:$E$3000)*1000,'Data Pura Costos'!E31))</f>
        <v>400000</v>
      </c>
      <c r="F31" s="5" t="str">
        <f>+IF('Data Pura Costos'!F31="","",'Data Pura Costos'!F31)</f>
        <v>Mostazal</v>
      </c>
      <c r="G31" s="5" t="str">
        <f>+IF('Data Pura Costos'!G31="","",'Data Pura Costos'!G31)</f>
        <v xml:space="preserve">GUSTAVO ZÚÑIGA </v>
      </c>
      <c r="H31" s="52" t="str">
        <f>+IF('Data Pura Costos'!H31="","",'Data Pura Costos'!H31)</f>
        <v>Termo</v>
      </c>
      <c r="I31" s="71">
        <f>+IF('Data Pura Costos'!I31="","",'Data Pura Costos'!I31)</f>
        <v>3703.7037037037039</v>
      </c>
      <c r="J31" s="52" t="str">
        <f>+IF('Data Pura Costos'!J31="","",'Data Pura Costos'!J31)</f>
        <v>24-25</v>
      </c>
      <c r="K31" s="82" t="str">
        <f t="shared" si="3"/>
        <v xml:space="preserve">Almahue-Mostazal-GUSTAVO ZÚÑIGA </v>
      </c>
      <c r="M31" s="4"/>
      <c r="N31" s="5" t="str">
        <f>+IF(M31="","",INDEX('Parámetros Auxiliares'!$D$7:$D$65,MATCH(M31,'Parámetros Auxiliares'!$D$7:$D$65,0)))</f>
        <v/>
      </c>
      <c r="O31" s="259"/>
      <c r="P31" s="1" t="str">
        <f t="shared" si="1"/>
        <v/>
      </c>
      <c r="Q31" s="185"/>
      <c r="R31" s="332"/>
      <c r="S31" s="336" t="str">
        <f>+IF($Q31="","",IF(SUMIFS('Data Pura Producción'!AD$17:AD$531,'Data Pura Producción'!$R$17:$R$531,$Q31,'Data Pura Producción'!$Q$17:$Q$531,$R31)=0,"",SUMIFS('Data Pura Producción'!AD$17:AD$531,'Data Pura Producción'!$R$17:$R$531,$Q31,'Data Pura Producción'!$Q$17:$Q$531,$R31)))</f>
        <v/>
      </c>
      <c r="T31" s="182" t="str">
        <f>+IF($Q31="","",IF(SUMIFS('Data Pura Producción'!AE$17:AE$531,'Data Pura Producción'!$R$17:$R$531,$Q31,'Data Pura Producción'!$Q$17:$Q$531,$R31)=0,"",SUMIFS('Data Pura Producción'!AE$17:AE$531,'Data Pura Producción'!$R$17:$R$531,$Q31,'Data Pura Producción'!$Q$17:$Q$531,$R31)))</f>
        <v/>
      </c>
      <c r="U31" s="182" t="str">
        <f>+IF($Q31="","",IF(SUMIFS('Data Pura Producción'!AF$17:AF$531,'Data Pura Producción'!$R$17:$R$531,$Q31,'Data Pura Producción'!$Q$17:$Q$531,$R31)=0,"",SUMIFS('Data Pura Producción'!AF$17:AF$531,'Data Pura Producción'!$R$17:$R$531,$Q31,'Data Pura Producción'!$Q$17:$Q$531,$R31)))</f>
        <v/>
      </c>
      <c r="V31" s="182" t="str">
        <f>+IF($Q31="","",IF(SUMIFS('Data Pura Producción'!AG$17:AG$531,'Data Pura Producción'!$R$17:$R$531,$Q31,'Data Pura Producción'!$Q$17:$Q$531,$R31)=0,"",SUMIFS('Data Pura Producción'!AG$17:AG$531,'Data Pura Producción'!$R$17:$R$531,$Q31,'Data Pura Producción'!$Q$17:$Q$531,$R31)))</f>
        <v/>
      </c>
      <c r="W31" s="182" t="str">
        <f>+IF($Q31="","",IF(SUMIFS('Data Pura Producción'!AH$17:AH$531,'Data Pura Producción'!$R$17:$R$531,$Q31,'Data Pura Producción'!$Q$17:$Q$531,$R31)=0,"",SUMIFS('Data Pura Producción'!AH$17:AH$531,'Data Pura Producción'!$R$17:$R$531,$Q31,'Data Pura Producción'!$Q$17:$Q$531,$R31)))</f>
        <v/>
      </c>
      <c r="X31" s="182" t="str">
        <f>+IF($Q31="","",IF(SUMIFS('Data Pura Producción'!AI$17:AI$531,'Data Pura Producción'!$R$17:$R$531,$Q31,'Data Pura Producción'!$Q$17:$Q$531,$R31)=0,"",SUMIFS('Data Pura Producción'!AI$17:AI$531,'Data Pura Producción'!$R$17:$R$531,$Q31,'Data Pura Producción'!$Q$17:$Q$531,$R31)))</f>
        <v/>
      </c>
      <c r="Y31" s="182" t="str">
        <f>+IF($Q31="","",IF(SUMIFS('Data Pura Producción'!AJ$17:AJ$531,'Data Pura Producción'!$R$17:$R$531,$Q31,'Data Pura Producción'!$Q$17:$Q$531,$R31)=0,"",SUMIFS('Data Pura Producción'!AJ$17:AJ$531,'Data Pura Producción'!$R$17:$R$531,$Q31,'Data Pura Producción'!$Q$17:$Q$531,$R31)))</f>
        <v/>
      </c>
      <c r="Z31" s="182" t="str">
        <f>+IF($Q31="","",IF(SUMIFS('Data Pura Producción'!AK$17:AK$531,'Data Pura Producción'!$R$17:$R$531,$Q31,'Data Pura Producción'!$Q$17:$Q$531,$R31)=0,"",SUMIFS('Data Pura Producción'!AK$17:AK$531,'Data Pura Producción'!$R$17:$R$531,$Q31,'Data Pura Producción'!$Q$17:$Q$531,$R31)))</f>
        <v/>
      </c>
      <c r="AA31" s="182" t="str">
        <f>+IF($Q31="","",IF(SUMIFS('Data Pura Producción'!AL$17:AL$531,'Data Pura Producción'!$R$17:$R$531,$Q31,'Data Pura Producción'!$Q$17:$Q$531,$R31)=0,"",SUMIFS('Data Pura Producción'!AL$17:AL$531,'Data Pura Producción'!$R$17:$R$531,$Q31,'Data Pura Producción'!$Q$17:$Q$531,$R31)))</f>
        <v/>
      </c>
      <c r="AB31" s="182" t="str">
        <f>+IF($Q31="","",IF(SUMIFS('Data Pura Producción'!AM$17:AM$531,'Data Pura Producción'!$R$17:$R$531,$Q31,'Data Pura Producción'!$Q$17:$Q$531,$R31)=0,"",SUMIFS('Data Pura Producción'!AM$17:AM$531,'Data Pura Producción'!$R$17:$R$531,$Q31,'Data Pura Producción'!$Q$17:$Q$531,$R31)))</f>
        <v/>
      </c>
      <c r="AC31" s="182" t="str">
        <f>+IF($Q31="","",IF(SUMIFS('Data Pura Producción'!AN$17:AN$531,'Data Pura Producción'!$R$17:$R$531,$Q31,'Data Pura Producción'!$Q$17:$Q$531,$R31)=0,"",SUMIFS('Data Pura Producción'!AN$17:AN$531,'Data Pura Producción'!$R$17:$R$531,$Q31,'Data Pura Producción'!$Q$17:$Q$531,$R31)))</f>
        <v/>
      </c>
      <c r="AD31" s="182" t="str">
        <f>+IF($Q31="","",IF(SUMIFS('Data Pura Producción'!AO$17:AO$531,'Data Pura Producción'!$R$17:$R$531,$Q31,'Data Pura Producción'!$Q$17:$Q$531,$R31)=0,"",SUMIFS('Data Pura Producción'!AO$17:AO$531,'Data Pura Producción'!$R$17:$R$531,$Q31,'Data Pura Producción'!$Q$17:$Q$531,$R31)))</f>
        <v/>
      </c>
      <c r="AE31" s="182" t="str">
        <f>+IF($Q31="","",IF(SUMIFS('Data Pura Producción'!AP$17:AP$531,'Data Pura Producción'!$R$17:$R$531,$Q31,'Data Pura Producción'!$Q$17:$Q$531,$R31)=0,"",SUMIFS('Data Pura Producción'!AP$17:AP$531,'Data Pura Producción'!$R$17:$R$531,$Q31,'Data Pura Producción'!$Q$17:$Q$531,$R31)))</f>
        <v/>
      </c>
      <c r="AF31" s="182" t="str">
        <f>+IF($Q31="","",IF(SUMIFS('Data Pura Producción'!AQ$17:AQ$531,'Data Pura Producción'!$R$17:$R$531,$Q31,'Data Pura Producción'!$Q$17:$Q$531,$R31)=0,"",SUMIFS('Data Pura Producción'!AQ$17:AQ$531,'Data Pura Producción'!$R$17:$R$531,$Q31,'Data Pura Producción'!$Q$17:$Q$531,$R31)))</f>
        <v/>
      </c>
      <c r="AG31" s="182" t="str">
        <f>+IF($Q31="","",IF(SUMIFS('Data Pura Producción'!AR$17:AR$531,'Data Pura Producción'!$R$17:$R$531,$Q31,'Data Pura Producción'!$Q$17:$Q$531,$R31)=0,"",SUMIFS('Data Pura Producción'!AR$17:AR$531,'Data Pura Producción'!$R$17:$R$531,$Q31,'Data Pura Producción'!$Q$17:$Q$531,$R31)))</f>
        <v/>
      </c>
      <c r="AH31" s="182" t="str">
        <f>+IF($Q31="","",IF(SUMIFS('Data Pura Producción'!AS$17:AS$531,'Data Pura Producción'!$R$17:$R$531,$Q31,'Data Pura Producción'!$Q$17:$Q$531,$R31)=0,"",SUMIFS('Data Pura Producción'!AS$17:AS$531,'Data Pura Producción'!$R$17:$R$531,$Q31,'Data Pura Producción'!$Q$17:$Q$531,$R31)))</f>
        <v/>
      </c>
      <c r="AI31" s="182" t="str">
        <f>+IF($Q31="","",IF(SUMIFS('Data Pura Producción'!AT$17:AT$531,'Data Pura Producción'!$R$17:$R$531,$Q31,'Data Pura Producción'!$Q$17:$Q$531,$R31)=0,"",SUMIFS('Data Pura Producción'!AT$17:AT$531,'Data Pura Producción'!$R$17:$R$531,$Q31,'Data Pura Producción'!$Q$17:$Q$531,$R31)))</f>
        <v/>
      </c>
      <c r="AJ31" s="182" t="str">
        <f>+IF($Q31="","",IF(SUMIFS('Data Pura Producción'!AU$17:AU$531,'Data Pura Producción'!$R$17:$R$531,$Q31,'Data Pura Producción'!$Q$17:$Q$531,$R31)=0,"",SUMIFS('Data Pura Producción'!AU$17:AU$531,'Data Pura Producción'!$R$17:$R$531,$Q31,'Data Pura Producción'!$Q$17:$Q$531,$R31)))</f>
        <v/>
      </c>
      <c r="AK31" s="182" t="str">
        <f>+IF($Q31="","",IF(SUMIFS('Data Pura Producción'!AV$17:AV$531,'Data Pura Producción'!$R$17:$R$531,$Q31,'Data Pura Producción'!$Q$17:$Q$531,$R31)=0,"",SUMIFS('Data Pura Producción'!AV$17:AV$531,'Data Pura Producción'!$R$17:$R$531,$Q31,'Data Pura Producción'!$Q$17:$Q$531,$R31)))</f>
        <v/>
      </c>
      <c r="AL31" s="182" t="str">
        <f>+IF($Q31="","",IF(SUMIFS('Data Pura Producción'!AW$17:AW$531,'Data Pura Producción'!$R$17:$R$531,$Q31,'Data Pura Producción'!$Q$17:$Q$531,$R31)=0,"",SUMIFS('Data Pura Producción'!AW$17:AW$531,'Data Pura Producción'!$R$17:$R$531,$Q31,'Data Pura Producción'!$Q$17:$Q$531,$R31)))</f>
        <v/>
      </c>
      <c r="AM31" s="337" t="str">
        <f>+IF($Q31="","",IF(SUMIFS('Data Pura Producción'!AX$17:AX$531,'Data Pura Producción'!$R$17:$R$531,$Q31,'Data Pura Producción'!$Q$17:$Q$531,$R31)=0,"",SUMIFS('Data Pura Producción'!AX$17:AX$531,'Data Pura Producción'!$R$17:$R$531,$Q31,'Data Pura Producción'!$Q$17:$Q$531,$R31)))</f>
        <v/>
      </c>
      <c r="AN31" s="187" t="str">
        <f t="shared" si="2"/>
        <v/>
      </c>
    </row>
    <row r="32" spans="2:40" s="7" customFormat="1" x14ac:dyDescent="0.35">
      <c r="B32" s="4" t="str">
        <f>+IF('Data Pura Costos'!B32="","",'Data Pura Costos'!B32)</f>
        <v>Bodega</v>
      </c>
      <c r="C32" s="4" t="str">
        <f>+IF('Data Pura Costos'!C32="","",'Data Pura Costos'!C32)</f>
        <v>Linares, VII region.</v>
      </c>
      <c r="D32" s="5">
        <f>+IF('Data Pura Costos'!D32="","",'Data Pura Costos'!D32)</f>
        <v>264</v>
      </c>
      <c r="E32" s="65">
        <f>+IF('Data Pura Costos'!E32="","",IF('Data Pura Costos'!E32=0,MAX('Data Pura Costos'!$E$7:$E$3000)*1000,'Data Pura Costos'!E32))</f>
        <v>720000</v>
      </c>
      <c r="F32" s="5" t="str">
        <f>+IF('Data Pura Costos'!F32="","",'Data Pura Costos'!F32)</f>
        <v>Mostazal</v>
      </c>
      <c r="G32" s="5" t="str">
        <f>+IF('Data Pura Costos'!G32="","",'Data Pura Costos'!G32)</f>
        <v xml:space="preserve">GUSTAVO ZÚÑIGA </v>
      </c>
      <c r="H32" s="52" t="str">
        <f>+IF('Data Pura Costos'!H32="","",'Data Pura Costos'!H32)</f>
        <v>Termo</v>
      </c>
      <c r="I32" s="71">
        <f>+IF('Data Pura Costos'!I32="","",'Data Pura Costos'!I32)</f>
        <v>2727.2727272727275</v>
      </c>
      <c r="J32" s="52" t="str">
        <f>+IF('Data Pura Costos'!J32="","",'Data Pura Costos'!J32)</f>
        <v>24-25</v>
      </c>
      <c r="K32" s="82" t="str">
        <f t="shared" si="3"/>
        <v xml:space="preserve">Bodega-Mostazal-GUSTAVO ZÚÑIGA </v>
      </c>
      <c r="M32" s="4"/>
      <c r="N32" s="5" t="str">
        <f>+IF(M32="","",INDEX('Parámetros Auxiliares'!$D$7:$D$65,MATCH(M32,'Parámetros Auxiliares'!$D$7:$D$65,0)))</f>
        <v/>
      </c>
      <c r="O32" s="259"/>
      <c r="P32" s="1" t="str">
        <f t="shared" si="1"/>
        <v/>
      </c>
      <c r="Q32" s="185"/>
      <c r="R32" s="332"/>
      <c r="S32" s="336" t="str">
        <f>+IF($Q32="","",IF(SUMIFS('Data Pura Producción'!AD$17:AD$531,'Data Pura Producción'!$R$17:$R$531,$Q32,'Data Pura Producción'!$Q$17:$Q$531,$R32)=0,"",SUMIFS('Data Pura Producción'!AD$17:AD$531,'Data Pura Producción'!$R$17:$R$531,$Q32,'Data Pura Producción'!$Q$17:$Q$531,$R32)))</f>
        <v/>
      </c>
      <c r="T32" s="182" t="str">
        <f>+IF($Q32="","",IF(SUMIFS('Data Pura Producción'!AE$17:AE$531,'Data Pura Producción'!$R$17:$R$531,$Q32,'Data Pura Producción'!$Q$17:$Q$531,$R32)=0,"",SUMIFS('Data Pura Producción'!AE$17:AE$531,'Data Pura Producción'!$R$17:$R$531,$Q32,'Data Pura Producción'!$Q$17:$Q$531,$R32)))</f>
        <v/>
      </c>
      <c r="U32" s="182" t="str">
        <f>+IF($Q32="","",IF(SUMIFS('Data Pura Producción'!AF$17:AF$531,'Data Pura Producción'!$R$17:$R$531,$Q32,'Data Pura Producción'!$Q$17:$Q$531,$R32)=0,"",SUMIFS('Data Pura Producción'!AF$17:AF$531,'Data Pura Producción'!$R$17:$R$531,$Q32,'Data Pura Producción'!$Q$17:$Q$531,$R32)))</f>
        <v/>
      </c>
      <c r="V32" s="182" t="str">
        <f>+IF($Q32="","",IF(SUMIFS('Data Pura Producción'!AG$17:AG$531,'Data Pura Producción'!$R$17:$R$531,$Q32,'Data Pura Producción'!$Q$17:$Q$531,$R32)=0,"",SUMIFS('Data Pura Producción'!AG$17:AG$531,'Data Pura Producción'!$R$17:$R$531,$Q32,'Data Pura Producción'!$Q$17:$Q$531,$R32)))</f>
        <v/>
      </c>
      <c r="W32" s="182" t="str">
        <f>+IF($Q32="","",IF(SUMIFS('Data Pura Producción'!AH$17:AH$531,'Data Pura Producción'!$R$17:$R$531,$Q32,'Data Pura Producción'!$Q$17:$Q$531,$R32)=0,"",SUMIFS('Data Pura Producción'!AH$17:AH$531,'Data Pura Producción'!$R$17:$R$531,$Q32,'Data Pura Producción'!$Q$17:$Q$531,$R32)))</f>
        <v/>
      </c>
      <c r="X32" s="182" t="str">
        <f>+IF($Q32="","",IF(SUMIFS('Data Pura Producción'!AI$17:AI$531,'Data Pura Producción'!$R$17:$R$531,$Q32,'Data Pura Producción'!$Q$17:$Q$531,$R32)=0,"",SUMIFS('Data Pura Producción'!AI$17:AI$531,'Data Pura Producción'!$R$17:$R$531,$Q32,'Data Pura Producción'!$Q$17:$Q$531,$R32)))</f>
        <v/>
      </c>
      <c r="Y32" s="182" t="str">
        <f>+IF($Q32="","",IF(SUMIFS('Data Pura Producción'!AJ$17:AJ$531,'Data Pura Producción'!$R$17:$R$531,$Q32,'Data Pura Producción'!$Q$17:$Q$531,$R32)=0,"",SUMIFS('Data Pura Producción'!AJ$17:AJ$531,'Data Pura Producción'!$R$17:$R$531,$Q32,'Data Pura Producción'!$Q$17:$Q$531,$R32)))</f>
        <v/>
      </c>
      <c r="Z32" s="182" t="str">
        <f>+IF($Q32="","",IF(SUMIFS('Data Pura Producción'!AK$17:AK$531,'Data Pura Producción'!$R$17:$R$531,$Q32,'Data Pura Producción'!$Q$17:$Q$531,$R32)=0,"",SUMIFS('Data Pura Producción'!AK$17:AK$531,'Data Pura Producción'!$R$17:$R$531,$Q32,'Data Pura Producción'!$Q$17:$Q$531,$R32)))</f>
        <v/>
      </c>
      <c r="AA32" s="182" t="str">
        <f>+IF($Q32="","",IF(SUMIFS('Data Pura Producción'!AL$17:AL$531,'Data Pura Producción'!$R$17:$R$531,$Q32,'Data Pura Producción'!$Q$17:$Q$531,$R32)=0,"",SUMIFS('Data Pura Producción'!AL$17:AL$531,'Data Pura Producción'!$R$17:$R$531,$Q32,'Data Pura Producción'!$Q$17:$Q$531,$R32)))</f>
        <v/>
      </c>
      <c r="AB32" s="182" t="str">
        <f>+IF($Q32="","",IF(SUMIFS('Data Pura Producción'!AM$17:AM$531,'Data Pura Producción'!$R$17:$R$531,$Q32,'Data Pura Producción'!$Q$17:$Q$531,$R32)=0,"",SUMIFS('Data Pura Producción'!AM$17:AM$531,'Data Pura Producción'!$R$17:$R$531,$Q32,'Data Pura Producción'!$Q$17:$Q$531,$R32)))</f>
        <v/>
      </c>
      <c r="AC32" s="182" t="str">
        <f>+IF($Q32="","",IF(SUMIFS('Data Pura Producción'!AN$17:AN$531,'Data Pura Producción'!$R$17:$R$531,$Q32,'Data Pura Producción'!$Q$17:$Q$531,$R32)=0,"",SUMIFS('Data Pura Producción'!AN$17:AN$531,'Data Pura Producción'!$R$17:$R$531,$Q32,'Data Pura Producción'!$Q$17:$Q$531,$R32)))</f>
        <v/>
      </c>
      <c r="AD32" s="182" t="str">
        <f>+IF($Q32="","",IF(SUMIFS('Data Pura Producción'!AO$17:AO$531,'Data Pura Producción'!$R$17:$R$531,$Q32,'Data Pura Producción'!$Q$17:$Q$531,$R32)=0,"",SUMIFS('Data Pura Producción'!AO$17:AO$531,'Data Pura Producción'!$R$17:$R$531,$Q32,'Data Pura Producción'!$Q$17:$Q$531,$R32)))</f>
        <v/>
      </c>
      <c r="AE32" s="182" t="str">
        <f>+IF($Q32="","",IF(SUMIFS('Data Pura Producción'!AP$17:AP$531,'Data Pura Producción'!$R$17:$R$531,$Q32,'Data Pura Producción'!$Q$17:$Q$531,$R32)=0,"",SUMIFS('Data Pura Producción'!AP$17:AP$531,'Data Pura Producción'!$R$17:$R$531,$Q32,'Data Pura Producción'!$Q$17:$Q$531,$R32)))</f>
        <v/>
      </c>
      <c r="AF32" s="182" t="str">
        <f>+IF($Q32="","",IF(SUMIFS('Data Pura Producción'!AQ$17:AQ$531,'Data Pura Producción'!$R$17:$R$531,$Q32,'Data Pura Producción'!$Q$17:$Q$531,$R32)=0,"",SUMIFS('Data Pura Producción'!AQ$17:AQ$531,'Data Pura Producción'!$R$17:$R$531,$Q32,'Data Pura Producción'!$Q$17:$Q$531,$R32)))</f>
        <v/>
      </c>
      <c r="AG32" s="182" t="str">
        <f>+IF($Q32="","",IF(SUMIFS('Data Pura Producción'!AR$17:AR$531,'Data Pura Producción'!$R$17:$R$531,$Q32,'Data Pura Producción'!$Q$17:$Q$531,$R32)=0,"",SUMIFS('Data Pura Producción'!AR$17:AR$531,'Data Pura Producción'!$R$17:$R$531,$Q32,'Data Pura Producción'!$Q$17:$Q$531,$R32)))</f>
        <v/>
      </c>
      <c r="AH32" s="182" t="str">
        <f>+IF($Q32="","",IF(SUMIFS('Data Pura Producción'!AS$17:AS$531,'Data Pura Producción'!$R$17:$R$531,$Q32,'Data Pura Producción'!$Q$17:$Q$531,$R32)=0,"",SUMIFS('Data Pura Producción'!AS$17:AS$531,'Data Pura Producción'!$R$17:$R$531,$Q32,'Data Pura Producción'!$Q$17:$Q$531,$R32)))</f>
        <v/>
      </c>
      <c r="AI32" s="182" t="str">
        <f>+IF($Q32="","",IF(SUMIFS('Data Pura Producción'!AT$17:AT$531,'Data Pura Producción'!$R$17:$R$531,$Q32,'Data Pura Producción'!$Q$17:$Q$531,$R32)=0,"",SUMIFS('Data Pura Producción'!AT$17:AT$531,'Data Pura Producción'!$R$17:$R$531,$Q32,'Data Pura Producción'!$Q$17:$Q$531,$R32)))</f>
        <v/>
      </c>
      <c r="AJ32" s="182" t="str">
        <f>+IF($Q32="","",IF(SUMIFS('Data Pura Producción'!AU$17:AU$531,'Data Pura Producción'!$R$17:$R$531,$Q32,'Data Pura Producción'!$Q$17:$Q$531,$R32)=0,"",SUMIFS('Data Pura Producción'!AU$17:AU$531,'Data Pura Producción'!$R$17:$R$531,$Q32,'Data Pura Producción'!$Q$17:$Q$531,$R32)))</f>
        <v/>
      </c>
      <c r="AK32" s="182" t="str">
        <f>+IF($Q32="","",IF(SUMIFS('Data Pura Producción'!AV$17:AV$531,'Data Pura Producción'!$R$17:$R$531,$Q32,'Data Pura Producción'!$Q$17:$Q$531,$R32)=0,"",SUMIFS('Data Pura Producción'!AV$17:AV$531,'Data Pura Producción'!$R$17:$R$531,$Q32,'Data Pura Producción'!$Q$17:$Q$531,$R32)))</f>
        <v/>
      </c>
      <c r="AL32" s="182" t="str">
        <f>+IF($Q32="","",IF(SUMIFS('Data Pura Producción'!AW$17:AW$531,'Data Pura Producción'!$R$17:$R$531,$Q32,'Data Pura Producción'!$Q$17:$Q$531,$R32)=0,"",SUMIFS('Data Pura Producción'!AW$17:AW$531,'Data Pura Producción'!$R$17:$R$531,$Q32,'Data Pura Producción'!$Q$17:$Q$531,$R32)))</f>
        <v/>
      </c>
      <c r="AM32" s="337" t="str">
        <f>+IF($Q32="","",IF(SUMIFS('Data Pura Producción'!AX$17:AX$531,'Data Pura Producción'!$R$17:$R$531,$Q32,'Data Pura Producción'!$Q$17:$Q$531,$R32)=0,"",SUMIFS('Data Pura Producción'!AX$17:AX$531,'Data Pura Producción'!$R$17:$R$531,$Q32,'Data Pura Producción'!$Q$17:$Q$531,$R32)))</f>
        <v/>
      </c>
      <c r="AN32" s="187" t="str">
        <f t="shared" si="2"/>
        <v/>
      </c>
    </row>
    <row r="33" spans="2:40" s="7" customFormat="1" x14ac:dyDescent="0.35">
      <c r="B33" s="4" t="str">
        <f>+IF('Data Pura Costos'!B33="","",'Data Pura Costos'!B33)</f>
        <v xml:space="preserve">Caliboro </v>
      </c>
      <c r="C33" s="4" t="str">
        <f>+IF('Data Pura Costos'!C33="","",'Data Pura Costos'!C33)</f>
        <v>San Javier, VII región</v>
      </c>
      <c r="D33" s="5">
        <f>+IF('Data Pura Costos'!D33="","",'Data Pura Costos'!D33)</f>
        <v>258</v>
      </c>
      <c r="E33" s="65">
        <f>+IF('Data Pura Costos'!E33="","",IF('Data Pura Costos'!E33=0,MAX('Data Pura Costos'!$E$7:$E$3000)*1000,'Data Pura Costos'!E33))</f>
        <v>720000</v>
      </c>
      <c r="F33" s="5" t="str">
        <f>+IF('Data Pura Costos'!F33="","",'Data Pura Costos'!F33)</f>
        <v>Mostazal</v>
      </c>
      <c r="G33" s="5" t="str">
        <f>+IF('Data Pura Costos'!G33="","",'Data Pura Costos'!G33)</f>
        <v xml:space="preserve">GUSTAVO ZÚÑIGA </v>
      </c>
      <c r="H33" s="52" t="str">
        <f>+IF('Data Pura Costos'!H33="","",'Data Pura Costos'!H33)</f>
        <v>Termo</v>
      </c>
      <c r="I33" s="71">
        <f>+IF('Data Pura Costos'!I33="","",'Data Pura Costos'!I33)</f>
        <v>2790.6976744186045</v>
      </c>
      <c r="J33" s="52" t="str">
        <f>+IF('Data Pura Costos'!J33="","",'Data Pura Costos'!J33)</f>
        <v>24-25</v>
      </c>
      <c r="K33" s="82" t="str">
        <f t="shared" si="3"/>
        <v xml:space="preserve">Caliboro -Mostazal-GUSTAVO ZÚÑIGA </v>
      </c>
      <c r="M33" s="4"/>
      <c r="N33" s="5" t="str">
        <f>+IF(M33="","",INDEX('Parámetros Auxiliares'!$D$7:$D$65,MATCH(M33,'Parámetros Auxiliares'!$D$7:$D$65,0)))</f>
        <v/>
      </c>
      <c r="O33" s="259"/>
      <c r="P33" s="1" t="str">
        <f t="shared" si="1"/>
        <v/>
      </c>
      <c r="Q33" s="185"/>
      <c r="R33" s="332"/>
      <c r="S33" s="336" t="str">
        <f>+IF($Q33="","",IF(SUMIFS('Data Pura Producción'!AD$17:AD$531,'Data Pura Producción'!$R$17:$R$531,$Q33,'Data Pura Producción'!$Q$17:$Q$531,$R33)=0,"",SUMIFS('Data Pura Producción'!AD$17:AD$531,'Data Pura Producción'!$R$17:$R$531,$Q33,'Data Pura Producción'!$Q$17:$Q$531,$R33)))</f>
        <v/>
      </c>
      <c r="T33" s="182" t="str">
        <f>+IF($Q33="","",IF(SUMIFS('Data Pura Producción'!AE$17:AE$531,'Data Pura Producción'!$R$17:$R$531,$Q33,'Data Pura Producción'!$Q$17:$Q$531,$R33)=0,"",SUMIFS('Data Pura Producción'!AE$17:AE$531,'Data Pura Producción'!$R$17:$R$531,$Q33,'Data Pura Producción'!$Q$17:$Q$531,$R33)))</f>
        <v/>
      </c>
      <c r="U33" s="182" t="str">
        <f>+IF($Q33="","",IF(SUMIFS('Data Pura Producción'!AF$17:AF$531,'Data Pura Producción'!$R$17:$R$531,$Q33,'Data Pura Producción'!$Q$17:$Q$531,$R33)=0,"",SUMIFS('Data Pura Producción'!AF$17:AF$531,'Data Pura Producción'!$R$17:$R$531,$Q33,'Data Pura Producción'!$Q$17:$Q$531,$R33)))</f>
        <v/>
      </c>
      <c r="V33" s="182" t="str">
        <f>+IF($Q33="","",IF(SUMIFS('Data Pura Producción'!AG$17:AG$531,'Data Pura Producción'!$R$17:$R$531,$Q33,'Data Pura Producción'!$Q$17:$Q$531,$R33)=0,"",SUMIFS('Data Pura Producción'!AG$17:AG$531,'Data Pura Producción'!$R$17:$R$531,$Q33,'Data Pura Producción'!$Q$17:$Q$531,$R33)))</f>
        <v/>
      </c>
      <c r="W33" s="182" t="str">
        <f>+IF($Q33="","",IF(SUMIFS('Data Pura Producción'!AH$17:AH$531,'Data Pura Producción'!$R$17:$R$531,$Q33,'Data Pura Producción'!$Q$17:$Q$531,$R33)=0,"",SUMIFS('Data Pura Producción'!AH$17:AH$531,'Data Pura Producción'!$R$17:$R$531,$Q33,'Data Pura Producción'!$Q$17:$Q$531,$R33)))</f>
        <v/>
      </c>
      <c r="X33" s="182" t="str">
        <f>+IF($Q33="","",IF(SUMIFS('Data Pura Producción'!AI$17:AI$531,'Data Pura Producción'!$R$17:$R$531,$Q33,'Data Pura Producción'!$Q$17:$Q$531,$R33)=0,"",SUMIFS('Data Pura Producción'!AI$17:AI$531,'Data Pura Producción'!$R$17:$R$531,$Q33,'Data Pura Producción'!$Q$17:$Q$531,$R33)))</f>
        <v/>
      </c>
      <c r="Y33" s="182" t="str">
        <f>+IF($Q33="","",IF(SUMIFS('Data Pura Producción'!AJ$17:AJ$531,'Data Pura Producción'!$R$17:$R$531,$Q33,'Data Pura Producción'!$Q$17:$Q$531,$R33)=0,"",SUMIFS('Data Pura Producción'!AJ$17:AJ$531,'Data Pura Producción'!$R$17:$R$531,$Q33,'Data Pura Producción'!$Q$17:$Q$531,$R33)))</f>
        <v/>
      </c>
      <c r="Z33" s="182" t="str">
        <f>+IF($Q33="","",IF(SUMIFS('Data Pura Producción'!AK$17:AK$531,'Data Pura Producción'!$R$17:$R$531,$Q33,'Data Pura Producción'!$Q$17:$Q$531,$R33)=0,"",SUMIFS('Data Pura Producción'!AK$17:AK$531,'Data Pura Producción'!$R$17:$R$531,$Q33,'Data Pura Producción'!$Q$17:$Q$531,$R33)))</f>
        <v/>
      </c>
      <c r="AA33" s="182" t="str">
        <f>+IF($Q33="","",IF(SUMIFS('Data Pura Producción'!AL$17:AL$531,'Data Pura Producción'!$R$17:$R$531,$Q33,'Data Pura Producción'!$Q$17:$Q$531,$R33)=0,"",SUMIFS('Data Pura Producción'!AL$17:AL$531,'Data Pura Producción'!$R$17:$R$531,$Q33,'Data Pura Producción'!$Q$17:$Q$531,$R33)))</f>
        <v/>
      </c>
      <c r="AB33" s="182" t="str">
        <f>+IF($Q33="","",IF(SUMIFS('Data Pura Producción'!AM$17:AM$531,'Data Pura Producción'!$R$17:$R$531,$Q33,'Data Pura Producción'!$Q$17:$Q$531,$R33)=0,"",SUMIFS('Data Pura Producción'!AM$17:AM$531,'Data Pura Producción'!$R$17:$R$531,$Q33,'Data Pura Producción'!$Q$17:$Q$531,$R33)))</f>
        <v/>
      </c>
      <c r="AC33" s="182" t="str">
        <f>+IF($Q33="","",IF(SUMIFS('Data Pura Producción'!AN$17:AN$531,'Data Pura Producción'!$R$17:$R$531,$Q33,'Data Pura Producción'!$Q$17:$Q$531,$R33)=0,"",SUMIFS('Data Pura Producción'!AN$17:AN$531,'Data Pura Producción'!$R$17:$R$531,$Q33,'Data Pura Producción'!$Q$17:$Q$531,$R33)))</f>
        <v/>
      </c>
      <c r="AD33" s="182" t="str">
        <f>+IF($Q33="","",IF(SUMIFS('Data Pura Producción'!AO$17:AO$531,'Data Pura Producción'!$R$17:$R$531,$Q33,'Data Pura Producción'!$Q$17:$Q$531,$R33)=0,"",SUMIFS('Data Pura Producción'!AO$17:AO$531,'Data Pura Producción'!$R$17:$R$531,$Q33,'Data Pura Producción'!$Q$17:$Q$531,$R33)))</f>
        <v/>
      </c>
      <c r="AE33" s="182" t="str">
        <f>+IF($Q33="","",IF(SUMIFS('Data Pura Producción'!AP$17:AP$531,'Data Pura Producción'!$R$17:$R$531,$Q33,'Data Pura Producción'!$Q$17:$Q$531,$R33)=0,"",SUMIFS('Data Pura Producción'!AP$17:AP$531,'Data Pura Producción'!$R$17:$R$531,$Q33,'Data Pura Producción'!$Q$17:$Q$531,$R33)))</f>
        <v/>
      </c>
      <c r="AF33" s="182" t="str">
        <f>+IF($Q33="","",IF(SUMIFS('Data Pura Producción'!AQ$17:AQ$531,'Data Pura Producción'!$R$17:$R$531,$Q33,'Data Pura Producción'!$Q$17:$Q$531,$R33)=0,"",SUMIFS('Data Pura Producción'!AQ$17:AQ$531,'Data Pura Producción'!$R$17:$R$531,$Q33,'Data Pura Producción'!$Q$17:$Q$531,$R33)))</f>
        <v/>
      </c>
      <c r="AG33" s="182" t="str">
        <f>+IF($Q33="","",IF(SUMIFS('Data Pura Producción'!AR$17:AR$531,'Data Pura Producción'!$R$17:$R$531,$Q33,'Data Pura Producción'!$Q$17:$Q$531,$R33)=0,"",SUMIFS('Data Pura Producción'!AR$17:AR$531,'Data Pura Producción'!$R$17:$R$531,$Q33,'Data Pura Producción'!$Q$17:$Q$531,$R33)))</f>
        <v/>
      </c>
      <c r="AH33" s="182" t="str">
        <f>+IF($Q33="","",IF(SUMIFS('Data Pura Producción'!AS$17:AS$531,'Data Pura Producción'!$R$17:$R$531,$Q33,'Data Pura Producción'!$Q$17:$Q$531,$R33)=0,"",SUMIFS('Data Pura Producción'!AS$17:AS$531,'Data Pura Producción'!$R$17:$R$531,$Q33,'Data Pura Producción'!$Q$17:$Q$531,$R33)))</f>
        <v/>
      </c>
      <c r="AI33" s="182" t="str">
        <f>+IF($Q33="","",IF(SUMIFS('Data Pura Producción'!AT$17:AT$531,'Data Pura Producción'!$R$17:$R$531,$Q33,'Data Pura Producción'!$Q$17:$Q$531,$R33)=0,"",SUMIFS('Data Pura Producción'!AT$17:AT$531,'Data Pura Producción'!$R$17:$R$531,$Q33,'Data Pura Producción'!$Q$17:$Q$531,$R33)))</f>
        <v/>
      </c>
      <c r="AJ33" s="182" t="str">
        <f>+IF($Q33="","",IF(SUMIFS('Data Pura Producción'!AU$17:AU$531,'Data Pura Producción'!$R$17:$R$531,$Q33,'Data Pura Producción'!$Q$17:$Q$531,$R33)=0,"",SUMIFS('Data Pura Producción'!AU$17:AU$531,'Data Pura Producción'!$R$17:$R$531,$Q33,'Data Pura Producción'!$Q$17:$Q$531,$R33)))</f>
        <v/>
      </c>
      <c r="AK33" s="182" t="str">
        <f>+IF($Q33="","",IF(SUMIFS('Data Pura Producción'!AV$17:AV$531,'Data Pura Producción'!$R$17:$R$531,$Q33,'Data Pura Producción'!$Q$17:$Q$531,$R33)=0,"",SUMIFS('Data Pura Producción'!AV$17:AV$531,'Data Pura Producción'!$R$17:$R$531,$Q33,'Data Pura Producción'!$Q$17:$Q$531,$R33)))</f>
        <v/>
      </c>
      <c r="AL33" s="182" t="str">
        <f>+IF($Q33="","",IF(SUMIFS('Data Pura Producción'!AW$17:AW$531,'Data Pura Producción'!$R$17:$R$531,$Q33,'Data Pura Producción'!$Q$17:$Q$531,$R33)=0,"",SUMIFS('Data Pura Producción'!AW$17:AW$531,'Data Pura Producción'!$R$17:$R$531,$Q33,'Data Pura Producción'!$Q$17:$Q$531,$R33)))</f>
        <v/>
      </c>
      <c r="AM33" s="337" t="str">
        <f>+IF($Q33="","",IF(SUMIFS('Data Pura Producción'!AX$17:AX$531,'Data Pura Producción'!$R$17:$R$531,$Q33,'Data Pura Producción'!$Q$17:$Q$531,$R33)=0,"",SUMIFS('Data Pura Producción'!AX$17:AX$531,'Data Pura Producción'!$R$17:$R$531,$Q33,'Data Pura Producción'!$Q$17:$Q$531,$R33)))</f>
        <v/>
      </c>
      <c r="AN33" s="187" t="str">
        <f t="shared" si="2"/>
        <v/>
      </c>
    </row>
    <row r="34" spans="2:40" s="7" customFormat="1" x14ac:dyDescent="0.35">
      <c r="B34" s="4" t="str">
        <f>+IF('Data Pura Costos'!B34="","",'Data Pura Costos'!B34)</f>
        <v>Calleuque</v>
      </c>
      <c r="C34" s="4" t="str">
        <f>+IF('Data Pura Costos'!C34="","",'Data Pura Costos'!C34)</f>
        <v>Peralillo ohiggins, VI región</v>
      </c>
      <c r="D34" s="5">
        <f>+IF('Data Pura Costos'!D34="","",'Data Pura Costos'!D34)</f>
        <v>143</v>
      </c>
      <c r="E34" s="65">
        <f>+IF('Data Pura Costos'!E34="","",IF('Data Pura Costos'!E34=0,MAX('Data Pura Costos'!$E$7:$E$3000)*1000,'Data Pura Costos'!E34))</f>
        <v>450000</v>
      </c>
      <c r="F34" s="5" t="str">
        <f>+IF('Data Pura Costos'!F34="","",'Data Pura Costos'!F34)</f>
        <v>Mostazal</v>
      </c>
      <c r="G34" s="5" t="str">
        <f>+IF('Data Pura Costos'!G34="","",'Data Pura Costos'!G34)</f>
        <v xml:space="preserve">GUSTAVO ZÚÑIGA </v>
      </c>
      <c r="H34" s="52" t="str">
        <f>+IF('Data Pura Costos'!H34="","",'Data Pura Costos'!H34)</f>
        <v>Termo</v>
      </c>
      <c r="I34" s="71">
        <f>+IF('Data Pura Costos'!I34="","",'Data Pura Costos'!I34)</f>
        <v>3146.8531468531469</v>
      </c>
      <c r="J34" s="52" t="str">
        <f>+IF('Data Pura Costos'!J34="","",'Data Pura Costos'!J34)</f>
        <v>24-25</v>
      </c>
      <c r="K34" s="82" t="str">
        <f t="shared" si="3"/>
        <v xml:space="preserve">Calleuque-Mostazal-GUSTAVO ZÚÑIGA </v>
      </c>
      <c r="M34" s="4"/>
      <c r="N34" s="5" t="str">
        <f>+IF(M34="","",INDEX('Parámetros Auxiliares'!$D$7:$D$65,MATCH(M34,'Parámetros Auxiliares'!$D$7:$D$65,0)))</f>
        <v/>
      </c>
      <c r="O34" s="259"/>
      <c r="P34" s="1" t="str">
        <f t="shared" si="1"/>
        <v/>
      </c>
      <c r="Q34" s="185"/>
      <c r="R34" s="332"/>
      <c r="S34" s="336" t="str">
        <f>+IF($Q34="","",IF(SUMIFS('Data Pura Producción'!AD$17:AD$531,'Data Pura Producción'!$R$17:$R$531,$Q34,'Data Pura Producción'!$Q$17:$Q$531,$R34)=0,"",SUMIFS('Data Pura Producción'!AD$17:AD$531,'Data Pura Producción'!$R$17:$R$531,$Q34,'Data Pura Producción'!$Q$17:$Q$531,$R34)))</f>
        <v/>
      </c>
      <c r="T34" s="182" t="str">
        <f>+IF($Q34="","",IF(SUMIFS('Data Pura Producción'!AE$17:AE$531,'Data Pura Producción'!$R$17:$R$531,$Q34,'Data Pura Producción'!$Q$17:$Q$531,$R34)=0,"",SUMIFS('Data Pura Producción'!AE$17:AE$531,'Data Pura Producción'!$R$17:$R$531,$Q34,'Data Pura Producción'!$Q$17:$Q$531,$R34)))</f>
        <v/>
      </c>
      <c r="U34" s="182" t="str">
        <f>+IF($Q34="","",IF(SUMIFS('Data Pura Producción'!AF$17:AF$531,'Data Pura Producción'!$R$17:$R$531,$Q34,'Data Pura Producción'!$Q$17:$Q$531,$R34)=0,"",SUMIFS('Data Pura Producción'!AF$17:AF$531,'Data Pura Producción'!$R$17:$R$531,$Q34,'Data Pura Producción'!$Q$17:$Q$531,$R34)))</f>
        <v/>
      </c>
      <c r="V34" s="182" t="str">
        <f>+IF($Q34="","",IF(SUMIFS('Data Pura Producción'!AG$17:AG$531,'Data Pura Producción'!$R$17:$R$531,$Q34,'Data Pura Producción'!$Q$17:$Q$531,$R34)=0,"",SUMIFS('Data Pura Producción'!AG$17:AG$531,'Data Pura Producción'!$R$17:$R$531,$Q34,'Data Pura Producción'!$Q$17:$Q$531,$R34)))</f>
        <v/>
      </c>
      <c r="W34" s="182" t="str">
        <f>+IF($Q34="","",IF(SUMIFS('Data Pura Producción'!AH$17:AH$531,'Data Pura Producción'!$R$17:$R$531,$Q34,'Data Pura Producción'!$Q$17:$Q$531,$R34)=0,"",SUMIFS('Data Pura Producción'!AH$17:AH$531,'Data Pura Producción'!$R$17:$R$531,$Q34,'Data Pura Producción'!$Q$17:$Q$531,$R34)))</f>
        <v/>
      </c>
      <c r="X34" s="182" t="str">
        <f>+IF($Q34="","",IF(SUMIFS('Data Pura Producción'!AI$17:AI$531,'Data Pura Producción'!$R$17:$R$531,$Q34,'Data Pura Producción'!$Q$17:$Q$531,$R34)=0,"",SUMIFS('Data Pura Producción'!AI$17:AI$531,'Data Pura Producción'!$R$17:$R$531,$Q34,'Data Pura Producción'!$Q$17:$Q$531,$R34)))</f>
        <v/>
      </c>
      <c r="Y34" s="182" t="str">
        <f>+IF($Q34="","",IF(SUMIFS('Data Pura Producción'!AJ$17:AJ$531,'Data Pura Producción'!$R$17:$R$531,$Q34,'Data Pura Producción'!$Q$17:$Q$531,$R34)=0,"",SUMIFS('Data Pura Producción'!AJ$17:AJ$531,'Data Pura Producción'!$R$17:$R$531,$Q34,'Data Pura Producción'!$Q$17:$Q$531,$R34)))</f>
        <v/>
      </c>
      <c r="Z34" s="182" t="str">
        <f>+IF($Q34="","",IF(SUMIFS('Data Pura Producción'!AK$17:AK$531,'Data Pura Producción'!$R$17:$R$531,$Q34,'Data Pura Producción'!$Q$17:$Q$531,$R34)=0,"",SUMIFS('Data Pura Producción'!AK$17:AK$531,'Data Pura Producción'!$R$17:$R$531,$Q34,'Data Pura Producción'!$Q$17:$Q$531,$R34)))</f>
        <v/>
      </c>
      <c r="AA34" s="182" t="str">
        <f>+IF($Q34="","",IF(SUMIFS('Data Pura Producción'!AL$17:AL$531,'Data Pura Producción'!$R$17:$R$531,$Q34,'Data Pura Producción'!$Q$17:$Q$531,$R34)=0,"",SUMIFS('Data Pura Producción'!AL$17:AL$531,'Data Pura Producción'!$R$17:$R$531,$Q34,'Data Pura Producción'!$Q$17:$Q$531,$R34)))</f>
        <v/>
      </c>
      <c r="AB34" s="182" t="str">
        <f>+IF($Q34="","",IF(SUMIFS('Data Pura Producción'!AM$17:AM$531,'Data Pura Producción'!$R$17:$R$531,$Q34,'Data Pura Producción'!$Q$17:$Q$531,$R34)=0,"",SUMIFS('Data Pura Producción'!AM$17:AM$531,'Data Pura Producción'!$R$17:$R$531,$Q34,'Data Pura Producción'!$Q$17:$Q$531,$R34)))</f>
        <v/>
      </c>
      <c r="AC34" s="182" t="str">
        <f>+IF($Q34="","",IF(SUMIFS('Data Pura Producción'!AN$17:AN$531,'Data Pura Producción'!$R$17:$R$531,$Q34,'Data Pura Producción'!$Q$17:$Q$531,$R34)=0,"",SUMIFS('Data Pura Producción'!AN$17:AN$531,'Data Pura Producción'!$R$17:$R$531,$Q34,'Data Pura Producción'!$Q$17:$Q$531,$R34)))</f>
        <v/>
      </c>
      <c r="AD34" s="182" t="str">
        <f>+IF($Q34="","",IF(SUMIFS('Data Pura Producción'!AO$17:AO$531,'Data Pura Producción'!$R$17:$R$531,$Q34,'Data Pura Producción'!$Q$17:$Q$531,$R34)=0,"",SUMIFS('Data Pura Producción'!AO$17:AO$531,'Data Pura Producción'!$R$17:$R$531,$Q34,'Data Pura Producción'!$Q$17:$Q$531,$R34)))</f>
        <v/>
      </c>
      <c r="AE34" s="182" t="str">
        <f>+IF($Q34="","",IF(SUMIFS('Data Pura Producción'!AP$17:AP$531,'Data Pura Producción'!$R$17:$R$531,$Q34,'Data Pura Producción'!$Q$17:$Q$531,$R34)=0,"",SUMIFS('Data Pura Producción'!AP$17:AP$531,'Data Pura Producción'!$R$17:$R$531,$Q34,'Data Pura Producción'!$Q$17:$Q$531,$R34)))</f>
        <v/>
      </c>
      <c r="AF34" s="182" t="str">
        <f>+IF($Q34="","",IF(SUMIFS('Data Pura Producción'!AQ$17:AQ$531,'Data Pura Producción'!$R$17:$R$531,$Q34,'Data Pura Producción'!$Q$17:$Q$531,$R34)=0,"",SUMIFS('Data Pura Producción'!AQ$17:AQ$531,'Data Pura Producción'!$R$17:$R$531,$Q34,'Data Pura Producción'!$Q$17:$Q$531,$R34)))</f>
        <v/>
      </c>
      <c r="AG34" s="182" t="str">
        <f>+IF($Q34="","",IF(SUMIFS('Data Pura Producción'!AR$17:AR$531,'Data Pura Producción'!$R$17:$R$531,$Q34,'Data Pura Producción'!$Q$17:$Q$531,$R34)=0,"",SUMIFS('Data Pura Producción'!AR$17:AR$531,'Data Pura Producción'!$R$17:$R$531,$Q34,'Data Pura Producción'!$Q$17:$Q$531,$R34)))</f>
        <v/>
      </c>
      <c r="AH34" s="182" t="str">
        <f>+IF($Q34="","",IF(SUMIFS('Data Pura Producción'!AS$17:AS$531,'Data Pura Producción'!$R$17:$R$531,$Q34,'Data Pura Producción'!$Q$17:$Q$531,$R34)=0,"",SUMIFS('Data Pura Producción'!AS$17:AS$531,'Data Pura Producción'!$R$17:$R$531,$Q34,'Data Pura Producción'!$Q$17:$Q$531,$R34)))</f>
        <v/>
      </c>
      <c r="AI34" s="182" t="str">
        <f>+IF($Q34="","",IF(SUMIFS('Data Pura Producción'!AT$17:AT$531,'Data Pura Producción'!$R$17:$R$531,$Q34,'Data Pura Producción'!$Q$17:$Q$531,$R34)=0,"",SUMIFS('Data Pura Producción'!AT$17:AT$531,'Data Pura Producción'!$R$17:$R$531,$Q34,'Data Pura Producción'!$Q$17:$Q$531,$R34)))</f>
        <v/>
      </c>
      <c r="AJ34" s="182" t="str">
        <f>+IF($Q34="","",IF(SUMIFS('Data Pura Producción'!AU$17:AU$531,'Data Pura Producción'!$R$17:$R$531,$Q34,'Data Pura Producción'!$Q$17:$Q$531,$R34)=0,"",SUMIFS('Data Pura Producción'!AU$17:AU$531,'Data Pura Producción'!$R$17:$R$531,$Q34,'Data Pura Producción'!$Q$17:$Q$531,$R34)))</f>
        <v/>
      </c>
      <c r="AK34" s="182" t="str">
        <f>+IF($Q34="","",IF(SUMIFS('Data Pura Producción'!AV$17:AV$531,'Data Pura Producción'!$R$17:$R$531,$Q34,'Data Pura Producción'!$Q$17:$Q$531,$R34)=0,"",SUMIFS('Data Pura Producción'!AV$17:AV$531,'Data Pura Producción'!$R$17:$R$531,$Q34,'Data Pura Producción'!$Q$17:$Q$531,$R34)))</f>
        <v/>
      </c>
      <c r="AL34" s="182" t="str">
        <f>+IF($Q34="","",IF(SUMIFS('Data Pura Producción'!AW$17:AW$531,'Data Pura Producción'!$R$17:$R$531,$Q34,'Data Pura Producción'!$Q$17:$Q$531,$R34)=0,"",SUMIFS('Data Pura Producción'!AW$17:AW$531,'Data Pura Producción'!$R$17:$R$531,$Q34,'Data Pura Producción'!$Q$17:$Q$531,$R34)))</f>
        <v/>
      </c>
      <c r="AM34" s="337" t="str">
        <f>+IF($Q34="","",IF(SUMIFS('Data Pura Producción'!AX$17:AX$531,'Data Pura Producción'!$R$17:$R$531,$Q34,'Data Pura Producción'!$Q$17:$Q$531,$R34)=0,"",SUMIFS('Data Pura Producción'!AX$17:AX$531,'Data Pura Producción'!$R$17:$R$531,$Q34,'Data Pura Producción'!$Q$17:$Q$531,$R34)))</f>
        <v/>
      </c>
      <c r="AN34" s="187" t="str">
        <f t="shared" si="2"/>
        <v/>
      </c>
    </row>
    <row r="35" spans="2:40" s="7" customFormat="1" x14ac:dyDescent="0.35">
      <c r="B35" s="4" t="str">
        <f>+IF('Data Pura Costos'!B35="","",'Data Pura Costos'!B35)</f>
        <v>Chumpirro</v>
      </c>
      <c r="C35" s="4" t="str">
        <f>+IF('Data Pura Costos'!C35="","",'Data Pura Costos'!C35)</f>
        <v>Angol, IX región</v>
      </c>
      <c r="D35" s="5">
        <f>+IF('Data Pura Costos'!D35="","",'Data Pura Costos'!D35)</f>
        <v>499</v>
      </c>
      <c r="E35" s="65">
        <f>+IF('Data Pura Costos'!E35="","",IF('Data Pura Costos'!E35=0,MAX('Data Pura Costos'!$E$7:$E$3000)*1000,'Data Pura Costos'!E35))</f>
        <v>1290000</v>
      </c>
      <c r="F35" s="5" t="str">
        <f>+IF('Data Pura Costos'!F35="","",'Data Pura Costos'!F35)</f>
        <v>Mostazal</v>
      </c>
      <c r="G35" s="5" t="str">
        <f>+IF('Data Pura Costos'!G35="","",'Data Pura Costos'!G35)</f>
        <v xml:space="preserve">GUSTAVO ZÚÑIGA </v>
      </c>
      <c r="H35" s="52" t="str">
        <f>+IF('Data Pura Costos'!H35="","",'Data Pura Costos'!H35)</f>
        <v>Termo</v>
      </c>
      <c r="I35" s="71">
        <f>+IF('Data Pura Costos'!I35="","",'Data Pura Costos'!I35)</f>
        <v>2585.1703406813626</v>
      </c>
      <c r="J35" s="52" t="str">
        <f>+IF('Data Pura Costos'!J35="","",'Data Pura Costos'!J35)</f>
        <v>24-25</v>
      </c>
      <c r="K35" s="82" t="str">
        <f t="shared" si="3"/>
        <v xml:space="preserve">Chumpirro-Mostazal-GUSTAVO ZÚÑIGA </v>
      </c>
      <c r="M35" s="4"/>
      <c r="N35" s="5" t="str">
        <f>+IF(M35="","",INDEX('Parámetros Auxiliares'!$D$7:$D$65,MATCH(M35,'Parámetros Auxiliares'!$D$7:$D$65,0)))</f>
        <v/>
      </c>
      <c r="O35" s="259"/>
      <c r="P35" s="1" t="str">
        <f t="shared" si="1"/>
        <v/>
      </c>
      <c r="Q35" s="185"/>
      <c r="R35" s="332"/>
      <c r="S35" s="336" t="str">
        <f>+IF($Q35="","",IF(SUMIFS('Data Pura Producción'!AD$17:AD$531,'Data Pura Producción'!$R$17:$R$531,$Q35,'Data Pura Producción'!$Q$17:$Q$531,$R35)=0,"",SUMIFS('Data Pura Producción'!AD$17:AD$531,'Data Pura Producción'!$R$17:$R$531,$Q35,'Data Pura Producción'!$Q$17:$Q$531,$R35)))</f>
        <v/>
      </c>
      <c r="T35" s="182" t="str">
        <f>+IF($Q35="","",IF(SUMIFS('Data Pura Producción'!AE$17:AE$531,'Data Pura Producción'!$R$17:$R$531,$Q35,'Data Pura Producción'!$Q$17:$Q$531,$R35)=0,"",SUMIFS('Data Pura Producción'!AE$17:AE$531,'Data Pura Producción'!$R$17:$R$531,$Q35,'Data Pura Producción'!$Q$17:$Q$531,$R35)))</f>
        <v/>
      </c>
      <c r="U35" s="182" t="str">
        <f>+IF($Q35="","",IF(SUMIFS('Data Pura Producción'!AF$17:AF$531,'Data Pura Producción'!$R$17:$R$531,$Q35,'Data Pura Producción'!$Q$17:$Q$531,$R35)=0,"",SUMIFS('Data Pura Producción'!AF$17:AF$531,'Data Pura Producción'!$R$17:$R$531,$Q35,'Data Pura Producción'!$Q$17:$Q$531,$R35)))</f>
        <v/>
      </c>
      <c r="V35" s="182" t="str">
        <f>+IF($Q35="","",IF(SUMIFS('Data Pura Producción'!AG$17:AG$531,'Data Pura Producción'!$R$17:$R$531,$Q35,'Data Pura Producción'!$Q$17:$Q$531,$R35)=0,"",SUMIFS('Data Pura Producción'!AG$17:AG$531,'Data Pura Producción'!$R$17:$R$531,$Q35,'Data Pura Producción'!$Q$17:$Q$531,$R35)))</f>
        <v/>
      </c>
      <c r="W35" s="182" t="str">
        <f>+IF($Q35="","",IF(SUMIFS('Data Pura Producción'!AH$17:AH$531,'Data Pura Producción'!$R$17:$R$531,$Q35,'Data Pura Producción'!$Q$17:$Q$531,$R35)=0,"",SUMIFS('Data Pura Producción'!AH$17:AH$531,'Data Pura Producción'!$R$17:$R$531,$Q35,'Data Pura Producción'!$Q$17:$Q$531,$R35)))</f>
        <v/>
      </c>
      <c r="X35" s="182" t="str">
        <f>+IF($Q35="","",IF(SUMIFS('Data Pura Producción'!AI$17:AI$531,'Data Pura Producción'!$R$17:$R$531,$Q35,'Data Pura Producción'!$Q$17:$Q$531,$R35)=0,"",SUMIFS('Data Pura Producción'!AI$17:AI$531,'Data Pura Producción'!$R$17:$R$531,$Q35,'Data Pura Producción'!$Q$17:$Q$531,$R35)))</f>
        <v/>
      </c>
      <c r="Y35" s="182" t="str">
        <f>+IF($Q35="","",IF(SUMIFS('Data Pura Producción'!AJ$17:AJ$531,'Data Pura Producción'!$R$17:$R$531,$Q35,'Data Pura Producción'!$Q$17:$Q$531,$R35)=0,"",SUMIFS('Data Pura Producción'!AJ$17:AJ$531,'Data Pura Producción'!$R$17:$R$531,$Q35,'Data Pura Producción'!$Q$17:$Q$531,$R35)))</f>
        <v/>
      </c>
      <c r="Z35" s="182" t="str">
        <f>+IF($Q35="","",IF(SUMIFS('Data Pura Producción'!AK$17:AK$531,'Data Pura Producción'!$R$17:$R$531,$Q35,'Data Pura Producción'!$Q$17:$Q$531,$R35)=0,"",SUMIFS('Data Pura Producción'!AK$17:AK$531,'Data Pura Producción'!$R$17:$R$531,$Q35,'Data Pura Producción'!$Q$17:$Q$531,$R35)))</f>
        <v/>
      </c>
      <c r="AA35" s="182" t="str">
        <f>+IF($Q35="","",IF(SUMIFS('Data Pura Producción'!AL$17:AL$531,'Data Pura Producción'!$R$17:$R$531,$Q35,'Data Pura Producción'!$Q$17:$Q$531,$R35)=0,"",SUMIFS('Data Pura Producción'!AL$17:AL$531,'Data Pura Producción'!$R$17:$R$531,$Q35,'Data Pura Producción'!$Q$17:$Q$531,$R35)))</f>
        <v/>
      </c>
      <c r="AB35" s="182" t="str">
        <f>+IF($Q35="","",IF(SUMIFS('Data Pura Producción'!AM$17:AM$531,'Data Pura Producción'!$R$17:$R$531,$Q35,'Data Pura Producción'!$Q$17:$Q$531,$R35)=0,"",SUMIFS('Data Pura Producción'!AM$17:AM$531,'Data Pura Producción'!$R$17:$R$531,$Q35,'Data Pura Producción'!$Q$17:$Q$531,$R35)))</f>
        <v/>
      </c>
      <c r="AC35" s="182" t="str">
        <f>+IF($Q35="","",IF(SUMIFS('Data Pura Producción'!AN$17:AN$531,'Data Pura Producción'!$R$17:$R$531,$Q35,'Data Pura Producción'!$Q$17:$Q$531,$R35)=0,"",SUMIFS('Data Pura Producción'!AN$17:AN$531,'Data Pura Producción'!$R$17:$R$531,$Q35,'Data Pura Producción'!$Q$17:$Q$531,$R35)))</f>
        <v/>
      </c>
      <c r="AD35" s="182" t="str">
        <f>+IF($Q35="","",IF(SUMIFS('Data Pura Producción'!AO$17:AO$531,'Data Pura Producción'!$R$17:$R$531,$Q35,'Data Pura Producción'!$Q$17:$Q$531,$R35)=0,"",SUMIFS('Data Pura Producción'!AO$17:AO$531,'Data Pura Producción'!$R$17:$R$531,$Q35,'Data Pura Producción'!$Q$17:$Q$531,$R35)))</f>
        <v/>
      </c>
      <c r="AE35" s="182" t="str">
        <f>+IF($Q35="","",IF(SUMIFS('Data Pura Producción'!AP$17:AP$531,'Data Pura Producción'!$R$17:$R$531,$Q35,'Data Pura Producción'!$Q$17:$Q$531,$R35)=0,"",SUMIFS('Data Pura Producción'!AP$17:AP$531,'Data Pura Producción'!$R$17:$R$531,$Q35,'Data Pura Producción'!$Q$17:$Q$531,$R35)))</f>
        <v/>
      </c>
      <c r="AF35" s="182" t="str">
        <f>+IF($Q35="","",IF(SUMIFS('Data Pura Producción'!AQ$17:AQ$531,'Data Pura Producción'!$R$17:$R$531,$Q35,'Data Pura Producción'!$Q$17:$Q$531,$R35)=0,"",SUMIFS('Data Pura Producción'!AQ$17:AQ$531,'Data Pura Producción'!$R$17:$R$531,$Q35,'Data Pura Producción'!$Q$17:$Q$531,$R35)))</f>
        <v/>
      </c>
      <c r="AG35" s="182" t="str">
        <f>+IF($Q35="","",IF(SUMIFS('Data Pura Producción'!AR$17:AR$531,'Data Pura Producción'!$R$17:$R$531,$Q35,'Data Pura Producción'!$Q$17:$Q$531,$R35)=0,"",SUMIFS('Data Pura Producción'!AR$17:AR$531,'Data Pura Producción'!$R$17:$R$531,$Q35,'Data Pura Producción'!$Q$17:$Q$531,$R35)))</f>
        <v/>
      </c>
      <c r="AH35" s="182" t="str">
        <f>+IF($Q35="","",IF(SUMIFS('Data Pura Producción'!AS$17:AS$531,'Data Pura Producción'!$R$17:$R$531,$Q35,'Data Pura Producción'!$Q$17:$Q$531,$R35)=0,"",SUMIFS('Data Pura Producción'!AS$17:AS$531,'Data Pura Producción'!$R$17:$R$531,$Q35,'Data Pura Producción'!$Q$17:$Q$531,$R35)))</f>
        <v/>
      </c>
      <c r="AI35" s="182" t="str">
        <f>+IF($Q35="","",IF(SUMIFS('Data Pura Producción'!AT$17:AT$531,'Data Pura Producción'!$R$17:$R$531,$Q35,'Data Pura Producción'!$Q$17:$Q$531,$R35)=0,"",SUMIFS('Data Pura Producción'!AT$17:AT$531,'Data Pura Producción'!$R$17:$R$531,$Q35,'Data Pura Producción'!$Q$17:$Q$531,$R35)))</f>
        <v/>
      </c>
      <c r="AJ35" s="182" t="str">
        <f>+IF($Q35="","",IF(SUMIFS('Data Pura Producción'!AU$17:AU$531,'Data Pura Producción'!$R$17:$R$531,$Q35,'Data Pura Producción'!$Q$17:$Q$531,$R35)=0,"",SUMIFS('Data Pura Producción'!AU$17:AU$531,'Data Pura Producción'!$R$17:$R$531,$Q35,'Data Pura Producción'!$Q$17:$Q$531,$R35)))</f>
        <v/>
      </c>
      <c r="AK35" s="182" t="str">
        <f>+IF($Q35="","",IF(SUMIFS('Data Pura Producción'!AV$17:AV$531,'Data Pura Producción'!$R$17:$R$531,$Q35,'Data Pura Producción'!$Q$17:$Q$531,$R35)=0,"",SUMIFS('Data Pura Producción'!AV$17:AV$531,'Data Pura Producción'!$R$17:$R$531,$Q35,'Data Pura Producción'!$Q$17:$Q$531,$R35)))</f>
        <v/>
      </c>
      <c r="AL35" s="182" t="str">
        <f>+IF($Q35="","",IF(SUMIFS('Data Pura Producción'!AW$17:AW$531,'Data Pura Producción'!$R$17:$R$531,$Q35,'Data Pura Producción'!$Q$17:$Q$531,$R35)=0,"",SUMIFS('Data Pura Producción'!AW$17:AW$531,'Data Pura Producción'!$R$17:$R$531,$Q35,'Data Pura Producción'!$Q$17:$Q$531,$R35)))</f>
        <v/>
      </c>
      <c r="AM35" s="337" t="str">
        <f>+IF($Q35="","",IF(SUMIFS('Data Pura Producción'!AX$17:AX$531,'Data Pura Producción'!$R$17:$R$531,$Q35,'Data Pura Producción'!$Q$17:$Q$531,$R35)=0,"",SUMIFS('Data Pura Producción'!AX$17:AX$531,'Data Pura Producción'!$R$17:$R$531,$Q35,'Data Pura Producción'!$Q$17:$Q$531,$R35)))</f>
        <v/>
      </c>
      <c r="AN35" s="187" t="str">
        <f t="shared" si="2"/>
        <v/>
      </c>
    </row>
    <row r="36" spans="2:40" s="7" customFormat="1" x14ac:dyDescent="0.35">
      <c r="B36" s="4" t="str">
        <f>+IF('Data Pura Costos'!B36="","",'Data Pura Costos'!B36)</f>
        <v xml:space="preserve"> Cocalán</v>
      </c>
      <c r="C36" s="4" t="str">
        <f>+IF('Data Pura Costos'!C36="","",'Data Pura Costos'!C36)</f>
        <v>Cocalán, VI región</v>
      </c>
      <c r="D36" s="5">
        <f>+IF('Data Pura Costos'!D36="","",'Data Pura Costos'!D36)</f>
        <v>113</v>
      </c>
      <c r="E36" s="65">
        <f>+IF('Data Pura Costos'!E36="","",IF('Data Pura Costos'!E36=0,MAX('Data Pura Costos'!$E$7:$E$3000)*1000,'Data Pura Costos'!E36))</f>
        <v>400000</v>
      </c>
      <c r="F36" s="5" t="str">
        <f>+IF('Data Pura Costos'!F36="","",'Data Pura Costos'!F36)</f>
        <v>Mostazal</v>
      </c>
      <c r="G36" s="5" t="str">
        <f>+IF('Data Pura Costos'!G36="","",'Data Pura Costos'!G36)</f>
        <v xml:space="preserve">GUSTAVO ZÚÑIGA </v>
      </c>
      <c r="H36" s="52" t="str">
        <f>+IF('Data Pura Costos'!H36="","",'Data Pura Costos'!H36)</f>
        <v>Termo</v>
      </c>
      <c r="I36" s="71">
        <f>+IF('Data Pura Costos'!I36="","",'Data Pura Costos'!I36)</f>
        <v>3539.8230088495575</v>
      </c>
      <c r="J36" s="52" t="str">
        <f>+IF('Data Pura Costos'!J36="","",'Data Pura Costos'!J36)</f>
        <v>24-25</v>
      </c>
      <c r="K36" s="82" t="str">
        <f t="shared" si="3"/>
        <v xml:space="preserve"> Cocalán-Mostazal-GUSTAVO ZÚÑIGA </v>
      </c>
      <c r="M36" s="4"/>
      <c r="N36" s="5" t="str">
        <f>+IF(M36="","",INDEX('Parámetros Auxiliares'!$D$7:$D$65,MATCH(M36,'Parámetros Auxiliares'!$D$7:$D$65,0)))</f>
        <v/>
      </c>
      <c r="O36" s="259"/>
      <c r="P36" s="1" t="str">
        <f t="shared" si="1"/>
        <v/>
      </c>
      <c r="Q36" s="185"/>
      <c r="R36" s="332"/>
      <c r="S36" s="336" t="str">
        <f>+IF($Q36="","",IF(SUMIFS('Data Pura Producción'!AD$17:AD$531,'Data Pura Producción'!$R$17:$R$531,$Q36,'Data Pura Producción'!$Q$17:$Q$531,$R36)=0,"",SUMIFS('Data Pura Producción'!AD$17:AD$531,'Data Pura Producción'!$R$17:$R$531,$Q36,'Data Pura Producción'!$Q$17:$Q$531,$R36)))</f>
        <v/>
      </c>
      <c r="T36" s="182" t="str">
        <f>+IF($Q36="","",IF(SUMIFS('Data Pura Producción'!AE$17:AE$531,'Data Pura Producción'!$R$17:$R$531,$Q36,'Data Pura Producción'!$Q$17:$Q$531,$R36)=0,"",SUMIFS('Data Pura Producción'!AE$17:AE$531,'Data Pura Producción'!$R$17:$R$531,$Q36,'Data Pura Producción'!$Q$17:$Q$531,$R36)))</f>
        <v/>
      </c>
      <c r="U36" s="182" t="str">
        <f>+IF($Q36="","",IF(SUMIFS('Data Pura Producción'!AF$17:AF$531,'Data Pura Producción'!$R$17:$R$531,$Q36,'Data Pura Producción'!$Q$17:$Q$531,$R36)=0,"",SUMIFS('Data Pura Producción'!AF$17:AF$531,'Data Pura Producción'!$R$17:$R$531,$Q36,'Data Pura Producción'!$Q$17:$Q$531,$R36)))</f>
        <v/>
      </c>
      <c r="V36" s="182" t="str">
        <f>+IF($Q36="","",IF(SUMIFS('Data Pura Producción'!AG$17:AG$531,'Data Pura Producción'!$R$17:$R$531,$Q36,'Data Pura Producción'!$Q$17:$Q$531,$R36)=0,"",SUMIFS('Data Pura Producción'!AG$17:AG$531,'Data Pura Producción'!$R$17:$R$531,$Q36,'Data Pura Producción'!$Q$17:$Q$531,$R36)))</f>
        <v/>
      </c>
      <c r="W36" s="182" t="str">
        <f>+IF($Q36="","",IF(SUMIFS('Data Pura Producción'!AH$17:AH$531,'Data Pura Producción'!$R$17:$R$531,$Q36,'Data Pura Producción'!$Q$17:$Q$531,$R36)=0,"",SUMIFS('Data Pura Producción'!AH$17:AH$531,'Data Pura Producción'!$R$17:$R$531,$Q36,'Data Pura Producción'!$Q$17:$Q$531,$R36)))</f>
        <v/>
      </c>
      <c r="X36" s="182" t="str">
        <f>+IF($Q36="","",IF(SUMIFS('Data Pura Producción'!AI$17:AI$531,'Data Pura Producción'!$R$17:$R$531,$Q36,'Data Pura Producción'!$Q$17:$Q$531,$R36)=0,"",SUMIFS('Data Pura Producción'!AI$17:AI$531,'Data Pura Producción'!$R$17:$R$531,$Q36,'Data Pura Producción'!$Q$17:$Q$531,$R36)))</f>
        <v/>
      </c>
      <c r="Y36" s="182" t="str">
        <f>+IF($Q36="","",IF(SUMIFS('Data Pura Producción'!AJ$17:AJ$531,'Data Pura Producción'!$R$17:$R$531,$Q36,'Data Pura Producción'!$Q$17:$Q$531,$R36)=0,"",SUMIFS('Data Pura Producción'!AJ$17:AJ$531,'Data Pura Producción'!$R$17:$R$531,$Q36,'Data Pura Producción'!$Q$17:$Q$531,$R36)))</f>
        <v/>
      </c>
      <c r="Z36" s="182" t="str">
        <f>+IF($Q36="","",IF(SUMIFS('Data Pura Producción'!AK$17:AK$531,'Data Pura Producción'!$R$17:$R$531,$Q36,'Data Pura Producción'!$Q$17:$Q$531,$R36)=0,"",SUMIFS('Data Pura Producción'!AK$17:AK$531,'Data Pura Producción'!$R$17:$R$531,$Q36,'Data Pura Producción'!$Q$17:$Q$531,$R36)))</f>
        <v/>
      </c>
      <c r="AA36" s="182" t="str">
        <f>+IF($Q36="","",IF(SUMIFS('Data Pura Producción'!AL$17:AL$531,'Data Pura Producción'!$R$17:$R$531,$Q36,'Data Pura Producción'!$Q$17:$Q$531,$R36)=0,"",SUMIFS('Data Pura Producción'!AL$17:AL$531,'Data Pura Producción'!$R$17:$R$531,$Q36,'Data Pura Producción'!$Q$17:$Q$531,$R36)))</f>
        <v/>
      </c>
      <c r="AB36" s="182" t="str">
        <f>+IF($Q36="","",IF(SUMIFS('Data Pura Producción'!AM$17:AM$531,'Data Pura Producción'!$R$17:$R$531,$Q36,'Data Pura Producción'!$Q$17:$Q$531,$R36)=0,"",SUMIFS('Data Pura Producción'!AM$17:AM$531,'Data Pura Producción'!$R$17:$R$531,$Q36,'Data Pura Producción'!$Q$17:$Q$531,$R36)))</f>
        <v/>
      </c>
      <c r="AC36" s="182" t="str">
        <f>+IF($Q36="","",IF(SUMIFS('Data Pura Producción'!AN$17:AN$531,'Data Pura Producción'!$R$17:$R$531,$Q36,'Data Pura Producción'!$Q$17:$Q$531,$R36)=0,"",SUMIFS('Data Pura Producción'!AN$17:AN$531,'Data Pura Producción'!$R$17:$R$531,$Q36,'Data Pura Producción'!$Q$17:$Q$531,$R36)))</f>
        <v/>
      </c>
      <c r="AD36" s="182" t="str">
        <f>+IF($Q36="","",IF(SUMIFS('Data Pura Producción'!AO$17:AO$531,'Data Pura Producción'!$R$17:$R$531,$Q36,'Data Pura Producción'!$Q$17:$Q$531,$R36)=0,"",SUMIFS('Data Pura Producción'!AO$17:AO$531,'Data Pura Producción'!$R$17:$R$531,$Q36,'Data Pura Producción'!$Q$17:$Q$531,$R36)))</f>
        <v/>
      </c>
      <c r="AE36" s="182" t="str">
        <f>+IF($Q36="","",IF(SUMIFS('Data Pura Producción'!AP$17:AP$531,'Data Pura Producción'!$R$17:$R$531,$Q36,'Data Pura Producción'!$Q$17:$Q$531,$R36)=0,"",SUMIFS('Data Pura Producción'!AP$17:AP$531,'Data Pura Producción'!$R$17:$R$531,$Q36,'Data Pura Producción'!$Q$17:$Q$531,$R36)))</f>
        <v/>
      </c>
      <c r="AF36" s="182" t="str">
        <f>+IF($Q36="","",IF(SUMIFS('Data Pura Producción'!AQ$17:AQ$531,'Data Pura Producción'!$R$17:$R$531,$Q36,'Data Pura Producción'!$Q$17:$Q$531,$R36)=0,"",SUMIFS('Data Pura Producción'!AQ$17:AQ$531,'Data Pura Producción'!$R$17:$R$531,$Q36,'Data Pura Producción'!$Q$17:$Q$531,$R36)))</f>
        <v/>
      </c>
      <c r="AG36" s="182" t="str">
        <f>+IF($Q36="","",IF(SUMIFS('Data Pura Producción'!AR$17:AR$531,'Data Pura Producción'!$R$17:$R$531,$Q36,'Data Pura Producción'!$Q$17:$Q$531,$R36)=0,"",SUMIFS('Data Pura Producción'!AR$17:AR$531,'Data Pura Producción'!$R$17:$R$531,$Q36,'Data Pura Producción'!$Q$17:$Q$531,$R36)))</f>
        <v/>
      </c>
      <c r="AH36" s="182" t="str">
        <f>+IF($Q36="","",IF(SUMIFS('Data Pura Producción'!AS$17:AS$531,'Data Pura Producción'!$R$17:$R$531,$Q36,'Data Pura Producción'!$Q$17:$Q$531,$R36)=0,"",SUMIFS('Data Pura Producción'!AS$17:AS$531,'Data Pura Producción'!$R$17:$R$531,$Q36,'Data Pura Producción'!$Q$17:$Q$531,$R36)))</f>
        <v/>
      </c>
      <c r="AI36" s="182" t="str">
        <f>+IF($Q36="","",IF(SUMIFS('Data Pura Producción'!AT$17:AT$531,'Data Pura Producción'!$R$17:$R$531,$Q36,'Data Pura Producción'!$Q$17:$Q$531,$R36)=0,"",SUMIFS('Data Pura Producción'!AT$17:AT$531,'Data Pura Producción'!$R$17:$R$531,$Q36,'Data Pura Producción'!$Q$17:$Q$531,$R36)))</f>
        <v/>
      </c>
      <c r="AJ36" s="182" t="str">
        <f>+IF($Q36="","",IF(SUMIFS('Data Pura Producción'!AU$17:AU$531,'Data Pura Producción'!$R$17:$R$531,$Q36,'Data Pura Producción'!$Q$17:$Q$531,$R36)=0,"",SUMIFS('Data Pura Producción'!AU$17:AU$531,'Data Pura Producción'!$R$17:$R$531,$Q36,'Data Pura Producción'!$Q$17:$Q$531,$R36)))</f>
        <v/>
      </c>
      <c r="AK36" s="182" t="str">
        <f>+IF($Q36="","",IF(SUMIFS('Data Pura Producción'!AV$17:AV$531,'Data Pura Producción'!$R$17:$R$531,$Q36,'Data Pura Producción'!$Q$17:$Q$531,$R36)=0,"",SUMIFS('Data Pura Producción'!AV$17:AV$531,'Data Pura Producción'!$R$17:$R$531,$Q36,'Data Pura Producción'!$Q$17:$Q$531,$R36)))</f>
        <v/>
      </c>
      <c r="AL36" s="182" t="str">
        <f>+IF($Q36="","",IF(SUMIFS('Data Pura Producción'!AW$17:AW$531,'Data Pura Producción'!$R$17:$R$531,$Q36,'Data Pura Producción'!$Q$17:$Q$531,$R36)=0,"",SUMIFS('Data Pura Producción'!AW$17:AW$531,'Data Pura Producción'!$R$17:$R$531,$Q36,'Data Pura Producción'!$Q$17:$Q$531,$R36)))</f>
        <v/>
      </c>
      <c r="AM36" s="337" t="str">
        <f>+IF($Q36="","",IF(SUMIFS('Data Pura Producción'!AX$17:AX$531,'Data Pura Producción'!$R$17:$R$531,$Q36,'Data Pura Producción'!$Q$17:$Q$531,$R36)=0,"",SUMIFS('Data Pura Producción'!AX$17:AX$531,'Data Pura Producción'!$R$17:$R$531,$Q36,'Data Pura Producción'!$Q$17:$Q$531,$R36)))</f>
        <v/>
      </c>
      <c r="AN36" s="187" t="str">
        <f t="shared" si="2"/>
        <v/>
      </c>
    </row>
    <row r="37" spans="2:40" s="7" customFormat="1" x14ac:dyDescent="0.35">
      <c r="B37" s="4" t="str">
        <f>+IF('Data Pura Costos'!B37="","",'Data Pura Costos'!B37)</f>
        <v>El Cóndor</v>
      </c>
      <c r="C37" s="4" t="str">
        <f>+IF('Data Pura Costos'!C37="","",'Data Pura Costos'!C37)</f>
        <v>Chimbarongo, VI Region.</v>
      </c>
      <c r="D37" s="5">
        <f>+IF('Data Pura Costos'!D37="","",'Data Pura Costos'!D37)</f>
        <v>150</v>
      </c>
      <c r="E37" s="65">
        <f>+IF('Data Pura Costos'!E37="","",IF('Data Pura Costos'!E37=0,MAX('Data Pura Costos'!$E$7:$E$3000)*1000,'Data Pura Costos'!E37))</f>
        <v>450000</v>
      </c>
      <c r="F37" s="5" t="str">
        <f>+IF('Data Pura Costos'!F37="","",'Data Pura Costos'!F37)</f>
        <v>Mostazal</v>
      </c>
      <c r="G37" s="5" t="str">
        <f>+IF('Data Pura Costos'!G37="","",'Data Pura Costos'!G37)</f>
        <v xml:space="preserve">GUSTAVO ZÚÑIGA </v>
      </c>
      <c r="H37" s="52" t="str">
        <f>+IF('Data Pura Costos'!H37="","",'Data Pura Costos'!H37)</f>
        <v>Termo</v>
      </c>
      <c r="I37" s="71">
        <f>+IF('Data Pura Costos'!I37="","",'Data Pura Costos'!I37)</f>
        <v>3000</v>
      </c>
      <c r="J37" s="52" t="str">
        <f>+IF('Data Pura Costos'!J37="","",'Data Pura Costos'!J37)</f>
        <v>24-25</v>
      </c>
      <c r="K37" s="82" t="str">
        <f t="shared" si="3"/>
        <v xml:space="preserve">El Cóndor-Mostazal-GUSTAVO ZÚÑIGA </v>
      </c>
      <c r="M37" s="4"/>
      <c r="N37" s="5" t="str">
        <f>+IF(M37="","",INDEX('Parámetros Auxiliares'!$D$7:$D$65,MATCH(M37,'Parámetros Auxiliares'!$D$7:$D$65,0)))</f>
        <v/>
      </c>
      <c r="O37" s="259"/>
      <c r="P37" s="1" t="str">
        <f t="shared" si="1"/>
        <v/>
      </c>
      <c r="Q37" s="185"/>
      <c r="R37" s="332"/>
      <c r="S37" s="336" t="str">
        <f>+IF($Q37="","",IF(SUMIFS('Data Pura Producción'!AD$17:AD$531,'Data Pura Producción'!$R$17:$R$531,$Q37,'Data Pura Producción'!$Q$17:$Q$531,$R37)=0,"",SUMIFS('Data Pura Producción'!AD$17:AD$531,'Data Pura Producción'!$R$17:$R$531,$Q37,'Data Pura Producción'!$Q$17:$Q$531,$R37)))</f>
        <v/>
      </c>
      <c r="T37" s="182" t="str">
        <f>+IF($Q37="","",IF(SUMIFS('Data Pura Producción'!AE$17:AE$531,'Data Pura Producción'!$R$17:$R$531,$Q37,'Data Pura Producción'!$Q$17:$Q$531,$R37)=0,"",SUMIFS('Data Pura Producción'!AE$17:AE$531,'Data Pura Producción'!$R$17:$R$531,$Q37,'Data Pura Producción'!$Q$17:$Q$531,$R37)))</f>
        <v/>
      </c>
      <c r="U37" s="182" t="str">
        <f>+IF($Q37="","",IF(SUMIFS('Data Pura Producción'!AF$17:AF$531,'Data Pura Producción'!$R$17:$R$531,$Q37,'Data Pura Producción'!$Q$17:$Q$531,$R37)=0,"",SUMIFS('Data Pura Producción'!AF$17:AF$531,'Data Pura Producción'!$R$17:$R$531,$Q37,'Data Pura Producción'!$Q$17:$Q$531,$R37)))</f>
        <v/>
      </c>
      <c r="V37" s="182" t="str">
        <f>+IF($Q37="","",IF(SUMIFS('Data Pura Producción'!AG$17:AG$531,'Data Pura Producción'!$R$17:$R$531,$Q37,'Data Pura Producción'!$Q$17:$Q$531,$R37)=0,"",SUMIFS('Data Pura Producción'!AG$17:AG$531,'Data Pura Producción'!$R$17:$R$531,$Q37,'Data Pura Producción'!$Q$17:$Q$531,$R37)))</f>
        <v/>
      </c>
      <c r="W37" s="182" t="str">
        <f>+IF($Q37="","",IF(SUMIFS('Data Pura Producción'!AH$17:AH$531,'Data Pura Producción'!$R$17:$R$531,$Q37,'Data Pura Producción'!$Q$17:$Q$531,$R37)=0,"",SUMIFS('Data Pura Producción'!AH$17:AH$531,'Data Pura Producción'!$R$17:$R$531,$Q37,'Data Pura Producción'!$Q$17:$Q$531,$R37)))</f>
        <v/>
      </c>
      <c r="X37" s="182" t="str">
        <f>+IF($Q37="","",IF(SUMIFS('Data Pura Producción'!AI$17:AI$531,'Data Pura Producción'!$R$17:$R$531,$Q37,'Data Pura Producción'!$Q$17:$Q$531,$R37)=0,"",SUMIFS('Data Pura Producción'!AI$17:AI$531,'Data Pura Producción'!$R$17:$R$531,$Q37,'Data Pura Producción'!$Q$17:$Q$531,$R37)))</f>
        <v/>
      </c>
      <c r="Y37" s="182" t="str">
        <f>+IF($Q37="","",IF(SUMIFS('Data Pura Producción'!AJ$17:AJ$531,'Data Pura Producción'!$R$17:$R$531,$Q37,'Data Pura Producción'!$Q$17:$Q$531,$R37)=0,"",SUMIFS('Data Pura Producción'!AJ$17:AJ$531,'Data Pura Producción'!$R$17:$R$531,$Q37,'Data Pura Producción'!$Q$17:$Q$531,$R37)))</f>
        <v/>
      </c>
      <c r="Z37" s="182" t="str">
        <f>+IF($Q37="","",IF(SUMIFS('Data Pura Producción'!AK$17:AK$531,'Data Pura Producción'!$R$17:$R$531,$Q37,'Data Pura Producción'!$Q$17:$Q$531,$R37)=0,"",SUMIFS('Data Pura Producción'!AK$17:AK$531,'Data Pura Producción'!$R$17:$R$531,$Q37,'Data Pura Producción'!$Q$17:$Q$531,$R37)))</f>
        <v/>
      </c>
      <c r="AA37" s="182" t="str">
        <f>+IF($Q37="","",IF(SUMIFS('Data Pura Producción'!AL$17:AL$531,'Data Pura Producción'!$R$17:$R$531,$Q37,'Data Pura Producción'!$Q$17:$Q$531,$R37)=0,"",SUMIFS('Data Pura Producción'!AL$17:AL$531,'Data Pura Producción'!$R$17:$R$531,$Q37,'Data Pura Producción'!$Q$17:$Q$531,$R37)))</f>
        <v/>
      </c>
      <c r="AB37" s="182" t="str">
        <f>+IF($Q37="","",IF(SUMIFS('Data Pura Producción'!AM$17:AM$531,'Data Pura Producción'!$R$17:$R$531,$Q37,'Data Pura Producción'!$Q$17:$Q$531,$R37)=0,"",SUMIFS('Data Pura Producción'!AM$17:AM$531,'Data Pura Producción'!$R$17:$R$531,$Q37,'Data Pura Producción'!$Q$17:$Q$531,$R37)))</f>
        <v/>
      </c>
      <c r="AC37" s="182" t="str">
        <f>+IF($Q37="","",IF(SUMIFS('Data Pura Producción'!AN$17:AN$531,'Data Pura Producción'!$R$17:$R$531,$Q37,'Data Pura Producción'!$Q$17:$Q$531,$R37)=0,"",SUMIFS('Data Pura Producción'!AN$17:AN$531,'Data Pura Producción'!$R$17:$R$531,$Q37,'Data Pura Producción'!$Q$17:$Q$531,$R37)))</f>
        <v/>
      </c>
      <c r="AD37" s="182" t="str">
        <f>+IF($Q37="","",IF(SUMIFS('Data Pura Producción'!AO$17:AO$531,'Data Pura Producción'!$R$17:$R$531,$Q37,'Data Pura Producción'!$Q$17:$Q$531,$R37)=0,"",SUMIFS('Data Pura Producción'!AO$17:AO$531,'Data Pura Producción'!$R$17:$R$531,$Q37,'Data Pura Producción'!$Q$17:$Q$531,$R37)))</f>
        <v/>
      </c>
      <c r="AE37" s="182" t="str">
        <f>+IF($Q37="","",IF(SUMIFS('Data Pura Producción'!AP$17:AP$531,'Data Pura Producción'!$R$17:$R$531,$Q37,'Data Pura Producción'!$Q$17:$Q$531,$R37)=0,"",SUMIFS('Data Pura Producción'!AP$17:AP$531,'Data Pura Producción'!$R$17:$R$531,$Q37,'Data Pura Producción'!$Q$17:$Q$531,$R37)))</f>
        <v/>
      </c>
      <c r="AF37" s="182" t="str">
        <f>+IF($Q37="","",IF(SUMIFS('Data Pura Producción'!AQ$17:AQ$531,'Data Pura Producción'!$R$17:$R$531,$Q37,'Data Pura Producción'!$Q$17:$Q$531,$R37)=0,"",SUMIFS('Data Pura Producción'!AQ$17:AQ$531,'Data Pura Producción'!$R$17:$R$531,$Q37,'Data Pura Producción'!$Q$17:$Q$531,$R37)))</f>
        <v/>
      </c>
      <c r="AG37" s="182" t="str">
        <f>+IF($Q37="","",IF(SUMIFS('Data Pura Producción'!AR$17:AR$531,'Data Pura Producción'!$R$17:$R$531,$Q37,'Data Pura Producción'!$Q$17:$Q$531,$R37)=0,"",SUMIFS('Data Pura Producción'!AR$17:AR$531,'Data Pura Producción'!$R$17:$R$531,$Q37,'Data Pura Producción'!$Q$17:$Q$531,$R37)))</f>
        <v/>
      </c>
      <c r="AH37" s="182" t="str">
        <f>+IF($Q37="","",IF(SUMIFS('Data Pura Producción'!AS$17:AS$531,'Data Pura Producción'!$R$17:$R$531,$Q37,'Data Pura Producción'!$Q$17:$Q$531,$R37)=0,"",SUMIFS('Data Pura Producción'!AS$17:AS$531,'Data Pura Producción'!$R$17:$R$531,$Q37,'Data Pura Producción'!$Q$17:$Q$531,$R37)))</f>
        <v/>
      </c>
      <c r="AI37" s="182" t="str">
        <f>+IF($Q37="","",IF(SUMIFS('Data Pura Producción'!AT$17:AT$531,'Data Pura Producción'!$R$17:$R$531,$Q37,'Data Pura Producción'!$Q$17:$Q$531,$R37)=0,"",SUMIFS('Data Pura Producción'!AT$17:AT$531,'Data Pura Producción'!$R$17:$R$531,$Q37,'Data Pura Producción'!$Q$17:$Q$531,$R37)))</f>
        <v/>
      </c>
      <c r="AJ37" s="182" t="str">
        <f>+IF($Q37="","",IF(SUMIFS('Data Pura Producción'!AU$17:AU$531,'Data Pura Producción'!$R$17:$R$531,$Q37,'Data Pura Producción'!$Q$17:$Q$531,$R37)=0,"",SUMIFS('Data Pura Producción'!AU$17:AU$531,'Data Pura Producción'!$R$17:$R$531,$Q37,'Data Pura Producción'!$Q$17:$Q$531,$R37)))</f>
        <v/>
      </c>
      <c r="AK37" s="182" t="str">
        <f>+IF($Q37="","",IF(SUMIFS('Data Pura Producción'!AV$17:AV$531,'Data Pura Producción'!$R$17:$R$531,$Q37,'Data Pura Producción'!$Q$17:$Q$531,$R37)=0,"",SUMIFS('Data Pura Producción'!AV$17:AV$531,'Data Pura Producción'!$R$17:$R$531,$Q37,'Data Pura Producción'!$Q$17:$Q$531,$R37)))</f>
        <v/>
      </c>
      <c r="AL37" s="182" t="str">
        <f>+IF($Q37="","",IF(SUMIFS('Data Pura Producción'!AW$17:AW$531,'Data Pura Producción'!$R$17:$R$531,$Q37,'Data Pura Producción'!$Q$17:$Q$531,$R37)=0,"",SUMIFS('Data Pura Producción'!AW$17:AW$531,'Data Pura Producción'!$R$17:$R$531,$Q37,'Data Pura Producción'!$Q$17:$Q$531,$R37)))</f>
        <v/>
      </c>
      <c r="AM37" s="337" t="str">
        <f>+IF($Q37="","",IF(SUMIFS('Data Pura Producción'!AX$17:AX$531,'Data Pura Producción'!$R$17:$R$531,$Q37,'Data Pura Producción'!$Q$17:$Q$531,$R37)=0,"",SUMIFS('Data Pura Producción'!AX$17:AX$531,'Data Pura Producción'!$R$17:$R$531,$Q37,'Data Pura Producción'!$Q$17:$Q$531,$R37)))</f>
        <v/>
      </c>
      <c r="AN37" s="187" t="str">
        <f t="shared" si="2"/>
        <v/>
      </c>
    </row>
    <row r="38" spans="2:40" s="7" customFormat="1" x14ac:dyDescent="0.35">
      <c r="B38" s="4" t="str">
        <f>+IF('Data Pura Costos'!B38="","",'Data Pura Costos'!B38)</f>
        <v>El Descanso</v>
      </c>
      <c r="C38" s="4" t="str">
        <f>+IF('Data Pura Costos'!C38="","",'Data Pura Costos'!C38)</f>
        <v>Sagrada Familia, VII región</v>
      </c>
      <c r="D38" s="5">
        <f>+IF('Data Pura Costos'!D38="","",'Data Pura Costos'!D38)</f>
        <v>240</v>
      </c>
      <c r="E38" s="65">
        <f>+IF('Data Pura Costos'!E38="","",IF('Data Pura Costos'!E38=0,MAX('Data Pura Costos'!$E$7:$E$3000)*1000,'Data Pura Costos'!E38))</f>
        <v>640000</v>
      </c>
      <c r="F38" s="5" t="str">
        <f>+IF('Data Pura Costos'!F38="","",'Data Pura Costos'!F38)</f>
        <v>Mostazal</v>
      </c>
      <c r="G38" s="5" t="str">
        <f>+IF('Data Pura Costos'!G38="","",'Data Pura Costos'!G38)</f>
        <v xml:space="preserve">GUSTAVO ZÚÑIGA </v>
      </c>
      <c r="H38" s="52" t="str">
        <f>+IF('Data Pura Costos'!H38="","",'Data Pura Costos'!H38)</f>
        <v>Termo</v>
      </c>
      <c r="I38" s="71">
        <f>+IF('Data Pura Costos'!I38="","",'Data Pura Costos'!I38)</f>
        <v>2666.6666666666665</v>
      </c>
      <c r="J38" s="52" t="str">
        <f>+IF('Data Pura Costos'!J38="","",'Data Pura Costos'!J38)</f>
        <v>24-25</v>
      </c>
      <c r="K38" s="82" t="str">
        <f t="shared" si="3"/>
        <v xml:space="preserve">El Descanso-Mostazal-GUSTAVO ZÚÑIGA </v>
      </c>
      <c r="M38" s="4"/>
      <c r="N38" s="5" t="str">
        <f>+IF(M38="","",INDEX('Parámetros Auxiliares'!$D$7:$D$65,MATCH(M38,'Parámetros Auxiliares'!$D$7:$D$65,0)))</f>
        <v/>
      </c>
      <c r="O38" s="259"/>
      <c r="P38" s="1" t="str">
        <f t="shared" si="1"/>
        <v/>
      </c>
      <c r="Q38" s="185"/>
      <c r="R38" s="332"/>
      <c r="S38" s="336" t="str">
        <f>+IF($Q38="","",IF(SUMIFS('Data Pura Producción'!AD$17:AD$531,'Data Pura Producción'!$R$17:$R$531,$Q38,'Data Pura Producción'!$Q$17:$Q$531,$R38)=0,"",SUMIFS('Data Pura Producción'!AD$17:AD$531,'Data Pura Producción'!$R$17:$R$531,$Q38,'Data Pura Producción'!$Q$17:$Q$531,$R38)))</f>
        <v/>
      </c>
      <c r="T38" s="182" t="str">
        <f>+IF($Q38="","",IF(SUMIFS('Data Pura Producción'!AE$17:AE$531,'Data Pura Producción'!$R$17:$R$531,$Q38,'Data Pura Producción'!$Q$17:$Q$531,$R38)=0,"",SUMIFS('Data Pura Producción'!AE$17:AE$531,'Data Pura Producción'!$R$17:$R$531,$Q38,'Data Pura Producción'!$Q$17:$Q$531,$R38)))</f>
        <v/>
      </c>
      <c r="U38" s="182" t="str">
        <f>+IF($Q38="","",IF(SUMIFS('Data Pura Producción'!AF$17:AF$531,'Data Pura Producción'!$R$17:$R$531,$Q38,'Data Pura Producción'!$Q$17:$Q$531,$R38)=0,"",SUMIFS('Data Pura Producción'!AF$17:AF$531,'Data Pura Producción'!$R$17:$R$531,$Q38,'Data Pura Producción'!$Q$17:$Q$531,$R38)))</f>
        <v/>
      </c>
      <c r="V38" s="182" t="str">
        <f>+IF($Q38="","",IF(SUMIFS('Data Pura Producción'!AG$17:AG$531,'Data Pura Producción'!$R$17:$R$531,$Q38,'Data Pura Producción'!$Q$17:$Q$531,$R38)=0,"",SUMIFS('Data Pura Producción'!AG$17:AG$531,'Data Pura Producción'!$R$17:$R$531,$Q38,'Data Pura Producción'!$Q$17:$Q$531,$R38)))</f>
        <v/>
      </c>
      <c r="W38" s="182" t="str">
        <f>+IF($Q38="","",IF(SUMIFS('Data Pura Producción'!AH$17:AH$531,'Data Pura Producción'!$R$17:$R$531,$Q38,'Data Pura Producción'!$Q$17:$Q$531,$R38)=0,"",SUMIFS('Data Pura Producción'!AH$17:AH$531,'Data Pura Producción'!$R$17:$R$531,$Q38,'Data Pura Producción'!$Q$17:$Q$531,$R38)))</f>
        <v/>
      </c>
      <c r="X38" s="182" t="str">
        <f>+IF($Q38="","",IF(SUMIFS('Data Pura Producción'!AI$17:AI$531,'Data Pura Producción'!$R$17:$R$531,$Q38,'Data Pura Producción'!$Q$17:$Q$531,$R38)=0,"",SUMIFS('Data Pura Producción'!AI$17:AI$531,'Data Pura Producción'!$R$17:$R$531,$Q38,'Data Pura Producción'!$Q$17:$Q$531,$R38)))</f>
        <v/>
      </c>
      <c r="Y38" s="182" t="str">
        <f>+IF($Q38="","",IF(SUMIFS('Data Pura Producción'!AJ$17:AJ$531,'Data Pura Producción'!$R$17:$R$531,$Q38,'Data Pura Producción'!$Q$17:$Q$531,$R38)=0,"",SUMIFS('Data Pura Producción'!AJ$17:AJ$531,'Data Pura Producción'!$R$17:$R$531,$Q38,'Data Pura Producción'!$Q$17:$Q$531,$R38)))</f>
        <v/>
      </c>
      <c r="Z38" s="182" t="str">
        <f>+IF($Q38="","",IF(SUMIFS('Data Pura Producción'!AK$17:AK$531,'Data Pura Producción'!$R$17:$R$531,$Q38,'Data Pura Producción'!$Q$17:$Q$531,$R38)=0,"",SUMIFS('Data Pura Producción'!AK$17:AK$531,'Data Pura Producción'!$R$17:$R$531,$Q38,'Data Pura Producción'!$Q$17:$Q$531,$R38)))</f>
        <v/>
      </c>
      <c r="AA38" s="182" t="str">
        <f>+IF($Q38="","",IF(SUMIFS('Data Pura Producción'!AL$17:AL$531,'Data Pura Producción'!$R$17:$R$531,$Q38,'Data Pura Producción'!$Q$17:$Q$531,$R38)=0,"",SUMIFS('Data Pura Producción'!AL$17:AL$531,'Data Pura Producción'!$R$17:$R$531,$Q38,'Data Pura Producción'!$Q$17:$Q$531,$R38)))</f>
        <v/>
      </c>
      <c r="AB38" s="182" t="str">
        <f>+IF($Q38="","",IF(SUMIFS('Data Pura Producción'!AM$17:AM$531,'Data Pura Producción'!$R$17:$R$531,$Q38,'Data Pura Producción'!$Q$17:$Q$531,$R38)=0,"",SUMIFS('Data Pura Producción'!AM$17:AM$531,'Data Pura Producción'!$R$17:$R$531,$Q38,'Data Pura Producción'!$Q$17:$Q$531,$R38)))</f>
        <v/>
      </c>
      <c r="AC38" s="182" t="str">
        <f>+IF($Q38="","",IF(SUMIFS('Data Pura Producción'!AN$17:AN$531,'Data Pura Producción'!$R$17:$R$531,$Q38,'Data Pura Producción'!$Q$17:$Q$531,$R38)=0,"",SUMIFS('Data Pura Producción'!AN$17:AN$531,'Data Pura Producción'!$R$17:$R$531,$Q38,'Data Pura Producción'!$Q$17:$Q$531,$R38)))</f>
        <v/>
      </c>
      <c r="AD38" s="182" t="str">
        <f>+IF($Q38="","",IF(SUMIFS('Data Pura Producción'!AO$17:AO$531,'Data Pura Producción'!$R$17:$R$531,$Q38,'Data Pura Producción'!$Q$17:$Q$531,$R38)=0,"",SUMIFS('Data Pura Producción'!AO$17:AO$531,'Data Pura Producción'!$R$17:$R$531,$Q38,'Data Pura Producción'!$Q$17:$Q$531,$R38)))</f>
        <v/>
      </c>
      <c r="AE38" s="182" t="str">
        <f>+IF($Q38="","",IF(SUMIFS('Data Pura Producción'!AP$17:AP$531,'Data Pura Producción'!$R$17:$R$531,$Q38,'Data Pura Producción'!$Q$17:$Q$531,$R38)=0,"",SUMIFS('Data Pura Producción'!AP$17:AP$531,'Data Pura Producción'!$R$17:$R$531,$Q38,'Data Pura Producción'!$Q$17:$Q$531,$R38)))</f>
        <v/>
      </c>
      <c r="AF38" s="182" t="str">
        <f>+IF($Q38="","",IF(SUMIFS('Data Pura Producción'!AQ$17:AQ$531,'Data Pura Producción'!$R$17:$R$531,$Q38,'Data Pura Producción'!$Q$17:$Q$531,$R38)=0,"",SUMIFS('Data Pura Producción'!AQ$17:AQ$531,'Data Pura Producción'!$R$17:$R$531,$Q38,'Data Pura Producción'!$Q$17:$Q$531,$R38)))</f>
        <v/>
      </c>
      <c r="AG38" s="182" t="str">
        <f>+IF($Q38="","",IF(SUMIFS('Data Pura Producción'!AR$17:AR$531,'Data Pura Producción'!$R$17:$R$531,$Q38,'Data Pura Producción'!$Q$17:$Q$531,$R38)=0,"",SUMIFS('Data Pura Producción'!AR$17:AR$531,'Data Pura Producción'!$R$17:$R$531,$Q38,'Data Pura Producción'!$Q$17:$Q$531,$R38)))</f>
        <v/>
      </c>
      <c r="AH38" s="182" t="str">
        <f>+IF($Q38="","",IF(SUMIFS('Data Pura Producción'!AS$17:AS$531,'Data Pura Producción'!$R$17:$R$531,$Q38,'Data Pura Producción'!$Q$17:$Q$531,$R38)=0,"",SUMIFS('Data Pura Producción'!AS$17:AS$531,'Data Pura Producción'!$R$17:$R$531,$Q38,'Data Pura Producción'!$Q$17:$Q$531,$R38)))</f>
        <v/>
      </c>
      <c r="AI38" s="182" t="str">
        <f>+IF($Q38="","",IF(SUMIFS('Data Pura Producción'!AT$17:AT$531,'Data Pura Producción'!$R$17:$R$531,$Q38,'Data Pura Producción'!$Q$17:$Q$531,$R38)=0,"",SUMIFS('Data Pura Producción'!AT$17:AT$531,'Data Pura Producción'!$R$17:$R$531,$Q38,'Data Pura Producción'!$Q$17:$Q$531,$R38)))</f>
        <v/>
      </c>
      <c r="AJ38" s="182" t="str">
        <f>+IF($Q38="","",IF(SUMIFS('Data Pura Producción'!AU$17:AU$531,'Data Pura Producción'!$R$17:$R$531,$Q38,'Data Pura Producción'!$Q$17:$Q$531,$R38)=0,"",SUMIFS('Data Pura Producción'!AU$17:AU$531,'Data Pura Producción'!$R$17:$R$531,$Q38,'Data Pura Producción'!$Q$17:$Q$531,$R38)))</f>
        <v/>
      </c>
      <c r="AK38" s="182" t="str">
        <f>+IF($Q38="","",IF(SUMIFS('Data Pura Producción'!AV$17:AV$531,'Data Pura Producción'!$R$17:$R$531,$Q38,'Data Pura Producción'!$Q$17:$Q$531,$R38)=0,"",SUMIFS('Data Pura Producción'!AV$17:AV$531,'Data Pura Producción'!$R$17:$R$531,$Q38,'Data Pura Producción'!$Q$17:$Q$531,$R38)))</f>
        <v/>
      </c>
      <c r="AL38" s="182" t="str">
        <f>+IF($Q38="","",IF(SUMIFS('Data Pura Producción'!AW$17:AW$531,'Data Pura Producción'!$R$17:$R$531,$Q38,'Data Pura Producción'!$Q$17:$Q$531,$R38)=0,"",SUMIFS('Data Pura Producción'!AW$17:AW$531,'Data Pura Producción'!$R$17:$R$531,$Q38,'Data Pura Producción'!$Q$17:$Q$531,$R38)))</f>
        <v/>
      </c>
      <c r="AM38" s="337" t="str">
        <f>+IF($Q38="","",IF(SUMIFS('Data Pura Producción'!AX$17:AX$531,'Data Pura Producción'!$R$17:$R$531,$Q38,'Data Pura Producción'!$Q$17:$Q$531,$R38)=0,"",SUMIFS('Data Pura Producción'!AX$17:AX$531,'Data Pura Producción'!$R$17:$R$531,$Q38,'Data Pura Producción'!$Q$17:$Q$531,$R38)))</f>
        <v/>
      </c>
      <c r="AN38" s="187" t="str">
        <f t="shared" si="2"/>
        <v/>
      </c>
    </row>
    <row r="39" spans="2:40" s="7" customFormat="1" x14ac:dyDescent="0.35">
      <c r="B39" s="4" t="str">
        <f>+IF('Data Pura Costos'!B39="","",'Data Pura Costos'!B39)</f>
        <v>El Espino</v>
      </c>
      <c r="C39" s="4" t="str">
        <f>+IF('Data Pura Costos'!C39="","",'Data Pura Costos'!C39)</f>
        <v>Colbún, VII región</v>
      </c>
      <c r="D39" s="5">
        <f>+IF('Data Pura Costos'!D39="","",'Data Pura Costos'!D39)</f>
        <v>240</v>
      </c>
      <c r="E39" s="65">
        <f>+IF('Data Pura Costos'!E39="","",IF('Data Pura Costos'!E39=0,MAX('Data Pura Costos'!$E$7:$E$3000)*1000,'Data Pura Costos'!E39))</f>
        <v>640000</v>
      </c>
      <c r="F39" s="5" t="str">
        <f>+IF('Data Pura Costos'!F39="","",'Data Pura Costos'!F39)</f>
        <v>Mostazal</v>
      </c>
      <c r="G39" s="5" t="str">
        <f>+IF('Data Pura Costos'!G39="","",'Data Pura Costos'!G39)</f>
        <v xml:space="preserve">GUSTAVO ZÚÑIGA </v>
      </c>
      <c r="H39" s="52" t="str">
        <f>+IF('Data Pura Costos'!H39="","",'Data Pura Costos'!H39)</f>
        <v>Termo</v>
      </c>
      <c r="I39" s="71">
        <f>+IF('Data Pura Costos'!I39="","",'Data Pura Costos'!I39)</f>
        <v>2666.6666666666665</v>
      </c>
      <c r="J39" s="52" t="str">
        <f>+IF('Data Pura Costos'!J39="","",'Data Pura Costos'!J39)</f>
        <v>24-25</v>
      </c>
      <c r="K39" s="82" t="str">
        <f t="shared" si="3"/>
        <v xml:space="preserve">El Espino-Mostazal-GUSTAVO ZÚÑIGA </v>
      </c>
      <c r="M39" s="4"/>
      <c r="N39" s="5" t="str">
        <f>+IF(M39="","",INDEX('Parámetros Auxiliares'!$D$7:$D$65,MATCH(M39,'Parámetros Auxiliares'!$D$7:$D$65,0)))</f>
        <v/>
      </c>
      <c r="O39" s="259"/>
      <c r="P39" s="1" t="str">
        <f t="shared" si="1"/>
        <v/>
      </c>
      <c r="Q39" s="185"/>
      <c r="R39" s="332"/>
      <c r="S39" s="336" t="str">
        <f>+IF($Q39="","",IF(SUMIFS('Data Pura Producción'!AD$17:AD$531,'Data Pura Producción'!$R$17:$R$531,$Q39,'Data Pura Producción'!$Q$17:$Q$531,$R39)=0,"",SUMIFS('Data Pura Producción'!AD$17:AD$531,'Data Pura Producción'!$R$17:$R$531,$Q39,'Data Pura Producción'!$Q$17:$Q$531,$R39)))</f>
        <v/>
      </c>
      <c r="T39" s="182" t="str">
        <f>+IF($Q39="","",IF(SUMIFS('Data Pura Producción'!AE$17:AE$531,'Data Pura Producción'!$R$17:$R$531,$Q39,'Data Pura Producción'!$Q$17:$Q$531,$R39)=0,"",SUMIFS('Data Pura Producción'!AE$17:AE$531,'Data Pura Producción'!$R$17:$R$531,$Q39,'Data Pura Producción'!$Q$17:$Q$531,$R39)))</f>
        <v/>
      </c>
      <c r="U39" s="182" t="str">
        <f>+IF($Q39="","",IF(SUMIFS('Data Pura Producción'!AF$17:AF$531,'Data Pura Producción'!$R$17:$R$531,$Q39,'Data Pura Producción'!$Q$17:$Q$531,$R39)=0,"",SUMIFS('Data Pura Producción'!AF$17:AF$531,'Data Pura Producción'!$R$17:$R$531,$Q39,'Data Pura Producción'!$Q$17:$Q$531,$R39)))</f>
        <v/>
      </c>
      <c r="V39" s="182" t="str">
        <f>+IF($Q39="","",IF(SUMIFS('Data Pura Producción'!AG$17:AG$531,'Data Pura Producción'!$R$17:$R$531,$Q39,'Data Pura Producción'!$Q$17:$Q$531,$R39)=0,"",SUMIFS('Data Pura Producción'!AG$17:AG$531,'Data Pura Producción'!$R$17:$R$531,$Q39,'Data Pura Producción'!$Q$17:$Q$531,$R39)))</f>
        <v/>
      </c>
      <c r="W39" s="182" t="str">
        <f>+IF($Q39="","",IF(SUMIFS('Data Pura Producción'!AH$17:AH$531,'Data Pura Producción'!$R$17:$R$531,$Q39,'Data Pura Producción'!$Q$17:$Q$531,$R39)=0,"",SUMIFS('Data Pura Producción'!AH$17:AH$531,'Data Pura Producción'!$R$17:$R$531,$Q39,'Data Pura Producción'!$Q$17:$Q$531,$R39)))</f>
        <v/>
      </c>
      <c r="X39" s="182" t="str">
        <f>+IF($Q39="","",IF(SUMIFS('Data Pura Producción'!AI$17:AI$531,'Data Pura Producción'!$R$17:$R$531,$Q39,'Data Pura Producción'!$Q$17:$Q$531,$R39)=0,"",SUMIFS('Data Pura Producción'!AI$17:AI$531,'Data Pura Producción'!$R$17:$R$531,$Q39,'Data Pura Producción'!$Q$17:$Q$531,$R39)))</f>
        <v/>
      </c>
      <c r="Y39" s="182" t="str">
        <f>+IF($Q39="","",IF(SUMIFS('Data Pura Producción'!AJ$17:AJ$531,'Data Pura Producción'!$R$17:$R$531,$Q39,'Data Pura Producción'!$Q$17:$Q$531,$R39)=0,"",SUMIFS('Data Pura Producción'!AJ$17:AJ$531,'Data Pura Producción'!$R$17:$R$531,$Q39,'Data Pura Producción'!$Q$17:$Q$531,$R39)))</f>
        <v/>
      </c>
      <c r="Z39" s="182" t="str">
        <f>+IF($Q39="","",IF(SUMIFS('Data Pura Producción'!AK$17:AK$531,'Data Pura Producción'!$R$17:$R$531,$Q39,'Data Pura Producción'!$Q$17:$Q$531,$R39)=0,"",SUMIFS('Data Pura Producción'!AK$17:AK$531,'Data Pura Producción'!$R$17:$R$531,$Q39,'Data Pura Producción'!$Q$17:$Q$531,$R39)))</f>
        <v/>
      </c>
      <c r="AA39" s="182" t="str">
        <f>+IF($Q39="","",IF(SUMIFS('Data Pura Producción'!AL$17:AL$531,'Data Pura Producción'!$R$17:$R$531,$Q39,'Data Pura Producción'!$Q$17:$Q$531,$R39)=0,"",SUMIFS('Data Pura Producción'!AL$17:AL$531,'Data Pura Producción'!$R$17:$R$531,$Q39,'Data Pura Producción'!$Q$17:$Q$531,$R39)))</f>
        <v/>
      </c>
      <c r="AB39" s="182" t="str">
        <f>+IF($Q39="","",IF(SUMIFS('Data Pura Producción'!AM$17:AM$531,'Data Pura Producción'!$R$17:$R$531,$Q39,'Data Pura Producción'!$Q$17:$Q$531,$R39)=0,"",SUMIFS('Data Pura Producción'!AM$17:AM$531,'Data Pura Producción'!$R$17:$R$531,$Q39,'Data Pura Producción'!$Q$17:$Q$531,$R39)))</f>
        <v/>
      </c>
      <c r="AC39" s="182" t="str">
        <f>+IF($Q39="","",IF(SUMIFS('Data Pura Producción'!AN$17:AN$531,'Data Pura Producción'!$R$17:$R$531,$Q39,'Data Pura Producción'!$Q$17:$Q$531,$R39)=0,"",SUMIFS('Data Pura Producción'!AN$17:AN$531,'Data Pura Producción'!$R$17:$R$531,$Q39,'Data Pura Producción'!$Q$17:$Q$531,$R39)))</f>
        <v/>
      </c>
      <c r="AD39" s="182" t="str">
        <f>+IF($Q39="","",IF(SUMIFS('Data Pura Producción'!AO$17:AO$531,'Data Pura Producción'!$R$17:$R$531,$Q39,'Data Pura Producción'!$Q$17:$Q$531,$R39)=0,"",SUMIFS('Data Pura Producción'!AO$17:AO$531,'Data Pura Producción'!$R$17:$R$531,$Q39,'Data Pura Producción'!$Q$17:$Q$531,$R39)))</f>
        <v/>
      </c>
      <c r="AE39" s="182" t="str">
        <f>+IF($Q39="","",IF(SUMIFS('Data Pura Producción'!AP$17:AP$531,'Data Pura Producción'!$R$17:$R$531,$Q39,'Data Pura Producción'!$Q$17:$Q$531,$R39)=0,"",SUMIFS('Data Pura Producción'!AP$17:AP$531,'Data Pura Producción'!$R$17:$R$531,$Q39,'Data Pura Producción'!$Q$17:$Q$531,$R39)))</f>
        <v/>
      </c>
      <c r="AF39" s="182" t="str">
        <f>+IF($Q39="","",IF(SUMIFS('Data Pura Producción'!AQ$17:AQ$531,'Data Pura Producción'!$R$17:$R$531,$Q39,'Data Pura Producción'!$Q$17:$Q$531,$R39)=0,"",SUMIFS('Data Pura Producción'!AQ$17:AQ$531,'Data Pura Producción'!$R$17:$R$531,$Q39,'Data Pura Producción'!$Q$17:$Q$531,$R39)))</f>
        <v/>
      </c>
      <c r="AG39" s="182" t="str">
        <f>+IF($Q39="","",IF(SUMIFS('Data Pura Producción'!AR$17:AR$531,'Data Pura Producción'!$R$17:$R$531,$Q39,'Data Pura Producción'!$Q$17:$Q$531,$R39)=0,"",SUMIFS('Data Pura Producción'!AR$17:AR$531,'Data Pura Producción'!$R$17:$R$531,$Q39,'Data Pura Producción'!$Q$17:$Q$531,$R39)))</f>
        <v/>
      </c>
      <c r="AH39" s="182" t="str">
        <f>+IF($Q39="","",IF(SUMIFS('Data Pura Producción'!AS$17:AS$531,'Data Pura Producción'!$R$17:$R$531,$Q39,'Data Pura Producción'!$Q$17:$Q$531,$R39)=0,"",SUMIFS('Data Pura Producción'!AS$17:AS$531,'Data Pura Producción'!$R$17:$R$531,$Q39,'Data Pura Producción'!$Q$17:$Q$531,$R39)))</f>
        <v/>
      </c>
      <c r="AI39" s="182" t="str">
        <f>+IF($Q39="","",IF(SUMIFS('Data Pura Producción'!AT$17:AT$531,'Data Pura Producción'!$R$17:$R$531,$Q39,'Data Pura Producción'!$Q$17:$Q$531,$R39)=0,"",SUMIFS('Data Pura Producción'!AT$17:AT$531,'Data Pura Producción'!$R$17:$R$531,$Q39,'Data Pura Producción'!$Q$17:$Q$531,$R39)))</f>
        <v/>
      </c>
      <c r="AJ39" s="182" t="str">
        <f>+IF($Q39="","",IF(SUMIFS('Data Pura Producción'!AU$17:AU$531,'Data Pura Producción'!$R$17:$R$531,$Q39,'Data Pura Producción'!$Q$17:$Q$531,$R39)=0,"",SUMIFS('Data Pura Producción'!AU$17:AU$531,'Data Pura Producción'!$R$17:$R$531,$Q39,'Data Pura Producción'!$Q$17:$Q$531,$R39)))</f>
        <v/>
      </c>
      <c r="AK39" s="182" t="str">
        <f>+IF($Q39="","",IF(SUMIFS('Data Pura Producción'!AV$17:AV$531,'Data Pura Producción'!$R$17:$R$531,$Q39,'Data Pura Producción'!$Q$17:$Q$531,$R39)=0,"",SUMIFS('Data Pura Producción'!AV$17:AV$531,'Data Pura Producción'!$R$17:$R$531,$Q39,'Data Pura Producción'!$Q$17:$Q$531,$R39)))</f>
        <v/>
      </c>
      <c r="AL39" s="182" t="str">
        <f>+IF($Q39="","",IF(SUMIFS('Data Pura Producción'!AW$17:AW$531,'Data Pura Producción'!$R$17:$R$531,$Q39,'Data Pura Producción'!$Q$17:$Q$531,$R39)=0,"",SUMIFS('Data Pura Producción'!AW$17:AW$531,'Data Pura Producción'!$R$17:$R$531,$Q39,'Data Pura Producción'!$Q$17:$Q$531,$R39)))</f>
        <v/>
      </c>
      <c r="AM39" s="337" t="str">
        <f>+IF($Q39="","",IF(SUMIFS('Data Pura Producción'!AX$17:AX$531,'Data Pura Producción'!$R$17:$R$531,$Q39,'Data Pura Producción'!$Q$17:$Q$531,$R39)=0,"",SUMIFS('Data Pura Producción'!AX$17:AX$531,'Data Pura Producción'!$R$17:$R$531,$Q39,'Data Pura Producción'!$Q$17:$Q$531,$R39)))</f>
        <v/>
      </c>
      <c r="AN39" s="187" t="str">
        <f t="shared" si="2"/>
        <v/>
      </c>
    </row>
    <row r="40" spans="2:40" s="7" customFormat="1" x14ac:dyDescent="0.35">
      <c r="B40" s="4" t="str">
        <f>+IF('Data Pura Costos'!B40="","",'Data Pura Costos'!B40)</f>
        <v>El Huaico</v>
      </c>
      <c r="C40" s="4" t="str">
        <f>+IF('Data Pura Costos'!C40="","",'Data Pura Costos'!C40)</f>
        <v>Palmila Ohiggins</v>
      </c>
      <c r="D40" s="5">
        <f>+IF('Data Pura Costos'!D40="","",'Data Pura Costos'!D40)</f>
        <v>124</v>
      </c>
      <c r="E40" s="65">
        <f>+IF('Data Pura Costos'!E40="","",IF('Data Pura Costos'!E40=0,MAX('Data Pura Costos'!$E$7:$E$3000)*1000,'Data Pura Costos'!E40))</f>
        <v>420000</v>
      </c>
      <c r="F40" s="5" t="str">
        <f>+IF('Data Pura Costos'!F40="","",'Data Pura Costos'!F40)</f>
        <v>Mostazal</v>
      </c>
      <c r="G40" s="5" t="str">
        <f>+IF('Data Pura Costos'!G40="","",'Data Pura Costos'!G40)</f>
        <v xml:space="preserve">GUSTAVO ZÚÑIGA </v>
      </c>
      <c r="H40" s="52" t="str">
        <f>+IF('Data Pura Costos'!H40="","",'Data Pura Costos'!H40)</f>
        <v>Termo</v>
      </c>
      <c r="I40" s="71">
        <f>+IF('Data Pura Costos'!I40="","",'Data Pura Costos'!I40)</f>
        <v>3387.0967741935483</v>
      </c>
      <c r="J40" s="52" t="str">
        <f>+IF('Data Pura Costos'!J40="","",'Data Pura Costos'!J40)</f>
        <v>24-25</v>
      </c>
      <c r="K40" s="82" t="str">
        <f t="shared" si="3"/>
        <v xml:space="preserve">El Huaico-Mostazal-GUSTAVO ZÚÑIGA </v>
      </c>
      <c r="M40" s="4"/>
      <c r="N40" s="5" t="str">
        <f>+IF(M40="","",INDEX('Parámetros Auxiliares'!$D$7:$D$65,MATCH(M40,'Parámetros Auxiliares'!$D$7:$D$65,0)))</f>
        <v/>
      </c>
      <c r="O40" s="259"/>
      <c r="P40" s="1" t="str">
        <f t="shared" si="1"/>
        <v/>
      </c>
      <c r="Q40" s="185"/>
      <c r="R40" s="332"/>
      <c r="S40" s="336" t="str">
        <f>+IF($Q40="","",IF(SUMIFS('Data Pura Producción'!AD$17:AD$531,'Data Pura Producción'!$R$17:$R$531,$Q40,'Data Pura Producción'!$Q$17:$Q$531,$R40)=0,"",SUMIFS('Data Pura Producción'!AD$17:AD$531,'Data Pura Producción'!$R$17:$R$531,$Q40,'Data Pura Producción'!$Q$17:$Q$531,$R40)))</f>
        <v/>
      </c>
      <c r="T40" s="182" t="str">
        <f>+IF($Q40="","",IF(SUMIFS('Data Pura Producción'!AE$17:AE$531,'Data Pura Producción'!$R$17:$R$531,$Q40,'Data Pura Producción'!$Q$17:$Q$531,$R40)=0,"",SUMIFS('Data Pura Producción'!AE$17:AE$531,'Data Pura Producción'!$R$17:$R$531,$Q40,'Data Pura Producción'!$Q$17:$Q$531,$R40)))</f>
        <v/>
      </c>
      <c r="U40" s="182" t="str">
        <f>+IF($Q40="","",IF(SUMIFS('Data Pura Producción'!AF$17:AF$531,'Data Pura Producción'!$R$17:$R$531,$Q40,'Data Pura Producción'!$Q$17:$Q$531,$R40)=0,"",SUMIFS('Data Pura Producción'!AF$17:AF$531,'Data Pura Producción'!$R$17:$R$531,$Q40,'Data Pura Producción'!$Q$17:$Q$531,$R40)))</f>
        <v/>
      </c>
      <c r="V40" s="182" t="str">
        <f>+IF($Q40="","",IF(SUMIFS('Data Pura Producción'!AG$17:AG$531,'Data Pura Producción'!$R$17:$R$531,$Q40,'Data Pura Producción'!$Q$17:$Q$531,$R40)=0,"",SUMIFS('Data Pura Producción'!AG$17:AG$531,'Data Pura Producción'!$R$17:$R$531,$Q40,'Data Pura Producción'!$Q$17:$Q$531,$R40)))</f>
        <v/>
      </c>
      <c r="W40" s="182" t="str">
        <f>+IF($Q40="","",IF(SUMIFS('Data Pura Producción'!AH$17:AH$531,'Data Pura Producción'!$R$17:$R$531,$Q40,'Data Pura Producción'!$Q$17:$Q$531,$R40)=0,"",SUMIFS('Data Pura Producción'!AH$17:AH$531,'Data Pura Producción'!$R$17:$R$531,$Q40,'Data Pura Producción'!$Q$17:$Q$531,$R40)))</f>
        <v/>
      </c>
      <c r="X40" s="182" t="str">
        <f>+IF($Q40="","",IF(SUMIFS('Data Pura Producción'!AI$17:AI$531,'Data Pura Producción'!$R$17:$R$531,$Q40,'Data Pura Producción'!$Q$17:$Q$531,$R40)=0,"",SUMIFS('Data Pura Producción'!AI$17:AI$531,'Data Pura Producción'!$R$17:$R$531,$Q40,'Data Pura Producción'!$Q$17:$Q$531,$R40)))</f>
        <v/>
      </c>
      <c r="Y40" s="182" t="str">
        <f>+IF($Q40="","",IF(SUMIFS('Data Pura Producción'!AJ$17:AJ$531,'Data Pura Producción'!$R$17:$R$531,$Q40,'Data Pura Producción'!$Q$17:$Q$531,$R40)=0,"",SUMIFS('Data Pura Producción'!AJ$17:AJ$531,'Data Pura Producción'!$R$17:$R$531,$Q40,'Data Pura Producción'!$Q$17:$Q$531,$R40)))</f>
        <v/>
      </c>
      <c r="Z40" s="182" t="str">
        <f>+IF($Q40="","",IF(SUMIFS('Data Pura Producción'!AK$17:AK$531,'Data Pura Producción'!$R$17:$R$531,$Q40,'Data Pura Producción'!$Q$17:$Q$531,$R40)=0,"",SUMIFS('Data Pura Producción'!AK$17:AK$531,'Data Pura Producción'!$R$17:$R$531,$Q40,'Data Pura Producción'!$Q$17:$Q$531,$R40)))</f>
        <v/>
      </c>
      <c r="AA40" s="182" t="str">
        <f>+IF($Q40="","",IF(SUMIFS('Data Pura Producción'!AL$17:AL$531,'Data Pura Producción'!$R$17:$R$531,$Q40,'Data Pura Producción'!$Q$17:$Q$531,$R40)=0,"",SUMIFS('Data Pura Producción'!AL$17:AL$531,'Data Pura Producción'!$R$17:$R$531,$Q40,'Data Pura Producción'!$Q$17:$Q$531,$R40)))</f>
        <v/>
      </c>
      <c r="AB40" s="182" t="str">
        <f>+IF($Q40="","",IF(SUMIFS('Data Pura Producción'!AM$17:AM$531,'Data Pura Producción'!$R$17:$R$531,$Q40,'Data Pura Producción'!$Q$17:$Q$531,$R40)=0,"",SUMIFS('Data Pura Producción'!AM$17:AM$531,'Data Pura Producción'!$R$17:$R$531,$Q40,'Data Pura Producción'!$Q$17:$Q$531,$R40)))</f>
        <v/>
      </c>
      <c r="AC40" s="182" t="str">
        <f>+IF($Q40="","",IF(SUMIFS('Data Pura Producción'!AN$17:AN$531,'Data Pura Producción'!$R$17:$R$531,$Q40,'Data Pura Producción'!$Q$17:$Q$531,$R40)=0,"",SUMIFS('Data Pura Producción'!AN$17:AN$531,'Data Pura Producción'!$R$17:$R$531,$Q40,'Data Pura Producción'!$Q$17:$Q$531,$R40)))</f>
        <v/>
      </c>
      <c r="AD40" s="182" t="str">
        <f>+IF($Q40="","",IF(SUMIFS('Data Pura Producción'!AO$17:AO$531,'Data Pura Producción'!$R$17:$R$531,$Q40,'Data Pura Producción'!$Q$17:$Q$531,$R40)=0,"",SUMIFS('Data Pura Producción'!AO$17:AO$531,'Data Pura Producción'!$R$17:$R$531,$Q40,'Data Pura Producción'!$Q$17:$Q$531,$R40)))</f>
        <v/>
      </c>
      <c r="AE40" s="182" t="str">
        <f>+IF($Q40="","",IF(SUMIFS('Data Pura Producción'!AP$17:AP$531,'Data Pura Producción'!$R$17:$R$531,$Q40,'Data Pura Producción'!$Q$17:$Q$531,$R40)=0,"",SUMIFS('Data Pura Producción'!AP$17:AP$531,'Data Pura Producción'!$R$17:$R$531,$Q40,'Data Pura Producción'!$Q$17:$Q$531,$R40)))</f>
        <v/>
      </c>
      <c r="AF40" s="182" t="str">
        <f>+IF($Q40="","",IF(SUMIFS('Data Pura Producción'!AQ$17:AQ$531,'Data Pura Producción'!$R$17:$R$531,$Q40,'Data Pura Producción'!$Q$17:$Q$531,$R40)=0,"",SUMIFS('Data Pura Producción'!AQ$17:AQ$531,'Data Pura Producción'!$R$17:$R$531,$Q40,'Data Pura Producción'!$Q$17:$Q$531,$R40)))</f>
        <v/>
      </c>
      <c r="AG40" s="182" t="str">
        <f>+IF($Q40="","",IF(SUMIFS('Data Pura Producción'!AR$17:AR$531,'Data Pura Producción'!$R$17:$R$531,$Q40,'Data Pura Producción'!$Q$17:$Q$531,$R40)=0,"",SUMIFS('Data Pura Producción'!AR$17:AR$531,'Data Pura Producción'!$R$17:$R$531,$Q40,'Data Pura Producción'!$Q$17:$Q$531,$R40)))</f>
        <v/>
      </c>
      <c r="AH40" s="182" t="str">
        <f>+IF($Q40="","",IF(SUMIFS('Data Pura Producción'!AS$17:AS$531,'Data Pura Producción'!$R$17:$R$531,$Q40,'Data Pura Producción'!$Q$17:$Q$531,$R40)=0,"",SUMIFS('Data Pura Producción'!AS$17:AS$531,'Data Pura Producción'!$R$17:$R$531,$Q40,'Data Pura Producción'!$Q$17:$Q$531,$R40)))</f>
        <v/>
      </c>
      <c r="AI40" s="182" t="str">
        <f>+IF($Q40="","",IF(SUMIFS('Data Pura Producción'!AT$17:AT$531,'Data Pura Producción'!$R$17:$R$531,$Q40,'Data Pura Producción'!$Q$17:$Q$531,$R40)=0,"",SUMIFS('Data Pura Producción'!AT$17:AT$531,'Data Pura Producción'!$R$17:$R$531,$Q40,'Data Pura Producción'!$Q$17:$Q$531,$R40)))</f>
        <v/>
      </c>
      <c r="AJ40" s="182" t="str">
        <f>+IF($Q40="","",IF(SUMIFS('Data Pura Producción'!AU$17:AU$531,'Data Pura Producción'!$R$17:$R$531,$Q40,'Data Pura Producción'!$Q$17:$Q$531,$R40)=0,"",SUMIFS('Data Pura Producción'!AU$17:AU$531,'Data Pura Producción'!$R$17:$R$531,$Q40,'Data Pura Producción'!$Q$17:$Q$531,$R40)))</f>
        <v/>
      </c>
      <c r="AK40" s="182" t="str">
        <f>+IF($Q40="","",IF(SUMIFS('Data Pura Producción'!AV$17:AV$531,'Data Pura Producción'!$R$17:$R$531,$Q40,'Data Pura Producción'!$Q$17:$Q$531,$R40)=0,"",SUMIFS('Data Pura Producción'!AV$17:AV$531,'Data Pura Producción'!$R$17:$R$531,$Q40,'Data Pura Producción'!$Q$17:$Q$531,$R40)))</f>
        <v/>
      </c>
      <c r="AL40" s="182" t="str">
        <f>+IF($Q40="","",IF(SUMIFS('Data Pura Producción'!AW$17:AW$531,'Data Pura Producción'!$R$17:$R$531,$Q40,'Data Pura Producción'!$Q$17:$Q$531,$R40)=0,"",SUMIFS('Data Pura Producción'!AW$17:AW$531,'Data Pura Producción'!$R$17:$R$531,$Q40,'Data Pura Producción'!$Q$17:$Q$531,$R40)))</f>
        <v/>
      </c>
      <c r="AM40" s="337" t="str">
        <f>+IF($Q40="","",IF(SUMIFS('Data Pura Producción'!AX$17:AX$531,'Data Pura Producción'!$R$17:$R$531,$Q40,'Data Pura Producción'!$Q$17:$Q$531,$R40)=0,"",SUMIFS('Data Pura Producción'!AX$17:AX$531,'Data Pura Producción'!$R$17:$R$531,$Q40,'Data Pura Producción'!$Q$17:$Q$531,$R40)))</f>
        <v/>
      </c>
      <c r="AN40" s="187" t="str">
        <f t="shared" si="2"/>
        <v/>
      </c>
    </row>
    <row r="41" spans="2:40" s="7" customFormat="1" x14ac:dyDescent="0.35">
      <c r="B41" s="4" t="str">
        <f>+IF('Data Pura Costos'!B41="","",'Data Pura Costos'!B41)</f>
        <v>El Parque</v>
      </c>
      <c r="C41" s="4" t="str">
        <f>+IF('Data Pura Costos'!C41="","",'Data Pura Costos'!C41)</f>
        <v>San Francisco de Mostazal.VI Region.</v>
      </c>
      <c r="D41" s="5">
        <f>+IF('Data Pura Costos'!D41="","",'Data Pura Costos'!D41)</f>
        <v>3</v>
      </c>
      <c r="E41" s="65">
        <f>+IF('Data Pura Costos'!E41="","",IF('Data Pura Costos'!E41=0,MAX('Data Pura Costos'!$E$7:$E$3000)*1000,'Data Pura Costos'!E41))</f>
        <v>250000</v>
      </c>
      <c r="F41" s="5" t="str">
        <f>+IF('Data Pura Costos'!F41="","",'Data Pura Costos'!F41)</f>
        <v>Mostazal</v>
      </c>
      <c r="G41" s="5" t="str">
        <f>+IF('Data Pura Costos'!G41="","",'Data Pura Costos'!G41)</f>
        <v xml:space="preserve">GUSTAVO ZÚÑIGA </v>
      </c>
      <c r="H41" s="52" t="str">
        <f>+IF('Data Pura Costos'!H41="","",'Data Pura Costos'!H41)</f>
        <v>Termo</v>
      </c>
      <c r="I41" s="71">
        <f>+IF('Data Pura Costos'!I41="","",'Data Pura Costos'!I41)</f>
        <v>83333.333333333328</v>
      </c>
      <c r="J41" s="52" t="str">
        <f>+IF('Data Pura Costos'!J41="","",'Data Pura Costos'!J41)</f>
        <v>24-25</v>
      </c>
      <c r="K41" s="82" t="str">
        <f t="shared" si="3"/>
        <v xml:space="preserve">El Parque-Mostazal-GUSTAVO ZÚÑIGA </v>
      </c>
      <c r="M41" s="4"/>
      <c r="N41" s="5" t="str">
        <f>+IF(M41="","",INDEX('Parámetros Auxiliares'!$D$7:$D$65,MATCH(M41,'Parámetros Auxiliares'!$D$7:$D$65,0)))</f>
        <v/>
      </c>
      <c r="O41" s="259"/>
      <c r="P41" s="1" t="str">
        <f t="shared" si="1"/>
        <v/>
      </c>
      <c r="Q41" s="185"/>
      <c r="R41" s="332"/>
      <c r="S41" s="336" t="str">
        <f>+IF($Q41="","",IF(SUMIFS('Data Pura Producción'!AD$17:AD$531,'Data Pura Producción'!$R$17:$R$531,$Q41,'Data Pura Producción'!$Q$17:$Q$531,$R41)=0,"",SUMIFS('Data Pura Producción'!AD$17:AD$531,'Data Pura Producción'!$R$17:$R$531,$Q41,'Data Pura Producción'!$Q$17:$Q$531,$R41)))</f>
        <v/>
      </c>
      <c r="T41" s="182" t="str">
        <f>+IF($Q41="","",IF(SUMIFS('Data Pura Producción'!AE$17:AE$531,'Data Pura Producción'!$R$17:$R$531,$Q41,'Data Pura Producción'!$Q$17:$Q$531,$R41)=0,"",SUMIFS('Data Pura Producción'!AE$17:AE$531,'Data Pura Producción'!$R$17:$R$531,$Q41,'Data Pura Producción'!$Q$17:$Q$531,$R41)))</f>
        <v/>
      </c>
      <c r="U41" s="182" t="str">
        <f>+IF($Q41="","",IF(SUMIFS('Data Pura Producción'!AF$17:AF$531,'Data Pura Producción'!$R$17:$R$531,$Q41,'Data Pura Producción'!$Q$17:$Q$531,$R41)=0,"",SUMIFS('Data Pura Producción'!AF$17:AF$531,'Data Pura Producción'!$R$17:$R$531,$Q41,'Data Pura Producción'!$Q$17:$Q$531,$R41)))</f>
        <v/>
      </c>
      <c r="V41" s="182" t="str">
        <f>+IF($Q41="","",IF(SUMIFS('Data Pura Producción'!AG$17:AG$531,'Data Pura Producción'!$R$17:$R$531,$Q41,'Data Pura Producción'!$Q$17:$Q$531,$R41)=0,"",SUMIFS('Data Pura Producción'!AG$17:AG$531,'Data Pura Producción'!$R$17:$R$531,$Q41,'Data Pura Producción'!$Q$17:$Q$531,$R41)))</f>
        <v/>
      </c>
      <c r="W41" s="182" t="str">
        <f>+IF($Q41="","",IF(SUMIFS('Data Pura Producción'!AH$17:AH$531,'Data Pura Producción'!$R$17:$R$531,$Q41,'Data Pura Producción'!$Q$17:$Q$531,$R41)=0,"",SUMIFS('Data Pura Producción'!AH$17:AH$531,'Data Pura Producción'!$R$17:$R$531,$Q41,'Data Pura Producción'!$Q$17:$Q$531,$R41)))</f>
        <v/>
      </c>
      <c r="X41" s="182" t="str">
        <f>+IF($Q41="","",IF(SUMIFS('Data Pura Producción'!AI$17:AI$531,'Data Pura Producción'!$R$17:$R$531,$Q41,'Data Pura Producción'!$Q$17:$Q$531,$R41)=0,"",SUMIFS('Data Pura Producción'!AI$17:AI$531,'Data Pura Producción'!$R$17:$R$531,$Q41,'Data Pura Producción'!$Q$17:$Q$531,$R41)))</f>
        <v/>
      </c>
      <c r="Y41" s="182" t="str">
        <f>+IF($Q41="","",IF(SUMIFS('Data Pura Producción'!AJ$17:AJ$531,'Data Pura Producción'!$R$17:$R$531,$Q41,'Data Pura Producción'!$Q$17:$Q$531,$R41)=0,"",SUMIFS('Data Pura Producción'!AJ$17:AJ$531,'Data Pura Producción'!$R$17:$R$531,$Q41,'Data Pura Producción'!$Q$17:$Q$531,$R41)))</f>
        <v/>
      </c>
      <c r="Z41" s="182" t="str">
        <f>+IF($Q41="","",IF(SUMIFS('Data Pura Producción'!AK$17:AK$531,'Data Pura Producción'!$R$17:$R$531,$Q41,'Data Pura Producción'!$Q$17:$Q$531,$R41)=0,"",SUMIFS('Data Pura Producción'!AK$17:AK$531,'Data Pura Producción'!$R$17:$R$531,$Q41,'Data Pura Producción'!$Q$17:$Q$531,$R41)))</f>
        <v/>
      </c>
      <c r="AA41" s="182" t="str">
        <f>+IF($Q41="","",IF(SUMIFS('Data Pura Producción'!AL$17:AL$531,'Data Pura Producción'!$R$17:$R$531,$Q41,'Data Pura Producción'!$Q$17:$Q$531,$R41)=0,"",SUMIFS('Data Pura Producción'!AL$17:AL$531,'Data Pura Producción'!$R$17:$R$531,$Q41,'Data Pura Producción'!$Q$17:$Q$531,$R41)))</f>
        <v/>
      </c>
      <c r="AB41" s="182" t="str">
        <f>+IF($Q41="","",IF(SUMIFS('Data Pura Producción'!AM$17:AM$531,'Data Pura Producción'!$R$17:$R$531,$Q41,'Data Pura Producción'!$Q$17:$Q$531,$R41)=0,"",SUMIFS('Data Pura Producción'!AM$17:AM$531,'Data Pura Producción'!$R$17:$R$531,$Q41,'Data Pura Producción'!$Q$17:$Q$531,$R41)))</f>
        <v/>
      </c>
      <c r="AC41" s="182" t="str">
        <f>+IF($Q41="","",IF(SUMIFS('Data Pura Producción'!AN$17:AN$531,'Data Pura Producción'!$R$17:$R$531,$Q41,'Data Pura Producción'!$Q$17:$Q$531,$R41)=0,"",SUMIFS('Data Pura Producción'!AN$17:AN$531,'Data Pura Producción'!$R$17:$R$531,$Q41,'Data Pura Producción'!$Q$17:$Q$531,$R41)))</f>
        <v/>
      </c>
      <c r="AD41" s="182" t="str">
        <f>+IF($Q41="","",IF(SUMIFS('Data Pura Producción'!AO$17:AO$531,'Data Pura Producción'!$R$17:$R$531,$Q41,'Data Pura Producción'!$Q$17:$Q$531,$R41)=0,"",SUMIFS('Data Pura Producción'!AO$17:AO$531,'Data Pura Producción'!$R$17:$R$531,$Q41,'Data Pura Producción'!$Q$17:$Q$531,$R41)))</f>
        <v/>
      </c>
      <c r="AE41" s="182" t="str">
        <f>+IF($Q41="","",IF(SUMIFS('Data Pura Producción'!AP$17:AP$531,'Data Pura Producción'!$R$17:$R$531,$Q41,'Data Pura Producción'!$Q$17:$Q$531,$R41)=0,"",SUMIFS('Data Pura Producción'!AP$17:AP$531,'Data Pura Producción'!$R$17:$R$531,$Q41,'Data Pura Producción'!$Q$17:$Q$531,$R41)))</f>
        <v/>
      </c>
      <c r="AF41" s="182" t="str">
        <f>+IF($Q41="","",IF(SUMIFS('Data Pura Producción'!AQ$17:AQ$531,'Data Pura Producción'!$R$17:$R$531,$Q41,'Data Pura Producción'!$Q$17:$Q$531,$R41)=0,"",SUMIFS('Data Pura Producción'!AQ$17:AQ$531,'Data Pura Producción'!$R$17:$R$531,$Q41,'Data Pura Producción'!$Q$17:$Q$531,$R41)))</f>
        <v/>
      </c>
      <c r="AG41" s="182" t="str">
        <f>+IF($Q41="","",IF(SUMIFS('Data Pura Producción'!AR$17:AR$531,'Data Pura Producción'!$R$17:$R$531,$Q41,'Data Pura Producción'!$Q$17:$Q$531,$R41)=0,"",SUMIFS('Data Pura Producción'!AR$17:AR$531,'Data Pura Producción'!$R$17:$R$531,$Q41,'Data Pura Producción'!$Q$17:$Q$531,$R41)))</f>
        <v/>
      </c>
      <c r="AH41" s="182" t="str">
        <f>+IF($Q41="","",IF(SUMIFS('Data Pura Producción'!AS$17:AS$531,'Data Pura Producción'!$R$17:$R$531,$Q41,'Data Pura Producción'!$Q$17:$Q$531,$R41)=0,"",SUMIFS('Data Pura Producción'!AS$17:AS$531,'Data Pura Producción'!$R$17:$R$531,$Q41,'Data Pura Producción'!$Q$17:$Q$531,$R41)))</f>
        <v/>
      </c>
      <c r="AI41" s="182" t="str">
        <f>+IF($Q41="","",IF(SUMIFS('Data Pura Producción'!AT$17:AT$531,'Data Pura Producción'!$R$17:$R$531,$Q41,'Data Pura Producción'!$Q$17:$Q$531,$R41)=0,"",SUMIFS('Data Pura Producción'!AT$17:AT$531,'Data Pura Producción'!$R$17:$R$531,$Q41,'Data Pura Producción'!$Q$17:$Q$531,$R41)))</f>
        <v/>
      </c>
      <c r="AJ41" s="182" t="str">
        <f>+IF($Q41="","",IF(SUMIFS('Data Pura Producción'!AU$17:AU$531,'Data Pura Producción'!$R$17:$R$531,$Q41,'Data Pura Producción'!$Q$17:$Q$531,$R41)=0,"",SUMIFS('Data Pura Producción'!AU$17:AU$531,'Data Pura Producción'!$R$17:$R$531,$Q41,'Data Pura Producción'!$Q$17:$Q$531,$R41)))</f>
        <v/>
      </c>
      <c r="AK41" s="182" t="str">
        <f>+IF($Q41="","",IF(SUMIFS('Data Pura Producción'!AV$17:AV$531,'Data Pura Producción'!$R$17:$R$531,$Q41,'Data Pura Producción'!$Q$17:$Q$531,$R41)=0,"",SUMIFS('Data Pura Producción'!AV$17:AV$531,'Data Pura Producción'!$R$17:$R$531,$Q41,'Data Pura Producción'!$Q$17:$Q$531,$R41)))</f>
        <v/>
      </c>
      <c r="AL41" s="182" t="str">
        <f>+IF($Q41="","",IF(SUMIFS('Data Pura Producción'!AW$17:AW$531,'Data Pura Producción'!$R$17:$R$531,$Q41,'Data Pura Producción'!$Q$17:$Q$531,$R41)=0,"",SUMIFS('Data Pura Producción'!AW$17:AW$531,'Data Pura Producción'!$R$17:$R$531,$Q41,'Data Pura Producción'!$Q$17:$Q$531,$R41)))</f>
        <v/>
      </c>
      <c r="AM41" s="337" t="str">
        <f>+IF($Q41="","",IF(SUMIFS('Data Pura Producción'!AX$17:AX$531,'Data Pura Producción'!$R$17:$R$531,$Q41,'Data Pura Producción'!$Q$17:$Q$531,$R41)=0,"",SUMIFS('Data Pura Producción'!AX$17:AX$531,'Data Pura Producción'!$R$17:$R$531,$Q41,'Data Pura Producción'!$Q$17:$Q$531,$R41)))</f>
        <v/>
      </c>
      <c r="AN41" s="187" t="str">
        <f t="shared" si="2"/>
        <v/>
      </c>
    </row>
    <row r="42" spans="2:40" s="7" customFormat="1" x14ac:dyDescent="0.35">
      <c r="B42" s="4" t="str">
        <f>+IF('Data Pura Costos'!B42="","",'Data Pura Costos'!B42)</f>
        <v>El Picaso</v>
      </c>
      <c r="C42" s="4" t="str">
        <f>+IF('Data Pura Costos'!C42="","",'Data Pura Costos'!C42)</f>
        <v xml:space="preserve">San Clemente, VII región </v>
      </c>
      <c r="D42" s="5">
        <f>+IF('Data Pura Costos'!D42="","",'Data Pura Costos'!D42)</f>
        <v>208</v>
      </c>
      <c r="E42" s="65">
        <f>+IF('Data Pura Costos'!E42="","",IF('Data Pura Costos'!E42=0,MAX('Data Pura Costos'!$E$7:$E$3000)*1000,'Data Pura Costos'!E42))</f>
        <v>550000</v>
      </c>
      <c r="F42" s="5" t="str">
        <f>+IF('Data Pura Costos'!F42="","",'Data Pura Costos'!F42)</f>
        <v>Mostazal</v>
      </c>
      <c r="G42" s="5" t="str">
        <f>+IF('Data Pura Costos'!G42="","",'Data Pura Costos'!G42)</f>
        <v xml:space="preserve">GUSTAVO ZÚÑIGA </v>
      </c>
      <c r="H42" s="52" t="str">
        <f>+IF('Data Pura Costos'!H42="","",'Data Pura Costos'!H42)</f>
        <v>Termo</v>
      </c>
      <c r="I42" s="71">
        <f>+IF('Data Pura Costos'!I42="","",'Data Pura Costos'!I42)</f>
        <v>2644.2307692307691</v>
      </c>
      <c r="J42" s="52" t="str">
        <f>+IF('Data Pura Costos'!J42="","",'Data Pura Costos'!J42)</f>
        <v>24-25</v>
      </c>
      <c r="K42" s="82" t="str">
        <f t="shared" si="3"/>
        <v xml:space="preserve">El Picaso-Mostazal-GUSTAVO ZÚÑIGA </v>
      </c>
      <c r="M42" s="4"/>
      <c r="N42" s="5" t="str">
        <f>+IF(M42="","",INDEX('Parámetros Auxiliares'!$D$7:$D$65,MATCH(M42,'Parámetros Auxiliares'!$D$7:$D$65,0)))</f>
        <v/>
      </c>
      <c r="O42" s="259"/>
      <c r="P42" s="1" t="str">
        <f t="shared" si="1"/>
        <v/>
      </c>
      <c r="Q42" s="185"/>
      <c r="R42" s="332"/>
      <c r="S42" s="336" t="str">
        <f>+IF($Q42="","",IF(SUMIFS('Data Pura Producción'!AD$17:AD$531,'Data Pura Producción'!$R$17:$R$531,$Q42,'Data Pura Producción'!$Q$17:$Q$531,$R42)=0,"",SUMIFS('Data Pura Producción'!AD$17:AD$531,'Data Pura Producción'!$R$17:$R$531,$Q42,'Data Pura Producción'!$Q$17:$Q$531,$R42)))</f>
        <v/>
      </c>
      <c r="T42" s="182" t="str">
        <f>+IF($Q42="","",IF(SUMIFS('Data Pura Producción'!AE$17:AE$531,'Data Pura Producción'!$R$17:$R$531,$Q42,'Data Pura Producción'!$Q$17:$Q$531,$R42)=0,"",SUMIFS('Data Pura Producción'!AE$17:AE$531,'Data Pura Producción'!$R$17:$R$531,$Q42,'Data Pura Producción'!$Q$17:$Q$531,$R42)))</f>
        <v/>
      </c>
      <c r="U42" s="182" t="str">
        <f>+IF($Q42="","",IF(SUMIFS('Data Pura Producción'!AF$17:AF$531,'Data Pura Producción'!$R$17:$R$531,$Q42,'Data Pura Producción'!$Q$17:$Q$531,$R42)=0,"",SUMIFS('Data Pura Producción'!AF$17:AF$531,'Data Pura Producción'!$R$17:$R$531,$Q42,'Data Pura Producción'!$Q$17:$Q$531,$R42)))</f>
        <v/>
      </c>
      <c r="V42" s="182" t="str">
        <f>+IF($Q42="","",IF(SUMIFS('Data Pura Producción'!AG$17:AG$531,'Data Pura Producción'!$R$17:$R$531,$Q42,'Data Pura Producción'!$Q$17:$Q$531,$R42)=0,"",SUMIFS('Data Pura Producción'!AG$17:AG$531,'Data Pura Producción'!$R$17:$R$531,$Q42,'Data Pura Producción'!$Q$17:$Q$531,$R42)))</f>
        <v/>
      </c>
      <c r="W42" s="182" t="str">
        <f>+IF($Q42="","",IF(SUMIFS('Data Pura Producción'!AH$17:AH$531,'Data Pura Producción'!$R$17:$R$531,$Q42,'Data Pura Producción'!$Q$17:$Q$531,$R42)=0,"",SUMIFS('Data Pura Producción'!AH$17:AH$531,'Data Pura Producción'!$R$17:$R$531,$Q42,'Data Pura Producción'!$Q$17:$Q$531,$R42)))</f>
        <v/>
      </c>
      <c r="X42" s="182" t="str">
        <f>+IF($Q42="","",IF(SUMIFS('Data Pura Producción'!AI$17:AI$531,'Data Pura Producción'!$R$17:$R$531,$Q42,'Data Pura Producción'!$Q$17:$Q$531,$R42)=0,"",SUMIFS('Data Pura Producción'!AI$17:AI$531,'Data Pura Producción'!$R$17:$R$531,$Q42,'Data Pura Producción'!$Q$17:$Q$531,$R42)))</f>
        <v/>
      </c>
      <c r="Y42" s="182" t="str">
        <f>+IF($Q42="","",IF(SUMIFS('Data Pura Producción'!AJ$17:AJ$531,'Data Pura Producción'!$R$17:$R$531,$Q42,'Data Pura Producción'!$Q$17:$Q$531,$R42)=0,"",SUMIFS('Data Pura Producción'!AJ$17:AJ$531,'Data Pura Producción'!$R$17:$R$531,$Q42,'Data Pura Producción'!$Q$17:$Q$531,$R42)))</f>
        <v/>
      </c>
      <c r="Z42" s="182" t="str">
        <f>+IF($Q42="","",IF(SUMIFS('Data Pura Producción'!AK$17:AK$531,'Data Pura Producción'!$R$17:$R$531,$Q42,'Data Pura Producción'!$Q$17:$Q$531,$R42)=0,"",SUMIFS('Data Pura Producción'!AK$17:AK$531,'Data Pura Producción'!$R$17:$R$531,$Q42,'Data Pura Producción'!$Q$17:$Q$531,$R42)))</f>
        <v/>
      </c>
      <c r="AA42" s="182" t="str">
        <f>+IF($Q42="","",IF(SUMIFS('Data Pura Producción'!AL$17:AL$531,'Data Pura Producción'!$R$17:$R$531,$Q42,'Data Pura Producción'!$Q$17:$Q$531,$R42)=0,"",SUMIFS('Data Pura Producción'!AL$17:AL$531,'Data Pura Producción'!$R$17:$R$531,$Q42,'Data Pura Producción'!$Q$17:$Q$531,$R42)))</f>
        <v/>
      </c>
      <c r="AB42" s="182" t="str">
        <f>+IF($Q42="","",IF(SUMIFS('Data Pura Producción'!AM$17:AM$531,'Data Pura Producción'!$R$17:$R$531,$Q42,'Data Pura Producción'!$Q$17:$Q$531,$R42)=0,"",SUMIFS('Data Pura Producción'!AM$17:AM$531,'Data Pura Producción'!$R$17:$R$531,$Q42,'Data Pura Producción'!$Q$17:$Q$531,$R42)))</f>
        <v/>
      </c>
      <c r="AC42" s="182" t="str">
        <f>+IF($Q42="","",IF(SUMIFS('Data Pura Producción'!AN$17:AN$531,'Data Pura Producción'!$R$17:$R$531,$Q42,'Data Pura Producción'!$Q$17:$Q$531,$R42)=0,"",SUMIFS('Data Pura Producción'!AN$17:AN$531,'Data Pura Producción'!$R$17:$R$531,$Q42,'Data Pura Producción'!$Q$17:$Q$531,$R42)))</f>
        <v/>
      </c>
      <c r="AD42" s="182" t="str">
        <f>+IF($Q42="","",IF(SUMIFS('Data Pura Producción'!AO$17:AO$531,'Data Pura Producción'!$R$17:$R$531,$Q42,'Data Pura Producción'!$Q$17:$Q$531,$R42)=0,"",SUMIFS('Data Pura Producción'!AO$17:AO$531,'Data Pura Producción'!$R$17:$R$531,$Q42,'Data Pura Producción'!$Q$17:$Q$531,$R42)))</f>
        <v/>
      </c>
      <c r="AE42" s="182" t="str">
        <f>+IF($Q42="","",IF(SUMIFS('Data Pura Producción'!AP$17:AP$531,'Data Pura Producción'!$R$17:$R$531,$Q42,'Data Pura Producción'!$Q$17:$Q$531,$R42)=0,"",SUMIFS('Data Pura Producción'!AP$17:AP$531,'Data Pura Producción'!$R$17:$R$531,$Q42,'Data Pura Producción'!$Q$17:$Q$531,$R42)))</f>
        <v/>
      </c>
      <c r="AF42" s="182" t="str">
        <f>+IF($Q42="","",IF(SUMIFS('Data Pura Producción'!AQ$17:AQ$531,'Data Pura Producción'!$R$17:$R$531,$Q42,'Data Pura Producción'!$Q$17:$Q$531,$R42)=0,"",SUMIFS('Data Pura Producción'!AQ$17:AQ$531,'Data Pura Producción'!$R$17:$R$531,$Q42,'Data Pura Producción'!$Q$17:$Q$531,$R42)))</f>
        <v/>
      </c>
      <c r="AG42" s="182" t="str">
        <f>+IF($Q42="","",IF(SUMIFS('Data Pura Producción'!AR$17:AR$531,'Data Pura Producción'!$R$17:$R$531,$Q42,'Data Pura Producción'!$Q$17:$Q$531,$R42)=0,"",SUMIFS('Data Pura Producción'!AR$17:AR$531,'Data Pura Producción'!$R$17:$R$531,$Q42,'Data Pura Producción'!$Q$17:$Q$531,$R42)))</f>
        <v/>
      </c>
      <c r="AH42" s="182" t="str">
        <f>+IF($Q42="","",IF(SUMIFS('Data Pura Producción'!AS$17:AS$531,'Data Pura Producción'!$R$17:$R$531,$Q42,'Data Pura Producción'!$Q$17:$Q$531,$R42)=0,"",SUMIFS('Data Pura Producción'!AS$17:AS$531,'Data Pura Producción'!$R$17:$R$531,$Q42,'Data Pura Producción'!$Q$17:$Q$531,$R42)))</f>
        <v/>
      </c>
      <c r="AI42" s="182" t="str">
        <f>+IF($Q42="","",IF(SUMIFS('Data Pura Producción'!AT$17:AT$531,'Data Pura Producción'!$R$17:$R$531,$Q42,'Data Pura Producción'!$Q$17:$Q$531,$R42)=0,"",SUMIFS('Data Pura Producción'!AT$17:AT$531,'Data Pura Producción'!$R$17:$R$531,$Q42,'Data Pura Producción'!$Q$17:$Q$531,$R42)))</f>
        <v/>
      </c>
      <c r="AJ42" s="182" t="str">
        <f>+IF($Q42="","",IF(SUMIFS('Data Pura Producción'!AU$17:AU$531,'Data Pura Producción'!$R$17:$R$531,$Q42,'Data Pura Producción'!$Q$17:$Q$531,$R42)=0,"",SUMIFS('Data Pura Producción'!AU$17:AU$531,'Data Pura Producción'!$R$17:$R$531,$Q42,'Data Pura Producción'!$Q$17:$Q$531,$R42)))</f>
        <v/>
      </c>
      <c r="AK42" s="182" t="str">
        <f>+IF($Q42="","",IF(SUMIFS('Data Pura Producción'!AV$17:AV$531,'Data Pura Producción'!$R$17:$R$531,$Q42,'Data Pura Producción'!$Q$17:$Q$531,$R42)=0,"",SUMIFS('Data Pura Producción'!AV$17:AV$531,'Data Pura Producción'!$R$17:$R$531,$Q42,'Data Pura Producción'!$Q$17:$Q$531,$R42)))</f>
        <v/>
      </c>
      <c r="AL42" s="182" t="str">
        <f>+IF($Q42="","",IF(SUMIFS('Data Pura Producción'!AW$17:AW$531,'Data Pura Producción'!$R$17:$R$531,$Q42,'Data Pura Producción'!$Q$17:$Q$531,$R42)=0,"",SUMIFS('Data Pura Producción'!AW$17:AW$531,'Data Pura Producción'!$R$17:$R$531,$Q42,'Data Pura Producción'!$Q$17:$Q$531,$R42)))</f>
        <v/>
      </c>
      <c r="AM42" s="337" t="str">
        <f>+IF($Q42="","",IF(SUMIFS('Data Pura Producción'!AX$17:AX$531,'Data Pura Producción'!$R$17:$R$531,$Q42,'Data Pura Producción'!$Q$17:$Q$531,$R42)=0,"",SUMIFS('Data Pura Producción'!AX$17:AX$531,'Data Pura Producción'!$R$17:$R$531,$Q42,'Data Pura Producción'!$Q$17:$Q$531,$R42)))</f>
        <v/>
      </c>
      <c r="AN42" s="187" t="str">
        <f t="shared" si="2"/>
        <v/>
      </c>
    </row>
    <row r="43" spans="2:40" s="7" customFormat="1" x14ac:dyDescent="0.35">
      <c r="B43" s="4" t="str">
        <f>+IF('Data Pura Costos'!B43="","",'Data Pura Costos'!B43)</f>
        <v>El Recurso</v>
      </c>
      <c r="C43" s="4" t="str">
        <f>+IF('Data Pura Costos'!C43="","",'Data Pura Costos'!C43)</f>
        <v>San Francisco de Mostazal.VI Region.</v>
      </c>
      <c r="D43" s="5">
        <f>+IF('Data Pura Costos'!D43="","",'Data Pura Costos'!D43)</f>
        <v>3</v>
      </c>
      <c r="E43" s="65">
        <f>+IF('Data Pura Costos'!E43="","",IF('Data Pura Costos'!E43=0,MAX('Data Pura Costos'!$E$7:$E$3000)*1000,'Data Pura Costos'!E43))</f>
        <v>250000</v>
      </c>
      <c r="F43" s="5" t="str">
        <f>+IF('Data Pura Costos'!F43="","",'Data Pura Costos'!F43)</f>
        <v>Mostazal</v>
      </c>
      <c r="G43" s="5" t="str">
        <f>+IF('Data Pura Costos'!G43="","",'Data Pura Costos'!G43)</f>
        <v xml:space="preserve">GUSTAVO ZÚÑIGA </v>
      </c>
      <c r="H43" s="52" t="str">
        <f>+IF('Data Pura Costos'!H43="","",'Data Pura Costos'!H43)</f>
        <v>Termo</v>
      </c>
      <c r="I43" s="71">
        <f>+IF('Data Pura Costos'!I43="","",'Data Pura Costos'!I43)</f>
        <v>83333.333333333328</v>
      </c>
      <c r="J43" s="52" t="str">
        <f>+IF('Data Pura Costos'!J43="","",'Data Pura Costos'!J43)</f>
        <v>24-25</v>
      </c>
      <c r="K43" s="82" t="str">
        <f t="shared" si="3"/>
        <v xml:space="preserve">El Recurso-Mostazal-GUSTAVO ZÚÑIGA </v>
      </c>
      <c r="M43" s="4"/>
      <c r="N43" s="5" t="str">
        <f>+IF(M43="","",INDEX('Parámetros Auxiliares'!$D$7:$D$65,MATCH(M43,'Parámetros Auxiliares'!$D$7:$D$65,0)))</f>
        <v/>
      </c>
      <c r="O43" s="259"/>
      <c r="P43" s="1" t="str">
        <f t="shared" si="1"/>
        <v/>
      </c>
      <c r="Q43" s="185"/>
      <c r="R43" s="332"/>
      <c r="S43" s="336" t="str">
        <f>+IF($Q43="","",IF(SUMIFS('Data Pura Producción'!AD$17:AD$531,'Data Pura Producción'!$R$17:$R$531,$Q43,'Data Pura Producción'!$Q$17:$Q$531,$R43)=0,"",SUMIFS('Data Pura Producción'!AD$17:AD$531,'Data Pura Producción'!$R$17:$R$531,$Q43,'Data Pura Producción'!$Q$17:$Q$531,$R43)))</f>
        <v/>
      </c>
      <c r="T43" s="182" t="str">
        <f>+IF($Q43="","",IF(SUMIFS('Data Pura Producción'!AE$17:AE$531,'Data Pura Producción'!$R$17:$R$531,$Q43,'Data Pura Producción'!$Q$17:$Q$531,$R43)=0,"",SUMIFS('Data Pura Producción'!AE$17:AE$531,'Data Pura Producción'!$R$17:$R$531,$Q43,'Data Pura Producción'!$Q$17:$Q$531,$R43)))</f>
        <v/>
      </c>
      <c r="U43" s="182" t="str">
        <f>+IF($Q43="","",IF(SUMIFS('Data Pura Producción'!AF$17:AF$531,'Data Pura Producción'!$R$17:$R$531,$Q43,'Data Pura Producción'!$Q$17:$Q$531,$R43)=0,"",SUMIFS('Data Pura Producción'!AF$17:AF$531,'Data Pura Producción'!$R$17:$R$531,$Q43,'Data Pura Producción'!$Q$17:$Q$531,$R43)))</f>
        <v/>
      </c>
      <c r="V43" s="182" t="str">
        <f>+IF($Q43="","",IF(SUMIFS('Data Pura Producción'!AG$17:AG$531,'Data Pura Producción'!$R$17:$R$531,$Q43,'Data Pura Producción'!$Q$17:$Q$531,$R43)=0,"",SUMIFS('Data Pura Producción'!AG$17:AG$531,'Data Pura Producción'!$R$17:$R$531,$Q43,'Data Pura Producción'!$Q$17:$Q$531,$R43)))</f>
        <v/>
      </c>
      <c r="W43" s="182" t="str">
        <f>+IF($Q43="","",IF(SUMIFS('Data Pura Producción'!AH$17:AH$531,'Data Pura Producción'!$R$17:$R$531,$Q43,'Data Pura Producción'!$Q$17:$Q$531,$R43)=0,"",SUMIFS('Data Pura Producción'!AH$17:AH$531,'Data Pura Producción'!$R$17:$R$531,$Q43,'Data Pura Producción'!$Q$17:$Q$531,$R43)))</f>
        <v/>
      </c>
      <c r="X43" s="182" t="str">
        <f>+IF($Q43="","",IF(SUMIFS('Data Pura Producción'!AI$17:AI$531,'Data Pura Producción'!$R$17:$R$531,$Q43,'Data Pura Producción'!$Q$17:$Q$531,$R43)=0,"",SUMIFS('Data Pura Producción'!AI$17:AI$531,'Data Pura Producción'!$R$17:$R$531,$Q43,'Data Pura Producción'!$Q$17:$Q$531,$R43)))</f>
        <v/>
      </c>
      <c r="Y43" s="182" t="str">
        <f>+IF($Q43="","",IF(SUMIFS('Data Pura Producción'!AJ$17:AJ$531,'Data Pura Producción'!$R$17:$R$531,$Q43,'Data Pura Producción'!$Q$17:$Q$531,$R43)=0,"",SUMIFS('Data Pura Producción'!AJ$17:AJ$531,'Data Pura Producción'!$R$17:$R$531,$Q43,'Data Pura Producción'!$Q$17:$Q$531,$R43)))</f>
        <v/>
      </c>
      <c r="Z43" s="182" t="str">
        <f>+IF($Q43="","",IF(SUMIFS('Data Pura Producción'!AK$17:AK$531,'Data Pura Producción'!$R$17:$R$531,$Q43,'Data Pura Producción'!$Q$17:$Q$531,$R43)=0,"",SUMIFS('Data Pura Producción'!AK$17:AK$531,'Data Pura Producción'!$R$17:$R$531,$Q43,'Data Pura Producción'!$Q$17:$Q$531,$R43)))</f>
        <v/>
      </c>
      <c r="AA43" s="182" t="str">
        <f>+IF($Q43="","",IF(SUMIFS('Data Pura Producción'!AL$17:AL$531,'Data Pura Producción'!$R$17:$R$531,$Q43,'Data Pura Producción'!$Q$17:$Q$531,$R43)=0,"",SUMIFS('Data Pura Producción'!AL$17:AL$531,'Data Pura Producción'!$R$17:$R$531,$Q43,'Data Pura Producción'!$Q$17:$Q$531,$R43)))</f>
        <v/>
      </c>
      <c r="AB43" s="182" t="str">
        <f>+IF($Q43="","",IF(SUMIFS('Data Pura Producción'!AM$17:AM$531,'Data Pura Producción'!$R$17:$R$531,$Q43,'Data Pura Producción'!$Q$17:$Q$531,$R43)=0,"",SUMIFS('Data Pura Producción'!AM$17:AM$531,'Data Pura Producción'!$R$17:$R$531,$Q43,'Data Pura Producción'!$Q$17:$Q$531,$R43)))</f>
        <v/>
      </c>
      <c r="AC43" s="182" t="str">
        <f>+IF($Q43="","",IF(SUMIFS('Data Pura Producción'!AN$17:AN$531,'Data Pura Producción'!$R$17:$R$531,$Q43,'Data Pura Producción'!$Q$17:$Q$531,$R43)=0,"",SUMIFS('Data Pura Producción'!AN$17:AN$531,'Data Pura Producción'!$R$17:$R$531,$Q43,'Data Pura Producción'!$Q$17:$Q$531,$R43)))</f>
        <v/>
      </c>
      <c r="AD43" s="182" t="str">
        <f>+IF($Q43="","",IF(SUMIFS('Data Pura Producción'!AO$17:AO$531,'Data Pura Producción'!$R$17:$R$531,$Q43,'Data Pura Producción'!$Q$17:$Q$531,$R43)=0,"",SUMIFS('Data Pura Producción'!AO$17:AO$531,'Data Pura Producción'!$R$17:$R$531,$Q43,'Data Pura Producción'!$Q$17:$Q$531,$R43)))</f>
        <v/>
      </c>
      <c r="AE43" s="182" t="str">
        <f>+IF($Q43="","",IF(SUMIFS('Data Pura Producción'!AP$17:AP$531,'Data Pura Producción'!$R$17:$R$531,$Q43,'Data Pura Producción'!$Q$17:$Q$531,$R43)=0,"",SUMIFS('Data Pura Producción'!AP$17:AP$531,'Data Pura Producción'!$R$17:$R$531,$Q43,'Data Pura Producción'!$Q$17:$Q$531,$R43)))</f>
        <v/>
      </c>
      <c r="AF43" s="182" t="str">
        <f>+IF($Q43="","",IF(SUMIFS('Data Pura Producción'!AQ$17:AQ$531,'Data Pura Producción'!$R$17:$R$531,$Q43,'Data Pura Producción'!$Q$17:$Q$531,$R43)=0,"",SUMIFS('Data Pura Producción'!AQ$17:AQ$531,'Data Pura Producción'!$R$17:$R$531,$Q43,'Data Pura Producción'!$Q$17:$Q$531,$R43)))</f>
        <v/>
      </c>
      <c r="AG43" s="182" t="str">
        <f>+IF($Q43="","",IF(SUMIFS('Data Pura Producción'!AR$17:AR$531,'Data Pura Producción'!$R$17:$R$531,$Q43,'Data Pura Producción'!$Q$17:$Q$531,$R43)=0,"",SUMIFS('Data Pura Producción'!AR$17:AR$531,'Data Pura Producción'!$R$17:$R$531,$Q43,'Data Pura Producción'!$Q$17:$Q$531,$R43)))</f>
        <v/>
      </c>
      <c r="AH43" s="182" t="str">
        <f>+IF($Q43="","",IF(SUMIFS('Data Pura Producción'!AS$17:AS$531,'Data Pura Producción'!$R$17:$R$531,$Q43,'Data Pura Producción'!$Q$17:$Q$531,$R43)=0,"",SUMIFS('Data Pura Producción'!AS$17:AS$531,'Data Pura Producción'!$R$17:$R$531,$Q43,'Data Pura Producción'!$Q$17:$Q$531,$R43)))</f>
        <v/>
      </c>
      <c r="AI43" s="182" t="str">
        <f>+IF($Q43="","",IF(SUMIFS('Data Pura Producción'!AT$17:AT$531,'Data Pura Producción'!$R$17:$R$531,$Q43,'Data Pura Producción'!$Q$17:$Q$531,$R43)=0,"",SUMIFS('Data Pura Producción'!AT$17:AT$531,'Data Pura Producción'!$R$17:$R$531,$Q43,'Data Pura Producción'!$Q$17:$Q$531,$R43)))</f>
        <v/>
      </c>
      <c r="AJ43" s="182" t="str">
        <f>+IF($Q43="","",IF(SUMIFS('Data Pura Producción'!AU$17:AU$531,'Data Pura Producción'!$R$17:$R$531,$Q43,'Data Pura Producción'!$Q$17:$Q$531,$R43)=0,"",SUMIFS('Data Pura Producción'!AU$17:AU$531,'Data Pura Producción'!$R$17:$R$531,$Q43,'Data Pura Producción'!$Q$17:$Q$531,$R43)))</f>
        <v/>
      </c>
      <c r="AK43" s="182" t="str">
        <f>+IF($Q43="","",IF(SUMIFS('Data Pura Producción'!AV$17:AV$531,'Data Pura Producción'!$R$17:$R$531,$Q43,'Data Pura Producción'!$Q$17:$Q$531,$R43)=0,"",SUMIFS('Data Pura Producción'!AV$17:AV$531,'Data Pura Producción'!$R$17:$R$531,$Q43,'Data Pura Producción'!$Q$17:$Q$531,$R43)))</f>
        <v/>
      </c>
      <c r="AL43" s="182" t="str">
        <f>+IF($Q43="","",IF(SUMIFS('Data Pura Producción'!AW$17:AW$531,'Data Pura Producción'!$R$17:$R$531,$Q43,'Data Pura Producción'!$Q$17:$Q$531,$R43)=0,"",SUMIFS('Data Pura Producción'!AW$17:AW$531,'Data Pura Producción'!$R$17:$R$531,$Q43,'Data Pura Producción'!$Q$17:$Q$531,$R43)))</f>
        <v/>
      </c>
      <c r="AM43" s="337" t="str">
        <f>+IF($Q43="","",IF(SUMIFS('Data Pura Producción'!AX$17:AX$531,'Data Pura Producción'!$R$17:$R$531,$Q43,'Data Pura Producción'!$Q$17:$Q$531,$R43)=0,"",SUMIFS('Data Pura Producción'!AX$17:AX$531,'Data Pura Producción'!$R$17:$R$531,$Q43,'Data Pura Producción'!$Q$17:$Q$531,$R43)))</f>
        <v/>
      </c>
      <c r="AN43" s="187" t="str">
        <f t="shared" si="2"/>
        <v/>
      </c>
    </row>
    <row r="44" spans="2:40" s="7" customFormat="1" x14ac:dyDescent="0.35">
      <c r="B44" s="4" t="str">
        <f>+IF('Data Pura Costos'!B44="","",'Data Pura Costos'!B44)</f>
        <v>El Rosario</v>
      </c>
      <c r="C44" s="4" t="str">
        <f>+IF('Data Pura Costos'!C44="","",'Data Pura Costos'!C44)</f>
        <v>Linares, VII region.</v>
      </c>
      <c r="D44" s="5">
        <f>+IF('Data Pura Costos'!D44="","",'Data Pura Costos'!D44)</f>
        <v>260</v>
      </c>
      <c r="E44" s="65">
        <f>+IF('Data Pura Costos'!E44="","",IF('Data Pura Costos'!E44=0,MAX('Data Pura Costos'!$E$7:$E$3000)*1000,'Data Pura Costos'!E44))</f>
        <v>720000</v>
      </c>
      <c r="F44" s="5" t="str">
        <f>+IF('Data Pura Costos'!F44="","",'Data Pura Costos'!F44)</f>
        <v>Mostazal</v>
      </c>
      <c r="G44" s="5" t="str">
        <f>+IF('Data Pura Costos'!G44="","",'Data Pura Costos'!G44)</f>
        <v xml:space="preserve">GUSTAVO ZÚÑIGA </v>
      </c>
      <c r="H44" s="52" t="str">
        <f>+IF('Data Pura Costos'!H44="","",'Data Pura Costos'!H44)</f>
        <v>Termo</v>
      </c>
      <c r="I44" s="71">
        <f>+IF('Data Pura Costos'!I44="","",'Data Pura Costos'!I44)</f>
        <v>2769.2307692307691</v>
      </c>
      <c r="J44" s="52" t="str">
        <f>+IF('Data Pura Costos'!J44="","",'Data Pura Costos'!J44)</f>
        <v>24-25</v>
      </c>
      <c r="K44" s="82" t="str">
        <f t="shared" si="3"/>
        <v xml:space="preserve">El Rosario-Mostazal-GUSTAVO ZÚÑIGA </v>
      </c>
      <c r="M44" s="4"/>
      <c r="N44" s="5" t="str">
        <f>+IF(M44="","",INDEX('Parámetros Auxiliares'!$D$7:$D$65,MATCH(M44,'Parámetros Auxiliares'!$D$7:$D$65,0)))</f>
        <v/>
      </c>
      <c r="O44" s="259"/>
      <c r="P44" s="1" t="str">
        <f t="shared" si="1"/>
        <v/>
      </c>
      <c r="Q44" s="185"/>
      <c r="R44" s="332"/>
      <c r="S44" s="336" t="str">
        <f>+IF($Q44="","",IF(SUMIFS('Data Pura Producción'!AD$17:AD$531,'Data Pura Producción'!$R$17:$R$531,$Q44,'Data Pura Producción'!$Q$17:$Q$531,$R44)=0,"",SUMIFS('Data Pura Producción'!AD$17:AD$531,'Data Pura Producción'!$R$17:$R$531,$Q44,'Data Pura Producción'!$Q$17:$Q$531,$R44)))</f>
        <v/>
      </c>
      <c r="T44" s="182" t="str">
        <f>+IF($Q44="","",IF(SUMIFS('Data Pura Producción'!AE$17:AE$531,'Data Pura Producción'!$R$17:$R$531,$Q44,'Data Pura Producción'!$Q$17:$Q$531,$R44)=0,"",SUMIFS('Data Pura Producción'!AE$17:AE$531,'Data Pura Producción'!$R$17:$R$531,$Q44,'Data Pura Producción'!$Q$17:$Q$531,$R44)))</f>
        <v/>
      </c>
      <c r="U44" s="182" t="str">
        <f>+IF($Q44="","",IF(SUMIFS('Data Pura Producción'!AF$17:AF$531,'Data Pura Producción'!$R$17:$R$531,$Q44,'Data Pura Producción'!$Q$17:$Q$531,$R44)=0,"",SUMIFS('Data Pura Producción'!AF$17:AF$531,'Data Pura Producción'!$R$17:$R$531,$Q44,'Data Pura Producción'!$Q$17:$Q$531,$R44)))</f>
        <v/>
      </c>
      <c r="V44" s="182" t="str">
        <f>+IF($Q44="","",IF(SUMIFS('Data Pura Producción'!AG$17:AG$531,'Data Pura Producción'!$R$17:$R$531,$Q44,'Data Pura Producción'!$Q$17:$Q$531,$R44)=0,"",SUMIFS('Data Pura Producción'!AG$17:AG$531,'Data Pura Producción'!$R$17:$R$531,$Q44,'Data Pura Producción'!$Q$17:$Q$531,$R44)))</f>
        <v/>
      </c>
      <c r="W44" s="182" t="str">
        <f>+IF($Q44="","",IF(SUMIFS('Data Pura Producción'!AH$17:AH$531,'Data Pura Producción'!$R$17:$R$531,$Q44,'Data Pura Producción'!$Q$17:$Q$531,$R44)=0,"",SUMIFS('Data Pura Producción'!AH$17:AH$531,'Data Pura Producción'!$R$17:$R$531,$Q44,'Data Pura Producción'!$Q$17:$Q$531,$R44)))</f>
        <v/>
      </c>
      <c r="X44" s="182" t="str">
        <f>+IF($Q44="","",IF(SUMIFS('Data Pura Producción'!AI$17:AI$531,'Data Pura Producción'!$R$17:$R$531,$Q44,'Data Pura Producción'!$Q$17:$Q$531,$R44)=0,"",SUMIFS('Data Pura Producción'!AI$17:AI$531,'Data Pura Producción'!$R$17:$R$531,$Q44,'Data Pura Producción'!$Q$17:$Q$531,$R44)))</f>
        <v/>
      </c>
      <c r="Y44" s="182" t="str">
        <f>+IF($Q44="","",IF(SUMIFS('Data Pura Producción'!AJ$17:AJ$531,'Data Pura Producción'!$R$17:$R$531,$Q44,'Data Pura Producción'!$Q$17:$Q$531,$R44)=0,"",SUMIFS('Data Pura Producción'!AJ$17:AJ$531,'Data Pura Producción'!$R$17:$R$531,$Q44,'Data Pura Producción'!$Q$17:$Q$531,$R44)))</f>
        <v/>
      </c>
      <c r="Z44" s="182" t="str">
        <f>+IF($Q44="","",IF(SUMIFS('Data Pura Producción'!AK$17:AK$531,'Data Pura Producción'!$R$17:$R$531,$Q44,'Data Pura Producción'!$Q$17:$Q$531,$R44)=0,"",SUMIFS('Data Pura Producción'!AK$17:AK$531,'Data Pura Producción'!$R$17:$R$531,$Q44,'Data Pura Producción'!$Q$17:$Q$531,$R44)))</f>
        <v/>
      </c>
      <c r="AA44" s="182" t="str">
        <f>+IF($Q44="","",IF(SUMIFS('Data Pura Producción'!AL$17:AL$531,'Data Pura Producción'!$R$17:$R$531,$Q44,'Data Pura Producción'!$Q$17:$Q$531,$R44)=0,"",SUMIFS('Data Pura Producción'!AL$17:AL$531,'Data Pura Producción'!$R$17:$R$531,$Q44,'Data Pura Producción'!$Q$17:$Q$531,$R44)))</f>
        <v/>
      </c>
      <c r="AB44" s="182" t="str">
        <f>+IF($Q44="","",IF(SUMIFS('Data Pura Producción'!AM$17:AM$531,'Data Pura Producción'!$R$17:$R$531,$Q44,'Data Pura Producción'!$Q$17:$Q$531,$R44)=0,"",SUMIFS('Data Pura Producción'!AM$17:AM$531,'Data Pura Producción'!$R$17:$R$531,$Q44,'Data Pura Producción'!$Q$17:$Q$531,$R44)))</f>
        <v/>
      </c>
      <c r="AC44" s="182" t="str">
        <f>+IF($Q44="","",IF(SUMIFS('Data Pura Producción'!AN$17:AN$531,'Data Pura Producción'!$R$17:$R$531,$Q44,'Data Pura Producción'!$Q$17:$Q$531,$R44)=0,"",SUMIFS('Data Pura Producción'!AN$17:AN$531,'Data Pura Producción'!$R$17:$R$531,$Q44,'Data Pura Producción'!$Q$17:$Q$531,$R44)))</f>
        <v/>
      </c>
      <c r="AD44" s="182" t="str">
        <f>+IF($Q44="","",IF(SUMIFS('Data Pura Producción'!AO$17:AO$531,'Data Pura Producción'!$R$17:$R$531,$Q44,'Data Pura Producción'!$Q$17:$Q$531,$R44)=0,"",SUMIFS('Data Pura Producción'!AO$17:AO$531,'Data Pura Producción'!$R$17:$R$531,$Q44,'Data Pura Producción'!$Q$17:$Q$531,$R44)))</f>
        <v/>
      </c>
      <c r="AE44" s="182" t="str">
        <f>+IF($Q44="","",IF(SUMIFS('Data Pura Producción'!AP$17:AP$531,'Data Pura Producción'!$R$17:$R$531,$Q44,'Data Pura Producción'!$Q$17:$Q$531,$R44)=0,"",SUMIFS('Data Pura Producción'!AP$17:AP$531,'Data Pura Producción'!$R$17:$R$531,$Q44,'Data Pura Producción'!$Q$17:$Q$531,$R44)))</f>
        <v/>
      </c>
      <c r="AF44" s="182" t="str">
        <f>+IF($Q44="","",IF(SUMIFS('Data Pura Producción'!AQ$17:AQ$531,'Data Pura Producción'!$R$17:$R$531,$Q44,'Data Pura Producción'!$Q$17:$Q$531,$R44)=0,"",SUMIFS('Data Pura Producción'!AQ$17:AQ$531,'Data Pura Producción'!$R$17:$R$531,$Q44,'Data Pura Producción'!$Q$17:$Q$531,$R44)))</f>
        <v/>
      </c>
      <c r="AG44" s="182" t="str">
        <f>+IF($Q44="","",IF(SUMIFS('Data Pura Producción'!AR$17:AR$531,'Data Pura Producción'!$R$17:$R$531,$Q44,'Data Pura Producción'!$Q$17:$Q$531,$R44)=0,"",SUMIFS('Data Pura Producción'!AR$17:AR$531,'Data Pura Producción'!$R$17:$R$531,$Q44,'Data Pura Producción'!$Q$17:$Q$531,$R44)))</f>
        <v/>
      </c>
      <c r="AH44" s="182" t="str">
        <f>+IF($Q44="","",IF(SUMIFS('Data Pura Producción'!AS$17:AS$531,'Data Pura Producción'!$R$17:$R$531,$Q44,'Data Pura Producción'!$Q$17:$Q$531,$R44)=0,"",SUMIFS('Data Pura Producción'!AS$17:AS$531,'Data Pura Producción'!$R$17:$R$531,$Q44,'Data Pura Producción'!$Q$17:$Q$531,$R44)))</f>
        <v/>
      </c>
      <c r="AI44" s="182" t="str">
        <f>+IF($Q44="","",IF(SUMIFS('Data Pura Producción'!AT$17:AT$531,'Data Pura Producción'!$R$17:$R$531,$Q44,'Data Pura Producción'!$Q$17:$Q$531,$R44)=0,"",SUMIFS('Data Pura Producción'!AT$17:AT$531,'Data Pura Producción'!$R$17:$R$531,$Q44,'Data Pura Producción'!$Q$17:$Q$531,$R44)))</f>
        <v/>
      </c>
      <c r="AJ44" s="182" t="str">
        <f>+IF($Q44="","",IF(SUMIFS('Data Pura Producción'!AU$17:AU$531,'Data Pura Producción'!$R$17:$R$531,$Q44,'Data Pura Producción'!$Q$17:$Q$531,$R44)=0,"",SUMIFS('Data Pura Producción'!AU$17:AU$531,'Data Pura Producción'!$R$17:$R$531,$Q44,'Data Pura Producción'!$Q$17:$Q$531,$R44)))</f>
        <v/>
      </c>
      <c r="AK44" s="182" t="str">
        <f>+IF($Q44="","",IF(SUMIFS('Data Pura Producción'!AV$17:AV$531,'Data Pura Producción'!$R$17:$R$531,$Q44,'Data Pura Producción'!$Q$17:$Q$531,$R44)=0,"",SUMIFS('Data Pura Producción'!AV$17:AV$531,'Data Pura Producción'!$R$17:$R$531,$Q44,'Data Pura Producción'!$Q$17:$Q$531,$R44)))</f>
        <v/>
      </c>
      <c r="AL44" s="182" t="str">
        <f>+IF($Q44="","",IF(SUMIFS('Data Pura Producción'!AW$17:AW$531,'Data Pura Producción'!$R$17:$R$531,$Q44,'Data Pura Producción'!$Q$17:$Q$531,$R44)=0,"",SUMIFS('Data Pura Producción'!AW$17:AW$531,'Data Pura Producción'!$R$17:$R$531,$Q44,'Data Pura Producción'!$Q$17:$Q$531,$R44)))</f>
        <v/>
      </c>
      <c r="AM44" s="337" t="str">
        <f>+IF($Q44="","",IF(SUMIFS('Data Pura Producción'!AX$17:AX$531,'Data Pura Producción'!$R$17:$R$531,$Q44,'Data Pura Producción'!$Q$17:$Q$531,$R44)=0,"",SUMIFS('Data Pura Producción'!AX$17:AX$531,'Data Pura Producción'!$R$17:$R$531,$Q44,'Data Pura Producción'!$Q$17:$Q$531,$R44)))</f>
        <v/>
      </c>
      <c r="AN44" s="187" t="str">
        <f t="shared" si="2"/>
        <v/>
      </c>
    </row>
    <row r="45" spans="2:40" s="7" customFormat="1" x14ac:dyDescent="0.35">
      <c r="B45" s="4" t="str">
        <f>+IF('Data Pura Costos'!B45="","",'Data Pura Costos'!B45)</f>
        <v>El Retiro</v>
      </c>
      <c r="C45" s="4" t="str">
        <f>+IF('Data Pura Costos'!C45="","",'Data Pura Costos'!C45)</f>
        <v>Rosario, VI Region.</v>
      </c>
      <c r="D45" s="5">
        <f>+IF('Data Pura Costos'!D45="","",'Data Pura Costos'!D45)</f>
        <v>45</v>
      </c>
      <c r="E45" s="65">
        <f>+IF('Data Pura Costos'!E45="","",IF('Data Pura Costos'!E45=0,MAX('Data Pura Costos'!$E$7:$E$3000)*1000,'Data Pura Costos'!E45))</f>
        <v>320000</v>
      </c>
      <c r="F45" s="5" t="str">
        <f>+IF('Data Pura Costos'!F45="","",'Data Pura Costos'!F45)</f>
        <v>Mostazal</v>
      </c>
      <c r="G45" s="5" t="str">
        <f>+IF('Data Pura Costos'!G45="","",'Data Pura Costos'!G45)</f>
        <v xml:space="preserve">GUSTAVO ZÚÑIGA </v>
      </c>
      <c r="H45" s="52" t="str">
        <f>+IF('Data Pura Costos'!H45="","",'Data Pura Costos'!H45)</f>
        <v>Termo</v>
      </c>
      <c r="I45" s="71">
        <f>+IF('Data Pura Costos'!I45="","",'Data Pura Costos'!I45)</f>
        <v>7111.1111111111113</v>
      </c>
      <c r="J45" s="52" t="str">
        <f>+IF('Data Pura Costos'!J45="","",'Data Pura Costos'!J45)</f>
        <v>24-25</v>
      </c>
      <c r="K45" s="82" t="str">
        <f t="shared" si="3"/>
        <v xml:space="preserve">El Retiro-Mostazal-GUSTAVO ZÚÑIGA </v>
      </c>
      <c r="M45" s="4"/>
      <c r="N45" s="5" t="str">
        <f>+IF(M45="","",INDEX('Parámetros Auxiliares'!$D$7:$D$65,MATCH(M45,'Parámetros Auxiliares'!$D$7:$D$65,0)))</f>
        <v/>
      </c>
      <c r="O45" s="259"/>
      <c r="P45" s="1" t="str">
        <f t="shared" si="1"/>
        <v/>
      </c>
      <c r="Q45" s="185"/>
      <c r="R45" s="332"/>
      <c r="S45" s="336" t="str">
        <f>+IF($Q45="","",IF(SUMIFS('Data Pura Producción'!AD$17:AD$531,'Data Pura Producción'!$R$17:$R$531,$Q45,'Data Pura Producción'!$Q$17:$Q$531,$R45)=0,"",SUMIFS('Data Pura Producción'!AD$17:AD$531,'Data Pura Producción'!$R$17:$R$531,$Q45,'Data Pura Producción'!$Q$17:$Q$531,$R45)))</f>
        <v/>
      </c>
      <c r="T45" s="182" t="str">
        <f>+IF($Q45="","",IF(SUMIFS('Data Pura Producción'!AE$17:AE$531,'Data Pura Producción'!$R$17:$R$531,$Q45,'Data Pura Producción'!$Q$17:$Q$531,$R45)=0,"",SUMIFS('Data Pura Producción'!AE$17:AE$531,'Data Pura Producción'!$R$17:$R$531,$Q45,'Data Pura Producción'!$Q$17:$Q$531,$R45)))</f>
        <v/>
      </c>
      <c r="U45" s="182" t="str">
        <f>+IF($Q45="","",IF(SUMIFS('Data Pura Producción'!AF$17:AF$531,'Data Pura Producción'!$R$17:$R$531,$Q45,'Data Pura Producción'!$Q$17:$Q$531,$R45)=0,"",SUMIFS('Data Pura Producción'!AF$17:AF$531,'Data Pura Producción'!$R$17:$R$531,$Q45,'Data Pura Producción'!$Q$17:$Q$531,$R45)))</f>
        <v/>
      </c>
      <c r="V45" s="182" t="str">
        <f>+IF($Q45="","",IF(SUMIFS('Data Pura Producción'!AG$17:AG$531,'Data Pura Producción'!$R$17:$R$531,$Q45,'Data Pura Producción'!$Q$17:$Q$531,$R45)=0,"",SUMIFS('Data Pura Producción'!AG$17:AG$531,'Data Pura Producción'!$R$17:$R$531,$Q45,'Data Pura Producción'!$Q$17:$Q$531,$R45)))</f>
        <v/>
      </c>
      <c r="W45" s="182" t="str">
        <f>+IF($Q45="","",IF(SUMIFS('Data Pura Producción'!AH$17:AH$531,'Data Pura Producción'!$R$17:$R$531,$Q45,'Data Pura Producción'!$Q$17:$Q$531,$R45)=0,"",SUMIFS('Data Pura Producción'!AH$17:AH$531,'Data Pura Producción'!$R$17:$R$531,$Q45,'Data Pura Producción'!$Q$17:$Q$531,$R45)))</f>
        <v/>
      </c>
      <c r="X45" s="182" t="str">
        <f>+IF($Q45="","",IF(SUMIFS('Data Pura Producción'!AI$17:AI$531,'Data Pura Producción'!$R$17:$R$531,$Q45,'Data Pura Producción'!$Q$17:$Q$531,$R45)=0,"",SUMIFS('Data Pura Producción'!AI$17:AI$531,'Data Pura Producción'!$R$17:$R$531,$Q45,'Data Pura Producción'!$Q$17:$Q$531,$R45)))</f>
        <v/>
      </c>
      <c r="Y45" s="182" t="str">
        <f>+IF($Q45="","",IF(SUMIFS('Data Pura Producción'!AJ$17:AJ$531,'Data Pura Producción'!$R$17:$R$531,$Q45,'Data Pura Producción'!$Q$17:$Q$531,$R45)=0,"",SUMIFS('Data Pura Producción'!AJ$17:AJ$531,'Data Pura Producción'!$R$17:$R$531,$Q45,'Data Pura Producción'!$Q$17:$Q$531,$R45)))</f>
        <v/>
      </c>
      <c r="Z45" s="182" t="str">
        <f>+IF($Q45="","",IF(SUMIFS('Data Pura Producción'!AK$17:AK$531,'Data Pura Producción'!$R$17:$R$531,$Q45,'Data Pura Producción'!$Q$17:$Q$531,$R45)=0,"",SUMIFS('Data Pura Producción'!AK$17:AK$531,'Data Pura Producción'!$R$17:$R$531,$Q45,'Data Pura Producción'!$Q$17:$Q$531,$R45)))</f>
        <v/>
      </c>
      <c r="AA45" s="182" t="str">
        <f>+IF($Q45="","",IF(SUMIFS('Data Pura Producción'!AL$17:AL$531,'Data Pura Producción'!$R$17:$R$531,$Q45,'Data Pura Producción'!$Q$17:$Q$531,$R45)=0,"",SUMIFS('Data Pura Producción'!AL$17:AL$531,'Data Pura Producción'!$R$17:$R$531,$Q45,'Data Pura Producción'!$Q$17:$Q$531,$R45)))</f>
        <v/>
      </c>
      <c r="AB45" s="182" t="str">
        <f>+IF($Q45="","",IF(SUMIFS('Data Pura Producción'!AM$17:AM$531,'Data Pura Producción'!$R$17:$R$531,$Q45,'Data Pura Producción'!$Q$17:$Q$531,$R45)=0,"",SUMIFS('Data Pura Producción'!AM$17:AM$531,'Data Pura Producción'!$R$17:$R$531,$Q45,'Data Pura Producción'!$Q$17:$Q$531,$R45)))</f>
        <v/>
      </c>
      <c r="AC45" s="182" t="str">
        <f>+IF($Q45="","",IF(SUMIFS('Data Pura Producción'!AN$17:AN$531,'Data Pura Producción'!$R$17:$R$531,$Q45,'Data Pura Producción'!$Q$17:$Q$531,$R45)=0,"",SUMIFS('Data Pura Producción'!AN$17:AN$531,'Data Pura Producción'!$R$17:$R$531,$Q45,'Data Pura Producción'!$Q$17:$Q$531,$R45)))</f>
        <v/>
      </c>
      <c r="AD45" s="182" t="str">
        <f>+IF($Q45="","",IF(SUMIFS('Data Pura Producción'!AO$17:AO$531,'Data Pura Producción'!$R$17:$R$531,$Q45,'Data Pura Producción'!$Q$17:$Q$531,$R45)=0,"",SUMIFS('Data Pura Producción'!AO$17:AO$531,'Data Pura Producción'!$R$17:$R$531,$Q45,'Data Pura Producción'!$Q$17:$Q$531,$R45)))</f>
        <v/>
      </c>
      <c r="AE45" s="182" t="str">
        <f>+IF($Q45="","",IF(SUMIFS('Data Pura Producción'!AP$17:AP$531,'Data Pura Producción'!$R$17:$R$531,$Q45,'Data Pura Producción'!$Q$17:$Q$531,$R45)=0,"",SUMIFS('Data Pura Producción'!AP$17:AP$531,'Data Pura Producción'!$R$17:$R$531,$Q45,'Data Pura Producción'!$Q$17:$Q$531,$R45)))</f>
        <v/>
      </c>
      <c r="AF45" s="182" t="str">
        <f>+IF($Q45="","",IF(SUMIFS('Data Pura Producción'!AQ$17:AQ$531,'Data Pura Producción'!$R$17:$R$531,$Q45,'Data Pura Producción'!$Q$17:$Q$531,$R45)=0,"",SUMIFS('Data Pura Producción'!AQ$17:AQ$531,'Data Pura Producción'!$R$17:$R$531,$Q45,'Data Pura Producción'!$Q$17:$Q$531,$R45)))</f>
        <v/>
      </c>
      <c r="AG45" s="182" t="str">
        <f>+IF($Q45="","",IF(SUMIFS('Data Pura Producción'!AR$17:AR$531,'Data Pura Producción'!$R$17:$R$531,$Q45,'Data Pura Producción'!$Q$17:$Q$531,$R45)=0,"",SUMIFS('Data Pura Producción'!AR$17:AR$531,'Data Pura Producción'!$R$17:$R$531,$Q45,'Data Pura Producción'!$Q$17:$Q$531,$R45)))</f>
        <v/>
      </c>
      <c r="AH45" s="182" t="str">
        <f>+IF($Q45="","",IF(SUMIFS('Data Pura Producción'!AS$17:AS$531,'Data Pura Producción'!$R$17:$R$531,$Q45,'Data Pura Producción'!$Q$17:$Q$531,$R45)=0,"",SUMIFS('Data Pura Producción'!AS$17:AS$531,'Data Pura Producción'!$R$17:$R$531,$Q45,'Data Pura Producción'!$Q$17:$Q$531,$R45)))</f>
        <v/>
      </c>
      <c r="AI45" s="182" t="str">
        <f>+IF($Q45="","",IF(SUMIFS('Data Pura Producción'!AT$17:AT$531,'Data Pura Producción'!$R$17:$R$531,$Q45,'Data Pura Producción'!$Q$17:$Q$531,$R45)=0,"",SUMIFS('Data Pura Producción'!AT$17:AT$531,'Data Pura Producción'!$R$17:$R$531,$Q45,'Data Pura Producción'!$Q$17:$Q$531,$R45)))</f>
        <v/>
      </c>
      <c r="AJ45" s="182" t="str">
        <f>+IF($Q45="","",IF(SUMIFS('Data Pura Producción'!AU$17:AU$531,'Data Pura Producción'!$R$17:$R$531,$Q45,'Data Pura Producción'!$Q$17:$Q$531,$R45)=0,"",SUMIFS('Data Pura Producción'!AU$17:AU$531,'Data Pura Producción'!$R$17:$R$531,$Q45,'Data Pura Producción'!$Q$17:$Q$531,$R45)))</f>
        <v/>
      </c>
      <c r="AK45" s="182" t="str">
        <f>+IF($Q45="","",IF(SUMIFS('Data Pura Producción'!AV$17:AV$531,'Data Pura Producción'!$R$17:$R$531,$Q45,'Data Pura Producción'!$Q$17:$Q$531,$R45)=0,"",SUMIFS('Data Pura Producción'!AV$17:AV$531,'Data Pura Producción'!$R$17:$R$531,$Q45,'Data Pura Producción'!$Q$17:$Q$531,$R45)))</f>
        <v/>
      </c>
      <c r="AL45" s="182" t="str">
        <f>+IF($Q45="","",IF(SUMIFS('Data Pura Producción'!AW$17:AW$531,'Data Pura Producción'!$R$17:$R$531,$Q45,'Data Pura Producción'!$Q$17:$Q$531,$R45)=0,"",SUMIFS('Data Pura Producción'!AW$17:AW$531,'Data Pura Producción'!$R$17:$R$531,$Q45,'Data Pura Producción'!$Q$17:$Q$531,$R45)))</f>
        <v/>
      </c>
      <c r="AM45" s="337" t="str">
        <f>+IF($Q45="","",IF(SUMIFS('Data Pura Producción'!AX$17:AX$531,'Data Pura Producción'!$R$17:$R$531,$Q45,'Data Pura Producción'!$Q$17:$Q$531,$R45)=0,"",SUMIFS('Data Pura Producción'!AX$17:AX$531,'Data Pura Producción'!$R$17:$R$531,$Q45,'Data Pura Producción'!$Q$17:$Q$531,$R45)))</f>
        <v/>
      </c>
      <c r="AN45" s="187" t="str">
        <f t="shared" si="2"/>
        <v/>
      </c>
    </row>
    <row r="46" spans="2:40" s="7" customFormat="1" x14ac:dyDescent="0.35">
      <c r="B46" s="4" t="str">
        <f>+IF('Data Pura Costos'!B46="","",'Data Pura Costos'!B46)</f>
        <v>La Esperanza</v>
      </c>
      <c r="C46" s="4" t="str">
        <f>+IF('Data Pura Costos'!C46="","",'Data Pura Costos'!C46)</f>
        <v>Peumo, VI región</v>
      </c>
      <c r="D46" s="5">
        <f>+IF('Data Pura Costos'!D46="","",'Data Pura Costos'!D46)</f>
        <v>98</v>
      </c>
      <c r="E46" s="65">
        <f>+IF('Data Pura Costos'!E46="","",IF('Data Pura Costos'!E46=0,MAX('Data Pura Costos'!$E$7:$E$3000)*1000,'Data Pura Costos'!E46))</f>
        <v>380000</v>
      </c>
      <c r="F46" s="5" t="str">
        <f>+IF('Data Pura Costos'!F46="","",'Data Pura Costos'!F46)</f>
        <v>Mostazal</v>
      </c>
      <c r="G46" s="5" t="str">
        <f>+IF('Data Pura Costos'!G46="","",'Data Pura Costos'!G46)</f>
        <v xml:space="preserve">GUSTAVO ZÚÑIGA </v>
      </c>
      <c r="H46" s="52" t="str">
        <f>+IF('Data Pura Costos'!H46="","",'Data Pura Costos'!H46)</f>
        <v>Termo</v>
      </c>
      <c r="I46" s="71">
        <f>+IF('Data Pura Costos'!I46="","",'Data Pura Costos'!I46)</f>
        <v>3877.5510204081634</v>
      </c>
      <c r="J46" s="52" t="str">
        <f>+IF('Data Pura Costos'!J46="","",'Data Pura Costos'!J46)</f>
        <v>24-25</v>
      </c>
      <c r="K46" s="82" t="str">
        <f t="shared" si="3"/>
        <v xml:space="preserve">La Esperanza-Mostazal-GUSTAVO ZÚÑIGA </v>
      </c>
      <c r="M46" s="4"/>
      <c r="N46" s="5" t="str">
        <f>+IF(M46="","",INDEX('Parámetros Auxiliares'!$D$7:$D$65,MATCH(M46,'Parámetros Auxiliares'!$D$7:$D$65,0)))</f>
        <v/>
      </c>
      <c r="O46" s="259"/>
      <c r="P46" s="1" t="str">
        <f t="shared" si="1"/>
        <v/>
      </c>
      <c r="Q46" s="185"/>
      <c r="R46" s="332"/>
      <c r="S46" s="336" t="str">
        <f>+IF($Q46="","",IF(SUMIFS('Data Pura Producción'!AD$17:AD$531,'Data Pura Producción'!$R$17:$R$531,$Q46,'Data Pura Producción'!$Q$17:$Q$531,$R46)=0,"",SUMIFS('Data Pura Producción'!AD$17:AD$531,'Data Pura Producción'!$R$17:$R$531,$Q46,'Data Pura Producción'!$Q$17:$Q$531,$R46)))</f>
        <v/>
      </c>
      <c r="T46" s="182" t="str">
        <f>+IF($Q46="","",IF(SUMIFS('Data Pura Producción'!AE$17:AE$531,'Data Pura Producción'!$R$17:$R$531,$Q46,'Data Pura Producción'!$Q$17:$Q$531,$R46)=0,"",SUMIFS('Data Pura Producción'!AE$17:AE$531,'Data Pura Producción'!$R$17:$R$531,$Q46,'Data Pura Producción'!$Q$17:$Q$531,$R46)))</f>
        <v/>
      </c>
      <c r="U46" s="182" t="str">
        <f>+IF($Q46="","",IF(SUMIFS('Data Pura Producción'!AF$17:AF$531,'Data Pura Producción'!$R$17:$R$531,$Q46,'Data Pura Producción'!$Q$17:$Q$531,$R46)=0,"",SUMIFS('Data Pura Producción'!AF$17:AF$531,'Data Pura Producción'!$R$17:$R$531,$Q46,'Data Pura Producción'!$Q$17:$Q$531,$R46)))</f>
        <v/>
      </c>
      <c r="V46" s="182" t="str">
        <f>+IF($Q46="","",IF(SUMIFS('Data Pura Producción'!AG$17:AG$531,'Data Pura Producción'!$R$17:$R$531,$Q46,'Data Pura Producción'!$Q$17:$Q$531,$R46)=0,"",SUMIFS('Data Pura Producción'!AG$17:AG$531,'Data Pura Producción'!$R$17:$R$531,$Q46,'Data Pura Producción'!$Q$17:$Q$531,$R46)))</f>
        <v/>
      </c>
      <c r="W46" s="182" t="str">
        <f>+IF($Q46="","",IF(SUMIFS('Data Pura Producción'!AH$17:AH$531,'Data Pura Producción'!$R$17:$R$531,$Q46,'Data Pura Producción'!$Q$17:$Q$531,$R46)=0,"",SUMIFS('Data Pura Producción'!AH$17:AH$531,'Data Pura Producción'!$R$17:$R$531,$Q46,'Data Pura Producción'!$Q$17:$Q$531,$R46)))</f>
        <v/>
      </c>
      <c r="X46" s="182" t="str">
        <f>+IF($Q46="","",IF(SUMIFS('Data Pura Producción'!AI$17:AI$531,'Data Pura Producción'!$R$17:$R$531,$Q46,'Data Pura Producción'!$Q$17:$Q$531,$R46)=0,"",SUMIFS('Data Pura Producción'!AI$17:AI$531,'Data Pura Producción'!$R$17:$R$531,$Q46,'Data Pura Producción'!$Q$17:$Q$531,$R46)))</f>
        <v/>
      </c>
      <c r="Y46" s="182" t="str">
        <f>+IF($Q46="","",IF(SUMIFS('Data Pura Producción'!AJ$17:AJ$531,'Data Pura Producción'!$R$17:$R$531,$Q46,'Data Pura Producción'!$Q$17:$Q$531,$R46)=0,"",SUMIFS('Data Pura Producción'!AJ$17:AJ$531,'Data Pura Producción'!$R$17:$R$531,$Q46,'Data Pura Producción'!$Q$17:$Q$531,$R46)))</f>
        <v/>
      </c>
      <c r="Z46" s="182" t="str">
        <f>+IF($Q46="","",IF(SUMIFS('Data Pura Producción'!AK$17:AK$531,'Data Pura Producción'!$R$17:$R$531,$Q46,'Data Pura Producción'!$Q$17:$Q$531,$R46)=0,"",SUMIFS('Data Pura Producción'!AK$17:AK$531,'Data Pura Producción'!$R$17:$R$531,$Q46,'Data Pura Producción'!$Q$17:$Q$531,$R46)))</f>
        <v/>
      </c>
      <c r="AA46" s="182" t="str">
        <f>+IF($Q46="","",IF(SUMIFS('Data Pura Producción'!AL$17:AL$531,'Data Pura Producción'!$R$17:$R$531,$Q46,'Data Pura Producción'!$Q$17:$Q$531,$R46)=0,"",SUMIFS('Data Pura Producción'!AL$17:AL$531,'Data Pura Producción'!$R$17:$R$531,$Q46,'Data Pura Producción'!$Q$17:$Q$531,$R46)))</f>
        <v/>
      </c>
      <c r="AB46" s="182" t="str">
        <f>+IF($Q46="","",IF(SUMIFS('Data Pura Producción'!AM$17:AM$531,'Data Pura Producción'!$R$17:$R$531,$Q46,'Data Pura Producción'!$Q$17:$Q$531,$R46)=0,"",SUMIFS('Data Pura Producción'!AM$17:AM$531,'Data Pura Producción'!$R$17:$R$531,$Q46,'Data Pura Producción'!$Q$17:$Q$531,$R46)))</f>
        <v/>
      </c>
      <c r="AC46" s="182" t="str">
        <f>+IF($Q46="","",IF(SUMIFS('Data Pura Producción'!AN$17:AN$531,'Data Pura Producción'!$R$17:$R$531,$Q46,'Data Pura Producción'!$Q$17:$Q$531,$R46)=0,"",SUMIFS('Data Pura Producción'!AN$17:AN$531,'Data Pura Producción'!$R$17:$R$531,$Q46,'Data Pura Producción'!$Q$17:$Q$531,$R46)))</f>
        <v/>
      </c>
      <c r="AD46" s="182" t="str">
        <f>+IF($Q46="","",IF(SUMIFS('Data Pura Producción'!AO$17:AO$531,'Data Pura Producción'!$R$17:$R$531,$Q46,'Data Pura Producción'!$Q$17:$Q$531,$R46)=0,"",SUMIFS('Data Pura Producción'!AO$17:AO$531,'Data Pura Producción'!$R$17:$R$531,$Q46,'Data Pura Producción'!$Q$17:$Q$531,$R46)))</f>
        <v/>
      </c>
      <c r="AE46" s="182" t="str">
        <f>+IF($Q46="","",IF(SUMIFS('Data Pura Producción'!AP$17:AP$531,'Data Pura Producción'!$R$17:$R$531,$Q46,'Data Pura Producción'!$Q$17:$Q$531,$R46)=0,"",SUMIFS('Data Pura Producción'!AP$17:AP$531,'Data Pura Producción'!$R$17:$R$531,$Q46,'Data Pura Producción'!$Q$17:$Q$531,$R46)))</f>
        <v/>
      </c>
      <c r="AF46" s="182" t="str">
        <f>+IF($Q46="","",IF(SUMIFS('Data Pura Producción'!AQ$17:AQ$531,'Data Pura Producción'!$R$17:$R$531,$Q46,'Data Pura Producción'!$Q$17:$Q$531,$R46)=0,"",SUMIFS('Data Pura Producción'!AQ$17:AQ$531,'Data Pura Producción'!$R$17:$R$531,$Q46,'Data Pura Producción'!$Q$17:$Q$531,$R46)))</f>
        <v/>
      </c>
      <c r="AG46" s="182" t="str">
        <f>+IF($Q46="","",IF(SUMIFS('Data Pura Producción'!AR$17:AR$531,'Data Pura Producción'!$R$17:$R$531,$Q46,'Data Pura Producción'!$Q$17:$Q$531,$R46)=0,"",SUMIFS('Data Pura Producción'!AR$17:AR$531,'Data Pura Producción'!$R$17:$R$531,$Q46,'Data Pura Producción'!$Q$17:$Q$531,$R46)))</f>
        <v/>
      </c>
      <c r="AH46" s="182" t="str">
        <f>+IF($Q46="","",IF(SUMIFS('Data Pura Producción'!AS$17:AS$531,'Data Pura Producción'!$R$17:$R$531,$Q46,'Data Pura Producción'!$Q$17:$Q$531,$R46)=0,"",SUMIFS('Data Pura Producción'!AS$17:AS$531,'Data Pura Producción'!$R$17:$R$531,$Q46,'Data Pura Producción'!$Q$17:$Q$531,$R46)))</f>
        <v/>
      </c>
      <c r="AI46" s="182" t="str">
        <f>+IF($Q46="","",IF(SUMIFS('Data Pura Producción'!AT$17:AT$531,'Data Pura Producción'!$R$17:$R$531,$Q46,'Data Pura Producción'!$Q$17:$Q$531,$R46)=0,"",SUMIFS('Data Pura Producción'!AT$17:AT$531,'Data Pura Producción'!$R$17:$R$531,$Q46,'Data Pura Producción'!$Q$17:$Q$531,$R46)))</f>
        <v/>
      </c>
      <c r="AJ46" s="182" t="str">
        <f>+IF($Q46="","",IF(SUMIFS('Data Pura Producción'!AU$17:AU$531,'Data Pura Producción'!$R$17:$R$531,$Q46,'Data Pura Producción'!$Q$17:$Q$531,$R46)=0,"",SUMIFS('Data Pura Producción'!AU$17:AU$531,'Data Pura Producción'!$R$17:$R$531,$Q46,'Data Pura Producción'!$Q$17:$Q$531,$R46)))</f>
        <v/>
      </c>
      <c r="AK46" s="182" t="str">
        <f>+IF($Q46="","",IF(SUMIFS('Data Pura Producción'!AV$17:AV$531,'Data Pura Producción'!$R$17:$R$531,$Q46,'Data Pura Producción'!$Q$17:$Q$531,$R46)=0,"",SUMIFS('Data Pura Producción'!AV$17:AV$531,'Data Pura Producción'!$R$17:$R$531,$Q46,'Data Pura Producción'!$Q$17:$Q$531,$R46)))</f>
        <v/>
      </c>
      <c r="AL46" s="182" t="str">
        <f>+IF($Q46="","",IF(SUMIFS('Data Pura Producción'!AW$17:AW$531,'Data Pura Producción'!$R$17:$R$531,$Q46,'Data Pura Producción'!$Q$17:$Q$531,$R46)=0,"",SUMIFS('Data Pura Producción'!AW$17:AW$531,'Data Pura Producción'!$R$17:$R$531,$Q46,'Data Pura Producción'!$Q$17:$Q$531,$R46)))</f>
        <v/>
      </c>
      <c r="AM46" s="337" t="str">
        <f>+IF($Q46="","",IF(SUMIFS('Data Pura Producción'!AX$17:AX$531,'Data Pura Producción'!$R$17:$R$531,$Q46,'Data Pura Producción'!$Q$17:$Q$531,$R46)=0,"",SUMIFS('Data Pura Producción'!AX$17:AX$531,'Data Pura Producción'!$R$17:$R$531,$Q46,'Data Pura Producción'!$Q$17:$Q$531,$R46)))</f>
        <v/>
      </c>
      <c r="AN46" s="187" t="str">
        <f t="shared" si="2"/>
        <v/>
      </c>
    </row>
    <row r="47" spans="2:40" s="7" customFormat="1" x14ac:dyDescent="0.35">
      <c r="B47" s="4" t="str">
        <f>+IF('Data Pura Costos'!B47="","",'Data Pura Costos'!B47)</f>
        <v>La Estación</v>
      </c>
      <c r="C47" s="4" t="str">
        <f>+IF('Data Pura Costos'!C47="","",'Data Pura Costos'!C47)</f>
        <v>Palmilla, VI región</v>
      </c>
      <c r="D47" s="5">
        <f>+IF('Data Pura Costos'!D47="","",'Data Pura Costos'!D47)</f>
        <v>125</v>
      </c>
      <c r="E47" s="65">
        <f>+IF('Data Pura Costos'!E47="","",IF('Data Pura Costos'!E47=0,MAX('Data Pura Costos'!$E$7:$E$3000)*1000,'Data Pura Costos'!E47))</f>
        <v>420000</v>
      </c>
      <c r="F47" s="5" t="str">
        <f>+IF('Data Pura Costos'!F47="","",'Data Pura Costos'!F47)</f>
        <v>Mostazal</v>
      </c>
      <c r="G47" s="5" t="str">
        <f>+IF('Data Pura Costos'!G47="","",'Data Pura Costos'!G47)</f>
        <v xml:space="preserve">GUSTAVO ZÚÑIGA </v>
      </c>
      <c r="H47" s="52" t="str">
        <f>+IF('Data Pura Costos'!H47="","",'Data Pura Costos'!H47)</f>
        <v>Termo</v>
      </c>
      <c r="I47" s="71">
        <f>+IF('Data Pura Costos'!I47="","",'Data Pura Costos'!I47)</f>
        <v>3360</v>
      </c>
      <c r="J47" s="52" t="str">
        <f>+IF('Data Pura Costos'!J47="","",'Data Pura Costos'!J47)</f>
        <v>24-25</v>
      </c>
      <c r="K47" s="82" t="str">
        <f t="shared" si="3"/>
        <v xml:space="preserve">La Estación-Mostazal-GUSTAVO ZÚÑIGA </v>
      </c>
      <c r="M47" s="4"/>
      <c r="N47" s="5" t="str">
        <f>+IF(M47="","",INDEX('Parámetros Auxiliares'!$D$7:$D$65,MATCH(M47,'Parámetros Auxiliares'!$D$7:$D$65,0)))</f>
        <v/>
      </c>
      <c r="O47" s="259"/>
      <c r="P47" s="1" t="str">
        <f t="shared" si="1"/>
        <v/>
      </c>
      <c r="Q47" s="185"/>
      <c r="R47" s="332"/>
      <c r="S47" s="336" t="str">
        <f>+IF($Q47="","",IF(SUMIFS('Data Pura Producción'!AD$17:AD$531,'Data Pura Producción'!$R$17:$R$531,$Q47,'Data Pura Producción'!$Q$17:$Q$531,$R47)=0,"",SUMIFS('Data Pura Producción'!AD$17:AD$531,'Data Pura Producción'!$R$17:$R$531,$Q47,'Data Pura Producción'!$Q$17:$Q$531,$R47)))</f>
        <v/>
      </c>
      <c r="T47" s="182" t="str">
        <f>+IF($Q47="","",IF(SUMIFS('Data Pura Producción'!AE$17:AE$531,'Data Pura Producción'!$R$17:$R$531,$Q47,'Data Pura Producción'!$Q$17:$Q$531,$R47)=0,"",SUMIFS('Data Pura Producción'!AE$17:AE$531,'Data Pura Producción'!$R$17:$R$531,$Q47,'Data Pura Producción'!$Q$17:$Q$531,$R47)))</f>
        <v/>
      </c>
      <c r="U47" s="182" t="str">
        <f>+IF($Q47="","",IF(SUMIFS('Data Pura Producción'!AF$17:AF$531,'Data Pura Producción'!$R$17:$R$531,$Q47,'Data Pura Producción'!$Q$17:$Q$531,$R47)=0,"",SUMIFS('Data Pura Producción'!AF$17:AF$531,'Data Pura Producción'!$R$17:$R$531,$Q47,'Data Pura Producción'!$Q$17:$Q$531,$R47)))</f>
        <v/>
      </c>
      <c r="V47" s="182" t="str">
        <f>+IF($Q47="","",IF(SUMIFS('Data Pura Producción'!AG$17:AG$531,'Data Pura Producción'!$R$17:$R$531,$Q47,'Data Pura Producción'!$Q$17:$Q$531,$R47)=0,"",SUMIFS('Data Pura Producción'!AG$17:AG$531,'Data Pura Producción'!$R$17:$R$531,$Q47,'Data Pura Producción'!$Q$17:$Q$531,$R47)))</f>
        <v/>
      </c>
      <c r="W47" s="182" t="str">
        <f>+IF($Q47="","",IF(SUMIFS('Data Pura Producción'!AH$17:AH$531,'Data Pura Producción'!$R$17:$R$531,$Q47,'Data Pura Producción'!$Q$17:$Q$531,$R47)=0,"",SUMIFS('Data Pura Producción'!AH$17:AH$531,'Data Pura Producción'!$R$17:$R$531,$Q47,'Data Pura Producción'!$Q$17:$Q$531,$R47)))</f>
        <v/>
      </c>
      <c r="X47" s="182" t="str">
        <f>+IF($Q47="","",IF(SUMIFS('Data Pura Producción'!AI$17:AI$531,'Data Pura Producción'!$R$17:$R$531,$Q47,'Data Pura Producción'!$Q$17:$Q$531,$R47)=0,"",SUMIFS('Data Pura Producción'!AI$17:AI$531,'Data Pura Producción'!$R$17:$R$531,$Q47,'Data Pura Producción'!$Q$17:$Q$531,$R47)))</f>
        <v/>
      </c>
      <c r="Y47" s="182" t="str">
        <f>+IF($Q47="","",IF(SUMIFS('Data Pura Producción'!AJ$17:AJ$531,'Data Pura Producción'!$R$17:$R$531,$Q47,'Data Pura Producción'!$Q$17:$Q$531,$R47)=0,"",SUMIFS('Data Pura Producción'!AJ$17:AJ$531,'Data Pura Producción'!$R$17:$R$531,$Q47,'Data Pura Producción'!$Q$17:$Q$531,$R47)))</f>
        <v/>
      </c>
      <c r="Z47" s="182" t="str">
        <f>+IF($Q47="","",IF(SUMIFS('Data Pura Producción'!AK$17:AK$531,'Data Pura Producción'!$R$17:$R$531,$Q47,'Data Pura Producción'!$Q$17:$Q$531,$R47)=0,"",SUMIFS('Data Pura Producción'!AK$17:AK$531,'Data Pura Producción'!$R$17:$R$531,$Q47,'Data Pura Producción'!$Q$17:$Q$531,$R47)))</f>
        <v/>
      </c>
      <c r="AA47" s="182" t="str">
        <f>+IF($Q47="","",IF(SUMIFS('Data Pura Producción'!AL$17:AL$531,'Data Pura Producción'!$R$17:$R$531,$Q47,'Data Pura Producción'!$Q$17:$Q$531,$R47)=0,"",SUMIFS('Data Pura Producción'!AL$17:AL$531,'Data Pura Producción'!$R$17:$R$531,$Q47,'Data Pura Producción'!$Q$17:$Q$531,$R47)))</f>
        <v/>
      </c>
      <c r="AB47" s="182" t="str">
        <f>+IF($Q47="","",IF(SUMIFS('Data Pura Producción'!AM$17:AM$531,'Data Pura Producción'!$R$17:$R$531,$Q47,'Data Pura Producción'!$Q$17:$Q$531,$R47)=0,"",SUMIFS('Data Pura Producción'!AM$17:AM$531,'Data Pura Producción'!$R$17:$R$531,$Q47,'Data Pura Producción'!$Q$17:$Q$531,$R47)))</f>
        <v/>
      </c>
      <c r="AC47" s="182" t="str">
        <f>+IF($Q47="","",IF(SUMIFS('Data Pura Producción'!AN$17:AN$531,'Data Pura Producción'!$R$17:$R$531,$Q47,'Data Pura Producción'!$Q$17:$Q$531,$R47)=0,"",SUMIFS('Data Pura Producción'!AN$17:AN$531,'Data Pura Producción'!$R$17:$R$531,$Q47,'Data Pura Producción'!$Q$17:$Q$531,$R47)))</f>
        <v/>
      </c>
      <c r="AD47" s="182" t="str">
        <f>+IF($Q47="","",IF(SUMIFS('Data Pura Producción'!AO$17:AO$531,'Data Pura Producción'!$R$17:$R$531,$Q47,'Data Pura Producción'!$Q$17:$Q$531,$R47)=0,"",SUMIFS('Data Pura Producción'!AO$17:AO$531,'Data Pura Producción'!$R$17:$R$531,$Q47,'Data Pura Producción'!$Q$17:$Q$531,$R47)))</f>
        <v/>
      </c>
      <c r="AE47" s="182" t="str">
        <f>+IF($Q47="","",IF(SUMIFS('Data Pura Producción'!AP$17:AP$531,'Data Pura Producción'!$R$17:$R$531,$Q47,'Data Pura Producción'!$Q$17:$Q$531,$R47)=0,"",SUMIFS('Data Pura Producción'!AP$17:AP$531,'Data Pura Producción'!$R$17:$R$531,$Q47,'Data Pura Producción'!$Q$17:$Q$531,$R47)))</f>
        <v/>
      </c>
      <c r="AF47" s="182" t="str">
        <f>+IF($Q47="","",IF(SUMIFS('Data Pura Producción'!AQ$17:AQ$531,'Data Pura Producción'!$R$17:$R$531,$Q47,'Data Pura Producción'!$Q$17:$Q$531,$R47)=0,"",SUMIFS('Data Pura Producción'!AQ$17:AQ$531,'Data Pura Producción'!$R$17:$R$531,$Q47,'Data Pura Producción'!$Q$17:$Q$531,$R47)))</f>
        <v/>
      </c>
      <c r="AG47" s="182" t="str">
        <f>+IF($Q47="","",IF(SUMIFS('Data Pura Producción'!AR$17:AR$531,'Data Pura Producción'!$R$17:$R$531,$Q47,'Data Pura Producción'!$Q$17:$Q$531,$R47)=0,"",SUMIFS('Data Pura Producción'!AR$17:AR$531,'Data Pura Producción'!$R$17:$R$531,$Q47,'Data Pura Producción'!$Q$17:$Q$531,$R47)))</f>
        <v/>
      </c>
      <c r="AH47" s="182" t="str">
        <f>+IF($Q47="","",IF(SUMIFS('Data Pura Producción'!AS$17:AS$531,'Data Pura Producción'!$R$17:$R$531,$Q47,'Data Pura Producción'!$Q$17:$Q$531,$R47)=0,"",SUMIFS('Data Pura Producción'!AS$17:AS$531,'Data Pura Producción'!$R$17:$R$531,$Q47,'Data Pura Producción'!$Q$17:$Q$531,$R47)))</f>
        <v/>
      </c>
      <c r="AI47" s="182" t="str">
        <f>+IF($Q47="","",IF(SUMIFS('Data Pura Producción'!AT$17:AT$531,'Data Pura Producción'!$R$17:$R$531,$Q47,'Data Pura Producción'!$Q$17:$Q$531,$R47)=0,"",SUMIFS('Data Pura Producción'!AT$17:AT$531,'Data Pura Producción'!$R$17:$R$531,$Q47,'Data Pura Producción'!$Q$17:$Q$531,$R47)))</f>
        <v/>
      </c>
      <c r="AJ47" s="182" t="str">
        <f>+IF($Q47="","",IF(SUMIFS('Data Pura Producción'!AU$17:AU$531,'Data Pura Producción'!$R$17:$R$531,$Q47,'Data Pura Producción'!$Q$17:$Q$531,$R47)=0,"",SUMIFS('Data Pura Producción'!AU$17:AU$531,'Data Pura Producción'!$R$17:$R$531,$Q47,'Data Pura Producción'!$Q$17:$Q$531,$R47)))</f>
        <v/>
      </c>
      <c r="AK47" s="182" t="str">
        <f>+IF($Q47="","",IF(SUMIFS('Data Pura Producción'!AV$17:AV$531,'Data Pura Producción'!$R$17:$R$531,$Q47,'Data Pura Producción'!$Q$17:$Q$531,$R47)=0,"",SUMIFS('Data Pura Producción'!AV$17:AV$531,'Data Pura Producción'!$R$17:$R$531,$Q47,'Data Pura Producción'!$Q$17:$Q$531,$R47)))</f>
        <v/>
      </c>
      <c r="AL47" s="182" t="str">
        <f>+IF($Q47="","",IF(SUMIFS('Data Pura Producción'!AW$17:AW$531,'Data Pura Producción'!$R$17:$R$531,$Q47,'Data Pura Producción'!$Q$17:$Q$531,$R47)=0,"",SUMIFS('Data Pura Producción'!AW$17:AW$531,'Data Pura Producción'!$R$17:$R$531,$Q47,'Data Pura Producción'!$Q$17:$Q$531,$R47)))</f>
        <v/>
      </c>
      <c r="AM47" s="337" t="str">
        <f>+IF($Q47="","",IF(SUMIFS('Data Pura Producción'!AX$17:AX$531,'Data Pura Producción'!$R$17:$R$531,$Q47,'Data Pura Producción'!$Q$17:$Q$531,$R47)=0,"",SUMIFS('Data Pura Producción'!AX$17:AX$531,'Data Pura Producción'!$R$17:$R$531,$Q47,'Data Pura Producción'!$Q$17:$Q$531,$R47)))</f>
        <v/>
      </c>
      <c r="AN47" s="187" t="str">
        <f t="shared" si="2"/>
        <v/>
      </c>
    </row>
    <row r="48" spans="2:40" s="7" customFormat="1" x14ac:dyDescent="0.35">
      <c r="B48" s="4" t="str">
        <f>+IF('Data Pura Costos'!B48="","",'Data Pura Costos'!B48)</f>
        <v>La Lajuela</v>
      </c>
      <c r="C48" s="4" t="str">
        <f>+IF('Data Pura Costos'!C48="","",'Data Pura Costos'!C48)</f>
        <v>Santa Cruz, VI Región</v>
      </c>
      <c r="D48" s="5">
        <f>+IF('Data Pura Costos'!D48="","",'Data Pura Costos'!D48)</f>
        <v>128</v>
      </c>
      <c r="E48" s="65">
        <f>+IF('Data Pura Costos'!E48="","",IF('Data Pura Costos'!E48=0,MAX('Data Pura Costos'!$E$7:$E$3000)*1000,'Data Pura Costos'!E48))</f>
        <v>420000</v>
      </c>
      <c r="F48" s="5" t="str">
        <f>+IF('Data Pura Costos'!F48="","",'Data Pura Costos'!F48)</f>
        <v>Mostazal</v>
      </c>
      <c r="G48" s="5" t="str">
        <f>+IF('Data Pura Costos'!G48="","",'Data Pura Costos'!G48)</f>
        <v xml:space="preserve">GUSTAVO ZÚÑIGA </v>
      </c>
      <c r="H48" s="52" t="str">
        <f>+IF('Data Pura Costos'!H48="","",'Data Pura Costos'!H48)</f>
        <v>Termo</v>
      </c>
      <c r="I48" s="71">
        <f>+IF('Data Pura Costos'!I48="","",'Data Pura Costos'!I48)</f>
        <v>3281.25</v>
      </c>
      <c r="J48" s="52" t="str">
        <f>+IF('Data Pura Costos'!J48="","",'Data Pura Costos'!J48)</f>
        <v>24-25</v>
      </c>
      <c r="K48" s="82" t="str">
        <f t="shared" si="3"/>
        <v xml:space="preserve">La Lajuela-Mostazal-GUSTAVO ZÚÑIGA </v>
      </c>
      <c r="M48" s="4"/>
      <c r="N48" s="5" t="str">
        <f>+IF(M48="","",INDEX('Parámetros Auxiliares'!$D$7:$D$65,MATCH(M48,'Parámetros Auxiliares'!$D$7:$D$65,0)))</f>
        <v/>
      </c>
      <c r="O48" s="259"/>
      <c r="P48" s="1" t="str">
        <f t="shared" si="1"/>
        <v/>
      </c>
      <c r="Q48" s="185"/>
      <c r="R48" s="332"/>
      <c r="S48" s="336" t="str">
        <f>+IF($Q48="","",IF(SUMIFS('Data Pura Producción'!AD$17:AD$531,'Data Pura Producción'!$R$17:$R$531,$Q48,'Data Pura Producción'!$Q$17:$Q$531,$R48)=0,"",SUMIFS('Data Pura Producción'!AD$17:AD$531,'Data Pura Producción'!$R$17:$R$531,$Q48,'Data Pura Producción'!$Q$17:$Q$531,$R48)))</f>
        <v/>
      </c>
      <c r="T48" s="182" t="str">
        <f>+IF($Q48="","",IF(SUMIFS('Data Pura Producción'!AE$17:AE$531,'Data Pura Producción'!$R$17:$R$531,$Q48,'Data Pura Producción'!$Q$17:$Q$531,$R48)=0,"",SUMIFS('Data Pura Producción'!AE$17:AE$531,'Data Pura Producción'!$R$17:$R$531,$Q48,'Data Pura Producción'!$Q$17:$Q$531,$R48)))</f>
        <v/>
      </c>
      <c r="U48" s="182" t="str">
        <f>+IF($Q48="","",IF(SUMIFS('Data Pura Producción'!AF$17:AF$531,'Data Pura Producción'!$R$17:$R$531,$Q48,'Data Pura Producción'!$Q$17:$Q$531,$R48)=0,"",SUMIFS('Data Pura Producción'!AF$17:AF$531,'Data Pura Producción'!$R$17:$R$531,$Q48,'Data Pura Producción'!$Q$17:$Q$531,$R48)))</f>
        <v/>
      </c>
      <c r="V48" s="182" t="str">
        <f>+IF($Q48="","",IF(SUMIFS('Data Pura Producción'!AG$17:AG$531,'Data Pura Producción'!$R$17:$R$531,$Q48,'Data Pura Producción'!$Q$17:$Q$531,$R48)=0,"",SUMIFS('Data Pura Producción'!AG$17:AG$531,'Data Pura Producción'!$R$17:$R$531,$Q48,'Data Pura Producción'!$Q$17:$Q$531,$R48)))</f>
        <v/>
      </c>
      <c r="W48" s="182" t="str">
        <f>+IF($Q48="","",IF(SUMIFS('Data Pura Producción'!AH$17:AH$531,'Data Pura Producción'!$R$17:$R$531,$Q48,'Data Pura Producción'!$Q$17:$Q$531,$R48)=0,"",SUMIFS('Data Pura Producción'!AH$17:AH$531,'Data Pura Producción'!$R$17:$R$531,$Q48,'Data Pura Producción'!$Q$17:$Q$531,$R48)))</f>
        <v/>
      </c>
      <c r="X48" s="182" t="str">
        <f>+IF($Q48="","",IF(SUMIFS('Data Pura Producción'!AI$17:AI$531,'Data Pura Producción'!$R$17:$R$531,$Q48,'Data Pura Producción'!$Q$17:$Q$531,$R48)=0,"",SUMIFS('Data Pura Producción'!AI$17:AI$531,'Data Pura Producción'!$R$17:$R$531,$Q48,'Data Pura Producción'!$Q$17:$Q$531,$R48)))</f>
        <v/>
      </c>
      <c r="Y48" s="182" t="str">
        <f>+IF($Q48="","",IF(SUMIFS('Data Pura Producción'!AJ$17:AJ$531,'Data Pura Producción'!$R$17:$R$531,$Q48,'Data Pura Producción'!$Q$17:$Q$531,$R48)=0,"",SUMIFS('Data Pura Producción'!AJ$17:AJ$531,'Data Pura Producción'!$R$17:$R$531,$Q48,'Data Pura Producción'!$Q$17:$Q$531,$R48)))</f>
        <v/>
      </c>
      <c r="Z48" s="182" t="str">
        <f>+IF($Q48="","",IF(SUMIFS('Data Pura Producción'!AK$17:AK$531,'Data Pura Producción'!$R$17:$R$531,$Q48,'Data Pura Producción'!$Q$17:$Q$531,$R48)=0,"",SUMIFS('Data Pura Producción'!AK$17:AK$531,'Data Pura Producción'!$R$17:$R$531,$Q48,'Data Pura Producción'!$Q$17:$Q$531,$R48)))</f>
        <v/>
      </c>
      <c r="AA48" s="182" t="str">
        <f>+IF($Q48="","",IF(SUMIFS('Data Pura Producción'!AL$17:AL$531,'Data Pura Producción'!$R$17:$R$531,$Q48,'Data Pura Producción'!$Q$17:$Q$531,$R48)=0,"",SUMIFS('Data Pura Producción'!AL$17:AL$531,'Data Pura Producción'!$R$17:$R$531,$Q48,'Data Pura Producción'!$Q$17:$Q$531,$R48)))</f>
        <v/>
      </c>
      <c r="AB48" s="182" t="str">
        <f>+IF($Q48="","",IF(SUMIFS('Data Pura Producción'!AM$17:AM$531,'Data Pura Producción'!$R$17:$R$531,$Q48,'Data Pura Producción'!$Q$17:$Q$531,$R48)=0,"",SUMIFS('Data Pura Producción'!AM$17:AM$531,'Data Pura Producción'!$R$17:$R$531,$Q48,'Data Pura Producción'!$Q$17:$Q$531,$R48)))</f>
        <v/>
      </c>
      <c r="AC48" s="182" t="str">
        <f>+IF($Q48="","",IF(SUMIFS('Data Pura Producción'!AN$17:AN$531,'Data Pura Producción'!$R$17:$R$531,$Q48,'Data Pura Producción'!$Q$17:$Q$531,$R48)=0,"",SUMIFS('Data Pura Producción'!AN$17:AN$531,'Data Pura Producción'!$R$17:$R$531,$Q48,'Data Pura Producción'!$Q$17:$Q$531,$R48)))</f>
        <v/>
      </c>
      <c r="AD48" s="182" t="str">
        <f>+IF($Q48="","",IF(SUMIFS('Data Pura Producción'!AO$17:AO$531,'Data Pura Producción'!$R$17:$R$531,$Q48,'Data Pura Producción'!$Q$17:$Q$531,$R48)=0,"",SUMIFS('Data Pura Producción'!AO$17:AO$531,'Data Pura Producción'!$R$17:$R$531,$Q48,'Data Pura Producción'!$Q$17:$Q$531,$R48)))</f>
        <v/>
      </c>
      <c r="AE48" s="182" t="str">
        <f>+IF($Q48="","",IF(SUMIFS('Data Pura Producción'!AP$17:AP$531,'Data Pura Producción'!$R$17:$R$531,$Q48,'Data Pura Producción'!$Q$17:$Q$531,$R48)=0,"",SUMIFS('Data Pura Producción'!AP$17:AP$531,'Data Pura Producción'!$R$17:$R$531,$Q48,'Data Pura Producción'!$Q$17:$Q$531,$R48)))</f>
        <v/>
      </c>
      <c r="AF48" s="182" t="str">
        <f>+IF($Q48="","",IF(SUMIFS('Data Pura Producción'!AQ$17:AQ$531,'Data Pura Producción'!$R$17:$R$531,$Q48,'Data Pura Producción'!$Q$17:$Q$531,$R48)=0,"",SUMIFS('Data Pura Producción'!AQ$17:AQ$531,'Data Pura Producción'!$R$17:$R$531,$Q48,'Data Pura Producción'!$Q$17:$Q$531,$R48)))</f>
        <v/>
      </c>
      <c r="AG48" s="182" t="str">
        <f>+IF($Q48="","",IF(SUMIFS('Data Pura Producción'!AR$17:AR$531,'Data Pura Producción'!$R$17:$R$531,$Q48,'Data Pura Producción'!$Q$17:$Q$531,$R48)=0,"",SUMIFS('Data Pura Producción'!AR$17:AR$531,'Data Pura Producción'!$R$17:$R$531,$Q48,'Data Pura Producción'!$Q$17:$Q$531,$R48)))</f>
        <v/>
      </c>
      <c r="AH48" s="182" t="str">
        <f>+IF($Q48="","",IF(SUMIFS('Data Pura Producción'!AS$17:AS$531,'Data Pura Producción'!$R$17:$R$531,$Q48,'Data Pura Producción'!$Q$17:$Q$531,$R48)=0,"",SUMIFS('Data Pura Producción'!AS$17:AS$531,'Data Pura Producción'!$R$17:$R$531,$Q48,'Data Pura Producción'!$Q$17:$Q$531,$R48)))</f>
        <v/>
      </c>
      <c r="AI48" s="182" t="str">
        <f>+IF($Q48="","",IF(SUMIFS('Data Pura Producción'!AT$17:AT$531,'Data Pura Producción'!$R$17:$R$531,$Q48,'Data Pura Producción'!$Q$17:$Q$531,$R48)=0,"",SUMIFS('Data Pura Producción'!AT$17:AT$531,'Data Pura Producción'!$R$17:$R$531,$Q48,'Data Pura Producción'!$Q$17:$Q$531,$R48)))</f>
        <v/>
      </c>
      <c r="AJ48" s="182" t="str">
        <f>+IF($Q48="","",IF(SUMIFS('Data Pura Producción'!AU$17:AU$531,'Data Pura Producción'!$R$17:$R$531,$Q48,'Data Pura Producción'!$Q$17:$Q$531,$R48)=0,"",SUMIFS('Data Pura Producción'!AU$17:AU$531,'Data Pura Producción'!$R$17:$R$531,$Q48,'Data Pura Producción'!$Q$17:$Q$531,$R48)))</f>
        <v/>
      </c>
      <c r="AK48" s="182" t="str">
        <f>+IF($Q48="","",IF(SUMIFS('Data Pura Producción'!AV$17:AV$531,'Data Pura Producción'!$R$17:$R$531,$Q48,'Data Pura Producción'!$Q$17:$Q$531,$R48)=0,"",SUMIFS('Data Pura Producción'!AV$17:AV$531,'Data Pura Producción'!$R$17:$R$531,$Q48,'Data Pura Producción'!$Q$17:$Q$531,$R48)))</f>
        <v/>
      </c>
      <c r="AL48" s="182" t="str">
        <f>+IF($Q48="","",IF(SUMIFS('Data Pura Producción'!AW$17:AW$531,'Data Pura Producción'!$R$17:$R$531,$Q48,'Data Pura Producción'!$Q$17:$Q$531,$R48)=0,"",SUMIFS('Data Pura Producción'!AW$17:AW$531,'Data Pura Producción'!$R$17:$R$531,$Q48,'Data Pura Producción'!$Q$17:$Q$531,$R48)))</f>
        <v/>
      </c>
      <c r="AM48" s="337" t="str">
        <f>+IF($Q48="","",IF(SUMIFS('Data Pura Producción'!AX$17:AX$531,'Data Pura Producción'!$R$17:$R$531,$Q48,'Data Pura Producción'!$Q$17:$Q$531,$R48)=0,"",SUMIFS('Data Pura Producción'!AX$17:AX$531,'Data Pura Producción'!$R$17:$R$531,$Q48,'Data Pura Producción'!$Q$17:$Q$531,$R48)))</f>
        <v/>
      </c>
      <c r="AN48" s="187" t="str">
        <f t="shared" si="2"/>
        <v/>
      </c>
    </row>
    <row r="49" spans="2:40" s="7" customFormat="1" x14ac:dyDescent="0.35">
      <c r="B49" s="4" t="str">
        <f>+IF('Data Pura Costos'!B49="","",'Data Pura Costos'!B49)</f>
        <v>La Morera</v>
      </c>
      <c r="C49" s="4" t="str">
        <f>+IF('Data Pura Costos'!C49="","",'Data Pura Costos'!C49)</f>
        <v>La compañia, VI Region.</v>
      </c>
      <c r="D49" s="5">
        <f>+IF('Data Pura Costos'!D49="","",'Data Pura Costos'!D49)</f>
        <v>16</v>
      </c>
      <c r="E49" s="65">
        <f>+IF('Data Pura Costos'!E49="","",IF('Data Pura Costos'!E49=0,MAX('Data Pura Costos'!$E$7:$E$3000)*1000,'Data Pura Costos'!E49))</f>
        <v>280000</v>
      </c>
      <c r="F49" s="5" t="str">
        <f>+IF('Data Pura Costos'!F49="","",'Data Pura Costos'!F49)</f>
        <v>Mostazal</v>
      </c>
      <c r="G49" s="5" t="str">
        <f>+IF('Data Pura Costos'!G49="","",'Data Pura Costos'!G49)</f>
        <v xml:space="preserve">GUSTAVO ZÚÑIGA </v>
      </c>
      <c r="H49" s="52" t="str">
        <f>+IF('Data Pura Costos'!H49="","",'Data Pura Costos'!H49)</f>
        <v>Termo</v>
      </c>
      <c r="I49" s="71">
        <f>+IF('Data Pura Costos'!I49="","",'Data Pura Costos'!I49)</f>
        <v>17500</v>
      </c>
      <c r="J49" s="52" t="str">
        <f>+IF('Data Pura Costos'!J49="","",'Data Pura Costos'!J49)</f>
        <v>24-25</v>
      </c>
      <c r="K49" s="82" t="str">
        <f t="shared" si="3"/>
        <v xml:space="preserve">La Morera-Mostazal-GUSTAVO ZÚÑIGA </v>
      </c>
      <c r="M49" s="4"/>
      <c r="N49" s="5" t="str">
        <f>+IF(M49="","",INDEX('Parámetros Auxiliares'!$D$7:$D$65,MATCH(M49,'Parámetros Auxiliares'!$D$7:$D$65,0)))</f>
        <v/>
      </c>
      <c r="O49" s="259"/>
      <c r="P49" s="1" t="str">
        <f t="shared" si="1"/>
        <v/>
      </c>
      <c r="Q49" s="185"/>
      <c r="R49" s="332"/>
      <c r="S49" s="336" t="str">
        <f>+IF($Q49="","",IF(SUMIFS('Data Pura Producción'!AD$17:AD$531,'Data Pura Producción'!$R$17:$R$531,$Q49,'Data Pura Producción'!$Q$17:$Q$531,$R49)=0,"",SUMIFS('Data Pura Producción'!AD$17:AD$531,'Data Pura Producción'!$R$17:$R$531,$Q49,'Data Pura Producción'!$Q$17:$Q$531,$R49)))</f>
        <v/>
      </c>
      <c r="T49" s="182" t="str">
        <f>+IF($Q49="","",IF(SUMIFS('Data Pura Producción'!AE$17:AE$531,'Data Pura Producción'!$R$17:$R$531,$Q49,'Data Pura Producción'!$Q$17:$Q$531,$R49)=0,"",SUMIFS('Data Pura Producción'!AE$17:AE$531,'Data Pura Producción'!$R$17:$R$531,$Q49,'Data Pura Producción'!$Q$17:$Q$531,$R49)))</f>
        <v/>
      </c>
      <c r="U49" s="182" t="str">
        <f>+IF($Q49="","",IF(SUMIFS('Data Pura Producción'!AF$17:AF$531,'Data Pura Producción'!$R$17:$R$531,$Q49,'Data Pura Producción'!$Q$17:$Q$531,$R49)=0,"",SUMIFS('Data Pura Producción'!AF$17:AF$531,'Data Pura Producción'!$R$17:$R$531,$Q49,'Data Pura Producción'!$Q$17:$Q$531,$R49)))</f>
        <v/>
      </c>
      <c r="V49" s="182" t="str">
        <f>+IF($Q49="","",IF(SUMIFS('Data Pura Producción'!AG$17:AG$531,'Data Pura Producción'!$R$17:$R$531,$Q49,'Data Pura Producción'!$Q$17:$Q$531,$R49)=0,"",SUMIFS('Data Pura Producción'!AG$17:AG$531,'Data Pura Producción'!$R$17:$R$531,$Q49,'Data Pura Producción'!$Q$17:$Q$531,$R49)))</f>
        <v/>
      </c>
      <c r="W49" s="182" t="str">
        <f>+IF($Q49="","",IF(SUMIFS('Data Pura Producción'!AH$17:AH$531,'Data Pura Producción'!$R$17:$R$531,$Q49,'Data Pura Producción'!$Q$17:$Q$531,$R49)=0,"",SUMIFS('Data Pura Producción'!AH$17:AH$531,'Data Pura Producción'!$R$17:$R$531,$Q49,'Data Pura Producción'!$Q$17:$Q$531,$R49)))</f>
        <v/>
      </c>
      <c r="X49" s="182" t="str">
        <f>+IF($Q49="","",IF(SUMIFS('Data Pura Producción'!AI$17:AI$531,'Data Pura Producción'!$R$17:$R$531,$Q49,'Data Pura Producción'!$Q$17:$Q$531,$R49)=0,"",SUMIFS('Data Pura Producción'!AI$17:AI$531,'Data Pura Producción'!$R$17:$R$531,$Q49,'Data Pura Producción'!$Q$17:$Q$531,$R49)))</f>
        <v/>
      </c>
      <c r="Y49" s="182" t="str">
        <f>+IF($Q49="","",IF(SUMIFS('Data Pura Producción'!AJ$17:AJ$531,'Data Pura Producción'!$R$17:$R$531,$Q49,'Data Pura Producción'!$Q$17:$Q$531,$R49)=0,"",SUMIFS('Data Pura Producción'!AJ$17:AJ$531,'Data Pura Producción'!$R$17:$R$531,$Q49,'Data Pura Producción'!$Q$17:$Q$531,$R49)))</f>
        <v/>
      </c>
      <c r="Z49" s="182" t="str">
        <f>+IF($Q49="","",IF(SUMIFS('Data Pura Producción'!AK$17:AK$531,'Data Pura Producción'!$R$17:$R$531,$Q49,'Data Pura Producción'!$Q$17:$Q$531,$R49)=0,"",SUMIFS('Data Pura Producción'!AK$17:AK$531,'Data Pura Producción'!$R$17:$R$531,$Q49,'Data Pura Producción'!$Q$17:$Q$531,$R49)))</f>
        <v/>
      </c>
      <c r="AA49" s="182" t="str">
        <f>+IF($Q49="","",IF(SUMIFS('Data Pura Producción'!AL$17:AL$531,'Data Pura Producción'!$R$17:$R$531,$Q49,'Data Pura Producción'!$Q$17:$Q$531,$R49)=0,"",SUMIFS('Data Pura Producción'!AL$17:AL$531,'Data Pura Producción'!$R$17:$R$531,$Q49,'Data Pura Producción'!$Q$17:$Q$531,$R49)))</f>
        <v/>
      </c>
      <c r="AB49" s="182" t="str">
        <f>+IF($Q49="","",IF(SUMIFS('Data Pura Producción'!AM$17:AM$531,'Data Pura Producción'!$R$17:$R$531,$Q49,'Data Pura Producción'!$Q$17:$Q$531,$R49)=0,"",SUMIFS('Data Pura Producción'!AM$17:AM$531,'Data Pura Producción'!$R$17:$R$531,$Q49,'Data Pura Producción'!$Q$17:$Q$531,$R49)))</f>
        <v/>
      </c>
      <c r="AC49" s="182" t="str">
        <f>+IF($Q49="","",IF(SUMIFS('Data Pura Producción'!AN$17:AN$531,'Data Pura Producción'!$R$17:$R$531,$Q49,'Data Pura Producción'!$Q$17:$Q$531,$R49)=0,"",SUMIFS('Data Pura Producción'!AN$17:AN$531,'Data Pura Producción'!$R$17:$R$531,$Q49,'Data Pura Producción'!$Q$17:$Q$531,$R49)))</f>
        <v/>
      </c>
      <c r="AD49" s="182" t="str">
        <f>+IF($Q49="","",IF(SUMIFS('Data Pura Producción'!AO$17:AO$531,'Data Pura Producción'!$R$17:$R$531,$Q49,'Data Pura Producción'!$Q$17:$Q$531,$R49)=0,"",SUMIFS('Data Pura Producción'!AO$17:AO$531,'Data Pura Producción'!$R$17:$R$531,$Q49,'Data Pura Producción'!$Q$17:$Q$531,$R49)))</f>
        <v/>
      </c>
      <c r="AE49" s="182" t="str">
        <f>+IF($Q49="","",IF(SUMIFS('Data Pura Producción'!AP$17:AP$531,'Data Pura Producción'!$R$17:$R$531,$Q49,'Data Pura Producción'!$Q$17:$Q$531,$R49)=0,"",SUMIFS('Data Pura Producción'!AP$17:AP$531,'Data Pura Producción'!$R$17:$R$531,$Q49,'Data Pura Producción'!$Q$17:$Q$531,$R49)))</f>
        <v/>
      </c>
      <c r="AF49" s="182" t="str">
        <f>+IF($Q49="","",IF(SUMIFS('Data Pura Producción'!AQ$17:AQ$531,'Data Pura Producción'!$R$17:$R$531,$Q49,'Data Pura Producción'!$Q$17:$Q$531,$R49)=0,"",SUMIFS('Data Pura Producción'!AQ$17:AQ$531,'Data Pura Producción'!$R$17:$R$531,$Q49,'Data Pura Producción'!$Q$17:$Q$531,$R49)))</f>
        <v/>
      </c>
      <c r="AG49" s="182" t="str">
        <f>+IF($Q49="","",IF(SUMIFS('Data Pura Producción'!AR$17:AR$531,'Data Pura Producción'!$R$17:$R$531,$Q49,'Data Pura Producción'!$Q$17:$Q$531,$R49)=0,"",SUMIFS('Data Pura Producción'!AR$17:AR$531,'Data Pura Producción'!$R$17:$R$531,$Q49,'Data Pura Producción'!$Q$17:$Q$531,$R49)))</f>
        <v/>
      </c>
      <c r="AH49" s="182" t="str">
        <f>+IF($Q49="","",IF(SUMIFS('Data Pura Producción'!AS$17:AS$531,'Data Pura Producción'!$R$17:$R$531,$Q49,'Data Pura Producción'!$Q$17:$Q$531,$R49)=0,"",SUMIFS('Data Pura Producción'!AS$17:AS$531,'Data Pura Producción'!$R$17:$R$531,$Q49,'Data Pura Producción'!$Q$17:$Q$531,$R49)))</f>
        <v/>
      </c>
      <c r="AI49" s="182" t="str">
        <f>+IF($Q49="","",IF(SUMIFS('Data Pura Producción'!AT$17:AT$531,'Data Pura Producción'!$R$17:$R$531,$Q49,'Data Pura Producción'!$Q$17:$Q$531,$R49)=0,"",SUMIFS('Data Pura Producción'!AT$17:AT$531,'Data Pura Producción'!$R$17:$R$531,$Q49,'Data Pura Producción'!$Q$17:$Q$531,$R49)))</f>
        <v/>
      </c>
      <c r="AJ49" s="182" t="str">
        <f>+IF($Q49="","",IF(SUMIFS('Data Pura Producción'!AU$17:AU$531,'Data Pura Producción'!$R$17:$R$531,$Q49,'Data Pura Producción'!$Q$17:$Q$531,$R49)=0,"",SUMIFS('Data Pura Producción'!AU$17:AU$531,'Data Pura Producción'!$R$17:$R$531,$Q49,'Data Pura Producción'!$Q$17:$Q$531,$R49)))</f>
        <v/>
      </c>
      <c r="AK49" s="182" t="str">
        <f>+IF($Q49="","",IF(SUMIFS('Data Pura Producción'!AV$17:AV$531,'Data Pura Producción'!$R$17:$R$531,$Q49,'Data Pura Producción'!$Q$17:$Q$531,$R49)=0,"",SUMIFS('Data Pura Producción'!AV$17:AV$531,'Data Pura Producción'!$R$17:$R$531,$Q49,'Data Pura Producción'!$Q$17:$Q$531,$R49)))</f>
        <v/>
      </c>
      <c r="AL49" s="182" t="str">
        <f>+IF($Q49="","",IF(SUMIFS('Data Pura Producción'!AW$17:AW$531,'Data Pura Producción'!$R$17:$R$531,$Q49,'Data Pura Producción'!$Q$17:$Q$531,$R49)=0,"",SUMIFS('Data Pura Producción'!AW$17:AW$531,'Data Pura Producción'!$R$17:$R$531,$Q49,'Data Pura Producción'!$Q$17:$Q$531,$R49)))</f>
        <v/>
      </c>
      <c r="AM49" s="337" t="str">
        <f>+IF($Q49="","",IF(SUMIFS('Data Pura Producción'!AX$17:AX$531,'Data Pura Producción'!$R$17:$R$531,$Q49,'Data Pura Producción'!$Q$17:$Q$531,$R49)=0,"",SUMIFS('Data Pura Producción'!AX$17:AX$531,'Data Pura Producción'!$R$17:$R$531,$Q49,'Data Pura Producción'!$Q$17:$Q$531,$R49)))</f>
        <v/>
      </c>
      <c r="AN49" s="187" t="str">
        <f t="shared" si="2"/>
        <v/>
      </c>
    </row>
    <row r="50" spans="2:40" s="7" customFormat="1" x14ac:dyDescent="0.35">
      <c r="B50" s="4" t="str">
        <f>+IF('Data Pura Costos'!B50="","",'Data Pura Costos'!B50)</f>
        <v>La Rinconada</v>
      </c>
      <c r="C50" s="4" t="str">
        <f>+IF('Data Pura Costos'!C50="","",'Data Pura Costos'!C50)</f>
        <v>Pichidegua, VI región</v>
      </c>
      <c r="D50" s="5">
        <f>+IF('Data Pura Costos'!D50="","",'Data Pura Costos'!D50)</f>
        <v>110</v>
      </c>
      <c r="E50" s="65">
        <f>+IF('Data Pura Costos'!E50="","",IF('Data Pura Costos'!E50=0,MAX('Data Pura Costos'!$E$7:$E$3000)*1000,'Data Pura Costos'!E50))</f>
        <v>400000</v>
      </c>
      <c r="F50" s="5" t="str">
        <f>+IF('Data Pura Costos'!F50="","",'Data Pura Costos'!F50)</f>
        <v>Mostazal</v>
      </c>
      <c r="G50" s="5" t="str">
        <f>+IF('Data Pura Costos'!G50="","",'Data Pura Costos'!G50)</f>
        <v xml:space="preserve">GUSTAVO ZÚÑIGA </v>
      </c>
      <c r="H50" s="52" t="str">
        <f>+IF('Data Pura Costos'!H50="","",'Data Pura Costos'!H50)</f>
        <v>Termo</v>
      </c>
      <c r="I50" s="71">
        <f>+IF('Data Pura Costos'!I50="","",'Data Pura Costos'!I50)</f>
        <v>3636.3636363636365</v>
      </c>
      <c r="J50" s="52" t="str">
        <f>+IF('Data Pura Costos'!J50="","",'Data Pura Costos'!J50)</f>
        <v>24-25</v>
      </c>
      <c r="K50" s="82" t="str">
        <f t="shared" si="3"/>
        <v xml:space="preserve">La Rinconada-Mostazal-GUSTAVO ZÚÑIGA </v>
      </c>
      <c r="M50" s="4"/>
      <c r="N50" s="5" t="str">
        <f>+IF(M50="","",INDEX('Parámetros Auxiliares'!$D$7:$D$65,MATCH(M50,'Parámetros Auxiliares'!$D$7:$D$65,0)))</f>
        <v/>
      </c>
      <c r="O50" s="259"/>
      <c r="P50" s="1" t="str">
        <f t="shared" si="1"/>
        <v/>
      </c>
      <c r="Q50" s="23"/>
      <c r="R50" s="333"/>
      <c r="S50" s="336" t="str">
        <f>+IF($Q50="","",IF(SUMIFS('Data Pura Producción'!AD$17:AD$531,'Data Pura Producción'!$R$17:$R$531,$Q50,'Data Pura Producción'!$Q$17:$Q$531,$R50)=0,"",SUMIFS('Data Pura Producción'!AD$17:AD$531,'Data Pura Producción'!$R$17:$R$531,$Q50,'Data Pura Producción'!$Q$17:$Q$531,$R50)))</f>
        <v/>
      </c>
      <c r="T50" s="182" t="str">
        <f>+IF($Q50="","",IF(SUMIFS('Data Pura Producción'!AE$17:AE$531,'Data Pura Producción'!$R$17:$R$531,$Q50,'Data Pura Producción'!$Q$17:$Q$531,$R50)=0,"",SUMIFS('Data Pura Producción'!AE$17:AE$531,'Data Pura Producción'!$R$17:$R$531,$Q50,'Data Pura Producción'!$Q$17:$Q$531,$R50)))</f>
        <v/>
      </c>
      <c r="U50" s="182" t="str">
        <f>+IF($Q50="","",IF(SUMIFS('Data Pura Producción'!AF$17:AF$531,'Data Pura Producción'!$R$17:$R$531,$Q50,'Data Pura Producción'!$Q$17:$Q$531,$R50)=0,"",SUMIFS('Data Pura Producción'!AF$17:AF$531,'Data Pura Producción'!$R$17:$R$531,$Q50,'Data Pura Producción'!$Q$17:$Q$531,$R50)))</f>
        <v/>
      </c>
      <c r="V50" s="182" t="str">
        <f>+IF($Q50="","",IF(SUMIFS('Data Pura Producción'!AG$17:AG$531,'Data Pura Producción'!$R$17:$R$531,$Q50,'Data Pura Producción'!$Q$17:$Q$531,$R50)=0,"",SUMIFS('Data Pura Producción'!AG$17:AG$531,'Data Pura Producción'!$R$17:$R$531,$Q50,'Data Pura Producción'!$Q$17:$Q$531,$R50)))</f>
        <v/>
      </c>
      <c r="W50" s="182" t="str">
        <f>+IF($Q50="","",IF(SUMIFS('Data Pura Producción'!AH$17:AH$531,'Data Pura Producción'!$R$17:$R$531,$Q50,'Data Pura Producción'!$Q$17:$Q$531,$R50)=0,"",SUMIFS('Data Pura Producción'!AH$17:AH$531,'Data Pura Producción'!$R$17:$R$531,$Q50,'Data Pura Producción'!$Q$17:$Q$531,$R50)))</f>
        <v/>
      </c>
      <c r="X50" s="182" t="str">
        <f>+IF($Q50="","",IF(SUMIFS('Data Pura Producción'!AI$17:AI$531,'Data Pura Producción'!$R$17:$R$531,$Q50,'Data Pura Producción'!$Q$17:$Q$531,$R50)=0,"",SUMIFS('Data Pura Producción'!AI$17:AI$531,'Data Pura Producción'!$R$17:$R$531,$Q50,'Data Pura Producción'!$Q$17:$Q$531,$R50)))</f>
        <v/>
      </c>
      <c r="Y50" s="182" t="str">
        <f>+IF($Q50="","",IF(SUMIFS('Data Pura Producción'!AJ$17:AJ$531,'Data Pura Producción'!$R$17:$R$531,$Q50,'Data Pura Producción'!$Q$17:$Q$531,$R50)=0,"",SUMIFS('Data Pura Producción'!AJ$17:AJ$531,'Data Pura Producción'!$R$17:$R$531,$Q50,'Data Pura Producción'!$Q$17:$Q$531,$R50)))</f>
        <v/>
      </c>
      <c r="Z50" s="182" t="str">
        <f>+IF($Q50="","",IF(SUMIFS('Data Pura Producción'!AK$17:AK$531,'Data Pura Producción'!$R$17:$R$531,$Q50,'Data Pura Producción'!$Q$17:$Q$531,$R50)=0,"",SUMIFS('Data Pura Producción'!AK$17:AK$531,'Data Pura Producción'!$R$17:$R$531,$Q50,'Data Pura Producción'!$Q$17:$Q$531,$R50)))</f>
        <v/>
      </c>
      <c r="AA50" s="182" t="str">
        <f>+IF($Q50="","",IF(SUMIFS('Data Pura Producción'!AL$17:AL$531,'Data Pura Producción'!$R$17:$R$531,$Q50,'Data Pura Producción'!$Q$17:$Q$531,$R50)=0,"",SUMIFS('Data Pura Producción'!AL$17:AL$531,'Data Pura Producción'!$R$17:$R$531,$Q50,'Data Pura Producción'!$Q$17:$Q$531,$R50)))</f>
        <v/>
      </c>
      <c r="AB50" s="182" t="str">
        <f>+IF($Q50="","",IF(SUMIFS('Data Pura Producción'!AM$17:AM$531,'Data Pura Producción'!$R$17:$R$531,$Q50,'Data Pura Producción'!$Q$17:$Q$531,$R50)=0,"",SUMIFS('Data Pura Producción'!AM$17:AM$531,'Data Pura Producción'!$R$17:$R$531,$Q50,'Data Pura Producción'!$Q$17:$Q$531,$R50)))</f>
        <v/>
      </c>
      <c r="AC50" s="182" t="str">
        <f>+IF($Q50="","",IF(SUMIFS('Data Pura Producción'!AN$17:AN$531,'Data Pura Producción'!$R$17:$R$531,$Q50,'Data Pura Producción'!$Q$17:$Q$531,$R50)=0,"",SUMIFS('Data Pura Producción'!AN$17:AN$531,'Data Pura Producción'!$R$17:$R$531,$Q50,'Data Pura Producción'!$Q$17:$Q$531,$R50)))</f>
        <v/>
      </c>
      <c r="AD50" s="182" t="str">
        <f>+IF($Q50="","",IF(SUMIFS('Data Pura Producción'!AO$17:AO$531,'Data Pura Producción'!$R$17:$R$531,$Q50,'Data Pura Producción'!$Q$17:$Q$531,$R50)=0,"",SUMIFS('Data Pura Producción'!AO$17:AO$531,'Data Pura Producción'!$R$17:$R$531,$Q50,'Data Pura Producción'!$Q$17:$Q$531,$R50)))</f>
        <v/>
      </c>
      <c r="AE50" s="182" t="str">
        <f>+IF($Q50="","",IF(SUMIFS('Data Pura Producción'!AP$17:AP$531,'Data Pura Producción'!$R$17:$R$531,$Q50,'Data Pura Producción'!$Q$17:$Q$531,$R50)=0,"",SUMIFS('Data Pura Producción'!AP$17:AP$531,'Data Pura Producción'!$R$17:$R$531,$Q50,'Data Pura Producción'!$Q$17:$Q$531,$R50)))</f>
        <v/>
      </c>
      <c r="AF50" s="182" t="str">
        <f>+IF($Q50="","",IF(SUMIFS('Data Pura Producción'!AQ$17:AQ$531,'Data Pura Producción'!$R$17:$R$531,$Q50,'Data Pura Producción'!$Q$17:$Q$531,$R50)=0,"",SUMIFS('Data Pura Producción'!AQ$17:AQ$531,'Data Pura Producción'!$R$17:$R$531,$Q50,'Data Pura Producción'!$Q$17:$Q$531,$R50)))</f>
        <v/>
      </c>
      <c r="AG50" s="182" t="str">
        <f>+IF($Q50="","",IF(SUMIFS('Data Pura Producción'!AR$17:AR$531,'Data Pura Producción'!$R$17:$R$531,$Q50,'Data Pura Producción'!$Q$17:$Q$531,$R50)=0,"",SUMIFS('Data Pura Producción'!AR$17:AR$531,'Data Pura Producción'!$R$17:$R$531,$Q50,'Data Pura Producción'!$Q$17:$Q$531,$R50)))</f>
        <v/>
      </c>
      <c r="AH50" s="182" t="str">
        <f>+IF($Q50="","",IF(SUMIFS('Data Pura Producción'!AS$17:AS$531,'Data Pura Producción'!$R$17:$R$531,$Q50,'Data Pura Producción'!$Q$17:$Q$531,$R50)=0,"",SUMIFS('Data Pura Producción'!AS$17:AS$531,'Data Pura Producción'!$R$17:$R$531,$Q50,'Data Pura Producción'!$Q$17:$Q$531,$R50)))</f>
        <v/>
      </c>
      <c r="AI50" s="182" t="str">
        <f>+IF($Q50="","",IF(SUMIFS('Data Pura Producción'!AT$17:AT$531,'Data Pura Producción'!$R$17:$R$531,$Q50,'Data Pura Producción'!$Q$17:$Q$531,$R50)=0,"",SUMIFS('Data Pura Producción'!AT$17:AT$531,'Data Pura Producción'!$R$17:$R$531,$Q50,'Data Pura Producción'!$Q$17:$Q$531,$R50)))</f>
        <v/>
      </c>
      <c r="AJ50" s="182" t="str">
        <f>+IF($Q50="","",IF(SUMIFS('Data Pura Producción'!AU$17:AU$531,'Data Pura Producción'!$R$17:$R$531,$Q50,'Data Pura Producción'!$Q$17:$Q$531,$R50)=0,"",SUMIFS('Data Pura Producción'!AU$17:AU$531,'Data Pura Producción'!$R$17:$R$531,$Q50,'Data Pura Producción'!$Q$17:$Q$531,$R50)))</f>
        <v/>
      </c>
      <c r="AK50" s="182" t="str">
        <f>+IF($Q50="","",IF(SUMIFS('Data Pura Producción'!AV$17:AV$531,'Data Pura Producción'!$R$17:$R$531,$Q50,'Data Pura Producción'!$Q$17:$Q$531,$R50)=0,"",SUMIFS('Data Pura Producción'!AV$17:AV$531,'Data Pura Producción'!$R$17:$R$531,$Q50,'Data Pura Producción'!$Q$17:$Q$531,$R50)))</f>
        <v/>
      </c>
      <c r="AL50" s="182" t="str">
        <f>+IF($Q50="","",IF(SUMIFS('Data Pura Producción'!AW$17:AW$531,'Data Pura Producción'!$R$17:$R$531,$Q50,'Data Pura Producción'!$Q$17:$Q$531,$R50)=0,"",SUMIFS('Data Pura Producción'!AW$17:AW$531,'Data Pura Producción'!$R$17:$R$531,$Q50,'Data Pura Producción'!$Q$17:$Q$531,$R50)))</f>
        <v/>
      </c>
      <c r="AM50" s="337" t="str">
        <f>+IF($Q50="","",IF(SUMIFS('Data Pura Producción'!AX$17:AX$531,'Data Pura Producción'!$R$17:$R$531,$Q50,'Data Pura Producción'!$Q$17:$Q$531,$R50)=0,"",SUMIFS('Data Pura Producción'!AX$17:AX$531,'Data Pura Producción'!$R$17:$R$531,$Q50,'Data Pura Producción'!$Q$17:$Q$531,$R50)))</f>
        <v/>
      </c>
      <c r="AN50" s="187" t="str">
        <f t="shared" ref="AN50:AN112" si="4">+IF(SUM(S50:AM50)=0,"",SUM(S50:AM50))</f>
        <v/>
      </c>
    </row>
    <row r="51" spans="2:40" s="7" customFormat="1" x14ac:dyDescent="0.35">
      <c r="B51" s="4" t="str">
        <f>+IF('Data Pura Costos'!B51="","",'Data Pura Costos'!B51)</f>
        <v xml:space="preserve">La Roblería </v>
      </c>
      <c r="C51" s="4" t="str">
        <f>+IF('Data Pura Costos'!C51="","",'Data Pura Costos'!C51)</f>
        <v>Aculeo, RM</v>
      </c>
      <c r="D51" s="5">
        <f>+IF('Data Pura Costos'!D51="","",'Data Pura Costos'!D51)</f>
        <v>40</v>
      </c>
      <c r="E51" s="65">
        <f>+IF('Data Pura Costos'!E51="","",IF('Data Pura Costos'!E51=0,MAX('Data Pura Costos'!$E$7:$E$3000)*1000,'Data Pura Costos'!E51))</f>
        <v>320000</v>
      </c>
      <c r="F51" s="5" t="str">
        <f>+IF('Data Pura Costos'!F51="","",'Data Pura Costos'!F51)</f>
        <v>Mostazal</v>
      </c>
      <c r="G51" s="5" t="str">
        <f>+IF('Data Pura Costos'!G51="","",'Data Pura Costos'!G51)</f>
        <v xml:space="preserve">GUSTAVO ZÚÑIGA </v>
      </c>
      <c r="H51" s="52" t="str">
        <f>+IF('Data Pura Costos'!H51="","",'Data Pura Costos'!H51)</f>
        <v>Termo</v>
      </c>
      <c r="I51" s="71">
        <f>+IF('Data Pura Costos'!I51="","",'Data Pura Costos'!I51)</f>
        <v>8000</v>
      </c>
      <c r="J51" s="52" t="str">
        <f>+IF('Data Pura Costos'!J51="","",'Data Pura Costos'!J51)</f>
        <v>24-25</v>
      </c>
      <c r="K51" s="82" t="str">
        <f t="shared" si="3"/>
        <v xml:space="preserve">La Roblería -Mostazal-GUSTAVO ZÚÑIGA </v>
      </c>
      <c r="M51" s="4"/>
      <c r="N51" s="5" t="str">
        <f>+IF(M51="","",INDEX('Parámetros Auxiliares'!$D$7:$D$65,MATCH(M51,'Parámetros Auxiliares'!$D$7:$D$65,0)))</f>
        <v/>
      </c>
      <c r="O51" s="259"/>
      <c r="P51" s="1" t="str">
        <f t="shared" si="1"/>
        <v/>
      </c>
      <c r="Q51" s="23"/>
      <c r="R51" s="333"/>
      <c r="S51" s="336" t="str">
        <f>+IF($Q51="","",IF(SUMIFS('Data Pura Producción'!AD$17:AD$531,'Data Pura Producción'!$R$17:$R$531,$Q51,'Data Pura Producción'!$Q$17:$Q$531,$R51)=0,"",SUMIFS('Data Pura Producción'!AD$17:AD$531,'Data Pura Producción'!$R$17:$R$531,$Q51,'Data Pura Producción'!$Q$17:$Q$531,$R51)))</f>
        <v/>
      </c>
      <c r="T51" s="182" t="str">
        <f>+IF($Q51="","",IF(SUMIFS('Data Pura Producción'!AE$17:AE$531,'Data Pura Producción'!$R$17:$R$531,$Q51,'Data Pura Producción'!$Q$17:$Q$531,$R51)=0,"",SUMIFS('Data Pura Producción'!AE$17:AE$531,'Data Pura Producción'!$R$17:$R$531,$Q51,'Data Pura Producción'!$Q$17:$Q$531,$R51)))</f>
        <v/>
      </c>
      <c r="U51" s="182" t="str">
        <f>+IF($Q51="","",IF(SUMIFS('Data Pura Producción'!AF$17:AF$531,'Data Pura Producción'!$R$17:$R$531,$Q51,'Data Pura Producción'!$Q$17:$Q$531,$R51)=0,"",SUMIFS('Data Pura Producción'!AF$17:AF$531,'Data Pura Producción'!$R$17:$R$531,$Q51,'Data Pura Producción'!$Q$17:$Q$531,$R51)))</f>
        <v/>
      </c>
      <c r="V51" s="182" t="str">
        <f>+IF($Q51="","",IF(SUMIFS('Data Pura Producción'!AG$17:AG$531,'Data Pura Producción'!$R$17:$R$531,$Q51,'Data Pura Producción'!$Q$17:$Q$531,$R51)=0,"",SUMIFS('Data Pura Producción'!AG$17:AG$531,'Data Pura Producción'!$R$17:$R$531,$Q51,'Data Pura Producción'!$Q$17:$Q$531,$R51)))</f>
        <v/>
      </c>
      <c r="W51" s="182" t="str">
        <f>+IF($Q51="","",IF(SUMIFS('Data Pura Producción'!AH$17:AH$531,'Data Pura Producción'!$R$17:$R$531,$Q51,'Data Pura Producción'!$Q$17:$Q$531,$R51)=0,"",SUMIFS('Data Pura Producción'!AH$17:AH$531,'Data Pura Producción'!$R$17:$R$531,$Q51,'Data Pura Producción'!$Q$17:$Q$531,$R51)))</f>
        <v/>
      </c>
      <c r="X51" s="182" t="str">
        <f>+IF($Q51="","",IF(SUMIFS('Data Pura Producción'!AI$17:AI$531,'Data Pura Producción'!$R$17:$R$531,$Q51,'Data Pura Producción'!$Q$17:$Q$531,$R51)=0,"",SUMIFS('Data Pura Producción'!AI$17:AI$531,'Data Pura Producción'!$R$17:$R$531,$Q51,'Data Pura Producción'!$Q$17:$Q$531,$R51)))</f>
        <v/>
      </c>
      <c r="Y51" s="182" t="str">
        <f>+IF($Q51="","",IF(SUMIFS('Data Pura Producción'!AJ$17:AJ$531,'Data Pura Producción'!$R$17:$R$531,$Q51,'Data Pura Producción'!$Q$17:$Q$531,$R51)=0,"",SUMIFS('Data Pura Producción'!AJ$17:AJ$531,'Data Pura Producción'!$R$17:$R$531,$Q51,'Data Pura Producción'!$Q$17:$Q$531,$R51)))</f>
        <v/>
      </c>
      <c r="Z51" s="182" t="str">
        <f>+IF($Q51="","",IF(SUMIFS('Data Pura Producción'!AK$17:AK$531,'Data Pura Producción'!$R$17:$R$531,$Q51,'Data Pura Producción'!$Q$17:$Q$531,$R51)=0,"",SUMIFS('Data Pura Producción'!AK$17:AK$531,'Data Pura Producción'!$R$17:$R$531,$Q51,'Data Pura Producción'!$Q$17:$Q$531,$R51)))</f>
        <v/>
      </c>
      <c r="AA51" s="182" t="str">
        <f>+IF($Q51="","",IF(SUMIFS('Data Pura Producción'!AL$17:AL$531,'Data Pura Producción'!$R$17:$R$531,$Q51,'Data Pura Producción'!$Q$17:$Q$531,$R51)=0,"",SUMIFS('Data Pura Producción'!AL$17:AL$531,'Data Pura Producción'!$R$17:$R$531,$Q51,'Data Pura Producción'!$Q$17:$Q$531,$R51)))</f>
        <v/>
      </c>
      <c r="AB51" s="182" t="str">
        <f>+IF($Q51="","",IF(SUMIFS('Data Pura Producción'!AM$17:AM$531,'Data Pura Producción'!$R$17:$R$531,$Q51,'Data Pura Producción'!$Q$17:$Q$531,$R51)=0,"",SUMIFS('Data Pura Producción'!AM$17:AM$531,'Data Pura Producción'!$R$17:$R$531,$Q51,'Data Pura Producción'!$Q$17:$Q$531,$R51)))</f>
        <v/>
      </c>
      <c r="AC51" s="182" t="str">
        <f>+IF($Q51="","",IF(SUMIFS('Data Pura Producción'!AN$17:AN$531,'Data Pura Producción'!$R$17:$R$531,$Q51,'Data Pura Producción'!$Q$17:$Q$531,$R51)=0,"",SUMIFS('Data Pura Producción'!AN$17:AN$531,'Data Pura Producción'!$R$17:$R$531,$Q51,'Data Pura Producción'!$Q$17:$Q$531,$R51)))</f>
        <v/>
      </c>
      <c r="AD51" s="182" t="str">
        <f>+IF($Q51="","",IF(SUMIFS('Data Pura Producción'!AO$17:AO$531,'Data Pura Producción'!$R$17:$R$531,$Q51,'Data Pura Producción'!$Q$17:$Q$531,$R51)=0,"",SUMIFS('Data Pura Producción'!AO$17:AO$531,'Data Pura Producción'!$R$17:$R$531,$Q51,'Data Pura Producción'!$Q$17:$Q$531,$R51)))</f>
        <v/>
      </c>
      <c r="AE51" s="182" t="str">
        <f>+IF($Q51="","",IF(SUMIFS('Data Pura Producción'!AP$17:AP$531,'Data Pura Producción'!$R$17:$R$531,$Q51,'Data Pura Producción'!$Q$17:$Q$531,$R51)=0,"",SUMIFS('Data Pura Producción'!AP$17:AP$531,'Data Pura Producción'!$R$17:$R$531,$Q51,'Data Pura Producción'!$Q$17:$Q$531,$R51)))</f>
        <v/>
      </c>
      <c r="AF51" s="182" t="str">
        <f>+IF($Q51="","",IF(SUMIFS('Data Pura Producción'!AQ$17:AQ$531,'Data Pura Producción'!$R$17:$R$531,$Q51,'Data Pura Producción'!$Q$17:$Q$531,$R51)=0,"",SUMIFS('Data Pura Producción'!AQ$17:AQ$531,'Data Pura Producción'!$R$17:$R$531,$Q51,'Data Pura Producción'!$Q$17:$Q$531,$R51)))</f>
        <v/>
      </c>
      <c r="AG51" s="182" t="str">
        <f>+IF($Q51="","",IF(SUMIFS('Data Pura Producción'!AR$17:AR$531,'Data Pura Producción'!$R$17:$R$531,$Q51,'Data Pura Producción'!$Q$17:$Q$531,$R51)=0,"",SUMIFS('Data Pura Producción'!AR$17:AR$531,'Data Pura Producción'!$R$17:$R$531,$Q51,'Data Pura Producción'!$Q$17:$Q$531,$R51)))</f>
        <v/>
      </c>
      <c r="AH51" s="182" t="str">
        <f>+IF($Q51="","",IF(SUMIFS('Data Pura Producción'!AS$17:AS$531,'Data Pura Producción'!$R$17:$R$531,$Q51,'Data Pura Producción'!$Q$17:$Q$531,$R51)=0,"",SUMIFS('Data Pura Producción'!AS$17:AS$531,'Data Pura Producción'!$R$17:$R$531,$Q51,'Data Pura Producción'!$Q$17:$Q$531,$R51)))</f>
        <v/>
      </c>
      <c r="AI51" s="182" t="str">
        <f>+IF($Q51="","",IF(SUMIFS('Data Pura Producción'!AT$17:AT$531,'Data Pura Producción'!$R$17:$R$531,$Q51,'Data Pura Producción'!$Q$17:$Q$531,$R51)=0,"",SUMIFS('Data Pura Producción'!AT$17:AT$531,'Data Pura Producción'!$R$17:$R$531,$Q51,'Data Pura Producción'!$Q$17:$Q$531,$R51)))</f>
        <v/>
      </c>
      <c r="AJ51" s="182" t="str">
        <f>+IF($Q51="","",IF(SUMIFS('Data Pura Producción'!AU$17:AU$531,'Data Pura Producción'!$R$17:$R$531,$Q51,'Data Pura Producción'!$Q$17:$Q$531,$R51)=0,"",SUMIFS('Data Pura Producción'!AU$17:AU$531,'Data Pura Producción'!$R$17:$R$531,$Q51,'Data Pura Producción'!$Q$17:$Q$531,$R51)))</f>
        <v/>
      </c>
      <c r="AK51" s="182" t="str">
        <f>+IF($Q51="","",IF(SUMIFS('Data Pura Producción'!AV$17:AV$531,'Data Pura Producción'!$R$17:$R$531,$Q51,'Data Pura Producción'!$Q$17:$Q$531,$R51)=0,"",SUMIFS('Data Pura Producción'!AV$17:AV$531,'Data Pura Producción'!$R$17:$R$531,$Q51,'Data Pura Producción'!$Q$17:$Q$531,$R51)))</f>
        <v/>
      </c>
      <c r="AL51" s="182" t="str">
        <f>+IF($Q51="","",IF(SUMIFS('Data Pura Producción'!AW$17:AW$531,'Data Pura Producción'!$R$17:$R$531,$Q51,'Data Pura Producción'!$Q$17:$Q$531,$R51)=0,"",SUMIFS('Data Pura Producción'!AW$17:AW$531,'Data Pura Producción'!$R$17:$R$531,$Q51,'Data Pura Producción'!$Q$17:$Q$531,$R51)))</f>
        <v/>
      </c>
      <c r="AM51" s="337" t="str">
        <f>+IF($Q51="","",IF(SUMIFS('Data Pura Producción'!AX$17:AX$531,'Data Pura Producción'!$R$17:$R$531,$Q51,'Data Pura Producción'!$Q$17:$Q$531,$R51)=0,"",SUMIFS('Data Pura Producción'!AX$17:AX$531,'Data Pura Producción'!$R$17:$R$531,$Q51,'Data Pura Producción'!$Q$17:$Q$531,$R51)))</f>
        <v/>
      </c>
      <c r="AN51" s="187" t="str">
        <f t="shared" si="4"/>
        <v/>
      </c>
    </row>
    <row r="52" spans="2:40" s="7" customFormat="1" x14ac:dyDescent="0.35">
      <c r="B52" s="4" t="str">
        <f>+IF('Data Pura Costos'!B52="","",'Data Pura Costos'!B52)</f>
        <v>Las Cabras</v>
      </c>
      <c r="C52" s="4" t="str">
        <f>+IF('Data Pura Costos'!C52="","",'Data Pura Costos'!C52)</f>
        <v>Las Cabras, VI región</v>
      </c>
      <c r="D52" s="5">
        <f>+IF('Data Pura Costos'!D52="","",'Data Pura Costos'!D52)</f>
        <v>110</v>
      </c>
      <c r="E52" s="65">
        <f>+IF('Data Pura Costos'!E52="","",IF('Data Pura Costos'!E52=0,MAX('Data Pura Costos'!$E$7:$E$3000)*1000,'Data Pura Costos'!E52))</f>
        <v>400000</v>
      </c>
      <c r="F52" s="5" t="str">
        <f>+IF('Data Pura Costos'!F52="","",'Data Pura Costos'!F52)</f>
        <v>Mostazal</v>
      </c>
      <c r="G52" s="5" t="str">
        <f>+IF('Data Pura Costos'!G52="","",'Data Pura Costos'!G52)</f>
        <v xml:space="preserve">GUSTAVO ZÚÑIGA </v>
      </c>
      <c r="H52" s="52" t="str">
        <f>+IF('Data Pura Costos'!H52="","",'Data Pura Costos'!H52)</f>
        <v>Termo</v>
      </c>
      <c r="I52" s="71">
        <f>+IF('Data Pura Costos'!I52="","",'Data Pura Costos'!I52)</f>
        <v>3636.3636363636365</v>
      </c>
      <c r="J52" s="52" t="str">
        <f>+IF('Data Pura Costos'!J52="","",'Data Pura Costos'!J52)</f>
        <v>24-25</v>
      </c>
      <c r="K52" s="82" t="str">
        <f t="shared" si="3"/>
        <v xml:space="preserve">Las Cabras-Mostazal-GUSTAVO ZÚÑIGA </v>
      </c>
      <c r="M52" s="4"/>
      <c r="N52" s="5" t="str">
        <f>+IF(M52="","",INDEX('Parámetros Auxiliares'!$D$7:$D$65,MATCH(M52,'Parámetros Auxiliares'!$D$7:$D$65,0)))</f>
        <v/>
      </c>
      <c r="O52" s="259"/>
      <c r="P52" s="1" t="str">
        <f t="shared" si="1"/>
        <v/>
      </c>
      <c r="Q52" s="23"/>
      <c r="R52" s="333"/>
      <c r="S52" s="336" t="str">
        <f>+IF($Q52="","",IF(SUMIFS('Data Pura Producción'!AD$17:AD$531,'Data Pura Producción'!$R$17:$R$531,$Q52,'Data Pura Producción'!$Q$17:$Q$531,$R52)=0,"",SUMIFS('Data Pura Producción'!AD$17:AD$531,'Data Pura Producción'!$R$17:$R$531,$Q52,'Data Pura Producción'!$Q$17:$Q$531,$R52)))</f>
        <v/>
      </c>
      <c r="T52" s="182" t="str">
        <f>+IF($Q52="","",IF(SUMIFS('Data Pura Producción'!AE$17:AE$531,'Data Pura Producción'!$R$17:$R$531,$Q52,'Data Pura Producción'!$Q$17:$Q$531,$R52)=0,"",SUMIFS('Data Pura Producción'!AE$17:AE$531,'Data Pura Producción'!$R$17:$R$531,$Q52,'Data Pura Producción'!$Q$17:$Q$531,$R52)))</f>
        <v/>
      </c>
      <c r="U52" s="182" t="str">
        <f>+IF($Q52="","",IF(SUMIFS('Data Pura Producción'!AF$17:AF$531,'Data Pura Producción'!$R$17:$R$531,$Q52,'Data Pura Producción'!$Q$17:$Q$531,$R52)=0,"",SUMIFS('Data Pura Producción'!AF$17:AF$531,'Data Pura Producción'!$R$17:$R$531,$Q52,'Data Pura Producción'!$Q$17:$Q$531,$R52)))</f>
        <v/>
      </c>
      <c r="V52" s="182" t="str">
        <f>+IF($Q52="","",IF(SUMIFS('Data Pura Producción'!AG$17:AG$531,'Data Pura Producción'!$R$17:$R$531,$Q52,'Data Pura Producción'!$Q$17:$Q$531,$R52)=0,"",SUMIFS('Data Pura Producción'!AG$17:AG$531,'Data Pura Producción'!$R$17:$R$531,$Q52,'Data Pura Producción'!$Q$17:$Q$531,$R52)))</f>
        <v/>
      </c>
      <c r="W52" s="182" t="str">
        <f>+IF($Q52="","",IF(SUMIFS('Data Pura Producción'!AH$17:AH$531,'Data Pura Producción'!$R$17:$R$531,$Q52,'Data Pura Producción'!$Q$17:$Q$531,$R52)=0,"",SUMIFS('Data Pura Producción'!AH$17:AH$531,'Data Pura Producción'!$R$17:$R$531,$Q52,'Data Pura Producción'!$Q$17:$Q$531,$R52)))</f>
        <v/>
      </c>
      <c r="X52" s="182" t="str">
        <f>+IF($Q52="","",IF(SUMIFS('Data Pura Producción'!AI$17:AI$531,'Data Pura Producción'!$R$17:$R$531,$Q52,'Data Pura Producción'!$Q$17:$Q$531,$R52)=0,"",SUMIFS('Data Pura Producción'!AI$17:AI$531,'Data Pura Producción'!$R$17:$R$531,$Q52,'Data Pura Producción'!$Q$17:$Q$531,$R52)))</f>
        <v/>
      </c>
      <c r="Y52" s="182" t="str">
        <f>+IF($Q52="","",IF(SUMIFS('Data Pura Producción'!AJ$17:AJ$531,'Data Pura Producción'!$R$17:$R$531,$Q52,'Data Pura Producción'!$Q$17:$Q$531,$R52)=0,"",SUMIFS('Data Pura Producción'!AJ$17:AJ$531,'Data Pura Producción'!$R$17:$R$531,$Q52,'Data Pura Producción'!$Q$17:$Q$531,$R52)))</f>
        <v/>
      </c>
      <c r="Z52" s="182" t="str">
        <f>+IF($Q52="","",IF(SUMIFS('Data Pura Producción'!AK$17:AK$531,'Data Pura Producción'!$R$17:$R$531,$Q52,'Data Pura Producción'!$Q$17:$Q$531,$R52)=0,"",SUMIFS('Data Pura Producción'!AK$17:AK$531,'Data Pura Producción'!$R$17:$R$531,$Q52,'Data Pura Producción'!$Q$17:$Q$531,$R52)))</f>
        <v/>
      </c>
      <c r="AA52" s="182" t="str">
        <f>+IF($Q52="","",IF(SUMIFS('Data Pura Producción'!AL$17:AL$531,'Data Pura Producción'!$R$17:$R$531,$Q52,'Data Pura Producción'!$Q$17:$Q$531,$R52)=0,"",SUMIFS('Data Pura Producción'!AL$17:AL$531,'Data Pura Producción'!$R$17:$R$531,$Q52,'Data Pura Producción'!$Q$17:$Q$531,$R52)))</f>
        <v/>
      </c>
      <c r="AB52" s="182" t="str">
        <f>+IF($Q52="","",IF(SUMIFS('Data Pura Producción'!AM$17:AM$531,'Data Pura Producción'!$R$17:$R$531,$Q52,'Data Pura Producción'!$Q$17:$Q$531,$R52)=0,"",SUMIFS('Data Pura Producción'!AM$17:AM$531,'Data Pura Producción'!$R$17:$R$531,$Q52,'Data Pura Producción'!$Q$17:$Q$531,$R52)))</f>
        <v/>
      </c>
      <c r="AC52" s="182" t="str">
        <f>+IF($Q52="","",IF(SUMIFS('Data Pura Producción'!AN$17:AN$531,'Data Pura Producción'!$R$17:$R$531,$Q52,'Data Pura Producción'!$Q$17:$Q$531,$R52)=0,"",SUMIFS('Data Pura Producción'!AN$17:AN$531,'Data Pura Producción'!$R$17:$R$531,$Q52,'Data Pura Producción'!$Q$17:$Q$531,$R52)))</f>
        <v/>
      </c>
      <c r="AD52" s="182" t="str">
        <f>+IF($Q52="","",IF(SUMIFS('Data Pura Producción'!AO$17:AO$531,'Data Pura Producción'!$R$17:$R$531,$Q52,'Data Pura Producción'!$Q$17:$Q$531,$R52)=0,"",SUMIFS('Data Pura Producción'!AO$17:AO$531,'Data Pura Producción'!$R$17:$R$531,$Q52,'Data Pura Producción'!$Q$17:$Q$531,$R52)))</f>
        <v/>
      </c>
      <c r="AE52" s="182" t="str">
        <f>+IF($Q52="","",IF(SUMIFS('Data Pura Producción'!AP$17:AP$531,'Data Pura Producción'!$R$17:$R$531,$Q52,'Data Pura Producción'!$Q$17:$Q$531,$R52)=0,"",SUMIFS('Data Pura Producción'!AP$17:AP$531,'Data Pura Producción'!$R$17:$R$531,$Q52,'Data Pura Producción'!$Q$17:$Q$531,$R52)))</f>
        <v/>
      </c>
      <c r="AF52" s="182" t="str">
        <f>+IF($Q52="","",IF(SUMIFS('Data Pura Producción'!AQ$17:AQ$531,'Data Pura Producción'!$R$17:$R$531,$Q52,'Data Pura Producción'!$Q$17:$Q$531,$R52)=0,"",SUMIFS('Data Pura Producción'!AQ$17:AQ$531,'Data Pura Producción'!$R$17:$R$531,$Q52,'Data Pura Producción'!$Q$17:$Q$531,$R52)))</f>
        <v/>
      </c>
      <c r="AG52" s="182" t="str">
        <f>+IF($Q52="","",IF(SUMIFS('Data Pura Producción'!AR$17:AR$531,'Data Pura Producción'!$R$17:$R$531,$Q52,'Data Pura Producción'!$Q$17:$Q$531,$R52)=0,"",SUMIFS('Data Pura Producción'!AR$17:AR$531,'Data Pura Producción'!$R$17:$R$531,$Q52,'Data Pura Producción'!$Q$17:$Q$531,$R52)))</f>
        <v/>
      </c>
      <c r="AH52" s="182" t="str">
        <f>+IF($Q52="","",IF(SUMIFS('Data Pura Producción'!AS$17:AS$531,'Data Pura Producción'!$R$17:$R$531,$Q52,'Data Pura Producción'!$Q$17:$Q$531,$R52)=0,"",SUMIFS('Data Pura Producción'!AS$17:AS$531,'Data Pura Producción'!$R$17:$R$531,$Q52,'Data Pura Producción'!$Q$17:$Q$531,$R52)))</f>
        <v/>
      </c>
      <c r="AI52" s="182" t="str">
        <f>+IF($Q52="","",IF(SUMIFS('Data Pura Producción'!AT$17:AT$531,'Data Pura Producción'!$R$17:$R$531,$Q52,'Data Pura Producción'!$Q$17:$Q$531,$R52)=0,"",SUMIFS('Data Pura Producción'!AT$17:AT$531,'Data Pura Producción'!$R$17:$R$531,$Q52,'Data Pura Producción'!$Q$17:$Q$531,$R52)))</f>
        <v/>
      </c>
      <c r="AJ52" s="182" t="str">
        <f>+IF($Q52="","",IF(SUMIFS('Data Pura Producción'!AU$17:AU$531,'Data Pura Producción'!$R$17:$R$531,$Q52,'Data Pura Producción'!$Q$17:$Q$531,$R52)=0,"",SUMIFS('Data Pura Producción'!AU$17:AU$531,'Data Pura Producción'!$R$17:$R$531,$Q52,'Data Pura Producción'!$Q$17:$Q$531,$R52)))</f>
        <v/>
      </c>
      <c r="AK52" s="182" t="str">
        <f>+IF($Q52="","",IF(SUMIFS('Data Pura Producción'!AV$17:AV$531,'Data Pura Producción'!$R$17:$R$531,$Q52,'Data Pura Producción'!$Q$17:$Q$531,$R52)=0,"",SUMIFS('Data Pura Producción'!AV$17:AV$531,'Data Pura Producción'!$R$17:$R$531,$Q52,'Data Pura Producción'!$Q$17:$Q$531,$R52)))</f>
        <v/>
      </c>
      <c r="AL52" s="182" t="str">
        <f>+IF($Q52="","",IF(SUMIFS('Data Pura Producción'!AW$17:AW$531,'Data Pura Producción'!$R$17:$R$531,$Q52,'Data Pura Producción'!$Q$17:$Q$531,$R52)=0,"",SUMIFS('Data Pura Producción'!AW$17:AW$531,'Data Pura Producción'!$R$17:$R$531,$Q52,'Data Pura Producción'!$Q$17:$Q$531,$R52)))</f>
        <v/>
      </c>
      <c r="AM52" s="337" t="str">
        <f>+IF($Q52="","",IF(SUMIFS('Data Pura Producción'!AX$17:AX$531,'Data Pura Producción'!$R$17:$R$531,$Q52,'Data Pura Producción'!$Q$17:$Q$531,$R52)=0,"",SUMIFS('Data Pura Producción'!AX$17:AX$531,'Data Pura Producción'!$R$17:$R$531,$Q52,'Data Pura Producción'!$Q$17:$Q$531,$R52)))</f>
        <v/>
      </c>
      <c r="AN52" s="187" t="str">
        <f t="shared" si="4"/>
        <v/>
      </c>
    </row>
    <row r="53" spans="2:40" s="7" customFormat="1" x14ac:dyDescent="0.35">
      <c r="B53" s="4" t="str">
        <f>+IF('Data Pura Costos'!B53="","",'Data Pura Costos'!B53)</f>
        <v>Las Vertientes</v>
      </c>
      <c r="C53" s="4" t="str">
        <f>+IF('Data Pura Costos'!C53="","",'Data Pura Costos'!C53)</f>
        <v>Pichidegua, VI región</v>
      </c>
      <c r="D53" s="5">
        <f>+IF('Data Pura Costos'!D53="","",'Data Pura Costos'!D53)</f>
        <v>103</v>
      </c>
      <c r="E53" s="65">
        <f>+IF('Data Pura Costos'!E53="","",IF('Data Pura Costos'!E53=0,MAX('Data Pura Costos'!$E$7:$E$3000)*1000,'Data Pura Costos'!E53))</f>
        <v>400000</v>
      </c>
      <c r="F53" s="5" t="str">
        <f>+IF('Data Pura Costos'!F53="","",'Data Pura Costos'!F53)</f>
        <v>Mostazal</v>
      </c>
      <c r="G53" s="5" t="str">
        <f>+IF('Data Pura Costos'!G53="","",'Data Pura Costos'!G53)</f>
        <v xml:space="preserve">GUSTAVO ZÚÑIGA </v>
      </c>
      <c r="H53" s="52" t="str">
        <f>+IF('Data Pura Costos'!H53="","",'Data Pura Costos'!H53)</f>
        <v>Termo</v>
      </c>
      <c r="I53" s="71">
        <f>+IF('Data Pura Costos'!I53="","",'Data Pura Costos'!I53)</f>
        <v>3883.4951456310678</v>
      </c>
      <c r="J53" s="52" t="str">
        <f>+IF('Data Pura Costos'!J53="","",'Data Pura Costos'!J53)</f>
        <v>24-25</v>
      </c>
      <c r="K53" s="82" t="str">
        <f t="shared" si="3"/>
        <v xml:space="preserve">Las Vertientes-Mostazal-GUSTAVO ZÚÑIGA </v>
      </c>
      <c r="M53" s="4"/>
      <c r="N53" s="5" t="str">
        <f>+IF(M53="","",INDEX('Parámetros Auxiliares'!$D$7:$D$65,MATCH(M53,'Parámetros Auxiliares'!$D$7:$D$65,0)))</f>
        <v/>
      </c>
      <c r="O53" s="259"/>
      <c r="P53" s="1" t="str">
        <f t="shared" si="1"/>
        <v/>
      </c>
      <c r="Q53" s="23"/>
      <c r="R53" s="333"/>
      <c r="S53" s="336" t="str">
        <f>+IF($Q53="","",IF(SUMIFS('Data Pura Producción'!AD$17:AD$531,'Data Pura Producción'!$R$17:$R$531,$Q53,'Data Pura Producción'!$Q$17:$Q$531,$R53)=0,"",SUMIFS('Data Pura Producción'!AD$17:AD$531,'Data Pura Producción'!$R$17:$R$531,$Q53,'Data Pura Producción'!$Q$17:$Q$531,$R53)))</f>
        <v/>
      </c>
      <c r="T53" s="182" t="str">
        <f>+IF($Q53="","",IF(SUMIFS('Data Pura Producción'!AE$17:AE$531,'Data Pura Producción'!$R$17:$R$531,$Q53,'Data Pura Producción'!$Q$17:$Q$531,$R53)=0,"",SUMIFS('Data Pura Producción'!AE$17:AE$531,'Data Pura Producción'!$R$17:$R$531,$Q53,'Data Pura Producción'!$Q$17:$Q$531,$R53)))</f>
        <v/>
      </c>
      <c r="U53" s="182" t="str">
        <f>+IF($Q53="","",IF(SUMIFS('Data Pura Producción'!AF$17:AF$531,'Data Pura Producción'!$R$17:$R$531,$Q53,'Data Pura Producción'!$Q$17:$Q$531,$R53)=0,"",SUMIFS('Data Pura Producción'!AF$17:AF$531,'Data Pura Producción'!$R$17:$R$531,$Q53,'Data Pura Producción'!$Q$17:$Q$531,$R53)))</f>
        <v/>
      </c>
      <c r="V53" s="182" t="str">
        <f>+IF($Q53="","",IF(SUMIFS('Data Pura Producción'!AG$17:AG$531,'Data Pura Producción'!$R$17:$R$531,$Q53,'Data Pura Producción'!$Q$17:$Q$531,$R53)=0,"",SUMIFS('Data Pura Producción'!AG$17:AG$531,'Data Pura Producción'!$R$17:$R$531,$Q53,'Data Pura Producción'!$Q$17:$Q$531,$R53)))</f>
        <v/>
      </c>
      <c r="W53" s="182" t="str">
        <f>+IF($Q53="","",IF(SUMIFS('Data Pura Producción'!AH$17:AH$531,'Data Pura Producción'!$R$17:$R$531,$Q53,'Data Pura Producción'!$Q$17:$Q$531,$R53)=0,"",SUMIFS('Data Pura Producción'!AH$17:AH$531,'Data Pura Producción'!$R$17:$R$531,$Q53,'Data Pura Producción'!$Q$17:$Q$531,$R53)))</f>
        <v/>
      </c>
      <c r="X53" s="182" t="str">
        <f>+IF($Q53="","",IF(SUMIFS('Data Pura Producción'!AI$17:AI$531,'Data Pura Producción'!$R$17:$R$531,$Q53,'Data Pura Producción'!$Q$17:$Q$531,$R53)=0,"",SUMIFS('Data Pura Producción'!AI$17:AI$531,'Data Pura Producción'!$R$17:$R$531,$Q53,'Data Pura Producción'!$Q$17:$Q$531,$R53)))</f>
        <v/>
      </c>
      <c r="Y53" s="182" t="str">
        <f>+IF($Q53="","",IF(SUMIFS('Data Pura Producción'!AJ$17:AJ$531,'Data Pura Producción'!$R$17:$R$531,$Q53,'Data Pura Producción'!$Q$17:$Q$531,$R53)=0,"",SUMIFS('Data Pura Producción'!AJ$17:AJ$531,'Data Pura Producción'!$R$17:$R$531,$Q53,'Data Pura Producción'!$Q$17:$Q$531,$R53)))</f>
        <v/>
      </c>
      <c r="Z53" s="182" t="str">
        <f>+IF($Q53="","",IF(SUMIFS('Data Pura Producción'!AK$17:AK$531,'Data Pura Producción'!$R$17:$R$531,$Q53,'Data Pura Producción'!$Q$17:$Q$531,$R53)=0,"",SUMIFS('Data Pura Producción'!AK$17:AK$531,'Data Pura Producción'!$R$17:$R$531,$Q53,'Data Pura Producción'!$Q$17:$Q$531,$R53)))</f>
        <v/>
      </c>
      <c r="AA53" s="182" t="str">
        <f>+IF($Q53="","",IF(SUMIFS('Data Pura Producción'!AL$17:AL$531,'Data Pura Producción'!$R$17:$R$531,$Q53,'Data Pura Producción'!$Q$17:$Q$531,$R53)=0,"",SUMIFS('Data Pura Producción'!AL$17:AL$531,'Data Pura Producción'!$R$17:$R$531,$Q53,'Data Pura Producción'!$Q$17:$Q$531,$R53)))</f>
        <v/>
      </c>
      <c r="AB53" s="182" t="str">
        <f>+IF($Q53="","",IF(SUMIFS('Data Pura Producción'!AM$17:AM$531,'Data Pura Producción'!$R$17:$R$531,$Q53,'Data Pura Producción'!$Q$17:$Q$531,$R53)=0,"",SUMIFS('Data Pura Producción'!AM$17:AM$531,'Data Pura Producción'!$R$17:$R$531,$Q53,'Data Pura Producción'!$Q$17:$Q$531,$R53)))</f>
        <v/>
      </c>
      <c r="AC53" s="182" t="str">
        <f>+IF($Q53="","",IF(SUMIFS('Data Pura Producción'!AN$17:AN$531,'Data Pura Producción'!$R$17:$R$531,$Q53,'Data Pura Producción'!$Q$17:$Q$531,$R53)=0,"",SUMIFS('Data Pura Producción'!AN$17:AN$531,'Data Pura Producción'!$R$17:$R$531,$Q53,'Data Pura Producción'!$Q$17:$Q$531,$R53)))</f>
        <v/>
      </c>
      <c r="AD53" s="182" t="str">
        <f>+IF($Q53="","",IF(SUMIFS('Data Pura Producción'!AO$17:AO$531,'Data Pura Producción'!$R$17:$R$531,$Q53,'Data Pura Producción'!$Q$17:$Q$531,$R53)=0,"",SUMIFS('Data Pura Producción'!AO$17:AO$531,'Data Pura Producción'!$R$17:$R$531,$Q53,'Data Pura Producción'!$Q$17:$Q$531,$R53)))</f>
        <v/>
      </c>
      <c r="AE53" s="182" t="str">
        <f>+IF($Q53="","",IF(SUMIFS('Data Pura Producción'!AP$17:AP$531,'Data Pura Producción'!$R$17:$R$531,$Q53,'Data Pura Producción'!$Q$17:$Q$531,$R53)=0,"",SUMIFS('Data Pura Producción'!AP$17:AP$531,'Data Pura Producción'!$R$17:$R$531,$Q53,'Data Pura Producción'!$Q$17:$Q$531,$R53)))</f>
        <v/>
      </c>
      <c r="AF53" s="182" t="str">
        <f>+IF($Q53="","",IF(SUMIFS('Data Pura Producción'!AQ$17:AQ$531,'Data Pura Producción'!$R$17:$R$531,$Q53,'Data Pura Producción'!$Q$17:$Q$531,$R53)=0,"",SUMIFS('Data Pura Producción'!AQ$17:AQ$531,'Data Pura Producción'!$R$17:$R$531,$Q53,'Data Pura Producción'!$Q$17:$Q$531,$R53)))</f>
        <v/>
      </c>
      <c r="AG53" s="182" t="str">
        <f>+IF($Q53="","",IF(SUMIFS('Data Pura Producción'!AR$17:AR$531,'Data Pura Producción'!$R$17:$R$531,$Q53,'Data Pura Producción'!$Q$17:$Q$531,$R53)=0,"",SUMIFS('Data Pura Producción'!AR$17:AR$531,'Data Pura Producción'!$R$17:$R$531,$Q53,'Data Pura Producción'!$Q$17:$Q$531,$R53)))</f>
        <v/>
      </c>
      <c r="AH53" s="182" t="str">
        <f>+IF($Q53="","",IF(SUMIFS('Data Pura Producción'!AS$17:AS$531,'Data Pura Producción'!$R$17:$R$531,$Q53,'Data Pura Producción'!$Q$17:$Q$531,$R53)=0,"",SUMIFS('Data Pura Producción'!AS$17:AS$531,'Data Pura Producción'!$R$17:$R$531,$Q53,'Data Pura Producción'!$Q$17:$Q$531,$R53)))</f>
        <v/>
      </c>
      <c r="AI53" s="182" t="str">
        <f>+IF($Q53="","",IF(SUMIFS('Data Pura Producción'!AT$17:AT$531,'Data Pura Producción'!$R$17:$R$531,$Q53,'Data Pura Producción'!$Q$17:$Q$531,$R53)=0,"",SUMIFS('Data Pura Producción'!AT$17:AT$531,'Data Pura Producción'!$R$17:$R$531,$Q53,'Data Pura Producción'!$Q$17:$Q$531,$R53)))</f>
        <v/>
      </c>
      <c r="AJ53" s="182" t="str">
        <f>+IF($Q53="","",IF(SUMIFS('Data Pura Producción'!AU$17:AU$531,'Data Pura Producción'!$R$17:$R$531,$Q53,'Data Pura Producción'!$Q$17:$Q$531,$R53)=0,"",SUMIFS('Data Pura Producción'!AU$17:AU$531,'Data Pura Producción'!$R$17:$R$531,$Q53,'Data Pura Producción'!$Q$17:$Q$531,$R53)))</f>
        <v/>
      </c>
      <c r="AK53" s="182" t="str">
        <f>+IF($Q53="","",IF(SUMIFS('Data Pura Producción'!AV$17:AV$531,'Data Pura Producción'!$R$17:$R$531,$Q53,'Data Pura Producción'!$Q$17:$Q$531,$R53)=0,"",SUMIFS('Data Pura Producción'!AV$17:AV$531,'Data Pura Producción'!$R$17:$R$531,$Q53,'Data Pura Producción'!$Q$17:$Q$531,$R53)))</f>
        <v/>
      </c>
      <c r="AL53" s="182" t="str">
        <f>+IF($Q53="","",IF(SUMIFS('Data Pura Producción'!AW$17:AW$531,'Data Pura Producción'!$R$17:$R$531,$Q53,'Data Pura Producción'!$Q$17:$Q$531,$R53)=0,"",SUMIFS('Data Pura Producción'!AW$17:AW$531,'Data Pura Producción'!$R$17:$R$531,$Q53,'Data Pura Producción'!$Q$17:$Q$531,$R53)))</f>
        <v/>
      </c>
      <c r="AM53" s="337" t="str">
        <f>+IF($Q53="","",IF(SUMIFS('Data Pura Producción'!AX$17:AX$531,'Data Pura Producción'!$R$17:$R$531,$Q53,'Data Pura Producción'!$Q$17:$Q$531,$R53)=0,"",SUMIFS('Data Pura Producción'!AX$17:AX$531,'Data Pura Producción'!$R$17:$R$531,$Q53,'Data Pura Producción'!$Q$17:$Q$531,$R53)))</f>
        <v/>
      </c>
      <c r="AN53" s="187" t="str">
        <f t="shared" si="4"/>
        <v/>
      </c>
    </row>
    <row r="54" spans="2:40" s="7" customFormat="1" x14ac:dyDescent="0.35">
      <c r="B54" s="4" t="str">
        <f>+IF('Data Pura Costos'!B54="","",'Data Pura Costos'!B54)</f>
        <v>Lihueimo</v>
      </c>
      <c r="C54" s="4" t="str">
        <f>+IF('Data Pura Costos'!C54="","",'Data Pura Costos'!C54)</f>
        <v>Peralillo ohiggins</v>
      </c>
      <c r="D54" s="5">
        <f>+IF('Data Pura Costos'!D54="","",'Data Pura Costos'!D54)</f>
        <v>131</v>
      </c>
      <c r="E54" s="65">
        <f>+IF('Data Pura Costos'!E54="","",IF('Data Pura Costos'!E54=0,MAX('Data Pura Costos'!$E$7:$E$3000)*1000,'Data Pura Costos'!E54))</f>
        <v>420000</v>
      </c>
      <c r="F54" s="5" t="str">
        <f>+IF('Data Pura Costos'!F54="","",'Data Pura Costos'!F54)</f>
        <v>Mostazal</v>
      </c>
      <c r="G54" s="5" t="str">
        <f>+IF('Data Pura Costos'!G54="","",'Data Pura Costos'!G54)</f>
        <v xml:space="preserve">GUSTAVO ZÚÑIGA </v>
      </c>
      <c r="H54" s="52" t="str">
        <f>+IF('Data Pura Costos'!H54="","",'Data Pura Costos'!H54)</f>
        <v>Termo</v>
      </c>
      <c r="I54" s="71">
        <f>+IF('Data Pura Costos'!I54="","",'Data Pura Costos'!I54)</f>
        <v>3206.1068702290077</v>
      </c>
      <c r="J54" s="52" t="str">
        <f>+IF('Data Pura Costos'!J54="","",'Data Pura Costos'!J54)</f>
        <v>24-25</v>
      </c>
      <c r="K54" s="82" t="str">
        <f t="shared" si="3"/>
        <v xml:space="preserve">Lihueimo-Mostazal-GUSTAVO ZÚÑIGA </v>
      </c>
      <c r="M54" s="4"/>
      <c r="N54" s="5" t="str">
        <f>+IF(M54="","",INDEX('Parámetros Auxiliares'!$D$7:$D$65,MATCH(M54,'Parámetros Auxiliares'!$D$7:$D$65,0)))</f>
        <v/>
      </c>
      <c r="O54" s="259"/>
      <c r="P54" s="1" t="str">
        <f t="shared" si="1"/>
        <v/>
      </c>
      <c r="Q54" s="23"/>
      <c r="R54" s="333"/>
      <c r="S54" s="336" t="str">
        <f>+IF($Q54="","",IF(SUMIFS('Data Pura Producción'!AD$17:AD$531,'Data Pura Producción'!$R$17:$R$531,$Q54,'Data Pura Producción'!$Q$17:$Q$531,$R54)=0,"",SUMIFS('Data Pura Producción'!AD$17:AD$531,'Data Pura Producción'!$R$17:$R$531,$Q54,'Data Pura Producción'!$Q$17:$Q$531,$R54)))</f>
        <v/>
      </c>
      <c r="T54" s="182" t="str">
        <f>+IF($Q54="","",IF(SUMIFS('Data Pura Producción'!AE$17:AE$531,'Data Pura Producción'!$R$17:$R$531,$Q54,'Data Pura Producción'!$Q$17:$Q$531,$R54)=0,"",SUMIFS('Data Pura Producción'!AE$17:AE$531,'Data Pura Producción'!$R$17:$R$531,$Q54,'Data Pura Producción'!$Q$17:$Q$531,$R54)))</f>
        <v/>
      </c>
      <c r="U54" s="182" t="str">
        <f>+IF($Q54="","",IF(SUMIFS('Data Pura Producción'!AF$17:AF$531,'Data Pura Producción'!$R$17:$R$531,$Q54,'Data Pura Producción'!$Q$17:$Q$531,$R54)=0,"",SUMIFS('Data Pura Producción'!AF$17:AF$531,'Data Pura Producción'!$R$17:$R$531,$Q54,'Data Pura Producción'!$Q$17:$Q$531,$R54)))</f>
        <v/>
      </c>
      <c r="V54" s="182" t="str">
        <f>+IF($Q54="","",IF(SUMIFS('Data Pura Producción'!AG$17:AG$531,'Data Pura Producción'!$R$17:$R$531,$Q54,'Data Pura Producción'!$Q$17:$Q$531,$R54)=0,"",SUMIFS('Data Pura Producción'!AG$17:AG$531,'Data Pura Producción'!$R$17:$R$531,$Q54,'Data Pura Producción'!$Q$17:$Q$531,$R54)))</f>
        <v/>
      </c>
      <c r="W54" s="182" t="str">
        <f>+IF($Q54="","",IF(SUMIFS('Data Pura Producción'!AH$17:AH$531,'Data Pura Producción'!$R$17:$R$531,$Q54,'Data Pura Producción'!$Q$17:$Q$531,$R54)=0,"",SUMIFS('Data Pura Producción'!AH$17:AH$531,'Data Pura Producción'!$R$17:$R$531,$Q54,'Data Pura Producción'!$Q$17:$Q$531,$R54)))</f>
        <v/>
      </c>
      <c r="X54" s="182" t="str">
        <f>+IF($Q54="","",IF(SUMIFS('Data Pura Producción'!AI$17:AI$531,'Data Pura Producción'!$R$17:$R$531,$Q54,'Data Pura Producción'!$Q$17:$Q$531,$R54)=0,"",SUMIFS('Data Pura Producción'!AI$17:AI$531,'Data Pura Producción'!$R$17:$R$531,$Q54,'Data Pura Producción'!$Q$17:$Q$531,$R54)))</f>
        <v/>
      </c>
      <c r="Y54" s="182" t="str">
        <f>+IF($Q54="","",IF(SUMIFS('Data Pura Producción'!AJ$17:AJ$531,'Data Pura Producción'!$R$17:$R$531,$Q54,'Data Pura Producción'!$Q$17:$Q$531,$R54)=0,"",SUMIFS('Data Pura Producción'!AJ$17:AJ$531,'Data Pura Producción'!$R$17:$R$531,$Q54,'Data Pura Producción'!$Q$17:$Q$531,$R54)))</f>
        <v/>
      </c>
      <c r="Z54" s="182" t="str">
        <f>+IF($Q54="","",IF(SUMIFS('Data Pura Producción'!AK$17:AK$531,'Data Pura Producción'!$R$17:$R$531,$Q54,'Data Pura Producción'!$Q$17:$Q$531,$R54)=0,"",SUMIFS('Data Pura Producción'!AK$17:AK$531,'Data Pura Producción'!$R$17:$R$531,$Q54,'Data Pura Producción'!$Q$17:$Q$531,$R54)))</f>
        <v/>
      </c>
      <c r="AA54" s="182" t="str">
        <f>+IF($Q54="","",IF(SUMIFS('Data Pura Producción'!AL$17:AL$531,'Data Pura Producción'!$R$17:$R$531,$Q54,'Data Pura Producción'!$Q$17:$Q$531,$R54)=0,"",SUMIFS('Data Pura Producción'!AL$17:AL$531,'Data Pura Producción'!$R$17:$R$531,$Q54,'Data Pura Producción'!$Q$17:$Q$531,$R54)))</f>
        <v/>
      </c>
      <c r="AB54" s="182" t="str">
        <f>+IF($Q54="","",IF(SUMIFS('Data Pura Producción'!AM$17:AM$531,'Data Pura Producción'!$R$17:$R$531,$Q54,'Data Pura Producción'!$Q$17:$Q$531,$R54)=0,"",SUMIFS('Data Pura Producción'!AM$17:AM$531,'Data Pura Producción'!$R$17:$R$531,$Q54,'Data Pura Producción'!$Q$17:$Q$531,$R54)))</f>
        <v/>
      </c>
      <c r="AC54" s="182" t="str">
        <f>+IF($Q54="","",IF(SUMIFS('Data Pura Producción'!AN$17:AN$531,'Data Pura Producción'!$R$17:$R$531,$Q54,'Data Pura Producción'!$Q$17:$Q$531,$R54)=0,"",SUMIFS('Data Pura Producción'!AN$17:AN$531,'Data Pura Producción'!$R$17:$R$531,$Q54,'Data Pura Producción'!$Q$17:$Q$531,$R54)))</f>
        <v/>
      </c>
      <c r="AD54" s="182" t="str">
        <f>+IF($Q54="","",IF(SUMIFS('Data Pura Producción'!AO$17:AO$531,'Data Pura Producción'!$R$17:$R$531,$Q54,'Data Pura Producción'!$Q$17:$Q$531,$R54)=0,"",SUMIFS('Data Pura Producción'!AO$17:AO$531,'Data Pura Producción'!$R$17:$R$531,$Q54,'Data Pura Producción'!$Q$17:$Q$531,$R54)))</f>
        <v/>
      </c>
      <c r="AE54" s="182" t="str">
        <f>+IF($Q54="","",IF(SUMIFS('Data Pura Producción'!AP$17:AP$531,'Data Pura Producción'!$R$17:$R$531,$Q54,'Data Pura Producción'!$Q$17:$Q$531,$R54)=0,"",SUMIFS('Data Pura Producción'!AP$17:AP$531,'Data Pura Producción'!$R$17:$R$531,$Q54,'Data Pura Producción'!$Q$17:$Q$531,$R54)))</f>
        <v/>
      </c>
      <c r="AF54" s="182" t="str">
        <f>+IF($Q54="","",IF(SUMIFS('Data Pura Producción'!AQ$17:AQ$531,'Data Pura Producción'!$R$17:$R$531,$Q54,'Data Pura Producción'!$Q$17:$Q$531,$R54)=0,"",SUMIFS('Data Pura Producción'!AQ$17:AQ$531,'Data Pura Producción'!$R$17:$R$531,$Q54,'Data Pura Producción'!$Q$17:$Q$531,$R54)))</f>
        <v/>
      </c>
      <c r="AG54" s="182" t="str">
        <f>+IF($Q54="","",IF(SUMIFS('Data Pura Producción'!AR$17:AR$531,'Data Pura Producción'!$R$17:$R$531,$Q54,'Data Pura Producción'!$Q$17:$Q$531,$R54)=0,"",SUMIFS('Data Pura Producción'!AR$17:AR$531,'Data Pura Producción'!$R$17:$R$531,$Q54,'Data Pura Producción'!$Q$17:$Q$531,$R54)))</f>
        <v/>
      </c>
      <c r="AH54" s="182" t="str">
        <f>+IF($Q54="","",IF(SUMIFS('Data Pura Producción'!AS$17:AS$531,'Data Pura Producción'!$R$17:$R$531,$Q54,'Data Pura Producción'!$Q$17:$Q$531,$R54)=0,"",SUMIFS('Data Pura Producción'!AS$17:AS$531,'Data Pura Producción'!$R$17:$R$531,$Q54,'Data Pura Producción'!$Q$17:$Q$531,$R54)))</f>
        <v/>
      </c>
      <c r="AI54" s="182" t="str">
        <f>+IF($Q54="","",IF(SUMIFS('Data Pura Producción'!AT$17:AT$531,'Data Pura Producción'!$R$17:$R$531,$Q54,'Data Pura Producción'!$Q$17:$Q$531,$R54)=0,"",SUMIFS('Data Pura Producción'!AT$17:AT$531,'Data Pura Producción'!$R$17:$R$531,$Q54,'Data Pura Producción'!$Q$17:$Q$531,$R54)))</f>
        <v/>
      </c>
      <c r="AJ54" s="182" t="str">
        <f>+IF($Q54="","",IF(SUMIFS('Data Pura Producción'!AU$17:AU$531,'Data Pura Producción'!$R$17:$R$531,$Q54,'Data Pura Producción'!$Q$17:$Q$531,$R54)=0,"",SUMIFS('Data Pura Producción'!AU$17:AU$531,'Data Pura Producción'!$R$17:$R$531,$Q54,'Data Pura Producción'!$Q$17:$Q$531,$R54)))</f>
        <v/>
      </c>
      <c r="AK54" s="182" t="str">
        <f>+IF($Q54="","",IF(SUMIFS('Data Pura Producción'!AV$17:AV$531,'Data Pura Producción'!$R$17:$R$531,$Q54,'Data Pura Producción'!$Q$17:$Q$531,$R54)=0,"",SUMIFS('Data Pura Producción'!AV$17:AV$531,'Data Pura Producción'!$R$17:$R$531,$Q54,'Data Pura Producción'!$Q$17:$Q$531,$R54)))</f>
        <v/>
      </c>
      <c r="AL54" s="182" t="str">
        <f>+IF($Q54="","",IF(SUMIFS('Data Pura Producción'!AW$17:AW$531,'Data Pura Producción'!$R$17:$R$531,$Q54,'Data Pura Producción'!$Q$17:$Q$531,$R54)=0,"",SUMIFS('Data Pura Producción'!AW$17:AW$531,'Data Pura Producción'!$R$17:$R$531,$Q54,'Data Pura Producción'!$Q$17:$Q$531,$R54)))</f>
        <v/>
      </c>
      <c r="AM54" s="337" t="str">
        <f>+IF($Q54="","",IF(SUMIFS('Data Pura Producción'!AX$17:AX$531,'Data Pura Producción'!$R$17:$R$531,$Q54,'Data Pura Producción'!$Q$17:$Q$531,$R54)=0,"",SUMIFS('Data Pura Producción'!AX$17:AX$531,'Data Pura Producción'!$R$17:$R$531,$Q54,'Data Pura Producción'!$Q$17:$Q$531,$R54)))</f>
        <v/>
      </c>
      <c r="AN54" s="187" t="str">
        <f t="shared" si="4"/>
        <v/>
      </c>
    </row>
    <row r="55" spans="2:40" s="7" customFormat="1" x14ac:dyDescent="0.35">
      <c r="B55" s="4" t="str">
        <f>+IF('Data Pura Costos'!B55="","",'Data Pura Costos'!B55)</f>
        <v>Los Encinos</v>
      </c>
      <c r="C55" s="4" t="str">
        <f>+IF('Data Pura Costos'!C55="","",'Data Pura Costos'!C55)</f>
        <v>Huechun, RM</v>
      </c>
      <c r="D55" s="5">
        <f>+IF('Data Pura Costos'!D55="","",'Data Pura Costos'!D55)</f>
        <v>85</v>
      </c>
      <c r="E55" s="65">
        <f>+IF('Data Pura Costos'!E55="","",IF('Data Pura Costos'!E55=0,MAX('Data Pura Costos'!$E$7:$E$3000)*1000,'Data Pura Costos'!E55))</f>
        <v>400000</v>
      </c>
      <c r="F55" s="5" t="str">
        <f>+IF('Data Pura Costos'!F55="","",'Data Pura Costos'!F55)</f>
        <v>Mostazal</v>
      </c>
      <c r="G55" s="5" t="str">
        <f>+IF('Data Pura Costos'!G55="","",'Data Pura Costos'!G55)</f>
        <v xml:space="preserve">GUSTAVO ZÚÑIGA </v>
      </c>
      <c r="H55" s="52" t="str">
        <f>+IF('Data Pura Costos'!H55="","",'Data Pura Costos'!H55)</f>
        <v>Termo</v>
      </c>
      <c r="I55" s="71">
        <f>+IF('Data Pura Costos'!I55="","",'Data Pura Costos'!I55)</f>
        <v>4705.8823529411766</v>
      </c>
      <c r="J55" s="52" t="str">
        <f>+IF('Data Pura Costos'!J55="","",'Data Pura Costos'!J55)</f>
        <v>24-25</v>
      </c>
      <c r="K55" s="82" t="str">
        <f t="shared" si="3"/>
        <v xml:space="preserve">Los Encinos-Mostazal-GUSTAVO ZÚÑIGA </v>
      </c>
      <c r="M55" s="4"/>
      <c r="N55" s="5" t="str">
        <f>+IF(M55="","",INDEX('Parámetros Auxiliares'!$D$7:$D$65,MATCH(M55,'Parámetros Auxiliares'!$D$7:$D$65,0)))</f>
        <v/>
      </c>
      <c r="O55" s="259"/>
      <c r="P55" s="1" t="str">
        <f t="shared" si="1"/>
        <v/>
      </c>
      <c r="Q55" s="23"/>
      <c r="R55" s="333"/>
      <c r="S55" s="336" t="str">
        <f>+IF($Q55="","",IF(SUMIFS('Data Pura Producción'!AD$17:AD$531,'Data Pura Producción'!$R$17:$R$531,$Q55,'Data Pura Producción'!$Q$17:$Q$531,$R55)=0,"",SUMIFS('Data Pura Producción'!AD$17:AD$531,'Data Pura Producción'!$R$17:$R$531,$Q55,'Data Pura Producción'!$Q$17:$Q$531,$R55)))</f>
        <v/>
      </c>
      <c r="T55" s="182" t="str">
        <f>+IF($Q55="","",IF(SUMIFS('Data Pura Producción'!AE$17:AE$531,'Data Pura Producción'!$R$17:$R$531,$Q55,'Data Pura Producción'!$Q$17:$Q$531,$R55)=0,"",SUMIFS('Data Pura Producción'!AE$17:AE$531,'Data Pura Producción'!$R$17:$R$531,$Q55,'Data Pura Producción'!$Q$17:$Q$531,$R55)))</f>
        <v/>
      </c>
      <c r="U55" s="182" t="str">
        <f>+IF($Q55="","",IF(SUMIFS('Data Pura Producción'!AF$17:AF$531,'Data Pura Producción'!$R$17:$R$531,$Q55,'Data Pura Producción'!$Q$17:$Q$531,$R55)=0,"",SUMIFS('Data Pura Producción'!AF$17:AF$531,'Data Pura Producción'!$R$17:$R$531,$Q55,'Data Pura Producción'!$Q$17:$Q$531,$R55)))</f>
        <v/>
      </c>
      <c r="V55" s="182" t="str">
        <f>+IF($Q55="","",IF(SUMIFS('Data Pura Producción'!AG$17:AG$531,'Data Pura Producción'!$R$17:$R$531,$Q55,'Data Pura Producción'!$Q$17:$Q$531,$R55)=0,"",SUMIFS('Data Pura Producción'!AG$17:AG$531,'Data Pura Producción'!$R$17:$R$531,$Q55,'Data Pura Producción'!$Q$17:$Q$531,$R55)))</f>
        <v/>
      </c>
      <c r="W55" s="182" t="str">
        <f>+IF($Q55="","",IF(SUMIFS('Data Pura Producción'!AH$17:AH$531,'Data Pura Producción'!$R$17:$R$531,$Q55,'Data Pura Producción'!$Q$17:$Q$531,$R55)=0,"",SUMIFS('Data Pura Producción'!AH$17:AH$531,'Data Pura Producción'!$R$17:$R$531,$Q55,'Data Pura Producción'!$Q$17:$Q$531,$R55)))</f>
        <v/>
      </c>
      <c r="X55" s="182" t="str">
        <f>+IF($Q55="","",IF(SUMIFS('Data Pura Producción'!AI$17:AI$531,'Data Pura Producción'!$R$17:$R$531,$Q55,'Data Pura Producción'!$Q$17:$Q$531,$R55)=0,"",SUMIFS('Data Pura Producción'!AI$17:AI$531,'Data Pura Producción'!$R$17:$R$531,$Q55,'Data Pura Producción'!$Q$17:$Q$531,$R55)))</f>
        <v/>
      </c>
      <c r="Y55" s="182" t="str">
        <f>+IF($Q55="","",IF(SUMIFS('Data Pura Producción'!AJ$17:AJ$531,'Data Pura Producción'!$R$17:$R$531,$Q55,'Data Pura Producción'!$Q$17:$Q$531,$R55)=0,"",SUMIFS('Data Pura Producción'!AJ$17:AJ$531,'Data Pura Producción'!$R$17:$R$531,$Q55,'Data Pura Producción'!$Q$17:$Q$531,$R55)))</f>
        <v/>
      </c>
      <c r="Z55" s="182" t="str">
        <f>+IF($Q55="","",IF(SUMIFS('Data Pura Producción'!AK$17:AK$531,'Data Pura Producción'!$R$17:$R$531,$Q55,'Data Pura Producción'!$Q$17:$Q$531,$R55)=0,"",SUMIFS('Data Pura Producción'!AK$17:AK$531,'Data Pura Producción'!$R$17:$R$531,$Q55,'Data Pura Producción'!$Q$17:$Q$531,$R55)))</f>
        <v/>
      </c>
      <c r="AA55" s="182" t="str">
        <f>+IF($Q55="","",IF(SUMIFS('Data Pura Producción'!AL$17:AL$531,'Data Pura Producción'!$R$17:$R$531,$Q55,'Data Pura Producción'!$Q$17:$Q$531,$R55)=0,"",SUMIFS('Data Pura Producción'!AL$17:AL$531,'Data Pura Producción'!$R$17:$R$531,$Q55,'Data Pura Producción'!$Q$17:$Q$531,$R55)))</f>
        <v/>
      </c>
      <c r="AB55" s="182" t="str">
        <f>+IF($Q55="","",IF(SUMIFS('Data Pura Producción'!AM$17:AM$531,'Data Pura Producción'!$R$17:$R$531,$Q55,'Data Pura Producción'!$Q$17:$Q$531,$R55)=0,"",SUMIFS('Data Pura Producción'!AM$17:AM$531,'Data Pura Producción'!$R$17:$R$531,$Q55,'Data Pura Producción'!$Q$17:$Q$531,$R55)))</f>
        <v/>
      </c>
      <c r="AC55" s="182" t="str">
        <f>+IF($Q55="","",IF(SUMIFS('Data Pura Producción'!AN$17:AN$531,'Data Pura Producción'!$R$17:$R$531,$Q55,'Data Pura Producción'!$Q$17:$Q$531,$R55)=0,"",SUMIFS('Data Pura Producción'!AN$17:AN$531,'Data Pura Producción'!$R$17:$R$531,$Q55,'Data Pura Producción'!$Q$17:$Q$531,$R55)))</f>
        <v/>
      </c>
      <c r="AD55" s="182" t="str">
        <f>+IF($Q55="","",IF(SUMIFS('Data Pura Producción'!AO$17:AO$531,'Data Pura Producción'!$R$17:$R$531,$Q55,'Data Pura Producción'!$Q$17:$Q$531,$R55)=0,"",SUMIFS('Data Pura Producción'!AO$17:AO$531,'Data Pura Producción'!$R$17:$R$531,$Q55,'Data Pura Producción'!$Q$17:$Q$531,$R55)))</f>
        <v/>
      </c>
      <c r="AE55" s="182" t="str">
        <f>+IF($Q55="","",IF(SUMIFS('Data Pura Producción'!AP$17:AP$531,'Data Pura Producción'!$R$17:$R$531,$Q55,'Data Pura Producción'!$Q$17:$Q$531,$R55)=0,"",SUMIFS('Data Pura Producción'!AP$17:AP$531,'Data Pura Producción'!$R$17:$R$531,$Q55,'Data Pura Producción'!$Q$17:$Q$531,$R55)))</f>
        <v/>
      </c>
      <c r="AF55" s="182" t="str">
        <f>+IF($Q55="","",IF(SUMIFS('Data Pura Producción'!AQ$17:AQ$531,'Data Pura Producción'!$R$17:$R$531,$Q55,'Data Pura Producción'!$Q$17:$Q$531,$R55)=0,"",SUMIFS('Data Pura Producción'!AQ$17:AQ$531,'Data Pura Producción'!$R$17:$R$531,$Q55,'Data Pura Producción'!$Q$17:$Q$531,$R55)))</f>
        <v/>
      </c>
      <c r="AG55" s="182" t="str">
        <f>+IF($Q55="","",IF(SUMIFS('Data Pura Producción'!AR$17:AR$531,'Data Pura Producción'!$R$17:$R$531,$Q55,'Data Pura Producción'!$Q$17:$Q$531,$R55)=0,"",SUMIFS('Data Pura Producción'!AR$17:AR$531,'Data Pura Producción'!$R$17:$R$531,$Q55,'Data Pura Producción'!$Q$17:$Q$531,$R55)))</f>
        <v/>
      </c>
      <c r="AH55" s="182" t="str">
        <f>+IF($Q55="","",IF(SUMIFS('Data Pura Producción'!AS$17:AS$531,'Data Pura Producción'!$R$17:$R$531,$Q55,'Data Pura Producción'!$Q$17:$Q$531,$R55)=0,"",SUMIFS('Data Pura Producción'!AS$17:AS$531,'Data Pura Producción'!$R$17:$R$531,$Q55,'Data Pura Producción'!$Q$17:$Q$531,$R55)))</f>
        <v/>
      </c>
      <c r="AI55" s="182" t="str">
        <f>+IF($Q55="","",IF(SUMIFS('Data Pura Producción'!AT$17:AT$531,'Data Pura Producción'!$R$17:$R$531,$Q55,'Data Pura Producción'!$Q$17:$Q$531,$R55)=0,"",SUMIFS('Data Pura Producción'!AT$17:AT$531,'Data Pura Producción'!$R$17:$R$531,$Q55,'Data Pura Producción'!$Q$17:$Q$531,$R55)))</f>
        <v/>
      </c>
      <c r="AJ55" s="182" t="str">
        <f>+IF($Q55="","",IF(SUMIFS('Data Pura Producción'!AU$17:AU$531,'Data Pura Producción'!$R$17:$R$531,$Q55,'Data Pura Producción'!$Q$17:$Q$531,$R55)=0,"",SUMIFS('Data Pura Producción'!AU$17:AU$531,'Data Pura Producción'!$R$17:$R$531,$Q55,'Data Pura Producción'!$Q$17:$Q$531,$R55)))</f>
        <v/>
      </c>
      <c r="AK55" s="182" t="str">
        <f>+IF($Q55="","",IF(SUMIFS('Data Pura Producción'!AV$17:AV$531,'Data Pura Producción'!$R$17:$R$531,$Q55,'Data Pura Producción'!$Q$17:$Q$531,$R55)=0,"",SUMIFS('Data Pura Producción'!AV$17:AV$531,'Data Pura Producción'!$R$17:$R$531,$Q55,'Data Pura Producción'!$Q$17:$Q$531,$R55)))</f>
        <v/>
      </c>
      <c r="AL55" s="182" t="str">
        <f>+IF($Q55="","",IF(SUMIFS('Data Pura Producción'!AW$17:AW$531,'Data Pura Producción'!$R$17:$R$531,$Q55,'Data Pura Producción'!$Q$17:$Q$531,$R55)=0,"",SUMIFS('Data Pura Producción'!AW$17:AW$531,'Data Pura Producción'!$R$17:$R$531,$Q55,'Data Pura Producción'!$Q$17:$Q$531,$R55)))</f>
        <v/>
      </c>
      <c r="AM55" s="337" t="str">
        <f>+IF($Q55="","",IF(SUMIFS('Data Pura Producción'!AX$17:AX$531,'Data Pura Producción'!$R$17:$R$531,$Q55,'Data Pura Producción'!$Q$17:$Q$531,$R55)=0,"",SUMIFS('Data Pura Producción'!AX$17:AX$531,'Data Pura Producción'!$R$17:$R$531,$Q55,'Data Pura Producción'!$Q$17:$Q$531,$R55)))</f>
        <v/>
      </c>
      <c r="AN55" s="187" t="str">
        <f t="shared" si="4"/>
        <v/>
      </c>
    </row>
    <row r="56" spans="2:40" s="7" customFormat="1" x14ac:dyDescent="0.35">
      <c r="B56" s="4" t="str">
        <f>+IF('Data Pura Costos'!B56="","",'Data Pura Costos'!B56)</f>
        <v>Los Maitenes</v>
      </c>
      <c r="C56" s="4" t="str">
        <f>+IF('Data Pura Costos'!C56="","",'Data Pura Costos'!C56)</f>
        <v>Las Cabras, VI región</v>
      </c>
      <c r="D56" s="5">
        <f>+IF('Data Pura Costos'!D56="","",'Data Pura Costos'!D56)</f>
        <v>118</v>
      </c>
      <c r="E56" s="65">
        <f>+IF('Data Pura Costos'!E56="","",IF('Data Pura Costos'!E56=0,MAX('Data Pura Costos'!$E$7:$E$3000)*1000,'Data Pura Costos'!E56))</f>
        <v>400000</v>
      </c>
      <c r="F56" s="5" t="str">
        <f>+IF('Data Pura Costos'!F56="","",'Data Pura Costos'!F56)</f>
        <v>Mostazal</v>
      </c>
      <c r="G56" s="5" t="str">
        <f>+IF('Data Pura Costos'!G56="","",'Data Pura Costos'!G56)</f>
        <v xml:space="preserve">GUSTAVO ZÚÑIGA </v>
      </c>
      <c r="H56" s="52" t="str">
        <f>+IF('Data Pura Costos'!H56="","",'Data Pura Costos'!H56)</f>
        <v>Termo</v>
      </c>
      <c r="I56" s="71">
        <f>+IF('Data Pura Costos'!I56="","",'Data Pura Costos'!I56)</f>
        <v>3389.8305084745762</v>
      </c>
      <c r="J56" s="52" t="str">
        <f>+IF('Data Pura Costos'!J56="","",'Data Pura Costos'!J56)</f>
        <v>24-25</v>
      </c>
      <c r="K56" s="82" t="str">
        <f t="shared" si="3"/>
        <v xml:space="preserve">Los Maitenes-Mostazal-GUSTAVO ZÚÑIGA </v>
      </c>
      <c r="M56" s="4"/>
      <c r="N56" s="5" t="str">
        <f>+IF(M56="","",INDEX('Parámetros Auxiliares'!$D$7:$D$65,MATCH(M56,'Parámetros Auxiliares'!$D$7:$D$65,0)))</f>
        <v/>
      </c>
      <c r="O56" s="259"/>
      <c r="P56" s="1" t="str">
        <f t="shared" si="1"/>
        <v/>
      </c>
      <c r="Q56" s="23"/>
      <c r="R56" s="333"/>
      <c r="S56" s="336" t="str">
        <f>+IF($Q56="","",IF(SUMIFS('Data Pura Producción'!AD$17:AD$531,'Data Pura Producción'!$R$17:$R$531,$Q56,'Data Pura Producción'!$Q$17:$Q$531,$R56)=0,"",SUMIFS('Data Pura Producción'!AD$17:AD$531,'Data Pura Producción'!$R$17:$R$531,$Q56,'Data Pura Producción'!$Q$17:$Q$531,$R56)))</f>
        <v/>
      </c>
      <c r="T56" s="182" t="str">
        <f>+IF($Q56="","",IF(SUMIFS('Data Pura Producción'!AE$17:AE$531,'Data Pura Producción'!$R$17:$R$531,$Q56,'Data Pura Producción'!$Q$17:$Q$531,$R56)=0,"",SUMIFS('Data Pura Producción'!AE$17:AE$531,'Data Pura Producción'!$R$17:$R$531,$Q56,'Data Pura Producción'!$Q$17:$Q$531,$R56)))</f>
        <v/>
      </c>
      <c r="U56" s="182" t="str">
        <f>+IF($Q56="","",IF(SUMIFS('Data Pura Producción'!AF$17:AF$531,'Data Pura Producción'!$R$17:$R$531,$Q56,'Data Pura Producción'!$Q$17:$Q$531,$R56)=0,"",SUMIFS('Data Pura Producción'!AF$17:AF$531,'Data Pura Producción'!$R$17:$R$531,$Q56,'Data Pura Producción'!$Q$17:$Q$531,$R56)))</f>
        <v/>
      </c>
      <c r="V56" s="182" t="str">
        <f>+IF($Q56="","",IF(SUMIFS('Data Pura Producción'!AG$17:AG$531,'Data Pura Producción'!$R$17:$R$531,$Q56,'Data Pura Producción'!$Q$17:$Q$531,$R56)=0,"",SUMIFS('Data Pura Producción'!AG$17:AG$531,'Data Pura Producción'!$R$17:$R$531,$Q56,'Data Pura Producción'!$Q$17:$Q$531,$R56)))</f>
        <v/>
      </c>
      <c r="W56" s="182" t="str">
        <f>+IF($Q56="","",IF(SUMIFS('Data Pura Producción'!AH$17:AH$531,'Data Pura Producción'!$R$17:$R$531,$Q56,'Data Pura Producción'!$Q$17:$Q$531,$R56)=0,"",SUMIFS('Data Pura Producción'!AH$17:AH$531,'Data Pura Producción'!$R$17:$R$531,$Q56,'Data Pura Producción'!$Q$17:$Q$531,$R56)))</f>
        <v/>
      </c>
      <c r="X56" s="182" t="str">
        <f>+IF($Q56="","",IF(SUMIFS('Data Pura Producción'!AI$17:AI$531,'Data Pura Producción'!$R$17:$R$531,$Q56,'Data Pura Producción'!$Q$17:$Q$531,$R56)=0,"",SUMIFS('Data Pura Producción'!AI$17:AI$531,'Data Pura Producción'!$R$17:$R$531,$Q56,'Data Pura Producción'!$Q$17:$Q$531,$R56)))</f>
        <v/>
      </c>
      <c r="Y56" s="182" t="str">
        <f>+IF($Q56="","",IF(SUMIFS('Data Pura Producción'!AJ$17:AJ$531,'Data Pura Producción'!$R$17:$R$531,$Q56,'Data Pura Producción'!$Q$17:$Q$531,$R56)=0,"",SUMIFS('Data Pura Producción'!AJ$17:AJ$531,'Data Pura Producción'!$R$17:$R$531,$Q56,'Data Pura Producción'!$Q$17:$Q$531,$R56)))</f>
        <v/>
      </c>
      <c r="Z56" s="182" t="str">
        <f>+IF($Q56="","",IF(SUMIFS('Data Pura Producción'!AK$17:AK$531,'Data Pura Producción'!$R$17:$R$531,$Q56,'Data Pura Producción'!$Q$17:$Q$531,$R56)=0,"",SUMIFS('Data Pura Producción'!AK$17:AK$531,'Data Pura Producción'!$R$17:$R$531,$Q56,'Data Pura Producción'!$Q$17:$Q$531,$R56)))</f>
        <v/>
      </c>
      <c r="AA56" s="182" t="str">
        <f>+IF($Q56="","",IF(SUMIFS('Data Pura Producción'!AL$17:AL$531,'Data Pura Producción'!$R$17:$R$531,$Q56,'Data Pura Producción'!$Q$17:$Q$531,$R56)=0,"",SUMIFS('Data Pura Producción'!AL$17:AL$531,'Data Pura Producción'!$R$17:$R$531,$Q56,'Data Pura Producción'!$Q$17:$Q$531,$R56)))</f>
        <v/>
      </c>
      <c r="AB56" s="182" t="str">
        <f>+IF($Q56="","",IF(SUMIFS('Data Pura Producción'!AM$17:AM$531,'Data Pura Producción'!$R$17:$R$531,$Q56,'Data Pura Producción'!$Q$17:$Q$531,$R56)=0,"",SUMIFS('Data Pura Producción'!AM$17:AM$531,'Data Pura Producción'!$R$17:$R$531,$Q56,'Data Pura Producción'!$Q$17:$Q$531,$R56)))</f>
        <v/>
      </c>
      <c r="AC56" s="182" t="str">
        <f>+IF($Q56="","",IF(SUMIFS('Data Pura Producción'!AN$17:AN$531,'Data Pura Producción'!$R$17:$R$531,$Q56,'Data Pura Producción'!$Q$17:$Q$531,$R56)=0,"",SUMIFS('Data Pura Producción'!AN$17:AN$531,'Data Pura Producción'!$R$17:$R$531,$Q56,'Data Pura Producción'!$Q$17:$Q$531,$R56)))</f>
        <v/>
      </c>
      <c r="AD56" s="182" t="str">
        <f>+IF($Q56="","",IF(SUMIFS('Data Pura Producción'!AO$17:AO$531,'Data Pura Producción'!$R$17:$R$531,$Q56,'Data Pura Producción'!$Q$17:$Q$531,$R56)=0,"",SUMIFS('Data Pura Producción'!AO$17:AO$531,'Data Pura Producción'!$R$17:$R$531,$Q56,'Data Pura Producción'!$Q$17:$Q$531,$R56)))</f>
        <v/>
      </c>
      <c r="AE56" s="182" t="str">
        <f>+IF($Q56="","",IF(SUMIFS('Data Pura Producción'!AP$17:AP$531,'Data Pura Producción'!$R$17:$R$531,$Q56,'Data Pura Producción'!$Q$17:$Q$531,$R56)=0,"",SUMIFS('Data Pura Producción'!AP$17:AP$531,'Data Pura Producción'!$R$17:$R$531,$Q56,'Data Pura Producción'!$Q$17:$Q$531,$R56)))</f>
        <v/>
      </c>
      <c r="AF56" s="182" t="str">
        <f>+IF($Q56="","",IF(SUMIFS('Data Pura Producción'!AQ$17:AQ$531,'Data Pura Producción'!$R$17:$R$531,$Q56,'Data Pura Producción'!$Q$17:$Q$531,$R56)=0,"",SUMIFS('Data Pura Producción'!AQ$17:AQ$531,'Data Pura Producción'!$R$17:$R$531,$Q56,'Data Pura Producción'!$Q$17:$Q$531,$R56)))</f>
        <v/>
      </c>
      <c r="AG56" s="182" t="str">
        <f>+IF($Q56="","",IF(SUMIFS('Data Pura Producción'!AR$17:AR$531,'Data Pura Producción'!$R$17:$R$531,$Q56,'Data Pura Producción'!$Q$17:$Q$531,$R56)=0,"",SUMIFS('Data Pura Producción'!AR$17:AR$531,'Data Pura Producción'!$R$17:$R$531,$Q56,'Data Pura Producción'!$Q$17:$Q$531,$R56)))</f>
        <v/>
      </c>
      <c r="AH56" s="182" t="str">
        <f>+IF($Q56="","",IF(SUMIFS('Data Pura Producción'!AS$17:AS$531,'Data Pura Producción'!$R$17:$R$531,$Q56,'Data Pura Producción'!$Q$17:$Q$531,$R56)=0,"",SUMIFS('Data Pura Producción'!AS$17:AS$531,'Data Pura Producción'!$R$17:$R$531,$Q56,'Data Pura Producción'!$Q$17:$Q$531,$R56)))</f>
        <v/>
      </c>
      <c r="AI56" s="182" t="str">
        <f>+IF($Q56="","",IF(SUMIFS('Data Pura Producción'!AT$17:AT$531,'Data Pura Producción'!$R$17:$R$531,$Q56,'Data Pura Producción'!$Q$17:$Q$531,$R56)=0,"",SUMIFS('Data Pura Producción'!AT$17:AT$531,'Data Pura Producción'!$R$17:$R$531,$Q56,'Data Pura Producción'!$Q$17:$Q$531,$R56)))</f>
        <v/>
      </c>
      <c r="AJ56" s="182" t="str">
        <f>+IF($Q56="","",IF(SUMIFS('Data Pura Producción'!AU$17:AU$531,'Data Pura Producción'!$R$17:$R$531,$Q56,'Data Pura Producción'!$Q$17:$Q$531,$R56)=0,"",SUMIFS('Data Pura Producción'!AU$17:AU$531,'Data Pura Producción'!$R$17:$R$531,$Q56,'Data Pura Producción'!$Q$17:$Q$531,$R56)))</f>
        <v/>
      </c>
      <c r="AK56" s="182" t="str">
        <f>+IF($Q56="","",IF(SUMIFS('Data Pura Producción'!AV$17:AV$531,'Data Pura Producción'!$R$17:$R$531,$Q56,'Data Pura Producción'!$Q$17:$Q$531,$R56)=0,"",SUMIFS('Data Pura Producción'!AV$17:AV$531,'Data Pura Producción'!$R$17:$R$531,$Q56,'Data Pura Producción'!$Q$17:$Q$531,$R56)))</f>
        <v/>
      </c>
      <c r="AL56" s="182" t="str">
        <f>+IF($Q56="","",IF(SUMIFS('Data Pura Producción'!AW$17:AW$531,'Data Pura Producción'!$R$17:$R$531,$Q56,'Data Pura Producción'!$Q$17:$Q$531,$R56)=0,"",SUMIFS('Data Pura Producción'!AW$17:AW$531,'Data Pura Producción'!$R$17:$R$531,$Q56,'Data Pura Producción'!$Q$17:$Q$531,$R56)))</f>
        <v/>
      </c>
      <c r="AM56" s="337" t="str">
        <f>+IF($Q56="","",IF(SUMIFS('Data Pura Producción'!AX$17:AX$531,'Data Pura Producción'!$R$17:$R$531,$Q56,'Data Pura Producción'!$Q$17:$Q$531,$R56)=0,"",SUMIFS('Data Pura Producción'!AX$17:AX$531,'Data Pura Producción'!$R$17:$R$531,$Q56,'Data Pura Producción'!$Q$17:$Q$531,$R56)))</f>
        <v/>
      </c>
      <c r="AN56" s="187" t="str">
        <f t="shared" si="4"/>
        <v/>
      </c>
    </row>
    <row r="57" spans="2:40" s="7" customFormat="1" x14ac:dyDescent="0.35">
      <c r="B57" s="4" t="str">
        <f>+IF('Data Pura Costos'!B57="","",'Data Pura Costos'!B57)</f>
        <v>Los Toldos</v>
      </c>
      <c r="C57" s="4" t="str">
        <f>+IF('Data Pura Costos'!C57="","",'Data Pura Costos'!C57)</f>
        <v>Angol, IX región</v>
      </c>
      <c r="D57" s="5">
        <f>+IF('Data Pura Costos'!D57="","",'Data Pura Costos'!D57)</f>
        <v>549</v>
      </c>
      <c r="E57" s="65">
        <f>+IF('Data Pura Costos'!E57="","",IF('Data Pura Costos'!E57=0,MAX('Data Pura Costos'!$E$7:$E$3000)*1000,'Data Pura Costos'!E57))</f>
        <v>1480000</v>
      </c>
      <c r="F57" s="5" t="str">
        <f>+IF('Data Pura Costos'!F57="","",'Data Pura Costos'!F57)</f>
        <v>Mostazal</v>
      </c>
      <c r="G57" s="5" t="str">
        <f>+IF('Data Pura Costos'!G57="","",'Data Pura Costos'!G57)</f>
        <v xml:space="preserve">GUSTAVO ZÚÑIGA </v>
      </c>
      <c r="H57" s="52" t="str">
        <f>+IF('Data Pura Costos'!H57="","",'Data Pura Costos'!H57)</f>
        <v>Termo</v>
      </c>
      <c r="I57" s="71">
        <f>+IF('Data Pura Costos'!I57="","",'Data Pura Costos'!I57)</f>
        <v>2695.8105646630238</v>
      </c>
      <c r="J57" s="52" t="str">
        <f>+IF('Data Pura Costos'!J57="","",'Data Pura Costos'!J57)</f>
        <v>24-25</v>
      </c>
      <c r="K57" s="82" t="str">
        <f t="shared" si="3"/>
        <v xml:space="preserve">Los Toldos-Mostazal-GUSTAVO ZÚÑIGA </v>
      </c>
      <c r="M57" s="4"/>
      <c r="N57" s="5" t="str">
        <f>+IF(M57="","",INDEX('Parámetros Auxiliares'!$D$7:$D$65,MATCH(M57,'Parámetros Auxiliares'!$D$7:$D$65,0)))</f>
        <v/>
      </c>
      <c r="O57" s="259"/>
      <c r="P57" s="1" t="str">
        <f t="shared" si="1"/>
        <v/>
      </c>
      <c r="Q57" s="23"/>
      <c r="R57" s="333"/>
      <c r="S57" s="336" t="str">
        <f>+IF($Q57="","",IF(SUMIFS('Data Pura Producción'!AD$17:AD$531,'Data Pura Producción'!$R$17:$R$531,$Q57,'Data Pura Producción'!$Q$17:$Q$531,$R57)=0,"",SUMIFS('Data Pura Producción'!AD$17:AD$531,'Data Pura Producción'!$R$17:$R$531,$Q57,'Data Pura Producción'!$Q$17:$Q$531,$R57)))</f>
        <v/>
      </c>
      <c r="T57" s="182" t="str">
        <f>+IF($Q57="","",IF(SUMIFS('Data Pura Producción'!AE$17:AE$531,'Data Pura Producción'!$R$17:$R$531,$Q57,'Data Pura Producción'!$Q$17:$Q$531,$R57)=0,"",SUMIFS('Data Pura Producción'!AE$17:AE$531,'Data Pura Producción'!$R$17:$R$531,$Q57,'Data Pura Producción'!$Q$17:$Q$531,$R57)))</f>
        <v/>
      </c>
      <c r="U57" s="182" t="str">
        <f>+IF($Q57="","",IF(SUMIFS('Data Pura Producción'!AF$17:AF$531,'Data Pura Producción'!$R$17:$R$531,$Q57,'Data Pura Producción'!$Q$17:$Q$531,$R57)=0,"",SUMIFS('Data Pura Producción'!AF$17:AF$531,'Data Pura Producción'!$R$17:$R$531,$Q57,'Data Pura Producción'!$Q$17:$Q$531,$R57)))</f>
        <v/>
      </c>
      <c r="V57" s="182" t="str">
        <f>+IF($Q57="","",IF(SUMIFS('Data Pura Producción'!AG$17:AG$531,'Data Pura Producción'!$R$17:$R$531,$Q57,'Data Pura Producción'!$Q$17:$Q$531,$R57)=0,"",SUMIFS('Data Pura Producción'!AG$17:AG$531,'Data Pura Producción'!$R$17:$R$531,$Q57,'Data Pura Producción'!$Q$17:$Q$531,$R57)))</f>
        <v/>
      </c>
      <c r="W57" s="182" t="str">
        <f>+IF($Q57="","",IF(SUMIFS('Data Pura Producción'!AH$17:AH$531,'Data Pura Producción'!$R$17:$R$531,$Q57,'Data Pura Producción'!$Q$17:$Q$531,$R57)=0,"",SUMIFS('Data Pura Producción'!AH$17:AH$531,'Data Pura Producción'!$R$17:$R$531,$Q57,'Data Pura Producción'!$Q$17:$Q$531,$R57)))</f>
        <v/>
      </c>
      <c r="X57" s="182" t="str">
        <f>+IF($Q57="","",IF(SUMIFS('Data Pura Producción'!AI$17:AI$531,'Data Pura Producción'!$R$17:$R$531,$Q57,'Data Pura Producción'!$Q$17:$Q$531,$R57)=0,"",SUMIFS('Data Pura Producción'!AI$17:AI$531,'Data Pura Producción'!$R$17:$R$531,$Q57,'Data Pura Producción'!$Q$17:$Q$531,$R57)))</f>
        <v/>
      </c>
      <c r="Y57" s="182" t="str">
        <f>+IF($Q57="","",IF(SUMIFS('Data Pura Producción'!AJ$17:AJ$531,'Data Pura Producción'!$R$17:$R$531,$Q57,'Data Pura Producción'!$Q$17:$Q$531,$R57)=0,"",SUMIFS('Data Pura Producción'!AJ$17:AJ$531,'Data Pura Producción'!$R$17:$R$531,$Q57,'Data Pura Producción'!$Q$17:$Q$531,$R57)))</f>
        <v/>
      </c>
      <c r="Z57" s="182" t="str">
        <f>+IF($Q57="","",IF(SUMIFS('Data Pura Producción'!AK$17:AK$531,'Data Pura Producción'!$R$17:$R$531,$Q57,'Data Pura Producción'!$Q$17:$Q$531,$R57)=0,"",SUMIFS('Data Pura Producción'!AK$17:AK$531,'Data Pura Producción'!$R$17:$R$531,$Q57,'Data Pura Producción'!$Q$17:$Q$531,$R57)))</f>
        <v/>
      </c>
      <c r="AA57" s="182" t="str">
        <f>+IF($Q57="","",IF(SUMIFS('Data Pura Producción'!AL$17:AL$531,'Data Pura Producción'!$R$17:$R$531,$Q57,'Data Pura Producción'!$Q$17:$Q$531,$R57)=0,"",SUMIFS('Data Pura Producción'!AL$17:AL$531,'Data Pura Producción'!$R$17:$R$531,$Q57,'Data Pura Producción'!$Q$17:$Q$531,$R57)))</f>
        <v/>
      </c>
      <c r="AB57" s="182" t="str">
        <f>+IF($Q57="","",IF(SUMIFS('Data Pura Producción'!AM$17:AM$531,'Data Pura Producción'!$R$17:$R$531,$Q57,'Data Pura Producción'!$Q$17:$Q$531,$R57)=0,"",SUMIFS('Data Pura Producción'!AM$17:AM$531,'Data Pura Producción'!$R$17:$R$531,$Q57,'Data Pura Producción'!$Q$17:$Q$531,$R57)))</f>
        <v/>
      </c>
      <c r="AC57" s="182" t="str">
        <f>+IF($Q57="","",IF(SUMIFS('Data Pura Producción'!AN$17:AN$531,'Data Pura Producción'!$R$17:$R$531,$Q57,'Data Pura Producción'!$Q$17:$Q$531,$R57)=0,"",SUMIFS('Data Pura Producción'!AN$17:AN$531,'Data Pura Producción'!$R$17:$R$531,$Q57,'Data Pura Producción'!$Q$17:$Q$531,$R57)))</f>
        <v/>
      </c>
      <c r="AD57" s="182" t="str">
        <f>+IF($Q57="","",IF(SUMIFS('Data Pura Producción'!AO$17:AO$531,'Data Pura Producción'!$R$17:$R$531,$Q57,'Data Pura Producción'!$Q$17:$Q$531,$R57)=0,"",SUMIFS('Data Pura Producción'!AO$17:AO$531,'Data Pura Producción'!$R$17:$R$531,$Q57,'Data Pura Producción'!$Q$17:$Q$531,$R57)))</f>
        <v/>
      </c>
      <c r="AE57" s="182" t="str">
        <f>+IF($Q57="","",IF(SUMIFS('Data Pura Producción'!AP$17:AP$531,'Data Pura Producción'!$R$17:$R$531,$Q57,'Data Pura Producción'!$Q$17:$Q$531,$R57)=0,"",SUMIFS('Data Pura Producción'!AP$17:AP$531,'Data Pura Producción'!$R$17:$R$531,$Q57,'Data Pura Producción'!$Q$17:$Q$531,$R57)))</f>
        <v/>
      </c>
      <c r="AF57" s="182" t="str">
        <f>+IF($Q57="","",IF(SUMIFS('Data Pura Producción'!AQ$17:AQ$531,'Data Pura Producción'!$R$17:$R$531,$Q57,'Data Pura Producción'!$Q$17:$Q$531,$R57)=0,"",SUMIFS('Data Pura Producción'!AQ$17:AQ$531,'Data Pura Producción'!$R$17:$R$531,$Q57,'Data Pura Producción'!$Q$17:$Q$531,$R57)))</f>
        <v/>
      </c>
      <c r="AG57" s="182" t="str">
        <f>+IF($Q57="","",IF(SUMIFS('Data Pura Producción'!AR$17:AR$531,'Data Pura Producción'!$R$17:$R$531,$Q57,'Data Pura Producción'!$Q$17:$Q$531,$R57)=0,"",SUMIFS('Data Pura Producción'!AR$17:AR$531,'Data Pura Producción'!$R$17:$R$531,$Q57,'Data Pura Producción'!$Q$17:$Q$531,$R57)))</f>
        <v/>
      </c>
      <c r="AH57" s="182" t="str">
        <f>+IF($Q57="","",IF(SUMIFS('Data Pura Producción'!AS$17:AS$531,'Data Pura Producción'!$R$17:$R$531,$Q57,'Data Pura Producción'!$Q$17:$Q$531,$R57)=0,"",SUMIFS('Data Pura Producción'!AS$17:AS$531,'Data Pura Producción'!$R$17:$R$531,$Q57,'Data Pura Producción'!$Q$17:$Q$531,$R57)))</f>
        <v/>
      </c>
      <c r="AI57" s="182" t="str">
        <f>+IF($Q57="","",IF(SUMIFS('Data Pura Producción'!AT$17:AT$531,'Data Pura Producción'!$R$17:$R$531,$Q57,'Data Pura Producción'!$Q$17:$Q$531,$R57)=0,"",SUMIFS('Data Pura Producción'!AT$17:AT$531,'Data Pura Producción'!$R$17:$R$531,$Q57,'Data Pura Producción'!$Q$17:$Q$531,$R57)))</f>
        <v/>
      </c>
      <c r="AJ57" s="182" t="str">
        <f>+IF($Q57="","",IF(SUMIFS('Data Pura Producción'!AU$17:AU$531,'Data Pura Producción'!$R$17:$R$531,$Q57,'Data Pura Producción'!$Q$17:$Q$531,$R57)=0,"",SUMIFS('Data Pura Producción'!AU$17:AU$531,'Data Pura Producción'!$R$17:$R$531,$Q57,'Data Pura Producción'!$Q$17:$Q$531,$R57)))</f>
        <v/>
      </c>
      <c r="AK57" s="182" t="str">
        <f>+IF($Q57="","",IF(SUMIFS('Data Pura Producción'!AV$17:AV$531,'Data Pura Producción'!$R$17:$R$531,$Q57,'Data Pura Producción'!$Q$17:$Q$531,$R57)=0,"",SUMIFS('Data Pura Producción'!AV$17:AV$531,'Data Pura Producción'!$R$17:$R$531,$Q57,'Data Pura Producción'!$Q$17:$Q$531,$R57)))</f>
        <v/>
      </c>
      <c r="AL57" s="182" t="str">
        <f>+IF($Q57="","",IF(SUMIFS('Data Pura Producción'!AW$17:AW$531,'Data Pura Producción'!$R$17:$R$531,$Q57,'Data Pura Producción'!$Q$17:$Q$531,$R57)=0,"",SUMIFS('Data Pura Producción'!AW$17:AW$531,'Data Pura Producción'!$R$17:$R$531,$Q57,'Data Pura Producción'!$Q$17:$Q$531,$R57)))</f>
        <v/>
      </c>
      <c r="AM57" s="337" t="str">
        <f>+IF($Q57="","",IF(SUMIFS('Data Pura Producción'!AX$17:AX$531,'Data Pura Producción'!$R$17:$R$531,$Q57,'Data Pura Producción'!$Q$17:$Q$531,$R57)=0,"",SUMIFS('Data Pura Producción'!AX$17:AX$531,'Data Pura Producción'!$R$17:$R$531,$Q57,'Data Pura Producción'!$Q$17:$Q$531,$R57)))</f>
        <v/>
      </c>
      <c r="AN57" s="187" t="str">
        <f t="shared" si="4"/>
        <v/>
      </c>
    </row>
    <row r="58" spans="2:40" s="7" customFormat="1" x14ac:dyDescent="0.35">
      <c r="B58" s="4" t="str">
        <f>+IF('Data Pura Costos'!B58="","",'Data Pura Costos'!B58)</f>
        <v>Mallorca</v>
      </c>
      <c r="C58" s="4" t="str">
        <f>+IF('Data Pura Costos'!C58="","",'Data Pura Costos'!C58)</f>
        <v xml:space="preserve">Molina, VII región </v>
      </c>
      <c r="D58" s="5">
        <f>+IF('Data Pura Costos'!D58="","",'Data Pura Costos'!D58)</f>
        <v>144</v>
      </c>
      <c r="E58" s="65">
        <f>+IF('Data Pura Costos'!E58="","",IF('Data Pura Costos'!E58=0,MAX('Data Pura Costos'!$E$7:$E$3000)*1000,'Data Pura Costos'!E58))</f>
        <v>460000</v>
      </c>
      <c r="F58" s="5" t="str">
        <f>+IF('Data Pura Costos'!F58="","",'Data Pura Costos'!F58)</f>
        <v>Mostazal</v>
      </c>
      <c r="G58" s="5" t="str">
        <f>+IF('Data Pura Costos'!G58="","",'Data Pura Costos'!G58)</f>
        <v xml:space="preserve">GUSTAVO ZÚÑIGA </v>
      </c>
      <c r="H58" s="52" t="str">
        <f>+IF('Data Pura Costos'!H58="","",'Data Pura Costos'!H58)</f>
        <v>Termo</v>
      </c>
      <c r="I58" s="71">
        <f>+IF('Data Pura Costos'!I58="","",'Data Pura Costos'!I58)</f>
        <v>3194.4444444444443</v>
      </c>
      <c r="J58" s="52" t="str">
        <f>+IF('Data Pura Costos'!J58="","",'Data Pura Costos'!J58)</f>
        <v>24-25</v>
      </c>
      <c r="K58" s="82" t="str">
        <f t="shared" si="3"/>
        <v xml:space="preserve">Mallorca-Mostazal-GUSTAVO ZÚÑIGA </v>
      </c>
      <c r="M58" s="4"/>
      <c r="N58" s="5" t="str">
        <f>+IF(M58="","",INDEX('Parámetros Auxiliares'!$D$7:$D$65,MATCH(M58,'Parámetros Auxiliares'!$D$7:$D$65,0)))</f>
        <v/>
      </c>
      <c r="O58" s="259"/>
      <c r="P58" s="1" t="str">
        <f t="shared" si="1"/>
        <v/>
      </c>
      <c r="Q58" s="23"/>
      <c r="R58" s="333"/>
      <c r="S58" s="336" t="str">
        <f>+IF($Q58="","",IF(SUMIFS('Data Pura Producción'!AD$17:AD$531,'Data Pura Producción'!$R$17:$R$531,$Q58,'Data Pura Producción'!$Q$17:$Q$531,$R58)=0,"",SUMIFS('Data Pura Producción'!AD$17:AD$531,'Data Pura Producción'!$R$17:$R$531,$Q58,'Data Pura Producción'!$Q$17:$Q$531,$R58)))</f>
        <v/>
      </c>
      <c r="T58" s="182" t="str">
        <f>+IF($Q58="","",IF(SUMIFS('Data Pura Producción'!AE$17:AE$531,'Data Pura Producción'!$R$17:$R$531,$Q58,'Data Pura Producción'!$Q$17:$Q$531,$R58)=0,"",SUMIFS('Data Pura Producción'!AE$17:AE$531,'Data Pura Producción'!$R$17:$R$531,$Q58,'Data Pura Producción'!$Q$17:$Q$531,$R58)))</f>
        <v/>
      </c>
      <c r="U58" s="182" t="str">
        <f>+IF($Q58="","",IF(SUMIFS('Data Pura Producción'!AF$17:AF$531,'Data Pura Producción'!$R$17:$R$531,$Q58,'Data Pura Producción'!$Q$17:$Q$531,$R58)=0,"",SUMIFS('Data Pura Producción'!AF$17:AF$531,'Data Pura Producción'!$R$17:$R$531,$Q58,'Data Pura Producción'!$Q$17:$Q$531,$R58)))</f>
        <v/>
      </c>
      <c r="V58" s="182" t="str">
        <f>+IF($Q58="","",IF(SUMIFS('Data Pura Producción'!AG$17:AG$531,'Data Pura Producción'!$R$17:$R$531,$Q58,'Data Pura Producción'!$Q$17:$Q$531,$R58)=0,"",SUMIFS('Data Pura Producción'!AG$17:AG$531,'Data Pura Producción'!$R$17:$R$531,$Q58,'Data Pura Producción'!$Q$17:$Q$531,$R58)))</f>
        <v/>
      </c>
      <c r="W58" s="182" t="str">
        <f>+IF($Q58="","",IF(SUMIFS('Data Pura Producción'!AH$17:AH$531,'Data Pura Producción'!$R$17:$R$531,$Q58,'Data Pura Producción'!$Q$17:$Q$531,$R58)=0,"",SUMIFS('Data Pura Producción'!AH$17:AH$531,'Data Pura Producción'!$R$17:$R$531,$Q58,'Data Pura Producción'!$Q$17:$Q$531,$R58)))</f>
        <v/>
      </c>
      <c r="X58" s="182" t="str">
        <f>+IF($Q58="","",IF(SUMIFS('Data Pura Producción'!AI$17:AI$531,'Data Pura Producción'!$R$17:$R$531,$Q58,'Data Pura Producción'!$Q$17:$Q$531,$R58)=0,"",SUMIFS('Data Pura Producción'!AI$17:AI$531,'Data Pura Producción'!$R$17:$R$531,$Q58,'Data Pura Producción'!$Q$17:$Q$531,$R58)))</f>
        <v/>
      </c>
      <c r="Y58" s="182" t="str">
        <f>+IF($Q58="","",IF(SUMIFS('Data Pura Producción'!AJ$17:AJ$531,'Data Pura Producción'!$R$17:$R$531,$Q58,'Data Pura Producción'!$Q$17:$Q$531,$R58)=0,"",SUMIFS('Data Pura Producción'!AJ$17:AJ$531,'Data Pura Producción'!$R$17:$R$531,$Q58,'Data Pura Producción'!$Q$17:$Q$531,$R58)))</f>
        <v/>
      </c>
      <c r="Z58" s="182" t="str">
        <f>+IF($Q58="","",IF(SUMIFS('Data Pura Producción'!AK$17:AK$531,'Data Pura Producción'!$R$17:$R$531,$Q58,'Data Pura Producción'!$Q$17:$Q$531,$R58)=0,"",SUMIFS('Data Pura Producción'!AK$17:AK$531,'Data Pura Producción'!$R$17:$R$531,$Q58,'Data Pura Producción'!$Q$17:$Q$531,$R58)))</f>
        <v/>
      </c>
      <c r="AA58" s="182" t="str">
        <f>+IF($Q58="","",IF(SUMIFS('Data Pura Producción'!AL$17:AL$531,'Data Pura Producción'!$R$17:$R$531,$Q58,'Data Pura Producción'!$Q$17:$Q$531,$R58)=0,"",SUMIFS('Data Pura Producción'!AL$17:AL$531,'Data Pura Producción'!$R$17:$R$531,$Q58,'Data Pura Producción'!$Q$17:$Q$531,$R58)))</f>
        <v/>
      </c>
      <c r="AB58" s="182" t="str">
        <f>+IF($Q58="","",IF(SUMIFS('Data Pura Producción'!AM$17:AM$531,'Data Pura Producción'!$R$17:$R$531,$Q58,'Data Pura Producción'!$Q$17:$Q$531,$R58)=0,"",SUMIFS('Data Pura Producción'!AM$17:AM$531,'Data Pura Producción'!$R$17:$R$531,$Q58,'Data Pura Producción'!$Q$17:$Q$531,$R58)))</f>
        <v/>
      </c>
      <c r="AC58" s="182" t="str">
        <f>+IF($Q58="","",IF(SUMIFS('Data Pura Producción'!AN$17:AN$531,'Data Pura Producción'!$R$17:$R$531,$Q58,'Data Pura Producción'!$Q$17:$Q$531,$R58)=0,"",SUMIFS('Data Pura Producción'!AN$17:AN$531,'Data Pura Producción'!$R$17:$R$531,$Q58,'Data Pura Producción'!$Q$17:$Q$531,$R58)))</f>
        <v/>
      </c>
      <c r="AD58" s="182" t="str">
        <f>+IF($Q58="","",IF(SUMIFS('Data Pura Producción'!AO$17:AO$531,'Data Pura Producción'!$R$17:$R$531,$Q58,'Data Pura Producción'!$Q$17:$Q$531,$R58)=0,"",SUMIFS('Data Pura Producción'!AO$17:AO$531,'Data Pura Producción'!$R$17:$R$531,$Q58,'Data Pura Producción'!$Q$17:$Q$531,$R58)))</f>
        <v/>
      </c>
      <c r="AE58" s="182" t="str">
        <f>+IF($Q58="","",IF(SUMIFS('Data Pura Producción'!AP$17:AP$531,'Data Pura Producción'!$R$17:$R$531,$Q58,'Data Pura Producción'!$Q$17:$Q$531,$R58)=0,"",SUMIFS('Data Pura Producción'!AP$17:AP$531,'Data Pura Producción'!$R$17:$R$531,$Q58,'Data Pura Producción'!$Q$17:$Q$531,$R58)))</f>
        <v/>
      </c>
      <c r="AF58" s="182" t="str">
        <f>+IF($Q58="","",IF(SUMIFS('Data Pura Producción'!AQ$17:AQ$531,'Data Pura Producción'!$R$17:$R$531,$Q58,'Data Pura Producción'!$Q$17:$Q$531,$R58)=0,"",SUMIFS('Data Pura Producción'!AQ$17:AQ$531,'Data Pura Producción'!$R$17:$R$531,$Q58,'Data Pura Producción'!$Q$17:$Q$531,$R58)))</f>
        <v/>
      </c>
      <c r="AG58" s="182" t="str">
        <f>+IF($Q58="","",IF(SUMIFS('Data Pura Producción'!AR$17:AR$531,'Data Pura Producción'!$R$17:$R$531,$Q58,'Data Pura Producción'!$Q$17:$Q$531,$R58)=0,"",SUMIFS('Data Pura Producción'!AR$17:AR$531,'Data Pura Producción'!$R$17:$R$531,$Q58,'Data Pura Producción'!$Q$17:$Q$531,$R58)))</f>
        <v/>
      </c>
      <c r="AH58" s="182" t="str">
        <f>+IF($Q58="","",IF(SUMIFS('Data Pura Producción'!AS$17:AS$531,'Data Pura Producción'!$R$17:$R$531,$Q58,'Data Pura Producción'!$Q$17:$Q$531,$R58)=0,"",SUMIFS('Data Pura Producción'!AS$17:AS$531,'Data Pura Producción'!$R$17:$R$531,$Q58,'Data Pura Producción'!$Q$17:$Q$531,$R58)))</f>
        <v/>
      </c>
      <c r="AI58" s="182" t="str">
        <f>+IF($Q58="","",IF(SUMIFS('Data Pura Producción'!AT$17:AT$531,'Data Pura Producción'!$R$17:$R$531,$Q58,'Data Pura Producción'!$Q$17:$Q$531,$R58)=0,"",SUMIFS('Data Pura Producción'!AT$17:AT$531,'Data Pura Producción'!$R$17:$R$531,$Q58,'Data Pura Producción'!$Q$17:$Q$531,$R58)))</f>
        <v/>
      </c>
      <c r="AJ58" s="182" t="str">
        <f>+IF($Q58="","",IF(SUMIFS('Data Pura Producción'!AU$17:AU$531,'Data Pura Producción'!$R$17:$R$531,$Q58,'Data Pura Producción'!$Q$17:$Q$531,$R58)=0,"",SUMIFS('Data Pura Producción'!AU$17:AU$531,'Data Pura Producción'!$R$17:$R$531,$Q58,'Data Pura Producción'!$Q$17:$Q$531,$R58)))</f>
        <v/>
      </c>
      <c r="AK58" s="182" t="str">
        <f>+IF($Q58="","",IF(SUMIFS('Data Pura Producción'!AV$17:AV$531,'Data Pura Producción'!$R$17:$R$531,$Q58,'Data Pura Producción'!$Q$17:$Q$531,$R58)=0,"",SUMIFS('Data Pura Producción'!AV$17:AV$531,'Data Pura Producción'!$R$17:$R$531,$Q58,'Data Pura Producción'!$Q$17:$Q$531,$R58)))</f>
        <v/>
      </c>
      <c r="AL58" s="182" t="str">
        <f>+IF($Q58="","",IF(SUMIFS('Data Pura Producción'!AW$17:AW$531,'Data Pura Producción'!$R$17:$R$531,$Q58,'Data Pura Producción'!$Q$17:$Q$531,$R58)=0,"",SUMIFS('Data Pura Producción'!AW$17:AW$531,'Data Pura Producción'!$R$17:$R$531,$Q58,'Data Pura Producción'!$Q$17:$Q$531,$R58)))</f>
        <v/>
      </c>
      <c r="AM58" s="337" t="str">
        <f>+IF($Q58="","",IF(SUMIFS('Data Pura Producción'!AX$17:AX$531,'Data Pura Producción'!$R$17:$R$531,$Q58,'Data Pura Producción'!$Q$17:$Q$531,$R58)=0,"",SUMIFS('Data Pura Producción'!AX$17:AX$531,'Data Pura Producción'!$R$17:$R$531,$Q58,'Data Pura Producción'!$Q$17:$Q$531,$R58)))</f>
        <v/>
      </c>
      <c r="AN58" s="187" t="str">
        <f t="shared" si="4"/>
        <v/>
      </c>
    </row>
    <row r="59" spans="2:40" s="7" customFormat="1" x14ac:dyDescent="0.35">
      <c r="B59" s="4" t="str">
        <f>+IF('Data Pura Costos'!B59="","",'Data Pura Costos'!B59)</f>
        <v>Panquehue</v>
      </c>
      <c r="C59" s="4" t="str">
        <f>+IF('Data Pura Costos'!C59="","",'Data Pura Costos'!C59)</f>
        <v>Panquehue, V región</v>
      </c>
      <c r="D59" s="5">
        <f>+IF('Data Pura Costos'!D59="","",'Data Pura Costos'!D59)</f>
        <v>165</v>
      </c>
      <c r="E59" s="65">
        <f>+IF('Data Pura Costos'!E59="","",IF('Data Pura Costos'!E59=0,MAX('Data Pura Costos'!$E$7:$E$3000)*1000,'Data Pura Costos'!E59))</f>
        <v>480000</v>
      </c>
      <c r="F59" s="5" t="str">
        <f>+IF('Data Pura Costos'!F59="","",'Data Pura Costos'!F59)</f>
        <v>Mostazal</v>
      </c>
      <c r="G59" s="5" t="str">
        <f>+IF('Data Pura Costos'!G59="","",'Data Pura Costos'!G59)</f>
        <v xml:space="preserve">GUSTAVO ZÚÑIGA </v>
      </c>
      <c r="H59" s="52" t="str">
        <f>+IF('Data Pura Costos'!H59="","",'Data Pura Costos'!H59)</f>
        <v>Termo</v>
      </c>
      <c r="I59" s="71">
        <f>+IF('Data Pura Costos'!I59="","",'Data Pura Costos'!I59)</f>
        <v>2909.090909090909</v>
      </c>
      <c r="J59" s="52" t="str">
        <f>+IF('Data Pura Costos'!J59="","",'Data Pura Costos'!J59)</f>
        <v>24-25</v>
      </c>
      <c r="K59" s="82" t="str">
        <f t="shared" si="3"/>
        <v xml:space="preserve">Panquehue-Mostazal-GUSTAVO ZÚÑIGA </v>
      </c>
      <c r="P59" s="1" t="str">
        <f t="shared" si="1"/>
        <v/>
      </c>
      <c r="Q59" s="23"/>
      <c r="R59" s="333"/>
      <c r="S59" s="336" t="str">
        <f>+IF($Q59="","",IF(SUMIFS('Data Pura Producción'!AD$17:AD$531,'Data Pura Producción'!$R$17:$R$531,$Q59,'Data Pura Producción'!$Q$17:$Q$531,$R59)=0,"",SUMIFS('Data Pura Producción'!AD$17:AD$531,'Data Pura Producción'!$R$17:$R$531,$Q59,'Data Pura Producción'!$Q$17:$Q$531,$R59)))</f>
        <v/>
      </c>
      <c r="T59" s="182" t="str">
        <f>+IF($Q59="","",IF(SUMIFS('Data Pura Producción'!AE$17:AE$531,'Data Pura Producción'!$R$17:$R$531,$Q59,'Data Pura Producción'!$Q$17:$Q$531,$R59)=0,"",SUMIFS('Data Pura Producción'!AE$17:AE$531,'Data Pura Producción'!$R$17:$R$531,$Q59,'Data Pura Producción'!$Q$17:$Q$531,$R59)))</f>
        <v/>
      </c>
      <c r="U59" s="182" t="str">
        <f>+IF($Q59="","",IF(SUMIFS('Data Pura Producción'!AF$17:AF$531,'Data Pura Producción'!$R$17:$R$531,$Q59,'Data Pura Producción'!$Q$17:$Q$531,$R59)=0,"",SUMIFS('Data Pura Producción'!AF$17:AF$531,'Data Pura Producción'!$R$17:$R$531,$Q59,'Data Pura Producción'!$Q$17:$Q$531,$R59)))</f>
        <v/>
      </c>
      <c r="V59" s="182" t="str">
        <f>+IF($Q59="","",IF(SUMIFS('Data Pura Producción'!AG$17:AG$531,'Data Pura Producción'!$R$17:$R$531,$Q59,'Data Pura Producción'!$Q$17:$Q$531,$R59)=0,"",SUMIFS('Data Pura Producción'!AG$17:AG$531,'Data Pura Producción'!$R$17:$R$531,$Q59,'Data Pura Producción'!$Q$17:$Q$531,$R59)))</f>
        <v/>
      </c>
      <c r="W59" s="182" t="str">
        <f>+IF($Q59="","",IF(SUMIFS('Data Pura Producción'!AH$17:AH$531,'Data Pura Producción'!$R$17:$R$531,$Q59,'Data Pura Producción'!$Q$17:$Q$531,$R59)=0,"",SUMIFS('Data Pura Producción'!AH$17:AH$531,'Data Pura Producción'!$R$17:$R$531,$Q59,'Data Pura Producción'!$Q$17:$Q$531,$R59)))</f>
        <v/>
      </c>
      <c r="X59" s="182" t="str">
        <f>+IF($Q59="","",IF(SUMIFS('Data Pura Producción'!AI$17:AI$531,'Data Pura Producción'!$R$17:$R$531,$Q59,'Data Pura Producción'!$Q$17:$Q$531,$R59)=0,"",SUMIFS('Data Pura Producción'!AI$17:AI$531,'Data Pura Producción'!$R$17:$R$531,$Q59,'Data Pura Producción'!$Q$17:$Q$531,$R59)))</f>
        <v/>
      </c>
      <c r="Y59" s="182" t="str">
        <f>+IF($Q59="","",IF(SUMIFS('Data Pura Producción'!AJ$17:AJ$531,'Data Pura Producción'!$R$17:$R$531,$Q59,'Data Pura Producción'!$Q$17:$Q$531,$R59)=0,"",SUMIFS('Data Pura Producción'!AJ$17:AJ$531,'Data Pura Producción'!$R$17:$R$531,$Q59,'Data Pura Producción'!$Q$17:$Q$531,$R59)))</f>
        <v/>
      </c>
      <c r="Z59" s="182" t="str">
        <f>+IF($Q59="","",IF(SUMIFS('Data Pura Producción'!AK$17:AK$531,'Data Pura Producción'!$R$17:$R$531,$Q59,'Data Pura Producción'!$Q$17:$Q$531,$R59)=0,"",SUMIFS('Data Pura Producción'!AK$17:AK$531,'Data Pura Producción'!$R$17:$R$531,$Q59,'Data Pura Producción'!$Q$17:$Q$531,$R59)))</f>
        <v/>
      </c>
      <c r="AA59" s="182" t="str">
        <f>+IF($Q59="","",IF(SUMIFS('Data Pura Producción'!AL$17:AL$531,'Data Pura Producción'!$R$17:$R$531,$Q59,'Data Pura Producción'!$Q$17:$Q$531,$R59)=0,"",SUMIFS('Data Pura Producción'!AL$17:AL$531,'Data Pura Producción'!$R$17:$R$531,$Q59,'Data Pura Producción'!$Q$17:$Q$531,$R59)))</f>
        <v/>
      </c>
      <c r="AB59" s="182" t="str">
        <f>+IF($Q59="","",IF(SUMIFS('Data Pura Producción'!AM$17:AM$531,'Data Pura Producción'!$R$17:$R$531,$Q59,'Data Pura Producción'!$Q$17:$Q$531,$R59)=0,"",SUMIFS('Data Pura Producción'!AM$17:AM$531,'Data Pura Producción'!$R$17:$R$531,$Q59,'Data Pura Producción'!$Q$17:$Q$531,$R59)))</f>
        <v/>
      </c>
      <c r="AC59" s="182" t="str">
        <f>+IF($Q59="","",IF(SUMIFS('Data Pura Producción'!AN$17:AN$531,'Data Pura Producción'!$R$17:$R$531,$Q59,'Data Pura Producción'!$Q$17:$Q$531,$R59)=0,"",SUMIFS('Data Pura Producción'!AN$17:AN$531,'Data Pura Producción'!$R$17:$R$531,$Q59,'Data Pura Producción'!$Q$17:$Q$531,$R59)))</f>
        <v/>
      </c>
      <c r="AD59" s="182" t="str">
        <f>+IF($Q59="","",IF(SUMIFS('Data Pura Producción'!AO$17:AO$531,'Data Pura Producción'!$R$17:$R$531,$Q59,'Data Pura Producción'!$Q$17:$Q$531,$R59)=0,"",SUMIFS('Data Pura Producción'!AO$17:AO$531,'Data Pura Producción'!$R$17:$R$531,$Q59,'Data Pura Producción'!$Q$17:$Q$531,$R59)))</f>
        <v/>
      </c>
      <c r="AE59" s="182" t="str">
        <f>+IF($Q59="","",IF(SUMIFS('Data Pura Producción'!AP$17:AP$531,'Data Pura Producción'!$R$17:$R$531,$Q59,'Data Pura Producción'!$Q$17:$Q$531,$R59)=0,"",SUMIFS('Data Pura Producción'!AP$17:AP$531,'Data Pura Producción'!$R$17:$R$531,$Q59,'Data Pura Producción'!$Q$17:$Q$531,$R59)))</f>
        <v/>
      </c>
      <c r="AF59" s="182" t="str">
        <f>+IF($Q59="","",IF(SUMIFS('Data Pura Producción'!AQ$17:AQ$531,'Data Pura Producción'!$R$17:$R$531,$Q59,'Data Pura Producción'!$Q$17:$Q$531,$R59)=0,"",SUMIFS('Data Pura Producción'!AQ$17:AQ$531,'Data Pura Producción'!$R$17:$R$531,$Q59,'Data Pura Producción'!$Q$17:$Q$531,$R59)))</f>
        <v/>
      </c>
      <c r="AG59" s="182" t="str">
        <f>+IF($Q59="","",IF(SUMIFS('Data Pura Producción'!AR$17:AR$531,'Data Pura Producción'!$R$17:$R$531,$Q59,'Data Pura Producción'!$Q$17:$Q$531,$R59)=0,"",SUMIFS('Data Pura Producción'!AR$17:AR$531,'Data Pura Producción'!$R$17:$R$531,$Q59,'Data Pura Producción'!$Q$17:$Q$531,$R59)))</f>
        <v/>
      </c>
      <c r="AH59" s="182" t="str">
        <f>+IF($Q59="","",IF(SUMIFS('Data Pura Producción'!AS$17:AS$531,'Data Pura Producción'!$R$17:$R$531,$Q59,'Data Pura Producción'!$Q$17:$Q$531,$R59)=0,"",SUMIFS('Data Pura Producción'!AS$17:AS$531,'Data Pura Producción'!$R$17:$R$531,$Q59,'Data Pura Producción'!$Q$17:$Q$531,$R59)))</f>
        <v/>
      </c>
      <c r="AI59" s="182" t="str">
        <f>+IF($Q59="","",IF(SUMIFS('Data Pura Producción'!AT$17:AT$531,'Data Pura Producción'!$R$17:$R$531,$Q59,'Data Pura Producción'!$Q$17:$Q$531,$R59)=0,"",SUMIFS('Data Pura Producción'!AT$17:AT$531,'Data Pura Producción'!$R$17:$R$531,$Q59,'Data Pura Producción'!$Q$17:$Q$531,$R59)))</f>
        <v/>
      </c>
      <c r="AJ59" s="182" t="str">
        <f>+IF($Q59="","",IF(SUMIFS('Data Pura Producción'!AU$17:AU$531,'Data Pura Producción'!$R$17:$R$531,$Q59,'Data Pura Producción'!$Q$17:$Q$531,$R59)=0,"",SUMIFS('Data Pura Producción'!AU$17:AU$531,'Data Pura Producción'!$R$17:$R$531,$Q59,'Data Pura Producción'!$Q$17:$Q$531,$R59)))</f>
        <v/>
      </c>
      <c r="AK59" s="182" t="str">
        <f>+IF($Q59="","",IF(SUMIFS('Data Pura Producción'!AV$17:AV$531,'Data Pura Producción'!$R$17:$R$531,$Q59,'Data Pura Producción'!$Q$17:$Q$531,$R59)=0,"",SUMIFS('Data Pura Producción'!AV$17:AV$531,'Data Pura Producción'!$R$17:$R$531,$Q59,'Data Pura Producción'!$Q$17:$Q$531,$R59)))</f>
        <v/>
      </c>
      <c r="AL59" s="182" t="str">
        <f>+IF($Q59="","",IF(SUMIFS('Data Pura Producción'!AW$17:AW$531,'Data Pura Producción'!$R$17:$R$531,$Q59,'Data Pura Producción'!$Q$17:$Q$531,$R59)=0,"",SUMIFS('Data Pura Producción'!AW$17:AW$531,'Data Pura Producción'!$R$17:$R$531,$Q59,'Data Pura Producción'!$Q$17:$Q$531,$R59)))</f>
        <v/>
      </c>
      <c r="AM59" s="337" t="str">
        <f>+IF($Q59="","",IF(SUMIFS('Data Pura Producción'!AX$17:AX$531,'Data Pura Producción'!$R$17:$R$531,$Q59,'Data Pura Producción'!$Q$17:$Q$531,$R59)=0,"",SUMIFS('Data Pura Producción'!AX$17:AX$531,'Data Pura Producción'!$R$17:$R$531,$Q59,'Data Pura Producción'!$Q$17:$Q$531,$R59)))</f>
        <v/>
      </c>
      <c r="AN59" s="187" t="str">
        <f t="shared" si="4"/>
        <v/>
      </c>
    </row>
    <row r="60" spans="2:40" s="7" customFormat="1" x14ac:dyDescent="0.35">
      <c r="B60" s="4" t="str">
        <f>+IF('Data Pura Costos'!B60="","",'Data Pura Costos'!B60)</f>
        <v>Entre Rios/Puente Negro/Rio Claro</v>
      </c>
      <c r="C60" s="4" t="str">
        <f>+IF('Data Pura Costos'!C60="","",'Data Pura Costos'!C60)</f>
        <v>Puente negro, san fernando.VI Region.</v>
      </c>
      <c r="D60" s="5">
        <f>+IF('Data Pura Costos'!D60="","",'Data Pura Costos'!D60)</f>
        <v>100</v>
      </c>
      <c r="E60" s="65">
        <f>+IF('Data Pura Costos'!E60="","",IF('Data Pura Costos'!E60=0,MAX('Data Pura Costos'!$E$7:$E$3000)*1000,'Data Pura Costos'!E60))</f>
        <v>400000</v>
      </c>
      <c r="F60" s="5" t="str">
        <f>+IF('Data Pura Costos'!F60="","",'Data Pura Costos'!F60)</f>
        <v>Mostazal</v>
      </c>
      <c r="G60" s="5" t="str">
        <f>+IF('Data Pura Costos'!G60="","",'Data Pura Costos'!G60)</f>
        <v xml:space="preserve">GUSTAVO ZÚÑIGA </v>
      </c>
      <c r="H60" s="52" t="str">
        <f>+IF('Data Pura Costos'!H60="","",'Data Pura Costos'!H60)</f>
        <v>Termo</v>
      </c>
      <c r="I60" s="71">
        <f>+IF('Data Pura Costos'!I60="","",'Data Pura Costos'!I60)</f>
        <v>4000</v>
      </c>
      <c r="J60" s="52" t="str">
        <f>+IF('Data Pura Costos'!J60="","",'Data Pura Costos'!J60)</f>
        <v>24-25</v>
      </c>
      <c r="K60" s="82" t="str">
        <f t="shared" si="3"/>
        <v xml:space="preserve">Entre Rios/Puente Negro/Rio Claro-Mostazal-GUSTAVO ZÚÑIGA </v>
      </c>
      <c r="P60" s="1" t="str">
        <f t="shared" si="1"/>
        <v/>
      </c>
      <c r="Q60" s="23"/>
      <c r="R60" s="333"/>
      <c r="S60" s="336" t="str">
        <f>+IF($Q60="","",IF(SUMIFS('Data Pura Producción'!AD$17:AD$531,'Data Pura Producción'!$R$17:$R$531,$Q60,'Data Pura Producción'!$Q$17:$Q$531,$R60)=0,"",SUMIFS('Data Pura Producción'!AD$17:AD$531,'Data Pura Producción'!$R$17:$R$531,$Q60,'Data Pura Producción'!$Q$17:$Q$531,$R60)))</f>
        <v/>
      </c>
      <c r="T60" s="182" t="str">
        <f>+IF($Q60="","",IF(SUMIFS('Data Pura Producción'!AE$17:AE$531,'Data Pura Producción'!$R$17:$R$531,$Q60,'Data Pura Producción'!$Q$17:$Q$531,$R60)=0,"",SUMIFS('Data Pura Producción'!AE$17:AE$531,'Data Pura Producción'!$R$17:$R$531,$Q60,'Data Pura Producción'!$Q$17:$Q$531,$R60)))</f>
        <v/>
      </c>
      <c r="U60" s="182" t="str">
        <f>+IF($Q60="","",IF(SUMIFS('Data Pura Producción'!AF$17:AF$531,'Data Pura Producción'!$R$17:$R$531,$Q60,'Data Pura Producción'!$Q$17:$Q$531,$R60)=0,"",SUMIFS('Data Pura Producción'!AF$17:AF$531,'Data Pura Producción'!$R$17:$R$531,$Q60,'Data Pura Producción'!$Q$17:$Q$531,$R60)))</f>
        <v/>
      </c>
      <c r="V60" s="182" t="str">
        <f>+IF($Q60="","",IF(SUMIFS('Data Pura Producción'!AG$17:AG$531,'Data Pura Producción'!$R$17:$R$531,$Q60,'Data Pura Producción'!$Q$17:$Q$531,$R60)=0,"",SUMIFS('Data Pura Producción'!AG$17:AG$531,'Data Pura Producción'!$R$17:$R$531,$Q60,'Data Pura Producción'!$Q$17:$Q$531,$R60)))</f>
        <v/>
      </c>
      <c r="W60" s="182" t="str">
        <f>+IF($Q60="","",IF(SUMIFS('Data Pura Producción'!AH$17:AH$531,'Data Pura Producción'!$R$17:$R$531,$Q60,'Data Pura Producción'!$Q$17:$Q$531,$R60)=0,"",SUMIFS('Data Pura Producción'!AH$17:AH$531,'Data Pura Producción'!$R$17:$R$531,$Q60,'Data Pura Producción'!$Q$17:$Q$531,$R60)))</f>
        <v/>
      </c>
      <c r="X60" s="182" t="str">
        <f>+IF($Q60="","",IF(SUMIFS('Data Pura Producción'!AI$17:AI$531,'Data Pura Producción'!$R$17:$R$531,$Q60,'Data Pura Producción'!$Q$17:$Q$531,$R60)=0,"",SUMIFS('Data Pura Producción'!AI$17:AI$531,'Data Pura Producción'!$R$17:$R$531,$Q60,'Data Pura Producción'!$Q$17:$Q$531,$R60)))</f>
        <v/>
      </c>
      <c r="Y60" s="182" t="str">
        <f>+IF($Q60="","",IF(SUMIFS('Data Pura Producción'!AJ$17:AJ$531,'Data Pura Producción'!$R$17:$R$531,$Q60,'Data Pura Producción'!$Q$17:$Q$531,$R60)=0,"",SUMIFS('Data Pura Producción'!AJ$17:AJ$531,'Data Pura Producción'!$R$17:$R$531,$Q60,'Data Pura Producción'!$Q$17:$Q$531,$R60)))</f>
        <v/>
      </c>
      <c r="Z60" s="182" t="str">
        <f>+IF($Q60="","",IF(SUMIFS('Data Pura Producción'!AK$17:AK$531,'Data Pura Producción'!$R$17:$R$531,$Q60,'Data Pura Producción'!$Q$17:$Q$531,$R60)=0,"",SUMIFS('Data Pura Producción'!AK$17:AK$531,'Data Pura Producción'!$R$17:$R$531,$Q60,'Data Pura Producción'!$Q$17:$Q$531,$R60)))</f>
        <v/>
      </c>
      <c r="AA60" s="182" t="str">
        <f>+IF($Q60="","",IF(SUMIFS('Data Pura Producción'!AL$17:AL$531,'Data Pura Producción'!$R$17:$R$531,$Q60,'Data Pura Producción'!$Q$17:$Q$531,$R60)=0,"",SUMIFS('Data Pura Producción'!AL$17:AL$531,'Data Pura Producción'!$R$17:$R$531,$Q60,'Data Pura Producción'!$Q$17:$Q$531,$R60)))</f>
        <v/>
      </c>
      <c r="AB60" s="182" t="str">
        <f>+IF($Q60="","",IF(SUMIFS('Data Pura Producción'!AM$17:AM$531,'Data Pura Producción'!$R$17:$R$531,$Q60,'Data Pura Producción'!$Q$17:$Q$531,$R60)=0,"",SUMIFS('Data Pura Producción'!AM$17:AM$531,'Data Pura Producción'!$R$17:$R$531,$Q60,'Data Pura Producción'!$Q$17:$Q$531,$R60)))</f>
        <v/>
      </c>
      <c r="AC60" s="182" t="str">
        <f>+IF($Q60="","",IF(SUMIFS('Data Pura Producción'!AN$17:AN$531,'Data Pura Producción'!$R$17:$R$531,$Q60,'Data Pura Producción'!$Q$17:$Q$531,$R60)=0,"",SUMIFS('Data Pura Producción'!AN$17:AN$531,'Data Pura Producción'!$R$17:$R$531,$Q60,'Data Pura Producción'!$Q$17:$Q$531,$R60)))</f>
        <v/>
      </c>
      <c r="AD60" s="182" t="str">
        <f>+IF($Q60="","",IF(SUMIFS('Data Pura Producción'!AO$17:AO$531,'Data Pura Producción'!$R$17:$R$531,$Q60,'Data Pura Producción'!$Q$17:$Q$531,$R60)=0,"",SUMIFS('Data Pura Producción'!AO$17:AO$531,'Data Pura Producción'!$R$17:$R$531,$Q60,'Data Pura Producción'!$Q$17:$Q$531,$R60)))</f>
        <v/>
      </c>
      <c r="AE60" s="182" t="str">
        <f>+IF($Q60="","",IF(SUMIFS('Data Pura Producción'!AP$17:AP$531,'Data Pura Producción'!$R$17:$R$531,$Q60,'Data Pura Producción'!$Q$17:$Q$531,$R60)=0,"",SUMIFS('Data Pura Producción'!AP$17:AP$531,'Data Pura Producción'!$R$17:$R$531,$Q60,'Data Pura Producción'!$Q$17:$Q$531,$R60)))</f>
        <v/>
      </c>
      <c r="AF60" s="182" t="str">
        <f>+IF($Q60="","",IF(SUMIFS('Data Pura Producción'!AQ$17:AQ$531,'Data Pura Producción'!$R$17:$R$531,$Q60,'Data Pura Producción'!$Q$17:$Q$531,$R60)=0,"",SUMIFS('Data Pura Producción'!AQ$17:AQ$531,'Data Pura Producción'!$R$17:$R$531,$Q60,'Data Pura Producción'!$Q$17:$Q$531,$R60)))</f>
        <v/>
      </c>
      <c r="AG60" s="182" t="str">
        <f>+IF($Q60="","",IF(SUMIFS('Data Pura Producción'!AR$17:AR$531,'Data Pura Producción'!$R$17:$R$531,$Q60,'Data Pura Producción'!$Q$17:$Q$531,$R60)=0,"",SUMIFS('Data Pura Producción'!AR$17:AR$531,'Data Pura Producción'!$R$17:$R$531,$Q60,'Data Pura Producción'!$Q$17:$Q$531,$R60)))</f>
        <v/>
      </c>
      <c r="AH60" s="182" t="str">
        <f>+IF($Q60="","",IF(SUMIFS('Data Pura Producción'!AS$17:AS$531,'Data Pura Producción'!$R$17:$R$531,$Q60,'Data Pura Producción'!$Q$17:$Q$531,$R60)=0,"",SUMIFS('Data Pura Producción'!AS$17:AS$531,'Data Pura Producción'!$R$17:$R$531,$Q60,'Data Pura Producción'!$Q$17:$Q$531,$R60)))</f>
        <v/>
      </c>
      <c r="AI60" s="182" t="str">
        <f>+IF($Q60="","",IF(SUMIFS('Data Pura Producción'!AT$17:AT$531,'Data Pura Producción'!$R$17:$R$531,$Q60,'Data Pura Producción'!$Q$17:$Q$531,$R60)=0,"",SUMIFS('Data Pura Producción'!AT$17:AT$531,'Data Pura Producción'!$R$17:$R$531,$Q60,'Data Pura Producción'!$Q$17:$Q$531,$R60)))</f>
        <v/>
      </c>
      <c r="AJ60" s="182" t="str">
        <f>+IF($Q60="","",IF(SUMIFS('Data Pura Producción'!AU$17:AU$531,'Data Pura Producción'!$R$17:$R$531,$Q60,'Data Pura Producción'!$Q$17:$Q$531,$R60)=0,"",SUMIFS('Data Pura Producción'!AU$17:AU$531,'Data Pura Producción'!$R$17:$R$531,$Q60,'Data Pura Producción'!$Q$17:$Q$531,$R60)))</f>
        <v/>
      </c>
      <c r="AK60" s="182" t="str">
        <f>+IF($Q60="","",IF(SUMIFS('Data Pura Producción'!AV$17:AV$531,'Data Pura Producción'!$R$17:$R$531,$Q60,'Data Pura Producción'!$Q$17:$Q$531,$R60)=0,"",SUMIFS('Data Pura Producción'!AV$17:AV$531,'Data Pura Producción'!$R$17:$R$531,$Q60,'Data Pura Producción'!$Q$17:$Q$531,$R60)))</f>
        <v/>
      </c>
      <c r="AL60" s="182" t="str">
        <f>+IF($Q60="","",IF(SUMIFS('Data Pura Producción'!AW$17:AW$531,'Data Pura Producción'!$R$17:$R$531,$Q60,'Data Pura Producción'!$Q$17:$Q$531,$R60)=0,"",SUMIFS('Data Pura Producción'!AW$17:AW$531,'Data Pura Producción'!$R$17:$R$531,$Q60,'Data Pura Producción'!$Q$17:$Q$531,$R60)))</f>
        <v/>
      </c>
      <c r="AM60" s="337" t="str">
        <f>+IF($Q60="","",IF(SUMIFS('Data Pura Producción'!AX$17:AX$531,'Data Pura Producción'!$R$17:$R$531,$Q60,'Data Pura Producción'!$Q$17:$Q$531,$R60)=0,"",SUMIFS('Data Pura Producción'!AX$17:AX$531,'Data Pura Producción'!$R$17:$R$531,$Q60,'Data Pura Producción'!$Q$17:$Q$531,$R60)))</f>
        <v/>
      </c>
      <c r="AN60" s="187" t="str">
        <f t="shared" si="4"/>
        <v/>
      </c>
    </row>
    <row r="61" spans="2:40" s="7" customFormat="1" x14ac:dyDescent="0.35">
      <c r="B61" s="4" t="str">
        <f>+IF('Data Pura Costos'!B61="","",'Data Pura Costos'!B61)</f>
        <v>Retorno</v>
      </c>
      <c r="C61" s="4" t="str">
        <f>+IF('Data Pura Costos'!C61="","",'Data Pura Costos'!C61)</f>
        <v>Santa maria, V región</v>
      </c>
      <c r="D61" s="5">
        <f>+IF('Data Pura Costos'!D61="","",'Data Pura Costos'!D61)</f>
        <v>162</v>
      </c>
      <c r="E61" s="65">
        <f>+IF('Data Pura Costos'!E61="","",IF('Data Pura Costos'!E61=0,MAX('Data Pura Costos'!$E$7:$E$3000)*1000,'Data Pura Costos'!E61))</f>
        <v>480000</v>
      </c>
      <c r="F61" s="5" t="str">
        <f>+IF('Data Pura Costos'!F61="","",'Data Pura Costos'!F61)</f>
        <v>Mostazal</v>
      </c>
      <c r="G61" s="5" t="str">
        <f>+IF('Data Pura Costos'!G61="","",'Data Pura Costos'!G61)</f>
        <v xml:space="preserve">GUSTAVO ZÚÑIGA </v>
      </c>
      <c r="H61" s="52" t="str">
        <f>+IF('Data Pura Costos'!H61="","",'Data Pura Costos'!H61)</f>
        <v>Termo</v>
      </c>
      <c r="I61" s="71">
        <f>+IF('Data Pura Costos'!I61="","",'Data Pura Costos'!I61)</f>
        <v>2962.962962962963</v>
      </c>
      <c r="J61" s="52" t="str">
        <f>+IF('Data Pura Costos'!J61="","",'Data Pura Costos'!J61)</f>
        <v>24-25</v>
      </c>
      <c r="K61" s="82" t="str">
        <f t="shared" si="3"/>
        <v xml:space="preserve">Retorno-Mostazal-GUSTAVO ZÚÑIGA </v>
      </c>
      <c r="P61" s="1" t="str">
        <f t="shared" si="1"/>
        <v/>
      </c>
      <c r="Q61" s="23"/>
      <c r="R61" s="333"/>
      <c r="S61" s="336" t="str">
        <f>+IF($Q61="","",IF(SUMIFS('Data Pura Producción'!AD$17:AD$531,'Data Pura Producción'!$R$17:$R$531,$Q61,'Data Pura Producción'!$Q$17:$Q$531,$R61)=0,"",SUMIFS('Data Pura Producción'!AD$17:AD$531,'Data Pura Producción'!$R$17:$R$531,$Q61,'Data Pura Producción'!$Q$17:$Q$531,$R61)))</f>
        <v/>
      </c>
      <c r="T61" s="182" t="str">
        <f>+IF($Q61="","",IF(SUMIFS('Data Pura Producción'!AE$17:AE$531,'Data Pura Producción'!$R$17:$R$531,$Q61,'Data Pura Producción'!$Q$17:$Q$531,$R61)=0,"",SUMIFS('Data Pura Producción'!AE$17:AE$531,'Data Pura Producción'!$R$17:$R$531,$Q61,'Data Pura Producción'!$Q$17:$Q$531,$R61)))</f>
        <v/>
      </c>
      <c r="U61" s="182" t="str">
        <f>+IF($Q61="","",IF(SUMIFS('Data Pura Producción'!AF$17:AF$531,'Data Pura Producción'!$R$17:$R$531,$Q61,'Data Pura Producción'!$Q$17:$Q$531,$R61)=0,"",SUMIFS('Data Pura Producción'!AF$17:AF$531,'Data Pura Producción'!$R$17:$R$531,$Q61,'Data Pura Producción'!$Q$17:$Q$531,$R61)))</f>
        <v/>
      </c>
      <c r="V61" s="182" t="str">
        <f>+IF($Q61="","",IF(SUMIFS('Data Pura Producción'!AG$17:AG$531,'Data Pura Producción'!$R$17:$R$531,$Q61,'Data Pura Producción'!$Q$17:$Q$531,$R61)=0,"",SUMIFS('Data Pura Producción'!AG$17:AG$531,'Data Pura Producción'!$R$17:$R$531,$Q61,'Data Pura Producción'!$Q$17:$Q$531,$R61)))</f>
        <v/>
      </c>
      <c r="W61" s="182" t="str">
        <f>+IF($Q61="","",IF(SUMIFS('Data Pura Producción'!AH$17:AH$531,'Data Pura Producción'!$R$17:$R$531,$Q61,'Data Pura Producción'!$Q$17:$Q$531,$R61)=0,"",SUMIFS('Data Pura Producción'!AH$17:AH$531,'Data Pura Producción'!$R$17:$R$531,$Q61,'Data Pura Producción'!$Q$17:$Q$531,$R61)))</f>
        <v/>
      </c>
      <c r="X61" s="182" t="str">
        <f>+IF($Q61="","",IF(SUMIFS('Data Pura Producción'!AI$17:AI$531,'Data Pura Producción'!$R$17:$R$531,$Q61,'Data Pura Producción'!$Q$17:$Q$531,$R61)=0,"",SUMIFS('Data Pura Producción'!AI$17:AI$531,'Data Pura Producción'!$R$17:$R$531,$Q61,'Data Pura Producción'!$Q$17:$Q$531,$R61)))</f>
        <v/>
      </c>
      <c r="Y61" s="182" t="str">
        <f>+IF($Q61="","",IF(SUMIFS('Data Pura Producción'!AJ$17:AJ$531,'Data Pura Producción'!$R$17:$R$531,$Q61,'Data Pura Producción'!$Q$17:$Q$531,$R61)=0,"",SUMIFS('Data Pura Producción'!AJ$17:AJ$531,'Data Pura Producción'!$R$17:$R$531,$Q61,'Data Pura Producción'!$Q$17:$Q$531,$R61)))</f>
        <v/>
      </c>
      <c r="Z61" s="182" t="str">
        <f>+IF($Q61="","",IF(SUMIFS('Data Pura Producción'!AK$17:AK$531,'Data Pura Producción'!$R$17:$R$531,$Q61,'Data Pura Producción'!$Q$17:$Q$531,$R61)=0,"",SUMIFS('Data Pura Producción'!AK$17:AK$531,'Data Pura Producción'!$R$17:$R$531,$Q61,'Data Pura Producción'!$Q$17:$Q$531,$R61)))</f>
        <v/>
      </c>
      <c r="AA61" s="182" t="str">
        <f>+IF($Q61="","",IF(SUMIFS('Data Pura Producción'!AL$17:AL$531,'Data Pura Producción'!$R$17:$R$531,$Q61,'Data Pura Producción'!$Q$17:$Q$531,$R61)=0,"",SUMIFS('Data Pura Producción'!AL$17:AL$531,'Data Pura Producción'!$R$17:$R$531,$Q61,'Data Pura Producción'!$Q$17:$Q$531,$R61)))</f>
        <v/>
      </c>
      <c r="AB61" s="182" t="str">
        <f>+IF($Q61="","",IF(SUMIFS('Data Pura Producción'!AM$17:AM$531,'Data Pura Producción'!$R$17:$R$531,$Q61,'Data Pura Producción'!$Q$17:$Q$531,$R61)=0,"",SUMIFS('Data Pura Producción'!AM$17:AM$531,'Data Pura Producción'!$R$17:$R$531,$Q61,'Data Pura Producción'!$Q$17:$Q$531,$R61)))</f>
        <v/>
      </c>
      <c r="AC61" s="182" t="str">
        <f>+IF($Q61="","",IF(SUMIFS('Data Pura Producción'!AN$17:AN$531,'Data Pura Producción'!$R$17:$R$531,$Q61,'Data Pura Producción'!$Q$17:$Q$531,$R61)=0,"",SUMIFS('Data Pura Producción'!AN$17:AN$531,'Data Pura Producción'!$R$17:$R$531,$Q61,'Data Pura Producción'!$Q$17:$Q$531,$R61)))</f>
        <v/>
      </c>
      <c r="AD61" s="182" t="str">
        <f>+IF($Q61="","",IF(SUMIFS('Data Pura Producción'!AO$17:AO$531,'Data Pura Producción'!$R$17:$R$531,$Q61,'Data Pura Producción'!$Q$17:$Q$531,$R61)=0,"",SUMIFS('Data Pura Producción'!AO$17:AO$531,'Data Pura Producción'!$R$17:$R$531,$Q61,'Data Pura Producción'!$Q$17:$Q$531,$R61)))</f>
        <v/>
      </c>
      <c r="AE61" s="182" t="str">
        <f>+IF($Q61="","",IF(SUMIFS('Data Pura Producción'!AP$17:AP$531,'Data Pura Producción'!$R$17:$R$531,$Q61,'Data Pura Producción'!$Q$17:$Q$531,$R61)=0,"",SUMIFS('Data Pura Producción'!AP$17:AP$531,'Data Pura Producción'!$R$17:$R$531,$Q61,'Data Pura Producción'!$Q$17:$Q$531,$R61)))</f>
        <v/>
      </c>
      <c r="AF61" s="182" t="str">
        <f>+IF($Q61="","",IF(SUMIFS('Data Pura Producción'!AQ$17:AQ$531,'Data Pura Producción'!$R$17:$R$531,$Q61,'Data Pura Producción'!$Q$17:$Q$531,$R61)=0,"",SUMIFS('Data Pura Producción'!AQ$17:AQ$531,'Data Pura Producción'!$R$17:$R$531,$Q61,'Data Pura Producción'!$Q$17:$Q$531,$R61)))</f>
        <v/>
      </c>
      <c r="AG61" s="182" t="str">
        <f>+IF($Q61="","",IF(SUMIFS('Data Pura Producción'!AR$17:AR$531,'Data Pura Producción'!$R$17:$R$531,$Q61,'Data Pura Producción'!$Q$17:$Q$531,$R61)=0,"",SUMIFS('Data Pura Producción'!AR$17:AR$531,'Data Pura Producción'!$R$17:$R$531,$Q61,'Data Pura Producción'!$Q$17:$Q$531,$R61)))</f>
        <v/>
      </c>
      <c r="AH61" s="182" t="str">
        <f>+IF($Q61="","",IF(SUMIFS('Data Pura Producción'!AS$17:AS$531,'Data Pura Producción'!$R$17:$R$531,$Q61,'Data Pura Producción'!$Q$17:$Q$531,$R61)=0,"",SUMIFS('Data Pura Producción'!AS$17:AS$531,'Data Pura Producción'!$R$17:$R$531,$Q61,'Data Pura Producción'!$Q$17:$Q$531,$R61)))</f>
        <v/>
      </c>
      <c r="AI61" s="182" t="str">
        <f>+IF($Q61="","",IF(SUMIFS('Data Pura Producción'!AT$17:AT$531,'Data Pura Producción'!$R$17:$R$531,$Q61,'Data Pura Producción'!$Q$17:$Q$531,$R61)=0,"",SUMIFS('Data Pura Producción'!AT$17:AT$531,'Data Pura Producción'!$R$17:$R$531,$Q61,'Data Pura Producción'!$Q$17:$Q$531,$R61)))</f>
        <v/>
      </c>
      <c r="AJ61" s="182" t="str">
        <f>+IF($Q61="","",IF(SUMIFS('Data Pura Producción'!AU$17:AU$531,'Data Pura Producción'!$R$17:$R$531,$Q61,'Data Pura Producción'!$Q$17:$Q$531,$R61)=0,"",SUMIFS('Data Pura Producción'!AU$17:AU$531,'Data Pura Producción'!$R$17:$R$531,$Q61,'Data Pura Producción'!$Q$17:$Q$531,$R61)))</f>
        <v/>
      </c>
      <c r="AK61" s="182" t="str">
        <f>+IF($Q61="","",IF(SUMIFS('Data Pura Producción'!AV$17:AV$531,'Data Pura Producción'!$R$17:$R$531,$Q61,'Data Pura Producción'!$Q$17:$Q$531,$R61)=0,"",SUMIFS('Data Pura Producción'!AV$17:AV$531,'Data Pura Producción'!$R$17:$R$531,$Q61,'Data Pura Producción'!$Q$17:$Q$531,$R61)))</f>
        <v/>
      </c>
      <c r="AL61" s="182" t="str">
        <f>+IF($Q61="","",IF(SUMIFS('Data Pura Producción'!AW$17:AW$531,'Data Pura Producción'!$R$17:$R$531,$Q61,'Data Pura Producción'!$Q$17:$Q$531,$R61)=0,"",SUMIFS('Data Pura Producción'!AW$17:AW$531,'Data Pura Producción'!$R$17:$R$531,$Q61,'Data Pura Producción'!$Q$17:$Q$531,$R61)))</f>
        <v/>
      </c>
      <c r="AM61" s="337" t="str">
        <f>+IF($Q61="","",IF(SUMIFS('Data Pura Producción'!AX$17:AX$531,'Data Pura Producción'!$R$17:$R$531,$Q61,'Data Pura Producción'!$Q$17:$Q$531,$R61)=0,"",SUMIFS('Data Pura Producción'!AX$17:AX$531,'Data Pura Producción'!$R$17:$R$531,$Q61,'Data Pura Producción'!$Q$17:$Q$531,$R61)))</f>
        <v/>
      </c>
      <c r="AN61" s="187" t="str">
        <f t="shared" si="4"/>
        <v/>
      </c>
    </row>
    <row r="62" spans="2:40" s="7" customFormat="1" x14ac:dyDescent="0.35">
      <c r="B62" s="4" t="str">
        <f>+IF('Data Pura Costos'!B62="","",'Data Pura Costos'!B62)</f>
        <v>San Hernán</v>
      </c>
      <c r="C62" s="4" t="str">
        <f>+IF('Data Pura Costos'!C62="","",'Data Pura Costos'!C62)</f>
        <v>Graneros, VI región</v>
      </c>
      <c r="D62" s="5">
        <f>+IF('Data Pura Costos'!D62="","",'Data Pura Costos'!D62)</f>
        <v>10</v>
      </c>
      <c r="E62" s="65">
        <f>+IF('Data Pura Costos'!E62="","",IF('Data Pura Costos'!E62=0,MAX('Data Pura Costos'!$E$7:$E$3000)*1000,'Data Pura Costos'!E62))</f>
        <v>280000</v>
      </c>
      <c r="F62" s="5" t="str">
        <f>+IF('Data Pura Costos'!F62="","",'Data Pura Costos'!F62)</f>
        <v>Mostazal</v>
      </c>
      <c r="G62" s="5" t="str">
        <f>+IF('Data Pura Costos'!G62="","",'Data Pura Costos'!G62)</f>
        <v xml:space="preserve">GUSTAVO ZÚÑIGA </v>
      </c>
      <c r="H62" s="52" t="str">
        <f>+IF('Data Pura Costos'!H62="","",'Data Pura Costos'!H62)</f>
        <v>Termo</v>
      </c>
      <c r="I62" s="71">
        <f>+IF('Data Pura Costos'!I62="","",'Data Pura Costos'!I62)</f>
        <v>28000</v>
      </c>
      <c r="J62" s="52" t="str">
        <f>+IF('Data Pura Costos'!J62="","",'Data Pura Costos'!J62)</f>
        <v>24-25</v>
      </c>
      <c r="K62" s="82" t="str">
        <f t="shared" si="3"/>
        <v xml:space="preserve">San Hernán-Mostazal-GUSTAVO ZÚÑIGA </v>
      </c>
      <c r="P62" s="1" t="str">
        <f t="shared" si="1"/>
        <v/>
      </c>
      <c r="Q62" s="23"/>
      <c r="R62" s="333"/>
      <c r="S62" s="336" t="str">
        <f>+IF($Q62="","",IF(SUMIFS('Data Pura Producción'!AD$17:AD$531,'Data Pura Producción'!$R$17:$R$531,$Q62,'Data Pura Producción'!$Q$17:$Q$531,$R62)=0,"",SUMIFS('Data Pura Producción'!AD$17:AD$531,'Data Pura Producción'!$R$17:$R$531,$Q62,'Data Pura Producción'!$Q$17:$Q$531,$R62)))</f>
        <v/>
      </c>
      <c r="T62" s="182" t="str">
        <f>+IF($Q62="","",IF(SUMIFS('Data Pura Producción'!AE$17:AE$531,'Data Pura Producción'!$R$17:$R$531,$Q62,'Data Pura Producción'!$Q$17:$Q$531,$R62)=0,"",SUMIFS('Data Pura Producción'!AE$17:AE$531,'Data Pura Producción'!$R$17:$R$531,$Q62,'Data Pura Producción'!$Q$17:$Q$531,$R62)))</f>
        <v/>
      </c>
      <c r="U62" s="182" t="str">
        <f>+IF($Q62="","",IF(SUMIFS('Data Pura Producción'!AF$17:AF$531,'Data Pura Producción'!$R$17:$R$531,$Q62,'Data Pura Producción'!$Q$17:$Q$531,$R62)=0,"",SUMIFS('Data Pura Producción'!AF$17:AF$531,'Data Pura Producción'!$R$17:$R$531,$Q62,'Data Pura Producción'!$Q$17:$Q$531,$R62)))</f>
        <v/>
      </c>
      <c r="V62" s="182" t="str">
        <f>+IF($Q62="","",IF(SUMIFS('Data Pura Producción'!AG$17:AG$531,'Data Pura Producción'!$R$17:$R$531,$Q62,'Data Pura Producción'!$Q$17:$Q$531,$R62)=0,"",SUMIFS('Data Pura Producción'!AG$17:AG$531,'Data Pura Producción'!$R$17:$R$531,$Q62,'Data Pura Producción'!$Q$17:$Q$531,$R62)))</f>
        <v/>
      </c>
      <c r="W62" s="182" t="str">
        <f>+IF($Q62="","",IF(SUMIFS('Data Pura Producción'!AH$17:AH$531,'Data Pura Producción'!$R$17:$R$531,$Q62,'Data Pura Producción'!$Q$17:$Q$531,$R62)=0,"",SUMIFS('Data Pura Producción'!AH$17:AH$531,'Data Pura Producción'!$R$17:$R$531,$Q62,'Data Pura Producción'!$Q$17:$Q$531,$R62)))</f>
        <v/>
      </c>
      <c r="X62" s="182" t="str">
        <f>+IF($Q62="","",IF(SUMIFS('Data Pura Producción'!AI$17:AI$531,'Data Pura Producción'!$R$17:$R$531,$Q62,'Data Pura Producción'!$Q$17:$Q$531,$R62)=0,"",SUMIFS('Data Pura Producción'!AI$17:AI$531,'Data Pura Producción'!$R$17:$R$531,$Q62,'Data Pura Producción'!$Q$17:$Q$531,$R62)))</f>
        <v/>
      </c>
      <c r="Y62" s="182" t="str">
        <f>+IF($Q62="","",IF(SUMIFS('Data Pura Producción'!AJ$17:AJ$531,'Data Pura Producción'!$R$17:$R$531,$Q62,'Data Pura Producción'!$Q$17:$Q$531,$R62)=0,"",SUMIFS('Data Pura Producción'!AJ$17:AJ$531,'Data Pura Producción'!$R$17:$R$531,$Q62,'Data Pura Producción'!$Q$17:$Q$531,$R62)))</f>
        <v/>
      </c>
      <c r="Z62" s="182" t="str">
        <f>+IF($Q62="","",IF(SUMIFS('Data Pura Producción'!AK$17:AK$531,'Data Pura Producción'!$R$17:$R$531,$Q62,'Data Pura Producción'!$Q$17:$Q$531,$R62)=0,"",SUMIFS('Data Pura Producción'!AK$17:AK$531,'Data Pura Producción'!$R$17:$R$531,$Q62,'Data Pura Producción'!$Q$17:$Q$531,$R62)))</f>
        <v/>
      </c>
      <c r="AA62" s="182" t="str">
        <f>+IF($Q62="","",IF(SUMIFS('Data Pura Producción'!AL$17:AL$531,'Data Pura Producción'!$R$17:$R$531,$Q62,'Data Pura Producción'!$Q$17:$Q$531,$R62)=0,"",SUMIFS('Data Pura Producción'!AL$17:AL$531,'Data Pura Producción'!$R$17:$R$531,$Q62,'Data Pura Producción'!$Q$17:$Q$531,$R62)))</f>
        <v/>
      </c>
      <c r="AB62" s="182" t="str">
        <f>+IF($Q62="","",IF(SUMIFS('Data Pura Producción'!AM$17:AM$531,'Data Pura Producción'!$R$17:$R$531,$Q62,'Data Pura Producción'!$Q$17:$Q$531,$R62)=0,"",SUMIFS('Data Pura Producción'!AM$17:AM$531,'Data Pura Producción'!$R$17:$R$531,$Q62,'Data Pura Producción'!$Q$17:$Q$531,$R62)))</f>
        <v/>
      </c>
      <c r="AC62" s="182" t="str">
        <f>+IF($Q62="","",IF(SUMIFS('Data Pura Producción'!AN$17:AN$531,'Data Pura Producción'!$R$17:$R$531,$Q62,'Data Pura Producción'!$Q$17:$Q$531,$R62)=0,"",SUMIFS('Data Pura Producción'!AN$17:AN$531,'Data Pura Producción'!$R$17:$R$531,$Q62,'Data Pura Producción'!$Q$17:$Q$531,$R62)))</f>
        <v/>
      </c>
      <c r="AD62" s="182" t="str">
        <f>+IF($Q62="","",IF(SUMIFS('Data Pura Producción'!AO$17:AO$531,'Data Pura Producción'!$R$17:$R$531,$Q62,'Data Pura Producción'!$Q$17:$Q$531,$R62)=0,"",SUMIFS('Data Pura Producción'!AO$17:AO$531,'Data Pura Producción'!$R$17:$R$531,$Q62,'Data Pura Producción'!$Q$17:$Q$531,$R62)))</f>
        <v/>
      </c>
      <c r="AE62" s="182" t="str">
        <f>+IF($Q62="","",IF(SUMIFS('Data Pura Producción'!AP$17:AP$531,'Data Pura Producción'!$R$17:$R$531,$Q62,'Data Pura Producción'!$Q$17:$Q$531,$R62)=0,"",SUMIFS('Data Pura Producción'!AP$17:AP$531,'Data Pura Producción'!$R$17:$R$531,$Q62,'Data Pura Producción'!$Q$17:$Q$531,$R62)))</f>
        <v/>
      </c>
      <c r="AF62" s="182" t="str">
        <f>+IF($Q62="","",IF(SUMIFS('Data Pura Producción'!AQ$17:AQ$531,'Data Pura Producción'!$R$17:$R$531,$Q62,'Data Pura Producción'!$Q$17:$Q$531,$R62)=0,"",SUMIFS('Data Pura Producción'!AQ$17:AQ$531,'Data Pura Producción'!$R$17:$R$531,$Q62,'Data Pura Producción'!$Q$17:$Q$531,$R62)))</f>
        <v/>
      </c>
      <c r="AG62" s="182" t="str">
        <f>+IF($Q62="","",IF(SUMIFS('Data Pura Producción'!AR$17:AR$531,'Data Pura Producción'!$R$17:$R$531,$Q62,'Data Pura Producción'!$Q$17:$Q$531,$R62)=0,"",SUMIFS('Data Pura Producción'!AR$17:AR$531,'Data Pura Producción'!$R$17:$R$531,$Q62,'Data Pura Producción'!$Q$17:$Q$531,$R62)))</f>
        <v/>
      </c>
      <c r="AH62" s="182" t="str">
        <f>+IF($Q62="","",IF(SUMIFS('Data Pura Producción'!AS$17:AS$531,'Data Pura Producción'!$R$17:$R$531,$Q62,'Data Pura Producción'!$Q$17:$Q$531,$R62)=0,"",SUMIFS('Data Pura Producción'!AS$17:AS$531,'Data Pura Producción'!$R$17:$R$531,$Q62,'Data Pura Producción'!$Q$17:$Q$531,$R62)))</f>
        <v/>
      </c>
      <c r="AI62" s="182" t="str">
        <f>+IF($Q62="","",IF(SUMIFS('Data Pura Producción'!AT$17:AT$531,'Data Pura Producción'!$R$17:$R$531,$Q62,'Data Pura Producción'!$Q$17:$Q$531,$R62)=0,"",SUMIFS('Data Pura Producción'!AT$17:AT$531,'Data Pura Producción'!$R$17:$R$531,$Q62,'Data Pura Producción'!$Q$17:$Q$531,$R62)))</f>
        <v/>
      </c>
      <c r="AJ62" s="182" t="str">
        <f>+IF($Q62="","",IF(SUMIFS('Data Pura Producción'!AU$17:AU$531,'Data Pura Producción'!$R$17:$R$531,$Q62,'Data Pura Producción'!$Q$17:$Q$531,$R62)=0,"",SUMIFS('Data Pura Producción'!AU$17:AU$531,'Data Pura Producción'!$R$17:$R$531,$Q62,'Data Pura Producción'!$Q$17:$Q$531,$R62)))</f>
        <v/>
      </c>
      <c r="AK62" s="182" t="str">
        <f>+IF($Q62="","",IF(SUMIFS('Data Pura Producción'!AV$17:AV$531,'Data Pura Producción'!$R$17:$R$531,$Q62,'Data Pura Producción'!$Q$17:$Q$531,$R62)=0,"",SUMIFS('Data Pura Producción'!AV$17:AV$531,'Data Pura Producción'!$R$17:$R$531,$Q62,'Data Pura Producción'!$Q$17:$Q$531,$R62)))</f>
        <v/>
      </c>
      <c r="AL62" s="182" t="str">
        <f>+IF($Q62="","",IF(SUMIFS('Data Pura Producción'!AW$17:AW$531,'Data Pura Producción'!$R$17:$R$531,$Q62,'Data Pura Producción'!$Q$17:$Q$531,$R62)=0,"",SUMIFS('Data Pura Producción'!AW$17:AW$531,'Data Pura Producción'!$R$17:$R$531,$Q62,'Data Pura Producción'!$Q$17:$Q$531,$R62)))</f>
        <v/>
      </c>
      <c r="AM62" s="337" t="str">
        <f>+IF($Q62="","",IF(SUMIFS('Data Pura Producción'!AX$17:AX$531,'Data Pura Producción'!$R$17:$R$531,$Q62,'Data Pura Producción'!$Q$17:$Q$531,$R62)=0,"",SUMIFS('Data Pura Producción'!AX$17:AX$531,'Data Pura Producción'!$R$17:$R$531,$Q62,'Data Pura Producción'!$Q$17:$Q$531,$R62)))</f>
        <v/>
      </c>
      <c r="AN62" s="187" t="str">
        <f t="shared" si="4"/>
        <v/>
      </c>
    </row>
    <row r="63" spans="2:40" s="7" customFormat="1" x14ac:dyDescent="0.35">
      <c r="B63" s="4" t="str">
        <f>+IF('Data Pura Costos'!B63="","",'Data Pura Costos'!B63)</f>
        <v>Santa Mónica</v>
      </c>
      <c r="C63" s="4" t="str">
        <f>+IF('Data Pura Costos'!C63="","",'Data Pura Costos'!C63)</f>
        <v xml:space="preserve">Rancagua, sector Chancón, VI región </v>
      </c>
      <c r="D63" s="5">
        <f>+IF('Data Pura Costos'!D63="","",'Data Pura Costos'!D63)</f>
        <v>20</v>
      </c>
      <c r="E63" s="65">
        <f>+IF('Data Pura Costos'!E63="","",IF('Data Pura Costos'!E63=0,MAX('Data Pura Costos'!$E$7:$E$3000)*1000,'Data Pura Costos'!E63))</f>
        <v>280000</v>
      </c>
      <c r="F63" s="5" t="str">
        <f>+IF('Data Pura Costos'!F63="","",'Data Pura Costos'!F63)</f>
        <v>Mostazal</v>
      </c>
      <c r="G63" s="5" t="str">
        <f>+IF('Data Pura Costos'!G63="","",'Data Pura Costos'!G63)</f>
        <v xml:space="preserve">GUSTAVO ZÚÑIGA </v>
      </c>
      <c r="H63" s="52" t="str">
        <f>+IF('Data Pura Costos'!H63="","",'Data Pura Costos'!H63)</f>
        <v>Termo</v>
      </c>
      <c r="I63" s="71">
        <f>+IF('Data Pura Costos'!I63="","",'Data Pura Costos'!I63)</f>
        <v>14000</v>
      </c>
      <c r="J63" s="52" t="str">
        <f>+IF('Data Pura Costos'!J63="","",'Data Pura Costos'!J63)</f>
        <v>24-25</v>
      </c>
      <c r="K63" s="82" t="str">
        <f t="shared" si="3"/>
        <v xml:space="preserve">Santa Mónica-Mostazal-GUSTAVO ZÚÑIGA </v>
      </c>
      <c r="P63" s="1" t="str">
        <f t="shared" si="1"/>
        <v/>
      </c>
      <c r="Q63" s="23"/>
      <c r="R63" s="333"/>
      <c r="S63" s="336" t="str">
        <f>+IF($Q63="","",IF(SUMIFS('Data Pura Producción'!AD$17:AD$531,'Data Pura Producción'!$R$17:$R$531,$Q63,'Data Pura Producción'!$Q$17:$Q$531,$R63)=0,"",SUMIFS('Data Pura Producción'!AD$17:AD$531,'Data Pura Producción'!$R$17:$R$531,$Q63,'Data Pura Producción'!$Q$17:$Q$531,$R63)))</f>
        <v/>
      </c>
      <c r="T63" s="182" t="str">
        <f>+IF($Q63="","",IF(SUMIFS('Data Pura Producción'!AE$17:AE$531,'Data Pura Producción'!$R$17:$R$531,$Q63,'Data Pura Producción'!$Q$17:$Q$531,$R63)=0,"",SUMIFS('Data Pura Producción'!AE$17:AE$531,'Data Pura Producción'!$R$17:$R$531,$Q63,'Data Pura Producción'!$Q$17:$Q$531,$R63)))</f>
        <v/>
      </c>
      <c r="U63" s="182" t="str">
        <f>+IF($Q63="","",IF(SUMIFS('Data Pura Producción'!AF$17:AF$531,'Data Pura Producción'!$R$17:$R$531,$Q63,'Data Pura Producción'!$Q$17:$Q$531,$R63)=0,"",SUMIFS('Data Pura Producción'!AF$17:AF$531,'Data Pura Producción'!$R$17:$R$531,$Q63,'Data Pura Producción'!$Q$17:$Q$531,$R63)))</f>
        <v/>
      </c>
      <c r="V63" s="182" t="str">
        <f>+IF($Q63="","",IF(SUMIFS('Data Pura Producción'!AG$17:AG$531,'Data Pura Producción'!$R$17:$R$531,$Q63,'Data Pura Producción'!$Q$17:$Q$531,$R63)=0,"",SUMIFS('Data Pura Producción'!AG$17:AG$531,'Data Pura Producción'!$R$17:$R$531,$Q63,'Data Pura Producción'!$Q$17:$Q$531,$R63)))</f>
        <v/>
      </c>
      <c r="W63" s="182" t="str">
        <f>+IF($Q63="","",IF(SUMIFS('Data Pura Producción'!AH$17:AH$531,'Data Pura Producción'!$R$17:$R$531,$Q63,'Data Pura Producción'!$Q$17:$Q$531,$R63)=0,"",SUMIFS('Data Pura Producción'!AH$17:AH$531,'Data Pura Producción'!$R$17:$R$531,$Q63,'Data Pura Producción'!$Q$17:$Q$531,$R63)))</f>
        <v/>
      </c>
      <c r="X63" s="182" t="str">
        <f>+IF($Q63="","",IF(SUMIFS('Data Pura Producción'!AI$17:AI$531,'Data Pura Producción'!$R$17:$R$531,$Q63,'Data Pura Producción'!$Q$17:$Q$531,$R63)=0,"",SUMIFS('Data Pura Producción'!AI$17:AI$531,'Data Pura Producción'!$R$17:$R$531,$Q63,'Data Pura Producción'!$Q$17:$Q$531,$R63)))</f>
        <v/>
      </c>
      <c r="Y63" s="182" t="str">
        <f>+IF($Q63="","",IF(SUMIFS('Data Pura Producción'!AJ$17:AJ$531,'Data Pura Producción'!$R$17:$R$531,$Q63,'Data Pura Producción'!$Q$17:$Q$531,$R63)=0,"",SUMIFS('Data Pura Producción'!AJ$17:AJ$531,'Data Pura Producción'!$R$17:$R$531,$Q63,'Data Pura Producción'!$Q$17:$Q$531,$R63)))</f>
        <v/>
      </c>
      <c r="Z63" s="182" t="str">
        <f>+IF($Q63="","",IF(SUMIFS('Data Pura Producción'!AK$17:AK$531,'Data Pura Producción'!$R$17:$R$531,$Q63,'Data Pura Producción'!$Q$17:$Q$531,$R63)=0,"",SUMIFS('Data Pura Producción'!AK$17:AK$531,'Data Pura Producción'!$R$17:$R$531,$Q63,'Data Pura Producción'!$Q$17:$Q$531,$R63)))</f>
        <v/>
      </c>
      <c r="AA63" s="182" t="str">
        <f>+IF($Q63="","",IF(SUMIFS('Data Pura Producción'!AL$17:AL$531,'Data Pura Producción'!$R$17:$R$531,$Q63,'Data Pura Producción'!$Q$17:$Q$531,$R63)=0,"",SUMIFS('Data Pura Producción'!AL$17:AL$531,'Data Pura Producción'!$R$17:$R$531,$Q63,'Data Pura Producción'!$Q$17:$Q$531,$R63)))</f>
        <v/>
      </c>
      <c r="AB63" s="182" t="str">
        <f>+IF($Q63="","",IF(SUMIFS('Data Pura Producción'!AM$17:AM$531,'Data Pura Producción'!$R$17:$R$531,$Q63,'Data Pura Producción'!$Q$17:$Q$531,$R63)=0,"",SUMIFS('Data Pura Producción'!AM$17:AM$531,'Data Pura Producción'!$R$17:$R$531,$Q63,'Data Pura Producción'!$Q$17:$Q$531,$R63)))</f>
        <v/>
      </c>
      <c r="AC63" s="182" t="str">
        <f>+IF($Q63="","",IF(SUMIFS('Data Pura Producción'!AN$17:AN$531,'Data Pura Producción'!$R$17:$R$531,$Q63,'Data Pura Producción'!$Q$17:$Q$531,$R63)=0,"",SUMIFS('Data Pura Producción'!AN$17:AN$531,'Data Pura Producción'!$R$17:$R$531,$Q63,'Data Pura Producción'!$Q$17:$Q$531,$R63)))</f>
        <v/>
      </c>
      <c r="AD63" s="182" t="str">
        <f>+IF($Q63="","",IF(SUMIFS('Data Pura Producción'!AO$17:AO$531,'Data Pura Producción'!$R$17:$R$531,$Q63,'Data Pura Producción'!$Q$17:$Q$531,$R63)=0,"",SUMIFS('Data Pura Producción'!AO$17:AO$531,'Data Pura Producción'!$R$17:$R$531,$Q63,'Data Pura Producción'!$Q$17:$Q$531,$R63)))</f>
        <v/>
      </c>
      <c r="AE63" s="182" t="str">
        <f>+IF($Q63="","",IF(SUMIFS('Data Pura Producción'!AP$17:AP$531,'Data Pura Producción'!$R$17:$R$531,$Q63,'Data Pura Producción'!$Q$17:$Q$531,$R63)=0,"",SUMIFS('Data Pura Producción'!AP$17:AP$531,'Data Pura Producción'!$R$17:$R$531,$Q63,'Data Pura Producción'!$Q$17:$Q$531,$R63)))</f>
        <v/>
      </c>
      <c r="AF63" s="182" t="str">
        <f>+IF($Q63="","",IF(SUMIFS('Data Pura Producción'!AQ$17:AQ$531,'Data Pura Producción'!$R$17:$R$531,$Q63,'Data Pura Producción'!$Q$17:$Q$531,$R63)=0,"",SUMIFS('Data Pura Producción'!AQ$17:AQ$531,'Data Pura Producción'!$R$17:$R$531,$Q63,'Data Pura Producción'!$Q$17:$Q$531,$R63)))</f>
        <v/>
      </c>
      <c r="AG63" s="182" t="str">
        <f>+IF($Q63="","",IF(SUMIFS('Data Pura Producción'!AR$17:AR$531,'Data Pura Producción'!$R$17:$R$531,$Q63,'Data Pura Producción'!$Q$17:$Q$531,$R63)=0,"",SUMIFS('Data Pura Producción'!AR$17:AR$531,'Data Pura Producción'!$R$17:$R$531,$Q63,'Data Pura Producción'!$Q$17:$Q$531,$R63)))</f>
        <v/>
      </c>
      <c r="AH63" s="182" t="str">
        <f>+IF($Q63="","",IF(SUMIFS('Data Pura Producción'!AS$17:AS$531,'Data Pura Producción'!$R$17:$R$531,$Q63,'Data Pura Producción'!$Q$17:$Q$531,$R63)=0,"",SUMIFS('Data Pura Producción'!AS$17:AS$531,'Data Pura Producción'!$R$17:$R$531,$Q63,'Data Pura Producción'!$Q$17:$Q$531,$R63)))</f>
        <v/>
      </c>
      <c r="AI63" s="182" t="str">
        <f>+IF($Q63="","",IF(SUMIFS('Data Pura Producción'!AT$17:AT$531,'Data Pura Producción'!$R$17:$R$531,$Q63,'Data Pura Producción'!$Q$17:$Q$531,$R63)=0,"",SUMIFS('Data Pura Producción'!AT$17:AT$531,'Data Pura Producción'!$R$17:$R$531,$Q63,'Data Pura Producción'!$Q$17:$Q$531,$R63)))</f>
        <v/>
      </c>
      <c r="AJ63" s="182" t="str">
        <f>+IF($Q63="","",IF(SUMIFS('Data Pura Producción'!AU$17:AU$531,'Data Pura Producción'!$R$17:$R$531,$Q63,'Data Pura Producción'!$Q$17:$Q$531,$R63)=0,"",SUMIFS('Data Pura Producción'!AU$17:AU$531,'Data Pura Producción'!$R$17:$R$531,$Q63,'Data Pura Producción'!$Q$17:$Q$531,$R63)))</f>
        <v/>
      </c>
      <c r="AK63" s="182" t="str">
        <f>+IF($Q63="","",IF(SUMIFS('Data Pura Producción'!AV$17:AV$531,'Data Pura Producción'!$R$17:$R$531,$Q63,'Data Pura Producción'!$Q$17:$Q$531,$R63)=0,"",SUMIFS('Data Pura Producción'!AV$17:AV$531,'Data Pura Producción'!$R$17:$R$531,$Q63,'Data Pura Producción'!$Q$17:$Q$531,$R63)))</f>
        <v/>
      </c>
      <c r="AL63" s="182" t="str">
        <f>+IF($Q63="","",IF(SUMIFS('Data Pura Producción'!AW$17:AW$531,'Data Pura Producción'!$R$17:$R$531,$Q63,'Data Pura Producción'!$Q$17:$Q$531,$R63)=0,"",SUMIFS('Data Pura Producción'!AW$17:AW$531,'Data Pura Producción'!$R$17:$R$531,$Q63,'Data Pura Producción'!$Q$17:$Q$531,$R63)))</f>
        <v/>
      </c>
      <c r="AM63" s="337" t="str">
        <f>+IF($Q63="","",IF(SUMIFS('Data Pura Producción'!AX$17:AX$531,'Data Pura Producción'!$R$17:$R$531,$Q63,'Data Pura Producción'!$Q$17:$Q$531,$R63)=0,"",SUMIFS('Data Pura Producción'!AX$17:AX$531,'Data Pura Producción'!$R$17:$R$531,$Q63,'Data Pura Producción'!$Q$17:$Q$531,$R63)))</f>
        <v/>
      </c>
      <c r="AN63" s="187" t="str">
        <f t="shared" si="4"/>
        <v/>
      </c>
    </row>
    <row r="64" spans="2:40" s="7" customFormat="1" x14ac:dyDescent="0.35">
      <c r="B64" s="4" t="str">
        <f>+IF('Data Pura Costos'!B64="","",'Data Pura Costos'!B64)</f>
        <v>Talhuén</v>
      </c>
      <c r="C64" s="4" t="str">
        <f>+IF('Data Pura Costos'!C64="","",'Data Pura Costos'!C64)</f>
        <v>Palmilla, VI región</v>
      </c>
      <c r="D64" s="5">
        <f>+IF('Data Pura Costos'!D64="","",'Data Pura Costos'!D64)</f>
        <v>122</v>
      </c>
      <c r="E64" s="65">
        <f>+IF('Data Pura Costos'!E64="","",IF('Data Pura Costos'!E64=0,MAX('Data Pura Costos'!$E$7:$E$3000)*1000,'Data Pura Costos'!E64))</f>
        <v>420000</v>
      </c>
      <c r="F64" s="5" t="str">
        <f>+IF('Data Pura Costos'!F64="","",'Data Pura Costos'!F64)</f>
        <v>Mostazal</v>
      </c>
      <c r="G64" s="5" t="str">
        <f>+IF('Data Pura Costos'!G64="","",'Data Pura Costos'!G64)</f>
        <v xml:space="preserve">GUSTAVO ZÚÑIGA </v>
      </c>
      <c r="H64" s="52" t="str">
        <f>+IF('Data Pura Costos'!H64="","",'Data Pura Costos'!H64)</f>
        <v>Termo</v>
      </c>
      <c r="I64" s="71">
        <f>+IF('Data Pura Costos'!I64="","",'Data Pura Costos'!I64)</f>
        <v>3442.622950819672</v>
      </c>
      <c r="J64" s="52" t="str">
        <f>+IF('Data Pura Costos'!J64="","",'Data Pura Costos'!J64)</f>
        <v>24-25</v>
      </c>
      <c r="K64" s="82" t="str">
        <f t="shared" si="3"/>
        <v xml:space="preserve">Talhuén-Mostazal-GUSTAVO ZÚÑIGA </v>
      </c>
      <c r="P64" s="1" t="str">
        <f t="shared" si="1"/>
        <v/>
      </c>
      <c r="Q64" s="23"/>
      <c r="R64" s="333"/>
      <c r="S64" s="336" t="str">
        <f>+IF($Q64="","",IF(SUMIFS('Data Pura Producción'!AD$17:AD$531,'Data Pura Producción'!$R$17:$R$531,$Q64,'Data Pura Producción'!$Q$17:$Q$531,$R64)=0,"",SUMIFS('Data Pura Producción'!AD$17:AD$531,'Data Pura Producción'!$R$17:$R$531,$Q64,'Data Pura Producción'!$Q$17:$Q$531,$R64)))</f>
        <v/>
      </c>
      <c r="T64" s="182" t="str">
        <f>+IF($Q64="","",IF(SUMIFS('Data Pura Producción'!AE$17:AE$531,'Data Pura Producción'!$R$17:$R$531,$Q64,'Data Pura Producción'!$Q$17:$Q$531,$R64)=0,"",SUMIFS('Data Pura Producción'!AE$17:AE$531,'Data Pura Producción'!$R$17:$R$531,$Q64,'Data Pura Producción'!$Q$17:$Q$531,$R64)))</f>
        <v/>
      </c>
      <c r="U64" s="182" t="str">
        <f>+IF($Q64="","",IF(SUMIFS('Data Pura Producción'!AF$17:AF$531,'Data Pura Producción'!$R$17:$R$531,$Q64,'Data Pura Producción'!$Q$17:$Q$531,$R64)=0,"",SUMIFS('Data Pura Producción'!AF$17:AF$531,'Data Pura Producción'!$R$17:$R$531,$Q64,'Data Pura Producción'!$Q$17:$Q$531,$R64)))</f>
        <v/>
      </c>
      <c r="V64" s="182" t="str">
        <f>+IF($Q64="","",IF(SUMIFS('Data Pura Producción'!AG$17:AG$531,'Data Pura Producción'!$R$17:$R$531,$Q64,'Data Pura Producción'!$Q$17:$Q$531,$R64)=0,"",SUMIFS('Data Pura Producción'!AG$17:AG$531,'Data Pura Producción'!$R$17:$R$531,$Q64,'Data Pura Producción'!$Q$17:$Q$531,$R64)))</f>
        <v/>
      </c>
      <c r="W64" s="182" t="str">
        <f>+IF($Q64="","",IF(SUMIFS('Data Pura Producción'!AH$17:AH$531,'Data Pura Producción'!$R$17:$R$531,$Q64,'Data Pura Producción'!$Q$17:$Q$531,$R64)=0,"",SUMIFS('Data Pura Producción'!AH$17:AH$531,'Data Pura Producción'!$R$17:$R$531,$Q64,'Data Pura Producción'!$Q$17:$Q$531,$R64)))</f>
        <v/>
      </c>
      <c r="X64" s="182" t="str">
        <f>+IF($Q64="","",IF(SUMIFS('Data Pura Producción'!AI$17:AI$531,'Data Pura Producción'!$R$17:$R$531,$Q64,'Data Pura Producción'!$Q$17:$Q$531,$R64)=0,"",SUMIFS('Data Pura Producción'!AI$17:AI$531,'Data Pura Producción'!$R$17:$R$531,$Q64,'Data Pura Producción'!$Q$17:$Q$531,$R64)))</f>
        <v/>
      </c>
      <c r="Y64" s="182" t="str">
        <f>+IF($Q64="","",IF(SUMIFS('Data Pura Producción'!AJ$17:AJ$531,'Data Pura Producción'!$R$17:$R$531,$Q64,'Data Pura Producción'!$Q$17:$Q$531,$R64)=0,"",SUMIFS('Data Pura Producción'!AJ$17:AJ$531,'Data Pura Producción'!$R$17:$R$531,$Q64,'Data Pura Producción'!$Q$17:$Q$531,$R64)))</f>
        <v/>
      </c>
      <c r="Z64" s="182" t="str">
        <f>+IF($Q64="","",IF(SUMIFS('Data Pura Producción'!AK$17:AK$531,'Data Pura Producción'!$R$17:$R$531,$Q64,'Data Pura Producción'!$Q$17:$Q$531,$R64)=0,"",SUMIFS('Data Pura Producción'!AK$17:AK$531,'Data Pura Producción'!$R$17:$R$531,$Q64,'Data Pura Producción'!$Q$17:$Q$531,$R64)))</f>
        <v/>
      </c>
      <c r="AA64" s="182" t="str">
        <f>+IF($Q64="","",IF(SUMIFS('Data Pura Producción'!AL$17:AL$531,'Data Pura Producción'!$R$17:$R$531,$Q64,'Data Pura Producción'!$Q$17:$Q$531,$R64)=0,"",SUMIFS('Data Pura Producción'!AL$17:AL$531,'Data Pura Producción'!$R$17:$R$531,$Q64,'Data Pura Producción'!$Q$17:$Q$531,$R64)))</f>
        <v/>
      </c>
      <c r="AB64" s="182" t="str">
        <f>+IF($Q64="","",IF(SUMIFS('Data Pura Producción'!AM$17:AM$531,'Data Pura Producción'!$R$17:$R$531,$Q64,'Data Pura Producción'!$Q$17:$Q$531,$R64)=0,"",SUMIFS('Data Pura Producción'!AM$17:AM$531,'Data Pura Producción'!$R$17:$R$531,$Q64,'Data Pura Producción'!$Q$17:$Q$531,$R64)))</f>
        <v/>
      </c>
      <c r="AC64" s="182" t="str">
        <f>+IF($Q64="","",IF(SUMIFS('Data Pura Producción'!AN$17:AN$531,'Data Pura Producción'!$R$17:$R$531,$Q64,'Data Pura Producción'!$Q$17:$Q$531,$R64)=0,"",SUMIFS('Data Pura Producción'!AN$17:AN$531,'Data Pura Producción'!$R$17:$R$531,$Q64,'Data Pura Producción'!$Q$17:$Q$531,$R64)))</f>
        <v/>
      </c>
      <c r="AD64" s="182" t="str">
        <f>+IF($Q64="","",IF(SUMIFS('Data Pura Producción'!AO$17:AO$531,'Data Pura Producción'!$R$17:$R$531,$Q64,'Data Pura Producción'!$Q$17:$Q$531,$R64)=0,"",SUMIFS('Data Pura Producción'!AO$17:AO$531,'Data Pura Producción'!$R$17:$R$531,$Q64,'Data Pura Producción'!$Q$17:$Q$531,$R64)))</f>
        <v/>
      </c>
      <c r="AE64" s="182" t="str">
        <f>+IF($Q64="","",IF(SUMIFS('Data Pura Producción'!AP$17:AP$531,'Data Pura Producción'!$R$17:$R$531,$Q64,'Data Pura Producción'!$Q$17:$Q$531,$R64)=0,"",SUMIFS('Data Pura Producción'!AP$17:AP$531,'Data Pura Producción'!$R$17:$R$531,$Q64,'Data Pura Producción'!$Q$17:$Q$531,$R64)))</f>
        <v/>
      </c>
      <c r="AF64" s="182" t="str">
        <f>+IF($Q64="","",IF(SUMIFS('Data Pura Producción'!AQ$17:AQ$531,'Data Pura Producción'!$R$17:$R$531,$Q64,'Data Pura Producción'!$Q$17:$Q$531,$R64)=0,"",SUMIFS('Data Pura Producción'!AQ$17:AQ$531,'Data Pura Producción'!$R$17:$R$531,$Q64,'Data Pura Producción'!$Q$17:$Q$531,$R64)))</f>
        <v/>
      </c>
      <c r="AG64" s="182" t="str">
        <f>+IF($Q64="","",IF(SUMIFS('Data Pura Producción'!AR$17:AR$531,'Data Pura Producción'!$R$17:$R$531,$Q64,'Data Pura Producción'!$Q$17:$Q$531,$R64)=0,"",SUMIFS('Data Pura Producción'!AR$17:AR$531,'Data Pura Producción'!$R$17:$R$531,$Q64,'Data Pura Producción'!$Q$17:$Q$531,$R64)))</f>
        <v/>
      </c>
      <c r="AH64" s="182" t="str">
        <f>+IF($Q64="","",IF(SUMIFS('Data Pura Producción'!AS$17:AS$531,'Data Pura Producción'!$R$17:$R$531,$Q64,'Data Pura Producción'!$Q$17:$Q$531,$R64)=0,"",SUMIFS('Data Pura Producción'!AS$17:AS$531,'Data Pura Producción'!$R$17:$R$531,$Q64,'Data Pura Producción'!$Q$17:$Q$531,$R64)))</f>
        <v/>
      </c>
      <c r="AI64" s="182" t="str">
        <f>+IF($Q64="","",IF(SUMIFS('Data Pura Producción'!AT$17:AT$531,'Data Pura Producción'!$R$17:$R$531,$Q64,'Data Pura Producción'!$Q$17:$Q$531,$R64)=0,"",SUMIFS('Data Pura Producción'!AT$17:AT$531,'Data Pura Producción'!$R$17:$R$531,$Q64,'Data Pura Producción'!$Q$17:$Q$531,$R64)))</f>
        <v/>
      </c>
      <c r="AJ64" s="182" t="str">
        <f>+IF($Q64="","",IF(SUMIFS('Data Pura Producción'!AU$17:AU$531,'Data Pura Producción'!$R$17:$R$531,$Q64,'Data Pura Producción'!$Q$17:$Q$531,$R64)=0,"",SUMIFS('Data Pura Producción'!AU$17:AU$531,'Data Pura Producción'!$R$17:$R$531,$Q64,'Data Pura Producción'!$Q$17:$Q$531,$R64)))</f>
        <v/>
      </c>
      <c r="AK64" s="182" t="str">
        <f>+IF($Q64="","",IF(SUMIFS('Data Pura Producción'!AV$17:AV$531,'Data Pura Producción'!$R$17:$R$531,$Q64,'Data Pura Producción'!$Q$17:$Q$531,$R64)=0,"",SUMIFS('Data Pura Producción'!AV$17:AV$531,'Data Pura Producción'!$R$17:$R$531,$Q64,'Data Pura Producción'!$Q$17:$Q$531,$R64)))</f>
        <v/>
      </c>
      <c r="AL64" s="182" t="str">
        <f>+IF($Q64="","",IF(SUMIFS('Data Pura Producción'!AW$17:AW$531,'Data Pura Producción'!$R$17:$R$531,$Q64,'Data Pura Producción'!$Q$17:$Q$531,$R64)=0,"",SUMIFS('Data Pura Producción'!AW$17:AW$531,'Data Pura Producción'!$R$17:$R$531,$Q64,'Data Pura Producción'!$Q$17:$Q$531,$R64)))</f>
        <v/>
      </c>
      <c r="AM64" s="337" t="str">
        <f>+IF($Q64="","",IF(SUMIFS('Data Pura Producción'!AX$17:AX$531,'Data Pura Producción'!$R$17:$R$531,$Q64,'Data Pura Producción'!$Q$17:$Q$531,$R64)=0,"",SUMIFS('Data Pura Producción'!AX$17:AX$531,'Data Pura Producción'!$R$17:$R$531,$Q64,'Data Pura Producción'!$Q$17:$Q$531,$R64)))</f>
        <v/>
      </c>
      <c r="AN64" s="187" t="str">
        <f t="shared" si="4"/>
        <v/>
      </c>
    </row>
    <row r="65" spans="2:40" s="7" customFormat="1" x14ac:dyDescent="0.35">
      <c r="B65" s="4" t="str">
        <f>+IF('Data Pura Costos'!B65="","",'Data Pura Costos'!B65)</f>
        <v>Villaseca</v>
      </c>
      <c r="C65" s="4" t="str">
        <f>+IF('Data Pura Costos'!C65="","",'Data Pura Costos'!C65)</f>
        <v>Retiro, VII reginón</v>
      </c>
      <c r="D65" s="5">
        <f>+IF('Data Pura Costos'!D65="","",'Data Pura Costos'!D65)</f>
        <v>297</v>
      </c>
      <c r="E65" s="65">
        <f>+IF('Data Pura Costos'!E65="","",IF('Data Pura Costos'!E65=0,MAX('Data Pura Costos'!$E$7:$E$3000)*1000,'Data Pura Costos'!E65))</f>
        <v>790000</v>
      </c>
      <c r="F65" s="5" t="str">
        <f>+IF('Data Pura Costos'!F65="","",'Data Pura Costos'!F65)</f>
        <v>Mostazal</v>
      </c>
      <c r="G65" s="5" t="str">
        <f>+IF('Data Pura Costos'!G65="","",'Data Pura Costos'!G65)</f>
        <v xml:space="preserve">GUSTAVO ZÚÑIGA </v>
      </c>
      <c r="H65" s="52" t="str">
        <f>+IF('Data Pura Costos'!H65="","",'Data Pura Costos'!H65)</f>
        <v>Termo</v>
      </c>
      <c r="I65" s="71">
        <f>+IF('Data Pura Costos'!I65="","",'Data Pura Costos'!I65)</f>
        <v>2659.93265993266</v>
      </c>
      <c r="J65" s="52" t="str">
        <f>+IF('Data Pura Costos'!J65="","",'Data Pura Costos'!J65)</f>
        <v>24-25</v>
      </c>
      <c r="K65" s="82" t="str">
        <f t="shared" si="3"/>
        <v xml:space="preserve">Villaseca-Mostazal-GUSTAVO ZÚÑIGA </v>
      </c>
      <c r="P65" s="1" t="str">
        <f t="shared" si="1"/>
        <v/>
      </c>
      <c r="Q65" s="23"/>
      <c r="R65" s="333"/>
      <c r="S65" s="336" t="str">
        <f>+IF($Q65="","",IF(SUMIFS('Data Pura Producción'!AD$17:AD$531,'Data Pura Producción'!$R$17:$R$531,$Q65,'Data Pura Producción'!$Q$17:$Q$531,$R65)=0,"",SUMIFS('Data Pura Producción'!AD$17:AD$531,'Data Pura Producción'!$R$17:$R$531,$Q65,'Data Pura Producción'!$Q$17:$Q$531,$R65)))</f>
        <v/>
      </c>
      <c r="T65" s="182" t="str">
        <f>+IF($Q65="","",IF(SUMIFS('Data Pura Producción'!AE$17:AE$531,'Data Pura Producción'!$R$17:$R$531,$Q65,'Data Pura Producción'!$Q$17:$Q$531,$R65)=0,"",SUMIFS('Data Pura Producción'!AE$17:AE$531,'Data Pura Producción'!$R$17:$R$531,$Q65,'Data Pura Producción'!$Q$17:$Q$531,$R65)))</f>
        <v/>
      </c>
      <c r="U65" s="182" t="str">
        <f>+IF($Q65="","",IF(SUMIFS('Data Pura Producción'!AF$17:AF$531,'Data Pura Producción'!$R$17:$R$531,$Q65,'Data Pura Producción'!$Q$17:$Q$531,$R65)=0,"",SUMIFS('Data Pura Producción'!AF$17:AF$531,'Data Pura Producción'!$R$17:$R$531,$Q65,'Data Pura Producción'!$Q$17:$Q$531,$R65)))</f>
        <v/>
      </c>
      <c r="V65" s="182" t="str">
        <f>+IF($Q65="","",IF(SUMIFS('Data Pura Producción'!AG$17:AG$531,'Data Pura Producción'!$R$17:$R$531,$Q65,'Data Pura Producción'!$Q$17:$Q$531,$R65)=0,"",SUMIFS('Data Pura Producción'!AG$17:AG$531,'Data Pura Producción'!$R$17:$R$531,$Q65,'Data Pura Producción'!$Q$17:$Q$531,$R65)))</f>
        <v/>
      </c>
      <c r="W65" s="182" t="str">
        <f>+IF($Q65="","",IF(SUMIFS('Data Pura Producción'!AH$17:AH$531,'Data Pura Producción'!$R$17:$R$531,$Q65,'Data Pura Producción'!$Q$17:$Q$531,$R65)=0,"",SUMIFS('Data Pura Producción'!AH$17:AH$531,'Data Pura Producción'!$R$17:$R$531,$Q65,'Data Pura Producción'!$Q$17:$Q$531,$R65)))</f>
        <v/>
      </c>
      <c r="X65" s="182" t="str">
        <f>+IF($Q65="","",IF(SUMIFS('Data Pura Producción'!AI$17:AI$531,'Data Pura Producción'!$R$17:$R$531,$Q65,'Data Pura Producción'!$Q$17:$Q$531,$R65)=0,"",SUMIFS('Data Pura Producción'!AI$17:AI$531,'Data Pura Producción'!$R$17:$R$531,$Q65,'Data Pura Producción'!$Q$17:$Q$531,$R65)))</f>
        <v/>
      </c>
      <c r="Y65" s="182" t="str">
        <f>+IF($Q65="","",IF(SUMIFS('Data Pura Producción'!AJ$17:AJ$531,'Data Pura Producción'!$R$17:$R$531,$Q65,'Data Pura Producción'!$Q$17:$Q$531,$R65)=0,"",SUMIFS('Data Pura Producción'!AJ$17:AJ$531,'Data Pura Producción'!$R$17:$R$531,$Q65,'Data Pura Producción'!$Q$17:$Q$531,$R65)))</f>
        <v/>
      </c>
      <c r="Z65" s="182" t="str">
        <f>+IF($Q65="","",IF(SUMIFS('Data Pura Producción'!AK$17:AK$531,'Data Pura Producción'!$R$17:$R$531,$Q65,'Data Pura Producción'!$Q$17:$Q$531,$R65)=0,"",SUMIFS('Data Pura Producción'!AK$17:AK$531,'Data Pura Producción'!$R$17:$R$531,$Q65,'Data Pura Producción'!$Q$17:$Q$531,$R65)))</f>
        <v/>
      </c>
      <c r="AA65" s="182" t="str">
        <f>+IF($Q65="","",IF(SUMIFS('Data Pura Producción'!AL$17:AL$531,'Data Pura Producción'!$R$17:$R$531,$Q65,'Data Pura Producción'!$Q$17:$Q$531,$R65)=0,"",SUMIFS('Data Pura Producción'!AL$17:AL$531,'Data Pura Producción'!$R$17:$R$531,$Q65,'Data Pura Producción'!$Q$17:$Q$531,$R65)))</f>
        <v/>
      </c>
      <c r="AB65" s="182" t="str">
        <f>+IF($Q65="","",IF(SUMIFS('Data Pura Producción'!AM$17:AM$531,'Data Pura Producción'!$R$17:$R$531,$Q65,'Data Pura Producción'!$Q$17:$Q$531,$R65)=0,"",SUMIFS('Data Pura Producción'!AM$17:AM$531,'Data Pura Producción'!$R$17:$R$531,$Q65,'Data Pura Producción'!$Q$17:$Q$531,$R65)))</f>
        <v/>
      </c>
      <c r="AC65" s="182" t="str">
        <f>+IF($Q65="","",IF(SUMIFS('Data Pura Producción'!AN$17:AN$531,'Data Pura Producción'!$R$17:$R$531,$Q65,'Data Pura Producción'!$Q$17:$Q$531,$R65)=0,"",SUMIFS('Data Pura Producción'!AN$17:AN$531,'Data Pura Producción'!$R$17:$R$531,$Q65,'Data Pura Producción'!$Q$17:$Q$531,$R65)))</f>
        <v/>
      </c>
      <c r="AD65" s="182" t="str">
        <f>+IF($Q65="","",IF(SUMIFS('Data Pura Producción'!AO$17:AO$531,'Data Pura Producción'!$R$17:$R$531,$Q65,'Data Pura Producción'!$Q$17:$Q$531,$R65)=0,"",SUMIFS('Data Pura Producción'!AO$17:AO$531,'Data Pura Producción'!$R$17:$R$531,$Q65,'Data Pura Producción'!$Q$17:$Q$531,$R65)))</f>
        <v/>
      </c>
      <c r="AE65" s="182" t="str">
        <f>+IF($Q65="","",IF(SUMIFS('Data Pura Producción'!AP$17:AP$531,'Data Pura Producción'!$R$17:$R$531,$Q65,'Data Pura Producción'!$Q$17:$Q$531,$R65)=0,"",SUMIFS('Data Pura Producción'!AP$17:AP$531,'Data Pura Producción'!$R$17:$R$531,$Q65,'Data Pura Producción'!$Q$17:$Q$531,$R65)))</f>
        <v/>
      </c>
      <c r="AF65" s="182" t="str">
        <f>+IF($Q65="","",IF(SUMIFS('Data Pura Producción'!AQ$17:AQ$531,'Data Pura Producción'!$R$17:$R$531,$Q65,'Data Pura Producción'!$Q$17:$Q$531,$R65)=0,"",SUMIFS('Data Pura Producción'!AQ$17:AQ$531,'Data Pura Producción'!$R$17:$R$531,$Q65,'Data Pura Producción'!$Q$17:$Q$531,$R65)))</f>
        <v/>
      </c>
      <c r="AG65" s="182" t="str">
        <f>+IF($Q65="","",IF(SUMIFS('Data Pura Producción'!AR$17:AR$531,'Data Pura Producción'!$R$17:$R$531,$Q65,'Data Pura Producción'!$Q$17:$Q$531,$R65)=0,"",SUMIFS('Data Pura Producción'!AR$17:AR$531,'Data Pura Producción'!$R$17:$R$531,$Q65,'Data Pura Producción'!$Q$17:$Q$531,$R65)))</f>
        <v/>
      </c>
      <c r="AH65" s="182" t="str">
        <f>+IF($Q65="","",IF(SUMIFS('Data Pura Producción'!AS$17:AS$531,'Data Pura Producción'!$R$17:$R$531,$Q65,'Data Pura Producción'!$Q$17:$Q$531,$R65)=0,"",SUMIFS('Data Pura Producción'!AS$17:AS$531,'Data Pura Producción'!$R$17:$R$531,$Q65,'Data Pura Producción'!$Q$17:$Q$531,$R65)))</f>
        <v/>
      </c>
      <c r="AI65" s="182" t="str">
        <f>+IF($Q65="","",IF(SUMIFS('Data Pura Producción'!AT$17:AT$531,'Data Pura Producción'!$R$17:$R$531,$Q65,'Data Pura Producción'!$Q$17:$Q$531,$R65)=0,"",SUMIFS('Data Pura Producción'!AT$17:AT$531,'Data Pura Producción'!$R$17:$R$531,$Q65,'Data Pura Producción'!$Q$17:$Q$531,$R65)))</f>
        <v/>
      </c>
      <c r="AJ65" s="182" t="str">
        <f>+IF($Q65="","",IF(SUMIFS('Data Pura Producción'!AU$17:AU$531,'Data Pura Producción'!$R$17:$R$531,$Q65,'Data Pura Producción'!$Q$17:$Q$531,$R65)=0,"",SUMIFS('Data Pura Producción'!AU$17:AU$531,'Data Pura Producción'!$R$17:$R$531,$Q65,'Data Pura Producción'!$Q$17:$Q$531,$R65)))</f>
        <v/>
      </c>
      <c r="AK65" s="182" t="str">
        <f>+IF($Q65="","",IF(SUMIFS('Data Pura Producción'!AV$17:AV$531,'Data Pura Producción'!$R$17:$R$531,$Q65,'Data Pura Producción'!$Q$17:$Q$531,$R65)=0,"",SUMIFS('Data Pura Producción'!AV$17:AV$531,'Data Pura Producción'!$R$17:$R$531,$Q65,'Data Pura Producción'!$Q$17:$Q$531,$R65)))</f>
        <v/>
      </c>
      <c r="AL65" s="182" t="str">
        <f>+IF($Q65="","",IF(SUMIFS('Data Pura Producción'!AW$17:AW$531,'Data Pura Producción'!$R$17:$R$531,$Q65,'Data Pura Producción'!$Q$17:$Q$531,$R65)=0,"",SUMIFS('Data Pura Producción'!AW$17:AW$531,'Data Pura Producción'!$R$17:$R$531,$Q65,'Data Pura Producción'!$Q$17:$Q$531,$R65)))</f>
        <v/>
      </c>
      <c r="AM65" s="337" t="str">
        <f>+IF($Q65="","",IF(SUMIFS('Data Pura Producción'!AX$17:AX$531,'Data Pura Producción'!$R$17:$R$531,$Q65,'Data Pura Producción'!$Q$17:$Q$531,$R65)=0,"",SUMIFS('Data Pura Producción'!AX$17:AX$531,'Data Pura Producción'!$R$17:$R$531,$Q65,'Data Pura Producción'!$Q$17:$Q$531,$R65)))</f>
        <v/>
      </c>
      <c r="AN65" s="187" t="str">
        <f t="shared" si="4"/>
        <v/>
      </c>
    </row>
    <row r="66" spans="2:40" s="7" customFormat="1" x14ac:dyDescent="0.35">
      <c r="B66" s="4" t="str">
        <f>+IF('Data Pura Costos'!B66="","",'Data Pura Costos'!B66)</f>
        <v>Almahue</v>
      </c>
      <c r="C66" s="4" t="str">
        <f>+IF('Data Pura Costos'!C66="","",'Data Pura Costos'!C66)</f>
        <v>Pichidegua, VI región</v>
      </c>
      <c r="D66" s="5">
        <f>+IF('Data Pura Costos'!D66="","",'Data Pura Costos'!D66)</f>
        <v>134</v>
      </c>
      <c r="E66" s="65">
        <f>+IF('Data Pura Costos'!E66="","",IF('Data Pura Costos'!E66=0,MAX('Data Pura Costos'!$E$7:$E$3000)*1000,'Data Pura Costos'!E66))</f>
        <v>420000</v>
      </c>
      <c r="F66" s="5" t="str">
        <f>+IF('Data Pura Costos'!F66="","",'Data Pura Costos'!F66)</f>
        <v>Molina</v>
      </c>
      <c r="G66" s="5" t="str">
        <f>+IF('Data Pura Costos'!G66="","",'Data Pura Costos'!G66)</f>
        <v xml:space="preserve">GUSTAVO ZÚÑIGA </v>
      </c>
      <c r="H66" s="52" t="str">
        <f>+IF('Data Pura Costos'!H66="","",'Data Pura Costos'!H66)</f>
        <v>Termo</v>
      </c>
      <c r="I66" s="71">
        <f>+IF('Data Pura Costos'!I66="","",'Data Pura Costos'!I66)</f>
        <v>3134.3283582089553</v>
      </c>
      <c r="J66" s="52" t="str">
        <f>+IF('Data Pura Costos'!J66="","",'Data Pura Costos'!J66)</f>
        <v>24-25</v>
      </c>
      <c r="K66" s="82" t="str">
        <f t="shared" si="3"/>
        <v xml:space="preserve">Almahue-Molina-GUSTAVO ZÚÑIGA </v>
      </c>
      <c r="P66" s="1" t="str">
        <f t="shared" si="1"/>
        <v/>
      </c>
      <c r="Q66" s="23"/>
      <c r="R66" s="333"/>
      <c r="S66" s="336" t="str">
        <f>+IF($Q66="","",IF(SUMIFS('Data Pura Producción'!AD$17:AD$531,'Data Pura Producción'!$R$17:$R$531,$Q66,'Data Pura Producción'!$Q$17:$Q$531,$R66)=0,"",SUMIFS('Data Pura Producción'!AD$17:AD$531,'Data Pura Producción'!$R$17:$R$531,$Q66,'Data Pura Producción'!$Q$17:$Q$531,$R66)))</f>
        <v/>
      </c>
      <c r="T66" s="182" t="str">
        <f>+IF($Q66="","",IF(SUMIFS('Data Pura Producción'!AE$17:AE$531,'Data Pura Producción'!$R$17:$R$531,$Q66,'Data Pura Producción'!$Q$17:$Q$531,$R66)=0,"",SUMIFS('Data Pura Producción'!AE$17:AE$531,'Data Pura Producción'!$R$17:$R$531,$Q66,'Data Pura Producción'!$Q$17:$Q$531,$R66)))</f>
        <v/>
      </c>
      <c r="U66" s="182" t="str">
        <f>+IF($Q66="","",IF(SUMIFS('Data Pura Producción'!AF$17:AF$531,'Data Pura Producción'!$R$17:$R$531,$Q66,'Data Pura Producción'!$Q$17:$Q$531,$R66)=0,"",SUMIFS('Data Pura Producción'!AF$17:AF$531,'Data Pura Producción'!$R$17:$R$531,$Q66,'Data Pura Producción'!$Q$17:$Q$531,$R66)))</f>
        <v/>
      </c>
      <c r="V66" s="182" t="str">
        <f>+IF($Q66="","",IF(SUMIFS('Data Pura Producción'!AG$17:AG$531,'Data Pura Producción'!$R$17:$R$531,$Q66,'Data Pura Producción'!$Q$17:$Q$531,$R66)=0,"",SUMIFS('Data Pura Producción'!AG$17:AG$531,'Data Pura Producción'!$R$17:$R$531,$Q66,'Data Pura Producción'!$Q$17:$Q$531,$R66)))</f>
        <v/>
      </c>
      <c r="W66" s="182" t="str">
        <f>+IF($Q66="","",IF(SUMIFS('Data Pura Producción'!AH$17:AH$531,'Data Pura Producción'!$R$17:$R$531,$Q66,'Data Pura Producción'!$Q$17:$Q$531,$R66)=0,"",SUMIFS('Data Pura Producción'!AH$17:AH$531,'Data Pura Producción'!$R$17:$R$531,$Q66,'Data Pura Producción'!$Q$17:$Q$531,$R66)))</f>
        <v/>
      </c>
      <c r="X66" s="182" t="str">
        <f>+IF($Q66="","",IF(SUMIFS('Data Pura Producción'!AI$17:AI$531,'Data Pura Producción'!$R$17:$R$531,$Q66,'Data Pura Producción'!$Q$17:$Q$531,$R66)=0,"",SUMIFS('Data Pura Producción'!AI$17:AI$531,'Data Pura Producción'!$R$17:$R$531,$Q66,'Data Pura Producción'!$Q$17:$Q$531,$R66)))</f>
        <v/>
      </c>
      <c r="Y66" s="182" t="str">
        <f>+IF($Q66="","",IF(SUMIFS('Data Pura Producción'!AJ$17:AJ$531,'Data Pura Producción'!$R$17:$R$531,$Q66,'Data Pura Producción'!$Q$17:$Q$531,$R66)=0,"",SUMIFS('Data Pura Producción'!AJ$17:AJ$531,'Data Pura Producción'!$R$17:$R$531,$Q66,'Data Pura Producción'!$Q$17:$Q$531,$R66)))</f>
        <v/>
      </c>
      <c r="Z66" s="182" t="str">
        <f>+IF($Q66="","",IF(SUMIFS('Data Pura Producción'!AK$17:AK$531,'Data Pura Producción'!$R$17:$R$531,$Q66,'Data Pura Producción'!$Q$17:$Q$531,$R66)=0,"",SUMIFS('Data Pura Producción'!AK$17:AK$531,'Data Pura Producción'!$R$17:$R$531,$Q66,'Data Pura Producción'!$Q$17:$Q$531,$R66)))</f>
        <v/>
      </c>
      <c r="AA66" s="182" t="str">
        <f>+IF($Q66="","",IF(SUMIFS('Data Pura Producción'!AL$17:AL$531,'Data Pura Producción'!$R$17:$R$531,$Q66,'Data Pura Producción'!$Q$17:$Q$531,$R66)=0,"",SUMIFS('Data Pura Producción'!AL$17:AL$531,'Data Pura Producción'!$R$17:$R$531,$Q66,'Data Pura Producción'!$Q$17:$Q$531,$R66)))</f>
        <v/>
      </c>
      <c r="AB66" s="182" t="str">
        <f>+IF($Q66="","",IF(SUMIFS('Data Pura Producción'!AM$17:AM$531,'Data Pura Producción'!$R$17:$R$531,$Q66,'Data Pura Producción'!$Q$17:$Q$531,$R66)=0,"",SUMIFS('Data Pura Producción'!AM$17:AM$531,'Data Pura Producción'!$R$17:$R$531,$Q66,'Data Pura Producción'!$Q$17:$Q$531,$R66)))</f>
        <v/>
      </c>
      <c r="AC66" s="182" t="str">
        <f>+IF($Q66="","",IF(SUMIFS('Data Pura Producción'!AN$17:AN$531,'Data Pura Producción'!$R$17:$R$531,$Q66,'Data Pura Producción'!$Q$17:$Q$531,$R66)=0,"",SUMIFS('Data Pura Producción'!AN$17:AN$531,'Data Pura Producción'!$R$17:$R$531,$Q66,'Data Pura Producción'!$Q$17:$Q$531,$R66)))</f>
        <v/>
      </c>
      <c r="AD66" s="182" t="str">
        <f>+IF($Q66="","",IF(SUMIFS('Data Pura Producción'!AO$17:AO$531,'Data Pura Producción'!$R$17:$R$531,$Q66,'Data Pura Producción'!$Q$17:$Q$531,$R66)=0,"",SUMIFS('Data Pura Producción'!AO$17:AO$531,'Data Pura Producción'!$R$17:$R$531,$Q66,'Data Pura Producción'!$Q$17:$Q$531,$R66)))</f>
        <v/>
      </c>
      <c r="AE66" s="182" t="str">
        <f>+IF($Q66="","",IF(SUMIFS('Data Pura Producción'!AP$17:AP$531,'Data Pura Producción'!$R$17:$R$531,$Q66,'Data Pura Producción'!$Q$17:$Q$531,$R66)=0,"",SUMIFS('Data Pura Producción'!AP$17:AP$531,'Data Pura Producción'!$R$17:$R$531,$Q66,'Data Pura Producción'!$Q$17:$Q$531,$R66)))</f>
        <v/>
      </c>
      <c r="AF66" s="182" t="str">
        <f>+IF($Q66="","",IF(SUMIFS('Data Pura Producción'!AQ$17:AQ$531,'Data Pura Producción'!$R$17:$R$531,$Q66,'Data Pura Producción'!$Q$17:$Q$531,$R66)=0,"",SUMIFS('Data Pura Producción'!AQ$17:AQ$531,'Data Pura Producción'!$R$17:$R$531,$Q66,'Data Pura Producción'!$Q$17:$Q$531,$R66)))</f>
        <v/>
      </c>
      <c r="AG66" s="182" t="str">
        <f>+IF($Q66="","",IF(SUMIFS('Data Pura Producción'!AR$17:AR$531,'Data Pura Producción'!$R$17:$R$531,$Q66,'Data Pura Producción'!$Q$17:$Q$531,$R66)=0,"",SUMIFS('Data Pura Producción'!AR$17:AR$531,'Data Pura Producción'!$R$17:$R$531,$Q66,'Data Pura Producción'!$Q$17:$Q$531,$R66)))</f>
        <v/>
      </c>
      <c r="AH66" s="182" t="str">
        <f>+IF($Q66="","",IF(SUMIFS('Data Pura Producción'!AS$17:AS$531,'Data Pura Producción'!$R$17:$R$531,$Q66,'Data Pura Producción'!$Q$17:$Q$531,$R66)=0,"",SUMIFS('Data Pura Producción'!AS$17:AS$531,'Data Pura Producción'!$R$17:$R$531,$Q66,'Data Pura Producción'!$Q$17:$Q$531,$R66)))</f>
        <v/>
      </c>
      <c r="AI66" s="182" t="str">
        <f>+IF($Q66="","",IF(SUMIFS('Data Pura Producción'!AT$17:AT$531,'Data Pura Producción'!$R$17:$R$531,$Q66,'Data Pura Producción'!$Q$17:$Q$531,$R66)=0,"",SUMIFS('Data Pura Producción'!AT$17:AT$531,'Data Pura Producción'!$R$17:$R$531,$Q66,'Data Pura Producción'!$Q$17:$Q$531,$R66)))</f>
        <v/>
      </c>
      <c r="AJ66" s="182" t="str">
        <f>+IF($Q66="","",IF(SUMIFS('Data Pura Producción'!AU$17:AU$531,'Data Pura Producción'!$R$17:$R$531,$Q66,'Data Pura Producción'!$Q$17:$Q$531,$R66)=0,"",SUMIFS('Data Pura Producción'!AU$17:AU$531,'Data Pura Producción'!$R$17:$R$531,$Q66,'Data Pura Producción'!$Q$17:$Q$531,$R66)))</f>
        <v/>
      </c>
      <c r="AK66" s="182" t="str">
        <f>+IF($Q66="","",IF(SUMIFS('Data Pura Producción'!AV$17:AV$531,'Data Pura Producción'!$R$17:$R$531,$Q66,'Data Pura Producción'!$Q$17:$Q$531,$R66)=0,"",SUMIFS('Data Pura Producción'!AV$17:AV$531,'Data Pura Producción'!$R$17:$R$531,$Q66,'Data Pura Producción'!$Q$17:$Q$531,$R66)))</f>
        <v/>
      </c>
      <c r="AL66" s="182" t="str">
        <f>+IF($Q66="","",IF(SUMIFS('Data Pura Producción'!AW$17:AW$531,'Data Pura Producción'!$R$17:$R$531,$Q66,'Data Pura Producción'!$Q$17:$Q$531,$R66)=0,"",SUMIFS('Data Pura Producción'!AW$17:AW$531,'Data Pura Producción'!$R$17:$R$531,$Q66,'Data Pura Producción'!$Q$17:$Q$531,$R66)))</f>
        <v/>
      </c>
      <c r="AM66" s="337" t="str">
        <f>+IF($Q66="","",IF(SUMIFS('Data Pura Producción'!AX$17:AX$531,'Data Pura Producción'!$R$17:$R$531,$Q66,'Data Pura Producción'!$Q$17:$Q$531,$R66)=0,"",SUMIFS('Data Pura Producción'!AX$17:AX$531,'Data Pura Producción'!$R$17:$R$531,$Q66,'Data Pura Producción'!$Q$17:$Q$531,$R66)))</f>
        <v/>
      </c>
      <c r="AN66" s="187" t="str">
        <f t="shared" si="4"/>
        <v/>
      </c>
    </row>
    <row r="67" spans="2:40" s="7" customFormat="1" x14ac:dyDescent="0.35">
      <c r="B67" s="4" t="str">
        <f>+IF('Data Pura Costos'!B67="","",'Data Pura Costos'!B67)</f>
        <v>Bodega</v>
      </c>
      <c r="C67" s="4" t="str">
        <f>+IF('Data Pura Costos'!C67="","",'Data Pura Costos'!C67)</f>
        <v>Linares, VII region.</v>
      </c>
      <c r="D67" s="5">
        <f>+IF('Data Pura Costos'!D67="","",'Data Pura Costos'!D67)</f>
        <v>123</v>
      </c>
      <c r="E67" s="65">
        <f>+IF('Data Pura Costos'!E67="","",IF('Data Pura Costos'!E67=0,MAX('Data Pura Costos'!$E$7:$E$3000)*1000,'Data Pura Costos'!E67))</f>
        <v>420000</v>
      </c>
      <c r="F67" s="5" t="str">
        <f>+IF('Data Pura Costos'!F67="","",'Data Pura Costos'!F67)</f>
        <v>Molina</v>
      </c>
      <c r="G67" s="5" t="str">
        <f>+IF('Data Pura Costos'!G67="","",'Data Pura Costos'!G67)</f>
        <v xml:space="preserve">GUSTAVO ZÚÑIGA </v>
      </c>
      <c r="H67" s="52" t="str">
        <f>+IF('Data Pura Costos'!H67="","",'Data Pura Costos'!H67)</f>
        <v>Termo</v>
      </c>
      <c r="I67" s="71">
        <f>+IF('Data Pura Costos'!I67="","",'Data Pura Costos'!I67)</f>
        <v>3414.6341463414633</v>
      </c>
      <c r="J67" s="52" t="str">
        <f>+IF('Data Pura Costos'!J67="","",'Data Pura Costos'!J67)</f>
        <v>24-25</v>
      </c>
      <c r="K67" s="82" t="str">
        <f t="shared" si="3"/>
        <v xml:space="preserve">Bodega-Molina-GUSTAVO ZÚÑIGA </v>
      </c>
      <c r="P67" s="1" t="str">
        <f t="shared" si="1"/>
        <v/>
      </c>
      <c r="Q67" s="23"/>
      <c r="R67" s="333"/>
      <c r="S67" s="336" t="str">
        <f>+IF($Q67="","",IF(SUMIFS('Data Pura Producción'!AD$17:AD$531,'Data Pura Producción'!$R$17:$R$531,$Q67,'Data Pura Producción'!$Q$17:$Q$531,$R67)=0,"",SUMIFS('Data Pura Producción'!AD$17:AD$531,'Data Pura Producción'!$R$17:$R$531,$Q67,'Data Pura Producción'!$Q$17:$Q$531,$R67)))</f>
        <v/>
      </c>
      <c r="T67" s="182" t="str">
        <f>+IF($Q67="","",IF(SUMIFS('Data Pura Producción'!AE$17:AE$531,'Data Pura Producción'!$R$17:$R$531,$Q67,'Data Pura Producción'!$Q$17:$Q$531,$R67)=0,"",SUMIFS('Data Pura Producción'!AE$17:AE$531,'Data Pura Producción'!$R$17:$R$531,$Q67,'Data Pura Producción'!$Q$17:$Q$531,$R67)))</f>
        <v/>
      </c>
      <c r="U67" s="182" t="str">
        <f>+IF($Q67="","",IF(SUMIFS('Data Pura Producción'!AF$17:AF$531,'Data Pura Producción'!$R$17:$R$531,$Q67,'Data Pura Producción'!$Q$17:$Q$531,$R67)=0,"",SUMIFS('Data Pura Producción'!AF$17:AF$531,'Data Pura Producción'!$R$17:$R$531,$Q67,'Data Pura Producción'!$Q$17:$Q$531,$R67)))</f>
        <v/>
      </c>
      <c r="V67" s="182" t="str">
        <f>+IF($Q67="","",IF(SUMIFS('Data Pura Producción'!AG$17:AG$531,'Data Pura Producción'!$R$17:$R$531,$Q67,'Data Pura Producción'!$Q$17:$Q$531,$R67)=0,"",SUMIFS('Data Pura Producción'!AG$17:AG$531,'Data Pura Producción'!$R$17:$R$531,$Q67,'Data Pura Producción'!$Q$17:$Q$531,$R67)))</f>
        <v/>
      </c>
      <c r="W67" s="182" t="str">
        <f>+IF($Q67="","",IF(SUMIFS('Data Pura Producción'!AH$17:AH$531,'Data Pura Producción'!$R$17:$R$531,$Q67,'Data Pura Producción'!$Q$17:$Q$531,$R67)=0,"",SUMIFS('Data Pura Producción'!AH$17:AH$531,'Data Pura Producción'!$R$17:$R$531,$Q67,'Data Pura Producción'!$Q$17:$Q$531,$R67)))</f>
        <v/>
      </c>
      <c r="X67" s="182" t="str">
        <f>+IF($Q67="","",IF(SUMIFS('Data Pura Producción'!AI$17:AI$531,'Data Pura Producción'!$R$17:$R$531,$Q67,'Data Pura Producción'!$Q$17:$Q$531,$R67)=0,"",SUMIFS('Data Pura Producción'!AI$17:AI$531,'Data Pura Producción'!$R$17:$R$531,$Q67,'Data Pura Producción'!$Q$17:$Q$531,$R67)))</f>
        <v/>
      </c>
      <c r="Y67" s="182" t="str">
        <f>+IF($Q67="","",IF(SUMIFS('Data Pura Producción'!AJ$17:AJ$531,'Data Pura Producción'!$R$17:$R$531,$Q67,'Data Pura Producción'!$Q$17:$Q$531,$R67)=0,"",SUMIFS('Data Pura Producción'!AJ$17:AJ$531,'Data Pura Producción'!$R$17:$R$531,$Q67,'Data Pura Producción'!$Q$17:$Q$531,$R67)))</f>
        <v/>
      </c>
      <c r="Z67" s="182" t="str">
        <f>+IF($Q67="","",IF(SUMIFS('Data Pura Producción'!AK$17:AK$531,'Data Pura Producción'!$R$17:$R$531,$Q67,'Data Pura Producción'!$Q$17:$Q$531,$R67)=0,"",SUMIFS('Data Pura Producción'!AK$17:AK$531,'Data Pura Producción'!$R$17:$R$531,$Q67,'Data Pura Producción'!$Q$17:$Q$531,$R67)))</f>
        <v/>
      </c>
      <c r="AA67" s="182" t="str">
        <f>+IF($Q67="","",IF(SUMIFS('Data Pura Producción'!AL$17:AL$531,'Data Pura Producción'!$R$17:$R$531,$Q67,'Data Pura Producción'!$Q$17:$Q$531,$R67)=0,"",SUMIFS('Data Pura Producción'!AL$17:AL$531,'Data Pura Producción'!$R$17:$R$531,$Q67,'Data Pura Producción'!$Q$17:$Q$531,$R67)))</f>
        <v/>
      </c>
      <c r="AB67" s="182" t="str">
        <f>+IF($Q67="","",IF(SUMIFS('Data Pura Producción'!AM$17:AM$531,'Data Pura Producción'!$R$17:$R$531,$Q67,'Data Pura Producción'!$Q$17:$Q$531,$R67)=0,"",SUMIFS('Data Pura Producción'!AM$17:AM$531,'Data Pura Producción'!$R$17:$R$531,$Q67,'Data Pura Producción'!$Q$17:$Q$531,$R67)))</f>
        <v/>
      </c>
      <c r="AC67" s="182" t="str">
        <f>+IF($Q67="","",IF(SUMIFS('Data Pura Producción'!AN$17:AN$531,'Data Pura Producción'!$R$17:$R$531,$Q67,'Data Pura Producción'!$Q$17:$Q$531,$R67)=0,"",SUMIFS('Data Pura Producción'!AN$17:AN$531,'Data Pura Producción'!$R$17:$R$531,$Q67,'Data Pura Producción'!$Q$17:$Q$531,$R67)))</f>
        <v/>
      </c>
      <c r="AD67" s="182" t="str">
        <f>+IF($Q67="","",IF(SUMIFS('Data Pura Producción'!AO$17:AO$531,'Data Pura Producción'!$R$17:$R$531,$Q67,'Data Pura Producción'!$Q$17:$Q$531,$R67)=0,"",SUMIFS('Data Pura Producción'!AO$17:AO$531,'Data Pura Producción'!$R$17:$R$531,$Q67,'Data Pura Producción'!$Q$17:$Q$531,$R67)))</f>
        <v/>
      </c>
      <c r="AE67" s="182" t="str">
        <f>+IF($Q67="","",IF(SUMIFS('Data Pura Producción'!AP$17:AP$531,'Data Pura Producción'!$R$17:$R$531,$Q67,'Data Pura Producción'!$Q$17:$Q$531,$R67)=0,"",SUMIFS('Data Pura Producción'!AP$17:AP$531,'Data Pura Producción'!$R$17:$R$531,$Q67,'Data Pura Producción'!$Q$17:$Q$531,$R67)))</f>
        <v/>
      </c>
      <c r="AF67" s="182" t="str">
        <f>+IF($Q67="","",IF(SUMIFS('Data Pura Producción'!AQ$17:AQ$531,'Data Pura Producción'!$R$17:$R$531,$Q67,'Data Pura Producción'!$Q$17:$Q$531,$R67)=0,"",SUMIFS('Data Pura Producción'!AQ$17:AQ$531,'Data Pura Producción'!$R$17:$R$531,$Q67,'Data Pura Producción'!$Q$17:$Q$531,$R67)))</f>
        <v/>
      </c>
      <c r="AG67" s="182" t="str">
        <f>+IF($Q67="","",IF(SUMIFS('Data Pura Producción'!AR$17:AR$531,'Data Pura Producción'!$R$17:$R$531,$Q67,'Data Pura Producción'!$Q$17:$Q$531,$R67)=0,"",SUMIFS('Data Pura Producción'!AR$17:AR$531,'Data Pura Producción'!$R$17:$R$531,$Q67,'Data Pura Producción'!$Q$17:$Q$531,$R67)))</f>
        <v/>
      </c>
      <c r="AH67" s="182" t="str">
        <f>+IF($Q67="","",IF(SUMIFS('Data Pura Producción'!AS$17:AS$531,'Data Pura Producción'!$R$17:$R$531,$Q67,'Data Pura Producción'!$Q$17:$Q$531,$R67)=0,"",SUMIFS('Data Pura Producción'!AS$17:AS$531,'Data Pura Producción'!$R$17:$R$531,$Q67,'Data Pura Producción'!$Q$17:$Q$531,$R67)))</f>
        <v/>
      </c>
      <c r="AI67" s="182" t="str">
        <f>+IF($Q67="","",IF(SUMIFS('Data Pura Producción'!AT$17:AT$531,'Data Pura Producción'!$R$17:$R$531,$Q67,'Data Pura Producción'!$Q$17:$Q$531,$R67)=0,"",SUMIFS('Data Pura Producción'!AT$17:AT$531,'Data Pura Producción'!$R$17:$R$531,$Q67,'Data Pura Producción'!$Q$17:$Q$531,$R67)))</f>
        <v/>
      </c>
      <c r="AJ67" s="182" t="str">
        <f>+IF($Q67="","",IF(SUMIFS('Data Pura Producción'!AU$17:AU$531,'Data Pura Producción'!$R$17:$R$531,$Q67,'Data Pura Producción'!$Q$17:$Q$531,$R67)=0,"",SUMIFS('Data Pura Producción'!AU$17:AU$531,'Data Pura Producción'!$R$17:$R$531,$Q67,'Data Pura Producción'!$Q$17:$Q$531,$R67)))</f>
        <v/>
      </c>
      <c r="AK67" s="182" t="str">
        <f>+IF($Q67="","",IF(SUMIFS('Data Pura Producción'!AV$17:AV$531,'Data Pura Producción'!$R$17:$R$531,$Q67,'Data Pura Producción'!$Q$17:$Q$531,$R67)=0,"",SUMIFS('Data Pura Producción'!AV$17:AV$531,'Data Pura Producción'!$R$17:$R$531,$Q67,'Data Pura Producción'!$Q$17:$Q$531,$R67)))</f>
        <v/>
      </c>
      <c r="AL67" s="182" t="str">
        <f>+IF($Q67="","",IF(SUMIFS('Data Pura Producción'!AW$17:AW$531,'Data Pura Producción'!$R$17:$R$531,$Q67,'Data Pura Producción'!$Q$17:$Q$531,$R67)=0,"",SUMIFS('Data Pura Producción'!AW$17:AW$531,'Data Pura Producción'!$R$17:$R$531,$Q67,'Data Pura Producción'!$Q$17:$Q$531,$R67)))</f>
        <v/>
      </c>
      <c r="AM67" s="337" t="str">
        <f>+IF($Q67="","",IF(SUMIFS('Data Pura Producción'!AX$17:AX$531,'Data Pura Producción'!$R$17:$R$531,$Q67,'Data Pura Producción'!$Q$17:$Q$531,$R67)=0,"",SUMIFS('Data Pura Producción'!AX$17:AX$531,'Data Pura Producción'!$R$17:$R$531,$Q67,'Data Pura Producción'!$Q$17:$Q$531,$R67)))</f>
        <v/>
      </c>
      <c r="AN67" s="187" t="str">
        <f t="shared" si="4"/>
        <v/>
      </c>
    </row>
    <row r="68" spans="2:40" s="7" customFormat="1" x14ac:dyDescent="0.35">
      <c r="B68" s="4" t="str">
        <f>+IF('Data Pura Costos'!B68="","",'Data Pura Costos'!B68)</f>
        <v xml:space="preserve">Caliboro </v>
      </c>
      <c r="C68" s="4" t="str">
        <f>+IF('Data Pura Costos'!C68="","",'Data Pura Costos'!C68)</f>
        <v>San Javier, VII región</v>
      </c>
      <c r="D68" s="5">
        <f>+IF('Data Pura Costos'!D68="","",'Data Pura Costos'!D68)</f>
        <v>118</v>
      </c>
      <c r="E68" s="65">
        <f>+IF('Data Pura Costos'!E68="","",IF('Data Pura Costos'!E68=0,MAX('Data Pura Costos'!$E$7:$E$3000)*1000,'Data Pura Costos'!E68))</f>
        <v>400000</v>
      </c>
      <c r="F68" s="5" t="str">
        <f>+IF('Data Pura Costos'!F68="","",'Data Pura Costos'!F68)</f>
        <v>Molina</v>
      </c>
      <c r="G68" s="5" t="str">
        <f>+IF('Data Pura Costos'!G68="","",'Data Pura Costos'!G68)</f>
        <v xml:space="preserve">GUSTAVO ZÚÑIGA </v>
      </c>
      <c r="H68" s="52" t="str">
        <f>+IF('Data Pura Costos'!H68="","",'Data Pura Costos'!H68)</f>
        <v>Termo</v>
      </c>
      <c r="I68" s="71">
        <f>+IF('Data Pura Costos'!I68="","",'Data Pura Costos'!I68)</f>
        <v>3389.8305084745762</v>
      </c>
      <c r="J68" s="52" t="str">
        <f>+IF('Data Pura Costos'!J68="","",'Data Pura Costos'!J68)</f>
        <v>24-25</v>
      </c>
      <c r="K68" s="82" t="str">
        <f t="shared" si="3"/>
        <v xml:space="preserve">Caliboro -Molina-GUSTAVO ZÚÑIGA </v>
      </c>
      <c r="P68" s="1" t="str">
        <f t="shared" si="1"/>
        <v/>
      </c>
      <c r="Q68" s="23"/>
      <c r="R68" s="333"/>
      <c r="S68" s="336" t="str">
        <f>+IF($Q68="","",IF(SUMIFS('Data Pura Producción'!AD$17:AD$531,'Data Pura Producción'!$R$17:$R$531,$Q68,'Data Pura Producción'!$Q$17:$Q$531,$R68)=0,"",SUMIFS('Data Pura Producción'!AD$17:AD$531,'Data Pura Producción'!$R$17:$R$531,$Q68,'Data Pura Producción'!$Q$17:$Q$531,$R68)))</f>
        <v/>
      </c>
      <c r="T68" s="182" t="str">
        <f>+IF($Q68="","",IF(SUMIFS('Data Pura Producción'!AE$17:AE$531,'Data Pura Producción'!$R$17:$R$531,$Q68,'Data Pura Producción'!$Q$17:$Q$531,$R68)=0,"",SUMIFS('Data Pura Producción'!AE$17:AE$531,'Data Pura Producción'!$R$17:$R$531,$Q68,'Data Pura Producción'!$Q$17:$Q$531,$R68)))</f>
        <v/>
      </c>
      <c r="U68" s="182" t="str">
        <f>+IF($Q68="","",IF(SUMIFS('Data Pura Producción'!AF$17:AF$531,'Data Pura Producción'!$R$17:$R$531,$Q68,'Data Pura Producción'!$Q$17:$Q$531,$R68)=0,"",SUMIFS('Data Pura Producción'!AF$17:AF$531,'Data Pura Producción'!$R$17:$R$531,$Q68,'Data Pura Producción'!$Q$17:$Q$531,$R68)))</f>
        <v/>
      </c>
      <c r="V68" s="182" t="str">
        <f>+IF($Q68="","",IF(SUMIFS('Data Pura Producción'!AG$17:AG$531,'Data Pura Producción'!$R$17:$R$531,$Q68,'Data Pura Producción'!$Q$17:$Q$531,$R68)=0,"",SUMIFS('Data Pura Producción'!AG$17:AG$531,'Data Pura Producción'!$R$17:$R$531,$Q68,'Data Pura Producción'!$Q$17:$Q$531,$R68)))</f>
        <v/>
      </c>
      <c r="W68" s="182" t="str">
        <f>+IF($Q68="","",IF(SUMIFS('Data Pura Producción'!AH$17:AH$531,'Data Pura Producción'!$R$17:$R$531,$Q68,'Data Pura Producción'!$Q$17:$Q$531,$R68)=0,"",SUMIFS('Data Pura Producción'!AH$17:AH$531,'Data Pura Producción'!$R$17:$R$531,$Q68,'Data Pura Producción'!$Q$17:$Q$531,$R68)))</f>
        <v/>
      </c>
      <c r="X68" s="182" t="str">
        <f>+IF($Q68="","",IF(SUMIFS('Data Pura Producción'!AI$17:AI$531,'Data Pura Producción'!$R$17:$R$531,$Q68,'Data Pura Producción'!$Q$17:$Q$531,$R68)=0,"",SUMIFS('Data Pura Producción'!AI$17:AI$531,'Data Pura Producción'!$R$17:$R$531,$Q68,'Data Pura Producción'!$Q$17:$Q$531,$R68)))</f>
        <v/>
      </c>
      <c r="Y68" s="182" t="str">
        <f>+IF($Q68="","",IF(SUMIFS('Data Pura Producción'!AJ$17:AJ$531,'Data Pura Producción'!$R$17:$R$531,$Q68,'Data Pura Producción'!$Q$17:$Q$531,$R68)=0,"",SUMIFS('Data Pura Producción'!AJ$17:AJ$531,'Data Pura Producción'!$R$17:$R$531,$Q68,'Data Pura Producción'!$Q$17:$Q$531,$R68)))</f>
        <v/>
      </c>
      <c r="Z68" s="182" t="str">
        <f>+IF($Q68="","",IF(SUMIFS('Data Pura Producción'!AK$17:AK$531,'Data Pura Producción'!$R$17:$R$531,$Q68,'Data Pura Producción'!$Q$17:$Q$531,$R68)=0,"",SUMIFS('Data Pura Producción'!AK$17:AK$531,'Data Pura Producción'!$R$17:$R$531,$Q68,'Data Pura Producción'!$Q$17:$Q$531,$R68)))</f>
        <v/>
      </c>
      <c r="AA68" s="182" t="str">
        <f>+IF($Q68="","",IF(SUMIFS('Data Pura Producción'!AL$17:AL$531,'Data Pura Producción'!$R$17:$R$531,$Q68,'Data Pura Producción'!$Q$17:$Q$531,$R68)=0,"",SUMIFS('Data Pura Producción'!AL$17:AL$531,'Data Pura Producción'!$R$17:$R$531,$Q68,'Data Pura Producción'!$Q$17:$Q$531,$R68)))</f>
        <v/>
      </c>
      <c r="AB68" s="182" t="str">
        <f>+IF($Q68="","",IF(SUMIFS('Data Pura Producción'!AM$17:AM$531,'Data Pura Producción'!$R$17:$R$531,$Q68,'Data Pura Producción'!$Q$17:$Q$531,$R68)=0,"",SUMIFS('Data Pura Producción'!AM$17:AM$531,'Data Pura Producción'!$R$17:$R$531,$Q68,'Data Pura Producción'!$Q$17:$Q$531,$R68)))</f>
        <v/>
      </c>
      <c r="AC68" s="182" t="str">
        <f>+IF($Q68="","",IF(SUMIFS('Data Pura Producción'!AN$17:AN$531,'Data Pura Producción'!$R$17:$R$531,$Q68,'Data Pura Producción'!$Q$17:$Q$531,$R68)=0,"",SUMIFS('Data Pura Producción'!AN$17:AN$531,'Data Pura Producción'!$R$17:$R$531,$Q68,'Data Pura Producción'!$Q$17:$Q$531,$R68)))</f>
        <v/>
      </c>
      <c r="AD68" s="182" t="str">
        <f>+IF($Q68="","",IF(SUMIFS('Data Pura Producción'!AO$17:AO$531,'Data Pura Producción'!$R$17:$R$531,$Q68,'Data Pura Producción'!$Q$17:$Q$531,$R68)=0,"",SUMIFS('Data Pura Producción'!AO$17:AO$531,'Data Pura Producción'!$R$17:$R$531,$Q68,'Data Pura Producción'!$Q$17:$Q$531,$R68)))</f>
        <v/>
      </c>
      <c r="AE68" s="182" t="str">
        <f>+IF($Q68="","",IF(SUMIFS('Data Pura Producción'!AP$17:AP$531,'Data Pura Producción'!$R$17:$R$531,$Q68,'Data Pura Producción'!$Q$17:$Q$531,$R68)=0,"",SUMIFS('Data Pura Producción'!AP$17:AP$531,'Data Pura Producción'!$R$17:$R$531,$Q68,'Data Pura Producción'!$Q$17:$Q$531,$R68)))</f>
        <v/>
      </c>
      <c r="AF68" s="182" t="str">
        <f>+IF($Q68="","",IF(SUMIFS('Data Pura Producción'!AQ$17:AQ$531,'Data Pura Producción'!$R$17:$R$531,$Q68,'Data Pura Producción'!$Q$17:$Q$531,$R68)=0,"",SUMIFS('Data Pura Producción'!AQ$17:AQ$531,'Data Pura Producción'!$R$17:$R$531,$Q68,'Data Pura Producción'!$Q$17:$Q$531,$R68)))</f>
        <v/>
      </c>
      <c r="AG68" s="182" t="str">
        <f>+IF($Q68="","",IF(SUMIFS('Data Pura Producción'!AR$17:AR$531,'Data Pura Producción'!$R$17:$R$531,$Q68,'Data Pura Producción'!$Q$17:$Q$531,$R68)=0,"",SUMIFS('Data Pura Producción'!AR$17:AR$531,'Data Pura Producción'!$R$17:$R$531,$Q68,'Data Pura Producción'!$Q$17:$Q$531,$R68)))</f>
        <v/>
      </c>
      <c r="AH68" s="182" t="str">
        <f>+IF($Q68="","",IF(SUMIFS('Data Pura Producción'!AS$17:AS$531,'Data Pura Producción'!$R$17:$R$531,$Q68,'Data Pura Producción'!$Q$17:$Q$531,$R68)=0,"",SUMIFS('Data Pura Producción'!AS$17:AS$531,'Data Pura Producción'!$R$17:$R$531,$Q68,'Data Pura Producción'!$Q$17:$Q$531,$R68)))</f>
        <v/>
      </c>
      <c r="AI68" s="182" t="str">
        <f>+IF($Q68="","",IF(SUMIFS('Data Pura Producción'!AT$17:AT$531,'Data Pura Producción'!$R$17:$R$531,$Q68,'Data Pura Producción'!$Q$17:$Q$531,$R68)=0,"",SUMIFS('Data Pura Producción'!AT$17:AT$531,'Data Pura Producción'!$R$17:$R$531,$Q68,'Data Pura Producción'!$Q$17:$Q$531,$R68)))</f>
        <v/>
      </c>
      <c r="AJ68" s="182" t="str">
        <f>+IF($Q68="","",IF(SUMIFS('Data Pura Producción'!AU$17:AU$531,'Data Pura Producción'!$R$17:$R$531,$Q68,'Data Pura Producción'!$Q$17:$Q$531,$R68)=0,"",SUMIFS('Data Pura Producción'!AU$17:AU$531,'Data Pura Producción'!$R$17:$R$531,$Q68,'Data Pura Producción'!$Q$17:$Q$531,$R68)))</f>
        <v/>
      </c>
      <c r="AK68" s="182" t="str">
        <f>+IF($Q68="","",IF(SUMIFS('Data Pura Producción'!AV$17:AV$531,'Data Pura Producción'!$R$17:$R$531,$Q68,'Data Pura Producción'!$Q$17:$Q$531,$R68)=0,"",SUMIFS('Data Pura Producción'!AV$17:AV$531,'Data Pura Producción'!$R$17:$R$531,$Q68,'Data Pura Producción'!$Q$17:$Q$531,$R68)))</f>
        <v/>
      </c>
      <c r="AL68" s="182" t="str">
        <f>+IF($Q68="","",IF(SUMIFS('Data Pura Producción'!AW$17:AW$531,'Data Pura Producción'!$R$17:$R$531,$Q68,'Data Pura Producción'!$Q$17:$Q$531,$R68)=0,"",SUMIFS('Data Pura Producción'!AW$17:AW$531,'Data Pura Producción'!$R$17:$R$531,$Q68,'Data Pura Producción'!$Q$17:$Q$531,$R68)))</f>
        <v/>
      </c>
      <c r="AM68" s="337" t="str">
        <f>+IF($Q68="","",IF(SUMIFS('Data Pura Producción'!AX$17:AX$531,'Data Pura Producción'!$R$17:$R$531,$Q68,'Data Pura Producción'!$Q$17:$Q$531,$R68)=0,"",SUMIFS('Data Pura Producción'!AX$17:AX$531,'Data Pura Producción'!$R$17:$R$531,$Q68,'Data Pura Producción'!$Q$17:$Q$531,$R68)))</f>
        <v/>
      </c>
      <c r="AN68" s="187" t="str">
        <f t="shared" si="4"/>
        <v/>
      </c>
    </row>
    <row r="69" spans="2:40" s="7" customFormat="1" x14ac:dyDescent="0.35">
      <c r="B69" s="4" t="str">
        <f>+IF('Data Pura Costos'!B69="","",'Data Pura Costos'!B69)</f>
        <v>Calleuque</v>
      </c>
      <c r="C69" s="4" t="str">
        <f>+IF('Data Pura Costos'!C69="","",'Data Pura Costos'!C69)</f>
        <v>Peralillo ohiggins, VI región</v>
      </c>
      <c r="D69" s="5">
        <f>+IF('Data Pura Costos'!D69="","",'Data Pura Costos'!D69)</f>
        <v>103</v>
      </c>
      <c r="E69" s="65">
        <f>+IF('Data Pura Costos'!E69="","",IF('Data Pura Costos'!E69=0,MAX('Data Pura Costos'!$E$7:$E$3000)*1000,'Data Pura Costos'!E69))</f>
        <v>400000</v>
      </c>
      <c r="F69" s="5" t="str">
        <f>+IF('Data Pura Costos'!F69="","",'Data Pura Costos'!F69)</f>
        <v>Molina</v>
      </c>
      <c r="G69" s="5" t="str">
        <f>+IF('Data Pura Costos'!G69="","",'Data Pura Costos'!G69)</f>
        <v xml:space="preserve">GUSTAVO ZÚÑIGA </v>
      </c>
      <c r="H69" s="52" t="str">
        <f>+IF('Data Pura Costos'!H69="","",'Data Pura Costos'!H69)</f>
        <v>Termo</v>
      </c>
      <c r="I69" s="71">
        <f>+IF('Data Pura Costos'!I69="","",'Data Pura Costos'!I69)</f>
        <v>3883.4951456310678</v>
      </c>
      <c r="J69" s="52" t="str">
        <f>+IF('Data Pura Costos'!J69="","",'Data Pura Costos'!J69)</f>
        <v>24-25</v>
      </c>
      <c r="K69" s="82" t="str">
        <f t="shared" si="3"/>
        <v xml:space="preserve">Calleuque-Molina-GUSTAVO ZÚÑIGA </v>
      </c>
      <c r="P69" s="1" t="str">
        <f t="shared" si="1"/>
        <v/>
      </c>
      <c r="Q69" s="23"/>
      <c r="R69" s="333"/>
      <c r="S69" s="336" t="str">
        <f>+IF($Q69="","",IF(SUMIFS('Data Pura Producción'!AD$17:AD$531,'Data Pura Producción'!$R$17:$R$531,$Q69,'Data Pura Producción'!$Q$17:$Q$531,$R69)=0,"",SUMIFS('Data Pura Producción'!AD$17:AD$531,'Data Pura Producción'!$R$17:$R$531,$Q69,'Data Pura Producción'!$Q$17:$Q$531,$R69)))</f>
        <v/>
      </c>
      <c r="T69" s="182" t="str">
        <f>+IF($Q69="","",IF(SUMIFS('Data Pura Producción'!AE$17:AE$531,'Data Pura Producción'!$R$17:$R$531,$Q69,'Data Pura Producción'!$Q$17:$Q$531,$R69)=0,"",SUMIFS('Data Pura Producción'!AE$17:AE$531,'Data Pura Producción'!$R$17:$R$531,$Q69,'Data Pura Producción'!$Q$17:$Q$531,$R69)))</f>
        <v/>
      </c>
      <c r="U69" s="182" t="str">
        <f>+IF($Q69="","",IF(SUMIFS('Data Pura Producción'!AF$17:AF$531,'Data Pura Producción'!$R$17:$R$531,$Q69,'Data Pura Producción'!$Q$17:$Q$531,$R69)=0,"",SUMIFS('Data Pura Producción'!AF$17:AF$531,'Data Pura Producción'!$R$17:$R$531,$Q69,'Data Pura Producción'!$Q$17:$Q$531,$R69)))</f>
        <v/>
      </c>
      <c r="V69" s="182" t="str">
        <f>+IF($Q69="","",IF(SUMIFS('Data Pura Producción'!AG$17:AG$531,'Data Pura Producción'!$R$17:$R$531,$Q69,'Data Pura Producción'!$Q$17:$Q$531,$R69)=0,"",SUMIFS('Data Pura Producción'!AG$17:AG$531,'Data Pura Producción'!$R$17:$R$531,$Q69,'Data Pura Producción'!$Q$17:$Q$531,$R69)))</f>
        <v/>
      </c>
      <c r="W69" s="182" t="str">
        <f>+IF($Q69="","",IF(SUMIFS('Data Pura Producción'!AH$17:AH$531,'Data Pura Producción'!$R$17:$R$531,$Q69,'Data Pura Producción'!$Q$17:$Q$531,$R69)=0,"",SUMIFS('Data Pura Producción'!AH$17:AH$531,'Data Pura Producción'!$R$17:$R$531,$Q69,'Data Pura Producción'!$Q$17:$Q$531,$R69)))</f>
        <v/>
      </c>
      <c r="X69" s="182" t="str">
        <f>+IF($Q69="","",IF(SUMIFS('Data Pura Producción'!AI$17:AI$531,'Data Pura Producción'!$R$17:$R$531,$Q69,'Data Pura Producción'!$Q$17:$Q$531,$R69)=0,"",SUMIFS('Data Pura Producción'!AI$17:AI$531,'Data Pura Producción'!$R$17:$R$531,$Q69,'Data Pura Producción'!$Q$17:$Q$531,$R69)))</f>
        <v/>
      </c>
      <c r="Y69" s="182" t="str">
        <f>+IF($Q69="","",IF(SUMIFS('Data Pura Producción'!AJ$17:AJ$531,'Data Pura Producción'!$R$17:$R$531,$Q69,'Data Pura Producción'!$Q$17:$Q$531,$R69)=0,"",SUMIFS('Data Pura Producción'!AJ$17:AJ$531,'Data Pura Producción'!$R$17:$R$531,$Q69,'Data Pura Producción'!$Q$17:$Q$531,$R69)))</f>
        <v/>
      </c>
      <c r="Z69" s="182" t="str">
        <f>+IF($Q69="","",IF(SUMIFS('Data Pura Producción'!AK$17:AK$531,'Data Pura Producción'!$R$17:$R$531,$Q69,'Data Pura Producción'!$Q$17:$Q$531,$R69)=0,"",SUMIFS('Data Pura Producción'!AK$17:AK$531,'Data Pura Producción'!$R$17:$R$531,$Q69,'Data Pura Producción'!$Q$17:$Q$531,$R69)))</f>
        <v/>
      </c>
      <c r="AA69" s="182" t="str">
        <f>+IF($Q69="","",IF(SUMIFS('Data Pura Producción'!AL$17:AL$531,'Data Pura Producción'!$R$17:$R$531,$Q69,'Data Pura Producción'!$Q$17:$Q$531,$R69)=0,"",SUMIFS('Data Pura Producción'!AL$17:AL$531,'Data Pura Producción'!$R$17:$R$531,$Q69,'Data Pura Producción'!$Q$17:$Q$531,$R69)))</f>
        <v/>
      </c>
      <c r="AB69" s="182" t="str">
        <f>+IF($Q69="","",IF(SUMIFS('Data Pura Producción'!AM$17:AM$531,'Data Pura Producción'!$R$17:$R$531,$Q69,'Data Pura Producción'!$Q$17:$Q$531,$R69)=0,"",SUMIFS('Data Pura Producción'!AM$17:AM$531,'Data Pura Producción'!$R$17:$R$531,$Q69,'Data Pura Producción'!$Q$17:$Q$531,$R69)))</f>
        <v/>
      </c>
      <c r="AC69" s="182" t="str">
        <f>+IF($Q69="","",IF(SUMIFS('Data Pura Producción'!AN$17:AN$531,'Data Pura Producción'!$R$17:$R$531,$Q69,'Data Pura Producción'!$Q$17:$Q$531,$R69)=0,"",SUMIFS('Data Pura Producción'!AN$17:AN$531,'Data Pura Producción'!$R$17:$R$531,$Q69,'Data Pura Producción'!$Q$17:$Q$531,$R69)))</f>
        <v/>
      </c>
      <c r="AD69" s="182" t="str">
        <f>+IF($Q69="","",IF(SUMIFS('Data Pura Producción'!AO$17:AO$531,'Data Pura Producción'!$R$17:$R$531,$Q69,'Data Pura Producción'!$Q$17:$Q$531,$R69)=0,"",SUMIFS('Data Pura Producción'!AO$17:AO$531,'Data Pura Producción'!$R$17:$R$531,$Q69,'Data Pura Producción'!$Q$17:$Q$531,$R69)))</f>
        <v/>
      </c>
      <c r="AE69" s="182" t="str">
        <f>+IF($Q69="","",IF(SUMIFS('Data Pura Producción'!AP$17:AP$531,'Data Pura Producción'!$R$17:$R$531,$Q69,'Data Pura Producción'!$Q$17:$Q$531,$R69)=0,"",SUMIFS('Data Pura Producción'!AP$17:AP$531,'Data Pura Producción'!$R$17:$R$531,$Q69,'Data Pura Producción'!$Q$17:$Q$531,$R69)))</f>
        <v/>
      </c>
      <c r="AF69" s="182" t="str">
        <f>+IF($Q69="","",IF(SUMIFS('Data Pura Producción'!AQ$17:AQ$531,'Data Pura Producción'!$R$17:$R$531,$Q69,'Data Pura Producción'!$Q$17:$Q$531,$R69)=0,"",SUMIFS('Data Pura Producción'!AQ$17:AQ$531,'Data Pura Producción'!$R$17:$R$531,$Q69,'Data Pura Producción'!$Q$17:$Q$531,$R69)))</f>
        <v/>
      </c>
      <c r="AG69" s="182" t="str">
        <f>+IF($Q69="","",IF(SUMIFS('Data Pura Producción'!AR$17:AR$531,'Data Pura Producción'!$R$17:$R$531,$Q69,'Data Pura Producción'!$Q$17:$Q$531,$R69)=0,"",SUMIFS('Data Pura Producción'!AR$17:AR$531,'Data Pura Producción'!$R$17:$R$531,$Q69,'Data Pura Producción'!$Q$17:$Q$531,$R69)))</f>
        <v/>
      </c>
      <c r="AH69" s="182" t="str">
        <f>+IF($Q69="","",IF(SUMIFS('Data Pura Producción'!AS$17:AS$531,'Data Pura Producción'!$R$17:$R$531,$Q69,'Data Pura Producción'!$Q$17:$Q$531,$R69)=0,"",SUMIFS('Data Pura Producción'!AS$17:AS$531,'Data Pura Producción'!$R$17:$R$531,$Q69,'Data Pura Producción'!$Q$17:$Q$531,$R69)))</f>
        <v/>
      </c>
      <c r="AI69" s="182" t="str">
        <f>+IF($Q69="","",IF(SUMIFS('Data Pura Producción'!AT$17:AT$531,'Data Pura Producción'!$R$17:$R$531,$Q69,'Data Pura Producción'!$Q$17:$Q$531,$R69)=0,"",SUMIFS('Data Pura Producción'!AT$17:AT$531,'Data Pura Producción'!$R$17:$R$531,$Q69,'Data Pura Producción'!$Q$17:$Q$531,$R69)))</f>
        <v/>
      </c>
      <c r="AJ69" s="182" t="str">
        <f>+IF($Q69="","",IF(SUMIFS('Data Pura Producción'!AU$17:AU$531,'Data Pura Producción'!$R$17:$R$531,$Q69,'Data Pura Producción'!$Q$17:$Q$531,$R69)=0,"",SUMIFS('Data Pura Producción'!AU$17:AU$531,'Data Pura Producción'!$R$17:$R$531,$Q69,'Data Pura Producción'!$Q$17:$Q$531,$R69)))</f>
        <v/>
      </c>
      <c r="AK69" s="182" t="str">
        <f>+IF($Q69="","",IF(SUMIFS('Data Pura Producción'!AV$17:AV$531,'Data Pura Producción'!$R$17:$R$531,$Q69,'Data Pura Producción'!$Q$17:$Q$531,$R69)=0,"",SUMIFS('Data Pura Producción'!AV$17:AV$531,'Data Pura Producción'!$R$17:$R$531,$Q69,'Data Pura Producción'!$Q$17:$Q$531,$R69)))</f>
        <v/>
      </c>
      <c r="AL69" s="182" t="str">
        <f>+IF($Q69="","",IF(SUMIFS('Data Pura Producción'!AW$17:AW$531,'Data Pura Producción'!$R$17:$R$531,$Q69,'Data Pura Producción'!$Q$17:$Q$531,$R69)=0,"",SUMIFS('Data Pura Producción'!AW$17:AW$531,'Data Pura Producción'!$R$17:$R$531,$Q69,'Data Pura Producción'!$Q$17:$Q$531,$R69)))</f>
        <v/>
      </c>
      <c r="AM69" s="337" t="str">
        <f>+IF($Q69="","",IF(SUMIFS('Data Pura Producción'!AX$17:AX$531,'Data Pura Producción'!$R$17:$R$531,$Q69,'Data Pura Producción'!$Q$17:$Q$531,$R69)=0,"",SUMIFS('Data Pura Producción'!AX$17:AX$531,'Data Pura Producción'!$R$17:$R$531,$Q69,'Data Pura Producción'!$Q$17:$Q$531,$R69)))</f>
        <v/>
      </c>
      <c r="AN69" s="187" t="str">
        <f t="shared" si="4"/>
        <v/>
      </c>
    </row>
    <row r="70" spans="2:40" s="7" customFormat="1" x14ac:dyDescent="0.35">
      <c r="B70" s="4" t="str">
        <f>+IF('Data Pura Costos'!B70="","",'Data Pura Costos'!B70)</f>
        <v>Chumpirro</v>
      </c>
      <c r="C70" s="4" t="str">
        <f>+IF('Data Pura Costos'!C70="","",'Data Pura Costos'!C70)</f>
        <v>Angol, IX región</v>
      </c>
      <c r="D70" s="5">
        <f>+IF('Data Pura Costos'!D70="","",'Data Pura Costos'!D70)</f>
        <v>358</v>
      </c>
      <c r="E70" s="65">
        <f>+IF('Data Pura Costos'!E70="","",IF('Data Pura Costos'!E70=0,MAX('Data Pura Costos'!$E$7:$E$3000)*1000,'Data Pura Costos'!E70))</f>
        <v>960000</v>
      </c>
      <c r="F70" s="5" t="str">
        <f>+IF('Data Pura Costos'!F70="","",'Data Pura Costos'!F70)</f>
        <v>Molina</v>
      </c>
      <c r="G70" s="5" t="str">
        <f>+IF('Data Pura Costos'!G70="","",'Data Pura Costos'!G70)</f>
        <v xml:space="preserve">GUSTAVO ZÚÑIGA </v>
      </c>
      <c r="H70" s="52" t="str">
        <f>+IF('Data Pura Costos'!H70="","",'Data Pura Costos'!H70)</f>
        <v>Termo</v>
      </c>
      <c r="I70" s="71">
        <f>+IF('Data Pura Costos'!I70="","",'Data Pura Costos'!I70)</f>
        <v>2681.564245810056</v>
      </c>
      <c r="J70" s="52" t="str">
        <f>+IF('Data Pura Costos'!J70="","",'Data Pura Costos'!J70)</f>
        <v>24-25</v>
      </c>
      <c r="K70" s="82" t="str">
        <f t="shared" si="3"/>
        <v xml:space="preserve">Chumpirro-Molina-GUSTAVO ZÚÑIGA </v>
      </c>
      <c r="P70" s="1" t="str">
        <f t="shared" si="1"/>
        <v/>
      </c>
      <c r="Q70" s="23"/>
      <c r="R70" s="333"/>
      <c r="S70" s="336" t="str">
        <f>+IF($Q70="","",IF(SUMIFS('Data Pura Producción'!AD$17:AD$531,'Data Pura Producción'!$R$17:$R$531,$Q70,'Data Pura Producción'!$Q$17:$Q$531,$R70)=0,"",SUMIFS('Data Pura Producción'!AD$17:AD$531,'Data Pura Producción'!$R$17:$R$531,$Q70,'Data Pura Producción'!$Q$17:$Q$531,$R70)))</f>
        <v/>
      </c>
      <c r="T70" s="182" t="str">
        <f>+IF($Q70="","",IF(SUMIFS('Data Pura Producción'!AE$17:AE$531,'Data Pura Producción'!$R$17:$R$531,$Q70,'Data Pura Producción'!$Q$17:$Q$531,$R70)=0,"",SUMIFS('Data Pura Producción'!AE$17:AE$531,'Data Pura Producción'!$R$17:$R$531,$Q70,'Data Pura Producción'!$Q$17:$Q$531,$R70)))</f>
        <v/>
      </c>
      <c r="U70" s="182" t="str">
        <f>+IF($Q70="","",IF(SUMIFS('Data Pura Producción'!AF$17:AF$531,'Data Pura Producción'!$R$17:$R$531,$Q70,'Data Pura Producción'!$Q$17:$Q$531,$R70)=0,"",SUMIFS('Data Pura Producción'!AF$17:AF$531,'Data Pura Producción'!$R$17:$R$531,$Q70,'Data Pura Producción'!$Q$17:$Q$531,$R70)))</f>
        <v/>
      </c>
      <c r="V70" s="182" t="str">
        <f>+IF($Q70="","",IF(SUMIFS('Data Pura Producción'!AG$17:AG$531,'Data Pura Producción'!$R$17:$R$531,$Q70,'Data Pura Producción'!$Q$17:$Q$531,$R70)=0,"",SUMIFS('Data Pura Producción'!AG$17:AG$531,'Data Pura Producción'!$R$17:$R$531,$Q70,'Data Pura Producción'!$Q$17:$Q$531,$R70)))</f>
        <v/>
      </c>
      <c r="W70" s="182" t="str">
        <f>+IF($Q70="","",IF(SUMIFS('Data Pura Producción'!AH$17:AH$531,'Data Pura Producción'!$R$17:$R$531,$Q70,'Data Pura Producción'!$Q$17:$Q$531,$R70)=0,"",SUMIFS('Data Pura Producción'!AH$17:AH$531,'Data Pura Producción'!$R$17:$R$531,$Q70,'Data Pura Producción'!$Q$17:$Q$531,$R70)))</f>
        <v/>
      </c>
      <c r="X70" s="182" t="str">
        <f>+IF($Q70="","",IF(SUMIFS('Data Pura Producción'!AI$17:AI$531,'Data Pura Producción'!$R$17:$R$531,$Q70,'Data Pura Producción'!$Q$17:$Q$531,$R70)=0,"",SUMIFS('Data Pura Producción'!AI$17:AI$531,'Data Pura Producción'!$R$17:$R$531,$Q70,'Data Pura Producción'!$Q$17:$Q$531,$R70)))</f>
        <v/>
      </c>
      <c r="Y70" s="182" t="str">
        <f>+IF($Q70="","",IF(SUMIFS('Data Pura Producción'!AJ$17:AJ$531,'Data Pura Producción'!$R$17:$R$531,$Q70,'Data Pura Producción'!$Q$17:$Q$531,$R70)=0,"",SUMIFS('Data Pura Producción'!AJ$17:AJ$531,'Data Pura Producción'!$R$17:$R$531,$Q70,'Data Pura Producción'!$Q$17:$Q$531,$R70)))</f>
        <v/>
      </c>
      <c r="Z70" s="182" t="str">
        <f>+IF($Q70="","",IF(SUMIFS('Data Pura Producción'!AK$17:AK$531,'Data Pura Producción'!$R$17:$R$531,$Q70,'Data Pura Producción'!$Q$17:$Q$531,$R70)=0,"",SUMIFS('Data Pura Producción'!AK$17:AK$531,'Data Pura Producción'!$R$17:$R$531,$Q70,'Data Pura Producción'!$Q$17:$Q$531,$R70)))</f>
        <v/>
      </c>
      <c r="AA70" s="182" t="str">
        <f>+IF($Q70="","",IF(SUMIFS('Data Pura Producción'!AL$17:AL$531,'Data Pura Producción'!$R$17:$R$531,$Q70,'Data Pura Producción'!$Q$17:$Q$531,$R70)=0,"",SUMIFS('Data Pura Producción'!AL$17:AL$531,'Data Pura Producción'!$R$17:$R$531,$Q70,'Data Pura Producción'!$Q$17:$Q$531,$R70)))</f>
        <v/>
      </c>
      <c r="AB70" s="182" t="str">
        <f>+IF($Q70="","",IF(SUMIFS('Data Pura Producción'!AM$17:AM$531,'Data Pura Producción'!$R$17:$R$531,$Q70,'Data Pura Producción'!$Q$17:$Q$531,$R70)=0,"",SUMIFS('Data Pura Producción'!AM$17:AM$531,'Data Pura Producción'!$R$17:$R$531,$Q70,'Data Pura Producción'!$Q$17:$Q$531,$R70)))</f>
        <v/>
      </c>
      <c r="AC70" s="182" t="str">
        <f>+IF($Q70="","",IF(SUMIFS('Data Pura Producción'!AN$17:AN$531,'Data Pura Producción'!$R$17:$R$531,$Q70,'Data Pura Producción'!$Q$17:$Q$531,$R70)=0,"",SUMIFS('Data Pura Producción'!AN$17:AN$531,'Data Pura Producción'!$R$17:$R$531,$Q70,'Data Pura Producción'!$Q$17:$Q$531,$R70)))</f>
        <v/>
      </c>
      <c r="AD70" s="182" t="str">
        <f>+IF($Q70="","",IF(SUMIFS('Data Pura Producción'!AO$17:AO$531,'Data Pura Producción'!$R$17:$R$531,$Q70,'Data Pura Producción'!$Q$17:$Q$531,$R70)=0,"",SUMIFS('Data Pura Producción'!AO$17:AO$531,'Data Pura Producción'!$R$17:$R$531,$Q70,'Data Pura Producción'!$Q$17:$Q$531,$R70)))</f>
        <v/>
      </c>
      <c r="AE70" s="182" t="str">
        <f>+IF($Q70="","",IF(SUMIFS('Data Pura Producción'!AP$17:AP$531,'Data Pura Producción'!$R$17:$R$531,$Q70,'Data Pura Producción'!$Q$17:$Q$531,$R70)=0,"",SUMIFS('Data Pura Producción'!AP$17:AP$531,'Data Pura Producción'!$R$17:$R$531,$Q70,'Data Pura Producción'!$Q$17:$Q$531,$R70)))</f>
        <v/>
      </c>
      <c r="AF70" s="182" t="str">
        <f>+IF($Q70="","",IF(SUMIFS('Data Pura Producción'!AQ$17:AQ$531,'Data Pura Producción'!$R$17:$R$531,$Q70,'Data Pura Producción'!$Q$17:$Q$531,$R70)=0,"",SUMIFS('Data Pura Producción'!AQ$17:AQ$531,'Data Pura Producción'!$R$17:$R$531,$Q70,'Data Pura Producción'!$Q$17:$Q$531,$R70)))</f>
        <v/>
      </c>
      <c r="AG70" s="182" t="str">
        <f>+IF($Q70="","",IF(SUMIFS('Data Pura Producción'!AR$17:AR$531,'Data Pura Producción'!$R$17:$R$531,$Q70,'Data Pura Producción'!$Q$17:$Q$531,$R70)=0,"",SUMIFS('Data Pura Producción'!AR$17:AR$531,'Data Pura Producción'!$R$17:$R$531,$Q70,'Data Pura Producción'!$Q$17:$Q$531,$R70)))</f>
        <v/>
      </c>
      <c r="AH70" s="182" t="str">
        <f>+IF($Q70="","",IF(SUMIFS('Data Pura Producción'!AS$17:AS$531,'Data Pura Producción'!$R$17:$R$531,$Q70,'Data Pura Producción'!$Q$17:$Q$531,$R70)=0,"",SUMIFS('Data Pura Producción'!AS$17:AS$531,'Data Pura Producción'!$R$17:$R$531,$Q70,'Data Pura Producción'!$Q$17:$Q$531,$R70)))</f>
        <v/>
      </c>
      <c r="AI70" s="182" t="str">
        <f>+IF($Q70="","",IF(SUMIFS('Data Pura Producción'!AT$17:AT$531,'Data Pura Producción'!$R$17:$R$531,$Q70,'Data Pura Producción'!$Q$17:$Q$531,$R70)=0,"",SUMIFS('Data Pura Producción'!AT$17:AT$531,'Data Pura Producción'!$R$17:$R$531,$Q70,'Data Pura Producción'!$Q$17:$Q$531,$R70)))</f>
        <v/>
      </c>
      <c r="AJ70" s="182" t="str">
        <f>+IF($Q70="","",IF(SUMIFS('Data Pura Producción'!AU$17:AU$531,'Data Pura Producción'!$R$17:$R$531,$Q70,'Data Pura Producción'!$Q$17:$Q$531,$R70)=0,"",SUMIFS('Data Pura Producción'!AU$17:AU$531,'Data Pura Producción'!$R$17:$R$531,$Q70,'Data Pura Producción'!$Q$17:$Q$531,$R70)))</f>
        <v/>
      </c>
      <c r="AK70" s="182" t="str">
        <f>+IF($Q70="","",IF(SUMIFS('Data Pura Producción'!AV$17:AV$531,'Data Pura Producción'!$R$17:$R$531,$Q70,'Data Pura Producción'!$Q$17:$Q$531,$R70)=0,"",SUMIFS('Data Pura Producción'!AV$17:AV$531,'Data Pura Producción'!$R$17:$R$531,$Q70,'Data Pura Producción'!$Q$17:$Q$531,$R70)))</f>
        <v/>
      </c>
      <c r="AL70" s="182" t="str">
        <f>+IF($Q70="","",IF(SUMIFS('Data Pura Producción'!AW$17:AW$531,'Data Pura Producción'!$R$17:$R$531,$Q70,'Data Pura Producción'!$Q$17:$Q$531,$R70)=0,"",SUMIFS('Data Pura Producción'!AW$17:AW$531,'Data Pura Producción'!$R$17:$R$531,$Q70,'Data Pura Producción'!$Q$17:$Q$531,$R70)))</f>
        <v/>
      </c>
      <c r="AM70" s="337" t="str">
        <f>+IF($Q70="","",IF(SUMIFS('Data Pura Producción'!AX$17:AX$531,'Data Pura Producción'!$R$17:$R$531,$Q70,'Data Pura Producción'!$Q$17:$Q$531,$R70)=0,"",SUMIFS('Data Pura Producción'!AX$17:AX$531,'Data Pura Producción'!$R$17:$R$531,$Q70,'Data Pura Producción'!$Q$17:$Q$531,$R70)))</f>
        <v/>
      </c>
      <c r="AN70" s="187" t="str">
        <f t="shared" si="4"/>
        <v/>
      </c>
    </row>
    <row r="71" spans="2:40" s="7" customFormat="1" x14ac:dyDescent="0.35">
      <c r="B71" s="4" t="str">
        <f>+IF('Data Pura Costos'!B71="","",'Data Pura Costos'!B71)</f>
        <v xml:space="preserve"> Cocalán</v>
      </c>
      <c r="C71" s="4" t="str">
        <f>+IF('Data Pura Costos'!C71="","",'Data Pura Costos'!C71)</f>
        <v>Cocalán, VI región</v>
      </c>
      <c r="D71" s="5">
        <f>+IF('Data Pura Costos'!D71="","",'Data Pura Costos'!D71)</f>
        <v>141</v>
      </c>
      <c r="E71" s="65">
        <f>+IF('Data Pura Costos'!E71="","",IF('Data Pura Costos'!E71=0,MAX('Data Pura Costos'!$E$7:$E$3000)*1000,'Data Pura Costos'!E71))</f>
        <v>460000</v>
      </c>
      <c r="F71" s="5" t="str">
        <f>+IF('Data Pura Costos'!F71="","",'Data Pura Costos'!F71)</f>
        <v>Molina</v>
      </c>
      <c r="G71" s="5" t="str">
        <f>+IF('Data Pura Costos'!G71="","",'Data Pura Costos'!G71)</f>
        <v xml:space="preserve">GUSTAVO ZÚÑIGA </v>
      </c>
      <c r="H71" s="52" t="str">
        <f>+IF('Data Pura Costos'!H71="","",'Data Pura Costos'!H71)</f>
        <v>Termo</v>
      </c>
      <c r="I71" s="71">
        <f>+IF('Data Pura Costos'!I71="","",'Data Pura Costos'!I71)</f>
        <v>3262.4113475177305</v>
      </c>
      <c r="J71" s="52" t="str">
        <f>+IF('Data Pura Costos'!J71="","",'Data Pura Costos'!J71)</f>
        <v>24-25</v>
      </c>
      <c r="K71" s="82" t="str">
        <f t="shared" si="3"/>
        <v xml:space="preserve"> Cocalán-Molina-GUSTAVO ZÚÑIGA </v>
      </c>
      <c r="P71" s="1" t="str">
        <f t="shared" ref="P71:P112" si="5">+IF(M71="","",IF(O71="",N71,O71))</f>
        <v/>
      </c>
      <c r="Q71" s="23"/>
      <c r="R71" s="333"/>
      <c r="S71" s="336" t="str">
        <f>+IF($Q71="","",IF(SUMIFS('Data Pura Producción'!AD$17:AD$531,'Data Pura Producción'!$R$17:$R$531,$Q71,'Data Pura Producción'!$Q$17:$Q$531,$R71)=0,"",SUMIFS('Data Pura Producción'!AD$17:AD$531,'Data Pura Producción'!$R$17:$R$531,$Q71,'Data Pura Producción'!$Q$17:$Q$531,$R71)))</f>
        <v/>
      </c>
      <c r="T71" s="182" t="str">
        <f>+IF($Q71="","",IF(SUMIFS('Data Pura Producción'!AE$17:AE$531,'Data Pura Producción'!$R$17:$R$531,$Q71,'Data Pura Producción'!$Q$17:$Q$531,$R71)=0,"",SUMIFS('Data Pura Producción'!AE$17:AE$531,'Data Pura Producción'!$R$17:$R$531,$Q71,'Data Pura Producción'!$Q$17:$Q$531,$R71)))</f>
        <v/>
      </c>
      <c r="U71" s="182" t="str">
        <f>+IF($Q71="","",IF(SUMIFS('Data Pura Producción'!AF$17:AF$531,'Data Pura Producción'!$R$17:$R$531,$Q71,'Data Pura Producción'!$Q$17:$Q$531,$R71)=0,"",SUMIFS('Data Pura Producción'!AF$17:AF$531,'Data Pura Producción'!$R$17:$R$531,$Q71,'Data Pura Producción'!$Q$17:$Q$531,$R71)))</f>
        <v/>
      </c>
      <c r="V71" s="182" t="str">
        <f>+IF($Q71="","",IF(SUMIFS('Data Pura Producción'!AG$17:AG$531,'Data Pura Producción'!$R$17:$R$531,$Q71,'Data Pura Producción'!$Q$17:$Q$531,$R71)=0,"",SUMIFS('Data Pura Producción'!AG$17:AG$531,'Data Pura Producción'!$R$17:$R$531,$Q71,'Data Pura Producción'!$Q$17:$Q$531,$R71)))</f>
        <v/>
      </c>
      <c r="W71" s="182" t="str">
        <f>+IF($Q71="","",IF(SUMIFS('Data Pura Producción'!AH$17:AH$531,'Data Pura Producción'!$R$17:$R$531,$Q71,'Data Pura Producción'!$Q$17:$Q$531,$R71)=0,"",SUMIFS('Data Pura Producción'!AH$17:AH$531,'Data Pura Producción'!$R$17:$R$531,$Q71,'Data Pura Producción'!$Q$17:$Q$531,$R71)))</f>
        <v/>
      </c>
      <c r="X71" s="182" t="str">
        <f>+IF($Q71="","",IF(SUMIFS('Data Pura Producción'!AI$17:AI$531,'Data Pura Producción'!$R$17:$R$531,$Q71,'Data Pura Producción'!$Q$17:$Q$531,$R71)=0,"",SUMIFS('Data Pura Producción'!AI$17:AI$531,'Data Pura Producción'!$R$17:$R$531,$Q71,'Data Pura Producción'!$Q$17:$Q$531,$R71)))</f>
        <v/>
      </c>
      <c r="Y71" s="182" t="str">
        <f>+IF($Q71="","",IF(SUMIFS('Data Pura Producción'!AJ$17:AJ$531,'Data Pura Producción'!$R$17:$R$531,$Q71,'Data Pura Producción'!$Q$17:$Q$531,$R71)=0,"",SUMIFS('Data Pura Producción'!AJ$17:AJ$531,'Data Pura Producción'!$R$17:$R$531,$Q71,'Data Pura Producción'!$Q$17:$Q$531,$R71)))</f>
        <v/>
      </c>
      <c r="Z71" s="182" t="str">
        <f>+IF($Q71="","",IF(SUMIFS('Data Pura Producción'!AK$17:AK$531,'Data Pura Producción'!$R$17:$R$531,$Q71,'Data Pura Producción'!$Q$17:$Q$531,$R71)=0,"",SUMIFS('Data Pura Producción'!AK$17:AK$531,'Data Pura Producción'!$R$17:$R$531,$Q71,'Data Pura Producción'!$Q$17:$Q$531,$R71)))</f>
        <v/>
      </c>
      <c r="AA71" s="182" t="str">
        <f>+IF($Q71="","",IF(SUMIFS('Data Pura Producción'!AL$17:AL$531,'Data Pura Producción'!$R$17:$R$531,$Q71,'Data Pura Producción'!$Q$17:$Q$531,$R71)=0,"",SUMIFS('Data Pura Producción'!AL$17:AL$531,'Data Pura Producción'!$R$17:$R$531,$Q71,'Data Pura Producción'!$Q$17:$Q$531,$R71)))</f>
        <v/>
      </c>
      <c r="AB71" s="182" t="str">
        <f>+IF($Q71="","",IF(SUMIFS('Data Pura Producción'!AM$17:AM$531,'Data Pura Producción'!$R$17:$R$531,$Q71,'Data Pura Producción'!$Q$17:$Q$531,$R71)=0,"",SUMIFS('Data Pura Producción'!AM$17:AM$531,'Data Pura Producción'!$R$17:$R$531,$Q71,'Data Pura Producción'!$Q$17:$Q$531,$R71)))</f>
        <v/>
      </c>
      <c r="AC71" s="182" t="str">
        <f>+IF($Q71="","",IF(SUMIFS('Data Pura Producción'!AN$17:AN$531,'Data Pura Producción'!$R$17:$R$531,$Q71,'Data Pura Producción'!$Q$17:$Q$531,$R71)=0,"",SUMIFS('Data Pura Producción'!AN$17:AN$531,'Data Pura Producción'!$R$17:$R$531,$Q71,'Data Pura Producción'!$Q$17:$Q$531,$R71)))</f>
        <v/>
      </c>
      <c r="AD71" s="182" t="str">
        <f>+IF($Q71="","",IF(SUMIFS('Data Pura Producción'!AO$17:AO$531,'Data Pura Producción'!$R$17:$R$531,$Q71,'Data Pura Producción'!$Q$17:$Q$531,$R71)=0,"",SUMIFS('Data Pura Producción'!AO$17:AO$531,'Data Pura Producción'!$R$17:$R$531,$Q71,'Data Pura Producción'!$Q$17:$Q$531,$R71)))</f>
        <v/>
      </c>
      <c r="AE71" s="182" t="str">
        <f>+IF($Q71="","",IF(SUMIFS('Data Pura Producción'!AP$17:AP$531,'Data Pura Producción'!$R$17:$R$531,$Q71,'Data Pura Producción'!$Q$17:$Q$531,$R71)=0,"",SUMIFS('Data Pura Producción'!AP$17:AP$531,'Data Pura Producción'!$R$17:$R$531,$Q71,'Data Pura Producción'!$Q$17:$Q$531,$R71)))</f>
        <v/>
      </c>
      <c r="AF71" s="182" t="str">
        <f>+IF($Q71="","",IF(SUMIFS('Data Pura Producción'!AQ$17:AQ$531,'Data Pura Producción'!$R$17:$R$531,$Q71,'Data Pura Producción'!$Q$17:$Q$531,$R71)=0,"",SUMIFS('Data Pura Producción'!AQ$17:AQ$531,'Data Pura Producción'!$R$17:$R$531,$Q71,'Data Pura Producción'!$Q$17:$Q$531,$R71)))</f>
        <v/>
      </c>
      <c r="AG71" s="182" t="str">
        <f>+IF($Q71="","",IF(SUMIFS('Data Pura Producción'!AR$17:AR$531,'Data Pura Producción'!$R$17:$R$531,$Q71,'Data Pura Producción'!$Q$17:$Q$531,$R71)=0,"",SUMIFS('Data Pura Producción'!AR$17:AR$531,'Data Pura Producción'!$R$17:$R$531,$Q71,'Data Pura Producción'!$Q$17:$Q$531,$R71)))</f>
        <v/>
      </c>
      <c r="AH71" s="182" t="str">
        <f>+IF($Q71="","",IF(SUMIFS('Data Pura Producción'!AS$17:AS$531,'Data Pura Producción'!$R$17:$R$531,$Q71,'Data Pura Producción'!$Q$17:$Q$531,$R71)=0,"",SUMIFS('Data Pura Producción'!AS$17:AS$531,'Data Pura Producción'!$R$17:$R$531,$Q71,'Data Pura Producción'!$Q$17:$Q$531,$R71)))</f>
        <v/>
      </c>
      <c r="AI71" s="182" t="str">
        <f>+IF($Q71="","",IF(SUMIFS('Data Pura Producción'!AT$17:AT$531,'Data Pura Producción'!$R$17:$R$531,$Q71,'Data Pura Producción'!$Q$17:$Q$531,$R71)=0,"",SUMIFS('Data Pura Producción'!AT$17:AT$531,'Data Pura Producción'!$R$17:$R$531,$Q71,'Data Pura Producción'!$Q$17:$Q$531,$R71)))</f>
        <v/>
      </c>
      <c r="AJ71" s="182" t="str">
        <f>+IF($Q71="","",IF(SUMIFS('Data Pura Producción'!AU$17:AU$531,'Data Pura Producción'!$R$17:$R$531,$Q71,'Data Pura Producción'!$Q$17:$Q$531,$R71)=0,"",SUMIFS('Data Pura Producción'!AU$17:AU$531,'Data Pura Producción'!$R$17:$R$531,$Q71,'Data Pura Producción'!$Q$17:$Q$531,$R71)))</f>
        <v/>
      </c>
      <c r="AK71" s="182" t="str">
        <f>+IF($Q71="","",IF(SUMIFS('Data Pura Producción'!AV$17:AV$531,'Data Pura Producción'!$R$17:$R$531,$Q71,'Data Pura Producción'!$Q$17:$Q$531,$R71)=0,"",SUMIFS('Data Pura Producción'!AV$17:AV$531,'Data Pura Producción'!$R$17:$R$531,$Q71,'Data Pura Producción'!$Q$17:$Q$531,$R71)))</f>
        <v/>
      </c>
      <c r="AL71" s="182" t="str">
        <f>+IF($Q71="","",IF(SUMIFS('Data Pura Producción'!AW$17:AW$531,'Data Pura Producción'!$R$17:$R$531,$Q71,'Data Pura Producción'!$Q$17:$Q$531,$R71)=0,"",SUMIFS('Data Pura Producción'!AW$17:AW$531,'Data Pura Producción'!$R$17:$R$531,$Q71,'Data Pura Producción'!$Q$17:$Q$531,$R71)))</f>
        <v/>
      </c>
      <c r="AM71" s="337" t="str">
        <f>+IF($Q71="","",IF(SUMIFS('Data Pura Producción'!AX$17:AX$531,'Data Pura Producción'!$R$17:$R$531,$Q71,'Data Pura Producción'!$Q$17:$Q$531,$R71)=0,"",SUMIFS('Data Pura Producción'!AX$17:AX$531,'Data Pura Producción'!$R$17:$R$531,$Q71,'Data Pura Producción'!$Q$17:$Q$531,$R71)))</f>
        <v/>
      </c>
      <c r="AN71" s="187" t="str">
        <f t="shared" si="4"/>
        <v/>
      </c>
    </row>
    <row r="72" spans="2:40" s="7" customFormat="1" x14ac:dyDescent="0.35">
      <c r="B72" s="4" t="str">
        <f>+IF('Data Pura Costos'!B72="","",'Data Pura Costos'!B72)</f>
        <v>El Cóndor</v>
      </c>
      <c r="C72" s="4" t="str">
        <f>+IF('Data Pura Costos'!C72="","",'Data Pura Costos'!C72)</f>
        <v>Chimbarongo, VI Region.</v>
      </c>
      <c r="D72" s="5">
        <f>+IF('Data Pura Costos'!D72="","",'Data Pura Costos'!D72)</f>
        <v>60</v>
      </c>
      <c r="E72" s="65">
        <f>+IF('Data Pura Costos'!E72="","",IF('Data Pura Costos'!E72=0,MAX('Data Pura Costos'!$E$7:$E$3000)*1000,'Data Pura Costos'!E72))</f>
        <v>350000</v>
      </c>
      <c r="F72" s="5" t="str">
        <f>+IF('Data Pura Costos'!F72="","",'Data Pura Costos'!F72)</f>
        <v>Molina</v>
      </c>
      <c r="G72" s="5" t="str">
        <f>+IF('Data Pura Costos'!G72="","",'Data Pura Costos'!G72)</f>
        <v xml:space="preserve">GUSTAVO ZÚÑIGA </v>
      </c>
      <c r="H72" s="52" t="str">
        <f>+IF('Data Pura Costos'!H72="","",'Data Pura Costos'!H72)</f>
        <v>Termo</v>
      </c>
      <c r="I72" s="71">
        <f>+IF('Data Pura Costos'!I72="","",'Data Pura Costos'!I72)</f>
        <v>5833.333333333333</v>
      </c>
      <c r="J72" s="52" t="str">
        <f>+IF('Data Pura Costos'!J72="","",'Data Pura Costos'!J72)</f>
        <v>24-25</v>
      </c>
      <c r="K72" s="82" t="str">
        <f t="shared" ref="K72:K135" si="6">+IF(B72="","",CONCATENATE(B72,"-",F72,"-",G72))</f>
        <v xml:space="preserve">El Cóndor-Molina-GUSTAVO ZÚÑIGA </v>
      </c>
      <c r="P72" s="1" t="str">
        <f t="shared" si="5"/>
        <v/>
      </c>
      <c r="Q72" s="23"/>
      <c r="R72" s="333"/>
      <c r="S72" s="336" t="str">
        <f>+IF($Q72="","",IF(SUMIFS('Data Pura Producción'!AD$17:AD$531,'Data Pura Producción'!$R$17:$R$531,$Q72,'Data Pura Producción'!$Q$17:$Q$531,$R72)=0,"",SUMIFS('Data Pura Producción'!AD$17:AD$531,'Data Pura Producción'!$R$17:$R$531,$Q72,'Data Pura Producción'!$Q$17:$Q$531,$R72)))</f>
        <v/>
      </c>
      <c r="T72" s="182" t="str">
        <f>+IF($Q72="","",IF(SUMIFS('Data Pura Producción'!AE$17:AE$531,'Data Pura Producción'!$R$17:$R$531,$Q72,'Data Pura Producción'!$Q$17:$Q$531,$R72)=0,"",SUMIFS('Data Pura Producción'!AE$17:AE$531,'Data Pura Producción'!$R$17:$R$531,$Q72,'Data Pura Producción'!$Q$17:$Q$531,$R72)))</f>
        <v/>
      </c>
      <c r="U72" s="182" t="str">
        <f>+IF($Q72="","",IF(SUMIFS('Data Pura Producción'!AF$17:AF$531,'Data Pura Producción'!$R$17:$R$531,$Q72,'Data Pura Producción'!$Q$17:$Q$531,$R72)=0,"",SUMIFS('Data Pura Producción'!AF$17:AF$531,'Data Pura Producción'!$R$17:$R$531,$Q72,'Data Pura Producción'!$Q$17:$Q$531,$R72)))</f>
        <v/>
      </c>
      <c r="V72" s="182" t="str">
        <f>+IF($Q72="","",IF(SUMIFS('Data Pura Producción'!AG$17:AG$531,'Data Pura Producción'!$R$17:$R$531,$Q72,'Data Pura Producción'!$Q$17:$Q$531,$R72)=0,"",SUMIFS('Data Pura Producción'!AG$17:AG$531,'Data Pura Producción'!$R$17:$R$531,$Q72,'Data Pura Producción'!$Q$17:$Q$531,$R72)))</f>
        <v/>
      </c>
      <c r="W72" s="182" t="str">
        <f>+IF($Q72="","",IF(SUMIFS('Data Pura Producción'!AH$17:AH$531,'Data Pura Producción'!$R$17:$R$531,$Q72,'Data Pura Producción'!$Q$17:$Q$531,$R72)=0,"",SUMIFS('Data Pura Producción'!AH$17:AH$531,'Data Pura Producción'!$R$17:$R$531,$Q72,'Data Pura Producción'!$Q$17:$Q$531,$R72)))</f>
        <v/>
      </c>
      <c r="X72" s="182" t="str">
        <f>+IF($Q72="","",IF(SUMIFS('Data Pura Producción'!AI$17:AI$531,'Data Pura Producción'!$R$17:$R$531,$Q72,'Data Pura Producción'!$Q$17:$Q$531,$R72)=0,"",SUMIFS('Data Pura Producción'!AI$17:AI$531,'Data Pura Producción'!$R$17:$R$531,$Q72,'Data Pura Producción'!$Q$17:$Q$531,$R72)))</f>
        <v/>
      </c>
      <c r="Y72" s="182" t="str">
        <f>+IF($Q72="","",IF(SUMIFS('Data Pura Producción'!AJ$17:AJ$531,'Data Pura Producción'!$R$17:$R$531,$Q72,'Data Pura Producción'!$Q$17:$Q$531,$R72)=0,"",SUMIFS('Data Pura Producción'!AJ$17:AJ$531,'Data Pura Producción'!$R$17:$R$531,$Q72,'Data Pura Producción'!$Q$17:$Q$531,$R72)))</f>
        <v/>
      </c>
      <c r="Z72" s="182" t="str">
        <f>+IF($Q72="","",IF(SUMIFS('Data Pura Producción'!AK$17:AK$531,'Data Pura Producción'!$R$17:$R$531,$Q72,'Data Pura Producción'!$Q$17:$Q$531,$R72)=0,"",SUMIFS('Data Pura Producción'!AK$17:AK$531,'Data Pura Producción'!$R$17:$R$531,$Q72,'Data Pura Producción'!$Q$17:$Q$531,$R72)))</f>
        <v/>
      </c>
      <c r="AA72" s="182" t="str">
        <f>+IF($Q72="","",IF(SUMIFS('Data Pura Producción'!AL$17:AL$531,'Data Pura Producción'!$R$17:$R$531,$Q72,'Data Pura Producción'!$Q$17:$Q$531,$R72)=0,"",SUMIFS('Data Pura Producción'!AL$17:AL$531,'Data Pura Producción'!$R$17:$R$531,$Q72,'Data Pura Producción'!$Q$17:$Q$531,$R72)))</f>
        <v/>
      </c>
      <c r="AB72" s="182" t="str">
        <f>+IF($Q72="","",IF(SUMIFS('Data Pura Producción'!AM$17:AM$531,'Data Pura Producción'!$R$17:$R$531,$Q72,'Data Pura Producción'!$Q$17:$Q$531,$R72)=0,"",SUMIFS('Data Pura Producción'!AM$17:AM$531,'Data Pura Producción'!$R$17:$R$531,$Q72,'Data Pura Producción'!$Q$17:$Q$531,$R72)))</f>
        <v/>
      </c>
      <c r="AC72" s="182" t="str">
        <f>+IF($Q72="","",IF(SUMIFS('Data Pura Producción'!AN$17:AN$531,'Data Pura Producción'!$R$17:$R$531,$Q72,'Data Pura Producción'!$Q$17:$Q$531,$R72)=0,"",SUMIFS('Data Pura Producción'!AN$17:AN$531,'Data Pura Producción'!$R$17:$R$531,$Q72,'Data Pura Producción'!$Q$17:$Q$531,$R72)))</f>
        <v/>
      </c>
      <c r="AD72" s="182" t="str">
        <f>+IF($Q72="","",IF(SUMIFS('Data Pura Producción'!AO$17:AO$531,'Data Pura Producción'!$R$17:$R$531,$Q72,'Data Pura Producción'!$Q$17:$Q$531,$R72)=0,"",SUMIFS('Data Pura Producción'!AO$17:AO$531,'Data Pura Producción'!$R$17:$R$531,$Q72,'Data Pura Producción'!$Q$17:$Q$531,$R72)))</f>
        <v/>
      </c>
      <c r="AE72" s="182" t="str">
        <f>+IF($Q72="","",IF(SUMIFS('Data Pura Producción'!AP$17:AP$531,'Data Pura Producción'!$R$17:$R$531,$Q72,'Data Pura Producción'!$Q$17:$Q$531,$R72)=0,"",SUMIFS('Data Pura Producción'!AP$17:AP$531,'Data Pura Producción'!$R$17:$R$531,$Q72,'Data Pura Producción'!$Q$17:$Q$531,$R72)))</f>
        <v/>
      </c>
      <c r="AF72" s="182" t="str">
        <f>+IF($Q72="","",IF(SUMIFS('Data Pura Producción'!AQ$17:AQ$531,'Data Pura Producción'!$R$17:$R$531,$Q72,'Data Pura Producción'!$Q$17:$Q$531,$R72)=0,"",SUMIFS('Data Pura Producción'!AQ$17:AQ$531,'Data Pura Producción'!$R$17:$R$531,$Q72,'Data Pura Producción'!$Q$17:$Q$531,$R72)))</f>
        <v/>
      </c>
      <c r="AG72" s="182" t="str">
        <f>+IF($Q72="","",IF(SUMIFS('Data Pura Producción'!AR$17:AR$531,'Data Pura Producción'!$R$17:$R$531,$Q72,'Data Pura Producción'!$Q$17:$Q$531,$R72)=0,"",SUMIFS('Data Pura Producción'!AR$17:AR$531,'Data Pura Producción'!$R$17:$R$531,$Q72,'Data Pura Producción'!$Q$17:$Q$531,$R72)))</f>
        <v/>
      </c>
      <c r="AH72" s="182" t="str">
        <f>+IF($Q72="","",IF(SUMIFS('Data Pura Producción'!AS$17:AS$531,'Data Pura Producción'!$R$17:$R$531,$Q72,'Data Pura Producción'!$Q$17:$Q$531,$R72)=0,"",SUMIFS('Data Pura Producción'!AS$17:AS$531,'Data Pura Producción'!$R$17:$R$531,$Q72,'Data Pura Producción'!$Q$17:$Q$531,$R72)))</f>
        <v/>
      </c>
      <c r="AI72" s="182" t="str">
        <f>+IF($Q72="","",IF(SUMIFS('Data Pura Producción'!AT$17:AT$531,'Data Pura Producción'!$R$17:$R$531,$Q72,'Data Pura Producción'!$Q$17:$Q$531,$R72)=0,"",SUMIFS('Data Pura Producción'!AT$17:AT$531,'Data Pura Producción'!$R$17:$R$531,$Q72,'Data Pura Producción'!$Q$17:$Q$531,$R72)))</f>
        <v/>
      </c>
      <c r="AJ72" s="182" t="str">
        <f>+IF($Q72="","",IF(SUMIFS('Data Pura Producción'!AU$17:AU$531,'Data Pura Producción'!$R$17:$R$531,$Q72,'Data Pura Producción'!$Q$17:$Q$531,$R72)=0,"",SUMIFS('Data Pura Producción'!AU$17:AU$531,'Data Pura Producción'!$R$17:$R$531,$Q72,'Data Pura Producción'!$Q$17:$Q$531,$R72)))</f>
        <v/>
      </c>
      <c r="AK72" s="182" t="str">
        <f>+IF($Q72="","",IF(SUMIFS('Data Pura Producción'!AV$17:AV$531,'Data Pura Producción'!$R$17:$R$531,$Q72,'Data Pura Producción'!$Q$17:$Q$531,$R72)=0,"",SUMIFS('Data Pura Producción'!AV$17:AV$531,'Data Pura Producción'!$R$17:$R$531,$Q72,'Data Pura Producción'!$Q$17:$Q$531,$R72)))</f>
        <v/>
      </c>
      <c r="AL72" s="182" t="str">
        <f>+IF($Q72="","",IF(SUMIFS('Data Pura Producción'!AW$17:AW$531,'Data Pura Producción'!$R$17:$R$531,$Q72,'Data Pura Producción'!$Q$17:$Q$531,$R72)=0,"",SUMIFS('Data Pura Producción'!AW$17:AW$531,'Data Pura Producción'!$R$17:$R$531,$Q72,'Data Pura Producción'!$Q$17:$Q$531,$R72)))</f>
        <v/>
      </c>
      <c r="AM72" s="337" t="str">
        <f>+IF($Q72="","",IF(SUMIFS('Data Pura Producción'!AX$17:AX$531,'Data Pura Producción'!$R$17:$R$531,$Q72,'Data Pura Producción'!$Q$17:$Q$531,$R72)=0,"",SUMIFS('Data Pura Producción'!AX$17:AX$531,'Data Pura Producción'!$R$17:$R$531,$Q72,'Data Pura Producción'!$Q$17:$Q$531,$R72)))</f>
        <v/>
      </c>
      <c r="AN72" s="187" t="str">
        <f t="shared" si="4"/>
        <v/>
      </c>
    </row>
    <row r="73" spans="2:40" s="7" customFormat="1" x14ac:dyDescent="0.35">
      <c r="B73" s="4" t="str">
        <f>+IF('Data Pura Costos'!B73="","",'Data Pura Costos'!B73)</f>
        <v>El Descanso</v>
      </c>
      <c r="C73" s="4" t="str">
        <f>+IF('Data Pura Costos'!C73="","",'Data Pura Costos'!C73)</f>
        <v>Sagrada Familia, VII región</v>
      </c>
      <c r="D73" s="5">
        <f>+IF('Data Pura Costos'!D73="","",'Data Pura Costos'!D73)</f>
        <v>22</v>
      </c>
      <c r="E73" s="65">
        <f>+IF('Data Pura Costos'!E73="","",IF('Data Pura Costos'!E73=0,MAX('Data Pura Costos'!$E$7:$E$3000)*1000,'Data Pura Costos'!E73))</f>
        <v>280000</v>
      </c>
      <c r="F73" s="5" t="str">
        <f>+IF('Data Pura Costos'!F73="","",'Data Pura Costos'!F73)</f>
        <v>Molina</v>
      </c>
      <c r="G73" s="5" t="str">
        <f>+IF('Data Pura Costos'!G73="","",'Data Pura Costos'!G73)</f>
        <v xml:space="preserve">GUSTAVO ZÚÑIGA </v>
      </c>
      <c r="H73" s="52" t="str">
        <f>+IF('Data Pura Costos'!H73="","",'Data Pura Costos'!H73)</f>
        <v>Termo</v>
      </c>
      <c r="I73" s="71">
        <f>+IF('Data Pura Costos'!I73="","",'Data Pura Costos'!I73)</f>
        <v>12727.272727272728</v>
      </c>
      <c r="J73" s="52" t="str">
        <f>+IF('Data Pura Costos'!J73="","",'Data Pura Costos'!J73)</f>
        <v>24-25</v>
      </c>
      <c r="K73" s="82" t="str">
        <f t="shared" si="6"/>
        <v xml:space="preserve">El Descanso-Molina-GUSTAVO ZÚÑIGA </v>
      </c>
      <c r="P73" s="1" t="str">
        <f t="shared" si="5"/>
        <v/>
      </c>
      <c r="Q73" s="23"/>
      <c r="R73" s="333"/>
      <c r="S73" s="336" t="str">
        <f>+IF($Q73="","",IF(SUMIFS('Data Pura Producción'!AD$17:AD$531,'Data Pura Producción'!$R$17:$R$531,$Q73,'Data Pura Producción'!$Q$17:$Q$531,$R73)=0,"",SUMIFS('Data Pura Producción'!AD$17:AD$531,'Data Pura Producción'!$R$17:$R$531,$Q73,'Data Pura Producción'!$Q$17:$Q$531,$R73)))</f>
        <v/>
      </c>
      <c r="T73" s="182" t="str">
        <f>+IF($Q73="","",IF(SUMIFS('Data Pura Producción'!AE$17:AE$531,'Data Pura Producción'!$R$17:$R$531,$Q73,'Data Pura Producción'!$Q$17:$Q$531,$R73)=0,"",SUMIFS('Data Pura Producción'!AE$17:AE$531,'Data Pura Producción'!$R$17:$R$531,$Q73,'Data Pura Producción'!$Q$17:$Q$531,$R73)))</f>
        <v/>
      </c>
      <c r="U73" s="182" t="str">
        <f>+IF($Q73="","",IF(SUMIFS('Data Pura Producción'!AF$17:AF$531,'Data Pura Producción'!$R$17:$R$531,$Q73,'Data Pura Producción'!$Q$17:$Q$531,$R73)=0,"",SUMIFS('Data Pura Producción'!AF$17:AF$531,'Data Pura Producción'!$R$17:$R$531,$Q73,'Data Pura Producción'!$Q$17:$Q$531,$R73)))</f>
        <v/>
      </c>
      <c r="V73" s="182" t="str">
        <f>+IF($Q73="","",IF(SUMIFS('Data Pura Producción'!AG$17:AG$531,'Data Pura Producción'!$R$17:$R$531,$Q73,'Data Pura Producción'!$Q$17:$Q$531,$R73)=0,"",SUMIFS('Data Pura Producción'!AG$17:AG$531,'Data Pura Producción'!$R$17:$R$531,$Q73,'Data Pura Producción'!$Q$17:$Q$531,$R73)))</f>
        <v/>
      </c>
      <c r="W73" s="182" t="str">
        <f>+IF($Q73="","",IF(SUMIFS('Data Pura Producción'!AH$17:AH$531,'Data Pura Producción'!$R$17:$R$531,$Q73,'Data Pura Producción'!$Q$17:$Q$531,$R73)=0,"",SUMIFS('Data Pura Producción'!AH$17:AH$531,'Data Pura Producción'!$R$17:$R$531,$Q73,'Data Pura Producción'!$Q$17:$Q$531,$R73)))</f>
        <v/>
      </c>
      <c r="X73" s="182" t="str">
        <f>+IF($Q73="","",IF(SUMIFS('Data Pura Producción'!AI$17:AI$531,'Data Pura Producción'!$R$17:$R$531,$Q73,'Data Pura Producción'!$Q$17:$Q$531,$R73)=0,"",SUMIFS('Data Pura Producción'!AI$17:AI$531,'Data Pura Producción'!$R$17:$R$531,$Q73,'Data Pura Producción'!$Q$17:$Q$531,$R73)))</f>
        <v/>
      </c>
      <c r="Y73" s="182" t="str">
        <f>+IF($Q73="","",IF(SUMIFS('Data Pura Producción'!AJ$17:AJ$531,'Data Pura Producción'!$R$17:$R$531,$Q73,'Data Pura Producción'!$Q$17:$Q$531,$R73)=0,"",SUMIFS('Data Pura Producción'!AJ$17:AJ$531,'Data Pura Producción'!$R$17:$R$531,$Q73,'Data Pura Producción'!$Q$17:$Q$531,$R73)))</f>
        <v/>
      </c>
      <c r="Z73" s="182" t="str">
        <f>+IF($Q73="","",IF(SUMIFS('Data Pura Producción'!AK$17:AK$531,'Data Pura Producción'!$R$17:$R$531,$Q73,'Data Pura Producción'!$Q$17:$Q$531,$R73)=0,"",SUMIFS('Data Pura Producción'!AK$17:AK$531,'Data Pura Producción'!$R$17:$R$531,$Q73,'Data Pura Producción'!$Q$17:$Q$531,$R73)))</f>
        <v/>
      </c>
      <c r="AA73" s="182" t="str">
        <f>+IF($Q73="","",IF(SUMIFS('Data Pura Producción'!AL$17:AL$531,'Data Pura Producción'!$R$17:$R$531,$Q73,'Data Pura Producción'!$Q$17:$Q$531,$R73)=0,"",SUMIFS('Data Pura Producción'!AL$17:AL$531,'Data Pura Producción'!$R$17:$R$531,$Q73,'Data Pura Producción'!$Q$17:$Q$531,$R73)))</f>
        <v/>
      </c>
      <c r="AB73" s="182" t="str">
        <f>+IF($Q73="","",IF(SUMIFS('Data Pura Producción'!AM$17:AM$531,'Data Pura Producción'!$R$17:$R$531,$Q73,'Data Pura Producción'!$Q$17:$Q$531,$R73)=0,"",SUMIFS('Data Pura Producción'!AM$17:AM$531,'Data Pura Producción'!$R$17:$R$531,$Q73,'Data Pura Producción'!$Q$17:$Q$531,$R73)))</f>
        <v/>
      </c>
      <c r="AC73" s="182" t="str">
        <f>+IF($Q73="","",IF(SUMIFS('Data Pura Producción'!AN$17:AN$531,'Data Pura Producción'!$R$17:$R$531,$Q73,'Data Pura Producción'!$Q$17:$Q$531,$R73)=0,"",SUMIFS('Data Pura Producción'!AN$17:AN$531,'Data Pura Producción'!$R$17:$R$531,$Q73,'Data Pura Producción'!$Q$17:$Q$531,$R73)))</f>
        <v/>
      </c>
      <c r="AD73" s="182" t="str">
        <f>+IF($Q73="","",IF(SUMIFS('Data Pura Producción'!AO$17:AO$531,'Data Pura Producción'!$R$17:$R$531,$Q73,'Data Pura Producción'!$Q$17:$Q$531,$R73)=0,"",SUMIFS('Data Pura Producción'!AO$17:AO$531,'Data Pura Producción'!$R$17:$R$531,$Q73,'Data Pura Producción'!$Q$17:$Q$531,$R73)))</f>
        <v/>
      </c>
      <c r="AE73" s="182" t="str">
        <f>+IF($Q73="","",IF(SUMIFS('Data Pura Producción'!AP$17:AP$531,'Data Pura Producción'!$R$17:$R$531,$Q73,'Data Pura Producción'!$Q$17:$Q$531,$R73)=0,"",SUMIFS('Data Pura Producción'!AP$17:AP$531,'Data Pura Producción'!$R$17:$R$531,$Q73,'Data Pura Producción'!$Q$17:$Q$531,$R73)))</f>
        <v/>
      </c>
      <c r="AF73" s="182" t="str">
        <f>+IF($Q73="","",IF(SUMIFS('Data Pura Producción'!AQ$17:AQ$531,'Data Pura Producción'!$R$17:$R$531,$Q73,'Data Pura Producción'!$Q$17:$Q$531,$R73)=0,"",SUMIFS('Data Pura Producción'!AQ$17:AQ$531,'Data Pura Producción'!$R$17:$R$531,$Q73,'Data Pura Producción'!$Q$17:$Q$531,$R73)))</f>
        <v/>
      </c>
      <c r="AG73" s="182" t="str">
        <f>+IF($Q73="","",IF(SUMIFS('Data Pura Producción'!AR$17:AR$531,'Data Pura Producción'!$R$17:$R$531,$Q73,'Data Pura Producción'!$Q$17:$Q$531,$R73)=0,"",SUMIFS('Data Pura Producción'!AR$17:AR$531,'Data Pura Producción'!$R$17:$R$531,$Q73,'Data Pura Producción'!$Q$17:$Q$531,$R73)))</f>
        <v/>
      </c>
      <c r="AH73" s="182" t="str">
        <f>+IF($Q73="","",IF(SUMIFS('Data Pura Producción'!AS$17:AS$531,'Data Pura Producción'!$R$17:$R$531,$Q73,'Data Pura Producción'!$Q$17:$Q$531,$R73)=0,"",SUMIFS('Data Pura Producción'!AS$17:AS$531,'Data Pura Producción'!$R$17:$R$531,$Q73,'Data Pura Producción'!$Q$17:$Q$531,$R73)))</f>
        <v/>
      </c>
      <c r="AI73" s="182" t="str">
        <f>+IF($Q73="","",IF(SUMIFS('Data Pura Producción'!AT$17:AT$531,'Data Pura Producción'!$R$17:$R$531,$Q73,'Data Pura Producción'!$Q$17:$Q$531,$R73)=0,"",SUMIFS('Data Pura Producción'!AT$17:AT$531,'Data Pura Producción'!$R$17:$R$531,$Q73,'Data Pura Producción'!$Q$17:$Q$531,$R73)))</f>
        <v/>
      </c>
      <c r="AJ73" s="182" t="str">
        <f>+IF($Q73="","",IF(SUMIFS('Data Pura Producción'!AU$17:AU$531,'Data Pura Producción'!$R$17:$R$531,$Q73,'Data Pura Producción'!$Q$17:$Q$531,$R73)=0,"",SUMIFS('Data Pura Producción'!AU$17:AU$531,'Data Pura Producción'!$R$17:$R$531,$Q73,'Data Pura Producción'!$Q$17:$Q$531,$R73)))</f>
        <v/>
      </c>
      <c r="AK73" s="182" t="str">
        <f>+IF($Q73="","",IF(SUMIFS('Data Pura Producción'!AV$17:AV$531,'Data Pura Producción'!$R$17:$R$531,$Q73,'Data Pura Producción'!$Q$17:$Q$531,$R73)=0,"",SUMIFS('Data Pura Producción'!AV$17:AV$531,'Data Pura Producción'!$R$17:$R$531,$Q73,'Data Pura Producción'!$Q$17:$Q$531,$R73)))</f>
        <v/>
      </c>
      <c r="AL73" s="182" t="str">
        <f>+IF($Q73="","",IF(SUMIFS('Data Pura Producción'!AW$17:AW$531,'Data Pura Producción'!$R$17:$R$531,$Q73,'Data Pura Producción'!$Q$17:$Q$531,$R73)=0,"",SUMIFS('Data Pura Producción'!AW$17:AW$531,'Data Pura Producción'!$R$17:$R$531,$Q73,'Data Pura Producción'!$Q$17:$Q$531,$R73)))</f>
        <v/>
      </c>
      <c r="AM73" s="337" t="str">
        <f>+IF($Q73="","",IF(SUMIFS('Data Pura Producción'!AX$17:AX$531,'Data Pura Producción'!$R$17:$R$531,$Q73,'Data Pura Producción'!$Q$17:$Q$531,$R73)=0,"",SUMIFS('Data Pura Producción'!AX$17:AX$531,'Data Pura Producción'!$R$17:$R$531,$Q73,'Data Pura Producción'!$Q$17:$Q$531,$R73)))</f>
        <v/>
      </c>
      <c r="AN73" s="187" t="str">
        <f t="shared" si="4"/>
        <v/>
      </c>
    </row>
    <row r="74" spans="2:40" s="7" customFormat="1" x14ac:dyDescent="0.35">
      <c r="B74" s="4" t="str">
        <f>+IF('Data Pura Costos'!B74="","",'Data Pura Costos'!B74)</f>
        <v>El Espino</v>
      </c>
      <c r="C74" s="4" t="str">
        <f>+IF('Data Pura Costos'!C74="","",'Data Pura Costos'!C74)</f>
        <v>Colbún, VII región</v>
      </c>
      <c r="D74" s="5">
        <f>+IF('Data Pura Costos'!D74="","",'Data Pura Costos'!D74)</f>
        <v>100</v>
      </c>
      <c r="E74" s="65">
        <f>+IF('Data Pura Costos'!E74="","",IF('Data Pura Costos'!E74=0,MAX('Data Pura Costos'!$E$7:$E$3000)*1000,'Data Pura Costos'!E74))</f>
        <v>400000</v>
      </c>
      <c r="F74" s="5" t="str">
        <f>+IF('Data Pura Costos'!F74="","",'Data Pura Costos'!F74)</f>
        <v>Molina</v>
      </c>
      <c r="G74" s="5" t="str">
        <f>+IF('Data Pura Costos'!G74="","",'Data Pura Costos'!G74)</f>
        <v xml:space="preserve">GUSTAVO ZÚÑIGA </v>
      </c>
      <c r="H74" s="52" t="str">
        <f>+IF('Data Pura Costos'!H74="","",'Data Pura Costos'!H74)</f>
        <v>Termo</v>
      </c>
      <c r="I74" s="71">
        <f>+IF('Data Pura Costos'!I74="","",'Data Pura Costos'!I74)</f>
        <v>4000</v>
      </c>
      <c r="J74" s="52" t="str">
        <f>+IF('Data Pura Costos'!J74="","",'Data Pura Costos'!J74)</f>
        <v>24-25</v>
      </c>
      <c r="K74" s="82" t="str">
        <f t="shared" si="6"/>
        <v xml:space="preserve">El Espino-Molina-GUSTAVO ZÚÑIGA </v>
      </c>
      <c r="P74" s="1" t="str">
        <f t="shared" si="5"/>
        <v/>
      </c>
      <c r="Q74" s="23"/>
      <c r="R74" s="333"/>
      <c r="S74" s="336" t="str">
        <f>+IF($Q74="","",IF(SUMIFS('Data Pura Producción'!AD$17:AD$531,'Data Pura Producción'!$R$17:$R$531,$Q74,'Data Pura Producción'!$Q$17:$Q$531,$R74)=0,"",SUMIFS('Data Pura Producción'!AD$17:AD$531,'Data Pura Producción'!$R$17:$R$531,$Q74,'Data Pura Producción'!$Q$17:$Q$531,$R74)))</f>
        <v/>
      </c>
      <c r="T74" s="182" t="str">
        <f>+IF($Q74="","",IF(SUMIFS('Data Pura Producción'!AE$17:AE$531,'Data Pura Producción'!$R$17:$R$531,$Q74,'Data Pura Producción'!$Q$17:$Q$531,$R74)=0,"",SUMIFS('Data Pura Producción'!AE$17:AE$531,'Data Pura Producción'!$R$17:$R$531,$Q74,'Data Pura Producción'!$Q$17:$Q$531,$R74)))</f>
        <v/>
      </c>
      <c r="U74" s="182" t="str">
        <f>+IF($Q74="","",IF(SUMIFS('Data Pura Producción'!AF$17:AF$531,'Data Pura Producción'!$R$17:$R$531,$Q74,'Data Pura Producción'!$Q$17:$Q$531,$R74)=0,"",SUMIFS('Data Pura Producción'!AF$17:AF$531,'Data Pura Producción'!$R$17:$R$531,$Q74,'Data Pura Producción'!$Q$17:$Q$531,$R74)))</f>
        <v/>
      </c>
      <c r="V74" s="182" t="str">
        <f>+IF($Q74="","",IF(SUMIFS('Data Pura Producción'!AG$17:AG$531,'Data Pura Producción'!$R$17:$R$531,$Q74,'Data Pura Producción'!$Q$17:$Q$531,$R74)=0,"",SUMIFS('Data Pura Producción'!AG$17:AG$531,'Data Pura Producción'!$R$17:$R$531,$Q74,'Data Pura Producción'!$Q$17:$Q$531,$R74)))</f>
        <v/>
      </c>
      <c r="W74" s="182" t="str">
        <f>+IF($Q74="","",IF(SUMIFS('Data Pura Producción'!AH$17:AH$531,'Data Pura Producción'!$R$17:$R$531,$Q74,'Data Pura Producción'!$Q$17:$Q$531,$R74)=0,"",SUMIFS('Data Pura Producción'!AH$17:AH$531,'Data Pura Producción'!$R$17:$R$531,$Q74,'Data Pura Producción'!$Q$17:$Q$531,$R74)))</f>
        <v/>
      </c>
      <c r="X74" s="182" t="str">
        <f>+IF($Q74="","",IF(SUMIFS('Data Pura Producción'!AI$17:AI$531,'Data Pura Producción'!$R$17:$R$531,$Q74,'Data Pura Producción'!$Q$17:$Q$531,$R74)=0,"",SUMIFS('Data Pura Producción'!AI$17:AI$531,'Data Pura Producción'!$R$17:$R$531,$Q74,'Data Pura Producción'!$Q$17:$Q$531,$R74)))</f>
        <v/>
      </c>
      <c r="Y74" s="182" t="str">
        <f>+IF($Q74="","",IF(SUMIFS('Data Pura Producción'!AJ$17:AJ$531,'Data Pura Producción'!$R$17:$R$531,$Q74,'Data Pura Producción'!$Q$17:$Q$531,$R74)=0,"",SUMIFS('Data Pura Producción'!AJ$17:AJ$531,'Data Pura Producción'!$R$17:$R$531,$Q74,'Data Pura Producción'!$Q$17:$Q$531,$R74)))</f>
        <v/>
      </c>
      <c r="Z74" s="182" t="str">
        <f>+IF($Q74="","",IF(SUMIFS('Data Pura Producción'!AK$17:AK$531,'Data Pura Producción'!$R$17:$R$531,$Q74,'Data Pura Producción'!$Q$17:$Q$531,$R74)=0,"",SUMIFS('Data Pura Producción'!AK$17:AK$531,'Data Pura Producción'!$R$17:$R$531,$Q74,'Data Pura Producción'!$Q$17:$Q$531,$R74)))</f>
        <v/>
      </c>
      <c r="AA74" s="182" t="str">
        <f>+IF($Q74="","",IF(SUMIFS('Data Pura Producción'!AL$17:AL$531,'Data Pura Producción'!$R$17:$R$531,$Q74,'Data Pura Producción'!$Q$17:$Q$531,$R74)=0,"",SUMIFS('Data Pura Producción'!AL$17:AL$531,'Data Pura Producción'!$R$17:$R$531,$Q74,'Data Pura Producción'!$Q$17:$Q$531,$R74)))</f>
        <v/>
      </c>
      <c r="AB74" s="182" t="str">
        <f>+IF($Q74="","",IF(SUMIFS('Data Pura Producción'!AM$17:AM$531,'Data Pura Producción'!$R$17:$R$531,$Q74,'Data Pura Producción'!$Q$17:$Q$531,$R74)=0,"",SUMIFS('Data Pura Producción'!AM$17:AM$531,'Data Pura Producción'!$R$17:$R$531,$Q74,'Data Pura Producción'!$Q$17:$Q$531,$R74)))</f>
        <v/>
      </c>
      <c r="AC74" s="182" t="str">
        <f>+IF($Q74="","",IF(SUMIFS('Data Pura Producción'!AN$17:AN$531,'Data Pura Producción'!$R$17:$R$531,$Q74,'Data Pura Producción'!$Q$17:$Q$531,$R74)=0,"",SUMIFS('Data Pura Producción'!AN$17:AN$531,'Data Pura Producción'!$R$17:$R$531,$Q74,'Data Pura Producción'!$Q$17:$Q$531,$R74)))</f>
        <v/>
      </c>
      <c r="AD74" s="182" t="str">
        <f>+IF($Q74="","",IF(SUMIFS('Data Pura Producción'!AO$17:AO$531,'Data Pura Producción'!$R$17:$R$531,$Q74,'Data Pura Producción'!$Q$17:$Q$531,$R74)=0,"",SUMIFS('Data Pura Producción'!AO$17:AO$531,'Data Pura Producción'!$R$17:$R$531,$Q74,'Data Pura Producción'!$Q$17:$Q$531,$R74)))</f>
        <v/>
      </c>
      <c r="AE74" s="182" t="str">
        <f>+IF($Q74="","",IF(SUMIFS('Data Pura Producción'!AP$17:AP$531,'Data Pura Producción'!$R$17:$R$531,$Q74,'Data Pura Producción'!$Q$17:$Q$531,$R74)=0,"",SUMIFS('Data Pura Producción'!AP$17:AP$531,'Data Pura Producción'!$R$17:$R$531,$Q74,'Data Pura Producción'!$Q$17:$Q$531,$R74)))</f>
        <v/>
      </c>
      <c r="AF74" s="182" t="str">
        <f>+IF($Q74="","",IF(SUMIFS('Data Pura Producción'!AQ$17:AQ$531,'Data Pura Producción'!$R$17:$R$531,$Q74,'Data Pura Producción'!$Q$17:$Q$531,$R74)=0,"",SUMIFS('Data Pura Producción'!AQ$17:AQ$531,'Data Pura Producción'!$R$17:$R$531,$Q74,'Data Pura Producción'!$Q$17:$Q$531,$R74)))</f>
        <v/>
      </c>
      <c r="AG74" s="182" t="str">
        <f>+IF($Q74="","",IF(SUMIFS('Data Pura Producción'!AR$17:AR$531,'Data Pura Producción'!$R$17:$R$531,$Q74,'Data Pura Producción'!$Q$17:$Q$531,$R74)=0,"",SUMIFS('Data Pura Producción'!AR$17:AR$531,'Data Pura Producción'!$R$17:$R$531,$Q74,'Data Pura Producción'!$Q$17:$Q$531,$R74)))</f>
        <v/>
      </c>
      <c r="AH74" s="182" t="str">
        <f>+IF($Q74="","",IF(SUMIFS('Data Pura Producción'!AS$17:AS$531,'Data Pura Producción'!$R$17:$R$531,$Q74,'Data Pura Producción'!$Q$17:$Q$531,$R74)=0,"",SUMIFS('Data Pura Producción'!AS$17:AS$531,'Data Pura Producción'!$R$17:$R$531,$Q74,'Data Pura Producción'!$Q$17:$Q$531,$R74)))</f>
        <v/>
      </c>
      <c r="AI74" s="182" t="str">
        <f>+IF($Q74="","",IF(SUMIFS('Data Pura Producción'!AT$17:AT$531,'Data Pura Producción'!$R$17:$R$531,$Q74,'Data Pura Producción'!$Q$17:$Q$531,$R74)=0,"",SUMIFS('Data Pura Producción'!AT$17:AT$531,'Data Pura Producción'!$R$17:$R$531,$Q74,'Data Pura Producción'!$Q$17:$Q$531,$R74)))</f>
        <v/>
      </c>
      <c r="AJ74" s="182" t="str">
        <f>+IF($Q74="","",IF(SUMIFS('Data Pura Producción'!AU$17:AU$531,'Data Pura Producción'!$R$17:$R$531,$Q74,'Data Pura Producción'!$Q$17:$Q$531,$R74)=0,"",SUMIFS('Data Pura Producción'!AU$17:AU$531,'Data Pura Producción'!$R$17:$R$531,$Q74,'Data Pura Producción'!$Q$17:$Q$531,$R74)))</f>
        <v/>
      </c>
      <c r="AK74" s="182" t="str">
        <f>+IF($Q74="","",IF(SUMIFS('Data Pura Producción'!AV$17:AV$531,'Data Pura Producción'!$R$17:$R$531,$Q74,'Data Pura Producción'!$Q$17:$Q$531,$R74)=0,"",SUMIFS('Data Pura Producción'!AV$17:AV$531,'Data Pura Producción'!$R$17:$R$531,$Q74,'Data Pura Producción'!$Q$17:$Q$531,$R74)))</f>
        <v/>
      </c>
      <c r="AL74" s="182" t="str">
        <f>+IF($Q74="","",IF(SUMIFS('Data Pura Producción'!AW$17:AW$531,'Data Pura Producción'!$R$17:$R$531,$Q74,'Data Pura Producción'!$Q$17:$Q$531,$R74)=0,"",SUMIFS('Data Pura Producción'!AW$17:AW$531,'Data Pura Producción'!$R$17:$R$531,$Q74,'Data Pura Producción'!$Q$17:$Q$531,$R74)))</f>
        <v/>
      </c>
      <c r="AM74" s="337" t="str">
        <f>+IF($Q74="","",IF(SUMIFS('Data Pura Producción'!AX$17:AX$531,'Data Pura Producción'!$R$17:$R$531,$Q74,'Data Pura Producción'!$Q$17:$Q$531,$R74)=0,"",SUMIFS('Data Pura Producción'!AX$17:AX$531,'Data Pura Producción'!$R$17:$R$531,$Q74,'Data Pura Producción'!$Q$17:$Q$531,$R74)))</f>
        <v/>
      </c>
      <c r="AN74" s="187" t="str">
        <f t="shared" si="4"/>
        <v/>
      </c>
    </row>
    <row r="75" spans="2:40" s="7" customFormat="1" x14ac:dyDescent="0.35">
      <c r="B75" s="4" t="str">
        <f>+IF('Data Pura Costos'!B75="","",'Data Pura Costos'!B75)</f>
        <v>El Huaico</v>
      </c>
      <c r="C75" s="4" t="str">
        <f>+IF('Data Pura Costos'!C75="","",'Data Pura Costos'!C75)</f>
        <v>Palmila Ohiggins</v>
      </c>
      <c r="D75" s="5">
        <f>+IF('Data Pura Costos'!D75="","",'Data Pura Costos'!D75)</f>
        <v>85</v>
      </c>
      <c r="E75" s="65">
        <f>+IF('Data Pura Costos'!E75="","",IF('Data Pura Costos'!E75=0,MAX('Data Pura Costos'!$E$7:$E$3000)*1000,'Data Pura Costos'!E75))</f>
        <v>360000</v>
      </c>
      <c r="F75" s="5" t="str">
        <f>+IF('Data Pura Costos'!F75="","",'Data Pura Costos'!F75)</f>
        <v>Molina</v>
      </c>
      <c r="G75" s="5" t="str">
        <f>+IF('Data Pura Costos'!G75="","",'Data Pura Costos'!G75)</f>
        <v xml:space="preserve">GUSTAVO ZÚÑIGA </v>
      </c>
      <c r="H75" s="52" t="str">
        <f>+IF('Data Pura Costos'!H75="","",'Data Pura Costos'!H75)</f>
        <v>Termo</v>
      </c>
      <c r="I75" s="71">
        <f>+IF('Data Pura Costos'!I75="","",'Data Pura Costos'!I75)</f>
        <v>4235.2941176470586</v>
      </c>
      <c r="J75" s="52" t="str">
        <f>+IF('Data Pura Costos'!J75="","",'Data Pura Costos'!J75)</f>
        <v>24-25</v>
      </c>
      <c r="K75" s="82" t="str">
        <f t="shared" si="6"/>
        <v xml:space="preserve">El Huaico-Molina-GUSTAVO ZÚÑIGA </v>
      </c>
      <c r="P75" s="1" t="str">
        <f t="shared" si="5"/>
        <v/>
      </c>
      <c r="Q75" s="23"/>
      <c r="R75" s="333"/>
      <c r="S75" s="336" t="str">
        <f>+IF($Q75="","",IF(SUMIFS('Data Pura Producción'!AD$17:AD$531,'Data Pura Producción'!$R$17:$R$531,$Q75,'Data Pura Producción'!$Q$17:$Q$531,$R75)=0,"",SUMIFS('Data Pura Producción'!AD$17:AD$531,'Data Pura Producción'!$R$17:$R$531,$Q75,'Data Pura Producción'!$Q$17:$Q$531,$R75)))</f>
        <v/>
      </c>
      <c r="T75" s="182" t="str">
        <f>+IF($Q75="","",IF(SUMIFS('Data Pura Producción'!AE$17:AE$531,'Data Pura Producción'!$R$17:$R$531,$Q75,'Data Pura Producción'!$Q$17:$Q$531,$R75)=0,"",SUMIFS('Data Pura Producción'!AE$17:AE$531,'Data Pura Producción'!$R$17:$R$531,$Q75,'Data Pura Producción'!$Q$17:$Q$531,$R75)))</f>
        <v/>
      </c>
      <c r="U75" s="182" t="str">
        <f>+IF($Q75="","",IF(SUMIFS('Data Pura Producción'!AF$17:AF$531,'Data Pura Producción'!$R$17:$R$531,$Q75,'Data Pura Producción'!$Q$17:$Q$531,$R75)=0,"",SUMIFS('Data Pura Producción'!AF$17:AF$531,'Data Pura Producción'!$R$17:$R$531,$Q75,'Data Pura Producción'!$Q$17:$Q$531,$R75)))</f>
        <v/>
      </c>
      <c r="V75" s="182" t="str">
        <f>+IF($Q75="","",IF(SUMIFS('Data Pura Producción'!AG$17:AG$531,'Data Pura Producción'!$R$17:$R$531,$Q75,'Data Pura Producción'!$Q$17:$Q$531,$R75)=0,"",SUMIFS('Data Pura Producción'!AG$17:AG$531,'Data Pura Producción'!$R$17:$R$531,$Q75,'Data Pura Producción'!$Q$17:$Q$531,$R75)))</f>
        <v/>
      </c>
      <c r="W75" s="182" t="str">
        <f>+IF($Q75="","",IF(SUMIFS('Data Pura Producción'!AH$17:AH$531,'Data Pura Producción'!$R$17:$R$531,$Q75,'Data Pura Producción'!$Q$17:$Q$531,$R75)=0,"",SUMIFS('Data Pura Producción'!AH$17:AH$531,'Data Pura Producción'!$R$17:$R$531,$Q75,'Data Pura Producción'!$Q$17:$Q$531,$R75)))</f>
        <v/>
      </c>
      <c r="X75" s="182" t="str">
        <f>+IF($Q75="","",IF(SUMIFS('Data Pura Producción'!AI$17:AI$531,'Data Pura Producción'!$R$17:$R$531,$Q75,'Data Pura Producción'!$Q$17:$Q$531,$R75)=0,"",SUMIFS('Data Pura Producción'!AI$17:AI$531,'Data Pura Producción'!$R$17:$R$531,$Q75,'Data Pura Producción'!$Q$17:$Q$531,$R75)))</f>
        <v/>
      </c>
      <c r="Y75" s="182" t="str">
        <f>+IF($Q75="","",IF(SUMIFS('Data Pura Producción'!AJ$17:AJ$531,'Data Pura Producción'!$R$17:$R$531,$Q75,'Data Pura Producción'!$Q$17:$Q$531,$R75)=0,"",SUMIFS('Data Pura Producción'!AJ$17:AJ$531,'Data Pura Producción'!$R$17:$R$531,$Q75,'Data Pura Producción'!$Q$17:$Q$531,$R75)))</f>
        <v/>
      </c>
      <c r="Z75" s="182" t="str">
        <f>+IF($Q75="","",IF(SUMIFS('Data Pura Producción'!AK$17:AK$531,'Data Pura Producción'!$R$17:$R$531,$Q75,'Data Pura Producción'!$Q$17:$Q$531,$R75)=0,"",SUMIFS('Data Pura Producción'!AK$17:AK$531,'Data Pura Producción'!$R$17:$R$531,$Q75,'Data Pura Producción'!$Q$17:$Q$531,$R75)))</f>
        <v/>
      </c>
      <c r="AA75" s="182" t="str">
        <f>+IF($Q75="","",IF(SUMIFS('Data Pura Producción'!AL$17:AL$531,'Data Pura Producción'!$R$17:$R$531,$Q75,'Data Pura Producción'!$Q$17:$Q$531,$R75)=0,"",SUMIFS('Data Pura Producción'!AL$17:AL$531,'Data Pura Producción'!$R$17:$R$531,$Q75,'Data Pura Producción'!$Q$17:$Q$531,$R75)))</f>
        <v/>
      </c>
      <c r="AB75" s="182" t="str">
        <f>+IF($Q75="","",IF(SUMIFS('Data Pura Producción'!AM$17:AM$531,'Data Pura Producción'!$R$17:$R$531,$Q75,'Data Pura Producción'!$Q$17:$Q$531,$R75)=0,"",SUMIFS('Data Pura Producción'!AM$17:AM$531,'Data Pura Producción'!$R$17:$R$531,$Q75,'Data Pura Producción'!$Q$17:$Q$531,$R75)))</f>
        <v/>
      </c>
      <c r="AC75" s="182" t="str">
        <f>+IF($Q75="","",IF(SUMIFS('Data Pura Producción'!AN$17:AN$531,'Data Pura Producción'!$R$17:$R$531,$Q75,'Data Pura Producción'!$Q$17:$Q$531,$R75)=0,"",SUMIFS('Data Pura Producción'!AN$17:AN$531,'Data Pura Producción'!$R$17:$R$531,$Q75,'Data Pura Producción'!$Q$17:$Q$531,$R75)))</f>
        <v/>
      </c>
      <c r="AD75" s="182" t="str">
        <f>+IF($Q75="","",IF(SUMIFS('Data Pura Producción'!AO$17:AO$531,'Data Pura Producción'!$R$17:$R$531,$Q75,'Data Pura Producción'!$Q$17:$Q$531,$R75)=0,"",SUMIFS('Data Pura Producción'!AO$17:AO$531,'Data Pura Producción'!$R$17:$R$531,$Q75,'Data Pura Producción'!$Q$17:$Q$531,$R75)))</f>
        <v/>
      </c>
      <c r="AE75" s="182" t="str">
        <f>+IF($Q75="","",IF(SUMIFS('Data Pura Producción'!AP$17:AP$531,'Data Pura Producción'!$R$17:$R$531,$Q75,'Data Pura Producción'!$Q$17:$Q$531,$R75)=0,"",SUMIFS('Data Pura Producción'!AP$17:AP$531,'Data Pura Producción'!$R$17:$R$531,$Q75,'Data Pura Producción'!$Q$17:$Q$531,$R75)))</f>
        <v/>
      </c>
      <c r="AF75" s="182" t="str">
        <f>+IF($Q75="","",IF(SUMIFS('Data Pura Producción'!AQ$17:AQ$531,'Data Pura Producción'!$R$17:$R$531,$Q75,'Data Pura Producción'!$Q$17:$Q$531,$R75)=0,"",SUMIFS('Data Pura Producción'!AQ$17:AQ$531,'Data Pura Producción'!$R$17:$R$531,$Q75,'Data Pura Producción'!$Q$17:$Q$531,$R75)))</f>
        <v/>
      </c>
      <c r="AG75" s="182" t="str">
        <f>+IF($Q75="","",IF(SUMIFS('Data Pura Producción'!AR$17:AR$531,'Data Pura Producción'!$R$17:$R$531,$Q75,'Data Pura Producción'!$Q$17:$Q$531,$R75)=0,"",SUMIFS('Data Pura Producción'!AR$17:AR$531,'Data Pura Producción'!$R$17:$R$531,$Q75,'Data Pura Producción'!$Q$17:$Q$531,$R75)))</f>
        <v/>
      </c>
      <c r="AH75" s="182" t="str">
        <f>+IF($Q75="","",IF(SUMIFS('Data Pura Producción'!AS$17:AS$531,'Data Pura Producción'!$R$17:$R$531,$Q75,'Data Pura Producción'!$Q$17:$Q$531,$R75)=0,"",SUMIFS('Data Pura Producción'!AS$17:AS$531,'Data Pura Producción'!$R$17:$R$531,$Q75,'Data Pura Producción'!$Q$17:$Q$531,$R75)))</f>
        <v/>
      </c>
      <c r="AI75" s="182" t="str">
        <f>+IF($Q75="","",IF(SUMIFS('Data Pura Producción'!AT$17:AT$531,'Data Pura Producción'!$R$17:$R$531,$Q75,'Data Pura Producción'!$Q$17:$Q$531,$R75)=0,"",SUMIFS('Data Pura Producción'!AT$17:AT$531,'Data Pura Producción'!$R$17:$R$531,$Q75,'Data Pura Producción'!$Q$17:$Q$531,$R75)))</f>
        <v/>
      </c>
      <c r="AJ75" s="182" t="str">
        <f>+IF($Q75="","",IF(SUMIFS('Data Pura Producción'!AU$17:AU$531,'Data Pura Producción'!$R$17:$R$531,$Q75,'Data Pura Producción'!$Q$17:$Q$531,$R75)=0,"",SUMIFS('Data Pura Producción'!AU$17:AU$531,'Data Pura Producción'!$R$17:$R$531,$Q75,'Data Pura Producción'!$Q$17:$Q$531,$R75)))</f>
        <v/>
      </c>
      <c r="AK75" s="182" t="str">
        <f>+IF($Q75="","",IF(SUMIFS('Data Pura Producción'!AV$17:AV$531,'Data Pura Producción'!$R$17:$R$531,$Q75,'Data Pura Producción'!$Q$17:$Q$531,$R75)=0,"",SUMIFS('Data Pura Producción'!AV$17:AV$531,'Data Pura Producción'!$R$17:$R$531,$Q75,'Data Pura Producción'!$Q$17:$Q$531,$R75)))</f>
        <v/>
      </c>
      <c r="AL75" s="182" t="str">
        <f>+IF($Q75="","",IF(SUMIFS('Data Pura Producción'!AW$17:AW$531,'Data Pura Producción'!$R$17:$R$531,$Q75,'Data Pura Producción'!$Q$17:$Q$531,$R75)=0,"",SUMIFS('Data Pura Producción'!AW$17:AW$531,'Data Pura Producción'!$R$17:$R$531,$Q75,'Data Pura Producción'!$Q$17:$Q$531,$R75)))</f>
        <v/>
      </c>
      <c r="AM75" s="337" t="str">
        <f>+IF($Q75="","",IF(SUMIFS('Data Pura Producción'!AX$17:AX$531,'Data Pura Producción'!$R$17:$R$531,$Q75,'Data Pura Producción'!$Q$17:$Q$531,$R75)=0,"",SUMIFS('Data Pura Producción'!AX$17:AX$531,'Data Pura Producción'!$R$17:$R$531,$Q75,'Data Pura Producción'!$Q$17:$Q$531,$R75)))</f>
        <v/>
      </c>
      <c r="AN75" s="187" t="str">
        <f t="shared" si="4"/>
        <v/>
      </c>
    </row>
    <row r="76" spans="2:40" s="7" customFormat="1" x14ac:dyDescent="0.35">
      <c r="B76" s="4" t="str">
        <f>+IF('Data Pura Costos'!B76="","",'Data Pura Costos'!B76)</f>
        <v>El Parque</v>
      </c>
      <c r="C76" s="4" t="str">
        <f>+IF('Data Pura Costos'!C76="","",'Data Pura Costos'!C76)</f>
        <v>San Francisco de Mostazal.VI Region.</v>
      </c>
      <c r="D76" s="5">
        <f>+IF('Data Pura Costos'!D76="","",'Data Pura Costos'!D76)</f>
        <v>144</v>
      </c>
      <c r="E76" s="65">
        <f>+IF('Data Pura Costos'!E76="","",IF('Data Pura Costos'!E76=0,MAX('Data Pura Costos'!$E$7:$E$3000)*1000,'Data Pura Costos'!E76))</f>
        <v>460000</v>
      </c>
      <c r="F76" s="5" t="str">
        <f>+IF('Data Pura Costos'!F76="","",'Data Pura Costos'!F76)</f>
        <v>Molina</v>
      </c>
      <c r="G76" s="5" t="str">
        <f>+IF('Data Pura Costos'!G76="","",'Data Pura Costos'!G76)</f>
        <v xml:space="preserve">GUSTAVO ZÚÑIGA </v>
      </c>
      <c r="H76" s="52" t="str">
        <f>+IF('Data Pura Costos'!H76="","",'Data Pura Costos'!H76)</f>
        <v>Termo</v>
      </c>
      <c r="I76" s="71">
        <f>+IF('Data Pura Costos'!I76="","",'Data Pura Costos'!I76)</f>
        <v>3194.4444444444443</v>
      </c>
      <c r="J76" s="52" t="str">
        <f>+IF('Data Pura Costos'!J76="","",'Data Pura Costos'!J76)</f>
        <v>24-25</v>
      </c>
      <c r="K76" s="82" t="str">
        <f t="shared" si="6"/>
        <v xml:space="preserve">El Parque-Molina-GUSTAVO ZÚÑIGA </v>
      </c>
      <c r="P76" s="1" t="str">
        <f t="shared" si="5"/>
        <v/>
      </c>
      <c r="Q76" s="23"/>
      <c r="R76" s="333"/>
      <c r="S76" s="336" t="str">
        <f>+IF($Q76="","",IF(SUMIFS('Data Pura Producción'!AD$17:AD$531,'Data Pura Producción'!$R$17:$R$531,$Q76,'Data Pura Producción'!$Q$17:$Q$531,$R76)=0,"",SUMIFS('Data Pura Producción'!AD$17:AD$531,'Data Pura Producción'!$R$17:$R$531,$Q76,'Data Pura Producción'!$Q$17:$Q$531,$R76)))</f>
        <v/>
      </c>
      <c r="T76" s="182" t="str">
        <f>+IF($Q76="","",IF(SUMIFS('Data Pura Producción'!AE$17:AE$531,'Data Pura Producción'!$R$17:$R$531,$Q76,'Data Pura Producción'!$Q$17:$Q$531,$R76)=0,"",SUMIFS('Data Pura Producción'!AE$17:AE$531,'Data Pura Producción'!$R$17:$R$531,$Q76,'Data Pura Producción'!$Q$17:$Q$531,$R76)))</f>
        <v/>
      </c>
      <c r="U76" s="182" t="str">
        <f>+IF($Q76="","",IF(SUMIFS('Data Pura Producción'!AF$17:AF$531,'Data Pura Producción'!$R$17:$R$531,$Q76,'Data Pura Producción'!$Q$17:$Q$531,$R76)=0,"",SUMIFS('Data Pura Producción'!AF$17:AF$531,'Data Pura Producción'!$R$17:$R$531,$Q76,'Data Pura Producción'!$Q$17:$Q$531,$R76)))</f>
        <v/>
      </c>
      <c r="V76" s="182" t="str">
        <f>+IF($Q76="","",IF(SUMIFS('Data Pura Producción'!AG$17:AG$531,'Data Pura Producción'!$R$17:$R$531,$Q76,'Data Pura Producción'!$Q$17:$Q$531,$R76)=0,"",SUMIFS('Data Pura Producción'!AG$17:AG$531,'Data Pura Producción'!$R$17:$R$531,$Q76,'Data Pura Producción'!$Q$17:$Q$531,$R76)))</f>
        <v/>
      </c>
      <c r="W76" s="182" t="str">
        <f>+IF($Q76="","",IF(SUMIFS('Data Pura Producción'!AH$17:AH$531,'Data Pura Producción'!$R$17:$R$531,$Q76,'Data Pura Producción'!$Q$17:$Q$531,$R76)=0,"",SUMIFS('Data Pura Producción'!AH$17:AH$531,'Data Pura Producción'!$R$17:$R$531,$Q76,'Data Pura Producción'!$Q$17:$Q$531,$R76)))</f>
        <v/>
      </c>
      <c r="X76" s="182" t="str">
        <f>+IF($Q76="","",IF(SUMIFS('Data Pura Producción'!AI$17:AI$531,'Data Pura Producción'!$R$17:$R$531,$Q76,'Data Pura Producción'!$Q$17:$Q$531,$R76)=0,"",SUMIFS('Data Pura Producción'!AI$17:AI$531,'Data Pura Producción'!$R$17:$R$531,$Q76,'Data Pura Producción'!$Q$17:$Q$531,$R76)))</f>
        <v/>
      </c>
      <c r="Y76" s="182" t="str">
        <f>+IF($Q76="","",IF(SUMIFS('Data Pura Producción'!AJ$17:AJ$531,'Data Pura Producción'!$R$17:$R$531,$Q76,'Data Pura Producción'!$Q$17:$Q$531,$R76)=0,"",SUMIFS('Data Pura Producción'!AJ$17:AJ$531,'Data Pura Producción'!$R$17:$R$531,$Q76,'Data Pura Producción'!$Q$17:$Q$531,$R76)))</f>
        <v/>
      </c>
      <c r="Z76" s="182" t="str">
        <f>+IF($Q76="","",IF(SUMIFS('Data Pura Producción'!AK$17:AK$531,'Data Pura Producción'!$R$17:$R$531,$Q76,'Data Pura Producción'!$Q$17:$Q$531,$R76)=0,"",SUMIFS('Data Pura Producción'!AK$17:AK$531,'Data Pura Producción'!$R$17:$R$531,$Q76,'Data Pura Producción'!$Q$17:$Q$531,$R76)))</f>
        <v/>
      </c>
      <c r="AA76" s="182" t="str">
        <f>+IF($Q76="","",IF(SUMIFS('Data Pura Producción'!AL$17:AL$531,'Data Pura Producción'!$R$17:$R$531,$Q76,'Data Pura Producción'!$Q$17:$Q$531,$R76)=0,"",SUMIFS('Data Pura Producción'!AL$17:AL$531,'Data Pura Producción'!$R$17:$R$531,$Q76,'Data Pura Producción'!$Q$17:$Q$531,$R76)))</f>
        <v/>
      </c>
      <c r="AB76" s="182" t="str">
        <f>+IF($Q76="","",IF(SUMIFS('Data Pura Producción'!AM$17:AM$531,'Data Pura Producción'!$R$17:$R$531,$Q76,'Data Pura Producción'!$Q$17:$Q$531,$R76)=0,"",SUMIFS('Data Pura Producción'!AM$17:AM$531,'Data Pura Producción'!$R$17:$R$531,$Q76,'Data Pura Producción'!$Q$17:$Q$531,$R76)))</f>
        <v/>
      </c>
      <c r="AC76" s="182" t="str">
        <f>+IF($Q76="","",IF(SUMIFS('Data Pura Producción'!AN$17:AN$531,'Data Pura Producción'!$R$17:$R$531,$Q76,'Data Pura Producción'!$Q$17:$Q$531,$R76)=0,"",SUMIFS('Data Pura Producción'!AN$17:AN$531,'Data Pura Producción'!$R$17:$R$531,$Q76,'Data Pura Producción'!$Q$17:$Q$531,$R76)))</f>
        <v/>
      </c>
      <c r="AD76" s="182" t="str">
        <f>+IF($Q76="","",IF(SUMIFS('Data Pura Producción'!AO$17:AO$531,'Data Pura Producción'!$R$17:$R$531,$Q76,'Data Pura Producción'!$Q$17:$Q$531,$R76)=0,"",SUMIFS('Data Pura Producción'!AO$17:AO$531,'Data Pura Producción'!$R$17:$R$531,$Q76,'Data Pura Producción'!$Q$17:$Q$531,$R76)))</f>
        <v/>
      </c>
      <c r="AE76" s="182" t="str">
        <f>+IF($Q76="","",IF(SUMIFS('Data Pura Producción'!AP$17:AP$531,'Data Pura Producción'!$R$17:$R$531,$Q76,'Data Pura Producción'!$Q$17:$Q$531,$R76)=0,"",SUMIFS('Data Pura Producción'!AP$17:AP$531,'Data Pura Producción'!$R$17:$R$531,$Q76,'Data Pura Producción'!$Q$17:$Q$531,$R76)))</f>
        <v/>
      </c>
      <c r="AF76" s="182" t="str">
        <f>+IF($Q76="","",IF(SUMIFS('Data Pura Producción'!AQ$17:AQ$531,'Data Pura Producción'!$R$17:$R$531,$Q76,'Data Pura Producción'!$Q$17:$Q$531,$R76)=0,"",SUMIFS('Data Pura Producción'!AQ$17:AQ$531,'Data Pura Producción'!$R$17:$R$531,$Q76,'Data Pura Producción'!$Q$17:$Q$531,$R76)))</f>
        <v/>
      </c>
      <c r="AG76" s="182" t="str">
        <f>+IF($Q76="","",IF(SUMIFS('Data Pura Producción'!AR$17:AR$531,'Data Pura Producción'!$R$17:$R$531,$Q76,'Data Pura Producción'!$Q$17:$Q$531,$R76)=0,"",SUMIFS('Data Pura Producción'!AR$17:AR$531,'Data Pura Producción'!$R$17:$R$531,$Q76,'Data Pura Producción'!$Q$17:$Q$531,$R76)))</f>
        <v/>
      </c>
      <c r="AH76" s="182" t="str">
        <f>+IF($Q76="","",IF(SUMIFS('Data Pura Producción'!AS$17:AS$531,'Data Pura Producción'!$R$17:$R$531,$Q76,'Data Pura Producción'!$Q$17:$Q$531,$R76)=0,"",SUMIFS('Data Pura Producción'!AS$17:AS$531,'Data Pura Producción'!$R$17:$R$531,$Q76,'Data Pura Producción'!$Q$17:$Q$531,$R76)))</f>
        <v/>
      </c>
      <c r="AI76" s="182" t="str">
        <f>+IF($Q76="","",IF(SUMIFS('Data Pura Producción'!AT$17:AT$531,'Data Pura Producción'!$R$17:$R$531,$Q76,'Data Pura Producción'!$Q$17:$Q$531,$R76)=0,"",SUMIFS('Data Pura Producción'!AT$17:AT$531,'Data Pura Producción'!$R$17:$R$531,$Q76,'Data Pura Producción'!$Q$17:$Q$531,$R76)))</f>
        <v/>
      </c>
      <c r="AJ76" s="182" t="str">
        <f>+IF($Q76="","",IF(SUMIFS('Data Pura Producción'!AU$17:AU$531,'Data Pura Producción'!$R$17:$R$531,$Q76,'Data Pura Producción'!$Q$17:$Q$531,$R76)=0,"",SUMIFS('Data Pura Producción'!AU$17:AU$531,'Data Pura Producción'!$R$17:$R$531,$Q76,'Data Pura Producción'!$Q$17:$Q$531,$R76)))</f>
        <v/>
      </c>
      <c r="AK76" s="182" t="str">
        <f>+IF($Q76="","",IF(SUMIFS('Data Pura Producción'!AV$17:AV$531,'Data Pura Producción'!$R$17:$R$531,$Q76,'Data Pura Producción'!$Q$17:$Q$531,$R76)=0,"",SUMIFS('Data Pura Producción'!AV$17:AV$531,'Data Pura Producción'!$R$17:$R$531,$Q76,'Data Pura Producción'!$Q$17:$Q$531,$R76)))</f>
        <v/>
      </c>
      <c r="AL76" s="182" t="str">
        <f>+IF($Q76="","",IF(SUMIFS('Data Pura Producción'!AW$17:AW$531,'Data Pura Producción'!$R$17:$R$531,$Q76,'Data Pura Producción'!$Q$17:$Q$531,$R76)=0,"",SUMIFS('Data Pura Producción'!AW$17:AW$531,'Data Pura Producción'!$R$17:$R$531,$Q76,'Data Pura Producción'!$Q$17:$Q$531,$R76)))</f>
        <v/>
      </c>
      <c r="AM76" s="337" t="str">
        <f>+IF($Q76="","",IF(SUMIFS('Data Pura Producción'!AX$17:AX$531,'Data Pura Producción'!$R$17:$R$531,$Q76,'Data Pura Producción'!$Q$17:$Q$531,$R76)=0,"",SUMIFS('Data Pura Producción'!AX$17:AX$531,'Data Pura Producción'!$R$17:$R$531,$Q76,'Data Pura Producción'!$Q$17:$Q$531,$R76)))</f>
        <v/>
      </c>
      <c r="AN76" s="187" t="str">
        <f t="shared" si="4"/>
        <v/>
      </c>
    </row>
    <row r="77" spans="2:40" s="7" customFormat="1" x14ac:dyDescent="0.35">
      <c r="B77" s="4" t="str">
        <f>+IF('Data Pura Costos'!B77="","",'Data Pura Costos'!B77)</f>
        <v>El Picaso</v>
      </c>
      <c r="C77" s="4" t="str">
        <f>+IF('Data Pura Costos'!C77="","",'Data Pura Costos'!C77)</f>
        <v xml:space="preserve">San Clemente, VII región </v>
      </c>
      <c r="D77" s="5">
        <f>+IF('Data Pura Costos'!D77="","",'Data Pura Costos'!D77)</f>
        <v>60</v>
      </c>
      <c r="E77" s="65">
        <f>+IF('Data Pura Costos'!E77="","",IF('Data Pura Costos'!E77=0,MAX('Data Pura Costos'!$E$7:$E$3000)*1000,'Data Pura Costos'!E77))</f>
        <v>350000</v>
      </c>
      <c r="F77" s="5" t="str">
        <f>+IF('Data Pura Costos'!F77="","",'Data Pura Costos'!F77)</f>
        <v>Molina</v>
      </c>
      <c r="G77" s="5" t="str">
        <f>+IF('Data Pura Costos'!G77="","",'Data Pura Costos'!G77)</f>
        <v xml:space="preserve">GUSTAVO ZÚÑIGA </v>
      </c>
      <c r="H77" s="52" t="str">
        <f>+IF('Data Pura Costos'!H77="","",'Data Pura Costos'!H77)</f>
        <v>Termo</v>
      </c>
      <c r="I77" s="71">
        <f>+IF('Data Pura Costos'!I77="","",'Data Pura Costos'!I77)</f>
        <v>5833.333333333333</v>
      </c>
      <c r="J77" s="52" t="str">
        <f>+IF('Data Pura Costos'!J77="","",'Data Pura Costos'!J77)</f>
        <v>24-25</v>
      </c>
      <c r="K77" s="82" t="str">
        <f t="shared" si="6"/>
        <v xml:space="preserve">El Picaso-Molina-GUSTAVO ZÚÑIGA </v>
      </c>
      <c r="P77" s="1" t="str">
        <f t="shared" si="5"/>
        <v/>
      </c>
      <c r="Q77" s="23"/>
      <c r="R77" s="333"/>
      <c r="S77" s="336" t="str">
        <f>+IF($Q77="","",IF(SUMIFS('Data Pura Producción'!AD$17:AD$531,'Data Pura Producción'!$R$17:$R$531,$Q77,'Data Pura Producción'!$Q$17:$Q$531,$R77)=0,"",SUMIFS('Data Pura Producción'!AD$17:AD$531,'Data Pura Producción'!$R$17:$R$531,$Q77,'Data Pura Producción'!$Q$17:$Q$531,$R77)))</f>
        <v/>
      </c>
      <c r="T77" s="182" t="str">
        <f>+IF($Q77="","",IF(SUMIFS('Data Pura Producción'!AE$17:AE$531,'Data Pura Producción'!$R$17:$R$531,$Q77,'Data Pura Producción'!$Q$17:$Q$531,$R77)=0,"",SUMIFS('Data Pura Producción'!AE$17:AE$531,'Data Pura Producción'!$R$17:$R$531,$Q77,'Data Pura Producción'!$Q$17:$Q$531,$R77)))</f>
        <v/>
      </c>
      <c r="U77" s="182" t="str">
        <f>+IF($Q77="","",IF(SUMIFS('Data Pura Producción'!AF$17:AF$531,'Data Pura Producción'!$R$17:$R$531,$Q77,'Data Pura Producción'!$Q$17:$Q$531,$R77)=0,"",SUMIFS('Data Pura Producción'!AF$17:AF$531,'Data Pura Producción'!$R$17:$R$531,$Q77,'Data Pura Producción'!$Q$17:$Q$531,$R77)))</f>
        <v/>
      </c>
      <c r="V77" s="182" t="str">
        <f>+IF($Q77="","",IF(SUMIFS('Data Pura Producción'!AG$17:AG$531,'Data Pura Producción'!$R$17:$R$531,$Q77,'Data Pura Producción'!$Q$17:$Q$531,$R77)=0,"",SUMIFS('Data Pura Producción'!AG$17:AG$531,'Data Pura Producción'!$R$17:$R$531,$Q77,'Data Pura Producción'!$Q$17:$Q$531,$R77)))</f>
        <v/>
      </c>
      <c r="W77" s="182" t="str">
        <f>+IF($Q77="","",IF(SUMIFS('Data Pura Producción'!AH$17:AH$531,'Data Pura Producción'!$R$17:$R$531,$Q77,'Data Pura Producción'!$Q$17:$Q$531,$R77)=0,"",SUMIFS('Data Pura Producción'!AH$17:AH$531,'Data Pura Producción'!$R$17:$R$531,$Q77,'Data Pura Producción'!$Q$17:$Q$531,$R77)))</f>
        <v/>
      </c>
      <c r="X77" s="182" t="str">
        <f>+IF($Q77="","",IF(SUMIFS('Data Pura Producción'!AI$17:AI$531,'Data Pura Producción'!$R$17:$R$531,$Q77,'Data Pura Producción'!$Q$17:$Q$531,$R77)=0,"",SUMIFS('Data Pura Producción'!AI$17:AI$531,'Data Pura Producción'!$R$17:$R$531,$Q77,'Data Pura Producción'!$Q$17:$Q$531,$R77)))</f>
        <v/>
      </c>
      <c r="Y77" s="182" t="str">
        <f>+IF($Q77="","",IF(SUMIFS('Data Pura Producción'!AJ$17:AJ$531,'Data Pura Producción'!$R$17:$R$531,$Q77,'Data Pura Producción'!$Q$17:$Q$531,$R77)=0,"",SUMIFS('Data Pura Producción'!AJ$17:AJ$531,'Data Pura Producción'!$R$17:$R$531,$Q77,'Data Pura Producción'!$Q$17:$Q$531,$R77)))</f>
        <v/>
      </c>
      <c r="Z77" s="182" t="str">
        <f>+IF($Q77="","",IF(SUMIFS('Data Pura Producción'!AK$17:AK$531,'Data Pura Producción'!$R$17:$R$531,$Q77,'Data Pura Producción'!$Q$17:$Q$531,$R77)=0,"",SUMIFS('Data Pura Producción'!AK$17:AK$531,'Data Pura Producción'!$R$17:$R$531,$Q77,'Data Pura Producción'!$Q$17:$Q$531,$R77)))</f>
        <v/>
      </c>
      <c r="AA77" s="182" t="str">
        <f>+IF($Q77="","",IF(SUMIFS('Data Pura Producción'!AL$17:AL$531,'Data Pura Producción'!$R$17:$R$531,$Q77,'Data Pura Producción'!$Q$17:$Q$531,$R77)=0,"",SUMIFS('Data Pura Producción'!AL$17:AL$531,'Data Pura Producción'!$R$17:$R$531,$Q77,'Data Pura Producción'!$Q$17:$Q$531,$R77)))</f>
        <v/>
      </c>
      <c r="AB77" s="182" t="str">
        <f>+IF($Q77="","",IF(SUMIFS('Data Pura Producción'!AM$17:AM$531,'Data Pura Producción'!$R$17:$R$531,$Q77,'Data Pura Producción'!$Q$17:$Q$531,$R77)=0,"",SUMIFS('Data Pura Producción'!AM$17:AM$531,'Data Pura Producción'!$R$17:$R$531,$Q77,'Data Pura Producción'!$Q$17:$Q$531,$R77)))</f>
        <v/>
      </c>
      <c r="AC77" s="182" t="str">
        <f>+IF($Q77="","",IF(SUMIFS('Data Pura Producción'!AN$17:AN$531,'Data Pura Producción'!$R$17:$R$531,$Q77,'Data Pura Producción'!$Q$17:$Q$531,$R77)=0,"",SUMIFS('Data Pura Producción'!AN$17:AN$531,'Data Pura Producción'!$R$17:$R$531,$Q77,'Data Pura Producción'!$Q$17:$Q$531,$R77)))</f>
        <v/>
      </c>
      <c r="AD77" s="182" t="str">
        <f>+IF($Q77="","",IF(SUMIFS('Data Pura Producción'!AO$17:AO$531,'Data Pura Producción'!$R$17:$R$531,$Q77,'Data Pura Producción'!$Q$17:$Q$531,$R77)=0,"",SUMIFS('Data Pura Producción'!AO$17:AO$531,'Data Pura Producción'!$R$17:$R$531,$Q77,'Data Pura Producción'!$Q$17:$Q$531,$R77)))</f>
        <v/>
      </c>
      <c r="AE77" s="182" t="str">
        <f>+IF($Q77="","",IF(SUMIFS('Data Pura Producción'!AP$17:AP$531,'Data Pura Producción'!$R$17:$R$531,$Q77,'Data Pura Producción'!$Q$17:$Q$531,$R77)=0,"",SUMIFS('Data Pura Producción'!AP$17:AP$531,'Data Pura Producción'!$R$17:$R$531,$Q77,'Data Pura Producción'!$Q$17:$Q$531,$R77)))</f>
        <v/>
      </c>
      <c r="AF77" s="182" t="str">
        <f>+IF($Q77="","",IF(SUMIFS('Data Pura Producción'!AQ$17:AQ$531,'Data Pura Producción'!$R$17:$R$531,$Q77,'Data Pura Producción'!$Q$17:$Q$531,$R77)=0,"",SUMIFS('Data Pura Producción'!AQ$17:AQ$531,'Data Pura Producción'!$R$17:$R$531,$Q77,'Data Pura Producción'!$Q$17:$Q$531,$R77)))</f>
        <v/>
      </c>
      <c r="AG77" s="182" t="str">
        <f>+IF($Q77="","",IF(SUMIFS('Data Pura Producción'!AR$17:AR$531,'Data Pura Producción'!$R$17:$R$531,$Q77,'Data Pura Producción'!$Q$17:$Q$531,$R77)=0,"",SUMIFS('Data Pura Producción'!AR$17:AR$531,'Data Pura Producción'!$R$17:$R$531,$Q77,'Data Pura Producción'!$Q$17:$Q$531,$R77)))</f>
        <v/>
      </c>
      <c r="AH77" s="182" t="str">
        <f>+IF($Q77="","",IF(SUMIFS('Data Pura Producción'!AS$17:AS$531,'Data Pura Producción'!$R$17:$R$531,$Q77,'Data Pura Producción'!$Q$17:$Q$531,$R77)=0,"",SUMIFS('Data Pura Producción'!AS$17:AS$531,'Data Pura Producción'!$R$17:$R$531,$Q77,'Data Pura Producción'!$Q$17:$Q$531,$R77)))</f>
        <v/>
      </c>
      <c r="AI77" s="182" t="str">
        <f>+IF($Q77="","",IF(SUMIFS('Data Pura Producción'!AT$17:AT$531,'Data Pura Producción'!$R$17:$R$531,$Q77,'Data Pura Producción'!$Q$17:$Q$531,$R77)=0,"",SUMIFS('Data Pura Producción'!AT$17:AT$531,'Data Pura Producción'!$R$17:$R$531,$Q77,'Data Pura Producción'!$Q$17:$Q$531,$R77)))</f>
        <v/>
      </c>
      <c r="AJ77" s="182" t="str">
        <f>+IF($Q77="","",IF(SUMIFS('Data Pura Producción'!AU$17:AU$531,'Data Pura Producción'!$R$17:$R$531,$Q77,'Data Pura Producción'!$Q$17:$Q$531,$R77)=0,"",SUMIFS('Data Pura Producción'!AU$17:AU$531,'Data Pura Producción'!$R$17:$R$531,$Q77,'Data Pura Producción'!$Q$17:$Q$531,$R77)))</f>
        <v/>
      </c>
      <c r="AK77" s="182" t="str">
        <f>+IF($Q77="","",IF(SUMIFS('Data Pura Producción'!AV$17:AV$531,'Data Pura Producción'!$R$17:$R$531,$Q77,'Data Pura Producción'!$Q$17:$Q$531,$R77)=0,"",SUMIFS('Data Pura Producción'!AV$17:AV$531,'Data Pura Producción'!$R$17:$R$531,$Q77,'Data Pura Producción'!$Q$17:$Q$531,$R77)))</f>
        <v/>
      </c>
      <c r="AL77" s="182" t="str">
        <f>+IF($Q77="","",IF(SUMIFS('Data Pura Producción'!AW$17:AW$531,'Data Pura Producción'!$R$17:$R$531,$Q77,'Data Pura Producción'!$Q$17:$Q$531,$R77)=0,"",SUMIFS('Data Pura Producción'!AW$17:AW$531,'Data Pura Producción'!$R$17:$R$531,$Q77,'Data Pura Producción'!$Q$17:$Q$531,$R77)))</f>
        <v/>
      </c>
      <c r="AM77" s="337" t="str">
        <f>+IF($Q77="","",IF(SUMIFS('Data Pura Producción'!AX$17:AX$531,'Data Pura Producción'!$R$17:$R$531,$Q77,'Data Pura Producción'!$Q$17:$Q$531,$R77)=0,"",SUMIFS('Data Pura Producción'!AX$17:AX$531,'Data Pura Producción'!$R$17:$R$531,$Q77,'Data Pura Producción'!$Q$17:$Q$531,$R77)))</f>
        <v/>
      </c>
      <c r="AN77" s="187" t="str">
        <f t="shared" si="4"/>
        <v/>
      </c>
    </row>
    <row r="78" spans="2:40" s="7" customFormat="1" x14ac:dyDescent="0.35">
      <c r="B78" s="4" t="str">
        <f>+IF('Data Pura Costos'!B78="","",'Data Pura Costos'!B78)</f>
        <v>El Recurso</v>
      </c>
      <c r="C78" s="4" t="str">
        <f>+IF('Data Pura Costos'!C78="","",'Data Pura Costos'!C78)</f>
        <v>San Francisco de Mostazal.VI Region.</v>
      </c>
      <c r="D78" s="5">
        <f>+IF('Data Pura Costos'!D78="","",'Data Pura Costos'!D78)</f>
        <v>144</v>
      </c>
      <c r="E78" s="65">
        <f>+IF('Data Pura Costos'!E78="","",IF('Data Pura Costos'!E78=0,MAX('Data Pura Costos'!$E$7:$E$3000)*1000,'Data Pura Costos'!E78))</f>
        <v>460000</v>
      </c>
      <c r="F78" s="5" t="str">
        <f>+IF('Data Pura Costos'!F78="","",'Data Pura Costos'!F78)</f>
        <v>Molina</v>
      </c>
      <c r="G78" s="5" t="str">
        <f>+IF('Data Pura Costos'!G78="","",'Data Pura Costos'!G78)</f>
        <v xml:space="preserve">GUSTAVO ZÚÑIGA </v>
      </c>
      <c r="H78" s="52" t="str">
        <f>+IF('Data Pura Costos'!H78="","",'Data Pura Costos'!H78)</f>
        <v>Termo</v>
      </c>
      <c r="I78" s="71">
        <f>+IF('Data Pura Costos'!I78="","",'Data Pura Costos'!I78)</f>
        <v>3194.4444444444443</v>
      </c>
      <c r="J78" s="52" t="str">
        <f>+IF('Data Pura Costos'!J78="","",'Data Pura Costos'!J78)</f>
        <v>24-25</v>
      </c>
      <c r="K78" s="82" t="str">
        <f t="shared" si="6"/>
        <v xml:space="preserve">El Recurso-Molina-GUSTAVO ZÚÑIGA </v>
      </c>
      <c r="P78" s="1" t="str">
        <f t="shared" si="5"/>
        <v/>
      </c>
      <c r="Q78" s="23"/>
      <c r="R78" s="333"/>
      <c r="S78" s="336" t="str">
        <f>+IF($Q78="","",IF(SUMIFS('Data Pura Producción'!AD$17:AD$531,'Data Pura Producción'!$R$17:$R$531,$Q78,'Data Pura Producción'!$Q$17:$Q$531,$R78)=0,"",SUMIFS('Data Pura Producción'!AD$17:AD$531,'Data Pura Producción'!$R$17:$R$531,$Q78,'Data Pura Producción'!$Q$17:$Q$531,$R78)))</f>
        <v/>
      </c>
      <c r="T78" s="182" t="str">
        <f>+IF($Q78="","",IF(SUMIFS('Data Pura Producción'!AE$17:AE$531,'Data Pura Producción'!$R$17:$R$531,$Q78,'Data Pura Producción'!$Q$17:$Q$531,$R78)=0,"",SUMIFS('Data Pura Producción'!AE$17:AE$531,'Data Pura Producción'!$R$17:$R$531,$Q78,'Data Pura Producción'!$Q$17:$Q$531,$R78)))</f>
        <v/>
      </c>
      <c r="U78" s="182" t="str">
        <f>+IF($Q78="","",IF(SUMIFS('Data Pura Producción'!AF$17:AF$531,'Data Pura Producción'!$R$17:$R$531,$Q78,'Data Pura Producción'!$Q$17:$Q$531,$R78)=0,"",SUMIFS('Data Pura Producción'!AF$17:AF$531,'Data Pura Producción'!$R$17:$R$531,$Q78,'Data Pura Producción'!$Q$17:$Q$531,$R78)))</f>
        <v/>
      </c>
      <c r="V78" s="182" t="str">
        <f>+IF($Q78="","",IF(SUMIFS('Data Pura Producción'!AG$17:AG$531,'Data Pura Producción'!$R$17:$R$531,$Q78,'Data Pura Producción'!$Q$17:$Q$531,$R78)=0,"",SUMIFS('Data Pura Producción'!AG$17:AG$531,'Data Pura Producción'!$R$17:$R$531,$Q78,'Data Pura Producción'!$Q$17:$Q$531,$R78)))</f>
        <v/>
      </c>
      <c r="W78" s="182" t="str">
        <f>+IF($Q78="","",IF(SUMIFS('Data Pura Producción'!AH$17:AH$531,'Data Pura Producción'!$R$17:$R$531,$Q78,'Data Pura Producción'!$Q$17:$Q$531,$R78)=0,"",SUMIFS('Data Pura Producción'!AH$17:AH$531,'Data Pura Producción'!$R$17:$R$531,$Q78,'Data Pura Producción'!$Q$17:$Q$531,$R78)))</f>
        <v/>
      </c>
      <c r="X78" s="182" t="str">
        <f>+IF($Q78="","",IF(SUMIFS('Data Pura Producción'!AI$17:AI$531,'Data Pura Producción'!$R$17:$R$531,$Q78,'Data Pura Producción'!$Q$17:$Q$531,$R78)=0,"",SUMIFS('Data Pura Producción'!AI$17:AI$531,'Data Pura Producción'!$R$17:$R$531,$Q78,'Data Pura Producción'!$Q$17:$Q$531,$R78)))</f>
        <v/>
      </c>
      <c r="Y78" s="182" t="str">
        <f>+IF($Q78="","",IF(SUMIFS('Data Pura Producción'!AJ$17:AJ$531,'Data Pura Producción'!$R$17:$R$531,$Q78,'Data Pura Producción'!$Q$17:$Q$531,$R78)=0,"",SUMIFS('Data Pura Producción'!AJ$17:AJ$531,'Data Pura Producción'!$R$17:$R$531,$Q78,'Data Pura Producción'!$Q$17:$Q$531,$R78)))</f>
        <v/>
      </c>
      <c r="Z78" s="182" t="str">
        <f>+IF($Q78="","",IF(SUMIFS('Data Pura Producción'!AK$17:AK$531,'Data Pura Producción'!$R$17:$R$531,$Q78,'Data Pura Producción'!$Q$17:$Q$531,$R78)=0,"",SUMIFS('Data Pura Producción'!AK$17:AK$531,'Data Pura Producción'!$R$17:$R$531,$Q78,'Data Pura Producción'!$Q$17:$Q$531,$R78)))</f>
        <v/>
      </c>
      <c r="AA78" s="182" t="str">
        <f>+IF($Q78="","",IF(SUMIFS('Data Pura Producción'!AL$17:AL$531,'Data Pura Producción'!$R$17:$R$531,$Q78,'Data Pura Producción'!$Q$17:$Q$531,$R78)=0,"",SUMIFS('Data Pura Producción'!AL$17:AL$531,'Data Pura Producción'!$R$17:$R$531,$Q78,'Data Pura Producción'!$Q$17:$Q$531,$R78)))</f>
        <v/>
      </c>
      <c r="AB78" s="182" t="str">
        <f>+IF($Q78="","",IF(SUMIFS('Data Pura Producción'!AM$17:AM$531,'Data Pura Producción'!$R$17:$R$531,$Q78,'Data Pura Producción'!$Q$17:$Q$531,$R78)=0,"",SUMIFS('Data Pura Producción'!AM$17:AM$531,'Data Pura Producción'!$R$17:$R$531,$Q78,'Data Pura Producción'!$Q$17:$Q$531,$R78)))</f>
        <v/>
      </c>
      <c r="AC78" s="182" t="str">
        <f>+IF($Q78="","",IF(SUMIFS('Data Pura Producción'!AN$17:AN$531,'Data Pura Producción'!$R$17:$R$531,$Q78,'Data Pura Producción'!$Q$17:$Q$531,$R78)=0,"",SUMIFS('Data Pura Producción'!AN$17:AN$531,'Data Pura Producción'!$R$17:$R$531,$Q78,'Data Pura Producción'!$Q$17:$Q$531,$R78)))</f>
        <v/>
      </c>
      <c r="AD78" s="182" t="str">
        <f>+IF($Q78="","",IF(SUMIFS('Data Pura Producción'!AO$17:AO$531,'Data Pura Producción'!$R$17:$R$531,$Q78,'Data Pura Producción'!$Q$17:$Q$531,$R78)=0,"",SUMIFS('Data Pura Producción'!AO$17:AO$531,'Data Pura Producción'!$R$17:$R$531,$Q78,'Data Pura Producción'!$Q$17:$Q$531,$R78)))</f>
        <v/>
      </c>
      <c r="AE78" s="182" t="str">
        <f>+IF($Q78="","",IF(SUMIFS('Data Pura Producción'!AP$17:AP$531,'Data Pura Producción'!$R$17:$R$531,$Q78,'Data Pura Producción'!$Q$17:$Q$531,$R78)=0,"",SUMIFS('Data Pura Producción'!AP$17:AP$531,'Data Pura Producción'!$R$17:$R$531,$Q78,'Data Pura Producción'!$Q$17:$Q$531,$R78)))</f>
        <v/>
      </c>
      <c r="AF78" s="182" t="str">
        <f>+IF($Q78="","",IF(SUMIFS('Data Pura Producción'!AQ$17:AQ$531,'Data Pura Producción'!$R$17:$R$531,$Q78,'Data Pura Producción'!$Q$17:$Q$531,$R78)=0,"",SUMIFS('Data Pura Producción'!AQ$17:AQ$531,'Data Pura Producción'!$R$17:$R$531,$Q78,'Data Pura Producción'!$Q$17:$Q$531,$R78)))</f>
        <v/>
      </c>
      <c r="AG78" s="182" t="str">
        <f>+IF($Q78="","",IF(SUMIFS('Data Pura Producción'!AR$17:AR$531,'Data Pura Producción'!$R$17:$R$531,$Q78,'Data Pura Producción'!$Q$17:$Q$531,$R78)=0,"",SUMIFS('Data Pura Producción'!AR$17:AR$531,'Data Pura Producción'!$R$17:$R$531,$Q78,'Data Pura Producción'!$Q$17:$Q$531,$R78)))</f>
        <v/>
      </c>
      <c r="AH78" s="182" t="str">
        <f>+IF($Q78="","",IF(SUMIFS('Data Pura Producción'!AS$17:AS$531,'Data Pura Producción'!$R$17:$R$531,$Q78,'Data Pura Producción'!$Q$17:$Q$531,$R78)=0,"",SUMIFS('Data Pura Producción'!AS$17:AS$531,'Data Pura Producción'!$R$17:$R$531,$Q78,'Data Pura Producción'!$Q$17:$Q$531,$R78)))</f>
        <v/>
      </c>
      <c r="AI78" s="182" t="str">
        <f>+IF($Q78="","",IF(SUMIFS('Data Pura Producción'!AT$17:AT$531,'Data Pura Producción'!$R$17:$R$531,$Q78,'Data Pura Producción'!$Q$17:$Q$531,$R78)=0,"",SUMIFS('Data Pura Producción'!AT$17:AT$531,'Data Pura Producción'!$R$17:$R$531,$Q78,'Data Pura Producción'!$Q$17:$Q$531,$R78)))</f>
        <v/>
      </c>
      <c r="AJ78" s="182" t="str">
        <f>+IF($Q78="","",IF(SUMIFS('Data Pura Producción'!AU$17:AU$531,'Data Pura Producción'!$R$17:$R$531,$Q78,'Data Pura Producción'!$Q$17:$Q$531,$R78)=0,"",SUMIFS('Data Pura Producción'!AU$17:AU$531,'Data Pura Producción'!$R$17:$R$531,$Q78,'Data Pura Producción'!$Q$17:$Q$531,$R78)))</f>
        <v/>
      </c>
      <c r="AK78" s="182" t="str">
        <f>+IF($Q78="","",IF(SUMIFS('Data Pura Producción'!AV$17:AV$531,'Data Pura Producción'!$R$17:$R$531,$Q78,'Data Pura Producción'!$Q$17:$Q$531,$R78)=0,"",SUMIFS('Data Pura Producción'!AV$17:AV$531,'Data Pura Producción'!$R$17:$R$531,$Q78,'Data Pura Producción'!$Q$17:$Q$531,$R78)))</f>
        <v/>
      </c>
      <c r="AL78" s="182" t="str">
        <f>+IF($Q78="","",IF(SUMIFS('Data Pura Producción'!AW$17:AW$531,'Data Pura Producción'!$R$17:$R$531,$Q78,'Data Pura Producción'!$Q$17:$Q$531,$R78)=0,"",SUMIFS('Data Pura Producción'!AW$17:AW$531,'Data Pura Producción'!$R$17:$R$531,$Q78,'Data Pura Producción'!$Q$17:$Q$531,$R78)))</f>
        <v/>
      </c>
      <c r="AM78" s="337" t="str">
        <f>+IF($Q78="","",IF(SUMIFS('Data Pura Producción'!AX$17:AX$531,'Data Pura Producción'!$R$17:$R$531,$Q78,'Data Pura Producción'!$Q$17:$Q$531,$R78)=0,"",SUMIFS('Data Pura Producción'!AX$17:AX$531,'Data Pura Producción'!$R$17:$R$531,$Q78,'Data Pura Producción'!$Q$17:$Q$531,$R78)))</f>
        <v/>
      </c>
      <c r="AN78" s="187" t="str">
        <f t="shared" si="4"/>
        <v/>
      </c>
    </row>
    <row r="79" spans="2:40" s="7" customFormat="1" x14ac:dyDescent="0.35">
      <c r="B79" s="4" t="str">
        <f>+IF('Data Pura Costos'!B79="","",'Data Pura Costos'!B79)</f>
        <v>El Rosario</v>
      </c>
      <c r="C79" s="4" t="str">
        <f>+IF('Data Pura Costos'!C79="","",'Data Pura Costos'!C79)</f>
        <v>Linares, VII region.</v>
      </c>
      <c r="D79" s="5">
        <f>+IF('Data Pura Costos'!D79="","",'Data Pura Costos'!D79)</f>
        <v>120</v>
      </c>
      <c r="E79" s="65">
        <f>+IF('Data Pura Costos'!E79="","",IF('Data Pura Costos'!E79=0,MAX('Data Pura Costos'!$E$7:$E$3000)*1000,'Data Pura Costos'!E79))</f>
        <v>420000</v>
      </c>
      <c r="F79" s="5" t="str">
        <f>+IF('Data Pura Costos'!F79="","",'Data Pura Costos'!F79)</f>
        <v>Molina</v>
      </c>
      <c r="G79" s="5" t="str">
        <f>+IF('Data Pura Costos'!G79="","",'Data Pura Costos'!G79)</f>
        <v xml:space="preserve">GUSTAVO ZÚÑIGA </v>
      </c>
      <c r="H79" s="52" t="str">
        <f>+IF('Data Pura Costos'!H79="","",'Data Pura Costos'!H79)</f>
        <v>Termo</v>
      </c>
      <c r="I79" s="71">
        <f>+IF('Data Pura Costos'!I79="","",'Data Pura Costos'!I79)</f>
        <v>3500</v>
      </c>
      <c r="J79" s="52" t="str">
        <f>+IF('Data Pura Costos'!J79="","",'Data Pura Costos'!J79)</f>
        <v>24-25</v>
      </c>
      <c r="K79" s="82" t="str">
        <f t="shared" si="6"/>
        <v xml:space="preserve">El Rosario-Molina-GUSTAVO ZÚÑIGA </v>
      </c>
      <c r="P79" s="1" t="str">
        <f t="shared" si="5"/>
        <v/>
      </c>
      <c r="Q79" s="23"/>
      <c r="R79" s="333"/>
      <c r="S79" s="336" t="str">
        <f>+IF($Q79="","",IF(SUMIFS('Data Pura Producción'!AD$17:AD$531,'Data Pura Producción'!$R$17:$R$531,$Q79,'Data Pura Producción'!$Q$17:$Q$531,$R79)=0,"",SUMIFS('Data Pura Producción'!AD$17:AD$531,'Data Pura Producción'!$R$17:$R$531,$Q79,'Data Pura Producción'!$Q$17:$Q$531,$R79)))</f>
        <v/>
      </c>
      <c r="T79" s="182" t="str">
        <f>+IF($Q79="","",IF(SUMIFS('Data Pura Producción'!AE$17:AE$531,'Data Pura Producción'!$R$17:$R$531,$Q79,'Data Pura Producción'!$Q$17:$Q$531,$R79)=0,"",SUMIFS('Data Pura Producción'!AE$17:AE$531,'Data Pura Producción'!$R$17:$R$531,$Q79,'Data Pura Producción'!$Q$17:$Q$531,$R79)))</f>
        <v/>
      </c>
      <c r="U79" s="182" t="str">
        <f>+IF($Q79="","",IF(SUMIFS('Data Pura Producción'!AF$17:AF$531,'Data Pura Producción'!$R$17:$R$531,$Q79,'Data Pura Producción'!$Q$17:$Q$531,$R79)=0,"",SUMIFS('Data Pura Producción'!AF$17:AF$531,'Data Pura Producción'!$R$17:$R$531,$Q79,'Data Pura Producción'!$Q$17:$Q$531,$R79)))</f>
        <v/>
      </c>
      <c r="V79" s="182" t="str">
        <f>+IF($Q79="","",IF(SUMIFS('Data Pura Producción'!AG$17:AG$531,'Data Pura Producción'!$R$17:$R$531,$Q79,'Data Pura Producción'!$Q$17:$Q$531,$R79)=0,"",SUMIFS('Data Pura Producción'!AG$17:AG$531,'Data Pura Producción'!$R$17:$R$531,$Q79,'Data Pura Producción'!$Q$17:$Q$531,$R79)))</f>
        <v/>
      </c>
      <c r="W79" s="182" t="str">
        <f>+IF($Q79="","",IF(SUMIFS('Data Pura Producción'!AH$17:AH$531,'Data Pura Producción'!$R$17:$R$531,$Q79,'Data Pura Producción'!$Q$17:$Q$531,$R79)=0,"",SUMIFS('Data Pura Producción'!AH$17:AH$531,'Data Pura Producción'!$R$17:$R$531,$Q79,'Data Pura Producción'!$Q$17:$Q$531,$R79)))</f>
        <v/>
      </c>
      <c r="X79" s="182" t="str">
        <f>+IF($Q79="","",IF(SUMIFS('Data Pura Producción'!AI$17:AI$531,'Data Pura Producción'!$R$17:$R$531,$Q79,'Data Pura Producción'!$Q$17:$Q$531,$R79)=0,"",SUMIFS('Data Pura Producción'!AI$17:AI$531,'Data Pura Producción'!$R$17:$R$531,$Q79,'Data Pura Producción'!$Q$17:$Q$531,$R79)))</f>
        <v/>
      </c>
      <c r="Y79" s="182" t="str">
        <f>+IF($Q79="","",IF(SUMIFS('Data Pura Producción'!AJ$17:AJ$531,'Data Pura Producción'!$R$17:$R$531,$Q79,'Data Pura Producción'!$Q$17:$Q$531,$R79)=0,"",SUMIFS('Data Pura Producción'!AJ$17:AJ$531,'Data Pura Producción'!$R$17:$R$531,$Q79,'Data Pura Producción'!$Q$17:$Q$531,$R79)))</f>
        <v/>
      </c>
      <c r="Z79" s="182" t="str">
        <f>+IF($Q79="","",IF(SUMIFS('Data Pura Producción'!AK$17:AK$531,'Data Pura Producción'!$R$17:$R$531,$Q79,'Data Pura Producción'!$Q$17:$Q$531,$R79)=0,"",SUMIFS('Data Pura Producción'!AK$17:AK$531,'Data Pura Producción'!$R$17:$R$531,$Q79,'Data Pura Producción'!$Q$17:$Q$531,$R79)))</f>
        <v/>
      </c>
      <c r="AA79" s="182" t="str">
        <f>+IF($Q79="","",IF(SUMIFS('Data Pura Producción'!AL$17:AL$531,'Data Pura Producción'!$R$17:$R$531,$Q79,'Data Pura Producción'!$Q$17:$Q$531,$R79)=0,"",SUMIFS('Data Pura Producción'!AL$17:AL$531,'Data Pura Producción'!$R$17:$R$531,$Q79,'Data Pura Producción'!$Q$17:$Q$531,$R79)))</f>
        <v/>
      </c>
      <c r="AB79" s="182" t="str">
        <f>+IF($Q79="","",IF(SUMIFS('Data Pura Producción'!AM$17:AM$531,'Data Pura Producción'!$R$17:$R$531,$Q79,'Data Pura Producción'!$Q$17:$Q$531,$R79)=0,"",SUMIFS('Data Pura Producción'!AM$17:AM$531,'Data Pura Producción'!$R$17:$R$531,$Q79,'Data Pura Producción'!$Q$17:$Q$531,$R79)))</f>
        <v/>
      </c>
      <c r="AC79" s="182" t="str">
        <f>+IF($Q79="","",IF(SUMIFS('Data Pura Producción'!AN$17:AN$531,'Data Pura Producción'!$R$17:$R$531,$Q79,'Data Pura Producción'!$Q$17:$Q$531,$R79)=0,"",SUMIFS('Data Pura Producción'!AN$17:AN$531,'Data Pura Producción'!$R$17:$R$531,$Q79,'Data Pura Producción'!$Q$17:$Q$531,$R79)))</f>
        <v/>
      </c>
      <c r="AD79" s="182" t="str">
        <f>+IF($Q79="","",IF(SUMIFS('Data Pura Producción'!AO$17:AO$531,'Data Pura Producción'!$R$17:$R$531,$Q79,'Data Pura Producción'!$Q$17:$Q$531,$R79)=0,"",SUMIFS('Data Pura Producción'!AO$17:AO$531,'Data Pura Producción'!$R$17:$R$531,$Q79,'Data Pura Producción'!$Q$17:$Q$531,$R79)))</f>
        <v/>
      </c>
      <c r="AE79" s="182" t="str">
        <f>+IF($Q79="","",IF(SUMIFS('Data Pura Producción'!AP$17:AP$531,'Data Pura Producción'!$R$17:$R$531,$Q79,'Data Pura Producción'!$Q$17:$Q$531,$R79)=0,"",SUMIFS('Data Pura Producción'!AP$17:AP$531,'Data Pura Producción'!$R$17:$R$531,$Q79,'Data Pura Producción'!$Q$17:$Q$531,$R79)))</f>
        <v/>
      </c>
      <c r="AF79" s="182" t="str">
        <f>+IF($Q79="","",IF(SUMIFS('Data Pura Producción'!AQ$17:AQ$531,'Data Pura Producción'!$R$17:$R$531,$Q79,'Data Pura Producción'!$Q$17:$Q$531,$R79)=0,"",SUMIFS('Data Pura Producción'!AQ$17:AQ$531,'Data Pura Producción'!$R$17:$R$531,$Q79,'Data Pura Producción'!$Q$17:$Q$531,$R79)))</f>
        <v/>
      </c>
      <c r="AG79" s="182" t="str">
        <f>+IF($Q79="","",IF(SUMIFS('Data Pura Producción'!AR$17:AR$531,'Data Pura Producción'!$R$17:$R$531,$Q79,'Data Pura Producción'!$Q$17:$Q$531,$R79)=0,"",SUMIFS('Data Pura Producción'!AR$17:AR$531,'Data Pura Producción'!$R$17:$R$531,$Q79,'Data Pura Producción'!$Q$17:$Q$531,$R79)))</f>
        <v/>
      </c>
      <c r="AH79" s="182" t="str">
        <f>+IF($Q79="","",IF(SUMIFS('Data Pura Producción'!AS$17:AS$531,'Data Pura Producción'!$R$17:$R$531,$Q79,'Data Pura Producción'!$Q$17:$Q$531,$R79)=0,"",SUMIFS('Data Pura Producción'!AS$17:AS$531,'Data Pura Producción'!$R$17:$R$531,$Q79,'Data Pura Producción'!$Q$17:$Q$531,$R79)))</f>
        <v/>
      </c>
      <c r="AI79" s="182" t="str">
        <f>+IF($Q79="","",IF(SUMIFS('Data Pura Producción'!AT$17:AT$531,'Data Pura Producción'!$R$17:$R$531,$Q79,'Data Pura Producción'!$Q$17:$Q$531,$R79)=0,"",SUMIFS('Data Pura Producción'!AT$17:AT$531,'Data Pura Producción'!$R$17:$R$531,$Q79,'Data Pura Producción'!$Q$17:$Q$531,$R79)))</f>
        <v/>
      </c>
      <c r="AJ79" s="182" t="str">
        <f>+IF($Q79="","",IF(SUMIFS('Data Pura Producción'!AU$17:AU$531,'Data Pura Producción'!$R$17:$R$531,$Q79,'Data Pura Producción'!$Q$17:$Q$531,$R79)=0,"",SUMIFS('Data Pura Producción'!AU$17:AU$531,'Data Pura Producción'!$R$17:$R$531,$Q79,'Data Pura Producción'!$Q$17:$Q$531,$R79)))</f>
        <v/>
      </c>
      <c r="AK79" s="182" t="str">
        <f>+IF($Q79="","",IF(SUMIFS('Data Pura Producción'!AV$17:AV$531,'Data Pura Producción'!$R$17:$R$531,$Q79,'Data Pura Producción'!$Q$17:$Q$531,$R79)=0,"",SUMIFS('Data Pura Producción'!AV$17:AV$531,'Data Pura Producción'!$R$17:$R$531,$Q79,'Data Pura Producción'!$Q$17:$Q$531,$R79)))</f>
        <v/>
      </c>
      <c r="AL79" s="182" t="str">
        <f>+IF($Q79="","",IF(SUMIFS('Data Pura Producción'!AW$17:AW$531,'Data Pura Producción'!$R$17:$R$531,$Q79,'Data Pura Producción'!$Q$17:$Q$531,$R79)=0,"",SUMIFS('Data Pura Producción'!AW$17:AW$531,'Data Pura Producción'!$R$17:$R$531,$Q79,'Data Pura Producción'!$Q$17:$Q$531,$R79)))</f>
        <v/>
      </c>
      <c r="AM79" s="337" t="str">
        <f>+IF($Q79="","",IF(SUMIFS('Data Pura Producción'!AX$17:AX$531,'Data Pura Producción'!$R$17:$R$531,$Q79,'Data Pura Producción'!$Q$17:$Q$531,$R79)=0,"",SUMIFS('Data Pura Producción'!AX$17:AX$531,'Data Pura Producción'!$R$17:$R$531,$Q79,'Data Pura Producción'!$Q$17:$Q$531,$R79)))</f>
        <v/>
      </c>
      <c r="AN79" s="187" t="str">
        <f t="shared" si="4"/>
        <v/>
      </c>
    </row>
    <row r="80" spans="2:40" s="7" customFormat="1" x14ac:dyDescent="0.35">
      <c r="B80" s="4" t="str">
        <f>+IF('Data Pura Costos'!B80="","",'Data Pura Costos'!B80)</f>
        <v>El Retiro</v>
      </c>
      <c r="C80" s="4" t="str">
        <f>+IF('Data Pura Costos'!C80="","",'Data Pura Costos'!C80)</f>
        <v>Rosario, VI Region.</v>
      </c>
      <c r="D80" s="5">
        <f>+IF('Data Pura Costos'!D80="","",'Data Pura Costos'!D80)</f>
        <v>100</v>
      </c>
      <c r="E80" s="65">
        <f>+IF('Data Pura Costos'!E80="","",IF('Data Pura Costos'!E80=0,MAX('Data Pura Costos'!$E$7:$E$3000)*1000,'Data Pura Costos'!E80))</f>
        <v>400000</v>
      </c>
      <c r="F80" s="5" t="str">
        <f>+IF('Data Pura Costos'!F80="","",'Data Pura Costos'!F80)</f>
        <v>Molina</v>
      </c>
      <c r="G80" s="5" t="str">
        <f>+IF('Data Pura Costos'!G80="","",'Data Pura Costos'!G80)</f>
        <v xml:space="preserve">GUSTAVO ZÚÑIGA </v>
      </c>
      <c r="H80" s="52" t="str">
        <f>+IF('Data Pura Costos'!H80="","",'Data Pura Costos'!H80)</f>
        <v>Termo</v>
      </c>
      <c r="I80" s="71">
        <f>+IF('Data Pura Costos'!I80="","",'Data Pura Costos'!I80)</f>
        <v>4000</v>
      </c>
      <c r="J80" s="52" t="str">
        <f>+IF('Data Pura Costos'!J80="","",'Data Pura Costos'!J80)</f>
        <v>24-25</v>
      </c>
      <c r="K80" s="82" t="str">
        <f t="shared" si="6"/>
        <v xml:space="preserve">El Retiro-Molina-GUSTAVO ZÚÑIGA </v>
      </c>
      <c r="P80" s="1" t="str">
        <f t="shared" si="5"/>
        <v/>
      </c>
      <c r="Q80" s="23"/>
      <c r="R80" s="333"/>
      <c r="S80" s="336" t="str">
        <f>+IF($Q80="","",IF(SUMIFS('Data Pura Producción'!AD$17:AD$531,'Data Pura Producción'!$R$17:$R$531,$Q80,'Data Pura Producción'!$Q$17:$Q$531,$R80)=0,"",SUMIFS('Data Pura Producción'!AD$17:AD$531,'Data Pura Producción'!$R$17:$R$531,$Q80,'Data Pura Producción'!$Q$17:$Q$531,$R80)))</f>
        <v/>
      </c>
      <c r="T80" s="182" t="str">
        <f>+IF($Q80="","",IF(SUMIFS('Data Pura Producción'!AE$17:AE$531,'Data Pura Producción'!$R$17:$R$531,$Q80,'Data Pura Producción'!$Q$17:$Q$531,$R80)=0,"",SUMIFS('Data Pura Producción'!AE$17:AE$531,'Data Pura Producción'!$R$17:$R$531,$Q80,'Data Pura Producción'!$Q$17:$Q$531,$R80)))</f>
        <v/>
      </c>
      <c r="U80" s="182" t="str">
        <f>+IF($Q80="","",IF(SUMIFS('Data Pura Producción'!AF$17:AF$531,'Data Pura Producción'!$R$17:$R$531,$Q80,'Data Pura Producción'!$Q$17:$Q$531,$R80)=0,"",SUMIFS('Data Pura Producción'!AF$17:AF$531,'Data Pura Producción'!$R$17:$R$531,$Q80,'Data Pura Producción'!$Q$17:$Q$531,$R80)))</f>
        <v/>
      </c>
      <c r="V80" s="182" t="str">
        <f>+IF($Q80="","",IF(SUMIFS('Data Pura Producción'!AG$17:AG$531,'Data Pura Producción'!$R$17:$R$531,$Q80,'Data Pura Producción'!$Q$17:$Q$531,$R80)=0,"",SUMIFS('Data Pura Producción'!AG$17:AG$531,'Data Pura Producción'!$R$17:$R$531,$Q80,'Data Pura Producción'!$Q$17:$Q$531,$R80)))</f>
        <v/>
      </c>
      <c r="W80" s="182" t="str">
        <f>+IF($Q80="","",IF(SUMIFS('Data Pura Producción'!AH$17:AH$531,'Data Pura Producción'!$R$17:$R$531,$Q80,'Data Pura Producción'!$Q$17:$Q$531,$R80)=0,"",SUMIFS('Data Pura Producción'!AH$17:AH$531,'Data Pura Producción'!$R$17:$R$531,$Q80,'Data Pura Producción'!$Q$17:$Q$531,$R80)))</f>
        <v/>
      </c>
      <c r="X80" s="182" t="str">
        <f>+IF($Q80="","",IF(SUMIFS('Data Pura Producción'!AI$17:AI$531,'Data Pura Producción'!$R$17:$R$531,$Q80,'Data Pura Producción'!$Q$17:$Q$531,$R80)=0,"",SUMIFS('Data Pura Producción'!AI$17:AI$531,'Data Pura Producción'!$R$17:$R$531,$Q80,'Data Pura Producción'!$Q$17:$Q$531,$R80)))</f>
        <v/>
      </c>
      <c r="Y80" s="182" t="str">
        <f>+IF($Q80="","",IF(SUMIFS('Data Pura Producción'!AJ$17:AJ$531,'Data Pura Producción'!$R$17:$R$531,$Q80,'Data Pura Producción'!$Q$17:$Q$531,$R80)=0,"",SUMIFS('Data Pura Producción'!AJ$17:AJ$531,'Data Pura Producción'!$R$17:$R$531,$Q80,'Data Pura Producción'!$Q$17:$Q$531,$R80)))</f>
        <v/>
      </c>
      <c r="Z80" s="182" t="str">
        <f>+IF($Q80="","",IF(SUMIFS('Data Pura Producción'!AK$17:AK$531,'Data Pura Producción'!$R$17:$R$531,$Q80,'Data Pura Producción'!$Q$17:$Q$531,$R80)=0,"",SUMIFS('Data Pura Producción'!AK$17:AK$531,'Data Pura Producción'!$R$17:$R$531,$Q80,'Data Pura Producción'!$Q$17:$Q$531,$R80)))</f>
        <v/>
      </c>
      <c r="AA80" s="182" t="str">
        <f>+IF($Q80="","",IF(SUMIFS('Data Pura Producción'!AL$17:AL$531,'Data Pura Producción'!$R$17:$R$531,$Q80,'Data Pura Producción'!$Q$17:$Q$531,$R80)=0,"",SUMIFS('Data Pura Producción'!AL$17:AL$531,'Data Pura Producción'!$R$17:$R$531,$Q80,'Data Pura Producción'!$Q$17:$Q$531,$R80)))</f>
        <v/>
      </c>
      <c r="AB80" s="182" t="str">
        <f>+IF($Q80="","",IF(SUMIFS('Data Pura Producción'!AM$17:AM$531,'Data Pura Producción'!$R$17:$R$531,$Q80,'Data Pura Producción'!$Q$17:$Q$531,$R80)=0,"",SUMIFS('Data Pura Producción'!AM$17:AM$531,'Data Pura Producción'!$R$17:$R$531,$Q80,'Data Pura Producción'!$Q$17:$Q$531,$R80)))</f>
        <v/>
      </c>
      <c r="AC80" s="182" t="str">
        <f>+IF($Q80="","",IF(SUMIFS('Data Pura Producción'!AN$17:AN$531,'Data Pura Producción'!$R$17:$R$531,$Q80,'Data Pura Producción'!$Q$17:$Q$531,$R80)=0,"",SUMIFS('Data Pura Producción'!AN$17:AN$531,'Data Pura Producción'!$R$17:$R$531,$Q80,'Data Pura Producción'!$Q$17:$Q$531,$R80)))</f>
        <v/>
      </c>
      <c r="AD80" s="182" t="str">
        <f>+IF($Q80="","",IF(SUMIFS('Data Pura Producción'!AO$17:AO$531,'Data Pura Producción'!$R$17:$R$531,$Q80,'Data Pura Producción'!$Q$17:$Q$531,$R80)=0,"",SUMIFS('Data Pura Producción'!AO$17:AO$531,'Data Pura Producción'!$R$17:$R$531,$Q80,'Data Pura Producción'!$Q$17:$Q$531,$R80)))</f>
        <v/>
      </c>
      <c r="AE80" s="182" t="str">
        <f>+IF($Q80="","",IF(SUMIFS('Data Pura Producción'!AP$17:AP$531,'Data Pura Producción'!$R$17:$R$531,$Q80,'Data Pura Producción'!$Q$17:$Q$531,$R80)=0,"",SUMIFS('Data Pura Producción'!AP$17:AP$531,'Data Pura Producción'!$R$17:$R$531,$Q80,'Data Pura Producción'!$Q$17:$Q$531,$R80)))</f>
        <v/>
      </c>
      <c r="AF80" s="182" t="str">
        <f>+IF($Q80="","",IF(SUMIFS('Data Pura Producción'!AQ$17:AQ$531,'Data Pura Producción'!$R$17:$R$531,$Q80,'Data Pura Producción'!$Q$17:$Q$531,$R80)=0,"",SUMIFS('Data Pura Producción'!AQ$17:AQ$531,'Data Pura Producción'!$R$17:$R$531,$Q80,'Data Pura Producción'!$Q$17:$Q$531,$R80)))</f>
        <v/>
      </c>
      <c r="AG80" s="182" t="str">
        <f>+IF($Q80="","",IF(SUMIFS('Data Pura Producción'!AR$17:AR$531,'Data Pura Producción'!$R$17:$R$531,$Q80,'Data Pura Producción'!$Q$17:$Q$531,$R80)=0,"",SUMIFS('Data Pura Producción'!AR$17:AR$531,'Data Pura Producción'!$R$17:$R$531,$Q80,'Data Pura Producción'!$Q$17:$Q$531,$R80)))</f>
        <v/>
      </c>
      <c r="AH80" s="182" t="str">
        <f>+IF($Q80="","",IF(SUMIFS('Data Pura Producción'!AS$17:AS$531,'Data Pura Producción'!$R$17:$R$531,$Q80,'Data Pura Producción'!$Q$17:$Q$531,$R80)=0,"",SUMIFS('Data Pura Producción'!AS$17:AS$531,'Data Pura Producción'!$R$17:$R$531,$Q80,'Data Pura Producción'!$Q$17:$Q$531,$R80)))</f>
        <v/>
      </c>
      <c r="AI80" s="182" t="str">
        <f>+IF($Q80="","",IF(SUMIFS('Data Pura Producción'!AT$17:AT$531,'Data Pura Producción'!$R$17:$R$531,$Q80,'Data Pura Producción'!$Q$17:$Q$531,$R80)=0,"",SUMIFS('Data Pura Producción'!AT$17:AT$531,'Data Pura Producción'!$R$17:$R$531,$Q80,'Data Pura Producción'!$Q$17:$Q$531,$R80)))</f>
        <v/>
      </c>
      <c r="AJ80" s="182" t="str">
        <f>+IF($Q80="","",IF(SUMIFS('Data Pura Producción'!AU$17:AU$531,'Data Pura Producción'!$R$17:$R$531,$Q80,'Data Pura Producción'!$Q$17:$Q$531,$R80)=0,"",SUMIFS('Data Pura Producción'!AU$17:AU$531,'Data Pura Producción'!$R$17:$R$531,$Q80,'Data Pura Producción'!$Q$17:$Q$531,$R80)))</f>
        <v/>
      </c>
      <c r="AK80" s="182" t="str">
        <f>+IF($Q80="","",IF(SUMIFS('Data Pura Producción'!AV$17:AV$531,'Data Pura Producción'!$R$17:$R$531,$Q80,'Data Pura Producción'!$Q$17:$Q$531,$R80)=0,"",SUMIFS('Data Pura Producción'!AV$17:AV$531,'Data Pura Producción'!$R$17:$R$531,$Q80,'Data Pura Producción'!$Q$17:$Q$531,$R80)))</f>
        <v/>
      </c>
      <c r="AL80" s="182" t="str">
        <f>+IF($Q80="","",IF(SUMIFS('Data Pura Producción'!AW$17:AW$531,'Data Pura Producción'!$R$17:$R$531,$Q80,'Data Pura Producción'!$Q$17:$Q$531,$R80)=0,"",SUMIFS('Data Pura Producción'!AW$17:AW$531,'Data Pura Producción'!$R$17:$R$531,$Q80,'Data Pura Producción'!$Q$17:$Q$531,$R80)))</f>
        <v/>
      </c>
      <c r="AM80" s="337" t="str">
        <f>+IF($Q80="","",IF(SUMIFS('Data Pura Producción'!AX$17:AX$531,'Data Pura Producción'!$R$17:$R$531,$Q80,'Data Pura Producción'!$Q$17:$Q$531,$R80)=0,"",SUMIFS('Data Pura Producción'!AX$17:AX$531,'Data Pura Producción'!$R$17:$R$531,$Q80,'Data Pura Producción'!$Q$17:$Q$531,$R80)))</f>
        <v/>
      </c>
      <c r="AN80" s="187" t="str">
        <f t="shared" si="4"/>
        <v/>
      </c>
    </row>
    <row r="81" spans="2:40" s="7" customFormat="1" x14ac:dyDescent="0.35">
      <c r="B81" s="4" t="str">
        <f>+IF('Data Pura Costos'!B81="","",'Data Pura Costos'!B81)</f>
        <v>La Esperanza</v>
      </c>
      <c r="C81" s="4" t="str">
        <f>+IF('Data Pura Costos'!C81="","",'Data Pura Costos'!C81)</f>
        <v>Peumo, VI región</v>
      </c>
      <c r="D81" s="5">
        <f>+IF('Data Pura Costos'!D81="","",'Data Pura Costos'!D81)</f>
        <v>125</v>
      </c>
      <c r="E81" s="65">
        <f>+IF('Data Pura Costos'!E81="","",IF('Data Pura Costos'!E81=0,MAX('Data Pura Costos'!$E$7:$E$3000)*1000,'Data Pura Costos'!E81))</f>
        <v>420000</v>
      </c>
      <c r="F81" s="5" t="str">
        <f>+IF('Data Pura Costos'!F81="","",'Data Pura Costos'!F81)</f>
        <v>Molina</v>
      </c>
      <c r="G81" s="5" t="str">
        <f>+IF('Data Pura Costos'!G81="","",'Data Pura Costos'!G81)</f>
        <v xml:space="preserve">GUSTAVO ZÚÑIGA </v>
      </c>
      <c r="H81" s="52" t="str">
        <f>+IF('Data Pura Costos'!H81="","",'Data Pura Costos'!H81)</f>
        <v>Termo</v>
      </c>
      <c r="I81" s="71">
        <f>+IF('Data Pura Costos'!I81="","",'Data Pura Costos'!I81)</f>
        <v>3360</v>
      </c>
      <c r="J81" s="52" t="str">
        <f>+IF('Data Pura Costos'!J81="","",'Data Pura Costos'!J81)</f>
        <v>24-25</v>
      </c>
      <c r="K81" s="82" t="str">
        <f t="shared" si="6"/>
        <v xml:space="preserve">La Esperanza-Molina-GUSTAVO ZÚÑIGA </v>
      </c>
      <c r="P81" s="1" t="str">
        <f t="shared" si="5"/>
        <v/>
      </c>
      <c r="Q81" s="23"/>
      <c r="R81" s="333"/>
      <c r="S81" s="336" t="str">
        <f>+IF($Q81="","",IF(SUMIFS('Data Pura Producción'!AD$17:AD$531,'Data Pura Producción'!$R$17:$R$531,$Q81,'Data Pura Producción'!$Q$17:$Q$531,$R81)=0,"",SUMIFS('Data Pura Producción'!AD$17:AD$531,'Data Pura Producción'!$R$17:$R$531,$Q81,'Data Pura Producción'!$Q$17:$Q$531,$R81)))</f>
        <v/>
      </c>
      <c r="T81" s="182" t="str">
        <f>+IF($Q81="","",IF(SUMIFS('Data Pura Producción'!AE$17:AE$531,'Data Pura Producción'!$R$17:$R$531,$Q81,'Data Pura Producción'!$Q$17:$Q$531,$R81)=0,"",SUMIFS('Data Pura Producción'!AE$17:AE$531,'Data Pura Producción'!$R$17:$R$531,$Q81,'Data Pura Producción'!$Q$17:$Q$531,$R81)))</f>
        <v/>
      </c>
      <c r="U81" s="182" t="str">
        <f>+IF($Q81="","",IF(SUMIFS('Data Pura Producción'!AF$17:AF$531,'Data Pura Producción'!$R$17:$R$531,$Q81,'Data Pura Producción'!$Q$17:$Q$531,$R81)=0,"",SUMIFS('Data Pura Producción'!AF$17:AF$531,'Data Pura Producción'!$R$17:$R$531,$Q81,'Data Pura Producción'!$Q$17:$Q$531,$R81)))</f>
        <v/>
      </c>
      <c r="V81" s="182" t="str">
        <f>+IF($Q81="","",IF(SUMIFS('Data Pura Producción'!AG$17:AG$531,'Data Pura Producción'!$R$17:$R$531,$Q81,'Data Pura Producción'!$Q$17:$Q$531,$R81)=0,"",SUMIFS('Data Pura Producción'!AG$17:AG$531,'Data Pura Producción'!$R$17:$R$531,$Q81,'Data Pura Producción'!$Q$17:$Q$531,$R81)))</f>
        <v/>
      </c>
      <c r="W81" s="182" t="str">
        <f>+IF($Q81="","",IF(SUMIFS('Data Pura Producción'!AH$17:AH$531,'Data Pura Producción'!$R$17:$R$531,$Q81,'Data Pura Producción'!$Q$17:$Q$531,$R81)=0,"",SUMIFS('Data Pura Producción'!AH$17:AH$531,'Data Pura Producción'!$R$17:$R$531,$Q81,'Data Pura Producción'!$Q$17:$Q$531,$R81)))</f>
        <v/>
      </c>
      <c r="X81" s="182" t="str">
        <f>+IF($Q81="","",IF(SUMIFS('Data Pura Producción'!AI$17:AI$531,'Data Pura Producción'!$R$17:$R$531,$Q81,'Data Pura Producción'!$Q$17:$Q$531,$R81)=0,"",SUMIFS('Data Pura Producción'!AI$17:AI$531,'Data Pura Producción'!$R$17:$R$531,$Q81,'Data Pura Producción'!$Q$17:$Q$531,$R81)))</f>
        <v/>
      </c>
      <c r="Y81" s="182" t="str">
        <f>+IF($Q81="","",IF(SUMIFS('Data Pura Producción'!AJ$17:AJ$531,'Data Pura Producción'!$R$17:$R$531,$Q81,'Data Pura Producción'!$Q$17:$Q$531,$R81)=0,"",SUMIFS('Data Pura Producción'!AJ$17:AJ$531,'Data Pura Producción'!$R$17:$R$531,$Q81,'Data Pura Producción'!$Q$17:$Q$531,$R81)))</f>
        <v/>
      </c>
      <c r="Z81" s="182" t="str">
        <f>+IF($Q81="","",IF(SUMIFS('Data Pura Producción'!AK$17:AK$531,'Data Pura Producción'!$R$17:$R$531,$Q81,'Data Pura Producción'!$Q$17:$Q$531,$R81)=0,"",SUMIFS('Data Pura Producción'!AK$17:AK$531,'Data Pura Producción'!$R$17:$R$531,$Q81,'Data Pura Producción'!$Q$17:$Q$531,$R81)))</f>
        <v/>
      </c>
      <c r="AA81" s="182" t="str">
        <f>+IF($Q81="","",IF(SUMIFS('Data Pura Producción'!AL$17:AL$531,'Data Pura Producción'!$R$17:$R$531,$Q81,'Data Pura Producción'!$Q$17:$Q$531,$R81)=0,"",SUMIFS('Data Pura Producción'!AL$17:AL$531,'Data Pura Producción'!$R$17:$R$531,$Q81,'Data Pura Producción'!$Q$17:$Q$531,$R81)))</f>
        <v/>
      </c>
      <c r="AB81" s="182" t="str">
        <f>+IF($Q81="","",IF(SUMIFS('Data Pura Producción'!AM$17:AM$531,'Data Pura Producción'!$R$17:$R$531,$Q81,'Data Pura Producción'!$Q$17:$Q$531,$R81)=0,"",SUMIFS('Data Pura Producción'!AM$17:AM$531,'Data Pura Producción'!$R$17:$R$531,$Q81,'Data Pura Producción'!$Q$17:$Q$531,$R81)))</f>
        <v/>
      </c>
      <c r="AC81" s="182" t="str">
        <f>+IF($Q81="","",IF(SUMIFS('Data Pura Producción'!AN$17:AN$531,'Data Pura Producción'!$R$17:$R$531,$Q81,'Data Pura Producción'!$Q$17:$Q$531,$R81)=0,"",SUMIFS('Data Pura Producción'!AN$17:AN$531,'Data Pura Producción'!$R$17:$R$531,$Q81,'Data Pura Producción'!$Q$17:$Q$531,$R81)))</f>
        <v/>
      </c>
      <c r="AD81" s="182" t="str">
        <f>+IF($Q81="","",IF(SUMIFS('Data Pura Producción'!AO$17:AO$531,'Data Pura Producción'!$R$17:$R$531,$Q81,'Data Pura Producción'!$Q$17:$Q$531,$R81)=0,"",SUMIFS('Data Pura Producción'!AO$17:AO$531,'Data Pura Producción'!$R$17:$R$531,$Q81,'Data Pura Producción'!$Q$17:$Q$531,$R81)))</f>
        <v/>
      </c>
      <c r="AE81" s="182" t="str">
        <f>+IF($Q81="","",IF(SUMIFS('Data Pura Producción'!AP$17:AP$531,'Data Pura Producción'!$R$17:$R$531,$Q81,'Data Pura Producción'!$Q$17:$Q$531,$R81)=0,"",SUMIFS('Data Pura Producción'!AP$17:AP$531,'Data Pura Producción'!$R$17:$R$531,$Q81,'Data Pura Producción'!$Q$17:$Q$531,$R81)))</f>
        <v/>
      </c>
      <c r="AF81" s="182" t="str">
        <f>+IF($Q81="","",IF(SUMIFS('Data Pura Producción'!AQ$17:AQ$531,'Data Pura Producción'!$R$17:$R$531,$Q81,'Data Pura Producción'!$Q$17:$Q$531,$R81)=0,"",SUMIFS('Data Pura Producción'!AQ$17:AQ$531,'Data Pura Producción'!$R$17:$R$531,$Q81,'Data Pura Producción'!$Q$17:$Q$531,$R81)))</f>
        <v/>
      </c>
      <c r="AG81" s="182" t="str">
        <f>+IF($Q81="","",IF(SUMIFS('Data Pura Producción'!AR$17:AR$531,'Data Pura Producción'!$R$17:$R$531,$Q81,'Data Pura Producción'!$Q$17:$Q$531,$R81)=0,"",SUMIFS('Data Pura Producción'!AR$17:AR$531,'Data Pura Producción'!$R$17:$R$531,$Q81,'Data Pura Producción'!$Q$17:$Q$531,$R81)))</f>
        <v/>
      </c>
      <c r="AH81" s="182" t="str">
        <f>+IF($Q81="","",IF(SUMIFS('Data Pura Producción'!AS$17:AS$531,'Data Pura Producción'!$R$17:$R$531,$Q81,'Data Pura Producción'!$Q$17:$Q$531,$R81)=0,"",SUMIFS('Data Pura Producción'!AS$17:AS$531,'Data Pura Producción'!$R$17:$R$531,$Q81,'Data Pura Producción'!$Q$17:$Q$531,$R81)))</f>
        <v/>
      </c>
      <c r="AI81" s="182" t="str">
        <f>+IF($Q81="","",IF(SUMIFS('Data Pura Producción'!AT$17:AT$531,'Data Pura Producción'!$R$17:$R$531,$Q81,'Data Pura Producción'!$Q$17:$Q$531,$R81)=0,"",SUMIFS('Data Pura Producción'!AT$17:AT$531,'Data Pura Producción'!$R$17:$R$531,$Q81,'Data Pura Producción'!$Q$17:$Q$531,$R81)))</f>
        <v/>
      </c>
      <c r="AJ81" s="182" t="str">
        <f>+IF($Q81="","",IF(SUMIFS('Data Pura Producción'!AU$17:AU$531,'Data Pura Producción'!$R$17:$R$531,$Q81,'Data Pura Producción'!$Q$17:$Q$531,$R81)=0,"",SUMIFS('Data Pura Producción'!AU$17:AU$531,'Data Pura Producción'!$R$17:$R$531,$Q81,'Data Pura Producción'!$Q$17:$Q$531,$R81)))</f>
        <v/>
      </c>
      <c r="AK81" s="182" t="str">
        <f>+IF($Q81="","",IF(SUMIFS('Data Pura Producción'!AV$17:AV$531,'Data Pura Producción'!$R$17:$R$531,$Q81,'Data Pura Producción'!$Q$17:$Q$531,$R81)=0,"",SUMIFS('Data Pura Producción'!AV$17:AV$531,'Data Pura Producción'!$R$17:$R$531,$Q81,'Data Pura Producción'!$Q$17:$Q$531,$R81)))</f>
        <v/>
      </c>
      <c r="AL81" s="182" t="str">
        <f>+IF($Q81="","",IF(SUMIFS('Data Pura Producción'!AW$17:AW$531,'Data Pura Producción'!$R$17:$R$531,$Q81,'Data Pura Producción'!$Q$17:$Q$531,$R81)=0,"",SUMIFS('Data Pura Producción'!AW$17:AW$531,'Data Pura Producción'!$R$17:$R$531,$Q81,'Data Pura Producción'!$Q$17:$Q$531,$R81)))</f>
        <v/>
      </c>
      <c r="AM81" s="337" t="str">
        <f>+IF($Q81="","",IF(SUMIFS('Data Pura Producción'!AX$17:AX$531,'Data Pura Producción'!$R$17:$R$531,$Q81,'Data Pura Producción'!$Q$17:$Q$531,$R81)=0,"",SUMIFS('Data Pura Producción'!AX$17:AX$531,'Data Pura Producción'!$R$17:$R$531,$Q81,'Data Pura Producción'!$Q$17:$Q$531,$R81)))</f>
        <v/>
      </c>
      <c r="AN81" s="187" t="str">
        <f t="shared" si="4"/>
        <v/>
      </c>
    </row>
    <row r="82" spans="2:40" s="7" customFormat="1" x14ac:dyDescent="0.35">
      <c r="B82" s="4" t="str">
        <f>+IF('Data Pura Costos'!B82="","",'Data Pura Costos'!B82)</f>
        <v>La Estación</v>
      </c>
      <c r="C82" s="4" t="str">
        <f>+IF('Data Pura Costos'!C82="","",'Data Pura Costos'!C82)</f>
        <v>Palmilla, VI región</v>
      </c>
      <c r="D82" s="5">
        <f>+IF('Data Pura Costos'!D82="","",'Data Pura Costos'!D82)</f>
        <v>90</v>
      </c>
      <c r="E82" s="65">
        <f>+IF('Data Pura Costos'!E82="","",IF('Data Pura Costos'!E82=0,MAX('Data Pura Costos'!$E$7:$E$3000)*1000,'Data Pura Costos'!E82))</f>
        <v>380000</v>
      </c>
      <c r="F82" s="5" t="str">
        <f>+IF('Data Pura Costos'!F82="","",'Data Pura Costos'!F82)</f>
        <v>Molina</v>
      </c>
      <c r="G82" s="5" t="str">
        <f>+IF('Data Pura Costos'!G82="","",'Data Pura Costos'!G82)</f>
        <v xml:space="preserve">GUSTAVO ZÚÑIGA </v>
      </c>
      <c r="H82" s="52" t="str">
        <f>+IF('Data Pura Costos'!H82="","",'Data Pura Costos'!H82)</f>
        <v>Termo</v>
      </c>
      <c r="I82" s="71">
        <f>+IF('Data Pura Costos'!I82="","",'Data Pura Costos'!I82)</f>
        <v>4222.2222222222226</v>
      </c>
      <c r="J82" s="52" t="str">
        <f>+IF('Data Pura Costos'!J82="","",'Data Pura Costos'!J82)</f>
        <v>24-25</v>
      </c>
      <c r="K82" s="82" t="str">
        <f t="shared" si="6"/>
        <v xml:space="preserve">La Estación-Molina-GUSTAVO ZÚÑIGA </v>
      </c>
      <c r="P82" s="1" t="str">
        <f t="shared" si="5"/>
        <v/>
      </c>
      <c r="Q82" s="23"/>
      <c r="R82" s="333"/>
      <c r="S82" s="336" t="str">
        <f>+IF($Q82="","",IF(SUMIFS('Data Pura Producción'!AD$17:AD$531,'Data Pura Producción'!$R$17:$R$531,$Q82,'Data Pura Producción'!$Q$17:$Q$531,$R82)=0,"",SUMIFS('Data Pura Producción'!AD$17:AD$531,'Data Pura Producción'!$R$17:$R$531,$Q82,'Data Pura Producción'!$Q$17:$Q$531,$R82)))</f>
        <v/>
      </c>
      <c r="T82" s="182" t="str">
        <f>+IF($Q82="","",IF(SUMIFS('Data Pura Producción'!AE$17:AE$531,'Data Pura Producción'!$R$17:$R$531,$Q82,'Data Pura Producción'!$Q$17:$Q$531,$R82)=0,"",SUMIFS('Data Pura Producción'!AE$17:AE$531,'Data Pura Producción'!$R$17:$R$531,$Q82,'Data Pura Producción'!$Q$17:$Q$531,$R82)))</f>
        <v/>
      </c>
      <c r="U82" s="182" t="str">
        <f>+IF($Q82="","",IF(SUMIFS('Data Pura Producción'!AF$17:AF$531,'Data Pura Producción'!$R$17:$R$531,$Q82,'Data Pura Producción'!$Q$17:$Q$531,$R82)=0,"",SUMIFS('Data Pura Producción'!AF$17:AF$531,'Data Pura Producción'!$R$17:$R$531,$Q82,'Data Pura Producción'!$Q$17:$Q$531,$R82)))</f>
        <v/>
      </c>
      <c r="V82" s="182" t="str">
        <f>+IF($Q82="","",IF(SUMIFS('Data Pura Producción'!AG$17:AG$531,'Data Pura Producción'!$R$17:$R$531,$Q82,'Data Pura Producción'!$Q$17:$Q$531,$R82)=0,"",SUMIFS('Data Pura Producción'!AG$17:AG$531,'Data Pura Producción'!$R$17:$R$531,$Q82,'Data Pura Producción'!$Q$17:$Q$531,$R82)))</f>
        <v/>
      </c>
      <c r="W82" s="182" t="str">
        <f>+IF($Q82="","",IF(SUMIFS('Data Pura Producción'!AH$17:AH$531,'Data Pura Producción'!$R$17:$R$531,$Q82,'Data Pura Producción'!$Q$17:$Q$531,$R82)=0,"",SUMIFS('Data Pura Producción'!AH$17:AH$531,'Data Pura Producción'!$R$17:$R$531,$Q82,'Data Pura Producción'!$Q$17:$Q$531,$R82)))</f>
        <v/>
      </c>
      <c r="X82" s="182" t="str">
        <f>+IF($Q82="","",IF(SUMIFS('Data Pura Producción'!AI$17:AI$531,'Data Pura Producción'!$R$17:$R$531,$Q82,'Data Pura Producción'!$Q$17:$Q$531,$R82)=0,"",SUMIFS('Data Pura Producción'!AI$17:AI$531,'Data Pura Producción'!$R$17:$R$531,$Q82,'Data Pura Producción'!$Q$17:$Q$531,$R82)))</f>
        <v/>
      </c>
      <c r="Y82" s="182" t="str">
        <f>+IF($Q82="","",IF(SUMIFS('Data Pura Producción'!AJ$17:AJ$531,'Data Pura Producción'!$R$17:$R$531,$Q82,'Data Pura Producción'!$Q$17:$Q$531,$R82)=0,"",SUMIFS('Data Pura Producción'!AJ$17:AJ$531,'Data Pura Producción'!$R$17:$R$531,$Q82,'Data Pura Producción'!$Q$17:$Q$531,$R82)))</f>
        <v/>
      </c>
      <c r="Z82" s="182" t="str">
        <f>+IF($Q82="","",IF(SUMIFS('Data Pura Producción'!AK$17:AK$531,'Data Pura Producción'!$R$17:$R$531,$Q82,'Data Pura Producción'!$Q$17:$Q$531,$R82)=0,"",SUMIFS('Data Pura Producción'!AK$17:AK$531,'Data Pura Producción'!$R$17:$R$531,$Q82,'Data Pura Producción'!$Q$17:$Q$531,$R82)))</f>
        <v/>
      </c>
      <c r="AA82" s="182" t="str">
        <f>+IF($Q82="","",IF(SUMIFS('Data Pura Producción'!AL$17:AL$531,'Data Pura Producción'!$R$17:$R$531,$Q82,'Data Pura Producción'!$Q$17:$Q$531,$R82)=0,"",SUMIFS('Data Pura Producción'!AL$17:AL$531,'Data Pura Producción'!$R$17:$R$531,$Q82,'Data Pura Producción'!$Q$17:$Q$531,$R82)))</f>
        <v/>
      </c>
      <c r="AB82" s="182" t="str">
        <f>+IF($Q82="","",IF(SUMIFS('Data Pura Producción'!AM$17:AM$531,'Data Pura Producción'!$R$17:$R$531,$Q82,'Data Pura Producción'!$Q$17:$Q$531,$R82)=0,"",SUMIFS('Data Pura Producción'!AM$17:AM$531,'Data Pura Producción'!$R$17:$R$531,$Q82,'Data Pura Producción'!$Q$17:$Q$531,$R82)))</f>
        <v/>
      </c>
      <c r="AC82" s="182" t="str">
        <f>+IF($Q82="","",IF(SUMIFS('Data Pura Producción'!AN$17:AN$531,'Data Pura Producción'!$R$17:$R$531,$Q82,'Data Pura Producción'!$Q$17:$Q$531,$R82)=0,"",SUMIFS('Data Pura Producción'!AN$17:AN$531,'Data Pura Producción'!$R$17:$R$531,$Q82,'Data Pura Producción'!$Q$17:$Q$531,$R82)))</f>
        <v/>
      </c>
      <c r="AD82" s="182" t="str">
        <f>+IF($Q82="","",IF(SUMIFS('Data Pura Producción'!AO$17:AO$531,'Data Pura Producción'!$R$17:$R$531,$Q82,'Data Pura Producción'!$Q$17:$Q$531,$R82)=0,"",SUMIFS('Data Pura Producción'!AO$17:AO$531,'Data Pura Producción'!$R$17:$R$531,$Q82,'Data Pura Producción'!$Q$17:$Q$531,$R82)))</f>
        <v/>
      </c>
      <c r="AE82" s="182" t="str">
        <f>+IF($Q82="","",IF(SUMIFS('Data Pura Producción'!AP$17:AP$531,'Data Pura Producción'!$R$17:$R$531,$Q82,'Data Pura Producción'!$Q$17:$Q$531,$R82)=0,"",SUMIFS('Data Pura Producción'!AP$17:AP$531,'Data Pura Producción'!$R$17:$R$531,$Q82,'Data Pura Producción'!$Q$17:$Q$531,$R82)))</f>
        <v/>
      </c>
      <c r="AF82" s="182" t="str">
        <f>+IF($Q82="","",IF(SUMIFS('Data Pura Producción'!AQ$17:AQ$531,'Data Pura Producción'!$R$17:$R$531,$Q82,'Data Pura Producción'!$Q$17:$Q$531,$R82)=0,"",SUMIFS('Data Pura Producción'!AQ$17:AQ$531,'Data Pura Producción'!$R$17:$R$531,$Q82,'Data Pura Producción'!$Q$17:$Q$531,$R82)))</f>
        <v/>
      </c>
      <c r="AG82" s="182" t="str">
        <f>+IF($Q82="","",IF(SUMIFS('Data Pura Producción'!AR$17:AR$531,'Data Pura Producción'!$R$17:$R$531,$Q82,'Data Pura Producción'!$Q$17:$Q$531,$R82)=0,"",SUMIFS('Data Pura Producción'!AR$17:AR$531,'Data Pura Producción'!$R$17:$R$531,$Q82,'Data Pura Producción'!$Q$17:$Q$531,$R82)))</f>
        <v/>
      </c>
      <c r="AH82" s="182" t="str">
        <f>+IF($Q82="","",IF(SUMIFS('Data Pura Producción'!AS$17:AS$531,'Data Pura Producción'!$R$17:$R$531,$Q82,'Data Pura Producción'!$Q$17:$Q$531,$R82)=0,"",SUMIFS('Data Pura Producción'!AS$17:AS$531,'Data Pura Producción'!$R$17:$R$531,$Q82,'Data Pura Producción'!$Q$17:$Q$531,$R82)))</f>
        <v/>
      </c>
      <c r="AI82" s="182" t="str">
        <f>+IF($Q82="","",IF(SUMIFS('Data Pura Producción'!AT$17:AT$531,'Data Pura Producción'!$R$17:$R$531,$Q82,'Data Pura Producción'!$Q$17:$Q$531,$R82)=0,"",SUMIFS('Data Pura Producción'!AT$17:AT$531,'Data Pura Producción'!$R$17:$R$531,$Q82,'Data Pura Producción'!$Q$17:$Q$531,$R82)))</f>
        <v/>
      </c>
      <c r="AJ82" s="182" t="str">
        <f>+IF($Q82="","",IF(SUMIFS('Data Pura Producción'!AU$17:AU$531,'Data Pura Producción'!$R$17:$R$531,$Q82,'Data Pura Producción'!$Q$17:$Q$531,$R82)=0,"",SUMIFS('Data Pura Producción'!AU$17:AU$531,'Data Pura Producción'!$R$17:$R$531,$Q82,'Data Pura Producción'!$Q$17:$Q$531,$R82)))</f>
        <v/>
      </c>
      <c r="AK82" s="182" t="str">
        <f>+IF($Q82="","",IF(SUMIFS('Data Pura Producción'!AV$17:AV$531,'Data Pura Producción'!$R$17:$R$531,$Q82,'Data Pura Producción'!$Q$17:$Q$531,$R82)=0,"",SUMIFS('Data Pura Producción'!AV$17:AV$531,'Data Pura Producción'!$R$17:$R$531,$Q82,'Data Pura Producción'!$Q$17:$Q$531,$R82)))</f>
        <v/>
      </c>
      <c r="AL82" s="182" t="str">
        <f>+IF($Q82="","",IF(SUMIFS('Data Pura Producción'!AW$17:AW$531,'Data Pura Producción'!$R$17:$R$531,$Q82,'Data Pura Producción'!$Q$17:$Q$531,$R82)=0,"",SUMIFS('Data Pura Producción'!AW$17:AW$531,'Data Pura Producción'!$R$17:$R$531,$Q82,'Data Pura Producción'!$Q$17:$Q$531,$R82)))</f>
        <v/>
      </c>
      <c r="AM82" s="337" t="str">
        <f>+IF($Q82="","",IF(SUMIFS('Data Pura Producción'!AX$17:AX$531,'Data Pura Producción'!$R$17:$R$531,$Q82,'Data Pura Producción'!$Q$17:$Q$531,$R82)=0,"",SUMIFS('Data Pura Producción'!AX$17:AX$531,'Data Pura Producción'!$R$17:$R$531,$Q82,'Data Pura Producción'!$Q$17:$Q$531,$R82)))</f>
        <v/>
      </c>
      <c r="AN82" s="187" t="str">
        <f t="shared" si="4"/>
        <v/>
      </c>
    </row>
    <row r="83" spans="2:40" s="7" customFormat="1" x14ac:dyDescent="0.35">
      <c r="B83" s="4" t="str">
        <f>+IF('Data Pura Costos'!B83="","",'Data Pura Costos'!B83)</f>
        <v>La Lajuela</v>
      </c>
      <c r="C83" s="4" t="str">
        <f>+IF('Data Pura Costos'!C83="","",'Data Pura Costos'!C83)</f>
        <v>Santa Cruz, VI Región</v>
      </c>
      <c r="D83" s="5">
        <f>+IF('Data Pura Costos'!D83="","",'Data Pura Costos'!D83)</f>
        <v>80</v>
      </c>
      <c r="E83" s="65">
        <f>+IF('Data Pura Costos'!E83="","",IF('Data Pura Costos'!E83=0,MAX('Data Pura Costos'!$E$7:$E$3000)*1000,'Data Pura Costos'!E83))</f>
        <v>360000</v>
      </c>
      <c r="F83" s="5" t="str">
        <f>+IF('Data Pura Costos'!F83="","",'Data Pura Costos'!F83)</f>
        <v>Molina</v>
      </c>
      <c r="G83" s="5" t="str">
        <f>+IF('Data Pura Costos'!G83="","",'Data Pura Costos'!G83)</f>
        <v xml:space="preserve">GUSTAVO ZÚÑIGA </v>
      </c>
      <c r="H83" s="52" t="str">
        <f>+IF('Data Pura Costos'!H83="","",'Data Pura Costos'!H83)</f>
        <v>Termo</v>
      </c>
      <c r="I83" s="71">
        <f>+IF('Data Pura Costos'!I83="","",'Data Pura Costos'!I83)</f>
        <v>4500</v>
      </c>
      <c r="J83" s="52" t="str">
        <f>+IF('Data Pura Costos'!J83="","",'Data Pura Costos'!J83)</f>
        <v>24-25</v>
      </c>
      <c r="K83" s="82" t="str">
        <f t="shared" si="6"/>
        <v xml:space="preserve">La Lajuela-Molina-GUSTAVO ZÚÑIGA </v>
      </c>
      <c r="P83" s="1" t="str">
        <f t="shared" si="5"/>
        <v/>
      </c>
      <c r="Q83" s="23"/>
      <c r="R83" s="333"/>
      <c r="S83" s="336" t="str">
        <f>+IF($Q83="","",IF(SUMIFS('Data Pura Producción'!AD$17:AD$531,'Data Pura Producción'!$R$17:$R$531,$Q83,'Data Pura Producción'!$Q$17:$Q$531,$R83)=0,"",SUMIFS('Data Pura Producción'!AD$17:AD$531,'Data Pura Producción'!$R$17:$R$531,$Q83,'Data Pura Producción'!$Q$17:$Q$531,$R83)))</f>
        <v/>
      </c>
      <c r="T83" s="182" t="str">
        <f>+IF($Q83="","",IF(SUMIFS('Data Pura Producción'!AE$17:AE$531,'Data Pura Producción'!$R$17:$R$531,$Q83,'Data Pura Producción'!$Q$17:$Q$531,$R83)=0,"",SUMIFS('Data Pura Producción'!AE$17:AE$531,'Data Pura Producción'!$R$17:$R$531,$Q83,'Data Pura Producción'!$Q$17:$Q$531,$R83)))</f>
        <v/>
      </c>
      <c r="U83" s="182" t="str">
        <f>+IF($Q83="","",IF(SUMIFS('Data Pura Producción'!AF$17:AF$531,'Data Pura Producción'!$R$17:$R$531,$Q83,'Data Pura Producción'!$Q$17:$Q$531,$R83)=0,"",SUMIFS('Data Pura Producción'!AF$17:AF$531,'Data Pura Producción'!$R$17:$R$531,$Q83,'Data Pura Producción'!$Q$17:$Q$531,$R83)))</f>
        <v/>
      </c>
      <c r="V83" s="182" t="str">
        <f>+IF($Q83="","",IF(SUMIFS('Data Pura Producción'!AG$17:AG$531,'Data Pura Producción'!$R$17:$R$531,$Q83,'Data Pura Producción'!$Q$17:$Q$531,$R83)=0,"",SUMIFS('Data Pura Producción'!AG$17:AG$531,'Data Pura Producción'!$R$17:$R$531,$Q83,'Data Pura Producción'!$Q$17:$Q$531,$R83)))</f>
        <v/>
      </c>
      <c r="W83" s="182" t="str">
        <f>+IF($Q83="","",IF(SUMIFS('Data Pura Producción'!AH$17:AH$531,'Data Pura Producción'!$R$17:$R$531,$Q83,'Data Pura Producción'!$Q$17:$Q$531,$R83)=0,"",SUMIFS('Data Pura Producción'!AH$17:AH$531,'Data Pura Producción'!$R$17:$R$531,$Q83,'Data Pura Producción'!$Q$17:$Q$531,$R83)))</f>
        <v/>
      </c>
      <c r="X83" s="182" t="str">
        <f>+IF($Q83="","",IF(SUMIFS('Data Pura Producción'!AI$17:AI$531,'Data Pura Producción'!$R$17:$R$531,$Q83,'Data Pura Producción'!$Q$17:$Q$531,$R83)=0,"",SUMIFS('Data Pura Producción'!AI$17:AI$531,'Data Pura Producción'!$R$17:$R$531,$Q83,'Data Pura Producción'!$Q$17:$Q$531,$R83)))</f>
        <v/>
      </c>
      <c r="Y83" s="182" t="str">
        <f>+IF($Q83="","",IF(SUMIFS('Data Pura Producción'!AJ$17:AJ$531,'Data Pura Producción'!$R$17:$R$531,$Q83,'Data Pura Producción'!$Q$17:$Q$531,$R83)=0,"",SUMIFS('Data Pura Producción'!AJ$17:AJ$531,'Data Pura Producción'!$R$17:$R$531,$Q83,'Data Pura Producción'!$Q$17:$Q$531,$R83)))</f>
        <v/>
      </c>
      <c r="Z83" s="182" t="str">
        <f>+IF($Q83="","",IF(SUMIFS('Data Pura Producción'!AK$17:AK$531,'Data Pura Producción'!$R$17:$R$531,$Q83,'Data Pura Producción'!$Q$17:$Q$531,$R83)=0,"",SUMIFS('Data Pura Producción'!AK$17:AK$531,'Data Pura Producción'!$R$17:$R$531,$Q83,'Data Pura Producción'!$Q$17:$Q$531,$R83)))</f>
        <v/>
      </c>
      <c r="AA83" s="182" t="str">
        <f>+IF($Q83="","",IF(SUMIFS('Data Pura Producción'!AL$17:AL$531,'Data Pura Producción'!$R$17:$R$531,$Q83,'Data Pura Producción'!$Q$17:$Q$531,$R83)=0,"",SUMIFS('Data Pura Producción'!AL$17:AL$531,'Data Pura Producción'!$R$17:$R$531,$Q83,'Data Pura Producción'!$Q$17:$Q$531,$R83)))</f>
        <v/>
      </c>
      <c r="AB83" s="182" t="str">
        <f>+IF($Q83="","",IF(SUMIFS('Data Pura Producción'!AM$17:AM$531,'Data Pura Producción'!$R$17:$R$531,$Q83,'Data Pura Producción'!$Q$17:$Q$531,$R83)=0,"",SUMIFS('Data Pura Producción'!AM$17:AM$531,'Data Pura Producción'!$R$17:$R$531,$Q83,'Data Pura Producción'!$Q$17:$Q$531,$R83)))</f>
        <v/>
      </c>
      <c r="AC83" s="182" t="str">
        <f>+IF($Q83="","",IF(SUMIFS('Data Pura Producción'!AN$17:AN$531,'Data Pura Producción'!$R$17:$R$531,$Q83,'Data Pura Producción'!$Q$17:$Q$531,$R83)=0,"",SUMIFS('Data Pura Producción'!AN$17:AN$531,'Data Pura Producción'!$R$17:$R$531,$Q83,'Data Pura Producción'!$Q$17:$Q$531,$R83)))</f>
        <v/>
      </c>
      <c r="AD83" s="182" t="str">
        <f>+IF($Q83="","",IF(SUMIFS('Data Pura Producción'!AO$17:AO$531,'Data Pura Producción'!$R$17:$R$531,$Q83,'Data Pura Producción'!$Q$17:$Q$531,$R83)=0,"",SUMIFS('Data Pura Producción'!AO$17:AO$531,'Data Pura Producción'!$R$17:$R$531,$Q83,'Data Pura Producción'!$Q$17:$Q$531,$R83)))</f>
        <v/>
      </c>
      <c r="AE83" s="182" t="str">
        <f>+IF($Q83="","",IF(SUMIFS('Data Pura Producción'!AP$17:AP$531,'Data Pura Producción'!$R$17:$R$531,$Q83,'Data Pura Producción'!$Q$17:$Q$531,$R83)=0,"",SUMIFS('Data Pura Producción'!AP$17:AP$531,'Data Pura Producción'!$R$17:$R$531,$Q83,'Data Pura Producción'!$Q$17:$Q$531,$R83)))</f>
        <v/>
      </c>
      <c r="AF83" s="182" t="str">
        <f>+IF($Q83="","",IF(SUMIFS('Data Pura Producción'!AQ$17:AQ$531,'Data Pura Producción'!$R$17:$R$531,$Q83,'Data Pura Producción'!$Q$17:$Q$531,$R83)=0,"",SUMIFS('Data Pura Producción'!AQ$17:AQ$531,'Data Pura Producción'!$R$17:$R$531,$Q83,'Data Pura Producción'!$Q$17:$Q$531,$R83)))</f>
        <v/>
      </c>
      <c r="AG83" s="182" t="str">
        <f>+IF($Q83="","",IF(SUMIFS('Data Pura Producción'!AR$17:AR$531,'Data Pura Producción'!$R$17:$R$531,$Q83,'Data Pura Producción'!$Q$17:$Q$531,$R83)=0,"",SUMIFS('Data Pura Producción'!AR$17:AR$531,'Data Pura Producción'!$R$17:$R$531,$Q83,'Data Pura Producción'!$Q$17:$Q$531,$R83)))</f>
        <v/>
      </c>
      <c r="AH83" s="182" t="str">
        <f>+IF($Q83="","",IF(SUMIFS('Data Pura Producción'!AS$17:AS$531,'Data Pura Producción'!$R$17:$R$531,$Q83,'Data Pura Producción'!$Q$17:$Q$531,$R83)=0,"",SUMIFS('Data Pura Producción'!AS$17:AS$531,'Data Pura Producción'!$R$17:$R$531,$Q83,'Data Pura Producción'!$Q$17:$Q$531,$R83)))</f>
        <v/>
      </c>
      <c r="AI83" s="182" t="str">
        <f>+IF($Q83="","",IF(SUMIFS('Data Pura Producción'!AT$17:AT$531,'Data Pura Producción'!$R$17:$R$531,$Q83,'Data Pura Producción'!$Q$17:$Q$531,$R83)=0,"",SUMIFS('Data Pura Producción'!AT$17:AT$531,'Data Pura Producción'!$R$17:$R$531,$Q83,'Data Pura Producción'!$Q$17:$Q$531,$R83)))</f>
        <v/>
      </c>
      <c r="AJ83" s="182" t="str">
        <f>+IF($Q83="","",IF(SUMIFS('Data Pura Producción'!AU$17:AU$531,'Data Pura Producción'!$R$17:$R$531,$Q83,'Data Pura Producción'!$Q$17:$Q$531,$R83)=0,"",SUMIFS('Data Pura Producción'!AU$17:AU$531,'Data Pura Producción'!$R$17:$R$531,$Q83,'Data Pura Producción'!$Q$17:$Q$531,$R83)))</f>
        <v/>
      </c>
      <c r="AK83" s="182" t="str">
        <f>+IF($Q83="","",IF(SUMIFS('Data Pura Producción'!AV$17:AV$531,'Data Pura Producción'!$R$17:$R$531,$Q83,'Data Pura Producción'!$Q$17:$Q$531,$R83)=0,"",SUMIFS('Data Pura Producción'!AV$17:AV$531,'Data Pura Producción'!$R$17:$R$531,$Q83,'Data Pura Producción'!$Q$17:$Q$531,$R83)))</f>
        <v/>
      </c>
      <c r="AL83" s="182" t="str">
        <f>+IF($Q83="","",IF(SUMIFS('Data Pura Producción'!AW$17:AW$531,'Data Pura Producción'!$R$17:$R$531,$Q83,'Data Pura Producción'!$Q$17:$Q$531,$R83)=0,"",SUMIFS('Data Pura Producción'!AW$17:AW$531,'Data Pura Producción'!$R$17:$R$531,$Q83,'Data Pura Producción'!$Q$17:$Q$531,$R83)))</f>
        <v/>
      </c>
      <c r="AM83" s="337" t="str">
        <f>+IF($Q83="","",IF(SUMIFS('Data Pura Producción'!AX$17:AX$531,'Data Pura Producción'!$R$17:$R$531,$Q83,'Data Pura Producción'!$Q$17:$Q$531,$R83)=0,"",SUMIFS('Data Pura Producción'!AX$17:AX$531,'Data Pura Producción'!$R$17:$R$531,$Q83,'Data Pura Producción'!$Q$17:$Q$531,$R83)))</f>
        <v/>
      </c>
      <c r="AN83" s="187" t="str">
        <f t="shared" si="4"/>
        <v/>
      </c>
    </row>
    <row r="84" spans="2:40" s="7" customFormat="1" x14ac:dyDescent="0.35">
      <c r="B84" s="4" t="str">
        <f>+IF('Data Pura Costos'!B84="","",'Data Pura Costos'!B84)</f>
        <v>La Morera</v>
      </c>
      <c r="C84" s="4" t="str">
        <f>+IF('Data Pura Costos'!C84="","",'Data Pura Costos'!C84)</f>
        <v>La compañia, VI Region.</v>
      </c>
      <c r="D84" s="5">
        <f>+IF('Data Pura Costos'!D84="","",'Data Pura Costos'!D84)</f>
        <v>130</v>
      </c>
      <c r="E84" s="65">
        <f>+IF('Data Pura Costos'!E84="","",IF('Data Pura Costos'!E84=0,MAX('Data Pura Costos'!$E$7:$E$3000)*1000,'Data Pura Costos'!E84))</f>
        <v>420000</v>
      </c>
      <c r="F84" s="5" t="str">
        <f>+IF('Data Pura Costos'!F84="","",'Data Pura Costos'!F84)</f>
        <v>Molina</v>
      </c>
      <c r="G84" s="5" t="str">
        <f>+IF('Data Pura Costos'!G84="","",'Data Pura Costos'!G84)</f>
        <v xml:space="preserve">GUSTAVO ZÚÑIGA </v>
      </c>
      <c r="H84" s="52" t="str">
        <f>+IF('Data Pura Costos'!H84="","",'Data Pura Costos'!H84)</f>
        <v>Termo</v>
      </c>
      <c r="I84" s="71">
        <f>+IF('Data Pura Costos'!I84="","",'Data Pura Costos'!I84)</f>
        <v>3230.7692307692309</v>
      </c>
      <c r="J84" s="52" t="str">
        <f>+IF('Data Pura Costos'!J84="","",'Data Pura Costos'!J84)</f>
        <v>24-25</v>
      </c>
      <c r="K84" s="82" t="str">
        <f t="shared" si="6"/>
        <v xml:space="preserve">La Morera-Molina-GUSTAVO ZÚÑIGA </v>
      </c>
      <c r="P84" s="1" t="str">
        <f t="shared" si="5"/>
        <v/>
      </c>
      <c r="Q84" s="23"/>
      <c r="R84" s="333"/>
      <c r="S84" s="336" t="str">
        <f>+IF($Q84="","",IF(SUMIFS('Data Pura Producción'!AD$17:AD$531,'Data Pura Producción'!$R$17:$R$531,$Q84,'Data Pura Producción'!$Q$17:$Q$531,$R84)=0,"",SUMIFS('Data Pura Producción'!AD$17:AD$531,'Data Pura Producción'!$R$17:$R$531,$Q84,'Data Pura Producción'!$Q$17:$Q$531,$R84)))</f>
        <v/>
      </c>
      <c r="T84" s="182" t="str">
        <f>+IF($Q84="","",IF(SUMIFS('Data Pura Producción'!AE$17:AE$531,'Data Pura Producción'!$R$17:$R$531,$Q84,'Data Pura Producción'!$Q$17:$Q$531,$R84)=0,"",SUMIFS('Data Pura Producción'!AE$17:AE$531,'Data Pura Producción'!$R$17:$R$531,$Q84,'Data Pura Producción'!$Q$17:$Q$531,$R84)))</f>
        <v/>
      </c>
      <c r="U84" s="182" t="str">
        <f>+IF($Q84="","",IF(SUMIFS('Data Pura Producción'!AF$17:AF$531,'Data Pura Producción'!$R$17:$R$531,$Q84,'Data Pura Producción'!$Q$17:$Q$531,$R84)=0,"",SUMIFS('Data Pura Producción'!AF$17:AF$531,'Data Pura Producción'!$R$17:$R$531,$Q84,'Data Pura Producción'!$Q$17:$Q$531,$R84)))</f>
        <v/>
      </c>
      <c r="V84" s="182" t="str">
        <f>+IF($Q84="","",IF(SUMIFS('Data Pura Producción'!AG$17:AG$531,'Data Pura Producción'!$R$17:$R$531,$Q84,'Data Pura Producción'!$Q$17:$Q$531,$R84)=0,"",SUMIFS('Data Pura Producción'!AG$17:AG$531,'Data Pura Producción'!$R$17:$R$531,$Q84,'Data Pura Producción'!$Q$17:$Q$531,$R84)))</f>
        <v/>
      </c>
      <c r="W84" s="182" t="str">
        <f>+IF($Q84="","",IF(SUMIFS('Data Pura Producción'!AH$17:AH$531,'Data Pura Producción'!$R$17:$R$531,$Q84,'Data Pura Producción'!$Q$17:$Q$531,$R84)=0,"",SUMIFS('Data Pura Producción'!AH$17:AH$531,'Data Pura Producción'!$R$17:$R$531,$Q84,'Data Pura Producción'!$Q$17:$Q$531,$R84)))</f>
        <v/>
      </c>
      <c r="X84" s="182" t="str">
        <f>+IF($Q84="","",IF(SUMIFS('Data Pura Producción'!AI$17:AI$531,'Data Pura Producción'!$R$17:$R$531,$Q84,'Data Pura Producción'!$Q$17:$Q$531,$R84)=0,"",SUMIFS('Data Pura Producción'!AI$17:AI$531,'Data Pura Producción'!$R$17:$R$531,$Q84,'Data Pura Producción'!$Q$17:$Q$531,$R84)))</f>
        <v/>
      </c>
      <c r="Y84" s="182" t="str">
        <f>+IF($Q84="","",IF(SUMIFS('Data Pura Producción'!AJ$17:AJ$531,'Data Pura Producción'!$R$17:$R$531,$Q84,'Data Pura Producción'!$Q$17:$Q$531,$R84)=0,"",SUMIFS('Data Pura Producción'!AJ$17:AJ$531,'Data Pura Producción'!$R$17:$R$531,$Q84,'Data Pura Producción'!$Q$17:$Q$531,$R84)))</f>
        <v/>
      </c>
      <c r="Z84" s="182" t="str">
        <f>+IF($Q84="","",IF(SUMIFS('Data Pura Producción'!AK$17:AK$531,'Data Pura Producción'!$R$17:$R$531,$Q84,'Data Pura Producción'!$Q$17:$Q$531,$R84)=0,"",SUMIFS('Data Pura Producción'!AK$17:AK$531,'Data Pura Producción'!$R$17:$R$531,$Q84,'Data Pura Producción'!$Q$17:$Q$531,$R84)))</f>
        <v/>
      </c>
      <c r="AA84" s="182" t="str">
        <f>+IF($Q84="","",IF(SUMIFS('Data Pura Producción'!AL$17:AL$531,'Data Pura Producción'!$R$17:$R$531,$Q84,'Data Pura Producción'!$Q$17:$Q$531,$R84)=0,"",SUMIFS('Data Pura Producción'!AL$17:AL$531,'Data Pura Producción'!$R$17:$R$531,$Q84,'Data Pura Producción'!$Q$17:$Q$531,$R84)))</f>
        <v/>
      </c>
      <c r="AB84" s="182" t="str">
        <f>+IF($Q84="","",IF(SUMIFS('Data Pura Producción'!AM$17:AM$531,'Data Pura Producción'!$R$17:$R$531,$Q84,'Data Pura Producción'!$Q$17:$Q$531,$R84)=0,"",SUMIFS('Data Pura Producción'!AM$17:AM$531,'Data Pura Producción'!$R$17:$R$531,$Q84,'Data Pura Producción'!$Q$17:$Q$531,$R84)))</f>
        <v/>
      </c>
      <c r="AC84" s="182" t="str">
        <f>+IF($Q84="","",IF(SUMIFS('Data Pura Producción'!AN$17:AN$531,'Data Pura Producción'!$R$17:$R$531,$Q84,'Data Pura Producción'!$Q$17:$Q$531,$R84)=0,"",SUMIFS('Data Pura Producción'!AN$17:AN$531,'Data Pura Producción'!$R$17:$R$531,$Q84,'Data Pura Producción'!$Q$17:$Q$531,$R84)))</f>
        <v/>
      </c>
      <c r="AD84" s="182" t="str">
        <f>+IF($Q84="","",IF(SUMIFS('Data Pura Producción'!AO$17:AO$531,'Data Pura Producción'!$R$17:$R$531,$Q84,'Data Pura Producción'!$Q$17:$Q$531,$R84)=0,"",SUMIFS('Data Pura Producción'!AO$17:AO$531,'Data Pura Producción'!$R$17:$R$531,$Q84,'Data Pura Producción'!$Q$17:$Q$531,$R84)))</f>
        <v/>
      </c>
      <c r="AE84" s="182" t="str">
        <f>+IF($Q84="","",IF(SUMIFS('Data Pura Producción'!AP$17:AP$531,'Data Pura Producción'!$R$17:$R$531,$Q84,'Data Pura Producción'!$Q$17:$Q$531,$R84)=0,"",SUMIFS('Data Pura Producción'!AP$17:AP$531,'Data Pura Producción'!$R$17:$R$531,$Q84,'Data Pura Producción'!$Q$17:$Q$531,$R84)))</f>
        <v/>
      </c>
      <c r="AF84" s="182" t="str">
        <f>+IF($Q84="","",IF(SUMIFS('Data Pura Producción'!AQ$17:AQ$531,'Data Pura Producción'!$R$17:$R$531,$Q84,'Data Pura Producción'!$Q$17:$Q$531,$R84)=0,"",SUMIFS('Data Pura Producción'!AQ$17:AQ$531,'Data Pura Producción'!$R$17:$R$531,$Q84,'Data Pura Producción'!$Q$17:$Q$531,$R84)))</f>
        <v/>
      </c>
      <c r="AG84" s="182" t="str">
        <f>+IF($Q84="","",IF(SUMIFS('Data Pura Producción'!AR$17:AR$531,'Data Pura Producción'!$R$17:$R$531,$Q84,'Data Pura Producción'!$Q$17:$Q$531,$R84)=0,"",SUMIFS('Data Pura Producción'!AR$17:AR$531,'Data Pura Producción'!$R$17:$R$531,$Q84,'Data Pura Producción'!$Q$17:$Q$531,$R84)))</f>
        <v/>
      </c>
      <c r="AH84" s="182" t="str">
        <f>+IF($Q84="","",IF(SUMIFS('Data Pura Producción'!AS$17:AS$531,'Data Pura Producción'!$R$17:$R$531,$Q84,'Data Pura Producción'!$Q$17:$Q$531,$R84)=0,"",SUMIFS('Data Pura Producción'!AS$17:AS$531,'Data Pura Producción'!$R$17:$R$531,$Q84,'Data Pura Producción'!$Q$17:$Q$531,$R84)))</f>
        <v/>
      </c>
      <c r="AI84" s="182" t="str">
        <f>+IF($Q84="","",IF(SUMIFS('Data Pura Producción'!AT$17:AT$531,'Data Pura Producción'!$R$17:$R$531,$Q84,'Data Pura Producción'!$Q$17:$Q$531,$R84)=0,"",SUMIFS('Data Pura Producción'!AT$17:AT$531,'Data Pura Producción'!$R$17:$R$531,$Q84,'Data Pura Producción'!$Q$17:$Q$531,$R84)))</f>
        <v/>
      </c>
      <c r="AJ84" s="182" t="str">
        <f>+IF($Q84="","",IF(SUMIFS('Data Pura Producción'!AU$17:AU$531,'Data Pura Producción'!$R$17:$R$531,$Q84,'Data Pura Producción'!$Q$17:$Q$531,$R84)=0,"",SUMIFS('Data Pura Producción'!AU$17:AU$531,'Data Pura Producción'!$R$17:$R$531,$Q84,'Data Pura Producción'!$Q$17:$Q$531,$R84)))</f>
        <v/>
      </c>
      <c r="AK84" s="182" t="str">
        <f>+IF($Q84="","",IF(SUMIFS('Data Pura Producción'!AV$17:AV$531,'Data Pura Producción'!$R$17:$R$531,$Q84,'Data Pura Producción'!$Q$17:$Q$531,$R84)=0,"",SUMIFS('Data Pura Producción'!AV$17:AV$531,'Data Pura Producción'!$R$17:$R$531,$Q84,'Data Pura Producción'!$Q$17:$Q$531,$R84)))</f>
        <v/>
      </c>
      <c r="AL84" s="182" t="str">
        <f>+IF($Q84="","",IF(SUMIFS('Data Pura Producción'!AW$17:AW$531,'Data Pura Producción'!$R$17:$R$531,$Q84,'Data Pura Producción'!$Q$17:$Q$531,$R84)=0,"",SUMIFS('Data Pura Producción'!AW$17:AW$531,'Data Pura Producción'!$R$17:$R$531,$Q84,'Data Pura Producción'!$Q$17:$Q$531,$R84)))</f>
        <v/>
      </c>
      <c r="AM84" s="337" t="str">
        <f>+IF($Q84="","",IF(SUMIFS('Data Pura Producción'!AX$17:AX$531,'Data Pura Producción'!$R$17:$R$531,$Q84,'Data Pura Producción'!$Q$17:$Q$531,$R84)=0,"",SUMIFS('Data Pura Producción'!AX$17:AX$531,'Data Pura Producción'!$R$17:$R$531,$Q84,'Data Pura Producción'!$Q$17:$Q$531,$R84)))</f>
        <v/>
      </c>
      <c r="AN84" s="187" t="str">
        <f t="shared" si="4"/>
        <v/>
      </c>
    </row>
    <row r="85" spans="2:40" s="7" customFormat="1" x14ac:dyDescent="0.35">
      <c r="B85" s="4" t="str">
        <f>+IF('Data Pura Costos'!B85="","",'Data Pura Costos'!B85)</f>
        <v>La Rinconada</v>
      </c>
      <c r="C85" s="4" t="str">
        <f>+IF('Data Pura Costos'!C85="","",'Data Pura Costos'!C85)</f>
        <v>Pichidegua, VI región</v>
      </c>
      <c r="D85" s="5">
        <f>+IF('Data Pura Costos'!D85="","",'Data Pura Costos'!D85)</f>
        <v>133</v>
      </c>
      <c r="E85" s="65">
        <f>+IF('Data Pura Costos'!E85="","",IF('Data Pura Costos'!E85=0,MAX('Data Pura Costos'!$E$7:$E$3000)*1000,'Data Pura Costos'!E85))</f>
        <v>420000</v>
      </c>
      <c r="F85" s="5" t="str">
        <f>+IF('Data Pura Costos'!F85="","",'Data Pura Costos'!F85)</f>
        <v>Molina</v>
      </c>
      <c r="G85" s="5" t="str">
        <f>+IF('Data Pura Costos'!G85="","",'Data Pura Costos'!G85)</f>
        <v xml:space="preserve">GUSTAVO ZÚÑIGA </v>
      </c>
      <c r="H85" s="52" t="str">
        <f>+IF('Data Pura Costos'!H85="","",'Data Pura Costos'!H85)</f>
        <v>Termo</v>
      </c>
      <c r="I85" s="71">
        <f>+IF('Data Pura Costos'!I85="","",'Data Pura Costos'!I85)</f>
        <v>3157.8947368421054</v>
      </c>
      <c r="J85" s="52" t="str">
        <f>+IF('Data Pura Costos'!J85="","",'Data Pura Costos'!J85)</f>
        <v>24-25</v>
      </c>
      <c r="K85" s="82" t="str">
        <f t="shared" si="6"/>
        <v xml:space="preserve">La Rinconada-Molina-GUSTAVO ZÚÑIGA </v>
      </c>
      <c r="P85" s="1" t="str">
        <f t="shared" si="5"/>
        <v/>
      </c>
      <c r="Q85" s="23"/>
      <c r="R85" s="333"/>
      <c r="S85" s="336" t="str">
        <f>+IF($Q85="","",IF(SUMIFS('Data Pura Producción'!AD$17:AD$531,'Data Pura Producción'!$R$17:$R$531,$Q85,'Data Pura Producción'!$Q$17:$Q$531,$R85)=0,"",SUMIFS('Data Pura Producción'!AD$17:AD$531,'Data Pura Producción'!$R$17:$R$531,$Q85,'Data Pura Producción'!$Q$17:$Q$531,$R85)))</f>
        <v/>
      </c>
      <c r="T85" s="182" t="str">
        <f>+IF($Q85="","",IF(SUMIFS('Data Pura Producción'!AE$17:AE$531,'Data Pura Producción'!$R$17:$R$531,$Q85,'Data Pura Producción'!$Q$17:$Q$531,$R85)=0,"",SUMIFS('Data Pura Producción'!AE$17:AE$531,'Data Pura Producción'!$R$17:$R$531,$Q85,'Data Pura Producción'!$Q$17:$Q$531,$R85)))</f>
        <v/>
      </c>
      <c r="U85" s="182" t="str">
        <f>+IF($Q85="","",IF(SUMIFS('Data Pura Producción'!AF$17:AF$531,'Data Pura Producción'!$R$17:$R$531,$Q85,'Data Pura Producción'!$Q$17:$Q$531,$R85)=0,"",SUMIFS('Data Pura Producción'!AF$17:AF$531,'Data Pura Producción'!$R$17:$R$531,$Q85,'Data Pura Producción'!$Q$17:$Q$531,$R85)))</f>
        <v/>
      </c>
      <c r="V85" s="182" t="str">
        <f>+IF($Q85="","",IF(SUMIFS('Data Pura Producción'!AG$17:AG$531,'Data Pura Producción'!$R$17:$R$531,$Q85,'Data Pura Producción'!$Q$17:$Q$531,$R85)=0,"",SUMIFS('Data Pura Producción'!AG$17:AG$531,'Data Pura Producción'!$R$17:$R$531,$Q85,'Data Pura Producción'!$Q$17:$Q$531,$R85)))</f>
        <v/>
      </c>
      <c r="W85" s="182" t="str">
        <f>+IF($Q85="","",IF(SUMIFS('Data Pura Producción'!AH$17:AH$531,'Data Pura Producción'!$R$17:$R$531,$Q85,'Data Pura Producción'!$Q$17:$Q$531,$R85)=0,"",SUMIFS('Data Pura Producción'!AH$17:AH$531,'Data Pura Producción'!$R$17:$R$531,$Q85,'Data Pura Producción'!$Q$17:$Q$531,$R85)))</f>
        <v/>
      </c>
      <c r="X85" s="182" t="str">
        <f>+IF($Q85="","",IF(SUMIFS('Data Pura Producción'!AI$17:AI$531,'Data Pura Producción'!$R$17:$R$531,$Q85,'Data Pura Producción'!$Q$17:$Q$531,$R85)=0,"",SUMIFS('Data Pura Producción'!AI$17:AI$531,'Data Pura Producción'!$R$17:$R$531,$Q85,'Data Pura Producción'!$Q$17:$Q$531,$R85)))</f>
        <v/>
      </c>
      <c r="Y85" s="182" t="str">
        <f>+IF($Q85="","",IF(SUMIFS('Data Pura Producción'!AJ$17:AJ$531,'Data Pura Producción'!$R$17:$R$531,$Q85,'Data Pura Producción'!$Q$17:$Q$531,$R85)=0,"",SUMIFS('Data Pura Producción'!AJ$17:AJ$531,'Data Pura Producción'!$R$17:$R$531,$Q85,'Data Pura Producción'!$Q$17:$Q$531,$R85)))</f>
        <v/>
      </c>
      <c r="Z85" s="182" t="str">
        <f>+IF($Q85="","",IF(SUMIFS('Data Pura Producción'!AK$17:AK$531,'Data Pura Producción'!$R$17:$R$531,$Q85,'Data Pura Producción'!$Q$17:$Q$531,$R85)=0,"",SUMIFS('Data Pura Producción'!AK$17:AK$531,'Data Pura Producción'!$R$17:$R$531,$Q85,'Data Pura Producción'!$Q$17:$Q$531,$R85)))</f>
        <v/>
      </c>
      <c r="AA85" s="182" t="str">
        <f>+IF($Q85="","",IF(SUMIFS('Data Pura Producción'!AL$17:AL$531,'Data Pura Producción'!$R$17:$R$531,$Q85,'Data Pura Producción'!$Q$17:$Q$531,$R85)=0,"",SUMIFS('Data Pura Producción'!AL$17:AL$531,'Data Pura Producción'!$R$17:$R$531,$Q85,'Data Pura Producción'!$Q$17:$Q$531,$R85)))</f>
        <v/>
      </c>
      <c r="AB85" s="182" t="str">
        <f>+IF($Q85="","",IF(SUMIFS('Data Pura Producción'!AM$17:AM$531,'Data Pura Producción'!$R$17:$R$531,$Q85,'Data Pura Producción'!$Q$17:$Q$531,$R85)=0,"",SUMIFS('Data Pura Producción'!AM$17:AM$531,'Data Pura Producción'!$R$17:$R$531,$Q85,'Data Pura Producción'!$Q$17:$Q$531,$R85)))</f>
        <v/>
      </c>
      <c r="AC85" s="182" t="str">
        <f>+IF($Q85="","",IF(SUMIFS('Data Pura Producción'!AN$17:AN$531,'Data Pura Producción'!$R$17:$R$531,$Q85,'Data Pura Producción'!$Q$17:$Q$531,$R85)=0,"",SUMIFS('Data Pura Producción'!AN$17:AN$531,'Data Pura Producción'!$R$17:$R$531,$Q85,'Data Pura Producción'!$Q$17:$Q$531,$R85)))</f>
        <v/>
      </c>
      <c r="AD85" s="182" t="str">
        <f>+IF($Q85="","",IF(SUMIFS('Data Pura Producción'!AO$17:AO$531,'Data Pura Producción'!$R$17:$R$531,$Q85,'Data Pura Producción'!$Q$17:$Q$531,$R85)=0,"",SUMIFS('Data Pura Producción'!AO$17:AO$531,'Data Pura Producción'!$R$17:$R$531,$Q85,'Data Pura Producción'!$Q$17:$Q$531,$R85)))</f>
        <v/>
      </c>
      <c r="AE85" s="182" t="str">
        <f>+IF($Q85="","",IF(SUMIFS('Data Pura Producción'!AP$17:AP$531,'Data Pura Producción'!$R$17:$R$531,$Q85,'Data Pura Producción'!$Q$17:$Q$531,$R85)=0,"",SUMIFS('Data Pura Producción'!AP$17:AP$531,'Data Pura Producción'!$R$17:$R$531,$Q85,'Data Pura Producción'!$Q$17:$Q$531,$R85)))</f>
        <v/>
      </c>
      <c r="AF85" s="182" t="str">
        <f>+IF($Q85="","",IF(SUMIFS('Data Pura Producción'!AQ$17:AQ$531,'Data Pura Producción'!$R$17:$R$531,$Q85,'Data Pura Producción'!$Q$17:$Q$531,$R85)=0,"",SUMIFS('Data Pura Producción'!AQ$17:AQ$531,'Data Pura Producción'!$R$17:$R$531,$Q85,'Data Pura Producción'!$Q$17:$Q$531,$R85)))</f>
        <v/>
      </c>
      <c r="AG85" s="182" t="str">
        <f>+IF($Q85="","",IF(SUMIFS('Data Pura Producción'!AR$17:AR$531,'Data Pura Producción'!$R$17:$R$531,$Q85,'Data Pura Producción'!$Q$17:$Q$531,$R85)=0,"",SUMIFS('Data Pura Producción'!AR$17:AR$531,'Data Pura Producción'!$R$17:$R$531,$Q85,'Data Pura Producción'!$Q$17:$Q$531,$R85)))</f>
        <v/>
      </c>
      <c r="AH85" s="182" t="str">
        <f>+IF($Q85="","",IF(SUMIFS('Data Pura Producción'!AS$17:AS$531,'Data Pura Producción'!$R$17:$R$531,$Q85,'Data Pura Producción'!$Q$17:$Q$531,$R85)=0,"",SUMIFS('Data Pura Producción'!AS$17:AS$531,'Data Pura Producción'!$R$17:$R$531,$Q85,'Data Pura Producción'!$Q$17:$Q$531,$R85)))</f>
        <v/>
      </c>
      <c r="AI85" s="182" t="str">
        <f>+IF($Q85="","",IF(SUMIFS('Data Pura Producción'!AT$17:AT$531,'Data Pura Producción'!$R$17:$R$531,$Q85,'Data Pura Producción'!$Q$17:$Q$531,$R85)=0,"",SUMIFS('Data Pura Producción'!AT$17:AT$531,'Data Pura Producción'!$R$17:$R$531,$Q85,'Data Pura Producción'!$Q$17:$Q$531,$R85)))</f>
        <v/>
      </c>
      <c r="AJ85" s="182" t="str">
        <f>+IF($Q85="","",IF(SUMIFS('Data Pura Producción'!AU$17:AU$531,'Data Pura Producción'!$R$17:$R$531,$Q85,'Data Pura Producción'!$Q$17:$Q$531,$R85)=0,"",SUMIFS('Data Pura Producción'!AU$17:AU$531,'Data Pura Producción'!$R$17:$R$531,$Q85,'Data Pura Producción'!$Q$17:$Q$531,$R85)))</f>
        <v/>
      </c>
      <c r="AK85" s="182" t="str">
        <f>+IF($Q85="","",IF(SUMIFS('Data Pura Producción'!AV$17:AV$531,'Data Pura Producción'!$R$17:$R$531,$Q85,'Data Pura Producción'!$Q$17:$Q$531,$R85)=0,"",SUMIFS('Data Pura Producción'!AV$17:AV$531,'Data Pura Producción'!$R$17:$R$531,$Q85,'Data Pura Producción'!$Q$17:$Q$531,$R85)))</f>
        <v/>
      </c>
      <c r="AL85" s="182" t="str">
        <f>+IF($Q85="","",IF(SUMIFS('Data Pura Producción'!AW$17:AW$531,'Data Pura Producción'!$R$17:$R$531,$Q85,'Data Pura Producción'!$Q$17:$Q$531,$R85)=0,"",SUMIFS('Data Pura Producción'!AW$17:AW$531,'Data Pura Producción'!$R$17:$R$531,$Q85,'Data Pura Producción'!$Q$17:$Q$531,$R85)))</f>
        <v/>
      </c>
      <c r="AM85" s="337" t="str">
        <f>+IF($Q85="","",IF(SUMIFS('Data Pura Producción'!AX$17:AX$531,'Data Pura Producción'!$R$17:$R$531,$Q85,'Data Pura Producción'!$Q$17:$Q$531,$R85)=0,"",SUMIFS('Data Pura Producción'!AX$17:AX$531,'Data Pura Producción'!$R$17:$R$531,$Q85,'Data Pura Producción'!$Q$17:$Q$531,$R85)))</f>
        <v/>
      </c>
      <c r="AN85" s="187" t="str">
        <f t="shared" si="4"/>
        <v/>
      </c>
    </row>
    <row r="86" spans="2:40" s="7" customFormat="1" x14ac:dyDescent="0.35">
      <c r="B86" s="4" t="str">
        <f>+IF('Data Pura Costos'!B86="","",'Data Pura Costos'!B86)</f>
        <v xml:space="preserve">La Roblería </v>
      </c>
      <c r="C86" s="4" t="str">
        <f>+IF('Data Pura Costos'!C86="","",'Data Pura Costos'!C86)</f>
        <v>Aculeo, RM</v>
      </c>
      <c r="D86" s="5">
        <f>+IF('Data Pura Costos'!D86="","",'Data Pura Costos'!D86)</f>
        <v>180</v>
      </c>
      <c r="E86" s="65">
        <f>+IF('Data Pura Costos'!E86="","",IF('Data Pura Costos'!E86=0,MAX('Data Pura Costos'!$E$7:$E$3000)*1000,'Data Pura Costos'!E86))</f>
        <v>520000</v>
      </c>
      <c r="F86" s="5" t="str">
        <f>+IF('Data Pura Costos'!F86="","",'Data Pura Costos'!F86)</f>
        <v>Molina</v>
      </c>
      <c r="G86" s="5" t="str">
        <f>+IF('Data Pura Costos'!G86="","",'Data Pura Costos'!G86)</f>
        <v xml:space="preserve">GUSTAVO ZÚÑIGA </v>
      </c>
      <c r="H86" s="52" t="str">
        <f>+IF('Data Pura Costos'!H86="","",'Data Pura Costos'!H86)</f>
        <v>Termo</v>
      </c>
      <c r="I86" s="71">
        <f>+IF('Data Pura Costos'!I86="","",'Data Pura Costos'!I86)</f>
        <v>2888.8888888888887</v>
      </c>
      <c r="J86" s="52" t="str">
        <f>+IF('Data Pura Costos'!J86="","",'Data Pura Costos'!J86)</f>
        <v>24-25</v>
      </c>
      <c r="K86" s="82" t="str">
        <f t="shared" si="6"/>
        <v xml:space="preserve">La Roblería -Molina-GUSTAVO ZÚÑIGA </v>
      </c>
      <c r="P86" s="1" t="str">
        <f t="shared" si="5"/>
        <v/>
      </c>
      <c r="Q86" s="23"/>
      <c r="R86" s="333"/>
      <c r="S86" s="336" t="str">
        <f>+IF($Q86="","",IF(SUMIFS('Data Pura Producción'!AD$17:AD$531,'Data Pura Producción'!$R$17:$R$531,$Q86,'Data Pura Producción'!$Q$17:$Q$531,$R86)=0,"",SUMIFS('Data Pura Producción'!AD$17:AD$531,'Data Pura Producción'!$R$17:$R$531,$Q86,'Data Pura Producción'!$Q$17:$Q$531,$R86)))</f>
        <v/>
      </c>
      <c r="T86" s="182" t="str">
        <f>+IF($Q86="","",IF(SUMIFS('Data Pura Producción'!AE$17:AE$531,'Data Pura Producción'!$R$17:$R$531,$Q86,'Data Pura Producción'!$Q$17:$Q$531,$R86)=0,"",SUMIFS('Data Pura Producción'!AE$17:AE$531,'Data Pura Producción'!$R$17:$R$531,$Q86,'Data Pura Producción'!$Q$17:$Q$531,$R86)))</f>
        <v/>
      </c>
      <c r="U86" s="182" t="str">
        <f>+IF($Q86="","",IF(SUMIFS('Data Pura Producción'!AF$17:AF$531,'Data Pura Producción'!$R$17:$R$531,$Q86,'Data Pura Producción'!$Q$17:$Q$531,$R86)=0,"",SUMIFS('Data Pura Producción'!AF$17:AF$531,'Data Pura Producción'!$R$17:$R$531,$Q86,'Data Pura Producción'!$Q$17:$Q$531,$R86)))</f>
        <v/>
      </c>
      <c r="V86" s="182" t="str">
        <f>+IF($Q86="","",IF(SUMIFS('Data Pura Producción'!AG$17:AG$531,'Data Pura Producción'!$R$17:$R$531,$Q86,'Data Pura Producción'!$Q$17:$Q$531,$R86)=0,"",SUMIFS('Data Pura Producción'!AG$17:AG$531,'Data Pura Producción'!$R$17:$R$531,$Q86,'Data Pura Producción'!$Q$17:$Q$531,$R86)))</f>
        <v/>
      </c>
      <c r="W86" s="182" t="str">
        <f>+IF($Q86="","",IF(SUMIFS('Data Pura Producción'!AH$17:AH$531,'Data Pura Producción'!$R$17:$R$531,$Q86,'Data Pura Producción'!$Q$17:$Q$531,$R86)=0,"",SUMIFS('Data Pura Producción'!AH$17:AH$531,'Data Pura Producción'!$R$17:$R$531,$Q86,'Data Pura Producción'!$Q$17:$Q$531,$R86)))</f>
        <v/>
      </c>
      <c r="X86" s="182" t="str">
        <f>+IF($Q86="","",IF(SUMIFS('Data Pura Producción'!AI$17:AI$531,'Data Pura Producción'!$R$17:$R$531,$Q86,'Data Pura Producción'!$Q$17:$Q$531,$R86)=0,"",SUMIFS('Data Pura Producción'!AI$17:AI$531,'Data Pura Producción'!$R$17:$R$531,$Q86,'Data Pura Producción'!$Q$17:$Q$531,$R86)))</f>
        <v/>
      </c>
      <c r="Y86" s="182" t="str">
        <f>+IF($Q86="","",IF(SUMIFS('Data Pura Producción'!AJ$17:AJ$531,'Data Pura Producción'!$R$17:$R$531,$Q86,'Data Pura Producción'!$Q$17:$Q$531,$R86)=0,"",SUMIFS('Data Pura Producción'!AJ$17:AJ$531,'Data Pura Producción'!$R$17:$R$531,$Q86,'Data Pura Producción'!$Q$17:$Q$531,$R86)))</f>
        <v/>
      </c>
      <c r="Z86" s="182" t="str">
        <f>+IF($Q86="","",IF(SUMIFS('Data Pura Producción'!AK$17:AK$531,'Data Pura Producción'!$R$17:$R$531,$Q86,'Data Pura Producción'!$Q$17:$Q$531,$R86)=0,"",SUMIFS('Data Pura Producción'!AK$17:AK$531,'Data Pura Producción'!$R$17:$R$531,$Q86,'Data Pura Producción'!$Q$17:$Q$531,$R86)))</f>
        <v/>
      </c>
      <c r="AA86" s="182" t="str">
        <f>+IF($Q86="","",IF(SUMIFS('Data Pura Producción'!AL$17:AL$531,'Data Pura Producción'!$R$17:$R$531,$Q86,'Data Pura Producción'!$Q$17:$Q$531,$R86)=0,"",SUMIFS('Data Pura Producción'!AL$17:AL$531,'Data Pura Producción'!$R$17:$R$531,$Q86,'Data Pura Producción'!$Q$17:$Q$531,$R86)))</f>
        <v/>
      </c>
      <c r="AB86" s="182" t="str">
        <f>+IF($Q86="","",IF(SUMIFS('Data Pura Producción'!AM$17:AM$531,'Data Pura Producción'!$R$17:$R$531,$Q86,'Data Pura Producción'!$Q$17:$Q$531,$R86)=0,"",SUMIFS('Data Pura Producción'!AM$17:AM$531,'Data Pura Producción'!$R$17:$R$531,$Q86,'Data Pura Producción'!$Q$17:$Q$531,$R86)))</f>
        <v/>
      </c>
      <c r="AC86" s="182" t="str">
        <f>+IF($Q86="","",IF(SUMIFS('Data Pura Producción'!AN$17:AN$531,'Data Pura Producción'!$R$17:$R$531,$Q86,'Data Pura Producción'!$Q$17:$Q$531,$R86)=0,"",SUMIFS('Data Pura Producción'!AN$17:AN$531,'Data Pura Producción'!$R$17:$R$531,$Q86,'Data Pura Producción'!$Q$17:$Q$531,$R86)))</f>
        <v/>
      </c>
      <c r="AD86" s="182" t="str">
        <f>+IF($Q86="","",IF(SUMIFS('Data Pura Producción'!AO$17:AO$531,'Data Pura Producción'!$R$17:$R$531,$Q86,'Data Pura Producción'!$Q$17:$Q$531,$R86)=0,"",SUMIFS('Data Pura Producción'!AO$17:AO$531,'Data Pura Producción'!$R$17:$R$531,$Q86,'Data Pura Producción'!$Q$17:$Q$531,$R86)))</f>
        <v/>
      </c>
      <c r="AE86" s="182" t="str">
        <f>+IF($Q86="","",IF(SUMIFS('Data Pura Producción'!AP$17:AP$531,'Data Pura Producción'!$R$17:$R$531,$Q86,'Data Pura Producción'!$Q$17:$Q$531,$R86)=0,"",SUMIFS('Data Pura Producción'!AP$17:AP$531,'Data Pura Producción'!$R$17:$R$531,$Q86,'Data Pura Producción'!$Q$17:$Q$531,$R86)))</f>
        <v/>
      </c>
      <c r="AF86" s="182" t="str">
        <f>+IF($Q86="","",IF(SUMIFS('Data Pura Producción'!AQ$17:AQ$531,'Data Pura Producción'!$R$17:$R$531,$Q86,'Data Pura Producción'!$Q$17:$Q$531,$R86)=0,"",SUMIFS('Data Pura Producción'!AQ$17:AQ$531,'Data Pura Producción'!$R$17:$R$531,$Q86,'Data Pura Producción'!$Q$17:$Q$531,$R86)))</f>
        <v/>
      </c>
      <c r="AG86" s="182" t="str">
        <f>+IF($Q86="","",IF(SUMIFS('Data Pura Producción'!AR$17:AR$531,'Data Pura Producción'!$R$17:$R$531,$Q86,'Data Pura Producción'!$Q$17:$Q$531,$R86)=0,"",SUMIFS('Data Pura Producción'!AR$17:AR$531,'Data Pura Producción'!$R$17:$R$531,$Q86,'Data Pura Producción'!$Q$17:$Q$531,$R86)))</f>
        <v/>
      </c>
      <c r="AH86" s="182" t="str">
        <f>+IF($Q86="","",IF(SUMIFS('Data Pura Producción'!AS$17:AS$531,'Data Pura Producción'!$R$17:$R$531,$Q86,'Data Pura Producción'!$Q$17:$Q$531,$R86)=0,"",SUMIFS('Data Pura Producción'!AS$17:AS$531,'Data Pura Producción'!$R$17:$R$531,$Q86,'Data Pura Producción'!$Q$17:$Q$531,$R86)))</f>
        <v/>
      </c>
      <c r="AI86" s="182" t="str">
        <f>+IF($Q86="","",IF(SUMIFS('Data Pura Producción'!AT$17:AT$531,'Data Pura Producción'!$R$17:$R$531,$Q86,'Data Pura Producción'!$Q$17:$Q$531,$R86)=0,"",SUMIFS('Data Pura Producción'!AT$17:AT$531,'Data Pura Producción'!$R$17:$R$531,$Q86,'Data Pura Producción'!$Q$17:$Q$531,$R86)))</f>
        <v/>
      </c>
      <c r="AJ86" s="182" t="str">
        <f>+IF($Q86="","",IF(SUMIFS('Data Pura Producción'!AU$17:AU$531,'Data Pura Producción'!$R$17:$R$531,$Q86,'Data Pura Producción'!$Q$17:$Q$531,$R86)=0,"",SUMIFS('Data Pura Producción'!AU$17:AU$531,'Data Pura Producción'!$R$17:$R$531,$Q86,'Data Pura Producción'!$Q$17:$Q$531,$R86)))</f>
        <v/>
      </c>
      <c r="AK86" s="182" t="str">
        <f>+IF($Q86="","",IF(SUMIFS('Data Pura Producción'!AV$17:AV$531,'Data Pura Producción'!$R$17:$R$531,$Q86,'Data Pura Producción'!$Q$17:$Q$531,$R86)=0,"",SUMIFS('Data Pura Producción'!AV$17:AV$531,'Data Pura Producción'!$R$17:$R$531,$Q86,'Data Pura Producción'!$Q$17:$Q$531,$R86)))</f>
        <v/>
      </c>
      <c r="AL86" s="182" t="str">
        <f>+IF($Q86="","",IF(SUMIFS('Data Pura Producción'!AW$17:AW$531,'Data Pura Producción'!$R$17:$R$531,$Q86,'Data Pura Producción'!$Q$17:$Q$531,$R86)=0,"",SUMIFS('Data Pura Producción'!AW$17:AW$531,'Data Pura Producción'!$R$17:$R$531,$Q86,'Data Pura Producción'!$Q$17:$Q$531,$R86)))</f>
        <v/>
      </c>
      <c r="AM86" s="337" t="str">
        <f>+IF($Q86="","",IF(SUMIFS('Data Pura Producción'!AX$17:AX$531,'Data Pura Producción'!$R$17:$R$531,$Q86,'Data Pura Producción'!$Q$17:$Q$531,$R86)=0,"",SUMIFS('Data Pura Producción'!AX$17:AX$531,'Data Pura Producción'!$R$17:$R$531,$Q86,'Data Pura Producción'!$Q$17:$Q$531,$R86)))</f>
        <v/>
      </c>
      <c r="AN86" s="187" t="str">
        <f t="shared" si="4"/>
        <v/>
      </c>
    </row>
    <row r="87" spans="2:40" s="7" customFormat="1" x14ac:dyDescent="0.35">
      <c r="B87" s="4" t="str">
        <f>+IF('Data Pura Costos'!B87="","",'Data Pura Costos'!B87)</f>
        <v>Las Cabras</v>
      </c>
      <c r="C87" s="4" t="str">
        <f>+IF('Data Pura Costos'!C87="","",'Data Pura Costos'!C87)</f>
        <v>Las Cabras, VI región</v>
      </c>
      <c r="D87" s="5">
        <f>+IF('Data Pura Costos'!D87="","",'Data Pura Costos'!D87)</f>
        <v>140</v>
      </c>
      <c r="E87" s="65">
        <f>+IF('Data Pura Costos'!E87="","",IF('Data Pura Costos'!E87=0,MAX('Data Pura Costos'!$E$7:$E$3000)*1000,'Data Pura Costos'!E87))</f>
        <v>460000</v>
      </c>
      <c r="F87" s="5" t="str">
        <f>+IF('Data Pura Costos'!F87="","",'Data Pura Costos'!F87)</f>
        <v>Molina</v>
      </c>
      <c r="G87" s="5" t="str">
        <f>+IF('Data Pura Costos'!G87="","",'Data Pura Costos'!G87)</f>
        <v xml:space="preserve">GUSTAVO ZÚÑIGA </v>
      </c>
      <c r="H87" s="52" t="str">
        <f>+IF('Data Pura Costos'!H87="","",'Data Pura Costos'!H87)</f>
        <v>Termo</v>
      </c>
      <c r="I87" s="71">
        <f>+IF('Data Pura Costos'!I87="","",'Data Pura Costos'!I87)</f>
        <v>3285.7142857142858</v>
      </c>
      <c r="J87" s="52" t="str">
        <f>+IF('Data Pura Costos'!J87="","",'Data Pura Costos'!J87)</f>
        <v>24-25</v>
      </c>
      <c r="K87" s="82" t="str">
        <f t="shared" si="6"/>
        <v xml:space="preserve">Las Cabras-Molina-GUSTAVO ZÚÑIGA </v>
      </c>
      <c r="P87" s="1" t="str">
        <f t="shared" si="5"/>
        <v/>
      </c>
      <c r="Q87" s="23"/>
      <c r="R87" s="333"/>
      <c r="S87" s="336" t="str">
        <f>+IF($Q87="","",IF(SUMIFS('Data Pura Producción'!AD$17:AD$531,'Data Pura Producción'!$R$17:$R$531,$Q87,'Data Pura Producción'!$Q$17:$Q$531,$R87)=0,"",SUMIFS('Data Pura Producción'!AD$17:AD$531,'Data Pura Producción'!$R$17:$R$531,$Q87,'Data Pura Producción'!$Q$17:$Q$531,$R87)))</f>
        <v/>
      </c>
      <c r="T87" s="182" t="str">
        <f>+IF($Q87="","",IF(SUMIFS('Data Pura Producción'!AE$17:AE$531,'Data Pura Producción'!$R$17:$R$531,$Q87,'Data Pura Producción'!$Q$17:$Q$531,$R87)=0,"",SUMIFS('Data Pura Producción'!AE$17:AE$531,'Data Pura Producción'!$R$17:$R$531,$Q87,'Data Pura Producción'!$Q$17:$Q$531,$R87)))</f>
        <v/>
      </c>
      <c r="U87" s="182" t="str">
        <f>+IF($Q87="","",IF(SUMIFS('Data Pura Producción'!AF$17:AF$531,'Data Pura Producción'!$R$17:$R$531,$Q87,'Data Pura Producción'!$Q$17:$Q$531,$R87)=0,"",SUMIFS('Data Pura Producción'!AF$17:AF$531,'Data Pura Producción'!$R$17:$R$531,$Q87,'Data Pura Producción'!$Q$17:$Q$531,$R87)))</f>
        <v/>
      </c>
      <c r="V87" s="182" t="str">
        <f>+IF($Q87="","",IF(SUMIFS('Data Pura Producción'!AG$17:AG$531,'Data Pura Producción'!$R$17:$R$531,$Q87,'Data Pura Producción'!$Q$17:$Q$531,$R87)=0,"",SUMIFS('Data Pura Producción'!AG$17:AG$531,'Data Pura Producción'!$R$17:$R$531,$Q87,'Data Pura Producción'!$Q$17:$Q$531,$R87)))</f>
        <v/>
      </c>
      <c r="W87" s="182" t="str">
        <f>+IF($Q87="","",IF(SUMIFS('Data Pura Producción'!AH$17:AH$531,'Data Pura Producción'!$R$17:$R$531,$Q87,'Data Pura Producción'!$Q$17:$Q$531,$R87)=0,"",SUMIFS('Data Pura Producción'!AH$17:AH$531,'Data Pura Producción'!$R$17:$R$531,$Q87,'Data Pura Producción'!$Q$17:$Q$531,$R87)))</f>
        <v/>
      </c>
      <c r="X87" s="182" t="str">
        <f>+IF($Q87="","",IF(SUMIFS('Data Pura Producción'!AI$17:AI$531,'Data Pura Producción'!$R$17:$R$531,$Q87,'Data Pura Producción'!$Q$17:$Q$531,$R87)=0,"",SUMIFS('Data Pura Producción'!AI$17:AI$531,'Data Pura Producción'!$R$17:$R$531,$Q87,'Data Pura Producción'!$Q$17:$Q$531,$R87)))</f>
        <v/>
      </c>
      <c r="Y87" s="182" t="str">
        <f>+IF($Q87="","",IF(SUMIFS('Data Pura Producción'!AJ$17:AJ$531,'Data Pura Producción'!$R$17:$R$531,$Q87,'Data Pura Producción'!$Q$17:$Q$531,$R87)=0,"",SUMIFS('Data Pura Producción'!AJ$17:AJ$531,'Data Pura Producción'!$R$17:$R$531,$Q87,'Data Pura Producción'!$Q$17:$Q$531,$R87)))</f>
        <v/>
      </c>
      <c r="Z87" s="182" t="str">
        <f>+IF($Q87="","",IF(SUMIFS('Data Pura Producción'!AK$17:AK$531,'Data Pura Producción'!$R$17:$R$531,$Q87,'Data Pura Producción'!$Q$17:$Q$531,$R87)=0,"",SUMIFS('Data Pura Producción'!AK$17:AK$531,'Data Pura Producción'!$R$17:$R$531,$Q87,'Data Pura Producción'!$Q$17:$Q$531,$R87)))</f>
        <v/>
      </c>
      <c r="AA87" s="182" t="str">
        <f>+IF($Q87="","",IF(SUMIFS('Data Pura Producción'!AL$17:AL$531,'Data Pura Producción'!$R$17:$R$531,$Q87,'Data Pura Producción'!$Q$17:$Q$531,$R87)=0,"",SUMIFS('Data Pura Producción'!AL$17:AL$531,'Data Pura Producción'!$R$17:$R$531,$Q87,'Data Pura Producción'!$Q$17:$Q$531,$R87)))</f>
        <v/>
      </c>
      <c r="AB87" s="182" t="str">
        <f>+IF($Q87="","",IF(SUMIFS('Data Pura Producción'!AM$17:AM$531,'Data Pura Producción'!$R$17:$R$531,$Q87,'Data Pura Producción'!$Q$17:$Q$531,$R87)=0,"",SUMIFS('Data Pura Producción'!AM$17:AM$531,'Data Pura Producción'!$R$17:$R$531,$Q87,'Data Pura Producción'!$Q$17:$Q$531,$R87)))</f>
        <v/>
      </c>
      <c r="AC87" s="182" t="str">
        <f>+IF($Q87="","",IF(SUMIFS('Data Pura Producción'!AN$17:AN$531,'Data Pura Producción'!$R$17:$R$531,$Q87,'Data Pura Producción'!$Q$17:$Q$531,$R87)=0,"",SUMIFS('Data Pura Producción'!AN$17:AN$531,'Data Pura Producción'!$R$17:$R$531,$Q87,'Data Pura Producción'!$Q$17:$Q$531,$R87)))</f>
        <v/>
      </c>
      <c r="AD87" s="182" t="str">
        <f>+IF($Q87="","",IF(SUMIFS('Data Pura Producción'!AO$17:AO$531,'Data Pura Producción'!$R$17:$R$531,$Q87,'Data Pura Producción'!$Q$17:$Q$531,$R87)=0,"",SUMIFS('Data Pura Producción'!AO$17:AO$531,'Data Pura Producción'!$R$17:$R$531,$Q87,'Data Pura Producción'!$Q$17:$Q$531,$R87)))</f>
        <v/>
      </c>
      <c r="AE87" s="182" t="str">
        <f>+IF($Q87="","",IF(SUMIFS('Data Pura Producción'!AP$17:AP$531,'Data Pura Producción'!$R$17:$R$531,$Q87,'Data Pura Producción'!$Q$17:$Q$531,$R87)=0,"",SUMIFS('Data Pura Producción'!AP$17:AP$531,'Data Pura Producción'!$R$17:$R$531,$Q87,'Data Pura Producción'!$Q$17:$Q$531,$R87)))</f>
        <v/>
      </c>
      <c r="AF87" s="182" t="str">
        <f>+IF($Q87="","",IF(SUMIFS('Data Pura Producción'!AQ$17:AQ$531,'Data Pura Producción'!$R$17:$R$531,$Q87,'Data Pura Producción'!$Q$17:$Q$531,$R87)=0,"",SUMIFS('Data Pura Producción'!AQ$17:AQ$531,'Data Pura Producción'!$R$17:$R$531,$Q87,'Data Pura Producción'!$Q$17:$Q$531,$R87)))</f>
        <v/>
      </c>
      <c r="AG87" s="182" t="str">
        <f>+IF($Q87="","",IF(SUMIFS('Data Pura Producción'!AR$17:AR$531,'Data Pura Producción'!$R$17:$R$531,$Q87,'Data Pura Producción'!$Q$17:$Q$531,$R87)=0,"",SUMIFS('Data Pura Producción'!AR$17:AR$531,'Data Pura Producción'!$R$17:$R$531,$Q87,'Data Pura Producción'!$Q$17:$Q$531,$R87)))</f>
        <v/>
      </c>
      <c r="AH87" s="182" t="str">
        <f>+IF($Q87="","",IF(SUMIFS('Data Pura Producción'!AS$17:AS$531,'Data Pura Producción'!$R$17:$R$531,$Q87,'Data Pura Producción'!$Q$17:$Q$531,$R87)=0,"",SUMIFS('Data Pura Producción'!AS$17:AS$531,'Data Pura Producción'!$R$17:$R$531,$Q87,'Data Pura Producción'!$Q$17:$Q$531,$R87)))</f>
        <v/>
      </c>
      <c r="AI87" s="182" t="str">
        <f>+IF($Q87="","",IF(SUMIFS('Data Pura Producción'!AT$17:AT$531,'Data Pura Producción'!$R$17:$R$531,$Q87,'Data Pura Producción'!$Q$17:$Q$531,$R87)=0,"",SUMIFS('Data Pura Producción'!AT$17:AT$531,'Data Pura Producción'!$R$17:$R$531,$Q87,'Data Pura Producción'!$Q$17:$Q$531,$R87)))</f>
        <v/>
      </c>
      <c r="AJ87" s="182" t="str">
        <f>+IF($Q87="","",IF(SUMIFS('Data Pura Producción'!AU$17:AU$531,'Data Pura Producción'!$R$17:$R$531,$Q87,'Data Pura Producción'!$Q$17:$Q$531,$R87)=0,"",SUMIFS('Data Pura Producción'!AU$17:AU$531,'Data Pura Producción'!$R$17:$R$531,$Q87,'Data Pura Producción'!$Q$17:$Q$531,$R87)))</f>
        <v/>
      </c>
      <c r="AK87" s="182" t="str">
        <f>+IF($Q87="","",IF(SUMIFS('Data Pura Producción'!AV$17:AV$531,'Data Pura Producción'!$R$17:$R$531,$Q87,'Data Pura Producción'!$Q$17:$Q$531,$R87)=0,"",SUMIFS('Data Pura Producción'!AV$17:AV$531,'Data Pura Producción'!$R$17:$R$531,$Q87,'Data Pura Producción'!$Q$17:$Q$531,$R87)))</f>
        <v/>
      </c>
      <c r="AL87" s="182" t="str">
        <f>+IF($Q87="","",IF(SUMIFS('Data Pura Producción'!AW$17:AW$531,'Data Pura Producción'!$R$17:$R$531,$Q87,'Data Pura Producción'!$Q$17:$Q$531,$R87)=0,"",SUMIFS('Data Pura Producción'!AW$17:AW$531,'Data Pura Producción'!$R$17:$R$531,$Q87,'Data Pura Producción'!$Q$17:$Q$531,$R87)))</f>
        <v/>
      </c>
      <c r="AM87" s="337" t="str">
        <f>+IF($Q87="","",IF(SUMIFS('Data Pura Producción'!AX$17:AX$531,'Data Pura Producción'!$R$17:$R$531,$Q87,'Data Pura Producción'!$Q$17:$Q$531,$R87)=0,"",SUMIFS('Data Pura Producción'!AX$17:AX$531,'Data Pura Producción'!$R$17:$R$531,$Q87,'Data Pura Producción'!$Q$17:$Q$531,$R87)))</f>
        <v/>
      </c>
      <c r="AN87" s="187" t="str">
        <f t="shared" si="4"/>
        <v/>
      </c>
    </row>
    <row r="88" spans="2:40" s="7" customFormat="1" x14ac:dyDescent="0.35">
      <c r="B88" s="4" t="str">
        <f>+IF('Data Pura Costos'!B88="","",'Data Pura Costos'!B88)</f>
        <v>Las Vertientes</v>
      </c>
      <c r="C88" s="4" t="str">
        <f>+IF('Data Pura Costos'!C88="","",'Data Pura Costos'!C88)</f>
        <v>Pichidegua, VI región</v>
      </c>
      <c r="D88" s="5">
        <f>+IF('Data Pura Costos'!D88="","",'Data Pura Costos'!D88)</f>
        <v>130</v>
      </c>
      <c r="E88" s="65">
        <f>+IF('Data Pura Costos'!E88="","",IF('Data Pura Costos'!E88=0,MAX('Data Pura Costos'!$E$7:$E$3000)*1000,'Data Pura Costos'!E88))</f>
        <v>420000</v>
      </c>
      <c r="F88" s="5" t="str">
        <f>+IF('Data Pura Costos'!F88="","",'Data Pura Costos'!F88)</f>
        <v>Molina</v>
      </c>
      <c r="G88" s="5" t="str">
        <f>+IF('Data Pura Costos'!G88="","",'Data Pura Costos'!G88)</f>
        <v xml:space="preserve">GUSTAVO ZÚÑIGA </v>
      </c>
      <c r="H88" s="52" t="str">
        <f>+IF('Data Pura Costos'!H88="","",'Data Pura Costos'!H88)</f>
        <v>Termo</v>
      </c>
      <c r="I88" s="71">
        <f>+IF('Data Pura Costos'!I88="","",'Data Pura Costos'!I88)</f>
        <v>3230.7692307692309</v>
      </c>
      <c r="J88" s="52" t="str">
        <f>+IF('Data Pura Costos'!J88="","",'Data Pura Costos'!J88)</f>
        <v>24-25</v>
      </c>
      <c r="K88" s="82" t="str">
        <f t="shared" si="6"/>
        <v xml:space="preserve">Las Vertientes-Molina-GUSTAVO ZÚÑIGA </v>
      </c>
      <c r="P88" s="1" t="str">
        <f t="shared" si="5"/>
        <v/>
      </c>
      <c r="Q88" s="23"/>
      <c r="R88" s="333"/>
      <c r="S88" s="336" t="str">
        <f>+IF($Q88="","",IF(SUMIFS('Data Pura Producción'!AD$17:AD$531,'Data Pura Producción'!$R$17:$R$531,$Q88,'Data Pura Producción'!$Q$17:$Q$531,$R88)=0,"",SUMIFS('Data Pura Producción'!AD$17:AD$531,'Data Pura Producción'!$R$17:$R$531,$Q88,'Data Pura Producción'!$Q$17:$Q$531,$R88)))</f>
        <v/>
      </c>
      <c r="T88" s="182" t="str">
        <f>+IF($Q88="","",IF(SUMIFS('Data Pura Producción'!AE$17:AE$531,'Data Pura Producción'!$R$17:$R$531,$Q88,'Data Pura Producción'!$Q$17:$Q$531,$R88)=0,"",SUMIFS('Data Pura Producción'!AE$17:AE$531,'Data Pura Producción'!$R$17:$R$531,$Q88,'Data Pura Producción'!$Q$17:$Q$531,$R88)))</f>
        <v/>
      </c>
      <c r="U88" s="182" t="str">
        <f>+IF($Q88="","",IF(SUMIFS('Data Pura Producción'!AF$17:AF$531,'Data Pura Producción'!$R$17:$R$531,$Q88,'Data Pura Producción'!$Q$17:$Q$531,$R88)=0,"",SUMIFS('Data Pura Producción'!AF$17:AF$531,'Data Pura Producción'!$R$17:$R$531,$Q88,'Data Pura Producción'!$Q$17:$Q$531,$R88)))</f>
        <v/>
      </c>
      <c r="V88" s="182" t="str">
        <f>+IF($Q88="","",IF(SUMIFS('Data Pura Producción'!AG$17:AG$531,'Data Pura Producción'!$R$17:$R$531,$Q88,'Data Pura Producción'!$Q$17:$Q$531,$R88)=0,"",SUMIFS('Data Pura Producción'!AG$17:AG$531,'Data Pura Producción'!$R$17:$R$531,$Q88,'Data Pura Producción'!$Q$17:$Q$531,$R88)))</f>
        <v/>
      </c>
      <c r="W88" s="182" t="str">
        <f>+IF($Q88="","",IF(SUMIFS('Data Pura Producción'!AH$17:AH$531,'Data Pura Producción'!$R$17:$R$531,$Q88,'Data Pura Producción'!$Q$17:$Q$531,$R88)=0,"",SUMIFS('Data Pura Producción'!AH$17:AH$531,'Data Pura Producción'!$R$17:$R$531,$Q88,'Data Pura Producción'!$Q$17:$Q$531,$R88)))</f>
        <v/>
      </c>
      <c r="X88" s="182" t="str">
        <f>+IF($Q88="","",IF(SUMIFS('Data Pura Producción'!AI$17:AI$531,'Data Pura Producción'!$R$17:$R$531,$Q88,'Data Pura Producción'!$Q$17:$Q$531,$R88)=0,"",SUMIFS('Data Pura Producción'!AI$17:AI$531,'Data Pura Producción'!$R$17:$R$531,$Q88,'Data Pura Producción'!$Q$17:$Q$531,$R88)))</f>
        <v/>
      </c>
      <c r="Y88" s="182" t="str">
        <f>+IF($Q88="","",IF(SUMIFS('Data Pura Producción'!AJ$17:AJ$531,'Data Pura Producción'!$R$17:$R$531,$Q88,'Data Pura Producción'!$Q$17:$Q$531,$R88)=0,"",SUMIFS('Data Pura Producción'!AJ$17:AJ$531,'Data Pura Producción'!$R$17:$R$531,$Q88,'Data Pura Producción'!$Q$17:$Q$531,$R88)))</f>
        <v/>
      </c>
      <c r="Z88" s="182" t="str">
        <f>+IF($Q88="","",IF(SUMIFS('Data Pura Producción'!AK$17:AK$531,'Data Pura Producción'!$R$17:$R$531,$Q88,'Data Pura Producción'!$Q$17:$Q$531,$R88)=0,"",SUMIFS('Data Pura Producción'!AK$17:AK$531,'Data Pura Producción'!$R$17:$R$531,$Q88,'Data Pura Producción'!$Q$17:$Q$531,$R88)))</f>
        <v/>
      </c>
      <c r="AA88" s="182" t="str">
        <f>+IF($Q88="","",IF(SUMIFS('Data Pura Producción'!AL$17:AL$531,'Data Pura Producción'!$R$17:$R$531,$Q88,'Data Pura Producción'!$Q$17:$Q$531,$R88)=0,"",SUMIFS('Data Pura Producción'!AL$17:AL$531,'Data Pura Producción'!$R$17:$R$531,$Q88,'Data Pura Producción'!$Q$17:$Q$531,$R88)))</f>
        <v/>
      </c>
      <c r="AB88" s="182" t="str">
        <f>+IF($Q88="","",IF(SUMIFS('Data Pura Producción'!AM$17:AM$531,'Data Pura Producción'!$R$17:$R$531,$Q88,'Data Pura Producción'!$Q$17:$Q$531,$R88)=0,"",SUMIFS('Data Pura Producción'!AM$17:AM$531,'Data Pura Producción'!$R$17:$R$531,$Q88,'Data Pura Producción'!$Q$17:$Q$531,$R88)))</f>
        <v/>
      </c>
      <c r="AC88" s="182" t="str">
        <f>+IF($Q88="","",IF(SUMIFS('Data Pura Producción'!AN$17:AN$531,'Data Pura Producción'!$R$17:$R$531,$Q88,'Data Pura Producción'!$Q$17:$Q$531,$R88)=0,"",SUMIFS('Data Pura Producción'!AN$17:AN$531,'Data Pura Producción'!$R$17:$R$531,$Q88,'Data Pura Producción'!$Q$17:$Q$531,$R88)))</f>
        <v/>
      </c>
      <c r="AD88" s="182" t="str">
        <f>+IF($Q88="","",IF(SUMIFS('Data Pura Producción'!AO$17:AO$531,'Data Pura Producción'!$R$17:$R$531,$Q88,'Data Pura Producción'!$Q$17:$Q$531,$R88)=0,"",SUMIFS('Data Pura Producción'!AO$17:AO$531,'Data Pura Producción'!$R$17:$R$531,$Q88,'Data Pura Producción'!$Q$17:$Q$531,$R88)))</f>
        <v/>
      </c>
      <c r="AE88" s="182" t="str">
        <f>+IF($Q88="","",IF(SUMIFS('Data Pura Producción'!AP$17:AP$531,'Data Pura Producción'!$R$17:$R$531,$Q88,'Data Pura Producción'!$Q$17:$Q$531,$R88)=0,"",SUMIFS('Data Pura Producción'!AP$17:AP$531,'Data Pura Producción'!$R$17:$R$531,$Q88,'Data Pura Producción'!$Q$17:$Q$531,$R88)))</f>
        <v/>
      </c>
      <c r="AF88" s="182" t="str">
        <f>+IF($Q88="","",IF(SUMIFS('Data Pura Producción'!AQ$17:AQ$531,'Data Pura Producción'!$R$17:$R$531,$Q88,'Data Pura Producción'!$Q$17:$Q$531,$R88)=0,"",SUMIFS('Data Pura Producción'!AQ$17:AQ$531,'Data Pura Producción'!$R$17:$R$531,$Q88,'Data Pura Producción'!$Q$17:$Q$531,$R88)))</f>
        <v/>
      </c>
      <c r="AG88" s="182" t="str">
        <f>+IF($Q88="","",IF(SUMIFS('Data Pura Producción'!AR$17:AR$531,'Data Pura Producción'!$R$17:$R$531,$Q88,'Data Pura Producción'!$Q$17:$Q$531,$R88)=0,"",SUMIFS('Data Pura Producción'!AR$17:AR$531,'Data Pura Producción'!$R$17:$R$531,$Q88,'Data Pura Producción'!$Q$17:$Q$531,$R88)))</f>
        <v/>
      </c>
      <c r="AH88" s="182" t="str">
        <f>+IF($Q88="","",IF(SUMIFS('Data Pura Producción'!AS$17:AS$531,'Data Pura Producción'!$R$17:$R$531,$Q88,'Data Pura Producción'!$Q$17:$Q$531,$R88)=0,"",SUMIFS('Data Pura Producción'!AS$17:AS$531,'Data Pura Producción'!$R$17:$R$531,$Q88,'Data Pura Producción'!$Q$17:$Q$531,$R88)))</f>
        <v/>
      </c>
      <c r="AI88" s="182" t="str">
        <f>+IF($Q88="","",IF(SUMIFS('Data Pura Producción'!AT$17:AT$531,'Data Pura Producción'!$R$17:$R$531,$Q88,'Data Pura Producción'!$Q$17:$Q$531,$R88)=0,"",SUMIFS('Data Pura Producción'!AT$17:AT$531,'Data Pura Producción'!$R$17:$R$531,$Q88,'Data Pura Producción'!$Q$17:$Q$531,$R88)))</f>
        <v/>
      </c>
      <c r="AJ88" s="182" t="str">
        <f>+IF($Q88="","",IF(SUMIFS('Data Pura Producción'!AU$17:AU$531,'Data Pura Producción'!$R$17:$R$531,$Q88,'Data Pura Producción'!$Q$17:$Q$531,$R88)=0,"",SUMIFS('Data Pura Producción'!AU$17:AU$531,'Data Pura Producción'!$R$17:$R$531,$Q88,'Data Pura Producción'!$Q$17:$Q$531,$R88)))</f>
        <v/>
      </c>
      <c r="AK88" s="182" t="str">
        <f>+IF($Q88="","",IF(SUMIFS('Data Pura Producción'!AV$17:AV$531,'Data Pura Producción'!$R$17:$R$531,$Q88,'Data Pura Producción'!$Q$17:$Q$531,$R88)=0,"",SUMIFS('Data Pura Producción'!AV$17:AV$531,'Data Pura Producción'!$R$17:$R$531,$Q88,'Data Pura Producción'!$Q$17:$Q$531,$R88)))</f>
        <v/>
      </c>
      <c r="AL88" s="182" t="str">
        <f>+IF($Q88="","",IF(SUMIFS('Data Pura Producción'!AW$17:AW$531,'Data Pura Producción'!$R$17:$R$531,$Q88,'Data Pura Producción'!$Q$17:$Q$531,$R88)=0,"",SUMIFS('Data Pura Producción'!AW$17:AW$531,'Data Pura Producción'!$R$17:$R$531,$Q88,'Data Pura Producción'!$Q$17:$Q$531,$R88)))</f>
        <v/>
      </c>
      <c r="AM88" s="337" t="str">
        <f>+IF($Q88="","",IF(SUMIFS('Data Pura Producción'!AX$17:AX$531,'Data Pura Producción'!$R$17:$R$531,$Q88,'Data Pura Producción'!$Q$17:$Q$531,$R88)=0,"",SUMIFS('Data Pura Producción'!AX$17:AX$531,'Data Pura Producción'!$R$17:$R$531,$Q88,'Data Pura Producción'!$Q$17:$Q$531,$R88)))</f>
        <v/>
      </c>
      <c r="AN88" s="187" t="str">
        <f t="shared" si="4"/>
        <v/>
      </c>
    </row>
    <row r="89" spans="2:40" s="7" customFormat="1" x14ac:dyDescent="0.35">
      <c r="B89" s="4" t="str">
        <f>+IF('Data Pura Costos'!B89="","",'Data Pura Costos'!B89)</f>
        <v>Lihueimo</v>
      </c>
      <c r="C89" s="4" t="str">
        <f>+IF('Data Pura Costos'!C89="","",'Data Pura Costos'!C89)</f>
        <v>Peralillo ohiggins</v>
      </c>
      <c r="D89" s="5">
        <f>+IF('Data Pura Costos'!D89="","",'Data Pura Costos'!D89)</f>
        <v>90</v>
      </c>
      <c r="E89" s="65">
        <f>+IF('Data Pura Costos'!E89="","",IF('Data Pura Costos'!E89=0,MAX('Data Pura Costos'!$E$7:$E$3000)*1000,'Data Pura Costos'!E89))</f>
        <v>380000</v>
      </c>
      <c r="F89" s="5" t="str">
        <f>+IF('Data Pura Costos'!F89="","",'Data Pura Costos'!F89)</f>
        <v>Molina</v>
      </c>
      <c r="G89" s="5" t="str">
        <f>+IF('Data Pura Costos'!G89="","",'Data Pura Costos'!G89)</f>
        <v xml:space="preserve">GUSTAVO ZÚÑIGA </v>
      </c>
      <c r="H89" s="52" t="str">
        <f>+IF('Data Pura Costos'!H89="","",'Data Pura Costos'!H89)</f>
        <v>Termo</v>
      </c>
      <c r="I89" s="71">
        <f>+IF('Data Pura Costos'!I89="","",'Data Pura Costos'!I89)</f>
        <v>4222.2222222222226</v>
      </c>
      <c r="J89" s="52" t="str">
        <f>+IF('Data Pura Costos'!J89="","",'Data Pura Costos'!J89)</f>
        <v>24-25</v>
      </c>
      <c r="K89" s="82" t="str">
        <f t="shared" si="6"/>
        <v xml:space="preserve">Lihueimo-Molina-GUSTAVO ZÚÑIGA </v>
      </c>
      <c r="P89" s="1" t="str">
        <f t="shared" si="5"/>
        <v/>
      </c>
      <c r="Q89" s="23"/>
      <c r="R89" s="333"/>
      <c r="S89" s="336" t="str">
        <f>+IF($Q89="","",IF(SUMIFS('Data Pura Producción'!AD$17:AD$531,'Data Pura Producción'!$R$17:$R$531,$Q89,'Data Pura Producción'!$Q$17:$Q$531,$R89)=0,"",SUMIFS('Data Pura Producción'!AD$17:AD$531,'Data Pura Producción'!$R$17:$R$531,$Q89,'Data Pura Producción'!$Q$17:$Q$531,$R89)))</f>
        <v/>
      </c>
      <c r="T89" s="182" t="str">
        <f>+IF($Q89="","",IF(SUMIFS('Data Pura Producción'!AE$17:AE$531,'Data Pura Producción'!$R$17:$R$531,$Q89,'Data Pura Producción'!$Q$17:$Q$531,$R89)=0,"",SUMIFS('Data Pura Producción'!AE$17:AE$531,'Data Pura Producción'!$R$17:$R$531,$Q89,'Data Pura Producción'!$Q$17:$Q$531,$R89)))</f>
        <v/>
      </c>
      <c r="U89" s="182" t="str">
        <f>+IF($Q89="","",IF(SUMIFS('Data Pura Producción'!AF$17:AF$531,'Data Pura Producción'!$R$17:$R$531,$Q89,'Data Pura Producción'!$Q$17:$Q$531,$R89)=0,"",SUMIFS('Data Pura Producción'!AF$17:AF$531,'Data Pura Producción'!$R$17:$R$531,$Q89,'Data Pura Producción'!$Q$17:$Q$531,$R89)))</f>
        <v/>
      </c>
      <c r="V89" s="182" t="str">
        <f>+IF($Q89="","",IF(SUMIFS('Data Pura Producción'!AG$17:AG$531,'Data Pura Producción'!$R$17:$R$531,$Q89,'Data Pura Producción'!$Q$17:$Q$531,$R89)=0,"",SUMIFS('Data Pura Producción'!AG$17:AG$531,'Data Pura Producción'!$R$17:$R$531,$Q89,'Data Pura Producción'!$Q$17:$Q$531,$R89)))</f>
        <v/>
      </c>
      <c r="W89" s="182" t="str">
        <f>+IF($Q89="","",IF(SUMIFS('Data Pura Producción'!AH$17:AH$531,'Data Pura Producción'!$R$17:$R$531,$Q89,'Data Pura Producción'!$Q$17:$Q$531,$R89)=0,"",SUMIFS('Data Pura Producción'!AH$17:AH$531,'Data Pura Producción'!$R$17:$R$531,$Q89,'Data Pura Producción'!$Q$17:$Q$531,$R89)))</f>
        <v/>
      </c>
      <c r="X89" s="182" t="str">
        <f>+IF($Q89="","",IF(SUMIFS('Data Pura Producción'!AI$17:AI$531,'Data Pura Producción'!$R$17:$R$531,$Q89,'Data Pura Producción'!$Q$17:$Q$531,$R89)=0,"",SUMIFS('Data Pura Producción'!AI$17:AI$531,'Data Pura Producción'!$R$17:$R$531,$Q89,'Data Pura Producción'!$Q$17:$Q$531,$R89)))</f>
        <v/>
      </c>
      <c r="Y89" s="182" t="str">
        <f>+IF($Q89="","",IF(SUMIFS('Data Pura Producción'!AJ$17:AJ$531,'Data Pura Producción'!$R$17:$R$531,$Q89,'Data Pura Producción'!$Q$17:$Q$531,$R89)=0,"",SUMIFS('Data Pura Producción'!AJ$17:AJ$531,'Data Pura Producción'!$R$17:$R$531,$Q89,'Data Pura Producción'!$Q$17:$Q$531,$R89)))</f>
        <v/>
      </c>
      <c r="Z89" s="182" t="str">
        <f>+IF($Q89="","",IF(SUMIFS('Data Pura Producción'!AK$17:AK$531,'Data Pura Producción'!$R$17:$R$531,$Q89,'Data Pura Producción'!$Q$17:$Q$531,$R89)=0,"",SUMIFS('Data Pura Producción'!AK$17:AK$531,'Data Pura Producción'!$R$17:$R$531,$Q89,'Data Pura Producción'!$Q$17:$Q$531,$R89)))</f>
        <v/>
      </c>
      <c r="AA89" s="182" t="str">
        <f>+IF($Q89="","",IF(SUMIFS('Data Pura Producción'!AL$17:AL$531,'Data Pura Producción'!$R$17:$R$531,$Q89,'Data Pura Producción'!$Q$17:$Q$531,$R89)=0,"",SUMIFS('Data Pura Producción'!AL$17:AL$531,'Data Pura Producción'!$R$17:$R$531,$Q89,'Data Pura Producción'!$Q$17:$Q$531,$R89)))</f>
        <v/>
      </c>
      <c r="AB89" s="182" t="str">
        <f>+IF($Q89="","",IF(SUMIFS('Data Pura Producción'!AM$17:AM$531,'Data Pura Producción'!$R$17:$R$531,$Q89,'Data Pura Producción'!$Q$17:$Q$531,$R89)=0,"",SUMIFS('Data Pura Producción'!AM$17:AM$531,'Data Pura Producción'!$R$17:$R$531,$Q89,'Data Pura Producción'!$Q$17:$Q$531,$R89)))</f>
        <v/>
      </c>
      <c r="AC89" s="182" t="str">
        <f>+IF($Q89="","",IF(SUMIFS('Data Pura Producción'!AN$17:AN$531,'Data Pura Producción'!$R$17:$R$531,$Q89,'Data Pura Producción'!$Q$17:$Q$531,$R89)=0,"",SUMIFS('Data Pura Producción'!AN$17:AN$531,'Data Pura Producción'!$R$17:$R$531,$Q89,'Data Pura Producción'!$Q$17:$Q$531,$R89)))</f>
        <v/>
      </c>
      <c r="AD89" s="182" t="str">
        <f>+IF($Q89="","",IF(SUMIFS('Data Pura Producción'!AO$17:AO$531,'Data Pura Producción'!$R$17:$R$531,$Q89,'Data Pura Producción'!$Q$17:$Q$531,$R89)=0,"",SUMIFS('Data Pura Producción'!AO$17:AO$531,'Data Pura Producción'!$R$17:$R$531,$Q89,'Data Pura Producción'!$Q$17:$Q$531,$R89)))</f>
        <v/>
      </c>
      <c r="AE89" s="182" t="str">
        <f>+IF($Q89="","",IF(SUMIFS('Data Pura Producción'!AP$17:AP$531,'Data Pura Producción'!$R$17:$R$531,$Q89,'Data Pura Producción'!$Q$17:$Q$531,$R89)=0,"",SUMIFS('Data Pura Producción'!AP$17:AP$531,'Data Pura Producción'!$R$17:$R$531,$Q89,'Data Pura Producción'!$Q$17:$Q$531,$R89)))</f>
        <v/>
      </c>
      <c r="AF89" s="182" t="str">
        <f>+IF($Q89="","",IF(SUMIFS('Data Pura Producción'!AQ$17:AQ$531,'Data Pura Producción'!$R$17:$R$531,$Q89,'Data Pura Producción'!$Q$17:$Q$531,$R89)=0,"",SUMIFS('Data Pura Producción'!AQ$17:AQ$531,'Data Pura Producción'!$R$17:$R$531,$Q89,'Data Pura Producción'!$Q$17:$Q$531,$R89)))</f>
        <v/>
      </c>
      <c r="AG89" s="182" t="str">
        <f>+IF($Q89="","",IF(SUMIFS('Data Pura Producción'!AR$17:AR$531,'Data Pura Producción'!$R$17:$R$531,$Q89,'Data Pura Producción'!$Q$17:$Q$531,$R89)=0,"",SUMIFS('Data Pura Producción'!AR$17:AR$531,'Data Pura Producción'!$R$17:$R$531,$Q89,'Data Pura Producción'!$Q$17:$Q$531,$R89)))</f>
        <v/>
      </c>
      <c r="AH89" s="182" t="str">
        <f>+IF($Q89="","",IF(SUMIFS('Data Pura Producción'!AS$17:AS$531,'Data Pura Producción'!$R$17:$R$531,$Q89,'Data Pura Producción'!$Q$17:$Q$531,$R89)=0,"",SUMIFS('Data Pura Producción'!AS$17:AS$531,'Data Pura Producción'!$R$17:$R$531,$Q89,'Data Pura Producción'!$Q$17:$Q$531,$R89)))</f>
        <v/>
      </c>
      <c r="AI89" s="182" t="str">
        <f>+IF($Q89="","",IF(SUMIFS('Data Pura Producción'!AT$17:AT$531,'Data Pura Producción'!$R$17:$R$531,$Q89,'Data Pura Producción'!$Q$17:$Q$531,$R89)=0,"",SUMIFS('Data Pura Producción'!AT$17:AT$531,'Data Pura Producción'!$R$17:$R$531,$Q89,'Data Pura Producción'!$Q$17:$Q$531,$R89)))</f>
        <v/>
      </c>
      <c r="AJ89" s="182" t="str">
        <f>+IF($Q89="","",IF(SUMIFS('Data Pura Producción'!AU$17:AU$531,'Data Pura Producción'!$R$17:$R$531,$Q89,'Data Pura Producción'!$Q$17:$Q$531,$R89)=0,"",SUMIFS('Data Pura Producción'!AU$17:AU$531,'Data Pura Producción'!$R$17:$R$531,$Q89,'Data Pura Producción'!$Q$17:$Q$531,$R89)))</f>
        <v/>
      </c>
      <c r="AK89" s="182" t="str">
        <f>+IF($Q89="","",IF(SUMIFS('Data Pura Producción'!AV$17:AV$531,'Data Pura Producción'!$R$17:$R$531,$Q89,'Data Pura Producción'!$Q$17:$Q$531,$R89)=0,"",SUMIFS('Data Pura Producción'!AV$17:AV$531,'Data Pura Producción'!$R$17:$R$531,$Q89,'Data Pura Producción'!$Q$17:$Q$531,$R89)))</f>
        <v/>
      </c>
      <c r="AL89" s="182" t="str">
        <f>+IF($Q89="","",IF(SUMIFS('Data Pura Producción'!AW$17:AW$531,'Data Pura Producción'!$R$17:$R$531,$Q89,'Data Pura Producción'!$Q$17:$Q$531,$R89)=0,"",SUMIFS('Data Pura Producción'!AW$17:AW$531,'Data Pura Producción'!$R$17:$R$531,$Q89,'Data Pura Producción'!$Q$17:$Q$531,$R89)))</f>
        <v/>
      </c>
      <c r="AM89" s="337" t="str">
        <f>+IF($Q89="","",IF(SUMIFS('Data Pura Producción'!AX$17:AX$531,'Data Pura Producción'!$R$17:$R$531,$Q89,'Data Pura Producción'!$Q$17:$Q$531,$R89)=0,"",SUMIFS('Data Pura Producción'!AX$17:AX$531,'Data Pura Producción'!$R$17:$R$531,$Q89,'Data Pura Producción'!$Q$17:$Q$531,$R89)))</f>
        <v/>
      </c>
      <c r="AN89" s="187" t="str">
        <f t="shared" si="4"/>
        <v/>
      </c>
    </row>
    <row r="90" spans="2:40" s="7" customFormat="1" x14ac:dyDescent="0.35">
      <c r="B90" s="4" t="str">
        <f>+IF('Data Pura Costos'!B90="","",'Data Pura Costos'!B90)</f>
        <v>Los Encinos</v>
      </c>
      <c r="C90" s="4" t="str">
        <f>+IF('Data Pura Costos'!C90="","",'Data Pura Costos'!C90)</f>
        <v>Huechun, RM</v>
      </c>
      <c r="D90" s="5">
        <f>+IF('Data Pura Costos'!D90="","",'Data Pura Costos'!D90)</f>
        <v>230</v>
      </c>
      <c r="E90" s="65">
        <f>+IF('Data Pura Costos'!E90="","",IF('Data Pura Costos'!E90=0,MAX('Data Pura Costos'!$E$7:$E$3000)*1000,'Data Pura Costos'!E90))</f>
        <v>650000</v>
      </c>
      <c r="F90" s="5" t="str">
        <f>+IF('Data Pura Costos'!F90="","",'Data Pura Costos'!F90)</f>
        <v>Molina</v>
      </c>
      <c r="G90" s="5" t="str">
        <f>+IF('Data Pura Costos'!G90="","",'Data Pura Costos'!G90)</f>
        <v xml:space="preserve">GUSTAVO ZÚÑIGA </v>
      </c>
      <c r="H90" s="52" t="str">
        <f>+IF('Data Pura Costos'!H90="","",'Data Pura Costos'!H90)</f>
        <v>Termo</v>
      </c>
      <c r="I90" s="71">
        <f>+IF('Data Pura Costos'!I90="","",'Data Pura Costos'!I90)</f>
        <v>2826.086956521739</v>
      </c>
      <c r="J90" s="52" t="str">
        <f>+IF('Data Pura Costos'!J90="","",'Data Pura Costos'!J90)</f>
        <v>24-25</v>
      </c>
      <c r="K90" s="82" t="str">
        <f t="shared" si="6"/>
        <v xml:space="preserve">Los Encinos-Molina-GUSTAVO ZÚÑIGA </v>
      </c>
      <c r="P90" s="1" t="str">
        <f t="shared" si="5"/>
        <v/>
      </c>
      <c r="Q90" s="23"/>
      <c r="R90" s="333"/>
      <c r="S90" s="336" t="str">
        <f>+IF($Q90="","",IF(SUMIFS('Data Pura Producción'!AD$17:AD$531,'Data Pura Producción'!$R$17:$R$531,$Q90,'Data Pura Producción'!$Q$17:$Q$531,$R90)=0,"",SUMIFS('Data Pura Producción'!AD$17:AD$531,'Data Pura Producción'!$R$17:$R$531,$Q90,'Data Pura Producción'!$Q$17:$Q$531,$R90)))</f>
        <v/>
      </c>
      <c r="T90" s="182" t="str">
        <f>+IF($Q90="","",IF(SUMIFS('Data Pura Producción'!AE$17:AE$531,'Data Pura Producción'!$R$17:$R$531,$Q90,'Data Pura Producción'!$Q$17:$Q$531,$R90)=0,"",SUMIFS('Data Pura Producción'!AE$17:AE$531,'Data Pura Producción'!$R$17:$R$531,$Q90,'Data Pura Producción'!$Q$17:$Q$531,$R90)))</f>
        <v/>
      </c>
      <c r="U90" s="182" t="str">
        <f>+IF($Q90="","",IF(SUMIFS('Data Pura Producción'!AF$17:AF$531,'Data Pura Producción'!$R$17:$R$531,$Q90,'Data Pura Producción'!$Q$17:$Q$531,$R90)=0,"",SUMIFS('Data Pura Producción'!AF$17:AF$531,'Data Pura Producción'!$R$17:$R$531,$Q90,'Data Pura Producción'!$Q$17:$Q$531,$R90)))</f>
        <v/>
      </c>
      <c r="V90" s="182" t="str">
        <f>+IF($Q90="","",IF(SUMIFS('Data Pura Producción'!AG$17:AG$531,'Data Pura Producción'!$R$17:$R$531,$Q90,'Data Pura Producción'!$Q$17:$Q$531,$R90)=0,"",SUMIFS('Data Pura Producción'!AG$17:AG$531,'Data Pura Producción'!$R$17:$R$531,$Q90,'Data Pura Producción'!$Q$17:$Q$531,$R90)))</f>
        <v/>
      </c>
      <c r="W90" s="182" t="str">
        <f>+IF($Q90="","",IF(SUMIFS('Data Pura Producción'!AH$17:AH$531,'Data Pura Producción'!$R$17:$R$531,$Q90,'Data Pura Producción'!$Q$17:$Q$531,$R90)=0,"",SUMIFS('Data Pura Producción'!AH$17:AH$531,'Data Pura Producción'!$R$17:$R$531,$Q90,'Data Pura Producción'!$Q$17:$Q$531,$R90)))</f>
        <v/>
      </c>
      <c r="X90" s="182" t="str">
        <f>+IF($Q90="","",IF(SUMIFS('Data Pura Producción'!AI$17:AI$531,'Data Pura Producción'!$R$17:$R$531,$Q90,'Data Pura Producción'!$Q$17:$Q$531,$R90)=0,"",SUMIFS('Data Pura Producción'!AI$17:AI$531,'Data Pura Producción'!$R$17:$R$531,$Q90,'Data Pura Producción'!$Q$17:$Q$531,$R90)))</f>
        <v/>
      </c>
      <c r="Y90" s="182" t="str">
        <f>+IF($Q90="","",IF(SUMIFS('Data Pura Producción'!AJ$17:AJ$531,'Data Pura Producción'!$R$17:$R$531,$Q90,'Data Pura Producción'!$Q$17:$Q$531,$R90)=0,"",SUMIFS('Data Pura Producción'!AJ$17:AJ$531,'Data Pura Producción'!$R$17:$R$531,$Q90,'Data Pura Producción'!$Q$17:$Q$531,$R90)))</f>
        <v/>
      </c>
      <c r="Z90" s="182" t="str">
        <f>+IF($Q90="","",IF(SUMIFS('Data Pura Producción'!AK$17:AK$531,'Data Pura Producción'!$R$17:$R$531,$Q90,'Data Pura Producción'!$Q$17:$Q$531,$R90)=0,"",SUMIFS('Data Pura Producción'!AK$17:AK$531,'Data Pura Producción'!$R$17:$R$531,$Q90,'Data Pura Producción'!$Q$17:$Q$531,$R90)))</f>
        <v/>
      </c>
      <c r="AA90" s="182" t="str">
        <f>+IF($Q90="","",IF(SUMIFS('Data Pura Producción'!AL$17:AL$531,'Data Pura Producción'!$R$17:$R$531,$Q90,'Data Pura Producción'!$Q$17:$Q$531,$R90)=0,"",SUMIFS('Data Pura Producción'!AL$17:AL$531,'Data Pura Producción'!$R$17:$R$531,$Q90,'Data Pura Producción'!$Q$17:$Q$531,$R90)))</f>
        <v/>
      </c>
      <c r="AB90" s="182" t="str">
        <f>+IF($Q90="","",IF(SUMIFS('Data Pura Producción'!AM$17:AM$531,'Data Pura Producción'!$R$17:$R$531,$Q90,'Data Pura Producción'!$Q$17:$Q$531,$R90)=0,"",SUMIFS('Data Pura Producción'!AM$17:AM$531,'Data Pura Producción'!$R$17:$R$531,$Q90,'Data Pura Producción'!$Q$17:$Q$531,$R90)))</f>
        <v/>
      </c>
      <c r="AC90" s="182" t="str">
        <f>+IF($Q90="","",IF(SUMIFS('Data Pura Producción'!AN$17:AN$531,'Data Pura Producción'!$R$17:$R$531,$Q90,'Data Pura Producción'!$Q$17:$Q$531,$R90)=0,"",SUMIFS('Data Pura Producción'!AN$17:AN$531,'Data Pura Producción'!$R$17:$R$531,$Q90,'Data Pura Producción'!$Q$17:$Q$531,$R90)))</f>
        <v/>
      </c>
      <c r="AD90" s="182" t="str">
        <f>+IF($Q90="","",IF(SUMIFS('Data Pura Producción'!AO$17:AO$531,'Data Pura Producción'!$R$17:$R$531,$Q90,'Data Pura Producción'!$Q$17:$Q$531,$R90)=0,"",SUMIFS('Data Pura Producción'!AO$17:AO$531,'Data Pura Producción'!$R$17:$R$531,$Q90,'Data Pura Producción'!$Q$17:$Q$531,$R90)))</f>
        <v/>
      </c>
      <c r="AE90" s="182" t="str">
        <f>+IF($Q90="","",IF(SUMIFS('Data Pura Producción'!AP$17:AP$531,'Data Pura Producción'!$R$17:$R$531,$Q90,'Data Pura Producción'!$Q$17:$Q$531,$R90)=0,"",SUMIFS('Data Pura Producción'!AP$17:AP$531,'Data Pura Producción'!$R$17:$R$531,$Q90,'Data Pura Producción'!$Q$17:$Q$531,$R90)))</f>
        <v/>
      </c>
      <c r="AF90" s="182" t="str">
        <f>+IF($Q90="","",IF(SUMIFS('Data Pura Producción'!AQ$17:AQ$531,'Data Pura Producción'!$R$17:$R$531,$Q90,'Data Pura Producción'!$Q$17:$Q$531,$R90)=0,"",SUMIFS('Data Pura Producción'!AQ$17:AQ$531,'Data Pura Producción'!$R$17:$R$531,$Q90,'Data Pura Producción'!$Q$17:$Q$531,$R90)))</f>
        <v/>
      </c>
      <c r="AG90" s="182" t="str">
        <f>+IF($Q90="","",IF(SUMIFS('Data Pura Producción'!AR$17:AR$531,'Data Pura Producción'!$R$17:$R$531,$Q90,'Data Pura Producción'!$Q$17:$Q$531,$R90)=0,"",SUMIFS('Data Pura Producción'!AR$17:AR$531,'Data Pura Producción'!$R$17:$R$531,$Q90,'Data Pura Producción'!$Q$17:$Q$531,$R90)))</f>
        <v/>
      </c>
      <c r="AH90" s="182" t="str">
        <f>+IF($Q90="","",IF(SUMIFS('Data Pura Producción'!AS$17:AS$531,'Data Pura Producción'!$R$17:$R$531,$Q90,'Data Pura Producción'!$Q$17:$Q$531,$R90)=0,"",SUMIFS('Data Pura Producción'!AS$17:AS$531,'Data Pura Producción'!$R$17:$R$531,$Q90,'Data Pura Producción'!$Q$17:$Q$531,$R90)))</f>
        <v/>
      </c>
      <c r="AI90" s="182" t="str">
        <f>+IF($Q90="","",IF(SUMIFS('Data Pura Producción'!AT$17:AT$531,'Data Pura Producción'!$R$17:$R$531,$Q90,'Data Pura Producción'!$Q$17:$Q$531,$R90)=0,"",SUMIFS('Data Pura Producción'!AT$17:AT$531,'Data Pura Producción'!$R$17:$R$531,$Q90,'Data Pura Producción'!$Q$17:$Q$531,$R90)))</f>
        <v/>
      </c>
      <c r="AJ90" s="182" t="str">
        <f>+IF($Q90="","",IF(SUMIFS('Data Pura Producción'!AU$17:AU$531,'Data Pura Producción'!$R$17:$R$531,$Q90,'Data Pura Producción'!$Q$17:$Q$531,$R90)=0,"",SUMIFS('Data Pura Producción'!AU$17:AU$531,'Data Pura Producción'!$R$17:$R$531,$Q90,'Data Pura Producción'!$Q$17:$Q$531,$R90)))</f>
        <v/>
      </c>
      <c r="AK90" s="182" t="str">
        <f>+IF($Q90="","",IF(SUMIFS('Data Pura Producción'!AV$17:AV$531,'Data Pura Producción'!$R$17:$R$531,$Q90,'Data Pura Producción'!$Q$17:$Q$531,$R90)=0,"",SUMIFS('Data Pura Producción'!AV$17:AV$531,'Data Pura Producción'!$R$17:$R$531,$Q90,'Data Pura Producción'!$Q$17:$Q$531,$R90)))</f>
        <v/>
      </c>
      <c r="AL90" s="182" t="str">
        <f>+IF($Q90="","",IF(SUMIFS('Data Pura Producción'!AW$17:AW$531,'Data Pura Producción'!$R$17:$R$531,$Q90,'Data Pura Producción'!$Q$17:$Q$531,$R90)=0,"",SUMIFS('Data Pura Producción'!AW$17:AW$531,'Data Pura Producción'!$R$17:$R$531,$Q90,'Data Pura Producción'!$Q$17:$Q$531,$R90)))</f>
        <v/>
      </c>
      <c r="AM90" s="337" t="str">
        <f>+IF($Q90="","",IF(SUMIFS('Data Pura Producción'!AX$17:AX$531,'Data Pura Producción'!$R$17:$R$531,$Q90,'Data Pura Producción'!$Q$17:$Q$531,$R90)=0,"",SUMIFS('Data Pura Producción'!AX$17:AX$531,'Data Pura Producción'!$R$17:$R$531,$Q90,'Data Pura Producción'!$Q$17:$Q$531,$R90)))</f>
        <v/>
      </c>
      <c r="AN90" s="187" t="str">
        <f t="shared" si="4"/>
        <v/>
      </c>
    </row>
    <row r="91" spans="2:40" s="7" customFormat="1" x14ac:dyDescent="0.35">
      <c r="B91" s="4" t="str">
        <f>+IF('Data Pura Costos'!B91="","",'Data Pura Costos'!B91)</f>
        <v>Los Maitenes</v>
      </c>
      <c r="C91" s="4" t="str">
        <f>+IF('Data Pura Costos'!C91="","",'Data Pura Costos'!C91)</f>
        <v>Las Cabras, VI región</v>
      </c>
      <c r="D91" s="5">
        <f>+IF('Data Pura Costos'!D91="","",'Data Pura Costos'!D91)</f>
        <v>144</v>
      </c>
      <c r="E91" s="65">
        <f>+IF('Data Pura Costos'!E91="","",IF('Data Pura Costos'!E91=0,MAX('Data Pura Costos'!$E$7:$E$3000)*1000,'Data Pura Costos'!E91))</f>
        <v>460000</v>
      </c>
      <c r="F91" s="5" t="str">
        <f>+IF('Data Pura Costos'!F91="","",'Data Pura Costos'!F91)</f>
        <v>Molina</v>
      </c>
      <c r="G91" s="5" t="str">
        <f>+IF('Data Pura Costos'!G91="","",'Data Pura Costos'!G91)</f>
        <v xml:space="preserve">GUSTAVO ZÚÑIGA </v>
      </c>
      <c r="H91" s="52" t="str">
        <f>+IF('Data Pura Costos'!H91="","",'Data Pura Costos'!H91)</f>
        <v>Termo</v>
      </c>
      <c r="I91" s="71">
        <f>+IF('Data Pura Costos'!I91="","",'Data Pura Costos'!I91)</f>
        <v>3194.4444444444443</v>
      </c>
      <c r="J91" s="52" t="str">
        <f>+IF('Data Pura Costos'!J91="","",'Data Pura Costos'!J91)</f>
        <v>24-25</v>
      </c>
      <c r="K91" s="82" t="str">
        <f t="shared" si="6"/>
        <v xml:space="preserve">Los Maitenes-Molina-GUSTAVO ZÚÑIGA </v>
      </c>
      <c r="P91" s="1" t="str">
        <f t="shared" si="5"/>
        <v/>
      </c>
      <c r="Q91" s="23"/>
      <c r="R91" s="333"/>
      <c r="S91" s="336" t="str">
        <f>+IF($Q91="","",IF(SUMIFS('Data Pura Producción'!AD$17:AD$531,'Data Pura Producción'!$R$17:$R$531,$Q91,'Data Pura Producción'!$Q$17:$Q$531,$R91)=0,"",SUMIFS('Data Pura Producción'!AD$17:AD$531,'Data Pura Producción'!$R$17:$R$531,$Q91,'Data Pura Producción'!$Q$17:$Q$531,$R91)))</f>
        <v/>
      </c>
      <c r="T91" s="182" t="str">
        <f>+IF($Q91="","",IF(SUMIFS('Data Pura Producción'!AE$17:AE$531,'Data Pura Producción'!$R$17:$R$531,$Q91,'Data Pura Producción'!$Q$17:$Q$531,$R91)=0,"",SUMIFS('Data Pura Producción'!AE$17:AE$531,'Data Pura Producción'!$R$17:$R$531,$Q91,'Data Pura Producción'!$Q$17:$Q$531,$R91)))</f>
        <v/>
      </c>
      <c r="U91" s="182" t="str">
        <f>+IF($Q91="","",IF(SUMIFS('Data Pura Producción'!AF$17:AF$531,'Data Pura Producción'!$R$17:$R$531,$Q91,'Data Pura Producción'!$Q$17:$Q$531,$R91)=0,"",SUMIFS('Data Pura Producción'!AF$17:AF$531,'Data Pura Producción'!$R$17:$R$531,$Q91,'Data Pura Producción'!$Q$17:$Q$531,$R91)))</f>
        <v/>
      </c>
      <c r="V91" s="182" t="str">
        <f>+IF($Q91="","",IF(SUMIFS('Data Pura Producción'!AG$17:AG$531,'Data Pura Producción'!$R$17:$R$531,$Q91,'Data Pura Producción'!$Q$17:$Q$531,$R91)=0,"",SUMIFS('Data Pura Producción'!AG$17:AG$531,'Data Pura Producción'!$R$17:$R$531,$Q91,'Data Pura Producción'!$Q$17:$Q$531,$R91)))</f>
        <v/>
      </c>
      <c r="W91" s="182" t="str">
        <f>+IF($Q91="","",IF(SUMIFS('Data Pura Producción'!AH$17:AH$531,'Data Pura Producción'!$R$17:$R$531,$Q91,'Data Pura Producción'!$Q$17:$Q$531,$R91)=0,"",SUMIFS('Data Pura Producción'!AH$17:AH$531,'Data Pura Producción'!$R$17:$R$531,$Q91,'Data Pura Producción'!$Q$17:$Q$531,$R91)))</f>
        <v/>
      </c>
      <c r="X91" s="182" t="str">
        <f>+IF($Q91="","",IF(SUMIFS('Data Pura Producción'!AI$17:AI$531,'Data Pura Producción'!$R$17:$R$531,$Q91,'Data Pura Producción'!$Q$17:$Q$531,$R91)=0,"",SUMIFS('Data Pura Producción'!AI$17:AI$531,'Data Pura Producción'!$R$17:$R$531,$Q91,'Data Pura Producción'!$Q$17:$Q$531,$R91)))</f>
        <v/>
      </c>
      <c r="Y91" s="182" t="str">
        <f>+IF($Q91="","",IF(SUMIFS('Data Pura Producción'!AJ$17:AJ$531,'Data Pura Producción'!$R$17:$R$531,$Q91,'Data Pura Producción'!$Q$17:$Q$531,$R91)=0,"",SUMIFS('Data Pura Producción'!AJ$17:AJ$531,'Data Pura Producción'!$R$17:$R$531,$Q91,'Data Pura Producción'!$Q$17:$Q$531,$R91)))</f>
        <v/>
      </c>
      <c r="Z91" s="182" t="str">
        <f>+IF($Q91="","",IF(SUMIFS('Data Pura Producción'!AK$17:AK$531,'Data Pura Producción'!$R$17:$R$531,$Q91,'Data Pura Producción'!$Q$17:$Q$531,$R91)=0,"",SUMIFS('Data Pura Producción'!AK$17:AK$531,'Data Pura Producción'!$R$17:$R$531,$Q91,'Data Pura Producción'!$Q$17:$Q$531,$R91)))</f>
        <v/>
      </c>
      <c r="AA91" s="182" t="str">
        <f>+IF($Q91="","",IF(SUMIFS('Data Pura Producción'!AL$17:AL$531,'Data Pura Producción'!$R$17:$R$531,$Q91,'Data Pura Producción'!$Q$17:$Q$531,$R91)=0,"",SUMIFS('Data Pura Producción'!AL$17:AL$531,'Data Pura Producción'!$R$17:$R$531,$Q91,'Data Pura Producción'!$Q$17:$Q$531,$R91)))</f>
        <v/>
      </c>
      <c r="AB91" s="182" t="str">
        <f>+IF($Q91="","",IF(SUMIFS('Data Pura Producción'!AM$17:AM$531,'Data Pura Producción'!$R$17:$R$531,$Q91,'Data Pura Producción'!$Q$17:$Q$531,$R91)=0,"",SUMIFS('Data Pura Producción'!AM$17:AM$531,'Data Pura Producción'!$R$17:$R$531,$Q91,'Data Pura Producción'!$Q$17:$Q$531,$R91)))</f>
        <v/>
      </c>
      <c r="AC91" s="182" t="str">
        <f>+IF($Q91="","",IF(SUMIFS('Data Pura Producción'!AN$17:AN$531,'Data Pura Producción'!$R$17:$R$531,$Q91,'Data Pura Producción'!$Q$17:$Q$531,$R91)=0,"",SUMIFS('Data Pura Producción'!AN$17:AN$531,'Data Pura Producción'!$R$17:$R$531,$Q91,'Data Pura Producción'!$Q$17:$Q$531,$R91)))</f>
        <v/>
      </c>
      <c r="AD91" s="182" t="str">
        <f>+IF($Q91="","",IF(SUMIFS('Data Pura Producción'!AO$17:AO$531,'Data Pura Producción'!$R$17:$R$531,$Q91,'Data Pura Producción'!$Q$17:$Q$531,$R91)=0,"",SUMIFS('Data Pura Producción'!AO$17:AO$531,'Data Pura Producción'!$R$17:$R$531,$Q91,'Data Pura Producción'!$Q$17:$Q$531,$R91)))</f>
        <v/>
      </c>
      <c r="AE91" s="182" t="str">
        <f>+IF($Q91="","",IF(SUMIFS('Data Pura Producción'!AP$17:AP$531,'Data Pura Producción'!$R$17:$R$531,$Q91,'Data Pura Producción'!$Q$17:$Q$531,$R91)=0,"",SUMIFS('Data Pura Producción'!AP$17:AP$531,'Data Pura Producción'!$R$17:$R$531,$Q91,'Data Pura Producción'!$Q$17:$Q$531,$R91)))</f>
        <v/>
      </c>
      <c r="AF91" s="182" t="str">
        <f>+IF($Q91="","",IF(SUMIFS('Data Pura Producción'!AQ$17:AQ$531,'Data Pura Producción'!$R$17:$R$531,$Q91,'Data Pura Producción'!$Q$17:$Q$531,$R91)=0,"",SUMIFS('Data Pura Producción'!AQ$17:AQ$531,'Data Pura Producción'!$R$17:$R$531,$Q91,'Data Pura Producción'!$Q$17:$Q$531,$R91)))</f>
        <v/>
      </c>
      <c r="AG91" s="182" t="str">
        <f>+IF($Q91="","",IF(SUMIFS('Data Pura Producción'!AR$17:AR$531,'Data Pura Producción'!$R$17:$R$531,$Q91,'Data Pura Producción'!$Q$17:$Q$531,$R91)=0,"",SUMIFS('Data Pura Producción'!AR$17:AR$531,'Data Pura Producción'!$R$17:$R$531,$Q91,'Data Pura Producción'!$Q$17:$Q$531,$R91)))</f>
        <v/>
      </c>
      <c r="AH91" s="182" t="str">
        <f>+IF($Q91="","",IF(SUMIFS('Data Pura Producción'!AS$17:AS$531,'Data Pura Producción'!$R$17:$R$531,$Q91,'Data Pura Producción'!$Q$17:$Q$531,$R91)=0,"",SUMIFS('Data Pura Producción'!AS$17:AS$531,'Data Pura Producción'!$R$17:$R$531,$Q91,'Data Pura Producción'!$Q$17:$Q$531,$R91)))</f>
        <v/>
      </c>
      <c r="AI91" s="182" t="str">
        <f>+IF($Q91="","",IF(SUMIFS('Data Pura Producción'!AT$17:AT$531,'Data Pura Producción'!$R$17:$R$531,$Q91,'Data Pura Producción'!$Q$17:$Q$531,$R91)=0,"",SUMIFS('Data Pura Producción'!AT$17:AT$531,'Data Pura Producción'!$R$17:$R$531,$Q91,'Data Pura Producción'!$Q$17:$Q$531,$R91)))</f>
        <v/>
      </c>
      <c r="AJ91" s="182" t="str">
        <f>+IF($Q91="","",IF(SUMIFS('Data Pura Producción'!AU$17:AU$531,'Data Pura Producción'!$R$17:$R$531,$Q91,'Data Pura Producción'!$Q$17:$Q$531,$R91)=0,"",SUMIFS('Data Pura Producción'!AU$17:AU$531,'Data Pura Producción'!$R$17:$R$531,$Q91,'Data Pura Producción'!$Q$17:$Q$531,$R91)))</f>
        <v/>
      </c>
      <c r="AK91" s="182" t="str">
        <f>+IF($Q91="","",IF(SUMIFS('Data Pura Producción'!AV$17:AV$531,'Data Pura Producción'!$R$17:$R$531,$Q91,'Data Pura Producción'!$Q$17:$Q$531,$R91)=0,"",SUMIFS('Data Pura Producción'!AV$17:AV$531,'Data Pura Producción'!$R$17:$R$531,$Q91,'Data Pura Producción'!$Q$17:$Q$531,$R91)))</f>
        <v/>
      </c>
      <c r="AL91" s="182" t="str">
        <f>+IF($Q91="","",IF(SUMIFS('Data Pura Producción'!AW$17:AW$531,'Data Pura Producción'!$R$17:$R$531,$Q91,'Data Pura Producción'!$Q$17:$Q$531,$R91)=0,"",SUMIFS('Data Pura Producción'!AW$17:AW$531,'Data Pura Producción'!$R$17:$R$531,$Q91,'Data Pura Producción'!$Q$17:$Q$531,$R91)))</f>
        <v/>
      </c>
      <c r="AM91" s="337" t="str">
        <f>+IF($Q91="","",IF(SUMIFS('Data Pura Producción'!AX$17:AX$531,'Data Pura Producción'!$R$17:$R$531,$Q91,'Data Pura Producción'!$Q$17:$Q$531,$R91)=0,"",SUMIFS('Data Pura Producción'!AX$17:AX$531,'Data Pura Producción'!$R$17:$R$531,$Q91,'Data Pura Producción'!$Q$17:$Q$531,$R91)))</f>
        <v/>
      </c>
      <c r="AN91" s="187" t="str">
        <f t="shared" si="4"/>
        <v/>
      </c>
    </row>
    <row r="92" spans="2:40" s="7" customFormat="1" x14ac:dyDescent="0.35">
      <c r="B92" s="4" t="str">
        <f>+IF('Data Pura Costos'!B92="","",'Data Pura Costos'!B92)</f>
        <v>Los Toldos</v>
      </c>
      <c r="C92" s="4" t="str">
        <f>+IF('Data Pura Costos'!C92="","",'Data Pura Costos'!C92)</f>
        <v>Angol, IX región</v>
      </c>
      <c r="D92" s="5">
        <f>+IF('Data Pura Costos'!D92="","",'Data Pura Costos'!D92)</f>
        <v>408</v>
      </c>
      <c r="E92" s="65">
        <f>+IF('Data Pura Costos'!E92="","",IF('Data Pura Costos'!E92=0,MAX('Data Pura Costos'!$E$7:$E$3000)*1000,'Data Pura Costos'!E92))</f>
        <v>1100000</v>
      </c>
      <c r="F92" s="5" t="str">
        <f>+IF('Data Pura Costos'!F92="","",'Data Pura Costos'!F92)</f>
        <v>Molina</v>
      </c>
      <c r="G92" s="5" t="str">
        <f>+IF('Data Pura Costos'!G92="","",'Data Pura Costos'!G92)</f>
        <v xml:space="preserve">GUSTAVO ZÚÑIGA </v>
      </c>
      <c r="H92" s="52" t="str">
        <f>+IF('Data Pura Costos'!H92="","",'Data Pura Costos'!H92)</f>
        <v>Termo</v>
      </c>
      <c r="I92" s="71">
        <f>+IF('Data Pura Costos'!I92="","",'Data Pura Costos'!I92)</f>
        <v>2696.0784313725489</v>
      </c>
      <c r="J92" s="52" t="str">
        <f>+IF('Data Pura Costos'!J92="","",'Data Pura Costos'!J92)</f>
        <v>24-25</v>
      </c>
      <c r="K92" s="82" t="str">
        <f t="shared" si="6"/>
        <v xml:space="preserve">Los Toldos-Molina-GUSTAVO ZÚÑIGA </v>
      </c>
      <c r="P92" s="1" t="str">
        <f t="shared" si="5"/>
        <v/>
      </c>
      <c r="Q92" s="23"/>
      <c r="R92" s="333"/>
      <c r="S92" s="336" t="str">
        <f>+IF($Q92="","",IF(SUMIFS('Data Pura Producción'!AD$17:AD$531,'Data Pura Producción'!$R$17:$R$531,$Q92,'Data Pura Producción'!$Q$17:$Q$531,$R92)=0,"",SUMIFS('Data Pura Producción'!AD$17:AD$531,'Data Pura Producción'!$R$17:$R$531,$Q92,'Data Pura Producción'!$Q$17:$Q$531,$R92)))</f>
        <v/>
      </c>
      <c r="T92" s="182" t="str">
        <f>+IF($Q92="","",IF(SUMIFS('Data Pura Producción'!AE$17:AE$531,'Data Pura Producción'!$R$17:$R$531,$Q92,'Data Pura Producción'!$Q$17:$Q$531,$R92)=0,"",SUMIFS('Data Pura Producción'!AE$17:AE$531,'Data Pura Producción'!$R$17:$R$531,$Q92,'Data Pura Producción'!$Q$17:$Q$531,$R92)))</f>
        <v/>
      </c>
      <c r="U92" s="182" t="str">
        <f>+IF($Q92="","",IF(SUMIFS('Data Pura Producción'!AF$17:AF$531,'Data Pura Producción'!$R$17:$R$531,$Q92,'Data Pura Producción'!$Q$17:$Q$531,$R92)=0,"",SUMIFS('Data Pura Producción'!AF$17:AF$531,'Data Pura Producción'!$R$17:$R$531,$Q92,'Data Pura Producción'!$Q$17:$Q$531,$R92)))</f>
        <v/>
      </c>
      <c r="V92" s="182" t="str">
        <f>+IF($Q92="","",IF(SUMIFS('Data Pura Producción'!AG$17:AG$531,'Data Pura Producción'!$R$17:$R$531,$Q92,'Data Pura Producción'!$Q$17:$Q$531,$R92)=0,"",SUMIFS('Data Pura Producción'!AG$17:AG$531,'Data Pura Producción'!$R$17:$R$531,$Q92,'Data Pura Producción'!$Q$17:$Q$531,$R92)))</f>
        <v/>
      </c>
      <c r="W92" s="182" t="str">
        <f>+IF($Q92="","",IF(SUMIFS('Data Pura Producción'!AH$17:AH$531,'Data Pura Producción'!$R$17:$R$531,$Q92,'Data Pura Producción'!$Q$17:$Q$531,$R92)=0,"",SUMIFS('Data Pura Producción'!AH$17:AH$531,'Data Pura Producción'!$R$17:$R$531,$Q92,'Data Pura Producción'!$Q$17:$Q$531,$R92)))</f>
        <v/>
      </c>
      <c r="X92" s="182" t="str">
        <f>+IF($Q92="","",IF(SUMIFS('Data Pura Producción'!AI$17:AI$531,'Data Pura Producción'!$R$17:$R$531,$Q92,'Data Pura Producción'!$Q$17:$Q$531,$R92)=0,"",SUMIFS('Data Pura Producción'!AI$17:AI$531,'Data Pura Producción'!$R$17:$R$531,$Q92,'Data Pura Producción'!$Q$17:$Q$531,$R92)))</f>
        <v/>
      </c>
      <c r="Y92" s="182" t="str">
        <f>+IF($Q92="","",IF(SUMIFS('Data Pura Producción'!AJ$17:AJ$531,'Data Pura Producción'!$R$17:$R$531,$Q92,'Data Pura Producción'!$Q$17:$Q$531,$R92)=0,"",SUMIFS('Data Pura Producción'!AJ$17:AJ$531,'Data Pura Producción'!$R$17:$R$531,$Q92,'Data Pura Producción'!$Q$17:$Q$531,$R92)))</f>
        <v/>
      </c>
      <c r="Z92" s="182" t="str">
        <f>+IF($Q92="","",IF(SUMIFS('Data Pura Producción'!AK$17:AK$531,'Data Pura Producción'!$R$17:$R$531,$Q92,'Data Pura Producción'!$Q$17:$Q$531,$R92)=0,"",SUMIFS('Data Pura Producción'!AK$17:AK$531,'Data Pura Producción'!$R$17:$R$531,$Q92,'Data Pura Producción'!$Q$17:$Q$531,$R92)))</f>
        <v/>
      </c>
      <c r="AA92" s="182" t="str">
        <f>+IF($Q92="","",IF(SUMIFS('Data Pura Producción'!AL$17:AL$531,'Data Pura Producción'!$R$17:$R$531,$Q92,'Data Pura Producción'!$Q$17:$Q$531,$R92)=0,"",SUMIFS('Data Pura Producción'!AL$17:AL$531,'Data Pura Producción'!$R$17:$R$531,$Q92,'Data Pura Producción'!$Q$17:$Q$531,$R92)))</f>
        <v/>
      </c>
      <c r="AB92" s="182" t="str">
        <f>+IF($Q92="","",IF(SUMIFS('Data Pura Producción'!AM$17:AM$531,'Data Pura Producción'!$R$17:$R$531,$Q92,'Data Pura Producción'!$Q$17:$Q$531,$R92)=0,"",SUMIFS('Data Pura Producción'!AM$17:AM$531,'Data Pura Producción'!$R$17:$R$531,$Q92,'Data Pura Producción'!$Q$17:$Q$531,$R92)))</f>
        <v/>
      </c>
      <c r="AC92" s="182" t="str">
        <f>+IF($Q92="","",IF(SUMIFS('Data Pura Producción'!AN$17:AN$531,'Data Pura Producción'!$R$17:$R$531,$Q92,'Data Pura Producción'!$Q$17:$Q$531,$R92)=0,"",SUMIFS('Data Pura Producción'!AN$17:AN$531,'Data Pura Producción'!$R$17:$R$531,$Q92,'Data Pura Producción'!$Q$17:$Q$531,$R92)))</f>
        <v/>
      </c>
      <c r="AD92" s="182" t="str">
        <f>+IF($Q92="","",IF(SUMIFS('Data Pura Producción'!AO$17:AO$531,'Data Pura Producción'!$R$17:$R$531,$Q92,'Data Pura Producción'!$Q$17:$Q$531,$R92)=0,"",SUMIFS('Data Pura Producción'!AO$17:AO$531,'Data Pura Producción'!$R$17:$R$531,$Q92,'Data Pura Producción'!$Q$17:$Q$531,$R92)))</f>
        <v/>
      </c>
      <c r="AE92" s="182" t="str">
        <f>+IF($Q92="","",IF(SUMIFS('Data Pura Producción'!AP$17:AP$531,'Data Pura Producción'!$R$17:$R$531,$Q92,'Data Pura Producción'!$Q$17:$Q$531,$R92)=0,"",SUMIFS('Data Pura Producción'!AP$17:AP$531,'Data Pura Producción'!$R$17:$R$531,$Q92,'Data Pura Producción'!$Q$17:$Q$531,$R92)))</f>
        <v/>
      </c>
      <c r="AF92" s="182" t="str">
        <f>+IF($Q92="","",IF(SUMIFS('Data Pura Producción'!AQ$17:AQ$531,'Data Pura Producción'!$R$17:$R$531,$Q92,'Data Pura Producción'!$Q$17:$Q$531,$R92)=0,"",SUMIFS('Data Pura Producción'!AQ$17:AQ$531,'Data Pura Producción'!$R$17:$R$531,$Q92,'Data Pura Producción'!$Q$17:$Q$531,$R92)))</f>
        <v/>
      </c>
      <c r="AG92" s="182" t="str">
        <f>+IF($Q92="","",IF(SUMIFS('Data Pura Producción'!AR$17:AR$531,'Data Pura Producción'!$R$17:$R$531,$Q92,'Data Pura Producción'!$Q$17:$Q$531,$R92)=0,"",SUMIFS('Data Pura Producción'!AR$17:AR$531,'Data Pura Producción'!$R$17:$R$531,$Q92,'Data Pura Producción'!$Q$17:$Q$531,$R92)))</f>
        <v/>
      </c>
      <c r="AH92" s="182" t="str">
        <f>+IF($Q92="","",IF(SUMIFS('Data Pura Producción'!AS$17:AS$531,'Data Pura Producción'!$R$17:$R$531,$Q92,'Data Pura Producción'!$Q$17:$Q$531,$R92)=0,"",SUMIFS('Data Pura Producción'!AS$17:AS$531,'Data Pura Producción'!$R$17:$R$531,$Q92,'Data Pura Producción'!$Q$17:$Q$531,$R92)))</f>
        <v/>
      </c>
      <c r="AI92" s="182" t="str">
        <f>+IF($Q92="","",IF(SUMIFS('Data Pura Producción'!AT$17:AT$531,'Data Pura Producción'!$R$17:$R$531,$Q92,'Data Pura Producción'!$Q$17:$Q$531,$R92)=0,"",SUMIFS('Data Pura Producción'!AT$17:AT$531,'Data Pura Producción'!$R$17:$R$531,$Q92,'Data Pura Producción'!$Q$17:$Q$531,$R92)))</f>
        <v/>
      </c>
      <c r="AJ92" s="182" t="str">
        <f>+IF($Q92="","",IF(SUMIFS('Data Pura Producción'!AU$17:AU$531,'Data Pura Producción'!$R$17:$R$531,$Q92,'Data Pura Producción'!$Q$17:$Q$531,$R92)=0,"",SUMIFS('Data Pura Producción'!AU$17:AU$531,'Data Pura Producción'!$R$17:$R$531,$Q92,'Data Pura Producción'!$Q$17:$Q$531,$R92)))</f>
        <v/>
      </c>
      <c r="AK92" s="182" t="str">
        <f>+IF($Q92="","",IF(SUMIFS('Data Pura Producción'!AV$17:AV$531,'Data Pura Producción'!$R$17:$R$531,$Q92,'Data Pura Producción'!$Q$17:$Q$531,$R92)=0,"",SUMIFS('Data Pura Producción'!AV$17:AV$531,'Data Pura Producción'!$R$17:$R$531,$Q92,'Data Pura Producción'!$Q$17:$Q$531,$R92)))</f>
        <v/>
      </c>
      <c r="AL92" s="182" t="str">
        <f>+IF($Q92="","",IF(SUMIFS('Data Pura Producción'!AW$17:AW$531,'Data Pura Producción'!$R$17:$R$531,$Q92,'Data Pura Producción'!$Q$17:$Q$531,$R92)=0,"",SUMIFS('Data Pura Producción'!AW$17:AW$531,'Data Pura Producción'!$R$17:$R$531,$Q92,'Data Pura Producción'!$Q$17:$Q$531,$R92)))</f>
        <v/>
      </c>
      <c r="AM92" s="337" t="str">
        <f>+IF($Q92="","",IF(SUMIFS('Data Pura Producción'!AX$17:AX$531,'Data Pura Producción'!$R$17:$R$531,$Q92,'Data Pura Producción'!$Q$17:$Q$531,$R92)=0,"",SUMIFS('Data Pura Producción'!AX$17:AX$531,'Data Pura Producción'!$R$17:$R$531,$Q92,'Data Pura Producción'!$Q$17:$Q$531,$R92)))</f>
        <v/>
      </c>
      <c r="AN92" s="187" t="str">
        <f t="shared" si="4"/>
        <v/>
      </c>
    </row>
    <row r="93" spans="2:40" s="7" customFormat="1" x14ac:dyDescent="0.35">
      <c r="B93" s="4" t="str">
        <f>+IF('Data Pura Costos'!B93="","",'Data Pura Costos'!B93)</f>
        <v>Mallorca</v>
      </c>
      <c r="C93" s="4" t="str">
        <f>+IF('Data Pura Costos'!C93="","",'Data Pura Costos'!C93)</f>
        <v xml:space="preserve">Molina, VII región </v>
      </c>
      <c r="D93" s="5">
        <f>+IF('Data Pura Costos'!D93="","",'Data Pura Costos'!D93)</f>
        <v>1</v>
      </c>
      <c r="E93" s="65">
        <f>+IF('Data Pura Costos'!E93="","",IF('Data Pura Costos'!E93=0,MAX('Data Pura Costos'!$E$7:$E$3000)*1000,'Data Pura Costos'!E93))</f>
        <v>250000</v>
      </c>
      <c r="F93" s="5" t="str">
        <f>+IF('Data Pura Costos'!F93="","",'Data Pura Costos'!F93)</f>
        <v>Molina</v>
      </c>
      <c r="G93" s="5" t="str">
        <f>+IF('Data Pura Costos'!G93="","",'Data Pura Costos'!G93)</f>
        <v xml:space="preserve">GUSTAVO ZÚÑIGA </v>
      </c>
      <c r="H93" s="52" t="str">
        <f>+IF('Data Pura Costos'!H93="","",'Data Pura Costos'!H93)</f>
        <v>Termo</v>
      </c>
      <c r="I93" s="71">
        <f>+IF('Data Pura Costos'!I93="","",'Data Pura Costos'!I93)</f>
        <v>250000</v>
      </c>
      <c r="J93" s="52" t="str">
        <f>+IF('Data Pura Costos'!J93="","",'Data Pura Costos'!J93)</f>
        <v>24-25</v>
      </c>
      <c r="K93" s="82" t="str">
        <f t="shared" si="6"/>
        <v xml:space="preserve">Mallorca-Molina-GUSTAVO ZÚÑIGA </v>
      </c>
      <c r="P93" s="1" t="str">
        <f t="shared" si="5"/>
        <v/>
      </c>
      <c r="Q93" s="23"/>
      <c r="R93" s="333"/>
      <c r="S93" s="336" t="str">
        <f>+IF($Q93="","",IF(SUMIFS('Data Pura Producción'!AD$17:AD$531,'Data Pura Producción'!$R$17:$R$531,$Q93,'Data Pura Producción'!$Q$17:$Q$531,$R93)=0,"",SUMIFS('Data Pura Producción'!AD$17:AD$531,'Data Pura Producción'!$R$17:$R$531,$Q93,'Data Pura Producción'!$Q$17:$Q$531,$R93)))</f>
        <v/>
      </c>
      <c r="T93" s="182" t="str">
        <f>+IF($Q93="","",IF(SUMIFS('Data Pura Producción'!AE$17:AE$531,'Data Pura Producción'!$R$17:$R$531,$Q93,'Data Pura Producción'!$Q$17:$Q$531,$R93)=0,"",SUMIFS('Data Pura Producción'!AE$17:AE$531,'Data Pura Producción'!$R$17:$R$531,$Q93,'Data Pura Producción'!$Q$17:$Q$531,$R93)))</f>
        <v/>
      </c>
      <c r="U93" s="182" t="str">
        <f>+IF($Q93="","",IF(SUMIFS('Data Pura Producción'!AF$17:AF$531,'Data Pura Producción'!$R$17:$R$531,$Q93,'Data Pura Producción'!$Q$17:$Q$531,$R93)=0,"",SUMIFS('Data Pura Producción'!AF$17:AF$531,'Data Pura Producción'!$R$17:$R$531,$Q93,'Data Pura Producción'!$Q$17:$Q$531,$R93)))</f>
        <v/>
      </c>
      <c r="V93" s="182" t="str">
        <f>+IF($Q93="","",IF(SUMIFS('Data Pura Producción'!AG$17:AG$531,'Data Pura Producción'!$R$17:$R$531,$Q93,'Data Pura Producción'!$Q$17:$Q$531,$R93)=0,"",SUMIFS('Data Pura Producción'!AG$17:AG$531,'Data Pura Producción'!$R$17:$R$531,$Q93,'Data Pura Producción'!$Q$17:$Q$531,$R93)))</f>
        <v/>
      </c>
      <c r="W93" s="182" t="str">
        <f>+IF($Q93="","",IF(SUMIFS('Data Pura Producción'!AH$17:AH$531,'Data Pura Producción'!$R$17:$R$531,$Q93,'Data Pura Producción'!$Q$17:$Q$531,$R93)=0,"",SUMIFS('Data Pura Producción'!AH$17:AH$531,'Data Pura Producción'!$R$17:$R$531,$Q93,'Data Pura Producción'!$Q$17:$Q$531,$R93)))</f>
        <v/>
      </c>
      <c r="X93" s="182" t="str">
        <f>+IF($Q93="","",IF(SUMIFS('Data Pura Producción'!AI$17:AI$531,'Data Pura Producción'!$R$17:$R$531,$Q93,'Data Pura Producción'!$Q$17:$Q$531,$R93)=0,"",SUMIFS('Data Pura Producción'!AI$17:AI$531,'Data Pura Producción'!$R$17:$R$531,$Q93,'Data Pura Producción'!$Q$17:$Q$531,$R93)))</f>
        <v/>
      </c>
      <c r="Y93" s="182" t="str">
        <f>+IF($Q93="","",IF(SUMIFS('Data Pura Producción'!AJ$17:AJ$531,'Data Pura Producción'!$R$17:$R$531,$Q93,'Data Pura Producción'!$Q$17:$Q$531,$R93)=0,"",SUMIFS('Data Pura Producción'!AJ$17:AJ$531,'Data Pura Producción'!$R$17:$R$531,$Q93,'Data Pura Producción'!$Q$17:$Q$531,$R93)))</f>
        <v/>
      </c>
      <c r="Z93" s="182" t="str">
        <f>+IF($Q93="","",IF(SUMIFS('Data Pura Producción'!AK$17:AK$531,'Data Pura Producción'!$R$17:$R$531,$Q93,'Data Pura Producción'!$Q$17:$Q$531,$R93)=0,"",SUMIFS('Data Pura Producción'!AK$17:AK$531,'Data Pura Producción'!$R$17:$R$531,$Q93,'Data Pura Producción'!$Q$17:$Q$531,$R93)))</f>
        <v/>
      </c>
      <c r="AA93" s="182" t="str">
        <f>+IF($Q93="","",IF(SUMIFS('Data Pura Producción'!AL$17:AL$531,'Data Pura Producción'!$R$17:$R$531,$Q93,'Data Pura Producción'!$Q$17:$Q$531,$R93)=0,"",SUMIFS('Data Pura Producción'!AL$17:AL$531,'Data Pura Producción'!$R$17:$R$531,$Q93,'Data Pura Producción'!$Q$17:$Q$531,$R93)))</f>
        <v/>
      </c>
      <c r="AB93" s="182" t="str">
        <f>+IF($Q93="","",IF(SUMIFS('Data Pura Producción'!AM$17:AM$531,'Data Pura Producción'!$R$17:$R$531,$Q93,'Data Pura Producción'!$Q$17:$Q$531,$R93)=0,"",SUMIFS('Data Pura Producción'!AM$17:AM$531,'Data Pura Producción'!$R$17:$R$531,$Q93,'Data Pura Producción'!$Q$17:$Q$531,$R93)))</f>
        <v/>
      </c>
      <c r="AC93" s="182" t="str">
        <f>+IF($Q93="","",IF(SUMIFS('Data Pura Producción'!AN$17:AN$531,'Data Pura Producción'!$R$17:$R$531,$Q93,'Data Pura Producción'!$Q$17:$Q$531,$R93)=0,"",SUMIFS('Data Pura Producción'!AN$17:AN$531,'Data Pura Producción'!$R$17:$R$531,$Q93,'Data Pura Producción'!$Q$17:$Q$531,$R93)))</f>
        <v/>
      </c>
      <c r="AD93" s="182" t="str">
        <f>+IF($Q93="","",IF(SUMIFS('Data Pura Producción'!AO$17:AO$531,'Data Pura Producción'!$R$17:$R$531,$Q93,'Data Pura Producción'!$Q$17:$Q$531,$R93)=0,"",SUMIFS('Data Pura Producción'!AO$17:AO$531,'Data Pura Producción'!$R$17:$R$531,$Q93,'Data Pura Producción'!$Q$17:$Q$531,$R93)))</f>
        <v/>
      </c>
      <c r="AE93" s="182" t="str">
        <f>+IF($Q93="","",IF(SUMIFS('Data Pura Producción'!AP$17:AP$531,'Data Pura Producción'!$R$17:$R$531,$Q93,'Data Pura Producción'!$Q$17:$Q$531,$R93)=0,"",SUMIFS('Data Pura Producción'!AP$17:AP$531,'Data Pura Producción'!$R$17:$R$531,$Q93,'Data Pura Producción'!$Q$17:$Q$531,$R93)))</f>
        <v/>
      </c>
      <c r="AF93" s="182" t="str">
        <f>+IF($Q93="","",IF(SUMIFS('Data Pura Producción'!AQ$17:AQ$531,'Data Pura Producción'!$R$17:$R$531,$Q93,'Data Pura Producción'!$Q$17:$Q$531,$R93)=0,"",SUMIFS('Data Pura Producción'!AQ$17:AQ$531,'Data Pura Producción'!$R$17:$R$531,$Q93,'Data Pura Producción'!$Q$17:$Q$531,$R93)))</f>
        <v/>
      </c>
      <c r="AG93" s="182" t="str">
        <f>+IF($Q93="","",IF(SUMIFS('Data Pura Producción'!AR$17:AR$531,'Data Pura Producción'!$R$17:$R$531,$Q93,'Data Pura Producción'!$Q$17:$Q$531,$R93)=0,"",SUMIFS('Data Pura Producción'!AR$17:AR$531,'Data Pura Producción'!$R$17:$R$531,$Q93,'Data Pura Producción'!$Q$17:$Q$531,$R93)))</f>
        <v/>
      </c>
      <c r="AH93" s="182" t="str">
        <f>+IF($Q93="","",IF(SUMIFS('Data Pura Producción'!AS$17:AS$531,'Data Pura Producción'!$R$17:$R$531,$Q93,'Data Pura Producción'!$Q$17:$Q$531,$R93)=0,"",SUMIFS('Data Pura Producción'!AS$17:AS$531,'Data Pura Producción'!$R$17:$R$531,$Q93,'Data Pura Producción'!$Q$17:$Q$531,$R93)))</f>
        <v/>
      </c>
      <c r="AI93" s="182" t="str">
        <f>+IF($Q93="","",IF(SUMIFS('Data Pura Producción'!AT$17:AT$531,'Data Pura Producción'!$R$17:$R$531,$Q93,'Data Pura Producción'!$Q$17:$Q$531,$R93)=0,"",SUMIFS('Data Pura Producción'!AT$17:AT$531,'Data Pura Producción'!$R$17:$R$531,$Q93,'Data Pura Producción'!$Q$17:$Q$531,$R93)))</f>
        <v/>
      </c>
      <c r="AJ93" s="182" t="str">
        <f>+IF($Q93="","",IF(SUMIFS('Data Pura Producción'!AU$17:AU$531,'Data Pura Producción'!$R$17:$R$531,$Q93,'Data Pura Producción'!$Q$17:$Q$531,$R93)=0,"",SUMIFS('Data Pura Producción'!AU$17:AU$531,'Data Pura Producción'!$R$17:$R$531,$Q93,'Data Pura Producción'!$Q$17:$Q$531,$R93)))</f>
        <v/>
      </c>
      <c r="AK93" s="182" t="str">
        <f>+IF($Q93="","",IF(SUMIFS('Data Pura Producción'!AV$17:AV$531,'Data Pura Producción'!$R$17:$R$531,$Q93,'Data Pura Producción'!$Q$17:$Q$531,$R93)=0,"",SUMIFS('Data Pura Producción'!AV$17:AV$531,'Data Pura Producción'!$R$17:$R$531,$Q93,'Data Pura Producción'!$Q$17:$Q$531,$R93)))</f>
        <v/>
      </c>
      <c r="AL93" s="182" t="str">
        <f>+IF($Q93="","",IF(SUMIFS('Data Pura Producción'!AW$17:AW$531,'Data Pura Producción'!$R$17:$R$531,$Q93,'Data Pura Producción'!$Q$17:$Q$531,$R93)=0,"",SUMIFS('Data Pura Producción'!AW$17:AW$531,'Data Pura Producción'!$R$17:$R$531,$Q93,'Data Pura Producción'!$Q$17:$Q$531,$R93)))</f>
        <v/>
      </c>
      <c r="AM93" s="337" t="str">
        <f>+IF($Q93="","",IF(SUMIFS('Data Pura Producción'!AX$17:AX$531,'Data Pura Producción'!$R$17:$R$531,$Q93,'Data Pura Producción'!$Q$17:$Q$531,$R93)=0,"",SUMIFS('Data Pura Producción'!AX$17:AX$531,'Data Pura Producción'!$R$17:$R$531,$Q93,'Data Pura Producción'!$Q$17:$Q$531,$R93)))</f>
        <v/>
      </c>
      <c r="AN93" s="187" t="str">
        <f t="shared" si="4"/>
        <v/>
      </c>
    </row>
    <row r="94" spans="2:40" s="7" customFormat="1" x14ac:dyDescent="0.35">
      <c r="B94" s="4" t="str">
        <f>+IF('Data Pura Costos'!B94="","",'Data Pura Costos'!B94)</f>
        <v>Panquehue</v>
      </c>
      <c r="C94" s="4" t="str">
        <f>+IF('Data Pura Costos'!C94="","",'Data Pura Costos'!C94)</f>
        <v>Panquehue, V región</v>
      </c>
      <c r="D94" s="5">
        <f>+IF('Data Pura Costos'!D94="","",'Data Pura Costos'!D94)</f>
        <v>310</v>
      </c>
      <c r="E94" s="65">
        <f>+IF('Data Pura Costos'!E94="","",IF('Data Pura Costos'!E94=0,MAX('Data Pura Costos'!$E$7:$E$3000)*1000,'Data Pura Costos'!E94))</f>
        <v>830000</v>
      </c>
      <c r="F94" s="5" t="str">
        <f>+IF('Data Pura Costos'!F94="","",'Data Pura Costos'!F94)</f>
        <v>Molina</v>
      </c>
      <c r="G94" s="5" t="str">
        <f>+IF('Data Pura Costos'!G94="","",'Data Pura Costos'!G94)</f>
        <v xml:space="preserve">GUSTAVO ZÚÑIGA </v>
      </c>
      <c r="H94" s="52" t="str">
        <f>+IF('Data Pura Costos'!H94="","",'Data Pura Costos'!H94)</f>
        <v>Termo</v>
      </c>
      <c r="I94" s="71">
        <f>+IF('Data Pura Costos'!I94="","",'Data Pura Costos'!I94)</f>
        <v>2677.4193548387098</v>
      </c>
      <c r="J94" s="52" t="str">
        <f>+IF('Data Pura Costos'!J94="","",'Data Pura Costos'!J94)</f>
        <v>24-25</v>
      </c>
      <c r="K94" s="82" t="str">
        <f t="shared" si="6"/>
        <v xml:space="preserve">Panquehue-Molina-GUSTAVO ZÚÑIGA </v>
      </c>
      <c r="P94" s="1" t="str">
        <f t="shared" si="5"/>
        <v/>
      </c>
      <c r="Q94" s="23"/>
      <c r="R94" s="333"/>
      <c r="S94" s="336" t="str">
        <f>+IF($Q94="","",IF(SUMIFS('Data Pura Producción'!AD$17:AD$531,'Data Pura Producción'!$R$17:$R$531,$Q94,'Data Pura Producción'!$Q$17:$Q$531,$R94)=0,"",SUMIFS('Data Pura Producción'!AD$17:AD$531,'Data Pura Producción'!$R$17:$R$531,$Q94,'Data Pura Producción'!$Q$17:$Q$531,$R94)))</f>
        <v/>
      </c>
      <c r="T94" s="182" t="str">
        <f>+IF($Q94="","",IF(SUMIFS('Data Pura Producción'!AE$17:AE$531,'Data Pura Producción'!$R$17:$R$531,$Q94,'Data Pura Producción'!$Q$17:$Q$531,$R94)=0,"",SUMIFS('Data Pura Producción'!AE$17:AE$531,'Data Pura Producción'!$R$17:$R$531,$Q94,'Data Pura Producción'!$Q$17:$Q$531,$R94)))</f>
        <v/>
      </c>
      <c r="U94" s="182" t="str">
        <f>+IF($Q94="","",IF(SUMIFS('Data Pura Producción'!AF$17:AF$531,'Data Pura Producción'!$R$17:$R$531,$Q94,'Data Pura Producción'!$Q$17:$Q$531,$R94)=0,"",SUMIFS('Data Pura Producción'!AF$17:AF$531,'Data Pura Producción'!$R$17:$R$531,$Q94,'Data Pura Producción'!$Q$17:$Q$531,$R94)))</f>
        <v/>
      </c>
      <c r="V94" s="182" t="str">
        <f>+IF($Q94="","",IF(SUMIFS('Data Pura Producción'!AG$17:AG$531,'Data Pura Producción'!$R$17:$R$531,$Q94,'Data Pura Producción'!$Q$17:$Q$531,$R94)=0,"",SUMIFS('Data Pura Producción'!AG$17:AG$531,'Data Pura Producción'!$R$17:$R$531,$Q94,'Data Pura Producción'!$Q$17:$Q$531,$R94)))</f>
        <v/>
      </c>
      <c r="W94" s="182" t="str">
        <f>+IF($Q94="","",IF(SUMIFS('Data Pura Producción'!AH$17:AH$531,'Data Pura Producción'!$R$17:$R$531,$Q94,'Data Pura Producción'!$Q$17:$Q$531,$R94)=0,"",SUMIFS('Data Pura Producción'!AH$17:AH$531,'Data Pura Producción'!$R$17:$R$531,$Q94,'Data Pura Producción'!$Q$17:$Q$531,$R94)))</f>
        <v/>
      </c>
      <c r="X94" s="182" t="str">
        <f>+IF($Q94="","",IF(SUMIFS('Data Pura Producción'!AI$17:AI$531,'Data Pura Producción'!$R$17:$R$531,$Q94,'Data Pura Producción'!$Q$17:$Q$531,$R94)=0,"",SUMIFS('Data Pura Producción'!AI$17:AI$531,'Data Pura Producción'!$R$17:$R$531,$Q94,'Data Pura Producción'!$Q$17:$Q$531,$R94)))</f>
        <v/>
      </c>
      <c r="Y94" s="182" t="str">
        <f>+IF($Q94="","",IF(SUMIFS('Data Pura Producción'!AJ$17:AJ$531,'Data Pura Producción'!$R$17:$R$531,$Q94,'Data Pura Producción'!$Q$17:$Q$531,$R94)=0,"",SUMIFS('Data Pura Producción'!AJ$17:AJ$531,'Data Pura Producción'!$R$17:$R$531,$Q94,'Data Pura Producción'!$Q$17:$Q$531,$R94)))</f>
        <v/>
      </c>
      <c r="Z94" s="182" t="str">
        <f>+IF($Q94="","",IF(SUMIFS('Data Pura Producción'!AK$17:AK$531,'Data Pura Producción'!$R$17:$R$531,$Q94,'Data Pura Producción'!$Q$17:$Q$531,$R94)=0,"",SUMIFS('Data Pura Producción'!AK$17:AK$531,'Data Pura Producción'!$R$17:$R$531,$Q94,'Data Pura Producción'!$Q$17:$Q$531,$R94)))</f>
        <v/>
      </c>
      <c r="AA94" s="182" t="str">
        <f>+IF($Q94="","",IF(SUMIFS('Data Pura Producción'!AL$17:AL$531,'Data Pura Producción'!$R$17:$R$531,$Q94,'Data Pura Producción'!$Q$17:$Q$531,$R94)=0,"",SUMIFS('Data Pura Producción'!AL$17:AL$531,'Data Pura Producción'!$R$17:$R$531,$Q94,'Data Pura Producción'!$Q$17:$Q$531,$R94)))</f>
        <v/>
      </c>
      <c r="AB94" s="182" t="str">
        <f>+IF($Q94="","",IF(SUMIFS('Data Pura Producción'!AM$17:AM$531,'Data Pura Producción'!$R$17:$R$531,$Q94,'Data Pura Producción'!$Q$17:$Q$531,$R94)=0,"",SUMIFS('Data Pura Producción'!AM$17:AM$531,'Data Pura Producción'!$R$17:$R$531,$Q94,'Data Pura Producción'!$Q$17:$Q$531,$R94)))</f>
        <v/>
      </c>
      <c r="AC94" s="182" t="str">
        <f>+IF($Q94="","",IF(SUMIFS('Data Pura Producción'!AN$17:AN$531,'Data Pura Producción'!$R$17:$R$531,$Q94,'Data Pura Producción'!$Q$17:$Q$531,$R94)=0,"",SUMIFS('Data Pura Producción'!AN$17:AN$531,'Data Pura Producción'!$R$17:$R$531,$Q94,'Data Pura Producción'!$Q$17:$Q$531,$R94)))</f>
        <v/>
      </c>
      <c r="AD94" s="182" t="str">
        <f>+IF($Q94="","",IF(SUMIFS('Data Pura Producción'!AO$17:AO$531,'Data Pura Producción'!$R$17:$R$531,$Q94,'Data Pura Producción'!$Q$17:$Q$531,$R94)=0,"",SUMIFS('Data Pura Producción'!AO$17:AO$531,'Data Pura Producción'!$R$17:$R$531,$Q94,'Data Pura Producción'!$Q$17:$Q$531,$R94)))</f>
        <v/>
      </c>
      <c r="AE94" s="182" t="str">
        <f>+IF($Q94="","",IF(SUMIFS('Data Pura Producción'!AP$17:AP$531,'Data Pura Producción'!$R$17:$R$531,$Q94,'Data Pura Producción'!$Q$17:$Q$531,$R94)=0,"",SUMIFS('Data Pura Producción'!AP$17:AP$531,'Data Pura Producción'!$R$17:$R$531,$Q94,'Data Pura Producción'!$Q$17:$Q$531,$R94)))</f>
        <v/>
      </c>
      <c r="AF94" s="182" t="str">
        <f>+IF($Q94="","",IF(SUMIFS('Data Pura Producción'!AQ$17:AQ$531,'Data Pura Producción'!$R$17:$R$531,$Q94,'Data Pura Producción'!$Q$17:$Q$531,$R94)=0,"",SUMIFS('Data Pura Producción'!AQ$17:AQ$531,'Data Pura Producción'!$R$17:$R$531,$Q94,'Data Pura Producción'!$Q$17:$Q$531,$R94)))</f>
        <v/>
      </c>
      <c r="AG94" s="182" t="str">
        <f>+IF($Q94="","",IF(SUMIFS('Data Pura Producción'!AR$17:AR$531,'Data Pura Producción'!$R$17:$R$531,$Q94,'Data Pura Producción'!$Q$17:$Q$531,$R94)=0,"",SUMIFS('Data Pura Producción'!AR$17:AR$531,'Data Pura Producción'!$R$17:$R$531,$Q94,'Data Pura Producción'!$Q$17:$Q$531,$R94)))</f>
        <v/>
      </c>
      <c r="AH94" s="182" t="str">
        <f>+IF($Q94="","",IF(SUMIFS('Data Pura Producción'!AS$17:AS$531,'Data Pura Producción'!$R$17:$R$531,$Q94,'Data Pura Producción'!$Q$17:$Q$531,$R94)=0,"",SUMIFS('Data Pura Producción'!AS$17:AS$531,'Data Pura Producción'!$R$17:$R$531,$Q94,'Data Pura Producción'!$Q$17:$Q$531,$R94)))</f>
        <v/>
      </c>
      <c r="AI94" s="182" t="str">
        <f>+IF($Q94="","",IF(SUMIFS('Data Pura Producción'!AT$17:AT$531,'Data Pura Producción'!$R$17:$R$531,$Q94,'Data Pura Producción'!$Q$17:$Q$531,$R94)=0,"",SUMIFS('Data Pura Producción'!AT$17:AT$531,'Data Pura Producción'!$R$17:$R$531,$Q94,'Data Pura Producción'!$Q$17:$Q$531,$R94)))</f>
        <v/>
      </c>
      <c r="AJ94" s="182" t="str">
        <f>+IF($Q94="","",IF(SUMIFS('Data Pura Producción'!AU$17:AU$531,'Data Pura Producción'!$R$17:$R$531,$Q94,'Data Pura Producción'!$Q$17:$Q$531,$R94)=0,"",SUMIFS('Data Pura Producción'!AU$17:AU$531,'Data Pura Producción'!$R$17:$R$531,$Q94,'Data Pura Producción'!$Q$17:$Q$531,$R94)))</f>
        <v/>
      </c>
      <c r="AK94" s="182" t="str">
        <f>+IF($Q94="","",IF(SUMIFS('Data Pura Producción'!AV$17:AV$531,'Data Pura Producción'!$R$17:$R$531,$Q94,'Data Pura Producción'!$Q$17:$Q$531,$R94)=0,"",SUMIFS('Data Pura Producción'!AV$17:AV$531,'Data Pura Producción'!$R$17:$R$531,$Q94,'Data Pura Producción'!$Q$17:$Q$531,$R94)))</f>
        <v/>
      </c>
      <c r="AL94" s="182" t="str">
        <f>+IF($Q94="","",IF(SUMIFS('Data Pura Producción'!AW$17:AW$531,'Data Pura Producción'!$R$17:$R$531,$Q94,'Data Pura Producción'!$Q$17:$Q$531,$R94)=0,"",SUMIFS('Data Pura Producción'!AW$17:AW$531,'Data Pura Producción'!$R$17:$R$531,$Q94,'Data Pura Producción'!$Q$17:$Q$531,$R94)))</f>
        <v/>
      </c>
      <c r="AM94" s="337" t="str">
        <f>+IF($Q94="","",IF(SUMIFS('Data Pura Producción'!AX$17:AX$531,'Data Pura Producción'!$R$17:$R$531,$Q94,'Data Pura Producción'!$Q$17:$Q$531,$R94)=0,"",SUMIFS('Data Pura Producción'!AX$17:AX$531,'Data Pura Producción'!$R$17:$R$531,$Q94,'Data Pura Producción'!$Q$17:$Q$531,$R94)))</f>
        <v/>
      </c>
      <c r="AN94" s="187" t="str">
        <f t="shared" si="4"/>
        <v/>
      </c>
    </row>
    <row r="95" spans="2:40" s="7" customFormat="1" x14ac:dyDescent="0.35">
      <c r="B95" s="4" t="str">
        <f>+IF('Data Pura Costos'!B95="","",'Data Pura Costos'!B95)</f>
        <v>Entre Rios/Puente Negro/Rio Claro</v>
      </c>
      <c r="C95" s="4" t="str">
        <f>+IF('Data Pura Costos'!C95="","",'Data Pura Costos'!C95)</f>
        <v>Puente negro, san fernando.VI Region.</v>
      </c>
      <c r="D95" s="5">
        <f>+IF('Data Pura Costos'!D95="","",'Data Pura Costos'!D95)</f>
        <v>95</v>
      </c>
      <c r="E95" s="65">
        <f>+IF('Data Pura Costos'!E95="","",IF('Data Pura Costos'!E95=0,MAX('Data Pura Costos'!$E$7:$E$3000)*1000,'Data Pura Costos'!E95))</f>
        <v>380000</v>
      </c>
      <c r="F95" s="5" t="str">
        <f>+IF('Data Pura Costos'!F95="","",'Data Pura Costos'!F95)</f>
        <v>Molina</v>
      </c>
      <c r="G95" s="5" t="str">
        <f>+IF('Data Pura Costos'!G95="","",'Data Pura Costos'!G95)</f>
        <v xml:space="preserve">GUSTAVO ZÚÑIGA </v>
      </c>
      <c r="H95" s="52" t="str">
        <f>+IF('Data Pura Costos'!H95="","",'Data Pura Costos'!H95)</f>
        <v>Termo</v>
      </c>
      <c r="I95" s="71">
        <f>+IF('Data Pura Costos'!I95="","",'Data Pura Costos'!I95)</f>
        <v>4000</v>
      </c>
      <c r="J95" s="52" t="str">
        <f>+IF('Data Pura Costos'!J95="","",'Data Pura Costos'!J95)</f>
        <v>24-25</v>
      </c>
      <c r="K95" s="82" t="str">
        <f t="shared" si="6"/>
        <v xml:space="preserve">Entre Rios/Puente Negro/Rio Claro-Molina-GUSTAVO ZÚÑIGA </v>
      </c>
      <c r="P95" s="1" t="str">
        <f t="shared" si="5"/>
        <v/>
      </c>
      <c r="Q95" s="23"/>
      <c r="R95" s="333"/>
      <c r="S95" s="336" t="str">
        <f>+IF($Q95="","",IF(SUMIFS('Data Pura Producción'!AD$17:AD$531,'Data Pura Producción'!$R$17:$R$531,$Q95,'Data Pura Producción'!$Q$17:$Q$531,$R95)=0,"",SUMIFS('Data Pura Producción'!AD$17:AD$531,'Data Pura Producción'!$R$17:$R$531,$Q95,'Data Pura Producción'!$Q$17:$Q$531,$R95)))</f>
        <v/>
      </c>
      <c r="T95" s="182" t="str">
        <f>+IF($Q95="","",IF(SUMIFS('Data Pura Producción'!AE$17:AE$531,'Data Pura Producción'!$R$17:$R$531,$Q95,'Data Pura Producción'!$Q$17:$Q$531,$R95)=0,"",SUMIFS('Data Pura Producción'!AE$17:AE$531,'Data Pura Producción'!$R$17:$R$531,$Q95,'Data Pura Producción'!$Q$17:$Q$531,$R95)))</f>
        <v/>
      </c>
      <c r="U95" s="182" t="str">
        <f>+IF($Q95="","",IF(SUMIFS('Data Pura Producción'!AF$17:AF$531,'Data Pura Producción'!$R$17:$R$531,$Q95,'Data Pura Producción'!$Q$17:$Q$531,$R95)=0,"",SUMIFS('Data Pura Producción'!AF$17:AF$531,'Data Pura Producción'!$R$17:$R$531,$Q95,'Data Pura Producción'!$Q$17:$Q$531,$R95)))</f>
        <v/>
      </c>
      <c r="V95" s="182" t="str">
        <f>+IF($Q95="","",IF(SUMIFS('Data Pura Producción'!AG$17:AG$531,'Data Pura Producción'!$R$17:$R$531,$Q95,'Data Pura Producción'!$Q$17:$Q$531,$R95)=0,"",SUMIFS('Data Pura Producción'!AG$17:AG$531,'Data Pura Producción'!$R$17:$R$531,$Q95,'Data Pura Producción'!$Q$17:$Q$531,$R95)))</f>
        <v/>
      </c>
      <c r="W95" s="182" t="str">
        <f>+IF($Q95="","",IF(SUMIFS('Data Pura Producción'!AH$17:AH$531,'Data Pura Producción'!$R$17:$R$531,$Q95,'Data Pura Producción'!$Q$17:$Q$531,$R95)=0,"",SUMIFS('Data Pura Producción'!AH$17:AH$531,'Data Pura Producción'!$R$17:$R$531,$Q95,'Data Pura Producción'!$Q$17:$Q$531,$R95)))</f>
        <v/>
      </c>
      <c r="X95" s="182" t="str">
        <f>+IF($Q95="","",IF(SUMIFS('Data Pura Producción'!AI$17:AI$531,'Data Pura Producción'!$R$17:$R$531,$Q95,'Data Pura Producción'!$Q$17:$Q$531,$R95)=0,"",SUMIFS('Data Pura Producción'!AI$17:AI$531,'Data Pura Producción'!$R$17:$R$531,$Q95,'Data Pura Producción'!$Q$17:$Q$531,$R95)))</f>
        <v/>
      </c>
      <c r="Y95" s="182" t="str">
        <f>+IF($Q95="","",IF(SUMIFS('Data Pura Producción'!AJ$17:AJ$531,'Data Pura Producción'!$R$17:$R$531,$Q95,'Data Pura Producción'!$Q$17:$Q$531,$R95)=0,"",SUMIFS('Data Pura Producción'!AJ$17:AJ$531,'Data Pura Producción'!$R$17:$R$531,$Q95,'Data Pura Producción'!$Q$17:$Q$531,$R95)))</f>
        <v/>
      </c>
      <c r="Z95" s="182" t="str">
        <f>+IF($Q95="","",IF(SUMIFS('Data Pura Producción'!AK$17:AK$531,'Data Pura Producción'!$R$17:$R$531,$Q95,'Data Pura Producción'!$Q$17:$Q$531,$R95)=0,"",SUMIFS('Data Pura Producción'!AK$17:AK$531,'Data Pura Producción'!$R$17:$R$531,$Q95,'Data Pura Producción'!$Q$17:$Q$531,$R95)))</f>
        <v/>
      </c>
      <c r="AA95" s="182" t="str">
        <f>+IF($Q95="","",IF(SUMIFS('Data Pura Producción'!AL$17:AL$531,'Data Pura Producción'!$R$17:$R$531,$Q95,'Data Pura Producción'!$Q$17:$Q$531,$R95)=0,"",SUMIFS('Data Pura Producción'!AL$17:AL$531,'Data Pura Producción'!$R$17:$R$531,$Q95,'Data Pura Producción'!$Q$17:$Q$531,$R95)))</f>
        <v/>
      </c>
      <c r="AB95" s="182" t="str">
        <f>+IF($Q95="","",IF(SUMIFS('Data Pura Producción'!AM$17:AM$531,'Data Pura Producción'!$R$17:$R$531,$Q95,'Data Pura Producción'!$Q$17:$Q$531,$R95)=0,"",SUMIFS('Data Pura Producción'!AM$17:AM$531,'Data Pura Producción'!$R$17:$R$531,$Q95,'Data Pura Producción'!$Q$17:$Q$531,$R95)))</f>
        <v/>
      </c>
      <c r="AC95" s="182" t="str">
        <f>+IF($Q95="","",IF(SUMIFS('Data Pura Producción'!AN$17:AN$531,'Data Pura Producción'!$R$17:$R$531,$Q95,'Data Pura Producción'!$Q$17:$Q$531,$R95)=0,"",SUMIFS('Data Pura Producción'!AN$17:AN$531,'Data Pura Producción'!$R$17:$R$531,$Q95,'Data Pura Producción'!$Q$17:$Q$531,$R95)))</f>
        <v/>
      </c>
      <c r="AD95" s="182" t="str">
        <f>+IF($Q95="","",IF(SUMIFS('Data Pura Producción'!AO$17:AO$531,'Data Pura Producción'!$R$17:$R$531,$Q95,'Data Pura Producción'!$Q$17:$Q$531,$R95)=0,"",SUMIFS('Data Pura Producción'!AO$17:AO$531,'Data Pura Producción'!$R$17:$R$531,$Q95,'Data Pura Producción'!$Q$17:$Q$531,$R95)))</f>
        <v/>
      </c>
      <c r="AE95" s="182" t="str">
        <f>+IF($Q95="","",IF(SUMIFS('Data Pura Producción'!AP$17:AP$531,'Data Pura Producción'!$R$17:$R$531,$Q95,'Data Pura Producción'!$Q$17:$Q$531,$R95)=0,"",SUMIFS('Data Pura Producción'!AP$17:AP$531,'Data Pura Producción'!$R$17:$R$531,$Q95,'Data Pura Producción'!$Q$17:$Q$531,$R95)))</f>
        <v/>
      </c>
      <c r="AF95" s="182" t="str">
        <f>+IF($Q95="","",IF(SUMIFS('Data Pura Producción'!AQ$17:AQ$531,'Data Pura Producción'!$R$17:$R$531,$Q95,'Data Pura Producción'!$Q$17:$Q$531,$R95)=0,"",SUMIFS('Data Pura Producción'!AQ$17:AQ$531,'Data Pura Producción'!$R$17:$R$531,$Q95,'Data Pura Producción'!$Q$17:$Q$531,$R95)))</f>
        <v/>
      </c>
      <c r="AG95" s="182" t="str">
        <f>+IF($Q95="","",IF(SUMIFS('Data Pura Producción'!AR$17:AR$531,'Data Pura Producción'!$R$17:$R$531,$Q95,'Data Pura Producción'!$Q$17:$Q$531,$R95)=0,"",SUMIFS('Data Pura Producción'!AR$17:AR$531,'Data Pura Producción'!$R$17:$R$531,$Q95,'Data Pura Producción'!$Q$17:$Q$531,$R95)))</f>
        <v/>
      </c>
      <c r="AH95" s="182" t="str">
        <f>+IF($Q95="","",IF(SUMIFS('Data Pura Producción'!AS$17:AS$531,'Data Pura Producción'!$R$17:$R$531,$Q95,'Data Pura Producción'!$Q$17:$Q$531,$R95)=0,"",SUMIFS('Data Pura Producción'!AS$17:AS$531,'Data Pura Producción'!$R$17:$R$531,$Q95,'Data Pura Producción'!$Q$17:$Q$531,$R95)))</f>
        <v/>
      </c>
      <c r="AI95" s="182" t="str">
        <f>+IF($Q95="","",IF(SUMIFS('Data Pura Producción'!AT$17:AT$531,'Data Pura Producción'!$R$17:$R$531,$Q95,'Data Pura Producción'!$Q$17:$Q$531,$R95)=0,"",SUMIFS('Data Pura Producción'!AT$17:AT$531,'Data Pura Producción'!$R$17:$R$531,$Q95,'Data Pura Producción'!$Q$17:$Q$531,$R95)))</f>
        <v/>
      </c>
      <c r="AJ95" s="182" t="str">
        <f>+IF($Q95="","",IF(SUMIFS('Data Pura Producción'!AU$17:AU$531,'Data Pura Producción'!$R$17:$R$531,$Q95,'Data Pura Producción'!$Q$17:$Q$531,$R95)=0,"",SUMIFS('Data Pura Producción'!AU$17:AU$531,'Data Pura Producción'!$R$17:$R$531,$Q95,'Data Pura Producción'!$Q$17:$Q$531,$R95)))</f>
        <v/>
      </c>
      <c r="AK95" s="182" t="str">
        <f>+IF($Q95="","",IF(SUMIFS('Data Pura Producción'!AV$17:AV$531,'Data Pura Producción'!$R$17:$R$531,$Q95,'Data Pura Producción'!$Q$17:$Q$531,$R95)=0,"",SUMIFS('Data Pura Producción'!AV$17:AV$531,'Data Pura Producción'!$R$17:$R$531,$Q95,'Data Pura Producción'!$Q$17:$Q$531,$R95)))</f>
        <v/>
      </c>
      <c r="AL95" s="182" t="str">
        <f>+IF($Q95="","",IF(SUMIFS('Data Pura Producción'!AW$17:AW$531,'Data Pura Producción'!$R$17:$R$531,$Q95,'Data Pura Producción'!$Q$17:$Q$531,$R95)=0,"",SUMIFS('Data Pura Producción'!AW$17:AW$531,'Data Pura Producción'!$R$17:$R$531,$Q95,'Data Pura Producción'!$Q$17:$Q$531,$R95)))</f>
        <v/>
      </c>
      <c r="AM95" s="337" t="str">
        <f>+IF($Q95="","",IF(SUMIFS('Data Pura Producción'!AX$17:AX$531,'Data Pura Producción'!$R$17:$R$531,$Q95,'Data Pura Producción'!$Q$17:$Q$531,$R95)=0,"",SUMIFS('Data Pura Producción'!AX$17:AX$531,'Data Pura Producción'!$R$17:$R$531,$Q95,'Data Pura Producción'!$Q$17:$Q$531,$R95)))</f>
        <v/>
      </c>
      <c r="AN95" s="187" t="str">
        <f t="shared" si="4"/>
        <v/>
      </c>
    </row>
    <row r="96" spans="2:40" s="7" customFormat="1" x14ac:dyDescent="0.35">
      <c r="B96" s="4" t="str">
        <f>+IF('Data Pura Costos'!B96="","",'Data Pura Costos'!B96)</f>
        <v>Retorno</v>
      </c>
      <c r="C96" s="4" t="str">
        <f>+IF('Data Pura Costos'!C96="","",'Data Pura Costos'!C96)</f>
        <v>Santa maria, V región</v>
      </c>
      <c r="D96" s="5">
        <f>+IF('Data Pura Costos'!D96="","",'Data Pura Costos'!D96)</f>
        <v>305</v>
      </c>
      <c r="E96" s="65">
        <f>+IF('Data Pura Costos'!E96="","",IF('Data Pura Costos'!E96=0,MAX('Data Pura Costos'!$E$7:$E$3000)*1000,'Data Pura Costos'!E96))</f>
        <v>810000</v>
      </c>
      <c r="F96" s="5" t="str">
        <f>+IF('Data Pura Costos'!F96="","",'Data Pura Costos'!F96)</f>
        <v>Molina</v>
      </c>
      <c r="G96" s="5" t="str">
        <f>+IF('Data Pura Costos'!G96="","",'Data Pura Costos'!G96)</f>
        <v xml:space="preserve">GUSTAVO ZÚÑIGA </v>
      </c>
      <c r="H96" s="52" t="str">
        <f>+IF('Data Pura Costos'!H96="","",'Data Pura Costos'!H96)</f>
        <v>Termo</v>
      </c>
      <c r="I96" s="71">
        <f>+IF('Data Pura Costos'!I96="","",'Data Pura Costos'!I96)</f>
        <v>2655.7377049180327</v>
      </c>
      <c r="J96" s="52" t="str">
        <f>+IF('Data Pura Costos'!J96="","",'Data Pura Costos'!J96)</f>
        <v>24-25</v>
      </c>
      <c r="K96" s="82" t="str">
        <f t="shared" si="6"/>
        <v xml:space="preserve">Retorno-Molina-GUSTAVO ZÚÑIGA </v>
      </c>
      <c r="P96" s="1" t="str">
        <f t="shared" si="5"/>
        <v/>
      </c>
      <c r="Q96" s="23"/>
      <c r="R96" s="333"/>
      <c r="S96" s="336" t="str">
        <f>+IF($Q96="","",IF(SUMIFS('Data Pura Producción'!AD$17:AD$531,'Data Pura Producción'!$R$17:$R$531,$Q96,'Data Pura Producción'!$Q$17:$Q$531,$R96)=0,"",SUMIFS('Data Pura Producción'!AD$17:AD$531,'Data Pura Producción'!$R$17:$R$531,$Q96,'Data Pura Producción'!$Q$17:$Q$531,$R96)))</f>
        <v/>
      </c>
      <c r="T96" s="182" t="str">
        <f>+IF($Q96="","",IF(SUMIFS('Data Pura Producción'!AE$17:AE$531,'Data Pura Producción'!$R$17:$R$531,$Q96,'Data Pura Producción'!$Q$17:$Q$531,$R96)=0,"",SUMIFS('Data Pura Producción'!AE$17:AE$531,'Data Pura Producción'!$R$17:$R$531,$Q96,'Data Pura Producción'!$Q$17:$Q$531,$R96)))</f>
        <v/>
      </c>
      <c r="U96" s="182" t="str">
        <f>+IF($Q96="","",IF(SUMIFS('Data Pura Producción'!AF$17:AF$531,'Data Pura Producción'!$R$17:$R$531,$Q96,'Data Pura Producción'!$Q$17:$Q$531,$R96)=0,"",SUMIFS('Data Pura Producción'!AF$17:AF$531,'Data Pura Producción'!$R$17:$R$531,$Q96,'Data Pura Producción'!$Q$17:$Q$531,$R96)))</f>
        <v/>
      </c>
      <c r="V96" s="182" t="str">
        <f>+IF($Q96="","",IF(SUMIFS('Data Pura Producción'!AG$17:AG$531,'Data Pura Producción'!$R$17:$R$531,$Q96,'Data Pura Producción'!$Q$17:$Q$531,$R96)=0,"",SUMIFS('Data Pura Producción'!AG$17:AG$531,'Data Pura Producción'!$R$17:$R$531,$Q96,'Data Pura Producción'!$Q$17:$Q$531,$R96)))</f>
        <v/>
      </c>
      <c r="W96" s="182" t="str">
        <f>+IF($Q96="","",IF(SUMIFS('Data Pura Producción'!AH$17:AH$531,'Data Pura Producción'!$R$17:$R$531,$Q96,'Data Pura Producción'!$Q$17:$Q$531,$R96)=0,"",SUMIFS('Data Pura Producción'!AH$17:AH$531,'Data Pura Producción'!$R$17:$R$531,$Q96,'Data Pura Producción'!$Q$17:$Q$531,$R96)))</f>
        <v/>
      </c>
      <c r="X96" s="182" t="str">
        <f>+IF($Q96="","",IF(SUMIFS('Data Pura Producción'!AI$17:AI$531,'Data Pura Producción'!$R$17:$R$531,$Q96,'Data Pura Producción'!$Q$17:$Q$531,$R96)=0,"",SUMIFS('Data Pura Producción'!AI$17:AI$531,'Data Pura Producción'!$R$17:$R$531,$Q96,'Data Pura Producción'!$Q$17:$Q$531,$R96)))</f>
        <v/>
      </c>
      <c r="Y96" s="182" t="str">
        <f>+IF($Q96="","",IF(SUMIFS('Data Pura Producción'!AJ$17:AJ$531,'Data Pura Producción'!$R$17:$R$531,$Q96,'Data Pura Producción'!$Q$17:$Q$531,$R96)=0,"",SUMIFS('Data Pura Producción'!AJ$17:AJ$531,'Data Pura Producción'!$R$17:$R$531,$Q96,'Data Pura Producción'!$Q$17:$Q$531,$R96)))</f>
        <v/>
      </c>
      <c r="Z96" s="182" t="str">
        <f>+IF($Q96="","",IF(SUMIFS('Data Pura Producción'!AK$17:AK$531,'Data Pura Producción'!$R$17:$R$531,$Q96,'Data Pura Producción'!$Q$17:$Q$531,$R96)=0,"",SUMIFS('Data Pura Producción'!AK$17:AK$531,'Data Pura Producción'!$R$17:$R$531,$Q96,'Data Pura Producción'!$Q$17:$Q$531,$R96)))</f>
        <v/>
      </c>
      <c r="AA96" s="182" t="str">
        <f>+IF($Q96="","",IF(SUMIFS('Data Pura Producción'!AL$17:AL$531,'Data Pura Producción'!$R$17:$R$531,$Q96,'Data Pura Producción'!$Q$17:$Q$531,$R96)=0,"",SUMIFS('Data Pura Producción'!AL$17:AL$531,'Data Pura Producción'!$R$17:$R$531,$Q96,'Data Pura Producción'!$Q$17:$Q$531,$R96)))</f>
        <v/>
      </c>
      <c r="AB96" s="182" t="str">
        <f>+IF($Q96="","",IF(SUMIFS('Data Pura Producción'!AM$17:AM$531,'Data Pura Producción'!$R$17:$R$531,$Q96,'Data Pura Producción'!$Q$17:$Q$531,$R96)=0,"",SUMIFS('Data Pura Producción'!AM$17:AM$531,'Data Pura Producción'!$R$17:$R$531,$Q96,'Data Pura Producción'!$Q$17:$Q$531,$R96)))</f>
        <v/>
      </c>
      <c r="AC96" s="182" t="str">
        <f>+IF($Q96="","",IF(SUMIFS('Data Pura Producción'!AN$17:AN$531,'Data Pura Producción'!$R$17:$R$531,$Q96,'Data Pura Producción'!$Q$17:$Q$531,$R96)=0,"",SUMIFS('Data Pura Producción'!AN$17:AN$531,'Data Pura Producción'!$R$17:$R$531,$Q96,'Data Pura Producción'!$Q$17:$Q$531,$R96)))</f>
        <v/>
      </c>
      <c r="AD96" s="182" t="str">
        <f>+IF($Q96="","",IF(SUMIFS('Data Pura Producción'!AO$17:AO$531,'Data Pura Producción'!$R$17:$R$531,$Q96,'Data Pura Producción'!$Q$17:$Q$531,$R96)=0,"",SUMIFS('Data Pura Producción'!AO$17:AO$531,'Data Pura Producción'!$R$17:$R$531,$Q96,'Data Pura Producción'!$Q$17:$Q$531,$R96)))</f>
        <v/>
      </c>
      <c r="AE96" s="182" t="str">
        <f>+IF($Q96="","",IF(SUMIFS('Data Pura Producción'!AP$17:AP$531,'Data Pura Producción'!$R$17:$R$531,$Q96,'Data Pura Producción'!$Q$17:$Q$531,$R96)=0,"",SUMIFS('Data Pura Producción'!AP$17:AP$531,'Data Pura Producción'!$R$17:$R$531,$Q96,'Data Pura Producción'!$Q$17:$Q$531,$R96)))</f>
        <v/>
      </c>
      <c r="AF96" s="182" t="str">
        <f>+IF($Q96="","",IF(SUMIFS('Data Pura Producción'!AQ$17:AQ$531,'Data Pura Producción'!$R$17:$R$531,$Q96,'Data Pura Producción'!$Q$17:$Q$531,$R96)=0,"",SUMIFS('Data Pura Producción'!AQ$17:AQ$531,'Data Pura Producción'!$R$17:$R$531,$Q96,'Data Pura Producción'!$Q$17:$Q$531,$R96)))</f>
        <v/>
      </c>
      <c r="AG96" s="182" t="str">
        <f>+IF($Q96="","",IF(SUMIFS('Data Pura Producción'!AR$17:AR$531,'Data Pura Producción'!$R$17:$R$531,$Q96,'Data Pura Producción'!$Q$17:$Q$531,$R96)=0,"",SUMIFS('Data Pura Producción'!AR$17:AR$531,'Data Pura Producción'!$R$17:$R$531,$Q96,'Data Pura Producción'!$Q$17:$Q$531,$R96)))</f>
        <v/>
      </c>
      <c r="AH96" s="182" t="str">
        <f>+IF($Q96="","",IF(SUMIFS('Data Pura Producción'!AS$17:AS$531,'Data Pura Producción'!$R$17:$R$531,$Q96,'Data Pura Producción'!$Q$17:$Q$531,$R96)=0,"",SUMIFS('Data Pura Producción'!AS$17:AS$531,'Data Pura Producción'!$R$17:$R$531,$Q96,'Data Pura Producción'!$Q$17:$Q$531,$R96)))</f>
        <v/>
      </c>
      <c r="AI96" s="182" t="str">
        <f>+IF($Q96="","",IF(SUMIFS('Data Pura Producción'!AT$17:AT$531,'Data Pura Producción'!$R$17:$R$531,$Q96,'Data Pura Producción'!$Q$17:$Q$531,$R96)=0,"",SUMIFS('Data Pura Producción'!AT$17:AT$531,'Data Pura Producción'!$R$17:$R$531,$Q96,'Data Pura Producción'!$Q$17:$Q$531,$R96)))</f>
        <v/>
      </c>
      <c r="AJ96" s="182" t="str">
        <f>+IF($Q96="","",IF(SUMIFS('Data Pura Producción'!AU$17:AU$531,'Data Pura Producción'!$R$17:$R$531,$Q96,'Data Pura Producción'!$Q$17:$Q$531,$R96)=0,"",SUMIFS('Data Pura Producción'!AU$17:AU$531,'Data Pura Producción'!$R$17:$R$531,$Q96,'Data Pura Producción'!$Q$17:$Q$531,$R96)))</f>
        <v/>
      </c>
      <c r="AK96" s="182" t="str">
        <f>+IF($Q96="","",IF(SUMIFS('Data Pura Producción'!AV$17:AV$531,'Data Pura Producción'!$R$17:$R$531,$Q96,'Data Pura Producción'!$Q$17:$Q$531,$R96)=0,"",SUMIFS('Data Pura Producción'!AV$17:AV$531,'Data Pura Producción'!$R$17:$R$531,$Q96,'Data Pura Producción'!$Q$17:$Q$531,$R96)))</f>
        <v/>
      </c>
      <c r="AL96" s="182" t="str">
        <f>+IF($Q96="","",IF(SUMIFS('Data Pura Producción'!AW$17:AW$531,'Data Pura Producción'!$R$17:$R$531,$Q96,'Data Pura Producción'!$Q$17:$Q$531,$R96)=0,"",SUMIFS('Data Pura Producción'!AW$17:AW$531,'Data Pura Producción'!$R$17:$R$531,$Q96,'Data Pura Producción'!$Q$17:$Q$531,$R96)))</f>
        <v/>
      </c>
      <c r="AM96" s="337" t="str">
        <f>+IF($Q96="","",IF(SUMIFS('Data Pura Producción'!AX$17:AX$531,'Data Pura Producción'!$R$17:$R$531,$Q96,'Data Pura Producción'!$Q$17:$Q$531,$R96)=0,"",SUMIFS('Data Pura Producción'!AX$17:AX$531,'Data Pura Producción'!$R$17:$R$531,$Q96,'Data Pura Producción'!$Q$17:$Q$531,$R96)))</f>
        <v/>
      </c>
      <c r="AN96" s="187" t="str">
        <f t="shared" si="4"/>
        <v/>
      </c>
    </row>
    <row r="97" spans="2:40" s="7" customFormat="1" x14ac:dyDescent="0.35">
      <c r="B97" s="4" t="str">
        <f>+IF('Data Pura Costos'!B97="","",'Data Pura Costos'!B97)</f>
        <v>San Hernán</v>
      </c>
      <c r="C97" s="4" t="str">
        <f>+IF('Data Pura Costos'!C97="","",'Data Pura Costos'!C97)</f>
        <v>Graneros, VI región</v>
      </c>
      <c r="D97" s="5">
        <f>+IF('Data Pura Costos'!D97="","",'Data Pura Costos'!D97)</f>
        <v>140</v>
      </c>
      <c r="E97" s="65">
        <f>+IF('Data Pura Costos'!E97="","",IF('Data Pura Costos'!E97=0,MAX('Data Pura Costos'!$E$7:$E$3000)*1000,'Data Pura Costos'!E97))</f>
        <v>460000</v>
      </c>
      <c r="F97" s="5" t="str">
        <f>+IF('Data Pura Costos'!F97="","",'Data Pura Costos'!F97)</f>
        <v>Molina</v>
      </c>
      <c r="G97" s="5" t="str">
        <f>+IF('Data Pura Costos'!G97="","",'Data Pura Costos'!G97)</f>
        <v xml:space="preserve">GUSTAVO ZÚÑIGA </v>
      </c>
      <c r="H97" s="52" t="str">
        <f>+IF('Data Pura Costos'!H97="","",'Data Pura Costos'!H97)</f>
        <v>Termo</v>
      </c>
      <c r="I97" s="71">
        <f>+IF('Data Pura Costos'!I97="","",'Data Pura Costos'!I97)</f>
        <v>3285.7142857142858</v>
      </c>
      <c r="J97" s="52" t="str">
        <f>+IF('Data Pura Costos'!J97="","",'Data Pura Costos'!J97)</f>
        <v>24-25</v>
      </c>
      <c r="K97" s="82" t="str">
        <f t="shared" si="6"/>
        <v xml:space="preserve">San Hernán-Molina-GUSTAVO ZÚÑIGA </v>
      </c>
      <c r="P97" s="1" t="str">
        <f t="shared" si="5"/>
        <v/>
      </c>
      <c r="Q97" s="23"/>
      <c r="R97" s="333"/>
      <c r="S97" s="336" t="str">
        <f>+IF($Q97="","",IF(SUMIFS('Data Pura Producción'!AD$17:AD$531,'Data Pura Producción'!$R$17:$R$531,$Q97,'Data Pura Producción'!$Q$17:$Q$531,$R97)=0,"",SUMIFS('Data Pura Producción'!AD$17:AD$531,'Data Pura Producción'!$R$17:$R$531,$Q97,'Data Pura Producción'!$Q$17:$Q$531,$R97)))</f>
        <v/>
      </c>
      <c r="T97" s="182" t="str">
        <f>+IF($Q97="","",IF(SUMIFS('Data Pura Producción'!AE$17:AE$531,'Data Pura Producción'!$R$17:$R$531,$Q97,'Data Pura Producción'!$Q$17:$Q$531,$R97)=0,"",SUMIFS('Data Pura Producción'!AE$17:AE$531,'Data Pura Producción'!$R$17:$R$531,$Q97,'Data Pura Producción'!$Q$17:$Q$531,$R97)))</f>
        <v/>
      </c>
      <c r="U97" s="182" t="str">
        <f>+IF($Q97="","",IF(SUMIFS('Data Pura Producción'!AF$17:AF$531,'Data Pura Producción'!$R$17:$R$531,$Q97,'Data Pura Producción'!$Q$17:$Q$531,$R97)=0,"",SUMIFS('Data Pura Producción'!AF$17:AF$531,'Data Pura Producción'!$R$17:$R$531,$Q97,'Data Pura Producción'!$Q$17:$Q$531,$R97)))</f>
        <v/>
      </c>
      <c r="V97" s="182" t="str">
        <f>+IF($Q97="","",IF(SUMIFS('Data Pura Producción'!AG$17:AG$531,'Data Pura Producción'!$R$17:$R$531,$Q97,'Data Pura Producción'!$Q$17:$Q$531,$R97)=0,"",SUMIFS('Data Pura Producción'!AG$17:AG$531,'Data Pura Producción'!$R$17:$R$531,$Q97,'Data Pura Producción'!$Q$17:$Q$531,$R97)))</f>
        <v/>
      </c>
      <c r="W97" s="182" t="str">
        <f>+IF($Q97="","",IF(SUMIFS('Data Pura Producción'!AH$17:AH$531,'Data Pura Producción'!$R$17:$R$531,$Q97,'Data Pura Producción'!$Q$17:$Q$531,$R97)=0,"",SUMIFS('Data Pura Producción'!AH$17:AH$531,'Data Pura Producción'!$R$17:$R$531,$Q97,'Data Pura Producción'!$Q$17:$Q$531,$R97)))</f>
        <v/>
      </c>
      <c r="X97" s="182" t="str">
        <f>+IF($Q97="","",IF(SUMIFS('Data Pura Producción'!AI$17:AI$531,'Data Pura Producción'!$R$17:$R$531,$Q97,'Data Pura Producción'!$Q$17:$Q$531,$R97)=0,"",SUMIFS('Data Pura Producción'!AI$17:AI$531,'Data Pura Producción'!$R$17:$R$531,$Q97,'Data Pura Producción'!$Q$17:$Q$531,$R97)))</f>
        <v/>
      </c>
      <c r="Y97" s="182" t="str">
        <f>+IF($Q97="","",IF(SUMIFS('Data Pura Producción'!AJ$17:AJ$531,'Data Pura Producción'!$R$17:$R$531,$Q97,'Data Pura Producción'!$Q$17:$Q$531,$R97)=0,"",SUMIFS('Data Pura Producción'!AJ$17:AJ$531,'Data Pura Producción'!$R$17:$R$531,$Q97,'Data Pura Producción'!$Q$17:$Q$531,$R97)))</f>
        <v/>
      </c>
      <c r="Z97" s="182" t="str">
        <f>+IF($Q97="","",IF(SUMIFS('Data Pura Producción'!AK$17:AK$531,'Data Pura Producción'!$R$17:$R$531,$Q97,'Data Pura Producción'!$Q$17:$Q$531,$R97)=0,"",SUMIFS('Data Pura Producción'!AK$17:AK$531,'Data Pura Producción'!$R$17:$R$531,$Q97,'Data Pura Producción'!$Q$17:$Q$531,$R97)))</f>
        <v/>
      </c>
      <c r="AA97" s="182" t="str">
        <f>+IF($Q97="","",IF(SUMIFS('Data Pura Producción'!AL$17:AL$531,'Data Pura Producción'!$R$17:$R$531,$Q97,'Data Pura Producción'!$Q$17:$Q$531,$R97)=0,"",SUMIFS('Data Pura Producción'!AL$17:AL$531,'Data Pura Producción'!$R$17:$R$531,$Q97,'Data Pura Producción'!$Q$17:$Q$531,$R97)))</f>
        <v/>
      </c>
      <c r="AB97" s="182" t="str">
        <f>+IF($Q97="","",IF(SUMIFS('Data Pura Producción'!AM$17:AM$531,'Data Pura Producción'!$R$17:$R$531,$Q97,'Data Pura Producción'!$Q$17:$Q$531,$R97)=0,"",SUMIFS('Data Pura Producción'!AM$17:AM$531,'Data Pura Producción'!$R$17:$R$531,$Q97,'Data Pura Producción'!$Q$17:$Q$531,$R97)))</f>
        <v/>
      </c>
      <c r="AC97" s="182" t="str">
        <f>+IF($Q97="","",IF(SUMIFS('Data Pura Producción'!AN$17:AN$531,'Data Pura Producción'!$R$17:$R$531,$Q97,'Data Pura Producción'!$Q$17:$Q$531,$R97)=0,"",SUMIFS('Data Pura Producción'!AN$17:AN$531,'Data Pura Producción'!$R$17:$R$531,$Q97,'Data Pura Producción'!$Q$17:$Q$531,$R97)))</f>
        <v/>
      </c>
      <c r="AD97" s="182" t="str">
        <f>+IF($Q97="","",IF(SUMIFS('Data Pura Producción'!AO$17:AO$531,'Data Pura Producción'!$R$17:$R$531,$Q97,'Data Pura Producción'!$Q$17:$Q$531,$R97)=0,"",SUMIFS('Data Pura Producción'!AO$17:AO$531,'Data Pura Producción'!$R$17:$R$531,$Q97,'Data Pura Producción'!$Q$17:$Q$531,$R97)))</f>
        <v/>
      </c>
      <c r="AE97" s="182" t="str">
        <f>+IF($Q97="","",IF(SUMIFS('Data Pura Producción'!AP$17:AP$531,'Data Pura Producción'!$R$17:$R$531,$Q97,'Data Pura Producción'!$Q$17:$Q$531,$R97)=0,"",SUMIFS('Data Pura Producción'!AP$17:AP$531,'Data Pura Producción'!$R$17:$R$531,$Q97,'Data Pura Producción'!$Q$17:$Q$531,$R97)))</f>
        <v/>
      </c>
      <c r="AF97" s="182" t="str">
        <f>+IF($Q97="","",IF(SUMIFS('Data Pura Producción'!AQ$17:AQ$531,'Data Pura Producción'!$R$17:$R$531,$Q97,'Data Pura Producción'!$Q$17:$Q$531,$R97)=0,"",SUMIFS('Data Pura Producción'!AQ$17:AQ$531,'Data Pura Producción'!$R$17:$R$531,$Q97,'Data Pura Producción'!$Q$17:$Q$531,$R97)))</f>
        <v/>
      </c>
      <c r="AG97" s="182" t="str">
        <f>+IF($Q97="","",IF(SUMIFS('Data Pura Producción'!AR$17:AR$531,'Data Pura Producción'!$R$17:$R$531,$Q97,'Data Pura Producción'!$Q$17:$Q$531,$R97)=0,"",SUMIFS('Data Pura Producción'!AR$17:AR$531,'Data Pura Producción'!$R$17:$R$531,$Q97,'Data Pura Producción'!$Q$17:$Q$531,$R97)))</f>
        <v/>
      </c>
      <c r="AH97" s="182" t="str">
        <f>+IF($Q97="","",IF(SUMIFS('Data Pura Producción'!AS$17:AS$531,'Data Pura Producción'!$R$17:$R$531,$Q97,'Data Pura Producción'!$Q$17:$Q$531,$R97)=0,"",SUMIFS('Data Pura Producción'!AS$17:AS$531,'Data Pura Producción'!$R$17:$R$531,$Q97,'Data Pura Producción'!$Q$17:$Q$531,$R97)))</f>
        <v/>
      </c>
      <c r="AI97" s="182" t="str">
        <f>+IF($Q97="","",IF(SUMIFS('Data Pura Producción'!AT$17:AT$531,'Data Pura Producción'!$R$17:$R$531,$Q97,'Data Pura Producción'!$Q$17:$Q$531,$R97)=0,"",SUMIFS('Data Pura Producción'!AT$17:AT$531,'Data Pura Producción'!$R$17:$R$531,$Q97,'Data Pura Producción'!$Q$17:$Q$531,$R97)))</f>
        <v/>
      </c>
      <c r="AJ97" s="182" t="str">
        <f>+IF($Q97="","",IF(SUMIFS('Data Pura Producción'!AU$17:AU$531,'Data Pura Producción'!$R$17:$R$531,$Q97,'Data Pura Producción'!$Q$17:$Q$531,$R97)=0,"",SUMIFS('Data Pura Producción'!AU$17:AU$531,'Data Pura Producción'!$R$17:$R$531,$Q97,'Data Pura Producción'!$Q$17:$Q$531,$R97)))</f>
        <v/>
      </c>
      <c r="AK97" s="182" t="str">
        <f>+IF($Q97="","",IF(SUMIFS('Data Pura Producción'!AV$17:AV$531,'Data Pura Producción'!$R$17:$R$531,$Q97,'Data Pura Producción'!$Q$17:$Q$531,$R97)=0,"",SUMIFS('Data Pura Producción'!AV$17:AV$531,'Data Pura Producción'!$R$17:$R$531,$Q97,'Data Pura Producción'!$Q$17:$Q$531,$R97)))</f>
        <v/>
      </c>
      <c r="AL97" s="182" t="str">
        <f>+IF($Q97="","",IF(SUMIFS('Data Pura Producción'!AW$17:AW$531,'Data Pura Producción'!$R$17:$R$531,$Q97,'Data Pura Producción'!$Q$17:$Q$531,$R97)=0,"",SUMIFS('Data Pura Producción'!AW$17:AW$531,'Data Pura Producción'!$R$17:$R$531,$Q97,'Data Pura Producción'!$Q$17:$Q$531,$R97)))</f>
        <v/>
      </c>
      <c r="AM97" s="337" t="str">
        <f>+IF($Q97="","",IF(SUMIFS('Data Pura Producción'!AX$17:AX$531,'Data Pura Producción'!$R$17:$R$531,$Q97,'Data Pura Producción'!$Q$17:$Q$531,$R97)=0,"",SUMIFS('Data Pura Producción'!AX$17:AX$531,'Data Pura Producción'!$R$17:$R$531,$Q97,'Data Pura Producción'!$Q$17:$Q$531,$R97)))</f>
        <v/>
      </c>
      <c r="AN97" s="187" t="str">
        <f t="shared" si="4"/>
        <v/>
      </c>
    </row>
    <row r="98" spans="2:40" s="7" customFormat="1" x14ac:dyDescent="0.35">
      <c r="B98" s="4" t="str">
        <f>+IF('Data Pura Costos'!B98="","",'Data Pura Costos'!B98)</f>
        <v>Santa Mónica</v>
      </c>
      <c r="C98" s="4" t="str">
        <f>+IF('Data Pura Costos'!C98="","",'Data Pura Costos'!C98)</f>
        <v xml:space="preserve">Rancagua, sector Chancón, VI región </v>
      </c>
      <c r="D98" s="5">
        <f>+IF('Data Pura Costos'!D98="","",'Data Pura Costos'!D98)</f>
        <v>130</v>
      </c>
      <c r="E98" s="65">
        <f>+IF('Data Pura Costos'!E98="","",IF('Data Pura Costos'!E98=0,MAX('Data Pura Costos'!$E$7:$E$3000)*1000,'Data Pura Costos'!E98))</f>
        <v>420000</v>
      </c>
      <c r="F98" s="5" t="str">
        <f>+IF('Data Pura Costos'!F98="","",'Data Pura Costos'!F98)</f>
        <v>Molina</v>
      </c>
      <c r="G98" s="5" t="str">
        <f>+IF('Data Pura Costos'!G98="","",'Data Pura Costos'!G98)</f>
        <v xml:space="preserve">GUSTAVO ZÚÑIGA </v>
      </c>
      <c r="H98" s="52" t="str">
        <f>+IF('Data Pura Costos'!H98="","",'Data Pura Costos'!H98)</f>
        <v>Termo</v>
      </c>
      <c r="I98" s="71">
        <f>+IF('Data Pura Costos'!I98="","",'Data Pura Costos'!I98)</f>
        <v>3230.7692307692309</v>
      </c>
      <c r="J98" s="52" t="str">
        <f>+IF('Data Pura Costos'!J98="","",'Data Pura Costos'!J98)</f>
        <v>24-25</v>
      </c>
      <c r="K98" s="82" t="str">
        <f t="shared" si="6"/>
        <v xml:space="preserve">Santa Mónica-Molina-GUSTAVO ZÚÑIGA </v>
      </c>
      <c r="P98" s="1" t="str">
        <f t="shared" si="5"/>
        <v/>
      </c>
      <c r="Q98" s="23"/>
      <c r="R98" s="333"/>
      <c r="S98" s="336" t="str">
        <f>+IF($Q98="","",IF(SUMIFS('Data Pura Producción'!AD$17:AD$531,'Data Pura Producción'!$R$17:$R$531,$Q98,'Data Pura Producción'!$Q$17:$Q$531,$R98)=0,"",SUMIFS('Data Pura Producción'!AD$17:AD$531,'Data Pura Producción'!$R$17:$R$531,$Q98,'Data Pura Producción'!$Q$17:$Q$531,$R98)))</f>
        <v/>
      </c>
      <c r="T98" s="182" t="str">
        <f>+IF($Q98="","",IF(SUMIFS('Data Pura Producción'!AE$17:AE$531,'Data Pura Producción'!$R$17:$R$531,$Q98,'Data Pura Producción'!$Q$17:$Q$531,$R98)=0,"",SUMIFS('Data Pura Producción'!AE$17:AE$531,'Data Pura Producción'!$R$17:$R$531,$Q98,'Data Pura Producción'!$Q$17:$Q$531,$R98)))</f>
        <v/>
      </c>
      <c r="U98" s="182" t="str">
        <f>+IF($Q98="","",IF(SUMIFS('Data Pura Producción'!AF$17:AF$531,'Data Pura Producción'!$R$17:$R$531,$Q98,'Data Pura Producción'!$Q$17:$Q$531,$R98)=0,"",SUMIFS('Data Pura Producción'!AF$17:AF$531,'Data Pura Producción'!$R$17:$R$531,$Q98,'Data Pura Producción'!$Q$17:$Q$531,$R98)))</f>
        <v/>
      </c>
      <c r="V98" s="182" t="str">
        <f>+IF($Q98="","",IF(SUMIFS('Data Pura Producción'!AG$17:AG$531,'Data Pura Producción'!$R$17:$R$531,$Q98,'Data Pura Producción'!$Q$17:$Q$531,$R98)=0,"",SUMIFS('Data Pura Producción'!AG$17:AG$531,'Data Pura Producción'!$R$17:$R$531,$Q98,'Data Pura Producción'!$Q$17:$Q$531,$R98)))</f>
        <v/>
      </c>
      <c r="W98" s="182" t="str">
        <f>+IF($Q98="","",IF(SUMIFS('Data Pura Producción'!AH$17:AH$531,'Data Pura Producción'!$R$17:$R$531,$Q98,'Data Pura Producción'!$Q$17:$Q$531,$R98)=0,"",SUMIFS('Data Pura Producción'!AH$17:AH$531,'Data Pura Producción'!$R$17:$R$531,$Q98,'Data Pura Producción'!$Q$17:$Q$531,$R98)))</f>
        <v/>
      </c>
      <c r="X98" s="182" t="str">
        <f>+IF($Q98="","",IF(SUMIFS('Data Pura Producción'!AI$17:AI$531,'Data Pura Producción'!$R$17:$R$531,$Q98,'Data Pura Producción'!$Q$17:$Q$531,$R98)=0,"",SUMIFS('Data Pura Producción'!AI$17:AI$531,'Data Pura Producción'!$R$17:$R$531,$Q98,'Data Pura Producción'!$Q$17:$Q$531,$R98)))</f>
        <v/>
      </c>
      <c r="Y98" s="182" t="str">
        <f>+IF($Q98="","",IF(SUMIFS('Data Pura Producción'!AJ$17:AJ$531,'Data Pura Producción'!$R$17:$R$531,$Q98,'Data Pura Producción'!$Q$17:$Q$531,$R98)=0,"",SUMIFS('Data Pura Producción'!AJ$17:AJ$531,'Data Pura Producción'!$R$17:$R$531,$Q98,'Data Pura Producción'!$Q$17:$Q$531,$R98)))</f>
        <v/>
      </c>
      <c r="Z98" s="182" t="str">
        <f>+IF($Q98="","",IF(SUMIFS('Data Pura Producción'!AK$17:AK$531,'Data Pura Producción'!$R$17:$R$531,$Q98,'Data Pura Producción'!$Q$17:$Q$531,$R98)=0,"",SUMIFS('Data Pura Producción'!AK$17:AK$531,'Data Pura Producción'!$R$17:$R$531,$Q98,'Data Pura Producción'!$Q$17:$Q$531,$R98)))</f>
        <v/>
      </c>
      <c r="AA98" s="182" t="str">
        <f>+IF($Q98="","",IF(SUMIFS('Data Pura Producción'!AL$17:AL$531,'Data Pura Producción'!$R$17:$R$531,$Q98,'Data Pura Producción'!$Q$17:$Q$531,$R98)=0,"",SUMIFS('Data Pura Producción'!AL$17:AL$531,'Data Pura Producción'!$R$17:$R$531,$Q98,'Data Pura Producción'!$Q$17:$Q$531,$R98)))</f>
        <v/>
      </c>
      <c r="AB98" s="182" t="str">
        <f>+IF($Q98="","",IF(SUMIFS('Data Pura Producción'!AM$17:AM$531,'Data Pura Producción'!$R$17:$R$531,$Q98,'Data Pura Producción'!$Q$17:$Q$531,$R98)=0,"",SUMIFS('Data Pura Producción'!AM$17:AM$531,'Data Pura Producción'!$R$17:$R$531,$Q98,'Data Pura Producción'!$Q$17:$Q$531,$R98)))</f>
        <v/>
      </c>
      <c r="AC98" s="182" t="str">
        <f>+IF($Q98="","",IF(SUMIFS('Data Pura Producción'!AN$17:AN$531,'Data Pura Producción'!$R$17:$R$531,$Q98,'Data Pura Producción'!$Q$17:$Q$531,$R98)=0,"",SUMIFS('Data Pura Producción'!AN$17:AN$531,'Data Pura Producción'!$R$17:$R$531,$Q98,'Data Pura Producción'!$Q$17:$Q$531,$R98)))</f>
        <v/>
      </c>
      <c r="AD98" s="182" t="str">
        <f>+IF($Q98="","",IF(SUMIFS('Data Pura Producción'!AO$17:AO$531,'Data Pura Producción'!$R$17:$R$531,$Q98,'Data Pura Producción'!$Q$17:$Q$531,$R98)=0,"",SUMIFS('Data Pura Producción'!AO$17:AO$531,'Data Pura Producción'!$R$17:$R$531,$Q98,'Data Pura Producción'!$Q$17:$Q$531,$R98)))</f>
        <v/>
      </c>
      <c r="AE98" s="182" t="str">
        <f>+IF($Q98="","",IF(SUMIFS('Data Pura Producción'!AP$17:AP$531,'Data Pura Producción'!$R$17:$R$531,$Q98,'Data Pura Producción'!$Q$17:$Q$531,$R98)=0,"",SUMIFS('Data Pura Producción'!AP$17:AP$531,'Data Pura Producción'!$R$17:$R$531,$Q98,'Data Pura Producción'!$Q$17:$Q$531,$R98)))</f>
        <v/>
      </c>
      <c r="AF98" s="182" t="str">
        <f>+IF($Q98="","",IF(SUMIFS('Data Pura Producción'!AQ$17:AQ$531,'Data Pura Producción'!$R$17:$R$531,$Q98,'Data Pura Producción'!$Q$17:$Q$531,$R98)=0,"",SUMIFS('Data Pura Producción'!AQ$17:AQ$531,'Data Pura Producción'!$R$17:$R$531,$Q98,'Data Pura Producción'!$Q$17:$Q$531,$R98)))</f>
        <v/>
      </c>
      <c r="AG98" s="182" t="str">
        <f>+IF($Q98="","",IF(SUMIFS('Data Pura Producción'!AR$17:AR$531,'Data Pura Producción'!$R$17:$R$531,$Q98,'Data Pura Producción'!$Q$17:$Q$531,$R98)=0,"",SUMIFS('Data Pura Producción'!AR$17:AR$531,'Data Pura Producción'!$R$17:$R$531,$Q98,'Data Pura Producción'!$Q$17:$Q$531,$R98)))</f>
        <v/>
      </c>
      <c r="AH98" s="182" t="str">
        <f>+IF($Q98="","",IF(SUMIFS('Data Pura Producción'!AS$17:AS$531,'Data Pura Producción'!$R$17:$R$531,$Q98,'Data Pura Producción'!$Q$17:$Q$531,$R98)=0,"",SUMIFS('Data Pura Producción'!AS$17:AS$531,'Data Pura Producción'!$R$17:$R$531,$Q98,'Data Pura Producción'!$Q$17:$Q$531,$R98)))</f>
        <v/>
      </c>
      <c r="AI98" s="182" t="str">
        <f>+IF($Q98="","",IF(SUMIFS('Data Pura Producción'!AT$17:AT$531,'Data Pura Producción'!$R$17:$R$531,$Q98,'Data Pura Producción'!$Q$17:$Q$531,$R98)=0,"",SUMIFS('Data Pura Producción'!AT$17:AT$531,'Data Pura Producción'!$R$17:$R$531,$Q98,'Data Pura Producción'!$Q$17:$Q$531,$R98)))</f>
        <v/>
      </c>
      <c r="AJ98" s="182" t="str">
        <f>+IF($Q98="","",IF(SUMIFS('Data Pura Producción'!AU$17:AU$531,'Data Pura Producción'!$R$17:$R$531,$Q98,'Data Pura Producción'!$Q$17:$Q$531,$R98)=0,"",SUMIFS('Data Pura Producción'!AU$17:AU$531,'Data Pura Producción'!$R$17:$R$531,$Q98,'Data Pura Producción'!$Q$17:$Q$531,$R98)))</f>
        <v/>
      </c>
      <c r="AK98" s="182" t="str">
        <f>+IF($Q98="","",IF(SUMIFS('Data Pura Producción'!AV$17:AV$531,'Data Pura Producción'!$R$17:$R$531,$Q98,'Data Pura Producción'!$Q$17:$Q$531,$R98)=0,"",SUMIFS('Data Pura Producción'!AV$17:AV$531,'Data Pura Producción'!$R$17:$R$531,$Q98,'Data Pura Producción'!$Q$17:$Q$531,$R98)))</f>
        <v/>
      </c>
      <c r="AL98" s="182" t="str">
        <f>+IF($Q98="","",IF(SUMIFS('Data Pura Producción'!AW$17:AW$531,'Data Pura Producción'!$R$17:$R$531,$Q98,'Data Pura Producción'!$Q$17:$Q$531,$R98)=0,"",SUMIFS('Data Pura Producción'!AW$17:AW$531,'Data Pura Producción'!$R$17:$R$531,$Q98,'Data Pura Producción'!$Q$17:$Q$531,$R98)))</f>
        <v/>
      </c>
      <c r="AM98" s="337" t="str">
        <f>+IF($Q98="","",IF(SUMIFS('Data Pura Producción'!AX$17:AX$531,'Data Pura Producción'!$R$17:$R$531,$Q98,'Data Pura Producción'!$Q$17:$Q$531,$R98)=0,"",SUMIFS('Data Pura Producción'!AX$17:AX$531,'Data Pura Producción'!$R$17:$R$531,$Q98,'Data Pura Producción'!$Q$17:$Q$531,$R98)))</f>
        <v/>
      </c>
      <c r="AN98" s="187" t="str">
        <f t="shared" si="4"/>
        <v/>
      </c>
    </row>
    <row r="99" spans="2:40" s="7" customFormat="1" x14ac:dyDescent="0.35">
      <c r="B99" s="4" t="str">
        <f>+IF('Data Pura Costos'!B99="","",'Data Pura Costos'!B99)</f>
        <v>Talhuén</v>
      </c>
      <c r="C99" s="4" t="str">
        <f>+IF('Data Pura Costos'!C99="","",'Data Pura Costos'!C99)</f>
        <v>Palmilla, VI región</v>
      </c>
      <c r="D99" s="5">
        <f>+IF('Data Pura Costos'!D99="","",'Data Pura Costos'!D99)</f>
        <v>95</v>
      </c>
      <c r="E99" s="65">
        <f>+IF('Data Pura Costos'!E99="","",IF('Data Pura Costos'!E99=0,MAX('Data Pura Costos'!$E$7:$E$3000)*1000,'Data Pura Costos'!E99))</f>
        <v>380000</v>
      </c>
      <c r="F99" s="5" t="str">
        <f>+IF('Data Pura Costos'!F99="","",'Data Pura Costos'!F99)</f>
        <v>Molina</v>
      </c>
      <c r="G99" s="5" t="str">
        <f>+IF('Data Pura Costos'!G99="","",'Data Pura Costos'!G99)</f>
        <v xml:space="preserve">GUSTAVO ZÚÑIGA </v>
      </c>
      <c r="H99" s="52" t="str">
        <f>+IF('Data Pura Costos'!H99="","",'Data Pura Costos'!H99)</f>
        <v>Termo</v>
      </c>
      <c r="I99" s="71">
        <f>+IF('Data Pura Costos'!I99="","",'Data Pura Costos'!I99)</f>
        <v>4000</v>
      </c>
      <c r="J99" s="52" t="str">
        <f>+IF('Data Pura Costos'!J99="","",'Data Pura Costos'!J99)</f>
        <v>24-25</v>
      </c>
      <c r="K99" s="82" t="str">
        <f t="shared" si="6"/>
        <v xml:space="preserve">Talhuén-Molina-GUSTAVO ZÚÑIGA </v>
      </c>
      <c r="P99" s="1" t="str">
        <f t="shared" si="5"/>
        <v/>
      </c>
      <c r="Q99" s="23"/>
      <c r="R99" s="333"/>
      <c r="S99" s="336" t="str">
        <f>+IF($Q99="","",IF(SUMIFS('Data Pura Producción'!AD$17:AD$531,'Data Pura Producción'!$R$17:$R$531,$Q99,'Data Pura Producción'!$Q$17:$Q$531,$R99)=0,"",SUMIFS('Data Pura Producción'!AD$17:AD$531,'Data Pura Producción'!$R$17:$R$531,$Q99,'Data Pura Producción'!$Q$17:$Q$531,$R99)))</f>
        <v/>
      </c>
      <c r="T99" s="182" t="str">
        <f>+IF($Q99="","",IF(SUMIFS('Data Pura Producción'!AE$17:AE$531,'Data Pura Producción'!$R$17:$R$531,$Q99,'Data Pura Producción'!$Q$17:$Q$531,$R99)=0,"",SUMIFS('Data Pura Producción'!AE$17:AE$531,'Data Pura Producción'!$R$17:$R$531,$Q99,'Data Pura Producción'!$Q$17:$Q$531,$R99)))</f>
        <v/>
      </c>
      <c r="U99" s="182" t="str">
        <f>+IF($Q99="","",IF(SUMIFS('Data Pura Producción'!AF$17:AF$531,'Data Pura Producción'!$R$17:$R$531,$Q99,'Data Pura Producción'!$Q$17:$Q$531,$R99)=0,"",SUMIFS('Data Pura Producción'!AF$17:AF$531,'Data Pura Producción'!$R$17:$R$531,$Q99,'Data Pura Producción'!$Q$17:$Q$531,$R99)))</f>
        <v/>
      </c>
      <c r="V99" s="182" t="str">
        <f>+IF($Q99="","",IF(SUMIFS('Data Pura Producción'!AG$17:AG$531,'Data Pura Producción'!$R$17:$R$531,$Q99,'Data Pura Producción'!$Q$17:$Q$531,$R99)=0,"",SUMIFS('Data Pura Producción'!AG$17:AG$531,'Data Pura Producción'!$R$17:$R$531,$Q99,'Data Pura Producción'!$Q$17:$Q$531,$R99)))</f>
        <v/>
      </c>
      <c r="W99" s="182" t="str">
        <f>+IF($Q99="","",IF(SUMIFS('Data Pura Producción'!AH$17:AH$531,'Data Pura Producción'!$R$17:$R$531,$Q99,'Data Pura Producción'!$Q$17:$Q$531,$R99)=0,"",SUMIFS('Data Pura Producción'!AH$17:AH$531,'Data Pura Producción'!$R$17:$R$531,$Q99,'Data Pura Producción'!$Q$17:$Q$531,$R99)))</f>
        <v/>
      </c>
      <c r="X99" s="182" t="str">
        <f>+IF($Q99="","",IF(SUMIFS('Data Pura Producción'!AI$17:AI$531,'Data Pura Producción'!$R$17:$R$531,$Q99,'Data Pura Producción'!$Q$17:$Q$531,$R99)=0,"",SUMIFS('Data Pura Producción'!AI$17:AI$531,'Data Pura Producción'!$R$17:$R$531,$Q99,'Data Pura Producción'!$Q$17:$Q$531,$R99)))</f>
        <v/>
      </c>
      <c r="Y99" s="182" t="str">
        <f>+IF($Q99="","",IF(SUMIFS('Data Pura Producción'!AJ$17:AJ$531,'Data Pura Producción'!$R$17:$R$531,$Q99,'Data Pura Producción'!$Q$17:$Q$531,$R99)=0,"",SUMIFS('Data Pura Producción'!AJ$17:AJ$531,'Data Pura Producción'!$R$17:$R$531,$Q99,'Data Pura Producción'!$Q$17:$Q$531,$R99)))</f>
        <v/>
      </c>
      <c r="Z99" s="182" t="str">
        <f>+IF($Q99="","",IF(SUMIFS('Data Pura Producción'!AK$17:AK$531,'Data Pura Producción'!$R$17:$R$531,$Q99,'Data Pura Producción'!$Q$17:$Q$531,$R99)=0,"",SUMIFS('Data Pura Producción'!AK$17:AK$531,'Data Pura Producción'!$R$17:$R$531,$Q99,'Data Pura Producción'!$Q$17:$Q$531,$R99)))</f>
        <v/>
      </c>
      <c r="AA99" s="182" t="str">
        <f>+IF($Q99="","",IF(SUMIFS('Data Pura Producción'!AL$17:AL$531,'Data Pura Producción'!$R$17:$R$531,$Q99,'Data Pura Producción'!$Q$17:$Q$531,$R99)=0,"",SUMIFS('Data Pura Producción'!AL$17:AL$531,'Data Pura Producción'!$R$17:$R$531,$Q99,'Data Pura Producción'!$Q$17:$Q$531,$R99)))</f>
        <v/>
      </c>
      <c r="AB99" s="182" t="str">
        <f>+IF($Q99="","",IF(SUMIFS('Data Pura Producción'!AM$17:AM$531,'Data Pura Producción'!$R$17:$R$531,$Q99,'Data Pura Producción'!$Q$17:$Q$531,$R99)=0,"",SUMIFS('Data Pura Producción'!AM$17:AM$531,'Data Pura Producción'!$R$17:$R$531,$Q99,'Data Pura Producción'!$Q$17:$Q$531,$R99)))</f>
        <v/>
      </c>
      <c r="AC99" s="182" t="str">
        <f>+IF($Q99="","",IF(SUMIFS('Data Pura Producción'!AN$17:AN$531,'Data Pura Producción'!$R$17:$R$531,$Q99,'Data Pura Producción'!$Q$17:$Q$531,$R99)=0,"",SUMIFS('Data Pura Producción'!AN$17:AN$531,'Data Pura Producción'!$R$17:$R$531,$Q99,'Data Pura Producción'!$Q$17:$Q$531,$R99)))</f>
        <v/>
      </c>
      <c r="AD99" s="182" t="str">
        <f>+IF($Q99="","",IF(SUMIFS('Data Pura Producción'!AO$17:AO$531,'Data Pura Producción'!$R$17:$R$531,$Q99,'Data Pura Producción'!$Q$17:$Q$531,$R99)=0,"",SUMIFS('Data Pura Producción'!AO$17:AO$531,'Data Pura Producción'!$R$17:$R$531,$Q99,'Data Pura Producción'!$Q$17:$Q$531,$R99)))</f>
        <v/>
      </c>
      <c r="AE99" s="182" t="str">
        <f>+IF($Q99="","",IF(SUMIFS('Data Pura Producción'!AP$17:AP$531,'Data Pura Producción'!$R$17:$R$531,$Q99,'Data Pura Producción'!$Q$17:$Q$531,$R99)=0,"",SUMIFS('Data Pura Producción'!AP$17:AP$531,'Data Pura Producción'!$R$17:$R$531,$Q99,'Data Pura Producción'!$Q$17:$Q$531,$R99)))</f>
        <v/>
      </c>
      <c r="AF99" s="182" t="str">
        <f>+IF($Q99="","",IF(SUMIFS('Data Pura Producción'!AQ$17:AQ$531,'Data Pura Producción'!$R$17:$R$531,$Q99,'Data Pura Producción'!$Q$17:$Q$531,$R99)=0,"",SUMIFS('Data Pura Producción'!AQ$17:AQ$531,'Data Pura Producción'!$R$17:$R$531,$Q99,'Data Pura Producción'!$Q$17:$Q$531,$R99)))</f>
        <v/>
      </c>
      <c r="AG99" s="182" t="str">
        <f>+IF($Q99="","",IF(SUMIFS('Data Pura Producción'!AR$17:AR$531,'Data Pura Producción'!$R$17:$R$531,$Q99,'Data Pura Producción'!$Q$17:$Q$531,$R99)=0,"",SUMIFS('Data Pura Producción'!AR$17:AR$531,'Data Pura Producción'!$R$17:$R$531,$Q99,'Data Pura Producción'!$Q$17:$Q$531,$R99)))</f>
        <v/>
      </c>
      <c r="AH99" s="182" t="str">
        <f>+IF($Q99="","",IF(SUMIFS('Data Pura Producción'!AS$17:AS$531,'Data Pura Producción'!$R$17:$R$531,$Q99,'Data Pura Producción'!$Q$17:$Q$531,$R99)=0,"",SUMIFS('Data Pura Producción'!AS$17:AS$531,'Data Pura Producción'!$R$17:$R$531,$Q99,'Data Pura Producción'!$Q$17:$Q$531,$R99)))</f>
        <v/>
      </c>
      <c r="AI99" s="182" t="str">
        <f>+IF($Q99="","",IF(SUMIFS('Data Pura Producción'!AT$17:AT$531,'Data Pura Producción'!$R$17:$R$531,$Q99,'Data Pura Producción'!$Q$17:$Q$531,$R99)=0,"",SUMIFS('Data Pura Producción'!AT$17:AT$531,'Data Pura Producción'!$R$17:$R$531,$Q99,'Data Pura Producción'!$Q$17:$Q$531,$R99)))</f>
        <v/>
      </c>
      <c r="AJ99" s="182" t="str">
        <f>+IF($Q99="","",IF(SUMIFS('Data Pura Producción'!AU$17:AU$531,'Data Pura Producción'!$R$17:$R$531,$Q99,'Data Pura Producción'!$Q$17:$Q$531,$R99)=0,"",SUMIFS('Data Pura Producción'!AU$17:AU$531,'Data Pura Producción'!$R$17:$R$531,$Q99,'Data Pura Producción'!$Q$17:$Q$531,$R99)))</f>
        <v/>
      </c>
      <c r="AK99" s="182" t="str">
        <f>+IF($Q99="","",IF(SUMIFS('Data Pura Producción'!AV$17:AV$531,'Data Pura Producción'!$R$17:$R$531,$Q99,'Data Pura Producción'!$Q$17:$Q$531,$R99)=0,"",SUMIFS('Data Pura Producción'!AV$17:AV$531,'Data Pura Producción'!$R$17:$R$531,$Q99,'Data Pura Producción'!$Q$17:$Q$531,$R99)))</f>
        <v/>
      </c>
      <c r="AL99" s="182" t="str">
        <f>+IF($Q99="","",IF(SUMIFS('Data Pura Producción'!AW$17:AW$531,'Data Pura Producción'!$R$17:$R$531,$Q99,'Data Pura Producción'!$Q$17:$Q$531,$R99)=0,"",SUMIFS('Data Pura Producción'!AW$17:AW$531,'Data Pura Producción'!$R$17:$R$531,$Q99,'Data Pura Producción'!$Q$17:$Q$531,$R99)))</f>
        <v/>
      </c>
      <c r="AM99" s="337" t="str">
        <f>+IF($Q99="","",IF(SUMIFS('Data Pura Producción'!AX$17:AX$531,'Data Pura Producción'!$R$17:$R$531,$Q99,'Data Pura Producción'!$Q$17:$Q$531,$R99)=0,"",SUMIFS('Data Pura Producción'!AX$17:AX$531,'Data Pura Producción'!$R$17:$R$531,$Q99,'Data Pura Producción'!$Q$17:$Q$531,$R99)))</f>
        <v/>
      </c>
      <c r="AN99" s="187" t="str">
        <f t="shared" si="4"/>
        <v/>
      </c>
    </row>
    <row r="100" spans="2:40" s="7" customFormat="1" x14ac:dyDescent="0.35">
      <c r="B100" s="4" t="str">
        <f>+IF('Data Pura Costos'!B100="","",'Data Pura Costos'!B100)</f>
        <v>Villaseca</v>
      </c>
      <c r="C100" s="4" t="str">
        <f>+IF('Data Pura Costos'!C100="","",'Data Pura Costos'!C100)</f>
        <v>Retiro, VII reginón</v>
      </c>
      <c r="D100" s="5">
        <f>+IF('Data Pura Costos'!D100="","",'Data Pura Costos'!D100)</f>
        <v>160</v>
      </c>
      <c r="E100" s="65">
        <f>+IF('Data Pura Costos'!E100="","",IF('Data Pura Costos'!E100=0,MAX('Data Pura Costos'!$E$7:$E$3000)*1000,'Data Pura Costos'!E100))</f>
        <v>480000</v>
      </c>
      <c r="F100" s="5" t="str">
        <f>+IF('Data Pura Costos'!F100="","",'Data Pura Costos'!F100)</f>
        <v>Molina</v>
      </c>
      <c r="G100" s="5" t="str">
        <f>+IF('Data Pura Costos'!G100="","",'Data Pura Costos'!G100)</f>
        <v xml:space="preserve">GUSTAVO ZÚÑIGA </v>
      </c>
      <c r="H100" s="52" t="str">
        <f>+IF('Data Pura Costos'!H100="","",'Data Pura Costos'!H100)</f>
        <v>Termo</v>
      </c>
      <c r="I100" s="71">
        <f>+IF('Data Pura Costos'!I100="","",'Data Pura Costos'!I100)</f>
        <v>3000</v>
      </c>
      <c r="J100" s="52" t="str">
        <f>+IF('Data Pura Costos'!J100="","",'Data Pura Costos'!J100)</f>
        <v>24-25</v>
      </c>
      <c r="K100" s="82" t="str">
        <f t="shared" si="6"/>
        <v xml:space="preserve">Villaseca-Molina-GUSTAVO ZÚÑIGA </v>
      </c>
      <c r="P100" s="1" t="str">
        <f t="shared" si="5"/>
        <v/>
      </c>
      <c r="Q100" s="23"/>
      <c r="R100" s="333"/>
      <c r="S100" s="336" t="str">
        <f>+IF($Q100="","",IF(SUMIFS('Data Pura Producción'!AD$17:AD$531,'Data Pura Producción'!$R$17:$R$531,$Q100,'Data Pura Producción'!$Q$17:$Q$531,$R100)=0,"",SUMIFS('Data Pura Producción'!AD$17:AD$531,'Data Pura Producción'!$R$17:$R$531,$Q100,'Data Pura Producción'!$Q$17:$Q$531,$R100)))</f>
        <v/>
      </c>
      <c r="T100" s="182" t="str">
        <f>+IF($Q100="","",IF(SUMIFS('Data Pura Producción'!AE$17:AE$531,'Data Pura Producción'!$R$17:$R$531,$Q100,'Data Pura Producción'!$Q$17:$Q$531,$R100)=0,"",SUMIFS('Data Pura Producción'!AE$17:AE$531,'Data Pura Producción'!$R$17:$R$531,$Q100,'Data Pura Producción'!$Q$17:$Q$531,$R100)))</f>
        <v/>
      </c>
      <c r="U100" s="182" t="str">
        <f>+IF($Q100="","",IF(SUMIFS('Data Pura Producción'!AF$17:AF$531,'Data Pura Producción'!$R$17:$R$531,$Q100,'Data Pura Producción'!$Q$17:$Q$531,$R100)=0,"",SUMIFS('Data Pura Producción'!AF$17:AF$531,'Data Pura Producción'!$R$17:$R$531,$Q100,'Data Pura Producción'!$Q$17:$Q$531,$R100)))</f>
        <v/>
      </c>
      <c r="V100" s="182" t="str">
        <f>+IF($Q100="","",IF(SUMIFS('Data Pura Producción'!AG$17:AG$531,'Data Pura Producción'!$R$17:$R$531,$Q100,'Data Pura Producción'!$Q$17:$Q$531,$R100)=0,"",SUMIFS('Data Pura Producción'!AG$17:AG$531,'Data Pura Producción'!$R$17:$R$531,$Q100,'Data Pura Producción'!$Q$17:$Q$531,$R100)))</f>
        <v/>
      </c>
      <c r="W100" s="182" t="str">
        <f>+IF($Q100="","",IF(SUMIFS('Data Pura Producción'!AH$17:AH$531,'Data Pura Producción'!$R$17:$R$531,$Q100,'Data Pura Producción'!$Q$17:$Q$531,$R100)=0,"",SUMIFS('Data Pura Producción'!AH$17:AH$531,'Data Pura Producción'!$R$17:$R$531,$Q100,'Data Pura Producción'!$Q$17:$Q$531,$R100)))</f>
        <v/>
      </c>
      <c r="X100" s="182" t="str">
        <f>+IF($Q100="","",IF(SUMIFS('Data Pura Producción'!AI$17:AI$531,'Data Pura Producción'!$R$17:$R$531,$Q100,'Data Pura Producción'!$Q$17:$Q$531,$R100)=0,"",SUMIFS('Data Pura Producción'!AI$17:AI$531,'Data Pura Producción'!$R$17:$R$531,$Q100,'Data Pura Producción'!$Q$17:$Q$531,$R100)))</f>
        <v/>
      </c>
      <c r="Y100" s="182" t="str">
        <f>+IF($Q100="","",IF(SUMIFS('Data Pura Producción'!AJ$17:AJ$531,'Data Pura Producción'!$R$17:$R$531,$Q100,'Data Pura Producción'!$Q$17:$Q$531,$R100)=0,"",SUMIFS('Data Pura Producción'!AJ$17:AJ$531,'Data Pura Producción'!$R$17:$R$531,$Q100,'Data Pura Producción'!$Q$17:$Q$531,$R100)))</f>
        <v/>
      </c>
      <c r="Z100" s="182" t="str">
        <f>+IF($Q100="","",IF(SUMIFS('Data Pura Producción'!AK$17:AK$531,'Data Pura Producción'!$R$17:$R$531,$Q100,'Data Pura Producción'!$Q$17:$Q$531,$R100)=0,"",SUMIFS('Data Pura Producción'!AK$17:AK$531,'Data Pura Producción'!$R$17:$R$531,$Q100,'Data Pura Producción'!$Q$17:$Q$531,$R100)))</f>
        <v/>
      </c>
      <c r="AA100" s="182" t="str">
        <f>+IF($Q100="","",IF(SUMIFS('Data Pura Producción'!AL$17:AL$531,'Data Pura Producción'!$R$17:$R$531,$Q100,'Data Pura Producción'!$Q$17:$Q$531,$R100)=0,"",SUMIFS('Data Pura Producción'!AL$17:AL$531,'Data Pura Producción'!$R$17:$R$531,$Q100,'Data Pura Producción'!$Q$17:$Q$531,$R100)))</f>
        <v/>
      </c>
      <c r="AB100" s="182" t="str">
        <f>+IF($Q100="","",IF(SUMIFS('Data Pura Producción'!AM$17:AM$531,'Data Pura Producción'!$R$17:$R$531,$Q100,'Data Pura Producción'!$Q$17:$Q$531,$R100)=0,"",SUMIFS('Data Pura Producción'!AM$17:AM$531,'Data Pura Producción'!$R$17:$R$531,$Q100,'Data Pura Producción'!$Q$17:$Q$531,$R100)))</f>
        <v/>
      </c>
      <c r="AC100" s="182" t="str">
        <f>+IF($Q100="","",IF(SUMIFS('Data Pura Producción'!AN$17:AN$531,'Data Pura Producción'!$R$17:$R$531,$Q100,'Data Pura Producción'!$Q$17:$Q$531,$R100)=0,"",SUMIFS('Data Pura Producción'!AN$17:AN$531,'Data Pura Producción'!$R$17:$R$531,$Q100,'Data Pura Producción'!$Q$17:$Q$531,$R100)))</f>
        <v/>
      </c>
      <c r="AD100" s="182" t="str">
        <f>+IF($Q100="","",IF(SUMIFS('Data Pura Producción'!AO$17:AO$531,'Data Pura Producción'!$R$17:$R$531,$Q100,'Data Pura Producción'!$Q$17:$Q$531,$R100)=0,"",SUMIFS('Data Pura Producción'!AO$17:AO$531,'Data Pura Producción'!$R$17:$R$531,$Q100,'Data Pura Producción'!$Q$17:$Q$531,$R100)))</f>
        <v/>
      </c>
      <c r="AE100" s="182" t="str">
        <f>+IF($Q100="","",IF(SUMIFS('Data Pura Producción'!AP$17:AP$531,'Data Pura Producción'!$R$17:$R$531,$Q100,'Data Pura Producción'!$Q$17:$Q$531,$R100)=0,"",SUMIFS('Data Pura Producción'!AP$17:AP$531,'Data Pura Producción'!$R$17:$R$531,$Q100,'Data Pura Producción'!$Q$17:$Q$531,$R100)))</f>
        <v/>
      </c>
      <c r="AF100" s="182" t="str">
        <f>+IF($Q100="","",IF(SUMIFS('Data Pura Producción'!AQ$17:AQ$531,'Data Pura Producción'!$R$17:$R$531,$Q100,'Data Pura Producción'!$Q$17:$Q$531,$R100)=0,"",SUMIFS('Data Pura Producción'!AQ$17:AQ$531,'Data Pura Producción'!$R$17:$R$531,$Q100,'Data Pura Producción'!$Q$17:$Q$531,$R100)))</f>
        <v/>
      </c>
      <c r="AG100" s="182" t="str">
        <f>+IF($Q100="","",IF(SUMIFS('Data Pura Producción'!AR$17:AR$531,'Data Pura Producción'!$R$17:$R$531,$Q100,'Data Pura Producción'!$Q$17:$Q$531,$R100)=0,"",SUMIFS('Data Pura Producción'!AR$17:AR$531,'Data Pura Producción'!$R$17:$R$531,$Q100,'Data Pura Producción'!$Q$17:$Q$531,$R100)))</f>
        <v/>
      </c>
      <c r="AH100" s="182" t="str">
        <f>+IF($Q100="","",IF(SUMIFS('Data Pura Producción'!AS$17:AS$531,'Data Pura Producción'!$R$17:$R$531,$Q100,'Data Pura Producción'!$Q$17:$Q$531,$R100)=0,"",SUMIFS('Data Pura Producción'!AS$17:AS$531,'Data Pura Producción'!$R$17:$R$531,$Q100,'Data Pura Producción'!$Q$17:$Q$531,$R100)))</f>
        <v/>
      </c>
      <c r="AI100" s="182" t="str">
        <f>+IF($Q100="","",IF(SUMIFS('Data Pura Producción'!AT$17:AT$531,'Data Pura Producción'!$R$17:$R$531,$Q100,'Data Pura Producción'!$Q$17:$Q$531,$R100)=0,"",SUMIFS('Data Pura Producción'!AT$17:AT$531,'Data Pura Producción'!$R$17:$R$531,$Q100,'Data Pura Producción'!$Q$17:$Q$531,$R100)))</f>
        <v/>
      </c>
      <c r="AJ100" s="182" t="str">
        <f>+IF($Q100="","",IF(SUMIFS('Data Pura Producción'!AU$17:AU$531,'Data Pura Producción'!$R$17:$R$531,$Q100,'Data Pura Producción'!$Q$17:$Q$531,$R100)=0,"",SUMIFS('Data Pura Producción'!AU$17:AU$531,'Data Pura Producción'!$R$17:$R$531,$Q100,'Data Pura Producción'!$Q$17:$Q$531,$R100)))</f>
        <v/>
      </c>
      <c r="AK100" s="182" t="str">
        <f>+IF($Q100="","",IF(SUMIFS('Data Pura Producción'!AV$17:AV$531,'Data Pura Producción'!$R$17:$R$531,$Q100,'Data Pura Producción'!$Q$17:$Q$531,$R100)=0,"",SUMIFS('Data Pura Producción'!AV$17:AV$531,'Data Pura Producción'!$R$17:$R$531,$Q100,'Data Pura Producción'!$Q$17:$Q$531,$R100)))</f>
        <v/>
      </c>
      <c r="AL100" s="182" t="str">
        <f>+IF($Q100="","",IF(SUMIFS('Data Pura Producción'!AW$17:AW$531,'Data Pura Producción'!$R$17:$R$531,$Q100,'Data Pura Producción'!$Q$17:$Q$531,$R100)=0,"",SUMIFS('Data Pura Producción'!AW$17:AW$531,'Data Pura Producción'!$R$17:$R$531,$Q100,'Data Pura Producción'!$Q$17:$Q$531,$R100)))</f>
        <v/>
      </c>
      <c r="AM100" s="337" t="str">
        <f>+IF($Q100="","",IF(SUMIFS('Data Pura Producción'!AX$17:AX$531,'Data Pura Producción'!$R$17:$R$531,$Q100,'Data Pura Producción'!$Q$17:$Q$531,$R100)=0,"",SUMIFS('Data Pura Producción'!AX$17:AX$531,'Data Pura Producción'!$R$17:$R$531,$Q100,'Data Pura Producción'!$Q$17:$Q$531,$R100)))</f>
        <v/>
      </c>
      <c r="AN100" s="187" t="str">
        <f t="shared" si="4"/>
        <v/>
      </c>
    </row>
    <row r="101" spans="2:40" s="7" customFormat="1" x14ac:dyDescent="0.35">
      <c r="B101" s="4" t="str">
        <f>+IF('Data Pura Costos'!B101="","",'Data Pura Costos'!B101)</f>
        <v>Almahue</v>
      </c>
      <c r="C101" s="4" t="str">
        <f>+IF('Data Pura Costos'!C101="","",'Data Pura Costos'!C101)</f>
        <v>Pichidegua, VI región</v>
      </c>
      <c r="D101" s="5">
        <f>+IF('Data Pura Costos'!D101="","",'Data Pura Costos'!D101)</f>
        <v>50</v>
      </c>
      <c r="E101" s="65">
        <f>+IF('Data Pura Costos'!E101="","",IF('Data Pura Costos'!E101=0,MAX('Data Pura Costos'!$E$7:$E$3000)*1000,'Data Pura Costos'!E101))</f>
        <v>350000</v>
      </c>
      <c r="F101" s="5" t="str">
        <f>+IF('Data Pura Costos'!F101="","",'Data Pura Costos'!F101)</f>
        <v>Malloa</v>
      </c>
      <c r="G101" s="5" t="str">
        <f>+IF('Data Pura Costos'!G101="","",'Data Pura Costos'!G101)</f>
        <v xml:space="preserve">GUSTAVO ZÚÑIGA </v>
      </c>
      <c r="H101" s="52" t="str">
        <f>+IF('Data Pura Costos'!H101="","",'Data Pura Costos'!H101)</f>
        <v>Termo</v>
      </c>
      <c r="I101" s="71">
        <f>+IF('Data Pura Costos'!I101="","",'Data Pura Costos'!I101)</f>
        <v>7000</v>
      </c>
      <c r="J101" s="52" t="str">
        <f>+IF('Data Pura Costos'!J101="","",'Data Pura Costos'!J101)</f>
        <v>24-25</v>
      </c>
      <c r="K101" s="82" t="str">
        <f t="shared" si="6"/>
        <v xml:space="preserve">Almahue-Malloa-GUSTAVO ZÚÑIGA </v>
      </c>
      <c r="P101" s="1" t="str">
        <f t="shared" si="5"/>
        <v/>
      </c>
      <c r="Q101" s="23"/>
      <c r="R101" s="333"/>
      <c r="S101" s="336" t="str">
        <f>+IF($Q101="","",IF(SUMIFS('Data Pura Producción'!AD$17:AD$531,'Data Pura Producción'!$R$17:$R$531,$Q101,'Data Pura Producción'!$Q$17:$Q$531,$R101)=0,"",SUMIFS('Data Pura Producción'!AD$17:AD$531,'Data Pura Producción'!$R$17:$R$531,$Q101,'Data Pura Producción'!$Q$17:$Q$531,$R101)))</f>
        <v/>
      </c>
      <c r="T101" s="182" t="str">
        <f>+IF($Q101="","",IF(SUMIFS('Data Pura Producción'!AE$17:AE$531,'Data Pura Producción'!$R$17:$R$531,$Q101,'Data Pura Producción'!$Q$17:$Q$531,$R101)=0,"",SUMIFS('Data Pura Producción'!AE$17:AE$531,'Data Pura Producción'!$R$17:$R$531,$Q101,'Data Pura Producción'!$Q$17:$Q$531,$R101)))</f>
        <v/>
      </c>
      <c r="U101" s="182" t="str">
        <f>+IF($Q101="","",IF(SUMIFS('Data Pura Producción'!AF$17:AF$531,'Data Pura Producción'!$R$17:$R$531,$Q101,'Data Pura Producción'!$Q$17:$Q$531,$R101)=0,"",SUMIFS('Data Pura Producción'!AF$17:AF$531,'Data Pura Producción'!$R$17:$R$531,$Q101,'Data Pura Producción'!$Q$17:$Q$531,$R101)))</f>
        <v/>
      </c>
      <c r="V101" s="182" t="str">
        <f>+IF($Q101="","",IF(SUMIFS('Data Pura Producción'!AG$17:AG$531,'Data Pura Producción'!$R$17:$R$531,$Q101,'Data Pura Producción'!$Q$17:$Q$531,$R101)=0,"",SUMIFS('Data Pura Producción'!AG$17:AG$531,'Data Pura Producción'!$R$17:$R$531,$Q101,'Data Pura Producción'!$Q$17:$Q$531,$R101)))</f>
        <v/>
      </c>
      <c r="W101" s="182" t="str">
        <f>+IF($Q101="","",IF(SUMIFS('Data Pura Producción'!AH$17:AH$531,'Data Pura Producción'!$R$17:$R$531,$Q101,'Data Pura Producción'!$Q$17:$Q$531,$R101)=0,"",SUMIFS('Data Pura Producción'!AH$17:AH$531,'Data Pura Producción'!$R$17:$R$531,$Q101,'Data Pura Producción'!$Q$17:$Q$531,$R101)))</f>
        <v/>
      </c>
      <c r="X101" s="182" t="str">
        <f>+IF($Q101="","",IF(SUMIFS('Data Pura Producción'!AI$17:AI$531,'Data Pura Producción'!$R$17:$R$531,$Q101,'Data Pura Producción'!$Q$17:$Q$531,$R101)=0,"",SUMIFS('Data Pura Producción'!AI$17:AI$531,'Data Pura Producción'!$R$17:$R$531,$Q101,'Data Pura Producción'!$Q$17:$Q$531,$R101)))</f>
        <v/>
      </c>
      <c r="Y101" s="182" t="str">
        <f>+IF($Q101="","",IF(SUMIFS('Data Pura Producción'!AJ$17:AJ$531,'Data Pura Producción'!$R$17:$R$531,$Q101,'Data Pura Producción'!$Q$17:$Q$531,$R101)=0,"",SUMIFS('Data Pura Producción'!AJ$17:AJ$531,'Data Pura Producción'!$R$17:$R$531,$Q101,'Data Pura Producción'!$Q$17:$Q$531,$R101)))</f>
        <v/>
      </c>
      <c r="Z101" s="182" t="str">
        <f>+IF($Q101="","",IF(SUMIFS('Data Pura Producción'!AK$17:AK$531,'Data Pura Producción'!$R$17:$R$531,$Q101,'Data Pura Producción'!$Q$17:$Q$531,$R101)=0,"",SUMIFS('Data Pura Producción'!AK$17:AK$531,'Data Pura Producción'!$R$17:$R$531,$Q101,'Data Pura Producción'!$Q$17:$Q$531,$R101)))</f>
        <v/>
      </c>
      <c r="AA101" s="182" t="str">
        <f>+IF($Q101="","",IF(SUMIFS('Data Pura Producción'!AL$17:AL$531,'Data Pura Producción'!$R$17:$R$531,$Q101,'Data Pura Producción'!$Q$17:$Q$531,$R101)=0,"",SUMIFS('Data Pura Producción'!AL$17:AL$531,'Data Pura Producción'!$R$17:$R$531,$Q101,'Data Pura Producción'!$Q$17:$Q$531,$R101)))</f>
        <v/>
      </c>
      <c r="AB101" s="182" t="str">
        <f>+IF($Q101="","",IF(SUMIFS('Data Pura Producción'!AM$17:AM$531,'Data Pura Producción'!$R$17:$R$531,$Q101,'Data Pura Producción'!$Q$17:$Q$531,$R101)=0,"",SUMIFS('Data Pura Producción'!AM$17:AM$531,'Data Pura Producción'!$R$17:$R$531,$Q101,'Data Pura Producción'!$Q$17:$Q$531,$R101)))</f>
        <v/>
      </c>
      <c r="AC101" s="182" t="str">
        <f>+IF($Q101="","",IF(SUMIFS('Data Pura Producción'!AN$17:AN$531,'Data Pura Producción'!$R$17:$R$531,$Q101,'Data Pura Producción'!$Q$17:$Q$531,$R101)=0,"",SUMIFS('Data Pura Producción'!AN$17:AN$531,'Data Pura Producción'!$R$17:$R$531,$Q101,'Data Pura Producción'!$Q$17:$Q$531,$R101)))</f>
        <v/>
      </c>
      <c r="AD101" s="182" t="str">
        <f>+IF($Q101="","",IF(SUMIFS('Data Pura Producción'!AO$17:AO$531,'Data Pura Producción'!$R$17:$R$531,$Q101,'Data Pura Producción'!$Q$17:$Q$531,$R101)=0,"",SUMIFS('Data Pura Producción'!AO$17:AO$531,'Data Pura Producción'!$R$17:$R$531,$Q101,'Data Pura Producción'!$Q$17:$Q$531,$R101)))</f>
        <v/>
      </c>
      <c r="AE101" s="182" t="str">
        <f>+IF($Q101="","",IF(SUMIFS('Data Pura Producción'!AP$17:AP$531,'Data Pura Producción'!$R$17:$R$531,$Q101,'Data Pura Producción'!$Q$17:$Q$531,$R101)=0,"",SUMIFS('Data Pura Producción'!AP$17:AP$531,'Data Pura Producción'!$R$17:$R$531,$Q101,'Data Pura Producción'!$Q$17:$Q$531,$R101)))</f>
        <v/>
      </c>
      <c r="AF101" s="182" t="str">
        <f>+IF($Q101="","",IF(SUMIFS('Data Pura Producción'!AQ$17:AQ$531,'Data Pura Producción'!$R$17:$R$531,$Q101,'Data Pura Producción'!$Q$17:$Q$531,$R101)=0,"",SUMIFS('Data Pura Producción'!AQ$17:AQ$531,'Data Pura Producción'!$R$17:$R$531,$Q101,'Data Pura Producción'!$Q$17:$Q$531,$R101)))</f>
        <v/>
      </c>
      <c r="AG101" s="182" t="str">
        <f>+IF($Q101="","",IF(SUMIFS('Data Pura Producción'!AR$17:AR$531,'Data Pura Producción'!$R$17:$R$531,$Q101,'Data Pura Producción'!$Q$17:$Q$531,$R101)=0,"",SUMIFS('Data Pura Producción'!AR$17:AR$531,'Data Pura Producción'!$R$17:$R$531,$Q101,'Data Pura Producción'!$Q$17:$Q$531,$R101)))</f>
        <v/>
      </c>
      <c r="AH101" s="182" t="str">
        <f>+IF($Q101="","",IF(SUMIFS('Data Pura Producción'!AS$17:AS$531,'Data Pura Producción'!$R$17:$R$531,$Q101,'Data Pura Producción'!$Q$17:$Q$531,$R101)=0,"",SUMIFS('Data Pura Producción'!AS$17:AS$531,'Data Pura Producción'!$R$17:$R$531,$Q101,'Data Pura Producción'!$Q$17:$Q$531,$R101)))</f>
        <v/>
      </c>
      <c r="AI101" s="182" t="str">
        <f>+IF($Q101="","",IF(SUMIFS('Data Pura Producción'!AT$17:AT$531,'Data Pura Producción'!$R$17:$R$531,$Q101,'Data Pura Producción'!$Q$17:$Q$531,$R101)=0,"",SUMIFS('Data Pura Producción'!AT$17:AT$531,'Data Pura Producción'!$R$17:$R$531,$Q101,'Data Pura Producción'!$Q$17:$Q$531,$R101)))</f>
        <v/>
      </c>
      <c r="AJ101" s="182" t="str">
        <f>+IF($Q101="","",IF(SUMIFS('Data Pura Producción'!AU$17:AU$531,'Data Pura Producción'!$R$17:$R$531,$Q101,'Data Pura Producción'!$Q$17:$Q$531,$R101)=0,"",SUMIFS('Data Pura Producción'!AU$17:AU$531,'Data Pura Producción'!$R$17:$R$531,$Q101,'Data Pura Producción'!$Q$17:$Q$531,$R101)))</f>
        <v/>
      </c>
      <c r="AK101" s="182" t="str">
        <f>+IF($Q101="","",IF(SUMIFS('Data Pura Producción'!AV$17:AV$531,'Data Pura Producción'!$R$17:$R$531,$Q101,'Data Pura Producción'!$Q$17:$Q$531,$R101)=0,"",SUMIFS('Data Pura Producción'!AV$17:AV$531,'Data Pura Producción'!$R$17:$R$531,$Q101,'Data Pura Producción'!$Q$17:$Q$531,$R101)))</f>
        <v/>
      </c>
      <c r="AL101" s="182" t="str">
        <f>+IF($Q101="","",IF(SUMIFS('Data Pura Producción'!AW$17:AW$531,'Data Pura Producción'!$R$17:$R$531,$Q101,'Data Pura Producción'!$Q$17:$Q$531,$R101)=0,"",SUMIFS('Data Pura Producción'!AW$17:AW$531,'Data Pura Producción'!$R$17:$R$531,$Q101,'Data Pura Producción'!$Q$17:$Q$531,$R101)))</f>
        <v/>
      </c>
      <c r="AM101" s="337" t="str">
        <f>+IF($Q101="","",IF(SUMIFS('Data Pura Producción'!AX$17:AX$531,'Data Pura Producción'!$R$17:$R$531,$Q101,'Data Pura Producción'!$Q$17:$Q$531,$R101)=0,"",SUMIFS('Data Pura Producción'!AX$17:AX$531,'Data Pura Producción'!$R$17:$R$531,$Q101,'Data Pura Producción'!$Q$17:$Q$531,$R101)))</f>
        <v/>
      </c>
      <c r="AN101" s="187" t="str">
        <f t="shared" si="4"/>
        <v/>
      </c>
    </row>
    <row r="102" spans="2:40" s="7" customFormat="1" x14ac:dyDescent="0.35">
      <c r="B102" s="4" t="str">
        <f>+IF('Data Pura Costos'!B102="","",'Data Pura Costos'!B102)</f>
        <v>Bodega</v>
      </c>
      <c r="C102" s="4" t="str">
        <f>+IF('Data Pura Costos'!C102="","",'Data Pura Costos'!C102)</f>
        <v>Linares, VII region.</v>
      </c>
      <c r="D102" s="5">
        <f>+IF('Data Pura Costos'!D102="","",'Data Pura Costos'!D102)</f>
        <v>211</v>
      </c>
      <c r="E102" s="65">
        <f>+IF('Data Pura Costos'!E102="","",IF('Data Pura Costos'!E102=0,MAX('Data Pura Costos'!$E$7:$E$3000)*1000,'Data Pura Costos'!E102))</f>
        <v>550000</v>
      </c>
      <c r="F102" s="5" t="str">
        <f>+IF('Data Pura Costos'!F102="","",'Data Pura Costos'!F102)</f>
        <v>Malloa</v>
      </c>
      <c r="G102" s="5" t="str">
        <f>+IF('Data Pura Costos'!G102="","",'Data Pura Costos'!G102)</f>
        <v xml:space="preserve">GUSTAVO ZÚÑIGA </v>
      </c>
      <c r="H102" s="52" t="str">
        <f>+IF('Data Pura Costos'!H102="","",'Data Pura Costos'!H102)</f>
        <v>Termo</v>
      </c>
      <c r="I102" s="71">
        <f>+IF('Data Pura Costos'!I102="","",'Data Pura Costos'!I102)</f>
        <v>2606.6350710900474</v>
      </c>
      <c r="J102" s="52" t="str">
        <f>+IF('Data Pura Costos'!J102="","",'Data Pura Costos'!J102)</f>
        <v>24-25</v>
      </c>
      <c r="K102" s="82" t="str">
        <f t="shared" si="6"/>
        <v xml:space="preserve">Bodega-Malloa-GUSTAVO ZÚÑIGA </v>
      </c>
      <c r="P102" s="1" t="str">
        <f t="shared" si="5"/>
        <v/>
      </c>
      <c r="Q102" s="23"/>
      <c r="R102" s="333"/>
      <c r="S102" s="336" t="str">
        <f>+IF($Q102="","",IF(SUMIFS('Data Pura Producción'!AD$17:AD$531,'Data Pura Producción'!$R$17:$R$531,$Q102,'Data Pura Producción'!$Q$17:$Q$531,$R102)=0,"",SUMIFS('Data Pura Producción'!AD$17:AD$531,'Data Pura Producción'!$R$17:$R$531,$Q102,'Data Pura Producción'!$Q$17:$Q$531,$R102)))</f>
        <v/>
      </c>
      <c r="T102" s="182" t="str">
        <f>+IF($Q102="","",IF(SUMIFS('Data Pura Producción'!AE$17:AE$531,'Data Pura Producción'!$R$17:$R$531,$Q102,'Data Pura Producción'!$Q$17:$Q$531,$R102)=0,"",SUMIFS('Data Pura Producción'!AE$17:AE$531,'Data Pura Producción'!$R$17:$R$531,$Q102,'Data Pura Producción'!$Q$17:$Q$531,$R102)))</f>
        <v/>
      </c>
      <c r="U102" s="182" t="str">
        <f>+IF($Q102="","",IF(SUMIFS('Data Pura Producción'!AF$17:AF$531,'Data Pura Producción'!$R$17:$R$531,$Q102,'Data Pura Producción'!$Q$17:$Q$531,$R102)=0,"",SUMIFS('Data Pura Producción'!AF$17:AF$531,'Data Pura Producción'!$R$17:$R$531,$Q102,'Data Pura Producción'!$Q$17:$Q$531,$R102)))</f>
        <v/>
      </c>
      <c r="V102" s="182" t="str">
        <f>+IF($Q102="","",IF(SUMIFS('Data Pura Producción'!AG$17:AG$531,'Data Pura Producción'!$R$17:$R$531,$Q102,'Data Pura Producción'!$Q$17:$Q$531,$R102)=0,"",SUMIFS('Data Pura Producción'!AG$17:AG$531,'Data Pura Producción'!$R$17:$R$531,$Q102,'Data Pura Producción'!$Q$17:$Q$531,$R102)))</f>
        <v/>
      </c>
      <c r="W102" s="182" t="str">
        <f>+IF($Q102="","",IF(SUMIFS('Data Pura Producción'!AH$17:AH$531,'Data Pura Producción'!$R$17:$R$531,$Q102,'Data Pura Producción'!$Q$17:$Q$531,$R102)=0,"",SUMIFS('Data Pura Producción'!AH$17:AH$531,'Data Pura Producción'!$R$17:$R$531,$Q102,'Data Pura Producción'!$Q$17:$Q$531,$R102)))</f>
        <v/>
      </c>
      <c r="X102" s="182" t="str">
        <f>+IF($Q102="","",IF(SUMIFS('Data Pura Producción'!AI$17:AI$531,'Data Pura Producción'!$R$17:$R$531,$Q102,'Data Pura Producción'!$Q$17:$Q$531,$R102)=0,"",SUMIFS('Data Pura Producción'!AI$17:AI$531,'Data Pura Producción'!$R$17:$R$531,$Q102,'Data Pura Producción'!$Q$17:$Q$531,$R102)))</f>
        <v/>
      </c>
      <c r="Y102" s="182" t="str">
        <f>+IF($Q102="","",IF(SUMIFS('Data Pura Producción'!AJ$17:AJ$531,'Data Pura Producción'!$R$17:$R$531,$Q102,'Data Pura Producción'!$Q$17:$Q$531,$R102)=0,"",SUMIFS('Data Pura Producción'!AJ$17:AJ$531,'Data Pura Producción'!$R$17:$R$531,$Q102,'Data Pura Producción'!$Q$17:$Q$531,$R102)))</f>
        <v/>
      </c>
      <c r="Z102" s="182" t="str">
        <f>+IF($Q102="","",IF(SUMIFS('Data Pura Producción'!AK$17:AK$531,'Data Pura Producción'!$R$17:$R$531,$Q102,'Data Pura Producción'!$Q$17:$Q$531,$R102)=0,"",SUMIFS('Data Pura Producción'!AK$17:AK$531,'Data Pura Producción'!$R$17:$R$531,$Q102,'Data Pura Producción'!$Q$17:$Q$531,$R102)))</f>
        <v/>
      </c>
      <c r="AA102" s="182" t="str">
        <f>+IF($Q102="","",IF(SUMIFS('Data Pura Producción'!AL$17:AL$531,'Data Pura Producción'!$R$17:$R$531,$Q102,'Data Pura Producción'!$Q$17:$Q$531,$R102)=0,"",SUMIFS('Data Pura Producción'!AL$17:AL$531,'Data Pura Producción'!$R$17:$R$531,$Q102,'Data Pura Producción'!$Q$17:$Q$531,$R102)))</f>
        <v/>
      </c>
      <c r="AB102" s="182" t="str">
        <f>+IF($Q102="","",IF(SUMIFS('Data Pura Producción'!AM$17:AM$531,'Data Pura Producción'!$R$17:$R$531,$Q102,'Data Pura Producción'!$Q$17:$Q$531,$R102)=0,"",SUMIFS('Data Pura Producción'!AM$17:AM$531,'Data Pura Producción'!$R$17:$R$531,$Q102,'Data Pura Producción'!$Q$17:$Q$531,$R102)))</f>
        <v/>
      </c>
      <c r="AC102" s="182" t="str">
        <f>+IF($Q102="","",IF(SUMIFS('Data Pura Producción'!AN$17:AN$531,'Data Pura Producción'!$R$17:$R$531,$Q102,'Data Pura Producción'!$Q$17:$Q$531,$R102)=0,"",SUMIFS('Data Pura Producción'!AN$17:AN$531,'Data Pura Producción'!$R$17:$R$531,$Q102,'Data Pura Producción'!$Q$17:$Q$531,$R102)))</f>
        <v/>
      </c>
      <c r="AD102" s="182" t="str">
        <f>+IF($Q102="","",IF(SUMIFS('Data Pura Producción'!AO$17:AO$531,'Data Pura Producción'!$R$17:$R$531,$Q102,'Data Pura Producción'!$Q$17:$Q$531,$R102)=0,"",SUMIFS('Data Pura Producción'!AO$17:AO$531,'Data Pura Producción'!$R$17:$R$531,$Q102,'Data Pura Producción'!$Q$17:$Q$531,$R102)))</f>
        <v/>
      </c>
      <c r="AE102" s="182" t="str">
        <f>+IF($Q102="","",IF(SUMIFS('Data Pura Producción'!AP$17:AP$531,'Data Pura Producción'!$R$17:$R$531,$Q102,'Data Pura Producción'!$Q$17:$Q$531,$R102)=0,"",SUMIFS('Data Pura Producción'!AP$17:AP$531,'Data Pura Producción'!$R$17:$R$531,$Q102,'Data Pura Producción'!$Q$17:$Q$531,$R102)))</f>
        <v/>
      </c>
      <c r="AF102" s="182" t="str">
        <f>+IF($Q102="","",IF(SUMIFS('Data Pura Producción'!AQ$17:AQ$531,'Data Pura Producción'!$R$17:$R$531,$Q102,'Data Pura Producción'!$Q$17:$Q$531,$R102)=0,"",SUMIFS('Data Pura Producción'!AQ$17:AQ$531,'Data Pura Producción'!$R$17:$R$531,$Q102,'Data Pura Producción'!$Q$17:$Q$531,$R102)))</f>
        <v/>
      </c>
      <c r="AG102" s="182" t="str">
        <f>+IF($Q102="","",IF(SUMIFS('Data Pura Producción'!AR$17:AR$531,'Data Pura Producción'!$R$17:$R$531,$Q102,'Data Pura Producción'!$Q$17:$Q$531,$R102)=0,"",SUMIFS('Data Pura Producción'!AR$17:AR$531,'Data Pura Producción'!$R$17:$R$531,$Q102,'Data Pura Producción'!$Q$17:$Q$531,$R102)))</f>
        <v/>
      </c>
      <c r="AH102" s="182" t="str">
        <f>+IF($Q102="","",IF(SUMIFS('Data Pura Producción'!AS$17:AS$531,'Data Pura Producción'!$R$17:$R$531,$Q102,'Data Pura Producción'!$Q$17:$Q$531,$R102)=0,"",SUMIFS('Data Pura Producción'!AS$17:AS$531,'Data Pura Producción'!$R$17:$R$531,$Q102,'Data Pura Producción'!$Q$17:$Q$531,$R102)))</f>
        <v/>
      </c>
      <c r="AI102" s="182" t="str">
        <f>+IF($Q102="","",IF(SUMIFS('Data Pura Producción'!AT$17:AT$531,'Data Pura Producción'!$R$17:$R$531,$Q102,'Data Pura Producción'!$Q$17:$Q$531,$R102)=0,"",SUMIFS('Data Pura Producción'!AT$17:AT$531,'Data Pura Producción'!$R$17:$R$531,$Q102,'Data Pura Producción'!$Q$17:$Q$531,$R102)))</f>
        <v/>
      </c>
      <c r="AJ102" s="182" t="str">
        <f>+IF($Q102="","",IF(SUMIFS('Data Pura Producción'!AU$17:AU$531,'Data Pura Producción'!$R$17:$R$531,$Q102,'Data Pura Producción'!$Q$17:$Q$531,$R102)=0,"",SUMIFS('Data Pura Producción'!AU$17:AU$531,'Data Pura Producción'!$R$17:$R$531,$Q102,'Data Pura Producción'!$Q$17:$Q$531,$R102)))</f>
        <v/>
      </c>
      <c r="AK102" s="182" t="str">
        <f>+IF($Q102="","",IF(SUMIFS('Data Pura Producción'!AV$17:AV$531,'Data Pura Producción'!$R$17:$R$531,$Q102,'Data Pura Producción'!$Q$17:$Q$531,$R102)=0,"",SUMIFS('Data Pura Producción'!AV$17:AV$531,'Data Pura Producción'!$R$17:$R$531,$Q102,'Data Pura Producción'!$Q$17:$Q$531,$R102)))</f>
        <v/>
      </c>
      <c r="AL102" s="182" t="str">
        <f>+IF($Q102="","",IF(SUMIFS('Data Pura Producción'!AW$17:AW$531,'Data Pura Producción'!$R$17:$R$531,$Q102,'Data Pura Producción'!$Q$17:$Q$531,$R102)=0,"",SUMIFS('Data Pura Producción'!AW$17:AW$531,'Data Pura Producción'!$R$17:$R$531,$Q102,'Data Pura Producción'!$Q$17:$Q$531,$R102)))</f>
        <v/>
      </c>
      <c r="AM102" s="337" t="str">
        <f>+IF($Q102="","",IF(SUMIFS('Data Pura Producción'!AX$17:AX$531,'Data Pura Producción'!$R$17:$R$531,$Q102,'Data Pura Producción'!$Q$17:$Q$531,$R102)=0,"",SUMIFS('Data Pura Producción'!AX$17:AX$531,'Data Pura Producción'!$R$17:$R$531,$Q102,'Data Pura Producción'!$Q$17:$Q$531,$R102)))</f>
        <v/>
      </c>
      <c r="AN102" s="187" t="str">
        <f t="shared" si="4"/>
        <v/>
      </c>
    </row>
    <row r="103" spans="2:40" s="7" customFormat="1" x14ac:dyDescent="0.35">
      <c r="B103" s="4" t="str">
        <f>+IF('Data Pura Costos'!B103="","",'Data Pura Costos'!B103)</f>
        <v xml:space="preserve">Caliboro </v>
      </c>
      <c r="C103" s="4" t="str">
        <f>+IF('Data Pura Costos'!C103="","",'Data Pura Costos'!C103)</f>
        <v>San Javier, VII región</v>
      </c>
      <c r="D103" s="5">
        <f>+IF('Data Pura Costos'!D103="","",'Data Pura Costos'!D103)</f>
        <v>206</v>
      </c>
      <c r="E103" s="65">
        <f>+IF('Data Pura Costos'!E103="","",IF('Data Pura Costos'!E103=0,MAX('Data Pura Costos'!$E$7:$E$3000)*1000,'Data Pura Costos'!E103))</f>
        <v>550000</v>
      </c>
      <c r="F103" s="5" t="str">
        <f>+IF('Data Pura Costos'!F103="","",'Data Pura Costos'!F103)</f>
        <v>Malloa</v>
      </c>
      <c r="G103" s="5" t="str">
        <f>+IF('Data Pura Costos'!G103="","",'Data Pura Costos'!G103)</f>
        <v xml:space="preserve">GUSTAVO ZÚÑIGA </v>
      </c>
      <c r="H103" s="52" t="str">
        <f>+IF('Data Pura Costos'!H103="","",'Data Pura Costos'!H103)</f>
        <v>Termo</v>
      </c>
      <c r="I103" s="71">
        <f>+IF('Data Pura Costos'!I103="","",'Data Pura Costos'!I103)</f>
        <v>2669.9029126213591</v>
      </c>
      <c r="J103" s="52" t="str">
        <f>+IF('Data Pura Costos'!J103="","",'Data Pura Costos'!J103)</f>
        <v>24-25</v>
      </c>
      <c r="K103" s="82" t="str">
        <f t="shared" si="6"/>
        <v xml:space="preserve">Caliboro -Malloa-GUSTAVO ZÚÑIGA </v>
      </c>
      <c r="P103" s="1" t="str">
        <f t="shared" si="5"/>
        <v/>
      </c>
      <c r="Q103" s="23"/>
      <c r="R103" s="333"/>
      <c r="S103" s="336" t="str">
        <f>+IF($Q103="","",IF(SUMIFS('Data Pura Producción'!AD$17:AD$531,'Data Pura Producción'!$R$17:$R$531,$Q103,'Data Pura Producción'!$Q$17:$Q$531,$R103)=0,"",SUMIFS('Data Pura Producción'!AD$17:AD$531,'Data Pura Producción'!$R$17:$R$531,$Q103,'Data Pura Producción'!$Q$17:$Q$531,$R103)))</f>
        <v/>
      </c>
      <c r="T103" s="182" t="str">
        <f>+IF($Q103="","",IF(SUMIFS('Data Pura Producción'!AE$17:AE$531,'Data Pura Producción'!$R$17:$R$531,$Q103,'Data Pura Producción'!$Q$17:$Q$531,$R103)=0,"",SUMIFS('Data Pura Producción'!AE$17:AE$531,'Data Pura Producción'!$R$17:$R$531,$Q103,'Data Pura Producción'!$Q$17:$Q$531,$R103)))</f>
        <v/>
      </c>
      <c r="U103" s="182" t="str">
        <f>+IF($Q103="","",IF(SUMIFS('Data Pura Producción'!AF$17:AF$531,'Data Pura Producción'!$R$17:$R$531,$Q103,'Data Pura Producción'!$Q$17:$Q$531,$R103)=0,"",SUMIFS('Data Pura Producción'!AF$17:AF$531,'Data Pura Producción'!$R$17:$R$531,$Q103,'Data Pura Producción'!$Q$17:$Q$531,$R103)))</f>
        <v/>
      </c>
      <c r="V103" s="182" t="str">
        <f>+IF($Q103="","",IF(SUMIFS('Data Pura Producción'!AG$17:AG$531,'Data Pura Producción'!$R$17:$R$531,$Q103,'Data Pura Producción'!$Q$17:$Q$531,$R103)=0,"",SUMIFS('Data Pura Producción'!AG$17:AG$531,'Data Pura Producción'!$R$17:$R$531,$Q103,'Data Pura Producción'!$Q$17:$Q$531,$R103)))</f>
        <v/>
      </c>
      <c r="W103" s="182" t="str">
        <f>+IF($Q103="","",IF(SUMIFS('Data Pura Producción'!AH$17:AH$531,'Data Pura Producción'!$R$17:$R$531,$Q103,'Data Pura Producción'!$Q$17:$Q$531,$R103)=0,"",SUMIFS('Data Pura Producción'!AH$17:AH$531,'Data Pura Producción'!$R$17:$R$531,$Q103,'Data Pura Producción'!$Q$17:$Q$531,$R103)))</f>
        <v/>
      </c>
      <c r="X103" s="182" t="str">
        <f>+IF($Q103="","",IF(SUMIFS('Data Pura Producción'!AI$17:AI$531,'Data Pura Producción'!$R$17:$R$531,$Q103,'Data Pura Producción'!$Q$17:$Q$531,$R103)=0,"",SUMIFS('Data Pura Producción'!AI$17:AI$531,'Data Pura Producción'!$R$17:$R$531,$Q103,'Data Pura Producción'!$Q$17:$Q$531,$R103)))</f>
        <v/>
      </c>
      <c r="Y103" s="182" t="str">
        <f>+IF($Q103="","",IF(SUMIFS('Data Pura Producción'!AJ$17:AJ$531,'Data Pura Producción'!$R$17:$R$531,$Q103,'Data Pura Producción'!$Q$17:$Q$531,$R103)=0,"",SUMIFS('Data Pura Producción'!AJ$17:AJ$531,'Data Pura Producción'!$R$17:$R$531,$Q103,'Data Pura Producción'!$Q$17:$Q$531,$R103)))</f>
        <v/>
      </c>
      <c r="Z103" s="182" t="str">
        <f>+IF($Q103="","",IF(SUMIFS('Data Pura Producción'!AK$17:AK$531,'Data Pura Producción'!$R$17:$R$531,$Q103,'Data Pura Producción'!$Q$17:$Q$531,$R103)=0,"",SUMIFS('Data Pura Producción'!AK$17:AK$531,'Data Pura Producción'!$R$17:$R$531,$Q103,'Data Pura Producción'!$Q$17:$Q$531,$R103)))</f>
        <v/>
      </c>
      <c r="AA103" s="182" t="str">
        <f>+IF($Q103="","",IF(SUMIFS('Data Pura Producción'!AL$17:AL$531,'Data Pura Producción'!$R$17:$R$531,$Q103,'Data Pura Producción'!$Q$17:$Q$531,$R103)=0,"",SUMIFS('Data Pura Producción'!AL$17:AL$531,'Data Pura Producción'!$R$17:$R$531,$Q103,'Data Pura Producción'!$Q$17:$Q$531,$R103)))</f>
        <v/>
      </c>
      <c r="AB103" s="182" t="str">
        <f>+IF($Q103="","",IF(SUMIFS('Data Pura Producción'!AM$17:AM$531,'Data Pura Producción'!$R$17:$R$531,$Q103,'Data Pura Producción'!$Q$17:$Q$531,$R103)=0,"",SUMIFS('Data Pura Producción'!AM$17:AM$531,'Data Pura Producción'!$R$17:$R$531,$Q103,'Data Pura Producción'!$Q$17:$Q$531,$R103)))</f>
        <v/>
      </c>
      <c r="AC103" s="182" t="str">
        <f>+IF($Q103="","",IF(SUMIFS('Data Pura Producción'!AN$17:AN$531,'Data Pura Producción'!$R$17:$R$531,$Q103,'Data Pura Producción'!$Q$17:$Q$531,$R103)=0,"",SUMIFS('Data Pura Producción'!AN$17:AN$531,'Data Pura Producción'!$R$17:$R$531,$Q103,'Data Pura Producción'!$Q$17:$Q$531,$R103)))</f>
        <v/>
      </c>
      <c r="AD103" s="182" t="str">
        <f>+IF($Q103="","",IF(SUMIFS('Data Pura Producción'!AO$17:AO$531,'Data Pura Producción'!$R$17:$R$531,$Q103,'Data Pura Producción'!$Q$17:$Q$531,$R103)=0,"",SUMIFS('Data Pura Producción'!AO$17:AO$531,'Data Pura Producción'!$R$17:$R$531,$Q103,'Data Pura Producción'!$Q$17:$Q$531,$R103)))</f>
        <v/>
      </c>
      <c r="AE103" s="182" t="str">
        <f>+IF($Q103="","",IF(SUMIFS('Data Pura Producción'!AP$17:AP$531,'Data Pura Producción'!$R$17:$R$531,$Q103,'Data Pura Producción'!$Q$17:$Q$531,$R103)=0,"",SUMIFS('Data Pura Producción'!AP$17:AP$531,'Data Pura Producción'!$R$17:$R$531,$Q103,'Data Pura Producción'!$Q$17:$Q$531,$R103)))</f>
        <v/>
      </c>
      <c r="AF103" s="182" t="str">
        <f>+IF($Q103="","",IF(SUMIFS('Data Pura Producción'!AQ$17:AQ$531,'Data Pura Producción'!$R$17:$R$531,$Q103,'Data Pura Producción'!$Q$17:$Q$531,$R103)=0,"",SUMIFS('Data Pura Producción'!AQ$17:AQ$531,'Data Pura Producción'!$R$17:$R$531,$Q103,'Data Pura Producción'!$Q$17:$Q$531,$R103)))</f>
        <v/>
      </c>
      <c r="AG103" s="182" t="str">
        <f>+IF($Q103="","",IF(SUMIFS('Data Pura Producción'!AR$17:AR$531,'Data Pura Producción'!$R$17:$R$531,$Q103,'Data Pura Producción'!$Q$17:$Q$531,$R103)=0,"",SUMIFS('Data Pura Producción'!AR$17:AR$531,'Data Pura Producción'!$R$17:$R$531,$Q103,'Data Pura Producción'!$Q$17:$Q$531,$R103)))</f>
        <v/>
      </c>
      <c r="AH103" s="182" t="str">
        <f>+IF($Q103="","",IF(SUMIFS('Data Pura Producción'!AS$17:AS$531,'Data Pura Producción'!$R$17:$R$531,$Q103,'Data Pura Producción'!$Q$17:$Q$531,$R103)=0,"",SUMIFS('Data Pura Producción'!AS$17:AS$531,'Data Pura Producción'!$R$17:$R$531,$Q103,'Data Pura Producción'!$Q$17:$Q$531,$R103)))</f>
        <v/>
      </c>
      <c r="AI103" s="182" t="str">
        <f>+IF($Q103="","",IF(SUMIFS('Data Pura Producción'!AT$17:AT$531,'Data Pura Producción'!$R$17:$R$531,$Q103,'Data Pura Producción'!$Q$17:$Q$531,$R103)=0,"",SUMIFS('Data Pura Producción'!AT$17:AT$531,'Data Pura Producción'!$R$17:$R$531,$Q103,'Data Pura Producción'!$Q$17:$Q$531,$R103)))</f>
        <v/>
      </c>
      <c r="AJ103" s="182" t="str">
        <f>+IF($Q103="","",IF(SUMIFS('Data Pura Producción'!AU$17:AU$531,'Data Pura Producción'!$R$17:$R$531,$Q103,'Data Pura Producción'!$Q$17:$Q$531,$R103)=0,"",SUMIFS('Data Pura Producción'!AU$17:AU$531,'Data Pura Producción'!$R$17:$R$531,$Q103,'Data Pura Producción'!$Q$17:$Q$531,$R103)))</f>
        <v/>
      </c>
      <c r="AK103" s="182" t="str">
        <f>+IF($Q103="","",IF(SUMIFS('Data Pura Producción'!AV$17:AV$531,'Data Pura Producción'!$R$17:$R$531,$Q103,'Data Pura Producción'!$Q$17:$Q$531,$R103)=0,"",SUMIFS('Data Pura Producción'!AV$17:AV$531,'Data Pura Producción'!$R$17:$R$531,$Q103,'Data Pura Producción'!$Q$17:$Q$531,$R103)))</f>
        <v/>
      </c>
      <c r="AL103" s="182" t="str">
        <f>+IF($Q103="","",IF(SUMIFS('Data Pura Producción'!AW$17:AW$531,'Data Pura Producción'!$R$17:$R$531,$Q103,'Data Pura Producción'!$Q$17:$Q$531,$R103)=0,"",SUMIFS('Data Pura Producción'!AW$17:AW$531,'Data Pura Producción'!$R$17:$R$531,$Q103,'Data Pura Producción'!$Q$17:$Q$531,$R103)))</f>
        <v/>
      </c>
      <c r="AM103" s="337" t="str">
        <f>+IF($Q103="","",IF(SUMIFS('Data Pura Producción'!AX$17:AX$531,'Data Pura Producción'!$R$17:$R$531,$Q103,'Data Pura Producción'!$Q$17:$Q$531,$R103)=0,"",SUMIFS('Data Pura Producción'!AX$17:AX$531,'Data Pura Producción'!$R$17:$R$531,$Q103,'Data Pura Producción'!$Q$17:$Q$531,$R103)))</f>
        <v/>
      </c>
      <c r="AN103" s="187" t="str">
        <f t="shared" si="4"/>
        <v/>
      </c>
    </row>
    <row r="104" spans="2:40" s="7" customFormat="1" x14ac:dyDescent="0.35">
      <c r="B104" s="4" t="str">
        <f>+IF('Data Pura Costos'!B104="","",'Data Pura Costos'!B104)</f>
        <v>Calleuque</v>
      </c>
      <c r="C104" s="4" t="str">
        <f>+IF('Data Pura Costos'!C104="","",'Data Pura Costos'!C104)</f>
        <v>Peralillo ohiggins, VI región</v>
      </c>
      <c r="D104" s="5">
        <f>+IF('Data Pura Costos'!D104="","",'Data Pura Costos'!D104)</f>
        <v>80</v>
      </c>
      <c r="E104" s="65">
        <f>+IF('Data Pura Costos'!E104="","",IF('Data Pura Costos'!E104=0,MAX('Data Pura Costos'!$E$7:$E$3000)*1000,'Data Pura Costos'!E104))</f>
        <v>360000</v>
      </c>
      <c r="F104" s="5" t="str">
        <f>+IF('Data Pura Costos'!F104="","",'Data Pura Costos'!F104)</f>
        <v>Malloa</v>
      </c>
      <c r="G104" s="5" t="str">
        <f>+IF('Data Pura Costos'!G104="","",'Data Pura Costos'!G104)</f>
        <v xml:space="preserve">GUSTAVO ZÚÑIGA </v>
      </c>
      <c r="H104" s="52" t="str">
        <f>+IF('Data Pura Costos'!H104="","",'Data Pura Costos'!H104)</f>
        <v>Termo</v>
      </c>
      <c r="I104" s="71">
        <f>+IF('Data Pura Costos'!I104="","",'Data Pura Costos'!I104)</f>
        <v>4500</v>
      </c>
      <c r="J104" s="52" t="str">
        <f>+IF('Data Pura Costos'!J104="","",'Data Pura Costos'!J104)</f>
        <v>24-25</v>
      </c>
      <c r="K104" s="82" t="str">
        <f t="shared" si="6"/>
        <v xml:space="preserve">Calleuque-Malloa-GUSTAVO ZÚÑIGA </v>
      </c>
      <c r="P104" s="1" t="str">
        <f t="shared" si="5"/>
        <v/>
      </c>
      <c r="Q104" s="23"/>
      <c r="R104" s="333"/>
      <c r="S104" s="336" t="str">
        <f>+IF($Q104="","",IF(SUMIFS('Data Pura Producción'!AD$17:AD$531,'Data Pura Producción'!$R$17:$R$531,$Q104,'Data Pura Producción'!$Q$17:$Q$531,$R104)=0,"",SUMIFS('Data Pura Producción'!AD$17:AD$531,'Data Pura Producción'!$R$17:$R$531,$Q104,'Data Pura Producción'!$Q$17:$Q$531,$R104)))</f>
        <v/>
      </c>
      <c r="T104" s="182" t="str">
        <f>+IF($Q104="","",IF(SUMIFS('Data Pura Producción'!AE$17:AE$531,'Data Pura Producción'!$R$17:$R$531,$Q104,'Data Pura Producción'!$Q$17:$Q$531,$R104)=0,"",SUMIFS('Data Pura Producción'!AE$17:AE$531,'Data Pura Producción'!$R$17:$R$531,$Q104,'Data Pura Producción'!$Q$17:$Q$531,$R104)))</f>
        <v/>
      </c>
      <c r="U104" s="182" t="str">
        <f>+IF($Q104="","",IF(SUMIFS('Data Pura Producción'!AF$17:AF$531,'Data Pura Producción'!$R$17:$R$531,$Q104,'Data Pura Producción'!$Q$17:$Q$531,$R104)=0,"",SUMIFS('Data Pura Producción'!AF$17:AF$531,'Data Pura Producción'!$R$17:$R$531,$Q104,'Data Pura Producción'!$Q$17:$Q$531,$R104)))</f>
        <v/>
      </c>
      <c r="V104" s="182" t="str">
        <f>+IF($Q104="","",IF(SUMIFS('Data Pura Producción'!AG$17:AG$531,'Data Pura Producción'!$R$17:$R$531,$Q104,'Data Pura Producción'!$Q$17:$Q$531,$R104)=0,"",SUMIFS('Data Pura Producción'!AG$17:AG$531,'Data Pura Producción'!$R$17:$R$531,$Q104,'Data Pura Producción'!$Q$17:$Q$531,$R104)))</f>
        <v/>
      </c>
      <c r="W104" s="182" t="str">
        <f>+IF($Q104="","",IF(SUMIFS('Data Pura Producción'!AH$17:AH$531,'Data Pura Producción'!$R$17:$R$531,$Q104,'Data Pura Producción'!$Q$17:$Q$531,$R104)=0,"",SUMIFS('Data Pura Producción'!AH$17:AH$531,'Data Pura Producción'!$R$17:$R$531,$Q104,'Data Pura Producción'!$Q$17:$Q$531,$R104)))</f>
        <v/>
      </c>
      <c r="X104" s="182" t="str">
        <f>+IF($Q104="","",IF(SUMIFS('Data Pura Producción'!AI$17:AI$531,'Data Pura Producción'!$R$17:$R$531,$Q104,'Data Pura Producción'!$Q$17:$Q$531,$R104)=0,"",SUMIFS('Data Pura Producción'!AI$17:AI$531,'Data Pura Producción'!$R$17:$R$531,$Q104,'Data Pura Producción'!$Q$17:$Q$531,$R104)))</f>
        <v/>
      </c>
      <c r="Y104" s="182" t="str">
        <f>+IF($Q104="","",IF(SUMIFS('Data Pura Producción'!AJ$17:AJ$531,'Data Pura Producción'!$R$17:$R$531,$Q104,'Data Pura Producción'!$Q$17:$Q$531,$R104)=0,"",SUMIFS('Data Pura Producción'!AJ$17:AJ$531,'Data Pura Producción'!$R$17:$R$531,$Q104,'Data Pura Producción'!$Q$17:$Q$531,$R104)))</f>
        <v/>
      </c>
      <c r="Z104" s="182" t="str">
        <f>+IF($Q104="","",IF(SUMIFS('Data Pura Producción'!AK$17:AK$531,'Data Pura Producción'!$R$17:$R$531,$Q104,'Data Pura Producción'!$Q$17:$Q$531,$R104)=0,"",SUMIFS('Data Pura Producción'!AK$17:AK$531,'Data Pura Producción'!$R$17:$R$531,$Q104,'Data Pura Producción'!$Q$17:$Q$531,$R104)))</f>
        <v/>
      </c>
      <c r="AA104" s="182" t="str">
        <f>+IF($Q104="","",IF(SUMIFS('Data Pura Producción'!AL$17:AL$531,'Data Pura Producción'!$R$17:$R$531,$Q104,'Data Pura Producción'!$Q$17:$Q$531,$R104)=0,"",SUMIFS('Data Pura Producción'!AL$17:AL$531,'Data Pura Producción'!$R$17:$R$531,$Q104,'Data Pura Producción'!$Q$17:$Q$531,$R104)))</f>
        <v/>
      </c>
      <c r="AB104" s="182" t="str">
        <f>+IF($Q104="","",IF(SUMIFS('Data Pura Producción'!AM$17:AM$531,'Data Pura Producción'!$R$17:$R$531,$Q104,'Data Pura Producción'!$Q$17:$Q$531,$R104)=0,"",SUMIFS('Data Pura Producción'!AM$17:AM$531,'Data Pura Producción'!$R$17:$R$531,$Q104,'Data Pura Producción'!$Q$17:$Q$531,$R104)))</f>
        <v/>
      </c>
      <c r="AC104" s="182" t="str">
        <f>+IF($Q104="","",IF(SUMIFS('Data Pura Producción'!AN$17:AN$531,'Data Pura Producción'!$R$17:$R$531,$Q104,'Data Pura Producción'!$Q$17:$Q$531,$R104)=0,"",SUMIFS('Data Pura Producción'!AN$17:AN$531,'Data Pura Producción'!$R$17:$R$531,$Q104,'Data Pura Producción'!$Q$17:$Q$531,$R104)))</f>
        <v/>
      </c>
      <c r="AD104" s="182" t="str">
        <f>+IF($Q104="","",IF(SUMIFS('Data Pura Producción'!AO$17:AO$531,'Data Pura Producción'!$R$17:$R$531,$Q104,'Data Pura Producción'!$Q$17:$Q$531,$R104)=0,"",SUMIFS('Data Pura Producción'!AO$17:AO$531,'Data Pura Producción'!$R$17:$R$531,$Q104,'Data Pura Producción'!$Q$17:$Q$531,$R104)))</f>
        <v/>
      </c>
      <c r="AE104" s="182" t="str">
        <f>+IF($Q104="","",IF(SUMIFS('Data Pura Producción'!AP$17:AP$531,'Data Pura Producción'!$R$17:$R$531,$Q104,'Data Pura Producción'!$Q$17:$Q$531,$R104)=0,"",SUMIFS('Data Pura Producción'!AP$17:AP$531,'Data Pura Producción'!$R$17:$R$531,$Q104,'Data Pura Producción'!$Q$17:$Q$531,$R104)))</f>
        <v/>
      </c>
      <c r="AF104" s="182" t="str">
        <f>+IF($Q104="","",IF(SUMIFS('Data Pura Producción'!AQ$17:AQ$531,'Data Pura Producción'!$R$17:$R$531,$Q104,'Data Pura Producción'!$Q$17:$Q$531,$R104)=0,"",SUMIFS('Data Pura Producción'!AQ$17:AQ$531,'Data Pura Producción'!$R$17:$R$531,$Q104,'Data Pura Producción'!$Q$17:$Q$531,$R104)))</f>
        <v/>
      </c>
      <c r="AG104" s="182" t="str">
        <f>+IF($Q104="","",IF(SUMIFS('Data Pura Producción'!AR$17:AR$531,'Data Pura Producción'!$R$17:$R$531,$Q104,'Data Pura Producción'!$Q$17:$Q$531,$R104)=0,"",SUMIFS('Data Pura Producción'!AR$17:AR$531,'Data Pura Producción'!$R$17:$R$531,$Q104,'Data Pura Producción'!$Q$17:$Q$531,$R104)))</f>
        <v/>
      </c>
      <c r="AH104" s="182" t="str">
        <f>+IF($Q104="","",IF(SUMIFS('Data Pura Producción'!AS$17:AS$531,'Data Pura Producción'!$R$17:$R$531,$Q104,'Data Pura Producción'!$Q$17:$Q$531,$R104)=0,"",SUMIFS('Data Pura Producción'!AS$17:AS$531,'Data Pura Producción'!$R$17:$R$531,$Q104,'Data Pura Producción'!$Q$17:$Q$531,$R104)))</f>
        <v/>
      </c>
      <c r="AI104" s="182" t="str">
        <f>+IF($Q104="","",IF(SUMIFS('Data Pura Producción'!AT$17:AT$531,'Data Pura Producción'!$R$17:$R$531,$Q104,'Data Pura Producción'!$Q$17:$Q$531,$R104)=0,"",SUMIFS('Data Pura Producción'!AT$17:AT$531,'Data Pura Producción'!$R$17:$R$531,$Q104,'Data Pura Producción'!$Q$17:$Q$531,$R104)))</f>
        <v/>
      </c>
      <c r="AJ104" s="182" t="str">
        <f>+IF($Q104="","",IF(SUMIFS('Data Pura Producción'!AU$17:AU$531,'Data Pura Producción'!$R$17:$R$531,$Q104,'Data Pura Producción'!$Q$17:$Q$531,$R104)=0,"",SUMIFS('Data Pura Producción'!AU$17:AU$531,'Data Pura Producción'!$R$17:$R$531,$Q104,'Data Pura Producción'!$Q$17:$Q$531,$R104)))</f>
        <v/>
      </c>
      <c r="AK104" s="182" t="str">
        <f>+IF($Q104="","",IF(SUMIFS('Data Pura Producción'!AV$17:AV$531,'Data Pura Producción'!$R$17:$R$531,$Q104,'Data Pura Producción'!$Q$17:$Q$531,$R104)=0,"",SUMIFS('Data Pura Producción'!AV$17:AV$531,'Data Pura Producción'!$R$17:$R$531,$Q104,'Data Pura Producción'!$Q$17:$Q$531,$R104)))</f>
        <v/>
      </c>
      <c r="AL104" s="182" t="str">
        <f>+IF($Q104="","",IF(SUMIFS('Data Pura Producción'!AW$17:AW$531,'Data Pura Producción'!$R$17:$R$531,$Q104,'Data Pura Producción'!$Q$17:$Q$531,$R104)=0,"",SUMIFS('Data Pura Producción'!AW$17:AW$531,'Data Pura Producción'!$R$17:$R$531,$Q104,'Data Pura Producción'!$Q$17:$Q$531,$R104)))</f>
        <v/>
      </c>
      <c r="AM104" s="337" t="str">
        <f>+IF($Q104="","",IF(SUMIFS('Data Pura Producción'!AX$17:AX$531,'Data Pura Producción'!$R$17:$R$531,$Q104,'Data Pura Producción'!$Q$17:$Q$531,$R104)=0,"",SUMIFS('Data Pura Producción'!AX$17:AX$531,'Data Pura Producción'!$R$17:$R$531,$Q104,'Data Pura Producción'!$Q$17:$Q$531,$R104)))</f>
        <v/>
      </c>
      <c r="AN104" s="187" t="str">
        <f t="shared" si="4"/>
        <v/>
      </c>
    </row>
    <row r="105" spans="2:40" s="7" customFormat="1" x14ac:dyDescent="0.35">
      <c r="B105" s="4" t="str">
        <f>+IF('Data Pura Costos'!B105="","",'Data Pura Costos'!B105)</f>
        <v>Chumpirro</v>
      </c>
      <c r="C105" s="4" t="str">
        <f>+IF('Data Pura Costos'!C105="","",'Data Pura Costos'!C105)</f>
        <v>Angol, IX región</v>
      </c>
      <c r="D105" s="5">
        <f>+IF('Data Pura Costos'!D105="","",'Data Pura Costos'!D105)</f>
        <v>450</v>
      </c>
      <c r="E105" s="65">
        <f>+IF('Data Pura Costos'!E105="","",IF('Data Pura Costos'!E105=0,MAX('Data Pura Costos'!$E$7:$E$3000)*1000,'Data Pura Costos'!E105))</f>
        <v>1210000</v>
      </c>
      <c r="F105" s="5" t="str">
        <f>+IF('Data Pura Costos'!F105="","",'Data Pura Costos'!F105)</f>
        <v>Malloa</v>
      </c>
      <c r="G105" s="5" t="str">
        <f>+IF('Data Pura Costos'!G105="","",'Data Pura Costos'!G105)</f>
        <v xml:space="preserve">GUSTAVO ZÚÑIGA </v>
      </c>
      <c r="H105" s="52" t="str">
        <f>+IF('Data Pura Costos'!H105="","",'Data Pura Costos'!H105)</f>
        <v>Termo</v>
      </c>
      <c r="I105" s="71">
        <f>+IF('Data Pura Costos'!I105="","",'Data Pura Costos'!I105)</f>
        <v>2688.8888888888887</v>
      </c>
      <c r="J105" s="52" t="str">
        <f>+IF('Data Pura Costos'!J105="","",'Data Pura Costos'!J105)</f>
        <v>24-25</v>
      </c>
      <c r="K105" s="82" t="str">
        <f t="shared" si="6"/>
        <v xml:space="preserve">Chumpirro-Malloa-GUSTAVO ZÚÑIGA </v>
      </c>
      <c r="P105" s="1" t="str">
        <f t="shared" si="5"/>
        <v/>
      </c>
      <c r="Q105" s="23"/>
      <c r="R105" s="333"/>
      <c r="S105" s="336" t="str">
        <f>+IF($Q105="","",IF(SUMIFS('Data Pura Producción'!AD$17:AD$531,'Data Pura Producción'!$R$17:$R$531,$Q105,'Data Pura Producción'!$Q$17:$Q$531,$R105)=0,"",SUMIFS('Data Pura Producción'!AD$17:AD$531,'Data Pura Producción'!$R$17:$R$531,$Q105,'Data Pura Producción'!$Q$17:$Q$531,$R105)))</f>
        <v/>
      </c>
      <c r="T105" s="182" t="str">
        <f>+IF($Q105="","",IF(SUMIFS('Data Pura Producción'!AE$17:AE$531,'Data Pura Producción'!$R$17:$R$531,$Q105,'Data Pura Producción'!$Q$17:$Q$531,$R105)=0,"",SUMIFS('Data Pura Producción'!AE$17:AE$531,'Data Pura Producción'!$R$17:$R$531,$Q105,'Data Pura Producción'!$Q$17:$Q$531,$R105)))</f>
        <v/>
      </c>
      <c r="U105" s="182" t="str">
        <f>+IF($Q105="","",IF(SUMIFS('Data Pura Producción'!AF$17:AF$531,'Data Pura Producción'!$R$17:$R$531,$Q105,'Data Pura Producción'!$Q$17:$Q$531,$R105)=0,"",SUMIFS('Data Pura Producción'!AF$17:AF$531,'Data Pura Producción'!$R$17:$R$531,$Q105,'Data Pura Producción'!$Q$17:$Q$531,$R105)))</f>
        <v/>
      </c>
      <c r="V105" s="182" t="str">
        <f>+IF($Q105="","",IF(SUMIFS('Data Pura Producción'!AG$17:AG$531,'Data Pura Producción'!$R$17:$R$531,$Q105,'Data Pura Producción'!$Q$17:$Q$531,$R105)=0,"",SUMIFS('Data Pura Producción'!AG$17:AG$531,'Data Pura Producción'!$R$17:$R$531,$Q105,'Data Pura Producción'!$Q$17:$Q$531,$R105)))</f>
        <v/>
      </c>
      <c r="W105" s="182" t="str">
        <f>+IF($Q105="","",IF(SUMIFS('Data Pura Producción'!AH$17:AH$531,'Data Pura Producción'!$R$17:$R$531,$Q105,'Data Pura Producción'!$Q$17:$Q$531,$R105)=0,"",SUMIFS('Data Pura Producción'!AH$17:AH$531,'Data Pura Producción'!$R$17:$R$531,$Q105,'Data Pura Producción'!$Q$17:$Q$531,$R105)))</f>
        <v/>
      </c>
      <c r="X105" s="182" t="str">
        <f>+IF($Q105="","",IF(SUMIFS('Data Pura Producción'!AI$17:AI$531,'Data Pura Producción'!$R$17:$R$531,$Q105,'Data Pura Producción'!$Q$17:$Q$531,$R105)=0,"",SUMIFS('Data Pura Producción'!AI$17:AI$531,'Data Pura Producción'!$R$17:$R$531,$Q105,'Data Pura Producción'!$Q$17:$Q$531,$R105)))</f>
        <v/>
      </c>
      <c r="Y105" s="182" t="str">
        <f>+IF($Q105="","",IF(SUMIFS('Data Pura Producción'!AJ$17:AJ$531,'Data Pura Producción'!$R$17:$R$531,$Q105,'Data Pura Producción'!$Q$17:$Q$531,$R105)=0,"",SUMIFS('Data Pura Producción'!AJ$17:AJ$531,'Data Pura Producción'!$R$17:$R$531,$Q105,'Data Pura Producción'!$Q$17:$Q$531,$R105)))</f>
        <v/>
      </c>
      <c r="Z105" s="182" t="str">
        <f>+IF($Q105="","",IF(SUMIFS('Data Pura Producción'!AK$17:AK$531,'Data Pura Producción'!$R$17:$R$531,$Q105,'Data Pura Producción'!$Q$17:$Q$531,$R105)=0,"",SUMIFS('Data Pura Producción'!AK$17:AK$531,'Data Pura Producción'!$R$17:$R$531,$Q105,'Data Pura Producción'!$Q$17:$Q$531,$R105)))</f>
        <v/>
      </c>
      <c r="AA105" s="182" t="str">
        <f>+IF($Q105="","",IF(SUMIFS('Data Pura Producción'!AL$17:AL$531,'Data Pura Producción'!$R$17:$R$531,$Q105,'Data Pura Producción'!$Q$17:$Q$531,$R105)=0,"",SUMIFS('Data Pura Producción'!AL$17:AL$531,'Data Pura Producción'!$R$17:$R$531,$Q105,'Data Pura Producción'!$Q$17:$Q$531,$R105)))</f>
        <v/>
      </c>
      <c r="AB105" s="182" t="str">
        <f>+IF($Q105="","",IF(SUMIFS('Data Pura Producción'!AM$17:AM$531,'Data Pura Producción'!$R$17:$R$531,$Q105,'Data Pura Producción'!$Q$17:$Q$531,$R105)=0,"",SUMIFS('Data Pura Producción'!AM$17:AM$531,'Data Pura Producción'!$R$17:$R$531,$Q105,'Data Pura Producción'!$Q$17:$Q$531,$R105)))</f>
        <v/>
      </c>
      <c r="AC105" s="182" t="str">
        <f>+IF($Q105="","",IF(SUMIFS('Data Pura Producción'!AN$17:AN$531,'Data Pura Producción'!$R$17:$R$531,$Q105,'Data Pura Producción'!$Q$17:$Q$531,$R105)=0,"",SUMIFS('Data Pura Producción'!AN$17:AN$531,'Data Pura Producción'!$R$17:$R$531,$Q105,'Data Pura Producción'!$Q$17:$Q$531,$R105)))</f>
        <v/>
      </c>
      <c r="AD105" s="182" t="str">
        <f>+IF($Q105="","",IF(SUMIFS('Data Pura Producción'!AO$17:AO$531,'Data Pura Producción'!$R$17:$R$531,$Q105,'Data Pura Producción'!$Q$17:$Q$531,$R105)=0,"",SUMIFS('Data Pura Producción'!AO$17:AO$531,'Data Pura Producción'!$R$17:$R$531,$Q105,'Data Pura Producción'!$Q$17:$Q$531,$R105)))</f>
        <v/>
      </c>
      <c r="AE105" s="182" t="str">
        <f>+IF($Q105="","",IF(SUMIFS('Data Pura Producción'!AP$17:AP$531,'Data Pura Producción'!$R$17:$R$531,$Q105,'Data Pura Producción'!$Q$17:$Q$531,$R105)=0,"",SUMIFS('Data Pura Producción'!AP$17:AP$531,'Data Pura Producción'!$R$17:$R$531,$Q105,'Data Pura Producción'!$Q$17:$Q$531,$R105)))</f>
        <v/>
      </c>
      <c r="AF105" s="182" t="str">
        <f>+IF($Q105="","",IF(SUMIFS('Data Pura Producción'!AQ$17:AQ$531,'Data Pura Producción'!$R$17:$R$531,$Q105,'Data Pura Producción'!$Q$17:$Q$531,$R105)=0,"",SUMIFS('Data Pura Producción'!AQ$17:AQ$531,'Data Pura Producción'!$R$17:$R$531,$Q105,'Data Pura Producción'!$Q$17:$Q$531,$R105)))</f>
        <v/>
      </c>
      <c r="AG105" s="182" t="str">
        <f>+IF($Q105="","",IF(SUMIFS('Data Pura Producción'!AR$17:AR$531,'Data Pura Producción'!$R$17:$R$531,$Q105,'Data Pura Producción'!$Q$17:$Q$531,$R105)=0,"",SUMIFS('Data Pura Producción'!AR$17:AR$531,'Data Pura Producción'!$R$17:$R$531,$Q105,'Data Pura Producción'!$Q$17:$Q$531,$R105)))</f>
        <v/>
      </c>
      <c r="AH105" s="182" t="str">
        <f>+IF($Q105="","",IF(SUMIFS('Data Pura Producción'!AS$17:AS$531,'Data Pura Producción'!$R$17:$R$531,$Q105,'Data Pura Producción'!$Q$17:$Q$531,$R105)=0,"",SUMIFS('Data Pura Producción'!AS$17:AS$531,'Data Pura Producción'!$R$17:$R$531,$Q105,'Data Pura Producción'!$Q$17:$Q$531,$R105)))</f>
        <v/>
      </c>
      <c r="AI105" s="182" t="str">
        <f>+IF($Q105="","",IF(SUMIFS('Data Pura Producción'!AT$17:AT$531,'Data Pura Producción'!$R$17:$R$531,$Q105,'Data Pura Producción'!$Q$17:$Q$531,$R105)=0,"",SUMIFS('Data Pura Producción'!AT$17:AT$531,'Data Pura Producción'!$R$17:$R$531,$Q105,'Data Pura Producción'!$Q$17:$Q$531,$R105)))</f>
        <v/>
      </c>
      <c r="AJ105" s="182" t="str">
        <f>+IF($Q105="","",IF(SUMIFS('Data Pura Producción'!AU$17:AU$531,'Data Pura Producción'!$R$17:$R$531,$Q105,'Data Pura Producción'!$Q$17:$Q$531,$R105)=0,"",SUMIFS('Data Pura Producción'!AU$17:AU$531,'Data Pura Producción'!$R$17:$R$531,$Q105,'Data Pura Producción'!$Q$17:$Q$531,$R105)))</f>
        <v/>
      </c>
      <c r="AK105" s="182" t="str">
        <f>+IF($Q105="","",IF(SUMIFS('Data Pura Producción'!AV$17:AV$531,'Data Pura Producción'!$R$17:$R$531,$Q105,'Data Pura Producción'!$Q$17:$Q$531,$R105)=0,"",SUMIFS('Data Pura Producción'!AV$17:AV$531,'Data Pura Producción'!$R$17:$R$531,$Q105,'Data Pura Producción'!$Q$17:$Q$531,$R105)))</f>
        <v/>
      </c>
      <c r="AL105" s="182" t="str">
        <f>+IF($Q105="","",IF(SUMIFS('Data Pura Producción'!AW$17:AW$531,'Data Pura Producción'!$R$17:$R$531,$Q105,'Data Pura Producción'!$Q$17:$Q$531,$R105)=0,"",SUMIFS('Data Pura Producción'!AW$17:AW$531,'Data Pura Producción'!$R$17:$R$531,$Q105,'Data Pura Producción'!$Q$17:$Q$531,$R105)))</f>
        <v/>
      </c>
      <c r="AM105" s="337" t="str">
        <f>+IF($Q105="","",IF(SUMIFS('Data Pura Producción'!AX$17:AX$531,'Data Pura Producción'!$R$17:$R$531,$Q105,'Data Pura Producción'!$Q$17:$Q$531,$R105)=0,"",SUMIFS('Data Pura Producción'!AX$17:AX$531,'Data Pura Producción'!$R$17:$R$531,$Q105,'Data Pura Producción'!$Q$17:$Q$531,$R105)))</f>
        <v/>
      </c>
      <c r="AN105" s="187" t="str">
        <f t="shared" si="4"/>
        <v/>
      </c>
    </row>
    <row r="106" spans="2:40" s="7" customFormat="1" x14ac:dyDescent="0.35">
      <c r="B106" s="4" t="str">
        <f>+IF('Data Pura Costos'!B106="","",'Data Pura Costos'!B106)</f>
        <v xml:space="preserve"> Cocalán</v>
      </c>
      <c r="C106" s="4" t="str">
        <f>+IF('Data Pura Costos'!C106="","",'Data Pura Costos'!C106)</f>
        <v>Cocalán, VI región</v>
      </c>
      <c r="D106" s="5">
        <f>+IF('Data Pura Costos'!D106="","",'Data Pura Costos'!D106)</f>
        <v>50</v>
      </c>
      <c r="E106" s="65">
        <f>+IF('Data Pura Costos'!E106="","",IF('Data Pura Costos'!E106=0,MAX('Data Pura Costos'!$E$7:$E$3000)*1000,'Data Pura Costos'!E106))</f>
        <v>350000</v>
      </c>
      <c r="F106" s="5" t="str">
        <f>+IF('Data Pura Costos'!F106="","",'Data Pura Costos'!F106)</f>
        <v>Malloa</v>
      </c>
      <c r="G106" s="5" t="str">
        <f>+IF('Data Pura Costos'!G106="","",'Data Pura Costos'!G106)</f>
        <v xml:space="preserve">GUSTAVO ZÚÑIGA </v>
      </c>
      <c r="H106" s="52" t="str">
        <f>+IF('Data Pura Costos'!H106="","",'Data Pura Costos'!H106)</f>
        <v>Termo</v>
      </c>
      <c r="I106" s="71">
        <f>+IF('Data Pura Costos'!I106="","",'Data Pura Costos'!I106)</f>
        <v>7000</v>
      </c>
      <c r="J106" s="52" t="str">
        <f>+IF('Data Pura Costos'!J106="","",'Data Pura Costos'!J106)</f>
        <v>24-25</v>
      </c>
      <c r="K106" s="82" t="str">
        <f t="shared" si="6"/>
        <v xml:space="preserve"> Cocalán-Malloa-GUSTAVO ZÚÑIGA </v>
      </c>
      <c r="P106" s="1" t="str">
        <f t="shared" si="5"/>
        <v/>
      </c>
      <c r="Q106" s="23"/>
      <c r="R106" s="333"/>
      <c r="S106" s="336" t="str">
        <f>+IF($Q106="","",IF(SUMIFS('Data Pura Producción'!AD$17:AD$531,'Data Pura Producción'!$R$17:$R$531,$Q106,'Data Pura Producción'!$Q$17:$Q$531,$R106)=0,"",SUMIFS('Data Pura Producción'!AD$17:AD$531,'Data Pura Producción'!$R$17:$R$531,$Q106,'Data Pura Producción'!$Q$17:$Q$531,$R106)))</f>
        <v/>
      </c>
      <c r="T106" s="182" t="str">
        <f>+IF($Q106="","",IF(SUMIFS('Data Pura Producción'!AE$17:AE$531,'Data Pura Producción'!$R$17:$R$531,$Q106,'Data Pura Producción'!$Q$17:$Q$531,$R106)=0,"",SUMIFS('Data Pura Producción'!AE$17:AE$531,'Data Pura Producción'!$R$17:$R$531,$Q106,'Data Pura Producción'!$Q$17:$Q$531,$R106)))</f>
        <v/>
      </c>
      <c r="U106" s="182" t="str">
        <f>+IF($Q106="","",IF(SUMIFS('Data Pura Producción'!AF$17:AF$531,'Data Pura Producción'!$R$17:$R$531,$Q106,'Data Pura Producción'!$Q$17:$Q$531,$R106)=0,"",SUMIFS('Data Pura Producción'!AF$17:AF$531,'Data Pura Producción'!$R$17:$R$531,$Q106,'Data Pura Producción'!$Q$17:$Q$531,$R106)))</f>
        <v/>
      </c>
      <c r="V106" s="182" t="str">
        <f>+IF($Q106="","",IF(SUMIFS('Data Pura Producción'!AG$17:AG$531,'Data Pura Producción'!$R$17:$R$531,$Q106,'Data Pura Producción'!$Q$17:$Q$531,$R106)=0,"",SUMIFS('Data Pura Producción'!AG$17:AG$531,'Data Pura Producción'!$R$17:$R$531,$Q106,'Data Pura Producción'!$Q$17:$Q$531,$R106)))</f>
        <v/>
      </c>
      <c r="W106" s="182" t="str">
        <f>+IF($Q106="","",IF(SUMIFS('Data Pura Producción'!AH$17:AH$531,'Data Pura Producción'!$R$17:$R$531,$Q106,'Data Pura Producción'!$Q$17:$Q$531,$R106)=0,"",SUMIFS('Data Pura Producción'!AH$17:AH$531,'Data Pura Producción'!$R$17:$R$531,$Q106,'Data Pura Producción'!$Q$17:$Q$531,$R106)))</f>
        <v/>
      </c>
      <c r="X106" s="182" t="str">
        <f>+IF($Q106="","",IF(SUMIFS('Data Pura Producción'!AI$17:AI$531,'Data Pura Producción'!$R$17:$R$531,$Q106,'Data Pura Producción'!$Q$17:$Q$531,$R106)=0,"",SUMIFS('Data Pura Producción'!AI$17:AI$531,'Data Pura Producción'!$R$17:$R$531,$Q106,'Data Pura Producción'!$Q$17:$Q$531,$R106)))</f>
        <v/>
      </c>
      <c r="Y106" s="182" t="str">
        <f>+IF($Q106="","",IF(SUMIFS('Data Pura Producción'!AJ$17:AJ$531,'Data Pura Producción'!$R$17:$R$531,$Q106,'Data Pura Producción'!$Q$17:$Q$531,$R106)=0,"",SUMIFS('Data Pura Producción'!AJ$17:AJ$531,'Data Pura Producción'!$R$17:$R$531,$Q106,'Data Pura Producción'!$Q$17:$Q$531,$R106)))</f>
        <v/>
      </c>
      <c r="Z106" s="182" t="str">
        <f>+IF($Q106="","",IF(SUMIFS('Data Pura Producción'!AK$17:AK$531,'Data Pura Producción'!$R$17:$R$531,$Q106,'Data Pura Producción'!$Q$17:$Q$531,$R106)=0,"",SUMIFS('Data Pura Producción'!AK$17:AK$531,'Data Pura Producción'!$R$17:$R$531,$Q106,'Data Pura Producción'!$Q$17:$Q$531,$R106)))</f>
        <v/>
      </c>
      <c r="AA106" s="182" t="str">
        <f>+IF($Q106="","",IF(SUMIFS('Data Pura Producción'!AL$17:AL$531,'Data Pura Producción'!$R$17:$R$531,$Q106,'Data Pura Producción'!$Q$17:$Q$531,$R106)=0,"",SUMIFS('Data Pura Producción'!AL$17:AL$531,'Data Pura Producción'!$R$17:$R$531,$Q106,'Data Pura Producción'!$Q$17:$Q$531,$R106)))</f>
        <v/>
      </c>
      <c r="AB106" s="182" t="str">
        <f>+IF($Q106="","",IF(SUMIFS('Data Pura Producción'!AM$17:AM$531,'Data Pura Producción'!$R$17:$R$531,$Q106,'Data Pura Producción'!$Q$17:$Q$531,$R106)=0,"",SUMIFS('Data Pura Producción'!AM$17:AM$531,'Data Pura Producción'!$R$17:$R$531,$Q106,'Data Pura Producción'!$Q$17:$Q$531,$R106)))</f>
        <v/>
      </c>
      <c r="AC106" s="182" t="str">
        <f>+IF($Q106="","",IF(SUMIFS('Data Pura Producción'!AN$17:AN$531,'Data Pura Producción'!$R$17:$R$531,$Q106,'Data Pura Producción'!$Q$17:$Q$531,$R106)=0,"",SUMIFS('Data Pura Producción'!AN$17:AN$531,'Data Pura Producción'!$R$17:$R$531,$Q106,'Data Pura Producción'!$Q$17:$Q$531,$R106)))</f>
        <v/>
      </c>
      <c r="AD106" s="182" t="str">
        <f>+IF($Q106="","",IF(SUMIFS('Data Pura Producción'!AO$17:AO$531,'Data Pura Producción'!$R$17:$R$531,$Q106,'Data Pura Producción'!$Q$17:$Q$531,$R106)=0,"",SUMIFS('Data Pura Producción'!AO$17:AO$531,'Data Pura Producción'!$R$17:$R$531,$Q106,'Data Pura Producción'!$Q$17:$Q$531,$R106)))</f>
        <v/>
      </c>
      <c r="AE106" s="182" t="str">
        <f>+IF($Q106="","",IF(SUMIFS('Data Pura Producción'!AP$17:AP$531,'Data Pura Producción'!$R$17:$R$531,$Q106,'Data Pura Producción'!$Q$17:$Q$531,$R106)=0,"",SUMIFS('Data Pura Producción'!AP$17:AP$531,'Data Pura Producción'!$R$17:$R$531,$Q106,'Data Pura Producción'!$Q$17:$Q$531,$R106)))</f>
        <v/>
      </c>
      <c r="AF106" s="182" t="str">
        <f>+IF($Q106="","",IF(SUMIFS('Data Pura Producción'!AQ$17:AQ$531,'Data Pura Producción'!$R$17:$R$531,$Q106,'Data Pura Producción'!$Q$17:$Q$531,$R106)=0,"",SUMIFS('Data Pura Producción'!AQ$17:AQ$531,'Data Pura Producción'!$R$17:$R$531,$Q106,'Data Pura Producción'!$Q$17:$Q$531,$R106)))</f>
        <v/>
      </c>
      <c r="AG106" s="182" t="str">
        <f>+IF($Q106="","",IF(SUMIFS('Data Pura Producción'!AR$17:AR$531,'Data Pura Producción'!$R$17:$R$531,$Q106,'Data Pura Producción'!$Q$17:$Q$531,$R106)=0,"",SUMIFS('Data Pura Producción'!AR$17:AR$531,'Data Pura Producción'!$R$17:$R$531,$Q106,'Data Pura Producción'!$Q$17:$Q$531,$R106)))</f>
        <v/>
      </c>
      <c r="AH106" s="182" t="str">
        <f>+IF($Q106="","",IF(SUMIFS('Data Pura Producción'!AS$17:AS$531,'Data Pura Producción'!$R$17:$R$531,$Q106,'Data Pura Producción'!$Q$17:$Q$531,$R106)=0,"",SUMIFS('Data Pura Producción'!AS$17:AS$531,'Data Pura Producción'!$R$17:$R$531,$Q106,'Data Pura Producción'!$Q$17:$Q$531,$R106)))</f>
        <v/>
      </c>
      <c r="AI106" s="182" t="str">
        <f>+IF($Q106="","",IF(SUMIFS('Data Pura Producción'!AT$17:AT$531,'Data Pura Producción'!$R$17:$R$531,$Q106,'Data Pura Producción'!$Q$17:$Q$531,$R106)=0,"",SUMIFS('Data Pura Producción'!AT$17:AT$531,'Data Pura Producción'!$R$17:$R$531,$Q106,'Data Pura Producción'!$Q$17:$Q$531,$R106)))</f>
        <v/>
      </c>
      <c r="AJ106" s="182" t="str">
        <f>+IF($Q106="","",IF(SUMIFS('Data Pura Producción'!AU$17:AU$531,'Data Pura Producción'!$R$17:$R$531,$Q106,'Data Pura Producción'!$Q$17:$Q$531,$R106)=0,"",SUMIFS('Data Pura Producción'!AU$17:AU$531,'Data Pura Producción'!$R$17:$R$531,$Q106,'Data Pura Producción'!$Q$17:$Q$531,$R106)))</f>
        <v/>
      </c>
      <c r="AK106" s="182" t="str">
        <f>+IF($Q106="","",IF(SUMIFS('Data Pura Producción'!AV$17:AV$531,'Data Pura Producción'!$R$17:$R$531,$Q106,'Data Pura Producción'!$Q$17:$Q$531,$R106)=0,"",SUMIFS('Data Pura Producción'!AV$17:AV$531,'Data Pura Producción'!$R$17:$R$531,$Q106,'Data Pura Producción'!$Q$17:$Q$531,$R106)))</f>
        <v/>
      </c>
      <c r="AL106" s="182" t="str">
        <f>+IF($Q106="","",IF(SUMIFS('Data Pura Producción'!AW$17:AW$531,'Data Pura Producción'!$R$17:$R$531,$Q106,'Data Pura Producción'!$Q$17:$Q$531,$R106)=0,"",SUMIFS('Data Pura Producción'!AW$17:AW$531,'Data Pura Producción'!$R$17:$R$531,$Q106,'Data Pura Producción'!$Q$17:$Q$531,$R106)))</f>
        <v/>
      </c>
      <c r="AM106" s="337" t="str">
        <f>+IF($Q106="","",IF(SUMIFS('Data Pura Producción'!AX$17:AX$531,'Data Pura Producción'!$R$17:$R$531,$Q106,'Data Pura Producción'!$Q$17:$Q$531,$R106)=0,"",SUMIFS('Data Pura Producción'!AX$17:AX$531,'Data Pura Producción'!$R$17:$R$531,$Q106,'Data Pura Producción'!$Q$17:$Q$531,$R106)))</f>
        <v/>
      </c>
      <c r="AN106" s="187" t="str">
        <f t="shared" si="4"/>
        <v/>
      </c>
    </row>
    <row r="107" spans="2:40" s="7" customFormat="1" x14ac:dyDescent="0.35">
      <c r="B107" s="4" t="str">
        <f>+IF('Data Pura Costos'!B107="","",'Data Pura Costos'!B107)</f>
        <v>El Cóndor</v>
      </c>
      <c r="C107" s="4" t="str">
        <f>+IF('Data Pura Costos'!C107="","",'Data Pura Costos'!C107)</f>
        <v>Chimbarongo, VI Region.</v>
      </c>
      <c r="D107" s="5">
        <f>+IF('Data Pura Costos'!D107="","",'Data Pura Costos'!D107)</f>
        <v>60</v>
      </c>
      <c r="E107" s="65">
        <f>+IF('Data Pura Costos'!E107="","",IF('Data Pura Costos'!E107=0,MAX('Data Pura Costos'!$E$7:$E$3000)*1000,'Data Pura Costos'!E107))</f>
        <v>350000</v>
      </c>
      <c r="F107" s="5" t="str">
        <f>+IF('Data Pura Costos'!F107="","",'Data Pura Costos'!F107)</f>
        <v>Malloa</v>
      </c>
      <c r="G107" s="5" t="str">
        <f>+IF('Data Pura Costos'!G107="","",'Data Pura Costos'!G107)</f>
        <v xml:space="preserve">GUSTAVO ZÚÑIGA </v>
      </c>
      <c r="H107" s="52" t="str">
        <f>+IF('Data Pura Costos'!H107="","",'Data Pura Costos'!H107)</f>
        <v>Termo</v>
      </c>
      <c r="I107" s="71">
        <f>+IF('Data Pura Costos'!I107="","",'Data Pura Costos'!I107)</f>
        <v>5833.333333333333</v>
      </c>
      <c r="J107" s="52" t="str">
        <f>+IF('Data Pura Costos'!J107="","",'Data Pura Costos'!J107)</f>
        <v>24-25</v>
      </c>
      <c r="K107" s="82" t="str">
        <f t="shared" si="6"/>
        <v xml:space="preserve">El Cóndor-Malloa-GUSTAVO ZÚÑIGA </v>
      </c>
      <c r="P107" s="1" t="str">
        <f t="shared" si="5"/>
        <v/>
      </c>
      <c r="Q107" s="23"/>
      <c r="R107" s="333"/>
      <c r="S107" s="336" t="str">
        <f>+IF($Q107="","",IF(SUMIFS('Data Pura Producción'!AD$17:AD$531,'Data Pura Producción'!$R$17:$R$531,$Q107,'Data Pura Producción'!$Q$17:$Q$531,$R107)=0,"",SUMIFS('Data Pura Producción'!AD$17:AD$531,'Data Pura Producción'!$R$17:$R$531,$Q107,'Data Pura Producción'!$Q$17:$Q$531,$R107)))</f>
        <v/>
      </c>
      <c r="T107" s="182" t="str">
        <f>+IF($Q107="","",IF(SUMIFS('Data Pura Producción'!AE$17:AE$531,'Data Pura Producción'!$R$17:$R$531,$Q107,'Data Pura Producción'!$Q$17:$Q$531,$R107)=0,"",SUMIFS('Data Pura Producción'!AE$17:AE$531,'Data Pura Producción'!$R$17:$R$531,$Q107,'Data Pura Producción'!$Q$17:$Q$531,$R107)))</f>
        <v/>
      </c>
      <c r="U107" s="182" t="str">
        <f>+IF($Q107="","",IF(SUMIFS('Data Pura Producción'!AF$17:AF$531,'Data Pura Producción'!$R$17:$R$531,$Q107,'Data Pura Producción'!$Q$17:$Q$531,$R107)=0,"",SUMIFS('Data Pura Producción'!AF$17:AF$531,'Data Pura Producción'!$R$17:$R$531,$Q107,'Data Pura Producción'!$Q$17:$Q$531,$R107)))</f>
        <v/>
      </c>
      <c r="V107" s="182" t="str">
        <f>+IF($Q107="","",IF(SUMIFS('Data Pura Producción'!AG$17:AG$531,'Data Pura Producción'!$R$17:$R$531,$Q107,'Data Pura Producción'!$Q$17:$Q$531,$R107)=0,"",SUMIFS('Data Pura Producción'!AG$17:AG$531,'Data Pura Producción'!$R$17:$R$531,$Q107,'Data Pura Producción'!$Q$17:$Q$531,$R107)))</f>
        <v/>
      </c>
      <c r="W107" s="182" t="str">
        <f>+IF($Q107="","",IF(SUMIFS('Data Pura Producción'!AH$17:AH$531,'Data Pura Producción'!$R$17:$R$531,$Q107,'Data Pura Producción'!$Q$17:$Q$531,$R107)=0,"",SUMIFS('Data Pura Producción'!AH$17:AH$531,'Data Pura Producción'!$R$17:$R$531,$Q107,'Data Pura Producción'!$Q$17:$Q$531,$R107)))</f>
        <v/>
      </c>
      <c r="X107" s="182" t="str">
        <f>+IF($Q107="","",IF(SUMIFS('Data Pura Producción'!AI$17:AI$531,'Data Pura Producción'!$R$17:$R$531,$Q107,'Data Pura Producción'!$Q$17:$Q$531,$R107)=0,"",SUMIFS('Data Pura Producción'!AI$17:AI$531,'Data Pura Producción'!$R$17:$R$531,$Q107,'Data Pura Producción'!$Q$17:$Q$531,$R107)))</f>
        <v/>
      </c>
      <c r="Y107" s="182" t="str">
        <f>+IF($Q107="","",IF(SUMIFS('Data Pura Producción'!AJ$17:AJ$531,'Data Pura Producción'!$R$17:$R$531,$Q107,'Data Pura Producción'!$Q$17:$Q$531,$R107)=0,"",SUMIFS('Data Pura Producción'!AJ$17:AJ$531,'Data Pura Producción'!$R$17:$R$531,$Q107,'Data Pura Producción'!$Q$17:$Q$531,$R107)))</f>
        <v/>
      </c>
      <c r="Z107" s="182" t="str">
        <f>+IF($Q107="","",IF(SUMIFS('Data Pura Producción'!AK$17:AK$531,'Data Pura Producción'!$R$17:$R$531,$Q107,'Data Pura Producción'!$Q$17:$Q$531,$R107)=0,"",SUMIFS('Data Pura Producción'!AK$17:AK$531,'Data Pura Producción'!$R$17:$R$531,$Q107,'Data Pura Producción'!$Q$17:$Q$531,$R107)))</f>
        <v/>
      </c>
      <c r="AA107" s="182" t="str">
        <f>+IF($Q107="","",IF(SUMIFS('Data Pura Producción'!AL$17:AL$531,'Data Pura Producción'!$R$17:$R$531,$Q107,'Data Pura Producción'!$Q$17:$Q$531,$R107)=0,"",SUMIFS('Data Pura Producción'!AL$17:AL$531,'Data Pura Producción'!$R$17:$R$531,$Q107,'Data Pura Producción'!$Q$17:$Q$531,$R107)))</f>
        <v/>
      </c>
      <c r="AB107" s="182" t="str">
        <f>+IF($Q107="","",IF(SUMIFS('Data Pura Producción'!AM$17:AM$531,'Data Pura Producción'!$R$17:$R$531,$Q107,'Data Pura Producción'!$Q$17:$Q$531,$R107)=0,"",SUMIFS('Data Pura Producción'!AM$17:AM$531,'Data Pura Producción'!$R$17:$R$531,$Q107,'Data Pura Producción'!$Q$17:$Q$531,$R107)))</f>
        <v/>
      </c>
      <c r="AC107" s="182" t="str">
        <f>+IF($Q107="","",IF(SUMIFS('Data Pura Producción'!AN$17:AN$531,'Data Pura Producción'!$R$17:$R$531,$Q107,'Data Pura Producción'!$Q$17:$Q$531,$R107)=0,"",SUMIFS('Data Pura Producción'!AN$17:AN$531,'Data Pura Producción'!$R$17:$R$531,$Q107,'Data Pura Producción'!$Q$17:$Q$531,$R107)))</f>
        <v/>
      </c>
      <c r="AD107" s="182" t="str">
        <f>+IF($Q107="","",IF(SUMIFS('Data Pura Producción'!AO$17:AO$531,'Data Pura Producción'!$R$17:$R$531,$Q107,'Data Pura Producción'!$Q$17:$Q$531,$R107)=0,"",SUMIFS('Data Pura Producción'!AO$17:AO$531,'Data Pura Producción'!$R$17:$R$531,$Q107,'Data Pura Producción'!$Q$17:$Q$531,$R107)))</f>
        <v/>
      </c>
      <c r="AE107" s="182" t="str">
        <f>+IF($Q107="","",IF(SUMIFS('Data Pura Producción'!AP$17:AP$531,'Data Pura Producción'!$R$17:$R$531,$Q107,'Data Pura Producción'!$Q$17:$Q$531,$R107)=0,"",SUMIFS('Data Pura Producción'!AP$17:AP$531,'Data Pura Producción'!$R$17:$R$531,$Q107,'Data Pura Producción'!$Q$17:$Q$531,$R107)))</f>
        <v/>
      </c>
      <c r="AF107" s="182" t="str">
        <f>+IF($Q107="","",IF(SUMIFS('Data Pura Producción'!AQ$17:AQ$531,'Data Pura Producción'!$R$17:$R$531,$Q107,'Data Pura Producción'!$Q$17:$Q$531,$R107)=0,"",SUMIFS('Data Pura Producción'!AQ$17:AQ$531,'Data Pura Producción'!$R$17:$R$531,$Q107,'Data Pura Producción'!$Q$17:$Q$531,$R107)))</f>
        <v/>
      </c>
      <c r="AG107" s="182" t="str">
        <f>+IF($Q107="","",IF(SUMIFS('Data Pura Producción'!AR$17:AR$531,'Data Pura Producción'!$R$17:$R$531,$Q107,'Data Pura Producción'!$Q$17:$Q$531,$R107)=0,"",SUMIFS('Data Pura Producción'!AR$17:AR$531,'Data Pura Producción'!$R$17:$R$531,$Q107,'Data Pura Producción'!$Q$17:$Q$531,$R107)))</f>
        <v/>
      </c>
      <c r="AH107" s="182" t="str">
        <f>+IF($Q107="","",IF(SUMIFS('Data Pura Producción'!AS$17:AS$531,'Data Pura Producción'!$R$17:$R$531,$Q107,'Data Pura Producción'!$Q$17:$Q$531,$R107)=0,"",SUMIFS('Data Pura Producción'!AS$17:AS$531,'Data Pura Producción'!$R$17:$R$531,$Q107,'Data Pura Producción'!$Q$17:$Q$531,$R107)))</f>
        <v/>
      </c>
      <c r="AI107" s="182" t="str">
        <f>+IF($Q107="","",IF(SUMIFS('Data Pura Producción'!AT$17:AT$531,'Data Pura Producción'!$R$17:$R$531,$Q107,'Data Pura Producción'!$Q$17:$Q$531,$R107)=0,"",SUMIFS('Data Pura Producción'!AT$17:AT$531,'Data Pura Producción'!$R$17:$R$531,$Q107,'Data Pura Producción'!$Q$17:$Q$531,$R107)))</f>
        <v/>
      </c>
      <c r="AJ107" s="182" t="str">
        <f>+IF($Q107="","",IF(SUMIFS('Data Pura Producción'!AU$17:AU$531,'Data Pura Producción'!$R$17:$R$531,$Q107,'Data Pura Producción'!$Q$17:$Q$531,$R107)=0,"",SUMIFS('Data Pura Producción'!AU$17:AU$531,'Data Pura Producción'!$R$17:$R$531,$Q107,'Data Pura Producción'!$Q$17:$Q$531,$R107)))</f>
        <v/>
      </c>
      <c r="AK107" s="182" t="str">
        <f>+IF($Q107="","",IF(SUMIFS('Data Pura Producción'!AV$17:AV$531,'Data Pura Producción'!$R$17:$R$531,$Q107,'Data Pura Producción'!$Q$17:$Q$531,$R107)=0,"",SUMIFS('Data Pura Producción'!AV$17:AV$531,'Data Pura Producción'!$R$17:$R$531,$Q107,'Data Pura Producción'!$Q$17:$Q$531,$R107)))</f>
        <v/>
      </c>
      <c r="AL107" s="182" t="str">
        <f>+IF($Q107="","",IF(SUMIFS('Data Pura Producción'!AW$17:AW$531,'Data Pura Producción'!$R$17:$R$531,$Q107,'Data Pura Producción'!$Q$17:$Q$531,$R107)=0,"",SUMIFS('Data Pura Producción'!AW$17:AW$531,'Data Pura Producción'!$R$17:$R$531,$Q107,'Data Pura Producción'!$Q$17:$Q$531,$R107)))</f>
        <v/>
      </c>
      <c r="AM107" s="337" t="str">
        <f>+IF($Q107="","",IF(SUMIFS('Data Pura Producción'!AX$17:AX$531,'Data Pura Producción'!$R$17:$R$531,$Q107,'Data Pura Producción'!$Q$17:$Q$531,$R107)=0,"",SUMIFS('Data Pura Producción'!AX$17:AX$531,'Data Pura Producción'!$R$17:$R$531,$Q107,'Data Pura Producción'!$Q$17:$Q$531,$R107)))</f>
        <v/>
      </c>
      <c r="AN107" s="187" t="str">
        <f t="shared" si="4"/>
        <v/>
      </c>
    </row>
    <row r="108" spans="2:40" s="7" customFormat="1" x14ac:dyDescent="0.35">
      <c r="B108" s="4" t="str">
        <f>+IF('Data Pura Costos'!B108="","",'Data Pura Costos'!B108)</f>
        <v>El Descanso</v>
      </c>
      <c r="C108" s="4" t="str">
        <f>+IF('Data Pura Costos'!C108="","",'Data Pura Costos'!C108)</f>
        <v>Sagrada Familia, VII región</v>
      </c>
      <c r="D108" s="5">
        <f>+IF('Data Pura Costos'!D108="","",'Data Pura Costos'!D108)</f>
        <v>100</v>
      </c>
      <c r="E108" s="65">
        <f>+IF('Data Pura Costos'!E108="","",IF('Data Pura Costos'!E108=0,MAX('Data Pura Costos'!$E$7:$E$3000)*1000,'Data Pura Costos'!E108))</f>
        <v>400000</v>
      </c>
      <c r="F108" s="5" t="str">
        <f>+IF('Data Pura Costos'!F108="","",'Data Pura Costos'!F108)</f>
        <v>Malloa</v>
      </c>
      <c r="G108" s="5" t="str">
        <f>+IF('Data Pura Costos'!G108="","",'Data Pura Costos'!G108)</f>
        <v xml:space="preserve">GUSTAVO ZÚÑIGA </v>
      </c>
      <c r="H108" s="52" t="str">
        <f>+IF('Data Pura Costos'!H108="","",'Data Pura Costos'!H108)</f>
        <v>Termo</v>
      </c>
      <c r="I108" s="71">
        <f>+IF('Data Pura Costos'!I108="","",'Data Pura Costos'!I108)</f>
        <v>4000</v>
      </c>
      <c r="J108" s="52" t="str">
        <f>+IF('Data Pura Costos'!J108="","",'Data Pura Costos'!J108)</f>
        <v>24-25</v>
      </c>
      <c r="K108" s="82" t="str">
        <f t="shared" si="6"/>
        <v xml:space="preserve">El Descanso-Malloa-GUSTAVO ZÚÑIGA </v>
      </c>
      <c r="P108" s="1" t="str">
        <f t="shared" si="5"/>
        <v/>
      </c>
      <c r="Q108" s="23"/>
      <c r="R108" s="333"/>
      <c r="S108" s="336" t="str">
        <f>+IF($Q108="","",IF(SUMIFS('Data Pura Producción'!AD$17:AD$531,'Data Pura Producción'!$R$17:$R$531,$Q108,'Data Pura Producción'!$Q$17:$Q$531,$R108)=0,"",SUMIFS('Data Pura Producción'!AD$17:AD$531,'Data Pura Producción'!$R$17:$R$531,$Q108,'Data Pura Producción'!$Q$17:$Q$531,$R108)))</f>
        <v/>
      </c>
      <c r="T108" s="182" t="str">
        <f>+IF($Q108="","",IF(SUMIFS('Data Pura Producción'!AE$17:AE$531,'Data Pura Producción'!$R$17:$R$531,$Q108,'Data Pura Producción'!$Q$17:$Q$531,$R108)=0,"",SUMIFS('Data Pura Producción'!AE$17:AE$531,'Data Pura Producción'!$R$17:$R$531,$Q108,'Data Pura Producción'!$Q$17:$Q$531,$R108)))</f>
        <v/>
      </c>
      <c r="U108" s="182" t="str">
        <f>+IF($Q108="","",IF(SUMIFS('Data Pura Producción'!AF$17:AF$531,'Data Pura Producción'!$R$17:$R$531,$Q108,'Data Pura Producción'!$Q$17:$Q$531,$R108)=0,"",SUMIFS('Data Pura Producción'!AF$17:AF$531,'Data Pura Producción'!$R$17:$R$531,$Q108,'Data Pura Producción'!$Q$17:$Q$531,$R108)))</f>
        <v/>
      </c>
      <c r="V108" s="182" t="str">
        <f>+IF($Q108="","",IF(SUMIFS('Data Pura Producción'!AG$17:AG$531,'Data Pura Producción'!$R$17:$R$531,$Q108,'Data Pura Producción'!$Q$17:$Q$531,$R108)=0,"",SUMIFS('Data Pura Producción'!AG$17:AG$531,'Data Pura Producción'!$R$17:$R$531,$Q108,'Data Pura Producción'!$Q$17:$Q$531,$R108)))</f>
        <v/>
      </c>
      <c r="W108" s="182" t="str">
        <f>+IF($Q108="","",IF(SUMIFS('Data Pura Producción'!AH$17:AH$531,'Data Pura Producción'!$R$17:$R$531,$Q108,'Data Pura Producción'!$Q$17:$Q$531,$R108)=0,"",SUMIFS('Data Pura Producción'!AH$17:AH$531,'Data Pura Producción'!$R$17:$R$531,$Q108,'Data Pura Producción'!$Q$17:$Q$531,$R108)))</f>
        <v/>
      </c>
      <c r="X108" s="182" t="str">
        <f>+IF($Q108="","",IF(SUMIFS('Data Pura Producción'!AI$17:AI$531,'Data Pura Producción'!$R$17:$R$531,$Q108,'Data Pura Producción'!$Q$17:$Q$531,$R108)=0,"",SUMIFS('Data Pura Producción'!AI$17:AI$531,'Data Pura Producción'!$R$17:$R$531,$Q108,'Data Pura Producción'!$Q$17:$Q$531,$R108)))</f>
        <v/>
      </c>
      <c r="Y108" s="182" t="str">
        <f>+IF($Q108="","",IF(SUMIFS('Data Pura Producción'!AJ$17:AJ$531,'Data Pura Producción'!$R$17:$R$531,$Q108,'Data Pura Producción'!$Q$17:$Q$531,$R108)=0,"",SUMIFS('Data Pura Producción'!AJ$17:AJ$531,'Data Pura Producción'!$R$17:$R$531,$Q108,'Data Pura Producción'!$Q$17:$Q$531,$R108)))</f>
        <v/>
      </c>
      <c r="Z108" s="182" t="str">
        <f>+IF($Q108="","",IF(SUMIFS('Data Pura Producción'!AK$17:AK$531,'Data Pura Producción'!$R$17:$R$531,$Q108,'Data Pura Producción'!$Q$17:$Q$531,$R108)=0,"",SUMIFS('Data Pura Producción'!AK$17:AK$531,'Data Pura Producción'!$R$17:$R$531,$Q108,'Data Pura Producción'!$Q$17:$Q$531,$R108)))</f>
        <v/>
      </c>
      <c r="AA108" s="182" t="str">
        <f>+IF($Q108="","",IF(SUMIFS('Data Pura Producción'!AL$17:AL$531,'Data Pura Producción'!$R$17:$R$531,$Q108,'Data Pura Producción'!$Q$17:$Q$531,$R108)=0,"",SUMIFS('Data Pura Producción'!AL$17:AL$531,'Data Pura Producción'!$R$17:$R$531,$Q108,'Data Pura Producción'!$Q$17:$Q$531,$R108)))</f>
        <v/>
      </c>
      <c r="AB108" s="182" t="str">
        <f>+IF($Q108="","",IF(SUMIFS('Data Pura Producción'!AM$17:AM$531,'Data Pura Producción'!$R$17:$R$531,$Q108,'Data Pura Producción'!$Q$17:$Q$531,$R108)=0,"",SUMIFS('Data Pura Producción'!AM$17:AM$531,'Data Pura Producción'!$R$17:$R$531,$Q108,'Data Pura Producción'!$Q$17:$Q$531,$R108)))</f>
        <v/>
      </c>
      <c r="AC108" s="182" t="str">
        <f>+IF($Q108="","",IF(SUMIFS('Data Pura Producción'!AN$17:AN$531,'Data Pura Producción'!$R$17:$R$531,$Q108,'Data Pura Producción'!$Q$17:$Q$531,$R108)=0,"",SUMIFS('Data Pura Producción'!AN$17:AN$531,'Data Pura Producción'!$R$17:$R$531,$Q108,'Data Pura Producción'!$Q$17:$Q$531,$R108)))</f>
        <v/>
      </c>
      <c r="AD108" s="182" t="str">
        <f>+IF($Q108="","",IF(SUMIFS('Data Pura Producción'!AO$17:AO$531,'Data Pura Producción'!$R$17:$R$531,$Q108,'Data Pura Producción'!$Q$17:$Q$531,$R108)=0,"",SUMIFS('Data Pura Producción'!AO$17:AO$531,'Data Pura Producción'!$R$17:$R$531,$Q108,'Data Pura Producción'!$Q$17:$Q$531,$R108)))</f>
        <v/>
      </c>
      <c r="AE108" s="182" t="str">
        <f>+IF($Q108="","",IF(SUMIFS('Data Pura Producción'!AP$17:AP$531,'Data Pura Producción'!$R$17:$R$531,$Q108,'Data Pura Producción'!$Q$17:$Q$531,$R108)=0,"",SUMIFS('Data Pura Producción'!AP$17:AP$531,'Data Pura Producción'!$R$17:$R$531,$Q108,'Data Pura Producción'!$Q$17:$Q$531,$R108)))</f>
        <v/>
      </c>
      <c r="AF108" s="182" t="str">
        <f>+IF($Q108="","",IF(SUMIFS('Data Pura Producción'!AQ$17:AQ$531,'Data Pura Producción'!$R$17:$R$531,$Q108,'Data Pura Producción'!$Q$17:$Q$531,$R108)=0,"",SUMIFS('Data Pura Producción'!AQ$17:AQ$531,'Data Pura Producción'!$R$17:$R$531,$Q108,'Data Pura Producción'!$Q$17:$Q$531,$R108)))</f>
        <v/>
      </c>
      <c r="AG108" s="182" t="str">
        <f>+IF($Q108="","",IF(SUMIFS('Data Pura Producción'!AR$17:AR$531,'Data Pura Producción'!$R$17:$R$531,$Q108,'Data Pura Producción'!$Q$17:$Q$531,$R108)=0,"",SUMIFS('Data Pura Producción'!AR$17:AR$531,'Data Pura Producción'!$R$17:$R$531,$Q108,'Data Pura Producción'!$Q$17:$Q$531,$R108)))</f>
        <v/>
      </c>
      <c r="AH108" s="182" t="str">
        <f>+IF($Q108="","",IF(SUMIFS('Data Pura Producción'!AS$17:AS$531,'Data Pura Producción'!$R$17:$R$531,$Q108,'Data Pura Producción'!$Q$17:$Q$531,$R108)=0,"",SUMIFS('Data Pura Producción'!AS$17:AS$531,'Data Pura Producción'!$R$17:$R$531,$Q108,'Data Pura Producción'!$Q$17:$Q$531,$R108)))</f>
        <v/>
      </c>
      <c r="AI108" s="182" t="str">
        <f>+IF($Q108="","",IF(SUMIFS('Data Pura Producción'!AT$17:AT$531,'Data Pura Producción'!$R$17:$R$531,$Q108,'Data Pura Producción'!$Q$17:$Q$531,$R108)=0,"",SUMIFS('Data Pura Producción'!AT$17:AT$531,'Data Pura Producción'!$R$17:$R$531,$Q108,'Data Pura Producción'!$Q$17:$Q$531,$R108)))</f>
        <v/>
      </c>
      <c r="AJ108" s="182" t="str">
        <f>+IF($Q108="","",IF(SUMIFS('Data Pura Producción'!AU$17:AU$531,'Data Pura Producción'!$R$17:$R$531,$Q108,'Data Pura Producción'!$Q$17:$Q$531,$R108)=0,"",SUMIFS('Data Pura Producción'!AU$17:AU$531,'Data Pura Producción'!$R$17:$R$531,$Q108,'Data Pura Producción'!$Q$17:$Q$531,$R108)))</f>
        <v/>
      </c>
      <c r="AK108" s="182" t="str">
        <f>+IF($Q108="","",IF(SUMIFS('Data Pura Producción'!AV$17:AV$531,'Data Pura Producción'!$R$17:$R$531,$Q108,'Data Pura Producción'!$Q$17:$Q$531,$R108)=0,"",SUMIFS('Data Pura Producción'!AV$17:AV$531,'Data Pura Producción'!$R$17:$R$531,$Q108,'Data Pura Producción'!$Q$17:$Q$531,$R108)))</f>
        <v/>
      </c>
      <c r="AL108" s="182" t="str">
        <f>+IF($Q108="","",IF(SUMIFS('Data Pura Producción'!AW$17:AW$531,'Data Pura Producción'!$R$17:$R$531,$Q108,'Data Pura Producción'!$Q$17:$Q$531,$R108)=0,"",SUMIFS('Data Pura Producción'!AW$17:AW$531,'Data Pura Producción'!$R$17:$R$531,$Q108,'Data Pura Producción'!$Q$17:$Q$531,$R108)))</f>
        <v/>
      </c>
      <c r="AM108" s="337" t="str">
        <f>+IF($Q108="","",IF(SUMIFS('Data Pura Producción'!AX$17:AX$531,'Data Pura Producción'!$R$17:$R$531,$Q108,'Data Pura Producción'!$Q$17:$Q$531,$R108)=0,"",SUMIFS('Data Pura Producción'!AX$17:AX$531,'Data Pura Producción'!$R$17:$R$531,$Q108,'Data Pura Producción'!$Q$17:$Q$531,$R108)))</f>
        <v/>
      </c>
      <c r="AN108" s="187" t="str">
        <f t="shared" si="4"/>
        <v/>
      </c>
    </row>
    <row r="109" spans="2:40" s="7" customFormat="1" x14ac:dyDescent="0.35">
      <c r="B109" s="4" t="str">
        <f>+IF('Data Pura Costos'!B109="","",'Data Pura Costos'!B109)</f>
        <v>El Espino</v>
      </c>
      <c r="C109" s="4" t="str">
        <f>+IF('Data Pura Costos'!C109="","",'Data Pura Costos'!C109)</f>
        <v>Colbún, VII región</v>
      </c>
      <c r="D109" s="5">
        <f>+IF('Data Pura Costos'!D109="","",'Data Pura Costos'!D109)</f>
        <v>190</v>
      </c>
      <c r="E109" s="65">
        <f>+IF('Data Pura Costos'!E109="","",IF('Data Pura Costos'!E109=0,MAX('Data Pura Costos'!$E$7:$E$3000)*1000,'Data Pura Costos'!E109))</f>
        <v>530000</v>
      </c>
      <c r="F109" s="5" t="str">
        <f>+IF('Data Pura Costos'!F109="","",'Data Pura Costos'!F109)</f>
        <v>Malloa</v>
      </c>
      <c r="G109" s="5" t="str">
        <f>+IF('Data Pura Costos'!G109="","",'Data Pura Costos'!G109)</f>
        <v xml:space="preserve">GUSTAVO ZÚÑIGA </v>
      </c>
      <c r="H109" s="52" t="str">
        <f>+IF('Data Pura Costos'!H109="","",'Data Pura Costos'!H109)</f>
        <v>Termo</v>
      </c>
      <c r="I109" s="71">
        <f>+IF('Data Pura Costos'!I109="","",'Data Pura Costos'!I109)</f>
        <v>2789.4736842105262</v>
      </c>
      <c r="J109" s="52" t="str">
        <f>+IF('Data Pura Costos'!J109="","",'Data Pura Costos'!J109)</f>
        <v>24-25</v>
      </c>
      <c r="K109" s="82" t="str">
        <f t="shared" si="6"/>
        <v xml:space="preserve">El Espino-Malloa-GUSTAVO ZÚÑIGA </v>
      </c>
      <c r="P109" s="1" t="str">
        <f t="shared" si="5"/>
        <v/>
      </c>
      <c r="Q109" s="23"/>
      <c r="R109" s="333"/>
      <c r="S109" s="336" t="str">
        <f>+IF($Q109="","",IF(SUMIFS('Data Pura Producción'!AD$17:AD$531,'Data Pura Producción'!$R$17:$R$531,$Q109,'Data Pura Producción'!$Q$17:$Q$531,$R109)=0,"",SUMIFS('Data Pura Producción'!AD$17:AD$531,'Data Pura Producción'!$R$17:$R$531,$Q109,'Data Pura Producción'!$Q$17:$Q$531,$R109)))</f>
        <v/>
      </c>
      <c r="T109" s="182" t="str">
        <f>+IF($Q109="","",IF(SUMIFS('Data Pura Producción'!AE$17:AE$531,'Data Pura Producción'!$R$17:$R$531,$Q109,'Data Pura Producción'!$Q$17:$Q$531,$R109)=0,"",SUMIFS('Data Pura Producción'!AE$17:AE$531,'Data Pura Producción'!$R$17:$R$531,$Q109,'Data Pura Producción'!$Q$17:$Q$531,$R109)))</f>
        <v/>
      </c>
      <c r="U109" s="182" t="str">
        <f>+IF($Q109="","",IF(SUMIFS('Data Pura Producción'!AF$17:AF$531,'Data Pura Producción'!$R$17:$R$531,$Q109,'Data Pura Producción'!$Q$17:$Q$531,$R109)=0,"",SUMIFS('Data Pura Producción'!AF$17:AF$531,'Data Pura Producción'!$R$17:$R$531,$Q109,'Data Pura Producción'!$Q$17:$Q$531,$R109)))</f>
        <v/>
      </c>
      <c r="V109" s="182" t="str">
        <f>+IF($Q109="","",IF(SUMIFS('Data Pura Producción'!AG$17:AG$531,'Data Pura Producción'!$R$17:$R$531,$Q109,'Data Pura Producción'!$Q$17:$Q$531,$R109)=0,"",SUMIFS('Data Pura Producción'!AG$17:AG$531,'Data Pura Producción'!$R$17:$R$531,$Q109,'Data Pura Producción'!$Q$17:$Q$531,$R109)))</f>
        <v/>
      </c>
      <c r="W109" s="182" t="str">
        <f>+IF($Q109="","",IF(SUMIFS('Data Pura Producción'!AH$17:AH$531,'Data Pura Producción'!$R$17:$R$531,$Q109,'Data Pura Producción'!$Q$17:$Q$531,$R109)=0,"",SUMIFS('Data Pura Producción'!AH$17:AH$531,'Data Pura Producción'!$R$17:$R$531,$Q109,'Data Pura Producción'!$Q$17:$Q$531,$R109)))</f>
        <v/>
      </c>
      <c r="X109" s="182" t="str">
        <f>+IF($Q109="","",IF(SUMIFS('Data Pura Producción'!AI$17:AI$531,'Data Pura Producción'!$R$17:$R$531,$Q109,'Data Pura Producción'!$Q$17:$Q$531,$R109)=0,"",SUMIFS('Data Pura Producción'!AI$17:AI$531,'Data Pura Producción'!$R$17:$R$531,$Q109,'Data Pura Producción'!$Q$17:$Q$531,$R109)))</f>
        <v/>
      </c>
      <c r="Y109" s="182" t="str">
        <f>+IF($Q109="","",IF(SUMIFS('Data Pura Producción'!AJ$17:AJ$531,'Data Pura Producción'!$R$17:$R$531,$Q109,'Data Pura Producción'!$Q$17:$Q$531,$R109)=0,"",SUMIFS('Data Pura Producción'!AJ$17:AJ$531,'Data Pura Producción'!$R$17:$R$531,$Q109,'Data Pura Producción'!$Q$17:$Q$531,$R109)))</f>
        <v/>
      </c>
      <c r="Z109" s="182" t="str">
        <f>+IF($Q109="","",IF(SUMIFS('Data Pura Producción'!AK$17:AK$531,'Data Pura Producción'!$R$17:$R$531,$Q109,'Data Pura Producción'!$Q$17:$Q$531,$R109)=0,"",SUMIFS('Data Pura Producción'!AK$17:AK$531,'Data Pura Producción'!$R$17:$R$531,$Q109,'Data Pura Producción'!$Q$17:$Q$531,$R109)))</f>
        <v/>
      </c>
      <c r="AA109" s="182" t="str">
        <f>+IF($Q109="","",IF(SUMIFS('Data Pura Producción'!AL$17:AL$531,'Data Pura Producción'!$R$17:$R$531,$Q109,'Data Pura Producción'!$Q$17:$Q$531,$R109)=0,"",SUMIFS('Data Pura Producción'!AL$17:AL$531,'Data Pura Producción'!$R$17:$R$531,$Q109,'Data Pura Producción'!$Q$17:$Q$531,$R109)))</f>
        <v/>
      </c>
      <c r="AB109" s="182" t="str">
        <f>+IF($Q109="","",IF(SUMIFS('Data Pura Producción'!AM$17:AM$531,'Data Pura Producción'!$R$17:$R$531,$Q109,'Data Pura Producción'!$Q$17:$Q$531,$R109)=0,"",SUMIFS('Data Pura Producción'!AM$17:AM$531,'Data Pura Producción'!$R$17:$R$531,$Q109,'Data Pura Producción'!$Q$17:$Q$531,$R109)))</f>
        <v/>
      </c>
      <c r="AC109" s="182" t="str">
        <f>+IF($Q109="","",IF(SUMIFS('Data Pura Producción'!AN$17:AN$531,'Data Pura Producción'!$R$17:$R$531,$Q109,'Data Pura Producción'!$Q$17:$Q$531,$R109)=0,"",SUMIFS('Data Pura Producción'!AN$17:AN$531,'Data Pura Producción'!$R$17:$R$531,$Q109,'Data Pura Producción'!$Q$17:$Q$531,$R109)))</f>
        <v/>
      </c>
      <c r="AD109" s="182" t="str">
        <f>+IF($Q109="","",IF(SUMIFS('Data Pura Producción'!AO$17:AO$531,'Data Pura Producción'!$R$17:$R$531,$Q109,'Data Pura Producción'!$Q$17:$Q$531,$R109)=0,"",SUMIFS('Data Pura Producción'!AO$17:AO$531,'Data Pura Producción'!$R$17:$R$531,$Q109,'Data Pura Producción'!$Q$17:$Q$531,$R109)))</f>
        <v/>
      </c>
      <c r="AE109" s="182" t="str">
        <f>+IF($Q109="","",IF(SUMIFS('Data Pura Producción'!AP$17:AP$531,'Data Pura Producción'!$R$17:$R$531,$Q109,'Data Pura Producción'!$Q$17:$Q$531,$R109)=0,"",SUMIFS('Data Pura Producción'!AP$17:AP$531,'Data Pura Producción'!$R$17:$R$531,$Q109,'Data Pura Producción'!$Q$17:$Q$531,$R109)))</f>
        <v/>
      </c>
      <c r="AF109" s="182" t="str">
        <f>+IF($Q109="","",IF(SUMIFS('Data Pura Producción'!AQ$17:AQ$531,'Data Pura Producción'!$R$17:$R$531,$Q109,'Data Pura Producción'!$Q$17:$Q$531,$R109)=0,"",SUMIFS('Data Pura Producción'!AQ$17:AQ$531,'Data Pura Producción'!$R$17:$R$531,$Q109,'Data Pura Producción'!$Q$17:$Q$531,$R109)))</f>
        <v/>
      </c>
      <c r="AG109" s="182" t="str">
        <f>+IF($Q109="","",IF(SUMIFS('Data Pura Producción'!AR$17:AR$531,'Data Pura Producción'!$R$17:$R$531,$Q109,'Data Pura Producción'!$Q$17:$Q$531,$R109)=0,"",SUMIFS('Data Pura Producción'!AR$17:AR$531,'Data Pura Producción'!$R$17:$R$531,$Q109,'Data Pura Producción'!$Q$17:$Q$531,$R109)))</f>
        <v/>
      </c>
      <c r="AH109" s="182" t="str">
        <f>+IF($Q109="","",IF(SUMIFS('Data Pura Producción'!AS$17:AS$531,'Data Pura Producción'!$R$17:$R$531,$Q109,'Data Pura Producción'!$Q$17:$Q$531,$R109)=0,"",SUMIFS('Data Pura Producción'!AS$17:AS$531,'Data Pura Producción'!$R$17:$R$531,$Q109,'Data Pura Producción'!$Q$17:$Q$531,$R109)))</f>
        <v/>
      </c>
      <c r="AI109" s="182" t="str">
        <f>+IF($Q109="","",IF(SUMIFS('Data Pura Producción'!AT$17:AT$531,'Data Pura Producción'!$R$17:$R$531,$Q109,'Data Pura Producción'!$Q$17:$Q$531,$R109)=0,"",SUMIFS('Data Pura Producción'!AT$17:AT$531,'Data Pura Producción'!$R$17:$R$531,$Q109,'Data Pura Producción'!$Q$17:$Q$531,$R109)))</f>
        <v/>
      </c>
      <c r="AJ109" s="182" t="str">
        <f>+IF($Q109="","",IF(SUMIFS('Data Pura Producción'!AU$17:AU$531,'Data Pura Producción'!$R$17:$R$531,$Q109,'Data Pura Producción'!$Q$17:$Q$531,$R109)=0,"",SUMIFS('Data Pura Producción'!AU$17:AU$531,'Data Pura Producción'!$R$17:$R$531,$Q109,'Data Pura Producción'!$Q$17:$Q$531,$R109)))</f>
        <v/>
      </c>
      <c r="AK109" s="182" t="str">
        <f>+IF($Q109="","",IF(SUMIFS('Data Pura Producción'!AV$17:AV$531,'Data Pura Producción'!$R$17:$R$531,$Q109,'Data Pura Producción'!$Q$17:$Q$531,$R109)=0,"",SUMIFS('Data Pura Producción'!AV$17:AV$531,'Data Pura Producción'!$R$17:$R$531,$Q109,'Data Pura Producción'!$Q$17:$Q$531,$R109)))</f>
        <v/>
      </c>
      <c r="AL109" s="182" t="str">
        <f>+IF($Q109="","",IF(SUMIFS('Data Pura Producción'!AW$17:AW$531,'Data Pura Producción'!$R$17:$R$531,$Q109,'Data Pura Producción'!$Q$17:$Q$531,$R109)=0,"",SUMIFS('Data Pura Producción'!AW$17:AW$531,'Data Pura Producción'!$R$17:$R$531,$Q109,'Data Pura Producción'!$Q$17:$Q$531,$R109)))</f>
        <v/>
      </c>
      <c r="AM109" s="337" t="str">
        <f>+IF($Q109="","",IF(SUMIFS('Data Pura Producción'!AX$17:AX$531,'Data Pura Producción'!$R$17:$R$531,$Q109,'Data Pura Producción'!$Q$17:$Q$531,$R109)=0,"",SUMIFS('Data Pura Producción'!AX$17:AX$531,'Data Pura Producción'!$R$17:$R$531,$Q109,'Data Pura Producción'!$Q$17:$Q$531,$R109)))</f>
        <v/>
      </c>
      <c r="AN109" s="187" t="str">
        <f t="shared" si="4"/>
        <v/>
      </c>
    </row>
    <row r="110" spans="2:40" s="7" customFormat="1" x14ac:dyDescent="0.35">
      <c r="B110" s="4" t="str">
        <f>+IF('Data Pura Costos'!B110="","",'Data Pura Costos'!B110)</f>
        <v>El Huaico</v>
      </c>
      <c r="C110" s="4" t="str">
        <f>+IF('Data Pura Costos'!C110="","",'Data Pura Costos'!C110)</f>
        <v>Palmila Ohiggins</v>
      </c>
      <c r="D110" s="5">
        <f>+IF('Data Pura Costos'!D110="","",'Data Pura Costos'!D110)</f>
        <v>75</v>
      </c>
      <c r="E110" s="65">
        <f>+IF('Data Pura Costos'!E110="","",IF('Data Pura Costos'!E110=0,MAX('Data Pura Costos'!$E$7:$E$3000)*1000,'Data Pura Costos'!E110))</f>
        <v>360000</v>
      </c>
      <c r="F110" s="5" t="str">
        <f>+IF('Data Pura Costos'!F110="","",'Data Pura Costos'!F110)</f>
        <v>Malloa</v>
      </c>
      <c r="G110" s="5" t="str">
        <f>+IF('Data Pura Costos'!G110="","",'Data Pura Costos'!G110)</f>
        <v xml:space="preserve">GUSTAVO ZÚÑIGA </v>
      </c>
      <c r="H110" s="52" t="str">
        <f>+IF('Data Pura Costos'!H110="","",'Data Pura Costos'!H110)</f>
        <v>Termo</v>
      </c>
      <c r="I110" s="71">
        <f>+IF('Data Pura Costos'!I110="","",'Data Pura Costos'!I110)</f>
        <v>4800</v>
      </c>
      <c r="J110" s="52" t="str">
        <f>+IF('Data Pura Costos'!J110="","",'Data Pura Costos'!J110)</f>
        <v>24-25</v>
      </c>
      <c r="K110" s="82" t="str">
        <f t="shared" si="6"/>
        <v xml:space="preserve">El Huaico-Malloa-GUSTAVO ZÚÑIGA </v>
      </c>
      <c r="P110" s="1" t="str">
        <f t="shared" si="5"/>
        <v/>
      </c>
      <c r="Q110" s="23"/>
      <c r="R110" s="333"/>
      <c r="S110" s="336" t="str">
        <f>+IF($Q110="","",IF(SUMIFS('Data Pura Producción'!AD$17:AD$531,'Data Pura Producción'!$R$17:$R$531,$Q110,'Data Pura Producción'!$Q$17:$Q$531,$R110)=0,"",SUMIFS('Data Pura Producción'!AD$17:AD$531,'Data Pura Producción'!$R$17:$R$531,$Q110,'Data Pura Producción'!$Q$17:$Q$531,$R110)))</f>
        <v/>
      </c>
      <c r="T110" s="182" t="str">
        <f>+IF($Q110="","",IF(SUMIFS('Data Pura Producción'!AE$17:AE$531,'Data Pura Producción'!$R$17:$R$531,$Q110,'Data Pura Producción'!$Q$17:$Q$531,$R110)=0,"",SUMIFS('Data Pura Producción'!AE$17:AE$531,'Data Pura Producción'!$R$17:$R$531,$Q110,'Data Pura Producción'!$Q$17:$Q$531,$R110)))</f>
        <v/>
      </c>
      <c r="U110" s="182" t="str">
        <f>+IF($Q110="","",IF(SUMIFS('Data Pura Producción'!AF$17:AF$531,'Data Pura Producción'!$R$17:$R$531,$Q110,'Data Pura Producción'!$Q$17:$Q$531,$R110)=0,"",SUMIFS('Data Pura Producción'!AF$17:AF$531,'Data Pura Producción'!$R$17:$R$531,$Q110,'Data Pura Producción'!$Q$17:$Q$531,$R110)))</f>
        <v/>
      </c>
      <c r="V110" s="182" t="str">
        <f>+IF($Q110="","",IF(SUMIFS('Data Pura Producción'!AG$17:AG$531,'Data Pura Producción'!$R$17:$R$531,$Q110,'Data Pura Producción'!$Q$17:$Q$531,$R110)=0,"",SUMIFS('Data Pura Producción'!AG$17:AG$531,'Data Pura Producción'!$R$17:$R$531,$Q110,'Data Pura Producción'!$Q$17:$Q$531,$R110)))</f>
        <v/>
      </c>
      <c r="W110" s="182" t="str">
        <f>+IF($Q110="","",IF(SUMIFS('Data Pura Producción'!AH$17:AH$531,'Data Pura Producción'!$R$17:$R$531,$Q110,'Data Pura Producción'!$Q$17:$Q$531,$R110)=0,"",SUMIFS('Data Pura Producción'!AH$17:AH$531,'Data Pura Producción'!$R$17:$R$531,$Q110,'Data Pura Producción'!$Q$17:$Q$531,$R110)))</f>
        <v/>
      </c>
      <c r="X110" s="182" t="str">
        <f>+IF($Q110="","",IF(SUMIFS('Data Pura Producción'!AI$17:AI$531,'Data Pura Producción'!$R$17:$R$531,$Q110,'Data Pura Producción'!$Q$17:$Q$531,$R110)=0,"",SUMIFS('Data Pura Producción'!AI$17:AI$531,'Data Pura Producción'!$R$17:$R$531,$Q110,'Data Pura Producción'!$Q$17:$Q$531,$R110)))</f>
        <v/>
      </c>
      <c r="Y110" s="182" t="str">
        <f>+IF($Q110="","",IF(SUMIFS('Data Pura Producción'!AJ$17:AJ$531,'Data Pura Producción'!$R$17:$R$531,$Q110,'Data Pura Producción'!$Q$17:$Q$531,$R110)=0,"",SUMIFS('Data Pura Producción'!AJ$17:AJ$531,'Data Pura Producción'!$R$17:$R$531,$Q110,'Data Pura Producción'!$Q$17:$Q$531,$R110)))</f>
        <v/>
      </c>
      <c r="Z110" s="182" t="str">
        <f>+IF($Q110="","",IF(SUMIFS('Data Pura Producción'!AK$17:AK$531,'Data Pura Producción'!$R$17:$R$531,$Q110,'Data Pura Producción'!$Q$17:$Q$531,$R110)=0,"",SUMIFS('Data Pura Producción'!AK$17:AK$531,'Data Pura Producción'!$R$17:$R$531,$Q110,'Data Pura Producción'!$Q$17:$Q$531,$R110)))</f>
        <v/>
      </c>
      <c r="AA110" s="182" t="str">
        <f>+IF($Q110="","",IF(SUMIFS('Data Pura Producción'!AL$17:AL$531,'Data Pura Producción'!$R$17:$R$531,$Q110,'Data Pura Producción'!$Q$17:$Q$531,$R110)=0,"",SUMIFS('Data Pura Producción'!AL$17:AL$531,'Data Pura Producción'!$R$17:$R$531,$Q110,'Data Pura Producción'!$Q$17:$Q$531,$R110)))</f>
        <v/>
      </c>
      <c r="AB110" s="182" t="str">
        <f>+IF($Q110="","",IF(SUMIFS('Data Pura Producción'!AM$17:AM$531,'Data Pura Producción'!$R$17:$R$531,$Q110,'Data Pura Producción'!$Q$17:$Q$531,$R110)=0,"",SUMIFS('Data Pura Producción'!AM$17:AM$531,'Data Pura Producción'!$R$17:$R$531,$Q110,'Data Pura Producción'!$Q$17:$Q$531,$R110)))</f>
        <v/>
      </c>
      <c r="AC110" s="182" t="str">
        <f>+IF($Q110="","",IF(SUMIFS('Data Pura Producción'!AN$17:AN$531,'Data Pura Producción'!$R$17:$R$531,$Q110,'Data Pura Producción'!$Q$17:$Q$531,$R110)=0,"",SUMIFS('Data Pura Producción'!AN$17:AN$531,'Data Pura Producción'!$R$17:$R$531,$Q110,'Data Pura Producción'!$Q$17:$Q$531,$R110)))</f>
        <v/>
      </c>
      <c r="AD110" s="182" t="str">
        <f>+IF($Q110="","",IF(SUMIFS('Data Pura Producción'!AO$17:AO$531,'Data Pura Producción'!$R$17:$R$531,$Q110,'Data Pura Producción'!$Q$17:$Q$531,$R110)=0,"",SUMIFS('Data Pura Producción'!AO$17:AO$531,'Data Pura Producción'!$R$17:$R$531,$Q110,'Data Pura Producción'!$Q$17:$Q$531,$R110)))</f>
        <v/>
      </c>
      <c r="AE110" s="182" t="str">
        <f>+IF($Q110="","",IF(SUMIFS('Data Pura Producción'!AP$17:AP$531,'Data Pura Producción'!$R$17:$R$531,$Q110,'Data Pura Producción'!$Q$17:$Q$531,$R110)=0,"",SUMIFS('Data Pura Producción'!AP$17:AP$531,'Data Pura Producción'!$R$17:$R$531,$Q110,'Data Pura Producción'!$Q$17:$Q$531,$R110)))</f>
        <v/>
      </c>
      <c r="AF110" s="182" t="str">
        <f>+IF($Q110="","",IF(SUMIFS('Data Pura Producción'!AQ$17:AQ$531,'Data Pura Producción'!$R$17:$R$531,$Q110,'Data Pura Producción'!$Q$17:$Q$531,$R110)=0,"",SUMIFS('Data Pura Producción'!AQ$17:AQ$531,'Data Pura Producción'!$R$17:$R$531,$Q110,'Data Pura Producción'!$Q$17:$Q$531,$R110)))</f>
        <v/>
      </c>
      <c r="AG110" s="182" t="str">
        <f>+IF($Q110="","",IF(SUMIFS('Data Pura Producción'!AR$17:AR$531,'Data Pura Producción'!$R$17:$R$531,$Q110,'Data Pura Producción'!$Q$17:$Q$531,$R110)=0,"",SUMIFS('Data Pura Producción'!AR$17:AR$531,'Data Pura Producción'!$R$17:$R$531,$Q110,'Data Pura Producción'!$Q$17:$Q$531,$R110)))</f>
        <v/>
      </c>
      <c r="AH110" s="182" t="str">
        <f>+IF($Q110="","",IF(SUMIFS('Data Pura Producción'!AS$17:AS$531,'Data Pura Producción'!$R$17:$R$531,$Q110,'Data Pura Producción'!$Q$17:$Q$531,$R110)=0,"",SUMIFS('Data Pura Producción'!AS$17:AS$531,'Data Pura Producción'!$R$17:$R$531,$Q110,'Data Pura Producción'!$Q$17:$Q$531,$R110)))</f>
        <v/>
      </c>
      <c r="AI110" s="182" t="str">
        <f>+IF($Q110="","",IF(SUMIFS('Data Pura Producción'!AT$17:AT$531,'Data Pura Producción'!$R$17:$R$531,$Q110,'Data Pura Producción'!$Q$17:$Q$531,$R110)=0,"",SUMIFS('Data Pura Producción'!AT$17:AT$531,'Data Pura Producción'!$R$17:$R$531,$Q110,'Data Pura Producción'!$Q$17:$Q$531,$R110)))</f>
        <v/>
      </c>
      <c r="AJ110" s="182" t="str">
        <f>+IF($Q110="","",IF(SUMIFS('Data Pura Producción'!AU$17:AU$531,'Data Pura Producción'!$R$17:$R$531,$Q110,'Data Pura Producción'!$Q$17:$Q$531,$R110)=0,"",SUMIFS('Data Pura Producción'!AU$17:AU$531,'Data Pura Producción'!$R$17:$R$531,$Q110,'Data Pura Producción'!$Q$17:$Q$531,$R110)))</f>
        <v/>
      </c>
      <c r="AK110" s="182" t="str">
        <f>+IF($Q110="","",IF(SUMIFS('Data Pura Producción'!AV$17:AV$531,'Data Pura Producción'!$R$17:$R$531,$Q110,'Data Pura Producción'!$Q$17:$Q$531,$R110)=0,"",SUMIFS('Data Pura Producción'!AV$17:AV$531,'Data Pura Producción'!$R$17:$R$531,$Q110,'Data Pura Producción'!$Q$17:$Q$531,$R110)))</f>
        <v/>
      </c>
      <c r="AL110" s="182" t="str">
        <f>+IF($Q110="","",IF(SUMIFS('Data Pura Producción'!AW$17:AW$531,'Data Pura Producción'!$R$17:$R$531,$Q110,'Data Pura Producción'!$Q$17:$Q$531,$R110)=0,"",SUMIFS('Data Pura Producción'!AW$17:AW$531,'Data Pura Producción'!$R$17:$R$531,$Q110,'Data Pura Producción'!$Q$17:$Q$531,$R110)))</f>
        <v/>
      </c>
      <c r="AM110" s="337" t="str">
        <f>+IF($Q110="","",IF(SUMIFS('Data Pura Producción'!AX$17:AX$531,'Data Pura Producción'!$R$17:$R$531,$Q110,'Data Pura Producción'!$Q$17:$Q$531,$R110)=0,"",SUMIFS('Data Pura Producción'!AX$17:AX$531,'Data Pura Producción'!$R$17:$R$531,$Q110,'Data Pura Producción'!$Q$17:$Q$531,$R110)))</f>
        <v/>
      </c>
      <c r="AN110" s="187" t="str">
        <f t="shared" si="4"/>
        <v/>
      </c>
    </row>
    <row r="111" spans="2:40" s="7" customFormat="1" x14ac:dyDescent="0.35">
      <c r="B111" s="4" t="str">
        <f>+IF('Data Pura Costos'!B111="","",'Data Pura Costos'!B111)</f>
        <v>El Parque</v>
      </c>
      <c r="C111" s="4" t="str">
        <f>+IF('Data Pura Costos'!C111="","",'Data Pura Costos'!C111)</f>
        <v>San Francisco de Mostazal.VI Region.</v>
      </c>
      <c r="D111" s="5">
        <f>+IF('Data Pura Costos'!D111="","",'Data Pura Costos'!D111)</f>
        <v>70</v>
      </c>
      <c r="E111" s="65">
        <f>+IF('Data Pura Costos'!E111="","",IF('Data Pura Costos'!E111=0,MAX('Data Pura Costos'!$E$7:$E$3000)*1000,'Data Pura Costos'!E111))</f>
        <v>360000</v>
      </c>
      <c r="F111" s="5" t="str">
        <f>+IF('Data Pura Costos'!F111="","",'Data Pura Costos'!F111)</f>
        <v>Malloa</v>
      </c>
      <c r="G111" s="5" t="str">
        <f>+IF('Data Pura Costos'!G111="","",'Data Pura Costos'!G111)</f>
        <v xml:space="preserve">GUSTAVO ZÚÑIGA </v>
      </c>
      <c r="H111" s="52" t="str">
        <f>+IF('Data Pura Costos'!H111="","",'Data Pura Costos'!H111)</f>
        <v>Termo</v>
      </c>
      <c r="I111" s="71">
        <f>+IF('Data Pura Costos'!I111="","",'Data Pura Costos'!I111)</f>
        <v>5142.8571428571431</v>
      </c>
      <c r="J111" s="52" t="str">
        <f>+IF('Data Pura Costos'!J111="","",'Data Pura Costos'!J111)</f>
        <v>24-25</v>
      </c>
      <c r="K111" s="82" t="str">
        <f t="shared" si="6"/>
        <v xml:space="preserve">El Parque-Malloa-GUSTAVO ZÚÑIGA </v>
      </c>
      <c r="P111" s="1" t="str">
        <f t="shared" si="5"/>
        <v/>
      </c>
      <c r="Q111" s="23"/>
      <c r="R111" s="333"/>
      <c r="S111" s="336" t="str">
        <f>+IF($Q111="","",IF(SUMIFS('Data Pura Producción'!AD$17:AD$531,'Data Pura Producción'!$R$17:$R$531,$Q111,'Data Pura Producción'!$Q$17:$Q$531,$R111)=0,"",SUMIFS('Data Pura Producción'!AD$17:AD$531,'Data Pura Producción'!$R$17:$R$531,$Q111,'Data Pura Producción'!$Q$17:$Q$531,$R111)))</f>
        <v/>
      </c>
      <c r="T111" s="182" t="str">
        <f>+IF($Q111="","",IF(SUMIFS('Data Pura Producción'!AE$17:AE$531,'Data Pura Producción'!$R$17:$R$531,$Q111,'Data Pura Producción'!$Q$17:$Q$531,$R111)=0,"",SUMIFS('Data Pura Producción'!AE$17:AE$531,'Data Pura Producción'!$R$17:$R$531,$Q111,'Data Pura Producción'!$Q$17:$Q$531,$R111)))</f>
        <v/>
      </c>
      <c r="U111" s="182" t="str">
        <f>+IF($Q111="","",IF(SUMIFS('Data Pura Producción'!AF$17:AF$531,'Data Pura Producción'!$R$17:$R$531,$Q111,'Data Pura Producción'!$Q$17:$Q$531,$R111)=0,"",SUMIFS('Data Pura Producción'!AF$17:AF$531,'Data Pura Producción'!$R$17:$R$531,$Q111,'Data Pura Producción'!$Q$17:$Q$531,$R111)))</f>
        <v/>
      </c>
      <c r="V111" s="182" t="str">
        <f>+IF($Q111="","",IF(SUMIFS('Data Pura Producción'!AG$17:AG$531,'Data Pura Producción'!$R$17:$R$531,$Q111,'Data Pura Producción'!$Q$17:$Q$531,$R111)=0,"",SUMIFS('Data Pura Producción'!AG$17:AG$531,'Data Pura Producción'!$R$17:$R$531,$Q111,'Data Pura Producción'!$Q$17:$Q$531,$R111)))</f>
        <v/>
      </c>
      <c r="W111" s="182" t="str">
        <f>+IF($Q111="","",IF(SUMIFS('Data Pura Producción'!AH$17:AH$531,'Data Pura Producción'!$R$17:$R$531,$Q111,'Data Pura Producción'!$Q$17:$Q$531,$R111)=0,"",SUMIFS('Data Pura Producción'!AH$17:AH$531,'Data Pura Producción'!$R$17:$R$531,$Q111,'Data Pura Producción'!$Q$17:$Q$531,$R111)))</f>
        <v/>
      </c>
      <c r="X111" s="182" t="str">
        <f>+IF($Q111="","",IF(SUMIFS('Data Pura Producción'!AI$17:AI$531,'Data Pura Producción'!$R$17:$R$531,$Q111,'Data Pura Producción'!$Q$17:$Q$531,$R111)=0,"",SUMIFS('Data Pura Producción'!AI$17:AI$531,'Data Pura Producción'!$R$17:$R$531,$Q111,'Data Pura Producción'!$Q$17:$Q$531,$R111)))</f>
        <v/>
      </c>
      <c r="Y111" s="182" t="str">
        <f>+IF($Q111="","",IF(SUMIFS('Data Pura Producción'!AJ$17:AJ$531,'Data Pura Producción'!$R$17:$R$531,$Q111,'Data Pura Producción'!$Q$17:$Q$531,$R111)=0,"",SUMIFS('Data Pura Producción'!AJ$17:AJ$531,'Data Pura Producción'!$R$17:$R$531,$Q111,'Data Pura Producción'!$Q$17:$Q$531,$R111)))</f>
        <v/>
      </c>
      <c r="Z111" s="182" t="str">
        <f>+IF($Q111="","",IF(SUMIFS('Data Pura Producción'!AK$17:AK$531,'Data Pura Producción'!$R$17:$R$531,$Q111,'Data Pura Producción'!$Q$17:$Q$531,$R111)=0,"",SUMIFS('Data Pura Producción'!AK$17:AK$531,'Data Pura Producción'!$R$17:$R$531,$Q111,'Data Pura Producción'!$Q$17:$Q$531,$R111)))</f>
        <v/>
      </c>
      <c r="AA111" s="182" t="str">
        <f>+IF($Q111="","",IF(SUMIFS('Data Pura Producción'!AL$17:AL$531,'Data Pura Producción'!$R$17:$R$531,$Q111,'Data Pura Producción'!$Q$17:$Q$531,$R111)=0,"",SUMIFS('Data Pura Producción'!AL$17:AL$531,'Data Pura Producción'!$R$17:$R$531,$Q111,'Data Pura Producción'!$Q$17:$Q$531,$R111)))</f>
        <v/>
      </c>
      <c r="AB111" s="182" t="str">
        <f>+IF($Q111="","",IF(SUMIFS('Data Pura Producción'!AM$17:AM$531,'Data Pura Producción'!$R$17:$R$531,$Q111,'Data Pura Producción'!$Q$17:$Q$531,$R111)=0,"",SUMIFS('Data Pura Producción'!AM$17:AM$531,'Data Pura Producción'!$R$17:$R$531,$Q111,'Data Pura Producción'!$Q$17:$Q$531,$R111)))</f>
        <v/>
      </c>
      <c r="AC111" s="182" t="str">
        <f>+IF($Q111="","",IF(SUMIFS('Data Pura Producción'!AN$17:AN$531,'Data Pura Producción'!$R$17:$R$531,$Q111,'Data Pura Producción'!$Q$17:$Q$531,$R111)=0,"",SUMIFS('Data Pura Producción'!AN$17:AN$531,'Data Pura Producción'!$R$17:$R$531,$Q111,'Data Pura Producción'!$Q$17:$Q$531,$R111)))</f>
        <v/>
      </c>
      <c r="AD111" s="182" t="str">
        <f>+IF($Q111="","",IF(SUMIFS('Data Pura Producción'!AO$17:AO$531,'Data Pura Producción'!$R$17:$R$531,$Q111,'Data Pura Producción'!$Q$17:$Q$531,$R111)=0,"",SUMIFS('Data Pura Producción'!AO$17:AO$531,'Data Pura Producción'!$R$17:$R$531,$Q111,'Data Pura Producción'!$Q$17:$Q$531,$R111)))</f>
        <v/>
      </c>
      <c r="AE111" s="182" t="str">
        <f>+IF($Q111="","",IF(SUMIFS('Data Pura Producción'!AP$17:AP$531,'Data Pura Producción'!$R$17:$R$531,$Q111,'Data Pura Producción'!$Q$17:$Q$531,$R111)=0,"",SUMIFS('Data Pura Producción'!AP$17:AP$531,'Data Pura Producción'!$R$17:$R$531,$Q111,'Data Pura Producción'!$Q$17:$Q$531,$R111)))</f>
        <v/>
      </c>
      <c r="AF111" s="182" t="str">
        <f>+IF($Q111="","",IF(SUMIFS('Data Pura Producción'!AQ$17:AQ$531,'Data Pura Producción'!$R$17:$R$531,$Q111,'Data Pura Producción'!$Q$17:$Q$531,$R111)=0,"",SUMIFS('Data Pura Producción'!AQ$17:AQ$531,'Data Pura Producción'!$R$17:$R$531,$Q111,'Data Pura Producción'!$Q$17:$Q$531,$R111)))</f>
        <v/>
      </c>
      <c r="AG111" s="182" t="str">
        <f>+IF($Q111="","",IF(SUMIFS('Data Pura Producción'!AR$17:AR$531,'Data Pura Producción'!$R$17:$R$531,$Q111,'Data Pura Producción'!$Q$17:$Q$531,$R111)=0,"",SUMIFS('Data Pura Producción'!AR$17:AR$531,'Data Pura Producción'!$R$17:$R$531,$Q111,'Data Pura Producción'!$Q$17:$Q$531,$R111)))</f>
        <v/>
      </c>
      <c r="AH111" s="182" t="str">
        <f>+IF($Q111="","",IF(SUMIFS('Data Pura Producción'!AS$17:AS$531,'Data Pura Producción'!$R$17:$R$531,$Q111,'Data Pura Producción'!$Q$17:$Q$531,$R111)=0,"",SUMIFS('Data Pura Producción'!AS$17:AS$531,'Data Pura Producción'!$R$17:$R$531,$Q111,'Data Pura Producción'!$Q$17:$Q$531,$R111)))</f>
        <v/>
      </c>
      <c r="AI111" s="182" t="str">
        <f>+IF($Q111="","",IF(SUMIFS('Data Pura Producción'!AT$17:AT$531,'Data Pura Producción'!$R$17:$R$531,$Q111,'Data Pura Producción'!$Q$17:$Q$531,$R111)=0,"",SUMIFS('Data Pura Producción'!AT$17:AT$531,'Data Pura Producción'!$R$17:$R$531,$Q111,'Data Pura Producción'!$Q$17:$Q$531,$R111)))</f>
        <v/>
      </c>
      <c r="AJ111" s="182" t="str">
        <f>+IF($Q111="","",IF(SUMIFS('Data Pura Producción'!AU$17:AU$531,'Data Pura Producción'!$R$17:$R$531,$Q111,'Data Pura Producción'!$Q$17:$Q$531,$R111)=0,"",SUMIFS('Data Pura Producción'!AU$17:AU$531,'Data Pura Producción'!$R$17:$R$531,$Q111,'Data Pura Producción'!$Q$17:$Q$531,$R111)))</f>
        <v/>
      </c>
      <c r="AK111" s="182" t="str">
        <f>+IF($Q111="","",IF(SUMIFS('Data Pura Producción'!AV$17:AV$531,'Data Pura Producción'!$R$17:$R$531,$Q111,'Data Pura Producción'!$Q$17:$Q$531,$R111)=0,"",SUMIFS('Data Pura Producción'!AV$17:AV$531,'Data Pura Producción'!$R$17:$R$531,$Q111,'Data Pura Producción'!$Q$17:$Q$531,$R111)))</f>
        <v/>
      </c>
      <c r="AL111" s="182" t="str">
        <f>+IF($Q111="","",IF(SUMIFS('Data Pura Producción'!AW$17:AW$531,'Data Pura Producción'!$R$17:$R$531,$Q111,'Data Pura Producción'!$Q$17:$Q$531,$R111)=0,"",SUMIFS('Data Pura Producción'!AW$17:AW$531,'Data Pura Producción'!$R$17:$R$531,$Q111,'Data Pura Producción'!$Q$17:$Q$531,$R111)))</f>
        <v/>
      </c>
      <c r="AM111" s="337" t="str">
        <f>+IF($Q111="","",IF(SUMIFS('Data Pura Producción'!AX$17:AX$531,'Data Pura Producción'!$R$17:$R$531,$Q111,'Data Pura Producción'!$Q$17:$Q$531,$R111)=0,"",SUMIFS('Data Pura Producción'!AX$17:AX$531,'Data Pura Producción'!$R$17:$R$531,$Q111,'Data Pura Producción'!$Q$17:$Q$531,$R111)))</f>
        <v/>
      </c>
      <c r="AN111" s="187" t="str">
        <f t="shared" si="4"/>
        <v/>
      </c>
    </row>
    <row r="112" spans="2:40" s="7" customFormat="1" ht="15" thickBot="1" x14ac:dyDescent="0.4">
      <c r="B112" s="4" t="str">
        <f>+IF('Data Pura Costos'!B112="","",'Data Pura Costos'!B112)</f>
        <v>El Picaso</v>
      </c>
      <c r="C112" s="4" t="str">
        <f>+IF('Data Pura Costos'!C112="","",'Data Pura Costos'!C112)</f>
        <v xml:space="preserve">San Clemente, VII región </v>
      </c>
      <c r="D112" s="5">
        <f>+IF('Data Pura Costos'!D112="","",'Data Pura Costos'!D112)</f>
        <v>160</v>
      </c>
      <c r="E112" s="65">
        <f>+IF('Data Pura Costos'!E112="","",IF('Data Pura Costos'!E112=0,MAX('Data Pura Costos'!$E$7:$E$3000)*1000,'Data Pura Costos'!E112))</f>
        <v>460000</v>
      </c>
      <c r="F112" s="5" t="str">
        <f>+IF('Data Pura Costos'!F112="","",'Data Pura Costos'!F112)</f>
        <v>Malloa</v>
      </c>
      <c r="G112" s="5" t="str">
        <f>+IF('Data Pura Costos'!G112="","",'Data Pura Costos'!G112)</f>
        <v xml:space="preserve">GUSTAVO ZÚÑIGA </v>
      </c>
      <c r="H112" s="52" t="str">
        <f>+IF('Data Pura Costos'!H112="","",'Data Pura Costos'!H112)</f>
        <v>Termo</v>
      </c>
      <c r="I112" s="71">
        <f>+IF('Data Pura Costos'!I112="","",'Data Pura Costos'!I112)</f>
        <v>2875</v>
      </c>
      <c r="J112" s="52" t="str">
        <f>+IF('Data Pura Costos'!J112="","",'Data Pura Costos'!J112)</f>
        <v>24-25</v>
      </c>
      <c r="K112" s="82" t="str">
        <f t="shared" si="6"/>
        <v xml:space="preserve">El Picaso-Malloa-GUSTAVO ZÚÑIGA </v>
      </c>
      <c r="P112" s="1" t="str">
        <f t="shared" si="5"/>
        <v/>
      </c>
      <c r="Q112" s="24"/>
      <c r="R112" s="334"/>
      <c r="S112" s="338" t="str">
        <f>+IF($Q112="","",IF(SUMIFS('Data Pura Producción'!AD$17:AD$531,'Data Pura Producción'!$R$17:$R$531,$Q112,'Data Pura Producción'!$Q$17:$Q$531,$R112)=0,"",SUMIFS('Data Pura Producción'!AD$17:AD$531,'Data Pura Producción'!$R$17:$R$531,$Q112,'Data Pura Producción'!$Q$17:$Q$531,$R112)))</f>
        <v/>
      </c>
      <c r="T112" s="186" t="str">
        <f>+IF($Q112="","",IF(SUMIFS('Data Pura Producción'!AE$17:AE$531,'Data Pura Producción'!$R$17:$R$531,$Q112,'Data Pura Producción'!$Q$17:$Q$531,$R112)=0,"",SUMIFS('Data Pura Producción'!AE$17:AE$531,'Data Pura Producción'!$R$17:$R$531,$Q112,'Data Pura Producción'!$Q$17:$Q$531,$R112)))</f>
        <v/>
      </c>
      <c r="U112" s="186" t="str">
        <f>+IF($Q112="","",IF(SUMIFS('Data Pura Producción'!AF$17:AF$531,'Data Pura Producción'!$R$17:$R$531,$Q112,'Data Pura Producción'!$Q$17:$Q$531,$R112)=0,"",SUMIFS('Data Pura Producción'!AF$17:AF$531,'Data Pura Producción'!$R$17:$R$531,$Q112,'Data Pura Producción'!$Q$17:$Q$531,$R112)))</f>
        <v/>
      </c>
      <c r="V112" s="186" t="str">
        <f>+IF($Q112="","",IF(SUMIFS('Data Pura Producción'!AG$17:AG$531,'Data Pura Producción'!$R$17:$R$531,$Q112,'Data Pura Producción'!$Q$17:$Q$531,$R112)=0,"",SUMIFS('Data Pura Producción'!AG$17:AG$531,'Data Pura Producción'!$R$17:$R$531,$Q112,'Data Pura Producción'!$Q$17:$Q$531,$R112)))</f>
        <v/>
      </c>
      <c r="W112" s="186" t="str">
        <f>+IF($Q112="","",IF(SUMIFS('Data Pura Producción'!AH$17:AH$531,'Data Pura Producción'!$R$17:$R$531,$Q112,'Data Pura Producción'!$Q$17:$Q$531,$R112)=0,"",SUMIFS('Data Pura Producción'!AH$17:AH$531,'Data Pura Producción'!$R$17:$R$531,$Q112,'Data Pura Producción'!$Q$17:$Q$531,$R112)))</f>
        <v/>
      </c>
      <c r="X112" s="186" t="str">
        <f>+IF($Q112="","",IF(SUMIFS('Data Pura Producción'!AI$17:AI$531,'Data Pura Producción'!$R$17:$R$531,$Q112,'Data Pura Producción'!$Q$17:$Q$531,$R112)=0,"",SUMIFS('Data Pura Producción'!AI$17:AI$531,'Data Pura Producción'!$R$17:$R$531,$Q112,'Data Pura Producción'!$Q$17:$Q$531,$R112)))</f>
        <v/>
      </c>
      <c r="Y112" s="186" t="str">
        <f>+IF($Q112="","",IF(SUMIFS('Data Pura Producción'!AJ$17:AJ$531,'Data Pura Producción'!$R$17:$R$531,$Q112,'Data Pura Producción'!$Q$17:$Q$531,$R112)=0,"",SUMIFS('Data Pura Producción'!AJ$17:AJ$531,'Data Pura Producción'!$R$17:$R$531,$Q112,'Data Pura Producción'!$Q$17:$Q$531,$R112)))</f>
        <v/>
      </c>
      <c r="Z112" s="186" t="str">
        <f>+IF($Q112="","",IF(SUMIFS('Data Pura Producción'!AK$17:AK$531,'Data Pura Producción'!$R$17:$R$531,$Q112,'Data Pura Producción'!$Q$17:$Q$531,$R112)=0,"",SUMIFS('Data Pura Producción'!AK$17:AK$531,'Data Pura Producción'!$R$17:$R$531,$Q112,'Data Pura Producción'!$Q$17:$Q$531,$R112)))</f>
        <v/>
      </c>
      <c r="AA112" s="186" t="str">
        <f>+IF($Q112="","",IF(SUMIFS('Data Pura Producción'!AL$17:AL$531,'Data Pura Producción'!$R$17:$R$531,$Q112,'Data Pura Producción'!$Q$17:$Q$531,$R112)=0,"",SUMIFS('Data Pura Producción'!AL$17:AL$531,'Data Pura Producción'!$R$17:$R$531,$Q112,'Data Pura Producción'!$Q$17:$Q$531,$R112)))</f>
        <v/>
      </c>
      <c r="AB112" s="186" t="str">
        <f>+IF($Q112="","",IF(SUMIFS('Data Pura Producción'!AM$17:AM$531,'Data Pura Producción'!$R$17:$R$531,$Q112,'Data Pura Producción'!$Q$17:$Q$531,$R112)=0,"",SUMIFS('Data Pura Producción'!AM$17:AM$531,'Data Pura Producción'!$R$17:$R$531,$Q112,'Data Pura Producción'!$Q$17:$Q$531,$R112)))</f>
        <v/>
      </c>
      <c r="AC112" s="186" t="str">
        <f>+IF($Q112="","",IF(SUMIFS('Data Pura Producción'!AN$17:AN$531,'Data Pura Producción'!$R$17:$R$531,$Q112,'Data Pura Producción'!$Q$17:$Q$531,$R112)=0,"",SUMIFS('Data Pura Producción'!AN$17:AN$531,'Data Pura Producción'!$R$17:$R$531,$Q112,'Data Pura Producción'!$Q$17:$Q$531,$R112)))</f>
        <v/>
      </c>
      <c r="AD112" s="186" t="str">
        <f>+IF($Q112="","",IF(SUMIFS('Data Pura Producción'!AO$17:AO$531,'Data Pura Producción'!$R$17:$R$531,$Q112,'Data Pura Producción'!$Q$17:$Q$531,$R112)=0,"",SUMIFS('Data Pura Producción'!AO$17:AO$531,'Data Pura Producción'!$R$17:$R$531,$Q112,'Data Pura Producción'!$Q$17:$Q$531,$R112)))</f>
        <v/>
      </c>
      <c r="AE112" s="186" t="str">
        <f>+IF($Q112="","",IF(SUMIFS('Data Pura Producción'!AP$17:AP$531,'Data Pura Producción'!$R$17:$R$531,$Q112,'Data Pura Producción'!$Q$17:$Q$531,$R112)=0,"",SUMIFS('Data Pura Producción'!AP$17:AP$531,'Data Pura Producción'!$R$17:$R$531,$Q112,'Data Pura Producción'!$Q$17:$Q$531,$R112)))</f>
        <v/>
      </c>
      <c r="AF112" s="186" t="str">
        <f>+IF($Q112="","",IF(SUMIFS('Data Pura Producción'!AQ$17:AQ$531,'Data Pura Producción'!$R$17:$R$531,$Q112,'Data Pura Producción'!$Q$17:$Q$531,$R112)=0,"",SUMIFS('Data Pura Producción'!AQ$17:AQ$531,'Data Pura Producción'!$R$17:$R$531,$Q112,'Data Pura Producción'!$Q$17:$Q$531,$R112)))</f>
        <v/>
      </c>
      <c r="AG112" s="186" t="str">
        <f>+IF($Q112="","",IF(SUMIFS('Data Pura Producción'!AR$17:AR$531,'Data Pura Producción'!$R$17:$R$531,$Q112,'Data Pura Producción'!$Q$17:$Q$531,$R112)=0,"",SUMIFS('Data Pura Producción'!AR$17:AR$531,'Data Pura Producción'!$R$17:$R$531,$Q112,'Data Pura Producción'!$Q$17:$Q$531,$R112)))</f>
        <v/>
      </c>
      <c r="AH112" s="186" t="str">
        <f>+IF($Q112="","",IF(SUMIFS('Data Pura Producción'!AS$17:AS$531,'Data Pura Producción'!$R$17:$R$531,$Q112,'Data Pura Producción'!$Q$17:$Q$531,$R112)=0,"",SUMIFS('Data Pura Producción'!AS$17:AS$531,'Data Pura Producción'!$R$17:$R$531,$Q112,'Data Pura Producción'!$Q$17:$Q$531,$R112)))</f>
        <v/>
      </c>
      <c r="AI112" s="186" t="str">
        <f>+IF($Q112="","",IF(SUMIFS('Data Pura Producción'!AT$17:AT$531,'Data Pura Producción'!$R$17:$R$531,$Q112,'Data Pura Producción'!$Q$17:$Q$531,$R112)=0,"",SUMIFS('Data Pura Producción'!AT$17:AT$531,'Data Pura Producción'!$R$17:$R$531,$Q112,'Data Pura Producción'!$Q$17:$Q$531,$R112)))</f>
        <v/>
      </c>
      <c r="AJ112" s="186" t="str">
        <f>+IF($Q112="","",IF(SUMIFS('Data Pura Producción'!AU$17:AU$531,'Data Pura Producción'!$R$17:$R$531,$Q112,'Data Pura Producción'!$Q$17:$Q$531,$R112)=0,"",SUMIFS('Data Pura Producción'!AU$17:AU$531,'Data Pura Producción'!$R$17:$R$531,$Q112,'Data Pura Producción'!$Q$17:$Q$531,$R112)))</f>
        <v/>
      </c>
      <c r="AK112" s="186" t="str">
        <f>+IF($Q112="","",IF(SUMIFS('Data Pura Producción'!AV$17:AV$531,'Data Pura Producción'!$R$17:$R$531,$Q112,'Data Pura Producción'!$Q$17:$Q$531,$R112)=0,"",SUMIFS('Data Pura Producción'!AV$17:AV$531,'Data Pura Producción'!$R$17:$R$531,$Q112,'Data Pura Producción'!$Q$17:$Q$531,$R112)))</f>
        <v/>
      </c>
      <c r="AL112" s="186" t="str">
        <f>+IF($Q112="","",IF(SUMIFS('Data Pura Producción'!AW$17:AW$531,'Data Pura Producción'!$R$17:$R$531,$Q112,'Data Pura Producción'!$Q$17:$Q$531,$R112)=0,"",SUMIFS('Data Pura Producción'!AW$17:AW$531,'Data Pura Producción'!$R$17:$R$531,$Q112,'Data Pura Producción'!$Q$17:$Q$531,$R112)))</f>
        <v/>
      </c>
      <c r="AM112" s="339" t="str">
        <f>+IF($Q112="","",IF(SUMIFS('Data Pura Producción'!AX$17:AX$531,'Data Pura Producción'!$R$17:$R$531,$Q112,'Data Pura Producción'!$Q$17:$Q$531,$R112)=0,"",SUMIFS('Data Pura Producción'!AX$17:AX$531,'Data Pura Producción'!$R$17:$R$531,$Q112,'Data Pura Producción'!$Q$17:$Q$531,$R112)))</f>
        <v/>
      </c>
      <c r="AN112" s="188" t="str">
        <f t="shared" si="4"/>
        <v/>
      </c>
    </row>
    <row r="113" spans="2:39" s="7" customFormat="1" x14ac:dyDescent="0.35">
      <c r="B113" s="4" t="str">
        <f>+IF('Data Pura Costos'!B113="","",'Data Pura Costos'!B113)</f>
        <v>El Recurso</v>
      </c>
      <c r="C113" s="4" t="str">
        <f>+IF('Data Pura Costos'!C113="","",'Data Pura Costos'!C113)</f>
        <v>San Francisco de Mostazal.VI Region.</v>
      </c>
      <c r="D113" s="5">
        <f>+IF('Data Pura Costos'!D113="","",'Data Pura Costos'!D113)</f>
        <v>70</v>
      </c>
      <c r="E113" s="65">
        <f>+IF('Data Pura Costos'!E113="","",IF('Data Pura Costos'!E113=0,MAX('Data Pura Costos'!$E$7:$E$3000)*1000,'Data Pura Costos'!E113))</f>
        <v>350000</v>
      </c>
      <c r="F113" s="5" t="str">
        <f>+IF('Data Pura Costos'!F113="","",'Data Pura Costos'!F113)</f>
        <v>Malloa</v>
      </c>
      <c r="G113" s="5" t="str">
        <f>+IF('Data Pura Costos'!G113="","",'Data Pura Costos'!G113)</f>
        <v xml:space="preserve">GUSTAVO ZÚÑIGA </v>
      </c>
      <c r="H113" s="52" t="str">
        <f>+IF('Data Pura Costos'!H113="","",'Data Pura Costos'!H113)</f>
        <v>Termo</v>
      </c>
      <c r="I113" s="71">
        <f>+IF('Data Pura Costos'!I113="","",'Data Pura Costos'!I113)</f>
        <v>5000</v>
      </c>
      <c r="J113" s="52" t="str">
        <f>+IF('Data Pura Costos'!J113="","",'Data Pura Costos'!J113)</f>
        <v>24-25</v>
      </c>
      <c r="K113" s="82" t="str">
        <f t="shared" si="6"/>
        <v xml:space="preserve">El Recurso-Malloa-GUSTAVO ZÚÑIGA </v>
      </c>
      <c r="R113" s="6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</row>
    <row r="114" spans="2:39" s="7" customFormat="1" x14ac:dyDescent="0.35">
      <c r="B114" s="4" t="str">
        <f>+IF('Data Pura Costos'!B114="","",'Data Pura Costos'!B114)</f>
        <v>El Rosario</v>
      </c>
      <c r="C114" s="4" t="str">
        <f>+IF('Data Pura Costos'!C114="","",'Data Pura Costos'!C114)</f>
        <v>Linares, VII region.</v>
      </c>
      <c r="D114" s="5">
        <f>+IF('Data Pura Costos'!D114="","",'Data Pura Costos'!D114)</f>
        <v>210</v>
      </c>
      <c r="E114" s="65">
        <f>+IF('Data Pura Costos'!E114="","",IF('Data Pura Costos'!E114=0,MAX('Data Pura Costos'!$E$7:$E$3000)*1000,'Data Pura Costos'!E114))</f>
        <v>550000</v>
      </c>
      <c r="F114" s="5" t="str">
        <f>+IF('Data Pura Costos'!F114="","",'Data Pura Costos'!F114)</f>
        <v>Malloa</v>
      </c>
      <c r="G114" s="5" t="str">
        <f>+IF('Data Pura Costos'!G114="","",'Data Pura Costos'!G114)</f>
        <v xml:space="preserve">GUSTAVO ZÚÑIGA </v>
      </c>
      <c r="H114" s="52" t="str">
        <f>+IF('Data Pura Costos'!H114="","",'Data Pura Costos'!H114)</f>
        <v>Termo</v>
      </c>
      <c r="I114" s="71">
        <f>+IF('Data Pura Costos'!I114="","",'Data Pura Costos'!I114)</f>
        <v>2619.0476190476193</v>
      </c>
      <c r="J114" s="52" t="str">
        <f>+IF('Data Pura Costos'!J114="","",'Data Pura Costos'!J114)</f>
        <v>24-25</v>
      </c>
      <c r="K114" s="82" t="str">
        <f t="shared" si="6"/>
        <v xml:space="preserve">El Rosario-Malloa-GUSTAVO ZÚÑIGA </v>
      </c>
      <c r="R114" s="6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</row>
    <row r="115" spans="2:39" s="7" customFormat="1" x14ac:dyDescent="0.35">
      <c r="B115" s="4" t="str">
        <f>+IF('Data Pura Costos'!B115="","",'Data Pura Costos'!B115)</f>
        <v>El Retiro</v>
      </c>
      <c r="C115" s="4" t="str">
        <f>+IF('Data Pura Costos'!C115="","",'Data Pura Costos'!C115)</f>
        <v>Rosario, VI Region.</v>
      </c>
      <c r="D115" s="5">
        <f>+IF('Data Pura Costos'!D115="","",'Data Pura Costos'!D115)</f>
        <v>25</v>
      </c>
      <c r="E115" s="65">
        <f>+IF('Data Pura Costos'!E115="","",IF('Data Pura Costos'!E115=0,MAX('Data Pura Costos'!$E$7:$E$3000)*1000,'Data Pura Costos'!E115))</f>
        <v>280000</v>
      </c>
      <c r="F115" s="5" t="str">
        <f>+IF('Data Pura Costos'!F115="","",'Data Pura Costos'!F115)</f>
        <v>Malloa</v>
      </c>
      <c r="G115" s="5" t="str">
        <f>+IF('Data Pura Costos'!G115="","",'Data Pura Costos'!G115)</f>
        <v xml:space="preserve">GUSTAVO ZÚÑIGA </v>
      </c>
      <c r="H115" s="52" t="str">
        <f>+IF('Data Pura Costos'!H115="","",'Data Pura Costos'!H115)</f>
        <v>Termo</v>
      </c>
      <c r="I115" s="71">
        <f>+IF('Data Pura Costos'!I115="","",'Data Pura Costos'!I115)</f>
        <v>11200</v>
      </c>
      <c r="J115" s="52" t="str">
        <f>+IF('Data Pura Costos'!J115="","",'Data Pura Costos'!J115)</f>
        <v>24-25</v>
      </c>
      <c r="K115" s="82" t="str">
        <f t="shared" si="6"/>
        <v xml:space="preserve">El Retiro-Malloa-GUSTAVO ZÚÑIGA </v>
      </c>
      <c r="R115" s="6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</row>
    <row r="116" spans="2:39" s="7" customFormat="1" x14ac:dyDescent="0.35">
      <c r="B116" s="4" t="str">
        <f>+IF('Data Pura Costos'!B116="","",'Data Pura Costos'!B116)</f>
        <v>La Esperanza</v>
      </c>
      <c r="C116" s="4" t="str">
        <f>+IF('Data Pura Costos'!C116="","",'Data Pura Costos'!C116)</f>
        <v>Peumo, VI región</v>
      </c>
      <c r="D116" s="5">
        <f>+IF('Data Pura Costos'!D116="","",'Data Pura Costos'!D116)</f>
        <v>35</v>
      </c>
      <c r="E116" s="65">
        <f>+IF('Data Pura Costos'!E116="","",IF('Data Pura Costos'!E116=0,MAX('Data Pura Costos'!$E$7:$E$3000)*1000,'Data Pura Costos'!E116))</f>
        <v>320000</v>
      </c>
      <c r="F116" s="5" t="str">
        <f>+IF('Data Pura Costos'!F116="","",'Data Pura Costos'!F116)</f>
        <v>Malloa</v>
      </c>
      <c r="G116" s="5" t="str">
        <f>+IF('Data Pura Costos'!G116="","",'Data Pura Costos'!G116)</f>
        <v xml:space="preserve">GUSTAVO ZÚÑIGA </v>
      </c>
      <c r="H116" s="52" t="str">
        <f>+IF('Data Pura Costos'!H116="","",'Data Pura Costos'!H116)</f>
        <v>Termo</v>
      </c>
      <c r="I116" s="71">
        <f>+IF('Data Pura Costos'!I116="","",'Data Pura Costos'!I116)</f>
        <v>9142.8571428571431</v>
      </c>
      <c r="J116" s="52" t="str">
        <f>+IF('Data Pura Costos'!J116="","",'Data Pura Costos'!J116)</f>
        <v>24-25</v>
      </c>
      <c r="K116" s="82" t="str">
        <f t="shared" si="6"/>
        <v xml:space="preserve">La Esperanza-Malloa-GUSTAVO ZÚÑIGA </v>
      </c>
      <c r="R116" s="6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</row>
    <row r="117" spans="2:39" s="7" customFormat="1" x14ac:dyDescent="0.35">
      <c r="B117" s="4" t="str">
        <f>+IF('Data Pura Costos'!B117="","",'Data Pura Costos'!B117)</f>
        <v>La Estación</v>
      </c>
      <c r="C117" s="4" t="str">
        <f>+IF('Data Pura Costos'!C117="","",'Data Pura Costos'!C117)</f>
        <v>Palmilla, VI región</v>
      </c>
      <c r="D117" s="5">
        <f>+IF('Data Pura Costos'!D117="","",'Data Pura Costos'!D117)</f>
        <v>75</v>
      </c>
      <c r="E117" s="65">
        <f>+IF('Data Pura Costos'!E117="","",IF('Data Pura Costos'!E117=0,MAX('Data Pura Costos'!$E$7:$E$3000)*1000,'Data Pura Costos'!E117))</f>
        <v>350000</v>
      </c>
      <c r="F117" s="5" t="str">
        <f>+IF('Data Pura Costos'!F117="","",'Data Pura Costos'!F117)</f>
        <v>Malloa</v>
      </c>
      <c r="G117" s="5" t="str">
        <f>+IF('Data Pura Costos'!G117="","",'Data Pura Costos'!G117)</f>
        <v xml:space="preserve">GUSTAVO ZÚÑIGA </v>
      </c>
      <c r="H117" s="52" t="str">
        <f>+IF('Data Pura Costos'!H117="","",'Data Pura Costos'!H117)</f>
        <v>Termo</v>
      </c>
      <c r="I117" s="71">
        <f>+IF('Data Pura Costos'!I117="","",'Data Pura Costos'!I117)</f>
        <v>4666.666666666667</v>
      </c>
      <c r="J117" s="52" t="str">
        <f>+IF('Data Pura Costos'!J117="","",'Data Pura Costos'!J117)</f>
        <v>24-25</v>
      </c>
      <c r="K117" s="82" t="str">
        <f t="shared" si="6"/>
        <v xml:space="preserve">La Estación-Malloa-GUSTAVO ZÚÑIGA </v>
      </c>
      <c r="R117" s="6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</row>
    <row r="118" spans="2:39" s="7" customFormat="1" x14ac:dyDescent="0.35">
      <c r="B118" s="4" t="str">
        <f>+IF('Data Pura Costos'!B118="","",'Data Pura Costos'!B118)</f>
        <v>La Lajuela</v>
      </c>
      <c r="C118" s="4" t="str">
        <f>+IF('Data Pura Costos'!C118="","",'Data Pura Costos'!C118)</f>
        <v>Santa Cruz, VI Región</v>
      </c>
      <c r="D118" s="5">
        <f>+IF('Data Pura Costos'!D118="","",'Data Pura Costos'!D118)</f>
        <v>75</v>
      </c>
      <c r="E118" s="65">
        <f>+IF('Data Pura Costos'!E118="","",IF('Data Pura Costos'!E118=0,MAX('Data Pura Costos'!$E$7:$E$3000)*1000,'Data Pura Costos'!E118))</f>
        <v>350000</v>
      </c>
      <c r="F118" s="5" t="str">
        <f>+IF('Data Pura Costos'!F118="","",'Data Pura Costos'!F118)</f>
        <v>Malloa</v>
      </c>
      <c r="G118" s="5" t="str">
        <f>+IF('Data Pura Costos'!G118="","",'Data Pura Costos'!G118)</f>
        <v xml:space="preserve">GUSTAVO ZÚÑIGA </v>
      </c>
      <c r="H118" s="52" t="str">
        <f>+IF('Data Pura Costos'!H118="","",'Data Pura Costos'!H118)</f>
        <v>Termo</v>
      </c>
      <c r="I118" s="71">
        <f>+IF('Data Pura Costos'!I118="","",'Data Pura Costos'!I118)</f>
        <v>4666.666666666667</v>
      </c>
      <c r="J118" s="52" t="str">
        <f>+IF('Data Pura Costos'!J118="","",'Data Pura Costos'!J118)</f>
        <v>24-25</v>
      </c>
      <c r="K118" s="82" t="str">
        <f t="shared" si="6"/>
        <v xml:space="preserve">La Lajuela-Malloa-GUSTAVO ZÚÑIGA </v>
      </c>
      <c r="R118" s="6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</row>
    <row r="119" spans="2:39" s="7" customFormat="1" x14ac:dyDescent="0.35">
      <c r="B119" s="4" t="str">
        <f>+IF('Data Pura Costos'!B119="","",'Data Pura Costos'!B119)</f>
        <v>La Morera</v>
      </c>
      <c r="C119" s="4" t="str">
        <f>+IF('Data Pura Costos'!C119="","",'Data Pura Costos'!C119)</f>
        <v>La compañia, VI Region.</v>
      </c>
      <c r="D119" s="5">
        <f>+IF('Data Pura Costos'!D119="","",'Data Pura Costos'!D119)</f>
        <v>55</v>
      </c>
      <c r="E119" s="65">
        <f>+IF('Data Pura Costos'!E119="","",IF('Data Pura Costos'!E119=0,MAX('Data Pura Costos'!$E$7:$E$3000)*1000,'Data Pura Costos'!E119))</f>
        <v>350000</v>
      </c>
      <c r="F119" s="5" t="str">
        <f>+IF('Data Pura Costos'!F119="","",'Data Pura Costos'!F119)</f>
        <v>Malloa</v>
      </c>
      <c r="G119" s="5" t="str">
        <f>+IF('Data Pura Costos'!G119="","",'Data Pura Costos'!G119)</f>
        <v xml:space="preserve">GUSTAVO ZÚÑIGA </v>
      </c>
      <c r="H119" s="52" t="str">
        <f>+IF('Data Pura Costos'!H119="","",'Data Pura Costos'!H119)</f>
        <v>Termo</v>
      </c>
      <c r="I119" s="71">
        <f>+IF('Data Pura Costos'!I119="","",'Data Pura Costos'!I119)</f>
        <v>6363.636363636364</v>
      </c>
      <c r="J119" s="52" t="str">
        <f>+IF('Data Pura Costos'!J119="","",'Data Pura Costos'!J119)</f>
        <v>24-25</v>
      </c>
      <c r="K119" s="82" t="str">
        <f t="shared" si="6"/>
        <v xml:space="preserve">La Morera-Malloa-GUSTAVO ZÚÑIGA </v>
      </c>
      <c r="R119" s="6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</row>
    <row r="120" spans="2:39" s="7" customFormat="1" x14ac:dyDescent="0.35">
      <c r="B120" s="4" t="str">
        <f>+IF('Data Pura Costos'!B120="","",'Data Pura Costos'!B120)</f>
        <v>La Rinconada</v>
      </c>
      <c r="C120" s="4" t="str">
        <f>+IF('Data Pura Costos'!C120="","",'Data Pura Costos'!C120)</f>
        <v>Pichidegua, VI región</v>
      </c>
      <c r="D120" s="5">
        <f>+IF('Data Pura Costos'!D120="","",'Data Pura Costos'!D120)</f>
        <v>45</v>
      </c>
      <c r="E120" s="65">
        <f>+IF('Data Pura Costos'!E120="","",IF('Data Pura Costos'!E120=0,MAX('Data Pura Costos'!$E$7:$E$3000)*1000,'Data Pura Costos'!E120))</f>
        <v>320000</v>
      </c>
      <c r="F120" s="5" t="str">
        <f>+IF('Data Pura Costos'!F120="","",'Data Pura Costos'!F120)</f>
        <v>Malloa</v>
      </c>
      <c r="G120" s="5" t="str">
        <f>+IF('Data Pura Costos'!G120="","",'Data Pura Costos'!G120)</f>
        <v xml:space="preserve">GUSTAVO ZÚÑIGA </v>
      </c>
      <c r="H120" s="52" t="str">
        <f>+IF('Data Pura Costos'!H120="","",'Data Pura Costos'!H120)</f>
        <v>Termo</v>
      </c>
      <c r="I120" s="71">
        <f>+IF('Data Pura Costos'!I120="","",'Data Pura Costos'!I120)</f>
        <v>7111.1111111111113</v>
      </c>
      <c r="J120" s="52" t="str">
        <f>+IF('Data Pura Costos'!J120="","",'Data Pura Costos'!J120)</f>
        <v>24-25</v>
      </c>
      <c r="K120" s="82" t="str">
        <f t="shared" si="6"/>
        <v xml:space="preserve">La Rinconada-Malloa-GUSTAVO ZÚÑIGA </v>
      </c>
      <c r="R120" s="6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</row>
    <row r="121" spans="2:39" s="7" customFormat="1" x14ac:dyDescent="0.35">
      <c r="B121" s="4" t="str">
        <f>+IF('Data Pura Costos'!B121="","",'Data Pura Costos'!B121)</f>
        <v xml:space="preserve">La Roblería </v>
      </c>
      <c r="C121" s="4" t="str">
        <f>+IF('Data Pura Costos'!C121="","",'Data Pura Costos'!C121)</f>
        <v>Aculeo, RM</v>
      </c>
      <c r="D121" s="5">
        <f>+IF('Data Pura Costos'!D121="","",'Data Pura Costos'!D121)</f>
        <v>105</v>
      </c>
      <c r="E121" s="65">
        <f>+IF('Data Pura Costos'!E121="","",IF('Data Pura Costos'!E121=0,MAX('Data Pura Costos'!$E$7:$E$3000)*1000,'Data Pura Costos'!E121))</f>
        <v>400000</v>
      </c>
      <c r="F121" s="5" t="str">
        <f>+IF('Data Pura Costos'!F121="","",'Data Pura Costos'!F121)</f>
        <v>Malloa</v>
      </c>
      <c r="G121" s="5" t="str">
        <f>+IF('Data Pura Costos'!G121="","",'Data Pura Costos'!G121)</f>
        <v xml:space="preserve">GUSTAVO ZÚÑIGA </v>
      </c>
      <c r="H121" s="52" t="str">
        <f>+IF('Data Pura Costos'!H121="","",'Data Pura Costos'!H121)</f>
        <v>Termo</v>
      </c>
      <c r="I121" s="71">
        <f>+IF('Data Pura Costos'!I121="","",'Data Pura Costos'!I121)</f>
        <v>3809.5238095238096</v>
      </c>
      <c r="J121" s="52" t="str">
        <f>+IF('Data Pura Costos'!J121="","",'Data Pura Costos'!J121)</f>
        <v>24-25</v>
      </c>
      <c r="K121" s="82" t="str">
        <f t="shared" si="6"/>
        <v xml:space="preserve">La Roblería -Malloa-GUSTAVO ZÚÑIGA </v>
      </c>
      <c r="R121" s="6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</row>
    <row r="122" spans="2:39" s="7" customFormat="1" x14ac:dyDescent="0.35">
      <c r="B122" s="4" t="str">
        <f>+IF('Data Pura Costos'!B122="","",'Data Pura Costos'!B122)</f>
        <v>Las Cabras</v>
      </c>
      <c r="C122" s="4" t="str">
        <f>+IF('Data Pura Costos'!C122="","",'Data Pura Costos'!C122)</f>
        <v>Las Cabras, VI región</v>
      </c>
      <c r="D122" s="5">
        <f>+IF('Data Pura Costos'!D122="","",'Data Pura Costos'!D122)</f>
        <v>45</v>
      </c>
      <c r="E122" s="65">
        <f>+IF('Data Pura Costos'!E122="","",IF('Data Pura Costos'!E122=0,MAX('Data Pura Costos'!$E$7:$E$3000)*1000,'Data Pura Costos'!E122))</f>
        <v>320000</v>
      </c>
      <c r="F122" s="5" t="str">
        <f>+IF('Data Pura Costos'!F122="","",'Data Pura Costos'!F122)</f>
        <v>Malloa</v>
      </c>
      <c r="G122" s="5" t="str">
        <f>+IF('Data Pura Costos'!G122="","",'Data Pura Costos'!G122)</f>
        <v xml:space="preserve">GUSTAVO ZÚÑIGA </v>
      </c>
      <c r="H122" s="52" t="str">
        <f>+IF('Data Pura Costos'!H122="","",'Data Pura Costos'!H122)</f>
        <v>Termo</v>
      </c>
      <c r="I122" s="71">
        <f>+IF('Data Pura Costos'!I122="","",'Data Pura Costos'!I122)</f>
        <v>7111.1111111111113</v>
      </c>
      <c r="J122" s="52" t="str">
        <f>+IF('Data Pura Costos'!J122="","",'Data Pura Costos'!J122)</f>
        <v>24-25</v>
      </c>
      <c r="K122" s="82" t="str">
        <f t="shared" si="6"/>
        <v xml:space="preserve">Las Cabras-Malloa-GUSTAVO ZÚÑIGA </v>
      </c>
      <c r="R122" s="6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</row>
    <row r="123" spans="2:39" s="7" customFormat="1" x14ac:dyDescent="0.35">
      <c r="B123" s="4" t="str">
        <f>+IF('Data Pura Costos'!B123="","",'Data Pura Costos'!B123)</f>
        <v>Las Vertientes</v>
      </c>
      <c r="C123" s="4" t="str">
        <f>+IF('Data Pura Costos'!C123="","",'Data Pura Costos'!C123)</f>
        <v>Pichidegua, VI región</v>
      </c>
      <c r="D123" s="5">
        <f>+IF('Data Pura Costos'!D123="","",'Data Pura Costos'!D123)</f>
        <v>40</v>
      </c>
      <c r="E123" s="65">
        <f>+IF('Data Pura Costos'!E123="","",IF('Data Pura Costos'!E123=0,MAX('Data Pura Costos'!$E$7:$E$3000)*1000,'Data Pura Costos'!E123))</f>
        <v>300000</v>
      </c>
      <c r="F123" s="5" t="str">
        <f>+IF('Data Pura Costos'!F123="","",'Data Pura Costos'!F123)</f>
        <v>Malloa</v>
      </c>
      <c r="G123" s="5" t="str">
        <f>+IF('Data Pura Costos'!G123="","",'Data Pura Costos'!G123)</f>
        <v xml:space="preserve">GUSTAVO ZÚÑIGA </v>
      </c>
      <c r="H123" s="52" t="str">
        <f>+IF('Data Pura Costos'!H123="","",'Data Pura Costos'!H123)</f>
        <v>Termo</v>
      </c>
      <c r="I123" s="71">
        <f>+IF('Data Pura Costos'!I123="","",'Data Pura Costos'!I123)</f>
        <v>7500</v>
      </c>
      <c r="J123" s="52" t="str">
        <f>+IF('Data Pura Costos'!J123="","",'Data Pura Costos'!J123)</f>
        <v>24-25</v>
      </c>
      <c r="K123" s="82" t="str">
        <f t="shared" si="6"/>
        <v xml:space="preserve">Las Vertientes-Malloa-GUSTAVO ZÚÑIGA </v>
      </c>
      <c r="R123" s="6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</row>
    <row r="124" spans="2:39" s="7" customFormat="1" x14ac:dyDescent="0.35">
      <c r="B124" s="4" t="str">
        <f>+IF('Data Pura Costos'!B124="","",'Data Pura Costos'!B124)</f>
        <v>Lihueimo</v>
      </c>
      <c r="C124" s="4" t="str">
        <f>+IF('Data Pura Costos'!C124="","",'Data Pura Costos'!C124)</f>
        <v>Peralillo ohiggins</v>
      </c>
      <c r="D124" s="5">
        <f>+IF('Data Pura Costos'!D124="","",'Data Pura Costos'!D124)</f>
        <v>80</v>
      </c>
      <c r="E124" s="65">
        <f>+IF('Data Pura Costos'!E124="","",IF('Data Pura Costos'!E124=0,MAX('Data Pura Costos'!$E$7:$E$3000)*1000,'Data Pura Costos'!E124))</f>
        <v>360000</v>
      </c>
      <c r="F124" s="5" t="str">
        <f>+IF('Data Pura Costos'!F124="","",'Data Pura Costos'!F124)</f>
        <v>Malloa</v>
      </c>
      <c r="G124" s="5" t="str">
        <f>+IF('Data Pura Costos'!G124="","",'Data Pura Costos'!G124)</f>
        <v xml:space="preserve">GUSTAVO ZÚÑIGA </v>
      </c>
      <c r="H124" s="52" t="str">
        <f>+IF('Data Pura Costos'!H124="","",'Data Pura Costos'!H124)</f>
        <v>Termo</v>
      </c>
      <c r="I124" s="71">
        <f>+IF('Data Pura Costos'!I124="","",'Data Pura Costos'!I124)</f>
        <v>4500</v>
      </c>
      <c r="J124" s="52" t="str">
        <f>+IF('Data Pura Costos'!J124="","",'Data Pura Costos'!J124)</f>
        <v>24-25</v>
      </c>
      <c r="K124" s="82" t="str">
        <f t="shared" si="6"/>
        <v xml:space="preserve">Lihueimo-Malloa-GUSTAVO ZÚÑIGA </v>
      </c>
      <c r="R124" s="6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</row>
    <row r="125" spans="2:39" s="7" customFormat="1" x14ac:dyDescent="0.35">
      <c r="B125" s="4" t="str">
        <f>+IF('Data Pura Costos'!B125="","",'Data Pura Costos'!B125)</f>
        <v>Los Encinos</v>
      </c>
      <c r="C125" s="4" t="str">
        <f>+IF('Data Pura Costos'!C125="","",'Data Pura Costos'!C125)</f>
        <v>Huechun, RM</v>
      </c>
      <c r="D125" s="5">
        <f>+IF('Data Pura Costos'!D125="","",'Data Pura Costos'!D125)</f>
        <v>145</v>
      </c>
      <c r="E125" s="65">
        <f>+IF('Data Pura Costos'!E125="","",IF('Data Pura Costos'!E125=0,MAX('Data Pura Costos'!$E$7:$E$3000)*1000,'Data Pura Costos'!E125))</f>
        <v>490000</v>
      </c>
      <c r="F125" s="5" t="str">
        <f>+IF('Data Pura Costos'!F125="","",'Data Pura Costos'!F125)</f>
        <v>Malloa</v>
      </c>
      <c r="G125" s="5" t="str">
        <f>+IF('Data Pura Costos'!G125="","",'Data Pura Costos'!G125)</f>
        <v xml:space="preserve">GUSTAVO ZÚÑIGA </v>
      </c>
      <c r="H125" s="52" t="str">
        <f>+IF('Data Pura Costos'!H125="","",'Data Pura Costos'!H125)</f>
        <v>Termo</v>
      </c>
      <c r="I125" s="71">
        <f>+IF('Data Pura Costos'!I125="","",'Data Pura Costos'!I125)</f>
        <v>3379.3103448275861</v>
      </c>
      <c r="J125" s="52" t="str">
        <f>+IF('Data Pura Costos'!J125="","",'Data Pura Costos'!J125)</f>
        <v>24-25</v>
      </c>
      <c r="K125" s="82" t="str">
        <f t="shared" si="6"/>
        <v xml:space="preserve">Los Encinos-Malloa-GUSTAVO ZÚÑIGA </v>
      </c>
      <c r="R125" s="6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</row>
    <row r="126" spans="2:39" s="7" customFormat="1" x14ac:dyDescent="0.35">
      <c r="B126" s="4" t="str">
        <f>+IF('Data Pura Costos'!B126="","",'Data Pura Costos'!B126)</f>
        <v>Los Maitenes</v>
      </c>
      <c r="C126" s="4" t="str">
        <f>+IF('Data Pura Costos'!C126="","",'Data Pura Costos'!C126)</f>
        <v>Las Cabras, VI región</v>
      </c>
      <c r="D126" s="5">
        <f>+IF('Data Pura Costos'!D126="","",'Data Pura Costos'!D126)</f>
        <v>60</v>
      </c>
      <c r="E126" s="65">
        <f>+IF('Data Pura Costos'!E126="","",IF('Data Pura Costos'!E126=0,MAX('Data Pura Costos'!$E$7:$E$3000)*1000,'Data Pura Costos'!E126))</f>
        <v>350000</v>
      </c>
      <c r="F126" s="5" t="str">
        <f>+IF('Data Pura Costos'!F126="","",'Data Pura Costos'!F126)</f>
        <v>Malloa</v>
      </c>
      <c r="G126" s="5" t="str">
        <f>+IF('Data Pura Costos'!G126="","",'Data Pura Costos'!G126)</f>
        <v xml:space="preserve">GUSTAVO ZÚÑIGA </v>
      </c>
      <c r="H126" s="52" t="str">
        <f>+IF('Data Pura Costos'!H126="","",'Data Pura Costos'!H126)</f>
        <v>Termo</v>
      </c>
      <c r="I126" s="71">
        <f>+IF('Data Pura Costos'!I126="","",'Data Pura Costos'!I126)</f>
        <v>5833.333333333333</v>
      </c>
      <c r="J126" s="52" t="str">
        <f>+IF('Data Pura Costos'!J126="","",'Data Pura Costos'!J126)</f>
        <v>24-25</v>
      </c>
      <c r="K126" s="82" t="str">
        <f t="shared" si="6"/>
        <v xml:space="preserve">Los Maitenes-Malloa-GUSTAVO ZÚÑIGA </v>
      </c>
      <c r="R126" s="6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</row>
    <row r="127" spans="2:39" s="7" customFormat="1" x14ac:dyDescent="0.35">
      <c r="B127" s="4" t="str">
        <f>+IF('Data Pura Costos'!B127="","",'Data Pura Costos'!B127)</f>
        <v>Los Toldos</v>
      </c>
      <c r="C127" s="4" t="str">
        <f>+IF('Data Pura Costos'!C127="","",'Data Pura Costos'!C127)</f>
        <v>Angol, IX región</v>
      </c>
      <c r="D127" s="5">
        <f>+IF('Data Pura Costos'!D127="","",'Data Pura Costos'!D127)</f>
        <v>50</v>
      </c>
      <c r="E127" s="65">
        <f>+IF('Data Pura Costos'!E127="","",IF('Data Pura Costos'!E127=0,MAX('Data Pura Costos'!$E$7:$E$3000)*1000,'Data Pura Costos'!E127))</f>
        <v>1350000</v>
      </c>
      <c r="F127" s="5" t="str">
        <f>+IF('Data Pura Costos'!F127="","",'Data Pura Costos'!F127)</f>
        <v>Malloa</v>
      </c>
      <c r="G127" s="5" t="str">
        <f>+IF('Data Pura Costos'!G127="","",'Data Pura Costos'!G127)</f>
        <v xml:space="preserve">GUSTAVO ZÚÑIGA </v>
      </c>
      <c r="H127" s="52" t="str">
        <f>+IF('Data Pura Costos'!H127="","",'Data Pura Costos'!H127)</f>
        <v>Termo</v>
      </c>
      <c r="I127" s="71">
        <f>+IF('Data Pura Costos'!I127="","",'Data Pura Costos'!I127)</f>
        <v>27000</v>
      </c>
      <c r="J127" s="52" t="str">
        <f>+IF('Data Pura Costos'!J127="","",'Data Pura Costos'!J127)</f>
        <v>24-25</v>
      </c>
      <c r="K127" s="82" t="str">
        <f t="shared" si="6"/>
        <v xml:space="preserve">Los Toldos-Malloa-GUSTAVO ZÚÑIGA </v>
      </c>
      <c r="R127" s="6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</row>
    <row r="128" spans="2:39" s="7" customFormat="1" x14ac:dyDescent="0.35">
      <c r="B128" s="4" t="str">
        <f>+IF('Data Pura Costos'!B128="","",'Data Pura Costos'!B128)</f>
        <v>Mallorca</v>
      </c>
      <c r="C128" s="4" t="str">
        <f>+IF('Data Pura Costos'!C128="","",'Data Pura Costos'!C128)</f>
        <v xml:space="preserve">Molina, VII región </v>
      </c>
      <c r="D128" s="5">
        <f>+IF('Data Pura Costos'!D128="","",'Data Pura Costos'!D128)</f>
        <v>95</v>
      </c>
      <c r="E128" s="65">
        <f>+IF('Data Pura Costos'!E128="","",IF('Data Pura Costos'!E128=0,MAX('Data Pura Costos'!$E$7:$E$3000)*1000,'Data Pura Costos'!E128))</f>
        <v>380000</v>
      </c>
      <c r="F128" s="5" t="str">
        <f>+IF('Data Pura Costos'!F128="","",'Data Pura Costos'!F128)</f>
        <v>Malloa</v>
      </c>
      <c r="G128" s="5" t="str">
        <f>+IF('Data Pura Costos'!G128="","",'Data Pura Costos'!G128)</f>
        <v xml:space="preserve">GUSTAVO ZÚÑIGA </v>
      </c>
      <c r="H128" s="52" t="str">
        <f>+IF('Data Pura Costos'!H128="","",'Data Pura Costos'!H128)</f>
        <v>Termo</v>
      </c>
      <c r="I128" s="71">
        <f>+IF('Data Pura Costos'!I128="","",'Data Pura Costos'!I128)</f>
        <v>4000</v>
      </c>
      <c r="J128" s="52" t="str">
        <f>+IF('Data Pura Costos'!J128="","",'Data Pura Costos'!J128)</f>
        <v>24-25</v>
      </c>
      <c r="K128" s="82" t="str">
        <f t="shared" si="6"/>
        <v xml:space="preserve">Mallorca-Malloa-GUSTAVO ZÚÑIGA </v>
      </c>
      <c r="R128" s="6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</row>
    <row r="129" spans="2:39" s="7" customFormat="1" x14ac:dyDescent="0.35">
      <c r="B129" s="4" t="str">
        <f>+IF('Data Pura Costos'!B129="","",'Data Pura Costos'!B129)</f>
        <v>Panquehue</v>
      </c>
      <c r="C129" s="4" t="str">
        <f>+IF('Data Pura Costos'!C129="","",'Data Pura Costos'!C129)</f>
        <v>Panquehue, V región</v>
      </c>
      <c r="D129" s="5">
        <f>+IF('Data Pura Costos'!D129="","",'Data Pura Costos'!D129)</f>
        <v>230</v>
      </c>
      <c r="E129" s="65">
        <f>+IF('Data Pura Costos'!E129="","",IF('Data Pura Costos'!E129=0,MAX('Data Pura Costos'!$E$7:$E$3000)*1000,'Data Pura Costos'!E129))</f>
        <v>630000</v>
      </c>
      <c r="F129" s="5" t="str">
        <f>+IF('Data Pura Costos'!F129="","",'Data Pura Costos'!F129)</f>
        <v>Malloa</v>
      </c>
      <c r="G129" s="5" t="str">
        <f>+IF('Data Pura Costos'!G129="","",'Data Pura Costos'!G129)</f>
        <v xml:space="preserve">GUSTAVO ZÚÑIGA </v>
      </c>
      <c r="H129" s="52" t="str">
        <f>+IF('Data Pura Costos'!H129="","",'Data Pura Costos'!H129)</f>
        <v>Termo</v>
      </c>
      <c r="I129" s="71">
        <f>+IF('Data Pura Costos'!I129="","",'Data Pura Costos'!I129)</f>
        <v>2739.1304347826085</v>
      </c>
      <c r="J129" s="52" t="str">
        <f>+IF('Data Pura Costos'!J129="","",'Data Pura Costos'!J129)</f>
        <v>24-25</v>
      </c>
      <c r="K129" s="82" t="str">
        <f t="shared" si="6"/>
        <v xml:space="preserve">Panquehue-Malloa-GUSTAVO ZÚÑIGA </v>
      </c>
      <c r="R129" s="6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</row>
    <row r="130" spans="2:39" s="7" customFormat="1" x14ac:dyDescent="0.35">
      <c r="B130" s="4" t="str">
        <f>+IF('Data Pura Costos'!B130="","",'Data Pura Costos'!B130)</f>
        <v>Entre Rios/Puente Negro/Rio Claro</v>
      </c>
      <c r="C130" s="4" t="str">
        <f>+IF('Data Pura Costos'!C130="","",'Data Pura Costos'!C130)</f>
        <v>Puente negro, san fernando.VI Region.</v>
      </c>
      <c r="D130" s="5">
        <f>+IF('Data Pura Costos'!D130="","",'Data Pura Costos'!D130)</f>
        <v>50</v>
      </c>
      <c r="E130" s="65">
        <f>+IF('Data Pura Costos'!E130="","",IF('Data Pura Costos'!E130=0,MAX('Data Pura Costos'!$E$7:$E$3000)*1000,'Data Pura Costos'!E130))</f>
        <v>350000</v>
      </c>
      <c r="F130" s="5" t="str">
        <f>+IF('Data Pura Costos'!F130="","",'Data Pura Costos'!F130)</f>
        <v>Malloa</v>
      </c>
      <c r="G130" s="5" t="str">
        <f>+IF('Data Pura Costos'!G130="","",'Data Pura Costos'!G130)</f>
        <v xml:space="preserve">GUSTAVO ZÚÑIGA </v>
      </c>
      <c r="H130" s="52" t="str">
        <f>+IF('Data Pura Costos'!H130="","",'Data Pura Costos'!H130)</f>
        <v>Termo</v>
      </c>
      <c r="I130" s="71">
        <f>+IF('Data Pura Costos'!I130="","",'Data Pura Costos'!I130)</f>
        <v>7000</v>
      </c>
      <c r="J130" s="52" t="str">
        <f>+IF('Data Pura Costos'!J130="","",'Data Pura Costos'!J130)</f>
        <v>24-25</v>
      </c>
      <c r="K130" s="82" t="str">
        <f t="shared" si="6"/>
        <v xml:space="preserve">Entre Rios/Puente Negro/Rio Claro-Malloa-GUSTAVO ZÚÑIGA </v>
      </c>
      <c r="R130" s="6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</row>
    <row r="131" spans="2:39" s="7" customFormat="1" x14ac:dyDescent="0.35">
      <c r="B131" s="4" t="str">
        <f>+IF('Data Pura Costos'!B131="","",'Data Pura Costos'!B131)</f>
        <v>Retorno</v>
      </c>
      <c r="C131" s="4" t="str">
        <f>+IF('Data Pura Costos'!C131="","",'Data Pura Costos'!C131)</f>
        <v>Santa maria, V región</v>
      </c>
      <c r="D131" s="5">
        <f>+IF('Data Pura Costos'!D131="","",'Data Pura Costos'!D131)</f>
        <v>225</v>
      </c>
      <c r="E131" s="65">
        <f>+IF('Data Pura Costos'!E131="","",IF('Data Pura Costos'!E131=0,MAX('Data Pura Costos'!$E$7:$E$3000)*1000,'Data Pura Costos'!E131))</f>
        <v>630000</v>
      </c>
      <c r="F131" s="5" t="str">
        <f>+IF('Data Pura Costos'!F131="","",'Data Pura Costos'!F131)</f>
        <v>Malloa</v>
      </c>
      <c r="G131" s="5" t="str">
        <f>+IF('Data Pura Costos'!G131="","",'Data Pura Costos'!G131)</f>
        <v xml:space="preserve">GUSTAVO ZÚÑIGA </v>
      </c>
      <c r="H131" s="52" t="str">
        <f>+IF('Data Pura Costos'!H131="","",'Data Pura Costos'!H131)</f>
        <v>Termo</v>
      </c>
      <c r="I131" s="71">
        <f>+IF('Data Pura Costos'!I131="","",'Data Pura Costos'!I131)</f>
        <v>2800</v>
      </c>
      <c r="J131" s="52" t="str">
        <f>+IF('Data Pura Costos'!J131="","",'Data Pura Costos'!J131)</f>
        <v>24-25</v>
      </c>
      <c r="K131" s="82" t="str">
        <f t="shared" si="6"/>
        <v xml:space="preserve">Retorno-Malloa-GUSTAVO ZÚÑIGA </v>
      </c>
      <c r="R131" s="6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</row>
    <row r="132" spans="2:39" s="7" customFormat="1" x14ac:dyDescent="0.35">
      <c r="B132" s="4" t="str">
        <f>+IF('Data Pura Costos'!B132="","",'Data Pura Costos'!B132)</f>
        <v>San Hernán</v>
      </c>
      <c r="C132" s="4" t="str">
        <f>+IF('Data Pura Costos'!C132="","",'Data Pura Costos'!C132)</f>
        <v>Graneros, VI región</v>
      </c>
      <c r="D132" s="5">
        <f>+IF('Data Pura Costos'!D132="","",'Data Pura Costos'!D132)</f>
        <v>60</v>
      </c>
      <c r="E132" s="65">
        <f>+IF('Data Pura Costos'!E132="","",IF('Data Pura Costos'!E132=0,MAX('Data Pura Costos'!$E$7:$E$3000)*1000,'Data Pura Costos'!E132))</f>
        <v>350000</v>
      </c>
      <c r="F132" s="5" t="str">
        <f>+IF('Data Pura Costos'!F132="","",'Data Pura Costos'!F132)</f>
        <v>Malloa</v>
      </c>
      <c r="G132" s="5" t="str">
        <f>+IF('Data Pura Costos'!G132="","",'Data Pura Costos'!G132)</f>
        <v xml:space="preserve">GUSTAVO ZÚÑIGA </v>
      </c>
      <c r="H132" s="52" t="str">
        <f>+IF('Data Pura Costos'!H132="","",'Data Pura Costos'!H132)</f>
        <v>Termo</v>
      </c>
      <c r="I132" s="71">
        <f>+IF('Data Pura Costos'!I132="","",'Data Pura Costos'!I132)</f>
        <v>5833.333333333333</v>
      </c>
      <c r="J132" s="52" t="str">
        <f>+IF('Data Pura Costos'!J132="","",'Data Pura Costos'!J132)</f>
        <v>24-25</v>
      </c>
      <c r="K132" s="82" t="str">
        <f t="shared" si="6"/>
        <v xml:space="preserve">San Hernán-Malloa-GUSTAVO ZÚÑIGA </v>
      </c>
      <c r="R132" s="6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</row>
    <row r="133" spans="2:39" s="7" customFormat="1" x14ac:dyDescent="0.35">
      <c r="B133" s="4" t="str">
        <f>+IF('Data Pura Costos'!B133="","",'Data Pura Costos'!B133)</f>
        <v>Santa Mónica</v>
      </c>
      <c r="C133" s="4" t="str">
        <f>+IF('Data Pura Costos'!C133="","",'Data Pura Costos'!C133)</f>
        <v xml:space="preserve">Rancagua, sector Chancón, VI región </v>
      </c>
      <c r="D133" s="5">
        <f>+IF('Data Pura Costos'!D133="","",'Data Pura Costos'!D133)</f>
        <v>55</v>
      </c>
      <c r="E133" s="65">
        <f>+IF('Data Pura Costos'!E133="","",IF('Data Pura Costos'!E133=0,MAX('Data Pura Costos'!$E$7:$E$3000)*1000,'Data Pura Costos'!E133))</f>
        <v>350000</v>
      </c>
      <c r="F133" s="5" t="str">
        <f>+IF('Data Pura Costos'!F133="","",'Data Pura Costos'!F133)</f>
        <v>Malloa</v>
      </c>
      <c r="G133" s="5" t="str">
        <f>+IF('Data Pura Costos'!G133="","",'Data Pura Costos'!G133)</f>
        <v xml:space="preserve">GUSTAVO ZÚÑIGA </v>
      </c>
      <c r="H133" s="52" t="str">
        <f>+IF('Data Pura Costos'!H133="","",'Data Pura Costos'!H133)</f>
        <v>Termo</v>
      </c>
      <c r="I133" s="71">
        <f>+IF('Data Pura Costos'!I133="","",'Data Pura Costos'!I133)</f>
        <v>6363.636363636364</v>
      </c>
      <c r="J133" s="52" t="str">
        <f>+IF('Data Pura Costos'!J133="","",'Data Pura Costos'!J133)</f>
        <v>24-25</v>
      </c>
      <c r="K133" s="82" t="str">
        <f t="shared" si="6"/>
        <v xml:space="preserve">Santa Mónica-Malloa-GUSTAVO ZÚÑIGA </v>
      </c>
      <c r="R133" s="6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</row>
    <row r="134" spans="2:39" s="7" customFormat="1" x14ac:dyDescent="0.35">
      <c r="B134" s="4" t="str">
        <f>+IF('Data Pura Costos'!B134="","",'Data Pura Costos'!B134)</f>
        <v>Talhuén</v>
      </c>
      <c r="C134" s="4" t="str">
        <f>+IF('Data Pura Costos'!C134="","",'Data Pura Costos'!C134)</f>
        <v>Palmilla, VI región</v>
      </c>
      <c r="D134" s="5">
        <f>+IF('Data Pura Costos'!D134="","",'Data Pura Costos'!D134)</f>
        <v>60</v>
      </c>
      <c r="E134" s="65">
        <f>+IF('Data Pura Costos'!E134="","",IF('Data Pura Costos'!E134=0,MAX('Data Pura Costos'!$E$7:$E$3000)*1000,'Data Pura Costos'!E134))</f>
        <v>350000</v>
      </c>
      <c r="F134" s="5" t="str">
        <f>+IF('Data Pura Costos'!F134="","",'Data Pura Costos'!F134)</f>
        <v>Malloa</v>
      </c>
      <c r="G134" s="5" t="str">
        <f>+IF('Data Pura Costos'!G134="","",'Data Pura Costos'!G134)</f>
        <v xml:space="preserve">GUSTAVO ZÚÑIGA </v>
      </c>
      <c r="H134" s="52" t="str">
        <f>+IF('Data Pura Costos'!H134="","",'Data Pura Costos'!H134)</f>
        <v>Termo</v>
      </c>
      <c r="I134" s="71">
        <f>+IF('Data Pura Costos'!I134="","",'Data Pura Costos'!I134)</f>
        <v>5833.333333333333</v>
      </c>
      <c r="J134" s="52" t="str">
        <f>+IF('Data Pura Costos'!J134="","",'Data Pura Costos'!J134)</f>
        <v>24-25</v>
      </c>
      <c r="K134" s="82" t="str">
        <f t="shared" si="6"/>
        <v xml:space="preserve">Talhuén-Malloa-GUSTAVO ZÚÑIGA </v>
      </c>
      <c r="R134" s="6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</row>
    <row r="135" spans="2:39" s="7" customFormat="1" x14ac:dyDescent="0.35">
      <c r="B135" s="4" t="str">
        <f>+IF('Data Pura Costos'!B135="","",'Data Pura Costos'!B135)</f>
        <v>Villaseca</v>
      </c>
      <c r="C135" s="4" t="str">
        <f>+IF('Data Pura Costos'!C135="","",'Data Pura Costos'!C135)</f>
        <v>Retiro, VII reginón</v>
      </c>
      <c r="D135" s="5">
        <f>+IF('Data Pura Costos'!D135="","",'Data Pura Costos'!D135)</f>
        <v>250</v>
      </c>
      <c r="E135" s="65">
        <f>+IF('Data Pura Costos'!E135="","",IF('Data Pura Costos'!E135=0,MAX('Data Pura Costos'!$E$7:$E$3000)*1000,'Data Pura Costos'!E135))</f>
        <v>680000</v>
      </c>
      <c r="F135" s="5" t="str">
        <f>+IF('Data Pura Costos'!F135="","",'Data Pura Costos'!F135)</f>
        <v>Malloa</v>
      </c>
      <c r="G135" s="5" t="str">
        <f>+IF('Data Pura Costos'!G135="","",'Data Pura Costos'!G135)</f>
        <v xml:space="preserve">GUSTAVO ZÚÑIGA </v>
      </c>
      <c r="H135" s="52" t="str">
        <f>+IF('Data Pura Costos'!H135="","",'Data Pura Costos'!H135)</f>
        <v>Termo</v>
      </c>
      <c r="I135" s="71">
        <f>+IF('Data Pura Costos'!I135="","",'Data Pura Costos'!I135)</f>
        <v>2720</v>
      </c>
      <c r="J135" s="52" t="str">
        <f>+IF('Data Pura Costos'!J135="","",'Data Pura Costos'!J135)</f>
        <v>24-25</v>
      </c>
      <c r="K135" s="82" t="str">
        <f t="shared" si="6"/>
        <v xml:space="preserve">Villaseca-Malloa-GUSTAVO ZÚÑIGA </v>
      </c>
      <c r="R135" s="6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</row>
    <row r="136" spans="2:39" s="7" customFormat="1" x14ac:dyDescent="0.35">
      <c r="B136" s="4" t="str">
        <f>+IF('Data Pura Costos'!B136="","",'Data Pura Costos'!B136)</f>
        <v>Almahue</v>
      </c>
      <c r="C136" s="4" t="str">
        <f>+IF('Data Pura Costos'!C136="","",'Data Pura Costos'!C136)</f>
        <v>Pichidegua, VI región</v>
      </c>
      <c r="D136" s="5">
        <f>+IF('Data Pura Costos'!D136="","",'Data Pura Costos'!D136)</f>
        <v>108</v>
      </c>
      <c r="E136" s="65">
        <f>+IF('Data Pura Costos'!E136="","",IF('Data Pura Costos'!E136=0,MAX('Data Pura Costos'!$E$7:$E$3000)*1000,'Data Pura Costos'!E136))</f>
        <v>380000</v>
      </c>
      <c r="F136" s="5" t="str">
        <f>+IF('Data Pura Costos'!F136="","",'Data Pura Costos'!F136)</f>
        <v>Mostazal</v>
      </c>
      <c r="G136" s="5" t="str">
        <f>+IF('Data Pura Costos'!G136="","",'Data Pura Costos'!G136)</f>
        <v>LAVALLE</v>
      </c>
      <c r="H136" s="52" t="str">
        <f>+IF('Data Pura Costos'!H136="","",'Data Pura Costos'!H136)</f>
        <v>Termo</v>
      </c>
      <c r="I136" s="71">
        <f>+IF('Data Pura Costos'!I136="","",'Data Pura Costos'!I136)</f>
        <v>3518.5185185185187</v>
      </c>
      <c r="J136" s="52" t="str">
        <f>+IF('Data Pura Costos'!J136="","",'Data Pura Costos'!J136)</f>
        <v>24-25</v>
      </c>
      <c r="K136" s="82" t="str">
        <f t="shared" ref="K136:K199" si="7">+IF(B136="","",CONCATENATE(B136,"-",F136,"-",G136))</f>
        <v>Almahue-Mostazal-LAVALLE</v>
      </c>
      <c r="R136" s="6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</row>
    <row r="137" spans="2:39" s="7" customFormat="1" x14ac:dyDescent="0.35">
      <c r="B137" s="4" t="str">
        <f>+IF('Data Pura Costos'!B137="","",'Data Pura Costos'!B137)</f>
        <v>Bodega</v>
      </c>
      <c r="C137" s="4" t="str">
        <f>+IF('Data Pura Costos'!C137="","",'Data Pura Costos'!C137)</f>
        <v>Linares, VII region.</v>
      </c>
      <c r="D137" s="5">
        <f>+IF('Data Pura Costos'!D137="","",'Data Pura Costos'!D137)</f>
        <v>264</v>
      </c>
      <c r="E137" s="65">
        <f>+IF('Data Pura Costos'!E137="","",IF('Data Pura Costos'!E137=0,MAX('Data Pura Costos'!$E$7:$E$3000)*1000,'Data Pura Costos'!E137))</f>
        <v>480000</v>
      </c>
      <c r="F137" s="5" t="str">
        <f>+IF('Data Pura Costos'!F137="","",'Data Pura Costos'!F137)</f>
        <v>Mostazal</v>
      </c>
      <c r="G137" s="5" t="str">
        <f>+IF('Data Pura Costos'!G137="","",'Data Pura Costos'!G137)</f>
        <v>LAVALLE</v>
      </c>
      <c r="H137" s="52" t="str">
        <f>+IF('Data Pura Costos'!H137="","",'Data Pura Costos'!H137)</f>
        <v>Termo</v>
      </c>
      <c r="I137" s="71">
        <f>+IF('Data Pura Costos'!I137="","",'Data Pura Costos'!I137)</f>
        <v>1818.1818181818182</v>
      </c>
      <c r="J137" s="52" t="str">
        <f>+IF('Data Pura Costos'!J137="","",'Data Pura Costos'!J137)</f>
        <v>24-25</v>
      </c>
      <c r="K137" s="82" t="str">
        <f t="shared" si="7"/>
        <v>Bodega-Mostazal-LAVALLE</v>
      </c>
      <c r="R137" s="6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</row>
    <row r="138" spans="2:39" s="7" customFormat="1" x14ac:dyDescent="0.35">
      <c r="B138" s="4" t="str">
        <f>+IF('Data Pura Costos'!B138="","",'Data Pura Costos'!B138)</f>
        <v xml:space="preserve">Caliboro </v>
      </c>
      <c r="C138" s="4" t="str">
        <f>+IF('Data Pura Costos'!C138="","",'Data Pura Costos'!C138)</f>
        <v>San Javier, VII región</v>
      </c>
      <c r="D138" s="5">
        <f>+IF('Data Pura Costos'!D138="","",'Data Pura Costos'!D138)</f>
        <v>258</v>
      </c>
      <c r="E138" s="65">
        <f>+IF('Data Pura Costos'!E138="","",IF('Data Pura Costos'!E138=0,MAX('Data Pura Costos'!$E$7:$E$3000)*1000,'Data Pura Costos'!E138))</f>
        <v>480000</v>
      </c>
      <c r="F138" s="5" t="str">
        <f>+IF('Data Pura Costos'!F138="","",'Data Pura Costos'!F138)</f>
        <v>Mostazal</v>
      </c>
      <c r="G138" s="5" t="str">
        <f>+IF('Data Pura Costos'!G138="","",'Data Pura Costos'!G138)</f>
        <v>LAVALLE</v>
      </c>
      <c r="H138" s="52" t="str">
        <f>+IF('Data Pura Costos'!H138="","",'Data Pura Costos'!H138)</f>
        <v>Termo</v>
      </c>
      <c r="I138" s="71">
        <f>+IF('Data Pura Costos'!I138="","",'Data Pura Costos'!I138)</f>
        <v>1860.4651162790697</v>
      </c>
      <c r="J138" s="52" t="str">
        <f>+IF('Data Pura Costos'!J138="","",'Data Pura Costos'!J138)</f>
        <v>24-25</v>
      </c>
      <c r="K138" s="82" t="str">
        <f t="shared" si="7"/>
        <v>Caliboro -Mostazal-LAVALLE</v>
      </c>
      <c r="R138" s="6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</row>
    <row r="139" spans="2:39" s="7" customFormat="1" x14ac:dyDescent="0.35">
      <c r="B139" s="4" t="str">
        <f>+IF('Data Pura Costos'!B139="","",'Data Pura Costos'!B139)</f>
        <v>Calleuque</v>
      </c>
      <c r="C139" s="4" t="str">
        <f>+IF('Data Pura Costos'!C139="","",'Data Pura Costos'!C139)</f>
        <v>Peralillo ohiggins, VI región</v>
      </c>
      <c r="D139" s="5">
        <f>+IF('Data Pura Costos'!D139="","",'Data Pura Costos'!D139)</f>
        <v>143</v>
      </c>
      <c r="E139" s="65">
        <f>+IF('Data Pura Costos'!E139="","",IF('Data Pura Costos'!E139=0,MAX('Data Pura Costos'!$E$7:$E$3000)*1000,'Data Pura Costos'!E139))</f>
        <v>390000</v>
      </c>
      <c r="F139" s="5" t="str">
        <f>+IF('Data Pura Costos'!F139="","",'Data Pura Costos'!F139)</f>
        <v>Mostazal</v>
      </c>
      <c r="G139" s="5" t="str">
        <f>+IF('Data Pura Costos'!G139="","",'Data Pura Costos'!G139)</f>
        <v>LAVALLE</v>
      </c>
      <c r="H139" s="52" t="str">
        <f>+IF('Data Pura Costos'!H139="","",'Data Pura Costos'!H139)</f>
        <v>Termo</v>
      </c>
      <c r="I139" s="71">
        <f>+IF('Data Pura Costos'!I139="","",'Data Pura Costos'!I139)</f>
        <v>2727.2727272727275</v>
      </c>
      <c r="J139" s="52" t="str">
        <f>+IF('Data Pura Costos'!J139="","",'Data Pura Costos'!J139)</f>
        <v>24-25</v>
      </c>
      <c r="K139" s="82" t="str">
        <f t="shared" si="7"/>
        <v>Calleuque-Mostazal-LAVALLE</v>
      </c>
      <c r="R139" s="6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</row>
    <row r="140" spans="2:39" s="7" customFormat="1" x14ac:dyDescent="0.35">
      <c r="B140" s="4" t="str">
        <f>+IF('Data Pura Costos'!B140="","",'Data Pura Costos'!B140)</f>
        <v>Chumpirro</v>
      </c>
      <c r="C140" s="4" t="str">
        <f>+IF('Data Pura Costos'!C140="","",'Data Pura Costos'!C140)</f>
        <v>Angol, IX región</v>
      </c>
      <c r="D140" s="5">
        <f>+IF('Data Pura Costos'!D140="","",'Data Pura Costos'!D140)</f>
        <v>499</v>
      </c>
      <c r="E140" s="65">
        <f>+IF('Data Pura Costos'!E140="","",IF('Data Pura Costos'!E140=0,MAX('Data Pura Costos'!$E$7:$E$3000)*1000,'Data Pura Costos'!E140))</f>
        <v>1200000</v>
      </c>
      <c r="F140" s="5" t="str">
        <f>+IF('Data Pura Costos'!F140="","",'Data Pura Costos'!F140)</f>
        <v>Mostazal</v>
      </c>
      <c r="G140" s="5" t="str">
        <f>+IF('Data Pura Costos'!G140="","",'Data Pura Costos'!G140)</f>
        <v>LAVALLE</v>
      </c>
      <c r="H140" s="52" t="str">
        <f>+IF('Data Pura Costos'!H140="","",'Data Pura Costos'!H140)</f>
        <v>Termo</v>
      </c>
      <c r="I140" s="71">
        <f>+IF('Data Pura Costos'!I140="","",'Data Pura Costos'!I140)</f>
        <v>2404.8096192384769</v>
      </c>
      <c r="J140" s="52" t="str">
        <f>+IF('Data Pura Costos'!J140="","",'Data Pura Costos'!J140)</f>
        <v>24-25</v>
      </c>
      <c r="K140" s="82" t="str">
        <f t="shared" si="7"/>
        <v>Chumpirro-Mostazal-LAVALLE</v>
      </c>
      <c r="R140" s="6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</row>
    <row r="141" spans="2:39" s="7" customFormat="1" x14ac:dyDescent="0.35">
      <c r="B141" s="4" t="str">
        <f>+IF('Data Pura Costos'!B141="","",'Data Pura Costos'!B141)</f>
        <v xml:space="preserve"> Cocalán</v>
      </c>
      <c r="C141" s="4" t="str">
        <f>+IF('Data Pura Costos'!C141="","",'Data Pura Costos'!C141)</f>
        <v>Cocalán, VI región</v>
      </c>
      <c r="D141" s="5">
        <f>+IF('Data Pura Costos'!D141="","",'Data Pura Costos'!D141)</f>
        <v>113</v>
      </c>
      <c r="E141" s="65">
        <f>+IF('Data Pura Costos'!E141="","",IF('Data Pura Costos'!E141=0,MAX('Data Pura Costos'!$E$7:$E$3000)*1000,'Data Pura Costos'!E141))</f>
        <v>380000</v>
      </c>
      <c r="F141" s="5" t="str">
        <f>+IF('Data Pura Costos'!F141="","",'Data Pura Costos'!F141)</f>
        <v>Mostazal</v>
      </c>
      <c r="G141" s="5" t="str">
        <f>+IF('Data Pura Costos'!G141="","",'Data Pura Costos'!G141)</f>
        <v>LAVALLE</v>
      </c>
      <c r="H141" s="52" t="str">
        <f>+IF('Data Pura Costos'!H141="","",'Data Pura Costos'!H141)</f>
        <v>Termo</v>
      </c>
      <c r="I141" s="71">
        <f>+IF('Data Pura Costos'!I141="","",'Data Pura Costos'!I141)</f>
        <v>3362.8318584070798</v>
      </c>
      <c r="J141" s="52" t="str">
        <f>+IF('Data Pura Costos'!J141="","",'Data Pura Costos'!J141)</f>
        <v>24-25</v>
      </c>
      <c r="K141" s="82" t="str">
        <f t="shared" si="7"/>
        <v xml:space="preserve"> Cocalán-Mostazal-LAVALLE</v>
      </c>
      <c r="R141" s="6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</row>
    <row r="142" spans="2:39" s="7" customFormat="1" x14ac:dyDescent="0.35">
      <c r="B142" s="4" t="str">
        <f>+IF('Data Pura Costos'!B142="","",'Data Pura Costos'!B142)</f>
        <v>El Descanso</v>
      </c>
      <c r="C142" s="4" t="str">
        <f>+IF('Data Pura Costos'!C142="","",'Data Pura Costos'!C142)</f>
        <v>Sagrada Familia, VII región</v>
      </c>
      <c r="D142" s="5">
        <f>+IF('Data Pura Costos'!D142="","",'Data Pura Costos'!D142)</f>
        <v>240</v>
      </c>
      <c r="E142" s="65">
        <f>+IF('Data Pura Costos'!E142="","",IF('Data Pura Costos'!E142=0,MAX('Data Pura Costos'!$E$7:$E$3000)*1000,'Data Pura Costos'!E142))</f>
        <v>380000</v>
      </c>
      <c r="F142" s="5" t="str">
        <f>+IF('Data Pura Costos'!F142="","",'Data Pura Costos'!F142)</f>
        <v>Mostazal</v>
      </c>
      <c r="G142" s="5" t="str">
        <f>+IF('Data Pura Costos'!G142="","",'Data Pura Costos'!G142)</f>
        <v>LAVALLE</v>
      </c>
      <c r="H142" s="52" t="str">
        <f>+IF('Data Pura Costos'!H142="","",'Data Pura Costos'!H142)</f>
        <v>Termo</v>
      </c>
      <c r="I142" s="71">
        <f>+IF('Data Pura Costos'!I142="","",'Data Pura Costos'!I142)</f>
        <v>1583.3333333333333</v>
      </c>
      <c r="J142" s="52" t="str">
        <f>+IF('Data Pura Costos'!J142="","",'Data Pura Costos'!J142)</f>
        <v>24-25</v>
      </c>
      <c r="K142" s="82" t="str">
        <f t="shared" si="7"/>
        <v>El Descanso-Mostazal-LAVALLE</v>
      </c>
      <c r="R142" s="6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</row>
    <row r="143" spans="2:39" s="7" customFormat="1" x14ac:dyDescent="0.35">
      <c r="B143" s="4" t="str">
        <f>+IF('Data Pura Costos'!B143="","",'Data Pura Costos'!B143)</f>
        <v>El Huaico</v>
      </c>
      <c r="C143" s="4" t="str">
        <f>+IF('Data Pura Costos'!C143="","",'Data Pura Costos'!C143)</f>
        <v>Palmila Ohiggins</v>
      </c>
      <c r="D143" s="5">
        <f>+IF('Data Pura Costos'!D143="","",'Data Pura Costos'!D143)</f>
        <v>124</v>
      </c>
      <c r="E143" s="65">
        <f>+IF('Data Pura Costos'!E143="","",IF('Data Pura Costos'!E143=0,MAX('Data Pura Costos'!$E$7:$E$3000)*1000,'Data Pura Costos'!E143))</f>
        <v>390000</v>
      </c>
      <c r="F143" s="5" t="str">
        <f>+IF('Data Pura Costos'!F143="","",'Data Pura Costos'!F143)</f>
        <v>Mostazal</v>
      </c>
      <c r="G143" s="5" t="str">
        <f>+IF('Data Pura Costos'!G143="","",'Data Pura Costos'!G143)</f>
        <v>LAVALLE</v>
      </c>
      <c r="H143" s="52" t="str">
        <f>+IF('Data Pura Costos'!H143="","",'Data Pura Costos'!H143)</f>
        <v>Termo</v>
      </c>
      <c r="I143" s="71">
        <f>+IF('Data Pura Costos'!I143="","",'Data Pura Costos'!I143)</f>
        <v>3145.1612903225805</v>
      </c>
      <c r="J143" s="52" t="str">
        <f>+IF('Data Pura Costos'!J143="","",'Data Pura Costos'!J143)</f>
        <v>24-25</v>
      </c>
      <c r="K143" s="82" t="str">
        <f t="shared" si="7"/>
        <v>El Huaico-Mostazal-LAVALLE</v>
      </c>
      <c r="R143" s="6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</row>
    <row r="144" spans="2:39" s="7" customFormat="1" x14ac:dyDescent="0.35">
      <c r="B144" s="4" t="str">
        <f>+IF('Data Pura Costos'!B144="","",'Data Pura Costos'!B144)</f>
        <v>El Rosario</v>
      </c>
      <c r="C144" s="4" t="str">
        <f>+IF('Data Pura Costos'!C144="","",'Data Pura Costos'!C144)</f>
        <v>Linares, VII region.</v>
      </c>
      <c r="D144" s="5">
        <f>+IF('Data Pura Costos'!D144="","",'Data Pura Costos'!D144)</f>
        <v>260</v>
      </c>
      <c r="E144" s="65">
        <f>+IF('Data Pura Costos'!E144="","",IF('Data Pura Costos'!E144=0,MAX('Data Pura Costos'!$E$7:$E$3000)*1000,'Data Pura Costos'!E144))</f>
        <v>480000</v>
      </c>
      <c r="F144" s="5" t="str">
        <f>+IF('Data Pura Costos'!F144="","",'Data Pura Costos'!F144)</f>
        <v>Mostazal</v>
      </c>
      <c r="G144" s="5" t="str">
        <f>+IF('Data Pura Costos'!G144="","",'Data Pura Costos'!G144)</f>
        <v>LAVALLE</v>
      </c>
      <c r="H144" s="52" t="str">
        <f>+IF('Data Pura Costos'!H144="","",'Data Pura Costos'!H144)</f>
        <v>Termo</v>
      </c>
      <c r="I144" s="71">
        <f>+IF('Data Pura Costos'!I144="","",'Data Pura Costos'!I144)</f>
        <v>1846.1538461538462</v>
      </c>
      <c r="J144" s="52" t="str">
        <f>+IF('Data Pura Costos'!J144="","",'Data Pura Costos'!J144)</f>
        <v>24-25</v>
      </c>
      <c r="K144" s="82" t="str">
        <f t="shared" si="7"/>
        <v>El Rosario-Mostazal-LAVALLE</v>
      </c>
      <c r="R144" s="6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</row>
    <row r="145" spans="2:39" s="7" customFormat="1" x14ac:dyDescent="0.35">
      <c r="B145" s="4" t="str">
        <f>+IF('Data Pura Costos'!B145="","",'Data Pura Costos'!B145)</f>
        <v>La Esperanza</v>
      </c>
      <c r="C145" s="4" t="str">
        <f>+IF('Data Pura Costos'!C145="","",'Data Pura Costos'!C145)</f>
        <v>Peumo, VI región</v>
      </c>
      <c r="D145" s="5">
        <f>+IF('Data Pura Costos'!D145="","",'Data Pura Costos'!D145)</f>
        <v>98</v>
      </c>
      <c r="E145" s="65">
        <f>+IF('Data Pura Costos'!E145="","",IF('Data Pura Costos'!E145=0,MAX('Data Pura Costos'!$E$7:$E$3000)*1000,'Data Pura Costos'!E145))</f>
        <v>380000</v>
      </c>
      <c r="F145" s="5" t="str">
        <f>+IF('Data Pura Costos'!F145="","",'Data Pura Costos'!F145)</f>
        <v>Mostazal</v>
      </c>
      <c r="G145" s="5" t="str">
        <f>+IF('Data Pura Costos'!G145="","",'Data Pura Costos'!G145)</f>
        <v>LAVALLE</v>
      </c>
      <c r="H145" s="52" t="str">
        <f>+IF('Data Pura Costos'!H145="","",'Data Pura Costos'!H145)</f>
        <v>Termo</v>
      </c>
      <c r="I145" s="71">
        <f>+IF('Data Pura Costos'!I145="","",'Data Pura Costos'!I145)</f>
        <v>3877.5510204081634</v>
      </c>
      <c r="J145" s="52" t="str">
        <f>+IF('Data Pura Costos'!J145="","",'Data Pura Costos'!J145)</f>
        <v>24-25</v>
      </c>
      <c r="K145" s="82" t="str">
        <f t="shared" si="7"/>
        <v>La Esperanza-Mostazal-LAVALLE</v>
      </c>
      <c r="R145" s="6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</row>
    <row r="146" spans="2:39" s="7" customFormat="1" x14ac:dyDescent="0.35">
      <c r="B146" s="4" t="str">
        <f>+IF('Data Pura Costos'!B146="","",'Data Pura Costos'!B146)</f>
        <v>La Estación</v>
      </c>
      <c r="C146" s="4" t="str">
        <f>+IF('Data Pura Costos'!C146="","",'Data Pura Costos'!C146)</f>
        <v>Palmilla, VI región</v>
      </c>
      <c r="D146" s="5">
        <f>+IF('Data Pura Costos'!D146="","",'Data Pura Costos'!D146)</f>
        <v>125</v>
      </c>
      <c r="E146" s="65">
        <f>+IF('Data Pura Costos'!E146="","",IF('Data Pura Costos'!E146=0,MAX('Data Pura Costos'!$E$7:$E$3000)*1000,'Data Pura Costos'!E146))</f>
        <v>400000</v>
      </c>
      <c r="F146" s="5" t="str">
        <f>+IF('Data Pura Costos'!F146="","",'Data Pura Costos'!F146)</f>
        <v>Mostazal</v>
      </c>
      <c r="G146" s="5" t="str">
        <f>+IF('Data Pura Costos'!G146="","",'Data Pura Costos'!G146)</f>
        <v>LAVALLE</v>
      </c>
      <c r="H146" s="52" t="str">
        <f>+IF('Data Pura Costos'!H146="","",'Data Pura Costos'!H146)</f>
        <v>Termo</v>
      </c>
      <c r="I146" s="71">
        <f>+IF('Data Pura Costos'!I146="","",'Data Pura Costos'!I146)</f>
        <v>3200</v>
      </c>
      <c r="J146" s="52" t="str">
        <f>+IF('Data Pura Costos'!J146="","",'Data Pura Costos'!J146)</f>
        <v>24-25</v>
      </c>
      <c r="K146" s="82" t="str">
        <f t="shared" si="7"/>
        <v>La Estación-Mostazal-LAVALLE</v>
      </c>
      <c r="R146" s="6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</row>
    <row r="147" spans="2:39" s="7" customFormat="1" x14ac:dyDescent="0.35">
      <c r="B147" s="4" t="str">
        <f>+IF('Data Pura Costos'!B147="","",'Data Pura Costos'!B147)</f>
        <v>La Lajuela</v>
      </c>
      <c r="C147" s="4" t="str">
        <f>+IF('Data Pura Costos'!C147="","",'Data Pura Costos'!C147)</f>
        <v>Santa Cruz, VI Región</v>
      </c>
      <c r="D147" s="5">
        <f>+IF('Data Pura Costos'!D147="","",'Data Pura Costos'!D147)</f>
        <v>128</v>
      </c>
      <c r="E147" s="65">
        <f>+IF('Data Pura Costos'!E147="","",IF('Data Pura Costos'!E147=0,MAX('Data Pura Costos'!$E$7:$E$3000)*1000,'Data Pura Costos'!E147))</f>
        <v>420000</v>
      </c>
      <c r="F147" s="5" t="str">
        <f>+IF('Data Pura Costos'!F147="","",'Data Pura Costos'!F147)</f>
        <v>Mostazal</v>
      </c>
      <c r="G147" s="5" t="str">
        <f>+IF('Data Pura Costos'!G147="","",'Data Pura Costos'!G147)</f>
        <v>LAVALLE</v>
      </c>
      <c r="H147" s="52" t="str">
        <f>+IF('Data Pura Costos'!H147="","",'Data Pura Costos'!H147)</f>
        <v>Termo</v>
      </c>
      <c r="I147" s="71">
        <f>+IF('Data Pura Costos'!I147="","",'Data Pura Costos'!I147)</f>
        <v>3281.25</v>
      </c>
      <c r="J147" s="52" t="str">
        <f>+IF('Data Pura Costos'!J147="","",'Data Pura Costos'!J147)</f>
        <v>24-25</v>
      </c>
      <c r="K147" s="82" t="str">
        <f t="shared" si="7"/>
        <v>La Lajuela-Mostazal-LAVALLE</v>
      </c>
      <c r="R147" s="6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</row>
    <row r="148" spans="2:39" s="7" customFormat="1" x14ac:dyDescent="0.35">
      <c r="B148" s="4" t="str">
        <f>+IF('Data Pura Costos'!B148="","",'Data Pura Costos'!B148)</f>
        <v>La Rinconada</v>
      </c>
      <c r="C148" s="4" t="str">
        <f>+IF('Data Pura Costos'!C148="","",'Data Pura Costos'!C148)</f>
        <v>Pichidegua, VI región</v>
      </c>
      <c r="D148" s="5">
        <f>+IF('Data Pura Costos'!D148="","",'Data Pura Costos'!D148)</f>
        <v>110</v>
      </c>
      <c r="E148" s="65">
        <f>+IF('Data Pura Costos'!E148="","",IF('Data Pura Costos'!E148=0,MAX('Data Pura Costos'!$E$7:$E$3000)*1000,'Data Pura Costos'!E148))</f>
        <v>380000</v>
      </c>
      <c r="F148" s="5" t="str">
        <f>+IF('Data Pura Costos'!F148="","",'Data Pura Costos'!F148)</f>
        <v>Mostazal</v>
      </c>
      <c r="G148" s="5" t="str">
        <f>+IF('Data Pura Costos'!G148="","",'Data Pura Costos'!G148)</f>
        <v>LAVALLE</v>
      </c>
      <c r="H148" s="52" t="str">
        <f>+IF('Data Pura Costos'!H148="","",'Data Pura Costos'!H148)</f>
        <v>Termo</v>
      </c>
      <c r="I148" s="71">
        <f>+IF('Data Pura Costos'!I148="","",'Data Pura Costos'!I148)</f>
        <v>3454.5454545454545</v>
      </c>
      <c r="J148" s="52" t="str">
        <f>+IF('Data Pura Costos'!J148="","",'Data Pura Costos'!J148)</f>
        <v>24-25</v>
      </c>
      <c r="K148" s="82" t="str">
        <f t="shared" si="7"/>
        <v>La Rinconada-Mostazal-LAVALLE</v>
      </c>
      <c r="R148" s="6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</row>
    <row r="149" spans="2:39" s="7" customFormat="1" x14ac:dyDescent="0.35">
      <c r="B149" s="4" t="str">
        <f>+IF('Data Pura Costos'!B149="","",'Data Pura Costos'!B149)</f>
        <v>Las Cabras</v>
      </c>
      <c r="C149" s="4" t="str">
        <f>+IF('Data Pura Costos'!C149="","",'Data Pura Costos'!C149)</f>
        <v>Las Cabras, VI región</v>
      </c>
      <c r="D149" s="5">
        <f>+IF('Data Pura Costos'!D149="","",'Data Pura Costos'!D149)</f>
        <v>110</v>
      </c>
      <c r="E149" s="65">
        <f>+IF('Data Pura Costos'!E149="","",IF('Data Pura Costos'!E149=0,MAX('Data Pura Costos'!$E$7:$E$3000)*1000,'Data Pura Costos'!E149))</f>
        <v>380000</v>
      </c>
      <c r="F149" s="5" t="str">
        <f>+IF('Data Pura Costos'!F149="","",'Data Pura Costos'!F149)</f>
        <v>Mostazal</v>
      </c>
      <c r="G149" s="5" t="str">
        <f>+IF('Data Pura Costos'!G149="","",'Data Pura Costos'!G149)</f>
        <v>LAVALLE</v>
      </c>
      <c r="H149" s="52" t="str">
        <f>+IF('Data Pura Costos'!H149="","",'Data Pura Costos'!H149)</f>
        <v>Termo</v>
      </c>
      <c r="I149" s="71">
        <f>+IF('Data Pura Costos'!I149="","",'Data Pura Costos'!I149)</f>
        <v>3454.5454545454545</v>
      </c>
      <c r="J149" s="52" t="str">
        <f>+IF('Data Pura Costos'!J149="","",'Data Pura Costos'!J149)</f>
        <v>24-25</v>
      </c>
      <c r="K149" s="82" t="str">
        <f t="shared" si="7"/>
        <v>Las Cabras-Mostazal-LAVALLE</v>
      </c>
      <c r="R149" s="6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</row>
    <row r="150" spans="2:39" s="7" customFormat="1" x14ac:dyDescent="0.35">
      <c r="B150" s="4" t="str">
        <f>+IF('Data Pura Costos'!B150="","",'Data Pura Costos'!B150)</f>
        <v>Las Vertientes</v>
      </c>
      <c r="C150" s="4" t="str">
        <f>+IF('Data Pura Costos'!C150="","",'Data Pura Costos'!C150)</f>
        <v>Pichidegua, VI región</v>
      </c>
      <c r="D150" s="5">
        <f>+IF('Data Pura Costos'!D150="","",'Data Pura Costos'!D150)</f>
        <v>103</v>
      </c>
      <c r="E150" s="65">
        <f>+IF('Data Pura Costos'!E150="","",IF('Data Pura Costos'!E150=0,MAX('Data Pura Costos'!$E$7:$E$3000)*1000,'Data Pura Costos'!E150))</f>
        <v>380000</v>
      </c>
      <c r="F150" s="5" t="str">
        <f>+IF('Data Pura Costos'!F150="","",'Data Pura Costos'!F150)</f>
        <v>Mostazal</v>
      </c>
      <c r="G150" s="5" t="str">
        <f>+IF('Data Pura Costos'!G150="","",'Data Pura Costos'!G150)</f>
        <v>LAVALLE</v>
      </c>
      <c r="H150" s="52" t="str">
        <f>+IF('Data Pura Costos'!H150="","",'Data Pura Costos'!H150)</f>
        <v>Termo</v>
      </c>
      <c r="I150" s="71">
        <f>+IF('Data Pura Costos'!I150="","",'Data Pura Costos'!I150)</f>
        <v>3689.3203883495144</v>
      </c>
      <c r="J150" s="52" t="str">
        <f>+IF('Data Pura Costos'!J150="","",'Data Pura Costos'!J150)</f>
        <v>24-25</v>
      </c>
      <c r="K150" s="82" t="str">
        <f t="shared" si="7"/>
        <v>Las Vertientes-Mostazal-LAVALLE</v>
      </c>
      <c r="R150" s="6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</row>
    <row r="151" spans="2:39" s="7" customFormat="1" x14ac:dyDescent="0.35">
      <c r="B151" s="4" t="str">
        <f>+IF('Data Pura Costos'!B151="","",'Data Pura Costos'!B151)</f>
        <v>Lihueimo</v>
      </c>
      <c r="C151" s="4" t="str">
        <f>+IF('Data Pura Costos'!C151="","",'Data Pura Costos'!C151)</f>
        <v>Peralillo ohiggins</v>
      </c>
      <c r="D151" s="5">
        <f>+IF('Data Pura Costos'!D151="","",'Data Pura Costos'!D151)</f>
        <v>131</v>
      </c>
      <c r="E151" s="65">
        <f>+IF('Data Pura Costos'!E151="","",IF('Data Pura Costos'!E151=0,MAX('Data Pura Costos'!$E$7:$E$3000)*1000,'Data Pura Costos'!E151))</f>
        <v>390000</v>
      </c>
      <c r="F151" s="5" t="str">
        <f>+IF('Data Pura Costos'!F151="","",'Data Pura Costos'!F151)</f>
        <v>Mostazal</v>
      </c>
      <c r="G151" s="5" t="str">
        <f>+IF('Data Pura Costos'!G151="","",'Data Pura Costos'!G151)</f>
        <v>LAVALLE</v>
      </c>
      <c r="H151" s="52" t="str">
        <f>+IF('Data Pura Costos'!H151="","",'Data Pura Costos'!H151)</f>
        <v>Termo</v>
      </c>
      <c r="I151" s="71">
        <f>+IF('Data Pura Costos'!I151="","",'Data Pura Costos'!I151)</f>
        <v>2977.0992366412215</v>
      </c>
      <c r="J151" s="52" t="str">
        <f>+IF('Data Pura Costos'!J151="","",'Data Pura Costos'!J151)</f>
        <v>24-25</v>
      </c>
      <c r="K151" s="82" t="str">
        <f t="shared" si="7"/>
        <v>Lihueimo-Mostazal-LAVALLE</v>
      </c>
      <c r="R151" s="6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</row>
    <row r="152" spans="2:39" s="7" customFormat="1" x14ac:dyDescent="0.35">
      <c r="B152" s="4" t="str">
        <f>+IF('Data Pura Costos'!B152="","",'Data Pura Costos'!B152)</f>
        <v>Los Maitenes</v>
      </c>
      <c r="C152" s="4" t="str">
        <f>+IF('Data Pura Costos'!C152="","",'Data Pura Costos'!C152)</f>
        <v>Las Cabras, VI región</v>
      </c>
      <c r="D152" s="5">
        <f>+IF('Data Pura Costos'!D152="","",'Data Pura Costos'!D152)</f>
        <v>118</v>
      </c>
      <c r="E152" s="65">
        <f>+IF('Data Pura Costos'!E152="","",IF('Data Pura Costos'!E152=0,MAX('Data Pura Costos'!$E$7:$E$3000)*1000,'Data Pura Costos'!E152))</f>
        <v>380000</v>
      </c>
      <c r="F152" s="5" t="str">
        <f>+IF('Data Pura Costos'!F152="","",'Data Pura Costos'!F152)</f>
        <v>Mostazal</v>
      </c>
      <c r="G152" s="5" t="str">
        <f>+IF('Data Pura Costos'!G152="","",'Data Pura Costos'!G152)</f>
        <v>LAVALLE</v>
      </c>
      <c r="H152" s="52" t="str">
        <f>+IF('Data Pura Costos'!H152="","",'Data Pura Costos'!H152)</f>
        <v>Termo</v>
      </c>
      <c r="I152" s="71">
        <f>+IF('Data Pura Costos'!I152="","",'Data Pura Costos'!I152)</f>
        <v>3220.3389830508477</v>
      </c>
      <c r="J152" s="52" t="str">
        <f>+IF('Data Pura Costos'!J152="","",'Data Pura Costos'!J152)</f>
        <v>24-25</v>
      </c>
      <c r="K152" s="82" t="str">
        <f t="shared" si="7"/>
        <v>Los Maitenes-Mostazal-LAVALLE</v>
      </c>
      <c r="R152" s="6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</row>
    <row r="153" spans="2:39" s="7" customFormat="1" x14ac:dyDescent="0.35">
      <c r="B153" s="4" t="str">
        <f>+IF('Data Pura Costos'!B153="","",'Data Pura Costos'!B153)</f>
        <v>Los Toldos</v>
      </c>
      <c r="C153" s="4" t="str">
        <f>+IF('Data Pura Costos'!C153="","",'Data Pura Costos'!C153)</f>
        <v>Angol, IX región</v>
      </c>
      <c r="D153" s="5">
        <f>+IF('Data Pura Costos'!D153="","",'Data Pura Costos'!D153)</f>
        <v>549</v>
      </c>
      <c r="E153" s="65">
        <f>+IF('Data Pura Costos'!E153="","",IF('Data Pura Costos'!E153=0,MAX('Data Pura Costos'!$E$7:$E$3000)*1000,'Data Pura Costos'!E153))</f>
        <v>1000000</v>
      </c>
      <c r="F153" s="5" t="str">
        <f>+IF('Data Pura Costos'!F153="","",'Data Pura Costos'!F153)</f>
        <v>Mostazal</v>
      </c>
      <c r="G153" s="5" t="str">
        <f>+IF('Data Pura Costos'!G153="","",'Data Pura Costos'!G153)</f>
        <v>LAVALLE</v>
      </c>
      <c r="H153" s="52" t="str">
        <f>+IF('Data Pura Costos'!H153="","",'Data Pura Costos'!H153)</f>
        <v>Termo</v>
      </c>
      <c r="I153" s="71">
        <f>+IF('Data Pura Costos'!I153="","",'Data Pura Costos'!I153)</f>
        <v>1821.4936247723133</v>
      </c>
      <c r="J153" s="52" t="str">
        <f>+IF('Data Pura Costos'!J153="","",'Data Pura Costos'!J153)</f>
        <v>24-25</v>
      </c>
      <c r="K153" s="82" t="str">
        <f t="shared" si="7"/>
        <v>Los Toldos-Mostazal-LAVALLE</v>
      </c>
      <c r="R153" s="6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</row>
    <row r="154" spans="2:39" s="7" customFormat="1" x14ac:dyDescent="0.35">
      <c r="B154" s="4" t="str">
        <f>+IF('Data Pura Costos'!B154="","",'Data Pura Costos'!B154)</f>
        <v>Talhuén</v>
      </c>
      <c r="C154" s="4" t="str">
        <f>+IF('Data Pura Costos'!C154="","",'Data Pura Costos'!C154)</f>
        <v>Palmilla, VI región</v>
      </c>
      <c r="D154" s="5">
        <f>+IF('Data Pura Costos'!D154="","",'Data Pura Costos'!D154)</f>
        <v>122</v>
      </c>
      <c r="E154" s="65">
        <f>+IF('Data Pura Costos'!E154="","",IF('Data Pura Costos'!E154=0,MAX('Data Pura Costos'!$E$7:$E$3000)*1000,'Data Pura Costos'!E154))</f>
        <v>390000</v>
      </c>
      <c r="F154" s="5" t="str">
        <f>+IF('Data Pura Costos'!F154="","",'Data Pura Costos'!F154)</f>
        <v>Mostazal</v>
      </c>
      <c r="G154" s="5" t="str">
        <f>+IF('Data Pura Costos'!G154="","",'Data Pura Costos'!G154)</f>
        <v>LAVALLE</v>
      </c>
      <c r="H154" s="52" t="str">
        <f>+IF('Data Pura Costos'!H154="","",'Data Pura Costos'!H154)</f>
        <v>Termo</v>
      </c>
      <c r="I154" s="71">
        <f>+IF('Data Pura Costos'!I154="","",'Data Pura Costos'!I154)</f>
        <v>3196.7213114754099</v>
      </c>
      <c r="J154" s="52" t="str">
        <f>+IF('Data Pura Costos'!J154="","",'Data Pura Costos'!J154)</f>
        <v>24-25</v>
      </c>
      <c r="K154" s="82" t="str">
        <f t="shared" si="7"/>
        <v>Talhuén-Mostazal-LAVALLE</v>
      </c>
      <c r="R154" s="6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</row>
    <row r="155" spans="2:39" s="7" customFormat="1" x14ac:dyDescent="0.35">
      <c r="B155" s="4" t="str">
        <f>+IF('Data Pura Costos'!B155="","",'Data Pura Costos'!B155)</f>
        <v>Villaseca</v>
      </c>
      <c r="C155" s="4" t="str">
        <f>+IF('Data Pura Costos'!C155="","",'Data Pura Costos'!C155)</f>
        <v>Retiro, VII reginón</v>
      </c>
      <c r="D155" s="5">
        <f>+IF('Data Pura Costos'!D155="","",'Data Pura Costos'!D155)</f>
        <v>297</v>
      </c>
      <c r="E155" s="65">
        <f>+IF('Data Pura Costos'!E155="","",IF('Data Pura Costos'!E155=0,MAX('Data Pura Costos'!$E$7:$E$3000)*1000,'Data Pura Costos'!E155))</f>
        <v>480000</v>
      </c>
      <c r="F155" s="5" t="str">
        <f>+IF('Data Pura Costos'!F155="","",'Data Pura Costos'!F155)</f>
        <v>Mostazal</v>
      </c>
      <c r="G155" s="5" t="str">
        <f>+IF('Data Pura Costos'!G155="","",'Data Pura Costos'!G155)</f>
        <v>LAVALLE</v>
      </c>
      <c r="H155" s="52" t="str">
        <f>+IF('Data Pura Costos'!H155="","",'Data Pura Costos'!H155)</f>
        <v>Termo</v>
      </c>
      <c r="I155" s="71">
        <f>+IF('Data Pura Costos'!I155="","",'Data Pura Costos'!I155)</f>
        <v>1616.1616161616162</v>
      </c>
      <c r="J155" s="52" t="str">
        <f>+IF('Data Pura Costos'!J155="","",'Data Pura Costos'!J155)</f>
        <v>24-25</v>
      </c>
      <c r="K155" s="82" t="str">
        <f t="shared" si="7"/>
        <v>Villaseca-Mostazal-LAVALLE</v>
      </c>
      <c r="R155" s="6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</row>
    <row r="156" spans="2:39" s="7" customFormat="1" x14ac:dyDescent="0.35">
      <c r="B156" s="4" t="str">
        <f>+IF('Data Pura Costos'!B156="","",'Data Pura Costos'!B156)</f>
        <v>Almahue</v>
      </c>
      <c r="C156" s="4" t="str">
        <f>+IF('Data Pura Costos'!C156="","",'Data Pura Costos'!C156)</f>
        <v>Pichidegua, VI región</v>
      </c>
      <c r="D156" s="5">
        <f>+IF('Data Pura Costos'!D156="","",'Data Pura Costos'!D156)</f>
        <v>134</v>
      </c>
      <c r="E156" s="65">
        <f>+IF('Data Pura Costos'!E156="","",IF('Data Pura Costos'!E156=0,MAX('Data Pura Costos'!$E$7:$E$3000)*1000,'Data Pura Costos'!E156))</f>
        <v>390000</v>
      </c>
      <c r="F156" s="5" t="str">
        <f>+IF('Data Pura Costos'!F156="","",'Data Pura Costos'!F156)</f>
        <v>Molina</v>
      </c>
      <c r="G156" s="5" t="str">
        <f>+IF('Data Pura Costos'!G156="","",'Data Pura Costos'!G156)</f>
        <v>LAVALLE</v>
      </c>
      <c r="H156" s="52" t="str">
        <f>+IF('Data Pura Costos'!H156="","",'Data Pura Costos'!H156)</f>
        <v>Termo</v>
      </c>
      <c r="I156" s="71">
        <f>+IF('Data Pura Costos'!I156="","",'Data Pura Costos'!I156)</f>
        <v>2910.4477611940297</v>
      </c>
      <c r="J156" s="52" t="str">
        <f>+IF('Data Pura Costos'!J156="","",'Data Pura Costos'!J156)</f>
        <v>24-25</v>
      </c>
      <c r="K156" s="82" t="str">
        <f t="shared" si="7"/>
        <v>Almahue-Molina-LAVALLE</v>
      </c>
      <c r="R156" s="6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</row>
    <row r="157" spans="2:39" s="7" customFormat="1" x14ac:dyDescent="0.35">
      <c r="B157" s="4" t="str">
        <f>+IF('Data Pura Costos'!B157="","",'Data Pura Costos'!B157)</f>
        <v>Bodega</v>
      </c>
      <c r="C157" s="4" t="str">
        <f>+IF('Data Pura Costos'!C157="","",'Data Pura Costos'!C157)</f>
        <v>Linares, VII region.</v>
      </c>
      <c r="D157" s="5">
        <f>+IF('Data Pura Costos'!D157="","",'Data Pura Costos'!D157)</f>
        <v>123</v>
      </c>
      <c r="E157" s="65">
        <f>+IF('Data Pura Costos'!E157="","",IF('Data Pura Costos'!E157=0,MAX('Data Pura Costos'!$E$7:$E$3000)*1000,'Data Pura Costos'!E157))</f>
        <v>420000</v>
      </c>
      <c r="F157" s="5" t="str">
        <f>+IF('Data Pura Costos'!F157="","",'Data Pura Costos'!F157)</f>
        <v>Molina</v>
      </c>
      <c r="G157" s="5" t="str">
        <f>+IF('Data Pura Costos'!G157="","",'Data Pura Costos'!G157)</f>
        <v>LAVALLE</v>
      </c>
      <c r="H157" s="52" t="str">
        <f>+IF('Data Pura Costos'!H157="","",'Data Pura Costos'!H157)</f>
        <v>Termo</v>
      </c>
      <c r="I157" s="71">
        <f>+IF('Data Pura Costos'!I157="","",'Data Pura Costos'!I157)</f>
        <v>3414.6341463414633</v>
      </c>
      <c r="J157" s="52" t="str">
        <f>+IF('Data Pura Costos'!J157="","",'Data Pura Costos'!J157)</f>
        <v>24-25</v>
      </c>
      <c r="K157" s="82" t="str">
        <f t="shared" si="7"/>
        <v>Bodega-Molina-LAVALLE</v>
      </c>
      <c r="R157" s="6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</row>
    <row r="158" spans="2:39" s="7" customFormat="1" x14ac:dyDescent="0.35">
      <c r="B158" s="4" t="str">
        <f>+IF('Data Pura Costos'!B158="","",'Data Pura Costos'!B158)</f>
        <v xml:space="preserve">Caliboro </v>
      </c>
      <c r="C158" s="4" t="str">
        <f>+IF('Data Pura Costos'!C158="","",'Data Pura Costos'!C158)</f>
        <v>San Javier, VII región</v>
      </c>
      <c r="D158" s="5">
        <f>+IF('Data Pura Costos'!D158="","",'Data Pura Costos'!D158)</f>
        <v>118</v>
      </c>
      <c r="E158" s="65">
        <f>+IF('Data Pura Costos'!E158="","",IF('Data Pura Costos'!E158=0,MAX('Data Pura Costos'!$E$7:$E$3000)*1000,'Data Pura Costos'!E158))</f>
        <v>420000</v>
      </c>
      <c r="F158" s="5" t="str">
        <f>+IF('Data Pura Costos'!F158="","",'Data Pura Costos'!F158)</f>
        <v>Molina</v>
      </c>
      <c r="G158" s="5" t="str">
        <f>+IF('Data Pura Costos'!G158="","",'Data Pura Costos'!G158)</f>
        <v>LAVALLE</v>
      </c>
      <c r="H158" s="52" t="str">
        <f>+IF('Data Pura Costos'!H158="","",'Data Pura Costos'!H158)</f>
        <v>Termo</v>
      </c>
      <c r="I158" s="71">
        <f>+IF('Data Pura Costos'!I158="","",'Data Pura Costos'!I158)</f>
        <v>3559.3220338983051</v>
      </c>
      <c r="J158" s="52" t="str">
        <f>+IF('Data Pura Costos'!J158="","",'Data Pura Costos'!J158)</f>
        <v>24-25</v>
      </c>
      <c r="K158" s="82" t="str">
        <f t="shared" si="7"/>
        <v>Caliboro -Molina-LAVALLE</v>
      </c>
      <c r="R158" s="6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</row>
    <row r="159" spans="2:39" s="7" customFormat="1" x14ac:dyDescent="0.35">
      <c r="B159" s="4" t="str">
        <f>+IF('Data Pura Costos'!B159="","",'Data Pura Costos'!B159)</f>
        <v>Calleuque</v>
      </c>
      <c r="C159" s="4" t="str">
        <f>+IF('Data Pura Costos'!C159="","",'Data Pura Costos'!C159)</f>
        <v>Peralillo ohiggins, VI región</v>
      </c>
      <c r="D159" s="5">
        <f>+IF('Data Pura Costos'!D159="","",'Data Pura Costos'!D159)</f>
        <v>103</v>
      </c>
      <c r="E159" s="65">
        <f>+IF('Data Pura Costos'!E159="","",IF('Data Pura Costos'!E159=0,MAX('Data Pura Costos'!$E$7:$E$3000)*1000,'Data Pura Costos'!E159))</f>
        <v>400000</v>
      </c>
      <c r="F159" s="5" t="str">
        <f>+IF('Data Pura Costos'!F159="","",'Data Pura Costos'!F159)</f>
        <v>Molina</v>
      </c>
      <c r="G159" s="5" t="str">
        <f>+IF('Data Pura Costos'!G159="","",'Data Pura Costos'!G159)</f>
        <v>LAVALLE</v>
      </c>
      <c r="H159" s="52" t="str">
        <f>+IF('Data Pura Costos'!H159="","",'Data Pura Costos'!H159)</f>
        <v>Termo</v>
      </c>
      <c r="I159" s="71">
        <f>+IF('Data Pura Costos'!I159="","",'Data Pura Costos'!I159)</f>
        <v>3883.4951456310678</v>
      </c>
      <c r="J159" s="52" t="str">
        <f>+IF('Data Pura Costos'!J159="","",'Data Pura Costos'!J159)</f>
        <v>24-25</v>
      </c>
      <c r="K159" s="82" t="str">
        <f t="shared" si="7"/>
        <v>Calleuque-Molina-LAVALLE</v>
      </c>
      <c r="R159" s="6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</row>
    <row r="160" spans="2:39" s="7" customFormat="1" x14ac:dyDescent="0.35">
      <c r="B160" s="4" t="str">
        <f>+IF('Data Pura Costos'!B160="","",'Data Pura Costos'!B160)</f>
        <v>Chumpirro</v>
      </c>
      <c r="C160" s="4" t="str">
        <f>+IF('Data Pura Costos'!C160="","",'Data Pura Costos'!C160)</f>
        <v>Angol, IX región</v>
      </c>
      <c r="D160" s="5">
        <f>+IF('Data Pura Costos'!D160="","",'Data Pura Costos'!D160)</f>
        <v>358</v>
      </c>
      <c r="E160" s="65">
        <f>+IF('Data Pura Costos'!E160="","",IF('Data Pura Costos'!E160=0,MAX('Data Pura Costos'!$E$7:$E$3000)*1000,'Data Pura Costos'!E160))</f>
        <v>1100000</v>
      </c>
      <c r="F160" s="5" t="str">
        <f>+IF('Data Pura Costos'!F160="","",'Data Pura Costos'!F160)</f>
        <v>Molina</v>
      </c>
      <c r="G160" s="5" t="str">
        <f>+IF('Data Pura Costos'!G160="","",'Data Pura Costos'!G160)</f>
        <v>LAVALLE</v>
      </c>
      <c r="H160" s="52" t="str">
        <f>+IF('Data Pura Costos'!H160="","",'Data Pura Costos'!H160)</f>
        <v>Termo</v>
      </c>
      <c r="I160" s="71">
        <f>+IF('Data Pura Costos'!I160="","",'Data Pura Costos'!I160)</f>
        <v>3072.6256983240223</v>
      </c>
      <c r="J160" s="52" t="str">
        <f>+IF('Data Pura Costos'!J160="","",'Data Pura Costos'!J160)</f>
        <v>24-25</v>
      </c>
      <c r="K160" s="82" t="str">
        <f t="shared" si="7"/>
        <v>Chumpirro-Molina-LAVALLE</v>
      </c>
      <c r="R160" s="6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</row>
    <row r="161" spans="2:39" s="7" customFormat="1" x14ac:dyDescent="0.35">
      <c r="B161" s="4" t="str">
        <f>+IF('Data Pura Costos'!B161="","",'Data Pura Costos'!B161)</f>
        <v xml:space="preserve"> Cocalán</v>
      </c>
      <c r="C161" s="4" t="str">
        <f>+IF('Data Pura Costos'!C161="","",'Data Pura Costos'!C161)</f>
        <v>Cocalán, VI región</v>
      </c>
      <c r="D161" s="5">
        <f>+IF('Data Pura Costos'!D161="","",'Data Pura Costos'!D161)</f>
        <v>141</v>
      </c>
      <c r="E161" s="65">
        <f>+IF('Data Pura Costos'!E161="","",IF('Data Pura Costos'!E161=0,MAX('Data Pura Costos'!$E$7:$E$3000)*1000,'Data Pura Costos'!E161))</f>
        <v>410000</v>
      </c>
      <c r="F161" s="5" t="str">
        <f>+IF('Data Pura Costos'!F161="","",'Data Pura Costos'!F161)</f>
        <v>Molina</v>
      </c>
      <c r="G161" s="5" t="str">
        <f>+IF('Data Pura Costos'!G161="","",'Data Pura Costos'!G161)</f>
        <v>LAVALLE</v>
      </c>
      <c r="H161" s="52" t="str">
        <f>+IF('Data Pura Costos'!H161="","",'Data Pura Costos'!H161)</f>
        <v>Termo</v>
      </c>
      <c r="I161" s="71">
        <f>+IF('Data Pura Costos'!I161="","",'Data Pura Costos'!I161)</f>
        <v>2907.8014184397161</v>
      </c>
      <c r="J161" s="52" t="str">
        <f>+IF('Data Pura Costos'!J161="","",'Data Pura Costos'!J161)</f>
        <v>24-25</v>
      </c>
      <c r="K161" s="82" t="str">
        <f t="shared" si="7"/>
        <v xml:space="preserve"> Cocalán-Molina-LAVALLE</v>
      </c>
      <c r="R161" s="6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</row>
    <row r="162" spans="2:39" s="7" customFormat="1" x14ac:dyDescent="0.35">
      <c r="B162" s="4" t="str">
        <f>+IF('Data Pura Costos'!B162="","",'Data Pura Costos'!B162)</f>
        <v>El Descanso</v>
      </c>
      <c r="C162" s="4" t="str">
        <f>+IF('Data Pura Costos'!C162="","",'Data Pura Costos'!C162)</f>
        <v>Sagrada Familia, VII región</v>
      </c>
      <c r="D162" s="5">
        <f>+IF('Data Pura Costos'!D162="","",'Data Pura Costos'!D162)</f>
        <v>22</v>
      </c>
      <c r="E162" s="65">
        <f>+IF('Data Pura Costos'!E162="","",IF('Data Pura Costos'!E162=0,MAX('Data Pura Costos'!$E$7:$E$3000)*1000,'Data Pura Costos'!E162))</f>
        <v>200000</v>
      </c>
      <c r="F162" s="5" t="str">
        <f>+IF('Data Pura Costos'!F162="","",'Data Pura Costos'!F162)</f>
        <v>Molina</v>
      </c>
      <c r="G162" s="5" t="str">
        <f>+IF('Data Pura Costos'!G162="","",'Data Pura Costos'!G162)</f>
        <v>LAVALLE</v>
      </c>
      <c r="H162" s="52" t="str">
        <f>+IF('Data Pura Costos'!H162="","",'Data Pura Costos'!H162)</f>
        <v>Termo</v>
      </c>
      <c r="I162" s="71">
        <f>+IF('Data Pura Costos'!I162="","",'Data Pura Costos'!I162)</f>
        <v>9090.9090909090901</v>
      </c>
      <c r="J162" s="52" t="str">
        <f>+IF('Data Pura Costos'!J162="","",'Data Pura Costos'!J162)</f>
        <v>24-25</v>
      </c>
      <c r="K162" s="82" t="str">
        <f t="shared" si="7"/>
        <v>El Descanso-Molina-LAVALLE</v>
      </c>
      <c r="R162" s="6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</row>
    <row r="163" spans="2:39" s="7" customFormat="1" x14ac:dyDescent="0.35">
      <c r="B163" s="4" t="str">
        <f>+IF('Data Pura Costos'!B163="","",'Data Pura Costos'!B163)</f>
        <v>El Huaico</v>
      </c>
      <c r="C163" s="4" t="str">
        <f>+IF('Data Pura Costos'!C163="","",'Data Pura Costos'!C163)</f>
        <v>Palmila Ohiggins</v>
      </c>
      <c r="D163" s="5">
        <f>+IF('Data Pura Costos'!D163="","",'Data Pura Costos'!D163)</f>
        <v>85</v>
      </c>
      <c r="E163" s="65">
        <f>+IF('Data Pura Costos'!E163="","",IF('Data Pura Costos'!E163=0,MAX('Data Pura Costos'!$E$7:$E$3000)*1000,'Data Pura Costos'!E163))</f>
        <v>390000</v>
      </c>
      <c r="F163" s="5" t="str">
        <f>+IF('Data Pura Costos'!F163="","",'Data Pura Costos'!F163)</f>
        <v>Molina</v>
      </c>
      <c r="G163" s="5" t="str">
        <f>+IF('Data Pura Costos'!G163="","",'Data Pura Costos'!G163)</f>
        <v>LAVALLE</v>
      </c>
      <c r="H163" s="52" t="str">
        <f>+IF('Data Pura Costos'!H163="","",'Data Pura Costos'!H163)</f>
        <v>Termo</v>
      </c>
      <c r="I163" s="71">
        <f>+IF('Data Pura Costos'!I163="","",'Data Pura Costos'!I163)</f>
        <v>4588.2352941176468</v>
      </c>
      <c r="J163" s="52" t="str">
        <f>+IF('Data Pura Costos'!J163="","",'Data Pura Costos'!J163)</f>
        <v>24-25</v>
      </c>
      <c r="K163" s="82" t="str">
        <f t="shared" si="7"/>
        <v>El Huaico-Molina-LAVALLE</v>
      </c>
      <c r="R163" s="6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</row>
    <row r="164" spans="2:39" s="7" customFormat="1" x14ac:dyDescent="0.35">
      <c r="B164" s="4" t="str">
        <f>+IF('Data Pura Costos'!B164="","",'Data Pura Costos'!B164)</f>
        <v>El Rosario</v>
      </c>
      <c r="C164" s="4" t="str">
        <f>+IF('Data Pura Costos'!C164="","",'Data Pura Costos'!C164)</f>
        <v>Linares, VII region.</v>
      </c>
      <c r="D164" s="5">
        <f>+IF('Data Pura Costos'!D164="","",'Data Pura Costos'!D164)</f>
        <v>120</v>
      </c>
      <c r="E164" s="65">
        <f>+IF('Data Pura Costos'!E164="","",IF('Data Pura Costos'!E164=0,MAX('Data Pura Costos'!$E$7:$E$3000)*1000,'Data Pura Costos'!E164))</f>
        <v>420000</v>
      </c>
      <c r="F164" s="5" t="str">
        <f>+IF('Data Pura Costos'!F164="","",'Data Pura Costos'!F164)</f>
        <v>Molina</v>
      </c>
      <c r="G164" s="5" t="str">
        <f>+IF('Data Pura Costos'!G164="","",'Data Pura Costos'!G164)</f>
        <v>LAVALLE</v>
      </c>
      <c r="H164" s="52" t="str">
        <f>+IF('Data Pura Costos'!H164="","",'Data Pura Costos'!H164)</f>
        <v>Termo</v>
      </c>
      <c r="I164" s="71">
        <f>+IF('Data Pura Costos'!I164="","",'Data Pura Costos'!I164)</f>
        <v>3500</v>
      </c>
      <c r="J164" s="52" t="str">
        <f>+IF('Data Pura Costos'!J164="","",'Data Pura Costos'!J164)</f>
        <v>24-25</v>
      </c>
      <c r="K164" s="82" t="str">
        <f t="shared" si="7"/>
        <v>El Rosario-Molina-LAVALLE</v>
      </c>
      <c r="R164" s="6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</row>
    <row r="165" spans="2:39" s="7" customFormat="1" x14ac:dyDescent="0.35">
      <c r="B165" s="4" t="str">
        <f>+IF('Data Pura Costos'!B165="","",'Data Pura Costos'!B165)</f>
        <v>La Esperanza</v>
      </c>
      <c r="C165" s="4" t="str">
        <f>+IF('Data Pura Costos'!C165="","",'Data Pura Costos'!C165)</f>
        <v>Peumo, VI región</v>
      </c>
      <c r="D165" s="5">
        <f>+IF('Data Pura Costos'!D165="","",'Data Pura Costos'!D165)</f>
        <v>125</v>
      </c>
      <c r="E165" s="65">
        <f>+IF('Data Pura Costos'!E165="","",IF('Data Pura Costos'!E165=0,MAX('Data Pura Costos'!$E$7:$E$3000)*1000,'Data Pura Costos'!E165))</f>
        <v>390000</v>
      </c>
      <c r="F165" s="5" t="str">
        <f>+IF('Data Pura Costos'!F165="","",'Data Pura Costos'!F165)</f>
        <v>Molina</v>
      </c>
      <c r="G165" s="5" t="str">
        <f>+IF('Data Pura Costos'!G165="","",'Data Pura Costos'!G165)</f>
        <v>LAVALLE</v>
      </c>
      <c r="H165" s="52" t="str">
        <f>+IF('Data Pura Costos'!H165="","",'Data Pura Costos'!H165)</f>
        <v>Termo</v>
      </c>
      <c r="I165" s="71">
        <f>+IF('Data Pura Costos'!I165="","",'Data Pura Costos'!I165)</f>
        <v>3120</v>
      </c>
      <c r="J165" s="52" t="str">
        <f>+IF('Data Pura Costos'!J165="","",'Data Pura Costos'!J165)</f>
        <v>24-25</v>
      </c>
      <c r="K165" s="82" t="str">
        <f t="shared" si="7"/>
        <v>La Esperanza-Molina-LAVALLE</v>
      </c>
      <c r="R165" s="6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</row>
    <row r="166" spans="2:39" s="7" customFormat="1" x14ac:dyDescent="0.35">
      <c r="B166" s="4" t="str">
        <f>+IF('Data Pura Costos'!B166="","",'Data Pura Costos'!B166)</f>
        <v>La Estación</v>
      </c>
      <c r="C166" s="4" t="str">
        <f>+IF('Data Pura Costos'!C166="","",'Data Pura Costos'!C166)</f>
        <v>Palmilla, VI región</v>
      </c>
      <c r="D166" s="5">
        <f>+IF('Data Pura Costos'!D166="","",'Data Pura Costos'!D166)</f>
        <v>90</v>
      </c>
      <c r="E166" s="65">
        <f>+IF('Data Pura Costos'!E166="","",IF('Data Pura Costos'!E166=0,MAX('Data Pura Costos'!$E$7:$E$3000)*1000,'Data Pura Costos'!E166))</f>
        <v>420000</v>
      </c>
      <c r="F166" s="5" t="str">
        <f>+IF('Data Pura Costos'!F166="","",'Data Pura Costos'!F166)</f>
        <v>Molina</v>
      </c>
      <c r="G166" s="5" t="str">
        <f>+IF('Data Pura Costos'!G166="","",'Data Pura Costos'!G166)</f>
        <v>LAVALLE</v>
      </c>
      <c r="H166" s="52" t="str">
        <f>+IF('Data Pura Costos'!H166="","",'Data Pura Costos'!H166)</f>
        <v>Termo</v>
      </c>
      <c r="I166" s="71">
        <f>+IF('Data Pura Costos'!I166="","",'Data Pura Costos'!I166)</f>
        <v>4666.666666666667</v>
      </c>
      <c r="J166" s="52" t="str">
        <f>+IF('Data Pura Costos'!J166="","",'Data Pura Costos'!J166)</f>
        <v>24-25</v>
      </c>
      <c r="K166" s="82" t="str">
        <f t="shared" si="7"/>
        <v>La Estación-Molina-LAVALLE</v>
      </c>
      <c r="R166" s="6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</row>
    <row r="167" spans="2:39" s="7" customFormat="1" x14ac:dyDescent="0.35">
      <c r="B167" s="4" t="str">
        <f>+IF('Data Pura Costos'!B167="","",'Data Pura Costos'!B167)</f>
        <v>La Lajuela</v>
      </c>
      <c r="C167" s="4" t="str">
        <f>+IF('Data Pura Costos'!C167="","",'Data Pura Costos'!C167)</f>
        <v>Santa Cruz, VI Región</v>
      </c>
      <c r="D167" s="5">
        <f>+IF('Data Pura Costos'!D167="","",'Data Pura Costos'!D167)</f>
        <v>80</v>
      </c>
      <c r="E167" s="65">
        <f>+IF('Data Pura Costos'!E167="","",IF('Data Pura Costos'!E167=0,MAX('Data Pura Costos'!$E$7:$E$3000)*1000,'Data Pura Costos'!E167))</f>
        <v>420000</v>
      </c>
      <c r="F167" s="5" t="str">
        <f>+IF('Data Pura Costos'!F167="","",'Data Pura Costos'!F167)</f>
        <v>Molina</v>
      </c>
      <c r="G167" s="5" t="str">
        <f>+IF('Data Pura Costos'!G167="","",'Data Pura Costos'!G167)</f>
        <v>LAVALLE</v>
      </c>
      <c r="H167" s="52" t="str">
        <f>+IF('Data Pura Costos'!H167="","",'Data Pura Costos'!H167)</f>
        <v>Termo</v>
      </c>
      <c r="I167" s="71">
        <f>+IF('Data Pura Costos'!I167="","",'Data Pura Costos'!I167)</f>
        <v>5250</v>
      </c>
      <c r="J167" s="52" t="str">
        <f>+IF('Data Pura Costos'!J167="","",'Data Pura Costos'!J167)</f>
        <v>24-25</v>
      </c>
      <c r="K167" s="82" t="str">
        <f t="shared" si="7"/>
        <v>La Lajuela-Molina-LAVALLE</v>
      </c>
      <c r="R167" s="6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</row>
    <row r="168" spans="2:39" s="7" customFormat="1" x14ac:dyDescent="0.35">
      <c r="B168" s="4" t="str">
        <f>+IF('Data Pura Costos'!B168="","",'Data Pura Costos'!B168)</f>
        <v>La Rinconada</v>
      </c>
      <c r="C168" s="4" t="str">
        <f>+IF('Data Pura Costos'!C168="","",'Data Pura Costos'!C168)</f>
        <v>Pichidegua, VI región</v>
      </c>
      <c r="D168" s="5">
        <f>+IF('Data Pura Costos'!D168="","",'Data Pura Costos'!D168)</f>
        <v>133</v>
      </c>
      <c r="E168" s="65">
        <f>+IF('Data Pura Costos'!E168="","",IF('Data Pura Costos'!E168=0,MAX('Data Pura Costos'!$E$7:$E$3000)*1000,'Data Pura Costos'!E168))</f>
        <v>390000</v>
      </c>
      <c r="F168" s="5" t="str">
        <f>+IF('Data Pura Costos'!F168="","",'Data Pura Costos'!F168)</f>
        <v>Molina</v>
      </c>
      <c r="G168" s="5" t="str">
        <f>+IF('Data Pura Costos'!G168="","",'Data Pura Costos'!G168)</f>
        <v>LAVALLE</v>
      </c>
      <c r="H168" s="52" t="str">
        <f>+IF('Data Pura Costos'!H168="","",'Data Pura Costos'!H168)</f>
        <v>Termo</v>
      </c>
      <c r="I168" s="71">
        <f>+IF('Data Pura Costos'!I168="","",'Data Pura Costos'!I168)</f>
        <v>2932.3308270676694</v>
      </c>
      <c r="J168" s="52" t="str">
        <f>+IF('Data Pura Costos'!J168="","",'Data Pura Costos'!J168)</f>
        <v>24-25</v>
      </c>
      <c r="K168" s="82" t="str">
        <f t="shared" si="7"/>
        <v>La Rinconada-Molina-LAVALLE</v>
      </c>
      <c r="R168" s="6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</row>
    <row r="169" spans="2:39" s="7" customFormat="1" x14ac:dyDescent="0.35">
      <c r="B169" s="4" t="str">
        <f>+IF('Data Pura Costos'!B169="","",'Data Pura Costos'!B169)</f>
        <v>Las Cabras</v>
      </c>
      <c r="C169" s="4" t="str">
        <f>+IF('Data Pura Costos'!C169="","",'Data Pura Costos'!C169)</f>
        <v>Las Cabras, VI región</v>
      </c>
      <c r="D169" s="5">
        <f>+IF('Data Pura Costos'!D169="","",'Data Pura Costos'!D169)</f>
        <v>140</v>
      </c>
      <c r="E169" s="65">
        <f>+IF('Data Pura Costos'!E169="","",IF('Data Pura Costos'!E169=0,MAX('Data Pura Costos'!$E$7:$E$3000)*1000,'Data Pura Costos'!E169))</f>
        <v>390000</v>
      </c>
      <c r="F169" s="5" t="str">
        <f>+IF('Data Pura Costos'!F169="","",'Data Pura Costos'!F169)</f>
        <v>Molina</v>
      </c>
      <c r="G169" s="5" t="str">
        <f>+IF('Data Pura Costos'!G169="","",'Data Pura Costos'!G169)</f>
        <v>LAVALLE</v>
      </c>
      <c r="H169" s="52" t="str">
        <f>+IF('Data Pura Costos'!H169="","",'Data Pura Costos'!H169)</f>
        <v>Termo</v>
      </c>
      <c r="I169" s="71">
        <f>+IF('Data Pura Costos'!I169="","",'Data Pura Costos'!I169)</f>
        <v>2785.7142857142858</v>
      </c>
      <c r="J169" s="52" t="str">
        <f>+IF('Data Pura Costos'!J169="","",'Data Pura Costos'!J169)</f>
        <v>24-25</v>
      </c>
      <c r="K169" s="82" t="str">
        <f t="shared" si="7"/>
        <v>Las Cabras-Molina-LAVALLE</v>
      </c>
      <c r="R169" s="6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</row>
    <row r="170" spans="2:39" s="7" customFormat="1" x14ac:dyDescent="0.35">
      <c r="B170" s="4" t="str">
        <f>+IF('Data Pura Costos'!B170="","",'Data Pura Costos'!B170)</f>
        <v>Las Vertientes</v>
      </c>
      <c r="C170" s="4" t="str">
        <f>+IF('Data Pura Costos'!C170="","",'Data Pura Costos'!C170)</f>
        <v>Pichidegua, VI región</v>
      </c>
      <c r="D170" s="5">
        <f>+IF('Data Pura Costos'!D170="","",'Data Pura Costos'!D170)</f>
        <v>130</v>
      </c>
      <c r="E170" s="65">
        <f>+IF('Data Pura Costos'!E170="","",IF('Data Pura Costos'!E170=0,MAX('Data Pura Costos'!$E$7:$E$3000)*1000,'Data Pura Costos'!E170))</f>
        <v>390000</v>
      </c>
      <c r="F170" s="5" t="str">
        <f>+IF('Data Pura Costos'!F170="","",'Data Pura Costos'!F170)</f>
        <v>Molina</v>
      </c>
      <c r="G170" s="5" t="str">
        <f>+IF('Data Pura Costos'!G170="","",'Data Pura Costos'!G170)</f>
        <v>LAVALLE</v>
      </c>
      <c r="H170" s="52" t="str">
        <f>+IF('Data Pura Costos'!H170="","",'Data Pura Costos'!H170)</f>
        <v>Termo</v>
      </c>
      <c r="I170" s="71">
        <f>+IF('Data Pura Costos'!I170="","",'Data Pura Costos'!I170)</f>
        <v>3000</v>
      </c>
      <c r="J170" s="52" t="str">
        <f>+IF('Data Pura Costos'!J170="","",'Data Pura Costos'!J170)</f>
        <v>24-25</v>
      </c>
      <c r="K170" s="82" t="str">
        <f t="shared" si="7"/>
        <v>Las Vertientes-Molina-LAVALLE</v>
      </c>
      <c r="R170" s="6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</row>
    <row r="171" spans="2:39" s="7" customFormat="1" x14ac:dyDescent="0.35">
      <c r="B171" s="4" t="str">
        <f>+IF('Data Pura Costos'!B171="","",'Data Pura Costos'!B171)</f>
        <v>Lihueimo</v>
      </c>
      <c r="C171" s="4" t="str">
        <f>+IF('Data Pura Costos'!C171="","",'Data Pura Costos'!C171)</f>
        <v>Peralillo ohiggins</v>
      </c>
      <c r="D171" s="5">
        <f>+IF('Data Pura Costos'!D171="","",'Data Pura Costos'!D171)</f>
        <v>90</v>
      </c>
      <c r="E171" s="65">
        <f>+IF('Data Pura Costos'!E171="","",IF('Data Pura Costos'!E171=0,MAX('Data Pura Costos'!$E$7:$E$3000)*1000,'Data Pura Costos'!E171))</f>
        <v>400000</v>
      </c>
      <c r="F171" s="5" t="str">
        <f>+IF('Data Pura Costos'!F171="","",'Data Pura Costos'!F171)</f>
        <v>Molina</v>
      </c>
      <c r="G171" s="5" t="str">
        <f>+IF('Data Pura Costos'!G171="","",'Data Pura Costos'!G171)</f>
        <v>LAVALLE</v>
      </c>
      <c r="H171" s="52" t="str">
        <f>+IF('Data Pura Costos'!H171="","",'Data Pura Costos'!H171)</f>
        <v>Termo</v>
      </c>
      <c r="I171" s="71">
        <f>+IF('Data Pura Costos'!I171="","",'Data Pura Costos'!I171)</f>
        <v>4444.4444444444443</v>
      </c>
      <c r="J171" s="52" t="str">
        <f>+IF('Data Pura Costos'!J171="","",'Data Pura Costos'!J171)</f>
        <v>24-25</v>
      </c>
      <c r="K171" s="82" t="str">
        <f t="shared" si="7"/>
        <v>Lihueimo-Molina-LAVALLE</v>
      </c>
      <c r="R171" s="6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</row>
    <row r="172" spans="2:39" s="7" customFormat="1" x14ac:dyDescent="0.35">
      <c r="B172" s="4" t="str">
        <f>+IF('Data Pura Costos'!B172="","",'Data Pura Costos'!B172)</f>
        <v>Los Maitenes</v>
      </c>
      <c r="C172" s="4" t="str">
        <f>+IF('Data Pura Costos'!C172="","",'Data Pura Costos'!C172)</f>
        <v>Las Cabras, VI región</v>
      </c>
      <c r="D172" s="5">
        <f>+IF('Data Pura Costos'!D172="","",'Data Pura Costos'!D172)</f>
        <v>144</v>
      </c>
      <c r="E172" s="65">
        <f>+IF('Data Pura Costos'!E172="","",IF('Data Pura Costos'!E172=0,MAX('Data Pura Costos'!$E$7:$E$3000)*1000,'Data Pura Costos'!E172))</f>
        <v>390000</v>
      </c>
      <c r="F172" s="5" t="str">
        <f>+IF('Data Pura Costos'!F172="","",'Data Pura Costos'!F172)</f>
        <v>Molina</v>
      </c>
      <c r="G172" s="5" t="str">
        <f>+IF('Data Pura Costos'!G172="","",'Data Pura Costos'!G172)</f>
        <v>LAVALLE</v>
      </c>
      <c r="H172" s="52" t="str">
        <f>+IF('Data Pura Costos'!H172="","",'Data Pura Costos'!H172)</f>
        <v>Termo</v>
      </c>
      <c r="I172" s="71">
        <f>+IF('Data Pura Costos'!I172="","",'Data Pura Costos'!I172)</f>
        <v>2708.3333333333335</v>
      </c>
      <c r="J172" s="52" t="str">
        <f>+IF('Data Pura Costos'!J172="","",'Data Pura Costos'!J172)</f>
        <v>24-25</v>
      </c>
      <c r="K172" s="82" t="str">
        <f t="shared" si="7"/>
        <v>Los Maitenes-Molina-LAVALLE</v>
      </c>
      <c r="R172" s="6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</row>
    <row r="173" spans="2:39" s="7" customFormat="1" x14ac:dyDescent="0.35">
      <c r="B173" s="4" t="str">
        <f>+IF('Data Pura Costos'!B173="","",'Data Pura Costos'!B173)</f>
        <v>Los Toldos</v>
      </c>
      <c r="C173" s="4" t="str">
        <f>+IF('Data Pura Costos'!C173="","",'Data Pura Costos'!C173)</f>
        <v>Angol, IX región</v>
      </c>
      <c r="D173" s="5">
        <f>+IF('Data Pura Costos'!D173="","",'Data Pura Costos'!D173)</f>
        <v>408</v>
      </c>
      <c r="E173" s="65">
        <f>+IF('Data Pura Costos'!E173="","",IF('Data Pura Costos'!E173=0,MAX('Data Pura Costos'!$E$7:$E$3000)*1000,'Data Pura Costos'!E173))</f>
        <v>1100000</v>
      </c>
      <c r="F173" s="5" t="str">
        <f>+IF('Data Pura Costos'!F173="","",'Data Pura Costos'!F173)</f>
        <v>Molina</v>
      </c>
      <c r="G173" s="5" t="str">
        <f>+IF('Data Pura Costos'!G173="","",'Data Pura Costos'!G173)</f>
        <v>LAVALLE</v>
      </c>
      <c r="H173" s="52" t="str">
        <f>+IF('Data Pura Costos'!H173="","",'Data Pura Costos'!H173)</f>
        <v>Termo</v>
      </c>
      <c r="I173" s="71">
        <f>+IF('Data Pura Costos'!I173="","",'Data Pura Costos'!I173)</f>
        <v>2696.0784313725489</v>
      </c>
      <c r="J173" s="52" t="str">
        <f>+IF('Data Pura Costos'!J173="","",'Data Pura Costos'!J173)</f>
        <v>24-25</v>
      </c>
      <c r="K173" s="82" t="str">
        <f t="shared" si="7"/>
        <v>Los Toldos-Molina-LAVALLE</v>
      </c>
      <c r="R173" s="6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</row>
    <row r="174" spans="2:39" s="7" customFormat="1" x14ac:dyDescent="0.35">
      <c r="B174" s="4" t="str">
        <f>+IF('Data Pura Costos'!B174="","",'Data Pura Costos'!B174)</f>
        <v>Talhuén</v>
      </c>
      <c r="C174" s="4" t="str">
        <f>+IF('Data Pura Costos'!C174="","",'Data Pura Costos'!C174)</f>
        <v>Palmilla, VI región</v>
      </c>
      <c r="D174" s="5">
        <f>+IF('Data Pura Costos'!D174="","",'Data Pura Costos'!D174)</f>
        <v>95</v>
      </c>
      <c r="E174" s="65">
        <f>+IF('Data Pura Costos'!E174="","",IF('Data Pura Costos'!E174=0,MAX('Data Pura Costos'!$E$7:$E$3000)*1000,'Data Pura Costos'!E174))</f>
        <v>390000</v>
      </c>
      <c r="F174" s="5" t="str">
        <f>+IF('Data Pura Costos'!F174="","",'Data Pura Costos'!F174)</f>
        <v>Molina</v>
      </c>
      <c r="G174" s="5" t="str">
        <f>+IF('Data Pura Costos'!G174="","",'Data Pura Costos'!G174)</f>
        <v>LAVALLE</v>
      </c>
      <c r="H174" s="52" t="str">
        <f>+IF('Data Pura Costos'!H174="","",'Data Pura Costos'!H174)</f>
        <v>Termo</v>
      </c>
      <c r="I174" s="71">
        <f>+IF('Data Pura Costos'!I174="","",'Data Pura Costos'!I174)</f>
        <v>4105.2631578947367</v>
      </c>
      <c r="J174" s="52" t="str">
        <f>+IF('Data Pura Costos'!J174="","",'Data Pura Costos'!J174)</f>
        <v>24-25</v>
      </c>
      <c r="K174" s="82" t="str">
        <f t="shared" si="7"/>
        <v>Talhuén-Molina-LAVALLE</v>
      </c>
      <c r="R174" s="6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</row>
    <row r="175" spans="2:39" s="7" customFormat="1" x14ac:dyDescent="0.35">
      <c r="B175" s="4" t="str">
        <f>+IF('Data Pura Costos'!B175="","",'Data Pura Costos'!B175)</f>
        <v>Villaseca</v>
      </c>
      <c r="C175" s="4" t="str">
        <f>+IF('Data Pura Costos'!C175="","",'Data Pura Costos'!C175)</f>
        <v>Retiro, VII reginón</v>
      </c>
      <c r="D175" s="5">
        <f>+IF('Data Pura Costos'!D175="","",'Data Pura Costos'!D175)</f>
        <v>160</v>
      </c>
      <c r="E175" s="65">
        <f>+IF('Data Pura Costos'!E175="","",IF('Data Pura Costos'!E175=0,MAX('Data Pura Costos'!$E$7:$E$3000)*1000,'Data Pura Costos'!E175))</f>
        <v>420000</v>
      </c>
      <c r="F175" s="5" t="str">
        <f>+IF('Data Pura Costos'!F175="","",'Data Pura Costos'!F175)</f>
        <v>Molina</v>
      </c>
      <c r="G175" s="5" t="str">
        <f>+IF('Data Pura Costos'!G175="","",'Data Pura Costos'!G175)</f>
        <v>LAVALLE</v>
      </c>
      <c r="H175" s="52" t="str">
        <f>+IF('Data Pura Costos'!H175="","",'Data Pura Costos'!H175)</f>
        <v>Termo</v>
      </c>
      <c r="I175" s="71">
        <f>+IF('Data Pura Costos'!I175="","",'Data Pura Costos'!I175)</f>
        <v>2625</v>
      </c>
      <c r="J175" s="52" t="str">
        <f>+IF('Data Pura Costos'!J175="","",'Data Pura Costos'!J175)</f>
        <v>24-25</v>
      </c>
      <c r="K175" s="82" t="str">
        <f t="shared" si="7"/>
        <v>Villaseca-Molina-LAVALLE</v>
      </c>
      <c r="R175" s="6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</row>
    <row r="176" spans="2:39" s="7" customFormat="1" x14ac:dyDescent="0.35">
      <c r="B176" s="4" t="str">
        <f>+IF('Data Pura Costos'!B176="","",'Data Pura Costos'!B176)</f>
        <v>Almahue</v>
      </c>
      <c r="C176" s="4" t="str">
        <f>+IF('Data Pura Costos'!C176="","",'Data Pura Costos'!C176)</f>
        <v>Pichidegua, VI región</v>
      </c>
      <c r="D176" s="5">
        <f>+IF('Data Pura Costos'!D176="","",'Data Pura Costos'!D176)</f>
        <v>50</v>
      </c>
      <c r="E176" s="65">
        <f>+IF('Data Pura Costos'!E176="","",IF('Data Pura Costos'!E176=0,MAX('Data Pura Costos'!$E$7:$E$3000)*1000,'Data Pura Costos'!E176))</f>
        <v>290000</v>
      </c>
      <c r="F176" s="5" t="str">
        <f>+IF('Data Pura Costos'!F176="","",'Data Pura Costos'!F176)</f>
        <v>Malloa</v>
      </c>
      <c r="G176" s="5" t="str">
        <f>+IF('Data Pura Costos'!G176="","",'Data Pura Costos'!G176)</f>
        <v>LAVALLE</v>
      </c>
      <c r="H176" s="52" t="str">
        <f>+IF('Data Pura Costos'!H176="","",'Data Pura Costos'!H176)</f>
        <v>Termo</v>
      </c>
      <c r="I176" s="71">
        <f>+IF('Data Pura Costos'!I176="","",'Data Pura Costos'!I176)</f>
        <v>5800</v>
      </c>
      <c r="J176" s="52" t="str">
        <f>+IF('Data Pura Costos'!J176="","",'Data Pura Costos'!J176)</f>
        <v>24-25</v>
      </c>
      <c r="K176" s="82" t="str">
        <f t="shared" si="7"/>
        <v>Almahue-Malloa-LAVALLE</v>
      </c>
      <c r="R176" s="6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</row>
    <row r="177" spans="2:39" s="7" customFormat="1" x14ac:dyDescent="0.35">
      <c r="B177" s="4" t="str">
        <f>+IF('Data Pura Costos'!B177="","",'Data Pura Costos'!B177)</f>
        <v>Bodega</v>
      </c>
      <c r="C177" s="4" t="str">
        <f>+IF('Data Pura Costos'!C177="","",'Data Pura Costos'!C177)</f>
        <v>Linares, VII region.</v>
      </c>
      <c r="D177" s="5">
        <f>+IF('Data Pura Costos'!D177="","",'Data Pura Costos'!D177)</f>
        <v>211</v>
      </c>
      <c r="E177" s="65">
        <f>+IF('Data Pura Costos'!E177="","",IF('Data Pura Costos'!E177=0,MAX('Data Pura Costos'!$E$7:$E$3000)*1000,'Data Pura Costos'!E177))</f>
        <v>450000</v>
      </c>
      <c r="F177" s="5" t="str">
        <f>+IF('Data Pura Costos'!F177="","",'Data Pura Costos'!F177)</f>
        <v>Malloa</v>
      </c>
      <c r="G177" s="5" t="str">
        <f>+IF('Data Pura Costos'!G177="","",'Data Pura Costos'!G177)</f>
        <v>LAVALLE</v>
      </c>
      <c r="H177" s="52" t="str">
        <f>+IF('Data Pura Costos'!H177="","",'Data Pura Costos'!H177)</f>
        <v>Termo</v>
      </c>
      <c r="I177" s="71">
        <f>+IF('Data Pura Costos'!I177="","",'Data Pura Costos'!I177)</f>
        <v>2132.7014218009481</v>
      </c>
      <c r="J177" s="52" t="str">
        <f>+IF('Data Pura Costos'!J177="","",'Data Pura Costos'!J177)</f>
        <v>24-25</v>
      </c>
      <c r="K177" s="82" t="str">
        <f t="shared" si="7"/>
        <v>Bodega-Malloa-LAVALLE</v>
      </c>
      <c r="R177" s="6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</row>
    <row r="178" spans="2:39" s="7" customFormat="1" x14ac:dyDescent="0.35">
      <c r="B178" s="4" t="str">
        <f>+IF('Data Pura Costos'!B178="","",'Data Pura Costos'!B178)</f>
        <v xml:space="preserve">Caliboro </v>
      </c>
      <c r="C178" s="4" t="str">
        <f>+IF('Data Pura Costos'!C178="","",'Data Pura Costos'!C178)</f>
        <v>San Javier, VII región</v>
      </c>
      <c r="D178" s="5">
        <f>+IF('Data Pura Costos'!D178="","",'Data Pura Costos'!D178)</f>
        <v>206</v>
      </c>
      <c r="E178" s="65">
        <f>+IF('Data Pura Costos'!E178="","",IF('Data Pura Costos'!E178=0,MAX('Data Pura Costos'!$E$7:$E$3000)*1000,'Data Pura Costos'!E178))</f>
        <v>450000</v>
      </c>
      <c r="F178" s="5" t="str">
        <f>+IF('Data Pura Costos'!F178="","",'Data Pura Costos'!F178)</f>
        <v>Malloa</v>
      </c>
      <c r="G178" s="5" t="str">
        <f>+IF('Data Pura Costos'!G178="","",'Data Pura Costos'!G178)</f>
        <v>LAVALLE</v>
      </c>
      <c r="H178" s="52" t="str">
        <f>+IF('Data Pura Costos'!H178="","",'Data Pura Costos'!H178)</f>
        <v>Termo</v>
      </c>
      <c r="I178" s="71">
        <f>+IF('Data Pura Costos'!I178="","",'Data Pura Costos'!I178)</f>
        <v>2184.4660194174758</v>
      </c>
      <c r="J178" s="52" t="str">
        <f>+IF('Data Pura Costos'!J178="","",'Data Pura Costos'!J178)</f>
        <v>24-25</v>
      </c>
      <c r="K178" s="82" t="str">
        <f t="shared" si="7"/>
        <v>Caliboro -Malloa-LAVALLE</v>
      </c>
      <c r="R178" s="6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</row>
    <row r="179" spans="2:39" s="7" customFormat="1" x14ac:dyDescent="0.35">
      <c r="B179" s="4" t="str">
        <f>+IF('Data Pura Costos'!B179="","",'Data Pura Costos'!B179)</f>
        <v>Calleuque</v>
      </c>
      <c r="C179" s="4" t="str">
        <f>+IF('Data Pura Costos'!C179="","",'Data Pura Costos'!C179)</f>
        <v>Peralillo ohiggins, VI región</v>
      </c>
      <c r="D179" s="5">
        <f>+IF('Data Pura Costos'!D179="","",'Data Pura Costos'!D179)</f>
        <v>80</v>
      </c>
      <c r="E179" s="65">
        <f>+IF('Data Pura Costos'!E179="","",IF('Data Pura Costos'!E179=0,MAX('Data Pura Costos'!$E$7:$E$3000)*1000,'Data Pura Costos'!E179))</f>
        <v>310000</v>
      </c>
      <c r="F179" s="5" t="str">
        <f>+IF('Data Pura Costos'!F179="","",'Data Pura Costos'!F179)</f>
        <v>Malloa</v>
      </c>
      <c r="G179" s="5" t="str">
        <f>+IF('Data Pura Costos'!G179="","",'Data Pura Costos'!G179)</f>
        <v>LAVALLE</v>
      </c>
      <c r="H179" s="52" t="str">
        <f>+IF('Data Pura Costos'!H179="","",'Data Pura Costos'!H179)</f>
        <v>Termo</v>
      </c>
      <c r="I179" s="71">
        <f>+IF('Data Pura Costos'!I179="","",'Data Pura Costos'!I179)</f>
        <v>3875</v>
      </c>
      <c r="J179" s="52" t="str">
        <f>+IF('Data Pura Costos'!J179="","",'Data Pura Costos'!J179)</f>
        <v>24-25</v>
      </c>
      <c r="K179" s="82" t="str">
        <f t="shared" si="7"/>
        <v>Calleuque-Malloa-LAVALLE</v>
      </c>
      <c r="R179" s="6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</row>
    <row r="180" spans="2:39" s="7" customFormat="1" x14ac:dyDescent="0.35">
      <c r="B180" s="4" t="str">
        <f>+IF('Data Pura Costos'!B180="","",'Data Pura Costos'!B180)</f>
        <v>Chumpirro</v>
      </c>
      <c r="C180" s="4" t="str">
        <f>+IF('Data Pura Costos'!C180="","",'Data Pura Costos'!C180)</f>
        <v>Angol, IX región</v>
      </c>
      <c r="D180" s="5">
        <f>+IF('Data Pura Costos'!D180="","",'Data Pura Costos'!D180)</f>
        <v>450</v>
      </c>
      <c r="E180" s="65">
        <f>+IF('Data Pura Costos'!E180="","",IF('Data Pura Costos'!E180=0,MAX('Data Pura Costos'!$E$7:$E$3000)*1000,'Data Pura Costos'!E180))</f>
        <v>1150000</v>
      </c>
      <c r="F180" s="5" t="str">
        <f>+IF('Data Pura Costos'!F180="","",'Data Pura Costos'!F180)</f>
        <v>Malloa</v>
      </c>
      <c r="G180" s="5" t="str">
        <f>+IF('Data Pura Costos'!G180="","",'Data Pura Costos'!G180)</f>
        <v>LAVALLE</v>
      </c>
      <c r="H180" s="52" t="str">
        <f>+IF('Data Pura Costos'!H180="","",'Data Pura Costos'!H180)</f>
        <v>Termo</v>
      </c>
      <c r="I180" s="71">
        <f>+IF('Data Pura Costos'!I180="","",'Data Pura Costos'!I180)</f>
        <v>2555.5555555555557</v>
      </c>
      <c r="J180" s="52" t="str">
        <f>+IF('Data Pura Costos'!J180="","",'Data Pura Costos'!J180)</f>
        <v>24-25</v>
      </c>
      <c r="K180" s="82" t="str">
        <f t="shared" si="7"/>
        <v>Chumpirro-Malloa-LAVALLE</v>
      </c>
      <c r="R180" s="6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</row>
    <row r="181" spans="2:39" s="7" customFormat="1" x14ac:dyDescent="0.35">
      <c r="B181" s="4" t="str">
        <f>+IF('Data Pura Costos'!B181="","",'Data Pura Costos'!B181)</f>
        <v xml:space="preserve"> Cocalán</v>
      </c>
      <c r="C181" s="4" t="str">
        <f>+IF('Data Pura Costos'!C181="","",'Data Pura Costos'!C181)</f>
        <v>Cocalán, VI región</v>
      </c>
      <c r="D181" s="5">
        <f>+IF('Data Pura Costos'!D181="","",'Data Pura Costos'!D181)</f>
        <v>50</v>
      </c>
      <c r="E181" s="65">
        <f>+IF('Data Pura Costos'!E181="","",IF('Data Pura Costos'!E181=0,MAX('Data Pura Costos'!$E$7:$E$3000)*1000,'Data Pura Costos'!E181))</f>
        <v>300000</v>
      </c>
      <c r="F181" s="5" t="str">
        <f>+IF('Data Pura Costos'!F181="","",'Data Pura Costos'!F181)</f>
        <v>Malloa</v>
      </c>
      <c r="G181" s="5" t="str">
        <f>+IF('Data Pura Costos'!G181="","",'Data Pura Costos'!G181)</f>
        <v>LAVALLE</v>
      </c>
      <c r="H181" s="52" t="str">
        <f>+IF('Data Pura Costos'!H181="","",'Data Pura Costos'!H181)</f>
        <v>Termo</v>
      </c>
      <c r="I181" s="71">
        <f>+IF('Data Pura Costos'!I181="","",'Data Pura Costos'!I181)</f>
        <v>6000</v>
      </c>
      <c r="J181" s="52" t="str">
        <f>+IF('Data Pura Costos'!J181="","",'Data Pura Costos'!J181)</f>
        <v>24-25</v>
      </c>
      <c r="K181" s="82" t="str">
        <f t="shared" si="7"/>
        <v xml:space="preserve"> Cocalán-Malloa-LAVALLE</v>
      </c>
      <c r="R181" s="6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</row>
    <row r="182" spans="2:39" s="7" customFormat="1" x14ac:dyDescent="0.35">
      <c r="B182" s="4" t="str">
        <f>+IF('Data Pura Costos'!B182="","",'Data Pura Costos'!B182)</f>
        <v>El Descanso</v>
      </c>
      <c r="C182" s="4" t="str">
        <f>+IF('Data Pura Costos'!C182="","",'Data Pura Costos'!C182)</f>
        <v>Sagrada Familia, VII región</v>
      </c>
      <c r="D182" s="5">
        <f>+IF('Data Pura Costos'!D182="","",'Data Pura Costos'!D182)</f>
        <v>100</v>
      </c>
      <c r="E182" s="65">
        <f>+IF('Data Pura Costos'!E182="","",IF('Data Pura Costos'!E182=0,MAX('Data Pura Costos'!$E$7:$E$3000)*1000,'Data Pura Costos'!E182))</f>
        <v>320000</v>
      </c>
      <c r="F182" s="5" t="str">
        <f>+IF('Data Pura Costos'!F182="","",'Data Pura Costos'!F182)</f>
        <v>Malloa</v>
      </c>
      <c r="G182" s="5" t="str">
        <f>+IF('Data Pura Costos'!G182="","",'Data Pura Costos'!G182)</f>
        <v>LAVALLE</v>
      </c>
      <c r="H182" s="52" t="str">
        <f>+IF('Data Pura Costos'!H182="","",'Data Pura Costos'!H182)</f>
        <v>Termo</v>
      </c>
      <c r="I182" s="71">
        <f>+IF('Data Pura Costos'!I182="","",'Data Pura Costos'!I182)</f>
        <v>3200</v>
      </c>
      <c r="J182" s="52" t="str">
        <f>+IF('Data Pura Costos'!J182="","",'Data Pura Costos'!J182)</f>
        <v>24-25</v>
      </c>
      <c r="K182" s="82" t="str">
        <f t="shared" si="7"/>
        <v>El Descanso-Malloa-LAVALLE</v>
      </c>
      <c r="R182" s="6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</row>
    <row r="183" spans="2:39" s="7" customFormat="1" x14ac:dyDescent="0.35">
      <c r="B183" s="4" t="str">
        <f>+IF('Data Pura Costos'!B183="","",'Data Pura Costos'!B183)</f>
        <v>El Huaico</v>
      </c>
      <c r="C183" s="4" t="str">
        <f>+IF('Data Pura Costos'!C183="","",'Data Pura Costos'!C183)</f>
        <v>Palmila Ohiggins</v>
      </c>
      <c r="D183" s="5">
        <f>+IF('Data Pura Costos'!D183="","",'Data Pura Costos'!D183)</f>
        <v>75</v>
      </c>
      <c r="E183" s="65">
        <f>+IF('Data Pura Costos'!E183="","",IF('Data Pura Costos'!E183=0,MAX('Data Pura Costos'!$E$7:$E$3000)*1000,'Data Pura Costos'!E183))</f>
        <v>320000</v>
      </c>
      <c r="F183" s="5" t="str">
        <f>+IF('Data Pura Costos'!F183="","",'Data Pura Costos'!F183)</f>
        <v>Malloa</v>
      </c>
      <c r="G183" s="5" t="str">
        <f>+IF('Data Pura Costos'!G183="","",'Data Pura Costos'!G183)</f>
        <v>LAVALLE</v>
      </c>
      <c r="H183" s="52" t="str">
        <f>+IF('Data Pura Costos'!H183="","",'Data Pura Costos'!H183)</f>
        <v>Termo</v>
      </c>
      <c r="I183" s="71">
        <f>+IF('Data Pura Costos'!I183="","",'Data Pura Costos'!I183)</f>
        <v>4266.666666666667</v>
      </c>
      <c r="J183" s="52" t="str">
        <f>+IF('Data Pura Costos'!J183="","",'Data Pura Costos'!J183)</f>
        <v>24-25</v>
      </c>
      <c r="K183" s="82" t="str">
        <f t="shared" si="7"/>
        <v>El Huaico-Malloa-LAVALLE</v>
      </c>
      <c r="R183" s="6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</row>
    <row r="184" spans="2:39" s="7" customFormat="1" x14ac:dyDescent="0.35">
      <c r="B184" s="4" t="str">
        <f>+IF('Data Pura Costos'!B184="","",'Data Pura Costos'!B184)</f>
        <v>El Rosario</v>
      </c>
      <c r="C184" s="4" t="str">
        <f>+IF('Data Pura Costos'!C184="","",'Data Pura Costos'!C184)</f>
        <v>Linares, VII region.</v>
      </c>
      <c r="D184" s="5">
        <f>+IF('Data Pura Costos'!D184="","",'Data Pura Costos'!D184)</f>
        <v>210</v>
      </c>
      <c r="E184" s="65">
        <f>+IF('Data Pura Costos'!E184="","",IF('Data Pura Costos'!E184=0,MAX('Data Pura Costos'!$E$7:$E$3000)*1000,'Data Pura Costos'!E184))</f>
        <v>450000</v>
      </c>
      <c r="F184" s="5" t="str">
        <f>+IF('Data Pura Costos'!F184="","",'Data Pura Costos'!F184)</f>
        <v>Malloa</v>
      </c>
      <c r="G184" s="5" t="str">
        <f>+IF('Data Pura Costos'!G184="","",'Data Pura Costos'!G184)</f>
        <v>LAVALLE</v>
      </c>
      <c r="H184" s="52" t="str">
        <f>+IF('Data Pura Costos'!H184="","",'Data Pura Costos'!H184)</f>
        <v>Termo</v>
      </c>
      <c r="I184" s="71">
        <f>+IF('Data Pura Costos'!I184="","",'Data Pura Costos'!I184)</f>
        <v>2142.8571428571427</v>
      </c>
      <c r="J184" s="52" t="str">
        <f>+IF('Data Pura Costos'!J184="","",'Data Pura Costos'!J184)</f>
        <v>24-25</v>
      </c>
      <c r="K184" s="82" t="str">
        <f t="shared" si="7"/>
        <v>El Rosario-Malloa-LAVALLE</v>
      </c>
      <c r="R184" s="6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</row>
    <row r="185" spans="2:39" s="7" customFormat="1" x14ac:dyDescent="0.35">
      <c r="B185" s="4" t="str">
        <f>+IF('Data Pura Costos'!B185="","",'Data Pura Costos'!B185)</f>
        <v>La Esperanza</v>
      </c>
      <c r="C185" s="4" t="str">
        <f>+IF('Data Pura Costos'!C185="","",'Data Pura Costos'!C185)</f>
        <v>Peumo, VI región</v>
      </c>
      <c r="D185" s="5">
        <f>+IF('Data Pura Costos'!D185="","",'Data Pura Costos'!D185)</f>
        <v>35</v>
      </c>
      <c r="E185" s="65">
        <f>+IF('Data Pura Costos'!E185="","",IF('Data Pura Costos'!E185=0,MAX('Data Pura Costos'!$E$7:$E$3000)*1000,'Data Pura Costos'!E185))</f>
        <v>290000</v>
      </c>
      <c r="F185" s="5" t="str">
        <f>+IF('Data Pura Costos'!F185="","",'Data Pura Costos'!F185)</f>
        <v>Malloa</v>
      </c>
      <c r="G185" s="5" t="str">
        <f>+IF('Data Pura Costos'!G185="","",'Data Pura Costos'!G185)</f>
        <v>LAVALLE</v>
      </c>
      <c r="H185" s="52" t="str">
        <f>+IF('Data Pura Costos'!H185="","",'Data Pura Costos'!H185)</f>
        <v>Termo</v>
      </c>
      <c r="I185" s="71">
        <f>+IF('Data Pura Costos'!I185="","",'Data Pura Costos'!I185)</f>
        <v>8285.7142857142862</v>
      </c>
      <c r="J185" s="52" t="str">
        <f>+IF('Data Pura Costos'!J185="","",'Data Pura Costos'!J185)</f>
        <v>24-25</v>
      </c>
      <c r="K185" s="82" t="str">
        <f t="shared" si="7"/>
        <v>La Esperanza-Malloa-LAVALLE</v>
      </c>
      <c r="R185" s="6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</row>
    <row r="186" spans="2:39" s="7" customFormat="1" x14ac:dyDescent="0.35">
      <c r="B186" s="4" t="str">
        <f>+IF('Data Pura Costos'!B186="","",'Data Pura Costos'!B186)</f>
        <v>La Estación</v>
      </c>
      <c r="C186" s="4" t="str">
        <f>+IF('Data Pura Costos'!C186="","",'Data Pura Costos'!C186)</f>
        <v>Palmilla, VI región</v>
      </c>
      <c r="D186" s="5">
        <f>+IF('Data Pura Costos'!D186="","",'Data Pura Costos'!D186)</f>
        <v>75</v>
      </c>
      <c r="E186" s="65">
        <f>+IF('Data Pura Costos'!E186="","",IF('Data Pura Costos'!E186=0,MAX('Data Pura Costos'!$E$7:$E$3000)*1000,'Data Pura Costos'!E186))</f>
        <v>330000</v>
      </c>
      <c r="F186" s="5" t="str">
        <f>+IF('Data Pura Costos'!F186="","",'Data Pura Costos'!F186)</f>
        <v>Malloa</v>
      </c>
      <c r="G186" s="5" t="str">
        <f>+IF('Data Pura Costos'!G186="","",'Data Pura Costos'!G186)</f>
        <v>LAVALLE</v>
      </c>
      <c r="H186" s="52" t="str">
        <f>+IF('Data Pura Costos'!H186="","",'Data Pura Costos'!H186)</f>
        <v>Termo</v>
      </c>
      <c r="I186" s="71">
        <f>+IF('Data Pura Costos'!I186="","",'Data Pura Costos'!I186)</f>
        <v>4400</v>
      </c>
      <c r="J186" s="52" t="str">
        <f>+IF('Data Pura Costos'!J186="","",'Data Pura Costos'!J186)</f>
        <v>24-25</v>
      </c>
      <c r="K186" s="82" t="str">
        <f t="shared" si="7"/>
        <v>La Estación-Malloa-LAVALLE</v>
      </c>
      <c r="R186" s="6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</row>
    <row r="187" spans="2:39" s="7" customFormat="1" x14ac:dyDescent="0.35">
      <c r="B187" s="4" t="str">
        <f>+IF('Data Pura Costos'!B187="","",'Data Pura Costos'!B187)</f>
        <v>La Lajuela</v>
      </c>
      <c r="C187" s="4" t="str">
        <f>+IF('Data Pura Costos'!C187="","",'Data Pura Costos'!C187)</f>
        <v>Santa Cruz, VI Región</v>
      </c>
      <c r="D187" s="5">
        <f>+IF('Data Pura Costos'!D187="","",'Data Pura Costos'!D187)</f>
        <v>75</v>
      </c>
      <c r="E187" s="65">
        <f>+IF('Data Pura Costos'!E187="","",IF('Data Pura Costos'!E187=0,MAX('Data Pura Costos'!$E$7:$E$3000)*1000,'Data Pura Costos'!E187))</f>
        <v>350000</v>
      </c>
      <c r="F187" s="5" t="str">
        <f>+IF('Data Pura Costos'!F187="","",'Data Pura Costos'!F187)</f>
        <v>Malloa</v>
      </c>
      <c r="G187" s="5" t="str">
        <f>+IF('Data Pura Costos'!G187="","",'Data Pura Costos'!G187)</f>
        <v>LAVALLE</v>
      </c>
      <c r="H187" s="52" t="str">
        <f>+IF('Data Pura Costos'!H187="","",'Data Pura Costos'!H187)</f>
        <v>Termo</v>
      </c>
      <c r="I187" s="71">
        <f>+IF('Data Pura Costos'!I187="","",'Data Pura Costos'!I187)</f>
        <v>4666.666666666667</v>
      </c>
      <c r="J187" s="52" t="str">
        <f>+IF('Data Pura Costos'!J187="","",'Data Pura Costos'!J187)</f>
        <v>24-25</v>
      </c>
      <c r="K187" s="82" t="str">
        <f t="shared" si="7"/>
        <v>La Lajuela-Malloa-LAVALLE</v>
      </c>
      <c r="R187" s="6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</row>
    <row r="188" spans="2:39" s="7" customFormat="1" x14ac:dyDescent="0.35">
      <c r="B188" s="4" t="str">
        <f>+IF('Data Pura Costos'!B188="","",'Data Pura Costos'!B188)</f>
        <v>La Rinconada</v>
      </c>
      <c r="C188" s="4" t="str">
        <f>+IF('Data Pura Costos'!C188="","",'Data Pura Costos'!C188)</f>
        <v>Pichidegua, VI región</v>
      </c>
      <c r="D188" s="5">
        <f>+IF('Data Pura Costos'!D188="","",'Data Pura Costos'!D188)</f>
        <v>45</v>
      </c>
      <c r="E188" s="65">
        <f>+IF('Data Pura Costos'!E188="","",IF('Data Pura Costos'!E188=0,MAX('Data Pura Costos'!$E$7:$E$3000)*1000,'Data Pura Costos'!E188))</f>
        <v>290000</v>
      </c>
      <c r="F188" s="5" t="str">
        <f>+IF('Data Pura Costos'!F188="","",'Data Pura Costos'!F188)</f>
        <v>Malloa</v>
      </c>
      <c r="G188" s="5" t="str">
        <f>+IF('Data Pura Costos'!G188="","",'Data Pura Costos'!G188)</f>
        <v>LAVALLE</v>
      </c>
      <c r="H188" s="52" t="str">
        <f>+IF('Data Pura Costos'!H188="","",'Data Pura Costos'!H188)</f>
        <v>Termo</v>
      </c>
      <c r="I188" s="71">
        <f>+IF('Data Pura Costos'!I188="","",'Data Pura Costos'!I188)</f>
        <v>6444.4444444444443</v>
      </c>
      <c r="J188" s="52" t="str">
        <f>+IF('Data Pura Costos'!J188="","",'Data Pura Costos'!J188)</f>
        <v>24-25</v>
      </c>
      <c r="K188" s="82" t="str">
        <f t="shared" si="7"/>
        <v>La Rinconada-Malloa-LAVALLE</v>
      </c>
      <c r="R188" s="6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</row>
    <row r="189" spans="2:39" s="7" customFormat="1" x14ac:dyDescent="0.35">
      <c r="B189" s="4" t="str">
        <f>+IF('Data Pura Costos'!B189="","",'Data Pura Costos'!B189)</f>
        <v>Las Cabras</v>
      </c>
      <c r="C189" s="4" t="str">
        <f>+IF('Data Pura Costos'!C189="","",'Data Pura Costos'!C189)</f>
        <v>Las Cabras, VI región</v>
      </c>
      <c r="D189" s="5">
        <f>+IF('Data Pura Costos'!D189="","",'Data Pura Costos'!D189)</f>
        <v>45</v>
      </c>
      <c r="E189" s="65">
        <f>+IF('Data Pura Costos'!E189="","",IF('Data Pura Costos'!E189=0,MAX('Data Pura Costos'!$E$7:$E$3000)*1000,'Data Pura Costos'!E189))</f>
        <v>290000</v>
      </c>
      <c r="F189" s="5" t="str">
        <f>+IF('Data Pura Costos'!F189="","",'Data Pura Costos'!F189)</f>
        <v>Malloa</v>
      </c>
      <c r="G189" s="5" t="str">
        <f>+IF('Data Pura Costos'!G189="","",'Data Pura Costos'!G189)</f>
        <v>LAVALLE</v>
      </c>
      <c r="H189" s="52" t="str">
        <f>+IF('Data Pura Costos'!H189="","",'Data Pura Costos'!H189)</f>
        <v>Termo</v>
      </c>
      <c r="I189" s="71">
        <f>+IF('Data Pura Costos'!I189="","",'Data Pura Costos'!I189)</f>
        <v>6444.4444444444443</v>
      </c>
      <c r="J189" s="52" t="str">
        <f>+IF('Data Pura Costos'!J189="","",'Data Pura Costos'!J189)</f>
        <v>24-25</v>
      </c>
      <c r="K189" s="82" t="str">
        <f t="shared" si="7"/>
        <v>Las Cabras-Malloa-LAVALLE</v>
      </c>
      <c r="R189" s="6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</row>
    <row r="190" spans="2:39" s="7" customFormat="1" x14ac:dyDescent="0.35">
      <c r="B190" s="4" t="str">
        <f>+IF('Data Pura Costos'!B190="","",'Data Pura Costos'!B190)</f>
        <v>Las Vertientes</v>
      </c>
      <c r="C190" s="4" t="str">
        <f>+IF('Data Pura Costos'!C190="","",'Data Pura Costos'!C190)</f>
        <v>Pichidegua, VI región</v>
      </c>
      <c r="D190" s="5">
        <f>+IF('Data Pura Costos'!D190="","",'Data Pura Costos'!D190)</f>
        <v>40</v>
      </c>
      <c r="E190" s="65">
        <f>+IF('Data Pura Costos'!E190="","",IF('Data Pura Costos'!E190=0,MAX('Data Pura Costos'!$E$7:$E$3000)*1000,'Data Pura Costos'!E190))</f>
        <v>290000</v>
      </c>
      <c r="F190" s="5" t="str">
        <f>+IF('Data Pura Costos'!F190="","",'Data Pura Costos'!F190)</f>
        <v>Malloa</v>
      </c>
      <c r="G190" s="5" t="str">
        <f>+IF('Data Pura Costos'!G190="","",'Data Pura Costos'!G190)</f>
        <v>LAVALLE</v>
      </c>
      <c r="H190" s="52" t="str">
        <f>+IF('Data Pura Costos'!H190="","",'Data Pura Costos'!H190)</f>
        <v>Termo</v>
      </c>
      <c r="I190" s="71">
        <f>+IF('Data Pura Costos'!I190="","",'Data Pura Costos'!I190)</f>
        <v>7250</v>
      </c>
      <c r="J190" s="52" t="str">
        <f>+IF('Data Pura Costos'!J190="","",'Data Pura Costos'!J190)</f>
        <v>24-25</v>
      </c>
      <c r="K190" s="82" t="str">
        <f t="shared" si="7"/>
        <v>Las Vertientes-Malloa-LAVALLE</v>
      </c>
      <c r="R190" s="6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</row>
    <row r="191" spans="2:39" s="7" customFormat="1" x14ac:dyDescent="0.35">
      <c r="B191" s="4" t="str">
        <f>+IF('Data Pura Costos'!B191="","",'Data Pura Costos'!B191)</f>
        <v>Lihueimo</v>
      </c>
      <c r="C191" s="4" t="str">
        <f>+IF('Data Pura Costos'!C191="","",'Data Pura Costos'!C191)</f>
        <v>Peralillo ohiggins</v>
      </c>
      <c r="D191" s="5">
        <f>+IF('Data Pura Costos'!D191="","",'Data Pura Costos'!D191)</f>
        <v>80</v>
      </c>
      <c r="E191" s="65">
        <f>+IF('Data Pura Costos'!E191="","",IF('Data Pura Costos'!E191=0,MAX('Data Pura Costos'!$E$7:$E$3000)*1000,'Data Pura Costos'!E191))</f>
        <v>310000</v>
      </c>
      <c r="F191" s="5" t="str">
        <f>+IF('Data Pura Costos'!F191="","",'Data Pura Costos'!F191)</f>
        <v>Malloa</v>
      </c>
      <c r="G191" s="5" t="str">
        <f>+IF('Data Pura Costos'!G191="","",'Data Pura Costos'!G191)</f>
        <v>LAVALLE</v>
      </c>
      <c r="H191" s="52" t="str">
        <f>+IF('Data Pura Costos'!H191="","",'Data Pura Costos'!H191)</f>
        <v>Termo</v>
      </c>
      <c r="I191" s="71">
        <f>+IF('Data Pura Costos'!I191="","",'Data Pura Costos'!I191)</f>
        <v>3875</v>
      </c>
      <c r="J191" s="52" t="str">
        <f>+IF('Data Pura Costos'!J191="","",'Data Pura Costos'!J191)</f>
        <v>24-25</v>
      </c>
      <c r="K191" s="82" t="str">
        <f t="shared" si="7"/>
        <v>Lihueimo-Malloa-LAVALLE</v>
      </c>
      <c r="R191" s="6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</row>
    <row r="192" spans="2:39" s="7" customFormat="1" x14ac:dyDescent="0.35">
      <c r="B192" s="4" t="str">
        <f>+IF('Data Pura Costos'!B192="","",'Data Pura Costos'!B192)</f>
        <v>Los Maitenes</v>
      </c>
      <c r="C192" s="4" t="str">
        <f>+IF('Data Pura Costos'!C192="","",'Data Pura Costos'!C192)</f>
        <v>Las Cabras, VI región</v>
      </c>
      <c r="D192" s="5">
        <f>+IF('Data Pura Costos'!D192="","",'Data Pura Costos'!D192)</f>
        <v>60</v>
      </c>
      <c r="E192" s="65">
        <f>+IF('Data Pura Costos'!E192="","",IF('Data Pura Costos'!E192=0,MAX('Data Pura Costos'!$E$7:$E$3000)*1000,'Data Pura Costos'!E192))</f>
        <v>290000</v>
      </c>
      <c r="F192" s="5" t="str">
        <f>+IF('Data Pura Costos'!F192="","",'Data Pura Costos'!F192)</f>
        <v>Malloa</v>
      </c>
      <c r="G192" s="5" t="str">
        <f>+IF('Data Pura Costos'!G192="","",'Data Pura Costos'!G192)</f>
        <v>LAVALLE</v>
      </c>
      <c r="H192" s="52" t="str">
        <f>+IF('Data Pura Costos'!H192="","",'Data Pura Costos'!H192)</f>
        <v>Termo</v>
      </c>
      <c r="I192" s="71">
        <f>+IF('Data Pura Costos'!I192="","",'Data Pura Costos'!I192)</f>
        <v>4833.333333333333</v>
      </c>
      <c r="J192" s="52" t="str">
        <f>+IF('Data Pura Costos'!J192="","",'Data Pura Costos'!J192)</f>
        <v>24-25</v>
      </c>
      <c r="K192" s="82" t="str">
        <f t="shared" si="7"/>
        <v>Los Maitenes-Malloa-LAVALLE</v>
      </c>
      <c r="R192" s="6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</row>
    <row r="193" spans="2:39" s="7" customFormat="1" x14ac:dyDescent="0.35">
      <c r="B193" s="4" t="str">
        <f>+IF('Data Pura Costos'!B193="","",'Data Pura Costos'!B193)</f>
        <v>Los Toldos</v>
      </c>
      <c r="C193" s="4" t="str">
        <f>+IF('Data Pura Costos'!C193="","",'Data Pura Costos'!C193)</f>
        <v>Angol, IX región</v>
      </c>
      <c r="D193" s="5">
        <f>+IF('Data Pura Costos'!D193="","",'Data Pura Costos'!D193)</f>
        <v>50</v>
      </c>
      <c r="E193" s="65">
        <f>+IF('Data Pura Costos'!E193="","",IF('Data Pura Costos'!E193=0,MAX('Data Pura Costos'!$E$7:$E$3000)*1000,'Data Pura Costos'!E193))</f>
        <v>1150000</v>
      </c>
      <c r="F193" s="5" t="str">
        <f>+IF('Data Pura Costos'!F193="","",'Data Pura Costos'!F193)</f>
        <v>Malloa</v>
      </c>
      <c r="G193" s="5" t="str">
        <f>+IF('Data Pura Costos'!G193="","",'Data Pura Costos'!G193)</f>
        <v>LAVALLE</v>
      </c>
      <c r="H193" s="52" t="str">
        <f>+IF('Data Pura Costos'!H193="","",'Data Pura Costos'!H193)</f>
        <v>Termo</v>
      </c>
      <c r="I193" s="71">
        <f>+IF('Data Pura Costos'!I193="","",'Data Pura Costos'!I193)</f>
        <v>23000</v>
      </c>
      <c r="J193" s="52" t="str">
        <f>+IF('Data Pura Costos'!J193="","",'Data Pura Costos'!J193)</f>
        <v>24-25</v>
      </c>
      <c r="K193" s="82" t="str">
        <f t="shared" si="7"/>
        <v>Los Toldos-Malloa-LAVALLE</v>
      </c>
      <c r="R193" s="6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</row>
    <row r="194" spans="2:39" s="7" customFormat="1" x14ac:dyDescent="0.35">
      <c r="B194" s="4" t="str">
        <f>+IF('Data Pura Costos'!B194="","",'Data Pura Costos'!B194)</f>
        <v>Talhuén</v>
      </c>
      <c r="C194" s="4" t="str">
        <f>+IF('Data Pura Costos'!C194="","",'Data Pura Costos'!C194)</f>
        <v>Palmilla, VI región</v>
      </c>
      <c r="D194" s="5">
        <f>+IF('Data Pura Costos'!D194="","",'Data Pura Costos'!D194)</f>
        <v>60</v>
      </c>
      <c r="E194" s="65">
        <f>+IF('Data Pura Costos'!E194="","",IF('Data Pura Costos'!E194=0,MAX('Data Pura Costos'!$E$7:$E$3000)*1000,'Data Pura Costos'!E194))</f>
        <v>320000</v>
      </c>
      <c r="F194" s="5" t="str">
        <f>+IF('Data Pura Costos'!F194="","",'Data Pura Costos'!F194)</f>
        <v>Malloa</v>
      </c>
      <c r="G194" s="5" t="str">
        <f>+IF('Data Pura Costos'!G194="","",'Data Pura Costos'!G194)</f>
        <v>LAVALLE</v>
      </c>
      <c r="H194" s="52" t="str">
        <f>+IF('Data Pura Costos'!H194="","",'Data Pura Costos'!H194)</f>
        <v>Termo</v>
      </c>
      <c r="I194" s="71">
        <f>+IF('Data Pura Costos'!I194="","",'Data Pura Costos'!I194)</f>
        <v>5333.333333333333</v>
      </c>
      <c r="J194" s="52" t="str">
        <f>+IF('Data Pura Costos'!J194="","",'Data Pura Costos'!J194)</f>
        <v>24-25</v>
      </c>
      <c r="K194" s="82" t="str">
        <f t="shared" si="7"/>
        <v>Talhuén-Malloa-LAVALLE</v>
      </c>
      <c r="R194" s="6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</row>
    <row r="195" spans="2:39" s="7" customFormat="1" x14ac:dyDescent="0.35">
      <c r="B195" s="4" t="str">
        <f>+IF('Data Pura Costos'!B195="","",'Data Pura Costos'!B195)</f>
        <v>Villaseca</v>
      </c>
      <c r="C195" s="4" t="str">
        <f>+IF('Data Pura Costos'!C195="","",'Data Pura Costos'!C195)</f>
        <v>Retiro, VII reginón</v>
      </c>
      <c r="D195" s="5">
        <f>+IF('Data Pura Costos'!D195="","",'Data Pura Costos'!D195)</f>
        <v>250</v>
      </c>
      <c r="E195" s="65">
        <f>+IF('Data Pura Costos'!E195="","",IF('Data Pura Costos'!E195=0,MAX('Data Pura Costos'!$E$7:$E$3000)*1000,'Data Pura Costos'!E195))</f>
        <v>450000</v>
      </c>
      <c r="F195" s="5" t="str">
        <f>+IF('Data Pura Costos'!F195="","",'Data Pura Costos'!F195)</f>
        <v>Malloa</v>
      </c>
      <c r="G195" s="5" t="str">
        <f>+IF('Data Pura Costos'!G195="","",'Data Pura Costos'!G195)</f>
        <v>LAVALLE</v>
      </c>
      <c r="H195" s="52" t="str">
        <f>+IF('Data Pura Costos'!H195="","",'Data Pura Costos'!H195)</f>
        <v>Termo</v>
      </c>
      <c r="I195" s="71">
        <f>+IF('Data Pura Costos'!I195="","",'Data Pura Costos'!I195)</f>
        <v>1800</v>
      </c>
      <c r="J195" s="52" t="str">
        <f>+IF('Data Pura Costos'!J195="","",'Data Pura Costos'!J195)</f>
        <v>24-25</v>
      </c>
      <c r="K195" s="82" t="str">
        <f t="shared" si="7"/>
        <v>Villaseca-Malloa-LAVALLE</v>
      </c>
      <c r="R195" s="6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</row>
    <row r="196" spans="2:39" s="7" customFormat="1" x14ac:dyDescent="0.35">
      <c r="B196" s="4" t="str">
        <f>+IF('Data Pura Costos'!B196="","",'Data Pura Costos'!B196)</f>
        <v>San Hernán</v>
      </c>
      <c r="C196" s="4" t="str">
        <f>+IF('Data Pura Costos'!C196="","",'Data Pura Costos'!C196)</f>
        <v>Graneros, VI región</v>
      </c>
      <c r="D196" s="5">
        <f>+IF('Data Pura Costos'!D196="","",'Data Pura Costos'!D196)</f>
        <v>10</v>
      </c>
      <c r="E196" s="65">
        <f>+IF('Data Pura Costos'!E196="","",IF('Data Pura Costos'!E196=0,MAX('Data Pura Costos'!$E$7:$E$3000)*1000,'Data Pura Costos'!E196))</f>
        <v>295034</v>
      </c>
      <c r="F196" s="5" t="str">
        <f>+IF('Data Pura Costos'!F196="","",'Data Pura Costos'!F196)</f>
        <v>Mostazal</v>
      </c>
      <c r="G196" s="5" t="str">
        <f>+IF('Data Pura Costos'!G196="","",'Data Pura Costos'!G196)</f>
        <v>MACEBE</v>
      </c>
      <c r="H196" s="52" t="str">
        <f>+IF('Data Pura Costos'!H196="","",'Data Pura Costos'!H196)</f>
        <v>Termo</v>
      </c>
      <c r="I196" s="71">
        <f>+IF('Data Pura Costos'!I196="","",'Data Pura Costos'!I196)</f>
        <v>29503.4</v>
      </c>
      <c r="J196" s="52" t="str">
        <f>+IF('Data Pura Costos'!J196="","",'Data Pura Costos'!J196)</f>
        <v>24-25</v>
      </c>
      <c r="K196" s="82" t="str">
        <f t="shared" si="7"/>
        <v>San Hernán-Mostazal-MACEBE</v>
      </c>
      <c r="R196" s="6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</row>
    <row r="197" spans="2:39" s="7" customFormat="1" x14ac:dyDescent="0.35">
      <c r="B197" s="4" t="str">
        <f>+IF('Data Pura Costos'!B197="","",'Data Pura Costos'!B197)</f>
        <v>San Hernán</v>
      </c>
      <c r="C197" s="4" t="str">
        <f>+IF('Data Pura Costos'!C197="","",'Data Pura Costos'!C197)</f>
        <v>Graneros, VI región</v>
      </c>
      <c r="D197" s="5">
        <f>+IF('Data Pura Costos'!D197="","",'Data Pura Costos'!D197)</f>
        <v>140</v>
      </c>
      <c r="E197" s="65">
        <f>+IF('Data Pura Costos'!E197="","",IF('Data Pura Costos'!E197=0,MAX('Data Pura Costos'!$E$7:$E$3000)*1000,'Data Pura Costos'!E197))</f>
        <v>485284</v>
      </c>
      <c r="F197" s="5" t="str">
        <f>+IF('Data Pura Costos'!F197="","",'Data Pura Costos'!F197)</f>
        <v>Molina</v>
      </c>
      <c r="G197" s="5" t="str">
        <f>+IF('Data Pura Costos'!G197="","",'Data Pura Costos'!G197)</f>
        <v>MACEBE</v>
      </c>
      <c r="H197" s="52" t="str">
        <f>+IF('Data Pura Costos'!H197="","",'Data Pura Costos'!H197)</f>
        <v>Termo</v>
      </c>
      <c r="I197" s="71">
        <f>+IF('Data Pura Costos'!I197="","",'Data Pura Costos'!I197)</f>
        <v>3466.3142857142857</v>
      </c>
      <c r="J197" s="52" t="str">
        <f>+IF('Data Pura Costos'!J197="","",'Data Pura Costos'!J197)</f>
        <v>24-25</v>
      </c>
      <c r="K197" s="82" t="str">
        <f t="shared" si="7"/>
        <v>San Hernán-Molina-MACEBE</v>
      </c>
      <c r="R197" s="6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</row>
    <row r="198" spans="2:39" s="7" customFormat="1" x14ac:dyDescent="0.35">
      <c r="B198" s="4" t="str">
        <f>+IF('Data Pura Costos'!B198="","",'Data Pura Costos'!B198)</f>
        <v>San Hernán</v>
      </c>
      <c r="C198" s="4" t="str">
        <f>+IF('Data Pura Costos'!C198="","",'Data Pura Costos'!C198)</f>
        <v>Graneros, VI región</v>
      </c>
      <c r="D198" s="5">
        <f>+IF('Data Pura Costos'!D198="","",'Data Pura Costos'!D198)</f>
        <v>60</v>
      </c>
      <c r="E198" s="65">
        <f>+IF('Data Pura Costos'!E198="","",IF('Data Pura Costos'!E198=0,MAX('Data Pura Costos'!$E$7:$E$3000)*1000,'Data Pura Costos'!E198))</f>
        <v>352352</v>
      </c>
      <c r="F198" s="5" t="str">
        <f>+IF('Data Pura Costos'!F198="","",'Data Pura Costos'!F198)</f>
        <v>Malloa</v>
      </c>
      <c r="G198" s="5" t="str">
        <f>+IF('Data Pura Costos'!G198="","",'Data Pura Costos'!G198)</f>
        <v>MACEBE</v>
      </c>
      <c r="H198" s="52" t="str">
        <f>+IF('Data Pura Costos'!H198="","",'Data Pura Costos'!H198)</f>
        <v>Termo</v>
      </c>
      <c r="I198" s="71">
        <f>+IF('Data Pura Costos'!I198="","",'Data Pura Costos'!I198)</f>
        <v>5872.5333333333338</v>
      </c>
      <c r="J198" s="52" t="str">
        <f>+IF('Data Pura Costos'!J198="","",'Data Pura Costos'!J198)</f>
        <v>24-25</v>
      </c>
      <c r="K198" s="82" t="str">
        <f t="shared" si="7"/>
        <v>San Hernán-Malloa-MACEBE</v>
      </c>
      <c r="R198" s="6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</row>
    <row r="199" spans="2:39" s="7" customFormat="1" x14ac:dyDescent="0.35">
      <c r="B199" s="4" t="str">
        <f>+IF('Data Pura Costos'!B199="","",'Data Pura Costos'!B199)</f>
        <v>Almahue</v>
      </c>
      <c r="C199" s="4" t="str">
        <f>+IF('Data Pura Costos'!C199="","",'Data Pura Costos'!C199)</f>
        <v>Pichidegua, VI región</v>
      </c>
      <c r="D199" s="5">
        <f>+IF('Data Pura Costos'!D199="","",'Data Pura Costos'!D199)</f>
        <v>108</v>
      </c>
      <c r="E199" s="65">
        <f>+IF('Data Pura Costos'!E199="","",IF('Data Pura Costos'!E199=0,MAX('Data Pura Costos'!$E$7:$E$3000)*1000,'Data Pura Costos'!E199))</f>
        <v>380000</v>
      </c>
      <c r="F199" s="5" t="str">
        <f>+IF('Data Pura Costos'!F199="","",'Data Pura Costos'!F199)</f>
        <v>Mostazal</v>
      </c>
      <c r="G199" s="5" t="str">
        <f>+IF('Data Pura Costos'!G199="","",'Data Pura Costos'!G199)</f>
        <v xml:space="preserve">Manuel Sepúlveda </v>
      </c>
      <c r="H199" s="52" t="str">
        <f>+IF('Data Pura Costos'!H199="","",'Data Pura Costos'!H199)</f>
        <v>Termo</v>
      </c>
      <c r="I199" s="71">
        <f>+IF('Data Pura Costos'!I199="","",'Data Pura Costos'!I199)</f>
        <v>3518.5185185185187</v>
      </c>
      <c r="J199" s="52" t="str">
        <f>+IF('Data Pura Costos'!J199="","",'Data Pura Costos'!J199)</f>
        <v>24-25</v>
      </c>
      <c r="K199" s="82" t="str">
        <f t="shared" si="7"/>
        <v xml:space="preserve">Almahue-Mostazal-Manuel Sepúlveda </v>
      </c>
      <c r="R199" s="6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</row>
    <row r="200" spans="2:39" s="7" customFormat="1" x14ac:dyDescent="0.35">
      <c r="B200" s="4" t="str">
        <f>+IF('Data Pura Costos'!B200="","",'Data Pura Costos'!B200)</f>
        <v>Bodega</v>
      </c>
      <c r="C200" s="4" t="str">
        <f>+IF('Data Pura Costos'!C200="","",'Data Pura Costos'!C200)</f>
        <v>Linares, VII region.</v>
      </c>
      <c r="D200" s="5">
        <f>+IF('Data Pura Costos'!D200="","",'Data Pura Costos'!D200)</f>
        <v>264</v>
      </c>
      <c r="E200" s="65">
        <f>+IF('Data Pura Costos'!E200="","",IF('Data Pura Costos'!E200=0,MAX('Data Pura Costos'!$E$7:$E$3000)*1000,'Data Pura Costos'!E200))</f>
        <v>740000</v>
      </c>
      <c r="F200" s="5" t="str">
        <f>+IF('Data Pura Costos'!F200="","",'Data Pura Costos'!F200)</f>
        <v>Mostazal</v>
      </c>
      <c r="G200" s="5" t="str">
        <f>+IF('Data Pura Costos'!G200="","",'Data Pura Costos'!G200)</f>
        <v xml:space="preserve">Manuel Sepúlveda </v>
      </c>
      <c r="H200" s="52" t="str">
        <f>+IF('Data Pura Costos'!H200="","",'Data Pura Costos'!H200)</f>
        <v>Termo</v>
      </c>
      <c r="I200" s="71">
        <f>+IF('Data Pura Costos'!I200="","",'Data Pura Costos'!I200)</f>
        <v>2803.030303030303</v>
      </c>
      <c r="J200" s="52" t="str">
        <f>+IF('Data Pura Costos'!J200="","",'Data Pura Costos'!J200)</f>
        <v>24-25</v>
      </c>
      <c r="K200" s="82" t="str">
        <f t="shared" ref="K200:K263" si="8">+IF(B200="","",CONCATENATE(B200,"-",F200,"-",G200))</f>
        <v xml:space="preserve">Bodega-Mostazal-Manuel Sepúlveda </v>
      </c>
      <c r="R200" s="6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</row>
    <row r="201" spans="2:39" s="7" customFormat="1" x14ac:dyDescent="0.35">
      <c r="B201" s="4" t="str">
        <f>+IF('Data Pura Costos'!B201="","",'Data Pura Costos'!B201)</f>
        <v xml:space="preserve">Caliboro </v>
      </c>
      <c r="C201" s="4" t="str">
        <f>+IF('Data Pura Costos'!C201="","",'Data Pura Costos'!C201)</f>
        <v>San Javier, VII región</v>
      </c>
      <c r="D201" s="5">
        <f>+IF('Data Pura Costos'!D201="","",'Data Pura Costos'!D201)</f>
        <v>258</v>
      </c>
      <c r="E201" s="65">
        <f>+IF('Data Pura Costos'!E201="","",IF('Data Pura Costos'!E201=0,MAX('Data Pura Costos'!$E$7:$E$3000)*1000,'Data Pura Costos'!E201))</f>
        <v>740000</v>
      </c>
      <c r="F201" s="5" t="str">
        <f>+IF('Data Pura Costos'!F201="","",'Data Pura Costos'!F201)</f>
        <v>Mostazal</v>
      </c>
      <c r="G201" s="5" t="str">
        <f>+IF('Data Pura Costos'!G201="","",'Data Pura Costos'!G201)</f>
        <v xml:space="preserve">Manuel Sepúlveda </v>
      </c>
      <c r="H201" s="52" t="str">
        <f>+IF('Data Pura Costos'!H201="","",'Data Pura Costos'!H201)</f>
        <v>Termo</v>
      </c>
      <c r="I201" s="71">
        <f>+IF('Data Pura Costos'!I201="","",'Data Pura Costos'!I201)</f>
        <v>2868.2170542635658</v>
      </c>
      <c r="J201" s="52" t="str">
        <f>+IF('Data Pura Costos'!J201="","",'Data Pura Costos'!J201)</f>
        <v>24-25</v>
      </c>
      <c r="K201" s="82" t="str">
        <f t="shared" si="8"/>
        <v xml:space="preserve">Caliboro -Mostazal-Manuel Sepúlveda </v>
      </c>
      <c r="R201" s="6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</row>
    <row r="202" spans="2:39" s="7" customFormat="1" x14ac:dyDescent="0.35">
      <c r="B202" s="4" t="str">
        <f>+IF('Data Pura Costos'!B202="","",'Data Pura Costos'!B202)</f>
        <v>Calleuque</v>
      </c>
      <c r="C202" s="4" t="str">
        <f>+IF('Data Pura Costos'!C202="","",'Data Pura Costos'!C202)</f>
        <v>Peralillo ohiggins, VI región</v>
      </c>
      <c r="D202" s="5">
        <f>+IF('Data Pura Costos'!D202="","",'Data Pura Costos'!D202)</f>
        <v>143</v>
      </c>
      <c r="E202" s="65">
        <f>+IF('Data Pura Costos'!E202="","",IF('Data Pura Costos'!E202=0,MAX('Data Pura Costos'!$E$7:$E$3000)*1000,'Data Pura Costos'!E202))</f>
        <v>450000</v>
      </c>
      <c r="F202" s="5" t="str">
        <f>+IF('Data Pura Costos'!F202="","",'Data Pura Costos'!F202)</f>
        <v>Mostazal</v>
      </c>
      <c r="G202" s="5" t="str">
        <f>+IF('Data Pura Costos'!G202="","",'Data Pura Costos'!G202)</f>
        <v xml:space="preserve">Manuel Sepúlveda </v>
      </c>
      <c r="H202" s="52" t="str">
        <f>+IF('Data Pura Costos'!H202="","",'Data Pura Costos'!H202)</f>
        <v>Termo</v>
      </c>
      <c r="I202" s="71">
        <f>+IF('Data Pura Costos'!I202="","",'Data Pura Costos'!I202)</f>
        <v>3146.8531468531469</v>
      </c>
      <c r="J202" s="52" t="str">
        <f>+IF('Data Pura Costos'!J202="","",'Data Pura Costos'!J202)</f>
        <v>24-25</v>
      </c>
      <c r="K202" s="82" t="str">
        <f t="shared" si="8"/>
        <v xml:space="preserve">Calleuque-Mostazal-Manuel Sepúlveda </v>
      </c>
      <c r="R202" s="6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</row>
    <row r="203" spans="2:39" s="7" customFormat="1" x14ac:dyDescent="0.35">
      <c r="B203" s="4" t="str">
        <f>+IF('Data Pura Costos'!B203="","",'Data Pura Costos'!B203)</f>
        <v>Chumpirro</v>
      </c>
      <c r="C203" s="4" t="str">
        <f>+IF('Data Pura Costos'!C203="","",'Data Pura Costos'!C203)</f>
        <v>Angol, IX región</v>
      </c>
      <c r="D203" s="5">
        <f>+IF('Data Pura Costos'!D203="","",'Data Pura Costos'!D203)</f>
        <v>499</v>
      </c>
      <c r="E203" s="65">
        <f>+IF('Data Pura Costos'!E203="","",IF('Data Pura Costos'!E203=0,MAX('Data Pura Costos'!$E$7:$E$3000)*1000,'Data Pura Costos'!E203))</f>
        <v>1400000</v>
      </c>
      <c r="F203" s="5" t="str">
        <f>+IF('Data Pura Costos'!F203="","",'Data Pura Costos'!F203)</f>
        <v>Mostazal</v>
      </c>
      <c r="G203" s="5" t="str">
        <f>+IF('Data Pura Costos'!G203="","",'Data Pura Costos'!G203)</f>
        <v xml:space="preserve">Manuel Sepúlveda </v>
      </c>
      <c r="H203" s="52" t="str">
        <f>+IF('Data Pura Costos'!H203="","",'Data Pura Costos'!H203)</f>
        <v>Termo</v>
      </c>
      <c r="I203" s="71">
        <f>+IF('Data Pura Costos'!I203="","",'Data Pura Costos'!I203)</f>
        <v>2805.6112224448898</v>
      </c>
      <c r="J203" s="52" t="str">
        <f>+IF('Data Pura Costos'!J203="","",'Data Pura Costos'!J203)</f>
        <v>24-25</v>
      </c>
      <c r="K203" s="82" t="str">
        <f t="shared" si="8"/>
        <v xml:space="preserve">Chumpirro-Mostazal-Manuel Sepúlveda </v>
      </c>
      <c r="R203" s="6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</row>
    <row r="204" spans="2:39" s="7" customFormat="1" x14ac:dyDescent="0.35">
      <c r="B204" s="4" t="str">
        <f>+IF('Data Pura Costos'!B204="","",'Data Pura Costos'!B204)</f>
        <v xml:space="preserve"> Cocalán</v>
      </c>
      <c r="C204" s="4" t="str">
        <f>+IF('Data Pura Costos'!C204="","",'Data Pura Costos'!C204)</f>
        <v>Cocalán, VI región</v>
      </c>
      <c r="D204" s="5">
        <f>+IF('Data Pura Costos'!D204="","",'Data Pura Costos'!D204)</f>
        <v>113</v>
      </c>
      <c r="E204" s="65">
        <f>+IF('Data Pura Costos'!E204="","",IF('Data Pura Costos'!E204=0,MAX('Data Pura Costos'!$E$7:$E$3000)*1000,'Data Pura Costos'!E204))</f>
        <v>385000</v>
      </c>
      <c r="F204" s="5" t="str">
        <f>+IF('Data Pura Costos'!F204="","",'Data Pura Costos'!F204)</f>
        <v>Mostazal</v>
      </c>
      <c r="G204" s="5" t="str">
        <f>+IF('Data Pura Costos'!G204="","",'Data Pura Costos'!G204)</f>
        <v xml:space="preserve">Manuel Sepúlveda </v>
      </c>
      <c r="H204" s="52" t="str">
        <f>+IF('Data Pura Costos'!H204="","",'Data Pura Costos'!H204)</f>
        <v>Termo</v>
      </c>
      <c r="I204" s="71">
        <f>+IF('Data Pura Costos'!I204="","",'Data Pura Costos'!I204)</f>
        <v>3407.0796460176989</v>
      </c>
      <c r="J204" s="52" t="str">
        <f>+IF('Data Pura Costos'!J204="","",'Data Pura Costos'!J204)</f>
        <v>24-25</v>
      </c>
      <c r="K204" s="82" t="str">
        <f t="shared" si="8"/>
        <v xml:space="preserve"> Cocalán-Mostazal-Manuel Sepúlveda </v>
      </c>
      <c r="R204" s="6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</row>
    <row r="205" spans="2:39" s="7" customFormat="1" x14ac:dyDescent="0.35">
      <c r="B205" s="4" t="str">
        <f>+IF('Data Pura Costos'!B205="","",'Data Pura Costos'!B205)</f>
        <v>El Cóndor</v>
      </c>
      <c r="C205" s="4" t="str">
        <f>+IF('Data Pura Costos'!C205="","",'Data Pura Costos'!C205)</f>
        <v>Chimbarongo, VI Region.</v>
      </c>
      <c r="D205" s="5">
        <f>+IF('Data Pura Costos'!D205="","",'Data Pura Costos'!D205)</f>
        <v>150</v>
      </c>
      <c r="E205" s="65">
        <f>+IF('Data Pura Costos'!E205="","",IF('Data Pura Costos'!E205=0,MAX('Data Pura Costos'!$E$7:$E$3000)*1000,'Data Pura Costos'!E205))</f>
        <v>450000</v>
      </c>
      <c r="F205" s="5" t="str">
        <f>+IF('Data Pura Costos'!F205="","",'Data Pura Costos'!F205)</f>
        <v>Mostazal</v>
      </c>
      <c r="G205" s="5" t="str">
        <f>+IF('Data Pura Costos'!G205="","",'Data Pura Costos'!G205)</f>
        <v xml:space="preserve">Manuel Sepúlveda </v>
      </c>
      <c r="H205" s="52" t="str">
        <f>+IF('Data Pura Costos'!H205="","",'Data Pura Costos'!H205)</f>
        <v>Termo</v>
      </c>
      <c r="I205" s="71">
        <f>+IF('Data Pura Costos'!I205="","",'Data Pura Costos'!I205)</f>
        <v>3000</v>
      </c>
      <c r="J205" s="52" t="str">
        <f>+IF('Data Pura Costos'!J205="","",'Data Pura Costos'!J205)</f>
        <v>24-25</v>
      </c>
      <c r="K205" s="82" t="str">
        <f t="shared" si="8"/>
        <v xml:space="preserve">El Cóndor-Mostazal-Manuel Sepúlveda </v>
      </c>
      <c r="R205" s="6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</row>
    <row r="206" spans="2:39" s="7" customFormat="1" x14ac:dyDescent="0.35">
      <c r="B206" s="4" t="str">
        <f>+IF('Data Pura Costos'!B206="","",'Data Pura Costos'!B206)</f>
        <v>El Descanso</v>
      </c>
      <c r="C206" s="4" t="str">
        <f>+IF('Data Pura Costos'!C206="","",'Data Pura Costos'!C206)</f>
        <v>Sagrada Familia, VII región</v>
      </c>
      <c r="D206" s="5">
        <f>+IF('Data Pura Costos'!D206="","",'Data Pura Costos'!D206)</f>
        <v>240</v>
      </c>
      <c r="E206" s="65">
        <f>+IF('Data Pura Costos'!E206="","",IF('Data Pura Costos'!E206=0,MAX('Data Pura Costos'!$E$7:$E$3000)*1000,'Data Pura Costos'!E206))</f>
        <v>700000</v>
      </c>
      <c r="F206" s="5" t="str">
        <f>+IF('Data Pura Costos'!F206="","",'Data Pura Costos'!F206)</f>
        <v>Mostazal</v>
      </c>
      <c r="G206" s="5" t="str">
        <f>+IF('Data Pura Costos'!G206="","",'Data Pura Costos'!G206)</f>
        <v xml:space="preserve">Manuel Sepúlveda </v>
      </c>
      <c r="H206" s="52" t="str">
        <f>+IF('Data Pura Costos'!H206="","",'Data Pura Costos'!H206)</f>
        <v>Termo</v>
      </c>
      <c r="I206" s="71">
        <f>+IF('Data Pura Costos'!I206="","",'Data Pura Costos'!I206)</f>
        <v>2916.6666666666665</v>
      </c>
      <c r="J206" s="52" t="str">
        <f>+IF('Data Pura Costos'!J206="","",'Data Pura Costos'!J206)</f>
        <v>24-25</v>
      </c>
      <c r="K206" s="82" t="str">
        <f t="shared" si="8"/>
        <v xml:space="preserve">El Descanso-Mostazal-Manuel Sepúlveda </v>
      </c>
      <c r="R206" s="6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</row>
    <row r="207" spans="2:39" s="7" customFormat="1" x14ac:dyDescent="0.35">
      <c r="B207" s="4" t="str">
        <f>+IF('Data Pura Costos'!B207="","",'Data Pura Costos'!B207)</f>
        <v>El Espino</v>
      </c>
      <c r="C207" s="4" t="str">
        <f>+IF('Data Pura Costos'!C207="","",'Data Pura Costos'!C207)</f>
        <v>Colbún, VII región</v>
      </c>
      <c r="D207" s="5">
        <f>+IF('Data Pura Costos'!D207="","",'Data Pura Costos'!D207)</f>
        <v>240</v>
      </c>
      <c r="E207" s="65">
        <f>+IF('Data Pura Costos'!E207="","",IF('Data Pura Costos'!E207=0,MAX('Data Pura Costos'!$E$7:$E$3000)*1000,'Data Pura Costos'!E207))</f>
        <v>700000</v>
      </c>
      <c r="F207" s="5" t="str">
        <f>+IF('Data Pura Costos'!F207="","",'Data Pura Costos'!F207)</f>
        <v>Mostazal</v>
      </c>
      <c r="G207" s="5" t="str">
        <f>+IF('Data Pura Costos'!G207="","",'Data Pura Costos'!G207)</f>
        <v xml:space="preserve">Manuel Sepúlveda </v>
      </c>
      <c r="H207" s="52" t="str">
        <f>+IF('Data Pura Costos'!H207="","",'Data Pura Costos'!H207)</f>
        <v>Termo</v>
      </c>
      <c r="I207" s="71">
        <f>+IF('Data Pura Costos'!I207="","",'Data Pura Costos'!I207)</f>
        <v>2916.6666666666665</v>
      </c>
      <c r="J207" s="52" t="str">
        <f>+IF('Data Pura Costos'!J207="","",'Data Pura Costos'!J207)</f>
        <v>24-25</v>
      </c>
      <c r="K207" s="82" t="str">
        <f t="shared" si="8"/>
        <v xml:space="preserve">El Espino-Mostazal-Manuel Sepúlveda </v>
      </c>
      <c r="R207" s="6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</row>
    <row r="208" spans="2:39" s="7" customFormat="1" x14ac:dyDescent="0.35">
      <c r="B208" s="4" t="str">
        <f>+IF('Data Pura Costos'!B208="","",'Data Pura Costos'!B208)</f>
        <v>El Huaico</v>
      </c>
      <c r="C208" s="4" t="str">
        <f>+IF('Data Pura Costos'!C208="","",'Data Pura Costos'!C208)</f>
        <v>Palmila Ohiggins</v>
      </c>
      <c r="D208" s="5">
        <f>+IF('Data Pura Costos'!D208="","",'Data Pura Costos'!D208)</f>
        <v>124</v>
      </c>
      <c r="E208" s="65">
        <f>+IF('Data Pura Costos'!E208="","",IF('Data Pura Costos'!E208=0,MAX('Data Pura Costos'!$E$7:$E$3000)*1000,'Data Pura Costos'!E208))</f>
        <v>400000</v>
      </c>
      <c r="F208" s="5" t="str">
        <f>+IF('Data Pura Costos'!F208="","",'Data Pura Costos'!F208)</f>
        <v>Mostazal</v>
      </c>
      <c r="G208" s="5" t="str">
        <f>+IF('Data Pura Costos'!G208="","",'Data Pura Costos'!G208)</f>
        <v xml:space="preserve">Manuel Sepúlveda </v>
      </c>
      <c r="H208" s="52" t="str">
        <f>+IF('Data Pura Costos'!H208="","",'Data Pura Costos'!H208)</f>
        <v>Termo</v>
      </c>
      <c r="I208" s="71">
        <f>+IF('Data Pura Costos'!I208="","",'Data Pura Costos'!I208)</f>
        <v>3225.8064516129034</v>
      </c>
      <c r="J208" s="52" t="str">
        <f>+IF('Data Pura Costos'!J208="","",'Data Pura Costos'!J208)</f>
        <v>24-25</v>
      </c>
      <c r="K208" s="82" t="str">
        <f t="shared" si="8"/>
        <v xml:space="preserve">El Huaico-Mostazal-Manuel Sepúlveda </v>
      </c>
      <c r="R208" s="6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</row>
    <row r="209" spans="2:39" s="7" customFormat="1" x14ac:dyDescent="0.35">
      <c r="B209" s="4" t="str">
        <f>+IF('Data Pura Costos'!B209="","",'Data Pura Costos'!B209)</f>
        <v>El Parque</v>
      </c>
      <c r="C209" s="4" t="str">
        <f>+IF('Data Pura Costos'!C209="","",'Data Pura Costos'!C209)</f>
        <v>San Francisco de Mostazal.VI Region.</v>
      </c>
      <c r="D209" s="5">
        <f>+IF('Data Pura Costos'!D209="","",'Data Pura Costos'!D209)</f>
        <v>3</v>
      </c>
      <c r="E209" s="65">
        <f>+IF('Data Pura Costos'!E209="","",IF('Data Pura Costos'!E209=0,MAX('Data Pura Costos'!$E$7:$E$3000)*1000,'Data Pura Costos'!E209))</f>
        <v>280000</v>
      </c>
      <c r="F209" s="5" t="str">
        <f>+IF('Data Pura Costos'!F209="","",'Data Pura Costos'!F209)</f>
        <v>Mostazal</v>
      </c>
      <c r="G209" s="5" t="str">
        <f>+IF('Data Pura Costos'!G209="","",'Data Pura Costos'!G209)</f>
        <v xml:space="preserve">Manuel Sepúlveda </v>
      </c>
      <c r="H209" s="52" t="str">
        <f>+IF('Data Pura Costos'!H209="","",'Data Pura Costos'!H209)</f>
        <v>Termo</v>
      </c>
      <c r="I209" s="71">
        <f>+IF('Data Pura Costos'!I209="","",'Data Pura Costos'!I209)</f>
        <v>93333.333333333328</v>
      </c>
      <c r="J209" s="52" t="str">
        <f>+IF('Data Pura Costos'!J209="","",'Data Pura Costos'!J209)</f>
        <v>24-25</v>
      </c>
      <c r="K209" s="82" t="str">
        <f t="shared" si="8"/>
        <v xml:space="preserve">El Parque-Mostazal-Manuel Sepúlveda </v>
      </c>
      <c r="R209" s="6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</row>
    <row r="210" spans="2:39" s="7" customFormat="1" x14ac:dyDescent="0.35">
      <c r="B210" s="4" t="str">
        <f>+IF('Data Pura Costos'!B210="","",'Data Pura Costos'!B210)</f>
        <v>El Picaso</v>
      </c>
      <c r="C210" s="4" t="str">
        <f>+IF('Data Pura Costos'!C210="","",'Data Pura Costos'!C210)</f>
        <v xml:space="preserve">San Clemente, VII región </v>
      </c>
      <c r="D210" s="5">
        <f>+IF('Data Pura Costos'!D210="","",'Data Pura Costos'!D210)</f>
        <v>208</v>
      </c>
      <c r="E210" s="65">
        <f>+IF('Data Pura Costos'!E210="","",IF('Data Pura Costos'!E210=0,MAX('Data Pura Costos'!$E$7:$E$3000)*1000,'Data Pura Costos'!E210))</f>
        <v>650000</v>
      </c>
      <c r="F210" s="5" t="str">
        <f>+IF('Data Pura Costos'!F210="","",'Data Pura Costos'!F210)</f>
        <v>Mostazal</v>
      </c>
      <c r="G210" s="5" t="str">
        <f>+IF('Data Pura Costos'!G210="","",'Data Pura Costos'!G210)</f>
        <v xml:space="preserve">Manuel Sepúlveda </v>
      </c>
      <c r="H210" s="52" t="str">
        <f>+IF('Data Pura Costos'!H210="","",'Data Pura Costos'!H210)</f>
        <v>Termo</v>
      </c>
      <c r="I210" s="71">
        <f>+IF('Data Pura Costos'!I210="","",'Data Pura Costos'!I210)</f>
        <v>3125</v>
      </c>
      <c r="J210" s="52" t="str">
        <f>+IF('Data Pura Costos'!J210="","",'Data Pura Costos'!J210)</f>
        <v>24-25</v>
      </c>
      <c r="K210" s="82" t="str">
        <f t="shared" si="8"/>
        <v xml:space="preserve">El Picaso-Mostazal-Manuel Sepúlveda </v>
      </c>
      <c r="R210" s="6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</row>
    <row r="211" spans="2:39" s="7" customFormat="1" x14ac:dyDescent="0.35">
      <c r="B211" s="4" t="str">
        <f>+IF('Data Pura Costos'!B211="","",'Data Pura Costos'!B211)</f>
        <v>El Recurso</v>
      </c>
      <c r="C211" s="4" t="str">
        <f>+IF('Data Pura Costos'!C211="","",'Data Pura Costos'!C211)</f>
        <v>San Francisco de Mostazal.VI Region.</v>
      </c>
      <c r="D211" s="5">
        <f>+IF('Data Pura Costos'!D211="","",'Data Pura Costos'!D211)</f>
        <v>3</v>
      </c>
      <c r="E211" s="65">
        <f>+IF('Data Pura Costos'!E211="","",IF('Data Pura Costos'!E211=0,MAX('Data Pura Costos'!$E$7:$E$3000)*1000,'Data Pura Costos'!E211))</f>
        <v>280000</v>
      </c>
      <c r="F211" s="5" t="str">
        <f>+IF('Data Pura Costos'!F211="","",'Data Pura Costos'!F211)</f>
        <v>Mostazal</v>
      </c>
      <c r="G211" s="5" t="str">
        <f>+IF('Data Pura Costos'!G211="","",'Data Pura Costos'!G211)</f>
        <v xml:space="preserve">Manuel Sepúlveda </v>
      </c>
      <c r="H211" s="52" t="str">
        <f>+IF('Data Pura Costos'!H211="","",'Data Pura Costos'!H211)</f>
        <v>Termo</v>
      </c>
      <c r="I211" s="71">
        <f>+IF('Data Pura Costos'!I211="","",'Data Pura Costos'!I211)</f>
        <v>93333.333333333328</v>
      </c>
      <c r="J211" s="52" t="str">
        <f>+IF('Data Pura Costos'!J211="","",'Data Pura Costos'!J211)</f>
        <v>24-25</v>
      </c>
      <c r="K211" s="82" t="str">
        <f t="shared" si="8"/>
        <v xml:space="preserve">El Recurso-Mostazal-Manuel Sepúlveda </v>
      </c>
      <c r="R211" s="6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</row>
    <row r="212" spans="2:39" s="7" customFormat="1" x14ac:dyDescent="0.35">
      <c r="B212" s="4" t="str">
        <f>+IF('Data Pura Costos'!B212="","",'Data Pura Costos'!B212)</f>
        <v>El Rosario</v>
      </c>
      <c r="C212" s="4" t="str">
        <f>+IF('Data Pura Costos'!C212="","",'Data Pura Costos'!C212)</f>
        <v>Linares, VII region.</v>
      </c>
      <c r="D212" s="5">
        <f>+IF('Data Pura Costos'!D212="","",'Data Pura Costos'!D212)</f>
        <v>260</v>
      </c>
      <c r="E212" s="65">
        <f>+IF('Data Pura Costos'!E212="","",IF('Data Pura Costos'!E212=0,MAX('Data Pura Costos'!$E$7:$E$3000)*1000,'Data Pura Costos'!E212))</f>
        <v>740000</v>
      </c>
      <c r="F212" s="5" t="str">
        <f>+IF('Data Pura Costos'!F212="","",'Data Pura Costos'!F212)</f>
        <v>Mostazal</v>
      </c>
      <c r="G212" s="5" t="str">
        <f>+IF('Data Pura Costos'!G212="","",'Data Pura Costos'!G212)</f>
        <v xml:space="preserve">Manuel Sepúlveda </v>
      </c>
      <c r="H212" s="52" t="str">
        <f>+IF('Data Pura Costos'!H212="","",'Data Pura Costos'!H212)</f>
        <v>Termo</v>
      </c>
      <c r="I212" s="71">
        <f>+IF('Data Pura Costos'!I212="","",'Data Pura Costos'!I212)</f>
        <v>2846.1538461538462</v>
      </c>
      <c r="J212" s="52" t="str">
        <f>+IF('Data Pura Costos'!J212="","",'Data Pura Costos'!J212)</f>
        <v>24-25</v>
      </c>
      <c r="K212" s="82" t="str">
        <f t="shared" si="8"/>
        <v xml:space="preserve">El Rosario-Mostazal-Manuel Sepúlveda </v>
      </c>
      <c r="R212" s="6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</row>
    <row r="213" spans="2:39" s="7" customFormat="1" x14ac:dyDescent="0.35">
      <c r="B213" s="4" t="str">
        <f>+IF('Data Pura Costos'!B213="","",'Data Pura Costos'!B213)</f>
        <v>El Retiro</v>
      </c>
      <c r="C213" s="4" t="str">
        <f>+IF('Data Pura Costos'!C213="","",'Data Pura Costos'!C213)</f>
        <v>Rosario, VI Region.</v>
      </c>
      <c r="D213" s="5">
        <f>+IF('Data Pura Costos'!D213="","",'Data Pura Costos'!D213)</f>
        <v>45</v>
      </c>
      <c r="E213" s="65">
        <f>+IF('Data Pura Costos'!E213="","",IF('Data Pura Costos'!E213=0,MAX('Data Pura Costos'!$E$7:$E$3000)*1000,'Data Pura Costos'!E213))</f>
        <v>280000</v>
      </c>
      <c r="F213" s="5" t="str">
        <f>+IF('Data Pura Costos'!F213="","",'Data Pura Costos'!F213)</f>
        <v>Mostazal</v>
      </c>
      <c r="G213" s="5" t="str">
        <f>+IF('Data Pura Costos'!G213="","",'Data Pura Costos'!G213)</f>
        <v xml:space="preserve">Manuel Sepúlveda </v>
      </c>
      <c r="H213" s="52" t="str">
        <f>+IF('Data Pura Costos'!H213="","",'Data Pura Costos'!H213)</f>
        <v>Termo</v>
      </c>
      <c r="I213" s="71">
        <f>+IF('Data Pura Costos'!I213="","",'Data Pura Costos'!I213)</f>
        <v>6222.2222222222226</v>
      </c>
      <c r="J213" s="52" t="str">
        <f>+IF('Data Pura Costos'!J213="","",'Data Pura Costos'!J213)</f>
        <v>24-25</v>
      </c>
      <c r="K213" s="82" t="str">
        <f t="shared" si="8"/>
        <v xml:space="preserve">El Retiro-Mostazal-Manuel Sepúlveda </v>
      </c>
      <c r="R213" s="6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</row>
    <row r="214" spans="2:39" s="7" customFormat="1" x14ac:dyDescent="0.35">
      <c r="B214" s="4" t="str">
        <f>+IF('Data Pura Costos'!B214="","",'Data Pura Costos'!B214)</f>
        <v>La Esperanza</v>
      </c>
      <c r="C214" s="4" t="str">
        <f>+IF('Data Pura Costos'!C214="","",'Data Pura Costos'!C214)</f>
        <v>Peumo, VI región</v>
      </c>
      <c r="D214" s="5">
        <f>+IF('Data Pura Costos'!D214="","",'Data Pura Costos'!D214)</f>
        <v>98</v>
      </c>
      <c r="E214" s="65">
        <f>+IF('Data Pura Costos'!E214="","",IF('Data Pura Costos'!E214=0,MAX('Data Pura Costos'!$E$7:$E$3000)*1000,'Data Pura Costos'!E214))</f>
        <v>345000</v>
      </c>
      <c r="F214" s="5" t="str">
        <f>+IF('Data Pura Costos'!F214="","",'Data Pura Costos'!F214)</f>
        <v>Mostazal</v>
      </c>
      <c r="G214" s="5" t="str">
        <f>+IF('Data Pura Costos'!G214="","",'Data Pura Costos'!G214)</f>
        <v xml:space="preserve">Manuel Sepúlveda </v>
      </c>
      <c r="H214" s="52" t="str">
        <f>+IF('Data Pura Costos'!H214="","",'Data Pura Costos'!H214)</f>
        <v>Termo</v>
      </c>
      <c r="I214" s="71">
        <f>+IF('Data Pura Costos'!I214="","",'Data Pura Costos'!I214)</f>
        <v>3520.408163265306</v>
      </c>
      <c r="J214" s="52" t="str">
        <f>+IF('Data Pura Costos'!J214="","",'Data Pura Costos'!J214)</f>
        <v>24-25</v>
      </c>
      <c r="K214" s="82" t="str">
        <f t="shared" si="8"/>
        <v xml:space="preserve">La Esperanza-Mostazal-Manuel Sepúlveda </v>
      </c>
      <c r="R214" s="6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</row>
    <row r="215" spans="2:39" s="7" customFormat="1" x14ac:dyDescent="0.35">
      <c r="B215" s="4" t="str">
        <f>+IF('Data Pura Costos'!B215="","",'Data Pura Costos'!B215)</f>
        <v>La Estación</v>
      </c>
      <c r="C215" s="4" t="str">
        <f>+IF('Data Pura Costos'!C215="","",'Data Pura Costos'!C215)</f>
        <v>Palmilla, VI región</v>
      </c>
      <c r="D215" s="5">
        <f>+IF('Data Pura Costos'!D215="","",'Data Pura Costos'!D215)</f>
        <v>125</v>
      </c>
      <c r="E215" s="65">
        <f>+IF('Data Pura Costos'!E215="","",IF('Data Pura Costos'!E215=0,MAX('Data Pura Costos'!$E$7:$E$3000)*1000,'Data Pura Costos'!E215))</f>
        <v>400000</v>
      </c>
      <c r="F215" s="5" t="str">
        <f>+IF('Data Pura Costos'!F215="","",'Data Pura Costos'!F215)</f>
        <v>Mostazal</v>
      </c>
      <c r="G215" s="5" t="str">
        <f>+IF('Data Pura Costos'!G215="","",'Data Pura Costos'!G215)</f>
        <v xml:space="preserve">Manuel Sepúlveda </v>
      </c>
      <c r="H215" s="52" t="str">
        <f>+IF('Data Pura Costos'!H215="","",'Data Pura Costos'!H215)</f>
        <v>Termo</v>
      </c>
      <c r="I215" s="71">
        <f>+IF('Data Pura Costos'!I215="","",'Data Pura Costos'!I215)</f>
        <v>3200</v>
      </c>
      <c r="J215" s="52" t="str">
        <f>+IF('Data Pura Costos'!J215="","",'Data Pura Costos'!J215)</f>
        <v>24-25</v>
      </c>
      <c r="K215" s="82" t="str">
        <f t="shared" si="8"/>
        <v xml:space="preserve">La Estación-Mostazal-Manuel Sepúlveda </v>
      </c>
      <c r="R215" s="6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</row>
    <row r="216" spans="2:39" s="7" customFormat="1" x14ac:dyDescent="0.35">
      <c r="B216" s="4" t="str">
        <f>+IF('Data Pura Costos'!B216="","",'Data Pura Costos'!B216)</f>
        <v>La Lajuela</v>
      </c>
      <c r="C216" s="4" t="str">
        <f>+IF('Data Pura Costos'!C216="","",'Data Pura Costos'!C216)</f>
        <v>Santa Cruz, VI Región</v>
      </c>
      <c r="D216" s="5">
        <f>+IF('Data Pura Costos'!D216="","",'Data Pura Costos'!D216)</f>
        <v>128</v>
      </c>
      <c r="E216" s="65">
        <f>+IF('Data Pura Costos'!E216="","",IF('Data Pura Costos'!E216=0,MAX('Data Pura Costos'!$E$7:$E$3000)*1000,'Data Pura Costos'!E216))</f>
        <v>400000</v>
      </c>
      <c r="F216" s="5" t="str">
        <f>+IF('Data Pura Costos'!F216="","",'Data Pura Costos'!F216)</f>
        <v>Mostazal</v>
      </c>
      <c r="G216" s="5" t="str">
        <f>+IF('Data Pura Costos'!G216="","",'Data Pura Costos'!G216)</f>
        <v xml:space="preserve">Manuel Sepúlveda </v>
      </c>
      <c r="H216" s="52" t="str">
        <f>+IF('Data Pura Costos'!H216="","",'Data Pura Costos'!H216)</f>
        <v>Termo</v>
      </c>
      <c r="I216" s="71">
        <f>+IF('Data Pura Costos'!I216="","",'Data Pura Costos'!I216)</f>
        <v>3125</v>
      </c>
      <c r="J216" s="52" t="str">
        <f>+IF('Data Pura Costos'!J216="","",'Data Pura Costos'!J216)</f>
        <v>24-25</v>
      </c>
      <c r="K216" s="82" t="str">
        <f t="shared" si="8"/>
        <v xml:space="preserve">La Lajuela-Mostazal-Manuel Sepúlveda </v>
      </c>
      <c r="R216" s="6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</row>
    <row r="217" spans="2:39" s="7" customFormat="1" x14ac:dyDescent="0.35">
      <c r="B217" s="4" t="str">
        <f>+IF('Data Pura Costos'!B217="","",'Data Pura Costos'!B217)</f>
        <v>La Morera</v>
      </c>
      <c r="C217" s="4" t="str">
        <f>+IF('Data Pura Costos'!C217="","",'Data Pura Costos'!C217)</f>
        <v>La compañia, VI Region.</v>
      </c>
      <c r="D217" s="5">
        <f>+IF('Data Pura Costos'!D217="","",'Data Pura Costos'!D217)</f>
        <v>16</v>
      </c>
      <c r="E217" s="65">
        <f>+IF('Data Pura Costos'!E217="","",IF('Data Pura Costos'!E217=0,MAX('Data Pura Costos'!$E$7:$E$3000)*1000,'Data Pura Costos'!E217))</f>
        <v>280000</v>
      </c>
      <c r="F217" s="5" t="str">
        <f>+IF('Data Pura Costos'!F217="","",'Data Pura Costos'!F217)</f>
        <v>Mostazal</v>
      </c>
      <c r="G217" s="5" t="str">
        <f>+IF('Data Pura Costos'!G217="","",'Data Pura Costos'!G217)</f>
        <v xml:space="preserve">Manuel Sepúlveda </v>
      </c>
      <c r="H217" s="52" t="str">
        <f>+IF('Data Pura Costos'!H217="","",'Data Pura Costos'!H217)</f>
        <v>Termo</v>
      </c>
      <c r="I217" s="71">
        <f>+IF('Data Pura Costos'!I217="","",'Data Pura Costos'!I217)</f>
        <v>17500</v>
      </c>
      <c r="J217" s="52" t="str">
        <f>+IF('Data Pura Costos'!J217="","",'Data Pura Costos'!J217)</f>
        <v>24-25</v>
      </c>
      <c r="K217" s="82" t="str">
        <f t="shared" si="8"/>
        <v xml:space="preserve">La Morera-Mostazal-Manuel Sepúlveda </v>
      </c>
      <c r="R217" s="6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</row>
    <row r="218" spans="2:39" s="7" customFormat="1" x14ac:dyDescent="0.35">
      <c r="B218" s="4" t="str">
        <f>+IF('Data Pura Costos'!B218="","",'Data Pura Costos'!B218)</f>
        <v>La Rinconada</v>
      </c>
      <c r="C218" s="4" t="str">
        <f>+IF('Data Pura Costos'!C218="","",'Data Pura Costos'!C218)</f>
        <v>Pichidegua, VI región</v>
      </c>
      <c r="D218" s="5">
        <f>+IF('Data Pura Costos'!D218="","",'Data Pura Costos'!D218)</f>
        <v>110</v>
      </c>
      <c r="E218" s="65">
        <f>+IF('Data Pura Costos'!E218="","",IF('Data Pura Costos'!E218=0,MAX('Data Pura Costos'!$E$7:$E$3000)*1000,'Data Pura Costos'!E218))</f>
        <v>385000</v>
      </c>
      <c r="F218" s="5" t="str">
        <f>+IF('Data Pura Costos'!F218="","",'Data Pura Costos'!F218)</f>
        <v>Mostazal</v>
      </c>
      <c r="G218" s="5" t="str">
        <f>+IF('Data Pura Costos'!G218="","",'Data Pura Costos'!G218)</f>
        <v xml:space="preserve">Manuel Sepúlveda </v>
      </c>
      <c r="H218" s="52" t="str">
        <f>+IF('Data Pura Costos'!H218="","",'Data Pura Costos'!H218)</f>
        <v>Termo</v>
      </c>
      <c r="I218" s="71">
        <f>+IF('Data Pura Costos'!I218="","",'Data Pura Costos'!I218)</f>
        <v>3500</v>
      </c>
      <c r="J218" s="52" t="str">
        <f>+IF('Data Pura Costos'!J218="","",'Data Pura Costos'!J218)</f>
        <v>24-25</v>
      </c>
      <c r="K218" s="82" t="str">
        <f t="shared" si="8"/>
        <v xml:space="preserve">La Rinconada-Mostazal-Manuel Sepúlveda </v>
      </c>
      <c r="R218" s="6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</row>
    <row r="219" spans="2:39" s="7" customFormat="1" x14ac:dyDescent="0.35">
      <c r="B219" s="4" t="str">
        <f>+IF('Data Pura Costos'!B219="","",'Data Pura Costos'!B219)</f>
        <v xml:space="preserve">La Roblería </v>
      </c>
      <c r="C219" s="4" t="str">
        <f>+IF('Data Pura Costos'!C219="","",'Data Pura Costos'!C219)</f>
        <v>Aculeo, RM</v>
      </c>
      <c r="D219" s="5">
        <f>+IF('Data Pura Costos'!D219="","",'Data Pura Costos'!D219)</f>
        <v>40</v>
      </c>
      <c r="E219" s="65">
        <f>+IF('Data Pura Costos'!E219="","",IF('Data Pura Costos'!E219=0,MAX('Data Pura Costos'!$E$7:$E$3000)*1000,'Data Pura Costos'!E219))</f>
        <v>280000</v>
      </c>
      <c r="F219" s="5" t="str">
        <f>+IF('Data Pura Costos'!F219="","",'Data Pura Costos'!F219)</f>
        <v>Mostazal</v>
      </c>
      <c r="G219" s="5" t="str">
        <f>+IF('Data Pura Costos'!G219="","",'Data Pura Costos'!G219)</f>
        <v xml:space="preserve">Manuel Sepúlveda </v>
      </c>
      <c r="H219" s="52" t="str">
        <f>+IF('Data Pura Costos'!H219="","",'Data Pura Costos'!H219)</f>
        <v>Termo</v>
      </c>
      <c r="I219" s="71">
        <f>+IF('Data Pura Costos'!I219="","",'Data Pura Costos'!I219)</f>
        <v>7000</v>
      </c>
      <c r="J219" s="52" t="str">
        <f>+IF('Data Pura Costos'!J219="","",'Data Pura Costos'!J219)</f>
        <v>24-25</v>
      </c>
      <c r="K219" s="82" t="str">
        <f t="shared" si="8"/>
        <v xml:space="preserve">La Roblería -Mostazal-Manuel Sepúlveda </v>
      </c>
      <c r="R219" s="6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</row>
    <row r="220" spans="2:39" s="7" customFormat="1" x14ac:dyDescent="0.35">
      <c r="B220" s="4" t="str">
        <f>+IF('Data Pura Costos'!B220="","",'Data Pura Costos'!B220)</f>
        <v>Las Cabras</v>
      </c>
      <c r="C220" s="4" t="str">
        <f>+IF('Data Pura Costos'!C220="","",'Data Pura Costos'!C220)</f>
        <v>Las Cabras, VI región</v>
      </c>
      <c r="D220" s="5">
        <f>+IF('Data Pura Costos'!D220="","",'Data Pura Costos'!D220)</f>
        <v>110</v>
      </c>
      <c r="E220" s="65">
        <f>+IF('Data Pura Costos'!E220="","",IF('Data Pura Costos'!E220=0,MAX('Data Pura Costos'!$E$7:$E$3000)*1000,'Data Pura Costos'!E220))</f>
        <v>385000</v>
      </c>
      <c r="F220" s="5" t="str">
        <f>+IF('Data Pura Costos'!F220="","",'Data Pura Costos'!F220)</f>
        <v>Mostazal</v>
      </c>
      <c r="G220" s="5" t="str">
        <f>+IF('Data Pura Costos'!G220="","",'Data Pura Costos'!G220)</f>
        <v xml:space="preserve">Manuel Sepúlveda </v>
      </c>
      <c r="H220" s="52" t="str">
        <f>+IF('Data Pura Costos'!H220="","",'Data Pura Costos'!H220)</f>
        <v>Termo</v>
      </c>
      <c r="I220" s="71">
        <f>+IF('Data Pura Costos'!I220="","",'Data Pura Costos'!I220)</f>
        <v>3500</v>
      </c>
      <c r="J220" s="52" t="str">
        <f>+IF('Data Pura Costos'!J220="","",'Data Pura Costos'!J220)</f>
        <v>24-25</v>
      </c>
      <c r="K220" s="82" t="str">
        <f t="shared" si="8"/>
        <v xml:space="preserve">Las Cabras-Mostazal-Manuel Sepúlveda </v>
      </c>
      <c r="R220" s="6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</row>
    <row r="221" spans="2:39" s="7" customFormat="1" x14ac:dyDescent="0.35">
      <c r="B221" s="4" t="str">
        <f>+IF('Data Pura Costos'!B221="","",'Data Pura Costos'!B221)</f>
        <v>Las Vertientes</v>
      </c>
      <c r="C221" s="4" t="str">
        <f>+IF('Data Pura Costos'!C221="","",'Data Pura Costos'!C221)</f>
        <v>Pichidegua, VI región</v>
      </c>
      <c r="D221" s="5">
        <f>+IF('Data Pura Costos'!D221="","",'Data Pura Costos'!D221)</f>
        <v>103</v>
      </c>
      <c r="E221" s="65">
        <f>+IF('Data Pura Costos'!E221="","",IF('Data Pura Costos'!E221=0,MAX('Data Pura Costos'!$E$7:$E$3000)*1000,'Data Pura Costos'!E221))</f>
        <v>385000</v>
      </c>
      <c r="F221" s="5" t="str">
        <f>+IF('Data Pura Costos'!F221="","",'Data Pura Costos'!F221)</f>
        <v>Mostazal</v>
      </c>
      <c r="G221" s="5" t="str">
        <f>+IF('Data Pura Costos'!G221="","",'Data Pura Costos'!G221)</f>
        <v xml:space="preserve">Manuel Sepúlveda </v>
      </c>
      <c r="H221" s="52" t="str">
        <f>+IF('Data Pura Costos'!H221="","",'Data Pura Costos'!H221)</f>
        <v>Termo</v>
      </c>
      <c r="I221" s="71">
        <f>+IF('Data Pura Costos'!I221="","",'Data Pura Costos'!I221)</f>
        <v>3737.8640776699031</v>
      </c>
      <c r="J221" s="52" t="str">
        <f>+IF('Data Pura Costos'!J221="","",'Data Pura Costos'!J221)</f>
        <v>24-25</v>
      </c>
      <c r="K221" s="82" t="str">
        <f t="shared" si="8"/>
        <v xml:space="preserve">Las Vertientes-Mostazal-Manuel Sepúlveda </v>
      </c>
      <c r="R221" s="6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</row>
    <row r="222" spans="2:39" s="7" customFormat="1" x14ac:dyDescent="0.35">
      <c r="B222" s="4" t="str">
        <f>+IF('Data Pura Costos'!B222="","",'Data Pura Costos'!B222)</f>
        <v>Lihueimo</v>
      </c>
      <c r="C222" s="4" t="str">
        <f>+IF('Data Pura Costos'!C222="","",'Data Pura Costos'!C222)</f>
        <v>Peralillo ohiggins</v>
      </c>
      <c r="D222" s="5">
        <f>+IF('Data Pura Costos'!D222="","",'Data Pura Costos'!D222)</f>
        <v>131</v>
      </c>
      <c r="E222" s="65">
        <f>+IF('Data Pura Costos'!E222="","",IF('Data Pura Costos'!E222=0,MAX('Data Pura Costos'!$E$7:$E$3000)*1000,'Data Pura Costos'!E222))</f>
        <v>450000</v>
      </c>
      <c r="F222" s="5" t="str">
        <f>+IF('Data Pura Costos'!F222="","",'Data Pura Costos'!F222)</f>
        <v>Mostazal</v>
      </c>
      <c r="G222" s="5" t="str">
        <f>+IF('Data Pura Costos'!G222="","",'Data Pura Costos'!G222)</f>
        <v xml:space="preserve">Manuel Sepúlveda </v>
      </c>
      <c r="H222" s="52" t="str">
        <f>+IF('Data Pura Costos'!H222="","",'Data Pura Costos'!H222)</f>
        <v>Termo</v>
      </c>
      <c r="I222" s="71">
        <f>+IF('Data Pura Costos'!I222="","",'Data Pura Costos'!I222)</f>
        <v>3435.1145038167938</v>
      </c>
      <c r="J222" s="52" t="str">
        <f>+IF('Data Pura Costos'!J222="","",'Data Pura Costos'!J222)</f>
        <v>24-25</v>
      </c>
      <c r="K222" s="82" t="str">
        <f t="shared" si="8"/>
        <v xml:space="preserve">Lihueimo-Mostazal-Manuel Sepúlveda </v>
      </c>
      <c r="R222" s="6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</row>
    <row r="223" spans="2:39" s="7" customFormat="1" x14ac:dyDescent="0.35">
      <c r="B223" s="4" t="str">
        <f>+IF('Data Pura Costos'!B223="","",'Data Pura Costos'!B223)</f>
        <v>Los Encinos</v>
      </c>
      <c r="C223" s="4" t="str">
        <f>+IF('Data Pura Costos'!C223="","",'Data Pura Costos'!C223)</f>
        <v>Huechun, RM</v>
      </c>
      <c r="D223" s="5">
        <f>+IF('Data Pura Costos'!D223="","",'Data Pura Costos'!D223)</f>
        <v>85</v>
      </c>
      <c r="E223" s="65">
        <f>+IF('Data Pura Costos'!E223="","",IF('Data Pura Costos'!E223=0,MAX('Data Pura Costos'!$E$7:$E$3000)*1000,'Data Pura Costos'!E223))</f>
        <v>345000</v>
      </c>
      <c r="F223" s="5" t="str">
        <f>+IF('Data Pura Costos'!F223="","",'Data Pura Costos'!F223)</f>
        <v>Mostazal</v>
      </c>
      <c r="G223" s="5" t="str">
        <f>+IF('Data Pura Costos'!G223="","",'Data Pura Costos'!G223)</f>
        <v xml:space="preserve">Manuel Sepúlveda </v>
      </c>
      <c r="H223" s="52" t="str">
        <f>+IF('Data Pura Costos'!H223="","",'Data Pura Costos'!H223)</f>
        <v>Termo</v>
      </c>
      <c r="I223" s="71">
        <f>+IF('Data Pura Costos'!I223="","",'Data Pura Costos'!I223)</f>
        <v>4058.8235294117649</v>
      </c>
      <c r="J223" s="52" t="str">
        <f>+IF('Data Pura Costos'!J223="","",'Data Pura Costos'!J223)</f>
        <v>24-25</v>
      </c>
      <c r="K223" s="82" t="str">
        <f t="shared" si="8"/>
        <v xml:space="preserve">Los Encinos-Mostazal-Manuel Sepúlveda </v>
      </c>
      <c r="R223" s="6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</row>
    <row r="224" spans="2:39" s="7" customFormat="1" x14ac:dyDescent="0.35">
      <c r="B224" s="4" t="str">
        <f>+IF('Data Pura Costos'!B224="","",'Data Pura Costos'!B224)</f>
        <v>Los Maitenes</v>
      </c>
      <c r="C224" s="4" t="str">
        <f>+IF('Data Pura Costos'!C224="","",'Data Pura Costos'!C224)</f>
        <v>Las Cabras, VI región</v>
      </c>
      <c r="D224" s="5">
        <f>+IF('Data Pura Costos'!D224="","",'Data Pura Costos'!D224)</f>
        <v>118</v>
      </c>
      <c r="E224" s="65">
        <f>+IF('Data Pura Costos'!E224="","",IF('Data Pura Costos'!E224=0,MAX('Data Pura Costos'!$E$7:$E$3000)*1000,'Data Pura Costos'!E224))</f>
        <v>385000</v>
      </c>
      <c r="F224" s="5" t="str">
        <f>+IF('Data Pura Costos'!F224="","",'Data Pura Costos'!F224)</f>
        <v>Mostazal</v>
      </c>
      <c r="G224" s="5" t="str">
        <f>+IF('Data Pura Costos'!G224="","",'Data Pura Costos'!G224)</f>
        <v xml:space="preserve">Manuel Sepúlveda </v>
      </c>
      <c r="H224" s="52" t="str">
        <f>+IF('Data Pura Costos'!H224="","",'Data Pura Costos'!H224)</f>
        <v>Termo</v>
      </c>
      <c r="I224" s="71">
        <f>+IF('Data Pura Costos'!I224="","",'Data Pura Costos'!I224)</f>
        <v>3262.7118644067796</v>
      </c>
      <c r="J224" s="52" t="str">
        <f>+IF('Data Pura Costos'!J224="","",'Data Pura Costos'!J224)</f>
        <v>24-25</v>
      </c>
      <c r="K224" s="82" t="str">
        <f t="shared" si="8"/>
        <v xml:space="preserve">Los Maitenes-Mostazal-Manuel Sepúlveda </v>
      </c>
      <c r="R224" s="6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</row>
    <row r="225" spans="2:39" s="7" customFormat="1" x14ac:dyDescent="0.35">
      <c r="B225" s="4" t="str">
        <f>+IF('Data Pura Costos'!B225="","",'Data Pura Costos'!B225)</f>
        <v>Los Toldos</v>
      </c>
      <c r="C225" s="4" t="str">
        <f>+IF('Data Pura Costos'!C225="","",'Data Pura Costos'!C225)</f>
        <v>Angol, IX región</v>
      </c>
      <c r="D225" s="5">
        <f>+IF('Data Pura Costos'!D225="","",'Data Pura Costos'!D225)</f>
        <v>549</v>
      </c>
      <c r="E225" s="65">
        <f>+IF('Data Pura Costos'!E225="","",IF('Data Pura Costos'!E225=0,MAX('Data Pura Costos'!$E$7:$E$3000)*1000,'Data Pura Costos'!E225))</f>
        <v>1540000</v>
      </c>
      <c r="F225" s="5" t="str">
        <f>+IF('Data Pura Costos'!F225="","",'Data Pura Costos'!F225)</f>
        <v>Mostazal</v>
      </c>
      <c r="G225" s="5" t="str">
        <f>+IF('Data Pura Costos'!G225="","",'Data Pura Costos'!G225)</f>
        <v xml:space="preserve">Manuel Sepúlveda </v>
      </c>
      <c r="H225" s="52" t="str">
        <f>+IF('Data Pura Costos'!H225="","",'Data Pura Costos'!H225)</f>
        <v>Termo</v>
      </c>
      <c r="I225" s="71">
        <f>+IF('Data Pura Costos'!I225="","",'Data Pura Costos'!I225)</f>
        <v>2805.1001821493624</v>
      </c>
      <c r="J225" s="52" t="str">
        <f>+IF('Data Pura Costos'!J225="","",'Data Pura Costos'!J225)</f>
        <v>24-25</v>
      </c>
      <c r="K225" s="82" t="str">
        <f t="shared" si="8"/>
        <v xml:space="preserve">Los Toldos-Mostazal-Manuel Sepúlveda </v>
      </c>
      <c r="R225" s="6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</row>
    <row r="226" spans="2:39" s="7" customFormat="1" x14ac:dyDescent="0.35">
      <c r="B226" s="4" t="str">
        <f>+IF('Data Pura Costos'!B226="","",'Data Pura Costos'!B226)</f>
        <v>Mallorca</v>
      </c>
      <c r="C226" s="4" t="str">
        <f>+IF('Data Pura Costos'!C226="","",'Data Pura Costos'!C226)</f>
        <v xml:space="preserve">Molina, VII región </v>
      </c>
      <c r="D226" s="5">
        <f>+IF('Data Pura Costos'!D226="","",'Data Pura Costos'!D226)</f>
        <v>144</v>
      </c>
      <c r="E226" s="65">
        <f>+IF('Data Pura Costos'!E226="","",IF('Data Pura Costos'!E226=0,MAX('Data Pura Costos'!$E$7:$E$3000)*1000,'Data Pura Costos'!E226))</f>
        <v>450000</v>
      </c>
      <c r="F226" s="5" t="str">
        <f>+IF('Data Pura Costos'!F226="","",'Data Pura Costos'!F226)</f>
        <v>Mostazal</v>
      </c>
      <c r="G226" s="5" t="str">
        <f>+IF('Data Pura Costos'!G226="","",'Data Pura Costos'!G226)</f>
        <v xml:space="preserve">Manuel Sepúlveda </v>
      </c>
      <c r="H226" s="52" t="str">
        <f>+IF('Data Pura Costos'!H226="","",'Data Pura Costos'!H226)</f>
        <v>Termo</v>
      </c>
      <c r="I226" s="71">
        <f>+IF('Data Pura Costos'!I226="","",'Data Pura Costos'!I226)</f>
        <v>3125</v>
      </c>
      <c r="J226" s="52" t="str">
        <f>+IF('Data Pura Costos'!J226="","",'Data Pura Costos'!J226)</f>
        <v>24-25</v>
      </c>
      <c r="K226" s="82" t="str">
        <f t="shared" si="8"/>
        <v xml:space="preserve">Mallorca-Mostazal-Manuel Sepúlveda </v>
      </c>
      <c r="R226" s="6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</row>
    <row r="227" spans="2:39" s="7" customFormat="1" x14ac:dyDescent="0.35">
      <c r="B227" s="4" t="str">
        <f>+IF('Data Pura Costos'!B227="","",'Data Pura Costos'!B227)</f>
        <v>Panquehue</v>
      </c>
      <c r="C227" s="4" t="str">
        <f>+IF('Data Pura Costos'!C227="","",'Data Pura Costos'!C227)</f>
        <v>Panquehue, V región</v>
      </c>
      <c r="D227" s="5">
        <f>+IF('Data Pura Costos'!D227="","",'Data Pura Costos'!D227)</f>
        <v>165</v>
      </c>
      <c r="E227" s="65">
        <f>+IF('Data Pura Costos'!E227="","",IF('Data Pura Costos'!E227=0,MAX('Data Pura Costos'!$E$7:$E$3000)*1000,'Data Pura Costos'!E227))</f>
        <v>520000</v>
      </c>
      <c r="F227" s="5" t="str">
        <f>+IF('Data Pura Costos'!F227="","",'Data Pura Costos'!F227)</f>
        <v>Mostazal</v>
      </c>
      <c r="G227" s="5" t="str">
        <f>+IF('Data Pura Costos'!G227="","",'Data Pura Costos'!G227)</f>
        <v xml:space="preserve">Manuel Sepúlveda </v>
      </c>
      <c r="H227" s="52" t="str">
        <f>+IF('Data Pura Costos'!H227="","",'Data Pura Costos'!H227)</f>
        <v>Termo</v>
      </c>
      <c r="I227" s="71">
        <f>+IF('Data Pura Costos'!I227="","",'Data Pura Costos'!I227)</f>
        <v>3151.5151515151515</v>
      </c>
      <c r="J227" s="52" t="str">
        <f>+IF('Data Pura Costos'!J227="","",'Data Pura Costos'!J227)</f>
        <v>24-25</v>
      </c>
      <c r="K227" s="82" t="str">
        <f t="shared" si="8"/>
        <v xml:space="preserve">Panquehue-Mostazal-Manuel Sepúlveda </v>
      </c>
      <c r="R227" s="6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</row>
    <row r="228" spans="2:39" s="7" customFormat="1" x14ac:dyDescent="0.35">
      <c r="B228" s="4" t="str">
        <f>+IF('Data Pura Costos'!B228="","",'Data Pura Costos'!B228)</f>
        <v>Entre Rios/Puente Negro/Rio Claro</v>
      </c>
      <c r="C228" s="4" t="str">
        <f>+IF('Data Pura Costos'!C228="","",'Data Pura Costos'!C228)</f>
        <v>Puente negro, san fernando.VI Region.</v>
      </c>
      <c r="D228" s="5">
        <f>+IF('Data Pura Costos'!D228="","",'Data Pura Costos'!D228)</f>
        <v>100</v>
      </c>
      <c r="E228" s="65">
        <f>+IF('Data Pura Costos'!E228="","",IF('Data Pura Costos'!E228=0,MAX('Data Pura Costos'!$E$7:$E$3000)*1000,'Data Pura Costos'!E228))</f>
        <v>358000</v>
      </c>
      <c r="F228" s="5" t="str">
        <f>+IF('Data Pura Costos'!F228="","",'Data Pura Costos'!F228)</f>
        <v>Mostazal</v>
      </c>
      <c r="G228" s="5" t="str">
        <f>+IF('Data Pura Costos'!G228="","",'Data Pura Costos'!G228)</f>
        <v xml:space="preserve">Manuel Sepúlveda </v>
      </c>
      <c r="H228" s="52" t="str">
        <f>+IF('Data Pura Costos'!H228="","",'Data Pura Costos'!H228)</f>
        <v>Termo</v>
      </c>
      <c r="I228" s="71">
        <f>+IF('Data Pura Costos'!I228="","",'Data Pura Costos'!I228)</f>
        <v>3580</v>
      </c>
      <c r="J228" s="52" t="str">
        <f>+IF('Data Pura Costos'!J228="","",'Data Pura Costos'!J228)</f>
        <v>24-25</v>
      </c>
      <c r="K228" s="82" t="str">
        <f t="shared" si="8"/>
        <v xml:space="preserve">Entre Rios/Puente Negro/Rio Claro-Mostazal-Manuel Sepúlveda </v>
      </c>
      <c r="R228" s="6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</row>
    <row r="229" spans="2:39" s="7" customFormat="1" x14ac:dyDescent="0.35">
      <c r="B229" s="4" t="str">
        <f>+IF('Data Pura Costos'!B229="","",'Data Pura Costos'!B229)</f>
        <v>Retorno</v>
      </c>
      <c r="C229" s="4" t="str">
        <f>+IF('Data Pura Costos'!C229="","",'Data Pura Costos'!C229)</f>
        <v>Santa maria, V región</v>
      </c>
      <c r="D229" s="5">
        <f>+IF('Data Pura Costos'!D229="","",'Data Pura Costos'!D229)</f>
        <v>162</v>
      </c>
      <c r="E229" s="65">
        <f>+IF('Data Pura Costos'!E229="","",IF('Data Pura Costos'!E229=0,MAX('Data Pura Costos'!$E$7:$E$3000)*1000,'Data Pura Costos'!E229))</f>
        <v>520000</v>
      </c>
      <c r="F229" s="5" t="str">
        <f>+IF('Data Pura Costos'!F229="","",'Data Pura Costos'!F229)</f>
        <v>Mostazal</v>
      </c>
      <c r="G229" s="5" t="str">
        <f>+IF('Data Pura Costos'!G229="","",'Data Pura Costos'!G229)</f>
        <v xml:space="preserve">Manuel Sepúlveda </v>
      </c>
      <c r="H229" s="52" t="str">
        <f>+IF('Data Pura Costos'!H229="","",'Data Pura Costos'!H229)</f>
        <v>Termo</v>
      </c>
      <c r="I229" s="71">
        <f>+IF('Data Pura Costos'!I229="","",'Data Pura Costos'!I229)</f>
        <v>3209.8765432098767</v>
      </c>
      <c r="J229" s="52" t="str">
        <f>+IF('Data Pura Costos'!J229="","",'Data Pura Costos'!J229)</f>
        <v>24-25</v>
      </c>
      <c r="K229" s="82" t="str">
        <f t="shared" si="8"/>
        <v xml:space="preserve">Retorno-Mostazal-Manuel Sepúlveda </v>
      </c>
      <c r="R229" s="6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</row>
    <row r="230" spans="2:39" s="7" customFormat="1" x14ac:dyDescent="0.35">
      <c r="B230" s="4" t="str">
        <f>+IF('Data Pura Costos'!B230="","",'Data Pura Costos'!B230)</f>
        <v>San Hernán</v>
      </c>
      <c r="C230" s="4" t="str">
        <f>+IF('Data Pura Costos'!C230="","",'Data Pura Costos'!C230)</f>
        <v>Graneros, VI región</v>
      </c>
      <c r="D230" s="5">
        <f>+IF('Data Pura Costos'!D230="","",'Data Pura Costos'!D230)</f>
        <v>10</v>
      </c>
      <c r="E230" s="65">
        <f>+IF('Data Pura Costos'!E230="","",IF('Data Pura Costos'!E230=0,MAX('Data Pura Costos'!$E$7:$E$3000)*1000,'Data Pura Costos'!E230))</f>
        <v>280000</v>
      </c>
      <c r="F230" s="5" t="str">
        <f>+IF('Data Pura Costos'!F230="","",'Data Pura Costos'!F230)</f>
        <v>Mostazal</v>
      </c>
      <c r="G230" s="5" t="str">
        <f>+IF('Data Pura Costos'!G230="","",'Data Pura Costos'!G230)</f>
        <v xml:space="preserve">Manuel Sepúlveda </v>
      </c>
      <c r="H230" s="52" t="str">
        <f>+IF('Data Pura Costos'!H230="","",'Data Pura Costos'!H230)</f>
        <v>Termo</v>
      </c>
      <c r="I230" s="71">
        <f>+IF('Data Pura Costos'!I230="","",'Data Pura Costos'!I230)</f>
        <v>28000</v>
      </c>
      <c r="J230" s="52" t="str">
        <f>+IF('Data Pura Costos'!J230="","",'Data Pura Costos'!J230)</f>
        <v>24-25</v>
      </c>
      <c r="K230" s="82" t="str">
        <f t="shared" si="8"/>
        <v xml:space="preserve">San Hernán-Mostazal-Manuel Sepúlveda </v>
      </c>
      <c r="R230" s="6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</row>
    <row r="231" spans="2:39" s="7" customFormat="1" x14ac:dyDescent="0.35">
      <c r="B231" s="4" t="str">
        <f>+IF('Data Pura Costos'!B231="","",'Data Pura Costos'!B231)</f>
        <v>Santa Mónica</v>
      </c>
      <c r="C231" s="4" t="str">
        <f>+IF('Data Pura Costos'!C231="","",'Data Pura Costos'!C231)</f>
        <v xml:space="preserve">Rancagua, sector Chancón, VI región </v>
      </c>
      <c r="D231" s="5">
        <f>+IF('Data Pura Costos'!D231="","",'Data Pura Costos'!D231)</f>
        <v>20</v>
      </c>
      <c r="E231" s="65">
        <f>+IF('Data Pura Costos'!E231="","",IF('Data Pura Costos'!E231=0,MAX('Data Pura Costos'!$E$7:$E$3000)*1000,'Data Pura Costos'!E231))</f>
        <v>280000</v>
      </c>
      <c r="F231" s="5" t="str">
        <f>+IF('Data Pura Costos'!F231="","",'Data Pura Costos'!F231)</f>
        <v>Mostazal</v>
      </c>
      <c r="G231" s="5" t="str">
        <f>+IF('Data Pura Costos'!G231="","",'Data Pura Costos'!G231)</f>
        <v xml:space="preserve">Manuel Sepúlveda </v>
      </c>
      <c r="H231" s="52" t="str">
        <f>+IF('Data Pura Costos'!H231="","",'Data Pura Costos'!H231)</f>
        <v>Termo</v>
      </c>
      <c r="I231" s="71">
        <f>+IF('Data Pura Costos'!I231="","",'Data Pura Costos'!I231)</f>
        <v>14000</v>
      </c>
      <c r="J231" s="52" t="str">
        <f>+IF('Data Pura Costos'!J231="","",'Data Pura Costos'!J231)</f>
        <v>24-25</v>
      </c>
      <c r="K231" s="82" t="str">
        <f t="shared" si="8"/>
        <v xml:space="preserve">Santa Mónica-Mostazal-Manuel Sepúlveda </v>
      </c>
      <c r="R231" s="6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</row>
    <row r="232" spans="2:39" s="7" customFormat="1" x14ac:dyDescent="0.35">
      <c r="B232" s="4" t="str">
        <f>+IF('Data Pura Costos'!B232="","",'Data Pura Costos'!B232)</f>
        <v>Talhuén</v>
      </c>
      <c r="C232" s="4" t="str">
        <f>+IF('Data Pura Costos'!C232="","",'Data Pura Costos'!C232)</f>
        <v>Palmilla, VI región</v>
      </c>
      <c r="D232" s="5">
        <f>+IF('Data Pura Costos'!D232="","",'Data Pura Costos'!D232)</f>
        <v>122</v>
      </c>
      <c r="E232" s="65">
        <f>+IF('Data Pura Costos'!E232="","",IF('Data Pura Costos'!E232=0,MAX('Data Pura Costos'!$E$7:$E$3000)*1000,'Data Pura Costos'!E232))</f>
        <v>400000</v>
      </c>
      <c r="F232" s="5" t="str">
        <f>+IF('Data Pura Costos'!F232="","",'Data Pura Costos'!F232)</f>
        <v>Mostazal</v>
      </c>
      <c r="G232" s="5" t="str">
        <f>+IF('Data Pura Costos'!G232="","",'Data Pura Costos'!G232)</f>
        <v xml:space="preserve">Manuel Sepúlveda </v>
      </c>
      <c r="H232" s="52" t="str">
        <f>+IF('Data Pura Costos'!H232="","",'Data Pura Costos'!H232)</f>
        <v>Termo</v>
      </c>
      <c r="I232" s="71">
        <f>+IF('Data Pura Costos'!I232="","",'Data Pura Costos'!I232)</f>
        <v>3278.688524590164</v>
      </c>
      <c r="J232" s="52" t="str">
        <f>+IF('Data Pura Costos'!J232="","",'Data Pura Costos'!J232)</f>
        <v>24-25</v>
      </c>
      <c r="K232" s="82" t="str">
        <f t="shared" si="8"/>
        <v xml:space="preserve">Talhuén-Mostazal-Manuel Sepúlveda </v>
      </c>
      <c r="R232" s="6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</row>
    <row r="233" spans="2:39" s="7" customFormat="1" x14ac:dyDescent="0.35">
      <c r="B233" s="4" t="str">
        <f>+IF('Data Pura Costos'!B233="","",'Data Pura Costos'!B233)</f>
        <v>Villaseca</v>
      </c>
      <c r="C233" s="4" t="str">
        <f>+IF('Data Pura Costos'!C233="","",'Data Pura Costos'!C233)</f>
        <v>Retiro, VII reginón</v>
      </c>
      <c r="D233" s="5">
        <f>+IF('Data Pura Costos'!D233="","",'Data Pura Costos'!D233)</f>
        <v>297</v>
      </c>
      <c r="E233" s="65">
        <f>+IF('Data Pura Costos'!E233="","",IF('Data Pura Costos'!E233=0,MAX('Data Pura Costos'!$E$7:$E$3000)*1000,'Data Pura Costos'!E233))</f>
        <v>840000</v>
      </c>
      <c r="F233" s="5" t="str">
        <f>+IF('Data Pura Costos'!F233="","",'Data Pura Costos'!F233)</f>
        <v>Mostazal</v>
      </c>
      <c r="G233" s="5" t="str">
        <f>+IF('Data Pura Costos'!G233="","",'Data Pura Costos'!G233)</f>
        <v xml:space="preserve">Manuel Sepúlveda </v>
      </c>
      <c r="H233" s="52" t="str">
        <f>+IF('Data Pura Costos'!H233="","",'Data Pura Costos'!H233)</f>
        <v>Termo</v>
      </c>
      <c r="I233" s="71">
        <f>+IF('Data Pura Costos'!I233="","",'Data Pura Costos'!I233)</f>
        <v>2828.2828282828282</v>
      </c>
      <c r="J233" s="52" t="str">
        <f>+IF('Data Pura Costos'!J233="","",'Data Pura Costos'!J233)</f>
        <v>24-25</v>
      </c>
      <c r="K233" s="82" t="str">
        <f t="shared" si="8"/>
        <v xml:space="preserve">Villaseca-Mostazal-Manuel Sepúlveda </v>
      </c>
      <c r="R233" s="6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</row>
    <row r="234" spans="2:39" s="7" customFormat="1" x14ac:dyDescent="0.35">
      <c r="B234" s="4" t="str">
        <f>+IF('Data Pura Costos'!B234="","",'Data Pura Costos'!B234)</f>
        <v>Almahue</v>
      </c>
      <c r="C234" s="4" t="str">
        <f>+IF('Data Pura Costos'!C234="","",'Data Pura Costos'!C234)</f>
        <v>Pichidegua, VI región</v>
      </c>
      <c r="D234" s="5">
        <f>+IF('Data Pura Costos'!D234="","",'Data Pura Costos'!D234)</f>
        <v>108</v>
      </c>
      <c r="E234" s="65">
        <f>+IF('Data Pura Costos'!E234="","",IF('Data Pura Costos'!E234=0,MAX('Data Pura Costos'!$E$7:$E$3000)*1000,'Data Pura Costos'!E234))</f>
        <v>380000</v>
      </c>
      <c r="F234" s="5" t="str">
        <f>+IF('Data Pura Costos'!F234="","",'Data Pura Costos'!F234)</f>
        <v>Molina</v>
      </c>
      <c r="G234" s="5" t="str">
        <f>+IF('Data Pura Costos'!G234="","",'Data Pura Costos'!G234)</f>
        <v xml:space="preserve">Manuel Sepúlveda </v>
      </c>
      <c r="H234" s="52" t="str">
        <f>+IF('Data Pura Costos'!H234="","",'Data Pura Costos'!H234)</f>
        <v>Termo</v>
      </c>
      <c r="I234" s="71">
        <f>+IF('Data Pura Costos'!I234="","",'Data Pura Costos'!I234)</f>
        <v>3518.5185185185187</v>
      </c>
      <c r="J234" s="52" t="str">
        <f>+IF('Data Pura Costos'!J234="","",'Data Pura Costos'!J234)</f>
        <v>24-25</v>
      </c>
      <c r="K234" s="82" t="str">
        <f t="shared" si="8"/>
        <v xml:space="preserve">Almahue-Molina-Manuel Sepúlveda </v>
      </c>
      <c r="R234" s="6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</row>
    <row r="235" spans="2:39" s="7" customFormat="1" x14ac:dyDescent="0.35">
      <c r="B235" s="4" t="str">
        <f>+IF('Data Pura Costos'!B235="","",'Data Pura Costos'!B235)</f>
        <v>Bodega</v>
      </c>
      <c r="C235" s="4" t="str">
        <f>+IF('Data Pura Costos'!C235="","",'Data Pura Costos'!C235)</f>
        <v>Linares, VII region.</v>
      </c>
      <c r="D235" s="5">
        <f>+IF('Data Pura Costos'!D235="","",'Data Pura Costos'!D235)</f>
        <v>264</v>
      </c>
      <c r="E235" s="65">
        <f>+IF('Data Pura Costos'!E235="","",IF('Data Pura Costos'!E235=0,MAX('Data Pura Costos'!$E$7:$E$3000)*1000,'Data Pura Costos'!E235))</f>
        <v>740000</v>
      </c>
      <c r="F235" s="5" t="str">
        <f>+IF('Data Pura Costos'!F235="","",'Data Pura Costos'!F235)</f>
        <v>Molina</v>
      </c>
      <c r="G235" s="5" t="str">
        <f>+IF('Data Pura Costos'!G235="","",'Data Pura Costos'!G235)</f>
        <v xml:space="preserve">Manuel Sepúlveda </v>
      </c>
      <c r="H235" s="52" t="str">
        <f>+IF('Data Pura Costos'!H235="","",'Data Pura Costos'!H235)</f>
        <v>Termo</v>
      </c>
      <c r="I235" s="71">
        <f>+IF('Data Pura Costos'!I235="","",'Data Pura Costos'!I235)</f>
        <v>2803.030303030303</v>
      </c>
      <c r="J235" s="52" t="str">
        <f>+IF('Data Pura Costos'!J235="","",'Data Pura Costos'!J235)</f>
        <v>24-25</v>
      </c>
      <c r="K235" s="82" t="str">
        <f t="shared" si="8"/>
        <v xml:space="preserve">Bodega-Molina-Manuel Sepúlveda </v>
      </c>
      <c r="R235" s="6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</row>
    <row r="236" spans="2:39" s="7" customFormat="1" x14ac:dyDescent="0.35">
      <c r="B236" s="4" t="str">
        <f>+IF('Data Pura Costos'!B236="","",'Data Pura Costos'!B236)</f>
        <v xml:space="preserve">Caliboro </v>
      </c>
      <c r="C236" s="4" t="str">
        <f>+IF('Data Pura Costos'!C236="","",'Data Pura Costos'!C236)</f>
        <v>San Javier, VII región</v>
      </c>
      <c r="D236" s="5">
        <f>+IF('Data Pura Costos'!D236="","",'Data Pura Costos'!D236)</f>
        <v>258</v>
      </c>
      <c r="E236" s="65">
        <f>+IF('Data Pura Costos'!E236="","",IF('Data Pura Costos'!E236=0,MAX('Data Pura Costos'!$E$7:$E$3000)*1000,'Data Pura Costos'!E236))</f>
        <v>740000</v>
      </c>
      <c r="F236" s="5" t="str">
        <f>+IF('Data Pura Costos'!F236="","",'Data Pura Costos'!F236)</f>
        <v>Molina</v>
      </c>
      <c r="G236" s="5" t="str">
        <f>+IF('Data Pura Costos'!G236="","",'Data Pura Costos'!G236)</f>
        <v xml:space="preserve">Manuel Sepúlveda </v>
      </c>
      <c r="H236" s="52" t="str">
        <f>+IF('Data Pura Costos'!H236="","",'Data Pura Costos'!H236)</f>
        <v>Termo</v>
      </c>
      <c r="I236" s="71">
        <f>+IF('Data Pura Costos'!I236="","",'Data Pura Costos'!I236)</f>
        <v>2868.2170542635658</v>
      </c>
      <c r="J236" s="52" t="str">
        <f>+IF('Data Pura Costos'!J236="","",'Data Pura Costos'!J236)</f>
        <v>24-25</v>
      </c>
      <c r="K236" s="82" t="str">
        <f t="shared" si="8"/>
        <v xml:space="preserve">Caliboro -Molina-Manuel Sepúlveda </v>
      </c>
      <c r="R236" s="6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</row>
    <row r="237" spans="2:39" s="7" customFormat="1" x14ac:dyDescent="0.35">
      <c r="B237" s="4" t="str">
        <f>+IF('Data Pura Costos'!B237="","",'Data Pura Costos'!B237)</f>
        <v>Calleuque</v>
      </c>
      <c r="C237" s="4" t="str">
        <f>+IF('Data Pura Costos'!C237="","",'Data Pura Costos'!C237)</f>
        <v>Peralillo ohiggins, VI región</v>
      </c>
      <c r="D237" s="5">
        <f>+IF('Data Pura Costos'!D237="","",'Data Pura Costos'!D237)</f>
        <v>143</v>
      </c>
      <c r="E237" s="65">
        <f>+IF('Data Pura Costos'!E237="","",IF('Data Pura Costos'!E237=0,MAX('Data Pura Costos'!$E$7:$E$3000)*1000,'Data Pura Costos'!E237))</f>
        <v>450000</v>
      </c>
      <c r="F237" s="5" t="str">
        <f>+IF('Data Pura Costos'!F237="","",'Data Pura Costos'!F237)</f>
        <v>Molina</v>
      </c>
      <c r="G237" s="5" t="str">
        <f>+IF('Data Pura Costos'!G237="","",'Data Pura Costos'!G237)</f>
        <v xml:space="preserve">Manuel Sepúlveda </v>
      </c>
      <c r="H237" s="52" t="str">
        <f>+IF('Data Pura Costos'!H237="","",'Data Pura Costos'!H237)</f>
        <v>Termo</v>
      </c>
      <c r="I237" s="71">
        <f>+IF('Data Pura Costos'!I237="","",'Data Pura Costos'!I237)</f>
        <v>3146.8531468531469</v>
      </c>
      <c r="J237" s="52" t="str">
        <f>+IF('Data Pura Costos'!J237="","",'Data Pura Costos'!J237)</f>
        <v>24-25</v>
      </c>
      <c r="K237" s="82" t="str">
        <f t="shared" si="8"/>
        <v xml:space="preserve">Calleuque-Molina-Manuel Sepúlveda </v>
      </c>
      <c r="R237" s="6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</row>
    <row r="238" spans="2:39" s="7" customFormat="1" x14ac:dyDescent="0.35">
      <c r="B238" s="4" t="str">
        <f>+IF('Data Pura Costos'!B238="","",'Data Pura Costos'!B238)</f>
        <v>Chumpirro</v>
      </c>
      <c r="C238" s="4" t="str">
        <f>+IF('Data Pura Costos'!C238="","",'Data Pura Costos'!C238)</f>
        <v>Angol, IX región</v>
      </c>
      <c r="D238" s="5">
        <f>+IF('Data Pura Costos'!D238="","",'Data Pura Costos'!D238)</f>
        <v>499</v>
      </c>
      <c r="E238" s="65">
        <f>+IF('Data Pura Costos'!E238="","",IF('Data Pura Costos'!E238=0,MAX('Data Pura Costos'!$E$7:$E$3000)*1000,'Data Pura Costos'!E238))</f>
        <v>1400000</v>
      </c>
      <c r="F238" s="5" t="str">
        <f>+IF('Data Pura Costos'!F238="","",'Data Pura Costos'!F238)</f>
        <v>Molina</v>
      </c>
      <c r="G238" s="5" t="str">
        <f>+IF('Data Pura Costos'!G238="","",'Data Pura Costos'!G238)</f>
        <v xml:space="preserve">Manuel Sepúlveda </v>
      </c>
      <c r="H238" s="52" t="str">
        <f>+IF('Data Pura Costos'!H238="","",'Data Pura Costos'!H238)</f>
        <v>Termo</v>
      </c>
      <c r="I238" s="71">
        <f>+IF('Data Pura Costos'!I238="","",'Data Pura Costos'!I238)</f>
        <v>2805.6112224448898</v>
      </c>
      <c r="J238" s="52" t="str">
        <f>+IF('Data Pura Costos'!J238="","",'Data Pura Costos'!J238)</f>
        <v>24-25</v>
      </c>
      <c r="K238" s="82" t="str">
        <f t="shared" si="8"/>
        <v xml:space="preserve">Chumpirro-Molina-Manuel Sepúlveda </v>
      </c>
      <c r="R238" s="6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</row>
    <row r="239" spans="2:39" s="7" customFormat="1" x14ac:dyDescent="0.35">
      <c r="B239" s="4" t="str">
        <f>+IF('Data Pura Costos'!B239="","",'Data Pura Costos'!B239)</f>
        <v xml:space="preserve"> Cocalán</v>
      </c>
      <c r="C239" s="4" t="str">
        <f>+IF('Data Pura Costos'!C239="","",'Data Pura Costos'!C239)</f>
        <v>Cocalán, VI región</v>
      </c>
      <c r="D239" s="5">
        <f>+IF('Data Pura Costos'!D239="","",'Data Pura Costos'!D239)</f>
        <v>113</v>
      </c>
      <c r="E239" s="65">
        <f>+IF('Data Pura Costos'!E239="","",IF('Data Pura Costos'!E239=0,MAX('Data Pura Costos'!$E$7:$E$3000)*1000,'Data Pura Costos'!E239))</f>
        <v>385000</v>
      </c>
      <c r="F239" s="5" t="str">
        <f>+IF('Data Pura Costos'!F239="","",'Data Pura Costos'!F239)</f>
        <v>Molina</v>
      </c>
      <c r="G239" s="5" t="str">
        <f>+IF('Data Pura Costos'!G239="","",'Data Pura Costos'!G239)</f>
        <v xml:space="preserve">Manuel Sepúlveda </v>
      </c>
      <c r="H239" s="52" t="str">
        <f>+IF('Data Pura Costos'!H239="","",'Data Pura Costos'!H239)</f>
        <v>Termo</v>
      </c>
      <c r="I239" s="71">
        <f>+IF('Data Pura Costos'!I239="","",'Data Pura Costos'!I239)</f>
        <v>3407.0796460176989</v>
      </c>
      <c r="J239" s="52" t="str">
        <f>+IF('Data Pura Costos'!J239="","",'Data Pura Costos'!J239)</f>
        <v>24-25</v>
      </c>
      <c r="K239" s="82" t="str">
        <f t="shared" si="8"/>
        <v xml:space="preserve"> Cocalán-Molina-Manuel Sepúlveda </v>
      </c>
      <c r="R239" s="6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</row>
    <row r="240" spans="2:39" s="7" customFormat="1" x14ac:dyDescent="0.35">
      <c r="B240" s="4" t="str">
        <f>+IF('Data Pura Costos'!B240="","",'Data Pura Costos'!B240)</f>
        <v>El Cóndor</v>
      </c>
      <c r="C240" s="4" t="str">
        <f>+IF('Data Pura Costos'!C240="","",'Data Pura Costos'!C240)</f>
        <v>Chimbarongo, VI Region.</v>
      </c>
      <c r="D240" s="5">
        <f>+IF('Data Pura Costos'!D240="","",'Data Pura Costos'!D240)</f>
        <v>150</v>
      </c>
      <c r="E240" s="65">
        <f>+IF('Data Pura Costos'!E240="","",IF('Data Pura Costos'!E240=0,MAX('Data Pura Costos'!$E$7:$E$3000)*1000,'Data Pura Costos'!E240))</f>
        <v>450000</v>
      </c>
      <c r="F240" s="5" t="str">
        <f>+IF('Data Pura Costos'!F240="","",'Data Pura Costos'!F240)</f>
        <v>Molina</v>
      </c>
      <c r="G240" s="5" t="str">
        <f>+IF('Data Pura Costos'!G240="","",'Data Pura Costos'!G240)</f>
        <v xml:space="preserve">Manuel Sepúlveda </v>
      </c>
      <c r="H240" s="52" t="str">
        <f>+IF('Data Pura Costos'!H240="","",'Data Pura Costos'!H240)</f>
        <v>Termo</v>
      </c>
      <c r="I240" s="71">
        <f>+IF('Data Pura Costos'!I240="","",'Data Pura Costos'!I240)</f>
        <v>3000</v>
      </c>
      <c r="J240" s="52" t="str">
        <f>+IF('Data Pura Costos'!J240="","",'Data Pura Costos'!J240)</f>
        <v>24-25</v>
      </c>
      <c r="K240" s="82" t="str">
        <f t="shared" si="8"/>
        <v xml:space="preserve">El Cóndor-Molina-Manuel Sepúlveda </v>
      </c>
      <c r="R240" s="6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</row>
    <row r="241" spans="2:39" s="7" customFormat="1" x14ac:dyDescent="0.35">
      <c r="B241" s="4" t="str">
        <f>+IF('Data Pura Costos'!B241="","",'Data Pura Costos'!B241)</f>
        <v>El Descanso</v>
      </c>
      <c r="C241" s="4" t="str">
        <f>+IF('Data Pura Costos'!C241="","",'Data Pura Costos'!C241)</f>
        <v>Sagrada Familia, VII región</v>
      </c>
      <c r="D241" s="5">
        <f>+IF('Data Pura Costos'!D241="","",'Data Pura Costos'!D241)</f>
        <v>240</v>
      </c>
      <c r="E241" s="65">
        <f>+IF('Data Pura Costos'!E241="","",IF('Data Pura Costos'!E241=0,MAX('Data Pura Costos'!$E$7:$E$3000)*1000,'Data Pura Costos'!E241))</f>
        <v>700000</v>
      </c>
      <c r="F241" s="5" t="str">
        <f>+IF('Data Pura Costos'!F241="","",'Data Pura Costos'!F241)</f>
        <v>Molina</v>
      </c>
      <c r="G241" s="5" t="str">
        <f>+IF('Data Pura Costos'!G241="","",'Data Pura Costos'!G241)</f>
        <v xml:space="preserve">Manuel Sepúlveda </v>
      </c>
      <c r="H241" s="52" t="str">
        <f>+IF('Data Pura Costos'!H241="","",'Data Pura Costos'!H241)</f>
        <v>Termo</v>
      </c>
      <c r="I241" s="71">
        <f>+IF('Data Pura Costos'!I241="","",'Data Pura Costos'!I241)</f>
        <v>2916.6666666666665</v>
      </c>
      <c r="J241" s="52" t="str">
        <f>+IF('Data Pura Costos'!J241="","",'Data Pura Costos'!J241)</f>
        <v>24-25</v>
      </c>
      <c r="K241" s="82" t="str">
        <f t="shared" si="8"/>
        <v xml:space="preserve">El Descanso-Molina-Manuel Sepúlveda </v>
      </c>
      <c r="R241" s="6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</row>
    <row r="242" spans="2:39" s="7" customFormat="1" x14ac:dyDescent="0.35">
      <c r="B242" s="4" t="str">
        <f>+IF('Data Pura Costos'!B242="","",'Data Pura Costos'!B242)</f>
        <v>El Espino</v>
      </c>
      <c r="C242" s="4" t="str">
        <f>+IF('Data Pura Costos'!C242="","",'Data Pura Costos'!C242)</f>
        <v>Colbún, VII región</v>
      </c>
      <c r="D242" s="5">
        <f>+IF('Data Pura Costos'!D242="","",'Data Pura Costos'!D242)</f>
        <v>240</v>
      </c>
      <c r="E242" s="65">
        <f>+IF('Data Pura Costos'!E242="","",IF('Data Pura Costos'!E242=0,MAX('Data Pura Costos'!$E$7:$E$3000)*1000,'Data Pura Costos'!E242))</f>
        <v>700000</v>
      </c>
      <c r="F242" s="5" t="str">
        <f>+IF('Data Pura Costos'!F242="","",'Data Pura Costos'!F242)</f>
        <v>Molina</v>
      </c>
      <c r="G242" s="5" t="str">
        <f>+IF('Data Pura Costos'!G242="","",'Data Pura Costos'!G242)</f>
        <v xml:space="preserve">Manuel Sepúlveda </v>
      </c>
      <c r="H242" s="52" t="str">
        <f>+IF('Data Pura Costos'!H242="","",'Data Pura Costos'!H242)</f>
        <v>Termo</v>
      </c>
      <c r="I242" s="71">
        <f>+IF('Data Pura Costos'!I242="","",'Data Pura Costos'!I242)</f>
        <v>2916.6666666666665</v>
      </c>
      <c r="J242" s="52" t="str">
        <f>+IF('Data Pura Costos'!J242="","",'Data Pura Costos'!J242)</f>
        <v>24-25</v>
      </c>
      <c r="K242" s="82" t="str">
        <f t="shared" si="8"/>
        <v xml:space="preserve">El Espino-Molina-Manuel Sepúlveda </v>
      </c>
      <c r="R242" s="6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</row>
    <row r="243" spans="2:39" s="7" customFormat="1" x14ac:dyDescent="0.35">
      <c r="B243" s="4" t="str">
        <f>+IF('Data Pura Costos'!B243="","",'Data Pura Costos'!B243)</f>
        <v>El Huaico</v>
      </c>
      <c r="C243" s="4" t="str">
        <f>+IF('Data Pura Costos'!C243="","",'Data Pura Costos'!C243)</f>
        <v>Palmila Ohiggins</v>
      </c>
      <c r="D243" s="5">
        <f>+IF('Data Pura Costos'!D243="","",'Data Pura Costos'!D243)</f>
        <v>124</v>
      </c>
      <c r="E243" s="65">
        <f>+IF('Data Pura Costos'!E243="","",IF('Data Pura Costos'!E243=0,MAX('Data Pura Costos'!$E$7:$E$3000)*1000,'Data Pura Costos'!E243))</f>
        <v>400000</v>
      </c>
      <c r="F243" s="5" t="str">
        <f>+IF('Data Pura Costos'!F243="","",'Data Pura Costos'!F243)</f>
        <v>Molina</v>
      </c>
      <c r="G243" s="5" t="str">
        <f>+IF('Data Pura Costos'!G243="","",'Data Pura Costos'!G243)</f>
        <v xml:space="preserve">Manuel Sepúlveda </v>
      </c>
      <c r="H243" s="52" t="str">
        <f>+IF('Data Pura Costos'!H243="","",'Data Pura Costos'!H243)</f>
        <v>Termo</v>
      </c>
      <c r="I243" s="71">
        <f>+IF('Data Pura Costos'!I243="","",'Data Pura Costos'!I243)</f>
        <v>3225.8064516129034</v>
      </c>
      <c r="J243" s="52" t="str">
        <f>+IF('Data Pura Costos'!J243="","",'Data Pura Costos'!J243)</f>
        <v>24-25</v>
      </c>
      <c r="K243" s="82" t="str">
        <f t="shared" si="8"/>
        <v xml:space="preserve">El Huaico-Molina-Manuel Sepúlveda </v>
      </c>
      <c r="R243" s="6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</row>
    <row r="244" spans="2:39" s="7" customFormat="1" x14ac:dyDescent="0.35">
      <c r="B244" s="4" t="str">
        <f>+IF('Data Pura Costos'!B244="","",'Data Pura Costos'!B244)</f>
        <v>El Parque</v>
      </c>
      <c r="C244" s="4" t="str">
        <f>+IF('Data Pura Costos'!C244="","",'Data Pura Costos'!C244)</f>
        <v>San Francisco de Mostazal.VI Region.</v>
      </c>
      <c r="D244" s="5">
        <f>+IF('Data Pura Costos'!D244="","",'Data Pura Costos'!D244)</f>
        <v>3</v>
      </c>
      <c r="E244" s="65">
        <f>+IF('Data Pura Costos'!E244="","",IF('Data Pura Costos'!E244=0,MAX('Data Pura Costos'!$E$7:$E$3000)*1000,'Data Pura Costos'!E244))</f>
        <v>280000</v>
      </c>
      <c r="F244" s="5" t="str">
        <f>+IF('Data Pura Costos'!F244="","",'Data Pura Costos'!F244)</f>
        <v>Molina</v>
      </c>
      <c r="G244" s="5" t="str">
        <f>+IF('Data Pura Costos'!G244="","",'Data Pura Costos'!G244)</f>
        <v xml:space="preserve">Manuel Sepúlveda </v>
      </c>
      <c r="H244" s="52" t="str">
        <f>+IF('Data Pura Costos'!H244="","",'Data Pura Costos'!H244)</f>
        <v>Termo</v>
      </c>
      <c r="I244" s="71">
        <f>+IF('Data Pura Costos'!I244="","",'Data Pura Costos'!I244)</f>
        <v>93333.333333333328</v>
      </c>
      <c r="J244" s="52" t="str">
        <f>+IF('Data Pura Costos'!J244="","",'Data Pura Costos'!J244)</f>
        <v>24-25</v>
      </c>
      <c r="K244" s="82" t="str">
        <f t="shared" si="8"/>
        <v xml:space="preserve">El Parque-Molina-Manuel Sepúlveda </v>
      </c>
      <c r="R244" s="6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</row>
    <row r="245" spans="2:39" s="7" customFormat="1" x14ac:dyDescent="0.35">
      <c r="B245" s="4" t="str">
        <f>+IF('Data Pura Costos'!B245="","",'Data Pura Costos'!B245)</f>
        <v>El Picaso</v>
      </c>
      <c r="C245" s="4" t="str">
        <f>+IF('Data Pura Costos'!C245="","",'Data Pura Costos'!C245)</f>
        <v xml:space="preserve">San Clemente, VII región </v>
      </c>
      <c r="D245" s="5">
        <f>+IF('Data Pura Costos'!D245="","",'Data Pura Costos'!D245)</f>
        <v>208</v>
      </c>
      <c r="E245" s="65">
        <f>+IF('Data Pura Costos'!E245="","",IF('Data Pura Costos'!E245=0,MAX('Data Pura Costos'!$E$7:$E$3000)*1000,'Data Pura Costos'!E245))</f>
        <v>650000</v>
      </c>
      <c r="F245" s="5" t="str">
        <f>+IF('Data Pura Costos'!F245="","",'Data Pura Costos'!F245)</f>
        <v>Molina</v>
      </c>
      <c r="G245" s="5" t="str">
        <f>+IF('Data Pura Costos'!G245="","",'Data Pura Costos'!G245)</f>
        <v xml:space="preserve">Manuel Sepúlveda </v>
      </c>
      <c r="H245" s="52" t="str">
        <f>+IF('Data Pura Costos'!H245="","",'Data Pura Costos'!H245)</f>
        <v>Termo</v>
      </c>
      <c r="I245" s="71">
        <f>+IF('Data Pura Costos'!I245="","",'Data Pura Costos'!I245)</f>
        <v>3125</v>
      </c>
      <c r="J245" s="52" t="str">
        <f>+IF('Data Pura Costos'!J245="","",'Data Pura Costos'!J245)</f>
        <v>24-25</v>
      </c>
      <c r="K245" s="82" t="str">
        <f t="shared" si="8"/>
        <v xml:space="preserve">El Picaso-Molina-Manuel Sepúlveda </v>
      </c>
      <c r="R245" s="6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</row>
    <row r="246" spans="2:39" s="7" customFormat="1" x14ac:dyDescent="0.35">
      <c r="B246" s="4" t="str">
        <f>+IF('Data Pura Costos'!B246="","",'Data Pura Costos'!B246)</f>
        <v>El Recurso</v>
      </c>
      <c r="C246" s="4" t="str">
        <f>+IF('Data Pura Costos'!C246="","",'Data Pura Costos'!C246)</f>
        <v>San Francisco de Mostazal.VI Region.</v>
      </c>
      <c r="D246" s="5">
        <f>+IF('Data Pura Costos'!D246="","",'Data Pura Costos'!D246)</f>
        <v>3</v>
      </c>
      <c r="E246" s="65">
        <f>+IF('Data Pura Costos'!E246="","",IF('Data Pura Costos'!E246=0,MAX('Data Pura Costos'!$E$7:$E$3000)*1000,'Data Pura Costos'!E246))</f>
        <v>280000</v>
      </c>
      <c r="F246" s="5" t="str">
        <f>+IF('Data Pura Costos'!F246="","",'Data Pura Costos'!F246)</f>
        <v>Molina</v>
      </c>
      <c r="G246" s="5" t="str">
        <f>+IF('Data Pura Costos'!G246="","",'Data Pura Costos'!G246)</f>
        <v xml:space="preserve">Manuel Sepúlveda </v>
      </c>
      <c r="H246" s="52" t="str">
        <f>+IF('Data Pura Costos'!H246="","",'Data Pura Costos'!H246)</f>
        <v>Termo</v>
      </c>
      <c r="I246" s="71">
        <f>+IF('Data Pura Costos'!I246="","",'Data Pura Costos'!I246)</f>
        <v>93333.333333333328</v>
      </c>
      <c r="J246" s="52" t="str">
        <f>+IF('Data Pura Costos'!J246="","",'Data Pura Costos'!J246)</f>
        <v>24-25</v>
      </c>
      <c r="K246" s="82" t="str">
        <f t="shared" si="8"/>
        <v xml:space="preserve">El Recurso-Molina-Manuel Sepúlveda </v>
      </c>
      <c r="R246" s="6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</row>
    <row r="247" spans="2:39" s="7" customFormat="1" x14ac:dyDescent="0.35">
      <c r="B247" s="4" t="str">
        <f>+IF('Data Pura Costos'!B247="","",'Data Pura Costos'!B247)</f>
        <v>El Rosario</v>
      </c>
      <c r="C247" s="4" t="str">
        <f>+IF('Data Pura Costos'!C247="","",'Data Pura Costos'!C247)</f>
        <v>Linares, VII region.</v>
      </c>
      <c r="D247" s="5">
        <f>+IF('Data Pura Costos'!D247="","",'Data Pura Costos'!D247)</f>
        <v>260</v>
      </c>
      <c r="E247" s="65">
        <f>+IF('Data Pura Costos'!E247="","",IF('Data Pura Costos'!E247=0,MAX('Data Pura Costos'!$E$7:$E$3000)*1000,'Data Pura Costos'!E247))</f>
        <v>740000</v>
      </c>
      <c r="F247" s="5" t="str">
        <f>+IF('Data Pura Costos'!F247="","",'Data Pura Costos'!F247)</f>
        <v>Molina</v>
      </c>
      <c r="G247" s="5" t="str">
        <f>+IF('Data Pura Costos'!G247="","",'Data Pura Costos'!G247)</f>
        <v xml:space="preserve">Manuel Sepúlveda </v>
      </c>
      <c r="H247" s="52" t="str">
        <f>+IF('Data Pura Costos'!H247="","",'Data Pura Costos'!H247)</f>
        <v>Termo</v>
      </c>
      <c r="I247" s="71">
        <f>+IF('Data Pura Costos'!I247="","",'Data Pura Costos'!I247)</f>
        <v>2846.1538461538462</v>
      </c>
      <c r="J247" s="52" t="str">
        <f>+IF('Data Pura Costos'!J247="","",'Data Pura Costos'!J247)</f>
        <v>24-25</v>
      </c>
      <c r="K247" s="82" t="str">
        <f t="shared" si="8"/>
        <v xml:space="preserve">El Rosario-Molina-Manuel Sepúlveda </v>
      </c>
      <c r="R247" s="6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</row>
    <row r="248" spans="2:39" s="7" customFormat="1" x14ac:dyDescent="0.35">
      <c r="B248" s="4" t="str">
        <f>+IF('Data Pura Costos'!B248="","",'Data Pura Costos'!B248)</f>
        <v>El Retiro</v>
      </c>
      <c r="C248" s="4" t="str">
        <f>+IF('Data Pura Costos'!C248="","",'Data Pura Costos'!C248)</f>
        <v>Rosario, VI Region.</v>
      </c>
      <c r="D248" s="5">
        <f>+IF('Data Pura Costos'!D248="","",'Data Pura Costos'!D248)</f>
        <v>45</v>
      </c>
      <c r="E248" s="65">
        <f>+IF('Data Pura Costos'!E248="","",IF('Data Pura Costos'!E248=0,MAX('Data Pura Costos'!$E$7:$E$3000)*1000,'Data Pura Costos'!E248))</f>
        <v>280000</v>
      </c>
      <c r="F248" s="5" t="str">
        <f>+IF('Data Pura Costos'!F248="","",'Data Pura Costos'!F248)</f>
        <v>Molina</v>
      </c>
      <c r="G248" s="5" t="str">
        <f>+IF('Data Pura Costos'!G248="","",'Data Pura Costos'!G248)</f>
        <v xml:space="preserve">Manuel Sepúlveda </v>
      </c>
      <c r="H248" s="52" t="str">
        <f>+IF('Data Pura Costos'!H248="","",'Data Pura Costos'!H248)</f>
        <v>Termo</v>
      </c>
      <c r="I248" s="71">
        <f>+IF('Data Pura Costos'!I248="","",'Data Pura Costos'!I248)</f>
        <v>6222.2222222222226</v>
      </c>
      <c r="J248" s="52" t="str">
        <f>+IF('Data Pura Costos'!J248="","",'Data Pura Costos'!J248)</f>
        <v>24-25</v>
      </c>
      <c r="K248" s="82" t="str">
        <f t="shared" si="8"/>
        <v xml:space="preserve">El Retiro-Molina-Manuel Sepúlveda </v>
      </c>
      <c r="R248" s="6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</row>
    <row r="249" spans="2:39" s="7" customFormat="1" x14ac:dyDescent="0.35">
      <c r="B249" s="4" t="str">
        <f>+IF('Data Pura Costos'!B249="","",'Data Pura Costos'!B249)</f>
        <v>La Esperanza</v>
      </c>
      <c r="C249" s="4" t="str">
        <f>+IF('Data Pura Costos'!C249="","",'Data Pura Costos'!C249)</f>
        <v>Peumo, VI región</v>
      </c>
      <c r="D249" s="5">
        <f>+IF('Data Pura Costos'!D249="","",'Data Pura Costos'!D249)</f>
        <v>98</v>
      </c>
      <c r="E249" s="65">
        <f>+IF('Data Pura Costos'!E249="","",IF('Data Pura Costos'!E249=0,MAX('Data Pura Costos'!$E$7:$E$3000)*1000,'Data Pura Costos'!E249))</f>
        <v>345000</v>
      </c>
      <c r="F249" s="5" t="str">
        <f>+IF('Data Pura Costos'!F249="","",'Data Pura Costos'!F249)</f>
        <v>Molina</v>
      </c>
      <c r="G249" s="5" t="str">
        <f>+IF('Data Pura Costos'!G249="","",'Data Pura Costos'!G249)</f>
        <v xml:space="preserve">Manuel Sepúlveda </v>
      </c>
      <c r="H249" s="52" t="str">
        <f>+IF('Data Pura Costos'!H249="","",'Data Pura Costos'!H249)</f>
        <v>Termo</v>
      </c>
      <c r="I249" s="71">
        <f>+IF('Data Pura Costos'!I249="","",'Data Pura Costos'!I249)</f>
        <v>3520.408163265306</v>
      </c>
      <c r="J249" s="52" t="str">
        <f>+IF('Data Pura Costos'!J249="","",'Data Pura Costos'!J249)</f>
        <v>24-25</v>
      </c>
      <c r="K249" s="82" t="str">
        <f t="shared" si="8"/>
        <v xml:space="preserve">La Esperanza-Molina-Manuel Sepúlveda </v>
      </c>
      <c r="R249" s="6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</row>
    <row r="250" spans="2:39" s="7" customFormat="1" x14ac:dyDescent="0.35">
      <c r="B250" s="4" t="str">
        <f>+IF('Data Pura Costos'!B250="","",'Data Pura Costos'!B250)</f>
        <v>La Estación</v>
      </c>
      <c r="C250" s="4" t="str">
        <f>+IF('Data Pura Costos'!C250="","",'Data Pura Costos'!C250)</f>
        <v>Palmilla, VI región</v>
      </c>
      <c r="D250" s="5">
        <f>+IF('Data Pura Costos'!D250="","",'Data Pura Costos'!D250)</f>
        <v>125</v>
      </c>
      <c r="E250" s="65">
        <f>+IF('Data Pura Costos'!E250="","",IF('Data Pura Costos'!E250=0,MAX('Data Pura Costos'!$E$7:$E$3000)*1000,'Data Pura Costos'!E250))</f>
        <v>400000</v>
      </c>
      <c r="F250" s="5" t="str">
        <f>+IF('Data Pura Costos'!F250="","",'Data Pura Costos'!F250)</f>
        <v>Molina</v>
      </c>
      <c r="G250" s="5" t="str">
        <f>+IF('Data Pura Costos'!G250="","",'Data Pura Costos'!G250)</f>
        <v xml:space="preserve">Manuel Sepúlveda </v>
      </c>
      <c r="H250" s="52" t="str">
        <f>+IF('Data Pura Costos'!H250="","",'Data Pura Costos'!H250)</f>
        <v>Termo</v>
      </c>
      <c r="I250" s="71">
        <f>+IF('Data Pura Costos'!I250="","",'Data Pura Costos'!I250)</f>
        <v>3200</v>
      </c>
      <c r="J250" s="52" t="str">
        <f>+IF('Data Pura Costos'!J250="","",'Data Pura Costos'!J250)</f>
        <v>24-25</v>
      </c>
      <c r="K250" s="82" t="str">
        <f t="shared" si="8"/>
        <v xml:space="preserve">La Estación-Molina-Manuel Sepúlveda </v>
      </c>
      <c r="R250" s="6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</row>
    <row r="251" spans="2:39" s="7" customFormat="1" x14ac:dyDescent="0.35">
      <c r="B251" s="4" t="str">
        <f>+IF('Data Pura Costos'!B251="","",'Data Pura Costos'!B251)</f>
        <v>La Lajuela</v>
      </c>
      <c r="C251" s="4" t="str">
        <f>+IF('Data Pura Costos'!C251="","",'Data Pura Costos'!C251)</f>
        <v>Santa Cruz, VI Región</v>
      </c>
      <c r="D251" s="5">
        <f>+IF('Data Pura Costos'!D251="","",'Data Pura Costos'!D251)</f>
        <v>128</v>
      </c>
      <c r="E251" s="65">
        <f>+IF('Data Pura Costos'!E251="","",IF('Data Pura Costos'!E251=0,MAX('Data Pura Costos'!$E$7:$E$3000)*1000,'Data Pura Costos'!E251))</f>
        <v>400000</v>
      </c>
      <c r="F251" s="5" t="str">
        <f>+IF('Data Pura Costos'!F251="","",'Data Pura Costos'!F251)</f>
        <v>Molina</v>
      </c>
      <c r="G251" s="5" t="str">
        <f>+IF('Data Pura Costos'!G251="","",'Data Pura Costos'!G251)</f>
        <v xml:space="preserve">Manuel Sepúlveda </v>
      </c>
      <c r="H251" s="52" t="str">
        <f>+IF('Data Pura Costos'!H251="","",'Data Pura Costos'!H251)</f>
        <v>Termo</v>
      </c>
      <c r="I251" s="71">
        <f>+IF('Data Pura Costos'!I251="","",'Data Pura Costos'!I251)</f>
        <v>3125</v>
      </c>
      <c r="J251" s="52" t="str">
        <f>+IF('Data Pura Costos'!J251="","",'Data Pura Costos'!J251)</f>
        <v>24-25</v>
      </c>
      <c r="K251" s="82" t="str">
        <f t="shared" si="8"/>
        <v xml:space="preserve">La Lajuela-Molina-Manuel Sepúlveda </v>
      </c>
      <c r="R251" s="6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</row>
    <row r="252" spans="2:39" s="7" customFormat="1" x14ac:dyDescent="0.35">
      <c r="B252" s="4" t="str">
        <f>+IF('Data Pura Costos'!B252="","",'Data Pura Costos'!B252)</f>
        <v>La Morera</v>
      </c>
      <c r="C252" s="4" t="str">
        <f>+IF('Data Pura Costos'!C252="","",'Data Pura Costos'!C252)</f>
        <v>La compañia, VI Region.</v>
      </c>
      <c r="D252" s="5">
        <f>+IF('Data Pura Costos'!D252="","",'Data Pura Costos'!D252)</f>
        <v>16</v>
      </c>
      <c r="E252" s="65">
        <f>+IF('Data Pura Costos'!E252="","",IF('Data Pura Costos'!E252=0,MAX('Data Pura Costos'!$E$7:$E$3000)*1000,'Data Pura Costos'!E252))</f>
        <v>280000</v>
      </c>
      <c r="F252" s="5" t="str">
        <f>+IF('Data Pura Costos'!F252="","",'Data Pura Costos'!F252)</f>
        <v>Molina</v>
      </c>
      <c r="G252" s="5" t="str">
        <f>+IF('Data Pura Costos'!G252="","",'Data Pura Costos'!G252)</f>
        <v xml:space="preserve">Manuel Sepúlveda </v>
      </c>
      <c r="H252" s="52" t="str">
        <f>+IF('Data Pura Costos'!H252="","",'Data Pura Costos'!H252)</f>
        <v>Termo</v>
      </c>
      <c r="I252" s="71">
        <f>+IF('Data Pura Costos'!I252="","",'Data Pura Costos'!I252)</f>
        <v>17500</v>
      </c>
      <c r="J252" s="52" t="str">
        <f>+IF('Data Pura Costos'!J252="","",'Data Pura Costos'!J252)</f>
        <v>24-25</v>
      </c>
      <c r="K252" s="82" t="str">
        <f t="shared" si="8"/>
        <v xml:space="preserve">La Morera-Molina-Manuel Sepúlveda </v>
      </c>
      <c r="R252" s="6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</row>
    <row r="253" spans="2:39" s="7" customFormat="1" x14ac:dyDescent="0.35">
      <c r="B253" s="4" t="str">
        <f>+IF('Data Pura Costos'!B253="","",'Data Pura Costos'!B253)</f>
        <v>La Rinconada</v>
      </c>
      <c r="C253" s="4" t="str">
        <f>+IF('Data Pura Costos'!C253="","",'Data Pura Costos'!C253)</f>
        <v>Pichidegua, VI región</v>
      </c>
      <c r="D253" s="5">
        <f>+IF('Data Pura Costos'!D253="","",'Data Pura Costos'!D253)</f>
        <v>110</v>
      </c>
      <c r="E253" s="65">
        <f>+IF('Data Pura Costos'!E253="","",IF('Data Pura Costos'!E253=0,MAX('Data Pura Costos'!$E$7:$E$3000)*1000,'Data Pura Costos'!E253))</f>
        <v>385000</v>
      </c>
      <c r="F253" s="5" t="str">
        <f>+IF('Data Pura Costos'!F253="","",'Data Pura Costos'!F253)</f>
        <v>Molina</v>
      </c>
      <c r="G253" s="5" t="str">
        <f>+IF('Data Pura Costos'!G253="","",'Data Pura Costos'!G253)</f>
        <v xml:space="preserve">Manuel Sepúlveda </v>
      </c>
      <c r="H253" s="52" t="str">
        <f>+IF('Data Pura Costos'!H253="","",'Data Pura Costos'!H253)</f>
        <v>Termo</v>
      </c>
      <c r="I253" s="71">
        <f>+IF('Data Pura Costos'!I253="","",'Data Pura Costos'!I253)</f>
        <v>3500</v>
      </c>
      <c r="J253" s="52" t="str">
        <f>+IF('Data Pura Costos'!J253="","",'Data Pura Costos'!J253)</f>
        <v>24-25</v>
      </c>
      <c r="K253" s="82" t="str">
        <f t="shared" si="8"/>
        <v xml:space="preserve">La Rinconada-Molina-Manuel Sepúlveda </v>
      </c>
      <c r="R253" s="6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</row>
    <row r="254" spans="2:39" s="7" customFormat="1" x14ac:dyDescent="0.35">
      <c r="B254" s="4" t="str">
        <f>+IF('Data Pura Costos'!B254="","",'Data Pura Costos'!B254)</f>
        <v xml:space="preserve">La Roblería </v>
      </c>
      <c r="C254" s="4" t="str">
        <f>+IF('Data Pura Costos'!C254="","",'Data Pura Costos'!C254)</f>
        <v>Aculeo, RM</v>
      </c>
      <c r="D254" s="5">
        <f>+IF('Data Pura Costos'!D254="","",'Data Pura Costos'!D254)</f>
        <v>40</v>
      </c>
      <c r="E254" s="65">
        <f>+IF('Data Pura Costos'!E254="","",IF('Data Pura Costos'!E254=0,MAX('Data Pura Costos'!$E$7:$E$3000)*1000,'Data Pura Costos'!E254))</f>
        <v>280000</v>
      </c>
      <c r="F254" s="5" t="str">
        <f>+IF('Data Pura Costos'!F254="","",'Data Pura Costos'!F254)</f>
        <v>Molina</v>
      </c>
      <c r="G254" s="5" t="str">
        <f>+IF('Data Pura Costos'!G254="","",'Data Pura Costos'!G254)</f>
        <v xml:space="preserve">Manuel Sepúlveda </v>
      </c>
      <c r="H254" s="52" t="str">
        <f>+IF('Data Pura Costos'!H254="","",'Data Pura Costos'!H254)</f>
        <v>Termo</v>
      </c>
      <c r="I254" s="71">
        <f>+IF('Data Pura Costos'!I254="","",'Data Pura Costos'!I254)</f>
        <v>7000</v>
      </c>
      <c r="J254" s="52" t="str">
        <f>+IF('Data Pura Costos'!J254="","",'Data Pura Costos'!J254)</f>
        <v>24-25</v>
      </c>
      <c r="K254" s="82" t="str">
        <f t="shared" si="8"/>
        <v xml:space="preserve">La Roblería -Molina-Manuel Sepúlveda </v>
      </c>
      <c r="R254" s="6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</row>
    <row r="255" spans="2:39" s="7" customFormat="1" x14ac:dyDescent="0.35">
      <c r="B255" s="4" t="str">
        <f>+IF('Data Pura Costos'!B255="","",'Data Pura Costos'!B255)</f>
        <v>Las Cabras</v>
      </c>
      <c r="C255" s="4" t="str">
        <f>+IF('Data Pura Costos'!C255="","",'Data Pura Costos'!C255)</f>
        <v>Las Cabras, VI región</v>
      </c>
      <c r="D255" s="5">
        <f>+IF('Data Pura Costos'!D255="","",'Data Pura Costos'!D255)</f>
        <v>110</v>
      </c>
      <c r="E255" s="65">
        <f>+IF('Data Pura Costos'!E255="","",IF('Data Pura Costos'!E255=0,MAX('Data Pura Costos'!$E$7:$E$3000)*1000,'Data Pura Costos'!E255))</f>
        <v>385000</v>
      </c>
      <c r="F255" s="5" t="str">
        <f>+IF('Data Pura Costos'!F255="","",'Data Pura Costos'!F255)</f>
        <v>Molina</v>
      </c>
      <c r="G255" s="5" t="str">
        <f>+IF('Data Pura Costos'!G255="","",'Data Pura Costos'!G255)</f>
        <v xml:space="preserve">Manuel Sepúlveda </v>
      </c>
      <c r="H255" s="52" t="str">
        <f>+IF('Data Pura Costos'!H255="","",'Data Pura Costos'!H255)</f>
        <v>Termo</v>
      </c>
      <c r="I255" s="71">
        <f>+IF('Data Pura Costos'!I255="","",'Data Pura Costos'!I255)</f>
        <v>3500</v>
      </c>
      <c r="J255" s="52" t="str">
        <f>+IF('Data Pura Costos'!J255="","",'Data Pura Costos'!J255)</f>
        <v>24-25</v>
      </c>
      <c r="K255" s="82" t="str">
        <f t="shared" si="8"/>
        <v xml:space="preserve">Las Cabras-Molina-Manuel Sepúlveda </v>
      </c>
      <c r="R255" s="6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</row>
    <row r="256" spans="2:39" s="7" customFormat="1" x14ac:dyDescent="0.35">
      <c r="B256" s="4" t="str">
        <f>+IF('Data Pura Costos'!B256="","",'Data Pura Costos'!B256)</f>
        <v>Las Vertientes</v>
      </c>
      <c r="C256" s="4" t="str">
        <f>+IF('Data Pura Costos'!C256="","",'Data Pura Costos'!C256)</f>
        <v>Pichidegua, VI región</v>
      </c>
      <c r="D256" s="5">
        <f>+IF('Data Pura Costos'!D256="","",'Data Pura Costos'!D256)</f>
        <v>103</v>
      </c>
      <c r="E256" s="65">
        <f>+IF('Data Pura Costos'!E256="","",IF('Data Pura Costos'!E256=0,MAX('Data Pura Costos'!$E$7:$E$3000)*1000,'Data Pura Costos'!E256))</f>
        <v>385000</v>
      </c>
      <c r="F256" s="5" t="str">
        <f>+IF('Data Pura Costos'!F256="","",'Data Pura Costos'!F256)</f>
        <v>Molina</v>
      </c>
      <c r="G256" s="5" t="str">
        <f>+IF('Data Pura Costos'!G256="","",'Data Pura Costos'!G256)</f>
        <v xml:space="preserve">Manuel Sepúlveda </v>
      </c>
      <c r="H256" s="52" t="str">
        <f>+IF('Data Pura Costos'!H256="","",'Data Pura Costos'!H256)</f>
        <v>Termo</v>
      </c>
      <c r="I256" s="71">
        <f>+IF('Data Pura Costos'!I256="","",'Data Pura Costos'!I256)</f>
        <v>3737.8640776699031</v>
      </c>
      <c r="J256" s="52" t="str">
        <f>+IF('Data Pura Costos'!J256="","",'Data Pura Costos'!J256)</f>
        <v>24-25</v>
      </c>
      <c r="K256" s="82" t="str">
        <f t="shared" si="8"/>
        <v xml:space="preserve">Las Vertientes-Molina-Manuel Sepúlveda </v>
      </c>
      <c r="R256" s="6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</row>
    <row r="257" spans="2:39" s="7" customFormat="1" x14ac:dyDescent="0.35">
      <c r="B257" s="4" t="str">
        <f>+IF('Data Pura Costos'!B257="","",'Data Pura Costos'!B257)</f>
        <v>Lihueimo</v>
      </c>
      <c r="C257" s="4" t="str">
        <f>+IF('Data Pura Costos'!C257="","",'Data Pura Costos'!C257)</f>
        <v>Peralillo ohiggins</v>
      </c>
      <c r="D257" s="5">
        <f>+IF('Data Pura Costos'!D257="","",'Data Pura Costos'!D257)</f>
        <v>131</v>
      </c>
      <c r="E257" s="65">
        <f>+IF('Data Pura Costos'!E257="","",IF('Data Pura Costos'!E257=0,MAX('Data Pura Costos'!$E$7:$E$3000)*1000,'Data Pura Costos'!E257))</f>
        <v>450000</v>
      </c>
      <c r="F257" s="5" t="str">
        <f>+IF('Data Pura Costos'!F257="","",'Data Pura Costos'!F257)</f>
        <v>Molina</v>
      </c>
      <c r="G257" s="5" t="str">
        <f>+IF('Data Pura Costos'!G257="","",'Data Pura Costos'!G257)</f>
        <v xml:space="preserve">Manuel Sepúlveda </v>
      </c>
      <c r="H257" s="52" t="str">
        <f>+IF('Data Pura Costos'!H257="","",'Data Pura Costos'!H257)</f>
        <v>Termo</v>
      </c>
      <c r="I257" s="71">
        <f>+IF('Data Pura Costos'!I257="","",'Data Pura Costos'!I257)</f>
        <v>3435.1145038167938</v>
      </c>
      <c r="J257" s="52" t="str">
        <f>+IF('Data Pura Costos'!J257="","",'Data Pura Costos'!J257)</f>
        <v>24-25</v>
      </c>
      <c r="K257" s="82" t="str">
        <f t="shared" si="8"/>
        <v xml:space="preserve">Lihueimo-Molina-Manuel Sepúlveda </v>
      </c>
      <c r="R257" s="6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</row>
    <row r="258" spans="2:39" s="7" customFormat="1" x14ac:dyDescent="0.35">
      <c r="B258" s="4" t="str">
        <f>+IF('Data Pura Costos'!B258="","",'Data Pura Costos'!B258)</f>
        <v>Los Encinos</v>
      </c>
      <c r="C258" s="4" t="str">
        <f>+IF('Data Pura Costos'!C258="","",'Data Pura Costos'!C258)</f>
        <v>Huechun, RM</v>
      </c>
      <c r="D258" s="5">
        <f>+IF('Data Pura Costos'!D258="","",'Data Pura Costos'!D258)</f>
        <v>85</v>
      </c>
      <c r="E258" s="65">
        <f>+IF('Data Pura Costos'!E258="","",IF('Data Pura Costos'!E258=0,MAX('Data Pura Costos'!$E$7:$E$3000)*1000,'Data Pura Costos'!E258))</f>
        <v>345000</v>
      </c>
      <c r="F258" s="5" t="str">
        <f>+IF('Data Pura Costos'!F258="","",'Data Pura Costos'!F258)</f>
        <v>Molina</v>
      </c>
      <c r="G258" s="5" t="str">
        <f>+IF('Data Pura Costos'!G258="","",'Data Pura Costos'!G258)</f>
        <v xml:space="preserve">Manuel Sepúlveda </v>
      </c>
      <c r="H258" s="52" t="str">
        <f>+IF('Data Pura Costos'!H258="","",'Data Pura Costos'!H258)</f>
        <v>Termo</v>
      </c>
      <c r="I258" s="71">
        <f>+IF('Data Pura Costos'!I258="","",'Data Pura Costos'!I258)</f>
        <v>4058.8235294117649</v>
      </c>
      <c r="J258" s="52" t="str">
        <f>+IF('Data Pura Costos'!J258="","",'Data Pura Costos'!J258)</f>
        <v>24-25</v>
      </c>
      <c r="K258" s="82" t="str">
        <f t="shared" si="8"/>
        <v xml:space="preserve">Los Encinos-Molina-Manuel Sepúlveda </v>
      </c>
      <c r="R258" s="6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</row>
    <row r="259" spans="2:39" s="7" customFormat="1" x14ac:dyDescent="0.35">
      <c r="B259" s="4" t="str">
        <f>+IF('Data Pura Costos'!B259="","",'Data Pura Costos'!B259)</f>
        <v>Los Maitenes</v>
      </c>
      <c r="C259" s="4" t="str">
        <f>+IF('Data Pura Costos'!C259="","",'Data Pura Costos'!C259)</f>
        <v>Las Cabras, VI región</v>
      </c>
      <c r="D259" s="5">
        <f>+IF('Data Pura Costos'!D259="","",'Data Pura Costos'!D259)</f>
        <v>118</v>
      </c>
      <c r="E259" s="65">
        <f>+IF('Data Pura Costos'!E259="","",IF('Data Pura Costos'!E259=0,MAX('Data Pura Costos'!$E$7:$E$3000)*1000,'Data Pura Costos'!E259))</f>
        <v>385000</v>
      </c>
      <c r="F259" s="5" t="str">
        <f>+IF('Data Pura Costos'!F259="","",'Data Pura Costos'!F259)</f>
        <v>Molina</v>
      </c>
      <c r="G259" s="5" t="str">
        <f>+IF('Data Pura Costos'!G259="","",'Data Pura Costos'!G259)</f>
        <v xml:space="preserve">Manuel Sepúlveda </v>
      </c>
      <c r="H259" s="52" t="str">
        <f>+IF('Data Pura Costos'!H259="","",'Data Pura Costos'!H259)</f>
        <v>Termo</v>
      </c>
      <c r="I259" s="71">
        <f>+IF('Data Pura Costos'!I259="","",'Data Pura Costos'!I259)</f>
        <v>3262.7118644067796</v>
      </c>
      <c r="J259" s="52" t="str">
        <f>+IF('Data Pura Costos'!J259="","",'Data Pura Costos'!J259)</f>
        <v>24-25</v>
      </c>
      <c r="K259" s="82" t="str">
        <f t="shared" si="8"/>
        <v xml:space="preserve">Los Maitenes-Molina-Manuel Sepúlveda </v>
      </c>
      <c r="R259" s="6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</row>
    <row r="260" spans="2:39" s="7" customFormat="1" x14ac:dyDescent="0.35">
      <c r="B260" s="4" t="str">
        <f>+IF('Data Pura Costos'!B260="","",'Data Pura Costos'!B260)</f>
        <v>Los Toldos</v>
      </c>
      <c r="C260" s="4" t="str">
        <f>+IF('Data Pura Costos'!C260="","",'Data Pura Costos'!C260)</f>
        <v>Angol, IX región</v>
      </c>
      <c r="D260" s="5">
        <f>+IF('Data Pura Costos'!D260="","",'Data Pura Costos'!D260)</f>
        <v>549</v>
      </c>
      <c r="E260" s="65">
        <f>+IF('Data Pura Costos'!E260="","",IF('Data Pura Costos'!E260=0,MAX('Data Pura Costos'!$E$7:$E$3000)*1000,'Data Pura Costos'!E260))</f>
        <v>1540000</v>
      </c>
      <c r="F260" s="5" t="str">
        <f>+IF('Data Pura Costos'!F260="","",'Data Pura Costos'!F260)</f>
        <v>Molina</v>
      </c>
      <c r="G260" s="5" t="str">
        <f>+IF('Data Pura Costos'!G260="","",'Data Pura Costos'!G260)</f>
        <v xml:space="preserve">Manuel Sepúlveda </v>
      </c>
      <c r="H260" s="52" t="str">
        <f>+IF('Data Pura Costos'!H260="","",'Data Pura Costos'!H260)</f>
        <v>Termo</v>
      </c>
      <c r="I260" s="71">
        <f>+IF('Data Pura Costos'!I260="","",'Data Pura Costos'!I260)</f>
        <v>2805.1001821493624</v>
      </c>
      <c r="J260" s="52" t="str">
        <f>+IF('Data Pura Costos'!J260="","",'Data Pura Costos'!J260)</f>
        <v>24-25</v>
      </c>
      <c r="K260" s="82" t="str">
        <f t="shared" si="8"/>
        <v xml:space="preserve">Los Toldos-Molina-Manuel Sepúlveda </v>
      </c>
      <c r="R260" s="6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</row>
    <row r="261" spans="2:39" s="7" customFormat="1" x14ac:dyDescent="0.35">
      <c r="B261" s="4" t="str">
        <f>+IF('Data Pura Costos'!B261="","",'Data Pura Costos'!B261)</f>
        <v>Mallorca</v>
      </c>
      <c r="C261" s="4" t="str">
        <f>+IF('Data Pura Costos'!C261="","",'Data Pura Costos'!C261)</f>
        <v xml:space="preserve">Molina, VII región </v>
      </c>
      <c r="D261" s="5">
        <f>+IF('Data Pura Costos'!D261="","",'Data Pura Costos'!D261)</f>
        <v>144</v>
      </c>
      <c r="E261" s="65">
        <f>+IF('Data Pura Costos'!E261="","",IF('Data Pura Costos'!E261=0,MAX('Data Pura Costos'!$E$7:$E$3000)*1000,'Data Pura Costos'!E261))</f>
        <v>450000</v>
      </c>
      <c r="F261" s="5" t="str">
        <f>+IF('Data Pura Costos'!F261="","",'Data Pura Costos'!F261)</f>
        <v>Molina</v>
      </c>
      <c r="G261" s="5" t="str">
        <f>+IF('Data Pura Costos'!G261="","",'Data Pura Costos'!G261)</f>
        <v xml:space="preserve">Manuel Sepúlveda </v>
      </c>
      <c r="H261" s="52" t="str">
        <f>+IF('Data Pura Costos'!H261="","",'Data Pura Costos'!H261)</f>
        <v>Termo</v>
      </c>
      <c r="I261" s="71">
        <f>+IF('Data Pura Costos'!I261="","",'Data Pura Costos'!I261)</f>
        <v>3125</v>
      </c>
      <c r="J261" s="52" t="str">
        <f>+IF('Data Pura Costos'!J261="","",'Data Pura Costos'!J261)</f>
        <v>24-25</v>
      </c>
      <c r="K261" s="82" t="str">
        <f t="shared" si="8"/>
        <v xml:space="preserve">Mallorca-Molina-Manuel Sepúlveda </v>
      </c>
      <c r="R261" s="6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</row>
    <row r="262" spans="2:39" s="7" customFormat="1" x14ac:dyDescent="0.35">
      <c r="B262" s="4" t="str">
        <f>+IF('Data Pura Costos'!B262="","",'Data Pura Costos'!B262)</f>
        <v>Panquehue</v>
      </c>
      <c r="C262" s="4" t="str">
        <f>+IF('Data Pura Costos'!C262="","",'Data Pura Costos'!C262)</f>
        <v>Panquehue, V región</v>
      </c>
      <c r="D262" s="5">
        <f>+IF('Data Pura Costos'!D262="","",'Data Pura Costos'!D262)</f>
        <v>165</v>
      </c>
      <c r="E262" s="65">
        <f>+IF('Data Pura Costos'!E262="","",IF('Data Pura Costos'!E262=0,MAX('Data Pura Costos'!$E$7:$E$3000)*1000,'Data Pura Costos'!E262))</f>
        <v>520000</v>
      </c>
      <c r="F262" s="5" t="str">
        <f>+IF('Data Pura Costos'!F262="","",'Data Pura Costos'!F262)</f>
        <v>Molina</v>
      </c>
      <c r="G262" s="5" t="str">
        <f>+IF('Data Pura Costos'!G262="","",'Data Pura Costos'!G262)</f>
        <v xml:space="preserve">Manuel Sepúlveda </v>
      </c>
      <c r="H262" s="52" t="str">
        <f>+IF('Data Pura Costos'!H262="","",'Data Pura Costos'!H262)</f>
        <v>Termo</v>
      </c>
      <c r="I262" s="71">
        <f>+IF('Data Pura Costos'!I262="","",'Data Pura Costos'!I262)</f>
        <v>3151.5151515151515</v>
      </c>
      <c r="J262" s="52" t="str">
        <f>+IF('Data Pura Costos'!J262="","",'Data Pura Costos'!J262)</f>
        <v>24-25</v>
      </c>
      <c r="K262" s="82" t="str">
        <f t="shared" si="8"/>
        <v xml:space="preserve">Panquehue-Molina-Manuel Sepúlveda </v>
      </c>
      <c r="R262" s="6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</row>
    <row r="263" spans="2:39" s="7" customFormat="1" x14ac:dyDescent="0.35">
      <c r="B263" s="4" t="str">
        <f>+IF('Data Pura Costos'!B263="","",'Data Pura Costos'!B263)</f>
        <v>Entre Rios/Puente Negro/Rio Claro</v>
      </c>
      <c r="C263" s="4" t="str">
        <f>+IF('Data Pura Costos'!C263="","",'Data Pura Costos'!C263)</f>
        <v>Puente negro, san fernando.VI Region.</v>
      </c>
      <c r="D263" s="5">
        <f>+IF('Data Pura Costos'!D263="","",'Data Pura Costos'!D263)</f>
        <v>100</v>
      </c>
      <c r="E263" s="65">
        <f>+IF('Data Pura Costos'!E263="","",IF('Data Pura Costos'!E263=0,MAX('Data Pura Costos'!$E$7:$E$3000)*1000,'Data Pura Costos'!E263))</f>
        <v>358000</v>
      </c>
      <c r="F263" s="5" t="str">
        <f>+IF('Data Pura Costos'!F263="","",'Data Pura Costos'!F263)</f>
        <v>Molina</v>
      </c>
      <c r="G263" s="5" t="str">
        <f>+IF('Data Pura Costos'!G263="","",'Data Pura Costos'!G263)</f>
        <v xml:space="preserve">Manuel Sepúlveda </v>
      </c>
      <c r="H263" s="52" t="str">
        <f>+IF('Data Pura Costos'!H263="","",'Data Pura Costos'!H263)</f>
        <v>Termo</v>
      </c>
      <c r="I263" s="71">
        <f>+IF('Data Pura Costos'!I263="","",'Data Pura Costos'!I263)</f>
        <v>3580</v>
      </c>
      <c r="J263" s="52" t="str">
        <f>+IF('Data Pura Costos'!J263="","",'Data Pura Costos'!J263)</f>
        <v>24-25</v>
      </c>
      <c r="K263" s="82" t="str">
        <f t="shared" si="8"/>
        <v xml:space="preserve">Entre Rios/Puente Negro/Rio Claro-Molina-Manuel Sepúlveda </v>
      </c>
      <c r="R263" s="6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</row>
    <row r="264" spans="2:39" s="7" customFormat="1" x14ac:dyDescent="0.35">
      <c r="B264" s="4" t="str">
        <f>+IF('Data Pura Costos'!B264="","",'Data Pura Costos'!B264)</f>
        <v>Retorno</v>
      </c>
      <c r="C264" s="4" t="str">
        <f>+IF('Data Pura Costos'!C264="","",'Data Pura Costos'!C264)</f>
        <v>Santa maria, V región</v>
      </c>
      <c r="D264" s="5">
        <f>+IF('Data Pura Costos'!D264="","",'Data Pura Costos'!D264)</f>
        <v>162</v>
      </c>
      <c r="E264" s="65">
        <f>+IF('Data Pura Costos'!E264="","",IF('Data Pura Costos'!E264=0,MAX('Data Pura Costos'!$E$7:$E$3000)*1000,'Data Pura Costos'!E264))</f>
        <v>520000</v>
      </c>
      <c r="F264" s="5" t="str">
        <f>+IF('Data Pura Costos'!F264="","",'Data Pura Costos'!F264)</f>
        <v>Molina</v>
      </c>
      <c r="G264" s="5" t="str">
        <f>+IF('Data Pura Costos'!G264="","",'Data Pura Costos'!G264)</f>
        <v xml:space="preserve">Manuel Sepúlveda </v>
      </c>
      <c r="H264" s="52" t="str">
        <f>+IF('Data Pura Costos'!H264="","",'Data Pura Costos'!H264)</f>
        <v>Termo</v>
      </c>
      <c r="I264" s="71">
        <f>+IF('Data Pura Costos'!I264="","",'Data Pura Costos'!I264)</f>
        <v>3209.8765432098767</v>
      </c>
      <c r="J264" s="52" t="str">
        <f>+IF('Data Pura Costos'!J264="","",'Data Pura Costos'!J264)</f>
        <v>24-25</v>
      </c>
      <c r="K264" s="82" t="str">
        <f t="shared" ref="K264:K327" si="9">+IF(B264="","",CONCATENATE(B264,"-",F264,"-",G264))</f>
        <v xml:space="preserve">Retorno-Molina-Manuel Sepúlveda </v>
      </c>
      <c r="R264" s="6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</row>
    <row r="265" spans="2:39" s="7" customFormat="1" x14ac:dyDescent="0.35">
      <c r="B265" s="4" t="str">
        <f>+IF('Data Pura Costos'!B265="","",'Data Pura Costos'!B265)</f>
        <v>San Hernán</v>
      </c>
      <c r="C265" s="4" t="str">
        <f>+IF('Data Pura Costos'!C265="","",'Data Pura Costos'!C265)</f>
        <v>Graneros, VI región</v>
      </c>
      <c r="D265" s="5">
        <f>+IF('Data Pura Costos'!D265="","",'Data Pura Costos'!D265)</f>
        <v>10</v>
      </c>
      <c r="E265" s="65">
        <f>+IF('Data Pura Costos'!E265="","",IF('Data Pura Costos'!E265=0,MAX('Data Pura Costos'!$E$7:$E$3000)*1000,'Data Pura Costos'!E265))</f>
        <v>280000</v>
      </c>
      <c r="F265" s="5" t="str">
        <f>+IF('Data Pura Costos'!F265="","",'Data Pura Costos'!F265)</f>
        <v>Molina</v>
      </c>
      <c r="G265" s="5" t="str">
        <f>+IF('Data Pura Costos'!G265="","",'Data Pura Costos'!G265)</f>
        <v xml:space="preserve">Manuel Sepúlveda </v>
      </c>
      <c r="H265" s="52" t="str">
        <f>+IF('Data Pura Costos'!H265="","",'Data Pura Costos'!H265)</f>
        <v>Termo</v>
      </c>
      <c r="I265" s="71">
        <f>+IF('Data Pura Costos'!I265="","",'Data Pura Costos'!I265)</f>
        <v>28000</v>
      </c>
      <c r="J265" s="52" t="str">
        <f>+IF('Data Pura Costos'!J265="","",'Data Pura Costos'!J265)</f>
        <v>24-25</v>
      </c>
      <c r="K265" s="82" t="str">
        <f t="shared" si="9"/>
        <v xml:space="preserve">San Hernán-Molina-Manuel Sepúlveda </v>
      </c>
      <c r="R265" s="6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</row>
    <row r="266" spans="2:39" s="7" customFormat="1" x14ac:dyDescent="0.35">
      <c r="B266" s="4" t="str">
        <f>+IF('Data Pura Costos'!B266="","",'Data Pura Costos'!B266)</f>
        <v>Santa Mónica</v>
      </c>
      <c r="C266" s="4" t="str">
        <f>+IF('Data Pura Costos'!C266="","",'Data Pura Costos'!C266)</f>
        <v xml:space="preserve">Rancagua, sector Chancón, VI región </v>
      </c>
      <c r="D266" s="5">
        <f>+IF('Data Pura Costos'!D266="","",'Data Pura Costos'!D266)</f>
        <v>20</v>
      </c>
      <c r="E266" s="65">
        <f>+IF('Data Pura Costos'!E266="","",IF('Data Pura Costos'!E266=0,MAX('Data Pura Costos'!$E$7:$E$3000)*1000,'Data Pura Costos'!E266))</f>
        <v>280000</v>
      </c>
      <c r="F266" s="5" t="str">
        <f>+IF('Data Pura Costos'!F266="","",'Data Pura Costos'!F266)</f>
        <v>Molina</v>
      </c>
      <c r="G266" s="5" t="str">
        <f>+IF('Data Pura Costos'!G266="","",'Data Pura Costos'!G266)</f>
        <v xml:space="preserve">Manuel Sepúlveda </v>
      </c>
      <c r="H266" s="52" t="str">
        <f>+IF('Data Pura Costos'!H266="","",'Data Pura Costos'!H266)</f>
        <v>Termo</v>
      </c>
      <c r="I266" s="71">
        <f>+IF('Data Pura Costos'!I266="","",'Data Pura Costos'!I266)</f>
        <v>14000</v>
      </c>
      <c r="J266" s="52" t="str">
        <f>+IF('Data Pura Costos'!J266="","",'Data Pura Costos'!J266)</f>
        <v>24-25</v>
      </c>
      <c r="K266" s="82" t="str">
        <f t="shared" si="9"/>
        <v xml:space="preserve">Santa Mónica-Molina-Manuel Sepúlveda </v>
      </c>
      <c r="R266" s="6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</row>
    <row r="267" spans="2:39" s="7" customFormat="1" x14ac:dyDescent="0.35">
      <c r="B267" s="4" t="str">
        <f>+IF('Data Pura Costos'!B267="","",'Data Pura Costos'!B267)</f>
        <v>Talhuén</v>
      </c>
      <c r="C267" s="4" t="str">
        <f>+IF('Data Pura Costos'!C267="","",'Data Pura Costos'!C267)</f>
        <v>Palmilla, VI región</v>
      </c>
      <c r="D267" s="5">
        <f>+IF('Data Pura Costos'!D267="","",'Data Pura Costos'!D267)</f>
        <v>122</v>
      </c>
      <c r="E267" s="65">
        <f>+IF('Data Pura Costos'!E267="","",IF('Data Pura Costos'!E267=0,MAX('Data Pura Costos'!$E$7:$E$3000)*1000,'Data Pura Costos'!E267))</f>
        <v>400000</v>
      </c>
      <c r="F267" s="5" t="str">
        <f>+IF('Data Pura Costos'!F267="","",'Data Pura Costos'!F267)</f>
        <v>Molina</v>
      </c>
      <c r="G267" s="5" t="str">
        <f>+IF('Data Pura Costos'!G267="","",'Data Pura Costos'!G267)</f>
        <v xml:space="preserve">Manuel Sepúlveda </v>
      </c>
      <c r="H267" s="52" t="str">
        <f>+IF('Data Pura Costos'!H267="","",'Data Pura Costos'!H267)</f>
        <v>Termo</v>
      </c>
      <c r="I267" s="71">
        <f>+IF('Data Pura Costos'!I267="","",'Data Pura Costos'!I267)</f>
        <v>3278.688524590164</v>
      </c>
      <c r="J267" s="52" t="str">
        <f>+IF('Data Pura Costos'!J267="","",'Data Pura Costos'!J267)</f>
        <v>24-25</v>
      </c>
      <c r="K267" s="82" t="str">
        <f t="shared" si="9"/>
        <v xml:space="preserve">Talhuén-Molina-Manuel Sepúlveda </v>
      </c>
      <c r="R267" s="6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</row>
    <row r="268" spans="2:39" s="7" customFormat="1" x14ac:dyDescent="0.35">
      <c r="B268" s="4" t="str">
        <f>+IF('Data Pura Costos'!B268="","",'Data Pura Costos'!B268)</f>
        <v>Villaseca</v>
      </c>
      <c r="C268" s="4" t="str">
        <f>+IF('Data Pura Costos'!C268="","",'Data Pura Costos'!C268)</f>
        <v>Retiro, VII reginón</v>
      </c>
      <c r="D268" s="5">
        <f>+IF('Data Pura Costos'!D268="","",'Data Pura Costos'!D268)</f>
        <v>297</v>
      </c>
      <c r="E268" s="65">
        <f>+IF('Data Pura Costos'!E268="","",IF('Data Pura Costos'!E268=0,MAX('Data Pura Costos'!$E$7:$E$3000)*1000,'Data Pura Costos'!E268))</f>
        <v>840000</v>
      </c>
      <c r="F268" s="5" t="str">
        <f>+IF('Data Pura Costos'!F268="","",'Data Pura Costos'!F268)</f>
        <v>Molina</v>
      </c>
      <c r="G268" s="5" t="str">
        <f>+IF('Data Pura Costos'!G268="","",'Data Pura Costos'!G268)</f>
        <v xml:space="preserve">Manuel Sepúlveda </v>
      </c>
      <c r="H268" s="52" t="str">
        <f>+IF('Data Pura Costos'!H268="","",'Data Pura Costos'!H268)</f>
        <v>Termo</v>
      </c>
      <c r="I268" s="71">
        <f>+IF('Data Pura Costos'!I268="","",'Data Pura Costos'!I268)</f>
        <v>2828.2828282828282</v>
      </c>
      <c r="J268" s="52" t="str">
        <f>+IF('Data Pura Costos'!J268="","",'Data Pura Costos'!J268)</f>
        <v>24-25</v>
      </c>
      <c r="K268" s="82" t="str">
        <f t="shared" si="9"/>
        <v xml:space="preserve">Villaseca-Molina-Manuel Sepúlveda </v>
      </c>
      <c r="R268" s="6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</row>
    <row r="269" spans="2:39" s="7" customFormat="1" x14ac:dyDescent="0.35">
      <c r="B269" s="4" t="str">
        <f>+IF('Data Pura Costos'!B269="","",'Data Pura Costos'!B269)</f>
        <v>Almahue</v>
      </c>
      <c r="C269" s="4" t="str">
        <f>+IF('Data Pura Costos'!C269="","",'Data Pura Costos'!C269)</f>
        <v>Pichidegua, VI región</v>
      </c>
      <c r="D269" s="5">
        <f>+IF('Data Pura Costos'!D269="","",'Data Pura Costos'!D269)</f>
        <v>50</v>
      </c>
      <c r="E269" s="65">
        <f>+IF('Data Pura Costos'!E269="","",IF('Data Pura Costos'!E269=0,MAX('Data Pura Costos'!$E$7:$E$3000)*1000,'Data Pura Costos'!E269))</f>
        <v>280000</v>
      </c>
      <c r="F269" s="5" t="str">
        <f>+IF('Data Pura Costos'!F269="","",'Data Pura Costos'!F269)</f>
        <v>Malloa</v>
      </c>
      <c r="G269" s="5" t="str">
        <f>+IF('Data Pura Costos'!G269="","",'Data Pura Costos'!G269)</f>
        <v xml:space="preserve">Manuel Sepúlveda </v>
      </c>
      <c r="H269" s="52" t="str">
        <f>+IF('Data Pura Costos'!H269="","",'Data Pura Costos'!H269)</f>
        <v>Termo</v>
      </c>
      <c r="I269" s="71">
        <f>+IF('Data Pura Costos'!I269="","",'Data Pura Costos'!I269)</f>
        <v>5600</v>
      </c>
      <c r="J269" s="52" t="str">
        <f>+IF('Data Pura Costos'!J269="","",'Data Pura Costos'!J269)</f>
        <v>24-25</v>
      </c>
      <c r="K269" s="82" t="str">
        <f t="shared" si="9"/>
        <v xml:space="preserve">Almahue-Malloa-Manuel Sepúlveda </v>
      </c>
      <c r="R269" s="6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</row>
    <row r="270" spans="2:39" s="7" customFormat="1" x14ac:dyDescent="0.35">
      <c r="B270" s="4" t="str">
        <f>+IF('Data Pura Costos'!B270="","",'Data Pura Costos'!B270)</f>
        <v>Bodega</v>
      </c>
      <c r="C270" s="4" t="str">
        <f>+IF('Data Pura Costos'!C270="","",'Data Pura Costos'!C270)</f>
        <v>Linares, VII region.</v>
      </c>
      <c r="D270" s="5">
        <f>+IF('Data Pura Costos'!D270="","",'Data Pura Costos'!D270)</f>
        <v>211</v>
      </c>
      <c r="E270" s="65">
        <f>+IF('Data Pura Costos'!E270="","",IF('Data Pura Costos'!E270=0,MAX('Data Pura Costos'!$E$7:$E$3000)*1000,'Data Pura Costos'!E270))</f>
        <v>650000</v>
      </c>
      <c r="F270" s="5" t="str">
        <f>+IF('Data Pura Costos'!F270="","",'Data Pura Costos'!F270)</f>
        <v>Malloa</v>
      </c>
      <c r="G270" s="5" t="str">
        <f>+IF('Data Pura Costos'!G270="","",'Data Pura Costos'!G270)</f>
        <v xml:space="preserve">Manuel Sepúlveda </v>
      </c>
      <c r="H270" s="52" t="str">
        <f>+IF('Data Pura Costos'!H270="","",'Data Pura Costos'!H270)</f>
        <v>Termo</v>
      </c>
      <c r="I270" s="71">
        <f>+IF('Data Pura Costos'!I270="","",'Data Pura Costos'!I270)</f>
        <v>3080.5687203791467</v>
      </c>
      <c r="J270" s="52" t="str">
        <f>+IF('Data Pura Costos'!J270="","",'Data Pura Costos'!J270)</f>
        <v>24-25</v>
      </c>
      <c r="K270" s="82" t="str">
        <f t="shared" si="9"/>
        <v xml:space="preserve">Bodega-Malloa-Manuel Sepúlveda </v>
      </c>
      <c r="R270" s="6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</row>
    <row r="271" spans="2:39" s="7" customFormat="1" x14ac:dyDescent="0.35">
      <c r="B271" s="4" t="str">
        <f>+IF('Data Pura Costos'!B271="","",'Data Pura Costos'!B271)</f>
        <v xml:space="preserve">Caliboro </v>
      </c>
      <c r="C271" s="4" t="str">
        <f>+IF('Data Pura Costos'!C271="","",'Data Pura Costos'!C271)</f>
        <v>San Javier, VII región</v>
      </c>
      <c r="D271" s="5">
        <f>+IF('Data Pura Costos'!D271="","",'Data Pura Costos'!D271)</f>
        <v>206</v>
      </c>
      <c r="E271" s="65">
        <f>+IF('Data Pura Costos'!E271="","",IF('Data Pura Costos'!E271=0,MAX('Data Pura Costos'!$E$7:$E$3000)*1000,'Data Pura Costos'!E271))</f>
        <v>650000</v>
      </c>
      <c r="F271" s="5" t="str">
        <f>+IF('Data Pura Costos'!F271="","",'Data Pura Costos'!F271)</f>
        <v>Malloa</v>
      </c>
      <c r="G271" s="5" t="str">
        <f>+IF('Data Pura Costos'!G271="","",'Data Pura Costos'!G271)</f>
        <v xml:space="preserve">Manuel Sepúlveda </v>
      </c>
      <c r="H271" s="52" t="str">
        <f>+IF('Data Pura Costos'!H271="","",'Data Pura Costos'!H271)</f>
        <v>Termo</v>
      </c>
      <c r="I271" s="71">
        <f>+IF('Data Pura Costos'!I271="","",'Data Pura Costos'!I271)</f>
        <v>3155.3398058252428</v>
      </c>
      <c r="J271" s="52" t="str">
        <f>+IF('Data Pura Costos'!J271="","",'Data Pura Costos'!J271)</f>
        <v>24-25</v>
      </c>
      <c r="K271" s="82" t="str">
        <f t="shared" si="9"/>
        <v xml:space="preserve">Caliboro -Malloa-Manuel Sepúlveda </v>
      </c>
      <c r="R271" s="6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</row>
    <row r="272" spans="2:39" s="7" customFormat="1" x14ac:dyDescent="0.35">
      <c r="B272" s="4" t="str">
        <f>+IF('Data Pura Costos'!B272="","",'Data Pura Costos'!B272)</f>
        <v>Calleuque</v>
      </c>
      <c r="C272" s="4" t="str">
        <f>+IF('Data Pura Costos'!C272="","",'Data Pura Costos'!C272)</f>
        <v>Peralillo ohiggins, VI región</v>
      </c>
      <c r="D272" s="5">
        <f>+IF('Data Pura Costos'!D272="","",'Data Pura Costos'!D272)</f>
        <v>80</v>
      </c>
      <c r="E272" s="65">
        <f>+IF('Data Pura Costos'!E272="","",IF('Data Pura Costos'!E272=0,MAX('Data Pura Costos'!$E$7:$E$3000)*1000,'Data Pura Costos'!E272))</f>
        <v>345000</v>
      </c>
      <c r="F272" s="5" t="str">
        <f>+IF('Data Pura Costos'!F272="","",'Data Pura Costos'!F272)</f>
        <v>Malloa</v>
      </c>
      <c r="G272" s="5" t="str">
        <f>+IF('Data Pura Costos'!G272="","",'Data Pura Costos'!G272)</f>
        <v xml:space="preserve">Manuel Sepúlveda </v>
      </c>
      <c r="H272" s="52" t="str">
        <f>+IF('Data Pura Costos'!H272="","",'Data Pura Costos'!H272)</f>
        <v>Termo</v>
      </c>
      <c r="I272" s="71">
        <f>+IF('Data Pura Costos'!I272="","",'Data Pura Costos'!I272)</f>
        <v>4312.5</v>
      </c>
      <c r="J272" s="52" t="str">
        <f>+IF('Data Pura Costos'!J272="","",'Data Pura Costos'!J272)</f>
        <v>24-25</v>
      </c>
      <c r="K272" s="82" t="str">
        <f t="shared" si="9"/>
        <v xml:space="preserve">Calleuque-Malloa-Manuel Sepúlveda </v>
      </c>
      <c r="R272" s="6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</row>
    <row r="273" spans="2:39" s="7" customFormat="1" x14ac:dyDescent="0.35">
      <c r="B273" s="4" t="str">
        <f>+IF('Data Pura Costos'!B273="","",'Data Pura Costos'!B273)</f>
        <v>Chumpirro</v>
      </c>
      <c r="C273" s="4" t="str">
        <f>+IF('Data Pura Costos'!C273="","",'Data Pura Costos'!C273)</f>
        <v>Angol, IX región</v>
      </c>
      <c r="D273" s="5">
        <f>+IF('Data Pura Costos'!D273="","",'Data Pura Costos'!D273)</f>
        <v>450</v>
      </c>
      <c r="E273" s="65">
        <f>+IF('Data Pura Costos'!E273="","",IF('Data Pura Costos'!E273=0,MAX('Data Pura Costos'!$E$7:$E$3000)*1000,'Data Pura Costos'!E273))</f>
        <v>1350000</v>
      </c>
      <c r="F273" s="5" t="str">
        <f>+IF('Data Pura Costos'!F273="","",'Data Pura Costos'!F273)</f>
        <v>Malloa</v>
      </c>
      <c r="G273" s="5" t="str">
        <f>+IF('Data Pura Costos'!G273="","",'Data Pura Costos'!G273)</f>
        <v xml:space="preserve">Manuel Sepúlveda </v>
      </c>
      <c r="H273" s="52" t="str">
        <f>+IF('Data Pura Costos'!H273="","",'Data Pura Costos'!H273)</f>
        <v>Termo</v>
      </c>
      <c r="I273" s="71">
        <f>+IF('Data Pura Costos'!I273="","",'Data Pura Costos'!I273)</f>
        <v>3000</v>
      </c>
      <c r="J273" s="52" t="str">
        <f>+IF('Data Pura Costos'!J273="","",'Data Pura Costos'!J273)</f>
        <v>24-25</v>
      </c>
      <c r="K273" s="82" t="str">
        <f t="shared" si="9"/>
        <v xml:space="preserve">Chumpirro-Malloa-Manuel Sepúlveda </v>
      </c>
      <c r="R273" s="6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</row>
    <row r="274" spans="2:39" s="7" customFormat="1" x14ac:dyDescent="0.35">
      <c r="B274" s="4" t="str">
        <f>+IF('Data Pura Costos'!B274="","",'Data Pura Costos'!B274)</f>
        <v xml:space="preserve"> Cocalán</v>
      </c>
      <c r="C274" s="4" t="str">
        <f>+IF('Data Pura Costos'!C274="","",'Data Pura Costos'!C274)</f>
        <v>Cocalán, VI región</v>
      </c>
      <c r="D274" s="5">
        <f>+IF('Data Pura Costos'!D274="","",'Data Pura Costos'!D274)</f>
        <v>50</v>
      </c>
      <c r="E274" s="65">
        <f>+IF('Data Pura Costos'!E274="","",IF('Data Pura Costos'!E274=0,MAX('Data Pura Costos'!$E$7:$E$3000)*1000,'Data Pura Costos'!E274))</f>
        <v>280000</v>
      </c>
      <c r="F274" s="5" t="str">
        <f>+IF('Data Pura Costos'!F274="","",'Data Pura Costos'!F274)</f>
        <v>Malloa</v>
      </c>
      <c r="G274" s="5" t="str">
        <f>+IF('Data Pura Costos'!G274="","",'Data Pura Costos'!G274)</f>
        <v xml:space="preserve">Manuel Sepúlveda </v>
      </c>
      <c r="H274" s="52" t="str">
        <f>+IF('Data Pura Costos'!H274="","",'Data Pura Costos'!H274)</f>
        <v>Termo</v>
      </c>
      <c r="I274" s="71">
        <f>+IF('Data Pura Costos'!I274="","",'Data Pura Costos'!I274)</f>
        <v>5600</v>
      </c>
      <c r="J274" s="52" t="str">
        <f>+IF('Data Pura Costos'!J274="","",'Data Pura Costos'!J274)</f>
        <v>24-25</v>
      </c>
      <c r="K274" s="82" t="str">
        <f t="shared" si="9"/>
        <v xml:space="preserve"> Cocalán-Malloa-Manuel Sepúlveda </v>
      </c>
      <c r="R274" s="6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</row>
    <row r="275" spans="2:39" s="7" customFormat="1" x14ac:dyDescent="0.35">
      <c r="B275" s="4" t="str">
        <f>+IF('Data Pura Costos'!B275="","",'Data Pura Costos'!B275)</f>
        <v>El Cóndor</v>
      </c>
      <c r="C275" s="4" t="str">
        <f>+IF('Data Pura Costos'!C275="","",'Data Pura Costos'!C275)</f>
        <v>Chimbarongo, VI Region.</v>
      </c>
      <c r="D275" s="5">
        <f>+IF('Data Pura Costos'!D275="","",'Data Pura Costos'!D275)</f>
        <v>60</v>
      </c>
      <c r="E275" s="65">
        <f>+IF('Data Pura Costos'!E275="","",IF('Data Pura Costos'!E275=0,MAX('Data Pura Costos'!$E$7:$E$3000)*1000,'Data Pura Costos'!E275))</f>
        <v>280000</v>
      </c>
      <c r="F275" s="5" t="str">
        <f>+IF('Data Pura Costos'!F275="","",'Data Pura Costos'!F275)</f>
        <v>Malloa</v>
      </c>
      <c r="G275" s="5" t="str">
        <f>+IF('Data Pura Costos'!G275="","",'Data Pura Costos'!G275)</f>
        <v xml:space="preserve">Manuel Sepúlveda </v>
      </c>
      <c r="H275" s="52" t="str">
        <f>+IF('Data Pura Costos'!H275="","",'Data Pura Costos'!H275)</f>
        <v>Termo</v>
      </c>
      <c r="I275" s="71">
        <f>+IF('Data Pura Costos'!I275="","",'Data Pura Costos'!I275)</f>
        <v>4666.666666666667</v>
      </c>
      <c r="J275" s="52" t="str">
        <f>+IF('Data Pura Costos'!J275="","",'Data Pura Costos'!J275)</f>
        <v>24-25</v>
      </c>
      <c r="K275" s="82" t="str">
        <f t="shared" si="9"/>
        <v xml:space="preserve">El Cóndor-Malloa-Manuel Sepúlveda </v>
      </c>
      <c r="R275" s="6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</row>
    <row r="276" spans="2:39" s="7" customFormat="1" x14ac:dyDescent="0.35">
      <c r="B276" s="4" t="str">
        <f>+IF('Data Pura Costos'!B276="","",'Data Pura Costos'!B276)</f>
        <v>El Descanso</v>
      </c>
      <c r="C276" s="4" t="str">
        <f>+IF('Data Pura Costos'!C276="","",'Data Pura Costos'!C276)</f>
        <v>Sagrada Familia, VII región</v>
      </c>
      <c r="D276" s="5">
        <f>+IF('Data Pura Costos'!D276="","",'Data Pura Costos'!D276)</f>
        <v>100</v>
      </c>
      <c r="E276" s="65">
        <f>+IF('Data Pura Costos'!E276="","",IF('Data Pura Costos'!E276=0,MAX('Data Pura Costos'!$E$7:$E$3000)*1000,'Data Pura Costos'!E276))</f>
        <v>385000</v>
      </c>
      <c r="F276" s="5" t="str">
        <f>+IF('Data Pura Costos'!F276="","",'Data Pura Costos'!F276)</f>
        <v>Malloa</v>
      </c>
      <c r="G276" s="5" t="str">
        <f>+IF('Data Pura Costos'!G276="","",'Data Pura Costos'!G276)</f>
        <v xml:space="preserve">Manuel Sepúlveda </v>
      </c>
      <c r="H276" s="52" t="str">
        <f>+IF('Data Pura Costos'!H276="","",'Data Pura Costos'!H276)</f>
        <v>Termo</v>
      </c>
      <c r="I276" s="71">
        <f>+IF('Data Pura Costos'!I276="","",'Data Pura Costos'!I276)</f>
        <v>3850</v>
      </c>
      <c r="J276" s="52" t="str">
        <f>+IF('Data Pura Costos'!J276="","",'Data Pura Costos'!J276)</f>
        <v>24-25</v>
      </c>
      <c r="K276" s="82" t="str">
        <f t="shared" si="9"/>
        <v xml:space="preserve">El Descanso-Malloa-Manuel Sepúlveda </v>
      </c>
      <c r="R276" s="6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</row>
    <row r="277" spans="2:39" s="7" customFormat="1" x14ac:dyDescent="0.35">
      <c r="B277" s="4" t="str">
        <f>+IF('Data Pura Costos'!B277="","",'Data Pura Costos'!B277)</f>
        <v>El Espino</v>
      </c>
      <c r="C277" s="4" t="str">
        <f>+IF('Data Pura Costos'!C277="","",'Data Pura Costos'!C277)</f>
        <v>Colbún, VII región</v>
      </c>
      <c r="D277" s="5">
        <f>+IF('Data Pura Costos'!D277="","",'Data Pura Costos'!D277)</f>
        <v>190</v>
      </c>
      <c r="E277" s="65">
        <f>+IF('Data Pura Costos'!E277="","",IF('Data Pura Costos'!E277=0,MAX('Data Pura Costos'!$E$7:$E$3000)*1000,'Data Pura Costos'!E277))</f>
        <v>590000</v>
      </c>
      <c r="F277" s="5" t="str">
        <f>+IF('Data Pura Costos'!F277="","",'Data Pura Costos'!F277)</f>
        <v>Malloa</v>
      </c>
      <c r="G277" s="5" t="str">
        <f>+IF('Data Pura Costos'!G277="","",'Data Pura Costos'!G277)</f>
        <v xml:space="preserve">Manuel Sepúlveda </v>
      </c>
      <c r="H277" s="52" t="str">
        <f>+IF('Data Pura Costos'!H277="","",'Data Pura Costos'!H277)</f>
        <v>Termo</v>
      </c>
      <c r="I277" s="71">
        <f>+IF('Data Pura Costos'!I277="","",'Data Pura Costos'!I277)</f>
        <v>3105.2631578947367</v>
      </c>
      <c r="J277" s="52" t="str">
        <f>+IF('Data Pura Costos'!J277="","",'Data Pura Costos'!J277)</f>
        <v>24-25</v>
      </c>
      <c r="K277" s="82" t="str">
        <f t="shared" si="9"/>
        <v xml:space="preserve">El Espino-Malloa-Manuel Sepúlveda </v>
      </c>
      <c r="R277" s="6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</row>
    <row r="278" spans="2:39" s="7" customFormat="1" x14ac:dyDescent="0.35">
      <c r="B278" s="4" t="str">
        <f>+IF('Data Pura Costos'!B278="","",'Data Pura Costos'!B278)</f>
        <v>El Huaico</v>
      </c>
      <c r="C278" s="4" t="str">
        <f>+IF('Data Pura Costos'!C278="","",'Data Pura Costos'!C278)</f>
        <v>Palmila Ohiggins</v>
      </c>
      <c r="D278" s="5">
        <f>+IF('Data Pura Costos'!D278="","",'Data Pura Costos'!D278)</f>
        <v>75</v>
      </c>
      <c r="E278" s="65">
        <f>+IF('Data Pura Costos'!E278="","",IF('Data Pura Costos'!E278=0,MAX('Data Pura Costos'!$E$7:$E$3000)*1000,'Data Pura Costos'!E278))</f>
        <v>345000</v>
      </c>
      <c r="F278" s="5" t="str">
        <f>+IF('Data Pura Costos'!F278="","",'Data Pura Costos'!F278)</f>
        <v>Malloa</v>
      </c>
      <c r="G278" s="5" t="str">
        <f>+IF('Data Pura Costos'!G278="","",'Data Pura Costos'!G278)</f>
        <v xml:space="preserve">Manuel Sepúlveda </v>
      </c>
      <c r="H278" s="52" t="str">
        <f>+IF('Data Pura Costos'!H278="","",'Data Pura Costos'!H278)</f>
        <v>Termo</v>
      </c>
      <c r="I278" s="71">
        <f>+IF('Data Pura Costos'!I278="","",'Data Pura Costos'!I278)</f>
        <v>4600</v>
      </c>
      <c r="J278" s="52" t="str">
        <f>+IF('Data Pura Costos'!J278="","",'Data Pura Costos'!J278)</f>
        <v>24-25</v>
      </c>
      <c r="K278" s="82" t="str">
        <f t="shared" si="9"/>
        <v xml:space="preserve">El Huaico-Malloa-Manuel Sepúlveda </v>
      </c>
      <c r="R278" s="6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</row>
    <row r="279" spans="2:39" s="7" customFormat="1" x14ac:dyDescent="0.35">
      <c r="B279" s="4" t="str">
        <f>+IF('Data Pura Costos'!B279="","",'Data Pura Costos'!B279)</f>
        <v>El Parque</v>
      </c>
      <c r="C279" s="4" t="str">
        <f>+IF('Data Pura Costos'!C279="","",'Data Pura Costos'!C279)</f>
        <v>San Francisco de Mostazal.VI Region.</v>
      </c>
      <c r="D279" s="5">
        <f>+IF('Data Pura Costos'!D279="","",'Data Pura Costos'!D279)</f>
        <v>70</v>
      </c>
      <c r="E279" s="65">
        <f>+IF('Data Pura Costos'!E279="","",IF('Data Pura Costos'!E279=0,MAX('Data Pura Costos'!$E$7:$E$3000)*1000,'Data Pura Costos'!E279))</f>
        <v>345000</v>
      </c>
      <c r="F279" s="5" t="str">
        <f>+IF('Data Pura Costos'!F279="","",'Data Pura Costos'!F279)</f>
        <v>Malloa</v>
      </c>
      <c r="G279" s="5" t="str">
        <f>+IF('Data Pura Costos'!G279="","",'Data Pura Costos'!G279)</f>
        <v xml:space="preserve">Manuel Sepúlveda </v>
      </c>
      <c r="H279" s="52" t="str">
        <f>+IF('Data Pura Costos'!H279="","",'Data Pura Costos'!H279)</f>
        <v>Termo</v>
      </c>
      <c r="I279" s="71">
        <f>+IF('Data Pura Costos'!I279="","",'Data Pura Costos'!I279)</f>
        <v>4928.5714285714284</v>
      </c>
      <c r="J279" s="52" t="str">
        <f>+IF('Data Pura Costos'!J279="","",'Data Pura Costos'!J279)</f>
        <v>24-25</v>
      </c>
      <c r="K279" s="82" t="str">
        <f t="shared" si="9"/>
        <v xml:space="preserve">El Parque-Malloa-Manuel Sepúlveda </v>
      </c>
      <c r="R279" s="6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</row>
    <row r="280" spans="2:39" s="7" customFormat="1" x14ac:dyDescent="0.35">
      <c r="B280" s="4" t="str">
        <f>+IF('Data Pura Costos'!B280="","",'Data Pura Costos'!B280)</f>
        <v>El Picaso</v>
      </c>
      <c r="C280" s="4" t="str">
        <f>+IF('Data Pura Costos'!C280="","",'Data Pura Costos'!C280)</f>
        <v xml:space="preserve">San Clemente, VII región </v>
      </c>
      <c r="D280" s="5">
        <f>+IF('Data Pura Costos'!D280="","",'Data Pura Costos'!D280)</f>
        <v>160</v>
      </c>
      <c r="E280" s="65">
        <f>+IF('Data Pura Costos'!E280="","",IF('Data Pura Costos'!E280=0,MAX('Data Pura Costos'!$E$7:$E$3000)*1000,'Data Pura Costos'!E280))</f>
        <v>520000</v>
      </c>
      <c r="F280" s="5" t="str">
        <f>+IF('Data Pura Costos'!F280="","",'Data Pura Costos'!F280)</f>
        <v>Malloa</v>
      </c>
      <c r="G280" s="5" t="str">
        <f>+IF('Data Pura Costos'!G280="","",'Data Pura Costos'!G280)</f>
        <v xml:space="preserve">Manuel Sepúlveda </v>
      </c>
      <c r="H280" s="52" t="str">
        <f>+IF('Data Pura Costos'!H280="","",'Data Pura Costos'!H280)</f>
        <v>Termo</v>
      </c>
      <c r="I280" s="71">
        <f>+IF('Data Pura Costos'!I280="","",'Data Pura Costos'!I280)</f>
        <v>3250</v>
      </c>
      <c r="J280" s="52" t="str">
        <f>+IF('Data Pura Costos'!J280="","",'Data Pura Costos'!J280)</f>
        <v>24-25</v>
      </c>
      <c r="K280" s="82" t="str">
        <f t="shared" si="9"/>
        <v xml:space="preserve">El Picaso-Malloa-Manuel Sepúlveda </v>
      </c>
      <c r="R280" s="6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</row>
    <row r="281" spans="2:39" s="7" customFormat="1" x14ac:dyDescent="0.35">
      <c r="B281" s="4" t="str">
        <f>+IF('Data Pura Costos'!B281="","",'Data Pura Costos'!B281)</f>
        <v>El Recurso</v>
      </c>
      <c r="C281" s="4" t="str">
        <f>+IF('Data Pura Costos'!C281="","",'Data Pura Costos'!C281)</f>
        <v>San Francisco de Mostazal.VI Region.</v>
      </c>
      <c r="D281" s="5">
        <f>+IF('Data Pura Costos'!D281="","",'Data Pura Costos'!D281)</f>
        <v>70</v>
      </c>
      <c r="E281" s="65">
        <f>+IF('Data Pura Costos'!E281="","",IF('Data Pura Costos'!E281=0,MAX('Data Pura Costos'!$E$7:$E$3000)*1000,'Data Pura Costos'!E281))</f>
        <v>345000</v>
      </c>
      <c r="F281" s="5" t="str">
        <f>+IF('Data Pura Costos'!F281="","",'Data Pura Costos'!F281)</f>
        <v>Malloa</v>
      </c>
      <c r="G281" s="5" t="str">
        <f>+IF('Data Pura Costos'!G281="","",'Data Pura Costos'!G281)</f>
        <v xml:space="preserve">Manuel Sepúlveda </v>
      </c>
      <c r="H281" s="52" t="str">
        <f>+IF('Data Pura Costos'!H281="","",'Data Pura Costos'!H281)</f>
        <v>Termo</v>
      </c>
      <c r="I281" s="71">
        <f>+IF('Data Pura Costos'!I281="","",'Data Pura Costos'!I281)</f>
        <v>4928.5714285714284</v>
      </c>
      <c r="J281" s="52" t="str">
        <f>+IF('Data Pura Costos'!J281="","",'Data Pura Costos'!J281)</f>
        <v>24-25</v>
      </c>
      <c r="K281" s="82" t="str">
        <f t="shared" si="9"/>
        <v xml:space="preserve">El Recurso-Malloa-Manuel Sepúlveda </v>
      </c>
      <c r="R281" s="6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</row>
    <row r="282" spans="2:39" s="7" customFormat="1" x14ac:dyDescent="0.35">
      <c r="B282" s="4" t="str">
        <f>+IF('Data Pura Costos'!B282="","",'Data Pura Costos'!B282)</f>
        <v>El Rosario</v>
      </c>
      <c r="C282" s="4" t="str">
        <f>+IF('Data Pura Costos'!C282="","",'Data Pura Costos'!C282)</f>
        <v>Linares, VII region.</v>
      </c>
      <c r="D282" s="5">
        <f>+IF('Data Pura Costos'!D282="","",'Data Pura Costos'!D282)</f>
        <v>210</v>
      </c>
      <c r="E282" s="65">
        <f>+IF('Data Pura Costos'!E282="","",IF('Data Pura Costos'!E282=0,MAX('Data Pura Costos'!$E$7:$E$3000)*1000,'Data Pura Costos'!E282))</f>
        <v>650000</v>
      </c>
      <c r="F282" s="5" t="str">
        <f>+IF('Data Pura Costos'!F282="","",'Data Pura Costos'!F282)</f>
        <v>Malloa</v>
      </c>
      <c r="G282" s="5" t="str">
        <f>+IF('Data Pura Costos'!G282="","",'Data Pura Costos'!G282)</f>
        <v xml:space="preserve">Manuel Sepúlveda </v>
      </c>
      <c r="H282" s="52" t="str">
        <f>+IF('Data Pura Costos'!H282="","",'Data Pura Costos'!H282)</f>
        <v>Termo</v>
      </c>
      <c r="I282" s="71">
        <f>+IF('Data Pura Costos'!I282="","",'Data Pura Costos'!I282)</f>
        <v>3095.2380952380954</v>
      </c>
      <c r="J282" s="52" t="str">
        <f>+IF('Data Pura Costos'!J282="","",'Data Pura Costos'!J282)</f>
        <v>24-25</v>
      </c>
      <c r="K282" s="82" t="str">
        <f t="shared" si="9"/>
        <v xml:space="preserve">El Rosario-Malloa-Manuel Sepúlveda </v>
      </c>
      <c r="R282" s="6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</row>
    <row r="283" spans="2:39" s="7" customFormat="1" x14ac:dyDescent="0.35">
      <c r="B283" s="4" t="str">
        <f>+IF('Data Pura Costos'!B283="","",'Data Pura Costos'!B283)</f>
        <v>El Retiro</v>
      </c>
      <c r="C283" s="4" t="str">
        <f>+IF('Data Pura Costos'!C283="","",'Data Pura Costos'!C283)</f>
        <v>Rosario, VI Region.</v>
      </c>
      <c r="D283" s="5">
        <f>+IF('Data Pura Costos'!D283="","",'Data Pura Costos'!D283)</f>
        <v>25</v>
      </c>
      <c r="E283" s="65">
        <f>+IF('Data Pura Costos'!E283="","",IF('Data Pura Costos'!E283=0,MAX('Data Pura Costos'!$E$7:$E$3000)*1000,'Data Pura Costos'!E283))</f>
        <v>280000</v>
      </c>
      <c r="F283" s="5" t="str">
        <f>+IF('Data Pura Costos'!F283="","",'Data Pura Costos'!F283)</f>
        <v>Malloa</v>
      </c>
      <c r="G283" s="5" t="str">
        <f>+IF('Data Pura Costos'!G283="","",'Data Pura Costos'!G283)</f>
        <v xml:space="preserve">Manuel Sepúlveda </v>
      </c>
      <c r="H283" s="52" t="str">
        <f>+IF('Data Pura Costos'!H283="","",'Data Pura Costos'!H283)</f>
        <v>Termo</v>
      </c>
      <c r="I283" s="71">
        <f>+IF('Data Pura Costos'!I283="","",'Data Pura Costos'!I283)</f>
        <v>11200</v>
      </c>
      <c r="J283" s="52" t="str">
        <f>+IF('Data Pura Costos'!J283="","",'Data Pura Costos'!J283)</f>
        <v>24-25</v>
      </c>
      <c r="K283" s="82" t="str">
        <f t="shared" si="9"/>
        <v xml:space="preserve">El Retiro-Malloa-Manuel Sepúlveda </v>
      </c>
      <c r="R283" s="6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</row>
    <row r="284" spans="2:39" s="7" customFormat="1" x14ac:dyDescent="0.35">
      <c r="B284" s="4" t="str">
        <f>+IF('Data Pura Costos'!B284="","",'Data Pura Costos'!B284)</f>
        <v>La Esperanza</v>
      </c>
      <c r="C284" s="4" t="str">
        <f>+IF('Data Pura Costos'!C284="","",'Data Pura Costos'!C284)</f>
        <v>Peumo, VI región</v>
      </c>
      <c r="D284" s="5">
        <f>+IF('Data Pura Costos'!D284="","",'Data Pura Costos'!D284)</f>
        <v>35</v>
      </c>
      <c r="E284" s="65">
        <f>+IF('Data Pura Costos'!E284="","",IF('Data Pura Costos'!E284=0,MAX('Data Pura Costos'!$E$7:$E$3000)*1000,'Data Pura Costos'!E284))</f>
        <v>280000</v>
      </c>
      <c r="F284" s="5" t="str">
        <f>+IF('Data Pura Costos'!F284="","",'Data Pura Costos'!F284)</f>
        <v>Malloa</v>
      </c>
      <c r="G284" s="5" t="str">
        <f>+IF('Data Pura Costos'!G284="","",'Data Pura Costos'!G284)</f>
        <v xml:space="preserve">Manuel Sepúlveda </v>
      </c>
      <c r="H284" s="52" t="str">
        <f>+IF('Data Pura Costos'!H284="","",'Data Pura Costos'!H284)</f>
        <v>Termo</v>
      </c>
      <c r="I284" s="71">
        <f>+IF('Data Pura Costos'!I284="","",'Data Pura Costos'!I284)</f>
        <v>8000</v>
      </c>
      <c r="J284" s="52" t="str">
        <f>+IF('Data Pura Costos'!J284="","",'Data Pura Costos'!J284)</f>
        <v>24-25</v>
      </c>
      <c r="K284" s="82" t="str">
        <f t="shared" si="9"/>
        <v xml:space="preserve">La Esperanza-Malloa-Manuel Sepúlveda </v>
      </c>
      <c r="R284" s="6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</row>
    <row r="285" spans="2:39" s="7" customFormat="1" x14ac:dyDescent="0.35">
      <c r="B285" s="4" t="str">
        <f>+IF('Data Pura Costos'!B285="","",'Data Pura Costos'!B285)</f>
        <v>La Estación</v>
      </c>
      <c r="C285" s="4" t="str">
        <f>+IF('Data Pura Costos'!C285="","",'Data Pura Costos'!C285)</f>
        <v>Palmilla, VI región</v>
      </c>
      <c r="D285" s="5">
        <f>+IF('Data Pura Costos'!D285="","",'Data Pura Costos'!D285)</f>
        <v>75</v>
      </c>
      <c r="E285" s="65">
        <f>+IF('Data Pura Costos'!E285="","",IF('Data Pura Costos'!E285=0,MAX('Data Pura Costos'!$E$7:$E$3000)*1000,'Data Pura Costos'!E285))</f>
        <v>345000</v>
      </c>
      <c r="F285" s="5" t="str">
        <f>+IF('Data Pura Costos'!F285="","",'Data Pura Costos'!F285)</f>
        <v>Malloa</v>
      </c>
      <c r="G285" s="5" t="str">
        <f>+IF('Data Pura Costos'!G285="","",'Data Pura Costos'!G285)</f>
        <v xml:space="preserve">Manuel Sepúlveda </v>
      </c>
      <c r="H285" s="52" t="str">
        <f>+IF('Data Pura Costos'!H285="","",'Data Pura Costos'!H285)</f>
        <v>Termo</v>
      </c>
      <c r="I285" s="71">
        <f>+IF('Data Pura Costos'!I285="","",'Data Pura Costos'!I285)</f>
        <v>4600</v>
      </c>
      <c r="J285" s="52" t="str">
        <f>+IF('Data Pura Costos'!J285="","",'Data Pura Costos'!J285)</f>
        <v>24-25</v>
      </c>
      <c r="K285" s="82" t="str">
        <f t="shared" si="9"/>
        <v xml:space="preserve">La Estación-Malloa-Manuel Sepúlveda </v>
      </c>
      <c r="R285" s="6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</row>
    <row r="286" spans="2:39" s="7" customFormat="1" x14ac:dyDescent="0.35">
      <c r="B286" s="4" t="str">
        <f>+IF('Data Pura Costos'!B286="","",'Data Pura Costos'!B286)</f>
        <v>La Lajuela</v>
      </c>
      <c r="C286" s="4" t="str">
        <f>+IF('Data Pura Costos'!C286="","",'Data Pura Costos'!C286)</f>
        <v>Santa Cruz, VI Región</v>
      </c>
      <c r="D286" s="5">
        <f>+IF('Data Pura Costos'!D286="","",'Data Pura Costos'!D286)</f>
        <v>75</v>
      </c>
      <c r="E286" s="65">
        <f>+IF('Data Pura Costos'!E286="","",IF('Data Pura Costos'!E286=0,MAX('Data Pura Costos'!$E$7:$E$3000)*1000,'Data Pura Costos'!E286))</f>
        <v>345000</v>
      </c>
      <c r="F286" s="5" t="str">
        <f>+IF('Data Pura Costos'!F286="","",'Data Pura Costos'!F286)</f>
        <v>Malloa</v>
      </c>
      <c r="G286" s="5" t="str">
        <f>+IF('Data Pura Costos'!G286="","",'Data Pura Costos'!G286)</f>
        <v xml:space="preserve">Manuel Sepúlveda </v>
      </c>
      <c r="H286" s="52" t="str">
        <f>+IF('Data Pura Costos'!H286="","",'Data Pura Costos'!H286)</f>
        <v>Termo</v>
      </c>
      <c r="I286" s="71">
        <f>+IF('Data Pura Costos'!I286="","",'Data Pura Costos'!I286)</f>
        <v>4600</v>
      </c>
      <c r="J286" s="52" t="str">
        <f>+IF('Data Pura Costos'!J286="","",'Data Pura Costos'!J286)</f>
        <v>24-25</v>
      </c>
      <c r="K286" s="82" t="str">
        <f t="shared" si="9"/>
        <v xml:space="preserve">La Lajuela-Malloa-Manuel Sepúlveda </v>
      </c>
      <c r="R286" s="6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</row>
    <row r="287" spans="2:39" s="7" customFormat="1" x14ac:dyDescent="0.35">
      <c r="B287" s="4" t="str">
        <f>+IF('Data Pura Costos'!B287="","",'Data Pura Costos'!B287)</f>
        <v>La Morera</v>
      </c>
      <c r="C287" s="4" t="str">
        <f>+IF('Data Pura Costos'!C287="","",'Data Pura Costos'!C287)</f>
        <v>La compañia, VI Region.</v>
      </c>
      <c r="D287" s="5">
        <f>+IF('Data Pura Costos'!D287="","",'Data Pura Costos'!D287)</f>
        <v>55</v>
      </c>
      <c r="E287" s="65">
        <f>+IF('Data Pura Costos'!E287="","",IF('Data Pura Costos'!E287=0,MAX('Data Pura Costos'!$E$7:$E$3000)*1000,'Data Pura Costos'!E287))</f>
        <v>280000</v>
      </c>
      <c r="F287" s="5" t="str">
        <f>+IF('Data Pura Costos'!F287="","",'Data Pura Costos'!F287)</f>
        <v>Malloa</v>
      </c>
      <c r="G287" s="5" t="str">
        <f>+IF('Data Pura Costos'!G287="","",'Data Pura Costos'!G287)</f>
        <v xml:space="preserve">Manuel Sepúlveda </v>
      </c>
      <c r="H287" s="52" t="str">
        <f>+IF('Data Pura Costos'!H287="","",'Data Pura Costos'!H287)</f>
        <v>Termo</v>
      </c>
      <c r="I287" s="71">
        <f>+IF('Data Pura Costos'!I287="","",'Data Pura Costos'!I287)</f>
        <v>5090.909090909091</v>
      </c>
      <c r="J287" s="52" t="str">
        <f>+IF('Data Pura Costos'!J287="","",'Data Pura Costos'!J287)</f>
        <v>24-25</v>
      </c>
      <c r="K287" s="82" t="str">
        <f t="shared" si="9"/>
        <v xml:space="preserve">La Morera-Malloa-Manuel Sepúlveda </v>
      </c>
      <c r="R287" s="6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</row>
    <row r="288" spans="2:39" s="7" customFormat="1" x14ac:dyDescent="0.35">
      <c r="B288" s="4" t="str">
        <f>+IF('Data Pura Costos'!B288="","",'Data Pura Costos'!B288)</f>
        <v>La Rinconada</v>
      </c>
      <c r="C288" s="4" t="str">
        <f>+IF('Data Pura Costos'!C288="","",'Data Pura Costos'!C288)</f>
        <v>Pichidegua, VI región</v>
      </c>
      <c r="D288" s="5">
        <f>+IF('Data Pura Costos'!D288="","",'Data Pura Costos'!D288)</f>
        <v>45</v>
      </c>
      <c r="E288" s="65">
        <f>+IF('Data Pura Costos'!E288="","",IF('Data Pura Costos'!E288=0,MAX('Data Pura Costos'!$E$7:$E$3000)*1000,'Data Pura Costos'!E288))</f>
        <v>280000</v>
      </c>
      <c r="F288" s="5" t="str">
        <f>+IF('Data Pura Costos'!F288="","",'Data Pura Costos'!F288)</f>
        <v>Malloa</v>
      </c>
      <c r="G288" s="5" t="str">
        <f>+IF('Data Pura Costos'!G288="","",'Data Pura Costos'!G288)</f>
        <v xml:space="preserve">Manuel Sepúlveda </v>
      </c>
      <c r="H288" s="52" t="str">
        <f>+IF('Data Pura Costos'!H288="","",'Data Pura Costos'!H288)</f>
        <v>Termo</v>
      </c>
      <c r="I288" s="71">
        <f>+IF('Data Pura Costos'!I288="","",'Data Pura Costos'!I288)</f>
        <v>6222.2222222222226</v>
      </c>
      <c r="J288" s="52" t="str">
        <f>+IF('Data Pura Costos'!J288="","",'Data Pura Costos'!J288)</f>
        <v>24-25</v>
      </c>
      <c r="K288" s="82" t="str">
        <f t="shared" si="9"/>
        <v xml:space="preserve">La Rinconada-Malloa-Manuel Sepúlveda </v>
      </c>
      <c r="R288" s="6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</row>
    <row r="289" spans="2:39" s="7" customFormat="1" x14ac:dyDescent="0.35">
      <c r="B289" s="4" t="str">
        <f>+IF('Data Pura Costos'!B289="","",'Data Pura Costos'!B289)</f>
        <v xml:space="preserve">La Roblería </v>
      </c>
      <c r="C289" s="4" t="str">
        <f>+IF('Data Pura Costos'!C289="","",'Data Pura Costos'!C289)</f>
        <v>Aculeo, RM</v>
      </c>
      <c r="D289" s="5">
        <f>+IF('Data Pura Costos'!D289="","",'Data Pura Costos'!D289)</f>
        <v>105</v>
      </c>
      <c r="E289" s="65">
        <f>+IF('Data Pura Costos'!E289="","",IF('Data Pura Costos'!E289=0,MAX('Data Pura Costos'!$E$7:$E$3000)*1000,'Data Pura Costos'!E289))</f>
        <v>385000</v>
      </c>
      <c r="F289" s="5" t="str">
        <f>+IF('Data Pura Costos'!F289="","",'Data Pura Costos'!F289)</f>
        <v>Malloa</v>
      </c>
      <c r="G289" s="5" t="str">
        <f>+IF('Data Pura Costos'!G289="","",'Data Pura Costos'!G289)</f>
        <v xml:space="preserve">Manuel Sepúlveda </v>
      </c>
      <c r="H289" s="52" t="str">
        <f>+IF('Data Pura Costos'!H289="","",'Data Pura Costos'!H289)</f>
        <v>Termo</v>
      </c>
      <c r="I289" s="71">
        <f>+IF('Data Pura Costos'!I289="","",'Data Pura Costos'!I289)</f>
        <v>3666.6666666666665</v>
      </c>
      <c r="J289" s="52" t="str">
        <f>+IF('Data Pura Costos'!J289="","",'Data Pura Costos'!J289)</f>
        <v>24-25</v>
      </c>
      <c r="K289" s="82" t="str">
        <f t="shared" si="9"/>
        <v xml:space="preserve">La Roblería -Malloa-Manuel Sepúlveda </v>
      </c>
      <c r="R289" s="6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</row>
    <row r="290" spans="2:39" s="7" customFormat="1" x14ac:dyDescent="0.35">
      <c r="B290" s="4" t="str">
        <f>+IF('Data Pura Costos'!B290="","",'Data Pura Costos'!B290)</f>
        <v>Las Cabras</v>
      </c>
      <c r="C290" s="4" t="str">
        <f>+IF('Data Pura Costos'!C290="","",'Data Pura Costos'!C290)</f>
        <v>Las Cabras, VI región</v>
      </c>
      <c r="D290" s="5">
        <f>+IF('Data Pura Costos'!D290="","",'Data Pura Costos'!D290)</f>
        <v>45</v>
      </c>
      <c r="E290" s="65">
        <f>+IF('Data Pura Costos'!E290="","",IF('Data Pura Costos'!E290=0,MAX('Data Pura Costos'!$E$7:$E$3000)*1000,'Data Pura Costos'!E290))</f>
        <v>280000</v>
      </c>
      <c r="F290" s="5" t="str">
        <f>+IF('Data Pura Costos'!F290="","",'Data Pura Costos'!F290)</f>
        <v>Malloa</v>
      </c>
      <c r="G290" s="5" t="str">
        <f>+IF('Data Pura Costos'!G290="","",'Data Pura Costos'!G290)</f>
        <v xml:space="preserve">Manuel Sepúlveda </v>
      </c>
      <c r="H290" s="52" t="str">
        <f>+IF('Data Pura Costos'!H290="","",'Data Pura Costos'!H290)</f>
        <v>Termo</v>
      </c>
      <c r="I290" s="71">
        <f>+IF('Data Pura Costos'!I290="","",'Data Pura Costos'!I290)</f>
        <v>6222.2222222222226</v>
      </c>
      <c r="J290" s="52" t="str">
        <f>+IF('Data Pura Costos'!J290="","",'Data Pura Costos'!J290)</f>
        <v>24-25</v>
      </c>
      <c r="K290" s="82" t="str">
        <f t="shared" si="9"/>
        <v xml:space="preserve">Las Cabras-Malloa-Manuel Sepúlveda </v>
      </c>
      <c r="R290" s="6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</row>
    <row r="291" spans="2:39" s="7" customFormat="1" x14ac:dyDescent="0.35">
      <c r="B291" s="4" t="str">
        <f>+IF('Data Pura Costos'!B291="","",'Data Pura Costos'!B291)</f>
        <v>Las Vertientes</v>
      </c>
      <c r="C291" s="4" t="str">
        <f>+IF('Data Pura Costos'!C291="","",'Data Pura Costos'!C291)</f>
        <v>Pichidegua, VI región</v>
      </c>
      <c r="D291" s="5">
        <f>+IF('Data Pura Costos'!D291="","",'Data Pura Costos'!D291)</f>
        <v>40</v>
      </c>
      <c r="E291" s="65">
        <f>+IF('Data Pura Costos'!E291="","",IF('Data Pura Costos'!E291=0,MAX('Data Pura Costos'!$E$7:$E$3000)*1000,'Data Pura Costos'!E291))</f>
        <v>280000</v>
      </c>
      <c r="F291" s="5" t="str">
        <f>+IF('Data Pura Costos'!F291="","",'Data Pura Costos'!F291)</f>
        <v>Malloa</v>
      </c>
      <c r="G291" s="5" t="str">
        <f>+IF('Data Pura Costos'!G291="","",'Data Pura Costos'!G291)</f>
        <v xml:space="preserve">Manuel Sepúlveda </v>
      </c>
      <c r="H291" s="52" t="str">
        <f>+IF('Data Pura Costos'!H291="","",'Data Pura Costos'!H291)</f>
        <v>Termo</v>
      </c>
      <c r="I291" s="71">
        <f>+IF('Data Pura Costos'!I291="","",'Data Pura Costos'!I291)</f>
        <v>7000</v>
      </c>
      <c r="J291" s="52" t="str">
        <f>+IF('Data Pura Costos'!J291="","",'Data Pura Costos'!J291)</f>
        <v>24-25</v>
      </c>
      <c r="K291" s="82" t="str">
        <f t="shared" si="9"/>
        <v xml:space="preserve">Las Vertientes-Malloa-Manuel Sepúlveda </v>
      </c>
      <c r="R291" s="6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</row>
    <row r="292" spans="2:39" s="7" customFormat="1" x14ac:dyDescent="0.35">
      <c r="B292" s="4" t="str">
        <f>+IF('Data Pura Costos'!B292="","",'Data Pura Costos'!B292)</f>
        <v>Lihueimo</v>
      </c>
      <c r="C292" s="4" t="str">
        <f>+IF('Data Pura Costos'!C292="","",'Data Pura Costos'!C292)</f>
        <v>Peralillo ohiggins</v>
      </c>
      <c r="D292" s="5">
        <f>+IF('Data Pura Costos'!D292="","",'Data Pura Costos'!D292)</f>
        <v>80</v>
      </c>
      <c r="E292" s="65">
        <f>+IF('Data Pura Costos'!E292="","",IF('Data Pura Costos'!E292=0,MAX('Data Pura Costos'!$E$7:$E$3000)*1000,'Data Pura Costos'!E292))</f>
        <v>345000</v>
      </c>
      <c r="F292" s="5" t="str">
        <f>+IF('Data Pura Costos'!F292="","",'Data Pura Costos'!F292)</f>
        <v>Malloa</v>
      </c>
      <c r="G292" s="5" t="str">
        <f>+IF('Data Pura Costos'!G292="","",'Data Pura Costos'!G292)</f>
        <v xml:space="preserve">Manuel Sepúlveda </v>
      </c>
      <c r="H292" s="52" t="str">
        <f>+IF('Data Pura Costos'!H292="","",'Data Pura Costos'!H292)</f>
        <v>Termo</v>
      </c>
      <c r="I292" s="71">
        <f>+IF('Data Pura Costos'!I292="","",'Data Pura Costos'!I292)</f>
        <v>4312.5</v>
      </c>
      <c r="J292" s="52" t="str">
        <f>+IF('Data Pura Costos'!J292="","",'Data Pura Costos'!J292)</f>
        <v>24-25</v>
      </c>
      <c r="K292" s="82" t="str">
        <f t="shared" si="9"/>
        <v xml:space="preserve">Lihueimo-Malloa-Manuel Sepúlveda </v>
      </c>
      <c r="R292" s="6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</row>
    <row r="293" spans="2:39" s="7" customFormat="1" x14ac:dyDescent="0.35">
      <c r="B293" s="4" t="str">
        <f>+IF('Data Pura Costos'!B293="","",'Data Pura Costos'!B293)</f>
        <v>Los Encinos</v>
      </c>
      <c r="C293" s="4" t="str">
        <f>+IF('Data Pura Costos'!C293="","",'Data Pura Costos'!C293)</f>
        <v>Huechun, RM</v>
      </c>
      <c r="D293" s="5">
        <f>+IF('Data Pura Costos'!D293="","",'Data Pura Costos'!D293)</f>
        <v>145</v>
      </c>
      <c r="E293" s="65">
        <f>+IF('Data Pura Costos'!E293="","",IF('Data Pura Costos'!E293=0,MAX('Data Pura Costos'!$E$7:$E$3000)*1000,'Data Pura Costos'!E293))</f>
        <v>450000</v>
      </c>
      <c r="F293" s="5" t="str">
        <f>+IF('Data Pura Costos'!F293="","",'Data Pura Costos'!F293)</f>
        <v>Malloa</v>
      </c>
      <c r="G293" s="5" t="str">
        <f>+IF('Data Pura Costos'!G293="","",'Data Pura Costos'!G293)</f>
        <v xml:space="preserve">Manuel Sepúlveda </v>
      </c>
      <c r="H293" s="52" t="str">
        <f>+IF('Data Pura Costos'!H293="","",'Data Pura Costos'!H293)</f>
        <v>Termo</v>
      </c>
      <c r="I293" s="71">
        <f>+IF('Data Pura Costos'!I293="","",'Data Pura Costos'!I293)</f>
        <v>3103.4482758620688</v>
      </c>
      <c r="J293" s="52" t="str">
        <f>+IF('Data Pura Costos'!J293="","",'Data Pura Costos'!J293)</f>
        <v>24-25</v>
      </c>
      <c r="K293" s="82" t="str">
        <f t="shared" si="9"/>
        <v xml:space="preserve">Los Encinos-Malloa-Manuel Sepúlveda </v>
      </c>
      <c r="R293" s="6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</row>
    <row r="294" spans="2:39" s="7" customFormat="1" x14ac:dyDescent="0.35">
      <c r="B294" s="4" t="str">
        <f>+IF('Data Pura Costos'!B294="","",'Data Pura Costos'!B294)</f>
        <v>Los Maitenes</v>
      </c>
      <c r="C294" s="4" t="str">
        <f>+IF('Data Pura Costos'!C294="","",'Data Pura Costos'!C294)</f>
        <v>Las Cabras, VI región</v>
      </c>
      <c r="D294" s="5">
        <f>+IF('Data Pura Costos'!D294="","",'Data Pura Costos'!D294)</f>
        <v>60</v>
      </c>
      <c r="E294" s="65">
        <f>+IF('Data Pura Costos'!E294="","",IF('Data Pura Costos'!E294=0,MAX('Data Pura Costos'!$E$7:$E$3000)*1000,'Data Pura Costos'!E294))</f>
        <v>280000</v>
      </c>
      <c r="F294" s="5" t="str">
        <f>+IF('Data Pura Costos'!F294="","",'Data Pura Costos'!F294)</f>
        <v>Malloa</v>
      </c>
      <c r="G294" s="5" t="str">
        <f>+IF('Data Pura Costos'!G294="","",'Data Pura Costos'!G294)</f>
        <v xml:space="preserve">Manuel Sepúlveda </v>
      </c>
      <c r="H294" s="52" t="str">
        <f>+IF('Data Pura Costos'!H294="","",'Data Pura Costos'!H294)</f>
        <v>Termo</v>
      </c>
      <c r="I294" s="71">
        <f>+IF('Data Pura Costos'!I294="","",'Data Pura Costos'!I294)</f>
        <v>4666.666666666667</v>
      </c>
      <c r="J294" s="52" t="str">
        <f>+IF('Data Pura Costos'!J294="","",'Data Pura Costos'!J294)</f>
        <v>24-25</v>
      </c>
      <c r="K294" s="82" t="str">
        <f t="shared" si="9"/>
        <v xml:space="preserve">Los Maitenes-Malloa-Manuel Sepúlveda </v>
      </c>
      <c r="R294" s="6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</row>
    <row r="295" spans="2:39" s="7" customFormat="1" x14ac:dyDescent="0.35">
      <c r="B295" s="4" t="str">
        <f>+IF('Data Pura Costos'!B295="","",'Data Pura Costos'!B295)</f>
        <v>Los Toldos</v>
      </c>
      <c r="C295" s="4" t="str">
        <f>+IF('Data Pura Costos'!C295="","",'Data Pura Costos'!C295)</f>
        <v>Angol, IX región</v>
      </c>
      <c r="D295" s="5">
        <f>+IF('Data Pura Costos'!D295="","",'Data Pura Costos'!D295)</f>
        <v>50</v>
      </c>
      <c r="E295" s="65">
        <f>+IF('Data Pura Costos'!E295="","",IF('Data Pura Costos'!E295=0,MAX('Data Pura Costos'!$E$7:$E$3000)*1000,'Data Pura Costos'!E295))</f>
        <v>1450000</v>
      </c>
      <c r="F295" s="5" t="str">
        <f>+IF('Data Pura Costos'!F295="","",'Data Pura Costos'!F295)</f>
        <v>Malloa</v>
      </c>
      <c r="G295" s="5" t="str">
        <f>+IF('Data Pura Costos'!G295="","",'Data Pura Costos'!G295)</f>
        <v xml:space="preserve">Manuel Sepúlveda </v>
      </c>
      <c r="H295" s="52" t="str">
        <f>+IF('Data Pura Costos'!H295="","",'Data Pura Costos'!H295)</f>
        <v>Termo</v>
      </c>
      <c r="I295" s="71">
        <f>+IF('Data Pura Costos'!I295="","",'Data Pura Costos'!I295)</f>
        <v>29000</v>
      </c>
      <c r="J295" s="52" t="str">
        <f>+IF('Data Pura Costos'!J295="","",'Data Pura Costos'!J295)</f>
        <v>24-25</v>
      </c>
      <c r="K295" s="82" t="str">
        <f t="shared" si="9"/>
        <v xml:space="preserve">Los Toldos-Malloa-Manuel Sepúlveda </v>
      </c>
      <c r="R295" s="6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</row>
    <row r="296" spans="2:39" s="7" customFormat="1" x14ac:dyDescent="0.35">
      <c r="B296" s="4" t="str">
        <f>+IF('Data Pura Costos'!B296="","",'Data Pura Costos'!B296)</f>
        <v>Mallorca</v>
      </c>
      <c r="C296" s="4" t="str">
        <f>+IF('Data Pura Costos'!C296="","",'Data Pura Costos'!C296)</f>
        <v xml:space="preserve">Molina, VII región </v>
      </c>
      <c r="D296" s="5">
        <f>+IF('Data Pura Costos'!D296="","",'Data Pura Costos'!D296)</f>
        <v>95</v>
      </c>
      <c r="E296" s="65">
        <f>+IF('Data Pura Costos'!E296="","",IF('Data Pura Costos'!E296=0,MAX('Data Pura Costos'!$E$7:$E$3000)*1000,'Data Pura Costos'!E296))</f>
        <v>345000</v>
      </c>
      <c r="F296" s="5" t="str">
        <f>+IF('Data Pura Costos'!F296="","",'Data Pura Costos'!F296)</f>
        <v>Malloa</v>
      </c>
      <c r="G296" s="5" t="str">
        <f>+IF('Data Pura Costos'!G296="","",'Data Pura Costos'!G296)</f>
        <v xml:space="preserve">Manuel Sepúlveda </v>
      </c>
      <c r="H296" s="52" t="str">
        <f>+IF('Data Pura Costos'!H296="","",'Data Pura Costos'!H296)</f>
        <v>Termo</v>
      </c>
      <c r="I296" s="71">
        <f>+IF('Data Pura Costos'!I296="","",'Data Pura Costos'!I296)</f>
        <v>3631.5789473684213</v>
      </c>
      <c r="J296" s="52" t="str">
        <f>+IF('Data Pura Costos'!J296="","",'Data Pura Costos'!J296)</f>
        <v>24-25</v>
      </c>
      <c r="K296" s="82" t="str">
        <f t="shared" si="9"/>
        <v xml:space="preserve">Mallorca-Malloa-Manuel Sepúlveda </v>
      </c>
      <c r="R296" s="6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</row>
    <row r="297" spans="2:39" s="7" customFormat="1" x14ac:dyDescent="0.35">
      <c r="B297" s="4" t="str">
        <f>+IF('Data Pura Costos'!B297="","",'Data Pura Costos'!B297)</f>
        <v>Panquehue</v>
      </c>
      <c r="C297" s="4" t="str">
        <f>+IF('Data Pura Costos'!C297="","",'Data Pura Costos'!C297)</f>
        <v>Panquehue, V región</v>
      </c>
      <c r="D297" s="5">
        <f>+IF('Data Pura Costos'!D297="","",'Data Pura Costos'!D297)</f>
        <v>230</v>
      </c>
      <c r="E297" s="65">
        <f>+IF('Data Pura Costos'!E297="","",IF('Data Pura Costos'!E297=0,MAX('Data Pura Costos'!$E$7:$E$3000)*1000,'Data Pura Costos'!E297))</f>
        <v>620000</v>
      </c>
      <c r="F297" s="5" t="str">
        <f>+IF('Data Pura Costos'!F297="","",'Data Pura Costos'!F297)</f>
        <v>Malloa</v>
      </c>
      <c r="G297" s="5" t="str">
        <f>+IF('Data Pura Costos'!G297="","",'Data Pura Costos'!G297)</f>
        <v xml:space="preserve">Manuel Sepúlveda </v>
      </c>
      <c r="H297" s="52" t="str">
        <f>+IF('Data Pura Costos'!H297="","",'Data Pura Costos'!H297)</f>
        <v>Termo</v>
      </c>
      <c r="I297" s="71">
        <f>+IF('Data Pura Costos'!I297="","",'Data Pura Costos'!I297)</f>
        <v>2695.6521739130435</v>
      </c>
      <c r="J297" s="52" t="str">
        <f>+IF('Data Pura Costos'!J297="","",'Data Pura Costos'!J297)</f>
        <v>24-25</v>
      </c>
      <c r="K297" s="82" t="str">
        <f t="shared" si="9"/>
        <v xml:space="preserve">Panquehue-Malloa-Manuel Sepúlveda </v>
      </c>
      <c r="R297" s="6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</row>
    <row r="298" spans="2:39" s="7" customFormat="1" x14ac:dyDescent="0.35">
      <c r="B298" s="4" t="str">
        <f>+IF('Data Pura Costos'!B298="","",'Data Pura Costos'!B298)</f>
        <v>Entre Rios/Puente Negro/Rio Claro</v>
      </c>
      <c r="C298" s="4" t="str">
        <f>+IF('Data Pura Costos'!C298="","",'Data Pura Costos'!C298)</f>
        <v>Puente negro, san fernando.VI Region.</v>
      </c>
      <c r="D298" s="5">
        <f>+IF('Data Pura Costos'!D298="","",'Data Pura Costos'!D298)</f>
        <v>50</v>
      </c>
      <c r="E298" s="65">
        <f>+IF('Data Pura Costos'!E298="","",IF('Data Pura Costos'!E298=0,MAX('Data Pura Costos'!$E$7:$E$3000)*1000,'Data Pura Costos'!E298))</f>
        <v>280000</v>
      </c>
      <c r="F298" s="5" t="str">
        <f>+IF('Data Pura Costos'!F298="","",'Data Pura Costos'!F298)</f>
        <v>Malloa</v>
      </c>
      <c r="G298" s="5" t="str">
        <f>+IF('Data Pura Costos'!G298="","",'Data Pura Costos'!G298)</f>
        <v xml:space="preserve">Manuel Sepúlveda </v>
      </c>
      <c r="H298" s="52" t="str">
        <f>+IF('Data Pura Costos'!H298="","",'Data Pura Costos'!H298)</f>
        <v>Termo</v>
      </c>
      <c r="I298" s="71">
        <f>+IF('Data Pura Costos'!I298="","",'Data Pura Costos'!I298)</f>
        <v>5600</v>
      </c>
      <c r="J298" s="52" t="str">
        <f>+IF('Data Pura Costos'!J298="","",'Data Pura Costos'!J298)</f>
        <v>24-25</v>
      </c>
      <c r="K298" s="82" t="str">
        <f t="shared" si="9"/>
        <v xml:space="preserve">Entre Rios/Puente Negro/Rio Claro-Malloa-Manuel Sepúlveda </v>
      </c>
      <c r="R298" s="6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</row>
    <row r="299" spans="2:39" s="7" customFormat="1" x14ac:dyDescent="0.35">
      <c r="B299" s="4" t="str">
        <f>+IF('Data Pura Costos'!B299="","",'Data Pura Costos'!B299)</f>
        <v>Retorno</v>
      </c>
      <c r="C299" s="4" t="str">
        <f>+IF('Data Pura Costos'!C299="","",'Data Pura Costos'!C299)</f>
        <v>Santa maria, V región</v>
      </c>
      <c r="D299" s="5">
        <f>+IF('Data Pura Costos'!D299="","",'Data Pura Costos'!D299)</f>
        <v>225</v>
      </c>
      <c r="E299" s="65">
        <f>+IF('Data Pura Costos'!E299="","",IF('Data Pura Costos'!E299=0,MAX('Data Pura Costos'!$E$7:$E$3000)*1000,'Data Pura Costos'!E299))</f>
        <v>620000</v>
      </c>
      <c r="F299" s="5" t="str">
        <f>+IF('Data Pura Costos'!F299="","",'Data Pura Costos'!F299)</f>
        <v>Malloa</v>
      </c>
      <c r="G299" s="5" t="str">
        <f>+IF('Data Pura Costos'!G299="","",'Data Pura Costos'!G299)</f>
        <v xml:space="preserve">Manuel Sepúlveda </v>
      </c>
      <c r="H299" s="52" t="str">
        <f>+IF('Data Pura Costos'!H299="","",'Data Pura Costos'!H299)</f>
        <v>Termo</v>
      </c>
      <c r="I299" s="71">
        <f>+IF('Data Pura Costos'!I299="","",'Data Pura Costos'!I299)</f>
        <v>2755.5555555555557</v>
      </c>
      <c r="J299" s="52" t="str">
        <f>+IF('Data Pura Costos'!J299="","",'Data Pura Costos'!J299)</f>
        <v>24-25</v>
      </c>
      <c r="K299" s="82" t="str">
        <f t="shared" si="9"/>
        <v xml:space="preserve">Retorno-Malloa-Manuel Sepúlveda </v>
      </c>
      <c r="R299" s="6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</row>
    <row r="300" spans="2:39" s="7" customFormat="1" x14ac:dyDescent="0.35">
      <c r="B300" s="4" t="str">
        <f>+IF('Data Pura Costos'!B300="","",'Data Pura Costos'!B300)</f>
        <v>San Hernán</v>
      </c>
      <c r="C300" s="4" t="str">
        <f>+IF('Data Pura Costos'!C300="","",'Data Pura Costos'!C300)</f>
        <v>Graneros, VI región</v>
      </c>
      <c r="D300" s="5">
        <f>+IF('Data Pura Costos'!D300="","",'Data Pura Costos'!D300)</f>
        <v>60</v>
      </c>
      <c r="E300" s="65">
        <f>+IF('Data Pura Costos'!E300="","",IF('Data Pura Costos'!E300=0,MAX('Data Pura Costos'!$E$7:$E$3000)*1000,'Data Pura Costos'!E300))</f>
        <v>280000</v>
      </c>
      <c r="F300" s="5" t="str">
        <f>+IF('Data Pura Costos'!F300="","",'Data Pura Costos'!F300)</f>
        <v>Malloa</v>
      </c>
      <c r="G300" s="5" t="str">
        <f>+IF('Data Pura Costos'!G300="","",'Data Pura Costos'!G300)</f>
        <v xml:space="preserve">Manuel Sepúlveda </v>
      </c>
      <c r="H300" s="52" t="str">
        <f>+IF('Data Pura Costos'!H300="","",'Data Pura Costos'!H300)</f>
        <v>Termo</v>
      </c>
      <c r="I300" s="71">
        <f>+IF('Data Pura Costos'!I300="","",'Data Pura Costos'!I300)</f>
        <v>4666.666666666667</v>
      </c>
      <c r="J300" s="52" t="str">
        <f>+IF('Data Pura Costos'!J300="","",'Data Pura Costos'!J300)</f>
        <v>24-25</v>
      </c>
      <c r="K300" s="82" t="str">
        <f t="shared" si="9"/>
        <v xml:space="preserve">San Hernán-Malloa-Manuel Sepúlveda </v>
      </c>
      <c r="R300" s="6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</row>
    <row r="301" spans="2:39" s="7" customFormat="1" x14ac:dyDescent="0.35">
      <c r="B301" s="4" t="str">
        <f>+IF('Data Pura Costos'!B301="","",'Data Pura Costos'!B301)</f>
        <v>Santa Mónica</v>
      </c>
      <c r="C301" s="4" t="str">
        <f>+IF('Data Pura Costos'!C301="","",'Data Pura Costos'!C301)</f>
        <v xml:space="preserve">Rancagua, sector Chancón, VI región </v>
      </c>
      <c r="D301" s="5">
        <f>+IF('Data Pura Costos'!D301="","",'Data Pura Costos'!D301)</f>
        <v>55</v>
      </c>
      <c r="E301" s="65">
        <f>+IF('Data Pura Costos'!E301="","",IF('Data Pura Costos'!E301=0,MAX('Data Pura Costos'!$E$7:$E$3000)*1000,'Data Pura Costos'!E301))</f>
        <v>280000</v>
      </c>
      <c r="F301" s="5" t="str">
        <f>+IF('Data Pura Costos'!F301="","",'Data Pura Costos'!F301)</f>
        <v>Malloa</v>
      </c>
      <c r="G301" s="5" t="str">
        <f>+IF('Data Pura Costos'!G301="","",'Data Pura Costos'!G301)</f>
        <v xml:space="preserve">Manuel Sepúlveda </v>
      </c>
      <c r="H301" s="52" t="str">
        <f>+IF('Data Pura Costos'!H301="","",'Data Pura Costos'!H301)</f>
        <v>Termo</v>
      </c>
      <c r="I301" s="71">
        <f>+IF('Data Pura Costos'!I301="","",'Data Pura Costos'!I301)</f>
        <v>5090.909090909091</v>
      </c>
      <c r="J301" s="52" t="str">
        <f>+IF('Data Pura Costos'!J301="","",'Data Pura Costos'!J301)</f>
        <v>24-25</v>
      </c>
      <c r="K301" s="82" t="str">
        <f t="shared" si="9"/>
        <v xml:space="preserve">Santa Mónica-Malloa-Manuel Sepúlveda </v>
      </c>
      <c r="R301" s="6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</row>
    <row r="302" spans="2:39" s="7" customFormat="1" x14ac:dyDescent="0.35">
      <c r="B302" s="4" t="str">
        <f>+IF('Data Pura Costos'!B302="","",'Data Pura Costos'!B302)</f>
        <v>Talhuén</v>
      </c>
      <c r="C302" s="4" t="str">
        <f>+IF('Data Pura Costos'!C302="","",'Data Pura Costos'!C302)</f>
        <v>Palmilla, VI región</v>
      </c>
      <c r="D302" s="5">
        <f>+IF('Data Pura Costos'!D302="","",'Data Pura Costos'!D302)</f>
        <v>60</v>
      </c>
      <c r="E302" s="65">
        <f>+IF('Data Pura Costos'!E302="","",IF('Data Pura Costos'!E302=0,MAX('Data Pura Costos'!$E$7:$E$3000)*1000,'Data Pura Costos'!E302))</f>
        <v>280000</v>
      </c>
      <c r="F302" s="5" t="str">
        <f>+IF('Data Pura Costos'!F302="","",'Data Pura Costos'!F302)</f>
        <v>Malloa</v>
      </c>
      <c r="G302" s="5" t="str">
        <f>+IF('Data Pura Costos'!G302="","",'Data Pura Costos'!G302)</f>
        <v xml:space="preserve">Manuel Sepúlveda </v>
      </c>
      <c r="H302" s="52" t="str">
        <f>+IF('Data Pura Costos'!H302="","",'Data Pura Costos'!H302)</f>
        <v>Termo</v>
      </c>
      <c r="I302" s="71">
        <f>+IF('Data Pura Costos'!I302="","",'Data Pura Costos'!I302)</f>
        <v>4666.666666666667</v>
      </c>
      <c r="J302" s="52" t="str">
        <f>+IF('Data Pura Costos'!J302="","",'Data Pura Costos'!J302)</f>
        <v>24-25</v>
      </c>
      <c r="K302" s="82" t="str">
        <f t="shared" si="9"/>
        <v xml:space="preserve">Talhuén-Malloa-Manuel Sepúlveda </v>
      </c>
      <c r="R302" s="6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</row>
    <row r="303" spans="2:39" s="7" customFormat="1" x14ac:dyDescent="0.35">
      <c r="B303" s="4" t="str">
        <f>+IF('Data Pura Costos'!B303="","",'Data Pura Costos'!B303)</f>
        <v>Villaseca</v>
      </c>
      <c r="C303" s="4" t="str">
        <f>+IF('Data Pura Costos'!C303="","",'Data Pura Costos'!C303)</f>
        <v>Retiro, VII reginón</v>
      </c>
      <c r="D303" s="5">
        <f>+IF('Data Pura Costos'!D303="","",'Data Pura Costos'!D303)</f>
        <v>250</v>
      </c>
      <c r="E303" s="65">
        <f>+IF('Data Pura Costos'!E303="","",IF('Data Pura Costos'!E303=0,MAX('Data Pura Costos'!$E$7:$E$3000)*1000,'Data Pura Costos'!E303))</f>
        <v>740000</v>
      </c>
      <c r="F303" s="5" t="str">
        <f>+IF('Data Pura Costos'!F303="","",'Data Pura Costos'!F303)</f>
        <v>Malloa</v>
      </c>
      <c r="G303" s="5" t="str">
        <f>+IF('Data Pura Costos'!G303="","",'Data Pura Costos'!G303)</f>
        <v xml:space="preserve">Manuel Sepúlveda </v>
      </c>
      <c r="H303" s="52" t="str">
        <f>+IF('Data Pura Costos'!H303="","",'Data Pura Costos'!H303)</f>
        <v>Termo</v>
      </c>
      <c r="I303" s="71">
        <f>+IF('Data Pura Costos'!I303="","",'Data Pura Costos'!I303)</f>
        <v>2960</v>
      </c>
      <c r="J303" s="52" t="str">
        <f>+IF('Data Pura Costos'!J303="","",'Data Pura Costos'!J303)</f>
        <v>24-25</v>
      </c>
      <c r="K303" s="82" t="str">
        <f t="shared" si="9"/>
        <v xml:space="preserve">Villaseca-Malloa-Manuel Sepúlveda </v>
      </c>
      <c r="R303" s="6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</row>
    <row r="304" spans="2:39" s="7" customFormat="1" x14ac:dyDescent="0.35">
      <c r="B304" s="4" t="str">
        <f>+IF('Data Pura Costos'!B304="","",'Data Pura Costos'!B304)</f>
        <v>Almahue</v>
      </c>
      <c r="C304" s="4" t="str">
        <f>+IF('Data Pura Costos'!C304="","",'Data Pura Costos'!C304)</f>
        <v>Pichidegua, VI región</v>
      </c>
      <c r="D304" s="5">
        <f>+IF('Data Pura Costos'!D304="","",'Data Pura Costos'!D304)</f>
        <v>108</v>
      </c>
      <c r="E304" s="65">
        <f>+IF('Data Pura Costos'!E304="","",IF('Data Pura Costos'!E304=0,MAX('Data Pura Costos'!$E$7:$E$3000)*1000,'Data Pura Costos'!E304))</f>
        <v>340000</v>
      </c>
      <c r="F304" s="5" t="str">
        <f>+IF('Data Pura Costos'!F304="","",'Data Pura Costos'!F304)</f>
        <v>Mostazal</v>
      </c>
      <c r="G304" s="5" t="str">
        <f>+IF('Data Pura Costos'!G304="","",'Data Pura Costos'!G304)</f>
        <v>TRANS. MAX SOTO G. E.I.R.L.</v>
      </c>
      <c r="H304" s="52" t="str">
        <f>+IF('Data Pura Costos'!H304="","",'Data Pura Costos'!H304)</f>
        <v>Termo</v>
      </c>
      <c r="I304" s="71">
        <f>+IF('Data Pura Costos'!I304="","",'Data Pura Costos'!I304)</f>
        <v>3148.1481481481483</v>
      </c>
      <c r="J304" s="52" t="str">
        <f>+IF('Data Pura Costos'!J304="","",'Data Pura Costos'!J304)</f>
        <v>24-25</v>
      </c>
      <c r="K304" s="82" t="str">
        <f t="shared" si="9"/>
        <v>Almahue-Mostazal-TRANS. MAX SOTO G. E.I.R.L.</v>
      </c>
      <c r="R304" s="6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</row>
    <row r="305" spans="2:39" s="7" customFormat="1" x14ac:dyDescent="0.35">
      <c r="B305" s="4" t="str">
        <f>+IF('Data Pura Costos'!B305="","",'Data Pura Costos'!B305)</f>
        <v>Bodega</v>
      </c>
      <c r="C305" s="4" t="str">
        <f>+IF('Data Pura Costos'!C305="","",'Data Pura Costos'!C305)</f>
        <v>Linares, VII region.</v>
      </c>
      <c r="D305" s="5">
        <f>+IF('Data Pura Costos'!D305="","",'Data Pura Costos'!D305)</f>
        <v>264</v>
      </c>
      <c r="E305" s="65">
        <f>+IF('Data Pura Costos'!E305="","",IF('Data Pura Costos'!E305=0,MAX('Data Pura Costos'!$E$7:$E$3000)*1000,'Data Pura Costos'!E305))</f>
        <v>600000</v>
      </c>
      <c r="F305" s="5" t="str">
        <f>+IF('Data Pura Costos'!F305="","",'Data Pura Costos'!F305)</f>
        <v>Mostazal</v>
      </c>
      <c r="G305" s="5" t="str">
        <f>+IF('Data Pura Costos'!G305="","",'Data Pura Costos'!G305)</f>
        <v>TRANS. MAX SOTO G. E.I.R.L.</v>
      </c>
      <c r="H305" s="52" t="str">
        <f>+IF('Data Pura Costos'!H305="","",'Data Pura Costos'!H305)</f>
        <v>Termo</v>
      </c>
      <c r="I305" s="71">
        <f>+IF('Data Pura Costos'!I305="","",'Data Pura Costos'!I305)</f>
        <v>2272.7272727272725</v>
      </c>
      <c r="J305" s="52" t="str">
        <f>+IF('Data Pura Costos'!J305="","",'Data Pura Costos'!J305)</f>
        <v>24-25</v>
      </c>
      <c r="K305" s="82" t="str">
        <f t="shared" si="9"/>
        <v>Bodega-Mostazal-TRANS. MAX SOTO G. E.I.R.L.</v>
      </c>
      <c r="R305" s="6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</row>
    <row r="306" spans="2:39" s="7" customFormat="1" x14ac:dyDescent="0.35">
      <c r="B306" s="4" t="str">
        <f>+IF('Data Pura Costos'!B306="","",'Data Pura Costos'!B306)</f>
        <v xml:space="preserve">Caliboro </v>
      </c>
      <c r="C306" s="4" t="str">
        <f>+IF('Data Pura Costos'!C306="","",'Data Pura Costos'!C306)</f>
        <v>San Javier, VII región</v>
      </c>
      <c r="D306" s="5">
        <f>+IF('Data Pura Costos'!D306="","",'Data Pura Costos'!D306)</f>
        <v>258</v>
      </c>
      <c r="E306" s="65">
        <f>+IF('Data Pura Costos'!E306="","",IF('Data Pura Costos'!E306=0,MAX('Data Pura Costos'!$E$7:$E$3000)*1000,'Data Pura Costos'!E306))</f>
        <v>600000</v>
      </c>
      <c r="F306" s="5" t="str">
        <f>+IF('Data Pura Costos'!F306="","",'Data Pura Costos'!F306)</f>
        <v>Mostazal</v>
      </c>
      <c r="G306" s="5" t="str">
        <f>+IF('Data Pura Costos'!G306="","",'Data Pura Costos'!G306)</f>
        <v>TRANS. MAX SOTO G. E.I.R.L.</v>
      </c>
      <c r="H306" s="52" t="str">
        <f>+IF('Data Pura Costos'!H306="","",'Data Pura Costos'!H306)</f>
        <v>Termo</v>
      </c>
      <c r="I306" s="71">
        <f>+IF('Data Pura Costos'!I306="","",'Data Pura Costos'!I306)</f>
        <v>2325.5813953488373</v>
      </c>
      <c r="J306" s="52" t="str">
        <f>+IF('Data Pura Costos'!J306="","",'Data Pura Costos'!J306)</f>
        <v>24-25</v>
      </c>
      <c r="K306" s="82" t="str">
        <f t="shared" si="9"/>
        <v>Caliboro -Mostazal-TRANS. MAX SOTO G. E.I.R.L.</v>
      </c>
      <c r="R306" s="6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</row>
    <row r="307" spans="2:39" s="7" customFormat="1" x14ac:dyDescent="0.35">
      <c r="B307" s="4" t="str">
        <f>+IF('Data Pura Costos'!B307="","",'Data Pura Costos'!B307)</f>
        <v>Calleuque</v>
      </c>
      <c r="C307" s="4" t="str">
        <f>+IF('Data Pura Costos'!C307="","",'Data Pura Costos'!C307)</f>
        <v>Peralillo ohiggins, VI región</v>
      </c>
      <c r="D307" s="5">
        <f>+IF('Data Pura Costos'!D307="","",'Data Pura Costos'!D307)</f>
        <v>143</v>
      </c>
      <c r="E307" s="65">
        <f>+IF('Data Pura Costos'!E307="","",IF('Data Pura Costos'!E307=0,MAX('Data Pura Costos'!$E$7:$E$3000)*1000,'Data Pura Costos'!E307))</f>
        <v>380000</v>
      </c>
      <c r="F307" s="5" t="str">
        <f>+IF('Data Pura Costos'!F307="","",'Data Pura Costos'!F307)</f>
        <v>Mostazal</v>
      </c>
      <c r="G307" s="5" t="str">
        <f>+IF('Data Pura Costos'!G307="","",'Data Pura Costos'!G307)</f>
        <v>TRANS. MAX SOTO G. E.I.R.L.</v>
      </c>
      <c r="H307" s="52" t="str">
        <f>+IF('Data Pura Costos'!H307="","",'Data Pura Costos'!H307)</f>
        <v>Termo</v>
      </c>
      <c r="I307" s="71">
        <f>+IF('Data Pura Costos'!I307="","",'Data Pura Costos'!I307)</f>
        <v>2657.3426573426573</v>
      </c>
      <c r="J307" s="52" t="str">
        <f>+IF('Data Pura Costos'!J307="","",'Data Pura Costos'!J307)</f>
        <v>24-25</v>
      </c>
      <c r="K307" s="82" t="str">
        <f t="shared" si="9"/>
        <v>Calleuque-Mostazal-TRANS. MAX SOTO G. E.I.R.L.</v>
      </c>
      <c r="R307" s="6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</row>
    <row r="308" spans="2:39" s="7" customFormat="1" x14ac:dyDescent="0.35">
      <c r="B308" s="4" t="str">
        <f>+IF('Data Pura Costos'!B308="","",'Data Pura Costos'!B308)</f>
        <v>Chumpirro</v>
      </c>
      <c r="C308" s="4" t="str">
        <f>+IF('Data Pura Costos'!C308="","",'Data Pura Costos'!C308)</f>
        <v>Angol, IX región</v>
      </c>
      <c r="D308" s="5">
        <f>+IF('Data Pura Costos'!D308="","",'Data Pura Costos'!D308)</f>
        <v>499</v>
      </c>
      <c r="E308" s="65">
        <f>+IF('Data Pura Costos'!E308="","",IF('Data Pura Costos'!E308=0,MAX('Data Pura Costos'!$E$7:$E$3000)*1000,'Data Pura Costos'!E308))</f>
        <v>1050000</v>
      </c>
      <c r="F308" s="5" t="str">
        <f>+IF('Data Pura Costos'!F308="","",'Data Pura Costos'!F308)</f>
        <v>Mostazal</v>
      </c>
      <c r="G308" s="5" t="str">
        <f>+IF('Data Pura Costos'!G308="","",'Data Pura Costos'!G308)</f>
        <v>TRANS. MAX SOTO G. E.I.R.L.</v>
      </c>
      <c r="H308" s="52" t="str">
        <f>+IF('Data Pura Costos'!H308="","",'Data Pura Costos'!H308)</f>
        <v>Termo</v>
      </c>
      <c r="I308" s="71">
        <f>+IF('Data Pura Costos'!I308="","",'Data Pura Costos'!I308)</f>
        <v>2104.2084168336673</v>
      </c>
      <c r="J308" s="52" t="str">
        <f>+IF('Data Pura Costos'!J308="","",'Data Pura Costos'!J308)</f>
        <v>24-25</v>
      </c>
      <c r="K308" s="82" t="str">
        <f t="shared" si="9"/>
        <v>Chumpirro-Mostazal-TRANS. MAX SOTO G. E.I.R.L.</v>
      </c>
      <c r="R308" s="6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</row>
    <row r="309" spans="2:39" s="7" customFormat="1" x14ac:dyDescent="0.35">
      <c r="B309" s="4" t="str">
        <f>+IF('Data Pura Costos'!B309="","",'Data Pura Costos'!B309)</f>
        <v xml:space="preserve"> Cocalán</v>
      </c>
      <c r="C309" s="4" t="str">
        <f>+IF('Data Pura Costos'!C309="","",'Data Pura Costos'!C309)</f>
        <v>Cocalán, VI región</v>
      </c>
      <c r="D309" s="5">
        <f>+IF('Data Pura Costos'!D309="","",'Data Pura Costos'!D309)</f>
        <v>113</v>
      </c>
      <c r="E309" s="65">
        <f>+IF('Data Pura Costos'!E309="","",IF('Data Pura Costos'!E309=0,MAX('Data Pura Costos'!$E$7:$E$3000)*1000,'Data Pura Costos'!E309))</f>
        <v>350000</v>
      </c>
      <c r="F309" s="5" t="str">
        <f>+IF('Data Pura Costos'!F309="","",'Data Pura Costos'!F309)</f>
        <v>Mostazal</v>
      </c>
      <c r="G309" s="5" t="str">
        <f>+IF('Data Pura Costos'!G309="","",'Data Pura Costos'!G309)</f>
        <v>TRANS. MAX SOTO G. E.I.R.L.</v>
      </c>
      <c r="H309" s="52" t="str">
        <f>+IF('Data Pura Costos'!H309="","",'Data Pura Costos'!H309)</f>
        <v>Termo</v>
      </c>
      <c r="I309" s="71">
        <f>+IF('Data Pura Costos'!I309="","",'Data Pura Costos'!I309)</f>
        <v>3097.3451327433627</v>
      </c>
      <c r="J309" s="52" t="str">
        <f>+IF('Data Pura Costos'!J309="","",'Data Pura Costos'!J309)</f>
        <v>24-25</v>
      </c>
      <c r="K309" s="82" t="str">
        <f t="shared" si="9"/>
        <v xml:space="preserve"> Cocalán-Mostazal-TRANS. MAX SOTO G. E.I.R.L.</v>
      </c>
      <c r="R309" s="6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</row>
    <row r="310" spans="2:39" s="7" customFormat="1" x14ac:dyDescent="0.35">
      <c r="B310" s="4" t="str">
        <f>+IF('Data Pura Costos'!B310="","",'Data Pura Costos'!B310)</f>
        <v>El Cóndor</v>
      </c>
      <c r="C310" s="4" t="str">
        <f>+IF('Data Pura Costos'!C310="","",'Data Pura Costos'!C310)</f>
        <v>Chimbarongo, VI Region.</v>
      </c>
      <c r="D310" s="5">
        <f>+IF('Data Pura Costos'!D310="","",'Data Pura Costos'!D310)</f>
        <v>150</v>
      </c>
      <c r="E310" s="65">
        <f>+IF('Data Pura Costos'!E310="","",IF('Data Pura Costos'!E310=0,MAX('Data Pura Costos'!$E$7:$E$3000)*1000,'Data Pura Costos'!E310))</f>
        <v>380000</v>
      </c>
      <c r="F310" s="5" t="str">
        <f>+IF('Data Pura Costos'!F310="","",'Data Pura Costos'!F310)</f>
        <v>Mostazal</v>
      </c>
      <c r="G310" s="5" t="str">
        <f>+IF('Data Pura Costos'!G310="","",'Data Pura Costos'!G310)</f>
        <v>TRANS. MAX SOTO G. E.I.R.L.</v>
      </c>
      <c r="H310" s="52" t="str">
        <f>+IF('Data Pura Costos'!H310="","",'Data Pura Costos'!H310)</f>
        <v>Termo</v>
      </c>
      <c r="I310" s="71">
        <f>+IF('Data Pura Costos'!I310="","",'Data Pura Costos'!I310)</f>
        <v>2533.3333333333335</v>
      </c>
      <c r="J310" s="52" t="str">
        <f>+IF('Data Pura Costos'!J310="","",'Data Pura Costos'!J310)</f>
        <v>24-25</v>
      </c>
      <c r="K310" s="82" t="str">
        <f t="shared" si="9"/>
        <v>El Cóndor-Mostazal-TRANS. MAX SOTO G. E.I.R.L.</v>
      </c>
      <c r="R310" s="6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</row>
    <row r="311" spans="2:39" s="7" customFormat="1" x14ac:dyDescent="0.35">
      <c r="B311" s="4" t="str">
        <f>+IF('Data Pura Costos'!B311="","",'Data Pura Costos'!B311)</f>
        <v>El Descanso</v>
      </c>
      <c r="C311" s="4" t="str">
        <f>+IF('Data Pura Costos'!C311="","",'Data Pura Costos'!C311)</f>
        <v>Sagrada Familia, VII región</v>
      </c>
      <c r="D311" s="5">
        <f>+IF('Data Pura Costos'!D311="","",'Data Pura Costos'!D311)</f>
        <v>240</v>
      </c>
      <c r="E311" s="65">
        <f>+IF('Data Pura Costos'!E311="","",IF('Data Pura Costos'!E311=0,MAX('Data Pura Costos'!$E$7:$E$3000)*1000,'Data Pura Costos'!E311))</f>
        <v>390000</v>
      </c>
      <c r="F311" s="5" t="str">
        <f>+IF('Data Pura Costos'!F311="","",'Data Pura Costos'!F311)</f>
        <v>Mostazal</v>
      </c>
      <c r="G311" s="5" t="str">
        <f>+IF('Data Pura Costos'!G311="","",'Data Pura Costos'!G311)</f>
        <v>TRANS. MAX SOTO G. E.I.R.L.</v>
      </c>
      <c r="H311" s="52" t="str">
        <f>+IF('Data Pura Costos'!H311="","",'Data Pura Costos'!H311)</f>
        <v>Termo</v>
      </c>
      <c r="I311" s="71">
        <f>+IF('Data Pura Costos'!I311="","",'Data Pura Costos'!I311)</f>
        <v>1625</v>
      </c>
      <c r="J311" s="52" t="str">
        <f>+IF('Data Pura Costos'!J311="","",'Data Pura Costos'!J311)</f>
        <v>24-25</v>
      </c>
      <c r="K311" s="82" t="str">
        <f t="shared" si="9"/>
        <v>El Descanso-Mostazal-TRANS. MAX SOTO G. E.I.R.L.</v>
      </c>
      <c r="R311" s="6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</row>
    <row r="312" spans="2:39" s="7" customFormat="1" x14ac:dyDescent="0.35">
      <c r="B312" s="4" t="str">
        <f>+IF('Data Pura Costos'!B312="","",'Data Pura Costos'!B312)</f>
        <v>El Espino</v>
      </c>
      <c r="C312" s="4" t="str">
        <f>+IF('Data Pura Costos'!C312="","",'Data Pura Costos'!C312)</f>
        <v>Colbún, VII región</v>
      </c>
      <c r="D312" s="5">
        <f>+IF('Data Pura Costos'!D312="","",'Data Pura Costos'!D312)</f>
        <v>240</v>
      </c>
      <c r="E312" s="65">
        <f>+IF('Data Pura Costos'!E312="","",IF('Data Pura Costos'!E312=0,MAX('Data Pura Costos'!$E$7:$E$3000)*1000,'Data Pura Costos'!E312))</f>
        <v>550000</v>
      </c>
      <c r="F312" s="5" t="str">
        <f>+IF('Data Pura Costos'!F312="","",'Data Pura Costos'!F312)</f>
        <v>Mostazal</v>
      </c>
      <c r="G312" s="5" t="str">
        <f>+IF('Data Pura Costos'!G312="","",'Data Pura Costos'!G312)</f>
        <v>TRANS. MAX SOTO G. E.I.R.L.</v>
      </c>
      <c r="H312" s="52" t="str">
        <f>+IF('Data Pura Costos'!H312="","",'Data Pura Costos'!H312)</f>
        <v>Termo</v>
      </c>
      <c r="I312" s="71">
        <f>+IF('Data Pura Costos'!I312="","",'Data Pura Costos'!I312)</f>
        <v>2291.6666666666665</v>
      </c>
      <c r="J312" s="52" t="str">
        <f>+IF('Data Pura Costos'!J312="","",'Data Pura Costos'!J312)</f>
        <v>24-25</v>
      </c>
      <c r="K312" s="82" t="str">
        <f t="shared" si="9"/>
        <v>El Espino-Mostazal-TRANS. MAX SOTO G. E.I.R.L.</v>
      </c>
      <c r="R312" s="6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</row>
    <row r="313" spans="2:39" s="7" customFormat="1" x14ac:dyDescent="0.35">
      <c r="B313" s="4" t="str">
        <f>+IF('Data Pura Costos'!B313="","",'Data Pura Costos'!B313)</f>
        <v>El Huaico</v>
      </c>
      <c r="C313" s="4" t="str">
        <f>+IF('Data Pura Costos'!C313="","",'Data Pura Costos'!C313)</f>
        <v>Palmila Ohiggins</v>
      </c>
      <c r="D313" s="5">
        <f>+IF('Data Pura Costos'!D313="","",'Data Pura Costos'!D313)</f>
        <v>124</v>
      </c>
      <c r="E313" s="65">
        <f>+IF('Data Pura Costos'!E313="","",IF('Data Pura Costos'!E313=0,MAX('Data Pura Costos'!$E$7:$E$3000)*1000,'Data Pura Costos'!E313))</f>
        <v>350000</v>
      </c>
      <c r="F313" s="5" t="str">
        <f>+IF('Data Pura Costos'!F313="","",'Data Pura Costos'!F313)</f>
        <v>Mostazal</v>
      </c>
      <c r="G313" s="5" t="str">
        <f>+IF('Data Pura Costos'!G313="","",'Data Pura Costos'!G313)</f>
        <v>TRANS. MAX SOTO G. E.I.R.L.</v>
      </c>
      <c r="H313" s="52" t="str">
        <f>+IF('Data Pura Costos'!H313="","",'Data Pura Costos'!H313)</f>
        <v>Termo</v>
      </c>
      <c r="I313" s="71">
        <f>+IF('Data Pura Costos'!I313="","",'Data Pura Costos'!I313)</f>
        <v>2822.5806451612902</v>
      </c>
      <c r="J313" s="52" t="str">
        <f>+IF('Data Pura Costos'!J313="","",'Data Pura Costos'!J313)</f>
        <v>24-25</v>
      </c>
      <c r="K313" s="82" t="str">
        <f t="shared" si="9"/>
        <v>El Huaico-Mostazal-TRANS. MAX SOTO G. E.I.R.L.</v>
      </c>
      <c r="R313" s="6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</row>
    <row r="314" spans="2:39" s="7" customFormat="1" x14ac:dyDescent="0.35">
      <c r="B314" s="4" t="str">
        <f>+IF('Data Pura Costos'!B314="","",'Data Pura Costos'!B314)</f>
        <v>El Parque</v>
      </c>
      <c r="C314" s="4" t="str">
        <f>+IF('Data Pura Costos'!C314="","",'Data Pura Costos'!C314)</f>
        <v>San Francisco de Mostazal.VI Region.</v>
      </c>
      <c r="D314" s="5">
        <f>+IF('Data Pura Costos'!D314="","",'Data Pura Costos'!D314)</f>
        <v>3</v>
      </c>
      <c r="E314" s="65">
        <f>+IF('Data Pura Costos'!E314="","",IF('Data Pura Costos'!E314=0,MAX('Data Pura Costos'!$E$7:$E$3000)*1000,'Data Pura Costos'!E314))</f>
        <v>275000</v>
      </c>
      <c r="F314" s="5" t="str">
        <f>+IF('Data Pura Costos'!F314="","",'Data Pura Costos'!F314)</f>
        <v>Mostazal</v>
      </c>
      <c r="G314" s="5" t="str">
        <f>+IF('Data Pura Costos'!G314="","",'Data Pura Costos'!G314)</f>
        <v>TRANS. MAX SOTO G. E.I.R.L.</v>
      </c>
      <c r="H314" s="52" t="str">
        <f>+IF('Data Pura Costos'!H314="","",'Data Pura Costos'!H314)</f>
        <v>Termo</v>
      </c>
      <c r="I314" s="71">
        <f>+IF('Data Pura Costos'!I314="","",'Data Pura Costos'!I314)</f>
        <v>91666.666666666672</v>
      </c>
      <c r="J314" s="52" t="str">
        <f>+IF('Data Pura Costos'!J314="","",'Data Pura Costos'!J314)</f>
        <v>24-25</v>
      </c>
      <c r="K314" s="82" t="str">
        <f t="shared" si="9"/>
        <v>El Parque-Mostazal-TRANS. MAX SOTO G. E.I.R.L.</v>
      </c>
      <c r="R314" s="6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</row>
    <row r="315" spans="2:39" s="7" customFormat="1" x14ac:dyDescent="0.35">
      <c r="B315" s="4" t="str">
        <f>+IF('Data Pura Costos'!B315="","",'Data Pura Costos'!B315)</f>
        <v>El Picaso</v>
      </c>
      <c r="C315" s="4" t="str">
        <f>+IF('Data Pura Costos'!C315="","",'Data Pura Costos'!C315)</f>
        <v xml:space="preserve">San Clemente, VII región </v>
      </c>
      <c r="D315" s="5">
        <f>+IF('Data Pura Costos'!D315="","",'Data Pura Costos'!D315)</f>
        <v>208</v>
      </c>
      <c r="E315" s="65">
        <f>+IF('Data Pura Costos'!E315="","",IF('Data Pura Costos'!E315=0,MAX('Data Pura Costos'!$E$7:$E$3000)*1000,'Data Pura Costos'!E315))</f>
        <v>520000</v>
      </c>
      <c r="F315" s="5" t="str">
        <f>+IF('Data Pura Costos'!F315="","",'Data Pura Costos'!F315)</f>
        <v>Mostazal</v>
      </c>
      <c r="G315" s="5" t="str">
        <f>+IF('Data Pura Costos'!G315="","",'Data Pura Costos'!G315)</f>
        <v>TRANS. MAX SOTO G. E.I.R.L.</v>
      </c>
      <c r="H315" s="52" t="str">
        <f>+IF('Data Pura Costos'!H315="","",'Data Pura Costos'!H315)</f>
        <v>Termo</v>
      </c>
      <c r="I315" s="71">
        <f>+IF('Data Pura Costos'!I315="","",'Data Pura Costos'!I315)</f>
        <v>2500</v>
      </c>
      <c r="J315" s="52" t="str">
        <f>+IF('Data Pura Costos'!J315="","",'Data Pura Costos'!J315)</f>
        <v>24-25</v>
      </c>
      <c r="K315" s="82" t="str">
        <f t="shared" si="9"/>
        <v>El Picaso-Mostazal-TRANS. MAX SOTO G. E.I.R.L.</v>
      </c>
      <c r="R315" s="6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</row>
    <row r="316" spans="2:39" s="7" customFormat="1" x14ac:dyDescent="0.35">
      <c r="B316" s="4" t="str">
        <f>+IF('Data Pura Costos'!B316="","",'Data Pura Costos'!B316)</f>
        <v>El Recurso</v>
      </c>
      <c r="C316" s="4" t="str">
        <f>+IF('Data Pura Costos'!C316="","",'Data Pura Costos'!C316)</f>
        <v>San Francisco de Mostazal.VI Region.</v>
      </c>
      <c r="D316" s="5">
        <f>+IF('Data Pura Costos'!D316="","",'Data Pura Costos'!D316)</f>
        <v>3</v>
      </c>
      <c r="E316" s="65">
        <f>+IF('Data Pura Costos'!E316="","",IF('Data Pura Costos'!E316=0,MAX('Data Pura Costos'!$E$7:$E$3000)*1000,'Data Pura Costos'!E316))</f>
        <v>275000</v>
      </c>
      <c r="F316" s="5" t="str">
        <f>+IF('Data Pura Costos'!F316="","",'Data Pura Costos'!F316)</f>
        <v>Mostazal</v>
      </c>
      <c r="G316" s="5" t="str">
        <f>+IF('Data Pura Costos'!G316="","",'Data Pura Costos'!G316)</f>
        <v>TRANS. MAX SOTO G. E.I.R.L.</v>
      </c>
      <c r="H316" s="52" t="str">
        <f>+IF('Data Pura Costos'!H316="","",'Data Pura Costos'!H316)</f>
        <v>Termo</v>
      </c>
      <c r="I316" s="71">
        <f>+IF('Data Pura Costos'!I316="","",'Data Pura Costos'!I316)</f>
        <v>91666.666666666672</v>
      </c>
      <c r="J316" s="52" t="str">
        <f>+IF('Data Pura Costos'!J316="","",'Data Pura Costos'!J316)</f>
        <v>24-25</v>
      </c>
      <c r="K316" s="82" t="str">
        <f t="shared" si="9"/>
        <v>El Recurso-Mostazal-TRANS. MAX SOTO G. E.I.R.L.</v>
      </c>
      <c r="R316" s="6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</row>
    <row r="317" spans="2:39" s="7" customFormat="1" x14ac:dyDescent="0.35">
      <c r="B317" s="4" t="str">
        <f>+IF('Data Pura Costos'!B317="","",'Data Pura Costos'!B317)</f>
        <v>El Rosario</v>
      </c>
      <c r="C317" s="4" t="str">
        <f>+IF('Data Pura Costos'!C317="","",'Data Pura Costos'!C317)</f>
        <v>Linares, VII region.</v>
      </c>
      <c r="D317" s="5">
        <f>+IF('Data Pura Costos'!D317="","",'Data Pura Costos'!D317)</f>
        <v>260</v>
      </c>
      <c r="E317" s="65">
        <f>+IF('Data Pura Costos'!E317="","",IF('Data Pura Costos'!E317=0,MAX('Data Pura Costos'!$E$7:$E$3000)*1000,'Data Pura Costos'!E317))</f>
        <v>600000</v>
      </c>
      <c r="F317" s="5" t="str">
        <f>+IF('Data Pura Costos'!F317="","",'Data Pura Costos'!F317)</f>
        <v>Mostazal</v>
      </c>
      <c r="G317" s="5" t="str">
        <f>+IF('Data Pura Costos'!G317="","",'Data Pura Costos'!G317)</f>
        <v>TRANS. MAX SOTO G. E.I.R.L.</v>
      </c>
      <c r="H317" s="52" t="str">
        <f>+IF('Data Pura Costos'!H317="","",'Data Pura Costos'!H317)</f>
        <v>Termo</v>
      </c>
      <c r="I317" s="71">
        <f>+IF('Data Pura Costos'!I317="","",'Data Pura Costos'!I317)</f>
        <v>2307.6923076923076</v>
      </c>
      <c r="J317" s="52" t="str">
        <f>+IF('Data Pura Costos'!J317="","",'Data Pura Costos'!J317)</f>
        <v>24-25</v>
      </c>
      <c r="K317" s="82" t="str">
        <f t="shared" si="9"/>
        <v>El Rosario-Mostazal-TRANS. MAX SOTO G. E.I.R.L.</v>
      </c>
      <c r="R317" s="6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</row>
    <row r="318" spans="2:39" s="7" customFormat="1" x14ac:dyDescent="0.35">
      <c r="B318" s="4" t="str">
        <f>+IF('Data Pura Costos'!B318="","",'Data Pura Costos'!B318)</f>
        <v>El Retiro</v>
      </c>
      <c r="C318" s="4" t="str">
        <f>+IF('Data Pura Costos'!C318="","",'Data Pura Costos'!C318)</f>
        <v>Rosario, VI Region.</v>
      </c>
      <c r="D318" s="5">
        <f>+IF('Data Pura Costos'!D318="","",'Data Pura Costos'!D318)</f>
        <v>45</v>
      </c>
      <c r="E318" s="65">
        <f>+IF('Data Pura Costos'!E318="","",IF('Data Pura Costos'!E318=0,MAX('Data Pura Costos'!$E$7:$E$3000)*1000,'Data Pura Costos'!E318))</f>
        <v>275000</v>
      </c>
      <c r="F318" s="5" t="str">
        <f>+IF('Data Pura Costos'!F318="","",'Data Pura Costos'!F318)</f>
        <v>Mostazal</v>
      </c>
      <c r="G318" s="5" t="str">
        <f>+IF('Data Pura Costos'!G318="","",'Data Pura Costos'!G318)</f>
        <v>TRANS. MAX SOTO G. E.I.R.L.</v>
      </c>
      <c r="H318" s="52" t="str">
        <f>+IF('Data Pura Costos'!H318="","",'Data Pura Costos'!H318)</f>
        <v>Termo</v>
      </c>
      <c r="I318" s="71">
        <f>+IF('Data Pura Costos'!I318="","",'Data Pura Costos'!I318)</f>
        <v>6111.1111111111113</v>
      </c>
      <c r="J318" s="52" t="str">
        <f>+IF('Data Pura Costos'!J318="","",'Data Pura Costos'!J318)</f>
        <v>24-25</v>
      </c>
      <c r="K318" s="82" t="str">
        <f t="shared" si="9"/>
        <v>El Retiro-Mostazal-TRANS. MAX SOTO G. E.I.R.L.</v>
      </c>
      <c r="R318" s="6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</row>
    <row r="319" spans="2:39" s="7" customFormat="1" x14ac:dyDescent="0.35">
      <c r="B319" s="4" t="str">
        <f>+IF('Data Pura Costos'!B319="","",'Data Pura Costos'!B319)</f>
        <v>La Esperanza</v>
      </c>
      <c r="C319" s="4" t="str">
        <f>+IF('Data Pura Costos'!C319="","",'Data Pura Costos'!C319)</f>
        <v>Peumo, VI región</v>
      </c>
      <c r="D319" s="5">
        <f>+IF('Data Pura Costos'!D319="","",'Data Pura Costos'!D319)</f>
        <v>98</v>
      </c>
      <c r="E319" s="65">
        <f>+IF('Data Pura Costos'!E319="","",IF('Data Pura Costos'!E319=0,MAX('Data Pura Costos'!$E$7:$E$3000)*1000,'Data Pura Costos'!E319))</f>
        <v>350000</v>
      </c>
      <c r="F319" s="5" t="str">
        <f>+IF('Data Pura Costos'!F319="","",'Data Pura Costos'!F319)</f>
        <v>Mostazal</v>
      </c>
      <c r="G319" s="5" t="str">
        <f>+IF('Data Pura Costos'!G319="","",'Data Pura Costos'!G319)</f>
        <v>TRANS. MAX SOTO G. E.I.R.L.</v>
      </c>
      <c r="H319" s="52" t="str">
        <f>+IF('Data Pura Costos'!H319="","",'Data Pura Costos'!H319)</f>
        <v>Termo</v>
      </c>
      <c r="I319" s="71">
        <f>+IF('Data Pura Costos'!I319="","",'Data Pura Costos'!I319)</f>
        <v>3571.4285714285716</v>
      </c>
      <c r="J319" s="52" t="str">
        <f>+IF('Data Pura Costos'!J319="","",'Data Pura Costos'!J319)</f>
        <v>24-25</v>
      </c>
      <c r="K319" s="82" t="str">
        <f t="shared" si="9"/>
        <v>La Esperanza-Mostazal-TRANS. MAX SOTO G. E.I.R.L.</v>
      </c>
      <c r="R319" s="6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</row>
    <row r="320" spans="2:39" s="7" customFormat="1" x14ac:dyDescent="0.35">
      <c r="B320" s="4" t="str">
        <f>+IF('Data Pura Costos'!B320="","",'Data Pura Costos'!B320)</f>
        <v>La Estación</v>
      </c>
      <c r="C320" s="4" t="str">
        <f>+IF('Data Pura Costos'!C320="","",'Data Pura Costos'!C320)</f>
        <v>Palmilla, VI región</v>
      </c>
      <c r="D320" s="5">
        <f>+IF('Data Pura Costos'!D320="","",'Data Pura Costos'!D320)</f>
        <v>125</v>
      </c>
      <c r="E320" s="65">
        <f>+IF('Data Pura Costos'!E320="","",IF('Data Pura Costos'!E320=0,MAX('Data Pura Costos'!$E$7:$E$3000)*1000,'Data Pura Costos'!E320))</f>
        <v>350000</v>
      </c>
      <c r="F320" s="5" t="str">
        <f>+IF('Data Pura Costos'!F320="","",'Data Pura Costos'!F320)</f>
        <v>Mostazal</v>
      </c>
      <c r="G320" s="5" t="str">
        <f>+IF('Data Pura Costos'!G320="","",'Data Pura Costos'!G320)</f>
        <v>TRANS. MAX SOTO G. E.I.R.L.</v>
      </c>
      <c r="H320" s="52" t="str">
        <f>+IF('Data Pura Costos'!H320="","",'Data Pura Costos'!H320)</f>
        <v>Termo</v>
      </c>
      <c r="I320" s="71">
        <f>+IF('Data Pura Costos'!I320="","",'Data Pura Costos'!I320)</f>
        <v>2800</v>
      </c>
      <c r="J320" s="52" t="str">
        <f>+IF('Data Pura Costos'!J320="","",'Data Pura Costos'!J320)</f>
        <v>24-25</v>
      </c>
      <c r="K320" s="82" t="str">
        <f t="shared" si="9"/>
        <v>La Estación-Mostazal-TRANS. MAX SOTO G. E.I.R.L.</v>
      </c>
      <c r="R320" s="6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</row>
    <row r="321" spans="2:39" s="7" customFormat="1" x14ac:dyDescent="0.35">
      <c r="B321" s="4" t="str">
        <f>+IF('Data Pura Costos'!B321="","",'Data Pura Costos'!B321)</f>
        <v>La Lajuela</v>
      </c>
      <c r="C321" s="4" t="str">
        <f>+IF('Data Pura Costos'!C321="","",'Data Pura Costos'!C321)</f>
        <v>Santa Cruz, VI Región</v>
      </c>
      <c r="D321" s="5">
        <f>+IF('Data Pura Costos'!D321="","",'Data Pura Costos'!D321)</f>
        <v>128</v>
      </c>
      <c r="E321" s="65">
        <f>+IF('Data Pura Costos'!E321="","",IF('Data Pura Costos'!E321=0,MAX('Data Pura Costos'!$E$7:$E$3000)*1000,'Data Pura Costos'!E321))</f>
        <v>350000</v>
      </c>
      <c r="F321" s="5" t="str">
        <f>+IF('Data Pura Costos'!F321="","",'Data Pura Costos'!F321)</f>
        <v>Mostazal</v>
      </c>
      <c r="G321" s="5" t="str">
        <f>+IF('Data Pura Costos'!G321="","",'Data Pura Costos'!G321)</f>
        <v>TRANS. MAX SOTO G. E.I.R.L.</v>
      </c>
      <c r="H321" s="52" t="str">
        <f>+IF('Data Pura Costos'!H321="","",'Data Pura Costos'!H321)</f>
        <v>Termo</v>
      </c>
      <c r="I321" s="71">
        <f>+IF('Data Pura Costos'!I321="","",'Data Pura Costos'!I321)</f>
        <v>2734.375</v>
      </c>
      <c r="J321" s="52" t="str">
        <f>+IF('Data Pura Costos'!J321="","",'Data Pura Costos'!J321)</f>
        <v>24-25</v>
      </c>
      <c r="K321" s="82" t="str">
        <f t="shared" si="9"/>
        <v>La Lajuela-Mostazal-TRANS. MAX SOTO G. E.I.R.L.</v>
      </c>
      <c r="R321" s="6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</row>
    <row r="322" spans="2:39" s="7" customFormat="1" x14ac:dyDescent="0.35">
      <c r="B322" s="4" t="str">
        <f>+IF('Data Pura Costos'!B322="","",'Data Pura Costos'!B322)</f>
        <v>La Morera</v>
      </c>
      <c r="C322" s="4" t="str">
        <f>+IF('Data Pura Costos'!C322="","",'Data Pura Costos'!C322)</f>
        <v>La compañia, VI Region.</v>
      </c>
      <c r="D322" s="5">
        <f>+IF('Data Pura Costos'!D322="","",'Data Pura Costos'!D322)</f>
        <v>16</v>
      </c>
      <c r="E322" s="65">
        <f>+IF('Data Pura Costos'!E322="","",IF('Data Pura Costos'!E322=0,MAX('Data Pura Costos'!$E$7:$E$3000)*1000,'Data Pura Costos'!E322))</f>
        <v>275000</v>
      </c>
      <c r="F322" s="5" t="str">
        <f>+IF('Data Pura Costos'!F322="","",'Data Pura Costos'!F322)</f>
        <v>Mostazal</v>
      </c>
      <c r="G322" s="5" t="str">
        <f>+IF('Data Pura Costos'!G322="","",'Data Pura Costos'!G322)</f>
        <v>TRANS. MAX SOTO G. E.I.R.L.</v>
      </c>
      <c r="H322" s="52" t="str">
        <f>+IF('Data Pura Costos'!H322="","",'Data Pura Costos'!H322)</f>
        <v>Termo</v>
      </c>
      <c r="I322" s="71">
        <f>+IF('Data Pura Costos'!I322="","",'Data Pura Costos'!I322)</f>
        <v>17187.5</v>
      </c>
      <c r="J322" s="52" t="str">
        <f>+IF('Data Pura Costos'!J322="","",'Data Pura Costos'!J322)</f>
        <v>24-25</v>
      </c>
      <c r="K322" s="82" t="str">
        <f t="shared" si="9"/>
        <v>La Morera-Mostazal-TRANS. MAX SOTO G. E.I.R.L.</v>
      </c>
      <c r="R322" s="6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</row>
    <row r="323" spans="2:39" s="7" customFormat="1" x14ac:dyDescent="0.35">
      <c r="B323" s="4" t="str">
        <f>+IF('Data Pura Costos'!B323="","",'Data Pura Costos'!B323)</f>
        <v>La Rinconada</v>
      </c>
      <c r="C323" s="4" t="str">
        <f>+IF('Data Pura Costos'!C323="","",'Data Pura Costos'!C323)</f>
        <v>Pichidegua, VI región</v>
      </c>
      <c r="D323" s="5">
        <f>+IF('Data Pura Costos'!D323="","",'Data Pura Costos'!D323)</f>
        <v>110</v>
      </c>
      <c r="E323" s="65">
        <f>+IF('Data Pura Costos'!E323="","",IF('Data Pura Costos'!E323=0,MAX('Data Pura Costos'!$E$7:$E$3000)*1000,'Data Pura Costos'!E323))</f>
        <v>350000</v>
      </c>
      <c r="F323" s="5" t="str">
        <f>+IF('Data Pura Costos'!F323="","",'Data Pura Costos'!F323)</f>
        <v>Mostazal</v>
      </c>
      <c r="G323" s="5" t="str">
        <f>+IF('Data Pura Costos'!G323="","",'Data Pura Costos'!G323)</f>
        <v>TRANS. MAX SOTO G. E.I.R.L.</v>
      </c>
      <c r="H323" s="52" t="str">
        <f>+IF('Data Pura Costos'!H323="","",'Data Pura Costos'!H323)</f>
        <v>Termo</v>
      </c>
      <c r="I323" s="71">
        <f>+IF('Data Pura Costos'!I323="","",'Data Pura Costos'!I323)</f>
        <v>3181.818181818182</v>
      </c>
      <c r="J323" s="52" t="str">
        <f>+IF('Data Pura Costos'!J323="","",'Data Pura Costos'!J323)</f>
        <v>24-25</v>
      </c>
      <c r="K323" s="82" t="str">
        <f t="shared" si="9"/>
        <v>La Rinconada-Mostazal-TRANS. MAX SOTO G. E.I.R.L.</v>
      </c>
      <c r="R323" s="6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</row>
    <row r="324" spans="2:39" s="7" customFormat="1" x14ac:dyDescent="0.35">
      <c r="B324" s="4" t="str">
        <f>+IF('Data Pura Costos'!B324="","",'Data Pura Costos'!B324)</f>
        <v xml:space="preserve">La Roblería </v>
      </c>
      <c r="C324" s="4" t="str">
        <f>+IF('Data Pura Costos'!C324="","",'Data Pura Costos'!C324)</f>
        <v>Aculeo, RM</v>
      </c>
      <c r="D324" s="5">
        <f>+IF('Data Pura Costos'!D324="","",'Data Pura Costos'!D324)</f>
        <v>40</v>
      </c>
      <c r="E324" s="65">
        <f>+IF('Data Pura Costos'!E324="","",IF('Data Pura Costos'!E324=0,MAX('Data Pura Costos'!$E$7:$E$3000)*1000,'Data Pura Costos'!E324))</f>
        <v>300000</v>
      </c>
      <c r="F324" s="5" t="str">
        <f>+IF('Data Pura Costos'!F324="","",'Data Pura Costos'!F324)</f>
        <v>Mostazal</v>
      </c>
      <c r="G324" s="5" t="str">
        <f>+IF('Data Pura Costos'!G324="","",'Data Pura Costos'!G324)</f>
        <v>TRANS. MAX SOTO G. E.I.R.L.</v>
      </c>
      <c r="H324" s="52" t="str">
        <f>+IF('Data Pura Costos'!H324="","",'Data Pura Costos'!H324)</f>
        <v>Termo</v>
      </c>
      <c r="I324" s="71">
        <f>+IF('Data Pura Costos'!I324="","",'Data Pura Costos'!I324)</f>
        <v>7500</v>
      </c>
      <c r="J324" s="52" t="str">
        <f>+IF('Data Pura Costos'!J324="","",'Data Pura Costos'!J324)</f>
        <v>24-25</v>
      </c>
      <c r="K324" s="82" t="str">
        <f t="shared" si="9"/>
        <v>La Roblería -Mostazal-TRANS. MAX SOTO G. E.I.R.L.</v>
      </c>
      <c r="R324" s="6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</row>
    <row r="325" spans="2:39" s="7" customFormat="1" x14ac:dyDescent="0.35">
      <c r="B325" s="4" t="str">
        <f>+IF('Data Pura Costos'!B325="","",'Data Pura Costos'!B325)</f>
        <v>Las Cabras</v>
      </c>
      <c r="C325" s="4" t="str">
        <f>+IF('Data Pura Costos'!C325="","",'Data Pura Costos'!C325)</f>
        <v>Las Cabras, VI región</v>
      </c>
      <c r="D325" s="5">
        <f>+IF('Data Pura Costos'!D325="","",'Data Pura Costos'!D325)</f>
        <v>110</v>
      </c>
      <c r="E325" s="65">
        <f>+IF('Data Pura Costos'!E325="","",IF('Data Pura Costos'!E325=0,MAX('Data Pura Costos'!$E$7:$E$3000)*1000,'Data Pura Costos'!E325))</f>
        <v>350000</v>
      </c>
      <c r="F325" s="5" t="str">
        <f>+IF('Data Pura Costos'!F325="","",'Data Pura Costos'!F325)</f>
        <v>Mostazal</v>
      </c>
      <c r="G325" s="5" t="str">
        <f>+IF('Data Pura Costos'!G325="","",'Data Pura Costos'!G325)</f>
        <v>TRANS. MAX SOTO G. E.I.R.L.</v>
      </c>
      <c r="H325" s="52" t="str">
        <f>+IF('Data Pura Costos'!H325="","",'Data Pura Costos'!H325)</f>
        <v>Termo</v>
      </c>
      <c r="I325" s="71">
        <f>+IF('Data Pura Costos'!I325="","",'Data Pura Costos'!I325)</f>
        <v>3181.818181818182</v>
      </c>
      <c r="J325" s="52" t="str">
        <f>+IF('Data Pura Costos'!J325="","",'Data Pura Costos'!J325)</f>
        <v>24-25</v>
      </c>
      <c r="K325" s="82" t="str">
        <f t="shared" si="9"/>
        <v>Las Cabras-Mostazal-TRANS. MAX SOTO G. E.I.R.L.</v>
      </c>
      <c r="R325" s="6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</row>
    <row r="326" spans="2:39" s="7" customFormat="1" x14ac:dyDescent="0.35">
      <c r="B326" s="4" t="str">
        <f>+IF('Data Pura Costos'!B326="","",'Data Pura Costos'!B326)</f>
        <v>Las Vertientes</v>
      </c>
      <c r="C326" s="4" t="str">
        <f>+IF('Data Pura Costos'!C326="","",'Data Pura Costos'!C326)</f>
        <v>Pichidegua, VI región</v>
      </c>
      <c r="D326" s="5">
        <f>+IF('Data Pura Costos'!D326="","",'Data Pura Costos'!D326)</f>
        <v>103</v>
      </c>
      <c r="E326" s="65">
        <f>+IF('Data Pura Costos'!E326="","",IF('Data Pura Costos'!E326=0,MAX('Data Pura Costos'!$E$7:$E$3000)*1000,'Data Pura Costos'!E326))</f>
        <v>350000</v>
      </c>
      <c r="F326" s="5" t="str">
        <f>+IF('Data Pura Costos'!F326="","",'Data Pura Costos'!F326)</f>
        <v>Mostazal</v>
      </c>
      <c r="G326" s="5" t="str">
        <f>+IF('Data Pura Costos'!G326="","",'Data Pura Costos'!G326)</f>
        <v>TRANS. MAX SOTO G. E.I.R.L.</v>
      </c>
      <c r="H326" s="52" t="str">
        <f>+IF('Data Pura Costos'!H326="","",'Data Pura Costos'!H326)</f>
        <v>Termo</v>
      </c>
      <c r="I326" s="71">
        <f>+IF('Data Pura Costos'!I326="","",'Data Pura Costos'!I326)</f>
        <v>3398.0582524271845</v>
      </c>
      <c r="J326" s="52" t="str">
        <f>+IF('Data Pura Costos'!J326="","",'Data Pura Costos'!J326)</f>
        <v>24-25</v>
      </c>
      <c r="K326" s="82" t="str">
        <f t="shared" si="9"/>
        <v>Las Vertientes-Mostazal-TRANS. MAX SOTO G. E.I.R.L.</v>
      </c>
      <c r="R326" s="6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</row>
    <row r="327" spans="2:39" s="7" customFormat="1" x14ac:dyDescent="0.35">
      <c r="B327" s="4" t="str">
        <f>+IF('Data Pura Costos'!B327="","",'Data Pura Costos'!B327)</f>
        <v>Lihueimo</v>
      </c>
      <c r="C327" s="4" t="str">
        <f>+IF('Data Pura Costos'!C327="","",'Data Pura Costos'!C327)</f>
        <v>Peralillo ohiggins</v>
      </c>
      <c r="D327" s="5">
        <f>+IF('Data Pura Costos'!D327="","",'Data Pura Costos'!D327)</f>
        <v>131</v>
      </c>
      <c r="E327" s="65">
        <f>+IF('Data Pura Costos'!E327="","",IF('Data Pura Costos'!E327=0,MAX('Data Pura Costos'!$E$7:$E$3000)*1000,'Data Pura Costos'!E327))</f>
        <v>360000</v>
      </c>
      <c r="F327" s="5" t="str">
        <f>+IF('Data Pura Costos'!F327="","",'Data Pura Costos'!F327)</f>
        <v>Mostazal</v>
      </c>
      <c r="G327" s="5" t="str">
        <f>+IF('Data Pura Costos'!G327="","",'Data Pura Costos'!G327)</f>
        <v>TRANS. MAX SOTO G. E.I.R.L.</v>
      </c>
      <c r="H327" s="52" t="str">
        <f>+IF('Data Pura Costos'!H327="","",'Data Pura Costos'!H327)</f>
        <v>Termo</v>
      </c>
      <c r="I327" s="71">
        <f>+IF('Data Pura Costos'!I327="","",'Data Pura Costos'!I327)</f>
        <v>2748.0916030534349</v>
      </c>
      <c r="J327" s="52" t="str">
        <f>+IF('Data Pura Costos'!J327="","",'Data Pura Costos'!J327)</f>
        <v>24-25</v>
      </c>
      <c r="K327" s="82" t="str">
        <f t="shared" si="9"/>
        <v>Lihueimo-Mostazal-TRANS. MAX SOTO G. E.I.R.L.</v>
      </c>
      <c r="R327" s="6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</row>
    <row r="328" spans="2:39" s="7" customFormat="1" x14ac:dyDescent="0.35">
      <c r="B328" s="4" t="str">
        <f>+IF('Data Pura Costos'!B328="","",'Data Pura Costos'!B328)</f>
        <v>Los Encinos</v>
      </c>
      <c r="C328" s="4" t="str">
        <f>+IF('Data Pura Costos'!C328="","",'Data Pura Costos'!C328)</f>
        <v>Huechun, RM</v>
      </c>
      <c r="D328" s="5">
        <f>+IF('Data Pura Costos'!D328="","",'Data Pura Costos'!D328)</f>
        <v>85</v>
      </c>
      <c r="E328" s="65">
        <f>+IF('Data Pura Costos'!E328="","",IF('Data Pura Costos'!E328=0,MAX('Data Pura Costos'!$E$7:$E$3000)*1000,'Data Pura Costos'!E328))</f>
        <v>350000</v>
      </c>
      <c r="F328" s="5" t="str">
        <f>+IF('Data Pura Costos'!F328="","",'Data Pura Costos'!F328)</f>
        <v>Mostazal</v>
      </c>
      <c r="G328" s="5" t="str">
        <f>+IF('Data Pura Costos'!G328="","",'Data Pura Costos'!G328)</f>
        <v>TRANS. MAX SOTO G. E.I.R.L.</v>
      </c>
      <c r="H328" s="52" t="str">
        <f>+IF('Data Pura Costos'!H328="","",'Data Pura Costos'!H328)</f>
        <v>Termo</v>
      </c>
      <c r="I328" s="71">
        <f>+IF('Data Pura Costos'!I328="","",'Data Pura Costos'!I328)</f>
        <v>4117.6470588235297</v>
      </c>
      <c r="J328" s="52" t="str">
        <f>+IF('Data Pura Costos'!J328="","",'Data Pura Costos'!J328)</f>
        <v>24-25</v>
      </c>
      <c r="K328" s="82" t="str">
        <f t="shared" ref="K328:K391" si="10">+IF(B328="","",CONCATENATE(B328,"-",F328,"-",G328))</f>
        <v>Los Encinos-Mostazal-TRANS. MAX SOTO G. E.I.R.L.</v>
      </c>
      <c r="R328" s="6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</row>
    <row r="329" spans="2:39" s="7" customFormat="1" x14ac:dyDescent="0.35">
      <c r="B329" s="4" t="str">
        <f>+IF('Data Pura Costos'!B329="","",'Data Pura Costos'!B329)</f>
        <v>Los Maitenes</v>
      </c>
      <c r="C329" s="4" t="str">
        <f>+IF('Data Pura Costos'!C329="","",'Data Pura Costos'!C329)</f>
        <v>Las Cabras, VI región</v>
      </c>
      <c r="D329" s="5">
        <f>+IF('Data Pura Costos'!D329="","",'Data Pura Costos'!D329)</f>
        <v>118</v>
      </c>
      <c r="E329" s="65">
        <f>+IF('Data Pura Costos'!E329="","",IF('Data Pura Costos'!E329=0,MAX('Data Pura Costos'!$E$7:$E$3000)*1000,'Data Pura Costos'!E329))</f>
        <v>350000</v>
      </c>
      <c r="F329" s="5" t="str">
        <f>+IF('Data Pura Costos'!F329="","",'Data Pura Costos'!F329)</f>
        <v>Mostazal</v>
      </c>
      <c r="G329" s="5" t="str">
        <f>+IF('Data Pura Costos'!G329="","",'Data Pura Costos'!G329)</f>
        <v>TRANS. MAX SOTO G. E.I.R.L.</v>
      </c>
      <c r="H329" s="52" t="str">
        <f>+IF('Data Pura Costos'!H329="","",'Data Pura Costos'!H329)</f>
        <v>Termo</v>
      </c>
      <c r="I329" s="71">
        <f>+IF('Data Pura Costos'!I329="","",'Data Pura Costos'!I329)</f>
        <v>2966.101694915254</v>
      </c>
      <c r="J329" s="52" t="str">
        <f>+IF('Data Pura Costos'!J329="","",'Data Pura Costos'!J329)</f>
        <v>24-25</v>
      </c>
      <c r="K329" s="82" t="str">
        <f t="shared" si="10"/>
        <v>Los Maitenes-Mostazal-TRANS. MAX SOTO G. E.I.R.L.</v>
      </c>
      <c r="R329" s="6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</row>
    <row r="330" spans="2:39" s="7" customFormat="1" x14ac:dyDescent="0.35">
      <c r="B330" s="4" t="str">
        <f>+IF('Data Pura Costos'!B330="","",'Data Pura Costos'!B330)</f>
        <v>Los Toldos</v>
      </c>
      <c r="C330" s="4" t="str">
        <f>+IF('Data Pura Costos'!C330="","",'Data Pura Costos'!C330)</f>
        <v>Angol, IX región</v>
      </c>
      <c r="D330" s="5">
        <f>+IF('Data Pura Costos'!D330="","",'Data Pura Costos'!D330)</f>
        <v>549</v>
      </c>
      <c r="E330" s="65">
        <f>+IF('Data Pura Costos'!E330="","",IF('Data Pura Costos'!E330=0,MAX('Data Pura Costos'!$E$7:$E$3000)*1000,'Data Pura Costos'!E330))</f>
        <v>1050000</v>
      </c>
      <c r="F330" s="5" t="str">
        <f>+IF('Data Pura Costos'!F330="","",'Data Pura Costos'!F330)</f>
        <v>Mostazal</v>
      </c>
      <c r="G330" s="5" t="str">
        <f>+IF('Data Pura Costos'!G330="","",'Data Pura Costos'!G330)</f>
        <v>TRANS. MAX SOTO G. E.I.R.L.</v>
      </c>
      <c r="H330" s="52" t="str">
        <f>+IF('Data Pura Costos'!H330="","",'Data Pura Costos'!H330)</f>
        <v>Termo</v>
      </c>
      <c r="I330" s="71">
        <f>+IF('Data Pura Costos'!I330="","",'Data Pura Costos'!I330)</f>
        <v>1912.5683060109291</v>
      </c>
      <c r="J330" s="52" t="str">
        <f>+IF('Data Pura Costos'!J330="","",'Data Pura Costos'!J330)</f>
        <v>24-25</v>
      </c>
      <c r="K330" s="82" t="str">
        <f t="shared" si="10"/>
        <v>Los Toldos-Mostazal-TRANS. MAX SOTO G. E.I.R.L.</v>
      </c>
      <c r="R330" s="6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</row>
    <row r="331" spans="2:39" s="7" customFormat="1" x14ac:dyDescent="0.35">
      <c r="B331" s="4" t="str">
        <f>+IF('Data Pura Costos'!B331="","",'Data Pura Costos'!B331)</f>
        <v>Mallorca</v>
      </c>
      <c r="C331" s="4" t="str">
        <f>+IF('Data Pura Costos'!C331="","",'Data Pura Costos'!C331)</f>
        <v xml:space="preserve">Molina, VII región </v>
      </c>
      <c r="D331" s="5">
        <f>+IF('Data Pura Costos'!D331="","",'Data Pura Costos'!D331)</f>
        <v>144</v>
      </c>
      <c r="E331" s="65">
        <f>+IF('Data Pura Costos'!E331="","",IF('Data Pura Costos'!E331=0,MAX('Data Pura Costos'!$E$7:$E$3000)*1000,'Data Pura Costos'!E331))</f>
        <v>380000</v>
      </c>
      <c r="F331" s="5" t="str">
        <f>+IF('Data Pura Costos'!F331="","",'Data Pura Costos'!F331)</f>
        <v>Mostazal</v>
      </c>
      <c r="G331" s="5" t="str">
        <f>+IF('Data Pura Costos'!G331="","",'Data Pura Costos'!G331)</f>
        <v>TRANS. MAX SOTO G. E.I.R.L.</v>
      </c>
      <c r="H331" s="52" t="str">
        <f>+IF('Data Pura Costos'!H331="","",'Data Pura Costos'!H331)</f>
        <v>Termo</v>
      </c>
      <c r="I331" s="71">
        <f>+IF('Data Pura Costos'!I331="","",'Data Pura Costos'!I331)</f>
        <v>2638.8888888888887</v>
      </c>
      <c r="J331" s="52" t="str">
        <f>+IF('Data Pura Costos'!J331="","",'Data Pura Costos'!J331)</f>
        <v>24-25</v>
      </c>
      <c r="K331" s="82" t="str">
        <f t="shared" si="10"/>
        <v>Mallorca-Mostazal-TRANS. MAX SOTO G. E.I.R.L.</v>
      </c>
      <c r="R331" s="6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</row>
    <row r="332" spans="2:39" s="7" customFormat="1" x14ac:dyDescent="0.35">
      <c r="B332" s="4" t="str">
        <f>+IF('Data Pura Costos'!B332="","",'Data Pura Costos'!B332)</f>
        <v>Panquehue</v>
      </c>
      <c r="C332" s="4" t="str">
        <f>+IF('Data Pura Costos'!C332="","",'Data Pura Costos'!C332)</f>
        <v>Panquehue, V región</v>
      </c>
      <c r="D332" s="5">
        <f>+IF('Data Pura Costos'!D332="","",'Data Pura Costos'!D332)</f>
        <v>165</v>
      </c>
      <c r="E332" s="65">
        <f>+IF('Data Pura Costos'!E332="","",IF('Data Pura Costos'!E332=0,MAX('Data Pura Costos'!$E$7:$E$3000)*1000,'Data Pura Costos'!E332))</f>
        <v>490000</v>
      </c>
      <c r="F332" s="5" t="str">
        <f>+IF('Data Pura Costos'!F332="","",'Data Pura Costos'!F332)</f>
        <v>Mostazal</v>
      </c>
      <c r="G332" s="5" t="str">
        <f>+IF('Data Pura Costos'!G332="","",'Data Pura Costos'!G332)</f>
        <v>TRANS. MAX SOTO G. E.I.R.L.</v>
      </c>
      <c r="H332" s="52" t="str">
        <f>+IF('Data Pura Costos'!H332="","",'Data Pura Costos'!H332)</f>
        <v>Termo</v>
      </c>
      <c r="I332" s="71">
        <f>+IF('Data Pura Costos'!I332="","",'Data Pura Costos'!I332)</f>
        <v>2969.6969696969695</v>
      </c>
      <c r="J332" s="52" t="str">
        <f>+IF('Data Pura Costos'!J332="","",'Data Pura Costos'!J332)</f>
        <v>24-25</v>
      </c>
      <c r="K332" s="82" t="str">
        <f t="shared" si="10"/>
        <v>Panquehue-Mostazal-TRANS. MAX SOTO G. E.I.R.L.</v>
      </c>
      <c r="R332" s="6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</row>
    <row r="333" spans="2:39" s="7" customFormat="1" x14ac:dyDescent="0.35">
      <c r="B333" s="4" t="str">
        <f>+IF('Data Pura Costos'!B333="","",'Data Pura Costos'!B333)</f>
        <v>Entre Rios/Puente Negro/Rio Claro</v>
      </c>
      <c r="C333" s="4" t="str">
        <f>+IF('Data Pura Costos'!C333="","",'Data Pura Costos'!C333)</f>
        <v>Puente negro, san fernando.VI Region.</v>
      </c>
      <c r="D333" s="5">
        <f>+IF('Data Pura Costos'!D333="","",'Data Pura Costos'!D333)</f>
        <v>100</v>
      </c>
      <c r="E333" s="65">
        <f>+IF('Data Pura Costos'!E333="","",IF('Data Pura Costos'!E333=0,MAX('Data Pura Costos'!$E$7:$E$3000)*1000,'Data Pura Costos'!E333))</f>
        <v>350000</v>
      </c>
      <c r="F333" s="5" t="str">
        <f>+IF('Data Pura Costos'!F333="","",'Data Pura Costos'!F333)</f>
        <v>Mostazal</v>
      </c>
      <c r="G333" s="5" t="str">
        <f>+IF('Data Pura Costos'!G333="","",'Data Pura Costos'!G333)</f>
        <v>TRANS. MAX SOTO G. E.I.R.L.</v>
      </c>
      <c r="H333" s="52" t="str">
        <f>+IF('Data Pura Costos'!H333="","",'Data Pura Costos'!H333)</f>
        <v>Termo</v>
      </c>
      <c r="I333" s="71">
        <f>+IF('Data Pura Costos'!I333="","",'Data Pura Costos'!I333)</f>
        <v>3500</v>
      </c>
      <c r="J333" s="52" t="str">
        <f>+IF('Data Pura Costos'!J333="","",'Data Pura Costos'!J333)</f>
        <v>24-25</v>
      </c>
      <c r="K333" s="82" t="str">
        <f t="shared" si="10"/>
        <v>Entre Rios/Puente Negro/Rio Claro-Mostazal-TRANS. MAX SOTO G. E.I.R.L.</v>
      </c>
      <c r="R333" s="6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</row>
    <row r="334" spans="2:39" s="7" customFormat="1" x14ac:dyDescent="0.35">
      <c r="B334" s="4" t="str">
        <f>+IF('Data Pura Costos'!B334="","",'Data Pura Costos'!B334)</f>
        <v>Retorno</v>
      </c>
      <c r="C334" s="4" t="str">
        <f>+IF('Data Pura Costos'!C334="","",'Data Pura Costos'!C334)</f>
        <v>Santa maria, V región</v>
      </c>
      <c r="D334" s="5">
        <f>+IF('Data Pura Costos'!D334="","",'Data Pura Costos'!D334)</f>
        <v>162</v>
      </c>
      <c r="E334" s="65">
        <f>+IF('Data Pura Costos'!E334="","",IF('Data Pura Costos'!E334=0,MAX('Data Pura Costos'!$E$7:$E$3000)*1000,'Data Pura Costos'!E334))</f>
        <v>490000</v>
      </c>
      <c r="F334" s="5" t="str">
        <f>+IF('Data Pura Costos'!F334="","",'Data Pura Costos'!F334)</f>
        <v>Mostazal</v>
      </c>
      <c r="G334" s="5" t="str">
        <f>+IF('Data Pura Costos'!G334="","",'Data Pura Costos'!G334)</f>
        <v>TRANS. MAX SOTO G. E.I.R.L.</v>
      </c>
      <c r="H334" s="52" t="str">
        <f>+IF('Data Pura Costos'!H334="","",'Data Pura Costos'!H334)</f>
        <v>Termo</v>
      </c>
      <c r="I334" s="71">
        <f>+IF('Data Pura Costos'!I334="","",'Data Pura Costos'!I334)</f>
        <v>3024.6913580246915</v>
      </c>
      <c r="J334" s="52" t="str">
        <f>+IF('Data Pura Costos'!J334="","",'Data Pura Costos'!J334)</f>
        <v>24-25</v>
      </c>
      <c r="K334" s="82" t="str">
        <f t="shared" si="10"/>
        <v>Retorno-Mostazal-TRANS. MAX SOTO G. E.I.R.L.</v>
      </c>
      <c r="R334" s="6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</row>
    <row r="335" spans="2:39" s="7" customFormat="1" x14ac:dyDescent="0.35">
      <c r="B335" s="4" t="str">
        <f>+IF('Data Pura Costos'!B335="","",'Data Pura Costos'!B335)</f>
        <v>San Hernán</v>
      </c>
      <c r="C335" s="4" t="str">
        <f>+IF('Data Pura Costos'!C335="","",'Data Pura Costos'!C335)</f>
        <v>Graneros, VI región</v>
      </c>
      <c r="D335" s="5">
        <f>+IF('Data Pura Costos'!D335="","",'Data Pura Costos'!D335)</f>
        <v>10</v>
      </c>
      <c r="E335" s="65">
        <f>+IF('Data Pura Costos'!E335="","",IF('Data Pura Costos'!E335=0,MAX('Data Pura Costos'!$E$7:$E$3000)*1000,'Data Pura Costos'!E335))</f>
        <v>275000</v>
      </c>
      <c r="F335" s="5" t="str">
        <f>+IF('Data Pura Costos'!F335="","",'Data Pura Costos'!F335)</f>
        <v>Mostazal</v>
      </c>
      <c r="G335" s="5" t="str">
        <f>+IF('Data Pura Costos'!G335="","",'Data Pura Costos'!G335)</f>
        <v>TRANS. MAX SOTO G. E.I.R.L.</v>
      </c>
      <c r="H335" s="52" t="str">
        <f>+IF('Data Pura Costos'!H335="","",'Data Pura Costos'!H335)</f>
        <v>Termo</v>
      </c>
      <c r="I335" s="71">
        <f>+IF('Data Pura Costos'!I335="","",'Data Pura Costos'!I335)</f>
        <v>27500</v>
      </c>
      <c r="J335" s="52" t="str">
        <f>+IF('Data Pura Costos'!J335="","",'Data Pura Costos'!J335)</f>
        <v>24-25</v>
      </c>
      <c r="K335" s="82" t="str">
        <f t="shared" si="10"/>
        <v>San Hernán-Mostazal-TRANS. MAX SOTO G. E.I.R.L.</v>
      </c>
      <c r="R335" s="6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</row>
    <row r="336" spans="2:39" s="7" customFormat="1" x14ac:dyDescent="0.35">
      <c r="B336" s="4" t="str">
        <f>+IF('Data Pura Costos'!B336="","",'Data Pura Costos'!B336)</f>
        <v>Santa Mónica</v>
      </c>
      <c r="C336" s="4" t="str">
        <f>+IF('Data Pura Costos'!C336="","",'Data Pura Costos'!C336)</f>
        <v xml:space="preserve">Rancagua, sector Chancón, VI región </v>
      </c>
      <c r="D336" s="5">
        <f>+IF('Data Pura Costos'!D336="","",'Data Pura Costos'!D336)</f>
        <v>20</v>
      </c>
      <c r="E336" s="65">
        <f>+IF('Data Pura Costos'!E336="","",IF('Data Pura Costos'!E336=0,MAX('Data Pura Costos'!$E$7:$E$3000)*1000,'Data Pura Costos'!E336))</f>
        <v>275000</v>
      </c>
      <c r="F336" s="5" t="str">
        <f>+IF('Data Pura Costos'!F336="","",'Data Pura Costos'!F336)</f>
        <v>Mostazal</v>
      </c>
      <c r="G336" s="5" t="str">
        <f>+IF('Data Pura Costos'!G336="","",'Data Pura Costos'!G336)</f>
        <v>TRANS. MAX SOTO G. E.I.R.L.</v>
      </c>
      <c r="H336" s="52" t="str">
        <f>+IF('Data Pura Costos'!H336="","",'Data Pura Costos'!H336)</f>
        <v>Termo</v>
      </c>
      <c r="I336" s="71">
        <f>+IF('Data Pura Costos'!I336="","",'Data Pura Costos'!I336)</f>
        <v>13750</v>
      </c>
      <c r="J336" s="52" t="str">
        <f>+IF('Data Pura Costos'!J336="","",'Data Pura Costos'!J336)</f>
        <v>24-25</v>
      </c>
      <c r="K336" s="82" t="str">
        <f t="shared" si="10"/>
        <v>Santa Mónica-Mostazal-TRANS. MAX SOTO G. E.I.R.L.</v>
      </c>
      <c r="R336" s="6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</row>
    <row r="337" spans="2:39" s="7" customFormat="1" x14ac:dyDescent="0.35">
      <c r="B337" s="4" t="str">
        <f>+IF('Data Pura Costos'!B337="","",'Data Pura Costos'!B337)</f>
        <v>Talhuén</v>
      </c>
      <c r="C337" s="4" t="str">
        <f>+IF('Data Pura Costos'!C337="","",'Data Pura Costos'!C337)</f>
        <v>Palmilla, VI región</v>
      </c>
      <c r="D337" s="5">
        <f>+IF('Data Pura Costos'!D337="","",'Data Pura Costos'!D337)</f>
        <v>122</v>
      </c>
      <c r="E337" s="65">
        <f>+IF('Data Pura Costos'!E337="","",IF('Data Pura Costos'!E337=0,MAX('Data Pura Costos'!$E$7:$E$3000)*1000,'Data Pura Costos'!E337))</f>
        <v>350000</v>
      </c>
      <c r="F337" s="5" t="str">
        <f>+IF('Data Pura Costos'!F337="","",'Data Pura Costos'!F337)</f>
        <v>Mostazal</v>
      </c>
      <c r="G337" s="5" t="str">
        <f>+IF('Data Pura Costos'!G337="","",'Data Pura Costos'!G337)</f>
        <v>TRANS. MAX SOTO G. E.I.R.L.</v>
      </c>
      <c r="H337" s="52" t="str">
        <f>+IF('Data Pura Costos'!H337="","",'Data Pura Costos'!H337)</f>
        <v>Termo</v>
      </c>
      <c r="I337" s="71">
        <f>+IF('Data Pura Costos'!I337="","",'Data Pura Costos'!I337)</f>
        <v>2868.8524590163934</v>
      </c>
      <c r="J337" s="52" t="str">
        <f>+IF('Data Pura Costos'!J337="","",'Data Pura Costos'!J337)</f>
        <v>24-25</v>
      </c>
      <c r="K337" s="82" t="str">
        <f t="shared" si="10"/>
        <v>Talhuén-Mostazal-TRANS. MAX SOTO G. E.I.R.L.</v>
      </c>
      <c r="R337" s="6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</row>
    <row r="338" spans="2:39" s="7" customFormat="1" x14ac:dyDescent="0.35">
      <c r="B338" s="4" t="str">
        <f>+IF('Data Pura Costos'!B338="","",'Data Pura Costos'!B338)</f>
        <v>Villaseca</v>
      </c>
      <c r="C338" s="4" t="str">
        <f>+IF('Data Pura Costos'!C338="","",'Data Pura Costos'!C338)</f>
        <v>Retiro, VII reginón</v>
      </c>
      <c r="D338" s="5">
        <f>+IF('Data Pura Costos'!D338="","",'Data Pura Costos'!D338)</f>
        <v>297</v>
      </c>
      <c r="E338" s="65">
        <f>+IF('Data Pura Costos'!E338="","",IF('Data Pura Costos'!E338=0,MAX('Data Pura Costos'!$E$7:$E$3000)*1000,'Data Pura Costos'!E338))</f>
        <v>650000</v>
      </c>
      <c r="F338" s="5" t="str">
        <f>+IF('Data Pura Costos'!F338="","",'Data Pura Costos'!F338)</f>
        <v>Mostazal</v>
      </c>
      <c r="G338" s="5" t="str">
        <f>+IF('Data Pura Costos'!G338="","",'Data Pura Costos'!G338)</f>
        <v>TRANS. MAX SOTO G. E.I.R.L.</v>
      </c>
      <c r="H338" s="52" t="str">
        <f>+IF('Data Pura Costos'!H338="","",'Data Pura Costos'!H338)</f>
        <v>Termo</v>
      </c>
      <c r="I338" s="71">
        <f>+IF('Data Pura Costos'!I338="","",'Data Pura Costos'!I338)</f>
        <v>2188.5521885521885</v>
      </c>
      <c r="J338" s="52" t="str">
        <f>+IF('Data Pura Costos'!J338="","",'Data Pura Costos'!J338)</f>
        <v>24-25</v>
      </c>
      <c r="K338" s="82" t="str">
        <f t="shared" si="10"/>
        <v>Villaseca-Mostazal-TRANS. MAX SOTO G. E.I.R.L.</v>
      </c>
      <c r="R338" s="6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</row>
    <row r="339" spans="2:39" s="7" customFormat="1" x14ac:dyDescent="0.35">
      <c r="B339" s="4" t="str">
        <f>+IF('Data Pura Costos'!B339="","",'Data Pura Costos'!B339)</f>
        <v>Almahue</v>
      </c>
      <c r="C339" s="4" t="str">
        <f>+IF('Data Pura Costos'!C339="","",'Data Pura Costos'!C339)</f>
        <v>Pichidegua, VI región</v>
      </c>
      <c r="D339" s="5">
        <f>+IF('Data Pura Costos'!D339="","",'Data Pura Costos'!D339)</f>
        <v>134</v>
      </c>
      <c r="E339" s="65">
        <f>+IF('Data Pura Costos'!E339="","",IF('Data Pura Costos'!E339=0,MAX('Data Pura Costos'!$E$7:$E$3000)*1000,'Data Pura Costos'!E339))</f>
        <v>360000</v>
      </c>
      <c r="F339" s="5" t="str">
        <f>+IF('Data Pura Costos'!F339="","",'Data Pura Costos'!F339)</f>
        <v>Molina</v>
      </c>
      <c r="G339" s="5" t="str">
        <f>+IF('Data Pura Costos'!G339="","",'Data Pura Costos'!G339)</f>
        <v>TRANS. MAX SOTO G. E.I.R.L.</v>
      </c>
      <c r="H339" s="52" t="str">
        <f>+IF('Data Pura Costos'!H339="","",'Data Pura Costos'!H339)</f>
        <v>Termo</v>
      </c>
      <c r="I339" s="71">
        <f>+IF('Data Pura Costos'!I339="","",'Data Pura Costos'!I339)</f>
        <v>2686.5671641791046</v>
      </c>
      <c r="J339" s="52" t="str">
        <f>+IF('Data Pura Costos'!J339="","",'Data Pura Costos'!J339)</f>
        <v>24-25</v>
      </c>
      <c r="K339" s="82" t="str">
        <f t="shared" si="10"/>
        <v>Almahue-Molina-TRANS. MAX SOTO G. E.I.R.L.</v>
      </c>
      <c r="R339" s="6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</row>
    <row r="340" spans="2:39" s="7" customFormat="1" x14ac:dyDescent="0.35">
      <c r="B340" s="4" t="str">
        <f>+IF('Data Pura Costos'!B340="","",'Data Pura Costos'!B340)</f>
        <v>Bodega</v>
      </c>
      <c r="C340" s="4" t="str">
        <f>+IF('Data Pura Costos'!C340="","",'Data Pura Costos'!C340)</f>
        <v>Linares, VII region.</v>
      </c>
      <c r="D340" s="5">
        <f>+IF('Data Pura Costos'!D340="","",'Data Pura Costos'!D340)</f>
        <v>123</v>
      </c>
      <c r="E340" s="65">
        <f>+IF('Data Pura Costos'!E340="","",IF('Data Pura Costos'!E340=0,MAX('Data Pura Costos'!$E$7:$E$3000)*1000,'Data Pura Costos'!E340))</f>
        <v>360000</v>
      </c>
      <c r="F340" s="5" t="str">
        <f>+IF('Data Pura Costos'!F340="","",'Data Pura Costos'!F340)</f>
        <v>Molina</v>
      </c>
      <c r="G340" s="5" t="str">
        <f>+IF('Data Pura Costos'!G340="","",'Data Pura Costos'!G340)</f>
        <v>TRANS. MAX SOTO G. E.I.R.L.</v>
      </c>
      <c r="H340" s="52" t="str">
        <f>+IF('Data Pura Costos'!H340="","",'Data Pura Costos'!H340)</f>
        <v>Termo</v>
      </c>
      <c r="I340" s="71">
        <f>+IF('Data Pura Costos'!I340="","",'Data Pura Costos'!I340)</f>
        <v>2926.8292682926831</v>
      </c>
      <c r="J340" s="52" t="str">
        <f>+IF('Data Pura Costos'!J340="","",'Data Pura Costos'!J340)</f>
        <v>24-25</v>
      </c>
      <c r="K340" s="82" t="str">
        <f t="shared" si="10"/>
        <v>Bodega-Molina-TRANS. MAX SOTO G. E.I.R.L.</v>
      </c>
      <c r="R340" s="6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</row>
    <row r="341" spans="2:39" s="7" customFormat="1" x14ac:dyDescent="0.35">
      <c r="B341" s="4" t="str">
        <f>+IF('Data Pura Costos'!B341="","",'Data Pura Costos'!B341)</f>
        <v xml:space="preserve">Caliboro </v>
      </c>
      <c r="C341" s="4" t="str">
        <f>+IF('Data Pura Costos'!C341="","",'Data Pura Costos'!C341)</f>
        <v>San Javier, VII región</v>
      </c>
      <c r="D341" s="5">
        <f>+IF('Data Pura Costos'!D341="","",'Data Pura Costos'!D341)</f>
        <v>118</v>
      </c>
      <c r="E341" s="65">
        <f>+IF('Data Pura Costos'!E341="","",IF('Data Pura Costos'!E341=0,MAX('Data Pura Costos'!$E$7:$E$3000)*1000,'Data Pura Costos'!E341))</f>
        <v>350000</v>
      </c>
      <c r="F341" s="5" t="str">
        <f>+IF('Data Pura Costos'!F341="","",'Data Pura Costos'!F341)</f>
        <v>Molina</v>
      </c>
      <c r="G341" s="5" t="str">
        <f>+IF('Data Pura Costos'!G341="","",'Data Pura Costos'!G341)</f>
        <v>TRANS. MAX SOTO G. E.I.R.L.</v>
      </c>
      <c r="H341" s="52" t="str">
        <f>+IF('Data Pura Costos'!H341="","",'Data Pura Costos'!H341)</f>
        <v>Termo</v>
      </c>
      <c r="I341" s="71">
        <f>+IF('Data Pura Costos'!I341="","",'Data Pura Costos'!I341)</f>
        <v>2966.101694915254</v>
      </c>
      <c r="J341" s="52" t="str">
        <f>+IF('Data Pura Costos'!J341="","",'Data Pura Costos'!J341)</f>
        <v>24-25</v>
      </c>
      <c r="K341" s="82" t="str">
        <f t="shared" si="10"/>
        <v>Caliboro -Molina-TRANS. MAX SOTO G. E.I.R.L.</v>
      </c>
      <c r="R341" s="6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</row>
    <row r="342" spans="2:39" s="7" customFormat="1" x14ac:dyDescent="0.35">
      <c r="B342" s="4" t="str">
        <f>+IF('Data Pura Costos'!B342="","",'Data Pura Costos'!B342)</f>
        <v>Calleuque</v>
      </c>
      <c r="C342" s="4" t="str">
        <f>+IF('Data Pura Costos'!C342="","",'Data Pura Costos'!C342)</f>
        <v>Peralillo ohiggins, VI región</v>
      </c>
      <c r="D342" s="5">
        <f>+IF('Data Pura Costos'!D342="","",'Data Pura Costos'!D342)</f>
        <v>103</v>
      </c>
      <c r="E342" s="65">
        <f>+IF('Data Pura Costos'!E342="","",IF('Data Pura Costos'!E342=0,MAX('Data Pura Costos'!$E$7:$E$3000)*1000,'Data Pura Costos'!E342))</f>
        <v>350000</v>
      </c>
      <c r="F342" s="5" t="str">
        <f>+IF('Data Pura Costos'!F342="","",'Data Pura Costos'!F342)</f>
        <v>Molina</v>
      </c>
      <c r="G342" s="5" t="str">
        <f>+IF('Data Pura Costos'!G342="","",'Data Pura Costos'!G342)</f>
        <v>TRANS. MAX SOTO G. E.I.R.L.</v>
      </c>
      <c r="H342" s="52" t="str">
        <f>+IF('Data Pura Costos'!H342="","",'Data Pura Costos'!H342)</f>
        <v>Termo</v>
      </c>
      <c r="I342" s="71">
        <f>+IF('Data Pura Costos'!I342="","",'Data Pura Costos'!I342)</f>
        <v>3398.0582524271845</v>
      </c>
      <c r="J342" s="52" t="str">
        <f>+IF('Data Pura Costos'!J342="","",'Data Pura Costos'!J342)</f>
        <v>24-25</v>
      </c>
      <c r="K342" s="82" t="str">
        <f t="shared" si="10"/>
        <v>Calleuque-Molina-TRANS. MAX SOTO G. E.I.R.L.</v>
      </c>
      <c r="R342" s="6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</row>
    <row r="343" spans="2:39" s="7" customFormat="1" x14ac:dyDescent="0.35">
      <c r="B343" s="4" t="str">
        <f>+IF('Data Pura Costos'!B343="","",'Data Pura Costos'!B343)</f>
        <v>Chumpirro</v>
      </c>
      <c r="C343" s="4" t="str">
        <f>+IF('Data Pura Costos'!C343="","",'Data Pura Costos'!C343)</f>
        <v>Angol, IX región</v>
      </c>
      <c r="D343" s="5">
        <f>+IF('Data Pura Costos'!D343="","",'Data Pura Costos'!D343)</f>
        <v>358</v>
      </c>
      <c r="E343" s="65">
        <f>+IF('Data Pura Costos'!E343="","",IF('Data Pura Costos'!E343=0,MAX('Data Pura Costos'!$E$7:$E$3000)*1000,'Data Pura Costos'!E343))</f>
        <v>900000</v>
      </c>
      <c r="F343" s="5" t="str">
        <f>+IF('Data Pura Costos'!F343="","",'Data Pura Costos'!F343)</f>
        <v>Molina</v>
      </c>
      <c r="G343" s="5" t="str">
        <f>+IF('Data Pura Costos'!G343="","",'Data Pura Costos'!G343)</f>
        <v>TRANS. MAX SOTO G. E.I.R.L.</v>
      </c>
      <c r="H343" s="52" t="str">
        <f>+IF('Data Pura Costos'!H343="","",'Data Pura Costos'!H343)</f>
        <v>Termo</v>
      </c>
      <c r="I343" s="71">
        <f>+IF('Data Pura Costos'!I343="","",'Data Pura Costos'!I343)</f>
        <v>2513.9664804469276</v>
      </c>
      <c r="J343" s="52" t="str">
        <f>+IF('Data Pura Costos'!J343="","",'Data Pura Costos'!J343)</f>
        <v>24-25</v>
      </c>
      <c r="K343" s="82" t="str">
        <f t="shared" si="10"/>
        <v>Chumpirro-Molina-TRANS. MAX SOTO G. E.I.R.L.</v>
      </c>
      <c r="R343" s="6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</row>
    <row r="344" spans="2:39" s="7" customFormat="1" x14ac:dyDescent="0.35">
      <c r="B344" s="4" t="str">
        <f>+IF('Data Pura Costos'!B344="","",'Data Pura Costos'!B344)</f>
        <v xml:space="preserve"> Cocalán</v>
      </c>
      <c r="C344" s="4" t="str">
        <f>+IF('Data Pura Costos'!C344="","",'Data Pura Costos'!C344)</f>
        <v>Cocalán, VI región</v>
      </c>
      <c r="D344" s="5">
        <f>+IF('Data Pura Costos'!D344="","",'Data Pura Costos'!D344)</f>
        <v>141</v>
      </c>
      <c r="E344" s="65">
        <f>+IF('Data Pura Costos'!E344="","",IF('Data Pura Costos'!E344=0,MAX('Data Pura Costos'!$E$7:$E$3000)*1000,'Data Pura Costos'!E344))</f>
        <v>380000</v>
      </c>
      <c r="F344" s="5" t="str">
        <f>+IF('Data Pura Costos'!F344="","",'Data Pura Costos'!F344)</f>
        <v>Molina</v>
      </c>
      <c r="G344" s="5" t="str">
        <f>+IF('Data Pura Costos'!G344="","",'Data Pura Costos'!G344)</f>
        <v>TRANS. MAX SOTO G. E.I.R.L.</v>
      </c>
      <c r="H344" s="52" t="str">
        <f>+IF('Data Pura Costos'!H344="","",'Data Pura Costos'!H344)</f>
        <v>Termo</v>
      </c>
      <c r="I344" s="71">
        <f>+IF('Data Pura Costos'!I344="","",'Data Pura Costos'!I344)</f>
        <v>2695.0354609929077</v>
      </c>
      <c r="J344" s="52" t="str">
        <f>+IF('Data Pura Costos'!J344="","",'Data Pura Costos'!J344)</f>
        <v>24-25</v>
      </c>
      <c r="K344" s="82" t="str">
        <f t="shared" si="10"/>
        <v xml:space="preserve"> Cocalán-Molina-TRANS. MAX SOTO G. E.I.R.L.</v>
      </c>
      <c r="R344" s="6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</row>
    <row r="345" spans="2:39" s="7" customFormat="1" x14ac:dyDescent="0.35">
      <c r="B345" s="4" t="str">
        <f>+IF('Data Pura Costos'!B345="","",'Data Pura Costos'!B345)</f>
        <v>El Cóndor</v>
      </c>
      <c r="C345" s="4" t="str">
        <f>+IF('Data Pura Costos'!C345="","",'Data Pura Costos'!C345)</f>
        <v>Chimbarongo, VI Region.</v>
      </c>
      <c r="D345" s="5">
        <f>+IF('Data Pura Costos'!D345="","",'Data Pura Costos'!D345)</f>
        <v>60</v>
      </c>
      <c r="E345" s="65">
        <f>+IF('Data Pura Costos'!E345="","",IF('Data Pura Costos'!E345=0,MAX('Data Pura Costos'!$E$7:$E$3000)*1000,'Data Pura Costos'!E345))</f>
        <v>280000</v>
      </c>
      <c r="F345" s="5" t="str">
        <f>+IF('Data Pura Costos'!F345="","",'Data Pura Costos'!F345)</f>
        <v>Molina</v>
      </c>
      <c r="G345" s="5" t="str">
        <f>+IF('Data Pura Costos'!G345="","",'Data Pura Costos'!G345)</f>
        <v>TRANS. MAX SOTO G. E.I.R.L.</v>
      </c>
      <c r="H345" s="52" t="str">
        <f>+IF('Data Pura Costos'!H345="","",'Data Pura Costos'!H345)</f>
        <v>Termo</v>
      </c>
      <c r="I345" s="71">
        <f>+IF('Data Pura Costos'!I345="","",'Data Pura Costos'!I345)</f>
        <v>4666.666666666667</v>
      </c>
      <c r="J345" s="52" t="str">
        <f>+IF('Data Pura Costos'!J345="","",'Data Pura Costos'!J345)</f>
        <v>24-25</v>
      </c>
      <c r="K345" s="82" t="str">
        <f t="shared" si="10"/>
        <v>El Cóndor-Molina-TRANS. MAX SOTO G. E.I.R.L.</v>
      </c>
      <c r="R345" s="6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</row>
    <row r="346" spans="2:39" s="7" customFormat="1" x14ac:dyDescent="0.35">
      <c r="B346" s="4" t="str">
        <f>+IF('Data Pura Costos'!B346="","",'Data Pura Costos'!B346)</f>
        <v>El Descanso</v>
      </c>
      <c r="C346" s="4" t="str">
        <f>+IF('Data Pura Costos'!C346="","",'Data Pura Costos'!C346)</f>
        <v>Sagrada Familia, VII región</v>
      </c>
      <c r="D346" s="5">
        <f>+IF('Data Pura Costos'!D346="","",'Data Pura Costos'!D346)</f>
        <v>22</v>
      </c>
      <c r="E346" s="65">
        <f>+IF('Data Pura Costos'!E346="","",IF('Data Pura Costos'!E346=0,MAX('Data Pura Costos'!$E$7:$E$3000)*1000,'Data Pura Costos'!E346))</f>
        <v>275000</v>
      </c>
      <c r="F346" s="5" t="str">
        <f>+IF('Data Pura Costos'!F346="","",'Data Pura Costos'!F346)</f>
        <v>Molina</v>
      </c>
      <c r="G346" s="5" t="str">
        <f>+IF('Data Pura Costos'!G346="","",'Data Pura Costos'!G346)</f>
        <v>TRANS. MAX SOTO G. E.I.R.L.</v>
      </c>
      <c r="H346" s="52" t="str">
        <f>+IF('Data Pura Costos'!H346="","",'Data Pura Costos'!H346)</f>
        <v>Termo</v>
      </c>
      <c r="I346" s="71">
        <f>+IF('Data Pura Costos'!I346="","",'Data Pura Costos'!I346)</f>
        <v>12500</v>
      </c>
      <c r="J346" s="52" t="str">
        <f>+IF('Data Pura Costos'!J346="","",'Data Pura Costos'!J346)</f>
        <v>24-25</v>
      </c>
      <c r="K346" s="82" t="str">
        <f t="shared" si="10"/>
        <v>El Descanso-Molina-TRANS. MAX SOTO G. E.I.R.L.</v>
      </c>
      <c r="R346" s="6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</row>
    <row r="347" spans="2:39" s="7" customFormat="1" x14ac:dyDescent="0.35">
      <c r="B347" s="4" t="str">
        <f>+IF('Data Pura Costos'!B347="","",'Data Pura Costos'!B347)</f>
        <v>El Espino</v>
      </c>
      <c r="C347" s="4" t="str">
        <f>+IF('Data Pura Costos'!C347="","",'Data Pura Costos'!C347)</f>
        <v>Colbún, VII región</v>
      </c>
      <c r="D347" s="5">
        <f>+IF('Data Pura Costos'!D347="","",'Data Pura Costos'!D347)</f>
        <v>100</v>
      </c>
      <c r="E347" s="65">
        <f>+IF('Data Pura Costos'!E347="","",IF('Data Pura Costos'!E347=0,MAX('Data Pura Costos'!$E$7:$E$3000)*1000,'Data Pura Costos'!E347))</f>
        <v>330000</v>
      </c>
      <c r="F347" s="5" t="str">
        <f>+IF('Data Pura Costos'!F347="","",'Data Pura Costos'!F347)</f>
        <v>Molina</v>
      </c>
      <c r="G347" s="5" t="str">
        <f>+IF('Data Pura Costos'!G347="","",'Data Pura Costos'!G347)</f>
        <v>TRANS. MAX SOTO G. E.I.R.L.</v>
      </c>
      <c r="H347" s="52" t="str">
        <f>+IF('Data Pura Costos'!H347="","",'Data Pura Costos'!H347)</f>
        <v>Termo</v>
      </c>
      <c r="I347" s="71">
        <f>+IF('Data Pura Costos'!I347="","",'Data Pura Costos'!I347)</f>
        <v>3300</v>
      </c>
      <c r="J347" s="52" t="str">
        <f>+IF('Data Pura Costos'!J347="","",'Data Pura Costos'!J347)</f>
        <v>24-25</v>
      </c>
      <c r="K347" s="82" t="str">
        <f t="shared" si="10"/>
        <v>El Espino-Molina-TRANS. MAX SOTO G. E.I.R.L.</v>
      </c>
      <c r="R347" s="6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</row>
    <row r="348" spans="2:39" s="7" customFormat="1" x14ac:dyDescent="0.35">
      <c r="B348" s="4" t="str">
        <f>+IF('Data Pura Costos'!B348="","",'Data Pura Costos'!B348)</f>
        <v>El Huaico</v>
      </c>
      <c r="C348" s="4" t="str">
        <f>+IF('Data Pura Costos'!C348="","",'Data Pura Costos'!C348)</f>
        <v>Palmila Ohiggins</v>
      </c>
      <c r="D348" s="5">
        <f>+IF('Data Pura Costos'!D348="","",'Data Pura Costos'!D348)</f>
        <v>85</v>
      </c>
      <c r="E348" s="65">
        <f>+IF('Data Pura Costos'!E348="","",IF('Data Pura Costos'!E348=0,MAX('Data Pura Costos'!$E$7:$E$3000)*1000,'Data Pura Costos'!E348))</f>
        <v>300000</v>
      </c>
      <c r="F348" s="5" t="str">
        <f>+IF('Data Pura Costos'!F348="","",'Data Pura Costos'!F348)</f>
        <v>Molina</v>
      </c>
      <c r="G348" s="5" t="str">
        <f>+IF('Data Pura Costos'!G348="","",'Data Pura Costos'!G348)</f>
        <v>TRANS. MAX SOTO G. E.I.R.L.</v>
      </c>
      <c r="H348" s="52" t="str">
        <f>+IF('Data Pura Costos'!H348="","",'Data Pura Costos'!H348)</f>
        <v>Termo</v>
      </c>
      <c r="I348" s="71">
        <f>+IF('Data Pura Costos'!I348="","",'Data Pura Costos'!I348)</f>
        <v>3529.4117647058824</v>
      </c>
      <c r="J348" s="52" t="str">
        <f>+IF('Data Pura Costos'!J348="","",'Data Pura Costos'!J348)</f>
        <v>24-25</v>
      </c>
      <c r="K348" s="82" t="str">
        <f t="shared" si="10"/>
        <v>El Huaico-Molina-TRANS. MAX SOTO G. E.I.R.L.</v>
      </c>
      <c r="R348" s="6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</row>
    <row r="349" spans="2:39" s="7" customFormat="1" x14ac:dyDescent="0.35">
      <c r="B349" s="4" t="str">
        <f>+IF('Data Pura Costos'!B349="","",'Data Pura Costos'!B349)</f>
        <v>El Parque</v>
      </c>
      <c r="C349" s="4" t="str">
        <f>+IF('Data Pura Costos'!C349="","",'Data Pura Costos'!C349)</f>
        <v>San Francisco de Mostazal.VI Region.</v>
      </c>
      <c r="D349" s="5">
        <f>+IF('Data Pura Costos'!D349="","",'Data Pura Costos'!D349)</f>
        <v>144</v>
      </c>
      <c r="E349" s="65">
        <f>+IF('Data Pura Costos'!E349="","",IF('Data Pura Costos'!E349=0,MAX('Data Pura Costos'!$E$7:$E$3000)*1000,'Data Pura Costos'!E349))</f>
        <v>380000</v>
      </c>
      <c r="F349" s="5" t="str">
        <f>+IF('Data Pura Costos'!F349="","",'Data Pura Costos'!F349)</f>
        <v>Molina</v>
      </c>
      <c r="G349" s="5" t="str">
        <f>+IF('Data Pura Costos'!G349="","",'Data Pura Costos'!G349)</f>
        <v>TRANS. MAX SOTO G. E.I.R.L.</v>
      </c>
      <c r="H349" s="52" t="str">
        <f>+IF('Data Pura Costos'!H349="","",'Data Pura Costos'!H349)</f>
        <v>Termo</v>
      </c>
      <c r="I349" s="71">
        <f>+IF('Data Pura Costos'!I349="","",'Data Pura Costos'!I349)</f>
        <v>2638.8888888888887</v>
      </c>
      <c r="J349" s="52" t="str">
        <f>+IF('Data Pura Costos'!J349="","",'Data Pura Costos'!J349)</f>
        <v>24-25</v>
      </c>
      <c r="K349" s="82" t="str">
        <f t="shared" si="10"/>
        <v>El Parque-Molina-TRANS. MAX SOTO G. E.I.R.L.</v>
      </c>
      <c r="R349" s="6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</row>
    <row r="350" spans="2:39" s="7" customFormat="1" x14ac:dyDescent="0.35">
      <c r="B350" s="4" t="str">
        <f>+IF('Data Pura Costos'!B350="","",'Data Pura Costos'!B350)</f>
        <v>El Picaso</v>
      </c>
      <c r="C350" s="4" t="str">
        <f>+IF('Data Pura Costos'!C350="","",'Data Pura Costos'!C350)</f>
        <v xml:space="preserve">San Clemente, VII región </v>
      </c>
      <c r="D350" s="5">
        <f>+IF('Data Pura Costos'!D350="","",'Data Pura Costos'!D350)</f>
        <v>60</v>
      </c>
      <c r="E350" s="65">
        <f>+IF('Data Pura Costos'!E350="","",IF('Data Pura Costos'!E350=0,MAX('Data Pura Costos'!$E$7:$E$3000)*1000,'Data Pura Costos'!E350))</f>
        <v>280000</v>
      </c>
      <c r="F350" s="5" t="str">
        <f>+IF('Data Pura Costos'!F350="","",'Data Pura Costos'!F350)</f>
        <v>Molina</v>
      </c>
      <c r="G350" s="5" t="str">
        <f>+IF('Data Pura Costos'!G350="","",'Data Pura Costos'!G350)</f>
        <v>TRANS. MAX SOTO G. E.I.R.L.</v>
      </c>
      <c r="H350" s="52" t="str">
        <f>+IF('Data Pura Costos'!H350="","",'Data Pura Costos'!H350)</f>
        <v>Termo</v>
      </c>
      <c r="I350" s="71">
        <f>+IF('Data Pura Costos'!I350="","",'Data Pura Costos'!I350)</f>
        <v>4666.666666666667</v>
      </c>
      <c r="J350" s="52" t="str">
        <f>+IF('Data Pura Costos'!J350="","",'Data Pura Costos'!J350)</f>
        <v>24-25</v>
      </c>
      <c r="K350" s="82" t="str">
        <f t="shared" si="10"/>
        <v>El Picaso-Molina-TRANS. MAX SOTO G. E.I.R.L.</v>
      </c>
      <c r="R350" s="6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</row>
    <row r="351" spans="2:39" s="7" customFormat="1" x14ac:dyDescent="0.35">
      <c r="B351" s="4" t="str">
        <f>+IF('Data Pura Costos'!B351="","",'Data Pura Costos'!B351)</f>
        <v>El Recurso</v>
      </c>
      <c r="C351" s="4" t="str">
        <f>+IF('Data Pura Costos'!C351="","",'Data Pura Costos'!C351)</f>
        <v>San Francisco de Mostazal.VI Region.</v>
      </c>
      <c r="D351" s="5">
        <f>+IF('Data Pura Costos'!D351="","",'Data Pura Costos'!D351)</f>
        <v>144</v>
      </c>
      <c r="E351" s="65">
        <f>+IF('Data Pura Costos'!E351="","",IF('Data Pura Costos'!E351=0,MAX('Data Pura Costos'!$E$7:$E$3000)*1000,'Data Pura Costos'!E351))</f>
        <v>380000</v>
      </c>
      <c r="F351" s="5" t="str">
        <f>+IF('Data Pura Costos'!F351="","",'Data Pura Costos'!F351)</f>
        <v>Molina</v>
      </c>
      <c r="G351" s="5" t="str">
        <f>+IF('Data Pura Costos'!G351="","",'Data Pura Costos'!G351)</f>
        <v>TRANS. MAX SOTO G. E.I.R.L.</v>
      </c>
      <c r="H351" s="52" t="str">
        <f>+IF('Data Pura Costos'!H351="","",'Data Pura Costos'!H351)</f>
        <v>Termo</v>
      </c>
      <c r="I351" s="71">
        <f>+IF('Data Pura Costos'!I351="","",'Data Pura Costos'!I351)</f>
        <v>2638.8888888888887</v>
      </c>
      <c r="J351" s="52" t="str">
        <f>+IF('Data Pura Costos'!J351="","",'Data Pura Costos'!J351)</f>
        <v>24-25</v>
      </c>
      <c r="K351" s="82" t="str">
        <f t="shared" si="10"/>
        <v>El Recurso-Molina-TRANS. MAX SOTO G. E.I.R.L.</v>
      </c>
      <c r="R351" s="6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</row>
    <row r="352" spans="2:39" s="7" customFormat="1" x14ac:dyDescent="0.35">
      <c r="B352" s="4" t="str">
        <f>+IF('Data Pura Costos'!B352="","",'Data Pura Costos'!B352)</f>
        <v>El Rosario</v>
      </c>
      <c r="C352" s="4" t="str">
        <f>+IF('Data Pura Costos'!C352="","",'Data Pura Costos'!C352)</f>
        <v>Linares, VII region.</v>
      </c>
      <c r="D352" s="5">
        <f>+IF('Data Pura Costos'!D352="","",'Data Pura Costos'!D352)</f>
        <v>120</v>
      </c>
      <c r="E352" s="65">
        <f>+IF('Data Pura Costos'!E352="","",IF('Data Pura Costos'!E352=0,MAX('Data Pura Costos'!$E$7:$E$3000)*1000,'Data Pura Costos'!E352))</f>
        <v>360000</v>
      </c>
      <c r="F352" s="5" t="str">
        <f>+IF('Data Pura Costos'!F352="","",'Data Pura Costos'!F352)</f>
        <v>Molina</v>
      </c>
      <c r="G352" s="5" t="str">
        <f>+IF('Data Pura Costos'!G352="","",'Data Pura Costos'!G352)</f>
        <v>TRANS. MAX SOTO G. E.I.R.L.</v>
      </c>
      <c r="H352" s="52" t="str">
        <f>+IF('Data Pura Costos'!H352="","",'Data Pura Costos'!H352)</f>
        <v>Termo</v>
      </c>
      <c r="I352" s="71">
        <f>+IF('Data Pura Costos'!I352="","",'Data Pura Costos'!I352)</f>
        <v>3000</v>
      </c>
      <c r="J352" s="52" t="str">
        <f>+IF('Data Pura Costos'!J352="","",'Data Pura Costos'!J352)</f>
        <v>24-25</v>
      </c>
      <c r="K352" s="82" t="str">
        <f t="shared" si="10"/>
        <v>El Rosario-Molina-TRANS. MAX SOTO G. E.I.R.L.</v>
      </c>
      <c r="R352" s="6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</row>
    <row r="353" spans="2:39" s="7" customFormat="1" x14ac:dyDescent="0.35">
      <c r="B353" s="4" t="str">
        <f>+IF('Data Pura Costos'!B353="","",'Data Pura Costos'!B353)</f>
        <v>El Retiro</v>
      </c>
      <c r="C353" s="4" t="str">
        <f>+IF('Data Pura Costos'!C353="","",'Data Pura Costos'!C353)</f>
        <v>Rosario, VI Region.</v>
      </c>
      <c r="D353" s="5">
        <f>+IF('Data Pura Costos'!D353="","",'Data Pura Costos'!D353)</f>
        <v>100</v>
      </c>
      <c r="E353" s="65">
        <f>+IF('Data Pura Costos'!E353="","",IF('Data Pura Costos'!E353=0,MAX('Data Pura Costos'!$E$7:$E$3000)*1000,'Data Pura Costos'!E353))</f>
        <v>350000</v>
      </c>
      <c r="F353" s="5" t="str">
        <f>+IF('Data Pura Costos'!F353="","",'Data Pura Costos'!F353)</f>
        <v>Molina</v>
      </c>
      <c r="G353" s="5" t="str">
        <f>+IF('Data Pura Costos'!G353="","",'Data Pura Costos'!G353)</f>
        <v>TRANS. MAX SOTO G. E.I.R.L.</v>
      </c>
      <c r="H353" s="52" t="str">
        <f>+IF('Data Pura Costos'!H353="","",'Data Pura Costos'!H353)</f>
        <v>Termo</v>
      </c>
      <c r="I353" s="71">
        <f>+IF('Data Pura Costos'!I353="","",'Data Pura Costos'!I353)</f>
        <v>3500</v>
      </c>
      <c r="J353" s="52" t="str">
        <f>+IF('Data Pura Costos'!J353="","",'Data Pura Costos'!J353)</f>
        <v>24-25</v>
      </c>
      <c r="K353" s="82" t="str">
        <f t="shared" si="10"/>
        <v>El Retiro-Molina-TRANS. MAX SOTO G. E.I.R.L.</v>
      </c>
      <c r="R353" s="6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</row>
    <row r="354" spans="2:39" s="7" customFormat="1" x14ac:dyDescent="0.35">
      <c r="B354" s="4" t="str">
        <f>+IF('Data Pura Costos'!B354="","",'Data Pura Costos'!B354)</f>
        <v>La Esperanza</v>
      </c>
      <c r="C354" s="4" t="str">
        <f>+IF('Data Pura Costos'!C354="","",'Data Pura Costos'!C354)</f>
        <v>Peumo, VI región</v>
      </c>
      <c r="D354" s="5">
        <f>+IF('Data Pura Costos'!D354="","",'Data Pura Costos'!D354)</f>
        <v>125</v>
      </c>
      <c r="E354" s="65">
        <f>+IF('Data Pura Costos'!E354="","",IF('Data Pura Costos'!E354=0,MAX('Data Pura Costos'!$E$7:$E$3000)*1000,'Data Pura Costos'!E354))</f>
        <v>360000</v>
      </c>
      <c r="F354" s="5" t="str">
        <f>+IF('Data Pura Costos'!F354="","",'Data Pura Costos'!F354)</f>
        <v>Molina</v>
      </c>
      <c r="G354" s="5" t="str">
        <f>+IF('Data Pura Costos'!G354="","",'Data Pura Costos'!G354)</f>
        <v>TRANS. MAX SOTO G. E.I.R.L.</v>
      </c>
      <c r="H354" s="52" t="str">
        <f>+IF('Data Pura Costos'!H354="","",'Data Pura Costos'!H354)</f>
        <v>Termo</v>
      </c>
      <c r="I354" s="71">
        <f>+IF('Data Pura Costos'!I354="","",'Data Pura Costos'!I354)</f>
        <v>2880</v>
      </c>
      <c r="J354" s="52" t="str">
        <f>+IF('Data Pura Costos'!J354="","",'Data Pura Costos'!J354)</f>
        <v>24-25</v>
      </c>
      <c r="K354" s="82" t="str">
        <f t="shared" si="10"/>
        <v>La Esperanza-Molina-TRANS. MAX SOTO G. E.I.R.L.</v>
      </c>
      <c r="R354" s="6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</row>
    <row r="355" spans="2:39" s="7" customFormat="1" x14ac:dyDescent="0.35">
      <c r="B355" s="4" t="str">
        <f>+IF('Data Pura Costos'!B355="","",'Data Pura Costos'!B355)</f>
        <v>La Estación</v>
      </c>
      <c r="C355" s="4" t="str">
        <f>+IF('Data Pura Costos'!C355="","",'Data Pura Costos'!C355)</f>
        <v>Palmilla, VI región</v>
      </c>
      <c r="D355" s="5">
        <f>+IF('Data Pura Costos'!D355="","",'Data Pura Costos'!D355)</f>
        <v>90</v>
      </c>
      <c r="E355" s="65">
        <f>+IF('Data Pura Costos'!E355="","",IF('Data Pura Costos'!E355=0,MAX('Data Pura Costos'!$E$7:$E$3000)*1000,'Data Pura Costos'!E355))</f>
        <v>350000</v>
      </c>
      <c r="F355" s="5" t="str">
        <f>+IF('Data Pura Costos'!F355="","",'Data Pura Costos'!F355)</f>
        <v>Molina</v>
      </c>
      <c r="G355" s="5" t="str">
        <f>+IF('Data Pura Costos'!G355="","",'Data Pura Costos'!G355)</f>
        <v>TRANS. MAX SOTO G. E.I.R.L.</v>
      </c>
      <c r="H355" s="52" t="str">
        <f>+IF('Data Pura Costos'!H355="","",'Data Pura Costos'!H355)</f>
        <v>Termo</v>
      </c>
      <c r="I355" s="71">
        <f>+IF('Data Pura Costos'!I355="","",'Data Pura Costos'!I355)</f>
        <v>3888.8888888888887</v>
      </c>
      <c r="J355" s="52" t="str">
        <f>+IF('Data Pura Costos'!J355="","",'Data Pura Costos'!J355)</f>
        <v>24-25</v>
      </c>
      <c r="K355" s="82" t="str">
        <f t="shared" si="10"/>
        <v>La Estación-Molina-TRANS. MAX SOTO G. E.I.R.L.</v>
      </c>
      <c r="R355" s="6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</row>
    <row r="356" spans="2:39" s="7" customFormat="1" x14ac:dyDescent="0.35">
      <c r="B356" s="4" t="str">
        <f>+IF('Data Pura Costos'!B356="","",'Data Pura Costos'!B356)</f>
        <v>La Lajuela</v>
      </c>
      <c r="C356" s="4" t="str">
        <f>+IF('Data Pura Costos'!C356="","",'Data Pura Costos'!C356)</f>
        <v>Santa Cruz, VI Región</v>
      </c>
      <c r="D356" s="5">
        <f>+IF('Data Pura Costos'!D356="","",'Data Pura Costos'!D356)</f>
        <v>80</v>
      </c>
      <c r="E356" s="65">
        <f>+IF('Data Pura Costos'!E356="","",IF('Data Pura Costos'!E356=0,MAX('Data Pura Costos'!$E$7:$E$3000)*1000,'Data Pura Costos'!E356))</f>
        <v>350000</v>
      </c>
      <c r="F356" s="5" t="str">
        <f>+IF('Data Pura Costos'!F356="","",'Data Pura Costos'!F356)</f>
        <v>Molina</v>
      </c>
      <c r="G356" s="5" t="str">
        <f>+IF('Data Pura Costos'!G356="","",'Data Pura Costos'!G356)</f>
        <v>TRANS. MAX SOTO G. E.I.R.L.</v>
      </c>
      <c r="H356" s="52" t="str">
        <f>+IF('Data Pura Costos'!H356="","",'Data Pura Costos'!H356)</f>
        <v>Termo</v>
      </c>
      <c r="I356" s="71">
        <f>+IF('Data Pura Costos'!I356="","",'Data Pura Costos'!I356)</f>
        <v>4375</v>
      </c>
      <c r="J356" s="52" t="str">
        <f>+IF('Data Pura Costos'!J356="","",'Data Pura Costos'!J356)</f>
        <v>24-25</v>
      </c>
      <c r="K356" s="82" t="str">
        <f t="shared" si="10"/>
        <v>La Lajuela-Molina-TRANS. MAX SOTO G. E.I.R.L.</v>
      </c>
      <c r="R356" s="6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</row>
    <row r="357" spans="2:39" s="7" customFormat="1" x14ac:dyDescent="0.35">
      <c r="B357" s="4" t="str">
        <f>+IF('Data Pura Costos'!B357="","",'Data Pura Costos'!B357)</f>
        <v>La Morera</v>
      </c>
      <c r="C357" s="4" t="str">
        <f>+IF('Data Pura Costos'!C357="","",'Data Pura Costos'!C357)</f>
        <v>La compañia, VI Region.</v>
      </c>
      <c r="D357" s="5">
        <f>+IF('Data Pura Costos'!D357="","",'Data Pura Costos'!D357)</f>
        <v>130</v>
      </c>
      <c r="E357" s="65">
        <f>+IF('Data Pura Costos'!E357="","",IF('Data Pura Costos'!E357=0,MAX('Data Pura Costos'!$E$7:$E$3000)*1000,'Data Pura Costos'!E357))</f>
        <v>380000</v>
      </c>
      <c r="F357" s="5" t="str">
        <f>+IF('Data Pura Costos'!F357="","",'Data Pura Costos'!F357)</f>
        <v>Molina</v>
      </c>
      <c r="G357" s="5" t="str">
        <f>+IF('Data Pura Costos'!G357="","",'Data Pura Costos'!G357)</f>
        <v>TRANS. MAX SOTO G. E.I.R.L.</v>
      </c>
      <c r="H357" s="52" t="str">
        <f>+IF('Data Pura Costos'!H357="","",'Data Pura Costos'!H357)</f>
        <v>Termo</v>
      </c>
      <c r="I357" s="71">
        <f>+IF('Data Pura Costos'!I357="","",'Data Pura Costos'!I357)</f>
        <v>2923.0769230769229</v>
      </c>
      <c r="J357" s="52" t="str">
        <f>+IF('Data Pura Costos'!J357="","",'Data Pura Costos'!J357)</f>
        <v>24-25</v>
      </c>
      <c r="K357" s="82" t="str">
        <f t="shared" si="10"/>
        <v>La Morera-Molina-TRANS. MAX SOTO G. E.I.R.L.</v>
      </c>
      <c r="R357" s="6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</row>
    <row r="358" spans="2:39" s="7" customFormat="1" x14ac:dyDescent="0.35">
      <c r="B358" s="4" t="str">
        <f>+IF('Data Pura Costos'!B358="","",'Data Pura Costos'!B358)</f>
        <v>La Rinconada</v>
      </c>
      <c r="C358" s="4" t="str">
        <f>+IF('Data Pura Costos'!C358="","",'Data Pura Costos'!C358)</f>
        <v>Pichidegua, VI región</v>
      </c>
      <c r="D358" s="5">
        <f>+IF('Data Pura Costos'!D358="","",'Data Pura Costos'!D358)</f>
        <v>133</v>
      </c>
      <c r="E358" s="65">
        <f>+IF('Data Pura Costos'!E358="","",IF('Data Pura Costos'!E358=0,MAX('Data Pura Costos'!$E$7:$E$3000)*1000,'Data Pura Costos'!E358))</f>
        <v>380000</v>
      </c>
      <c r="F358" s="5" t="str">
        <f>+IF('Data Pura Costos'!F358="","",'Data Pura Costos'!F358)</f>
        <v>Molina</v>
      </c>
      <c r="G358" s="5" t="str">
        <f>+IF('Data Pura Costos'!G358="","",'Data Pura Costos'!G358)</f>
        <v>TRANS. MAX SOTO G. E.I.R.L.</v>
      </c>
      <c r="H358" s="52" t="str">
        <f>+IF('Data Pura Costos'!H358="","",'Data Pura Costos'!H358)</f>
        <v>Termo</v>
      </c>
      <c r="I358" s="71">
        <f>+IF('Data Pura Costos'!I358="","",'Data Pura Costos'!I358)</f>
        <v>2857.1428571428573</v>
      </c>
      <c r="J358" s="52" t="str">
        <f>+IF('Data Pura Costos'!J358="","",'Data Pura Costos'!J358)</f>
        <v>24-25</v>
      </c>
      <c r="K358" s="82" t="str">
        <f t="shared" si="10"/>
        <v>La Rinconada-Molina-TRANS. MAX SOTO G. E.I.R.L.</v>
      </c>
      <c r="R358" s="6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</row>
    <row r="359" spans="2:39" s="7" customFormat="1" x14ac:dyDescent="0.35">
      <c r="B359" s="4" t="str">
        <f>+IF('Data Pura Costos'!B359="","",'Data Pura Costos'!B359)</f>
        <v xml:space="preserve">La Roblería </v>
      </c>
      <c r="C359" s="4" t="str">
        <f>+IF('Data Pura Costos'!C359="","",'Data Pura Costos'!C359)</f>
        <v>Aculeo, RM</v>
      </c>
      <c r="D359" s="5">
        <f>+IF('Data Pura Costos'!D359="","",'Data Pura Costos'!D359)</f>
        <v>180</v>
      </c>
      <c r="E359" s="65">
        <f>+IF('Data Pura Costos'!E359="","",IF('Data Pura Costos'!E359=0,MAX('Data Pura Costos'!$E$7:$E$3000)*1000,'Data Pura Costos'!E359))</f>
        <v>440000</v>
      </c>
      <c r="F359" s="5" t="str">
        <f>+IF('Data Pura Costos'!F359="","",'Data Pura Costos'!F359)</f>
        <v>Molina</v>
      </c>
      <c r="G359" s="5" t="str">
        <f>+IF('Data Pura Costos'!G359="","",'Data Pura Costos'!G359)</f>
        <v>TRANS. MAX SOTO G. E.I.R.L.</v>
      </c>
      <c r="H359" s="52" t="str">
        <f>+IF('Data Pura Costos'!H359="","",'Data Pura Costos'!H359)</f>
        <v>Termo</v>
      </c>
      <c r="I359" s="71">
        <f>+IF('Data Pura Costos'!I359="","",'Data Pura Costos'!I359)</f>
        <v>2444.4444444444443</v>
      </c>
      <c r="J359" s="52" t="str">
        <f>+IF('Data Pura Costos'!J359="","",'Data Pura Costos'!J359)</f>
        <v>24-25</v>
      </c>
      <c r="K359" s="82" t="str">
        <f t="shared" si="10"/>
        <v>La Roblería -Molina-TRANS. MAX SOTO G. E.I.R.L.</v>
      </c>
      <c r="R359" s="6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</row>
    <row r="360" spans="2:39" s="7" customFormat="1" x14ac:dyDescent="0.35">
      <c r="B360" s="4" t="str">
        <f>+IF('Data Pura Costos'!B360="","",'Data Pura Costos'!B360)</f>
        <v>Las Cabras</v>
      </c>
      <c r="C360" s="4" t="str">
        <f>+IF('Data Pura Costos'!C360="","",'Data Pura Costos'!C360)</f>
        <v>Las Cabras, VI región</v>
      </c>
      <c r="D360" s="5">
        <f>+IF('Data Pura Costos'!D360="","",'Data Pura Costos'!D360)</f>
        <v>140</v>
      </c>
      <c r="E360" s="65">
        <f>+IF('Data Pura Costos'!E360="","",IF('Data Pura Costos'!E360=0,MAX('Data Pura Costos'!$E$7:$E$3000)*1000,'Data Pura Costos'!E360))</f>
        <v>380000</v>
      </c>
      <c r="F360" s="5" t="str">
        <f>+IF('Data Pura Costos'!F360="","",'Data Pura Costos'!F360)</f>
        <v>Molina</v>
      </c>
      <c r="G360" s="5" t="str">
        <f>+IF('Data Pura Costos'!G360="","",'Data Pura Costos'!G360)</f>
        <v>TRANS. MAX SOTO G. E.I.R.L.</v>
      </c>
      <c r="H360" s="52" t="str">
        <f>+IF('Data Pura Costos'!H360="","",'Data Pura Costos'!H360)</f>
        <v>Termo</v>
      </c>
      <c r="I360" s="71">
        <f>+IF('Data Pura Costos'!I360="","",'Data Pura Costos'!I360)</f>
        <v>2714.2857142857142</v>
      </c>
      <c r="J360" s="52" t="str">
        <f>+IF('Data Pura Costos'!J360="","",'Data Pura Costos'!J360)</f>
        <v>24-25</v>
      </c>
      <c r="K360" s="82" t="str">
        <f t="shared" si="10"/>
        <v>Las Cabras-Molina-TRANS. MAX SOTO G. E.I.R.L.</v>
      </c>
      <c r="R360" s="6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</row>
    <row r="361" spans="2:39" s="7" customFormat="1" x14ac:dyDescent="0.35">
      <c r="B361" s="4" t="str">
        <f>+IF('Data Pura Costos'!B361="","",'Data Pura Costos'!B361)</f>
        <v>Las Vertientes</v>
      </c>
      <c r="C361" s="4" t="str">
        <f>+IF('Data Pura Costos'!C361="","",'Data Pura Costos'!C361)</f>
        <v>Pichidegua, VI región</v>
      </c>
      <c r="D361" s="5">
        <f>+IF('Data Pura Costos'!D361="","",'Data Pura Costos'!D361)</f>
        <v>130</v>
      </c>
      <c r="E361" s="65">
        <f>+IF('Data Pura Costos'!E361="","",IF('Data Pura Costos'!E361=0,MAX('Data Pura Costos'!$E$7:$E$3000)*1000,'Data Pura Costos'!E361))</f>
        <v>380000</v>
      </c>
      <c r="F361" s="5" t="str">
        <f>+IF('Data Pura Costos'!F361="","",'Data Pura Costos'!F361)</f>
        <v>Molina</v>
      </c>
      <c r="G361" s="5" t="str">
        <f>+IF('Data Pura Costos'!G361="","",'Data Pura Costos'!G361)</f>
        <v>TRANS. MAX SOTO G. E.I.R.L.</v>
      </c>
      <c r="H361" s="52" t="str">
        <f>+IF('Data Pura Costos'!H361="","",'Data Pura Costos'!H361)</f>
        <v>Termo</v>
      </c>
      <c r="I361" s="71">
        <f>+IF('Data Pura Costos'!I361="","",'Data Pura Costos'!I361)</f>
        <v>2923.0769230769229</v>
      </c>
      <c r="J361" s="52" t="str">
        <f>+IF('Data Pura Costos'!J361="","",'Data Pura Costos'!J361)</f>
        <v>24-25</v>
      </c>
      <c r="K361" s="82" t="str">
        <f t="shared" si="10"/>
        <v>Las Vertientes-Molina-TRANS. MAX SOTO G. E.I.R.L.</v>
      </c>
      <c r="R361" s="6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</row>
    <row r="362" spans="2:39" s="7" customFormat="1" x14ac:dyDescent="0.35">
      <c r="B362" s="4" t="str">
        <f>+IF('Data Pura Costos'!B362="","",'Data Pura Costos'!B362)</f>
        <v>Lihueimo</v>
      </c>
      <c r="C362" s="4" t="str">
        <f>+IF('Data Pura Costos'!C362="","",'Data Pura Costos'!C362)</f>
        <v>Peralillo ohiggins</v>
      </c>
      <c r="D362" s="5">
        <f>+IF('Data Pura Costos'!D362="","",'Data Pura Costos'!D362)</f>
        <v>90</v>
      </c>
      <c r="E362" s="65">
        <f>+IF('Data Pura Costos'!E362="","",IF('Data Pura Costos'!E362=0,MAX('Data Pura Costos'!$E$7:$E$3000)*1000,'Data Pura Costos'!E362))</f>
        <v>350000</v>
      </c>
      <c r="F362" s="5" t="str">
        <f>+IF('Data Pura Costos'!F362="","",'Data Pura Costos'!F362)</f>
        <v>Molina</v>
      </c>
      <c r="G362" s="5" t="str">
        <f>+IF('Data Pura Costos'!G362="","",'Data Pura Costos'!G362)</f>
        <v>TRANS. MAX SOTO G. E.I.R.L.</v>
      </c>
      <c r="H362" s="52" t="str">
        <f>+IF('Data Pura Costos'!H362="","",'Data Pura Costos'!H362)</f>
        <v>Termo</v>
      </c>
      <c r="I362" s="71">
        <f>+IF('Data Pura Costos'!I362="","",'Data Pura Costos'!I362)</f>
        <v>3888.8888888888887</v>
      </c>
      <c r="J362" s="52" t="str">
        <f>+IF('Data Pura Costos'!J362="","",'Data Pura Costos'!J362)</f>
        <v>24-25</v>
      </c>
      <c r="K362" s="82" t="str">
        <f t="shared" si="10"/>
        <v>Lihueimo-Molina-TRANS. MAX SOTO G. E.I.R.L.</v>
      </c>
      <c r="R362" s="6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</row>
    <row r="363" spans="2:39" s="7" customFormat="1" x14ac:dyDescent="0.35">
      <c r="B363" s="4" t="str">
        <f>+IF('Data Pura Costos'!B363="","",'Data Pura Costos'!B363)</f>
        <v>Los Encinos</v>
      </c>
      <c r="C363" s="4" t="str">
        <f>+IF('Data Pura Costos'!C363="","",'Data Pura Costos'!C363)</f>
        <v>Huechun, RM</v>
      </c>
      <c r="D363" s="5">
        <f>+IF('Data Pura Costos'!D363="","",'Data Pura Costos'!D363)</f>
        <v>230</v>
      </c>
      <c r="E363" s="65">
        <f>+IF('Data Pura Costos'!E363="","",IF('Data Pura Costos'!E363=0,MAX('Data Pura Costos'!$E$7:$E$3000)*1000,'Data Pura Costos'!E363))</f>
        <v>520000</v>
      </c>
      <c r="F363" s="5" t="str">
        <f>+IF('Data Pura Costos'!F363="","",'Data Pura Costos'!F363)</f>
        <v>Molina</v>
      </c>
      <c r="G363" s="5" t="str">
        <f>+IF('Data Pura Costos'!G363="","",'Data Pura Costos'!G363)</f>
        <v>TRANS. MAX SOTO G. E.I.R.L.</v>
      </c>
      <c r="H363" s="52" t="str">
        <f>+IF('Data Pura Costos'!H363="","",'Data Pura Costos'!H363)</f>
        <v>Termo</v>
      </c>
      <c r="I363" s="71">
        <f>+IF('Data Pura Costos'!I363="","",'Data Pura Costos'!I363)</f>
        <v>2260.8695652173915</v>
      </c>
      <c r="J363" s="52" t="str">
        <f>+IF('Data Pura Costos'!J363="","",'Data Pura Costos'!J363)</f>
        <v>24-25</v>
      </c>
      <c r="K363" s="82" t="str">
        <f t="shared" si="10"/>
        <v>Los Encinos-Molina-TRANS. MAX SOTO G. E.I.R.L.</v>
      </c>
      <c r="R363" s="6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</row>
    <row r="364" spans="2:39" s="7" customFormat="1" x14ac:dyDescent="0.35">
      <c r="B364" s="4" t="str">
        <f>+IF('Data Pura Costos'!B364="","",'Data Pura Costos'!B364)</f>
        <v>Los Maitenes</v>
      </c>
      <c r="C364" s="4" t="str">
        <f>+IF('Data Pura Costos'!C364="","",'Data Pura Costos'!C364)</f>
        <v>Las Cabras, VI región</v>
      </c>
      <c r="D364" s="5">
        <f>+IF('Data Pura Costos'!D364="","",'Data Pura Costos'!D364)</f>
        <v>144</v>
      </c>
      <c r="E364" s="65">
        <f>+IF('Data Pura Costos'!E364="","",IF('Data Pura Costos'!E364=0,MAX('Data Pura Costos'!$E$7:$E$3000)*1000,'Data Pura Costos'!E364))</f>
        <v>380000</v>
      </c>
      <c r="F364" s="5" t="str">
        <f>+IF('Data Pura Costos'!F364="","",'Data Pura Costos'!F364)</f>
        <v>Molina</v>
      </c>
      <c r="G364" s="5" t="str">
        <f>+IF('Data Pura Costos'!G364="","",'Data Pura Costos'!G364)</f>
        <v>TRANS. MAX SOTO G. E.I.R.L.</v>
      </c>
      <c r="H364" s="52" t="str">
        <f>+IF('Data Pura Costos'!H364="","",'Data Pura Costos'!H364)</f>
        <v>Termo</v>
      </c>
      <c r="I364" s="71">
        <f>+IF('Data Pura Costos'!I364="","",'Data Pura Costos'!I364)</f>
        <v>2638.8888888888887</v>
      </c>
      <c r="J364" s="52" t="str">
        <f>+IF('Data Pura Costos'!J364="","",'Data Pura Costos'!J364)</f>
        <v>24-25</v>
      </c>
      <c r="K364" s="82" t="str">
        <f t="shared" si="10"/>
        <v>Los Maitenes-Molina-TRANS. MAX SOTO G. E.I.R.L.</v>
      </c>
      <c r="R364" s="6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</row>
    <row r="365" spans="2:39" s="7" customFormat="1" x14ac:dyDescent="0.35">
      <c r="B365" s="4" t="str">
        <f>+IF('Data Pura Costos'!B365="","",'Data Pura Costos'!B365)</f>
        <v>Los Toldos</v>
      </c>
      <c r="C365" s="4" t="str">
        <f>+IF('Data Pura Costos'!C365="","",'Data Pura Costos'!C365)</f>
        <v>Angol, IX región</v>
      </c>
      <c r="D365" s="5">
        <f>+IF('Data Pura Costos'!D365="","",'Data Pura Costos'!D365)</f>
        <v>408</v>
      </c>
      <c r="E365" s="65">
        <f>+IF('Data Pura Costos'!E365="","",IF('Data Pura Costos'!E365=0,MAX('Data Pura Costos'!$E$7:$E$3000)*1000,'Data Pura Costos'!E365))</f>
        <v>920000</v>
      </c>
      <c r="F365" s="5" t="str">
        <f>+IF('Data Pura Costos'!F365="","",'Data Pura Costos'!F365)</f>
        <v>Molina</v>
      </c>
      <c r="G365" s="5" t="str">
        <f>+IF('Data Pura Costos'!G365="","",'Data Pura Costos'!G365)</f>
        <v>TRANS. MAX SOTO G. E.I.R.L.</v>
      </c>
      <c r="H365" s="52" t="str">
        <f>+IF('Data Pura Costos'!H365="","",'Data Pura Costos'!H365)</f>
        <v>Termo</v>
      </c>
      <c r="I365" s="71">
        <f>+IF('Data Pura Costos'!I365="","",'Data Pura Costos'!I365)</f>
        <v>2254.9019607843138</v>
      </c>
      <c r="J365" s="52" t="str">
        <f>+IF('Data Pura Costos'!J365="","",'Data Pura Costos'!J365)</f>
        <v>24-25</v>
      </c>
      <c r="K365" s="82" t="str">
        <f t="shared" si="10"/>
        <v>Los Toldos-Molina-TRANS. MAX SOTO G. E.I.R.L.</v>
      </c>
      <c r="R365" s="6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</row>
    <row r="366" spans="2:39" s="7" customFormat="1" x14ac:dyDescent="0.35">
      <c r="B366" s="4" t="str">
        <f>+IF('Data Pura Costos'!B366="","",'Data Pura Costos'!B366)</f>
        <v>Mallorca</v>
      </c>
      <c r="C366" s="4" t="str">
        <f>+IF('Data Pura Costos'!C366="","",'Data Pura Costos'!C366)</f>
        <v xml:space="preserve">Molina, VII región </v>
      </c>
      <c r="D366" s="5">
        <f>+IF('Data Pura Costos'!D366="","",'Data Pura Costos'!D366)</f>
        <v>1</v>
      </c>
      <c r="E366" s="65">
        <f>+IF('Data Pura Costos'!E366="","",IF('Data Pura Costos'!E366=0,MAX('Data Pura Costos'!$E$7:$E$3000)*1000,'Data Pura Costos'!E366))</f>
        <v>275000</v>
      </c>
      <c r="F366" s="5" t="str">
        <f>+IF('Data Pura Costos'!F366="","",'Data Pura Costos'!F366)</f>
        <v>Molina</v>
      </c>
      <c r="G366" s="5" t="str">
        <f>+IF('Data Pura Costos'!G366="","",'Data Pura Costos'!G366)</f>
        <v>TRANS. MAX SOTO G. E.I.R.L.</v>
      </c>
      <c r="H366" s="52" t="str">
        <f>+IF('Data Pura Costos'!H366="","",'Data Pura Costos'!H366)</f>
        <v>Termo</v>
      </c>
      <c r="I366" s="71">
        <f>+IF('Data Pura Costos'!I366="","",'Data Pura Costos'!I366)</f>
        <v>275000</v>
      </c>
      <c r="J366" s="52" t="str">
        <f>+IF('Data Pura Costos'!J366="","",'Data Pura Costos'!J366)</f>
        <v>24-25</v>
      </c>
      <c r="K366" s="82" t="str">
        <f t="shared" si="10"/>
        <v>Mallorca-Molina-TRANS. MAX SOTO G. E.I.R.L.</v>
      </c>
      <c r="R366" s="6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</row>
    <row r="367" spans="2:39" s="7" customFormat="1" x14ac:dyDescent="0.35">
      <c r="B367" s="4" t="str">
        <f>+IF('Data Pura Costos'!B367="","",'Data Pura Costos'!B367)</f>
        <v>Panquehue</v>
      </c>
      <c r="C367" s="4" t="str">
        <f>+IF('Data Pura Costos'!C367="","",'Data Pura Costos'!C367)</f>
        <v>Panquehue, V región</v>
      </c>
      <c r="D367" s="5">
        <f>+IF('Data Pura Costos'!D367="","",'Data Pura Costos'!D367)</f>
        <v>310</v>
      </c>
      <c r="E367" s="65">
        <f>+IF('Data Pura Costos'!E367="","",IF('Data Pura Costos'!E367=0,MAX('Data Pura Costos'!$E$7:$E$3000)*1000,'Data Pura Costos'!E367))</f>
        <v>650000</v>
      </c>
      <c r="F367" s="5" t="str">
        <f>+IF('Data Pura Costos'!F367="","",'Data Pura Costos'!F367)</f>
        <v>Molina</v>
      </c>
      <c r="G367" s="5" t="str">
        <f>+IF('Data Pura Costos'!G367="","",'Data Pura Costos'!G367)</f>
        <v>TRANS. MAX SOTO G. E.I.R.L.</v>
      </c>
      <c r="H367" s="52" t="str">
        <f>+IF('Data Pura Costos'!H367="","",'Data Pura Costos'!H367)</f>
        <v>Termo</v>
      </c>
      <c r="I367" s="71">
        <f>+IF('Data Pura Costos'!I367="","",'Data Pura Costos'!I367)</f>
        <v>2096.7741935483873</v>
      </c>
      <c r="J367" s="52" t="str">
        <f>+IF('Data Pura Costos'!J367="","",'Data Pura Costos'!J367)</f>
        <v>24-25</v>
      </c>
      <c r="K367" s="82" t="str">
        <f t="shared" si="10"/>
        <v>Panquehue-Molina-TRANS. MAX SOTO G. E.I.R.L.</v>
      </c>
      <c r="R367" s="6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</row>
    <row r="368" spans="2:39" s="7" customFormat="1" x14ac:dyDescent="0.35">
      <c r="B368" s="4" t="str">
        <f>+IF('Data Pura Costos'!B368="","",'Data Pura Costos'!B368)</f>
        <v>Entre Rios/Puente Negro/Rio Claro</v>
      </c>
      <c r="C368" s="4" t="str">
        <f>+IF('Data Pura Costos'!C368="","",'Data Pura Costos'!C368)</f>
        <v>Puente negro, san fernando.VI Region.</v>
      </c>
      <c r="D368" s="5">
        <f>+IF('Data Pura Costos'!D368="","",'Data Pura Costos'!D368)</f>
        <v>95</v>
      </c>
      <c r="E368" s="65">
        <f>+IF('Data Pura Costos'!E368="","",IF('Data Pura Costos'!E368=0,MAX('Data Pura Costos'!$E$7:$E$3000)*1000,'Data Pura Costos'!E368))</f>
        <v>360000</v>
      </c>
      <c r="F368" s="5" t="str">
        <f>+IF('Data Pura Costos'!F368="","",'Data Pura Costos'!F368)</f>
        <v>Molina</v>
      </c>
      <c r="G368" s="5" t="str">
        <f>+IF('Data Pura Costos'!G368="","",'Data Pura Costos'!G368)</f>
        <v>TRANS. MAX SOTO G. E.I.R.L.</v>
      </c>
      <c r="H368" s="52" t="str">
        <f>+IF('Data Pura Costos'!H368="","",'Data Pura Costos'!H368)</f>
        <v>Termo</v>
      </c>
      <c r="I368" s="71">
        <f>+IF('Data Pura Costos'!I368="","",'Data Pura Costos'!I368)</f>
        <v>3789.4736842105262</v>
      </c>
      <c r="J368" s="52" t="str">
        <f>+IF('Data Pura Costos'!J368="","",'Data Pura Costos'!J368)</f>
        <v>24-25</v>
      </c>
      <c r="K368" s="82" t="str">
        <f t="shared" si="10"/>
        <v>Entre Rios/Puente Negro/Rio Claro-Molina-TRANS. MAX SOTO G. E.I.R.L.</v>
      </c>
      <c r="R368" s="6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</row>
    <row r="369" spans="2:39" s="7" customFormat="1" x14ac:dyDescent="0.35">
      <c r="B369" s="4" t="str">
        <f>+IF('Data Pura Costos'!B369="","",'Data Pura Costos'!B369)</f>
        <v>Retorno</v>
      </c>
      <c r="C369" s="4" t="str">
        <f>+IF('Data Pura Costos'!C369="","",'Data Pura Costos'!C369)</f>
        <v>Santa maria, V región</v>
      </c>
      <c r="D369" s="5">
        <f>+IF('Data Pura Costos'!D369="","",'Data Pura Costos'!D369)</f>
        <v>305</v>
      </c>
      <c r="E369" s="65">
        <f>+IF('Data Pura Costos'!E369="","",IF('Data Pura Costos'!E369=0,MAX('Data Pura Costos'!$E$7:$E$3000)*1000,'Data Pura Costos'!E369))</f>
        <v>650000</v>
      </c>
      <c r="F369" s="5" t="str">
        <f>+IF('Data Pura Costos'!F369="","",'Data Pura Costos'!F369)</f>
        <v>Molina</v>
      </c>
      <c r="G369" s="5" t="str">
        <f>+IF('Data Pura Costos'!G369="","",'Data Pura Costos'!G369)</f>
        <v>TRANS. MAX SOTO G. E.I.R.L.</v>
      </c>
      <c r="H369" s="52" t="str">
        <f>+IF('Data Pura Costos'!H369="","",'Data Pura Costos'!H369)</f>
        <v>Termo</v>
      </c>
      <c r="I369" s="71">
        <f>+IF('Data Pura Costos'!I369="","",'Data Pura Costos'!I369)</f>
        <v>2131.1475409836066</v>
      </c>
      <c r="J369" s="52" t="str">
        <f>+IF('Data Pura Costos'!J369="","",'Data Pura Costos'!J369)</f>
        <v>24-25</v>
      </c>
      <c r="K369" s="82" t="str">
        <f t="shared" si="10"/>
        <v>Retorno-Molina-TRANS. MAX SOTO G. E.I.R.L.</v>
      </c>
      <c r="R369" s="6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</row>
    <row r="370" spans="2:39" s="7" customFormat="1" x14ac:dyDescent="0.35">
      <c r="B370" s="4" t="str">
        <f>+IF('Data Pura Costos'!B370="","",'Data Pura Costos'!B370)</f>
        <v>San Hernán</v>
      </c>
      <c r="C370" s="4" t="str">
        <f>+IF('Data Pura Costos'!C370="","",'Data Pura Costos'!C370)</f>
        <v>Graneros, VI región</v>
      </c>
      <c r="D370" s="5">
        <f>+IF('Data Pura Costos'!D370="","",'Data Pura Costos'!D370)</f>
        <v>140</v>
      </c>
      <c r="E370" s="65">
        <f>+IF('Data Pura Costos'!E370="","",IF('Data Pura Costos'!E370=0,MAX('Data Pura Costos'!$E$7:$E$3000)*1000,'Data Pura Costos'!E370))</f>
        <v>380000</v>
      </c>
      <c r="F370" s="5" t="str">
        <f>+IF('Data Pura Costos'!F370="","",'Data Pura Costos'!F370)</f>
        <v>Molina</v>
      </c>
      <c r="G370" s="5" t="str">
        <f>+IF('Data Pura Costos'!G370="","",'Data Pura Costos'!G370)</f>
        <v>TRANS. MAX SOTO G. E.I.R.L.</v>
      </c>
      <c r="H370" s="52" t="str">
        <f>+IF('Data Pura Costos'!H370="","",'Data Pura Costos'!H370)</f>
        <v>Termo</v>
      </c>
      <c r="I370" s="71">
        <f>+IF('Data Pura Costos'!I370="","",'Data Pura Costos'!I370)</f>
        <v>2714.2857142857142</v>
      </c>
      <c r="J370" s="52" t="str">
        <f>+IF('Data Pura Costos'!J370="","",'Data Pura Costos'!J370)</f>
        <v>24-25</v>
      </c>
      <c r="K370" s="82" t="str">
        <f t="shared" si="10"/>
        <v>San Hernán-Molina-TRANS. MAX SOTO G. E.I.R.L.</v>
      </c>
      <c r="R370" s="6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</row>
    <row r="371" spans="2:39" s="7" customFormat="1" x14ac:dyDescent="0.35">
      <c r="B371" s="4" t="str">
        <f>+IF('Data Pura Costos'!B371="","",'Data Pura Costos'!B371)</f>
        <v>Santa Mónica</v>
      </c>
      <c r="C371" s="4" t="str">
        <f>+IF('Data Pura Costos'!C371="","",'Data Pura Costos'!C371)</f>
        <v xml:space="preserve">Rancagua, sector Chancón, VI región </v>
      </c>
      <c r="D371" s="5">
        <f>+IF('Data Pura Costos'!D371="","",'Data Pura Costos'!D371)</f>
        <v>130</v>
      </c>
      <c r="E371" s="65">
        <f>+IF('Data Pura Costos'!E371="","",IF('Data Pura Costos'!E371=0,MAX('Data Pura Costos'!$E$7:$E$3000)*1000,'Data Pura Costos'!E371))</f>
        <v>360000</v>
      </c>
      <c r="F371" s="5" t="str">
        <f>+IF('Data Pura Costos'!F371="","",'Data Pura Costos'!F371)</f>
        <v>Molina</v>
      </c>
      <c r="G371" s="5" t="str">
        <f>+IF('Data Pura Costos'!G371="","",'Data Pura Costos'!G371)</f>
        <v>TRANS. MAX SOTO G. E.I.R.L.</v>
      </c>
      <c r="H371" s="52" t="str">
        <f>+IF('Data Pura Costos'!H371="","",'Data Pura Costos'!H371)</f>
        <v>Termo</v>
      </c>
      <c r="I371" s="71">
        <f>+IF('Data Pura Costos'!I371="","",'Data Pura Costos'!I371)</f>
        <v>2769.2307692307691</v>
      </c>
      <c r="J371" s="52" t="str">
        <f>+IF('Data Pura Costos'!J371="","",'Data Pura Costos'!J371)</f>
        <v>24-25</v>
      </c>
      <c r="K371" s="82" t="str">
        <f t="shared" si="10"/>
        <v>Santa Mónica-Molina-TRANS. MAX SOTO G. E.I.R.L.</v>
      </c>
      <c r="R371" s="6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</row>
    <row r="372" spans="2:39" s="7" customFormat="1" x14ac:dyDescent="0.35">
      <c r="B372" s="4" t="str">
        <f>+IF('Data Pura Costos'!B372="","",'Data Pura Costos'!B372)</f>
        <v>Talhuén</v>
      </c>
      <c r="C372" s="4" t="str">
        <f>+IF('Data Pura Costos'!C372="","",'Data Pura Costos'!C372)</f>
        <v>Palmilla, VI región</v>
      </c>
      <c r="D372" s="5">
        <f>+IF('Data Pura Costos'!D372="","",'Data Pura Costos'!D372)</f>
        <v>95</v>
      </c>
      <c r="E372" s="65">
        <f>+IF('Data Pura Costos'!E372="","",IF('Data Pura Costos'!E372=0,MAX('Data Pura Costos'!$E$7:$E$3000)*1000,'Data Pura Costos'!E372))</f>
        <v>350000</v>
      </c>
      <c r="F372" s="5" t="str">
        <f>+IF('Data Pura Costos'!F372="","",'Data Pura Costos'!F372)</f>
        <v>Molina</v>
      </c>
      <c r="G372" s="5" t="str">
        <f>+IF('Data Pura Costos'!G372="","",'Data Pura Costos'!G372)</f>
        <v>TRANS. MAX SOTO G. E.I.R.L.</v>
      </c>
      <c r="H372" s="52" t="str">
        <f>+IF('Data Pura Costos'!H372="","",'Data Pura Costos'!H372)</f>
        <v>Termo</v>
      </c>
      <c r="I372" s="71">
        <f>+IF('Data Pura Costos'!I372="","",'Data Pura Costos'!I372)</f>
        <v>3684.2105263157896</v>
      </c>
      <c r="J372" s="52" t="str">
        <f>+IF('Data Pura Costos'!J372="","",'Data Pura Costos'!J372)</f>
        <v>24-25</v>
      </c>
      <c r="K372" s="82" t="str">
        <f t="shared" si="10"/>
        <v>Talhuén-Molina-TRANS. MAX SOTO G. E.I.R.L.</v>
      </c>
      <c r="R372" s="6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</row>
    <row r="373" spans="2:39" s="7" customFormat="1" x14ac:dyDescent="0.35">
      <c r="B373" s="4" t="str">
        <f>+IF('Data Pura Costos'!B373="","",'Data Pura Costos'!B373)</f>
        <v>Villaseca</v>
      </c>
      <c r="C373" s="4" t="str">
        <f>+IF('Data Pura Costos'!C373="","",'Data Pura Costos'!C373)</f>
        <v>Retiro, VII reginón</v>
      </c>
      <c r="D373" s="5">
        <f>+IF('Data Pura Costos'!D373="","",'Data Pura Costos'!D373)</f>
        <v>160</v>
      </c>
      <c r="E373" s="65">
        <f>+IF('Data Pura Costos'!E373="","",IF('Data Pura Costos'!E373=0,MAX('Data Pura Costos'!$E$7:$E$3000)*1000,'Data Pura Costos'!E373))</f>
        <v>420000</v>
      </c>
      <c r="F373" s="5" t="str">
        <f>+IF('Data Pura Costos'!F373="","",'Data Pura Costos'!F373)</f>
        <v>Molina</v>
      </c>
      <c r="G373" s="5" t="str">
        <f>+IF('Data Pura Costos'!G373="","",'Data Pura Costos'!G373)</f>
        <v>TRANS. MAX SOTO G. E.I.R.L.</v>
      </c>
      <c r="H373" s="52" t="str">
        <f>+IF('Data Pura Costos'!H373="","",'Data Pura Costos'!H373)</f>
        <v>Termo</v>
      </c>
      <c r="I373" s="71">
        <f>+IF('Data Pura Costos'!I373="","",'Data Pura Costos'!I373)</f>
        <v>2625</v>
      </c>
      <c r="J373" s="52" t="str">
        <f>+IF('Data Pura Costos'!J373="","",'Data Pura Costos'!J373)</f>
        <v>24-25</v>
      </c>
      <c r="K373" s="82" t="str">
        <f t="shared" si="10"/>
        <v>Villaseca-Molina-TRANS. MAX SOTO G. E.I.R.L.</v>
      </c>
      <c r="R373" s="6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</row>
    <row r="374" spans="2:39" s="7" customFormat="1" x14ac:dyDescent="0.35">
      <c r="B374" s="4" t="str">
        <f>+IF('Data Pura Costos'!B374="","",'Data Pura Costos'!B374)</f>
        <v>Almahue</v>
      </c>
      <c r="C374" s="4" t="str">
        <f>+IF('Data Pura Costos'!C374="","",'Data Pura Costos'!C374)</f>
        <v>Pichidegua, VI región</v>
      </c>
      <c r="D374" s="5">
        <f>+IF('Data Pura Costos'!D374="","",'Data Pura Costos'!D374)</f>
        <v>50</v>
      </c>
      <c r="E374" s="65">
        <f>+IF('Data Pura Costos'!E374="","",IF('Data Pura Costos'!E374=0,MAX('Data Pura Costos'!$E$7:$E$3000)*1000,'Data Pura Costos'!E374))</f>
        <v>300000</v>
      </c>
      <c r="F374" s="5" t="str">
        <f>+IF('Data Pura Costos'!F374="","",'Data Pura Costos'!F374)</f>
        <v>Malloa</v>
      </c>
      <c r="G374" s="5" t="str">
        <f>+IF('Data Pura Costos'!G374="","",'Data Pura Costos'!G374)</f>
        <v>TRANS. MAX SOTO G. E.I.R.L.</v>
      </c>
      <c r="H374" s="52" t="str">
        <f>+IF('Data Pura Costos'!H374="","",'Data Pura Costos'!H374)</f>
        <v>Termo</v>
      </c>
      <c r="I374" s="71">
        <f>+IF('Data Pura Costos'!I374="","",'Data Pura Costos'!I374)</f>
        <v>6000</v>
      </c>
      <c r="J374" s="52" t="str">
        <f>+IF('Data Pura Costos'!J374="","",'Data Pura Costos'!J374)</f>
        <v>24-25</v>
      </c>
      <c r="K374" s="82" t="str">
        <f t="shared" si="10"/>
        <v>Almahue-Malloa-TRANS. MAX SOTO G. E.I.R.L.</v>
      </c>
      <c r="R374" s="6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</row>
    <row r="375" spans="2:39" s="7" customFormat="1" x14ac:dyDescent="0.35">
      <c r="B375" s="4" t="str">
        <f>+IF('Data Pura Costos'!B375="","",'Data Pura Costos'!B375)</f>
        <v>Bodega</v>
      </c>
      <c r="C375" s="4" t="str">
        <f>+IF('Data Pura Costos'!C375="","",'Data Pura Costos'!C375)</f>
        <v>Linares, VII region.</v>
      </c>
      <c r="D375" s="5">
        <f>+IF('Data Pura Costos'!D375="","",'Data Pura Costos'!D375)</f>
        <v>211</v>
      </c>
      <c r="E375" s="65">
        <f>+IF('Data Pura Costos'!E375="","",IF('Data Pura Costos'!E375=0,MAX('Data Pura Costos'!$E$7:$E$3000)*1000,'Data Pura Costos'!E375))</f>
        <v>460000</v>
      </c>
      <c r="F375" s="5" t="str">
        <f>+IF('Data Pura Costos'!F375="","",'Data Pura Costos'!F375)</f>
        <v>Malloa</v>
      </c>
      <c r="G375" s="5" t="str">
        <f>+IF('Data Pura Costos'!G375="","",'Data Pura Costos'!G375)</f>
        <v>TRANS. MAX SOTO G. E.I.R.L.</v>
      </c>
      <c r="H375" s="52" t="str">
        <f>+IF('Data Pura Costos'!H375="","",'Data Pura Costos'!H375)</f>
        <v>Termo</v>
      </c>
      <c r="I375" s="71">
        <f>+IF('Data Pura Costos'!I375="","",'Data Pura Costos'!I375)</f>
        <v>2180.0947867298578</v>
      </c>
      <c r="J375" s="52" t="str">
        <f>+IF('Data Pura Costos'!J375="","",'Data Pura Costos'!J375)</f>
        <v>24-25</v>
      </c>
      <c r="K375" s="82" t="str">
        <f t="shared" si="10"/>
        <v>Bodega-Malloa-TRANS. MAX SOTO G. E.I.R.L.</v>
      </c>
      <c r="R375" s="6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</row>
    <row r="376" spans="2:39" s="7" customFormat="1" x14ac:dyDescent="0.35">
      <c r="B376" s="4" t="str">
        <f>+IF('Data Pura Costos'!B376="","",'Data Pura Costos'!B376)</f>
        <v xml:space="preserve">Caliboro </v>
      </c>
      <c r="C376" s="4" t="str">
        <f>+IF('Data Pura Costos'!C376="","",'Data Pura Costos'!C376)</f>
        <v>San Javier, VII región</v>
      </c>
      <c r="D376" s="5">
        <f>+IF('Data Pura Costos'!D376="","",'Data Pura Costos'!D376)</f>
        <v>206</v>
      </c>
      <c r="E376" s="65">
        <f>+IF('Data Pura Costos'!E376="","",IF('Data Pura Costos'!E376=0,MAX('Data Pura Costos'!$E$7:$E$3000)*1000,'Data Pura Costos'!E376))</f>
        <v>460000</v>
      </c>
      <c r="F376" s="5" t="str">
        <f>+IF('Data Pura Costos'!F376="","",'Data Pura Costos'!F376)</f>
        <v>Malloa</v>
      </c>
      <c r="G376" s="5" t="str">
        <f>+IF('Data Pura Costos'!G376="","",'Data Pura Costos'!G376)</f>
        <v>TRANS. MAX SOTO G. E.I.R.L.</v>
      </c>
      <c r="H376" s="52" t="str">
        <f>+IF('Data Pura Costos'!H376="","",'Data Pura Costos'!H376)</f>
        <v>Termo</v>
      </c>
      <c r="I376" s="71">
        <f>+IF('Data Pura Costos'!I376="","",'Data Pura Costos'!I376)</f>
        <v>2233.009708737864</v>
      </c>
      <c r="J376" s="52" t="str">
        <f>+IF('Data Pura Costos'!J376="","",'Data Pura Costos'!J376)</f>
        <v>24-25</v>
      </c>
      <c r="K376" s="82" t="str">
        <f t="shared" si="10"/>
        <v>Caliboro -Malloa-TRANS. MAX SOTO G. E.I.R.L.</v>
      </c>
      <c r="R376" s="6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</row>
    <row r="377" spans="2:39" s="7" customFormat="1" x14ac:dyDescent="0.35">
      <c r="B377" s="4" t="str">
        <f>+IF('Data Pura Costos'!B377="","",'Data Pura Costos'!B377)</f>
        <v>Calleuque</v>
      </c>
      <c r="C377" s="4" t="str">
        <f>+IF('Data Pura Costos'!C377="","",'Data Pura Costos'!C377)</f>
        <v>Peralillo ohiggins, VI región</v>
      </c>
      <c r="D377" s="5">
        <f>+IF('Data Pura Costos'!D377="","",'Data Pura Costos'!D377)</f>
        <v>80</v>
      </c>
      <c r="E377" s="65">
        <f>+IF('Data Pura Costos'!E377="","",IF('Data Pura Costos'!E377=0,MAX('Data Pura Costos'!$E$7:$E$3000)*1000,'Data Pura Costos'!E377))</f>
        <v>350000</v>
      </c>
      <c r="F377" s="5" t="str">
        <f>+IF('Data Pura Costos'!F377="","",'Data Pura Costos'!F377)</f>
        <v>Malloa</v>
      </c>
      <c r="G377" s="5" t="str">
        <f>+IF('Data Pura Costos'!G377="","",'Data Pura Costos'!G377)</f>
        <v>TRANS. MAX SOTO G. E.I.R.L.</v>
      </c>
      <c r="H377" s="52" t="str">
        <f>+IF('Data Pura Costos'!H377="","",'Data Pura Costos'!H377)</f>
        <v>Termo</v>
      </c>
      <c r="I377" s="71">
        <f>+IF('Data Pura Costos'!I377="","",'Data Pura Costos'!I377)</f>
        <v>4375</v>
      </c>
      <c r="J377" s="52" t="str">
        <f>+IF('Data Pura Costos'!J377="","",'Data Pura Costos'!J377)</f>
        <v>24-25</v>
      </c>
      <c r="K377" s="82" t="str">
        <f t="shared" si="10"/>
        <v>Calleuque-Malloa-TRANS. MAX SOTO G. E.I.R.L.</v>
      </c>
      <c r="R377" s="6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</row>
    <row r="378" spans="2:39" s="7" customFormat="1" x14ac:dyDescent="0.35">
      <c r="B378" s="4" t="str">
        <f>+IF('Data Pura Costos'!B378="","",'Data Pura Costos'!B378)</f>
        <v>Chumpirro</v>
      </c>
      <c r="C378" s="4" t="str">
        <f>+IF('Data Pura Costos'!C378="","",'Data Pura Costos'!C378)</f>
        <v>Angol, IX región</v>
      </c>
      <c r="D378" s="5">
        <f>+IF('Data Pura Costos'!D378="","",'Data Pura Costos'!D378)</f>
        <v>450</v>
      </c>
      <c r="E378" s="65">
        <f>+IF('Data Pura Costos'!E378="","",IF('Data Pura Costos'!E378=0,MAX('Data Pura Costos'!$E$7:$E$3000)*1000,'Data Pura Costos'!E378))</f>
        <v>980000</v>
      </c>
      <c r="F378" s="5" t="str">
        <f>+IF('Data Pura Costos'!F378="","",'Data Pura Costos'!F378)</f>
        <v>Malloa</v>
      </c>
      <c r="G378" s="5" t="str">
        <f>+IF('Data Pura Costos'!G378="","",'Data Pura Costos'!G378)</f>
        <v>TRANS. MAX SOTO G. E.I.R.L.</v>
      </c>
      <c r="H378" s="52" t="str">
        <f>+IF('Data Pura Costos'!H378="","",'Data Pura Costos'!H378)</f>
        <v>Termo</v>
      </c>
      <c r="I378" s="71">
        <f>+IF('Data Pura Costos'!I378="","",'Data Pura Costos'!I378)</f>
        <v>2177.7777777777778</v>
      </c>
      <c r="J378" s="52" t="str">
        <f>+IF('Data Pura Costos'!J378="","",'Data Pura Costos'!J378)</f>
        <v>24-25</v>
      </c>
      <c r="K378" s="82" t="str">
        <f t="shared" si="10"/>
        <v>Chumpirro-Malloa-TRANS. MAX SOTO G. E.I.R.L.</v>
      </c>
      <c r="R378" s="6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</row>
    <row r="379" spans="2:39" s="7" customFormat="1" x14ac:dyDescent="0.35">
      <c r="B379" s="4" t="str">
        <f>+IF('Data Pura Costos'!B379="","",'Data Pura Costos'!B379)</f>
        <v xml:space="preserve"> Cocalán</v>
      </c>
      <c r="C379" s="4" t="str">
        <f>+IF('Data Pura Costos'!C379="","",'Data Pura Costos'!C379)</f>
        <v>Cocalán, VI región</v>
      </c>
      <c r="D379" s="5">
        <f>+IF('Data Pura Costos'!D379="","",'Data Pura Costos'!D379)</f>
        <v>50</v>
      </c>
      <c r="E379" s="65">
        <f>+IF('Data Pura Costos'!E379="","",IF('Data Pura Costos'!E379=0,MAX('Data Pura Costos'!$E$7:$E$3000)*1000,'Data Pura Costos'!E379))</f>
        <v>300000</v>
      </c>
      <c r="F379" s="5" t="str">
        <f>+IF('Data Pura Costos'!F379="","",'Data Pura Costos'!F379)</f>
        <v>Malloa</v>
      </c>
      <c r="G379" s="5" t="str">
        <f>+IF('Data Pura Costos'!G379="","",'Data Pura Costos'!G379)</f>
        <v>TRANS. MAX SOTO G. E.I.R.L.</v>
      </c>
      <c r="H379" s="52" t="str">
        <f>+IF('Data Pura Costos'!H379="","",'Data Pura Costos'!H379)</f>
        <v>Termo</v>
      </c>
      <c r="I379" s="71">
        <f>+IF('Data Pura Costos'!I379="","",'Data Pura Costos'!I379)</f>
        <v>6000</v>
      </c>
      <c r="J379" s="52" t="str">
        <f>+IF('Data Pura Costos'!J379="","",'Data Pura Costos'!J379)</f>
        <v>24-25</v>
      </c>
      <c r="K379" s="82" t="str">
        <f t="shared" si="10"/>
        <v xml:space="preserve"> Cocalán-Malloa-TRANS. MAX SOTO G. E.I.R.L.</v>
      </c>
      <c r="R379" s="6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</row>
    <row r="380" spans="2:39" s="7" customFormat="1" x14ac:dyDescent="0.35">
      <c r="B380" s="4" t="str">
        <f>+IF('Data Pura Costos'!B380="","",'Data Pura Costos'!B380)</f>
        <v>El Cóndor</v>
      </c>
      <c r="C380" s="4" t="str">
        <f>+IF('Data Pura Costos'!C380="","",'Data Pura Costos'!C380)</f>
        <v>Chimbarongo, VI Region.</v>
      </c>
      <c r="D380" s="5">
        <f>+IF('Data Pura Costos'!D380="","",'Data Pura Costos'!D380)</f>
        <v>60</v>
      </c>
      <c r="E380" s="65">
        <f>+IF('Data Pura Costos'!E380="","",IF('Data Pura Costos'!E380=0,MAX('Data Pura Costos'!$E$7:$E$3000)*1000,'Data Pura Costos'!E380))</f>
        <v>320000</v>
      </c>
      <c r="F380" s="5" t="str">
        <f>+IF('Data Pura Costos'!F380="","",'Data Pura Costos'!F380)</f>
        <v>Malloa</v>
      </c>
      <c r="G380" s="5" t="str">
        <f>+IF('Data Pura Costos'!G380="","",'Data Pura Costos'!G380)</f>
        <v>TRANS. MAX SOTO G. E.I.R.L.</v>
      </c>
      <c r="H380" s="52" t="str">
        <f>+IF('Data Pura Costos'!H380="","",'Data Pura Costos'!H380)</f>
        <v>Termo</v>
      </c>
      <c r="I380" s="71">
        <f>+IF('Data Pura Costos'!I380="","",'Data Pura Costos'!I380)</f>
        <v>5333.333333333333</v>
      </c>
      <c r="J380" s="52" t="str">
        <f>+IF('Data Pura Costos'!J380="","",'Data Pura Costos'!J380)</f>
        <v>24-25</v>
      </c>
      <c r="K380" s="82" t="str">
        <f t="shared" si="10"/>
        <v>El Cóndor-Malloa-TRANS. MAX SOTO G. E.I.R.L.</v>
      </c>
      <c r="R380" s="6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</row>
    <row r="381" spans="2:39" s="7" customFormat="1" x14ac:dyDescent="0.35">
      <c r="B381" s="4" t="str">
        <f>+IF('Data Pura Costos'!B381="","",'Data Pura Costos'!B381)</f>
        <v>El Descanso</v>
      </c>
      <c r="C381" s="4" t="str">
        <f>+IF('Data Pura Costos'!C381="","",'Data Pura Costos'!C381)</f>
        <v>Sagrada Familia, VII región</v>
      </c>
      <c r="D381" s="5">
        <f>+IF('Data Pura Costos'!D381="","",'Data Pura Costos'!D381)</f>
        <v>100</v>
      </c>
      <c r="E381" s="65">
        <f>+IF('Data Pura Costos'!E381="","",IF('Data Pura Costos'!E381=0,MAX('Data Pura Costos'!$E$7:$E$3000)*1000,'Data Pura Costos'!E381))</f>
        <v>340000</v>
      </c>
      <c r="F381" s="5" t="str">
        <f>+IF('Data Pura Costos'!F381="","",'Data Pura Costos'!F381)</f>
        <v>Malloa</v>
      </c>
      <c r="G381" s="5" t="str">
        <f>+IF('Data Pura Costos'!G381="","",'Data Pura Costos'!G381)</f>
        <v>TRANS. MAX SOTO G. E.I.R.L.</v>
      </c>
      <c r="H381" s="52" t="str">
        <f>+IF('Data Pura Costos'!H381="","",'Data Pura Costos'!H381)</f>
        <v>Termo</v>
      </c>
      <c r="I381" s="71">
        <f>+IF('Data Pura Costos'!I381="","",'Data Pura Costos'!I381)</f>
        <v>3400</v>
      </c>
      <c r="J381" s="52" t="str">
        <f>+IF('Data Pura Costos'!J381="","",'Data Pura Costos'!J381)</f>
        <v>24-25</v>
      </c>
      <c r="K381" s="82" t="str">
        <f t="shared" si="10"/>
        <v>El Descanso-Malloa-TRANS. MAX SOTO G. E.I.R.L.</v>
      </c>
      <c r="R381" s="6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</row>
    <row r="382" spans="2:39" s="7" customFormat="1" x14ac:dyDescent="0.35">
      <c r="B382" s="4" t="str">
        <f>+IF('Data Pura Costos'!B382="","",'Data Pura Costos'!B382)</f>
        <v>El Espino</v>
      </c>
      <c r="C382" s="4" t="str">
        <f>+IF('Data Pura Costos'!C382="","",'Data Pura Costos'!C382)</f>
        <v>Colbún, VII región</v>
      </c>
      <c r="D382" s="5">
        <f>+IF('Data Pura Costos'!D382="","",'Data Pura Costos'!D382)</f>
        <v>190</v>
      </c>
      <c r="E382" s="65">
        <f>+IF('Data Pura Costos'!E382="","",IF('Data Pura Costos'!E382=0,MAX('Data Pura Costos'!$E$7:$E$3000)*1000,'Data Pura Costos'!E382))</f>
        <v>420000</v>
      </c>
      <c r="F382" s="5" t="str">
        <f>+IF('Data Pura Costos'!F382="","",'Data Pura Costos'!F382)</f>
        <v>Malloa</v>
      </c>
      <c r="G382" s="5" t="str">
        <f>+IF('Data Pura Costos'!G382="","",'Data Pura Costos'!G382)</f>
        <v>TRANS. MAX SOTO G. E.I.R.L.</v>
      </c>
      <c r="H382" s="52" t="str">
        <f>+IF('Data Pura Costos'!H382="","",'Data Pura Costos'!H382)</f>
        <v>Termo</v>
      </c>
      <c r="I382" s="71">
        <f>+IF('Data Pura Costos'!I382="","",'Data Pura Costos'!I382)</f>
        <v>2210.5263157894738</v>
      </c>
      <c r="J382" s="52" t="str">
        <f>+IF('Data Pura Costos'!J382="","",'Data Pura Costos'!J382)</f>
        <v>24-25</v>
      </c>
      <c r="K382" s="82" t="str">
        <f t="shared" si="10"/>
        <v>El Espino-Malloa-TRANS. MAX SOTO G. E.I.R.L.</v>
      </c>
      <c r="R382" s="6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</row>
    <row r="383" spans="2:39" s="7" customFormat="1" x14ac:dyDescent="0.35">
      <c r="B383" s="4" t="str">
        <f>+IF('Data Pura Costos'!B383="","",'Data Pura Costos'!B383)</f>
        <v>El Huaico</v>
      </c>
      <c r="C383" s="4" t="str">
        <f>+IF('Data Pura Costos'!C383="","",'Data Pura Costos'!C383)</f>
        <v>Palmila Ohiggins</v>
      </c>
      <c r="D383" s="5">
        <f>+IF('Data Pura Costos'!D383="","",'Data Pura Costos'!D383)</f>
        <v>75</v>
      </c>
      <c r="E383" s="65">
        <f>+IF('Data Pura Costos'!E383="","",IF('Data Pura Costos'!E383=0,MAX('Data Pura Costos'!$E$7:$E$3000)*1000,'Data Pura Costos'!E383))</f>
        <v>330000</v>
      </c>
      <c r="F383" s="5" t="str">
        <f>+IF('Data Pura Costos'!F383="","",'Data Pura Costos'!F383)</f>
        <v>Malloa</v>
      </c>
      <c r="G383" s="5" t="str">
        <f>+IF('Data Pura Costos'!G383="","",'Data Pura Costos'!G383)</f>
        <v>TRANS. MAX SOTO G. E.I.R.L.</v>
      </c>
      <c r="H383" s="52" t="str">
        <f>+IF('Data Pura Costos'!H383="","",'Data Pura Costos'!H383)</f>
        <v>Termo</v>
      </c>
      <c r="I383" s="71">
        <f>+IF('Data Pura Costos'!I383="","",'Data Pura Costos'!I383)</f>
        <v>4400</v>
      </c>
      <c r="J383" s="52" t="str">
        <f>+IF('Data Pura Costos'!J383="","",'Data Pura Costos'!J383)</f>
        <v>24-25</v>
      </c>
      <c r="K383" s="82" t="str">
        <f t="shared" si="10"/>
        <v>El Huaico-Malloa-TRANS. MAX SOTO G. E.I.R.L.</v>
      </c>
      <c r="R383" s="6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</row>
    <row r="384" spans="2:39" s="7" customFormat="1" x14ac:dyDescent="0.35">
      <c r="B384" s="4" t="str">
        <f>+IF('Data Pura Costos'!B384="","",'Data Pura Costos'!B384)</f>
        <v>El Parque</v>
      </c>
      <c r="C384" s="4" t="str">
        <f>+IF('Data Pura Costos'!C384="","",'Data Pura Costos'!C384)</f>
        <v>San Francisco de Mostazal.VI Region.</v>
      </c>
      <c r="D384" s="5">
        <f>+IF('Data Pura Costos'!D384="","",'Data Pura Costos'!D384)</f>
        <v>70</v>
      </c>
      <c r="E384" s="65">
        <f>+IF('Data Pura Costos'!E384="","",IF('Data Pura Costos'!E384=0,MAX('Data Pura Costos'!$E$7:$E$3000)*1000,'Data Pura Costos'!E384))</f>
        <v>330000</v>
      </c>
      <c r="F384" s="5" t="str">
        <f>+IF('Data Pura Costos'!F384="","",'Data Pura Costos'!F384)</f>
        <v>Malloa</v>
      </c>
      <c r="G384" s="5" t="str">
        <f>+IF('Data Pura Costos'!G384="","",'Data Pura Costos'!G384)</f>
        <v>TRANS. MAX SOTO G. E.I.R.L.</v>
      </c>
      <c r="H384" s="52" t="str">
        <f>+IF('Data Pura Costos'!H384="","",'Data Pura Costos'!H384)</f>
        <v>Termo</v>
      </c>
      <c r="I384" s="71">
        <f>+IF('Data Pura Costos'!I384="","",'Data Pura Costos'!I384)</f>
        <v>4714.2857142857147</v>
      </c>
      <c r="J384" s="52" t="str">
        <f>+IF('Data Pura Costos'!J384="","",'Data Pura Costos'!J384)</f>
        <v>24-25</v>
      </c>
      <c r="K384" s="82" t="str">
        <f t="shared" si="10"/>
        <v>El Parque-Malloa-TRANS. MAX SOTO G. E.I.R.L.</v>
      </c>
      <c r="R384" s="6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</row>
    <row r="385" spans="2:39" s="7" customFormat="1" x14ac:dyDescent="0.35">
      <c r="B385" s="4" t="str">
        <f>+IF('Data Pura Costos'!B385="","",'Data Pura Costos'!B385)</f>
        <v>El Picaso</v>
      </c>
      <c r="C385" s="4" t="str">
        <f>+IF('Data Pura Costos'!C385="","",'Data Pura Costos'!C385)</f>
        <v xml:space="preserve">San Clemente, VII región </v>
      </c>
      <c r="D385" s="5">
        <f>+IF('Data Pura Costos'!D385="","",'Data Pura Costos'!D385)</f>
        <v>160</v>
      </c>
      <c r="E385" s="65">
        <f>+IF('Data Pura Costos'!E385="","",IF('Data Pura Costos'!E385=0,MAX('Data Pura Costos'!$E$7:$E$3000)*1000,'Data Pura Costos'!E385))</f>
        <v>380000</v>
      </c>
      <c r="F385" s="5" t="str">
        <f>+IF('Data Pura Costos'!F385="","",'Data Pura Costos'!F385)</f>
        <v>Malloa</v>
      </c>
      <c r="G385" s="5" t="str">
        <f>+IF('Data Pura Costos'!G385="","",'Data Pura Costos'!G385)</f>
        <v>TRANS. MAX SOTO G. E.I.R.L.</v>
      </c>
      <c r="H385" s="52" t="str">
        <f>+IF('Data Pura Costos'!H385="","",'Data Pura Costos'!H385)</f>
        <v>Termo</v>
      </c>
      <c r="I385" s="71">
        <f>+IF('Data Pura Costos'!I385="","",'Data Pura Costos'!I385)</f>
        <v>2375</v>
      </c>
      <c r="J385" s="52" t="str">
        <f>+IF('Data Pura Costos'!J385="","",'Data Pura Costos'!J385)</f>
        <v>24-25</v>
      </c>
      <c r="K385" s="82" t="str">
        <f t="shared" si="10"/>
        <v>El Picaso-Malloa-TRANS. MAX SOTO G. E.I.R.L.</v>
      </c>
      <c r="R385" s="6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</row>
    <row r="386" spans="2:39" s="7" customFormat="1" x14ac:dyDescent="0.35">
      <c r="B386" s="4" t="str">
        <f>+IF('Data Pura Costos'!B386="","",'Data Pura Costos'!B386)</f>
        <v>El Recurso</v>
      </c>
      <c r="C386" s="4" t="str">
        <f>+IF('Data Pura Costos'!C386="","",'Data Pura Costos'!C386)</f>
        <v>San Francisco de Mostazal.VI Region.</v>
      </c>
      <c r="D386" s="5">
        <f>+IF('Data Pura Costos'!D386="","",'Data Pura Costos'!D386)</f>
        <v>70</v>
      </c>
      <c r="E386" s="65">
        <f>+IF('Data Pura Costos'!E386="","",IF('Data Pura Costos'!E386=0,MAX('Data Pura Costos'!$E$7:$E$3000)*1000,'Data Pura Costos'!E386))</f>
        <v>330000</v>
      </c>
      <c r="F386" s="5" t="str">
        <f>+IF('Data Pura Costos'!F386="","",'Data Pura Costos'!F386)</f>
        <v>Malloa</v>
      </c>
      <c r="G386" s="5" t="str">
        <f>+IF('Data Pura Costos'!G386="","",'Data Pura Costos'!G386)</f>
        <v>TRANS. MAX SOTO G. E.I.R.L.</v>
      </c>
      <c r="H386" s="52" t="str">
        <f>+IF('Data Pura Costos'!H386="","",'Data Pura Costos'!H386)</f>
        <v>Termo</v>
      </c>
      <c r="I386" s="71">
        <f>+IF('Data Pura Costos'!I386="","",'Data Pura Costos'!I386)</f>
        <v>4714.2857142857147</v>
      </c>
      <c r="J386" s="52" t="str">
        <f>+IF('Data Pura Costos'!J386="","",'Data Pura Costos'!J386)</f>
        <v>24-25</v>
      </c>
      <c r="K386" s="82" t="str">
        <f t="shared" si="10"/>
        <v>El Recurso-Malloa-TRANS. MAX SOTO G. E.I.R.L.</v>
      </c>
      <c r="R386" s="6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</row>
    <row r="387" spans="2:39" s="7" customFormat="1" x14ac:dyDescent="0.35">
      <c r="B387" s="4" t="str">
        <f>+IF('Data Pura Costos'!B387="","",'Data Pura Costos'!B387)</f>
        <v>El Rosario</v>
      </c>
      <c r="C387" s="4" t="str">
        <f>+IF('Data Pura Costos'!C387="","",'Data Pura Costos'!C387)</f>
        <v>Linares, VII region.</v>
      </c>
      <c r="D387" s="5">
        <f>+IF('Data Pura Costos'!D387="","",'Data Pura Costos'!D387)</f>
        <v>210</v>
      </c>
      <c r="E387" s="65">
        <f>+IF('Data Pura Costos'!E387="","",IF('Data Pura Costos'!E387=0,MAX('Data Pura Costos'!$E$7:$E$3000)*1000,'Data Pura Costos'!E387))</f>
        <v>460000</v>
      </c>
      <c r="F387" s="5" t="str">
        <f>+IF('Data Pura Costos'!F387="","",'Data Pura Costos'!F387)</f>
        <v>Malloa</v>
      </c>
      <c r="G387" s="5" t="str">
        <f>+IF('Data Pura Costos'!G387="","",'Data Pura Costos'!G387)</f>
        <v>TRANS. MAX SOTO G. E.I.R.L.</v>
      </c>
      <c r="H387" s="52" t="str">
        <f>+IF('Data Pura Costos'!H387="","",'Data Pura Costos'!H387)</f>
        <v>Termo</v>
      </c>
      <c r="I387" s="71">
        <f>+IF('Data Pura Costos'!I387="","",'Data Pura Costos'!I387)</f>
        <v>2190.4761904761904</v>
      </c>
      <c r="J387" s="52" t="str">
        <f>+IF('Data Pura Costos'!J387="","",'Data Pura Costos'!J387)</f>
        <v>24-25</v>
      </c>
      <c r="K387" s="82" t="str">
        <f t="shared" si="10"/>
        <v>El Rosario-Malloa-TRANS. MAX SOTO G. E.I.R.L.</v>
      </c>
      <c r="R387" s="6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</row>
    <row r="388" spans="2:39" s="7" customFormat="1" x14ac:dyDescent="0.35">
      <c r="B388" s="4" t="str">
        <f>+IF('Data Pura Costos'!B388="","",'Data Pura Costos'!B388)</f>
        <v>El Retiro</v>
      </c>
      <c r="C388" s="4" t="str">
        <f>+IF('Data Pura Costos'!C388="","",'Data Pura Costos'!C388)</f>
        <v>Rosario, VI Region.</v>
      </c>
      <c r="D388" s="5">
        <f>+IF('Data Pura Costos'!D388="","",'Data Pura Costos'!D388)</f>
        <v>25</v>
      </c>
      <c r="E388" s="65">
        <f>+IF('Data Pura Costos'!E388="","",IF('Data Pura Costos'!E388=0,MAX('Data Pura Costos'!$E$7:$E$3000)*1000,'Data Pura Costos'!E388))</f>
        <v>275000</v>
      </c>
      <c r="F388" s="5" t="str">
        <f>+IF('Data Pura Costos'!F388="","",'Data Pura Costos'!F388)</f>
        <v>Malloa</v>
      </c>
      <c r="G388" s="5" t="str">
        <f>+IF('Data Pura Costos'!G388="","",'Data Pura Costos'!G388)</f>
        <v>TRANS. MAX SOTO G. E.I.R.L.</v>
      </c>
      <c r="H388" s="52" t="str">
        <f>+IF('Data Pura Costos'!H388="","",'Data Pura Costos'!H388)</f>
        <v>Termo</v>
      </c>
      <c r="I388" s="71">
        <f>+IF('Data Pura Costos'!I388="","",'Data Pura Costos'!I388)</f>
        <v>11000</v>
      </c>
      <c r="J388" s="52" t="str">
        <f>+IF('Data Pura Costos'!J388="","",'Data Pura Costos'!J388)</f>
        <v>24-25</v>
      </c>
      <c r="K388" s="82" t="str">
        <f t="shared" si="10"/>
        <v>El Retiro-Malloa-TRANS. MAX SOTO G. E.I.R.L.</v>
      </c>
      <c r="R388" s="6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</row>
    <row r="389" spans="2:39" s="7" customFormat="1" x14ac:dyDescent="0.35">
      <c r="B389" s="4" t="str">
        <f>+IF('Data Pura Costos'!B389="","",'Data Pura Costos'!B389)</f>
        <v>La Esperanza</v>
      </c>
      <c r="C389" s="4" t="str">
        <f>+IF('Data Pura Costos'!C389="","",'Data Pura Costos'!C389)</f>
        <v>Peumo, VI región</v>
      </c>
      <c r="D389" s="5">
        <f>+IF('Data Pura Costos'!D389="","",'Data Pura Costos'!D389)</f>
        <v>35</v>
      </c>
      <c r="E389" s="65">
        <f>+IF('Data Pura Costos'!E389="","",IF('Data Pura Costos'!E389=0,MAX('Data Pura Costos'!$E$7:$E$3000)*1000,'Data Pura Costos'!E389))</f>
        <v>275000</v>
      </c>
      <c r="F389" s="5" t="str">
        <f>+IF('Data Pura Costos'!F389="","",'Data Pura Costos'!F389)</f>
        <v>Malloa</v>
      </c>
      <c r="G389" s="5" t="str">
        <f>+IF('Data Pura Costos'!G389="","",'Data Pura Costos'!G389)</f>
        <v>TRANS. MAX SOTO G. E.I.R.L.</v>
      </c>
      <c r="H389" s="52" t="str">
        <f>+IF('Data Pura Costos'!H389="","",'Data Pura Costos'!H389)</f>
        <v>Termo</v>
      </c>
      <c r="I389" s="71">
        <f>+IF('Data Pura Costos'!I389="","",'Data Pura Costos'!I389)</f>
        <v>7857.1428571428569</v>
      </c>
      <c r="J389" s="52" t="str">
        <f>+IF('Data Pura Costos'!J389="","",'Data Pura Costos'!J389)</f>
        <v>24-25</v>
      </c>
      <c r="K389" s="82" t="str">
        <f t="shared" si="10"/>
        <v>La Esperanza-Malloa-TRANS. MAX SOTO G. E.I.R.L.</v>
      </c>
      <c r="R389" s="6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</row>
    <row r="390" spans="2:39" s="7" customFormat="1" x14ac:dyDescent="0.35">
      <c r="B390" s="4" t="str">
        <f>+IF('Data Pura Costos'!B390="","",'Data Pura Costos'!B390)</f>
        <v>La Estación</v>
      </c>
      <c r="C390" s="4" t="str">
        <f>+IF('Data Pura Costos'!C390="","",'Data Pura Costos'!C390)</f>
        <v>Palmilla, VI región</v>
      </c>
      <c r="D390" s="5">
        <f>+IF('Data Pura Costos'!D390="","",'Data Pura Costos'!D390)</f>
        <v>75</v>
      </c>
      <c r="E390" s="65">
        <f>+IF('Data Pura Costos'!E390="","",IF('Data Pura Costos'!E390=0,MAX('Data Pura Costos'!$E$7:$E$3000)*1000,'Data Pura Costos'!E390))</f>
        <v>330000</v>
      </c>
      <c r="F390" s="5" t="str">
        <f>+IF('Data Pura Costos'!F390="","",'Data Pura Costos'!F390)</f>
        <v>Malloa</v>
      </c>
      <c r="G390" s="5" t="str">
        <f>+IF('Data Pura Costos'!G390="","",'Data Pura Costos'!G390)</f>
        <v>TRANS. MAX SOTO G. E.I.R.L.</v>
      </c>
      <c r="H390" s="52" t="str">
        <f>+IF('Data Pura Costos'!H390="","",'Data Pura Costos'!H390)</f>
        <v>Termo</v>
      </c>
      <c r="I390" s="71">
        <f>+IF('Data Pura Costos'!I390="","",'Data Pura Costos'!I390)</f>
        <v>4400</v>
      </c>
      <c r="J390" s="52" t="str">
        <f>+IF('Data Pura Costos'!J390="","",'Data Pura Costos'!J390)</f>
        <v>24-25</v>
      </c>
      <c r="K390" s="82" t="str">
        <f t="shared" si="10"/>
        <v>La Estación-Malloa-TRANS. MAX SOTO G. E.I.R.L.</v>
      </c>
      <c r="R390" s="6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</row>
    <row r="391" spans="2:39" s="7" customFormat="1" x14ac:dyDescent="0.35">
      <c r="B391" s="4" t="str">
        <f>+IF('Data Pura Costos'!B391="","",'Data Pura Costos'!B391)</f>
        <v>La Lajuela</v>
      </c>
      <c r="C391" s="4" t="str">
        <f>+IF('Data Pura Costos'!C391="","",'Data Pura Costos'!C391)</f>
        <v>Santa Cruz, VI Región</v>
      </c>
      <c r="D391" s="5">
        <f>+IF('Data Pura Costos'!D391="","",'Data Pura Costos'!D391)</f>
        <v>75</v>
      </c>
      <c r="E391" s="65">
        <f>+IF('Data Pura Costos'!E391="","",IF('Data Pura Costos'!E391=0,MAX('Data Pura Costos'!$E$7:$E$3000)*1000,'Data Pura Costos'!E391))</f>
        <v>330000</v>
      </c>
      <c r="F391" s="5" t="str">
        <f>+IF('Data Pura Costos'!F391="","",'Data Pura Costos'!F391)</f>
        <v>Malloa</v>
      </c>
      <c r="G391" s="5" t="str">
        <f>+IF('Data Pura Costos'!G391="","",'Data Pura Costos'!G391)</f>
        <v>TRANS. MAX SOTO G. E.I.R.L.</v>
      </c>
      <c r="H391" s="52" t="str">
        <f>+IF('Data Pura Costos'!H391="","",'Data Pura Costos'!H391)</f>
        <v>Termo</v>
      </c>
      <c r="I391" s="71">
        <f>+IF('Data Pura Costos'!I391="","",'Data Pura Costos'!I391)</f>
        <v>4400</v>
      </c>
      <c r="J391" s="52" t="str">
        <f>+IF('Data Pura Costos'!J391="","",'Data Pura Costos'!J391)</f>
        <v>24-25</v>
      </c>
      <c r="K391" s="82" t="str">
        <f t="shared" si="10"/>
        <v>La Lajuela-Malloa-TRANS. MAX SOTO G. E.I.R.L.</v>
      </c>
      <c r="R391" s="6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</row>
    <row r="392" spans="2:39" s="7" customFormat="1" x14ac:dyDescent="0.35">
      <c r="B392" s="4" t="str">
        <f>+IF('Data Pura Costos'!B392="","",'Data Pura Costos'!B392)</f>
        <v>La Morera</v>
      </c>
      <c r="C392" s="4" t="str">
        <f>+IF('Data Pura Costos'!C392="","",'Data Pura Costos'!C392)</f>
        <v>La compañia, VI Region.</v>
      </c>
      <c r="D392" s="5">
        <f>+IF('Data Pura Costos'!D392="","",'Data Pura Costos'!D392)</f>
        <v>55</v>
      </c>
      <c r="E392" s="65">
        <f>+IF('Data Pura Costos'!E392="","",IF('Data Pura Costos'!E392=0,MAX('Data Pura Costos'!$E$7:$E$3000)*1000,'Data Pura Costos'!E392))</f>
        <v>320000</v>
      </c>
      <c r="F392" s="5" t="str">
        <f>+IF('Data Pura Costos'!F392="","",'Data Pura Costos'!F392)</f>
        <v>Malloa</v>
      </c>
      <c r="G392" s="5" t="str">
        <f>+IF('Data Pura Costos'!G392="","",'Data Pura Costos'!G392)</f>
        <v>TRANS. MAX SOTO G. E.I.R.L.</v>
      </c>
      <c r="H392" s="52" t="str">
        <f>+IF('Data Pura Costos'!H392="","",'Data Pura Costos'!H392)</f>
        <v>Termo</v>
      </c>
      <c r="I392" s="71">
        <f>+IF('Data Pura Costos'!I392="","",'Data Pura Costos'!I392)</f>
        <v>5818.181818181818</v>
      </c>
      <c r="J392" s="52" t="str">
        <f>+IF('Data Pura Costos'!J392="","",'Data Pura Costos'!J392)</f>
        <v>24-25</v>
      </c>
      <c r="K392" s="82" t="str">
        <f t="shared" ref="K392:K455" si="11">+IF(B392="","",CONCATENATE(B392,"-",F392,"-",G392))</f>
        <v>La Morera-Malloa-TRANS. MAX SOTO G. E.I.R.L.</v>
      </c>
      <c r="R392" s="6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</row>
    <row r="393" spans="2:39" s="7" customFormat="1" x14ac:dyDescent="0.35">
      <c r="B393" s="4" t="str">
        <f>+IF('Data Pura Costos'!B393="","",'Data Pura Costos'!B393)</f>
        <v>La Rinconada</v>
      </c>
      <c r="C393" s="4" t="str">
        <f>+IF('Data Pura Costos'!C393="","",'Data Pura Costos'!C393)</f>
        <v>Pichidegua, VI región</v>
      </c>
      <c r="D393" s="5">
        <f>+IF('Data Pura Costos'!D393="","",'Data Pura Costos'!D393)</f>
        <v>45</v>
      </c>
      <c r="E393" s="65">
        <f>+IF('Data Pura Costos'!E393="","",IF('Data Pura Costos'!E393=0,MAX('Data Pura Costos'!$E$7:$E$3000)*1000,'Data Pura Costos'!E393))</f>
        <v>300000</v>
      </c>
      <c r="F393" s="5" t="str">
        <f>+IF('Data Pura Costos'!F393="","",'Data Pura Costos'!F393)</f>
        <v>Malloa</v>
      </c>
      <c r="G393" s="5" t="str">
        <f>+IF('Data Pura Costos'!G393="","",'Data Pura Costos'!G393)</f>
        <v>TRANS. MAX SOTO G. E.I.R.L.</v>
      </c>
      <c r="H393" s="52" t="str">
        <f>+IF('Data Pura Costos'!H393="","",'Data Pura Costos'!H393)</f>
        <v>Termo</v>
      </c>
      <c r="I393" s="71">
        <f>+IF('Data Pura Costos'!I393="","",'Data Pura Costos'!I393)</f>
        <v>6666.666666666667</v>
      </c>
      <c r="J393" s="52" t="str">
        <f>+IF('Data Pura Costos'!J393="","",'Data Pura Costos'!J393)</f>
        <v>24-25</v>
      </c>
      <c r="K393" s="82" t="str">
        <f t="shared" si="11"/>
        <v>La Rinconada-Malloa-TRANS. MAX SOTO G. E.I.R.L.</v>
      </c>
      <c r="R393" s="6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</row>
    <row r="394" spans="2:39" s="7" customFormat="1" x14ac:dyDescent="0.35">
      <c r="B394" s="4" t="str">
        <f>+IF('Data Pura Costos'!B394="","",'Data Pura Costos'!B394)</f>
        <v xml:space="preserve">La Roblería </v>
      </c>
      <c r="C394" s="4" t="str">
        <f>+IF('Data Pura Costos'!C394="","",'Data Pura Costos'!C394)</f>
        <v>Aculeo, RM</v>
      </c>
      <c r="D394" s="5">
        <f>+IF('Data Pura Costos'!D394="","",'Data Pura Costos'!D394)</f>
        <v>105</v>
      </c>
      <c r="E394" s="65">
        <f>+IF('Data Pura Costos'!E394="","",IF('Data Pura Costos'!E394=0,MAX('Data Pura Costos'!$E$7:$E$3000)*1000,'Data Pura Costos'!E394))</f>
        <v>380000</v>
      </c>
      <c r="F394" s="5" t="str">
        <f>+IF('Data Pura Costos'!F394="","",'Data Pura Costos'!F394)</f>
        <v>Malloa</v>
      </c>
      <c r="G394" s="5" t="str">
        <f>+IF('Data Pura Costos'!G394="","",'Data Pura Costos'!G394)</f>
        <v>TRANS. MAX SOTO G. E.I.R.L.</v>
      </c>
      <c r="H394" s="52" t="str">
        <f>+IF('Data Pura Costos'!H394="","",'Data Pura Costos'!H394)</f>
        <v>Termo</v>
      </c>
      <c r="I394" s="71">
        <f>+IF('Data Pura Costos'!I394="","",'Data Pura Costos'!I394)</f>
        <v>3619.0476190476193</v>
      </c>
      <c r="J394" s="52" t="str">
        <f>+IF('Data Pura Costos'!J394="","",'Data Pura Costos'!J394)</f>
        <v>24-25</v>
      </c>
      <c r="K394" s="82" t="str">
        <f t="shared" si="11"/>
        <v>La Roblería -Malloa-TRANS. MAX SOTO G. E.I.R.L.</v>
      </c>
      <c r="R394" s="6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</row>
    <row r="395" spans="2:39" s="7" customFormat="1" x14ac:dyDescent="0.35">
      <c r="B395" s="4" t="str">
        <f>+IF('Data Pura Costos'!B395="","",'Data Pura Costos'!B395)</f>
        <v>Las Cabras</v>
      </c>
      <c r="C395" s="4" t="str">
        <f>+IF('Data Pura Costos'!C395="","",'Data Pura Costos'!C395)</f>
        <v>Las Cabras, VI región</v>
      </c>
      <c r="D395" s="5">
        <f>+IF('Data Pura Costos'!D395="","",'Data Pura Costos'!D395)</f>
        <v>45</v>
      </c>
      <c r="E395" s="65">
        <f>+IF('Data Pura Costos'!E395="","",IF('Data Pura Costos'!E395=0,MAX('Data Pura Costos'!$E$7:$E$3000)*1000,'Data Pura Costos'!E395))</f>
        <v>300000</v>
      </c>
      <c r="F395" s="5" t="str">
        <f>+IF('Data Pura Costos'!F395="","",'Data Pura Costos'!F395)</f>
        <v>Malloa</v>
      </c>
      <c r="G395" s="5" t="str">
        <f>+IF('Data Pura Costos'!G395="","",'Data Pura Costos'!G395)</f>
        <v>TRANS. MAX SOTO G. E.I.R.L.</v>
      </c>
      <c r="H395" s="52" t="str">
        <f>+IF('Data Pura Costos'!H395="","",'Data Pura Costos'!H395)</f>
        <v>Termo</v>
      </c>
      <c r="I395" s="71">
        <f>+IF('Data Pura Costos'!I395="","",'Data Pura Costos'!I395)</f>
        <v>6666.666666666667</v>
      </c>
      <c r="J395" s="52" t="str">
        <f>+IF('Data Pura Costos'!J395="","",'Data Pura Costos'!J395)</f>
        <v>24-25</v>
      </c>
      <c r="K395" s="82" t="str">
        <f t="shared" si="11"/>
        <v>Las Cabras-Malloa-TRANS. MAX SOTO G. E.I.R.L.</v>
      </c>
      <c r="R395" s="6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</row>
    <row r="396" spans="2:39" s="7" customFormat="1" x14ac:dyDescent="0.35">
      <c r="B396" s="4" t="str">
        <f>+IF('Data Pura Costos'!B396="","",'Data Pura Costos'!B396)</f>
        <v>Las Vertientes</v>
      </c>
      <c r="C396" s="4" t="str">
        <f>+IF('Data Pura Costos'!C396="","",'Data Pura Costos'!C396)</f>
        <v>Pichidegua, VI región</v>
      </c>
      <c r="D396" s="5">
        <f>+IF('Data Pura Costos'!D396="","",'Data Pura Costos'!D396)</f>
        <v>40</v>
      </c>
      <c r="E396" s="65">
        <f>+IF('Data Pura Costos'!E396="","",IF('Data Pura Costos'!E396=0,MAX('Data Pura Costos'!$E$7:$E$3000)*1000,'Data Pura Costos'!E396))</f>
        <v>300000</v>
      </c>
      <c r="F396" s="5" t="str">
        <f>+IF('Data Pura Costos'!F396="","",'Data Pura Costos'!F396)</f>
        <v>Malloa</v>
      </c>
      <c r="G396" s="5" t="str">
        <f>+IF('Data Pura Costos'!G396="","",'Data Pura Costos'!G396)</f>
        <v>TRANS. MAX SOTO G. E.I.R.L.</v>
      </c>
      <c r="H396" s="52" t="str">
        <f>+IF('Data Pura Costos'!H396="","",'Data Pura Costos'!H396)</f>
        <v>Termo</v>
      </c>
      <c r="I396" s="71">
        <f>+IF('Data Pura Costos'!I396="","",'Data Pura Costos'!I396)</f>
        <v>7500</v>
      </c>
      <c r="J396" s="52" t="str">
        <f>+IF('Data Pura Costos'!J396="","",'Data Pura Costos'!J396)</f>
        <v>24-25</v>
      </c>
      <c r="K396" s="82" t="str">
        <f t="shared" si="11"/>
        <v>Las Vertientes-Malloa-TRANS. MAX SOTO G. E.I.R.L.</v>
      </c>
      <c r="R396" s="6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</row>
    <row r="397" spans="2:39" s="7" customFormat="1" x14ac:dyDescent="0.35">
      <c r="B397" s="4" t="str">
        <f>+IF('Data Pura Costos'!B397="","",'Data Pura Costos'!B397)</f>
        <v>Lihueimo</v>
      </c>
      <c r="C397" s="4" t="str">
        <f>+IF('Data Pura Costos'!C397="","",'Data Pura Costos'!C397)</f>
        <v>Peralillo ohiggins</v>
      </c>
      <c r="D397" s="5">
        <f>+IF('Data Pura Costos'!D397="","",'Data Pura Costos'!D397)</f>
        <v>80</v>
      </c>
      <c r="E397" s="65">
        <f>+IF('Data Pura Costos'!E397="","",IF('Data Pura Costos'!E397=0,MAX('Data Pura Costos'!$E$7:$E$3000)*1000,'Data Pura Costos'!E397))</f>
        <v>330000</v>
      </c>
      <c r="F397" s="5" t="str">
        <f>+IF('Data Pura Costos'!F397="","",'Data Pura Costos'!F397)</f>
        <v>Malloa</v>
      </c>
      <c r="G397" s="5" t="str">
        <f>+IF('Data Pura Costos'!G397="","",'Data Pura Costos'!G397)</f>
        <v>TRANS. MAX SOTO G. E.I.R.L.</v>
      </c>
      <c r="H397" s="52" t="str">
        <f>+IF('Data Pura Costos'!H397="","",'Data Pura Costos'!H397)</f>
        <v>Termo</v>
      </c>
      <c r="I397" s="71">
        <f>+IF('Data Pura Costos'!I397="","",'Data Pura Costos'!I397)</f>
        <v>4125</v>
      </c>
      <c r="J397" s="52" t="str">
        <f>+IF('Data Pura Costos'!J397="","",'Data Pura Costos'!J397)</f>
        <v>24-25</v>
      </c>
      <c r="K397" s="82" t="str">
        <f t="shared" si="11"/>
        <v>Lihueimo-Malloa-TRANS. MAX SOTO G. E.I.R.L.</v>
      </c>
      <c r="R397" s="6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</row>
    <row r="398" spans="2:39" s="7" customFormat="1" x14ac:dyDescent="0.35">
      <c r="B398" s="4" t="str">
        <f>+IF('Data Pura Costos'!B398="","",'Data Pura Costos'!B398)</f>
        <v>Los Encinos</v>
      </c>
      <c r="C398" s="4" t="str">
        <f>+IF('Data Pura Costos'!C398="","",'Data Pura Costos'!C398)</f>
        <v>Huechun, RM</v>
      </c>
      <c r="D398" s="5">
        <f>+IF('Data Pura Costos'!D398="","",'Data Pura Costos'!D398)</f>
        <v>145</v>
      </c>
      <c r="E398" s="65">
        <f>+IF('Data Pura Costos'!E398="","",IF('Data Pura Costos'!E398=0,MAX('Data Pura Costos'!$E$7:$E$3000)*1000,'Data Pura Costos'!E398))</f>
        <v>430000</v>
      </c>
      <c r="F398" s="5" t="str">
        <f>+IF('Data Pura Costos'!F398="","",'Data Pura Costos'!F398)</f>
        <v>Malloa</v>
      </c>
      <c r="G398" s="5" t="str">
        <f>+IF('Data Pura Costos'!G398="","",'Data Pura Costos'!G398)</f>
        <v>TRANS. MAX SOTO G. E.I.R.L.</v>
      </c>
      <c r="H398" s="52" t="str">
        <f>+IF('Data Pura Costos'!H398="","",'Data Pura Costos'!H398)</f>
        <v>Termo</v>
      </c>
      <c r="I398" s="71">
        <f>+IF('Data Pura Costos'!I398="","",'Data Pura Costos'!I398)</f>
        <v>2965.5172413793102</v>
      </c>
      <c r="J398" s="52" t="str">
        <f>+IF('Data Pura Costos'!J398="","",'Data Pura Costos'!J398)</f>
        <v>24-25</v>
      </c>
      <c r="K398" s="82" t="str">
        <f t="shared" si="11"/>
        <v>Los Encinos-Malloa-TRANS. MAX SOTO G. E.I.R.L.</v>
      </c>
      <c r="R398" s="6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</row>
    <row r="399" spans="2:39" s="7" customFormat="1" x14ac:dyDescent="0.35">
      <c r="B399" s="4" t="str">
        <f>+IF('Data Pura Costos'!B399="","",'Data Pura Costos'!B399)</f>
        <v>Los Maitenes</v>
      </c>
      <c r="C399" s="4" t="str">
        <f>+IF('Data Pura Costos'!C399="","",'Data Pura Costos'!C399)</f>
        <v>Las Cabras, VI región</v>
      </c>
      <c r="D399" s="5">
        <f>+IF('Data Pura Costos'!D399="","",'Data Pura Costos'!D399)</f>
        <v>60</v>
      </c>
      <c r="E399" s="65">
        <f>+IF('Data Pura Costos'!E399="","",IF('Data Pura Costos'!E399=0,MAX('Data Pura Costos'!$E$7:$E$3000)*1000,'Data Pura Costos'!E399))</f>
        <v>320000</v>
      </c>
      <c r="F399" s="5" t="str">
        <f>+IF('Data Pura Costos'!F399="","",'Data Pura Costos'!F399)</f>
        <v>Malloa</v>
      </c>
      <c r="G399" s="5" t="str">
        <f>+IF('Data Pura Costos'!G399="","",'Data Pura Costos'!G399)</f>
        <v>TRANS. MAX SOTO G. E.I.R.L.</v>
      </c>
      <c r="H399" s="52" t="str">
        <f>+IF('Data Pura Costos'!H399="","",'Data Pura Costos'!H399)</f>
        <v>Termo</v>
      </c>
      <c r="I399" s="71">
        <f>+IF('Data Pura Costos'!I399="","",'Data Pura Costos'!I399)</f>
        <v>5333.333333333333</v>
      </c>
      <c r="J399" s="52" t="str">
        <f>+IF('Data Pura Costos'!J399="","",'Data Pura Costos'!J399)</f>
        <v>24-25</v>
      </c>
      <c r="K399" s="82" t="str">
        <f t="shared" si="11"/>
        <v>Los Maitenes-Malloa-TRANS. MAX SOTO G. E.I.R.L.</v>
      </c>
      <c r="R399" s="6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</row>
    <row r="400" spans="2:39" s="7" customFormat="1" x14ac:dyDescent="0.35">
      <c r="B400" s="4" t="str">
        <f>+IF('Data Pura Costos'!B400="","",'Data Pura Costos'!B400)</f>
        <v>Los Toldos</v>
      </c>
      <c r="C400" s="4" t="str">
        <f>+IF('Data Pura Costos'!C400="","",'Data Pura Costos'!C400)</f>
        <v>Angol, IX región</v>
      </c>
      <c r="D400" s="5">
        <f>+IF('Data Pura Costos'!D400="","",'Data Pura Costos'!D400)</f>
        <v>50</v>
      </c>
      <c r="E400" s="65">
        <f>+IF('Data Pura Costos'!E400="","",IF('Data Pura Costos'!E400=0,MAX('Data Pura Costos'!$E$7:$E$3000)*1000,'Data Pura Costos'!E400))</f>
        <v>990000</v>
      </c>
      <c r="F400" s="5" t="str">
        <f>+IF('Data Pura Costos'!F400="","",'Data Pura Costos'!F400)</f>
        <v>Malloa</v>
      </c>
      <c r="G400" s="5" t="str">
        <f>+IF('Data Pura Costos'!G400="","",'Data Pura Costos'!G400)</f>
        <v>TRANS. MAX SOTO G. E.I.R.L.</v>
      </c>
      <c r="H400" s="52" t="str">
        <f>+IF('Data Pura Costos'!H400="","",'Data Pura Costos'!H400)</f>
        <v>Termo</v>
      </c>
      <c r="I400" s="71">
        <f>+IF('Data Pura Costos'!I400="","",'Data Pura Costos'!I400)</f>
        <v>19800</v>
      </c>
      <c r="J400" s="52" t="str">
        <f>+IF('Data Pura Costos'!J400="","",'Data Pura Costos'!J400)</f>
        <v>24-25</v>
      </c>
      <c r="K400" s="82" t="str">
        <f t="shared" si="11"/>
        <v>Los Toldos-Malloa-TRANS. MAX SOTO G. E.I.R.L.</v>
      </c>
      <c r="R400" s="6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</row>
    <row r="401" spans="2:39" s="7" customFormat="1" x14ac:dyDescent="0.35">
      <c r="B401" s="4" t="str">
        <f>+IF('Data Pura Costos'!B401="","",'Data Pura Costos'!B401)</f>
        <v>Mallorca</v>
      </c>
      <c r="C401" s="4" t="str">
        <f>+IF('Data Pura Costos'!C401="","",'Data Pura Costos'!C401)</f>
        <v xml:space="preserve">Molina, VII región </v>
      </c>
      <c r="D401" s="5">
        <f>+IF('Data Pura Costos'!D401="","",'Data Pura Costos'!D401)</f>
        <v>95</v>
      </c>
      <c r="E401" s="65">
        <f>+IF('Data Pura Costos'!E401="","",IF('Data Pura Costos'!E401=0,MAX('Data Pura Costos'!$E$7:$E$3000)*1000,'Data Pura Costos'!E401))</f>
        <v>360000</v>
      </c>
      <c r="F401" s="5" t="str">
        <f>+IF('Data Pura Costos'!F401="","",'Data Pura Costos'!F401)</f>
        <v>Malloa</v>
      </c>
      <c r="G401" s="5" t="str">
        <f>+IF('Data Pura Costos'!G401="","",'Data Pura Costos'!G401)</f>
        <v>TRANS. MAX SOTO G. E.I.R.L.</v>
      </c>
      <c r="H401" s="52" t="str">
        <f>+IF('Data Pura Costos'!H401="","",'Data Pura Costos'!H401)</f>
        <v>Termo</v>
      </c>
      <c r="I401" s="71">
        <f>+IF('Data Pura Costos'!I401="","",'Data Pura Costos'!I401)</f>
        <v>3789.4736842105262</v>
      </c>
      <c r="J401" s="52" t="str">
        <f>+IF('Data Pura Costos'!J401="","",'Data Pura Costos'!J401)</f>
        <v>24-25</v>
      </c>
      <c r="K401" s="82" t="str">
        <f t="shared" si="11"/>
        <v>Mallorca-Malloa-TRANS. MAX SOTO G. E.I.R.L.</v>
      </c>
      <c r="R401" s="6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</row>
    <row r="402" spans="2:39" s="7" customFormat="1" x14ac:dyDescent="0.35">
      <c r="B402" s="4" t="str">
        <f>+IF('Data Pura Costos'!B402="","",'Data Pura Costos'!B402)</f>
        <v>Panquehue</v>
      </c>
      <c r="C402" s="4" t="str">
        <f>+IF('Data Pura Costos'!C402="","",'Data Pura Costos'!C402)</f>
        <v>Panquehue, V región</v>
      </c>
      <c r="D402" s="5">
        <f>+IF('Data Pura Costos'!D402="","",'Data Pura Costos'!D402)</f>
        <v>230</v>
      </c>
      <c r="E402" s="65">
        <f>+IF('Data Pura Costos'!E402="","",IF('Data Pura Costos'!E402=0,MAX('Data Pura Costos'!$E$7:$E$3000)*1000,'Data Pura Costos'!E402))</f>
        <v>600000</v>
      </c>
      <c r="F402" s="5" t="str">
        <f>+IF('Data Pura Costos'!F402="","",'Data Pura Costos'!F402)</f>
        <v>Malloa</v>
      </c>
      <c r="G402" s="5" t="str">
        <f>+IF('Data Pura Costos'!G402="","",'Data Pura Costos'!G402)</f>
        <v>TRANS. MAX SOTO G. E.I.R.L.</v>
      </c>
      <c r="H402" s="52" t="str">
        <f>+IF('Data Pura Costos'!H402="","",'Data Pura Costos'!H402)</f>
        <v>Termo</v>
      </c>
      <c r="I402" s="71">
        <f>+IF('Data Pura Costos'!I402="","",'Data Pura Costos'!I402)</f>
        <v>2608.695652173913</v>
      </c>
      <c r="J402" s="52" t="str">
        <f>+IF('Data Pura Costos'!J402="","",'Data Pura Costos'!J402)</f>
        <v>24-25</v>
      </c>
      <c r="K402" s="82" t="str">
        <f t="shared" si="11"/>
        <v>Panquehue-Malloa-TRANS. MAX SOTO G. E.I.R.L.</v>
      </c>
      <c r="R402" s="6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</row>
    <row r="403" spans="2:39" s="7" customFormat="1" x14ac:dyDescent="0.35">
      <c r="B403" s="4" t="str">
        <f>+IF('Data Pura Costos'!B403="","",'Data Pura Costos'!B403)</f>
        <v>Entre Rios/Puente Negro/Rio Claro</v>
      </c>
      <c r="C403" s="4" t="str">
        <f>+IF('Data Pura Costos'!C403="","",'Data Pura Costos'!C403)</f>
        <v>Puente negro, san fernando.VI Region.</v>
      </c>
      <c r="D403" s="5">
        <f>+IF('Data Pura Costos'!D403="","",'Data Pura Costos'!D403)</f>
        <v>50</v>
      </c>
      <c r="E403" s="65">
        <f>+IF('Data Pura Costos'!E403="","",IF('Data Pura Costos'!E403=0,MAX('Data Pura Costos'!$E$7:$E$3000)*1000,'Data Pura Costos'!E403))</f>
        <v>300000</v>
      </c>
      <c r="F403" s="5" t="str">
        <f>+IF('Data Pura Costos'!F403="","",'Data Pura Costos'!F403)</f>
        <v>Malloa</v>
      </c>
      <c r="G403" s="5" t="str">
        <f>+IF('Data Pura Costos'!G403="","",'Data Pura Costos'!G403)</f>
        <v>TRANS. MAX SOTO G. E.I.R.L.</v>
      </c>
      <c r="H403" s="52" t="str">
        <f>+IF('Data Pura Costos'!H403="","",'Data Pura Costos'!H403)</f>
        <v>Termo</v>
      </c>
      <c r="I403" s="71">
        <f>+IF('Data Pura Costos'!I403="","",'Data Pura Costos'!I403)</f>
        <v>6000</v>
      </c>
      <c r="J403" s="52" t="str">
        <f>+IF('Data Pura Costos'!J403="","",'Data Pura Costos'!J403)</f>
        <v>24-25</v>
      </c>
      <c r="K403" s="82" t="str">
        <f t="shared" si="11"/>
        <v>Entre Rios/Puente Negro/Rio Claro-Malloa-TRANS. MAX SOTO G. E.I.R.L.</v>
      </c>
      <c r="R403" s="6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</row>
    <row r="404" spans="2:39" s="7" customFormat="1" x14ac:dyDescent="0.35">
      <c r="B404" s="4" t="str">
        <f>+IF('Data Pura Costos'!B404="","",'Data Pura Costos'!B404)</f>
        <v>Retorno</v>
      </c>
      <c r="C404" s="4" t="str">
        <f>+IF('Data Pura Costos'!C404="","",'Data Pura Costos'!C404)</f>
        <v>Santa maria, V región</v>
      </c>
      <c r="D404" s="5">
        <f>+IF('Data Pura Costos'!D404="","",'Data Pura Costos'!D404)</f>
        <v>225</v>
      </c>
      <c r="E404" s="65">
        <f>+IF('Data Pura Costos'!E404="","",IF('Data Pura Costos'!E404=0,MAX('Data Pura Costos'!$E$7:$E$3000)*1000,'Data Pura Costos'!E404))</f>
        <v>600000</v>
      </c>
      <c r="F404" s="5" t="str">
        <f>+IF('Data Pura Costos'!F404="","",'Data Pura Costos'!F404)</f>
        <v>Malloa</v>
      </c>
      <c r="G404" s="5" t="str">
        <f>+IF('Data Pura Costos'!G404="","",'Data Pura Costos'!G404)</f>
        <v>TRANS. MAX SOTO G. E.I.R.L.</v>
      </c>
      <c r="H404" s="52" t="str">
        <f>+IF('Data Pura Costos'!H404="","",'Data Pura Costos'!H404)</f>
        <v>Termo</v>
      </c>
      <c r="I404" s="71">
        <f>+IF('Data Pura Costos'!I404="","",'Data Pura Costos'!I404)</f>
        <v>2666.6666666666665</v>
      </c>
      <c r="J404" s="52" t="str">
        <f>+IF('Data Pura Costos'!J404="","",'Data Pura Costos'!J404)</f>
        <v>24-25</v>
      </c>
      <c r="K404" s="82" t="str">
        <f t="shared" si="11"/>
        <v>Retorno-Malloa-TRANS. MAX SOTO G. E.I.R.L.</v>
      </c>
      <c r="R404" s="6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</row>
    <row r="405" spans="2:39" s="7" customFormat="1" x14ac:dyDescent="0.35">
      <c r="B405" s="4" t="str">
        <f>+IF('Data Pura Costos'!B405="","",'Data Pura Costos'!B405)</f>
        <v>San Hernán</v>
      </c>
      <c r="C405" s="4" t="str">
        <f>+IF('Data Pura Costos'!C405="","",'Data Pura Costos'!C405)</f>
        <v>Graneros, VI región</v>
      </c>
      <c r="D405" s="5">
        <f>+IF('Data Pura Costos'!D405="","",'Data Pura Costos'!D405)</f>
        <v>60</v>
      </c>
      <c r="E405" s="65">
        <f>+IF('Data Pura Costos'!E405="","",IF('Data Pura Costos'!E405=0,MAX('Data Pura Costos'!$E$7:$E$3000)*1000,'Data Pura Costos'!E405))</f>
        <v>320000</v>
      </c>
      <c r="F405" s="5" t="str">
        <f>+IF('Data Pura Costos'!F405="","",'Data Pura Costos'!F405)</f>
        <v>Malloa</v>
      </c>
      <c r="G405" s="5" t="str">
        <f>+IF('Data Pura Costos'!G405="","",'Data Pura Costos'!G405)</f>
        <v>TRANS. MAX SOTO G. E.I.R.L.</v>
      </c>
      <c r="H405" s="52" t="str">
        <f>+IF('Data Pura Costos'!H405="","",'Data Pura Costos'!H405)</f>
        <v>Termo</v>
      </c>
      <c r="I405" s="71">
        <f>+IF('Data Pura Costos'!I405="","",'Data Pura Costos'!I405)</f>
        <v>5333.333333333333</v>
      </c>
      <c r="J405" s="52" t="str">
        <f>+IF('Data Pura Costos'!J405="","",'Data Pura Costos'!J405)</f>
        <v>24-25</v>
      </c>
      <c r="K405" s="82" t="str">
        <f t="shared" si="11"/>
        <v>San Hernán-Malloa-TRANS. MAX SOTO G. E.I.R.L.</v>
      </c>
      <c r="R405" s="6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</row>
    <row r="406" spans="2:39" s="7" customFormat="1" x14ac:dyDescent="0.35">
      <c r="B406" s="4" t="str">
        <f>+IF('Data Pura Costos'!B406="","",'Data Pura Costos'!B406)</f>
        <v>Santa Mónica</v>
      </c>
      <c r="C406" s="4" t="str">
        <f>+IF('Data Pura Costos'!C406="","",'Data Pura Costos'!C406)</f>
        <v xml:space="preserve">Rancagua, sector Chancón, VI región </v>
      </c>
      <c r="D406" s="5">
        <f>+IF('Data Pura Costos'!D406="","",'Data Pura Costos'!D406)</f>
        <v>55</v>
      </c>
      <c r="E406" s="65">
        <f>+IF('Data Pura Costos'!E406="","",IF('Data Pura Costos'!E406=0,MAX('Data Pura Costos'!$E$7:$E$3000)*1000,'Data Pura Costos'!E406))</f>
        <v>300000</v>
      </c>
      <c r="F406" s="5" t="str">
        <f>+IF('Data Pura Costos'!F406="","",'Data Pura Costos'!F406)</f>
        <v>Malloa</v>
      </c>
      <c r="G406" s="5" t="str">
        <f>+IF('Data Pura Costos'!G406="","",'Data Pura Costos'!G406)</f>
        <v>TRANS. MAX SOTO G. E.I.R.L.</v>
      </c>
      <c r="H406" s="52" t="str">
        <f>+IF('Data Pura Costos'!H406="","",'Data Pura Costos'!H406)</f>
        <v>Termo</v>
      </c>
      <c r="I406" s="71">
        <f>+IF('Data Pura Costos'!I406="","",'Data Pura Costos'!I406)</f>
        <v>5454.545454545455</v>
      </c>
      <c r="J406" s="52" t="str">
        <f>+IF('Data Pura Costos'!J406="","",'Data Pura Costos'!J406)</f>
        <v>24-25</v>
      </c>
      <c r="K406" s="82" t="str">
        <f t="shared" si="11"/>
        <v>Santa Mónica-Malloa-TRANS. MAX SOTO G. E.I.R.L.</v>
      </c>
      <c r="R406" s="6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</row>
    <row r="407" spans="2:39" s="7" customFormat="1" x14ac:dyDescent="0.35">
      <c r="B407" s="4" t="str">
        <f>+IF('Data Pura Costos'!B407="","",'Data Pura Costos'!B407)</f>
        <v>Talhuén</v>
      </c>
      <c r="C407" s="4" t="str">
        <f>+IF('Data Pura Costos'!C407="","",'Data Pura Costos'!C407)</f>
        <v>Palmilla, VI región</v>
      </c>
      <c r="D407" s="5">
        <f>+IF('Data Pura Costos'!D407="","",'Data Pura Costos'!D407)</f>
        <v>60</v>
      </c>
      <c r="E407" s="65">
        <f>+IF('Data Pura Costos'!E407="","",IF('Data Pura Costos'!E407=0,MAX('Data Pura Costos'!$E$7:$E$3000)*1000,'Data Pura Costos'!E407))</f>
        <v>300000</v>
      </c>
      <c r="F407" s="5" t="str">
        <f>+IF('Data Pura Costos'!F407="","",'Data Pura Costos'!F407)</f>
        <v>Malloa</v>
      </c>
      <c r="G407" s="5" t="str">
        <f>+IF('Data Pura Costos'!G407="","",'Data Pura Costos'!G407)</f>
        <v>TRANS. MAX SOTO G. E.I.R.L.</v>
      </c>
      <c r="H407" s="52" t="str">
        <f>+IF('Data Pura Costos'!H407="","",'Data Pura Costos'!H407)</f>
        <v>Termo</v>
      </c>
      <c r="I407" s="71">
        <f>+IF('Data Pura Costos'!I407="","",'Data Pura Costos'!I407)</f>
        <v>5000</v>
      </c>
      <c r="J407" s="52" t="str">
        <f>+IF('Data Pura Costos'!J407="","",'Data Pura Costos'!J407)</f>
        <v>24-25</v>
      </c>
      <c r="K407" s="82" t="str">
        <f t="shared" si="11"/>
        <v>Talhuén-Malloa-TRANS. MAX SOTO G. E.I.R.L.</v>
      </c>
      <c r="R407" s="6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</row>
    <row r="408" spans="2:39" s="7" customFormat="1" x14ac:dyDescent="0.35">
      <c r="B408" s="4" t="str">
        <f>+IF('Data Pura Costos'!B408="","",'Data Pura Costos'!B408)</f>
        <v>Villaseca</v>
      </c>
      <c r="C408" s="4" t="str">
        <f>+IF('Data Pura Costos'!C408="","",'Data Pura Costos'!C408)</f>
        <v>Retiro, VII reginón</v>
      </c>
      <c r="D408" s="5">
        <f>+IF('Data Pura Costos'!D408="","",'Data Pura Costos'!D408)</f>
        <v>250</v>
      </c>
      <c r="E408" s="65">
        <f>+IF('Data Pura Costos'!E408="","",IF('Data Pura Costos'!E408=0,MAX('Data Pura Costos'!$E$7:$E$3000)*1000,'Data Pura Costos'!E408))</f>
        <v>600000</v>
      </c>
      <c r="F408" s="5" t="str">
        <f>+IF('Data Pura Costos'!F408="","",'Data Pura Costos'!F408)</f>
        <v>Malloa</v>
      </c>
      <c r="G408" s="5" t="str">
        <f>+IF('Data Pura Costos'!G408="","",'Data Pura Costos'!G408)</f>
        <v>TRANS. MAX SOTO G. E.I.R.L.</v>
      </c>
      <c r="H408" s="52" t="str">
        <f>+IF('Data Pura Costos'!H408="","",'Data Pura Costos'!H408)</f>
        <v>Termo</v>
      </c>
      <c r="I408" s="71">
        <f>+IF('Data Pura Costos'!I408="","",'Data Pura Costos'!I408)</f>
        <v>2400</v>
      </c>
      <c r="J408" s="52" t="str">
        <f>+IF('Data Pura Costos'!J408="","",'Data Pura Costos'!J408)</f>
        <v>24-25</v>
      </c>
      <c r="K408" s="82" t="str">
        <f t="shared" si="11"/>
        <v>Villaseca-Malloa-TRANS. MAX SOTO G. E.I.R.L.</v>
      </c>
      <c r="R408" s="6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</row>
    <row r="409" spans="2:39" s="7" customFormat="1" x14ac:dyDescent="0.35">
      <c r="B409" s="4" t="str">
        <f>+IF('Data Pura Costos'!B409="","",'Data Pura Costos'!B409)</f>
        <v>Almahue</v>
      </c>
      <c r="C409" s="4" t="str">
        <f>+IF('Data Pura Costos'!C409="","",'Data Pura Costos'!C409)</f>
        <v>Pichidegua, VI región</v>
      </c>
      <c r="D409" s="5">
        <f>+IF('Data Pura Costos'!D409="","",'Data Pura Costos'!D409)</f>
        <v>108</v>
      </c>
      <c r="E409" s="65">
        <f>+IF('Data Pura Costos'!E409="","",IF('Data Pura Costos'!E409=0,MAX('Data Pura Costos'!$E$7:$E$3000)*1000,'Data Pura Costos'!E409))</f>
        <v>380000</v>
      </c>
      <c r="F409" s="5" t="str">
        <f>+IF('Data Pura Costos'!F409="","",'Data Pura Costos'!F409)</f>
        <v>Mostazal</v>
      </c>
      <c r="G409" s="5" t="str">
        <f>+IF('Data Pura Costos'!G409="","",'Data Pura Costos'!G409)</f>
        <v>TRANS. MITRE SPA.</v>
      </c>
      <c r="H409" s="52" t="str">
        <f>+IF('Data Pura Costos'!H409="","",'Data Pura Costos'!H409)</f>
        <v>Termo</v>
      </c>
      <c r="I409" s="71">
        <f>+IF('Data Pura Costos'!I409="","",'Data Pura Costos'!I409)</f>
        <v>3518.5185185185187</v>
      </c>
      <c r="J409" s="52" t="str">
        <f>+IF('Data Pura Costos'!J409="","",'Data Pura Costos'!J409)</f>
        <v>24-25</v>
      </c>
      <c r="K409" s="82" t="str">
        <f t="shared" si="11"/>
        <v>Almahue-Mostazal-TRANS. MITRE SPA.</v>
      </c>
      <c r="R409" s="6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</row>
    <row r="410" spans="2:39" s="7" customFormat="1" x14ac:dyDescent="0.35">
      <c r="B410" s="4" t="str">
        <f>+IF('Data Pura Costos'!B410="","",'Data Pura Costos'!B410)</f>
        <v>Bodega</v>
      </c>
      <c r="C410" s="4" t="str">
        <f>+IF('Data Pura Costos'!C410="","",'Data Pura Costos'!C410)</f>
        <v>Linares, VII region.</v>
      </c>
      <c r="D410" s="5">
        <f>+IF('Data Pura Costos'!D410="","",'Data Pura Costos'!D410)</f>
        <v>264</v>
      </c>
      <c r="E410" s="65">
        <f>+IF('Data Pura Costos'!E410="","",IF('Data Pura Costos'!E410=0,MAX('Data Pura Costos'!$E$7:$E$3000)*1000,'Data Pura Costos'!E410))</f>
        <v>480000</v>
      </c>
      <c r="F410" s="5" t="str">
        <f>+IF('Data Pura Costos'!F410="","",'Data Pura Costos'!F410)</f>
        <v>Mostazal</v>
      </c>
      <c r="G410" s="5" t="str">
        <f>+IF('Data Pura Costos'!G410="","",'Data Pura Costos'!G410)</f>
        <v>TRANS. MITRE SPA.</v>
      </c>
      <c r="H410" s="52" t="str">
        <f>+IF('Data Pura Costos'!H410="","",'Data Pura Costos'!H410)</f>
        <v>Termo</v>
      </c>
      <c r="I410" s="71">
        <f>+IF('Data Pura Costos'!I410="","",'Data Pura Costos'!I410)</f>
        <v>1818.1818181818182</v>
      </c>
      <c r="J410" s="52" t="str">
        <f>+IF('Data Pura Costos'!J410="","",'Data Pura Costos'!J410)</f>
        <v>24-25</v>
      </c>
      <c r="K410" s="82" t="str">
        <f t="shared" si="11"/>
        <v>Bodega-Mostazal-TRANS. MITRE SPA.</v>
      </c>
      <c r="R410" s="6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</row>
    <row r="411" spans="2:39" s="7" customFormat="1" x14ac:dyDescent="0.35">
      <c r="B411" s="4" t="str">
        <f>+IF('Data Pura Costos'!B411="","",'Data Pura Costos'!B411)</f>
        <v xml:space="preserve">Caliboro </v>
      </c>
      <c r="C411" s="4" t="str">
        <f>+IF('Data Pura Costos'!C411="","",'Data Pura Costos'!C411)</f>
        <v>San Javier, VII región</v>
      </c>
      <c r="D411" s="5">
        <f>+IF('Data Pura Costos'!D411="","",'Data Pura Costos'!D411)</f>
        <v>258</v>
      </c>
      <c r="E411" s="65">
        <f>+IF('Data Pura Costos'!E411="","",IF('Data Pura Costos'!E411=0,MAX('Data Pura Costos'!$E$7:$E$3000)*1000,'Data Pura Costos'!E411))</f>
        <v>480000</v>
      </c>
      <c r="F411" s="5" t="str">
        <f>+IF('Data Pura Costos'!F411="","",'Data Pura Costos'!F411)</f>
        <v>Mostazal</v>
      </c>
      <c r="G411" s="5" t="str">
        <f>+IF('Data Pura Costos'!G411="","",'Data Pura Costos'!G411)</f>
        <v>TRANS. MITRE SPA.</v>
      </c>
      <c r="H411" s="52" t="str">
        <f>+IF('Data Pura Costos'!H411="","",'Data Pura Costos'!H411)</f>
        <v>Termo</v>
      </c>
      <c r="I411" s="71">
        <f>+IF('Data Pura Costos'!I411="","",'Data Pura Costos'!I411)</f>
        <v>1860.4651162790697</v>
      </c>
      <c r="J411" s="52" t="str">
        <f>+IF('Data Pura Costos'!J411="","",'Data Pura Costos'!J411)</f>
        <v>24-25</v>
      </c>
      <c r="K411" s="82" t="str">
        <f t="shared" si="11"/>
        <v>Caliboro -Mostazal-TRANS. MITRE SPA.</v>
      </c>
      <c r="R411" s="6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</row>
    <row r="412" spans="2:39" s="7" customFormat="1" x14ac:dyDescent="0.35">
      <c r="B412" s="4" t="str">
        <f>+IF('Data Pura Costos'!B412="","",'Data Pura Costos'!B412)</f>
        <v>Calleuque</v>
      </c>
      <c r="C412" s="4" t="str">
        <f>+IF('Data Pura Costos'!C412="","",'Data Pura Costos'!C412)</f>
        <v>Peralillo ohiggins, VI región</v>
      </c>
      <c r="D412" s="5">
        <f>+IF('Data Pura Costos'!D412="","",'Data Pura Costos'!D412)</f>
        <v>143</v>
      </c>
      <c r="E412" s="65">
        <f>+IF('Data Pura Costos'!E412="","",IF('Data Pura Costos'!E412=0,MAX('Data Pura Costos'!$E$7:$E$3000)*1000,'Data Pura Costos'!E412))</f>
        <v>390000</v>
      </c>
      <c r="F412" s="5" t="str">
        <f>+IF('Data Pura Costos'!F412="","",'Data Pura Costos'!F412)</f>
        <v>Mostazal</v>
      </c>
      <c r="G412" s="5" t="str">
        <f>+IF('Data Pura Costos'!G412="","",'Data Pura Costos'!G412)</f>
        <v>TRANS. MITRE SPA.</v>
      </c>
      <c r="H412" s="52" t="str">
        <f>+IF('Data Pura Costos'!H412="","",'Data Pura Costos'!H412)</f>
        <v>Termo</v>
      </c>
      <c r="I412" s="71">
        <f>+IF('Data Pura Costos'!I412="","",'Data Pura Costos'!I412)</f>
        <v>2727.2727272727275</v>
      </c>
      <c r="J412" s="52" t="str">
        <f>+IF('Data Pura Costos'!J412="","",'Data Pura Costos'!J412)</f>
        <v>24-25</v>
      </c>
      <c r="K412" s="82" t="str">
        <f t="shared" si="11"/>
        <v>Calleuque-Mostazal-TRANS. MITRE SPA.</v>
      </c>
      <c r="R412" s="6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</row>
    <row r="413" spans="2:39" s="7" customFormat="1" x14ac:dyDescent="0.35">
      <c r="B413" s="4" t="str">
        <f>+IF('Data Pura Costos'!B413="","",'Data Pura Costos'!B413)</f>
        <v>Chumpirro</v>
      </c>
      <c r="C413" s="4" t="str">
        <f>+IF('Data Pura Costos'!C413="","",'Data Pura Costos'!C413)</f>
        <v>Angol, IX región</v>
      </c>
      <c r="D413" s="5">
        <f>+IF('Data Pura Costos'!D413="","",'Data Pura Costos'!D413)</f>
        <v>499</v>
      </c>
      <c r="E413" s="65">
        <f>+IF('Data Pura Costos'!E413="","",IF('Data Pura Costos'!E413=0,MAX('Data Pura Costos'!$E$7:$E$3000)*1000,'Data Pura Costos'!E413))</f>
        <v>1200000</v>
      </c>
      <c r="F413" s="5" t="str">
        <f>+IF('Data Pura Costos'!F413="","",'Data Pura Costos'!F413)</f>
        <v>Mostazal</v>
      </c>
      <c r="G413" s="5" t="str">
        <f>+IF('Data Pura Costos'!G413="","",'Data Pura Costos'!G413)</f>
        <v>TRANS. MITRE SPA.</v>
      </c>
      <c r="H413" s="52" t="str">
        <f>+IF('Data Pura Costos'!H413="","",'Data Pura Costos'!H413)</f>
        <v>Termo</v>
      </c>
      <c r="I413" s="71">
        <f>+IF('Data Pura Costos'!I413="","",'Data Pura Costos'!I413)</f>
        <v>2404.8096192384769</v>
      </c>
      <c r="J413" s="52" t="str">
        <f>+IF('Data Pura Costos'!J413="","",'Data Pura Costos'!J413)</f>
        <v>24-25</v>
      </c>
      <c r="K413" s="82" t="str">
        <f t="shared" si="11"/>
        <v>Chumpirro-Mostazal-TRANS. MITRE SPA.</v>
      </c>
      <c r="R413" s="6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</row>
    <row r="414" spans="2:39" s="7" customFormat="1" x14ac:dyDescent="0.35">
      <c r="B414" s="4" t="str">
        <f>+IF('Data Pura Costos'!B414="","",'Data Pura Costos'!B414)</f>
        <v xml:space="preserve"> Cocalán</v>
      </c>
      <c r="C414" s="4" t="str">
        <f>+IF('Data Pura Costos'!C414="","",'Data Pura Costos'!C414)</f>
        <v>Cocalán, VI región</v>
      </c>
      <c r="D414" s="5">
        <f>+IF('Data Pura Costos'!D414="","",'Data Pura Costos'!D414)</f>
        <v>113</v>
      </c>
      <c r="E414" s="65">
        <f>+IF('Data Pura Costos'!E414="","",IF('Data Pura Costos'!E414=0,MAX('Data Pura Costos'!$E$7:$E$3000)*1000,'Data Pura Costos'!E414))</f>
        <v>380000</v>
      </c>
      <c r="F414" s="5" t="str">
        <f>+IF('Data Pura Costos'!F414="","",'Data Pura Costos'!F414)</f>
        <v>Mostazal</v>
      </c>
      <c r="G414" s="5" t="str">
        <f>+IF('Data Pura Costos'!G414="","",'Data Pura Costos'!G414)</f>
        <v>TRANS. MITRE SPA.</v>
      </c>
      <c r="H414" s="52" t="str">
        <f>+IF('Data Pura Costos'!H414="","",'Data Pura Costos'!H414)</f>
        <v>Termo</v>
      </c>
      <c r="I414" s="71">
        <f>+IF('Data Pura Costos'!I414="","",'Data Pura Costos'!I414)</f>
        <v>3362.8318584070798</v>
      </c>
      <c r="J414" s="52" t="str">
        <f>+IF('Data Pura Costos'!J414="","",'Data Pura Costos'!J414)</f>
        <v>24-25</v>
      </c>
      <c r="K414" s="82" t="str">
        <f t="shared" si="11"/>
        <v xml:space="preserve"> Cocalán-Mostazal-TRANS. MITRE SPA.</v>
      </c>
      <c r="R414" s="6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</row>
    <row r="415" spans="2:39" s="7" customFormat="1" x14ac:dyDescent="0.35">
      <c r="B415" s="4" t="str">
        <f>+IF('Data Pura Costos'!B415="","",'Data Pura Costos'!B415)</f>
        <v>El Descanso</v>
      </c>
      <c r="C415" s="4" t="str">
        <f>+IF('Data Pura Costos'!C415="","",'Data Pura Costos'!C415)</f>
        <v>Sagrada Familia, VII región</v>
      </c>
      <c r="D415" s="5">
        <f>+IF('Data Pura Costos'!D415="","",'Data Pura Costos'!D415)</f>
        <v>240</v>
      </c>
      <c r="E415" s="65">
        <f>+IF('Data Pura Costos'!E415="","",IF('Data Pura Costos'!E415=0,MAX('Data Pura Costos'!$E$7:$E$3000)*1000,'Data Pura Costos'!E415))</f>
        <v>380000</v>
      </c>
      <c r="F415" s="5" t="str">
        <f>+IF('Data Pura Costos'!F415="","",'Data Pura Costos'!F415)</f>
        <v>Mostazal</v>
      </c>
      <c r="G415" s="5" t="str">
        <f>+IF('Data Pura Costos'!G415="","",'Data Pura Costos'!G415)</f>
        <v>TRANS. MITRE SPA.</v>
      </c>
      <c r="H415" s="52" t="str">
        <f>+IF('Data Pura Costos'!H415="","",'Data Pura Costos'!H415)</f>
        <v>Termo</v>
      </c>
      <c r="I415" s="71">
        <f>+IF('Data Pura Costos'!I415="","",'Data Pura Costos'!I415)</f>
        <v>1583.3333333333333</v>
      </c>
      <c r="J415" s="52" t="str">
        <f>+IF('Data Pura Costos'!J415="","",'Data Pura Costos'!J415)</f>
        <v>24-25</v>
      </c>
      <c r="K415" s="82" t="str">
        <f t="shared" si="11"/>
        <v>El Descanso-Mostazal-TRANS. MITRE SPA.</v>
      </c>
      <c r="R415" s="6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</row>
    <row r="416" spans="2:39" s="7" customFormat="1" x14ac:dyDescent="0.35">
      <c r="B416" s="4" t="str">
        <f>+IF('Data Pura Costos'!B416="","",'Data Pura Costos'!B416)</f>
        <v>El Huaico</v>
      </c>
      <c r="C416" s="4" t="str">
        <f>+IF('Data Pura Costos'!C416="","",'Data Pura Costos'!C416)</f>
        <v>Palmila Ohiggins</v>
      </c>
      <c r="D416" s="5">
        <f>+IF('Data Pura Costos'!D416="","",'Data Pura Costos'!D416)</f>
        <v>124</v>
      </c>
      <c r="E416" s="65">
        <f>+IF('Data Pura Costos'!E416="","",IF('Data Pura Costos'!E416=0,MAX('Data Pura Costos'!$E$7:$E$3000)*1000,'Data Pura Costos'!E416))</f>
        <v>390000</v>
      </c>
      <c r="F416" s="5" t="str">
        <f>+IF('Data Pura Costos'!F416="","",'Data Pura Costos'!F416)</f>
        <v>Mostazal</v>
      </c>
      <c r="G416" s="5" t="str">
        <f>+IF('Data Pura Costos'!G416="","",'Data Pura Costos'!G416)</f>
        <v>TRANS. MITRE SPA.</v>
      </c>
      <c r="H416" s="52" t="str">
        <f>+IF('Data Pura Costos'!H416="","",'Data Pura Costos'!H416)</f>
        <v>Termo</v>
      </c>
      <c r="I416" s="71">
        <f>+IF('Data Pura Costos'!I416="","",'Data Pura Costos'!I416)</f>
        <v>3145.1612903225805</v>
      </c>
      <c r="J416" s="52" t="str">
        <f>+IF('Data Pura Costos'!J416="","",'Data Pura Costos'!J416)</f>
        <v>24-25</v>
      </c>
      <c r="K416" s="82" t="str">
        <f t="shared" si="11"/>
        <v>El Huaico-Mostazal-TRANS. MITRE SPA.</v>
      </c>
      <c r="R416" s="6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</row>
    <row r="417" spans="2:39" s="7" customFormat="1" x14ac:dyDescent="0.35">
      <c r="B417" s="4" t="str">
        <f>+IF('Data Pura Costos'!B417="","",'Data Pura Costos'!B417)</f>
        <v>El Rosario</v>
      </c>
      <c r="C417" s="4" t="str">
        <f>+IF('Data Pura Costos'!C417="","",'Data Pura Costos'!C417)</f>
        <v>Linares, VII region.</v>
      </c>
      <c r="D417" s="5">
        <f>+IF('Data Pura Costos'!D417="","",'Data Pura Costos'!D417)</f>
        <v>260</v>
      </c>
      <c r="E417" s="65">
        <f>+IF('Data Pura Costos'!E417="","",IF('Data Pura Costos'!E417=0,MAX('Data Pura Costos'!$E$7:$E$3000)*1000,'Data Pura Costos'!E417))</f>
        <v>480000</v>
      </c>
      <c r="F417" s="5" t="str">
        <f>+IF('Data Pura Costos'!F417="","",'Data Pura Costos'!F417)</f>
        <v>Mostazal</v>
      </c>
      <c r="G417" s="5" t="str">
        <f>+IF('Data Pura Costos'!G417="","",'Data Pura Costos'!G417)</f>
        <v>TRANS. MITRE SPA.</v>
      </c>
      <c r="H417" s="52" t="str">
        <f>+IF('Data Pura Costos'!H417="","",'Data Pura Costos'!H417)</f>
        <v>Termo</v>
      </c>
      <c r="I417" s="71">
        <f>+IF('Data Pura Costos'!I417="","",'Data Pura Costos'!I417)</f>
        <v>1846.1538461538462</v>
      </c>
      <c r="J417" s="52" t="str">
        <f>+IF('Data Pura Costos'!J417="","",'Data Pura Costos'!J417)</f>
        <v>24-25</v>
      </c>
      <c r="K417" s="82" t="str">
        <f t="shared" si="11"/>
        <v>El Rosario-Mostazal-TRANS. MITRE SPA.</v>
      </c>
      <c r="R417" s="6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</row>
    <row r="418" spans="2:39" s="7" customFormat="1" x14ac:dyDescent="0.35">
      <c r="B418" s="4" t="str">
        <f>+IF('Data Pura Costos'!B418="","",'Data Pura Costos'!B418)</f>
        <v>La Esperanza</v>
      </c>
      <c r="C418" s="4" t="str">
        <f>+IF('Data Pura Costos'!C418="","",'Data Pura Costos'!C418)</f>
        <v>Peumo, VI región</v>
      </c>
      <c r="D418" s="5">
        <f>+IF('Data Pura Costos'!D418="","",'Data Pura Costos'!D418)</f>
        <v>98</v>
      </c>
      <c r="E418" s="65">
        <f>+IF('Data Pura Costos'!E418="","",IF('Data Pura Costos'!E418=0,MAX('Data Pura Costos'!$E$7:$E$3000)*1000,'Data Pura Costos'!E418))</f>
        <v>380000</v>
      </c>
      <c r="F418" s="5" t="str">
        <f>+IF('Data Pura Costos'!F418="","",'Data Pura Costos'!F418)</f>
        <v>Mostazal</v>
      </c>
      <c r="G418" s="5" t="str">
        <f>+IF('Data Pura Costos'!G418="","",'Data Pura Costos'!G418)</f>
        <v>TRANS. MITRE SPA.</v>
      </c>
      <c r="H418" s="52" t="str">
        <f>+IF('Data Pura Costos'!H418="","",'Data Pura Costos'!H418)</f>
        <v>Termo</v>
      </c>
      <c r="I418" s="71">
        <f>+IF('Data Pura Costos'!I418="","",'Data Pura Costos'!I418)</f>
        <v>3877.5510204081634</v>
      </c>
      <c r="J418" s="52" t="str">
        <f>+IF('Data Pura Costos'!J418="","",'Data Pura Costos'!J418)</f>
        <v>24-25</v>
      </c>
      <c r="K418" s="82" t="str">
        <f t="shared" si="11"/>
        <v>La Esperanza-Mostazal-TRANS. MITRE SPA.</v>
      </c>
      <c r="R418" s="6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</row>
    <row r="419" spans="2:39" s="7" customFormat="1" x14ac:dyDescent="0.35">
      <c r="B419" s="4" t="str">
        <f>+IF('Data Pura Costos'!B419="","",'Data Pura Costos'!B419)</f>
        <v>La Estación</v>
      </c>
      <c r="C419" s="4" t="str">
        <f>+IF('Data Pura Costos'!C419="","",'Data Pura Costos'!C419)</f>
        <v>Palmilla, VI región</v>
      </c>
      <c r="D419" s="5">
        <f>+IF('Data Pura Costos'!D419="","",'Data Pura Costos'!D419)</f>
        <v>125</v>
      </c>
      <c r="E419" s="65">
        <f>+IF('Data Pura Costos'!E419="","",IF('Data Pura Costos'!E419=0,MAX('Data Pura Costos'!$E$7:$E$3000)*1000,'Data Pura Costos'!E419))</f>
        <v>400000</v>
      </c>
      <c r="F419" s="5" t="str">
        <f>+IF('Data Pura Costos'!F419="","",'Data Pura Costos'!F419)</f>
        <v>Mostazal</v>
      </c>
      <c r="G419" s="5" t="str">
        <f>+IF('Data Pura Costos'!G419="","",'Data Pura Costos'!G419)</f>
        <v>TRANS. MITRE SPA.</v>
      </c>
      <c r="H419" s="52" t="str">
        <f>+IF('Data Pura Costos'!H419="","",'Data Pura Costos'!H419)</f>
        <v>Termo</v>
      </c>
      <c r="I419" s="71">
        <f>+IF('Data Pura Costos'!I419="","",'Data Pura Costos'!I419)</f>
        <v>3200</v>
      </c>
      <c r="J419" s="52" t="str">
        <f>+IF('Data Pura Costos'!J419="","",'Data Pura Costos'!J419)</f>
        <v>24-25</v>
      </c>
      <c r="K419" s="82" t="str">
        <f t="shared" si="11"/>
        <v>La Estación-Mostazal-TRANS. MITRE SPA.</v>
      </c>
      <c r="R419" s="6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</row>
    <row r="420" spans="2:39" s="7" customFormat="1" x14ac:dyDescent="0.35">
      <c r="B420" s="4" t="str">
        <f>+IF('Data Pura Costos'!B420="","",'Data Pura Costos'!B420)</f>
        <v>La Lajuela</v>
      </c>
      <c r="C420" s="4" t="str">
        <f>+IF('Data Pura Costos'!C420="","",'Data Pura Costos'!C420)</f>
        <v>Santa Cruz, VI Región</v>
      </c>
      <c r="D420" s="5">
        <f>+IF('Data Pura Costos'!D420="","",'Data Pura Costos'!D420)</f>
        <v>128</v>
      </c>
      <c r="E420" s="65">
        <f>+IF('Data Pura Costos'!E420="","",IF('Data Pura Costos'!E420=0,MAX('Data Pura Costos'!$E$7:$E$3000)*1000,'Data Pura Costos'!E420))</f>
        <v>420000</v>
      </c>
      <c r="F420" s="5" t="str">
        <f>+IF('Data Pura Costos'!F420="","",'Data Pura Costos'!F420)</f>
        <v>Mostazal</v>
      </c>
      <c r="G420" s="5" t="str">
        <f>+IF('Data Pura Costos'!G420="","",'Data Pura Costos'!G420)</f>
        <v>TRANS. MITRE SPA.</v>
      </c>
      <c r="H420" s="52" t="str">
        <f>+IF('Data Pura Costos'!H420="","",'Data Pura Costos'!H420)</f>
        <v>Termo</v>
      </c>
      <c r="I420" s="71">
        <f>+IF('Data Pura Costos'!I420="","",'Data Pura Costos'!I420)</f>
        <v>3281.25</v>
      </c>
      <c r="J420" s="52" t="str">
        <f>+IF('Data Pura Costos'!J420="","",'Data Pura Costos'!J420)</f>
        <v>24-25</v>
      </c>
      <c r="K420" s="82" t="str">
        <f t="shared" si="11"/>
        <v>La Lajuela-Mostazal-TRANS. MITRE SPA.</v>
      </c>
      <c r="R420" s="6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</row>
    <row r="421" spans="2:39" s="7" customFormat="1" x14ac:dyDescent="0.35">
      <c r="B421" s="4" t="str">
        <f>+IF('Data Pura Costos'!B421="","",'Data Pura Costos'!B421)</f>
        <v>La Rinconada</v>
      </c>
      <c r="C421" s="4" t="str">
        <f>+IF('Data Pura Costos'!C421="","",'Data Pura Costos'!C421)</f>
        <v>Pichidegua, VI región</v>
      </c>
      <c r="D421" s="5">
        <f>+IF('Data Pura Costos'!D421="","",'Data Pura Costos'!D421)</f>
        <v>110</v>
      </c>
      <c r="E421" s="65">
        <f>+IF('Data Pura Costos'!E421="","",IF('Data Pura Costos'!E421=0,MAX('Data Pura Costos'!$E$7:$E$3000)*1000,'Data Pura Costos'!E421))</f>
        <v>380000</v>
      </c>
      <c r="F421" s="5" t="str">
        <f>+IF('Data Pura Costos'!F421="","",'Data Pura Costos'!F421)</f>
        <v>Mostazal</v>
      </c>
      <c r="G421" s="5" t="str">
        <f>+IF('Data Pura Costos'!G421="","",'Data Pura Costos'!G421)</f>
        <v>TRANS. MITRE SPA.</v>
      </c>
      <c r="H421" s="52" t="str">
        <f>+IF('Data Pura Costos'!H421="","",'Data Pura Costos'!H421)</f>
        <v>Termo</v>
      </c>
      <c r="I421" s="71">
        <f>+IF('Data Pura Costos'!I421="","",'Data Pura Costos'!I421)</f>
        <v>3454.5454545454545</v>
      </c>
      <c r="J421" s="52" t="str">
        <f>+IF('Data Pura Costos'!J421="","",'Data Pura Costos'!J421)</f>
        <v>24-25</v>
      </c>
      <c r="K421" s="82" t="str">
        <f t="shared" si="11"/>
        <v>La Rinconada-Mostazal-TRANS. MITRE SPA.</v>
      </c>
      <c r="R421" s="6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</row>
    <row r="422" spans="2:39" s="7" customFormat="1" x14ac:dyDescent="0.35">
      <c r="B422" s="4" t="str">
        <f>+IF('Data Pura Costos'!B422="","",'Data Pura Costos'!B422)</f>
        <v>Las Cabras</v>
      </c>
      <c r="C422" s="4" t="str">
        <f>+IF('Data Pura Costos'!C422="","",'Data Pura Costos'!C422)</f>
        <v>Las Cabras, VI región</v>
      </c>
      <c r="D422" s="5">
        <f>+IF('Data Pura Costos'!D422="","",'Data Pura Costos'!D422)</f>
        <v>110</v>
      </c>
      <c r="E422" s="65">
        <f>+IF('Data Pura Costos'!E422="","",IF('Data Pura Costos'!E422=0,MAX('Data Pura Costos'!$E$7:$E$3000)*1000,'Data Pura Costos'!E422))</f>
        <v>380000</v>
      </c>
      <c r="F422" s="5" t="str">
        <f>+IF('Data Pura Costos'!F422="","",'Data Pura Costos'!F422)</f>
        <v>Mostazal</v>
      </c>
      <c r="G422" s="5" t="str">
        <f>+IF('Data Pura Costos'!G422="","",'Data Pura Costos'!G422)</f>
        <v>TRANS. MITRE SPA.</v>
      </c>
      <c r="H422" s="52" t="str">
        <f>+IF('Data Pura Costos'!H422="","",'Data Pura Costos'!H422)</f>
        <v>Termo</v>
      </c>
      <c r="I422" s="71">
        <f>+IF('Data Pura Costos'!I422="","",'Data Pura Costos'!I422)</f>
        <v>3454.5454545454545</v>
      </c>
      <c r="J422" s="52" t="str">
        <f>+IF('Data Pura Costos'!J422="","",'Data Pura Costos'!J422)</f>
        <v>24-25</v>
      </c>
      <c r="K422" s="82" t="str">
        <f t="shared" si="11"/>
        <v>Las Cabras-Mostazal-TRANS. MITRE SPA.</v>
      </c>
      <c r="R422" s="6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</row>
    <row r="423" spans="2:39" s="7" customFormat="1" x14ac:dyDescent="0.35">
      <c r="B423" s="4" t="str">
        <f>+IF('Data Pura Costos'!B423="","",'Data Pura Costos'!B423)</f>
        <v>Las Vertientes</v>
      </c>
      <c r="C423" s="4" t="str">
        <f>+IF('Data Pura Costos'!C423="","",'Data Pura Costos'!C423)</f>
        <v>Pichidegua, VI región</v>
      </c>
      <c r="D423" s="5">
        <f>+IF('Data Pura Costos'!D423="","",'Data Pura Costos'!D423)</f>
        <v>103</v>
      </c>
      <c r="E423" s="65">
        <f>+IF('Data Pura Costos'!E423="","",IF('Data Pura Costos'!E423=0,MAX('Data Pura Costos'!$E$7:$E$3000)*1000,'Data Pura Costos'!E423))</f>
        <v>380000</v>
      </c>
      <c r="F423" s="5" t="str">
        <f>+IF('Data Pura Costos'!F423="","",'Data Pura Costos'!F423)</f>
        <v>Mostazal</v>
      </c>
      <c r="G423" s="5" t="str">
        <f>+IF('Data Pura Costos'!G423="","",'Data Pura Costos'!G423)</f>
        <v>TRANS. MITRE SPA.</v>
      </c>
      <c r="H423" s="52" t="str">
        <f>+IF('Data Pura Costos'!H423="","",'Data Pura Costos'!H423)</f>
        <v>Termo</v>
      </c>
      <c r="I423" s="71">
        <f>+IF('Data Pura Costos'!I423="","",'Data Pura Costos'!I423)</f>
        <v>3689.3203883495144</v>
      </c>
      <c r="J423" s="52" t="str">
        <f>+IF('Data Pura Costos'!J423="","",'Data Pura Costos'!J423)</f>
        <v>24-25</v>
      </c>
      <c r="K423" s="82" t="str">
        <f t="shared" si="11"/>
        <v>Las Vertientes-Mostazal-TRANS. MITRE SPA.</v>
      </c>
      <c r="R423" s="6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</row>
    <row r="424" spans="2:39" s="7" customFormat="1" x14ac:dyDescent="0.35">
      <c r="B424" s="4" t="str">
        <f>+IF('Data Pura Costos'!B424="","",'Data Pura Costos'!B424)</f>
        <v>Lihueimo</v>
      </c>
      <c r="C424" s="4" t="str">
        <f>+IF('Data Pura Costos'!C424="","",'Data Pura Costos'!C424)</f>
        <v>Peralillo ohiggins</v>
      </c>
      <c r="D424" s="5">
        <f>+IF('Data Pura Costos'!D424="","",'Data Pura Costos'!D424)</f>
        <v>131</v>
      </c>
      <c r="E424" s="65">
        <f>+IF('Data Pura Costos'!E424="","",IF('Data Pura Costos'!E424=0,MAX('Data Pura Costos'!$E$7:$E$3000)*1000,'Data Pura Costos'!E424))</f>
        <v>390000</v>
      </c>
      <c r="F424" s="5" t="str">
        <f>+IF('Data Pura Costos'!F424="","",'Data Pura Costos'!F424)</f>
        <v>Mostazal</v>
      </c>
      <c r="G424" s="5" t="str">
        <f>+IF('Data Pura Costos'!G424="","",'Data Pura Costos'!G424)</f>
        <v>TRANS. MITRE SPA.</v>
      </c>
      <c r="H424" s="52" t="str">
        <f>+IF('Data Pura Costos'!H424="","",'Data Pura Costos'!H424)</f>
        <v>Termo</v>
      </c>
      <c r="I424" s="71">
        <f>+IF('Data Pura Costos'!I424="","",'Data Pura Costos'!I424)</f>
        <v>2977.0992366412215</v>
      </c>
      <c r="J424" s="52" t="str">
        <f>+IF('Data Pura Costos'!J424="","",'Data Pura Costos'!J424)</f>
        <v>24-25</v>
      </c>
      <c r="K424" s="82" t="str">
        <f t="shared" si="11"/>
        <v>Lihueimo-Mostazal-TRANS. MITRE SPA.</v>
      </c>
      <c r="R424" s="6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</row>
    <row r="425" spans="2:39" s="7" customFormat="1" x14ac:dyDescent="0.35">
      <c r="B425" s="4" t="str">
        <f>+IF('Data Pura Costos'!B425="","",'Data Pura Costos'!B425)</f>
        <v>Los Maitenes</v>
      </c>
      <c r="C425" s="4" t="str">
        <f>+IF('Data Pura Costos'!C425="","",'Data Pura Costos'!C425)</f>
        <v>Las Cabras, VI región</v>
      </c>
      <c r="D425" s="5">
        <f>+IF('Data Pura Costos'!D425="","",'Data Pura Costos'!D425)</f>
        <v>118</v>
      </c>
      <c r="E425" s="65">
        <f>+IF('Data Pura Costos'!E425="","",IF('Data Pura Costos'!E425=0,MAX('Data Pura Costos'!$E$7:$E$3000)*1000,'Data Pura Costos'!E425))</f>
        <v>380000</v>
      </c>
      <c r="F425" s="5" t="str">
        <f>+IF('Data Pura Costos'!F425="","",'Data Pura Costos'!F425)</f>
        <v>Mostazal</v>
      </c>
      <c r="G425" s="5" t="str">
        <f>+IF('Data Pura Costos'!G425="","",'Data Pura Costos'!G425)</f>
        <v>TRANS. MITRE SPA.</v>
      </c>
      <c r="H425" s="52" t="str">
        <f>+IF('Data Pura Costos'!H425="","",'Data Pura Costos'!H425)</f>
        <v>Termo</v>
      </c>
      <c r="I425" s="71">
        <f>+IF('Data Pura Costos'!I425="","",'Data Pura Costos'!I425)</f>
        <v>3220.3389830508477</v>
      </c>
      <c r="J425" s="52" t="str">
        <f>+IF('Data Pura Costos'!J425="","",'Data Pura Costos'!J425)</f>
        <v>24-25</v>
      </c>
      <c r="K425" s="82" t="str">
        <f t="shared" si="11"/>
        <v>Los Maitenes-Mostazal-TRANS. MITRE SPA.</v>
      </c>
      <c r="R425" s="6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</row>
    <row r="426" spans="2:39" s="7" customFormat="1" x14ac:dyDescent="0.35">
      <c r="B426" s="4" t="str">
        <f>+IF('Data Pura Costos'!B426="","",'Data Pura Costos'!B426)</f>
        <v>Los Toldos</v>
      </c>
      <c r="C426" s="4" t="str">
        <f>+IF('Data Pura Costos'!C426="","",'Data Pura Costos'!C426)</f>
        <v>Angol, IX región</v>
      </c>
      <c r="D426" s="5">
        <f>+IF('Data Pura Costos'!D426="","",'Data Pura Costos'!D426)</f>
        <v>549</v>
      </c>
      <c r="E426" s="65">
        <f>+IF('Data Pura Costos'!E426="","",IF('Data Pura Costos'!E426=0,MAX('Data Pura Costos'!$E$7:$E$3000)*1000,'Data Pura Costos'!E426))</f>
        <v>1000000</v>
      </c>
      <c r="F426" s="5" t="str">
        <f>+IF('Data Pura Costos'!F426="","",'Data Pura Costos'!F426)</f>
        <v>Mostazal</v>
      </c>
      <c r="G426" s="5" t="str">
        <f>+IF('Data Pura Costos'!G426="","",'Data Pura Costos'!G426)</f>
        <v>TRANS. MITRE SPA.</v>
      </c>
      <c r="H426" s="52" t="str">
        <f>+IF('Data Pura Costos'!H426="","",'Data Pura Costos'!H426)</f>
        <v>Termo</v>
      </c>
      <c r="I426" s="71">
        <f>+IF('Data Pura Costos'!I426="","",'Data Pura Costos'!I426)</f>
        <v>1821.4936247723133</v>
      </c>
      <c r="J426" s="52" t="str">
        <f>+IF('Data Pura Costos'!J426="","",'Data Pura Costos'!J426)</f>
        <v>24-25</v>
      </c>
      <c r="K426" s="82" t="str">
        <f t="shared" si="11"/>
        <v>Los Toldos-Mostazal-TRANS. MITRE SPA.</v>
      </c>
      <c r="R426" s="6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</row>
    <row r="427" spans="2:39" s="7" customFormat="1" x14ac:dyDescent="0.35">
      <c r="B427" s="4" t="str">
        <f>+IF('Data Pura Costos'!B427="","",'Data Pura Costos'!B427)</f>
        <v>Talhuén</v>
      </c>
      <c r="C427" s="4" t="str">
        <f>+IF('Data Pura Costos'!C427="","",'Data Pura Costos'!C427)</f>
        <v>Palmilla, VI región</v>
      </c>
      <c r="D427" s="5">
        <f>+IF('Data Pura Costos'!D427="","",'Data Pura Costos'!D427)</f>
        <v>122</v>
      </c>
      <c r="E427" s="65">
        <f>+IF('Data Pura Costos'!E427="","",IF('Data Pura Costos'!E427=0,MAX('Data Pura Costos'!$E$7:$E$3000)*1000,'Data Pura Costos'!E427))</f>
        <v>390000</v>
      </c>
      <c r="F427" s="5" t="str">
        <f>+IF('Data Pura Costos'!F427="","",'Data Pura Costos'!F427)</f>
        <v>Mostazal</v>
      </c>
      <c r="G427" s="5" t="str">
        <f>+IF('Data Pura Costos'!G427="","",'Data Pura Costos'!G427)</f>
        <v>TRANS. MITRE SPA.</v>
      </c>
      <c r="H427" s="52" t="str">
        <f>+IF('Data Pura Costos'!H427="","",'Data Pura Costos'!H427)</f>
        <v>Termo</v>
      </c>
      <c r="I427" s="71">
        <f>+IF('Data Pura Costos'!I427="","",'Data Pura Costos'!I427)</f>
        <v>3196.7213114754099</v>
      </c>
      <c r="J427" s="52" t="str">
        <f>+IF('Data Pura Costos'!J427="","",'Data Pura Costos'!J427)</f>
        <v>24-25</v>
      </c>
      <c r="K427" s="82" t="str">
        <f t="shared" si="11"/>
        <v>Talhuén-Mostazal-TRANS. MITRE SPA.</v>
      </c>
      <c r="R427" s="6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</row>
    <row r="428" spans="2:39" s="7" customFormat="1" x14ac:dyDescent="0.35">
      <c r="B428" s="4" t="str">
        <f>+IF('Data Pura Costos'!B428="","",'Data Pura Costos'!B428)</f>
        <v>Villaseca</v>
      </c>
      <c r="C428" s="4" t="str">
        <f>+IF('Data Pura Costos'!C428="","",'Data Pura Costos'!C428)</f>
        <v>Retiro, VII reginón</v>
      </c>
      <c r="D428" s="5">
        <f>+IF('Data Pura Costos'!D428="","",'Data Pura Costos'!D428)</f>
        <v>297</v>
      </c>
      <c r="E428" s="65">
        <f>+IF('Data Pura Costos'!E428="","",IF('Data Pura Costos'!E428=0,MAX('Data Pura Costos'!$E$7:$E$3000)*1000,'Data Pura Costos'!E428))</f>
        <v>480000</v>
      </c>
      <c r="F428" s="5" t="str">
        <f>+IF('Data Pura Costos'!F428="","",'Data Pura Costos'!F428)</f>
        <v>Mostazal</v>
      </c>
      <c r="G428" s="5" t="str">
        <f>+IF('Data Pura Costos'!G428="","",'Data Pura Costos'!G428)</f>
        <v>TRANS. MITRE SPA.</v>
      </c>
      <c r="H428" s="52" t="str">
        <f>+IF('Data Pura Costos'!H428="","",'Data Pura Costos'!H428)</f>
        <v>Termo</v>
      </c>
      <c r="I428" s="71">
        <f>+IF('Data Pura Costos'!I428="","",'Data Pura Costos'!I428)</f>
        <v>1616.1616161616162</v>
      </c>
      <c r="J428" s="52" t="str">
        <f>+IF('Data Pura Costos'!J428="","",'Data Pura Costos'!J428)</f>
        <v>24-25</v>
      </c>
      <c r="K428" s="82" t="str">
        <f t="shared" si="11"/>
        <v>Villaseca-Mostazal-TRANS. MITRE SPA.</v>
      </c>
      <c r="R428" s="6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</row>
    <row r="429" spans="2:39" s="7" customFormat="1" x14ac:dyDescent="0.35">
      <c r="B429" s="4" t="str">
        <f>+IF('Data Pura Costos'!B429="","",'Data Pura Costos'!B429)</f>
        <v>Almahue</v>
      </c>
      <c r="C429" s="4" t="str">
        <f>+IF('Data Pura Costos'!C429="","",'Data Pura Costos'!C429)</f>
        <v>Pichidegua, VI región</v>
      </c>
      <c r="D429" s="5">
        <f>+IF('Data Pura Costos'!D429="","",'Data Pura Costos'!D429)</f>
        <v>134</v>
      </c>
      <c r="E429" s="65">
        <f>+IF('Data Pura Costos'!E429="","",IF('Data Pura Costos'!E429=0,MAX('Data Pura Costos'!$E$7:$E$3000)*1000,'Data Pura Costos'!E429))</f>
        <v>390000</v>
      </c>
      <c r="F429" s="5" t="str">
        <f>+IF('Data Pura Costos'!F429="","",'Data Pura Costos'!F429)</f>
        <v>Molina</v>
      </c>
      <c r="G429" s="5" t="str">
        <f>+IF('Data Pura Costos'!G429="","",'Data Pura Costos'!G429)</f>
        <v>TRANS. MITRE SPA.</v>
      </c>
      <c r="H429" s="52" t="str">
        <f>+IF('Data Pura Costos'!H429="","",'Data Pura Costos'!H429)</f>
        <v>Termo</v>
      </c>
      <c r="I429" s="71">
        <f>+IF('Data Pura Costos'!I429="","",'Data Pura Costos'!I429)</f>
        <v>2910.4477611940297</v>
      </c>
      <c r="J429" s="52" t="str">
        <f>+IF('Data Pura Costos'!J429="","",'Data Pura Costos'!J429)</f>
        <v>24-25</v>
      </c>
      <c r="K429" s="82" t="str">
        <f t="shared" si="11"/>
        <v>Almahue-Molina-TRANS. MITRE SPA.</v>
      </c>
      <c r="R429" s="6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</row>
    <row r="430" spans="2:39" s="7" customFormat="1" x14ac:dyDescent="0.35">
      <c r="B430" s="4" t="str">
        <f>+IF('Data Pura Costos'!B430="","",'Data Pura Costos'!B430)</f>
        <v>Bodega</v>
      </c>
      <c r="C430" s="4" t="str">
        <f>+IF('Data Pura Costos'!C430="","",'Data Pura Costos'!C430)</f>
        <v>Linares, VII region.</v>
      </c>
      <c r="D430" s="5">
        <f>+IF('Data Pura Costos'!D430="","",'Data Pura Costos'!D430)</f>
        <v>123</v>
      </c>
      <c r="E430" s="65">
        <f>+IF('Data Pura Costos'!E430="","",IF('Data Pura Costos'!E430=0,MAX('Data Pura Costos'!$E$7:$E$3000)*1000,'Data Pura Costos'!E430))</f>
        <v>420000</v>
      </c>
      <c r="F430" s="5" t="str">
        <f>+IF('Data Pura Costos'!F430="","",'Data Pura Costos'!F430)</f>
        <v>Molina</v>
      </c>
      <c r="G430" s="5" t="str">
        <f>+IF('Data Pura Costos'!G430="","",'Data Pura Costos'!G430)</f>
        <v>TRANS. MITRE SPA.</v>
      </c>
      <c r="H430" s="52" t="str">
        <f>+IF('Data Pura Costos'!H430="","",'Data Pura Costos'!H430)</f>
        <v>Termo</v>
      </c>
      <c r="I430" s="71">
        <f>+IF('Data Pura Costos'!I430="","",'Data Pura Costos'!I430)</f>
        <v>3414.6341463414633</v>
      </c>
      <c r="J430" s="52" t="str">
        <f>+IF('Data Pura Costos'!J430="","",'Data Pura Costos'!J430)</f>
        <v>24-25</v>
      </c>
      <c r="K430" s="82" t="str">
        <f t="shared" si="11"/>
        <v>Bodega-Molina-TRANS. MITRE SPA.</v>
      </c>
      <c r="R430" s="6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</row>
    <row r="431" spans="2:39" s="7" customFormat="1" x14ac:dyDescent="0.35">
      <c r="B431" s="4" t="str">
        <f>+IF('Data Pura Costos'!B431="","",'Data Pura Costos'!B431)</f>
        <v xml:space="preserve">Caliboro </v>
      </c>
      <c r="C431" s="4" t="str">
        <f>+IF('Data Pura Costos'!C431="","",'Data Pura Costos'!C431)</f>
        <v>San Javier, VII región</v>
      </c>
      <c r="D431" s="5">
        <f>+IF('Data Pura Costos'!D431="","",'Data Pura Costos'!D431)</f>
        <v>118</v>
      </c>
      <c r="E431" s="65">
        <f>+IF('Data Pura Costos'!E431="","",IF('Data Pura Costos'!E431=0,MAX('Data Pura Costos'!$E$7:$E$3000)*1000,'Data Pura Costos'!E431))</f>
        <v>420000</v>
      </c>
      <c r="F431" s="5" t="str">
        <f>+IF('Data Pura Costos'!F431="","",'Data Pura Costos'!F431)</f>
        <v>Molina</v>
      </c>
      <c r="G431" s="5" t="str">
        <f>+IF('Data Pura Costos'!G431="","",'Data Pura Costos'!G431)</f>
        <v>TRANS. MITRE SPA.</v>
      </c>
      <c r="H431" s="52" t="str">
        <f>+IF('Data Pura Costos'!H431="","",'Data Pura Costos'!H431)</f>
        <v>Termo</v>
      </c>
      <c r="I431" s="71">
        <f>+IF('Data Pura Costos'!I431="","",'Data Pura Costos'!I431)</f>
        <v>3559.3220338983051</v>
      </c>
      <c r="J431" s="52" t="str">
        <f>+IF('Data Pura Costos'!J431="","",'Data Pura Costos'!J431)</f>
        <v>24-25</v>
      </c>
      <c r="K431" s="82" t="str">
        <f t="shared" si="11"/>
        <v>Caliboro -Molina-TRANS. MITRE SPA.</v>
      </c>
      <c r="R431" s="6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</row>
    <row r="432" spans="2:39" s="7" customFormat="1" x14ac:dyDescent="0.35">
      <c r="B432" s="4" t="str">
        <f>+IF('Data Pura Costos'!B432="","",'Data Pura Costos'!B432)</f>
        <v>Calleuque</v>
      </c>
      <c r="C432" s="4" t="str">
        <f>+IF('Data Pura Costos'!C432="","",'Data Pura Costos'!C432)</f>
        <v>Peralillo ohiggins, VI región</v>
      </c>
      <c r="D432" s="5">
        <f>+IF('Data Pura Costos'!D432="","",'Data Pura Costos'!D432)</f>
        <v>103</v>
      </c>
      <c r="E432" s="65">
        <f>+IF('Data Pura Costos'!E432="","",IF('Data Pura Costos'!E432=0,MAX('Data Pura Costos'!$E$7:$E$3000)*1000,'Data Pura Costos'!E432))</f>
        <v>400000</v>
      </c>
      <c r="F432" s="5" t="str">
        <f>+IF('Data Pura Costos'!F432="","",'Data Pura Costos'!F432)</f>
        <v>Molina</v>
      </c>
      <c r="G432" s="5" t="str">
        <f>+IF('Data Pura Costos'!G432="","",'Data Pura Costos'!G432)</f>
        <v>TRANS. MITRE SPA.</v>
      </c>
      <c r="H432" s="52" t="str">
        <f>+IF('Data Pura Costos'!H432="","",'Data Pura Costos'!H432)</f>
        <v>Termo</v>
      </c>
      <c r="I432" s="71">
        <f>+IF('Data Pura Costos'!I432="","",'Data Pura Costos'!I432)</f>
        <v>3883.4951456310678</v>
      </c>
      <c r="J432" s="52" t="str">
        <f>+IF('Data Pura Costos'!J432="","",'Data Pura Costos'!J432)</f>
        <v>24-25</v>
      </c>
      <c r="K432" s="82" t="str">
        <f t="shared" si="11"/>
        <v>Calleuque-Molina-TRANS. MITRE SPA.</v>
      </c>
      <c r="R432" s="6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</row>
    <row r="433" spans="2:39" s="7" customFormat="1" x14ac:dyDescent="0.35">
      <c r="B433" s="4" t="str">
        <f>+IF('Data Pura Costos'!B433="","",'Data Pura Costos'!B433)</f>
        <v>Chumpirro</v>
      </c>
      <c r="C433" s="4" t="str">
        <f>+IF('Data Pura Costos'!C433="","",'Data Pura Costos'!C433)</f>
        <v>Angol, IX región</v>
      </c>
      <c r="D433" s="5">
        <f>+IF('Data Pura Costos'!D433="","",'Data Pura Costos'!D433)</f>
        <v>358</v>
      </c>
      <c r="E433" s="65">
        <f>+IF('Data Pura Costos'!E433="","",IF('Data Pura Costos'!E433=0,MAX('Data Pura Costos'!$E$7:$E$3000)*1000,'Data Pura Costos'!E433))</f>
        <v>1100000</v>
      </c>
      <c r="F433" s="5" t="str">
        <f>+IF('Data Pura Costos'!F433="","",'Data Pura Costos'!F433)</f>
        <v>Molina</v>
      </c>
      <c r="G433" s="5" t="str">
        <f>+IF('Data Pura Costos'!G433="","",'Data Pura Costos'!G433)</f>
        <v>TRANS. MITRE SPA.</v>
      </c>
      <c r="H433" s="52" t="str">
        <f>+IF('Data Pura Costos'!H433="","",'Data Pura Costos'!H433)</f>
        <v>Termo</v>
      </c>
      <c r="I433" s="71">
        <f>+IF('Data Pura Costos'!I433="","",'Data Pura Costos'!I433)</f>
        <v>3072.6256983240223</v>
      </c>
      <c r="J433" s="52" t="str">
        <f>+IF('Data Pura Costos'!J433="","",'Data Pura Costos'!J433)</f>
        <v>24-25</v>
      </c>
      <c r="K433" s="82" t="str">
        <f t="shared" si="11"/>
        <v>Chumpirro-Molina-TRANS. MITRE SPA.</v>
      </c>
      <c r="R433" s="6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</row>
    <row r="434" spans="2:39" s="7" customFormat="1" x14ac:dyDescent="0.35">
      <c r="B434" s="4" t="str">
        <f>+IF('Data Pura Costos'!B434="","",'Data Pura Costos'!B434)</f>
        <v xml:space="preserve"> Cocalán</v>
      </c>
      <c r="C434" s="4" t="str">
        <f>+IF('Data Pura Costos'!C434="","",'Data Pura Costos'!C434)</f>
        <v>Cocalán, VI región</v>
      </c>
      <c r="D434" s="5">
        <f>+IF('Data Pura Costos'!D434="","",'Data Pura Costos'!D434)</f>
        <v>141</v>
      </c>
      <c r="E434" s="65">
        <f>+IF('Data Pura Costos'!E434="","",IF('Data Pura Costos'!E434=0,MAX('Data Pura Costos'!$E$7:$E$3000)*1000,'Data Pura Costos'!E434))</f>
        <v>410000</v>
      </c>
      <c r="F434" s="5" t="str">
        <f>+IF('Data Pura Costos'!F434="","",'Data Pura Costos'!F434)</f>
        <v>Molina</v>
      </c>
      <c r="G434" s="5" t="str">
        <f>+IF('Data Pura Costos'!G434="","",'Data Pura Costos'!G434)</f>
        <v>TRANS. MITRE SPA.</v>
      </c>
      <c r="H434" s="52" t="str">
        <f>+IF('Data Pura Costos'!H434="","",'Data Pura Costos'!H434)</f>
        <v>Termo</v>
      </c>
      <c r="I434" s="71">
        <f>+IF('Data Pura Costos'!I434="","",'Data Pura Costos'!I434)</f>
        <v>2907.8014184397161</v>
      </c>
      <c r="J434" s="52" t="str">
        <f>+IF('Data Pura Costos'!J434="","",'Data Pura Costos'!J434)</f>
        <v>24-25</v>
      </c>
      <c r="K434" s="82" t="str">
        <f t="shared" si="11"/>
        <v xml:space="preserve"> Cocalán-Molina-TRANS. MITRE SPA.</v>
      </c>
      <c r="R434" s="6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</row>
    <row r="435" spans="2:39" s="7" customFormat="1" x14ac:dyDescent="0.35">
      <c r="B435" s="4" t="str">
        <f>+IF('Data Pura Costos'!B435="","",'Data Pura Costos'!B435)</f>
        <v>El Descanso</v>
      </c>
      <c r="C435" s="4" t="str">
        <f>+IF('Data Pura Costos'!C435="","",'Data Pura Costos'!C435)</f>
        <v>Sagrada Familia, VII región</v>
      </c>
      <c r="D435" s="5">
        <f>+IF('Data Pura Costos'!D435="","",'Data Pura Costos'!D435)</f>
        <v>22</v>
      </c>
      <c r="E435" s="65">
        <f>+IF('Data Pura Costos'!E435="","",IF('Data Pura Costos'!E435=0,MAX('Data Pura Costos'!$E$7:$E$3000)*1000,'Data Pura Costos'!E435))</f>
        <v>200000</v>
      </c>
      <c r="F435" s="5" t="str">
        <f>+IF('Data Pura Costos'!F435="","",'Data Pura Costos'!F435)</f>
        <v>Molina</v>
      </c>
      <c r="G435" s="5" t="str">
        <f>+IF('Data Pura Costos'!G435="","",'Data Pura Costos'!G435)</f>
        <v>TRANS. MITRE SPA.</v>
      </c>
      <c r="H435" s="52" t="str">
        <f>+IF('Data Pura Costos'!H435="","",'Data Pura Costos'!H435)</f>
        <v>Termo</v>
      </c>
      <c r="I435" s="71">
        <f>+IF('Data Pura Costos'!I435="","",'Data Pura Costos'!I435)</f>
        <v>9090.9090909090901</v>
      </c>
      <c r="J435" s="52" t="str">
        <f>+IF('Data Pura Costos'!J435="","",'Data Pura Costos'!J435)</f>
        <v>24-25</v>
      </c>
      <c r="K435" s="82" t="str">
        <f t="shared" si="11"/>
        <v>El Descanso-Molina-TRANS. MITRE SPA.</v>
      </c>
      <c r="R435" s="6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</row>
    <row r="436" spans="2:39" s="7" customFormat="1" x14ac:dyDescent="0.35">
      <c r="B436" s="4" t="str">
        <f>+IF('Data Pura Costos'!B436="","",'Data Pura Costos'!B436)</f>
        <v>El Huaico</v>
      </c>
      <c r="C436" s="4" t="str">
        <f>+IF('Data Pura Costos'!C436="","",'Data Pura Costos'!C436)</f>
        <v>Palmila Ohiggins</v>
      </c>
      <c r="D436" s="5">
        <f>+IF('Data Pura Costos'!D436="","",'Data Pura Costos'!D436)</f>
        <v>85</v>
      </c>
      <c r="E436" s="65">
        <f>+IF('Data Pura Costos'!E436="","",IF('Data Pura Costos'!E436=0,MAX('Data Pura Costos'!$E$7:$E$3000)*1000,'Data Pura Costos'!E436))</f>
        <v>390000</v>
      </c>
      <c r="F436" s="5" t="str">
        <f>+IF('Data Pura Costos'!F436="","",'Data Pura Costos'!F436)</f>
        <v>Molina</v>
      </c>
      <c r="G436" s="5" t="str">
        <f>+IF('Data Pura Costos'!G436="","",'Data Pura Costos'!G436)</f>
        <v>TRANS. MITRE SPA.</v>
      </c>
      <c r="H436" s="52" t="str">
        <f>+IF('Data Pura Costos'!H436="","",'Data Pura Costos'!H436)</f>
        <v>Termo</v>
      </c>
      <c r="I436" s="71">
        <f>+IF('Data Pura Costos'!I436="","",'Data Pura Costos'!I436)</f>
        <v>4588.2352941176468</v>
      </c>
      <c r="J436" s="52" t="str">
        <f>+IF('Data Pura Costos'!J436="","",'Data Pura Costos'!J436)</f>
        <v>24-25</v>
      </c>
      <c r="K436" s="82" t="str">
        <f t="shared" si="11"/>
        <v>El Huaico-Molina-TRANS. MITRE SPA.</v>
      </c>
      <c r="R436" s="6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</row>
    <row r="437" spans="2:39" s="7" customFormat="1" x14ac:dyDescent="0.35">
      <c r="B437" s="4" t="str">
        <f>+IF('Data Pura Costos'!B437="","",'Data Pura Costos'!B437)</f>
        <v>El Rosario</v>
      </c>
      <c r="C437" s="4" t="str">
        <f>+IF('Data Pura Costos'!C437="","",'Data Pura Costos'!C437)</f>
        <v>Linares, VII region.</v>
      </c>
      <c r="D437" s="5">
        <f>+IF('Data Pura Costos'!D437="","",'Data Pura Costos'!D437)</f>
        <v>120</v>
      </c>
      <c r="E437" s="65">
        <f>+IF('Data Pura Costos'!E437="","",IF('Data Pura Costos'!E437=0,MAX('Data Pura Costos'!$E$7:$E$3000)*1000,'Data Pura Costos'!E437))</f>
        <v>420000</v>
      </c>
      <c r="F437" s="5" t="str">
        <f>+IF('Data Pura Costos'!F437="","",'Data Pura Costos'!F437)</f>
        <v>Molina</v>
      </c>
      <c r="G437" s="5" t="str">
        <f>+IF('Data Pura Costos'!G437="","",'Data Pura Costos'!G437)</f>
        <v>TRANS. MITRE SPA.</v>
      </c>
      <c r="H437" s="52" t="str">
        <f>+IF('Data Pura Costos'!H437="","",'Data Pura Costos'!H437)</f>
        <v>Termo</v>
      </c>
      <c r="I437" s="71">
        <f>+IF('Data Pura Costos'!I437="","",'Data Pura Costos'!I437)</f>
        <v>3500</v>
      </c>
      <c r="J437" s="52" t="str">
        <f>+IF('Data Pura Costos'!J437="","",'Data Pura Costos'!J437)</f>
        <v>24-25</v>
      </c>
      <c r="K437" s="82" t="str">
        <f t="shared" si="11"/>
        <v>El Rosario-Molina-TRANS. MITRE SPA.</v>
      </c>
      <c r="R437" s="6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</row>
    <row r="438" spans="2:39" s="7" customFormat="1" x14ac:dyDescent="0.35">
      <c r="B438" s="4" t="str">
        <f>+IF('Data Pura Costos'!B438="","",'Data Pura Costos'!B438)</f>
        <v>La Esperanza</v>
      </c>
      <c r="C438" s="4" t="str">
        <f>+IF('Data Pura Costos'!C438="","",'Data Pura Costos'!C438)</f>
        <v>Peumo, VI región</v>
      </c>
      <c r="D438" s="5">
        <f>+IF('Data Pura Costos'!D438="","",'Data Pura Costos'!D438)</f>
        <v>125</v>
      </c>
      <c r="E438" s="65">
        <f>+IF('Data Pura Costos'!E438="","",IF('Data Pura Costos'!E438=0,MAX('Data Pura Costos'!$E$7:$E$3000)*1000,'Data Pura Costos'!E438))</f>
        <v>390000</v>
      </c>
      <c r="F438" s="5" t="str">
        <f>+IF('Data Pura Costos'!F438="","",'Data Pura Costos'!F438)</f>
        <v>Molina</v>
      </c>
      <c r="G438" s="5" t="str">
        <f>+IF('Data Pura Costos'!G438="","",'Data Pura Costos'!G438)</f>
        <v>TRANS. MITRE SPA.</v>
      </c>
      <c r="H438" s="52" t="str">
        <f>+IF('Data Pura Costos'!H438="","",'Data Pura Costos'!H438)</f>
        <v>Termo</v>
      </c>
      <c r="I438" s="71">
        <f>+IF('Data Pura Costos'!I438="","",'Data Pura Costos'!I438)</f>
        <v>3120</v>
      </c>
      <c r="J438" s="52" t="str">
        <f>+IF('Data Pura Costos'!J438="","",'Data Pura Costos'!J438)</f>
        <v>24-25</v>
      </c>
      <c r="K438" s="82" t="str">
        <f t="shared" si="11"/>
        <v>La Esperanza-Molina-TRANS. MITRE SPA.</v>
      </c>
      <c r="R438" s="6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</row>
    <row r="439" spans="2:39" s="7" customFormat="1" x14ac:dyDescent="0.35">
      <c r="B439" s="4" t="str">
        <f>+IF('Data Pura Costos'!B439="","",'Data Pura Costos'!B439)</f>
        <v>La Estación</v>
      </c>
      <c r="C439" s="4" t="str">
        <f>+IF('Data Pura Costos'!C439="","",'Data Pura Costos'!C439)</f>
        <v>Palmilla, VI región</v>
      </c>
      <c r="D439" s="5">
        <f>+IF('Data Pura Costos'!D439="","",'Data Pura Costos'!D439)</f>
        <v>90</v>
      </c>
      <c r="E439" s="65">
        <f>+IF('Data Pura Costos'!E439="","",IF('Data Pura Costos'!E439=0,MAX('Data Pura Costos'!$E$7:$E$3000)*1000,'Data Pura Costos'!E439))</f>
        <v>420000</v>
      </c>
      <c r="F439" s="5" t="str">
        <f>+IF('Data Pura Costos'!F439="","",'Data Pura Costos'!F439)</f>
        <v>Molina</v>
      </c>
      <c r="G439" s="5" t="str">
        <f>+IF('Data Pura Costos'!G439="","",'Data Pura Costos'!G439)</f>
        <v>TRANS. MITRE SPA.</v>
      </c>
      <c r="H439" s="52" t="str">
        <f>+IF('Data Pura Costos'!H439="","",'Data Pura Costos'!H439)</f>
        <v>Termo</v>
      </c>
      <c r="I439" s="71">
        <f>+IF('Data Pura Costos'!I439="","",'Data Pura Costos'!I439)</f>
        <v>4666.666666666667</v>
      </c>
      <c r="J439" s="52" t="str">
        <f>+IF('Data Pura Costos'!J439="","",'Data Pura Costos'!J439)</f>
        <v>24-25</v>
      </c>
      <c r="K439" s="82" t="str">
        <f t="shared" si="11"/>
        <v>La Estación-Molina-TRANS. MITRE SPA.</v>
      </c>
      <c r="R439" s="6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</row>
    <row r="440" spans="2:39" s="7" customFormat="1" x14ac:dyDescent="0.35">
      <c r="B440" s="4" t="str">
        <f>+IF('Data Pura Costos'!B440="","",'Data Pura Costos'!B440)</f>
        <v>La Lajuela</v>
      </c>
      <c r="C440" s="4" t="str">
        <f>+IF('Data Pura Costos'!C440="","",'Data Pura Costos'!C440)</f>
        <v>Santa Cruz, VI Región</v>
      </c>
      <c r="D440" s="5">
        <f>+IF('Data Pura Costos'!D440="","",'Data Pura Costos'!D440)</f>
        <v>80</v>
      </c>
      <c r="E440" s="65">
        <f>+IF('Data Pura Costos'!E440="","",IF('Data Pura Costos'!E440=0,MAX('Data Pura Costos'!$E$7:$E$3000)*1000,'Data Pura Costos'!E440))</f>
        <v>420000</v>
      </c>
      <c r="F440" s="5" t="str">
        <f>+IF('Data Pura Costos'!F440="","",'Data Pura Costos'!F440)</f>
        <v>Molina</v>
      </c>
      <c r="G440" s="5" t="str">
        <f>+IF('Data Pura Costos'!G440="","",'Data Pura Costos'!G440)</f>
        <v>TRANS. MITRE SPA.</v>
      </c>
      <c r="H440" s="52" t="str">
        <f>+IF('Data Pura Costos'!H440="","",'Data Pura Costos'!H440)</f>
        <v>Termo</v>
      </c>
      <c r="I440" s="71">
        <f>+IF('Data Pura Costos'!I440="","",'Data Pura Costos'!I440)</f>
        <v>5250</v>
      </c>
      <c r="J440" s="52" t="str">
        <f>+IF('Data Pura Costos'!J440="","",'Data Pura Costos'!J440)</f>
        <v>24-25</v>
      </c>
      <c r="K440" s="82" t="str">
        <f t="shared" si="11"/>
        <v>La Lajuela-Molina-TRANS. MITRE SPA.</v>
      </c>
      <c r="R440" s="6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</row>
    <row r="441" spans="2:39" s="7" customFormat="1" x14ac:dyDescent="0.35">
      <c r="B441" s="4" t="str">
        <f>+IF('Data Pura Costos'!B441="","",'Data Pura Costos'!B441)</f>
        <v>La Rinconada</v>
      </c>
      <c r="C441" s="4" t="str">
        <f>+IF('Data Pura Costos'!C441="","",'Data Pura Costos'!C441)</f>
        <v>Pichidegua, VI región</v>
      </c>
      <c r="D441" s="5">
        <f>+IF('Data Pura Costos'!D441="","",'Data Pura Costos'!D441)</f>
        <v>133</v>
      </c>
      <c r="E441" s="65">
        <f>+IF('Data Pura Costos'!E441="","",IF('Data Pura Costos'!E441=0,MAX('Data Pura Costos'!$E$7:$E$3000)*1000,'Data Pura Costos'!E441))</f>
        <v>390000</v>
      </c>
      <c r="F441" s="5" t="str">
        <f>+IF('Data Pura Costos'!F441="","",'Data Pura Costos'!F441)</f>
        <v>Molina</v>
      </c>
      <c r="G441" s="5" t="str">
        <f>+IF('Data Pura Costos'!G441="","",'Data Pura Costos'!G441)</f>
        <v>TRANS. MITRE SPA.</v>
      </c>
      <c r="H441" s="52" t="str">
        <f>+IF('Data Pura Costos'!H441="","",'Data Pura Costos'!H441)</f>
        <v>Termo</v>
      </c>
      <c r="I441" s="71">
        <f>+IF('Data Pura Costos'!I441="","",'Data Pura Costos'!I441)</f>
        <v>2932.3308270676694</v>
      </c>
      <c r="J441" s="52" t="str">
        <f>+IF('Data Pura Costos'!J441="","",'Data Pura Costos'!J441)</f>
        <v>24-25</v>
      </c>
      <c r="K441" s="82" t="str">
        <f t="shared" si="11"/>
        <v>La Rinconada-Molina-TRANS. MITRE SPA.</v>
      </c>
      <c r="R441" s="6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</row>
    <row r="442" spans="2:39" s="7" customFormat="1" x14ac:dyDescent="0.35">
      <c r="B442" s="4" t="str">
        <f>+IF('Data Pura Costos'!B442="","",'Data Pura Costos'!B442)</f>
        <v>Las Cabras</v>
      </c>
      <c r="C442" s="4" t="str">
        <f>+IF('Data Pura Costos'!C442="","",'Data Pura Costos'!C442)</f>
        <v>Las Cabras, VI región</v>
      </c>
      <c r="D442" s="5">
        <f>+IF('Data Pura Costos'!D442="","",'Data Pura Costos'!D442)</f>
        <v>140</v>
      </c>
      <c r="E442" s="65">
        <f>+IF('Data Pura Costos'!E442="","",IF('Data Pura Costos'!E442=0,MAX('Data Pura Costos'!$E$7:$E$3000)*1000,'Data Pura Costos'!E442))</f>
        <v>390000</v>
      </c>
      <c r="F442" s="5" t="str">
        <f>+IF('Data Pura Costos'!F442="","",'Data Pura Costos'!F442)</f>
        <v>Molina</v>
      </c>
      <c r="G442" s="5" t="str">
        <f>+IF('Data Pura Costos'!G442="","",'Data Pura Costos'!G442)</f>
        <v>TRANS. MITRE SPA.</v>
      </c>
      <c r="H442" s="52" t="str">
        <f>+IF('Data Pura Costos'!H442="","",'Data Pura Costos'!H442)</f>
        <v>Termo</v>
      </c>
      <c r="I442" s="71">
        <f>+IF('Data Pura Costos'!I442="","",'Data Pura Costos'!I442)</f>
        <v>2785.7142857142858</v>
      </c>
      <c r="J442" s="52" t="str">
        <f>+IF('Data Pura Costos'!J442="","",'Data Pura Costos'!J442)</f>
        <v>24-25</v>
      </c>
      <c r="K442" s="82" t="str">
        <f t="shared" si="11"/>
        <v>Las Cabras-Molina-TRANS. MITRE SPA.</v>
      </c>
      <c r="R442" s="6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</row>
    <row r="443" spans="2:39" s="7" customFormat="1" x14ac:dyDescent="0.35">
      <c r="B443" s="4" t="str">
        <f>+IF('Data Pura Costos'!B443="","",'Data Pura Costos'!B443)</f>
        <v>Las Vertientes</v>
      </c>
      <c r="C443" s="4" t="str">
        <f>+IF('Data Pura Costos'!C443="","",'Data Pura Costos'!C443)</f>
        <v>Pichidegua, VI región</v>
      </c>
      <c r="D443" s="5">
        <f>+IF('Data Pura Costos'!D443="","",'Data Pura Costos'!D443)</f>
        <v>130</v>
      </c>
      <c r="E443" s="65">
        <f>+IF('Data Pura Costos'!E443="","",IF('Data Pura Costos'!E443=0,MAX('Data Pura Costos'!$E$7:$E$3000)*1000,'Data Pura Costos'!E443))</f>
        <v>390000</v>
      </c>
      <c r="F443" s="5" t="str">
        <f>+IF('Data Pura Costos'!F443="","",'Data Pura Costos'!F443)</f>
        <v>Molina</v>
      </c>
      <c r="G443" s="5" t="str">
        <f>+IF('Data Pura Costos'!G443="","",'Data Pura Costos'!G443)</f>
        <v>TRANS. MITRE SPA.</v>
      </c>
      <c r="H443" s="52" t="str">
        <f>+IF('Data Pura Costos'!H443="","",'Data Pura Costos'!H443)</f>
        <v>Termo</v>
      </c>
      <c r="I443" s="71">
        <f>+IF('Data Pura Costos'!I443="","",'Data Pura Costos'!I443)</f>
        <v>3000</v>
      </c>
      <c r="J443" s="52" t="str">
        <f>+IF('Data Pura Costos'!J443="","",'Data Pura Costos'!J443)</f>
        <v>24-25</v>
      </c>
      <c r="K443" s="82" t="str">
        <f t="shared" si="11"/>
        <v>Las Vertientes-Molina-TRANS. MITRE SPA.</v>
      </c>
      <c r="R443" s="6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</row>
    <row r="444" spans="2:39" s="7" customFormat="1" x14ac:dyDescent="0.35">
      <c r="B444" s="4" t="str">
        <f>+IF('Data Pura Costos'!B444="","",'Data Pura Costos'!B444)</f>
        <v>Lihueimo</v>
      </c>
      <c r="C444" s="4" t="str">
        <f>+IF('Data Pura Costos'!C444="","",'Data Pura Costos'!C444)</f>
        <v>Peralillo ohiggins</v>
      </c>
      <c r="D444" s="5">
        <f>+IF('Data Pura Costos'!D444="","",'Data Pura Costos'!D444)</f>
        <v>90</v>
      </c>
      <c r="E444" s="65">
        <f>+IF('Data Pura Costos'!E444="","",IF('Data Pura Costos'!E444=0,MAX('Data Pura Costos'!$E$7:$E$3000)*1000,'Data Pura Costos'!E444))</f>
        <v>400000</v>
      </c>
      <c r="F444" s="5" t="str">
        <f>+IF('Data Pura Costos'!F444="","",'Data Pura Costos'!F444)</f>
        <v>Molina</v>
      </c>
      <c r="G444" s="5" t="str">
        <f>+IF('Data Pura Costos'!G444="","",'Data Pura Costos'!G444)</f>
        <v>TRANS. MITRE SPA.</v>
      </c>
      <c r="H444" s="52" t="str">
        <f>+IF('Data Pura Costos'!H444="","",'Data Pura Costos'!H444)</f>
        <v>Termo</v>
      </c>
      <c r="I444" s="71">
        <f>+IF('Data Pura Costos'!I444="","",'Data Pura Costos'!I444)</f>
        <v>4444.4444444444443</v>
      </c>
      <c r="J444" s="52" t="str">
        <f>+IF('Data Pura Costos'!J444="","",'Data Pura Costos'!J444)</f>
        <v>24-25</v>
      </c>
      <c r="K444" s="82" t="str">
        <f t="shared" si="11"/>
        <v>Lihueimo-Molina-TRANS. MITRE SPA.</v>
      </c>
      <c r="R444" s="6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</row>
    <row r="445" spans="2:39" s="7" customFormat="1" x14ac:dyDescent="0.35">
      <c r="B445" s="4" t="str">
        <f>+IF('Data Pura Costos'!B445="","",'Data Pura Costos'!B445)</f>
        <v>Los Maitenes</v>
      </c>
      <c r="C445" s="4" t="str">
        <f>+IF('Data Pura Costos'!C445="","",'Data Pura Costos'!C445)</f>
        <v>Las Cabras, VI región</v>
      </c>
      <c r="D445" s="5">
        <f>+IF('Data Pura Costos'!D445="","",'Data Pura Costos'!D445)</f>
        <v>144</v>
      </c>
      <c r="E445" s="65">
        <f>+IF('Data Pura Costos'!E445="","",IF('Data Pura Costos'!E445=0,MAX('Data Pura Costos'!$E$7:$E$3000)*1000,'Data Pura Costos'!E445))</f>
        <v>390000</v>
      </c>
      <c r="F445" s="5" t="str">
        <f>+IF('Data Pura Costos'!F445="","",'Data Pura Costos'!F445)</f>
        <v>Molina</v>
      </c>
      <c r="G445" s="5" t="str">
        <f>+IF('Data Pura Costos'!G445="","",'Data Pura Costos'!G445)</f>
        <v>TRANS. MITRE SPA.</v>
      </c>
      <c r="H445" s="52" t="str">
        <f>+IF('Data Pura Costos'!H445="","",'Data Pura Costos'!H445)</f>
        <v>Termo</v>
      </c>
      <c r="I445" s="71">
        <f>+IF('Data Pura Costos'!I445="","",'Data Pura Costos'!I445)</f>
        <v>2708.3333333333335</v>
      </c>
      <c r="J445" s="52" t="str">
        <f>+IF('Data Pura Costos'!J445="","",'Data Pura Costos'!J445)</f>
        <v>24-25</v>
      </c>
      <c r="K445" s="82" t="str">
        <f t="shared" si="11"/>
        <v>Los Maitenes-Molina-TRANS. MITRE SPA.</v>
      </c>
      <c r="R445" s="6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</row>
    <row r="446" spans="2:39" s="7" customFormat="1" x14ac:dyDescent="0.35">
      <c r="B446" s="4" t="str">
        <f>+IF('Data Pura Costos'!B446="","",'Data Pura Costos'!B446)</f>
        <v>Los Toldos</v>
      </c>
      <c r="C446" s="4" t="str">
        <f>+IF('Data Pura Costos'!C446="","",'Data Pura Costos'!C446)</f>
        <v>Angol, IX región</v>
      </c>
      <c r="D446" s="5">
        <f>+IF('Data Pura Costos'!D446="","",'Data Pura Costos'!D446)</f>
        <v>408</v>
      </c>
      <c r="E446" s="65">
        <f>+IF('Data Pura Costos'!E446="","",IF('Data Pura Costos'!E446=0,MAX('Data Pura Costos'!$E$7:$E$3000)*1000,'Data Pura Costos'!E446))</f>
        <v>1100000</v>
      </c>
      <c r="F446" s="5" t="str">
        <f>+IF('Data Pura Costos'!F446="","",'Data Pura Costos'!F446)</f>
        <v>Molina</v>
      </c>
      <c r="G446" s="5" t="str">
        <f>+IF('Data Pura Costos'!G446="","",'Data Pura Costos'!G446)</f>
        <v>TRANS. MITRE SPA.</v>
      </c>
      <c r="H446" s="52" t="str">
        <f>+IF('Data Pura Costos'!H446="","",'Data Pura Costos'!H446)</f>
        <v>Termo</v>
      </c>
      <c r="I446" s="71">
        <f>+IF('Data Pura Costos'!I446="","",'Data Pura Costos'!I446)</f>
        <v>2696.0784313725489</v>
      </c>
      <c r="J446" s="52" t="str">
        <f>+IF('Data Pura Costos'!J446="","",'Data Pura Costos'!J446)</f>
        <v>24-25</v>
      </c>
      <c r="K446" s="82" t="str">
        <f t="shared" si="11"/>
        <v>Los Toldos-Molina-TRANS. MITRE SPA.</v>
      </c>
      <c r="R446" s="6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</row>
    <row r="447" spans="2:39" s="7" customFormat="1" x14ac:dyDescent="0.35">
      <c r="B447" s="4" t="str">
        <f>+IF('Data Pura Costos'!B447="","",'Data Pura Costos'!B447)</f>
        <v>Talhuén</v>
      </c>
      <c r="C447" s="4" t="str">
        <f>+IF('Data Pura Costos'!C447="","",'Data Pura Costos'!C447)</f>
        <v>Palmilla, VI región</v>
      </c>
      <c r="D447" s="5">
        <f>+IF('Data Pura Costos'!D447="","",'Data Pura Costos'!D447)</f>
        <v>95</v>
      </c>
      <c r="E447" s="65">
        <f>+IF('Data Pura Costos'!E447="","",IF('Data Pura Costos'!E447=0,MAX('Data Pura Costos'!$E$7:$E$3000)*1000,'Data Pura Costos'!E447))</f>
        <v>390000</v>
      </c>
      <c r="F447" s="5" t="str">
        <f>+IF('Data Pura Costos'!F447="","",'Data Pura Costos'!F447)</f>
        <v>Molina</v>
      </c>
      <c r="G447" s="5" t="str">
        <f>+IF('Data Pura Costos'!G447="","",'Data Pura Costos'!G447)</f>
        <v>TRANS. MITRE SPA.</v>
      </c>
      <c r="H447" s="52" t="str">
        <f>+IF('Data Pura Costos'!H447="","",'Data Pura Costos'!H447)</f>
        <v>Termo</v>
      </c>
      <c r="I447" s="71">
        <f>+IF('Data Pura Costos'!I447="","",'Data Pura Costos'!I447)</f>
        <v>4105.2631578947367</v>
      </c>
      <c r="J447" s="52" t="str">
        <f>+IF('Data Pura Costos'!J447="","",'Data Pura Costos'!J447)</f>
        <v>24-25</v>
      </c>
      <c r="K447" s="82" t="str">
        <f t="shared" si="11"/>
        <v>Talhuén-Molina-TRANS. MITRE SPA.</v>
      </c>
      <c r="R447" s="6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</row>
    <row r="448" spans="2:39" s="7" customFormat="1" x14ac:dyDescent="0.35">
      <c r="B448" s="4" t="str">
        <f>+IF('Data Pura Costos'!B448="","",'Data Pura Costos'!B448)</f>
        <v>Villaseca</v>
      </c>
      <c r="C448" s="4" t="str">
        <f>+IF('Data Pura Costos'!C448="","",'Data Pura Costos'!C448)</f>
        <v>Retiro, VII reginón</v>
      </c>
      <c r="D448" s="5">
        <f>+IF('Data Pura Costos'!D448="","",'Data Pura Costos'!D448)</f>
        <v>160</v>
      </c>
      <c r="E448" s="65">
        <f>+IF('Data Pura Costos'!E448="","",IF('Data Pura Costos'!E448=0,MAX('Data Pura Costos'!$E$7:$E$3000)*1000,'Data Pura Costos'!E448))</f>
        <v>420000</v>
      </c>
      <c r="F448" s="5" t="str">
        <f>+IF('Data Pura Costos'!F448="","",'Data Pura Costos'!F448)</f>
        <v>Molina</v>
      </c>
      <c r="G448" s="5" t="str">
        <f>+IF('Data Pura Costos'!G448="","",'Data Pura Costos'!G448)</f>
        <v>TRANS. MITRE SPA.</v>
      </c>
      <c r="H448" s="52" t="str">
        <f>+IF('Data Pura Costos'!H448="","",'Data Pura Costos'!H448)</f>
        <v>Termo</v>
      </c>
      <c r="I448" s="71">
        <f>+IF('Data Pura Costos'!I448="","",'Data Pura Costos'!I448)</f>
        <v>2625</v>
      </c>
      <c r="J448" s="52" t="str">
        <f>+IF('Data Pura Costos'!J448="","",'Data Pura Costos'!J448)</f>
        <v>24-25</v>
      </c>
      <c r="K448" s="82" t="str">
        <f t="shared" si="11"/>
        <v>Villaseca-Molina-TRANS. MITRE SPA.</v>
      </c>
      <c r="R448" s="6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</row>
    <row r="449" spans="2:39" s="7" customFormat="1" x14ac:dyDescent="0.35">
      <c r="B449" s="4" t="str">
        <f>+IF('Data Pura Costos'!B449="","",'Data Pura Costos'!B449)</f>
        <v>Almahue</v>
      </c>
      <c r="C449" s="4" t="str">
        <f>+IF('Data Pura Costos'!C449="","",'Data Pura Costos'!C449)</f>
        <v>Pichidegua, VI región</v>
      </c>
      <c r="D449" s="5">
        <f>+IF('Data Pura Costos'!D449="","",'Data Pura Costos'!D449)</f>
        <v>50</v>
      </c>
      <c r="E449" s="65">
        <f>+IF('Data Pura Costos'!E449="","",IF('Data Pura Costos'!E449=0,MAX('Data Pura Costos'!$E$7:$E$3000)*1000,'Data Pura Costos'!E449))</f>
        <v>290000</v>
      </c>
      <c r="F449" s="5" t="str">
        <f>+IF('Data Pura Costos'!F449="","",'Data Pura Costos'!F449)</f>
        <v>Malloa</v>
      </c>
      <c r="G449" s="5" t="str">
        <f>+IF('Data Pura Costos'!G449="","",'Data Pura Costos'!G449)</f>
        <v>TRANS. MITRE SPA.</v>
      </c>
      <c r="H449" s="52" t="str">
        <f>+IF('Data Pura Costos'!H449="","",'Data Pura Costos'!H449)</f>
        <v>Termo</v>
      </c>
      <c r="I449" s="71">
        <f>+IF('Data Pura Costos'!I449="","",'Data Pura Costos'!I449)</f>
        <v>5800</v>
      </c>
      <c r="J449" s="52" t="str">
        <f>+IF('Data Pura Costos'!J449="","",'Data Pura Costos'!J449)</f>
        <v>24-25</v>
      </c>
      <c r="K449" s="82" t="str">
        <f t="shared" si="11"/>
        <v>Almahue-Malloa-TRANS. MITRE SPA.</v>
      </c>
      <c r="R449" s="6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</row>
    <row r="450" spans="2:39" s="7" customFormat="1" x14ac:dyDescent="0.35">
      <c r="B450" s="4" t="str">
        <f>+IF('Data Pura Costos'!B450="","",'Data Pura Costos'!B450)</f>
        <v>Bodega</v>
      </c>
      <c r="C450" s="4" t="str">
        <f>+IF('Data Pura Costos'!C450="","",'Data Pura Costos'!C450)</f>
        <v>Linares, VII region.</v>
      </c>
      <c r="D450" s="5">
        <f>+IF('Data Pura Costos'!D450="","",'Data Pura Costos'!D450)</f>
        <v>211</v>
      </c>
      <c r="E450" s="65">
        <f>+IF('Data Pura Costos'!E450="","",IF('Data Pura Costos'!E450=0,MAX('Data Pura Costos'!$E$7:$E$3000)*1000,'Data Pura Costos'!E450))</f>
        <v>450000</v>
      </c>
      <c r="F450" s="5" t="str">
        <f>+IF('Data Pura Costos'!F450="","",'Data Pura Costos'!F450)</f>
        <v>Malloa</v>
      </c>
      <c r="G450" s="5" t="str">
        <f>+IF('Data Pura Costos'!G450="","",'Data Pura Costos'!G450)</f>
        <v>TRANS. MITRE SPA.</v>
      </c>
      <c r="H450" s="52" t="str">
        <f>+IF('Data Pura Costos'!H450="","",'Data Pura Costos'!H450)</f>
        <v>Termo</v>
      </c>
      <c r="I450" s="71">
        <f>+IF('Data Pura Costos'!I450="","",'Data Pura Costos'!I450)</f>
        <v>2132.7014218009481</v>
      </c>
      <c r="J450" s="52" t="str">
        <f>+IF('Data Pura Costos'!J450="","",'Data Pura Costos'!J450)</f>
        <v>24-25</v>
      </c>
      <c r="K450" s="82" t="str">
        <f t="shared" si="11"/>
        <v>Bodega-Malloa-TRANS. MITRE SPA.</v>
      </c>
      <c r="R450" s="6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</row>
    <row r="451" spans="2:39" s="7" customFormat="1" x14ac:dyDescent="0.35">
      <c r="B451" s="4" t="str">
        <f>+IF('Data Pura Costos'!B451="","",'Data Pura Costos'!B451)</f>
        <v xml:space="preserve">Caliboro </v>
      </c>
      <c r="C451" s="4" t="str">
        <f>+IF('Data Pura Costos'!C451="","",'Data Pura Costos'!C451)</f>
        <v>San Javier, VII región</v>
      </c>
      <c r="D451" s="5">
        <f>+IF('Data Pura Costos'!D451="","",'Data Pura Costos'!D451)</f>
        <v>206</v>
      </c>
      <c r="E451" s="65">
        <f>+IF('Data Pura Costos'!E451="","",IF('Data Pura Costos'!E451=0,MAX('Data Pura Costos'!$E$7:$E$3000)*1000,'Data Pura Costos'!E451))</f>
        <v>450000</v>
      </c>
      <c r="F451" s="5" t="str">
        <f>+IF('Data Pura Costos'!F451="","",'Data Pura Costos'!F451)</f>
        <v>Malloa</v>
      </c>
      <c r="G451" s="5" t="str">
        <f>+IF('Data Pura Costos'!G451="","",'Data Pura Costos'!G451)</f>
        <v>TRANS. MITRE SPA.</v>
      </c>
      <c r="H451" s="52" t="str">
        <f>+IF('Data Pura Costos'!H451="","",'Data Pura Costos'!H451)</f>
        <v>Termo</v>
      </c>
      <c r="I451" s="71">
        <f>+IF('Data Pura Costos'!I451="","",'Data Pura Costos'!I451)</f>
        <v>2184.4660194174758</v>
      </c>
      <c r="J451" s="52" t="str">
        <f>+IF('Data Pura Costos'!J451="","",'Data Pura Costos'!J451)</f>
        <v>24-25</v>
      </c>
      <c r="K451" s="82" t="str">
        <f t="shared" si="11"/>
        <v>Caliboro -Malloa-TRANS. MITRE SPA.</v>
      </c>
      <c r="R451" s="6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</row>
    <row r="452" spans="2:39" s="7" customFormat="1" x14ac:dyDescent="0.35">
      <c r="B452" s="4" t="str">
        <f>+IF('Data Pura Costos'!B452="","",'Data Pura Costos'!B452)</f>
        <v>Calleuque</v>
      </c>
      <c r="C452" s="4" t="str">
        <f>+IF('Data Pura Costos'!C452="","",'Data Pura Costos'!C452)</f>
        <v>Peralillo ohiggins, VI región</v>
      </c>
      <c r="D452" s="5">
        <f>+IF('Data Pura Costos'!D452="","",'Data Pura Costos'!D452)</f>
        <v>80</v>
      </c>
      <c r="E452" s="65">
        <f>+IF('Data Pura Costos'!E452="","",IF('Data Pura Costos'!E452=0,MAX('Data Pura Costos'!$E$7:$E$3000)*1000,'Data Pura Costos'!E452))</f>
        <v>310000</v>
      </c>
      <c r="F452" s="5" t="str">
        <f>+IF('Data Pura Costos'!F452="","",'Data Pura Costos'!F452)</f>
        <v>Malloa</v>
      </c>
      <c r="G452" s="5" t="str">
        <f>+IF('Data Pura Costos'!G452="","",'Data Pura Costos'!G452)</f>
        <v>TRANS. MITRE SPA.</v>
      </c>
      <c r="H452" s="52" t="str">
        <f>+IF('Data Pura Costos'!H452="","",'Data Pura Costos'!H452)</f>
        <v>Termo</v>
      </c>
      <c r="I452" s="71">
        <f>+IF('Data Pura Costos'!I452="","",'Data Pura Costos'!I452)</f>
        <v>3875</v>
      </c>
      <c r="J452" s="52" t="str">
        <f>+IF('Data Pura Costos'!J452="","",'Data Pura Costos'!J452)</f>
        <v>24-25</v>
      </c>
      <c r="K452" s="82" t="str">
        <f t="shared" si="11"/>
        <v>Calleuque-Malloa-TRANS. MITRE SPA.</v>
      </c>
      <c r="R452" s="6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</row>
    <row r="453" spans="2:39" s="7" customFormat="1" x14ac:dyDescent="0.35">
      <c r="B453" s="4" t="str">
        <f>+IF('Data Pura Costos'!B453="","",'Data Pura Costos'!B453)</f>
        <v>Chumpirro</v>
      </c>
      <c r="C453" s="4" t="str">
        <f>+IF('Data Pura Costos'!C453="","",'Data Pura Costos'!C453)</f>
        <v>Angol, IX región</v>
      </c>
      <c r="D453" s="5">
        <f>+IF('Data Pura Costos'!D453="","",'Data Pura Costos'!D453)</f>
        <v>450</v>
      </c>
      <c r="E453" s="65">
        <f>+IF('Data Pura Costos'!E453="","",IF('Data Pura Costos'!E453=0,MAX('Data Pura Costos'!$E$7:$E$3000)*1000,'Data Pura Costos'!E453))</f>
        <v>1150000</v>
      </c>
      <c r="F453" s="5" t="str">
        <f>+IF('Data Pura Costos'!F453="","",'Data Pura Costos'!F453)</f>
        <v>Malloa</v>
      </c>
      <c r="G453" s="5" t="str">
        <f>+IF('Data Pura Costos'!G453="","",'Data Pura Costos'!G453)</f>
        <v>TRANS. MITRE SPA.</v>
      </c>
      <c r="H453" s="52" t="str">
        <f>+IF('Data Pura Costos'!H453="","",'Data Pura Costos'!H453)</f>
        <v>Termo</v>
      </c>
      <c r="I453" s="71">
        <f>+IF('Data Pura Costos'!I453="","",'Data Pura Costos'!I453)</f>
        <v>2555.5555555555557</v>
      </c>
      <c r="J453" s="52" t="str">
        <f>+IF('Data Pura Costos'!J453="","",'Data Pura Costos'!J453)</f>
        <v>24-25</v>
      </c>
      <c r="K453" s="82" t="str">
        <f t="shared" si="11"/>
        <v>Chumpirro-Malloa-TRANS. MITRE SPA.</v>
      </c>
      <c r="R453" s="6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</row>
    <row r="454" spans="2:39" s="7" customFormat="1" x14ac:dyDescent="0.35">
      <c r="B454" s="4" t="str">
        <f>+IF('Data Pura Costos'!B454="","",'Data Pura Costos'!B454)</f>
        <v xml:space="preserve"> Cocalán</v>
      </c>
      <c r="C454" s="4" t="str">
        <f>+IF('Data Pura Costos'!C454="","",'Data Pura Costos'!C454)</f>
        <v>Cocalán, VI región</v>
      </c>
      <c r="D454" s="5">
        <f>+IF('Data Pura Costos'!D454="","",'Data Pura Costos'!D454)</f>
        <v>50</v>
      </c>
      <c r="E454" s="65">
        <f>+IF('Data Pura Costos'!E454="","",IF('Data Pura Costos'!E454=0,MAX('Data Pura Costos'!$E$7:$E$3000)*1000,'Data Pura Costos'!E454))</f>
        <v>300000</v>
      </c>
      <c r="F454" s="5" t="str">
        <f>+IF('Data Pura Costos'!F454="","",'Data Pura Costos'!F454)</f>
        <v>Malloa</v>
      </c>
      <c r="G454" s="5" t="str">
        <f>+IF('Data Pura Costos'!G454="","",'Data Pura Costos'!G454)</f>
        <v>TRANS. MITRE SPA.</v>
      </c>
      <c r="H454" s="52" t="str">
        <f>+IF('Data Pura Costos'!H454="","",'Data Pura Costos'!H454)</f>
        <v>Termo</v>
      </c>
      <c r="I454" s="71">
        <f>+IF('Data Pura Costos'!I454="","",'Data Pura Costos'!I454)</f>
        <v>6000</v>
      </c>
      <c r="J454" s="52" t="str">
        <f>+IF('Data Pura Costos'!J454="","",'Data Pura Costos'!J454)</f>
        <v>24-25</v>
      </c>
      <c r="K454" s="82" t="str">
        <f t="shared" si="11"/>
        <v xml:space="preserve"> Cocalán-Malloa-TRANS. MITRE SPA.</v>
      </c>
      <c r="R454" s="6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</row>
    <row r="455" spans="2:39" s="7" customFormat="1" x14ac:dyDescent="0.35">
      <c r="B455" s="4" t="str">
        <f>+IF('Data Pura Costos'!B455="","",'Data Pura Costos'!B455)</f>
        <v>El Descanso</v>
      </c>
      <c r="C455" s="4" t="str">
        <f>+IF('Data Pura Costos'!C455="","",'Data Pura Costos'!C455)</f>
        <v>Sagrada Familia, VII región</v>
      </c>
      <c r="D455" s="5">
        <f>+IF('Data Pura Costos'!D455="","",'Data Pura Costos'!D455)</f>
        <v>100</v>
      </c>
      <c r="E455" s="65">
        <f>+IF('Data Pura Costos'!E455="","",IF('Data Pura Costos'!E455=0,MAX('Data Pura Costos'!$E$7:$E$3000)*1000,'Data Pura Costos'!E455))</f>
        <v>320000</v>
      </c>
      <c r="F455" s="5" t="str">
        <f>+IF('Data Pura Costos'!F455="","",'Data Pura Costos'!F455)</f>
        <v>Malloa</v>
      </c>
      <c r="G455" s="5" t="str">
        <f>+IF('Data Pura Costos'!G455="","",'Data Pura Costos'!G455)</f>
        <v>TRANS. MITRE SPA.</v>
      </c>
      <c r="H455" s="52" t="str">
        <f>+IF('Data Pura Costos'!H455="","",'Data Pura Costos'!H455)</f>
        <v>Termo</v>
      </c>
      <c r="I455" s="71">
        <f>+IF('Data Pura Costos'!I455="","",'Data Pura Costos'!I455)</f>
        <v>3200</v>
      </c>
      <c r="J455" s="52" t="str">
        <f>+IF('Data Pura Costos'!J455="","",'Data Pura Costos'!J455)</f>
        <v>24-25</v>
      </c>
      <c r="K455" s="82" t="str">
        <f t="shared" si="11"/>
        <v>El Descanso-Malloa-TRANS. MITRE SPA.</v>
      </c>
      <c r="R455" s="6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</row>
    <row r="456" spans="2:39" s="7" customFormat="1" x14ac:dyDescent="0.35">
      <c r="B456" s="4" t="str">
        <f>+IF('Data Pura Costos'!B456="","",'Data Pura Costos'!B456)</f>
        <v>El Huaico</v>
      </c>
      <c r="C456" s="4" t="str">
        <f>+IF('Data Pura Costos'!C456="","",'Data Pura Costos'!C456)</f>
        <v>Palmila Ohiggins</v>
      </c>
      <c r="D456" s="5">
        <f>+IF('Data Pura Costos'!D456="","",'Data Pura Costos'!D456)</f>
        <v>75</v>
      </c>
      <c r="E456" s="65">
        <f>+IF('Data Pura Costos'!E456="","",IF('Data Pura Costos'!E456=0,MAX('Data Pura Costos'!$E$7:$E$3000)*1000,'Data Pura Costos'!E456))</f>
        <v>320000</v>
      </c>
      <c r="F456" s="5" t="str">
        <f>+IF('Data Pura Costos'!F456="","",'Data Pura Costos'!F456)</f>
        <v>Malloa</v>
      </c>
      <c r="G456" s="5" t="str">
        <f>+IF('Data Pura Costos'!G456="","",'Data Pura Costos'!G456)</f>
        <v>TRANS. MITRE SPA.</v>
      </c>
      <c r="H456" s="52" t="str">
        <f>+IF('Data Pura Costos'!H456="","",'Data Pura Costos'!H456)</f>
        <v>Termo</v>
      </c>
      <c r="I456" s="71">
        <f>+IF('Data Pura Costos'!I456="","",'Data Pura Costos'!I456)</f>
        <v>4266.666666666667</v>
      </c>
      <c r="J456" s="52" t="str">
        <f>+IF('Data Pura Costos'!J456="","",'Data Pura Costos'!J456)</f>
        <v>24-25</v>
      </c>
      <c r="K456" s="82" t="str">
        <f t="shared" ref="K456:K519" si="12">+IF(B456="","",CONCATENATE(B456,"-",F456,"-",G456))</f>
        <v>El Huaico-Malloa-TRANS. MITRE SPA.</v>
      </c>
      <c r="R456" s="6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</row>
    <row r="457" spans="2:39" s="7" customFormat="1" x14ac:dyDescent="0.35">
      <c r="B457" s="4" t="str">
        <f>+IF('Data Pura Costos'!B457="","",'Data Pura Costos'!B457)</f>
        <v>El Rosario</v>
      </c>
      <c r="C457" s="4" t="str">
        <f>+IF('Data Pura Costos'!C457="","",'Data Pura Costos'!C457)</f>
        <v>Linares, VII region.</v>
      </c>
      <c r="D457" s="5">
        <f>+IF('Data Pura Costos'!D457="","",'Data Pura Costos'!D457)</f>
        <v>210</v>
      </c>
      <c r="E457" s="65">
        <f>+IF('Data Pura Costos'!E457="","",IF('Data Pura Costos'!E457=0,MAX('Data Pura Costos'!$E$7:$E$3000)*1000,'Data Pura Costos'!E457))</f>
        <v>450000</v>
      </c>
      <c r="F457" s="5" t="str">
        <f>+IF('Data Pura Costos'!F457="","",'Data Pura Costos'!F457)</f>
        <v>Malloa</v>
      </c>
      <c r="G457" s="5" t="str">
        <f>+IF('Data Pura Costos'!G457="","",'Data Pura Costos'!G457)</f>
        <v>TRANS. MITRE SPA.</v>
      </c>
      <c r="H457" s="52" t="str">
        <f>+IF('Data Pura Costos'!H457="","",'Data Pura Costos'!H457)</f>
        <v>Termo</v>
      </c>
      <c r="I457" s="71">
        <f>+IF('Data Pura Costos'!I457="","",'Data Pura Costos'!I457)</f>
        <v>2142.8571428571427</v>
      </c>
      <c r="J457" s="52" t="str">
        <f>+IF('Data Pura Costos'!J457="","",'Data Pura Costos'!J457)</f>
        <v>24-25</v>
      </c>
      <c r="K457" s="82" t="str">
        <f t="shared" si="12"/>
        <v>El Rosario-Malloa-TRANS. MITRE SPA.</v>
      </c>
      <c r="R457" s="6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</row>
    <row r="458" spans="2:39" s="7" customFormat="1" x14ac:dyDescent="0.35">
      <c r="B458" s="4" t="str">
        <f>+IF('Data Pura Costos'!B458="","",'Data Pura Costos'!B458)</f>
        <v>La Esperanza</v>
      </c>
      <c r="C458" s="4" t="str">
        <f>+IF('Data Pura Costos'!C458="","",'Data Pura Costos'!C458)</f>
        <v>Peumo, VI región</v>
      </c>
      <c r="D458" s="5">
        <f>+IF('Data Pura Costos'!D458="","",'Data Pura Costos'!D458)</f>
        <v>35</v>
      </c>
      <c r="E458" s="65">
        <f>+IF('Data Pura Costos'!E458="","",IF('Data Pura Costos'!E458=0,MAX('Data Pura Costos'!$E$7:$E$3000)*1000,'Data Pura Costos'!E458))</f>
        <v>290000</v>
      </c>
      <c r="F458" s="5" t="str">
        <f>+IF('Data Pura Costos'!F458="","",'Data Pura Costos'!F458)</f>
        <v>Malloa</v>
      </c>
      <c r="G458" s="5" t="str">
        <f>+IF('Data Pura Costos'!G458="","",'Data Pura Costos'!G458)</f>
        <v>TRANS. MITRE SPA.</v>
      </c>
      <c r="H458" s="52" t="str">
        <f>+IF('Data Pura Costos'!H458="","",'Data Pura Costos'!H458)</f>
        <v>Termo</v>
      </c>
      <c r="I458" s="71">
        <f>+IF('Data Pura Costos'!I458="","",'Data Pura Costos'!I458)</f>
        <v>8285.7142857142862</v>
      </c>
      <c r="J458" s="52" t="str">
        <f>+IF('Data Pura Costos'!J458="","",'Data Pura Costos'!J458)</f>
        <v>24-25</v>
      </c>
      <c r="K458" s="82" t="str">
        <f t="shared" si="12"/>
        <v>La Esperanza-Malloa-TRANS. MITRE SPA.</v>
      </c>
      <c r="R458" s="6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</row>
    <row r="459" spans="2:39" s="7" customFormat="1" x14ac:dyDescent="0.35">
      <c r="B459" s="4" t="str">
        <f>+IF('Data Pura Costos'!B459="","",'Data Pura Costos'!B459)</f>
        <v>La Estación</v>
      </c>
      <c r="C459" s="4" t="str">
        <f>+IF('Data Pura Costos'!C459="","",'Data Pura Costos'!C459)</f>
        <v>Palmilla, VI región</v>
      </c>
      <c r="D459" s="5">
        <f>+IF('Data Pura Costos'!D459="","",'Data Pura Costos'!D459)</f>
        <v>75</v>
      </c>
      <c r="E459" s="65">
        <f>+IF('Data Pura Costos'!E459="","",IF('Data Pura Costos'!E459=0,MAX('Data Pura Costos'!$E$7:$E$3000)*1000,'Data Pura Costos'!E459))</f>
        <v>330000</v>
      </c>
      <c r="F459" s="5" t="str">
        <f>+IF('Data Pura Costos'!F459="","",'Data Pura Costos'!F459)</f>
        <v>Malloa</v>
      </c>
      <c r="G459" s="5" t="str">
        <f>+IF('Data Pura Costos'!G459="","",'Data Pura Costos'!G459)</f>
        <v>TRANS. MITRE SPA.</v>
      </c>
      <c r="H459" s="52" t="str">
        <f>+IF('Data Pura Costos'!H459="","",'Data Pura Costos'!H459)</f>
        <v>Termo</v>
      </c>
      <c r="I459" s="71">
        <f>+IF('Data Pura Costos'!I459="","",'Data Pura Costos'!I459)</f>
        <v>4400</v>
      </c>
      <c r="J459" s="52" t="str">
        <f>+IF('Data Pura Costos'!J459="","",'Data Pura Costos'!J459)</f>
        <v>24-25</v>
      </c>
      <c r="K459" s="82" t="str">
        <f t="shared" si="12"/>
        <v>La Estación-Malloa-TRANS. MITRE SPA.</v>
      </c>
      <c r="R459" s="6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</row>
    <row r="460" spans="2:39" s="7" customFormat="1" x14ac:dyDescent="0.35">
      <c r="B460" s="4" t="str">
        <f>+IF('Data Pura Costos'!B460="","",'Data Pura Costos'!B460)</f>
        <v>La Lajuela</v>
      </c>
      <c r="C460" s="4" t="str">
        <f>+IF('Data Pura Costos'!C460="","",'Data Pura Costos'!C460)</f>
        <v>Santa Cruz, VI Región</v>
      </c>
      <c r="D460" s="5">
        <f>+IF('Data Pura Costos'!D460="","",'Data Pura Costos'!D460)</f>
        <v>75</v>
      </c>
      <c r="E460" s="65">
        <f>+IF('Data Pura Costos'!E460="","",IF('Data Pura Costos'!E460=0,MAX('Data Pura Costos'!$E$7:$E$3000)*1000,'Data Pura Costos'!E460))</f>
        <v>350000</v>
      </c>
      <c r="F460" s="5" t="str">
        <f>+IF('Data Pura Costos'!F460="","",'Data Pura Costos'!F460)</f>
        <v>Malloa</v>
      </c>
      <c r="G460" s="5" t="str">
        <f>+IF('Data Pura Costos'!G460="","",'Data Pura Costos'!G460)</f>
        <v>TRANS. MITRE SPA.</v>
      </c>
      <c r="H460" s="52" t="str">
        <f>+IF('Data Pura Costos'!H460="","",'Data Pura Costos'!H460)</f>
        <v>Termo</v>
      </c>
      <c r="I460" s="71">
        <f>+IF('Data Pura Costos'!I460="","",'Data Pura Costos'!I460)</f>
        <v>4666.666666666667</v>
      </c>
      <c r="J460" s="52" t="str">
        <f>+IF('Data Pura Costos'!J460="","",'Data Pura Costos'!J460)</f>
        <v>24-25</v>
      </c>
      <c r="K460" s="82" t="str">
        <f t="shared" si="12"/>
        <v>La Lajuela-Malloa-TRANS. MITRE SPA.</v>
      </c>
      <c r="R460" s="6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</row>
    <row r="461" spans="2:39" s="7" customFormat="1" x14ac:dyDescent="0.35">
      <c r="B461" s="4" t="str">
        <f>+IF('Data Pura Costos'!B461="","",'Data Pura Costos'!B461)</f>
        <v>La Rinconada</v>
      </c>
      <c r="C461" s="4" t="str">
        <f>+IF('Data Pura Costos'!C461="","",'Data Pura Costos'!C461)</f>
        <v>Pichidegua, VI región</v>
      </c>
      <c r="D461" s="5">
        <f>+IF('Data Pura Costos'!D461="","",'Data Pura Costos'!D461)</f>
        <v>45</v>
      </c>
      <c r="E461" s="65">
        <f>+IF('Data Pura Costos'!E461="","",IF('Data Pura Costos'!E461=0,MAX('Data Pura Costos'!$E$7:$E$3000)*1000,'Data Pura Costos'!E461))</f>
        <v>290000</v>
      </c>
      <c r="F461" s="5" t="str">
        <f>+IF('Data Pura Costos'!F461="","",'Data Pura Costos'!F461)</f>
        <v>Malloa</v>
      </c>
      <c r="G461" s="5" t="str">
        <f>+IF('Data Pura Costos'!G461="","",'Data Pura Costos'!G461)</f>
        <v>TRANS. MITRE SPA.</v>
      </c>
      <c r="H461" s="52" t="str">
        <f>+IF('Data Pura Costos'!H461="","",'Data Pura Costos'!H461)</f>
        <v>Termo</v>
      </c>
      <c r="I461" s="71">
        <f>+IF('Data Pura Costos'!I461="","",'Data Pura Costos'!I461)</f>
        <v>6444.4444444444443</v>
      </c>
      <c r="J461" s="52" t="str">
        <f>+IF('Data Pura Costos'!J461="","",'Data Pura Costos'!J461)</f>
        <v>24-25</v>
      </c>
      <c r="K461" s="82" t="str">
        <f t="shared" si="12"/>
        <v>La Rinconada-Malloa-TRANS. MITRE SPA.</v>
      </c>
      <c r="R461" s="6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</row>
    <row r="462" spans="2:39" s="7" customFormat="1" x14ac:dyDescent="0.35">
      <c r="B462" s="4" t="str">
        <f>+IF('Data Pura Costos'!B462="","",'Data Pura Costos'!B462)</f>
        <v>Las Cabras</v>
      </c>
      <c r="C462" s="4" t="str">
        <f>+IF('Data Pura Costos'!C462="","",'Data Pura Costos'!C462)</f>
        <v>Las Cabras, VI región</v>
      </c>
      <c r="D462" s="5">
        <f>+IF('Data Pura Costos'!D462="","",'Data Pura Costos'!D462)</f>
        <v>45</v>
      </c>
      <c r="E462" s="65">
        <f>+IF('Data Pura Costos'!E462="","",IF('Data Pura Costos'!E462=0,MAX('Data Pura Costos'!$E$7:$E$3000)*1000,'Data Pura Costos'!E462))</f>
        <v>290000</v>
      </c>
      <c r="F462" s="5" t="str">
        <f>+IF('Data Pura Costos'!F462="","",'Data Pura Costos'!F462)</f>
        <v>Malloa</v>
      </c>
      <c r="G462" s="5" t="str">
        <f>+IF('Data Pura Costos'!G462="","",'Data Pura Costos'!G462)</f>
        <v>TRANS. MITRE SPA.</v>
      </c>
      <c r="H462" s="52" t="str">
        <f>+IF('Data Pura Costos'!H462="","",'Data Pura Costos'!H462)</f>
        <v>Termo</v>
      </c>
      <c r="I462" s="71">
        <f>+IF('Data Pura Costos'!I462="","",'Data Pura Costos'!I462)</f>
        <v>6444.4444444444443</v>
      </c>
      <c r="J462" s="52" t="str">
        <f>+IF('Data Pura Costos'!J462="","",'Data Pura Costos'!J462)</f>
        <v>24-25</v>
      </c>
      <c r="K462" s="82" t="str">
        <f t="shared" si="12"/>
        <v>Las Cabras-Malloa-TRANS. MITRE SPA.</v>
      </c>
      <c r="R462" s="6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</row>
    <row r="463" spans="2:39" s="7" customFormat="1" x14ac:dyDescent="0.35">
      <c r="B463" s="4" t="str">
        <f>+IF('Data Pura Costos'!B463="","",'Data Pura Costos'!B463)</f>
        <v>Las Vertientes</v>
      </c>
      <c r="C463" s="4" t="str">
        <f>+IF('Data Pura Costos'!C463="","",'Data Pura Costos'!C463)</f>
        <v>Pichidegua, VI región</v>
      </c>
      <c r="D463" s="5">
        <f>+IF('Data Pura Costos'!D463="","",'Data Pura Costos'!D463)</f>
        <v>40</v>
      </c>
      <c r="E463" s="65">
        <f>+IF('Data Pura Costos'!E463="","",IF('Data Pura Costos'!E463=0,MAX('Data Pura Costos'!$E$7:$E$3000)*1000,'Data Pura Costos'!E463))</f>
        <v>290000</v>
      </c>
      <c r="F463" s="5" t="str">
        <f>+IF('Data Pura Costos'!F463="","",'Data Pura Costos'!F463)</f>
        <v>Malloa</v>
      </c>
      <c r="G463" s="5" t="str">
        <f>+IF('Data Pura Costos'!G463="","",'Data Pura Costos'!G463)</f>
        <v>TRANS. MITRE SPA.</v>
      </c>
      <c r="H463" s="52" t="str">
        <f>+IF('Data Pura Costos'!H463="","",'Data Pura Costos'!H463)</f>
        <v>Termo</v>
      </c>
      <c r="I463" s="71">
        <f>+IF('Data Pura Costos'!I463="","",'Data Pura Costos'!I463)</f>
        <v>7250</v>
      </c>
      <c r="J463" s="52" t="str">
        <f>+IF('Data Pura Costos'!J463="","",'Data Pura Costos'!J463)</f>
        <v>24-25</v>
      </c>
      <c r="K463" s="82" t="str">
        <f t="shared" si="12"/>
        <v>Las Vertientes-Malloa-TRANS. MITRE SPA.</v>
      </c>
      <c r="R463" s="6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</row>
    <row r="464" spans="2:39" s="7" customFormat="1" x14ac:dyDescent="0.35">
      <c r="B464" s="4" t="str">
        <f>+IF('Data Pura Costos'!B464="","",'Data Pura Costos'!B464)</f>
        <v>Lihueimo</v>
      </c>
      <c r="C464" s="4" t="str">
        <f>+IF('Data Pura Costos'!C464="","",'Data Pura Costos'!C464)</f>
        <v>Peralillo ohiggins</v>
      </c>
      <c r="D464" s="5">
        <f>+IF('Data Pura Costos'!D464="","",'Data Pura Costos'!D464)</f>
        <v>80</v>
      </c>
      <c r="E464" s="65">
        <f>+IF('Data Pura Costos'!E464="","",IF('Data Pura Costos'!E464=0,MAX('Data Pura Costos'!$E$7:$E$3000)*1000,'Data Pura Costos'!E464))</f>
        <v>310000</v>
      </c>
      <c r="F464" s="5" t="str">
        <f>+IF('Data Pura Costos'!F464="","",'Data Pura Costos'!F464)</f>
        <v>Malloa</v>
      </c>
      <c r="G464" s="5" t="str">
        <f>+IF('Data Pura Costos'!G464="","",'Data Pura Costos'!G464)</f>
        <v>TRANS. MITRE SPA.</v>
      </c>
      <c r="H464" s="52" t="str">
        <f>+IF('Data Pura Costos'!H464="","",'Data Pura Costos'!H464)</f>
        <v>Termo</v>
      </c>
      <c r="I464" s="71">
        <f>+IF('Data Pura Costos'!I464="","",'Data Pura Costos'!I464)</f>
        <v>3875</v>
      </c>
      <c r="J464" s="52" t="str">
        <f>+IF('Data Pura Costos'!J464="","",'Data Pura Costos'!J464)</f>
        <v>24-25</v>
      </c>
      <c r="K464" s="82" t="str">
        <f t="shared" si="12"/>
        <v>Lihueimo-Malloa-TRANS. MITRE SPA.</v>
      </c>
      <c r="R464" s="6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</row>
    <row r="465" spans="2:39" s="7" customFormat="1" x14ac:dyDescent="0.35">
      <c r="B465" s="4" t="str">
        <f>+IF('Data Pura Costos'!B465="","",'Data Pura Costos'!B465)</f>
        <v>Los Maitenes</v>
      </c>
      <c r="C465" s="4" t="str">
        <f>+IF('Data Pura Costos'!C465="","",'Data Pura Costos'!C465)</f>
        <v>Las Cabras, VI región</v>
      </c>
      <c r="D465" s="5">
        <f>+IF('Data Pura Costos'!D465="","",'Data Pura Costos'!D465)</f>
        <v>60</v>
      </c>
      <c r="E465" s="65">
        <f>+IF('Data Pura Costos'!E465="","",IF('Data Pura Costos'!E465=0,MAX('Data Pura Costos'!$E$7:$E$3000)*1000,'Data Pura Costos'!E465))</f>
        <v>290000</v>
      </c>
      <c r="F465" s="5" t="str">
        <f>+IF('Data Pura Costos'!F465="","",'Data Pura Costos'!F465)</f>
        <v>Malloa</v>
      </c>
      <c r="G465" s="5" t="str">
        <f>+IF('Data Pura Costos'!G465="","",'Data Pura Costos'!G465)</f>
        <v>TRANS. MITRE SPA.</v>
      </c>
      <c r="H465" s="52" t="str">
        <f>+IF('Data Pura Costos'!H465="","",'Data Pura Costos'!H465)</f>
        <v>Termo</v>
      </c>
      <c r="I465" s="71">
        <f>+IF('Data Pura Costos'!I465="","",'Data Pura Costos'!I465)</f>
        <v>4833.333333333333</v>
      </c>
      <c r="J465" s="52" t="str">
        <f>+IF('Data Pura Costos'!J465="","",'Data Pura Costos'!J465)</f>
        <v>24-25</v>
      </c>
      <c r="K465" s="82" t="str">
        <f t="shared" si="12"/>
        <v>Los Maitenes-Malloa-TRANS. MITRE SPA.</v>
      </c>
      <c r="R465" s="6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</row>
    <row r="466" spans="2:39" s="7" customFormat="1" x14ac:dyDescent="0.35">
      <c r="B466" s="4" t="str">
        <f>+IF('Data Pura Costos'!B466="","",'Data Pura Costos'!B466)</f>
        <v>Los Toldos</v>
      </c>
      <c r="C466" s="4" t="str">
        <f>+IF('Data Pura Costos'!C466="","",'Data Pura Costos'!C466)</f>
        <v>Angol, IX región</v>
      </c>
      <c r="D466" s="5">
        <f>+IF('Data Pura Costos'!D466="","",'Data Pura Costos'!D466)</f>
        <v>50</v>
      </c>
      <c r="E466" s="65">
        <f>+IF('Data Pura Costos'!E466="","",IF('Data Pura Costos'!E466=0,MAX('Data Pura Costos'!$E$7:$E$3000)*1000,'Data Pura Costos'!E466))</f>
        <v>1150000</v>
      </c>
      <c r="F466" s="5" t="str">
        <f>+IF('Data Pura Costos'!F466="","",'Data Pura Costos'!F466)</f>
        <v>Malloa</v>
      </c>
      <c r="G466" s="5" t="str">
        <f>+IF('Data Pura Costos'!G466="","",'Data Pura Costos'!G466)</f>
        <v>TRANS. MITRE SPA.</v>
      </c>
      <c r="H466" s="52" t="str">
        <f>+IF('Data Pura Costos'!H466="","",'Data Pura Costos'!H466)</f>
        <v>Termo</v>
      </c>
      <c r="I466" s="71">
        <f>+IF('Data Pura Costos'!I466="","",'Data Pura Costos'!I466)</f>
        <v>23000</v>
      </c>
      <c r="J466" s="52" t="str">
        <f>+IF('Data Pura Costos'!J466="","",'Data Pura Costos'!J466)</f>
        <v>24-25</v>
      </c>
      <c r="K466" s="82" t="str">
        <f t="shared" si="12"/>
        <v>Los Toldos-Malloa-TRANS. MITRE SPA.</v>
      </c>
      <c r="R466" s="6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</row>
    <row r="467" spans="2:39" s="7" customFormat="1" x14ac:dyDescent="0.35">
      <c r="B467" s="4" t="str">
        <f>+IF('Data Pura Costos'!B467="","",'Data Pura Costos'!B467)</f>
        <v>Talhuén</v>
      </c>
      <c r="C467" s="4" t="str">
        <f>+IF('Data Pura Costos'!C467="","",'Data Pura Costos'!C467)</f>
        <v>Palmilla, VI región</v>
      </c>
      <c r="D467" s="5">
        <f>+IF('Data Pura Costos'!D467="","",'Data Pura Costos'!D467)</f>
        <v>60</v>
      </c>
      <c r="E467" s="65">
        <f>+IF('Data Pura Costos'!E467="","",IF('Data Pura Costos'!E467=0,MAX('Data Pura Costos'!$E$7:$E$3000)*1000,'Data Pura Costos'!E467))</f>
        <v>320000</v>
      </c>
      <c r="F467" s="5" t="str">
        <f>+IF('Data Pura Costos'!F467="","",'Data Pura Costos'!F467)</f>
        <v>Malloa</v>
      </c>
      <c r="G467" s="5" t="str">
        <f>+IF('Data Pura Costos'!G467="","",'Data Pura Costos'!G467)</f>
        <v>TRANS. MITRE SPA.</v>
      </c>
      <c r="H467" s="52" t="str">
        <f>+IF('Data Pura Costos'!H467="","",'Data Pura Costos'!H467)</f>
        <v>Termo</v>
      </c>
      <c r="I467" s="71">
        <f>+IF('Data Pura Costos'!I467="","",'Data Pura Costos'!I467)</f>
        <v>5333.333333333333</v>
      </c>
      <c r="J467" s="52" t="str">
        <f>+IF('Data Pura Costos'!J467="","",'Data Pura Costos'!J467)</f>
        <v>24-25</v>
      </c>
      <c r="K467" s="82" t="str">
        <f t="shared" si="12"/>
        <v>Talhuén-Malloa-TRANS. MITRE SPA.</v>
      </c>
      <c r="R467" s="6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</row>
    <row r="468" spans="2:39" s="7" customFormat="1" x14ac:dyDescent="0.35">
      <c r="B468" s="4" t="str">
        <f>+IF('Data Pura Costos'!B468="","",'Data Pura Costos'!B468)</f>
        <v>Villaseca</v>
      </c>
      <c r="C468" s="4" t="str">
        <f>+IF('Data Pura Costos'!C468="","",'Data Pura Costos'!C468)</f>
        <v>Retiro, VII reginón</v>
      </c>
      <c r="D468" s="5">
        <f>+IF('Data Pura Costos'!D468="","",'Data Pura Costos'!D468)</f>
        <v>250</v>
      </c>
      <c r="E468" s="65">
        <f>+IF('Data Pura Costos'!E468="","",IF('Data Pura Costos'!E468=0,MAX('Data Pura Costos'!$E$7:$E$3000)*1000,'Data Pura Costos'!E468))</f>
        <v>450000</v>
      </c>
      <c r="F468" s="5" t="str">
        <f>+IF('Data Pura Costos'!F468="","",'Data Pura Costos'!F468)</f>
        <v>Malloa</v>
      </c>
      <c r="G468" s="5" t="str">
        <f>+IF('Data Pura Costos'!G468="","",'Data Pura Costos'!G468)</f>
        <v>TRANS. MITRE SPA.</v>
      </c>
      <c r="H468" s="52" t="str">
        <f>+IF('Data Pura Costos'!H468="","",'Data Pura Costos'!H468)</f>
        <v>Termo</v>
      </c>
      <c r="I468" s="71">
        <f>+IF('Data Pura Costos'!I468="","",'Data Pura Costos'!I468)</f>
        <v>1800</v>
      </c>
      <c r="J468" s="52" t="str">
        <f>+IF('Data Pura Costos'!J468="","",'Data Pura Costos'!J468)</f>
        <v>24-25</v>
      </c>
      <c r="K468" s="82" t="str">
        <f t="shared" si="12"/>
        <v>Villaseca-Malloa-TRANS. MITRE SPA.</v>
      </c>
      <c r="R468" s="6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</row>
    <row r="469" spans="2:39" s="7" customFormat="1" x14ac:dyDescent="0.35">
      <c r="B469" s="4" t="str">
        <f>+IF('Data Pura Costos'!B469="","",'Data Pura Costos'!B469)</f>
        <v>Almahue</v>
      </c>
      <c r="C469" s="4" t="str">
        <f>+IF('Data Pura Costos'!C469="","",'Data Pura Costos'!C469)</f>
        <v>Pichidegua, VI región</v>
      </c>
      <c r="D469" s="5">
        <f>+IF('Data Pura Costos'!D469="","",'Data Pura Costos'!D469)</f>
        <v>108</v>
      </c>
      <c r="E469" s="65">
        <f>+IF('Data Pura Costos'!E469="","",IF('Data Pura Costos'!E469=0,MAX('Data Pura Costos'!$E$7:$E$3000)*1000,'Data Pura Costos'!E469))</f>
        <v>380000</v>
      </c>
      <c r="F469" s="5" t="str">
        <f>+IF('Data Pura Costos'!F469="","",'Data Pura Costos'!F469)</f>
        <v>Mostazal</v>
      </c>
      <c r="G469" s="5" t="str">
        <f>+IF('Data Pura Costos'!G469="","",'Data Pura Costos'!G469)</f>
        <v>PARRAO</v>
      </c>
      <c r="H469" s="52" t="str">
        <f>+IF('Data Pura Costos'!H469="","",'Data Pura Costos'!H469)</f>
        <v>Termo</v>
      </c>
      <c r="I469" s="71">
        <f>+IF('Data Pura Costos'!I469="","",'Data Pura Costos'!I469)</f>
        <v>3518.5185185185187</v>
      </c>
      <c r="J469" s="52" t="str">
        <f>+IF('Data Pura Costos'!J469="","",'Data Pura Costos'!J469)</f>
        <v>24-25</v>
      </c>
      <c r="K469" s="82" t="str">
        <f t="shared" si="12"/>
        <v>Almahue-Mostazal-PARRAO</v>
      </c>
      <c r="R469" s="6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</row>
    <row r="470" spans="2:39" s="7" customFormat="1" x14ac:dyDescent="0.35">
      <c r="B470" s="4" t="str">
        <f>+IF('Data Pura Costos'!B470="","",'Data Pura Costos'!B470)</f>
        <v>Bodega</v>
      </c>
      <c r="C470" s="4" t="str">
        <f>+IF('Data Pura Costos'!C470="","",'Data Pura Costos'!C470)</f>
        <v>Linares, VII region.</v>
      </c>
      <c r="D470" s="5">
        <f>+IF('Data Pura Costos'!D470="","",'Data Pura Costos'!D470)</f>
        <v>264</v>
      </c>
      <c r="E470" s="65">
        <f>+IF('Data Pura Costos'!E470="","",IF('Data Pura Costos'!E470=0,MAX('Data Pura Costos'!$E$7:$E$3000)*1000,'Data Pura Costos'!E470))</f>
        <v>700000</v>
      </c>
      <c r="F470" s="5" t="str">
        <f>+IF('Data Pura Costos'!F470="","",'Data Pura Costos'!F470)</f>
        <v>Mostazal</v>
      </c>
      <c r="G470" s="5" t="str">
        <f>+IF('Data Pura Costos'!G470="","",'Data Pura Costos'!G470)</f>
        <v>PARRAO</v>
      </c>
      <c r="H470" s="52" t="str">
        <f>+IF('Data Pura Costos'!H470="","",'Data Pura Costos'!H470)</f>
        <v>Termo</v>
      </c>
      <c r="I470" s="71">
        <f>+IF('Data Pura Costos'!I470="","",'Data Pura Costos'!I470)</f>
        <v>2651.5151515151515</v>
      </c>
      <c r="J470" s="52" t="str">
        <f>+IF('Data Pura Costos'!J470="","",'Data Pura Costos'!J470)</f>
        <v>24-25</v>
      </c>
      <c r="K470" s="82" t="str">
        <f t="shared" si="12"/>
        <v>Bodega-Mostazal-PARRAO</v>
      </c>
      <c r="R470" s="6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</row>
    <row r="471" spans="2:39" s="7" customFormat="1" x14ac:dyDescent="0.35">
      <c r="B471" s="4" t="str">
        <f>+IF('Data Pura Costos'!B471="","",'Data Pura Costos'!B471)</f>
        <v xml:space="preserve">Caliboro </v>
      </c>
      <c r="C471" s="4" t="str">
        <f>+IF('Data Pura Costos'!C471="","",'Data Pura Costos'!C471)</f>
        <v>San Javier, VII región</v>
      </c>
      <c r="D471" s="5">
        <f>+IF('Data Pura Costos'!D471="","",'Data Pura Costos'!D471)</f>
        <v>258</v>
      </c>
      <c r="E471" s="65">
        <f>+IF('Data Pura Costos'!E471="","",IF('Data Pura Costos'!E471=0,MAX('Data Pura Costos'!$E$7:$E$3000)*1000,'Data Pura Costos'!E471))</f>
        <v>700000</v>
      </c>
      <c r="F471" s="5" t="str">
        <f>+IF('Data Pura Costos'!F471="","",'Data Pura Costos'!F471)</f>
        <v>Mostazal</v>
      </c>
      <c r="G471" s="5" t="str">
        <f>+IF('Data Pura Costos'!G471="","",'Data Pura Costos'!G471)</f>
        <v>PARRAO</v>
      </c>
      <c r="H471" s="52" t="str">
        <f>+IF('Data Pura Costos'!H471="","",'Data Pura Costos'!H471)</f>
        <v>Termo</v>
      </c>
      <c r="I471" s="71">
        <f>+IF('Data Pura Costos'!I471="","",'Data Pura Costos'!I471)</f>
        <v>2713.1782945736436</v>
      </c>
      <c r="J471" s="52" t="str">
        <f>+IF('Data Pura Costos'!J471="","",'Data Pura Costos'!J471)</f>
        <v>24-25</v>
      </c>
      <c r="K471" s="82" t="str">
        <f t="shared" si="12"/>
        <v>Caliboro -Mostazal-PARRAO</v>
      </c>
      <c r="R471" s="6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</row>
    <row r="472" spans="2:39" s="7" customFormat="1" x14ac:dyDescent="0.35">
      <c r="B472" s="4" t="str">
        <f>+IF('Data Pura Costos'!B472="","",'Data Pura Costos'!B472)</f>
        <v>Calleuque</v>
      </c>
      <c r="C472" s="4" t="str">
        <f>+IF('Data Pura Costos'!C472="","",'Data Pura Costos'!C472)</f>
        <v>Peralillo ohiggins, VI región</v>
      </c>
      <c r="D472" s="5">
        <f>+IF('Data Pura Costos'!D472="","",'Data Pura Costos'!D472)</f>
        <v>143</v>
      </c>
      <c r="E472" s="65">
        <f>+IF('Data Pura Costos'!E472="","",IF('Data Pura Costos'!E472=0,MAX('Data Pura Costos'!$E$7:$E$3000)*1000,'Data Pura Costos'!E472))</f>
        <v>400000</v>
      </c>
      <c r="F472" s="5" t="str">
        <f>+IF('Data Pura Costos'!F472="","",'Data Pura Costos'!F472)</f>
        <v>Mostazal</v>
      </c>
      <c r="G472" s="5" t="str">
        <f>+IF('Data Pura Costos'!G472="","",'Data Pura Costos'!G472)</f>
        <v>PARRAO</v>
      </c>
      <c r="H472" s="52" t="str">
        <f>+IF('Data Pura Costos'!H472="","",'Data Pura Costos'!H472)</f>
        <v>Termo</v>
      </c>
      <c r="I472" s="71">
        <f>+IF('Data Pura Costos'!I472="","",'Data Pura Costos'!I472)</f>
        <v>2797.2027972027972</v>
      </c>
      <c r="J472" s="52" t="str">
        <f>+IF('Data Pura Costos'!J472="","",'Data Pura Costos'!J472)</f>
        <v>24-25</v>
      </c>
      <c r="K472" s="82" t="str">
        <f t="shared" si="12"/>
        <v>Calleuque-Mostazal-PARRAO</v>
      </c>
      <c r="R472" s="6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</row>
    <row r="473" spans="2:39" s="7" customFormat="1" x14ac:dyDescent="0.35">
      <c r="B473" s="4" t="str">
        <f>+IF('Data Pura Costos'!B473="","",'Data Pura Costos'!B473)</f>
        <v>Chumpirro</v>
      </c>
      <c r="C473" s="4" t="str">
        <f>+IF('Data Pura Costos'!C473="","",'Data Pura Costos'!C473)</f>
        <v>Angol, IX región</v>
      </c>
      <c r="D473" s="5">
        <f>+IF('Data Pura Costos'!D473="","",'Data Pura Costos'!D473)</f>
        <v>499</v>
      </c>
      <c r="E473" s="65">
        <f>+IF('Data Pura Costos'!E473="","",IF('Data Pura Costos'!E473=0,MAX('Data Pura Costos'!$E$7:$E$3000)*1000,'Data Pura Costos'!E473))</f>
        <v>1250000</v>
      </c>
      <c r="F473" s="5" t="str">
        <f>+IF('Data Pura Costos'!F473="","",'Data Pura Costos'!F473)</f>
        <v>Mostazal</v>
      </c>
      <c r="G473" s="5" t="str">
        <f>+IF('Data Pura Costos'!G473="","",'Data Pura Costos'!G473)</f>
        <v>PARRAO</v>
      </c>
      <c r="H473" s="52" t="str">
        <f>+IF('Data Pura Costos'!H473="","",'Data Pura Costos'!H473)</f>
        <v>Termo</v>
      </c>
      <c r="I473" s="71">
        <f>+IF('Data Pura Costos'!I473="","",'Data Pura Costos'!I473)</f>
        <v>2505.0100200400802</v>
      </c>
      <c r="J473" s="52" t="str">
        <f>+IF('Data Pura Costos'!J473="","",'Data Pura Costos'!J473)</f>
        <v>24-25</v>
      </c>
      <c r="K473" s="82" t="str">
        <f t="shared" si="12"/>
        <v>Chumpirro-Mostazal-PARRAO</v>
      </c>
      <c r="R473" s="6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</row>
    <row r="474" spans="2:39" s="7" customFormat="1" x14ac:dyDescent="0.35">
      <c r="B474" s="4" t="str">
        <f>+IF('Data Pura Costos'!B474="","",'Data Pura Costos'!B474)</f>
        <v xml:space="preserve"> Cocalán</v>
      </c>
      <c r="C474" s="4" t="str">
        <f>+IF('Data Pura Costos'!C474="","",'Data Pura Costos'!C474)</f>
        <v>Cocalán, VI región</v>
      </c>
      <c r="D474" s="5">
        <f>+IF('Data Pura Costos'!D474="","",'Data Pura Costos'!D474)</f>
        <v>113</v>
      </c>
      <c r="E474" s="65">
        <f>+IF('Data Pura Costos'!E474="","",IF('Data Pura Costos'!E474=0,MAX('Data Pura Costos'!$E$7:$E$3000)*1000,'Data Pura Costos'!E474))</f>
        <v>380000</v>
      </c>
      <c r="F474" s="5" t="str">
        <f>+IF('Data Pura Costos'!F474="","",'Data Pura Costos'!F474)</f>
        <v>Mostazal</v>
      </c>
      <c r="G474" s="5" t="str">
        <f>+IF('Data Pura Costos'!G474="","",'Data Pura Costos'!G474)</f>
        <v>PARRAO</v>
      </c>
      <c r="H474" s="52" t="str">
        <f>+IF('Data Pura Costos'!H474="","",'Data Pura Costos'!H474)</f>
        <v>Termo</v>
      </c>
      <c r="I474" s="71">
        <f>+IF('Data Pura Costos'!I474="","",'Data Pura Costos'!I474)</f>
        <v>3362.8318584070798</v>
      </c>
      <c r="J474" s="52" t="str">
        <f>+IF('Data Pura Costos'!J474="","",'Data Pura Costos'!J474)</f>
        <v>24-25</v>
      </c>
      <c r="K474" s="82" t="str">
        <f t="shared" si="12"/>
        <v xml:space="preserve"> Cocalán-Mostazal-PARRAO</v>
      </c>
      <c r="R474" s="6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</row>
    <row r="475" spans="2:39" s="7" customFormat="1" x14ac:dyDescent="0.35">
      <c r="B475" s="4" t="str">
        <f>+IF('Data Pura Costos'!B475="","",'Data Pura Costos'!B475)</f>
        <v>El Cóndor</v>
      </c>
      <c r="C475" s="4" t="str">
        <f>+IF('Data Pura Costos'!C475="","",'Data Pura Costos'!C475)</f>
        <v>Chimbarongo, VI Region.</v>
      </c>
      <c r="D475" s="5">
        <f>+IF('Data Pura Costos'!D475="","",'Data Pura Costos'!D475)</f>
        <v>150</v>
      </c>
      <c r="E475" s="65">
        <f>+IF('Data Pura Costos'!E475="","",IF('Data Pura Costos'!E475=0,MAX('Data Pura Costos'!$E$7:$E$3000)*1000,'Data Pura Costos'!E475))</f>
        <v>380000</v>
      </c>
      <c r="F475" s="5" t="str">
        <f>+IF('Data Pura Costos'!F475="","",'Data Pura Costos'!F475)</f>
        <v>Mostazal</v>
      </c>
      <c r="G475" s="5" t="str">
        <f>+IF('Data Pura Costos'!G475="","",'Data Pura Costos'!G475)</f>
        <v>PARRAO</v>
      </c>
      <c r="H475" s="52" t="str">
        <f>+IF('Data Pura Costos'!H475="","",'Data Pura Costos'!H475)</f>
        <v>Termo</v>
      </c>
      <c r="I475" s="71">
        <f>+IF('Data Pura Costos'!I475="","",'Data Pura Costos'!I475)</f>
        <v>2533.3333333333335</v>
      </c>
      <c r="J475" s="52" t="str">
        <f>+IF('Data Pura Costos'!J475="","",'Data Pura Costos'!J475)</f>
        <v>24-25</v>
      </c>
      <c r="K475" s="82" t="str">
        <f t="shared" si="12"/>
        <v>El Cóndor-Mostazal-PARRAO</v>
      </c>
      <c r="R475" s="6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</row>
    <row r="476" spans="2:39" s="7" customFormat="1" x14ac:dyDescent="0.35">
      <c r="B476" s="4" t="str">
        <f>+IF('Data Pura Costos'!B476="","",'Data Pura Costos'!B476)</f>
        <v>El Descanso</v>
      </c>
      <c r="C476" s="4" t="str">
        <f>+IF('Data Pura Costos'!C476="","",'Data Pura Costos'!C476)</f>
        <v>Sagrada Familia, VII región</v>
      </c>
      <c r="D476" s="5">
        <f>+IF('Data Pura Costos'!D476="","",'Data Pura Costos'!D476)</f>
        <v>240</v>
      </c>
      <c r="E476" s="65">
        <f>+IF('Data Pura Costos'!E476="","",IF('Data Pura Costos'!E476=0,MAX('Data Pura Costos'!$E$7:$E$3000)*1000,'Data Pura Costos'!E476))</f>
        <v>380000</v>
      </c>
      <c r="F476" s="5" t="str">
        <f>+IF('Data Pura Costos'!F476="","",'Data Pura Costos'!F476)</f>
        <v>Mostazal</v>
      </c>
      <c r="G476" s="5" t="str">
        <f>+IF('Data Pura Costos'!G476="","",'Data Pura Costos'!G476)</f>
        <v>PARRAO</v>
      </c>
      <c r="H476" s="52" t="str">
        <f>+IF('Data Pura Costos'!H476="","",'Data Pura Costos'!H476)</f>
        <v>Termo</v>
      </c>
      <c r="I476" s="71">
        <f>+IF('Data Pura Costos'!I476="","",'Data Pura Costos'!I476)</f>
        <v>1583.3333333333333</v>
      </c>
      <c r="J476" s="52" t="str">
        <f>+IF('Data Pura Costos'!J476="","",'Data Pura Costos'!J476)</f>
        <v>24-25</v>
      </c>
      <c r="K476" s="82" t="str">
        <f t="shared" si="12"/>
        <v>El Descanso-Mostazal-PARRAO</v>
      </c>
      <c r="R476" s="6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</row>
    <row r="477" spans="2:39" s="7" customFormat="1" x14ac:dyDescent="0.35">
      <c r="B477" s="4" t="str">
        <f>+IF('Data Pura Costos'!B477="","",'Data Pura Costos'!B477)</f>
        <v>El Espino</v>
      </c>
      <c r="C477" s="4" t="str">
        <f>+IF('Data Pura Costos'!C477="","",'Data Pura Costos'!C477)</f>
        <v>Colbún, VII región</v>
      </c>
      <c r="D477" s="5">
        <f>+IF('Data Pura Costos'!D477="","",'Data Pura Costos'!D477)</f>
        <v>240</v>
      </c>
      <c r="E477" s="65">
        <f>+IF('Data Pura Costos'!E477="","",IF('Data Pura Costos'!E477=0,MAX('Data Pura Costos'!$E$7:$E$3000)*1000,'Data Pura Costos'!E477))</f>
        <v>550000</v>
      </c>
      <c r="F477" s="5" t="str">
        <f>+IF('Data Pura Costos'!F477="","",'Data Pura Costos'!F477)</f>
        <v>Mostazal</v>
      </c>
      <c r="G477" s="5" t="str">
        <f>+IF('Data Pura Costos'!G477="","",'Data Pura Costos'!G477)</f>
        <v>PARRAO</v>
      </c>
      <c r="H477" s="52" t="str">
        <f>+IF('Data Pura Costos'!H477="","",'Data Pura Costos'!H477)</f>
        <v>Termo</v>
      </c>
      <c r="I477" s="71">
        <f>+IF('Data Pura Costos'!I477="","",'Data Pura Costos'!I477)</f>
        <v>2291.6666666666665</v>
      </c>
      <c r="J477" s="52" t="str">
        <f>+IF('Data Pura Costos'!J477="","",'Data Pura Costos'!J477)</f>
        <v>24-25</v>
      </c>
      <c r="K477" s="82" t="str">
        <f t="shared" si="12"/>
        <v>El Espino-Mostazal-PARRAO</v>
      </c>
      <c r="R477" s="6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</row>
    <row r="478" spans="2:39" s="7" customFormat="1" x14ac:dyDescent="0.35">
      <c r="B478" s="4" t="str">
        <f>+IF('Data Pura Costos'!B478="","",'Data Pura Costos'!B478)</f>
        <v>El Huaico</v>
      </c>
      <c r="C478" s="4" t="str">
        <f>+IF('Data Pura Costos'!C478="","",'Data Pura Costos'!C478)</f>
        <v>Palmila Ohiggins</v>
      </c>
      <c r="D478" s="5">
        <f>+IF('Data Pura Costos'!D478="","",'Data Pura Costos'!D478)</f>
        <v>124</v>
      </c>
      <c r="E478" s="65">
        <f>+IF('Data Pura Costos'!E478="","",IF('Data Pura Costos'!E478=0,MAX('Data Pura Costos'!$E$7:$E$3000)*1000,'Data Pura Costos'!E478))</f>
        <v>380000</v>
      </c>
      <c r="F478" s="5" t="str">
        <f>+IF('Data Pura Costos'!F478="","",'Data Pura Costos'!F478)</f>
        <v>Mostazal</v>
      </c>
      <c r="G478" s="5" t="str">
        <f>+IF('Data Pura Costos'!G478="","",'Data Pura Costos'!G478)</f>
        <v>PARRAO</v>
      </c>
      <c r="H478" s="52" t="str">
        <f>+IF('Data Pura Costos'!H478="","",'Data Pura Costos'!H478)</f>
        <v>Termo</v>
      </c>
      <c r="I478" s="71">
        <f>+IF('Data Pura Costos'!I478="","",'Data Pura Costos'!I478)</f>
        <v>3064.516129032258</v>
      </c>
      <c r="J478" s="52" t="str">
        <f>+IF('Data Pura Costos'!J478="","",'Data Pura Costos'!J478)</f>
        <v>24-25</v>
      </c>
      <c r="K478" s="82" t="str">
        <f t="shared" si="12"/>
        <v>El Huaico-Mostazal-PARRAO</v>
      </c>
      <c r="R478" s="6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</row>
    <row r="479" spans="2:39" s="7" customFormat="1" x14ac:dyDescent="0.35">
      <c r="B479" s="4" t="str">
        <f>+IF('Data Pura Costos'!B479="","",'Data Pura Costos'!B479)</f>
        <v>El Parque</v>
      </c>
      <c r="C479" s="4" t="str">
        <f>+IF('Data Pura Costos'!C479="","",'Data Pura Costos'!C479)</f>
        <v>San Francisco de Mostazal.VI Region.</v>
      </c>
      <c r="D479" s="5">
        <f>+IF('Data Pura Costos'!D479="","",'Data Pura Costos'!D479)</f>
        <v>3</v>
      </c>
      <c r="E479" s="65">
        <f>+IF('Data Pura Costos'!E479="","",IF('Data Pura Costos'!E479=0,MAX('Data Pura Costos'!$E$7:$E$3000)*1000,'Data Pura Costos'!E479))</f>
        <v>220000</v>
      </c>
      <c r="F479" s="5" t="str">
        <f>+IF('Data Pura Costos'!F479="","",'Data Pura Costos'!F479)</f>
        <v>Mostazal</v>
      </c>
      <c r="G479" s="5" t="str">
        <f>+IF('Data Pura Costos'!G479="","",'Data Pura Costos'!G479)</f>
        <v>PARRAO</v>
      </c>
      <c r="H479" s="52" t="str">
        <f>+IF('Data Pura Costos'!H479="","",'Data Pura Costos'!H479)</f>
        <v>Termo</v>
      </c>
      <c r="I479" s="71">
        <f>+IF('Data Pura Costos'!I479="","",'Data Pura Costos'!I479)</f>
        <v>73333.333333333328</v>
      </c>
      <c r="J479" s="52" t="str">
        <f>+IF('Data Pura Costos'!J479="","",'Data Pura Costos'!J479)</f>
        <v>24-25</v>
      </c>
      <c r="K479" s="82" t="str">
        <f t="shared" si="12"/>
        <v>El Parque-Mostazal-PARRAO</v>
      </c>
      <c r="R479" s="6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</row>
    <row r="480" spans="2:39" s="7" customFormat="1" x14ac:dyDescent="0.35">
      <c r="B480" s="4" t="str">
        <f>+IF('Data Pura Costos'!B480="","",'Data Pura Costos'!B480)</f>
        <v>El Picaso</v>
      </c>
      <c r="C480" s="4" t="str">
        <f>+IF('Data Pura Costos'!C480="","",'Data Pura Costos'!C480)</f>
        <v xml:space="preserve">San Clemente, VII región </v>
      </c>
      <c r="D480" s="5">
        <f>+IF('Data Pura Costos'!D480="","",'Data Pura Costos'!D480)</f>
        <v>208</v>
      </c>
      <c r="E480" s="65">
        <f>+IF('Data Pura Costos'!E480="","",IF('Data Pura Costos'!E480=0,MAX('Data Pura Costos'!$E$7:$E$3000)*1000,'Data Pura Costos'!E480))</f>
        <v>550000</v>
      </c>
      <c r="F480" s="5" t="str">
        <f>+IF('Data Pura Costos'!F480="","",'Data Pura Costos'!F480)</f>
        <v>Mostazal</v>
      </c>
      <c r="G480" s="5" t="str">
        <f>+IF('Data Pura Costos'!G480="","",'Data Pura Costos'!G480)</f>
        <v>PARRAO</v>
      </c>
      <c r="H480" s="52" t="str">
        <f>+IF('Data Pura Costos'!H480="","",'Data Pura Costos'!H480)</f>
        <v>Termo</v>
      </c>
      <c r="I480" s="71">
        <f>+IF('Data Pura Costos'!I480="","",'Data Pura Costos'!I480)</f>
        <v>2644.2307692307691</v>
      </c>
      <c r="J480" s="52" t="str">
        <f>+IF('Data Pura Costos'!J480="","",'Data Pura Costos'!J480)</f>
        <v>24-25</v>
      </c>
      <c r="K480" s="82" t="str">
        <f t="shared" si="12"/>
        <v>El Picaso-Mostazal-PARRAO</v>
      </c>
      <c r="R480" s="6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</row>
    <row r="481" spans="2:39" s="7" customFormat="1" x14ac:dyDescent="0.35">
      <c r="B481" s="4" t="str">
        <f>+IF('Data Pura Costos'!B481="","",'Data Pura Costos'!B481)</f>
        <v>El Recurso</v>
      </c>
      <c r="C481" s="4" t="str">
        <f>+IF('Data Pura Costos'!C481="","",'Data Pura Costos'!C481)</f>
        <v>San Francisco de Mostazal.VI Region.</v>
      </c>
      <c r="D481" s="5">
        <f>+IF('Data Pura Costos'!D481="","",'Data Pura Costos'!D481)</f>
        <v>3</v>
      </c>
      <c r="E481" s="65">
        <f>+IF('Data Pura Costos'!E481="","",IF('Data Pura Costos'!E481=0,MAX('Data Pura Costos'!$E$7:$E$3000)*1000,'Data Pura Costos'!E481))</f>
        <v>220000</v>
      </c>
      <c r="F481" s="5" t="str">
        <f>+IF('Data Pura Costos'!F481="","",'Data Pura Costos'!F481)</f>
        <v>Mostazal</v>
      </c>
      <c r="G481" s="5" t="str">
        <f>+IF('Data Pura Costos'!G481="","",'Data Pura Costos'!G481)</f>
        <v>PARRAO</v>
      </c>
      <c r="H481" s="52" t="str">
        <f>+IF('Data Pura Costos'!H481="","",'Data Pura Costos'!H481)</f>
        <v>Termo</v>
      </c>
      <c r="I481" s="71">
        <f>+IF('Data Pura Costos'!I481="","",'Data Pura Costos'!I481)</f>
        <v>73333.333333333328</v>
      </c>
      <c r="J481" s="52" t="str">
        <f>+IF('Data Pura Costos'!J481="","",'Data Pura Costos'!J481)</f>
        <v>24-25</v>
      </c>
      <c r="K481" s="82" t="str">
        <f t="shared" si="12"/>
        <v>El Recurso-Mostazal-PARRAO</v>
      </c>
      <c r="R481" s="6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</row>
    <row r="482" spans="2:39" s="7" customFormat="1" x14ac:dyDescent="0.35">
      <c r="B482" s="4" t="str">
        <f>+IF('Data Pura Costos'!B482="","",'Data Pura Costos'!B482)</f>
        <v>El Rosario</v>
      </c>
      <c r="C482" s="4" t="str">
        <f>+IF('Data Pura Costos'!C482="","",'Data Pura Costos'!C482)</f>
        <v>Linares, VII region.</v>
      </c>
      <c r="D482" s="5">
        <f>+IF('Data Pura Costos'!D482="","",'Data Pura Costos'!D482)</f>
        <v>260</v>
      </c>
      <c r="E482" s="65">
        <f>+IF('Data Pura Costos'!E482="","",IF('Data Pura Costos'!E482=0,MAX('Data Pura Costos'!$E$7:$E$3000)*1000,'Data Pura Costos'!E482))</f>
        <v>700000</v>
      </c>
      <c r="F482" s="5" t="str">
        <f>+IF('Data Pura Costos'!F482="","",'Data Pura Costos'!F482)</f>
        <v>Mostazal</v>
      </c>
      <c r="G482" s="5" t="str">
        <f>+IF('Data Pura Costos'!G482="","",'Data Pura Costos'!G482)</f>
        <v>PARRAO</v>
      </c>
      <c r="H482" s="52" t="str">
        <f>+IF('Data Pura Costos'!H482="","",'Data Pura Costos'!H482)</f>
        <v>Termo</v>
      </c>
      <c r="I482" s="71">
        <f>+IF('Data Pura Costos'!I482="","",'Data Pura Costos'!I482)</f>
        <v>2692.3076923076924</v>
      </c>
      <c r="J482" s="52" t="str">
        <f>+IF('Data Pura Costos'!J482="","",'Data Pura Costos'!J482)</f>
        <v>24-25</v>
      </c>
      <c r="K482" s="82" t="str">
        <f t="shared" si="12"/>
        <v>El Rosario-Mostazal-PARRAO</v>
      </c>
      <c r="R482" s="6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</row>
    <row r="483" spans="2:39" s="7" customFormat="1" x14ac:dyDescent="0.35">
      <c r="B483" s="4" t="str">
        <f>+IF('Data Pura Costos'!B483="","",'Data Pura Costos'!B483)</f>
        <v>El Retiro</v>
      </c>
      <c r="C483" s="4" t="str">
        <f>+IF('Data Pura Costos'!C483="","",'Data Pura Costos'!C483)</f>
        <v>Rosario, VI Region.</v>
      </c>
      <c r="D483" s="5">
        <f>+IF('Data Pura Costos'!D483="","",'Data Pura Costos'!D483)</f>
        <v>45</v>
      </c>
      <c r="E483" s="65">
        <f>+IF('Data Pura Costos'!E483="","",IF('Data Pura Costos'!E483=0,MAX('Data Pura Costos'!$E$7:$E$3000)*1000,'Data Pura Costos'!E483))</f>
        <v>260000</v>
      </c>
      <c r="F483" s="5" t="str">
        <f>+IF('Data Pura Costos'!F483="","",'Data Pura Costos'!F483)</f>
        <v>Mostazal</v>
      </c>
      <c r="G483" s="5" t="str">
        <f>+IF('Data Pura Costos'!G483="","",'Data Pura Costos'!G483)</f>
        <v>PARRAO</v>
      </c>
      <c r="H483" s="52" t="str">
        <f>+IF('Data Pura Costos'!H483="","",'Data Pura Costos'!H483)</f>
        <v>Termo</v>
      </c>
      <c r="I483" s="71">
        <f>+IF('Data Pura Costos'!I483="","",'Data Pura Costos'!I483)</f>
        <v>5777.7777777777774</v>
      </c>
      <c r="J483" s="52" t="str">
        <f>+IF('Data Pura Costos'!J483="","",'Data Pura Costos'!J483)</f>
        <v>24-25</v>
      </c>
      <c r="K483" s="82" t="str">
        <f t="shared" si="12"/>
        <v>El Retiro-Mostazal-PARRAO</v>
      </c>
      <c r="R483" s="6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</row>
    <row r="484" spans="2:39" s="7" customFormat="1" x14ac:dyDescent="0.35">
      <c r="B484" s="4" t="str">
        <f>+IF('Data Pura Costos'!B484="","",'Data Pura Costos'!B484)</f>
        <v>La Esperanza</v>
      </c>
      <c r="C484" s="4" t="str">
        <f>+IF('Data Pura Costos'!C484="","",'Data Pura Costos'!C484)</f>
        <v>Peumo, VI región</v>
      </c>
      <c r="D484" s="5">
        <f>+IF('Data Pura Costos'!D484="","",'Data Pura Costos'!D484)</f>
        <v>98</v>
      </c>
      <c r="E484" s="65">
        <f>+IF('Data Pura Costos'!E484="","",IF('Data Pura Costos'!E484=0,MAX('Data Pura Costos'!$E$7:$E$3000)*1000,'Data Pura Costos'!E484))</f>
        <v>380000</v>
      </c>
      <c r="F484" s="5" t="str">
        <f>+IF('Data Pura Costos'!F484="","",'Data Pura Costos'!F484)</f>
        <v>Mostazal</v>
      </c>
      <c r="G484" s="5" t="str">
        <f>+IF('Data Pura Costos'!G484="","",'Data Pura Costos'!G484)</f>
        <v>PARRAO</v>
      </c>
      <c r="H484" s="52" t="str">
        <f>+IF('Data Pura Costos'!H484="","",'Data Pura Costos'!H484)</f>
        <v>Termo</v>
      </c>
      <c r="I484" s="71">
        <f>+IF('Data Pura Costos'!I484="","",'Data Pura Costos'!I484)</f>
        <v>3877.5510204081634</v>
      </c>
      <c r="J484" s="52" t="str">
        <f>+IF('Data Pura Costos'!J484="","",'Data Pura Costos'!J484)</f>
        <v>24-25</v>
      </c>
      <c r="K484" s="82" t="str">
        <f t="shared" si="12"/>
        <v>La Esperanza-Mostazal-PARRAO</v>
      </c>
      <c r="R484" s="6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</row>
    <row r="485" spans="2:39" s="7" customFormat="1" x14ac:dyDescent="0.35">
      <c r="B485" s="4" t="str">
        <f>+IF('Data Pura Costos'!B485="","",'Data Pura Costos'!B485)</f>
        <v>La Estación</v>
      </c>
      <c r="C485" s="4" t="str">
        <f>+IF('Data Pura Costos'!C485="","",'Data Pura Costos'!C485)</f>
        <v>Palmilla, VI región</v>
      </c>
      <c r="D485" s="5">
        <f>+IF('Data Pura Costos'!D485="","",'Data Pura Costos'!D485)</f>
        <v>125</v>
      </c>
      <c r="E485" s="65">
        <f>+IF('Data Pura Costos'!E485="","",IF('Data Pura Costos'!E485=0,MAX('Data Pura Costos'!$E$7:$E$3000)*1000,'Data Pura Costos'!E485))</f>
        <v>380000</v>
      </c>
      <c r="F485" s="5" t="str">
        <f>+IF('Data Pura Costos'!F485="","",'Data Pura Costos'!F485)</f>
        <v>Mostazal</v>
      </c>
      <c r="G485" s="5" t="str">
        <f>+IF('Data Pura Costos'!G485="","",'Data Pura Costos'!G485)</f>
        <v>PARRAO</v>
      </c>
      <c r="H485" s="52" t="str">
        <f>+IF('Data Pura Costos'!H485="","",'Data Pura Costos'!H485)</f>
        <v>Termo</v>
      </c>
      <c r="I485" s="71">
        <f>+IF('Data Pura Costos'!I485="","",'Data Pura Costos'!I485)</f>
        <v>3040</v>
      </c>
      <c r="J485" s="52" t="str">
        <f>+IF('Data Pura Costos'!J485="","",'Data Pura Costos'!J485)</f>
        <v>24-25</v>
      </c>
      <c r="K485" s="82" t="str">
        <f t="shared" si="12"/>
        <v>La Estación-Mostazal-PARRAO</v>
      </c>
      <c r="R485" s="6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</row>
    <row r="486" spans="2:39" s="7" customFormat="1" x14ac:dyDescent="0.35">
      <c r="B486" s="4" t="str">
        <f>+IF('Data Pura Costos'!B486="","",'Data Pura Costos'!B486)</f>
        <v>La Lajuela</v>
      </c>
      <c r="C486" s="4" t="str">
        <f>+IF('Data Pura Costos'!C486="","",'Data Pura Costos'!C486)</f>
        <v>Santa Cruz, VI Región</v>
      </c>
      <c r="D486" s="5">
        <f>+IF('Data Pura Costos'!D486="","",'Data Pura Costos'!D486)</f>
        <v>128</v>
      </c>
      <c r="E486" s="65">
        <f>+IF('Data Pura Costos'!E486="","",IF('Data Pura Costos'!E486=0,MAX('Data Pura Costos'!$E$7:$E$3000)*1000,'Data Pura Costos'!E486))</f>
        <v>380000</v>
      </c>
      <c r="F486" s="5" t="str">
        <f>+IF('Data Pura Costos'!F486="","",'Data Pura Costos'!F486)</f>
        <v>Mostazal</v>
      </c>
      <c r="G486" s="5" t="str">
        <f>+IF('Data Pura Costos'!G486="","",'Data Pura Costos'!G486)</f>
        <v>PARRAO</v>
      </c>
      <c r="H486" s="52" t="str">
        <f>+IF('Data Pura Costos'!H486="","",'Data Pura Costos'!H486)</f>
        <v>Termo</v>
      </c>
      <c r="I486" s="71">
        <f>+IF('Data Pura Costos'!I486="","",'Data Pura Costos'!I486)</f>
        <v>2968.75</v>
      </c>
      <c r="J486" s="52" t="str">
        <f>+IF('Data Pura Costos'!J486="","",'Data Pura Costos'!J486)</f>
        <v>24-25</v>
      </c>
      <c r="K486" s="82" t="str">
        <f t="shared" si="12"/>
        <v>La Lajuela-Mostazal-PARRAO</v>
      </c>
      <c r="R486" s="6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</row>
    <row r="487" spans="2:39" s="7" customFormat="1" x14ac:dyDescent="0.35">
      <c r="B487" s="4" t="str">
        <f>+IF('Data Pura Costos'!B487="","",'Data Pura Costos'!B487)</f>
        <v>La Morera</v>
      </c>
      <c r="C487" s="4" t="str">
        <f>+IF('Data Pura Costos'!C487="","",'Data Pura Costos'!C487)</f>
        <v>La compañia, VI Region.</v>
      </c>
      <c r="D487" s="5">
        <f>+IF('Data Pura Costos'!D487="","",'Data Pura Costos'!D487)</f>
        <v>16</v>
      </c>
      <c r="E487" s="65">
        <f>+IF('Data Pura Costos'!E487="","",IF('Data Pura Costos'!E487=0,MAX('Data Pura Costos'!$E$7:$E$3000)*1000,'Data Pura Costos'!E487))</f>
        <v>220000</v>
      </c>
      <c r="F487" s="5" t="str">
        <f>+IF('Data Pura Costos'!F487="","",'Data Pura Costos'!F487)</f>
        <v>Mostazal</v>
      </c>
      <c r="G487" s="5" t="str">
        <f>+IF('Data Pura Costos'!G487="","",'Data Pura Costos'!G487)</f>
        <v>PARRAO</v>
      </c>
      <c r="H487" s="52" t="str">
        <f>+IF('Data Pura Costos'!H487="","",'Data Pura Costos'!H487)</f>
        <v>Termo</v>
      </c>
      <c r="I487" s="71">
        <f>+IF('Data Pura Costos'!I487="","",'Data Pura Costos'!I487)</f>
        <v>13750</v>
      </c>
      <c r="J487" s="52" t="str">
        <f>+IF('Data Pura Costos'!J487="","",'Data Pura Costos'!J487)</f>
        <v>24-25</v>
      </c>
      <c r="K487" s="82" t="str">
        <f t="shared" si="12"/>
        <v>La Morera-Mostazal-PARRAO</v>
      </c>
      <c r="R487" s="6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</row>
    <row r="488" spans="2:39" s="7" customFormat="1" x14ac:dyDescent="0.35">
      <c r="B488" s="4" t="str">
        <f>+IF('Data Pura Costos'!B488="","",'Data Pura Costos'!B488)</f>
        <v>La Rinconada</v>
      </c>
      <c r="C488" s="4" t="str">
        <f>+IF('Data Pura Costos'!C488="","",'Data Pura Costos'!C488)</f>
        <v>Pichidegua, VI región</v>
      </c>
      <c r="D488" s="5">
        <f>+IF('Data Pura Costos'!D488="","",'Data Pura Costos'!D488)</f>
        <v>110</v>
      </c>
      <c r="E488" s="65">
        <f>+IF('Data Pura Costos'!E488="","",IF('Data Pura Costos'!E488=0,MAX('Data Pura Costos'!$E$7:$E$3000)*1000,'Data Pura Costos'!E488))</f>
        <v>380000</v>
      </c>
      <c r="F488" s="5" t="str">
        <f>+IF('Data Pura Costos'!F488="","",'Data Pura Costos'!F488)</f>
        <v>Mostazal</v>
      </c>
      <c r="G488" s="5" t="str">
        <f>+IF('Data Pura Costos'!G488="","",'Data Pura Costos'!G488)</f>
        <v>PARRAO</v>
      </c>
      <c r="H488" s="52" t="str">
        <f>+IF('Data Pura Costos'!H488="","",'Data Pura Costos'!H488)</f>
        <v>Termo</v>
      </c>
      <c r="I488" s="71">
        <f>+IF('Data Pura Costos'!I488="","",'Data Pura Costos'!I488)</f>
        <v>3454.5454545454545</v>
      </c>
      <c r="J488" s="52" t="str">
        <f>+IF('Data Pura Costos'!J488="","",'Data Pura Costos'!J488)</f>
        <v>24-25</v>
      </c>
      <c r="K488" s="82" t="str">
        <f t="shared" si="12"/>
        <v>La Rinconada-Mostazal-PARRAO</v>
      </c>
      <c r="R488" s="6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</row>
    <row r="489" spans="2:39" s="7" customFormat="1" x14ac:dyDescent="0.35">
      <c r="B489" s="4" t="str">
        <f>+IF('Data Pura Costos'!B489="","",'Data Pura Costos'!B489)</f>
        <v xml:space="preserve">La Roblería </v>
      </c>
      <c r="C489" s="4" t="str">
        <f>+IF('Data Pura Costos'!C489="","",'Data Pura Costos'!C489)</f>
        <v>Aculeo, RM</v>
      </c>
      <c r="D489" s="5">
        <f>+IF('Data Pura Costos'!D489="","",'Data Pura Costos'!D489)</f>
        <v>40</v>
      </c>
      <c r="E489" s="65">
        <f>+IF('Data Pura Costos'!E489="","",IF('Data Pura Costos'!E489=0,MAX('Data Pura Costos'!$E$7:$E$3000)*1000,'Data Pura Costos'!E489))</f>
        <v>350000</v>
      </c>
      <c r="F489" s="5" t="str">
        <f>+IF('Data Pura Costos'!F489="","",'Data Pura Costos'!F489)</f>
        <v>Mostazal</v>
      </c>
      <c r="G489" s="5" t="str">
        <f>+IF('Data Pura Costos'!G489="","",'Data Pura Costos'!G489)</f>
        <v>PARRAO</v>
      </c>
      <c r="H489" s="52" t="str">
        <f>+IF('Data Pura Costos'!H489="","",'Data Pura Costos'!H489)</f>
        <v>Termo</v>
      </c>
      <c r="I489" s="71">
        <f>+IF('Data Pura Costos'!I489="","",'Data Pura Costos'!I489)</f>
        <v>8750</v>
      </c>
      <c r="J489" s="52" t="str">
        <f>+IF('Data Pura Costos'!J489="","",'Data Pura Costos'!J489)</f>
        <v>24-25</v>
      </c>
      <c r="K489" s="82" t="str">
        <f t="shared" si="12"/>
        <v>La Roblería -Mostazal-PARRAO</v>
      </c>
      <c r="R489" s="6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</row>
    <row r="490" spans="2:39" s="7" customFormat="1" x14ac:dyDescent="0.35">
      <c r="B490" s="4" t="str">
        <f>+IF('Data Pura Costos'!B490="","",'Data Pura Costos'!B490)</f>
        <v>Las Cabras</v>
      </c>
      <c r="C490" s="4" t="str">
        <f>+IF('Data Pura Costos'!C490="","",'Data Pura Costos'!C490)</f>
        <v>Las Cabras, VI región</v>
      </c>
      <c r="D490" s="5">
        <f>+IF('Data Pura Costos'!D490="","",'Data Pura Costos'!D490)</f>
        <v>110</v>
      </c>
      <c r="E490" s="65">
        <f>+IF('Data Pura Costos'!E490="","",IF('Data Pura Costos'!E490=0,MAX('Data Pura Costos'!$E$7:$E$3000)*1000,'Data Pura Costos'!E490))</f>
        <v>380000</v>
      </c>
      <c r="F490" s="5" t="str">
        <f>+IF('Data Pura Costos'!F490="","",'Data Pura Costos'!F490)</f>
        <v>Mostazal</v>
      </c>
      <c r="G490" s="5" t="str">
        <f>+IF('Data Pura Costos'!G490="","",'Data Pura Costos'!G490)</f>
        <v>PARRAO</v>
      </c>
      <c r="H490" s="52" t="str">
        <f>+IF('Data Pura Costos'!H490="","",'Data Pura Costos'!H490)</f>
        <v>Termo</v>
      </c>
      <c r="I490" s="71">
        <f>+IF('Data Pura Costos'!I490="","",'Data Pura Costos'!I490)</f>
        <v>3454.5454545454545</v>
      </c>
      <c r="J490" s="52" t="str">
        <f>+IF('Data Pura Costos'!J490="","",'Data Pura Costos'!J490)</f>
        <v>24-25</v>
      </c>
      <c r="K490" s="82" t="str">
        <f t="shared" si="12"/>
        <v>Las Cabras-Mostazal-PARRAO</v>
      </c>
      <c r="R490" s="6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</row>
    <row r="491" spans="2:39" s="7" customFormat="1" x14ac:dyDescent="0.35">
      <c r="B491" s="4" t="str">
        <f>+IF('Data Pura Costos'!B491="","",'Data Pura Costos'!B491)</f>
        <v>Las Vertientes</v>
      </c>
      <c r="C491" s="4" t="str">
        <f>+IF('Data Pura Costos'!C491="","",'Data Pura Costos'!C491)</f>
        <v>Pichidegua, VI región</v>
      </c>
      <c r="D491" s="5">
        <f>+IF('Data Pura Costos'!D491="","",'Data Pura Costos'!D491)</f>
        <v>103</v>
      </c>
      <c r="E491" s="65">
        <f>+IF('Data Pura Costos'!E491="","",IF('Data Pura Costos'!E491=0,MAX('Data Pura Costos'!$E$7:$E$3000)*1000,'Data Pura Costos'!E491))</f>
        <v>380000</v>
      </c>
      <c r="F491" s="5" t="str">
        <f>+IF('Data Pura Costos'!F491="","",'Data Pura Costos'!F491)</f>
        <v>Mostazal</v>
      </c>
      <c r="G491" s="5" t="str">
        <f>+IF('Data Pura Costos'!G491="","",'Data Pura Costos'!G491)</f>
        <v>PARRAO</v>
      </c>
      <c r="H491" s="52" t="str">
        <f>+IF('Data Pura Costos'!H491="","",'Data Pura Costos'!H491)</f>
        <v>Termo</v>
      </c>
      <c r="I491" s="71">
        <f>+IF('Data Pura Costos'!I491="","",'Data Pura Costos'!I491)</f>
        <v>3689.3203883495144</v>
      </c>
      <c r="J491" s="52" t="str">
        <f>+IF('Data Pura Costos'!J491="","",'Data Pura Costos'!J491)</f>
        <v>24-25</v>
      </c>
      <c r="K491" s="82" t="str">
        <f t="shared" si="12"/>
        <v>Las Vertientes-Mostazal-PARRAO</v>
      </c>
      <c r="R491" s="6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</row>
    <row r="492" spans="2:39" s="7" customFormat="1" x14ac:dyDescent="0.35">
      <c r="B492" s="4" t="str">
        <f>+IF('Data Pura Costos'!B492="","",'Data Pura Costos'!B492)</f>
        <v>Lihueimo</v>
      </c>
      <c r="C492" s="4" t="str">
        <f>+IF('Data Pura Costos'!C492="","",'Data Pura Costos'!C492)</f>
        <v>Peralillo ohiggins</v>
      </c>
      <c r="D492" s="5">
        <f>+IF('Data Pura Costos'!D492="","",'Data Pura Costos'!D492)</f>
        <v>131</v>
      </c>
      <c r="E492" s="65">
        <f>+IF('Data Pura Costos'!E492="","",IF('Data Pura Costos'!E492=0,MAX('Data Pura Costos'!$E$7:$E$3000)*1000,'Data Pura Costos'!E492))</f>
        <v>380000</v>
      </c>
      <c r="F492" s="5" t="str">
        <f>+IF('Data Pura Costos'!F492="","",'Data Pura Costos'!F492)</f>
        <v>Mostazal</v>
      </c>
      <c r="G492" s="5" t="str">
        <f>+IF('Data Pura Costos'!G492="","",'Data Pura Costos'!G492)</f>
        <v>PARRAO</v>
      </c>
      <c r="H492" s="52" t="str">
        <f>+IF('Data Pura Costos'!H492="","",'Data Pura Costos'!H492)</f>
        <v>Termo</v>
      </c>
      <c r="I492" s="71">
        <f>+IF('Data Pura Costos'!I492="","",'Data Pura Costos'!I492)</f>
        <v>2900.7633587786258</v>
      </c>
      <c r="J492" s="52" t="str">
        <f>+IF('Data Pura Costos'!J492="","",'Data Pura Costos'!J492)</f>
        <v>24-25</v>
      </c>
      <c r="K492" s="82" t="str">
        <f t="shared" si="12"/>
        <v>Lihueimo-Mostazal-PARRAO</v>
      </c>
      <c r="R492" s="6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</row>
    <row r="493" spans="2:39" s="7" customFormat="1" x14ac:dyDescent="0.35">
      <c r="B493" s="4" t="str">
        <f>+IF('Data Pura Costos'!B493="","",'Data Pura Costos'!B493)</f>
        <v>Los Encinos</v>
      </c>
      <c r="C493" s="4" t="str">
        <f>+IF('Data Pura Costos'!C493="","",'Data Pura Costos'!C493)</f>
        <v>Huechun, RM</v>
      </c>
      <c r="D493" s="5">
        <f>+IF('Data Pura Costos'!D493="","",'Data Pura Costos'!D493)</f>
        <v>85</v>
      </c>
      <c r="E493" s="65">
        <f>+IF('Data Pura Costos'!E493="","",IF('Data Pura Costos'!E493=0,MAX('Data Pura Costos'!$E$7:$E$3000)*1000,'Data Pura Costos'!E493))</f>
        <v>380000</v>
      </c>
      <c r="F493" s="5" t="str">
        <f>+IF('Data Pura Costos'!F493="","",'Data Pura Costos'!F493)</f>
        <v>Mostazal</v>
      </c>
      <c r="G493" s="5" t="str">
        <f>+IF('Data Pura Costos'!G493="","",'Data Pura Costos'!G493)</f>
        <v>PARRAO</v>
      </c>
      <c r="H493" s="52" t="str">
        <f>+IF('Data Pura Costos'!H493="","",'Data Pura Costos'!H493)</f>
        <v>Termo</v>
      </c>
      <c r="I493" s="71">
        <f>+IF('Data Pura Costos'!I493="","",'Data Pura Costos'!I493)</f>
        <v>4470.588235294118</v>
      </c>
      <c r="J493" s="52" t="str">
        <f>+IF('Data Pura Costos'!J493="","",'Data Pura Costos'!J493)</f>
        <v>24-25</v>
      </c>
      <c r="K493" s="82" t="str">
        <f t="shared" si="12"/>
        <v>Los Encinos-Mostazal-PARRAO</v>
      </c>
      <c r="R493" s="6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</row>
    <row r="494" spans="2:39" s="7" customFormat="1" x14ac:dyDescent="0.35">
      <c r="B494" s="4" t="str">
        <f>+IF('Data Pura Costos'!B494="","",'Data Pura Costos'!B494)</f>
        <v>Los Maitenes</v>
      </c>
      <c r="C494" s="4" t="str">
        <f>+IF('Data Pura Costos'!C494="","",'Data Pura Costos'!C494)</f>
        <v>Las Cabras, VI región</v>
      </c>
      <c r="D494" s="5">
        <f>+IF('Data Pura Costos'!D494="","",'Data Pura Costos'!D494)</f>
        <v>118</v>
      </c>
      <c r="E494" s="65">
        <f>+IF('Data Pura Costos'!E494="","",IF('Data Pura Costos'!E494=0,MAX('Data Pura Costos'!$E$7:$E$3000)*1000,'Data Pura Costos'!E494))</f>
        <v>380000</v>
      </c>
      <c r="F494" s="5" t="str">
        <f>+IF('Data Pura Costos'!F494="","",'Data Pura Costos'!F494)</f>
        <v>Mostazal</v>
      </c>
      <c r="G494" s="5" t="str">
        <f>+IF('Data Pura Costos'!G494="","",'Data Pura Costos'!G494)</f>
        <v>PARRAO</v>
      </c>
      <c r="H494" s="52" t="str">
        <f>+IF('Data Pura Costos'!H494="","",'Data Pura Costos'!H494)</f>
        <v>Termo</v>
      </c>
      <c r="I494" s="71">
        <f>+IF('Data Pura Costos'!I494="","",'Data Pura Costos'!I494)</f>
        <v>3220.3389830508477</v>
      </c>
      <c r="J494" s="52" t="str">
        <f>+IF('Data Pura Costos'!J494="","",'Data Pura Costos'!J494)</f>
        <v>24-25</v>
      </c>
      <c r="K494" s="82" t="str">
        <f t="shared" si="12"/>
        <v>Los Maitenes-Mostazal-PARRAO</v>
      </c>
      <c r="R494" s="6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</row>
    <row r="495" spans="2:39" s="7" customFormat="1" x14ac:dyDescent="0.35">
      <c r="B495" s="4" t="str">
        <f>+IF('Data Pura Costos'!B495="","",'Data Pura Costos'!B495)</f>
        <v>Los Toldos</v>
      </c>
      <c r="C495" s="4" t="str">
        <f>+IF('Data Pura Costos'!C495="","",'Data Pura Costos'!C495)</f>
        <v>Angol, IX región</v>
      </c>
      <c r="D495" s="5">
        <f>+IF('Data Pura Costos'!D495="","",'Data Pura Costos'!D495)</f>
        <v>549</v>
      </c>
      <c r="E495" s="65">
        <f>+IF('Data Pura Costos'!E495="","",IF('Data Pura Costos'!E495=0,MAX('Data Pura Costos'!$E$7:$E$3000)*1000,'Data Pura Costos'!E495))</f>
        <v>1250000</v>
      </c>
      <c r="F495" s="5" t="str">
        <f>+IF('Data Pura Costos'!F495="","",'Data Pura Costos'!F495)</f>
        <v>Mostazal</v>
      </c>
      <c r="G495" s="5" t="str">
        <f>+IF('Data Pura Costos'!G495="","",'Data Pura Costos'!G495)</f>
        <v>PARRAO</v>
      </c>
      <c r="H495" s="52" t="str">
        <f>+IF('Data Pura Costos'!H495="","",'Data Pura Costos'!H495)</f>
        <v>Termo</v>
      </c>
      <c r="I495" s="71">
        <f>+IF('Data Pura Costos'!I495="","",'Data Pura Costos'!I495)</f>
        <v>2276.8670309653917</v>
      </c>
      <c r="J495" s="52" t="str">
        <f>+IF('Data Pura Costos'!J495="","",'Data Pura Costos'!J495)</f>
        <v>24-25</v>
      </c>
      <c r="K495" s="82" t="str">
        <f t="shared" si="12"/>
        <v>Los Toldos-Mostazal-PARRAO</v>
      </c>
      <c r="R495" s="6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</row>
    <row r="496" spans="2:39" s="7" customFormat="1" x14ac:dyDescent="0.35">
      <c r="B496" s="4" t="str">
        <f>+IF('Data Pura Costos'!B496="","",'Data Pura Costos'!B496)</f>
        <v>Panquehue</v>
      </c>
      <c r="C496" s="4" t="str">
        <f>+IF('Data Pura Costos'!C496="","",'Data Pura Costos'!C496)</f>
        <v>Panquehue, V región</v>
      </c>
      <c r="D496" s="5">
        <f>+IF('Data Pura Costos'!D496="","",'Data Pura Costos'!D496)</f>
        <v>165</v>
      </c>
      <c r="E496" s="65">
        <f>+IF('Data Pura Costos'!E496="","",IF('Data Pura Costos'!E496=0,MAX('Data Pura Costos'!$E$7:$E$3000)*1000,'Data Pura Costos'!E496))</f>
        <v>450000</v>
      </c>
      <c r="F496" s="5" t="str">
        <f>+IF('Data Pura Costos'!F496="","",'Data Pura Costos'!F496)</f>
        <v>Mostazal</v>
      </c>
      <c r="G496" s="5" t="str">
        <f>+IF('Data Pura Costos'!G496="","",'Data Pura Costos'!G496)</f>
        <v>PARRAO</v>
      </c>
      <c r="H496" s="52" t="str">
        <f>+IF('Data Pura Costos'!H496="","",'Data Pura Costos'!H496)</f>
        <v>Termo</v>
      </c>
      <c r="I496" s="71">
        <f>+IF('Data Pura Costos'!I496="","",'Data Pura Costos'!I496)</f>
        <v>2727.2727272727275</v>
      </c>
      <c r="J496" s="52" t="str">
        <f>+IF('Data Pura Costos'!J496="","",'Data Pura Costos'!J496)</f>
        <v>24-25</v>
      </c>
      <c r="K496" s="82" t="str">
        <f t="shared" si="12"/>
        <v>Panquehue-Mostazal-PARRAO</v>
      </c>
      <c r="R496" s="6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</row>
    <row r="497" spans="2:39" s="7" customFormat="1" x14ac:dyDescent="0.35">
      <c r="B497" s="4" t="str">
        <f>+IF('Data Pura Costos'!B497="","",'Data Pura Costos'!B497)</f>
        <v>Entre Rios/Puente Negro/Rio Claro</v>
      </c>
      <c r="C497" s="4" t="str">
        <f>+IF('Data Pura Costos'!C497="","",'Data Pura Costos'!C497)</f>
        <v>Puente negro, san fernando.VI Region.</v>
      </c>
      <c r="D497" s="5">
        <f>+IF('Data Pura Costos'!D497="","",'Data Pura Costos'!D497)</f>
        <v>100</v>
      </c>
      <c r="E497" s="65">
        <f>+IF('Data Pura Costos'!E497="","",IF('Data Pura Costos'!E497=0,MAX('Data Pura Costos'!$E$7:$E$3000)*1000,'Data Pura Costos'!E497))</f>
        <v>320000</v>
      </c>
      <c r="F497" s="5" t="str">
        <f>+IF('Data Pura Costos'!F497="","",'Data Pura Costos'!F497)</f>
        <v>Mostazal</v>
      </c>
      <c r="G497" s="5" t="str">
        <f>+IF('Data Pura Costos'!G497="","",'Data Pura Costos'!G497)</f>
        <v>PARRAO</v>
      </c>
      <c r="H497" s="52" t="str">
        <f>+IF('Data Pura Costos'!H497="","",'Data Pura Costos'!H497)</f>
        <v>Termo</v>
      </c>
      <c r="I497" s="71">
        <f>+IF('Data Pura Costos'!I497="","",'Data Pura Costos'!I497)</f>
        <v>3200</v>
      </c>
      <c r="J497" s="52" t="str">
        <f>+IF('Data Pura Costos'!J497="","",'Data Pura Costos'!J497)</f>
        <v>24-25</v>
      </c>
      <c r="K497" s="82" t="str">
        <f t="shared" si="12"/>
        <v>Entre Rios/Puente Negro/Rio Claro-Mostazal-PARRAO</v>
      </c>
      <c r="R497" s="6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</row>
    <row r="498" spans="2:39" s="7" customFormat="1" x14ac:dyDescent="0.35">
      <c r="B498" s="4" t="str">
        <f>+IF('Data Pura Costos'!B498="","",'Data Pura Costos'!B498)</f>
        <v>Retorno</v>
      </c>
      <c r="C498" s="4" t="str">
        <f>+IF('Data Pura Costos'!C498="","",'Data Pura Costos'!C498)</f>
        <v>Santa maria, V región</v>
      </c>
      <c r="D498" s="5">
        <f>+IF('Data Pura Costos'!D498="","",'Data Pura Costos'!D498)</f>
        <v>162</v>
      </c>
      <c r="E498" s="65">
        <f>+IF('Data Pura Costos'!E498="","",IF('Data Pura Costos'!E498=0,MAX('Data Pura Costos'!$E$7:$E$3000)*1000,'Data Pura Costos'!E498))</f>
        <v>450000</v>
      </c>
      <c r="F498" s="5" t="str">
        <f>+IF('Data Pura Costos'!F498="","",'Data Pura Costos'!F498)</f>
        <v>Mostazal</v>
      </c>
      <c r="G498" s="5" t="str">
        <f>+IF('Data Pura Costos'!G498="","",'Data Pura Costos'!G498)</f>
        <v>PARRAO</v>
      </c>
      <c r="H498" s="52" t="str">
        <f>+IF('Data Pura Costos'!H498="","",'Data Pura Costos'!H498)</f>
        <v>Termo</v>
      </c>
      <c r="I498" s="71">
        <f>+IF('Data Pura Costos'!I498="","",'Data Pura Costos'!I498)</f>
        <v>2777.7777777777778</v>
      </c>
      <c r="J498" s="52" t="str">
        <f>+IF('Data Pura Costos'!J498="","",'Data Pura Costos'!J498)</f>
        <v>24-25</v>
      </c>
      <c r="K498" s="82" t="str">
        <f t="shared" si="12"/>
        <v>Retorno-Mostazal-PARRAO</v>
      </c>
      <c r="R498" s="6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</row>
    <row r="499" spans="2:39" s="7" customFormat="1" x14ac:dyDescent="0.35">
      <c r="B499" s="4" t="str">
        <f>+IF('Data Pura Costos'!B499="","",'Data Pura Costos'!B499)</f>
        <v>San Hernán</v>
      </c>
      <c r="C499" s="4" t="str">
        <f>+IF('Data Pura Costos'!C499="","",'Data Pura Costos'!C499)</f>
        <v>Graneros, VI región</v>
      </c>
      <c r="D499" s="5">
        <f>+IF('Data Pura Costos'!D499="","",'Data Pura Costos'!D499)</f>
        <v>10</v>
      </c>
      <c r="E499" s="65">
        <f>+IF('Data Pura Costos'!E499="","",IF('Data Pura Costos'!E499=0,MAX('Data Pura Costos'!$E$7:$E$3000)*1000,'Data Pura Costos'!E499))</f>
        <v>220000</v>
      </c>
      <c r="F499" s="5" t="str">
        <f>+IF('Data Pura Costos'!F499="","",'Data Pura Costos'!F499)</f>
        <v>Mostazal</v>
      </c>
      <c r="G499" s="5" t="str">
        <f>+IF('Data Pura Costos'!G499="","",'Data Pura Costos'!G499)</f>
        <v>PARRAO</v>
      </c>
      <c r="H499" s="52" t="str">
        <f>+IF('Data Pura Costos'!H499="","",'Data Pura Costos'!H499)</f>
        <v>Termo</v>
      </c>
      <c r="I499" s="71">
        <f>+IF('Data Pura Costos'!I499="","",'Data Pura Costos'!I499)</f>
        <v>22000</v>
      </c>
      <c r="J499" s="52" t="str">
        <f>+IF('Data Pura Costos'!J499="","",'Data Pura Costos'!J499)</f>
        <v>24-25</v>
      </c>
      <c r="K499" s="82" t="str">
        <f t="shared" si="12"/>
        <v>San Hernán-Mostazal-PARRAO</v>
      </c>
      <c r="R499" s="6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</row>
    <row r="500" spans="2:39" s="7" customFormat="1" x14ac:dyDescent="0.35">
      <c r="B500" s="4" t="str">
        <f>+IF('Data Pura Costos'!B500="","",'Data Pura Costos'!B500)</f>
        <v>Santa Mónica</v>
      </c>
      <c r="C500" s="4" t="str">
        <f>+IF('Data Pura Costos'!C500="","",'Data Pura Costos'!C500)</f>
        <v xml:space="preserve">Rancagua, sector Chancón, VI región </v>
      </c>
      <c r="D500" s="5">
        <f>+IF('Data Pura Costos'!D500="","",'Data Pura Costos'!D500)</f>
        <v>20</v>
      </c>
      <c r="E500" s="65">
        <f>+IF('Data Pura Costos'!E500="","",IF('Data Pura Costos'!E500=0,MAX('Data Pura Costos'!$E$7:$E$3000)*1000,'Data Pura Costos'!E500))</f>
        <v>220000</v>
      </c>
      <c r="F500" s="5" t="str">
        <f>+IF('Data Pura Costos'!F500="","",'Data Pura Costos'!F500)</f>
        <v>Mostazal</v>
      </c>
      <c r="G500" s="5" t="str">
        <f>+IF('Data Pura Costos'!G500="","",'Data Pura Costos'!G500)</f>
        <v>PARRAO</v>
      </c>
      <c r="H500" s="52" t="str">
        <f>+IF('Data Pura Costos'!H500="","",'Data Pura Costos'!H500)</f>
        <v>Termo</v>
      </c>
      <c r="I500" s="71">
        <f>+IF('Data Pura Costos'!I500="","",'Data Pura Costos'!I500)</f>
        <v>11000</v>
      </c>
      <c r="J500" s="52" t="str">
        <f>+IF('Data Pura Costos'!J500="","",'Data Pura Costos'!J500)</f>
        <v>24-25</v>
      </c>
      <c r="K500" s="82" t="str">
        <f t="shared" si="12"/>
        <v>Santa Mónica-Mostazal-PARRAO</v>
      </c>
      <c r="R500" s="6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</row>
    <row r="501" spans="2:39" s="7" customFormat="1" x14ac:dyDescent="0.35">
      <c r="B501" s="4" t="str">
        <f>+IF('Data Pura Costos'!B501="","",'Data Pura Costos'!B501)</f>
        <v>Talhuén</v>
      </c>
      <c r="C501" s="4" t="str">
        <f>+IF('Data Pura Costos'!C501="","",'Data Pura Costos'!C501)</f>
        <v>Palmilla, VI región</v>
      </c>
      <c r="D501" s="5">
        <f>+IF('Data Pura Costos'!D501="","",'Data Pura Costos'!D501)</f>
        <v>122</v>
      </c>
      <c r="E501" s="65">
        <f>+IF('Data Pura Costos'!E501="","",IF('Data Pura Costos'!E501=0,MAX('Data Pura Costos'!$E$7:$E$3000)*1000,'Data Pura Costos'!E501))</f>
        <v>380000</v>
      </c>
      <c r="F501" s="5" t="str">
        <f>+IF('Data Pura Costos'!F501="","",'Data Pura Costos'!F501)</f>
        <v>Mostazal</v>
      </c>
      <c r="G501" s="5" t="str">
        <f>+IF('Data Pura Costos'!G501="","",'Data Pura Costos'!G501)</f>
        <v>PARRAO</v>
      </c>
      <c r="H501" s="52" t="str">
        <f>+IF('Data Pura Costos'!H501="","",'Data Pura Costos'!H501)</f>
        <v>Termo</v>
      </c>
      <c r="I501" s="71">
        <f>+IF('Data Pura Costos'!I501="","",'Data Pura Costos'!I501)</f>
        <v>3114.7540983606559</v>
      </c>
      <c r="J501" s="52" t="str">
        <f>+IF('Data Pura Costos'!J501="","",'Data Pura Costos'!J501)</f>
        <v>24-25</v>
      </c>
      <c r="K501" s="82" t="str">
        <f t="shared" si="12"/>
        <v>Talhuén-Mostazal-PARRAO</v>
      </c>
      <c r="R501" s="6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</row>
    <row r="502" spans="2:39" s="7" customFormat="1" x14ac:dyDescent="0.35">
      <c r="B502" s="4" t="str">
        <f>+IF('Data Pura Costos'!B502="","",'Data Pura Costos'!B502)</f>
        <v>Villaseca</v>
      </c>
      <c r="C502" s="4" t="str">
        <f>+IF('Data Pura Costos'!C502="","",'Data Pura Costos'!C502)</f>
        <v>Retiro, VII reginón</v>
      </c>
      <c r="D502" s="5">
        <f>+IF('Data Pura Costos'!D502="","",'Data Pura Costos'!D502)</f>
        <v>297</v>
      </c>
      <c r="E502" s="65">
        <f>+IF('Data Pura Costos'!E502="","",IF('Data Pura Costos'!E502=0,MAX('Data Pura Costos'!$E$7:$E$3000)*1000,'Data Pura Costos'!E502))</f>
        <v>720000</v>
      </c>
      <c r="F502" s="5" t="str">
        <f>+IF('Data Pura Costos'!F502="","",'Data Pura Costos'!F502)</f>
        <v>Mostazal</v>
      </c>
      <c r="G502" s="5" t="str">
        <f>+IF('Data Pura Costos'!G502="","",'Data Pura Costos'!G502)</f>
        <v>PARRAO</v>
      </c>
      <c r="H502" s="52" t="str">
        <f>+IF('Data Pura Costos'!H502="","",'Data Pura Costos'!H502)</f>
        <v>Termo</v>
      </c>
      <c r="I502" s="71">
        <f>+IF('Data Pura Costos'!I502="","",'Data Pura Costos'!I502)</f>
        <v>2424.242424242424</v>
      </c>
      <c r="J502" s="52" t="str">
        <f>+IF('Data Pura Costos'!J502="","",'Data Pura Costos'!J502)</f>
        <v>24-25</v>
      </c>
      <c r="K502" s="82" t="str">
        <f t="shared" si="12"/>
        <v>Villaseca-Mostazal-PARRAO</v>
      </c>
      <c r="R502" s="6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</row>
    <row r="503" spans="2:39" s="7" customFormat="1" x14ac:dyDescent="0.35">
      <c r="B503" s="4" t="str">
        <f>+IF('Data Pura Costos'!B503="","",'Data Pura Costos'!B503)</f>
        <v>Almahue</v>
      </c>
      <c r="C503" s="4" t="str">
        <f>+IF('Data Pura Costos'!C503="","",'Data Pura Costos'!C503)</f>
        <v>Pichidegua, VI región</v>
      </c>
      <c r="D503" s="5">
        <f>+IF('Data Pura Costos'!D503="","",'Data Pura Costos'!D503)</f>
        <v>134</v>
      </c>
      <c r="E503" s="65">
        <f>+IF('Data Pura Costos'!E503="","",IF('Data Pura Costos'!E503=0,MAX('Data Pura Costos'!$E$7:$E$3000)*1000,'Data Pura Costos'!E503))</f>
        <v>400000</v>
      </c>
      <c r="F503" s="5" t="str">
        <f>+IF('Data Pura Costos'!F503="","",'Data Pura Costos'!F503)</f>
        <v>Molina</v>
      </c>
      <c r="G503" s="5" t="str">
        <f>+IF('Data Pura Costos'!G503="","",'Data Pura Costos'!G503)</f>
        <v>PARRAO</v>
      </c>
      <c r="H503" s="52" t="str">
        <f>+IF('Data Pura Costos'!H503="","",'Data Pura Costos'!H503)</f>
        <v>Termo</v>
      </c>
      <c r="I503" s="71">
        <f>+IF('Data Pura Costos'!I503="","",'Data Pura Costos'!I503)</f>
        <v>2985.0746268656717</v>
      </c>
      <c r="J503" s="52" t="str">
        <f>+IF('Data Pura Costos'!J503="","",'Data Pura Costos'!J503)</f>
        <v>24-25</v>
      </c>
      <c r="K503" s="82" t="str">
        <f t="shared" si="12"/>
        <v>Almahue-Molina-PARRAO</v>
      </c>
      <c r="R503" s="6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</row>
    <row r="504" spans="2:39" s="7" customFormat="1" x14ac:dyDescent="0.35">
      <c r="B504" s="4" t="str">
        <f>+IF('Data Pura Costos'!B504="","",'Data Pura Costos'!B504)</f>
        <v>Bodega</v>
      </c>
      <c r="C504" s="4" t="str">
        <f>+IF('Data Pura Costos'!C504="","",'Data Pura Costos'!C504)</f>
        <v>Linares, VII region.</v>
      </c>
      <c r="D504" s="5">
        <f>+IF('Data Pura Costos'!D504="","",'Data Pura Costos'!D504)</f>
        <v>123</v>
      </c>
      <c r="E504" s="65">
        <f>+IF('Data Pura Costos'!E504="","",IF('Data Pura Costos'!E504=0,MAX('Data Pura Costos'!$E$7:$E$3000)*1000,'Data Pura Costos'!E504))</f>
        <v>480000</v>
      </c>
      <c r="F504" s="5" t="str">
        <f>+IF('Data Pura Costos'!F504="","",'Data Pura Costos'!F504)</f>
        <v>Molina</v>
      </c>
      <c r="G504" s="5" t="str">
        <f>+IF('Data Pura Costos'!G504="","",'Data Pura Costos'!G504)</f>
        <v>PARRAO</v>
      </c>
      <c r="H504" s="52" t="str">
        <f>+IF('Data Pura Costos'!H504="","",'Data Pura Costos'!H504)</f>
        <v>Termo</v>
      </c>
      <c r="I504" s="71">
        <f>+IF('Data Pura Costos'!I504="","",'Data Pura Costos'!I504)</f>
        <v>3902.439024390244</v>
      </c>
      <c r="J504" s="52" t="str">
        <f>+IF('Data Pura Costos'!J504="","",'Data Pura Costos'!J504)</f>
        <v>24-25</v>
      </c>
      <c r="K504" s="82" t="str">
        <f t="shared" si="12"/>
        <v>Bodega-Molina-PARRAO</v>
      </c>
      <c r="R504" s="6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</row>
    <row r="505" spans="2:39" s="7" customFormat="1" x14ac:dyDescent="0.35">
      <c r="B505" s="4" t="str">
        <f>+IF('Data Pura Costos'!B505="","",'Data Pura Costos'!B505)</f>
        <v xml:space="preserve">Caliboro </v>
      </c>
      <c r="C505" s="4" t="str">
        <f>+IF('Data Pura Costos'!C505="","",'Data Pura Costos'!C505)</f>
        <v>San Javier, VII región</v>
      </c>
      <c r="D505" s="5">
        <f>+IF('Data Pura Costos'!D505="","",'Data Pura Costos'!D505)</f>
        <v>118</v>
      </c>
      <c r="E505" s="65">
        <f>+IF('Data Pura Costos'!E505="","",IF('Data Pura Costos'!E505=0,MAX('Data Pura Costos'!$E$7:$E$3000)*1000,'Data Pura Costos'!E505))</f>
        <v>480000</v>
      </c>
      <c r="F505" s="5" t="str">
        <f>+IF('Data Pura Costos'!F505="","",'Data Pura Costos'!F505)</f>
        <v>Molina</v>
      </c>
      <c r="G505" s="5" t="str">
        <f>+IF('Data Pura Costos'!G505="","",'Data Pura Costos'!G505)</f>
        <v>PARRAO</v>
      </c>
      <c r="H505" s="52" t="str">
        <f>+IF('Data Pura Costos'!H505="","",'Data Pura Costos'!H505)</f>
        <v>Termo</v>
      </c>
      <c r="I505" s="71">
        <f>+IF('Data Pura Costos'!I505="","",'Data Pura Costos'!I505)</f>
        <v>4067.7966101694915</v>
      </c>
      <c r="J505" s="52" t="str">
        <f>+IF('Data Pura Costos'!J505="","",'Data Pura Costos'!J505)</f>
        <v>24-25</v>
      </c>
      <c r="K505" s="82" t="str">
        <f t="shared" si="12"/>
        <v>Caliboro -Molina-PARRAO</v>
      </c>
      <c r="R505" s="6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</row>
    <row r="506" spans="2:39" s="7" customFormat="1" x14ac:dyDescent="0.35">
      <c r="B506" s="4" t="str">
        <f>+IF('Data Pura Costos'!B506="","",'Data Pura Costos'!B506)</f>
        <v>Calleuque</v>
      </c>
      <c r="C506" s="4" t="str">
        <f>+IF('Data Pura Costos'!C506="","",'Data Pura Costos'!C506)</f>
        <v>Peralillo ohiggins, VI región</v>
      </c>
      <c r="D506" s="5">
        <f>+IF('Data Pura Costos'!D506="","",'Data Pura Costos'!D506)</f>
        <v>103</v>
      </c>
      <c r="E506" s="65">
        <f>+IF('Data Pura Costos'!E506="","",IF('Data Pura Costos'!E506=0,MAX('Data Pura Costos'!$E$7:$E$3000)*1000,'Data Pura Costos'!E506))</f>
        <v>380000</v>
      </c>
      <c r="F506" s="5" t="str">
        <f>+IF('Data Pura Costos'!F506="","",'Data Pura Costos'!F506)</f>
        <v>Molina</v>
      </c>
      <c r="G506" s="5" t="str">
        <f>+IF('Data Pura Costos'!G506="","",'Data Pura Costos'!G506)</f>
        <v>PARRAO</v>
      </c>
      <c r="H506" s="52" t="str">
        <f>+IF('Data Pura Costos'!H506="","",'Data Pura Costos'!H506)</f>
        <v>Termo</v>
      </c>
      <c r="I506" s="71">
        <f>+IF('Data Pura Costos'!I506="","",'Data Pura Costos'!I506)</f>
        <v>3689.3203883495144</v>
      </c>
      <c r="J506" s="52" t="str">
        <f>+IF('Data Pura Costos'!J506="","",'Data Pura Costos'!J506)</f>
        <v>24-25</v>
      </c>
      <c r="K506" s="82" t="str">
        <f t="shared" si="12"/>
        <v>Calleuque-Molina-PARRAO</v>
      </c>
      <c r="R506" s="6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</row>
    <row r="507" spans="2:39" s="7" customFormat="1" x14ac:dyDescent="0.35">
      <c r="B507" s="4" t="str">
        <f>+IF('Data Pura Costos'!B507="","",'Data Pura Costos'!B507)</f>
        <v>Chumpirro</v>
      </c>
      <c r="C507" s="4" t="str">
        <f>+IF('Data Pura Costos'!C507="","",'Data Pura Costos'!C507)</f>
        <v>Angol, IX región</v>
      </c>
      <c r="D507" s="5">
        <f>+IF('Data Pura Costos'!D507="","",'Data Pura Costos'!D507)</f>
        <v>358</v>
      </c>
      <c r="E507" s="65">
        <f>+IF('Data Pura Costos'!E507="","",IF('Data Pura Costos'!E507=0,MAX('Data Pura Costos'!$E$7:$E$3000)*1000,'Data Pura Costos'!E507))</f>
        <v>950000</v>
      </c>
      <c r="F507" s="5" t="str">
        <f>+IF('Data Pura Costos'!F507="","",'Data Pura Costos'!F507)</f>
        <v>Molina</v>
      </c>
      <c r="G507" s="5" t="str">
        <f>+IF('Data Pura Costos'!G507="","",'Data Pura Costos'!G507)</f>
        <v>PARRAO</v>
      </c>
      <c r="H507" s="52" t="str">
        <f>+IF('Data Pura Costos'!H507="","",'Data Pura Costos'!H507)</f>
        <v>Termo</v>
      </c>
      <c r="I507" s="71">
        <f>+IF('Data Pura Costos'!I507="","",'Data Pura Costos'!I507)</f>
        <v>2653.6312849162009</v>
      </c>
      <c r="J507" s="52" t="str">
        <f>+IF('Data Pura Costos'!J507="","",'Data Pura Costos'!J507)</f>
        <v>24-25</v>
      </c>
      <c r="K507" s="82" t="str">
        <f t="shared" si="12"/>
        <v>Chumpirro-Molina-PARRAO</v>
      </c>
      <c r="R507" s="6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</row>
    <row r="508" spans="2:39" s="7" customFormat="1" x14ac:dyDescent="0.35">
      <c r="B508" s="4" t="str">
        <f>+IF('Data Pura Costos'!B508="","",'Data Pura Costos'!B508)</f>
        <v xml:space="preserve"> Cocalán</v>
      </c>
      <c r="C508" s="4" t="str">
        <f>+IF('Data Pura Costos'!C508="","",'Data Pura Costos'!C508)</f>
        <v>Cocalán, VI región</v>
      </c>
      <c r="D508" s="5">
        <f>+IF('Data Pura Costos'!D508="","",'Data Pura Costos'!D508)</f>
        <v>141</v>
      </c>
      <c r="E508" s="65">
        <f>+IF('Data Pura Costos'!E508="","",IF('Data Pura Costos'!E508=0,MAX('Data Pura Costos'!$E$7:$E$3000)*1000,'Data Pura Costos'!E508))</f>
        <v>420000</v>
      </c>
      <c r="F508" s="5" t="str">
        <f>+IF('Data Pura Costos'!F508="","",'Data Pura Costos'!F508)</f>
        <v>Molina</v>
      </c>
      <c r="G508" s="5" t="str">
        <f>+IF('Data Pura Costos'!G508="","",'Data Pura Costos'!G508)</f>
        <v>PARRAO</v>
      </c>
      <c r="H508" s="52" t="str">
        <f>+IF('Data Pura Costos'!H508="","",'Data Pura Costos'!H508)</f>
        <v>Termo</v>
      </c>
      <c r="I508" s="71">
        <f>+IF('Data Pura Costos'!I508="","",'Data Pura Costos'!I508)</f>
        <v>2978.7234042553191</v>
      </c>
      <c r="J508" s="52" t="str">
        <f>+IF('Data Pura Costos'!J508="","",'Data Pura Costos'!J508)</f>
        <v>24-25</v>
      </c>
      <c r="K508" s="82" t="str">
        <f t="shared" si="12"/>
        <v xml:space="preserve"> Cocalán-Molina-PARRAO</v>
      </c>
      <c r="R508" s="6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</row>
    <row r="509" spans="2:39" s="7" customFormat="1" x14ac:dyDescent="0.35">
      <c r="B509" s="4" t="str">
        <f>+IF('Data Pura Costos'!B509="","",'Data Pura Costos'!B509)</f>
        <v>El Cóndor</v>
      </c>
      <c r="C509" s="4" t="str">
        <f>+IF('Data Pura Costos'!C509="","",'Data Pura Costos'!C509)</f>
        <v>Chimbarongo, VI Region.</v>
      </c>
      <c r="D509" s="5">
        <f>+IF('Data Pura Costos'!D509="","",'Data Pura Costos'!D509)</f>
        <v>60</v>
      </c>
      <c r="E509" s="65">
        <f>+IF('Data Pura Costos'!E509="","",IF('Data Pura Costos'!E509=0,MAX('Data Pura Costos'!$E$7:$E$3000)*1000,'Data Pura Costos'!E509))</f>
        <v>300000</v>
      </c>
      <c r="F509" s="5" t="str">
        <f>+IF('Data Pura Costos'!F509="","",'Data Pura Costos'!F509)</f>
        <v>Molina</v>
      </c>
      <c r="G509" s="5" t="str">
        <f>+IF('Data Pura Costos'!G509="","",'Data Pura Costos'!G509)</f>
        <v>PARRAO</v>
      </c>
      <c r="H509" s="52" t="str">
        <f>+IF('Data Pura Costos'!H509="","",'Data Pura Costos'!H509)</f>
        <v>Termo</v>
      </c>
      <c r="I509" s="71">
        <f>+IF('Data Pura Costos'!I509="","",'Data Pura Costos'!I509)</f>
        <v>5000</v>
      </c>
      <c r="J509" s="52" t="str">
        <f>+IF('Data Pura Costos'!J509="","",'Data Pura Costos'!J509)</f>
        <v>24-25</v>
      </c>
      <c r="K509" s="82" t="str">
        <f t="shared" si="12"/>
        <v>El Cóndor-Molina-PARRAO</v>
      </c>
      <c r="R509" s="6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</row>
    <row r="510" spans="2:39" s="7" customFormat="1" x14ac:dyDescent="0.35">
      <c r="B510" s="4" t="str">
        <f>+IF('Data Pura Costos'!B510="","",'Data Pura Costos'!B510)</f>
        <v>El Descanso</v>
      </c>
      <c r="C510" s="4" t="str">
        <f>+IF('Data Pura Costos'!C510="","",'Data Pura Costos'!C510)</f>
        <v>Sagrada Familia, VII región</v>
      </c>
      <c r="D510" s="5">
        <f>+IF('Data Pura Costos'!D510="","",'Data Pura Costos'!D510)</f>
        <v>22</v>
      </c>
      <c r="E510" s="65">
        <f>+IF('Data Pura Costos'!E510="","",IF('Data Pura Costos'!E510=0,MAX('Data Pura Costos'!$E$7:$E$3000)*1000,'Data Pura Costos'!E510))</f>
        <v>220000</v>
      </c>
      <c r="F510" s="5" t="str">
        <f>+IF('Data Pura Costos'!F510="","",'Data Pura Costos'!F510)</f>
        <v>Molina</v>
      </c>
      <c r="G510" s="5" t="str">
        <f>+IF('Data Pura Costos'!G510="","",'Data Pura Costos'!G510)</f>
        <v>PARRAO</v>
      </c>
      <c r="H510" s="52" t="str">
        <f>+IF('Data Pura Costos'!H510="","",'Data Pura Costos'!H510)</f>
        <v>Termo</v>
      </c>
      <c r="I510" s="71">
        <f>+IF('Data Pura Costos'!I510="","",'Data Pura Costos'!I510)</f>
        <v>10000</v>
      </c>
      <c r="J510" s="52" t="str">
        <f>+IF('Data Pura Costos'!J510="","",'Data Pura Costos'!J510)</f>
        <v>24-25</v>
      </c>
      <c r="K510" s="82" t="str">
        <f t="shared" si="12"/>
        <v>El Descanso-Molina-PARRAO</v>
      </c>
      <c r="R510" s="6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</row>
    <row r="511" spans="2:39" s="7" customFormat="1" x14ac:dyDescent="0.35">
      <c r="B511" s="4" t="str">
        <f>+IF('Data Pura Costos'!B511="","",'Data Pura Costos'!B511)</f>
        <v>El Espino</v>
      </c>
      <c r="C511" s="4" t="str">
        <f>+IF('Data Pura Costos'!C511="","",'Data Pura Costos'!C511)</f>
        <v>Colbún, VII región</v>
      </c>
      <c r="D511" s="5">
        <f>+IF('Data Pura Costos'!D511="","",'Data Pura Costos'!D511)</f>
        <v>100</v>
      </c>
      <c r="E511" s="65">
        <f>+IF('Data Pura Costos'!E511="","",IF('Data Pura Costos'!E511=0,MAX('Data Pura Costos'!$E$7:$E$3000)*1000,'Data Pura Costos'!E511))</f>
        <v>380000</v>
      </c>
      <c r="F511" s="5" t="str">
        <f>+IF('Data Pura Costos'!F511="","",'Data Pura Costos'!F511)</f>
        <v>Molina</v>
      </c>
      <c r="G511" s="5" t="str">
        <f>+IF('Data Pura Costos'!G511="","",'Data Pura Costos'!G511)</f>
        <v>PARRAO</v>
      </c>
      <c r="H511" s="52" t="str">
        <f>+IF('Data Pura Costos'!H511="","",'Data Pura Costos'!H511)</f>
        <v>Termo</v>
      </c>
      <c r="I511" s="71">
        <f>+IF('Data Pura Costos'!I511="","",'Data Pura Costos'!I511)</f>
        <v>3800</v>
      </c>
      <c r="J511" s="52" t="str">
        <f>+IF('Data Pura Costos'!J511="","",'Data Pura Costos'!J511)</f>
        <v>24-25</v>
      </c>
      <c r="K511" s="82" t="str">
        <f t="shared" si="12"/>
        <v>El Espino-Molina-PARRAO</v>
      </c>
      <c r="R511" s="6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</row>
    <row r="512" spans="2:39" s="7" customFormat="1" x14ac:dyDescent="0.35">
      <c r="B512" s="4" t="str">
        <f>+IF('Data Pura Costos'!B512="","",'Data Pura Costos'!B512)</f>
        <v>El Huaico</v>
      </c>
      <c r="C512" s="4" t="str">
        <f>+IF('Data Pura Costos'!C512="","",'Data Pura Costos'!C512)</f>
        <v>Palmila Ohiggins</v>
      </c>
      <c r="D512" s="5">
        <f>+IF('Data Pura Costos'!D512="","",'Data Pura Costos'!D512)</f>
        <v>85</v>
      </c>
      <c r="E512" s="65">
        <f>+IF('Data Pura Costos'!E512="","",IF('Data Pura Costos'!E512=0,MAX('Data Pura Costos'!$E$7:$E$3000)*1000,'Data Pura Costos'!E512))</f>
        <v>380000</v>
      </c>
      <c r="F512" s="5" t="str">
        <f>+IF('Data Pura Costos'!F512="","",'Data Pura Costos'!F512)</f>
        <v>Molina</v>
      </c>
      <c r="G512" s="5" t="str">
        <f>+IF('Data Pura Costos'!G512="","",'Data Pura Costos'!G512)</f>
        <v>PARRAO</v>
      </c>
      <c r="H512" s="52" t="str">
        <f>+IF('Data Pura Costos'!H512="","",'Data Pura Costos'!H512)</f>
        <v>Termo</v>
      </c>
      <c r="I512" s="71">
        <f>+IF('Data Pura Costos'!I512="","",'Data Pura Costos'!I512)</f>
        <v>4470.588235294118</v>
      </c>
      <c r="J512" s="52" t="str">
        <f>+IF('Data Pura Costos'!J512="","",'Data Pura Costos'!J512)</f>
        <v>24-25</v>
      </c>
      <c r="K512" s="82" t="str">
        <f t="shared" si="12"/>
        <v>El Huaico-Molina-PARRAO</v>
      </c>
      <c r="R512" s="6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</row>
    <row r="513" spans="2:39" s="7" customFormat="1" x14ac:dyDescent="0.35">
      <c r="B513" s="4" t="str">
        <f>+IF('Data Pura Costos'!B513="","",'Data Pura Costos'!B513)</f>
        <v>El Parque</v>
      </c>
      <c r="C513" s="4" t="str">
        <f>+IF('Data Pura Costos'!C513="","",'Data Pura Costos'!C513)</f>
        <v>San Francisco de Mostazal.VI Region.</v>
      </c>
      <c r="D513" s="5">
        <f>+IF('Data Pura Costos'!D513="","",'Data Pura Costos'!D513)</f>
        <v>144</v>
      </c>
      <c r="E513" s="65">
        <f>+IF('Data Pura Costos'!E513="","",IF('Data Pura Costos'!E513=0,MAX('Data Pura Costos'!$E$7:$E$3000)*1000,'Data Pura Costos'!E513))</f>
        <v>380000</v>
      </c>
      <c r="F513" s="5" t="str">
        <f>+IF('Data Pura Costos'!F513="","",'Data Pura Costos'!F513)</f>
        <v>Molina</v>
      </c>
      <c r="G513" s="5" t="str">
        <f>+IF('Data Pura Costos'!G513="","",'Data Pura Costos'!G513)</f>
        <v>PARRAO</v>
      </c>
      <c r="H513" s="52" t="str">
        <f>+IF('Data Pura Costos'!H513="","",'Data Pura Costos'!H513)</f>
        <v>Termo</v>
      </c>
      <c r="I513" s="71">
        <f>+IF('Data Pura Costos'!I513="","",'Data Pura Costos'!I513)</f>
        <v>2638.8888888888887</v>
      </c>
      <c r="J513" s="52" t="str">
        <f>+IF('Data Pura Costos'!J513="","",'Data Pura Costos'!J513)</f>
        <v>24-25</v>
      </c>
      <c r="K513" s="82" t="str">
        <f t="shared" si="12"/>
        <v>El Parque-Molina-PARRAO</v>
      </c>
      <c r="R513" s="6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</row>
    <row r="514" spans="2:39" s="7" customFormat="1" x14ac:dyDescent="0.35">
      <c r="B514" s="4" t="str">
        <f>+IF('Data Pura Costos'!B514="","",'Data Pura Costos'!B514)</f>
        <v>El Picaso</v>
      </c>
      <c r="C514" s="4" t="str">
        <f>+IF('Data Pura Costos'!C514="","",'Data Pura Costos'!C514)</f>
        <v xml:space="preserve">San Clemente, VII región </v>
      </c>
      <c r="D514" s="5">
        <f>+IF('Data Pura Costos'!D514="","",'Data Pura Costos'!D514)</f>
        <v>60</v>
      </c>
      <c r="E514" s="65">
        <f>+IF('Data Pura Costos'!E514="","",IF('Data Pura Costos'!E514=0,MAX('Data Pura Costos'!$E$7:$E$3000)*1000,'Data Pura Costos'!E514))</f>
        <v>350000</v>
      </c>
      <c r="F514" s="5" t="str">
        <f>+IF('Data Pura Costos'!F514="","",'Data Pura Costos'!F514)</f>
        <v>Molina</v>
      </c>
      <c r="G514" s="5" t="str">
        <f>+IF('Data Pura Costos'!G514="","",'Data Pura Costos'!G514)</f>
        <v>PARRAO</v>
      </c>
      <c r="H514" s="52" t="str">
        <f>+IF('Data Pura Costos'!H514="","",'Data Pura Costos'!H514)</f>
        <v>Termo</v>
      </c>
      <c r="I514" s="71">
        <f>+IF('Data Pura Costos'!I514="","",'Data Pura Costos'!I514)</f>
        <v>5833.333333333333</v>
      </c>
      <c r="J514" s="52" t="str">
        <f>+IF('Data Pura Costos'!J514="","",'Data Pura Costos'!J514)</f>
        <v>24-25</v>
      </c>
      <c r="K514" s="82" t="str">
        <f t="shared" si="12"/>
        <v>El Picaso-Molina-PARRAO</v>
      </c>
      <c r="R514" s="6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</row>
    <row r="515" spans="2:39" s="7" customFormat="1" x14ac:dyDescent="0.35">
      <c r="B515" s="4" t="str">
        <f>+IF('Data Pura Costos'!B515="","",'Data Pura Costos'!B515)</f>
        <v>El Recurso</v>
      </c>
      <c r="C515" s="4" t="str">
        <f>+IF('Data Pura Costos'!C515="","",'Data Pura Costos'!C515)</f>
        <v>San Francisco de Mostazal.VI Region.</v>
      </c>
      <c r="D515" s="5">
        <f>+IF('Data Pura Costos'!D515="","",'Data Pura Costos'!D515)</f>
        <v>144</v>
      </c>
      <c r="E515" s="65">
        <f>+IF('Data Pura Costos'!E515="","",IF('Data Pura Costos'!E515=0,MAX('Data Pura Costos'!$E$7:$E$3000)*1000,'Data Pura Costos'!E515))</f>
        <v>380000</v>
      </c>
      <c r="F515" s="5" t="str">
        <f>+IF('Data Pura Costos'!F515="","",'Data Pura Costos'!F515)</f>
        <v>Molina</v>
      </c>
      <c r="G515" s="5" t="str">
        <f>+IF('Data Pura Costos'!G515="","",'Data Pura Costos'!G515)</f>
        <v>PARRAO</v>
      </c>
      <c r="H515" s="52" t="str">
        <f>+IF('Data Pura Costos'!H515="","",'Data Pura Costos'!H515)</f>
        <v>Termo</v>
      </c>
      <c r="I515" s="71">
        <f>+IF('Data Pura Costos'!I515="","",'Data Pura Costos'!I515)</f>
        <v>2638.8888888888887</v>
      </c>
      <c r="J515" s="52" t="str">
        <f>+IF('Data Pura Costos'!J515="","",'Data Pura Costos'!J515)</f>
        <v>24-25</v>
      </c>
      <c r="K515" s="82" t="str">
        <f t="shared" si="12"/>
        <v>El Recurso-Molina-PARRAO</v>
      </c>
      <c r="R515" s="6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</row>
    <row r="516" spans="2:39" s="7" customFormat="1" x14ac:dyDescent="0.35">
      <c r="B516" s="4" t="str">
        <f>+IF('Data Pura Costos'!B516="","",'Data Pura Costos'!B516)</f>
        <v>El Rosario</v>
      </c>
      <c r="C516" s="4" t="str">
        <f>+IF('Data Pura Costos'!C516="","",'Data Pura Costos'!C516)</f>
        <v>Linares, VII region.</v>
      </c>
      <c r="D516" s="5">
        <f>+IF('Data Pura Costos'!D516="","",'Data Pura Costos'!D516)</f>
        <v>120</v>
      </c>
      <c r="E516" s="65">
        <f>+IF('Data Pura Costos'!E516="","",IF('Data Pura Costos'!E516=0,MAX('Data Pura Costos'!$E$7:$E$3000)*1000,'Data Pura Costos'!E516))</f>
        <v>480000</v>
      </c>
      <c r="F516" s="5" t="str">
        <f>+IF('Data Pura Costos'!F516="","",'Data Pura Costos'!F516)</f>
        <v>Molina</v>
      </c>
      <c r="G516" s="5" t="str">
        <f>+IF('Data Pura Costos'!G516="","",'Data Pura Costos'!G516)</f>
        <v>PARRAO</v>
      </c>
      <c r="H516" s="52" t="str">
        <f>+IF('Data Pura Costos'!H516="","",'Data Pura Costos'!H516)</f>
        <v>Termo</v>
      </c>
      <c r="I516" s="71">
        <f>+IF('Data Pura Costos'!I516="","",'Data Pura Costos'!I516)</f>
        <v>4000</v>
      </c>
      <c r="J516" s="52" t="str">
        <f>+IF('Data Pura Costos'!J516="","",'Data Pura Costos'!J516)</f>
        <v>24-25</v>
      </c>
      <c r="K516" s="82" t="str">
        <f t="shared" si="12"/>
        <v>El Rosario-Molina-PARRAO</v>
      </c>
      <c r="R516" s="6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</row>
    <row r="517" spans="2:39" s="7" customFormat="1" x14ac:dyDescent="0.35">
      <c r="B517" s="4" t="str">
        <f>+IF('Data Pura Costos'!B517="","",'Data Pura Costos'!B517)</f>
        <v>El Retiro</v>
      </c>
      <c r="C517" s="4" t="str">
        <f>+IF('Data Pura Costos'!C517="","",'Data Pura Costos'!C517)</f>
        <v>Rosario, VI Region.</v>
      </c>
      <c r="D517" s="5">
        <f>+IF('Data Pura Costos'!D517="","",'Data Pura Costos'!D517)</f>
        <v>100</v>
      </c>
      <c r="E517" s="65">
        <f>+IF('Data Pura Costos'!E517="","",IF('Data Pura Costos'!E517=0,MAX('Data Pura Costos'!$E$7:$E$3000)*1000,'Data Pura Costos'!E517))</f>
        <v>320000</v>
      </c>
      <c r="F517" s="5" t="str">
        <f>+IF('Data Pura Costos'!F517="","",'Data Pura Costos'!F517)</f>
        <v>Molina</v>
      </c>
      <c r="G517" s="5" t="str">
        <f>+IF('Data Pura Costos'!G517="","",'Data Pura Costos'!G517)</f>
        <v>PARRAO</v>
      </c>
      <c r="H517" s="52" t="str">
        <f>+IF('Data Pura Costos'!H517="","",'Data Pura Costos'!H517)</f>
        <v>Termo</v>
      </c>
      <c r="I517" s="71">
        <f>+IF('Data Pura Costos'!I517="","",'Data Pura Costos'!I517)</f>
        <v>3200</v>
      </c>
      <c r="J517" s="52" t="str">
        <f>+IF('Data Pura Costos'!J517="","",'Data Pura Costos'!J517)</f>
        <v>24-25</v>
      </c>
      <c r="K517" s="82" t="str">
        <f t="shared" si="12"/>
        <v>El Retiro-Molina-PARRAO</v>
      </c>
      <c r="R517" s="6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</row>
    <row r="518" spans="2:39" s="7" customFormat="1" x14ac:dyDescent="0.35">
      <c r="B518" s="4" t="str">
        <f>+IF('Data Pura Costos'!B518="","",'Data Pura Costos'!B518)</f>
        <v>La Esperanza</v>
      </c>
      <c r="C518" s="4" t="str">
        <f>+IF('Data Pura Costos'!C518="","",'Data Pura Costos'!C518)</f>
        <v>Peumo, VI región</v>
      </c>
      <c r="D518" s="5">
        <f>+IF('Data Pura Costos'!D518="","",'Data Pura Costos'!D518)</f>
        <v>125</v>
      </c>
      <c r="E518" s="65">
        <f>+IF('Data Pura Costos'!E518="","",IF('Data Pura Costos'!E518=0,MAX('Data Pura Costos'!$E$7:$E$3000)*1000,'Data Pura Costos'!E518))</f>
        <v>400000</v>
      </c>
      <c r="F518" s="5" t="str">
        <f>+IF('Data Pura Costos'!F518="","",'Data Pura Costos'!F518)</f>
        <v>Molina</v>
      </c>
      <c r="G518" s="5" t="str">
        <f>+IF('Data Pura Costos'!G518="","",'Data Pura Costos'!G518)</f>
        <v>PARRAO</v>
      </c>
      <c r="H518" s="52" t="str">
        <f>+IF('Data Pura Costos'!H518="","",'Data Pura Costos'!H518)</f>
        <v>Termo</v>
      </c>
      <c r="I518" s="71">
        <f>+IF('Data Pura Costos'!I518="","",'Data Pura Costos'!I518)</f>
        <v>3200</v>
      </c>
      <c r="J518" s="52" t="str">
        <f>+IF('Data Pura Costos'!J518="","",'Data Pura Costos'!J518)</f>
        <v>24-25</v>
      </c>
      <c r="K518" s="82" t="str">
        <f t="shared" si="12"/>
        <v>La Esperanza-Molina-PARRAO</v>
      </c>
      <c r="R518" s="6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</row>
    <row r="519" spans="2:39" s="7" customFormat="1" x14ac:dyDescent="0.35">
      <c r="B519" s="4" t="str">
        <f>+IF('Data Pura Costos'!B519="","",'Data Pura Costos'!B519)</f>
        <v>La Estación</v>
      </c>
      <c r="C519" s="4" t="str">
        <f>+IF('Data Pura Costos'!C519="","",'Data Pura Costos'!C519)</f>
        <v>Palmilla, VI región</v>
      </c>
      <c r="D519" s="5">
        <f>+IF('Data Pura Costos'!D519="","",'Data Pura Costos'!D519)</f>
        <v>90</v>
      </c>
      <c r="E519" s="65">
        <f>+IF('Data Pura Costos'!E519="","",IF('Data Pura Costos'!E519=0,MAX('Data Pura Costos'!$E$7:$E$3000)*1000,'Data Pura Costos'!E519))</f>
        <v>400000</v>
      </c>
      <c r="F519" s="5" t="str">
        <f>+IF('Data Pura Costos'!F519="","",'Data Pura Costos'!F519)</f>
        <v>Molina</v>
      </c>
      <c r="G519" s="5" t="str">
        <f>+IF('Data Pura Costos'!G519="","",'Data Pura Costos'!G519)</f>
        <v>PARRAO</v>
      </c>
      <c r="H519" s="52" t="str">
        <f>+IF('Data Pura Costos'!H519="","",'Data Pura Costos'!H519)</f>
        <v>Termo</v>
      </c>
      <c r="I519" s="71">
        <f>+IF('Data Pura Costos'!I519="","",'Data Pura Costos'!I519)</f>
        <v>4444.4444444444443</v>
      </c>
      <c r="J519" s="52" t="str">
        <f>+IF('Data Pura Costos'!J519="","",'Data Pura Costos'!J519)</f>
        <v>24-25</v>
      </c>
      <c r="K519" s="82" t="str">
        <f t="shared" si="12"/>
        <v>La Estación-Molina-PARRAO</v>
      </c>
      <c r="R519" s="6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</row>
    <row r="520" spans="2:39" s="7" customFormat="1" x14ac:dyDescent="0.35">
      <c r="B520" s="4" t="str">
        <f>+IF('Data Pura Costos'!B520="","",'Data Pura Costos'!B520)</f>
        <v>La Lajuela</v>
      </c>
      <c r="C520" s="4" t="str">
        <f>+IF('Data Pura Costos'!C520="","",'Data Pura Costos'!C520)</f>
        <v>Santa Cruz, VI Región</v>
      </c>
      <c r="D520" s="5">
        <f>+IF('Data Pura Costos'!D520="","",'Data Pura Costos'!D520)</f>
        <v>80</v>
      </c>
      <c r="E520" s="65">
        <f>+IF('Data Pura Costos'!E520="","",IF('Data Pura Costos'!E520=0,MAX('Data Pura Costos'!$E$7:$E$3000)*1000,'Data Pura Costos'!E520))</f>
        <v>420000</v>
      </c>
      <c r="F520" s="5" t="str">
        <f>+IF('Data Pura Costos'!F520="","",'Data Pura Costos'!F520)</f>
        <v>Molina</v>
      </c>
      <c r="G520" s="5" t="str">
        <f>+IF('Data Pura Costos'!G520="","",'Data Pura Costos'!G520)</f>
        <v>PARRAO</v>
      </c>
      <c r="H520" s="52" t="str">
        <f>+IF('Data Pura Costos'!H520="","",'Data Pura Costos'!H520)</f>
        <v>Termo</v>
      </c>
      <c r="I520" s="71">
        <f>+IF('Data Pura Costos'!I520="","",'Data Pura Costos'!I520)</f>
        <v>5250</v>
      </c>
      <c r="J520" s="52" t="str">
        <f>+IF('Data Pura Costos'!J520="","",'Data Pura Costos'!J520)</f>
        <v>24-25</v>
      </c>
      <c r="K520" s="82" t="str">
        <f t="shared" ref="K520:K583" si="13">+IF(B520="","",CONCATENATE(B520,"-",F520,"-",G520))</f>
        <v>La Lajuela-Molina-PARRAO</v>
      </c>
      <c r="R520" s="6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</row>
    <row r="521" spans="2:39" s="7" customFormat="1" x14ac:dyDescent="0.35">
      <c r="B521" s="4" t="str">
        <f>+IF('Data Pura Costos'!B521="","",'Data Pura Costos'!B521)</f>
        <v>La Morera</v>
      </c>
      <c r="C521" s="4" t="str">
        <f>+IF('Data Pura Costos'!C521="","",'Data Pura Costos'!C521)</f>
        <v>La compañia, VI Region.</v>
      </c>
      <c r="D521" s="5">
        <f>+IF('Data Pura Costos'!D521="","",'Data Pura Costos'!D521)</f>
        <v>130</v>
      </c>
      <c r="E521" s="65">
        <f>+IF('Data Pura Costos'!E521="","",IF('Data Pura Costos'!E521=0,MAX('Data Pura Costos'!$E$7:$E$3000)*1000,'Data Pura Costos'!E521))</f>
        <v>380000</v>
      </c>
      <c r="F521" s="5" t="str">
        <f>+IF('Data Pura Costos'!F521="","",'Data Pura Costos'!F521)</f>
        <v>Molina</v>
      </c>
      <c r="G521" s="5" t="str">
        <f>+IF('Data Pura Costos'!G521="","",'Data Pura Costos'!G521)</f>
        <v>PARRAO</v>
      </c>
      <c r="H521" s="52" t="str">
        <f>+IF('Data Pura Costos'!H521="","",'Data Pura Costos'!H521)</f>
        <v>Termo</v>
      </c>
      <c r="I521" s="71">
        <f>+IF('Data Pura Costos'!I521="","",'Data Pura Costos'!I521)</f>
        <v>2923.0769230769229</v>
      </c>
      <c r="J521" s="52" t="str">
        <f>+IF('Data Pura Costos'!J521="","",'Data Pura Costos'!J521)</f>
        <v>24-25</v>
      </c>
      <c r="K521" s="82" t="str">
        <f t="shared" si="13"/>
        <v>La Morera-Molina-PARRAO</v>
      </c>
      <c r="R521" s="6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</row>
    <row r="522" spans="2:39" s="7" customFormat="1" x14ac:dyDescent="0.35">
      <c r="B522" s="4" t="str">
        <f>+IF('Data Pura Costos'!B522="","",'Data Pura Costos'!B522)</f>
        <v>La Rinconada</v>
      </c>
      <c r="C522" s="4" t="str">
        <f>+IF('Data Pura Costos'!C522="","",'Data Pura Costos'!C522)</f>
        <v>Pichidegua, VI región</v>
      </c>
      <c r="D522" s="5">
        <f>+IF('Data Pura Costos'!D522="","",'Data Pura Costos'!D522)</f>
        <v>133</v>
      </c>
      <c r="E522" s="65">
        <f>+IF('Data Pura Costos'!E522="","",IF('Data Pura Costos'!E522=0,MAX('Data Pura Costos'!$E$7:$E$3000)*1000,'Data Pura Costos'!E522))</f>
        <v>420000</v>
      </c>
      <c r="F522" s="5" t="str">
        <f>+IF('Data Pura Costos'!F522="","",'Data Pura Costos'!F522)</f>
        <v>Molina</v>
      </c>
      <c r="G522" s="5" t="str">
        <f>+IF('Data Pura Costos'!G522="","",'Data Pura Costos'!G522)</f>
        <v>PARRAO</v>
      </c>
      <c r="H522" s="52" t="str">
        <f>+IF('Data Pura Costos'!H522="","",'Data Pura Costos'!H522)</f>
        <v>Termo</v>
      </c>
      <c r="I522" s="71">
        <f>+IF('Data Pura Costos'!I522="","",'Data Pura Costos'!I522)</f>
        <v>3157.8947368421054</v>
      </c>
      <c r="J522" s="52" t="str">
        <f>+IF('Data Pura Costos'!J522="","",'Data Pura Costos'!J522)</f>
        <v>24-25</v>
      </c>
      <c r="K522" s="82" t="str">
        <f t="shared" si="13"/>
        <v>La Rinconada-Molina-PARRAO</v>
      </c>
      <c r="R522" s="6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</row>
    <row r="523" spans="2:39" s="7" customFormat="1" x14ac:dyDescent="0.35">
      <c r="B523" s="4" t="str">
        <f>+IF('Data Pura Costos'!B523="","",'Data Pura Costos'!B523)</f>
        <v xml:space="preserve">La Roblería </v>
      </c>
      <c r="C523" s="4" t="str">
        <f>+IF('Data Pura Costos'!C523="","",'Data Pura Costos'!C523)</f>
        <v>Aculeo, RM</v>
      </c>
      <c r="D523" s="5">
        <f>+IF('Data Pura Costos'!D523="","",'Data Pura Costos'!D523)</f>
        <v>180</v>
      </c>
      <c r="E523" s="65">
        <f>+IF('Data Pura Costos'!E523="","",IF('Data Pura Costos'!E523=0,MAX('Data Pura Costos'!$E$7:$E$3000)*1000,'Data Pura Costos'!E523))</f>
        <v>450000</v>
      </c>
      <c r="F523" s="5" t="str">
        <f>+IF('Data Pura Costos'!F523="","",'Data Pura Costos'!F523)</f>
        <v>Molina</v>
      </c>
      <c r="G523" s="5" t="str">
        <f>+IF('Data Pura Costos'!G523="","",'Data Pura Costos'!G523)</f>
        <v>PARRAO</v>
      </c>
      <c r="H523" s="52" t="str">
        <f>+IF('Data Pura Costos'!H523="","",'Data Pura Costos'!H523)</f>
        <v>Termo</v>
      </c>
      <c r="I523" s="71">
        <f>+IF('Data Pura Costos'!I523="","",'Data Pura Costos'!I523)</f>
        <v>2500</v>
      </c>
      <c r="J523" s="52" t="str">
        <f>+IF('Data Pura Costos'!J523="","",'Data Pura Costos'!J523)</f>
        <v>24-25</v>
      </c>
      <c r="K523" s="82" t="str">
        <f t="shared" si="13"/>
        <v>La Roblería -Molina-PARRAO</v>
      </c>
      <c r="R523" s="6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</row>
    <row r="524" spans="2:39" s="7" customFormat="1" x14ac:dyDescent="0.35">
      <c r="B524" s="4" t="str">
        <f>+IF('Data Pura Costos'!B524="","",'Data Pura Costos'!B524)</f>
        <v>Las Cabras</v>
      </c>
      <c r="C524" s="4" t="str">
        <f>+IF('Data Pura Costos'!C524="","",'Data Pura Costos'!C524)</f>
        <v>Las Cabras, VI región</v>
      </c>
      <c r="D524" s="5">
        <f>+IF('Data Pura Costos'!D524="","",'Data Pura Costos'!D524)</f>
        <v>140</v>
      </c>
      <c r="E524" s="65">
        <f>+IF('Data Pura Costos'!E524="","",IF('Data Pura Costos'!E524=0,MAX('Data Pura Costos'!$E$7:$E$3000)*1000,'Data Pura Costos'!E524))</f>
        <v>420000</v>
      </c>
      <c r="F524" s="5" t="str">
        <f>+IF('Data Pura Costos'!F524="","",'Data Pura Costos'!F524)</f>
        <v>Molina</v>
      </c>
      <c r="G524" s="5" t="str">
        <f>+IF('Data Pura Costos'!G524="","",'Data Pura Costos'!G524)</f>
        <v>PARRAO</v>
      </c>
      <c r="H524" s="52" t="str">
        <f>+IF('Data Pura Costos'!H524="","",'Data Pura Costos'!H524)</f>
        <v>Termo</v>
      </c>
      <c r="I524" s="71">
        <f>+IF('Data Pura Costos'!I524="","",'Data Pura Costos'!I524)</f>
        <v>3000</v>
      </c>
      <c r="J524" s="52" t="str">
        <f>+IF('Data Pura Costos'!J524="","",'Data Pura Costos'!J524)</f>
        <v>24-25</v>
      </c>
      <c r="K524" s="82" t="str">
        <f t="shared" si="13"/>
        <v>Las Cabras-Molina-PARRAO</v>
      </c>
      <c r="R524" s="6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</row>
    <row r="525" spans="2:39" s="7" customFormat="1" x14ac:dyDescent="0.35">
      <c r="B525" s="4" t="str">
        <f>+IF('Data Pura Costos'!B525="","",'Data Pura Costos'!B525)</f>
        <v>Las Vertientes</v>
      </c>
      <c r="C525" s="4" t="str">
        <f>+IF('Data Pura Costos'!C525="","",'Data Pura Costos'!C525)</f>
        <v>Pichidegua, VI región</v>
      </c>
      <c r="D525" s="5">
        <f>+IF('Data Pura Costos'!D525="","",'Data Pura Costos'!D525)</f>
        <v>130</v>
      </c>
      <c r="E525" s="65">
        <f>+IF('Data Pura Costos'!E525="","",IF('Data Pura Costos'!E525=0,MAX('Data Pura Costos'!$E$7:$E$3000)*1000,'Data Pura Costos'!E525))</f>
        <v>420000</v>
      </c>
      <c r="F525" s="5" t="str">
        <f>+IF('Data Pura Costos'!F525="","",'Data Pura Costos'!F525)</f>
        <v>Molina</v>
      </c>
      <c r="G525" s="5" t="str">
        <f>+IF('Data Pura Costos'!G525="","",'Data Pura Costos'!G525)</f>
        <v>PARRAO</v>
      </c>
      <c r="H525" s="52" t="str">
        <f>+IF('Data Pura Costos'!H525="","",'Data Pura Costos'!H525)</f>
        <v>Termo</v>
      </c>
      <c r="I525" s="71">
        <f>+IF('Data Pura Costos'!I525="","",'Data Pura Costos'!I525)</f>
        <v>3230.7692307692309</v>
      </c>
      <c r="J525" s="52" t="str">
        <f>+IF('Data Pura Costos'!J525="","",'Data Pura Costos'!J525)</f>
        <v>24-25</v>
      </c>
      <c r="K525" s="82" t="str">
        <f t="shared" si="13"/>
        <v>Las Vertientes-Molina-PARRAO</v>
      </c>
      <c r="R525" s="6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</row>
    <row r="526" spans="2:39" s="7" customFormat="1" x14ac:dyDescent="0.35">
      <c r="B526" s="4" t="str">
        <f>+IF('Data Pura Costos'!B526="","",'Data Pura Costos'!B526)</f>
        <v>Lihueimo</v>
      </c>
      <c r="C526" s="4" t="str">
        <f>+IF('Data Pura Costos'!C526="","",'Data Pura Costos'!C526)</f>
        <v>Peralillo ohiggins</v>
      </c>
      <c r="D526" s="5">
        <f>+IF('Data Pura Costos'!D526="","",'Data Pura Costos'!D526)</f>
        <v>90</v>
      </c>
      <c r="E526" s="65">
        <f>+IF('Data Pura Costos'!E526="","",IF('Data Pura Costos'!E526=0,MAX('Data Pura Costos'!$E$7:$E$3000)*1000,'Data Pura Costos'!E526))</f>
        <v>400000</v>
      </c>
      <c r="F526" s="5" t="str">
        <f>+IF('Data Pura Costos'!F526="","",'Data Pura Costos'!F526)</f>
        <v>Molina</v>
      </c>
      <c r="G526" s="5" t="str">
        <f>+IF('Data Pura Costos'!G526="","",'Data Pura Costos'!G526)</f>
        <v>PARRAO</v>
      </c>
      <c r="H526" s="52" t="str">
        <f>+IF('Data Pura Costos'!H526="","",'Data Pura Costos'!H526)</f>
        <v>Termo</v>
      </c>
      <c r="I526" s="71">
        <f>+IF('Data Pura Costos'!I526="","",'Data Pura Costos'!I526)</f>
        <v>4444.4444444444443</v>
      </c>
      <c r="J526" s="52" t="str">
        <f>+IF('Data Pura Costos'!J526="","",'Data Pura Costos'!J526)</f>
        <v>24-25</v>
      </c>
      <c r="K526" s="82" t="str">
        <f t="shared" si="13"/>
        <v>Lihueimo-Molina-PARRAO</v>
      </c>
      <c r="R526" s="6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</row>
    <row r="527" spans="2:39" s="7" customFormat="1" x14ac:dyDescent="0.35">
      <c r="B527" s="4" t="str">
        <f>+IF('Data Pura Costos'!B527="","",'Data Pura Costos'!B527)</f>
        <v>Los Encinos</v>
      </c>
      <c r="C527" s="4" t="str">
        <f>+IF('Data Pura Costos'!C527="","",'Data Pura Costos'!C527)</f>
        <v>Huechun, RM</v>
      </c>
      <c r="D527" s="5">
        <f>+IF('Data Pura Costos'!D527="","",'Data Pura Costos'!D527)</f>
        <v>230</v>
      </c>
      <c r="E527" s="65">
        <f>+IF('Data Pura Costos'!E527="","",IF('Data Pura Costos'!E527=0,MAX('Data Pura Costos'!$E$7:$E$3000)*1000,'Data Pura Costos'!E527))</f>
        <v>570000</v>
      </c>
      <c r="F527" s="5" t="str">
        <f>+IF('Data Pura Costos'!F527="","",'Data Pura Costos'!F527)</f>
        <v>Molina</v>
      </c>
      <c r="G527" s="5" t="str">
        <f>+IF('Data Pura Costos'!G527="","",'Data Pura Costos'!G527)</f>
        <v>PARRAO</v>
      </c>
      <c r="H527" s="52" t="str">
        <f>+IF('Data Pura Costos'!H527="","",'Data Pura Costos'!H527)</f>
        <v>Termo</v>
      </c>
      <c r="I527" s="71">
        <f>+IF('Data Pura Costos'!I527="","",'Data Pura Costos'!I527)</f>
        <v>2478.2608695652175</v>
      </c>
      <c r="J527" s="52" t="str">
        <f>+IF('Data Pura Costos'!J527="","",'Data Pura Costos'!J527)</f>
        <v>24-25</v>
      </c>
      <c r="K527" s="82" t="str">
        <f t="shared" si="13"/>
        <v>Los Encinos-Molina-PARRAO</v>
      </c>
      <c r="R527" s="6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</row>
    <row r="528" spans="2:39" s="7" customFormat="1" x14ac:dyDescent="0.35">
      <c r="B528" s="4" t="str">
        <f>+IF('Data Pura Costos'!B528="","",'Data Pura Costos'!B528)</f>
        <v>Los Maitenes</v>
      </c>
      <c r="C528" s="4" t="str">
        <f>+IF('Data Pura Costos'!C528="","",'Data Pura Costos'!C528)</f>
        <v>Las Cabras, VI región</v>
      </c>
      <c r="D528" s="5">
        <f>+IF('Data Pura Costos'!D528="","",'Data Pura Costos'!D528)</f>
        <v>144</v>
      </c>
      <c r="E528" s="65">
        <f>+IF('Data Pura Costos'!E528="","",IF('Data Pura Costos'!E528=0,MAX('Data Pura Costos'!$E$7:$E$3000)*1000,'Data Pura Costos'!E528))</f>
        <v>420000</v>
      </c>
      <c r="F528" s="5" t="str">
        <f>+IF('Data Pura Costos'!F528="","",'Data Pura Costos'!F528)</f>
        <v>Molina</v>
      </c>
      <c r="G528" s="5" t="str">
        <f>+IF('Data Pura Costos'!G528="","",'Data Pura Costos'!G528)</f>
        <v>PARRAO</v>
      </c>
      <c r="H528" s="52" t="str">
        <f>+IF('Data Pura Costos'!H528="","",'Data Pura Costos'!H528)</f>
        <v>Termo</v>
      </c>
      <c r="I528" s="71">
        <f>+IF('Data Pura Costos'!I528="","",'Data Pura Costos'!I528)</f>
        <v>2916.6666666666665</v>
      </c>
      <c r="J528" s="52" t="str">
        <f>+IF('Data Pura Costos'!J528="","",'Data Pura Costos'!J528)</f>
        <v>24-25</v>
      </c>
      <c r="K528" s="82" t="str">
        <f t="shared" si="13"/>
        <v>Los Maitenes-Molina-PARRAO</v>
      </c>
      <c r="R528" s="6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</row>
    <row r="529" spans="2:39" s="7" customFormat="1" x14ac:dyDescent="0.35">
      <c r="B529" s="4" t="str">
        <f>+IF('Data Pura Costos'!B529="","",'Data Pura Costos'!B529)</f>
        <v>Los Toldos</v>
      </c>
      <c r="C529" s="4" t="str">
        <f>+IF('Data Pura Costos'!C529="","",'Data Pura Costos'!C529)</f>
        <v>Angol, IX región</v>
      </c>
      <c r="D529" s="5">
        <f>+IF('Data Pura Costos'!D529="","",'Data Pura Costos'!D529)</f>
        <v>408</v>
      </c>
      <c r="E529" s="65">
        <f>+IF('Data Pura Costos'!E529="","",IF('Data Pura Costos'!E529=0,MAX('Data Pura Costos'!$E$7:$E$3000)*1000,'Data Pura Costos'!E529))</f>
        <v>950000</v>
      </c>
      <c r="F529" s="5" t="str">
        <f>+IF('Data Pura Costos'!F529="","",'Data Pura Costos'!F529)</f>
        <v>Molina</v>
      </c>
      <c r="G529" s="5" t="str">
        <f>+IF('Data Pura Costos'!G529="","",'Data Pura Costos'!G529)</f>
        <v>PARRAO</v>
      </c>
      <c r="H529" s="52" t="str">
        <f>+IF('Data Pura Costos'!H529="","",'Data Pura Costos'!H529)</f>
        <v>Termo</v>
      </c>
      <c r="I529" s="71">
        <f>+IF('Data Pura Costos'!I529="","",'Data Pura Costos'!I529)</f>
        <v>2328.4313725490197</v>
      </c>
      <c r="J529" s="52" t="str">
        <f>+IF('Data Pura Costos'!J529="","",'Data Pura Costos'!J529)</f>
        <v>24-25</v>
      </c>
      <c r="K529" s="82" t="str">
        <f t="shared" si="13"/>
        <v>Los Toldos-Molina-PARRAO</v>
      </c>
      <c r="R529" s="6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</row>
    <row r="530" spans="2:39" s="7" customFormat="1" x14ac:dyDescent="0.35">
      <c r="B530" s="4" t="str">
        <f>+IF('Data Pura Costos'!B530="","",'Data Pura Costos'!B530)</f>
        <v>Panquehue</v>
      </c>
      <c r="C530" s="4" t="str">
        <f>+IF('Data Pura Costos'!C530="","",'Data Pura Costos'!C530)</f>
        <v>Panquehue, V región</v>
      </c>
      <c r="D530" s="5">
        <f>+IF('Data Pura Costos'!D530="","",'Data Pura Costos'!D530)</f>
        <v>310</v>
      </c>
      <c r="E530" s="65">
        <f>+IF('Data Pura Costos'!E530="","",IF('Data Pura Costos'!E530=0,MAX('Data Pura Costos'!$E$7:$E$3000)*1000,'Data Pura Costos'!E530))</f>
        <v>720000</v>
      </c>
      <c r="F530" s="5" t="str">
        <f>+IF('Data Pura Costos'!F530="","",'Data Pura Costos'!F530)</f>
        <v>Molina</v>
      </c>
      <c r="G530" s="5" t="str">
        <f>+IF('Data Pura Costos'!G530="","",'Data Pura Costos'!G530)</f>
        <v>PARRAO</v>
      </c>
      <c r="H530" s="52" t="str">
        <f>+IF('Data Pura Costos'!H530="","",'Data Pura Costos'!H530)</f>
        <v>Termo</v>
      </c>
      <c r="I530" s="71">
        <f>+IF('Data Pura Costos'!I530="","",'Data Pura Costos'!I530)</f>
        <v>2322.5806451612902</v>
      </c>
      <c r="J530" s="52" t="str">
        <f>+IF('Data Pura Costos'!J530="","",'Data Pura Costos'!J530)</f>
        <v>24-25</v>
      </c>
      <c r="K530" s="82" t="str">
        <f t="shared" si="13"/>
        <v>Panquehue-Molina-PARRAO</v>
      </c>
      <c r="R530" s="6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</row>
    <row r="531" spans="2:39" s="7" customFormat="1" x14ac:dyDescent="0.35">
      <c r="B531" s="4" t="str">
        <f>+IF('Data Pura Costos'!B531="","",'Data Pura Costos'!B531)</f>
        <v>Entre Rios/Puente Negro/Rio Claro</v>
      </c>
      <c r="C531" s="4" t="str">
        <f>+IF('Data Pura Costos'!C531="","",'Data Pura Costos'!C531)</f>
        <v>Puente negro, san fernando.VI Region.</v>
      </c>
      <c r="D531" s="5">
        <f>+IF('Data Pura Costos'!D531="","",'Data Pura Costos'!D531)</f>
        <v>95</v>
      </c>
      <c r="E531" s="65">
        <f>+IF('Data Pura Costos'!E531="","",IF('Data Pura Costos'!E531=0,MAX('Data Pura Costos'!$E$7:$E$3000)*1000,'Data Pura Costos'!E531))</f>
        <v>320000</v>
      </c>
      <c r="F531" s="5" t="str">
        <f>+IF('Data Pura Costos'!F531="","",'Data Pura Costos'!F531)</f>
        <v>Molina</v>
      </c>
      <c r="G531" s="5" t="str">
        <f>+IF('Data Pura Costos'!G531="","",'Data Pura Costos'!G531)</f>
        <v>PARRAO</v>
      </c>
      <c r="H531" s="52" t="str">
        <f>+IF('Data Pura Costos'!H531="","",'Data Pura Costos'!H531)</f>
        <v>Termo</v>
      </c>
      <c r="I531" s="71">
        <f>+IF('Data Pura Costos'!I531="","",'Data Pura Costos'!I531)</f>
        <v>3368.4210526315787</v>
      </c>
      <c r="J531" s="52" t="str">
        <f>+IF('Data Pura Costos'!J531="","",'Data Pura Costos'!J531)</f>
        <v>24-25</v>
      </c>
      <c r="K531" s="82" t="str">
        <f t="shared" si="13"/>
        <v>Entre Rios/Puente Negro/Rio Claro-Molina-PARRAO</v>
      </c>
      <c r="R531" s="6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</row>
    <row r="532" spans="2:39" s="7" customFormat="1" x14ac:dyDescent="0.35">
      <c r="B532" s="4" t="str">
        <f>+IF('Data Pura Costos'!B532="","",'Data Pura Costos'!B532)</f>
        <v>Retorno</v>
      </c>
      <c r="C532" s="4" t="str">
        <f>+IF('Data Pura Costos'!C532="","",'Data Pura Costos'!C532)</f>
        <v>Santa maria, V región</v>
      </c>
      <c r="D532" s="5">
        <f>+IF('Data Pura Costos'!D532="","",'Data Pura Costos'!D532)</f>
        <v>305</v>
      </c>
      <c r="E532" s="65">
        <f>+IF('Data Pura Costos'!E532="","",IF('Data Pura Costos'!E532=0,MAX('Data Pura Costos'!$E$7:$E$3000)*1000,'Data Pura Costos'!E532))</f>
        <v>7200000</v>
      </c>
      <c r="F532" s="5" t="str">
        <f>+IF('Data Pura Costos'!F532="","",'Data Pura Costos'!F532)</f>
        <v>Molina</v>
      </c>
      <c r="G532" s="5" t="str">
        <f>+IF('Data Pura Costos'!G532="","",'Data Pura Costos'!G532)</f>
        <v>PARRAO</v>
      </c>
      <c r="H532" s="52" t="str">
        <f>+IF('Data Pura Costos'!H532="","",'Data Pura Costos'!H532)</f>
        <v>Termo</v>
      </c>
      <c r="I532" s="71">
        <f>+IF('Data Pura Costos'!I532="","",'Data Pura Costos'!I532)</f>
        <v>23606.557377049179</v>
      </c>
      <c r="J532" s="52" t="str">
        <f>+IF('Data Pura Costos'!J532="","",'Data Pura Costos'!J532)</f>
        <v>24-25</v>
      </c>
      <c r="K532" s="82" t="str">
        <f t="shared" si="13"/>
        <v>Retorno-Molina-PARRAO</v>
      </c>
      <c r="R532" s="6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</row>
    <row r="533" spans="2:39" s="7" customFormat="1" x14ac:dyDescent="0.35">
      <c r="B533" s="4" t="str">
        <f>+IF('Data Pura Costos'!B533="","",'Data Pura Costos'!B533)</f>
        <v>San Hernán</v>
      </c>
      <c r="C533" s="4" t="str">
        <f>+IF('Data Pura Costos'!C533="","",'Data Pura Costos'!C533)</f>
        <v>Graneros, VI región</v>
      </c>
      <c r="D533" s="5">
        <f>+IF('Data Pura Costos'!D533="","",'Data Pura Costos'!D533)</f>
        <v>140</v>
      </c>
      <c r="E533" s="65">
        <f>+IF('Data Pura Costos'!E533="","",IF('Data Pura Costos'!E533=0,MAX('Data Pura Costos'!$E$7:$E$3000)*1000,'Data Pura Costos'!E533))</f>
        <v>3800000</v>
      </c>
      <c r="F533" s="5" t="str">
        <f>+IF('Data Pura Costos'!F533="","",'Data Pura Costos'!F533)</f>
        <v>Molina</v>
      </c>
      <c r="G533" s="5" t="str">
        <f>+IF('Data Pura Costos'!G533="","",'Data Pura Costos'!G533)</f>
        <v>PARRAO</v>
      </c>
      <c r="H533" s="52" t="str">
        <f>+IF('Data Pura Costos'!H533="","",'Data Pura Costos'!H533)</f>
        <v>Termo</v>
      </c>
      <c r="I533" s="71">
        <f>+IF('Data Pura Costos'!I533="","",'Data Pura Costos'!I533)</f>
        <v>27142.857142857141</v>
      </c>
      <c r="J533" s="52" t="str">
        <f>+IF('Data Pura Costos'!J533="","",'Data Pura Costos'!J533)</f>
        <v>24-25</v>
      </c>
      <c r="K533" s="82" t="str">
        <f t="shared" si="13"/>
        <v>San Hernán-Molina-PARRAO</v>
      </c>
      <c r="R533" s="6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</row>
    <row r="534" spans="2:39" s="7" customFormat="1" x14ac:dyDescent="0.35">
      <c r="B534" s="4" t="str">
        <f>+IF('Data Pura Costos'!B534="","",'Data Pura Costos'!B534)</f>
        <v>Santa Mónica</v>
      </c>
      <c r="C534" s="4" t="str">
        <f>+IF('Data Pura Costos'!C534="","",'Data Pura Costos'!C534)</f>
        <v xml:space="preserve">Rancagua, sector Chancón, VI región </v>
      </c>
      <c r="D534" s="5">
        <f>+IF('Data Pura Costos'!D534="","",'Data Pura Costos'!D534)</f>
        <v>130</v>
      </c>
      <c r="E534" s="65">
        <f>+IF('Data Pura Costos'!E534="","",IF('Data Pura Costos'!E534=0,MAX('Data Pura Costos'!$E$7:$E$3000)*1000,'Data Pura Costos'!E534))</f>
        <v>380000</v>
      </c>
      <c r="F534" s="5" t="str">
        <f>+IF('Data Pura Costos'!F534="","",'Data Pura Costos'!F534)</f>
        <v>Molina</v>
      </c>
      <c r="G534" s="5" t="str">
        <f>+IF('Data Pura Costos'!G534="","",'Data Pura Costos'!G534)</f>
        <v>PARRAO</v>
      </c>
      <c r="H534" s="52" t="str">
        <f>+IF('Data Pura Costos'!H534="","",'Data Pura Costos'!H534)</f>
        <v>Termo</v>
      </c>
      <c r="I534" s="71">
        <f>+IF('Data Pura Costos'!I534="","",'Data Pura Costos'!I534)</f>
        <v>2923.0769230769229</v>
      </c>
      <c r="J534" s="52" t="str">
        <f>+IF('Data Pura Costos'!J534="","",'Data Pura Costos'!J534)</f>
        <v>24-25</v>
      </c>
      <c r="K534" s="82" t="str">
        <f t="shared" si="13"/>
        <v>Santa Mónica-Molina-PARRAO</v>
      </c>
      <c r="R534" s="6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</row>
    <row r="535" spans="2:39" s="7" customFormat="1" x14ac:dyDescent="0.35">
      <c r="B535" s="4" t="str">
        <f>+IF('Data Pura Costos'!B535="","",'Data Pura Costos'!B535)</f>
        <v>Talhuén</v>
      </c>
      <c r="C535" s="4" t="str">
        <f>+IF('Data Pura Costos'!C535="","",'Data Pura Costos'!C535)</f>
        <v>Palmilla, VI región</v>
      </c>
      <c r="D535" s="5">
        <f>+IF('Data Pura Costos'!D535="","",'Data Pura Costos'!D535)</f>
        <v>95</v>
      </c>
      <c r="E535" s="65">
        <f>+IF('Data Pura Costos'!E535="","",IF('Data Pura Costos'!E535=0,MAX('Data Pura Costos'!$E$7:$E$3000)*1000,'Data Pura Costos'!E535))</f>
        <v>420000</v>
      </c>
      <c r="F535" s="5" t="str">
        <f>+IF('Data Pura Costos'!F535="","",'Data Pura Costos'!F535)</f>
        <v>Molina</v>
      </c>
      <c r="G535" s="5" t="str">
        <f>+IF('Data Pura Costos'!G535="","",'Data Pura Costos'!G535)</f>
        <v>PARRAO</v>
      </c>
      <c r="H535" s="52" t="str">
        <f>+IF('Data Pura Costos'!H535="","",'Data Pura Costos'!H535)</f>
        <v>Termo</v>
      </c>
      <c r="I535" s="71">
        <f>+IF('Data Pura Costos'!I535="","",'Data Pura Costos'!I535)</f>
        <v>4421.0526315789475</v>
      </c>
      <c r="J535" s="52" t="str">
        <f>+IF('Data Pura Costos'!J535="","",'Data Pura Costos'!J535)</f>
        <v>24-25</v>
      </c>
      <c r="K535" s="82" t="str">
        <f t="shared" si="13"/>
        <v>Talhuén-Molina-PARRAO</v>
      </c>
      <c r="R535" s="6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</row>
    <row r="536" spans="2:39" s="7" customFormat="1" x14ac:dyDescent="0.35">
      <c r="B536" s="4" t="str">
        <f>+IF('Data Pura Costos'!B536="","",'Data Pura Costos'!B536)</f>
        <v>Villaseca</v>
      </c>
      <c r="C536" s="4" t="str">
        <f>+IF('Data Pura Costos'!C536="","",'Data Pura Costos'!C536)</f>
        <v>Retiro, VII reginón</v>
      </c>
      <c r="D536" s="5">
        <f>+IF('Data Pura Costos'!D536="","",'Data Pura Costos'!D536)</f>
        <v>160</v>
      </c>
      <c r="E536" s="65">
        <f>+IF('Data Pura Costos'!E536="","",IF('Data Pura Costos'!E536=0,MAX('Data Pura Costos'!$E$7:$E$3000)*1000,'Data Pura Costos'!E536))</f>
        <v>450000</v>
      </c>
      <c r="F536" s="5" t="str">
        <f>+IF('Data Pura Costos'!F536="","",'Data Pura Costos'!F536)</f>
        <v>Molina</v>
      </c>
      <c r="G536" s="5" t="str">
        <f>+IF('Data Pura Costos'!G536="","",'Data Pura Costos'!G536)</f>
        <v>PARRAO</v>
      </c>
      <c r="H536" s="52" t="str">
        <f>+IF('Data Pura Costos'!H536="","",'Data Pura Costos'!H536)</f>
        <v>Termo</v>
      </c>
      <c r="I536" s="71">
        <f>+IF('Data Pura Costos'!I536="","",'Data Pura Costos'!I536)</f>
        <v>2812.5</v>
      </c>
      <c r="J536" s="52" t="str">
        <f>+IF('Data Pura Costos'!J536="","",'Data Pura Costos'!J536)</f>
        <v>24-25</v>
      </c>
      <c r="K536" s="82" t="str">
        <f t="shared" si="13"/>
        <v>Villaseca-Molina-PARRAO</v>
      </c>
      <c r="R536" s="6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</row>
    <row r="537" spans="2:39" s="7" customFormat="1" x14ac:dyDescent="0.35">
      <c r="B537" s="4" t="str">
        <f>+IF('Data Pura Costos'!B537="","",'Data Pura Costos'!B537)</f>
        <v>Almahue</v>
      </c>
      <c r="C537" s="4" t="str">
        <f>+IF('Data Pura Costos'!C537="","",'Data Pura Costos'!C537)</f>
        <v>Pichidegua, VI región</v>
      </c>
      <c r="D537" s="5">
        <f>+IF('Data Pura Costos'!D537="","",'Data Pura Costos'!D537)</f>
        <v>50</v>
      </c>
      <c r="E537" s="65">
        <f>+IF('Data Pura Costos'!E537="","",IF('Data Pura Costos'!E537=0,MAX('Data Pura Costos'!$E$7:$E$3000)*1000,'Data Pura Costos'!E537))</f>
        <v>350000</v>
      </c>
      <c r="F537" s="5" t="str">
        <f>+IF('Data Pura Costos'!F537="","",'Data Pura Costos'!F537)</f>
        <v>Malloa</v>
      </c>
      <c r="G537" s="5" t="str">
        <f>+IF('Data Pura Costos'!G537="","",'Data Pura Costos'!G537)</f>
        <v>PARRAO</v>
      </c>
      <c r="H537" s="52" t="str">
        <f>+IF('Data Pura Costos'!H537="","",'Data Pura Costos'!H537)</f>
        <v>Termo</v>
      </c>
      <c r="I537" s="71">
        <f>+IF('Data Pura Costos'!I537="","",'Data Pura Costos'!I537)</f>
        <v>7000</v>
      </c>
      <c r="J537" s="52" t="str">
        <f>+IF('Data Pura Costos'!J537="","",'Data Pura Costos'!J537)</f>
        <v>24-25</v>
      </c>
      <c r="K537" s="82" t="str">
        <f t="shared" si="13"/>
        <v>Almahue-Malloa-PARRAO</v>
      </c>
      <c r="R537" s="6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</row>
    <row r="538" spans="2:39" s="7" customFormat="1" x14ac:dyDescent="0.35">
      <c r="B538" s="4" t="str">
        <f>+IF('Data Pura Costos'!B538="","",'Data Pura Costos'!B538)</f>
        <v>Bodega</v>
      </c>
      <c r="C538" s="4" t="str">
        <f>+IF('Data Pura Costos'!C538="","",'Data Pura Costos'!C538)</f>
        <v>Linares, VII region.</v>
      </c>
      <c r="D538" s="5">
        <f>+IF('Data Pura Costos'!D538="","",'Data Pura Costos'!D538)</f>
        <v>211</v>
      </c>
      <c r="E538" s="65">
        <f>+IF('Data Pura Costos'!E538="","",IF('Data Pura Costos'!E538=0,MAX('Data Pura Costos'!$E$7:$E$3000)*1000,'Data Pura Costos'!E538))</f>
        <v>650000</v>
      </c>
      <c r="F538" s="5" t="str">
        <f>+IF('Data Pura Costos'!F538="","",'Data Pura Costos'!F538)</f>
        <v>Malloa</v>
      </c>
      <c r="G538" s="5" t="str">
        <f>+IF('Data Pura Costos'!G538="","",'Data Pura Costos'!G538)</f>
        <v>PARRAO</v>
      </c>
      <c r="H538" s="52" t="str">
        <f>+IF('Data Pura Costos'!H538="","",'Data Pura Costos'!H538)</f>
        <v>Termo</v>
      </c>
      <c r="I538" s="71">
        <f>+IF('Data Pura Costos'!I538="","",'Data Pura Costos'!I538)</f>
        <v>3080.5687203791467</v>
      </c>
      <c r="J538" s="52" t="str">
        <f>+IF('Data Pura Costos'!J538="","",'Data Pura Costos'!J538)</f>
        <v>24-25</v>
      </c>
      <c r="K538" s="82" t="str">
        <f t="shared" si="13"/>
        <v>Bodega-Malloa-PARRAO</v>
      </c>
      <c r="R538" s="6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</row>
    <row r="539" spans="2:39" s="7" customFormat="1" x14ac:dyDescent="0.35">
      <c r="B539" s="4" t="str">
        <f>+IF('Data Pura Costos'!B539="","",'Data Pura Costos'!B539)</f>
        <v xml:space="preserve">Caliboro </v>
      </c>
      <c r="C539" s="4" t="str">
        <f>+IF('Data Pura Costos'!C539="","",'Data Pura Costos'!C539)</f>
        <v>San Javier, VII región</v>
      </c>
      <c r="D539" s="5">
        <f>+IF('Data Pura Costos'!D539="","",'Data Pura Costos'!D539)</f>
        <v>206</v>
      </c>
      <c r="E539" s="65">
        <f>+IF('Data Pura Costos'!E539="","",IF('Data Pura Costos'!E539=0,MAX('Data Pura Costos'!$E$7:$E$3000)*1000,'Data Pura Costos'!E539))</f>
        <v>650000</v>
      </c>
      <c r="F539" s="5" t="str">
        <f>+IF('Data Pura Costos'!F539="","",'Data Pura Costos'!F539)</f>
        <v>Malloa</v>
      </c>
      <c r="G539" s="5" t="str">
        <f>+IF('Data Pura Costos'!G539="","",'Data Pura Costos'!G539)</f>
        <v>PARRAO</v>
      </c>
      <c r="H539" s="52" t="str">
        <f>+IF('Data Pura Costos'!H539="","",'Data Pura Costos'!H539)</f>
        <v>Termo</v>
      </c>
      <c r="I539" s="71">
        <f>+IF('Data Pura Costos'!I539="","",'Data Pura Costos'!I539)</f>
        <v>3155.3398058252428</v>
      </c>
      <c r="J539" s="52" t="str">
        <f>+IF('Data Pura Costos'!J539="","",'Data Pura Costos'!J539)</f>
        <v>24-25</v>
      </c>
      <c r="K539" s="82" t="str">
        <f t="shared" si="13"/>
        <v>Caliboro -Malloa-PARRAO</v>
      </c>
      <c r="R539" s="6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</row>
    <row r="540" spans="2:39" s="7" customFormat="1" x14ac:dyDescent="0.35">
      <c r="B540" s="4" t="str">
        <f>+IF('Data Pura Costos'!B540="","",'Data Pura Costos'!B540)</f>
        <v>Calleuque</v>
      </c>
      <c r="C540" s="4" t="str">
        <f>+IF('Data Pura Costos'!C540="","",'Data Pura Costos'!C540)</f>
        <v>Peralillo ohiggins, VI región</v>
      </c>
      <c r="D540" s="5">
        <f>+IF('Data Pura Costos'!D540="","",'Data Pura Costos'!D540)</f>
        <v>80</v>
      </c>
      <c r="E540" s="65">
        <f>+IF('Data Pura Costos'!E540="","",IF('Data Pura Costos'!E540=0,MAX('Data Pura Costos'!$E$7:$E$3000)*1000,'Data Pura Costos'!E540))</f>
        <v>320000</v>
      </c>
      <c r="F540" s="5" t="str">
        <f>+IF('Data Pura Costos'!F540="","",'Data Pura Costos'!F540)</f>
        <v>Malloa</v>
      </c>
      <c r="G540" s="5" t="str">
        <f>+IF('Data Pura Costos'!G540="","",'Data Pura Costos'!G540)</f>
        <v>PARRAO</v>
      </c>
      <c r="H540" s="52" t="str">
        <f>+IF('Data Pura Costos'!H540="","",'Data Pura Costos'!H540)</f>
        <v>Termo</v>
      </c>
      <c r="I540" s="71">
        <f>+IF('Data Pura Costos'!I540="","",'Data Pura Costos'!I540)</f>
        <v>4000</v>
      </c>
      <c r="J540" s="52" t="str">
        <f>+IF('Data Pura Costos'!J540="","",'Data Pura Costos'!J540)</f>
        <v>24-25</v>
      </c>
      <c r="K540" s="82" t="str">
        <f t="shared" si="13"/>
        <v>Calleuque-Malloa-PARRAO</v>
      </c>
      <c r="R540" s="6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</row>
    <row r="541" spans="2:39" s="7" customFormat="1" x14ac:dyDescent="0.35">
      <c r="B541" s="4" t="str">
        <f>+IF('Data Pura Costos'!B541="","",'Data Pura Costos'!B541)</f>
        <v>Chumpirro</v>
      </c>
      <c r="C541" s="4" t="str">
        <f>+IF('Data Pura Costos'!C541="","",'Data Pura Costos'!C541)</f>
        <v>Angol, IX región</v>
      </c>
      <c r="D541" s="5">
        <f>+IF('Data Pura Costos'!D541="","",'Data Pura Costos'!D541)</f>
        <v>450</v>
      </c>
      <c r="E541" s="65">
        <f>+IF('Data Pura Costos'!E541="","",IF('Data Pura Costos'!E541=0,MAX('Data Pura Costos'!$E$7:$E$3000)*1000,'Data Pura Costos'!E541))</f>
        <v>1150000</v>
      </c>
      <c r="F541" s="5" t="str">
        <f>+IF('Data Pura Costos'!F541="","",'Data Pura Costos'!F541)</f>
        <v>Malloa</v>
      </c>
      <c r="G541" s="5" t="str">
        <f>+IF('Data Pura Costos'!G541="","",'Data Pura Costos'!G541)</f>
        <v>PARRAO</v>
      </c>
      <c r="H541" s="52" t="str">
        <f>+IF('Data Pura Costos'!H541="","",'Data Pura Costos'!H541)</f>
        <v>Termo</v>
      </c>
      <c r="I541" s="71">
        <f>+IF('Data Pura Costos'!I541="","",'Data Pura Costos'!I541)</f>
        <v>2555.5555555555557</v>
      </c>
      <c r="J541" s="52" t="str">
        <f>+IF('Data Pura Costos'!J541="","",'Data Pura Costos'!J541)</f>
        <v>24-25</v>
      </c>
      <c r="K541" s="82" t="str">
        <f t="shared" si="13"/>
        <v>Chumpirro-Malloa-PARRAO</v>
      </c>
      <c r="R541" s="6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</row>
    <row r="542" spans="2:39" s="7" customFormat="1" x14ac:dyDescent="0.35">
      <c r="B542" s="4" t="str">
        <f>+IF('Data Pura Costos'!B542="","",'Data Pura Costos'!B542)</f>
        <v xml:space="preserve"> Cocalán</v>
      </c>
      <c r="C542" s="4" t="str">
        <f>+IF('Data Pura Costos'!C542="","",'Data Pura Costos'!C542)</f>
        <v>Cocalán, VI región</v>
      </c>
      <c r="D542" s="5">
        <f>+IF('Data Pura Costos'!D542="","",'Data Pura Costos'!D542)</f>
        <v>50</v>
      </c>
      <c r="E542" s="65">
        <f>+IF('Data Pura Costos'!E542="","",IF('Data Pura Costos'!E542=0,MAX('Data Pura Costos'!$E$7:$E$3000)*1000,'Data Pura Costos'!E542))</f>
        <v>350000</v>
      </c>
      <c r="F542" s="5" t="str">
        <f>+IF('Data Pura Costos'!F542="","",'Data Pura Costos'!F542)</f>
        <v>Malloa</v>
      </c>
      <c r="G542" s="5" t="str">
        <f>+IF('Data Pura Costos'!G542="","",'Data Pura Costos'!G542)</f>
        <v>PARRAO</v>
      </c>
      <c r="H542" s="52" t="str">
        <f>+IF('Data Pura Costos'!H542="","",'Data Pura Costos'!H542)</f>
        <v>Termo</v>
      </c>
      <c r="I542" s="71">
        <f>+IF('Data Pura Costos'!I542="","",'Data Pura Costos'!I542)</f>
        <v>7000</v>
      </c>
      <c r="J542" s="52" t="str">
        <f>+IF('Data Pura Costos'!J542="","",'Data Pura Costos'!J542)</f>
        <v>24-25</v>
      </c>
      <c r="K542" s="82" t="str">
        <f t="shared" si="13"/>
        <v xml:space="preserve"> Cocalán-Malloa-PARRAO</v>
      </c>
      <c r="R542" s="6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</row>
    <row r="543" spans="2:39" s="7" customFormat="1" x14ac:dyDescent="0.35">
      <c r="B543" s="4" t="str">
        <f>+IF('Data Pura Costos'!B543="","",'Data Pura Costos'!B543)</f>
        <v>El Cóndor</v>
      </c>
      <c r="C543" s="4" t="str">
        <f>+IF('Data Pura Costos'!C543="","",'Data Pura Costos'!C543)</f>
        <v>Chimbarongo, VI Region.</v>
      </c>
      <c r="D543" s="5">
        <f>+IF('Data Pura Costos'!D543="","",'Data Pura Costos'!D543)</f>
        <v>60</v>
      </c>
      <c r="E543" s="65">
        <f>+IF('Data Pura Costos'!E543="","",IF('Data Pura Costos'!E543=0,MAX('Data Pura Costos'!$E$7:$E$3000)*1000,'Data Pura Costos'!E543))</f>
        <v>300000</v>
      </c>
      <c r="F543" s="5" t="str">
        <f>+IF('Data Pura Costos'!F543="","",'Data Pura Costos'!F543)</f>
        <v>Malloa</v>
      </c>
      <c r="G543" s="5" t="str">
        <f>+IF('Data Pura Costos'!G543="","",'Data Pura Costos'!G543)</f>
        <v>PARRAO</v>
      </c>
      <c r="H543" s="52" t="str">
        <f>+IF('Data Pura Costos'!H543="","",'Data Pura Costos'!H543)</f>
        <v>Termo</v>
      </c>
      <c r="I543" s="71">
        <f>+IF('Data Pura Costos'!I543="","",'Data Pura Costos'!I543)</f>
        <v>5000</v>
      </c>
      <c r="J543" s="52" t="str">
        <f>+IF('Data Pura Costos'!J543="","",'Data Pura Costos'!J543)</f>
        <v>24-25</v>
      </c>
      <c r="K543" s="82" t="str">
        <f t="shared" si="13"/>
        <v>El Cóndor-Malloa-PARRAO</v>
      </c>
      <c r="R543" s="6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</row>
    <row r="544" spans="2:39" s="7" customFormat="1" x14ac:dyDescent="0.35">
      <c r="B544" s="4" t="str">
        <f>+IF('Data Pura Costos'!B544="","",'Data Pura Costos'!B544)</f>
        <v>El Descanso</v>
      </c>
      <c r="C544" s="4" t="str">
        <f>+IF('Data Pura Costos'!C544="","",'Data Pura Costos'!C544)</f>
        <v>Sagrada Familia, VII región</v>
      </c>
      <c r="D544" s="5">
        <f>+IF('Data Pura Costos'!D544="","",'Data Pura Costos'!D544)</f>
        <v>100</v>
      </c>
      <c r="E544" s="65">
        <f>+IF('Data Pura Costos'!E544="","",IF('Data Pura Costos'!E544=0,MAX('Data Pura Costos'!$E$7:$E$3000)*1000,'Data Pura Costos'!E544))</f>
        <v>380000</v>
      </c>
      <c r="F544" s="5" t="str">
        <f>+IF('Data Pura Costos'!F544="","",'Data Pura Costos'!F544)</f>
        <v>Malloa</v>
      </c>
      <c r="G544" s="5" t="str">
        <f>+IF('Data Pura Costos'!G544="","",'Data Pura Costos'!G544)</f>
        <v>PARRAO</v>
      </c>
      <c r="H544" s="52" t="str">
        <f>+IF('Data Pura Costos'!H544="","",'Data Pura Costos'!H544)</f>
        <v>Termo</v>
      </c>
      <c r="I544" s="71">
        <f>+IF('Data Pura Costos'!I544="","",'Data Pura Costos'!I544)</f>
        <v>3800</v>
      </c>
      <c r="J544" s="52" t="str">
        <f>+IF('Data Pura Costos'!J544="","",'Data Pura Costos'!J544)</f>
        <v>24-25</v>
      </c>
      <c r="K544" s="82" t="str">
        <f t="shared" si="13"/>
        <v>El Descanso-Malloa-PARRAO</v>
      </c>
      <c r="R544" s="6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</row>
    <row r="545" spans="2:39" s="7" customFormat="1" x14ac:dyDescent="0.35">
      <c r="B545" s="4" t="str">
        <f>+IF('Data Pura Costos'!B545="","",'Data Pura Costos'!B545)</f>
        <v>El Espino</v>
      </c>
      <c r="C545" s="4" t="str">
        <f>+IF('Data Pura Costos'!C545="","",'Data Pura Costos'!C545)</f>
        <v>Colbún, VII región</v>
      </c>
      <c r="D545" s="5">
        <f>+IF('Data Pura Costos'!D545="","",'Data Pura Costos'!D545)</f>
        <v>190</v>
      </c>
      <c r="E545" s="65">
        <f>+IF('Data Pura Costos'!E545="","",IF('Data Pura Costos'!E545=0,MAX('Data Pura Costos'!$E$7:$E$3000)*1000,'Data Pura Costos'!E545))</f>
        <v>450000</v>
      </c>
      <c r="F545" s="5" t="str">
        <f>+IF('Data Pura Costos'!F545="","",'Data Pura Costos'!F545)</f>
        <v>Malloa</v>
      </c>
      <c r="G545" s="5" t="str">
        <f>+IF('Data Pura Costos'!G545="","",'Data Pura Costos'!G545)</f>
        <v>PARRAO</v>
      </c>
      <c r="H545" s="52" t="str">
        <f>+IF('Data Pura Costos'!H545="","",'Data Pura Costos'!H545)</f>
        <v>Termo</v>
      </c>
      <c r="I545" s="71">
        <f>+IF('Data Pura Costos'!I545="","",'Data Pura Costos'!I545)</f>
        <v>2368.4210526315787</v>
      </c>
      <c r="J545" s="52" t="str">
        <f>+IF('Data Pura Costos'!J545="","",'Data Pura Costos'!J545)</f>
        <v>24-25</v>
      </c>
      <c r="K545" s="82" t="str">
        <f t="shared" si="13"/>
        <v>El Espino-Malloa-PARRAO</v>
      </c>
      <c r="R545" s="6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</row>
    <row r="546" spans="2:39" s="7" customFormat="1" x14ac:dyDescent="0.35">
      <c r="B546" s="4" t="str">
        <f>+IF('Data Pura Costos'!B546="","",'Data Pura Costos'!B546)</f>
        <v>El Huaico</v>
      </c>
      <c r="C546" s="4" t="str">
        <f>+IF('Data Pura Costos'!C546="","",'Data Pura Costos'!C546)</f>
        <v>Palmila Ohiggins</v>
      </c>
      <c r="D546" s="5">
        <f>+IF('Data Pura Costos'!D546="","",'Data Pura Costos'!D546)</f>
        <v>75</v>
      </c>
      <c r="E546" s="65">
        <f>+IF('Data Pura Costos'!E546="","",IF('Data Pura Costos'!E546=0,MAX('Data Pura Costos'!$E$7:$E$3000)*1000,'Data Pura Costos'!E546))</f>
        <v>350000</v>
      </c>
      <c r="F546" s="5" t="str">
        <f>+IF('Data Pura Costos'!F546="","",'Data Pura Costos'!F546)</f>
        <v>Malloa</v>
      </c>
      <c r="G546" s="5" t="str">
        <f>+IF('Data Pura Costos'!G546="","",'Data Pura Costos'!G546)</f>
        <v>PARRAO</v>
      </c>
      <c r="H546" s="52" t="str">
        <f>+IF('Data Pura Costos'!H546="","",'Data Pura Costos'!H546)</f>
        <v>Termo</v>
      </c>
      <c r="I546" s="71">
        <f>+IF('Data Pura Costos'!I546="","",'Data Pura Costos'!I546)</f>
        <v>4666.666666666667</v>
      </c>
      <c r="J546" s="52" t="str">
        <f>+IF('Data Pura Costos'!J546="","",'Data Pura Costos'!J546)</f>
        <v>24-25</v>
      </c>
      <c r="K546" s="82" t="str">
        <f t="shared" si="13"/>
        <v>El Huaico-Malloa-PARRAO</v>
      </c>
      <c r="R546" s="6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</row>
    <row r="547" spans="2:39" s="7" customFormat="1" x14ac:dyDescent="0.35">
      <c r="B547" s="4" t="str">
        <f>+IF('Data Pura Costos'!B547="","",'Data Pura Costos'!B547)</f>
        <v>El Parque</v>
      </c>
      <c r="C547" s="4" t="str">
        <f>+IF('Data Pura Costos'!C547="","",'Data Pura Costos'!C547)</f>
        <v>San Francisco de Mostazal.VI Region.</v>
      </c>
      <c r="D547" s="5">
        <f>+IF('Data Pura Costos'!D547="","",'Data Pura Costos'!D547)</f>
        <v>70</v>
      </c>
      <c r="E547" s="65">
        <f>+IF('Data Pura Costos'!E547="","",IF('Data Pura Costos'!E547=0,MAX('Data Pura Costos'!$E$7:$E$3000)*1000,'Data Pura Costos'!E547))</f>
        <v>300000</v>
      </c>
      <c r="F547" s="5" t="str">
        <f>+IF('Data Pura Costos'!F547="","",'Data Pura Costos'!F547)</f>
        <v>Malloa</v>
      </c>
      <c r="G547" s="5" t="str">
        <f>+IF('Data Pura Costos'!G547="","",'Data Pura Costos'!G547)</f>
        <v>PARRAO</v>
      </c>
      <c r="H547" s="52" t="str">
        <f>+IF('Data Pura Costos'!H547="","",'Data Pura Costos'!H547)</f>
        <v>Termo</v>
      </c>
      <c r="I547" s="71">
        <f>+IF('Data Pura Costos'!I547="","",'Data Pura Costos'!I547)</f>
        <v>4285.7142857142853</v>
      </c>
      <c r="J547" s="52" t="str">
        <f>+IF('Data Pura Costos'!J547="","",'Data Pura Costos'!J547)</f>
        <v>24-25</v>
      </c>
      <c r="K547" s="82" t="str">
        <f t="shared" si="13"/>
        <v>El Parque-Malloa-PARRAO</v>
      </c>
      <c r="R547" s="6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</row>
    <row r="548" spans="2:39" s="7" customFormat="1" x14ac:dyDescent="0.35">
      <c r="B548" s="4" t="str">
        <f>+IF('Data Pura Costos'!B548="","",'Data Pura Costos'!B548)</f>
        <v>El Picaso</v>
      </c>
      <c r="C548" s="4" t="str">
        <f>+IF('Data Pura Costos'!C548="","",'Data Pura Costos'!C548)</f>
        <v xml:space="preserve">San Clemente, VII región </v>
      </c>
      <c r="D548" s="5">
        <f>+IF('Data Pura Costos'!D548="","",'Data Pura Costos'!D548)</f>
        <v>160</v>
      </c>
      <c r="E548" s="65">
        <f>+IF('Data Pura Costos'!E548="","",IF('Data Pura Costos'!E548=0,MAX('Data Pura Costos'!$E$7:$E$3000)*1000,'Data Pura Costos'!E548))</f>
        <v>420000</v>
      </c>
      <c r="F548" s="5" t="str">
        <f>+IF('Data Pura Costos'!F548="","",'Data Pura Costos'!F548)</f>
        <v>Malloa</v>
      </c>
      <c r="G548" s="5" t="str">
        <f>+IF('Data Pura Costos'!G548="","",'Data Pura Costos'!G548)</f>
        <v>PARRAO</v>
      </c>
      <c r="H548" s="52" t="str">
        <f>+IF('Data Pura Costos'!H548="","",'Data Pura Costos'!H548)</f>
        <v>Termo</v>
      </c>
      <c r="I548" s="71">
        <f>+IF('Data Pura Costos'!I548="","",'Data Pura Costos'!I548)</f>
        <v>2625</v>
      </c>
      <c r="J548" s="52" t="str">
        <f>+IF('Data Pura Costos'!J548="","",'Data Pura Costos'!J548)</f>
        <v>24-25</v>
      </c>
      <c r="K548" s="82" t="str">
        <f t="shared" si="13"/>
        <v>El Picaso-Malloa-PARRAO</v>
      </c>
      <c r="R548" s="6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</row>
    <row r="549" spans="2:39" s="7" customFormat="1" x14ac:dyDescent="0.35">
      <c r="B549" s="4" t="str">
        <f>+IF('Data Pura Costos'!B549="","",'Data Pura Costos'!B549)</f>
        <v>El Recurso</v>
      </c>
      <c r="C549" s="4" t="str">
        <f>+IF('Data Pura Costos'!C549="","",'Data Pura Costos'!C549)</f>
        <v>San Francisco de Mostazal.VI Region.</v>
      </c>
      <c r="D549" s="5">
        <f>+IF('Data Pura Costos'!D549="","",'Data Pura Costos'!D549)</f>
        <v>70</v>
      </c>
      <c r="E549" s="65">
        <f>+IF('Data Pura Costos'!E549="","",IF('Data Pura Costos'!E549=0,MAX('Data Pura Costos'!$E$7:$E$3000)*1000,'Data Pura Costos'!E549))</f>
        <v>300000</v>
      </c>
      <c r="F549" s="5" t="str">
        <f>+IF('Data Pura Costos'!F549="","",'Data Pura Costos'!F549)</f>
        <v>Malloa</v>
      </c>
      <c r="G549" s="5" t="str">
        <f>+IF('Data Pura Costos'!G549="","",'Data Pura Costos'!G549)</f>
        <v>PARRAO</v>
      </c>
      <c r="H549" s="52" t="str">
        <f>+IF('Data Pura Costos'!H549="","",'Data Pura Costos'!H549)</f>
        <v>Termo</v>
      </c>
      <c r="I549" s="71">
        <f>+IF('Data Pura Costos'!I549="","",'Data Pura Costos'!I549)</f>
        <v>4285.7142857142853</v>
      </c>
      <c r="J549" s="52" t="str">
        <f>+IF('Data Pura Costos'!J549="","",'Data Pura Costos'!J549)</f>
        <v>24-25</v>
      </c>
      <c r="K549" s="82" t="str">
        <f t="shared" si="13"/>
        <v>El Recurso-Malloa-PARRAO</v>
      </c>
      <c r="R549" s="6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</row>
    <row r="550" spans="2:39" s="7" customFormat="1" x14ac:dyDescent="0.35">
      <c r="B550" s="4" t="str">
        <f>+IF('Data Pura Costos'!B550="","",'Data Pura Costos'!B550)</f>
        <v>El Rosario</v>
      </c>
      <c r="C550" s="4" t="str">
        <f>+IF('Data Pura Costos'!C550="","",'Data Pura Costos'!C550)</f>
        <v>Linares, VII region.</v>
      </c>
      <c r="D550" s="5">
        <f>+IF('Data Pura Costos'!D550="","",'Data Pura Costos'!D550)</f>
        <v>210</v>
      </c>
      <c r="E550" s="65">
        <f>+IF('Data Pura Costos'!E550="","",IF('Data Pura Costos'!E550=0,MAX('Data Pura Costos'!$E$7:$E$3000)*1000,'Data Pura Costos'!E550))</f>
        <v>650000</v>
      </c>
      <c r="F550" s="5" t="str">
        <f>+IF('Data Pura Costos'!F550="","",'Data Pura Costos'!F550)</f>
        <v>Malloa</v>
      </c>
      <c r="G550" s="5" t="str">
        <f>+IF('Data Pura Costos'!G550="","",'Data Pura Costos'!G550)</f>
        <v>PARRAO</v>
      </c>
      <c r="H550" s="52" t="str">
        <f>+IF('Data Pura Costos'!H550="","",'Data Pura Costos'!H550)</f>
        <v>Termo</v>
      </c>
      <c r="I550" s="71">
        <f>+IF('Data Pura Costos'!I550="","",'Data Pura Costos'!I550)</f>
        <v>3095.2380952380954</v>
      </c>
      <c r="J550" s="52" t="str">
        <f>+IF('Data Pura Costos'!J550="","",'Data Pura Costos'!J550)</f>
        <v>24-25</v>
      </c>
      <c r="K550" s="82" t="str">
        <f t="shared" si="13"/>
        <v>El Rosario-Malloa-PARRAO</v>
      </c>
      <c r="R550" s="6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</row>
    <row r="551" spans="2:39" s="7" customFormat="1" x14ac:dyDescent="0.35">
      <c r="B551" s="4" t="str">
        <f>+IF('Data Pura Costos'!B551="","",'Data Pura Costos'!B551)</f>
        <v>El Retiro</v>
      </c>
      <c r="C551" s="4" t="str">
        <f>+IF('Data Pura Costos'!C551="","",'Data Pura Costos'!C551)</f>
        <v>Rosario, VI Region.</v>
      </c>
      <c r="D551" s="5">
        <f>+IF('Data Pura Costos'!D551="","",'Data Pura Costos'!D551)</f>
        <v>25</v>
      </c>
      <c r="E551" s="65">
        <f>+IF('Data Pura Costos'!E551="","",IF('Data Pura Costos'!E551=0,MAX('Data Pura Costos'!$E$7:$E$3000)*1000,'Data Pura Costos'!E551))</f>
        <v>220000</v>
      </c>
      <c r="F551" s="5" t="str">
        <f>+IF('Data Pura Costos'!F551="","",'Data Pura Costos'!F551)</f>
        <v>Malloa</v>
      </c>
      <c r="G551" s="5" t="str">
        <f>+IF('Data Pura Costos'!G551="","",'Data Pura Costos'!G551)</f>
        <v>PARRAO</v>
      </c>
      <c r="H551" s="52" t="str">
        <f>+IF('Data Pura Costos'!H551="","",'Data Pura Costos'!H551)</f>
        <v>Termo</v>
      </c>
      <c r="I551" s="71">
        <f>+IF('Data Pura Costos'!I551="","",'Data Pura Costos'!I551)</f>
        <v>8800</v>
      </c>
      <c r="J551" s="52" t="str">
        <f>+IF('Data Pura Costos'!J551="","",'Data Pura Costos'!J551)</f>
        <v>24-25</v>
      </c>
      <c r="K551" s="82" t="str">
        <f t="shared" si="13"/>
        <v>El Retiro-Malloa-PARRAO</v>
      </c>
      <c r="R551" s="6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</row>
    <row r="552" spans="2:39" s="7" customFormat="1" x14ac:dyDescent="0.35">
      <c r="B552" s="4" t="str">
        <f>+IF('Data Pura Costos'!B552="","",'Data Pura Costos'!B552)</f>
        <v>La Esperanza</v>
      </c>
      <c r="C552" s="4" t="str">
        <f>+IF('Data Pura Costos'!C552="","",'Data Pura Costos'!C552)</f>
        <v>Peumo, VI región</v>
      </c>
      <c r="D552" s="5">
        <f>+IF('Data Pura Costos'!D552="","",'Data Pura Costos'!D552)</f>
        <v>35</v>
      </c>
      <c r="E552" s="65">
        <f>+IF('Data Pura Costos'!E552="","",IF('Data Pura Costos'!E552=0,MAX('Data Pura Costos'!$E$7:$E$3000)*1000,'Data Pura Costos'!E552))</f>
        <v>300000</v>
      </c>
      <c r="F552" s="5" t="str">
        <f>+IF('Data Pura Costos'!F552="","",'Data Pura Costos'!F552)</f>
        <v>Malloa</v>
      </c>
      <c r="G552" s="5" t="str">
        <f>+IF('Data Pura Costos'!G552="","",'Data Pura Costos'!G552)</f>
        <v>PARRAO</v>
      </c>
      <c r="H552" s="52" t="str">
        <f>+IF('Data Pura Costos'!H552="","",'Data Pura Costos'!H552)</f>
        <v>Termo</v>
      </c>
      <c r="I552" s="71">
        <f>+IF('Data Pura Costos'!I552="","",'Data Pura Costos'!I552)</f>
        <v>8571.4285714285706</v>
      </c>
      <c r="J552" s="52" t="str">
        <f>+IF('Data Pura Costos'!J552="","",'Data Pura Costos'!J552)</f>
        <v>24-25</v>
      </c>
      <c r="K552" s="82" t="str">
        <f t="shared" si="13"/>
        <v>La Esperanza-Malloa-PARRAO</v>
      </c>
      <c r="R552" s="6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</row>
    <row r="553" spans="2:39" s="7" customFormat="1" x14ac:dyDescent="0.35">
      <c r="B553" s="4" t="str">
        <f>+IF('Data Pura Costos'!B553="","",'Data Pura Costos'!B553)</f>
        <v>La Estación</v>
      </c>
      <c r="C553" s="4" t="str">
        <f>+IF('Data Pura Costos'!C553="","",'Data Pura Costos'!C553)</f>
        <v>Palmilla, VI región</v>
      </c>
      <c r="D553" s="5">
        <f>+IF('Data Pura Costos'!D553="","",'Data Pura Costos'!D553)</f>
        <v>75</v>
      </c>
      <c r="E553" s="65">
        <f>+IF('Data Pura Costos'!E553="","",IF('Data Pura Costos'!E553=0,MAX('Data Pura Costos'!$E$7:$E$3000)*1000,'Data Pura Costos'!E553))</f>
        <v>380000</v>
      </c>
      <c r="F553" s="5" t="str">
        <f>+IF('Data Pura Costos'!F553="","",'Data Pura Costos'!F553)</f>
        <v>Malloa</v>
      </c>
      <c r="G553" s="5" t="str">
        <f>+IF('Data Pura Costos'!G553="","",'Data Pura Costos'!G553)</f>
        <v>PARRAO</v>
      </c>
      <c r="H553" s="52" t="str">
        <f>+IF('Data Pura Costos'!H553="","",'Data Pura Costos'!H553)</f>
        <v>Termo</v>
      </c>
      <c r="I553" s="71">
        <f>+IF('Data Pura Costos'!I553="","",'Data Pura Costos'!I553)</f>
        <v>5066.666666666667</v>
      </c>
      <c r="J553" s="52" t="str">
        <f>+IF('Data Pura Costos'!J553="","",'Data Pura Costos'!J553)</f>
        <v>24-25</v>
      </c>
      <c r="K553" s="82" t="str">
        <f t="shared" si="13"/>
        <v>La Estación-Malloa-PARRAO</v>
      </c>
      <c r="R553" s="6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</row>
    <row r="554" spans="2:39" s="7" customFormat="1" x14ac:dyDescent="0.35">
      <c r="B554" s="4" t="str">
        <f>+IF('Data Pura Costos'!B554="","",'Data Pura Costos'!B554)</f>
        <v>La Lajuela</v>
      </c>
      <c r="C554" s="4" t="str">
        <f>+IF('Data Pura Costos'!C554="","",'Data Pura Costos'!C554)</f>
        <v>Santa Cruz, VI Región</v>
      </c>
      <c r="D554" s="5">
        <f>+IF('Data Pura Costos'!D554="","",'Data Pura Costos'!D554)</f>
        <v>75</v>
      </c>
      <c r="E554" s="65">
        <f>+IF('Data Pura Costos'!E554="","",IF('Data Pura Costos'!E554=0,MAX('Data Pura Costos'!$E$7:$E$3000)*1000,'Data Pura Costos'!E554))</f>
        <v>380000</v>
      </c>
      <c r="F554" s="5" t="str">
        <f>+IF('Data Pura Costos'!F554="","",'Data Pura Costos'!F554)</f>
        <v>Malloa</v>
      </c>
      <c r="G554" s="5" t="str">
        <f>+IF('Data Pura Costos'!G554="","",'Data Pura Costos'!G554)</f>
        <v>PARRAO</v>
      </c>
      <c r="H554" s="52" t="str">
        <f>+IF('Data Pura Costos'!H554="","",'Data Pura Costos'!H554)</f>
        <v>Termo</v>
      </c>
      <c r="I554" s="71">
        <f>+IF('Data Pura Costos'!I554="","",'Data Pura Costos'!I554)</f>
        <v>5066.666666666667</v>
      </c>
      <c r="J554" s="52" t="str">
        <f>+IF('Data Pura Costos'!J554="","",'Data Pura Costos'!J554)</f>
        <v>24-25</v>
      </c>
      <c r="K554" s="82" t="str">
        <f t="shared" si="13"/>
        <v>La Lajuela-Malloa-PARRAO</v>
      </c>
      <c r="R554" s="6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</row>
    <row r="555" spans="2:39" s="7" customFormat="1" x14ac:dyDescent="0.35">
      <c r="B555" s="4" t="str">
        <f>+IF('Data Pura Costos'!B555="","",'Data Pura Costos'!B555)</f>
        <v>La Morera</v>
      </c>
      <c r="C555" s="4" t="str">
        <f>+IF('Data Pura Costos'!C555="","",'Data Pura Costos'!C555)</f>
        <v>La compañia, VI Region.</v>
      </c>
      <c r="D555" s="5">
        <f>+IF('Data Pura Costos'!D555="","",'Data Pura Costos'!D555)</f>
        <v>55</v>
      </c>
      <c r="E555" s="65">
        <f>+IF('Data Pura Costos'!E555="","",IF('Data Pura Costos'!E555=0,MAX('Data Pura Costos'!$E$7:$E$3000)*1000,'Data Pura Costos'!E555))</f>
        <v>300000</v>
      </c>
      <c r="F555" s="5" t="str">
        <f>+IF('Data Pura Costos'!F555="","",'Data Pura Costos'!F555)</f>
        <v>Malloa</v>
      </c>
      <c r="G555" s="5" t="str">
        <f>+IF('Data Pura Costos'!G555="","",'Data Pura Costos'!G555)</f>
        <v>PARRAO</v>
      </c>
      <c r="H555" s="52" t="str">
        <f>+IF('Data Pura Costos'!H555="","",'Data Pura Costos'!H555)</f>
        <v>Termo</v>
      </c>
      <c r="I555" s="71">
        <f>+IF('Data Pura Costos'!I555="","",'Data Pura Costos'!I555)</f>
        <v>5454.545454545455</v>
      </c>
      <c r="J555" s="52" t="str">
        <f>+IF('Data Pura Costos'!J555="","",'Data Pura Costos'!J555)</f>
        <v>24-25</v>
      </c>
      <c r="K555" s="82" t="str">
        <f t="shared" si="13"/>
        <v>La Morera-Malloa-PARRAO</v>
      </c>
      <c r="R555" s="6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</row>
    <row r="556" spans="2:39" s="7" customFormat="1" x14ac:dyDescent="0.35">
      <c r="B556" s="4" t="str">
        <f>+IF('Data Pura Costos'!B556="","",'Data Pura Costos'!B556)</f>
        <v>La Rinconada</v>
      </c>
      <c r="C556" s="4" t="str">
        <f>+IF('Data Pura Costos'!C556="","",'Data Pura Costos'!C556)</f>
        <v>Pichidegua, VI región</v>
      </c>
      <c r="D556" s="5">
        <f>+IF('Data Pura Costos'!D556="","",'Data Pura Costos'!D556)</f>
        <v>45</v>
      </c>
      <c r="E556" s="65">
        <f>+IF('Data Pura Costos'!E556="","",IF('Data Pura Costos'!E556=0,MAX('Data Pura Costos'!$E$7:$E$3000)*1000,'Data Pura Costos'!E556))</f>
        <v>300000</v>
      </c>
      <c r="F556" s="5" t="str">
        <f>+IF('Data Pura Costos'!F556="","",'Data Pura Costos'!F556)</f>
        <v>Malloa</v>
      </c>
      <c r="G556" s="5" t="str">
        <f>+IF('Data Pura Costos'!G556="","",'Data Pura Costos'!G556)</f>
        <v>PARRAO</v>
      </c>
      <c r="H556" s="52" t="str">
        <f>+IF('Data Pura Costos'!H556="","",'Data Pura Costos'!H556)</f>
        <v>Termo</v>
      </c>
      <c r="I556" s="71">
        <f>+IF('Data Pura Costos'!I556="","",'Data Pura Costos'!I556)</f>
        <v>6666.666666666667</v>
      </c>
      <c r="J556" s="52" t="str">
        <f>+IF('Data Pura Costos'!J556="","",'Data Pura Costos'!J556)</f>
        <v>24-25</v>
      </c>
      <c r="K556" s="82" t="str">
        <f t="shared" si="13"/>
        <v>La Rinconada-Malloa-PARRAO</v>
      </c>
      <c r="R556" s="6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</row>
    <row r="557" spans="2:39" s="7" customFormat="1" x14ac:dyDescent="0.35">
      <c r="B557" s="4" t="str">
        <f>+IF('Data Pura Costos'!B557="","",'Data Pura Costos'!B557)</f>
        <v xml:space="preserve">La Roblería </v>
      </c>
      <c r="C557" s="4" t="str">
        <f>+IF('Data Pura Costos'!C557="","",'Data Pura Costos'!C557)</f>
        <v>Aculeo, RM</v>
      </c>
      <c r="D557" s="5">
        <f>+IF('Data Pura Costos'!D557="","",'Data Pura Costos'!D557)</f>
        <v>105</v>
      </c>
      <c r="E557" s="65">
        <f>+IF('Data Pura Costos'!E557="","",IF('Data Pura Costos'!E557=0,MAX('Data Pura Costos'!$E$7:$E$3000)*1000,'Data Pura Costos'!E557))</f>
        <v>380000</v>
      </c>
      <c r="F557" s="5" t="str">
        <f>+IF('Data Pura Costos'!F557="","",'Data Pura Costos'!F557)</f>
        <v>Malloa</v>
      </c>
      <c r="G557" s="5" t="str">
        <f>+IF('Data Pura Costos'!G557="","",'Data Pura Costos'!G557)</f>
        <v>PARRAO</v>
      </c>
      <c r="H557" s="52" t="str">
        <f>+IF('Data Pura Costos'!H557="","",'Data Pura Costos'!H557)</f>
        <v>Termo</v>
      </c>
      <c r="I557" s="71">
        <f>+IF('Data Pura Costos'!I557="","",'Data Pura Costos'!I557)</f>
        <v>3619.0476190476193</v>
      </c>
      <c r="J557" s="52" t="str">
        <f>+IF('Data Pura Costos'!J557="","",'Data Pura Costos'!J557)</f>
        <v>24-25</v>
      </c>
      <c r="K557" s="82" t="str">
        <f t="shared" si="13"/>
        <v>La Roblería -Malloa-PARRAO</v>
      </c>
      <c r="R557" s="6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</row>
    <row r="558" spans="2:39" s="7" customFormat="1" x14ac:dyDescent="0.35">
      <c r="B558" s="4" t="str">
        <f>+IF('Data Pura Costos'!B558="","",'Data Pura Costos'!B558)</f>
        <v>Las Cabras</v>
      </c>
      <c r="C558" s="4" t="str">
        <f>+IF('Data Pura Costos'!C558="","",'Data Pura Costos'!C558)</f>
        <v>Las Cabras, VI región</v>
      </c>
      <c r="D558" s="5">
        <f>+IF('Data Pura Costos'!D558="","",'Data Pura Costos'!D558)</f>
        <v>45</v>
      </c>
      <c r="E558" s="65">
        <f>+IF('Data Pura Costos'!E558="","",IF('Data Pura Costos'!E558=0,MAX('Data Pura Costos'!$E$7:$E$3000)*1000,'Data Pura Costos'!E558))</f>
        <v>300000</v>
      </c>
      <c r="F558" s="5" t="str">
        <f>+IF('Data Pura Costos'!F558="","",'Data Pura Costos'!F558)</f>
        <v>Malloa</v>
      </c>
      <c r="G558" s="5" t="str">
        <f>+IF('Data Pura Costos'!G558="","",'Data Pura Costos'!G558)</f>
        <v>PARRAO</v>
      </c>
      <c r="H558" s="52" t="str">
        <f>+IF('Data Pura Costos'!H558="","",'Data Pura Costos'!H558)</f>
        <v>Termo</v>
      </c>
      <c r="I558" s="71">
        <f>+IF('Data Pura Costos'!I558="","",'Data Pura Costos'!I558)</f>
        <v>6666.666666666667</v>
      </c>
      <c r="J558" s="52" t="str">
        <f>+IF('Data Pura Costos'!J558="","",'Data Pura Costos'!J558)</f>
        <v>24-25</v>
      </c>
      <c r="K558" s="82" t="str">
        <f t="shared" si="13"/>
        <v>Las Cabras-Malloa-PARRAO</v>
      </c>
      <c r="R558" s="6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</row>
    <row r="559" spans="2:39" s="7" customFormat="1" x14ac:dyDescent="0.35">
      <c r="B559" s="4" t="str">
        <f>+IF('Data Pura Costos'!B559="","",'Data Pura Costos'!B559)</f>
        <v>Las Vertientes</v>
      </c>
      <c r="C559" s="4" t="str">
        <f>+IF('Data Pura Costos'!C559="","",'Data Pura Costos'!C559)</f>
        <v>Pichidegua, VI región</v>
      </c>
      <c r="D559" s="5">
        <f>+IF('Data Pura Costos'!D559="","",'Data Pura Costos'!D559)</f>
        <v>40</v>
      </c>
      <c r="E559" s="65">
        <f>+IF('Data Pura Costos'!E559="","",IF('Data Pura Costos'!E559=0,MAX('Data Pura Costos'!$E$7:$E$3000)*1000,'Data Pura Costos'!E559))</f>
        <v>300000</v>
      </c>
      <c r="F559" s="5" t="str">
        <f>+IF('Data Pura Costos'!F559="","",'Data Pura Costos'!F559)</f>
        <v>Malloa</v>
      </c>
      <c r="G559" s="5" t="str">
        <f>+IF('Data Pura Costos'!G559="","",'Data Pura Costos'!G559)</f>
        <v>PARRAO</v>
      </c>
      <c r="H559" s="52" t="str">
        <f>+IF('Data Pura Costos'!H559="","",'Data Pura Costos'!H559)</f>
        <v>Termo</v>
      </c>
      <c r="I559" s="71">
        <f>+IF('Data Pura Costos'!I559="","",'Data Pura Costos'!I559)</f>
        <v>7500</v>
      </c>
      <c r="J559" s="52" t="str">
        <f>+IF('Data Pura Costos'!J559="","",'Data Pura Costos'!J559)</f>
        <v>24-25</v>
      </c>
      <c r="K559" s="82" t="str">
        <f t="shared" si="13"/>
        <v>Las Vertientes-Malloa-PARRAO</v>
      </c>
      <c r="R559" s="6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</row>
    <row r="560" spans="2:39" s="7" customFormat="1" x14ac:dyDescent="0.35">
      <c r="B560" s="4" t="str">
        <f>+IF('Data Pura Costos'!B560="","",'Data Pura Costos'!B560)</f>
        <v>Lihueimo</v>
      </c>
      <c r="C560" s="4" t="str">
        <f>+IF('Data Pura Costos'!C560="","",'Data Pura Costos'!C560)</f>
        <v>Peralillo ohiggins</v>
      </c>
      <c r="D560" s="5">
        <f>+IF('Data Pura Costos'!D560="","",'Data Pura Costos'!D560)</f>
        <v>80</v>
      </c>
      <c r="E560" s="65">
        <f>+IF('Data Pura Costos'!E560="","",IF('Data Pura Costos'!E560=0,MAX('Data Pura Costos'!$E$7:$E$3000)*1000,'Data Pura Costos'!E560))</f>
        <v>350000</v>
      </c>
      <c r="F560" s="5" t="str">
        <f>+IF('Data Pura Costos'!F560="","",'Data Pura Costos'!F560)</f>
        <v>Malloa</v>
      </c>
      <c r="G560" s="5" t="str">
        <f>+IF('Data Pura Costos'!G560="","",'Data Pura Costos'!G560)</f>
        <v>PARRAO</v>
      </c>
      <c r="H560" s="52" t="str">
        <f>+IF('Data Pura Costos'!H560="","",'Data Pura Costos'!H560)</f>
        <v>Termo</v>
      </c>
      <c r="I560" s="71">
        <f>+IF('Data Pura Costos'!I560="","",'Data Pura Costos'!I560)</f>
        <v>4375</v>
      </c>
      <c r="J560" s="52" t="str">
        <f>+IF('Data Pura Costos'!J560="","",'Data Pura Costos'!J560)</f>
        <v>24-25</v>
      </c>
      <c r="K560" s="82" t="str">
        <f t="shared" si="13"/>
        <v>Lihueimo-Malloa-PARRAO</v>
      </c>
      <c r="R560" s="6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</row>
    <row r="561" spans="2:39" s="7" customFormat="1" x14ac:dyDescent="0.35">
      <c r="B561" s="4" t="str">
        <f>+IF('Data Pura Costos'!B561="","",'Data Pura Costos'!B561)</f>
        <v>Los Encinos</v>
      </c>
      <c r="C561" s="4" t="str">
        <f>+IF('Data Pura Costos'!C561="","",'Data Pura Costos'!C561)</f>
        <v>Huechun, RM</v>
      </c>
      <c r="D561" s="5">
        <f>+IF('Data Pura Costos'!D561="","",'Data Pura Costos'!D561)</f>
        <v>145</v>
      </c>
      <c r="E561" s="65">
        <f>+IF('Data Pura Costos'!E561="","",IF('Data Pura Costos'!E561=0,MAX('Data Pura Costos'!$E$7:$E$3000)*1000,'Data Pura Costos'!E561))</f>
        <v>450000</v>
      </c>
      <c r="F561" s="5" t="str">
        <f>+IF('Data Pura Costos'!F561="","",'Data Pura Costos'!F561)</f>
        <v>Malloa</v>
      </c>
      <c r="G561" s="5" t="str">
        <f>+IF('Data Pura Costos'!G561="","",'Data Pura Costos'!G561)</f>
        <v>PARRAO</v>
      </c>
      <c r="H561" s="52" t="str">
        <f>+IF('Data Pura Costos'!H561="","",'Data Pura Costos'!H561)</f>
        <v>Termo</v>
      </c>
      <c r="I561" s="71">
        <f>+IF('Data Pura Costos'!I561="","",'Data Pura Costos'!I561)</f>
        <v>3103.4482758620688</v>
      </c>
      <c r="J561" s="52" t="str">
        <f>+IF('Data Pura Costos'!J561="","",'Data Pura Costos'!J561)</f>
        <v>24-25</v>
      </c>
      <c r="K561" s="82" t="str">
        <f t="shared" si="13"/>
        <v>Los Encinos-Malloa-PARRAO</v>
      </c>
      <c r="R561" s="6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</row>
    <row r="562" spans="2:39" s="7" customFormat="1" x14ac:dyDescent="0.35">
      <c r="B562" s="4" t="str">
        <f>+IF('Data Pura Costos'!B562="","",'Data Pura Costos'!B562)</f>
        <v>Los Maitenes</v>
      </c>
      <c r="C562" s="4" t="str">
        <f>+IF('Data Pura Costos'!C562="","",'Data Pura Costos'!C562)</f>
        <v>Las Cabras, VI región</v>
      </c>
      <c r="D562" s="5">
        <f>+IF('Data Pura Costos'!D562="","",'Data Pura Costos'!D562)</f>
        <v>60</v>
      </c>
      <c r="E562" s="65">
        <f>+IF('Data Pura Costos'!E562="","",IF('Data Pura Costos'!E562=0,MAX('Data Pura Costos'!$E$7:$E$3000)*1000,'Data Pura Costos'!E562))</f>
        <v>350000</v>
      </c>
      <c r="F562" s="5" t="str">
        <f>+IF('Data Pura Costos'!F562="","",'Data Pura Costos'!F562)</f>
        <v>Malloa</v>
      </c>
      <c r="G562" s="5" t="str">
        <f>+IF('Data Pura Costos'!G562="","",'Data Pura Costos'!G562)</f>
        <v>PARRAO</v>
      </c>
      <c r="H562" s="52" t="str">
        <f>+IF('Data Pura Costos'!H562="","",'Data Pura Costos'!H562)</f>
        <v>Termo</v>
      </c>
      <c r="I562" s="71">
        <f>+IF('Data Pura Costos'!I562="","",'Data Pura Costos'!I562)</f>
        <v>5833.333333333333</v>
      </c>
      <c r="J562" s="52" t="str">
        <f>+IF('Data Pura Costos'!J562="","",'Data Pura Costos'!J562)</f>
        <v>24-25</v>
      </c>
      <c r="K562" s="82" t="str">
        <f t="shared" si="13"/>
        <v>Los Maitenes-Malloa-PARRAO</v>
      </c>
      <c r="R562" s="6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</row>
    <row r="563" spans="2:39" s="7" customFormat="1" x14ac:dyDescent="0.35">
      <c r="B563" s="4" t="str">
        <f>+IF('Data Pura Costos'!B563="","",'Data Pura Costos'!B563)</f>
        <v>Los Toldos</v>
      </c>
      <c r="C563" s="4" t="str">
        <f>+IF('Data Pura Costos'!C563="","",'Data Pura Costos'!C563)</f>
        <v>Angol, IX región</v>
      </c>
      <c r="D563" s="5">
        <f>+IF('Data Pura Costos'!D563="","",'Data Pura Costos'!D563)</f>
        <v>50</v>
      </c>
      <c r="E563" s="65">
        <f>+IF('Data Pura Costos'!E563="","",IF('Data Pura Costos'!E563=0,MAX('Data Pura Costos'!$E$7:$E$3000)*1000,'Data Pura Costos'!E563))</f>
        <v>1150000</v>
      </c>
      <c r="F563" s="5" t="str">
        <f>+IF('Data Pura Costos'!F563="","",'Data Pura Costos'!F563)</f>
        <v>Malloa</v>
      </c>
      <c r="G563" s="5" t="str">
        <f>+IF('Data Pura Costos'!G563="","",'Data Pura Costos'!G563)</f>
        <v>PARRAO</v>
      </c>
      <c r="H563" s="52" t="str">
        <f>+IF('Data Pura Costos'!H563="","",'Data Pura Costos'!H563)</f>
        <v>Termo</v>
      </c>
      <c r="I563" s="71">
        <f>+IF('Data Pura Costos'!I563="","",'Data Pura Costos'!I563)</f>
        <v>23000</v>
      </c>
      <c r="J563" s="52" t="str">
        <f>+IF('Data Pura Costos'!J563="","",'Data Pura Costos'!J563)</f>
        <v>24-25</v>
      </c>
      <c r="K563" s="82" t="str">
        <f t="shared" si="13"/>
        <v>Los Toldos-Malloa-PARRAO</v>
      </c>
      <c r="R563" s="6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</row>
    <row r="564" spans="2:39" s="7" customFormat="1" x14ac:dyDescent="0.35">
      <c r="B564" s="4" t="str">
        <f>+IF('Data Pura Costos'!B564="","",'Data Pura Costos'!B564)</f>
        <v>Panquehue</v>
      </c>
      <c r="C564" s="4" t="str">
        <f>+IF('Data Pura Costos'!C564="","",'Data Pura Costos'!C564)</f>
        <v>Panquehue, V región</v>
      </c>
      <c r="D564" s="5">
        <f>+IF('Data Pura Costos'!D564="","",'Data Pura Costos'!D564)</f>
        <v>230</v>
      </c>
      <c r="E564" s="65">
        <f>+IF('Data Pura Costos'!E564="","",IF('Data Pura Costos'!E564=0,MAX('Data Pura Costos'!$E$7:$E$3000)*1000,'Data Pura Costos'!E564))</f>
        <v>550000</v>
      </c>
      <c r="F564" s="5" t="str">
        <f>+IF('Data Pura Costos'!F564="","",'Data Pura Costos'!F564)</f>
        <v>Malloa</v>
      </c>
      <c r="G564" s="5" t="str">
        <f>+IF('Data Pura Costos'!G564="","",'Data Pura Costos'!G564)</f>
        <v>PARRAO</v>
      </c>
      <c r="H564" s="52" t="str">
        <f>+IF('Data Pura Costos'!H564="","",'Data Pura Costos'!H564)</f>
        <v>Termo</v>
      </c>
      <c r="I564" s="71">
        <f>+IF('Data Pura Costos'!I564="","",'Data Pura Costos'!I564)</f>
        <v>2391.304347826087</v>
      </c>
      <c r="J564" s="52" t="str">
        <f>+IF('Data Pura Costos'!J564="","",'Data Pura Costos'!J564)</f>
        <v>24-25</v>
      </c>
      <c r="K564" s="82" t="str">
        <f t="shared" si="13"/>
        <v>Panquehue-Malloa-PARRAO</v>
      </c>
      <c r="R564" s="6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</row>
    <row r="565" spans="2:39" s="7" customFormat="1" x14ac:dyDescent="0.35">
      <c r="B565" s="4" t="str">
        <f>+IF('Data Pura Costos'!B565="","",'Data Pura Costos'!B565)</f>
        <v>Entre Rios/Puente Negro/Rio Claro</v>
      </c>
      <c r="C565" s="4" t="str">
        <f>+IF('Data Pura Costos'!C565="","",'Data Pura Costos'!C565)</f>
        <v>Puente negro, san fernando.VI Region.</v>
      </c>
      <c r="D565" s="5">
        <f>+IF('Data Pura Costos'!D565="","",'Data Pura Costos'!D565)</f>
        <v>50</v>
      </c>
      <c r="E565" s="65">
        <f>+IF('Data Pura Costos'!E565="","",IF('Data Pura Costos'!E565=0,MAX('Data Pura Costos'!$E$7:$E$3000)*1000,'Data Pura Costos'!E565))</f>
        <v>220000</v>
      </c>
      <c r="F565" s="5" t="str">
        <f>+IF('Data Pura Costos'!F565="","",'Data Pura Costos'!F565)</f>
        <v>Malloa</v>
      </c>
      <c r="G565" s="5" t="str">
        <f>+IF('Data Pura Costos'!G565="","",'Data Pura Costos'!G565)</f>
        <v>PARRAO</v>
      </c>
      <c r="H565" s="52" t="str">
        <f>+IF('Data Pura Costos'!H565="","",'Data Pura Costos'!H565)</f>
        <v>Termo</v>
      </c>
      <c r="I565" s="71">
        <f>+IF('Data Pura Costos'!I565="","",'Data Pura Costos'!I565)</f>
        <v>4400</v>
      </c>
      <c r="J565" s="52" t="str">
        <f>+IF('Data Pura Costos'!J565="","",'Data Pura Costos'!J565)</f>
        <v>24-25</v>
      </c>
      <c r="K565" s="82" t="str">
        <f t="shared" si="13"/>
        <v>Entre Rios/Puente Negro/Rio Claro-Malloa-PARRAO</v>
      </c>
      <c r="R565" s="6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</row>
    <row r="566" spans="2:39" s="7" customFormat="1" x14ac:dyDescent="0.35">
      <c r="B566" s="4" t="str">
        <f>+IF('Data Pura Costos'!B566="","",'Data Pura Costos'!B566)</f>
        <v>Retorno</v>
      </c>
      <c r="C566" s="4" t="str">
        <f>+IF('Data Pura Costos'!C566="","",'Data Pura Costos'!C566)</f>
        <v>Santa maria, V región</v>
      </c>
      <c r="D566" s="5">
        <f>+IF('Data Pura Costos'!D566="","",'Data Pura Costos'!D566)</f>
        <v>225</v>
      </c>
      <c r="E566" s="65">
        <f>+IF('Data Pura Costos'!E566="","",IF('Data Pura Costos'!E566=0,MAX('Data Pura Costos'!$E$7:$E$3000)*1000,'Data Pura Costos'!E566))</f>
        <v>550000</v>
      </c>
      <c r="F566" s="5" t="str">
        <f>+IF('Data Pura Costos'!F566="","",'Data Pura Costos'!F566)</f>
        <v>Malloa</v>
      </c>
      <c r="G566" s="5" t="str">
        <f>+IF('Data Pura Costos'!G566="","",'Data Pura Costos'!G566)</f>
        <v>PARRAO</v>
      </c>
      <c r="H566" s="52" t="str">
        <f>+IF('Data Pura Costos'!H566="","",'Data Pura Costos'!H566)</f>
        <v>Termo</v>
      </c>
      <c r="I566" s="71">
        <f>+IF('Data Pura Costos'!I566="","",'Data Pura Costos'!I566)</f>
        <v>2444.4444444444443</v>
      </c>
      <c r="J566" s="52" t="str">
        <f>+IF('Data Pura Costos'!J566="","",'Data Pura Costos'!J566)</f>
        <v>24-25</v>
      </c>
      <c r="K566" s="82" t="str">
        <f t="shared" si="13"/>
        <v>Retorno-Malloa-PARRAO</v>
      </c>
      <c r="R566" s="6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</row>
    <row r="567" spans="2:39" s="7" customFormat="1" x14ac:dyDescent="0.35">
      <c r="B567" s="4" t="str">
        <f>+IF('Data Pura Costos'!B567="","",'Data Pura Costos'!B567)</f>
        <v>San Hernán</v>
      </c>
      <c r="C567" s="4" t="str">
        <f>+IF('Data Pura Costos'!C567="","",'Data Pura Costos'!C567)</f>
        <v>Graneros, VI región</v>
      </c>
      <c r="D567" s="5">
        <f>+IF('Data Pura Costos'!D567="","",'Data Pura Costos'!D567)</f>
        <v>60</v>
      </c>
      <c r="E567" s="65">
        <f>+IF('Data Pura Costos'!E567="","",IF('Data Pura Costos'!E567=0,MAX('Data Pura Costos'!$E$7:$E$3000)*1000,'Data Pura Costos'!E567))</f>
        <v>300000</v>
      </c>
      <c r="F567" s="5" t="str">
        <f>+IF('Data Pura Costos'!F567="","",'Data Pura Costos'!F567)</f>
        <v>Malloa</v>
      </c>
      <c r="G567" s="5" t="str">
        <f>+IF('Data Pura Costos'!G567="","",'Data Pura Costos'!G567)</f>
        <v>PARRAO</v>
      </c>
      <c r="H567" s="52" t="str">
        <f>+IF('Data Pura Costos'!H567="","",'Data Pura Costos'!H567)</f>
        <v>Termo</v>
      </c>
      <c r="I567" s="71">
        <f>+IF('Data Pura Costos'!I567="","",'Data Pura Costos'!I567)</f>
        <v>5000</v>
      </c>
      <c r="J567" s="52" t="str">
        <f>+IF('Data Pura Costos'!J567="","",'Data Pura Costos'!J567)</f>
        <v>24-25</v>
      </c>
      <c r="K567" s="82" t="str">
        <f t="shared" si="13"/>
        <v>San Hernán-Malloa-PARRAO</v>
      </c>
      <c r="R567" s="6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</row>
    <row r="568" spans="2:39" s="7" customFormat="1" x14ac:dyDescent="0.35">
      <c r="B568" s="4" t="str">
        <f>+IF('Data Pura Costos'!B568="","",'Data Pura Costos'!B568)</f>
        <v>Santa Mónica</v>
      </c>
      <c r="C568" s="4" t="str">
        <f>+IF('Data Pura Costos'!C568="","",'Data Pura Costos'!C568)</f>
        <v xml:space="preserve">Rancagua, sector Chancón, VI región </v>
      </c>
      <c r="D568" s="5">
        <f>+IF('Data Pura Costos'!D568="","",'Data Pura Costos'!D568)</f>
        <v>55</v>
      </c>
      <c r="E568" s="65">
        <f>+IF('Data Pura Costos'!E568="","",IF('Data Pura Costos'!E568=0,MAX('Data Pura Costos'!$E$7:$E$3000)*1000,'Data Pura Costos'!E568))</f>
        <v>300000</v>
      </c>
      <c r="F568" s="5" t="str">
        <f>+IF('Data Pura Costos'!F568="","",'Data Pura Costos'!F568)</f>
        <v>Malloa</v>
      </c>
      <c r="G568" s="5" t="str">
        <f>+IF('Data Pura Costos'!G568="","",'Data Pura Costos'!G568)</f>
        <v>PARRAO</v>
      </c>
      <c r="H568" s="52" t="str">
        <f>+IF('Data Pura Costos'!H568="","",'Data Pura Costos'!H568)</f>
        <v>Termo</v>
      </c>
      <c r="I568" s="71">
        <f>+IF('Data Pura Costos'!I568="","",'Data Pura Costos'!I568)</f>
        <v>5454.545454545455</v>
      </c>
      <c r="J568" s="52" t="str">
        <f>+IF('Data Pura Costos'!J568="","",'Data Pura Costos'!J568)</f>
        <v>24-25</v>
      </c>
      <c r="K568" s="82" t="str">
        <f t="shared" si="13"/>
        <v>Santa Mónica-Malloa-PARRAO</v>
      </c>
      <c r="R568" s="6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</row>
    <row r="569" spans="2:39" s="7" customFormat="1" x14ac:dyDescent="0.35">
      <c r="B569" s="4" t="str">
        <f>+IF('Data Pura Costos'!B569="","",'Data Pura Costos'!B569)</f>
        <v>Talhuén</v>
      </c>
      <c r="C569" s="4" t="str">
        <f>+IF('Data Pura Costos'!C569="","",'Data Pura Costos'!C569)</f>
        <v>Palmilla, VI región</v>
      </c>
      <c r="D569" s="5">
        <f>+IF('Data Pura Costos'!D569="","",'Data Pura Costos'!D569)</f>
        <v>60</v>
      </c>
      <c r="E569" s="65">
        <f>+IF('Data Pura Costos'!E569="","",IF('Data Pura Costos'!E569=0,MAX('Data Pura Costos'!$E$7:$E$3000)*1000,'Data Pura Costos'!E569))</f>
        <v>350000</v>
      </c>
      <c r="F569" s="5" t="str">
        <f>+IF('Data Pura Costos'!F569="","",'Data Pura Costos'!F569)</f>
        <v>Malloa</v>
      </c>
      <c r="G569" s="5" t="str">
        <f>+IF('Data Pura Costos'!G569="","",'Data Pura Costos'!G569)</f>
        <v>PARRAO</v>
      </c>
      <c r="H569" s="52" t="str">
        <f>+IF('Data Pura Costos'!H569="","",'Data Pura Costos'!H569)</f>
        <v>Termo</v>
      </c>
      <c r="I569" s="71">
        <f>+IF('Data Pura Costos'!I569="","",'Data Pura Costos'!I569)</f>
        <v>5833.333333333333</v>
      </c>
      <c r="J569" s="52" t="str">
        <f>+IF('Data Pura Costos'!J569="","",'Data Pura Costos'!J569)</f>
        <v>24-25</v>
      </c>
      <c r="K569" s="82" t="str">
        <f t="shared" si="13"/>
        <v>Talhuén-Malloa-PARRAO</v>
      </c>
      <c r="R569" s="6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</row>
    <row r="570" spans="2:39" s="7" customFormat="1" x14ac:dyDescent="0.35">
      <c r="B570" s="4" t="str">
        <f>+IF('Data Pura Costos'!B570="","",'Data Pura Costos'!B570)</f>
        <v>Villaseca</v>
      </c>
      <c r="C570" s="4" t="str">
        <f>+IF('Data Pura Costos'!C570="","",'Data Pura Costos'!C570)</f>
        <v>Retiro, VII reginón</v>
      </c>
      <c r="D570" s="5">
        <f>+IF('Data Pura Costos'!D570="","",'Data Pura Costos'!D570)</f>
        <v>250</v>
      </c>
      <c r="E570" s="65">
        <f>+IF('Data Pura Costos'!E570="","",IF('Data Pura Costos'!E570=0,MAX('Data Pura Costos'!$E$7:$E$3000)*1000,'Data Pura Costos'!E570))</f>
        <v>650000</v>
      </c>
      <c r="F570" s="5" t="str">
        <f>+IF('Data Pura Costos'!F570="","",'Data Pura Costos'!F570)</f>
        <v>Malloa</v>
      </c>
      <c r="G570" s="5" t="str">
        <f>+IF('Data Pura Costos'!G570="","",'Data Pura Costos'!G570)</f>
        <v>PARRAO</v>
      </c>
      <c r="H570" s="52" t="str">
        <f>+IF('Data Pura Costos'!H570="","",'Data Pura Costos'!H570)</f>
        <v>Termo</v>
      </c>
      <c r="I570" s="71">
        <f>+IF('Data Pura Costos'!I570="","",'Data Pura Costos'!I570)</f>
        <v>2600</v>
      </c>
      <c r="J570" s="52" t="str">
        <f>+IF('Data Pura Costos'!J570="","",'Data Pura Costos'!J570)</f>
        <v>24-25</v>
      </c>
      <c r="K570" s="82" t="str">
        <f t="shared" si="13"/>
        <v>Villaseca-Malloa-PARRAO</v>
      </c>
      <c r="R570" s="6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</row>
    <row r="571" spans="2:39" s="7" customFormat="1" x14ac:dyDescent="0.35">
      <c r="B571" s="4" t="str">
        <f>+IF('Data Pura Costos'!B571="","",'Data Pura Costos'!B571)</f>
        <v>Almahue</v>
      </c>
      <c r="C571" s="4" t="str">
        <f>+IF('Data Pura Costos'!C571="","",'Data Pura Costos'!C571)</f>
        <v>Pichidegua, VI región</v>
      </c>
      <c r="D571" s="5">
        <f>+IF('Data Pura Costos'!D571="","",'Data Pura Costos'!D571)</f>
        <v>108</v>
      </c>
      <c r="E571" s="65">
        <f>+IF('Data Pura Costos'!E571="","",IF('Data Pura Costos'!E571=0,MAX('Data Pura Costos'!$E$7:$E$3000)*1000,'Data Pura Costos'!E571))</f>
        <v>360000</v>
      </c>
      <c r="F571" s="5" t="str">
        <f>+IF('Data Pura Costos'!F571="","",'Data Pura Costos'!F571)</f>
        <v>Mostazal</v>
      </c>
      <c r="G571" s="5" t="str">
        <f>+IF('Data Pura Costos'!G571="","",'Data Pura Costos'!G571)</f>
        <v>PAULA</v>
      </c>
      <c r="H571" s="52" t="str">
        <f>+IF('Data Pura Costos'!H571="","",'Data Pura Costos'!H571)</f>
        <v>Termo</v>
      </c>
      <c r="I571" s="71">
        <f>+IF('Data Pura Costos'!I571="","",'Data Pura Costos'!I571)</f>
        <v>3333.3333333333335</v>
      </c>
      <c r="J571" s="52" t="str">
        <f>+IF('Data Pura Costos'!J571="","",'Data Pura Costos'!J571)</f>
        <v>24-25</v>
      </c>
      <c r="K571" s="82" t="str">
        <f t="shared" si="13"/>
        <v>Almahue-Mostazal-PAULA</v>
      </c>
      <c r="R571" s="6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</row>
    <row r="572" spans="2:39" s="7" customFormat="1" x14ac:dyDescent="0.35">
      <c r="B572" s="4" t="str">
        <f>+IF('Data Pura Costos'!B572="","",'Data Pura Costos'!B572)</f>
        <v>Bodega</v>
      </c>
      <c r="C572" s="4" t="str">
        <f>+IF('Data Pura Costos'!C572="","",'Data Pura Costos'!C572)</f>
        <v>Linares, VII region.</v>
      </c>
      <c r="D572" s="5">
        <f>+IF('Data Pura Costos'!D572="","",'Data Pura Costos'!D572)</f>
        <v>264</v>
      </c>
      <c r="E572" s="65">
        <f>+IF('Data Pura Costos'!E572="","",IF('Data Pura Costos'!E572=0,MAX('Data Pura Costos'!$E$7:$E$3000)*1000,'Data Pura Costos'!E572))</f>
        <v>630000</v>
      </c>
      <c r="F572" s="5" t="str">
        <f>+IF('Data Pura Costos'!F572="","",'Data Pura Costos'!F572)</f>
        <v>Mostazal</v>
      </c>
      <c r="G572" s="5" t="str">
        <f>+IF('Data Pura Costos'!G572="","",'Data Pura Costos'!G572)</f>
        <v>PAULA</v>
      </c>
      <c r="H572" s="52" t="str">
        <f>+IF('Data Pura Costos'!H572="","",'Data Pura Costos'!H572)</f>
        <v>Termo</v>
      </c>
      <c r="I572" s="71">
        <f>+IF('Data Pura Costos'!I572="","",'Data Pura Costos'!I572)</f>
        <v>2386.3636363636365</v>
      </c>
      <c r="J572" s="52" t="str">
        <f>+IF('Data Pura Costos'!J572="","",'Data Pura Costos'!J572)</f>
        <v>24-25</v>
      </c>
      <c r="K572" s="82" t="str">
        <f t="shared" si="13"/>
        <v>Bodega-Mostazal-PAULA</v>
      </c>
      <c r="R572" s="6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</row>
    <row r="573" spans="2:39" s="7" customFormat="1" x14ac:dyDescent="0.35">
      <c r="B573" s="4" t="str">
        <f>+IF('Data Pura Costos'!B573="","",'Data Pura Costos'!B573)</f>
        <v xml:space="preserve">Caliboro </v>
      </c>
      <c r="C573" s="4" t="str">
        <f>+IF('Data Pura Costos'!C573="","",'Data Pura Costos'!C573)</f>
        <v>San Javier, VII región</v>
      </c>
      <c r="D573" s="5">
        <f>+IF('Data Pura Costos'!D573="","",'Data Pura Costos'!D573)</f>
        <v>258</v>
      </c>
      <c r="E573" s="65">
        <f>+IF('Data Pura Costos'!E573="","",IF('Data Pura Costos'!E573=0,MAX('Data Pura Costos'!$E$7:$E$3000)*1000,'Data Pura Costos'!E573))</f>
        <v>610000</v>
      </c>
      <c r="F573" s="5" t="str">
        <f>+IF('Data Pura Costos'!F573="","",'Data Pura Costos'!F573)</f>
        <v>Mostazal</v>
      </c>
      <c r="G573" s="5" t="str">
        <f>+IF('Data Pura Costos'!G573="","",'Data Pura Costos'!G573)</f>
        <v>PAULA</v>
      </c>
      <c r="H573" s="52" t="str">
        <f>+IF('Data Pura Costos'!H573="","",'Data Pura Costos'!H573)</f>
        <v>Termo</v>
      </c>
      <c r="I573" s="71">
        <f>+IF('Data Pura Costos'!I573="","",'Data Pura Costos'!I573)</f>
        <v>2364.3410852713178</v>
      </c>
      <c r="J573" s="52" t="str">
        <f>+IF('Data Pura Costos'!J573="","",'Data Pura Costos'!J573)</f>
        <v>24-25</v>
      </c>
      <c r="K573" s="82" t="str">
        <f t="shared" si="13"/>
        <v>Caliboro -Mostazal-PAULA</v>
      </c>
      <c r="R573" s="6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</row>
    <row r="574" spans="2:39" s="7" customFormat="1" x14ac:dyDescent="0.35">
      <c r="B574" s="4" t="str">
        <f>+IF('Data Pura Costos'!B574="","",'Data Pura Costos'!B574)</f>
        <v>Calleuque</v>
      </c>
      <c r="C574" s="4" t="str">
        <f>+IF('Data Pura Costos'!C574="","",'Data Pura Costos'!C574)</f>
        <v>Peralillo ohiggins, VI región</v>
      </c>
      <c r="D574" s="5">
        <f>+IF('Data Pura Costos'!D574="","",'Data Pura Costos'!D574)</f>
        <v>143</v>
      </c>
      <c r="E574" s="65">
        <f>+IF('Data Pura Costos'!E574="","",IF('Data Pura Costos'!E574=0,MAX('Data Pura Costos'!$E$7:$E$3000)*1000,'Data Pura Costos'!E574))</f>
        <v>460000</v>
      </c>
      <c r="F574" s="5" t="str">
        <f>+IF('Data Pura Costos'!F574="","",'Data Pura Costos'!F574)</f>
        <v>Mostazal</v>
      </c>
      <c r="G574" s="5" t="str">
        <f>+IF('Data Pura Costos'!G574="","",'Data Pura Costos'!G574)</f>
        <v>PAULA</v>
      </c>
      <c r="H574" s="52" t="str">
        <f>+IF('Data Pura Costos'!H574="","",'Data Pura Costos'!H574)</f>
        <v>Termo</v>
      </c>
      <c r="I574" s="71">
        <f>+IF('Data Pura Costos'!I574="","",'Data Pura Costos'!I574)</f>
        <v>3216.7832167832166</v>
      </c>
      <c r="J574" s="52" t="str">
        <f>+IF('Data Pura Costos'!J574="","",'Data Pura Costos'!J574)</f>
        <v>24-25</v>
      </c>
      <c r="K574" s="82" t="str">
        <f t="shared" si="13"/>
        <v>Calleuque-Mostazal-PAULA</v>
      </c>
      <c r="R574" s="6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</row>
    <row r="575" spans="2:39" s="7" customFormat="1" x14ac:dyDescent="0.35">
      <c r="B575" s="4" t="str">
        <f>+IF('Data Pura Costos'!B575="","",'Data Pura Costos'!B575)</f>
        <v>Chumpirro</v>
      </c>
      <c r="C575" s="4" t="str">
        <f>+IF('Data Pura Costos'!C575="","",'Data Pura Costos'!C575)</f>
        <v>Angol, IX región</v>
      </c>
      <c r="D575" s="5">
        <f>+IF('Data Pura Costos'!D575="","",'Data Pura Costos'!D575)</f>
        <v>499</v>
      </c>
      <c r="E575" s="65">
        <f>+IF('Data Pura Costos'!E575="","",IF('Data Pura Costos'!E575=0,MAX('Data Pura Costos'!$E$7:$E$3000)*1000,'Data Pura Costos'!E575))</f>
        <v>1300000</v>
      </c>
      <c r="F575" s="5" t="str">
        <f>+IF('Data Pura Costos'!F575="","",'Data Pura Costos'!F575)</f>
        <v>Mostazal</v>
      </c>
      <c r="G575" s="5" t="str">
        <f>+IF('Data Pura Costos'!G575="","",'Data Pura Costos'!G575)</f>
        <v>PAULA</v>
      </c>
      <c r="H575" s="52" t="str">
        <f>+IF('Data Pura Costos'!H575="","",'Data Pura Costos'!H575)</f>
        <v>Termo</v>
      </c>
      <c r="I575" s="71">
        <f>+IF('Data Pura Costos'!I575="","",'Data Pura Costos'!I575)</f>
        <v>2605.2104208416836</v>
      </c>
      <c r="J575" s="52" t="str">
        <f>+IF('Data Pura Costos'!J575="","",'Data Pura Costos'!J575)</f>
        <v>24-25</v>
      </c>
      <c r="K575" s="82" t="str">
        <f t="shared" si="13"/>
        <v>Chumpirro-Mostazal-PAULA</v>
      </c>
      <c r="R575" s="6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</row>
    <row r="576" spans="2:39" s="7" customFormat="1" x14ac:dyDescent="0.35">
      <c r="B576" s="4" t="str">
        <f>+IF('Data Pura Costos'!B576="","",'Data Pura Costos'!B576)</f>
        <v xml:space="preserve"> Cocalán</v>
      </c>
      <c r="C576" s="4" t="str">
        <f>+IF('Data Pura Costos'!C576="","",'Data Pura Costos'!C576)</f>
        <v>Cocalán, VI región</v>
      </c>
      <c r="D576" s="5">
        <f>+IF('Data Pura Costos'!D576="","",'Data Pura Costos'!D576)</f>
        <v>113</v>
      </c>
      <c r="E576" s="65">
        <f>+IF('Data Pura Costos'!E576="","",IF('Data Pura Costos'!E576=0,MAX('Data Pura Costos'!$E$7:$E$3000)*1000,'Data Pura Costos'!E576))</f>
        <v>400000</v>
      </c>
      <c r="F576" s="5" t="str">
        <f>+IF('Data Pura Costos'!F576="","",'Data Pura Costos'!F576)</f>
        <v>Mostazal</v>
      </c>
      <c r="G576" s="5" t="str">
        <f>+IF('Data Pura Costos'!G576="","",'Data Pura Costos'!G576)</f>
        <v>PAULA</v>
      </c>
      <c r="H576" s="52" t="str">
        <f>+IF('Data Pura Costos'!H576="","",'Data Pura Costos'!H576)</f>
        <v>Termo</v>
      </c>
      <c r="I576" s="71">
        <f>+IF('Data Pura Costos'!I576="","",'Data Pura Costos'!I576)</f>
        <v>3539.8230088495575</v>
      </c>
      <c r="J576" s="52" t="str">
        <f>+IF('Data Pura Costos'!J576="","",'Data Pura Costos'!J576)</f>
        <v>24-25</v>
      </c>
      <c r="K576" s="82" t="str">
        <f t="shared" si="13"/>
        <v xml:space="preserve"> Cocalán-Mostazal-PAULA</v>
      </c>
      <c r="R576" s="6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</row>
    <row r="577" spans="2:39" s="7" customFormat="1" x14ac:dyDescent="0.35">
      <c r="B577" s="4" t="str">
        <f>+IF('Data Pura Costos'!B577="","",'Data Pura Costos'!B577)</f>
        <v>El Cóndor</v>
      </c>
      <c r="C577" s="4" t="str">
        <f>+IF('Data Pura Costos'!C577="","",'Data Pura Costos'!C577)</f>
        <v>Chimbarongo, VI Region.</v>
      </c>
      <c r="D577" s="5">
        <f>+IF('Data Pura Costos'!D577="","",'Data Pura Costos'!D577)</f>
        <v>150</v>
      </c>
      <c r="E577" s="65">
        <f>+IF('Data Pura Costos'!E577="","",IF('Data Pura Costos'!E577=0,MAX('Data Pura Costos'!$E$7:$E$3000)*1000,'Data Pura Costos'!E577))</f>
        <v>410000</v>
      </c>
      <c r="F577" s="5" t="str">
        <f>+IF('Data Pura Costos'!F577="","",'Data Pura Costos'!F577)</f>
        <v>Mostazal</v>
      </c>
      <c r="G577" s="5" t="str">
        <f>+IF('Data Pura Costos'!G577="","",'Data Pura Costos'!G577)</f>
        <v>PAULA</v>
      </c>
      <c r="H577" s="52" t="str">
        <f>+IF('Data Pura Costos'!H577="","",'Data Pura Costos'!H577)</f>
        <v>Termo</v>
      </c>
      <c r="I577" s="71">
        <f>+IF('Data Pura Costos'!I577="","",'Data Pura Costos'!I577)</f>
        <v>2733.3333333333335</v>
      </c>
      <c r="J577" s="52" t="str">
        <f>+IF('Data Pura Costos'!J577="","",'Data Pura Costos'!J577)</f>
        <v>24-25</v>
      </c>
      <c r="K577" s="82" t="str">
        <f t="shared" si="13"/>
        <v>El Cóndor-Mostazal-PAULA</v>
      </c>
      <c r="R577" s="6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</row>
    <row r="578" spans="2:39" s="7" customFormat="1" x14ac:dyDescent="0.35">
      <c r="B578" s="4" t="str">
        <f>+IF('Data Pura Costos'!B578="","",'Data Pura Costos'!B578)</f>
        <v>El Descanso</v>
      </c>
      <c r="C578" s="4" t="str">
        <f>+IF('Data Pura Costos'!C578="","",'Data Pura Costos'!C578)</f>
        <v>Sagrada Familia, VII región</v>
      </c>
      <c r="D578" s="5">
        <f>+IF('Data Pura Costos'!D578="","",'Data Pura Costos'!D578)</f>
        <v>240</v>
      </c>
      <c r="E578" s="65">
        <f>+IF('Data Pura Costos'!E578="","",IF('Data Pura Costos'!E578=0,MAX('Data Pura Costos'!$E$7:$E$3000)*1000,'Data Pura Costos'!E578))</f>
        <v>560000</v>
      </c>
      <c r="F578" s="5" t="str">
        <f>+IF('Data Pura Costos'!F578="","",'Data Pura Costos'!F578)</f>
        <v>Mostazal</v>
      </c>
      <c r="G578" s="5" t="str">
        <f>+IF('Data Pura Costos'!G578="","",'Data Pura Costos'!G578)</f>
        <v>PAULA</v>
      </c>
      <c r="H578" s="52" t="str">
        <f>+IF('Data Pura Costos'!H578="","",'Data Pura Costos'!H578)</f>
        <v>Termo</v>
      </c>
      <c r="I578" s="71">
        <f>+IF('Data Pura Costos'!I578="","",'Data Pura Costos'!I578)</f>
        <v>2333.3333333333335</v>
      </c>
      <c r="J578" s="52" t="str">
        <f>+IF('Data Pura Costos'!J578="","",'Data Pura Costos'!J578)</f>
        <v>24-25</v>
      </c>
      <c r="K578" s="82" t="str">
        <f t="shared" si="13"/>
        <v>El Descanso-Mostazal-PAULA</v>
      </c>
      <c r="R578" s="6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</row>
    <row r="579" spans="2:39" s="7" customFormat="1" x14ac:dyDescent="0.35">
      <c r="B579" s="4" t="str">
        <f>+IF('Data Pura Costos'!B579="","",'Data Pura Costos'!B579)</f>
        <v>El Espino</v>
      </c>
      <c r="C579" s="4" t="str">
        <f>+IF('Data Pura Costos'!C579="","",'Data Pura Costos'!C579)</f>
        <v>Colbún, VII región</v>
      </c>
      <c r="D579" s="5">
        <f>+IF('Data Pura Costos'!D579="","",'Data Pura Costos'!D579)</f>
        <v>240</v>
      </c>
      <c r="E579" s="65">
        <f>+IF('Data Pura Costos'!E579="","",IF('Data Pura Costos'!E579=0,MAX('Data Pura Costos'!$E$7:$E$3000)*1000,'Data Pura Costos'!E579))</f>
        <v>560000</v>
      </c>
      <c r="F579" s="5" t="str">
        <f>+IF('Data Pura Costos'!F579="","",'Data Pura Costos'!F579)</f>
        <v>Mostazal</v>
      </c>
      <c r="G579" s="5" t="str">
        <f>+IF('Data Pura Costos'!G579="","",'Data Pura Costos'!G579)</f>
        <v>PAULA</v>
      </c>
      <c r="H579" s="52" t="str">
        <f>+IF('Data Pura Costos'!H579="","",'Data Pura Costos'!H579)</f>
        <v>Termo</v>
      </c>
      <c r="I579" s="71">
        <f>+IF('Data Pura Costos'!I579="","",'Data Pura Costos'!I579)</f>
        <v>2333.3333333333335</v>
      </c>
      <c r="J579" s="52" t="str">
        <f>+IF('Data Pura Costos'!J579="","",'Data Pura Costos'!J579)</f>
        <v>24-25</v>
      </c>
      <c r="K579" s="82" t="str">
        <f t="shared" si="13"/>
        <v>El Espino-Mostazal-PAULA</v>
      </c>
      <c r="R579" s="6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</row>
    <row r="580" spans="2:39" s="7" customFormat="1" x14ac:dyDescent="0.35">
      <c r="B580" s="4" t="str">
        <f>+IF('Data Pura Costos'!B580="","",'Data Pura Costos'!B580)</f>
        <v>El Huaico</v>
      </c>
      <c r="C580" s="4" t="str">
        <f>+IF('Data Pura Costos'!C580="","",'Data Pura Costos'!C580)</f>
        <v>Palmila Ohiggins</v>
      </c>
      <c r="D580" s="5">
        <f>+IF('Data Pura Costos'!D580="","",'Data Pura Costos'!D580)</f>
        <v>124</v>
      </c>
      <c r="E580" s="65">
        <f>+IF('Data Pura Costos'!E580="","",IF('Data Pura Costos'!E580=0,MAX('Data Pura Costos'!$E$7:$E$3000)*1000,'Data Pura Costos'!E580))</f>
        <v>400000</v>
      </c>
      <c r="F580" s="5" t="str">
        <f>+IF('Data Pura Costos'!F580="","",'Data Pura Costos'!F580)</f>
        <v>Mostazal</v>
      </c>
      <c r="G580" s="5" t="str">
        <f>+IF('Data Pura Costos'!G580="","",'Data Pura Costos'!G580)</f>
        <v>PAULA</v>
      </c>
      <c r="H580" s="52" t="str">
        <f>+IF('Data Pura Costos'!H580="","",'Data Pura Costos'!H580)</f>
        <v>Termo</v>
      </c>
      <c r="I580" s="71">
        <f>+IF('Data Pura Costos'!I580="","",'Data Pura Costos'!I580)</f>
        <v>3225.8064516129034</v>
      </c>
      <c r="J580" s="52" t="str">
        <f>+IF('Data Pura Costos'!J580="","",'Data Pura Costos'!J580)</f>
        <v>24-25</v>
      </c>
      <c r="K580" s="82" t="str">
        <f t="shared" si="13"/>
        <v>El Huaico-Mostazal-PAULA</v>
      </c>
      <c r="R580" s="6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</row>
    <row r="581" spans="2:39" s="7" customFormat="1" x14ac:dyDescent="0.35">
      <c r="B581" s="4" t="str">
        <f>+IF('Data Pura Costos'!B581="","",'Data Pura Costos'!B581)</f>
        <v>El Parque</v>
      </c>
      <c r="C581" s="4" t="str">
        <f>+IF('Data Pura Costos'!C581="","",'Data Pura Costos'!C581)</f>
        <v>San Francisco de Mostazal.VI Region.</v>
      </c>
      <c r="D581" s="5">
        <f>+IF('Data Pura Costos'!D581="","",'Data Pura Costos'!D581)</f>
        <v>3</v>
      </c>
      <c r="E581" s="65">
        <f>+IF('Data Pura Costos'!E581="","",IF('Data Pura Costos'!E581=0,MAX('Data Pura Costos'!$E$7:$E$3000)*1000,'Data Pura Costos'!E581))</f>
        <v>250000</v>
      </c>
      <c r="F581" s="5" t="str">
        <f>+IF('Data Pura Costos'!F581="","",'Data Pura Costos'!F581)</f>
        <v>Mostazal</v>
      </c>
      <c r="G581" s="5" t="str">
        <f>+IF('Data Pura Costos'!G581="","",'Data Pura Costos'!G581)</f>
        <v>PAULA</v>
      </c>
      <c r="H581" s="52" t="str">
        <f>+IF('Data Pura Costos'!H581="","",'Data Pura Costos'!H581)</f>
        <v>Termo</v>
      </c>
      <c r="I581" s="71">
        <f>+IF('Data Pura Costos'!I581="","",'Data Pura Costos'!I581)</f>
        <v>83333.333333333328</v>
      </c>
      <c r="J581" s="52" t="str">
        <f>+IF('Data Pura Costos'!J581="","",'Data Pura Costos'!J581)</f>
        <v>24-25</v>
      </c>
      <c r="K581" s="82" t="str">
        <f t="shared" si="13"/>
        <v>El Parque-Mostazal-PAULA</v>
      </c>
      <c r="R581" s="6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</row>
    <row r="582" spans="2:39" s="7" customFormat="1" x14ac:dyDescent="0.35">
      <c r="B582" s="4" t="str">
        <f>+IF('Data Pura Costos'!B582="","",'Data Pura Costos'!B582)</f>
        <v>El Picaso</v>
      </c>
      <c r="C582" s="4" t="str">
        <f>+IF('Data Pura Costos'!C582="","",'Data Pura Costos'!C582)</f>
        <v xml:space="preserve">San Clemente, VII región </v>
      </c>
      <c r="D582" s="5">
        <f>+IF('Data Pura Costos'!D582="","",'Data Pura Costos'!D582)</f>
        <v>208</v>
      </c>
      <c r="E582" s="65">
        <f>+IF('Data Pura Costos'!E582="","",IF('Data Pura Costos'!E582=0,MAX('Data Pura Costos'!$E$7:$E$3000)*1000,'Data Pura Costos'!E582))</f>
        <v>560000</v>
      </c>
      <c r="F582" s="5" t="str">
        <f>+IF('Data Pura Costos'!F582="","",'Data Pura Costos'!F582)</f>
        <v>Mostazal</v>
      </c>
      <c r="G582" s="5" t="str">
        <f>+IF('Data Pura Costos'!G582="","",'Data Pura Costos'!G582)</f>
        <v>PAULA</v>
      </c>
      <c r="H582" s="52" t="str">
        <f>+IF('Data Pura Costos'!H582="","",'Data Pura Costos'!H582)</f>
        <v>Termo</v>
      </c>
      <c r="I582" s="71">
        <f>+IF('Data Pura Costos'!I582="","",'Data Pura Costos'!I582)</f>
        <v>2692.3076923076924</v>
      </c>
      <c r="J582" s="52" t="str">
        <f>+IF('Data Pura Costos'!J582="","",'Data Pura Costos'!J582)</f>
        <v>24-25</v>
      </c>
      <c r="K582" s="82" t="str">
        <f t="shared" si="13"/>
        <v>El Picaso-Mostazal-PAULA</v>
      </c>
      <c r="R582" s="6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</row>
    <row r="583" spans="2:39" s="7" customFormat="1" x14ac:dyDescent="0.35">
      <c r="B583" s="4" t="str">
        <f>+IF('Data Pura Costos'!B583="","",'Data Pura Costos'!B583)</f>
        <v>El Recurso</v>
      </c>
      <c r="C583" s="4" t="str">
        <f>+IF('Data Pura Costos'!C583="","",'Data Pura Costos'!C583)</f>
        <v>San Francisco de Mostazal.VI Region.</v>
      </c>
      <c r="D583" s="5">
        <f>+IF('Data Pura Costos'!D583="","",'Data Pura Costos'!D583)</f>
        <v>3</v>
      </c>
      <c r="E583" s="65">
        <f>+IF('Data Pura Costos'!E583="","",IF('Data Pura Costos'!E583=0,MAX('Data Pura Costos'!$E$7:$E$3000)*1000,'Data Pura Costos'!E583))</f>
        <v>250000</v>
      </c>
      <c r="F583" s="5" t="str">
        <f>+IF('Data Pura Costos'!F583="","",'Data Pura Costos'!F583)</f>
        <v>Mostazal</v>
      </c>
      <c r="G583" s="5" t="str">
        <f>+IF('Data Pura Costos'!G583="","",'Data Pura Costos'!G583)</f>
        <v>PAULA</v>
      </c>
      <c r="H583" s="52" t="str">
        <f>+IF('Data Pura Costos'!H583="","",'Data Pura Costos'!H583)</f>
        <v>Termo</v>
      </c>
      <c r="I583" s="71">
        <f>+IF('Data Pura Costos'!I583="","",'Data Pura Costos'!I583)</f>
        <v>83333.333333333328</v>
      </c>
      <c r="J583" s="52" t="str">
        <f>+IF('Data Pura Costos'!J583="","",'Data Pura Costos'!J583)</f>
        <v>24-25</v>
      </c>
      <c r="K583" s="82" t="str">
        <f t="shared" si="13"/>
        <v>El Recurso-Mostazal-PAULA</v>
      </c>
      <c r="R583" s="6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</row>
    <row r="584" spans="2:39" s="7" customFormat="1" x14ac:dyDescent="0.35">
      <c r="B584" s="4" t="str">
        <f>+IF('Data Pura Costos'!B584="","",'Data Pura Costos'!B584)</f>
        <v>El Rosario</v>
      </c>
      <c r="C584" s="4" t="str">
        <f>+IF('Data Pura Costos'!C584="","",'Data Pura Costos'!C584)</f>
        <v>Linares, VII region.</v>
      </c>
      <c r="D584" s="5">
        <f>+IF('Data Pura Costos'!D584="","",'Data Pura Costos'!D584)</f>
        <v>260</v>
      </c>
      <c r="E584" s="65">
        <f>+IF('Data Pura Costos'!E584="","",IF('Data Pura Costos'!E584=0,MAX('Data Pura Costos'!$E$7:$E$3000)*1000,'Data Pura Costos'!E584))</f>
        <v>920000</v>
      </c>
      <c r="F584" s="5" t="str">
        <f>+IF('Data Pura Costos'!F584="","",'Data Pura Costos'!F584)</f>
        <v>Mostazal</v>
      </c>
      <c r="G584" s="5" t="str">
        <f>+IF('Data Pura Costos'!G584="","",'Data Pura Costos'!G584)</f>
        <v>PAULA</v>
      </c>
      <c r="H584" s="52" t="str">
        <f>+IF('Data Pura Costos'!H584="","",'Data Pura Costos'!H584)</f>
        <v>Termo</v>
      </c>
      <c r="I584" s="71">
        <f>+IF('Data Pura Costos'!I584="","",'Data Pura Costos'!I584)</f>
        <v>3538.4615384615386</v>
      </c>
      <c r="J584" s="52" t="str">
        <f>+IF('Data Pura Costos'!J584="","",'Data Pura Costos'!J584)</f>
        <v>24-25</v>
      </c>
      <c r="K584" s="82" t="str">
        <f t="shared" ref="K584:K647" si="14">+IF(B584="","",CONCATENATE(B584,"-",F584,"-",G584))</f>
        <v>El Rosario-Mostazal-PAULA</v>
      </c>
      <c r="R584" s="6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</row>
    <row r="585" spans="2:39" s="7" customFormat="1" x14ac:dyDescent="0.35">
      <c r="B585" s="4" t="str">
        <f>+IF('Data Pura Costos'!B585="","",'Data Pura Costos'!B585)</f>
        <v>El Retiro</v>
      </c>
      <c r="C585" s="4" t="str">
        <f>+IF('Data Pura Costos'!C585="","",'Data Pura Costos'!C585)</f>
        <v>Rosario, VI Region.</v>
      </c>
      <c r="D585" s="5">
        <f>+IF('Data Pura Costos'!D585="","",'Data Pura Costos'!D585)</f>
        <v>45</v>
      </c>
      <c r="E585" s="65">
        <f>+IF('Data Pura Costos'!E585="","",IF('Data Pura Costos'!E585=0,MAX('Data Pura Costos'!$E$7:$E$3000)*1000,'Data Pura Costos'!E585))</f>
        <v>330000</v>
      </c>
      <c r="F585" s="5" t="str">
        <f>+IF('Data Pura Costos'!F585="","",'Data Pura Costos'!F585)</f>
        <v>Mostazal</v>
      </c>
      <c r="G585" s="5" t="str">
        <f>+IF('Data Pura Costos'!G585="","",'Data Pura Costos'!G585)</f>
        <v>PAULA</v>
      </c>
      <c r="H585" s="52" t="str">
        <f>+IF('Data Pura Costos'!H585="","",'Data Pura Costos'!H585)</f>
        <v>Termo</v>
      </c>
      <c r="I585" s="71">
        <f>+IF('Data Pura Costos'!I585="","",'Data Pura Costos'!I585)</f>
        <v>7333.333333333333</v>
      </c>
      <c r="J585" s="52" t="str">
        <f>+IF('Data Pura Costos'!J585="","",'Data Pura Costos'!J585)</f>
        <v>24-25</v>
      </c>
      <c r="K585" s="82" t="str">
        <f t="shared" si="14"/>
        <v>El Retiro-Mostazal-PAULA</v>
      </c>
      <c r="R585" s="6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</row>
    <row r="586" spans="2:39" s="7" customFormat="1" x14ac:dyDescent="0.35">
      <c r="B586" s="4" t="str">
        <f>+IF('Data Pura Costos'!B586="","",'Data Pura Costos'!B586)</f>
        <v>La Esperanza</v>
      </c>
      <c r="C586" s="4" t="str">
        <f>+IF('Data Pura Costos'!C586="","",'Data Pura Costos'!C586)</f>
        <v>Peumo, VI región</v>
      </c>
      <c r="D586" s="5">
        <f>+IF('Data Pura Costos'!D586="","",'Data Pura Costos'!D586)</f>
        <v>98</v>
      </c>
      <c r="E586" s="65">
        <f>+IF('Data Pura Costos'!E586="","",IF('Data Pura Costos'!E586=0,MAX('Data Pura Costos'!$E$7:$E$3000)*1000,'Data Pura Costos'!E586))</f>
        <v>380000</v>
      </c>
      <c r="F586" s="5" t="str">
        <f>+IF('Data Pura Costos'!F586="","",'Data Pura Costos'!F586)</f>
        <v>Mostazal</v>
      </c>
      <c r="G586" s="5" t="str">
        <f>+IF('Data Pura Costos'!G586="","",'Data Pura Costos'!G586)</f>
        <v>PAULA</v>
      </c>
      <c r="H586" s="52" t="str">
        <f>+IF('Data Pura Costos'!H586="","",'Data Pura Costos'!H586)</f>
        <v>Termo</v>
      </c>
      <c r="I586" s="71">
        <f>+IF('Data Pura Costos'!I586="","",'Data Pura Costos'!I586)</f>
        <v>3877.5510204081634</v>
      </c>
      <c r="J586" s="52" t="str">
        <f>+IF('Data Pura Costos'!J586="","",'Data Pura Costos'!J586)</f>
        <v>24-25</v>
      </c>
      <c r="K586" s="82" t="str">
        <f t="shared" si="14"/>
        <v>La Esperanza-Mostazal-PAULA</v>
      </c>
      <c r="R586" s="6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</row>
    <row r="587" spans="2:39" s="7" customFormat="1" x14ac:dyDescent="0.35">
      <c r="B587" s="4" t="str">
        <f>+IF('Data Pura Costos'!B587="","",'Data Pura Costos'!B587)</f>
        <v>La Estación</v>
      </c>
      <c r="C587" s="4" t="str">
        <f>+IF('Data Pura Costos'!C587="","",'Data Pura Costos'!C587)</f>
        <v>Palmilla, VI región</v>
      </c>
      <c r="D587" s="5">
        <f>+IF('Data Pura Costos'!D587="","",'Data Pura Costos'!D587)</f>
        <v>125</v>
      </c>
      <c r="E587" s="65">
        <f>+IF('Data Pura Costos'!E587="","",IF('Data Pura Costos'!E587=0,MAX('Data Pura Costos'!$E$7:$E$3000)*1000,'Data Pura Costos'!E587))</f>
        <v>400000</v>
      </c>
      <c r="F587" s="5" t="str">
        <f>+IF('Data Pura Costos'!F587="","",'Data Pura Costos'!F587)</f>
        <v>Mostazal</v>
      </c>
      <c r="G587" s="5" t="str">
        <f>+IF('Data Pura Costos'!G587="","",'Data Pura Costos'!G587)</f>
        <v>PAULA</v>
      </c>
      <c r="H587" s="52" t="str">
        <f>+IF('Data Pura Costos'!H587="","",'Data Pura Costos'!H587)</f>
        <v>Termo</v>
      </c>
      <c r="I587" s="71">
        <f>+IF('Data Pura Costos'!I587="","",'Data Pura Costos'!I587)</f>
        <v>3200</v>
      </c>
      <c r="J587" s="52" t="str">
        <f>+IF('Data Pura Costos'!J587="","",'Data Pura Costos'!J587)</f>
        <v>24-25</v>
      </c>
      <c r="K587" s="82" t="str">
        <f t="shared" si="14"/>
        <v>La Estación-Mostazal-PAULA</v>
      </c>
      <c r="R587" s="6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</row>
    <row r="588" spans="2:39" s="7" customFormat="1" x14ac:dyDescent="0.35">
      <c r="B588" s="4" t="str">
        <f>+IF('Data Pura Costos'!B588="","",'Data Pura Costos'!B588)</f>
        <v>La Lajuela</v>
      </c>
      <c r="C588" s="4" t="str">
        <f>+IF('Data Pura Costos'!C588="","",'Data Pura Costos'!C588)</f>
        <v>Santa Cruz, VI Región</v>
      </c>
      <c r="D588" s="5">
        <f>+IF('Data Pura Costos'!D588="","",'Data Pura Costos'!D588)</f>
        <v>128</v>
      </c>
      <c r="E588" s="65">
        <f>+IF('Data Pura Costos'!E588="","",IF('Data Pura Costos'!E588=0,MAX('Data Pura Costos'!$E$7:$E$3000)*1000,'Data Pura Costos'!E588))</f>
        <v>400000</v>
      </c>
      <c r="F588" s="5" t="str">
        <f>+IF('Data Pura Costos'!F588="","",'Data Pura Costos'!F588)</f>
        <v>Mostazal</v>
      </c>
      <c r="G588" s="5" t="str">
        <f>+IF('Data Pura Costos'!G588="","",'Data Pura Costos'!G588)</f>
        <v>PAULA</v>
      </c>
      <c r="H588" s="52" t="str">
        <f>+IF('Data Pura Costos'!H588="","",'Data Pura Costos'!H588)</f>
        <v>Termo</v>
      </c>
      <c r="I588" s="71">
        <f>+IF('Data Pura Costos'!I588="","",'Data Pura Costos'!I588)</f>
        <v>3125</v>
      </c>
      <c r="J588" s="52" t="str">
        <f>+IF('Data Pura Costos'!J588="","",'Data Pura Costos'!J588)</f>
        <v>24-25</v>
      </c>
      <c r="K588" s="82" t="str">
        <f t="shared" si="14"/>
        <v>La Lajuela-Mostazal-PAULA</v>
      </c>
      <c r="R588" s="6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</row>
    <row r="589" spans="2:39" s="7" customFormat="1" x14ac:dyDescent="0.35">
      <c r="B589" s="4" t="str">
        <f>+IF('Data Pura Costos'!B589="","",'Data Pura Costos'!B589)</f>
        <v>La Morera</v>
      </c>
      <c r="C589" s="4" t="str">
        <f>+IF('Data Pura Costos'!C589="","",'Data Pura Costos'!C589)</f>
        <v>La compañia, VI Region.</v>
      </c>
      <c r="D589" s="5">
        <f>+IF('Data Pura Costos'!D589="","",'Data Pura Costos'!D589)</f>
        <v>16</v>
      </c>
      <c r="E589" s="65">
        <f>+IF('Data Pura Costos'!E589="","",IF('Data Pura Costos'!E589=0,MAX('Data Pura Costos'!$E$7:$E$3000)*1000,'Data Pura Costos'!E589))</f>
        <v>250000</v>
      </c>
      <c r="F589" s="5" t="str">
        <f>+IF('Data Pura Costos'!F589="","",'Data Pura Costos'!F589)</f>
        <v>Mostazal</v>
      </c>
      <c r="G589" s="5" t="str">
        <f>+IF('Data Pura Costos'!G589="","",'Data Pura Costos'!G589)</f>
        <v>PAULA</v>
      </c>
      <c r="H589" s="52" t="str">
        <f>+IF('Data Pura Costos'!H589="","",'Data Pura Costos'!H589)</f>
        <v>Termo</v>
      </c>
      <c r="I589" s="71">
        <f>+IF('Data Pura Costos'!I589="","",'Data Pura Costos'!I589)</f>
        <v>15625</v>
      </c>
      <c r="J589" s="52" t="str">
        <f>+IF('Data Pura Costos'!J589="","",'Data Pura Costos'!J589)</f>
        <v>24-25</v>
      </c>
      <c r="K589" s="82" t="str">
        <f t="shared" si="14"/>
        <v>La Morera-Mostazal-PAULA</v>
      </c>
      <c r="R589" s="6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</row>
    <row r="590" spans="2:39" s="7" customFormat="1" x14ac:dyDescent="0.35">
      <c r="B590" s="4" t="str">
        <f>+IF('Data Pura Costos'!B590="","",'Data Pura Costos'!B590)</f>
        <v>La Rinconada</v>
      </c>
      <c r="C590" s="4" t="str">
        <f>+IF('Data Pura Costos'!C590="","",'Data Pura Costos'!C590)</f>
        <v>Pichidegua, VI región</v>
      </c>
      <c r="D590" s="5">
        <f>+IF('Data Pura Costos'!D590="","",'Data Pura Costos'!D590)</f>
        <v>110</v>
      </c>
      <c r="E590" s="65">
        <f>+IF('Data Pura Costos'!E590="","",IF('Data Pura Costos'!E590=0,MAX('Data Pura Costos'!$E$7:$E$3000)*1000,'Data Pura Costos'!E590))</f>
        <v>400000</v>
      </c>
      <c r="F590" s="5" t="str">
        <f>+IF('Data Pura Costos'!F590="","",'Data Pura Costos'!F590)</f>
        <v>Mostazal</v>
      </c>
      <c r="G590" s="5" t="str">
        <f>+IF('Data Pura Costos'!G590="","",'Data Pura Costos'!G590)</f>
        <v>PAULA</v>
      </c>
      <c r="H590" s="52" t="str">
        <f>+IF('Data Pura Costos'!H590="","",'Data Pura Costos'!H590)</f>
        <v>Termo</v>
      </c>
      <c r="I590" s="71">
        <f>+IF('Data Pura Costos'!I590="","",'Data Pura Costos'!I590)</f>
        <v>3636.3636363636365</v>
      </c>
      <c r="J590" s="52" t="str">
        <f>+IF('Data Pura Costos'!J590="","",'Data Pura Costos'!J590)</f>
        <v>24-25</v>
      </c>
      <c r="K590" s="82" t="str">
        <f t="shared" si="14"/>
        <v>La Rinconada-Mostazal-PAULA</v>
      </c>
      <c r="R590" s="6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</row>
    <row r="591" spans="2:39" s="7" customFormat="1" x14ac:dyDescent="0.35">
      <c r="B591" s="4" t="str">
        <f>+IF('Data Pura Costos'!B591="","",'Data Pura Costos'!B591)</f>
        <v xml:space="preserve">La Roblería </v>
      </c>
      <c r="C591" s="4" t="str">
        <f>+IF('Data Pura Costos'!C591="","",'Data Pura Costos'!C591)</f>
        <v>Aculeo, RM</v>
      </c>
      <c r="D591" s="5">
        <f>+IF('Data Pura Costos'!D591="","",'Data Pura Costos'!D591)</f>
        <v>40</v>
      </c>
      <c r="E591" s="65">
        <f>+IF('Data Pura Costos'!E591="","",IF('Data Pura Costos'!E591=0,MAX('Data Pura Costos'!$E$7:$E$3000)*1000,'Data Pura Costos'!E591))</f>
        <v>330000</v>
      </c>
      <c r="F591" s="5" t="str">
        <f>+IF('Data Pura Costos'!F591="","",'Data Pura Costos'!F591)</f>
        <v>Mostazal</v>
      </c>
      <c r="G591" s="5" t="str">
        <f>+IF('Data Pura Costos'!G591="","",'Data Pura Costos'!G591)</f>
        <v>PAULA</v>
      </c>
      <c r="H591" s="52" t="str">
        <f>+IF('Data Pura Costos'!H591="","",'Data Pura Costos'!H591)</f>
        <v>Termo</v>
      </c>
      <c r="I591" s="71">
        <f>+IF('Data Pura Costos'!I591="","",'Data Pura Costos'!I591)</f>
        <v>8250</v>
      </c>
      <c r="J591" s="52" t="str">
        <f>+IF('Data Pura Costos'!J591="","",'Data Pura Costos'!J591)</f>
        <v>24-25</v>
      </c>
      <c r="K591" s="82" t="str">
        <f t="shared" si="14"/>
        <v>La Roblería -Mostazal-PAULA</v>
      </c>
      <c r="R591" s="6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</row>
    <row r="592" spans="2:39" s="7" customFormat="1" x14ac:dyDescent="0.35">
      <c r="B592" s="4" t="str">
        <f>+IF('Data Pura Costos'!B592="","",'Data Pura Costos'!B592)</f>
        <v>Las Cabras</v>
      </c>
      <c r="C592" s="4" t="str">
        <f>+IF('Data Pura Costos'!C592="","",'Data Pura Costos'!C592)</f>
        <v>Las Cabras, VI región</v>
      </c>
      <c r="D592" s="5">
        <f>+IF('Data Pura Costos'!D592="","",'Data Pura Costos'!D592)</f>
        <v>110</v>
      </c>
      <c r="E592" s="65">
        <f>+IF('Data Pura Costos'!E592="","",IF('Data Pura Costos'!E592=0,MAX('Data Pura Costos'!$E$7:$E$3000)*1000,'Data Pura Costos'!E592))</f>
        <v>400000</v>
      </c>
      <c r="F592" s="5" t="str">
        <f>+IF('Data Pura Costos'!F592="","",'Data Pura Costos'!F592)</f>
        <v>Mostazal</v>
      </c>
      <c r="G592" s="5" t="str">
        <f>+IF('Data Pura Costos'!G592="","",'Data Pura Costos'!G592)</f>
        <v>PAULA</v>
      </c>
      <c r="H592" s="52" t="str">
        <f>+IF('Data Pura Costos'!H592="","",'Data Pura Costos'!H592)</f>
        <v>Termo</v>
      </c>
      <c r="I592" s="71">
        <f>+IF('Data Pura Costos'!I592="","",'Data Pura Costos'!I592)</f>
        <v>3636.3636363636365</v>
      </c>
      <c r="J592" s="52" t="str">
        <f>+IF('Data Pura Costos'!J592="","",'Data Pura Costos'!J592)</f>
        <v>24-25</v>
      </c>
      <c r="K592" s="82" t="str">
        <f t="shared" si="14"/>
        <v>Las Cabras-Mostazal-PAULA</v>
      </c>
      <c r="R592" s="6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</row>
    <row r="593" spans="2:39" s="7" customFormat="1" x14ac:dyDescent="0.35">
      <c r="B593" s="4" t="str">
        <f>+IF('Data Pura Costos'!B593="","",'Data Pura Costos'!B593)</f>
        <v>Las Vertientes</v>
      </c>
      <c r="C593" s="4" t="str">
        <f>+IF('Data Pura Costos'!C593="","",'Data Pura Costos'!C593)</f>
        <v>Pichidegua, VI región</v>
      </c>
      <c r="D593" s="5">
        <f>+IF('Data Pura Costos'!D593="","",'Data Pura Costos'!D593)</f>
        <v>103</v>
      </c>
      <c r="E593" s="65">
        <f>+IF('Data Pura Costos'!E593="","",IF('Data Pura Costos'!E593=0,MAX('Data Pura Costos'!$E$7:$E$3000)*1000,'Data Pura Costos'!E593))</f>
        <v>400000</v>
      </c>
      <c r="F593" s="5" t="str">
        <f>+IF('Data Pura Costos'!F593="","",'Data Pura Costos'!F593)</f>
        <v>Mostazal</v>
      </c>
      <c r="G593" s="5" t="str">
        <f>+IF('Data Pura Costos'!G593="","",'Data Pura Costos'!G593)</f>
        <v>PAULA</v>
      </c>
      <c r="H593" s="52" t="str">
        <f>+IF('Data Pura Costos'!H593="","",'Data Pura Costos'!H593)</f>
        <v>Termo</v>
      </c>
      <c r="I593" s="71">
        <f>+IF('Data Pura Costos'!I593="","",'Data Pura Costos'!I593)</f>
        <v>3883.4951456310678</v>
      </c>
      <c r="J593" s="52" t="str">
        <f>+IF('Data Pura Costos'!J593="","",'Data Pura Costos'!J593)</f>
        <v>24-25</v>
      </c>
      <c r="K593" s="82" t="str">
        <f t="shared" si="14"/>
        <v>Las Vertientes-Mostazal-PAULA</v>
      </c>
      <c r="R593" s="6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</row>
    <row r="594" spans="2:39" s="7" customFormat="1" x14ac:dyDescent="0.35">
      <c r="B594" s="4" t="str">
        <f>+IF('Data Pura Costos'!B594="","",'Data Pura Costos'!B594)</f>
        <v>Lihueimo</v>
      </c>
      <c r="C594" s="4" t="str">
        <f>+IF('Data Pura Costos'!C594="","",'Data Pura Costos'!C594)</f>
        <v>Peralillo ohiggins</v>
      </c>
      <c r="D594" s="5">
        <f>+IF('Data Pura Costos'!D594="","",'Data Pura Costos'!D594)</f>
        <v>131</v>
      </c>
      <c r="E594" s="65">
        <f>+IF('Data Pura Costos'!E594="","",IF('Data Pura Costos'!E594=0,MAX('Data Pura Costos'!$E$7:$E$3000)*1000,'Data Pura Costos'!E594))</f>
        <v>410000</v>
      </c>
      <c r="F594" s="5" t="str">
        <f>+IF('Data Pura Costos'!F594="","",'Data Pura Costos'!F594)</f>
        <v>Mostazal</v>
      </c>
      <c r="G594" s="5" t="str">
        <f>+IF('Data Pura Costos'!G594="","",'Data Pura Costos'!G594)</f>
        <v>PAULA</v>
      </c>
      <c r="H594" s="52" t="str">
        <f>+IF('Data Pura Costos'!H594="","",'Data Pura Costos'!H594)</f>
        <v>Termo</v>
      </c>
      <c r="I594" s="71">
        <f>+IF('Data Pura Costos'!I594="","",'Data Pura Costos'!I594)</f>
        <v>3129.7709923664124</v>
      </c>
      <c r="J594" s="52" t="str">
        <f>+IF('Data Pura Costos'!J594="","",'Data Pura Costos'!J594)</f>
        <v>24-25</v>
      </c>
      <c r="K594" s="82" t="str">
        <f t="shared" si="14"/>
        <v>Lihueimo-Mostazal-PAULA</v>
      </c>
      <c r="R594" s="6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</row>
    <row r="595" spans="2:39" s="7" customFormat="1" x14ac:dyDescent="0.35">
      <c r="B595" s="4" t="str">
        <f>+IF('Data Pura Costos'!B595="","",'Data Pura Costos'!B595)</f>
        <v>Los Encinos</v>
      </c>
      <c r="C595" s="4" t="str">
        <f>+IF('Data Pura Costos'!C595="","",'Data Pura Costos'!C595)</f>
        <v>Huechun, RM</v>
      </c>
      <c r="D595" s="5">
        <f>+IF('Data Pura Costos'!D595="","",'Data Pura Costos'!D595)</f>
        <v>85</v>
      </c>
      <c r="E595" s="65">
        <f>+IF('Data Pura Costos'!E595="","",IF('Data Pura Costos'!E595=0,MAX('Data Pura Costos'!$E$7:$E$3000)*1000,'Data Pura Costos'!E595))</f>
        <v>380000</v>
      </c>
      <c r="F595" s="5" t="str">
        <f>+IF('Data Pura Costos'!F595="","",'Data Pura Costos'!F595)</f>
        <v>Mostazal</v>
      </c>
      <c r="G595" s="5" t="str">
        <f>+IF('Data Pura Costos'!G595="","",'Data Pura Costos'!G595)</f>
        <v>PAULA</v>
      </c>
      <c r="H595" s="52" t="str">
        <f>+IF('Data Pura Costos'!H595="","",'Data Pura Costos'!H595)</f>
        <v>Termo</v>
      </c>
      <c r="I595" s="71">
        <f>+IF('Data Pura Costos'!I595="","",'Data Pura Costos'!I595)</f>
        <v>4470.588235294118</v>
      </c>
      <c r="J595" s="52" t="str">
        <f>+IF('Data Pura Costos'!J595="","",'Data Pura Costos'!J595)</f>
        <v>24-25</v>
      </c>
      <c r="K595" s="82" t="str">
        <f t="shared" si="14"/>
        <v>Los Encinos-Mostazal-PAULA</v>
      </c>
      <c r="R595" s="6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</row>
    <row r="596" spans="2:39" s="7" customFormat="1" x14ac:dyDescent="0.35">
      <c r="B596" s="4" t="str">
        <f>+IF('Data Pura Costos'!B596="","",'Data Pura Costos'!B596)</f>
        <v>Los Maitenes</v>
      </c>
      <c r="C596" s="4" t="str">
        <f>+IF('Data Pura Costos'!C596="","",'Data Pura Costos'!C596)</f>
        <v>Las Cabras, VI región</v>
      </c>
      <c r="D596" s="5">
        <f>+IF('Data Pura Costos'!D596="","",'Data Pura Costos'!D596)</f>
        <v>118</v>
      </c>
      <c r="E596" s="65">
        <f>+IF('Data Pura Costos'!E596="","",IF('Data Pura Costos'!E596=0,MAX('Data Pura Costos'!$E$7:$E$3000)*1000,'Data Pura Costos'!E596))</f>
        <v>400000</v>
      </c>
      <c r="F596" s="5" t="str">
        <f>+IF('Data Pura Costos'!F596="","",'Data Pura Costos'!F596)</f>
        <v>Mostazal</v>
      </c>
      <c r="G596" s="5" t="str">
        <f>+IF('Data Pura Costos'!G596="","",'Data Pura Costos'!G596)</f>
        <v>PAULA</v>
      </c>
      <c r="H596" s="52" t="str">
        <f>+IF('Data Pura Costos'!H596="","",'Data Pura Costos'!H596)</f>
        <v>Termo</v>
      </c>
      <c r="I596" s="71">
        <f>+IF('Data Pura Costos'!I596="","",'Data Pura Costos'!I596)</f>
        <v>3389.8305084745762</v>
      </c>
      <c r="J596" s="52" t="str">
        <f>+IF('Data Pura Costos'!J596="","",'Data Pura Costos'!J596)</f>
        <v>24-25</v>
      </c>
      <c r="K596" s="82" t="str">
        <f t="shared" si="14"/>
        <v>Los Maitenes-Mostazal-PAULA</v>
      </c>
      <c r="R596" s="6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</row>
    <row r="597" spans="2:39" s="7" customFormat="1" x14ac:dyDescent="0.35">
      <c r="B597" s="4" t="str">
        <f>+IF('Data Pura Costos'!B597="","",'Data Pura Costos'!B597)</f>
        <v>Los Toldos</v>
      </c>
      <c r="C597" s="4" t="str">
        <f>+IF('Data Pura Costos'!C597="","",'Data Pura Costos'!C597)</f>
        <v>Angol, IX región</v>
      </c>
      <c r="D597" s="5">
        <f>+IF('Data Pura Costos'!D597="","",'Data Pura Costos'!D597)</f>
        <v>549</v>
      </c>
      <c r="E597" s="65">
        <f>+IF('Data Pura Costos'!E597="","",IF('Data Pura Costos'!E597=0,MAX('Data Pura Costos'!$E$7:$E$3000)*1000,'Data Pura Costos'!E597))</f>
        <v>1500000</v>
      </c>
      <c r="F597" s="5" t="str">
        <f>+IF('Data Pura Costos'!F597="","",'Data Pura Costos'!F597)</f>
        <v>Mostazal</v>
      </c>
      <c r="G597" s="5" t="str">
        <f>+IF('Data Pura Costos'!G597="","",'Data Pura Costos'!G597)</f>
        <v>PAULA</v>
      </c>
      <c r="H597" s="52" t="str">
        <f>+IF('Data Pura Costos'!H597="","",'Data Pura Costos'!H597)</f>
        <v>Termo</v>
      </c>
      <c r="I597" s="71">
        <f>+IF('Data Pura Costos'!I597="","",'Data Pura Costos'!I597)</f>
        <v>2732.2404371584698</v>
      </c>
      <c r="J597" s="52" t="str">
        <f>+IF('Data Pura Costos'!J597="","",'Data Pura Costos'!J597)</f>
        <v>24-25</v>
      </c>
      <c r="K597" s="82" t="str">
        <f t="shared" si="14"/>
        <v>Los Toldos-Mostazal-PAULA</v>
      </c>
      <c r="R597" s="6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</row>
    <row r="598" spans="2:39" s="7" customFormat="1" x14ac:dyDescent="0.35">
      <c r="B598" s="4" t="str">
        <f>+IF('Data Pura Costos'!B598="","",'Data Pura Costos'!B598)</f>
        <v>Mallorca</v>
      </c>
      <c r="C598" s="4" t="str">
        <f>+IF('Data Pura Costos'!C598="","",'Data Pura Costos'!C598)</f>
        <v xml:space="preserve">Molina, VII región </v>
      </c>
      <c r="D598" s="5">
        <f>+IF('Data Pura Costos'!D598="","",'Data Pura Costos'!D598)</f>
        <v>144</v>
      </c>
      <c r="E598" s="65">
        <f>+IF('Data Pura Costos'!E598="","",IF('Data Pura Costos'!E598=0,MAX('Data Pura Costos'!$E$7:$E$3000)*1000,'Data Pura Costos'!E598))</f>
        <v>460000</v>
      </c>
      <c r="F598" s="5" t="str">
        <f>+IF('Data Pura Costos'!F598="","",'Data Pura Costos'!F598)</f>
        <v>Mostazal</v>
      </c>
      <c r="G598" s="5" t="str">
        <f>+IF('Data Pura Costos'!G598="","",'Data Pura Costos'!G598)</f>
        <v>PAULA</v>
      </c>
      <c r="H598" s="52" t="str">
        <f>+IF('Data Pura Costos'!H598="","",'Data Pura Costos'!H598)</f>
        <v>Termo</v>
      </c>
      <c r="I598" s="71">
        <f>+IF('Data Pura Costos'!I598="","",'Data Pura Costos'!I598)</f>
        <v>3194.4444444444443</v>
      </c>
      <c r="J598" s="52" t="str">
        <f>+IF('Data Pura Costos'!J598="","",'Data Pura Costos'!J598)</f>
        <v>24-25</v>
      </c>
      <c r="K598" s="82" t="str">
        <f t="shared" si="14"/>
        <v>Mallorca-Mostazal-PAULA</v>
      </c>
      <c r="R598" s="6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</row>
    <row r="599" spans="2:39" s="7" customFormat="1" x14ac:dyDescent="0.35">
      <c r="B599" s="4" t="str">
        <f>+IF('Data Pura Costos'!B599="","",'Data Pura Costos'!B599)</f>
        <v>Panquehue</v>
      </c>
      <c r="C599" s="4" t="str">
        <f>+IF('Data Pura Costos'!C599="","",'Data Pura Costos'!C599)</f>
        <v>Panquehue, V región</v>
      </c>
      <c r="D599" s="5">
        <f>+IF('Data Pura Costos'!D599="","",'Data Pura Costos'!D599)</f>
        <v>165</v>
      </c>
      <c r="E599" s="65">
        <f>+IF('Data Pura Costos'!E599="","",IF('Data Pura Costos'!E599=0,MAX('Data Pura Costos'!$E$7:$E$3000)*1000,'Data Pura Costos'!E599))</f>
        <v>500000</v>
      </c>
      <c r="F599" s="5" t="str">
        <f>+IF('Data Pura Costos'!F599="","",'Data Pura Costos'!F599)</f>
        <v>Mostazal</v>
      </c>
      <c r="G599" s="5" t="str">
        <f>+IF('Data Pura Costos'!G599="","",'Data Pura Costos'!G599)</f>
        <v>PAULA</v>
      </c>
      <c r="H599" s="52" t="str">
        <f>+IF('Data Pura Costos'!H599="","",'Data Pura Costos'!H599)</f>
        <v>Termo</v>
      </c>
      <c r="I599" s="71">
        <f>+IF('Data Pura Costos'!I599="","",'Data Pura Costos'!I599)</f>
        <v>3030.3030303030305</v>
      </c>
      <c r="J599" s="52" t="str">
        <f>+IF('Data Pura Costos'!J599="","",'Data Pura Costos'!J599)</f>
        <v>24-25</v>
      </c>
      <c r="K599" s="82" t="str">
        <f t="shared" si="14"/>
        <v>Panquehue-Mostazal-PAULA</v>
      </c>
      <c r="R599" s="6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</row>
    <row r="600" spans="2:39" s="7" customFormat="1" x14ac:dyDescent="0.35">
      <c r="B600" s="4" t="str">
        <f>+IF('Data Pura Costos'!B600="","",'Data Pura Costos'!B600)</f>
        <v>Entre Rios/Puente Negro/Rio Claro</v>
      </c>
      <c r="C600" s="4" t="str">
        <f>+IF('Data Pura Costos'!C600="","",'Data Pura Costos'!C600)</f>
        <v>Puente negro, san fernando.VI Region.</v>
      </c>
      <c r="D600" s="5">
        <f>+IF('Data Pura Costos'!D600="","",'Data Pura Costos'!D600)</f>
        <v>100</v>
      </c>
      <c r="E600" s="65">
        <f>+IF('Data Pura Costos'!E600="","",IF('Data Pura Costos'!E600=0,MAX('Data Pura Costos'!$E$7:$E$3000)*1000,'Data Pura Costos'!E600))</f>
        <v>400000</v>
      </c>
      <c r="F600" s="5" t="str">
        <f>+IF('Data Pura Costos'!F600="","",'Data Pura Costos'!F600)</f>
        <v>Mostazal</v>
      </c>
      <c r="G600" s="5" t="str">
        <f>+IF('Data Pura Costos'!G600="","",'Data Pura Costos'!G600)</f>
        <v>PAULA</v>
      </c>
      <c r="H600" s="52" t="str">
        <f>+IF('Data Pura Costos'!H600="","",'Data Pura Costos'!H600)</f>
        <v>Termo</v>
      </c>
      <c r="I600" s="71">
        <f>+IF('Data Pura Costos'!I600="","",'Data Pura Costos'!I600)</f>
        <v>4000</v>
      </c>
      <c r="J600" s="52" t="str">
        <f>+IF('Data Pura Costos'!J600="","",'Data Pura Costos'!J600)</f>
        <v>24-25</v>
      </c>
      <c r="K600" s="82" t="str">
        <f t="shared" si="14"/>
        <v>Entre Rios/Puente Negro/Rio Claro-Mostazal-PAULA</v>
      </c>
      <c r="R600" s="6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</row>
    <row r="601" spans="2:39" s="7" customFormat="1" x14ac:dyDescent="0.35">
      <c r="B601" s="4" t="str">
        <f>+IF('Data Pura Costos'!B601="","",'Data Pura Costos'!B601)</f>
        <v>Retorno</v>
      </c>
      <c r="C601" s="4" t="str">
        <f>+IF('Data Pura Costos'!C601="","",'Data Pura Costos'!C601)</f>
        <v>Santa maria, V región</v>
      </c>
      <c r="D601" s="5">
        <f>+IF('Data Pura Costos'!D601="","",'Data Pura Costos'!D601)</f>
        <v>162</v>
      </c>
      <c r="E601" s="65">
        <f>+IF('Data Pura Costos'!E601="","",IF('Data Pura Costos'!E601=0,MAX('Data Pura Costos'!$E$7:$E$3000)*1000,'Data Pura Costos'!E601))</f>
        <v>500000</v>
      </c>
      <c r="F601" s="5" t="str">
        <f>+IF('Data Pura Costos'!F601="","",'Data Pura Costos'!F601)</f>
        <v>Mostazal</v>
      </c>
      <c r="G601" s="5" t="str">
        <f>+IF('Data Pura Costos'!G601="","",'Data Pura Costos'!G601)</f>
        <v>PAULA</v>
      </c>
      <c r="H601" s="52" t="str">
        <f>+IF('Data Pura Costos'!H601="","",'Data Pura Costos'!H601)</f>
        <v>Termo</v>
      </c>
      <c r="I601" s="71">
        <f>+IF('Data Pura Costos'!I601="","",'Data Pura Costos'!I601)</f>
        <v>3086.4197530864199</v>
      </c>
      <c r="J601" s="52" t="str">
        <f>+IF('Data Pura Costos'!J601="","",'Data Pura Costos'!J601)</f>
        <v>24-25</v>
      </c>
      <c r="K601" s="82" t="str">
        <f t="shared" si="14"/>
        <v>Retorno-Mostazal-PAULA</v>
      </c>
      <c r="R601" s="6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</row>
    <row r="602" spans="2:39" s="7" customFormat="1" x14ac:dyDescent="0.35">
      <c r="B602" s="4" t="str">
        <f>+IF('Data Pura Costos'!B602="","",'Data Pura Costos'!B602)</f>
        <v>San Hernán</v>
      </c>
      <c r="C602" s="4" t="str">
        <f>+IF('Data Pura Costos'!C602="","",'Data Pura Costos'!C602)</f>
        <v>Graneros, VI región</v>
      </c>
      <c r="D602" s="5">
        <f>+IF('Data Pura Costos'!D602="","",'Data Pura Costos'!D602)</f>
        <v>10</v>
      </c>
      <c r="E602" s="65">
        <f>+IF('Data Pura Costos'!E602="","",IF('Data Pura Costos'!E602=0,MAX('Data Pura Costos'!$E$7:$E$3000)*1000,'Data Pura Costos'!E602))</f>
        <v>250000</v>
      </c>
      <c r="F602" s="5" t="str">
        <f>+IF('Data Pura Costos'!F602="","",'Data Pura Costos'!F602)</f>
        <v>Mostazal</v>
      </c>
      <c r="G602" s="5" t="str">
        <f>+IF('Data Pura Costos'!G602="","",'Data Pura Costos'!G602)</f>
        <v>PAULA</v>
      </c>
      <c r="H602" s="52" t="str">
        <f>+IF('Data Pura Costos'!H602="","",'Data Pura Costos'!H602)</f>
        <v>Termo</v>
      </c>
      <c r="I602" s="71">
        <f>+IF('Data Pura Costos'!I602="","",'Data Pura Costos'!I602)</f>
        <v>25000</v>
      </c>
      <c r="J602" s="52" t="str">
        <f>+IF('Data Pura Costos'!J602="","",'Data Pura Costos'!J602)</f>
        <v>24-25</v>
      </c>
      <c r="K602" s="82" t="str">
        <f t="shared" si="14"/>
        <v>San Hernán-Mostazal-PAULA</v>
      </c>
      <c r="R602" s="6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</row>
    <row r="603" spans="2:39" s="7" customFormat="1" x14ac:dyDescent="0.35">
      <c r="B603" s="4" t="str">
        <f>+IF('Data Pura Costos'!B603="","",'Data Pura Costos'!B603)</f>
        <v>Santa Mónica</v>
      </c>
      <c r="C603" s="4" t="str">
        <f>+IF('Data Pura Costos'!C603="","",'Data Pura Costos'!C603)</f>
        <v xml:space="preserve">Rancagua, sector Chancón, VI región </v>
      </c>
      <c r="D603" s="5">
        <f>+IF('Data Pura Costos'!D603="","",'Data Pura Costos'!D603)</f>
        <v>20</v>
      </c>
      <c r="E603" s="65">
        <f>+IF('Data Pura Costos'!E603="","",IF('Data Pura Costos'!E603=0,MAX('Data Pura Costos'!$E$7:$E$3000)*1000,'Data Pura Costos'!E603))</f>
        <v>300000</v>
      </c>
      <c r="F603" s="5" t="str">
        <f>+IF('Data Pura Costos'!F603="","",'Data Pura Costos'!F603)</f>
        <v>Mostazal</v>
      </c>
      <c r="G603" s="5" t="str">
        <f>+IF('Data Pura Costos'!G603="","",'Data Pura Costos'!G603)</f>
        <v>PAULA</v>
      </c>
      <c r="H603" s="52" t="str">
        <f>+IF('Data Pura Costos'!H603="","",'Data Pura Costos'!H603)</f>
        <v>Termo</v>
      </c>
      <c r="I603" s="71">
        <f>+IF('Data Pura Costos'!I603="","",'Data Pura Costos'!I603)</f>
        <v>15000</v>
      </c>
      <c r="J603" s="52" t="str">
        <f>+IF('Data Pura Costos'!J603="","",'Data Pura Costos'!J603)</f>
        <v>24-25</v>
      </c>
      <c r="K603" s="82" t="str">
        <f t="shared" si="14"/>
        <v>Santa Mónica-Mostazal-PAULA</v>
      </c>
      <c r="R603" s="6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</row>
    <row r="604" spans="2:39" s="7" customFormat="1" x14ac:dyDescent="0.35">
      <c r="B604" s="4" t="str">
        <f>+IF('Data Pura Costos'!B604="","",'Data Pura Costos'!B604)</f>
        <v>Talhuén</v>
      </c>
      <c r="C604" s="4" t="str">
        <f>+IF('Data Pura Costos'!C604="","",'Data Pura Costos'!C604)</f>
        <v>Palmilla, VI región</v>
      </c>
      <c r="D604" s="5">
        <f>+IF('Data Pura Costos'!D604="","",'Data Pura Costos'!D604)</f>
        <v>122</v>
      </c>
      <c r="E604" s="65">
        <f>+IF('Data Pura Costos'!E604="","",IF('Data Pura Costos'!E604=0,MAX('Data Pura Costos'!$E$7:$E$3000)*1000,'Data Pura Costos'!E604))</f>
        <v>400000</v>
      </c>
      <c r="F604" s="5" t="str">
        <f>+IF('Data Pura Costos'!F604="","",'Data Pura Costos'!F604)</f>
        <v>Mostazal</v>
      </c>
      <c r="G604" s="5" t="str">
        <f>+IF('Data Pura Costos'!G604="","",'Data Pura Costos'!G604)</f>
        <v>PAULA</v>
      </c>
      <c r="H604" s="52" t="str">
        <f>+IF('Data Pura Costos'!H604="","",'Data Pura Costos'!H604)</f>
        <v>Termo</v>
      </c>
      <c r="I604" s="71">
        <f>+IF('Data Pura Costos'!I604="","",'Data Pura Costos'!I604)</f>
        <v>3278.688524590164</v>
      </c>
      <c r="J604" s="52" t="str">
        <f>+IF('Data Pura Costos'!J604="","",'Data Pura Costos'!J604)</f>
        <v>24-25</v>
      </c>
      <c r="K604" s="82" t="str">
        <f t="shared" si="14"/>
        <v>Talhuén-Mostazal-PAULA</v>
      </c>
      <c r="R604" s="6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</row>
    <row r="605" spans="2:39" s="7" customFormat="1" x14ac:dyDescent="0.35">
      <c r="B605" s="4" t="str">
        <f>+IF('Data Pura Costos'!B605="","",'Data Pura Costos'!B605)</f>
        <v>Villaseca</v>
      </c>
      <c r="C605" s="4" t="str">
        <f>+IF('Data Pura Costos'!C605="","",'Data Pura Costos'!C605)</f>
        <v>Retiro, VII reginón</v>
      </c>
      <c r="D605" s="5">
        <f>+IF('Data Pura Costos'!D605="","",'Data Pura Costos'!D605)</f>
        <v>297</v>
      </c>
      <c r="E605" s="65">
        <f>+IF('Data Pura Costos'!E605="","",IF('Data Pura Costos'!E605=0,MAX('Data Pura Costos'!$E$7:$E$3000)*1000,'Data Pura Costos'!E605))</f>
        <v>1000000</v>
      </c>
      <c r="F605" s="5" t="str">
        <f>+IF('Data Pura Costos'!F605="","",'Data Pura Costos'!F605)</f>
        <v>Mostazal</v>
      </c>
      <c r="G605" s="5" t="str">
        <f>+IF('Data Pura Costos'!G605="","",'Data Pura Costos'!G605)</f>
        <v>PAULA</v>
      </c>
      <c r="H605" s="52" t="str">
        <f>+IF('Data Pura Costos'!H605="","",'Data Pura Costos'!H605)</f>
        <v>Termo</v>
      </c>
      <c r="I605" s="71">
        <f>+IF('Data Pura Costos'!I605="","",'Data Pura Costos'!I605)</f>
        <v>3367.0033670033672</v>
      </c>
      <c r="J605" s="52" t="str">
        <f>+IF('Data Pura Costos'!J605="","",'Data Pura Costos'!J605)</f>
        <v>24-25</v>
      </c>
      <c r="K605" s="82" t="str">
        <f t="shared" si="14"/>
        <v>Villaseca-Mostazal-PAULA</v>
      </c>
      <c r="R605" s="6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</row>
    <row r="606" spans="2:39" s="7" customFormat="1" x14ac:dyDescent="0.35">
      <c r="B606" s="4" t="str">
        <f>+IF('Data Pura Costos'!B606="","",'Data Pura Costos'!B606)</f>
        <v>Almahue</v>
      </c>
      <c r="C606" s="4" t="str">
        <f>+IF('Data Pura Costos'!C606="","",'Data Pura Costos'!C606)</f>
        <v>Pichidegua, VI región</v>
      </c>
      <c r="D606" s="5">
        <f>+IF('Data Pura Costos'!D606="","",'Data Pura Costos'!D606)</f>
        <v>134</v>
      </c>
      <c r="E606" s="65">
        <f>+IF('Data Pura Costos'!E606="","",IF('Data Pura Costos'!E606=0,MAX('Data Pura Costos'!$E$7:$E$3000)*1000,'Data Pura Costos'!E606))</f>
        <v>450000</v>
      </c>
      <c r="F606" s="5" t="str">
        <f>+IF('Data Pura Costos'!F606="","",'Data Pura Costos'!F606)</f>
        <v>Molina</v>
      </c>
      <c r="G606" s="5" t="str">
        <f>+IF('Data Pura Costos'!G606="","",'Data Pura Costos'!G606)</f>
        <v>PAULA</v>
      </c>
      <c r="H606" s="52" t="str">
        <f>+IF('Data Pura Costos'!H606="","",'Data Pura Costos'!H606)</f>
        <v>Termo</v>
      </c>
      <c r="I606" s="71">
        <f>+IF('Data Pura Costos'!I606="","",'Data Pura Costos'!I606)</f>
        <v>3358.2089552238808</v>
      </c>
      <c r="J606" s="52" t="str">
        <f>+IF('Data Pura Costos'!J606="","",'Data Pura Costos'!J606)</f>
        <v>24-25</v>
      </c>
      <c r="K606" s="82" t="str">
        <f t="shared" si="14"/>
        <v>Almahue-Molina-PAULA</v>
      </c>
      <c r="R606" s="6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</row>
    <row r="607" spans="2:39" s="7" customFormat="1" x14ac:dyDescent="0.35">
      <c r="B607" s="4" t="str">
        <f>+IF('Data Pura Costos'!B607="","",'Data Pura Costos'!B607)</f>
        <v>Bodega</v>
      </c>
      <c r="C607" s="4" t="str">
        <f>+IF('Data Pura Costos'!C607="","",'Data Pura Costos'!C607)</f>
        <v>Linares, VII region.</v>
      </c>
      <c r="D607" s="5">
        <f>+IF('Data Pura Costos'!D607="","",'Data Pura Costos'!D607)</f>
        <v>123</v>
      </c>
      <c r="E607" s="65">
        <f>+IF('Data Pura Costos'!E607="","",IF('Data Pura Costos'!E607=0,MAX('Data Pura Costos'!$E$7:$E$3000)*1000,'Data Pura Costos'!E607))</f>
        <v>450000</v>
      </c>
      <c r="F607" s="5" t="str">
        <f>+IF('Data Pura Costos'!F607="","",'Data Pura Costos'!F607)</f>
        <v>Molina</v>
      </c>
      <c r="G607" s="5" t="str">
        <f>+IF('Data Pura Costos'!G607="","",'Data Pura Costos'!G607)</f>
        <v>PAULA</v>
      </c>
      <c r="H607" s="52" t="str">
        <f>+IF('Data Pura Costos'!H607="","",'Data Pura Costos'!H607)</f>
        <v>Termo</v>
      </c>
      <c r="I607" s="71">
        <f>+IF('Data Pura Costos'!I607="","",'Data Pura Costos'!I607)</f>
        <v>3658.5365853658536</v>
      </c>
      <c r="J607" s="52" t="str">
        <f>+IF('Data Pura Costos'!J607="","",'Data Pura Costos'!J607)</f>
        <v>24-25</v>
      </c>
      <c r="K607" s="82" t="str">
        <f t="shared" si="14"/>
        <v>Bodega-Molina-PAULA</v>
      </c>
      <c r="R607" s="6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</row>
    <row r="608" spans="2:39" s="7" customFormat="1" x14ac:dyDescent="0.35">
      <c r="B608" s="4" t="str">
        <f>+IF('Data Pura Costos'!B608="","",'Data Pura Costos'!B608)</f>
        <v xml:space="preserve">Caliboro </v>
      </c>
      <c r="C608" s="4" t="str">
        <f>+IF('Data Pura Costos'!C608="","",'Data Pura Costos'!C608)</f>
        <v>San Javier, VII región</v>
      </c>
      <c r="D608" s="5">
        <f>+IF('Data Pura Costos'!D608="","",'Data Pura Costos'!D608)</f>
        <v>118</v>
      </c>
      <c r="E608" s="65">
        <f>+IF('Data Pura Costos'!E608="","",IF('Data Pura Costos'!E608=0,MAX('Data Pura Costos'!$E$7:$E$3000)*1000,'Data Pura Costos'!E608))</f>
        <v>380000</v>
      </c>
      <c r="F608" s="5" t="str">
        <f>+IF('Data Pura Costos'!F608="","",'Data Pura Costos'!F608)</f>
        <v>Molina</v>
      </c>
      <c r="G608" s="5" t="str">
        <f>+IF('Data Pura Costos'!G608="","",'Data Pura Costos'!G608)</f>
        <v>PAULA</v>
      </c>
      <c r="H608" s="52" t="str">
        <f>+IF('Data Pura Costos'!H608="","",'Data Pura Costos'!H608)</f>
        <v>Termo</v>
      </c>
      <c r="I608" s="71">
        <f>+IF('Data Pura Costos'!I608="","",'Data Pura Costos'!I608)</f>
        <v>3220.3389830508477</v>
      </c>
      <c r="J608" s="52" t="str">
        <f>+IF('Data Pura Costos'!J608="","",'Data Pura Costos'!J608)</f>
        <v>24-25</v>
      </c>
      <c r="K608" s="82" t="str">
        <f t="shared" si="14"/>
        <v>Caliboro -Molina-PAULA</v>
      </c>
      <c r="R608" s="6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</row>
    <row r="609" spans="2:39" s="7" customFormat="1" x14ac:dyDescent="0.35">
      <c r="B609" s="4" t="str">
        <f>+IF('Data Pura Costos'!B609="","",'Data Pura Costos'!B609)</f>
        <v>Calleuque</v>
      </c>
      <c r="C609" s="4" t="str">
        <f>+IF('Data Pura Costos'!C609="","",'Data Pura Costos'!C609)</f>
        <v>Peralillo ohiggins, VI región</v>
      </c>
      <c r="D609" s="5">
        <f>+IF('Data Pura Costos'!D609="","",'Data Pura Costos'!D609)</f>
        <v>103</v>
      </c>
      <c r="E609" s="65">
        <f>+IF('Data Pura Costos'!E609="","",IF('Data Pura Costos'!E609=0,MAX('Data Pura Costos'!$E$7:$E$3000)*1000,'Data Pura Costos'!E609))</f>
        <v>340000</v>
      </c>
      <c r="F609" s="5" t="str">
        <f>+IF('Data Pura Costos'!F609="","",'Data Pura Costos'!F609)</f>
        <v>Molina</v>
      </c>
      <c r="G609" s="5" t="str">
        <f>+IF('Data Pura Costos'!G609="","",'Data Pura Costos'!G609)</f>
        <v>PAULA</v>
      </c>
      <c r="H609" s="52" t="str">
        <f>+IF('Data Pura Costos'!H609="","",'Data Pura Costos'!H609)</f>
        <v>Termo</v>
      </c>
      <c r="I609" s="71">
        <f>+IF('Data Pura Costos'!I609="","",'Data Pura Costos'!I609)</f>
        <v>3300.970873786408</v>
      </c>
      <c r="J609" s="52" t="str">
        <f>+IF('Data Pura Costos'!J609="","",'Data Pura Costos'!J609)</f>
        <v>24-25</v>
      </c>
      <c r="K609" s="82" t="str">
        <f t="shared" si="14"/>
        <v>Calleuque-Molina-PAULA</v>
      </c>
      <c r="R609" s="6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</row>
    <row r="610" spans="2:39" s="7" customFormat="1" x14ac:dyDescent="0.35">
      <c r="B610" s="4" t="str">
        <f>+IF('Data Pura Costos'!B610="","",'Data Pura Costos'!B610)</f>
        <v>Chumpirro</v>
      </c>
      <c r="C610" s="4" t="str">
        <f>+IF('Data Pura Costos'!C610="","",'Data Pura Costos'!C610)</f>
        <v>Angol, IX región</v>
      </c>
      <c r="D610" s="5">
        <f>+IF('Data Pura Costos'!D610="","",'Data Pura Costos'!D610)</f>
        <v>358</v>
      </c>
      <c r="E610" s="65">
        <f>+IF('Data Pura Costos'!E610="","",IF('Data Pura Costos'!E610=0,MAX('Data Pura Costos'!$E$7:$E$3000)*1000,'Data Pura Costos'!E610))</f>
        <v>1100000</v>
      </c>
      <c r="F610" s="5" t="str">
        <f>+IF('Data Pura Costos'!F610="","",'Data Pura Costos'!F610)</f>
        <v>Molina</v>
      </c>
      <c r="G610" s="5" t="str">
        <f>+IF('Data Pura Costos'!G610="","",'Data Pura Costos'!G610)</f>
        <v>PAULA</v>
      </c>
      <c r="H610" s="52" t="str">
        <f>+IF('Data Pura Costos'!H610="","",'Data Pura Costos'!H610)</f>
        <v>Termo</v>
      </c>
      <c r="I610" s="71">
        <f>+IF('Data Pura Costos'!I610="","",'Data Pura Costos'!I610)</f>
        <v>3072.6256983240223</v>
      </c>
      <c r="J610" s="52" t="str">
        <f>+IF('Data Pura Costos'!J610="","",'Data Pura Costos'!J610)</f>
        <v>24-25</v>
      </c>
      <c r="K610" s="82" t="str">
        <f t="shared" si="14"/>
        <v>Chumpirro-Molina-PAULA</v>
      </c>
      <c r="R610" s="6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</row>
    <row r="611" spans="2:39" s="7" customFormat="1" x14ac:dyDescent="0.35">
      <c r="B611" s="4" t="str">
        <f>+IF('Data Pura Costos'!B611="","",'Data Pura Costos'!B611)</f>
        <v xml:space="preserve"> Cocalán</v>
      </c>
      <c r="C611" s="4" t="str">
        <f>+IF('Data Pura Costos'!C611="","",'Data Pura Costos'!C611)</f>
        <v>Cocalán, VI región</v>
      </c>
      <c r="D611" s="5">
        <f>+IF('Data Pura Costos'!D611="","",'Data Pura Costos'!D611)</f>
        <v>141</v>
      </c>
      <c r="E611" s="65">
        <f>+IF('Data Pura Costos'!E611="","",IF('Data Pura Costos'!E611=0,MAX('Data Pura Costos'!$E$7:$E$3000)*1000,'Data Pura Costos'!E611))</f>
        <v>460000</v>
      </c>
      <c r="F611" s="5" t="str">
        <f>+IF('Data Pura Costos'!F611="","",'Data Pura Costos'!F611)</f>
        <v>Molina</v>
      </c>
      <c r="G611" s="5" t="str">
        <f>+IF('Data Pura Costos'!G611="","",'Data Pura Costos'!G611)</f>
        <v>PAULA</v>
      </c>
      <c r="H611" s="52" t="str">
        <f>+IF('Data Pura Costos'!H611="","",'Data Pura Costos'!H611)</f>
        <v>Termo</v>
      </c>
      <c r="I611" s="71">
        <f>+IF('Data Pura Costos'!I611="","",'Data Pura Costos'!I611)</f>
        <v>3262.4113475177305</v>
      </c>
      <c r="J611" s="52" t="str">
        <f>+IF('Data Pura Costos'!J611="","",'Data Pura Costos'!J611)</f>
        <v>24-25</v>
      </c>
      <c r="K611" s="82" t="str">
        <f t="shared" si="14"/>
        <v xml:space="preserve"> Cocalán-Molina-PAULA</v>
      </c>
      <c r="R611" s="6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</row>
    <row r="612" spans="2:39" s="7" customFormat="1" x14ac:dyDescent="0.35">
      <c r="B612" s="4" t="str">
        <f>+IF('Data Pura Costos'!B612="","",'Data Pura Costos'!B612)</f>
        <v>El Cóndor</v>
      </c>
      <c r="C612" s="4" t="str">
        <f>+IF('Data Pura Costos'!C612="","",'Data Pura Costos'!C612)</f>
        <v>Chimbarongo, VI Region.</v>
      </c>
      <c r="D612" s="5">
        <f>+IF('Data Pura Costos'!D612="","",'Data Pura Costos'!D612)</f>
        <v>60</v>
      </c>
      <c r="E612" s="65">
        <f>+IF('Data Pura Costos'!E612="","",IF('Data Pura Costos'!E612=0,MAX('Data Pura Costos'!$E$7:$E$3000)*1000,'Data Pura Costos'!E612))</f>
        <v>380000</v>
      </c>
      <c r="F612" s="5" t="str">
        <f>+IF('Data Pura Costos'!F612="","",'Data Pura Costos'!F612)</f>
        <v>Molina</v>
      </c>
      <c r="G612" s="5" t="str">
        <f>+IF('Data Pura Costos'!G612="","",'Data Pura Costos'!G612)</f>
        <v>PAULA</v>
      </c>
      <c r="H612" s="52" t="str">
        <f>+IF('Data Pura Costos'!H612="","",'Data Pura Costos'!H612)</f>
        <v>Termo</v>
      </c>
      <c r="I612" s="71">
        <f>+IF('Data Pura Costos'!I612="","",'Data Pura Costos'!I612)</f>
        <v>6333.333333333333</v>
      </c>
      <c r="J612" s="52" t="str">
        <f>+IF('Data Pura Costos'!J612="","",'Data Pura Costos'!J612)</f>
        <v>24-25</v>
      </c>
      <c r="K612" s="82" t="str">
        <f t="shared" si="14"/>
        <v>El Cóndor-Molina-PAULA</v>
      </c>
      <c r="R612" s="6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</row>
    <row r="613" spans="2:39" s="7" customFormat="1" x14ac:dyDescent="0.35">
      <c r="B613" s="4" t="str">
        <f>+IF('Data Pura Costos'!B613="","",'Data Pura Costos'!B613)</f>
        <v>El Descanso</v>
      </c>
      <c r="C613" s="4" t="str">
        <f>+IF('Data Pura Costos'!C613="","",'Data Pura Costos'!C613)</f>
        <v>Sagrada Familia, VII región</v>
      </c>
      <c r="D613" s="5">
        <f>+IF('Data Pura Costos'!D613="","",'Data Pura Costos'!D613)</f>
        <v>22</v>
      </c>
      <c r="E613" s="65">
        <f>+IF('Data Pura Costos'!E613="","",IF('Data Pura Costos'!E613=0,MAX('Data Pura Costos'!$E$7:$E$3000)*1000,'Data Pura Costos'!E613))</f>
        <v>300000</v>
      </c>
      <c r="F613" s="5" t="str">
        <f>+IF('Data Pura Costos'!F613="","",'Data Pura Costos'!F613)</f>
        <v>Molina</v>
      </c>
      <c r="G613" s="5" t="str">
        <f>+IF('Data Pura Costos'!G613="","",'Data Pura Costos'!G613)</f>
        <v>PAULA</v>
      </c>
      <c r="H613" s="52" t="str">
        <f>+IF('Data Pura Costos'!H613="","",'Data Pura Costos'!H613)</f>
        <v>Termo</v>
      </c>
      <c r="I613" s="71">
        <f>+IF('Data Pura Costos'!I613="","",'Data Pura Costos'!I613)</f>
        <v>13636.363636363636</v>
      </c>
      <c r="J613" s="52" t="str">
        <f>+IF('Data Pura Costos'!J613="","",'Data Pura Costos'!J613)</f>
        <v>24-25</v>
      </c>
      <c r="K613" s="82" t="str">
        <f t="shared" si="14"/>
        <v>El Descanso-Molina-PAULA</v>
      </c>
      <c r="R613" s="6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</row>
    <row r="614" spans="2:39" s="7" customFormat="1" x14ac:dyDescent="0.35">
      <c r="B614" s="4" t="str">
        <f>+IF('Data Pura Costos'!B614="","",'Data Pura Costos'!B614)</f>
        <v>El Espino</v>
      </c>
      <c r="C614" s="4" t="str">
        <f>+IF('Data Pura Costos'!C614="","",'Data Pura Costos'!C614)</f>
        <v>Colbún, VII región</v>
      </c>
      <c r="D614" s="5">
        <f>+IF('Data Pura Costos'!D614="","",'Data Pura Costos'!D614)</f>
        <v>100</v>
      </c>
      <c r="E614" s="65">
        <f>+IF('Data Pura Costos'!E614="","",IF('Data Pura Costos'!E614=0,MAX('Data Pura Costos'!$E$7:$E$3000)*1000,'Data Pura Costos'!E614))</f>
        <v>400000</v>
      </c>
      <c r="F614" s="5" t="str">
        <f>+IF('Data Pura Costos'!F614="","",'Data Pura Costos'!F614)</f>
        <v>Molina</v>
      </c>
      <c r="G614" s="5" t="str">
        <f>+IF('Data Pura Costos'!G614="","",'Data Pura Costos'!G614)</f>
        <v>PAULA</v>
      </c>
      <c r="H614" s="52" t="str">
        <f>+IF('Data Pura Costos'!H614="","",'Data Pura Costos'!H614)</f>
        <v>Termo</v>
      </c>
      <c r="I614" s="71">
        <f>+IF('Data Pura Costos'!I614="","",'Data Pura Costos'!I614)</f>
        <v>4000</v>
      </c>
      <c r="J614" s="52" t="str">
        <f>+IF('Data Pura Costos'!J614="","",'Data Pura Costos'!J614)</f>
        <v>24-25</v>
      </c>
      <c r="K614" s="82" t="str">
        <f t="shared" si="14"/>
        <v>El Espino-Molina-PAULA</v>
      </c>
      <c r="R614" s="6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</row>
    <row r="615" spans="2:39" s="7" customFormat="1" x14ac:dyDescent="0.35">
      <c r="B615" s="4" t="str">
        <f>+IF('Data Pura Costos'!B615="","",'Data Pura Costos'!B615)</f>
        <v>El Huaico</v>
      </c>
      <c r="C615" s="4" t="str">
        <f>+IF('Data Pura Costos'!C615="","",'Data Pura Costos'!C615)</f>
        <v>Palmila Ohiggins</v>
      </c>
      <c r="D615" s="5">
        <f>+IF('Data Pura Costos'!D615="","",'Data Pura Costos'!D615)</f>
        <v>85</v>
      </c>
      <c r="E615" s="65">
        <f>+IF('Data Pura Costos'!E615="","",IF('Data Pura Costos'!E615=0,MAX('Data Pura Costos'!$E$7:$E$3000)*1000,'Data Pura Costos'!E615))</f>
        <v>380000</v>
      </c>
      <c r="F615" s="5" t="str">
        <f>+IF('Data Pura Costos'!F615="","",'Data Pura Costos'!F615)</f>
        <v>Molina</v>
      </c>
      <c r="G615" s="5" t="str">
        <f>+IF('Data Pura Costos'!G615="","",'Data Pura Costos'!G615)</f>
        <v>PAULA</v>
      </c>
      <c r="H615" s="52" t="str">
        <f>+IF('Data Pura Costos'!H615="","",'Data Pura Costos'!H615)</f>
        <v>Termo</v>
      </c>
      <c r="I615" s="71">
        <f>+IF('Data Pura Costos'!I615="","",'Data Pura Costos'!I615)</f>
        <v>4470.588235294118</v>
      </c>
      <c r="J615" s="52" t="str">
        <f>+IF('Data Pura Costos'!J615="","",'Data Pura Costos'!J615)</f>
        <v>24-25</v>
      </c>
      <c r="K615" s="82" t="str">
        <f t="shared" si="14"/>
        <v>El Huaico-Molina-PAULA</v>
      </c>
      <c r="R615" s="6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</row>
    <row r="616" spans="2:39" s="7" customFormat="1" x14ac:dyDescent="0.35">
      <c r="B616" s="4" t="str">
        <f>+IF('Data Pura Costos'!B616="","",'Data Pura Costos'!B616)</f>
        <v>El Parque</v>
      </c>
      <c r="C616" s="4" t="str">
        <f>+IF('Data Pura Costos'!C616="","",'Data Pura Costos'!C616)</f>
        <v>San Francisco de Mostazal.VI Region.</v>
      </c>
      <c r="D616" s="5">
        <f>+IF('Data Pura Costos'!D616="","",'Data Pura Costos'!D616)</f>
        <v>144</v>
      </c>
      <c r="E616" s="65">
        <f>+IF('Data Pura Costos'!E616="","",IF('Data Pura Costos'!E616=0,MAX('Data Pura Costos'!$E$7:$E$3000)*1000,'Data Pura Costos'!E616))</f>
        <v>460000</v>
      </c>
      <c r="F616" s="5" t="str">
        <f>+IF('Data Pura Costos'!F616="","",'Data Pura Costos'!F616)</f>
        <v>Molina</v>
      </c>
      <c r="G616" s="5" t="str">
        <f>+IF('Data Pura Costos'!G616="","",'Data Pura Costos'!G616)</f>
        <v>PAULA</v>
      </c>
      <c r="H616" s="52" t="str">
        <f>+IF('Data Pura Costos'!H616="","",'Data Pura Costos'!H616)</f>
        <v>Termo</v>
      </c>
      <c r="I616" s="71">
        <f>+IF('Data Pura Costos'!I616="","",'Data Pura Costos'!I616)</f>
        <v>3194.4444444444443</v>
      </c>
      <c r="J616" s="52" t="str">
        <f>+IF('Data Pura Costos'!J616="","",'Data Pura Costos'!J616)</f>
        <v>24-25</v>
      </c>
      <c r="K616" s="82" t="str">
        <f t="shared" si="14"/>
        <v>El Parque-Molina-PAULA</v>
      </c>
      <c r="R616" s="6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</row>
    <row r="617" spans="2:39" s="7" customFormat="1" x14ac:dyDescent="0.35">
      <c r="B617" s="4" t="str">
        <f>+IF('Data Pura Costos'!B617="","",'Data Pura Costos'!B617)</f>
        <v>El Picaso</v>
      </c>
      <c r="C617" s="4" t="str">
        <f>+IF('Data Pura Costos'!C617="","",'Data Pura Costos'!C617)</f>
        <v xml:space="preserve">San Clemente, VII región </v>
      </c>
      <c r="D617" s="5">
        <f>+IF('Data Pura Costos'!D617="","",'Data Pura Costos'!D617)</f>
        <v>60</v>
      </c>
      <c r="E617" s="65">
        <f>+IF('Data Pura Costos'!E617="","",IF('Data Pura Costos'!E617=0,MAX('Data Pura Costos'!$E$7:$E$3000)*1000,'Data Pura Costos'!E617))</f>
        <v>380000</v>
      </c>
      <c r="F617" s="5" t="str">
        <f>+IF('Data Pura Costos'!F617="","",'Data Pura Costos'!F617)</f>
        <v>Molina</v>
      </c>
      <c r="G617" s="5" t="str">
        <f>+IF('Data Pura Costos'!G617="","",'Data Pura Costos'!G617)</f>
        <v>PAULA</v>
      </c>
      <c r="H617" s="52" t="str">
        <f>+IF('Data Pura Costos'!H617="","",'Data Pura Costos'!H617)</f>
        <v>Termo</v>
      </c>
      <c r="I617" s="71">
        <f>+IF('Data Pura Costos'!I617="","",'Data Pura Costos'!I617)</f>
        <v>6333.333333333333</v>
      </c>
      <c r="J617" s="52" t="str">
        <f>+IF('Data Pura Costos'!J617="","",'Data Pura Costos'!J617)</f>
        <v>24-25</v>
      </c>
      <c r="K617" s="82" t="str">
        <f t="shared" si="14"/>
        <v>El Picaso-Molina-PAULA</v>
      </c>
      <c r="R617" s="6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</row>
    <row r="618" spans="2:39" s="7" customFormat="1" x14ac:dyDescent="0.35">
      <c r="B618" s="4" t="str">
        <f>+IF('Data Pura Costos'!B618="","",'Data Pura Costos'!B618)</f>
        <v>El Recurso</v>
      </c>
      <c r="C618" s="4" t="str">
        <f>+IF('Data Pura Costos'!C618="","",'Data Pura Costos'!C618)</f>
        <v>San Francisco de Mostazal.VI Region.</v>
      </c>
      <c r="D618" s="5">
        <f>+IF('Data Pura Costos'!D618="","",'Data Pura Costos'!D618)</f>
        <v>144</v>
      </c>
      <c r="E618" s="65">
        <f>+IF('Data Pura Costos'!E618="","",IF('Data Pura Costos'!E618=0,MAX('Data Pura Costos'!$E$7:$E$3000)*1000,'Data Pura Costos'!E618))</f>
        <v>460000</v>
      </c>
      <c r="F618" s="5" t="str">
        <f>+IF('Data Pura Costos'!F618="","",'Data Pura Costos'!F618)</f>
        <v>Molina</v>
      </c>
      <c r="G618" s="5" t="str">
        <f>+IF('Data Pura Costos'!G618="","",'Data Pura Costos'!G618)</f>
        <v>PAULA</v>
      </c>
      <c r="H618" s="52" t="str">
        <f>+IF('Data Pura Costos'!H618="","",'Data Pura Costos'!H618)</f>
        <v>Termo</v>
      </c>
      <c r="I618" s="71">
        <f>+IF('Data Pura Costos'!I618="","",'Data Pura Costos'!I618)</f>
        <v>3194.4444444444443</v>
      </c>
      <c r="J618" s="52" t="str">
        <f>+IF('Data Pura Costos'!J618="","",'Data Pura Costos'!J618)</f>
        <v>24-25</v>
      </c>
      <c r="K618" s="82" t="str">
        <f t="shared" si="14"/>
        <v>El Recurso-Molina-PAULA</v>
      </c>
      <c r="R618" s="6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</row>
    <row r="619" spans="2:39" s="7" customFormat="1" x14ac:dyDescent="0.35">
      <c r="B619" s="4" t="str">
        <f>+IF('Data Pura Costos'!B619="","",'Data Pura Costos'!B619)</f>
        <v>El Rosario</v>
      </c>
      <c r="C619" s="4" t="str">
        <f>+IF('Data Pura Costos'!C619="","",'Data Pura Costos'!C619)</f>
        <v>Linares, VII region.</v>
      </c>
      <c r="D619" s="5">
        <f>+IF('Data Pura Costos'!D619="","",'Data Pura Costos'!D619)</f>
        <v>120</v>
      </c>
      <c r="E619" s="65">
        <f>+IF('Data Pura Costos'!E619="","",IF('Data Pura Costos'!E619=0,MAX('Data Pura Costos'!$E$7:$E$3000)*1000,'Data Pura Costos'!E619))</f>
        <v>400000</v>
      </c>
      <c r="F619" s="5" t="str">
        <f>+IF('Data Pura Costos'!F619="","",'Data Pura Costos'!F619)</f>
        <v>Molina</v>
      </c>
      <c r="G619" s="5" t="str">
        <f>+IF('Data Pura Costos'!G619="","",'Data Pura Costos'!G619)</f>
        <v>PAULA</v>
      </c>
      <c r="H619" s="52" t="str">
        <f>+IF('Data Pura Costos'!H619="","",'Data Pura Costos'!H619)</f>
        <v>Termo</v>
      </c>
      <c r="I619" s="71">
        <f>+IF('Data Pura Costos'!I619="","",'Data Pura Costos'!I619)</f>
        <v>3333.3333333333335</v>
      </c>
      <c r="J619" s="52" t="str">
        <f>+IF('Data Pura Costos'!J619="","",'Data Pura Costos'!J619)</f>
        <v>24-25</v>
      </c>
      <c r="K619" s="82" t="str">
        <f t="shared" si="14"/>
        <v>El Rosario-Molina-PAULA</v>
      </c>
      <c r="R619" s="6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</row>
    <row r="620" spans="2:39" s="7" customFormat="1" x14ac:dyDescent="0.35">
      <c r="B620" s="4" t="str">
        <f>+IF('Data Pura Costos'!B620="","",'Data Pura Costos'!B620)</f>
        <v>El Retiro</v>
      </c>
      <c r="C620" s="4" t="str">
        <f>+IF('Data Pura Costos'!C620="","",'Data Pura Costos'!C620)</f>
        <v>Rosario, VI Region.</v>
      </c>
      <c r="D620" s="5">
        <f>+IF('Data Pura Costos'!D620="","",'Data Pura Costos'!D620)</f>
        <v>100</v>
      </c>
      <c r="E620" s="65">
        <f>+IF('Data Pura Costos'!E620="","",IF('Data Pura Costos'!E620=0,MAX('Data Pura Costos'!$E$7:$E$3000)*1000,'Data Pura Costos'!E620))</f>
        <v>400000</v>
      </c>
      <c r="F620" s="5" t="str">
        <f>+IF('Data Pura Costos'!F620="","",'Data Pura Costos'!F620)</f>
        <v>Molina</v>
      </c>
      <c r="G620" s="5" t="str">
        <f>+IF('Data Pura Costos'!G620="","",'Data Pura Costos'!G620)</f>
        <v>PAULA</v>
      </c>
      <c r="H620" s="52" t="str">
        <f>+IF('Data Pura Costos'!H620="","",'Data Pura Costos'!H620)</f>
        <v>Termo</v>
      </c>
      <c r="I620" s="71">
        <f>+IF('Data Pura Costos'!I620="","",'Data Pura Costos'!I620)</f>
        <v>4000</v>
      </c>
      <c r="J620" s="52" t="str">
        <f>+IF('Data Pura Costos'!J620="","",'Data Pura Costos'!J620)</f>
        <v>24-25</v>
      </c>
      <c r="K620" s="82" t="str">
        <f t="shared" si="14"/>
        <v>El Retiro-Molina-PAULA</v>
      </c>
      <c r="R620" s="6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</row>
    <row r="621" spans="2:39" s="7" customFormat="1" x14ac:dyDescent="0.35">
      <c r="B621" s="4" t="str">
        <f>+IF('Data Pura Costos'!B621="","",'Data Pura Costos'!B621)</f>
        <v>La Esperanza</v>
      </c>
      <c r="C621" s="4" t="str">
        <f>+IF('Data Pura Costos'!C621="","",'Data Pura Costos'!C621)</f>
        <v>Peumo, VI región</v>
      </c>
      <c r="D621" s="5">
        <f>+IF('Data Pura Costos'!D621="","",'Data Pura Costos'!D621)</f>
        <v>125</v>
      </c>
      <c r="E621" s="65">
        <f>+IF('Data Pura Costos'!E621="","",IF('Data Pura Costos'!E621=0,MAX('Data Pura Costos'!$E$7:$E$3000)*1000,'Data Pura Costos'!E621))</f>
        <v>400000</v>
      </c>
      <c r="F621" s="5" t="str">
        <f>+IF('Data Pura Costos'!F621="","",'Data Pura Costos'!F621)</f>
        <v>Molina</v>
      </c>
      <c r="G621" s="5" t="str">
        <f>+IF('Data Pura Costos'!G621="","",'Data Pura Costos'!G621)</f>
        <v>PAULA</v>
      </c>
      <c r="H621" s="52" t="str">
        <f>+IF('Data Pura Costos'!H621="","",'Data Pura Costos'!H621)</f>
        <v>Termo</v>
      </c>
      <c r="I621" s="71">
        <f>+IF('Data Pura Costos'!I621="","",'Data Pura Costos'!I621)</f>
        <v>3200</v>
      </c>
      <c r="J621" s="52" t="str">
        <f>+IF('Data Pura Costos'!J621="","",'Data Pura Costos'!J621)</f>
        <v>24-25</v>
      </c>
      <c r="K621" s="82" t="str">
        <f t="shared" si="14"/>
        <v>La Esperanza-Molina-PAULA</v>
      </c>
      <c r="R621" s="6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</row>
    <row r="622" spans="2:39" s="7" customFormat="1" x14ac:dyDescent="0.35">
      <c r="B622" s="4" t="str">
        <f>+IF('Data Pura Costos'!B622="","",'Data Pura Costos'!B622)</f>
        <v>La Estación</v>
      </c>
      <c r="C622" s="4" t="str">
        <f>+IF('Data Pura Costos'!C622="","",'Data Pura Costos'!C622)</f>
        <v>Palmilla, VI región</v>
      </c>
      <c r="D622" s="5">
        <f>+IF('Data Pura Costos'!D622="","",'Data Pura Costos'!D622)</f>
        <v>90</v>
      </c>
      <c r="E622" s="65">
        <f>+IF('Data Pura Costos'!E622="","",IF('Data Pura Costos'!E622=0,MAX('Data Pura Costos'!$E$7:$E$3000)*1000,'Data Pura Costos'!E622))</f>
        <v>380000</v>
      </c>
      <c r="F622" s="5" t="str">
        <f>+IF('Data Pura Costos'!F622="","",'Data Pura Costos'!F622)</f>
        <v>Molina</v>
      </c>
      <c r="G622" s="5" t="str">
        <f>+IF('Data Pura Costos'!G622="","",'Data Pura Costos'!G622)</f>
        <v>PAULA</v>
      </c>
      <c r="H622" s="52" t="str">
        <f>+IF('Data Pura Costos'!H622="","",'Data Pura Costos'!H622)</f>
        <v>Termo</v>
      </c>
      <c r="I622" s="71">
        <f>+IF('Data Pura Costos'!I622="","",'Data Pura Costos'!I622)</f>
        <v>4222.2222222222226</v>
      </c>
      <c r="J622" s="52" t="str">
        <f>+IF('Data Pura Costos'!J622="","",'Data Pura Costos'!J622)</f>
        <v>24-25</v>
      </c>
      <c r="K622" s="82" t="str">
        <f t="shared" si="14"/>
        <v>La Estación-Molina-PAULA</v>
      </c>
      <c r="R622" s="6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</row>
    <row r="623" spans="2:39" s="7" customFormat="1" x14ac:dyDescent="0.35">
      <c r="B623" s="4" t="str">
        <f>+IF('Data Pura Costos'!B623="","",'Data Pura Costos'!B623)</f>
        <v>La Lajuela</v>
      </c>
      <c r="C623" s="4" t="str">
        <f>+IF('Data Pura Costos'!C623="","",'Data Pura Costos'!C623)</f>
        <v>Santa Cruz, VI Región</v>
      </c>
      <c r="D623" s="5">
        <f>+IF('Data Pura Costos'!D623="","",'Data Pura Costos'!D623)</f>
        <v>80</v>
      </c>
      <c r="E623" s="65">
        <f>+IF('Data Pura Costos'!E623="","",IF('Data Pura Costos'!E623=0,MAX('Data Pura Costos'!$E$7:$E$3000)*1000,'Data Pura Costos'!E623))</f>
        <v>380000</v>
      </c>
      <c r="F623" s="5" t="str">
        <f>+IF('Data Pura Costos'!F623="","",'Data Pura Costos'!F623)</f>
        <v>Molina</v>
      </c>
      <c r="G623" s="5" t="str">
        <f>+IF('Data Pura Costos'!G623="","",'Data Pura Costos'!G623)</f>
        <v>PAULA</v>
      </c>
      <c r="H623" s="52" t="str">
        <f>+IF('Data Pura Costos'!H623="","",'Data Pura Costos'!H623)</f>
        <v>Termo</v>
      </c>
      <c r="I623" s="71">
        <f>+IF('Data Pura Costos'!I623="","",'Data Pura Costos'!I623)</f>
        <v>4750</v>
      </c>
      <c r="J623" s="52" t="str">
        <f>+IF('Data Pura Costos'!J623="","",'Data Pura Costos'!J623)</f>
        <v>24-25</v>
      </c>
      <c r="K623" s="82" t="str">
        <f t="shared" si="14"/>
        <v>La Lajuela-Molina-PAULA</v>
      </c>
      <c r="R623" s="6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</row>
    <row r="624" spans="2:39" s="7" customFormat="1" x14ac:dyDescent="0.35">
      <c r="B624" s="4" t="str">
        <f>+IF('Data Pura Costos'!B624="","",'Data Pura Costos'!B624)</f>
        <v>La Morera</v>
      </c>
      <c r="C624" s="4" t="str">
        <f>+IF('Data Pura Costos'!C624="","",'Data Pura Costos'!C624)</f>
        <v>La compañia, VI Region.</v>
      </c>
      <c r="D624" s="5">
        <f>+IF('Data Pura Costos'!D624="","",'Data Pura Costos'!D624)</f>
        <v>130</v>
      </c>
      <c r="E624" s="65">
        <f>+IF('Data Pura Costos'!E624="","",IF('Data Pura Costos'!E624=0,MAX('Data Pura Costos'!$E$7:$E$3000)*1000,'Data Pura Costos'!E624))</f>
        <v>410000</v>
      </c>
      <c r="F624" s="5" t="str">
        <f>+IF('Data Pura Costos'!F624="","",'Data Pura Costos'!F624)</f>
        <v>Molina</v>
      </c>
      <c r="G624" s="5" t="str">
        <f>+IF('Data Pura Costos'!G624="","",'Data Pura Costos'!G624)</f>
        <v>PAULA</v>
      </c>
      <c r="H624" s="52" t="str">
        <f>+IF('Data Pura Costos'!H624="","",'Data Pura Costos'!H624)</f>
        <v>Termo</v>
      </c>
      <c r="I624" s="71">
        <f>+IF('Data Pura Costos'!I624="","",'Data Pura Costos'!I624)</f>
        <v>3153.8461538461538</v>
      </c>
      <c r="J624" s="52" t="str">
        <f>+IF('Data Pura Costos'!J624="","",'Data Pura Costos'!J624)</f>
        <v>24-25</v>
      </c>
      <c r="K624" s="82" t="str">
        <f t="shared" si="14"/>
        <v>La Morera-Molina-PAULA</v>
      </c>
      <c r="R624" s="6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</row>
    <row r="625" spans="2:39" s="7" customFormat="1" x14ac:dyDescent="0.35">
      <c r="B625" s="4" t="str">
        <f>+IF('Data Pura Costos'!B625="","",'Data Pura Costos'!B625)</f>
        <v>La Rinconada</v>
      </c>
      <c r="C625" s="4" t="str">
        <f>+IF('Data Pura Costos'!C625="","",'Data Pura Costos'!C625)</f>
        <v>Pichidegua, VI región</v>
      </c>
      <c r="D625" s="5">
        <f>+IF('Data Pura Costos'!D625="","",'Data Pura Costos'!D625)</f>
        <v>133</v>
      </c>
      <c r="E625" s="65">
        <f>+IF('Data Pura Costos'!E625="","",IF('Data Pura Costos'!E625=0,MAX('Data Pura Costos'!$E$7:$E$3000)*1000,'Data Pura Costos'!E625))</f>
        <v>410000</v>
      </c>
      <c r="F625" s="5" t="str">
        <f>+IF('Data Pura Costos'!F625="","",'Data Pura Costos'!F625)</f>
        <v>Molina</v>
      </c>
      <c r="G625" s="5" t="str">
        <f>+IF('Data Pura Costos'!G625="","",'Data Pura Costos'!G625)</f>
        <v>PAULA</v>
      </c>
      <c r="H625" s="52" t="str">
        <f>+IF('Data Pura Costos'!H625="","",'Data Pura Costos'!H625)</f>
        <v>Termo</v>
      </c>
      <c r="I625" s="71">
        <f>+IF('Data Pura Costos'!I625="","",'Data Pura Costos'!I625)</f>
        <v>3082.7067669172934</v>
      </c>
      <c r="J625" s="52" t="str">
        <f>+IF('Data Pura Costos'!J625="","",'Data Pura Costos'!J625)</f>
        <v>24-25</v>
      </c>
      <c r="K625" s="82" t="str">
        <f t="shared" si="14"/>
        <v>La Rinconada-Molina-PAULA</v>
      </c>
      <c r="R625" s="6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</row>
    <row r="626" spans="2:39" s="7" customFormat="1" x14ac:dyDescent="0.35">
      <c r="B626" s="4" t="str">
        <f>+IF('Data Pura Costos'!B626="","",'Data Pura Costos'!B626)</f>
        <v xml:space="preserve">La Roblería </v>
      </c>
      <c r="C626" s="4" t="str">
        <f>+IF('Data Pura Costos'!C626="","",'Data Pura Costos'!C626)</f>
        <v>Aculeo, RM</v>
      </c>
      <c r="D626" s="5">
        <f>+IF('Data Pura Costos'!D626="","",'Data Pura Costos'!D626)</f>
        <v>180</v>
      </c>
      <c r="E626" s="65">
        <f>+IF('Data Pura Costos'!E626="","",IF('Data Pura Costos'!E626=0,MAX('Data Pura Costos'!$E$7:$E$3000)*1000,'Data Pura Costos'!E626))</f>
        <v>500000</v>
      </c>
      <c r="F626" s="5" t="str">
        <f>+IF('Data Pura Costos'!F626="","",'Data Pura Costos'!F626)</f>
        <v>Molina</v>
      </c>
      <c r="G626" s="5" t="str">
        <f>+IF('Data Pura Costos'!G626="","",'Data Pura Costos'!G626)</f>
        <v>PAULA</v>
      </c>
      <c r="H626" s="52" t="str">
        <f>+IF('Data Pura Costos'!H626="","",'Data Pura Costos'!H626)</f>
        <v>Termo</v>
      </c>
      <c r="I626" s="71">
        <f>+IF('Data Pura Costos'!I626="","",'Data Pura Costos'!I626)</f>
        <v>2777.7777777777778</v>
      </c>
      <c r="J626" s="52" t="str">
        <f>+IF('Data Pura Costos'!J626="","",'Data Pura Costos'!J626)</f>
        <v>24-25</v>
      </c>
      <c r="K626" s="82" t="str">
        <f t="shared" si="14"/>
        <v>La Roblería -Molina-PAULA</v>
      </c>
      <c r="R626" s="6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</row>
    <row r="627" spans="2:39" s="7" customFormat="1" x14ac:dyDescent="0.35">
      <c r="B627" s="4" t="str">
        <f>+IF('Data Pura Costos'!B627="","",'Data Pura Costos'!B627)</f>
        <v>Las Cabras</v>
      </c>
      <c r="C627" s="4" t="str">
        <f>+IF('Data Pura Costos'!C627="","",'Data Pura Costos'!C627)</f>
        <v>Las Cabras, VI región</v>
      </c>
      <c r="D627" s="5">
        <f>+IF('Data Pura Costos'!D627="","",'Data Pura Costos'!D627)</f>
        <v>140</v>
      </c>
      <c r="E627" s="65">
        <f>+IF('Data Pura Costos'!E627="","",IF('Data Pura Costos'!E627=0,MAX('Data Pura Costos'!$E$7:$E$3000)*1000,'Data Pura Costos'!E627))</f>
        <v>460000</v>
      </c>
      <c r="F627" s="5" t="str">
        <f>+IF('Data Pura Costos'!F627="","",'Data Pura Costos'!F627)</f>
        <v>Molina</v>
      </c>
      <c r="G627" s="5" t="str">
        <f>+IF('Data Pura Costos'!G627="","",'Data Pura Costos'!G627)</f>
        <v>PAULA</v>
      </c>
      <c r="H627" s="52" t="str">
        <f>+IF('Data Pura Costos'!H627="","",'Data Pura Costos'!H627)</f>
        <v>Termo</v>
      </c>
      <c r="I627" s="71">
        <f>+IF('Data Pura Costos'!I627="","",'Data Pura Costos'!I627)</f>
        <v>3285.7142857142858</v>
      </c>
      <c r="J627" s="52" t="str">
        <f>+IF('Data Pura Costos'!J627="","",'Data Pura Costos'!J627)</f>
        <v>24-25</v>
      </c>
      <c r="K627" s="82" t="str">
        <f t="shared" si="14"/>
        <v>Las Cabras-Molina-PAULA</v>
      </c>
      <c r="R627" s="6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</row>
    <row r="628" spans="2:39" s="7" customFormat="1" x14ac:dyDescent="0.35">
      <c r="B628" s="4" t="str">
        <f>+IF('Data Pura Costos'!B628="","",'Data Pura Costos'!B628)</f>
        <v>Las Vertientes</v>
      </c>
      <c r="C628" s="4" t="str">
        <f>+IF('Data Pura Costos'!C628="","",'Data Pura Costos'!C628)</f>
        <v>Pichidegua, VI región</v>
      </c>
      <c r="D628" s="5">
        <f>+IF('Data Pura Costos'!D628="","",'Data Pura Costos'!D628)</f>
        <v>130</v>
      </c>
      <c r="E628" s="65">
        <f>+IF('Data Pura Costos'!E628="","",IF('Data Pura Costos'!E628=0,MAX('Data Pura Costos'!$E$7:$E$3000)*1000,'Data Pura Costos'!E628))</f>
        <v>410000</v>
      </c>
      <c r="F628" s="5" t="str">
        <f>+IF('Data Pura Costos'!F628="","",'Data Pura Costos'!F628)</f>
        <v>Molina</v>
      </c>
      <c r="G628" s="5" t="str">
        <f>+IF('Data Pura Costos'!G628="","",'Data Pura Costos'!G628)</f>
        <v>PAULA</v>
      </c>
      <c r="H628" s="52" t="str">
        <f>+IF('Data Pura Costos'!H628="","",'Data Pura Costos'!H628)</f>
        <v>Termo</v>
      </c>
      <c r="I628" s="71">
        <f>+IF('Data Pura Costos'!I628="","",'Data Pura Costos'!I628)</f>
        <v>3153.8461538461538</v>
      </c>
      <c r="J628" s="52" t="str">
        <f>+IF('Data Pura Costos'!J628="","",'Data Pura Costos'!J628)</f>
        <v>24-25</v>
      </c>
      <c r="K628" s="82" t="str">
        <f t="shared" si="14"/>
        <v>Las Vertientes-Molina-PAULA</v>
      </c>
      <c r="R628" s="6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</row>
    <row r="629" spans="2:39" s="7" customFormat="1" x14ac:dyDescent="0.35">
      <c r="B629" s="4" t="str">
        <f>+IF('Data Pura Costos'!B629="","",'Data Pura Costos'!B629)</f>
        <v>Lihueimo</v>
      </c>
      <c r="C629" s="4" t="str">
        <f>+IF('Data Pura Costos'!C629="","",'Data Pura Costos'!C629)</f>
        <v>Peralillo ohiggins</v>
      </c>
      <c r="D629" s="5">
        <f>+IF('Data Pura Costos'!D629="","",'Data Pura Costos'!D629)</f>
        <v>90</v>
      </c>
      <c r="E629" s="65">
        <f>+IF('Data Pura Costos'!E629="","",IF('Data Pura Costos'!E629=0,MAX('Data Pura Costos'!$E$7:$E$3000)*1000,'Data Pura Costos'!E629))</f>
        <v>380000</v>
      </c>
      <c r="F629" s="5" t="str">
        <f>+IF('Data Pura Costos'!F629="","",'Data Pura Costos'!F629)</f>
        <v>Molina</v>
      </c>
      <c r="G629" s="5" t="str">
        <f>+IF('Data Pura Costos'!G629="","",'Data Pura Costos'!G629)</f>
        <v>PAULA</v>
      </c>
      <c r="H629" s="52" t="str">
        <f>+IF('Data Pura Costos'!H629="","",'Data Pura Costos'!H629)</f>
        <v>Termo</v>
      </c>
      <c r="I629" s="71">
        <f>+IF('Data Pura Costos'!I629="","",'Data Pura Costos'!I629)</f>
        <v>4222.2222222222226</v>
      </c>
      <c r="J629" s="52" t="str">
        <f>+IF('Data Pura Costos'!J629="","",'Data Pura Costos'!J629)</f>
        <v>24-25</v>
      </c>
      <c r="K629" s="82" t="str">
        <f t="shared" si="14"/>
        <v>Lihueimo-Molina-PAULA</v>
      </c>
      <c r="R629" s="6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</row>
    <row r="630" spans="2:39" s="7" customFormat="1" x14ac:dyDescent="0.35">
      <c r="B630" s="4" t="str">
        <f>+IF('Data Pura Costos'!B630="","",'Data Pura Costos'!B630)</f>
        <v>Los Encinos</v>
      </c>
      <c r="C630" s="4" t="str">
        <f>+IF('Data Pura Costos'!C630="","",'Data Pura Costos'!C630)</f>
        <v>Huechun, RM</v>
      </c>
      <c r="D630" s="5">
        <f>+IF('Data Pura Costos'!D630="","",'Data Pura Costos'!D630)</f>
        <v>230</v>
      </c>
      <c r="E630" s="65">
        <f>+IF('Data Pura Costos'!E630="","",IF('Data Pura Costos'!E630=0,MAX('Data Pura Costos'!$E$7:$E$3000)*1000,'Data Pura Costos'!E630))</f>
        <v>560000</v>
      </c>
      <c r="F630" s="5" t="str">
        <f>+IF('Data Pura Costos'!F630="","",'Data Pura Costos'!F630)</f>
        <v>Molina</v>
      </c>
      <c r="G630" s="5" t="str">
        <f>+IF('Data Pura Costos'!G630="","",'Data Pura Costos'!G630)</f>
        <v>PAULA</v>
      </c>
      <c r="H630" s="52" t="str">
        <f>+IF('Data Pura Costos'!H630="","",'Data Pura Costos'!H630)</f>
        <v>Termo</v>
      </c>
      <c r="I630" s="71">
        <f>+IF('Data Pura Costos'!I630="","",'Data Pura Costos'!I630)</f>
        <v>2434.782608695652</v>
      </c>
      <c r="J630" s="52" t="str">
        <f>+IF('Data Pura Costos'!J630="","",'Data Pura Costos'!J630)</f>
        <v>24-25</v>
      </c>
      <c r="K630" s="82" t="str">
        <f t="shared" si="14"/>
        <v>Los Encinos-Molina-PAULA</v>
      </c>
      <c r="R630" s="6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</row>
    <row r="631" spans="2:39" s="7" customFormat="1" x14ac:dyDescent="0.35">
      <c r="B631" s="4" t="str">
        <f>+IF('Data Pura Costos'!B631="","",'Data Pura Costos'!B631)</f>
        <v>Los Maitenes</v>
      </c>
      <c r="C631" s="4" t="str">
        <f>+IF('Data Pura Costos'!C631="","",'Data Pura Costos'!C631)</f>
        <v>Las Cabras, VI región</v>
      </c>
      <c r="D631" s="5">
        <f>+IF('Data Pura Costos'!D631="","",'Data Pura Costos'!D631)</f>
        <v>144</v>
      </c>
      <c r="E631" s="65">
        <f>+IF('Data Pura Costos'!E631="","",IF('Data Pura Costos'!E631=0,MAX('Data Pura Costos'!$E$7:$E$3000)*1000,'Data Pura Costos'!E631))</f>
        <v>460000</v>
      </c>
      <c r="F631" s="5" t="str">
        <f>+IF('Data Pura Costos'!F631="","",'Data Pura Costos'!F631)</f>
        <v>Molina</v>
      </c>
      <c r="G631" s="5" t="str">
        <f>+IF('Data Pura Costos'!G631="","",'Data Pura Costos'!G631)</f>
        <v>PAULA</v>
      </c>
      <c r="H631" s="52" t="str">
        <f>+IF('Data Pura Costos'!H631="","",'Data Pura Costos'!H631)</f>
        <v>Termo</v>
      </c>
      <c r="I631" s="71">
        <f>+IF('Data Pura Costos'!I631="","",'Data Pura Costos'!I631)</f>
        <v>3194.4444444444443</v>
      </c>
      <c r="J631" s="52" t="str">
        <f>+IF('Data Pura Costos'!J631="","",'Data Pura Costos'!J631)</f>
        <v>24-25</v>
      </c>
      <c r="K631" s="82" t="str">
        <f t="shared" si="14"/>
        <v>Los Maitenes-Molina-PAULA</v>
      </c>
      <c r="R631" s="6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</row>
    <row r="632" spans="2:39" s="7" customFormat="1" x14ac:dyDescent="0.35">
      <c r="B632" s="4" t="str">
        <f>+IF('Data Pura Costos'!B632="","",'Data Pura Costos'!B632)</f>
        <v>Los Toldos</v>
      </c>
      <c r="C632" s="4" t="str">
        <f>+IF('Data Pura Costos'!C632="","",'Data Pura Costos'!C632)</f>
        <v>Angol, IX región</v>
      </c>
      <c r="D632" s="5">
        <f>+IF('Data Pura Costos'!D632="","",'Data Pura Costos'!D632)</f>
        <v>408</v>
      </c>
      <c r="E632" s="65">
        <f>+IF('Data Pura Costos'!E632="","",IF('Data Pura Costos'!E632=0,MAX('Data Pura Costos'!$E$7:$E$3000)*1000,'Data Pura Costos'!E632))</f>
        <v>1150000</v>
      </c>
      <c r="F632" s="5" t="str">
        <f>+IF('Data Pura Costos'!F632="","",'Data Pura Costos'!F632)</f>
        <v>Molina</v>
      </c>
      <c r="G632" s="5" t="str">
        <f>+IF('Data Pura Costos'!G632="","",'Data Pura Costos'!G632)</f>
        <v>PAULA</v>
      </c>
      <c r="H632" s="52" t="str">
        <f>+IF('Data Pura Costos'!H632="","",'Data Pura Costos'!H632)</f>
        <v>Termo</v>
      </c>
      <c r="I632" s="71">
        <f>+IF('Data Pura Costos'!I632="","",'Data Pura Costos'!I632)</f>
        <v>2818.627450980392</v>
      </c>
      <c r="J632" s="52" t="str">
        <f>+IF('Data Pura Costos'!J632="","",'Data Pura Costos'!J632)</f>
        <v>24-25</v>
      </c>
      <c r="K632" s="82" t="str">
        <f t="shared" si="14"/>
        <v>Los Toldos-Molina-PAULA</v>
      </c>
      <c r="R632" s="6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</row>
    <row r="633" spans="2:39" s="7" customFormat="1" x14ac:dyDescent="0.35">
      <c r="B633" s="4" t="str">
        <f>+IF('Data Pura Costos'!B633="","",'Data Pura Costos'!B633)</f>
        <v>Mallorca</v>
      </c>
      <c r="C633" s="4" t="str">
        <f>+IF('Data Pura Costos'!C633="","",'Data Pura Costos'!C633)</f>
        <v xml:space="preserve">Molina, VII región </v>
      </c>
      <c r="D633" s="5">
        <f>+IF('Data Pura Costos'!D633="","",'Data Pura Costos'!D633)</f>
        <v>1</v>
      </c>
      <c r="E633" s="65">
        <f>+IF('Data Pura Costos'!E633="","",IF('Data Pura Costos'!E633=0,MAX('Data Pura Costos'!$E$7:$E$3000)*1000,'Data Pura Costos'!E633))</f>
        <v>230000</v>
      </c>
      <c r="F633" s="5" t="str">
        <f>+IF('Data Pura Costos'!F633="","",'Data Pura Costos'!F633)</f>
        <v>Molina</v>
      </c>
      <c r="G633" s="5" t="str">
        <f>+IF('Data Pura Costos'!G633="","",'Data Pura Costos'!G633)</f>
        <v>PAULA</v>
      </c>
      <c r="H633" s="52" t="str">
        <f>+IF('Data Pura Costos'!H633="","",'Data Pura Costos'!H633)</f>
        <v>Termo</v>
      </c>
      <c r="I633" s="71">
        <f>+IF('Data Pura Costos'!I633="","",'Data Pura Costos'!I633)</f>
        <v>230000</v>
      </c>
      <c r="J633" s="52" t="str">
        <f>+IF('Data Pura Costos'!J633="","",'Data Pura Costos'!J633)</f>
        <v>24-25</v>
      </c>
      <c r="K633" s="82" t="str">
        <f t="shared" si="14"/>
        <v>Mallorca-Molina-PAULA</v>
      </c>
      <c r="R633" s="6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</row>
    <row r="634" spans="2:39" s="7" customFormat="1" x14ac:dyDescent="0.35">
      <c r="B634" s="4" t="str">
        <f>+IF('Data Pura Costos'!B634="","",'Data Pura Costos'!B634)</f>
        <v>Panquehue</v>
      </c>
      <c r="C634" s="4" t="str">
        <f>+IF('Data Pura Costos'!C634="","",'Data Pura Costos'!C634)</f>
        <v>Panquehue, V región</v>
      </c>
      <c r="D634" s="5">
        <f>+IF('Data Pura Costos'!D634="","",'Data Pura Costos'!D634)</f>
        <v>310</v>
      </c>
      <c r="E634" s="65">
        <f>+IF('Data Pura Costos'!E634="","",IF('Data Pura Costos'!E634=0,MAX('Data Pura Costos'!$E$7:$E$3000)*1000,'Data Pura Costos'!E634))</f>
        <v>1000000</v>
      </c>
      <c r="F634" s="5" t="str">
        <f>+IF('Data Pura Costos'!F634="","",'Data Pura Costos'!F634)</f>
        <v>Molina</v>
      </c>
      <c r="G634" s="5" t="str">
        <f>+IF('Data Pura Costos'!G634="","",'Data Pura Costos'!G634)</f>
        <v>PAULA</v>
      </c>
      <c r="H634" s="52" t="str">
        <f>+IF('Data Pura Costos'!H634="","",'Data Pura Costos'!H634)</f>
        <v>Termo</v>
      </c>
      <c r="I634" s="71">
        <f>+IF('Data Pura Costos'!I634="","",'Data Pura Costos'!I634)</f>
        <v>3225.8064516129034</v>
      </c>
      <c r="J634" s="52" t="str">
        <f>+IF('Data Pura Costos'!J634="","",'Data Pura Costos'!J634)</f>
        <v>24-25</v>
      </c>
      <c r="K634" s="82" t="str">
        <f t="shared" si="14"/>
        <v>Panquehue-Molina-PAULA</v>
      </c>
      <c r="R634" s="6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</row>
    <row r="635" spans="2:39" s="7" customFormat="1" x14ac:dyDescent="0.35">
      <c r="B635" s="4" t="str">
        <f>+IF('Data Pura Costos'!B635="","",'Data Pura Costos'!B635)</f>
        <v>Entre Rios/Puente Negro/Rio Claro</v>
      </c>
      <c r="C635" s="4" t="str">
        <f>+IF('Data Pura Costos'!C635="","",'Data Pura Costos'!C635)</f>
        <v>Puente negro, san fernando.VI Region.</v>
      </c>
      <c r="D635" s="5">
        <f>+IF('Data Pura Costos'!D635="","",'Data Pura Costos'!D635)</f>
        <v>95</v>
      </c>
      <c r="E635" s="65">
        <f>+IF('Data Pura Costos'!E635="","",IF('Data Pura Costos'!E635=0,MAX('Data Pura Costos'!$E$7:$E$3000)*1000,'Data Pura Costos'!E635))</f>
        <v>380000</v>
      </c>
      <c r="F635" s="5" t="str">
        <f>+IF('Data Pura Costos'!F635="","",'Data Pura Costos'!F635)</f>
        <v>Molina</v>
      </c>
      <c r="G635" s="5" t="str">
        <f>+IF('Data Pura Costos'!G635="","",'Data Pura Costos'!G635)</f>
        <v>PAULA</v>
      </c>
      <c r="H635" s="52" t="str">
        <f>+IF('Data Pura Costos'!H635="","",'Data Pura Costos'!H635)</f>
        <v>Termo</v>
      </c>
      <c r="I635" s="71">
        <f>+IF('Data Pura Costos'!I635="","",'Data Pura Costos'!I635)</f>
        <v>4000</v>
      </c>
      <c r="J635" s="52" t="str">
        <f>+IF('Data Pura Costos'!J635="","",'Data Pura Costos'!J635)</f>
        <v>24-25</v>
      </c>
      <c r="K635" s="82" t="str">
        <f t="shared" si="14"/>
        <v>Entre Rios/Puente Negro/Rio Claro-Molina-PAULA</v>
      </c>
      <c r="R635" s="6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</row>
    <row r="636" spans="2:39" s="7" customFormat="1" x14ac:dyDescent="0.35">
      <c r="B636" s="4" t="str">
        <f>+IF('Data Pura Costos'!B636="","",'Data Pura Costos'!B636)</f>
        <v>Retorno</v>
      </c>
      <c r="C636" s="4" t="str">
        <f>+IF('Data Pura Costos'!C636="","",'Data Pura Costos'!C636)</f>
        <v>Santa maria, V región</v>
      </c>
      <c r="D636" s="5">
        <f>+IF('Data Pura Costos'!D636="","",'Data Pura Costos'!D636)</f>
        <v>305</v>
      </c>
      <c r="E636" s="65">
        <f>+IF('Data Pura Costos'!E636="","",IF('Data Pura Costos'!E636=0,MAX('Data Pura Costos'!$E$7:$E$3000)*1000,'Data Pura Costos'!E636))</f>
        <v>1000000</v>
      </c>
      <c r="F636" s="5" t="str">
        <f>+IF('Data Pura Costos'!F636="","",'Data Pura Costos'!F636)</f>
        <v>Molina</v>
      </c>
      <c r="G636" s="5" t="str">
        <f>+IF('Data Pura Costos'!G636="","",'Data Pura Costos'!G636)</f>
        <v>PAULA</v>
      </c>
      <c r="H636" s="52" t="str">
        <f>+IF('Data Pura Costos'!H636="","",'Data Pura Costos'!H636)</f>
        <v>Termo</v>
      </c>
      <c r="I636" s="71">
        <f>+IF('Data Pura Costos'!I636="","",'Data Pura Costos'!I636)</f>
        <v>3278.688524590164</v>
      </c>
      <c r="J636" s="52" t="str">
        <f>+IF('Data Pura Costos'!J636="","",'Data Pura Costos'!J636)</f>
        <v>24-25</v>
      </c>
      <c r="K636" s="82" t="str">
        <f t="shared" si="14"/>
        <v>Retorno-Molina-PAULA</v>
      </c>
      <c r="R636" s="6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</row>
    <row r="637" spans="2:39" s="7" customFormat="1" x14ac:dyDescent="0.35">
      <c r="B637" s="4" t="str">
        <f>+IF('Data Pura Costos'!B637="","",'Data Pura Costos'!B637)</f>
        <v>San Hernán</v>
      </c>
      <c r="C637" s="4" t="str">
        <f>+IF('Data Pura Costos'!C637="","",'Data Pura Costos'!C637)</f>
        <v>Graneros, VI región</v>
      </c>
      <c r="D637" s="5">
        <f>+IF('Data Pura Costos'!D637="","",'Data Pura Costos'!D637)</f>
        <v>140</v>
      </c>
      <c r="E637" s="65">
        <f>+IF('Data Pura Costos'!E637="","",IF('Data Pura Costos'!E637=0,MAX('Data Pura Costos'!$E$7:$E$3000)*1000,'Data Pura Costos'!E637))</f>
        <v>460000</v>
      </c>
      <c r="F637" s="5" t="str">
        <f>+IF('Data Pura Costos'!F637="","",'Data Pura Costos'!F637)</f>
        <v>Molina</v>
      </c>
      <c r="G637" s="5" t="str">
        <f>+IF('Data Pura Costos'!G637="","",'Data Pura Costos'!G637)</f>
        <v>PAULA</v>
      </c>
      <c r="H637" s="52" t="str">
        <f>+IF('Data Pura Costos'!H637="","",'Data Pura Costos'!H637)</f>
        <v>Termo</v>
      </c>
      <c r="I637" s="71">
        <f>+IF('Data Pura Costos'!I637="","",'Data Pura Costos'!I637)</f>
        <v>3285.7142857142858</v>
      </c>
      <c r="J637" s="52" t="str">
        <f>+IF('Data Pura Costos'!J637="","",'Data Pura Costos'!J637)</f>
        <v>24-25</v>
      </c>
      <c r="K637" s="82" t="str">
        <f t="shared" si="14"/>
        <v>San Hernán-Molina-PAULA</v>
      </c>
      <c r="R637" s="6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</row>
    <row r="638" spans="2:39" s="7" customFormat="1" x14ac:dyDescent="0.35">
      <c r="B638" s="4" t="str">
        <f>+IF('Data Pura Costos'!B638="","",'Data Pura Costos'!B638)</f>
        <v>Santa Mónica</v>
      </c>
      <c r="C638" s="4" t="str">
        <f>+IF('Data Pura Costos'!C638="","",'Data Pura Costos'!C638)</f>
        <v xml:space="preserve">Rancagua, sector Chancón, VI región </v>
      </c>
      <c r="D638" s="5">
        <f>+IF('Data Pura Costos'!D638="","",'Data Pura Costos'!D638)</f>
        <v>130</v>
      </c>
      <c r="E638" s="65">
        <f>+IF('Data Pura Costos'!E638="","",IF('Data Pura Costos'!E638=0,MAX('Data Pura Costos'!$E$7:$E$3000)*1000,'Data Pura Costos'!E638))</f>
        <v>410000</v>
      </c>
      <c r="F638" s="5" t="str">
        <f>+IF('Data Pura Costos'!F638="","",'Data Pura Costos'!F638)</f>
        <v>Molina</v>
      </c>
      <c r="G638" s="5" t="str">
        <f>+IF('Data Pura Costos'!G638="","",'Data Pura Costos'!G638)</f>
        <v>PAULA</v>
      </c>
      <c r="H638" s="52" t="str">
        <f>+IF('Data Pura Costos'!H638="","",'Data Pura Costos'!H638)</f>
        <v>Termo</v>
      </c>
      <c r="I638" s="71">
        <f>+IF('Data Pura Costos'!I638="","",'Data Pura Costos'!I638)</f>
        <v>3153.8461538461538</v>
      </c>
      <c r="J638" s="52" t="str">
        <f>+IF('Data Pura Costos'!J638="","",'Data Pura Costos'!J638)</f>
        <v>24-25</v>
      </c>
      <c r="K638" s="82" t="str">
        <f t="shared" si="14"/>
        <v>Santa Mónica-Molina-PAULA</v>
      </c>
      <c r="R638" s="6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</row>
    <row r="639" spans="2:39" s="7" customFormat="1" x14ac:dyDescent="0.35">
      <c r="B639" s="4" t="str">
        <f>+IF('Data Pura Costos'!B639="","",'Data Pura Costos'!B639)</f>
        <v>Talhuén</v>
      </c>
      <c r="C639" s="4" t="str">
        <f>+IF('Data Pura Costos'!C639="","",'Data Pura Costos'!C639)</f>
        <v>Palmilla, VI región</v>
      </c>
      <c r="D639" s="5">
        <f>+IF('Data Pura Costos'!D639="","",'Data Pura Costos'!D639)</f>
        <v>95</v>
      </c>
      <c r="E639" s="65">
        <f>+IF('Data Pura Costos'!E639="","",IF('Data Pura Costos'!E639=0,MAX('Data Pura Costos'!$E$7:$E$3000)*1000,'Data Pura Costos'!E639))</f>
        <v>380000</v>
      </c>
      <c r="F639" s="5" t="str">
        <f>+IF('Data Pura Costos'!F639="","",'Data Pura Costos'!F639)</f>
        <v>Molina</v>
      </c>
      <c r="G639" s="5" t="str">
        <f>+IF('Data Pura Costos'!G639="","",'Data Pura Costos'!G639)</f>
        <v>PAULA</v>
      </c>
      <c r="H639" s="52" t="str">
        <f>+IF('Data Pura Costos'!H639="","",'Data Pura Costos'!H639)</f>
        <v>Termo</v>
      </c>
      <c r="I639" s="71">
        <f>+IF('Data Pura Costos'!I639="","",'Data Pura Costos'!I639)</f>
        <v>4000</v>
      </c>
      <c r="J639" s="52" t="str">
        <f>+IF('Data Pura Costos'!J639="","",'Data Pura Costos'!J639)</f>
        <v>24-25</v>
      </c>
      <c r="K639" s="82" t="str">
        <f t="shared" si="14"/>
        <v>Talhuén-Molina-PAULA</v>
      </c>
      <c r="R639" s="6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</row>
    <row r="640" spans="2:39" s="7" customFormat="1" x14ac:dyDescent="0.35">
      <c r="B640" s="4" t="str">
        <f>+IF('Data Pura Costos'!B640="","",'Data Pura Costos'!B640)</f>
        <v>Villaseca</v>
      </c>
      <c r="C640" s="4" t="str">
        <f>+IF('Data Pura Costos'!C640="","",'Data Pura Costos'!C640)</f>
        <v>Retiro, VII reginón</v>
      </c>
      <c r="D640" s="5">
        <f>+IF('Data Pura Costos'!D640="","",'Data Pura Costos'!D640)</f>
        <v>160</v>
      </c>
      <c r="E640" s="65">
        <f>+IF('Data Pura Costos'!E640="","",IF('Data Pura Costos'!E640=0,MAX('Data Pura Costos'!$E$7:$E$3000)*1000,'Data Pura Costos'!E640))</f>
        <v>500000</v>
      </c>
      <c r="F640" s="5" t="str">
        <f>+IF('Data Pura Costos'!F640="","",'Data Pura Costos'!F640)</f>
        <v>Molina</v>
      </c>
      <c r="G640" s="5" t="str">
        <f>+IF('Data Pura Costos'!G640="","",'Data Pura Costos'!G640)</f>
        <v>PAULA</v>
      </c>
      <c r="H640" s="52" t="str">
        <f>+IF('Data Pura Costos'!H640="","",'Data Pura Costos'!H640)</f>
        <v>Termo</v>
      </c>
      <c r="I640" s="71">
        <f>+IF('Data Pura Costos'!I640="","",'Data Pura Costos'!I640)</f>
        <v>3125</v>
      </c>
      <c r="J640" s="52" t="str">
        <f>+IF('Data Pura Costos'!J640="","",'Data Pura Costos'!J640)</f>
        <v>24-25</v>
      </c>
      <c r="K640" s="82" t="str">
        <f t="shared" si="14"/>
        <v>Villaseca-Molina-PAULA</v>
      </c>
      <c r="R640" s="6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</row>
    <row r="641" spans="2:39" s="7" customFormat="1" x14ac:dyDescent="0.35">
      <c r="B641" s="4" t="str">
        <f>+IF('Data Pura Costos'!B641="","",'Data Pura Costos'!B641)</f>
        <v>Almahue</v>
      </c>
      <c r="C641" s="4" t="str">
        <f>+IF('Data Pura Costos'!C641="","",'Data Pura Costos'!C641)</f>
        <v>Pichidegua, VI región</v>
      </c>
      <c r="D641" s="5">
        <f>+IF('Data Pura Costos'!D641="","",'Data Pura Costos'!D641)</f>
        <v>50</v>
      </c>
      <c r="E641" s="65">
        <f>+IF('Data Pura Costos'!E641="","",IF('Data Pura Costos'!E641=0,MAX('Data Pura Costos'!$E$7:$E$3000)*1000,'Data Pura Costos'!E641))</f>
        <v>330000</v>
      </c>
      <c r="F641" s="5" t="str">
        <f>+IF('Data Pura Costos'!F641="","",'Data Pura Costos'!F641)</f>
        <v>Malloa</v>
      </c>
      <c r="G641" s="5" t="str">
        <f>+IF('Data Pura Costos'!G641="","",'Data Pura Costos'!G641)</f>
        <v>PAULA</v>
      </c>
      <c r="H641" s="52" t="str">
        <f>+IF('Data Pura Costos'!H641="","",'Data Pura Costos'!H641)</f>
        <v>Termo</v>
      </c>
      <c r="I641" s="71">
        <f>+IF('Data Pura Costos'!I641="","",'Data Pura Costos'!I641)</f>
        <v>6600</v>
      </c>
      <c r="J641" s="52" t="str">
        <f>+IF('Data Pura Costos'!J641="","",'Data Pura Costos'!J641)</f>
        <v>24-25</v>
      </c>
      <c r="K641" s="82" t="str">
        <f t="shared" si="14"/>
        <v>Almahue-Malloa-PAULA</v>
      </c>
      <c r="R641" s="6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</row>
    <row r="642" spans="2:39" s="7" customFormat="1" x14ac:dyDescent="0.35">
      <c r="B642" s="4" t="str">
        <f>+IF('Data Pura Costos'!B642="","",'Data Pura Costos'!B642)</f>
        <v>Bodega</v>
      </c>
      <c r="C642" s="4" t="str">
        <f>+IF('Data Pura Costos'!C642="","",'Data Pura Costos'!C642)</f>
        <v>Linares, VII region.</v>
      </c>
      <c r="D642" s="5">
        <f>+IF('Data Pura Costos'!D642="","",'Data Pura Costos'!D642)</f>
        <v>211</v>
      </c>
      <c r="E642" s="65">
        <f>+IF('Data Pura Costos'!E642="","",IF('Data Pura Costos'!E642=0,MAX('Data Pura Costos'!$E$7:$E$3000)*1000,'Data Pura Costos'!E642))</f>
        <v>560000</v>
      </c>
      <c r="F642" s="5" t="str">
        <f>+IF('Data Pura Costos'!F642="","",'Data Pura Costos'!F642)</f>
        <v>Malloa</v>
      </c>
      <c r="G642" s="5" t="str">
        <f>+IF('Data Pura Costos'!G642="","",'Data Pura Costos'!G642)</f>
        <v>PAULA</v>
      </c>
      <c r="H642" s="52" t="str">
        <f>+IF('Data Pura Costos'!H642="","",'Data Pura Costos'!H642)</f>
        <v>Termo</v>
      </c>
      <c r="I642" s="71">
        <f>+IF('Data Pura Costos'!I642="","",'Data Pura Costos'!I642)</f>
        <v>2654.0284360189576</v>
      </c>
      <c r="J642" s="52" t="str">
        <f>+IF('Data Pura Costos'!J642="","",'Data Pura Costos'!J642)</f>
        <v>24-25</v>
      </c>
      <c r="K642" s="82" t="str">
        <f t="shared" si="14"/>
        <v>Bodega-Malloa-PAULA</v>
      </c>
      <c r="R642" s="6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</row>
    <row r="643" spans="2:39" s="7" customFormat="1" x14ac:dyDescent="0.35">
      <c r="B643" s="4" t="str">
        <f>+IF('Data Pura Costos'!B643="","",'Data Pura Costos'!B643)</f>
        <v xml:space="preserve">Caliboro </v>
      </c>
      <c r="C643" s="4" t="str">
        <f>+IF('Data Pura Costos'!C643="","",'Data Pura Costos'!C643)</f>
        <v>San Javier, VII región</v>
      </c>
      <c r="D643" s="5">
        <f>+IF('Data Pura Costos'!D643="","",'Data Pura Costos'!D643)</f>
        <v>206</v>
      </c>
      <c r="E643" s="65">
        <f>+IF('Data Pura Costos'!E643="","",IF('Data Pura Costos'!E643=0,MAX('Data Pura Costos'!$E$7:$E$3000)*1000,'Data Pura Costos'!E643))</f>
        <v>530000</v>
      </c>
      <c r="F643" s="5" t="str">
        <f>+IF('Data Pura Costos'!F643="","",'Data Pura Costos'!F643)</f>
        <v>Malloa</v>
      </c>
      <c r="G643" s="5" t="str">
        <f>+IF('Data Pura Costos'!G643="","",'Data Pura Costos'!G643)</f>
        <v>PAULA</v>
      </c>
      <c r="H643" s="52" t="str">
        <f>+IF('Data Pura Costos'!H643="","",'Data Pura Costos'!H643)</f>
        <v>Termo</v>
      </c>
      <c r="I643" s="71">
        <f>+IF('Data Pura Costos'!I643="","",'Data Pura Costos'!I643)</f>
        <v>2572.8155339805826</v>
      </c>
      <c r="J643" s="52" t="str">
        <f>+IF('Data Pura Costos'!J643="","",'Data Pura Costos'!J643)</f>
        <v>24-25</v>
      </c>
      <c r="K643" s="82" t="str">
        <f t="shared" si="14"/>
        <v>Caliboro -Malloa-PAULA</v>
      </c>
      <c r="R643" s="6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</row>
    <row r="644" spans="2:39" s="7" customFormat="1" x14ac:dyDescent="0.35">
      <c r="B644" s="4" t="str">
        <f>+IF('Data Pura Costos'!B644="","",'Data Pura Costos'!B644)</f>
        <v>Calleuque</v>
      </c>
      <c r="C644" s="4" t="str">
        <f>+IF('Data Pura Costos'!C644="","",'Data Pura Costos'!C644)</f>
        <v>Peralillo ohiggins, VI región</v>
      </c>
      <c r="D644" s="5">
        <f>+IF('Data Pura Costos'!D644="","",'Data Pura Costos'!D644)</f>
        <v>80</v>
      </c>
      <c r="E644" s="65">
        <f>+IF('Data Pura Costos'!E644="","",IF('Data Pura Costos'!E644=0,MAX('Data Pura Costos'!$E$7:$E$3000)*1000,'Data Pura Costos'!E644))</f>
        <v>350000</v>
      </c>
      <c r="F644" s="5" t="str">
        <f>+IF('Data Pura Costos'!F644="","",'Data Pura Costos'!F644)</f>
        <v>Malloa</v>
      </c>
      <c r="G644" s="5" t="str">
        <f>+IF('Data Pura Costos'!G644="","",'Data Pura Costos'!G644)</f>
        <v>PAULA</v>
      </c>
      <c r="H644" s="52" t="str">
        <f>+IF('Data Pura Costos'!H644="","",'Data Pura Costos'!H644)</f>
        <v>Termo</v>
      </c>
      <c r="I644" s="71">
        <f>+IF('Data Pura Costos'!I644="","",'Data Pura Costos'!I644)</f>
        <v>4375</v>
      </c>
      <c r="J644" s="52" t="str">
        <f>+IF('Data Pura Costos'!J644="","",'Data Pura Costos'!J644)</f>
        <v>24-25</v>
      </c>
      <c r="K644" s="82" t="str">
        <f t="shared" si="14"/>
        <v>Calleuque-Malloa-PAULA</v>
      </c>
      <c r="R644" s="6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</row>
    <row r="645" spans="2:39" s="7" customFormat="1" x14ac:dyDescent="0.35">
      <c r="B645" s="4" t="str">
        <f>+IF('Data Pura Costos'!B645="","",'Data Pura Costos'!B645)</f>
        <v>Chumpirro</v>
      </c>
      <c r="C645" s="4" t="str">
        <f>+IF('Data Pura Costos'!C645="","",'Data Pura Costos'!C645)</f>
        <v>Angol, IX región</v>
      </c>
      <c r="D645" s="5">
        <f>+IF('Data Pura Costos'!D645="","",'Data Pura Costos'!D645)</f>
        <v>450</v>
      </c>
      <c r="E645" s="65">
        <f>+IF('Data Pura Costos'!E645="","",IF('Data Pura Costos'!E645=0,MAX('Data Pura Costos'!$E$7:$E$3000)*1000,'Data Pura Costos'!E645))</f>
        <v>1200000</v>
      </c>
      <c r="F645" s="5" t="str">
        <f>+IF('Data Pura Costos'!F645="","",'Data Pura Costos'!F645)</f>
        <v>Malloa</v>
      </c>
      <c r="G645" s="5" t="str">
        <f>+IF('Data Pura Costos'!G645="","",'Data Pura Costos'!G645)</f>
        <v>PAULA</v>
      </c>
      <c r="H645" s="52" t="str">
        <f>+IF('Data Pura Costos'!H645="","",'Data Pura Costos'!H645)</f>
        <v>Termo</v>
      </c>
      <c r="I645" s="71">
        <f>+IF('Data Pura Costos'!I645="","",'Data Pura Costos'!I645)</f>
        <v>2666.6666666666665</v>
      </c>
      <c r="J645" s="52" t="str">
        <f>+IF('Data Pura Costos'!J645="","",'Data Pura Costos'!J645)</f>
        <v>24-25</v>
      </c>
      <c r="K645" s="82" t="str">
        <f t="shared" si="14"/>
        <v>Chumpirro-Malloa-PAULA</v>
      </c>
      <c r="R645" s="6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</row>
    <row r="646" spans="2:39" s="7" customFormat="1" x14ac:dyDescent="0.35">
      <c r="B646" s="4" t="str">
        <f>+IF('Data Pura Costos'!B646="","",'Data Pura Costos'!B646)</f>
        <v xml:space="preserve"> Cocalán</v>
      </c>
      <c r="C646" s="4" t="str">
        <f>+IF('Data Pura Costos'!C646="","",'Data Pura Costos'!C646)</f>
        <v>Cocalán, VI región</v>
      </c>
      <c r="D646" s="5">
        <f>+IF('Data Pura Costos'!D646="","",'Data Pura Costos'!D646)</f>
        <v>50</v>
      </c>
      <c r="E646" s="65">
        <f>+IF('Data Pura Costos'!E646="","",IF('Data Pura Costos'!E646=0,MAX('Data Pura Costos'!$E$7:$E$3000)*1000,'Data Pura Costos'!E646))</f>
        <v>350000</v>
      </c>
      <c r="F646" s="5" t="str">
        <f>+IF('Data Pura Costos'!F646="","",'Data Pura Costos'!F646)</f>
        <v>Malloa</v>
      </c>
      <c r="G646" s="5" t="str">
        <f>+IF('Data Pura Costos'!G646="","",'Data Pura Costos'!G646)</f>
        <v>PAULA</v>
      </c>
      <c r="H646" s="52" t="str">
        <f>+IF('Data Pura Costos'!H646="","",'Data Pura Costos'!H646)</f>
        <v>Termo</v>
      </c>
      <c r="I646" s="71">
        <f>+IF('Data Pura Costos'!I646="","",'Data Pura Costos'!I646)</f>
        <v>7000</v>
      </c>
      <c r="J646" s="52" t="str">
        <f>+IF('Data Pura Costos'!J646="","",'Data Pura Costos'!J646)</f>
        <v>24-25</v>
      </c>
      <c r="K646" s="82" t="str">
        <f t="shared" si="14"/>
        <v xml:space="preserve"> Cocalán-Malloa-PAULA</v>
      </c>
      <c r="R646" s="6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</row>
    <row r="647" spans="2:39" s="7" customFormat="1" x14ac:dyDescent="0.35">
      <c r="B647" s="4" t="str">
        <f>+IF('Data Pura Costos'!B647="","",'Data Pura Costos'!B647)</f>
        <v>El Cóndor</v>
      </c>
      <c r="C647" s="4" t="str">
        <f>+IF('Data Pura Costos'!C647="","",'Data Pura Costos'!C647)</f>
        <v>Chimbarongo, VI Region.</v>
      </c>
      <c r="D647" s="5">
        <f>+IF('Data Pura Costos'!D647="","",'Data Pura Costos'!D647)</f>
        <v>60</v>
      </c>
      <c r="E647" s="65">
        <f>+IF('Data Pura Costos'!E647="","",IF('Data Pura Costos'!E647=0,MAX('Data Pura Costos'!$E$7:$E$3000)*1000,'Data Pura Costos'!E647))</f>
        <v>380000</v>
      </c>
      <c r="F647" s="5" t="str">
        <f>+IF('Data Pura Costos'!F647="","",'Data Pura Costos'!F647)</f>
        <v>Malloa</v>
      </c>
      <c r="G647" s="5" t="str">
        <f>+IF('Data Pura Costos'!G647="","",'Data Pura Costos'!G647)</f>
        <v>PAULA</v>
      </c>
      <c r="H647" s="52" t="str">
        <f>+IF('Data Pura Costos'!H647="","",'Data Pura Costos'!H647)</f>
        <v>Termo</v>
      </c>
      <c r="I647" s="71">
        <f>+IF('Data Pura Costos'!I647="","",'Data Pura Costos'!I647)</f>
        <v>6333.333333333333</v>
      </c>
      <c r="J647" s="52" t="str">
        <f>+IF('Data Pura Costos'!J647="","",'Data Pura Costos'!J647)</f>
        <v>24-25</v>
      </c>
      <c r="K647" s="82" t="str">
        <f t="shared" si="14"/>
        <v>El Cóndor-Malloa-PAULA</v>
      </c>
      <c r="R647" s="6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</row>
    <row r="648" spans="2:39" s="7" customFormat="1" x14ac:dyDescent="0.35">
      <c r="B648" s="4" t="str">
        <f>+IF('Data Pura Costos'!B648="","",'Data Pura Costos'!B648)</f>
        <v>El Descanso</v>
      </c>
      <c r="C648" s="4" t="str">
        <f>+IF('Data Pura Costos'!C648="","",'Data Pura Costos'!C648)</f>
        <v>Sagrada Familia, VII región</v>
      </c>
      <c r="D648" s="5">
        <f>+IF('Data Pura Costos'!D648="","",'Data Pura Costos'!D648)</f>
        <v>100</v>
      </c>
      <c r="E648" s="65">
        <f>+IF('Data Pura Costos'!E648="","",IF('Data Pura Costos'!E648=0,MAX('Data Pura Costos'!$E$7:$E$3000)*1000,'Data Pura Costos'!E648))</f>
        <v>400000</v>
      </c>
      <c r="F648" s="5" t="str">
        <f>+IF('Data Pura Costos'!F648="","",'Data Pura Costos'!F648)</f>
        <v>Malloa</v>
      </c>
      <c r="G648" s="5" t="str">
        <f>+IF('Data Pura Costos'!G648="","",'Data Pura Costos'!G648)</f>
        <v>PAULA</v>
      </c>
      <c r="H648" s="52" t="str">
        <f>+IF('Data Pura Costos'!H648="","",'Data Pura Costos'!H648)</f>
        <v>Termo</v>
      </c>
      <c r="I648" s="71">
        <f>+IF('Data Pura Costos'!I648="","",'Data Pura Costos'!I648)</f>
        <v>4000</v>
      </c>
      <c r="J648" s="52" t="str">
        <f>+IF('Data Pura Costos'!J648="","",'Data Pura Costos'!J648)</f>
        <v>24-25</v>
      </c>
      <c r="K648" s="82" t="str">
        <f t="shared" ref="K648:K711" si="15">+IF(B648="","",CONCATENATE(B648,"-",F648,"-",G648))</f>
        <v>El Descanso-Malloa-PAULA</v>
      </c>
      <c r="R648" s="6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</row>
    <row r="649" spans="2:39" s="7" customFormat="1" x14ac:dyDescent="0.35">
      <c r="B649" s="4" t="str">
        <f>+IF('Data Pura Costos'!B649="","",'Data Pura Costos'!B649)</f>
        <v>El Espino</v>
      </c>
      <c r="C649" s="4" t="str">
        <f>+IF('Data Pura Costos'!C649="","",'Data Pura Costos'!C649)</f>
        <v>Colbún, VII región</v>
      </c>
      <c r="D649" s="5">
        <f>+IF('Data Pura Costos'!D649="","",'Data Pura Costos'!D649)</f>
        <v>190</v>
      </c>
      <c r="E649" s="65">
        <f>+IF('Data Pura Costos'!E649="","",IF('Data Pura Costos'!E649=0,MAX('Data Pura Costos'!$E$7:$E$3000)*1000,'Data Pura Costos'!E649))</f>
        <v>550000</v>
      </c>
      <c r="F649" s="5" t="str">
        <f>+IF('Data Pura Costos'!F649="","",'Data Pura Costos'!F649)</f>
        <v>Malloa</v>
      </c>
      <c r="G649" s="5" t="str">
        <f>+IF('Data Pura Costos'!G649="","",'Data Pura Costos'!G649)</f>
        <v>PAULA</v>
      </c>
      <c r="H649" s="52" t="str">
        <f>+IF('Data Pura Costos'!H649="","",'Data Pura Costos'!H649)</f>
        <v>Termo</v>
      </c>
      <c r="I649" s="71">
        <f>+IF('Data Pura Costos'!I649="","",'Data Pura Costos'!I649)</f>
        <v>2894.7368421052633</v>
      </c>
      <c r="J649" s="52" t="str">
        <f>+IF('Data Pura Costos'!J649="","",'Data Pura Costos'!J649)</f>
        <v>24-25</v>
      </c>
      <c r="K649" s="82" t="str">
        <f t="shared" si="15"/>
        <v>El Espino-Malloa-PAULA</v>
      </c>
      <c r="R649" s="6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</row>
    <row r="650" spans="2:39" s="7" customFormat="1" x14ac:dyDescent="0.35">
      <c r="B650" s="4" t="str">
        <f>+IF('Data Pura Costos'!B650="","",'Data Pura Costos'!B650)</f>
        <v>El Huaico</v>
      </c>
      <c r="C650" s="4" t="str">
        <f>+IF('Data Pura Costos'!C650="","",'Data Pura Costos'!C650)</f>
        <v>Palmila Ohiggins</v>
      </c>
      <c r="D650" s="5">
        <f>+IF('Data Pura Costos'!D650="","",'Data Pura Costos'!D650)</f>
        <v>75</v>
      </c>
      <c r="E650" s="65">
        <f>+IF('Data Pura Costos'!E650="","",IF('Data Pura Costos'!E650=0,MAX('Data Pura Costos'!$E$7:$E$3000)*1000,'Data Pura Costos'!E650))</f>
        <v>380000</v>
      </c>
      <c r="F650" s="5" t="str">
        <f>+IF('Data Pura Costos'!F650="","",'Data Pura Costos'!F650)</f>
        <v>Malloa</v>
      </c>
      <c r="G650" s="5" t="str">
        <f>+IF('Data Pura Costos'!G650="","",'Data Pura Costos'!G650)</f>
        <v>PAULA</v>
      </c>
      <c r="H650" s="52" t="str">
        <f>+IF('Data Pura Costos'!H650="","",'Data Pura Costos'!H650)</f>
        <v>Termo</v>
      </c>
      <c r="I650" s="71">
        <f>+IF('Data Pura Costos'!I650="","",'Data Pura Costos'!I650)</f>
        <v>5066.666666666667</v>
      </c>
      <c r="J650" s="52" t="str">
        <f>+IF('Data Pura Costos'!J650="","",'Data Pura Costos'!J650)</f>
        <v>24-25</v>
      </c>
      <c r="K650" s="82" t="str">
        <f t="shared" si="15"/>
        <v>El Huaico-Malloa-PAULA</v>
      </c>
      <c r="R650" s="6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</row>
    <row r="651" spans="2:39" s="7" customFormat="1" x14ac:dyDescent="0.35">
      <c r="B651" s="4" t="str">
        <f>+IF('Data Pura Costos'!B651="","",'Data Pura Costos'!B651)</f>
        <v>El Parque</v>
      </c>
      <c r="C651" s="4" t="str">
        <f>+IF('Data Pura Costos'!C651="","",'Data Pura Costos'!C651)</f>
        <v>San Francisco de Mostazal.VI Region.</v>
      </c>
      <c r="D651" s="5">
        <f>+IF('Data Pura Costos'!D651="","",'Data Pura Costos'!D651)</f>
        <v>70</v>
      </c>
      <c r="E651" s="65">
        <f>+IF('Data Pura Costos'!E651="","",IF('Data Pura Costos'!E651=0,MAX('Data Pura Costos'!$E$7:$E$3000)*1000,'Data Pura Costos'!E651))</f>
        <v>380000</v>
      </c>
      <c r="F651" s="5" t="str">
        <f>+IF('Data Pura Costos'!F651="","",'Data Pura Costos'!F651)</f>
        <v>Malloa</v>
      </c>
      <c r="G651" s="5" t="str">
        <f>+IF('Data Pura Costos'!G651="","",'Data Pura Costos'!G651)</f>
        <v>PAULA</v>
      </c>
      <c r="H651" s="52" t="str">
        <f>+IF('Data Pura Costos'!H651="","",'Data Pura Costos'!H651)</f>
        <v>Termo</v>
      </c>
      <c r="I651" s="71">
        <f>+IF('Data Pura Costos'!I651="","",'Data Pura Costos'!I651)</f>
        <v>5428.5714285714284</v>
      </c>
      <c r="J651" s="52" t="str">
        <f>+IF('Data Pura Costos'!J651="","",'Data Pura Costos'!J651)</f>
        <v>24-25</v>
      </c>
      <c r="K651" s="82" t="str">
        <f t="shared" si="15"/>
        <v>El Parque-Malloa-PAULA</v>
      </c>
      <c r="R651" s="6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</row>
    <row r="652" spans="2:39" s="7" customFormat="1" x14ac:dyDescent="0.35">
      <c r="B652" s="4" t="str">
        <f>+IF('Data Pura Costos'!B652="","",'Data Pura Costos'!B652)</f>
        <v>El Picaso</v>
      </c>
      <c r="C652" s="4" t="str">
        <f>+IF('Data Pura Costos'!C652="","",'Data Pura Costos'!C652)</f>
        <v xml:space="preserve">San Clemente, VII región </v>
      </c>
      <c r="D652" s="5">
        <f>+IF('Data Pura Costos'!D652="","",'Data Pura Costos'!D652)</f>
        <v>160</v>
      </c>
      <c r="E652" s="65">
        <f>+IF('Data Pura Costos'!E652="","",IF('Data Pura Costos'!E652=0,MAX('Data Pura Costos'!$E$7:$E$3000)*1000,'Data Pura Costos'!E652))</f>
        <v>500000</v>
      </c>
      <c r="F652" s="5" t="str">
        <f>+IF('Data Pura Costos'!F652="","",'Data Pura Costos'!F652)</f>
        <v>Malloa</v>
      </c>
      <c r="G652" s="5" t="str">
        <f>+IF('Data Pura Costos'!G652="","",'Data Pura Costos'!G652)</f>
        <v>PAULA</v>
      </c>
      <c r="H652" s="52" t="str">
        <f>+IF('Data Pura Costos'!H652="","",'Data Pura Costos'!H652)</f>
        <v>Termo</v>
      </c>
      <c r="I652" s="71">
        <f>+IF('Data Pura Costos'!I652="","",'Data Pura Costos'!I652)</f>
        <v>3125</v>
      </c>
      <c r="J652" s="52" t="str">
        <f>+IF('Data Pura Costos'!J652="","",'Data Pura Costos'!J652)</f>
        <v>24-25</v>
      </c>
      <c r="K652" s="82" t="str">
        <f t="shared" si="15"/>
        <v>El Picaso-Malloa-PAULA</v>
      </c>
      <c r="R652" s="6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</row>
    <row r="653" spans="2:39" s="7" customFormat="1" x14ac:dyDescent="0.35">
      <c r="B653" s="4" t="str">
        <f>+IF('Data Pura Costos'!B653="","",'Data Pura Costos'!B653)</f>
        <v>El Recurso</v>
      </c>
      <c r="C653" s="4" t="str">
        <f>+IF('Data Pura Costos'!C653="","",'Data Pura Costos'!C653)</f>
        <v>San Francisco de Mostazal.VI Region.</v>
      </c>
      <c r="D653" s="5">
        <f>+IF('Data Pura Costos'!D653="","",'Data Pura Costos'!D653)</f>
        <v>70</v>
      </c>
      <c r="E653" s="65">
        <f>+IF('Data Pura Costos'!E653="","",IF('Data Pura Costos'!E653=0,MAX('Data Pura Costos'!$E$7:$E$3000)*1000,'Data Pura Costos'!E653))</f>
        <v>380000</v>
      </c>
      <c r="F653" s="5" t="str">
        <f>+IF('Data Pura Costos'!F653="","",'Data Pura Costos'!F653)</f>
        <v>Malloa</v>
      </c>
      <c r="G653" s="5" t="str">
        <f>+IF('Data Pura Costos'!G653="","",'Data Pura Costos'!G653)</f>
        <v>PAULA</v>
      </c>
      <c r="H653" s="52" t="str">
        <f>+IF('Data Pura Costos'!H653="","",'Data Pura Costos'!H653)</f>
        <v>Termo</v>
      </c>
      <c r="I653" s="71">
        <f>+IF('Data Pura Costos'!I653="","",'Data Pura Costos'!I653)</f>
        <v>5428.5714285714284</v>
      </c>
      <c r="J653" s="52" t="str">
        <f>+IF('Data Pura Costos'!J653="","",'Data Pura Costos'!J653)</f>
        <v>24-25</v>
      </c>
      <c r="K653" s="82" t="str">
        <f t="shared" si="15"/>
        <v>El Recurso-Malloa-PAULA</v>
      </c>
      <c r="R653" s="6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</row>
    <row r="654" spans="2:39" s="7" customFormat="1" x14ac:dyDescent="0.35">
      <c r="B654" s="4" t="str">
        <f>+IF('Data Pura Costos'!B654="","",'Data Pura Costos'!B654)</f>
        <v>El Rosario</v>
      </c>
      <c r="C654" s="4" t="str">
        <f>+IF('Data Pura Costos'!C654="","",'Data Pura Costos'!C654)</f>
        <v>Linares, VII region.</v>
      </c>
      <c r="D654" s="5">
        <f>+IF('Data Pura Costos'!D654="","",'Data Pura Costos'!D654)</f>
        <v>210</v>
      </c>
      <c r="E654" s="65">
        <f>+IF('Data Pura Costos'!E654="","",IF('Data Pura Costos'!E654=0,MAX('Data Pura Costos'!$E$7:$E$3000)*1000,'Data Pura Costos'!E654))</f>
        <v>560000</v>
      </c>
      <c r="F654" s="5" t="str">
        <f>+IF('Data Pura Costos'!F654="","",'Data Pura Costos'!F654)</f>
        <v>Malloa</v>
      </c>
      <c r="G654" s="5" t="str">
        <f>+IF('Data Pura Costos'!G654="","",'Data Pura Costos'!G654)</f>
        <v>PAULA</v>
      </c>
      <c r="H654" s="52" t="str">
        <f>+IF('Data Pura Costos'!H654="","",'Data Pura Costos'!H654)</f>
        <v>Termo</v>
      </c>
      <c r="I654" s="71">
        <f>+IF('Data Pura Costos'!I654="","",'Data Pura Costos'!I654)</f>
        <v>2666.6666666666665</v>
      </c>
      <c r="J654" s="52" t="str">
        <f>+IF('Data Pura Costos'!J654="","",'Data Pura Costos'!J654)</f>
        <v>24-25</v>
      </c>
      <c r="K654" s="82" t="str">
        <f t="shared" si="15"/>
        <v>El Rosario-Malloa-PAULA</v>
      </c>
      <c r="R654" s="6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</row>
    <row r="655" spans="2:39" s="7" customFormat="1" x14ac:dyDescent="0.35">
      <c r="B655" s="4" t="str">
        <f>+IF('Data Pura Costos'!B655="","",'Data Pura Costos'!B655)</f>
        <v>El Retiro</v>
      </c>
      <c r="C655" s="4" t="str">
        <f>+IF('Data Pura Costos'!C655="","",'Data Pura Costos'!C655)</f>
        <v>Rosario, VI Region.</v>
      </c>
      <c r="D655" s="5">
        <f>+IF('Data Pura Costos'!D655="","",'Data Pura Costos'!D655)</f>
        <v>25</v>
      </c>
      <c r="E655" s="65">
        <f>+IF('Data Pura Costos'!E655="","",IF('Data Pura Costos'!E655=0,MAX('Data Pura Costos'!$E$7:$E$3000)*1000,'Data Pura Costos'!E655))</f>
        <v>300000</v>
      </c>
      <c r="F655" s="5" t="str">
        <f>+IF('Data Pura Costos'!F655="","",'Data Pura Costos'!F655)</f>
        <v>Malloa</v>
      </c>
      <c r="G655" s="5" t="str">
        <f>+IF('Data Pura Costos'!G655="","",'Data Pura Costos'!G655)</f>
        <v>PAULA</v>
      </c>
      <c r="H655" s="52" t="str">
        <f>+IF('Data Pura Costos'!H655="","",'Data Pura Costos'!H655)</f>
        <v>Termo</v>
      </c>
      <c r="I655" s="71">
        <f>+IF('Data Pura Costos'!I655="","",'Data Pura Costos'!I655)</f>
        <v>12000</v>
      </c>
      <c r="J655" s="52" t="str">
        <f>+IF('Data Pura Costos'!J655="","",'Data Pura Costos'!J655)</f>
        <v>24-25</v>
      </c>
      <c r="K655" s="82" t="str">
        <f t="shared" si="15"/>
        <v>El Retiro-Malloa-PAULA</v>
      </c>
      <c r="R655" s="6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</row>
    <row r="656" spans="2:39" s="7" customFormat="1" x14ac:dyDescent="0.35">
      <c r="B656" s="4" t="str">
        <f>+IF('Data Pura Costos'!B656="","",'Data Pura Costos'!B656)</f>
        <v>La Esperanza</v>
      </c>
      <c r="C656" s="4" t="str">
        <f>+IF('Data Pura Costos'!C656="","",'Data Pura Costos'!C656)</f>
        <v>Peumo, VI región</v>
      </c>
      <c r="D656" s="5">
        <f>+IF('Data Pura Costos'!D656="","",'Data Pura Costos'!D656)</f>
        <v>35</v>
      </c>
      <c r="E656" s="65">
        <f>+IF('Data Pura Costos'!E656="","",IF('Data Pura Costos'!E656=0,MAX('Data Pura Costos'!$E$7:$E$3000)*1000,'Data Pura Costos'!E656))</f>
        <v>330000</v>
      </c>
      <c r="F656" s="5" t="str">
        <f>+IF('Data Pura Costos'!F656="","",'Data Pura Costos'!F656)</f>
        <v>Malloa</v>
      </c>
      <c r="G656" s="5" t="str">
        <f>+IF('Data Pura Costos'!G656="","",'Data Pura Costos'!G656)</f>
        <v>PAULA</v>
      </c>
      <c r="H656" s="52" t="str">
        <f>+IF('Data Pura Costos'!H656="","",'Data Pura Costos'!H656)</f>
        <v>Termo</v>
      </c>
      <c r="I656" s="71">
        <f>+IF('Data Pura Costos'!I656="","",'Data Pura Costos'!I656)</f>
        <v>9428.5714285714294</v>
      </c>
      <c r="J656" s="52" t="str">
        <f>+IF('Data Pura Costos'!J656="","",'Data Pura Costos'!J656)</f>
        <v>24-25</v>
      </c>
      <c r="K656" s="82" t="str">
        <f t="shared" si="15"/>
        <v>La Esperanza-Malloa-PAULA</v>
      </c>
      <c r="R656" s="6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</row>
    <row r="657" spans="2:39" s="7" customFormat="1" x14ac:dyDescent="0.35">
      <c r="B657" s="4" t="str">
        <f>+IF('Data Pura Costos'!B657="","",'Data Pura Costos'!B657)</f>
        <v>La Estación</v>
      </c>
      <c r="C657" s="4" t="str">
        <f>+IF('Data Pura Costos'!C657="","",'Data Pura Costos'!C657)</f>
        <v>Palmilla, VI región</v>
      </c>
      <c r="D657" s="5">
        <f>+IF('Data Pura Costos'!D657="","",'Data Pura Costos'!D657)</f>
        <v>75</v>
      </c>
      <c r="E657" s="65">
        <f>+IF('Data Pura Costos'!E657="","",IF('Data Pura Costos'!E657=0,MAX('Data Pura Costos'!$E$7:$E$3000)*1000,'Data Pura Costos'!E657))</f>
        <v>380000</v>
      </c>
      <c r="F657" s="5" t="str">
        <f>+IF('Data Pura Costos'!F657="","",'Data Pura Costos'!F657)</f>
        <v>Malloa</v>
      </c>
      <c r="G657" s="5" t="str">
        <f>+IF('Data Pura Costos'!G657="","",'Data Pura Costos'!G657)</f>
        <v>PAULA</v>
      </c>
      <c r="H657" s="52" t="str">
        <f>+IF('Data Pura Costos'!H657="","",'Data Pura Costos'!H657)</f>
        <v>Termo</v>
      </c>
      <c r="I657" s="71">
        <f>+IF('Data Pura Costos'!I657="","",'Data Pura Costos'!I657)</f>
        <v>5066.666666666667</v>
      </c>
      <c r="J657" s="52" t="str">
        <f>+IF('Data Pura Costos'!J657="","",'Data Pura Costos'!J657)</f>
        <v>24-25</v>
      </c>
      <c r="K657" s="82" t="str">
        <f t="shared" si="15"/>
        <v>La Estación-Malloa-PAULA</v>
      </c>
      <c r="R657" s="6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</row>
    <row r="658" spans="2:39" s="7" customFormat="1" x14ac:dyDescent="0.35">
      <c r="B658" s="4" t="str">
        <f>+IF('Data Pura Costos'!B658="","",'Data Pura Costos'!B658)</f>
        <v>La Lajuela</v>
      </c>
      <c r="C658" s="4" t="str">
        <f>+IF('Data Pura Costos'!C658="","",'Data Pura Costos'!C658)</f>
        <v>Santa Cruz, VI Región</v>
      </c>
      <c r="D658" s="5">
        <f>+IF('Data Pura Costos'!D658="","",'Data Pura Costos'!D658)</f>
        <v>75</v>
      </c>
      <c r="E658" s="65">
        <f>+IF('Data Pura Costos'!E658="","",IF('Data Pura Costos'!E658=0,MAX('Data Pura Costos'!$E$7:$E$3000)*1000,'Data Pura Costos'!E658))</f>
        <v>380000</v>
      </c>
      <c r="F658" s="5" t="str">
        <f>+IF('Data Pura Costos'!F658="","",'Data Pura Costos'!F658)</f>
        <v>Malloa</v>
      </c>
      <c r="G658" s="5" t="str">
        <f>+IF('Data Pura Costos'!G658="","",'Data Pura Costos'!G658)</f>
        <v>PAULA</v>
      </c>
      <c r="H658" s="52" t="str">
        <f>+IF('Data Pura Costos'!H658="","",'Data Pura Costos'!H658)</f>
        <v>Termo</v>
      </c>
      <c r="I658" s="71">
        <f>+IF('Data Pura Costos'!I658="","",'Data Pura Costos'!I658)</f>
        <v>5066.666666666667</v>
      </c>
      <c r="J658" s="52" t="str">
        <f>+IF('Data Pura Costos'!J658="","",'Data Pura Costos'!J658)</f>
        <v>24-25</v>
      </c>
      <c r="K658" s="82" t="str">
        <f t="shared" si="15"/>
        <v>La Lajuela-Malloa-PAULA</v>
      </c>
      <c r="R658" s="6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</row>
    <row r="659" spans="2:39" s="7" customFormat="1" x14ac:dyDescent="0.35">
      <c r="B659" s="4" t="str">
        <f>+IF('Data Pura Costos'!B659="","",'Data Pura Costos'!B659)</f>
        <v>La Morera</v>
      </c>
      <c r="C659" s="4" t="str">
        <f>+IF('Data Pura Costos'!C659="","",'Data Pura Costos'!C659)</f>
        <v>La compañia, VI Region.</v>
      </c>
      <c r="D659" s="5">
        <f>+IF('Data Pura Costos'!D659="","",'Data Pura Costos'!D659)</f>
        <v>55</v>
      </c>
      <c r="E659" s="65">
        <f>+IF('Data Pura Costos'!E659="","",IF('Data Pura Costos'!E659=0,MAX('Data Pura Costos'!$E$7:$E$3000)*1000,'Data Pura Costos'!E659))</f>
        <v>380000</v>
      </c>
      <c r="F659" s="5" t="str">
        <f>+IF('Data Pura Costos'!F659="","",'Data Pura Costos'!F659)</f>
        <v>Malloa</v>
      </c>
      <c r="G659" s="5" t="str">
        <f>+IF('Data Pura Costos'!G659="","",'Data Pura Costos'!G659)</f>
        <v>PAULA</v>
      </c>
      <c r="H659" s="52" t="str">
        <f>+IF('Data Pura Costos'!H659="","",'Data Pura Costos'!H659)</f>
        <v>Termo</v>
      </c>
      <c r="I659" s="71">
        <f>+IF('Data Pura Costos'!I659="","",'Data Pura Costos'!I659)</f>
        <v>6909.090909090909</v>
      </c>
      <c r="J659" s="52" t="str">
        <f>+IF('Data Pura Costos'!J659="","",'Data Pura Costos'!J659)</f>
        <v>24-25</v>
      </c>
      <c r="K659" s="82" t="str">
        <f t="shared" si="15"/>
        <v>La Morera-Malloa-PAULA</v>
      </c>
      <c r="R659" s="6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</row>
    <row r="660" spans="2:39" s="7" customFormat="1" x14ac:dyDescent="0.35">
      <c r="B660" s="4" t="str">
        <f>+IF('Data Pura Costos'!B660="","",'Data Pura Costos'!B660)</f>
        <v>La Rinconada</v>
      </c>
      <c r="C660" s="4" t="str">
        <f>+IF('Data Pura Costos'!C660="","",'Data Pura Costos'!C660)</f>
        <v>Pichidegua, VI región</v>
      </c>
      <c r="D660" s="5">
        <f>+IF('Data Pura Costos'!D660="","",'Data Pura Costos'!D660)</f>
        <v>45</v>
      </c>
      <c r="E660" s="65">
        <f>+IF('Data Pura Costos'!E660="","",IF('Data Pura Costos'!E660=0,MAX('Data Pura Costos'!$E$7:$E$3000)*1000,'Data Pura Costos'!E660))</f>
        <v>330000</v>
      </c>
      <c r="F660" s="5" t="str">
        <f>+IF('Data Pura Costos'!F660="","",'Data Pura Costos'!F660)</f>
        <v>Malloa</v>
      </c>
      <c r="G660" s="5" t="str">
        <f>+IF('Data Pura Costos'!G660="","",'Data Pura Costos'!G660)</f>
        <v>PAULA</v>
      </c>
      <c r="H660" s="52" t="str">
        <f>+IF('Data Pura Costos'!H660="","",'Data Pura Costos'!H660)</f>
        <v>Termo</v>
      </c>
      <c r="I660" s="71">
        <f>+IF('Data Pura Costos'!I660="","",'Data Pura Costos'!I660)</f>
        <v>7333.333333333333</v>
      </c>
      <c r="J660" s="52" t="str">
        <f>+IF('Data Pura Costos'!J660="","",'Data Pura Costos'!J660)</f>
        <v>24-25</v>
      </c>
      <c r="K660" s="82" t="str">
        <f t="shared" si="15"/>
        <v>La Rinconada-Malloa-PAULA</v>
      </c>
      <c r="R660" s="6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</row>
    <row r="661" spans="2:39" s="7" customFormat="1" x14ac:dyDescent="0.35">
      <c r="B661" s="4" t="str">
        <f>+IF('Data Pura Costos'!B661="","",'Data Pura Costos'!B661)</f>
        <v xml:space="preserve">La Roblería </v>
      </c>
      <c r="C661" s="4" t="str">
        <f>+IF('Data Pura Costos'!C661="","",'Data Pura Costos'!C661)</f>
        <v>Aculeo, RM</v>
      </c>
      <c r="D661" s="5">
        <f>+IF('Data Pura Costos'!D661="","",'Data Pura Costos'!D661)</f>
        <v>105</v>
      </c>
      <c r="E661" s="65">
        <f>+IF('Data Pura Costos'!E661="","",IF('Data Pura Costos'!E661=0,MAX('Data Pura Costos'!$E$7:$E$3000)*1000,'Data Pura Costos'!E661))</f>
        <v>400000</v>
      </c>
      <c r="F661" s="5" t="str">
        <f>+IF('Data Pura Costos'!F661="","",'Data Pura Costos'!F661)</f>
        <v>Malloa</v>
      </c>
      <c r="G661" s="5" t="str">
        <f>+IF('Data Pura Costos'!G661="","",'Data Pura Costos'!G661)</f>
        <v>PAULA</v>
      </c>
      <c r="H661" s="52" t="str">
        <f>+IF('Data Pura Costos'!H661="","",'Data Pura Costos'!H661)</f>
        <v>Termo</v>
      </c>
      <c r="I661" s="71">
        <f>+IF('Data Pura Costos'!I661="","",'Data Pura Costos'!I661)</f>
        <v>3809.5238095238096</v>
      </c>
      <c r="J661" s="52" t="str">
        <f>+IF('Data Pura Costos'!J661="","",'Data Pura Costos'!J661)</f>
        <v>24-25</v>
      </c>
      <c r="K661" s="82" t="str">
        <f t="shared" si="15"/>
        <v>La Roblería -Malloa-PAULA</v>
      </c>
      <c r="R661" s="6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</row>
    <row r="662" spans="2:39" s="7" customFormat="1" x14ac:dyDescent="0.35">
      <c r="B662" s="4" t="str">
        <f>+IF('Data Pura Costos'!B662="","",'Data Pura Costos'!B662)</f>
        <v>Las Cabras</v>
      </c>
      <c r="C662" s="4" t="str">
        <f>+IF('Data Pura Costos'!C662="","",'Data Pura Costos'!C662)</f>
        <v>Las Cabras, VI región</v>
      </c>
      <c r="D662" s="5">
        <f>+IF('Data Pura Costos'!D662="","",'Data Pura Costos'!D662)</f>
        <v>45</v>
      </c>
      <c r="E662" s="65">
        <f>+IF('Data Pura Costos'!E662="","",IF('Data Pura Costos'!E662=0,MAX('Data Pura Costos'!$E$7:$E$3000)*1000,'Data Pura Costos'!E662))</f>
        <v>330000</v>
      </c>
      <c r="F662" s="5" t="str">
        <f>+IF('Data Pura Costos'!F662="","",'Data Pura Costos'!F662)</f>
        <v>Malloa</v>
      </c>
      <c r="G662" s="5" t="str">
        <f>+IF('Data Pura Costos'!G662="","",'Data Pura Costos'!G662)</f>
        <v>PAULA</v>
      </c>
      <c r="H662" s="52" t="str">
        <f>+IF('Data Pura Costos'!H662="","",'Data Pura Costos'!H662)</f>
        <v>Termo</v>
      </c>
      <c r="I662" s="71">
        <f>+IF('Data Pura Costos'!I662="","",'Data Pura Costos'!I662)</f>
        <v>7333.333333333333</v>
      </c>
      <c r="J662" s="52" t="str">
        <f>+IF('Data Pura Costos'!J662="","",'Data Pura Costos'!J662)</f>
        <v>24-25</v>
      </c>
      <c r="K662" s="82" t="str">
        <f t="shared" si="15"/>
        <v>Las Cabras-Malloa-PAULA</v>
      </c>
      <c r="R662" s="6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</row>
    <row r="663" spans="2:39" s="7" customFormat="1" x14ac:dyDescent="0.35">
      <c r="B663" s="4" t="str">
        <f>+IF('Data Pura Costos'!B663="","",'Data Pura Costos'!B663)</f>
        <v>Las Vertientes</v>
      </c>
      <c r="C663" s="4" t="str">
        <f>+IF('Data Pura Costos'!C663="","",'Data Pura Costos'!C663)</f>
        <v>Pichidegua, VI región</v>
      </c>
      <c r="D663" s="5">
        <f>+IF('Data Pura Costos'!D663="","",'Data Pura Costos'!D663)</f>
        <v>40</v>
      </c>
      <c r="E663" s="65">
        <f>+IF('Data Pura Costos'!E663="","",IF('Data Pura Costos'!E663=0,MAX('Data Pura Costos'!$E$7:$E$3000)*1000,'Data Pura Costos'!E663))</f>
        <v>330000</v>
      </c>
      <c r="F663" s="5" t="str">
        <f>+IF('Data Pura Costos'!F663="","",'Data Pura Costos'!F663)</f>
        <v>Malloa</v>
      </c>
      <c r="G663" s="5" t="str">
        <f>+IF('Data Pura Costos'!G663="","",'Data Pura Costos'!G663)</f>
        <v>PAULA</v>
      </c>
      <c r="H663" s="52" t="str">
        <f>+IF('Data Pura Costos'!H663="","",'Data Pura Costos'!H663)</f>
        <v>Termo</v>
      </c>
      <c r="I663" s="71">
        <f>+IF('Data Pura Costos'!I663="","",'Data Pura Costos'!I663)</f>
        <v>8250</v>
      </c>
      <c r="J663" s="52" t="str">
        <f>+IF('Data Pura Costos'!J663="","",'Data Pura Costos'!J663)</f>
        <v>24-25</v>
      </c>
      <c r="K663" s="82" t="str">
        <f t="shared" si="15"/>
        <v>Las Vertientes-Malloa-PAULA</v>
      </c>
      <c r="R663" s="6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</row>
    <row r="664" spans="2:39" s="7" customFormat="1" x14ac:dyDescent="0.35">
      <c r="B664" s="4" t="str">
        <f>+IF('Data Pura Costos'!B664="","",'Data Pura Costos'!B664)</f>
        <v>Lihueimo</v>
      </c>
      <c r="C664" s="4" t="str">
        <f>+IF('Data Pura Costos'!C664="","",'Data Pura Costos'!C664)</f>
        <v>Peralillo ohiggins</v>
      </c>
      <c r="D664" s="5">
        <f>+IF('Data Pura Costos'!D664="","",'Data Pura Costos'!D664)</f>
        <v>80</v>
      </c>
      <c r="E664" s="65">
        <f>+IF('Data Pura Costos'!E664="","",IF('Data Pura Costos'!E664=0,MAX('Data Pura Costos'!$E$7:$E$3000)*1000,'Data Pura Costos'!E664))</f>
        <v>380000</v>
      </c>
      <c r="F664" s="5" t="str">
        <f>+IF('Data Pura Costos'!F664="","",'Data Pura Costos'!F664)</f>
        <v>Malloa</v>
      </c>
      <c r="G664" s="5" t="str">
        <f>+IF('Data Pura Costos'!G664="","",'Data Pura Costos'!G664)</f>
        <v>PAULA</v>
      </c>
      <c r="H664" s="52" t="str">
        <f>+IF('Data Pura Costos'!H664="","",'Data Pura Costos'!H664)</f>
        <v>Termo</v>
      </c>
      <c r="I664" s="71">
        <f>+IF('Data Pura Costos'!I664="","",'Data Pura Costos'!I664)</f>
        <v>4750</v>
      </c>
      <c r="J664" s="52" t="str">
        <f>+IF('Data Pura Costos'!J664="","",'Data Pura Costos'!J664)</f>
        <v>24-25</v>
      </c>
      <c r="K664" s="82" t="str">
        <f t="shared" si="15"/>
        <v>Lihueimo-Malloa-PAULA</v>
      </c>
      <c r="R664" s="6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</row>
    <row r="665" spans="2:39" s="7" customFormat="1" x14ac:dyDescent="0.35">
      <c r="B665" s="4" t="str">
        <f>+IF('Data Pura Costos'!B665="","",'Data Pura Costos'!B665)</f>
        <v>Los Encinos</v>
      </c>
      <c r="C665" s="4" t="str">
        <f>+IF('Data Pura Costos'!C665="","",'Data Pura Costos'!C665)</f>
        <v>Huechun, RM</v>
      </c>
      <c r="D665" s="5">
        <f>+IF('Data Pura Costos'!D665="","",'Data Pura Costos'!D665)</f>
        <v>145</v>
      </c>
      <c r="E665" s="65">
        <f>+IF('Data Pura Costos'!E665="","",IF('Data Pura Costos'!E665=0,MAX('Data Pura Costos'!$E$7:$E$3000)*1000,'Data Pura Costos'!E665))</f>
        <v>460000</v>
      </c>
      <c r="F665" s="5" t="str">
        <f>+IF('Data Pura Costos'!F665="","",'Data Pura Costos'!F665)</f>
        <v>Malloa</v>
      </c>
      <c r="G665" s="5" t="str">
        <f>+IF('Data Pura Costos'!G665="","",'Data Pura Costos'!G665)</f>
        <v>PAULA</v>
      </c>
      <c r="H665" s="52" t="str">
        <f>+IF('Data Pura Costos'!H665="","",'Data Pura Costos'!H665)</f>
        <v>Termo</v>
      </c>
      <c r="I665" s="71">
        <f>+IF('Data Pura Costos'!I665="","",'Data Pura Costos'!I665)</f>
        <v>3172.4137931034484</v>
      </c>
      <c r="J665" s="52" t="str">
        <f>+IF('Data Pura Costos'!J665="","",'Data Pura Costos'!J665)</f>
        <v>24-25</v>
      </c>
      <c r="K665" s="82" t="str">
        <f t="shared" si="15"/>
        <v>Los Encinos-Malloa-PAULA</v>
      </c>
      <c r="R665" s="6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</row>
    <row r="666" spans="2:39" s="7" customFormat="1" x14ac:dyDescent="0.35">
      <c r="B666" s="4" t="str">
        <f>+IF('Data Pura Costos'!B666="","",'Data Pura Costos'!B666)</f>
        <v>Los Maitenes</v>
      </c>
      <c r="C666" s="4" t="str">
        <f>+IF('Data Pura Costos'!C666="","",'Data Pura Costos'!C666)</f>
        <v>Las Cabras, VI región</v>
      </c>
      <c r="D666" s="5">
        <f>+IF('Data Pura Costos'!D666="","",'Data Pura Costos'!D666)</f>
        <v>60</v>
      </c>
      <c r="E666" s="65">
        <f>+IF('Data Pura Costos'!E666="","",IF('Data Pura Costos'!E666=0,MAX('Data Pura Costos'!$E$7:$E$3000)*1000,'Data Pura Costos'!E666))</f>
        <v>380000</v>
      </c>
      <c r="F666" s="5" t="str">
        <f>+IF('Data Pura Costos'!F666="","",'Data Pura Costos'!F666)</f>
        <v>Malloa</v>
      </c>
      <c r="G666" s="5" t="str">
        <f>+IF('Data Pura Costos'!G666="","",'Data Pura Costos'!G666)</f>
        <v>PAULA</v>
      </c>
      <c r="H666" s="52" t="str">
        <f>+IF('Data Pura Costos'!H666="","",'Data Pura Costos'!H666)</f>
        <v>Termo</v>
      </c>
      <c r="I666" s="71">
        <f>+IF('Data Pura Costos'!I666="","",'Data Pura Costos'!I666)</f>
        <v>6333.333333333333</v>
      </c>
      <c r="J666" s="52" t="str">
        <f>+IF('Data Pura Costos'!J666="","",'Data Pura Costos'!J666)</f>
        <v>24-25</v>
      </c>
      <c r="K666" s="82" t="str">
        <f t="shared" si="15"/>
        <v>Los Maitenes-Malloa-PAULA</v>
      </c>
      <c r="R666" s="6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</row>
    <row r="667" spans="2:39" s="7" customFormat="1" x14ac:dyDescent="0.35">
      <c r="B667" s="4" t="str">
        <f>+IF('Data Pura Costos'!B667="","",'Data Pura Costos'!B667)</f>
        <v>Los Toldos</v>
      </c>
      <c r="C667" s="4" t="str">
        <f>+IF('Data Pura Costos'!C667="","",'Data Pura Costos'!C667)</f>
        <v>Angol, IX región</v>
      </c>
      <c r="D667" s="5">
        <f>+IF('Data Pura Costos'!D667="","",'Data Pura Costos'!D667)</f>
        <v>50</v>
      </c>
      <c r="E667" s="65">
        <f>+IF('Data Pura Costos'!E667="","",IF('Data Pura Costos'!E667=0,MAX('Data Pura Costos'!$E$7:$E$3000)*1000,'Data Pura Costos'!E667))</f>
        <v>1400000</v>
      </c>
      <c r="F667" s="5" t="str">
        <f>+IF('Data Pura Costos'!F667="","",'Data Pura Costos'!F667)</f>
        <v>Malloa</v>
      </c>
      <c r="G667" s="5" t="str">
        <f>+IF('Data Pura Costos'!G667="","",'Data Pura Costos'!G667)</f>
        <v>PAULA</v>
      </c>
      <c r="H667" s="52" t="str">
        <f>+IF('Data Pura Costos'!H667="","",'Data Pura Costos'!H667)</f>
        <v>Termo</v>
      </c>
      <c r="I667" s="71">
        <f>+IF('Data Pura Costos'!I667="","",'Data Pura Costos'!I667)</f>
        <v>28000</v>
      </c>
      <c r="J667" s="52" t="str">
        <f>+IF('Data Pura Costos'!J667="","",'Data Pura Costos'!J667)</f>
        <v>24-25</v>
      </c>
      <c r="K667" s="82" t="str">
        <f t="shared" si="15"/>
        <v>Los Toldos-Malloa-PAULA</v>
      </c>
      <c r="R667" s="6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</row>
    <row r="668" spans="2:39" s="7" customFormat="1" x14ac:dyDescent="0.35">
      <c r="B668" s="4" t="str">
        <f>+IF('Data Pura Costos'!B668="","",'Data Pura Costos'!B668)</f>
        <v>Mallorca</v>
      </c>
      <c r="C668" s="4" t="str">
        <f>+IF('Data Pura Costos'!C668="","",'Data Pura Costos'!C668)</f>
        <v xml:space="preserve">Molina, VII región </v>
      </c>
      <c r="D668" s="5">
        <f>+IF('Data Pura Costos'!D668="","",'Data Pura Costos'!D668)</f>
        <v>95</v>
      </c>
      <c r="E668" s="65">
        <f>+IF('Data Pura Costos'!E668="","",IF('Data Pura Costos'!E668=0,MAX('Data Pura Costos'!$E$7:$E$3000)*1000,'Data Pura Costos'!E668))</f>
        <v>380000</v>
      </c>
      <c r="F668" s="5" t="str">
        <f>+IF('Data Pura Costos'!F668="","",'Data Pura Costos'!F668)</f>
        <v>Malloa</v>
      </c>
      <c r="G668" s="5" t="str">
        <f>+IF('Data Pura Costos'!G668="","",'Data Pura Costos'!G668)</f>
        <v>PAULA</v>
      </c>
      <c r="H668" s="52" t="str">
        <f>+IF('Data Pura Costos'!H668="","",'Data Pura Costos'!H668)</f>
        <v>Termo</v>
      </c>
      <c r="I668" s="71">
        <f>+IF('Data Pura Costos'!I668="","",'Data Pura Costos'!I668)</f>
        <v>4000</v>
      </c>
      <c r="J668" s="52" t="str">
        <f>+IF('Data Pura Costos'!J668="","",'Data Pura Costos'!J668)</f>
        <v>24-25</v>
      </c>
      <c r="K668" s="82" t="str">
        <f t="shared" si="15"/>
        <v>Mallorca-Malloa-PAULA</v>
      </c>
      <c r="R668" s="6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</row>
    <row r="669" spans="2:39" s="7" customFormat="1" x14ac:dyDescent="0.35">
      <c r="B669" s="4" t="str">
        <f>+IF('Data Pura Costos'!B669="","",'Data Pura Costos'!B669)</f>
        <v>Panquehue</v>
      </c>
      <c r="C669" s="4" t="str">
        <f>+IF('Data Pura Costos'!C669="","",'Data Pura Costos'!C669)</f>
        <v>Panquehue, V región</v>
      </c>
      <c r="D669" s="5">
        <f>+IF('Data Pura Costos'!D669="","",'Data Pura Costos'!D669)</f>
        <v>230</v>
      </c>
      <c r="E669" s="65">
        <f>+IF('Data Pura Costos'!E669="","",IF('Data Pura Costos'!E669=0,MAX('Data Pura Costos'!$E$7:$E$3000)*1000,'Data Pura Costos'!E669))</f>
        <v>560000</v>
      </c>
      <c r="F669" s="5" t="str">
        <f>+IF('Data Pura Costos'!F669="","",'Data Pura Costos'!F669)</f>
        <v>Malloa</v>
      </c>
      <c r="G669" s="5" t="str">
        <f>+IF('Data Pura Costos'!G669="","",'Data Pura Costos'!G669)</f>
        <v>PAULA</v>
      </c>
      <c r="H669" s="52" t="str">
        <f>+IF('Data Pura Costos'!H669="","",'Data Pura Costos'!H669)</f>
        <v>Termo</v>
      </c>
      <c r="I669" s="71">
        <f>+IF('Data Pura Costos'!I669="","",'Data Pura Costos'!I669)</f>
        <v>2434.782608695652</v>
      </c>
      <c r="J669" s="52" t="str">
        <f>+IF('Data Pura Costos'!J669="","",'Data Pura Costos'!J669)</f>
        <v>24-25</v>
      </c>
      <c r="K669" s="82" t="str">
        <f t="shared" si="15"/>
        <v>Panquehue-Malloa-PAULA</v>
      </c>
      <c r="R669" s="6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</row>
    <row r="670" spans="2:39" s="7" customFormat="1" x14ac:dyDescent="0.35">
      <c r="B670" s="4" t="str">
        <f>+IF('Data Pura Costos'!B670="","",'Data Pura Costos'!B670)</f>
        <v>Entre Rios/Puente Negro/Rio Claro</v>
      </c>
      <c r="C670" s="4" t="str">
        <f>+IF('Data Pura Costos'!C670="","",'Data Pura Costos'!C670)</f>
        <v>Puente negro, san fernando.VI Region.</v>
      </c>
      <c r="D670" s="5">
        <f>+IF('Data Pura Costos'!D670="","",'Data Pura Costos'!D670)</f>
        <v>50</v>
      </c>
      <c r="E670" s="65">
        <f>+IF('Data Pura Costos'!E670="","",IF('Data Pura Costos'!E670=0,MAX('Data Pura Costos'!$E$7:$E$3000)*1000,'Data Pura Costos'!E670))</f>
        <v>350000</v>
      </c>
      <c r="F670" s="5" t="str">
        <f>+IF('Data Pura Costos'!F670="","",'Data Pura Costos'!F670)</f>
        <v>Malloa</v>
      </c>
      <c r="G670" s="5" t="str">
        <f>+IF('Data Pura Costos'!G670="","",'Data Pura Costos'!G670)</f>
        <v>PAULA</v>
      </c>
      <c r="H670" s="52" t="str">
        <f>+IF('Data Pura Costos'!H670="","",'Data Pura Costos'!H670)</f>
        <v>Termo</v>
      </c>
      <c r="I670" s="71">
        <f>+IF('Data Pura Costos'!I670="","",'Data Pura Costos'!I670)</f>
        <v>7000</v>
      </c>
      <c r="J670" s="52" t="str">
        <f>+IF('Data Pura Costos'!J670="","",'Data Pura Costos'!J670)</f>
        <v>24-25</v>
      </c>
      <c r="K670" s="82" t="str">
        <f t="shared" si="15"/>
        <v>Entre Rios/Puente Negro/Rio Claro-Malloa-PAULA</v>
      </c>
      <c r="R670" s="6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</row>
    <row r="671" spans="2:39" s="7" customFormat="1" x14ac:dyDescent="0.35">
      <c r="B671" s="4" t="str">
        <f>+IF('Data Pura Costos'!B671="","",'Data Pura Costos'!B671)</f>
        <v>Retorno</v>
      </c>
      <c r="C671" s="4" t="str">
        <f>+IF('Data Pura Costos'!C671="","",'Data Pura Costos'!C671)</f>
        <v>Santa maria, V región</v>
      </c>
      <c r="D671" s="5">
        <f>+IF('Data Pura Costos'!D671="","",'Data Pura Costos'!D671)</f>
        <v>225</v>
      </c>
      <c r="E671" s="65">
        <f>+IF('Data Pura Costos'!E671="","",IF('Data Pura Costos'!E671=0,MAX('Data Pura Costos'!$E$7:$E$3000)*1000,'Data Pura Costos'!E671))</f>
        <v>560000</v>
      </c>
      <c r="F671" s="5" t="str">
        <f>+IF('Data Pura Costos'!F671="","",'Data Pura Costos'!F671)</f>
        <v>Malloa</v>
      </c>
      <c r="G671" s="5" t="str">
        <f>+IF('Data Pura Costos'!G671="","",'Data Pura Costos'!G671)</f>
        <v>PAULA</v>
      </c>
      <c r="H671" s="52" t="str">
        <f>+IF('Data Pura Costos'!H671="","",'Data Pura Costos'!H671)</f>
        <v>Termo</v>
      </c>
      <c r="I671" s="71">
        <f>+IF('Data Pura Costos'!I671="","",'Data Pura Costos'!I671)</f>
        <v>2488.8888888888887</v>
      </c>
      <c r="J671" s="52" t="str">
        <f>+IF('Data Pura Costos'!J671="","",'Data Pura Costos'!J671)</f>
        <v>24-25</v>
      </c>
      <c r="K671" s="82" t="str">
        <f t="shared" si="15"/>
        <v>Retorno-Malloa-PAULA</v>
      </c>
      <c r="R671" s="6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</row>
    <row r="672" spans="2:39" s="7" customFormat="1" x14ac:dyDescent="0.35">
      <c r="B672" s="4" t="str">
        <f>+IF('Data Pura Costos'!B672="","",'Data Pura Costos'!B672)</f>
        <v>San Hernán</v>
      </c>
      <c r="C672" s="4" t="str">
        <f>+IF('Data Pura Costos'!C672="","",'Data Pura Costos'!C672)</f>
        <v>Graneros, VI región</v>
      </c>
      <c r="D672" s="5">
        <f>+IF('Data Pura Costos'!D672="","",'Data Pura Costos'!D672)</f>
        <v>60</v>
      </c>
      <c r="E672" s="65">
        <f>+IF('Data Pura Costos'!E672="","",IF('Data Pura Costos'!E672=0,MAX('Data Pura Costos'!$E$7:$E$3000)*1000,'Data Pura Costos'!E672))</f>
        <v>380000</v>
      </c>
      <c r="F672" s="5" t="str">
        <f>+IF('Data Pura Costos'!F672="","",'Data Pura Costos'!F672)</f>
        <v>Malloa</v>
      </c>
      <c r="G672" s="5" t="str">
        <f>+IF('Data Pura Costos'!G672="","",'Data Pura Costos'!G672)</f>
        <v>PAULA</v>
      </c>
      <c r="H672" s="52" t="str">
        <f>+IF('Data Pura Costos'!H672="","",'Data Pura Costos'!H672)</f>
        <v>Termo</v>
      </c>
      <c r="I672" s="71">
        <f>+IF('Data Pura Costos'!I672="","",'Data Pura Costos'!I672)</f>
        <v>6333.333333333333</v>
      </c>
      <c r="J672" s="52" t="str">
        <f>+IF('Data Pura Costos'!J672="","",'Data Pura Costos'!J672)</f>
        <v>24-25</v>
      </c>
      <c r="K672" s="82" t="str">
        <f t="shared" si="15"/>
        <v>San Hernán-Malloa-PAULA</v>
      </c>
      <c r="R672" s="6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</row>
    <row r="673" spans="2:39" s="7" customFormat="1" x14ac:dyDescent="0.35">
      <c r="B673" s="4" t="str">
        <f>+IF('Data Pura Costos'!B673="","",'Data Pura Costos'!B673)</f>
        <v>Santa Mónica</v>
      </c>
      <c r="C673" s="4" t="str">
        <f>+IF('Data Pura Costos'!C673="","",'Data Pura Costos'!C673)</f>
        <v xml:space="preserve">Rancagua, sector Chancón, VI región </v>
      </c>
      <c r="D673" s="5">
        <f>+IF('Data Pura Costos'!D673="","",'Data Pura Costos'!D673)</f>
        <v>55</v>
      </c>
      <c r="E673" s="65">
        <f>+IF('Data Pura Costos'!E673="","",IF('Data Pura Costos'!E673=0,MAX('Data Pura Costos'!$E$7:$E$3000)*1000,'Data Pura Costos'!E673))</f>
        <v>350000</v>
      </c>
      <c r="F673" s="5" t="str">
        <f>+IF('Data Pura Costos'!F673="","",'Data Pura Costos'!F673)</f>
        <v>Malloa</v>
      </c>
      <c r="G673" s="5" t="str">
        <f>+IF('Data Pura Costos'!G673="","",'Data Pura Costos'!G673)</f>
        <v>PAULA</v>
      </c>
      <c r="H673" s="52" t="str">
        <f>+IF('Data Pura Costos'!H673="","",'Data Pura Costos'!H673)</f>
        <v>Termo</v>
      </c>
      <c r="I673" s="71">
        <f>+IF('Data Pura Costos'!I673="","",'Data Pura Costos'!I673)</f>
        <v>6363.636363636364</v>
      </c>
      <c r="J673" s="52" t="str">
        <f>+IF('Data Pura Costos'!J673="","",'Data Pura Costos'!J673)</f>
        <v>24-25</v>
      </c>
      <c r="K673" s="82" t="str">
        <f t="shared" si="15"/>
        <v>Santa Mónica-Malloa-PAULA</v>
      </c>
      <c r="R673" s="6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</row>
    <row r="674" spans="2:39" s="7" customFormat="1" x14ac:dyDescent="0.35">
      <c r="B674" s="4" t="str">
        <f>+IF('Data Pura Costos'!B674="","",'Data Pura Costos'!B674)</f>
        <v>Talhuén</v>
      </c>
      <c r="C674" s="4" t="str">
        <f>+IF('Data Pura Costos'!C674="","",'Data Pura Costos'!C674)</f>
        <v>Palmilla, VI región</v>
      </c>
      <c r="D674" s="5">
        <f>+IF('Data Pura Costos'!D674="","",'Data Pura Costos'!D674)</f>
        <v>60</v>
      </c>
      <c r="E674" s="65">
        <f>+IF('Data Pura Costos'!E674="","",IF('Data Pura Costos'!E674=0,MAX('Data Pura Costos'!$E$7:$E$3000)*1000,'Data Pura Costos'!E674))</f>
        <v>380000</v>
      </c>
      <c r="F674" s="5" t="str">
        <f>+IF('Data Pura Costos'!F674="","",'Data Pura Costos'!F674)</f>
        <v>Malloa</v>
      </c>
      <c r="G674" s="5" t="str">
        <f>+IF('Data Pura Costos'!G674="","",'Data Pura Costos'!G674)</f>
        <v>PAULA</v>
      </c>
      <c r="H674" s="52" t="str">
        <f>+IF('Data Pura Costos'!H674="","",'Data Pura Costos'!H674)</f>
        <v>Termo</v>
      </c>
      <c r="I674" s="71">
        <f>+IF('Data Pura Costos'!I674="","",'Data Pura Costos'!I674)</f>
        <v>6333.333333333333</v>
      </c>
      <c r="J674" s="52" t="str">
        <f>+IF('Data Pura Costos'!J674="","",'Data Pura Costos'!J674)</f>
        <v>24-25</v>
      </c>
      <c r="K674" s="82" t="str">
        <f t="shared" si="15"/>
        <v>Talhuén-Malloa-PAULA</v>
      </c>
      <c r="R674" s="6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</row>
    <row r="675" spans="2:39" s="7" customFormat="1" x14ac:dyDescent="0.35">
      <c r="B675" s="4" t="str">
        <f>+IF('Data Pura Costos'!B675="","",'Data Pura Costos'!B675)</f>
        <v>Villaseca</v>
      </c>
      <c r="C675" s="4" t="str">
        <f>+IF('Data Pura Costos'!C675="","",'Data Pura Costos'!C675)</f>
        <v>Retiro, VII reginón</v>
      </c>
      <c r="D675" s="5">
        <f>+IF('Data Pura Costos'!D675="","",'Data Pura Costos'!D675)</f>
        <v>250</v>
      </c>
      <c r="E675" s="65">
        <f>+IF('Data Pura Costos'!E675="","",IF('Data Pura Costos'!E675=0,MAX('Data Pura Costos'!$E$7:$E$3000)*1000,'Data Pura Costos'!E675))</f>
        <v>920000</v>
      </c>
      <c r="F675" s="5" t="str">
        <f>+IF('Data Pura Costos'!F675="","",'Data Pura Costos'!F675)</f>
        <v>Malloa</v>
      </c>
      <c r="G675" s="5" t="str">
        <f>+IF('Data Pura Costos'!G675="","",'Data Pura Costos'!G675)</f>
        <v>PAULA</v>
      </c>
      <c r="H675" s="52" t="str">
        <f>+IF('Data Pura Costos'!H675="","",'Data Pura Costos'!H675)</f>
        <v>Termo</v>
      </c>
      <c r="I675" s="71">
        <f>+IF('Data Pura Costos'!I675="","",'Data Pura Costos'!I675)</f>
        <v>3680</v>
      </c>
      <c r="J675" s="52" t="str">
        <f>+IF('Data Pura Costos'!J675="","",'Data Pura Costos'!J675)</f>
        <v>24-25</v>
      </c>
      <c r="K675" s="82" t="str">
        <f t="shared" si="15"/>
        <v>Villaseca-Malloa-PAULA</v>
      </c>
      <c r="R675" s="6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</row>
    <row r="676" spans="2:39" s="7" customFormat="1" x14ac:dyDescent="0.35">
      <c r="B676" s="4" t="str">
        <f>+IF('Data Pura Costos'!B676="","",'Data Pura Costos'!B676)</f>
        <v>Almahue</v>
      </c>
      <c r="C676" s="4" t="str">
        <f>+IF('Data Pura Costos'!C676="","",'Data Pura Costos'!C676)</f>
        <v>Pichidegua, VI región</v>
      </c>
      <c r="D676" s="5">
        <f>+IF('Data Pura Costos'!D676="","",'Data Pura Costos'!D676)</f>
        <v>108</v>
      </c>
      <c r="E676" s="65">
        <f>+IF('Data Pura Costos'!E676="","",IF('Data Pura Costos'!E676=0,MAX('Data Pura Costos'!$E$7:$E$3000)*1000,'Data Pura Costos'!E676))</f>
        <v>600000</v>
      </c>
      <c r="F676" s="5" t="str">
        <f>+IF('Data Pura Costos'!F676="","",'Data Pura Costos'!F676)</f>
        <v>Mostazal</v>
      </c>
      <c r="G676" s="5" t="str">
        <f>+IF('Data Pura Costos'!G676="","",'Data Pura Costos'!G676)</f>
        <v>TH TRANSPORTES</v>
      </c>
      <c r="H676" s="52" t="str">
        <f>+IF('Data Pura Costos'!H676="","",'Data Pura Costos'!H676)</f>
        <v>Termo</v>
      </c>
      <c r="I676" s="71">
        <f>+IF('Data Pura Costos'!I676="","",'Data Pura Costos'!I676)</f>
        <v>5555.5555555555557</v>
      </c>
      <c r="J676" s="52" t="str">
        <f>+IF('Data Pura Costos'!J676="","",'Data Pura Costos'!J676)</f>
        <v>24-25</v>
      </c>
      <c r="K676" s="82" t="str">
        <f t="shared" si="15"/>
        <v>Almahue-Mostazal-TH TRANSPORTES</v>
      </c>
      <c r="R676" s="6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</row>
    <row r="677" spans="2:39" s="7" customFormat="1" x14ac:dyDescent="0.35">
      <c r="B677" s="4" t="str">
        <f>+IF('Data Pura Costos'!B677="","",'Data Pura Costos'!B677)</f>
        <v>Bodega</v>
      </c>
      <c r="C677" s="4" t="str">
        <f>+IF('Data Pura Costos'!C677="","",'Data Pura Costos'!C677)</f>
        <v>Linares, VII region.</v>
      </c>
      <c r="D677" s="5">
        <f>+IF('Data Pura Costos'!D677="","",'Data Pura Costos'!D677)</f>
        <v>264</v>
      </c>
      <c r="E677" s="65">
        <f>+IF('Data Pura Costos'!E677="","",IF('Data Pura Costos'!E677=0,MAX('Data Pura Costos'!$E$7:$E$3000)*1000,'Data Pura Costos'!E677))</f>
        <v>800000</v>
      </c>
      <c r="F677" s="5" t="str">
        <f>+IF('Data Pura Costos'!F677="","",'Data Pura Costos'!F677)</f>
        <v>Mostazal</v>
      </c>
      <c r="G677" s="5" t="str">
        <f>+IF('Data Pura Costos'!G677="","",'Data Pura Costos'!G677)</f>
        <v>TH TRANSPORTES</v>
      </c>
      <c r="H677" s="52" t="str">
        <f>+IF('Data Pura Costos'!H677="","",'Data Pura Costos'!H677)</f>
        <v>Termo</v>
      </c>
      <c r="I677" s="71">
        <f>+IF('Data Pura Costos'!I677="","",'Data Pura Costos'!I677)</f>
        <v>3030.3030303030305</v>
      </c>
      <c r="J677" s="52" t="str">
        <f>+IF('Data Pura Costos'!J677="","",'Data Pura Costos'!J677)</f>
        <v>24-25</v>
      </c>
      <c r="K677" s="82" t="str">
        <f t="shared" si="15"/>
        <v>Bodega-Mostazal-TH TRANSPORTES</v>
      </c>
      <c r="R677" s="6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</row>
    <row r="678" spans="2:39" s="7" customFormat="1" x14ac:dyDescent="0.35">
      <c r="B678" s="4" t="str">
        <f>+IF('Data Pura Costos'!B678="","",'Data Pura Costos'!B678)</f>
        <v xml:space="preserve">Caliboro </v>
      </c>
      <c r="C678" s="4" t="str">
        <f>+IF('Data Pura Costos'!C678="","",'Data Pura Costos'!C678)</f>
        <v>San Javier, VII región</v>
      </c>
      <c r="D678" s="5">
        <f>+IF('Data Pura Costos'!D678="","",'Data Pura Costos'!D678)</f>
        <v>258</v>
      </c>
      <c r="E678" s="65">
        <f>+IF('Data Pura Costos'!E678="","",IF('Data Pura Costos'!E678=0,MAX('Data Pura Costos'!$E$7:$E$3000)*1000,'Data Pura Costos'!E678))</f>
        <v>800000</v>
      </c>
      <c r="F678" s="5" t="str">
        <f>+IF('Data Pura Costos'!F678="","",'Data Pura Costos'!F678)</f>
        <v>Mostazal</v>
      </c>
      <c r="G678" s="5" t="str">
        <f>+IF('Data Pura Costos'!G678="","",'Data Pura Costos'!G678)</f>
        <v>TH TRANSPORTES</v>
      </c>
      <c r="H678" s="52" t="str">
        <f>+IF('Data Pura Costos'!H678="","",'Data Pura Costos'!H678)</f>
        <v>Termo</v>
      </c>
      <c r="I678" s="71">
        <f>+IF('Data Pura Costos'!I678="","",'Data Pura Costos'!I678)</f>
        <v>3100.7751937984494</v>
      </c>
      <c r="J678" s="52" t="str">
        <f>+IF('Data Pura Costos'!J678="","",'Data Pura Costos'!J678)</f>
        <v>24-25</v>
      </c>
      <c r="K678" s="82" t="str">
        <f t="shared" si="15"/>
        <v>Caliboro -Mostazal-TH TRANSPORTES</v>
      </c>
      <c r="R678" s="6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</row>
    <row r="679" spans="2:39" s="7" customFormat="1" x14ac:dyDescent="0.35">
      <c r="B679" s="4" t="str">
        <f>+IF('Data Pura Costos'!B679="","",'Data Pura Costos'!B679)</f>
        <v>Calleuque</v>
      </c>
      <c r="C679" s="4" t="str">
        <f>+IF('Data Pura Costos'!C679="","",'Data Pura Costos'!C679)</f>
        <v>Peralillo ohiggins, VI región</v>
      </c>
      <c r="D679" s="5">
        <f>+IF('Data Pura Costos'!D679="","",'Data Pura Costos'!D679)</f>
        <v>143</v>
      </c>
      <c r="E679" s="65">
        <f>+IF('Data Pura Costos'!E679="","",IF('Data Pura Costos'!E679=0,MAX('Data Pura Costos'!$E$7:$E$3000)*1000,'Data Pura Costos'!E679))</f>
        <v>640000</v>
      </c>
      <c r="F679" s="5" t="str">
        <f>+IF('Data Pura Costos'!F679="","",'Data Pura Costos'!F679)</f>
        <v>Mostazal</v>
      </c>
      <c r="G679" s="5" t="str">
        <f>+IF('Data Pura Costos'!G679="","",'Data Pura Costos'!G679)</f>
        <v>TH TRANSPORTES</v>
      </c>
      <c r="H679" s="52" t="str">
        <f>+IF('Data Pura Costos'!H679="","",'Data Pura Costos'!H679)</f>
        <v>Termo</v>
      </c>
      <c r="I679" s="71">
        <f>+IF('Data Pura Costos'!I679="","",'Data Pura Costos'!I679)</f>
        <v>4475.5244755244757</v>
      </c>
      <c r="J679" s="52" t="str">
        <f>+IF('Data Pura Costos'!J679="","",'Data Pura Costos'!J679)</f>
        <v>24-25</v>
      </c>
      <c r="K679" s="82" t="str">
        <f t="shared" si="15"/>
        <v>Calleuque-Mostazal-TH TRANSPORTES</v>
      </c>
      <c r="R679" s="6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</row>
    <row r="680" spans="2:39" s="7" customFormat="1" x14ac:dyDescent="0.35">
      <c r="B680" s="4" t="str">
        <f>+IF('Data Pura Costos'!B680="","",'Data Pura Costos'!B680)</f>
        <v>Chumpirro</v>
      </c>
      <c r="C680" s="4" t="str">
        <f>+IF('Data Pura Costos'!C680="","",'Data Pura Costos'!C680)</f>
        <v>Angol, IX región</v>
      </c>
      <c r="D680" s="5">
        <f>+IF('Data Pura Costos'!D680="","",'Data Pura Costos'!D680)</f>
        <v>499</v>
      </c>
      <c r="E680" s="65">
        <f>+IF('Data Pura Costos'!E680="","",IF('Data Pura Costos'!E680=0,MAX('Data Pura Costos'!$E$7:$E$3000)*1000,'Data Pura Costos'!E680))</f>
        <v>1350000</v>
      </c>
      <c r="F680" s="5" t="str">
        <f>+IF('Data Pura Costos'!F680="","",'Data Pura Costos'!F680)</f>
        <v>Mostazal</v>
      </c>
      <c r="G680" s="5" t="str">
        <f>+IF('Data Pura Costos'!G680="","",'Data Pura Costos'!G680)</f>
        <v>TH TRANSPORTES</v>
      </c>
      <c r="H680" s="52" t="str">
        <f>+IF('Data Pura Costos'!H680="","",'Data Pura Costos'!H680)</f>
        <v>Termo</v>
      </c>
      <c r="I680" s="71">
        <f>+IF('Data Pura Costos'!I680="","",'Data Pura Costos'!I680)</f>
        <v>2705.4108216432865</v>
      </c>
      <c r="J680" s="52" t="str">
        <f>+IF('Data Pura Costos'!J680="","",'Data Pura Costos'!J680)</f>
        <v>24-25</v>
      </c>
      <c r="K680" s="82" t="str">
        <f t="shared" si="15"/>
        <v>Chumpirro-Mostazal-TH TRANSPORTES</v>
      </c>
      <c r="R680" s="6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</row>
    <row r="681" spans="2:39" s="7" customFormat="1" x14ac:dyDescent="0.35">
      <c r="B681" s="4" t="str">
        <f>+IF('Data Pura Costos'!B681="","",'Data Pura Costos'!B681)</f>
        <v xml:space="preserve"> Cocalán</v>
      </c>
      <c r="C681" s="4" t="str">
        <f>+IF('Data Pura Costos'!C681="","",'Data Pura Costos'!C681)</f>
        <v>Cocalán, VI región</v>
      </c>
      <c r="D681" s="5">
        <f>+IF('Data Pura Costos'!D681="","",'Data Pura Costos'!D681)</f>
        <v>113</v>
      </c>
      <c r="E681" s="65">
        <f>+IF('Data Pura Costos'!E681="","",IF('Data Pura Costos'!E681=0,MAX('Data Pura Costos'!$E$7:$E$3000)*1000,'Data Pura Costos'!E681))</f>
        <v>600000</v>
      </c>
      <c r="F681" s="5" t="str">
        <f>+IF('Data Pura Costos'!F681="","",'Data Pura Costos'!F681)</f>
        <v>Mostazal</v>
      </c>
      <c r="G681" s="5" t="str">
        <f>+IF('Data Pura Costos'!G681="","",'Data Pura Costos'!G681)</f>
        <v>TH TRANSPORTES</v>
      </c>
      <c r="H681" s="52" t="str">
        <f>+IF('Data Pura Costos'!H681="","",'Data Pura Costos'!H681)</f>
        <v>Termo</v>
      </c>
      <c r="I681" s="71">
        <f>+IF('Data Pura Costos'!I681="","",'Data Pura Costos'!I681)</f>
        <v>5309.7345132743367</v>
      </c>
      <c r="J681" s="52" t="str">
        <f>+IF('Data Pura Costos'!J681="","",'Data Pura Costos'!J681)</f>
        <v>24-25</v>
      </c>
      <c r="K681" s="82" t="str">
        <f t="shared" si="15"/>
        <v xml:space="preserve"> Cocalán-Mostazal-TH TRANSPORTES</v>
      </c>
      <c r="R681" s="6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</row>
    <row r="682" spans="2:39" s="7" customFormat="1" x14ac:dyDescent="0.35">
      <c r="B682" s="4" t="str">
        <f>+IF('Data Pura Costos'!B682="","",'Data Pura Costos'!B682)</f>
        <v>El Cóndor</v>
      </c>
      <c r="C682" s="4" t="str">
        <f>+IF('Data Pura Costos'!C682="","",'Data Pura Costos'!C682)</f>
        <v>Chimbarongo, VI Region.</v>
      </c>
      <c r="D682" s="5">
        <f>+IF('Data Pura Costos'!D682="","",'Data Pura Costos'!D682)</f>
        <v>150</v>
      </c>
      <c r="E682" s="65">
        <f>+IF('Data Pura Costos'!E682="","",IF('Data Pura Costos'!E682=0,MAX('Data Pura Costos'!$E$7:$E$3000)*1000,'Data Pura Costos'!E682))</f>
        <v>650000</v>
      </c>
      <c r="F682" s="5" t="str">
        <f>+IF('Data Pura Costos'!F682="","",'Data Pura Costos'!F682)</f>
        <v>Mostazal</v>
      </c>
      <c r="G682" s="5" t="str">
        <f>+IF('Data Pura Costos'!G682="","",'Data Pura Costos'!G682)</f>
        <v>TH TRANSPORTES</v>
      </c>
      <c r="H682" s="52" t="str">
        <f>+IF('Data Pura Costos'!H682="","",'Data Pura Costos'!H682)</f>
        <v>Termo</v>
      </c>
      <c r="I682" s="71">
        <f>+IF('Data Pura Costos'!I682="","",'Data Pura Costos'!I682)</f>
        <v>4333.333333333333</v>
      </c>
      <c r="J682" s="52" t="str">
        <f>+IF('Data Pura Costos'!J682="","",'Data Pura Costos'!J682)</f>
        <v>24-25</v>
      </c>
      <c r="K682" s="82" t="str">
        <f t="shared" si="15"/>
        <v>El Cóndor-Mostazal-TH TRANSPORTES</v>
      </c>
      <c r="R682" s="6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</row>
    <row r="683" spans="2:39" s="7" customFormat="1" x14ac:dyDescent="0.35">
      <c r="B683" s="4" t="str">
        <f>+IF('Data Pura Costos'!B683="","",'Data Pura Costos'!B683)</f>
        <v>El Descanso</v>
      </c>
      <c r="C683" s="4" t="str">
        <f>+IF('Data Pura Costos'!C683="","",'Data Pura Costos'!C683)</f>
        <v>Sagrada Familia, VII región</v>
      </c>
      <c r="D683" s="5">
        <f>+IF('Data Pura Costos'!D683="","",'Data Pura Costos'!D683)</f>
        <v>240</v>
      </c>
      <c r="E683" s="65">
        <f>+IF('Data Pura Costos'!E683="","",IF('Data Pura Costos'!E683=0,MAX('Data Pura Costos'!$E$7:$E$3000)*1000,'Data Pura Costos'!E683))</f>
        <v>800000</v>
      </c>
      <c r="F683" s="5" t="str">
        <f>+IF('Data Pura Costos'!F683="","",'Data Pura Costos'!F683)</f>
        <v>Mostazal</v>
      </c>
      <c r="G683" s="5" t="str">
        <f>+IF('Data Pura Costos'!G683="","",'Data Pura Costos'!G683)</f>
        <v>TH TRANSPORTES</v>
      </c>
      <c r="H683" s="52" t="str">
        <f>+IF('Data Pura Costos'!H683="","",'Data Pura Costos'!H683)</f>
        <v>Termo</v>
      </c>
      <c r="I683" s="71">
        <f>+IF('Data Pura Costos'!I683="","",'Data Pura Costos'!I683)</f>
        <v>3333.3333333333335</v>
      </c>
      <c r="J683" s="52" t="str">
        <f>+IF('Data Pura Costos'!J683="","",'Data Pura Costos'!J683)</f>
        <v>24-25</v>
      </c>
      <c r="K683" s="82" t="str">
        <f t="shared" si="15"/>
        <v>El Descanso-Mostazal-TH TRANSPORTES</v>
      </c>
      <c r="R683" s="6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</row>
    <row r="684" spans="2:39" s="7" customFormat="1" x14ac:dyDescent="0.35">
      <c r="B684" s="4" t="str">
        <f>+IF('Data Pura Costos'!B684="","",'Data Pura Costos'!B684)</f>
        <v>El Espino</v>
      </c>
      <c r="C684" s="4" t="str">
        <f>+IF('Data Pura Costos'!C684="","",'Data Pura Costos'!C684)</f>
        <v>Colbún, VII región</v>
      </c>
      <c r="D684" s="5">
        <f>+IF('Data Pura Costos'!D684="","",'Data Pura Costos'!D684)</f>
        <v>240</v>
      </c>
      <c r="E684" s="65">
        <f>+IF('Data Pura Costos'!E684="","",IF('Data Pura Costos'!E684=0,MAX('Data Pura Costos'!$E$7:$E$3000)*1000,'Data Pura Costos'!E684))</f>
        <v>800000</v>
      </c>
      <c r="F684" s="5" t="str">
        <f>+IF('Data Pura Costos'!F684="","",'Data Pura Costos'!F684)</f>
        <v>Mostazal</v>
      </c>
      <c r="G684" s="5" t="str">
        <f>+IF('Data Pura Costos'!G684="","",'Data Pura Costos'!G684)</f>
        <v>TH TRANSPORTES</v>
      </c>
      <c r="H684" s="52" t="str">
        <f>+IF('Data Pura Costos'!H684="","",'Data Pura Costos'!H684)</f>
        <v>Termo</v>
      </c>
      <c r="I684" s="71">
        <f>+IF('Data Pura Costos'!I684="","",'Data Pura Costos'!I684)</f>
        <v>3333.3333333333335</v>
      </c>
      <c r="J684" s="52" t="str">
        <f>+IF('Data Pura Costos'!J684="","",'Data Pura Costos'!J684)</f>
        <v>24-25</v>
      </c>
      <c r="K684" s="82" t="str">
        <f t="shared" si="15"/>
        <v>El Espino-Mostazal-TH TRANSPORTES</v>
      </c>
      <c r="R684" s="6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</row>
    <row r="685" spans="2:39" s="7" customFormat="1" x14ac:dyDescent="0.35">
      <c r="B685" s="4" t="str">
        <f>+IF('Data Pura Costos'!B685="","",'Data Pura Costos'!B685)</f>
        <v>El Huaico</v>
      </c>
      <c r="C685" s="4" t="str">
        <f>+IF('Data Pura Costos'!C685="","",'Data Pura Costos'!C685)</f>
        <v>Palmila Ohiggins</v>
      </c>
      <c r="D685" s="5">
        <f>+IF('Data Pura Costos'!D685="","",'Data Pura Costos'!D685)</f>
        <v>124</v>
      </c>
      <c r="E685" s="65">
        <f>+IF('Data Pura Costos'!E685="","",IF('Data Pura Costos'!E685=0,MAX('Data Pura Costos'!$E$7:$E$3000)*1000,'Data Pura Costos'!E685))</f>
        <v>620000</v>
      </c>
      <c r="F685" s="5" t="str">
        <f>+IF('Data Pura Costos'!F685="","",'Data Pura Costos'!F685)</f>
        <v>Mostazal</v>
      </c>
      <c r="G685" s="5" t="str">
        <f>+IF('Data Pura Costos'!G685="","",'Data Pura Costos'!G685)</f>
        <v>TH TRANSPORTES</v>
      </c>
      <c r="H685" s="52" t="str">
        <f>+IF('Data Pura Costos'!H685="","",'Data Pura Costos'!H685)</f>
        <v>Termo</v>
      </c>
      <c r="I685" s="71">
        <f>+IF('Data Pura Costos'!I685="","",'Data Pura Costos'!I685)</f>
        <v>5000</v>
      </c>
      <c r="J685" s="52" t="str">
        <f>+IF('Data Pura Costos'!J685="","",'Data Pura Costos'!J685)</f>
        <v>24-25</v>
      </c>
      <c r="K685" s="82" t="str">
        <f t="shared" si="15"/>
        <v>El Huaico-Mostazal-TH TRANSPORTES</v>
      </c>
      <c r="R685" s="6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</row>
    <row r="686" spans="2:39" s="7" customFormat="1" x14ac:dyDescent="0.35">
      <c r="B686" s="4" t="str">
        <f>+IF('Data Pura Costos'!B686="","",'Data Pura Costos'!B686)</f>
        <v>El Parque</v>
      </c>
      <c r="C686" s="4" t="str">
        <f>+IF('Data Pura Costos'!C686="","",'Data Pura Costos'!C686)</f>
        <v>San Francisco de Mostazal.VI Region.</v>
      </c>
      <c r="D686" s="5">
        <f>+IF('Data Pura Costos'!D686="","",'Data Pura Costos'!D686)</f>
        <v>3</v>
      </c>
      <c r="E686" s="65">
        <f>+IF('Data Pura Costos'!E686="","",IF('Data Pura Costos'!E686=0,MAX('Data Pura Costos'!$E$7:$E$3000)*1000,'Data Pura Costos'!E686))</f>
        <v>250000</v>
      </c>
      <c r="F686" s="5" t="str">
        <f>+IF('Data Pura Costos'!F686="","",'Data Pura Costos'!F686)</f>
        <v>Mostazal</v>
      </c>
      <c r="G686" s="5" t="str">
        <f>+IF('Data Pura Costos'!G686="","",'Data Pura Costos'!G686)</f>
        <v>TH TRANSPORTES</v>
      </c>
      <c r="H686" s="52" t="str">
        <f>+IF('Data Pura Costos'!H686="","",'Data Pura Costos'!H686)</f>
        <v>Termo</v>
      </c>
      <c r="I686" s="71">
        <f>+IF('Data Pura Costos'!I686="","",'Data Pura Costos'!I686)</f>
        <v>83333.333333333328</v>
      </c>
      <c r="J686" s="52" t="str">
        <f>+IF('Data Pura Costos'!J686="","",'Data Pura Costos'!J686)</f>
        <v>24-25</v>
      </c>
      <c r="K686" s="82" t="str">
        <f t="shared" si="15"/>
        <v>El Parque-Mostazal-TH TRANSPORTES</v>
      </c>
      <c r="R686" s="6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</row>
    <row r="687" spans="2:39" s="7" customFormat="1" x14ac:dyDescent="0.35">
      <c r="B687" s="4" t="str">
        <f>+IF('Data Pura Costos'!B687="","",'Data Pura Costos'!B687)</f>
        <v>El Picaso</v>
      </c>
      <c r="C687" s="4" t="str">
        <f>+IF('Data Pura Costos'!C687="","",'Data Pura Costos'!C687)</f>
        <v xml:space="preserve">San Clemente, VII región </v>
      </c>
      <c r="D687" s="5">
        <f>+IF('Data Pura Costos'!D687="","",'Data Pura Costos'!D687)</f>
        <v>208</v>
      </c>
      <c r="E687" s="65">
        <f>+IF('Data Pura Costos'!E687="","",IF('Data Pura Costos'!E687=0,MAX('Data Pura Costos'!$E$7:$E$3000)*1000,'Data Pura Costos'!E687))</f>
        <v>750000</v>
      </c>
      <c r="F687" s="5" t="str">
        <f>+IF('Data Pura Costos'!F687="","",'Data Pura Costos'!F687)</f>
        <v>Mostazal</v>
      </c>
      <c r="G687" s="5" t="str">
        <f>+IF('Data Pura Costos'!G687="","",'Data Pura Costos'!G687)</f>
        <v>TH TRANSPORTES</v>
      </c>
      <c r="H687" s="52" t="str">
        <f>+IF('Data Pura Costos'!H687="","",'Data Pura Costos'!H687)</f>
        <v>Termo</v>
      </c>
      <c r="I687" s="71">
        <f>+IF('Data Pura Costos'!I687="","",'Data Pura Costos'!I687)</f>
        <v>3605.7692307692309</v>
      </c>
      <c r="J687" s="52" t="str">
        <f>+IF('Data Pura Costos'!J687="","",'Data Pura Costos'!J687)</f>
        <v>24-25</v>
      </c>
      <c r="K687" s="82" t="str">
        <f t="shared" si="15"/>
        <v>El Picaso-Mostazal-TH TRANSPORTES</v>
      </c>
      <c r="R687" s="6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</row>
    <row r="688" spans="2:39" s="7" customFormat="1" x14ac:dyDescent="0.35">
      <c r="B688" s="4" t="str">
        <f>+IF('Data Pura Costos'!B688="","",'Data Pura Costos'!B688)</f>
        <v>El Recurso</v>
      </c>
      <c r="C688" s="4" t="str">
        <f>+IF('Data Pura Costos'!C688="","",'Data Pura Costos'!C688)</f>
        <v>San Francisco de Mostazal.VI Region.</v>
      </c>
      <c r="D688" s="5">
        <f>+IF('Data Pura Costos'!D688="","",'Data Pura Costos'!D688)</f>
        <v>3</v>
      </c>
      <c r="E688" s="65">
        <f>+IF('Data Pura Costos'!E688="","",IF('Data Pura Costos'!E688=0,MAX('Data Pura Costos'!$E$7:$E$3000)*1000,'Data Pura Costos'!E688))</f>
        <v>250000</v>
      </c>
      <c r="F688" s="5" t="str">
        <f>+IF('Data Pura Costos'!F688="","",'Data Pura Costos'!F688)</f>
        <v>Mostazal</v>
      </c>
      <c r="G688" s="5" t="str">
        <f>+IF('Data Pura Costos'!G688="","",'Data Pura Costos'!G688)</f>
        <v>TH TRANSPORTES</v>
      </c>
      <c r="H688" s="52" t="str">
        <f>+IF('Data Pura Costos'!H688="","",'Data Pura Costos'!H688)</f>
        <v>Termo</v>
      </c>
      <c r="I688" s="71">
        <f>+IF('Data Pura Costos'!I688="","",'Data Pura Costos'!I688)</f>
        <v>83333.333333333328</v>
      </c>
      <c r="J688" s="52" t="str">
        <f>+IF('Data Pura Costos'!J688="","",'Data Pura Costos'!J688)</f>
        <v>24-25</v>
      </c>
      <c r="K688" s="82" t="str">
        <f t="shared" si="15"/>
        <v>El Recurso-Mostazal-TH TRANSPORTES</v>
      </c>
      <c r="R688" s="6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</row>
    <row r="689" spans="2:39" s="7" customFormat="1" x14ac:dyDescent="0.35">
      <c r="B689" s="4" t="str">
        <f>+IF('Data Pura Costos'!B689="","",'Data Pura Costos'!B689)</f>
        <v>El Rosario</v>
      </c>
      <c r="C689" s="4" t="str">
        <f>+IF('Data Pura Costos'!C689="","",'Data Pura Costos'!C689)</f>
        <v>Linares, VII region.</v>
      </c>
      <c r="D689" s="5">
        <f>+IF('Data Pura Costos'!D689="","",'Data Pura Costos'!D689)</f>
        <v>260</v>
      </c>
      <c r="E689" s="65">
        <f>+IF('Data Pura Costos'!E689="","",IF('Data Pura Costos'!E689=0,MAX('Data Pura Costos'!$E$7:$E$3000)*1000,'Data Pura Costos'!E689))</f>
        <v>800000</v>
      </c>
      <c r="F689" s="5" t="str">
        <f>+IF('Data Pura Costos'!F689="","",'Data Pura Costos'!F689)</f>
        <v>Mostazal</v>
      </c>
      <c r="G689" s="5" t="str">
        <f>+IF('Data Pura Costos'!G689="","",'Data Pura Costos'!G689)</f>
        <v>TH TRANSPORTES</v>
      </c>
      <c r="H689" s="52" t="str">
        <f>+IF('Data Pura Costos'!H689="","",'Data Pura Costos'!H689)</f>
        <v>Termo</v>
      </c>
      <c r="I689" s="71">
        <f>+IF('Data Pura Costos'!I689="","",'Data Pura Costos'!I689)</f>
        <v>3076.9230769230771</v>
      </c>
      <c r="J689" s="52" t="str">
        <f>+IF('Data Pura Costos'!J689="","",'Data Pura Costos'!J689)</f>
        <v>24-25</v>
      </c>
      <c r="K689" s="82" t="str">
        <f t="shared" si="15"/>
        <v>El Rosario-Mostazal-TH TRANSPORTES</v>
      </c>
      <c r="R689" s="6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</row>
    <row r="690" spans="2:39" s="7" customFormat="1" x14ac:dyDescent="0.35">
      <c r="B690" s="4" t="str">
        <f>+IF('Data Pura Costos'!B690="","",'Data Pura Costos'!B690)</f>
        <v>El Retiro</v>
      </c>
      <c r="C690" s="4" t="str">
        <f>+IF('Data Pura Costos'!C690="","",'Data Pura Costos'!C690)</f>
        <v>Rosario, VI Region.</v>
      </c>
      <c r="D690" s="5">
        <f>+IF('Data Pura Costos'!D690="","",'Data Pura Costos'!D690)</f>
        <v>45</v>
      </c>
      <c r="E690" s="65">
        <f>+IF('Data Pura Costos'!E690="","",IF('Data Pura Costos'!E690=0,MAX('Data Pura Costos'!$E$7:$E$3000)*1000,'Data Pura Costos'!E690))</f>
        <v>550000</v>
      </c>
      <c r="F690" s="5" t="str">
        <f>+IF('Data Pura Costos'!F690="","",'Data Pura Costos'!F690)</f>
        <v>Mostazal</v>
      </c>
      <c r="G690" s="5" t="str">
        <f>+IF('Data Pura Costos'!G690="","",'Data Pura Costos'!G690)</f>
        <v>TH TRANSPORTES</v>
      </c>
      <c r="H690" s="52" t="str">
        <f>+IF('Data Pura Costos'!H690="","",'Data Pura Costos'!H690)</f>
        <v>Termo</v>
      </c>
      <c r="I690" s="71">
        <f>+IF('Data Pura Costos'!I690="","",'Data Pura Costos'!I690)</f>
        <v>12222.222222222223</v>
      </c>
      <c r="J690" s="52" t="str">
        <f>+IF('Data Pura Costos'!J690="","",'Data Pura Costos'!J690)</f>
        <v>24-25</v>
      </c>
      <c r="K690" s="82" t="str">
        <f t="shared" si="15"/>
        <v>El Retiro-Mostazal-TH TRANSPORTES</v>
      </c>
      <c r="R690" s="6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</row>
    <row r="691" spans="2:39" s="7" customFormat="1" x14ac:dyDescent="0.35">
      <c r="B691" s="4" t="str">
        <f>+IF('Data Pura Costos'!B691="","",'Data Pura Costos'!B691)</f>
        <v>La Esperanza</v>
      </c>
      <c r="C691" s="4" t="str">
        <f>+IF('Data Pura Costos'!C691="","",'Data Pura Costos'!C691)</f>
        <v>Peumo, VI región</v>
      </c>
      <c r="D691" s="5">
        <f>+IF('Data Pura Costos'!D691="","",'Data Pura Costos'!D691)</f>
        <v>98</v>
      </c>
      <c r="E691" s="65">
        <f>+IF('Data Pura Costos'!E691="","",IF('Data Pura Costos'!E691=0,MAX('Data Pura Costos'!$E$7:$E$3000)*1000,'Data Pura Costos'!E691))</f>
        <v>600000</v>
      </c>
      <c r="F691" s="5" t="str">
        <f>+IF('Data Pura Costos'!F691="","",'Data Pura Costos'!F691)</f>
        <v>Mostazal</v>
      </c>
      <c r="G691" s="5" t="str">
        <f>+IF('Data Pura Costos'!G691="","",'Data Pura Costos'!G691)</f>
        <v>TH TRANSPORTES</v>
      </c>
      <c r="H691" s="52" t="str">
        <f>+IF('Data Pura Costos'!H691="","",'Data Pura Costos'!H691)</f>
        <v>Termo</v>
      </c>
      <c r="I691" s="71">
        <f>+IF('Data Pura Costos'!I691="","",'Data Pura Costos'!I691)</f>
        <v>6122.4489795918371</v>
      </c>
      <c r="J691" s="52" t="str">
        <f>+IF('Data Pura Costos'!J691="","",'Data Pura Costos'!J691)</f>
        <v>24-25</v>
      </c>
      <c r="K691" s="82" t="str">
        <f t="shared" si="15"/>
        <v>La Esperanza-Mostazal-TH TRANSPORTES</v>
      </c>
      <c r="R691" s="6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</row>
    <row r="692" spans="2:39" s="7" customFormat="1" x14ac:dyDescent="0.35">
      <c r="B692" s="4" t="str">
        <f>+IF('Data Pura Costos'!B692="","",'Data Pura Costos'!B692)</f>
        <v>La Estación</v>
      </c>
      <c r="C692" s="4" t="str">
        <f>+IF('Data Pura Costos'!C692="","",'Data Pura Costos'!C692)</f>
        <v>Palmilla, VI región</v>
      </c>
      <c r="D692" s="5">
        <f>+IF('Data Pura Costos'!D692="","",'Data Pura Costos'!D692)</f>
        <v>125</v>
      </c>
      <c r="E692" s="65">
        <f>+IF('Data Pura Costos'!E692="","",IF('Data Pura Costos'!E692=0,MAX('Data Pura Costos'!$E$7:$E$3000)*1000,'Data Pura Costos'!E692))</f>
        <v>620000</v>
      </c>
      <c r="F692" s="5" t="str">
        <f>+IF('Data Pura Costos'!F692="","",'Data Pura Costos'!F692)</f>
        <v>Mostazal</v>
      </c>
      <c r="G692" s="5" t="str">
        <f>+IF('Data Pura Costos'!G692="","",'Data Pura Costos'!G692)</f>
        <v>TH TRANSPORTES</v>
      </c>
      <c r="H692" s="52" t="str">
        <f>+IF('Data Pura Costos'!H692="","",'Data Pura Costos'!H692)</f>
        <v>Termo</v>
      </c>
      <c r="I692" s="71">
        <f>+IF('Data Pura Costos'!I692="","",'Data Pura Costos'!I692)</f>
        <v>4960</v>
      </c>
      <c r="J692" s="52" t="str">
        <f>+IF('Data Pura Costos'!J692="","",'Data Pura Costos'!J692)</f>
        <v>24-25</v>
      </c>
      <c r="K692" s="82" t="str">
        <f t="shared" si="15"/>
        <v>La Estación-Mostazal-TH TRANSPORTES</v>
      </c>
      <c r="R692" s="6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</row>
    <row r="693" spans="2:39" s="7" customFormat="1" x14ac:dyDescent="0.35">
      <c r="B693" s="4" t="str">
        <f>+IF('Data Pura Costos'!B693="","",'Data Pura Costos'!B693)</f>
        <v>La Lajuela</v>
      </c>
      <c r="C693" s="4" t="str">
        <f>+IF('Data Pura Costos'!C693="","",'Data Pura Costos'!C693)</f>
        <v>Santa Cruz, VI Región</v>
      </c>
      <c r="D693" s="5">
        <f>+IF('Data Pura Costos'!D693="","",'Data Pura Costos'!D693)</f>
        <v>128</v>
      </c>
      <c r="E693" s="65">
        <f>+IF('Data Pura Costos'!E693="","",IF('Data Pura Costos'!E693=0,MAX('Data Pura Costos'!$E$7:$E$3000)*1000,'Data Pura Costos'!E693))</f>
        <v>620000</v>
      </c>
      <c r="F693" s="5" t="str">
        <f>+IF('Data Pura Costos'!F693="","",'Data Pura Costos'!F693)</f>
        <v>Mostazal</v>
      </c>
      <c r="G693" s="5" t="str">
        <f>+IF('Data Pura Costos'!G693="","",'Data Pura Costos'!G693)</f>
        <v>TH TRANSPORTES</v>
      </c>
      <c r="H693" s="52" t="str">
        <f>+IF('Data Pura Costos'!H693="","",'Data Pura Costos'!H693)</f>
        <v>Termo</v>
      </c>
      <c r="I693" s="71">
        <f>+IF('Data Pura Costos'!I693="","",'Data Pura Costos'!I693)</f>
        <v>4843.75</v>
      </c>
      <c r="J693" s="52" t="str">
        <f>+IF('Data Pura Costos'!J693="","",'Data Pura Costos'!J693)</f>
        <v>24-25</v>
      </c>
      <c r="K693" s="82" t="str">
        <f t="shared" si="15"/>
        <v>La Lajuela-Mostazal-TH TRANSPORTES</v>
      </c>
      <c r="R693" s="6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</row>
    <row r="694" spans="2:39" s="7" customFormat="1" x14ac:dyDescent="0.35">
      <c r="B694" s="4" t="str">
        <f>+IF('Data Pura Costos'!B694="","",'Data Pura Costos'!B694)</f>
        <v>La Morera</v>
      </c>
      <c r="C694" s="4" t="str">
        <f>+IF('Data Pura Costos'!C694="","",'Data Pura Costos'!C694)</f>
        <v>La compañia, VI Region.</v>
      </c>
      <c r="D694" s="5">
        <f>+IF('Data Pura Costos'!D694="","",'Data Pura Costos'!D694)</f>
        <v>16</v>
      </c>
      <c r="E694" s="65">
        <f>+IF('Data Pura Costos'!E694="","",IF('Data Pura Costos'!E694=0,MAX('Data Pura Costos'!$E$7:$E$3000)*1000,'Data Pura Costos'!E694))</f>
        <v>300000</v>
      </c>
      <c r="F694" s="5" t="str">
        <f>+IF('Data Pura Costos'!F694="","",'Data Pura Costos'!F694)</f>
        <v>Mostazal</v>
      </c>
      <c r="G694" s="5" t="str">
        <f>+IF('Data Pura Costos'!G694="","",'Data Pura Costos'!G694)</f>
        <v>TH TRANSPORTES</v>
      </c>
      <c r="H694" s="52" t="str">
        <f>+IF('Data Pura Costos'!H694="","",'Data Pura Costos'!H694)</f>
        <v>Termo</v>
      </c>
      <c r="I694" s="71">
        <f>+IF('Data Pura Costos'!I694="","",'Data Pura Costos'!I694)</f>
        <v>18750</v>
      </c>
      <c r="J694" s="52" t="str">
        <f>+IF('Data Pura Costos'!J694="","",'Data Pura Costos'!J694)</f>
        <v>24-25</v>
      </c>
      <c r="K694" s="82" t="str">
        <f t="shared" si="15"/>
        <v>La Morera-Mostazal-TH TRANSPORTES</v>
      </c>
      <c r="R694" s="6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</row>
    <row r="695" spans="2:39" s="7" customFormat="1" x14ac:dyDescent="0.35">
      <c r="B695" s="4" t="str">
        <f>+IF('Data Pura Costos'!B695="","",'Data Pura Costos'!B695)</f>
        <v>La Rinconada</v>
      </c>
      <c r="C695" s="4" t="str">
        <f>+IF('Data Pura Costos'!C695="","",'Data Pura Costos'!C695)</f>
        <v>Pichidegua, VI región</v>
      </c>
      <c r="D695" s="5">
        <f>+IF('Data Pura Costos'!D695="","",'Data Pura Costos'!D695)</f>
        <v>110</v>
      </c>
      <c r="E695" s="65">
        <f>+IF('Data Pura Costos'!E695="","",IF('Data Pura Costos'!E695=0,MAX('Data Pura Costos'!$E$7:$E$3000)*1000,'Data Pura Costos'!E695))</f>
        <v>600000</v>
      </c>
      <c r="F695" s="5" t="str">
        <f>+IF('Data Pura Costos'!F695="","",'Data Pura Costos'!F695)</f>
        <v>Mostazal</v>
      </c>
      <c r="G695" s="5" t="str">
        <f>+IF('Data Pura Costos'!G695="","",'Data Pura Costos'!G695)</f>
        <v>TH TRANSPORTES</v>
      </c>
      <c r="H695" s="52" t="str">
        <f>+IF('Data Pura Costos'!H695="","",'Data Pura Costos'!H695)</f>
        <v>Termo</v>
      </c>
      <c r="I695" s="71">
        <f>+IF('Data Pura Costos'!I695="","",'Data Pura Costos'!I695)</f>
        <v>5454.545454545455</v>
      </c>
      <c r="J695" s="52" t="str">
        <f>+IF('Data Pura Costos'!J695="","",'Data Pura Costos'!J695)</f>
        <v>24-25</v>
      </c>
      <c r="K695" s="82" t="str">
        <f t="shared" si="15"/>
        <v>La Rinconada-Mostazal-TH TRANSPORTES</v>
      </c>
      <c r="R695" s="6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</row>
    <row r="696" spans="2:39" s="7" customFormat="1" x14ac:dyDescent="0.35">
      <c r="B696" s="4" t="str">
        <f>+IF('Data Pura Costos'!B696="","",'Data Pura Costos'!B696)</f>
        <v xml:space="preserve">La Roblería </v>
      </c>
      <c r="C696" s="4" t="str">
        <f>+IF('Data Pura Costos'!C696="","",'Data Pura Costos'!C696)</f>
        <v>Aculeo, RM</v>
      </c>
      <c r="D696" s="5">
        <f>+IF('Data Pura Costos'!D696="","",'Data Pura Costos'!D696)</f>
        <v>40</v>
      </c>
      <c r="E696" s="65">
        <f>+IF('Data Pura Costos'!E696="","",IF('Data Pura Costos'!E696=0,MAX('Data Pura Costos'!$E$7:$E$3000)*1000,'Data Pura Costos'!E696))</f>
        <v>540000</v>
      </c>
      <c r="F696" s="5" t="str">
        <f>+IF('Data Pura Costos'!F696="","",'Data Pura Costos'!F696)</f>
        <v>Mostazal</v>
      </c>
      <c r="G696" s="5" t="str">
        <f>+IF('Data Pura Costos'!G696="","",'Data Pura Costos'!G696)</f>
        <v>TH TRANSPORTES</v>
      </c>
      <c r="H696" s="52" t="str">
        <f>+IF('Data Pura Costos'!H696="","",'Data Pura Costos'!H696)</f>
        <v>Termo</v>
      </c>
      <c r="I696" s="71">
        <f>+IF('Data Pura Costos'!I696="","",'Data Pura Costos'!I696)</f>
        <v>13500</v>
      </c>
      <c r="J696" s="52" t="str">
        <f>+IF('Data Pura Costos'!J696="","",'Data Pura Costos'!J696)</f>
        <v>24-25</v>
      </c>
      <c r="K696" s="82" t="str">
        <f t="shared" si="15"/>
        <v>La Roblería -Mostazal-TH TRANSPORTES</v>
      </c>
      <c r="R696" s="6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</row>
    <row r="697" spans="2:39" s="7" customFormat="1" x14ac:dyDescent="0.35">
      <c r="B697" s="4" t="str">
        <f>+IF('Data Pura Costos'!B697="","",'Data Pura Costos'!B697)</f>
        <v>Las Cabras</v>
      </c>
      <c r="C697" s="4" t="str">
        <f>+IF('Data Pura Costos'!C697="","",'Data Pura Costos'!C697)</f>
        <v>Las Cabras, VI región</v>
      </c>
      <c r="D697" s="5">
        <f>+IF('Data Pura Costos'!D697="","",'Data Pura Costos'!D697)</f>
        <v>110</v>
      </c>
      <c r="E697" s="65">
        <f>+IF('Data Pura Costos'!E697="","",IF('Data Pura Costos'!E697=0,MAX('Data Pura Costos'!$E$7:$E$3000)*1000,'Data Pura Costos'!E697))</f>
        <v>600000</v>
      </c>
      <c r="F697" s="5" t="str">
        <f>+IF('Data Pura Costos'!F697="","",'Data Pura Costos'!F697)</f>
        <v>Mostazal</v>
      </c>
      <c r="G697" s="5" t="str">
        <f>+IF('Data Pura Costos'!G697="","",'Data Pura Costos'!G697)</f>
        <v>TH TRANSPORTES</v>
      </c>
      <c r="H697" s="52" t="str">
        <f>+IF('Data Pura Costos'!H697="","",'Data Pura Costos'!H697)</f>
        <v>Termo</v>
      </c>
      <c r="I697" s="71">
        <f>+IF('Data Pura Costos'!I697="","",'Data Pura Costos'!I697)</f>
        <v>5454.545454545455</v>
      </c>
      <c r="J697" s="52" t="str">
        <f>+IF('Data Pura Costos'!J697="","",'Data Pura Costos'!J697)</f>
        <v>24-25</v>
      </c>
      <c r="K697" s="82" t="str">
        <f t="shared" si="15"/>
        <v>Las Cabras-Mostazal-TH TRANSPORTES</v>
      </c>
      <c r="R697" s="6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</row>
    <row r="698" spans="2:39" s="7" customFormat="1" x14ac:dyDescent="0.35">
      <c r="B698" s="4" t="str">
        <f>+IF('Data Pura Costos'!B698="","",'Data Pura Costos'!B698)</f>
        <v>Las Vertientes</v>
      </c>
      <c r="C698" s="4" t="str">
        <f>+IF('Data Pura Costos'!C698="","",'Data Pura Costos'!C698)</f>
        <v>Pichidegua, VI región</v>
      </c>
      <c r="D698" s="5">
        <f>+IF('Data Pura Costos'!D698="","",'Data Pura Costos'!D698)</f>
        <v>103</v>
      </c>
      <c r="E698" s="65">
        <f>+IF('Data Pura Costos'!E698="","",IF('Data Pura Costos'!E698=0,MAX('Data Pura Costos'!$E$7:$E$3000)*1000,'Data Pura Costos'!E698))</f>
        <v>600000</v>
      </c>
      <c r="F698" s="5" t="str">
        <f>+IF('Data Pura Costos'!F698="","",'Data Pura Costos'!F698)</f>
        <v>Mostazal</v>
      </c>
      <c r="G698" s="5" t="str">
        <f>+IF('Data Pura Costos'!G698="","",'Data Pura Costos'!G698)</f>
        <v>TH TRANSPORTES</v>
      </c>
      <c r="H698" s="52" t="str">
        <f>+IF('Data Pura Costos'!H698="","",'Data Pura Costos'!H698)</f>
        <v>Termo</v>
      </c>
      <c r="I698" s="71">
        <f>+IF('Data Pura Costos'!I698="","",'Data Pura Costos'!I698)</f>
        <v>5825.2427184466023</v>
      </c>
      <c r="J698" s="52" t="str">
        <f>+IF('Data Pura Costos'!J698="","",'Data Pura Costos'!J698)</f>
        <v>24-25</v>
      </c>
      <c r="K698" s="82" t="str">
        <f t="shared" si="15"/>
        <v>Las Vertientes-Mostazal-TH TRANSPORTES</v>
      </c>
      <c r="R698" s="6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</row>
    <row r="699" spans="2:39" s="7" customFormat="1" x14ac:dyDescent="0.35">
      <c r="B699" s="4" t="str">
        <f>+IF('Data Pura Costos'!B699="","",'Data Pura Costos'!B699)</f>
        <v>Lihueimo</v>
      </c>
      <c r="C699" s="4" t="str">
        <f>+IF('Data Pura Costos'!C699="","",'Data Pura Costos'!C699)</f>
        <v>Peralillo ohiggins</v>
      </c>
      <c r="D699" s="5">
        <f>+IF('Data Pura Costos'!D699="","",'Data Pura Costos'!D699)</f>
        <v>131</v>
      </c>
      <c r="E699" s="65">
        <f>+IF('Data Pura Costos'!E699="","",IF('Data Pura Costos'!E699=0,MAX('Data Pura Costos'!$E$7:$E$3000)*1000,'Data Pura Costos'!E699))</f>
        <v>620000</v>
      </c>
      <c r="F699" s="5" t="str">
        <f>+IF('Data Pura Costos'!F699="","",'Data Pura Costos'!F699)</f>
        <v>Mostazal</v>
      </c>
      <c r="G699" s="5" t="str">
        <f>+IF('Data Pura Costos'!G699="","",'Data Pura Costos'!G699)</f>
        <v>TH TRANSPORTES</v>
      </c>
      <c r="H699" s="52" t="str">
        <f>+IF('Data Pura Costos'!H699="","",'Data Pura Costos'!H699)</f>
        <v>Termo</v>
      </c>
      <c r="I699" s="71">
        <f>+IF('Data Pura Costos'!I699="","",'Data Pura Costos'!I699)</f>
        <v>4732.8244274809158</v>
      </c>
      <c r="J699" s="52" t="str">
        <f>+IF('Data Pura Costos'!J699="","",'Data Pura Costos'!J699)</f>
        <v>24-25</v>
      </c>
      <c r="K699" s="82" t="str">
        <f t="shared" si="15"/>
        <v>Lihueimo-Mostazal-TH TRANSPORTES</v>
      </c>
      <c r="R699" s="6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</row>
    <row r="700" spans="2:39" s="7" customFormat="1" x14ac:dyDescent="0.35">
      <c r="B700" s="4" t="str">
        <f>+IF('Data Pura Costos'!B700="","",'Data Pura Costos'!B700)</f>
        <v>Los Encinos</v>
      </c>
      <c r="C700" s="4" t="str">
        <f>+IF('Data Pura Costos'!C700="","",'Data Pura Costos'!C700)</f>
        <v>Huechun, RM</v>
      </c>
      <c r="D700" s="5">
        <f>+IF('Data Pura Costos'!D700="","",'Data Pura Costos'!D700)</f>
        <v>85</v>
      </c>
      <c r="E700" s="65">
        <f>+IF('Data Pura Costos'!E700="","",IF('Data Pura Costos'!E700=0,MAX('Data Pura Costos'!$E$7:$E$3000)*1000,'Data Pura Costos'!E700))</f>
        <v>580000</v>
      </c>
      <c r="F700" s="5" t="str">
        <f>+IF('Data Pura Costos'!F700="","",'Data Pura Costos'!F700)</f>
        <v>Mostazal</v>
      </c>
      <c r="G700" s="5" t="str">
        <f>+IF('Data Pura Costos'!G700="","",'Data Pura Costos'!G700)</f>
        <v>TH TRANSPORTES</v>
      </c>
      <c r="H700" s="52" t="str">
        <f>+IF('Data Pura Costos'!H700="","",'Data Pura Costos'!H700)</f>
        <v>Termo</v>
      </c>
      <c r="I700" s="71">
        <f>+IF('Data Pura Costos'!I700="","",'Data Pura Costos'!I700)</f>
        <v>6823.5294117647063</v>
      </c>
      <c r="J700" s="52" t="str">
        <f>+IF('Data Pura Costos'!J700="","",'Data Pura Costos'!J700)</f>
        <v>24-25</v>
      </c>
      <c r="K700" s="82" t="str">
        <f t="shared" si="15"/>
        <v>Los Encinos-Mostazal-TH TRANSPORTES</v>
      </c>
      <c r="R700" s="6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</row>
    <row r="701" spans="2:39" s="7" customFormat="1" x14ac:dyDescent="0.35">
      <c r="B701" s="4" t="str">
        <f>+IF('Data Pura Costos'!B701="","",'Data Pura Costos'!B701)</f>
        <v>Los Maitenes</v>
      </c>
      <c r="C701" s="4" t="str">
        <f>+IF('Data Pura Costos'!C701="","",'Data Pura Costos'!C701)</f>
        <v>Las Cabras, VI región</v>
      </c>
      <c r="D701" s="5">
        <f>+IF('Data Pura Costos'!D701="","",'Data Pura Costos'!D701)</f>
        <v>118</v>
      </c>
      <c r="E701" s="65">
        <f>+IF('Data Pura Costos'!E701="","",IF('Data Pura Costos'!E701=0,MAX('Data Pura Costos'!$E$7:$E$3000)*1000,'Data Pura Costos'!E701))</f>
        <v>620000</v>
      </c>
      <c r="F701" s="5" t="str">
        <f>+IF('Data Pura Costos'!F701="","",'Data Pura Costos'!F701)</f>
        <v>Mostazal</v>
      </c>
      <c r="G701" s="5" t="str">
        <f>+IF('Data Pura Costos'!G701="","",'Data Pura Costos'!G701)</f>
        <v>TH TRANSPORTES</v>
      </c>
      <c r="H701" s="52" t="str">
        <f>+IF('Data Pura Costos'!H701="","",'Data Pura Costos'!H701)</f>
        <v>Termo</v>
      </c>
      <c r="I701" s="71">
        <f>+IF('Data Pura Costos'!I701="","",'Data Pura Costos'!I701)</f>
        <v>5254.2372881355932</v>
      </c>
      <c r="J701" s="52" t="str">
        <f>+IF('Data Pura Costos'!J701="","",'Data Pura Costos'!J701)</f>
        <v>24-25</v>
      </c>
      <c r="K701" s="82" t="str">
        <f t="shared" si="15"/>
        <v>Los Maitenes-Mostazal-TH TRANSPORTES</v>
      </c>
      <c r="R701" s="6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</row>
    <row r="702" spans="2:39" s="7" customFormat="1" x14ac:dyDescent="0.35">
      <c r="B702" s="4" t="str">
        <f>+IF('Data Pura Costos'!B702="","",'Data Pura Costos'!B702)</f>
        <v>Los Toldos</v>
      </c>
      <c r="C702" s="4" t="str">
        <f>+IF('Data Pura Costos'!C702="","",'Data Pura Costos'!C702)</f>
        <v>Angol, IX región</v>
      </c>
      <c r="D702" s="5">
        <f>+IF('Data Pura Costos'!D702="","",'Data Pura Costos'!D702)</f>
        <v>549</v>
      </c>
      <c r="E702" s="65">
        <f>+IF('Data Pura Costos'!E702="","",IF('Data Pura Costos'!E702=0,MAX('Data Pura Costos'!$E$7:$E$3000)*1000,'Data Pura Costos'!E702))</f>
        <v>1400000</v>
      </c>
      <c r="F702" s="5" t="str">
        <f>+IF('Data Pura Costos'!F702="","",'Data Pura Costos'!F702)</f>
        <v>Mostazal</v>
      </c>
      <c r="G702" s="5" t="str">
        <f>+IF('Data Pura Costos'!G702="","",'Data Pura Costos'!G702)</f>
        <v>TH TRANSPORTES</v>
      </c>
      <c r="H702" s="52" t="str">
        <f>+IF('Data Pura Costos'!H702="","",'Data Pura Costos'!H702)</f>
        <v>Termo</v>
      </c>
      <c r="I702" s="71">
        <f>+IF('Data Pura Costos'!I702="","",'Data Pura Costos'!I702)</f>
        <v>2550.0910746812388</v>
      </c>
      <c r="J702" s="52" t="str">
        <f>+IF('Data Pura Costos'!J702="","",'Data Pura Costos'!J702)</f>
        <v>24-25</v>
      </c>
      <c r="K702" s="82" t="str">
        <f t="shared" si="15"/>
        <v>Los Toldos-Mostazal-TH TRANSPORTES</v>
      </c>
      <c r="R702" s="6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</row>
    <row r="703" spans="2:39" s="7" customFormat="1" x14ac:dyDescent="0.35">
      <c r="B703" s="4" t="str">
        <f>+IF('Data Pura Costos'!B703="","",'Data Pura Costos'!B703)</f>
        <v>Mallorca</v>
      </c>
      <c r="C703" s="4" t="str">
        <f>+IF('Data Pura Costos'!C703="","",'Data Pura Costos'!C703)</f>
        <v xml:space="preserve">Molina, VII región </v>
      </c>
      <c r="D703" s="5">
        <f>+IF('Data Pura Costos'!D703="","",'Data Pura Costos'!D703)</f>
        <v>144</v>
      </c>
      <c r="E703" s="65">
        <f>+IF('Data Pura Costos'!E703="","",IF('Data Pura Costos'!E703=0,MAX('Data Pura Costos'!$E$7:$E$3000)*1000,'Data Pura Costos'!E703))</f>
        <v>640000</v>
      </c>
      <c r="F703" s="5" t="str">
        <f>+IF('Data Pura Costos'!F703="","",'Data Pura Costos'!F703)</f>
        <v>Mostazal</v>
      </c>
      <c r="G703" s="5" t="str">
        <f>+IF('Data Pura Costos'!G703="","",'Data Pura Costos'!G703)</f>
        <v>TH TRANSPORTES</v>
      </c>
      <c r="H703" s="52" t="str">
        <f>+IF('Data Pura Costos'!H703="","",'Data Pura Costos'!H703)</f>
        <v>Termo</v>
      </c>
      <c r="I703" s="71">
        <f>+IF('Data Pura Costos'!I703="","",'Data Pura Costos'!I703)</f>
        <v>4444.4444444444443</v>
      </c>
      <c r="J703" s="52" t="str">
        <f>+IF('Data Pura Costos'!J703="","",'Data Pura Costos'!J703)</f>
        <v>24-25</v>
      </c>
      <c r="K703" s="82" t="str">
        <f t="shared" si="15"/>
        <v>Mallorca-Mostazal-TH TRANSPORTES</v>
      </c>
      <c r="R703" s="6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</row>
    <row r="704" spans="2:39" s="7" customFormat="1" x14ac:dyDescent="0.35">
      <c r="B704" s="4" t="str">
        <f>+IF('Data Pura Costos'!B704="","",'Data Pura Costos'!B704)</f>
        <v>Panquehue</v>
      </c>
      <c r="C704" s="4" t="str">
        <f>+IF('Data Pura Costos'!C704="","",'Data Pura Costos'!C704)</f>
        <v>Panquehue, V región</v>
      </c>
      <c r="D704" s="5">
        <f>+IF('Data Pura Costos'!D704="","",'Data Pura Costos'!D704)</f>
        <v>165</v>
      </c>
      <c r="E704" s="65">
        <f>+IF('Data Pura Costos'!E704="","",IF('Data Pura Costos'!E704=0,MAX('Data Pura Costos'!$E$7:$E$3000)*1000,'Data Pura Costos'!E704))</f>
        <v>650000</v>
      </c>
      <c r="F704" s="5" t="str">
        <f>+IF('Data Pura Costos'!F704="","",'Data Pura Costos'!F704)</f>
        <v>Mostazal</v>
      </c>
      <c r="G704" s="5" t="str">
        <f>+IF('Data Pura Costos'!G704="","",'Data Pura Costos'!G704)</f>
        <v>TH TRANSPORTES</v>
      </c>
      <c r="H704" s="52" t="str">
        <f>+IF('Data Pura Costos'!H704="","",'Data Pura Costos'!H704)</f>
        <v>Termo</v>
      </c>
      <c r="I704" s="71">
        <f>+IF('Data Pura Costos'!I704="","",'Data Pura Costos'!I704)</f>
        <v>3939.3939393939395</v>
      </c>
      <c r="J704" s="52" t="str">
        <f>+IF('Data Pura Costos'!J704="","",'Data Pura Costos'!J704)</f>
        <v>24-25</v>
      </c>
      <c r="K704" s="82" t="str">
        <f t="shared" si="15"/>
        <v>Panquehue-Mostazal-TH TRANSPORTES</v>
      </c>
      <c r="R704" s="6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</row>
    <row r="705" spans="2:39" s="7" customFormat="1" x14ac:dyDescent="0.35">
      <c r="B705" s="4" t="str">
        <f>+IF('Data Pura Costos'!B705="","",'Data Pura Costos'!B705)</f>
        <v>Entre Rios/Puente Negro/Rio Claro</v>
      </c>
      <c r="C705" s="4" t="str">
        <f>+IF('Data Pura Costos'!C705="","",'Data Pura Costos'!C705)</f>
        <v>Puente negro, san fernando.VI Region.</v>
      </c>
      <c r="D705" s="5">
        <f>+IF('Data Pura Costos'!D705="","",'Data Pura Costos'!D705)</f>
        <v>100</v>
      </c>
      <c r="E705" s="65">
        <f>+IF('Data Pura Costos'!E705="","",IF('Data Pura Costos'!E705=0,MAX('Data Pura Costos'!$E$7:$E$3000)*1000,'Data Pura Costos'!E705))</f>
        <v>600000</v>
      </c>
      <c r="F705" s="5" t="str">
        <f>+IF('Data Pura Costos'!F705="","",'Data Pura Costos'!F705)</f>
        <v>Mostazal</v>
      </c>
      <c r="G705" s="5" t="str">
        <f>+IF('Data Pura Costos'!G705="","",'Data Pura Costos'!G705)</f>
        <v>TH TRANSPORTES</v>
      </c>
      <c r="H705" s="52" t="str">
        <f>+IF('Data Pura Costos'!H705="","",'Data Pura Costos'!H705)</f>
        <v>Termo</v>
      </c>
      <c r="I705" s="71">
        <f>+IF('Data Pura Costos'!I705="","",'Data Pura Costos'!I705)</f>
        <v>6000</v>
      </c>
      <c r="J705" s="52" t="str">
        <f>+IF('Data Pura Costos'!J705="","",'Data Pura Costos'!J705)</f>
        <v>24-25</v>
      </c>
      <c r="K705" s="82" t="str">
        <f t="shared" si="15"/>
        <v>Entre Rios/Puente Negro/Rio Claro-Mostazal-TH TRANSPORTES</v>
      </c>
      <c r="R705" s="6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</row>
    <row r="706" spans="2:39" s="7" customFormat="1" x14ac:dyDescent="0.35">
      <c r="B706" s="4" t="str">
        <f>+IF('Data Pura Costos'!B706="","",'Data Pura Costos'!B706)</f>
        <v>Retorno</v>
      </c>
      <c r="C706" s="4" t="str">
        <f>+IF('Data Pura Costos'!C706="","",'Data Pura Costos'!C706)</f>
        <v>Santa maria, V región</v>
      </c>
      <c r="D706" s="5">
        <f>+IF('Data Pura Costos'!D706="","",'Data Pura Costos'!D706)</f>
        <v>162</v>
      </c>
      <c r="E706" s="65">
        <f>+IF('Data Pura Costos'!E706="","",IF('Data Pura Costos'!E706=0,MAX('Data Pura Costos'!$E$7:$E$3000)*1000,'Data Pura Costos'!E706))</f>
        <v>650000</v>
      </c>
      <c r="F706" s="5" t="str">
        <f>+IF('Data Pura Costos'!F706="","",'Data Pura Costos'!F706)</f>
        <v>Mostazal</v>
      </c>
      <c r="G706" s="5" t="str">
        <f>+IF('Data Pura Costos'!G706="","",'Data Pura Costos'!G706)</f>
        <v>TH TRANSPORTES</v>
      </c>
      <c r="H706" s="52" t="str">
        <f>+IF('Data Pura Costos'!H706="","",'Data Pura Costos'!H706)</f>
        <v>Termo</v>
      </c>
      <c r="I706" s="71">
        <f>+IF('Data Pura Costos'!I706="","",'Data Pura Costos'!I706)</f>
        <v>4012.3456790123455</v>
      </c>
      <c r="J706" s="52" t="str">
        <f>+IF('Data Pura Costos'!J706="","",'Data Pura Costos'!J706)</f>
        <v>24-25</v>
      </c>
      <c r="K706" s="82" t="str">
        <f t="shared" si="15"/>
        <v>Retorno-Mostazal-TH TRANSPORTES</v>
      </c>
      <c r="R706" s="6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</row>
    <row r="707" spans="2:39" s="7" customFormat="1" x14ac:dyDescent="0.35">
      <c r="B707" s="4" t="str">
        <f>+IF('Data Pura Costos'!B707="","",'Data Pura Costos'!B707)</f>
        <v>San Hernán</v>
      </c>
      <c r="C707" s="4" t="str">
        <f>+IF('Data Pura Costos'!C707="","",'Data Pura Costos'!C707)</f>
        <v>Graneros, VI región</v>
      </c>
      <c r="D707" s="5">
        <f>+IF('Data Pura Costos'!D707="","",'Data Pura Costos'!D707)</f>
        <v>10</v>
      </c>
      <c r="E707" s="65">
        <f>+IF('Data Pura Costos'!E707="","",IF('Data Pura Costos'!E707=0,MAX('Data Pura Costos'!$E$7:$E$3000)*1000,'Data Pura Costos'!E707))</f>
        <v>300000</v>
      </c>
      <c r="F707" s="5" t="str">
        <f>+IF('Data Pura Costos'!F707="","",'Data Pura Costos'!F707)</f>
        <v>Mostazal</v>
      </c>
      <c r="G707" s="5" t="str">
        <f>+IF('Data Pura Costos'!G707="","",'Data Pura Costos'!G707)</f>
        <v>TH TRANSPORTES</v>
      </c>
      <c r="H707" s="52" t="str">
        <f>+IF('Data Pura Costos'!H707="","",'Data Pura Costos'!H707)</f>
        <v>Termo</v>
      </c>
      <c r="I707" s="71">
        <f>+IF('Data Pura Costos'!I707="","",'Data Pura Costos'!I707)</f>
        <v>30000</v>
      </c>
      <c r="J707" s="52" t="str">
        <f>+IF('Data Pura Costos'!J707="","",'Data Pura Costos'!J707)</f>
        <v>24-25</v>
      </c>
      <c r="K707" s="82" t="str">
        <f t="shared" si="15"/>
        <v>San Hernán-Mostazal-TH TRANSPORTES</v>
      </c>
      <c r="R707" s="6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</row>
    <row r="708" spans="2:39" s="7" customFormat="1" x14ac:dyDescent="0.35">
      <c r="B708" s="4" t="str">
        <f>+IF('Data Pura Costos'!B708="","",'Data Pura Costos'!B708)</f>
        <v>Santa Mónica</v>
      </c>
      <c r="C708" s="4" t="str">
        <f>+IF('Data Pura Costos'!C708="","",'Data Pura Costos'!C708)</f>
        <v xml:space="preserve">Rancagua, sector Chancón, VI región </v>
      </c>
      <c r="D708" s="5">
        <f>+IF('Data Pura Costos'!D708="","",'Data Pura Costos'!D708)</f>
        <v>20</v>
      </c>
      <c r="E708" s="65">
        <f>+IF('Data Pura Costos'!E708="","",IF('Data Pura Costos'!E708=0,MAX('Data Pura Costos'!$E$7:$E$3000)*1000,'Data Pura Costos'!E708))</f>
        <v>350000</v>
      </c>
      <c r="F708" s="5" t="str">
        <f>+IF('Data Pura Costos'!F708="","",'Data Pura Costos'!F708)</f>
        <v>Mostazal</v>
      </c>
      <c r="G708" s="5" t="str">
        <f>+IF('Data Pura Costos'!G708="","",'Data Pura Costos'!G708)</f>
        <v>TH TRANSPORTES</v>
      </c>
      <c r="H708" s="52" t="str">
        <f>+IF('Data Pura Costos'!H708="","",'Data Pura Costos'!H708)</f>
        <v>Termo</v>
      </c>
      <c r="I708" s="71">
        <f>+IF('Data Pura Costos'!I708="","",'Data Pura Costos'!I708)</f>
        <v>17500</v>
      </c>
      <c r="J708" s="52" t="str">
        <f>+IF('Data Pura Costos'!J708="","",'Data Pura Costos'!J708)</f>
        <v>24-25</v>
      </c>
      <c r="K708" s="82" t="str">
        <f t="shared" si="15"/>
        <v>Santa Mónica-Mostazal-TH TRANSPORTES</v>
      </c>
      <c r="R708" s="6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</row>
    <row r="709" spans="2:39" s="7" customFormat="1" x14ac:dyDescent="0.35">
      <c r="B709" s="4" t="str">
        <f>+IF('Data Pura Costos'!B709="","",'Data Pura Costos'!B709)</f>
        <v>Talhuén</v>
      </c>
      <c r="C709" s="4" t="str">
        <f>+IF('Data Pura Costos'!C709="","",'Data Pura Costos'!C709)</f>
        <v>Palmilla, VI región</v>
      </c>
      <c r="D709" s="5">
        <f>+IF('Data Pura Costos'!D709="","",'Data Pura Costos'!D709)</f>
        <v>122</v>
      </c>
      <c r="E709" s="65">
        <f>+IF('Data Pura Costos'!E709="","",IF('Data Pura Costos'!E709=0,MAX('Data Pura Costos'!$E$7:$E$3000)*1000,'Data Pura Costos'!E709))</f>
        <v>620000</v>
      </c>
      <c r="F709" s="5" t="str">
        <f>+IF('Data Pura Costos'!F709="","",'Data Pura Costos'!F709)</f>
        <v>Mostazal</v>
      </c>
      <c r="G709" s="5" t="str">
        <f>+IF('Data Pura Costos'!G709="","",'Data Pura Costos'!G709)</f>
        <v>TH TRANSPORTES</v>
      </c>
      <c r="H709" s="52" t="str">
        <f>+IF('Data Pura Costos'!H709="","",'Data Pura Costos'!H709)</f>
        <v>Termo</v>
      </c>
      <c r="I709" s="71">
        <f>+IF('Data Pura Costos'!I709="","",'Data Pura Costos'!I709)</f>
        <v>5081.9672131147545</v>
      </c>
      <c r="J709" s="52" t="str">
        <f>+IF('Data Pura Costos'!J709="","",'Data Pura Costos'!J709)</f>
        <v>24-25</v>
      </c>
      <c r="K709" s="82" t="str">
        <f t="shared" si="15"/>
        <v>Talhuén-Mostazal-TH TRANSPORTES</v>
      </c>
      <c r="R709" s="6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</row>
    <row r="710" spans="2:39" s="7" customFormat="1" x14ac:dyDescent="0.35">
      <c r="B710" s="4" t="str">
        <f>+IF('Data Pura Costos'!B710="","",'Data Pura Costos'!B710)</f>
        <v>Almahue</v>
      </c>
      <c r="C710" s="4" t="str">
        <f>+IF('Data Pura Costos'!C710="","",'Data Pura Costos'!C710)</f>
        <v>Pichidegua, VI región</v>
      </c>
      <c r="D710" s="5">
        <f>+IF('Data Pura Costos'!D710="","",'Data Pura Costos'!D710)</f>
        <v>134</v>
      </c>
      <c r="E710" s="65">
        <f>+IF('Data Pura Costos'!E710="","",IF('Data Pura Costos'!E710=0,MAX('Data Pura Costos'!$E$7:$E$3000)*1000,'Data Pura Costos'!E710))</f>
        <v>620000</v>
      </c>
      <c r="F710" s="5" t="str">
        <f>+IF('Data Pura Costos'!F710="","",'Data Pura Costos'!F710)</f>
        <v>Molina</v>
      </c>
      <c r="G710" s="5" t="str">
        <f>+IF('Data Pura Costos'!G710="","",'Data Pura Costos'!G710)</f>
        <v>TH TRANSPORTES</v>
      </c>
      <c r="H710" s="52" t="str">
        <f>+IF('Data Pura Costos'!H710="","",'Data Pura Costos'!H710)</f>
        <v>Termo</v>
      </c>
      <c r="I710" s="71">
        <f>+IF('Data Pura Costos'!I710="","",'Data Pura Costos'!I710)</f>
        <v>4626.8656716417909</v>
      </c>
      <c r="J710" s="52" t="str">
        <f>+IF('Data Pura Costos'!J710="","",'Data Pura Costos'!J710)</f>
        <v>24-25</v>
      </c>
      <c r="K710" s="82" t="str">
        <f t="shared" si="15"/>
        <v>Almahue-Molina-TH TRANSPORTES</v>
      </c>
      <c r="R710" s="6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</row>
    <row r="711" spans="2:39" s="7" customFormat="1" x14ac:dyDescent="0.35">
      <c r="B711" s="4" t="str">
        <f>+IF('Data Pura Costos'!B711="","",'Data Pura Costos'!B711)</f>
        <v>Bodega</v>
      </c>
      <c r="C711" s="4" t="str">
        <f>+IF('Data Pura Costos'!C711="","",'Data Pura Costos'!C711)</f>
        <v>Linares, VII region.</v>
      </c>
      <c r="D711" s="5">
        <f>+IF('Data Pura Costos'!D711="","",'Data Pura Costos'!D711)</f>
        <v>123</v>
      </c>
      <c r="E711" s="65">
        <f>+IF('Data Pura Costos'!E711="","",IF('Data Pura Costos'!E711=0,MAX('Data Pura Costos'!$E$7:$E$3000)*1000,'Data Pura Costos'!E711))</f>
        <v>620000</v>
      </c>
      <c r="F711" s="5" t="str">
        <f>+IF('Data Pura Costos'!F711="","",'Data Pura Costos'!F711)</f>
        <v>Molina</v>
      </c>
      <c r="G711" s="5" t="str">
        <f>+IF('Data Pura Costos'!G711="","",'Data Pura Costos'!G711)</f>
        <v>TH TRANSPORTES</v>
      </c>
      <c r="H711" s="52" t="str">
        <f>+IF('Data Pura Costos'!H711="","",'Data Pura Costos'!H711)</f>
        <v>Termo</v>
      </c>
      <c r="I711" s="71">
        <f>+IF('Data Pura Costos'!I711="","",'Data Pura Costos'!I711)</f>
        <v>5040.6504065040654</v>
      </c>
      <c r="J711" s="52" t="str">
        <f>+IF('Data Pura Costos'!J711="","",'Data Pura Costos'!J711)</f>
        <v>24-25</v>
      </c>
      <c r="K711" s="82" t="str">
        <f t="shared" si="15"/>
        <v>Bodega-Molina-TH TRANSPORTES</v>
      </c>
      <c r="R711" s="6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</row>
    <row r="712" spans="2:39" s="7" customFormat="1" x14ac:dyDescent="0.35">
      <c r="B712" s="4" t="str">
        <f>+IF('Data Pura Costos'!B712="","",'Data Pura Costos'!B712)</f>
        <v xml:space="preserve">Caliboro </v>
      </c>
      <c r="C712" s="4" t="str">
        <f>+IF('Data Pura Costos'!C712="","",'Data Pura Costos'!C712)</f>
        <v>San Javier, VII región</v>
      </c>
      <c r="D712" s="5">
        <f>+IF('Data Pura Costos'!D712="","",'Data Pura Costos'!D712)</f>
        <v>118</v>
      </c>
      <c r="E712" s="65">
        <f>+IF('Data Pura Costos'!E712="","",IF('Data Pura Costos'!E712=0,MAX('Data Pura Costos'!$E$7:$E$3000)*1000,'Data Pura Costos'!E712))</f>
        <v>620000</v>
      </c>
      <c r="F712" s="5" t="str">
        <f>+IF('Data Pura Costos'!F712="","",'Data Pura Costos'!F712)</f>
        <v>Molina</v>
      </c>
      <c r="G712" s="5" t="str">
        <f>+IF('Data Pura Costos'!G712="","",'Data Pura Costos'!G712)</f>
        <v>TH TRANSPORTES</v>
      </c>
      <c r="H712" s="52" t="str">
        <f>+IF('Data Pura Costos'!H712="","",'Data Pura Costos'!H712)</f>
        <v>Termo</v>
      </c>
      <c r="I712" s="71">
        <f>+IF('Data Pura Costos'!I712="","",'Data Pura Costos'!I712)</f>
        <v>5254.2372881355932</v>
      </c>
      <c r="J712" s="52" t="str">
        <f>+IF('Data Pura Costos'!J712="","",'Data Pura Costos'!J712)</f>
        <v>24-25</v>
      </c>
      <c r="K712" s="82" t="str">
        <f t="shared" ref="K712:K775" si="16">+IF(B712="","",CONCATENATE(B712,"-",F712,"-",G712))</f>
        <v>Caliboro -Molina-TH TRANSPORTES</v>
      </c>
      <c r="R712" s="6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</row>
    <row r="713" spans="2:39" s="7" customFormat="1" x14ac:dyDescent="0.35">
      <c r="B713" s="4" t="str">
        <f>+IF('Data Pura Costos'!B713="","",'Data Pura Costos'!B713)</f>
        <v>Calleuque</v>
      </c>
      <c r="C713" s="4" t="str">
        <f>+IF('Data Pura Costos'!C713="","",'Data Pura Costos'!C713)</f>
        <v>Peralillo ohiggins, VI región</v>
      </c>
      <c r="D713" s="5">
        <f>+IF('Data Pura Costos'!D713="","",'Data Pura Costos'!D713)</f>
        <v>103</v>
      </c>
      <c r="E713" s="65">
        <f>+IF('Data Pura Costos'!E713="","",IF('Data Pura Costos'!E713=0,MAX('Data Pura Costos'!$E$7:$E$3000)*1000,'Data Pura Costos'!E713))</f>
        <v>600000</v>
      </c>
      <c r="F713" s="5" t="str">
        <f>+IF('Data Pura Costos'!F713="","",'Data Pura Costos'!F713)</f>
        <v>Molina</v>
      </c>
      <c r="G713" s="5" t="str">
        <f>+IF('Data Pura Costos'!G713="","",'Data Pura Costos'!G713)</f>
        <v>TH TRANSPORTES</v>
      </c>
      <c r="H713" s="52" t="str">
        <f>+IF('Data Pura Costos'!H713="","",'Data Pura Costos'!H713)</f>
        <v>Termo</v>
      </c>
      <c r="I713" s="71">
        <f>+IF('Data Pura Costos'!I713="","",'Data Pura Costos'!I713)</f>
        <v>5825.2427184466023</v>
      </c>
      <c r="J713" s="52" t="str">
        <f>+IF('Data Pura Costos'!J713="","",'Data Pura Costos'!J713)</f>
        <v>24-25</v>
      </c>
      <c r="K713" s="82" t="str">
        <f t="shared" si="16"/>
        <v>Calleuque-Molina-TH TRANSPORTES</v>
      </c>
      <c r="R713" s="6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</row>
    <row r="714" spans="2:39" s="7" customFormat="1" x14ac:dyDescent="0.35">
      <c r="B714" s="4" t="str">
        <f>+IF('Data Pura Costos'!B714="","",'Data Pura Costos'!B714)</f>
        <v>Chumpirro</v>
      </c>
      <c r="C714" s="4" t="str">
        <f>+IF('Data Pura Costos'!C714="","",'Data Pura Costos'!C714)</f>
        <v>Angol, IX región</v>
      </c>
      <c r="D714" s="5">
        <f>+IF('Data Pura Costos'!D714="","",'Data Pura Costos'!D714)</f>
        <v>358</v>
      </c>
      <c r="E714" s="65">
        <f>+IF('Data Pura Costos'!E714="","",IF('Data Pura Costos'!E714=0,MAX('Data Pura Costos'!$E$7:$E$3000)*1000,'Data Pura Costos'!E714))</f>
        <v>1200000</v>
      </c>
      <c r="F714" s="5" t="str">
        <f>+IF('Data Pura Costos'!F714="","",'Data Pura Costos'!F714)</f>
        <v>Molina</v>
      </c>
      <c r="G714" s="5" t="str">
        <f>+IF('Data Pura Costos'!G714="","",'Data Pura Costos'!G714)</f>
        <v>TH TRANSPORTES</v>
      </c>
      <c r="H714" s="52" t="str">
        <f>+IF('Data Pura Costos'!H714="","",'Data Pura Costos'!H714)</f>
        <v>Termo</v>
      </c>
      <c r="I714" s="71">
        <f>+IF('Data Pura Costos'!I714="","",'Data Pura Costos'!I714)</f>
        <v>3351.9553072625699</v>
      </c>
      <c r="J714" s="52" t="str">
        <f>+IF('Data Pura Costos'!J714="","",'Data Pura Costos'!J714)</f>
        <v>24-25</v>
      </c>
      <c r="K714" s="82" t="str">
        <f t="shared" si="16"/>
        <v>Chumpirro-Molina-TH TRANSPORTES</v>
      </c>
      <c r="R714" s="6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</row>
    <row r="715" spans="2:39" s="7" customFormat="1" x14ac:dyDescent="0.35">
      <c r="B715" s="4" t="str">
        <f>+IF('Data Pura Costos'!B715="","",'Data Pura Costos'!B715)</f>
        <v xml:space="preserve"> Cocalán</v>
      </c>
      <c r="C715" s="4" t="str">
        <f>+IF('Data Pura Costos'!C715="","",'Data Pura Costos'!C715)</f>
        <v>Cocalán, VI región</v>
      </c>
      <c r="D715" s="5">
        <f>+IF('Data Pura Costos'!D715="","",'Data Pura Costos'!D715)</f>
        <v>141</v>
      </c>
      <c r="E715" s="65">
        <f>+IF('Data Pura Costos'!E715="","",IF('Data Pura Costos'!E715=0,MAX('Data Pura Costos'!$E$7:$E$3000)*1000,'Data Pura Costos'!E715))</f>
        <v>640000</v>
      </c>
      <c r="F715" s="5" t="str">
        <f>+IF('Data Pura Costos'!F715="","",'Data Pura Costos'!F715)</f>
        <v>Molina</v>
      </c>
      <c r="G715" s="5" t="str">
        <f>+IF('Data Pura Costos'!G715="","",'Data Pura Costos'!G715)</f>
        <v>TH TRANSPORTES</v>
      </c>
      <c r="H715" s="52" t="str">
        <f>+IF('Data Pura Costos'!H715="","",'Data Pura Costos'!H715)</f>
        <v>Termo</v>
      </c>
      <c r="I715" s="71">
        <f>+IF('Data Pura Costos'!I715="","",'Data Pura Costos'!I715)</f>
        <v>4539.0070921985816</v>
      </c>
      <c r="J715" s="52" t="str">
        <f>+IF('Data Pura Costos'!J715="","",'Data Pura Costos'!J715)</f>
        <v>24-25</v>
      </c>
      <c r="K715" s="82" t="str">
        <f t="shared" si="16"/>
        <v xml:space="preserve"> Cocalán-Molina-TH TRANSPORTES</v>
      </c>
      <c r="R715" s="6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</row>
    <row r="716" spans="2:39" s="7" customFormat="1" x14ac:dyDescent="0.35">
      <c r="B716" s="4" t="str">
        <f>+IF('Data Pura Costos'!B716="","",'Data Pura Costos'!B716)</f>
        <v>El Cóndor</v>
      </c>
      <c r="C716" s="4" t="str">
        <f>+IF('Data Pura Costos'!C716="","",'Data Pura Costos'!C716)</f>
        <v>Chimbarongo, VI Region.</v>
      </c>
      <c r="D716" s="5">
        <f>+IF('Data Pura Costos'!D716="","",'Data Pura Costos'!D716)</f>
        <v>60</v>
      </c>
      <c r="E716" s="65">
        <f>+IF('Data Pura Costos'!E716="","",IF('Data Pura Costos'!E716=0,MAX('Data Pura Costos'!$E$7:$E$3000)*1000,'Data Pura Costos'!E716))</f>
        <v>550000</v>
      </c>
      <c r="F716" s="5" t="str">
        <f>+IF('Data Pura Costos'!F716="","",'Data Pura Costos'!F716)</f>
        <v>Molina</v>
      </c>
      <c r="G716" s="5" t="str">
        <f>+IF('Data Pura Costos'!G716="","",'Data Pura Costos'!G716)</f>
        <v>TH TRANSPORTES</v>
      </c>
      <c r="H716" s="52" t="str">
        <f>+IF('Data Pura Costos'!H716="","",'Data Pura Costos'!H716)</f>
        <v>Termo</v>
      </c>
      <c r="I716" s="71">
        <f>+IF('Data Pura Costos'!I716="","",'Data Pura Costos'!I716)</f>
        <v>9166.6666666666661</v>
      </c>
      <c r="J716" s="52" t="str">
        <f>+IF('Data Pura Costos'!J716="","",'Data Pura Costos'!J716)</f>
        <v>24-25</v>
      </c>
      <c r="K716" s="82" t="str">
        <f t="shared" si="16"/>
        <v>El Cóndor-Molina-TH TRANSPORTES</v>
      </c>
      <c r="R716" s="6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</row>
    <row r="717" spans="2:39" s="7" customFormat="1" x14ac:dyDescent="0.35">
      <c r="B717" s="4" t="str">
        <f>+IF('Data Pura Costos'!B717="","",'Data Pura Costos'!B717)</f>
        <v>El Descanso</v>
      </c>
      <c r="C717" s="4" t="str">
        <f>+IF('Data Pura Costos'!C717="","",'Data Pura Costos'!C717)</f>
        <v>Sagrada Familia, VII región</v>
      </c>
      <c r="D717" s="5">
        <f>+IF('Data Pura Costos'!D717="","",'Data Pura Costos'!D717)</f>
        <v>22</v>
      </c>
      <c r="E717" s="65">
        <f>+IF('Data Pura Costos'!E717="","",IF('Data Pura Costos'!E717=0,MAX('Data Pura Costos'!$E$7:$E$3000)*1000,'Data Pura Costos'!E717))</f>
        <v>350000</v>
      </c>
      <c r="F717" s="5" t="str">
        <f>+IF('Data Pura Costos'!F717="","",'Data Pura Costos'!F717)</f>
        <v>Molina</v>
      </c>
      <c r="G717" s="5" t="str">
        <f>+IF('Data Pura Costos'!G717="","",'Data Pura Costos'!G717)</f>
        <v>TH TRANSPORTES</v>
      </c>
      <c r="H717" s="52" t="str">
        <f>+IF('Data Pura Costos'!H717="","",'Data Pura Costos'!H717)</f>
        <v>Termo</v>
      </c>
      <c r="I717" s="71">
        <f>+IF('Data Pura Costos'!I717="","",'Data Pura Costos'!I717)</f>
        <v>15909.09090909091</v>
      </c>
      <c r="J717" s="52" t="str">
        <f>+IF('Data Pura Costos'!J717="","",'Data Pura Costos'!J717)</f>
        <v>24-25</v>
      </c>
      <c r="K717" s="82" t="str">
        <f t="shared" si="16"/>
        <v>El Descanso-Molina-TH TRANSPORTES</v>
      </c>
      <c r="R717" s="6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</row>
    <row r="718" spans="2:39" s="7" customFormat="1" x14ac:dyDescent="0.35">
      <c r="B718" s="4" t="str">
        <f>+IF('Data Pura Costos'!B718="","",'Data Pura Costos'!B718)</f>
        <v>El Espino</v>
      </c>
      <c r="C718" s="4" t="str">
        <f>+IF('Data Pura Costos'!C718="","",'Data Pura Costos'!C718)</f>
        <v>Colbún, VII región</v>
      </c>
      <c r="D718" s="5">
        <f>+IF('Data Pura Costos'!D718="","",'Data Pura Costos'!D718)</f>
        <v>100</v>
      </c>
      <c r="E718" s="65">
        <f>+IF('Data Pura Costos'!E718="","",IF('Data Pura Costos'!E718=0,MAX('Data Pura Costos'!$E$7:$E$3000)*1000,'Data Pura Costos'!E718))</f>
        <v>600000</v>
      </c>
      <c r="F718" s="5" t="str">
        <f>+IF('Data Pura Costos'!F718="","",'Data Pura Costos'!F718)</f>
        <v>Molina</v>
      </c>
      <c r="G718" s="5" t="str">
        <f>+IF('Data Pura Costos'!G718="","",'Data Pura Costos'!G718)</f>
        <v>TH TRANSPORTES</v>
      </c>
      <c r="H718" s="52" t="str">
        <f>+IF('Data Pura Costos'!H718="","",'Data Pura Costos'!H718)</f>
        <v>Termo</v>
      </c>
      <c r="I718" s="71">
        <f>+IF('Data Pura Costos'!I718="","",'Data Pura Costos'!I718)</f>
        <v>6000</v>
      </c>
      <c r="J718" s="52" t="str">
        <f>+IF('Data Pura Costos'!J718="","",'Data Pura Costos'!J718)</f>
        <v>24-25</v>
      </c>
      <c r="K718" s="82" t="str">
        <f t="shared" si="16"/>
        <v>El Espino-Molina-TH TRANSPORTES</v>
      </c>
      <c r="R718" s="6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</row>
    <row r="719" spans="2:39" s="7" customFormat="1" x14ac:dyDescent="0.35">
      <c r="B719" s="4" t="str">
        <f>+IF('Data Pura Costos'!B719="","",'Data Pura Costos'!B719)</f>
        <v>El Huaico</v>
      </c>
      <c r="C719" s="4" t="str">
        <f>+IF('Data Pura Costos'!C719="","",'Data Pura Costos'!C719)</f>
        <v>Palmila Ohiggins</v>
      </c>
      <c r="D719" s="5">
        <f>+IF('Data Pura Costos'!D719="","",'Data Pura Costos'!D719)</f>
        <v>85</v>
      </c>
      <c r="E719" s="65">
        <f>+IF('Data Pura Costos'!E719="","",IF('Data Pura Costos'!E719=0,MAX('Data Pura Costos'!$E$7:$E$3000)*1000,'Data Pura Costos'!E719))</f>
        <v>580000</v>
      </c>
      <c r="F719" s="5" t="str">
        <f>+IF('Data Pura Costos'!F719="","",'Data Pura Costos'!F719)</f>
        <v>Molina</v>
      </c>
      <c r="G719" s="5" t="str">
        <f>+IF('Data Pura Costos'!G719="","",'Data Pura Costos'!G719)</f>
        <v>TH TRANSPORTES</v>
      </c>
      <c r="H719" s="52" t="str">
        <f>+IF('Data Pura Costos'!H719="","",'Data Pura Costos'!H719)</f>
        <v>Termo</v>
      </c>
      <c r="I719" s="71">
        <f>+IF('Data Pura Costos'!I719="","",'Data Pura Costos'!I719)</f>
        <v>6823.5294117647063</v>
      </c>
      <c r="J719" s="52" t="str">
        <f>+IF('Data Pura Costos'!J719="","",'Data Pura Costos'!J719)</f>
        <v>24-25</v>
      </c>
      <c r="K719" s="82" t="str">
        <f t="shared" si="16"/>
        <v>El Huaico-Molina-TH TRANSPORTES</v>
      </c>
      <c r="R719" s="6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</row>
    <row r="720" spans="2:39" s="7" customFormat="1" x14ac:dyDescent="0.35">
      <c r="B720" s="4" t="str">
        <f>+IF('Data Pura Costos'!B720="","",'Data Pura Costos'!B720)</f>
        <v>El Parque</v>
      </c>
      <c r="C720" s="4" t="str">
        <f>+IF('Data Pura Costos'!C720="","",'Data Pura Costos'!C720)</f>
        <v>San Francisco de Mostazal.VI Region.</v>
      </c>
      <c r="D720" s="5">
        <f>+IF('Data Pura Costos'!D720="","",'Data Pura Costos'!D720)</f>
        <v>144</v>
      </c>
      <c r="E720" s="65">
        <f>+IF('Data Pura Costos'!E720="","",IF('Data Pura Costos'!E720=0,MAX('Data Pura Costos'!$E$7:$E$3000)*1000,'Data Pura Costos'!E720))</f>
        <v>640000</v>
      </c>
      <c r="F720" s="5" t="str">
        <f>+IF('Data Pura Costos'!F720="","",'Data Pura Costos'!F720)</f>
        <v>Molina</v>
      </c>
      <c r="G720" s="5" t="str">
        <f>+IF('Data Pura Costos'!G720="","",'Data Pura Costos'!G720)</f>
        <v>TH TRANSPORTES</v>
      </c>
      <c r="H720" s="52" t="str">
        <f>+IF('Data Pura Costos'!H720="","",'Data Pura Costos'!H720)</f>
        <v>Termo</v>
      </c>
      <c r="I720" s="71">
        <f>+IF('Data Pura Costos'!I720="","",'Data Pura Costos'!I720)</f>
        <v>4444.4444444444443</v>
      </c>
      <c r="J720" s="52" t="str">
        <f>+IF('Data Pura Costos'!J720="","",'Data Pura Costos'!J720)</f>
        <v>24-25</v>
      </c>
      <c r="K720" s="82" t="str">
        <f t="shared" si="16"/>
        <v>El Parque-Molina-TH TRANSPORTES</v>
      </c>
      <c r="R720" s="6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</row>
    <row r="721" spans="2:39" s="7" customFormat="1" x14ac:dyDescent="0.35">
      <c r="B721" s="4" t="str">
        <f>+IF('Data Pura Costos'!B721="","",'Data Pura Costos'!B721)</f>
        <v>El Picaso</v>
      </c>
      <c r="C721" s="4" t="str">
        <f>+IF('Data Pura Costos'!C721="","",'Data Pura Costos'!C721)</f>
        <v xml:space="preserve">San Clemente, VII región </v>
      </c>
      <c r="D721" s="5">
        <f>+IF('Data Pura Costos'!D721="","",'Data Pura Costos'!D721)</f>
        <v>60</v>
      </c>
      <c r="E721" s="65">
        <f>+IF('Data Pura Costos'!E721="","",IF('Data Pura Costos'!E721=0,MAX('Data Pura Costos'!$E$7:$E$3000)*1000,'Data Pura Costos'!E721))</f>
        <v>550000</v>
      </c>
      <c r="F721" s="5" t="str">
        <f>+IF('Data Pura Costos'!F721="","",'Data Pura Costos'!F721)</f>
        <v>Molina</v>
      </c>
      <c r="G721" s="5" t="str">
        <f>+IF('Data Pura Costos'!G721="","",'Data Pura Costos'!G721)</f>
        <v>TH TRANSPORTES</v>
      </c>
      <c r="H721" s="52" t="str">
        <f>+IF('Data Pura Costos'!H721="","",'Data Pura Costos'!H721)</f>
        <v>Termo</v>
      </c>
      <c r="I721" s="71">
        <f>+IF('Data Pura Costos'!I721="","",'Data Pura Costos'!I721)</f>
        <v>9166.6666666666661</v>
      </c>
      <c r="J721" s="52" t="str">
        <f>+IF('Data Pura Costos'!J721="","",'Data Pura Costos'!J721)</f>
        <v>24-25</v>
      </c>
      <c r="K721" s="82" t="str">
        <f t="shared" si="16"/>
        <v>El Picaso-Molina-TH TRANSPORTES</v>
      </c>
      <c r="R721" s="6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</row>
    <row r="722" spans="2:39" s="7" customFormat="1" x14ac:dyDescent="0.35">
      <c r="B722" s="4" t="str">
        <f>+IF('Data Pura Costos'!B722="","",'Data Pura Costos'!B722)</f>
        <v>El Recurso</v>
      </c>
      <c r="C722" s="4" t="str">
        <f>+IF('Data Pura Costos'!C722="","",'Data Pura Costos'!C722)</f>
        <v>San Francisco de Mostazal.VI Region.</v>
      </c>
      <c r="D722" s="5">
        <f>+IF('Data Pura Costos'!D722="","",'Data Pura Costos'!D722)</f>
        <v>144</v>
      </c>
      <c r="E722" s="65">
        <f>+IF('Data Pura Costos'!E722="","",IF('Data Pura Costos'!E722=0,MAX('Data Pura Costos'!$E$7:$E$3000)*1000,'Data Pura Costos'!E722))</f>
        <v>640000</v>
      </c>
      <c r="F722" s="5" t="str">
        <f>+IF('Data Pura Costos'!F722="","",'Data Pura Costos'!F722)</f>
        <v>Molina</v>
      </c>
      <c r="G722" s="5" t="str">
        <f>+IF('Data Pura Costos'!G722="","",'Data Pura Costos'!G722)</f>
        <v>TH TRANSPORTES</v>
      </c>
      <c r="H722" s="52" t="str">
        <f>+IF('Data Pura Costos'!H722="","",'Data Pura Costos'!H722)</f>
        <v>Termo</v>
      </c>
      <c r="I722" s="71">
        <f>+IF('Data Pura Costos'!I722="","",'Data Pura Costos'!I722)</f>
        <v>4444.4444444444443</v>
      </c>
      <c r="J722" s="52" t="str">
        <f>+IF('Data Pura Costos'!J722="","",'Data Pura Costos'!J722)</f>
        <v>24-25</v>
      </c>
      <c r="K722" s="82" t="str">
        <f t="shared" si="16"/>
        <v>El Recurso-Molina-TH TRANSPORTES</v>
      </c>
      <c r="R722" s="6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</row>
    <row r="723" spans="2:39" s="7" customFormat="1" x14ac:dyDescent="0.35">
      <c r="B723" s="4" t="str">
        <f>+IF('Data Pura Costos'!B723="","",'Data Pura Costos'!B723)</f>
        <v>El Rosario</v>
      </c>
      <c r="C723" s="4" t="str">
        <f>+IF('Data Pura Costos'!C723="","",'Data Pura Costos'!C723)</f>
        <v>Linares, VII region.</v>
      </c>
      <c r="D723" s="5">
        <f>+IF('Data Pura Costos'!D723="","",'Data Pura Costos'!D723)</f>
        <v>120</v>
      </c>
      <c r="E723" s="65">
        <f>+IF('Data Pura Costos'!E723="","",IF('Data Pura Costos'!E723=0,MAX('Data Pura Costos'!$E$7:$E$3000)*1000,'Data Pura Costos'!E723))</f>
        <v>620000</v>
      </c>
      <c r="F723" s="5" t="str">
        <f>+IF('Data Pura Costos'!F723="","",'Data Pura Costos'!F723)</f>
        <v>Molina</v>
      </c>
      <c r="G723" s="5" t="str">
        <f>+IF('Data Pura Costos'!G723="","",'Data Pura Costos'!G723)</f>
        <v>TH TRANSPORTES</v>
      </c>
      <c r="H723" s="52" t="str">
        <f>+IF('Data Pura Costos'!H723="","",'Data Pura Costos'!H723)</f>
        <v>Termo</v>
      </c>
      <c r="I723" s="71">
        <f>+IF('Data Pura Costos'!I723="","",'Data Pura Costos'!I723)</f>
        <v>5166.666666666667</v>
      </c>
      <c r="J723" s="52" t="str">
        <f>+IF('Data Pura Costos'!J723="","",'Data Pura Costos'!J723)</f>
        <v>24-25</v>
      </c>
      <c r="K723" s="82" t="str">
        <f t="shared" si="16"/>
        <v>El Rosario-Molina-TH TRANSPORTES</v>
      </c>
      <c r="R723" s="6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</row>
    <row r="724" spans="2:39" s="7" customFormat="1" x14ac:dyDescent="0.35">
      <c r="B724" s="4" t="str">
        <f>+IF('Data Pura Costos'!B724="","",'Data Pura Costos'!B724)</f>
        <v>El Retiro</v>
      </c>
      <c r="C724" s="4" t="str">
        <f>+IF('Data Pura Costos'!C724="","",'Data Pura Costos'!C724)</f>
        <v>Rosario, VI Region.</v>
      </c>
      <c r="D724" s="5">
        <f>+IF('Data Pura Costos'!D724="","",'Data Pura Costos'!D724)</f>
        <v>100</v>
      </c>
      <c r="E724" s="65">
        <f>+IF('Data Pura Costos'!E724="","",IF('Data Pura Costos'!E724=0,MAX('Data Pura Costos'!$E$7:$E$3000)*1000,'Data Pura Costos'!E724))</f>
        <v>600000</v>
      </c>
      <c r="F724" s="5" t="str">
        <f>+IF('Data Pura Costos'!F724="","",'Data Pura Costos'!F724)</f>
        <v>Molina</v>
      </c>
      <c r="G724" s="5" t="str">
        <f>+IF('Data Pura Costos'!G724="","",'Data Pura Costos'!G724)</f>
        <v>TH TRANSPORTES</v>
      </c>
      <c r="H724" s="52" t="str">
        <f>+IF('Data Pura Costos'!H724="","",'Data Pura Costos'!H724)</f>
        <v>Termo</v>
      </c>
      <c r="I724" s="71">
        <f>+IF('Data Pura Costos'!I724="","",'Data Pura Costos'!I724)</f>
        <v>6000</v>
      </c>
      <c r="J724" s="52" t="str">
        <f>+IF('Data Pura Costos'!J724="","",'Data Pura Costos'!J724)</f>
        <v>24-25</v>
      </c>
      <c r="K724" s="82" t="str">
        <f t="shared" si="16"/>
        <v>El Retiro-Molina-TH TRANSPORTES</v>
      </c>
      <c r="R724" s="6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</row>
    <row r="725" spans="2:39" s="7" customFormat="1" x14ac:dyDescent="0.35">
      <c r="B725" s="4" t="str">
        <f>+IF('Data Pura Costos'!B725="","",'Data Pura Costos'!B725)</f>
        <v>La Esperanza</v>
      </c>
      <c r="C725" s="4" t="str">
        <f>+IF('Data Pura Costos'!C725="","",'Data Pura Costos'!C725)</f>
        <v>Peumo, VI región</v>
      </c>
      <c r="D725" s="5">
        <f>+IF('Data Pura Costos'!D725="","",'Data Pura Costos'!D725)</f>
        <v>125</v>
      </c>
      <c r="E725" s="65">
        <f>+IF('Data Pura Costos'!E725="","",IF('Data Pura Costos'!E725=0,MAX('Data Pura Costos'!$E$7:$E$3000)*1000,'Data Pura Costos'!E725))</f>
        <v>620000</v>
      </c>
      <c r="F725" s="5" t="str">
        <f>+IF('Data Pura Costos'!F725="","",'Data Pura Costos'!F725)</f>
        <v>Molina</v>
      </c>
      <c r="G725" s="5" t="str">
        <f>+IF('Data Pura Costos'!G725="","",'Data Pura Costos'!G725)</f>
        <v>TH TRANSPORTES</v>
      </c>
      <c r="H725" s="52" t="str">
        <f>+IF('Data Pura Costos'!H725="","",'Data Pura Costos'!H725)</f>
        <v>Termo</v>
      </c>
      <c r="I725" s="71">
        <f>+IF('Data Pura Costos'!I725="","",'Data Pura Costos'!I725)</f>
        <v>4960</v>
      </c>
      <c r="J725" s="52" t="str">
        <f>+IF('Data Pura Costos'!J725="","",'Data Pura Costos'!J725)</f>
        <v>24-25</v>
      </c>
      <c r="K725" s="82" t="str">
        <f t="shared" si="16"/>
        <v>La Esperanza-Molina-TH TRANSPORTES</v>
      </c>
      <c r="R725" s="6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</row>
    <row r="726" spans="2:39" s="7" customFormat="1" x14ac:dyDescent="0.35">
      <c r="B726" s="4" t="str">
        <f>+IF('Data Pura Costos'!B726="","",'Data Pura Costos'!B726)</f>
        <v>La Estación</v>
      </c>
      <c r="C726" s="4" t="str">
        <f>+IF('Data Pura Costos'!C726="","",'Data Pura Costos'!C726)</f>
        <v>Palmilla, VI región</v>
      </c>
      <c r="D726" s="5">
        <f>+IF('Data Pura Costos'!D726="","",'Data Pura Costos'!D726)</f>
        <v>90</v>
      </c>
      <c r="E726" s="65">
        <f>+IF('Data Pura Costos'!E726="","",IF('Data Pura Costos'!E726=0,MAX('Data Pura Costos'!$E$7:$E$3000)*1000,'Data Pura Costos'!E726))</f>
        <v>600000</v>
      </c>
      <c r="F726" s="5" t="str">
        <f>+IF('Data Pura Costos'!F726="","",'Data Pura Costos'!F726)</f>
        <v>Molina</v>
      </c>
      <c r="G726" s="5" t="str">
        <f>+IF('Data Pura Costos'!G726="","",'Data Pura Costos'!G726)</f>
        <v>TH TRANSPORTES</v>
      </c>
      <c r="H726" s="52" t="str">
        <f>+IF('Data Pura Costos'!H726="","",'Data Pura Costos'!H726)</f>
        <v>Termo</v>
      </c>
      <c r="I726" s="71">
        <f>+IF('Data Pura Costos'!I726="","",'Data Pura Costos'!I726)</f>
        <v>6666.666666666667</v>
      </c>
      <c r="J726" s="52" t="str">
        <f>+IF('Data Pura Costos'!J726="","",'Data Pura Costos'!J726)</f>
        <v>24-25</v>
      </c>
      <c r="K726" s="82" t="str">
        <f t="shared" si="16"/>
        <v>La Estación-Molina-TH TRANSPORTES</v>
      </c>
      <c r="R726" s="6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</row>
    <row r="727" spans="2:39" s="7" customFormat="1" x14ac:dyDescent="0.35">
      <c r="B727" s="4" t="str">
        <f>+IF('Data Pura Costos'!B727="","",'Data Pura Costos'!B727)</f>
        <v>La Lajuela</v>
      </c>
      <c r="C727" s="4" t="str">
        <f>+IF('Data Pura Costos'!C727="","",'Data Pura Costos'!C727)</f>
        <v>Santa Cruz, VI Región</v>
      </c>
      <c r="D727" s="5">
        <f>+IF('Data Pura Costos'!D727="","",'Data Pura Costos'!D727)</f>
        <v>80</v>
      </c>
      <c r="E727" s="65">
        <f>+IF('Data Pura Costos'!E727="","",IF('Data Pura Costos'!E727=0,MAX('Data Pura Costos'!$E$7:$E$3000)*1000,'Data Pura Costos'!E727))</f>
        <v>580000</v>
      </c>
      <c r="F727" s="5" t="str">
        <f>+IF('Data Pura Costos'!F727="","",'Data Pura Costos'!F727)</f>
        <v>Molina</v>
      </c>
      <c r="G727" s="5" t="str">
        <f>+IF('Data Pura Costos'!G727="","",'Data Pura Costos'!G727)</f>
        <v>TH TRANSPORTES</v>
      </c>
      <c r="H727" s="52" t="str">
        <f>+IF('Data Pura Costos'!H727="","",'Data Pura Costos'!H727)</f>
        <v>Termo</v>
      </c>
      <c r="I727" s="71">
        <f>+IF('Data Pura Costos'!I727="","",'Data Pura Costos'!I727)</f>
        <v>7250</v>
      </c>
      <c r="J727" s="52" t="str">
        <f>+IF('Data Pura Costos'!J727="","",'Data Pura Costos'!J727)</f>
        <v>24-25</v>
      </c>
      <c r="K727" s="82" t="str">
        <f t="shared" si="16"/>
        <v>La Lajuela-Molina-TH TRANSPORTES</v>
      </c>
      <c r="R727" s="6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</row>
    <row r="728" spans="2:39" s="7" customFormat="1" x14ac:dyDescent="0.35">
      <c r="B728" s="4" t="str">
        <f>+IF('Data Pura Costos'!B728="","",'Data Pura Costos'!B728)</f>
        <v>La Morera</v>
      </c>
      <c r="C728" s="4" t="str">
        <f>+IF('Data Pura Costos'!C728="","",'Data Pura Costos'!C728)</f>
        <v>La compañia, VI Region.</v>
      </c>
      <c r="D728" s="5">
        <f>+IF('Data Pura Costos'!D728="","",'Data Pura Costos'!D728)</f>
        <v>130</v>
      </c>
      <c r="E728" s="65">
        <f>+IF('Data Pura Costos'!E728="","",IF('Data Pura Costos'!E728=0,MAX('Data Pura Costos'!$E$7:$E$3000)*1000,'Data Pura Costos'!E728))</f>
        <v>620000</v>
      </c>
      <c r="F728" s="5" t="str">
        <f>+IF('Data Pura Costos'!F728="","",'Data Pura Costos'!F728)</f>
        <v>Molina</v>
      </c>
      <c r="G728" s="5" t="str">
        <f>+IF('Data Pura Costos'!G728="","",'Data Pura Costos'!G728)</f>
        <v>TH TRANSPORTES</v>
      </c>
      <c r="H728" s="52" t="str">
        <f>+IF('Data Pura Costos'!H728="","",'Data Pura Costos'!H728)</f>
        <v>Termo</v>
      </c>
      <c r="I728" s="71">
        <f>+IF('Data Pura Costos'!I728="","",'Data Pura Costos'!I728)</f>
        <v>4769.2307692307695</v>
      </c>
      <c r="J728" s="52" t="str">
        <f>+IF('Data Pura Costos'!J728="","",'Data Pura Costos'!J728)</f>
        <v>24-25</v>
      </c>
      <c r="K728" s="82" t="str">
        <f t="shared" si="16"/>
        <v>La Morera-Molina-TH TRANSPORTES</v>
      </c>
      <c r="R728" s="6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</row>
    <row r="729" spans="2:39" s="7" customFormat="1" x14ac:dyDescent="0.35">
      <c r="B729" s="4" t="str">
        <f>+IF('Data Pura Costos'!B729="","",'Data Pura Costos'!B729)</f>
        <v>La Rinconada</v>
      </c>
      <c r="C729" s="4" t="str">
        <f>+IF('Data Pura Costos'!C729="","",'Data Pura Costos'!C729)</f>
        <v>Pichidegua, VI región</v>
      </c>
      <c r="D729" s="5">
        <f>+IF('Data Pura Costos'!D729="","",'Data Pura Costos'!D729)</f>
        <v>133</v>
      </c>
      <c r="E729" s="65">
        <f>+IF('Data Pura Costos'!E729="","",IF('Data Pura Costos'!E729=0,MAX('Data Pura Costos'!$E$7:$E$3000)*1000,'Data Pura Costos'!E729))</f>
        <v>620000</v>
      </c>
      <c r="F729" s="5" t="str">
        <f>+IF('Data Pura Costos'!F729="","",'Data Pura Costos'!F729)</f>
        <v>Molina</v>
      </c>
      <c r="G729" s="5" t="str">
        <f>+IF('Data Pura Costos'!G729="","",'Data Pura Costos'!G729)</f>
        <v>TH TRANSPORTES</v>
      </c>
      <c r="H729" s="52" t="str">
        <f>+IF('Data Pura Costos'!H729="","",'Data Pura Costos'!H729)</f>
        <v>Termo</v>
      </c>
      <c r="I729" s="71">
        <f>+IF('Data Pura Costos'!I729="","",'Data Pura Costos'!I729)</f>
        <v>4661.6541353383454</v>
      </c>
      <c r="J729" s="52" t="str">
        <f>+IF('Data Pura Costos'!J729="","",'Data Pura Costos'!J729)</f>
        <v>24-25</v>
      </c>
      <c r="K729" s="82" t="str">
        <f t="shared" si="16"/>
        <v>La Rinconada-Molina-TH TRANSPORTES</v>
      </c>
      <c r="R729" s="6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</row>
    <row r="730" spans="2:39" s="7" customFormat="1" x14ac:dyDescent="0.35">
      <c r="B730" s="4" t="str">
        <f>+IF('Data Pura Costos'!B730="","",'Data Pura Costos'!B730)</f>
        <v xml:space="preserve">La Roblería </v>
      </c>
      <c r="C730" s="4" t="str">
        <f>+IF('Data Pura Costos'!C730="","",'Data Pura Costos'!C730)</f>
        <v>Aculeo, RM</v>
      </c>
      <c r="D730" s="5">
        <f>+IF('Data Pura Costos'!D730="","",'Data Pura Costos'!D730)</f>
        <v>180</v>
      </c>
      <c r="E730" s="65">
        <f>+IF('Data Pura Costos'!E730="","",IF('Data Pura Costos'!E730=0,MAX('Data Pura Costos'!$E$7:$E$3000)*1000,'Data Pura Costos'!E730))</f>
        <v>680000</v>
      </c>
      <c r="F730" s="5" t="str">
        <f>+IF('Data Pura Costos'!F730="","",'Data Pura Costos'!F730)</f>
        <v>Molina</v>
      </c>
      <c r="G730" s="5" t="str">
        <f>+IF('Data Pura Costos'!G730="","",'Data Pura Costos'!G730)</f>
        <v>TH TRANSPORTES</v>
      </c>
      <c r="H730" s="52" t="str">
        <f>+IF('Data Pura Costos'!H730="","",'Data Pura Costos'!H730)</f>
        <v>Termo</v>
      </c>
      <c r="I730" s="71">
        <f>+IF('Data Pura Costos'!I730="","",'Data Pura Costos'!I730)</f>
        <v>3777.7777777777778</v>
      </c>
      <c r="J730" s="52" t="str">
        <f>+IF('Data Pura Costos'!J730="","",'Data Pura Costos'!J730)</f>
        <v>24-25</v>
      </c>
      <c r="K730" s="82" t="str">
        <f t="shared" si="16"/>
        <v>La Roblería -Molina-TH TRANSPORTES</v>
      </c>
      <c r="R730" s="6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</row>
    <row r="731" spans="2:39" s="7" customFormat="1" x14ac:dyDescent="0.35">
      <c r="B731" s="4" t="str">
        <f>+IF('Data Pura Costos'!B731="","",'Data Pura Costos'!B731)</f>
        <v>Las Cabras</v>
      </c>
      <c r="C731" s="4" t="str">
        <f>+IF('Data Pura Costos'!C731="","",'Data Pura Costos'!C731)</f>
        <v>Las Cabras, VI región</v>
      </c>
      <c r="D731" s="5">
        <f>+IF('Data Pura Costos'!D731="","",'Data Pura Costos'!D731)</f>
        <v>140</v>
      </c>
      <c r="E731" s="65">
        <f>+IF('Data Pura Costos'!E731="","",IF('Data Pura Costos'!E731=0,MAX('Data Pura Costos'!$E$7:$E$3000)*1000,'Data Pura Costos'!E731))</f>
        <v>640000</v>
      </c>
      <c r="F731" s="5" t="str">
        <f>+IF('Data Pura Costos'!F731="","",'Data Pura Costos'!F731)</f>
        <v>Molina</v>
      </c>
      <c r="G731" s="5" t="str">
        <f>+IF('Data Pura Costos'!G731="","",'Data Pura Costos'!G731)</f>
        <v>TH TRANSPORTES</v>
      </c>
      <c r="H731" s="52" t="str">
        <f>+IF('Data Pura Costos'!H731="","",'Data Pura Costos'!H731)</f>
        <v>Termo</v>
      </c>
      <c r="I731" s="71">
        <f>+IF('Data Pura Costos'!I731="","",'Data Pura Costos'!I731)</f>
        <v>4571.4285714285716</v>
      </c>
      <c r="J731" s="52" t="str">
        <f>+IF('Data Pura Costos'!J731="","",'Data Pura Costos'!J731)</f>
        <v>24-25</v>
      </c>
      <c r="K731" s="82" t="str">
        <f t="shared" si="16"/>
        <v>Las Cabras-Molina-TH TRANSPORTES</v>
      </c>
      <c r="R731" s="6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</row>
    <row r="732" spans="2:39" s="7" customFormat="1" x14ac:dyDescent="0.35">
      <c r="B732" s="4" t="str">
        <f>+IF('Data Pura Costos'!B732="","",'Data Pura Costos'!B732)</f>
        <v>Las Vertientes</v>
      </c>
      <c r="C732" s="4" t="str">
        <f>+IF('Data Pura Costos'!C732="","",'Data Pura Costos'!C732)</f>
        <v>Pichidegua, VI región</v>
      </c>
      <c r="D732" s="5">
        <f>+IF('Data Pura Costos'!D732="","",'Data Pura Costos'!D732)</f>
        <v>130</v>
      </c>
      <c r="E732" s="65">
        <f>+IF('Data Pura Costos'!E732="","",IF('Data Pura Costos'!E732=0,MAX('Data Pura Costos'!$E$7:$E$3000)*1000,'Data Pura Costos'!E732))</f>
        <v>620000</v>
      </c>
      <c r="F732" s="5" t="str">
        <f>+IF('Data Pura Costos'!F732="","",'Data Pura Costos'!F732)</f>
        <v>Molina</v>
      </c>
      <c r="G732" s="5" t="str">
        <f>+IF('Data Pura Costos'!G732="","",'Data Pura Costos'!G732)</f>
        <v>TH TRANSPORTES</v>
      </c>
      <c r="H732" s="52" t="str">
        <f>+IF('Data Pura Costos'!H732="","",'Data Pura Costos'!H732)</f>
        <v>Termo</v>
      </c>
      <c r="I732" s="71">
        <f>+IF('Data Pura Costos'!I732="","",'Data Pura Costos'!I732)</f>
        <v>4769.2307692307695</v>
      </c>
      <c r="J732" s="52" t="str">
        <f>+IF('Data Pura Costos'!J732="","",'Data Pura Costos'!J732)</f>
        <v>24-25</v>
      </c>
      <c r="K732" s="82" t="str">
        <f t="shared" si="16"/>
        <v>Las Vertientes-Molina-TH TRANSPORTES</v>
      </c>
      <c r="R732" s="6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</row>
    <row r="733" spans="2:39" s="7" customFormat="1" x14ac:dyDescent="0.35">
      <c r="B733" s="4" t="str">
        <f>+IF('Data Pura Costos'!B733="","",'Data Pura Costos'!B733)</f>
        <v>Lihueimo</v>
      </c>
      <c r="C733" s="4" t="str">
        <f>+IF('Data Pura Costos'!C733="","",'Data Pura Costos'!C733)</f>
        <v>Peralillo ohiggins</v>
      </c>
      <c r="D733" s="5">
        <f>+IF('Data Pura Costos'!D733="","",'Data Pura Costos'!D733)</f>
        <v>90</v>
      </c>
      <c r="E733" s="65">
        <f>+IF('Data Pura Costos'!E733="","",IF('Data Pura Costos'!E733=0,MAX('Data Pura Costos'!$E$7:$E$3000)*1000,'Data Pura Costos'!E733))</f>
        <v>600000</v>
      </c>
      <c r="F733" s="5" t="str">
        <f>+IF('Data Pura Costos'!F733="","",'Data Pura Costos'!F733)</f>
        <v>Molina</v>
      </c>
      <c r="G733" s="5" t="str">
        <f>+IF('Data Pura Costos'!G733="","",'Data Pura Costos'!G733)</f>
        <v>TH TRANSPORTES</v>
      </c>
      <c r="H733" s="52" t="str">
        <f>+IF('Data Pura Costos'!H733="","",'Data Pura Costos'!H733)</f>
        <v>Termo</v>
      </c>
      <c r="I733" s="71">
        <f>+IF('Data Pura Costos'!I733="","",'Data Pura Costos'!I733)</f>
        <v>6666.666666666667</v>
      </c>
      <c r="J733" s="52" t="str">
        <f>+IF('Data Pura Costos'!J733="","",'Data Pura Costos'!J733)</f>
        <v>24-25</v>
      </c>
      <c r="K733" s="82" t="str">
        <f t="shared" si="16"/>
        <v>Lihueimo-Molina-TH TRANSPORTES</v>
      </c>
      <c r="R733" s="6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</row>
    <row r="734" spans="2:39" s="7" customFormat="1" x14ac:dyDescent="0.35">
      <c r="B734" s="4" t="str">
        <f>+IF('Data Pura Costos'!B734="","",'Data Pura Costos'!B734)</f>
        <v>Los Encinos</v>
      </c>
      <c r="C734" s="4" t="str">
        <f>+IF('Data Pura Costos'!C734="","",'Data Pura Costos'!C734)</f>
        <v>Huechun, RM</v>
      </c>
      <c r="D734" s="5">
        <f>+IF('Data Pura Costos'!D734="","",'Data Pura Costos'!D734)</f>
        <v>230</v>
      </c>
      <c r="E734" s="65">
        <f>+IF('Data Pura Costos'!E734="","",IF('Data Pura Costos'!E734=0,MAX('Data Pura Costos'!$E$7:$E$3000)*1000,'Data Pura Costos'!E734))</f>
        <v>780000</v>
      </c>
      <c r="F734" s="5" t="str">
        <f>+IF('Data Pura Costos'!F734="","",'Data Pura Costos'!F734)</f>
        <v>Molina</v>
      </c>
      <c r="G734" s="5" t="str">
        <f>+IF('Data Pura Costos'!G734="","",'Data Pura Costos'!G734)</f>
        <v>TH TRANSPORTES</v>
      </c>
      <c r="H734" s="52" t="str">
        <f>+IF('Data Pura Costos'!H734="","",'Data Pura Costos'!H734)</f>
        <v>Termo</v>
      </c>
      <c r="I734" s="71">
        <f>+IF('Data Pura Costos'!I734="","",'Data Pura Costos'!I734)</f>
        <v>3391.304347826087</v>
      </c>
      <c r="J734" s="52" t="str">
        <f>+IF('Data Pura Costos'!J734="","",'Data Pura Costos'!J734)</f>
        <v>24-25</v>
      </c>
      <c r="K734" s="82" t="str">
        <f t="shared" si="16"/>
        <v>Los Encinos-Molina-TH TRANSPORTES</v>
      </c>
      <c r="R734" s="6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</row>
    <row r="735" spans="2:39" s="7" customFormat="1" x14ac:dyDescent="0.35">
      <c r="B735" s="4" t="str">
        <f>+IF('Data Pura Costos'!B735="","",'Data Pura Costos'!B735)</f>
        <v>Los Maitenes</v>
      </c>
      <c r="C735" s="4" t="str">
        <f>+IF('Data Pura Costos'!C735="","",'Data Pura Costos'!C735)</f>
        <v>Las Cabras, VI región</v>
      </c>
      <c r="D735" s="5">
        <f>+IF('Data Pura Costos'!D735="","",'Data Pura Costos'!D735)</f>
        <v>144</v>
      </c>
      <c r="E735" s="65">
        <f>+IF('Data Pura Costos'!E735="","",IF('Data Pura Costos'!E735=0,MAX('Data Pura Costos'!$E$7:$E$3000)*1000,'Data Pura Costos'!E735))</f>
        <v>650000</v>
      </c>
      <c r="F735" s="5" t="str">
        <f>+IF('Data Pura Costos'!F735="","",'Data Pura Costos'!F735)</f>
        <v>Molina</v>
      </c>
      <c r="G735" s="5" t="str">
        <f>+IF('Data Pura Costos'!G735="","",'Data Pura Costos'!G735)</f>
        <v>TH TRANSPORTES</v>
      </c>
      <c r="H735" s="52" t="str">
        <f>+IF('Data Pura Costos'!H735="","",'Data Pura Costos'!H735)</f>
        <v>Termo</v>
      </c>
      <c r="I735" s="71">
        <f>+IF('Data Pura Costos'!I735="","",'Data Pura Costos'!I735)</f>
        <v>4513.8888888888887</v>
      </c>
      <c r="J735" s="52" t="str">
        <f>+IF('Data Pura Costos'!J735="","",'Data Pura Costos'!J735)</f>
        <v>24-25</v>
      </c>
      <c r="K735" s="82" t="str">
        <f t="shared" si="16"/>
        <v>Los Maitenes-Molina-TH TRANSPORTES</v>
      </c>
      <c r="R735" s="6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</row>
    <row r="736" spans="2:39" s="7" customFormat="1" x14ac:dyDescent="0.35">
      <c r="B736" s="4" t="str">
        <f>+IF('Data Pura Costos'!B736="","",'Data Pura Costos'!B736)</f>
        <v>Los Toldos</v>
      </c>
      <c r="C736" s="4" t="str">
        <f>+IF('Data Pura Costos'!C736="","",'Data Pura Costos'!C736)</f>
        <v>Angol, IX región</v>
      </c>
      <c r="D736" s="5">
        <f>+IF('Data Pura Costos'!D736="","",'Data Pura Costos'!D736)</f>
        <v>408</v>
      </c>
      <c r="E736" s="65">
        <f>+IF('Data Pura Costos'!E736="","",IF('Data Pura Costos'!E736=0,MAX('Data Pura Costos'!$E$7:$E$3000)*1000,'Data Pura Costos'!E736))</f>
        <v>1200000</v>
      </c>
      <c r="F736" s="5" t="str">
        <f>+IF('Data Pura Costos'!F736="","",'Data Pura Costos'!F736)</f>
        <v>Molina</v>
      </c>
      <c r="G736" s="5" t="str">
        <f>+IF('Data Pura Costos'!G736="","",'Data Pura Costos'!G736)</f>
        <v>TH TRANSPORTES</v>
      </c>
      <c r="H736" s="52" t="str">
        <f>+IF('Data Pura Costos'!H736="","",'Data Pura Costos'!H736)</f>
        <v>Termo</v>
      </c>
      <c r="I736" s="71">
        <f>+IF('Data Pura Costos'!I736="","",'Data Pura Costos'!I736)</f>
        <v>2941.1764705882351</v>
      </c>
      <c r="J736" s="52" t="str">
        <f>+IF('Data Pura Costos'!J736="","",'Data Pura Costos'!J736)</f>
        <v>24-25</v>
      </c>
      <c r="K736" s="82" t="str">
        <f t="shared" si="16"/>
        <v>Los Toldos-Molina-TH TRANSPORTES</v>
      </c>
      <c r="R736" s="6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</row>
    <row r="737" spans="2:39" s="7" customFormat="1" x14ac:dyDescent="0.35">
      <c r="B737" s="4" t="str">
        <f>+IF('Data Pura Costos'!B737="","",'Data Pura Costos'!B737)</f>
        <v>Mallorca</v>
      </c>
      <c r="C737" s="4" t="str">
        <f>+IF('Data Pura Costos'!C737="","",'Data Pura Costos'!C737)</f>
        <v xml:space="preserve">Molina, VII región </v>
      </c>
      <c r="D737" s="5">
        <f>+IF('Data Pura Costos'!D737="","",'Data Pura Costos'!D737)</f>
        <v>1</v>
      </c>
      <c r="E737" s="65">
        <f>+IF('Data Pura Costos'!E737="","",IF('Data Pura Costos'!E737=0,MAX('Data Pura Costos'!$E$7:$E$3000)*1000,'Data Pura Costos'!E737))</f>
        <v>250000</v>
      </c>
      <c r="F737" s="5" t="str">
        <f>+IF('Data Pura Costos'!F737="","",'Data Pura Costos'!F737)</f>
        <v>Molina</v>
      </c>
      <c r="G737" s="5" t="str">
        <f>+IF('Data Pura Costos'!G737="","",'Data Pura Costos'!G737)</f>
        <v>TH TRANSPORTES</v>
      </c>
      <c r="H737" s="52" t="str">
        <f>+IF('Data Pura Costos'!H737="","",'Data Pura Costos'!H737)</f>
        <v>Termo</v>
      </c>
      <c r="I737" s="71">
        <f>+IF('Data Pura Costos'!I737="","",'Data Pura Costos'!I737)</f>
        <v>250000</v>
      </c>
      <c r="J737" s="52" t="str">
        <f>+IF('Data Pura Costos'!J737="","",'Data Pura Costos'!J737)</f>
        <v>24-25</v>
      </c>
      <c r="K737" s="82" t="str">
        <f t="shared" si="16"/>
        <v>Mallorca-Molina-TH TRANSPORTES</v>
      </c>
      <c r="R737" s="6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</row>
    <row r="738" spans="2:39" s="7" customFormat="1" x14ac:dyDescent="0.35">
      <c r="B738" s="4" t="str">
        <f>+IF('Data Pura Costos'!B738="","",'Data Pura Costos'!B738)</f>
        <v>Panquehue</v>
      </c>
      <c r="C738" s="4" t="str">
        <f>+IF('Data Pura Costos'!C738="","",'Data Pura Costos'!C738)</f>
        <v>Panquehue, V región</v>
      </c>
      <c r="D738" s="5">
        <f>+IF('Data Pura Costos'!D738="","",'Data Pura Costos'!D738)</f>
        <v>310</v>
      </c>
      <c r="E738" s="65">
        <f>+IF('Data Pura Costos'!E738="","",IF('Data Pura Costos'!E738=0,MAX('Data Pura Costos'!$E$7:$E$3000)*1000,'Data Pura Costos'!E738))</f>
        <v>850000</v>
      </c>
      <c r="F738" s="5" t="str">
        <f>+IF('Data Pura Costos'!F738="","",'Data Pura Costos'!F738)</f>
        <v>Molina</v>
      </c>
      <c r="G738" s="5" t="str">
        <f>+IF('Data Pura Costos'!G738="","",'Data Pura Costos'!G738)</f>
        <v>TH TRANSPORTES</v>
      </c>
      <c r="H738" s="52" t="str">
        <f>+IF('Data Pura Costos'!H738="","",'Data Pura Costos'!H738)</f>
        <v>Termo</v>
      </c>
      <c r="I738" s="71">
        <f>+IF('Data Pura Costos'!I738="","",'Data Pura Costos'!I738)</f>
        <v>2741.9354838709678</v>
      </c>
      <c r="J738" s="52" t="str">
        <f>+IF('Data Pura Costos'!J738="","",'Data Pura Costos'!J738)</f>
        <v>24-25</v>
      </c>
      <c r="K738" s="82" t="str">
        <f t="shared" si="16"/>
        <v>Panquehue-Molina-TH TRANSPORTES</v>
      </c>
      <c r="R738" s="6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</row>
    <row r="739" spans="2:39" s="7" customFormat="1" x14ac:dyDescent="0.35">
      <c r="B739" s="4" t="str">
        <f>+IF('Data Pura Costos'!B739="","",'Data Pura Costos'!B739)</f>
        <v>Entre Rios/Puente Negro/Rio Claro</v>
      </c>
      <c r="C739" s="4" t="str">
        <f>+IF('Data Pura Costos'!C739="","",'Data Pura Costos'!C739)</f>
        <v>Puente negro, san fernando.VI Region.</v>
      </c>
      <c r="D739" s="5">
        <f>+IF('Data Pura Costos'!D739="","",'Data Pura Costos'!D739)</f>
        <v>95</v>
      </c>
      <c r="E739" s="65">
        <f>+IF('Data Pura Costos'!E739="","",IF('Data Pura Costos'!E739=0,MAX('Data Pura Costos'!$E$7:$E$3000)*1000,'Data Pura Costos'!E739))</f>
        <v>600000</v>
      </c>
      <c r="F739" s="5" t="str">
        <f>+IF('Data Pura Costos'!F739="","",'Data Pura Costos'!F739)</f>
        <v>Molina</v>
      </c>
      <c r="G739" s="5" t="str">
        <f>+IF('Data Pura Costos'!G739="","",'Data Pura Costos'!G739)</f>
        <v>TH TRANSPORTES</v>
      </c>
      <c r="H739" s="52" t="str">
        <f>+IF('Data Pura Costos'!H739="","",'Data Pura Costos'!H739)</f>
        <v>Termo</v>
      </c>
      <c r="I739" s="71">
        <f>+IF('Data Pura Costos'!I739="","",'Data Pura Costos'!I739)</f>
        <v>6315.7894736842109</v>
      </c>
      <c r="J739" s="52" t="str">
        <f>+IF('Data Pura Costos'!J739="","",'Data Pura Costos'!J739)</f>
        <v>24-25</v>
      </c>
      <c r="K739" s="82" t="str">
        <f t="shared" si="16"/>
        <v>Entre Rios/Puente Negro/Rio Claro-Molina-TH TRANSPORTES</v>
      </c>
      <c r="R739" s="6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</row>
    <row r="740" spans="2:39" s="7" customFormat="1" x14ac:dyDescent="0.35">
      <c r="B740" s="4" t="str">
        <f>+IF('Data Pura Costos'!B740="","",'Data Pura Costos'!B740)</f>
        <v>Retorno</v>
      </c>
      <c r="C740" s="4" t="str">
        <f>+IF('Data Pura Costos'!C740="","",'Data Pura Costos'!C740)</f>
        <v>Santa maria, V región</v>
      </c>
      <c r="D740" s="5">
        <f>+IF('Data Pura Costos'!D740="","",'Data Pura Costos'!D740)</f>
        <v>305</v>
      </c>
      <c r="E740" s="65">
        <f>+IF('Data Pura Costos'!E740="","",IF('Data Pura Costos'!E740=0,MAX('Data Pura Costos'!$E$7:$E$3000)*1000,'Data Pura Costos'!E740))</f>
        <v>850000</v>
      </c>
      <c r="F740" s="5" t="str">
        <f>+IF('Data Pura Costos'!F740="","",'Data Pura Costos'!F740)</f>
        <v>Molina</v>
      </c>
      <c r="G740" s="5" t="str">
        <f>+IF('Data Pura Costos'!G740="","",'Data Pura Costos'!G740)</f>
        <v>TH TRANSPORTES</v>
      </c>
      <c r="H740" s="52" t="str">
        <f>+IF('Data Pura Costos'!H740="","",'Data Pura Costos'!H740)</f>
        <v>Termo</v>
      </c>
      <c r="I740" s="71">
        <f>+IF('Data Pura Costos'!I740="","",'Data Pura Costos'!I740)</f>
        <v>2786.8852459016393</v>
      </c>
      <c r="J740" s="52" t="str">
        <f>+IF('Data Pura Costos'!J740="","",'Data Pura Costos'!J740)</f>
        <v>24-25</v>
      </c>
      <c r="K740" s="82" t="str">
        <f t="shared" si="16"/>
        <v>Retorno-Molina-TH TRANSPORTES</v>
      </c>
      <c r="R740" s="6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</row>
    <row r="741" spans="2:39" s="7" customFormat="1" x14ac:dyDescent="0.35">
      <c r="B741" s="4" t="str">
        <f>+IF('Data Pura Costos'!B741="","",'Data Pura Costos'!B741)</f>
        <v>San Hernán</v>
      </c>
      <c r="C741" s="4" t="str">
        <f>+IF('Data Pura Costos'!C741="","",'Data Pura Costos'!C741)</f>
        <v>Graneros, VI región</v>
      </c>
      <c r="D741" s="5">
        <f>+IF('Data Pura Costos'!D741="","",'Data Pura Costos'!D741)</f>
        <v>140</v>
      </c>
      <c r="E741" s="65">
        <f>+IF('Data Pura Costos'!E741="","",IF('Data Pura Costos'!E741=0,MAX('Data Pura Costos'!$E$7:$E$3000)*1000,'Data Pura Costos'!E741))</f>
        <v>640000</v>
      </c>
      <c r="F741" s="5" t="str">
        <f>+IF('Data Pura Costos'!F741="","",'Data Pura Costos'!F741)</f>
        <v>Molina</v>
      </c>
      <c r="G741" s="5" t="str">
        <f>+IF('Data Pura Costos'!G741="","",'Data Pura Costos'!G741)</f>
        <v>TH TRANSPORTES</v>
      </c>
      <c r="H741" s="52" t="str">
        <f>+IF('Data Pura Costos'!H741="","",'Data Pura Costos'!H741)</f>
        <v>Termo</v>
      </c>
      <c r="I741" s="71">
        <f>+IF('Data Pura Costos'!I741="","",'Data Pura Costos'!I741)</f>
        <v>4571.4285714285716</v>
      </c>
      <c r="J741" s="52" t="str">
        <f>+IF('Data Pura Costos'!J741="","",'Data Pura Costos'!J741)</f>
        <v>24-25</v>
      </c>
      <c r="K741" s="82" t="str">
        <f t="shared" si="16"/>
        <v>San Hernán-Molina-TH TRANSPORTES</v>
      </c>
      <c r="R741" s="6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</row>
    <row r="742" spans="2:39" s="7" customFormat="1" x14ac:dyDescent="0.35">
      <c r="B742" s="4" t="str">
        <f>+IF('Data Pura Costos'!B742="","",'Data Pura Costos'!B742)</f>
        <v>Santa Mónica</v>
      </c>
      <c r="C742" s="4" t="str">
        <f>+IF('Data Pura Costos'!C742="","",'Data Pura Costos'!C742)</f>
        <v xml:space="preserve">Rancagua, sector Chancón, VI región </v>
      </c>
      <c r="D742" s="5">
        <f>+IF('Data Pura Costos'!D742="","",'Data Pura Costos'!D742)</f>
        <v>130</v>
      </c>
      <c r="E742" s="65">
        <f>+IF('Data Pura Costos'!E742="","",IF('Data Pura Costos'!E742=0,MAX('Data Pura Costos'!$E$7:$E$3000)*1000,'Data Pura Costos'!E742))</f>
        <v>620000</v>
      </c>
      <c r="F742" s="5" t="str">
        <f>+IF('Data Pura Costos'!F742="","",'Data Pura Costos'!F742)</f>
        <v>Molina</v>
      </c>
      <c r="G742" s="5" t="str">
        <f>+IF('Data Pura Costos'!G742="","",'Data Pura Costos'!G742)</f>
        <v>TH TRANSPORTES</v>
      </c>
      <c r="H742" s="52" t="str">
        <f>+IF('Data Pura Costos'!H742="","",'Data Pura Costos'!H742)</f>
        <v>Termo</v>
      </c>
      <c r="I742" s="71">
        <f>+IF('Data Pura Costos'!I742="","",'Data Pura Costos'!I742)</f>
        <v>4769.2307692307695</v>
      </c>
      <c r="J742" s="52" t="str">
        <f>+IF('Data Pura Costos'!J742="","",'Data Pura Costos'!J742)</f>
        <v>24-25</v>
      </c>
      <c r="K742" s="82" t="str">
        <f t="shared" si="16"/>
        <v>Santa Mónica-Molina-TH TRANSPORTES</v>
      </c>
      <c r="R742" s="6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</row>
    <row r="743" spans="2:39" s="7" customFormat="1" x14ac:dyDescent="0.35">
      <c r="B743" s="4" t="str">
        <f>+IF('Data Pura Costos'!B743="","",'Data Pura Costos'!B743)</f>
        <v>Talhuén</v>
      </c>
      <c r="C743" s="4" t="str">
        <f>+IF('Data Pura Costos'!C743="","",'Data Pura Costos'!C743)</f>
        <v>Palmilla, VI región</v>
      </c>
      <c r="D743" s="5">
        <f>+IF('Data Pura Costos'!D743="","",'Data Pura Costos'!D743)</f>
        <v>95</v>
      </c>
      <c r="E743" s="65">
        <f>+IF('Data Pura Costos'!E743="","",IF('Data Pura Costos'!E743=0,MAX('Data Pura Costos'!$E$7:$E$3000)*1000,'Data Pura Costos'!E743))</f>
        <v>600000</v>
      </c>
      <c r="F743" s="5" t="str">
        <f>+IF('Data Pura Costos'!F743="","",'Data Pura Costos'!F743)</f>
        <v>Molina</v>
      </c>
      <c r="G743" s="5" t="str">
        <f>+IF('Data Pura Costos'!G743="","",'Data Pura Costos'!G743)</f>
        <v>TH TRANSPORTES</v>
      </c>
      <c r="H743" s="52" t="str">
        <f>+IF('Data Pura Costos'!H743="","",'Data Pura Costos'!H743)</f>
        <v>Termo</v>
      </c>
      <c r="I743" s="71">
        <f>+IF('Data Pura Costos'!I743="","",'Data Pura Costos'!I743)</f>
        <v>6315.7894736842109</v>
      </c>
      <c r="J743" s="52" t="str">
        <f>+IF('Data Pura Costos'!J743="","",'Data Pura Costos'!J743)</f>
        <v>24-25</v>
      </c>
      <c r="K743" s="82" t="str">
        <f t="shared" si="16"/>
        <v>Talhuén-Molina-TH TRANSPORTES</v>
      </c>
      <c r="R743" s="6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</row>
    <row r="744" spans="2:39" s="7" customFormat="1" x14ac:dyDescent="0.35">
      <c r="B744" s="4" t="str">
        <f>+IF('Data Pura Costos'!B744="","",'Data Pura Costos'!B744)</f>
        <v>Almahue</v>
      </c>
      <c r="C744" s="4" t="str">
        <f>+IF('Data Pura Costos'!C744="","",'Data Pura Costos'!C744)</f>
        <v>Pichidegua, VI región</v>
      </c>
      <c r="D744" s="5">
        <f>+IF('Data Pura Costos'!D744="","",'Data Pura Costos'!D744)</f>
        <v>50</v>
      </c>
      <c r="E744" s="65">
        <f>+IF('Data Pura Costos'!E744="","",IF('Data Pura Costos'!E744=0,MAX('Data Pura Costos'!$E$7:$E$3000)*1000,'Data Pura Costos'!E744))</f>
        <v>550000</v>
      </c>
      <c r="F744" s="5" t="str">
        <f>+IF('Data Pura Costos'!F744="","",'Data Pura Costos'!F744)</f>
        <v>Malloa</v>
      </c>
      <c r="G744" s="5" t="str">
        <f>+IF('Data Pura Costos'!G744="","",'Data Pura Costos'!G744)</f>
        <v>TH TRANSPORTES</v>
      </c>
      <c r="H744" s="52" t="str">
        <f>+IF('Data Pura Costos'!H744="","",'Data Pura Costos'!H744)</f>
        <v>Termo</v>
      </c>
      <c r="I744" s="71">
        <f>+IF('Data Pura Costos'!I744="","",'Data Pura Costos'!I744)</f>
        <v>11000</v>
      </c>
      <c r="J744" s="52" t="str">
        <f>+IF('Data Pura Costos'!J744="","",'Data Pura Costos'!J744)</f>
        <v>24-25</v>
      </c>
      <c r="K744" s="82" t="str">
        <f t="shared" si="16"/>
        <v>Almahue-Malloa-TH TRANSPORTES</v>
      </c>
      <c r="R744" s="6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</row>
    <row r="745" spans="2:39" s="7" customFormat="1" x14ac:dyDescent="0.35">
      <c r="B745" s="4" t="str">
        <f>+IF('Data Pura Costos'!B745="","",'Data Pura Costos'!B745)</f>
        <v>Bodega</v>
      </c>
      <c r="C745" s="4" t="str">
        <f>+IF('Data Pura Costos'!C745="","",'Data Pura Costos'!C745)</f>
        <v>Linares, VII region.</v>
      </c>
      <c r="D745" s="5">
        <f>+IF('Data Pura Costos'!D745="","",'Data Pura Costos'!D745)</f>
        <v>211</v>
      </c>
      <c r="E745" s="65">
        <f>+IF('Data Pura Costos'!E745="","",IF('Data Pura Costos'!E745=0,MAX('Data Pura Costos'!$E$7:$E$3000)*1000,'Data Pura Costos'!E745))</f>
        <v>750000</v>
      </c>
      <c r="F745" s="5" t="str">
        <f>+IF('Data Pura Costos'!F745="","",'Data Pura Costos'!F745)</f>
        <v>Malloa</v>
      </c>
      <c r="G745" s="5" t="str">
        <f>+IF('Data Pura Costos'!G745="","",'Data Pura Costos'!G745)</f>
        <v>TH TRANSPORTES</v>
      </c>
      <c r="H745" s="52" t="str">
        <f>+IF('Data Pura Costos'!H745="","",'Data Pura Costos'!H745)</f>
        <v>Termo</v>
      </c>
      <c r="I745" s="71">
        <f>+IF('Data Pura Costos'!I745="","",'Data Pura Costos'!I745)</f>
        <v>3554.5023696682465</v>
      </c>
      <c r="J745" s="52" t="str">
        <f>+IF('Data Pura Costos'!J745="","",'Data Pura Costos'!J745)</f>
        <v>24-25</v>
      </c>
      <c r="K745" s="82" t="str">
        <f t="shared" si="16"/>
        <v>Bodega-Malloa-TH TRANSPORTES</v>
      </c>
      <c r="R745" s="6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</row>
    <row r="746" spans="2:39" s="7" customFormat="1" x14ac:dyDescent="0.35">
      <c r="B746" s="4" t="str">
        <f>+IF('Data Pura Costos'!B746="","",'Data Pura Costos'!B746)</f>
        <v xml:space="preserve">Caliboro </v>
      </c>
      <c r="C746" s="4" t="str">
        <f>+IF('Data Pura Costos'!C746="","",'Data Pura Costos'!C746)</f>
        <v>San Javier, VII región</v>
      </c>
      <c r="D746" s="5">
        <f>+IF('Data Pura Costos'!D746="","",'Data Pura Costos'!D746)</f>
        <v>206</v>
      </c>
      <c r="E746" s="65">
        <f>+IF('Data Pura Costos'!E746="","",IF('Data Pura Costos'!E746=0,MAX('Data Pura Costos'!$E$7:$E$3000)*1000,'Data Pura Costos'!E746))</f>
        <v>750000</v>
      </c>
      <c r="F746" s="5" t="str">
        <f>+IF('Data Pura Costos'!F746="","",'Data Pura Costos'!F746)</f>
        <v>Malloa</v>
      </c>
      <c r="G746" s="5" t="str">
        <f>+IF('Data Pura Costos'!G746="","",'Data Pura Costos'!G746)</f>
        <v>TH TRANSPORTES</v>
      </c>
      <c r="H746" s="52" t="str">
        <f>+IF('Data Pura Costos'!H746="","",'Data Pura Costos'!H746)</f>
        <v>Termo</v>
      </c>
      <c r="I746" s="71">
        <f>+IF('Data Pura Costos'!I746="","",'Data Pura Costos'!I746)</f>
        <v>3640.7766990291261</v>
      </c>
      <c r="J746" s="52" t="str">
        <f>+IF('Data Pura Costos'!J746="","",'Data Pura Costos'!J746)</f>
        <v>24-25</v>
      </c>
      <c r="K746" s="82" t="str">
        <f t="shared" si="16"/>
        <v>Caliboro -Malloa-TH TRANSPORTES</v>
      </c>
      <c r="R746" s="6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</row>
    <row r="747" spans="2:39" s="7" customFormat="1" x14ac:dyDescent="0.35">
      <c r="B747" s="4" t="str">
        <f>+IF('Data Pura Costos'!B747="","",'Data Pura Costos'!B747)</f>
        <v>Calleuque</v>
      </c>
      <c r="C747" s="4" t="str">
        <f>+IF('Data Pura Costos'!C747="","",'Data Pura Costos'!C747)</f>
        <v>Peralillo ohiggins, VI región</v>
      </c>
      <c r="D747" s="5">
        <f>+IF('Data Pura Costos'!D747="","",'Data Pura Costos'!D747)</f>
        <v>80</v>
      </c>
      <c r="E747" s="65">
        <f>+IF('Data Pura Costos'!E747="","",IF('Data Pura Costos'!E747=0,MAX('Data Pura Costos'!$E$7:$E$3000)*1000,'Data Pura Costos'!E747))</f>
        <v>580000</v>
      </c>
      <c r="F747" s="5" t="str">
        <f>+IF('Data Pura Costos'!F747="","",'Data Pura Costos'!F747)</f>
        <v>Malloa</v>
      </c>
      <c r="G747" s="5" t="str">
        <f>+IF('Data Pura Costos'!G747="","",'Data Pura Costos'!G747)</f>
        <v>TH TRANSPORTES</v>
      </c>
      <c r="H747" s="52" t="str">
        <f>+IF('Data Pura Costos'!H747="","",'Data Pura Costos'!H747)</f>
        <v>Termo</v>
      </c>
      <c r="I747" s="71">
        <f>+IF('Data Pura Costos'!I747="","",'Data Pura Costos'!I747)</f>
        <v>7250</v>
      </c>
      <c r="J747" s="52" t="str">
        <f>+IF('Data Pura Costos'!J747="","",'Data Pura Costos'!J747)</f>
        <v>24-25</v>
      </c>
      <c r="K747" s="82" t="str">
        <f t="shared" si="16"/>
        <v>Calleuque-Malloa-TH TRANSPORTES</v>
      </c>
      <c r="R747" s="6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</row>
    <row r="748" spans="2:39" s="7" customFormat="1" x14ac:dyDescent="0.35">
      <c r="B748" s="4" t="str">
        <f>+IF('Data Pura Costos'!B748="","",'Data Pura Costos'!B748)</f>
        <v>Chumpirro</v>
      </c>
      <c r="C748" s="4" t="str">
        <f>+IF('Data Pura Costos'!C748="","",'Data Pura Costos'!C748)</f>
        <v>Angol, IX región</v>
      </c>
      <c r="D748" s="5">
        <f>+IF('Data Pura Costos'!D748="","",'Data Pura Costos'!D748)</f>
        <v>450</v>
      </c>
      <c r="E748" s="65">
        <f>+IF('Data Pura Costos'!E748="","",IF('Data Pura Costos'!E748=0,MAX('Data Pura Costos'!$E$7:$E$3000)*1000,'Data Pura Costos'!E748))</f>
        <v>1250000</v>
      </c>
      <c r="F748" s="5" t="str">
        <f>+IF('Data Pura Costos'!F748="","",'Data Pura Costos'!F748)</f>
        <v>Malloa</v>
      </c>
      <c r="G748" s="5" t="str">
        <f>+IF('Data Pura Costos'!G748="","",'Data Pura Costos'!G748)</f>
        <v>TH TRANSPORTES</v>
      </c>
      <c r="H748" s="52" t="str">
        <f>+IF('Data Pura Costos'!H748="","",'Data Pura Costos'!H748)</f>
        <v>Termo</v>
      </c>
      <c r="I748" s="71">
        <f>+IF('Data Pura Costos'!I748="","",'Data Pura Costos'!I748)</f>
        <v>2777.7777777777778</v>
      </c>
      <c r="J748" s="52" t="str">
        <f>+IF('Data Pura Costos'!J748="","",'Data Pura Costos'!J748)</f>
        <v>24-25</v>
      </c>
      <c r="K748" s="82" t="str">
        <f t="shared" si="16"/>
        <v>Chumpirro-Malloa-TH TRANSPORTES</v>
      </c>
      <c r="R748" s="6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</row>
    <row r="749" spans="2:39" s="7" customFormat="1" x14ac:dyDescent="0.35">
      <c r="B749" s="4" t="str">
        <f>+IF('Data Pura Costos'!B749="","",'Data Pura Costos'!B749)</f>
        <v xml:space="preserve"> Cocalán</v>
      </c>
      <c r="C749" s="4" t="str">
        <f>+IF('Data Pura Costos'!C749="","",'Data Pura Costos'!C749)</f>
        <v>Cocalán, VI región</v>
      </c>
      <c r="D749" s="5">
        <f>+IF('Data Pura Costos'!D749="","",'Data Pura Costos'!D749)</f>
        <v>50</v>
      </c>
      <c r="E749" s="65">
        <f>+IF('Data Pura Costos'!E749="","",IF('Data Pura Costos'!E749=0,MAX('Data Pura Costos'!$E$7:$E$3000)*1000,'Data Pura Costos'!E749))</f>
        <v>550000</v>
      </c>
      <c r="F749" s="5" t="str">
        <f>+IF('Data Pura Costos'!F749="","",'Data Pura Costos'!F749)</f>
        <v>Malloa</v>
      </c>
      <c r="G749" s="5" t="str">
        <f>+IF('Data Pura Costos'!G749="","",'Data Pura Costos'!G749)</f>
        <v>TH TRANSPORTES</v>
      </c>
      <c r="H749" s="52" t="str">
        <f>+IF('Data Pura Costos'!H749="","",'Data Pura Costos'!H749)</f>
        <v>Termo</v>
      </c>
      <c r="I749" s="71">
        <f>+IF('Data Pura Costos'!I749="","",'Data Pura Costos'!I749)</f>
        <v>11000</v>
      </c>
      <c r="J749" s="52" t="str">
        <f>+IF('Data Pura Costos'!J749="","",'Data Pura Costos'!J749)</f>
        <v>24-25</v>
      </c>
      <c r="K749" s="82" t="str">
        <f t="shared" si="16"/>
        <v xml:space="preserve"> Cocalán-Malloa-TH TRANSPORTES</v>
      </c>
      <c r="R749" s="6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</row>
    <row r="750" spans="2:39" s="7" customFormat="1" x14ac:dyDescent="0.35">
      <c r="B750" s="4" t="str">
        <f>+IF('Data Pura Costos'!B750="","",'Data Pura Costos'!B750)</f>
        <v>El Cóndor</v>
      </c>
      <c r="C750" s="4" t="str">
        <f>+IF('Data Pura Costos'!C750="","",'Data Pura Costos'!C750)</f>
        <v>Chimbarongo, VI Region.</v>
      </c>
      <c r="D750" s="5">
        <f>+IF('Data Pura Costos'!D750="","",'Data Pura Costos'!D750)</f>
        <v>60</v>
      </c>
      <c r="E750" s="65">
        <f>+IF('Data Pura Costos'!E750="","",IF('Data Pura Costos'!E750=0,MAX('Data Pura Costos'!$E$7:$E$3000)*1000,'Data Pura Costos'!E750))</f>
        <v>550000</v>
      </c>
      <c r="F750" s="5" t="str">
        <f>+IF('Data Pura Costos'!F750="","",'Data Pura Costos'!F750)</f>
        <v>Malloa</v>
      </c>
      <c r="G750" s="5" t="str">
        <f>+IF('Data Pura Costos'!G750="","",'Data Pura Costos'!G750)</f>
        <v>TH TRANSPORTES</v>
      </c>
      <c r="H750" s="52" t="str">
        <f>+IF('Data Pura Costos'!H750="","",'Data Pura Costos'!H750)</f>
        <v>Termo</v>
      </c>
      <c r="I750" s="71">
        <f>+IF('Data Pura Costos'!I750="","",'Data Pura Costos'!I750)</f>
        <v>9166.6666666666661</v>
      </c>
      <c r="J750" s="52" t="str">
        <f>+IF('Data Pura Costos'!J750="","",'Data Pura Costos'!J750)</f>
        <v>24-25</v>
      </c>
      <c r="K750" s="82" t="str">
        <f t="shared" si="16"/>
        <v>El Cóndor-Malloa-TH TRANSPORTES</v>
      </c>
      <c r="R750" s="6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</row>
    <row r="751" spans="2:39" s="7" customFormat="1" x14ac:dyDescent="0.35">
      <c r="B751" s="4" t="str">
        <f>+IF('Data Pura Costos'!B751="","",'Data Pura Costos'!B751)</f>
        <v>El Descanso</v>
      </c>
      <c r="C751" s="4" t="str">
        <f>+IF('Data Pura Costos'!C751="","",'Data Pura Costos'!C751)</f>
        <v>Sagrada Familia, VII región</v>
      </c>
      <c r="D751" s="5">
        <f>+IF('Data Pura Costos'!D751="","",'Data Pura Costos'!D751)</f>
        <v>100</v>
      </c>
      <c r="E751" s="65">
        <f>+IF('Data Pura Costos'!E751="","",IF('Data Pura Costos'!E751=0,MAX('Data Pura Costos'!$E$7:$E$3000)*1000,'Data Pura Costos'!E751))</f>
        <v>600000</v>
      </c>
      <c r="F751" s="5" t="str">
        <f>+IF('Data Pura Costos'!F751="","",'Data Pura Costos'!F751)</f>
        <v>Malloa</v>
      </c>
      <c r="G751" s="5" t="str">
        <f>+IF('Data Pura Costos'!G751="","",'Data Pura Costos'!G751)</f>
        <v>TH TRANSPORTES</v>
      </c>
      <c r="H751" s="52" t="str">
        <f>+IF('Data Pura Costos'!H751="","",'Data Pura Costos'!H751)</f>
        <v>Termo</v>
      </c>
      <c r="I751" s="71">
        <f>+IF('Data Pura Costos'!I751="","",'Data Pura Costos'!I751)</f>
        <v>6000</v>
      </c>
      <c r="J751" s="52" t="str">
        <f>+IF('Data Pura Costos'!J751="","",'Data Pura Costos'!J751)</f>
        <v>24-25</v>
      </c>
      <c r="K751" s="82" t="str">
        <f t="shared" si="16"/>
        <v>El Descanso-Malloa-TH TRANSPORTES</v>
      </c>
      <c r="R751" s="6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</row>
    <row r="752" spans="2:39" s="7" customFormat="1" x14ac:dyDescent="0.35">
      <c r="B752" s="4" t="str">
        <f>+IF('Data Pura Costos'!B752="","",'Data Pura Costos'!B752)</f>
        <v>El Espino</v>
      </c>
      <c r="C752" s="4" t="str">
        <f>+IF('Data Pura Costos'!C752="","",'Data Pura Costos'!C752)</f>
        <v>Colbún, VII región</v>
      </c>
      <c r="D752" s="5">
        <f>+IF('Data Pura Costos'!D752="","",'Data Pura Costos'!D752)</f>
        <v>190</v>
      </c>
      <c r="E752" s="65">
        <f>+IF('Data Pura Costos'!E752="","",IF('Data Pura Costos'!E752=0,MAX('Data Pura Costos'!$E$7:$E$3000)*1000,'Data Pura Costos'!E752))</f>
        <v>750000</v>
      </c>
      <c r="F752" s="5" t="str">
        <f>+IF('Data Pura Costos'!F752="","",'Data Pura Costos'!F752)</f>
        <v>Malloa</v>
      </c>
      <c r="G752" s="5" t="str">
        <f>+IF('Data Pura Costos'!G752="","",'Data Pura Costos'!G752)</f>
        <v>TH TRANSPORTES</v>
      </c>
      <c r="H752" s="52" t="str">
        <f>+IF('Data Pura Costos'!H752="","",'Data Pura Costos'!H752)</f>
        <v>Termo</v>
      </c>
      <c r="I752" s="71">
        <f>+IF('Data Pura Costos'!I752="","",'Data Pura Costos'!I752)</f>
        <v>3947.3684210526317</v>
      </c>
      <c r="J752" s="52" t="str">
        <f>+IF('Data Pura Costos'!J752="","",'Data Pura Costos'!J752)</f>
        <v>24-25</v>
      </c>
      <c r="K752" s="82" t="str">
        <f t="shared" si="16"/>
        <v>El Espino-Malloa-TH TRANSPORTES</v>
      </c>
      <c r="R752" s="6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</row>
    <row r="753" spans="2:39" s="7" customFormat="1" x14ac:dyDescent="0.35">
      <c r="B753" s="4" t="str">
        <f>+IF('Data Pura Costos'!B753="","",'Data Pura Costos'!B753)</f>
        <v>El Huaico</v>
      </c>
      <c r="C753" s="4" t="str">
        <f>+IF('Data Pura Costos'!C753="","",'Data Pura Costos'!C753)</f>
        <v>Palmila Ohiggins</v>
      </c>
      <c r="D753" s="5">
        <f>+IF('Data Pura Costos'!D753="","",'Data Pura Costos'!D753)</f>
        <v>75</v>
      </c>
      <c r="E753" s="65">
        <f>+IF('Data Pura Costos'!E753="","",IF('Data Pura Costos'!E753=0,MAX('Data Pura Costos'!$E$7:$E$3000)*1000,'Data Pura Costos'!E753))</f>
        <v>580000</v>
      </c>
      <c r="F753" s="5" t="str">
        <f>+IF('Data Pura Costos'!F753="","",'Data Pura Costos'!F753)</f>
        <v>Malloa</v>
      </c>
      <c r="G753" s="5" t="str">
        <f>+IF('Data Pura Costos'!G753="","",'Data Pura Costos'!G753)</f>
        <v>TH TRANSPORTES</v>
      </c>
      <c r="H753" s="52" t="str">
        <f>+IF('Data Pura Costos'!H753="","",'Data Pura Costos'!H753)</f>
        <v>Termo</v>
      </c>
      <c r="I753" s="71">
        <f>+IF('Data Pura Costos'!I753="","",'Data Pura Costos'!I753)</f>
        <v>7733.333333333333</v>
      </c>
      <c r="J753" s="52" t="str">
        <f>+IF('Data Pura Costos'!J753="","",'Data Pura Costos'!J753)</f>
        <v>24-25</v>
      </c>
      <c r="K753" s="82" t="str">
        <f t="shared" si="16"/>
        <v>El Huaico-Malloa-TH TRANSPORTES</v>
      </c>
      <c r="R753" s="6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</row>
    <row r="754" spans="2:39" s="7" customFormat="1" x14ac:dyDescent="0.35">
      <c r="B754" s="4" t="str">
        <f>+IF('Data Pura Costos'!B754="","",'Data Pura Costos'!B754)</f>
        <v>El Parque</v>
      </c>
      <c r="C754" s="4" t="str">
        <f>+IF('Data Pura Costos'!C754="","",'Data Pura Costos'!C754)</f>
        <v>San Francisco de Mostazal.VI Region.</v>
      </c>
      <c r="D754" s="5">
        <f>+IF('Data Pura Costos'!D754="","",'Data Pura Costos'!D754)</f>
        <v>70</v>
      </c>
      <c r="E754" s="65">
        <f>+IF('Data Pura Costos'!E754="","",IF('Data Pura Costos'!E754=0,MAX('Data Pura Costos'!$E$7:$E$3000)*1000,'Data Pura Costos'!E754))</f>
        <v>560000</v>
      </c>
      <c r="F754" s="5" t="str">
        <f>+IF('Data Pura Costos'!F754="","",'Data Pura Costos'!F754)</f>
        <v>Malloa</v>
      </c>
      <c r="G754" s="5" t="str">
        <f>+IF('Data Pura Costos'!G754="","",'Data Pura Costos'!G754)</f>
        <v>TH TRANSPORTES</v>
      </c>
      <c r="H754" s="52" t="str">
        <f>+IF('Data Pura Costos'!H754="","",'Data Pura Costos'!H754)</f>
        <v>Termo</v>
      </c>
      <c r="I754" s="71">
        <f>+IF('Data Pura Costos'!I754="","",'Data Pura Costos'!I754)</f>
        <v>8000</v>
      </c>
      <c r="J754" s="52" t="str">
        <f>+IF('Data Pura Costos'!J754="","",'Data Pura Costos'!J754)</f>
        <v>24-25</v>
      </c>
      <c r="K754" s="82" t="str">
        <f t="shared" si="16"/>
        <v>El Parque-Malloa-TH TRANSPORTES</v>
      </c>
      <c r="R754" s="6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</row>
    <row r="755" spans="2:39" s="7" customFormat="1" x14ac:dyDescent="0.35">
      <c r="B755" s="4" t="str">
        <f>+IF('Data Pura Costos'!B755="","",'Data Pura Costos'!B755)</f>
        <v>El Picaso</v>
      </c>
      <c r="C755" s="4" t="str">
        <f>+IF('Data Pura Costos'!C755="","",'Data Pura Costos'!C755)</f>
        <v xml:space="preserve">San Clemente, VII región </v>
      </c>
      <c r="D755" s="5">
        <f>+IF('Data Pura Costos'!D755="","",'Data Pura Costos'!D755)</f>
        <v>160</v>
      </c>
      <c r="E755" s="65">
        <f>+IF('Data Pura Costos'!E755="","",IF('Data Pura Costos'!E755=0,MAX('Data Pura Costos'!$E$7:$E$3000)*1000,'Data Pura Costos'!E755))</f>
        <v>650000</v>
      </c>
      <c r="F755" s="5" t="str">
        <f>+IF('Data Pura Costos'!F755="","",'Data Pura Costos'!F755)</f>
        <v>Malloa</v>
      </c>
      <c r="G755" s="5" t="str">
        <f>+IF('Data Pura Costos'!G755="","",'Data Pura Costos'!G755)</f>
        <v>TH TRANSPORTES</v>
      </c>
      <c r="H755" s="52" t="str">
        <f>+IF('Data Pura Costos'!H755="","",'Data Pura Costos'!H755)</f>
        <v>Termo</v>
      </c>
      <c r="I755" s="71">
        <f>+IF('Data Pura Costos'!I755="","",'Data Pura Costos'!I755)</f>
        <v>4062.5</v>
      </c>
      <c r="J755" s="52" t="str">
        <f>+IF('Data Pura Costos'!J755="","",'Data Pura Costos'!J755)</f>
        <v>24-25</v>
      </c>
      <c r="K755" s="82" t="str">
        <f t="shared" si="16"/>
        <v>El Picaso-Malloa-TH TRANSPORTES</v>
      </c>
      <c r="R755" s="6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</row>
    <row r="756" spans="2:39" s="7" customFormat="1" x14ac:dyDescent="0.35">
      <c r="B756" s="4" t="str">
        <f>+IF('Data Pura Costos'!B756="","",'Data Pura Costos'!B756)</f>
        <v>El Recurso</v>
      </c>
      <c r="C756" s="4" t="str">
        <f>+IF('Data Pura Costos'!C756="","",'Data Pura Costos'!C756)</f>
        <v>San Francisco de Mostazal.VI Region.</v>
      </c>
      <c r="D756" s="5">
        <f>+IF('Data Pura Costos'!D756="","",'Data Pura Costos'!D756)</f>
        <v>70</v>
      </c>
      <c r="E756" s="65">
        <f>+IF('Data Pura Costos'!E756="","",IF('Data Pura Costos'!E756=0,MAX('Data Pura Costos'!$E$7:$E$3000)*1000,'Data Pura Costos'!E756))</f>
        <v>560000</v>
      </c>
      <c r="F756" s="5" t="str">
        <f>+IF('Data Pura Costos'!F756="","",'Data Pura Costos'!F756)</f>
        <v>Malloa</v>
      </c>
      <c r="G756" s="5" t="str">
        <f>+IF('Data Pura Costos'!G756="","",'Data Pura Costos'!G756)</f>
        <v>TH TRANSPORTES</v>
      </c>
      <c r="H756" s="52" t="str">
        <f>+IF('Data Pura Costos'!H756="","",'Data Pura Costos'!H756)</f>
        <v>Termo</v>
      </c>
      <c r="I756" s="71">
        <f>+IF('Data Pura Costos'!I756="","",'Data Pura Costos'!I756)</f>
        <v>8000</v>
      </c>
      <c r="J756" s="52" t="str">
        <f>+IF('Data Pura Costos'!J756="","",'Data Pura Costos'!J756)</f>
        <v>24-25</v>
      </c>
      <c r="K756" s="82" t="str">
        <f t="shared" si="16"/>
        <v>El Recurso-Malloa-TH TRANSPORTES</v>
      </c>
      <c r="R756" s="6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</row>
    <row r="757" spans="2:39" s="7" customFormat="1" x14ac:dyDescent="0.35">
      <c r="B757" s="4" t="str">
        <f>+IF('Data Pura Costos'!B757="","",'Data Pura Costos'!B757)</f>
        <v>El Rosario</v>
      </c>
      <c r="C757" s="4" t="str">
        <f>+IF('Data Pura Costos'!C757="","",'Data Pura Costos'!C757)</f>
        <v>Linares, VII region.</v>
      </c>
      <c r="D757" s="5">
        <f>+IF('Data Pura Costos'!D757="","",'Data Pura Costos'!D757)</f>
        <v>210</v>
      </c>
      <c r="E757" s="65">
        <f>+IF('Data Pura Costos'!E757="","",IF('Data Pura Costos'!E757=0,MAX('Data Pura Costos'!$E$7:$E$3000)*1000,'Data Pura Costos'!E757))</f>
        <v>750000</v>
      </c>
      <c r="F757" s="5" t="str">
        <f>+IF('Data Pura Costos'!F757="","",'Data Pura Costos'!F757)</f>
        <v>Malloa</v>
      </c>
      <c r="G757" s="5" t="str">
        <f>+IF('Data Pura Costos'!G757="","",'Data Pura Costos'!G757)</f>
        <v>TH TRANSPORTES</v>
      </c>
      <c r="H757" s="52" t="str">
        <f>+IF('Data Pura Costos'!H757="","",'Data Pura Costos'!H757)</f>
        <v>Termo</v>
      </c>
      <c r="I757" s="71">
        <f>+IF('Data Pura Costos'!I757="","",'Data Pura Costos'!I757)</f>
        <v>3571.4285714285716</v>
      </c>
      <c r="J757" s="52" t="str">
        <f>+IF('Data Pura Costos'!J757="","",'Data Pura Costos'!J757)</f>
        <v>24-25</v>
      </c>
      <c r="K757" s="82" t="str">
        <f t="shared" si="16"/>
        <v>El Rosario-Malloa-TH TRANSPORTES</v>
      </c>
      <c r="R757" s="6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</row>
    <row r="758" spans="2:39" s="7" customFormat="1" x14ac:dyDescent="0.35">
      <c r="B758" s="4" t="str">
        <f>+IF('Data Pura Costos'!B758="","",'Data Pura Costos'!B758)</f>
        <v>El Retiro</v>
      </c>
      <c r="C758" s="4" t="str">
        <f>+IF('Data Pura Costos'!C758="","",'Data Pura Costos'!C758)</f>
        <v>Rosario, VI Region.</v>
      </c>
      <c r="D758" s="5">
        <f>+IF('Data Pura Costos'!D758="","",'Data Pura Costos'!D758)</f>
        <v>25</v>
      </c>
      <c r="E758" s="65">
        <f>+IF('Data Pura Costos'!E758="","",IF('Data Pura Costos'!E758=0,MAX('Data Pura Costos'!$E$7:$E$3000)*1000,'Data Pura Costos'!E758))</f>
        <v>350000</v>
      </c>
      <c r="F758" s="5" t="str">
        <f>+IF('Data Pura Costos'!F758="","",'Data Pura Costos'!F758)</f>
        <v>Malloa</v>
      </c>
      <c r="G758" s="5" t="str">
        <f>+IF('Data Pura Costos'!G758="","",'Data Pura Costos'!G758)</f>
        <v>TH TRANSPORTES</v>
      </c>
      <c r="H758" s="52" t="str">
        <f>+IF('Data Pura Costos'!H758="","",'Data Pura Costos'!H758)</f>
        <v>Termo</v>
      </c>
      <c r="I758" s="71">
        <f>+IF('Data Pura Costos'!I758="","",'Data Pura Costos'!I758)</f>
        <v>14000</v>
      </c>
      <c r="J758" s="52" t="str">
        <f>+IF('Data Pura Costos'!J758="","",'Data Pura Costos'!J758)</f>
        <v>24-25</v>
      </c>
      <c r="K758" s="82" t="str">
        <f t="shared" si="16"/>
        <v>El Retiro-Malloa-TH TRANSPORTES</v>
      </c>
      <c r="R758" s="6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</row>
    <row r="759" spans="2:39" s="7" customFormat="1" x14ac:dyDescent="0.35">
      <c r="B759" s="4" t="str">
        <f>+IF('Data Pura Costos'!B759="","",'Data Pura Costos'!B759)</f>
        <v>La Esperanza</v>
      </c>
      <c r="C759" s="4" t="str">
        <f>+IF('Data Pura Costos'!C759="","",'Data Pura Costos'!C759)</f>
        <v>Peumo, VI región</v>
      </c>
      <c r="D759" s="5">
        <f>+IF('Data Pura Costos'!D759="","",'Data Pura Costos'!D759)</f>
        <v>35</v>
      </c>
      <c r="E759" s="65">
        <f>+IF('Data Pura Costos'!E759="","",IF('Data Pura Costos'!E759=0,MAX('Data Pura Costos'!$E$7:$E$3000)*1000,'Data Pura Costos'!E759))</f>
        <v>400000</v>
      </c>
      <c r="F759" s="5" t="str">
        <f>+IF('Data Pura Costos'!F759="","",'Data Pura Costos'!F759)</f>
        <v>Malloa</v>
      </c>
      <c r="G759" s="5" t="str">
        <f>+IF('Data Pura Costos'!G759="","",'Data Pura Costos'!G759)</f>
        <v>TH TRANSPORTES</v>
      </c>
      <c r="H759" s="52" t="str">
        <f>+IF('Data Pura Costos'!H759="","",'Data Pura Costos'!H759)</f>
        <v>Termo</v>
      </c>
      <c r="I759" s="71">
        <f>+IF('Data Pura Costos'!I759="","",'Data Pura Costos'!I759)</f>
        <v>11428.571428571429</v>
      </c>
      <c r="J759" s="52" t="str">
        <f>+IF('Data Pura Costos'!J759="","",'Data Pura Costos'!J759)</f>
        <v>24-25</v>
      </c>
      <c r="K759" s="82" t="str">
        <f t="shared" si="16"/>
        <v>La Esperanza-Malloa-TH TRANSPORTES</v>
      </c>
      <c r="R759" s="6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</row>
    <row r="760" spans="2:39" s="7" customFormat="1" x14ac:dyDescent="0.35">
      <c r="B760" s="4" t="str">
        <f>+IF('Data Pura Costos'!B760="","",'Data Pura Costos'!B760)</f>
        <v>La Estación</v>
      </c>
      <c r="C760" s="4" t="str">
        <f>+IF('Data Pura Costos'!C760="","",'Data Pura Costos'!C760)</f>
        <v>Palmilla, VI región</v>
      </c>
      <c r="D760" s="5">
        <f>+IF('Data Pura Costos'!D760="","",'Data Pura Costos'!D760)</f>
        <v>75</v>
      </c>
      <c r="E760" s="65">
        <f>+IF('Data Pura Costos'!E760="","",IF('Data Pura Costos'!E760=0,MAX('Data Pura Costos'!$E$7:$E$3000)*1000,'Data Pura Costos'!E760))</f>
        <v>580000</v>
      </c>
      <c r="F760" s="5" t="str">
        <f>+IF('Data Pura Costos'!F760="","",'Data Pura Costos'!F760)</f>
        <v>Malloa</v>
      </c>
      <c r="G760" s="5" t="str">
        <f>+IF('Data Pura Costos'!G760="","",'Data Pura Costos'!G760)</f>
        <v>TH TRANSPORTES</v>
      </c>
      <c r="H760" s="52" t="str">
        <f>+IF('Data Pura Costos'!H760="","",'Data Pura Costos'!H760)</f>
        <v>Termo</v>
      </c>
      <c r="I760" s="71">
        <f>+IF('Data Pura Costos'!I760="","",'Data Pura Costos'!I760)</f>
        <v>7733.333333333333</v>
      </c>
      <c r="J760" s="52" t="str">
        <f>+IF('Data Pura Costos'!J760="","",'Data Pura Costos'!J760)</f>
        <v>24-25</v>
      </c>
      <c r="K760" s="82" t="str">
        <f t="shared" si="16"/>
        <v>La Estación-Malloa-TH TRANSPORTES</v>
      </c>
      <c r="R760" s="6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</row>
    <row r="761" spans="2:39" s="7" customFormat="1" x14ac:dyDescent="0.35">
      <c r="B761" s="4" t="str">
        <f>+IF('Data Pura Costos'!B761="","",'Data Pura Costos'!B761)</f>
        <v>La Lajuela</v>
      </c>
      <c r="C761" s="4" t="str">
        <f>+IF('Data Pura Costos'!C761="","",'Data Pura Costos'!C761)</f>
        <v>Santa Cruz, VI Región</v>
      </c>
      <c r="D761" s="5">
        <f>+IF('Data Pura Costos'!D761="","",'Data Pura Costos'!D761)</f>
        <v>75</v>
      </c>
      <c r="E761" s="65">
        <f>+IF('Data Pura Costos'!E761="","",IF('Data Pura Costos'!E761=0,MAX('Data Pura Costos'!$E$7:$E$3000)*1000,'Data Pura Costos'!E761))</f>
        <v>580000</v>
      </c>
      <c r="F761" s="5" t="str">
        <f>+IF('Data Pura Costos'!F761="","",'Data Pura Costos'!F761)</f>
        <v>Malloa</v>
      </c>
      <c r="G761" s="5" t="str">
        <f>+IF('Data Pura Costos'!G761="","",'Data Pura Costos'!G761)</f>
        <v>TH TRANSPORTES</v>
      </c>
      <c r="H761" s="52" t="str">
        <f>+IF('Data Pura Costos'!H761="","",'Data Pura Costos'!H761)</f>
        <v>Termo</v>
      </c>
      <c r="I761" s="71">
        <f>+IF('Data Pura Costos'!I761="","",'Data Pura Costos'!I761)</f>
        <v>7733.333333333333</v>
      </c>
      <c r="J761" s="52" t="str">
        <f>+IF('Data Pura Costos'!J761="","",'Data Pura Costos'!J761)</f>
        <v>24-25</v>
      </c>
      <c r="K761" s="82" t="str">
        <f t="shared" si="16"/>
        <v>La Lajuela-Malloa-TH TRANSPORTES</v>
      </c>
      <c r="R761" s="6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</row>
    <row r="762" spans="2:39" s="7" customFormat="1" x14ac:dyDescent="0.35">
      <c r="B762" s="4" t="str">
        <f>+IF('Data Pura Costos'!B762="","",'Data Pura Costos'!B762)</f>
        <v>La Morera</v>
      </c>
      <c r="C762" s="4" t="str">
        <f>+IF('Data Pura Costos'!C762="","",'Data Pura Costos'!C762)</f>
        <v>La compañia, VI Region.</v>
      </c>
      <c r="D762" s="5">
        <f>+IF('Data Pura Costos'!D762="","",'Data Pura Costos'!D762)</f>
        <v>55</v>
      </c>
      <c r="E762" s="65">
        <f>+IF('Data Pura Costos'!E762="","",IF('Data Pura Costos'!E762=0,MAX('Data Pura Costos'!$E$7:$E$3000)*1000,'Data Pura Costos'!E762))</f>
        <v>550000</v>
      </c>
      <c r="F762" s="5" t="str">
        <f>+IF('Data Pura Costos'!F762="","",'Data Pura Costos'!F762)</f>
        <v>Malloa</v>
      </c>
      <c r="G762" s="5" t="str">
        <f>+IF('Data Pura Costos'!G762="","",'Data Pura Costos'!G762)</f>
        <v>TH TRANSPORTES</v>
      </c>
      <c r="H762" s="52" t="str">
        <f>+IF('Data Pura Costos'!H762="","",'Data Pura Costos'!H762)</f>
        <v>Termo</v>
      </c>
      <c r="I762" s="71">
        <f>+IF('Data Pura Costos'!I762="","",'Data Pura Costos'!I762)</f>
        <v>10000</v>
      </c>
      <c r="J762" s="52" t="str">
        <f>+IF('Data Pura Costos'!J762="","",'Data Pura Costos'!J762)</f>
        <v>24-25</v>
      </c>
      <c r="K762" s="82" t="str">
        <f t="shared" si="16"/>
        <v>La Morera-Malloa-TH TRANSPORTES</v>
      </c>
      <c r="R762" s="6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</row>
    <row r="763" spans="2:39" s="7" customFormat="1" x14ac:dyDescent="0.35">
      <c r="B763" s="4" t="str">
        <f>+IF('Data Pura Costos'!B763="","",'Data Pura Costos'!B763)</f>
        <v>La Rinconada</v>
      </c>
      <c r="C763" s="4" t="str">
        <f>+IF('Data Pura Costos'!C763="","",'Data Pura Costos'!C763)</f>
        <v>Pichidegua, VI región</v>
      </c>
      <c r="D763" s="5">
        <f>+IF('Data Pura Costos'!D763="","",'Data Pura Costos'!D763)</f>
        <v>45</v>
      </c>
      <c r="E763" s="65">
        <f>+IF('Data Pura Costos'!E763="","",IF('Data Pura Costos'!E763=0,MAX('Data Pura Costos'!$E$7:$E$3000)*1000,'Data Pura Costos'!E763))</f>
        <v>550000</v>
      </c>
      <c r="F763" s="5" t="str">
        <f>+IF('Data Pura Costos'!F763="","",'Data Pura Costos'!F763)</f>
        <v>Malloa</v>
      </c>
      <c r="G763" s="5" t="str">
        <f>+IF('Data Pura Costos'!G763="","",'Data Pura Costos'!G763)</f>
        <v>TH TRANSPORTES</v>
      </c>
      <c r="H763" s="52" t="str">
        <f>+IF('Data Pura Costos'!H763="","",'Data Pura Costos'!H763)</f>
        <v>Termo</v>
      </c>
      <c r="I763" s="71">
        <f>+IF('Data Pura Costos'!I763="","",'Data Pura Costos'!I763)</f>
        <v>12222.222222222223</v>
      </c>
      <c r="J763" s="52" t="str">
        <f>+IF('Data Pura Costos'!J763="","",'Data Pura Costos'!J763)</f>
        <v>24-25</v>
      </c>
      <c r="K763" s="82" t="str">
        <f t="shared" si="16"/>
        <v>La Rinconada-Malloa-TH TRANSPORTES</v>
      </c>
      <c r="R763" s="6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</row>
    <row r="764" spans="2:39" s="7" customFormat="1" x14ac:dyDescent="0.35">
      <c r="B764" s="4" t="str">
        <f>+IF('Data Pura Costos'!B764="","",'Data Pura Costos'!B764)</f>
        <v xml:space="preserve">La Roblería </v>
      </c>
      <c r="C764" s="4" t="str">
        <f>+IF('Data Pura Costos'!C764="","",'Data Pura Costos'!C764)</f>
        <v>Aculeo, RM</v>
      </c>
      <c r="D764" s="5">
        <f>+IF('Data Pura Costos'!D764="","",'Data Pura Costos'!D764)</f>
        <v>105</v>
      </c>
      <c r="E764" s="65">
        <f>+IF('Data Pura Costos'!E764="","",IF('Data Pura Costos'!E764=0,MAX('Data Pura Costos'!$E$7:$E$3000)*1000,'Data Pura Costos'!E764))</f>
        <v>600000</v>
      </c>
      <c r="F764" s="5" t="str">
        <f>+IF('Data Pura Costos'!F764="","",'Data Pura Costos'!F764)</f>
        <v>Malloa</v>
      </c>
      <c r="G764" s="5" t="str">
        <f>+IF('Data Pura Costos'!G764="","",'Data Pura Costos'!G764)</f>
        <v>TH TRANSPORTES</v>
      </c>
      <c r="H764" s="52" t="str">
        <f>+IF('Data Pura Costos'!H764="","",'Data Pura Costos'!H764)</f>
        <v>Termo</v>
      </c>
      <c r="I764" s="71">
        <f>+IF('Data Pura Costos'!I764="","",'Data Pura Costos'!I764)</f>
        <v>5714.2857142857147</v>
      </c>
      <c r="J764" s="52" t="str">
        <f>+IF('Data Pura Costos'!J764="","",'Data Pura Costos'!J764)</f>
        <v>24-25</v>
      </c>
      <c r="K764" s="82" t="str">
        <f t="shared" si="16"/>
        <v>La Roblería -Malloa-TH TRANSPORTES</v>
      </c>
      <c r="R764" s="6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</row>
    <row r="765" spans="2:39" s="7" customFormat="1" x14ac:dyDescent="0.35">
      <c r="B765" s="4" t="str">
        <f>+IF('Data Pura Costos'!B765="","",'Data Pura Costos'!B765)</f>
        <v>Las Cabras</v>
      </c>
      <c r="C765" s="4" t="str">
        <f>+IF('Data Pura Costos'!C765="","",'Data Pura Costos'!C765)</f>
        <v>Las Cabras, VI región</v>
      </c>
      <c r="D765" s="5">
        <f>+IF('Data Pura Costos'!D765="","",'Data Pura Costos'!D765)</f>
        <v>45</v>
      </c>
      <c r="E765" s="65">
        <f>+IF('Data Pura Costos'!E765="","",IF('Data Pura Costos'!E765=0,MAX('Data Pura Costos'!$E$7:$E$3000)*1000,'Data Pura Costos'!E765))</f>
        <v>550000</v>
      </c>
      <c r="F765" s="5" t="str">
        <f>+IF('Data Pura Costos'!F765="","",'Data Pura Costos'!F765)</f>
        <v>Malloa</v>
      </c>
      <c r="G765" s="5" t="str">
        <f>+IF('Data Pura Costos'!G765="","",'Data Pura Costos'!G765)</f>
        <v>TH TRANSPORTES</v>
      </c>
      <c r="H765" s="52" t="str">
        <f>+IF('Data Pura Costos'!H765="","",'Data Pura Costos'!H765)</f>
        <v>Termo</v>
      </c>
      <c r="I765" s="71">
        <f>+IF('Data Pura Costos'!I765="","",'Data Pura Costos'!I765)</f>
        <v>12222.222222222223</v>
      </c>
      <c r="J765" s="52" t="str">
        <f>+IF('Data Pura Costos'!J765="","",'Data Pura Costos'!J765)</f>
        <v>24-25</v>
      </c>
      <c r="K765" s="82" t="str">
        <f t="shared" si="16"/>
        <v>Las Cabras-Malloa-TH TRANSPORTES</v>
      </c>
      <c r="R765" s="6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</row>
    <row r="766" spans="2:39" s="7" customFormat="1" x14ac:dyDescent="0.35">
      <c r="B766" s="4" t="str">
        <f>+IF('Data Pura Costos'!B766="","",'Data Pura Costos'!B766)</f>
        <v>Las Vertientes</v>
      </c>
      <c r="C766" s="4" t="str">
        <f>+IF('Data Pura Costos'!C766="","",'Data Pura Costos'!C766)</f>
        <v>Pichidegua, VI región</v>
      </c>
      <c r="D766" s="5">
        <f>+IF('Data Pura Costos'!D766="","",'Data Pura Costos'!D766)</f>
        <v>40</v>
      </c>
      <c r="E766" s="65">
        <f>+IF('Data Pura Costos'!E766="","",IF('Data Pura Costos'!E766=0,MAX('Data Pura Costos'!$E$7:$E$3000)*1000,'Data Pura Costos'!E766))</f>
        <v>540000</v>
      </c>
      <c r="F766" s="5" t="str">
        <f>+IF('Data Pura Costos'!F766="","",'Data Pura Costos'!F766)</f>
        <v>Malloa</v>
      </c>
      <c r="G766" s="5" t="str">
        <f>+IF('Data Pura Costos'!G766="","",'Data Pura Costos'!G766)</f>
        <v>TH TRANSPORTES</v>
      </c>
      <c r="H766" s="52" t="str">
        <f>+IF('Data Pura Costos'!H766="","",'Data Pura Costos'!H766)</f>
        <v>Termo</v>
      </c>
      <c r="I766" s="71">
        <f>+IF('Data Pura Costos'!I766="","",'Data Pura Costos'!I766)</f>
        <v>13500</v>
      </c>
      <c r="J766" s="52" t="str">
        <f>+IF('Data Pura Costos'!J766="","",'Data Pura Costos'!J766)</f>
        <v>24-25</v>
      </c>
      <c r="K766" s="82" t="str">
        <f t="shared" si="16"/>
        <v>Las Vertientes-Malloa-TH TRANSPORTES</v>
      </c>
      <c r="R766" s="6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</row>
    <row r="767" spans="2:39" s="7" customFormat="1" x14ac:dyDescent="0.35">
      <c r="B767" s="4" t="str">
        <f>+IF('Data Pura Costos'!B767="","",'Data Pura Costos'!B767)</f>
        <v>Lihueimo</v>
      </c>
      <c r="C767" s="4" t="str">
        <f>+IF('Data Pura Costos'!C767="","",'Data Pura Costos'!C767)</f>
        <v>Peralillo ohiggins</v>
      </c>
      <c r="D767" s="5">
        <f>+IF('Data Pura Costos'!D767="","",'Data Pura Costos'!D767)</f>
        <v>80</v>
      </c>
      <c r="E767" s="65">
        <f>+IF('Data Pura Costos'!E767="","",IF('Data Pura Costos'!E767=0,MAX('Data Pura Costos'!$E$7:$E$3000)*1000,'Data Pura Costos'!E767))</f>
        <v>580000</v>
      </c>
      <c r="F767" s="5" t="str">
        <f>+IF('Data Pura Costos'!F767="","",'Data Pura Costos'!F767)</f>
        <v>Malloa</v>
      </c>
      <c r="G767" s="5" t="str">
        <f>+IF('Data Pura Costos'!G767="","",'Data Pura Costos'!G767)</f>
        <v>TH TRANSPORTES</v>
      </c>
      <c r="H767" s="52" t="str">
        <f>+IF('Data Pura Costos'!H767="","",'Data Pura Costos'!H767)</f>
        <v>Termo</v>
      </c>
      <c r="I767" s="71">
        <f>+IF('Data Pura Costos'!I767="","",'Data Pura Costos'!I767)</f>
        <v>7250</v>
      </c>
      <c r="J767" s="52" t="str">
        <f>+IF('Data Pura Costos'!J767="","",'Data Pura Costos'!J767)</f>
        <v>24-25</v>
      </c>
      <c r="K767" s="82" t="str">
        <f t="shared" si="16"/>
        <v>Lihueimo-Malloa-TH TRANSPORTES</v>
      </c>
      <c r="R767" s="6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</row>
    <row r="768" spans="2:39" s="7" customFormat="1" x14ac:dyDescent="0.35">
      <c r="B768" s="4" t="str">
        <f>+IF('Data Pura Costos'!B768="","",'Data Pura Costos'!B768)</f>
        <v>Los Encinos</v>
      </c>
      <c r="C768" s="4" t="str">
        <f>+IF('Data Pura Costos'!C768="","",'Data Pura Costos'!C768)</f>
        <v>Huechun, RM</v>
      </c>
      <c r="D768" s="5">
        <f>+IF('Data Pura Costos'!D768="","",'Data Pura Costos'!D768)</f>
        <v>145</v>
      </c>
      <c r="E768" s="65">
        <f>+IF('Data Pura Costos'!E768="","",IF('Data Pura Costos'!E768=0,MAX('Data Pura Costos'!$E$7:$E$3000)*1000,'Data Pura Costos'!E768))</f>
        <v>650000</v>
      </c>
      <c r="F768" s="5" t="str">
        <f>+IF('Data Pura Costos'!F768="","",'Data Pura Costos'!F768)</f>
        <v>Malloa</v>
      </c>
      <c r="G768" s="5" t="str">
        <f>+IF('Data Pura Costos'!G768="","",'Data Pura Costos'!G768)</f>
        <v>TH TRANSPORTES</v>
      </c>
      <c r="H768" s="52" t="str">
        <f>+IF('Data Pura Costos'!H768="","",'Data Pura Costos'!H768)</f>
        <v>Termo</v>
      </c>
      <c r="I768" s="71">
        <f>+IF('Data Pura Costos'!I768="","",'Data Pura Costos'!I768)</f>
        <v>4482.7586206896549</v>
      </c>
      <c r="J768" s="52" t="str">
        <f>+IF('Data Pura Costos'!J768="","",'Data Pura Costos'!J768)</f>
        <v>24-25</v>
      </c>
      <c r="K768" s="82" t="str">
        <f t="shared" si="16"/>
        <v>Los Encinos-Malloa-TH TRANSPORTES</v>
      </c>
      <c r="R768" s="6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</row>
    <row r="769" spans="2:39" s="7" customFormat="1" x14ac:dyDescent="0.35">
      <c r="B769" s="4" t="str">
        <f>+IF('Data Pura Costos'!B769="","",'Data Pura Costos'!B769)</f>
        <v>Los Maitenes</v>
      </c>
      <c r="C769" s="4" t="str">
        <f>+IF('Data Pura Costos'!C769="","",'Data Pura Costos'!C769)</f>
        <v>Las Cabras, VI región</v>
      </c>
      <c r="D769" s="5">
        <f>+IF('Data Pura Costos'!D769="","",'Data Pura Costos'!D769)</f>
        <v>60</v>
      </c>
      <c r="E769" s="65">
        <f>+IF('Data Pura Costos'!E769="","",IF('Data Pura Costos'!E769=0,MAX('Data Pura Costos'!$E$7:$E$3000)*1000,'Data Pura Costos'!E769))</f>
        <v>550000</v>
      </c>
      <c r="F769" s="5" t="str">
        <f>+IF('Data Pura Costos'!F769="","",'Data Pura Costos'!F769)</f>
        <v>Malloa</v>
      </c>
      <c r="G769" s="5" t="str">
        <f>+IF('Data Pura Costos'!G769="","",'Data Pura Costos'!G769)</f>
        <v>TH TRANSPORTES</v>
      </c>
      <c r="H769" s="52" t="str">
        <f>+IF('Data Pura Costos'!H769="","",'Data Pura Costos'!H769)</f>
        <v>Termo</v>
      </c>
      <c r="I769" s="71">
        <f>+IF('Data Pura Costos'!I769="","",'Data Pura Costos'!I769)</f>
        <v>9166.6666666666661</v>
      </c>
      <c r="J769" s="52" t="str">
        <f>+IF('Data Pura Costos'!J769="","",'Data Pura Costos'!J769)</f>
        <v>24-25</v>
      </c>
      <c r="K769" s="82" t="str">
        <f t="shared" si="16"/>
        <v>Los Maitenes-Malloa-TH TRANSPORTES</v>
      </c>
      <c r="R769" s="6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</row>
    <row r="770" spans="2:39" s="7" customFormat="1" x14ac:dyDescent="0.35">
      <c r="B770" s="4" t="str">
        <f>+IF('Data Pura Costos'!B770="","",'Data Pura Costos'!B770)</f>
        <v>Los Toldos</v>
      </c>
      <c r="C770" s="4" t="str">
        <f>+IF('Data Pura Costos'!C770="","",'Data Pura Costos'!C770)</f>
        <v>Angol, IX región</v>
      </c>
      <c r="D770" s="5">
        <f>+IF('Data Pura Costos'!D770="","",'Data Pura Costos'!D770)</f>
        <v>50</v>
      </c>
      <c r="E770" s="65">
        <f>+IF('Data Pura Costos'!E770="","",IF('Data Pura Costos'!E770=0,MAX('Data Pura Costos'!$E$7:$E$3000)*1000,'Data Pura Costos'!E770))</f>
        <v>1350000</v>
      </c>
      <c r="F770" s="5" t="str">
        <f>+IF('Data Pura Costos'!F770="","",'Data Pura Costos'!F770)</f>
        <v>Malloa</v>
      </c>
      <c r="G770" s="5" t="str">
        <f>+IF('Data Pura Costos'!G770="","",'Data Pura Costos'!G770)</f>
        <v>TH TRANSPORTES</v>
      </c>
      <c r="H770" s="52" t="str">
        <f>+IF('Data Pura Costos'!H770="","",'Data Pura Costos'!H770)</f>
        <v>Termo</v>
      </c>
      <c r="I770" s="71">
        <f>+IF('Data Pura Costos'!I770="","",'Data Pura Costos'!I770)</f>
        <v>27000</v>
      </c>
      <c r="J770" s="52" t="str">
        <f>+IF('Data Pura Costos'!J770="","",'Data Pura Costos'!J770)</f>
        <v>24-25</v>
      </c>
      <c r="K770" s="82" t="str">
        <f t="shared" si="16"/>
        <v>Los Toldos-Malloa-TH TRANSPORTES</v>
      </c>
      <c r="R770" s="6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</row>
    <row r="771" spans="2:39" s="7" customFormat="1" x14ac:dyDescent="0.35">
      <c r="B771" s="4" t="str">
        <f>+IF('Data Pura Costos'!B771="","",'Data Pura Costos'!B771)</f>
        <v>Mallorca</v>
      </c>
      <c r="C771" s="4" t="str">
        <f>+IF('Data Pura Costos'!C771="","",'Data Pura Costos'!C771)</f>
        <v xml:space="preserve">Molina, VII región </v>
      </c>
      <c r="D771" s="5">
        <f>+IF('Data Pura Costos'!D771="","",'Data Pura Costos'!D771)</f>
        <v>95</v>
      </c>
      <c r="E771" s="65">
        <f>+IF('Data Pura Costos'!E771="","",IF('Data Pura Costos'!E771=0,MAX('Data Pura Costos'!$E$7:$E$3000)*1000,'Data Pura Costos'!E771))</f>
        <v>600000</v>
      </c>
      <c r="F771" s="5" t="str">
        <f>+IF('Data Pura Costos'!F771="","",'Data Pura Costos'!F771)</f>
        <v>Malloa</v>
      </c>
      <c r="G771" s="5" t="str">
        <f>+IF('Data Pura Costos'!G771="","",'Data Pura Costos'!G771)</f>
        <v>TH TRANSPORTES</v>
      </c>
      <c r="H771" s="52" t="str">
        <f>+IF('Data Pura Costos'!H771="","",'Data Pura Costos'!H771)</f>
        <v>Termo</v>
      </c>
      <c r="I771" s="71">
        <f>+IF('Data Pura Costos'!I771="","",'Data Pura Costos'!I771)</f>
        <v>6315.7894736842109</v>
      </c>
      <c r="J771" s="52" t="str">
        <f>+IF('Data Pura Costos'!J771="","",'Data Pura Costos'!J771)</f>
        <v>24-25</v>
      </c>
      <c r="K771" s="82" t="str">
        <f t="shared" si="16"/>
        <v>Mallorca-Malloa-TH TRANSPORTES</v>
      </c>
      <c r="R771" s="6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</row>
    <row r="772" spans="2:39" s="7" customFormat="1" x14ac:dyDescent="0.35">
      <c r="B772" s="4" t="str">
        <f>+IF('Data Pura Costos'!B772="","",'Data Pura Costos'!B772)</f>
        <v>Panquehue</v>
      </c>
      <c r="C772" s="4" t="str">
        <f>+IF('Data Pura Costos'!C772="","",'Data Pura Costos'!C772)</f>
        <v>Panquehue, V región</v>
      </c>
      <c r="D772" s="5">
        <f>+IF('Data Pura Costos'!D772="","",'Data Pura Costos'!D772)</f>
        <v>230</v>
      </c>
      <c r="E772" s="65">
        <f>+IF('Data Pura Costos'!E772="","",IF('Data Pura Costos'!E772=0,MAX('Data Pura Costos'!$E$7:$E$3000)*1000,'Data Pura Costos'!E772))</f>
        <v>750000</v>
      </c>
      <c r="F772" s="5" t="str">
        <f>+IF('Data Pura Costos'!F772="","",'Data Pura Costos'!F772)</f>
        <v>Malloa</v>
      </c>
      <c r="G772" s="5" t="str">
        <f>+IF('Data Pura Costos'!G772="","",'Data Pura Costos'!G772)</f>
        <v>TH TRANSPORTES</v>
      </c>
      <c r="H772" s="52" t="str">
        <f>+IF('Data Pura Costos'!H772="","",'Data Pura Costos'!H772)</f>
        <v>Termo</v>
      </c>
      <c r="I772" s="71">
        <f>+IF('Data Pura Costos'!I772="","",'Data Pura Costos'!I772)</f>
        <v>3260.8695652173915</v>
      </c>
      <c r="J772" s="52" t="str">
        <f>+IF('Data Pura Costos'!J772="","",'Data Pura Costos'!J772)</f>
        <v>24-25</v>
      </c>
      <c r="K772" s="82" t="str">
        <f t="shared" si="16"/>
        <v>Panquehue-Malloa-TH TRANSPORTES</v>
      </c>
      <c r="R772" s="6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</row>
    <row r="773" spans="2:39" s="7" customFormat="1" x14ac:dyDescent="0.35">
      <c r="B773" s="4" t="str">
        <f>+IF('Data Pura Costos'!B773="","",'Data Pura Costos'!B773)</f>
        <v>Entre Rios/Puente Negro/Rio Claro</v>
      </c>
      <c r="C773" s="4" t="str">
        <f>+IF('Data Pura Costos'!C773="","",'Data Pura Costos'!C773)</f>
        <v>Puente negro, san fernando.VI Region.</v>
      </c>
      <c r="D773" s="5">
        <f>+IF('Data Pura Costos'!D773="","",'Data Pura Costos'!D773)</f>
        <v>50</v>
      </c>
      <c r="E773" s="65">
        <f>+IF('Data Pura Costos'!E773="","",IF('Data Pura Costos'!E773=0,MAX('Data Pura Costos'!$E$7:$E$3000)*1000,'Data Pura Costos'!E773))</f>
        <v>550000</v>
      </c>
      <c r="F773" s="5" t="str">
        <f>+IF('Data Pura Costos'!F773="","",'Data Pura Costos'!F773)</f>
        <v>Malloa</v>
      </c>
      <c r="G773" s="5" t="str">
        <f>+IF('Data Pura Costos'!G773="","",'Data Pura Costos'!G773)</f>
        <v>TH TRANSPORTES</v>
      </c>
      <c r="H773" s="52" t="str">
        <f>+IF('Data Pura Costos'!H773="","",'Data Pura Costos'!H773)</f>
        <v>Termo</v>
      </c>
      <c r="I773" s="71">
        <f>+IF('Data Pura Costos'!I773="","",'Data Pura Costos'!I773)</f>
        <v>11000</v>
      </c>
      <c r="J773" s="52" t="str">
        <f>+IF('Data Pura Costos'!J773="","",'Data Pura Costos'!J773)</f>
        <v>24-25</v>
      </c>
      <c r="K773" s="82" t="str">
        <f t="shared" si="16"/>
        <v>Entre Rios/Puente Negro/Rio Claro-Malloa-TH TRANSPORTES</v>
      </c>
      <c r="R773" s="6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</row>
    <row r="774" spans="2:39" s="7" customFormat="1" x14ac:dyDescent="0.35">
      <c r="B774" s="4" t="str">
        <f>+IF('Data Pura Costos'!B774="","",'Data Pura Costos'!B774)</f>
        <v>Retorno</v>
      </c>
      <c r="C774" s="4" t="str">
        <f>+IF('Data Pura Costos'!C774="","",'Data Pura Costos'!C774)</f>
        <v>Santa maria, V región</v>
      </c>
      <c r="D774" s="5">
        <f>+IF('Data Pura Costos'!D774="","",'Data Pura Costos'!D774)</f>
        <v>225</v>
      </c>
      <c r="E774" s="65">
        <f>+IF('Data Pura Costos'!E774="","",IF('Data Pura Costos'!E774=0,MAX('Data Pura Costos'!$E$7:$E$3000)*1000,'Data Pura Costos'!E774))</f>
        <v>780000</v>
      </c>
      <c r="F774" s="5" t="str">
        <f>+IF('Data Pura Costos'!F774="","",'Data Pura Costos'!F774)</f>
        <v>Malloa</v>
      </c>
      <c r="G774" s="5" t="str">
        <f>+IF('Data Pura Costos'!G774="","",'Data Pura Costos'!G774)</f>
        <v>TH TRANSPORTES</v>
      </c>
      <c r="H774" s="52" t="str">
        <f>+IF('Data Pura Costos'!H774="","",'Data Pura Costos'!H774)</f>
        <v>Termo</v>
      </c>
      <c r="I774" s="71">
        <f>+IF('Data Pura Costos'!I774="","",'Data Pura Costos'!I774)</f>
        <v>3466.6666666666665</v>
      </c>
      <c r="J774" s="52" t="str">
        <f>+IF('Data Pura Costos'!J774="","",'Data Pura Costos'!J774)</f>
        <v>24-25</v>
      </c>
      <c r="K774" s="82" t="str">
        <f t="shared" si="16"/>
        <v>Retorno-Malloa-TH TRANSPORTES</v>
      </c>
      <c r="R774" s="6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</row>
    <row r="775" spans="2:39" s="7" customFormat="1" x14ac:dyDescent="0.35">
      <c r="B775" s="4" t="str">
        <f>+IF('Data Pura Costos'!B775="","",'Data Pura Costos'!B775)</f>
        <v>San Hernán</v>
      </c>
      <c r="C775" s="4" t="str">
        <f>+IF('Data Pura Costos'!C775="","",'Data Pura Costos'!C775)</f>
        <v>Graneros, VI región</v>
      </c>
      <c r="D775" s="5">
        <f>+IF('Data Pura Costos'!D775="","",'Data Pura Costos'!D775)</f>
        <v>60</v>
      </c>
      <c r="E775" s="65">
        <f>+IF('Data Pura Costos'!E775="","",IF('Data Pura Costos'!E775=0,MAX('Data Pura Costos'!$E$7:$E$3000)*1000,'Data Pura Costos'!E775))</f>
        <v>550000</v>
      </c>
      <c r="F775" s="5" t="str">
        <f>+IF('Data Pura Costos'!F775="","",'Data Pura Costos'!F775)</f>
        <v>Malloa</v>
      </c>
      <c r="G775" s="5" t="str">
        <f>+IF('Data Pura Costos'!G775="","",'Data Pura Costos'!G775)</f>
        <v>TH TRANSPORTES</v>
      </c>
      <c r="H775" s="52" t="str">
        <f>+IF('Data Pura Costos'!H775="","",'Data Pura Costos'!H775)</f>
        <v>Termo</v>
      </c>
      <c r="I775" s="71">
        <f>+IF('Data Pura Costos'!I775="","",'Data Pura Costos'!I775)</f>
        <v>9166.6666666666661</v>
      </c>
      <c r="J775" s="52" t="str">
        <f>+IF('Data Pura Costos'!J775="","",'Data Pura Costos'!J775)</f>
        <v>24-25</v>
      </c>
      <c r="K775" s="82" t="str">
        <f t="shared" si="16"/>
        <v>San Hernán-Malloa-TH TRANSPORTES</v>
      </c>
      <c r="R775" s="6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</row>
    <row r="776" spans="2:39" s="7" customFormat="1" x14ac:dyDescent="0.35">
      <c r="B776" s="4" t="str">
        <f>+IF('Data Pura Costos'!B776="","",'Data Pura Costos'!B776)</f>
        <v>Santa Mónica</v>
      </c>
      <c r="C776" s="4" t="str">
        <f>+IF('Data Pura Costos'!C776="","",'Data Pura Costos'!C776)</f>
        <v xml:space="preserve">Rancagua, sector Chancón, VI región </v>
      </c>
      <c r="D776" s="5">
        <f>+IF('Data Pura Costos'!D776="","",'Data Pura Costos'!D776)</f>
        <v>55</v>
      </c>
      <c r="E776" s="65">
        <f>+IF('Data Pura Costos'!E776="","",IF('Data Pura Costos'!E776=0,MAX('Data Pura Costos'!$E$7:$E$3000)*1000,'Data Pura Costos'!E776))</f>
        <v>550000</v>
      </c>
      <c r="F776" s="5" t="str">
        <f>+IF('Data Pura Costos'!F776="","",'Data Pura Costos'!F776)</f>
        <v>Malloa</v>
      </c>
      <c r="G776" s="5" t="str">
        <f>+IF('Data Pura Costos'!G776="","",'Data Pura Costos'!G776)</f>
        <v>TH TRANSPORTES</v>
      </c>
      <c r="H776" s="52" t="str">
        <f>+IF('Data Pura Costos'!H776="","",'Data Pura Costos'!H776)</f>
        <v>Termo</v>
      </c>
      <c r="I776" s="71">
        <f>+IF('Data Pura Costos'!I776="","",'Data Pura Costos'!I776)</f>
        <v>10000</v>
      </c>
      <c r="J776" s="52" t="str">
        <f>+IF('Data Pura Costos'!J776="","",'Data Pura Costos'!J776)</f>
        <v>24-25</v>
      </c>
      <c r="K776" s="82" t="str">
        <f t="shared" ref="K776:K839" si="17">+IF(B776="","",CONCATENATE(B776,"-",F776,"-",G776))</f>
        <v>Santa Mónica-Malloa-TH TRANSPORTES</v>
      </c>
      <c r="R776" s="6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</row>
    <row r="777" spans="2:39" s="7" customFormat="1" x14ac:dyDescent="0.35">
      <c r="B777" s="4" t="str">
        <f>+IF('Data Pura Costos'!B777="","",'Data Pura Costos'!B777)</f>
        <v>Talhuén</v>
      </c>
      <c r="C777" s="4" t="str">
        <f>+IF('Data Pura Costos'!C777="","",'Data Pura Costos'!C777)</f>
        <v>Palmilla, VI región</v>
      </c>
      <c r="D777" s="5">
        <f>+IF('Data Pura Costos'!D777="","",'Data Pura Costos'!D777)</f>
        <v>60</v>
      </c>
      <c r="E777" s="65">
        <f>+IF('Data Pura Costos'!E777="","",IF('Data Pura Costos'!E777=0,MAX('Data Pura Costos'!$E$7:$E$3000)*1000,'Data Pura Costos'!E777))</f>
        <v>550000</v>
      </c>
      <c r="F777" s="5" t="str">
        <f>+IF('Data Pura Costos'!F777="","",'Data Pura Costos'!F777)</f>
        <v>Malloa</v>
      </c>
      <c r="G777" s="5" t="str">
        <f>+IF('Data Pura Costos'!G777="","",'Data Pura Costos'!G777)</f>
        <v>TH TRANSPORTES</v>
      </c>
      <c r="H777" s="52" t="str">
        <f>+IF('Data Pura Costos'!H777="","",'Data Pura Costos'!H777)</f>
        <v>Termo</v>
      </c>
      <c r="I777" s="71">
        <f>+IF('Data Pura Costos'!I777="","",'Data Pura Costos'!I777)</f>
        <v>9166.6666666666661</v>
      </c>
      <c r="J777" s="52" t="str">
        <f>+IF('Data Pura Costos'!J777="","",'Data Pura Costos'!J777)</f>
        <v>24-25</v>
      </c>
      <c r="K777" s="82" t="str">
        <f t="shared" si="17"/>
        <v>Talhuén-Malloa-TH TRANSPORTES</v>
      </c>
      <c r="R777" s="6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</row>
    <row r="778" spans="2:39" s="7" customFormat="1" x14ac:dyDescent="0.35">
      <c r="B778" s="4" t="str">
        <f>+IF('Data Pura Costos'!B778="","",'Data Pura Costos'!B778)</f>
        <v>Almahue</v>
      </c>
      <c r="C778" s="4" t="str">
        <f>+IF('Data Pura Costos'!C778="","",'Data Pura Costos'!C778)</f>
        <v>Pichidegua, VI región</v>
      </c>
      <c r="D778" s="5">
        <f>+IF('Data Pura Costos'!D778="","",'Data Pura Costos'!D778)</f>
        <v>108</v>
      </c>
      <c r="E778" s="65">
        <f>+IF('Data Pura Costos'!E778="","",IF('Data Pura Costos'!E778=0,MAX('Data Pura Costos'!$E$7:$E$3000)*1000,'Data Pura Costos'!E778))</f>
        <v>400000</v>
      </c>
      <c r="F778" s="5" t="str">
        <f>+IF('Data Pura Costos'!F778="","",'Data Pura Costos'!F778)</f>
        <v>Mostazal</v>
      </c>
      <c r="G778" s="5" t="str">
        <f>+IF('Data Pura Costos'!G778="","",'Data Pura Costos'!G778)</f>
        <v>TRAIDILL</v>
      </c>
      <c r="H778" s="52" t="str">
        <f>+IF('Data Pura Costos'!H778="","",'Data Pura Costos'!H778)</f>
        <v>Termo</v>
      </c>
      <c r="I778" s="71">
        <f>+IF('Data Pura Costos'!I778="","",'Data Pura Costos'!I778)</f>
        <v>3703.7037037037039</v>
      </c>
      <c r="J778" s="52" t="str">
        <f>+IF('Data Pura Costos'!J778="","",'Data Pura Costos'!J778)</f>
        <v>24-25</v>
      </c>
      <c r="K778" s="82" t="str">
        <f t="shared" si="17"/>
        <v>Almahue-Mostazal-TRAIDILL</v>
      </c>
      <c r="R778" s="6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</row>
    <row r="779" spans="2:39" s="7" customFormat="1" x14ac:dyDescent="0.35">
      <c r="B779" s="4" t="str">
        <f>+IF('Data Pura Costos'!B779="","",'Data Pura Costos'!B779)</f>
        <v>Bodega</v>
      </c>
      <c r="C779" s="4" t="str">
        <f>+IF('Data Pura Costos'!C779="","",'Data Pura Costos'!C779)</f>
        <v>Linares, VII region.</v>
      </c>
      <c r="D779" s="5">
        <f>+IF('Data Pura Costos'!D779="","",'Data Pura Costos'!D779)</f>
        <v>264</v>
      </c>
      <c r="E779" s="65">
        <f>+IF('Data Pura Costos'!E779="","",IF('Data Pura Costos'!E779=0,MAX('Data Pura Costos'!$E$7:$E$3000)*1000,'Data Pura Costos'!E779))</f>
        <v>650000</v>
      </c>
      <c r="F779" s="5" t="str">
        <f>+IF('Data Pura Costos'!F779="","",'Data Pura Costos'!F779)</f>
        <v>Mostazal</v>
      </c>
      <c r="G779" s="5" t="str">
        <f>+IF('Data Pura Costos'!G779="","",'Data Pura Costos'!G779)</f>
        <v>TRAIDILL</v>
      </c>
      <c r="H779" s="52" t="str">
        <f>+IF('Data Pura Costos'!H779="","",'Data Pura Costos'!H779)</f>
        <v>Termo</v>
      </c>
      <c r="I779" s="71">
        <f>+IF('Data Pura Costos'!I779="","",'Data Pura Costos'!I779)</f>
        <v>2462.121212121212</v>
      </c>
      <c r="J779" s="52" t="str">
        <f>+IF('Data Pura Costos'!J779="","",'Data Pura Costos'!J779)</f>
        <v>24-25</v>
      </c>
      <c r="K779" s="82" t="str">
        <f t="shared" si="17"/>
        <v>Bodega-Mostazal-TRAIDILL</v>
      </c>
      <c r="R779" s="6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</row>
    <row r="780" spans="2:39" s="7" customFormat="1" x14ac:dyDescent="0.35">
      <c r="B780" s="4" t="str">
        <f>+IF('Data Pura Costos'!B780="","",'Data Pura Costos'!B780)</f>
        <v xml:space="preserve">Caliboro </v>
      </c>
      <c r="C780" s="4" t="str">
        <f>+IF('Data Pura Costos'!C780="","",'Data Pura Costos'!C780)</f>
        <v>San Javier, VII región</v>
      </c>
      <c r="D780" s="5">
        <f>+IF('Data Pura Costos'!D780="","",'Data Pura Costos'!D780)</f>
        <v>258</v>
      </c>
      <c r="E780" s="65">
        <f>+IF('Data Pura Costos'!E780="","",IF('Data Pura Costos'!E780=0,MAX('Data Pura Costos'!$E$7:$E$3000)*1000,'Data Pura Costos'!E780))</f>
        <v>650000</v>
      </c>
      <c r="F780" s="5" t="str">
        <f>+IF('Data Pura Costos'!F780="","",'Data Pura Costos'!F780)</f>
        <v>Mostazal</v>
      </c>
      <c r="G780" s="5" t="str">
        <f>+IF('Data Pura Costos'!G780="","",'Data Pura Costos'!G780)</f>
        <v>TRAIDILL</v>
      </c>
      <c r="H780" s="52" t="str">
        <f>+IF('Data Pura Costos'!H780="","",'Data Pura Costos'!H780)</f>
        <v>Termo</v>
      </c>
      <c r="I780" s="71">
        <f>+IF('Data Pura Costos'!I780="","",'Data Pura Costos'!I780)</f>
        <v>2519.3798449612405</v>
      </c>
      <c r="J780" s="52" t="str">
        <f>+IF('Data Pura Costos'!J780="","",'Data Pura Costos'!J780)</f>
        <v>24-25</v>
      </c>
      <c r="K780" s="82" t="str">
        <f t="shared" si="17"/>
        <v>Caliboro -Mostazal-TRAIDILL</v>
      </c>
      <c r="R780" s="6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</row>
    <row r="781" spans="2:39" s="7" customFormat="1" x14ac:dyDescent="0.35">
      <c r="B781" s="4" t="str">
        <f>+IF('Data Pura Costos'!B781="","",'Data Pura Costos'!B781)</f>
        <v>Calleuque</v>
      </c>
      <c r="C781" s="4" t="str">
        <f>+IF('Data Pura Costos'!C781="","",'Data Pura Costos'!C781)</f>
        <v>Peralillo ohiggins, VI región</v>
      </c>
      <c r="D781" s="5">
        <f>+IF('Data Pura Costos'!D781="","",'Data Pura Costos'!D781)</f>
        <v>143</v>
      </c>
      <c r="E781" s="65">
        <f>+IF('Data Pura Costos'!E781="","",IF('Data Pura Costos'!E781=0,MAX('Data Pura Costos'!$E$7:$E$3000)*1000,'Data Pura Costos'!E781))</f>
        <v>520000</v>
      </c>
      <c r="F781" s="5" t="str">
        <f>+IF('Data Pura Costos'!F781="","",'Data Pura Costos'!F781)</f>
        <v>Mostazal</v>
      </c>
      <c r="G781" s="5" t="str">
        <f>+IF('Data Pura Costos'!G781="","",'Data Pura Costos'!G781)</f>
        <v>TRAIDILL</v>
      </c>
      <c r="H781" s="52" t="str">
        <f>+IF('Data Pura Costos'!H781="","",'Data Pura Costos'!H781)</f>
        <v>Termo</v>
      </c>
      <c r="I781" s="71">
        <f>+IF('Data Pura Costos'!I781="","",'Data Pura Costos'!I781)</f>
        <v>3636.3636363636365</v>
      </c>
      <c r="J781" s="52" t="str">
        <f>+IF('Data Pura Costos'!J781="","",'Data Pura Costos'!J781)</f>
        <v>24-25</v>
      </c>
      <c r="K781" s="82" t="str">
        <f t="shared" si="17"/>
        <v>Calleuque-Mostazal-TRAIDILL</v>
      </c>
      <c r="R781" s="6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</row>
    <row r="782" spans="2:39" s="7" customFormat="1" x14ac:dyDescent="0.35">
      <c r="B782" s="4" t="str">
        <f>+IF('Data Pura Costos'!B782="","",'Data Pura Costos'!B782)</f>
        <v>Chumpirro</v>
      </c>
      <c r="C782" s="4" t="str">
        <f>+IF('Data Pura Costos'!C782="","",'Data Pura Costos'!C782)</f>
        <v>Angol, IX región</v>
      </c>
      <c r="D782" s="5">
        <f>+IF('Data Pura Costos'!D782="","",'Data Pura Costos'!D782)</f>
        <v>499</v>
      </c>
      <c r="E782" s="65">
        <f>+IF('Data Pura Costos'!E782="","",IF('Data Pura Costos'!E782=0,MAX('Data Pura Costos'!$E$7:$E$3000)*1000,'Data Pura Costos'!E782))</f>
        <v>1350000</v>
      </c>
      <c r="F782" s="5" t="str">
        <f>+IF('Data Pura Costos'!F782="","",'Data Pura Costos'!F782)</f>
        <v>Mostazal</v>
      </c>
      <c r="G782" s="5" t="str">
        <f>+IF('Data Pura Costos'!G782="","",'Data Pura Costos'!G782)</f>
        <v>TRAIDILL</v>
      </c>
      <c r="H782" s="52" t="str">
        <f>+IF('Data Pura Costos'!H782="","",'Data Pura Costos'!H782)</f>
        <v>Termo</v>
      </c>
      <c r="I782" s="71">
        <f>+IF('Data Pura Costos'!I782="","",'Data Pura Costos'!I782)</f>
        <v>2705.4108216432865</v>
      </c>
      <c r="J782" s="52" t="str">
        <f>+IF('Data Pura Costos'!J782="","",'Data Pura Costos'!J782)</f>
        <v>24-25</v>
      </c>
      <c r="K782" s="82" t="str">
        <f t="shared" si="17"/>
        <v>Chumpirro-Mostazal-TRAIDILL</v>
      </c>
      <c r="R782" s="6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</row>
    <row r="783" spans="2:39" s="7" customFormat="1" x14ac:dyDescent="0.35">
      <c r="B783" s="4" t="str">
        <f>+IF('Data Pura Costos'!B783="","",'Data Pura Costos'!B783)</f>
        <v xml:space="preserve"> Cocalán</v>
      </c>
      <c r="C783" s="4" t="str">
        <f>+IF('Data Pura Costos'!C783="","",'Data Pura Costos'!C783)</f>
        <v>Cocalán, VI región</v>
      </c>
      <c r="D783" s="5">
        <f>+IF('Data Pura Costos'!D783="","",'Data Pura Costos'!D783)</f>
        <v>113</v>
      </c>
      <c r="E783" s="65">
        <f>+IF('Data Pura Costos'!E783="","",IF('Data Pura Costos'!E783=0,MAX('Data Pura Costos'!$E$7:$E$3000)*1000,'Data Pura Costos'!E783))</f>
        <v>480000</v>
      </c>
      <c r="F783" s="5" t="str">
        <f>+IF('Data Pura Costos'!F783="","",'Data Pura Costos'!F783)</f>
        <v>Mostazal</v>
      </c>
      <c r="G783" s="5" t="str">
        <f>+IF('Data Pura Costos'!G783="","",'Data Pura Costos'!G783)</f>
        <v>TRAIDILL</v>
      </c>
      <c r="H783" s="52" t="str">
        <f>+IF('Data Pura Costos'!H783="","",'Data Pura Costos'!H783)</f>
        <v>Termo</v>
      </c>
      <c r="I783" s="71">
        <f>+IF('Data Pura Costos'!I783="","",'Data Pura Costos'!I783)</f>
        <v>4247.787610619469</v>
      </c>
      <c r="J783" s="52" t="str">
        <f>+IF('Data Pura Costos'!J783="","",'Data Pura Costos'!J783)</f>
        <v>24-25</v>
      </c>
      <c r="K783" s="82" t="str">
        <f t="shared" si="17"/>
        <v xml:space="preserve"> Cocalán-Mostazal-TRAIDILL</v>
      </c>
      <c r="R783" s="6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</row>
    <row r="784" spans="2:39" s="7" customFormat="1" x14ac:dyDescent="0.35">
      <c r="B784" s="4" t="str">
        <f>+IF('Data Pura Costos'!B784="","",'Data Pura Costos'!B784)</f>
        <v>El Descanso</v>
      </c>
      <c r="C784" s="4" t="str">
        <f>+IF('Data Pura Costos'!C784="","",'Data Pura Costos'!C784)</f>
        <v>Sagrada Familia, VII región</v>
      </c>
      <c r="D784" s="5">
        <f>+IF('Data Pura Costos'!D784="","",'Data Pura Costos'!D784)</f>
        <v>240</v>
      </c>
      <c r="E784" s="65">
        <f>+IF('Data Pura Costos'!E784="","",IF('Data Pura Costos'!E784=0,MAX('Data Pura Costos'!$E$7:$E$3000)*1000,'Data Pura Costos'!E784))</f>
        <v>650000</v>
      </c>
      <c r="F784" s="5" t="str">
        <f>+IF('Data Pura Costos'!F784="","",'Data Pura Costos'!F784)</f>
        <v>Mostazal</v>
      </c>
      <c r="G784" s="5" t="str">
        <f>+IF('Data Pura Costos'!G784="","",'Data Pura Costos'!G784)</f>
        <v>TRAIDILL</v>
      </c>
      <c r="H784" s="52" t="str">
        <f>+IF('Data Pura Costos'!H784="","",'Data Pura Costos'!H784)</f>
        <v>Termo</v>
      </c>
      <c r="I784" s="71">
        <f>+IF('Data Pura Costos'!I784="","",'Data Pura Costos'!I784)</f>
        <v>2708.3333333333335</v>
      </c>
      <c r="J784" s="52" t="str">
        <f>+IF('Data Pura Costos'!J784="","",'Data Pura Costos'!J784)</f>
        <v>24-25</v>
      </c>
      <c r="K784" s="82" t="str">
        <f t="shared" si="17"/>
        <v>El Descanso-Mostazal-TRAIDILL</v>
      </c>
      <c r="R784" s="6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</row>
    <row r="785" spans="2:39" s="7" customFormat="1" x14ac:dyDescent="0.35">
      <c r="B785" s="4" t="str">
        <f>+IF('Data Pura Costos'!B785="","",'Data Pura Costos'!B785)</f>
        <v>El Espino</v>
      </c>
      <c r="C785" s="4" t="str">
        <f>+IF('Data Pura Costos'!C785="","",'Data Pura Costos'!C785)</f>
        <v>Colbún, VII región</v>
      </c>
      <c r="D785" s="5">
        <f>+IF('Data Pura Costos'!D785="","",'Data Pura Costos'!D785)</f>
        <v>240</v>
      </c>
      <c r="E785" s="65">
        <f>+IF('Data Pura Costos'!E785="","",IF('Data Pura Costos'!E785=0,MAX('Data Pura Costos'!$E$7:$E$3000)*1000,'Data Pura Costos'!E785))</f>
        <v>650000</v>
      </c>
      <c r="F785" s="5" t="str">
        <f>+IF('Data Pura Costos'!F785="","",'Data Pura Costos'!F785)</f>
        <v>Mostazal</v>
      </c>
      <c r="G785" s="5" t="str">
        <f>+IF('Data Pura Costos'!G785="","",'Data Pura Costos'!G785)</f>
        <v>TRAIDILL</v>
      </c>
      <c r="H785" s="52" t="str">
        <f>+IF('Data Pura Costos'!H785="","",'Data Pura Costos'!H785)</f>
        <v>Termo</v>
      </c>
      <c r="I785" s="71">
        <f>+IF('Data Pura Costos'!I785="","",'Data Pura Costos'!I785)</f>
        <v>2708.3333333333335</v>
      </c>
      <c r="J785" s="52" t="str">
        <f>+IF('Data Pura Costos'!J785="","",'Data Pura Costos'!J785)</f>
        <v>24-25</v>
      </c>
      <c r="K785" s="82" t="str">
        <f t="shared" si="17"/>
        <v>El Espino-Mostazal-TRAIDILL</v>
      </c>
      <c r="R785" s="6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</row>
    <row r="786" spans="2:39" s="7" customFormat="1" x14ac:dyDescent="0.35">
      <c r="B786" s="4" t="str">
        <f>+IF('Data Pura Costos'!B786="","",'Data Pura Costos'!B786)</f>
        <v>El Huaico</v>
      </c>
      <c r="C786" s="4" t="str">
        <f>+IF('Data Pura Costos'!C786="","",'Data Pura Costos'!C786)</f>
        <v>Palmila Ohiggins</v>
      </c>
      <c r="D786" s="5">
        <f>+IF('Data Pura Costos'!D786="","",'Data Pura Costos'!D786)</f>
        <v>124</v>
      </c>
      <c r="E786" s="65">
        <f>+IF('Data Pura Costos'!E786="","",IF('Data Pura Costos'!E786=0,MAX('Data Pura Costos'!$E$7:$E$3000)*1000,'Data Pura Costos'!E786))</f>
        <v>500000</v>
      </c>
      <c r="F786" s="5" t="str">
        <f>+IF('Data Pura Costos'!F786="","",'Data Pura Costos'!F786)</f>
        <v>Mostazal</v>
      </c>
      <c r="G786" s="5" t="str">
        <f>+IF('Data Pura Costos'!G786="","",'Data Pura Costos'!G786)</f>
        <v>TRAIDILL</v>
      </c>
      <c r="H786" s="52" t="str">
        <f>+IF('Data Pura Costos'!H786="","",'Data Pura Costos'!H786)</f>
        <v>Termo</v>
      </c>
      <c r="I786" s="71">
        <f>+IF('Data Pura Costos'!I786="","",'Data Pura Costos'!I786)</f>
        <v>4032.2580645161293</v>
      </c>
      <c r="J786" s="52" t="str">
        <f>+IF('Data Pura Costos'!J786="","",'Data Pura Costos'!J786)</f>
        <v>24-25</v>
      </c>
      <c r="K786" s="82" t="str">
        <f t="shared" si="17"/>
        <v>El Huaico-Mostazal-TRAIDILL</v>
      </c>
      <c r="R786" s="6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</row>
    <row r="787" spans="2:39" s="7" customFormat="1" x14ac:dyDescent="0.35">
      <c r="B787" s="4" t="str">
        <f>+IF('Data Pura Costos'!B787="","",'Data Pura Costos'!B787)</f>
        <v>El Picaso</v>
      </c>
      <c r="C787" s="4" t="str">
        <f>+IF('Data Pura Costos'!C787="","",'Data Pura Costos'!C787)</f>
        <v xml:space="preserve">San Clemente, VII región </v>
      </c>
      <c r="D787" s="5">
        <f>+IF('Data Pura Costos'!D787="","",'Data Pura Costos'!D787)</f>
        <v>208</v>
      </c>
      <c r="E787" s="65">
        <f>+IF('Data Pura Costos'!E787="","",IF('Data Pura Costos'!E787=0,MAX('Data Pura Costos'!$E$7:$E$3000)*1000,'Data Pura Costos'!E787))</f>
        <v>650000</v>
      </c>
      <c r="F787" s="5" t="str">
        <f>+IF('Data Pura Costos'!F787="","",'Data Pura Costos'!F787)</f>
        <v>Mostazal</v>
      </c>
      <c r="G787" s="5" t="str">
        <f>+IF('Data Pura Costos'!G787="","",'Data Pura Costos'!G787)</f>
        <v>TRAIDILL</v>
      </c>
      <c r="H787" s="52" t="str">
        <f>+IF('Data Pura Costos'!H787="","",'Data Pura Costos'!H787)</f>
        <v>Termo</v>
      </c>
      <c r="I787" s="71">
        <f>+IF('Data Pura Costos'!I787="","",'Data Pura Costos'!I787)</f>
        <v>3125</v>
      </c>
      <c r="J787" s="52" t="str">
        <f>+IF('Data Pura Costos'!J787="","",'Data Pura Costos'!J787)</f>
        <v>24-25</v>
      </c>
      <c r="K787" s="82" t="str">
        <f t="shared" si="17"/>
        <v>El Picaso-Mostazal-TRAIDILL</v>
      </c>
      <c r="R787" s="6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</row>
    <row r="788" spans="2:39" s="7" customFormat="1" x14ac:dyDescent="0.35">
      <c r="B788" s="4" t="str">
        <f>+IF('Data Pura Costos'!B788="","",'Data Pura Costos'!B788)</f>
        <v>El Rosario</v>
      </c>
      <c r="C788" s="4" t="str">
        <f>+IF('Data Pura Costos'!C788="","",'Data Pura Costos'!C788)</f>
        <v>Linares, VII region.</v>
      </c>
      <c r="D788" s="5">
        <f>+IF('Data Pura Costos'!D788="","",'Data Pura Costos'!D788)</f>
        <v>260</v>
      </c>
      <c r="E788" s="65">
        <f>+IF('Data Pura Costos'!E788="","",IF('Data Pura Costos'!E788=0,MAX('Data Pura Costos'!$E$7:$E$3000)*1000,'Data Pura Costos'!E788))</f>
        <v>650000</v>
      </c>
      <c r="F788" s="5" t="str">
        <f>+IF('Data Pura Costos'!F788="","",'Data Pura Costos'!F788)</f>
        <v>Mostazal</v>
      </c>
      <c r="G788" s="5" t="str">
        <f>+IF('Data Pura Costos'!G788="","",'Data Pura Costos'!G788)</f>
        <v>TRAIDILL</v>
      </c>
      <c r="H788" s="52" t="str">
        <f>+IF('Data Pura Costos'!H788="","",'Data Pura Costos'!H788)</f>
        <v>Termo</v>
      </c>
      <c r="I788" s="71">
        <f>+IF('Data Pura Costos'!I788="","",'Data Pura Costos'!I788)</f>
        <v>2500</v>
      </c>
      <c r="J788" s="52" t="str">
        <f>+IF('Data Pura Costos'!J788="","",'Data Pura Costos'!J788)</f>
        <v>24-25</v>
      </c>
      <c r="K788" s="82" t="str">
        <f t="shared" si="17"/>
        <v>El Rosario-Mostazal-TRAIDILL</v>
      </c>
      <c r="R788" s="6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</row>
    <row r="789" spans="2:39" s="7" customFormat="1" x14ac:dyDescent="0.35">
      <c r="B789" s="4" t="str">
        <f>+IF('Data Pura Costos'!B789="","",'Data Pura Costos'!B789)</f>
        <v>La Esperanza</v>
      </c>
      <c r="C789" s="4" t="str">
        <f>+IF('Data Pura Costos'!C789="","",'Data Pura Costos'!C789)</f>
        <v>Peumo, VI región</v>
      </c>
      <c r="D789" s="5">
        <f>+IF('Data Pura Costos'!D789="","",'Data Pura Costos'!D789)</f>
        <v>98</v>
      </c>
      <c r="E789" s="65">
        <f>+IF('Data Pura Costos'!E789="","",IF('Data Pura Costos'!E789=0,MAX('Data Pura Costos'!$E$7:$E$3000)*1000,'Data Pura Costos'!E789))</f>
        <v>450000</v>
      </c>
      <c r="F789" s="5" t="str">
        <f>+IF('Data Pura Costos'!F789="","",'Data Pura Costos'!F789)</f>
        <v>Mostazal</v>
      </c>
      <c r="G789" s="5" t="str">
        <f>+IF('Data Pura Costos'!G789="","",'Data Pura Costos'!G789)</f>
        <v>TRAIDILL</v>
      </c>
      <c r="H789" s="52" t="str">
        <f>+IF('Data Pura Costos'!H789="","",'Data Pura Costos'!H789)</f>
        <v>Termo</v>
      </c>
      <c r="I789" s="71">
        <f>+IF('Data Pura Costos'!I789="","",'Data Pura Costos'!I789)</f>
        <v>4591.8367346938776</v>
      </c>
      <c r="J789" s="52" t="str">
        <f>+IF('Data Pura Costos'!J789="","",'Data Pura Costos'!J789)</f>
        <v>24-25</v>
      </c>
      <c r="K789" s="82" t="str">
        <f t="shared" si="17"/>
        <v>La Esperanza-Mostazal-TRAIDILL</v>
      </c>
      <c r="R789" s="6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</row>
    <row r="790" spans="2:39" s="7" customFormat="1" x14ac:dyDescent="0.35">
      <c r="B790" s="4" t="str">
        <f>+IF('Data Pura Costos'!B790="","",'Data Pura Costos'!B790)</f>
        <v>La Estación</v>
      </c>
      <c r="C790" s="4" t="str">
        <f>+IF('Data Pura Costos'!C790="","",'Data Pura Costos'!C790)</f>
        <v>Palmilla, VI región</v>
      </c>
      <c r="D790" s="5">
        <f>+IF('Data Pura Costos'!D790="","",'Data Pura Costos'!D790)</f>
        <v>125</v>
      </c>
      <c r="E790" s="65">
        <f>+IF('Data Pura Costos'!E790="","",IF('Data Pura Costos'!E790=0,MAX('Data Pura Costos'!$E$7:$E$3000)*1000,'Data Pura Costos'!E790))</f>
        <v>500000</v>
      </c>
      <c r="F790" s="5" t="str">
        <f>+IF('Data Pura Costos'!F790="","",'Data Pura Costos'!F790)</f>
        <v>Mostazal</v>
      </c>
      <c r="G790" s="5" t="str">
        <f>+IF('Data Pura Costos'!G790="","",'Data Pura Costos'!G790)</f>
        <v>TRAIDILL</v>
      </c>
      <c r="H790" s="52" t="str">
        <f>+IF('Data Pura Costos'!H790="","",'Data Pura Costos'!H790)</f>
        <v>Termo</v>
      </c>
      <c r="I790" s="71">
        <f>+IF('Data Pura Costos'!I790="","",'Data Pura Costos'!I790)</f>
        <v>4000</v>
      </c>
      <c r="J790" s="52" t="str">
        <f>+IF('Data Pura Costos'!J790="","",'Data Pura Costos'!J790)</f>
        <v>24-25</v>
      </c>
      <c r="K790" s="82" t="str">
        <f t="shared" si="17"/>
        <v>La Estación-Mostazal-TRAIDILL</v>
      </c>
      <c r="R790" s="6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</row>
    <row r="791" spans="2:39" s="7" customFormat="1" x14ac:dyDescent="0.35">
      <c r="B791" s="4" t="str">
        <f>+IF('Data Pura Costos'!B791="","",'Data Pura Costos'!B791)</f>
        <v>La Lajuela</v>
      </c>
      <c r="C791" s="4" t="str">
        <f>+IF('Data Pura Costos'!C791="","",'Data Pura Costos'!C791)</f>
        <v>Santa Cruz, VI Región</v>
      </c>
      <c r="D791" s="5">
        <f>+IF('Data Pura Costos'!D791="","",'Data Pura Costos'!D791)</f>
        <v>128</v>
      </c>
      <c r="E791" s="65">
        <f>+IF('Data Pura Costos'!E791="","",IF('Data Pura Costos'!E791=0,MAX('Data Pura Costos'!$E$7:$E$3000)*1000,'Data Pura Costos'!E791))</f>
        <v>500000</v>
      </c>
      <c r="F791" s="5" t="str">
        <f>+IF('Data Pura Costos'!F791="","",'Data Pura Costos'!F791)</f>
        <v>Mostazal</v>
      </c>
      <c r="G791" s="5" t="str">
        <f>+IF('Data Pura Costos'!G791="","",'Data Pura Costos'!G791)</f>
        <v>TRAIDILL</v>
      </c>
      <c r="H791" s="52" t="str">
        <f>+IF('Data Pura Costos'!H791="","",'Data Pura Costos'!H791)</f>
        <v>Termo</v>
      </c>
      <c r="I791" s="71">
        <f>+IF('Data Pura Costos'!I791="","",'Data Pura Costos'!I791)</f>
        <v>3906.25</v>
      </c>
      <c r="J791" s="52" t="str">
        <f>+IF('Data Pura Costos'!J791="","",'Data Pura Costos'!J791)</f>
        <v>24-25</v>
      </c>
      <c r="K791" s="82" t="str">
        <f t="shared" si="17"/>
        <v>La Lajuela-Mostazal-TRAIDILL</v>
      </c>
      <c r="R791" s="6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</row>
    <row r="792" spans="2:39" s="7" customFormat="1" x14ac:dyDescent="0.35">
      <c r="B792" s="4" t="str">
        <f>+IF('Data Pura Costos'!B792="","",'Data Pura Costos'!B792)</f>
        <v>La Rinconada</v>
      </c>
      <c r="C792" s="4" t="str">
        <f>+IF('Data Pura Costos'!C792="","",'Data Pura Costos'!C792)</f>
        <v>Pichidegua, VI región</v>
      </c>
      <c r="D792" s="5">
        <f>+IF('Data Pura Costos'!D792="","",'Data Pura Costos'!D792)</f>
        <v>110</v>
      </c>
      <c r="E792" s="65">
        <f>+IF('Data Pura Costos'!E792="","",IF('Data Pura Costos'!E792=0,MAX('Data Pura Costos'!$E$7:$E$3000)*1000,'Data Pura Costos'!E792))</f>
        <v>400000</v>
      </c>
      <c r="F792" s="5" t="str">
        <f>+IF('Data Pura Costos'!F792="","",'Data Pura Costos'!F792)</f>
        <v>Mostazal</v>
      </c>
      <c r="G792" s="5" t="str">
        <f>+IF('Data Pura Costos'!G792="","",'Data Pura Costos'!G792)</f>
        <v>TRAIDILL</v>
      </c>
      <c r="H792" s="52" t="str">
        <f>+IF('Data Pura Costos'!H792="","",'Data Pura Costos'!H792)</f>
        <v>Termo</v>
      </c>
      <c r="I792" s="71">
        <f>+IF('Data Pura Costos'!I792="","",'Data Pura Costos'!I792)</f>
        <v>3636.3636363636365</v>
      </c>
      <c r="J792" s="52" t="str">
        <f>+IF('Data Pura Costos'!J792="","",'Data Pura Costos'!J792)</f>
        <v>24-25</v>
      </c>
      <c r="K792" s="82" t="str">
        <f t="shared" si="17"/>
        <v>La Rinconada-Mostazal-TRAIDILL</v>
      </c>
      <c r="R792" s="6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</row>
    <row r="793" spans="2:39" s="7" customFormat="1" x14ac:dyDescent="0.35">
      <c r="B793" s="4" t="str">
        <f>+IF('Data Pura Costos'!B793="","",'Data Pura Costos'!B793)</f>
        <v>Las Cabras</v>
      </c>
      <c r="C793" s="4" t="str">
        <f>+IF('Data Pura Costos'!C793="","",'Data Pura Costos'!C793)</f>
        <v>Las Cabras, VI región</v>
      </c>
      <c r="D793" s="5">
        <f>+IF('Data Pura Costos'!D793="","",'Data Pura Costos'!D793)</f>
        <v>110</v>
      </c>
      <c r="E793" s="65">
        <f>+IF('Data Pura Costos'!E793="","",IF('Data Pura Costos'!E793=0,MAX('Data Pura Costos'!$E$7:$E$3000)*1000,'Data Pura Costos'!E793))</f>
        <v>450000</v>
      </c>
      <c r="F793" s="5" t="str">
        <f>+IF('Data Pura Costos'!F793="","",'Data Pura Costos'!F793)</f>
        <v>Mostazal</v>
      </c>
      <c r="G793" s="5" t="str">
        <f>+IF('Data Pura Costos'!G793="","",'Data Pura Costos'!G793)</f>
        <v>TRAIDILL</v>
      </c>
      <c r="H793" s="52" t="str">
        <f>+IF('Data Pura Costos'!H793="","",'Data Pura Costos'!H793)</f>
        <v>Termo</v>
      </c>
      <c r="I793" s="71">
        <f>+IF('Data Pura Costos'!I793="","",'Data Pura Costos'!I793)</f>
        <v>4090.909090909091</v>
      </c>
      <c r="J793" s="52" t="str">
        <f>+IF('Data Pura Costos'!J793="","",'Data Pura Costos'!J793)</f>
        <v>24-25</v>
      </c>
      <c r="K793" s="82" t="str">
        <f t="shared" si="17"/>
        <v>Las Cabras-Mostazal-TRAIDILL</v>
      </c>
      <c r="R793" s="6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</row>
    <row r="794" spans="2:39" s="7" customFormat="1" x14ac:dyDescent="0.35">
      <c r="B794" s="4" t="str">
        <f>+IF('Data Pura Costos'!B794="","",'Data Pura Costos'!B794)</f>
        <v>Las Vertientes</v>
      </c>
      <c r="C794" s="4" t="str">
        <f>+IF('Data Pura Costos'!C794="","",'Data Pura Costos'!C794)</f>
        <v>Pichidegua, VI región</v>
      </c>
      <c r="D794" s="5">
        <f>+IF('Data Pura Costos'!D794="","",'Data Pura Costos'!D794)</f>
        <v>103</v>
      </c>
      <c r="E794" s="65">
        <f>+IF('Data Pura Costos'!E794="","",IF('Data Pura Costos'!E794=0,MAX('Data Pura Costos'!$E$7:$E$3000)*1000,'Data Pura Costos'!E794))</f>
        <v>450000</v>
      </c>
      <c r="F794" s="5" t="str">
        <f>+IF('Data Pura Costos'!F794="","",'Data Pura Costos'!F794)</f>
        <v>Mostazal</v>
      </c>
      <c r="G794" s="5" t="str">
        <f>+IF('Data Pura Costos'!G794="","",'Data Pura Costos'!G794)</f>
        <v>TRAIDILL</v>
      </c>
      <c r="H794" s="52" t="str">
        <f>+IF('Data Pura Costos'!H794="","",'Data Pura Costos'!H794)</f>
        <v>Termo</v>
      </c>
      <c r="I794" s="71">
        <f>+IF('Data Pura Costos'!I794="","",'Data Pura Costos'!I794)</f>
        <v>4368.9320388349515</v>
      </c>
      <c r="J794" s="52" t="str">
        <f>+IF('Data Pura Costos'!J794="","",'Data Pura Costos'!J794)</f>
        <v>24-25</v>
      </c>
      <c r="K794" s="82" t="str">
        <f t="shared" si="17"/>
        <v>Las Vertientes-Mostazal-TRAIDILL</v>
      </c>
      <c r="R794" s="6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</row>
    <row r="795" spans="2:39" s="7" customFormat="1" x14ac:dyDescent="0.35">
      <c r="B795" s="4" t="str">
        <f>+IF('Data Pura Costos'!B795="","",'Data Pura Costos'!B795)</f>
        <v>Lihueimo</v>
      </c>
      <c r="C795" s="4" t="str">
        <f>+IF('Data Pura Costos'!C795="","",'Data Pura Costos'!C795)</f>
        <v>Peralillo ohiggins</v>
      </c>
      <c r="D795" s="5">
        <f>+IF('Data Pura Costos'!D795="","",'Data Pura Costos'!D795)</f>
        <v>131</v>
      </c>
      <c r="E795" s="65">
        <f>+IF('Data Pura Costos'!E795="","",IF('Data Pura Costos'!E795=0,MAX('Data Pura Costos'!$E$7:$E$3000)*1000,'Data Pura Costos'!E795))</f>
        <v>550000</v>
      </c>
      <c r="F795" s="5" t="str">
        <f>+IF('Data Pura Costos'!F795="","",'Data Pura Costos'!F795)</f>
        <v>Mostazal</v>
      </c>
      <c r="G795" s="5" t="str">
        <f>+IF('Data Pura Costos'!G795="","",'Data Pura Costos'!G795)</f>
        <v>TRAIDILL</v>
      </c>
      <c r="H795" s="52" t="str">
        <f>+IF('Data Pura Costos'!H795="","",'Data Pura Costos'!H795)</f>
        <v>Termo</v>
      </c>
      <c r="I795" s="71">
        <f>+IF('Data Pura Costos'!I795="","",'Data Pura Costos'!I795)</f>
        <v>4198.4732824427483</v>
      </c>
      <c r="J795" s="52" t="str">
        <f>+IF('Data Pura Costos'!J795="","",'Data Pura Costos'!J795)</f>
        <v>24-25</v>
      </c>
      <c r="K795" s="82" t="str">
        <f t="shared" si="17"/>
        <v>Lihueimo-Mostazal-TRAIDILL</v>
      </c>
      <c r="R795" s="6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</row>
    <row r="796" spans="2:39" s="7" customFormat="1" x14ac:dyDescent="0.35">
      <c r="B796" s="4" t="str">
        <f>+IF('Data Pura Costos'!B796="","",'Data Pura Costos'!B796)</f>
        <v>Los Maitenes</v>
      </c>
      <c r="C796" s="4" t="str">
        <f>+IF('Data Pura Costos'!C796="","",'Data Pura Costos'!C796)</f>
        <v>Las Cabras, VI región</v>
      </c>
      <c r="D796" s="5">
        <f>+IF('Data Pura Costos'!D796="","",'Data Pura Costos'!D796)</f>
        <v>118</v>
      </c>
      <c r="E796" s="65">
        <f>+IF('Data Pura Costos'!E796="","",IF('Data Pura Costos'!E796=0,MAX('Data Pura Costos'!$E$7:$E$3000)*1000,'Data Pura Costos'!E796))</f>
        <v>450000</v>
      </c>
      <c r="F796" s="5" t="str">
        <f>+IF('Data Pura Costos'!F796="","",'Data Pura Costos'!F796)</f>
        <v>Mostazal</v>
      </c>
      <c r="G796" s="5" t="str">
        <f>+IF('Data Pura Costos'!G796="","",'Data Pura Costos'!G796)</f>
        <v>TRAIDILL</v>
      </c>
      <c r="H796" s="52" t="str">
        <f>+IF('Data Pura Costos'!H796="","",'Data Pura Costos'!H796)</f>
        <v>Termo</v>
      </c>
      <c r="I796" s="71">
        <f>+IF('Data Pura Costos'!I796="","",'Data Pura Costos'!I796)</f>
        <v>3813.5593220338983</v>
      </c>
      <c r="J796" s="52" t="str">
        <f>+IF('Data Pura Costos'!J796="","",'Data Pura Costos'!J796)</f>
        <v>24-25</v>
      </c>
      <c r="K796" s="82" t="str">
        <f t="shared" si="17"/>
        <v>Los Maitenes-Mostazal-TRAIDILL</v>
      </c>
      <c r="R796" s="6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</row>
    <row r="797" spans="2:39" s="7" customFormat="1" x14ac:dyDescent="0.35">
      <c r="B797" s="4" t="str">
        <f>+IF('Data Pura Costos'!B797="","",'Data Pura Costos'!B797)</f>
        <v>Los Toldos</v>
      </c>
      <c r="C797" s="4" t="str">
        <f>+IF('Data Pura Costos'!C797="","",'Data Pura Costos'!C797)</f>
        <v>Angol, IX región</v>
      </c>
      <c r="D797" s="5">
        <f>+IF('Data Pura Costos'!D797="","",'Data Pura Costos'!D797)</f>
        <v>549</v>
      </c>
      <c r="E797" s="65">
        <f>+IF('Data Pura Costos'!E797="","",IF('Data Pura Costos'!E797=0,MAX('Data Pura Costos'!$E$7:$E$3000)*1000,'Data Pura Costos'!E797))</f>
        <v>1350000</v>
      </c>
      <c r="F797" s="5" t="str">
        <f>+IF('Data Pura Costos'!F797="","",'Data Pura Costos'!F797)</f>
        <v>Mostazal</v>
      </c>
      <c r="G797" s="5" t="str">
        <f>+IF('Data Pura Costos'!G797="","",'Data Pura Costos'!G797)</f>
        <v>TRAIDILL</v>
      </c>
      <c r="H797" s="52" t="str">
        <f>+IF('Data Pura Costos'!H797="","",'Data Pura Costos'!H797)</f>
        <v>Termo</v>
      </c>
      <c r="I797" s="71">
        <f>+IF('Data Pura Costos'!I797="","",'Data Pura Costos'!I797)</f>
        <v>2459.0163934426228</v>
      </c>
      <c r="J797" s="52" t="str">
        <f>+IF('Data Pura Costos'!J797="","",'Data Pura Costos'!J797)</f>
        <v>24-25</v>
      </c>
      <c r="K797" s="82" t="str">
        <f t="shared" si="17"/>
        <v>Los Toldos-Mostazal-TRAIDILL</v>
      </c>
      <c r="R797" s="6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</row>
    <row r="798" spans="2:39" s="7" customFormat="1" x14ac:dyDescent="0.35">
      <c r="B798" s="4" t="str">
        <f>+IF('Data Pura Costos'!B798="","",'Data Pura Costos'!B798)</f>
        <v>Mallorca</v>
      </c>
      <c r="C798" s="4" t="str">
        <f>+IF('Data Pura Costos'!C798="","",'Data Pura Costos'!C798)</f>
        <v xml:space="preserve">Molina, VII región </v>
      </c>
      <c r="D798" s="5">
        <f>+IF('Data Pura Costos'!D798="","",'Data Pura Costos'!D798)</f>
        <v>144</v>
      </c>
      <c r="E798" s="65">
        <f>+IF('Data Pura Costos'!E798="","",IF('Data Pura Costos'!E798=0,MAX('Data Pura Costos'!$E$7:$E$3000)*1000,'Data Pura Costos'!E798))</f>
        <v>500000</v>
      </c>
      <c r="F798" s="5" t="str">
        <f>+IF('Data Pura Costos'!F798="","",'Data Pura Costos'!F798)</f>
        <v>Mostazal</v>
      </c>
      <c r="G798" s="5" t="str">
        <f>+IF('Data Pura Costos'!G798="","",'Data Pura Costos'!G798)</f>
        <v>TRAIDILL</v>
      </c>
      <c r="H798" s="52" t="str">
        <f>+IF('Data Pura Costos'!H798="","",'Data Pura Costos'!H798)</f>
        <v>Termo</v>
      </c>
      <c r="I798" s="71">
        <f>+IF('Data Pura Costos'!I798="","",'Data Pura Costos'!I798)</f>
        <v>3472.2222222222222</v>
      </c>
      <c r="J798" s="52" t="str">
        <f>+IF('Data Pura Costos'!J798="","",'Data Pura Costos'!J798)</f>
        <v>24-25</v>
      </c>
      <c r="K798" s="82" t="str">
        <f t="shared" si="17"/>
        <v>Mallorca-Mostazal-TRAIDILL</v>
      </c>
      <c r="R798" s="6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</row>
    <row r="799" spans="2:39" s="7" customFormat="1" x14ac:dyDescent="0.35">
      <c r="B799" s="4" t="str">
        <f>+IF('Data Pura Costos'!B799="","",'Data Pura Costos'!B799)</f>
        <v>Panquehue</v>
      </c>
      <c r="C799" s="4" t="str">
        <f>+IF('Data Pura Costos'!C799="","",'Data Pura Costos'!C799)</f>
        <v>Panquehue, V región</v>
      </c>
      <c r="D799" s="5">
        <f>+IF('Data Pura Costos'!D799="","",'Data Pura Costos'!D799)</f>
        <v>165</v>
      </c>
      <c r="E799" s="65">
        <f>+IF('Data Pura Costos'!E799="","",IF('Data Pura Costos'!E799=0,MAX('Data Pura Costos'!$E$7:$E$3000)*1000,'Data Pura Costos'!E799))</f>
        <v>550000</v>
      </c>
      <c r="F799" s="5" t="str">
        <f>+IF('Data Pura Costos'!F799="","",'Data Pura Costos'!F799)</f>
        <v>Mostazal</v>
      </c>
      <c r="G799" s="5" t="str">
        <f>+IF('Data Pura Costos'!G799="","",'Data Pura Costos'!G799)</f>
        <v>TRAIDILL</v>
      </c>
      <c r="H799" s="52" t="str">
        <f>+IF('Data Pura Costos'!H799="","",'Data Pura Costos'!H799)</f>
        <v>Termo</v>
      </c>
      <c r="I799" s="71">
        <f>+IF('Data Pura Costos'!I799="","",'Data Pura Costos'!I799)</f>
        <v>3333.3333333333335</v>
      </c>
      <c r="J799" s="52" t="str">
        <f>+IF('Data Pura Costos'!J799="","",'Data Pura Costos'!J799)</f>
        <v>24-25</v>
      </c>
      <c r="K799" s="82" t="str">
        <f t="shared" si="17"/>
        <v>Panquehue-Mostazal-TRAIDILL</v>
      </c>
      <c r="R799" s="6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</row>
    <row r="800" spans="2:39" s="7" customFormat="1" x14ac:dyDescent="0.35">
      <c r="B800" s="4" t="str">
        <f>+IF('Data Pura Costos'!B800="","",'Data Pura Costos'!B800)</f>
        <v>Retorno</v>
      </c>
      <c r="C800" s="4" t="str">
        <f>+IF('Data Pura Costos'!C800="","",'Data Pura Costos'!C800)</f>
        <v>Santa maria, V región</v>
      </c>
      <c r="D800" s="5">
        <f>+IF('Data Pura Costos'!D800="","",'Data Pura Costos'!D800)</f>
        <v>162</v>
      </c>
      <c r="E800" s="65">
        <f>+IF('Data Pura Costos'!E800="","",IF('Data Pura Costos'!E800=0,MAX('Data Pura Costos'!$E$7:$E$3000)*1000,'Data Pura Costos'!E800))</f>
        <v>550000</v>
      </c>
      <c r="F800" s="5" t="str">
        <f>+IF('Data Pura Costos'!F800="","",'Data Pura Costos'!F800)</f>
        <v>Mostazal</v>
      </c>
      <c r="G800" s="5" t="str">
        <f>+IF('Data Pura Costos'!G800="","",'Data Pura Costos'!G800)</f>
        <v>TRAIDILL</v>
      </c>
      <c r="H800" s="52" t="str">
        <f>+IF('Data Pura Costos'!H800="","",'Data Pura Costos'!H800)</f>
        <v>Termo</v>
      </c>
      <c r="I800" s="71">
        <f>+IF('Data Pura Costos'!I800="","",'Data Pura Costos'!I800)</f>
        <v>3395.0617283950619</v>
      </c>
      <c r="J800" s="52" t="str">
        <f>+IF('Data Pura Costos'!J800="","",'Data Pura Costos'!J800)</f>
        <v>24-25</v>
      </c>
      <c r="K800" s="82" t="str">
        <f t="shared" si="17"/>
        <v>Retorno-Mostazal-TRAIDILL</v>
      </c>
      <c r="R800" s="6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</row>
    <row r="801" spans="2:39" s="7" customFormat="1" x14ac:dyDescent="0.35">
      <c r="B801" s="4" t="str">
        <f>+IF('Data Pura Costos'!B801="","",'Data Pura Costos'!B801)</f>
        <v>Talhuén</v>
      </c>
      <c r="C801" s="4" t="str">
        <f>+IF('Data Pura Costos'!C801="","",'Data Pura Costos'!C801)</f>
        <v>Palmilla, VI región</v>
      </c>
      <c r="D801" s="5">
        <f>+IF('Data Pura Costos'!D801="","",'Data Pura Costos'!D801)</f>
        <v>122</v>
      </c>
      <c r="E801" s="65">
        <f>+IF('Data Pura Costos'!E801="","",IF('Data Pura Costos'!E801=0,MAX('Data Pura Costos'!$E$7:$E$3000)*1000,'Data Pura Costos'!E801))</f>
        <v>500000</v>
      </c>
      <c r="F801" s="5" t="str">
        <f>+IF('Data Pura Costos'!F801="","",'Data Pura Costos'!F801)</f>
        <v>Mostazal</v>
      </c>
      <c r="G801" s="5" t="str">
        <f>+IF('Data Pura Costos'!G801="","",'Data Pura Costos'!G801)</f>
        <v>TRAIDILL</v>
      </c>
      <c r="H801" s="52" t="str">
        <f>+IF('Data Pura Costos'!H801="","",'Data Pura Costos'!H801)</f>
        <v>Termo</v>
      </c>
      <c r="I801" s="71">
        <f>+IF('Data Pura Costos'!I801="","",'Data Pura Costos'!I801)</f>
        <v>4098.3606557377052</v>
      </c>
      <c r="J801" s="52" t="str">
        <f>+IF('Data Pura Costos'!J801="","",'Data Pura Costos'!J801)</f>
        <v>24-25</v>
      </c>
      <c r="K801" s="82" t="str">
        <f t="shared" si="17"/>
        <v>Talhuén-Mostazal-TRAIDILL</v>
      </c>
      <c r="R801" s="6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</row>
    <row r="802" spans="2:39" s="7" customFormat="1" x14ac:dyDescent="0.35">
      <c r="B802" s="4" t="str">
        <f>+IF('Data Pura Costos'!B802="","",'Data Pura Costos'!B802)</f>
        <v>Triunfo</v>
      </c>
      <c r="C802" s="4" t="str">
        <f>+IF('Data Pura Costos'!C802="","",'Data Pura Costos'!C802)</f>
        <v xml:space="preserve">San Esteban, V región </v>
      </c>
      <c r="D802" s="5" t="str">
        <f>+IF('Data Pura Costos'!D802="","",'Data Pura Costos'!D802)</f>
        <v/>
      </c>
      <c r="E802" s="65">
        <f>+IF('Data Pura Costos'!E802="","",IF('Data Pura Costos'!E802=0,MAX('Data Pura Costos'!$E$7:$E$3000)*1000,'Data Pura Costos'!E802))</f>
        <v>550000</v>
      </c>
      <c r="F802" s="5" t="str">
        <f>+IF('Data Pura Costos'!F802="","",'Data Pura Costos'!F802)</f>
        <v>Mostazal</v>
      </c>
      <c r="G802" s="5" t="str">
        <f>+IF('Data Pura Costos'!G802="","",'Data Pura Costos'!G802)</f>
        <v>TRAIDILL</v>
      </c>
      <c r="H802" s="52" t="str">
        <f>+IF('Data Pura Costos'!H802="","",'Data Pura Costos'!H802)</f>
        <v>Termo</v>
      </c>
      <c r="I802" s="71" t="e">
        <f>+IF('Data Pura Costos'!I802="","",'Data Pura Costos'!I802)</f>
        <v>#DIV/0!</v>
      </c>
      <c r="J802" s="52" t="str">
        <f>+IF('Data Pura Costos'!J802="","",'Data Pura Costos'!J802)</f>
        <v>24-25</v>
      </c>
      <c r="K802" s="82" t="str">
        <f t="shared" si="17"/>
        <v>Triunfo-Mostazal-TRAIDILL</v>
      </c>
      <c r="R802" s="6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</row>
    <row r="803" spans="2:39" s="7" customFormat="1" x14ac:dyDescent="0.35">
      <c r="B803" s="4" t="str">
        <f>+IF('Data Pura Costos'!B803="","",'Data Pura Costos'!B803)</f>
        <v>Villaseca</v>
      </c>
      <c r="C803" s="4" t="str">
        <f>+IF('Data Pura Costos'!C803="","",'Data Pura Costos'!C803)</f>
        <v>Retiro, VII reginón</v>
      </c>
      <c r="D803" s="5">
        <f>+IF('Data Pura Costos'!D803="","",'Data Pura Costos'!D803)</f>
        <v>297</v>
      </c>
      <c r="E803" s="65">
        <f>+IF('Data Pura Costos'!E803="","",IF('Data Pura Costos'!E803=0,MAX('Data Pura Costos'!$E$7:$E$3000)*1000,'Data Pura Costos'!E803))</f>
        <v>800000</v>
      </c>
      <c r="F803" s="5" t="str">
        <f>+IF('Data Pura Costos'!F803="","",'Data Pura Costos'!F803)</f>
        <v>Mostazal</v>
      </c>
      <c r="G803" s="5" t="str">
        <f>+IF('Data Pura Costos'!G803="","",'Data Pura Costos'!G803)</f>
        <v>TRAIDILL</v>
      </c>
      <c r="H803" s="52" t="str">
        <f>+IF('Data Pura Costos'!H803="","",'Data Pura Costos'!H803)</f>
        <v>Termo</v>
      </c>
      <c r="I803" s="71">
        <f>+IF('Data Pura Costos'!I803="","",'Data Pura Costos'!I803)</f>
        <v>2693.6026936026938</v>
      </c>
      <c r="J803" s="52" t="str">
        <f>+IF('Data Pura Costos'!J803="","",'Data Pura Costos'!J803)</f>
        <v>24-25</v>
      </c>
      <c r="K803" s="82" t="str">
        <f t="shared" si="17"/>
        <v>Villaseca-Mostazal-TRAIDILL</v>
      </c>
      <c r="R803" s="6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</row>
    <row r="804" spans="2:39" s="7" customFormat="1" x14ac:dyDescent="0.35">
      <c r="B804" s="4" t="str">
        <f>+IF('Data Pura Costos'!B804="","",'Data Pura Costos'!B804)</f>
        <v>Almahue</v>
      </c>
      <c r="C804" s="4" t="str">
        <f>+IF('Data Pura Costos'!C804="","",'Data Pura Costos'!C804)</f>
        <v>Pichidegua, VI región</v>
      </c>
      <c r="D804" s="5">
        <f>+IF('Data Pura Costos'!D804="","",'Data Pura Costos'!D804)</f>
        <v>134</v>
      </c>
      <c r="E804" s="65">
        <f>+IF('Data Pura Costos'!E804="","",IF('Data Pura Costos'!E804=0,MAX('Data Pura Costos'!$E$7:$E$3000)*1000,'Data Pura Costos'!E804))</f>
        <v>450000</v>
      </c>
      <c r="F804" s="5" t="str">
        <f>+IF('Data Pura Costos'!F804="","",'Data Pura Costos'!F804)</f>
        <v>Molina</v>
      </c>
      <c r="G804" s="5" t="str">
        <f>+IF('Data Pura Costos'!G804="","",'Data Pura Costos'!G804)</f>
        <v>TRAIDILL</v>
      </c>
      <c r="H804" s="52" t="str">
        <f>+IF('Data Pura Costos'!H804="","",'Data Pura Costos'!H804)</f>
        <v>Termo</v>
      </c>
      <c r="I804" s="71">
        <f>+IF('Data Pura Costos'!I804="","",'Data Pura Costos'!I804)</f>
        <v>3358.2089552238808</v>
      </c>
      <c r="J804" s="52" t="str">
        <f>+IF('Data Pura Costos'!J804="","",'Data Pura Costos'!J804)</f>
        <v>24-25</v>
      </c>
      <c r="K804" s="82" t="str">
        <f t="shared" si="17"/>
        <v>Almahue-Molina-TRAIDILL</v>
      </c>
      <c r="R804" s="6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</row>
    <row r="805" spans="2:39" s="7" customFormat="1" x14ac:dyDescent="0.35">
      <c r="B805" s="4" t="str">
        <f>+IF('Data Pura Costos'!B805="","",'Data Pura Costos'!B805)</f>
        <v>Bodega</v>
      </c>
      <c r="C805" s="4" t="str">
        <f>+IF('Data Pura Costos'!C805="","",'Data Pura Costos'!C805)</f>
        <v>Linares, VII region.</v>
      </c>
      <c r="D805" s="5">
        <f>+IF('Data Pura Costos'!D805="","",'Data Pura Costos'!D805)</f>
        <v>123</v>
      </c>
      <c r="E805" s="65">
        <f>+IF('Data Pura Costos'!E805="","",IF('Data Pura Costos'!E805=0,MAX('Data Pura Costos'!$E$7:$E$3000)*1000,'Data Pura Costos'!E805))</f>
        <v>650000</v>
      </c>
      <c r="F805" s="5" t="str">
        <f>+IF('Data Pura Costos'!F805="","",'Data Pura Costos'!F805)</f>
        <v>Molina</v>
      </c>
      <c r="G805" s="5" t="str">
        <f>+IF('Data Pura Costos'!G805="","",'Data Pura Costos'!G805)</f>
        <v>TRAIDILL</v>
      </c>
      <c r="H805" s="52" t="str">
        <f>+IF('Data Pura Costos'!H805="","",'Data Pura Costos'!H805)</f>
        <v>Termo</v>
      </c>
      <c r="I805" s="71">
        <f>+IF('Data Pura Costos'!I805="","",'Data Pura Costos'!I805)</f>
        <v>5284.5528455284557</v>
      </c>
      <c r="J805" s="52" t="str">
        <f>+IF('Data Pura Costos'!J805="","",'Data Pura Costos'!J805)</f>
        <v>24-25</v>
      </c>
      <c r="K805" s="82" t="str">
        <f t="shared" si="17"/>
        <v>Bodega-Molina-TRAIDILL</v>
      </c>
      <c r="R805" s="6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</row>
    <row r="806" spans="2:39" s="7" customFormat="1" x14ac:dyDescent="0.35">
      <c r="B806" s="4" t="str">
        <f>+IF('Data Pura Costos'!B806="","",'Data Pura Costos'!B806)</f>
        <v xml:space="preserve">Caliboro </v>
      </c>
      <c r="C806" s="4" t="str">
        <f>+IF('Data Pura Costos'!C806="","",'Data Pura Costos'!C806)</f>
        <v>San Javier, VII región</v>
      </c>
      <c r="D806" s="5">
        <f>+IF('Data Pura Costos'!D806="","",'Data Pura Costos'!D806)</f>
        <v>118</v>
      </c>
      <c r="E806" s="65">
        <f>+IF('Data Pura Costos'!E806="","",IF('Data Pura Costos'!E806=0,MAX('Data Pura Costos'!$E$7:$E$3000)*1000,'Data Pura Costos'!E806))</f>
        <v>650000</v>
      </c>
      <c r="F806" s="5" t="str">
        <f>+IF('Data Pura Costos'!F806="","",'Data Pura Costos'!F806)</f>
        <v>Molina</v>
      </c>
      <c r="G806" s="5" t="str">
        <f>+IF('Data Pura Costos'!G806="","",'Data Pura Costos'!G806)</f>
        <v>TRAIDILL</v>
      </c>
      <c r="H806" s="52" t="str">
        <f>+IF('Data Pura Costos'!H806="","",'Data Pura Costos'!H806)</f>
        <v>Termo</v>
      </c>
      <c r="I806" s="71">
        <f>+IF('Data Pura Costos'!I806="","",'Data Pura Costos'!I806)</f>
        <v>5508.4745762711864</v>
      </c>
      <c r="J806" s="52" t="str">
        <f>+IF('Data Pura Costos'!J806="","",'Data Pura Costos'!J806)</f>
        <v>24-25</v>
      </c>
      <c r="K806" s="82" t="str">
        <f t="shared" si="17"/>
        <v>Caliboro -Molina-TRAIDILL</v>
      </c>
      <c r="R806" s="6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</row>
    <row r="807" spans="2:39" s="7" customFormat="1" x14ac:dyDescent="0.35">
      <c r="B807" s="4" t="str">
        <f>+IF('Data Pura Costos'!B807="","",'Data Pura Costos'!B807)</f>
        <v>Calleuque</v>
      </c>
      <c r="C807" s="4" t="str">
        <f>+IF('Data Pura Costos'!C807="","",'Data Pura Costos'!C807)</f>
        <v>Peralillo ohiggins, VI región</v>
      </c>
      <c r="D807" s="5">
        <f>+IF('Data Pura Costos'!D807="","",'Data Pura Costos'!D807)</f>
        <v>103</v>
      </c>
      <c r="E807" s="65">
        <f>+IF('Data Pura Costos'!E807="","",IF('Data Pura Costos'!E807=0,MAX('Data Pura Costos'!$E$7:$E$3000)*1000,'Data Pura Costos'!E807))</f>
        <v>450000</v>
      </c>
      <c r="F807" s="5" t="str">
        <f>+IF('Data Pura Costos'!F807="","",'Data Pura Costos'!F807)</f>
        <v>Molina</v>
      </c>
      <c r="G807" s="5" t="str">
        <f>+IF('Data Pura Costos'!G807="","",'Data Pura Costos'!G807)</f>
        <v>TRAIDILL</v>
      </c>
      <c r="H807" s="52" t="str">
        <f>+IF('Data Pura Costos'!H807="","",'Data Pura Costos'!H807)</f>
        <v>Termo</v>
      </c>
      <c r="I807" s="71">
        <f>+IF('Data Pura Costos'!I807="","",'Data Pura Costos'!I807)</f>
        <v>4368.9320388349515</v>
      </c>
      <c r="J807" s="52" t="str">
        <f>+IF('Data Pura Costos'!J807="","",'Data Pura Costos'!J807)</f>
        <v>24-25</v>
      </c>
      <c r="K807" s="82" t="str">
        <f t="shared" si="17"/>
        <v>Calleuque-Molina-TRAIDILL</v>
      </c>
      <c r="R807" s="6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</row>
    <row r="808" spans="2:39" s="7" customFormat="1" x14ac:dyDescent="0.35">
      <c r="B808" s="4" t="str">
        <f>+IF('Data Pura Costos'!B808="","",'Data Pura Costos'!B808)</f>
        <v>Chumpirro</v>
      </c>
      <c r="C808" s="4" t="str">
        <f>+IF('Data Pura Costos'!C808="","",'Data Pura Costos'!C808)</f>
        <v>Angol, IX región</v>
      </c>
      <c r="D808" s="5">
        <f>+IF('Data Pura Costos'!D808="","",'Data Pura Costos'!D808)</f>
        <v>358</v>
      </c>
      <c r="E808" s="65">
        <f>+IF('Data Pura Costos'!E808="","",IF('Data Pura Costos'!E808=0,MAX('Data Pura Costos'!$E$7:$E$3000)*1000,'Data Pura Costos'!E808))</f>
        <v>1150000</v>
      </c>
      <c r="F808" s="5" t="str">
        <f>+IF('Data Pura Costos'!F808="","",'Data Pura Costos'!F808)</f>
        <v>Molina</v>
      </c>
      <c r="G808" s="5" t="str">
        <f>+IF('Data Pura Costos'!G808="","",'Data Pura Costos'!G808)</f>
        <v>TRAIDILL</v>
      </c>
      <c r="H808" s="52" t="str">
        <f>+IF('Data Pura Costos'!H808="","",'Data Pura Costos'!H808)</f>
        <v>Termo</v>
      </c>
      <c r="I808" s="71">
        <f>+IF('Data Pura Costos'!I808="","",'Data Pura Costos'!I808)</f>
        <v>3212.2905027932961</v>
      </c>
      <c r="J808" s="52" t="str">
        <f>+IF('Data Pura Costos'!J808="","",'Data Pura Costos'!J808)</f>
        <v>24-25</v>
      </c>
      <c r="K808" s="82" t="str">
        <f t="shared" si="17"/>
        <v>Chumpirro-Molina-TRAIDILL</v>
      </c>
      <c r="R808" s="6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</row>
    <row r="809" spans="2:39" s="7" customFormat="1" x14ac:dyDescent="0.35">
      <c r="B809" s="4" t="str">
        <f>+IF('Data Pura Costos'!B809="","",'Data Pura Costos'!B809)</f>
        <v xml:space="preserve"> Cocalán</v>
      </c>
      <c r="C809" s="4" t="str">
        <f>+IF('Data Pura Costos'!C809="","",'Data Pura Costos'!C809)</f>
        <v>Cocalán, VI región</v>
      </c>
      <c r="D809" s="5">
        <f>+IF('Data Pura Costos'!D809="","",'Data Pura Costos'!D809)</f>
        <v>141</v>
      </c>
      <c r="E809" s="65">
        <f>+IF('Data Pura Costos'!E809="","",IF('Data Pura Costos'!E809=0,MAX('Data Pura Costos'!$E$7:$E$3000)*1000,'Data Pura Costos'!E809))</f>
        <v>480000</v>
      </c>
      <c r="F809" s="5" t="str">
        <f>+IF('Data Pura Costos'!F809="","",'Data Pura Costos'!F809)</f>
        <v>Molina</v>
      </c>
      <c r="G809" s="5" t="str">
        <f>+IF('Data Pura Costos'!G809="","",'Data Pura Costos'!G809)</f>
        <v>TRAIDILL</v>
      </c>
      <c r="H809" s="52" t="str">
        <f>+IF('Data Pura Costos'!H809="","",'Data Pura Costos'!H809)</f>
        <v>Termo</v>
      </c>
      <c r="I809" s="71">
        <f>+IF('Data Pura Costos'!I809="","",'Data Pura Costos'!I809)</f>
        <v>3404.255319148936</v>
      </c>
      <c r="J809" s="52" t="str">
        <f>+IF('Data Pura Costos'!J809="","",'Data Pura Costos'!J809)</f>
        <v>24-25</v>
      </c>
      <c r="K809" s="82" t="str">
        <f t="shared" si="17"/>
        <v xml:space="preserve"> Cocalán-Molina-TRAIDILL</v>
      </c>
      <c r="R809" s="6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</row>
    <row r="810" spans="2:39" s="7" customFormat="1" x14ac:dyDescent="0.35">
      <c r="B810" s="4" t="str">
        <f>+IF('Data Pura Costos'!B810="","",'Data Pura Costos'!B810)</f>
        <v>El Espino</v>
      </c>
      <c r="C810" s="4" t="str">
        <f>+IF('Data Pura Costos'!C810="","",'Data Pura Costos'!C810)</f>
        <v>Colbún, VII región</v>
      </c>
      <c r="D810" s="5">
        <f>+IF('Data Pura Costos'!D810="","",'Data Pura Costos'!D810)</f>
        <v>100</v>
      </c>
      <c r="E810" s="65">
        <f>+IF('Data Pura Costos'!E810="","",IF('Data Pura Costos'!E810=0,MAX('Data Pura Costos'!$E$7:$E$3000)*1000,'Data Pura Costos'!E810))</f>
        <v>600000</v>
      </c>
      <c r="F810" s="5" t="str">
        <f>+IF('Data Pura Costos'!F810="","",'Data Pura Costos'!F810)</f>
        <v>Molina</v>
      </c>
      <c r="G810" s="5" t="str">
        <f>+IF('Data Pura Costos'!G810="","",'Data Pura Costos'!G810)</f>
        <v>TRAIDILL</v>
      </c>
      <c r="H810" s="52" t="str">
        <f>+IF('Data Pura Costos'!H810="","",'Data Pura Costos'!H810)</f>
        <v>Termo</v>
      </c>
      <c r="I810" s="71">
        <f>+IF('Data Pura Costos'!I810="","",'Data Pura Costos'!I810)</f>
        <v>6000</v>
      </c>
      <c r="J810" s="52" t="str">
        <f>+IF('Data Pura Costos'!J810="","",'Data Pura Costos'!J810)</f>
        <v>24-25</v>
      </c>
      <c r="K810" s="82" t="str">
        <f t="shared" si="17"/>
        <v>El Espino-Molina-TRAIDILL</v>
      </c>
      <c r="R810" s="6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</row>
    <row r="811" spans="2:39" s="7" customFormat="1" x14ac:dyDescent="0.35">
      <c r="B811" s="4" t="str">
        <f>+IF('Data Pura Costos'!B811="","",'Data Pura Costos'!B811)</f>
        <v>El Huaico</v>
      </c>
      <c r="C811" s="4" t="str">
        <f>+IF('Data Pura Costos'!C811="","",'Data Pura Costos'!C811)</f>
        <v>Palmila Ohiggins</v>
      </c>
      <c r="D811" s="5">
        <f>+IF('Data Pura Costos'!D811="","",'Data Pura Costos'!D811)</f>
        <v>85</v>
      </c>
      <c r="E811" s="65">
        <f>+IF('Data Pura Costos'!E811="","",IF('Data Pura Costos'!E811=0,MAX('Data Pura Costos'!$E$7:$E$3000)*1000,'Data Pura Costos'!E811))</f>
        <v>450000</v>
      </c>
      <c r="F811" s="5" t="str">
        <f>+IF('Data Pura Costos'!F811="","",'Data Pura Costos'!F811)</f>
        <v>Molina</v>
      </c>
      <c r="G811" s="5" t="str">
        <f>+IF('Data Pura Costos'!G811="","",'Data Pura Costos'!G811)</f>
        <v>TRAIDILL</v>
      </c>
      <c r="H811" s="52" t="str">
        <f>+IF('Data Pura Costos'!H811="","",'Data Pura Costos'!H811)</f>
        <v>Termo</v>
      </c>
      <c r="I811" s="71">
        <f>+IF('Data Pura Costos'!I811="","",'Data Pura Costos'!I811)</f>
        <v>5294.1176470588234</v>
      </c>
      <c r="J811" s="52" t="str">
        <f>+IF('Data Pura Costos'!J811="","",'Data Pura Costos'!J811)</f>
        <v>24-25</v>
      </c>
      <c r="K811" s="82" t="str">
        <f t="shared" si="17"/>
        <v>El Huaico-Molina-TRAIDILL</v>
      </c>
      <c r="R811" s="6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</row>
    <row r="812" spans="2:39" s="7" customFormat="1" x14ac:dyDescent="0.35">
      <c r="B812" s="4" t="str">
        <f>+IF('Data Pura Costos'!B812="","",'Data Pura Costos'!B812)</f>
        <v>El Picaso</v>
      </c>
      <c r="C812" s="4" t="str">
        <f>+IF('Data Pura Costos'!C812="","",'Data Pura Costos'!C812)</f>
        <v xml:space="preserve">San Clemente, VII región </v>
      </c>
      <c r="D812" s="5">
        <f>+IF('Data Pura Costos'!D812="","",'Data Pura Costos'!D812)</f>
        <v>60</v>
      </c>
      <c r="E812" s="65">
        <f>+IF('Data Pura Costos'!E812="","",IF('Data Pura Costos'!E812=0,MAX('Data Pura Costos'!$E$7:$E$3000)*1000,'Data Pura Costos'!E812))</f>
        <v>500000</v>
      </c>
      <c r="F812" s="5" t="str">
        <f>+IF('Data Pura Costos'!F812="","",'Data Pura Costos'!F812)</f>
        <v>Molina</v>
      </c>
      <c r="G812" s="5" t="str">
        <f>+IF('Data Pura Costos'!G812="","",'Data Pura Costos'!G812)</f>
        <v>TRAIDILL</v>
      </c>
      <c r="H812" s="52" t="str">
        <f>+IF('Data Pura Costos'!H812="","",'Data Pura Costos'!H812)</f>
        <v>Termo</v>
      </c>
      <c r="I812" s="71">
        <f>+IF('Data Pura Costos'!I812="","",'Data Pura Costos'!I812)</f>
        <v>8333.3333333333339</v>
      </c>
      <c r="J812" s="52" t="str">
        <f>+IF('Data Pura Costos'!J812="","",'Data Pura Costos'!J812)</f>
        <v>24-25</v>
      </c>
      <c r="K812" s="82" t="str">
        <f t="shared" si="17"/>
        <v>El Picaso-Molina-TRAIDILL</v>
      </c>
      <c r="R812" s="6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</row>
    <row r="813" spans="2:39" s="7" customFormat="1" x14ac:dyDescent="0.35">
      <c r="B813" s="4" t="str">
        <f>+IF('Data Pura Costos'!B813="","",'Data Pura Costos'!B813)</f>
        <v>El Rosario</v>
      </c>
      <c r="C813" s="4" t="str">
        <f>+IF('Data Pura Costos'!C813="","",'Data Pura Costos'!C813)</f>
        <v>Linares, VII region.</v>
      </c>
      <c r="D813" s="5">
        <f>+IF('Data Pura Costos'!D813="","",'Data Pura Costos'!D813)</f>
        <v>120</v>
      </c>
      <c r="E813" s="65">
        <f>+IF('Data Pura Costos'!E813="","",IF('Data Pura Costos'!E813=0,MAX('Data Pura Costos'!$E$7:$E$3000)*1000,'Data Pura Costos'!E813))</f>
        <v>650000</v>
      </c>
      <c r="F813" s="5" t="str">
        <f>+IF('Data Pura Costos'!F813="","",'Data Pura Costos'!F813)</f>
        <v>Molina</v>
      </c>
      <c r="G813" s="5" t="str">
        <f>+IF('Data Pura Costos'!G813="","",'Data Pura Costos'!G813)</f>
        <v>TRAIDILL</v>
      </c>
      <c r="H813" s="52" t="str">
        <f>+IF('Data Pura Costos'!H813="","",'Data Pura Costos'!H813)</f>
        <v>Termo</v>
      </c>
      <c r="I813" s="71">
        <f>+IF('Data Pura Costos'!I813="","",'Data Pura Costos'!I813)</f>
        <v>5416.666666666667</v>
      </c>
      <c r="J813" s="52" t="str">
        <f>+IF('Data Pura Costos'!J813="","",'Data Pura Costos'!J813)</f>
        <v>24-25</v>
      </c>
      <c r="K813" s="82" t="str">
        <f t="shared" si="17"/>
        <v>El Rosario-Molina-TRAIDILL</v>
      </c>
      <c r="R813" s="6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</row>
    <row r="814" spans="2:39" s="7" customFormat="1" x14ac:dyDescent="0.35">
      <c r="B814" s="4" t="str">
        <f>+IF('Data Pura Costos'!B814="","",'Data Pura Costos'!B814)</f>
        <v>La Esperanza</v>
      </c>
      <c r="C814" s="4" t="str">
        <f>+IF('Data Pura Costos'!C814="","",'Data Pura Costos'!C814)</f>
        <v>Peumo, VI región</v>
      </c>
      <c r="D814" s="5">
        <f>+IF('Data Pura Costos'!D814="","",'Data Pura Costos'!D814)</f>
        <v>125</v>
      </c>
      <c r="E814" s="65">
        <f>+IF('Data Pura Costos'!E814="","",IF('Data Pura Costos'!E814=0,MAX('Data Pura Costos'!$E$7:$E$3000)*1000,'Data Pura Costos'!E814))</f>
        <v>450000</v>
      </c>
      <c r="F814" s="5" t="str">
        <f>+IF('Data Pura Costos'!F814="","",'Data Pura Costos'!F814)</f>
        <v>Molina</v>
      </c>
      <c r="G814" s="5" t="str">
        <f>+IF('Data Pura Costos'!G814="","",'Data Pura Costos'!G814)</f>
        <v>TRAIDILL</v>
      </c>
      <c r="H814" s="52" t="str">
        <f>+IF('Data Pura Costos'!H814="","",'Data Pura Costos'!H814)</f>
        <v>Termo</v>
      </c>
      <c r="I814" s="71">
        <f>+IF('Data Pura Costos'!I814="","",'Data Pura Costos'!I814)</f>
        <v>3600</v>
      </c>
      <c r="J814" s="52" t="str">
        <f>+IF('Data Pura Costos'!J814="","",'Data Pura Costos'!J814)</f>
        <v>24-25</v>
      </c>
      <c r="K814" s="82" t="str">
        <f t="shared" si="17"/>
        <v>La Esperanza-Molina-TRAIDILL</v>
      </c>
      <c r="R814" s="6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</row>
    <row r="815" spans="2:39" s="7" customFormat="1" x14ac:dyDescent="0.35">
      <c r="B815" s="4" t="str">
        <f>+IF('Data Pura Costos'!B815="","",'Data Pura Costos'!B815)</f>
        <v>La Estación</v>
      </c>
      <c r="C815" s="4" t="str">
        <f>+IF('Data Pura Costos'!C815="","",'Data Pura Costos'!C815)</f>
        <v>Palmilla, VI región</v>
      </c>
      <c r="D815" s="5">
        <f>+IF('Data Pura Costos'!D815="","",'Data Pura Costos'!D815)</f>
        <v>90</v>
      </c>
      <c r="E815" s="65">
        <f>+IF('Data Pura Costos'!E815="","",IF('Data Pura Costos'!E815=0,MAX('Data Pura Costos'!$E$7:$E$3000)*1000,'Data Pura Costos'!E815))</f>
        <v>450000</v>
      </c>
      <c r="F815" s="5" t="str">
        <f>+IF('Data Pura Costos'!F815="","",'Data Pura Costos'!F815)</f>
        <v>Molina</v>
      </c>
      <c r="G815" s="5" t="str">
        <f>+IF('Data Pura Costos'!G815="","",'Data Pura Costos'!G815)</f>
        <v>TRAIDILL</v>
      </c>
      <c r="H815" s="52" t="str">
        <f>+IF('Data Pura Costos'!H815="","",'Data Pura Costos'!H815)</f>
        <v>Termo</v>
      </c>
      <c r="I815" s="71">
        <f>+IF('Data Pura Costos'!I815="","",'Data Pura Costos'!I815)</f>
        <v>5000</v>
      </c>
      <c r="J815" s="52" t="str">
        <f>+IF('Data Pura Costos'!J815="","",'Data Pura Costos'!J815)</f>
        <v>24-25</v>
      </c>
      <c r="K815" s="82" t="str">
        <f t="shared" si="17"/>
        <v>La Estación-Molina-TRAIDILL</v>
      </c>
      <c r="R815" s="6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</row>
    <row r="816" spans="2:39" s="7" customFormat="1" x14ac:dyDescent="0.35">
      <c r="B816" s="4" t="str">
        <f>+IF('Data Pura Costos'!B816="","",'Data Pura Costos'!B816)</f>
        <v>La Lajuela</v>
      </c>
      <c r="C816" s="4" t="str">
        <f>+IF('Data Pura Costos'!C816="","",'Data Pura Costos'!C816)</f>
        <v>Santa Cruz, VI Región</v>
      </c>
      <c r="D816" s="5">
        <f>+IF('Data Pura Costos'!D816="","",'Data Pura Costos'!D816)</f>
        <v>80</v>
      </c>
      <c r="E816" s="65">
        <f>+IF('Data Pura Costos'!E816="","",IF('Data Pura Costos'!E816=0,MAX('Data Pura Costos'!$E$7:$E$3000)*1000,'Data Pura Costos'!E816))</f>
        <v>450000</v>
      </c>
      <c r="F816" s="5" t="str">
        <f>+IF('Data Pura Costos'!F816="","",'Data Pura Costos'!F816)</f>
        <v>Molina</v>
      </c>
      <c r="G816" s="5" t="str">
        <f>+IF('Data Pura Costos'!G816="","",'Data Pura Costos'!G816)</f>
        <v>TRAIDILL</v>
      </c>
      <c r="H816" s="52" t="str">
        <f>+IF('Data Pura Costos'!H816="","",'Data Pura Costos'!H816)</f>
        <v>Termo</v>
      </c>
      <c r="I816" s="71">
        <f>+IF('Data Pura Costos'!I816="","",'Data Pura Costos'!I816)</f>
        <v>5625</v>
      </c>
      <c r="J816" s="52" t="str">
        <f>+IF('Data Pura Costos'!J816="","",'Data Pura Costos'!J816)</f>
        <v>24-25</v>
      </c>
      <c r="K816" s="82" t="str">
        <f t="shared" si="17"/>
        <v>La Lajuela-Molina-TRAIDILL</v>
      </c>
      <c r="R816" s="6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</row>
    <row r="817" spans="2:39" s="7" customFormat="1" x14ac:dyDescent="0.35">
      <c r="B817" s="4" t="str">
        <f>+IF('Data Pura Costos'!B817="","",'Data Pura Costos'!B817)</f>
        <v>La Rinconada</v>
      </c>
      <c r="C817" s="4" t="str">
        <f>+IF('Data Pura Costos'!C817="","",'Data Pura Costos'!C817)</f>
        <v>Pichidegua, VI región</v>
      </c>
      <c r="D817" s="5">
        <f>+IF('Data Pura Costos'!D817="","",'Data Pura Costos'!D817)</f>
        <v>133</v>
      </c>
      <c r="E817" s="65">
        <f>+IF('Data Pura Costos'!E817="","",IF('Data Pura Costos'!E817=0,MAX('Data Pura Costos'!$E$7:$E$3000)*1000,'Data Pura Costos'!E817))</f>
        <v>450000</v>
      </c>
      <c r="F817" s="5" t="str">
        <f>+IF('Data Pura Costos'!F817="","",'Data Pura Costos'!F817)</f>
        <v>Molina</v>
      </c>
      <c r="G817" s="5" t="str">
        <f>+IF('Data Pura Costos'!G817="","",'Data Pura Costos'!G817)</f>
        <v>TRAIDILL</v>
      </c>
      <c r="H817" s="52" t="str">
        <f>+IF('Data Pura Costos'!H817="","",'Data Pura Costos'!H817)</f>
        <v>Termo</v>
      </c>
      <c r="I817" s="71">
        <f>+IF('Data Pura Costos'!I817="","",'Data Pura Costos'!I817)</f>
        <v>3383.4586466165415</v>
      </c>
      <c r="J817" s="52" t="str">
        <f>+IF('Data Pura Costos'!J817="","",'Data Pura Costos'!J817)</f>
        <v>24-25</v>
      </c>
      <c r="K817" s="82" t="str">
        <f t="shared" si="17"/>
        <v>La Rinconada-Molina-TRAIDILL</v>
      </c>
      <c r="R817" s="6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</row>
    <row r="818" spans="2:39" s="7" customFormat="1" x14ac:dyDescent="0.35">
      <c r="B818" s="4" t="str">
        <f>+IF('Data Pura Costos'!B818="","",'Data Pura Costos'!B818)</f>
        <v>Las Cabras</v>
      </c>
      <c r="C818" s="4" t="str">
        <f>+IF('Data Pura Costos'!C818="","",'Data Pura Costos'!C818)</f>
        <v>Las Cabras, VI región</v>
      </c>
      <c r="D818" s="5">
        <f>+IF('Data Pura Costos'!D818="","",'Data Pura Costos'!D818)</f>
        <v>140</v>
      </c>
      <c r="E818" s="65">
        <f>+IF('Data Pura Costos'!E818="","",IF('Data Pura Costos'!E818=0,MAX('Data Pura Costos'!$E$7:$E$3000)*1000,'Data Pura Costos'!E818))</f>
        <v>450000</v>
      </c>
      <c r="F818" s="5" t="str">
        <f>+IF('Data Pura Costos'!F818="","",'Data Pura Costos'!F818)</f>
        <v>Molina</v>
      </c>
      <c r="G818" s="5" t="str">
        <f>+IF('Data Pura Costos'!G818="","",'Data Pura Costos'!G818)</f>
        <v>TRAIDILL</v>
      </c>
      <c r="H818" s="52" t="str">
        <f>+IF('Data Pura Costos'!H818="","",'Data Pura Costos'!H818)</f>
        <v>Termo</v>
      </c>
      <c r="I818" s="71">
        <f>+IF('Data Pura Costos'!I818="","",'Data Pura Costos'!I818)</f>
        <v>3214.2857142857142</v>
      </c>
      <c r="J818" s="52" t="str">
        <f>+IF('Data Pura Costos'!J818="","",'Data Pura Costos'!J818)</f>
        <v>24-25</v>
      </c>
      <c r="K818" s="82" t="str">
        <f t="shared" si="17"/>
        <v>Las Cabras-Molina-TRAIDILL</v>
      </c>
      <c r="R818" s="6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</row>
    <row r="819" spans="2:39" s="7" customFormat="1" x14ac:dyDescent="0.35">
      <c r="B819" s="4" t="str">
        <f>+IF('Data Pura Costos'!B819="","",'Data Pura Costos'!B819)</f>
        <v>Las Vertientes</v>
      </c>
      <c r="C819" s="4" t="str">
        <f>+IF('Data Pura Costos'!C819="","",'Data Pura Costos'!C819)</f>
        <v>Pichidegua, VI región</v>
      </c>
      <c r="D819" s="5">
        <f>+IF('Data Pura Costos'!D819="","",'Data Pura Costos'!D819)</f>
        <v>130</v>
      </c>
      <c r="E819" s="65">
        <f>+IF('Data Pura Costos'!E819="","",IF('Data Pura Costos'!E819=0,MAX('Data Pura Costos'!$E$7:$E$3000)*1000,'Data Pura Costos'!E819))</f>
        <v>450000</v>
      </c>
      <c r="F819" s="5" t="str">
        <f>+IF('Data Pura Costos'!F819="","",'Data Pura Costos'!F819)</f>
        <v>Molina</v>
      </c>
      <c r="G819" s="5" t="str">
        <f>+IF('Data Pura Costos'!G819="","",'Data Pura Costos'!G819)</f>
        <v>TRAIDILL</v>
      </c>
      <c r="H819" s="52" t="str">
        <f>+IF('Data Pura Costos'!H819="","",'Data Pura Costos'!H819)</f>
        <v>Termo</v>
      </c>
      <c r="I819" s="71">
        <f>+IF('Data Pura Costos'!I819="","",'Data Pura Costos'!I819)</f>
        <v>3461.5384615384614</v>
      </c>
      <c r="J819" s="52" t="str">
        <f>+IF('Data Pura Costos'!J819="","",'Data Pura Costos'!J819)</f>
        <v>24-25</v>
      </c>
      <c r="K819" s="82" t="str">
        <f t="shared" si="17"/>
        <v>Las Vertientes-Molina-TRAIDILL</v>
      </c>
      <c r="R819" s="6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</row>
    <row r="820" spans="2:39" s="7" customFormat="1" x14ac:dyDescent="0.35">
      <c r="B820" s="4" t="str">
        <f>+IF('Data Pura Costos'!B820="","",'Data Pura Costos'!B820)</f>
        <v>Los Maitenes</v>
      </c>
      <c r="C820" s="4" t="str">
        <f>+IF('Data Pura Costos'!C820="","",'Data Pura Costos'!C820)</f>
        <v>Las Cabras, VI región</v>
      </c>
      <c r="D820" s="5">
        <f>+IF('Data Pura Costos'!D820="","",'Data Pura Costos'!D820)</f>
        <v>144</v>
      </c>
      <c r="E820" s="65">
        <f>+IF('Data Pura Costos'!E820="","",IF('Data Pura Costos'!E820=0,MAX('Data Pura Costos'!$E$7:$E$3000)*1000,'Data Pura Costos'!E820))</f>
        <v>450000</v>
      </c>
      <c r="F820" s="5" t="str">
        <f>+IF('Data Pura Costos'!F820="","",'Data Pura Costos'!F820)</f>
        <v>Molina</v>
      </c>
      <c r="G820" s="5" t="str">
        <f>+IF('Data Pura Costos'!G820="","",'Data Pura Costos'!G820)</f>
        <v>TRAIDILL</v>
      </c>
      <c r="H820" s="52" t="str">
        <f>+IF('Data Pura Costos'!H820="","",'Data Pura Costos'!H820)</f>
        <v>Termo</v>
      </c>
      <c r="I820" s="71">
        <f>+IF('Data Pura Costos'!I820="","",'Data Pura Costos'!I820)</f>
        <v>3125</v>
      </c>
      <c r="J820" s="52" t="str">
        <f>+IF('Data Pura Costos'!J820="","",'Data Pura Costos'!J820)</f>
        <v>24-25</v>
      </c>
      <c r="K820" s="82" t="str">
        <f t="shared" si="17"/>
        <v>Los Maitenes-Molina-TRAIDILL</v>
      </c>
      <c r="R820" s="6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</row>
    <row r="821" spans="2:39" s="7" customFormat="1" x14ac:dyDescent="0.35">
      <c r="B821" s="4" t="str">
        <f>+IF('Data Pura Costos'!B821="","",'Data Pura Costos'!B821)</f>
        <v>Los Toldos</v>
      </c>
      <c r="C821" s="4" t="str">
        <f>+IF('Data Pura Costos'!C821="","",'Data Pura Costos'!C821)</f>
        <v>Angol, IX región</v>
      </c>
      <c r="D821" s="5">
        <f>+IF('Data Pura Costos'!D821="","",'Data Pura Costos'!D821)</f>
        <v>408</v>
      </c>
      <c r="E821" s="65">
        <f>+IF('Data Pura Costos'!E821="","",IF('Data Pura Costos'!E821=0,MAX('Data Pura Costos'!$E$7:$E$3000)*1000,'Data Pura Costos'!E821))</f>
        <v>1150000</v>
      </c>
      <c r="F821" s="5" t="str">
        <f>+IF('Data Pura Costos'!F821="","",'Data Pura Costos'!F821)</f>
        <v>Molina</v>
      </c>
      <c r="G821" s="5" t="str">
        <f>+IF('Data Pura Costos'!G821="","",'Data Pura Costos'!G821)</f>
        <v>TRAIDILL</v>
      </c>
      <c r="H821" s="52" t="str">
        <f>+IF('Data Pura Costos'!H821="","",'Data Pura Costos'!H821)</f>
        <v>Termo</v>
      </c>
      <c r="I821" s="71">
        <f>+IF('Data Pura Costos'!I821="","",'Data Pura Costos'!I821)</f>
        <v>2818.627450980392</v>
      </c>
      <c r="J821" s="52" t="str">
        <f>+IF('Data Pura Costos'!J821="","",'Data Pura Costos'!J821)</f>
        <v>24-25</v>
      </c>
      <c r="K821" s="82" t="str">
        <f t="shared" si="17"/>
        <v>Los Toldos-Molina-TRAIDILL</v>
      </c>
      <c r="R821" s="6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</row>
    <row r="822" spans="2:39" s="7" customFormat="1" x14ac:dyDescent="0.35">
      <c r="B822" s="4" t="str">
        <f>+IF('Data Pura Costos'!B822="","",'Data Pura Costos'!B822)</f>
        <v>Panquehue</v>
      </c>
      <c r="C822" s="4" t="str">
        <f>+IF('Data Pura Costos'!C822="","",'Data Pura Costos'!C822)</f>
        <v>Panquehue, V región</v>
      </c>
      <c r="D822" s="5">
        <f>+IF('Data Pura Costos'!D822="","",'Data Pura Costos'!D822)</f>
        <v>310</v>
      </c>
      <c r="E822" s="65">
        <f>+IF('Data Pura Costos'!E822="","",IF('Data Pura Costos'!E822=0,MAX('Data Pura Costos'!$E$7:$E$3000)*1000,'Data Pura Costos'!E822))</f>
        <v>700000</v>
      </c>
      <c r="F822" s="5" t="str">
        <f>+IF('Data Pura Costos'!F822="","",'Data Pura Costos'!F822)</f>
        <v>Molina</v>
      </c>
      <c r="G822" s="5" t="str">
        <f>+IF('Data Pura Costos'!G822="","",'Data Pura Costos'!G822)</f>
        <v>TRAIDILL</v>
      </c>
      <c r="H822" s="52" t="str">
        <f>+IF('Data Pura Costos'!H822="","",'Data Pura Costos'!H822)</f>
        <v>Termo</v>
      </c>
      <c r="I822" s="71">
        <f>+IF('Data Pura Costos'!I822="","",'Data Pura Costos'!I822)</f>
        <v>2258.0645161290322</v>
      </c>
      <c r="J822" s="52" t="str">
        <f>+IF('Data Pura Costos'!J822="","",'Data Pura Costos'!J822)</f>
        <v>24-25</v>
      </c>
      <c r="K822" s="82" t="str">
        <f t="shared" si="17"/>
        <v>Panquehue-Molina-TRAIDILL</v>
      </c>
      <c r="R822" s="6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</row>
    <row r="823" spans="2:39" s="7" customFormat="1" x14ac:dyDescent="0.35">
      <c r="B823" s="4" t="str">
        <f>+IF('Data Pura Costos'!B823="","",'Data Pura Costos'!B823)</f>
        <v>Retorno</v>
      </c>
      <c r="C823" s="4" t="str">
        <f>+IF('Data Pura Costos'!C823="","",'Data Pura Costos'!C823)</f>
        <v>Santa maria, V región</v>
      </c>
      <c r="D823" s="5">
        <f>+IF('Data Pura Costos'!D823="","",'Data Pura Costos'!D823)</f>
        <v>305</v>
      </c>
      <c r="E823" s="65">
        <f>+IF('Data Pura Costos'!E823="","",IF('Data Pura Costos'!E823=0,MAX('Data Pura Costos'!$E$7:$E$3000)*1000,'Data Pura Costos'!E823))</f>
        <v>650000</v>
      </c>
      <c r="F823" s="5" t="str">
        <f>+IF('Data Pura Costos'!F823="","",'Data Pura Costos'!F823)</f>
        <v>Molina</v>
      </c>
      <c r="G823" s="5" t="str">
        <f>+IF('Data Pura Costos'!G823="","",'Data Pura Costos'!G823)</f>
        <v>TRAIDILL</v>
      </c>
      <c r="H823" s="52" t="str">
        <f>+IF('Data Pura Costos'!H823="","",'Data Pura Costos'!H823)</f>
        <v>Termo</v>
      </c>
      <c r="I823" s="71">
        <f>+IF('Data Pura Costos'!I823="","",'Data Pura Costos'!I823)</f>
        <v>2131.1475409836066</v>
      </c>
      <c r="J823" s="52" t="str">
        <f>+IF('Data Pura Costos'!J823="","",'Data Pura Costos'!J823)</f>
        <v>24-25</v>
      </c>
      <c r="K823" s="82" t="str">
        <f t="shared" si="17"/>
        <v>Retorno-Molina-TRAIDILL</v>
      </c>
      <c r="R823" s="6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</row>
    <row r="824" spans="2:39" s="7" customFormat="1" x14ac:dyDescent="0.35">
      <c r="B824" s="4" t="str">
        <f>+IF('Data Pura Costos'!B824="","",'Data Pura Costos'!B824)</f>
        <v>Talhuén</v>
      </c>
      <c r="C824" s="4" t="str">
        <f>+IF('Data Pura Costos'!C824="","",'Data Pura Costos'!C824)</f>
        <v>Palmilla, VI región</v>
      </c>
      <c r="D824" s="5">
        <f>+IF('Data Pura Costos'!D824="","",'Data Pura Costos'!D824)</f>
        <v>95</v>
      </c>
      <c r="E824" s="65">
        <f>+IF('Data Pura Costos'!E824="","",IF('Data Pura Costos'!E824=0,MAX('Data Pura Costos'!$E$7:$E$3000)*1000,'Data Pura Costos'!E824))</f>
        <v>500000</v>
      </c>
      <c r="F824" s="5" t="str">
        <f>+IF('Data Pura Costos'!F824="","",'Data Pura Costos'!F824)</f>
        <v>Molina</v>
      </c>
      <c r="G824" s="5" t="str">
        <f>+IF('Data Pura Costos'!G824="","",'Data Pura Costos'!G824)</f>
        <v>TRAIDILL</v>
      </c>
      <c r="H824" s="52" t="str">
        <f>+IF('Data Pura Costos'!H824="","",'Data Pura Costos'!H824)</f>
        <v>Termo</v>
      </c>
      <c r="I824" s="71">
        <f>+IF('Data Pura Costos'!I824="","",'Data Pura Costos'!I824)</f>
        <v>5263.1578947368425</v>
      </c>
      <c r="J824" s="52" t="str">
        <f>+IF('Data Pura Costos'!J824="","",'Data Pura Costos'!J824)</f>
        <v>24-25</v>
      </c>
      <c r="K824" s="82" t="str">
        <f t="shared" si="17"/>
        <v>Talhuén-Molina-TRAIDILL</v>
      </c>
      <c r="R824" s="6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</row>
    <row r="825" spans="2:39" s="7" customFormat="1" x14ac:dyDescent="0.35">
      <c r="B825" s="4" t="str">
        <f>+IF('Data Pura Costos'!B825="","",'Data Pura Costos'!B825)</f>
        <v>Triunfo</v>
      </c>
      <c r="C825" s="4" t="str">
        <f>+IF('Data Pura Costos'!C825="","",'Data Pura Costos'!C825)</f>
        <v xml:space="preserve">San Esteban, V región </v>
      </c>
      <c r="D825" s="5" t="str">
        <f>+IF('Data Pura Costos'!D825="","",'Data Pura Costos'!D825)</f>
        <v/>
      </c>
      <c r="E825" s="65">
        <f>+IF('Data Pura Costos'!E825="","",IF('Data Pura Costos'!E825=0,MAX('Data Pura Costos'!$E$7:$E$3000)*1000,'Data Pura Costos'!E825))</f>
        <v>700000</v>
      </c>
      <c r="F825" s="5" t="str">
        <f>+IF('Data Pura Costos'!F825="","",'Data Pura Costos'!F825)</f>
        <v>Molina</v>
      </c>
      <c r="G825" s="5" t="str">
        <f>+IF('Data Pura Costos'!G825="","",'Data Pura Costos'!G825)</f>
        <v>TRAIDILL</v>
      </c>
      <c r="H825" s="52" t="str">
        <f>+IF('Data Pura Costos'!H825="","",'Data Pura Costos'!H825)</f>
        <v>Termo</v>
      </c>
      <c r="I825" s="71" t="e">
        <f>+IF('Data Pura Costos'!I825="","",'Data Pura Costos'!I825)</f>
        <v>#DIV/0!</v>
      </c>
      <c r="J825" s="52" t="str">
        <f>+IF('Data Pura Costos'!J825="","",'Data Pura Costos'!J825)</f>
        <v>24-25</v>
      </c>
      <c r="K825" s="82" t="str">
        <f t="shared" si="17"/>
        <v>Triunfo-Molina-TRAIDILL</v>
      </c>
      <c r="R825" s="6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</row>
    <row r="826" spans="2:39" s="7" customFormat="1" x14ac:dyDescent="0.35">
      <c r="B826" s="4" t="str">
        <f>+IF('Data Pura Costos'!B826="","",'Data Pura Costos'!B826)</f>
        <v>Villaseca</v>
      </c>
      <c r="C826" s="4" t="str">
        <f>+IF('Data Pura Costos'!C826="","",'Data Pura Costos'!C826)</f>
        <v>Retiro, VII reginón</v>
      </c>
      <c r="D826" s="5">
        <f>+IF('Data Pura Costos'!D826="","",'Data Pura Costos'!D826)</f>
        <v>160</v>
      </c>
      <c r="E826" s="65">
        <f>+IF('Data Pura Costos'!E826="","",IF('Data Pura Costos'!E826=0,MAX('Data Pura Costos'!$E$7:$E$3000)*1000,'Data Pura Costos'!E826))</f>
        <v>600000</v>
      </c>
      <c r="F826" s="5" t="str">
        <f>+IF('Data Pura Costos'!F826="","",'Data Pura Costos'!F826)</f>
        <v>Molina</v>
      </c>
      <c r="G826" s="5" t="str">
        <f>+IF('Data Pura Costos'!G826="","",'Data Pura Costos'!G826)</f>
        <v>TRAIDILL</v>
      </c>
      <c r="H826" s="52" t="str">
        <f>+IF('Data Pura Costos'!H826="","",'Data Pura Costos'!H826)</f>
        <v>Termo</v>
      </c>
      <c r="I826" s="71">
        <f>+IF('Data Pura Costos'!I826="","",'Data Pura Costos'!I826)</f>
        <v>3750</v>
      </c>
      <c r="J826" s="52" t="str">
        <f>+IF('Data Pura Costos'!J826="","",'Data Pura Costos'!J826)</f>
        <v>24-25</v>
      </c>
      <c r="K826" s="82" t="str">
        <f t="shared" si="17"/>
        <v>Villaseca-Molina-TRAIDILL</v>
      </c>
      <c r="R826" s="6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</row>
    <row r="827" spans="2:39" s="7" customFormat="1" x14ac:dyDescent="0.35">
      <c r="B827" s="4" t="str">
        <f>+IF('Data Pura Costos'!B827="","",'Data Pura Costos'!B827)</f>
        <v>Almahue</v>
      </c>
      <c r="C827" s="4" t="str">
        <f>+IF('Data Pura Costos'!C827="","",'Data Pura Costos'!C827)</f>
        <v>Pichidegua, VI región</v>
      </c>
      <c r="D827" s="5">
        <f>+IF('Data Pura Costos'!D827="","",'Data Pura Costos'!D827)</f>
        <v>50</v>
      </c>
      <c r="E827" s="65">
        <f>+IF('Data Pura Costos'!E827="","",IF('Data Pura Costos'!E827=0,MAX('Data Pura Costos'!$E$7:$E$3000)*1000,'Data Pura Costos'!E827))</f>
        <v>400000</v>
      </c>
      <c r="F827" s="5" t="str">
        <f>+IF('Data Pura Costos'!F827="","",'Data Pura Costos'!F827)</f>
        <v>Malloa</v>
      </c>
      <c r="G827" s="5" t="str">
        <f>+IF('Data Pura Costos'!G827="","",'Data Pura Costos'!G827)</f>
        <v>TRAIDILL</v>
      </c>
      <c r="H827" s="52" t="str">
        <f>+IF('Data Pura Costos'!H827="","",'Data Pura Costos'!H827)</f>
        <v>Termo</v>
      </c>
      <c r="I827" s="71">
        <f>+IF('Data Pura Costos'!I827="","",'Data Pura Costos'!I827)</f>
        <v>8000</v>
      </c>
      <c r="J827" s="52" t="str">
        <f>+IF('Data Pura Costos'!J827="","",'Data Pura Costos'!J827)</f>
        <v>24-25</v>
      </c>
      <c r="K827" s="82" t="str">
        <f t="shared" si="17"/>
        <v>Almahue-Malloa-TRAIDILL</v>
      </c>
      <c r="R827" s="6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</row>
    <row r="828" spans="2:39" s="7" customFormat="1" x14ac:dyDescent="0.35">
      <c r="B828" s="4" t="str">
        <f>+IF('Data Pura Costos'!B828="","",'Data Pura Costos'!B828)</f>
        <v>Bodega</v>
      </c>
      <c r="C828" s="4" t="str">
        <f>+IF('Data Pura Costos'!C828="","",'Data Pura Costos'!C828)</f>
        <v>Linares, VII region.</v>
      </c>
      <c r="D828" s="5">
        <f>+IF('Data Pura Costos'!D828="","",'Data Pura Costos'!D828)</f>
        <v>211</v>
      </c>
      <c r="E828" s="65">
        <f>+IF('Data Pura Costos'!E828="","",IF('Data Pura Costos'!E828=0,MAX('Data Pura Costos'!$E$7:$E$3000)*1000,'Data Pura Costos'!E828))</f>
        <v>650000</v>
      </c>
      <c r="F828" s="5" t="str">
        <f>+IF('Data Pura Costos'!F828="","",'Data Pura Costos'!F828)</f>
        <v>Malloa</v>
      </c>
      <c r="G828" s="5" t="str">
        <f>+IF('Data Pura Costos'!G828="","",'Data Pura Costos'!G828)</f>
        <v>TRAIDILL</v>
      </c>
      <c r="H828" s="52" t="str">
        <f>+IF('Data Pura Costos'!H828="","",'Data Pura Costos'!H828)</f>
        <v>Termo</v>
      </c>
      <c r="I828" s="71">
        <f>+IF('Data Pura Costos'!I828="","",'Data Pura Costos'!I828)</f>
        <v>3080.5687203791467</v>
      </c>
      <c r="J828" s="52" t="str">
        <f>+IF('Data Pura Costos'!J828="","",'Data Pura Costos'!J828)</f>
        <v>24-25</v>
      </c>
      <c r="K828" s="82" t="str">
        <f t="shared" si="17"/>
        <v>Bodega-Malloa-TRAIDILL</v>
      </c>
      <c r="R828" s="6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</row>
    <row r="829" spans="2:39" s="7" customFormat="1" x14ac:dyDescent="0.35">
      <c r="B829" s="4" t="str">
        <f>+IF('Data Pura Costos'!B829="","",'Data Pura Costos'!B829)</f>
        <v xml:space="preserve">Caliboro </v>
      </c>
      <c r="C829" s="4" t="str">
        <f>+IF('Data Pura Costos'!C829="","",'Data Pura Costos'!C829)</f>
        <v>San Javier, VII región</v>
      </c>
      <c r="D829" s="5">
        <f>+IF('Data Pura Costos'!D829="","",'Data Pura Costos'!D829)</f>
        <v>206</v>
      </c>
      <c r="E829" s="65">
        <f>+IF('Data Pura Costos'!E829="","",IF('Data Pura Costos'!E829=0,MAX('Data Pura Costos'!$E$7:$E$3000)*1000,'Data Pura Costos'!E829))</f>
        <v>650000</v>
      </c>
      <c r="F829" s="5" t="str">
        <f>+IF('Data Pura Costos'!F829="","",'Data Pura Costos'!F829)</f>
        <v>Malloa</v>
      </c>
      <c r="G829" s="5" t="str">
        <f>+IF('Data Pura Costos'!G829="","",'Data Pura Costos'!G829)</f>
        <v>TRAIDILL</v>
      </c>
      <c r="H829" s="52" t="str">
        <f>+IF('Data Pura Costos'!H829="","",'Data Pura Costos'!H829)</f>
        <v>Termo</v>
      </c>
      <c r="I829" s="71">
        <f>+IF('Data Pura Costos'!I829="","",'Data Pura Costos'!I829)</f>
        <v>3155.3398058252428</v>
      </c>
      <c r="J829" s="52" t="str">
        <f>+IF('Data Pura Costos'!J829="","",'Data Pura Costos'!J829)</f>
        <v>24-25</v>
      </c>
      <c r="K829" s="82" t="str">
        <f t="shared" si="17"/>
        <v>Caliboro -Malloa-TRAIDILL</v>
      </c>
      <c r="R829" s="6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</row>
    <row r="830" spans="2:39" s="7" customFormat="1" x14ac:dyDescent="0.35">
      <c r="B830" s="4" t="str">
        <f>+IF('Data Pura Costos'!B830="","",'Data Pura Costos'!B830)</f>
        <v>Calleuque</v>
      </c>
      <c r="C830" s="4" t="str">
        <f>+IF('Data Pura Costos'!C830="","",'Data Pura Costos'!C830)</f>
        <v>Peralillo ohiggins, VI región</v>
      </c>
      <c r="D830" s="5">
        <f>+IF('Data Pura Costos'!D830="","",'Data Pura Costos'!D830)</f>
        <v>80</v>
      </c>
      <c r="E830" s="65">
        <f>+IF('Data Pura Costos'!E830="","",IF('Data Pura Costos'!E830=0,MAX('Data Pura Costos'!$E$7:$E$3000)*1000,'Data Pura Costos'!E830))</f>
        <v>400000</v>
      </c>
      <c r="F830" s="5" t="str">
        <f>+IF('Data Pura Costos'!F830="","",'Data Pura Costos'!F830)</f>
        <v>Malloa</v>
      </c>
      <c r="G830" s="5" t="str">
        <f>+IF('Data Pura Costos'!G830="","",'Data Pura Costos'!G830)</f>
        <v>TRAIDILL</v>
      </c>
      <c r="H830" s="52" t="str">
        <f>+IF('Data Pura Costos'!H830="","",'Data Pura Costos'!H830)</f>
        <v>Termo</v>
      </c>
      <c r="I830" s="71">
        <f>+IF('Data Pura Costos'!I830="","",'Data Pura Costos'!I830)</f>
        <v>5000</v>
      </c>
      <c r="J830" s="52" t="str">
        <f>+IF('Data Pura Costos'!J830="","",'Data Pura Costos'!J830)</f>
        <v>24-25</v>
      </c>
      <c r="K830" s="82" t="str">
        <f t="shared" si="17"/>
        <v>Calleuque-Malloa-TRAIDILL</v>
      </c>
      <c r="R830" s="6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</row>
    <row r="831" spans="2:39" s="7" customFormat="1" x14ac:dyDescent="0.35">
      <c r="B831" s="4" t="str">
        <f>+IF('Data Pura Costos'!B831="","",'Data Pura Costos'!B831)</f>
        <v>Chumpirro</v>
      </c>
      <c r="C831" s="4" t="str">
        <f>+IF('Data Pura Costos'!C831="","",'Data Pura Costos'!C831)</f>
        <v>Angol, IX región</v>
      </c>
      <c r="D831" s="5">
        <f>+IF('Data Pura Costos'!D831="","",'Data Pura Costos'!D831)</f>
        <v>450</v>
      </c>
      <c r="E831" s="65">
        <f>+IF('Data Pura Costos'!E831="","",IF('Data Pura Costos'!E831=0,MAX('Data Pura Costos'!$E$7:$E$3000)*1000,'Data Pura Costos'!E831))</f>
        <v>1350000</v>
      </c>
      <c r="F831" s="5" t="str">
        <f>+IF('Data Pura Costos'!F831="","",'Data Pura Costos'!F831)</f>
        <v>Malloa</v>
      </c>
      <c r="G831" s="5" t="str">
        <f>+IF('Data Pura Costos'!G831="","",'Data Pura Costos'!G831)</f>
        <v>TRAIDILL</v>
      </c>
      <c r="H831" s="52" t="str">
        <f>+IF('Data Pura Costos'!H831="","",'Data Pura Costos'!H831)</f>
        <v>Termo</v>
      </c>
      <c r="I831" s="71">
        <f>+IF('Data Pura Costos'!I831="","",'Data Pura Costos'!I831)</f>
        <v>3000</v>
      </c>
      <c r="J831" s="52" t="str">
        <f>+IF('Data Pura Costos'!J831="","",'Data Pura Costos'!J831)</f>
        <v>24-25</v>
      </c>
      <c r="K831" s="82" t="str">
        <f t="shared" si="17"/>
        <v>Chumpirro-Malloa-TRAIDILL</v>
      </c>
      <c r="R831" s="6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</row>
    <row r="832" spans="2:39" s="7" customFormat="1" x14ac:dyDescent="0.35">
      <c r="B832" s="4" t="str">
        <f>+IF('Data Pura Costos'!B832="","",'Data Pura Costos'!B832)</f>
        <v xml:space="preserve"> Cocalán</v>
      </c>
      <c r="C832" s="4" t="str">
        <f>+IF('Data Pura Costos'!C832="","",'Data Pura Costos'!C832)</f>
        <v>Cocalán, VI región</v>
      </c>
      <c r="D832" s="5">
        <f>+IF('Data Pura Costos'!D832="","",'Data Pura Costos'!D832)</f>
        <v>50</v>
      </c>
      <c r="E832" s="65">
        <f>+IF('Data Pura Costos'!E832="","",IF('Data Pura Costos'!E832=0,MAX('Data Pura Costos'!$E$7:$E$3000)*1000,'Data Pura Costos'!E832))</f>
        <v>400000</v>
      </c>
      <c r="F832" s="5" t="str">
        <f>+IF('Data Pura Costos'!F832="","",'Data Pura Costos'!F832)</f>
        <v>Malloa</v>
      </c>
      <c r="G832" s="5" t="str">
        <f>+IF('Data Pura Costos'!G832="","",'Data Pura Costos'!G832)</f>
        <v>TRAIDILL</v>
      </c>
      <c r="H832" s="52" t="str">
        <f>+IF('Data Pura Costos'!H832="","",'Data Pura Costos'!H832)</f>
        <v>Termo</v>
      </c>
      <c r="I832" s="71">
        <f>+IF('Data Pura Costos'!I832="","",'Data Pura Costos'!I832)</f>
        <v>8000</v>
      </c>
      <c r="J832" s="52" t="str">
        <f>+IF('Data Pura Costos'!J832="","",'Data Pura Costos'!J832)</f>
        <v>24-25</v>
      </c>
      <c r="K832" s="82" t="str">
        <f t="shared" si="17"/>
        <v xml:space="preserve"> Cocalán-Malloa-TRAIDILL</v>
      </c>
      <c r="R832" s="6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</row>
    <row r="833" spans="2:39" s="7" customFormat="1" x14ac:dyDescent="0.35">
      <c r="B833" s="4" t="str">
        <f>+IF('Data Pura Costos'!B833="","",'Data Pura Costos'!B833)</f>
        <v>El Descanso</v>
      </c>
      <c r="C833" s="4" t="str">
        <f>+IF('Data Pura Costos'!C833="","",'Data Pura Costos'!C833)</f>
        <v>Sagrada Familia, VII región</v>
      </c>
      <c r="D833" s="5">
        <f>+IF('Data Pura Costos'!D833="","",'Data Pura Costos'!D833)</f>
        <v>100</v>
      </c>
      <c r="E833" s="65">
        <f>+IF('Data Pura Costos'!E833="","",IF('Data Pura Costos'!E833=0,MAX('Data Pura Costos'!$E$7:$E$3000)*1000,'Data Pura Costos'!E833))</f>
        <v>550000</v>
      </c>
      <c r="F833" s="5" t="str">
        <f>+IF('Data Pura Costos'!F833="","",'Data Pura Costos'!F833)</f>
        <v>Malloa</v>
      </c>
      <c r="G833" s="5" t="str">
        <f>+IF('Data Pura Costos'!G833="","",'Data Pura Costos'!G833)</f>
        <v>TRAIDILL</v>
      </c>
      <c r="H833" s="52" t="str">
        <f>+IF('Data Pura Costos'!H833="","",'Data Pura Costos'!H833)</f>
        <v>Termo</v>
      </c>
      <c r="I833" s="71">
        <f>+IF('Data Pura Costos'!I833="","",'Data Pura Costos'!I833)</f>
        <v>5500</v>
      </c>
      <c r="J833" s="52" t="str">
        <f>+IF('Data Pura Costos'!J833="","",'Data Pura Costos'!J833)</f>
        <v>24-25</v>
      </c>
      <c r="K833" s="82" t="str">
        <f t="shared" si="17"/>
        <v>El Descanso-Malloa-TRAIDILL</v>
      </c>
      <c r="R833" s="6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</row>
    <row r="834" spans="2:39" s="7" customFormat="1" x14ac:dyDescent="0.35">
      <c r="B834" s="4" t="str">
        <f>+IF('Data Pura Costos'!B834="","",'Data Pura Costos'!B834)</f>
        <v>El Espino</v>
      </c>
      <c r="C834" s="4" t="str">
        <f>+IF('Data Pura Costos'!C834="","",'Data Pura Costos'!C834)</f>
        <v>Colbún, VII región</v>
      </c>
      <c r="D834" s="5">
        <f>+IF('Data Pura Costos'!D834="","",'Data Pura Costos'!D834)</f>
        <v>190</v>
      </c>
      <c r="E834" s="65">
        <f>+IF('Data Pura Costos'!E834="","",IF('Data Pura Costos'!E834=0,MAX('Data Pura Costos'!$E$7:$E$3000)*1000,'Data Pura Costos'!E834))</f>
        <v>650000</v>
      </c>
      <c r="F834" s="5" t="str">
        <f>+IF('Data Pura Costos'!F834="","",'Data Pura Costos'!F834)</f>
        <v>Malloa</v>
      </c>
      <c r="G834" s="5" t="str">
        <f>+IF('Data Pura Costos'!G834="","",'Data Pura Costos'!G834)</f>
        <v>TRAIDILL</v>
      </c>
      <c r="H834" s="52" t="str">
        <f>+IF('Data Pura Costos'!H834="","",'Data Pura Costos'!H834)</f>
        <v>Termo</v>
      </c>
      <c r="I834" s="71">
        <f>+IF('Data Pura Costos'!I834="","",'Data Pura Costos'!I834)</f>
        <v>3421.0526315789475</v>
      </c>
      <c r="J834" s="52" t="str">
        <f>+IF('Data Pura Costos'!J834="","",'Data Pura Costos'!J834)</f>
        <v>24-25</v>
      </c>
      <c r="K834" s="82" t="str">
        <f t="shared" si="17"/>
        <v>El Espino-Malloa-TRAIDILL</v>
      </c>
      <c r="R834" s="6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</row>
    <row r="835" spans="2:39" s="7" customFormat="1" x14ac:dyDescent="0.35">
      <c r="B835" s="4" t="str">
        <f>+IF('Data Pura Costos'!B835="","",'Data Pura Costos'!B835)</f>
        <v>El Huaico</v>
      </c>
      <c r="C835" s="4" t="str">
        <f>+IF('Data Pura Costos'!C835="","",'Data Pura Costos'!C835)</f>
        <v>Palmila Ohiggins</v>
      </c>
      <c r="D835" s="5">
        <f>+IF('Data Pura Costos'!D835="","",'Data Pura Costos'!D835)</f>
        <v>75</v>
      </c>
      <c r="E835" s="65">
        <f>+IF('Data Pura Costos'!E835="","",IF('Data Pura Costos'!E835=0,MAX('Data Pura Costos'!$E$7:$E$3000)*1000,'Data Pura Costos'!E835))</f>
        <v>400000</v>
      </c>
      <c r="F835" s="5" t="str">
        <f>+IF('Data Pura Costos'!F835="","",'Data Pura Costos'!F835)</f>
        <v>Malloa</v>
      </c>
      <c r="G835" s="5" t="str">
        <f>+IF('Data Pura Costos'!G835="","",'Data Pura Costos'!G835)</f>
        <v>TRAIDILL</v>
      </c>
      <c r="H835" s="52" t="str">
        <f>+IF('Data Pura Costos'!H835="","",'Data Pura Costos'!H835)</f>
        <v>Termo</v>
      </c>
      <c r="I835" s="71">
        <f>+IF('Data Pura Costos'!I835="","",'Data Pura Costos'!I835)</f>
        <v>5333.333333333333</v>
      </c>
      <c r="J835" s="52" t="str">
        <f>+IF('Data Pura Costos'!J835="","",'Data Pura Costos'!J835)</f>
        <v>24-25</v>
      </c>
      <c r="K835" s="82" t="str">
        <f t="shared" si="17"/>
        <v>El Huaico-Malloa-TRAIDILL</v>
      </c>
      <c r="R835" s="6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</row>
    <row r="836" spans="2:39" s="7" customFormat="1" x14ac:dyDescent="0.35">
      <c r="B836" s="4" t="str">
        <f>+IF('Data Pura Costos'!B836="","",'Data Pura Costos'!B836)</f>
        <v>El Picaso</v>
      </c>
      <c r="C836" s="4" t="str">
        <f>+IF('Data Pura Costos'!C836="","",'Data Pura Costos'!C836)</f>
        <v xml:space="preserve">San Clemente, VII región </v>
      </c>
      <c r="D836" s="5">
        <f>+IF('Data Pura Costos'!D836="","",'Data Pura Costos'!D836)</f>
        <v>160</v>
      </c>
      <c r="E836" s="65">
        <f>+IF('Data Pura Costos'!E836="","",IF('Data Pura Costos'!E836=0,MAX('Data Pura Costos'!$E$7:$E$3000)*1000,'Data Pura Costos'!E836))</f>
        <v>600000</v>
      </c>
      <c r="F836" s="5" t="str">
        <f>+IF('Data Pura Costos'!F836="","",'Data Pura Costos'!F836)</f>
        <v>Malloa</v>
      </c>
      <c r="G836" s="5" t="str">
        <f>+IF('Data Pura Costos'!G836="","",'Data Pura Costos'!G836)</f>
        <v>TRAIDILL</v>
      </c>
      <c r="H836" s="52" t="str">
        <f>+IF('Data Pura Costos'!H836="","",'Data Pura Costos'!H836)</f>
        <v>Termo</v>
      </c>
      <c r="I836" s="71">
        <f>+IF('Data Pura Costos'!I836="","",'Data Pura Costos'!I836)</f>
        <v>3750</v>
      </c>
      <c r="J836" s="52" t="str">
        <f>+IF('Data Pura Costos'!J836="","",'Data Pura Costos'!J836)</f>
        <v>24-25</v>
      </c>
      <c r="K836" s="82" t="str">
        <f t="shared" si="17"/>
        <v>El Picaso-Malloa-TRAIDILL</v>
      </c>
      <c r="R836" s="6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</row>
    <row r="837" spans="2:39" s="7" customFormat="1" x14ac:dyDescent="0.35">
      <c r="B837" s="4" t="str">
        <f>+IF('Data Pura Costos'!B837="","",'Data Pura Costos'!B837)</f>
        <v>El Rosario</v>
      </c>
      <c r="C837" s="4" t="str">
        <f>+IF('Data Pura Costos'!C837="","",'Data Pura Costos'!C837)</f>
        <v>Linares, VII region.</v>
      </c>
      <c r="D837" s="5">
        <f>+IF('Data Pura Costos'!D837="","",'Data Pura Costos'!D837)</f>
        <v>210</v>
      </c>
      <c r="E837" s="65">
        <f>+IF('Data Pura Costos'!E837="","",IF('Data Pura Costos'!E837=0,MAX('Data Pura Costos'!$E$7:$E$3000)*1000,'Data Pura Costos'!E837))</f>
        <v>650000</v>
      </c>
      <c r="F837" s="5" t="str">
        <f>+IF('Data Pura Costos'!F837="","",'Data Pura Costos'!F837)</f>
        <v>Malloa</v>
      </c>
      <c r="G837" s="5" t="str">
        <f>+IF('Data Pura Costos'!G837="","",'Data Pura Costos'!G837)</f>
        <v>TRAIDILL</v>
      </c>
      <c r="H837" s="52" t="str">
        <f>+IF('Data Pura Costos'!H837="","",'Data Pura Costos'!H837)</f>
        <v>Termo</v>
      </c>
      <c r="I837" s="71">
        <f>+IF('Data Pura Costos'!I837="","",'Data Pura Costos'!I837)</f>
        <v>3095.2380952380954</v>
      </c>
      <c r="J837" s="52" t="str">
        <f>+IF('Data Pura Costos'!J837="","",'Data Pura Costos'!J837)</f>
        <v>24-25</v>
      </c>
      <c r="K837" s="82" t="str">
        <f t="shared" si="17"/>
        <v>El Rosario-Malloa-TRAIDILL</v>
      </c>
      <c r="R837" s="6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</row>
    <row r="838" spans="2:39" s="7" customFormat="1" x14ac:dyDescent="0.35">
      <c r="B838" s="4" t="str">
        <f>+IF('Data Pura Costos'!B838="","",'Data Pura Costos'!B838)</f>
        <v>La Esperanza</v>
      </c>
      <c r="C838" s="4" t="str">
        <f>+IF('Data Pura Costos'!C838="","",'Data Pura Costos'!C838)</f>
        <v>Peumo, VI región</v>
      </c>
      <c r="D838" s="5">
        <f>+IF('Data Pura Costos'!D838="","",'Data Pura Costos'!D838)</f>
        <v>35</v>
      </c>
      <c r="E838" s="65">
        <f>+IF('Data Pura Costos'!E838="","",IF('Data Pura Costos'!E838=0,MAX('Data Pura Costos'!$E$7:$E$3000)*1000,'Data Pura Costos'!E838))</f>
        <v>400000</v>
      </c>
      <c r="F838" s="5" t="str">
        <f>+IF('Data Pura Costos'!F838="","",'Data Pura Costos'!F838)</f>
        <v>Malloa</v>
      </c>
      <c r="G838" s="5" t="str">
        <f>+IF('Data Pura Costos'!G838="","",'Data Pura Costos'!G838)</f>
        <v>TRAIDILL</v>
      </c>
      <c r="H838" s="52" t="str">
        <f>+IF('Data Pura Costos'!H838="","",'Data Pura Costos'!H838)</f>
        <v>Termo</v>
      </c>
      <c r="I838" s="71">
        <f>+IF('Data Pura Costos'!I838="","",'Data Pura Costos'!I838)</f>
        <v>11428.571428571429</v>
      </c>
      <c r="J838" s="52" t="str">
        <f>+IF('Data Pura Costos'!J838="","",'Data Pura Costos'!J838)</f>
        <v>24-25</v>
      </c>
      <c r="K838" s="82" t="str">
        <f t="shared" si="17"/>
        <v>La Esperanza-Malloa-TRAIDILL</v>
      </c>
      <c r="R838" s="6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</row>
    <row r="839" spans="2:39" s="7" customFormat="1" x14ac:dyDescent="0.35">
      <c r="B839" s="4" t="str">
        <f>+IF('Data Pura Costos'!B839="","",'Data Pura Costos'!B839)</f>
        <v>La Estación</v>
      </c>
      <c r="C839" s="4" t="str">
        <f>+IF('Data Pura Costos'!C839="","",'Data Pura Costos'!C839)</f>
        <v>Palmilla, VI región</v>
      </c>
      <c r="D839" s="5">
        <f>+IF('Data Pura Costos'!D839="","",'Data Pura Costos'!D839)</f>
        <v>75</v>
      </c>
      <c r="E839" s="65">
        <f>+IF('Data Pura Costos'!E839="","",IF('Data Pura Costos'!E839=0,MAX('Data Pura Costos'!$E$7:$E$3000)*1000,'Data Pura Costos'!E839))</f>
        <v>450000</v>
      </c>
      <c r="F839" s="5" t="str">
        <f>+IF('Data Pura Costos'!F839="","",'Data Pura Costos'!F839)</f>
        <v>Malloa</v>
      </c>
      <c r="G839" s="5" t="str">
        <f>+IF('Data Pura Costos'!G839="","",'Data Pura Costos'!G839)</f>
        <v>TRAIDILL</v>
      </c>
      <c r="H839" s="52" t="str">
        <f>+IF('Data Pura Costos'!H839="","",'Data Pura Costos'!H839)</f>
        <v>Termo</v>
      </c>
      <c r="I839" s="71">
        <f>+IF('Data Pura Costos'!I839="","",'Data Pura Costos'!I839)</f>
        <v>6000</v>
      </c>
      <c r="J839" s="52" t="str">
        <f>+IF('Data Pura Costos'!J839="","",'Data Pura Costos'!J839)</f>
        <v>24-25</v>
      </c>
      <c r="K839" s="82" t="str">
        <f t="shared" si="17"/>
        <v>La Estación-Malloa-TRAIDILL</v>
      </c>
      <c r="R839" s="6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</row>
    <row r="840" spans="2:39" s="7" customFormat="1" x14ac:dyDescent="0.35">
      <c r="B840" s="4" t="str">
        <f>+IF('Data Pura Costos'!B840="","",'Data Pura Costos'!B840)</f>
        <v>La Lajuela</v>
      </c>
      <c r="C840" s="4" t="str">
        <f>+IF('Data Pura Costos'!C840="","",'Data Pura Costos'!C840)</f>
        <v>Santa Cruz, VI Región</v>
      </c>
      <c r="D840" s="5">
        <f>+IF('Data Pura Costos'!D840="","",'Data Pura Costos'!D840)</f>
        <v>75</v>
      </c>
      <c r="E840" s="65">
        <f>+IF('Data Pura Costos'!E840="","",IF('Data Pura Costos'!E840=0,MAX('Data Pura Costos'!$E$7:$E$3000)*1000,'Data Pura Costos'!E840))</f>
        <v>450000</v>
      </c>
      <c r="F840" s="5" t="str">
        <f>+IF('Data Pura Costos'!F840="","",'Data Pura Costos'!F840)</f>
        <v>Malloa</v>
      </c>
      <c r="G840" s="5" t="str">
        <f>+IF('Data Pura Costos'!G840="","",'Data Pura Costos'!G840)</f>
        <v>TRAIDILL</v>
      </c>
      <c r="H840" s="52" t="str">
        <f>+IF('Data Pura Costos'!H840="","",'Data Pura Costos'!H840)</f>
        <v>Termo</v>
      </c>
      <c r="I840" s="71">
        <f>+IF('Data Pura Costos'!I840="","",'Data Pura Costos'!I840)</f>
        <v>6000</v>
      </c>
      <c r="J840" s="52" t="str">
        <f>+IF('Data Pura Costos'!J840="","",'Data Pura Costos'!J840)</f>
        <v>24-25</v>
      </c>
      <c r="K840" s="82" t="str">
        <f t="shared" ref="K840:K891" si="18">+IF(B840="","",CONCATENATE(B840,"-",F840,"-",G840))</f>
        <v>La Lajuela-Malloa-TRAIDILL</v>
      </c>
      <c r="R840" s="6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</row>
    <row r="841" spans="2:39" s="7" customFormat="1" x14ac:dyDescent="0.35">
      <c r="B841" s="4" t="str">
        <f>+IF('Data Pura Costos'!B841="","",'Data Pura Costos'!B841)</f>
        <v>La Rinconada</v>
      </c>
      <c r="C841" s="4" t="str">
        <f>+IF('Data Pura Costos'!C841="","",'Data Pura Costos'!C841)</f>
        <v>Pichidegua, VI región</v>
      </c>
      <c r="D841" s="5">
        <f>+IF('Data Pura Costos'!D841="","",'Data Pura Costos'!D841)</f>
        <v>45</v>
      </c>
      <c r="E841" s="65">
        <f>+IF('Data Pura Costos'!E841="","",IF('Data Pura Costos'!E841=0,MAX('Data Pura Costos'!$E$7:$E$3000)*1000,'Data Pura Costos'!E841))</f>
        <v>400000</v>
      </c>
      <c r="F841" s="5" t="str">
        <f>+IF('Data Pura Costos'!F841="","",'Data Pura Costos'!F841)</f>
        <v>Malloa</v>
      </c>
      <c r="G841" s="5" t="str">
        <f>+IF('Data Pura Costos'!G841="","",'Data Pura Costos'!G841)</f>
        <v>TRAIDILL</v>
      </c>
      <c r="H841" s="52" t="str">
        <f>+IF('Data Pura Costos'!H841="","",'Data Pura Costos'!H841)</f>
        <v>Termo</v>
      </c>
      <c r="I841" s="71">
        <f>+IF('Data Pura Costos'!I841="","",'Data Pura Costos'!I841)</f>
        <v>8888.8888888888887</v>
      </c>
      <c r="J841" s="52" t="str">
        <f>+IF('Data Pura Costos'!J841="","",'Data Pura Costos'!J841)</f>
        <v>24-25</v>
      </c>
      <c r="K841" s="82" t="str">
        <f t="shared" si="18"/>
        <v>La Rinconada-Malloa-TRAIDILL</v>
      </c>
      <c r="R841" s="6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</row>
    <row r="842" spans="2:39" s="7" customFormat="1" x14ac:dyDescent="0.35">
      <c r="B842" s="4" t="str">
        <f>+IF('Data Pura Costos'!B842="","",'Data Pura Costos'!B842)</f>
        <v>Las Cabras</v>
      </c>
      <c r="C842" s="4" t="str">
        <f>+IF('Data Pura Costos'!C842="","",'Data Pura Costos'!C842)</f>
        <v>Las Cabras, VI región</v>
      </c>
      <c r="D842" s="5">
        <f>+IF('Data Pura Costos'!D842="","",'Data Pura Costos'!D842)</f>
        <v>45</v>
      </c>
      <c r="E842" s="65">
        <f>+IF('Data Pura Costos'!E842="","",IF('Data Pura Costos'!E842=0,MAX('Data Pura Costos'!$E$7:$E$3000)*1000,'Data Pura Costos'!E842))</f>
        <v>400000</v>
      </c>
      <c r="F842" s="5" t="str">
        <f>+IF('Data Pura Costos'!F842="","",'Data Pura Costos'!F842)</f>
        <v>Malloa</v>
      </c>
      <c r="G842" s="5" t="str">
        <f>+IF('Data Pura Costos'!G842="","",'Data Pura Costos'!G842)</f>
        <v>TRAIDILL</v>
      </c>
      <c r="H842" s="52" t="str">
        <f>+IF('Data Pura Costos'!H842="","",'Data Pura Costos'!H842)</f>
        <v>Termo</v>
      </c>
      <c r="I842" s="71">
        <f>+IF('Data Pura Costos'!I842="","",'Data Pura Costos'!I842)</f>
        <v>8888.8888888888887</v>
      </c>
      <c r="J842" s="52" t="str">
        <f>+IF('Data Pura Costos'!J842="","",'Data Pura Costos'!J842)</f>
        <v>24-25</v>
      </c>
      <c r="K842" s="82" t="str">
        <f t="shared" si="18"/>
        <v>Las Cabras-Malloa-TRAIDILL</v>
      </c>
      <c r="R842" s="6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</row>
    <row r="843" spans="2:39" s="7" customFormat="1" x14ac:dyDescent="0.35">
      <c r="B843" s="4" t="str">
        <f>+IF('Data Pura Costos'!B843="","",'Data Pura Costos'!B843)</f>
        <v>Las Vertientes</v>
      </c>
      <c r="C843" s="4" t="str">
        <f>+IF('Data Pura Costos'!C843="","",'Data Pura Costos'!C843)</f>
        <v>Pichidegua, VI región</v>
      </c>
      <c r="D843" s="5">
        <f>+IF('Data Pura Costos'!D843="","",'Data Pura Costos'!D843)</f>
        <v>40</v>
      </c>
      <c r="E843" s="65">
        <f>+IF('Data Pura Costos'!E843="","",IF('Data Pura Costos'!E843=0,MAX('Data Pura Costos'!$E$7:$E$3000)*1000,'Data Pura Costos'!E843))</f>
        <v>400000</v>
      </c>
      <c r="F843" s="5" t="str">
        <f>+IF('Data Pura Costos'!F843="","",'Data Pura Costos'!F843)</f>
        <v>Malloa</v>
      </c>
      <c r="G843" s="5" t="str">
        <f>+IF('Data Pura Costos'!G843="","",'Data Pura Costos'!G843)</f>
        <v>TRAIDILL</v>
      </c>
      <c r="H843" s="52" t="str">
        <f>+IF('Data Pura Costos'!H843="","",'Data Pura Costos'!H843)</f>
        <v>Termo</v>
      </c>
      <c r="I843" s="71">
        <f>+IF('Data Pura Costos'!I843="","",'Data Pura Costos'!I843)</f>
        <v>10000</v>
      </c>
      <c r="J843" s="52" t="str">
        <f>+IF('Data Pura Costos'!J843="","",'Data Pura Costos'!J843)</f>
        <v>24-25</v>
      </c>
      <c r="K843" s="82" t="str">
        <f t="shared" si="18"/>
        <v>Las Vertientes-Malloa-TRAIDILL</v>
      </c>
      <c r="R843" s="6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</row>
    <row r="844" spans="2:39" s="7" customFormat="1" x14ac:dyDescent="0.35">
      <c r="B844" s="4" t="str">
        <f>+IF('Data Pura Costos'!B844="","",'Data Pura Costos'!B844)</f>
        <v>Los Maitenes</v>
      </c>
      <c r="C844" s="4" t="str">
        <f>+IF('Data Pura Costos'!C844="","",'Data Pura Costos'!C844)</f>
        <v>Las Cabras, VI región</v>
      </c>
      <c r="D844" s="5">
        <f>+IF('Data Pura Costos'!D844="","",'Data Pura Costos'!D844)</f>
        <v>60</v>
      </c>
      <c r="E844" s="65">
        <f>+IF('Data Pura Costos'!E844="","",IF('Data Pura Costos'!E844=0,MAX('Data Pura Costos'!$E$7:$E$3000)*1000,'Data Pura Costos'!E844))</f>
        <v>400000</v>
      </c>
      <c r="F844" s="5" t="str">
        <f>+IF('Data Pura Costos'!F844="","",'Data Pura Costos'!F844)</f>
        <v>Malloa</v>
      </c>
      <c r="G844" s="5" t="str">
        <f>+IF('Data Pura Costos'!G844="","",'Data Pura Costos'!G844)</f>
        <v>TRAIDILL</v>
      </c>
      <c r="H844" s="52" t="str">
        <f>+IF('Data Pura Costos'!H844="","",'Data Pura Costos'!H844)</f>
        <v>Termo</v>
      </c>
      <c r="I844" s="71">
        <f>+IF('Data Pura Costos'!I844="","",'Data Pura Costos'!I844)</f>
        <v>6666.666666666667</v>
      </c>
      <c r="J844" s="52" t="str">
        <f>+IF('Data Pura Costos'!J844="","",'Data Pura Costos'!J844)</f>
        <v>24-25</v>
      </c>
      <c r="K844" s="82" t="str">
        <f t="shared" si="18"/>
        <v>Los Maitenes-Malloa-TRAIDILL</v>
      </c>
      <c r="R844" s="6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</row>
    <row r="845" spans="2:39" s="7" customFormat="1" x14ac:dyDescent="0.35">
      <c r="B845" s="4" t="str">
        <f>+IF('Data Pura Costos'!B845="","",'Data Pura Costos'!B845)</f>
        <v>Los Toldos</v>
      </c>
      <c r="C845" s="4" t="str">
        <f>+IF('Data Pura Costos'!C845="","",'Data Pura Costos'!C845)</f>
        <v>Angol, IX región</v>
      </c>
      <c r="D845" s="5">
        <f>+IF('Data Pura Costos'!D845="","",'Data Pura Costos'!D845)</f>
        <v>50</v>
      </c>
      <c r="E845" s="65">
        <f>+IF('Data Pura Costos'!E845="","",IF('Data Pura Costos'!E845=0,MAX('Data Pura Costos'!$E$7:$E$3000)*1000,'Data Pura Costos'!E845))</f>
        <v>1350000</v>
      </c>
      <c r="F845" s="5" t="str">
        <f>+IF('Data Pura Costos'!F845="","",'Data Pura Costos'!F845)</f>
        <v>Malloa</v>
      </c>
      <c r="G845" s="5" t="str">
        <f>+IF('Data Pura Costos'!G845="","",'Data Pura Costos'!G845)</f>
        <v>TRAIDILL</v>
      </c>
      <c r="H845" s="52" t="str">
        <f>+IF('Data Pura Costos'!H845="","",'Data Pura Costos'!H845)</f>
        <v>Termo</v>
      </c>
      <c r="I845" s="71">
        <f>+IF('Data Pura Costos'!I845="","",'Data Pura Costos'!I845)</f>
        <v>27000</v>
      </c>
      <c r="J845" s="52" t="str">
        <f>+IF('Data Pura Costos'!J845="","",'Data Pura Costos'!J845)</f>
        <v>24-25</v>
      </c>
      <c r="K845" s="82" t="str">
        <f t="shared" si="18"/>
        <v>Los Toldos-Malloa-TRAIDILL</v>
      </c>
      <c r="R845" s="6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</row>
    <row r="846" spans="2:39" s="7" customFormat="1" x14ac:dyDescent="0.35">
      <c r="B846" s="4" t="str">
        <f>+IF('Data Pura Costos'!B846="","",'Data Pura Costos'!B846)</f>
        <v>Mallorca</v>
      </c>
      <c r="C846" s="4" t="str">
        <f>+IF('Data Pura Costos'!C846="","",'Data Pura Costos'!C846)</f>
        <v xml:space="preserve">Molina, VII región </v>
      </c>
      <c r="D846" s="5">
        <f>+IF('Data Pura Costos'!D846="","",'Data Pura Costos'!D846)</f>
        <v>95</v>
      </c>
      <c r="E846" s="65">
        <f>+IF('Data Pura Costos'!E846="","",IF('Data Pura Costos'!E846=0,MAX('Data Pura Costos'!$E$7:$E$3000)*1000,'Data Pura Costos'!E846))</f>
        <v>450000</v>
      </c>
      <c r="F846" s="5" t="str">
        <f>+IF('Data Pura Costos'!F846="","",'Data Pura Costos'!F846)</f>
        <v>Malloa</v>
      </c>
      <c r="G846" s="5" t="str">
        <f>+IF('Data Pura Costos'!G846="","",'Data Pura Costos'!G846)</f>
        <v>TRAIDILL</v>
      </c>
      <c r="H846" s="52" t="str">
        <f>+IF('Data Pura Costos'!H846="","",'Data Pura Costos'!H846)</f>
        <v>Termo</v>
      </c>
      <c r="I846" s="71">
        <f>+IF('Data Pura Costos'!I846="","",'Data Pura Costos'!I846)</f>
        <v>4736.8421052631575</v>
      </c>
      <c r="J846" s="52" t="str">
        <f>+IF('Data Pura Costos'!J846="","",'Data Pura Costos'!J846)</f>
        <v>24-25</v>
      </c>
      <c r="K846" s="82" t="str">
        <f t="shared" si="18"/>
        <v>Mallorca-Malloa-TRAIDILL</v>
      </c>
      <c r="R846" s="6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</row>
    <row r="847" spans="2:39" s="7" customFormat="1" x14ac:dyDescent="0.35">
      <c r="B847" s="4" t="str">
        <f>+IF('Data Pura Costos'!B847="","",'Data Pura Costos'!B847)</f>
        <v>Panquehue</v>
      </c>
      <c r="C847" s="4" t="str">
        <f>+IF('Data Pura Costos'!C847="","",'Data Pura Costos'!C847)</f>
        <v>Panquehue, V región</v>
      </c>
      <c r="D847" s="5">
        <f>+IF('Data Pura Costos'!D847="","",'Data Pura Costos'!D847)</f>
        <v>230</v>
      </c>
      <c r="E847" s="65">
        <f>+IF('Data Pura Costos'!E847="","",IF('Data Pura Costos'!E847=0,MAX('Data Pura Costos'!$E$7:$E$3000)*1000,'Data Pura Costos'!E847))</f>
        <v>600000</v>
      </c>
      <c r="F847" s="5" t="str">
        <f>+IF('Data Pura Costos'!F847="","",'Data Pura Costos'!F847)</f>
        <v>Malloa</v>
      </c>
      <c r="G847" s="5" t="str">
        <f>+IF('Data Pura Costos'!G847="","",'Data Pura Costos'!G847)</f>
        <v>TRAIDILL</v>
      </c>
      <c r="H847" s="52" t="str">
        <f>+IF('Data Pura Costos'!H847="","",'Data Pura Costos'!H847)</f>
        <v>Termo</v>
      </c>
      <c r="I847" s="71">
        <f>+IF('Data Pura Costos'!I847="","",'Data Pura Costos'!I847)</f>
        <v>2608.695652173913</v>
      </c>
      <c r="J847" s="52" t="str">
        <f>+IF('Data Pura Costos'!J847="","",'Data Pura Costos'!J847)</f>
        <v>24-25</v>
      </c>
      <c r="K847" s="82" t="str">
        <f t="shared" si="18"/>
        <v>Panquehue-Malloa-TRAIDILL</v>
      </c>
      <c r="R847" s="6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</row>
    <row r="848" spans="2:39" s="7" customFormat="1" x14ac:dyDescent="0.35">
      <c r="B848" s="4" t="str">
        <f>+IF('Data Pura Costos'!B848="","",'Data Pura Costos'!B848)</f>
        <v>Retorno</v>
      </c>
      <c r="C848" s="4" t="str">
        <f>+IF('Data Pura Costos'!C848="","",'Data Pura Costos'!C848)</f>
        <v>Santa maria, V región</v>
      </c>
      <c r="D848" s="5">
        <f>+IF('Data Pura Costos'!D848="","",'Data Pura Costos'!D848)</f>
        <v>225</v>
      </c>
      <c r="E848" s="65">
        <f>+IF('Data Pura Costos'!E848="","",IF('Data Pura Costos'!E848=0,MAX('Data Pura Costos'!$E$7:$E$3000)*1000,'Data Pura Costos'!E848))</f>
        <v>500000</v>
      </c>
      <c r="F848" s="5" t="str">
        <f>+IF('Data Pura Costos'!F848="","",'Data Pura Costos'!F848)</f>
        <v>Malloa</v>
      </c>
      <c r="G848" s="5" t="str">
        <f>+IF('Data Pura Costos'!G848="","",'Data Pura Costos'!G848)</f>
        <v>TRAIDILL</v>
      </c>
      <c r="H848" s="52" t="str">
        <f>+IF('Data Pura Costos'!H848="","",'Data Pura Costos'!H848)</f>
        <v>Termo</v>
      </c>
      <c r="I848" s="71">
        <f>+IF('Data Pura Costos'!I848="","",'Data Pura Costos'!I848)</f>
        <v>2222.2222222222222</v>
      </c>
      <c r="J848" s="52" t="str">
        <f>+IF('Data Pura Costos'!J848="","",'Data Pura Costos'!J848)</f>
        <v>24-25</v>
      </c>
      <c r="K848" s="82" t="str">
        <f t="shared" si="18"/>
        <v>Retorno-Malloa-TRAIDILL</v>
      </c>
      <c r="R848" s="6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</row>
    <row r="849" spans="2:39" s="7" customFormat="1" x14ac:dyDescent="0.35">
      <c r="B849" s="4" t="str">
        <f>+IF('Data Pura Costos'!B849="","",'Data Pura Costos'!B849)</f>
        <v>Talhuén</v>
      </c>
      <c r="C849" s="4" t="str">
        <f>+IF('Data Pura Costos'!C849="","",'Data Pura Costos'!C849)</f>
        <v>Palmilla, VI región</v>
      </c>
      <c r="D849" s="5">
        <f>+IF('Data Pura Costos'!D849="","",'Data Pura Costos'!D849)</f>
        <v>60</v>
      </c>
      <c r="E849" s="65">
        <f>+IF('Data Pura Costos'!E849="","",IF('Data Pura Costos'!E849=0,MAX('Data Pura Costos'!$E$7:$E$3000)*1000,'Data Pura Costos'!E849))</f>
        <v>400000</v>
      </c>
      <c r="F849" s="5" t="str">
        <f>+IF('Data Pura Costos'!F849="","",'Data Pura Costos'!F849)</f>
        <v>Malloa</v>
      </c>
      <c r="G849" s="5" t="str">
        <f>+IF('Data Pura Costos'!G849="","",'Data Pura Costos'!G849)</f>
        <v>TRAIDILL</v>
      </c>
      <c r="H849" s="52" t="str">
        <f>+IF('Data Pura Costos'!H849="","",'Data Pura Costos'!H849)</f>
        <v>Termo</v>
      </c>
      <c r="I849" s="71">
        <f>+IF('Data Pura Costos'!I849="","",'Data Pura Costos'!I849)</f>
        <v>6666.666666666667</v>
      </c>
      <c r="J849" s="52" t="str">
        <f>+IF('Data Pura Costos'!J849="","",'Data Pura Costos'!J849)</f>
        <v>24-25</v>
      </c>
      <c r="K849" s="82" t="str">
        <f t="shared" si="18"/>
        <v>Talhuén-Malloa-TRAIDILL</v>
      </c>
      <c r="R849" s="6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</row>
    <row r="850" spans="2:39" s="7" customFormat="1" x14ac:dyDescent="0.35">
      <c r="B850" s="4" t="str">
        <f>+IF('Data Pura Costos'!B850="","",'Data Pura Costos'!B850)</f>
        <v>Triunfo</v>
      </c>
      <c r="C850" s="4" t="str">
        <f>+IF('Data Pura Costos'!C850="","",'Data Pura Costos'!C850)</f>
        <v xml:space="preserve">San Esteban, V región </v>
      </c>
      <c r="D850" s="5" t="str">
        <f>+IF('Data Pura Costos'!D850="","",'Data Pura Costos'!D850)</f>
        <v/>
      </c>
      <c r="E850" s="65">
        <f>+IF('Data Pura Costos'!E850="","",IF('Data Pura Costos'!E850=0,MAX('Data Pura Costos'!$E$7:$E$3000)*1000,'Data Pura Costos'!E850))</f>
        <v>600000</v>
      </c>
      <c r="F850" s="5" t="str">
        <f>+IF('Data Pura Costos'!F850="","",'Data Pura Costos'!F850)</f>
        <v>Malloa</v>
      </c>
      <c r="G850" s="5" t="str">
        <f>+IF('Data Pura Costos'!G850="","",'Data Pura Costos'!G850)</f>
        <v>TRAIDILL</v>
      </c>
      <c r="H850" s="52" t="str">
        <f>+IF('Data Pura Costos'!H850="","",'Data Pura Costos'!H850)</f>
        <v>Termo</v>
      </c>
      <c r="I850" s="71" t="e">
        <f>+IF('Data Pura Costos'!I850="","",'Data Pura Costos'!I850)</f>
        <v>#DIV/0!</v>
      </c>
      <c r="J850" s="52" t="str">
        <f>+IF('Data Pura Costos'!J850="","",'Data Pura Costos'!J850)</f>
        <v>24-25</v>
      </c>
      <c r="K850" s="82" t="str">
        <f t="shared" si="18"/>
        <v>Triunfo-Malloa-TRAIDILL</v>
      </c>
      <c r="R850" s="6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</row>
    <row r="851" spans="2:39" s="7" customFormat="1" x14ac:dyDescent="0.35">
      <c r="B851" s="4" t="str">
        <f>+IF('Data Pura Costos'!B851="","",'Data Pura Costos'!B851)</f>
        <v>Villaseca</v>
      </c>
      <c r="C851" s="4" t="str">
        <f>+IF('Data Pura Costos'!C851="","",'Data Pura Costos'!C851)</f>
        <v>Retiro, VII reginón</v>
      </c>
      <c r="D851" s="5">
        <f>+IF('Data Pura Costos'!D851="","",'Data Pura Costos'!D851)</f>
        <v>250</v>
      </c>
      <c r="E851" s="65">
        <f>+IF('Data Pura Costos'!E851="","",IF('Data Pura Costos'!E851=0,MAX('Data Pura Costos'!$E$7:$E$3000)*1000,'Data Pura Costos'!E851))</f>
        <v>800000</v>
      </c>
      <c r="F851" s="5" t="str">
        <f>+IF('Data Pura Costos'!F851="","",'Data Pura Costos'!F851)</f>
        <v>Malloa</v>
      </c>
      <c r="G851" s="5" t="str">
        <f>+IF('Data Pura Costos'!G851="","",'Data Pura Costos'!G851)</f>
        <v>TRAIDILL</v>
      </c>
      <c r="H851" s="52" t="str">
        <f>+IF('Data Pura Costos'!H851="","",'Data Pura Costos'!H851)</f>
        <v>Termo</v>
      </c>
      <c r="I851" s="71">
        <f>+IF('Data Pura Costos'!I851="","",'Data Pura Costos'!I851)</f>
        <v>3200</v>
      </c>
      <c r="J851" s="52" t="str">
        <f>+IF('Data Pura Costos'!J851="","",'Data Pura Costos'!J851)</f>
        <v>24-25</v>
      </c>
      <c r="K851" s="82" t="str">
        <f t="shared" si="18"/>
        <v>Villaseca-Malloa-TRAIDILL</v>
      </c>
      <c r="R851" s="6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</row>
    <row r="852" spans="2:39" s="7" customFormat="1" x14ac:dyDescent="0.35">
      <c r="B852" s="4" t="str">
        <f>+IF('Data Pura Costos'!B852="","",'Data Pura Costos'!B852)</f>
        <v>Panquehue</v>
      </c>
      <c r="C852" s="4" t="str">
        <f>+IF('Data Pura Costos'!C852="","",'Data Pura Costos'!C852)</f>
        <v>Panquehue, V región</v>
      </c>
      <c r="D852" s="5">
        <f>+IF('Data Pura Costos'!D852="","",'Data Pura Costos'!D852)</f>
        <v>165</v>
      </c>
      <c r="E852" s="65">
        <f>+IF('Data Pura Costos'!E852="","",IF('Data Pura Costos'!E852=0,MAX('Data Pura Costos'!$E$7:$E$3000)*1000,'Data Pura Costos'!E852))</f>
        <v>640000</v>
      </c>
      <c r="F852" s="5" t="str">
        <f>+IF('Data Pura Costos'!F852="","",'Data Pura Costos'!F852)</f>
        <v>Mostazal</v>
      </c>
      <c r="G852" s="5" t="str">
        <f>+IF('Data Pura Costos'!G852="","",'Data Pura Costos'!G852)</f>
        <v>TRANS. ALMENDRAL</v>
      </c>
      <c r="H852" s="52" t="str">
        <f>+IF('Data Pura Costos'!H852="","",'Data Pura Costos'!H852)</f>
        <v>Termo</v>
      </c>
      <c r="I852" s="71">
        <f>+IF('Data Pura Costos'!I852="","",'Data Pura Costos'!I852)</f>
        <v>3878.787878787879</v>
      </c>
      <c r="J852" s="52" t="str">
        <f>+IF('Data Pura Costos'!J852="","",'Data Pura Costos'!J852)</f>
        <v>24-25</v>
      </c>
      <c r="K852" s="82" t="str">
        <f t="shared" si="18"/>
        <v>Panquehue-Mostazal-TRANS. ALMENDRAL</v>
      </c>
      <c r="R852" s="6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</row>
    <row r="853" spans="2:39" s="7" customFormat="1" x14ac:dyDescent="0.35">
      <c r="B853" s="4" t="str">
        <f>+IF('Data Pura Costos'!B853="","",'Data Pura Costos'!B853)</f>
        <v>Retorno</v>
      </c>
      <c r="C853" s="4" t="str">
        <f>+IF('Data Pura Costos'!C853="","",'Data Pura Costos'!C853)</f>
        <v>Santa maria, V región</v>
      </c>
      <c r="D853" s="5">
        <f>+IF('Data Pura Costos'!D853="","",'Data Pura Costos'!D853)</f>
        <v>162</v>
      </c>
      <c r="E853" s="65">
        <f>+IF('Data Pura Costos'!E853="","",IF('Data Pura Costos'!E853=0,MAX('Data Pura Costos'!$E$7:$E$3000)*1000,'Data Pura Costos'!E853))</f>
        <v>640000</v>
      </c>
      <c r="F853" s="5" t="str">
        <f>+IF('Data Pura Costos'!F853="","",'Data Pura Costos'!F853)</f>
        <v>Mostazal</v>
      </c>
      <c r="G853" s="5" t="str">
        <f>+IF('Data Pura Costos'!G853="","",'Data Pura Costos'!G853)</f>
        <v>TRANS. ALMENDRAL</v>
      </c>
      <c r="H853" s="52" t="str">
        <f>+IF('Data Pura Costos'!H853="","",'Data Pura Costos'!H853)</f>
        <v>Termo</v>
      </c>
      <c r="I853" s="71">
        <f>+IF('Data Pura Costos'!I853="","",'Data Pura Costos'!I853)</f>
        <v>3950.6172839506171</v>
      </c>
      <c r="J853" s="52" t="str">
        <f>+IF('Data Pura Costos'!J853="","",'Data Pura Costos'!J853)</f>
        <v>24-25</v>
      </c>
      <c r="K853" s="82" t="str">
        <f t="shared" si="18"/>
        <v>Retorno-Mostazal-TRANS. ALMENDRAL</v>
      </c>
      <c r="R853" s="6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</row>
    <row r="854" spans="2:39" s="7" customFormat="1" x14ac:dyDescent="0.35">
      <c r="B854" s="4" t="str">
        <f>+IF('Data Pura Costos'!B854="","",'Data Pura Costos'!B854)</f>
        <v>Panquehue</v>
      </c>
      <c r="C854" s="4" t="str">
        <f>+IF('Data Pura Costos'!C854="","",'Data Pura Costos'!C854)</f>
        <v>Panquehue, V región</v>
      </c>
      <c r="D854" s="5">
        <f>+IF('Data Pura Costos'!D854="","",'Data Pura Costos'!D854)</f>
        <v>310</v>
      </c>
      <c r="E854" s="65">
        <f>+IF('Data Pura Costos'!E854="","",IF('Data Pura Costos'!E854=0,MAX('Data Pura Costos'!$E$7:$E$3000)*1000,'Data Pura Costos'!E854))</f>
        <v>850000</v>
      </c>
      <c r="F854" s="5" t="str">
        <f>+IF('Data Pura Costos'!F854="","",'Data Pura Costos'!F854)</f>
        <v>Molina</v>
      </c>
      <c r="G854" s="5" t="str">
        <f>+IF('Data Pura Costos'!G854="","",'Data Pura Costos'!G854)</f>
        <v>TRANS. ALMENDRAL</v>
      </c>
      <c r="H854" s="52" t="str">
        <f>+IF('Data Pura Costos'!H854="","",'Data Pura Costos'!H854)</f>
        <v>Termo</v>
      </c>
      <c r="I854" s="71">
        <f>+IF('Data Pura Costos'!I854="","",'Data Pura Costos'!I854)</f>
        <v>2741.9354838709678</v>
      </c>
      <c r="J854" s="52" t="str">
        <f>+IF('Data Pura Costos'!J854="","",'Data Pura Costos'!J854)</f>
        <v>24-25</v>
      </c>
      <c r="K854" s="82" t="str">
        <f t="shared" si="18"/>
        <v>Panquehue-Molina-TRANS. ALMENDRAL</v>
      </c>
      <c r="R854" s="6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</row>
    <row r="855" spans="2:39" s="7" customFormat="1" x14ac:dyDescent="0.35">
      <c r="B855" s="4" t="str">
        <f>+IF('Data Pura Costos'!B855="","",'Data Pura Costos'!B855)</f>
        <v>Retorno</v>
      </c>
      <c r="C855" s="4" t="str">
        <f>+IF('Data Pura Costos'!C855="","",'Data Pura Costos'!C855)</f>
        <v>Santa maria, V región</v>
      </c>
      <c r="D855" s="5">
        <f>+IF('Data Pura Costos'!D855="","",'Data Pura Costos'!D855)</f>
        <v>305</v>
      </c>
      <c r="E855" s="65">
        <f>+IF('Data Pura Costos'!E855="","",IF('Data Pura Costos'!E855=0,MAX('Data Pura Costos'!$E$7:$E$3000)*1000,'Data Pura Costos'!E855))</f>
        <v>850000</v>
      </c>
      <c r="F855" s="5" t="str">
        <f>+IF('Data Pura Costos'!F855="","",'Data Pura Costos'!F855)</f>
        <v>Molina</v>
      </c>
      <c r="G855" s="5" t="str">
        <f>+IF('Data Pura Costos'!G855="","",'Data Pura Costos'!G855)</f>
        <v>TRANS. ALMENDRAL</v>
      </c>
      <c r="H855" s="52" t="str">
        <f>+IF('Data Pura Costos'!H855="","",'Data Pura Costos'!H855)</f>
        <v>Termo</v>
      </c>
      <c r="I855" s="71">
        <f>+IF('Data Pura Costos'!I855="","",'Data Pura Costos'!I855)</f>
        <v>2786.8852459016393</v>
      </c>
      <c r="J855" s="52" t="str">
        <f>+IF('Data Pura Costos'!J855="","",'Data Pura Costos'!J855)</f>
        <v>24-25</v>
      </c>
      <c r="K855" s="82" t="str">
        <f t="shared" si="18"/>
        <v>Retorno-Molina-TRANS. ALMENDRAL</v>
      </c>
      <c r="R855" s="6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</row>
    <row r="856" spans="2:39" s="7" customFormat="1" x14ac:dyDescent="0.35">
      <c r="B856" s="4" t="str">
        <f>+IF('Data Pura Costos'!B856="","",'Data Pura Costos'!B856)</f>
        <v>Panquehue</v>
      </c>
      <c r="C856" s="4" t="str">
        <f>+IF('Data Pura Costos'!C856="","",'Data Pura Costos'!C856)</f>
        <v>Panquehue, V región</v>
      </c>
      <c r="D856" s="5">
        <f>+IF('Data Pura Costos'!D856="","",'Data Pura Costos'!D856)</f>
        <v>230</v>
      </c>
      <c r="E856" s="65">
        <f>+IF('Data Pura Costos'!E856="","",IF('Data Pura Costos'!E856=0,MAX('Data Pura Costos'!$E$7:$E$3000)*1000,'Data Pura Costos'!E856))</f>
        <v>730000</v>
      </c>
      <c r="F856" s="5" t="str">
        <f>+IF('Data Pura Costos'!F856="","",'Data Pura Costos'!F856)</f>
        <v>Malloa</v>
      </c>
      <c r="G856" s="5" t="str">
        <f>+IF('Data Pura Costos'!G856="","",'Data Pura Costos'!G856)</f>
        <v>TRANS. ALMENDRAL</v>
      </c>
      <c r="H856" s="52" t="str">
        <f>+IF('Data Pura Costos'!H856="","",'Data Pura Costos'!H856)</f>
        <v>Termo</v>
      </c>
      <c r="I856" s="71">
        <f>+IF('Data Pura Costos'!I856="","",'Data Pura Costos'!I856)</f>
        <v>3173.913043478261</v>
      </c>
      <c r="J856" s="52" t="str">
        <f>+IF('Data Pura Costos'!J856="","",'Data Pura Costos'!J856)</f>
        <v>24-25</v>
      </c>
      <c r="K856" s="82" t="str">
        <f t="shared" si="18"/>
        <v>Panquehue-Malloa-TRANS. ALMENDRAL</v>
      </c>
      <c r="R856" s="6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</row>
    <row r="857" spans="2:39" s="7" customFormat="1" x14ac:dyDescent="0.35">
      <c r="B857" s="4" t="str">
        <f>+IF('Data Pura Costos'!B857="","",'Data Pura Costos'!B857)</f>
        <v>Retorno</v>
      </c>
      <c r="C857" s="4" t="str">
        <f>+IF('Data Pura Costos'!C857="","",'Data Pura Costos'!C857)</f>
        <v>Santa maria, V región</v>
      </c>
      <c r="D857" s="5">
        <f>+IF('Data Pura Costos'!D857="","",'Data Pura Costos'!D857)</f>
        <v>225</v>
      </c>
      <c r="E857" s="65">
        <f>+IF('Data Pura Costos'!E857="","",IF('Data Pura Costos'!E857=0,MAX('Data Pura Costos'!$E$7:$E$3000)*1000,'Data Pura Costos'!E857))</f>
        <v>730000</v>
      </c>
      <c r="F857" s="5" t="str">
        <f>+IF('Data Pura Costos'!F857="","",'Data Pura Costos'!F857)</f>
        <v>Malloa</v>
      </c>
      <c r="G857" s="5" t="str">
        <f>+IF('Data Pura Costos'!G857="","",'Data Pura Costos'!G857)</f>
        <v>TRANS. ALMENDRAL</v>
      </c>
      <c r="H857" s="52" t="str">
        <f>+IF('Data Pura Costos'!H857="","",'Data Pura Costos'!H857)</f>
        <v>Termo</v>
      </c>
      <c r="I857" s="71">
        <f>+IF('Data Pura Costos'!I857="","",'Data Pura Costos'!I857)</f>
        <v>3244.4444444444443</v>
      </c>
      <c r="J857" s="52" t="str">
        <f>+IF('Data Pura Costos'!J857="","",'Data Pura Costos'!J857)</f>
        <v>24-25</v>
      </c>
      <c r="K857" s="82" t="str">
        <f t="shared" si="18"/>
        <v>Retorno-Malloa-TRANS. ALMENDRAL</v>
      </c>
      <c r="R857" s="6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</row>
    <row r="858" spans="2:39" s="7" customFormat="1" x14ac:dyDescent="0.35">
      <c r="B858" s="4" t="str">
        <f>+IF('Data Pura Costos'!B858="","",'Data Pura Costos'!B858)</f>
        <v>Almahue</v>
      </c>
      <c r="C858" s="4" t="str">
        <f>+IF('Data Pura Costos'!C858="","",'Data Pura Costos'!C858)</f>
        <v>Pichidegua, VI región</v>
      </c>
      <c r="D858" s="5">
        <f>+IF('Data Pura Costos'!D858="","",'Data Pura Costos'!D858)</f>
        <v>108</v>
      </c>
      <c r="E858" s="65">
        <f>+IF('Data Pura Costos'!E858="","",IF('Data Pura Costos'!E858=0,MAX('Data Pura Costos'!$E$7:$E$3000)*1000,'Data Pura Costos'!E858))</f>
        <v>340000</v>
      </c>
      <c r="F858" s="5" t="str">
        <f>+IF('Data Pura Costos'!F858="","",'Data Pura Costos'!F858)</f>
        <v>Mostazal</v>
      </c>
      <c r="G858" s="5" t="str">
        <f>+IF('Data Pura Costos'!G858="","",'Data Pura Costos'!G858)</f>
        <v xml:space="preserve">  TRANS. MORROS LTDA.</v>
      </c>
      <c r="H858" s="52" t="str">
        <f>+IF('Data Pura Costos'!H858="","",'Data Pura Costos'!H858)</f>
        <v>Termo</v>
      </c>
      <c r="I858" s="71">
        <f>+IF('Data Pura Costos'!I858="","",'Data Pura Costos'!I858)</f>
        <v>3148.1481481481483</v>
      </c>
      <c r="J858" s="52" t="str">
        <f>+IF('Data Pura Costos'!J858="","",'Data Pura Costos'!J858)</f>
        <v>24-25</v>
      </c>
      <c r="K858" s="82" t="str">
        <f t="shared" si="18"/>
        <v>Almahue-Mostazal-  TRANS. MORROS LTDA.</v>
      </c>
      <c r="R858" s="6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</row>
    <row r="859" spans="2:39" s="7" customFormat="1" x14ac:dyDescent="0.35">
      <c r="B859" s="4" t="str">
        <f>+IF('Data Pura Costos'!B859="","",'Data Pura Costos'!B859)</f>
        <v>Bodega</v>
      </c>
      <c r="C859" s="4" t="str">
        <f>+IF('Data Pura Costos'!C859="","",'Data Pura Costos'!C859)</f>
        <v>Linares, VII region.</v>
      </c>
      <c r="D859" s="5">
        <f>+IF('Data Pura Costos'!D859="","",'Data Pura Costos'!D859)</f>
        <v>264</v>
      </c>
      <c r="E859" s="65">
        <f>+IF('Data Pura Costos'!E859="","",IF('Data Pura Costos'!E859=0,MAX('Data Pura Costos'!$E$7:$E$3000)*1000,'Data Pura Costos'!E859))</f>
        <v>460000</v>
      </c>
      <c r="F859" s="5" t="str">
        <f>+IF('Data Pura Costos'!F859="","",'Data Pura Costos'!F859)</f>
        <v>Mostazal</v>
      </c>
      <c r="G859" s="5" t="str">
        <f>+IF('Data Pura Costos'!G859="","",'Data Pura Costos'!G859)</f>
        <v xml:space="preserve">  TRANS. MORROS LTDA.</v>
      </c>
      <c r="H859" s="52" t="str">
        <f>+IF('Data Pura Costos'!H859="","",'Data Pura Costos'!H859)</f>
        <v>Termo</v>
      </c>
      <c r="I859" s="71">
        <f>+IF('Data Pura Costos'!I859="","",'Data Pura Costos'!I859)</f>
        <v>1742.4242424242425</v>
      </c>
      <c r="J859" s="52" t="str">
        <f>+IF('Data Pura Costos'!J859="","",'Data Pura Costos'!J859)</f>
        <v>24-25</v>
      </c>
      <c r="K859" s="82" t="str">
        <f t="shared" si="18"/>
        <v>Bodega-Mostazal-  TRANS. MORROS LTDA.</v>
      </c>
      <c r="R859" s="6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</row>
    <row r="860" spans="2:39" s="7" customFormat="1" x14ac:dyDescent="0.35">
      <c r="B860" s="4" t="str">
        <f>+IF('Data Pura Costos'!B860="","",'Data Pura Costos'!B860)</f>
        <v xml:space="preserve">Caliboro </v>
      </c>
      <c r="C860" s="4" t="str">
        <f>+IF('Data Pura Costos'!C860="","",'Data Pura Costos'!C860)</f>
        <v>San Javier, VII región</v>
      </c>
      <c r="D860" s="5">
        <f>+IF('Data Pura Costos'!D860="","",'Data Pura Costos'!D860)</f>
        <v>258</v>
      </c>
      <c r="E860" s="65">
        <f>+IF('Data Pura Costos'!E860="","",IF('Data Pura Costos'!E860=0,MAX('Data Pura Costos'!$E$7:$E$3000)*1000,'Data Pura Costos'!E860))</f>
        <v>460000</v>
      </c>
      <c r="F860" s="5" t="str">
        <f>+IF('Data Pura Costos'!F860="","",'Data Pura Costos'!F860)</f>
        <v>Mostazal</v>
      </c>
      <c r="G860" s="5" t="str">
        <f>+IF('Data Pura Costos'!G860="","",'Data Pura Costos'!G860)</f>
        <v xml:space="preserve">  TRANS. MORROS LTDA.</v>
      </c>
      <c r="H860" s="52" t="str">
        <f>+IF('Data Pura Costos'!H860="","",'Data Pura Costos'!H860)</f>
        <v>Termo</v>
      </c>
      <c r="I860" s="71">
        <f>+IF('Data Pura Costos'!I860="","",'Data Pura Costos'!I860)</f>
        <v>1782.9457364341085</v>
      </c>
      <c r="J860" s="52" t="str">
        <f>+IF('Data Pura Costos'!J860="","",'Data Pura Costos'!J860)</f>
        <v>24-25</v>
      </c>
      <c r="K860" s="82" t="str">
        <f t="shared" si="18"/>
        <v>Caliboro -Mostazal-  TRANS. MORROS LTDA.</v>
      </c>
      <c r="R860" s="6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</row>
    <row r="861" spans="2:39" s="7" customFormat="1" x14ac:dyDescent="0.35">
      <c r="B861" s="4" t="str">
        <f>+IF('Data Pura Costos'!B861="","",'Data Pura Costos'!B861)</f>
        <v>Calleuque</v>
      </c>
      <c r="C861" s="4" t="str">
        <f>+IF('Data Pura Costos'!C861="","",'Data Pura Costos'!C861)</f>
        <v>Peralillo ohiggins, VI región</v>
      </c>
      <c r="D861" s="5">
        <f>+IF('Data Pura Costos'!D861="","",'Data Pura Costos'!D861)</f>
        <v>143</v>
      </c>
      <c r="E861" s="65">
        <f>+IF('Data Pura Costos'!E861="","",IF('Data Pura Costos'!E861=0,MAX('Data Pura Costos'!$E$7:$E$3000)*1000,'Data Pura Costos'!E861))</f>
        <v>340000</v>
      </c>
      <c r="F861" s="5" t="str">
        <f>+IF('Data Pura Costos'!F861="","",'Data Pura Costos'!F861)</f>
        <v>Mostazal</v>
      </c>
      <c r="G861" s="5" t="str">
        <f>+IF('Data Pura Costos'!G861="","",'Data Pura Costos'!G861)</f>
        <v xml:space="preserve">  TRANS. MORROS LTDA.</v>
      </c>
      <c r="H861" s="52" t="str">
        <f>+IF('Data Pura Costos'!H861="","",'Data Pura Costos'!H861)</f>
        <v>Termo</v>
      </c>
      <c r="I861" s="71">
        <f>+IF('Data Pura Costos'!I861="","",'Data Pura Costos'!I861)</f>
        <v>2377.6223776223778</v>
      </c>
      <c r="J861" s="52" t="str">
        <f>+IF('Data Pura Costos'!J861="","",'Data Pura Costos'!J861)</f>
        <v>24-25</v>
      </c>
      <c r="K861" s="82" t="str">
        <f t="shared" si="18"/>
        <v>Calleuque-Mostazal-  TRANS. MORROS LTDA.</v>
      </c>
      <c r="R861" s="6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</row>
    <row r="862" spans="2:39" s="7" customFormat="1" x14ac:dyDescent="0.35">
      <c r="B862" s="4" t="str">
        <f>+IF('Data Pura Costos'!B862="","",'Data Pura Costos'!B862)</f>
        <v>Chumpirro</v>
      </c>
      <c r="C862" s="4" t="str">
        <f>+IF('Data Pura Costos'!C862="","",'Data Pura Costos'!C862)</f>
        <v>Angol, IX región</v>
      </c>
      <c r="D862" s="5">
        <f>+IF('Data Pura Costos'!D862="","",'Data Pura Costos'!D862)</f>
        <v>499</v>
      </c>
      <c r="E862" s="65">
        <f>+IF('Data Pura Costos'!E862="","",IF('Data Pura Costos'!E862=0,MAX('Data Pura Costos'!$E$7:$E$3000)*1000,'Data Pura Costos'!E862))</f>
        <v>1207833</v>
      </c>
      <c r="F862" s="5" t="str">
        <f>+IF('Data Pura Costos'!F862="","",'Data Pura Costos'!F862)</f>
        <v>Mostazal</v>
      </c>
      <c r="G862" s="5" t="str">
        <f>+IF('Data Pura Costos'!G862="","",'Data Pura Costos'!G862)</f>
        <v xml:space="preserve">  TRANS. MORROS LTDA.</v>
      </c>
      <c r="H862" s="52" t="str">
        <f>+IF('Data Pura Costos'!H862="","",'Data Pura Costos'!H862)</f>
        <v>Termo</v>
      </c>
      <c r="I862" s="71">
        <f>+IF('Data Pura Costos'!I862="","",'Data Pura Costos'!I862)</f>
        <v>2420.5070140280559</v>
      </c>
      <c r="J862" s="52" t="str">
        <f>+IF('Data Pura Costos'!J862="","",'Data Pura Costos'!J862)</f>
        <v>24-25</v>
      </c>
      <c r="K862" s="82" t="str">
        <f t="shared" si="18"/>
        <v>Chumpirro-Mostazal-  TRANS. MORROS LTDA.</v>
      </c>
      <c r="R862" s="6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</row>
    <row r="863" spans="2:39" s="7" customFormat="1" x14ac:dyDescent="0.35">
      <c r="B863" s="4" t="str">
        <f>+IF('Data Pura Costos'!B863="","",'Data Pura Costos'!B863)</f>
        <v xml:space="preserve"> Cocalán</v>
      </c>
      <c r="C863" s="4" t="str">
        <f>+IF('Data Pura Costos'!C863="","",'Data Pura Costos'!C863)</f>
        <v>Cocalán, VI región</v>
      </c>
      <c r="D863" s="5">
        <f>+IF('Data Pura Costos'!D863="","",'Data Pura Costos'!D863)</f>
        <v>113</v>
      </c>
      <c r="E863" s="65">
        <f>+IF('Data Pura Costos'!E863="","",IF('Data Pura Costos'!E863=0,MAX('Data Pura Costos'!$E$7:$E$3000)*1000,'Data Pura Costos'!E863))</f>
        <v>300000</v>
      </c>
      <c r="F863" s="5" t="str">
        <f>+IF('Data Pura Costos'!F863="","",'Data Pura Costos'!F863)</f>
        <v>Mostazal</v>
      </c>
      <c r="G863" s="5" t="str">
        <f>+IF('Data Pura Costos'!G863="","",'Data Pura Costos'!G863)</f>
        <v xml:space="preserve">  TRANS. MORROS LTDA.</v>
      </c>
      <c r="H863" s="52" t="str">
        <f>+IF('Data Pura Costos'!H863="","",'Data Pura Costos'!H863)</f>
        <v>Termo</v>
      </c>
      <c r="I863" s="71">
        <f>+IF('Data Pura Costos'!I863="","",'Data Pura Costos'!I863)</f>
        <v>2654.8672566371683</v>
      </c>
      <c r="J863" s="52" t="str">
        <f>+IF('Data Pura Costos'!J863="","",'Data Pura Costos'!J863)</f>
        <v>24-25</v>
      </c>
      <c r="K863" s="82" t="str">
        <f t="shared" si="18"/>
        <v xml:space="preserve"> Cocalán-Mostazal-  TRANS. MORROS LTDA.</v>
      </c>
      <c r="R863" s="6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</row>
    <row r="864" spans="2:39" s="7" customFormat="1" x14ac:dyDescent="0.35">
      <c r="B864" s="4" t="str">
        <f>+IF('Data Pura Costos'!B864="","",'Data Pura Costos'!B864)</f>
        <v>El Cóndor</v>
      </c>
      <c r="C864" s="4" t="str">
        <f>+IF('Data Pura Costos'!C864="","",'Data Pura Costos'!C864)</f>
        <v>Chimbarongo, VI Region.</v>
      </c>
      <c r="D864" s="5">
        <f>+IF('Data Pura Costos'!D864="","",'Data Pura Costos'!D864)</f>
        <v>150</v>
      </c>
      <c r="E864" s="65">
        <f>+IF('Data Pura Costos'!E864="","",IF('Data Pura Costos'!E864=0,MAX('Data Pura Costos'!$E$7:$E$3000)*1000,'Data Pura Costos'!E864))</f>
        <v>350000</v>
      </c>
      <c r="F864" s="5" t="str">
        <f>+IF('Data Pura Costos'!F864="","",'Data Pura Costos'!F864)</f>
        <v>Mostazal</v>
      </c>
      <c r="G864" s="5" t="str">
        <f>+IF('Data Pura Costos'!G864="","",'Data Pura Costos'!G864)</f>
        <v xml:space="preserve">  TRANS. MORROS LTDA.</v>
      </c>
      <c r="H864" s="52" t="str">
        <f>+IF('Data Pura Costos'!H864="","",'Data Pura Costos'!H864)</f>
        <v>Termo</v>
      </c>
      <c r="I864" s="71">
        <f>+IF('Data Pura Costos'!I864="","",'Data Pura Costos'!I864)</f>
        <v>2333.3333333333335</v>
      </c>
      <c r="J864" s="52" t="str">
        <f>+IF('Data Pura Costos'!J864="","",'Data Pura Costos'!J864)</f>
        <v>24-25</v>
      </c>
      <c r="K864" s="82" t="str">
        <f t="shared" si="18"/>
        <v>El Cóndor-Mostazal-  TRANS. MORROS LTDA.</v>
      </c>
      <c r="R864" s="6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</row>
    <row r="865" spans="2:39" s="7" customFormat="1" x14ac:dyDescent="0.35">
      <c r="B865" s="4" t="str">
        <f>+IF('Data Pura Costos'!B865="","",'Data Pura Costos'!B865)</f>
        <v>El Descanso</v>
      </c>
      <c r="C865" s="4" t="str">
        <f>+IF('Data Pura Costos'!C865="","",'Data Pura Costos'!C865)</f>
        <v>Sagrada Familia, VII región</v>
      </c>
      <c r="D865" s="5">
        <f>+IF('Data Pura Costos'!D865="","",'Data Pura Costos'!D865)</f>
        <v>240</v>
      </c>
      <c r="E865" s="65">
        <f>+IF('Data Pura Costos'!E865="","",IF('Data Pura Costos'!E865=0,MAX('Data Pura Costos'!$E$7:$E$3000)*1000,'Data Pura Costos'!E865))</f>
        <v>440000</v>
      </c>
      <c r="F865" s="5" t="str">
        <f>+IF('Data Pura Costos'!F865="","",'Data Pura Costos'!F865)</f>
        <v>Mostazal</v>
      </c>
      <c r="G865" s="5" t="str">
        <f>+IF('Data Pura Costos'!G865="","",'Data Pura Costos'!G865)</f>
        <v xml:space="preserve">  TRANS. MORROS LTDA.</v>
      </c>
      <c r="H865" s="52" t="str">
        <f>+IF('Data Pura Costos'!H865="","",'Data Pura Costos'!H865)</f>
        <v>Termo</v>
      </c>
      <c r="I865" s="71">
        <f>+IF('Data Pura Costos'!I865="","",'Data Pura Costos'!I865)</f>
        <v>1833.3333333333333</v>
      </c>
      <c r="J865" s="52" t="str">
        <f>+IF('Data Pura Costos'!J865="","",'Data Pura Costos'!J865)</f>
        <v>24-25</v>
      </c>
      <c r="K865" s="82" t="str">
        <f t="shared" si="18"/>
        <v>El Descanso-Mostazal-  TRANS. MORROS LTDA.</v>
      </c>
      <c r="R865" s="6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</row>
    <row r="866" spans="2:39" s="7" customFormat="1" x14ac:dyDescent="0.35">
      <c r="B866" s="4" t="str">
        <f>+IF('Data Pura Costos'!B866="","",'Data Pura Costos'!B866)</f>
        <v>El Espino</v>
      </c>
      <c r="C866" s="4" t="str">
        <f>+IF('Data Pura Costos'!C866="","",'Data Pura Costos'!C866)</f>
        <v>Colbún, VII región</v>
      </c>
      <c r="D866" s="5">
        <f>+IF('Data Pura Costos'!D866="","",'Data Pura Costos'!D866)</f>
        <v>240</v>
      </c>
      <c r="E866" s="65">
        <f>+IF('Data Pura Costos'!E866="","",IF('Data Pura Costos'!E866=0,MAX('Data Pura Costos'!$E$7:$E$3000)*1000,'Data Pura Costos'!E866))</f>
        <v>440000</v>
      </c>
      <c r="F866" s="5" t="str">
        <f>+IF('Data Pura Costos'!F866="","",'Data Pura Costos'!F866)</f>
        <v>Mostazal</v>
      </c>
      <c r="G866" s="5" t="str">
        <f>+IF('Data Pura Costos'!G866="","",'Data Pura Costos'!G866)</f>
        <v xml:space="preserve">  TRANS. MORROS LTDA.</v>
      </c>
      <c r="H866" s="52" t="str">
        <f>+IF('Data Pura Costos'!H866="","",'Data Pura Costos'!H866)</f>
        <v>Termo</v>
      </c>
      <c r="I866" s="71">
        <f>+IF('Data Pura Costos'!I866="","",'Data Pura Costos'!I866)</f>
        <v>1833.3333333333333</v>
      </c>
      <c r="J866" s="52" t="str">
        <f>+IF('Data Pura Costos'!J866="","",'Data Pura Costos'!J866)</f>
        <v>24-25</v>
      </c>
      <c r="K866" s="82" t="str">
        <f t="shared" si="18"/>
        <v>El Espino-Mostazal-  TRANS. MORROS LTDA.</v>
      </c>
      <c r="R866" s="6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</row>
    <row r="867" spans="2:39" s="7" customFormat="1" x14ac:dyDescent="0.35">
      <c r="B867" s="4" t="str">
        <f>+IF('Data Pura Costos'!B867="","",'Data Pura Costos'!B867)</f>
        <v>El Huaico</v>
      </c>
      <c r="C867" s="4" t="str">
        <f>+IF('Data Pura Costos'!C867="","",'Data Pura Costos'!C867)</f>
        <v>Palmila Ohiggins</v>
      </c>
      <c r="D867" s="5">
        <f>+IF('Data Pura Costos'!D867="","",'Data Pura Costos'!D867)</f>
        <v>124</v>
      </c>
      <c r="E867" s="65">
        <f>+IF('Data Pura Costos'!E867="","",IF('Data Pura Costos'!E867=0,MAX('Data Pura Costos'!$E$7:$E$3000)*1000,'Data Pura Costos'!E867))</f>
        <v>300000</v>
      </c>
      <c r="F867" s="5" t="str">
        <f>+IF('Data Pura Costos'!F867="","",'Data Pura Costos'!F867)</f>
        <v>Mostazal</v>
      </c>
      <c r="G867" s="5" t="str">
        <f>+IF('Data Pura Costos'!G867="","",'Data Pura Costos'!G867)</f>
        <v xml:space="preserve">  TRANS. MORROS LTDA.</v>
      </c>
      <c r="H867" s="52" t="str">
        <f>+IF('Data Pura Costos'!H867="","",'Data Pura Costos'!H867)</f>
        <v>Termo</v>
      </c>
      <c r="I867" s="71">
        <f>+IF('Data Pura Costos'!I867="","",'Data Pura Costos'!I867)</f>
        <v>2419.3548387096776</v>
      </c>
      <c r="J867" s="52" t="str">
        <f>+IF('Data Pura Costos'!J867="","",'Data Pura Costos'!J867)</f>
        <v>24-25</v>
      </c>
      <c r="K867" s="82" t="str">
        <f t="shared" si="18"/>
        <v>El Huaico-Mostazal-  TRANS. MORROS LTDA.</v>
      </c>
      <c r="R867" s="6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</row>
    <row r="868" spans="2:39" s="7" customFormat="1" x14ac:dyDescent="0.35">
      <c r="B868" s="4" t="str">
        <f>+IF('Data Pura Costos'!B868="","",'Data Pura Costos'!B868)</f>
        <v>El Picaso</v>
      </c>
      <c r="C868" s="4" t="str">
        <f>+IF('Data Pura Costos'!C868="","",'Data Pura Costos'!C868)</f>
        <v xml:space="preserve">San Clemente, VII región </v>
      </c>
      <c r="D868" s="5">
        <f>+IF('Data Pura Costos'!D868="","",'Data Pura Costos'!D868)</f>
        <v>208</v>
      </c>
      <c r="E868" s="65">
        <f>+IF('Data Pura Costos'!E868="","",IF('Data Pura Costos'!E868=0,MAX('Data Pura Costos'!$E$7:$E$3000)*1000,'Data Pura Costos'!E868))</f>
        <v>400000</v>
      </c>
      <c r="F868" s="5" t="str">
        <f>+IF('Data Pura Costos'!F868="","",'Data Pura Costos'!F868)</f>
        <v>Mostazal</v>
      </c>
      <c r="G868" s="5" t="str">
        <f>+IF('Data Pura Costos'!G868="","",'Data Pura Costos'!G868)</f>
        <v xml:space="preserve">  TRANS. MORROS LTDA.</v>
      </c>
      <c r="H868" s="52" t="str">
        <f>+IF('Data Pura Costos'!H868="","",'Data Pura Costos'!H868)</f>
        <v>Termo</v>
      </c>
      <c r="I868" s="71">
        <f>+IF('Data Pura Costos'!I868="","",'Data Pura Costos'!I868)</f>
        <v>1923.0769230769231</v>
      </c>
      <c r="J868" s="52" t="str">
        <f>+IF('Data Pura Costos'!J868="","",'Data Pura Costos'!J868)</f>
        <v>24-25</v>
      </c>
      <c r="K868" s="82" t="str">
        <f t="shared" si="18"/>
        <v>El Picaso-Mostazal-  TRANS. MORROS LTDA.</v>
      </c>
      <c r="R868" s="6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</row>
    <row r="869" spans="2:39" s="7" customFormat="1" x14ac:dyDescent="0.35">
      <c r="B869" s="4" t="str">
        <f>+IF('Data Pura Costos'!B869="","",'Data Pura Costos'!B869)</f>
        <v>El Rosario</v>
      </c>
      <c r="C869" s="4" t="str">
        <f>+IF('Data Pura Costos'!C869="","",'Data Pura Costos'!C869)</f>
        <v>Linares, VII region.</v>
      </c>
      <c r="D869" s="5">
        <f>+IF('Data Pura Costos'!D869="","",'Data Pura Costos'!D869)</f>
        <v>260</v>
      </c>
      <c r="E869" s="65">
        <f>+IF('Data Pura Costos'!E869="","",IF('Data Pura Costos'!E869=0,MAX('Data Pura Costos'!$E$7:$E$3000)*1000,'Data Pura Costos'!E869))</f>
        <v>460000</v>
      </c>
      <c r="F869" s="5" t="str">
        <f>+IF('Data Pura Costos'!F869="","",'Data Pura Costos'!F869)</f>
        <v>Mostazal</v>
      </c>
      <c r="G869" s="5" t="str">
        <f>+IF('Data Pura Costos'!G869="","",'Data Pura Costos'!G869)</f>
        <v xml:space="preserve">  TRANS. MORROS LTDA.</v>
      </c>
      <c r="H869" s="52" t="str">
        <f>+IF('Data Pura Costos'!H869="","",'Data Pura Costos'!H869)</f>
        <v>Termo</v>
      </c>
      <c r="I869" s="71">
        <f>+IF('Data Pura Costos'!I869="","",'Data Pura Costos'!I869)</f>
        <v>1769.2307692307693</v>
      </c>
      <c r="J869" s="52" t="str">
        <f>+IF('Data Pura Costos'!J869="","",'Data Pura Costos'!J869)</f>
        <v>24-25</v>
      </c>
      <c r="K869" s="82" t="str">
        <f t="shared" si="18"/>
        <v>El Rosario-Mostazal-  TRANS. MORROS LTDA.</v>
      </c>
      <c r="R869" s="6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</row>
    <row r="870" spans="2:39" s="7" customFormat="1" x14ac:dyDescent="0.35">
      <c r="B870" s="4" t="str">
        <f>+IF('Data Pura Costos'!B870="","",'Data Pura Costos'!B870)</f>
        <v>El Retiro</v>
      </c>
      <c r="C870" s="4" t="str">
        <f>+IF('Data Pura Costos'!C870="","",'Data Pura Costos'!C870)</f>
        <v>Rosario, VI Region.</v>
      </c>
      <c r="D870" s="5">
        <f>+IF('Data Pura Costos'!D870="","",'Data Pura Costos'!D870)</f>
        <v>45</v>
      </c>
      <c r="E870" s="65">
        <f>+IF('Data Pura Costos'!E870="","",IF('Data Pura Costos'!E870=0,MAX('Data Pura Costos'!$E$7:$E$3000)*1000,'Data Pura Costos'!E870))</f>
        <v>250000</v>
      </c>
      <c r="F870" s="5" t="str">
        <f>+IF('Data Pura Costos'!F870="","",'Data Pura Costos'!F870)</f>
        <v>Mostazal</v>
      </c>
      <c r="G870" s="5" t="str">
        <f>+IF('Data Pura Costos'!G870="","",'Data Pura Costos'!G870)</f>
        <v xml:space="preserve">  TRANS. MORROS LTDA.</v>
      </c>
      <c r="H870" s="52" t="str">
        <f>+IF('Data Pura Costos'!H870="","",'Data Pura Costos'!H870)</f>
        <v>Termo</v>
      </c>
      <c r="I870" s="71">
        <f>+IF('Data Pura Costos'!I870="","",'Data Pura Costos'!I870)</f>
        <v>5555.5555555555557</v>
      </c>
      <c r="J870" s="52" t="str">
        <f>+IF('Data Pura Costos'!J870="","",'Data Pura Costos'!J870)</f>
        <v>24-25</v>
      </c>
      <c r="K870" s="82" t="str">
        <f t="shared" si="18"/>
        <v>El Retiro-Mostazal-  TRANS. MORROS LTDA.</v>
      </c>
      <c r="R870" s="6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</row>
    <row r="871" spans="2:39" s="7" customFormat="1" x14ac:dyDescent="0.35">
      <c r="B871" s="4" t="str">
        <f>+IF('Data Pura Costos'!B871="","",'Data Pura Costos'!B871)</f>
        <v>La Esperanza</v>
      </c>
      <c r="C871" s="4" t="str">
        <f>+IF('Data Pura Costos'!C871="","",'Data Pura Costos'!C871)</f>
        <v>Peumo, VI región</v>
      </c>
      <c r="D871" s="5">
        <f>+IF('Data Pura Costos'!D871="","",'Data Pura Costos'!D871)</f>
        <v>98</v>
      </c>
      <c r="E871" s="65">
        <f>+IF('Data Pura Costos'!E871="","",IF('Data Pura Costos'!E871=0,MAX('Data Pura Costos'!$E$7:$E$3000)*1000,'Data Pura Costos'!E871))</f>
        <v>290000</v>
      </c>
      <c r="F871" s="5" t="str">
        <f>+IF('Data Pura Costos'!F871="","",'Data Pura Costos'!F871)</f>
        <v>Mostazal</v>
      </c>
      <c r="G871" s="5" t="str">
        <f>+IF('Data Pura Costos'!G871="","",'Data Pura Costos'!G871)</f>
        <v xml:space="preserve">  TRANS. MORROS LTDA.</v>
      </c>
      <c r="H871" s="52" t="str">
        <f>+IF('Data Pura Costos'!H871="","",'Data Pura Costos'!H871)</f>
        <v>Termo</v>
      </c>
      <c r="I871" s="71">
        <f>+IF('Data Pura Costos'!I871="","",'Data Pura Costos'!I871)</f>
        <v>2959.1836734693879</v>
      </c>
      <c r="J871" s="52" t="str">
        <f>+IF('Data Pura Costos'!J871="","",'Data Pura Costos'!J871)</f>
        <v>24-25</v>
      </c>
      <c r="K871" s="82" t="str">
        <f t="shared" si="18"/>
        <v>La Esperanza-Mostazal-  TRANS. MORROS LTDA.</v>
      </c>
      <c r="R871" s="6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</row>
    <row r="872" spans="2:39" s="7" customFormat="1" x14ac:dyDescent="0.35">
      <c r="B872" s="4" t="str">
        <f>+IF('Data Pura Costos'!B872="","",'Data Pura Costos'!B872)</f>
        <v>La Estación</v>
      </c>
      <c r="C872" s="4" t="str">
        <f>+IF('Data Pura Costos'!C872="","",'Data Pura Costos'!C872)</f>
        <v>Palmilla, VI región</v>
      </c>
      <c r="D872" s="5">
        <f>+IF('Data Pura Costos'!D872="","",'Data Pura Costos'!D872)</f>
        <v>125</v>
      </c>
      <c r="E872" s="65">
        <f>+IF('Data Pura Costos'!E872="","",IF('Data Pura Costos'!E872=0,MAX('Data Pura Costos'!$E$7:$E$3000)*1000,'Data Pura Costos'!E872))</f>
        <v>300000</v>
      </c>
      <c r="F872" s="5" t="str">
        <f>+IF('Data Pura Costos'!F872="","",'Data Pura Costos'!F872)</f>
        <v>Mostazal</v>
      </c>
      <c r="G872" s="5" t="str">
        <f>+IF('Data Pura Costos'!G872="","",'Data Pura Costos'!G872)</f>
        <v xml:space="preserve">  TRANS. MORROS LTDA.</v>
      </c>
      <c r="H872" s="52" t="str">
        <f>+IF('Data Pura Costos'!H872="","",'Data Pura Costos'!H872)</f>
        <v>Termo</v>
      </c>
      <c r="I872" s="71">
        <f>+IF('Data Pura Costos'!I872="","",'Data Pura Costos'!I872)</f>
        <v>2400</v>
      </c>
      <c r="J872" s="52" t="str">
        <f>+IF('Data Pura Costos'!J872="","",'Data Pura Costos'!J872)</f>
        <v>24-25</v>
      </c>
      <c r="K872" s="82" t="str">
        <f t="shared" si="18"/>
        <v>La Estación-Mostazal-  TRANS. MORROS LTDA.</v>
      </c>
      <c r="R872" s="6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</row>
    <row r="873" spans="2:39" s="7" customFormat="1" x14ac:dyDescent="0.35">
      <c r="B873" s="4" t="str">
        <f>+IF('Data Pura Costos'!B873="","",'Data Pura Costos'!B873)</f>
        <v>La Lajuela</v>
      </c>
      <c r="C873" s="4" t="str">
        <f>+IF('Data Pura Costos'!C873="","",'Data Pura Costos'!C873)</f>
        <v>Santa Cruz, VI Región</v>
      </c>
      <c r="D873" s="5">
        <f>+IF('Data Pura Costos'!D873="","",'Data Pura Costos'!D873)</f>
        <v>128</v>
      </c>
      <c r="E873" s="65">
        <f>+IF('Data Pura Costos'!E873="","",IF('Data Pura Costos'!E873=0,MAX('Data Pura Costos'!$E$7:$E$3000)*1000,'Data Pura Costos'!E873))</f>
        <v>300000</v>
      </c>
      <c r="F873" s="5" t="str">
        <f>+IF('Data Pura Costos'!F873="","",'Data Pura Costos'!F873)</f>
        <v>Mostazal</v>
      </c>
      <c r="G873" s="5" t="str">
        <f>+IF('Data Pura Costos'!G873="","",'Data Pura Costos'!G873)</f>
        <v xml:space="preserve">  TRANS. MORROS LTDA.</v>
      </c>
      <c r="H873" s="52" t="str">
        <f>+IF('Data Pura Costos'!H873="","",'Data Pura Costos'!H873)</f>
        <v>Termo</v>
      </c>
      <c r="I873" s="71">
        <f>+IF('Data Pura Costos'!I873="","",'Data Pura Costos'!I873)</f>
        <v>2343.75</v>
      </c>
      <c r="J873" s="52" t="str">
        <f>+IF('Data Pura Costos'!J873="","",'Data Pura Costos'!J873)</f>
        <v>24-25</v>
      </c>
      <c r="K873" s="82" t="str">
        <f t="shared" si="18"/>
        <v>La Lajuela-Mostazal-  TRANS. MORROS LTDA.</v>
      </c>
      <c r="R873" s="6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</row>
    <row r="874" spans="2:39" s="7" customFormat="1" x14ac:dyDescent="0.35">
      <c r="B874" s="4" t="str">
        <f>+IF('Data Pura Costos'!B874="","",'Data Pura Costos'!B874)</f>
        <v>La Morera</v>
      </c>
      <c r="C874" s="4" t="str">
        <f>+IF('Data Pura Costos'!C874="","",'Data Pura Costos'!C874)</f>
        <v>La compañia, VI Region.</v>
      </c>
      <c r="D874" s="5">
        <f>+IF('Data Pura Costos'!D874="","",'Data Pura Costos'!D874)</f>
        <v>16</v>
      </c>
      <c r="E874" s="65">
        <f>+IF('Data Pura Costos'!E874="","",IF('Data Pura Costos'!E874=0,MAX('Data Pura Costos'!$E$7:$E$3000)*1000,'Data Pura Costos'!E874))</f>
        <v>180000</v>
      </c>
      <c r="F874" s="5" t="str">
        <f>+IF('Data Pura Costos'!F874="","",'Data Pura Costos'!F874)</f>
        <v>Mostazal</v>
      </c>
      <c r="G874" s="5" t="str">
        <f>+IF('Data Pura Costos'!G874="","",'Data Pura Costos'!G874)</f>
        <v xml:space="preserve">  TRANS. MORROS LTDA.</v>
      </c>
      <c r="H874" s="52" t="str">
        <f>+IF('Data Pura Costos'!H874="","",'Data Pura Costos'!H874)</f>
        <v>Termo</v>
      </c>
      <c r="I874" s="71">
        <f>+IF('Data Pura Costos'!I874="","",'Data Pura Costos'!I874)</f>
        <v>11250</v>
      </c>
      <c r="J874" s="52" t="str">
        <f>+IF('Data Pura Costos'!J874="","",'Data Pura Costos'!J874)</f>
        <v>24-25</v>
      </c>
      <c r="K874" s="82" t="str">
        <f t="shared" si="18"/>
        <v>La Morera-Mostazal-  TRANS. MORROS LTDA.</v>
      </c>
      <c r="R874" s="6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</row>
    <row r="875" spans="2:39" s="7" customFormat="1" x14ac:dyDescent="0.35">
      <c r="B875" s="4" t="str">
        <f>+IF('Data Pura Costos'!B875="","",'Data Pura Costos'!B875)</f>
        <v>La Rinconada</v>
      </c>
      <c r="C875" s="4" t="str">
        <f>+IF('Data Pura Costos'!C875="","",'Data Pura Costos'!C875)</f>
        <v>Pichidegua, VI región</v>
      </c>
      <c r="D875" s="5">
        <f>+IF('Data Pura Costos'!D875="","",'Data Pura Costos'!D875)</f>
        <v>110</v>
      </c>
      <c r="E875" s="65">
        <f>+IF('Data Pura Costos'!E875="","",IF('Data Pura Costos'!E875=0,MAX('Data Pura Costos'!$E$7:$E$3000)*1000,'Data Pura Costos'!E875))</f>
        <v>300000</v>
      </c>
      <c r="F875" s="5" t="str">
        <f>+IF('Data Pura Costos'!F875="","",'Data Pura Costos'!F875)</f>
        <v>Mostazal</v>
      </c>
      <c r="G875" s="5" t="str">
        <f>+IF('Data Pura Costos'!G875="","",'Data Pura Costos'!G875)</f>
        <v xml:space="preserve">  TRANS. MORROS LTDA.</v>
      </c>
      <c r="H875" s="52" t="str">
        <f>+IF('Data Pura Costos'!H875="","",'Data Pura Costos'!H875)</f>
        <v>Termo</v>
      </c>
      <c r="I875" s="71">
        <f>+IF('Data Pura Costos'!I875="","",'Data Pura Costos'!I875)</f>
        <v>2727.2727272727275</v>
      </c>
      <c r="J875" s="52" t="str">
        <f>+IF('Data Pura Costos'!J875="","",'Data Pura Costos'!J875)</f>
        <v>24-25</v>
      </c>
      <c r="K875" s="82" t="str">
        <f t="shared" si="18"/>
        <v>La Rinconada-Mostazal-  TRANS. MORROS LTDA.</v>
      </c>
      <c r="R875" s="6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</row>
    <row r="876" spans="2:39" s="7" customFormat="1" x14ac:dyDescent="0.35">
      <c r="B876" s="4" t="str">
        <f>+IF('Data Pura Costos'!B876="","",'Data Pura Costos'!B876)</f>
        <v xml:space="preserve">La Roblería </v>
      </c>
      <c r="C876" s="4" t="str">
        <f>+IF('Data Pura Costos'!C876="","",'Data Pura Costos'!C876)</f>
        <v>Aculeo, RM</v>
      </c>
      <c r="D876" s="5">
        <f>+IF('Data Pura Costos'!D876="","",'Data Pura Costos'!D876)</f>
        <v>40</v>
      </c>
      <c r="E876" s="65">
        <f>+IF('Data Pura Costos'!E876="","",IF('Data Pura Costos'!E876=0,MAX('Data Pura Costos'!$E$7:$E$3000)*1000,'Data Pura Costos'!E876))</f>
        <v>250000</v>
      </c>
      <c r="F876" s="5" t="str">
        <f>+IF('Data Pura Costos'!F876="","",'Data Pura Costos'!F876)</f>
        <v>Mostazal</v>
      </c>
      <c r="G876" s="5" t="str">
        <f>+IF('Data Pura Costos'!G876="","",'Data Pura Costos'!G876)</f>
        <v xml:space="preserve">  TRANS. MORROS LTDA.</v>
      </c>
      <c r="H876" s="52" t="str">
        <f>+IF('Data Pura Costos'!H876="","",'Data Pura Costos'!H876)</f>
        <v>Termo</v>
      </c>
      <c r="I876" s="71">
        <f>+IF('Data Pura Costos'!I876="","",'Data Pura Costos'!I876)</f>
        <v>6250</v>
      </c>
      <c r="J876" s="52" t="str">
        <f>+IF('Data Pura Costos'!J876="","",'Data Pura Costos'!J876)</f>
        <v>24-25</v>
      </c>
      <c r="K876" s="82" t="str">
        <f t="shared" si="18"/>
        <v>La Roblería -Mostazal-  TRANS. MORROS LTDA.</v>
      </c>
      <c r="R876" s="6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</row>
    <row r="877" spans="2:39" s="7" customFormat="1" x14ac:dyDescent="0.35">
      <c r="B877" s="4" t="str">
        <f>+IF('Data Pura Costos'!B877="","",'Data Pura Costos'!B877)</f>
        <v>Las Cabras</v>
      </c>
      <c r="C877" s="4" t="str">
        <f>+IF('Data Pura Costos'!C877="","",'Data Pura Costos'!C877)</f>
        <v>Las Cabras, VI región</v>
      </c>
      <c r="D877" s="5">
        <f>+IF('Data Pura Costos'!D877="","",'Data Pura Costos'!D877)</f>
        <v>110</v>
      </c>
      <c r="E877" s="65">
        <f>+IF('Data Pura Costos'!E877="","",IF('Data Pura Costos'!E877=0,MAX('Data Pura Costos'!$E$7:$E$3000)*1000,'Data Pura Costos'!E877))</f>
        <v>300000</v>
      </c>
      <c r="F877" s="5" t="str">
        <f>+IF('Data Pura Costos'!F877="","",'Data Pura Costos'!F877)</f>
        <v>Mostazal</v>
      </c>
      <c r="G877" s="5" t="str">
        <f>+IF('Data Pura Costos'!G877="","",'Data Pura Costos'!G877)</f>
        <v xml:space="preserve">  TRANS. MORROS LTDA.</v>
      </c>
      <c r="H877" s="52" t="str">
        <f>+IF('Data Pura Costos'!H877="","",'Data Pura Costos'!H877)</f>
        <v>Termo</v>
      </c>
      <c r="I877" s="71">
        <f>+IF('Data Pura Costos'!I877="","",'Data Pura Costos'!I877)</f>
        <v>2727.2727272727275</v>
      </c>
      <c r="J877" s="52" t="str">
        <f>+IF('Data Pura Costos'!J877="","",'Data Pura Costos'!J877)</f>
        <v>24-25</v>
      </c>
      <c r="K877" s="82" t="str">
        <f t="shared" si="18"/>
        <v>Las Cabras-Mostazal-  TRANS. MORROS LTDA.</v>
      </c>
      <c r="R877" s="6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</row>
    <row r="878" spans="2:39" s="7" customFormat="1" x14ac:dyDescent="0.35">
      <c r="B878" s="4" t="str">
        <f>+IF('Data Pura Costos'!B878="","",'Data Pura Costos'!B878)</f>
        <v>Las Vertientes</v>
      </c>
      <c r="C878" s="4" t="str">
        <f>+IF('Data Pura Costos'!C878="","",'Data Pura Costos'!C878)</f>
        <v>Pichidegua, VI región</v>
      </c>
      <c r="D878" s="5">
        <f>+IF('Data Pura Costos'!D878="","",'Data Pura Costos'!D878)</f>
        <v>103</v>
      </c>
      <c r="E878" s="65">
        <f>+IF('Data Pura Costos'!E878="","",IF('Data Pura Costos'!E878=0,MAX('Data Pura Costos'!$E$7:$E$3000)*1000,'Data Pura Costos'!E878))</f>
        <v>300000</v>
      </c>
      <c r="F878" s="5" t="str">
        <f>+IF('Data Pura Costos'!F878="","",'Data Pura Costos'!F878)</f>
        <v>Mostazal</v>
      </c>
      <c r="G878" s="5" t="str">
        <f>+IF('Data Pura Costos'!G878="","",'Data Pura Costos'!G878)</f>
        <v xml:space="preserve">  TRANS. MORROS LTDA.</v>
      </c>
      <c r="H878" s="52" t="str">
        <f>+IF('Data Pura Costos'!H878="","",'Data Pura Costos'!H878)</f>
        <v>Termo</v>
      </c>
      <c r="I878" s="71">
        <f>+IF('Data Pura Costos'!I878="","",'Data Pura Costos'!I878)</f>
        <v>2912.6213592233012</v>
      </c>
      <c r="J878" s="52" t="str">
        <f>+IF('Data Pura Costos'!J878="","",'Data Pura Costos'!J878)</f>
        <v>24-25</v>
      </c>
      <c r="K878" s="82" t="str">
        <f t="shared" si="18"/>
        <v>Las Vertientes-Mostazal-  TRANS. MORROS LTDA.</v>
      </c>
      <c r="R878" s="6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</row>
    <row r="879" spans="2:39" s="7" customFormat="1" x14ac:dyDescent="0.35">
      <c r="B879" s="4" t="str">
        <f>+IF('Data Pura Costos'!B879="","",'Data Pura Costos'!B879)</f>
        <v>Lihueimo</v>
      </c>
      <c r="C879" s="4" t="str">
        <f>+IF('Data Pura Costos'!C879="","",'Data Pura Costos'!C879)</f>
        <v>Peralillo ohiggins</v>
      </c>
      <c r="D879" s="5">
        <f>+IF('Data Pura Costos'!D879="","",'Data Pura Costos'!D879)</f>
        <v>131</v>
      </c>
      <c r="E879" s="65">
        <f>+IF('Data Pura Costos'!E879="","",IF('Data Pura Costos'!E879=0,MAX('Data Pura Costos'!$E$7:$E$3000)*1000,'Data Pura Costos'!E879))</f>
        <v>340000</v>
      </c>
      <c r="F879" s="5" t="str">
        <f>+IF('Data Pura Costos'!F879="","",'Data Pura Costos'!F879)</f>
        <v>Mostazal</v>
      </c>
      <c r="G879" s="5" t="str">
        <f>+IF('Data Pura Costos'!G879="","",'Data Pura Costos'!G879)</f>
        <v xml:space="preserve">  TRANS. MORROS LTDA.</v>
      </c>
      <c r="H879" s="52" t="str">
        <f>+IF('Data Pura Costos'!H879="","",'Data Pura Costos'!H879)</f>
        <v>Termo</v>
      </c>
      <c r="I879" s="71">
        <f>+IF('Data Pura Costos'!I879="","",'Data Pura Costos'!I879)</f>
        <v>2595.4198473282445</v>
      </c>
      <c r="J879" s="52" t="str">
        <f>+IF('Data Pura Costos'!J879="","",'Data Pura Costos'!J879)</f>
        <v>24-25</v>
      </c>
      <c r="K879" s="82" t="str">
        <f t="shared" si="18"/>
        <v>Lihueimo-Mostazal-  TRANS. MORROS LTDA.</v>
      </c>
      <c r="R879" s="6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</row>
    <row r="880" spans="2:39" s="7" customFormat="1" x14ac:dyDescent="0.35">
      <c r="B880" s="4" t="str">
        <f>+IF('Data Pura Costos'!B880="","",'Data Pura Costos'!B880)</f>
        <v>Los Encinos</v>
      </c>
      <c r="C880" s="4" t="str">
        <f>+IF('Data Pura Costos'!C880="","",'Data Pura Costos'!C880)</f>
        <v>Huechun, RM</v>
      </c>
      <c r="D880" s="5">
        <f>+IF('Data Pura Costos'!D880="","",'Data Pura Costos'!D880)</f>
        <v>85</v>
      </c>
      <c r="E880" s="65">
        <f>+IF('Data Pura Costos'!E880="","",IF('Data Pura Costos'!E880=0,MAX('Data Pura Costos'!$E$7:$E$3000)*1000,'Data Pura Costos'!E880))</f>
        <v>290000</v>
      </c>
      <c r="F880" s="5" t="str">
        <f>+IF('Data Pura Costos'!F880="","",'Data Pura Costos'!F880)</f>
        <v>Mostazal</v>
      </c>
      <c r="G880" s="5" t="str">
        <f>+IF('Data Pura Costos'!G880="","",'Data Pura Costos'!G880)</f>
        <v xml:space="preserve">  TRANS. MORROS LTDA.</v>
      </c>
      <c r="H880" s="52" t="str">
        <f>+IF('Data Pura Costos'!H880="","",'Data Pura Costos'!H880)</f>
        <v>Termo</v>
      </c>
      <c r="I880" s="71">
        <f>+IF('Data Pura Costos'!I880="","",'Data Pura Costos'!I880)</f>
        <v>3411.7647058823532</v>
      </c>
      <c r="J880" s="52" t="str">
        <f>+IF('Data Pura Costos'!J880="","",'Data Pura Costos'!J880)</f>
        <v>24-25</v>
      </c>
      <c r="K880" s="82" t="str">
        <f t="shared" si="18"/>
        <v>Los Encinos-Mostazal-  TRANS. MORROS LTDA.</v>
      </c>
      <c r="R880" s="6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</row>
    <row r="881" spans="2:39" s="7" customFormat="1" x14ac:dyDescent="0.35">
      <c r="B881" s="4" t="str">
        <f>+IF('Data Pura Costos'!B881="","",'Data Pura Costos'!B881)</f>
        <v>Los Maitenes</v>
      </c>
      <c r="C881" s="4" t="str">
        <f>+IF('Data Pura Costos'!C881="","",'Data Pura Costos'!C881)</f>
        <v>Las Cabras, VI región</v>
      </c>
      <c r="D881" s="5">
        <f>+IF('Data Pura Costos'!D881="","",'Data Pura Costos'!D881)</f>
        <v>118</v>
      </c>
      <c r="E881" s="65">
        <f>+IF('Data Pura Costos'!E881="","",IF('Data Pura Costos'!E881=0,MAX('Data Pura Costos'!$E$7:$E$3000)*1000,'Data Pura Costos'!E881))</f>
        <v>300000</v>
      </c>
      <c r="F881" s="5" t="str">
        <f>+IF('Data Pura Costos'!F881="","",'Data Pura Costos'!F881)</f>
        <v>Mostazal</v>
      </c>
      <c r="G881" s="5" t="str">
        <f>+IF('Data Pura Costos'!G881="","",'Data Pura Costos'!G881)</f>
        <v xml:space="preserve">  TRANS. MORROS LTDA.</v>
      </c>
      <c r="H881" s="52" t="str">
        <f>+IF('Data Pura Costos'!H881="","",'Data Pura Costos'!H881)</f>
        <v>Termo</v>
      </c>
      <c r="I881" s="71">
        <f>+IF('Data Pura Costos'!I881="","",'Data Pura Costos'!I881)</f>
        <v>2542.3728813559323</v>
      </c>
      <c r="J881" s="52" t="str">
        <f>+IF('Data Pura Costos'!J881="","",'Data Pura Costos'!J881)</f>
        <v>24-25</v>
      </c>
      <c r="K881" s="82" t="str">
        <f t="shared" si="18"/>
        <v>Los Maitenes-Mostazal-  TRANS. MORROS LTDA.</v>
      </c>
      <c r="R881" s="6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</row>
    <row r="882" spans="2:39" s="7" customFormat="1" x14ac:dyDescent="0.35">
      <c r="B882" s="4" t="str">
        <f>+IF('Data Pura Costos'!B882="","",'Data Pura Costos'!B882)</f>
        <v>Los Toldos</v>
      </c>
      <c r="C882" s="4" t="str">
        <f>+IF('Data Pura Costos'!C882="","",'Data Pura Costos'!C882)</f>
        <v>Angol, IX región</v>
      </c>
      <c r="D882" s="5">
        <f>+IF('Data Pura Costos'!D882="","",'Data Pura Costos'!D882)</f>
        <v>549</v>
      </c>
      <c r="E882" s="65">
        <f>+IF('Data Pura Costos'!E882="","",IF('Data Pura Costos'!E882=0,MAX('Data Pura Costos'!$E$7:$E$3000)*1000,'Data Pura Costos'!E882))</f>
        <v>1350000</v>
      </c>
      <c r="F882" s="5" t="str">
        <f>+IF('Data Pura Costos'!F882="","",'Data Pura Costos'!F882)</f>
        <v>Mostazal</v>
      </c>
      <c r="G882" s="5" t="str">
        <f>+IF('Data Pura Costos'!G882="","",'Data Pura Costos'!G882)</f>
        <v xml:space="preserve">  TRANS. MORROS LTDA.</v>
      </c>
      <c r="H882" s="52" t="str">
        <f>+IF('Data Pura Costos'!H882="","",'Data Pura Costos'!H882)</f>
        <v>Termo</v>
      </c>
      <c r="I882" s="71">
        <f>+IF('Data Pura Costos'!I882="","",'Data Pura Costos'!I882)</f>
        <v>2459.0163934426228</v>
      </c>
      <c r="J882" s="52" t="str">
        <f>+IF('Data Pura Costos'!J882="","",'Data Pura Costos'!J882)</f>
        <v>24-25</v>
      </c>
      <c r="K882" s="82" t="str">
        <f t="shared" si="18"/>
        <v>Los Toldos-Mostazal-  TRANS. MORROS LTDA.</v>
      </c>
      <c r="R882" s="6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</row>
    <row r="883" spans="2:39" s="7" customFormat="1" x14ac:dyDescent="0.35">
      <c r="B883" s="4" t="str">
        <f>+IF('Data Pura Costos'!B883="","",'Data Pura Costos'!B883)</f>
        <v>Mallorca</v>
      </c>
      <c r="C883" s="4" t="str">
        <f>+IF('Data Pura Costos'!C883="","",'Data Pura Costos'!C883)</f>
        <v xml:space="preserve">Molina, VII región </v>
      </c>
      <c r="D883" s="5">
        <f>+IF('Data Pura Costos'!D883="","",'Data Pura Costos'!D883)</f>
        <v>144</v>
      </c>
      <c r="E883" s="65">
        <f>+IF('Data Pura Costos'!E883="","",IF('Data Pura Costos'!E883=0,MAX('Data Pura Costos'!$E$7:$E$3000)*1000,'Data Pura Costos'!E883))</f>
        <v>340000</v>
      </c>
      <c r="F883" s="5" t="str">
        <f>+IF('Data Pura Costos'!F883="","",'Data Pura Costos'!F883)</f>
        <v>Mostazal</v>
      </c>
      <c r="G883" s="5" t="str">
        <f>+IF('Data Pura Costos'!G883="","",'Data Pura Costos'!G883)</f>
        <v xml:space="preserve">  TRANS. MORROS LTDA.</v>
      </c>
      <c r="H883" s="52" t="str">
        <f>+IF('Data Pura Costos'!H883="","",'Data Pura Costos'!H883)</f>
        <v>Termo</v>
      </c>
      <c r="I883" s="71">
        <f>+IF('Data Pura Costos'!I883="","",'Data Pura Costos'!I883)</f>
        <v>2361.1111111111113</v>
      </c>
      <c r="J883" s="52" t="str">
        <f>+IF('Data Pura Costos'!J883="","",'Data Pura Costos'!J883)</f>
        <v>24-25</v>
      </c>
      <c r="K883" s="82" t="str">
        <f t="shared" si="18"/>
        <v>Mallorca-Mostazal-  TRANS. MORROS LTDA.</v>
      </c>
      <c r="R883" s="6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</row>
    <row r="884" spans="2:39" s="7" customFormat="1" x14ac:dyDescent="0.35">
      <c r="B884" s="4" t="str">
        <f>+IF('Data Pura Costos'!B884="","",'Data Pura Costos'!B884)</f>
        <v>Panquehue</v>
      </c>
      <c r="C884" s="4" t="str">
        <f>+IF('Data Pura Costos'!C884="","",'Data Pura Costos'!C884)</f>
        <v>Panquehue, V región</v>
      </c>
      <c r="D884" s="5">
        <f>+IF('Data Pura Costos'!D884="","",'Data Pura Costos'!D884)</f>
        <v>165</v>
      </c>
      <c r="E884" s="65">
        <f>+IF('Data Pura Costos'!E884="","",IF('Data Pura Costos'!E884=0,MAX('Data Pura Costos'!$E$7:$E$3000)*1000,'Data Pura Costos'!E884))</f>
        <v>350000</v>
      </c>
      <c r="F884" s="5" t="str">
        <f>+IF('Data Pura Costos'!F884="","",'Data Pura Costos'!F884)</f>
        <v>Mostazal</v>
      </c>
      <c r="G884" s="5" t="str">
        <f>+IF('Data Pura Costos'!G884="","",'Data Pura Costos'!G884)</f>
        <v xml:space="preserve">  TRANS. MORROS LTDA.</v>
      </c>
      <c r="H884" s="52" t="str">
        <f>+IF('Data Pura Costos'!H884="","",'Data Pura Costos'!H884)</f>
        <v>Termo</v>
      </c>
      <c r="I884" s="71">
        <f>+IF('Data Pura Costos'!I884="","",'Data Pura Costos'!I884)</f>
        <v>2121.212121212121</v>
      </c>
      <c r="J884" s="52" t="str">
        <f>+IF('Data Pura Costos'!J884="","",'Data Pura Costos'!J884)</f>
        <v>24-25</v>
      </c>
      <c r="K884" s="82" t="str">
        <f t="shared" si="18"/>
        <v>Panquehue-Mostazal-  TRANS. MORROS LTDA.</v>
      </c>
      <c r="R884" s="6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</row>
    <row r="885" spans="2:39" s="7" customFormat="1" x14ac:dyDescent="0.35">
      <c r="B885" s="4" t="str">
        <f>+IF('Data Pura Costos'!B885="","",'Data Pura Costos'!B885)</f>
        <v>Entre Rios/Puente Negro/Rio Claro</v>
      </c>
      <c r="C885" s="4" t="str">
        <f>+IF('Data Pura Costos'!C885="","",'Data Pura Costos'!C885)</f>
        <v>Puente negro, san fernando.VI Region.</v>
      </c>
      <c r="D885" s="5">
        <f>+IF('Data Pura Costos'!D885="","",'Data Pura Costos'!D885)</f>
        <v>100</v>
      </c>
      <c r="E885" s="65">
        <f>+IF('Data Pura Costos'!E885="","",IF('Data Pura Costos'!E885=0,MAX('Data Pura Costos'!$E$7:$E$3000)*1000,'Data Pura Costos'!E885))</f>
        <v>300000</v>
      </c>
      <c r="F885" s="5" t="str">
        <f>+IF('Data Pura Costos'!F885="","",'Data Pura Costos'!F885)</f>
        <v>Mostazal</v>
      </c>
      <c r="G885" s="5" t="str">
        <f>+IF('Data Pura Costos'!G885="","",'Data Pura Costos'!G885)</f>
        <v xml:space="preserve">  TRANS. MORROS LTDA.</v>
      </c>
      <c r="H885" s="52" t="str">
        <f>+IF('Data Pura Costos'!H885="","",'Data Pura Costos'!H885)</f>
        <v>Termo</v>
      </c>
      <c r="I885" s="71">
        <f>+IF('Data Pura Costos'!I885="","",'Data Pura Costos'!I885)</f>
        <v>3000</v>
      </c>
      <c r="J885" s="52" t="str">
        <f>+IF('Data Pura Costos'!J885="","",'Data Pura Costos'!J885)</f>
        <v>24-25</v>
      </c>
      <c r="K885" s="82" t="str">
        <f t="shared" si="18"/>
        <v>Entre Rios/Puente Negro/Rio Claro-Mostazal-  TRANS. MORROS LTDA.</v>
      </c>
      <c r="R885" s="6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</row>
    <row r="886" spans="2:39" s="7" customFormat="1" x14ac:dyDescent="0.35">
      <c r="B886" s="4" t="str">
        <f>+IF('Data Pura Costos'!B886="","",'Data Pura Costos'!B886)</f>
        <v>Retorno</v>
      </c>
      <c r="C886" s="4" t="str">
        <f>+IF('Data Pura Costos'!C886="","",'Data Pura Costos'!C886)</f>
        <v>Santa maria, V región</v>
      </c>
      <c r="D886" s="5">
        <f>+IF('Data Pura Costos'!D886="","",'Data Pura Costos'!D886)</f>
        <v>162</v>
      </c>
      <c r="E886" s="65">
        <f>+IF('Data Pura Costos'!E886="","",IF('Data Pura Costos'!E886=0,MAX('Data Pura Costos'!$E$7:$E$3000)*1000,'Data Pura Costos'!E886))</f>
        <v>350000</v>
      </c>
      <c r="F886" s="5" t="str">
        <f>+IF('Data Pura Costos'!F886="","",'Data Pura Costos'!F886)</f>
        <v>Mostazal</v>
      </c>
      <c r="G886" s="5" t="str">
        <f>+IF('Data Pura Costos'!G886="","",'Data Pura Costos'!G886)</f>
        <v xml:space="preserve">  TRANS. MORROS LTDA.</v>
      </c>
      <c r="H886" s="52" t="str">
        <f>+IF('Data Pura Costos'!H886="","",'Data Pura Costos'!H886)</f>
        <v>Termo</v>
      </c>
      <c r="I886" s="71">
        <f>+IF('Data Pura Costos'!I886="","",'Data Pura Costos'!I886)</f>
        <v>2160.4938271604938</v>
      </c>
      <c r="J886" s="52" t="str">
        <f>+IF('Data Pura Costos'!J886="","",'Data Pura Costos'!J886)</f>
        <v>24-25</v>
      </c>
      <c r="K886" s="82" t="str">
        <f t="shared" si="18"/>
        <v>Retorno-Mostazal-  TRANS. MORROS LTDA.</v>
      </c>
      <c r="R886" s="6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</row>
    <row r="887" spans="2:39" s="7" customFormat="1" x14ac:dyDescent="0.35">
      <c r="B887" s="4" t="str">
        <f>+IF('Data Pura Costos'!B887="","",'Data Pura Costos'!B887)</f>
        <v>San Hernán</v>
      </c>
      <c r="C887" s="4" t="str">
        <f>+IF('Data Pura Costos'!C887="","",'Data Pura Costos'!C887)</f>
        <v>Graneros, VI región</v>
      </c>
      <c r="D887" s="5">
        <f>+IF('Data Pura Costos'!D887="","",'Data Pura Costos'!D887)</f>
        <v>10</v>
      </c>
      <c r="E887" s="65">
        <f>+IF('Data Pura Costos'!E887="","",IF('Data Pura Costos'!E887=0,MAX('Data Pura Costos'!$E$7:$E$3000)*1000,'Data Pura Costos'!E887))</f>
        <v>180000</v>
      </c>
      <c r="F887" s="5" t="str">
        <f>+IF('Data Pura Costos'!F887="","",'Data Pura Costos'!F887)</f>
        <v>Mostazal</v>
      </c>
      <c r="G887" s="5" t="str">
        <f>+IF('Data Pura Costos'!G887="","",'Data Pura Costos'!G887)</f>
        <v xml:space="preserve">  TRANS. MORROS LTDA.</v>
      </c>
      <c r="H887" s="52" t="str">
        <f>+IF('Data Pura Costos'!H887="","",'Data Pura Costos'!H887)</f>
        <v>Termo</v>
      </c>
      <c r="I887" s="71">
        <f>+IF('Data Pura Costos'!I887="","",'Data Pura Costos'!I887)</f>
        <v>18000</v>
      </c>
      <c r="J887" s="52" t="str">
        <f>+IF('Data Pura Costos'!J887="","",'Data Pura Costos'!J887)</f>
        <v>24-25</v>
      </c>
      <c r="K887" s="82" t="str">
        <f t="shared" si="18"/>
        <v>San Hernán-Mostazal-  TRANS. MORROS LTDA.</v>
      </c>
      <c r="R887" s="6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</row>
    <row r="888" spans="2:39" s="7" customFormat="1" x14ac:dyDescent="0.35">
      <c r="B888" s="4" t="str">
        <f>+IF('Data Pura Costos'!B888="","",'Data Pura Costos'!B888)</f>
        <v>Santa Mónica</v>
      </c>
      <c r="C888" s="4" t="str">
        <f>+IF('Data Pura Costos'!C888="","",'Data Pura Costos'!C888)</f>
        <v xml:space="preserve">Rancagua, sector Chancón, VI región </v>
      </c>
      <c r="D888" s="5">
        <f>+IF('Data Pura Costos'!D888="","",'Data Pura Costos'!D888)</f>
        <v>20</v>
      </c>
      <c r="E888" s="65">
        <f>+IF('Data Pura Costos'!E888="","",IF('Data Pura Costos'!E888=0,MAX('Data Pura Costos'!$E$7:$E$3000)*1000,'Data Pura Costos'!E888))</f>
        <v>275333</v>
      </c>
      <c r="F888" s="5" t="str">
        <f>+IF('Data Pura Costos'!F888="","",'Data Pura Costos'!F888)</f>
        <v>Mostazal</v>
      </c>
      <c r="G888" s="5" t="str">
        <f>+IF('Data Pura Costos'!G888="","",'Data Pura Costos'!G888)</f>
        <v xml:space="preserve">  TRANS. MORROS LTDA.</v>
      </c>
      <c r="H888" s="52" t="str">
        <f>+IF('Data Pura Costos'!H888="","",'Data Pura Costos'!H888)</f>
        <v>Termo</v>
      </c>
      <c r="I888" s="71">
        <f>+IF('Data Pura Costos'!I888="","",'Data Pura Costos'!I888)</f>
        <v>13766.65</v>
      </c>
      <c r="J888" s="52" t="str">
        <f>+IF('Data Pura Costos'!J888="","",'Data Pura Costos'!J888)</f>
        <v>24-25</v>
      </c>
      <c r="K888" s="82" t="str">
        <f t="shared" si="18"/>
        <v>Santa Mónica-Mostazal-  TRANS. MORROS LTDA.</v>
      </c>
      <c r="R888" s="6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</row>
    <row r="889" spans="2:39" s="7" customFormat="1" x14ac:dyDescent="0.35">
      <c r="B889" s="4" t="str">
        <f>+IF('Data Pura Costos'!B889="","",'Data Pura Costos'!B889)</f>
        <v>Talhuén</v>
      </c>
      <c r="C889" s="4" t="str">
        <f>+IF('Data Pura Costos'!C889="","",'Data Pura Costos'!C889)</f>
        <v>Palmilla, VI región</v>
      </c>
      <c r="D889" s="5">
        <f>+IF('Data Pura Costos'!D889="","",'Data Pura Costos'!D889)</f>
        <v>122</v>
      </c>
      <c r="E889" s="65">
        <f>+IF('Data Pura Costos'!E889="","",IF('Data Pura Costos'!E889=0,MAX('Data Pura Costos'!$E$7:$E$3000)*1000,'Data Pura Costos'!E889))</f>
        <v>300000</v>
      </c>
      <c r="F889" s="5" t="str">
        <f>+IF('Data Pura Costos'!F889="","",'Data Pura Costos'!F889)</f>
        <v>Mostazal</v>
      </c>
      <c r="G889" s="5" t="str">
        <f>+IF('Data Pura Costos'!G889="","",'Data Pura Costos'!G889)</f>
        <v xml:space="preserve">  TRANS. MORROS LTDA.</v>
      </c>
      <c r="H889" s="52" t="str">
        <f>+IF('Data Pura Costos'!H889="","",'Data Pura Costos'!H889)</f>
        <v>Termo</v>
      </c>
      <c r="I889" s="71">
        <f>+IF('Data Pura Costos'!I889="","",'Data Pura Costos'!I889)</f>
        <v>2459.0163934426228</v>
      </c>
      <c r="J889" s="52" t="str">
        <f>+IF('Data Pura Costos'!J889="","",'Data Pura Costos'!J889)</f>
        <v>24-25</v>
      </c>
      <c r="K889" s="82" t="str">
        <f t="shared" si="18"/>
        <v>Talhuén-Mostazal-  TRANS. MORROS LTDA.</v>
      </c>
      <c r="R889" s="6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</row>
    <row r="890" spans="2:39" s="7" customFormat="1" x14ac:dyDescent="0.35">
      <c r="B890" s="4" t="str">
        <f>+IF('Data Pura Costos'!B890="","",'Data Pura Costos'!B890)</f>
        <v>Villaseca</v>
      </c>
      <c r="C890" s="4" t="str">
        <f>+IF('Data Pura Costos'!C890="","",'Data Pura Costos'!C890)</f>
        <v>Retiro, VII reginón</v>
      </c>
      <c r="D890" s="5">
        <f>+IF('Data Pura Costos'!D890="","",'Data Pura Costos'!D890)</f>
        <v>162</v>
      </c>
      <c r="E890" s="65">
        <f>+IF('Data Pura Costos'!E890="","",IF('Data Pura Costos'!E890=0,MAX('Data Pura Costos'!$E$7:$E$3000)*1000,'Data Pura Costos'!E890))</f>
        <v>500613</v>
      </c>
      <c r="F890" s="5" t="str">
        <f>+IF('Data Pura Costos'!F890="","",'Data Pura Costos'!F890)</f>
        <v>Mostazal</v>
      </c>
      <c r="G890" s="5" t="str">
        <f>+IF('Data Pura Costos'!G890="","",'Data Pura Costos'!G890)</f>
        <v xml:space="preserve">  TRANS. MORROS LTDA.</v>
      </c>
      <c r="H890" s="52" t="str">
        <f>+IF('Data Pura Costos'!H890="","",'Data Pura Costos'!H890)</f>
        <v>Termo</v>
      </c>
      <c r="I890" s="71">
        <f>+IF('Data Pura Costos'!I890="","",'Data Pura Costos'!I890)</f>
        <v>3090.2037037037039</v>
      </c>
      <c r="J890" s="52" t="str">
        <f>+IF('Data Pura Costos'!J890="","",'Data Pura Costos'!J890)</f>
        <v>24-25</v>
      </c>
      <c r="K890" s="82" t="str">
        <f t="shared" si="18"/>
        <v>Villaseca-Mostazal-  TRANS. MORROS LTDA.</v>
      </c>
      <c r="R890" s="6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</row>
    <row r="891" spans="2:39" s="7" customFormat="1" x14ac:dyDescent="0.35">
      <c r="B891" s="4" t="str">
        <f>+IF('Data Pura Costos'!B891="","",'Data Pura Costos'!B891)</f>
        <v>Almahue</v>
      </c>
      <c r="C891" s="4" t="str">
        <f>+IF('Data Pura Costos'!C891="","",'Data Pura Costos'!C891)</f>
        <v>Pichidegua, VI región</v>
      </c>
      <c r="D891" s="5">
        <f>+IF('Data Pura Costos'!D891="","",'Data Pura Costos'!D891)</f>
        <v>134</v>
      </c>
      <c r="E891" s="65">
        <f>+IF('Data Pura Costos'!E891="","",IF('Data Pura Costos'!E891=0,MAX('Data Pura Costos'!$E$7:$E$3000)*1000,'Data Pura Costos'!E891))</f>
        <v>340000</v>
      </c>
      <c r="F891" s="5" t="str">
        <f>+IF('Data Pura Costos'!F891="","",'Data Pura Costos'!F891)</f>
        <v>Molina</v>
      </c>
      <c r="G891" s="5" t="str">
        <f>+IF('Data Pura Costos'!G891="","",'Data Pura Costos'!G891)</f>
        <v xml:space="preserve">  TRANS. MORROS LTDA.</v>
      </c>
      <c r="H891" s="52" t="str">
        <f>+IF('Data Pura Costos'!H891="","",'Data Pura Costos'!H891)</f>
        <v>Termo</v>
      </c>
      <c r="I891" s="71">
        <f>+IF('Data Pura Costos'!I891="","",'Data Pura Costos'!I891)</f>
        <v>2537.313432835821</v>
      </c>
      <c r="J891" s="52" t="str">
        <f>+IF('Data Pura Costos'!J891="","",'Data Pura Costos'!J891)</f>
        <v>24-25</v>
      </c>
      <c r="K891" s="82" t="str">
        <f t="shared" si="18"/>
        <v>Almahue-Molina-  TRANS. MORROS LTDA.</v>
      </c>
      <c r="R891" s="6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</row>
    <row r="892" spans="2:39" x14ac:dyDescent="0.35">
      <c r="B892" s="4" t="str">
        <f>+IF('Data Pura Costos'!B892="","",'Data Pura Costos'!B892)</f>
        <v>Bodega</v>
      </c>
      <c r="C892" s="4" t="str">
        <f>+IF('Data Pura Costos'!C892="","",'Data Pura Costos'!C892)</f>
        <v>Linares, VII region.</v>
      </c>
      <c r="D892" s="5">
        <f>+IF('Data Pura Costos'!D892="","",'Data Pura Costos'!D892)</f>
        <v>123</v>
      </c>
      <c r="E892" s="65">
        <f>+IF('Data Pura Costos'!E892="","",IF('Data Pura Costos'!E892=0,MAX('Data Pura Costos'!$E$7:$E$3000)*1000,'Data Pura Costos'!E892))</f>
        <v>300000</v>
      </c>
      <c r="F892" s="5" t="str">
        <f>+IF('Data Pura Costos'!F892="","",'Data Pura Costos'!F892)</f>
        <v>Molina</v>
      </c>
      <c r="G892" s="5" t="str">
        <f>+IF('Data Pura Costos'!G892="","",'Data Pura Costos'!G892)</f>
        <v xml:space="preserve">  TRANS. MORROS LTDA.</v>
      </c>
      <c r="H892" s="52" t="str">
        <f>+IF('Data Pura Costos'!H892="","",'Data Pura Costos'!H892)</f>
        <v>Termo</v>
      </c>
      <c r="I892" s="71">
        <f>+IF('Data Pura Costos'!I892="","",'Data Pura Costos'!I892)</f>
        <v>2439.0243902439024</v>
      </c>
      <c r="J892" s="52" t="str">
        <f>+IF('Data Pura Costos'!J892="","",'Data Pura Costos'!J892)</f>
        <v>24-25</v>
      </c>
      <c r="K892" s="82" t="str">
        <f t="shared" ref="K892:K955" si="19">+IF(B892="","",CONCATENATE(B892,"-",F892,"-",G892))</f>
        <v>Bodega-Molina-  TRANS. MORROS LTDA.</v>
      </c>
    </row>
    <row r="893" spans="2:39" x14ac:dyDescent="0.35">
      <c r="B893" s="4" t="str">
        <f>+IF('Data Pura Costos'!B893="","",'Data Pura Costos'!B893)</f>
        <v xml:space="preserve">Caliboro </v>
      </c>
      <c r="C893" s="4" t="str">
        <f>+IF('Data Pura Costos'!C893="","",'Data Pura Costos'!C893)</f>
        <v>San Javier, VII región</v>
      </c>
      <c r="D893" s="5">
        <f>+IF('Data Pura Costos'!D893="","",'Data Pura Costos'!D893)</f>
        <v>118</v>
      </c>
      <c r="E893" s="65">
        <f>+IF('Data Pura Costos'!E893="","",IF('Data Pura Costos'!E893=0,MAX('Data Pura Costos'!$E$7:$E$3000)*1000,'Data Pura Costos'!E893))</f>
        <v>300000</v>
      </c>
      <c r="F893" s="5" t="str">
        <f>+IF('Data Pura Costos'!F893="","",'Data Pura Costos'!F893)</f>
        <v>Molina</v>
      </c>
      <c r="G893" s="5" t="str">
        <f>+IF('Data Pura Costos'!G893="","",'Data Pura Costos'!G893)</f>
        <v xml:space="preserve">  TRANS. MORROS LTDA.</v>
      </c>
      <c r="H893" s="52" t="str">
        <f>+IF('Data Pura Costos'!H893="","",'Data Pura Costos'!H893)</f>
        <v>Termo</v>
      </c>
      <c r="I893" s="71">
        <f>+IF('Data Pura Costos'!I893="","",'Data Pura Costos'!I893)</f>
        <v>2542.3728813559323</v>
      </c>
      <c r="J893" s="52" t="str">
        <f>+IF('Data Pura Costos'!J893="","",'Data Pura Costos'!J893)</f>
        <v>24-25</v>
      </c>
      <c r="K893" s="82" t="str">
        <f t="shared" si="19"/>
        <v>Caliboro -Molina-  TRANS. MORROS LTDA.</v>
      </c>
    </row>
    <row r="894" spans="2:39" x14ac:dyDescent="0.35">
      <c r="B894" s="4" t="str">
        <f>+IF('Data Pura Costos'!B894="","",'Data Pura Costos'!B894)</f>
        <v>Calleuque</v>
      </c>
      <c r="C894" s="4" t="str">
        <f>+IF('Data Pura Costos'!C894="","",'Data Pura Costos'!C894)</f>
        <v>Peralillo ohiggins, VI región</v>
      </c>
      <c r="D894" s="5">
        <f>+IF('Data Pura Costos'!D894="","",'Data Pura Costos'!D894)</f>
        <v>103</v>
      </c>
      <c r="E894" s="65">
        <f>+IF('Data Pura Costos'!E894="","",IF('Data Pura Costos'!E894=0,MAX('Data Pura Costos'!$E$7:$E$3000)*1000,'Data Pura Costos'!E894))</f>
        <v>300000</v>
      </c>
      <c r="F894" s="5" t="str">
        <f>+IF('Data Pura Costos'!F894="","",'Data Pura Costos'!F894)</f>
        <v>Molina</v>
      </c>
      <c r="G894" s="5" t="str">
        <f>+IF('Data Pura Costos'!G894="","",'Data Pura Costos'!G894)</f>
        <v xml:space="preserve">  TRANS. MORROS LTDA.</v>
      </c>
      <c r="H894" s="52" t="str">
        <f>+IF('Data Pura Costos'!H894="","",'Data Pura Costos'!H894)</f>
        <v>Termo</v>
      </c>
      <c r="I894" s="71">
        <f>+IF('Data Pura Costos'!I894="","",'Data Pura Costos'!I894)</f>
        <v>2912.6213592233012</v>
      </c>
      <c r="J894" s="52" t="str">
        <f>+IF('Data Pura Costos'!J894="","",'Data Pura Costos'!J894)</f>
        <v>24-25</v>
      </c>
      <c r="K894" s="82" t="str">
        <f t="shared" si="19"/>
        <v>Calleuque-Molina-  TRANS. MORROS LTDA.</v>
      </c>
    </row>
    <row r="895" spans="2:39" x14ac:dyDescent="0.35">
      <c r="B895" s="4" t="str">
        <f>+IF('Data Pura Costos'!B895="","",'Data Pura Costos'!B895)</f>
        <v>Chumpirro</v>
      </c>
      <c r="C895" s="4" t="str">
        <f>+IF('Data Pura Costos'!C895="","",'Data Pura Costos'!C895)</f>
        <v>Angol, IX región</v>
      </c>
      <c r="D895" s="5">
        <f>+IF('Data Pura Costos'!D895="","",'Data Pura Costos'!D895)</f>
        <v>358</v>
      </c>
      <c r="E895" s="65">
        <f>+IF('Data Pura Costos'!E895="","",IF('Data Pura Costos'!E895=0,MAX('Data Pura Costos'!$E$7:$E$3000)*1000,'Data Pura Costos'!E895))</f>
        <v>750000</v>
      </c>
      <c r="F895" s="5" t="str">
        <f>+IF('Data Pura Costos'!F895="","",'Data Pura Costos'!F895)</f>
        <v>Molina</v>
      </c>
      <c r="G895" s="5" t="str">
        <f>+IF('Data Pura Costos'!G895="","",'Data Pura Costos'!G895)</f>
        <v xml:space="preserve">  TRANS. MORROS LTDA.</v>
      </c>
      <c r="H895" s="52" t="str">
        <f>+IF('Data Pura Costos'!H895="","",'Data Pura Costos'!H895)</f>
        <v>Termo</v>
      </c>
      <c r="I895" s="71">
        <f>+IF('Data Pura Costos'!I895="","",'Data Pura Costos'!I895)</f>
        <v>2094.9720670391062</v>
      </c>
      <c r="J895" s="52" t="str">
        <f>+IF('Data Pura Costos'!J895="","",'Data Pura Costos'!J895)</f>
        <v>24-25</v>
      </c>
      <c r="K895" s="82" t="str">
        <f t="shared" si="19"/>
        <v>Chumpirro-Molina-  TRANS. MORROS LTDA.</v>
      </c>
    </row>
    <row r="896" spans="2:39" x14ac:dyDescent="0.35">
      <c r="B896" s="4" t="str">
        <f>+IF('Data Pura Costos'!B896="","",'Data Pura Costos'!B896)</f>
        <v xml:space="preserve"> Cocalán</v>
      </c>
      <c r="C896" s="4" t="str">
        <f>+IF('Data Pura Costos'!C896="","",'Data Pura Costos'!C896)</f>
        <v>Cocalán, VI región</v>
      </c>
      <c r="D896" s="5">
        <f>+IF('Data Pura Costos'!D896="","",'Data Pura Costos'!D896)</f>
        <v>141</v>
      </c>
      <c r="E896" s="65">
        <f>+IF('Data Pura Costos'!E896="","",IF('Data Pura Costos'!E896=0,MAX('Data Pura Costos'!$E$7:$E$3000)*1000,'Data Pura Costos'!E896))</f>
        <v>340000</v>
      </c>
      <c r="F896" s="5" t="str">
        <f>+IF('Data Pura Costos'!F896="","",'Data Pura Costos'!F896)</f>
        <v>Molina</v>
      </c>
      <c r="G896" s="5" t="str">
        <f>+IF('Data Pura Costos'!G896="","",'Data Pura Costos'!G896)</f>
        <v xml:space="preserve">  TRANS. MORROS LTDA.</v>
      </c>
      <c r="H896" s="52" t="str">
        <f>+IF('Data Pura Costos'!H896="","",'Data Pura Costos'!H896)</f>
        <v>Termo</v>
      </c>
      <c r="I896" s="71">
        <f>+IF('Data Pura Costos'!I896="","",'Data Pura Costos'!I896)</f>
        <v>2411.3475177304963</v>
      </c>
      <c r="J896" s="52" t="str">
        <f>+IF('Data Pura Costos'!J896="","",'Data Pura Costos'!J896)</f>
        <v>24-25</v>
      </c>
      <c r="K896" s="82" t="str">
        <f t="shared" si="19"/>
        <v xml:space="preserve"> Cocalán-Molina-  TRANS. MORROS LTDA.</v>
      </c>
    </row>
    <row r="897" spans="2:11" x14ac:dyDescent="0.35">
      <c r="B897" s="4" t="str">
        <f>+IF('Data Pura Costos'!B897="","",'Data Pura Costos'!B897)</f>
        <v>El Cóndor</v>
      </c>
      <c r="C897" s="4" t="str">
        <f>+IF('Data Pura Costos'!C897="","",'Data Pura Costos'!C897)</f>
        <v>Chimbarongo, VI Region.</v>
      </c>
      <c r="D897" s="5">
        <f>+IF('Data Pura Costos'!D897="","",'Data Pura Costos'!D897)</f>
        <v>60</v>
      </c>
      <c r="E897" s="65">
        <f>+IF('Data Pura Costos'!E897="","",IF('Data Pura Costos'!E897=0,MAX('Data Pura Costos'!$E$7:$E$3000)*1000,'Data Pura Costos'!E897))</f>
        <v>240000</v>
      </c>
      <c r="F897" s="5" t="str">
        <f>+IF('Data Pura Costos'!F897="","",'Data Pura Costos'!F897)</f>
        <v>Molina</v>
      </c>
      <c r="G897" s="5" t="str">
        <f>+IF('Data Pura Costos'!G897="","",'Data Pura Costos'!G897)</f>
        <v xml:space="preserve">  TRANS. MORROS LTDA.</v>
      </c>
      <c r="H897" s="52" t="str">
        <f>+IF('Data Pura Costos'!H897="","",'Data Pura Costos'!H897)</f>
        <v>Termo</v>
      </c>
      <c r="I897" s="71">
        <f>+IF('Data Pura Costos'!I897="","",'Data Pura Costos'!I897)</f>
        <v>4000</v>
      </c>
      <c r="J897" s="52" t="str">
        <f>+IF('Data Pura Costos'!J897="","",'Data Pura Costos'!J897)</f>
        <v>24-25</v>
      </c>
      <c r="K897" s="82" t="str">
        <f t="shared" si="19"/>
        <v>El Cóndor-Molina-  TRANS. MORROS LTDA.</v>
      </c>
    </row>
    <row r="898" spans="2:11" x14ac:dyDescent="0.35">
      <c r="B898" s="4" t="str">
        <f>+IF('Data Pura Costos'!B898="","",'Data Pura Costos'!B898)</f>
        <v>El Descanso</v>
      </c>
      <c r="C898" s="4" t="str">
        <f>+IF('Data Pura Costos'!C898="","",'Data Pura Costos'!C898)</f>
        <v>Sagrada Familia, VII región</v>
      </c>
      <c r="D898" s="5">
        <f>+IF('Data Pura Costos'!D898="","",'Data Pura Costos'!D898)</f>
        <v>22</v>
      </c>
      <c r="E898" s="65">
        <f>+IF('Data Pura Costos'!E898="","",IF('Data Pura Costos'!E898=0,MAX('Data Pura Costos'!$E$7:$E$3000)*1000,'Data Pura Costos'!E898))</f>
        <v>210000</v>
      </c>
      <c r="F898" s="5" t="str">
        <f>+IF('Data Pura Costos'!F898="","",'Data Pura Costos'!F898)</f>
        <v>Molina</v>
      </c>
      <c r="G898" s="5" t="str">
        <f>+IF('Data Pura Costos'!G898="","",'Data Pura Costos'!G898)</f>
        <v xml:space="preserve">  TRANS. MORROS LTDA.</v>
      </c>
      <c r="H898" s="52" t="str">
        <f>+IF('Data Pura Costos'!H898="","",'Data Pura Costos'!H898)</f>
        <v>Termo</v>
      </c>
      <c r="I898" s="71">
        <f>+IF('Data Pura Costos'!I898="","",'Data Pura Costos'!I898)</f>
        <v>9545.454545454546</v>
      </c>
      <c r="J898" s="52" t="str">
        <f>+IF('Data Pura Costos'!J898="","",'Data Pura Costos'!J898)</f>
        <v>24-25</v>
      </c>
      <c r="K898" s="82" t="str">
        <f t="shared" si="19"/>
        <v>El Descanso-Molina-  TRANS. MORROS LTDA.</v>
      </c>
    </row>
    <row r="899" spans="2:11" x14ac:dyDescent="0.35">
      <c r="B899" s="4" t="str">
        <f>+IF('Data Pura Costos'!B899="","",'Data Pura Costos'!B899)</f>
        <v>El Espino</v>
      </c>
      <c r="C899" s="4" t="str">
        <f>+IF('Data Pura Costos'!C899="","",'Data Pura Costos'!C899)</f>
        <v>Colbún, VII región</v>
      </c>
      <c r="D899" s="5">
        <f>+IF('Data Pura Costos'!D899="","",'Data Pura Costos'!D899)</f>
        <v>100</v>
      </c>
      <c r="E899" s="65">
        <f>+IF('Data Pura Costos'!E899="","",IF('Data Pura Costos'!E899=0,MAX('Data Pura Costos'!$E$7:$E$3000)*1000,'Data Pura Costos'!E899))</f>
        <v>300000</v>
      </c>
      <c r="F899" s="5" t="str">
        <f>+IF('Data Pura Costos'!F899="","",'Data Pura Costos'!F899)</f>
        <v>Molina</v>
      </c>
      <c r="G899" s="5" t="str">
        <f>+IF('Data Pura Costos'!G899="","",'Data Pura Costos'!G899)</f>
        <v xml:space="preserve">  TRANS. MORROS LTDA.</v>
      </c>
      <c r="H899" s="52" t="str">
        <f>+IF('Data Pura Costos'!H899="","",'Data Pura Costos'!H899)</f>
        <v>Termo</v>
      </c>
      <c r="I899" s="71">
        <f>+IF('Data Pura Costos'!I899="","",'Data Pura Costos'!I899)</f>
        <v>3000</v>
      </c>
      <c r="J899" s="52" t="str">
        <f>+IF('Data Pura Costos'!J899="","",'Data Pura Costos'!J899)</f>
        <v>24-25</v>
      </c>
      <c r="K899" s="82" t="str">
        <f t="shared" si="19"/>
        <v>El Espino-Molina-  TRANS. MORROS LTDA.</v>
      </c>
    </row>
    <row r="900" spans="2:11" x14ac:dyDescent="0.35">
      <c r="B900" s="4" t="str">
        <f>+IF('Data Pura Costos'!B900="","",'Data Pura Costos'!B900)</f>
        <v>El Huaico</v>
      </c>
      <c r="C900" s="4" t="str">
        <f>+IF('Data Pura Costos'!C900="","",'Data Pura Costos'!C900)</f>
        <v>Palmila Ohiggins</v>
      </c>
      <c r="D900" s="5">
        <f>+IF('Data Pura Costos'!D900="","",'Data Pura Costos'!D900)</f>
        <v>85</v>
      </c>
      <c r="E900" s="65">
        <f>+IF('Data Pura Costos'!E900="","",IF('Data Pura Costos'!E900=0,MAX('Data Pura Costos'!$E$7:$E$3000)*1000,'Data Pura Costos'!E900))</f>
        <v>290000</v>
      </c>
      <c r="F900" s="5" t="str">
        <f>+IF('Data Pura Costos'!F900="","",'Data Pura Costos'!F900)</f>
        <v>Molina</v>
      </c>
      <c r="G900" s="5" t="str">
        <f>+IF('Data Pura Costos'!G900="","",'Data Pura Costos'!G900)</f>
        <v xml:space="preserve">  TRANS. MORROS LTDA.</v>
      </c>
      <c r="H900" s="52" t="str">
        <f>+IF('Data Pura Costos'!H900="","",'Data Pura Costos'!H900)</f>
        <v>Termo</v>
      </c>
      <c r="I900" s="71">
        <f>+IF('Data Pura Costos'!I900="","",'Data Pura Costos'!I900)</f>
        <v>3411.7647058823532</v>
      </c>
      <c r="J900" s="52" t="str">
        <f>+IF('Data Pura Costos'!J900="","",'Data Pura Costos'!J900)</f>
        <v>24-25</v>
      </c>
      <c r="K900" s="82" t="str">
        <f t="shared" si="19"/>
        <v>El Huaico-Molina-  TRANS. MORROS LTDA.</v>
      </c>
    </row>
    <row r="901" spans="2:11" x14ac:dyDescent="0.35">
      <c r="B901" s="4" t="str">
        <f>+IF('Data Pura Costos'!B901="","",'Data Pura Costos'!B901)</f>
        <v>El Picaso</v>
      </c>
      <c r="C901" s="4" t="str">
        <f>+IF('Data Pura Costos'!C901="","",'Data Pura Costos'!C901)</f>
        <v xml:space="preserve">San Clemente, VII región </v>
      </c>
      <c r="D901" s="5">
        <f>+IF('Data Pura Costos'!D901="","",'Data Pura Costos'!D901)</f>
        <v>60</v>
      </c>
      <c r="E901" s="65">
        <f>+IF('Data Pura Costos'!E901="","",IF('Data Pura Costos'!E901=0,MAX('Data Pura Costos'!$E$7:$E$3000)*1000,'Data Pura Costos'!E901))</f>
        <v>250000</v>
      </c>
      <c r="F901" s="5" t="str">
        <f>+IF('Data Pura Costos'!F901="","",'Data Pura Costos'!F901)</f>
        <v>Molina</v>
      </c>
      <c r="G901" s="5" t="str">
        <f>+IF('Data Pura Costos'!G901="","",'Data Pura Costos'!G901)</f>
        <v xml:space="preserve">  TRANS. MORROS LTDA.</v>
      </c>
      <c r="H901" s="52" t="str">
        <f>+IF('Data Pura Costos'!H901="","",'Data Pura Costos'!H901)</f>
        <v>Termo</v>
      </c>
      <c r="I901" s="71">
        <f>+IF('Data Pura Costos'!I901="","",'Data Pura Costos'!I901)</f>
        <v>4166.666666666667</v>
      </c>
      <c r="J901" s="52" t="str">
        <f>+IF('Data Pura Costos'!J901="","",'Data Pura Costos'!J901)</f>
        <v>24-25</v>
      </c>
      <c r="K901" s="82" t="str">
        <f t="shared" si="19"/>
        <v>El Picaso-Molina-  TRANS. MORROS LTDA.</v>
      </c>
    </row>
    <row r="902" spans="2:11" x14ac:dyDescent="0.35">
      <c r="B902" s="4" t="str">
        <f>+IF('Data Pura Costos'!B902="","",'Data Pura Costos'!B902)</f>
        <v>El Rosario</v>
      </c>
      <c r="C902" s="4" t="str">
        <f>+IF('Data Pura Costos'!C902="","",'Data Pura Costos'!C902)</f>
        <v>Linares, VII region.</v>
      </c>
      <c r="D902" s="5">
        <f>+IF('Data Pura Costos'!D902="","",'Data Pura Costos'!D902)</f>
        <v>120</v>
      </c>
      <c r="E902" s="65">
        <f>+IF('Data Pura Costos'!E902="","",IF('Data Pura Costos'!E902=0,MAX('Data Pura Costos'!$E$7:$E$3000)*1000,'Data Pura Costos'!E902))</f>
        <v>300000</v>
      </c>
      <c r="F902" s="5" t="str">
        <f>+IF('Data Pura Costos'!F902="","",'Data Pura Costos'!F902)</f>
        <v>Molina</v>
      </c>
      <c r="G902" s="5" t="str">
        <f>+IF('Data Pura Costos'!G902="","",'Data Pura Costos'!G902)</f>
        <v xml:space="preserve">  TRANS. MORROS LTDA.</v>
      </c>
      <c r="H902" s="52" t="str">
        <f>+IF('Data Pura Costos'!H902="","",'Data Pura Costos'!H902)</f>
        <v>Termo</v>
      </c>
      <c r="I902" s="71">
        <f>+IF('Data Pura Costos'!I902="","",'Data Pura Costos'!I902)</f>
        <v>2500</v>
      </c>
      <c r="J902" s="52" t="str">
        <f>+IF('Data Pura Costos'!J902="","",'Data Pura Costos'!J902)</f>
        <v>24-25</v>
      </c>
      <c r="K902" s="82" t="str">
        <f t="shared" si="19"/>
        <v>El Rosario-Molina-  TRANS. MORROS LTDA.</v>
      </c>
    </row>
    <row r="903" spans="2:11" x14ac:dyDescent="0.35">
      <c r="B903" s="4" t="str">
        <f>+IF('Data Pura Costos'!B903="","",'Data Pura Costos'!B903)</f>
        <v>El Retiro</v>
      </c>
      <c r="C903" s="4" t="str">
        <f>+IF('Data Pura Costos'!C903="","",'Data Pura Costos'!C903)</f>
        <v>Rosario, VI Region.</v>
      </c>
      <c r="D903" s="5">
        <f>+IF('Data Pura Costos'!D903="","",'Data Pura Costos'!D903)</f>
        <v>100</v>
      </c>
      <c r="E903" s="65">
        <f>+IF('Data Pura Costos'!E903="","",IF('Data Pura Costos'!E903=0,MAX('Data Pura Costos'!$E$7:$E$3000)*1000,'Data Pura Costos'!E903))</f>
        <v>300000</v>
      </c>
      <c r="F903" s="5" t="str">
        <f>+IF('Data Pura Costos'!F903="","",'Data Pura Costos'!F903)</f>
        <v>Molina</v>
      </c>
      <c r="G903" s="5" t="str">
        <f>+IF('Data Pura Costos'!G903="","",'Data Pura Costos'!G903)</f>
        <v xml:space="preserve">  TRANS. MORROS LTDA.</v>
      </c>
      <c r="H903" s="52" t="str">
        <f>+IF('Data Pura Costos'!H903="","",'Data Pura Costos'!H903)</f>
        <v>Termo</v>
      </c>
      <c r="I903" s="71">
        <f>+IF('Data Pura Costos'!I903="","",'Data Pura Costos'!I903)</f>
        <v>3000</v>
      </c>
      <c r="J903" s="52" t="str">
        <f>+IF('Data Pura Costos'!J903="","",'Data Pura Costos'!J903)</f>
        <v>24-25</v>
      </c>
      <c r="K903" s="82" t="str">
        <f t="shared" si="19"/>
        <v>El Retiro-Molina-  TRANS. MORROS LTDA.</v>
      </c>
    </row>
    <row r="904" spans="2:11" x14ac:dyDescent="0.35">
      <c r="B904" s="4" t="str">
        <f>+IF('Data Pura Costos'!B904="","",'Data Pura Costos'!B904)</f>
        <v>La Esperanza</v>
      </c>
      <c r="C904" s="4" t="str">
        <f>+IF('Data Pura Costos'!C904="","",'Data Pura Costos'!C904)</f>
        <v>Peumo, VI región</v>
      </c>
      <c r="D904" s="5">
        <f>+IF('Data Pura Costos'!D904="","",'Data Pura Costos'!D904)</f>
        <v>125</v>
      </c>
      <c r="E904" s="65">
        <f>+IF('Data Pura Costos'!E904="","",IF('Data Pura Costos'!E904=0,MAX('Data Pura Costos'!$E$7:$E$3000)*1000,'Data Pura Costos'!E904))</f>
        <v>300000</v>
      </c>
      <c r="F904" s="5" t="str">
        <f>+IF('Data Pura Costos'!F904="","",'Data Pura Costos'!F904)</f>
        <v>Molina</v>
      </c>
      <c r="G904" s="5" t="str">
        <f>+IF('Data Pura Costos'!G904="","",'Data Pura Costos'!G904)</f>
        <v xml:space="preserve">  TRANS. MORROS LTDA.</v>
      </c>
      <c r="H904" s="52" t="str">
        <f>+IF('Data Pura Costos'!H904="","",'Data Pura Costos'!H904)</f>
        <v>Termo</v>
      </c>
      <c r="I904" s="71">
        <f>+IF('Data Pura Costos'!I904="","",'Data Pura Costos'!I904)</f>
        <v>2400</v>
      </c>
      <c r="J904" s="52" t="str">
        <f>+IF('Data Pura Costos'!J904="","",'Data Pura Costos'!J904)</f>
        <v>24-25</v>
      </c>
      <c r="K904" s="82" t="str">
        <f t="shared" si="19"/>
        <v>La Esperanza-Molina-  TRANS. MORROS LTDA.</v>
      </c>
    </row>
    <row r="905" spans="2:11" x14ac:dyDescent="0.35">
      <c r="B905" s="4" t="str">
        <f>+IF('Data Pura Costos'!B905="","",'Data Pura Costos'!B905)</f>
        <v>La Estación</v>
      </c>
      <c r="C905" s="4" t="str">
        <f>+IF('Data Pura Costos'!C905="","",'Data Pura Costos'!C905)</f>
        <v>Palmilla, VI región</v>
      </c>
      <c r="D905" s="5">
        <f>+IF('Data Pura Costos'!D905="","",'Data Pura Costos'!D905)</f>
        <v>90</v>
      </c>
      <c r="E905" s="65">
        <f>+IF('Data Pura Costos'!E905="","",IF('Data Pura Costos'!E905=0,MAX('Data Pura Costos'!$E$7:$E$3000)*1000,'Data Pura Costos'!E905))</f>
        <v>290000</v>
      </c>
      <c r="F905" s="5" t="str">
        <f>+IF('Data Pura Costos'!F905="","",'Data Pura Costos'!F905)</f>
        <v>Molina</v>
      </c>
      <c r="G905" s="5" t="str">
        <f>+IF('Data Pura Costos'!G905="","",'Data Pura Costos'!G905)</f>
        <v xml:space="preserve">  TRANS. MORROS LTDA.</v>
      </c>
      <c r="H905" s="52" t="str">
        <f>+IF('Data Pura Costos'!H905="","",'Data Pura Costos'!H905)</f>
        <v>Termo</v>
      </c>
      <c r="I905" s="71">
        <f>+IF('Data Pura Costos'!I905="","",'Data Pura Costos'!I905)</f>
        <v>3222.2222222222222</v>
      </c>
      <c r="J905" s="52" t="str">
        <f>+IF('Data Pura Costos'!J905="","",'Data Pura Costos'!J905)</f>
        <v>24-25</v>
      </c>
      <c r="K905" s="82" t="str">
        <f t="shared" si="19"/>
        <v>La Estación-Molina-  TRANS. MORROS LTDA.</v>
      </c>
    </row>
    <row r="906" spans="2:11" x14ac:dyDescent="0.35">
      <c r="B906" s="4" t="str">
        <f>+IF('Data Pura Costos'!B906="","",'Data Pura Costos'!B906)</f>
        <v>La Lajuela</v>
      </c>
      <c r="C906" s="4" t="str">
        <f>+IF('Data Pura Costos'!C906="","",'Data Pura Costos'!C906)</f>
        <v>Santa Cruz, VI Región</v>
      </c>
      <c r="D906" s="5">
        <f>+IF('Data Pura Costos'!D906="","",'Data Pura Costos'!D906)</f>
        <v>80</v>
      </c>
      <c r="E906" s="65">
        <f>+IF('Data Pura Costos'!E906="","",IF('Data Pura Costos'!E906=0,MAX('Data Pura Costos'!$E$7:$E$3000)*1000,'Data Pura Costos'!E906))</f>
        <v>290000</v>
      </c>
      <c r="F906" s="5" t="str">
        <f>+IF('Data Pura Costos'!F906="","",'Data Pura Costos'!F906)</f>
        <v>Molina</v>
      </c>
      <c r="G906" s="5" t="str">
        <f>+IF('Data Pura Costos'!G906="","",'Data Pura Costos'!G906)</f>
        <v xml:space="preserve">  TRANS. MORROS LTDA.</v>
      </c>
      <c r="H906" s="52" t="str">
        <f>+IF('Data Pura Costos'!H906="","",'Data Pura Costos'!H906)</f>
        <v>Termo</v>
      </c>
      <c r="I906" s="71">
        <f>+IF('Data Pura Costos'!I906="","",'Data Pura Costos'!I906)</f>
        <v>3625</v>
      </c>
      <c r="J906" s="52" t="str">
        <f>+IF('Data Pura Costos'!J906="","",'Data Pura Costos'!J906)</f>
        <v>24-25</v>
      </c>
      <c r="K906" s="82" t="str">
        <f t="shared" si="19"/>
        <v>La Lajuela-Molina-  TRANS. MORROS LTDA.</v>
      </c>
    </row>
    <row r="907" spans="2:11" x14ac:dyDescent="0.35">
      <c r="B907" s="4" t="str">
        <f>+IF('Data Pura Costos'!B907="","",'Data Pura Costos'!B907)</f>
        <v>La Morera</v>
      </c>
      <c r="C907" s="4" t="str">
        <f>+IF('Data Pura Costos'!C907="","",'Data Pura Costos'!C907)</f>
        <v>La compañia, VI Region.</v>
      </c>
      <c r="D907" s="5">
        <f>+IF('Data Pura Costos'!D907="","",'Data Pura Costos'!D907)</f>
        <v>130</v>
      </c>
      <c r="E907" s="65">
        <f>+IF('Data Pura Costos'!E907="","",IF('Data Pura Costos'!E907=0,MAX('Data Pura Costos'!$E$7:$E$3000)*1000,'Data Pura Costos'!E907))</f>
        <v>340000</v>
      </c>
      <c r="F907" s="5" t="str">
        <f>+IF('Data Pura Costos'!F907="","",'Data Pura Costos'!F907)</f>
        <v>Molina</v>
      </c>
      <c r="G907" s="5" t="str">
        <f>+IF('Data Pura Costos'!G907="","",'Data Pura Costos'!G907)</f>
        <v xml:space="preserve">  TRANS. MORROS LTDA.</v>
      </c>
      <c r="H907" s="52" t="str">
        <f>+IF('Data Pura Costos'!H907="","",'Data Pura Costos'!H907)</f>
        <v>Termo</v>
      </c>
      <c r="I907" s="71">
        <f>+IF('Data Pura Costos'!I907="","",'Data Pura Costos'!I907)</f>
        <v>2615.3846153846152</v>
      </c>
      <c r="J907" s="52" t="str">
        <f>+IF('Data Pura Costos'!J907="","",'Data Pura Costos'!J907)</f>
        <v>24-25</v>
      </c>
      <c r="K907" s="82" t="str">
        <f t="shared" si="19"/>
        <v>La Morera-Molina-  TRANS. MORROS LTDA.</v>
      </c>
    </row>
    <row r="908" spans="2:11" x14ac:dyDescent="0.35">
      <c r="B908" s="4" t="str">
        <f>+IF('Data Pura Costos'!B908="","",'Data Pura Costos'!B908)</f>
        <v>La Rinconada</v>
      </c>
      <c r="C908" s="4" t="str">
        <f>+IF('Data Pura Costos'!C908="","",'Data Pura Costos'!C908)</f>
        <v>Pichidegua, VI región</v>
      </c>
      <c r="D908" s="5">
        <f>+IF('Data Pura Costos'!D908="","",'Data Pura Costos'!D908)</f>
        <v>133</v>
      </c>
      <c r="E908" s="65">
        <f>+IF('Data Pura Costos'!E908="","",IF('Data Pura Costos'!E908=0,MAX('Data Pura Costos'!$E$7:$E$3000)*1000,'Data Pura Costos'!E908))</f>
        <v>340000</v>
      </c>
      <c r="F908" s="5" t="str">
        <f>+IF('Data Pura Costos'!F908="","",'Data Pura Costos'!F908)</f>
        <v>Molina</v>
      </c>
      <c r="G908" s="5" t="str">
        <f>+IF('Data Pura Costos'!G908="","",'Data Pura Costos'!G908)</f>
        <v xml:space="preserve">  TRANS. MORROS LTDA.</v>
      </c>
      <c r="H908" s="52" t="str">
        <f>+IF('Data Pura Costos'!H908="","",'Data Pura Costos'!H908)</f>
        <v>Termo</v>
      </c>
      <c r="I908" s="71">
        <f>+IF('Data Pura Costos'!I908="","",'Data Pura Costos'!I908)</f>
        <v>2556.3909774436092</v>
      </c>
      <c r="J908" s="52" t="str">
        <f>+IF('Data Pura Costos'!J908="","",'Data Pura Costos'!J908)</f>
        <v>24-25</v>
      </c>
      <c r="K908" s="82" t="str">
        <f t="shared" si="19"/>
        <v>La Rinconada-Molina-  TRANS. MORROS LTDA.</v>
      </c>
    </row>
    <row r="909" spans="2:11" x14ac:dyDescent="0.35">
      <c r="B909" s="4" t="str">
        <f>+IF('Data Pura Costos'!B909="","",'Data Pura Costos'!B909)</f>
        <v xml:space="preserve">La Roblería </v>
      </c>
      <c r="C909" s="4" t="str">
        <f>+IF('Data Pura Costos'!C909="","",'Data Pura Costos'!C909)</f>
        <v>Aculeo, RM</v>
      </c>
      <c r="D909" s="5">
        <f>+IF('Data Pura Costos'!D909="","",'Data Pura Costos'!D909)</f>
        <v>180</v>
      </c>
      <c r="E909" s="65">
        <f>+IF('Data Pura Costos'!E909="","",IF('Data Pura Costos'!E909=0,MAX('Data Pura Costos'!$E$7:$E$3000)*1000,'Data Pura Costos'!E909))</f>
        <v>390000</v>
      </c>
      <c r="F909" s="5" t="str">
        <f>+IF('Data Pura Costos'!F909="","",'Data Pura Costos'!F909)</f>
        <v>Molina</v>
      </c>
      <c r="G909" s="5" t="str">
        <f>+IF('Data Pura Costos'!G909="","",'Data Pura Costos'!G909)</f>
        <v xml:space="preserve">  TRANS. MORROS LTDA.</v>
      </c>
      <c r="H909" s="52" t="str">
        <f>+IF('Data Pura Costos'!H909="","",'Data Pura Costos'!H909)</f>
        <v>Termo</v>
      </c>
      <c r="I909" s="71">
        <f>+IF('Data Pura Costos'!I909="","",'Data Pura Costos'!I909)</f>
        <v>2166.6666666666665</v>
      </c>
      <c r="J909" s="52" t="str">
        <f>+IF('Data Pura Costos'!J909="","",'Data Pura Costos'!J909)</f>
        <v>24-25</v>
      </c>
      <c r="K909" s="82" t="str">
        <f t="shared" si="19"/>
        <v>La Roblería -Molina-  TRANS. MORROS LTDA.</v>
      </c>
    </row>
    <row r="910" spans="2:11" x14ac:dyDescent="0.35">
      <c r="B910" s="4" t="str">
        <f>+IF('Data Pura Costos'!B910="","",'Data Pura Costos'!B910)</f>
        <v>Las Cabras</v>
      </c>
      <c r="C910" s="4" t="str">
        <f>+IF('Data Pura Costos'!C910="","",'Data Pura Costos'!C910)</f>
        <v>Las Cabras, VI región</v>
      </c>
      <c r="D910" s="5">
        <f>+IF('Data Pura Costos'!D910="","",'Data Pura Costos'!D910)</f>
        <v>140</v>
      </c>
      <c r="E910" s="65">
        <f>+IF('Data Pura Costos'!E910="","",IF('Data Pura Costos'!E910=0,MAX('Data Pura Costos'!$E$7:$E$3000)*1000,'Data Pura Costos'!E910))</f>
        <v>340000</v>
      </c>
      <c r="F910" s="5" t="str">
        <f>+IF('Data Pura Costos'!F910="","",'Data Pura Costos'!F910)</f>
        <v>Molina</v>
      </c>
      <c r="G910" s="5" t="str">
        <f>+IF('Data Pura Costos'!G910="","",'Data Pura Costos'!G910)</f>
        <v xml:space="preserve">  TRANS. MORROS LTDA.</v>
      </c>
      <c r="H910" s="52" t="str">
        <f>+IF('Data Pura Costos'!H910="","",'Data Pura Costos'!H910)</f>
        <v>Termo</v>
      </c>
      <c r="I910" s="71">
        <f>+IF('Data Pura Costos'!I910="","",'Data Pura Costos'!I910)</f>
        <v>2428.5714285714284</v>
      </c>
      <c r="J910" s="52" t="str">
        <f>+IF('Data Pura Costos'!J910="","",'Data Pura Costos'!J910)</f>
        <v>24-25</v>
      </c>
      <c r="K910" s="82" t="str">
        <f t="shared" si="19"/>
        <v>Las Cabras-Molina-  TRANS. MORROS LTDA.</v>
      </c>
    </row>
    <row r="911" spans="2:11" x14ac:dyDescent="0.35">
      <c r="B911" s="4" t="str">
        <f>+IF('Data Pura Costos'!B911="","",'Data Pura Costos'!B911)</f>
        <v>Las Vertientes</v>
      </c>
      <c r="C911" s="4" t="str">
        <f>+IF('Data Pura Costos'!C911="","",'Data Pura Costos'!C911)</f>
        <v>Pichidegua, VI región</v>
      </c>
      <c r="D911" s="5">
        <f>+IF('Data Pura Costos'!D911="","",'Data Pura Costos'!D911)</f>
        <v>130</v>
      </c>
      <c r="E911" s="65">
        <f>+IF('Data Pura Costos'!E911="","",IF('Data Pura Costos'!E911=0,MAX('Data Pura Costos'!$E$7:$E$3000)*1000,'Data Pura Costos'!E911))</f>
        <v>340000</v>
      </c>
      <c r="F911" s="5" t="str">
        <f>+IF('Data Pura Costos'!F911="","",'Data Pura Costos'!F911)</f>
        <v>Molina</v>
      </c>
      <c r="G911" s="5" t="str">
        <f>+IF('Data Pura Costos'!G911="","",'Data Pura Costos'!G911)</f>
        <v xml:space="preserve">  TRANS. MORROS LTDA.</v>
      </c>
      <c r="H911" s="52" t="str">
        <f>+IF('Data Pura Costos'!H911="","",'Data Pura Costos'!H911)</f>
        <v>Termo</v>
      </c>
      <c r="I911" s="71">
        <f>+IF('Data Pura Costos'!I911="","",'Data Pura Costos'!I911)</f>
        <v>2615.3846153846152</v>
      </c>
      <c r="J911" s="52" t="str">
        <f>+IF('Data Pura Costos'!J911="","",'Data Pura Costos'!J911)</f>
        <v>24-25</v>
      </c>
      <c r="K911" s="82" t="str">
        <f t="shared" si="19"/>
        <v>Las Vertientes-Molina-  TRANS. MORROS LTDA.</v>
      </c>
    </row>
    <row r="912" spans="2:11" x14ac:dyDescent="0.35">
      <c r="B912" s="4" t="str">
        <f>+IF('Data Pura Costos'!B912="","",'Data Pura Costos'!B912)</f>
        <v>Lihueimo</v>
      </c>
      <c r="C912" s="4" t="str">
        <f>+IF('Data Pura Costos'!C912="","",'Data Pura Costos'!C912)</f>
        <v>Peralillo ohiggins</v>
      </c>
      <c r="D912" s="5">
        <f>+IF('Data Pura Costos'!D912="","",'Data Pura Costos'!D912)</f>
        <v>90</v>
      </c>
      <c r="E912" s="65">
        <f>+IF('Data Pura Costos'!E912="","",IF('Data Pura Costos'!E912=0,MAX('Data Pura Costos'!$E$7:$E$3000)*1000,'Data Pura Costos'!E912))</f>
        <v>290000</v>
      </c>
      <c r="F912" s="5" t="str">
        <f>+IF('Data Pura Costos'!F912="","",'Data Pura Costos'!F912)</f>
        <v>Molina</v>
      </c>
      <c r="G912" s="5" t="str">
        <f>+IF('Data Pura Costos'!G912="","",'Data Pura Costos'!G912)</f>
        <v xml:space="preserve">  TRANS. MORROS LTDA.</v>
      </c>
      <c r="H912" s="52" t="str">
        <f>+IF('Data Pura Costos'!H912="","",'Data Pura Costos'!H912)</f>
        <v>Termo</v>
      </c>
      <c r="I912" s="71">
        <f>+IF('Data Pura Costos'!I912="","",'Data Pura Costos'!I912)</f>
        <v>3222.2222222222222</v>
      </c>
      <c r="J912" s="52" t="str">
        <f>+IF('Data Pura Costos'!J912="","",'Data Pura Costos'!J912)</f>
        <v>24-25</v>
      </c>
      <c r="K912" s="82" t="str">
        <f t="shared" si="19"/>
        <v>Lihueimo-Molina-  TRANS. MORROS LTDA.</v>
      </c>
    </row>
    <row r="913" spans="2:11" x14ac:dyDescent="0.35">
      <c r="B913" s="4" t="str">
        <f>+IF('Data Pura Costos'!B913="","",'Data Pura Costos'!B913)</f>
        <v>Los Encinos</v>
      </c>
      <c r="C913" s="4" t="str">
        <f>+IF('Data Pura Costos'!C913="","",'Data Pura Costos'!C913)</f>
        <v>Huechun, RM</v>
      </c>
      <c r="D913" s="5">
        <f>+IF('Data Pura Costos'!D913="","",'Data Pura Costos'!D913)</f>
        <v>230</v>
      </c>
      <c r="E913" s="65">
        <f>+IF('Data Pura Costos'!E913="","",IF('Data Pura Costos'!E913=0,MAX('Data Pura Costos'!$E$7:$E$3000)*1000,'Data Pura Costos'!E913))</f>
        <v>440000</v>
      </c>
      <c r="F913" s="5" t="str">
        <f>+IF('Data Pura Costos'!F913="","",'Data Pura Costos'!F913)</f>
        <v>Molina</v>
      </c>
      <c r="G913" s="5" t="str">
        <f>+IF('Data Pura Costos'!G913="","",'Data Pura Costos'!G913)</f>
        <v xml:space="preserve">  TRANS. MORROS LTDA.</v>
      </c>
      <c r="H913" s="52" t="str">
        <f>+IF('Data Pura Costos'!H913="","",'Data Pura Costos'!H913)</f>
        <v>Termo</v>
      </c>
      <c r="I913" s="71">
        <f>+IF('Data Pura Costos'!I913="","",'Data Pura Costos'!I913)</f>
        <v>1913.0434782608695</v>
      </c>
      <c r="J913" s="52" t="str">
        <f>+IF('Data Pura Costos'!J913="","",'Data Pura Costos'!J913)</f>
        <v>24-25</v>
      </c>
      <c r="K913" s="82" t="str">
        <f t="shared" si="19"/>
        <v>Los Encinos-Molina-  TRANS. MORROS LTDA.</v>
      </c>
    </row>
    <row r="914" spans="2:11" x14ac:dyDescent="0.35">
      <c r="B914" s="4" t="str">
        <f>+IF('Data Pura Costos'!B914="","",'Data Pura Costos'!B914)</f>
        <v>Los Maitenes</v>
      </c>
      <c r="C914" s="4" t="str">
        <f>+IF('Data Pura Costos'!C914="","",'Data Pura Costos'!C914)</f>
        <v>Las Cabras, VI región</v>
      </c>
      <c r="D914" s="5">
        <f>+IF('Data Pura Costos'!D914="","",'Data Pura Costos'!D914)</f>
        <v>144</v>
      </c>
      <c r="E914" s="65">
        <f>+IF('Data Pura Costos'!E914="","",IF('Data Pura Costos'!E914=0,MAX('Data Pura Costos'!$E$7:$E$3000)*1000,'Data Pura Costos'!E914))</f>
        <v>340000</v>
      </c>
      <c r="F914" s="5" t="str">
        <f>+IF('Data Pura Costos'!F914="","",'Data Pura Costos'!F914)</f>
        <v>Molina</v>
      </c>
      <c r="G914" s="5" t="str">
        <f>+IF('Data Pura Costos'!G914="","",'Data Pura Costos'!G914)</f>
        <v xml:space="preserve">  TRANS. MORROS LTDA.</v>
      </c>
      <c r="H914" s="52" t="str">
        <f>+IF('Data Pura Costos'!H914="","",'Data Pura Costos'!H914)</f>
        <v>Termo</v>
      </c>
      <c r="I914" s="71">
        <f>+IF('Data Pura Costos'!I914="","",'Data Pura Costos'!I914)</f>
        <v>2361.1111111111113</v>
      </c>
      <c r="J914" s="52" t="str">
        <f>+IF('Data Pura Costos'!J914="","",'Data Pura Costos'!J914)</f>
        <v>24-25</v>
      </c>
      <c r="K914" s="82" t="str">
        <f t="shared" si="19"/>
        <v>Los Maitenes-Molina-  TRANS. MORROS LTDA.</v>
      </c>
    </row>
    <row r="915" spans="2:11" x14ac:dyDescent="0.35">
      <c r="B915" s="4" t="str">
        <f>+IF('Data Pura Costos'!B915="","",'Data Pura Costos'!B915)</f>
        <v>Los Toldos</v>
      </c>
      <c r="C915" s="4" t="str">
        <f>+IF('Data Pura Costos'!C915="","",'Data Pura Costos'!C915)</f>
        <v>Angol, IX región</v>
      </c>
      <c r="D915" s="5">
        <f>+IF('Data Pura Costos'!D915="","",'Data Pura Costos'!D915)</f>
        <v>408</v>
      </c>
      <c r="E915" s="65">
        <f>+IF('Data Pura Costos'!E915="","",IF('Data Pura Costos'!E915=0,MAX('Data Pura Costos'!$E$7:$E$3000)*1000,'Data Pura Costos'!E915))</f>
        <v>860000</v>
      </c>
      <c r="F915" s="5" t="str">
        <f>+IF('Data Pura Costos'!F915="","",'Data Pura Costos'!F915)</f>
        <v>Molina</v>
      </c>
      <c r="G915" s="5" t="str">
        <f>+IF('Data Pura Costos'!G915="","",'Data Pura Costos'!G915)</f>
        <v xml:space="preserve">  TRANS. MORROS LTDA.</v>
      </c>
      <c r="H915" s="52" t="str">
        <f>+IF('Data Pura Costos'!H915="","",'Data Pura Costos'!H915)</f>
        <v>Termo</v>
      </c>
      <c r="I915" s="71">
        <f>+IF('Data Pura Costos'!I915="","",'Data Pura Costos'!I915)</f>
        <v>2107.8431372549021</v>
      </c>
      <c r="J915" s="52" t="str">
        <f>+IF('Data Pura Costos'!J915="","",'Data Pura Costos'!J915)</f>
        <v>24-25</v>
      </c>
      <c r="K915" s="82" t="str">
        <f t="shared" si="19"/>
        <v>Los Toldos-Molina-  TRANS. MORROS LTDA.</v>
      </c>
    </row>
    <row r="916" spans="2:11" x14ac:dyDescent="0.35">
      <c r="B916" s="4" t="str">
        <f>+IF('Data Pura Costos'!B916="","",'Data Pura Costos'!B916)</f>
        <v>Panquehue</v>
      </c>
      <c r="C916" s="4" t="str">
        <f>+IF('Data Pura Costos'!C916="","",'Data Pura Costos'!C916)</f>
        <v>Panquehue, V región</v>
      </c>
      <c r="D916" s="5">
        <f>+IF('Data Pura Costos'!D916="","",'Data Pura Costos'!D916)</f>
        <v>310</v>
      </c>
      <c r="E916" s="65">
        <f>+IF('Data Pura Costos'!E916="","",IF('Data Pura Costos'!E916=0,MAX('Data Pura Costos'!$E$7:$E$3000)*1000,'Data Pura Costos'!E916))</f>
        <v>710000</v>
      </c>
      <c r="F916" s="5" t="str">
        <f>+IF('Data Pura Costos'!F916="","",'Data Pura Costos'!F916)</f>
        <v>Molina</v>
      </c>
      <c r="G916" s="5" t="str">
        <f>+IF('Data Pura Costos'!G916="","",'Data Pura Costos'!G916)</f>
        <v xml:space="preserve">  TRANS. MORROS LTDA.</v>
      </c>
      <c r="H916" s="52" t="str">
        <f>+IF('Data Pura Costos'!H916="","",'Data Pura Costos'!H916)</f>
        <v>Termo</v>
      </c>
      <c r="I916" s="71">
        <f>+IF('Data Pura Costos'!I916="","",'Data Pura Costos'!I916)</f>
        <v>2290.3225806451615</v>
      </c>
      <c r="J916" s="52" t="str">
        <f>+IF('Data Pura Costos'!J916="","",'Data Pura Costos'!J916)</f>
        <v>24-25</v>
      </c>
      <c r="K916" s="82" t="str">
        <f t="shared" si="19"/>
        <v>Panquehue-Molina-  TRANS. MORROS LTDA.</v>
      </c>
    </row>
    <row r="917" spans="2:11" x14ac:dyDescent="0.35">
      <c r="B917" s="4" t="str">
        <f>+IF('Data Pura Costos'!B917="","",'Data Pura Costos'!B917)</f>
        <v>Entre Rios/Puente Negro/Rio Claro</v>
      </c>
      <c r="C917" s="4" t="str">
        <f>+IF('Data Pura Costos'!C917="","",'Data Pura Costos'!C917)</f>
        <v>Puente negro, san fernando.VI Region.</v>
      </c>
      <c r="D917" s="5">
        <f>+IF('Data Pura Costos'!D917="","",'Data Pura Costos'!D917)</f>
        <v>95</v>
      </c>
      <c r="E917" s="65">
        <f>+IF('Data Pura Costos'!E917="","",IF('Data Pura Costos'!E917=0,MAX('Data Pura Costos'!$E$7:$E$3000)*1000,'Data Pura Costos'!E917))</f>
        <v>290000</v>
      </c>
      <c r="F917" s="5" t="str">
        <f>+IF('Data Pura Costos'!F917="","",'Data Pura Costos'!F917)</f>
        <v>Molina</v>
      </c>
      <c r="G917" s="5" t="str">
        <f>+IF('Data Pura Costos'!G917="","",'Data Pura Costos'!G917)</f>
        <v xml:space="preserve">  TRANS. MORROS LTDA.</v>
      </c>
      <c r="H917" s="52" t="str">
        <f>+IF('Data Pura Costos'!H917="","",'Data Pura Costos'!H917)</f>
        <v>Termo</v>
      </c>
      <c r="I917" s="71">
        <f>+IF('Data Pura Costos'!I917="","",'Data Pura Costos'!I917)</f>
        <v>3052.6315789473683</v>
      </c>
      <c r="J917" s="52" t="str">
        <f>+IF('Data Pura Costos'!J917="","",'Data Pura Costos'!J917)</f>
        <v>24-25</v>
      </c>
      <c r="K917" s="82" t="str">
        <f t="shared" si="19"/>
        <v>Entre Rios/Puente Negro/Rio Claro-Molina-  TRANS. MORROS LTDA.</v>
      </c>
    </row>
    <row r="918" spans="2:11" x14ac:dyDescent="0.35">
      <c r="B918" s="4" t="str">
        <f>+IF('Data Pura Costos'!B918="","",'Data Pura Costos'!B918)</f>
        <v>Retorno</v>
      </c>
      <c r="C918" s="4" t="str">
        <f>+IF('Data Pura Costos'!C918="","",'Data Pura Costos'!C918)</f>
        <v>Santa maria, V región</v>
      </c>
      <c r="D918" s="5">
        <f>+IF('Data Pura Costos'!D918="","",'Data Pura Costos'!D918)</f>
        <v>305</v>
      </c>
      <c r="E918" s="65">
        <f>+IF('Data Pura Costos'!E918="","",IF('Data Pura Costos'!E918=0,MAX('Data Pura Costos'!$E$7:$E$3000)*1000,'Data Pura Costos'!E918))</f>
        <v>710000</v>
      </c>
      <c r="F918" s="5" t="str">
        <f>+IF('Data Pura Costos'!F918="","",'Data Pura Costos'!F918)</f>
        <v>Molina</v>
      </c>
      <c r="G918" s="5" t="str">
        <f>+IF('Data Pura Costos'!G918="","",'Data Pura Costos'!G918)</f>
        <v xml:space="preserve">  TRANS. MORROS LTDA.</v>
      </c>
      <c r="H918" s="52" t="str">
        <f>+IF('Data Pura Costos'!H918="","",'Data Pura Costos'!H918)</f>
        <v>Termo</v>
      </c>
      <c r="I918" s="71">
        <f>+IF('Data Pura Costos'!I918="","",'Data Pura Costos'!I918)</f>
        <v>2327.8688524590166</v>
      </c>
      <c r="J918" s="52" t="str">
        <f>+IF('Data Pura Costos'!J918="","",'Data Pura Costos'!J918)</f>
        <v>24-25</v>
      </c>
      <c r="K918" s="82" t="str">
        <f t="shared" si="19"/>
        <v>Retorno-Molina-  TRANS. MORROS LTDA.</v>
      </c>
    </row>
    <row r="919" spans="2:11" x14ac:dyDescent="0.35">
      <c r="B919" s="4" t="str">
        <f>+IF('Data Pura Costos'!B919="","",'Data Pura Costos'!B919)</f>
        <v>San Hernán</v>
      </c>
      <c r="C919" s="4" t="str">
        <f>+IF('Data Pura Costos'!C919="","",'Data Pura Costos'!C919)</f>
        <v>Graneros, VI región</v>
      </c>
      <c r="D919" s="5">
        <f>+IF('Data Pura Costos'!D919="","",'Data Pura Costos'!D919)</f>
        <v>140</v>
      </c>
      <c r="E919" s="65">
        <f>+IF('Data Pura Costos'!E919="","",IF('Data Pura Costos'!E919=0,MAX('Data Pura Costos'!$E$7:$E$3000)*1000,'Data Pura Costos'!E919))</f>
        <v>340000</v>
      </c>
      <c r="F919" s="5" t="str">
        <f>+IF('Data Pura Costos'!F919="","",'Data Pura Costos'!F919)</f>
        <v>Molina</v>
      </c>
      <c r="G919" s="5" t="str">
        <f>+IF('Data Pura Costos'!G919="","",'Data Pura Costos'!G919)</f>
        <v xml:space="preserve">  TRANS. MORROS LTDA.</v>
      </c>
      <c r="H919" s="52" t="str">
        <f>+IF('Data Pura Costos'!H919="","",'Data Pura Costos'!H919)</f>
        <v>Termo</v>
      </c>
      <c r="I919" s="71">
        <f>+IF('Data Pura Costos'!I919="","",'Data Pura Costos'!I919)</f>
        <v>2428.5714285714284</v>
      </c>
      <c r="J919" s="52" t="str">
        <f>+IF('Data Pura Costos'!J919="","",'Data Pura Costos'!J919)</f>
        <v>24-25</v>
      </c>
      <c r="K919" s="82" t="str">
        <f t="shared" si="19"/>
        <v>San Hernán-Molina-  TRANS. MORROS LTDA.</v>
      </c>
    </row>
    <row r="920" spans="2:11" x14ac:dyDescent="0.35">
      <c r="B920" s="4" t="str">
        <f>+IF('Data Pura Costos'!B920="","",'Data Pura Costos'!B920)</f>
        <v>Santa Mónica</v>
      </c>
      <c r="C920" s="4" t="str">
        <f>+IF('Data Pura Costos'!C920="","",'Data Pura Costos'!C920)</f>
        <v xml:space="preserve">Rancagua, sector Chancón, VI región </v>
      </c>
      <c r="D920" s="5">
        <f>+IF('Data Pura Costos'!D920="","",'Data Pura Costos'!D920)</f>
        <v>130</v>
      </c>
      <c r="E920" s="65">
        <f>+IF('Data Pura Costos'!E920="","",IF('Data Pura Costos'!E920=0,MAX('Data Pura Costos'!$E$7:$E$3000)*1000,'Data Pura Costos'!E920))</f>
        <v>340000</v>
      </c>
      <c r="F920" s="5" t="str">
        <f>+IF('Data Pura Costos'!F920="","",'Data Pura Costos'!F920)</f>
        <v>Molina</v>
      </c>
      <c r="G920" s="5" t="str">
        <f>+IF('Data Pura Costos'!G920="","",'Data Pura Costos'!G920)</f>
        <v xml:space="preserve">  TRANS. MORROS LTDA.</v>
      </c>
      <c r="H920" s="52" t="str">
        <f>+IF('Data Pura Costos'!H920="","",'Data Pura Costos'!H920)</f>
        <v>Termo</v>
      </c>
      <c r="I920" s="71">
        <f>+IF('Data Pura Costos'!I920="","",'Data Pura Costos'!I920)</f>
        <v>2615.3846153846152</v>
      </c>
      <c r="J920" s="52" t="str">
        <f>+IF('Data Pura Costos'!J920="","",'Data Pura Costos'!J920)</f>
        <v>24-25</v>
      </c>
      <c r="K920" s="82" t="str">
        <f t="shared" si="19"/>
        <v>Santa Mónica-Molina-  TRANS. MORROS LTDA.</v>
      </c>
    </row>
    <row r="921" spans="2:11" x14ac:dyDescent="0.35">
      <c r="B921" s="4" t="str">
        <f>+IF('Data Pura Costos'!B921="","",'Data Pura Costos'!B921)</f>
        <v>Talhuén</v>
      </c>
      <c r="C921" s="4" t="str">
        <f>+IF('Data Pura Costos'!C921="","",'Data Pura Costos'!C921)</f>
        <v>Palmilla, VI región</v>
      </c>
      <c r="D921" s="5">
        <f>+IF('Data Pura Costos'!D921="","",'Data Pura Costos'!D921)</f>
        <v>95</v>
      </c>
      <c r="E921" s="65">
        <f>+IF('Data Pura Costos'!E921="","",IF('Data Pura Costos'!E921=0,MAX('Data Pura Costos'!$E$7:$E$3000)*1000,'Data Pura Costos'!E921))</f>
        <v>290000</v>
      </c>
      <c r="F921" s="5" t="str">
        <f>+IF('Data Pura Costos'!F921="","",'Data Pura Costos'!F921)</f>
        <v>Molina</v>
      </c>
      <c r="G921" s="5" t="str">
        <f>+IF('Data Pura Costos'!G921="","",'Data Pura Costos'!G921)</f>
        <v xml:space="preserve">  TRANS. MORROS LTDA.</v>
      </c>
      <c r="H921" s="52" t="str">
        <f>+IF('Data Pura Costos'!H921="","",'Data Pura Costos'!H921)</f>
        <v>Termo</v>
      </c>
      <c r="I921" s="71">
        <f>+IF('Data Pura Costos'!I921="","",'Data Pura Costos'!I921)</f>
        <v>3052.6315789473683</v>
      </c>
      <c r="J921" s="52" t="str">
        <f>+IF('Data Pura Costos'!J921="","",'Data Pura Costos'!J921)</f>
        <v>24-25</v>
      </c>
      <c r="K921" s="82" t="str">
        <f t="shared" si="19"/>
        <v>Talhuén-Molina-  TRANS. MORROS LTDA.</v>
      </c>
    </row>
    <row r="922" spans="2:11" x14ac:dyDescent="0.35">
      <c r="B922" s="4" t="str">
        <f>+IF('Data Pura Costos'!B922="","",'Data Pura Costos'!B922)</f>
        <v>Villaseca</v>
      </c>
      <c r="C922" s="4" t="str">
        <f>+IF('Data Pura Costos'!C922="","",'Data Pura Costos'!C922)</f>
        <v>Retiro, VII reginón</v>
      </c>
      <c r="D922" s="5">
        <f>+IF('Data Pura Costos'!D922="","",'Data Pura Costos'!D922)</f>
        <v>350</v>
      </c>
      <c r="E922" s="65">
        <f>+IF('Data Pura Costos'!E922="","",IF('Data Pura Costos'!E922=0,MAX('Data Pura Costos'!$E$7:$E$3000)*1000,'Data Pura Costos'!E922))</f>
        <v>479080</v>
      </c>
      <c r="F922" s="5" t="str">
        <f>+IF('Data Pura Costos'!F922="","",'Data Pura Costos'!F922)</f>
        <v>Molina</v>
      </c>
      <c r="G922" s="5" t="str">
        <f>+IF('Data Pura Costos'!G922="","",'Data Pura Costos'!G922)</f>
        <v xml:space="preserve">  TRANS. MORROS LTDA.</v>
      </c>
      <c r="H922" s="52" t="str">
        <f>+IF('Data Pura Costos'!H922="","",'Data Pura Costos'!H922)</f>
        <v>Termo</v>
      </c>
      <c r="I922" s="71">
        <f>+IF('Data Pura Costos'!I922="","",'Data Pura Costos'!I922)</f>
        <v>1368.8</v>
      </c>
      <c r="J922" s="52" t="str">
        <f>+IF('Data Pura Costos'!J922="","",'Data Pura Costos'!J922)</f>
        <v>24-25</v>
      </c>
      <c r="K922" s="82" t="str">
        <f t="shared" si="19"/>
        <v>Villaseca-Molina-  TRANS. MORROS LTDA.</v>
      </c>
    </row>
    <row r="923" spans="2:11" x14ac:dyDescent="0.35">
      <c r="B923" s="4" t="str">
        <f>+IF('Data Pura Costos'!B923="","",'Data Pura Costos'!B923)</f>
        <v>Almahue</v>
      </c>
      <c r="C923" s="4" t="str">
        <f>+IF('Data Pura Costos'!C923="","",'Data Pura Costos'!C923)</f>
        <v>Pichidegua, VI región</v>
      </c>
      <c r="D923" s="5">
        <f>+IF('Data Pura Costos'!D923="","",'Data Pura Costos'!D923)</f>
        <v>50</v>
      </c>
      <c r="E923" s="65">
        <f>+IF('Data Pura Costos'!E923="","",IF('Data Pura Costos'!E923=0,MAX('Data Pura Costos'!$E$7:$E$3000)*1000,'Data Pura Costos'!E923))</f>
        <v>240000</v>
      </c>
      <c r="F923" s="5" t="str">
        <f>+IF('Data Pura Costos'!F923="","",'Data Pura Costos'!F923)</f>
        <v>Malloa</v>
      </c>
      <c r="G923" s="5" t="str">
        <f>+IF('Data Pura Costos'!G923="","",'Data Pura Costos'!G923)</f>
        <v xml:space="preserve">  TRANS. MORROS LTDA.</v>
      </c>
      <c r="H923" s="52" t="str">
        <f>+IF('Data Pura Costos'!H923="","",'Data Pura Costos'!H923)</f>
        <v>Termo</v>
      </c>
      <c r="I923" s="71">
        <f>+IF('Data Pura Costos'!I923="","",'Data Pura Costos'!I923)</f>
        <v>4800</v>
      </c>
      <c r="J923" s="52" t="str">
        <f>+IF('Data Pura Costos'!J923="","",'Data Pura Costos'!J923)</f>
        <v>24-25</v>
      </c>
      <c r="K923" s="82" t="str">
        <f t="shared" si="19"/>
        <v>Almahue-Malloa-  TRANS. MORROS LTDA.</v>
      </c>
    </row>
    <row r="924" spans="2:11" x14ac:dyDescent="0.35">
      <c r="B924" s="4" t="str">
        <f>+IF('Data Pura Costos'!B924="","",'Data Pura Costos'!B924)</f>
        <v>Bodega</v>
      </c>
      <c r="C924" s="4" t="str">
        <f>+IF('Data Pura Costos'!C924="","",'Data Pura Costos'!C924)</f>
        <v>Linares, VII region.</v>
      </c>
      <c r="D924" s="5">
        <f>+IF('Data Pura Costos'!D924="","",'Data Pura Costos'!D924)</f>
        <v>211</v>
      </c>
      <c r="E924" s="65">
        <f>+IF('Data Pura Costos'!E924="","",IF('Data Pura Costos'!E924=0,MAX('Data Pura Costos'!$E$7:$E$3000)*1000,'Data Pura Costos'!E924))</f>
        <v>400000</v>
      </c>
      <c r="F924" s="5" t="str">
        <f>+IF('Data Pura Costos'!F924="","",'Data Pura Costos'!F924)</f>
        <v>Malloa</v>
      </c>
      <c r="G924" s="5" t="str">
        <f>+IF('Data Pura Costos'!G924="","",'Data Pura Costos'!G924)</f>
        <v xml:space="preserve">  TRANS. MORROS LTDA.</v>
      </c>
      <c r="H924" s="52" t="str">
        <f>+IF('Data Pura Costos'!H924="","",'Data Pura Costos'!H924)</f>
        <v>Termo</v>
      </c>
      <c r="I924" s="71">
        <f>+IF('Data Pura Costos'!I924="","",'Data Pura Costos'!I924)</f>
        <v>1895.7345971563982</v>
      </c>
      <c r="J924" s="52" t="str">
        <f>+IF('Data Pura Costos'!J924="","",'Data Pura Costos'!J924)</f>
        <v>24-25</v>
      </c>
      <c r="K924" s="82" t="str">
        <f t="shared" si="19"/>
        <v>Bodega-Malloa-  TRANS. MORROS LTDA.</v>
      </c>
    </row>
    <row r="925" spans="2:11" x14ac:dyDescent="0.35">
      <c r="B925" s="4" t="str">
        <f>+IF('Data Pura Costos'!B925="","",'Data Pura Costos'!B925)</f>
        <v xml:space="preserve">Caliboro </v>
      </c>
      <c r="C925" s="4" t="str">
        <f>+IF('Data Pura Costos'!C925="","",'Data Pura Costos'!C925)</f>
        <v>San Javier, VII región</v>
      </c>
      <c r="D925" s="5">
        <f>+IF('Data Pura Costos'!D925="","",'Data Pura Costos'!D925)</f>
        <v>206</v>
      </c>
      <c r="E925" s="65">
        <f>+IF('Data Pura Costos'!E925="","",IF('Data Pura Costos'!E925=0,MAX('Data Pura Costos'!$E$7:$E$3000)*1000,'Data Pura Costos'!E925))</f>
        <v>400000</v>
      </c>
      <c r="F925" s="5" t="str">
        <f>+IF('Data Pura Costos'!F925="","",'Data Pura Costos'!F925)</f>
        <v>Malloa</v>
      </c>
      <c r="G925" s="5" t="str">
        <f>+IF('Data Pura Costos'!G925="","",'Data Pura Costos'!G925)</f>
        <v xml:space="preserve">  TRANS. MORROS LTDA.</v>
      </c>
      <c r="H925" s="52" t="str">
        <f>+IF('Data Pura Costos'!H925="","",'Data Pura Costos'!H925)</f>
        <v>Termo</v>
      </c>
      <c r="I925" s="71">
        <f>+IF('Data Pura Costos'!I925="","",'Data Pura Costos'!I925)</f>
        <v>1941.7475728155339</v>
      </c>
      <c r="J925" s="52" t="str">
        <f>+IF('Data Pura Costos'!J925="","",'Data Pura Costos'!J925)</f>
        <v>24-25</v>
      </c>
      <c r="K925" s="82" t="str">
        <f t="shared" si="19"/>
        <v>Caliboro -Malloa-  TRANS. MORROS LTDA.</v>
      </c>
    </row>
    <row r="926" spans="2:11" x14ac:dyDescent="0.35">
      <c r="B926" s="4" t="str">
        <f>+IF('Data Pura Costos'!B926="","",'Data Pura Costos'!B926)</f>
        <v>Calleuque</v>
      </c>
      <c r="C926" s="4" t="str">
        <f>+IF('Data Pura Costos'!C926="","",'Data Pura Costos'!C926)</f>
        <v>Peralillo ohiggins, VI región</v>
      </c>
      <c r="D926" s="5">
        <f>+IF('Data Pura Costos'!D926="","",'Data Pura Costos'!D926)</f>
        <v>80</v>
      </c>
      <c r="E926" s="65">
        <f>+IF('Data Pura Costos'!E926="","",IF('Data Pura Costos'!E926=0,MAX('Data Pura Costos'!$E$7:$E$3000)*1000,'Data Pura Costos'!E926))</f>
        <v>290000</v>
      </c>
      <c r="F926" s="5" t="str">
        <f>+IF('Data Pura Costos'!F926="","",'Data Pura Costos'!F926)</f>
        <v>Malloa</v>
      </c>
      <c r="G926" s="5" t="str">
        <f>+IF('Data Pura Costos'!G926="","",'Data Pura Costos'!G926)</f>
        <v xml:space="preserve">  TRANS. MORROS LTDA.</v>
      </c>
      <c r="H926" s="52" t="str">
        <f>+IF('Data Pura Costos'!H926="","",'Data Pura Costos'!H926)</f>
        <v>Termo</v>
      </c>
      <c r="I926" s="71">
        <f>+IF('Data Pura Costos'!I926="","",'Data Pura Costos'!I926)</f>
        <v>3625</v>
      </c>
      <c r="J926" s="52" t="str">
        <f>+IF('Data Pura Costos'!J926="","",'Data Pura Costos'!J926)</f>
        <v>24-25</v>
      </c>
      <c r="K926" s="82" t="str">
        <f t="shared" si="19"/>
        <v>Calleuque-Malloa-  TRANS. MORROS LTDA.</v>
      </c>
    </row>
    <row r="927" spans="2:11" x14ac:dyDescent="0.35">
      <c r="B927" s="4" t="str">
        <f>+IF('Data Pura Costos'!B927="","",'Data Pura Costos'!B927)</f>
        <v>Chumpirro</v>
      </c>
      <c r="C927" s="4" t="str">
        <f>+IF('Data Pura Costos'!C927="","",'Data Pura Costos'!C927)</f>
        <v>Angol, IX región</v>
      </c>
      <c r="D927" s="5">
        <f>+IF('Data Pura Costos'!D927="","",'Data Pura Costos'!D927)</f>
        <v>450</v>
      </c>
      <c r="E927" s="65">
        <f>+IF('Data Pura Costos'!E927="","",IF('Data Pura Costos'!E927=0,MAX('Data Pura Costos'!$E$7:$E$3000)*1000,'Data Pura Costos'!E927))</f>
        <v>900000</v>
      </c>
      <c r="F927" s="5" t="str">
        <f>+IF('Data Pura Costos'!F927="","",'Data Pura Costos'!F927)</f>
        <v>Malloa</v>
      </c>
      <c r="G927" s="5" t="str">
        <f>+IF('Data Pura Costos'!G927="","",'Data Pura Costos'!G927)</f>
        <v xml:space="preserve">  TRANS. MORROS LTDA.</v>
      </c>
      <c r="H927" s="52" t="str">
        <f>+IF('Data Pura Costos'!H927="","",'Data Pura Costos'!H927)</f>
        <v>Termo</v>
      </c>
      <c r="I927" s="71">
        <f>+IF('Data Pura Costos'!I927="","",'Data Pura Costos'!I927)</f>
        <v>2000</v>
      </c>
      <c r="J927" s="52" t="str">
        <f>+IF('Data Pura Costos'!J927="","",'Data Pura Costos'!J927)</f>
        <v>24-25</v>
      </c>
      <c r="K927" s="82" t="str">
        <f t="shared" si="19"/>
        <v>Chumpirro-Malloa-  TRANS. MORROS LTDA.</v>
      </c>
    </row>
    <row r="928" spans="2:11" x14ac:dyDescent="0.35">
      <c r="B928" s="4" t="str">
        <f>+IF('Data Pura Costos'!B928="","",'Data Pura Costos'!B928)</f>
        <v xml:space="preserve"> Cocalán</v>
      </c>
      <c r="C928" s="4" t="str">
        <f>+IF('Data Pura Costos'!C928="","",'Data Pura Costos'!C928)</f>
        <v>Cocalán, VI región</v>
      </c>
      <c r="D928" s="5">
        <f>+IF('Data Pura Costos'!D928="","",'Data Pura Costos'!D928)</f>
        <v>50</v>
      </c>
      <c r="E928" s="65">
        <f>+IF('Data Pura Costos'!E928="","",IF('Data Pura Costos'!E928=0,MAX('Data Pura Costos'!$E$7:$E$3000)*1000,'Data Pura Costos'!E928))</f>
        <v>240000</v>
      </c>
      <c r="F928" s="5" t="str">
        <f>+IF('Data Pura Costos'!F928="","",'Data Pura Costos'!F928)</f>
        <v>Malloa</v>
      </c>
      <c r="G928" s="5" t="str">
        <f>+IF('Data Pura Costos'!G928="","",'Data Pura Costos'!G928)</f>
        <v xml:space="preserve">  TRANS. MORROS LTDA.</v>
      </c>
      <c r="H928" s="52" t="str">
        <f>+IF('Data Pura Costos'!H928="","",'Data Pura Costos'!H928)</f>
        <v>Termo</v>
      </c>
      <c r="I928" s="71">
        <f>+IF('Data Pura Costos'!I928="","",'Data Pura Costos'!I928)</f>
        <v>4800</v>
      </c>
      <c r="J928" s="52" t="str">
        <f>+IF('Data Pura Costos'!J928="","",'Data Pura Costos'!J928)</f>
        <v>24-25</v>
      </c>
      <c r="K928" s="82" t="str">
        <f t="shared" si="19"/>
        <v xml:space="preserve"> Cocalán-Malloa-  TRANS. MORROS LTDA.</v>
      </c>
    </row>
    <row r="929" spans="2:11" x14ac:dyDescent="0.35">
      <c r="B929" s="4" t="str">
        <f>+IF('Data Pura Costos'!B929="","",'Data Pura Costos'!B929)</f>
        <v>El Cóndor</v>
      </c>
      <c r="C929" s="4" t="str">
        <f>+IF('Data Pura Costos'!C929="","",'Data Pura Costos'!C929)</f>
        <v>Chimbarongo, VI Region.</v>
      </c>
      <c r="D929" s="5">
        <f>+IF('Data Pura Costos'!D929="","",'Data Pura Costos'!D929)</f>
        <v>60</v>
      </c>
      <c r="E929" s="65">
        <f>+IF('Data Pura Costos'!E929="","",IF('Data Pura Costos'!E929=0,MAX('Data Pura Costos'!$E$7:$E$3000)*1000,'Data Pura Costos'!E929))</f>
        <v>240000</v>
      </c>
      <c r="F929" s="5" t="str">
        <f>+IF('Data Pura Costos'!F929="","",'Data Pura Costos'!F929)</f>
        <v>Malloa</v>
      </c>
      <c r="G929" s="5" t="str">
        <f>+IF('Data Pura Costos'!G929="","",'Data Pura Costos'!G929)</f>
        <v xml:space="preserve">  TRANS. MORROS LTDA.</v>
      </c>
      <c r="H929" s="52" t="str">
        <f>+IF('Data Pura Costos'!H929="","",'Data Pura Costos'!H929)</f>
        <v>Termo</v>
      </c>
      <c r="I929" s="71">
        <f>+IF('Data Pura Costos'!I929="","",'Data Pura Costos'!I929)</f>
        <v>4000</v>
      </c>
      <c r="J929" s="52" t="str">
        <f>+IF('Data Pura Costos'!J929="","",'Data Pura Costos'!J929)</f>
        <v>24-25</v>
      </c>
      <c r="K929" s="82" t="str">
        <f t="shared" si="19"/>
        <v>El Cóndor-Malloa-  TRANS. MORROS LTDA.</v>
      </c>
    </row>
    <row r="930" spans="2:11" x14ac:dyDescent="0.35">
      <c r="B930" s="4" t="str">
        <f>+IF('Data Pura Costos'!B930="","",'Data Pura Costos'!B930)</f>
        <v>El Descanso</v>
      </c>
      <c r="C930" s="4" t="str">
        <f>+IF('Data Pura Costos'!C930="","",'Data Pura Costos'!C930)</f>
        <v>Sagrada Familia, VII región</v>
      </c>
      <c r="D930" s="5">
        <f>+IF('Data Pura Costos'!D930="","",'Data Pura Costos'!D930)</f>
        <v>100</v>
      </c>
      <c r="E930" s="65">
        <f>+IF('Data Pura Costos'!E930="","",IF('Data Pura Costos'!E930=0,MAX('Data Pura Costos'!$E$7:$E$3000)*1000,'Data Pura Costos'!E930))</f>
        <v>300000</v>
      </c>
      <c r="F930" s="5" t="str">
        <f>+IF('Data Pura Costos'!F930="","",'Data Pura Costos'!F930)</f>
        <v>Malloa</v>
      </c>
      <c r="G930" s="5" t="str">
        <f>+IF('Data Pura Costos'!G930="","",'Data Pura Costos'!G930)</f>
        <v xml:space="preserve">  TRANS. MORROS LTDA.</v>
      </c>
      <c r="H930" s="52" t="str">
        <f>+IF('Data Pura Costos'!H930="","",'Data Pura Costos'!H930)</f>
        <v>Termo</v>
      </c>
      <c r="I930" s="71">
        <f>+IF('Data Pura Costos'!I930="","",'Data Pura Costos'!I930)</f>
        <v>3000</v>
      </c>
      <c r="J930" s="52" t="str">
        <f>+IF('Data Pura Costos'!J930="","",'Data Pura Costos'!J930)</f>
        <v>24-25</v>
      </c>
      <c r="K930" s="82" t="str">
        <f t="shared" si="19"/>
        <v>El Descanso-Malloa-  TRANS. MORROS LTDA.</v>
      </c>
    </row>
    <row r="931" spans="2:11" x14ac:dyDescent="0.35">
      <c r="B931" s="4" t="str">
        <f>+IF('Data Pura Costos'!B931="","",'Data Pura Costos'!B931)</f>
        <v>El Espino</v>
      </c>
      <c r="C931" s="4" t="str">
        <f>+IF('Data Pura Costos'!C931="","",'Data Pura Costos'!C931)</f>
        <v>Colbún, VII región</v>
      </c>
      <c r="D931" s="5">
        <f>+IF('Data Pura Costos'!D931="","",'Data Pura Costos'!D931)</f>
        <v>190</v>
      </c>
      <c r="E931" s="65">
        <f>+IF('Data Pura Costos'!E931="","",IF('Data Pura Costos'!E931=0,MAX('Data Pura Costos'!$E$7:$E$3000)*1000,'Data Pura Costos'!E931))</f>
        <v>390000</v>
      </c>
      <c r="F931" s="5" t="str">
        <f>+IF('Data Pura Costos'!F931="","",'Data Pura Costos'!F931)</f>
        <v>Malloa</v>
      </c>
      <c r="G931" s="5" t="str">
        <f>+IF('Data Pura Costos'!G931="","",'Data Pura Costos'!G931)</f>
        <v xml:space="preserve">  TRANS. MORROS LTDA.</v>
      </c>
      <c r="H931" s="52" t="str">
        <f>+IF('Data Pura Costos'!H931="","",'Data Pura Costos'!H931)</f>
        <v>Termo</v>
      </c>
      <c r="I931" s="71">
        <f>+IF('Data Pura Costos'!I931="","",'Data Pura Costos'!I931)</f>
        <v>2052.6315789473683</v>
      </c>
      <c r="J931" s="52" t="str">
        <f>+IF('Data Pura Costos'!J931="","",'Data Pura Costos'!J931)</f>
        <v>24-25</v>
      </c>
      <c r="K931" s="82" t="str">
        <f t="shared" si="19"/>
        <v>El Espino-Malloa-  TRANS. MORROS LTDA.</v>
      </c>
    </row>
    <row r="932" spans="2:11" x14ac:dyDescent="0.35">
      <c r="B932" s="4" t="str">
        <f>+IF('Data Pura Costos'!B932="","",'Data Pura Costos'!B932)</f>
        <v>El Huaico</v>
      </c>
      <c r="C932" s="4" t="str">
        <f>+IF('Data Pura Costos'!C932="","",'Data Pura Costos'!C932)</f>
        <v>Palmila Ohiggins</v>
      </c>
      <c r="D932" s="5">
        <f>+IF('Data Pura Costos'!D932="","",'Data Pura Costos'!D932)</f>
        <v>75</v>
      </c>
      <c r="E932" s="65">
        <f>+IF('Data Pura Costos'!E932="","",IF('Data Pura Costos'!E932=0,MAX('Data Pura Costos'!$E$7:$E$3000)*1000,'Data Pura Costos'!E932))</f>
        <v>280000</v>
      </c>
      <c r="F932" s="5" t="str">
        <f>+IF('Data Pura Costos'!F932="","",'Data Pura Costos'!F932)</f>
        <v>Malloa</v>
      </c>
      <c r="G932" s="5" t="str">
        <f>+IF('Data Pura Costos'!G932="","",'Data Pura Costos'!G932)</f>
        <v xml:space="preserve">  TRANS. MORROS LTDA.</v>
      </c>
      <c r="H932" s="52" t="str">
        <f>+IF('Data Pura Costos'!H932="","",'Data Pura Costos'!H932)</f>
        <v>Termo</v>
      </c>
      <c r="I932" s="71">
        <f>+IF('Data Pura Costos'!I932="","",'Data Pura Costos'!I932)</f>
        <v>3733.3333333333335</v>
      </c>
      <c r="J932" s="52" t="str">
        <f>+IF('Data Pura Costos'!J932="","",'Data Pura Costos'!J932)</f>
        <v>24-25</v>
      </c>
      <c r="K932" s="82" t="str">
        <f t="shared" si="19"/>
        <v>El Huaico-Malloa-  TRANS. MORROS LTDA.</v>
      </c>
    </row>
    <row r="933" spans="2:11" x14ac:dyDescent="0.35">
      <c r="B933" s="4" t="str">
        <f>+IF('Data Pura Costos'!B933="","",'Data Pura Costos'!B933)</f>
        <v>El Picaso</v>
      </c>
      <c r="C933" s="4" t="str">
        <f>+IF('Data Pura Costos'!C933="","",'Data Pura Costos'!C933)</f>
        <v xml:space="preserve">San Clemente, VII región </v>
      </c>
      <c r="D933" s="5">
        <f>+IF('Data Pura Costos'!D933="","",'Data Pura Costos'!D933)</f>
        <v>160</v>
      </c>
      <c r="E933" s="65">
        <f>+IF('Data Pura Costos'!E933="","",IF('Data Pura Costos'!E933=0,MAX('Data Pura Costos'!$E$7:$E$3000)*1000,'Data Pura Costos'!E933))</f>
        <v>350000</v>
      </c>
      <c r="F933" s="5" t="str">
        <f>+IF('Data Pura Costos'!F933="","",'Data Pura Costos'!F933)</f>
        <v>Malloa</v>
      </c>
      <c r="G933" s="5" t="str">
        <f>+IF('Data Pura Costos'!G933="","",'Data Pura Costos'!G933)</f>
        <v xml:space="preserve">  TRANS. MORROS LTDA.</v>
      </c>
      <c r="H933" s="52" t="str">
        <f>+IF('Data Pura Costos'!H933="","",'Data Pura Costos'!H933)</f>
        <v>Termo</v>
      </c>
      <c r="I933" s="71">
        <f>+IF('Data Pura Costos'!I933="","",'Data Pura Costos'!I933)</f>
        <v>2187.5</v>
      </c>
      <c r="J933" s="52" t="str">
        <f>+IF('Data Pura Costos'!J933="","",'Data Pura Costos'!J933)</f>
        <v>24-25</v>
      </c>
      <c r="K933" s="82" t="str">
        <f t="shared" si="19"/>
        <v>El Picaso-Malloa-  TRANS. MORROS LTDA.</v>
      </c>
    </row>
    <row r="934" spans="2:11" x14ac:dyDescent="0.35">
      <c r="B934" s="4" t="str">
        <f>+IF('Data Pura Costos'!B934="","",'Data Pura Costos'!B934)</f>
        <v>El Rosario</v>
      </c>
      <c r="C934" s="4" t="str">
        <f>+IF('Data Pura Costos'!C934="","",'Data Pura Costos'!C934)</f>
        <v>Linares, VII region.</v>
      </c>
      <c r="D934" s="5">
        <f>+IF('Data Pura Costos'!D934="","",'Data Pura Costos'!D934)</f>
        <v>210</v>
      </c>
      <c r="E934" s="65">
        <f>+IF('Data Pura Costos'!E934="","",IF('Data Pura Costos'!E934=0,MAX('Data Pura Costos'!$E$7:$E$3000)*1000,'Data Pura Costos'!E934))</f>
        <v>400000</v>
      </c>
      <c r="F934" s="5" t="str">
        <f>+IF('Data Pura Costos'!F934="","",'Data Pura Costos'!F934)</f>
        <v>Malloa</v>
      </c>
      <c r="G934" s="5" t="str">
        <f>+IF('Data Pura Costos'!G934="","",'Data Pura Costos'!G934)</f>
        <v xml:space="preserve">  TRANS. MORROS LTDA.</v>
      </c>
      <c r="H934" s="52" t="str">
        <f>+IF('Data Pura Costos'!H934="","",'Data Pura Costos'!H934)</f>
        <v>Termo</v>
      </c>
      <c r="I934" s="71">
        <f>+IF('Data Pura Costos'!I934="","",'Data Pura Costos'!I934)</f>
        <v>1904.7619047619048</v>
      </c>
      <c r="J934" s="52" t="str">
        <f>+IF('Data Pura Costos'!J934="","",'Data Pura Costos'!J934)</f>
        <v>24-25</v>
      </c>
      <c r="K934" s="82" t="str">
        <f t="shared" si="19"/>
        <v>El Rosario-Malloa-  TRANS. MORROS LTDA.</v>
      </c>
    </row>
    <row r="935" spans="2:11" x14ac:dyDescent="0.35">
      <c r="B935" s="4" t="str">
        <f>+IF('Data Pura Costos'!B935="","",'Data Pura Costos'!B935)</f>
        <v>El Retiro</v>
      </c>
      <c r="C935" s="4" t="str">
        <f>+IF('Data Pura Costos'!C935="","",'Data Pura Costos'!C935)</f>
        <v>Rosario, VI Region.</v>
      </c>
      <c r="D935" s="5">
        <f>+IF('Data Pura Costos'!D935="","",'Data Pura Costos'!D935)</f>
        <v>25</v>
      </c>
      <c r="E935" s="65">
        <f>+IF('Data Pura Costos'!E935="","",IF('Data Pura Costos'!E935=0,MAX('Data Pura Costos'!$E$7:$E$3000)*1000,'Data Pura Costos'!E935))</f>
        <v>210000</v>
      </c>
      <c r="F935" s="5" t="str">
        <f>+IF('Data Pura Costos'!F935="","",'Data Pura Costos'!F935)</f>
        <v>Malloa</v>
      </c>
      <c r="G935" s="5" t="str">
        <f>+IF('Data Pura Costos'!G935="","",'Data Pura Costos'!G935)</f>
        <v xml:space="preserve">  TRANS. MORROS LTDA.</v>
      </c>
      <c r="H935" s="52" t="str">
        <f>+IF('Data Pura Costos'!H935="","",'Data Pura Costos'!H935)</f>
        <v>Termo</v>
      </c>
      <c r="I935" s="71">
        <f>+IF('Data Pura Costos'!I935="","",'Data Pura Costos'!I935)</f>
        <v>8400</v>
      </c>
      <c r="J935" s="52" t="str">
        <f>+IF('Data Pura Costos'!J935="","",'Data Pura Costos'!J935)</f>
        <v>24-25</v>
      </c>
      <c r="K935" s="82" t="str">
        <f t="shared" si="19"/>
        <v>El Retiro-Malloa-  TRANS. MORROS LTDA.</v>
      </c>
    </row>
    <row r="936" spans="2:11" x14ac:dyDescent="0.35">
      <c r="B936" s="4" t="str">
        <f>+IF('Data Pura Costos'!B936="","",'Data Pura Costos'!B936)</f>
        <v>La Esperanza</v>
      </c>
      <c r="C936" s="4" t="str">
        <f>+IF('Data Pura Costos'!C936="","",'Data Pura Costos'!C936)</f>
        <v>Peumo, VI región</v>
      </c>
      <c r="D936" s="5">
        <f>+IF('Data Pura Costos'!D936="","",'Data Pura Costos'!D936)</f>
        <v>35</v>
      </c>
      <c r="E936" s="65">
        <f>+IF('Data Pura Costos'!E936="","",IF('Data Pura Costos'!E936=0,MAX('Data Pura Costos'!$E$7:$E$3000)*1000,'Data Pura Costos'!E936))</f>
        <v>250000</v>
      </c>
      <c r="F936" s="5" t="str">
        <f>+IF('Data Pura Costos'!F936="","",'Data Pura Costos'!F936)</f>
        <v>Malloa</v>
      </c>
      <c r="G936" s="5" t="str">
        <f>+IF('Data Pura Costos'!G936="","",'Data Pura Costos'!G936)</f>
        <v xml:space="preserve">  TRANS. MORROS LTDA.</v>
      </c>
      <c r="H936" s="52" t="str">
        <f>+IF('Data Pura Costos'!H936="","",'Data Pura Costos'!H936)</f>
        <v>Termo</v>
      </c>
      <c r="I936" s="71">
        <f>+IF('Data Pura Costos'!I936="","",'Data Pura Costos'!I936)</f>
        <v>7142.8571428571431</v>
      </c>
      <c r="J936" s="52" t="str">
        <f>+IF('Data Pura Costos'!J936="","",'Data Pura Costos'!J936)</f>
        <v>24-25</v>
      </c>
      <c r="K936" s="82" t="str">
        <f t="shared" si="19"/>
        <v>La Esperanza-Malloa-  TRANS. MORROS LTDA.</v>
      </c>
    </row>
    <row r="937" spans="2:11" x14ac:dyDescent="0.35">
      <c r="B937" s="4" t="str">
        <f>+IF('Data Pura Costos'!B937="","",'Data Pura Costos'!B937)</f>
        <v>La Estación</v>
      </c>
      <c r="C937" s="4" t="str">
        <f>+IF('Data Pura Costos'!C937="","",'Data Pura Costos'!C937)</f>
        <v>Palmilla, VI región</v>
      </c>
      <c r="D937" s="5">
        <f>+IF('Data Pura Costos'!D937="","",'Data Pura Costos'!D937)</f>
        <v>75</v>
      </c>
      <c r="E937" s="65">
        <f>+IF('Data Pura Costos'!E937="","",IF('Data Pura Costos'!E937=0,MAX('Data Pura Costos'!$E$7:$E$3000)*1000,'Data Pura Costos'!E937))</f>
        <v>280000</v>
      </c>
      <c r="F937" s="5" t="str">
        <f>+IF('Data Pura Costos'!F937="","",'Data Pura Costos'!F937)</f>
        <v>Malloa</v>
      </c>
      <c r="G937" s="5" t="str">
        <f>+IF('Data Pura Costos'!G937="","",'Data Pura Costos'!G937)</f>
        <v xml:space="preserve">  TRANS. MORROS LTDA.</v>
      </c>
      <c r="H937" s="52" t="str">
        <f>+IF('Data Pura Costos'!H937="","",'Data Pura Costos'!H937)</f>
        <v>Termo</v>
      </c>
      <c r="I937" s="71">
        <f>+IF('Data Pura Costos'!I937="","",'Data Pura Costos'!I937)</f>
        <v>3733.3333333333335</v>
      </c>
      <c r="J937" s="52" t="str">
        <f>+IF('Data Pura Costos'!J937="","",'Data Pura Costos'!J937)</f>
        <v>24-25</v>
      </c>
      <c r="K937" s="82" t="str">
        <f t="shared" si="19"/>
        <v>La Estación-Malloa-  TRANS. MORROS LTDA.</v>
      </c>
    </row>
    <row r="938" spans="2:11" x14ac:dyDescent="0.35">
      <c r="B938" s="4" t="str">
        <f>+IF('Data Pura Costos'!B938="","",'Data Pura Costos'!B938)</f>
        <v>La Lajuela</v>
      </c>
      <c r="C938" s="4" t="str">
        <f>+IF('Data Pura Costos'!C938="","",'Data Pura Costos'!C938)</f>
        <v>Santa Cruz, VI Región</v>
      </c>
      <c r="D938" s="5">
        <f>+IF('Data Pura Costos'!D938="","",'Data Pura Costos'!D938)</f>
        <v>75</v>
      </c>
      <c r="E938" s="65">
        <f>+IF('Data Pura Costos'!E938="","",IF('Data Pura Costos'!E938=0,MAX('Data Pura Costos'!$E$7:$E$3000)*1000,'Data Pura Costos'!E938))</f>
        <v>280000</v>
      </c>
      <c r="F938" s="5" t="str">
        <f>+IF('Data Pura Costos'!F938="","",'Data Pura Costos'!F938)</f>
        <v>Malloa</v>
      </c>
      <c r="G938" s="5" t="str">
        <f>+IF('Data Pura Costos'!G938="","",'Data Pura Costos'!G938)</f>
        <v xml:space="preserve">  TRANS. MORROS LTDA.</v>
      </c>
      <c r="H938" s="52" t="str">
        <f>+IF('Data Pura Costos'!H938="","",'Data Pura Costos'!H938)</f>
        <v>Termo</v>
      </c>
      <c r="I938" s="71">
        <f>+IF('Data Pura Costos'!I938="","",'Data Pura Costos'!I938)</f>
        <v>3733.3333333333335</v>
      </c>
      <c r="J938" s="52" t="str">
        <f>+IF('Data Pura Costos'!J938="","",'Data Pura Costos'!J938)</f>
        <v>24-25</v>
      </c>
      <c r="K938" s="82" t="str">
        <f t="shared" si="19"/>
        <v>La Lajuela-Malloa-  TRANS. MORROS LTDA.</v>
      </c>
    </row>
    <row r="939" spans="2:11" x14ac:dyDescent="0.35">
      <c r="B939" s="4" t="str">
        <f>+IF('Data Pura Costos'!B939="","",'Data Pura Costos'!B939)</f>
        <v>La Morera</v>
      </c>
      <c r="C939" s="4" t="str">
        <f>+IF('Data Pura Costos'!C939="","",'Data Pura Costos'!C939)</f>
        <v>La compañia, VI Region.</v>
      </c>
      <c r="D939" s="5">
        <f>+IF('Data Pura Costos'!D939="","",'Data Pura Costos'!D939)</f>
        <v>55</v>
      </c>
      <c r="E939" s="65">
        <f>+IF('Data Pura Costos'!E939="","",IF('Data Pura Costos'!E939=0,MAX('Data Pura Costos'!$E$7:$E$3000)*1000,'Data Pura Costos'!E939))</f>
        <v>240000</v>
      </c>
      <c r="F939" s="5" t="str">
        <f>+IF('Data Pura Costos'!F939="","",'Data Pura Costos'!F939)</f>
        <v>Malloa</v>
      </c>
      <c r="G939" s="5" t="str">
        <f>+IF('Data Pura Costos'!G939="","",'Data Pura Costos'!G939)</f>
        <v xml:space="preserve">  TRANS. MORROS LTDA.</v>
      </c>
      <c r="H939" s="52" t="str">
        <f>+IF('Data Pura Costos'!H939="","",'Data Pura Costos'!H939)</f>
        <v>Termo</v>
      </c>
      <c r="I939" s="71">
        <f>+IF('Data Pura Costos'!I939="","",'Data Pura Costos'!I939)</f>
        <v>4363.636363636364</v>
      </c>
      <c r="J939" s="52" t="str">
        <f>+IF('Data Pura Costos'!J939="","",'Data Pura Costos'!J939)</f>
        <v>24-25</v>
      </c>
      <c r="K939" s="82" t="str">
        <f t="shared" si="19"/>
        <v>La Morera-Malloa-  TRANS. MORROS LTDA.</v>
      </c>
    </row>
    <row r="940" spans="2:11" x14ac:dyDescent="0.35">
      <c r="B940" s="4" t="str">
        <f>+IF('Data Pura Costos'!B940="","",'Data Pura Costos'!B940)</f>
        <v>La Rinconada</v>
      </c>
      <c r="C940" s="4" t="str">
        <f>+IF('Data Pura Costos'!C940="","",'Data Pura Costos'!C940)</f>
        <v>Pichidegua, VI región</v>
      </c>
      <c r="D940" s="5">
        <f>+IF('Data Pura Costos'!D940="","",'Data Pura Costos'!D940)</f>
        <v>45</v>
      </c>
      <c r="E940" s="65">
        <f>+IF('Data Pura Costos'!E940="","",IF('Data Pura Costos'!E940=0,MAX('Data Pura Costos'!$E$7:$E$3000)*1000,'Data Pura Costos'!E940))</f>
        <v>250000</v>
      </c>
      <c r="F940" s="5" t="str">
        <f>+IF('Data Pura Costos'!F940="","",'Data Pura Costos'!F940)</f>
        <v>Malloa</v>
      </c>
      <c r="G940" s="5" t="str">
        <f>+IF('Data Pura Costos'!G940="","",'Data Pura Costos'!G940)</f>
        <v xml:space="preserve">  TRANS. MORROS LTDA.</v>
      </c>
      <c r="H940" s="52" t="str">
        <f>+IF('Data Pura Costos'!H940="","",'Data Pura Costos'!H940)</f>
        <v>Termo</v>
      </c>
      <c r="I940" s="71">
        <f>+IF('Data Pura Costos'!I940="","",'Data Pura Costos'!I940)</f>
        <v>5555.5555555555557</v>
      </c>
      <c r="J940" s="52" t="str">
        <f>+IF('Data Pura Costos'!J940="","",'Data Pura Costos'!J940)</f>
        <v>24-25</v>
      </c>
      <c r="K940" s="82" t="str">
        <f t="shared" si="19"/>
        <v>La Rinconada-Malloa-  TRANS. MORROS LTDA.</v>
      </c>
    </row>
    <row r="941" spans="2:11" x14ac:dyDescent="0.35">
      <c r="B941" s="4" t="str">
        <f>+IF('Data Pura Costos'!B941="","",'Data Pura Costos'!B941)</f>
        <v xml:space="preserve">La Roblería </v>
      </c>
      <c r="C941" s="4" t="str">
        <f>+IF('Data Pura Costos'!C941="","",'Data Pura Costos'!C941)</f>
        <v>Aculeo, RM</v>
      </c>
      <c r="D941" s="5">
        <f>+IF('Data Pura Costos'!D941="","",'Data Pura Costos'!D941)</f>
        <v>105</v>
      </c>
      <c r="E941" s="65">
        <f>+IF('Data Pura Costos'!E941="","",IF('Data Pura Costos'!E941=0,MAX('Data Pura Costos'!$E$7:$E$3000)*1000,'Data Pura Costos'!E941))</f>
        <v>300000</v>
      </c>
      <c r="F941" s="5" t="str">
        <f>+IF('Data Pura Costos'!F941="","",'Data Pura Costos'!F941)</f>
        <v>Malloa</v>
      </c>
      <c r="G941" s="5" t="str">
        <f>+IF('Data Pura Costos'!G941="","",'Data Pura Costos'!G941)</f>
        <v xml:space="preserve">  TRANS. MORROS LTDA.</v>
      </c>
      <c r="H941" s="52" t="str">
        <f>+IF('Data Pura Costos'!H941="","",'Data Pura Costos'!H941)</f>
        <v>Termo</v>
      </c>
      <c r="I941" s="71">
        <f>+IF('Data Pura Costos'!I941="","",'Data Pura Costos'!I941)</f>
        <v>2857.1428571428573</v>
      </c>
      <c r="J941" s="52" t="str">
        <f>+IF('Data Pura Costos'!J941="","",'Data Pura Costos'!J941)</f>
        <v>24-25</v>
      </c>
      <c r="K941" s="82" t="str">
        <f t="shared" si="19"/>
        <v>La Roblería -Malloa-  TRANS. MORROS LTDA.</v>
      </c>
    </row>
    <row r="942" spans="2:11" x14ac:dyDescent="0.35">
      <c r="B942" s="4" t="str">
        <f>+IF('Data Pura Costos'!B942="","",'Data Pura Costos'!B942)</f>
        <v>Las Cabras</v>
      </c>
      <c r="C942" s="4" t="str">
        <f>+IF('Data Pura Costos'!C942="","",'Data Pura Costos'!C942)</f>
        <v>Las Cabras, VI región</v>
      </c>
      <c r="D942" s="5">
        <f>+IF('Data Pura Costos'!D942="","",'Data Pura Costos'!D942)</f>
        <v>45</v>
      </c>
      <c r="E942" s="65">
        <f>+IF('Data Pura Costos'!E942="","",IF('Data Pura Costos'!E942=0,MAX('Data Pura Costos'!$E$7:$E$3000)*1000,'Data Pura Costos'!E942))</f>
        <v>250000</v>
      </c>
      <c r="F942" s="5" t="str">
        <f>+IF('Data Pura Costos'!F942="","",'Data Pura Costos'!F942)</f>
        <v>Malloa</v>
      </c>
      <c r="G942" s="5" t="str">
        <f>+IF('Data Pura Costos'!G942="","",'Data Pura Costos'!G942)</f>
        <v xml:space="preserve">  TRANS. MORROS LTDA.</v>
      </c>
      <c r="H942" s="52" t="str">
        <f>+IF('Data Pura Costos'!H942="","",'Data Pura Costos'!H942)</f>
        <v>Termo</v>
      </c>
      <c r="I942" s="71">
        <f>+IF('Data Pura Costos'!I942="","",'Data Pura Costos'!I942)</f>
        <v>5555.5555555555557</v>
      </c>
      <c r="J942" s="52" t="str">
        <f>+IF('Data Pura Costos'!J942="","",'Data Pura Costos'!J942)</f>
        <v>24-25</v>
      </c>
      <c r="K942" s="82" t="str">
        <f t="shared" si="19"/>
        <v>Las Cabras-Malloa-  TRANS. MORROS LTDA.</v>
      </c>
    </row>
    <row r="943" spans="2:11" x14ac:dyDescent="0.35">
      <c r="B943" s="4" t="str">
        <f>+IF('Data Pura Costos'!B943="","",'Data Pura Costos'!B943)</f>
        <v>Las Vertientes</v>
      </c>
      <c r="C943" s="4" t="str">
        <f>+IF('Data Pura Costos'!C943="","",'Data Pura Costos'!C943)</f>
        <v>Pichidegua, VI región</v>
      </c>
      <c r="D943" s="5">
        <f>+IF('Data Pura Costos'!D943="","",'Data Pura Costos'!D943)</f>
        <v>40</v>
      </c>
      <c r="E943" s="65">
        <f>+IF('Data Pura Costos'!E943="","",IF('Data Pura Costos'!E943=0,MAX('Data Pura Costos'!$E$7:$E$3000)*1000,'Data Pura Costos'!E943))</f>
        <v>250000</v>
      </c>
      <c r="F943" s="5" t="str">
        <f>+IF('Data Pura Costos'!F943="","",'Data Pura Costos'!F943)</f>
        <v>Malloa</v>
      </c>
      <c r="G943" s="5" t="str">
        <f>+IF('Data Pura Costos'!G943="","",'Data Pura Costos'!G943)</f>
        <v xml:space="preserve">  TRANS. MORROS LTDA.</v>
      </c>
      <c r="H943" s="52" t="str">
        <f>+IF('Data Pura Costos'!H943="","",'Data Pura Costos'!H943)</f>
        <v>Termo</v>
      </c>
      <c r="I943" s="71">
        <f>+IF('Data Pura Costos'!I943="","",'Data Pura Costos'!I943)</f>
        <v>6250</v>
      </c>
      <c r="J943" s="52" t="str">
        <f>+IF('Data Pura Costos'!J943="","",'Data Pura Costos'!J943)</f>
        <v>24-25</v>
      </c>
      <c r="K943" s="82" t="str">
        <f t="shared" si="19"/>
        <v>Las Vertientes-Malloa-  TRANS. MORROS LTDA.</v>
      </c>
    </row>
    <row r="944" spans="2:11" x14ac:dyDescent="0.35">
      <c r="B944" s="4" t="str">
        <f>+IF('Data Pura Costos'!B944="","",'Data Pura Costos'!B944)</f>
        <v>Lihueimo</v>
      </c>
      <c r="C944" s="4" t="str">
        <f>+IF('Data Pura Costos'!C944="","",'Data Pura Costos'!C944)</f>
        <v>Peralillo ohiggins</v>
      </c>
      <c r="D944" s="5">
        <f>+IF('Data Pura Costos'!D944="","",'Data Pura Costos'!D944)</f>
        <v>80</v>
      </c>
      <c r="E944" s="65">
        <f>+IF('Data Pura Costos'!E944="","",IF('Data Pura Costos'!E944=0,MAX('Data Pura Costos'!$E$7:$E$3000)*1000,'Data Pura Costos'!E944))</f>
        <v>290000</v>
      </c>
      <c r="F944" s="5" t="str">
        <f>+IF('Data Pura Costos'!F944="","",'Data Pura Costos'!F944)</f>
        <v>Malloa</v>
      </c>
      <c r="G944" s="5" t="str">
        <f>+IF('Data Pura Costos'!G944="","",'Data Pura Costos'!G944)</f>
        <v xml:space="preserve">  TRANS. MORROS LTDA.</v>
      </c>
      <c r="H944" s="52" t="str">
        <f>+IF('Data Pura Costos'!H944="","",'Data Pura Costos'!H944)</f>
        <v>Termo</v>
      </c>
      <c r="I944" s="71">
        <f>+IF('Data Pura Costos'!I944="","",'Data Pura Costos'!I944)</f>
        <v>3625</v>
      </c>
      <c r="J944" s="52" t="str">
        <f>+IF('Data Pura Costos'!J944="","",'Data Pura Costos'!J944)</f>
        <v>24-25</v>
      </c>
      <c r="K944" s="82" t="str">
        <f t="shared" si="19"/>
        <v>Lihueimo-Malloa-  TRANS. MORROS LTDA.</v>
      </c>
    </row>
    <row r="945" spans="2:11" x14ac:dyDescent="0.35">
      <c r="B945" s="4" t="str">
        <f>+IF('Data Pura Costos'!B945="","",'Data Pura Costos'!B945)</f>
        <v>Los Encinos</v>
      </c>
      <c r="C945" s="4" t="str">
        <f>+IF('Data Pura Costos'!C945="","",'Data Pura Costos'!C945)</f>
        <v>Huechun, RM</v>
      </c>
      <c r="D945" s="5">
        <f>+IF('Data Pura Costos'!D945="","",'Data Pura Costos'!D945)</f>
        <v>145</v>
      </c>
      <c r="E945" s="65">
        <f>+IF('Data Pura Costos'!E945="","",IF('Data Pura Costos'!E945=0,MAX('Data Pura Costos'!$E$7:$E$3000)*1000,'Data Pura Costos'!E945))</f>
        <v>340000</v>
      </c>
      <c r="F945" s="5" t="str">
        <f>+IF('Data Pura Costos'!F945="","",'Data Pura Costos'!F945)</f>
        <v>Malloa</v>
      </c>
      <c r="G945" s="5" t="str">
        <f>+IF('Data Pura Costos'!G945="","",'Data Pura Costos'!G945)</f>
        <v xml:space="preserve">  TRANS. MORROS LTDA.</v>
      </c>
      <c r="H945" s="52" t="str">
        <f>+IF('Data Pura Costos'!H945="","",'Data Pura Costos'!H945)</f>
        <v>Termo</v>
      </c>
      <c r="I945" s="71">
        <f>+IF('Data Pura Costos'!I945="","",'Data Pura Costos'!I945)</f>
        <v>2344.8275862068967</v>
      </c>
      <c r="J945" s="52" t="str">
        <f>+IF('Data Pura Costos'!J945="","",'Data Pura Costos'!J945)</f>
        <v>24-25</v>
      </c>
      <c r="K945" s="82" t="str">
        <f t="shared" si="19"/>
        <v>Los Encinos-Malloa-  TRANS. MORROS LTDA.</v>
      </c>
    </row>
    <row r="946" spans="2:11" x14ac:dyDescent="0.35">
      <c r="B946" s="4" t="str">
        <f>+IF('Data Pura Costos'!B946="","",'Data Pura Costos'!B946)</f>
        <v>Los Maitenes</v>
      </c>
      <c r="C946" s="4" t="str">
        <f>+IF('Data Pura Costos'!C946="","",'Data Pura Costos'!C946)</f>
        <v>Las Cabras, VI región</v>
      </c>
      <c r="D946" s="5">
        <f>+IF('Data Pura Costos'!D946="","",'Data Pura Costos'!D946)</f>
        <v>60</v>
      </c>
      <c r="E946" s="65">
        <f>+IF('Data Pura Costos'!E946="","",IF('Data Pura Costos'!E946=0,MAX('Data Pura Costos'!$E$7:$E$3000)*1000,'Data Pura Costos'!E946))</f>
        <v>240000</v>
      </c>
      <c r="F946" s="5" t="str">
        <f>+IF('Data Pura Costos'!F946="","",'Data Pura Costos'!F946)</f>
        <v>Malloa</v>
      </c>
      <c r="G946" s="5" t="str">
        <f>+IF('Data Pura Costos'!G946="","",'Data Pura Costos'!G946)</f>
        <v xml:space="preserve">  TRANS. MORROS LTDA.</v>
      </c>
      <c r="H946" s="52" t="str">
        <f>+IF('Data Pura Costos'!H946="","",'Data Pura Costos'!H946)</f>
        <v>Termo</v>
      </c>
      <c r="I946" s="71">
        <f>+IF('Data Pura Costos'!I946="","",'Data Pura Costos'!I946)</f>
        <v>4000</v>
      </c>
      <c r="J946" s="52" t="str">
        <f>+IF('Data Pura Costos'!J946="","",'Data Pura Costos'!J946)</f>
        <v>24-25</v>
      </c>
      <c r="K946" s="82" t="str">
        <f t="shared" si="19"/>
        <v>Los Maitenes-Malloa-  TRANS. MORROS LTDA.</v>
      </c>
    </row>
    <row r="947" spans="2:11" x14ac:dyDescent="0.35">
      <c r="B947" s="4" t="str">
        <f>+IF('Data Pura Costos'!B947="","",'Data Pura Costos'!B947)</f>
        <v>Los Toldos</v>
      </c>
      <c r="C947" s="4" t="str">
        <f>+IF('Data Pura Costos'!C947="","",'Data Pura Costos'!C947)</f>
        <v>Angol, IX región</v>
      </c>
      <c r="D947" s="5">
        <f>+IF('Data Pura Costos'!D947="","",'Data Pura Costos'!D947)</f>
        <v>50</v>
      </c>
      <c r="E947" s="65">
        <f>+IF('Data Pura Costos'!E947="","",IF('Data Pura Costos'!E947=0,MAX('Data Pura Costos'!$E$7:$E$3000)*1000,'Data Pura Costos'!E947))</f>
        <v>1100000</v>
      </c>
      <c r="F947" s="5" t="str">
        <f>+IF('Data Pura Costos'!F947="","",'Data Pura Costos'!F947)</f>
        <v>Malloa</v>
      </c>
      <c r="G947" s="5" t="str">
        <f>+IF('Data Pura Costos'!G947="","",'Data Pura Costos'!G947)</f>
        <v xml:space="preserve">  TRANS. MORROS LTDA.</v>
      </c>
      <c r="H947" s="52" t="str">
        <f>+IF('Data Pura Costos'!H947="","",'Data Pura Costos'!H947)</f>
        <v>Termo</v>
      </c>
      <c r="I947" s="71">
        <f>+IF('Data Pura Costos'!I947="","",'Data Pura Costos'!I947)</f>
        <v>22000</v>
      </c>
      <c r="J947" s="52" t="str">
        <f>+IF('Data Pura Costos'!J947="","",'Data Pura Costos'!J947)</f>
        <v>24-25</v>
      </c>
      <c r="K947" s="82" t="str">
        <f t="shared" si="19"/>
        <v>Los Toldos-Malloa-  TRANS. MORROS LTDA.</v>
      </c>
    </row>
    <row r="948" spans="2:11" x14ac:dyDescent="0.35">
      <c r="B948" s="4" t="str">
        <f>+IF('Data Pura Costos'!B948="","",'Data Pura Costos'!B948)</f>
        <v>Mallorca</v>
      </c>
      <c r="C948" s="4" t="str">
        <f>+IF('Data Pura Costos'!C948="","",'Data Pura Costos'!C948)</f>
        <v xml:space="preserve">Molina, VII región </v>
      </c>
      <c r="D948" s="5">
        <f>+IF('Data Pura Costos'!D948="","",'Data Pura Costos'!D948)</f>
        <v>95</v>
      </c>
      <c r="E948" s="65">
        <f>+IF('Data Pura Costos'!E948="","",IF('Data Pura Costos'!E948=0,MAX('Data Pura Costos'!$E$7:$E$3000)*1000,'Data Pura Costos'!E948))</f>
        <v>290000</v>
      </c>
      <c r="F948" s="5" t="str">
        <f>+IF('Data Pura Costos'!F948="","",'Data Pura Costos'!F948)</f>
        <v>Malloa</v>
      </c>
      <c r="G948" s="5" t="str">
        <f>+IF('Data Pura Costos'!G948="","",'Data Pura Costos'!G948)</f>
        <v xml:space="preserve">  TRANS. MORROS LTDA.</v>
      </c>
      <c r="H948" s="52" t="str">
        <f>+IF('Data Pura Costos'!H948="","",'Data Pura Costos'!H948)</f>
        <v>Termo</v>
      </c>
      <c r="I948" s="71">
        <f>+IF('Data Pura Costos'!I948="","",'Data Pura Costos'!I948)</f>
        <v>3052.6315789473683</v>
      </c>
      <c r="J948" s="52" t="str">
        <f>+IF('Data Pura Costos'!J948="","",'Data Pura Costos'!J948)</f>
        <v>24-25</v>
      </c>
      <c r="K948" s="82" t="str">
        <f t="shared" si="19"/>
        <v>Mallorca-Malloa-  TRANS. MORROS LTDA.</v>
      </c>
    </row>
    <row r="949" spans="2:11" x14ac:dyDescent="0.35">
      <c r="B949" s="4" t="str">
        <f>+IF('Data Pura Costos'!B949="","",'Data Pura Costos'!B949)</f>
        <v>Panquehue</v>
      </c>
      <c r="C949" s="4" t="str">
        <f>+IF('Data Pura Costos'!C949="","",'Data Pura Costos'!C949)</f>
        <v>Panquehue, V región</v>
      </c>
      <c r="D949" s="5">
        <f>+IF('Data Pura Costos'!D949="","",'Data Pura Costos'!D949)</f>
        <v>230</v>
      </c>
      <c r="E949" s="65">
        <f>+IF('Data Pura Costos'!E949="","",IF('Data Pura Costos'!E949=0,MAX('Data Pura Costos'!$E$7:$E$3000)*1000,'Data Pura Costos'!E949))</f>
        <v>440000</v>
      </c>
      <c r="F949" s="5" t="str">
        <f>+IF('Data Pura Costos'!F949="","",'Data Pura Costos'!F949)</f>
        <v>Malloa</v>
      </c>
      <c r="G949" s="5" t="str">
        <f>+IF('Data Pura Costos'!G949="","",'Data Pura Costos'!G949)</f>
        <v xml:space="preserve">  TRANS. MORROS LTDA.</v>
      </c>
      <c r="H949" s="52" t="str">
        <f>+IF('Data Pura Costos'!H949="","",'Data Pura Costos'!H949)</f>
        <v>Termo</v>
      </c>
      <c r="I949" s="71">
        <f>+IF('Data Pura Costos'!I949="","",'Data Pura Costos'!I949)</f>
        <v>1913.0434782608695</v>
      </c>
      <c r="J949" s="52" t="str">
        <f>+IF('Data Pura Costos'!J949="","",'Data Pura Costos'!J949)</f>
        <v>24-25</v>
      </c>
      <c r="K949" s="82" t="str">
        <f t="shared" si="19"/>
        <v>Panquehue-Malloa-  TRANS. MORROS LTDA.</v>
      </c>
    </row>
    <row r="950" spans="2:11" x14ac:dyDescent="0.35">
      <c r="B950" s="4" t="str">
        <f>+IF('Data Pura Costos'!B950="","",'Data Pura Costos'!B950)</f>
        <v>Entre Rios/Puente Negro/Rio Claro</v>
      </c>
      <c r="C950" s="4" t="str">
        <f>+IF('Data Pura Costos'!C950="","",'Data Pura Costos'!C950)</f>
        <v>Puente negro, san fernando.VI Region.</v>
      </c>
      <c r="D950" s="5">
        <f>+IF('Data Pura Costos'!D950="","",'Data Pura Costos'!D950)</f>
        <v>50</v>
      </c>
      <c r="E950" s="65">
        <f>+IF('Data Pura Costos'!E950="","",IF('Data Pura Costos'!E950=0,MAX('Data Pura Costos'!$E$7:$E$3000)*1000,'Data Pura Costos'!E950))</f>
        <v>240000</v>
      </c>
      <c r="F950" s="5" t="str">
        <f>+IF('Data Pura Costos'!F950="","",'Data Pura Costos'!F950)</f>
        <v>Malloa</v>
      </c>
      <c r="G950" s="5" t="str">
        <f>+IF('Data Pura Costos'!G950="","",'Data Pura Costos'!G950)</f>
        <v xml:space="preserve">  TRANS. MORROS LTDA.</v>
      </c>
      <c r="H950" s="52" t="str">
        <f>+IF('Data Pura Costos'!H950="","",'Data Pura Costos'!H950)</f>
        <v>Termo</v>
      </c>
      <c r="I950" s="71">
        <f>+IF('Data Pura Costos'!I950="","",'Data Pura Costos'!I950)</f>
        <v>4800</v>
      </c>
      <c r="J950" s="52" t="str">
        <f>+IF('Data Pura Costos'!J950="","",'Data Pura Costos'!J950)</f>
        <v>24-25</v>
      </c>
      <c r="K950" s="82" t="str">
        <f t="shared" si="19"/>
        <v>Entre Rios/Puente Negro/Rio Claro-Malloa-  TRANS. MORROS LTDA.</v>
      </c>
    </row>
    <row r="951" spans="2:11" x14ac:dyDescent="0.35">
      <c r="B951" s="4" t="str">
        <f>+IF('Data Pura Costos'!B951="","",'Data Pura Costos'!B951)</f>
        <v>Retorno</v>
      </c>
      <c r="C951" s="4" t="str">
        <f>+IF('Data Pura Costos'!C951="","",'Data Pura Costos'!C951)</f>
        <v>Santa maria, V región</v>
      </c>
      <c r="D951" s="5">
        <f>+IF('Data Pura Costos'!D951="","",'Data Pura Costos'!D951)</f>
        <v>225</v>
      </c>
      <c r="E951" s="65">
        <f>+IF('Data Pura Costos'!E951="","",IF('Data Pura Costos'!E951=0,MAX('Data Pura Costos'!$E$7:$E$3000)*1000,'Data Pura Costos'!E951))</f>
        <v>400000</v>
      </c>
      <c r="F951" s="5" t="str">
        <f>+IF('Data Pura Costos'!F951="","",'Data Pura Costos'!F951)</f>
        <v>Malloa</v>
      </c>
      <c r="G951" s="5" t="str">
        <f>+IF('Data Pura Costos'!G951="","",'Data Pura Costos'!G951)</f>
        <v xml:space="preserve">  TRANS. MORROS LTDA.</v>
      </c>
      <c r="H951" s="52" t="str">
        <f>+IF('Data Pura Costos'!H951="","",'Data Pura Costos'!H951)</f>
        <v>Termo</v>
      </c>
      <c r="I951" s="71">
        <f>+IF('Data Pura Costos'!I951="","",'Data Pura Costos'!I951)</f>
        <v>1777.7777777777778</v>
      </c>
      <c r="J951" s="52" t="str">
        <f>+IF('Data Pura Costos'!J951="","",'Data Pura Costos'!J951)</f>
        <v>24-25</v>
      </c>
      <c r="K951" s="82" t="str">
        <f t="shared" si="19"/>
        <v>Retorno-Malloa-  TRANS. MORROS LTDA.</v>
      </c>
    </row>
    <row r="952" spans="2:11" x14ac:dyDescent="0.35">
      <c r="B952" s="4" t="str">
        <f>+IF('Data Pura Costos'!B952="","",'Data Pura Costos'!B952)</f>
        <v>San Hernán</v>
      </c>
      <c r="C952" s="4" t="str">
        <f>+IF('Data Pura Costos'!C952="","",'Data Pura Costos'!C952)</f>
        <v>Graneros, VI región</v>
      </c>
      <c r="D952" s="5">
        <f>+IF('Data Pura Costos'!D952="","",'Data Pura Costos'!D952)</f>
        <v>60</v>
      </c>
      <c r="E952" s="65">
        <f>+IF('Data Pura Costos'!E952="","",IF('Data Pura Costos'!E952=0,MAX('Data Pura Costos'!$E$7:$E$3000)*1000,'Data Pura Costos'!E952))</f>
        <v>240000</v>
      </c>
      <c r="F952" s="5" t="str">
        <f>+IF('Data Pura Costos'!F952="","",'Data Pura Costos'!F952)</f>
        <v>Malloa</v>
      </c>
      <c r="G952" s="5" t="str">
        <f>+IF('Data Pura Costos'!G952="","",'Data Pura Costos'!G952)</f>
        <v xml:space="preserve">  TRANS. MORROS LTDA.</v>
      </c>
      <c r="H952" s="52" t="str">
        <f>+IF('Data Pura Costos'!H952="","",'Data Pura Costos'!H952)</f>
        <v>Termo</v>
      </c>
      <c r="I952" s="71">
        <f>+IF('Data Pura Costos'!I952="","",'Data Pura Costos'!I952)</f>
        <v>4000</v>
      </c>
      <c r="J952" s="52" t="str">
        <f>+IF('Data Pura Costos'!J952="","",'Data Pura Costos'!J952)</f>
        <v>24-25</v>
      </c>
      <c r="K952" s="82" t="str">
        <f t="shared" si="19"/>
        <v>San Hernán-Malloa-  TRANS. MORROS LTDA.</v>
      </c>
    </row>
    <row r="953" spans="2:11" x14ac:dyDescent="0.35">
      <c r="B953" s="4" t="str">
        <f>+IF('Data Pura Costos'!B953="","",'Data Pura Costos'!B953)</f>
        <v>Santa Mónica</v>
      </c>
      <c r="C953" s="4" t="str">
        <f>+IF('Data Pura Costos'!C953="","",'Data Pura Costos'!C953)</f>
        <v xml:space="preserve">Rancagua, sector Chancón, VI región </v>
      </c>
      <c r="D953" s="5">
        <f>+IF('Data Pura Costos'!D953="","",'Data Pura Costos'!D953)</f>
        <v>55</v>
      </c>
      <c r="E953" s="65">
        <f>+IF('Data Pura Costos'!E953="","",IF('Data Pura Costos'!E953=0,MAX('Data Pura Costos'!$E$7:$E$3000)*1000,'Data Pura Costos'!E953))</f>
        <v>240000</v>
      </c>
      <c r="F953" s="5" t="str">
        <f>+IF('Data Pura Costos'!F953="","",'Data Pura Costos'!F953)</f>
        <v>Malloa</v>
      </c>
      <c r="G953" s="5" t="str">
        <f>+IF('Data Pura Costos'!G953="","",'Data Pura Costos'!G953)</f>
        <v xml:space="preserve">  TRANS. MORROS LTDA.</v>
      </c>
      <c r="H953" s="52" t="str">
        <f>+IF('Data Pura Costos'!H953="","",'Data Pura Costos'!H953)</f>
        <v>Termo</v>
      </c>
      <c r="I953" s="71">
        <f>+IF('Data Pura Costos'!I953="","",'Data Pura Costos'!I953)</f>
        <v>4363.636363636364</v>
      </c>
      <c r="J953" s="52" t="str">
        <f>+IF('Data Pura Costos'!J953="","",'Data Pura Costos'!J953)</f>
        <v>24-25</v>
      </c>
      <c r="K953" s="82" t="str">
        <f t="shared" si="19"/>
        <v>Santa Mónica-Malloa-  TRANS. MORROS LTDA.</v>
      </c>
    </row>
    <row r="954" spans="2:11" x14ac:dyDescent="0.35">
      <c r="B954" s="4" t="str">
        <f>+IF('Data Pura Costos'!B954="","",'Data Pura Costos'!B954)</f>
        <v>Talhuén</v>
      </c>
      <c r="C954" s="4" t="str">
        <f>+IF('Data Pura Costos'!C954="","",'Data Pura Costos'!C954)</f>
        <v>Palmilla, VI región</v>
      </c>
      <c r="D954" s="5">
        <f>+IF('Data Pura Costos'!D954="","",'Data Pura Costos'!D954)</f>
        <v>60</v>
      </c>
      <c r="E954" s="65">
        <f>+IF('Data Pura Costos'!E954="","",IF('Data Pura Costos'!E954=0,MAX('Data Pura Costos'!$E$7:$E$3000)*1000,'Data Pura Costos'!E954))</f>
        <v>240000</v>
      </c>
      <c r="F954" s="5" t="str">
        <f>+IF('Data Pura Costos'!F954="","",'Data Pura Costos'!F954)</f>
        <v>Malloa</v>
      </c>
      <c r="G954" s="5" t="str">
        <f>+IF('Data Pura Costos'!G954="","",'Data Pura Costos'!G954)</f>
        <v xml:space="preserve">  TRANS. MORROS LTDA.</v>
      </c>
      <c r="H954" s="52" t="str">
        <f>+IF('Data Pura Costos'!H954="","",'Data Pura Costos'!H954)</f>
        <v>Termo</v>
      </c>
      <c r="I954" s="71">
        <f>+IF('Data Pura Costos'!I954="","",'Data Pura Costos'!I954)</f>
        <v>4000</v>
      </c>
      <c r="J954" s="52" t="str">
        <f>+IF('Data Pura Costos'!J954="","",'Data Pura Costos'!J954)</f>
        <v>24-25</v>
      </c>
      <c r="K954" s="82" t="str">
        <f t="shared" si="19"/>
        <v>Talhuén-Malloa-  TRANS. MORROS LTDA.</v>
      </c>
    </row>
    <row r="955" spans="2:11" x14ac:dyDescent="0.35">
      <c r="B955" s="4" t="str">
        <f>+IF('Data Pura Costos'!B955="","",'Data Pura Costos'!B955)</f>
        <v>Villaseca</v>
      </c>
      <c r="C955" s="4" t="str">
        <f>+IF('Data Pura Costos'!C955="","",'Data Pura Costos'!C955)</f>
        <v>Retiro, VII reginón</v>
      </c>
      <c r="D955" s="5">
        <f>+IF('Data Pura Costos'!D955="","",'Data Pura Costos'!D955)</f>
        <v>250</v>
      </c>
      <c r="E955" s="65">
        <f>+IF('Data Pura Costos'!E955="","",IF('Data Pura Costos'!E955=0,MAX('Data Pura Costos'!$E$7:$E$3000)*1000,'Data Pura Costos'!E955))</f>
        <v>487200</v>
      </c>
      <c r="F955" s="5" t="str">
        <f>+IF('Data Pura Costos'!F955="","",'Data Pura Costos'!F955)</f>
        <v>Malloa</v>
      </c>
      <c r="G955" s="5" t="str">
        <f>+IF('Data Pura Costos'!G955="","",'Data Pura Costos'!G955)</f>
        <v xml:space="preserve">  TRANS. MORROS LTDA.</v>
      </c>
      <c r="H955" s="52" t="str">
        <f>+IF('Data Pura Costos'!H955="","",'Data Pura Costos'!H955)</f>
        <v>Termo</v>
      </c>
      <c r="I955" s="71">
        <f>+IF('Data Pura Costos'!I955="","",'Data Pura Costos'!I955)</f>
        <v>1948.8</v>
      </c>
      <c r="J955" s="52" t="str">
        <f>+IF('Data Pura Costos'!J955="","",'Data Pura Costos'!J955)</f>
        <v>24-25</v>
      </c>
      <c r="K955" s="82" t="str">
        <f t="shared" si="19"/>
        <v>Villaseca-Malloa-  TRANS. MORROS LTDA.</v>
      </c>
    </row>
    <row r="956" spans="2:11" x14ac:dyDescent="0.35">
      <c r="B956" s="4" t="str">
        <f>+IF('Data Pura Costos'!B956="","",'Data Pura Costos'!B956)</f>
        <v>Almahue</v>
      </c>
      <c r="C956" s="4" t="str">
        <f>+IF('Data Pura Costos'!C956="","",'Data Pura Costos'!C956)</f>
        <v>Pichidegua, VI región</v>
      </c>
      <c r="D956" s="5">
        <f>+IF('Data Pura Costos'!D956="","",'Data Pura Costos'!D956)</f>
        <v>108</v>
      </c>
      <c r="E956" s="65">
        <f>+IF('Data Pura Costos'!E956="","",IF('Data Pura Costos'!E956=0,MAX('Data Pura Costos'!$E$7:$E$3000)*1000,'Data Pura Costos'!E956))</f>
        <v>475200</v>
      </c>
      <c r="F956" s="5" t="str">
        <f>+IF('Data Pura Costos'!F956="","",'Data Pura Costos'!F956)</f>
        <v>Mostazal</v>
      </c>
      <c r="G956" s="5" t="str">
        <f>+IF('Data Pura Costos'!G956="","",'Data Pura Costos'!G956)</f>
        <v xml:space="preserve">ARIEL VARGAS </v>
      </c>
      <c r="H956" s="52" t="str">
        <f>+IF('Data Pura Costos'!H956="","",'Data Pura Costos'!H956)</f>
        <v>Termo</v>
      </c>
      <c r="I956" s="71">
        <f>+IF('Data Pura Costos'!I956="","",'Data Pura Costos'!I956)</f>
        <v>4400</v>
      </c>
      <c r="J956" s="52" t="str">
        <f>+IF('Data Pura Costos'!J956="","",'Data Pura Costos'!J956)</f>
        <v>24-25</v>
      </c>
      <c r="K956" s="82" t="str">
        <f t="shared" ref="K956:K1019" si="20">+IF(B956="","",CONCATENATE(B956,"-",F956,"-",G956))</f>
        <v xml:space="preserve">Almahue-Mostazal-ARIEL VARGAS </v>
      </c>
    </row>
    <row r="957" spans="2:11" x14ac:dyDescent="0.35">
      <c r="B957" s="4" t="str">
        <f>+IF('Data Pura Costos'!B957="","",'Data Pura Costos'!B957)</f>
        <v>Bodega</v>
      </c>
      <c r="C957" s="4" t="str">
        <f>+IF('Data Pura Costos'!C957="","",'Data Pura Costos'!C957)</f>
        <v>Linares, VII region.</v>
      </c>
      <c r="D957" s="5">
        <f>+IF('Data Pura Costos'!D957="","",'Data Pura Costos'!D957)</f>
        <v>264</v>
      </c>
      <c r="E957" s="65">
        <f>+IF('Data Pura Costos'!E957="","",IF('Data Pura Costos'!E957=0,MAX('Data Pura Costos'!$E$7:$E$3000)*1000,'Data Pura Costos'!E957))</f>
        <v>1161600</v>
      </c>
      <c r="F957" s="5" t="str">
        <f>+IF('Data Pura Costos'!F957="","",'Data Pura Costos'!F957)</f>
        <v>Mostazal</v>
      </c>
      <c r="G957" s="5" t="str">
        <f>+IF('Data Pura Costos'!G957="","",'Data Pura Costos'!G957)</f>
        <v xml:space="preserve">ARIEL VARGAS </v>
      </c>
      <c r="H957" s="52" t="str">
        <f>+IF('Data Pura Costos'!H957="","",'Data Pura Costos'!H957)</f>
        <v>Termo</v>
      </c>
      <c r="I957" s="71">
        <f>+IF('Data Pura Costos'!I957="","",'Data Pura Costos'!I957)</f>
        <v>4400</v>
      </c>
      <c r="J957" s="52" t="str">
        <f>+IF('Data Pura Costos'!J957="","",'Data Pura Costos'!J957)</f>
        <v>24-25</v>
      </c>
      <c r="K957" s="82" t="str">
        <f t="shared" si="20"/>
        <v xml:space="preserve">Bodega-Mostazal-ARIEL VARGAS </v>
      </c>
    </row>
    <row r="958" spans="2:11" x14ac:dyDescent="0.35">
      <c r="B958" s="4" t="str">
        <f>+IF('Data Pura Costos'!B958="","",'Data Pura Costos'!B958)</f>
        <v xml:space="preserve">Caliboro </v>
      </c>
      <c r="C958" s="4" t="str">
        <f>+IF('Data Pura Costos'!C958="","",'Data Pura Costos'!C958)</f>
        <v>San Javier, VII región</v>
      </c>
      <c r="D958" s="5">
        <f>+IF('Data Pura Costos'!D958="","",'Data Pura Costos'!D958)</f>
        <v>258</v>
      </c>
      <c r="E958" s="65">
        <f>+IF('Data Pura Costos'!E958="","",IF('Data Pura Costos'!E958=0,MAX('Data Pura Costos'!$E$7:$E$3000)*1000,'Data Pura Costos'!E958))</f>
        <v>1100000</v>
      </c>
      <c r="F958" s="5" t="str">
        <f>+IF('Data Pura Costos'!F958="","",'Data Pura Costos'!F958)</f>
        <v>Mostazal</v>
      </c>
      <c r="G958" s="5" t="str">
        <f>+IF('Data Pura Costos'!G958="","",'Data Pura Costos'!G958)</f>
        <v xml:space="preserve">ARIEL VARGAS </v>
      </c>
      <c r="H958" s="52" t="str">
        <f>+IF('Data Pura Costos'!H958="","",'Data Pura Costos'!H958)</f>
        <v>Termo</v>
      </c>
      <c r="I958" s="71">
        <f>+IF('Data Pura Costos'!I958="","",'Data Pura Costos'!I958)</f>
        <v>4263.5658914728683</v>
      </c>
      <c r="J958" s="52" t="str">
        <f>+IF('Data Pura Costos'!J958="","",'Data Pura Costos'!J958)</f>
        <v>24-25</v>
      </c>
      <c r="K958" s="82" t="str">
        <f t="shared" si="20"/>
        <v xml:space="preserve">Caliboro -Mostazal-ARIEL VARGAS </v>
      </c>
    </row>
    <row r="959" spans="2:11" x14ac:dyDescent="0.35">
      <c r="B959" s="4" t="str">
        <f>+IF('Data Pura Costos'!B959="","",'Data Pura Costos'!B959)</f>
        <v>Calleuque</v>
      </c>
      <c r="C959" s="4" t="str">
        <f>+IF('Data Pura Costos'!C959="","",'Data Pura Costos'!C959)</f>
        <v>Peralillo ohiggins, VI región</v>
      </c>
      <c r="D959" s="5">
        <f>+IF('Data Pura Costos'!D959="","",'Data Pura Costos'!D959)</f>
        <v>143</v>
      </c>
      <c r="E959" s="65">
        <f>+IF('Data Pura Costos'!E959="","",IF('Data Pura Costos'!E959=0,MAX('Data Pura Costos'!$E$7:$E$3000)*1000,'Data Pura Costos'!E959))</f>
        <v>629200</v>
      </c>
      <c r="F959" s="5" t="str">
        <f>+IF('Data Pura Costos'!F959="","",'Data Pura Costos'!F959)</f>
        <v>Mostazal</v>
      </c>
      <c r="G959" s="5" t="str">
        <f>+IF('Data Pura Costos'!G959="","",'Data Pura Costos'!G959)</f>
        <v xml:space="preserve">ARIEL VARGAS </v>
      </c>
      <c r="H959" s="52" t="str">
        <f>+IF('Data Pura Costos'!H959="","",'Data Pura Costos'!H959)</f>
        <v>Termo</v>
      </c>
      <c r="I959" s="71">
        <f>+IF('Data Pura Costos'!I959="","",'Data Pura Costos'!I959)</f>
        <v>4400</v>
      </c>
      <c r="J959" s="52" t="str">
        <f>+IF('Data Pura Costos'!J959="","",'Data Pura Costos'!J959)</f>
        <v>24-25</v>
      </c>
      <c r="K959" s="82" t="str">
        <f t="shared" si="20"/>
        <v xml:space="preserve">Calleuque-Mostazal-ARIEL VARGAS </v>
      </c>
    </row>
    <row r="960" spans="2:11" x14ac:dyDescent="0.35">
      <c r="B960" s="4" t="str">
        <f>+IF('Data Pura Costos'!B960="","",'Data Pura Costos'!B960)</f>
        <v>Chumpirro</v>
      </c>
      <c r="C960" s="4" t="str">
        <f>+IF('Data Pura Costos'!C960="","",'Data Pura Costos'!C960)</f>
        <v>Angol, IX región</v>
      </c>
      <c r="D960" s="5">
        <f>+IF('Data Pura Costos'!D960="","",'Data Pura Costos'!D960)</f>
        <v>499</v>
      </c>
      <c r="E960" s="65">
        <f>+IF('Data Pura Costos'!E960="","",IF('Data Pura Costos'!E960=0,MAX('Data Pura Costos'!$E$7:$E$3000)*1000,'Data Pura Costos'!E960))</f>
        <v>2195600</v>
      </c>
      <c r="F960" s="5" t="str">
        <f>+IF('Data Pura Costos'!F960="","",'Data Pura Costos'!F960)</f>
        <v>Mostazal</v>
      </c>
      <c r="G960" s="5" t="str">
        <f>+IF('Data Pura Costos'!G960="","",'Data Pura Costos'!G960)</f>
        <v xml:space="preserve">ARIEL VARGAS </v>
      </c>
      <c r="H960" s="52" t="str">
        <f>+IF('Data Pura Costos'!H960="","",'Data Pura Costos'!H960)</f>
        <v>Termo</v>
      </c>
      <c r="I960" s="71">
        <f>+IF('Data Pura Costos'!I960="","",'Data Pura Costos'!I960)</f>
        <v>4400</v>
      </c>
      <c r="J960" s="52" t="str">
        <f>+IF('Data Pura Costos'!J960="","",'Data Pura Costos'!J960)</f>
        <v>24-25</v>
      </c>
      <c r="K960" s="82" t="str">
        <f t="shared" si="20"/>
        <v xml:space="preserve">Chumpirro-Mostazal-ARIEL VARGAS </v>
      </c>
    </row>
    <row r="961" spans="2:11" x14ac:dyDescent="0.35">
      <c r="B961" s="4" t="str">
        <f>+IF('Data Pura Costos'!B961="","",'Data Pura Costos'!B961)</f>
        <v xml:space="preserve"> Cocalán</v>
      </c>
      <c r="C961" s="4" t="str">
        <f>+IF('Data Pura Costos'!C961="","",'Data Pura Costos'!C961)</f>
        <v>Cocalán, VI región</v>
      </c>
      <c r="D961" s="5">
        <f>+IF('Data Pura Costos'!D961="","",'Data Pura Costos'!D961)</f>
        <v>113</v>
      </c>
      <c r="E961" s="65">
        <f>+IF('Data Pura Costos'!E961="","",IF('Data Pura Costos'!E961=0,MAX('Data Pura Costos'!$E$7:$E$3000)*1000,'Data Pura Costos'!E961))</f>
        <v>497200</v>
      </c>
      <c r="F961" s="5" t="str">
        <f>+IF('Data Pura Costos'!F961="","",'Data Pura Costos'!F961)</f>
        <v>Mostazal</v>
      </c>
      <c r="G961" s="5" t="str">
        <f>+IF('Data Pura Costos'!G961="","",'Data Pura Costos'!G961)</f>
        <v xml:space="preserve">ARIEL VARGAS </v>
      </c>
      <c r="H961" s="52" t="str">
        <f>+IF('Data Pura Costos'!H961="","",'Data Pura Costos'!H961)</f>
        <v>Termo</v>
      </c>
      <c r="I961" s="71">
        <f>+IF('Data Pura Costos'!I961="","",'Data Pura Costos'!I961)</f>
        <v>4400</v>
      </c>
      <c r="J961" s="52" t="str">
        <f>+IF('Data Pura Costos'!J961="","",'Data Pura Costos'!J961)</f>
        <v>24-25</v>
      </c>
      <c r="K961" s="82" t="str">
        <f t="shared" si="20"/>
        <v xml:space="preserve"> Cocalán-Mostazal-ARIEL VARGAS </v>
      </c>
    </row>
    <row r="962" spans="2:11" x14ac:dyDescent="0.35">
      <c r="B962" s="4" t="str">
        <f>+IF('Data Pura Costos'!B962="","",'Data Pura Costos'!B962)</f>
        <v>El Cóndor</v>
      </c>
      <c r="C962" s="4" t="str">
        <f>+IF('Data Pura Costos'!C962="","",'Data Pura Costos'!C962)</f>
        <v>Chimbarongo, VI Region.</v>
      </c>
      <c r="D962" s="5">
        <f>+IF('Data Pura Costos'!D962="","",'Data Pura Costos'!D962)</f>
        <v>150</v>
      </c>
      <c r="E962" s="65">
        <f>+IF('Data Pura Costos'!E962="","",IF('Data Pura Costos'!E962=0,MAX('Data Pura Costos'!$E$7:$E$3000)*1000,'Data Pura Costos'!E962))</f>
        <v>660000</v>
      </c>
      <c r="F962" s="5" t="str">
        <f>+IF('Data Pura Costos'!F962="","",'Data Pura Costos'!F962)</f>
        <v>Mostazal</v>
      </c>
      <c r="G962" s="5" t="str">
        <f>+IF('Data Pura Costos'!G962="","",'Data Pura Costos'!G962)</f>
        <v xml:space="preserve">ARIEL VARGAS </v>
      </c>
      <c r="H962" s="52" t="str">
        <f>+IF('Data Pura Costos'!H962="","",'Data Pura Costos'!H962)</f>
        <v>Termo</v>
      </c>
      <c r="I962" s="71">
        <f>+IF('Data Pura Costos'!I962="","",'Data Pura Costos'!I962)</f>
        <v>4400</v>
      </c>
      <c r="J962" s="52" t="str">
        <f>+IF('Data Pura Costos'!J962="","",'Data Pura Costos'!J962)</f>
        <v>24-25</v>
      </c>
      <c r="K962" s="82" t="str">
        <f t="shared" si="20"/>
        <v xml:space="preserve">El Cóndor-Mostazal-ARIEL VARGAS </v>
      </c>
    </row>
    <row r="963" spans="2:11" x14ac:dyDescent="0.35">
      <c r="B963" s="4" t="str">
        <f>+IF('Data Pura Costos'!B963="","",'Data Pura Costos'!B963)</f>
        <v>El Descanso</v>
      </c>
      <c r="C963" s="4" t="str">
        <f>+IF('Data Pura Costos'!C963="","",'Data Pura Costos'!C963)</f>
        <v>Sagrada Familia, VII región</v>
      </c>
      <c r="D963" s="5">
        <f>+IF('Data Pura Costos'!D963="","",'Data Pura Costos'!D963)</f>
        <v>240</v>
      </c>
      <c r="E963" s="65">
        <f>+IF('Data Pura Costos'!E963="","",IF('Data Pura Costos'!E963=0,MAX('Data Pura Costos'!$E$7:$E$3000)*1000,'Data Pura Costos'!E963))</f>
        <v>1056000</v>
      </c>
      <c r="F963" s="5" t="str">
        <f>+IF('Data Pura Costos'!F963="","",'Data Pura Costos'!F963)</f>
        <v>Mostazal</v>
      </c>
      <c r="G963" s="5" t="str">
        <f>+IF('Data Pura Costos'!G963="","",'Data Pura Costos'!G963)</f>
        <v xml:space="preserve">ARIEL VARGAS </v>
      </c>
      <c r="H963" s="52" t="str">
        <f>+IF('Data Pura Costos'!H963="","",'Data Pura Costos'!H963)</f>
        <v>Termo</v>
      </c>
      <c r="I963" s="71">
        <f>+IF('Data Pura Costos'!I963="","",'Data Pura Costos'!I963)</f>
        <v>4400</v>
      </c>
      <c r="J963" s="52" t="str">
        <f>+IF('Data Pura Costos'!J963="","",'Data Pura Costos'!J963)</f>
        <v>24-25</v>
      </c>
      <c r="K963" s="82" t="str">
        <f t="shared" si="20"/>
        <v xml:space="preserve">El Descanso-Mostazal-ARIEL VARGAS </v>
      </c>
    </row>
    <row r="964" spans="2:11" x14ac:dyDescent="0.35">
      <c r="B964" s="4" t="str">
        <f>+IF('Data Pura Costos'!B964="","",'Data Pura Costos'!B964)</f>
        <v>El Espino</v>
      </c>
      <c r="C964" s="4" t="str">
        <f>+IF('Data Pura Costos'!C964="","",'Data Pura Costos'!C964)</f>
        <v>Colbún, VII región</v>
      </c>
      <c r="D964" s="5">
        <f>+IF('Data Pura Costos'!D964="","",'Data Pura Costos'!D964)</f>
        <v>240</v>
      </c>
      <c r="E964" s="65">
        <f>+IF('Data Pura Costos'!E964="","",IF('Data Pura Costos'!E964=0,MAX('Data Pura Costos'!$E$7:$E$3000)*1000,'Data Pura Costos'!E964))</f>
        <v>1056000</v>
      </c>
      <c r="F964" s="5" t="str">
        <f>+IF('Data Pura Costos'!F964="","",'Data Pura Costos'!F964)</f>
        <v>Mostazal</v>
      </c>
      <c r="G964" s="5" t="str">
        <f>+IF('Data Pura Costos'!G964="","",'Data Pura Costos'!G964)</f>
        <v xml:space="preserve">ARIEL VARGAS </v>
      </c>
      <c r="H964" s="52" t="str">
        <f>+IF('Data Pura Costos'!H964="","",'Data Pura Costos'!H964)</f>
        <v>Termo</v>
      </c>
      <c r="I964" s="71">
        <f>+IF('Data Pura Costos'!I964="","",'Data Pura Costos'!I964)</f>
        <v>4400</v>
      </c>
      <c r="J964" s="52" t="str">
        <f>+IF('Data Pura Costos'!J964="","",'Data Pura Costos'!J964)</f>
        <v>24-25</v>
      </c>
      <c r="K964" s="82" t="str">
        <f t="shared" si="20"/>
        <v xml:space="preserve">El Espino-Mostazal-ARIEL VARGAS </v>
      </c>
    </row>
    <row r="965" spans="2:11" x14ac:dyDescent="0.35">
      <c r="B965" s="4" t="str">
        <f>+IF('Data Pura Costos'!B965="","",'Data Pura Costos'!B965)</f>
        <v>El Huaico</v>
      </c>
      <c r="C965" s="4" t="str">
        <f>+IF('Data Pura Costos'!C965="","",'Data Pura Costos'!C965)</f>
        <v>Palmila Ohiggins</v>
      </c>
      <c r="D965" s="5">
        <f>+IF('Data Pura Costos'!D965="","",'Data Pura Costos'!D965)</f>
        <v>124</v>
      </c>
      <c r="E965" s="65">
        <f>+IF('Data Pura Costos'!E965="","",IF('Data Pura Costos'!E965=0,MAX('Data Pura Costos'!$E$7:$E$3000)*1000,'Data Pura Costos'!E965))</f>
        <v>545600</v>
      </c>
      <c r="F965" s="5" t="str">
        <f>+IF('Data Pura Costos'!F965="","",'Data Pura Costos'!F965)</f>
        <v>Mostazal</v>
      </c>
      <c r="G965" s="5" t="str">
        <f>+IF('Data Pura Costos'!G965="","",'Data Pura Costos'!G965)</f>
        <v xml:space="preserve">ARIEL VARGAS </v>
      </c>
      <c r="H965" s="52" t="str">
        <f>+IF('Data Pura Costos'!H965="","",'Data Pura Costos'!H965)</f>
        <v>Termo</v>
      </c>
      <c r="I965" s="71">
        <f>+IF('Data Pura Costos'!I965="","",'Data Pura Costos'!I965)</f>
        <v>4400</v>
      </c>
      <c r="J965" s="52" t="str">
        <f>+IF('Data Pura Costos'!J965="","",'Data Pura Costos'!J965)</f>
        <v>24-25</v>
      </c>
      <c r="K965" s="82" t="str">
        <f t="shared" si="20"/>
        <v xml:space="preserve">El Huaico-Mostazal-ARIEL VARGAS </v>
      </c>
    </row>
    <row r="966" spans="2:11" x14ac:dyDescent="0.35">
      <c r="B966" s="4" t="str">
        <f>+IF('Data Pura Costos'!B966="","",'Data Pura Costos'!B966)</f>
        <v>El Parque</v>
      </c>
      <c r="C966" s="4" t="str">
        <f>+IF('Data Pura Costos'!C966="","",'Data Pura Costos'!C966)</f>
        <v>San Francisco de Mostazal.VI Region.</v>
      </c>
      <c r="D966" s="5">
        <f>+IF('Data Pura Costos'!D966="","",'Data Pura Costos'!D966)</f>
        <v>3</v>
      </c>
      <c r="E966" s="65">
        <f>+IF('Data Pura Costos'!E966="","",IF('Data Pura Costos'!E966=0,MAX('Data Pura Costos'!$E$7:$E$3000)*1000,'Data Pura Costos'!E966))</f>
        <v>200000</v>
      </c>
      <c r="F966" s="5" t="str">
        <f>+IF('Data Pura Costos'!F966="","",'Data Pura Costos'!F966)</f>
        <v>Mostazal</v>
      </c>
      <c r="G966" s="5" t="str">
        <f>+IF('Data Pura Costos'!G966="","",'Data Pura Costos'!G966)</f>
        <v xml:space="preserve">ARIEL VARGAS </v>
      </c>
      <c r="H966" s="52" t="str">
        <f>+IF('Data Pura Costos'!H966="","",'Data Pura Costos'!H966)</f>
        <v>Termo</v>
      </c>
      <c r="I966" s="71">
        <f>+IF('Data Pura Costos'!I966="","",'Data Pura Costos'!I966)</f>
        <v>66666.666666666672</v>
      </c>
      <c r="J966" s="52" t="str">
        <f>+IF('Data Pura Costos'!J966="","",'Data Pura Costos'!J966)</f>
        <v>24-25</v>
      </c>
      <c r="K966" s="82" t="str">
        <f t="shared" si="20"/>
        <v xml:space="preserve">El Parque-Mostazal-ARIEL VARGAS </v>
      </c>
    </row>
    <row r="967" spans="2:11" x14ac:dyDescent="0.35">
      <c r="B967" s="4" t="str">
        <f>+IF('Data Pura Costos'!B967="","",'Data Pura Costos'!B967)</f>
        <v>El Picaso</v>
      </c>
      <c r="C967" s="4" t="str">
        <f>+IF('Data Pura Costos'!C967="","",'Data Pura Costos'!C967)</f>
        <v xml:space="preserve">San Clemente, VII región </v>
      </c>
      <c r="D967" s="5">
        <f>+IF('Data Pura Costos'!D967="","",'Data Pura Costos'!D967)</f>
        <v>208</v>
      </c>
      <c r="E967" s="65">
        <f>+IF('Data Pura Costos'!E967="","",IF('Data Pura Costos'!E967=0,MAX('Data Pura Costos'!$E$7:$E$3000)*1000,'Data Pura Costos'!E967))</f>
        <v>915200</v>
      </c>
      <c r="F967" s="5" t="str">
        <f>+IF('Data Pura Costos'!F967="","",'Data Pura Costos'!F967)</f>
        <v>Mostazal</v>
      </c>
      <c r="G967" s="5" t="str">
        <f>+IF('Data Pura Costos'!G967="","",'Data Pura Costos'!G967)</f>
        <v xml:space="preserve">ARIEL VARGAS </v>
      </c>
      <c r="H967" s="52" t="str">
        <f>+IF('Data Pura Costos'!H967="","",'Data Pura Costos'!H967)</f>
        <v>Termo</v>
      </c>
      <c r="I967" s="71">
        <f>+IF('Data Pura Costos'!I967="","",'Data Pura Costos'!I967)</f>
        <v>4400</v>
      </c>
      <c r="J967" s="52" t="str">
        <f>+IF('Data Pura Costos'!J967="","",'Data Pura Costos'!J967)</f>
        <v>24-25</v>
      </c>
      <c r="K967" s="82" t="str">
        <f t="shared" si="20"/>
        <v xml:space="preserve">El Picaso-Mostazal-ARIEL VARGAS </v>
      </c>
    </row>
    <row r="968" spans="2:11" x14ac:dyDescent="0.35">
      <c r="B968" s="4" t="str">
        <f>+IF('Data Pura Costos'!B968="","",'Data Pura Costos'!B968)</f>
        <v>El Recurso</v>
      </c>
      <c r="C968" s="4" t="str">
        <f>+IF('Data Pura Costos'!C968="","",'Data Pura Costos'!C968)</f>
        <v>San Francisco de Mostazal.VI Region.</v>
      </c>
      <c r="D968" s="5">
        <f>+IF('Data Pura Costos'!D968="","",'Data Pura Costos'!D968)</f>
        <v>3</v>
      </c>
      <c r="E968" s="65">
        <f>+IF('Data Pura Costos'!E968="","",IF('Data Pura Costos'!E968=0,MAX('Data Pura Costos'!$E$7:$E$3000)*1000,'Data Pura Costos'!E968))</f>
        <v>200000</v>
      </c>
      <c r="F968" s="5" t="str">
        <f>+IF('Data Pura Costos'!F968="","",'Data Pura Costos'!F968)</f>
        <v>Mostazal</v>
      </c>
      <c r="G968" s="5" t="str">
        <f>+IF('Data Pura Costos'!G968="","",'Data Pura Costos'!G968)</f>
        <v xml:space="preserve">ARIEL VARGAS </v>
      </c>
      <c r="H968" s="52" t="str">
        <f>+IF('Data Pura Costos'!H968="","",'Data Pura Costos'!H968)</f>
        <v>Termo</v>
      </c>
      <c r="I968" s="71">
        <f>+IF('Data Pura Costos'!I968="","",'Data Pura Costos'!I968)</f>
        <v>66666.666666666672</v>
      </c>
      <c r="J968" s="52" t="str">
        <f>+IF('Data Pura Costos'!J968="","",'Data Pura Costos'!J968)</f>
        <v>24-25</v>
      </c>
      <c r="K968" s="82" t="str">
        <f t="shared" si="20"/>
        <v xml:space="preserve">El Recurso-Mostazal-ARIEL VARGAS </v>
      </c>
    </row>
    <row r="969" spans="2:11" x14ac:dyDescent="0.35">
      <c r="B969" s="4" t="str">
        <f>+IF('Data Pura Costos'!B969="","",'Data Pura Costos'!B969)</f>
        <v>El Rosario</v>
      </c>
      <c r="C969" s="4" t="str">
        <f>+IF('Data Pura Costos'!C969="","",'Data Pura Costos'!C969)</f>
        <v>Linares, VII region.</v>
      </c>
      <c r="D969" s="5">
        <f>+IF('Data Pura Costos'!D969="","",'Data Pura Costos'!D969)</f>
        <v>260</v>
      </c>
      <c r="E969" s="65">
        <f>+IF('Data Pura Costos'!E969="","",IF('Data Pura Costos'!E969=0,MAX('Data Pura Costos'!$E$7:$E$3000)*1000,'Data Pura Costos'!E969))</f>
        <v>1144000</v>
      </c>
      <c r="F969" s="5" t="str">
        <f>+IF('Data Pura Costos'!F969="","",'Data Pura Costos'!F969)</f>
        <v>Mostazal</v>
      </c>
      <c r="G969" s="5" t="str">
        <f>+IF('Data Pura Costos'!G969="","",'Data Pura Costos'!G969)</f>
        <v xml:space="preserve">ARIEL VARGAS </v>
      </c>
      <c r="H969" s="52" t="str">
        <f>+IF('Data Pura Costos'!H969="","",'Data Pura Costos'!H969)</f>
        <v>Termo</v>
      </c>
      <c r="I969" s="71">
        <f>+IF('Data Pura Costos'!I969="","",'Data Pura Costos'!I969)</f>
        <v>4400</v>
      </c>
      <c r="J969" s="52" t="str">
        <f>+IF('Data Pura Costos'!J969="","",'Data Pura Costos'!J969)</f>
        <v>24-25</v>
      </c>
      <c r="K969" s="82" t="str">
        <f t="shared" si="20"/>
        <v xml:space="preserve">El Rosario-Mostazal-ARIEL VARGAS </v>
      </c>
    </row>
    <row r="970" spans="2:11" x14ac:dyDescent="0.35">
      <c r="B970" s="4" t="str">
        <f>+IF('Data Pura Costos'!B970="","",'Data Pura Costos'!B970)</f>
        <v>El Retiro</v>
      </c>
      <c r="C970" s="4" t="str">
        <f>+IF('Data Pura Costos'!C970="","",'Data Pura Costos'!C970)</f>
        <v>Rosario, VI Region.</v>
      </c>
      <c r="D970" s="5">
        <f>+IF('Data Pura Costos'!D970="","",'Data Pura Costos'!D970)</f>
        <v>45</v>
      </c>
      <c r="E970" s="65">
        <f>+IF('Data Pura Costos'!E970="","",IF('Data Pura Costos'!E970=0,MAX('Data Pura Costos'!$E$7:$E$3000)*1000,'Data Pura Costos'!E970))</f>
        <v>300000</v>
      </c>
      <c r="F970" s="5" t="str">
        <f>+IF('Data Pura Costos'!F970="","",'Data Pura Costos'!F970)</f>
        <v>Mostazal</v>
      </c>
      <c r="G970" s="5" t="str">
        <f>+IF('Data Pura Costos'!G970="","",'Data Pura Costos'!G970)</f>
        <v xml:space="preserve">ARIEL VARGAS </v>
      </c>
      <c r="H970" s="52" t="str">
        <f>+IF('Data Pura Costos'!H970="","",'Data Pura Costos'!H970)</f>
        <v>Termo</v>
      </c>
      <c r="I970" s="71">
        <f>+IF('Data Pura Costos'!I970="","",'Data Pura Costos'!I970)</f>
        <v>6666.666666666667</v>
      </c>
      <c r="J970" s="52" t="str">
        <f>+IF('Data Pura Costos'!J970="","",'Data Pura Costos'!J970)</f>
        <v>24-25</v>
      </c>
      <c r="K970" s="82" t="str">
        <f t="shared" si="20"/>
        <v xml:space="preserve">El Retiro-Mostazal-ARIEL VARGAS </v>
      </c>
    </row>
    <row r="971" spans="2:11" x14ac:dyDescent="0.35">
      <c r="B971" s="4" t="str">
        <f>+IF('Data Pura Costos'!B971="","",'Data Pura Costos'!B971)</f>
        <v>La Esperanza</v>
      </c>
      <c r="C971" s="4" t="str">
        <f>+IF('Data Pura Costos'!C971="","",'Data Pura Costos'!C971)</f>
        <v>Peumo, VI región</v>
      </c>
      <c r="D971" s="5">
        <f>+IF('Data Pura Costos'!D971="","",'Data Pura Costos'!D971)</f>
        <v>98</v>
      </c>
      <c r="E971" s="65">
        <f>+IF('Data Pura Costos'!E971="","",IF('Data Pura Costos'!E971=0,MAX('Data Pura Costos'!$E$7:$E$3000)*1000,'Data Pura Costos'!E971))</f>
        <v>431200</v>
      </c>
      <c r="F971" s="5" t="str">
        <f>+IF('Data Pura Costos'!F971="","",'Data Pura Costos'!F971)</f>
        <v>Mostazal</v>
      </c>
      <c r="G971" s="5" t="str">
        <f>+IF('Data Pura Costos'!G971="","",'Data Pura Costos'!G971)</f>
        <v xml:space="preserve">ARIEL VARGAS </v>
      </c>
      <c r="H971" s="52" t="str">
        <f>+IF('Data Pura Costos'!H971="","",'Data Pura Costos'!H971)</f>
        <v>Termo</v>
      </c>
      <c r="I971" s="71">
        <f>+IF('Data Pura Costos'!I971="","",'Data Pura Costos'!I971)</f>
        <v>4400</v>
      </c>
      <c r="J971" s="52" t="str">
        <f>+IF('Data Pura Costos'!J971="","",'Data Pura Costos'!J971)</f>
        <v>24-25</v>
      </c>
      <c r="K971" s="82" t="str">
        <f t="shared" si="20"/>
        <v xml:space="preserve">La Esperanza-Mostazal-ARIEL VARGAS </v>
      </c>
    </row>
    <row r="972" spans="2:11" x14ac:dyDescent="0.35">
      <c r="B972" s="4" t="str">
        <f>+IF('Data Pura Costos'!B972="","",'Data Pura Costos'!B972)</f>
        <v>La Estación</v>
      </c>
      <c r="C972" s="4" t="str">
        <f>+IF('Data Pura Costos'!C972="","",'Data Pura Costos'!C972)</f>
        <v>Palmilla, VI región</v>
      </c>
      <c r="D972" s="5">
        <f>+IF('Data Pura Costos'!D972="","",'Data Pura Costos'!D972)</f>
        <v>125</v>
      </c>
      <c r="E972" s="65">
        <f>+IF('Data Pura Costos'!E972="","",IF('Data Pura Costos'!E972=0,MAX('Data Pura Costos'!$E$7:$E$3000)*1000,'Data Pura Costos'!E972))</f>
        <v>550000</v>
      </c>
      <c r="F972" s="5" t="str">
        <f>+IF('Data Pura Costos'!F972="","",'Data Pura Costos'!F972)</f>
        <v>Mostazal</v>
      </c>
      <c r="G972" s="5" t="str">
        <f>+IF('Data Pura Costos'!G972="","",'Data Pura Costos'!G972)</f>
        <v xml:space="preserve">ARIEL VARGAS </v>
      </c>
      <c r="H972" s="52" t="str">
        <f>+IF('Data Pura Costos'!H972="","",'Data Pura Costos'!H972)</f>
        <v>Termo</v>
      </c>
      <c r="I972" s="71">
        <f>+IF('Data Pura Costos'!I972="","",'Data Pura Costos'!I972)</f>
        <v>4400</v>
      </c>
      <c r="J972" s="52" t="str">
        <f>+IF('Data Pura Costos'!J972="","",'Data Pura Costos'!J972)</f>
        <v>24-25</v>
      </c>
      <c r="K972" s="82" t="str">
        <f t="shared" si="20"/>
        <v xml:space="preserve">La Estación-Mostazal-ARIEL VARGAS </v>
      </c>
    </row>
    <row r="973" spans="2:11" x14ac:dyDescent="0.35">
      <c r="B973" s="4" t="str">
        <f>+IF('Data Pura Costos'!B973="","",'Data Pura Costos'!B973)</f>
        <v>La Lajuela</v>
      </c>
      <c r="C973" s="4" t="str">
        <f>+IF('Data Pura Costos'!C973="","",'Data Pura Costos'!C973)</f>
        <v>Santa Cruz, VI Región</v>
      </c>
      <c r="D973" s="5">
        <f>+IF('Data Pura Costos'!D973="","",'Data Pura Costos'!D973)</f>
        <v>128</v>
      </c>
      <c r="E973" s="65">
        <f>+IF('Data Pura Costos'!E973="","",IF('Data Pura Costos'!E973=0,MAX('Data Pura Costos'!$E$7:$E$3000)*1000,'Data Pura Costos'!E973))</f>
        <v>563200</v>
      </c>
      <c r="F973" s="5" t="str">
        <f>+IF('Data Pura Costos'!F973="","",'Data Pura Costos'!F973)</f>
        <v>Mostazal</v>
      </c>
      <c r="G973" s="5" t="str">
        <f>+IF('Data Pura Costos'!G973="","",'Data Pura Costos'!G973)</f>
        <v xml:space="preserve">ARIEL VARGAS </v>
      </c>
      <c r="H973" s="52" t="str">
        <f>+IF('Data Pura Costos'!H973="","",'Data Pura Costos'!H973)</f>
        <v>Termo</v>
      </c>
      <c r="I973" s="71">
        <f>+IF('Data Pura Costos'!I973="","",'Data Pura Costos'!I973)</f>
        <v>4400</v>
      </c>
      <c r="J973" s="52" t="str">
        <f>+IF('Data Pura Costos'!J973="","",'Data Pura Costos'!J973)</f>
        <v>24-25</v>
      </c>
      <c r="K973" s="82" t="str">
        <f t="shared" si="20"/>
        <v xml:space="preserve">La Lajuela-Mostazal-ARIEL VARGAS </v>
      </c>
    </row>
    <row r="974" spans="2:11" x14ac:dyDescent="0.35">
      <c r="B974" s="4" t="str">
        <f>+IF('Data Pura Costos'!B974="","",'Data Pura Costos'!B974)</f>
        <v>La Morera</v>
      </c>
      <c r="C974" s="4" t="str">
        <f>+IF('Data Pura Costos'!C974="","",'Data Pura Costos'!C974)</f>
        <v>La compañia, VI Region.</v>
      </c>
      <c r="D974" s="5">
        <f>+IF('Data Pura Costos'!D974="","",'Data Pura Costos'!D974)</f>
        <v>16</v>
      </c>
      <c r="E974" s="65">
        <f>+IF('Data Pura Costos'!E974="","",IF('Data Pura Costos'!E974=0,MAX('Data Pura Costos'!$E$7:$E$3000)*1000,'Data Pura Costos'!E974))</f>
        <v>250000</v>
      </c>
      <c r="F974" s="5" t="str">
        <f>+IF('Data Pura Costos'!F974="","",'Data Pura Costos'!F974)</f>
        <v>Mostazal</v>
      </c>
      <c r="G974" s="5" t="str">
        <f>+IF('Data Pura Costos'!G974="","",'Data Pura Costos'!G974)</f>
        <v xml:space="preserve">ARIEL VARGAS </v>
      </c>
      <c r="H974" s="52" t="str">
        <f>+IF('Data Pura Costos'!H974="","",'Data Pura Costos'!H974)</f>
        <v>Termo</v>
      </c>
      <c r="I974" s="71">
        <f>+IF('Data Pura Costos'!I974="","",'Data Pura Costos'!I974)</f>
        <v>15625</v>
      </c>
      <c r="J974" s="52" t="str">
        <f>+IF('Data Pura Costos'!J974="","",'Data Pura Costos'!J974)</f>
        <v>24-25</v>
      </c>
      <c r="K974" s="82" t="str">
        <f t="shared" si="20"/>
        <v xml:space="preserve">La Morera-Mostazal-ARIEL VARGAS </v>
      </c>
    </row>
    <row r="975" spans="2:11" x14ac:dyDescent="0.35">
      <c r="B975" s="4" t="str">
        <f>+IF('Data Pura Costos'!B975="","",'Data Pura Costos'!B975)</f>
        <v>La Rinconada</v>
      </c>
      <c r="C975" s="4" t="str">
        <f>+IF('Data Pura Costos'!C975="","",'Data Pura Costos'!C975)</f>
        <v>Pichidegua, VI región</v>
      </c>
      <c r="D975" s="5">
        <f>+IF('Data Pura Costos'!D975="","",'Data Pura Costos'!D975)</f>
        <v>110</v>
      </c>
      <c r="E975" s="65">
        <f>+IF('Data Pura Costos'!E975="","",IF('Data Pura Costos'!E975=0,MAX('Data Pura Costos'!$E$7:$E$3000)*1000,'Data Pura Costos'!E975))</f>
        <v>484000</v>
      </c>
      <c r="F975" s="5" t="str">
        <f>+IF('Data Pura Costos'!F975="","",'Data Pura Costos'!F975)</f>
        <v>Mostazal</v>
      </c>
      <c r="G975" s="5" t="str">
        <f>+IF('Data Pura Costos'!G975="","",'Data Pura Costos'!G975)</f>
        <v xml:space="preserve">ARIEL VARGAS </v>
      </c>
      <c r="H975" s="52" t="str">
        <f>+IF('Data Pura Costos'!H975="","",'Data Pura Costos'!H975)</f>
        <v>Termo</v>
      </c>
      <c r="I975" s="71">
        <f>+IF('Data Pura Costos'!I975="","",'Data Pura Costos'!I975)</f>
        <v>4400</v>
      </c>
      <c r="J975" s="52" t="str">
        <f>+IF('Data Pura Costos'!J975="","",'Data Pura Costos'!J975)</f>
        <v>24-25</v>
      </c>
      <c r="K975" s="82" t="str">
        <f t="shared" si="20"/>
        <v xml:space="preserve">La Rinconada-Mostazal-ARIEL VARGAS </v>
      </c>
    </row>
    <row r="976" spans="2:11" x14ac:dyDescent="0.35">
      <c r="B976" s="4" t="str">
        <f>+IF('Data Pura Costos'!B976="","",'Data Pura Costos'!B976)</f>
        <v xml:space="preserve">La Roblería </v>
      </c>
      <c r="C976" s="4" t="str">
        <f>+IF('Data Pura Costos'!C976="","",'Data Pura Costos'!C976)</f>
        <v>Aculeo, RM</v>
      </c>
      <c r="D976" s="5">
        <f>+IF('Data Pura Costos'!D976="","",'Data Pura Costos'!D976)</f>
        <v>40</v>
      </c>
      <c r="E976" s="65">
        <f>+IF('Data Pura Costos'!E976="","",IF('Data Pura Costos'!E976=0,MAX('Data Pura Costos'!$E$7:$E$3000)*1000,'Data Pura Costos'!E976))</f>
        <v>300000</v>
      </c>
      <c r="F976" s="5" t="str">
        <f>+IF('Data Pura Costos'!F976="","",'Data Pura Costos'!F976)</f>
        <v>Mostazal</v>
      </c>
      <c r="G976" s="5" t="str">
        <f>+IF('Data Pura Costos'!G976="","",'Data Pura Costos'!G976)</f>
        <v xml:space="preserve">ARIEL VARGAS </v>
      </c>
      <c r="H976" s="52" t="str">
        <f>+IF('Data Pura Costos'!H976="","",'Data Pura Costos'!H976)</f>
        <v>Termo</v>
      </c>
      <c r="I976" s="71">
        <f>+IF('Data Pura Costos'!I976="","",'Data Pura Costos'!I976)</f>
        <v>7500</v>
      </c>
      <c r="J976" s="52" t="str">
        <f>+IF('Data Pura Costos'!J976="","",'Data Pura Costos'!J976)</f>
        <v>24-25</v>
      </c>
      <c r="K976" s="82" t="str">
        <f t="shared" si="20"/>
        <v xml:space="preserve">La Roblería -Mostazal-ARIEL VARGAS </v>
      </c>
    </row>
    <row r="977" spans="2:11" x14ac:dyDescent="0.35">
      <c r="B977" s="4" t="str">
        <f>+IF('Data Pura Costos'!B977="","",'Data Pura Costos'!B977)</f>
        <v>Las Cabras</v>
      </c>
      <c r="C977" s="4" t="str">
        <f>+IF('Data Pura Costos'!C977="","",'Data Pura Costos'!C977)</f>
        <v>Las Cabras, VI región</v>
      </c>
      <c r="D977" s="5">
        <f>+IF('Data Pura Costos'!D977="","",'Data Pura Costos'!D977)</f>
        <v>110</v>
      </c>
      <c r="E977" s="65">
        <f>+IF('Data Pura Costos'!E977="","",IF('Data Pura Costos'!E977=0,MAX('Data Pura Costos'!$E$7:$E$3000)*1000,'Data Pura Costos'!E977))</f>
        <v>484000</v>
      </c>
      <c r="F977" s="5" t="str">
        <f>+IF('Data Pura Costos'!F977="","",'Data Pura Costos'!F977)</f>
        <v>Mostazal</v>
      </c>
      <c r="G977" s="5" t="str">
        <f>+IF('Data Pura Costos'!G977="","",'Data Pura Costos'!G977)</f>
        <v xml:space="preserve">ARIEL VARGAS </v>
      </c>
      <c r="H977" s="52" t="str">
        <f>+IF('Data Pura Costos'!H977="","",'Data Pura Costos'!H977)</f>
        <v>Termo</v>
      </c>
      <c r="I977" s="71">
        <f>+IF('Data Pura Costos'!I977="","",'Data Pura Costos'!I977)</f>
        <v>4400</v>
      </c>
      <c r="J977" s="52" t="str">
        <f>+IF('Data Pura Costos'!J977="","",'Data Pura Costos'!J977)</f>
        <v>24-25</v>
      </c>
      <c r="K977" s="82" t="str">
        <f t="shared" si="20"/>
        <v xml:space="preserve">Las Cabras-Mostazal-ARIEL VARGAS </v>
      </c>
    </row>
    <row r="978" spans="2:11" x14ac:dyDescent="0.35">
      <c r="B978" s="4" t="str">
        <f>+IF('Data Pura Costos'!B978="","",'Data Pura Costos'!B978)</f>
        <v>Las Vertientes</v>
      </c>
      <c r="C978" s="4" t="str">
        <f>+IF('Data Pura Costos'!C978="","",'Data Pura Costos'!C978)</f>
        <v>Pichidegua, VI región</v>
      </c>
      <c r="D978" s="5">
        <f>+IF('Data Pura Costos'!D978="","",'Data Pura Costos'!D978)</f>
        <v>103</v>
      </c>
      <c r="E978" s="65">
        <f>+IF('Data Pura Costos'!E978="","",IF('Data Pura Costos'!E978=0,MAX('Data Pura Costos'!$E$7:$E$3000)*1000,'Data Pura Costos'!E978))</f>
        <v>453200</v>
      </c>
      <c r="F978" s="5" t="str">
        <f>+IF('Data Pura Costos'!F978="","",'Data Pura Costos'!F978)</f>
        <v>Mostazal</v>
      </c>
      <c r="G978" s="5" t="str">
        <f>+IF('Data Pura Costos'!G978="","",'Data Pura Costos'!G978)</f>
        <v xml:space="preserve">ARIEL VARGAS </v>
      </c>
      <c r="H978" s="52" t="str">
        <f>+IF('Data Pura Costos'!H978="","",'Data Pura Costos'!H978)</f>
        <v>Termo</v>
      </c>
      <c r="I978" s="71">
        <f>+IF('Data Pura Costos'!I978="","",'Data Pura Costos'!I978)</f>
        <v>4400</v>
      </c>
      <c r="J978" s="52" t="str">
        <f>+IF('Data Pura Costos'!J978="","",'Data Pura Costos'!J978)</f>
        <v>24-25</v>
      </c>
      <c r="K978" s="82" t="str">
        <f t="shared" si="20"/>
        <v xml:space="preserve">Las Vertientes-Mostazal-ARIEL VARGAS </v>
      </c>
    </row>
    <row r="979" spans="2:11" x14ac:dyDescent="0.35">
      <c r="B979" s="4" t="str">
        <f>+IF('Data Pura Costos'!B979="","",'Data Pura Costos'!B979)</f>
        <v>Lihueimo</v>
      </c>
      <c r="C979" s="4" t="str">
        <f>+IF('Data Pura Costos'!C979="","",'Data Pura Costos'!C979)</f>
        <v>Peralillo ohiggins</v>
      </c>
      <c r="D979" s="5">
        <f>+IF('Data Pura Costos'!D979="","",'Data Pura Costos'!D979)</f>
        <v>131</v>
      </c>
      <c r="E979" s="65">
        <f>+IF('Data Pura Costos'!E979="","",IF('Data Pura Costos'!E979=0,MAX('Data Pura Costos'!$E$7:$E$3000)*1000,'Data Pura Costos'!E979))</f>
        <v>576400</v>
      </c>
      <c r="F979" s="5" t="str">
        <f>+IF('Data Pura Costos'!F979="","",'Data Pura Costos'!F979)</f>
        <v>Mostazal</v>
      </c>
      <c r="G979" s="5" t="str">
        <f>+IF('Data Pura Costos'!G979="","",'Data Pura Costos'!G979)</f>
        <v xml:space="preserve">ARIEL VARGAS </v>
      </c>
      <c r="H979" s="52" t="str">
        <f>+IF('Data Pura Costos'!H979="","",'Data Pura Costos'!H979)</f>
        <v>Termo</v>
      </c>
      <c r="I979" s="71">
        <f>+IF('Data Pura Costos'!I979="","",'Data Pura Costos'!I979)</f>
        <v>4400</v>
      </c>
      <c r="J979" s="52" t="str">
        <f>+IF('Data Pura Costos'!J979="","",'Data Pura Costos'!J979)</f>
        <v>24-25</v>
      </c>
      <c r="K979" s="82" t="str">
        <f t="shared" si="20"/>
        <v xml:space="preserve">Lihueimo-Mostazal-ARIEL VARGAS </v>
      </c>
    </row>
    <row r="980" spans="2:11" x14ac:dyDescent="0.35">
      <c r="B980" s="4" t="str">
        <f>+IF('Data Pura Costos'!B980="","",'Data Pura Costos'!B980)</f>
        <v>Los Encinos</v>
      </c>
      <c r="C980" s="4" t="str">
        <f>+IF('Data Pura Costos'!C980="","",'Data Pura Costos'!C980)</f>
        <v>Huechun, RM</v>
      </c>
      <c r="D980" s="5">
        <f>+IF('Data Pura Costos'!D980="","",'Data Pura Costos'!D980)</f>
        <v>85</v>
      </c>
      <c r="E980" s="65">
        <f>+IF('Data Pura Costos'!E980="","",IF('Data Pura Costos'!E980=0,MAX('Data Pura Costos'!$E$7:$E$3000)*1000,'Data Pura Costos'!E980))</f>
        <v>450000</v>
      </c>
      <c r="F980" s="5" t="str">
        <f>+IF('Data Pura Costos'!F980="","",'Data Pura Costos'!F980)</f>
        <v>Mostazal</v>
      </c>
      <c r="G980" s="5" t="str">
        <f>+IF('Data Pura Costos'!G980="","",'Data Pura Costos'!G980)</f>
        <v xml:space="preserve">ARIEL VARGAS </v>
      </c>
      <c r="H980" s="52" t="str">
        <f>+IF('Data Pura Costos'!H980="","",'Data Pura Costos'!H980)</f>
        <v>Termo</v>
      </c>
      <c r="I980" s="71">
        <f>+IF('Data Pura Costos'!I980="","",'Data Pura Costos'!I980)</f>
        <v>5294.1176470588234</v>
      </c>
      <c r="J980" s="52" t="str">
        <f>+IF('Data Pura Costos'!J980="","",'Data Pura Costos'!J980)</f>
        <v>24-25</v>
      </c>
      <c r="K980" s="82" t="str">
        <f t="shared" si="20"/>
        <v xml:space="preserve">Los Encinos-Mostazal-ARIEL VARGAS </v>
      </c>
    </row>
    <row r="981" spans="2:11" x14ac:dyDescent="0.35">
      <c r="B981" s="4" t="str">
        <f>+IF('Data Pura Costos'!B981="","",'Data Pura Costos'!B981)</f>
        <v>Los Maitenes</v>
      </c>
      <c r="C981" s="4" t="str">
        <f>+IF('Data Pura Costos'!C981="","",'Data Pura Costos'!C981)</f>
        <v>Las Cabras, VI región</v>
      </c>
      <c r="D981" s="5">
        <f>+IF('Data Pura Costos'!D981="","",'Data Pura Costos'!D981)</f>
        <v>118</v>
      </c>
      <c r="E981" s="65">
        <f>+IF('Data Pura Costos'!E981="","",IF('Data Pura Costos'!E981=0,MAX('Data Pura Costos'!$E$7:$E$3000)*1000,'Data Pura Costos'!E981))</f>
        <v>519200</v>
      </c>
      <c r="F981" s="5" t="str">
        <f>+IF('Data Pura Costos'!F981="","",'Data Pura Costos'!F981)</f>
        <v>Mostazal</v>
      </c>
      <c r="G981" s="5" t="str">
        <f>+IF('Data Pura Costos'!G981="","",'Data Pura Costos'!G981)</f>
        <v xml:space="preserve">ARIEL VARGAS </v>
      </c>
      <c r="H981" s="52" t="str">
        <f>+IF('Data Pura Costos'!H981="","",'Data Pura Costos'!H981)</f>
        <v>Termo</v>
      </c>
      <c r="I981" s="71">
        <f>+IF('Data Pura Costos'!I981="","",'Data Pura Costos'!I981)</f>
        <v>4400</v>
      </c>
      <c r="J981" s="52" t="str">
        <f>+IF('Data Pura Costos'!J981="","",'Data Pura Costos'!J981)</f>
        <v>24-25</v>
      </c>
      <c r="K981" s="82" t="str">
        <f t="shared" si="20"/>
        <v xml:space="preserve">Los Maitenes-Mostazal-ARIEL VARGAS </v>
      </c>
    </row>
    <row r="982" spans="2:11" x14ac:dyDescent="0.35">
      <c r="B982" s="4" t="str">
        <f>+IF('Data Pura Costos'!B982="","",'Data Pura Costos'!B982)</f>
        <v>Los Toldos</v>
      </c>
      <c r="C982" s="4" t="str">
        <f>+IF('Data Pura Costos'!C982="","",'Data Pura Costos'!C982)</f>
        <v>Angol, IX región</v>
      </c>
      <c r="D982" s="5">
        <f>+IF('Data Pura Costos'!D982="","",'Data Pura Costos'!D982)</f>
        <v>549</v>
      </c>
      <c r="E982" s="65">
        <f>+IF('Data Pura Costos'!E982="","",IF('Data Pura Costos'!E982=0,MAX('Data Pura Costos'!$E$7:$E$3000)*1000,'Data Pura Costos'!E982))</f>
        <v>2415600</v>
      </c>
      <c r="F982" s="5" t="str">
        <f>+IF('Data Pura Costos'!F982="","",'Data Pura Costos'!F982)</f>
        <v>Mostazal</v>
      </c>
      <c r="G982" s="5" t="str">
        <f>+IF('Data Pura Costos'!G982="","",'Data Pura Costos'!G982)</f>
        <v xml:space="preserve">ARIEL VARGAS </v>
      </c>
      <c r="H982" s="52" t="str">
        <f>+IF('Data Pura Costos'!H982="","",'Data Pura Costos'!H982)</f>
        <v>Termo</v>
      </c>
      <c r="I982" s="71">
        <f>+IF('Data Pura Costos'!I982="","",'Data Pura Costos'!I982)</f>
        <v>4400</v>
      </c>
      <c r="J982" s="52" t="str">
        <f>+IF('Data Pura Costos'!J982="","",'Data Pura Costos'!J982)</f>
        <v>24-25</v>
      </c>
      <c r="K982" s="82" t="str">
        <f t="shared" si="20"/>
        <v xml:space="preserve">Los Toldos-Mostazal-ARIEL VARGAS </v>
      </c>
    </row>
    <row r="983" spans="2:11" x14ac:dyDescent="0.35">
      <c r="B983" s="4" t="str">
        <f>+IF('Data Pura Costos'!B983="","",'Data Pura Costos'!B983)</f>
        <v>Mallorca</v>
      </c>
      <c r="C983" s="4" t="str">
        <f>+IF('Data Pura Costos'!C983="","",'Data Pura Costos'!C983)</f>
        <v xml:space="preserve">Molina, VII región </v>
      </c>
      <c r="D983" s="5">
        <f>+IF('Data Pura Costos'!D983="","",'Data Pura Costos'!D983)</f>
        <v>144</v>
      </c>
      <c r="E983" s="65">
        <f>+IF('Data Pura Costos'!E983="","",IF('Data Pura Costos'!E983=0,MAX('Data Pura Costos'!$E$7:$E$3000)*1000,'Data Pura Costos'!E983))</f>
        <v>633600</v>
      </c>
      <c r="F983" s="5" t="str">
        <f>+IF('Data Pura Costos'!F983="","",'Data Pura Costos'!F983)</f>
        <v>Mostazal</v>
      </c>
      <c r="G983" s="5" t="str">
        <f>+IF('Data Pura Costos'!G983="","",'Data Pura Costos'!G983)</f>
        <v xml:space="preserve">ARIEL VARGAS </v>
      </c>
      <c r="H983" s="52" t="str">
        <f>+IF('Data Pura Costos'!H983="","",'Data Pura Costos'!H983)</f>
        <v>Termo</v>
      </c>
      <c r="I983" s="71">
        <f>+IF('Data Pura Costos'!I983="","",'Data Pura Costos'!I983)</f>
        <v>4400</v>
      </c>
      <c r="J983" s="52" t="str">
        <f>+IF('Data Pura Costos'!J983="","",'Data Pura Costos'!J983)</f>
        <v>24-25</v>
      </c>
      <c r="K983" s="82" t="str">
        <f t="shared" si="20"/>
        <v xml:space="preserve">Mallorca-Mostazal-ARIEL VARGAS </v>
      </c>
    </row>
    <row r="984" spans="2:11" x14ac:dyDescent="0.35">
      <c r="B984" s="4" t="str">
        <f>+IF('Data Pura Costos'!B984="","",'Data Pura Costos'!B984)</f>
        <v>Panquehue</v>
      </c>
      <c r="C984" s="4" t="str">
        <f>+IF('Data Pura Costos'!C984="","",'Data Pura Costos'!C984)</f>
        <v>Panquehue, V región</v>
      </c>
      <c r="D984" s="5">
        <f>+IF('Data Pura Costos'!D984="","",'Data Pura Costos'!D984)</f>
        <v>165</v>
      </c>
      <c r="E984" s="65">
        <f>+IF('Data Pura Costos'!E984="","",IF('Data Pura Costos'!E984=0,MAX('Data Pura Costos'!$E$7:$E$3000)*1000,'Data Pura Costos'!E984))</f>
        <v>726000</v>
      </c>
      <c r="F984" s="5" t="str">
        <f>+IF('Data Pura Costos'!F984="","",'Data Pura Costos'!F984)</f>
        <v>Mostazal</v>
      </c>
      <c r="G984" s="5" t="str">
        <f>+IF('Data Pura Costos'!G984="","",'Data Pura Costos'!G984)</f>
        <v xml:space="preserve">ARIEL VARGAS </v>
      </c>
      <c r="H984" s="52" t="str">
        <f>+IF('Data Pura Costos'!H984="","",'Data Pura Costos'!H984)</f>
        <v>Termo</v>
      </c>
      <c r="I984" s="71">
        <f>+IF('Data Pura Costos'!I984="","",'Data Pura Costos'!I984)</f>
        <v>4400</v>
      </c>
      <c r="J984" s="52" t="str">
        <f>+IF('Data Pura Costos'!J984="","",'Data Pura Costos'!J984)</f>
        <v>24-25</v>
      </c>
      <c r="K984" s="82" t="str">
        <f t="shared" si="20"/>
        <v xml:space="preserve">Panquehue-Mostazal-ARIEL VARGAS </v>
      </c>
    </row>
    <row r="985" spans="2:11" x14ac:dyDescent="0.35">
      <c r="B985" s="4" t="str">
        <f>+IF('Data Pura Costos'!B985="","",'Data Pura Costos'!B985)</f>
        <v>Entre Rios/Puente Negro/Rio Claro</v>
      </c>
      <c r="C985" s="4" t="str">
        <f>+IF('Data Pura Costos'!C985="","",'Data Pura Costos'!C985)</f>
        <v>Puente negro, san fernando.VI Region.</v>
      </c>
      <c r="D985" s="5">
        <f>+IF('Data Pura Costos'!D985="","",'Data Pura Costos'!D985)</f>
        <v>100</v>
      </c>
      <c r="E985" s="65">
        <f>+IF('Data Pura Costos'!E985="","",IF('Data Pura Costos'!E985=0,MAX('Data Pura Costos'!$E$7:$E$3000)*1000,'Data Pura Costos'!E985))</f>
        <v>450000</v>
      </c>
      <c r="F985" s="5" t="str">
        <f>+IF('Data Pura Costos'!F985="","",'Data Pura Costos'!F985)</f>
        <v>Mostazal</v>
      </c>
      <c r="G985" s="5" t="str">
        <f>+IF('Data Pura Costos'!G985="","",'Data Pura Costos'!G985)</f>
        <v xml:space="preserve">ARIEL VARGAS </v>
      </c>
      <c r="H985" s="52" t="str">
        <f>+IF('Data Pura Costos'!H985="","",'Data Pura Costos'!H985)</f>
        <v>Termo</v>
      </c>
      <c r="I985" s="71">
        <f>+IF('Data Pura Costos'!I985="","",'Data Pura Costos'!I985)</f>
        <v>4500</v>
      </c>
      <c r="J985" s="52" t="str">
        <f>+IF('Data Pura Costos'!J985="","",'Data Pura Costos'!J985)</f>
        <v>24-25</v>
      </c>
      <c r="K985" s="82" t="str">
        <f t="shared" si="20"/>
        <v xml:space="preserve">Entre Rios/Puente Negro/Rio Claro-Mostazal-ARIEL VARGAS </v>
      </c>
    </row>
    <row r="986" spans="2:11" x14ac:dyDescent="0.35">
      <c r="B986" s="4" t="str">
        <f>+IF('Data Pura Costos'!B986="","",'Data Pura Costos'!B986)</f>
        <v>Retorno</v>
      </c>
      <c r="C986" s="4" t="str">
        <f>+IF('Data Pura Costos'!C986="","",'Data Pura Costos'!C986)</f>
        <v>Santa maria, V región</v>
      </c>
      <c r="D986" s="5">
        <f>+IF('Data Pura Costos'!D986="","",'Data Pura Costos'!D986)</f>
        <v>162</v>
      </c>
      <c r="E986" s="65">
        <f>+IF('Data Pura Costos'!E986="","",IF('Data Pura Costos'!E986=0,MAX('Data Pura Costos'!$E$7:$E$3000)*1000,'Data Pura Costos'!E986))</f>
        <v>712800</v>
      </c>
      <c r="F986" s="5" t="str">
        <f>+IF('Data Pura Costos'!F986="","",'Data Pura Costos'!F986)</f>
        <v>Mostazal</v>
      </c>
      <c r="G986" s="5" t="str">
        <f>+IF('Data Pura Costos'!G986="","",'Data Pura Costos'!G986)</f>
        <v xml:space="preserve">ARIEL VARGAS </v>
      </c>
      <c r="H986" s="52" t="str">
        <f>+IF('Data Pura Costos'!H986="","",'Data Pura Costos'!H986)</f>
        <v>Termo</v>
      </c>
      <c r="I986" s="71">
        <f>+IF('Data Pura Costos'!I986="","",'Data Pura Costos'!I986)</f>
        <v>4400</v>
      </c>
      <c r="J986" s="52" t="str">
        <f>+IF('Data Pura Costos'!J986="","",'Data Pura Costos'!J986)</f>
        <v>24-25</v>
      </c>
      <c r="K986" s="82" t="str">
        <f t="shared" si="20"/>
        <v xml:space="preserve">Retorno-Mostazal-ARIEL VARGAS </v>
      </c>
    </row>
    <row r="987" spans="2:11" x14ac:dyDescent="0.35">
      <c r="B987" s="4" t="str">
        <f>+IF('Data Pura Costos'!B987="","",'Data Pura Costos'!B987)</f>
        <v>San Hernán</v>
      </c>
      <c r="C987" s="4" t="str">
        <f>+IF('Data Pura Costos'!C987="","",'Data Pura Costos'!C987)</f>
        <v>Graneros, VI región</v>
      </c>
      <c r="D987" s="5">
        <f>+IF('Data Pura Costos'!D987="","",'Data Pura Costos'!D987)</f>
        <v>10</v>
      </c>
      <c r="E987" s="65">
        <f>+IF('Data Pura Costos'!E987="","",IF('Data Pura Costos'!E987=0,MAX('Data Pura Costos'!$E$7:$E$3000)*1000,'Data Pura Costos'!E987))</f>
        <v>300000</v>
      </c>
      <c r="F987" s="5" t="str">
        <f>+IF('Data Pura Costos'!F987="","",'Data Pura Costos'!F987)</f>
        <v>Mostazal</v>
      </c>
      <c r="G987" s="5" t="str">
        <f>+IF('Data Pura Costos'!G987="","",'Data Pura Costos'!G987)</f>
        <v xml:space="preserve">ARIEL VARGAS </v>
      </c>
      <c r="H987" s="52" t="str">
        <f>+IF('Data Pura Costos'!H987="","",'Data Pura Costos'!H987)</f>
        <v>Termo</v>
      </c>
      <c r="I987" s="71">
        <f>+IF('Data Pura Costos'!I987="","",'Data Pura Costos'!I987)</f>
        <v>30000</v>
      </c>
      <c r="J987" s="52" t="str">
        <f>+IF('Data Pura Costos'!J987="","",'Data Pura Costos'!J987)</f>
        <v>24-25</v>
      </c>
      <c r="K987" s="82" t="str">
        <f t="shared" si="20"/>
        <v xml:space="preserve">San Hernán-Mostazal-ARIEL VARGAS </v>
      </c>
    </row>
    <row r="988" spans="2:11" x14ac:dyDescent="0.35">
      <c r="B988" s="4" t="str">
        <f>+IF('Data Pura Costos'!B988="","",'Data Pura Costos'!B988)</f>
        <v>Santa Mónica</v>
      </c>
      <c r="C988" s="4" t="str">
        <f>+IF('Data Pura Costos'!C988="","",'Data Pura Costos'!C988)</f>
        <v xml:space="preserve">Rancagua, sector Chancón, VI región </v>
      </c>
      <c r="D988" s="5">
        <f>+IF('Data Pura Costos'!D988="","",'Data Pura Costos'!D988)</f>
        <v>20</v>
      </c>
      <c r="E988" s="65">
        <f>+IF('Data Pura Costos'!E988="","",IF('Data Pura Costos'!E988=0,MAX('Data Pura Costos'!$E$7:$E$3000)*1000,'Data Pura Costos'!E988))</f>
        <v>300000</v>
      </c>
      <c r="F988" s="5" t="str">
        <f>+IF('Data Pura Costos'!F988="","",'Data Pura Costos'!F988)</f>
        <v>Mostazal</v>
      </c>
      <c r="G988" s="5" t="str">
        <f>+IF('Data Pura Costos'!G988="","",'Data Pura Costos'!G988)</f>
        <v xml:space="preserve">ARIEL VARGAS </v>
      </c>
      <c r="H988" s="52" t="str">
        <f>+IF('Data Pura Costos'!H988="","",'Data Pura Costos'!H988)</f>
        <v>Termo</v>
      </c>
      <c r="I988" s="71">
        <f>+IF('Data Pura Costos'!I988="","",'Data Pura Costos'!I988)</f>
        <v>15000</v>
      </c>
      <c r="J988" s="52" t="str">
        <f>+IF('Data Pura Costos'!J988="","",'Data Pura Costos'!J988)</f>
        <v>24-25</v>
      </c>
      <c r="K988" s="82" t="str">
        <f t="shared" si="20"/>
        <v xml:space="preserve">Santa Mónica-Mostazal-ARIEL VARGAS </v>
      </c>
    </row>
    <row r="989" spans="2:11" x14ac:dyDescent="0.35">
      <c r="B989" s="4" t="str">
        <f>+IF('Data Pura Costos'!B989="","",'Data Pura Costos'!B989)</f>
        <v>Talhuén</v>
      </c>
      <c r="C989" s="4" t="str">
        <f>+IF('Data Pura Costos'!C989="","",'Data Pura Costos'!C989)</f>
        <v>Palmilla, VI región</v>
      </c>
      <c r="D989" s="5">
        <f>+IF('Data Pura Costos'!D989="","",'Data Pura Costos'!D989)</f>
        <v>122</v>
      </c>
      <c r="E989" s="65">
        <f>+IF('Data Pura Costos'!E989="","",IF('Data Pura Costos'!E989=0,MAX('Data Pura Costos'!$E$7:$E$3000)*1000,'Data Pura Costos'!E989))</f>
        <v>536800</v>
      </c>
      <c r="F989" s="5" t="str">
        <f>+IF('Data Pura Costos'!F989="","",'Data Pura Costos'!F989)</f>
        <v>Mostazal</v>
      </c>
      <c r="G989" s="5" t="str">
        <f>+IF('Data Pura Costos'!G989="","",'Data Pura Costos'!G989)</f>
        <v xml:space="preserve">ARIEL VARGAS </v>
      </c>
      <c r="H989" s="52" t="str">
        <f>+IF('Data Pura Costos'!H989="","",'Data Pura Costos'!H989)</f>
        <v>Termo</v>
      </c>
      <c r="I989" s="71">
        <f>+IF('Data Pura Costos'!I989="","",'Data Pura Costos'!I989)</f>
        <v>4400</v>
      </c>
      <c r="J989" s="52" t="str">
        <f>+IF('Data Pura Costos'!J989="","",'Data Pura Costos'!J989)</f>
        <v>24-25</v>
      </c>
      <c r="K989" s="82" t="str">
        <f t="shared" si="20"/>
        <v xml:space="preserve">Talhuén-Mostazal-ARIEL VARGAS </v>
      </c>
    </row>
    <row r="990" spans="2:11" x14ac:dyDescent="0.35">
      <c r="B990" s="4" t="str">
        <f>+IF('Data Pura Costos'!B990="","",'Data Pura Costos'!B990)</f>
        <v>Villaseca</v>
      </c>
      <c r="C990" s="4" t="str">
        <f>+IF('Data Pura Costos'!C990="","",'Data Pura Costos'!C990)</f>
        <v>Retiro, VII reginón</v>
      </c>
      <c r="D990" s="5">
        <f>+IF('Data Pura Costos'!D990="","",'Data Pura Costos'!D990)</f>
        <v>162</v>
      </c>
      <c r="E990" s="65">
        <f>+IF('Data Pura Costos'!E990="","",IF('Data Pura Costos'!E990=0,MAX('Data Pura Costos'!$E$7:$E$3000)*1000,'Data Pura Costos'!E990))</f>
        <v>1306800</v>
      </c>
      <c r="F990" s="5" t="str">
        <f>+IF('Data Pura Costos'!F990="","",'Data Pura Costos'!F990)</f>
        <v>Mostazal</v>
      </c>
      <c r="G990" s="5" t="str">
        <f>+IF('Data Pura Costos'!G990="","",'Data Pura Costos'!G990)</f>
        <v xml:space="preserve">ARIEL VARGAS </v>
      </c>
      <c r="H990" s="52" t="str">
        <f>+IF('Data Pura Costos'!H990="","",'Data Pura Costos'!H990)</f>
        <v>Termo</v>
      </c>
      <c r="I990" s="71">
        <f>+IF('Data Pura Costos'!I990="","",'Data Pura Costos'!I990)</f>
        <v>8066.666666666667</v>
      </c>
      <c r="J990" s="52" t="str">
        <f>+IF('Data Pura Costos'!J990="","",'Data Pura Costos'!J990)</f>
        <v>24-25</v>
      </c>
      <c r="K990" s="82" t="str">
        <f t="shared" si="20"/>
        <v xml:space="preserve">Villaseca-Mostazal-ARIEL VARGAS </v>
      </c>
    </row>
    <row r="991" spans="2:11" x14ac:dyDescent="0.35">
      <c r="B991" s="4" t="str">
        <f>+IF('Data Pura Costos'!B991="","",'Data Pura Costos'!B991)</f>
        <v>Almahue</v>
      </c>
      <c r="C991" s="4" t="str">
        <f>+IF('Data Pura Costos'!C991="","",'Data Pura Costos'!C991)</f>
        <v>Pichidegua, VI región</v>
      </c>
      <c r="D991" s="5">
        <f>+IF('Data Pura Costos'!D991="","",'Data Pura Costos'!D991)</f>
        <v>134</v>
      </c>
      <c r="E991" s="65">
        <f>+IF('Data Pura Costos'!E991="","",IF('Data Pura Costos'!E991=0,MAX('Data Pura Costos'!$E$7:$E$3000)*1000,'Data Pura Costos'!E991))</f>
        <v>589600</v>
      </c>
      <c r="F991" s="5" t="str">
        <f>+IF('Data Pura Costos'!F991="","",'Data Pura Costos'!F991)</f>
        <v>Molina</v>
      </c>
      <c r="G991" s="5" t="str">
        <f>+IF('Data Pura Costos'!G991="","",'Data Pura Costos'!G991)</f>
        <v xml:space="preserve">ARIEL VARGAS </v>
      </c>
      <c r="H991" s="52" t="str">
        <f>+IF('Data Pura Costos'!H991="","",'Data Pura Costos'!H991)</f>
        <v>Termo</v>
      </c>
      <c r="I991" s="71">
        <f>+IF('Data Pura Costos'!I991="","",'Data Pura Costos'!I991)</f>
        <v>4400</v>
      </c>
      <c r="J991" s="52" t="str">
        <f>+IF('Data Pura Costos'!J991="","",'Data Pura Costos'!J991)</f>
        <v>24-25</v>
      </c>
      <c r="K991" s="82" t="str">
        <f t="shared" si="20"/>
        <v xml:space="preserve">Almahue-Molina-ARIEL VARGAS </v>
      </c>
    </row>
    <row r="992" spans="2:11" x14ac:dyDescent="0.35">
      <c r="B992" s="4" t="str">
        <f>+IF('Data Pura Costos'!B992="","",'Data Pura Costos'!B992)</f>
        <v>Bodega</v>
      </c>
      <c r="C992" s="4" t="str">
        <f>+IF('Data Pura Costos'!C992="","",'Data Pura Costos'!C992)</f>
        <v>Linares, VII region.</v>
      </c>
      <c r="D992" s="5">
        <f>+IF('Data Pura Costos'!D992="","",'Data Pura Costos'!D992)</f>
        <v>123</v>
      </c>
      <c r="E992" s="65">
        <f>+IF('Data Pura Costos'!E992="","",IF('Data Pura Costos'!E992=0,MAX('Data Pura Costos'!$E$7:$E$3000)*1000,'Data Pura Costos'!E992))</f>
        <v>541200</v>
      </c>
      <c r="F992" s="5" t="str">
        <f>+IF('Data Pura Costos'!F992="","",'Data Pura Costos'!F992)</f>
        <v>Molina</v>
      </c>
      <c r="G992" s="5" t="str">
        <f>+IF('Data Pura Costos'!G992="","",'Data Pura Costos'!G992)</f>
        <v xml:space="preserve">ARIEL VARGAS </v>
      </c>
      <c r="H992" s="52" t="str">
        <f>+IF('Data Pura Costos'!H992="","",'Data Pura Costos'!H992)</f>
        <v>Termo</v>
      </c>
      <c r="I992" s="71">
        <f>+IF('Data Pura Costos'!I992="","",'Data Pura Costos'!I992)</f>
        <v>4400</v>
      </c>
      <c r="J992" s="52" t="str">
        <f>+IF('Data Pura Costos'!J992="","",'Data Pura Costos'!J992)</f>
        <v>24-25</v>
      </c>
      <c r="K992" s="82" t="str">
        <f t="shared" si="20"/>
        <v xml:space="preserve">Bodega-Molina-ARIEL VARGAS </v>
      </c>
    </row>
    <row r="993" spans="2:11" x14ac:dyDescent="0.35">
      <c r="B993" s="4" t="str">
        <f>+IF('Data Pura Costos'!B993="","",'Data Pura Costos'!B993)</f>
        <v xml:space="preserve">Caliboro </v>
      </c>
      <c r="C993" s="4" t="str">
        <f>+IF('Data Pura Costos'!C993="","",'Data Pura Costos'!C993)</f>
        <v>San Javier, VII región</v>
      </c>
      <c r="D993" s="5">
        <f>+IF('Data Pura Costos'!D993="","",'Data Pura Costos'!D993)</f>
        <v>118</v>
      </c>
      <c r="E993" s="65">
        <f>+IF('Data Pura Costos'!E993="","",IF('Data Pura Costos'!E993=0,MAX('Data Pura Costos'!$E$7:$E$3000)*1000,'Data Pura Costos'!E993))</f>
        <v>519200</v>
      </c>
      <c r="F993" s="5" t="str">
        <f>+IF('Data Pura Costos'!F993="","",'Data Pura Costos'!F993)</f>
        <v>Molina</v>
      </c>
      <c r="G993" s="5" t="str">
        <f>+IF('Data Pura Costos'!G993="","",'Data Pura Costos'!G993)</f>
        <v xml:space="preserve">ARIEL VARGAS </v>
      </c>
      <c r="H993" s="52" t="str">
        <f>+IF('Data Pura Costos'!H993="","",'Data Pura Costos'!H993)</f>
        <v>Termo</v>
      </c>
      <c r="I993" s="71">
        <f>+IF('Data Pura Costos'!I993="","",'Data Pura Costos'!I993)</f>
        <v>4400</v>
      </c>
      <c r="J993" s="52" t="str">
        <f>+IF('Data Pura Costos'!J993="","",'Data Pura Costos'!J993)</f>
        <v>24-25</v>
      </c>
      <c r="K993" s="82" t="str">
        <f t="shared" si="20"/>
        <v xml:space="preserve">Caliboro -Molina-ARIEL VARGAS </v>
      </c>
    </row>
    <row r="994" spans="2:11" x14ac:dyDescent="0.35">
      <c r="B994" s="4" t="str">
        <f>+IF('Data Pura Costos'!B994="","",'Data Pura Costos'!B994)</f>
        <v>Calleuque</v>
      </c>
      <c r="C994" s="4" t="str">
        <f>+IF('Data Pura Costos'!C994="","",'Data Pura Costos'!C994)</f>
        <v>Peralillo ohiggins, VI región</v>
      </c>
      <c r="D994" s="5">
        <f>+IF('Data Pura Costos'!D994="","",'Data Pura Costos'!D994)</f>
        <v>103</v>
      </c>
      <c r="E994" s="65">
        <f>+IF('Data Pura Costos'!E994="","",IF('Data Pura Costos'!E994=0,MAX('Data Pura Costos'!$E$7:$E$3000)*1000,'Data Pura Costos'!E994))</f>
        <v>460200</v>
      </c>
      <c r="F994" s="5" t="str">
        <f>+IF('Data Pura Costos'!F994="","",'Data Pura Costos'!F994)</f>
        <v>Molina</v>
      </c>
      <c r="G994" s="5" t="str">
        <f>+IF('Data Pura Costos'!G994="","",'Data Pura Costos'!G994)</f>
        <v xml:space="preserve">ARIEL VARGAS </v>
      </c>
      <c r="H994" s="52" t="str">
        <f>+IF('Data Pura Costos'!H994="","",'Data Pura Costos'!H994)</f>
        <v>Termo</v>
      </c>
      <c r="I994" s="71">
        <f>+IF('Data Pura Costos'!I994="","",'Data Pura Costos'!I994)</f>
        <v>4467.961165048544</v>
      </c>
      <c r="J994" s="52" t="str">
        <f>+IF('Data Pura Costos'!J994="","",'Data Pura Costos'!J994)</f>
        <v>24-25</v>
      </c>
      <c r="K994" s="82" t="str">
        <f t="shared" si="20"/>
        <v xml:space="preserve">Calleuque-Molina-ARIEL VARGAS </v>
      </c>
    </row>
    <row r="995" spans="2:11" x14ac:dyDescent="0.35">
      <c r="B995" s="4" t="str">
        <f>+IF('Data Pura Costos'!B995="","",'Data Pura Costos'!B995)</f>
        <v>Chumpirro</v>
      </c>
      <c r="C995" s="4" t="str">
        <f>+IF('Data Pura Costos'!C995="","",'Data Pura Costos'!C995)</f>
        <v>Angol, IX región</v>
      </c>
      <c r="D995" s="5">
        <f>+IF('Data Pura Costos'!D995="","",'Data Pura Costos'!D995)</f>
        <v>358</v>
      </c>
      <c r="E995" s="65">
        <f>+IF('Data Pura Costos'!E995="","",IF('Data Pura Costos'!E995=0,MAX('Data Pura Costos'!$E$7:$E$3000)*1000,'Data Pura Costos'!E995))</f>
        <v>1575200</v>
      </c>
      <c r="F995" s="5" t="str">
        <f>+IF('Data Pura Costos'!F995="","",'Data Pura Costos'!F995)</f>
        <v>Molina</v>
      </c>
      <c r="G995" s="5" t="str">
        <f>+IF('Data Pura Costos'!G995="","",'Data Pura Costos'!G995)</f>
        <v xml:space="preserve">ARIEL VARGAS </v>
      </c>
      <c r="H995" s="52" t="str">
        <f>+IF('Data Pura Costos'!H995="","",'Data Pura Costos'!H995)</f>
        <v>Termo</v>
      </c>
      <c r="I995" s="71">
        <f>+IF('Data Pura Costos'!I995="","",'Data Pura Costos'!I995)</f>
        <v>4400</v>
      </c>
      <c r="J995" s="52" t="str">
        <f>+IF('Data Pura Costos'!J995="","",'Data Pura Costos'!J995)</f>
        <v>24-25</v>
      </c>
      <c r="K995" s="82" t="str">
        <f t="shared" si="20"/>
        <v xml:space="preserve">Chumpirro-Molina-ARIEL VARGAS </v>
      </c>
    </row>
    <row r="996" spans="2:11" x14ac:dyDescent="0.35">
      <c r="B996" s="4" t="str">
        <f>+IF('Data Pura Costos'!B996="","",'Data Pura Costos'!B996)</f>
        <v xml:space="preserve"> Cocalán</v>
      </c>
      <c r="C996" s="4" t="str">
        <f>+IF('Data Pura Costos'!C996="","",'Data Pura Costos'!C996)</f>
        <v>Cocalán, VI región</v>
      </c>
      <c r="D996" s="5">
        <f>+IF('Data Pura Costos'!D996="","",'Data Pura Costos'!D996)</f>
        <v>141</v>
      </c>
      <c r="E996" s="65">
        <f>+IF('Data Pura Costos'!E996="","",IF('Data Pura Costos'!E996=0,MAX('Data Pura Costos'!$E$7:$E$3000)*1000,'Data Pura Costos'!E996))</f>
        <v>620400</v>
      </c>
      <c r="F996" s="5" t="str">
        <f>+IF('Data Pura Costos'!F996="","",'Data Pura Costos'!F996)</f>
        <v>Molina</v>
      </c>
      <c r="G996" s="5" t="str">
        <f>+IF('Data Pura Costos'!G996="","",'Data Pura Costos'!G996)</f>
        <v xml:space="preserve">ARIEL VARGAS </v>
      </c>
      <c r="H996" s="52" t="str">
        <f>+IF('Data Pura Costos'!H996="","",'Data Pura Costos'!H996)</f>
        <v>Termo</v>
      </c>
      <c r="I996" s="71">
        <f>+IF('Data Pura Costos'!I996="","",'Data Pura Costos'!I996)</f>
        <v>4400</v>
      </c>
      <c r="J996" s="52" t="str">
        <f>+IF('Data Pura Costos'!J996="","",'Data Pura Costos'!J996)</f>
        <v>24-25</v>
      </c>
      <c r="K996" s="82" t="str">
        <f t="shared" si="20"/>
        <v xml:space="preserve"> Cocalán-Molina-ARIEL VARGAS </v>
      </c>
    </row>
    <row r="997" spans="2:11" x14ac:dyDescent="0.35">
      <c r="B997" s="4" t="str">
        <f>+IF('Data Pura Costos'!B997="","",'Data Pura Costos'!B997)</f>
        <v>El Cóndor</v>
      </c>
      <c r="C997" s="4" t="str">
        <f>+IF('Data Pura Costos'!C997="","",'Data Pura Costos'!C997)</f>
        <v>Chimbarongo, VI Region.</v>
      </c>
      <c r="D997" s="5">
        <f>+IF('Data Pura Costos'!D997="","",'Data Pura Costos'!D997)</f>
        <v>60</v>
      </c>
      <c r="E997" s="65">
        <f>+IF('Data Pura Costos'!E997="","",IF('Data Pura Costos'!E997=0,MAX('Data Pura Costos'!$E$7:$E$3000)*1000,'Data Pura Costos'!E997))</f>
        <v>300000</v>
      </c>
      <c r="F997" s="5" t="str">
        <f>+IF('Data Pura Costos'!F997="","",'Data Pura Costos'!F997)</f>
        <v>Molina</v>
      </c>
      <c r="G997" s="5" t="str">
        <f>+IF('Data Pura Costos'!G997="","",'Data Pura Costos'!G997)</f>
        <v xml:space="preserve">ARIEL VARGAS </v>
      </c>
      <c r="H997" s="52" t="str">
        <f>+IF('Data Pura Costos'!H997="","",'Data Pura Costos'!H997)</f>
        <v>Termo</v>
      </c>
      <c r="I997" s="71">
        <f>+IF('Data Pura Costos'!I997="","",'Data Pura Costos'!I997)</f>
        <v>5000</v>
      </c>
      <c r="J997" s="52" t="str">
        <f>+IF('Data Pura Costos'!J997="","",'Data Pura Costos'!J997)</f>
        <v>24-25</v>
      </c>
      <c r="K997" s="82" t="str">
        <f t="shared" si="20"/>
        <v xml:space="preserve">El Cóndor-Molina-ARIEL VARGAS </v>
      </c>
    </row>
    <row r="998" spans="2:11" x14ac:dyDescent="0.35">
      <c r="B998" s="4" t="str">
        <f>+IF('Data Pura Costos'!B998="","",'Data Pura Costos'!B998)</f>
        <v>El Descanso</v>
      </c>
      <c r="C998" s="4" t="str">
        <f>+IF('Data Pura Costos'!C998="","",'Data Pura Costos'!C998)</f>
        <v>Sagrada Familia, VII región</v>
      </c>
      <c r="D998" s="5">
        <f>+IF('Data Pura Costos'!D998="","",'Data Pura Costos'!D998)</f>
        <v>22</v>
      </c>
      <c r="E998" s="65">
        <f>+IF('Data Pura Costos'!E998="","",IF('Data Pura Costos'!E998=0,MAX('Data Pura Costos'!$E$7:$E$3000)*1000,'Data Pura Costos'!E998))</f>
        <v>300000</v>
      </c>
      <c r="F998" s="5" t="str">
        <f>+IF('Data Pura Costos'!F998="","",'Data Pura Costos'!F998)</f>
        <v>Molina</v>
      </c>
      <c r="G998" s="5" t="str">
        <f>+IF('Data Pura Costos'!G998="","",'Data Pura Costos'!G998)</f>
        <v xml:space="preserve">ARIEL VARGAS </v>
      </c>
      <c r="H998" s="52" t="str">
        <f>+IF('Data Pura Costos'!H998="","",'Data Pura Costos'!H998)</f>
        <v>Termo</v>
      </c>
      <c r="I998" s="71">
        <f>+IF('Data Pura Costos'!I998="","",'Data Pura Costos'!I998)</f>
        <v>13636.363636363636</v>
      </c>
      <c r="J998" s="52" t="str">
        <f>+IF('Data Pura Costos'!J998="","",'Data Pura Costos'!J998)</f>
        <v>24-25</v>
      </c>
      <c r="K998" s="82" t="str">
        <f t="shared" si="20"/>
        <v xml:space="preserve">El Descanso-Molina-ARIEL VARGAS </v>
      </c>
    </row>
    <row r="999" spans="2:11" x14ac:dyDescent="0.35">
      <c r="B999" s="4" t="str">
        <f>+IF('Data Pura Costos'!B999="","",'Data Pura Costos'!B999)</f>
        <v>El Espino</v>
      </c>
      <c r="C999" s="4" t="str">
        <f>+IF('Data Pura Costos'!C999="","",'Data Pura Costos'!C999)</f>
        <v>Colbún, VII región</v>
      </c>
      <c r="D999" s="5">
        <f>+IF('Data Pura Costos'!D999="","",'Data Pura Costos'!D999)</f>
        <v>100</v>
      </c>
      <c r="E999" s="65">
        <f>+IF('Data Pura Costos'!E999="","",IF('Data Pura Costos'!E999=0,MAX('Data Pura Costos'!$E$7:$E$3000)*1000,'Data Pura Costos'!E999))</f>
        <v>450000</v>
      </c>
      <c r="F999" s="5" t="str">
        <f>+IF('Data Pura Costos'!F999="","",'Data Pura Costos'!F999)</f>
        <v>Molina</v>
      </c>
      <c r="G999" s="5" t="str">
        <f>+IF('Data Pura Costos'!G999="","",'Data Pura Costos'!G999)</f>
        <v xml:space="preserve">ARIEL VARGAS </v>
      </c>
      <c r="H999" s="52" t="str">
        <f>+IF('Data Pura Costos'!H999="","",'Data Pura Costos'!H999)</f>
        <v>Termo</v>
      </c>
      <c r="I999" s="71">
        <f>+IF('Data Pura Costos'!I999="","",'Data Pura Costos'!I999)</f>
        <v>4500</v>
      </c>
      <c r="J999" s="52" t="str">
        <f>+IF('Data Pura Costos'!J999="","",'Data Pura Costos'!J999)</f>
        <v>24-25</v>
      </c>
      <c r="K999" s="82" t="str">
        <f t="shared" si="20"/>
        <v xml:space="preserve">El Espino-Molina-ARIEL VARGAS </v>
      </c>
    </row>
    <row r="1000" spans="2:11" x14ac:dyDescent="0.35">
      <c r="B1000" s="4" t="str">
        <f>+IF('Data Pura Costos'!B1000="","",'Data Pura Costos'!B1000)</f>
        <v>El Huaico</v>
      </c>
      <c r="C1000" s="4" t="str">
        <f>+IF('Data Pura Costos'!C1000="","",'Data Pura Costos'!C1000)</f>
        <v>Palmila Ohiggins</v>
      </c>
      <c r="D1000" s="5">
        <f>+IF('Data Pura Costos'!D1000="","",'Data Pura Costos'!D1000)</f>
        <v>85</v>
      </c>
      <c r="E1000" s="65">
        <f>+IF('Data Pura Costos'!E1000="","",IF('Data Pura Costos'!E1000=0,MAX('Data Pura Costos'!$E$7:$E$3000)*1000,'Data Pura Costos'!E1000))</f>
        <v>400000</v>
      </c>
      <c r="F1000" s="5" t="str">
        <f>+IF('Data Pura Costos'!F1000="","",'Data Pura Costos'!F1000)</f>
        <v>Molina</v>
      </c>
      <c r="G1000" s="5" t="str">
        <f>+IF('Data Pura Costos'!G1000="","",'Data Pura Costos'!G1000)</f>
        <v xml:space="preserve">ARIEL VARGAS </v>
      </c>
      <c r="H1000" s="52" t="str">
        <f>+IF('Data Pura Costos'!H1000="","",'Data Pura Costos'!H1000)</f>
        <v>Termo</v>
      </c>
      <c r="I1000" s="71">
        <f>+IF('Data Pura Costos'!I1000="","",'Data Pura Costos'!I1000)</f>
        <v>4705.8823529411766</v>
      </c>
      <c r="J1000" s="52" t="str">
        <f>+IF('Data Pura Costos'!J1000="","",'Data Pura Costos'!J1000)</f>
        <v>24-25</v>
      </c>
      <c r="K1000" s="82" t="str">
        <f t="shared" si="20"/>
        <v xml:space="preserve">El Huaico-Molina-ARIEL VARGAS </v>
      </c>
    </row>
    <row r="1001" spans="2:11" x14ac:dyDescent="0.35">
      <c r="B1001" s="4" t="str">
        <f>+IF('Data Pura Costos'!B1001="","",'Data Pura Costos'!B1001)</f>
        <v>El Parque</v>
      </c>
      <c r="C1001" s="4" t="str">
        <f>+IF('Data Pura Costos'!C1001="","",'Data Pura Costos'!C1001)</f>
        <v>San Francisco de Mostazal.VI Region.</v>
      </c>
      <c r="D1001" s="5">
        <f>+IF('Data Pura Costos'!D1001="","",'Data Pura Costos'!D1001)</f>
        <v>144</v>
      </c>
      <c r="E1001" s="65">
        <f>+IF('Data Pura Costos'!E1001="","",IF('Data Pura Costos'!E1001=0,MAX('Data Pura Costos'!$E$7:$E$3000)*1000,'Data Pura Costos'!E1001))</f>
        <v>633600</v>
      </c>
      <c r="F1001" s="5" t="str">
        <f>+IF('Data Pura Costos'!F1001="","",'Data Pura Costos'!F1001)</f>
        <v>Molina</v>
      </c>
      <c r="G1001" s="5" t="str">
        <f>+IF('Data Pura Costos'!G1001="","",'Data Pura Costos'!G1001)</f>
        <v xml:space="preserve">ARIEL VARGAS </v>
      </c>
      <c r="H1001" s="52" t="str">
        <f>+IF('Data Pura Costos'!H1001="","",'Data Pura Costos'!H1001)</f>
        <v>Termo</v>
      </c>
      <c r="I1001" s="71">
        <f>+IF('Data Pura Costos'!I1001="","",'Data Pura Costos'!I1001)</f>
        <v>4400</v>
      </c>
      <c r="J1001" s="52" t="str">
        <f>+IF('Data Pura Costos'!J1001="","",'Data Pura Costos'!J1001)</f>
        <v>24-25</v>
      </c>
      <c r="K1001" s="82" t="str">
        <f t="shared" si="20"/>
        <v xml:space="preserve">El Parque-Molina-ARIEL VARGAS </v>
      </c>
    </row>
    <row r="1002" spans="2:11" x14ac:dyDescent="0.35">
      <c r="B1002" s="4" t="str">
        <f>+IF('Data Pura Costos'!B1002="","",'Data Pura Costos'!B1002)</f>
        <v>El Picaso</v>
      </c>
      <c r="C1002" s="4" t="str">
        <f>+IF('Data Pura Costos'!C1002="","",'Data Pura Costos'!C1002)</f>
        <v xml:space="preserve">San Clemente, VII región </v>
      </c>
      <c r="D1002" s="5">
        <f>+IF('Data Pura Costos'!D1002="","",'Data Pura Costos'!D1002)</f>
        <v>60</v>
      </c>
      <c r="E1002" s="65">
        <f>+IF('Data Pura Costos'!E1002="","",IF('Data Pura Costos'!E1002=0,MAX('Data Pura Costos'!$E$7:$E$3000)*1000,'Data Pura Costos'!E1002))</f>
        <v>300000</v>
      </c>
      <c r="F1002" s="5" t="str">
        <f>+IF('Data Pura Costos'!F1002="","",'Data Pura Costos'!F1002)</f>
        <v>Molina</v>
      </c>
      <c r="G1002" s="5" t="str">
        <f>+IF('Data Pura Costos'!G1002="","",'Data Pura Costos'!G1002)</f>
        <v xml:space="preserve">ARIEL VARGAS </v>
      </c>
      <c r="H1002" s="52" t="str">
        <f>+IF('Data Pura Costos'!H1002="","",'Data Pura Costos'!H1002)</f>
        <v>Termo</v>
      </c>
      <c r="I1002" s="71">
        <f>+IF('Data Pura Costos'!I1002="","",'Data Pura Costos'!I1002)</f>
        <v>5000</v>
      </c>
      <c r="J1002" s="52" t="str">
        <f>+IF('Data Pura Costos'!J1002="","",'Data Pura Costos'!J1002)</f>
        <v>24-25</v>
      </c>
      <c r="K1002" s="82" t="str">
        <f t="shared" si="20"/>
        <v xml:space="preserve">El Picaso-Molina-ARIEL VARGAS </v>
      </c>
    </row>
    <row r="1003" spans="2:11" x14ac:dyDescent="0.35">
      <c r="B1003" s="4" t="str">
        <f>+IF('Data Pura Costos'!B1003="","",'Data Pura Costos'!B1003)</f>
        <v>El Recurso</v>
      </c>
      <c r="C1003" s="4" t="str">
        <f>+IF('Data Pura Costos'!C1003="","",'Data Pura Costos'!C1003)</f>
        <v>San Francisco de Mostazal.VI Region.</v>
      </c>
      <c r="D1003" s="5">
        <f>+IF('Data Pura Costos'!D1003="","",'Data Pura Costos'!D1003)</f>
        <v>144</v>
      </c>
      <c r="E1003" s="65">
        <f>+IF('Data Pura Costos'!E1003="","",IF('Data Pura Costos'!E1003=0,MAX('Data Pura Costos'!$E$7:$E$3000)*1000,'Data Pura Costos'!E1003))</f>
        <v>633600</v>
      </c>
      <c r="F1003" s="5" t="str">
        <f>+IF('Data Pura Costos'!F1003="","",'Data Pura Costos'!F1003)</f>
        <v>Molina</v>
      </c>
      <c r="G1003" s="5" t="str">
        <f>+IF('Data Pura Costos'!G1003="","",'Data Pura Costos'!G1003)</f>
        <v xml:space="preserve">ARIEL VARGAS </v>
      </c>
      <c r="H1003" s="52" t="str">
        <f>+IF('Data Pura Costos'!H1003="","",'Data Pura Costos'!H1003)</f>
        <v>Termo</v>
      </c>
      <c r="I1003" s="71">
        <f>+IF('Data Pura Costos'!I1003="","",'Data Pura Costos'!I1003)</f>
        <v>4400</v>
      </c>
      <c r="J1003" s="52" t="str">
        <f>+IF('Data Pura Costos'!J1003="","",'Data Pura Costos'!J1003)</f>
        <v>24-25</v>
      </c>
      <c r="K1003" s="82" t="str">
        <f t="shared" si="20"/>
        <v xml:space="preserve">El Recurso-Molina-ARIEL VARGAS </v>
      </c>
    </row>
    <row r="1004" spans="2:11" x14ac:dyDescent="0.35">
      <c r="B1004" s="4" t="str">
        <f>+IF('Data Pura Costos'!B1004="","",'Data Pura Costos'!B1004)</f>
        <v>El Rosario</v>
      </c>
      <c r="C1004" s="4" t="str">
        <f>+IF('Data Pura Costos'!C1004="","",'Data Pura Costos'!C1004)</f>
        <v>Linares, VII region.</v>
      </c>
      <c r="D1004" s="5">
        <f>+IF('Data Pura Costos'!D1004="","",'Data Pura Costos'!D1004)</f>
        <v>120</v>
      </c>
      <c r="E1004" s="65">
        <f>+IF('Data Pura Costos'!E1004="","",IF('Data Pura Costos'!E1004=0,MAX('Data Pura Costos'!$E$7:$E$3000)*1000,'Data Pura Costos'!E1004))</f>
        <v>530000</v>
      </c>
      <c r="F1004" s="5" t="str">
        <f>+IF('Data Pura Costos'!F1004="","",'Data Pura Costos'!F1004)</f>
        <v>Molina</v>
      </c>
      <c r="G1004" s="5" t="str">
        <f>+IF('Data Pura Costos'!G1004="","",'Data Pura Costos'!G1004)</f>
        <v xml:space="preserve">ARIEL VARGAS </v>
      </c>
      <c r="H1004" s="52" t="str">
        <f>+IF('Data Pura Costos'!H1004="","",'Data Pura Costos'!H1004)</f>
        <v>Termo</v>
      </c>
      <c r="I1004" s="71">
        <f>+IF('Data Pura Costos'!I1004="","",'Data Pura Costos'!I1004)</f>
        <v>4416.666666666667</v>
      </c>
      <c r="J1004" s="52" t="str">
        <f>+IF('Data Pura Costos'!J1004="","",'Data Pura Costos'!J1004)</f>
        <v>24-25</v>
      </c>
      <c r="K1004" s="82" t="str">
        <f t="shared" si="20"/>
        <v xml:space="preserve">El Rosario-Molina-ARIEL VARGAS </v>
      </c>
    </row>
    <row r="1005" spans="2:11" x14ac:dyDescent="0.35">
      <c r="B1005" s="4" t="str">
        <f>+IF('Data Pura Costos'!B1005="","",'Data Pura Costos'!B1005)</f>
        <v>El Retiro</v>
      </c>
      <c r="C1005" s="4" t="str">
        <f>+IF('Data Pura Costos'!C1005="","",'Data Pura Costos'!C1005)</f>
        <v>Rosario, VI Region.</v>
      </c>
      <c r="D1005" s="5">
        <f>+IF('Data Pura Costos'!D1005="","",'Data Pura Costos'!D1005)</f>
        <v>100</v>
      </c>
      <c r="E1005" s="65">
        <f>+IF('Data Pura Costos'!E1005="","",IF('Data Pura Costos'!E1005=0,MAX('Data Pura Costos'!$E$7:$E$3000)*1000,'Data Pura Costos'!E1005))</f>
        <v>450000</v>
      </c>
      <c r="F1005" s="5" t="str">
        <f>+IF('Data Pura Costos'!F1005="","",'Data Pura Costos'!F1005)</f>
        <v>Molina</v>
      </c>
      <c r="G1005" s="5" t="str">
        <f>+IF('Data Pura Costos'!G1005="","",'Data Pura Costos'!G1005)</f>
        <v xml:space="preserve">ARIEL VARGAS </v>
      </c>
      <c r="H1005" s="52" t="str">
        <f>+IF('Data Pura Costos'!H1005="","",'Data Pura Costos'!H1005)</f>
        <v>Termo</v>
      </c>
      <c r="I1005" s="71">
        <f>+IF('Data Pura Costos'!I1005="","",'Data Pura Costos'!I1005)</f>
        <v>4500</v>
      </c>
      <c r="J1005" s="52" t="str">
        <f>+IF('Data Pura Costos'!J1005="","",'Data Pura Costos'!J1005)</f>
        <v>24-25</v>
      </c>
      <c r="K1005" s="82" t="str">
        <f t="shared" si="20"/>
        <v xml:space="preserve">El Retiro-Molina-ARIEL VARGAS </v>
      </c>
    </row>
    <row r="1006" spans="2:11" x14ac:dyDescent="0.35">
      <c r="B1006" s="4" t="str">
        <f>+IF('Data Pura Costos'!B1006="","",'Data Pura Costos'!B1006)</f>
        <v>La Esperanza</v>
      </c>
      <c r="C1006" s="4" t="str">
        <f>+IF('Data Pura Costos'!C1006="","",'Data Pura Costos'!C1006)</f>
        <v>Peumo, VI región</v>
      </c>
      <c r="D1006" s="5">
        <f>+IF('Data Pura Costos'!D1006="","",'Data Pura Costos'!D1006)</f>
        <v>125</v>
      </c>
      <c r="E1006" s="65">
        <f>+IF('Data Pura Costos'!E1006="","",IF('Data Pura Costos'!E1006=0,MAX('Data Pura Costos'!$E$7:$E$3000)*1000,'Data Pura Costos'!E1006))</f>
        <v>550000</v>
      </c>
      <c r="F1006" s="5" t="str">
        <f>+IF('Data Pura Costos'!F1006="","",'Data Pura Costos'!F1006)</f>
        <v>Molina</v>
      </c>
      <c r="G1006" s="5" t="str">
        <f>+IF('Data Pura Costos'!G1006="","",'Data Pura Costos'!G1006)</f>
        <v xml:space="preserve">ARIEL VARGAS </v>
      </c>
      <c r="H1006" s="52" t="str">
        <f>+IF('Data Pura Costos'!H1006="","",'Data Pura Costos'!H1006)</f>
        <v>Termo</v>
      </c>
      <c r="I1006" s="71">
        <f>+IF('Data Pura Costos'!I1006="","",'Data Pura Costos'!I1006)</f>
        <v>4400</v>
      </c>
      <c r="J1006" s="52" t="str">
        <f>+IF('Data Pura Costos'!J1006="","",'Data Pura Costos'!J1006)</f>
        <v>24-25</v>
      </c>
      <c r="K1006" s="82" t="str">
        <f t="shared" si="20"/>
        <v xml:space="preserve">La Esperanza-Molina-ARIEL VARGAS </v>
      </c>
    </row>
    <row r="1007" spans="2:11" x14ac:dyDescent="0.35">
      <c r="B1007" s="4" t="str">
        <f>+IF('Data Pura Costos'!B1007="","",'Data Pura Costos'!B1007)</f>
        <v>La Estación</v>
      </c>
      <c r="C1007" s="4" t="str">
        <f>+IF('Data Pura Costos'!C1007="","",'Data Pura Costos'!C1007)</f>
        <v>Palmilla, VI región</v>
      </c>
      <c r="D1007" s="5">
        <f>+IF('Data Pura Costos'!D1007="","",'Data Pura Costos'!D1007)</f>
        <v>90</v>
      </c>
      <c r="E1007" s="65">
        <f>+IF('Data Pura Costos'!E1007="","",IF('Data Pura Costos'!E1007=0,MAX('Data Pura Costos'!$E$7:$E$3000)*1000,'Data Pura Costos'!E1007))</f>
        <v>450000</v>
      </c>
      <c r="F1007" s="5" t="str">
        <f>+IF('Data Pura Costos'!F1007="","",'Data Pura Costos'!F1007)</f>
        <v>Molina</v>
      </c>
      <c r="G1007" s="5" t="str">
        <f>+IF('Data Pura Costos'!G1007="","",'Data Pura Costos'!G1007)</f>
        <v xml:space="preserve">ARIEL VARGAS </v>
      </c>
      <c r="H1007" s="52" t="str">
        <f>+IF('Data Pura Costos'!H1007="","",'Data Pura Costos'!H1007)</f>
        <v>Termo</v>
      </c>
      <c r="I1007" s="71">
        <f>+IF('Data Pura Costos'!I1007="","",'Data Pura Costos'!I1007)</f>
        <v>5000</v>
      </c>
      <c r="J1007" s="52" t="str">
        <f>+IF('Data Pura Costos'!J1007="","",'Data Pura Costos'!J1007)</f>
        <v>24-25</v>
      </c>
      <c r="K1007" s="82" t="str">
        <f t="shared" si="20"/>
        <v xml:space="preserve">La Estación-Molina-ARIEL VARGAS </v>
      </c>
    </row>
    <row r="1008" spans="2:11" x14ac:dyDescent="0.35">
      <c r="B1008" s="4" t="str">
        <f>+IF('Data Pura Costos'!B1008="","",'Data Pura Costos'!B1008)</f>
        <v>La Lajuela</v>
      </c>
      <c r="C1008" s="4" t="str">
        <f>+IF('Data Pura Costos'!C1008="","",'Data Pura Costos'!C1008)</f>
        <v>Santa Cruz, VI Región</v>
      </c>
      <c r="D1008" s="5">
        <f>+IF('Data Pura Costos'!D1008="","",'Data Pura Costos'!D1008)</f>
        <v>80</v>
      </c>
      <c r="E1008" s="65">
        <f>+IF('Data Pura Costos'!E1008="","",IF('Data Pura Costos'!E1008=0,MAX('Data Pura Costos'!$E$7:$E$3000)*1000,'Data Pura Costos'!E1008))</f>
        <v>450000</v>
      </c>
      <c r="F1008" s="5" t="str">
        <f>+IF('Data Pura Costos'!F1008="","",'Data Pura Costos'!F1008)</f>
        <v>Molina</v>
      </c>
      <c r="G1008" s="5" t="str">
        <f>+IF('Data Pura Costos'!G1008="","",'Data Pura Costos'!G1008)</f>
        <v xml:space="preserve">ARIEL VARGAS </v>
      </c>
      <c r="H1008" s="52" t="str">
        <f>+IF('Data Pura Costos'!H1008="","",'Data Pura Costos'!H1008)</f>
        <v>Termo</v>
      </c>
      <c r="I1008" s="71">
        <f>+IF('Data Pura Costos'!I1008="","",'Data Pura Costos'!I1008)</f>
        <v>5625</v>
      </c>
      <c r="J1008" s="52" t="str">
        <f>+IF('Data Pura Costos'!J1008="","",'Data Pura Costos'!J1008)</f>
        <v>24-25</v>
      </c>
      <c r="K1008" s="82" t="str">
        <f t="shared" si="20"/>
        <v xml:space="preserve">La Lajuela-Molina-ARIEL VARGAS </v>
      </c>
    </row>
    <row r="1009" spans="2:11" x14ac:dyDescent="0.35">
      <c r="B1009" s="4" t="str">
        <f>+IF('Data Pura Costos'!B1009="","",'Data Pura Costos'!B1009)</f>
        <v>La Morera</v>
      </c>
      <c r="C1009" s="4" t="str">
        <f>+IF('Data Pura Costos'!C1009="","",'Data Pura Costos'!C1009)</f>
        <v>La compañia, VI Region.</v>
      </c>
      <c r="D1009" s="5">
        <f>+IF('Data Pura Costos'!D1009="","",'Data Pura Costos'!D1009)</f>
        <v>130</v>
      </c>
      <c r="E1009" s="65">
        <f>+IF('Data Pura Costos'!E1009="","",IF('Data Pura Costos'!E1009=0,MAX('Data Pura Costos'!$E$7:$E$3000)*1000,'Data Pura Costos'!E1009))</f>
        <v>572000</v>
      </c>
      <c r="F1009" s="5" t="str">
        <f>+IF('Data Pura Costos'!F1009="","",'Data Pura Costos'!F1009)</f>
        <v>Molina</v>
      </c>
      <c r="G1009" s="5" t="str">
        <f>+IF('Data Pura Costos'!G1009="","",'Data Pura Costos'!G1009)</f>
        <v xml:space="preserve">ARIEL VARGAS </v>
      </c>
      <c r="H1009" s="52" t="str">
        <f>+IF('Data Pura Costos'!H1009="","",'Data Pura Costos'!H1009)</f>
        <v>Termo</v>
      </c>
      <c r="I1009" s="71">
        <f>+IF('Data Pura Costos'!I1009="","",'Data Pura Costos'!I1009)</f>
        <v>4400</v>
      </c>
      <c r="J1009" s="52" t="str">
        <f>+IF('Data Pura Costos'!J1009="","",'Data Pura Costos'!J1009)</f>
        <v>24-25</v>
      </c>
      <c r="K1009" s="82" t="str">
        <f t="shared" si="20"/>
        <v xml:space="preserve">La Morera-Molina-ARIEL VARGAS </v>
      </c>
    </row>
    <row r="1010" spans="2:11" x14ac:dyDescent="0.35">
      <c r="B1010" s="4" t="str">
        <f>+IF('Data Pura Costos'!B1010="","",'Data Pura Costos'!B1010)</f>
        <v>La Rinconada</v>
      </c>
      <c r="C1010" s="4" t="str">
        <f>+IF('Data Pura Costos'!C1010="","",'Data Pura Costos'!C1010)</f>
        <v>Pichidegua, VI región</v>
      </c>
      <c r="D1010" s="5">
        <f>+IF('Data Pura Costos'!D1010="","",'Data Pura Costos'!D1010)</f>
        <v>133</v>
      </c>
      <c r="E1010" s="65">
        <f>+IF('Data Pura Costos'!E1010="","",IF('Data Pura Costos'!E1010=0,MAX('Data Pura Costos'!$E$7:$E$3000)*1000,'Data Pura Costos'!E1010))</f>
        <v>585200</v>
      </c>
      <c r="F1010" s="5" t="str">
        <f>+IF('Data Pura Costos'!F1010="","",'Data Pura Costos'!F1010)</f>
        <v>Molina</v>
      </c>
      <c r="G1010" s="5" t="str">
        <f>+IF('Data Pura Costos'!G1010="","",'Data Pura Costos'!G1010)</f>
        <v xml:space="preserve">ARIEL VARGAS </v>
      </c>
      <c r="H1010" s="52" t="str">
        <f>+IF('Data Pura Costos'!H1010="","",'Data Pura Costos'!H1010)</f>
        <v>Termo</v>
      </c>
      <c r="I1010" s="71">
        <f>+IF('Data Pura Costos'!I1010="","",'Data Pura Costos'!I1010)</f>
        <v>4400</v>
      </c>
      <c r="J1010" s="52" t="str">
        <f>+IF('Data Pura Costos'!J1010="","",'Data Pura Costos'!J1010)</f>
        <v>24-25</v>
      </c>
      <c r="K1010" s="82" t="str">
        <f t="shared" si="20"/>
        <v xml:space="preserve">La Rinconada-Molina-ARIEL VARGAS </v>
      </c>
    </row>
    <row r="1011" spans="2:11" x14ac:dyDescent="0.35">
      <c r="B1011" s="4" t="str">
        <f>+IF('Data Pura Costos'!B1011="","",'Data Pura Costos'!B1011)</f>
        <v xml:space="preserve">La Roblería </v>
      </c>
      <c r="C1011" s="4" t="str">
        <f>+IF('Data Pura Costos'!C1011="","",'Data Pura Costos'!C1011)</f>
        <v>Aculeo, RM</v>
      </c>
      <c r="D1011" s="5">
        <f>+IF('Data Pura Costos'!D1011="","",'Data Pura Costos'!D1011)</f>
        <v>180</v>
      </c>
      <c r="E1011" s="65">
        <f>+IF('Data Pura Costos'!E1011="","",IF('Data Pura Costos'!E1011=0,MAX('Data Pura Costos'!$E$7:$E$3000)*1000,'Data Pura Costos'!E1011))</f>
        <v>792000</v>
      </c>
      <c r="F1011" s="5" t="str">
        <f>+IF('Data Pura Costos'!F1011="","",'Data Pura Costos'!F1011)</f>
        <v>Molina</v>
      </c>
      <c r="G1011" s="5" t="str">
        <f>+IF('Data Pura Costos'!G1011="","",'Data Pura Costos'!G1011)</f>
        <v xml:space="preserve">ARIEL VARGAS </v>
      </c>
      <c r="H1011" s="52" t="str">
        <f>+IF('Data Pura Costos'!H1011="","",'Data Pura Costos'!H1011)</f>
        <v>Termo</v>
      </c>
      <c r="I1011" s="71">
        <f>+IF('Data Pura Costos'!I1011="","",'Data Pura Costos'!I1011)</f>
        <v>4400</v>
      </c>
      <c r="J1011" s="52" t="str">
        <f>+IF('Data Pura Costos'!J1011="","",'Data Pura Costos'!J1011)</f>
        <v>24-25</v>
      </c>
      <c r="K1011" s="82" t="str">
        <f t="shared" si="20"/>
        <v xml:space="preserve">La Roblería -Molina-ARIEL VARGAS </v>
      </c>
    </row>
    <row r="1012" spans="2:11" x14ac:dyDescent="0.35">
      <c r="B1012" s="4" t="str">
        <f>+IF('Data Pura Costos'!B1012="","",'Data Pura Costos'!B1012)</f>
        <v>Las Cabras</v>
      </c>
      <c r="C1012" s="4" t="str">
        <f>+IF('Data Pura Costos'!C1012="","",'Data Pura Costos'!C1012)</f>
        <v>Las Cabras, VI región</v>
      </c>
      <c r="D1012" s="5">
        <f>+IF('Data Pura Costos'!D1012="","",'Data Pura Costos'!D1012)</f>
        <v>140</v>
      </c>
      <c r="E1012" s="65">
        <f>+IF('Data Pura Costos'!E1012="","",IF('Data Pura Costos'!E1012=0,MAX('Data Pura Costos'!$E$7:$E$3000)*1000,'Data Pura Costos'!E1012))</f>
        <v>620000</v>
      </c>
      <c r="F1012" s="5" t="str">
        <f>+IF('Data Pura Costos'!F1012="","",'Data Pura Costos'!F1012)</f>
        <v>Molina</v>
      </c>
      <c r="G1012" s="5" t="str">
        <f>+IF('Data Pura Costos'!G1012="","",'Data Pura Costos'!G1012)</f>
        <v xml:space="preserve">ARIEL VARGAS </v>
      </c>
      <c r="H1012" s="52" t="str">
        <f>+IF('Data Pura Costos'!H1012="","",'Data Pura Costos'!H1012)</f>
        <v>Termo</v>
      </c>
      <c r="I1012" s="71">
        <f>+IF('Data Pura Costos'!I1012="","",'Data Pura Costos'!I1012)</f>
        <v>4428.5714285714284</v>
      </c>
      <c r="J1012" s="52" t="str">
        <f>+IF('Data Pura Costos'!J1012="","",'Data Pura Costos'!J1012)</f>
        <v>24-25</v>
      </c>
      <c r="K1012" s="82" t="str">
        <f t="shared" si="20"/>
        <v xml:space="preserve">Las Cabras-Molina-ARIEL VARGAS </v>
      </c>
    </row>
    <row r="1013" spans="2:11" x14ac:dyDescent="0.35">
      <c r="B1013" s="4" t="str">
        <f>+IF('Data Pura Costos'!B1013="","",'Data Pura Costos'!B1013)</f>
        <v>Las Vertientes</v>
      </c>
      <c r="C1013" s="4" t="str">
        <f>+IF('Data Pura Costos'!C1013="","",'Data Pura Costos'!C1013)</f>
        <v>Pichidegua, VI región</v>
      </c>
      <c r="D1013" s="5">
        <f>+IF('Data Pura Costos'!D1013="","",'Data Pura Costos'!D1013)</f>
        <v>130</v>
      </c>
      <c r="E1013" s="65">
        <f>+IF('Data Pura Costos'!E1013="","",IF('Data Pura Costos'!E1013=0,MAX('Data Pura Costos'!$E$7:$E$3000)*1000,'Data Pura Costos'!E1013))</f>
        <v>572000</v>
      </c>
      <c r="F1013" s="5" t="str">
        <f>+IF('Data Pura Costos'!F1013="","",'Data Pura Costos'!F1013)</f>
        <v>Molina</v>
      </c>
      <c r="G1013" s="5" t="str">
        <f>+IF('Data Pura Costos'!G1013="","",'Data Pura Costos'!G1013)</f>
        <v xml:space="preserve">ARIEL VARGAS </v>
      </c>
      <c r="H1013" s="52" t="str">
        <f>+IF('Data Pura Costos'!H1013="","",'Data Pura Costos'!H1013)</f>
        <v>Termo</v>
      </c>
      <c r="I1013" s="71">
        <f>+IF('Data Pura Costos'!I1013="","",'Data Pura Costos'!I1013)</f>
        <v>4400</v>
      </c>
      <c r="J1013" s="52" t="str">
        <f>+IF('Data Pura Costos'!J1013="","",'Data Pura Costos'!J1013)</f>
        <v>24-25</v>
      </c>
      <c r="K1013" s="82" t="str">
        <f t="shared" si="20"/>
        <v xml:space="preserve">Las Vertientes-Molina-ARIEL VARGAS </v>
      </c>
    </row>
    <row r="1014" spans="2:11" x14ac:dyDescent="0.35">
      <c r="B1014" s="4" t="str">
        <f>+IF('Data Pura Costos'!B1014="","",'Data Pura Costos'!B1014)</f>
        <v>Lihueimo</v>
      </c>
      <c r="C1014" s="4" t="str">
        <f>+IF('Data Pura Costos'!C1014="","",'Data Pura Costos'!C1014)</f>
        <v>Peralillo ohiggins</v>
      </c>
      <c r="D1014" s="5">
        <f>+IF('Data Pura Costos'!D1014="","",'Data Pura Costos'!D1014)</f>
        <v>90</v>
      </c>
      <c r="E1014" s="65">
        <f>+IF('Data Pura Costos'!E1014="","",IF('Data Pura Costos'!E1014=0,MAX('Data Pura Costos'!$E$7:$E$3000)*1000,'Data Pura Costos'!E1014))</f>
        <v>450000</v>
      </c>
      <c r="F1014" s="5" t="str">
        <f>+IF('Data Pura Costos'!F1014="","",'Data Pura Costos'!F1014)</f>
        <v>Molina</v>
      </c>
      <c r="G1014" s="5" t="str">
        <f>+IF('Data Pura Costos'!G1014="","",'Data Pura Costos'!G1014)</f>
        <v xml:space="preserve">ARIEL VARGAS </v>
      </c>
      <c r="H1014" s="52" t="str">
        <f>+IF('Data Pura Costos'!H1014="","",'Data Pura Costos'!H1014)</f>
        <v>Termo</v>
      </c>
      <c r="I1014" s="71">
        <f>+IF('Data Pura Costos'!I1014="","",'Data Pura Costos'!I1014)</f>
        <v>5000</v>
      </c>
      <c r="J1014" s="52" t="str">
        <f>+IF('Data Pura Costos'!J1014="","",'Data Pura Costos'!J1014)</f>
        <v>24-25</v>
      </c>
      <c r="K1014" s="82" t="str">
        <f t="shared" si="20"/>
        <v xml:space="preserve">Lihueimo-Molina-ARIEL VARGAS </v>
      </c>
    </row>
    <row r="1015" spans="2:11" x14ac:dyDescent="0.35">
      <c r="B1015" s="4" t="str">
        <f>+IF('Data Pura Costos'!B1015="","",'Data Pura Costos'!B1015)</f>
        <v>Los Encinos</v>
      </c>
      <c r="C1015" s="4" t="str">
        <f>+IF('Data Pura Costos'!C1015="","",'Data Pura Costos'!C1015)</f>
        <v>Huechun, RM</v>
      </c>
      <c r="D1015" s="5">
        <f>+IF('Data Pura Costos'!D1015="","",'Data Pura Costos'!D1015)</f>
        <v>230</v>
      </c>
      <c r="E1015" s="65">
        <f>+IF('Data Pura Costos'!E1015="","",IF('Data Pura Costos'!E1015=0,MAX('Data Pura Costos'!$E$7:$E$3000)*1000,'Data Pura Costos'!E1015))</f>
        <v>1012000</v>
      </c>
      <c r="F1015" s="5" t="str">
        <f>+IF('Data Pura Costos'!F1015="","",'Data Pura Costos'!F1015)</f>
        <v>Molina</v>
      </c>
      <c r="G1015" s="5" t="str">
        <f>+IF('Data Pura Costos'!G1015="","",'Data Pura Costos'!G1015)</f>
        <v xml:space="preserve">ARIEL VARGAS </v>
      </c>
      <c r="H1015" s="52" t="str">
        <f>+IF('Data Pura Costos'!H1015="","",'Data Pura Costos'!H1015)</f>
        <v>Termo</v>
      </c>
      <c r="I1015" s="71">
        <f>+IF('Data Pura Costos'!I1015="","",'Data Pura Costos'!I1015)</f>
        <v>4400</v>
      </c>
      <c r="J1015" s="52" t="str">
        <f>+IF('Data Pura Costos'!J1015="","",'Data Pura Costos'!J1015)</f>
        <v>24-25</v>
      </c>
      <c r="K1015" s="82" t="str">
        <f t="shared" si="20"/>
        <v xml:space="preserve">Los Encinos-Molina-ARIEL VARGAS </v>
      </c>
    </row>
    <row r="1016" spans="2:11" x14ac:dyDescent="0.35">
      <c r="B1016" s="4" t="str">
        <f>+IF('Data Pura Costos'!B1016="","",'Data Pura Costos'!B1016)</f>
        <v>Los Maitenes</v>
      </c>
      <c r="C1016" s="4" t="str">
        <f>+IF('Data Pura Costos'!C1016="","",'Data Pura Costos'!C1016)</f>
        <v>Las Cabras, VI región</v>
      </c>
      <c r="D1016" s="5">
        <f>+IF('Data Pura Costos'!D1016="","",'Data Pura Costos'!D1016)</f>
        <v>144</v>
      </c>
      <c r="E1016" s="65">
        <f>+IF('Data Pura Costos'!E1016="","",IF('Data Pura Costos'!E1016=0,MAX('Data Pura Costos'!$E$7:$E$3000)*1000,'Data Pura Costos'!E1016))</f>
        <v>633600</v>
      </c>
      <c r="F1016" s="5" t="str">
        <f>+IF('Data Pura Costos'!F1016="","",'Data Pura Costos'!F1016)</f>
        <v>Molina</v>
      </c>
      <c r="G1016" s="5" t="str">
        <f>+IF('Data Pura Costos'!G1016="","",'Data Pura Costos'!G1016)</f>
        <v xml:space="preserve">ARIEL VARGAS </v>
      </c>
      <c r="H1016" s="52" t="str">
        <f>+IF('Data Pura Costos'!H1016="","",'Data Pura Costos'!H1016)</f>
        <v>Termo</v>
      </c>
      <c r="I1016" s="71">
        <f>+IF('Data Pura Costos'!I1016="","",'Data Pura Costos'!I1016)</f>
        <v>4400</v>
      </c>
      <c r="J1016" s="52" t="str">
        <f>+IF('Data Pura Costos'!J1016="","",'Data Pura Costos'!J1016)</f>
        <v>24-25</v>
      </c>
      <c r="K1016" s="82" t="str">
        <f t="shared" si="20"/>
        <v xml:space="preserve">Los Maitenes-Molina-ARIEL VARGAS </v>
      </c>
    </row>
    <row r="1017" spans="2:11" x14ac:dyDescent="0.35">
      <c r="B1017" s="4" t="str">
        <f>+IF('Data Pura Costos'!B1017="","",'Data Pura Costos'!B1017)</f>
        <v>Los Toldos</v>
      </c>
      <c r="C1017" s="4" t="str">
        <f>+IF('Data Pura Costos'!C1017="","",'Data Pura Costos'!C1017)</f>
        <v>Angol, IX región</v>
      </c>
      <c r="D1017" s="5">
        <f>+IF('Data Pura Costos'!D1017="","",'Data Pura Costos'!D1017)</f>
        <v>408</v>
      </c>
      <c r="E1017" s="65">
        <f>+IF('Data Pura Costos'!E1017="","",IF('Data Pura Costos'!E1017=0,MAX('Data Pura Costos'!$E$7:$E$3000)*1000,'Data Pura Costos'!E1017))</f>
        <v>1795200</v>
      </c>
      <c r="F1017" s="5" t="str">
        <f>+IF('Data Pura Costos'!F1017="","",'Data Pura Costos'!F1017)</f>
        <v>Molina</v>
      </c>
      <c r="G1017" s="5" t="str">
        <f>+IF('Data Pura Costos'!G1017="","",'Data Pura Costos'!G1017)</f>
        <v xml:space="preserve">ARIEL VARGAS </v>
      </c>
      <c r="H1017" s="52" t="str">
        <f>+IF('Data Pura Costos'!H1017="","",'Data Pura Costos'!H1017)</f>
        <v>Termo</v>
      </c>
      <c r="I1017" s="71">
        <f>+IF('Data Pura Costos'!I1017="","",'Data Pura Costos'!I1017)</f>
        <v>4400</v>
      </c>
      <c r="J1017" s="52" t="str">
        <f>+IF('Data Pura Costos'!J1017="","",'Data Pura Costos'!J1017)</f>
        <v>24-25</v>
      </c>
      <c r="K1017" s="82" t="str">
        <f t="shared" si="20"/>
        <v xml:space="preserve">Los Toldos-Molina-ARIEL VARGAS </v>
      </c>
    </row>
    <row r="1018" spans="2:11" x14ac:dyDescent="0.35">
      <c r="B1018" s="4" t="str">
        <f>+IF('Data Pura Costos'!B1018="","",'Data Pura Costos'!B1018)</f>
        <v>Mallorca</v>
      </c>
      <c r="C1018" s="4" t="str">
        <f>+IF('Data Pura Costos'!C1018="","",'Data Pura Costos'!C1018)</f>
        <v xml:space="preserve">Molina, VII región </v>
      </c>
      <c r="D1018" s="5">
        <f>+IF('Data Pura Costos'!D1018="","",'Data Pura Costos'!D1018)</f>
        <v>1</v>
      </c>
      <c r="E1018" s="65">
        <f>+IF('Data Pura Costos'!E1018="","",IF('Data Pura Costos'!E1018=0,MAX('Data Pura Costos'!$E$7:$E$3000)*1000,'Data Pura Costos'!E1018))</f>
        <v>300000</v>
      </c>
      <c r="F1018" s="5" t="str">
        <f>+IF('Data Pura Costos'!F1018="","",'Data Pura Costos'!F1018)</f>
        <v>Molina</v>
      </c>
      <c r="G1018" s="5" t="str">
        <f>+IF('Data Pura Costos'!G1018="","",'Data Pura Costos'!G1018)</f>
        <v xml:space="preserve">ARIEL VARGAS </v>
      </c>
      <c r="H1018" s="52" t="str">
        <f>+IF('Data Pura Costos'!H1018="","",'Data Pura Costos'!H1018)</f>
        <v>Termo</v>
      </c>
      <c r="I1018" s="71">
        <f>+IF('Data Pura Costos'!I1018="","",'Data Pura Costos'!I1018)</f>
        <v>300000</v>
      </c>
      <c r="J1018" s="52" t="str">
        <f>+IF('Data Pura Costos'!J1018="","",'Data Pura Costos'!J1018)</f>
        <v>24-25</v>
      </c>
      <c r="K1018" s="82" t="str">
        <f t="shared" si="20"/>
        <v xml:space="preserve">Mallorca-Molina-ARIEL VARGAS </v>
      </c>
    </row>
    <row r="1019" spans="2:11" x14ac:dyDescent="0.35">
      <c r="B1019" s="4" t="str">
        <f>+IF('Data Pura Costos'!B1019="","",'Data Pura Costos'!B1019)</f>
        <v>Panquehue</v>
      </c>
      <c r="C1019" s="4" t="str">
        <f>+IF('Data Pura Costos'!C1019="","",'Data Pura Costos'!C1019)</f>
        <v>Panquehue, V región</v>
      </c>
      <c r="D1019" s="5">
        <f>+IF('Data Pura Costos'!D1019="","",'Data Pura Costos'!D1019)</f>
        <v>310</v>
      </c>
      <c r="E1019" s="65">
        <f>+IF('Data Pura Costos'!E1019="","",IF('Data Pura Costos'!E1019=0,MAX('Data Pura Costos'!$E$7:$E$3000)*1000,'Data Pura Costos'!E1019))</f>
        <v>1364000</v>
      </c>
      <c r="F1019" s="5" t="str">
        <f>+IF('Data Pura Costos'!F1019="","",'Data Pura Costos'!F1019)</f>
        <v>Molina</v>
      </c>
      <c r="G1019" s="5" t="str">
        <f>+IF('Data Pura Costos'!G1019="","",'Data Pura Costos'!G1019)</f>
        <v xml:space="preserve">ARIEL VARGAS </v>
      </c>
      <c r="H1019" s="52" t="str">
        <f>+IF('Data Pura Costos'!H1019="","",'Data Pura Costos'!H1019)</f>
        <v>Termo</v>
      </c>
      <c r="I1019" s="71">
        <f>+IF('Data Pura Costos'!I1019="","",'Data Pura Costos'!I1019)</f>
        <v>4400</v>
      </c>
      <c r="J1019" s="52" t="str">
        <f>+IF('Data Pura Costos'!J1019="","",'Data Pura Costos'!J1019)</f>
        <v>24-25</v>
      </c>
      <c r="K1019" s="82" t="str">
        <f t="shared" si="20"/>
        <v xml:space="preserve">Panquehue-Molina-ARIEL VARGAS </v>
      </c>
    </row>
    <row r="1020" spans="2:11" x14ac:dyDescent="0.35">
      <c r="B1020" s="4" t="str">
        <f>+IF('Data Pura Costos'!B1020="","",'Data Pura Costos'!B1020)</f>
        <v>Entre Rios/Puente Negro/Rio Claro</v>
      </c>
      <c r="C1020" s="4" t="str">
        <f>+IF('Data Pura Costos'!C1020="","",'Data Pura Costos'!C1020)</f>
        <v>Puente negro, san fernando.VI Region.</v>
      </c>
      <c r="D1020" s="5">
        <f>+IF('Data Pura Costos'!D1020="","",'Data Pura Costos'!D1020)</f>
        <v>95</v>
      </c>
      <c r="E1020" s="65">
        <f>+IF('Data Pura Costos'!E1020="","",IF('Data Pura Costos'!E1020=0,MAX('Data Pura Costos'!$E$7:$E$3000)*1000,'Data Pura Costos'!E1020))</f>
        <v>460000</v>
      </c>
      <c r="F1020" s="5" t="str">
        <f>+IF('Data Pura Costos'!F1020="","",'Data Pura Costos'!F1020)</f>
        <v>Molina</v>
      </c>
      <c r="G1020" s="5" t="str">
        <f>+IF('Data Pura Costos'!G1020="","",'Data Pura Costos'!G1020)</f>
        <v xml:space="preserve">ARIEL VARGAS </v>
      </c>
      <c r="H1020" s="52" t="str">
        <f>+IF('Data Pura Costos'!H1020="","",'Data Pura Costos'!H1020)</f>
        <v>Termo</v>
      </c>
      <c r="I1020" s="71">
        <f>+IF('Data Pura Costos'!I1020="","",'Data Pura Costos'!I1020)</f>
        <v>4842.105263157895</v>
      </c>
      <c r="J1020" s="52" t="str">
        <f>+IF('Data Pura Costos'!J1020="","",'Data Pura Costos'!J1020)</f>
        <v>24-25</v>
      </c>
      <c r="K1020" s="82" t="str">
        <f t="shared" ref="K1020:K1083" si="21">+IF(B1020="","",CONCATENATE(B1020,"-",F1020,"-",G1020))</f>
        <v xml:space="preserve">Entre Rios/Puente Negro/Rio Claro-Molina-ARIEL VARGAS </v>
      </c>
    </row>
    <row r="1021" spans="2:11" x14ac:dyDescent="0.35">
      <c r="B1021" s="4" t="str">
        <f>+IF('Data Pura Costos'!B1021="","",'Data Pura Costos'!B1021)</f>
        <v>Retorno</v>
      </c>
      <c r="C1021" s="4" t="str">
        <f>+IF('Data Pura Costos'!C1021="","",'Data Pura Costos'!C1021)</f>
        <v>Santa maria, V región</v>
      </c>
      <c r="D1021" s="5">
        <f>+IF('Data Pura Costos'!D1021="","",'Data Pura Costos'!D1021)</f>
        <v>305</v>
      </c>
      <c r="E1021" s="65">
        <f>+IF('Data Pura Costos'!E1021="","",IF('Data Pura Costos'!E1021=0,MAX('Data Pura Costos'!$E$7:$E$3000)*1000,'Data Pura Costos'!E1021))</f>
        <v>1342000</v>
      </c>
      <c r="F1021" s="5" t="str">
        <f>+IF('Data Pura Costos'!F1021="","",'Data Pura Costos'!F1021)</f>
        <v>Molina</v>
      </c>
      <c r="G1021" s="5" t="str">
        <f>+IF('Data Pura Costos'!G1021="","",'Data Pura Costos'!G1021)</f>
        <v xml:space="preserve">ARIEL VARGAS </v>
      </c>
      <c r="H1021" s="52" t="str">
        <f>+IF('Data Pura Costos'!H1021="","",'Data Pura Costos'!H1021)</f>
        <v>Termo</v>
      </c>
      <c r="I1021" s="71">
        <f>+IF('Data Pura Costos'!I1021="","",'Data Pura Costos'!I1021)</f>
        <v>4400</v>
      </c>
      <c r="J1021" s="52" t="str">
        <f>+IF('Data Pura Costos'!J1021="","",'Data Pura Costos'!J1021)</f>
        <v>24-25</v>
      </c>
      <c r="K1021" s="82" t="str">
        <f t="shared" si="21"/>
        <v xml:space="preserve">Retorno-Molina-ARIEL VARGAS </v>
      </c>
    </row>
    <row r="1022" spans="2:11" x14ac:dyDescent="0.35">
      <c r="B1022" s="4" t="str">
        <f>+IF('Data Pura Costos'!B1022="","",'Data Pura Costos'!B1022)</f>
        <v>San Hernán</v>
      </c>
      <c r="C1022" s="4" t="str">
        <f>+IF('Data Pura Costos'!C1022="","",'Data Pura Costos'!C1022)</f>
        <v>Graneros, VI región</v>
      </c>
      <c r="D1022" s="5">
        <f>+IF('Data Pura Costos'!D1022="","",'Data Pura Costos'!D1022)</f>
        <v>140</v>
      </c>
      <c r="E1022" s="65">
        <f>+IF('Data Pura Costos'!E1022="","",IF('Data Pura Costos'!E1022=0,MAX('Data Pura Costos'!$E$7:$E$3000)*1000,'Data Pura Costos'!E1022))</f>
        <v>616000</v>
      </c>
      <c r="F1022" s="5" t="str">
        <f>+IF('Data Pura Costos'!F1022="","",'Data Pura Costos'!F1022)</f>
        <v>Molina</v>
      </c>
      <c r="G1022" s="5" t="str">
        <f>+IF('Data Pura Costos'!G1022="","",'Data Pura Costos'!G1022)</f>
        <v xml:space="preserve">ARIEL VARGAS </v>
      </c>
      <c r="H1022" s="52" t="str">
        <f>+IF('Data Pura Costos'!H1022="","",'Data Pura Costos'!H1022)</f>
        <v>Termo</v>
      </c>
      <c r="I1022" s="71">
        <f>+IF('Data Pura Costos'!I1022="","",'Data Pura Costos'!I1022)</f>
        <v>4400</v>
      </c>
      <c r="J1022" s="52" t="str">
        <f>+IF('Data Pura Costos'!J1022="","",'Data Pura Costos'!J1022)</f>
        <v>24-25</v>
      </c>
      <c r="K1022" s="82" t="str">
        <f t="shared" si="21"/>
        <v xml:space="preserve">San Hernán-Molina-ARIEL VARGAS </v>
      </c>
    </row>
    <row r="1023" spans="2:11" x14ac:dyDescent="0.35">
      <c r="B1023" s="4" t="str">
        <f>+IF('Data Pura Costos'!B1023="","",'Data Pura Costos'!B1023)</f>
        <v>Santa Margarita</v>
      </c>
      <c r="C1023" s="4" t="str">
        <f>+IF('Data Pura Costos'!C1023="","",'Data Pura Costos'!C1023)</f>
        <v xml:space="preserve">La punta, Mostazal VI región </v>
      </c>
      <c r="D1023" s="5">
        <f>+IF('Data Pura Costos'!D1023="","",'Data Pura Costos'!D1023)</f>
        <v>150</v>
      </c>
      <c r="E1023" s="65">
        <f>+IF('Data Pura Costos'!E1023="","",IF('Data Pura Costos'!E1023=0,MAX('Data Pura Costos'!$E$7:$E$3000)*1000,'Data Pura Costos'!E1023))</f>
        <v>660000</v>
      </c>
      <c r="F1023" s="5" t="str">
        <f>+IF('Data Pura Costos'!F1023="","",'Data Pura Costos'!F1023)</f>
        <v>Molina</v>
      </c>
      <c r="G1023" s="5" t="str">
        <f>+IF('Data Pura Costos'!G1023="","",'Data Pura Costos'!G1023)</f>
        <v xml:space="preserve">ARIEL VARGAS </v>
      </c>
      <c r="H1023" s="52" t="str">
        <f>+IF('Data Pura Costos'!H1023="","",'Data Pura Costos'!H1023)</f>
        <v>Termo</v>
      </c>
      <c r="I1023" s="71">
        <f>+IF('Data Pura Costos'!I1023="","",'Data Pura Costos'!I1023)</f>
        <v>4400</v>
      </c>
      <c r="J1023" s="52" t="str">
        <f>+IF('Data Pura Costos'!J1023="","",'Data Pura Costos'!J1023)</f>
        <v>24-25</v>
      </c>
      <c r="K1023" s="82" t="str">
        <f t="shared" si="21"/>
        <v xml:space="preserve">Santa Margarita-Molina-ARIEL VARGAS </v>
      </c>
    </row>
    <row r="1024" spans="2:11" x14ac:dyDescent="0.35">
      <c r="B1024" s="4" t="str">
        <f>+IF('Data Pura Costos'!B1024="","",'Data Pura Costos'!B1024)</f>
        <v>Santa Mónica</v>
      </c>
      <c r="C1024" s="4" t="str">
        <f>+IF('Data Pura Costos'!C1024="","",'Data Pura Costos'!C1024)</f>
        <v xml:space="preserve">Rancagua, sector Chancón, VI región </v>
      </c>
      <c r="D1024" s="5">
        <f>+IF('Data Pura Costos'!D1024="","",'Data Pura Costos'!D1024)</f>
        <v>130</v>
      </c>
      <c r="E1024" s="65">
        <f>+IF('Data Pura Costos'!E1024="","",IF('Data Pura Costos'!E1024=0,MAX('Data Pura Costos'!$E$7:$E$3000)*1000,'Data Pura Costos'!E1024))</f>
        <v>572000</v>
      </c>
      <c r="F1024" s="5" t="str">
        <f>+IF('Data Pura Costos'!F1024="","",'Data Pura Costos'!F1024)</f>
        <v>Molina</v>
      </c>
      <c r="G1024" s="5" t="str">
        <f>+IF('Data Pura Costos'!G1024="","",'Data Pura Costos'!G1024)</f>
        <v xml:space="preserve">ARIEL VARGAS </v>
      </c>
      <c r="H1024" s="52" t="str">
        <f>+IF('Data Pura Costos'!H1024="","",'Data Pura Costos'!H1024)</f>
        <v>Termo</v>
      </c>
      <c r="I1024" s="71">
        <f>+IF('Data Pura Costos'!I1024="","",'Data Pura Costos'!I1024)</f>
        <v>4400</v>
      </c>
      <c r="J1024" s="52" t="str">
        <f>+IF('Data Pura Costos'!J1024="","",'Data Pura Costos'!J1024)</f>
        <v>24-25</v>
      </c>
      <c r="K1024" s="82" t="str">
        <f t="shared" si="21"/>
        <v xml:space="preserve">Santa Mónica-Molina-ARIEL VARGAS </v>
      </c>
    </row>
    <row r="1025" spans="2:11" x14ac:dyDescent="0.35">
      <c r="B1025" s="4" t="str">
        <f>+IF('Data Pura Costos'!B1025="","",'Data Pura Costos'!B1025)</f>
        <v>Talhuén</v>
      </c>
      <c r="C1025" s="4" t="str">
        <f>+IF('Data Pura Costos'!C1025="","",'Data Pura Costos'!C1025)</f>
        <v>Palmilla, VI región</v>
      </c>
      <c r="D1025" s="5">
        <f>+IF('Data Pura Costos'!D1025="","",'Data Pura Costos'!D1025)</f>
        <v>95</v>
      </c>
      <c r="E1025" s="65">
        <f>+IF('Data Pura Costos'!E1025="","",IF('Data Pura Costos'!E1025=0,MAX('Data Pura Costos'!$E$7:$E$3000)*1000,'Data Pura Costos'!E1025))</f>
        <v>460000</v>
      </c>
      <c r="F1025" s="5" t="str">
        <f>+IF('Data Pura Costos'!F1025="","",'Data Pura Costos'!F1025)</f>
        <v>Molina</v>
      </c>
      <c r="G1025" s="5" t="str">
        <f>+IF('Data Pura Costos'!G1025="","",'Data Pura Costos'!G1025)</f>
        <v xml:space="preserve">ARIEL VARGAS </v>
      </c>
      <c r="H1025" s="52" t="str">
        <f>+IF('Data Pura Costos'!H1025="","",'Data Pura Costos'!H1025)</f>
        <v>Termo</v>
      </c>
      <c r="I1025" s="71">
        <f>+IF('Data Pura Costos'!I1025="","",'Data Pura Costos'!I1025)</f>
        <v>4842.105263157895</v>
      </c>
      <c r="J1025" s="52" t="str">
        <f>+IF('Data Pura Costos'!J1025="","",'Data Pura Costos'!J1025)</f>
        <v>24-25</v>
      </c>
      <c r="K1025" s="82" t="str">
        <f t="shared" si="21"/>
        <v xml:space="preserve">Talhuén-Molina-ARIEL VARGAS </v>
      </c>
    </row>
    <row r="1026" spans="2:11" x14ac:dyDescent="0.35">
      <c r="B1026" s="4" t="str">
        <f>+IF('Data Pura Costos'!B1026="","",'Data Pura Costos'!B1026)</f>
        <v>Almahue</v>
      </c>
      <c r="C1026" s="4" t="str">
        <f>+IF('Data Pura Costos'!C1026="","",'Data Pura Costos'!C1026)</f>
        <v>Pichidegua, VI región</v>
      </c>
      <c r="D1026" s="5">
        <f>+IF('Data Pura Costos'!D1026="","",'Data Pura Costos'!D1026)</f>
        <v>50</v>
      </c>
      <c r="E1026" s="65">
        <f>+IF('Data Pura Costos'!E1026="","",IF('Data Pura Costos'!E1026=0,MAX('Data Pura Costos'!$E$7:$E$3000)*1000,'Data Pura Costos'!E1026))</f>
        <v>350000</v>
      </c>
      <c r="F1026" s="5" t="str">
        <f>+IF('Data Pura Costos'!F1026="","",'Data Pura Costos'!F1026)</f>
        <v>Malloa</v>
      </c>
      <c r="G1026" s="5" t="str">
        <f>+IF('Data Pura Costos'!G1026="","",'Data Pura Costos'!G1026)</f>
        <v xml:space="preserve">ARIEL VARGAS </v>
      </c>
      <c r="H1026" s="52" t="str">
        <f>+IF('Data Pura Costos'!H1026="","",'Data Pura Costos'!H1026)</f>
        <v>Termo</v>
      </c>
      <c r="I1026" s="71">
        <f>+IF('Data Pura Costos'!I1026="","",'Data Pura Costos'!I1026)</f>
        <v>7000</v>
      </c>
      <c r="J1026" s="52" t="str">
        <f>+IF('Data Pura Costos'!J1026="","",'Data Pura Costos'!J1026)</f>
        <v>24-25</v>
      </c>
      <c r="K1026" s="82" t="str">
        <f t="shared" si="21"/>
        <v xml:space="preserve">Almahue-Malloa-ARIEL VARGAS </v>
      </c>
    </row>
    <row r="1027" spans="2:11" x14ac:dyDescent="0.35">
      <c r="B1027" s="4" t="str">
        <f>+IF('Data Pura Costos'!B1027="","",'Data Pura Costos'!B1027)</f>
        <v>Bodega</v>
      </c>
      <c r="C1027" s="4" t="str">
        <f>+IF('Data Pura Costos'!C1027="","",'Data Pura Costos'!C1027)</f>
        <v>Linares, VII region.</v>
      </c>
      <c r="D1027" s="5">
        <f>+IF('Data Pura Costos'!D1027="","",'Data Pura Costos'!D1027)</f>
        <v>211</v>
      </c>
      <c r="E1027" s="65">
        <f>+IF('Data Pura Costos'!E1027="","",IF('Data Pura Costos'!E1027=0,MAX('Data Pura Costos'!$E$7:$E$3000)*1000,'Data Pura Costos'!E1027))</f>
        <v>928400</v>
      </c>
      <c r="F1027" s="5" t="str">
        <f>+IF('Data Pura Costos'!F1027="","",'Data Pura Costos'!F1027)</f>
        <v>Malloa</v>
      </c>
      <c r="G1027" s="5" t="str">
        <f>+IF('Data Pura Costos'!G1027="","",'Data Pura Costos'!G1027)</f>
        <v xml:space="preserve">ARIEL VARGAS </v>
      </c>
      <c r="H1027" s="52" t="str">
        <f>+IF('Data Pura Costos'!H1027="","",'Data Pura Costos'!H1027)</f>
        <v>Termo</v>
      </c>
      <c r="I1027" s="71">
        <f>+IF('Data Pura Costos'!I1027="","",'Data Pura Costos'!I1027)</f>
        <v>4400</v>
      </c>
      <c r="J1027" s="52" t="str">
        <f>+IF('Data Pura Costos'!J1027="","",'Data Pura Costos'!J1027)</f>
        <v>24-25</v>
      </c>
      <c r="K1027" s="82" t="str">
        <f t="shared" si="21"/>
        <v xml:space="preserve">Bodega-Malloa-ARIEL VARGAS </v>
      </c>
    </row>
    <row r="1028" spans="2:11" x14ac:dyDescent="0.35">
      <c r="B1028" s="4" t="str">
        <f>+IF('Data Pura Costos'!B1028="","",'Data Pura Costos'!B1028)</f>
        <v xml:space="preserve">Caliboro </v>
      </c>
      <c r="C1028" s="4" t="str">
        <f>+IF('Data Pura Costos'!C1028="","",'Data Pura Costos'!C1028)</f>
        <v>San Javier, VII región</v>
      </c>
      <c r="D1028" s="5">
        <f>+IF('Data Pura Costos'!D1028="","",'Data Pura Costos'!D1028)</f>
        <v>206</v>
      </c>
      <c r="E1028" s="65">
        <f>+IF('Data Pura Costos'!E1028="","",IF('Data Pura Costos'!E1028=0,MAX('Data Pura Costos'!$E$7:$E$3000)*1000,'Data Pura Costos'!E1028))</f>
        <v>906400</v>
      </c>
      <c r="F1028" s="5" t="str">
        <f>+IF('Data Pura Costos'!F1028="","",'Data Pura Costos'!F1028)</f>
        <v>Malloa</v>
      </c>
      <c r="G1028" s="5" t="str">
        <f>+IF('Data Pura Costos'!G1028="","",'Data Pura Costos'!G1028)</f>
        <v xml:space="preserve">ARIEL VARGAS </v>
      </c>
      <c r="H1028" s="52" t="str">
        <f>+IF('Data Pura Costos'!H1028="","",'Data Pura Costos'!H1028)</f>
        <v>Termo</v>
      </c>
      <c r="I1028" s="71">
        <f>+IF('Data Pura Costos'!I1028="","",'Data Pura Costos'!I1028)</f>
        <v>4400</v>
      </c>
      <c r="J1028" s="52" t="str">
        <f>+IF('Data Pura Costos'!J1028="","",'Data Pura Costos'!J1028)</f>
        <v>24-25</v>
      </c>
      <c r="K1028" s="82" t="str">
        <f t="shared" si="21"/>
        <v xml:space="preserve">Caliboro -Malloa-ARIEL VARGAS </v>
      </c>
    </row>
    <row r="1029" spans="2:11" x14ac:dyDescent="0.35">
      <c r="B1029" s="4" t="str">
        <f>+IF('Data Pura Costos'!B1029="","",'Data Pura Costos'!B1029)</f>
        <v>Calleuque</v>
      </c>
      <c r="C1029" s="4" t="str">
        <f>+IF('Data Pura Costos'!C1029="","",'Data Pura Costos'!C1029)</f>
        <v>Peralillo ohiggins, VI región</v>
      </c>
      <c r="D1029" s="5">
        <f>+IF('Data Pura Costos'!D1029="","",'Data Pura Costos'!D1029)</f>
        <v>80</v>
      </c>
      <c r="E1029" s="65">
        <f>+IF('Data Pura Costos'!E1029="","",IF('Data Pura Costos'!E1029=0,MAX('Data Pura Costos'!$E$7:$E$3000)*1000,'Data Pura Costos'!E1029))</f>
        <v>450000</v>
      </c>
      <c r="F1029" s="5" t="str">
        <f>+IF('Data Pura Costos'!F1029="","",'Data Pura Costos'!F1029)</f>
        <v>Malloa</v>
      </c>
      <c r="G1029" s="5" t="str">
        <f>+IF('Data Pura Costos'!G1029="","",'Data Pura Costos'!G1029)</f>
        <v xml:space="preserve">ARIEL VARGAS </v>
      </c>
      <c r="H1029" s="52" t="str">
        <f>+IF('Data Pura Costos'!H1029="","",'Data Pura Costos'!H1029)</f>
        <v>Termo</v>
      </c>
      <c r="I1029" s="71">
        <f>+IF('Data Pura Costos'!I1029="","",'Data Pura Costos'!I1029)</f>
        <v>5625</v>
      </c>
      <c r="J1029" s="52" t="str">
        <f>+IF('Data Pura Costos'!J1029="","",'Data Pura Costos'!J1029)</f>
        <v>24-25</v>
      </c>
      <c r="K1029" s="82" t="str">
        <f t="shared" si="21"/>
        <v xml:space="preserve">Calleuque-Malloa-ARIEL VARGAS </v>
      </c>
    </row>
    <row r="1030" spans="2:11" x14ac:dyDescent="0.35">
      <c r="B1030" s="4" t="str">
        <f>+IF('Data Pura Costos'!B1030="","",'Data Pura Costos'!B1030)</f>
        <v>Chumpirro</v>
      </c>
      <c r="C1030" s="4" t="str">
        <f>+IF('Data Pura Costos'!C1030="","",'Data Pura Costos'!C1030)</f>
        <v>Angol, IX región</v>
      </c>
      <c r="D1030" s="5">
        <f>+IF('Data Pura Costos'!D1030="","",'Data Pura Costos'!D1030)</f>
        <v>450</v>
      </c>
      <c r="E1030" s="65">
        <f>+IF('Data Pura Costos'!E1030="","",IF('Data Pura Costos'!E1030=0,MAX('Data Pura Costos'!$E$7:$E$3000)*1000,'Data Pura Costos'!E1030))</f>
        <v>1980000</v>
      </c>
      <c r="F1030" s="5" t="str">
        <f>+IF('Data Pura Costos'!F1030="","",'Data Pura Costos'!F1030)</f>
        <v>Malloa</v>
      </c>
      <c r="G1030" s="5" t="str">
        <f>+IF('Data Pura Costos'!G1030="","",'Data Pura Costos'!G1030)</f>
        <v xml:space="preserve">ARIEL VARGAS </v>
      </c>
      <c r="H1030" s="52" t="str">
        <f>+IF('Data Pura Costos'!H1030="","",'Data Pura Costos'!H1030)</f>
        <v>Termo</v>
      </c>
      <c r="I1030" s="71">
        <f>+IF('Data Pura Costos'!I1030="","",'Data Pura Costos'!I1030)</f>
        <v>4400</v>
      </c>
      <c r="J1030" s="52" t="str">
        <f>+IF('Data Pura Costos'!J1030="","",'Data Pura Costos'!J1030)</f>
        <v>24-25</v>
      </c>
      <c r="K1030" s="82" t="str">
        <f t="shared" si="21"/>
        <v xml:space="preserve">Chumpirro-Malloa-ARIEL VARGAS </v>
      </c>
    </row>
    <row r="1031" spans="2:11" x14ac:dyDescent="0.35">
      <c r="B1031" s="4" t="str">
        <f>+IF('Data Pura Costos'!B1031="","",'Data Pura Costos'!B1031)</f>
        <v xml:space="preserve"> Cocalán</v>
      </c>
      <c r="C1031" s="4" t="str">
        <f>+IF('Data Pura Costos'!C1031="","",'Data Pura Costos'!C1031)</f>
        <v>Cocalán, VI región</v>
      </c>
      <c r="D1031" s="5">
        <f>+IF('Data Pura Costos'!D1031="","",'Data Pura Costos'!D1031)</f>
        <v>50</v>
      </c>
      <c r="E1031" s="65">
        <f>+IF('Data Pura Costos'!E1031="","",IF('Data Pura Costos'!E1031=0,MAX('Data Pura Costos'!$E$7:$E$3000)*1000,'Data Pura Costos'!E1031))</f>
        <v>350000</v>
      </c>
      <c r="F1031" s="5" t="str">
        <f>+IF('Data Pura Costos'!F1031="","",'Data Pura Costos'!F1031)</f>
        <v>Malloa</v>
      </c>
      <c r="G1031" s="5" t="str">
        <f>+IF('Data Pura Costos'!G1031="","",'Data Pura Costos'!G1031)</f>
        <v xml:space="preserve">ARIEL VARGAS </v>
      </c>
      <c r="H1031" s="52" t="str">
        <f>+IF('Data Pura Costos'!H1031="","",'Data Pura Costos'!H1031)</f>
        <v>Termo</v>
      </c>
      <c r="I1031" s="71">
        <f>+IF('Data Pura Costos'!I1031="","",'Data Pura Costos'!I1031)</f>
        <v>7000</v>
      </c>
      <c r="J1031" s="52" t="str">
        <f>+IF('Data Pura Costos'!J1031="","",'Data Pura Costos'!J1031)</f>
        <v>24-25</v>
      </c>
      <c r="K1031" s="82" t="str">
        <f t="shared" si="21"/>
        <v xml:space="preserve"> Cocalán-Malloa-ARIEL VARGAS </v>
      </c>
    </row>
    <row r="1032" spans="2:11" x14ac:dyDescent="0.35">
      <c r="B1032" s="4" t="str">
        <f>+IF('Data Pura Costos'!B1032="","",'Data Pura Costos'!B1032)</f>
        <v>El Cóndor</v>
      </c>
      <c r="C1032" s="4" t="str">
        <f>+IF('Data Pura Costos'!C1032="","",'Data Pura Costos'!C1032)</f>
        <v>Chimbarongo, VI Region.</v>
      </c>
      <c r="D1032" s="5">
        <f>+IF('Data Pura Costos'!D1032="","",'Data Pura Costos'!D1032)</f>
        <v>60</v>
      </c>
      <c r="E1032" s="65">
        <f>+IF('Data Pura Costos'!E1032="","",IF('Data Pura Costos'!E1032=0,MAX('Data Pura Costos'!$E$7:$E$3000)*1000,'Data Pura Costos'!E1032))</f>
        <v>350000</v>
      </c>
      <c r="F1032" s="5" t="str">
        <f>+IF('Data Pura Costos'!F1032="","",'Data Pura Costos'!F1032)</f>
        <v>Malloa</v>
      </c>
      <c r="G1032" s="5" t="str">
        <f>+IF('Data Pura Costos'!G1032="","",'Data Pura Costos'!G1032)</f>
        <v xml:space="preserve">ARIEL VARGAS </v>
      </c>
      <c r="H1032" s="52" t="str">
        <f>+IF('Data Pura Costos'!H1032="","",'Data Pura Costos'!H1032)</f>
        <v>Termo</v>
      </c>
      <c r="I1032" s="71">
        <f>+IF('Data Pura Costos'!I1032="","",'Data Pura Costos'!I1032)</f>
        <v>5833.333333333333</v>
      </c>
      <c r="J1032" s="52" t="str">
        <f>+IF('Data Pura Costos'!J1032="","",'Data Pura Costos'!J1032)</f>
        <v>24-25</v>
      </c>
      <c r="K1032" s="82" t="str">
        <f t="shared" si="21"/>
        <v xml:space="preserve">El Cóndor-Malloa-ARIEL VARGAS </v>
      </c>
    </row>
    <row r="1033" spans="2:11" x14ac:dyDescent="0.35">
      <c r="B1033" s="4" t="str">
        <f>+IF('Data Pura Costos'!B1033="","",'Data Pura Costos'!B1033)</f>
        <v>El Descanso</v>
      </c>
      <c r="C1033" s="4" t="str">
        <f>+IF('Data Pura Costos'!C1033="","",'Data Pura Costos'!C1033)</f>
        <v>Sagrada Familia, VII región</v>
      </c>
      <c r="D1033" s="5">
        <f>+IF('Data Pura Costos'!D1033="","",'Data Pura Costos'!D1033)</f>
        <v>100</v>
      </c>
      <c r="E1033" s="65">
        <f>+IF('Data Pura Costos'!E1033="","",IF('Data Pura Costos'!E1033=0,MAX('Data Pura Costos'!$E$7:$E$3000)*1000,'Data Pura Costos'!E1033))</f>
        <v>450000</v>
      </c>
      <c r="F1033" s="5" t="str">
        <f>+IF('Data Pura Costos'!F1033="","",'Data Pura Costos'!F1033)</f>
        <v>Malloa</v>
      </c>
      <c r="G1033" s="5" t="str">
        <f>+IF('Data Pura Costos'!G1033="","",'Data Pura Costos'!G1033)</f>
        <v xml:space="preserve">ARIEL VARGAS </v>
      </c>
      <c r="H1033" s="52" t="str">
        <f>+IF('Data Pura Costos'!H1033="","",'Data Pura Costos'!H1033)</f>
        <v>Termo</v>
      </c>
      <c r="I1033" s="71">
        <f>+IF('Data Pura Costos'!I1033="","",'Data Pura Costos'!I1033)</f>
        <v>4500</v>
      </c>
      <c r="J1033" s="52" t="str">
        <f>+IF('Data Pura Costos'!J1033="","",'Data Pura Costos'!J1033)</f>
        <v>24-25</v>
      </c>
      <c r="K1033" s="82" t="str">
        <f t="shared" si="21"/>
        <v xml:space="preserve">El Descanso-Malloa-ARIEL VARGAS </v>
      </c>
    </row>
    <row r="1034" spans="2:11" x14ac:dyDescent="0.35">
      <c r="B1034" s="4" t="str">
        <f>+IF('Data Pura Costos'!B1034="","",'Data Pura Costos'!B1034)</f>
        <v>El Espino</v>
      </c>
      <c r="C1034" s="4" t="str">
        <f>+IF('Data Pura Costos'!C1034="","",'Data Pura Costos'!C1034)</f>
        <v>Colbún, VII región</v>
      </c>
      <c r="D1034" s="5">
        <f>+IF('Data Pura Costos'!D1034="","",'Data Pura Costos'!D1034)</f>
        <v>190</v>
      </c>
      <c r="E1034" s="65">
        <f>+IF('Data Pura Costos'!E1034="","",IF('Data Pura Costos'!E1034=0,MAX('Data Pura Costos'!$E$7:$E$3000)*1000,'Data Pura Costos'!E1034))</f>
        <v>836000</v>
      </c>
      <c r="F1034" s="5" t="str">
        <f>+IF('Data Pura Costos'!F1034="","",'Data Pura Costos'!F1034)</f>
        <v>Malloa</v>
      </c>
      <c r="G1034" s="5" t="str">
        <f>+IF('Data Pura Costos'!G1034="","",'Data Pura Costos'!G1034)</f>
        <v xml:space="preserve">ARIEL VARGAS </v>
      </c>
      <c r="H1034" s="52" t="str">
        <f>+IF('Data Pura Costos'!H1034="","",'Data Pura Costos'!H1034)</f>
        <v>Termo</v>
      </c>
      <c r="I1034" s="71">
        <f>+IF('Data Pura Costos'!I1034="","",'Data Pura Costos'!I1034)</f>
        <v>4400</v>
      </c>
      <c r="J1034" s="52" t="str">
        <f>+IF('Data Pura Costos'!J1034="","",'Data Pura Costos'!J1034)</f>
        <v>24-25</v>
      </c>
      <c r="K1034" s="82" t="str">
        <f t="shared" si="21"/>
        <v xml:space="preserve">El Espino-Malloa-ARIEL VARGAS </v>
      </c>
    </row>
    <row r="1035" spans="2:11" x14ac:dyDescent="0.35">
      <c r="B1035" s="4" t="str">
        <f>+IF('Data Pura Costos'!B1035="","",'Data Pura Costos'!B1035)</f>
        <v>El Huaico</v>
      </c>
      <c r="C1035" s="4" t="str">
        <f>+IF('Data Pura Costos'!C1035="","",'Data Pura Costos'!C1035)</f>
        <v>Palmila Ohiggins</v>
      </c>
      <c r="D1035" s="5">
        <f>+IF('Data Pura Costos'!D1035="","",'Data Pura Costos'!D1035)</f>
        <v>75</v>
      </c>
      <c r="E1035" s="65">
        <f>+IF('Data Pura Costos'!E1035="","",IF('Data Pura Costos'!E1035=0,MAX('Data Pura Costos'!$E$7:$E$3000)*1000,'Data Pura Costos'!E1035))</f>
        <v>400000</v>
      </c>
      <c r="F1035" s="5" t="str">
        <f>+IF('Data Pura Costos'!F1035="","",'Data Pura Costos'!F1035)</f>
        <v>Malloa</v>
      </c>
      <c r="G1035" s="5" t="str">
        <f>+IF('Data Pura Costos'!G1035="","",'Data Pura Costos'!G1035)</f>
        <v xml:space="preserve">ARIEL VARGAS </v>
      </c>
      <c r="H1035" s="52" t="str">
        <f>+IF('Data Pura Costos'!H1035="","",'Data Pura Costos'!H1035)</f>
        <v>Termo</v>
      </c>
      <c r="I1035" s="71">
        <f>+IF('Data Pura Costos'!I1035="","",'Data Pura Costos'!I1035)</f>
        <v>5333.333333333333</v>
      </c>
      <c r="J1035" s="52" t="str">
        <f>+IF('Data Pura Costos'!J1035="","",'Data Pura Costos'!J1035)</f>
        <v>24-25</v>
      </c>
      <c r="K1035" s="82" t="str">
        <f t="shared" si="21"/>
        <v xml:space="preserve">El Huaico-Malloa-ARIEL VARGAS </v>
      </c>
    </row>
    <row r="1036" spans="2:11" x14ac:dyDescent="0.35">
      <c r="B1036" s="4" t="str">
        <f>+IF('Data Pura Costos'!B1036="","",'Data Pura Costos'!B1036)</f>
        <v>El Parque</v>
      </c>
      <c r="C1036" s="4" t="str">
        <f>+IF('Data Pura Costos'!C1036="","",'Data Pura Costos'!C1036)</f>
        <v>San Francisco de Mostazal.VI Region.</v>
      </c>
      <c r="D1036" s="5">
        <f>+IF('Data Pura Costos'!D1036="","",'Data Pura Costos'!D1036)</f>
        <v>70</v>
      </c>
      <c r="E1036" s="65">
        <f>+IF('Data Pura Costos'!E1036="","",IF('Data Pura Costos'!E1036=0,MAX('Data Pura Costos'!$E$7:$E$3000)*1000,'Data Pura Costos'!E1036))</f>
        <v>400000</v>
      </c>
      <c r="F1036" s="5" t="str">
        <f>+IF('Data Pura Costos'!F1036="","",'Data Pura Costos'!F1036)</f>
        <v>Malloa</v>
      </c>
      <c r="G1036" s="5" t="str">
        <f>+IF('Data Pura Costos'!G1036="","",'Data Pura Costos'!G1036)</f>
        <v xml:space="preserve">ARIEL VARGAS </v>
      </c>
      <c r="H1036" s="52" t="str">
        <f>+IF('Data Pura Costos'!H1036="","",'Data Pura Costos'!H1036)</f>
        <v>Termo</v>
      </c>
      <c r="I1036" s="71">
        <f>+IF('Data Pura Costos'!I1036="","",'Data Pura Costos'!I1036)</f>
        <v>5714.2857142857147</v>
      </c>
      <c r="J1036" s="52" t="str">
        <f>+IF('Data Pura Costos'!J1036="","",'Data Pura Costos'!J1036)</f>
        <v>24-25</v>
      </c>
      <c r="K1036" s="82" t="str">
        <f t="shared" si="21"/>
        <v xml:space="preserve">El Parque-Malloa-ARIEL VARGAS </v>
      </c>
    </row>
    <row r="1037" spans="2:11" x14ac:dyDescent="0.35">
      <c r="B1037" s="4" t="str">
        <f>+IF('Data Pura Costos'!B1037="","",'Data Pura Costos'!B1037)</f>
        <v>El Picaso</v>
      </c>
      <c r="C1037" s="4" t="str">
        <f>+IF('Data Pura Costos'!C1037="","",'Data Pura Costos'!C1037)</f>
        <v xml:space="preserve">San Clemente, VII región </v>
      </c>
      <c r="D1037" s="5">
        <f>+IF('Data Pura Costos'!D1037="","",'Data Pura Costos'!D1037)</f>
        <v>160</v>
      </c>
      <c r="E1037" s="65">
        <f>+IF('Data Pura Costos'!E1037="","",IF('Data Pura Costos'!E1037=0,MAX('Data Pura Costos'!$E$7:$E$3000)*1000,'Data Pura Costos'!E1037))</f>
        <v>704000</v>
      </c>
      <c r="F1037" s="5" t="str">
        <f>+IF('Data Pura Costos'!F1037="","",'Data Pura Costos'!F1037)</f>
        <v>Malloa</v>
      </c>
      <c r="G1037" s="5" t="str">
        <f>+IF('Data Pura Costos'!G1037="","",'Data Pura Costos'!G1037)</f>
        <v xml:space="preserve">ARIEL VARGAS </v>
      </c>
      <c r="H1037" s="52" t="str">
        <f>+IF('Data Pura Costos'!H1037="","",'Data Pura Costos'!H1037)</f>
        <v>Termo</v>
      </c>
      <c r="I1037" s="71">
        <f>+IF('Data Pura Costos'!I1037="","",'Data Pura Costos'!I1037)</f>
        <v>4400</v>
      </c>
      <c r="J1037" s="52" t="str">
        <f>+IF('Data Pura Costos'!J1037="","",'Data Pura Costos'!J1037)</f>
        <v>24-25</v>
      </c>
      <c r="K1037" s="82" t="str">
        <f t="shared" si="21"/>
        <v xml:space="preserve">El Picaso-Malloa-ARIEL VARGAS </v>
      </c>
    </row>
    <row r="1038" spans="2:11" x14ac:dyDescent="0.35">
      <c r="B1038" s="4" t="str">
        <f>+IF('Data Pura Costos'!B1038="","",'Data Pura Costos'!B1038)</f>
        <v>El Recurso</v>
      </c>
      <c r="C1038" s="4" t="str">
        <f>+IF('Data Pura Costos'!C1038="","",'Data Pura Costos'!C1038)</f>
        <v>San Francisco de Mostazal.VI Region.</v>
      </c>
      <c r="D1038" s="5">
        <f>+IF('Data Pura Costos'!D1038="","",'Data Pura Costos'!D1038)</f>
        <v>70</v>
      </c>
      <c r="E1038" s="65">
        <f>+IF('Data Pura Costos'!E1038="","",IF('Data Pura Costos'!E1038=0,MAX('Data Pura Costos'!$E$7:$E$3000)*1000,'Data Pura Costos'!E1038))</f>
        <v>400000</v>
      </c>
      <c r="F1038" s="5" t="str">
        <f>+IF('Data Pura Costos'!F1038="","",'Data Pura Costos'!F1038)</f>
        <v>Malloa</v>
      </c>
      <c r="G1038" s="5" t="str">
        <f>+IF('Data Pura Costos'!G1038="","",'Data Pura Costos'!G1038)</f>
        <v xml:space="preserve">ARIEL VARGAS </v>
      </c>
      <c r="H1038" s="52" t="str">
        <f>+IF('Data Pura Costos'!H1038="","",'Data Pura Costos'!H1038)</f>
        <v>Termo</v>
      </c>
      <c r="I1038" s="71">
        <f>+IF('Data Pura Costos'!I1038="","",'Data Pura Costos'!I1038)</f>
        <v>5714.2857142857147</v>
      </c>
      <c r="J1038" s="52" t="str">
        <f>+IF('Data Pura Costos'!J1038="","",'Data Pura Costos'!J1038)</f>
        <v>24-25</v>
      </c>
      <c r="K1038" s="82" t="str">
        <f t="shared" si="21"/>
        <v xml:space="preserve">El Recurso-Malloa-ARIEL VARGAS </v>
      </c>
    </row>
    <row r="1039" spans="2:11" x14ac:dyDescent="0.35">
      <c r="B1039" s="4" t="str">
        <f>+IF('Data Pura Costos'!B1039="","",'Data Pura Costos'!B1039)</f>
        <v>El Rosario</v>
      </c>
      <c r="C1039" s="4" t="str">
        <f>+IF('Data Pura Costos'!C1039="","",'Data Pura Costos'!C1039)</f>
        <v>Linares, VII region.</v>
      </c>
      <c r="D1039" s="5">
        <f>+IF('Data Pura Costos'!D1039="","",'Data Pura Costos'!D1039)</f>
        <v>210</v>
      </c>
      <c r="E1039" s="65">
        <f>+IF('Data Pura Costos'!E1039="","",IF('Data Pura Costos'!E1039=0,MAX('Data Pura Costos'!$E$7:$E$3000)*1000,'Data Pura Costos'!E1039))</f>
        <v>924000</v>
      </c>
      <c r="F1039" s="5" t="str">
        <f>+IF('Data Pura Costos'!F1039="","",'Data Pura Costos'!F1039)</f>
        <v>Malloa</v>
      </c>
      <c r="G1039" s="5" t="str">
        <f>+IF('Data Pura Costos'!G1039="","",'Data Pura Costos'!G1039)</f>
        <v xml:space="preserve">ARIEL VARGAS </v>
      </c>
      <c r="H1039" s="52" t="str">
        <f>+IF('Data Pura Costos'!H1039="","",'Data Pura Costos'!H1039)</f>
        <v>Termo</v>
      </c>
      <c r="I1039" s="71">
        <f>+IF('Data Pura Costos'!I1039="","",'Data Pura Costos'!I1039)</f>
        <v>4400</v>
      </c>
      <c r="J1039" s="52" t="str">
        <f>+IF('Data Pura Costos'!J1039="","",'Data Pura Costos'!J1039)</f>
        <v>24-25</v>
      </c>
      <c r="K1039" s="82" t="str">
        <f t="shared" si="21"/>
        <v xml:space="preserve">El Rosario-Malloa-ARIEL VARGAS </v>
      </c>
    </row>
    <row r="1040" spans="2:11" x14ac:dyDescent="0.35">
      <c r="B1040" s="4" t="str">
        <f>+IF('Data Pura Costos'!B1040="","",'Data Pura Costos'!B1040)</f>
        <v>El Retiro</v>
      </c>
      <c r="C1040" s="4" t="str">
        <f>+IF('Data Pura Costos'!C1040="","",'Data Pura Costos'!C1040)</f>
        <v>Rosario, VI Region.</v>
      </c>
      <c r="D1040" s="5">
        <f>+IF('Data Pura Costos'!D1040="","",'Data Pura Costos'!D1040)</f>
        <v>25</v>
      </c>
      <c r="E1040" s="65">
        <f>+IF('Data Pura Costos'!E1040="","",IF('Data Pura Costos'!E1040=0,MAX('Data Pura Costos'!$E$7:$E$3000)*1000,'Data Pura Costos'!E1040))</f>
        <v>300000</v>
      </c>
      <c r="F1040" s="5" t="str">
        <f>+IF('Data Pura Costos'!F1040="","",'Data Pura Costos'!F1040)</f>
        <v>Malloa</v>
      </c>
      <c r="G1040" s="5" t="str">
        <f>+IF('Data Pura Costos'!G1040="","",'Data Pura Costos'!G1040)</f>
        <v xml:space="preserve">ARIEL VARGAS </v>
      </c>
      <c r="H1040" s="52" t="str">
        <f>+IF('Data Pura Costos'!H1040="","",'Data Pura Costos'!H1040)</f>
        <v>Termo</v>
      </c>
      <c r="I1040" s="71">
        <f>+IF('Data Pura Costos'!I1040="","",'Data Pura Costos'!I1040)</f>
        <v>12000</v>
      </c>
      <c r="J1040" s="52" t="str">
        <f>+IF('Data Pura Costos'!J1040="","",'Data Pura Costos'!J1040)</f>
        <v>24-25</v>
      </c>
      <c r="K1040" s="82" t="str">
        <f t="shared" si="21"/>
        <v xml:space="preserve">El Retiro-Malloa-ARIEL VARGAS </v>
      </c>
    </row>
    <row r="1041" spans="2:11" x14ac:dyDescent="0.35">
      <c r="B1041" s="4" t="str">
        <f>+IF('Data Pura Costos'!B1041="","",'Data Pura Costos'!B1041)</f>
        <v>La Esperanza</v>
      </c>
      <c r="C1041" s="4" t="str">
        <f>+IF('Data Pura Costos'!C1041="","",'Data Pura Costos'!C1041)</f>
        <v>Peumo, VI región</v>
      </c>
      <c r="D1041" s="5">
        <f>+IF('Data Pura Costos'!D1041="","",'Data Pura Costos'!D1041)</f>
        <v>35</v>
      </c>
      <c r="E1041" s="65">
        <f>+IF('Data Pura Costos'!E1041="","",IF('Data Pura Costos'!E1041=0,MAX('Data Pura Costos'!$E$7:$E$3000)*1000,'Data Pura Costos'!E1041))</f>
        <v>300000</v>
      </c>
      <c r="F1041" s="5" t="str">
        <f>+IF('Data Pura Costos'!F1041="","",'Data Pura Costos'!F1041)</f>
        <v>Malloa</v>
      </c>
      <c r="G1041" s="5" t="str">
        <f>+IF('Data Pura Costos'!G1041="","",'Data Pura Costos'!G1041)</f>
        <v xml:space="preserve">ARIEL VARGAS </v>
      </c>
      <c r="H1041" s="52" t="str">
        <f>+IF('Data Pura Costos'!H1041="","",'Data Pura Costos'!H1041)</f>
        <v>Termo</v>
      </c>
      <c r="I1041" s="71">
        <f>+IF('Data Pura Costos'!I1041="","",'Data Pura Costos'!I1041)</f>
        <v>8571.4285714285706</v>
      </c>
      <c r="J1041" s="52" t="str">
        <f>+IF('Data Pura Costos'!J1041="","",'Data Pura Costos'!J1041)</f>
        <v>24-25</v>
      </c>
      <c r="K1041" s="82" t="str">
        <f t="shared" si="21"/>
        <v xml:space="preserve">La Esperanza-Malloa-ARIEL VARGAS </v>
      </c>
    </row>
    <row r="1042" spans="2:11" x14ac:dyDescent="0.35">
      <c r="B1042" s="4" t="str">
        <f>+IF('Data Pura Costos'!B1042="","",'Data Pura Costos'!B1042)</f>
        <v>La Estación</v>
      </c>
      <c r="C1042" s="4" t="str">
        <f>+IF('Data Pura Costos'!C1042="","",'Data Pura Costos'!C1042)</f>
        <v>Palmilla, VI región</v>
      </c>
      <c r="D1042" s="5">
        <f>+IF('Data Pura Costos'!D1042="","",'Data Pura Costos'!D1042)</f>
        <v>75</v>
      </c>
      <c r="E1042" s="65">
        <f>+IF('Data Pura Costos'!E1042="","",IF('Data Pura Costos'!E1042=0,MAX('Data Pura Costos'!$E$7:$E$3000)*1000,'Data Pura Costos'!E1042))</f>
        <v>400000</v>
      </c>
      <c r="F1042" s="5" t="str">
        <f>+IF('Data Pura Costos'!F1042="","",'Data Pura Costos'!F1042)</f>
        <v>Malloa</v>
      </c>
      <c r="G1042" s="5" t="str">
        <f>+IF('Data Pura Costos'!G1042="","",'Data Pura Costos'!G1042)</f>
        <v xml:space="preserve">ARIEL VARGAS </v>
      </c>
      <c r="H1042" s="52" t="str">
        <f>+IF('Data Pura Costos'!H1042="","",'Data Pura Costos'!H1042)</f>
        <v>Termo</v>
      </c>
      <c r="I1042" s="71">
        <f>+IF('Data Pura Costos'!I1042="","",'Data Pura Costos'!I1042)</f>
        <v>5333.333333333333</v>
      </c>
      <c r="J1042" s="52" t="str">
        <f>+IF('Data Pura Costos'!J1042="","",'Data Pura Costos'!J1042)</f>
        <v>24-25</v>
      </c>
      <c r="K1042" s="82" t="str">
        <f t="shared" si="21"/>
        <v xml:space="preserve">La Estación-Malloa-ARIEL VARGAS </v>
      </c>
    </row>
    <row r="1043" spans="2:11" x14ac:dyDescent="0.35">
      <c r="B1043" s="4" t="str">
        <f>+IF('Data Pura Costos'!B1043="","",'Data Pura Costos'!B1043)</f>
        <v>La Lajuela</v>
      </c>
      <c r="C1043" s="4" t="str">
        <f>+IF('Data Pura Costos'!C1043="","",'Data Pura Costos'!C1043)</f>
        <v>Santa Cruz, VI Región</v>
      </c>
      <c r="D1043" s="5">
        <f>+IF('Data Pura Costos'!D1043="","",'Data Pura Costos'!D1043)</f>
        <v>75</v>
      </c>
      <c r="E1043" s="65">
        <f>+IF('Data Pura Costos'!E1043="","",IF('Data Pura Costos'!E1043=0,MAX('Data Pura Costos'!$E$7:$E$3000)*1000,'Data Pura Costos'!E1043))</f>
        <v>400000</v>
      </c>
      <c r="F1043" s="5" t="str">
        <f>+IF('Data Pura Costos'!F1043="","",'Data Pura Costos'!F1043)</f>
        <v>Malloa</v>
      </c>
      <c r="G1043" s="5" t="str">
        <f>+IF('Data Pura Costos'!G1043="","",'Data Pura Costos'!G1043)</f>
        <v xml:space="preserve">ARIEL VARGAS </v>
      </c>
      <c r="H1043" s="52" t="str">
        <f>+IF('Data Pura Costos'!H1043="","",'Data Pura Costos'!H1043)</f>
        <v>Termo</v>
      </c>
      <c r="I1043" s="71">
        <f>+IF('Data Pura Costos'!I1043="","",'Data Pura Costos'!I1043)</f>
        <v>5333.333333333333</v>
      </c>
      <c r="J1043" s="52" t="str">
        <f>+IF('Data Pura Costos'!J1043="","",'Data Pura Costos'!J1043)</f>
        <v>24-25</v>
      </c>
      <c r="K1043" s="82" t="str">
        <f t="shared" si="21"/>
        <v xml:space="preserve">La Lajuela-Malloa-ARIEL VARGAS </v>
      </c>
    </row>
    <row r="1044" spans="2:11" x14ac:dyDescent="0.35">
      <c r="B1044" s="4" t="str">
        <f>+IF('Data Pura Costos'!B1044="","",'Data Pura Costos'!B1044)</f>
        <v>La Morera</v>
      </c>
      <c r="C1044" s="4" t="str">
        <f>+IF('Data Pura Costos'!C1044="","",'Data Pura Costos'!C1044)</f>
        <v>La compañia, VI Region.</v>
      </c>
      <c r="D1044" s="5">
        <f>+IF('Data Pura Costos'!D1044="","",'Data Pura Costos'!D1044)</f>
        <v>55</v>
      </c>
      <c r="E1044" s="65">
        <f>+IF('Data Pura Costos'!E1044="","",IF('Data Pura Costos'!E1044=0,MAX('Data Pura Costos'!$E$7:$E$3000)*1000,'Data Pura Costos'!E1044))</f>
        <v>350000</v>
      </c>
      <c r="F1044" s="5" t="str">
        <f>+IF('Data Pura Costos'!F1044="","",'Data Pura Costos'!F1044)</f>
        <v>Malloa</v>
      </c>
      <c r="G1044" s="5" t="str">
        <f>+IF('Data Pura Costos'!G1044="","",'Data Pura Costos'!G1044)</f>
        <v xml:space="preserve">ARIEL VARGAS </v>
      </c>
      <c r="H1044" s="52" t="str">
        <f>+IF('Data Pura Costos'!H1044="","",'Data Pura Costos'!H1044)</f>
        <v>Termo</v>
      </c>
      <c r="I1044" s="71">
        <f>+IF('Data Pura Costos'!I1044="","",'Data Pura Costos'!I1044)</f>
        <v>6363.636363636364</v>
      </c>
      <c r="J1044" s="52" t="str">
        <f>+IF('Data Pura Costos'!J1044="","",'Data Pura Costos'!J1044)</f>
        <v>24-25</v>
      </c>
      <c r="K1044" s="82" t="str">
        <f t="shared" si="21"/>
        <v xml:space="preserve">La Morera-Malloa-ARIEL VARGAS </v>
      </c>
    </row>
    <row r="1045" spans="2:11" x14ac:dyDescent="0.35">
      <c r="B1045" s="4" t="str">
        <f>+IF('Data Pura Costos'!B1045="","",'Data Pura Costos'!B1045)</f>
        <v>La Rinconada</v>
      </c>
      <c r="C1045" s="4" t="str">
        <f>+IF('Data Pura Costos'!C1045="","",'Data Pura Costos'!C1045)</f>
        <v>Pichidegua, VI región</v>
      </c>
      <c r="D1045" s="5">
        <f>+IF('Data Pura Costos'!D1045="","",'Data Pura Costos'!D1045)</f>
        <v>45</v>
      </c>
      <c r="E1045" s="65">
        <f>+IF('Data Pura Costos'!E1045="","",IF('Data Pura Costos'!E1045=0,MAX('Data Pura Costos'!$E$7:$E$3000)*1000,'Data Pura Costos'!E1045))</f>
        <v>300000</v>
      </c>
      <c r="F1045" s="5" t="str">
        <f>+IF('Data Pura Costos'!F1045="","",'Data Pura Costos'!F1045)</f>
        <v>Malloa</v>
      </c>
      <c r="G1045" s="5" t="str">
        <f>+IF('Data Pura Costos'!G1045="","",'Data Pura Costos'!G1045)</f>
        <v xml:space="preserve">ARIEL VARGAS </v>
      </c>
      <c r="H1045" s="52" t="str">
        <f>+IF('Data Pura Costos'!H1045="","",'Data Pura Costos'!H1045)</f>
        <v>Termo</v>
      </c>
      <c r="I1045" s="71">
        <f>+IF('Data Pura Costos'!I1045="","",'Data Pura Costos'!I1045)</f>
        <v>6666.666666666667</v>
      </c>
      <c r="J1045" s="52" t="str">
        <f>+IF('Data Pura Costos'!J1045="","",'Data Pura Costos'!J1045)</f>
        <v>24-25</v>
      </c>
      <c r="K1045" s="82" t="str">
        <f t="shared" si="21"/>
        <v xml:space="preserve">La Rinconada-Malloa-ARIEL VARGAS </v>
      </c>
    </row>
    <row r="1046" spans="2:11" x14ac:dyDescent="0.35">
      <c r="B1046" s="4" t="str">
        <f>+IF('Data Pura Costos'!B1046="","",'Data Pura Costos'!B1046)</f>
        <v xml:space="preserve">La Roblería </v>
      </c>
      <c r="C1046" s="4" t="str">
        <f>+IF('Data Pura Costos'!C1046="","",'Data Pura Costos'!C1046)</f>
        <v>Aculeo, RM</v>
      </c>
      <c r="D1046" s="5">
        <f>+IF('Data Pura Costos'!D1046="","",'Data Pura Costos'!D1046)</f>
        <v>105</v>
      </c>
      <c r="E1046" s="65">
        <f>+IF('Data Pura Costos'!E1046="","",IF('Data Pura Costos'!E1046=0,MAX('Data Pura Costos'!$E$7:$E$3000)*1000,'Data Pura Costos'!E1046))</f>
        <v>462000</v>
      </c>
      <c r="F1046" s="5" t="str">
        <f>+IF('Data Pura Costos'!F1046="","",'Data Pura Costos'!F1046)</f>
        <v>Malloa</v>
      </c>
      <c r="G1046" s="5" t="str">
        <f>+IF('Data Pura Costos'!G1046="","",'Data Pura Costos'!G1046)</f>
        <v xml:space="preserve">ARIEL VARGAS </v>
      </c>
      <c r="H1046" s="52" t="str">
        <f>+IF('Data Pura Costos'!H1046="","",'Data Pura Costos'!H1046)</f>
        <v>Termo</v>
      </c>
      <c r="I1046" s="71">
        <f>+IF('Data Pura Costos'!I1046="","",'Data Pura Costos'!I1046)</f>
        <v>4400</v>
      </c>
      <c r="J1046" s="52" t="str">
        <f>+IF('Data Pura Costos'!J1046="","",'Data Pura Costos'!J1046)</f>
        <v>24-25</v>
      </c>
      <c r="K1046" s="82" t="str">
        <f t="shared" si="21"/>
        <v xml:space="preserve">La Roblería -Malloa-ARIEL VARGAS </v>
      </c>
    </row>
    <row r="1047" spans="2:11" x14ac:dyDescent="0.35">
      <c r="B1047" s="4" t="str">
        <f>+IF('Data Pura Costos'!B1047="","",'Data Pura Costos'!B1047)</f>
        <v>Las Cabras</v>
      </c>
      <c r="C1047" s="4" t="str">
        <f>+IF('Data Pura Costos'!C1047="","",'Data Pura Costos'!C1047)</f>
        <v>Las Cabras, VI región</v>
      </c>
      <c r="D1047" s="5">
        <f>+IF('Data Pura Costos'!D1047="","",'Data Pura Costos'!D1047)</f>
        <v>45</v>
      </c>
      <c r="E1047" s="65">
        <f>+IF('Data Pura Costos'!E1047="","",IF('Data Pura Costos'!E1047=0,MAX('Data Pura Costos'!$E$7:$E$3000)*1000,'Data Pura Costos'!E1047))</f>
        <v>300000</v>
      </c>
      <c r="F1047" s="5" t="str">
        <f>+IF('Data Pura Costos'!F1047="","",'Data Pura Costos'!F1047)</f>
        <v>Malloa</v>
      </c>
      <c r="G1047" s="5" t="str">
        <f>+IF('Data Pura Costos'!G1047="","",'Data Pura Costos'!G1047)</f>
        <v xml:space="preserve">ARIEL VARGAS </v>
      </c>
      <c r="H1047" s="52" t="str">
        <f>+IF('Data Pura Costos'!H1047="","",'Data Pura Costos'!H1047)</f>
        <v>Termo</v>
      </c>
      <c r="I1047" s="71">
        <f>+IF('Data Pura Costos'!I1047="","",'Data Pura Costos'!I1047)</f>
        <v>6666.666666666667</v>
      </c>
      <c r="J1047" s="52" t="str">
        <f>+IF('Data Pura Costos'!J1047="","",'Data Pura Costos'!J1047)</f>
        <v>24-25</v>
      </c>
      <c r="K1047" s="82" t="str">
        <f t="shared" si="21"/>
        <v xml:space="preserve">Las Cabras-Malloa-ARIEL VARGAS </v>
      </c>
    </row>
    <row r="1048" spans="2:11" x14ac:dyDescent="0.35">
      <c r="B1048" s="4" t="str">
        <f>+IF('Data Pura Costos'!B1048="","",'Data Pura Costos'!B1048)</f>
        <v>Las Vertientes</v>
      </c>
      <c r="C1048" s="4" t="str">
        <f>+IF('Data Pura Costos'!C1048="","",'Data Pura Costos'!C1048)</f>
        <v>Pichidegua, VI región</v>
      </c>
      <c r="D1048" s="5">
        <f>+IF('Data Pura Costos'!D1048="","",'Data Pura Costos'!D1048)</f>
        <v>40</v>
      </c>
      <c r="E1048" s="65">
        <f>+IF('Data Pura Costos'!E1048="","",IF('Data Pura Costos'!E1048=0,MAX('Data Pura Costos'!$E$7:$E$3000)*1000,'Data Pura Costos'!E1048))</f>
        <v>300000</v>
      </c>
      <c r="F1048" s="5" t="str">
        <f>+IF('Data Pura Costos'!F1048="","",'Data Pura Costos'!F1048)</f>
        <v>Malloa</v>
      </c>
      <c r="G1048" s="5" t="str">
        <f>+IF('Data Pura Costos'!G1048="","",'Data Pura Costos'!G1048)</f>
        <v xml:space="preserve">ARIEL VARGAS </v>
      </c>
      <c r="H1048" s="52" t="str">
        <f>+IF('Data Pura Costos'!H1048="","",'Data Pura Costos'!H1048)</f>
        <v>Termo</v>
      </c>
      <c r="I1048" s="71">
        <f>+IF('Data Pura Costos'!I1048="","",'Data Pura Costos'!I1048)</f>
        <v>7500</v>
      </c>
      <c r="J1048" s="52" t="str">
        <f>+IF('Data Pura Costos'!J1048="","",'Data Pura Costos'!J1048)</f>
        <v>24-25</v>
      </c>
      <c r="K1048" s="82" t="str">
        <f t="shared" si="21"/>
        <v xml:space="preserve">Las Vertientes-Malloa-ARIEL VARGAS </v>
      </c>
    </row>
    <row r="1049" spans="2:11" x14ac:dyDescent="0.35">
      <c r="B1049" s="4" t="str">
        <f>+IF('Data Pura Costos'!B1049="","",'Data Pura Costos'!B1049)</f>
        <v>Lihueimo</v>
      </c>
      <c r="C1049" s="4" t="str">
        <f>+IF('Data Pura Costos'!C1049="","",'Data Pura Costos'!C1049)</f>
        <v>Peralillo ohiggins</v>
      </c>
      <c r="D1049" s="5">
        <f>+IF('Data Pura Costos'!D1049="","",'Data Pura Costos'!D1049)</f>
        <v>80</v>
      </c>
      <c r="E1049" s="65">
        <f>+IF('Data Pura Costos'!E1049="","",IF('Data Pura Costos'!E1049=0,MAX('Data Pura Costos'!$E$7:$E$3000)*1000,'Data Pura Costos'!E1049))</f>
        <v>450000</v>
      </c>
      <c r="F1049" s="5" t="str">
        <f>+IF('Data Pura Costos'!F1049="","",'Data Pura Costos'!F1049)</f>
        <v>Malloa</v>
      </c>
      <c r="G1049" s="5" t="str">
        <f>+IF('Data Pura Costos'!G1049="","",'Data Pura Costos'!G1049)</f>
        <v xml:space="preserve">ARIEL VARGAS </v>
      </c>
      <c r="H1049" s="52" t="str">
        <f>+IF('Data Pura Costos'!H1049="","",'Data Pura Costos'!H1049)</f>
        <v>Termo</v>
      </c>
      <c r="I1049" s="71">
        <f>+IF('Data Pura Costos'!I1049="","",'Data Pura Costos'!I1049)</f>
        <v>5625</v>
      </c>
      <c r="J1049" s="52" t="str">
        <f>+IF('Data Pura Costos'!J1049="","",'Data Pura Costos'!J1049)</f>
        <v>24-25</v>
      </c>
      <c r="K1049" s="82" t="str">
        <f t="shared" si="21"/>
        <v xml:space="preserve">Lihueimo-Malloa-ARIEL VARGAS </v>
      </c>
    </row>
    <row r="1050" spans="2:11" x14ac:dyDescent="0.35">
      <c r="B1050" s="4" t="str">
        <f>+IF('Data Pura Costos'!B1050="","",'Data Pura Costos'!B1050)</f>
        <v>Los Encinos</v>
      </c>
      <c r="C1050" s="4" t="str">
        <f>+IF('Data Pura Costos'!C1050="","",'Data Pura Costos'!C1050)</f>
        <v>Huechun, RM</v>
      </c>
      <c r="D1050" s="5">
        <f>+IF('Data Pura Costos'!D1050="","",'Data Pura Costos'!D1050)</f>
        <v>145</v>
      </c>
      <c r="E1050" s="65">
        <f>+IF('Data Pura Costos'!E1050="","",IF('Data Pura Costos'!E1050=0,MAX('Data Pura Costos'!$E$7:$E$3000)*1000,'Data Pura Costos'!E1050))</f>
        <v>638000</v>
      </c>
      <c r="F1050" s="5" t="str">
        <f>+IF('Data Pura Costos'!F1050="","",'Data Pura Costos'!F1050)</f>
        <v>Malloa</v>
      </c>
      <c r="G1050" s="5" t="str">
        <f>+IF('Data Pura Costos'!G1050="","",'Data Pura Costos'!G1050)</f>
        <v xml:space="preserve">ARIEL VARGAS </v>
      </c>
      <c r="H1050" s="52" t="str">
        <f>+IF('Data Pura Costos'!H1050="","",'Data Pura Costos'!H1050)</f>
        <v>Termo</v>
      </c>
      <c r="I1050" s="71">
        <f>+IF('Data Pura Costos'!I1050="","",'Data Pura Costos'!I1050)</f>
        <v>4400</v>
      </c>
      <c r="J1050" s="52" t="str">
        <f>+IF('Data Pura Costos'!J1050="","",'Data Pura Costos'!J1050)</f>
        <v>24-25</v>
      </c>
      <c r="K1050" s="82" t="str">
        <f t="shared" si="21"/>
        <v xml:space="preserve">Los Encinos-Malloa-ARIEL VARGAS </v>
      </c>
    </row>
    <row r="1051" spans="2:11" x14ac:dyDescent="0.35">
      <c r="B1051" s="4" t="str">
        <f>+IF('Data Pura Costos'!B1051="","",'Data Pura Costos'!B1051)</f>
        <v>Los Maitenes</v>
      </c>
      <c r="C1051" s="4" t="str">
        <f>+IF('Data Pura Costos'!C1051="","",'Data Pura Costos'!C1051)</f>
        <v>Las Cabras, VI región</v>
      </c>
      <c r="D1051" s="5">
        <f>+IF('Data Pura Costos'!D1051="","",'Data Pura Costos'!D1051)</f>
        <v>60</v>
      </c>
      <c r="E1051" s="65">
        <f>+IF('Data Pura Costos'!E1051="","",IF('Data Pura Costos'!E1051=0,MAX('Data Pura Costos'!$E$7:$E$3000)*1000,'Data Pura Costos'!E1051))</f>
        <v>350000</v>
      </c>
      <c r="F1051" s="5" t="str">
        <f>+IF('Data Pura Costos'!F1051="","",'Data Pura Costos'!F1051)</f>
        <v>Malloa</v>
      </c>
      <c r="G1051" s="5" t="str">
        <f>+IF('Data Pura Costos'!G1051="","",'Data Pura Costos'!G1051)</f>
        <v xml:space="preserve">ARIEL VARGAS </v>
      </c>
      <c r="H1051" s="52" t="str">
        <f>+IF('Data Pura Costos'!H1051="","",'Data Pura Costos'!H1051)</f>
        <v>Termo</v>
      </c>
      <c r="I1051" s="71">
        <f>+IF('Data Pura Costos'!I1051="","",'Data Pura Costos'!I1051)</f>
        <v>5833.333333333333</v>
      </c>
      <c r="J1051" s="52" t="str">
        <f>+IF('Data Pura Costos'!J1051="","",'Data Pura Costos'!J1051)</f>
        <v>24-25</v>
      </c>
      <c r="K1051" s="82" t="str">
        <f t="shared" si="21"/>
        <v xml:space="preserve">Los Maitenes-Malloa-ARIEL VARGAS </v>
      </c>
    </row>
    <row r="1052" spans="2:11" x14ac:dyDescent="0.35">
      <c r="B1052" s="4" t="str">
        <f>+IF('Data Pura Costos'!B1052="","",'Data Pura Costos'!B1052)</f>
        <v>Los Toldos</v>
      </c>
      <c r="C1052" s="4" t="str">
        <f>+IF('Data Pura Costos'!C1052="","",'Data Pura Costos'!C1052)</f>
        <v>Angol, IX región</v>
      </c>
      <c r="D1052" s="5">
        <f>+IF('Data Pura Costos'!D1052="","",'Data Pura Costos'!D1052)</f>
        <v>50</v>
      </c>
      <c r="E1052" s="65">
        <f>+IF('Data Pura Costos'!E1052="","",IF('Data Pura Costos'!E1052=0,MAX('Data Pura Costos'!$E$7:$E$3000)*1000,'Data Pura Costos'!E1052))</f>
        <v>2200000</v>
      </c>
      <c r="F1052" s="5" t="str">
        <f>+IF('Data Pura Costos'!F1052="","",'Data Pura Costos'!F1052)</f>
        <v>Malloa</v>
      </c>
      <c r="G1052" s="5" t="str">
        <f>+IF('Data Pura Costos'!G1052="","",'Data Pura Costos'!G1052)</f>
        <v xml:space="preserve">ARIEL VARGAS </v>
      </c>
      <c r="H1052" s="52" t="str">
        <f>+IF('Data Pura Costos'!H1052="","",'Data Pura Costos'!H1052)</f>
        <v>Termo</v>
      </c>
      <c r="I1052" s="71">
        <f>+IF('Data Pura Costos'!I1052="","",'Data Pura Costos'!I1052)</f>
        <v>44000</v>
      </c>
      <c r="J1052" s="52" t="str">
        <f>+IF('Data Pura Costos'!J1052="","",'Data Pura Costos'!J1052)</f>
        <v>24-25</v>
      </c>
      <c r="K1052" s="82" t="str">
        <f t="shared" si="21"/>
        <v xml:space="preserve">Los Toldos-Malloa-ARIEL VARGAS </v>
      </c>
    </row>
    <row r="1053" spans="2:11" x14ac:dyDescent="0.35">
      <c r="B1053" s="4" t="str">
        <f>+IF('Data Pura Costos'!B1053="","",'Data Pura Costos'!B1053)</f>
        <v>Mallorca</v>
      </c>
      <c r="C1053" s="4" t="str">
        <f>+IF('Data Pura Costos'!C1053="","",'Data Pura Costos'!C1053)</f>
        <v xml:space="preserve">Molina, VII región </v>
      </c>
      <c r="D1053" s="5">
        <f>+IF('Data Pura Costos'!D1053="","",'Data Pura Costos'!D1053)</f>
        <v>95</v>
      </c>
      <c r="E1053" s="65">
        <f>+IF('Data Pura Costos'!E1053="","",IF('Data Pura Costos'!E1053=0,MAX('Data Pura Costos'!$E$7:$E$3000)*1000,'Data Pura Costos'!E1053))</f>
        <v>460000</v>
      </c>
      <c r="F1053" s="5" t="str">
        <f>+IF('Data Pura Costos'!F1053="","",'Data Pura Costos'!F1053)</f>
        <v>Malloa</v>
      </c>
      <c r="G1053" s="5" t="str">
        <f>+IF('Data Pura Costos'!G1053="","",'Data Pura Costos'!G1053)</f>
        <v xml:space="preserve">ARIEL VARGAS </v>
      </c>
      <c r="H1053" s="52" t="str">
        <f>+IF('Data Pura Costos'!H1053="","",'Data Pura Costos'!H1053)</f>
        <v>Termo</v>
      </c>
      <c r="I1053" s="71">
        <f>+IF('Data Pura Costos'!I1053="","",'Data Pura Costos'!I1053)</f>
        <v>4842.105263157895</v>
      </c>
      <c r="J1053" s="52" t="str">
        <f>+IF('Data Pura Costos'!J1053="","",'Data Pura Costos'!J1053)</f>
        <v>24-25</v>
      </c>
      <c r="K1053" s="82" t="str">
        <f t="shared" si="21"/>
        <v xml:space="preserve">Mallorca-Malloa-ARIEL VARGAS </v>
      </c>
    </row>
    <row r="1054" spans="2:11" x14ac:dyDescent="0.35">
      <c r="B1054" s="4" t="str">
        <f>+IF('Data Pura Costos'!B1054="","",'Data Pura Costos'!B1054)</f>
        <v>Panquehue</v>
      </c>
      <c r="C1054" s="4" t="str">
        <f>+IF('Data Pura Costos'!C1054="","",'Data Pura Costos'!C1054)</f>
        <v>Panquehue, V región</v>
      </c>
      <c r="D1054" s="5">
        <f>+IF('Data Pura Costos'!D1054="","",'Data Pura Costos'!D1054)</f>
        <v>230</v>
      </c>
      <c r="E1054" s="65">
        <f>+IF('Data Pura Costos'!E1054="","",IF('Data Pura Costos'!E1054=0,MAX('Data Pura Costos'!$E$7:$E$3000)*1000,'Data Pura Costos'!E1054))</f>
        <v>1012000</v>
      </c>
      <c r="F1054" s="5" t="str">
        <f>+IF('Data Pura Costos'!F1054="","",'Data Pura Costos'!F1054)</f>
        <v>Malloa</v>
      </c>
      <c r="G1054" s="5" t="str">
        <f>+IF('Data Pura Costos'!G1054="","",'Data Pura Costos'!G1054)</f>
        <v xml:space="preserve">ARIEL VARGAS </v>
      </c>
      <c r="H1054" s="52" t="str">
        <f>+IF('Data Pura Costos'!H1054="","",'Data Pura Costos'!H1054)</f>
        <v>Termo</v>
      </c>
      <c r="I1054" s="71">
        <f>+IF('Data Pura Costos'!I1054="","",'Data Pura Costos'!I1054)</f>
        <v>4400</v>
      </c>
      <c r="J1054" s="52" t="str">
        <f>+IF('Data Pura Costos'!J1054="","",'Data Pura Costos'!J1054)</f>
        <v>24-25</v>
      </c>
      <c r="K1054" s="82" t="str">
        <f t="shared" si="21"/>
        <v xml:space="preserve">Panquehue-Malloa-ARIEL VARGAS </v>
      </c>
    </row>
    <row r="1055" spans="2:11" x14ac:dyDescent="0.35">
      <c r="B1055" s="4" t="str">
        <f>+IF('Data Pura Costos'!B1055="","",'Data Pura Costos'!B1055)</f>
        <v>Entre Rios/Puente Negro/Rio Claro</v>
      </c>
      <c r="C1055" s="4" t="str">
        <f>+IF('Data Pura Costos'!C1055="","",'Data Pura Costos'!C1055)</f>
        <v>Puente negro, san fernando.VI Region.</v>
      </c>
      <c r="D1055" s="5">
        <f>+IF('Data Pura Costos'!D1055="","",'Data Pura Costos'!D1055)</f>
        <v>50</v>
      </c>
      <c r="E1055" s="65">
        <f>+IF('Data Pura Costos'!E1055="","",IF('Data Pura Costos'!E1055=0,MAX('Data Pura Costos'!$E$7:$E$3000)*1000,'Data Pura Costos'!E1055))</f>
        <v>350000</v>
      </c>
      <c r="F1055" s="5" t="str">
        <f>+IF('Data Pura Costos'!F1055="","",'Data Pura Costos'!F1055)</f>
        <v>Malloa</v>
      </c>
      <c r="G1055" s="5" t="str">
        <f>+IF('Data Pura Costos'!G1055="","",'Data Pura Costos'!G1055)</f>
        <v xml:space="preserve">ARIEL VARGAS </v>
      </c>
      <c r="H1055" s="52" t="str">
        <f>+IF('Data Pura Costos'!H1055="","",'Data Pura Costos'!H1055)</f>
        <v>Termo</v>
      </c>
      <c r="I1055" s="71">
        <f>+IF('Data Pura Costos'!I1055="","",'Data Pura Costos'!I1055)</f>
        <v>7000</v>
      </c>
      <c r="J1055" s="52" t="str">
        <f>+IF('Data Pura Costos'!J1055="","",'Data Pura Costos'!J1055)</f>
        <v>24-25</v>
      </c>
      <c r="K1055" s="82" t="str">
        <f t="shared" si="21"/>
        <v xml:space="preserve">Entre Rios/Puente Negro/Rio Claro-Malloa-ARIEL VARGAS </v>
      </c>
    </row>
    <row r="1056" spans="2:11" x14ac:dyDescent="0.35">
      <c r="B1056" s="4" t="str">
        <f>+IF('Data Pura Costos'!B1056="","",'Data Pura Costos'!B1056)</f>
        <v>Retorno</v>
      </c>
      <c r="C1056" s="4" t="str">
        <f>+IF('Data Pura Costos'!C1056="","",'Data Pura Costos'!C1056)</f>
        <v>Santa maria, V región</v>
      </c>
      <c r="D1056" s="5">
        <f>+IF('Data Pura Costos'!D1056="","",'Data Pura Costos'!D1056)</f>
        <v>225</v>
      </c>
      <c r="E1056" s="65">
        <f>+IF('Data Pura Costos'!E1056="","",IF('Data Pura Costos'!E1056=0,MAX('Data Pura Costos'!$E$7:$E$3000)*1000,'Data Pura Costos'!E1056))</f>
        <v>990000</v>
      </c>
      <c r="F1056" s="5" t="str">
        <f>+IF('Data Pura Costos'!F1056="","",'Data Pura Costos'!F1056)</f>
        <v>Malloa</v>
      </c>
      <c r="G1056" s="5" t="str">
        <f>+IF('Data Pura Costos'!G1056="","",'Data Pura Costos'!G1056)</f>
        <v xml:space="preserve">ARIEL VARGAS </v>
      </c>
      <c r="H1056" s="52" t="str">
        <f>+IF('Data Pura Costos'!H1056="","",'Data Pura Costos'!H1056)</f>
        <v>Termo</v>
      </c>
      <c r="I1056" s="71">
        <f>+IF('Data Pura Costos'!I1056="","",'Data Pura Costos'!I1056)</f>
        <v>4400</v>
      </c>
      <c r="J1056" s="52" t="str">
        <f>+IF('Data Pura Costos'!J1056="","",'Data Pura Costos'!J1056)</f>
        <v>24-25</v>
      </c>
      <c r="K1056" s="82" t="str">
        <f t="shared" si="21"/>
        <v xml:space="preserve">Retorno-Malloa-ARIEL VARGAS </v>
      </c>
    </row>
    <row r="1057" spans="2:11" x14ac:dyDescent="0.35">
      <c r="B1057" s="4" t="str">
        <f>+IF('Data Pura Costos'!B1057="","",'Data Pura Costos'!B1057)</f>
        <v>San Hernán</v>
      </c>
      <c r="C1057" s="4" t="str">
        <f>+IF('Data Pura Costos'!C1057="","",'Data Pura Costos'!C1057)</f>
        <v>Graneros, VI región</v>
      </c>
      <c r="D1057" s="5">
        <f>+IF('Data Pura Costos'!D1057="","",'Data Pura Costos'!D1057)</f>
        <v>60</v>
      </c>
      <c r="E1057" s="65">
        <f>+IF('Data Pura Costos'!E1057="","",IF('Data Pura Costos'!E1057=0,MAX('Data Pura Costos'!$E$7:$E$3000)*1000,'Data Pura Costos'!E1057))</f>
        <v>350000</v>
      </c>
      <c r="F1057" s="5" t="str">
        <f>+IF('Data Pura Costos'!F1057="","",'Data Pura Costos'!F1057)</f>
        <v>Malloa</v>
      </c>
      <c r="G1057" s="5" t="str">
        <f>+IF('Data Pura Costos'!G1057="","",'Data Pura Costos'!G1057)</f>
        <v xml:space="preserve">ARIEL VARGAS </v>
      </c>
      <c r="H1057" s="52" t="str">
        <f>+IF('Data Pura Costos'!H1057="","",'Data Pura Costos'!H1057)</f>
        <v>Termo</v>
      </c>
      <c r="I1057" s="71">
        <f>+IF('Data Pura Costos'!I1057="","",'Data Pura Costos'!I1057)</f>
        <v>5833.333333333333</v>
      </c>
      <c r="J1057" s="52" t="str">
        <f>+IF('Data Pura Costos'!J1057="","",'Data Pura Costos'!J1057)</f>
        <v>24-25</v>
      </c>
      <c r="K1057" s="82" t="str">
        <f t="shared" si="21"/>
        <v xml:space="preserve">San Hernán-Malloa-ARIEL VARGAS </v>
      </c>
    </row>
    <row r="1058" spans="2:11" x14ac:dyDescent="0.35">
      <c r="B1058" s="4" t="str">
        <f>+IF('Data Pura Costos'!B1058="","",'Data Pura Costos'!B1058)</f>
        <v>Santa Margarita</v>
      </c>
      <c r="C1058" s="4" t="str">
        <f>+IF('Data Pura Costos'!C1058="","",'Data Pura Costos'!C1058)</f>
        <v xml:space="preserve">La punta, Mostazal VI región </v>
      </c>
      <c r="D1058" s="5">
        <f>+IF('Data Pura Costos'!D1058="","",'Data Pura Costos'!D1058)</f>
        <v>70</v>
      </c>
      <c r="E1058" s="65">
        <f>+IF('Data Pura Costos'!E1058="","",IF('Data Pura Costos'!E1058=0,MAX('Data Pura Costos'!$E$7:$E$3000)*1000,'Data Pura Costos'!E1058))</f>
        <v>400000</v>
      </c>
      <c r="F1058" s="5" t="str">
        <f>+IF('Data Pura Costos'!F1058="","",'Data Pura Costos'!F1058)</f>
        <v>Malloa</v>
      </c>
      <c r="G1058" s="5" t="str">
        <f>+IF('Data Pura Costos'!G1058="","",'Data Pura Costos'!G1058)</f>
        <v xml:space="preserve">ARIEL VARGAS </v>
      </c>
      <c r="H1058" s="52" t="str">
        <f>+IF('Data Pura Costos'!H1058="","",'Data Pura Costos'!H1058)</f>
        <v>Termo</v>
      </c>
      <c r="I1058" s="71">
        <f>+IF('Data Pura Costos'!I1058="","",'Data Pura Costos'!I1058)</f>
        <v>5714.2857142857147</v>
      </c>
      <c r="J1058" s="52" t="str">
        <f>+IF('Data Pura Costos'!J1058="","",'Data Pura Costos'!J1058)</f>
        <v>24-25</v>
      </c>
      <c r="K1058" s="82" t="str">
        <f t="shared" si="21"/>
        <v xml:space="preserve">Santa Margarita-Malloa-ARIEL VARGAS </v>
      </c>
    </row>
    <row r="1059" spans="2:11" x14ac:dyDescent="0.35">
      <c r="B1059" s="4" t="str">
        <f>+IF('Data Pura Costos'!B1059="","",'Data Pura Costos'!B1059)</f>
        <v>Santa Mónica</v>
      </c>
      <c r="C1059" s="4" t="str">
        <f>+IF('Data Pura Costos'!C1059="","",'Data Pura Costos'!C1059)</f>
        <v xml:space="preserve">Rancagua, sector Chancón, VI región </v>
      </c>
      <c r="D1059" s="5">
        <f>+IF('Data Pura Costos'!D1059="","",'Data Pura Costos'!D1059)</f>
        <v>55</v>
      </c>
      <c r="E1059" s="65">
        <f>+IF('Data Pura Costos'!E1059="","",IF('Data Pura Costos'!E1059=0,MAX('Data Pura Costos'!$E$7:$E$3000)*1000,'Data Pura Costos'!E1059))</f>
        <v>350000</v>
      </c>
      <c r="F1059" s="5" t="str">
        <f>+IF('Data Pura Costos'!F1059="","",'Data Pura Costos'!F1059)</f>
        <v>Malloa</v>
      </c>
      <c r="G1059" s="5" t="str">
        <f>+IF('Data Pura Costos'!G1059="","",'Data Pura Costos'!G1059)</f>
        <v xml:space="preserve">ARIEL VARGAS </v>
      </c>
      <c r="H1059" s="52" t="str">
        <f>+IF('Data Pura Costos'!H1059="","",'Data Pura Costos'!H1059)</f>
        <v>Termo</v>
      </c>
      <c r="I1059" s="71">
        <f>+IF('Data Pura Costos'!I1059="","",'Data Pura Costos'!I1059)</f>
        <v>6363.636363636364</v>
      </c>
      <c r="J1059" s="52" t="str">
        <f>+IF('Data Pura Costos'!J1059="","",'Data Pura Costos'!J1059)</f>
        <v>24-25</v>
      </c>
      <c r="K1059" s="82" t="str">
        <f t="shared" si="21"/>
        <v xml:space="preserve">Santa Mónica-Malloa-ARIEL VARGAS </v>
      </c>
    </row>
    <row r="1060" spans="2:11" x14ac:dyDescent="0.35">
      <c r="B1060" s="4" t="str">
        <f>+IF('Data Pura Costos'!B1060="","",'Data Pura Costos'!B1060)</f>
        <v>Talhuén</v>
      </c>
      <c r="C1060" s="4" t="str">
        <f>+IF('Data Pura Costos'!C1060="","",'Data Pura Costos'!C1060)</f>
        <v>Palmilla, VI región</v>
      </c>
      <c r="D1060" s="5">
        <f>+IF('Data Pura Costos'!D1060="","",'Data Pura Costos'!D1060)</f>
        <v>60</v>
      </c>
      <c r="E1060" s="65">
        <f>+IF('Data Pura Costos'!E1060="","",IF('Data Pura Costos'!E1060=0,MAX('Data Pura Costos'!$E$7:$E$3000)*1000,'Data Pura Costos'!E1060))</f>
        <v>350000</v>
      </c>
      <c r="F1060" s="5" t="str">
        <f>+IF('Data Pura Costos'!F1060="","",'Data Pura Costos'!F1060)</f>
        <v>Malloa</v>
      </c>
      <c r="G1060" s="5" t="str">
        <f>+IF('Data Pura Costos'!G1060="","",'Data Pura Costos'!G1060)</f>
        <v xml:space="preserve">ARIEL VARGAS </v>
      </c>
      <c r="H1060" s="52" t="str">
        <f>+IF('Data Pura Costos'!H1060="","",'Data Pura Costos'!H1060)</f>
        <v>Termo</v>
      </c>
      <c r="I1060" s="71">
        <f>+IF('Data Pura Costos'!I1060="","",'Data Pura Costos'!I1060)</f>
        <v>5833.333333333333</v>
      </c>
      <c r="J1060" s="52" t="str">
        <f>+IF('Data Pura Costos'!J1060="","",'Data Pura Costos'!J1060)</f>
        <v>24-25</v>
      </c>
      <c r="K1060" s="82" t="str">
        <f t="shared" si="21"/>
        <v xml:space="preserve">Talhuén-Malloa-ARIEL VARGAS </v>
      </c>
    </row>
    <row r="1061" spans="2:11" x14ac:dyDescent="0.35">
      <c r="B1061" s="4" t="str">
        <f>+IF('Data Pura Costos'!B1061="","",'Data Pura Costos'!B1061)</f>
        <v>Villaseca</v>
      </c>
      <c r="C1061" s="4" t="str">
        <f>+IF('Data Pura Costos'!C1061="","",'Data Pura Costos'!C1061)</f>
        <v>Retiro, VII reginón</v>
      </c>
      <c r="D1061" s="5">
        <f>+IF('Data Pura Costos'!D1061="","",'Data Pura Costos'!D1061)</f>
        <v>250</v>
      </c>
      <c r="E1061" s="65">
        <f>+IF('Data Pura Costos'!E1061="","",IF('Data Pura Costos'!E1061=0,MAX('Data Pura Costos'!$E$7:$E$3000)*1000,'Data Pura Costos'!E1061))</f>
        <v>11000000</v>
      </c>
      <c r="F1061" s="5" t="str">
        <f>+IF('Data Pura Costos'!F1061="","",'Data Pura Costos'!F1061)</f>
        <v>Malloa</v>
      </c>
      <c r="G1061" s="5" t="str">
        <f>+IF('Data Pura Costos'!G1061="","",'Data Pura Costos'!G1061)</f>
        <v xml:space="preserve">ARIEL VARGAS </v>
      </c>
      <c r="H1061" s="52" t="str">
        <f>+IF('Data Pura Costos'!H1061="","",'Data Pura Costos'!H1061)</f>
        <v>Termo</v>
      </c>
      <c r="I1061" s="71">
        <f>+IF('Data Pura Costos'!I1061="","",'Data Pura Costos'!I1061)</f>
        <v>44000</v>
      </c>
      <c r="J1061" s="52" t="str">
        <f>+IF('Data Pura Costos'!J1061="","",'Data Pura Costos'!J1061)</f>
        <v>24-25</v>
      </c>
      <c r="K1061" s="82" t="str">
        <f t="shared" si="21"/>
        <v xml:space="preserve">Villaseca-Malloa-ARIEL VARGAS </v>
      </c>
    </row>
    <row r="1062" spans="2:11" x14ac:dyDescent="0.35">
      <c r="B1062" s="4" t="str">
        <f>+IF('Data Pura Costos'!B1062="","",'Data Pura Costos'!B1062)</f>
        <v>Bodega</v>
      </c>
      <c r="C1062" s="4" t="str">
        <f>+IF('Data Pura Costos'!C1062="","",'Data Pura Costos'!C1062)</f>
        <v>Linares, VII region.</v>
      </c>
      <c r="D1062" s="5">
        <f>+IF('Data Pura Costos'!D1062="","",'Data Pura Costos'!D1062)</f>
        <v>264</v>
      </c>
      <c r="E1062" s="65">
        <f>+IF('Data Pura Costos'!E1062="","",IF('Data Pura Costos'!E1062=0,MAX('Data Pura Costos'!$E$7:$E$3000)*1000,'Data Pura Costos'!E1062))</f>
        <v>730000</v>
      </c>
      <c r="F1062" s="5" t="str">
        <f>+IF('Data Pura Costos'!F1062="","",'Data Pura Costos'!F1062)</f>
        <v>Mostazal</v>
      </c>
      <c r="G1062" s="5" t="str">
        <f>+IF('Data Pura Costos'!G1062="","",'Data Pura Costos'!G1062)</f>
        <v xml:space="preserve">Carlos Gómez </v>
      </c>
      <c r="H1062" s="52" t="str">
        <f>+IF('Data Pura Costos'!H1062="","",'Data Pura Costos'!H1062)</f>
        <v>Termo</v>
      </c>
      <c r="I1062" s="71">
        <f>+IF('Data Pura Costos'!I1062="","",'Data Pura Costos'!I1062)</f>
        <v>2765.151515151515</v>
      </c>
      <c r="J1062" s="52" t="str">
        <f>+IF('Data Pura Costos'!J1062="","",'Data Pura Costos'!J1062)</f>
        <v>24-25</v>
      </c>
      <c r="K1062" s="82" t="str">
        <f t="shared" si="21"/>
        <v xml:space="preserve">Bodega-Mostazal-Carlos Gómez </v>
      </c>
    </row>
    <row r="1063" spans="2:11" x14ac:dyDescent="0.35">
      <c r="B1063" s="4" t="str">
        <f>+IF('Data Pura Costos'!B1063="","",'Data Pura Costos'!B1063)</f>
        <v xml:space="preserve">Caliboro </v>
      </c>
      <c r="C1063" s="4" t="str">
        <f>+IF('Data Pura Costos'!C1063="","",'Data Pura Costos'!C1063)</f>
        <v>San Javier, VII región</v>
      </c>
      <c r="D1063" s="5">
        <f>+IF('Data Pura Costos'!D1063="","",'Data Pura Costos'!D1063)</f>
        <v>258</v>
      </c>
      <c r="E1063" s="65">
        <f>+IF('Data Pura Costos'!E1063="","",IF('Data Pura Costos'!E1063=0,MAX('Data Pura Costos'!$E$7:$E$3000)*1000,'Data Pura Costos'!E1063))</f>
        <v>730000</v>
      </c>
      <c r="F1063" s="5" t="str">
        <f>+IF('Data Pura Costos'!F1063="","",'Data Pura Costos'!F1063)</f>
        <v>Mostazal</v>
      </c>
      <c r="G1063" s="5" t="str">
        <f>+IF('Data Pura Costos'!G1063="","",'Data Pura Costos'!G1063)</f>
        <v xml:space="preserve">Carlos Gómez </v>
      </c>
      <c r="H1063" s="52" t="str">
        <f>+IF('Data Pura Costos'!H1063="","",'Data Pura Costos'!H1063)</f>
        <v>Termo</v>
      </c>
      <c r="I1063" s="71">
        <f>+IF('Data Pura Costos'!I1063="","",'Data Pura Costos'!I1063)</f>
        <v>2829.4573643410854</v>
      </c>
      <c r="J1063" s="52" t="str">
        <f>+IF('Data Pura Costos'!J1063="","",'Data Pura Costos'!J1063)</f>
        <v>24-25</v>
      </c>
      <c r="K1063" s="82" t="str">
        <f t="shared" si="21"/>
        <v xml:space="preserve">Caliboro -Mostazal-Carlos Gómez </v>
      </c>
    </row>
    <row r="1064" spans="2:11" x14ac:dyDescent="0.35">
      <c r="B1064" s="4" t="str">
        <f>+IF('Data Pura Costos'!B1064="","",'Data Pura Costos'!B1064)</f>
        <v>Calleuque</v>
      </c>
      <c r="C1064" s="4" t="str">
        <f>+IF('Data Pura Costos'!C1064="","",'Data Pura Costos'!C1064)</f>
        <v>Peralillo ohiggins, VI región</v>
      </c>
      <c r="D1064" s="5">
        <f>+IF('Data Pura Costos'!D1064="","",'Data Pura Costos'!D1064)</f>
        <v>143</v>
      </c>
      <c r="E1064" s="65">
        <f>+IF('Data Pura Costos'!E1064="","",IF('Data Pura Costos'!E1064=0,MAX('Data Pura Costos'!$E$7:$E$3000)*1000,'Data Pura Costos'!E1064))</f>
        <v>540000</v>
      </c>
      <c r="F1064" s="5" t="str">
        <f>+IF('Data Pura Costos'!F1064="","",'Data Pura Costos'!F1064)</f>
        <v>Mostazal</v>
      </c>
      <c r="G1064" s="5" t="str">
        <f>+IF('Data Pura Costos'!G1064="","",'Data Pura Costos'!G1064)</f>
        <v xml:space="preserve">Carlos Gómez </v>
      </c>
      <c r="H1064" s="52" t="str">
        <f>+IF('Data Pura Costos'!H1064="","",'Data Pura Costos'!H1064)</f>
        <v>Termo</v>
      </c>
      <c r="I1064" s="71">
        <f>+IF('Data Pura Costos'!I1064="","",'Data Pura Costos'!I1064)</f>
        <v>3776.2237762237764</v>
      </c>
      <c r="J1064" s="52" t="str">
        <f>+IF('Data Pura Costos'!J1064="","",'Data Pura Costos'!J1064)</f>
        <v>24-25</v>
      </c>
      <c r="K1064" s="82" t="str">
        <f t="shared" si="21"/>
        <v xml:space="preserve">Calleuque-Mostazal-Carlos Gómez </v>
      </c>
    </row>
    <row r="1065" spans="2:11" x14ac:dyDescent="0.35">
      <c r="B1065" s="4" t="str">
        <f>+IF('Data Pura Costos'!B1065="","",'Data Pura Costos'!B1065)</f>
        <v>Chumpirro</v>
      </c>
      <c r="C1065" s="4" t="str">
        <f>+IF('Data Pura Costos'!C1065="","",'Data Pura Costos'!C1065)</f>
        <v>Angol, IX región</v>
      </c>
      <c r="D1065" s="5">
        <f>+IF('Data Pura Costos'!D1065="","",'Data Pura Costos'!D1065)</f>
        <v>499</v>
      </c>
      <c r="E1065" s="65">
        <f>+IF('Data Pura Costos'!E1065="","",IF('Data Pura Costos'!E1065=0,MAX('Data Pura Costos'!$E$7:$E$3000)*1000,'Data Pura Costos'!E1065))</f>
        <v>1370000</v>
      </c>
      <c r="F1065" s="5" t="str">
        <f>+IF('Data Pura Costos'!F1065="","",'Data Pura Costos'!F1065)</f>
        <v>Mostazal</v>
      </c>
      <c r="G1065" s="5" t="str">
        <f>+IF('Data Pura Costos'!G1065="","",'Data Pura Costos'!G1065)</f>
        <v xml:space="preserve">Carlos Gómez </v>
      </c>
      <c r="H1065" s="52" t="str">
        <f>+IF('Data Pura Costos'!H1065="","",'Data Pura Costos'!H1065)</f>
        <v>Termo</v>
      </c>
      <c r="I1065" s="71">
        <f>+IF('Data Pura Costos'!I1065="","",'Data Pura Costos'!I1065)</f>
        <v>2745.4909819639279</v>
      </c>
      <c r="J1065" s="52" t="str">
        <f>+IF('Data Pura Costos'!J1065="","",'Data Pura Costos'!J1065)</f>
        <v>24-25</v>
      </c>
      <c r="K1065" s="82" t="str">
        <f t="shared" si="21"/>
        <v xml:space="preserve">Chumpirro-Mostazal-Carlos Gómez </v>
      </c>
    </row>
    <row r="1066" spans="2:11" x14ac:dyDescent="0.35">
      <c r="B1066" s="4" t="str">
        <f>+IF('Data Pura Costos'!B1066="","",'Data Pura Costos'!B1066)</f>
        <v xml:space="preserve"> Cocalán</v>
      </c>
      <c r="C1066" s="4" t="str">
        <f>+IF('Data Pura Costos'!C1066="","",'Data Pura Costos'!C1066)</f>
        <v>Cocalán, VI región</v>
      </c>
      <c r="D1066" s="5">
        <f>+IF('Data Pura Costos'!D1066="","",'Data Pura Costos'!D1066)</f>
        <v>113</v>
      </c>
      <c r="E1066" s="65">
        <f>+IF('Data Pura Costos'!E1066="","",IF('Data Pura Costos'!E1066=0,MAX('Data Pura Costos'!$E$7:$E$3000)*1000,'Data Pura Costos'!E1066))</f>
        <v>440000</v>
      </c>
      <c r="F1066" s="5" t="str">
        <f>+IF('Data Pura Costos'!F1066="","",'Data Pura Costos'!F1066)</f>
        <v>Mostazal</v>
      </c>
      <c r="G1066" s="5" t="str">
        <f>+IF('Data Pura Costos'!G1066="","",'Data Pura Costos'!G1066)</f>
        <v xml:space="preserve">Carlos Gómez </v>
      </c>
      <c r="H1066" s="52" t="str">
        <f>+IF('Data Pura Costos'!H1066="","",'Data Pura Costos'!H1066)</f>
        <v>Termo</v>
      </c>
      <c r="I1066" s="71">
        <f>+IF('Data Pura Costos'!I1066="","",'Data Pura Costos'!I1066)</f>
        <v>3893.8053097345132</v>
      </c>
      <c r="J1066" s="52" t="str">
        <f>+IF('Data Pura Costos'!J1066="","",'Data Pura Costos'!J1066)</f>
        <v>24-25</v>
      </c>
      <c r="K1066" s="82" t="str">
        <f t="shared" si="21"/>
        <v xml:space="preserve"> Cocalán-Mostazal-Carlos Gómez </v>
      </c>
    </row>
    <row r="1067" spans="2:11" x14ac:dyDescent="0.35">
      <c r="B1067" s="4" t="str">
        <f>+IF('Data Pura Costos'!B1067="","",'Data Pura Costos'!B1067)</f>
        <v>El Cóndor</v>
      </c>
      <c r="C1067" s="4" t="str">
        <f>+IF('Data Pura Costos'!C1067="","",'Data Pura Costos'!C1067)</f>
        <v>Chimbarongo, VI Region.</v>
      </c>
      <c r="D1067" s="5">
        <f>+IF('Data Pura Costos'!D1067="","",'Data Pura Costos'!D1067)</f>
        <v>150</v>
      </c>
      <c r="E1067" s="65">
        <f>+IF('Data Pura Costos'!E1067="","",IF('Data Pura Costos'!E1067=0,MAX('Data Pura Costos'!$E$7:$E$3000)*1000,'Data Pura Costos'!E1067))</f>
        <v>540000</v>
      </c>
      <c r="F1067" s="5" t="str">
        <f>+IF('Data Pura Costos'!F1067="","",'Data Pura Costos'!F1067)</f>
        <v>Mostazal</v>
      </c>
      <c r="G1067" s="5" t="str">
        <f>+IF('Data Pura Costos'!G1067="","",'Data Pura Costos'!G1067)</f>
        <v xml:space="preserve">Carlos Gómez </v>
      </c>
      <c r="H1067" s="52" t="str">
        <f>+IF('Data Pura Costos'!H1067="","",'Data Pura Costos'!H1067)</f>
        <v>Termo</v>
      </c>
      <c r="I1067" s="71">
        <f>+IF('Data Pura Costos'!I1067="","",'Data Pura Costos'!I1067)</f>
        <v>3600</v>
      </c>
      <c r="J1067" s="52" t="str">
        <f>+IF('Data Pura Costos'!J1067="","",'Data Pura Costos'!J1067)</f>
        <v>24-25</v>
      </c>
      <c r="K1067" s="82" t="str">
        <f t="shared" si="21"/>
        <v xml:space="preserve">El Cóndor-Mostazal-Carlos Gómez </v>
      </c>
    </row>
    <row r="1068" spans="2:11" x14ac:dyDescent="0.35">
      <c r="B1068" s="4" t="str">
        <f>+IF('Data Pura Costos'!B1068="","",'Data Pura Costos'!B1068)</f>
        <v>El Descanso</v>
      </c>
      <c r="C1068" s="4" t="str">
        <f>+IF('Data Pura Costos'!C1068="","",'Data Pura Costos'!C1068)</f>
        <v>Sagrada Familia, VII región</v>
      </c>
      <c r="D1068" s="5">
        <f>+IF('Data Pura Costos'!D1068="","",'Data Pura Costos'!D1068)</f>
        <v>240</v>
      </c>
      <c r="E1068" s="65">
        <f>+IF('Data Pura Costos'!E1068="","",IF('Data Pura Costos'!E1068=0,MAX('Data Pura Costos'!$E$7:$E$3000)*1000,'Data Pura Costos'!E1068))</f>
        <v>700000</v>
      </c>
      <c r="F1068" s="5" t="str">
        <f>+IF('Data Pura Costos'!F1068="","",'Data Pura Costos'!F1068)</f>
        <v>Mostazal</v>
      </c>
      <c r="G1068" s="5" t="str">
        <f>+IF('Data Pura Costos'!G1068="","",'Data Pura Costos'!G1068)</f>
        <v xml:space="preserve">Carlos Gómez </v>
      </c>
      <c r="H1068" s="52" t="str">
        <f>+IF('Data Pura Costos'!H1068="","",'Data Pura Costos'!H1068)</f>
        <v>Termo</v>
      </c>
      <c r="I1068" s="71">
        <f>+IF('Data Pura Costos'!I1068="","",'Data Pura Costos'!I1068)</f>
        <v>2916.6666666666665</v>
      </c>
      <c r="J1068" s="52" t="str">
        <f>+IF('Data Pura Costos'!J1068="","",'Data Pura Costos'!J1068)</f>
        <v>24-25</v>
      </c>
      <c r="K1068" s="82" t="str">
        <f t="shared" si="21"/>
        <v xml:space="preserve">El Descanso-Mostazal-Carlos Gómez </v>
      </c>
    </row>
    <row r="1069" spans="2:11" x14ac:dyDescent="0.35">
      <c r="B1069" s="4" t="str">
        <f>+IF('Data Pura Costos'!B1069="","",'Data Pura Costos'!B1069)</f>
        <v>El Espino</v>
      </c>
      <c r="C1069" s="4" t="str">
        <f>+IF('Data Pura Costos'!C1069="","",'Data Pura Costos'!C1069)</f>
        <v>Colbún, VII región</v>
      </c>
      <c r="D1069" s="5">
        <f>+IF('Data Pura Costos'!D1069="","",'Data Pura Costos'!D1069)</f>
        <v>240</v>
      </c>
      <c r="E1069" s="65">
        <f>+IF('Data Pura Costos'!E1069="","",IF('Data Pura Costos'!E1069=0,MAX('Data Pura Costos'!$E$7:$E$3000)*1000,'Data Pura Costos'!E1069))</f>
        <v>700000</v>
      </c>
      <c r="F1069" s="5" t="str">
        <f>+IF('Data Pura Costos'!F1069="","",'Data Pura Costos'!F1069)</f>
        <v>Mostazal</v>
      </c>
      <c r="G1069" s="5" t="str">
        <f>+IF('Data Pura Costos'!G1069="","",'Data Pura Costos'!G1069)</f>
        <v xml:space="preserve">Carlos Gómez </v>
      </c>
      <c r="H1069" s="52" t="str">
        <f>+IF('Data Pura Costos'!H1069="","",'Data Pura Costos'!H1069)</f>
        <v>Termo</v>
      </c>
      <c r="I1069" s="71">
        <f>+IF('Data Pura Costos'!I1069="","",'Data Pura Costos'!I1069)</f>
        <v>2916.6666666666665</v>
      </c>
      <c r="J1069" s="52" t="str">
        <f>+IF('Data Pura Costos'!J1069="","",'Data Pura Costos'!J1069)</f>
        <v>24-25</v>
      </c>
      <c r="K1069" s="82" t="str">
        <f t="shared" si="21"/>
        <v xml:space="preserve">El Espino-Mostazal-Carlos Gómez </v>
      </c>
    </row>
    <row r="1070" spans="2:11" x14ac:dyDescent="0.35">
      <c r="B1070" s="4" t="str">
        <f>+IF('Data Pura Costos'!B1070="","",'Data Pura Costos'!B1070)</f>
        <v>El Huaico</v>
      </c>
      <c r="C1070" s="4" t="str">
        <f>+IF('Data Pura Costos'!C1070="","",'Data Pura Costos'!C1070)</f>
        <v>Palmila Ohiggins</v>
      </c>
      <c r="D1070" s="5">
        <f>+IF('Data Pura Costos'!D1070="","",'Data Pura Costos'!D1070)</f>
        <v>124</v>
      </c>
      <c r="E1070" s="65">
        <f>+IF('Data Pura Costos'!E1070="","",IF('Data Pura Costos'!E1070=0,MAX('Data Pura Costos'!$E$7:$E$3000)*1000,'Data Pura Costos'!E1070))</f>
        <v>440000</v>
      </c>
      <c r="F1070" s="5" t="str">
        <f>+IF('Data Pura Costos'!F1070="","",'Data Pura Costos'!F1070)</f>
        <v>Mostazal</v>
      </c>
      <c r="G1070" s="5" t="str">
        <f>+IF('Data Pura Costos'!G1070="","",'Data Pura Costos'!G1070)</f>
        <v xml:space="preserve">Carlos Gómez </v>
      </c>
      <c r="H1070" s="52" t="str">
        <f>+IF('Data Pura Costos'!H1070="","",'Data Pura Costos'!H1070)</f>
        <v>Termo</v>
      </c>
      <c r="I1070" s="71">
        <f>+IF('Data Pura Costos'!I1070="","",'Data Pura Costos'!I1070)</f>
        <v>3548.3870967741937</v>
      </c>
      <c r="J1070" s="52" t="str">
        <f>+IF('Data Pura Costos'!J1070="","",'Data Pura Costos'!J1070)</f>
        <v>24-25</v>
      </c>
      <c r="K1070" s="82" t="str">
        <f t="shared" si="21"/>
        <v xml:space="preserve">El Huaico-Mostazal-Carlos Gómez </v>
      </c>
    </row>
    <row r="1071" spans="2:11" x14ac:dyDescent="0.35">
      <c r="B1071" s="4" t="str">
        <f>+IF('Data Pura Costos'!B1071="","",'Data Pura Costos'!B1071)</f>
        <v>El Parque</v>
      </c>
      <c r="C1071" s="4" t="str">
        <f>+IF('Data Pura Costos'!C1071="","",'Data Pura Costos'!C1071)</f>
        <v>San Francisco de Mostazal.VI Region.</v>
      </c>
      <c r="D1071" s="5">
        <f>+IF('Data Pura Costos'!D1071="","",'Data Pura Costos'!D1071)</f>
        <v>3</v>
      </c>
      <c r="E1071" s="65">
        <f>+IF('Data Pura Costos'!E1071="","",IF('Data Pura Costos'!E1071=0,MAX('Data Pura Costos'!$E$7:$E$3000)*1000,'Data Pura Costos'!E1071))</f>
        <v>250000</v>
      </c>
      <c r="F1071" s="5" t="str">
        <f>+IF('Data Pura Costos'!F1071="","",'Data Pura Costos'!F1071)</f>
        <v>Mostazal</v>
      </c>
      <c r="G1071" s="5" t="str">
        <f>+IF('Data Pura Costos'!G1071="","",'Data Pura Costos'!G1071)</f>
        <v xml:space="preserve">Carlos Gómez </v>
      </c>
      <c r="H1071" s="52" t="str">
        <f>+IF('Data Pura Costos'!H1071="","",'Data Pura Costos'!H1071)</f>
        <v>Termo</v>
      </c>
      <c r="I1071" s="71">
        <f>+IF('Data Pura Costos'!I1071="","",'Data Pura Costos'!I1071)</f>
        <v>83333.333333333328</v>
      </c>
      <c r="J1071" s="52" t="str">
        <f>+IF('Data Pura Costos'!J1071="","",'Data Pura Costos'!J1071)</f>
        <v>24-25</v>
      </c>
      <c r="K1071" s="82" t="str">
        <f t="shared" si="21"/>
        <v xml:space="preserve">El Parque-Mostazal-Carlos Gómez </v>
      </c>
    </row>
    <row r="1072" spans="2:11" x14ac:dyDescent="0.35">
      <c r="B1072" s="4" t="str">
        <f>+IF('Data Pura Costos'!B1072="","",'Data Pura Costos'!B1072)</f>
        <v>El Picaso</v>
      </c>
      <c r="C1072" s="4" t="str">
        <f>+IF('Data Pura Costos'!C1072="","",'Data Pura Costos'!C1072)</f>
        <v xml:space="preserve">San Clemente, VII región </v>
      </c>
      <c r="D1072" s="5">
        <f>+IF('Data Pura Costos'!D1072="","",'Data Pura Costos'!D1072)</f>
        <v>208</v>
      </c>
      <c r="E1072" s="65">
        <f>+IF('Data Pura Costos'!E1072="","",IF('Data Pura Costos'!E1072=0,MAX('Data Pura Costos'!$E$7:$E$3000)*1000,'Data Pura Costos'!E1072))</f>
        <v>650000</v>
      </c>
      <c r="F1072" s="5" t="str">
        <f>+IF('Data Pura Costos'!F1072="","",'Data Pura Costos'!F1072)</f>
        <v>Mostazal</v>
      </c>
      <c r="G1072" s="5" t="str">
        <f>+IF('Data Pura Costos'!G1072="","",'Data Pura Costos'!G1072)</f>
        <v xml:space="preserve">Carlos Gómez </v>
      </c>
      <c r="H1072" s="52" t="str">
        <f>+IF('Data Pura Costos'!H1072="","",'Data Pura Costos'!H1072)</f>
        <v>Termo</v>
      </c>
      <c r="I1072" s="71">
        <f>+IF('Data Pura Costos'!I1072="","",'Data Pura Costos'!I1072)</f>
        <v>3125</v>
      </c>
      <c r="J1072" s="52" t="str">
        <f>+IF('Data Pura Costos'!J1072="","",'Data Pura Costos'!J1072)</f>
        <v>24-25</v>
      </c>
      <c r="K1072" s="82" t="str">
        <f t="shared" si="21"/>
        <v xml:space="preserve">El Picaso-Mostazal-Carlos Gómez </v>
      </c>
    </row>
    <row r="1073" spans="2:11" x14ac:dyDescent="0.35">
      <c r="B1073" s="4" t="str">
        <f>+IF('Data Pura Costos'!B1073="","",'Data Pura Costos'!B1073)</f>
        <v>El Recurso</v>
      </c>
      <c r="C1073" s="4" t="str">
        <f>+IF('Data Pura Costos'!C1073="","",'Data Pura Costos'!C1073)</f>
        <v>San Francisco de Mostazal.VI Region.</v>
      </c>
      <c r="D1073" s="5">
        <f>+IF('Data Pura Costos'!D1073="","",'Data Pura Costos'!D1073)</f>
        <v>3</v>
      </c>
      <c r="E1073" s="65">
        <f>+IF('Data Pura Costos'!E1073="","",IF('Data Pura Costos'!E1073=0,MAX('Data Pura Costos'!$E$7:$E$3000)*1000,'Data Pura Costos'!E1073))</f>
        <v>250000</v>
      </c>
      <c r="F1073" s="5" t="str">
        <f>+IF('Data Pura Costos'!F1073="","",'Data Pura Costos'!F1073)</f>
        <v>Mostazal</v>
      </c>
      <c r="G1073" s="5" t="str">
        <f>+IF('Data Pura Costos'!G1073="","",'Data Pura Costos'!G1073)</f>
        <v xml:space="preserve">Carlos Gómez </v>
      </c>
      <c r="H1073" s="52" t="str">
        <f>+IF('Data Pura Costos'!H1073="","",'Data Pura Costos'!H1073)</f>
        <v>Termo</v>
      </c>
      <c r="I1073" s="71">
        <f>+IF('Data Pura Costos'!I1073="","",'Data Pura Costos'!I1073)</f>
        <v>83333.333333333328</v>
      </c>
      <c r="J1073" s="52" t="str">
        <f>+IF('Data Pura Costos'!J1073="","",'Data Pura Costos'!J1073)</f>
        <v>24-25</v>
      </c>
      <c r="K1073" s="82" t="str">
        <f t="shared" si="21"/>
        <v xml:space="preserve">El Recurso-Mostazal-Carlos Gómez </v>
      </c>
    </row>
    <row r="1074" spans="2:11" x14ac:dyDescent="0.35">
      <c r="B1074" s="4" t="str">
        <f>+IF('Data Pura Costos'!B1074="","",'Data Pura Costos'!B1074)</f>
        <v>El Rosario</v>
      </c>
      <c r="C1074" s="4" t="str">
        <f>+IF('Data Pura Costos'!C1074="","",'Data Pura Costos'!C1074)</f>
        <v>Linares, VII region.</v>
      </c>
      <c r="D1074" s="5">
        <f>+IF('Data Pura Costos'!D1074="","",'Data Pura Costos'!D1074)</f>
        <v>260</v>
      </c>
      <c r="E1074" s="65">
        <f>+IF('Data Pura Costos'!E1074="","",IF('Data Pura Costos'!E1074=0,MAX('Data Pura Costos'!$E$7:$E$3000)*1000,'Data Pura Costos'!E1074))</f>
        <v>730000</v>
      </c>
      <c r="F1074" s="5" t="str">
        <f>+IF('Data Pura Costos'!F1074="","",'Data Pura Costos'!F1074)</f>
        <v>Mostazal</v>
      </c>
      <c r="G1074" s="5" t="str">
        <f>+IF('Data Pura Costos'!G1074="","",'Data Pura Costos'!G1074)</f>
        <v xml:space="preserve">Carlos Gómez </v>
      </c>
      <c r="H1074" s="52" t="str">
        <f>+IF('Data Pura Costos'!H1074="","",'Data Pura Costos'!H1074)</f>
        <v>Termo</v>
      </c>
      <c r="I1074" s="71">
        <f>+IF('Data Pura Costos'!I1074="","",'Data Pura Costos'!I1074)</f>
        <v>2807.6923076923076</v>
      </c>
      <c r="J1074" s="52" t="str">
        <f>+IF('Data Pura Costos'!J1074="","",'Data Pura Costos'!J1074)</f>
        <v>24-25</v>
      </c>
      <c r="K1074" s="82" t="str">
        <f t="shared" si="21"/>
        <v xml:space="preserve">El Rosario-Mostazal-Carlos Gómez </v>
      </c>
    </row>
    <row r="1075" spans="2:11" x14ac:dyDescent="0.35">
      <c r="B1075" s="4" t="str">
        <f>+IF('Data Pura Costos'!B1075="","",'Data Pura Costos'!B1075)</f>
        <v>El Retiro</v>
      </c>
      <c r="C1075" s="4" t="str">
        <f>+IF('Data Pura Costos'!C1075="","",'Data Pura Costos'!C1075)</f>
        <v>Rosario, VI Region.</v>
      </c>
      <c r="D1075" s="5">
        <f>+IF('Data Pura Costos'!D1075="","",'Data Pura Costos'!D1075)</f>
        <v>45</v>
      </c>
      <c r="E1075" s="65">
        <f>+IF('Data Pura Costos'!E1075="","",IF('Data Pura Costos'!E1075=0,MAX('Data Pura Costos'!$E$7:$E$3000)*1000,'Data Pura Costos'!E1075))</f>
        <v>370000</v>
      </c>
      <c r="F1075" s="5" t="str">
        <f>+IF('Data Pura Costos'!F1075="","",'Data Pura Costos'!F1075)</f>
        <v>Mostazal</v>
      </c>
      <c r="G1075" s="5" t="str">
        <f>+IF('Data Pura Costos'!G1075="","",'Data Pura Costos'!G1075)</f>
        <v xml:space="preserve">Carlos Gómez </v>
      </c>
      <c r="H1075" s="52" t="str">
        <f>+IF('Data Pura Costos'!H1075="","",'Data Pura Costos'!H1075)</f>
        <v>Termo</v>
      </c>
      <c r="I1075" s="71">
        <f>+IF('Data Pura Costos'!I1075="","",'Data Pura Costos'!I1075)</f>
        <v>8222.2222222222226</v>
      </c>
      <c r="J1075" s="52" t="str">
        <f>+IF('Data Pura Costos'!J1075="","",'Data Pura Costos'!J1075)</f>
        <v>24-25</v>
      </c>
      <c r="K1075" s="82" t="str">
        <f t="shared" si="21"/>
        <v xml:space="preserve">El Retiro-Mostazal-Carlos Gómez </v>
      </c>
    </row>
    <row r="1076" spans="2:11" x14ac:dyDescent="0.35">
      <c r="B1076" s="4" t="str">
        <f>+IF('Data Pura Costos'!B1076="","",'Data Pura Costos'!B1076)</f>
        <v>La Esperanza</v>
      </c>
      <c r="C1076" s="4" t="str">
        <f>+IF('Data Pura Costos'!C1076="","",'Data Pura Costos'!C1076)</f>
        <v>Peumo, VI región</v>
      </c>
      <c r="D1076" s="5">
        <f>+IF('Data Pura Costos'!D1076="","",'Data Pura Costos'!D1076)</f>
        <v>98</v>
      </c>
      <c r="E1076" s="65">
        <f>+IF('Data Pura Costos'!E1076="","",IF('Data Pura Costos'!E1076=0,MAX('Data Pura Costos'!$E$7:$E$3000)*1000,'Data Pura Costos'!E1076))</f>
        <v>420000</v>
      </c>
      <c r="F1076" s="5" t="str">
        <f>+IF('Data Pura Costos'!F1076="","",'Data Pura Costos'!F1076)</f>
        <v>Mostazal</v>
      </c>
      <c r="G1076" s="5" t="str">
        <f>+IF('Data Pura Costos'!G1076="","",'Data Pura Costos'!G1076)</f>
        <v xml:space="preserve">Carlos Gómez </v>
      </c>
      <c r="H1076" s="52" t="str">
        <f>+IF('Data Pura Costos'!H1076="","",'Data Pura Costos'!H1076)</f>
        <v>Termo</v>
      </c>
      <c r="I1076" s="71">
        <f>+IF('Data Pura Costos'!I1076="","",'Data Pura Costos'!I1076)</f>
        <v>4285.7142857142853</v>
      </c>
      <c r="J1076" s="52" t="str">
        <f>+IF('Data Pura Costos'!J1076="","",'Data Pura Costos'!J1076)</f>
        <v>24-25</v>
      </c>
      <c r="K1076" s="82" t="str">
        <f t="shared" si="21"/>
        <v xml:space="preserve">La Esperanza-Mostazal-Carlos Gómez </v>
      </c>
    </row>
    <row r="1077" spans="2:11" x14ac:dyDescent="0.35">
      <c r="B1077" s="4" t="str">
        <f>+IF('Data Pura Costos'!B1077="","",'Data Pura Costos'!B1077)</f>
        <v>La Estación</v>
      </c>
      <c r="C1077" s="4" t="str">
        <f>+IF('Data Pura Costos'!C1077="","",'Data Pura Costos'!C1077)</f>
        <v>Palmilla, VI región</v>
      </c>
      <c r="D1077" s="5">
        <f>+IF('Data Pura Costos'!D1077="","",'Data Pura Costos'!D1077)</f>
        <v>125</v>
      </c>
      <c r="E1077" s="65">
        <f>+IF('Data Pura Costos'!E1077="","",IF('Data Pura Costos'!E1077=0,MAX('Data Pura Costos'!$E$7:$E$3000)*1000,'Data Pura Costos'!E1077))</f>
        <v>440000</v>
      </c>
      <c r="F1077" s="5" t="str">
        <f>+IF('Data Pura Costos'!F1077="","",'Data Pura Costos'!F1077)</f>
        <v>Mostazal</v>
      </c>
      <c r="G1077" s="5" t="str">
        <f>+IF('Data Pura Costos'!G1077="","",'Data Pura Costos'!G1077)</f>
        <v xml:space="preserve">Carlos Gómez </v>
      </c>
      <c r="H1077" s="52" t="str">
        <f>+IF('Data Pura Costos'!H1077="","",'Data Pura Costos'!H1077)</f>
        <v>Termo</v>
      </c>
      <c r="I1077" s="71">
        <f>+IF('Data Pura Costos'!I1077="","",'Data Pura Costos'!I1077)</f>
        <v>3520</v>
      </c>
      <c r="J1077" s="52" t="str">
        <f>+IF('Data Pura Costos'!J1077="","",'Data Pura Costos'!J1077)</f>
        <v>24-25</v>
      </c>
      <c r="K1077" s="82" t="str">
        <f t="shared" si="21"/>
        <v xml:space="preserve">La Estación-Mostazal-Carlos Gómez </v>
      </c>
    </row>
    <row r="1078" spans="2:11" x14ac:dyDescent="0.35">
      <c r="B1078" s="4" t="str">
        <f>+IF('Data Pura Costos'!B1078="","",'Data Pura Costos'!B1078)</f>
        <v>La Lajuela</v>
      </c>
      <c r="C1078" s="4" t="str">
        <f>+IF('Data Pura Costos'!C1078="","",'Data Pura Costos'!C1078)</f>
        <v>Santa Cruz, VI Región</v>
      </c>
      <c r="D1078" s="5">
        <f>+IF('Data Pura Costos'!D1078="","",'Data Pura Costos'!D1078)</f>
        <v>128</v>
      </c>
      <c r="E1078" s="65">
        <f>+IF('Data Pura Costos'!E1078="","",IF('Data Pura Costos'!E1078=0,MAX('Data Pura Costos'!$E$7:$E$3000)*1000,'Data Pura Costos'!E1078))</f>
        <v>440000</v>
      </c>
      <c r="F1078" s="5" t="str">
        <f>+IF('Data Pura Costos'!F1078="","",'Data Pura Costos'!F1078)</f>
        <v>Mostazal</v>
      </c>
      <c r="G1078" s="5" t="str">
        <f>+IF('Data Pura Costos'!G1078="","",'Data Pura Costos'!G1078)</f>
        <v xml:space="preserve">Carlos Gómez </v>
      </c>
      <c r="H1078" s="52" t="str">
        <f>+IF('Data Pura Costos'!H1078="","",'Data Pura Costos'!H1078)</f>
        <v>Termo</v>
      </c>
      <c r="I1078" s="71">
        <f>+IF('Data Pura Costos'!I1078="","",'Data Pura Costos'!I1078)</f>
        <v>3437.5</v>
      </c>
      <c r="J1078" s="52" t="str">
        <f>+IF('Data Pura Costos'!J1078="","",'Data Pura Costos'!J1078)</f>
        <v>24-25</v>
      </c>
      <c r="K1078" s="82" t="str">
        <f t="shared" si="21"/>
        <v xml:space="preserve">La Lajuela-Mostazal-Carlos Gómez </v>
      </c>
    </row>
    <row r="1079" spans="2:11" x14ac:dyDescent="0.35">
      <c r="B1079" s="4" t="str">
        <f>+IF('Data Pura Costos'!B1079="","",'Data Pura Costos'!B1079)</f>
        <v>La Morera</v>
      </c>
      <c r="C1079" s="4" t="str">
        <f>+IF('Data Pura Costos'!C1079="","",'Data Pura Costos'!C1079)</f>
        <v>La compañia, VI Region.</v>
      </c>
      <c r="D1079" s="5">
        <f>+IF('Data Pura Costos'!D1079="","",'Data Pura Costos'!D1079)</f>
        <v>16</v>
      </c>
      <c r="E1079" s="65">
        <f>+IF('Data Pura Costos'!E1079="","",IF('Data Pura Costos'!E1079=0,MAX('Data Pura Costos'!$E$7:$E$3000)*1000,'Data Pura Costos'!E1079))</f>
        <v>250000</v>
      </c>
      <c r="F1079" s="5" t="str">
        <f>+IF('Data Pura Costos'!F1079="","",'Data Pura Costos'!F1079)</f>
        <v>Mostazal</v>
      </c>
      <c r="G1079" s="5" t="str">
        <f>+IF('Data Pura Costos'!G1079="","",'Data Pura Costos'!G1079)</f>
        <v xml:space="preserve">Carlos Gómez </v>
      </c>
      <c r="H1079" s="52" t="str">
        <f>+IF('Data Pura Costos'!H1079="","",'Data Pura Costos'!H1079)</f>
        <v>Termo</v>
      </c>
      <c r="I1079" s="71">
        <f>+IF('Data Pura Costos'!I1079="","",'Data Pura Costos'!I1079)</f>
        <v>15625</v>
      </c>
      <c r="J1079" s="52" t="str">
        <f>+IF('Data Pura Costos'!J1079="","",'Data Pura Costos'!J1079)</f>
        <v>24-25</v>
      </c>
      <c r="K1079" s="82" t="str">
        <f t="shared" si="21"/>
        <v xml:space="preserve">La Morera-Mostazal-Carlos Gómez </v>
      </c>
    </row>
    <row r="1080" spans="2:11" x14ac:dyDescent="0.35">
      <c r="B1080" s="4" t="str">
        <f>+IF('Data Pura Costos'!B1080="","",'Data Pura Costos'!B1080)</f>
        <v>La Rinconada</v>
      </c>
      <c r="C1080" s="4" t="str">
        <f>+IF('Data Pura Costos'!C1080="","",'Data Pura Costos'!C1080)</f>
        <v>Pichidegua, VI región</v>
      </c>
      <c r="D1080" s="5">
        <f>+IF('Data Pura Costos'!D1080="","",'Data Pura Costos'!D1080)</f>
        <v>110</v>
      </c>
      <c r="E1080" s="65">
        <f>+IF('Data Pura Costos'!E1080="","",IF('Data Pura Costos'!E1080=0,MAX('Data Pura Costos'!$E$7:$E$3000)*1000,'Data Pura Costos'!E1080))</f>
        <v>440000</v>
      </c>
      <c r="F1080" s="5" t="str">
        <f>+IF('Data Pura Costos'!F1080="","",'Data Pura Costos'!F1080)</f>
        <v>Mostazal</v>
      </c>
      <c r="G1080" s="5" t="str">
        <f>+IF('Data Pura Costos'!G1080="","",'Data Pura Costos'!G1080)</f>
        <v xml:space="preserve">Carlos Gómez </v>
      </c>
      <c r="H1080" s="52" t="str">
        <f>+IF('Data Pura Costos'!H1080="","",'Data Pura Costos'!H1080)</f>
        <v>Termo</v>
      </c>
      <c r="I1080" s="71">
        <f>+IF('Data Pura Costos'!I1080="","",'Data Pura Costos'!I1080)</f>
        <v>4000</v>
      </c>
      <c r="J1080" s="52" t="str">
        <f>+IF('Data Pura Costos'!J1080="","",'Data Pura Costos'!J1080)</f>
        <v>24-25</v>
      </c>
      <c r="K1080" s="82" t="str">
        <f t="shared" si="21"/>
        <v xml:space="preserve">La Rinconada-Mostazal-Carlos Gómez </v>
      </c>
    </row>
    <row r="1081" spans="2:11" x14ac:dyDescent="0.35">
      <c r="B1081" s="4" t="str">
        <f>+IF('Data Pura Costos'!B1081="","",'Data Pura Costos'!B1081)</f>
        <v xml:space="preserve">La Roblería </v>
      </c>
      <c r="C1081" s="4" t="str">
        <f>+IF('Data Pura Costos'!C1081="","",'Data Pura Costos'!C1081)</f>
        <v>Aculeo, RM</v>
      </c>
      <c r="D1081" s="5">
        <f>+IF('Data Pura Costos'!D1081="","",'Data Pura Costos'!D1081)</f>
        <v>40</v>
      </c>
      <c r="E1081" s="65">
        <f>+IF('Data Pura Costos'!E1081="","",IF('Data Pura Costos'!E1081=0,MAX('Data Pura Costos'!$E$7:$E$3000)*1000,'Data Pura Costos'!E1081))</f>
        <v>370000</v>
      </c>
      <c r="F1081" s="5" t="str">
        <f>+IF('Data Pura Costos'!F1081="","",'Data Pura Costos'!F1081)</f>
        <v>Mostazal</v>
      </c>
      <c r="G1081" s="5" t="str">
        <f>+IF('Data Pura Costos'!G1081="","",'Data Pura Costos'!G1081)</f>
        <v xml:space="preserve">Carlos Gómez </v>
      </c>
      <c r="H1081" s="52" t="str">
        <f>+IF('Data Pura Costos'!H1081="","",'Data Pura Costos'!H1081)</f>
        <v>Termo</v>
      </c>
      <c r="I1081" s="71">
        <f>+IF('Data Pura Costos'!I1081="","",'Data Pura Costos'!I1081)</f>
        <v>9250</v>
      </c>
      <c r="J1081" s="52" t="str">
        <f>+IF('Data Pura Costos'!J1081="","",'Data Pura Costos'!J1081)</f>
        <v>24-25</v>
      </c>
      <c r="K1081" s="82" t="str">
        <f t="shared" si="21"/>
        <v xml:space="preserve">La Roblería -Mostazal-Carlos Gómez </v>
      </c>
    </row>
    <row r="1082" spans="2:11" x14ac:dyDescent="0.35">
      <c r="B1082" s="4" t="str">
        <f>+IF('Data Pura Costos'!B1082="","",'Data Pura Costos'!B1082)</f>
        <v>Las Cabras</v>
      </c>
      <c r="C1082" s="4" t="str">
        <f>+IF('Data Pura Costos'!C1082="","",'Data Pura Costos'!C1082)</f>
        <v>Las Cabras, VI región</v>
      </c>
      <c r="D1082" s="5">
        <f>+IF('Data Pura Costos'!D1082="","",'Data Pura Costos'!D1082)</f>
        <v>110</v>
      </c>
      <c r="E1082" s="65">
        <f>+IF('Data Pura Costos'!E1082="","",IF('Data Pura Costos'!E1082=0,MAX('Data Pura Costos'!$E$7:$E$3000)*1000,'Data Pura Costos'!E1082))</f>
        <v>440000</v>
      </c>
      <c r="F1082" s="5" t="str">
        <f>+IF('Data Pura Costos'!F1082="","",'Data Pura Costos'!F1082)</f>
        <v>Mostazal</v>
      </c>
      <c r="G1082" s="5" t="str">
        <f>+IF('Data Pura Costos'!G1082="","",'Data Pura Costos'!G1082)</f>
        <v xml:space="preserve">Carlos Gómez </v>
      </c>
      <c r="H1082" s="52" t="str">
        <f>+IF('Data Pura Costos'!H1082="","",'Data Pura Costos'!H1082)</f>
        <v>Termo</v>
      </c>
      <c r="I1082" s="71">
        <f>+IF('Data Pura Costos'!I1082="","",'Data Pura Costos'!I1082)</f>
        <v>4000</v>
      </c>
      <c r="J1082" s="52" t="str">
        <f>+IF('Data Pura Costos'!J1082="","",'Data Pura Costos'!J1082)</f>
        <v>24-25</v>
      </c>
      <c r="K1082" s="82" t="str">
        <f t="shared" si="21"/>
        <v xml:space="preserve">Las Cabras-Mostazal-Carlos Gómez </v>
      </c>
    </row>
    <row r="1083" spans="2:11" x14ac:dyDescent="0.35">
      <c r="B1083" s="4" t="str">
        <f>+IF('Data Pura Costos'!B1083="","",'Data Pura Costos'!B1083)</f>
        <v>Las Vertientes</v>
      </c>
      <c r="C1083" s="4" t="str">
        <f>+IF('Data Pura Costos'!C1083="","",'Data Pura Costos'!C1083)</f>
        <v>Pichidegua, VI región</v>
      </c>
      <c r="D1083" s="5">
        <f>+IF('Data Pura Costos'!D1083="","",'Data Pura Costos'!D1083)</f>
        <v>103</v>
      </c>
      <c r="E1083" s="65">
        <f>+IF('Data Pura Costos'!E1083="","",IF('Data Pura Costos'!E1083=0,MAX('Data Pura Costos'!$E$7:$E$3000)*1000,'Data Pura Costos'!E1083))</f>
        <v>440000</v>
      </c>
      <c r="F1083" s="5" t="str">
        <f>+IF('Data Pura Costos'!F1083="","",'Data Pura Costos'!F1083)</f>
        <v>Mostazal</v>
      </c>
      <c r="G1083" s="5" t="str">
        <f>+IF('Data Pura Costos'!G1083="","",'Data Pura Costos'!G1083)</f>
        <v xml:space="preserve">Carlos Gómez </v>
      </c>
      <c r="H1083" s="52" t="str">
        <f>+IF('Data Pura Costos'!H1083="","",'Data Pura Costos'!H1083)</f>
        <v>Termo</v>
      </c>
      <c r="I1083" s="71">
        <f>+IF('Data Pura Costos'!I1083="","",'Data Pura Costos'!I1083)</f>
        <v>4271.844660194175</v>
      </c>
      <c r="J1083" s="52" t="str">
        <f>+IF('Data Pura Costos'!J1083="","",'Data Pura Costos'!J1083)</f>
        <v>24-25</v>
      </c>
      <c r="K1083" s="82" t="str">
        <f t="shared" si="21"/>
        <v xml:space="preserve">Las Vertientes-Mostazal-Carlos Gómez </v>
      </c>
    </row>
    <row r="1084" spans="2:11" x14ac:dyDescent="0.35">
      <c r="B1084" s="4" t="str">
        <f>+IF('Data Pura Costos'!B1084="","",'Data Pura Costos'!B1084)</f>
        <v>Lihueimo</v>
      </c>
      <c r="C1084" s="4" t="str">
        <f>+IF('Data Pura Costos'!C1084="","",'Data Pura Costos'!C1084)</f>
        <v>Peralillo ohiggins</v>
      </c>
      <c r="D1084" s="5">
        <f>+IF('Data Pura Costos'!D1084="","",'Data Pura Costos'!D1084)</f>
        <v>131</v>
      </c>
      <c r="E1084" s="65">
        <f>+IF('Data Pura Costos'!E1084="","",IF('Data Pura Costos'!E1084=0,MAX('Data Pura Costos'!$E$7:$E$3000)*1000,'Data Pura Costos'!E1084))</f>
        <v>460000</v>
      </c>
      <c r="F1084" s="5" t="str">
        <f>+IF('Data Pura Costos'!F1084="","",'Data Pura Costos'!F1084)</f>
        <v>Mostazal</v>
      </c>
      <c r="G1084" s="5" t="str">
        <f>+IF('Data Pura Costos'!G1084="","",'Data Pura Costos'!G1084)</f>
        <v xml:space="preserve">Carlos Gómez </v>
      </c>
      <c r="H1084" s="52" t="str">
        <f>+IF('Data Pura Costos'!H1084="","",'Data Pura Costos'!H1084)</f>
        <v>Termo</v>
      </c>
      <c r="I1084" s="71">
        <f>+IF('Data Pura Costos'!I1084="","",'Data Pura Costos'!I1084)</f>
        <v>3511.4503816793895</v>
      </c>
      <c r="J1084" s="52" t="str">
        <f>+IF('Data Pura Costos'!J1084="","",'Data Pura Costos'!J1084)</f>
        <v>24-25</v>
      </c>
      <c r="K1084" s="82" t="str">
        <f t="shared" ref="K1084:K1147" si="22">+IF(B1084="","",CONCATENATE(B1084,"-",F1084,"-",G1084))</f>
        <v xml:space="preserve">Lihueimo-Mostazal-Carlos Gómez </v>
      </c>
    </row>
    <row r="1085" spans="2:11" x14ac:dyDescent="0.35">
      <c r="B1085" s="4" t="str">
        <f>+IF('Data Pura Costos'!B1085="","",'Data Pura Costos'!B1085)</f>
        <v>Los Encinos</v>
      </c>
      <c r="C1085" s="4" t="str">
        <f>+IF('Data Pura Costos'!C1085="","",'Data Pura Costos'!C1085)</f>
        <v>Huechun, RM</v>
      </c>
      <c r="D1085" s="5">
        <f>+IF('Data Pura Costos'!D1085="","",'Data Pura Costos'!D1085)</f>
        <v>85</v>
      </c>
      <c r="E1085" s="65">
        <f>+IF('Data Pura Costos'!E1085="","",IF('Data Pura Costos'!E1085=0,MAX('Data Pura Costos'!$E$7:$E$3000)*1000,'Data Pura Costos'!E1085))</f>
        <v>420000</v>
      </c>
      <c r="F1085" s="5" t="str">
        <f>+IF('Data Pura Costos'!F1085="","",'Data Pura Costos'!F1085)</f>
        <v>Mostazal</v>
      </c>
      <c r="G1085" s="5" t="str">
        <f>+IF('Data Pura Costos'!G1085="","",'Data Pura Costos'!G1085)</f>
        <v xml:space="preserve">Carlos Gómez </v>
      </c>
      <c r="H1085" s="52" t="str">
        <f>+IF('Data Pura Costos'!H1085="","",'Data Pura Costos'!H1085)</f>
        <v>Termo</v>
      </c>
      <c r="I1085" s="71">
        <f>+IF('Data Pura Costos'!I1085="","",'Data Pura Costos'!I1085)</f>
        <v>4941.1764705882351</v>
      </c>
      <c r="J1085" s="52" t="str">
        <f>+IF('Data Pura Costos'!J1085="","",'Data Pura Costos'!J1085)</f>
        <v>24-25</v>
      </c>
      <c r="K1085" s="82" t="str">
        <f t="shared" si="22"/>
        <v xml:space="preserve">Los Encinos-Mostazal-Carlos Gómez </v>
      </c>
    </row>
    <row r="1086" spans="2:11" x14ac:dyDescent="0.35">
      <c r="B1086" s="4" t="str">
        <f>+IF('Data Pura Costos'!B1086="","",'Data Pura Costos'!B1086)</f>
        <v>Los Maitenes</v>
      </c>
      <c r="C1086" s="4" t="str">
        <f>+IF('Data Pura Costos'!C1086="","",'Data Pura Costos'!C1086)</f>
        <v>Las Cabras, VI región</v>
      </c>
      <c r="D1086" s="5">
        <f>+IF('Data Pura Costos'!D1086="","",'Data Pura Costos'!D1086)</f>
        <v>118</v>
      </c>
      <c r="E1086" s="65">
        <f>+IF('Data Pura Costos'!E1086="","",IF('Data Pura Costos'!E1086=0,MAX('Data Pura Costos'!$E$7:$E$3000)*1000,'Data Pura Costos'!E1086))</f>
        <v>440000</v>
      </c>
      <c r="F1086" s="5" t="str">
        <f>+IF('Data Pura Costos'!F1086="","",'Data Pura Costos'!F1086)</f>
        <v>Mostazal</v>
      </c>
      <c r="G1086" s="5" t="str">
        <f>+IF('Data Pura Costos'!G1086="","",'Data Pura Costos'!G1086)</f>
        <v xml:space="preserve">Carlos Gómez </v>
      </c>
      <c r="H1086" s="52" t="str">
        <f>+IF('Data Pura Costos'!H1086="","",'Data Pura Costos'!H1086)</f>
        <v>Termo</v>
      </c>
      <c r="I1086" s="71">
        <f>+IF('Data Pura Costos'!I1086="","",'Data Pura Costos'!I1086)</f>
        <v>3728.8135593220341</v>
      </c>
      <c r="J1086" s="52" t="str">
        <f>+IF('Data Pura Costos'!J1086="","",'Data Pura Costos'!J1086)</f>
        <v>24-25</v>
      </c>
      <c r="K1086" s="82" t="str">
        <f t="shared" si="22"/>
        <v xml:space="preserve">Los Maitenes-Mostazal-Carlos Gómez </v>
      </c>
    </row>
    <row r="1087" spans="2:11" x14ac:dyDescent="0.35">
      <c r="B1087" s="4" t="str">
        <f>+IF('Data Pura Costos'!B1087="","",'Data Pura Costos'!B1087)</f>
        <v>Los Toldos</v>
      </c>
      <c r="C1087" s="4" t="str">
        <f>+IF('Data Pura Costos'!C1087="","",'Data Pura Costos'!C1087)</f>
        <v>Angol, IX región</v>
      </c>
      <c r="D1087" s="5">
        <f>+IF('Data Pura Costos'!D1087="","",'Data Pura Costos'!D1087)</f>
        <v>549</v>
      </c>
      <c r="E1087" s="65">
        <f>+IF('Data Pura Costos'!E1087="","",IF('Data Pura Costos'!E1087=0,MAX('Data Pura Costos'!$E$7:$E$3000)*1000,'Data Pura Costos'!E1087))</f>
        <v>1410000</v>
      </c>
      <c r="F1087" s="5" t="str">
        <f>+IF('Data Pura Costos'!F1087="","",'Data Pura Costos'!F1087)</f>
        <v>Mostazal</v>
      </c>
      <c r="G1087" s="5" t="str">
        <f>+IF('Data Pura Costos'!G1087="","",'Data Pura Costos'!G1087)</f>
        <v xml:space="preserve">Carlos Gómez </v>
      </c>
      <c r="H1087" s="52" t="str">
        <f>+IF('Data Pura Costos'!H1087="","",'Data Pura Costos'!H1087)</f>
        <v>Termo</v>
      </c>
      <c r="I1087" s="71">
        <f>+IF('Data Pura Costos'!I1087="","",'Data Pura Costos'!I1087)</f>
        <v>2568.3060109289618</v>
      </c>
      <c r="J1087" s="52" t="str">
        <f>+IF('Data Pura Costos'!J1087="","",'Data Pura Costos'!J1087)</f>
        <v>24-25</v>
      </c>
      <c r="K1087" s="82" t="str">
        <f t="shared" si="22"/>
        <v xml:space="preserve">Los Toldos-Mostazal-Carlos Gómez </v>
      </c>
    </row>
    <row r="1088" spans="2:11" x14ac:dyDescent="0.35">
      <c r="B1088" s="4" t="str">
        <f>+IF('Data Pura Costos'!B1088="","",'Data Pura Costos'!B1088)</f>
        <v>Mallorca</v>
      </c>
      <c r="C1088" s="4" t="str">
        <f>+IF('Data Pura Costos'!C1088="","",'Data Pura Costos'!C1088)</f>
        <v xml:space="preserve">Molina, VII región </v>
      </c>
      <c r="D1088" s="5">
        <f>+IF('Data Pura Costos'!D1088="","",'Data Pura Costos'!D1088)</f>
        <v>144</v>
      </c>
      <c r="E1088" s="65">
        <f>+IF('Data Pura Costos'!E1088="","",IF('Data Pura Costos'!E1088=0,MAX('Data Pura Costos'!$E$7:$E$3000)*1000,'Data Pura Costos'!E1088))</f>
        <v>550000</v>
      </c>
      <c r="F1088" s="5" t="str">
        <f>+IF('Data Pura Costos'!F1088="","",'Data Pura Costos'!F1088)</f>
        <v>Mostazal</v>
      </c>
      <c r="G1088" s="5" t="str">
        <f>+IF('Data Pura Costos'!G1088="","",'Data Pura Costos'!G1088)</f>
        <v xml:space="preserve">Carlos Gómez </v>
      </c>
      <c r="H1088" s="52" t="str">
        <f>+IF('Data Pura Costos'!H1088="","",'Data Pura Costos'!H1088)</f>
        <v>Termo</v>
      </c>
      <c r="I1088" s="71">
        <f>+IF('Data Pura Costos'!I1088="","",'Data Pura Costos'!I1088)</f>
        <v>3819.4444444444443</v>
      </c>
      <c r="J1088" s="52" t="str">
        <f>+IF('Data Pura Costos'!J1088="","",'Data Pura Costos'!J1088)</f>
        <v>24-25</v>
      </c>
      <c r="K1088" s="82" t="str">
        <f t="shared" si="22"/>
        <v xml:space="preserve">Mallorca-Mostazal-Carlos Gómez </v>
      </c>
    </row>
    <row r="1089" spans="2:11" x14ac:dyDescent="0.35">
      <c r="B1089" s="4" t="str">
        <f>+IF('Data Pura Costos'!B1089="","",'Data Pura Costos'!B1089)</f>
        <v>Panquehue</v>
      </c>
      <c r="C1089" s="4" t="str">
        <f>+IF('Data Pura Costos'!C1089="","",'Data Pura Costos'!C1089)</f>
        <v>Panquehue, V región</v>
      </c>
      <c r="D1089" s="5">
        <f>+IF('Data Pura Costos'!D1089="","",'Data Pura Costos'!D1089)</f>
        <v>165</v>
      </c>
      <c r="E1089" s="65">
        <f>+IF('Data Pura Costos'!E1089="","",IF('Data Pura Costos'!E1089=0,MAX('Data Pura Costos'!$E$7:$E$3000)*1000,'Data Pura Costos'!E1089))</f>
        <v>570000</v>
      </c>
      <c r="F1089" s="5" t="str">
        <f>+IF('Data Pura Costos'!F1089="","",'Data Pura Costos'!F1089)</f>
        <v>Mostazal</v>
      </c>
      <c r="G1089" s="5" t="str">
        <f>+IF('Data Pura Costos'!G1089="","",'Data Pura Costos'!G1089)</f>
        <v xml:space="preserve">Carlos Gómez </v>
      </c>
      <c r="H1089" s="52" t="str">
        <f>+IF('Data Pura Costos'!H1089="","",'Data Pura Costos'!H1089)</f>
        <v>Termo</v>
      </c>
      <c r="I1089" s="71">
        <f>+IF('Data Pura Costos'!I1089="","",'Data Pura Costos'!I1089)</f>
        <v>3454.5454545454545</v>
      </c>
      <c r="J1089" s="52" t="str">
        <f>+IF('Data Pura Costos'!J1089="","",'Data Pura Costos'!J1089)</f>
        <v>24-25</v>
      </c>
      <c r="K1089" s="82" t="str">
        <f t="shared" si="22"/>
        <v xml:space="preserve">Panquehue-Mostazal-Carlos Gómez </v>
      </c>
    </row>
    <row r="1090" spans="2:11" x14ac:dyDescent="0.35">
      <c r="B1090" s="4" t="str">
        <f>+IF('Data Pura Costos'!B1090="","",'Data Pura Costos'!B1090)</f>
        <v>Entre Rios/Puente Negro/Rio Claro</v>
      </c>
      <c r="C1090" s="4" t="str">
        <f>+IF('Data Pura Costos'!C1090="","",'Data Pura Costos'!C1090)</f>
        <v>Puente negro, san fernando.VI Region.</v>
      </c>
      <c r="D1090" s="5">
        <f>+IF('Data Pura Costos'!D1090="","",'Data Pura Costos'!D1090)</f>
        <v>100</v>
      </c>
      <c r="E1090" s="65">
        <f>+IF('Data Pura Costos'!E1090="","",IF('Data Pura Costos'!E1090=0,MAX('Data Pura Costos'!$E$7:$E$3000)*1000,'Data Pura Costos'!E1090))</f>
        <v>440000</v>
      </c>
      <c r="F1090" s="5" t="str">
        <f>+IF('Data Pura Costos'!F1090="","",'Data Pura Costos'!F1090)</f>
        <v>Mostazal</v>
      </c>
      <c r="G1090" s="5" t="str">
        <f>+IF('Data Pura Costos'!G1090="","",'Data Pura Costos'!G1090)</f>
        <v xml:space="preserve">Carlos Gómez </v>
      </c>
      <c r="H1090" s="52" t="str">
        <f>+IF('Data Pura Costos'!H1090="","",'Data Pura Costos'!H1090)</f>
        <v>Termo</v>
      </c>
      <c r="I1090" s="71">
        <f>+IF('Data Pura Costos'!I1090="","",'Data Pura Costos'!I1090)</f>
        <v>4400</v>
      </c>
      <c r="J1090" s="52" t="str">
        <f>+IF('Data Pura Costos'!J1090="","",'Data Pura Costos'!J1090)</f>
        <v>24-25</v>
      </c>
      <c r="K1090" s="82" t="str">
        <f t="shared" si="22"/>
        <v xml:space="preserve">Entre Rios/Puente Negro/Rio Claro-Mostazal-Carlos Gómez </v>
      </c>
    </row>
    <row r="1091" spans="2:11" x14ac:dyDescent="0.35">
      <c r="B1091" s="4" t="str">
        <f>+IF('Data Pura Costos'!B1091="","",'Data Pura Costos'!B1091)</f>
        <v>Retorno</v>
      </c>
      <c r="C1091" s="4" t="str">
        <f>+IF('Data Pura Costos'!C1091="","",'Data Pura Costos'!C1091)</f>
        <v>Santa maria, V región</v>
      </c>
      <c r="D1091" s="5">
        <f>+IF('Data Pura Costos'!D1091="","",'Data Pura Costos'!D1091)</f>
        <v>162</v>
      </c>
      <c r="E1091" s="65">
        <f>+IF('Data Pura Costos'!E1091="","",IF('Data Pura Costos'!E1091=0,MAX('Data Pura Costos'!$E$7:$E$3000)*1000,'Data Pura Costos'!E1091))</f>
        <v>570000</v>
      </c>
      <c r="F1091" s="5" t="str">
        <f>+IF('Data Pura Costos'!F1091="","",'Data Pura Costos'!F1091)</f>
        <v>Mostazal</v>
      </c>
      <c r="G1091" s="5" t="str">
        <f>+IF('Data Pura Costos'!G1091="","",'Data Pura Costos'!G1091)</f>
        <v xml:space="preserve">Carlos Gómez </v>
      </c>
      <c r="H1091" s="52" t="str">
        <f>+IF('Data Pura Costos'!H1091="","",'Data Pura Costos'!H1091)</f>
        <v>Termo</v>
      </c>
      <c r="I1091" s="71">
        <f>+IF('Data Pura Costos'!I1091="","",'Data Pura Costos'!I1091)</f>
        <v>3518.5185185185187</v>
      </c>
      <c r="J1091" s="52" t="str">
        <f>+IF('Data Pura Costos'!J1091="","",'Data Pura Costos'!J1091)</f>
        <v>24-25</v>
      </c>
      <c r="K1091" s="82" t="str">
        <f t="shared" si="22"/>
        <v xml:space="preserve">Retorno-Mostazal-Carlos Gómez </v>
      </c>
    </row>
    <row r="1092" spans="2:11" x14ac:dyDescent="0.35">
      <c r="B1092" s="4" t="str">
        <f>+IF('Data Pura Costos'!B1092="","",'Data Pura Costos'!B1092)</f>
        <v>San Hernán</v>
      </c>
      <c r="C1092" s="4" t="str">
        <f>+IF('Data Pura Costos'!C1092="","",'Data Pura Costos'!C1092)</f>
        <v>Graneros, VI región</v>
      </c>
      <c r="D1092" s="5">
        <f>+IF('Data Pura Costos'!D1092="","",'Data Pura Costos'!D1092)</f>
        <v>10</v>
      </c>
      <c r="E1092" s="65">
        <f>+IF('Data Pura Costos'!E1092="","",IF('Data Pura Costos'!E1092=0,MAX('Data Pura Costos'!$E$7:$E$3000)*1000,'Data Pura Costos'!E1092))</f>
        <v>250000</v>
      </c>
      <c r="F1092" s="5" t="str">
        <f>+IF('Data Pura Costos'!F1092="","",'Data Pura Costos'!F1092)</f>
        <v>Mostazal</v>
      </c>
      <c r="G1092" s="5" t="str">
        <f>+IF('Data Pura Costos'!G1092="","",'Data Pura Costos'!G1092)</f>
        <v xml:space="preserve">Carlos Gómez </v>
      </c>
      <c r="H1092" s="52" t="str">
        <f>+IF('Data Pura Costos'!H1092="","",'Data Pura Costos'!H1092)</f>
        <v>Termo</v>
      </c>
      <c r="I1092" s="71">
        <f>+IF('Data Pura Costos'!I1092="","",'Data Pura Costos'!I1092)</f>
        <v>25000</v>
      </c>
      <c r="J1092" s="52" t="str">
        <f>+IF('Data Pura Costos'!J1092="","",'Data Pura Costos'!J1092)</f>
        <v>24-25</v>
      </c>
      <c r="K1092" s="82" t="str">
        <f t="shared" si="22"/>
        <v xml:space="preserve">San Hernán-Mostazal-Carlos Gómez </v>
      </c>
    </row>
    <row r="1093" spans="2:11" x14ac:dyDescent="0.35">
      <c r="B1093" s="4" t="str">
        <f>+IF('Data Pura Costos'!B1093="","",'Data Pura Costos'!B1093)</f>
        <v>Santa Mónica</v>
      </c>
      <c r="C1093" s="4" t="str">
        <f>+IF('Data Pura Costos'!C1093="","",'Data Pura Costos'!C1093)</f>
        <v xml:space="preserve">Rancagua, sector Chancón, VI región </v>
      </c>
      <c r="D1093" s="5">
        <f>+IF('Data Pura Costos'!D1093="","",'Data Pura Costos'!D1093)</f>
        <v>20</v>
      </c>
      <c r="E1093" s="65">
        <f>+IF('Data Pura Costos'!E1093="","",IF('Data Pura Costos'!E1093=0,MAX('Data Pura Costos'!$E$7:$E$3000)*1000,'Data Pura Costos'!E1093))</f>
        <v>280000</v>
      </c>
      <c r="F1093" s="5" t="str">
        <f>+IF('Data Pura Costos'!F1093="","",'Data Pura Costos'!F1093)</f>
        <v>Mostazal</v>
      </c>
      <c r="G1093" s="5" t="str">
        <f>+IF('Data Pura Costos'!G1093="","",'Data Pura Costos'!G1093)</f>
        <v xml:space="preserve">Carlos Gómez </v>
      </c>
      <c r="H1093" s="52" t="str">
        <f>+IF('Data Pura Costos'!H1093="","",'Data Pura Costos'!H1093)</f>
        <v>Termo</v>
      </c>
      <c r="I1093" s="71">
        <f>+IF('Data Pura Costos'!I1093="","",'Data Pura Costos'!I1093)</f>
        <v>14000</v>
      </c>
      <c r="J1093" s="52" t="str">
        <f>+IF('Data Pura Costos'!J1093="","",'Data Pura Costos'!J1093)</f>
        <v>24-25</v>
      </c>
      <c r="K1093" s="82" t="str">
        <f t="shared" si="22"/>
        <v xml:space="preserve">Santa Mónica-Mostazal-Carlos Gómez </v>
      </c>
    </row>
    <row r="1094" spans="2:11" x14ac:dyDescent="0.35">
      <c r="B1094" s="4" t="str">
        <f>+IF('Data Pura Costos'!B1094="","",'Data Pura Costos'!B1094)</f>
        <v>Talhuén</v>
      </c>
      <c r="C1094" s="4" t="str">
        <f>+IF('Data Pura Costos'!C1094="","",'Data Pura Costos'!C1094)</f>
        <v>Palmilla, VI región</v>
      </c>
      <c r="D1094" s="5">
        <f>+IF('Data Pura Costos'!D1094="","",'Data Pura Costos'!D1094)</f>
        <v>122</v>
      </c>
      <c r="E1094" s="65">
        <f>+IF('Data Pura Costos'!E1094="","",IF('Data Pura Costos'!E1094=0,MAX('Data Pura Costos'!$E$7:$E$3000)*1000,'Data Pura Costos'!E1094))</f>
        <v>440000</v>
      </c>
      <c r="F1094" s="5" t="str">
        <f>+IF('Data Pura Costos'!F1094="","",'Data Pura Costos'!F1094)</f>
        <v>Mostazal</v>
      </c>
      <c r="G1094" s="5" t="str">
        <f>+IF('Data Pura Costos'!G1094="","",'Data Pura Costos'!G1094)</f>
        <v xml:space="preserve">Carlos Gómez </v>
      </c>
      <c r="H1094" s="52" t="str">
        <f>+IF('Data Pura Costos'!H1094="","",'Data Pura Costos'!H1094)</f>
        <v>Termo</v>
      </c>
      <c r="I1094" s="71">
        <f>+IF('Data Pura Costos'!I1094="","",'Data Pura Costos'!I1094)</f>
        <v>3606.5573770491801</v>
      </c>
      <c r="J1094" s="52" t="str">
        <f>+IF('Data Pura Costos'!J1094="","",'Data Pura Costos'!J1094)</f>
        <v>24-25</v>
      </c>
      <c r="K1094" s="82" t="str">
        <f t="shared" si="22"/>
        <v xml:space="preserve">Talhuén-Mostazal-Carlos Gómez </v>
      </c>
    </row>
    <row r="1095" spans="2:11" x14ac:dyDescent="0.35">
      <c r="B1095" s="4" t="str">
        <f>+IF('Data Pura Costos'!B1095="","",'Data Pura Costos'!B1095)</f>
        <v>Villaseca</v>
      </c>
      <c r="C1095" s="4" t="str">
        <f>+IF('Data Pura Costos'!C1095="","",'Data Pura Costos'!C1095)</f>
        <v>Retiro, VII reginón</v>
      </c>
      <c r="D1095" s="5">
        <f>+IF('Data Pura Costos'!D1095="","",'Data Pura Costos'!D1095)</f>
        <v>162</v>
      </c>
      <c r="E1095" s="65">
        <f>+IF('Data Pura Costos'!E1095="","",IF('Data Pura Costos'!E1095=0,MAX('Data Pura Costos'!$E$7:$E$3000)*1000,'Data Pura Costos'!E1095))</f>
        <v>780000</v>
      </c>
      <c r="F1095" s="5" t="str">
        <f>+IF('Data Pura Costos'!F1095="","",'Data Pura Costos'!F1095)</f>
        <v>Mostazal</v>
      </c>
      <c r="G1095" s="5" t="str">
        <f>+IF('Data Pura Costos'!G1095="","",'Data Pura Costos'!G1095)</f>
        <v xml:space="preserve">Carlos Gómez </v>
      </c>
      <c r="H1095" s="52" t="str">
        <f>+IF('Data Pura Costos'!H1095="","",'Data Pura Costos'!H1095)</f>
        <v>Termo</v>
      </c>
      <c r="I1095" s="71">
        <f>+IF('Data Pura Costos'!I1095="","",'Data Pura Costos'!I1095)</f>
        <v>4814.8148148148148</v>
      </c>
      <c r="J1095" s="52" t="str">
        <f>+IF('Data Pura Costos'!J1095="","",'Data Pura Costos'!J1095)</f>
        <v>24-25</v>
      </c>
      <c r="K1095" s="82" t="str">
        <f t="shared" si="22"/>
        <v xml:space="preserve">Villaseca-Mostazal-Carlos Gómez </v>
      </c>
    </row>
    <row r="1096" spans="2:11" x14ac:dyDescent="0.35">
      <c r="B1096" s="4" t="str">
        <f>+IF('Data Pura Costos'!B1096="","",'Data Pura Costos'!B1096)</f>
        <v>Almahue</v>
      </c>
      <c r="C1096" s="4" t="str">
        <f>+IF('Data Pura Costos'!C1096="","",'Data Pura Costos'!C1096)</f>
        <v>Pichidegua, VI región</v>
      </c>
      <c r="D1096" s="5">
        <f>+IF('Data Pura Costos'!D1096="","",'Data Pura Costos'!D1096)</f>
        <v>134</v>
      </c>
      <c r="E1096" s="65">
        <f>+IF('Data Pura Costos'!E1096="","",IF('Data Pura Costos'!E1096=0,MAX('Data Pura Costos'!$E$7:$E$3000)*1000,'Data Pura Costos'!E1096))</f>
        <v>540000</v>
      </c>
      <c r="F1096" s="5" t="str">
        <f>+IF('Data Pura Costos'!F1096="","",'Data Pura Costos'!F1096)</f>
        <v>Molina</v>
      </c>
      <c r="G1096" s="5" t="str">
        <f>+IF('Data Pura Costos'!G1096="","",'Data Pura Costos'!G1096)</f>
        <v xml:space="preserve">Carlos Gómez </v>
      </c>
      <c r="H1096" s="52" t="str">
        <f>+IF('Data Pura Costos'!H1096="","",'Data Pura Costos'!H1096)</f>
        <v>Termo</v>
      </c>
      <c r="I1096" s="71">
        <f>+IF('Data Pura Costos'!I1096="","",'Data Pura Costos'!I1096)</f>
        <v>4029.8507462686566</v>
      </c>
      <c r="J1096" s="52" t="str">
        <f>+IF('Data Pura Costos'!J1096="","",'Data Pura Costos'!J1096)</f>
        <v>24-25</v>
      </c>
      <c r="K1096" s="82" t="str">
        <f t="shared" si="22"/>
        <v xml:space="preserve">Almahue-Molina-Carlos Gómez </v>
      </c>
    </row>
    <row r="1097" spans="2:11" x14ac:dyDescent="0.35">
      <c r="B1097" s="4" t="str">
        <f>+IF('Data Pura Costos'!B1097="","",'Data Pura Costos'!B1097)</f>
        <v>Bodega</v>
      </c>
      <c r="C1097" s="4" t="str">
        <f>+IF('Data Pura Costos'!C1097="","",'Data Pura Costos'!C1097)</f>
        <v>Linares, VII region.</v>
      </c>
      <c r="D1097" s="5">
        <f>+IF('Data Pura Costos'!D1097="","",'Data Pura Costos'!D1097)</f>
        <v>123</v>
      </c>
      <c r="E1097" s="65">
        <f>+IF('Data Pura Costos'!E1097="","",IF('Data Pura Costos'!E1097=0,MAX('Data Pura Costos'!$E$7:$E$3000)*1000,'Data Pura Costos'!E1097))</f>
        <v>520000</v>
      </c>
      <c r="F1097" s="5" t="str">
        <f>+IF('Data Pura Costos'!F1097="","",'Data Pura Costos'!F1097)</f>
        <v>Molina</v>
      </c>
      <c r="G1097" s="5" t="str">
        <f>+IF('Data Pura Costos'!G1097="","",'Data Pura Costos'!G1097)</f>
        <v xml:space="preserve">Carlos Gómez </v>
      </c>
      <c r="H1097" s="52" t="str">
        <f>+IF('Data Pura Costos'!H1097="","",'Data Pura Costos'!H1097)</f>
        <v>Termo</v>
      </c>
      <c r="I1097" s="71">
        <f>+IF('Data Pura Costos'!I1097="","",'Data Pura Costos'!I1097)</f>
        <v>4227.6422764227646</v>
      </c>
      <c r="J1097" s="52" t="str">
        <f>+IF('Data Pura Costos'!J1097="","",'Data Pura Costos'!J1097)</f>
        <v>24-25</v>
      </c>
      <c r="K1097" s="82" t="str">
        <f t="shared" si="22"/>
        <v xml:space="preserve">Bodega-Molina-Carlos Gómez </v>
      </c>
    </row>
    <row r="1098" spans="2:11" x14ac:dyDescent="0.35">
      <c r="B1098" s="4" t="str">
        <f>+IF('Data Pura Costos'!B1098="","",'Data Pura Costos'!B1098)</f>
        <v xml:space="preserve">Caliboro </v>
      </c>
      <c r="C1098" s="4" t="str">
        <f>+IF('Data Pura Costos'!C1098="","",'Data Pura Costos'!C1098)</f>
        <v>San Javier, VII región</v>
      </c>
      <c r="D1098" s="5">
        <f>+IF('Data Pura Costos'!D1098="","",'Data Pura Costos'!D1098)</f>
        <v>118</v>
      </c>
      <c r="E1098" s="65">
        <f>+IF('Data Pura Costos'!E1098="","",IF('Data Pura Costos'!E1098=0,MAX('Data Pura Costos'!$E$7:$E$3000)*1000,'Data Pura Costos'!E1098))</f>
        <v>520000</v>
      </c>
      <c r="F1098" s="5" t="str">
        <f>+IF('Data Pura Costos'!F1098="","",'Data Pura Costos'!F1098)</f>
        <v>Molina</v>
      </c>
      <c r="G1098" s="5" t="str">
        <f>+IF('Data Pura Costos'!G1098="","",'Data Pura Costos'!G1098)</f>
        <v xml:space="preserve">Carlos Gómez </v>
      </c>
      <c r="H1098" s="52" t="str">
        <f>+IF('Data Pura Costos'!H1098="","",'Data Pura Costos'!H1098)</f>
        <v>Termo</v>
      </c>
      <c r="I1098" s="71">
        <f>+IF('Data Pura Costos'!I1098="","",'Data Pura Costos'!I1098)</f>
        <v>4406.7796610169489</v>
      </c>
      <c r="J1098" s="52" t="str">
        <f>+IF('Data Pura Costos'!J1098="","",'Data Pura Costos'!J1098)</f>
        <v>24-25</v>
      </c>
      <c r="K1098" s="82" t="str">
        <f t="shared" si="22"/>
        <v xml:space="preserve">Caliboro -Molina-Carlos Gómez </v>
      </c>
    </row>
    <row r="1099" spans="2:11" x14ac:dyDescent="0.35">
      <c r="B1099" s="4" t="str">
        <f>+IF('Data Pura Costos'!B1099="","",'Data Pura Costos'!B1099)</f>
        <v>Calleuque</v>
      </c>
      <c r="C1099" s="4" t="str">
        <f>+IF('Data Pura Costos'!C1099="","",'Data Pura Costos'!C1099)</f>
        <v>Peralillo ohiggins, VI región</v>
      </c>
      <c r="D1099" s="5">
        <f>+IF('Data Pura Costos'!D1099="","",'Data Pura Costos'!D1099)</f>
        <v>103</v>
      </c>
      <c r="E1099" s="65">
        <f>+IF('Data Pura Costos'!E1099="","",IF('Data Pura Costos'!E1099=0,MAX('Data Pura Costos'!$E$7:$E$3000)*1000,'Data Pura Costos'!E1099))</f>
        <v>440000</v>
      </c>
      <c r="F1099" s="5" t="str">
        <f>+IF('Data Pura Costos'!F1099="","",'Data Pura Costos'!F1099)</f>
        <v>Molina</v>
      </c>
      <c r="G1099" s="5" t="str">
        <f>+IF('Data Pura Costos'!G1099="","",'Data Pura Costos'!G1099)</f>
        <v xml:space="preserve">Carlos Gómez </v>
      </c>
      <c r="H1099" s="52" t="str">
        <f>+IF('Data Pura Costos'!H1099="","",'Data Pura Costos'!H1099)</f>
        <v>Termo</v>
      </c>
      <c r="I1099" s="71">
        <f>+IF('Data Pura Costos'!I1099="","",'Data Pura Costos'!I1099)</f>
        <v>4271.844660194175</v>
      </c>
      <c r="J1099" s="52" t="str">
        <f>+IF('Data Pura Costos'!J1099="","",'Data Pura Costos'!J1099)</f>
        <v>24-25</v>
      </c>
      <c r="K1099" s="82" t="str">
        <f t="shared" si="22"/>
        <v xml:space="preserve">Calleuque-Molina-Carlos Gómez </v>
      </c>
    </row>
    <row r="1100" spans="2:11" x14ac:dyDescent="0.35">
      <c r="B1100" s="4" t="str">
        <f>+IF('Data Pura Costos'!B1100="","",'Data Pura Costos'!B1100)</f>
        <v>Chumpirro</v>
      </c>
      <c r="C1100" s="4" t="str">
        <f>+IF('Data Pura Costos'!C1100="","",'Data Pura Costos'!C1100)</f>
        <v>Angol, IX región</v>
      </c>
      <c r="D1100" s="5">
        <f>+IF('Data Pura Costos'!D1100="","",'Data Pura Costos'!D1100)</f>
        <v>358</v>
      </c>
      <c r="E1100" s="65">
        <f>+IF('Data Pura Costos'!E1100="","",IF('Data Pura Costos'!E1100=0,MAX('Data Pura Costos'!$E$7:$E$3000)*1000,'Data Pura Costos'!E1100))</f>
        <v>1200000</v>
      </c>
      <c r="F1100" s="5" t="str">
        <f>+IF('Data Pura Costos'!F1100="","",'Data Pura Costos'!F1100)</f>
        <v>Molina</v>
      </c>
      <c r="G1100" s="5" t="str">
        <f>+IF('Data Pura Costos'!G1100="","",'Data Pura Costos'!G1100)</f>
        <v xml:space="preserve">Carlos Gómez </v>
      </c>
      <c r="H1100" s="52" t="str">
        <f>+IF('Data Pura Costos'!H1100="","",'Data Pura Costos'!H1100)</f>
        <v>Termo</v>
      </c>
      <c r="I1100" s="71">
        <f>+IF('Data Pura Costos'!I1100="","",'Data Pura Costos'!I1100)</f>
        <v>3351.9553072625699</v>
      </c>
      <c r="J1100" s="52" t="str">
        <f>+IF('Data Pura Costos'!J1100="","",'Data Pura Costos'!J1100)</f>
        <v>24-25</v>
      </c>
      <c r="K1100" s="82" t="str">
        <f t="shared" si="22"/>
        <v xml:space="preserve">Chumpirro-Molina-Carlos Gómez </v>
      </c>
    </row>
    <row r="1101" spans="2:11" x14ac:dyDescent="0.35">
      <c r="B1101" s="4" t="str">
        <f>+IF('Data Pura Costos'!B1101="","",'Data Pura Costos'!B1101)</f>
        <v xml:space="preserve"> Cocalán</v>
      </c>
      <c r="C1101" s="4" t="str">
        <f>+IF('Data Pura Costos'!C1101="","",'Data Pura Costos'!C1101)</f>
        <v>Cocalán, VI región</v>
      </c>
      <c r="D1101" s="5">
        <f>+IF('Data Pura Costos'!D1101="","",'Data Pura Costos'!D1101)</f>
        <v>141</v>
      </c>
      <c r="E1101" s="65">
        <f>+IF('Data Pura Costos'!E1101="","",IF('Data Pura Costos'!E1101=0,MAX('Data Pura Costos'!$E$7:$E$3000)*1000,'Data Pura Costos'!E1101))</f>
        <v>540000</v>
      </c>
      <c r="F1101" s="5" t="str">
        <f>+IF('Data Pura Costos'!F1101="","",'Data Pura Costos'!F1101)</f>
        <v>Molina</v>
      </c>
      <c r="G1101" s="5" t="str">
        <f>+IF('Data Pura Costos'!G1101="","",'Data Pura Costos'!G1101)</f>
        <v xml:space="preserve">Carlos Gómez </v>
      </c>
      <c r="H1101" s="52" t="str">
        <f>+IF('Data Pura Costos'!H1101="","",'Data Pura Costos'!H1101)</f>
        <v>Termo</v>
      </c>
      <c r="I1101" s="71">
        <f>+IF('Data Pura Costos'!I1101="","",'Data Pura Costos'!I1101)</f>
        <v>3829.7872340425533</v>
      </c>
      <c r="J1101" s="52" t="str">
        <f>+IF('Data Pura Costos'!J1101="","",'Data Pura Costos'!J1101)</f>
        <v>24-25</v>
      </c>
      <c r="K1101" s="82" t="str">
        <f t="shared" si="22"/>
        <v xml:space="preserve"> Cocalán-Molina-Carlos Gómez </v>
      </c>
    </row>
    <row r="1102" spans="2:11" x14ac:dyDescent="0.35">
      <c r="B1102" s="4" t="str">
        <f>+IF('Data Pura Costos'!B1102="","",'Data Pura Costos'!B1102)</f>
        <v>El Cóndor</v>
      </c>
      <c r="C1102" s="4" t="str">
        <f>+IF('Data Pura Costos'!C1102="","",'Data Pura Costos'!C1102)</f>
        <v>Chimbarongo, VI Region.</v>
      </c>
      <c r="D1102" s="5">
        <f>+IF('Data Pura Costos'!D1102="","",'Data Pura Costos'!D1102)</f>
        <v>60</v>
      </c>
      <c r="E1102" s="65">
        <f>+IF('Data Pura Costos'!E1102="","",IF('Data Pura Costos'!E1102=0,MAX('Data Pura Costos'!$E$7:$E$3000)*1000,'Data Pura Costos'!E1102))</f>
        <v>380000</v>
      </c>
      <c r="F1102" s="5" t="str">
        <f>+IF('Data Pura Costos'!F1102="","",'Data Pura Costos'!F1102)</f>
        <v>Molina</v>
      </c>
      <c r="G1102" s="5" t="str">
        <f>+IF('Data Pura Costos'!G1102="","",'Data Pura Costos'!G1102)</f>
        <v xml:space="preserve">Carlos Gómez </v>
      </c>
      <c r="H1102" s="52" t="str">
        <f>+IF('Data Pura Costos'!H1102="","",'Data Pura Costos'!H1102)</f>
        <v>Termo</v>
      </c>
      <c r="I1102" s="71">
        <f>+IF('Data Pura Costos'!I1102="","",'Data Pura Costos'!I1102)</f>
        <v>6333.333333333333</v>
      </c>
      <c r="J1102" s="52" t="str">
        <f>+IF('Data Pura Costos'!J1102="","",'Data Pura Costos'!J1102)</f>
        <v>24-25</v>
      </c>
      <c r="K1102" s="82" t="str">
        <f t="shared" si="22"/>
        <v xml:space="preserve">El Cóndor-Molina-Carlos Gómez </v>
      </c>
    </row>
    <row r="1103" spans="2:11" x14ac:dyDescent="0.35">
      <c r="B1103" s="4" t="str">
        <f>+IF('Data Pura Costos'!B1103="","",'Data Pura Costos'!B1103)</f>
        <v>El Descanso</v>
      </c>
      <c r="C1103" s="4" t="str">
        <f>+IF('Data Pura Costos'!C1103="","",'Data Pura Costos'!C1103)</f>
        <v>Sagrada Familia, VII región</v>
      </c>
      <c r="D1103" s="5">
        <f>+IF('Data Pura Costos'!D1103="","",'Data Pura Costos'!D1103)</f>
        <v>22</v>
      </c>
      <c r="E1103" s="65">
        <f>+IF('Data Pura Costos'!E1103="","",IF('Data Pura Costos'!E1103=0,MAX('Data Pura Costos'!$E$7:$E$3000)*1000,'Data Pura Costos'!E1103))</f>
        <v>330000</v>
      </c>
      <c r="F1103" s="5" t="str">
        <f>+IF('Data Pura Costos'!F1103="","",'Data Pura Costos'!F1103)</f>
        <v>Molina</v>
      </c>
      <c r="G1103" s="5" t="str">
        <f>+IF('Data Pura Costos'!G1103="","",'Data Pura Costos'!G1103)</f>
        <v xml:space="preserve">Carlos Gómez </v>
      </c>
      <c r="H1103" s="52" t="str">
        <f>+IF('Data Pura Costos'!H1103="","",'Data Pura Costos'!H1103)</f>
        <v>Termo</v>
      </c>
      <c r="I1103" s="71">
        <f>+IF('Data Pura Costos'!I1103="","",'Data Pura Costos'!I1103)</f>
        <v>15000</v>
      </c>
      <c r="J1103" s="52" t="str">
        <f>+IF('Data Pura Costos'!J1103="","",'Data Pura Costos'!J1103)</f>
        <v>24-25</v>
      </c>
      <c r="K1103" s="82" t="str">
        <f t="shared" si="22"/>
        <v xml:space="preserve">El Descanso-Molina-Carlos Gómez </v>
      </c>
    </row>
    <row r="1104" spans="2:11" x14ac:dyDescent="0.35">
      <c r="B1104" s="4" t="str">
        <f>+IF('Data Pura Costos'!B1104="","",'Data Pura Costos'!B1104)</f>
        <v>El Espino</v>
      </c>
      <c r="C1104" s="4" t="str">
        <f>+IF('Data Pura Costos'!C1104="","",'Data Pura Costos'!C1104)</f>
        <v>Colbún, VII región</v>
      </c>
      <c r="D1104" s="5">
        <f>+IF('Data Pura Costos'!D1104="","",'Data Pura Costos'!D1104)</f>
        <v>100</v>
      </c>
      <c r="E1104" s="65">
        <f>+IF('Data Pura Costos'!E1104="","",IF('Data Pura Costos'!E1104=0,MAX('Data Pura Costos'!$E$7:$E$3000)*1000,'Data Pura Costos'!E1104))</f>
        <v>520000</v>
      </c>
      <c r="F1104" s="5" t="str">
        <f>+IF('Data Pura Costos'!F1104="","",'Data Pura Costos'!F1104)</f>
        <v>Molina</v>
      </c>
      <c r="G1104" s="5" t="str">
        <f>+IF('Data Pura Costos'!G1104="","",'Data Pura Costos'!G1104)</f>
        <v xml:space="preserve">Carlos Gómez </v>
      </c>
      <c r="H1104" s="52" t="str">
        <f>+IF('Data Pura Costos'!H1104="","",'Data Pura Costos'!H1104)</f>
        <v>Termo</v>
      </c>
      <c r="I1104" s="71">
        <f>+IF('Data Pura Costos'!I1104="","",'Data Pura Costos'!I1104)</f>
        <v>5200</v>
      </c>
      <c r="J1104" s="52" t="str">
        <f>+IF('Data Pura Costos'!J1104="","",'Data Pura Costos'!J1104)</f>
        <v>24-25</v>
      </c>
      <c r="K1104" s="82" t="str">
        <f t="shared" si="22"/>
        <v xml:space="preserve">El Espino-Molina-Carlos Gómez </v>
      </c>
    </row>
    <row r="1105" spans="2:11" x14ac:dyDescent="0.35">
      <c r="B1105" s="4" t="str">
        <f>+IF('Data Pura Costos'!B1105="","",'Data Pura Costos'!B1105)</f>
        <v>El Huaico</v>
      </c>
      <c r="C1105" s="4" t="str">
        <f>+IF('Data Pura Costos'!C1105="","",'Data Pura Costos'!C1105)</f>
        <v>Palmila Ohiggins</v>
      </c>
      <c r="D1105" s="5">
        <f>+IF('Data Pura Costos'!D1105="","",'Data Pura Costos'!D1105)</f>
        <v>85</v>
      </c>
      <c r="E1105" s="65">
        <f>+IF('Data Pura Costos'!E1105="","",IF('Data Pura Costos'!E1105=0,MAX('Data Pura Costos'!$E$7:$E$3000)*1000,'Data Pura Costos'!E1105))</f>
        <v>420000</v>
      </c>
      <c r="F1105" s="5" t="str">
        <f>+IF('Data Pura Costos'!F1105="","",'Data Pura Costos'!F1105)</f>
        <v>Molina</v>
      </c>
      <c r="G1105" s="5" t="str">
        <f>+IF('Data Pura Costos'!G1105="","",'Data Pura Costos'!G1105)</f>
        <v xml:space="preserve">Carlos Gómez </v>
      </c>
      <c r="H1105" s="52" t="str">
        <f>+IF('Data Pura Costos'!H1105="","",'Data Pura Costos'!H1105)</f>
        <v>Termo</v>
      </c>
      <c r="I1105" s="71">
        <f>+IF('Data Pura Costos'!I1105="","",'Data Pura Costos'!I1105)</f>
        <v>4941.1764705882351</v>
      </c>
      <c r="J1105" s="52" t="str">
        <f>+IF('Data Pura Costos'!J1105="","",'Data Pura Costos'!J1105)</f>
        <v>24-25</v>
      </c>
      <c r="K1105" s="82" t="str">
        <f t="shared" si="22"/>
        <v xml:space="preserve">El Huaico-Molina-Carlos Gómez </v>
      </c>
    </row>
    <row r="1106" spans="2:11" x14ac:dyDescent="0.35">
      <c r="B1106" s="4" t="str">
        <f>+IF('Data Pura Costos'!B1106="","",'Data Pura Costos'!B1106)</f>
        <v>El Parque</v>
      </c>
      <c r="C1106" s="4" t="str">
        <f>+IF('Data Pura Costos'!C1106="","",'Data Pura Costos'!C1106)</f>
        <v>San Francisco de Mostazal.VI Region.</v>
      </c>
      <c r="D1106" s="5">
        <f>+IF('Data Pura Costos'!D1106="","",'Data Pura Costos'!D1106)</f>
        <v>144</v>
      </c>
      <c r="E1106" s="65">
        <f>+IF('Data Pura Costos'!E1106="","",IF('Data Pura Costos'!E1106=0,MAX('Data Pura Costos'!$E$7:$E$3000)*1000,'Data Pura Costos'!E1106))</f>
        <v>540000</v>
      </c>
      <c r="F1106" s="5" t="str">
        <f>+IF('Data Pura Costos'!F1106="","",'Data Pura Costos'!F1106)</f>
        <v>Molina</v>
      </c>
      <c r="G1106" s="5" t="str">
        <f>+IF('Data Pura Costos'!G1106="","",'Data Pura Costos'!G1106)</f>
        <v xml:space="preserve">Carlos Gómez </v>
      </c>
      <c r="H1106" s="52" t="str">
        <f>+IF('Data Pura Costos'!H1106="","",'Data Pura Costos'!H1106)</f>
        <v>Termo</v>
      </c>
      <c r="I1106" s="71">
        <f>+IF('Data Pura Costos'!I1106="","",'Data Pura Costos'!I1106)</f>
        <v>3750</v>
      </c>
      <c r="J1106" s="52" t="str">
        <f>+IF('Data Pura Costos'!J1106="","",'Data Pura Costos'!J1106)</f>
        <v>24-25</v>
      </c>
      <c r="K1106" s="82" t="str">
        <f t="shared" si="22"/>
        <v xml:space="preserve">El Parque-Molina-Carlos Gómez </v>
      </c>
    </row>
    <row r="1107" spans="2:11" x14ac:dyDescent="0.35">
      <c r="B1107" s="4" t="str">
        <f>+IF('Data Pura Costos'!B1107="","",'Data Pura Costos'!B1107)</f>
        <v>El Picaso</v>
      </c>
      <c r="C1107" s="4" t="str">
        <f>+IF('Data Pura Costos'!C1107="","",'Data Pura Costos'!C1107)</f>
        <v xml:space="preserve">San Clemente, VII región </v>
      </c>
      <c r="D1107" s="5">
        <f>+IF('Data Pura Costos'!D1107="","",'Data Pura Costos'!D1107)</f>
        <v>60</v>
      </c>
      <c r="E1107" s="65">
        <f>+IF('Data Pura Costos'!E1107="","",IF('Data Pura Costos'!E1107=0,MAX('Data Pura Costos'!$E$7:$E$3000)*1000,'Data Pura Costos'!E1107))</f>
        <v>380000</v>
      </c>
      <c r="F1107" s="5" t="str">
        <f>+IF('Data Pura Costos'!F1107="","",'Data Pura Costos'!F1107)</f>
        <v>Molina</v>
      </c>
      <c r="G1107" s="5" t="str">
        <f>+IF('Data Pura Costos'!G1107="","",'Data Pura Costos'!G1107)</f>
        <v xml:space="preserve">Carlos Gómez </v>
      </c>
      <c r="H1107" s="52" t="str">
        <f>+IF('Data Pura Costos'!H1107="","",'Data Pura Costos'!H1107)</f>
        <v>Termo</v>
      </c>
      <c r="I1107" s="71">
        <f>+IF('Data Pura Costos'!I1107="","",'Data Pura Costos'!I1107)</f>
        <v>6333.333333333333</v>
      </c>
      <c r="J1107" s="52" t="str">
        <f>+IF('Data Pura Costos'!J1107="","",'Data Pura Costos'!J1107)</f>
        <v>24-25</v>
      </c>
      <c r="K1107" s="82" t="str">
        <f t="shared" si="22"/>
        <v xml:space="preserve">El Picaso-Molina-Carlos Gómez </v>
      </c>
    </row>
    <row r="1108" spans="2:11" x14ac:dyDescent="0.35">
      <c r="B1108" s="4" t="str">
        <f>+IF('Data Pura Costos'!B1108="","",'Data Pura Costos'!B1108)</f>
        <v>El Recurso</v>
      </c>
      <c r="C1108" s="4" t="str">
        <f>+IF('Data Pura Costos'!C1108="","",'Data Pura Costos'!C1108)</f>
        <v>San Francisco de Mostazal.VI Region.</v>
      </c>
      <c r="D1108" s="5">
        <f>+IF('Data Pura Costos'!D1108="","",'Data Pura Costos'!D1108)</f>
        <v>144</v>
      </c>
      <c r="E1108" s="65">
        <f>+IF('Data Pura Costos'!E1108="","",IF('Data Pura Costos'!E1108=0,MAX('Data Pura Costos'!$E$7:$E$3000)*1000,'Data Pura Costos'!E1108))</f>
        <v>550000</v>
      </c>
      <c r="F1108" s="5" t="str">
        <f>+IF('Data Pura Costos'!F1108="","",'Data Pura Costos'!F1108)</f>
        <v>Molina</v>
      </c>
      <c r="G1108" s="5" t="str">
        <f>+IF('Data Pura Costos'!G1108="","",'Data Pura Costos'!G1108)</f>
        <v xml:space="preserve">Carlos Gómez </v>
      </c>
      <c r="H1108" s="52" t="str">
        <f>+IF('Data Pura Costos'!H1108="","",'Data Pura Costos'!H1108)</f>
        <v>Termo</v>
      </c>
      <c r="I1108" s="71">
        <f>+IF('Data Pura Costos'!I1108="","",'Data Pura Costos'!I1108)</f>
        <v>3819.4444444444443</v>
      </c>
      <c r="J1108" s="52" t="str">
        <f>+IF('Data Pura Costos'!J1108="","",'Data Pura Costos'!J1108)</f>
        <v>24-25</v>
      </c>
      <c r="K1108" s="82" t="str">
        <f t="shared" si="22"/>
        <v xml:space="preserve">El Recurso-Molina-Carlos Gómez </v>
      </c>
    </row>
    <row r="1109" spans="2:11" x14ac:dyDescent="0.35">
      <c r="B1109" s="4" t="str">
        <f>+IF('Data Pura Costos'!B1109="","",'Data Pura Costos'!B1109)</f>
        <v>El Rosario</v>
      </c>
      <c r="C1109" s="4" t="str">
        <f>+IF('Data Pura Costos'!C1109="","",'Data Pura Costos'!C1109)</f>
        <v>Linares, VII region.</v>
      </c>
      <c r="D1109" s="5">
        <f>+IF('Data Pura Costos'!D1109="","",'Data Pura Costos'!D1109)</f>
        <v>120</v>
      </c>
      <c r="E1109" s="65">
        <f>+IF('Data Pura Costos'!E1109="","",IF('Data Pura Costos'!E1109=0,MAX('Data Pura Costos'!$E$7:$E$3000)*1000,'Data Pura Costos'!E1109))</f>
        <v>520000</v>
      </c>
      <c r="F1109" s="5" t="str">
        <f>+IF('Data Pura Costos'!F1109="","",'Data Pura Costos'!F1109)</f>
        <v>Molina</v>
      </c>
      <c r="G1109" s="5" t="str">
        <f>+IF('Data Pura Costos'!G1109="","",'Data Pura Costos'!G1109)</f>
        <v xml:space="preserve">Carlos Gómez </v>
      </c>
      <c r="H1109" s="52" t="str">
        <f>+IF('Data Pura Costos'!H1109="","",'Data Pura Costos'!H1109)</f>
        <v>Termo</v>
      </c>
      <c r="I1109" s="71">
        <f>+IF('Data Pura Costos'!I1109="","",'Data Pura Costos'!I1109)</f>
        <v>4333.333333333333</v>
      </c>
      <c r="J1109" s="52" t="str">
        <f>+IF('Data Pura Costos'!J1109="","",'Data Pura Costos'!J1109)</f>
        <v>24-25</v>
      </c>
      <c r="K1109" s="82" t="str">
        <f t="shared" si="22"/>
        <v xml:space="preserve">El Rosario-Molina-Carlos Gómez </v>
      </c>
    </row>
    <row r="1110" spans="2:11" x14ac:dyDescent="0.35">
      <c r="B1110" s="4" t="str">
        <f>+IF('Data Pura Costos'!B1110="","",'Data Pura Costos'!B1110)</f>
        <v>El Retiro</v>
      </c>
      <c r="C1110" s="4" t="str">
        <f>+IF('Data Pura Costos'!C1110="","",'Data Pura Costos'!C1110)</f>
        <v>Rosario, VI Region.</v>
      </c>
      <c r="D1110" s="5">
        <f>+IF('Data Pura Costos'!D1110="","",'Data Pura Costos'!D1110)</f>
        <v>100</v>
      </c>
      <c r="E1110" s="65">
        <f>+IF('Data Pura Costos'!E1110="","",IF('Data Pura Costos'!E1110=0,MAX('Data Pura Costos'!$E$7:$E$3000)*1000,'Data Pura Costos'!E1110))</f>
        <v>440000</v>
      </c>
      <c r="F1110" s="5" t="str">
        <f>+IF('Data Pura Costos'!F1110="","",'Data Pura Costos'!F1110)</f>
        <v>Molina</v>
      </c>
      <c r="G1110" s="5" t="str">
        <f>+IF('Data Pura Costos'!G1110="","",'Data Pura Costos'!G1110)</f>
        <v xml:space="preserve">Carlos Gómez </v>
      </c>
      <c r="H1110" s="52" t="str">
        <f>+IF('Data Pura Costos'!H1110="","",'Data Pura Costos'!H1110)</f>
        <v>Termo</v>
      </c>
      <c r="I1110" s="71">
        <f>+IF('Data Pura Costos'!I1110="","",'Data Pura Costos'!I1110)</f>
        <v>4400</v>
      </c>
      <c r="J1110" s="52" t="str">
        <f>+IF('Data Pura Costos'!J1110="","",'Data Pura Costos'!J1110)</f>
        <v>24-25</v>
      </c>
      <c r="K1110" s="82" t="str">
        <f t="shared" si="22"/>
        <v xml:space="preserve">El Retiro-Molina-Carlos Gómez </v>
      </c>
    </row>
    <row r="1111" spans="2:11" x14ac:dyDescent="0.35">
      <c r="B1111" s="4" t="str">
        <f>+IF('Data Pura Costos'!B1111="","",'Data Pura Costos'!B1111)</f>
        <v>La Esperanza</v>
      </c>
      <c r="C1111" s="4" t="str">
        <f>+IF('Data Pura Costos'!C1111="","",'Data Pura Costos'!C1111)</f>
        <v>Peumo, VI región</v>
      </c>
      <c r="D1111" s="5">
        <f>+IF('Data Pura Costos'!D1111="","",'Data Pura Costos'!D1111)</f>
        <v>125</v>
      </c>
      <c r="E1111" s="65">
        <f>+IF('Data Pura Costos'!E1111="","",IF('Data Pura Costos'!E1111=0,MAX('Data Pura Costos'!$E$7:$E$3000)*1000,'Data Pura Costos'!E1111))</f>
        <v>520000</v>
      </c>
      <c r="F1111" s="5" t="str">
        <f>+IF('Data Pura Costos'!F1111="","",'Data Pura Costos'!F1111)</f>
        <v>Molina</v>
      </c>
      <c r="G1111" s="5" t="str">
        <f>+IF('Data Pura Costos'!G1111="","",'Data Pura Costos'!G1111)</f>
        <v xml:space="preserve">Carlos Gómez </v>
      </c>
      <c r="H1111" s="52" t="str">
        <f>+IF('Data Pura Costos'!H1111="","",'Data Pura Costos'!H1111)</f>
        <v>Termo</v>
      </c>
      <c r="I1111" s="71">
        <f>+IF('Data Pura Costos'!I1111="","",'Data Pura Costos'!I1111)</f>
        <v>4160</v>
      </c>
      <c r="J1111" s="52" t="str">
        <f>+IF('Data Pura Costos'!J1111="","",'Data Pura Costos'!J1111)</f>
        <v>24-25</v>
      </c>
      <c r="K1111" s="82" t="str">
        <f t="shared" si="22"/>
        <v xml:space="preserve">La Esperanza-Molina-Carlos Gómez </v>
      </c>
    </row>
    <row r="1112" spans="2:11" x14ac:dyDescent="0.35">
      <c r="B1112" s="4" t="str">
        <f>+IF('Data Pura Costos'!B1112="","",'Data Pura Costos'!B1112)</f>
        <v>La Estación</v>
      </c>
      <c r="C1112" s="4" t="str">
        <f>+IF('Data Pura Costos'!C1112="","",'Data Pura Costos'!C1112)</f>
        <v>Palmilla, VI región</v>
      </c>
      <c r="D1112" s="5">
        <f>+IF('Data Pura Costos'!D1112="","",'Data Pura Costos'!D1112)</f>
        <v>90</v>
      </c>
      <c r="E1112" s="65">
        <f>+IF('Data Pura Costos'!E1112="","",IF('Data Pura Costos'!E1112=0,MAX('Data Pura Costos'!$E$7:$E$3000)*1000,'Data Pura Costos'!E1112))</f>
        <v>420000</v>
      </c>
      <c r="F1112" s="5" t="str">
        <f>+IF('Data Pura Costos'!F1112="","",'Data Pura Costos'!F1112)</f>
        <v>Molina</v>
      </c>
      <c r="G1112" s="5" t="str">
        <f>+IF('Data Pura Costos'!G1112="","",'Data Pura Costos'!G1112)</f>
        <v xml:space="preserve">Carlos Gómez </v>
      </c>
      <c r="H1112" s="52" t="str">
        <f>+IF('Data Pura Costos'!H1112="","",'Data Pura Costos'!H1112)</f>
        <v>Termo</v>
      </c>
      <c r="I1112" s="71">
        <f>+IF('Data Pura Costos'!I1112="","",'Data Pura Costos'!I1112)</f>
        <v>4666.666666666667</v>
      </c>
      <c r="J1112" s="52" t="str">
        <f>+IF('Data Pura Costos'!J1112="","",'Data Pura Costos'!J1112)</f>
        <v>24-25</v>
      </c>
      <c r="K1112" s="82" t="str">
        <f t="shared" si="22"/>
        <v xml:space="preserve">La Estación-Molina-Carlos Gómez </v>
      </c>
    </row>
    <row r="1113" spans="2:11" x14ac:dyDescent="0.35">
      <c r="B1113" s="4" t="str">
        <f>+IF('Data Pura Costos'!B1113="","",'Data Pura Costos'!B1113)</f>
        <v>La Lajuela</v>
      </c>
      <c r="C1113" s="4" t="str">
        <f>+IF('Data Pura Costos'!C1113="","",'Data Pura Costos'!C1113)</f>
        <v>Santa Cruz, VI Región</v>
      </c>
      <c r="D1113" s="5">
        <f>+IF('Data Pura Costos'!D1113="","",'Data Pura Costos'!D1113)</f>
        <v>80</v>
      </c>
      <c r="E1113" s="65">
        <f>+IF('Data Pura Costos'!E1113="","",IF('Data Pura Costos'!E1113=0,MAX('Data Pura Costos'!$E$7:$E$3000)*1000,'Data Pura Costos'!E1113))</f>
        <v>420000</v>
      </c>
      <c r="F1113" s="5" t="str">
        <f>+IF('Data Pura Costos'!F1113="","",'Data Pura Costos'!F1113)</f>
        <v>Molina</v>
      </c>
      <c r="G1113" s="5" t="str">
        <f>+IF('Data Pura Costos'!G1113="","",'Data Pura Costos'!G1113)</f>
        <v xml:space="preserve">Carlos Gómez </v>
      </c>
      <c r="H1113" s="52" t="str">
        <f>+IF('Data Pura Costos'!H1113="","",'Data Pura Costos'!H1113)</f>
        <v>Termo</v>
      </c>
      <c r="I1113" s="71">
        <f>+IF('Data Pura Costos'!I1113="","",'Data Pura Costos'!I1113)</f>
        <v>5250</v>
      </c>
      <c r="J1113" s="52" t="str">
        <f>+IF('Data Pura Costos'!J1113="","",'Data Pura Costos'!J1113)</f>
        <v>24-25</v>
      </c>
      <c r="K1113" s="82" t="str">
        <f t="shared" si="22"/>
        <v xml:space="preserve">La Lajuela-Molina-Carlos Gómez </v>
      </c>
    </row>
    <row r="1114" spans="2:11" x14ac:dyDescent="0.35">
      <c r="B1114" s="4" t="str">
        <f>+IF('Data Pura Costos'!B1114="","",'Data Pura Costos'!B1114)</f>
        <v>La Morera</v>
      </c>
      <c r="C1114" s="4" t="str">
        <f>+IF('Data Pura Costos'!C1114="","",'Data Pura Costos'!C1114)</f>
        <v>La compañia, VI Region.</v>
      </c>
      <c r="D1114" s="5">
        <f>+IF('Data Pura Costos'!D1114="","",'Data Pura Costos'!D1114)</f>
        <v>130</v>
      </c>
      <c r="E1114" s="65">
        <f>+IF('Data Pura Costos'!E1114="","",IF('Data Pura Costos'!E1114=0,MAX('Data Pura Costos'!$E$7:$E$3000)*1000,'Data Pura Costos'!E1114))</f>
        <v>550000</v>
      </c>
      <c r="F1114" s="5" t="str">
        <f>+IF('Data Pura Costos'!F1114="","",'Data Pura Costos'!F1114)</f>
        <v>Molina</v>
      </c>
      <c r="G1114" s="5" t="str">
        <f>+IF('Data Pura Costos'!G1114="","",'Data Pura Costos'!G1114)</f>
        <v xml:space="preserve">Carlos Gómez </v>
      </c>
      <c r="H1114" s="52" t="str">
        <f>+IF('Data Pura Costos'!H1114="","",'Data Pura Costos'!H1114)</f>
        <v>Termo</v>
      </c>
      <c r="I1114" s="71">
        <f>+IF('Data Pura Costos'!I1114="","",'Data Pura Costos'!I1114)</f>
        <v>4230.7692307692305</v>
      </c>
      <c r="J1114" s="52" t="str">
        <f>+IF('Data Pura Costos'!J1114="","",'Data Pura Costos'!J1114)</f>
        <v>24-25</v>
      </c>
      <c r="K1114" s="82" t="str">
        <f t="shared" si="22"/>
        <v xml:space="preserve">La Morera-Molina-Carlos Gómez </v>
      </c>
    </row>
    <row r="1115" spans="2:11" x14ac:dyDescent="0.35">
      <c r="B1115" s="4" t="str">
        <f>+IF('Data Pura Costos'!B1115="","",'Data Pura Costos'!B1115)</f>
        <v>La Rinconada</v>
      </c>
      <c r="C1115" s="4" t="str">
        <f>+IF('Data Pura Costos'!C1115="","",'Data Pura Costos'!C1115)</f>
        <v>Pichidegua, VI región</v>
      </c>
      <c r="D1115" s="5">
        <f>+IF('Data Pura Costos'!D1115="","",'Data Pura Costos'!D1115)</f>
        <v>133</v>
      </c>
      <c r="E1115" s="65">
        <f>+IF('Data Pura Costos'!E1115="","",IF('Data Pura Costos'!E1115=0,MAX('Data Pura Costos'!$E$7:$E$3000)*1000,'Data Pura Costos'!E1115))</f>
        <v>550000</v>
      </c>
      <c r="F1115" s="5" t="str">
        <f>+IF('Data Pura Costos'!F1115="","",'Data Pura Costos'!F1115)</f>
        <v>Molina</v>
      </c>
      <c r="G1115" s="5" t="str">
        <f>+IF('Data Pura Costos'!G1115="","",'Data Pura Costos'!G1115)</f>
        <v xml:space="preserve">Carlos Gómez </v>
      </c>
      <c r="H1115" s="52" t="str">
        <f>+IF('Data Pura Costos'!H1115="","",'Data Pura Costos'!H1115)</f>
        <v>Termo</v>
      </c>
      <c r="I1115" s="71">
        <f>+IF('Data Pura Costos'!I1115="","",'Data Pura Costos'!I1115)</f>
        <v>4135.3383458646613</v>
      </c>
      <c r="J1115" s="52" t="str">
        <f>+IF('Data Pura Costos'!J1115="","",'Data Pura Costos'!J1115)</f>
        <v>24-25</v>
      </c>
      <c r="K1115" s="82" t="str">
        <f t="shared" si="22"/>
        <v xml:space="preserve">La Rinconada-Molina-Carlos Gómez </v>
      </c>
    </row>
    <row r="1116" spans="2:11" x14ac:dyDescent="0.35">
      <c r="B1116" s="4" t="str">
        <f>+IF('Data Pura Costos'!B1116="","",'Data Pura Costos'!B1116)</f>
        <v xml:space="preserve">La Roblería </v>
      </c>
      <c r="C1116" s="4" t="str">
        <f>+IF('Data Pura Costos'!C1116="","",'Data Pura Costos'!C1116)</f>
        <v>Aculeo, RM</v>
      </c>
      <c r="D1116" s="5">
        <f>+IF('Data Pura Costos'!D1116="","",'Data Pura Costos'!D1116)</f>
        <v>180</v>
      </c>
      <c r="E1116" s="65">
        <f>+IF('Data Pura Costos'!E1116="","",IF('Data Pura Costos'!E1116=0,MAX('Data Pura Costos'!$E$7:$E$3000)*1000,'Data Pura Costos'!E1116))</f>
        <v>620000</v>
      </c>
      <c r="F1116" s="5" t="str">
        <f>+IF('Data Pura Costos'!F1116="","",'Data Pura Costos'!F1116)</f>
        <v>Molina</v>
      </c>
      <c r="G1116" s="5" t="str">
        <f>+IF('Data Pura Costos'!G1116="","",'Data Pura Costos'!G1116)</f>
        <v xml:space="preserve">Carlos Gómez </v>
      </c>
      <c r="H1116" s="52" t="str">
        <f>+IF('Data Pura Costos'!H1116="","",'Data Pura Costos'!H1116)</f>
        <v>Termo</v>
      </c>
      <c r="I1116" s="71">
        <f>+IF('Data Pura Costos'!I1116="","",'Data Pura Costos'!I1116)</f>
        <v>3444.4444444444443</v>
      </c>
      <c r="J1116" s="52" t="str">
        <f>+IF('Data Pura Costos'!J1116="","",'Data Pura Costos'!J1116)</f>
        <v>24-25</v>
      </c>
      <c r="K1116" s="82" t="str">
        <f t="shared" si="22"/>
        <v xml:space="preserve">La Roblería -Molina-Carlos Gómez </v>
      </c>
    </row>
    <row r="1117" spans="2:11" x14ac:dyDescent="0.35">
      <c r="B1117" s="4" t="str">
        <f>+IF('Data Pura Costos'!B1117="","",'Data Pura Costos'!B1117)</f>
        <v>Las Cabras</v>
      </c>
      <c r="C1117" s="4" t="str">
        <f>+IF('Data Pura Costos'!C1117="","",'Data Pura Costos'!C1117)</f>
        <v>Las Cabras, VI región</v>
      </c>
      <c r="D1117" s="5">
        <f>+IF('Data Pura Costos'!D1117="","",'Data Pura Costos'!D1117)</f>
        <v>140</v>
      </c>
      <c r="E1117" s="65">
        <f>+IF('Data Pura Costos'!E1117="","",IF('Data Pura Costos'!E1117=0,MAX('Data Pura Costos'!$E$7:$E$3000)*1000,'Data Pura Costos'!E1117))</f>
        <v>570000</v>
      </c>
      <c r="F1117" s="5" t="str">
        <f>+IF('Data Pura Costos'!F1117="","",'Data Pura Costos'!F1117)</f>
        <v>Molina</v>
      </c>
      <c r="G1117" s="5" t="str">
        <f>+IF('Data Pura Costos'!G1117="","",'Data Pura Costos'!G1117)</f>
        <v xml:space="preserve">Carlos Gómez </v>
      </c>
      <c r="H1117" s="52" t="str">
        <f>+IF('Data Pura Costos'!H1117="","",'Data Pura Costos'!H1117)</f>
        <v>Termo</v>
      </c>
      <c r="I1117" s="71">
        <f>+IF('Data Pura Costos'!I1117="","",'Data Pura Costos'!I1117)</f>
        <v>4071.4285714285716</v>
      </c>
      <c r="J1117" s="52" t="str">
        <f>+IF('Data Pura Costos'!J1117="","",'Data Pura Costos'!J1117)</f>
        <v>24-25</v>
      </c>
      <c r="K1117" s="82" t="str">
        <f t="shared" si="22"/>
        <v xml:space="preserve">Las Cabras-Molina-Carlos Gómez </v>
      </c>
    </row>
    <row r="1118" spans="2:11" x14ac:dyDescent="0.35">
      <c r="B1118" s="4" t="str">
        <f>+IF('Data Pura Costos'!B1118="","",'Data Pura Costos'!B1118)</f>
        <v>Las Vertientes</v>
      </c>
      <c r="C1118" s="4" t="str">
        <f>+IF('Data Pura Costos'!C1118="","",'Data Pura Costos'!C1118)</f>
        <v>Pichidegua, VI región</v>
      </c>
      <c r="D1118" s="5">
        <f>+IF('Data Pura Costos'!D1118="","",'Data Pura Costos'!D1118)</f>
        <v>130</v>
      </c>
      <c r="E1118" s="65">
        <f>+IF('Data Pura Costos'!E1118="","",IF('Data Pura Costos'!E1118=0,MAX('Data Pura Costos'!$E$7:$E$3000)*1000,'Data Pura Costos'!E1118))</f>
        <v>550000</v>
      </c>
      <c r="F1118" s="5" t="str">
        <f>+IF('Data Pura Costos'!F1118="","",'Data Pura Costos'!F1118)</f>
        <v>Molina</v>
      </c>
      <c r="G1118" s="5" t="str">
        <f>+IF('Data Pura Costos'!G1118="","",'Data Pura Costos'!G1118)</f>
        <v xml:space="preserve">Carlos Gómez </v>
      </c>
      <c r="H1118" s="52" t="str">
        <f>+IF('Data Pura Costos'!H1118="","",'Data Pura Costos'!H1118)</f>
        <v>Termo</v>
      </c>
      <c r="I1118" s="71">
        <f>+IF('Data Pura Costos'!I1118="","",'Data Pura Costos'!I1118)</f>
        <v>4230.7692307692305</v>
      </c>
      <c r="J1118" s="52" t="str">
        <f>+IF('Data Pura Costos'!J1118="","",'Data Pura Costos'!J1118)</f>
        <v>24-25</v>
      </c>
      <c r="K1118" s="82" t="str">
        <f t="shared" si="22"/>
        <v xml:space="preserve">Las Vertientes-Molina-Carlos Gómez </v>
      </c>
    </row>
    <row r="1119" spans="2:11" x14ac:dyDescent="0.35">
      <c r="B1119" s="4" t="str">
        <f>+IF('Data Pura Costos'!B1119="","",'Data Pura Costos'!B1119)</f>
        <v>Lihueimo</v>
      </c>
      <c r="C1119" s="4" t="str">
        <f>+IF('Data Pura Costos'!C1119="","",'Data Pura Costos'!C1119)</f>
        <v>Peralillo ohiggins</v>
      </c>
      <c r="D1119" s="5">
        <f>+IF('Data Pura Costos'!D1119="","",'Data Pura Costos'!D1119)</f>
        <v>90</v>
      </c>
      <c r="E1119" s="65">
        <f>+IF('Data Pura Costos'!E1119="","",IF('Data Pura Costos'!E1119=0,MAX('Data Pura Costos'!$E$7:$E$3000)*1000,'Data Pura Costos'!E1119))</f>
        <v>440000</v>
      </c>
      <c r="F1119" s="5" t="str">
        <f>+IF('Data Pura Costos'!F1119="","",'Data Pura Costos'!F1119)</f>
        <v>Molina</v>
      </c>
      <c r="G1119" s="5" t="str">
        <f>+IF('Data Pura Costos'!G1119="","",'Data Pura Costos'!G1119)</f>
        <v xml:space="preserve">Carlos Gómez </v>
      </c>
      <c r="H1119" s="52" t="str">
        <f>+IF('Data Pura Costos'!H1119="","",'Data Pura Costos'!H1119)</f>
        <v>Termo</v>
      </c>
      <c r="I1119" s="71">
        <f>+IF('Data Pura Costos'!I1119="","",'Data Pura Costos'!I1119)</f>
        <v>4888.8888888888887</v>
      </c>
      <c r="J1119" s="52" t="str">
        <f>+IF('Data Pura Costos'!J1119="","",'Data Pura Costos'!J1119)</f>
        <v>24-25</v>
      </c>
      <c r="K1119" s="82" t="str">
        <f t="shared" si="22"/>
        <v xml:space="preserve">Lihueimo-Molina-Carlos Gómez </v>
      </c>
    </row>
    <row r="1120" spans="2:11" x14ac:dyDescent="0.35">
      <c r="B1120" s="4" t="str">
        <f>+IF('Data Pura Costos'!B1120="","",'Data Pura Costos'!B1120)</f>
        <v>Los Encinos</v>
      </c>
      <c r="C1120" s="4" t="str">
        <f>+IF('Data Pura Costos'!C1120="","",'Data Pura Costos'!C1120)</f>
        <v>Huechun, RM</v>
      </c>
      <c r="D1120" s="5">
        <f>+IF('Data Pura Costos'!D1120="","",'Data Pura Costos'!D1120)</f>
        <v>230</v>
      </c>
      <c r="E1120" s="65">
        <f>+IF('Data Pura Costos'!E1120="","",IF('Data Pura Costos'!E1120=0,MAX('Data Pura Costos'!$E$7:$E$3000)*1000,'Data Pura Costos'!E1120))</f>
        <v>700000</v>
      </c>
      <c r="F1120" s="5" t="str">
        <f>+IF('Data Pura Costos'!F1120="","",'Data Pura Costos'!F1120)</f>
        <v>Molina</v>
      </c>
      <c r="G1120" s="5" t="str">
        <f>+IF('Data Pura Costos'!G1120="","",'Data Pura Costos'!G1120)</f>
        <v xml:space="preserve">Carlos Gómez </v>
      </c>
      <c r="H1120" s="52" t="str">
        <f>+IF('Data Pura Costos'!H1120="","",'Data Pura Costos'!H1120)</f>
        <v>Termo</v>
      </c>
      <c r="I1120" s="71">
        <f>+IF('Data Pura Costos'!I1120="","",'Data Pura Costos'!I1120)</f>
        <v>3043.478260869565</v>
      </c>
      <c r="J1120" s="52" t="str">
        <f>+IF('Data Pura Costos'!J1120="","",'Data Pura Costos'!J1120)</f>
        <v>24-25</v>
      </c>
      <c r="K1120" s="82" t="str">
        <f t="shared" si="22"/>
        <v xml:space="preserve">Los Encinos-Molina-Carlos Gómez </v>
      </c>
    </row>
    <row r="1121" spans="2:11" x14ac:dyDescent="0.35">
      <c r="B1121" s="4" t="str">
        <f>+IF('Data Pura Costos'!B1121="","",'Data Pura Costos'!B1121)</f>
        <v>Los Maitenes</v>
      </c>
      <c r="C1121" s="4" t="str">
        <f>+IF('Data Pura Costos'!C1121="","",'Data Pura Costos'!C1121)</f>
        <v>Las Cabras, VI región</v>
      </c>
      <c r="D1121" s="5">
        <f>+IF('Data Pura Costos'!D1121="","",'Data Pura Costos'!D1121)</f>
        <v>144</v>
      </c>
      <c r="E1121" s="65">
        <f>+IF('Data Pura Costos'!E1121="","",IF('Data Pura Costos'!E1121=0,MAX('Data Pura Costos'!$E$7:$E$3000)*1000,'Data Pura Costos'!E1121))</f>
        <v>570000</v>
      </c>
      <c r="F1121" s="5" t="str">
        <f>+IF('Data Pura Costos'!F1121="","",'Data Pura Costos'!F1121)</f>
        <v>Molina</v>
      </c>
      <c r="G1121" s="5" t="str">
        <f>+IF('Data Pura Costos'!G1121="","",'Data Pura Costos'!G1121)</f>
        <v xml:space="preserve">Carlos Gómez </v>
      </c>
      <c r="H1121" s="52" t="str">
        <f>+IF('Data Pura Costos'!H1121="","",'Data Pura Costos'!H1121)</f>
        <v>Termo</v>
      </c>
      <c r="I1121" s="71">
        <f>+IF('Data Pura Costos'!I1121="","",'Data Pura Costos'!I1121)</f>
        <v>3958.3333333333335</v>
      </c>
      <c r="J1121" s="52" t="str">
        <f>+IF('Data Pura Costos'!J1121="","",'Data Pura Costos'!J1121)</f>
        <v>24-25</v>
      </c>
      <c r="K1121" s="82" t="str">
        <f t="shared" si="22"/>
        <v xml:space="preserve">Los Maitenes-Molina-Carlos Gómez </v>
      </c>
    </row>
    <row r="1122" spans="2:11" x14ac:dyDescent="0.35">
      <c r="B1122" s="4" t="str">
        <f>+IF('Data Pura Costos'!B1122="","",'Data Pura Costos'!B1122)</f>
        <v>Los Toldos</v>
      </c>
      <c r="C1122" s="4" t="str">
        <f>+IF('Data Pura Costos'!C1122="","",'Data Pura Costos'!C1122)</f>
        <v>Angol, IX región</v>
      </c>
      <c r="D1122" s="5">
        <f>+IF('Data Pura Costos'!D1122="","",'Data Pura Costos'!D1122)</f>
        <v>408</v>
      </c>
      <c r="E1122" s="65">
        <f>+IF('Data Pura Costos'!E1122="","",IF('Data Pura Costos'!E1122=0,MAX('Data Pura Costos'!$E$7:$E$3000)*1000,'Data Pura Costos'!E1122))</f>
        <v>1200000</v>
      </c>
      <c r="F1122" s="5" t="str">
        <f>+IF('Data Pura Costos'!F1122="","",'Data Pura Costos'!F1122)</f>
        <v>Molina</v>
      </c>
      <c r="G1122" s="5" t="str">
        <f>+IF('Data Pura Costos'!G1122="","",'Data Pura Costos'!G1122)</f>
        <v xml:space="preserve">Carlos Gómez </v>
      </c>
      <c r="H1122" s="52" t="str">
        <f>+IF('Data Pura Costos'!H1122="","",'Data Pura Costos'!H1122)</f>
        <v>Termo</v>
      </c>
      <c r="I1122" s="71">
        <f>+IF('Data Pura Costos'!I1122="","",'Data Pura Costos'!I1122)</f>
        <v>2941.1764705882351</v>
      </c>
      <c r="J1122" s="52" t="str">
        <f>+IF('Data Pura Costos'!J1122="","",'Data Pura Costos'!J1122)</f>
        <v>24-25</v>
      </c>
      <c r="K1122" s="82" t="str">
        <f t="shared" si="22"/>
        <v xml:space="preserve">Los Toldos-Molina-Carlos Gómez </v>
      </c>
    </row>
    <row r="1123" spans="2:11" x14ac:dyDescent="0.35">
      <c r="B1123" s="4" t="str">
        <f>+IF('Data Pura Costos'!B1123="","",'Data Pura Costos'!B1123)</f>
        <v>Mallorca</v>
      </c>
      <c r="C1123" s="4" t="str">
        <f>+IF('Data Pura Costos'!C1123="","",'Data Pura Costos'!C1123)</f>
        <v xml:space="preserve">Molina, VII región </v>
      </c>
      <c r="D1123" s="5">
        <f>+IF('Data Pura Costos'!D1123="","",'Data Pura Costos'!D1123)</f>
        <v>1</v>
      </c>
      <c r="E1123" s="65">
        <f>+IF('Data Pura Costos'!E1123="","",IF('Data Pura Costos'!E1123=0,MAX('Data Pura Costos'!$E$7:$E$3000)*1000,'Data Pura Costos'!E1123))</f>
        <v>250000</v>
      </c>
      <c r="F1123" s="5" t="str">
        <f>+IF('Data Pura Costos'!F1123="","",'Data Pura Costos'!F1123)</f>
        <v>Molina</v>
      </c>
      <c r="G1123" s="5" t="str">
        <f>+IF('Data Pura Costos'!G1123="","",'Data Pura Costos'!G1123)</f>
        <v xml:space="preserve">Carlos Gómez </v>
      </c>
      <c r="H1123" s="52" t="str">
        <f>+IF('Data Pura Costos'!H1123="","",'Data Pura Costos'!H1123)</f>
        <v>Termo</v>
      </c>
      <c r="I1123" s="71">
        <f>+IF('Data Pura Costos'!I1123="","",'Data Pura Costos'!I1123)</f>
        <v>250000</v>
      </c>
      <c r="J1123" s="52" t="str">
        <f>+IF('Data Pura Costos'!J1123="","",'Data Pura Costos'!J1123)</f>
        <v>24-25</v>
      </c>
      <c r="K1123" s="82" t="str">
        <f t="shared" si="22"/>
        <v xml:space="preserve">Mallorca-Molina-Carlos Gómez </v>
      </c>
    </row>
    <row r="1124" spans="2:11" x14ac:dyDescent="0.35">
      <c r="B1124" s="4" t="str">
        <f>+IF('Data Pura Costos'!B1124="","",'Data Pura Costos'!B1124)</f>
        <v>Panquehue</v>
      </c>
      <c r="C1124" s="4" t="str">
        <f>+IF('Data Pura Costos'!C1124="","",'Data Pura Costos'!C1124)</f>
        <v>Panquehue, V región</v>
      </c>
      <c r="D1124" s="5">
        <f>+IF('Data Pura Costos'!D1124="","",'Data Pura Costos'!D1124)</f>
        <v>310</v>
      </c>
      <c r="E1124" s="65">
        <f>+IF('Data Pura Costos'!E1124="","",IF('Data Pura Costos'!E1124=0,MAX('Data Pura Costos'!$E$7:$E$3000)*1000,'Data Pura Costos'!E1124))</f>
        <v>850000</v>
      </c>
      <c r="F1124" s="5" t="str">
        <f>+IF('Data Pura Costos'!F1124="","",'Data Pura Costos'!F1124)</f>
        <v>Molina</v>
      </c>
      <c r="G1124" s="5" t="str">
        <f>+IF('Data Pura Costos'!G1124="","",'Data Pura Costos'!G1124)</f>
        <v xml:space="preserve">Carlos Gómez </v>
      </c>
      <c r="H1124" s="52" t="str">
        <f>+IF('Data Pura Costos'!H1124="","",'Data Pura Costos'!H1124)</f>
        <v>Termo</v>
      </c>
      <c r="I1124" s="71">
        <f>+IF('Data Pura Costos'!I1124="","",'Data Pura Costos'!I1124)</f>
        <v>2741.9354838709678</v>
      </c>
      <c r="J1124" s="52" t="str">
        <f>+IF('Data Pura Costos'!J1124="","",'Data Pura Costos'!J1124)</f>
        <v>24-25</v>
      </c>
      <c r="K1124" s="82" t="str">
        <f t="shared" si="22"/>
        <v xml:space="preserve">Panquehue-Molina-Carlos Gómez </v>
      </c>
    </row>
    <row r="1125" spans="2:11" x14ac:dyDescent="0.35">
      <c r="B1125" s="4" t="str">
        <f>+IF('Data Pura Costos'!B1125="","",'Data Pura Costos'!B1125)</f>
        <v>Entre Rios/Puente Negro/Rio Claro</v>
      </c>
      <c r="C1125" s="4" t="str">
        <f>+IF('Data Pura Costos'!C1125="","",'Data Pura Costos'!C1125)</f>
        <v>Puente negro, san fernando.VI Region.</v>
      </c>
      <c r="D1125" s="5">
        <f>+IF('Data Pura Costos'!D1125="","",'Data Pura Costos'!D1125)</f>
        <v>95</v>
      </c>
      <c r="E1125" s="65">
        <f>+IF('Data Pura Costos'!E1125="","",IF('Data Pura Costos'!E1125=0,MAX('Data Pura Costos'!$E$7:$E$3000)*1000,'Data Pura Costos'!E1125))</f>
        <v>420000</v>
      </c>
      <c r="F1125" s="5" t="str">
        <f>+IF('Data Pura Costos'!F1125="","",'Data Pura Costos'!F1125)</f>
        <v>Molina</v>
      </c>
      <c r="G1125" s="5" t="str">
        <f>+IF('Data Pura Costos'!G1125="","",'Data Pura Costos'!G1125)</f>
        <v xml:space="preserve">Carlos Gómez </v>
      </c>
      <c r="H1125" s="52" t="str">
        <f>+IF('Data Pura Costos'!H1125="","",'Data Pura Costos'!H1125)</f>
        <v>Termo</v>
      </c>
      <c r="I1125" s="71">
        <f>+IF('Data Pura Costos'!I1125="","",'Data Pura Costos'!I1125)</f>
        <v>4421.0526315789475</v>
      </c>
      <c r="J1125" s="52" t="str">
        <f>+IF('Data Pura Costos'!J1125="","",'Data Pura Costos'!J1125)</f>
        <v>24-25</v>
      </c>
      <c r="K1125" s="82" t="str">
        <f t="shared" si="22"/>
        <v xml:space="preserve">Entre Rios/Puente Negro/Rio Claro-Molina-Carlos Gómez </v>
      </c>
    </row>
    <row r="1126" spans="2:11" x14ac:dyDescent="0.35">
      <c r="B1126" s="4" t="str">
        <f>+IF('Data Pura Costos'!B1126="","",'Data Pura Costos'!B1126)</f>
        <v>Retorno</v>
      </c>
      <c r="C1126" s="4" t="str">
        <f>+IF('Data Pura Costos'!C1126="","",'Data Pura Costos'!C1126)</f>
        <v>Santa maria, V región</v>
      </c>
      <c r="D1126" s="5">
        <f>+IF('Data Pura Costos'!D1126="","",'Data Pura Costos'!D1126)</f>
        <v>305</v>
      </c>
      <c r="E1126" s="65">
        <f>+IF('Data Pura Costos'!E1126="","",IF('Data Pura Costos'!E1126=0,MAX('Data Pura Costos'!$E$7:$E$3000)*1000,'Data Pura Costos'!E1126))</f>
        <v>850000</v>
      </c>
      <c r="F1126" s="5" t="str">
        <f>+IF('Data Pura Costos'!F1126="","",'Data Pura Costos'!F1126)</f>
        <v>Molina</v>
      </c>
      <c r="G1126" s="5" t="str">
        <f>+IF('Data Pura Costos'!G1126="","",'Data Pura Costos'!G1126)</f>
        <v xml:space="preserve">Carlos Gómez </v>
      </c>
      <c r="H1126" s="52" t="str">
        <f>+IF('Data Pura Costos'!H1126="","",'Data Pura Costos'!H1126)</f>
        <v>Termo</v>
      </c>
      <c r="I1126" s="71">
        <f>+IF('Data Pura Costos'!I1126="","",'Data Pura Costos'!I1126)</f>
        <v>2786.8852459016393</v>
      </c>
      <c r="J1126" s="52" t="str">
        <f>+IF('Data Pura Costos'!J1126="","",'Data Pura Costos'!J1126)</f>
        <v>24-25</v>
      </c>
      <c r="K1126" s="82" t="str">
        <f t="shared" si="22"/>
        <v xml:space="preserve">Retorno-Molina-Carlos Gómez </v>
      </c>
    </row>
    <row r="1127" spans="2:11" x14ac:dyDescent="0.35">
      <c r="B1127" s="4" t="str">
        <f>+IF('Data Pura Costos'!B1127="","",'Data Pura Costos'!B1127)</f>
        <v>San Hernán</v>
      </c>
      <c r="C1127" s="4" t="str">
        <f>+IF('Data Pura Costos'!C1127="","",'Data Pura Costos'!C1127)</f>
        <v>Graneros, VI región</v>
      </c>
      <c r="D1127" s="5">
        <f>+IF('Data Pura Costos'!D1127="","",'Data Pura Costos'!D1127)</f>
        <v>140</v>
      </c>
      <c r="E1127" s="65">
        <f>+IF('Data Pura Costos'!E1127="","",IF('Data Pura Costos'!E1127=0,MAX('Data Pura Costos'!$E$7:$E$3000)*1000,'Data Pura Costos'!E1127))</f>
        <v>570000</v>
      </c>
      <c r="F1127" s="5" t="str">
        <f>+IF('Data Pura Costos'!F1127="","",'Data Pura Costos'!F1127)</f>
        <v>Molina</v>
      </c>
      <c r="G1127" s="5" t="str">
        <f>+IF('Data Pura Costos'!G1127="","",'Data Pura Costos'!G1127)</f>
        <v xml:space="preserve">Carlos Gómez </v>
      </c>
      <c r="H1127" s="52" t="str">
        <f>+IF('Data Pura Costos'!H1127="","",'Data Pura Costos'!H1127)</f>
        <v>Termo</v>
      </c>
      <c r="I1127" s="71">
        <f>+IF('Data Pura Costos'!I1127="","",'Data Pura Costos'!I1127)</f>
        <v>4071.4285714285716</v>
      </c>
      <c r="J1127" s="52" t="str">
        <f>+IF('Data Pura Costos'!J1127="","",'Data Pura Costos'!J1127)</f>
        <v>24-25</v>
      </c>
      <c r="K1127" s="82" t="str">
        <f t="shared" si="22"/>
        <v xml:space="preserve">San Hernán-Molina-Carlos Gómez </v>
      </c>
    </row>
    <row r="1128" spans="2:11" x14ac:dyDescent="0.35">
      <c r="B1128" s="4" t="str">
        <f>+IF('Data Pura Costos'!B1128="","",'Data Pura Costos'!B1128)</f>
        <v>Santa Margarita</v>
      </c>
      <c r="C1128" s="4" t="str">
        <f>+IF('Data Pura Costos'!C1128="","",'Data Pura Costos'!C1128)</f>
        <v xml:space="preserve">La punta, Mostazal VI región </v>
      </c>
      <c r="D1128" s="5">
        <f>+IF('Data Pura Costos'!D1128="","",'Data Pura Costos'!D1128)</f>
        <v>150</v>
      </c>
      <c r="E1128" s="65">
        <f>+IF('Data Pura Costos'!E1128="","",IF('Data Pura Costos'!E1128=0,MAX('Data Pura Costos'!$E$7:$E$3000)*1000,'Data Pura Costos'!E1128))</f>
        <v>580000</v>
      </c>
      <c r="F1128" s="5" t="str">
        <f>+IF('Data Pura Costos'!F1128="","",'Data Pura Costos'!F1128)</f>
        <v>Molina</v>
      </c>
      <c r="G1128" s="5" t="str">
        <f>+IF('Data Pura Costos'!G1128="","",'Data Pura Costos'!G1128)</f>
        <v xml:space="preserve">Carlos Gómez </v>
      </c>
      <c r="H1128" s="52" t="str">
        <f>+IF('Data Pura Costos'!H1128="","",'Data Pura Costos'!H1128)</f>
        <v>Termo</v>
      </c>
      <c r="I1128" s="71">
        <f>+IF('Data Pura Costos'!I1128="","",'Data Pura Costos'!I1128)</f>
        <v>3866.6666666666665</v>
      </c>
      <c r="J1128" s="52" t="str">
        <f>+IF('Data Pura Costos'!J1128="","",'Data Pura Costos'!J1128)</f>
        <v>24-25</v>
      </c>
      <c r="K1128" s="82" t="str">
        <f t="shared" si="22"/>
        <v xml:space="preserve">Santa Margarita-Molina-Carlos Gómez </v>
      </c>
    </row>
    <row r="1129" spans="2:11" x14ac:dyDescent="0.35">
      <c r="B1129" s="4" t="str">
        <f>+IF('Data Pura Costos'!B1129="","",'Data Pura Costos'!B1129)</f>
        <v>Santa Mónica</v>
      </c>
      <c r="C1129" s="4" t="str">
        <f>+IF('Data Pura Costos'!C1129="","",'Data Pura Costos'!C1129)</f>
        <v xml:space="preserve">Rancagua, sector Chancón, VI región </v>
      </c>
      <c r="D1129" s="5">
        <f>+IF('Data Pura Costos'!D1129="","",'Data Pura Costos'!D1129)</f>
        <v>130</v>
      </c>
      <c r="E1129" s="65">
        <f>+IF('Data Pura Costos'!E1129="","",IF('Data Pura Costos'!E1129=0,MAX('Data Pura Costos'!$E$7:$E$3000)*1000,'Data Pura Costos'!E1129))</f>
        <v>530000</v>
      </c>
      <c r="F1129" s="5" t="str">
        <f>+IF('Data Pura Costos'!F1129="","",'Data Pura Costos'!F1129)</f>
        <v>Molina</v>
      </c>
      <c r="G1129" s="5" t="str">
        <f>+IF('Data Pura Costos'!G1129="","",'Data Pura Costos'!G1129)</f>
        <v xml:space="preserve">Carlos Gómez </v>
      </c>
      <c r="H1129" s="52" t="str">
        <f>+IF('Data Pura Costos'!H1129="","",'Data Pura Costos'!H1129)</f>
        <v>Termo</v>
      </c>
      <c r="I1129" s="71">
        <f>+IF('Data Pura Costos'!I1129="","",'Data Pura Costos'!I1129)</f>
        <v>4076.9230769230771</v>
      </c>
      <c r="J1129" s="52" t="str">
        <f>+IF('Data Pura Costos'!J1129="","",'Data Pura Costos'!J1129)</f>
        <v>24-25</v>
      </c>
      <c r="K1129" s="82" t="str">
        <f t="shared" si="22"/>
        <v xml:space="preserve">Santa Mónica-Molina-Carlos Gómez </v>
      </c>
    </row>
    <row r="1130" spans="2:11" x14ac:dyDescent="0.35">
      <c r="B1130" s="4" t="str">
        <f>+IF('Data Pura Costos'!B1130="","",'Data Pura Costos'!B1130)</f>
        <v>Talhuén</v>
      </c>
      <c r="C1130" s="4" t="str">
        <f>+IF('Data Pura Costos'!C1130="","",'Data Pura Costos'!C1130)</f>
        <v>Palmilla, VI región</v>
      </c>
      <c r="D1130" s="5">
        <f>+IF('Data Pura Costos'!D1130="","",'Data Pura Costos'!D1130)</f>
        <v>95</v>
      </c>
      <c r="E1130" s="65">
        <f>+IF('Data Pura Costos'!E1130="","",IF('Data Pura Costos'!E1130=0,MAX('Data Pura Costos'!$E$7:$E$3000)*1000,'Data Pura Costos'!E1130))</f>
        <v>430000</v>
      </c>
      <c r="F1130" s="5" t="str">
        <f>+IF('Data Pura Costos'!F1130="","",'Data Pura Costos'!F1130)</f>
        <v>Molina</v>
      </c>
      <c r="G1130" s="5" t="str">
        <f>+IF('Data Pura Costos'!G1130="","",'Data Pura Costos'!G1130)</f>
        <v xml:space="preserve">Carlos Gómez </v>
      </c>
      <c r="H1130" s="52" t="str">
        <f>+IF('Data Pura Costos'!H1130="","",'Data Pura Costos'!H1130)</f>
        <v>Termo</v>
      </c>
      <c r="I1130" s="71">
        <f>+IF('Data Pura Costos'!I1130="","",'Data Pura Costos'!I1130)</f>
        <v>4526.3157894736842</v>
      </c>
      <c r="J1130" s="52" t="str">
        <f>+IF('Data Pura Costos'!J1130="","",'Data Pura Costos'!J1130)</f>
        <v>24-25</v>
      </c>
      <c r="K1130" s="82" t="str">
        <f t="shared" si="22"/>
        <v xml:space="preserve">Talhuén-Molina-Carlos Gómez </v>
      </c>
    </row>
    <row r="1131" spans="2:11" x14ac:dyDescent="0.35">
      <c r="B1131" s="4" t="str">
        <f>+IF('Data Pura Costos'!B1131="","",'Data Pura Costos'!B1131)</f>
        <v>Villaseca</v>
      </c>
      <c r="C1131" s="4" t="str">
        <f>+IF('Data Pura Costos'!C1131="","",'Data Pura Costos'!C1131)</f>
        <v>Retiro, VII reginón</v>
      </c>
      <c r="D1131" s="5" t="str">
        <f>+IF('Data Pura Costos'!D1131="","",'Data Pura Costos'!D1131)</f>
        <v/>
      </c>
      <c r="E1131" s="65">
        <f>+IF('Data Pura Costos'!E1131="","",IF('Data Pura Costos'!E1131=0,MAX('Data Pura Costos'!$E$7:$E$3000)*1000,'Data Pura Costos'!E1131))</f>
        <v>620000</v>
      </c>
      <c r="F1131" s="5" t="str">
        <f>+IF('Data Pura Costos'!F1131="","",'Data Pura Costos'!F1131)</f>
        <v>Molina</v>
      </c>
      <c r="G1131" s="5" t="str">
        <f>+IF('Data Pura Costos'!G1131="","",'Data Pura Costos'!G1131)</f>
        <v xml:space="preserve">Carlos Gómez </v>
      </c>
      <c r="H1131" s="52" t="str">
        <f>+IF('Data Pura Costos'!H1131="","",'Data Pura Costos'!H1131)</f>
        <v>Termo</v>
      </c>
      <c r="I1131" s="71" t="e">
        <f>+IF('Data Pura Costos'!I1131="","",'Data Pura Costos'!I1131)</f>
        <v>#DIV/0!</v>
      </c>
      <c r="J1131" s="52" t="str">
        <f>+IF('Data Pura Costos'!J1131="","",'Data Pura Costos'!J1131)</f>
        <v>24-25</v>
      </c>
      <c r="K1131" s="82" t="str">
        <f t="shared" si="22"/>
        <v xml:space="preserve">Villaseca-Molina-Carlos Gómez </v>
      </c>
    </row>
    <row r="1132" spans="2:11" x14ac:dyDescent="0.35">
      <c r="B1132" s="4" t="str">
        <f>+IF('Data Pura Costos'!B1132="","",'Data Pura Costos'!B1132)</f>
        <v>Bodega</v>
      </c>
      <c r="C1132" s="4" t="str">
        <f>+IF('Data Pura Costos'!C1132="","",'Data Pura Costos'!C1132)</f>
        <v>Linares, VII region.</v>
      </c>
      <c r="D1132" s="5">
        <f>+IF('Data Pura Costos'!D1132="","",'Data Pura Costos'!D1132)</f>
        <v>211</v>
      </c>
      <c r="E1132" s="65">
        <f>+IF('Data Pura Costos'!E1132="","",IF('Data Pura Costos'!E1132=0,MAX('Data Pura Costos'!$E$7:$E$3000)*1000,'Data Pura Costos'!E1132))</f>
        <v>650000</v>
      </c>
      <c r="F1132" s="5" t="str">
        <f>+IF('Data Pura Costos'!F1132="","",'Data Pura Costos'!F1132)</f>
        <v>Malloa</v>
      </c>
      <c r="G1132" s="5" t="str">
        <f>+IF('Data Pura Costos'!G1132="","",'Data Pura Costos'!G1132)</f>
        <v xml:space="preserve">Carlos Gómez </v>
      </c>
      <c r="H1132" s="52" t="str">
        <f>+IF('Data Pura Costos'!H1132="","",'Data Pura Costos'!H1132)</f>
        <v>Termo</v>
      </c>
      <c r="I1132" s="71">
        <f>+IF('Data Pura Costos'!I1132="","",'Data Pura Costos'!I1132)</f>
        <v>3080.5687203791467</v>
      </c>
      <c r="J1132" s="52" t="str">
        <f>+IF('Data Pura Costos'!J1132="","",'Data Pura Costos'!J1132)</f>
        <v>24-25</v>
      </c>
      <c r="K1132" s="82" t="str">
        <f t="shared" si="22"/>
        <v xml:space="preserve">Bodega-Malloa-Carlos Gómez </v>
      </c>
    </row>
    <row r="1133" spans="2:11" x14ac:dyDescent="0.35">
      <c r="B1133" s="4" t="str">
        <f>+IF('Data Pura Costos'!B1133="","",'Data Pura Costos'!B1133)</f>
        <v xml:space="preserve">Caliboro </v>
      </c>
      <c r="C1133" s="4" t="str">
        <f>+IF('Data Pura Costos'!C1133="","",'Data Pura Costos'!C1133)</f>
        <v>San Javier, VII región</v>
      </c>
      <c r="D1133" s="5">
        <f>+IF('Data Pura Costos'!D1133="","",'Data Pura Costos'!D1133)</f>
        <v>206</v>
      </c>
      <c r="E1133" s="65">
        <f>+IF('Data Pura Costos'!E1133="","",IF('Data Pura Costos'!E1133=0,MAX('Data Pura Costos'!$E$7:$E$3000)*1000,'Data Pura Costos'!E1133))</f>
        <v>650000</v>
      </c>
      <c r="F1133" s="5" t="str">
        <f>+IF('Data Pura Costos'!F1133="","",'Data Pura Costos'!F1133)</f>
        <v>Malloa</v>
      </c>
      <c r="G1133" s="5" t="str">
        <f>+IF('Data Pura Costos'!G1133="","",'Data Pura Costos'!G1133)</f>
        <v xml:space="preserve">Carlos Gómez </v>
      </c>
      <c r="H1133" s="52" t="str">
        <f>+IF('Data Pura Costos'!H1133="","",'Data Pura Costos'!H1133)</f>
        <v>Termo</v>
      </c>
      <c r="I1133" s="71">
        <f>+IF('Data Pura Costos'!I1133="","",'Data Pura Costos'!I1133)</f>
        <v>3155.3398058252428</v>
      </c>
      <c r="J1133" s="52" t="str">
        <f>+IF('Data Pura Costos'!J1133="","",'Data Pura Costos'!J1133)</f>
        <v>24-25</v>
      </c>
      <c r="K1133" s="82" t="str">
        <f t="shared" si="22"/>
        <v xml:space="preserve">Caliboro -Malloa-Carlos Gómez </v>
      </c>
    </row>
    <row r="1134" spans="2:11" x14ac:dyDescent="0.35">
      <c r="B1134" s="4" t="str">
        <f>+IF('Data Pura Costos'!B1134="","",'Data Pura Costos'!B1134)</f>
        <v>Calleuque</v>
      </c>
      <c r="C1134" s="4" t="str">
        <f>+IF('Data Pura Costos'!C1134="","",'Data Pura Costos'!C1134)</f>
        <v>Peralillo ohiggins, VI región</v>
      </c>
      <c r="D1134" s="5">
        <f>+IF('Data Pura Costos'!D1134="","",'Data Pura Costos'!D1134)</f>
        <v>80</v>
      </c>
      <c r="E1134" s="65">
        <f>+IF('Data Pura Costos'!E1134="","",IF('Data Pura Costos'!E1134=0,MAX('Data Pura Costos'!$E$7:$E$3000)*1000,'Data Pura Costos'!E1134))</f>
        <v>420000</v>
      </c>
      <c r="F1134" s="5" t="str">
        <f>+IF('Data Pura Costos'!F1134="","",'Data Pura Costos'!F1134)</f>
        <v>Malloa</v>
      </c>
      <c r="G1134" s="5" t="str">
        <f>+IF('Data Pura Costos'!G1134="","",'Data Pura Costos'!G1134)</f>
        <v xml:space="preserve">Carlos Gómez </v>
      </c>
      <c r="H1134" s="52" t="str">
        <f>+IF('Data Pura Costos'!H1134="","",'Data Pura Costos'!H1134)</f>
        <v>Termo</v>
      </c>
      <c r="I1134" s="71">
        <f>+IF('Data Pura Costos'!I1134="","",'Data Pura Costos'!I1134)</f>
        <v>5250</v>
      </c>
      <c r="J1134" s="52" t="str">
        <f>+IF('Data Pura Costos'!J1134="","",'Data Pura Costos'!J1134)</f>
        <v>24-25</v>
      </c>
      <c r="K1134" s="82" t="str">
        <f t="shared" si="22"/>
        <v xml:space="preserve">Calleuque-Malloa-Carlos Gómez </v>
      </c>
    </row>
    <row r="1135" spans="2:11" x14ac:dyDescent="0.35">
      <c r="B1135" s="4" t="str">
        <f>+IF('Data Pura Costos'!B1135="","",'Data Pura Costos'!B1135)</f>
        <v>Chumpirro</v>
      </c>
      <c r="C1135" s="4" t="str">
        <f>+IF('Data Pura Costos'!C1135="","",'Data Pura Costos'!C1135)</f>
        <v>Angol, IX región</v>
      </c>
      <c r="D1135" s="5">
        <f>+IF('Data Pura Costos'!D1135="","",'Data Pura Costos'!D1135)</f>
        <v>450</v>
      </c>
      <c r="E1135" s="65">
        <f>+IF('Data Pura Costos'!E1135="","",IF('Data Pura Costos'!E1135=0,MAX('Data Pura Costos'!$E$7:$E$3000)*1000,'Data Pura Costos'!E1135))</f>
        <v>1300000</v>
      </c>
      <c r="F1135" s="5" t="str">
        <f>+IF('Data Pura Costos'!F1135="","",'Data Pura Costos'!F1135)</f>
        <v>Malloa</v>
      </c>
      <c r="G1135" s="5" t="str">
        <f>+IF('Data Pura Costos'!G1135="","",'Data Pura Costos'!G1135)</f>
        <v xml:space="preserve">Carlos Gómez </v>
      </c>
      <c r="H1135" s="52" t="str">
        <f>+IF('Data Pura Costos'!H1135="","",'Data Pura Costos'!H1135)</f>
        <v>Termo</v>
      </c>
      <c r="I1135" s="71">
        <f>+IF('Data Pura Costos'!I1135="","",'Data Pura Costos'!I1135)</f>
        <v>2888.8888888888887</v>
      </c>
      <c r="J1135" s="52" t="str">
        <f>+IF('Data Pura Costos'!J1135="","",'Data Pura Costos'!J1135)</f>
        <v>24-25</v>
      </c>
      <c r="K1135" s="82" t="str">
        <f t="shared" si="22"/>
        <v xml:space="preserve">Chumpirro-Malloa-Carlos Gómez </v>
      </c>
    </row>
    <row r="1136" spans="2:11" x14ac:dyDescent="0.35">
      <c r="B1136" s="4" t="str">
        <f>+IF('Data Pura Costos'!B1136="","",'Data Pura Costos'!B1136)</f>
        <v xml:space="preserve"> Cocalán</v>
      </c>
      <c r="C1136" s="4" t="str">
        <f>+IF('Data Pura Costos'!C1136="","",'Data Pura Costos'!C1136)</f>
        <v>Cocalán, VI región</v>
      </c>
      <c r="D1136" s="5">
        <f>+IF('Data Pura Costos'!D1136="","",'Data Pura Costos'!D1136)</f>
        <v>50</v>
      </c>
      <c r="E1136" s="65">
        <f>+IF('Data Pura Costos'!E1136="","",IF('Data Pura Costos'!E1136=0,MAX('Data Pura Costos'!$E$7:$E$3000)*1000,'Data Pura Costos'!E1136))</f>
        <v>400000</v>
      </c>
      <c r="F1136" s="5" t="str">
        <f>+IF('Data Pura Costos'!F1136="","",'Data Pura Costos'!F1136)</f>
        <v>Malloa</v>
      </c>
      <c r="G1136" s="5" t="str">
        <f>+IF('Data Pura Costos'!G1136="","",'Data Pura Costos'!G1136)</f>
        <v xml:space="preserve">Carlos Gómez </v>
      </c>
      <c r="H1136" s="52" t="str">
        <f>+IF('Data Pura Costos'!H1136="","",'Data Pura Costos'!H1136)</f>
        <v>Termo</v>
      </c>
      <c r="I1136" s="71">
        <f>+IF('Data Pura Costos'!I1136="","",'Data Pura Costos'!I1136)</f>
        <v>8000</v>
      </c>
      <c r="J1136" s="52" t="str">
        <f>+IF('Data Pura Costos'!J1136="","",'Data Pura Costos'!J1136)</f>
        <v>24-25</v>
      </c>
      <c r="K1136" s="82" t="str">
        <f t="shared" si="22"/>
        <v xml:space="preserve"> Cocalán-Malloa-Carlos Gómez </v>
      </c>
    </row>
    <row r="1137" spans="2:11" x14ac:dyDescent="0.35">
      <c r="B1137" s="4" t="str">
        <f>+IF('Data Pura Costos'!B1137="","",'Data Pura Costos'!B1137)</f>
        <v>El Cóndor</v>
      </c>
      <c r="C1137" s="4" t="str">
        <f>+IF('Data Pura Costos'!C1137="","",'Data Pura Costos'!C1137)</f>
        <v>Chimbarongo, VI Region.</v>
      </c>
      <c r="D1137" s="5">
        <f>+IF('Data Pura Costos'!D1137="","",'Data Pura Costos'!D1137)</f>
        <v>60</v>
      </c>
      <c r="E1137" s="65">
        <f>+IF('Data Pura Costos'!E1137="","",IF('Data Pura Costos'!E1137=0,MAX('Data Pura Costos'!$E$7:$E$3000)*1000,'Data Pura Costos'!E1137))</f>
        <v>400000</v>
      </c>
      <c r="F1137" s="5" t="str">
        <f>+IF('Data Pura Costos'!F1137="","",'Data Pura Costos'!F1137)</f>
        <v>Malloa</v>
      </c>
      <c r="G1137" s="5" t="str">
        <f>+IF('Data Pura Costos'!G1137="","",'Data Pura Costos'!G1137)</f>
        <v xml:space="preserve">Carlos Gómez </v>
      </c>
      <c r="H1137" s="52" t="str">
        <f>+IF('Data Pura Costos'!H1137="","",'Data Pura Costos'!H1137)</f>
        <v>Termo</v>
      </c>
      <c r="I1137" s="71">
        <f>+IF('Data Pura Costos'!I1137="","",'Data Pura Costos'!I1137)</f>
        <v>6666.666666666667</v>
      </c>
      <c r="J1137" s="52" t="str">
        <f>+IF('Data Pura Costos'!J1137="","",'Data Pura Costos'!J1137)</f>
        <v>24-25</v>
      </c>
      <c r="K1137" s="82" t="str">
        <f t="shared" si="22"/>
        <v xml:space="preserve">El Cóndor-Malloa-Carlos Gómez </v>
      </c>
    </row>
    <row r="1138" spans="2:11" x14ac:dyDescent="0.35">
      <c r="B1138" s="4" t="str">
        <f>+IF('Data Pura Costos'!B1138="","",'Data Pura Costos'!B1138)</f>
        <v>El Descanso</v>
      </c>
      <c r="C1138" s="4" t="str">
        <f>+IF('Data Pura Costos'!C1138="","",'Data Pura Costos'!C1138)</f>
        <v>Sagrada Familia, VII región</v>
      </c>
      <c r="D1138" s="5">
        <f>+IF('Data Pura Costos'!D1138="","",'Data Pura Costos'!D1138)</f>
        <v>100</v>
      </c>
      <c r="E1138" s="65">
        <f>+IF('Data Pura Costos'!E1138="","",IF('Data Pura Costos'!E1138=0,MAX('Data Pura Costos'!$E$7:$E$3000)*1000,'Data Pura Costos'!E1138))</f>
        <v>440000</v>
      </c>
      <c r="F1138" s="5" t="str">
        <f>+IF('Data Pura Costos'!F1138="","",'Data Pura Costos'!F1138)</f>
        <v>Malloa</v>
      </c>
      <c r="G1138" s="5" t="str">
        <f>+IF('Data Pura Costos'!G1138="","",'Data Pura Costos'!G1138)</f>
        <v xml:space="preserve">Carlos Gómez </v>
      </c>
      <c r="H1138" s="52" t="str">
        <f>+IF('Data Pura Costos'!H1138="","",'Data Pura Costos'!H1138)</f>
        <v>Termo</v>
      </c>
      <c r="I1138" s="71">
        <f>+IF('Data Pura Costos'!I1138="","",'Data Pura Costos'!I1138)</f>
        <v>4400</v>
      </c>
      <c r="J1138" s="52" t="str">
        <f>+IF('Data Pura Costos'!J1138="","",'Data Pura Costos'!J1138)</f>
        <v>24-25</v>
      </c>
      <c r="K1138" s="82" t="str">
        <f t="shared" si="22"/>
        <v xml:space="preserve">El Descanso-Malloa-Carlos Gómez </v>
      </c>
    </row>
    <row r="1139" spans="2:11" x14ac:dyDescent="0.35">
      <c r="B1139" s="4" t="str">
        <f>+IF('Data Pura Costos'!B1139="","",'Data Pura Costos'!B1139)</f>
        <v>El Espino</v>
      </c>
      <c r="C1139" s="4" t="str">
        <f>+IF('Data Pura Costos'!C1139="","",'Data Pura Costos'!C1139)</f>
        <v>Colbún, VII región</v>
      </c>
      <c r="D1139" s="5">
        <f>+IF('Data Pura Costos'!D1139="","",'Data Pura Costos'!D1139)</f>
        <v>190</v>
      </c>
      <c r="E1139" s="65">
        <f>+IF('Data Pura Costos'!E1139="","",IF('Data Pura Costos'!E1139=0,MAX('Data Pura Costos'!$E$7:$E$3000)*1000,'Data Pura Costos'!E1139))</f>
        <v>620000</v>
      </c>
      <c r="F1139" s="5" t="str">
        <f>+IF('Data Pura Costos'!F1139="","",'Data Pura Costos'!F1139)</f>
        <v>Malloa</v>
      </c>
      <c r="G1139" s="5" t="str">
        <f>+IF('Data Pura Costos'!G1139="","",'Data Pura Costos'!G1139)</f>
        <v xml:space="preserve">Carlos Gómez </v>
      </c>
      <c r="H1139" s="52" t="str">
        <f>+IF('Data Pura Costos'!H1139="","",'Data Pura Costos'!H1139)</f>
        <v>Termo</v>
      </c>
      <c r="I1139" s="71">
        <f>+IF('Data Pura Costos'!I1139="","",'Data Pura Costos'!I1139)</f>
        <v>3263.1578947368421</v>
      </c>
      <c r="J1139" s="52" t="str">
        <f>+IF('Data Pura Costos'!J1139="","",'Data Pura Costos'!J1139)</f>
        <v>24-25</v>
      </c>
      <c r="K1139" s="82" t="str">
        <f t="shared" si="22"/>
        <v xml:space="preserve">El Espino-Malloa-Carlos Gómez </v>
      </c>
    </row>
    <row r="1140" spans="2:11" x14ac:dyDescent="0.35">
      <c r="B1140" s="4" t="str">
        <f>+IF('Data Pura Costos'!B1140="","",'Data Pura Costos'!B1140)</f>
        <v>El Huaico</v>
      </c>
      <c r="C1140" s="4" t="str">
        <f>+IF('Data Pura Costos'!C1140="","",'Data Pura Costos'!C1140)</f>
        <v>Palmila Ohiggins</v>
      </c>
      <c r="D1140" s="5">
        <f>+IF('Data Pura Costos'!D1140="","",'Data Pura Costos'!D1140)</f>
        <v>75</v>
      </c>
      <c r="E1140" s="65">
        <f>+IF('Data Pura Costos'!E1140="","",IF('Data Pura Costos'!E1140=0,MAX('Data Pura Costos'!$E$7:$E$3000)*1000,'Data Pura Costos'!E1140))</f>
        <v>420000</v>
      </c>
      <c r="F1140" s="5" t="str">
        <f>+IF('Data Pura Costos'!F1140="","",'Data Pura Costos'!F1140)</f>
        <v>Malloa</v>
      </c>
      <c r="G1140" s="5" t="str">
        <f>+IF('Data Pura Costos'!G1140="","",'Data Pura Costos'!G1140)</f>
        <v xml:space="preserve">Carlos Gómez </v>
      </c>
      <c r="H1140" s="52" t="str">
        <f>+IF('Data Pura Costos'!H1140="","",'Data Pura Costos'!H1140)</f>
        <v>Termo</v>
      </c>
      <c r="I1140" s="71">
        <f>+IF('Data Pura Costos'!I1140="","",'Data Pura Costos'!I1140)</f>
        <v>5600</v>
      </c>
      <c r="J1140" s="52" t="str">
        <f>+IF('Data Pura Costos'!J1140="","",'Data Pura Costos'!J1140)</f>
        <v>24-25</v>
      </c>
      <c r="K1140" s="82" t="str">
        <f t="shared" si="22"/>
        <v xml:space="preserve">El Huaico-Malloa-Carlos Gómez </v>
      </c>
    </row>
    <row r="1141" spans="2:11" x14ac:dyDescent="0.35">
      <c r="B1141" s="4" t="str">
        <f>+IF('Data Pura Costos'!B1141="","",'Data Pura Costos'!B1141)</f>
        <v>El Parque</v>
      </c>
      <c r="C1141" s="4" t="str">
        <f>+IF('Data Pura Costos'!C1141="","",'Data Pura Costos'!C1141)</f>
        <v>San Francisco de Mostazal.VI Region.</v>
      </c>
      <c r="D1141" s="5">
        <f>+IF('Data Pura Costos'!D1141="","",'Data Pura Costos'!D1141)</f>
        <v>70</v>
      </c>
      <c r="E1141" s="65">
        <f>+IF('Data Pura Costos'!E1141="","",IF('Data Pura Costos'!E1141=0,MAX('Data Pura Costos'!$E$7:$E$3000)*1000,'Data Pura Costos'!E1141))</f>
        <v>420000</v>
      </c>
      <c r="F1141" s="5" t="str">
        <f>+IF('Data Pura Costos'!F1141="","",'Data Pura Costos'!F1141)</f>
        <v>Malloa</v>
      </c>
      <c r="G1141" s="5" t="str">
        <f>+IF('Data Pura Costos'!G1141="","",'Data Pura Costos'!G1141)</f>
        <v xml:space="preserve">Carlos Gómez </v>
      </c>
      <c r="H1141" s="52" t="str">
        <f>+IF('Data Pura Costos'!H1141="","",'Data Pura Costos'!H1141)</f>
        <v>Termo</v>
      </c>
      <c r="I1141" s="71">
        <f>+IF('Data Pura Costos'!I1141="","",'Data Pura Costos'!I1141)</f>
        <v>6000</v>
      </c>
      <c r="J1141" s="52" t="str">
        <f>+IF('Data Pura Costos'!J1141="","",'Data Pura Costos'!J1141)</f>
        <v>24-25</v>
      </c>
      <c r="K1141" s="82" t="str">
        <f t="shared" si="22"/>
        <v xml:space="preserve">El Parque-Malloa-Carlos Gómez </v>
      </c>
    </row>
    <row r="1142" spans="2:11" x14ac:dyDescent="0.35">
      <c r="B1142" s="4" t="str">
        <f>+IF('Data Pura Costos'!B1142="","",'Data Pura Costos'!B1142)</f>
        <v>El Picaso</v>
      </c>
      <c r="C1142" s="4" t="str">
        <f>+IF('Data Pura Costos'!C1142="","",'Data Pura Costos'!C1142)</f>
        <v xml:space="preserve">San Clemente, VII región </v>
      </c>
      <c r="D1142" s="5">
        <f>+IF('Data Pura Costos'!D1142="","",'Data Pura Costos'!D1142)</f>
        <v>160</v>
      </c>
      <c r="E1142" s="65">
        <f>+IF('Data Pura Costos'!E1142="","",IF('Data Pura Costos'!E1142=0,MAX('Data Pura Costos'!$E$7:$E$3000)*1000,'Data Pura Costos'!E1142))</f>
        <v>580000</v>
      </c>
      <c r="F1142" s="5" t="str">
        <f>+IF('Data Pura Costos'!F1142="","",'Data Pura Costos'!F1142)</f>
        <v>Malloa</v>
      </c>
      <c r="G1142" s="5" t="str">
        <f>+IF('Data Pura Costos'!G1142="","",'Data Pura Costos'!G1142)</f>
        <v xml:space="preserve">Carlos Gómez </v>
      </c>
      <c r="H1142" s="52" t="str">
        <f>+IF('Data Pura Costos'!H1142="","",'Data Pura Costos'!H1142)</f>
        <v>Termo</v>
      </c>
      <c r="I1142" s="71">
        <f>+IF('Data Pura Costos'!I1142="","",'Data Pura Costos'!I1142)</f>
        <v>3625</v>
      </c>
      <c r="J1142" s="52" t="str">
        <f>+IF('Data Pura Costos'!J1142="","",'Data Pura Costos'!J1142)</f>
        <v>24-25</v>
      </c>
      <c r="K1142" s="82" t="str">
        <f t="shared" si="22"/>
        <v xml:space="preserve">El Picaso-Malloa-Carlos Gómez </v>
      </c>
    </row>
    <row r="1143" spans="2:11" x14ac:dyDescent="0.35">
      <c r="B1143" s="4" t="str">
        <f>+IF('Data Pura Costos'!B1143="","",'Data Pura Costos'!B1143)</f>
        <v>El Recurso</v>
      </c>
      <c r="C1143" s="4" t="str">
        <f>+IF('Data Pura Costos'!C1143="","",'Data Pura Costos'!C1143)</f>
        <v>San Francisco de Mostazal.VI Region.</v>
      </c>
      <c r="D1143" s="5">
        <f>+IF('Data Pura Costos'!D1143="","",'Data Pura Costos'!D1143)</f>
        <v>70</v>
      </c>
      <c r="E1143" s="65">
        <f>+IF('Data Pura Costos'!E1143="","",IF('Data Pura Costos'!E1143=0,MAX('Data Pura Costos'!$E$7:$E$3000)*1000,'Data Pura Costos'!E1143))</f>
        <v>420000</v>
      </c>
      <c r="F1143" s="5" t="str">
        <f>+IF('Data Pura Costos'!F1143="","",'Data Pura Costos'!F1143)</f>
        <v>Malloa</v>
      </c>
      <c r="G1143" s="5" t="str">
        <f>+IF('Data Pura Costos'!G1143="","",'Data Pura Costos'!G1143)</f>
        <v xml:space="preserve">Carlos Gómez </v>
      </c>
      <c r="H1143" s="52" t="str">
        <f>+IF('Data Pura Costos'!H1143="","",'Data Pura Costos'!H1143)</f>
        <v>Termo</v>
      </c>
      <c r="I1143" s="71">
        <f>+IF('Data Pura Costos'!I1143="","",'Data Pura Costos'!I1143)</f>
        <v>6000</v>
      </c>
      <c r="J1143" s="52" t="str">
        <f>+IF('Data Pura Costos'!J1143="","",'Data Pura Costos'!J1143)</f>
        <v>24-25</v>
      </c>
      <c r="K1143" s="82" t="str">
        <f t="shared" si="22"/>
        <v xml:space="preserve">El Recurso-Malloa-Carlos Gómez </v>
      </c>
    </row>
    <row r="1144" spans="2:11" x14ac:dyDescent="0.35">
      <c r="B1144" s="4" t="str">
        <f>+IF('Data Pura Costos'!B1144="","",'Data Pura Costos'!B1144)</f>
        <v>El Rosario</v>
      </c>
      <c r="C1144" s="4" t="str">
        <f>+IF('Data Pura Costos'!C1144="","",'Data Pura Costos'!C1144)</f>
        <v>Linares, VII region.</v>
      </c>
      <c r="D1144" s="5">
        <f>+IF('Data Pura Costos'!D1144="","",'Data Pura Costos'!D1144)</f>
        <v>210</v>
      </c>
      <c r="E1144" s="65">
        <f>+IF('Data Pura Costos'!E1144="","",IF('Data Pura Costos'!E1144=0,MAX('Data Pura Costos'!$E$7:$E$3000)*1000,'Data Pura Costos'!E1144))</f>
        <v>650000</v>
      </c>
      <c r="F1144" s="5" t="str">
        <f>+IF('Data Pura Costos'!F1144="","",'Data Pura Costos'!F1144)</f>
        <v>Malloa</v>
      </c>
      <c r="G1144" s="5" t="str">
        <f>+IF('Data Pura Costos'!G1144="","",'Data Pura Costos'!G1144)</f>
        <v xml:space="preserve">Carlos Gómez </v>
      </c>
      <c r="H1144" s="52" t="str">
        <f>+IF('Data Pura Costos'!H1144="","",'Data Pura Costos'!H1144)</f>
        <v>Termo</v>
      </c>
      <c r="I1144" s="71">
        <f>+IF('Data Pura Costos'!I1144="","",'Data Pura Costos'!I1144)</f>
        <v>3095.2380952380954</v>
      </c>
      <c r="J1144" s="52" t="str">
        <f>+IF('Data Pura Costos'!J1144="","",'Data Pura Costos'!J1144)</f>
        <v>24-25</v>
      </c>
      <c r="K1144" s="82" t="str">
        <f t="shared" si="22"/>
        <v xml:space="preserve">El Rosario-Malloa-Carlos Gómez </v>
      </c>
    </row>
    <row r="1145" spans="2:11" x14ac:dyDescent="0.35">
      <c r="B1145" s="4" t="str">
        <f>+IF('Data Pura Costos'!B1145="","",'Data Pura Costos'!B1145)</f>
        <v>El Retiro</v>
      </c>
      <c r="C1145" s="4" t="str">
        <f>+IF('Data Pura Costos'!C1145="","",'Data Pura Costos'!C1145)</f>
        <v>Rosario, VI Region.</v>
      </c>
      <c r="D1145" s="5">
        <f>+IF('Data Pura Costos'!D1145="","",'Data Pura Costos'!D1145)</f>
        <v>25</v>
      </c>
      <c r="E1145" s="65">
        <f>+IF('Data Pura Costos'!E1145="","",IF('Data Pura Costos'!E1145=0,MAX('Data Pura Costos'!$E$7:$E$3000)*1000,'Data Pura Costos'!E1145))</f>
        <v>370000</v>
      </c>
      <c r="F1145" s="5" t="str">
        <f>+IF('Data Pura Costos'!F1145="","",'Data Pura Costos'!F1145)</f>
        <v>Malloa</v>
      </c>
      <c r="G1145" s="5" t="str">
        <f>+IF('Data Pura Costos'!G1145="","",'Data Pura Costos'!G1145)</f>
        <v xml:space="preserve">Carlos Gómez </v>
      </c>
      <c r="H1145" s="52" t="str">
        <f>+IF('Data Pura Costos'!H1145="","",'Data Pura Costos'!H1145)</f>
        <v>Termo</v>
      </c>
      <c r="I1145" s="71">
        <f>+IF('Data Pura Costos'!I1145="","",'Data Pura Costos'!I1145)</f>
        <v>14800</v>
      </c>
      <c r="J1145" s="52" t="str">
        <f>+IF('Data Pura Costos'!J1145="","",'Data Pura Costos'!J1145)</f>
        <v>24-25</v>
      </c>
      <c r="K1145" s="82" t="str">
        <f t="shared" si="22"/>
        <v xml:space="preserve">El Retiro-Malloa-Carlos Gómez </v>
      </c>
    </row>
    <row r="1146" spans="2:11" x14ac:dyDescent="0.35">
      <c r="B1146" s="4" t="str">
        <f>+IF('Data Pura Costos'!B1146="","",'Data Pura Costos'!B1146)</f>
        <v>La Esperanza</v>
      </c>
      <c r="C1146" s="4" t="str">
        <f>+IF('Data Pura Costos'!C1146="","",'Data Pura Costos'!C1146)</f>
        <v>Peumo, VI región</v>
      </c>
      <c r="D1146" s="5">
        <f>+IF('Data Pura Costos'!D1146="","",'Data Pura Costos'!D1146)</f>
        <v>35</v>
      </c>
      <c r="E1146" s="65">
        <f>+IF('Data Pura Costos'!E1146="","",IF('Data Pura Costos'!E1146=0,MAX('Data Pura Costos'!$E$7:$E$3000)*1000,'Data Pura Costos'!E1146))</f>
        <v>370000</v>
      </c>
      <c r="F1146" s="5" t="str">
        <f>+IF('Data Pura Costos'!F1146="","",'Data Pura Costos'!F1146)</f>
        <v>Malloa</v>
      </c>
      <c r="G1146" s="5" t="str">
        <f>+IF('Data Pura Costos'!G1146="","",'Data Pura Costos'!G1146)</f>
        <v xml:space="preserve">Carlos Gómez </v>
      </c>
      <c r="H1146" s="52" t="str">
        <f>+IF('Data Pura Costos'!H1146="","",'Data Pura Costos'!H1146)</f>
        <v>Termo</v>
      </c>
      <c r="I1146" s="71">
        <f>+IF('Data Pura Costos'!I1146="","",'Data Pura Costos'!I1146)</f>
        <v>10571.428571428571</v>
      </c>
      <c r="J1146" s="52" t="str">
        <f>+IF('Data Pura Costos'!J1146="","",'Data Pura Costos'!J1146)</f>
        <v>24-25</v>
      </c>
      <c r="K1146" s="82" t="str">
        <f t="shared" si="22"/>
        <v xml:space="preserve">La Esperanza-Malloa-Carlos Gómez </v>
      </c>
    </row>
    <row r="1147" spans="2:11" x14ac:dyDescent="0.35">
      <c r="B1147" s="4" t="str">
        <f>+IF('Data Pura Costos'!B1147="","",'Data Pura Costos'!B1147)</f>
        <v>La Estación</v>
      </c>
      <c r="C1147" s="4" t="str">
        <f>+IF('Data Pura Costos'!C1147="","",'Data Pura Costos'!C1147)</f>
        <v>Palmilla, VI región</v>
      </c>
      <c r="D1147" s="5">
        <f>+IF('Data Pura Costos'!D1147="","",'Data Pura Costos'!D1147)</f>
        <v>75</v>
      </c>
      <c r="E1147" s="65">
        <f>+IF('Data Pura Costos'!E1147="","",IF('Data Pura Costos'!E1147=0,MAX('Data Pura Costos'!$E$7:$E$3000)*1000,'Data Pura Costos'!E1147))</f>
        <v>420000</v>
      </c>
      <c r="F1147" s="5" t="str">
        <f>+IF('Data Pura Costos'!F1147="","",'Data Pura Costos'!F1147)</f>
        <v>Malloa</v>
      </c>
      <c r="G1147" s="5" t="str">
        <f>+IF('Data Pura Costos'!G1147="","",'Data Pura Costos'!G1147)</f>
        <v xml:space="preserve">Carlos Gómez </v>
      </c>
      <c r="H1147" s="52" t="str">
        <f>+IF('Data Pura Costos'!H1147="","",'Data Pura Costos'!H1147)</f>
        <v>Termo</v>
      </c>
      <c r="I1147" s="71">
        <f>+IF('Data Pura Costos'!I1147="","",'Data Pura Costos'!I1147)</f>
        <v>5600</v>
      </c>
      <c r="J1147" s="52" t="str">
        <f>+IF('Data Pura Costos'!J1147="","",'Data Pura Costos'!J1147)</f>
        <v>24-25</v>
      </c>
      <c r="K1147" s="82" t="str">
        <f t="shared" si="22"/>
        <v xml:space="preserve">La Estación-Malloa-Carlos Gómez </v>
      </c>
    </row>
    <row r="1148" spans="2:11" x14ac:dyDescent="0.35">
      <c r="B1148" s="4" t="str">
        <f>+IF('Data Pura Costos'!B1148="","",'Data Pura Costos'!B1148)</f>
        <v>La Lajuela</v>
      </c>
      <c r="C1148" s="4" t="str">
        <f>+IF('Data Pura Costos'!C1148="","",'Data Pura Costos'!C1148)</f>
        <v>Santa Cruz, VI Región</v>
      </c>
      <c r="D1148" s="5">
        <f>+IF('Data Pura Costos'!D1148="","",'Data Pura Costos'!D1148)</f>
        <v>75</v>
      </c>
      <c r="E1148" s="65">
        <f>+IF('Data Pura Costos'!E1148="","",IF('Data Pura Costos'!E1148=0,MAX('Data Pura Costos'!$E$7:$E$3000)*1000,'Data Pura Costos'!E1148))</f>
        <v>420000</v>
      </c>
      <c r="F1148" s="5" t="str">
        <f>+IF('Data Pura Costos'!F1148="","",'Data Pura Costos'!F1148)</f>
        <v>Malloa</v>
      </c>
      <c r="G1148" s="5" t="str">
        <f>+IF('Data Pura Costos'!G1148="","",'Data Pura Costos'!G1148)</f>
        <v xml:space="preserve">Carlos Gómez </v>
      </c>
      <c r="H1148" s="52" t="str">
        <f>+IF('Data Pura Costos'!H1148="","",'Data Pura Costos'!H1148)</f>
        <v>Termo</v>
      </c>
      <c r="I1148" s="71">
        <f>+IF('Data Pura Costos'!I1148="","",'Data Pura Costos'!I1148)</f>
        <v>5600</v>
      </c>
      <c r="J1148" s="52" t="str">
        <f>+IF('Data Pura Costos'!J1148="","",'Data Pura Costos'!J1148)</f>
        <v>24-25</v>
      </c>
      <c r="K1148" s="82" t="str">
        <f t="shared" ref="K1148:K1211" si="23">+IF(B1148="","",CONCATENATE(B1148,"-",F1148,"-",G1148))</f>
        <v xml:space="preserve">La Lajuela-Malloa-Carlos Gómez </v>
      </c>
    </row>
    <row r="1149" spans="2:11" x14ac:dyDescent="0.35">
      <c r="B1149" s="4" t="str">
        <f>+IF('Data Pura Costos'!B1149="","",'Data Pura Costos'!B1149)</f>
        <v>La Morera</v>
      </c>
      <c r="C1149" s="4" t="str">
        <f>+IF('Data Pura Costos'!C1149="","",'Data Pura Costos'!C1149)</f>
        <v>La compañia, VI Region.</v>
      </c>
      <c r="D1149" s="5">
        <f>+IF('Data Pura Costos'!D1149="","",'Data Pura Costos'!D1149)</f>
        <v>55</v>
      </c>
      <c r="E1149" s="65">
        <f>+IF('Data Pura Costos'!E1149="","",IF('Data Pura Costos'!E1149=0,MAX('Data Pura Costos'!$E$7:$E$3000)*1000,'Data Pura Costos'!E1149))</f>
        <v>400000</v>
      </c>
      <c r="F1149" s="5" t="str">
        <f>+IF('Data Pura Costos'!F1149="","",'Data Pura Costos'!F1149)</f>
        <v>Malloa</v>
      </c>
      <c r="G1149" s="5" t="str">
        <f>+IF('Data Pura Costos'!G1149="","",'Data Pura Costos'!G1149)</f>
        <v xml:space="preserve">Carlos Gómez </v>
      </c>
      <c r="H1149" s="52" t="str">
        <f>+IF('Data Pura Costos'!H1149="","",'Data Pura Costos'!H1149)</f>
        <v>Termo</v>
      </c>
      <c r="I1149" s="71">
        <f>+IF('Data Pura Costos'!I1149="","",'Data Pura Costos'!I1149)</f>
        <v>7272.727272727273</v>
      </c>
      <c r="J1149" s="52" t="str">
        <f>+IF('Data Pura Costos'!J1149="","",'Data Pura Costos'!J1149)</f>
        <v>24-25</v>
      </c>
      <c r="K1149" s="82" t="str">
        <f t="shared" si="23"/>
        <v xml:space="preserve">La Morera-Malloa-Carlos Gómez </v>
      </c>
    </row>
    <row r="1150" spans="2:11" x14ac:dyDescent="0.35">
      <c r="B1150" s="4" t="str">
        <f>+IF('Data Pura Costos'!B1150="","",'Data Pura Costos'!B1150)</f>
        <v>La Rinconada</v>
      </c>
      <c r="C1150" s="4" t="str">
        <f>+IF('Data Pura Costos'!C1150="","",'Data Pura Costos'!C1150)</f>
        <v>Pichidegua, VI región</v>
      </c>
      <c r="D1150" s="5">
        <f>+IF('Data Pura Costos'!D1150="","",'Data Pura Costos'!D1150)</f>
        <v>45</v>
      </c>
      <c r="E1150" s="65">
        <f>+IF('Data Pura Costos'!E1150="","",IF('Data Pura Costos'!E1150=0,MAX('Data Pura Costos'!$E$7:$E$3000)*1000,'Data Pura Costos'!E1150))</f>
        <v>400000</v>
      </c>
      <c r="F1150" s="5" t="str">
        <f>+IF('Data Pura Costos'!F1150="","",'Data Pura Costos'!F1150)</f>
        <v>Malloa</v>
      </c>
      <c r="G1150" s="5" t="str">
        <f>+IF('Data Pura Costos'!G1150="","",'Data Pura Costos'!G1150)</f>
        <v xml:space="preserve">Carlos Gómez </v>
      </c>
      <c r="H1150" s="52" t="str">
        <f>+IF('Data Pura Costos'!H1150="","",'Data Pura Costos'!H1150)</f>
        <v>Termo</v>
      </c>
      <c r="I1150" s="71">
        <f>+IF('Data Pura Costos'!I1150="","",'Data Pura Costos'!I1150)</f>
        <v>8888.8888888888887</v>
      </c>
      <c r="J1150" s="52" t="str">
        <f>+IF('Data Pura Costos'!J1150="","",'Data Pura Costos'!J1150)</f>
        <v>24-25</v>
      </c>
      <c r="K1150" s="82" t="str">
        <f t="shared" si="23"/>
        <v xml:space="preserve">La Rinconada-Malloa-Carlos Gómez </v>
      </c>
    </row>
    <row r="1151" spans="2:11" x14ac:dyDescent="0.35">
      <c r="B1151" s="4" t="str">
        <f>+IF('Data Pura Costos'!B1151="","",'Data Pura Costos'!B1151)</f>
        <v xml:space="preserve">La Roblería </v>
      </c>
      <c r="C1151" s="4" t="str">
        <f>+IF('Data Pura Costos'!C1151="","",'Data Pura Costos'!C1151)</f>
        <v>Aculeo, RM</v>
      </c>
      <c r="D1151" s="5">
        <f>+IF('Data Pura Costos'!D1151="","",'Data Pura Costos'!D1151)</f>
        <v>105</v>
      </c>
      <c r="E1151" s="65">
        <f>+IF('Data Pura Costos'!E1151="","",IF('Data Pura Costos'!E1151=0,MAX('Data Pura Costos'!$E$7:$E$3000)*1000,'Data Pura Costos'!E1151))</f>
        <v>450000</v>
      </c>
      <c r="F1151" s="5" t="str">
        <f>+IF('Data Pura Costos'!F1151="","",'Data Pura Costos'!F1151)</f>
        <v>Malloa</v>
      </c>
      <c r="G1151" s="5" t="str">
        <f>+IF('Data Pura Costos'!G1151="","",'Data Pura Costos'!G1151)</f>
        <v xml:space="preserve">Carlos Gómez </v>
      </c>
      <c r="H1151" s="52" t="str">
        <f>+IF('Data Pura Costos'!H1151="","",'Data Pura Costos'!H1151)</f>
        <v>Termo</v>
      </c>
      <c r="I1151" s="71">
        <f>+IF('Data Pura Costos'!I1151="","",'Data Pura Costos'!I1151)</f>
        <v>4285.7142857142853</v>
      </c>
      <c r="J1151" s="52" t="str">
        <f>+IF('Data Pura Costos'!J1151="","",'Data Pura Costos'!J1151)</f>
        <v>24-25</v>
      </c>
      <c r="K1151" s="82" t="str">
        <f t="shared" si="23"/>
        <v xml:space="preserve">La Roblería -Malloa-Carlos Gómez </v>
      </c>
    </row>
    <row r="1152" spans="2:11" x14ac:dyDescent="0.35">
      <c r="B1152" s="4" t="str">
        <f>+IF('Data Pura Costos'!B1152="","",'Data Pura Costos'!B1152)</f>
        <v>Las Cabras</v>
      </c>
      <c r="C1152" s="4" t="str">
        <f>+IF('Data Pura Costos'!C1152="","",'Data Pura Costos'!C1152)</f>
        <v>Las Cabras, VI región</v>
      </c>
      <c r="D1152" s="5">
        <f>+IF('Data Pura Costos'!D1152="","",'Data Pura Costos'!D1152)</f>
        <v>45</v>
      </c>
      <c r="E1152" s="65">
        <f>+IF('Data Pura Costos'!E1152="","",IF('Data Pura Costos'!E1152=0,MAX('Data Pura Costos'!$E$7:$E$3000)*1000,'Data Pura Costos'!E1152))</f>
        <v>400000</v>
      </c>
      <c r="F1152" s="5" t="str">
        <f>+IF('Data Pura Costos'!F1152="","",'Data Pura Costos'!F1152)</f>
        <v>Malloa</v>
      </c>
      <c r="G1152" s="5" t="str">
        <f>+IF('Data Pura Costos'!G1152="","",'Data Pura Costos'!G1152)</f>
        <v xml:space="preserve">Carlos Gómez </v>
      </c>
      <c r="H1152" s="52" t="str">
        <f>+IF('Data Pura Costos'!H1152="","",'Data Pura Costos'!H1152)</f>
        <v>Termo</v>
      </c>
      <c r="I1152" s="71">
        <f>+IF('Data Pura Costos'!I1152="","",'Data Pura Costos'!I1152)</f>
        <v>8888.8888888888887</v>
      </c>
      <c r="J1152" s="52" t="str">
        <f>+IF('Data Pura Costos'!J1152="","",'Data Pura Costos'!J1152)</f>
        <v>24-25</v>
      </c>
      <c r="K1152" s="82" t="str">
        <f t="shared" si="23"/>
        <v xml:space="preserve">Las Cabras-Malloa-Carlos Gómez </v>
      </c>
    </row>
    <row r="1153" spans="2:11" x14ac:dyDescent="0.35">
      <c r="B1153" s="4" t="str">
        <f>+IF('Data Pura Costos'!B1153="","",'Data Pura Costos'!B1153)</f>
        <v>Las Vertientes</v>
      </c>
      <c r="C1153" s="4" t="str">
        <f>+IF('Data Pura Costos'!C1153="","",'Data Pura Costos'!C1153)</f>
        <v>Pichidegua, VI región</v>
      </c>
      <c r="D1153" s="5">
        <f>+IF('Data Pura Costos'!D1153="","",'Data Pura Costos'!D1153)</f>
        <v>40</v>
      </c>
      <c r="E1153" s="65">
        <f>+IF('Data Pura Costos'!E1153="","",IF('Data Pura Costos'!E1153=0,MAX('Data Pura Costos'!$E$7:$E$3000)*1000,'Data Pura Costos'!E1153))</f>
        <v>400000</v>
      </c>
      <c r="F1153" s="5" t="str">
        <f>+IF('Data Pura Costos'!F1153="","",'Data Pura Costos'!F1153)</f>
        <v>Malloa</v>
      </c>
      <c r="G1153" s="5" t="str">
        <f>+IF('Data Pura Costos'!G1153="","",'Data Pura Costos'!G1153)</f>
        <v xml:space="preserve">Carlos Gómez </v>
      </c>
      <c r="H1153" s="52" t="str">
        <f>+IF('Data Pura Costos'!H1153="","",'Data Pura Costos'!H1153)</f>
        <v>Termo</v>
      </c>
      <c r="I1153" s="71">
        <f>+IF('Data Pura Costos'!I1153="","",'Data Pura Costos'!I1153)</f>
        <v>10000</v>
      </c>
      <c r="J1153" s="52" t="str">
        <f>+IF('Data Pura Costos'!J1153="","",'Data Pura Costos'!J1153)</f>
        <v>24-25</v>
      </c>
      <c r="K1153" s="82" t="str">
        <f t="shared" si="23"/>
        <v xml:space="preserve">Las Vertientes-Malloa-Carlos Gómez </v>
      </c>
    </row>
    <row r="1154" spans="2:11" x14ac:dyDescent="0.35">
      <c r="B1154" s="4" t="str">
        <f>+IF('Data Pura Costos'!B1154="","",'Data Pura Costos'!B1154)</f>
        <v>Lihueimo</v>
      </c>
      <c r="C1154" s="4" t="str">
        <f>+IF('Data Pura Costos'!C1154="","",'Data Pura Costos'!C1154)</f>
        <v>Peralillo ohiggins</v>
      </c>
      <c r="D1154" s="5">
        <f>+IF('Data Pura Costos'!D1154="","",'Data Pura Costos'!D1154)</f>
        <v>80</v>
      </c>
      <c r="E1154" s="65">
        <f>+IF('Data Pura Costos'!E1154="","",IF('Data Pura Costos'!E1154=0,MAX('Data Pura Costos'!$E$7:$E$3000)*1000,'Data Pura Costos'!E1154))</f>
        <v>420000</v>
      </c>
      <c r="F1154" s="5" t="str">
        <f>+IF('Data Pura Costos'!F1154="","",'Data Pura Costos'!F1154)</f>
        <v>Malloa</v>
      </c>
      <c r="G1154" s="5" t="str">
        <f>+IF('Data Pura Costos'!G1154="","",'Data Pura Costos'!G1154)</f>
        <v xml:space="preserve">Carlos Gómez </v>
      </c>
      <c r="H1154" s="52" t="str">
        <f>+IF('Data Pura Costos'!H1154="","",'Data Pura Costos'!H1154)</f>
        <v>Termo</v>
      </c>
      <c r="I1154" s="71">
        <f>+IF('Data Pura Costos'!I1154="","",'Data Pura Costos'!I1154)</f>
        <v>5250</v>
      </c>
      <c r="J1154" s="52" t="str">
        <f>+IF('Data Pura Costos'!J1154="","",'Data Pura Costos'!J1154)</f>
        <v>24-25</v>
      </c>
      <c r="K1154" s="82" t="str">
        <f t="shared" si="23"/>
        <v xml:space="preserve">Lihueimo-Malloa-Carlos Gómez </v>
      </c>
    </row>
    <row r="1155" spans="2:11" x14ac:dyDescent="0.35">
      <c r="B1155" s="4" t="str">
        <f>+IF('Data Pura Costos'!B1155="","",'Data Pura Costos'!B1155)</f>
        <v>Los Encinos</v>
      </c>
      <c r="C1155" s="4" t="str">
        <f>+IF('Data Pura Costos'!C1155="","",'Data Pura Costos'!C1155)</f>
        <v>Huechun, RM</v>
      </c>
      <c r="D1155" s="5">
        <f>+IF('Data Pura Costos'!D1155="","",'Data Pura Costos'!D1155)</f>
        <v>145</v>
      </c>
      <c r="E1155" s="65">
        <f>+IF('Data Pura Costos'!E1155="","",IF('Data Pura Costos'!E1155=0,MAX('Data Pura Costos'!$E$7:$E$3000)*1000,'Data Pura Costos'!E1155))</f>
        <v>550000</v>
      </c>
      <c r="F1155" s="5" t="str">
        <f>+IF('Data Pura Costos'!F1155="","",'Data Pura Costos'!F1155)</f>
        <v>Malloa</v>
      </c>
      <c r="G1155" s="5" t="str">
        <f>+IF('Data Pura Costos'!G1155="","",'Data Pura Costos'!G1155)</f>
        <v xml:space="preserve">Carlos Gómez </v>
      </c>
      <c r="H1155" s="52" t="str">
        <f>+IF('Data Pura Costos'!H1155="","",'Data Pura Costos'!H1155)</f>
        <v>Termo</v>
      </c>
      <c r="I1155" s="71">
        <f>+IF('Data Pura Costos'!I1155="","",'Data Pura Costos'!I1155)</f>
        <v>3793.1034482758619</v>
      </c>
      <c r="J1155" s="52" t="str">
        <f>+IF('Data Pura Costos'!J1155="","",'Data Pura Costos'!J1155)</f>
        <v>24-25</v>
      </c>
      <c r="K1155" s="82" t="str">
        <f t="shared" si="23"/>
        <v xml:space="preserve">Los Encinos-Malloa-Carlos Gómez </v>
      </c>
    </row>
    <row r="1156" spans="2:11" x14ac:dyDescent="0.35">
      <c r="B1156" s="4" t="str">
        <f>+IF('Data Pura Costos'!B1156="","",'Data Pura Costos'!B1156)</f>
        <v>Los Maitenes</v>
      </c>
      <c r="C1156" s="4" t="str">
        <f>+IF('Data Pura Costos'!C1156="","",'Data Pura Costos'!C1156)</f>
        <v>Las Cabras, VI región</v>
      </c>
      <c r="D1156" s="5">
        <f>+IF('Data Pura Costos'!D1156="","",'Data Pura Costos'!D1156)</f>
        <v>60</v>
      </c>
      <c r="E1156" s="65">
        <f>+IF('Data Pura Costos'!E1156="","",IF('Data Pura Costos'!E1156=0,MAX('Data Pura Costos'!$E$7:$E$3000)*1000,'Data Pura Costos'!E1156))</f>
        <v>400000</v>
      </c>
      <c r="F1156" s="5" t="str">
        <f>+IF('Data Pura Costos'!F1156="","",'Data Pura Costos'!F1156)</f>
        <v>Malloa</v>
      </c>
      <c r="G1156" s="5" t="str">
        <f>+IF('Data Pura Costos'!G1156="","",'Data Pura Costos'!G1156)</f>
        <v xml:space="preserve">Carlos Gómez </v>
      </c>
      <c r="H1156" s="52" t="str">
        <f>+IF('Data Pura Costos'!H1156="","",'Data Pura Costos'!H1156)</f>
        <v>Termo</v>
      </c>
      <c r="I1156" s="71">
        <f>+IF('Data Pura Costos'!I1156="","",'Data Pura Costos'!I1156)</f>
        <v>6666.666666666667</v>
      </c>
      <c r="J1156" s="52" t="str">
        <f>+IF('Data Pura Costos'!J1156="","",'Data Pura Costos'!J1156)</f>
        <v>24-25</v>
      </c>
      <c r="K1156" s="82" t="str">
        <f t="shared" si="23"/>
        <v xml:space="preserve">Los Maitenes-Malloa-Carlos Gómez </v>
      </c>
    </row>
    <row r="1157" spans="2:11" x14ac:dyDescent="0.35">
      <c r="B1157" s="4" t="str">
        <f>+IF('Data Pura Costos'!B1157="","",'Data Pura Costos'!B1157)</f>
        <v>Los Toldos</v>
      </c>
      <c r="C1157" s="4" t="str">
        <f>+IF('Data Pura Costos'!C1157="","",'Data Pura Costos'!C1157)</f>
        <v>Angol, IX región</v>
      </c>
      <c r="D1157" s="5">
        <f>+IF('Data Pura Costos'!D1157="","",'Data Pura Costos'!D1157)</f>
        <v>50</v>
      </c>
      <c r="E1157" s="65">
        <f>+IF('Data Pura Costos'!E1157="","",IF('Data Pura Costos'!E1157=0,MAX('Data Pura Costos'!$E$7:$E$3000)*1000,'Data Pura Costos'!E1157))</f>
        <v>1350000</v>
      </c>
      <c r="F1157" s="5" t="str">
        <f>+IF('Data Pura Costos'!F1157="","",'Data Pura Costos'!F1157)</f>
        <v>Malloa</v>
      </c>
      <c r="G1157" s="5" t="str">
        <f>+IF('Data Pura Costos'!G1157="","",'Data Pura Costos'!G1157)</f>
        <v xml:space="preserve">Carlos Gómez </v>
      </c>
      <c r="H1157" s="52" t="str">
        <f>+IF('Data Pura Costos'!H1157="","",'Data Pura Costos'!H1157)</f>
        <v>Termo</v>
      </c>
      <c r="I1157" s="71">
        <f>+IF('Data Pura Costos'!I1157="","",'Data Pura Costos'!I1157)</f>
        <v>27000</v>
      </c>
      <c r="J1157" s="52" t="str">
        <f>+IF('Data Pura Costos'!J1157="","",'Data Pura Costos'!J1157)</f>
        <v>24-25</v>
      </c>
      <c r="K1157" s="82" t="str">
        <f t="shared" si="23"/>
        <v xml:space="preserve">Los Toldos-Malloa-Carlos Gómez </v>
      </c>
    </row>
    <row r="1158" spans="2:11" x14ac:dyDescent="0.35">
      <c r="B1158" s="4" t="str">
        <f>+IF('Data Pura Costos'!B1158="","",'Data Pura Costos'!B1158)</f>
        <v>Mallorca</v>
      </c>
      <c r="C1158" s="4" t="str">
        <f>+IF('Data Pura Costos'!C1158="","",'Data Pura Costos'!C1158)</f>
        <v xml:space="preserve">Molina, VII región </v>
      </c>
      <c r="D1158" s="5">
        <f>+IF('Data Pura Costos'!D1158="","",'Data Pura Costos'!D1158)</f>
        <v>95</v>
      </c>
      <c r="E1158" s="65">
        <f>+IF('Data Pura Costos'!E1158="","",IF('Data Pura Costos'!E1158=0,MAX('Data Pura Costos'!$E$7:$E$3000)*1000,'Data Pura Costos'!E1158))</f>
        <v>440000</v>
      </c>
      <c r="F1158" s="5" t="str">
        <f>+IF('Data Pura Costos'!F1158="","",'Data Pura Costos'!F1158)</f>
        <v>Malloa</v>
      </c>
      <c r="G1158" s="5" t="str">
        <f>+IF('Data Pura Costos'!G1158="","",'Data Pura Costos'!G1158)</f>
        <v xml:space="preserve">Carlos Gómez </v>
      </c>
      <c r="H1158" s="52" t="str">
        <f>+IF('Data Pura Costos'!H1158="","",'Data Pura Costos'!H1158)</f>
        <v>Termo</v>
      </c>
      <c r="I1158" s="71">
        <f>+IF('Data Pura Costos'!I1158="","",'Data Pura Costos'!I1158)</f>
        <v>4631.5789473684208</v>
      </c>
      <c r="J1158" s="52" t="str">
        <f>+IF('Data Pura Costos'!J1158="","",'Data Pura Costos'!J1158)</f>
        <v>24-25</v>
      </c>
      <c r="K1158" s="82" t="str">
        <f t="shared" si="23"/>
        <v xml:space="preserve">Mallorca-Malloa-Carlos Gómez </v>
      </c>
    </row>
    <row r="1159" spans="2:11" x14ac:dyDescent="0.35">
      <c r="B1159" s="4" t="str">
        <f>+IF('Data Pura Costos'!B1159="","",'Data Pura Costos'!B1159)</f>
        <v>Panquehue</v>
      </c>
      <c r="C1159" s="4" t="str">
        <f>+IF('Data Pura Costos'!C1159="","",'Data Pura Costos'!C1159)</f>
        <v>Panquehue, V región</v>
      </c>
      <c r="D1159" s="5">
        <f>+IF('Data Pura Costos'!D1159="","",'Data Pura Costos'!D1159)</f>
        <v>230</v>
      </c>
      <c r="E1159" s="65">
        <f>+IF('Data Pura Costos'!E1159="","",IF('Data Pura Costos'!E1159=0,MAX('Data Pura Costos'!$E$7:$E$3000)*1000,'Data Pura Costos'!E1159))</f>
        <v>700000</v>
      </c>
      <c r="F1159" s="5" t="str">
        <f>+IF('Data Pura Costos'!F1159="","",'Data Pura Costos'!F1159)</f>
        <v>Malloa</v>
      </c>
      <c r="G1159" s="5" t="str">
        <f>+IF('Data Pura Costos'!G1159="","",'Data Pura Costos'!G1159)</f>
        <v xml:space="preserve">Carlos Gómez </v>
      </c>
      <c r="H1159" s="52" t="str">
        <f>+IF('Data Pura Costos'!H1159="","",'Data Pura Costos'!H1159)</f>
        <v>Termo</v>
      </c>
      <c r="I1159" s="71">
        <f>+IF('Data Pura Costos'!I1159="","",'Data Pura Costos'!I1159)</f>
        <v>3043.478260869565</v>
      </c>
      <c r="J1159" s="52" t="str">
        <f>+IF('Data Pura Costos'!J1159="","",'Data Pura Costos'!J1159)</f>
        <v>24-25</v>
      </c>
      <c r="K1159" s="82" t="str">
        <f t="shared" si="23"/>
        <v xml:space="preserve">Panquehue-Malloa-Carlos Gómez </v>
      </c>
    </row>
    <row r="1160" spans="2:11" x14ac:dyDescent="0.35">
      <c r="B1160" s="4" t="str">
        <f>+IF('Data Pura Costos'!B1160="","",'Data Pura Costos'!B1160)</f>
        <v>Entre Rios/Puente Negro/Rio Claro</v>
      </c>
      <c r="C1160" s="4" t="str">
        <f>+IF('Data Pura Costos'!C1160="","",'Data Pura Costos'!C1160)</f>
        <v>Puente negro, san fernando.VI Region.</v>
      </c>
      <c r="D1160" s="5">
        <f>+IF('Data Pura Costos'!D1160="","",'Data Pura Costos'!D1160)</f>
        <v>50</v>
      </c>
      <c r="E1160" s="65">
        <f>+IF('Data Pura Costos'!E1160="","",IF('Data Pura Costos'!E1160=0,MAX('Data Pura Costos'!$E$7:$E$3000)*1000,'Data Pura Costos'!E1160))</f>
        <v>400000</v>
      </c>
      <c r="F1160" s="5" t="str">
        <f>+IF('Data Pura Costos'!F1160="","",'Data Pura Costos'!F1160)</f>
        <v>Malloa</v>
      </c>
      <c r="G1160" s="5" t="str">
        <f>+IF('Data Pura Costos'!G1160="","",'Data Pura Costos'!G1160)</f>
        <v xml:space="preserve">Carlos Gómez </v>
      </c>
      <c r="H1160" s="52" t="str">
        <f>+IF('Data Pura Costos'!H1160="","",'Data Pura Costos'!H1160)</f>
        <v>Termo</v>
      </c>
      <c r="I1160" s="71">
        <f>+IF('Data Pura Costos'!I1160="","",'Data Pura Costos'!I1160)</f>
        <v>8000</v>
      </c>
      <c r="J1160" s="52" t="str">
        <f>+IF('Data Pura Costos'!J1160="","",'Data Pura Costos'!J1160)</f>
        <v>24-25</v>
      </c>
      <c r="K1160" s="82" t="str">
        <f t="shared" si="23"/>
        <v xml:space="preserve">Entre Rios/Puente Negro/Rio Claro-Malloa-Carlos Gómez </v>
      </c>
    </row>
    <row r="1161" spans="2:11" x14ac:dyDescent="0.35">
      <c r="B1161" s="4" t="str">
        <f>+IF('Data Pura Costos'!B1161="","",'Data Pura Costos'!B1161)</f>
        <v>Retorno</v>
      </c>
      <c r="C1161" s="4" t="str">
        <f>+IF('Data Pura Costos'!C1161="","",'Data Pura Costos'!C1161)</f>
        <v>Santa maria, V región</v>
      </c>
      <c r="D1161" s="5">
        <f>+IF('Data Pura Costos'!D1161="","",'Data Pura Costos'!D1161)</f>
        <v>225</v>
      </c>
      <c r="E1161" s="65">
        <f>+IF('Data Pura Costos'!E1161="","",IF('Data Pura Costos'!E1161=0,MAX('Data Pura Costos'!$E$7:$E$3000)*1000,'Data Pura Costos'!E1161))</f>
        <v>700000</v>
      </c>
      <c r="F1161" s="5" t="str">
        <f>+IF('Data Pura Costos'!F1161="","",'Data Pura Costos'!F1161)</f>
        <v>Malloa</v>
      </c>
      <c r="G1161" s="5" t="str">
        <f>+IF('Data Pura Costos'!G1161="","",'Data Pura Costos'!G1161)</f>
        <v xml:space="preserve">Carlos Gómez </v>
      </c>
      <c r="H1161" s="52" t="str">
        <f>+IF('Data Pura Costos'!H1161="","",'Data Pura Costos'!H1161)</f>
        <v>Termo</v>
      </c>
      <c r="I1161" s="71">
        <f>+IF('Data Pura Costos'!I1161="","",'Data Pura Costos'!I1161)</f>
        <v>3111.1111111111113</v>
      </c>
      <c r="J1161" s="52" t="str">
        <f>+IF('Data Pura Costos'!J1161="","",'Data Pura Costos'!J1161)</f>
        <v>24-25</v>
      </c>
      <c r="K1161" s="82" t="str">
        <f t="shared" si="23"/>
        <v xml:space="preserve">Retorno-Malloa-Carlos Gómez </v>
      </c>
    </row>
    <row r="1162" spans="2:11" x14ac:dyDescent="0.35">
      <c r="B1162" s="4" t="str">
        <f>+IF('Data Pura Costos'!B1162="","",'Data Pura Costos'!B1162)</f>
        <v>San Hernán</v>
      </c>
      <c r="C1162" s="4" t="str">
        <f>+IF('Data Pura Costos'!C1162="","",'Data Pura Costos'!C1162)</f>
        <v>Graneros, VI región</v>
      </c>
      <c r="D1162" s="5">
        <f>+IF('Data Pura Costos'!D1162="","",'Data Pura Costos'!D1162)</f>
        <v>60</v>
      </c>
      <c r="E1162" s="65">
        <f>+IF('Data Pura Costos'!E1162="","",IF('Data Pura Costos'!E1162=0,MAX('Data Pura Costos'!$E$7:$E$3000)*1000,'Data Pura Costos'!E1162))</f>
        <v>400000</v>
      </c>
      <c r="F1162" s="5" t="str">
        <f>+IF('Data Pura Costos'!F1162="","",'Data Pura Costos'!F1162)</f>
        <v>Malloa</v>
      </c>
      <c r="G1162" s="5" t="str">
        <f>+IF('Data Pura Costos'!G1162="","",'Data Pura Costos'!G1162)</f>
        <v xml:space="preserve">Carlos Gómez </v>
      </c>
      <c r="H1162" s="52" t="str">
        <f>+IF('Data Pura Costos'!H1162="","",'Data Pura Costos'!H1162)</f>
        <v>Termo</v>
      </c>
      <c r="I1162" s="71">
        <f>+IF('Data Pura Costos'!I1162="","",'Data Pura Costos'!I1162)</f>
        <v>6666.666666666667</v>
      </c>
      <c r="J1162" s="52" t="str">
        <f>+IF('Data Pura Costos'!J1162="","",'Data Pura Costos'!J1162)</f>
        <v>24-25</v>
      </c>
      <c r="K1162" s="82" t="str">
        <f t="shared" si="23"/>
        <v xml:space="preserve">San Hernán-Malloa-Carlos Gómez </v>
      </c>
    </row>
    <row r="1163" spans="2:11" x14ac:dyDescent="0.35">
      <c r="B1163" s="4" t="str">
        <f>+IF('Data Pura Costos'!B1163="","",'Data Pura Costos'!B1163)</f>
        <v>Santa Margarita</v>
      </c>
      <c r="C1163" s="4" t="str">
        <f>+IF('Data Pura Costos'!C1163="","",'Data Pura Costos'!C1163)</f>
        <v xml:space="preserve">La punta, Mostazal VI región </v>
      </c>
      <c r="D1163" s="5">
        <f>+IF('Data Pura Costos'!D1163="","",'Data Pura Costos'!D1163)</f>
        <v>70</v>
      </c>
      <c r="E1163" s="65">
        <f>+IF('Data Pura Costos'!E1163="","",IF('Data Pura Costos'!E1163=0,MAX('Data Pura Costos'!$E$7:$E$3000)*1000,'Data Pura Costos'!E1163))</f>
        <v>420000</v>
      </c>
      <c r="F1163" s="5" t="str">
        <f>+IF('Data Pura Costos'!F1163="","",'Data Pura Costos'!F1163)</f>
        <v>Malloa</v>
      </c>
      <c r="G1163" s="5" t="str">
        <f>+IF('Data Pura Costos'!G1163="","",'Data Pura Costos'!G1163)</f>
        <v xml:space="preserve">Carlos Gómez </v>
      </c>
      <c r="H1163" s="52" t="str">
        <f>+IF('Data Pura Costos'!H1163="","",'Data Pura Costos'!H1163)</f>
        <v>Termo</v>
      </c>
      <c r="I1163" s="71">
        <f>+IF('Data Pura Costos'!I1163="","",'Data Pura Costos'!I1163)</f>
        <v>6000</v>
      </c>
      <c r="J1163" s="52" t="str">
        <f>+IF('Data Pura Costos'!J1163="","",'Data Pura Costos'!J1163)</f>
        <v>24-25</v>
      </c>
      <c r="K1163" s="82" t="str">
        <f t="shared" si="23"/>
        <v xml:space="preserve">Santa Margarita-Malloa-Carlos Gómez </v>
      </c>
    </row>
    <row r="1164" spans="2:11" x14ac:dyDescent="0.35">
      <c r="B1164" s="4" t="str">
        <f>+IF('Data Pura Costos'!B1164="","",'Data Pura Costos'!B1164)</f>
        <v>Santa Mónica</v>
      </c>
      <c r="C1164" s="4" t="str">
        <f>+IF('Data Pura Costos'!C1164="","",'Data Pura Costos'!C1164)</f>
        <v xml:space="preserve">Rancagua, sector Chancón, VI región </v>
      </c>
      <c r="D1164" s="5">
        <f>+IF('Data Pura Costos'!D1164="","",'Data Pura Costos'!D1164)</f>
        <v>55</v>
      </c>
      <c r="E1164" s="65">
        <f>+IF('Data Pura Costos'!E1164="","",IF('Data Pura Costos'!E1164=0,MAX('Data Pura Costos'!$E$7:$E$3000)*1000,'Data Pura Costos'!E1164))</f>
        <v>400000</v>
      </c>
      <c r="F1164" s="5" t="str">
        <f>+IF('Data Pura Costos'!F1164="","",'Data Pura Costos'!F1164)</f>
        <v>Malloa</v>
      </c>
      <c r="G1164" s="5" t="str">
        <f>+IF('Data Pura Costos'!G1164="","",'Data Pura Costos'!G1164)</f>
        <v xml:space="preserve">Carlos Gómez </v>
      </c>
      <c r="H1164" s="52" t="str">
        <f>+IF('Data Pura Costos'!H1164="","",'Data Pura Costos'!H1164)</f>
        <v>Termo</v>
      </c>
      <c r="I1164" s="71">
        <f>+IF('Data Pura Costos'!I1164="","",'Data Pura Costos'!I1164)</f>
        <v>7272.727272727273</v>
      </c>
      <c r="J1164" s="52" t="str">
        <f>+IF('Data Pura Costos'!J1164="","",'Data Pura Costos'!J1164)</f>
        <v>24-25</v>
      </c>
      <c r="K1164" s="82" t="str">
        <f t="shared" si="23"/>
        <v xml:space="preserve">Santa Mónica-Malloa-Carlos Gómez </v>
      </c>
    </row>
    <row r="1165" spans="2:11" x14ac:dyDescent="0.35">
      <c r="B1165" s="4" t="str">
        <f>+IF('Data Pura Costos'!B1165="","",'Data Pura Costos'!B1165)</f>
        <v>Talhuén</v>
      </c>
      <c r="C1165" s="4" t="str">
        <f>+IF('Data Pura Costos'!C1165="","",'Data Pura Costos'!C1165)</f>
        <v>Palmilla, VI región</v>
      </c>
      <c r="D1165" s="5">
        <f>+IF('Data Pura Costos'!D1165="","",'Data Pura Costos'!D1165)</f>
        <v>60</v>
      </c>
      <c r="E1165" s="65">
        <f>+IF('Data Pura Costos'!E1165="","",IF('Data Pura Costos'!E1165=0,MAX('Data Pura Costos'!$E$7:$E$3000)*1000,'Data Pura Costos'!E1165))</f>
        <v>400000</v>
      </c>
      <c r="F1165" s="5" t="str">
        <f>+IF('Data Pura Costos'!F1165="","",'Data Pura Costos'!F1165)</f>
        <v>Malloa</v>
      </c>
      <c r="G1165" s="5" t="str">
        <f>+IF('Data Pura Costos'!G1165="","",'Data Pura Costos'!G1165)</f>
        <v xml:space="preserve">Carlos Gómez </v>
      </c>
      <c r="H1165" s="52" t="str">
        <f>+IF('Data Pura Costos'!H1165="","",'Data Pura Costos'!H1165)</f>
        <v>Termo</v>
      </c>
      <c r="I1165" s="71">
        <f>+IF('Data Pura Costos'!I1165="","",'Data Pura Costos'!I1165)</f>
        <v>6666.666666666667</v>
      </c>
      <c r="J1165" s="52" t="str">
        <f>+IF('Data Pura Costos'!J1165="","",'Data Pura Costos'!J1165)</f>
        <v>24-25</v>
      </c>
      <c r="K1165" s="82" t="str">
        <f t="shared" si="23"/>
        <v xml:space="preserve">Talhuén-Malloa-Carlos Gómez </v>
      </c>
    </row>
    <row r="1166" spans="2:11" x14ac:dyDescent="0.35">
      <c r="B1166" s="4" t="str">
        <f>+IF('Data Pura Costos'!B1166="","",'Data Pura Costos'!B1166)</f>
        <v>Villaseca</v>
      </c>
      <c r="C1166" s="4" t="str">
        <f>+IF('Data Pura Costos'!C1166="","",'Data Pura Costos'!C1166)</f>
        <v>Retiro, VII reginón</v>
      </c>
      <c r="D1166" s="5">
        <f>+IF('Data Pura Costos'!D1166="","",'Data Pura Costos'!D1166)</f>
        <v>250</v>
      </c>
      <c r="E1166" s="65">
        <f>+IF('Data Pura Costos'!E1166="","",IF('Data Pura Costos'!E1166=0,MAX('Data Pura Costos'!$E$7:$E$3000)*1000,'Data Pura Costos'!E1166))</f>
        <v>720000</v>
      </c>
      <c r="F1166" s="5" t="str">
        <f>+IF('Data Pura Costos'!F1166="","",'Data Pura Costos'!F1166)</f>
        <v>Malloa</v>
      </c>
      <c r="G1166" s="5" t="str">
        <f>+IF('Data Pura Costos'!G1166="","",'Data Pura Costos'!G1166)</f>
        <v xml:space="preserve">Carlos Gómez </v>
      </c>
      <c r="H1166" s="52" t="str">
        <f>+IF('Data Pura Costos'!H1166="","",'Data Pura Costos'!H1166)</f>
        <v>Termo</v>
      </c>
      <c r="I1166" s="71">
        <f>+IF('Data Pura Costos'!I1166="","",'Data Pura Costos'!I1166)</f>
        <v>2880</v>
      </c>
      <c r="J1166" s="52" t="str">
        <f>+IF('Data Pura Costos'!J1166="","",'Data Pura Costos'!J1166)</f>
        <v>24-25</v>
      </c>
      <c r="K1166" s="82" t="str">
        <f t="shared" si="23"/>
        <v xml:space="preserve">Villaseca-Malloa-Carlos Gómez </v>
      </c>
    </row>
    <row r="1167" spans="2:11" x14ac:dyDescent="0.35">
      <c r="B1167" s="4" t="str">
        <f>+IF('Data Pura Costos'!B1167="","",'Data Pura Costos'!B1167)</f>
        <v>Almahue</v>
      </c>
      <c r="C1167" s="4" t="str">
        <f>+IF('Data Pura Costos'!C1167="","",'Data Pura Costos'!C1167)</f>
        <v>Pichidegua, VI región</v>
      </c>
      <c r="D1167" s="5">
        <f>+IF('Data Pura Costos'!D1167="","",'Data Pura Costos'!D1167)</f>
        <v>108</v>
      </c>
      <c r="E1167" s="65">
        <f>+IF('Data Pura Costos'!E1167="","",IF('Data Pura Costos'!E1167=0,MAX('Data Pura Costos'!$E$7:$E$3000)*1000,'Data Pura Costos'!E1167))</f>
        <v>380000</v>
      </c>
      <c r="F1167" s="5" t="str">
        <f>+IF('Data Pura Costos'!F1167="","",'Data Pura Costos'!F1167)</f>
        <v>Mostazal</v>
      </c>
      <c r="G1167" s="5" t="str">
        <f>+IF('Data Pura Costos'!G1167="","",'Data Pura Costos'!G1167)</f>
        <v>Francisco Astroza</v>
      </c>
      <c r="H1167" s="52" t="str">
        <f>+IF('Data Pura Costos'!H1167="","",'Data Pura Costos'!H1167)</f>
        <v>Termo</v>
      </c>
      <c r="I1167" s="71">
        <f>+IF('Data Pura Costos'!I1167="","",'Data Pura Costos'!I1167)</f>
        <v>3518.5185185185187</v>
      </c>
      <c r="J1167" s="52" t="str">
        <f>+IF('Data Pura Costos'!J1167="","",'Data Pura Costos'!J1167)</f>
        <v>24-25</v>
      </c>
      <c r="K1167" s="82" t="str">
        <f t="shared" si="23"/>
        <v>Almahue-Mostazal-Francisco Astroza</v>
      </c>
    </row>
    <row r="1168" spans="2:11" x14ac:dyDescent="0.35">
      <c r="B1168" s="4" t="str">
        <f>+IF('Data Pura Costos'!B1168="","",'Data Pura Costos'!B1168)</f>
        <v>Bodega</v>
      </c>
      <c r="C1168" s="4" t="str">
        <f>+IF('Data Pura Costos'!C1168="","",'Data Pura Costos'!C1168)</f>
        <v>Linares, VII region.</v>
      </c>
      <c r="D1168" s="5">
        <f>+IF('Data Pura Costos'!D1168="","",'Data Pura Costos'!D1168)</f>
        <v>264</v>
      </c>
      <c r="E1168" s="65">
        <f>+IF('Data Pura Costos'!E1168="","",IF('Data Pura Costos'!E1168=0,MAX('Data Pura Costos'!$E$7:$E$3000)*1000,'Data Pura Costos'!E1168))</f>
        <v>500000</v>
      </c>
      <c r="F1168" s="5" t="str">
        <f>+IF('Data Pura Costos'!F1168="","",'Data Pura Costos'!F1168)</f>
        <v>Mostazal</v>
      </c>
      <c r="G1168" s="5" t="str">
        <f>+IF('Data Pura Costos'!G1168="","",'Data Pura Costos'!G1168)</f>
        <v>Francisco Astroza</v>
      </c>
      <c r="H1168" s="52" t="str">
        <f>+IF('Data Pura Costos'!H1168="","",'Data Pura Costos'!H1168)</f>
        <v>Termo</v>
      </c>
      <c r="I1168" s="71">
        <f>+IF('Data Pura Costos'!I1168="","",'Data Pura Costos'!I1168)</f>
        <v>1893.939393939394</v>
      </c>
      <c r="J1168" s="52" t="str">
        <f>+IF('Data Pura Costos'!J1168="","",'Data Pura Costos'!J1168)</f>
        <v>24-25</v>
      </c>
      <c r="K1168" s="82" t="str">
        <f t="shared" si="23"/>
        <v>Bodega-Mostazal-Francisco Astroza</v>
      </c>
    </row>
    <row r="1169" spans="2:11" x14ac:dyDescent="0.35">
      <c r="B1169" s="4" t="str">
        <f>+IF('Data Pura Costos'!B1169="","",'Data Pura Costos'!B1169)</f>
        <v xml:space="preserve">Caliboro </v>
      </c>
      <c r="C1169" s="4" t="str">
        <f>+IF('Data Pura Costos'!C1169="","",'Data Pura Costos'!C1169)</f>
        <v>San Javier, VII región</v>
      </c>
      <c r="D1169" s="5">
        <f>+IF('Data Pura Costos'!D1169="","",'Data Pura Costos'!D1169)</f>
        <v>258</v>
      </c>
      <c r="E1169" s="65">
        <f>+IF('Data Pura Costos'!E1169="","",IF('Data Pura Costos'!E1169=0,MAX('Data Pura Costos'!$E$7:$E$3000)*1000,'Data Pura Costos'!E1169))</f>
        <v>500000</v>
      </c>
      <c r="F1169" s="5" t="str">
        <f>+IF('Data Pura Costos'!F1169="","",'Data Pura Costos'!F1169)</f>
        <v>Mostazal</v>
      </c>
      <c r="G1169" s="5" t="str">
        <f>+IF('Data Pura Costos'!G1169="","",'Data Pura Costos'!G1169)</f>
        <v>Francisco Astroza</v>
      </c>
      <c r="H1169" s="52" t="str">
        <f>+IF('Data Pura Costos'!H1169="","",'Data Pura Costos'!H1169)</f>
        <v>Termo</v>
      </c>
      <c r="I1169" s="71">
        <f>+IF('Data Pura Costos'!I1169="","",'Data Pura Costos'!I1169)</f>
        <v>1937.984496124031</v>
      </c>
      <c r="J1169" s="52" t="str">
        <f>+IF('Data Pura Costos'!J1169="","",'Data Pura Costos'!J1169)</f>
        <v>24-25</v>
      </c>
      <c r="K1169" s="82" t="str">
        <f t="shared" si="23"/>
        <v>Caliboro -Mostazal-Francisco Astroza</v>
      </c>
    </row>
    <row r="1170" spans="2:11" x14ac:dyDescent="0.35">
      <c r="B1170" s="4" t="str">
        <f>+IF('Data Pura Costos'!B1170="","",'Data Pura Costos'!B1170)</f>
        <v>Calleuque</v>
      </c>
      <c r="C1170" s="4" t="str">
        <f>+IF('Data Pura Costos'!C1170="","",'Data Pura Costos'!C1170)</f>
        <v>Peralillo ohiggins, VI región</v>
      </c>
      <c r="D1170" s="5">
        <f>+IF('Data Pura Costos'!D1170="","",'Data Pura Costos'!D1170)</f>
        <v>143</v>
      </c>
      <c r="E1170" s="65">
        <f>+IF('Data Pura Costos'!E1170="","",IF('Data Pura Costos'!E1170=0,MAX('Data Pura Costos'!$E$7:$E$3000)*1000,'Data Pura Costos'!E1170))</f>
        <v>420000</v>
      </c>
      <c r="F1170" s="5" t="str">
        <f>+IF('Data Pura Costos'!F1170="","",'Data Pura Costos'!F1170)</f>
        <v>Mostazal</v>
      </c>
      <c r="G1170" s="5" t="str">
        <f>+IF('Data Pura Costos'!G1170="","",'Data Pura Costos'!G1170)</f>
        <v>Francisco Astroza</v>
      </c>
      <c r="H1170" s="52" t="str">
        <f>+IF('Data Pura Costos'!H1170="","",'Data Pura Costos'!H1170)</f>
        <v>Termo</v>
      </c>
      <c r="I1170" s="71">
        <f>+IF('Data Pura Costos'!I1170="","",'Data Pura Costos'!I1170)</f>
        <v>2937.0629370629372</v>
      </c>
      <c r="J1170" s="52" t="str">
        <f>+IF('Data Pura Costos'!J1170="","",'Data Pura Costos'!J1170)</f>
        <v>24-25</v>
      </c>
      <c r="K1170" s="82" t="str">
        <f t="shared" si="23"/>
        <v>Calleuque-Mostazal-Francisco Astroza</v>
      </c>
    </row>
    <row r="1171" spans="2:11" x14ac:dyDescent="0.35">
      <c r="B1171" s="4" t="str">
        <f>+IF('Data Pura Costos'!B1171="","",'Data Pura Costos'!B1171)</f>
        <v>Chumpirro</v>
      </c>
      <c r="C1171" s="4" t="str">
        <f>+IF('Data Pura Costos'!C1171="","",'Data Pura Costos'!C1171)</f>
        <v>Angol, IX región</v>
      </c>
      <c r="D1171" s="5">
        <f>+IF('Data Pura Costos'!D1171="","",'Data Pura Costos'!D1171)</f>
        <v>499</v>
      </c>
      <c r="E1171" s="65">
        <f>+IF('Data Pura Costos'!E1171="","",IF('Data Pura Costos'!E1171=0,MAX('Data Pura Costos'!$E$7:$E$3000)*1000,'Data Pura Costos'!E1171))</f>
        <v>1250000</v>
      </c>
      <c r="F1171" s="5" t="str">
        <f>+IF('Data Pura Costos'!F1171="","",'Data Pura Costos'!F1171)</f>
        <v>Mostazal</v>
      </c>
      <c r="G1171" s="5" t="str">
        <f>+IF('Data Pura Costos'!G1171="","",'Data Pura Costos'!G1171)</f>
        <v>Francisco Astroza</v>
      </c>
      <c r="H1171" s="52" t="str">
        <f>+IF('Data Pura Costos'!H1171="","",'Data Pura Costos'!H1171)</f>
        <v>Termo</v>
      </c>
      <c r="I1171" s="71">
        <f>+IF('Data Pura Costos'!I1171="","",'Data Pura Costos'!I1171)</f>
        <v>2505.0100200400802</v>
      </c>
      <c r="J1171" s="52" t="str">
        <f>+IF('Data Pura Costos'!J1171="","",'Data Pura Costos'!J1171)</f>
        <v>24-25</v>
      </c>
      <c r="K1171" s="82" t="str">
        <f t="shared" si="23"/>
        <v>Chumpirro-Mostazal-Francisco Astroza</v>
      </c>
    </row>
    <row r="1172" spans="2:11" x14ac:dyDescent="0.35">
      <c r="B1172" s="4" t="str">
        <f>+IF('Data Pura Costos'!B1172="","",'Data Pura Costos'!B1172)</f>
        <v xml:space="preserve"> Cocalán</v>
      </c>
      <c r="C1172" s="4" t="str">
        <f>+IF('Data Pura Costos'!C1172="","",'Data Pura Costos'!C1172)</f>
        <v>Cocalán, VI región</v>
      </c>
      <c r="D1172" s="5">
        <f>+IF('Data Pura Costos'!D1172="","",'Data Pura Costos'!D1172)</f>
        <v>113</v>
      </c>
      <c r="E1172" s="65">
        <f>+IF('Data Pura Costos'!E1172="","",IF('Data Pura Costos'!E1172=0,MAX('Data Pura Costos'!$E$7:$E$3000)*1000,'Data Pura Costos'!E1172))</f>
        <v>380000</v>
      </c>
      <c r="F1172" s="5" t="str">
        <f>+IF('Data Pura Costos'!F1172="","",'Data Pura Costos'!F1172)</f>
        <v>Mostazal</v>
      </c>
      <c r="G1172" s="5" t="str">
        <f>+IF('Data Pura Costos'!G1172="","",'Data Pura Costos'!G1172)</f>
        <v>Francisco Astroza</v>
      </c>
      <c r="H1172" s="52" t="str">
        <f>+IF('Data Pura Costos'!H1172="","",'Data Pura Costos'!H1172)</f>
        <v>Termo</v>
      </c>
      <c r="I1172" s="71">
        <f>+IF('Data Pura Costos'!I1172="","",'Data Pura Costos'!I1172)</f>
        <v>3362.8318584070798</v>
      </c>
      <c r="J1172" s="52" t="str">
        <f>+IF('Data Pura Costos'!J1172="","",'Data Pura Costos'!J1172)</f>
        <v>24-25</v>
      </c>
      <c r="K1172" s="82" t="str">
        <f t="shared" si="23"/>
        <v xml:space="preserve"> Cocalán-Mostazal-Francisco Astroza</v>
      </c>
    </row>
    <row r="1173" spans="2:11" x14ac:dyDescent="0.35">
      <c r="B1173" s="4" t="str">
        <f>+IF('Data Pura Costos'!B1173="","",'Data Pura Costos'!B1173)</f>
        <v>El Descanso</v>
      </c>
      <c r="C1173" s="4" t="str">
        <f>+IF('Data Pura Costos'!C1173="","",'Data Pura Costos'!C1173)</f>
        <v>Sagrada Familia, VII región</v>
      </c>
      <c r="D1173" s="5">
        <f>+IF('Data Pura Costos'!D1173="","",'Data Pura Costos'!D1173)</f>
        <v>240</v>
      </c>
      <c r="E1173" s="65">
        <f>+IF('Data Pura Costos'!E1173="","",IF('Data Pura Costos'!E1173=0,MAX('Data Pura Costos'!$E$7:$E$3000)*1000,'Data Pura Costos'!E1173))</f>
        <v>450000</v>
      </c>
      <c r="F1173" s="5" t="str">
        <f>+IF('Data Pura Costos'!F1173="","",'Data Pura Costos'!F1173)</f>
        <v>Mostazal</v>
      </c>
      <c r="G1173" s="5" t="str">
        <f>+IF('Data Pura Costos'!G1173="","",'Data Pura Costos'!G1173)</f>
        <v>Francisco Astroza</v>
      </c>
      <c r="H1173" s="52" t="str">
        <f>+IF('Data Pura Costos'!H1173="","",'Data Pura Costos'!H1173)</f>
        <v>Termo</v>
      </c>
      <c r="I1173" s="71">
        <f>+IF('Data Pura Costos'!I1173="","",'Data Pura Costos'!I1173)</f>
        <v>1875</v>
      </c>
      <c r="J1173" s="52" t="str">
        <f>+IF('Data Pura Costos'!J1173="","",'Data Pura Costos'!J1173)</f>
        <v>24-25</v>
      </c>
      <c r="K1173" s="82" t="str">
        <f t="shared" si="23"/>
        <v>El Descanso-Mostazal-Francisco Astroza</v>
      </c>
    </row>
    <row r="1174" spans="2:11" x14ac:dyDescent="0.35">
      <c r="B1174" s="4" t="str">
        <f>+IF('Data Pura Costos'!B1174="","",'Data Pura Costos'!B1174)</f>
        <v>El Huaico</v>
      </c>
      <c r="C1174" s="4" t="str">
        <f>+IF('Data Pura Costos'!C1174="","",'Data Pura Costos'!C1174)</f>
        <v>Palmila Ohiggins</v>
      </c>
      <c r="D1174" s="5">
        <f>+IF('Data Pura Costos'!D1174="","",'Data Pura Costos'!D1174)</f>
        <v>124</v>
      </c>
      <c r="E1174" s="65">
        <f>+IF('Data Pura Costos'!E1174="","",IF('Data Pura Costos'!E1174=0,MAX('Data Pura Costos'!$E$7:$E$3000)*1000,'Data Pura Costos'!E1174))</f>
        <v>390000</v>
      </c>
      <c r="F1174" s="5" t="str">
        <f>+IF('Data Pura Costos'!F1174="","",'Data Pura Costos'!F1174)</f>
        <v>Mostazal</v>
      </c>
      <c r="G1174" s="5" t="str">
        <f>+IF('Data Pura Costos'!G1174="","",'Data Pura Costos'!G1174)</f>
        <v>Francisco Astroza</v>
      </c>
      <c r="H1174" s="52" t="str">
        <f>+IF('Data Pura Costos'!H1174="","",'Data Pura Costos'!H1174)</f>
        <v>Termo</v>
      </c>
      <c r="I1174" s="71">
        <f>+IF('Data Pura Costos'!I1174="","",'Data Pura Costos'!I1174)</f>
        <v>3145.1612903225805</v>
      </c>
      <c r="J1174" s="52" t="str">
        <f>+IF('Data Pura Costos'!J1174="","",'Data Pura Costos'!J1174)</f>
        <v>24-25</v>
      </c>
      <c r="K1174" s="82" t="str">
        <f t="shared" si="23"/>
        <v>El Huaico-Mostazal-Francisco Astroza</v>
      </c>
    </row>
    <row r="1175" spans="2:11" x14ac:dyDescent="0.35">
      <c r="B1175" s="4" t="str">
        <f>+IF('Data Pura Costos'!B1175="","",'Data Pura Costos'!B1175)</f>
        <v>El Rosario</v>
      </c>
      <c r="C1175" s="4" t="str">
        <f>+IF('Data Pura Costos'!C1175="","",'Data Pura Costos'!C1175)</f>
        <v>Linares, VII region.</v>
      </c>
      <c r="D1175" s="5">
        <f>+IF('Data Pura Costos'!D1175="","",'Data Pura Costos'!D1175)</f>
        <v>260</v>
      </c>
      <c r="E1175" s="65">
        <f>+IF('Data Pura Costos'!E1175="","",IF('Data Pura Costos'!E1175=0,MAX('Data Pura Costos'!$E$7:$E$3000)*1000,'Data Pura Costos'!E1175))</f>
        <v>500000</v>
      </c>
      <c r="F1175" s="5" t="str">
        <f>+IF('Data Pura Costos'!F1175="","",'Data Pura Costos'!F1175)</f>
        <v>Mostazal</v>
      </c>
      <c r="G1175" s="5" t="str">
        <f>+IF('Data Pura Costos'!G1175="","",'Data Pura Costos'!G1175)</f>
        <v>Francisco Astroza</v>
      </c>
      <c r="H1175" s="52" t="str">
        <f>+IF('Data Pura Costos'!H1175="","",'Data Pura Costos'!H1175)</f>
        <v>Termo</v>
      </c>
      <c r="I1175" s="71">
        <f>+IF('Data Pura Costos'!I1175="","",'Data Pura Costos'!I1175)</f>
        <v>1923.0769230769231</v>
      </c>
      <c r="J1175" s="52" t="str">
        <f>+IF('Data Pura Costos'!J1175="","",'Data Pura Costos'!J1175)</f>
        <v>24-25</v>
      </c>
      <c r="K1175" s="82" t="str">
        <f t="shared" si="23"/>
        <v>El Rosario-Mostazal-Francisco Astroza</v>
      </c>
    </row>
    <row r="1176" spans="2:11" x14ac:dyDescent="0.35">
      <c r="B1176" s="4" t="str">
        <f>+IF('Data Pura Costos'!B1176="","",'Data Pura Costos'!B1176)</f>
        <v>La Esperanza</v>
      </c>
      <c r="C1176" s="4" t="str">
        <f>+IF('Data Pura Costos'!C1176="","",'Data Pura Costos'!C1176)</f>
        <v>Peumo, VI región</v>
      </c>
      <c r="D1176" s="5">
        <f>+IF('Data Pura Costos'!D1176="","",'Data Pura Costos'!D1176)</f>
        <v>98</v>
      </c>
      <c r="E1176" s="65">
        <f>+IF('Data Pura Costos'!E1176="","",IF('Data Pura Costos'!E1176=0,MAX('Data Pura Costos'!$E$7:$E$3000)*1000,'Data Pura Costos'!E1176))</f>
        <v>380000</v>
      </c>
      <c r="F1176" s="5" t="str">
        <f>+IF('Data Pura Costos'!F1176="","",'Data Pura Costos'!F1176)</f>
        <v>Mostazal</v>
      </c>
      <c r="G1176" s="5" t="str">
        <f>+IF('Data Pura Costos'!G1176="","",'Data Pura Costos'!G1176)</f>
        <v>Francisco Astroza</v>
      </c>
      <c r="H1176" s="52" t="str">
        <f>+IF('Data Pura Costos'!H1176="","",'Data Pura Costos'!H1176)</f>
        <v>Termo</v>
      </c>
      <c r="I1176" s="71">
        <f>+IF('Data Pura Costos'!I1176="","",'Data Pura Costos'!I1176)</f>
        <v>3877.5510204081634</v>
      </c>
      <c r="J1176" s="52" t="str">
        <f>+IF('Data Pura Costos'!J1176="","",'Data Pura Costos'!J1176)</f>
        <v>24-25</v>
      </c>
      <c r="K1176" s="82" t="str">
        <f t="shared" si="23"/>
        <v>La Esperanza-Mostazal-Francisco Astroza</v>
      </c>
    </row>
    <row r="1177" spans="2:11" x14ac:dyDescent="0.35">
      <c r="B1177" s="4" t="str">
        <f>+IF('Data Pura Costos'!B1177="","",'Data Pura Costos'!B1177)</f>
        <v>La Estación</v>
      </c>
      <c r="C1177" s="4" t="str">
        <f>+IF('Data Pura Costos'!C1177="","",'Data Pura Costos'!C1177)</f>
        <v>Palmilla, VI región</v>
      </c>
      <c r="D1177" s="5">
        <f>+IF('Data Pura Costos'!D1177="","",'Data Pura Costos'!D1177)</f>
        <v>125</v>
      </c>
      <c r="E1177" s="65">
        <f>+IF('Data Pura Costos'!E1177="","",IF('Data Pura Costos'!E1177=0,MAX('Data Pura Costos'!$E$7:$E$3000)*1000,'Data Pura Costos'!E1177))</f>
        <v>400000</v>
      </c>
      <c r="F1177" s="5" t="str">
        <f>+IF('Data Pura Costos'!F1177="","",'Data Pura Costos'!F1177)</f>
        <v>Mostazal</v>
      </c>
      <c r="G1177" s="5" t="str">
        <f>+IF('Data Pura Costos'!G1177="","",'Data Pura Costos'!G1177)</f>
        <v>Francisco Astroza</v>
      </c>
      <c r="H1177" s="52" t="str">
        <f>+IF('Data Pura Costos'!H1177="","",'Data Pura Costos'!H1177)</f>
        <v>Termo</v>
      </c>
      <c r="I1177" s="71">
        <f>+IF('Data Pura Costos'!I1177="","",'Data Pura Costos'!I1177)</f>
        <v>3200</v>
      </c>
      <c r="J1177" s="52" t="str">
        <f>+IF('Data Pura Costos'!J1177="","",'Data Pura Costos'!J1177)</f>
        <v>24-25</v>
      </c>
      <c r="K1177" s="82" t="str">
        <f t="shared" si="23"/>
        <v>La Estación-Mostazal-Francisco Astroza</v>
      </c>
    </row>
    <row r="1178" spans="2:11" x14ac:dyDescent="0.35">
      <c r="B1178" s="4" t="str">
        <f>+IF('Data Pura Costos'!B1178="","",'Data Pura Costos'!B1178)</f>
        <v>La Lajuela</v>
      </c>
      <c r="C1178" s="4" t="str">
        <f>+IF('Data Pura Costos'!C1178="","",'Data Pura Costos'!C1178)</f>
        <v>Santa Cruz, VI Región</v>
      </c>
      <c r="D1178" s="5">
        <f>+IF('Data Pura Costos'!D1178="","",'Data Pura Costos'!D1178)</f>
        <v>128</v>
      </c>
      <c r="E1178" s="65">
        <f>+IF('Data Pura Costos'!E1178="","",IF('Data Pura Costos'!E1178=0,MAX('Data Pura Costos'!$E$7:$E$3000)*1000,'Data Pura Costos'!E1178))</f>
        <v>420000</v>
      </c>
      <c r="F1178" s="5" t="str">
        <f>+IF('Data Pura Costos'!F1178="","",'Data Pura Costos'!F1178)</f>
        <v>Mostazal</v>
      </c>
      <c r="G1178" s="5" t="str">
        <f>+IF('Data Pura Costos'!G1178="","",'Data Pura Costos'!G1178)</f>
        <v>Francisco Astroza</v>
      </c>
      <c r="H1178" s="52" t="str">
        <f>+IF('Data Pura Costos'!H1178="","",'Data Pura Costos'!H1178)</f>
        <v>Termo</v>
      </c>
      <c r="I1178" s="71">
        <f>+IF('Data Pura Costos'!I1178="","",'Data Pura Costos'!I1178)</f>
        <v>3281.25</v>
      </c>
      <c r="J1178" s="52" t="str">
        <f>+IF('Data Pura Costos'!J1178="","",'Data Pura Costos'!J1178)</f>
        <v>24-25</v>
      </c>
      <c r="K1178" s="82" t="str">
        <f t="shared" si="23"/>
        <v>La Lajuela-Mostazal-Francisco Astroza</v>
      </c>
    </row>
    <row r="1179" spans="2:11" x14ac:dyDescent="0.35">
      <c r="B1179" s="4" t="str">
        <f>+IF('Data Pura Costos'!B1179="","",'Data Pura Costos'!B1179)</f>
        <v>La Rinconada</v>
      </c>
      <c r="C1179" s="4" t="str">
        <f>+IF('Data Pura Costos'!C1179="","",'Data Pura Costos'!C1179)</f>
        <v>Pichidegua, VI región</v>
      </c>
      <c r="D1179" s="5">
        <f>+IF('Data Pura Costos'!D1179="","",'Data Pura Costos'!D1179)</f>
        <v>110</v>
      </c>
      <c r="E1179" s="65">
        <f>+IF('Data Pura Costos'!E1179="","",IF('Data Pura Costos'!E1179=0,MAX('Data Pura Costos'!$E$7:$E$3000)*1000,'Data Pura Costos'!E1179))</f>
        <v>380000</v>
      </c>
      <c r="F1179" s="5" t="str">
        <f>+IF('Data Pura Costos'!F1179="","",'Data Pura Costos'!F1179)</f>
        <v>Mostazal</v>
      </c>
      <c r="G1179" s="5" t="str">
        <f>+IF('Data Pura Costos'!G1179="","",'Data Pura Costos'!G1179)</f>
        <v>Francisco Astroza</v>
      </c>
      <c r="H1179" s="52" t="str">
        <f>+IF('Data Pura Costos'!H1179="","",'Data Pura Costos'!H1179)</f>
        <v>Termo</v>
      </c>
      <c r="I1179" s="71">
        <f>+IF('Data Pura Costos'!I1179="","",'Data Pura Costos'!I1179)</f>
        <v>3454.5454545454545</v>
      </c>
      <c r="J1179" s="52" t="str">
        <f>+IF('Data Pura Costos'!J1179="","",'Data Pura Costos'!J1179)</f>
        <v>24-25</v>
      </c>
      <c r="K1179" s="82" t="str">
        <f t="shared" si="23"/>
        <v>La Rinconada-Mostazal-Francisco Astroza</v>
      </c>
    </row>
    <row r="1180" spans="2:11" x14ac:dyDescent="0.35">
      <c r="B1180" s="4" t="str">
        <f>+IF('Data Pura Costos'!B1180="","",'Data Pura Costos'!B1180)</f>
        <v>Las Cabras</v>
      </c>
      <c r="C1180" s="4" t="str">
        <f>+IF('Data Pura Costos'!C1180="","",'Data Pura Costos'!C1180)</f>
        <v>Las Cabras, VI región</v>
      </c>
      <c r="D1180" s="5">
        <f>+IF('Data Pura Costos'!D1180="","",'Data Pura Costos'!D1180)</f>
        <v>110</v>
      </c>
      <c r="E1180" s="65">
        <f>+IF('Data Pura Costos'!E1180="","",IF('Data Pura Costos'!E1180=0,MAX('Data Pura Costos'!$E$7:$E$3000)*1000,'Data Pura Costos'!E1180))</f>
        <v>380000</v>
      </c>
      <c r="F1180" s="5" t="str">
        <f>+IF('Data Pura Costos'!F1180="","",'Data Pura Costos'!F1180)</f>
        <v>Mostazal</v>
      </c>
      <c r="G1180" s="5" t="str">
        <f>+IF('Data Pura Costos'!G1180="","",'Data Pura Costos'!G1180)</f>
        <v>Francisco Astroza</v>
      </c>
      <c r="H1180" s="52" t="str">
        <f>+IF('Data Pura Costos'!H1180="","",'Data Pura Costos'!H1180)</f>
        <v>Termo</v>
      </c>
      <c r="I1180" s="71">
        <f>+IF('Data Pura Costos'!I1180="","",'Data Pura Costos'!I1180)</f>
        <v>3454.5454545454545</v>
      </c>
      <c r="J1180" s="52" t="str">
        <f>+IF('Data Pura Costos'!J1180="","",'Data Pura Costos'!J1180)</f>
        <v>24-25</v>
      </c>
      <c r="K1180" s="82" t="str">
        <f t="shared" si="23"/>
        <v>Las Cabras-Mostazal-Francisco Astroza</v>
      </c>
    </row>
    <row r="1181" spans="2:11" x14ac:dyDescent="0.35">
      <c r="B1181" s="4" t="str">
        <f>+IF('Data Pura Costos'!B1181="","",'Data Pura Costos'!B1181)</f>
        <v>Las Vertientes</v>
      </c>
      <c r="C1181" s="4" t="str">
        <f>+IF('Data Pura Costos'!C1181="","",'Data Pura Costos'!C1181)</f>
        <v>Pichidegua, VI región</v>
      </c>
      <c r="D1181" s="5">
        <f>+IF('Data Pura Costos'!D1181="","",'Data Pura Costos'!D1181)</f>
        <v>103</v>
      </c>
      <c r="E1181" s="65">
        <f>+IF('Data Pura Costos'!E1181="","",IF('Data Pura Costos'!E1181=0,MAX('Data Pura Costos'!$E$7:$E$3000)*1000,'Data Pura Costos'!E1181))</f>
        <v>380000</v>
      </c>
      <c r="F1181" s="5" t="str">
        <f>+IF('Data Pura Costos'!F1181="","",'Data Pura Costos'!F1181)</f>
        <v>Mostazal</v>
      </c>
      <c r="G1181" s="5" t="str">
        <f>+IF('Data Pura Costos'!G1181="","",'Data Pura Costos'!G1181)</f>
        <v>Francisco Astroza</v>
      </c>
      <c r="H1181" s="52" t="str">
        <f>+IF('Data Pura Costos'!H1181="","",'Data Pura Costos'!H1181)</f>
        <v>Termo</v>
      </c>
      <c r="I1181" s="71">
        <f>+IF('Data Pura Costos'!I1181="","",'Data Pura Costos'!I1181)</f>
        <v>3689.3203883495144</v>
      </c>
      <c r="J1181" s="52" t="str">
        <f>+IF('Data Pura Costos'!J1181="","",'Data Pura Costos'!J1181)</f>
        <v>24-25</v>
      </c>
      <c r="K1181" s="82" t="str">
        <f t="shared" si="23"/>
        <v>Las Vertientes-Mostazal-Francisco Astroza</v>
      </c>
    </row>
    <row r="1182" spans="2:11" x14ac:dyDescent="0.35">
      <c r="B1182" s="4" t="str">
        <f>+IF('Data Pura Costos'!B1182="","",'Data Pura Costos'!B1182)</f>
        <v>Lihueimo</v>
      </c>
      <c r="C1182" s="4" t="str">
        <f>+IF('Data Pura Costos'!C1182="","",'Data Pura Costos'!C1182)</f>
        <v>Peralillo ohiggins</v>
      </c>
      <c r="D1182" s="5">
        <f>+IF('Data Pura Costos'!D1182="","",'Data Pura Costos'!D1182)</f>
        <v>131</v>
      </c>
      <c r="E1182" s="65">
        <f>+IF('Data Pura Costos'!E1182="","",IF('Data Pura Costos'!E1182=0,MAX('Data Pura Costos'!$E$7:$E$3000)*1000,'Data Pura Costos'!E1182))</f>
        <v>390000</v>
      </c>
      <c r="F1182" s="5" t="str">
        <f>+IF('Data Pura Costos'!F1182="","",'Data Pura Costos'!F1182)</f>
        <v>Mostazal</v>
      </c>
      <c r="G1182" s="5" t="str">
        <f>+IF('Data Pura Costos'!G1182="","",'Data Pura Costos'!G1182)</f>
        <v>Francisco Astroza</v>
      </c>
      <c r="H1182" s="52" t="str">
        <f>+IF('Data Pura Costos'!H1182="","",'Data Pura Costos'!H1182)</f>
        <v>Termo</v>
      </c>
      <c r="I1182" s="71">
        <f>+IF('Data Pura Costos'!I1182="","",'Data Pura Costos'!I1182)</f>
        <v>2977.0992366412215</v>
      </c>
      <c r="J1182" s="52" t="str">
        <f>+IF('Data Pura Costos'!J1182="","",'Data Pura Costos'!J1182)</f>
        <v>24-25</v>
      </c>
      <c r="K1182" s="82" t="str">
        <f t="shared" si="23"/>
        <v>Lihueimo-Mostazal-Francisco Astroza</v>
      </c>
    </row>
    <row r="1183" spans="2:11" x14ac:dyDescent="0.35">
      <c r="B1183" s="4" t="str">
        <f>+IF('Data Pura Costos'!B1183="","",'Data Pura Costos'!B1183)</f>
        <v>Los Maitenes</v>
      </c>
      <c r="C1183" s="4" t="str">
        <f>+IF('Data Pura Costos'!C1183="","",'Data Pura Costos'!C1183)</f>
        <v>Las Cabras, VI región</v>
      </c>
      <c r="D1183" s="5">
        <f>+IF('Data Pura Costos'!D1183="","",'Data Pura Costos'!D1183)</f>
        <v>118</v>
      </c>
      <c r="E1183" s="65">
        <f>+IF('Data Pura Costos'!E1183="","",IF('Data Pura Costos'!E1183=0,MAX('Data Pura Costos'!$E$7:$E$3000)*1000,'Data Pura Costos'!E1183))</f>
        <v>380000</v>
      </c>
      <c r="F1183" s="5" t="str">
        <f>+IF('Data Pura Costos'!F1183="","",'Data Pura Costos'!F1183)</f>
        <v>Mostazal</v>
      </c>
      <c r="G1183" s="5" t="str">
        <f>+IF('Data Pura Costos'!G1183="","",'Data Pura Costos'!G1183)</f>
        <v>Francisco Astroza</v>
      </c>
      <c r="H1183" s="52" t="str">
        <f>+IF('Data Pura Costos'!H1183="","",'Data Pura Costos'!H1183)</f>
        <v>Termo</v>
      </c>
      <c r="I1183" s="71">
        <f>+IF('Data Pura Costos'!I1183="","",'Data Pura Costos'!I1183)</f>
        <v>3220.3389830508477</v>
      </c>
      <c r="J1183" s="52" t="str">
        <f>+IF('Data Pura Costos'!J1183="","",'Data Pura Costos'!J1183)</f>
        <v>24-25</v>
      </c>
      <c r="K1183" s="82" t="str">
        <f t="shared" si="23"/>
        <v>Los Maitenes-Mostazal-Francisco Astroza</v>
      </c>
    </row>
    <row r="1184" spans="2:11" x14ac:dyDescent="0.35">
      <c r="B1184" s="4" t="str">
        <f>+IF('Data Pura Costos'!B1184="","",'Data Pura Costos'!B1184)</f>
        <v>Los Toldos</v>
      </c>
      <c r="C1184" s="4" t="str">
        <f>+IF('Data Pura Costos'!C1184="","",'Data Pura Costos'!C1184)</f>
        <v>Angol, IX región</v>
      </c>
      <c r="D1184" s="5">
        <f>+IF('Data Pura Costos'!D1184="","",'Data Pura Costos'!D1184)</f>
        <v>549</v>
      </c>
      <c r="E1184" s="65">
        <f>+IF('Data Pura Costos'!E1184="","",IF('Data Pura Costos'!E1184=0,MAX('Data Pura Costos'!$E$7:$E$3000)*1000,'Data Pura Costos'!E1184))</f>
        <v>1300000</v>
      </c>
      <c r="F1184" s="5" t="str">
        <f>+IF('Data Pura Costos'!F1184="","",'Data Pura Costos'!F1184)</f>
        <v>Mostazal</v>
      </c>
      <c r="G1184" s="5" t="str">
        <f>+IF('Data Pura Costos'!G1184="","",'Data Pura Costos'!G1184)</f>
        <v>Francisco Astroza</v>
      </c>
      <c r="H1184" s="52" t="str">
        <f>+IF('Data Pura Costos'!H1184="","",'Data Pura Costos'!H1184)</f>
        <v>Termo</v>
      </c>
      <c r="I1184" s="71">
        <f>+IF('Data Pura Costos'!I1184="","",'Data Pura Costos'!I1184)</f>
        <v>2367.9417122040072</v>
      </c>
      <c r="J1184" s="52" t="str">
        <f>+IF('Data Pura Costos'!J1184="","",'Data Pura Costos'!J1184)</f>
        <v>24-25</v>
      </c>
      <c r="K1184" s="82" t="str">
        <f t="shared" si="23"/>
        <v>Los Toldos-Mostazal-Francisco Astroza</v>
      </c>
    </row>
    <row r="1185" spans="2:11" x14ac:dyDescent="0.35">
      <c r="B1185" s="4" t="str">
        <f>+IF('Data Pura Costos'!B1185="","",'Data Pura Costos'!B1185)</f>
        <v>Talhuén</v>
      </c>
      <c r="C1185" s="4" t="str">
        <f>+IF('Data Pura Costos'!C1185="","",'Data Pura Costos'!C1185)</f>
        <v>Palmilla, VI región</v>
      </c>
      <c r="D1185" s="5">
        <f>+IF('Data Pura Costos'!D1185="","",'Data Pura Costos'!D1185)</f>
        <v>122</v>
      </c>
      <c r="E1185" s="65">
        <f>+IF('Data Pura Costos'!E1185="","",IF('Data Pura Costos'!E1185=0,MAX('Data Pura Costos'!$E$7:$E$3000)*1000,'Data Pura Costos'!E1185))</f>
        <v>400000</v>
      </c>
      <c r="F1185" s="5" t="str">
        <f>+IF('Data Pura Costos'!F1185="","",'Data Pura Costos'!F1185)</f>
        <v>Mostazal</v>
      </c>
      <c r="G1185" s="5" t="str">
        <f>+IF('Data Pura Costos'!G1185="","",'Data Pura Costos'!G1185)</f>
        <v>Francisco Astroza</v>
      </c>
      <c r="H1185" s="52" t="str">
        <f>+IF('Data Pura Costos'!H1185="","",'Data Pura Costos'!H1185)</f>
        <v>Termo</v>
      </c>
      <c r="I1185" s="71">
        <f>+IF('Data Pura Costos'!I1185="","",'Data Pura Costos'!I1185)</f>
        <v>3278.688524590164</v>
      </c>
      <c r="J1185" s="52" t="str">
        <f>+IF('Data Pura Costos'!J1185="","",'Data Pura Costos'!J1185)</f>
        <v>24-25</v>
      </c>
      <c r="K1185" s="82" t="str">
        <f t="shared" si="23"/>
        <v>Talhuén-Mostazal-Francisco Astroza</v>
      </c>
    </row>
    <row r="1186" spans="2:11" x14ac:dyDescent="0.35">
      <c r="B1186" s="4" t="str">
        <f>+IF('Data Pura Costos'!B1186="","",'Data Pura Costos'!B1186)</f>
        <v>Villaseca</v>
      </c>
      <c r="C1186" s="4" t="str">
        <f>+IF('Data Pura Costos'!C1186="","",'Data Pura Costos'!C1186)</f>
        <v>Retiro, VII reginón</v>
      </c>
      <c r="D1186" s="5">
        <f>+IF('Data Pura Costos'!D1186="","",'Data Pura Costos'!D1186)</f>
        <v>162</v>
      </c>
      <c r="E1186" s="65">
        <f>+IF('Data Pura Costos'!E1186="","",IF('Data Pura Costos'!E1186=0,MAX('Data Pura Costos'!$E$7:$E$3000)*1000,'Data Pura Costos'!E1186))</f>
        <v>500000</v>
      </c>
      <c r="F1186" s="5" t="str">
        <f>+IF('Data Pura Costos'!F1186="","",'Data Pura Costos'!F1186)</f>
        <v>Mostazal</v>
      </c>
      <c r="G1186" s="5" t="str">
        <f>+IF('Data Pura Costos'!G1186="","",'Data Pura Costos'!G1186)</f>
        <v>Francisco Astroza</v>
      </c>
      <c r="H1186" s="52" t="str">
        <f>+IF('Data Pura Costos'!H1186="","",'Data Pura Costos'!H1186)</f>
        <v>Termo</v>
      </c>
      <c r="I1186" s="71">
        <f>+IF('Data Pura Costos'!I1186="","",'Data Pura Costos'!I1186)</f>
        <v>3086.4197530864199</v>
      </c>
      <c r="J1186" s="52" t="str">
        <f>+IF('Data Pura Costos'!J1186="","",'Data Pura Costos'!J1186)</f>
        <v>24-25</v>
      </c>
      <c r="K1186" s="82" t="str">
        <f t="shared" si="23"/>
        <v>Villaseca-Mostazal-Francisco Astroza</v>
      </c>
    </row>
    <row r="1187" spans="2:11" x14ac:dyDescent="0.35">
      <c r="B1187" s="4" t="str">
        <f>+IF('Data Pura Costos'!B1187="","",'Data Pura Costos'!B1187)</f>
        <v>Almahue</v>
      </c>
      <c r="C1187" s="4" t="str">
        <f>+IF('Data Pura Costos'!C1187="","",'Data Pura Costos'!C1187)</f>
        <v>Pichidegua, VI región</v>
      </c>
      <c r="D1187" s="5">
        <f>+IF('Data Pura Costos'!D1187="","",'Data Pura Costos'!D1187)</f>
        <v>134</v>
      </c>
      <c r="E1187" s="65">
        <f>+IF('Data Pura Costos'!E1187="","",IF('Data Pura Costos'!E1187=0,MAX('Data Pura Costos'!$E$7:$E$3000)*1000,'Data Pura Costos'!E1187))</f>
        <v>390000</v>
      </c>
      <c r="F1187" s="5" t="str">
        <f>+IF('Data Pura Costos'!F1187="","",'Data Pura Costos'!F1187)</f>
        <v>Molina</v>
      </c>
      <c r="G1187" s="5" t="str">
        <f>+IF('Data Pura Costos'!G1187="","",'Data Pura Costos'!G1187)</f>
        <v>Francisco Astroza</v>
      </c>
      <c r="H1187" s="52" t="str">
        <f>+IF('Data Pura Costos'!H1187="","",'Data Pura Costos'!H1187)</f>
        <v>Termo</v>
      </c>
      <c r="I1187" s="71">
        <f>+IF('Data Pura Costos'!I1187="","",'Data Pura Costos'!I1187)</f>
        <v>2910.4477611940297</v>
      </c>
      <c r="J1187" s="52" t="str">
        <f>+IF('Data Pura Costos'!J1187="","",'Data Pura Costos'!J1187)</f>
        <v>24-25</v>
      </c>
      <c r="K1187" s="82" t="str">
        <f t="shared" si="23"/>
        <v>Almahue-Molina-Francisco Astroza</v>
      </c>
    </row>
    <row r="1188" spans="2:11" x14ac:dyDescent="0.35">
      <c r="B1188" s="4" t="str">
        <f>+IF('Data Pura Costos'!B1188="","",'Data Pura Costos'!B1188)</f>
        <v>Bodega</v>
      </c>
      <c r="C1188" s="4" t="str">
        <f>+IF('Data Pura Costos'!C1188="","",'Data Pura Costos'!C1188)</f>
        <v>Linares, VII region.</v>
      </c>
      <c r="D1188" s="5">
        <f>+IF('Data Pura Costos'!D1188="","",'Data Pura Costos'!D1188)</f>
        <v>123</v>
      </c>
      <c r="E1188" s="65">
        <f>+IF('Data Pura Costos'!E1188="","",IF('Data Pura Costos'!E1188=0,MAX('Data Pura Costos'!$E$7:$E$3000)*1000,'Data Pura Costos'!E1188))</f>
        <v>420000</v>
      </c>
      <c r="F1188" s="5" t="str">
        <f>+IF('Data Pura Costos'!F1188="","",'Data Pura Costos'!F1188)</f>
        <v>Molina</v>
      </c>
      <c r="G1188" s="5" t="str">
        <f>+IF('Data Pura Costos'!G1188="","",'Data Pura Costos'!G1188)</f>
        <v>Francisco Astroza</v>
      </c>
      <c r="H1188" s="52" t="str">
        <f>+IF('Data Pura Costos'!H1188="","",'Data Pura Costos'!H1188)</f>
        <v>Termo</v>
      </c>
      <c r="I1188" s="71">
        <f>+IF('Data Pura Costos'!I1188="","",'Data Pura Costos'!I1188)</f>
        <v>3414.6341463414633</v>
      </c>
      <c r="J1188" s="52" t="str">
        <f>+IF('Data Pura Costos'!J1188="","",'Data Pura Costos'!J1188)</f>
        <v>24-25</v>
      </c>
      <c r="K1188" s="82" t="str">
        <f t="shared" si="23"/>
        <v>Bodega-Molina-Francisco Astroza</v>
      </c>
    </row>
    <row r="1189" spans="2:11" x14ac:dyDescent="0.35">
      <c r="B1189" s="4" t="str">
        <f>+IF('Data Pura Costos'!B1189="","",'Data Pura Costos'!B1189)</f>
        <v xml:space="preserve">Caliboro </v>
      </c>
      <c r="C1189" s="4" t="str">
        <f>+IF('Data Pura Costos'!C1189="","",'Data Pura Costos'!C1189)</f>
        <v>San Javier, VII región</v>
      </c>
      <c r="D1189" s="5">
        <f>+IF('Data Pura Costos'!D1189="","",'Data Pura Costos'!D1189)</f>
        <v>118</v>
      </c>
      <c r="E1189" s="65">
        <f>+IF('Data Pura Costos'!E1189="","",IF('Data Pura Costos'!E1189=0,MAX('Data Pura Costos'!$E$7:$E$3000)*1000,'Data Pura Costos'!E1189))</f>
        <v>420000</v>
      </c>
      <c r="F1189" s="5" t="str">
        <f>+IF('Data Pura Costos'!F1189="","",'Data Pura Costos'!F1189)</f>
        <v>Molina</v>
      </c>
      <c r="G1189" s="5" t="str">
        <f>+IF('Data Pura Costos'!G1189="","",'Data Pura Costos'!G1189)</f>
        <v>Francisco Astroza</v>
      </c>
      <c r="H1189" s="52" t="str">
        <f>+IF('Data Pura Costos'!H1189="","",'Data Pura Costos'!H1189)</f>
        <v>Termo</v>
      </c>
      <c r="I1189" s="71">
        <f>+IF('Data Pura Costos'!I1189="","",'Data Pura Costos'!I1189)</f>
        <v>3559.3220338983051</v>
      </c>
      <c r="J1189" s="52" t="str">
        <f>+IF('Data Pura Costos'!J1189="","",'Data Pura Costos'!J1189)</f>
        <v>24-25</v>
      </c>
      <c r="K1189" s="82" t="str">
        <f t="shared" si="23"/>
        <v>Caliboro -Molina-Francisco Astroza</v>
      </c>
    </row>
    <row r="1190" spans="2:11" x14ac:dyDescent="0.35">
      <c r="B1190" s="4" t="str">
        <f>+IF('Data Pura Costos'!B1190="","",'Data Pura Costos'!B1190)</f>
        <v>Calleuque</v>
      </c>
      <c r="C1190" s="4" t="str">
        <f>+IF('Data Pura Costos'!C1190="","",'Data Pura Costos'!C1190)</f>
        <v>Peralillo ohiggins, VI región</v>
      </c>
      <c r="D1190" s="5">
        <f>+IF('Data Pura Costos'!D1190="","",'Data Pura Costos'!D1190)</f>
        <v>103</v>
      </c>
      <c r="E1190" s="65">
        <f>+IF('Data Pura Costos'!E1190="","",IF('Data Pura Costos'!E1190=0,MAX('Data Pura Costos'!$E$7:$E$3000)*1000,'Data Pura Costos'!E1190))</f>
        <v>380000</v>
      </c>
      <c r="F1190" s="5" t="str">
        <f>+IF('Data Pura Costos'!F1190="","",'Data Pura Costos'!F1190)</f>
        <v>Molina</v>
      </c>
      <c r="G1190" s="5" t="str">
        <f>+IF('Data Pura Costos'!G1190="","",'Data Pura Costos'!G1190)</f>
        <v>Francisco Astroza</v>
      </c>
      <c r="H1190" s="52" t="str">
        <f>+IF('Data Pura Costos'!H1190="","",'Data Pura Costos'!H1190)</f>
        <v>Termo</v>
      </c>
      <c r="I1190" s="71">
        <f>+IF('Data Pura Costos'!I1190="","",'Data Pura Costos'!I1190)</f>
        <v>3689.3203883495144</v>
      </c>
      <c r="J1190" s="52" t="str">
        <f>+IF('Data Pura Costos'!J1190="","",'Data Pura Costos'!J1190)</f>
        <v>24-25</v>
      </c>
      <c r="K1190" s="82" t="str">
        <f t="shared" si="23"/>
        <v>Calleuque-Molina-Francisco Astroza</v>
      </c>
    </row>
    <row r="1191" spans="2:11" x14ac:dyDescent="0.35">
      <c r="B1191" s="4" t="str">
        <f>+IF('Data Pura Costos'!B1191="","",'Data Pura Costos'!B1191)</f>
        <v>Chumpirro</v>
      </c>
      <c r="C1191" s="4" t="str">
        <f>+IF('Data Pura Costos'!C1191="","",'Data Pura Costos'!C1191)</f>
        <v>Angol, IX región</v>
      </c>
      <c r="D1191" s="5">
        <f>+IF('Data Pura Costos'!D1191="","",'Data Pura Costos'!D1191)</f>
        <v>358</v>
      </c>
      <c r="E1191" s="65">
        <f>+IF('Data Pura Costos'!E1191="","",IF('Data Pura Costos'!E1191=0,MAX('Data Pura Costos'!$E$7:$E$3000)*1000,'Data Pura Costos'!E1191))</f>
        <v>1100000</v>
      </c>
      <c r="F1191" s="5" t="str">
        <f>+IF('Data Pura Costos'!F1191="","",'Data Pura Costos'!F1191)</f>
        <v>Molina</v>
      </c>
      <c r="G1191" s="5" t="str">
        <f>+IF('Data Pura Costos'!G1191="","",'Data Pura Costos'!G1191)</f>
        <v>Francisco Astroza</v>
      </c>
      <c r="H1191" s="52" t="str">
        <f>+IF('Data Pura Costos'!H1191="","",'Data Pura Costos'!H1191)</f>
        <v>Termo</v>
      </c>
      <c r="I1191" s="71">
        <f>+IF('Data Pura Costos'!I1191="","",'Data Pura Costos'!I1191)</f>
        <v>3072.6256983240223</v>
      </c>
      <c r="J1191" s="52" t="str">
        <f>+IF('Data Pura Costos'!J1191="","",'Data Pura Costos'!J1191)</f>
        <v>24-25</v>
      </c>
      <c r="K1191" s="82" t="str">
        <f t="shared" si="23"/>
        <v>Chumpirro-Molina-Francisco Astroza</v>
      </c>
    </row>
    <row r="1192" spans="2:11" x14ac:dyDescent="0.35">
      <c r="B1192" s="4" t="str">
        <f>+IF('Data Pura Costos'!B1192="","",'Data Pura Costos'!B1192)</f>
        <v xml:space="preserve"> Cocalán</v>
      </c>
      <c r="C1192" s="4" t="str">
        <f>+IF('Data Pura Costos'!C1192="","",'Data Pura Costos'!C1192)</f>
        <v>Cocalán, VI región</v>
      </c>
      <c r="D1192" s="5">
        <f>+IF('Data Pura Costos'!D1192="","",'Data Pura Costos'!D1192)</f>
        <v>141</v>
      </c>
      <c r="E1192" s="65">
        <f>+IF('Data Pura Costos'!E1192="","",IF('Data Pura Costos'!E1192=0,MAX('Data Pura Costos'!$E$7:$E$3000)*1000,'Data Pura Costos'!E1192))</f>
        <v>390000</v>
      </c>
      <c r="F1192" s="5" t="str">
        <f>+IF('Data Pura Costos'!F1192="","",'Data Pura Costos'!F1192)</f>
        <v>Molina</v>
      </c>
      <c r="G1192" s="5" t="str">
        <f>+IF('Data Pura Costos'!G1192="","",'Data Pura Costos'!G1192)</f>
        <v>Francisco Astroza</v>
      </c>
      <c r="H1192" s="52" t="str">
        <f>+IF('Data Pura Costos'!H1192="","",'Data Pura Costos'!H1192)</f>
        <v>Termo</v>
      </c>
      <c r="I1192" s="71">
        <f>+IF('Data Pura Costos'!I1192="","",'Data Pura Costos'!I1192)</f>
        <v>2765.9574468085107</v>
      </c>
      <c r="J1192" s="52" t="str">
        <f>+IF('Data Pura Costos'!J1192="","",'Data Pura Costos'!J1192)</f>
        <v>24-25</v>
      </c>
      <c r="K1192" s="82" t="str">
        <f t="shared" si="23"/>
        <v xml:space="preserve"> Cocalán-Molina-Francisco Astroza</v>
      </c>
    </row>
    <row r="1193" spans="2:11" x14ac:dyDescent="0.35">
      <c r="B1193" s="4" t="str">
        <f>+IF('Data Pura Costos'!B1193="","",'Data Pura Costos'!B1193)</f>
        <v>El Descanso</v>
      </c>
      <c r="C1193" s="4" t="str">
        <f>+IF('Data Pura Costos'!C1193="","",'Data Pura Costos'!C1193)</f>
        <v>Sagrada Familia, VII región</v>
      </c>
      <c r="D1193" s="5">
        <f>+IF('Data Pura Costos'!D1193="","",'Data Pura Costos'!D1193)</f>
        <v>22</v>
      </c>
      <c r="E1193" s="65">
        <f>+IF('Data Pura Costos'!E1193="","",IF('Data Pura Costos'!E1193=0,MAX('Data Pura Costos'!$E$7:$E$3000)*1000,'Data Pura Costos'!E1193))</f>
        <v>250000</v>
      </c>
      <c r="F1193" s="5" t="str">
        <f>+IF('Data Pura Costos'!F1193="","",'Data Pura Costos'!F1193)</f>
        <v>Molina</v>
      </c>
      <c r="G1193" s="5" t="str">
        <f>+IF('Data Pura Costos'!G1193="","",'Data Pura Costos'!G1193)</f>
        <v>Francisco Astroza</v>
      </c>
      <c r="H1193" s="52" t="str">
        <f>+IF('Data Pura Costos'!H1193="","",'Data Pura Costos'!H1193)</f>
        <v>Termo</v>
      </c>
      <c r="I1193" s="71">
        <f>+IF('Data Pura Costos'!I1193="","",'Data Pura Costos'!I1193)</f>
        <v>11363.636363636364</v>
      </c>
      <c r="J1193" s="52" t="str">
        <f>+IF('Data Pura Costos'!J1193="","",'Data Pura Costos'!J1193)</f>
        <v>24-25</v>
      </c>
      <c r="K1193" s="82" t="str">
        <f t="shared" si="23"/>
        <v>El Descanso-Molina-Francisco Astroza</v>
      </c>
    </row>
    <row r="1194" spans="2:11" x14ac:dyDescent="0.35">
      <c r="B1194" s="4" t="str">
        <f>+IF('Data Pura Costos'!B1194="","",'Data Pura Costos'!B1194)</f>
        <v>El Huaico</v>
      </c>
      <c r="C1194" s="4" t="str">
        <f>+IF('Data Pura Costos'!C1194="","",'Data Pura Costos'!C1194)</f>
        <v>Palmila Ohiggins</v>
      </c>
      <c r="D1194" s="5">
        <f>+IF('Data Pura Costos'!D1194="","",'Data Pura Costos'!D1194)</f>
        <v>85</v>
      </c>
      <c r="E1194" s="65">
        <f>+IF('Data Pura Costos'!E1194="","",IF('Data Pura Costos'!E1194=0,MAX('Data Pura Costos'!$E$7:$E$3000)*1000,'Data Pura Costos'!E1194))</f>
        <v>380000</v>
      </c>
      <c r="F1194" s="5" t="str">
        <f>+IF('Data Pura Costos'!F1194="","",'Data Pura Costos'!F1194)</f>
        <v>Molina</v>
      </c>
      <c r="G1194" s="5" t="str">
        <f>+IF('Data Pura Costos'!G1194="","",'Data Pura Costos'!G1194)</f>
        <v>Francisco Astroza</v>
      </c>
      <c r="H1194" s="52" t="str">
        <f>+IF('Data Pura Costos'!H1194="","",'Data Pura Costos'!H1194)</f>
        <v>Termo</v>
      </c>
      <c r="I1194" s="71">
        <f>+IF('Data Pura Costos'!I1194="","",'Data Pura Costos'!I1194)</f>
        <v>4470.588235294118</v>
      </c>
      <c r="J1194" s="52" t="str">
        <f>+IF('Data Pura Costos'!J1194="","",'Data Pura Costos'!J1194)</f>
        <v>24-25</v>
      </c>
      <c r="K1194" s="82" t="str">
        <f t="shared" si="23"/>
        <v>El Huaico-Molina-Francisco Astroza</v>
      </c>
    </row>
    <row r="1195" spans="2:11" x14ac:dyDescent="0.35">
      <c r="B1195" s="4" t="str">
        <f>+IF('Data Pura Costos'!B1195="","",'Data Pura Costos'!B1195)</f>
        <v>El Rosario</v>
      </c>
      <c r="C1195" s="4" t="str">
        <f>+IF('Data Pura Costos'!C1195="","",'Data Pura Costos'!C1195)</f>
        <v>Linares, VII region.</v>
      </c>
      <c r="D1195" s="5">
        <f>+IF('Data Pura Costos'!D1195="","",'Data Pura Costos'!D1195)</f>
        <v>120</v>
      </c>
      <c r="E1195" s="65">
        <f>+IF('Data Pura Costos'!E1195="","",IF('Data Pura Costos'!E1195=0,MAX('Data Pura Costos'!$E$7:$E$3000)*1000,'Data Pura Costos'!E1195))</f>
        <v>420000</v>
      </c>
      <c r="F1195" s="5" t="str">
        <f>+IF('Data Pura Costos'!F1195="","",'Data Pura Costos'!F1195)</f>
        <v>Molina</v>
      </c>
      <c r="G1195" s="5" t="str">
        <f>+IF('Data Pura Costos'!G1195="","",'Data Pura Costos'!G1195)</f>
        <v>Francisco Astroza</v>
      </c>
      <c r="H1195" s="52" t="str">
        <f>+IF('Data Pura Costos'!H1195="","",'Data Pura Costos'!H1195)</f>
        <v>Termo</v>
      </c>
      <c r="I1195" s="71">
        <f>+IF('Data Pura Costos'!I1195="","",'Data Pura Costos'!I1195)</f>
        <v>3500</v>
      </c>
      <c r="J1195" s="52" t="str">
        <f>+IF('Data Pura Costos'!J1195="","",'Data Pura Costos'!J1195)</f>
        <v>24-25</v>
      </c>
      <c r="K1195" s="82" t="str">
        <f t="shared" si="23"/>
        <v>El Rosario-Molina-Francisco Astroza</v>
      </c>
    </row>
    <row r="1196" spans="2:11" x14ac:dyDescent="0.35">
      <c r="B1196" s="4" t="str">
        <f>+IF('Data Pura Costos'!B1196="","",'Data Pura Costos'!B1196)</f>
        <v>La Esperanza</v>
      </c>
      <c r="C1196" s="4" t="str">
        <f>+IF('Data Pura Costos'!C1196="","",'Data Pura Costos'!C1196)</f>
        <v>Peumo, VI región</v>
      </c>
      <c r="D1196" s="5">
        <f>+IF('Data Pura Costos'!D1196="","",'Data Pura Costos'!D1196)</f>
        <v>125</v>
      </c>
      <c r="E1196" s="65">
        <f>+IF('Data Pura Costos'!E1196="","",IF('Data Pura Costos'!E1196=0,MAX('Data Pura Costos'!$E$7:$E$3000)*1000,'Data Pura Costos'!E1196))</f>
        <v>420000</v>
      </c>
      <c r="F1196" s="5" t="str">
        <f>+IF('Data Pura Costos'!F1196="","",'Data Pura Costos'!F1196)</f>
        <v>Molina</v>
      </c>
      <c r="G1196" s="5" t="str">
        <f>+IF('Data Pura Costos'!G1196="","",'Data Pura Costos'!G1196)</f>
        <v>Francisco Astroza</v>
      </c>
      <c r="H1196" s="52" t="str">
        <f>+IF('Data Pura Costos'!H1196="","",'Data Pura Costos'!H1196)</f>
        <v>Termo</v>
      </c>
      <c r="I1196" s="71">
        <f>+IF('Data Pura Costos'!I1196="","",'Data Pura Costos'!I1196)</f>
        <v>3360</v>
      </c>
      <c r="J1196" s="52" t="str">
        <f>+IF('Data Pura Costos'!J1196="","",'Data Pura Costos'!J1196)</f>
        <v>24-25</v>
      </c>
      <c r="K1196" s="82" t="str">
        <f t="shared" si="23"/>
        <v>La Esperanza-Molina-Francisco Astroza</v>
      </c>
    </row>
    <row r="1197" spans="2:11" x14ac:dyDescent="0.35">
      <c r="B1197" s="4" t="str">
        <f>+IF('Data Pura Costos'!B1197="","",'Data Pura Costos'!B1197)</f>
        <v>La Estación</v>
      </c>
      <c r="C1197" s="4" t="str">
        <f>+IF('Data Pura Costos'!C1197="","",'Data Pura Costos'!C1197)</f>
        <v>Palmilla, VI región</v>
      </c>
      <c r="D1197" s="5">
        <f>+IF('Data Pura Costos'!D1197="","",'Data Pura Costos'!D1197)</f>
        <v>90</v>
      </c>
      <c r="E1197" s="65">
        <f>+IF('Data Pura Costos'!E1197="","",IF('Data Pura Costos'!E1197=0,MAX('Data Pura Costos'!$E$7:$E$3000)*1000,'Data Pura Costos'!E1197))</f>
        <v>410000</v>
      </c>
      <c r="F1197" s="5" t="str">
        <f>+IF('Data Pura Costos'!F1197="","",'Data Pura Costos'!F1197)</f>
        <v>Molina</v>
      </c>
      <c r="G1197" s="5" t="str">
        <f>+IF('Data Pura Costos'!G1197="","",'Data Pura Costos'!G1197)</f>
        <v>Francisco Astroza</v>
      </c>
      <c r="H1197" s="52" t="str">
        <f>+IF('Data Pura Costos'!H1197="","",'Data Pura Costos'!H1197)</f>
        <v>Termo</v>
      </c>
      <c r="I1197" s="71">
        <f>+IF('Data Pura Costos'!I1197="","",'Data Pura Costos'!I1197)</f>
        <v>4555.5555555555557</v>
      </c>
      <c r="J1197" s="52" t="str">
        <f>+IF('Data Pura Costos'!J1197="","",'Data Pura Costos'!J1197)</f>
        <v>24-25</v>
      </c>
      <c r="K1197" s="82" t="str">
        <f t="shared" si="23"/>
        <v>La Estación-Molina-Francisco Astroza</v>
      </c>
    </row>
    <row r="1198" spans="2:11" x14ac:dyDescent="0.35">
      <c r="B1198" s="4" t="str">
        <f>+IF('Data Pura Costos'!B1198="","",'Data Pura Costos'!B1198)</f>
        <v>La Lajuela</v>
      </c>
      <c r="C1198" s="4" t="str">
        <f>+IF('Data Pura Costos'!C1198="","",'Data Pura Costos'!C1198)</f>
        <v>Santa Cruz, VI Región</v>
      </c>
      <c r="D1198" s="5">
        <f>+IF('Data Pura Costos'!D1198="","",'Data Pura Costos'!D1198)</f>
        <v>80</v>
      </c>
      <c r="E1198" s="65">
        <f>+IF('Data Pura Costos'!E1198="","",IF('Data Pura Costos'!E1198=0,MAX('Data Pura Costos'!$E$7:$E$3000)*1000,'Data Pura Costos'!E1198))</f>
        <v>410000</v>
      </c>
      <c r="F1198" s="5" t="str">
        <f>+IF('Data Pura Costos'!F1198="","",'Data Pura Costos'!F1198)</f>
        <v>Molina</v>
      </c>
      <c r="G1198" s="5" t="str">
        <f>+IF('Data Pura Costos'!G1198="","",'Data Pura Costos'!G1198)</f>
        <v>Francisco Astroza</v>
      </c>
      <c r="H1198" s="52" t="str">
        <f>+IF('Data Pura Costos'!H1198="","",'Data Pura Costos'!H1198)</f>
        <v>Termo</v>
      </c>
      <c r="I1198" s="71">
        <f>+IF('Data Pura Costos'!I1198="","",'Data Pura Costos'!I1198)</f>
        <v>5125</v>
      </c>
      <c r="J1198" s="52" t="str">
        <f>+IF('Data Pura Costos'!J1198="","",'Data Pura Costos'!J1198)</f>
        <v>24-25</v>
      </c>
      <c r="K1198" s="82" t="str">
        <f t="shared" si="23"/>
        <v>La Lajuela-Molina-Francisco Astroza</v>
      </c>
    </row>
    <row r="1199" spans="2:11" x14ac:dyDescent="0.35">
      <c r="B1199" s="4" t="str">
        <f>+IF('Data Pura Costos'!B1199="","",'Data Pura Costos'!B1199)</f>
        <v>La Rinconada</v>
      </c>
      <c r="C1199" s="4" t="str">
        <f>+IF('Data Pura Costos'!C1199="","",'Data Pura Costos'!C1199)</f>
        <v>Pichidegua, VI región</v>
      </c>
      <c r="D1199" s="5">
        <f>+IF('Data Pura Costos'!D1199="","",'Data Pura Costos'!D1199)</f>
        <v>133</v>
      </c>
      <c r="E1199" s="65">
        <f>+IF('Data Pura Costos'!E1199="","",IF('Data Pura Costos'!E1199=0,MAX('Data Pura Costos'!$E$7:$E$3000)*1000,'Data Pura Costos'!E1199))</f>
        <v>390000</v>
      </c>
      <c r="F1199" s="5" t="str">
        <f>+IF('Data Pura Costos'!F1199="","",'Data Pura Costos'!F1199)</f>
        <v>Molina</v>
      </c>
      <c r="G1199" s="5" t="str">
        <f>+IF('Data Pura Costos'!G1199="","",'Data Pura Costos'!G1199)</f>
        <v>Francisco Astroza</v>
      </c>
      <c r="H1199" s="52" t="str">
        <f>+IF('Data Pura Costos'!H1199="","",'Data Pura Costos'!H1199)</f>
        <v>Termo</v>
      </c>
      <c r="I1199" s="71">
        <f>+IF('Data Pura Costos'!I1199="","",'Data Pura Costos'!I1199)</f>
        <v>2932.3308270676694</v>
      </c>
      <c r="J1199" s="52" t="str">
        <f>+IF('Data Pura Costos'!J1199="","",'Data Pura Costos'!J1199)</f>
        <v>24-25</v>
      </c>
      <c r="K1199" s="82" t="str">
        <f t="shared" si="23"/>
        <v>La Rinconada-Molina-Francisco Astroza</v>
      </c>
    </row>
    <row r="1200" spans="2:11" x14ac:dyDescent="0.35">
      <c r="B1200" s="4" t="str">
        <f>+IF('Data Pura Costos'!B1200="","",'Data Pura Costos'!B1200)</f>
        <v>Las Cabras</v>
      </c>
      <c r="C1200" s="4" t="str">
        <f>+IF('Data Pura Costos'!C1200="","",'Data Pura Costos'!C1200)</f>
        <v>Las Cabras, VI región</v>
      </c>
      <c r="D1200" s="5">
        <f>+IF('Data Pura Costos'!D1200="","",'Data Pura Costos'!D1200)</f>
        <v>140</v>
      </c>
      <c r="E1200" s="65">
        <f>+IF('Data Pura Costos'!E1200="","",IF('Data Pura Costos'!E1200=0,MAX('Data Pura Costos'!$E$7:$E$3000)*1000,'Data Pura Costos'!E1200))</f>
        <v>390000</v>
      </c>
      <c r="F1200" s="5" t="str">
        <f>+IF('Data Pura Costos'!F1200="","",'Data Pura Costos'!F1200)</f>
        <v>Molina</v>
      </c>
      <c r="G1200" s="5" t="str">
        <f>+IF('Data Pura Costos'!G1200="","",'Data Pura Costos'!G1200)</f>
        <v>Francisco Astroza</v>
      </c>
      <c r="H1200" s="52" t="str">
        <f>+IF('Data Pura Costos'!H1200="","",'Data Pura Costos'!H1200)</f>
        <v>Termo</v>
      </c>
      <c r="I1200" s="71">
        <f>+IF('Data Pura Costos'!I1200="","",'Data Pura Costos'!I1200)</f>
        <v>2785.7142857142858</v>
      </c>
      <c r="J1200" s="52" t="str">
        <f>+IF('Data Pura Costos'!J1200="","",'Data Pura Costos'!J1200)</f>
        <v>24-25</v>
      </c>
      <c r="K1200" s="82" t="str">
        <f t="shared" si="23"/>
        <v>Las Cabras-Molina-Francisco Astroza</v>
      </c>
    </row>
    <row r="1201" spans="2:11" x14ac:dyDescent="0.35">
      <c r="B1201" s="4" t="str">
        <f>+IF('Data Pura Costos'!B1201="","",'Data Pura Costos'!B1201)</f>
        <v>Las Vertientes</v>
      </c>
      <c r="C1201" s="4" t="str">
        <f>+IF('Data Pura Costos'!C1201="","",'Data Pura Costos'!C1201)</f>
        <v>Pichidegua, VI región</v>
      </c>
      <c r="D1201" s="5">
        <f>+IF('Data Pura Costos'!D1201="","",'Data Pura Costos'!D1201)</f>
        <v>130</v>
      </c>
      <c r="E1201" s="65">
        <f>+IF('Data Pura Costos'!E1201="","",IF('Data Pura Costos'!E1201=0,MAX('Data Pura Costos'!$E$7:$E$3000)*1000,'Data Pura Costos'!E1201))</f>
        <v>390000</v>
      </c>
      <c r="F1201" s="5" t="str">
        <f>+IF('Data Pura Costos'!F1201="","",'Data Pura Costos'!F1201)</f>
        <v>Molina</v>
      </c>
      <c r="G1201" s="5" t="str">
        <f>+IF('Data Pura Costos'!G1201="","",'Data Pura Costos'!G1201)</f>
        <v>Francisco Astroza</v>
      </c>
      <c r="H1201" s="52" t="str">
        <f>+IF('Data Pura Costos'!H1201="","",'Data Pura Costos'!H1201)</f>
        <v>Termo</v>
      </c>
      <c r="I1201" s="71">
        <f>+IF('Data Pura Costos'!I1201="","",'Data Pura Costos'!I1201)</f>
        <v>3000</v>
      </c>
      <c r="J1201" s="52" t="str">
        <f>+IF('Data Pura Costos'!J1201="","",'Data Pura Costos'!J1201)</f>
        <v>24-25</v>
      </c>
      <c r="K1201" s="82" t="str">
        <f t="shared" si="23"/>
        <v>Las Vertientes-Molina-Francisco Astroza</v>
      </c>
    </row>
    <row r="1202" spans="2:11" x14ac:dyDescent="0.35">
      <c r="B1202" s="4" t="str">
        <f>+IF('Data Pura Costos'!B1202="","",'Data Pura Costos'!B1202)</f>
        <v>Lihueimo</v>
      </c>
      <c r="C1202" s="4" t="str">
        <f>+IF('Data Pura Costos'!C1202="","",'Data Pura Costos'!C1202)</f>
        <v>Peralillo ohiggins</v>
      </c>
      <c r="D1202" s="5">
        <f>+IF('Data Pura Costos'!D1202="","",'Data Pura Costos'!D1202)</f>
        <v>90</v>
      </c>
      <c r="E1202" s="65">
        <f>+IF('Data Pura Costos'!E1202="","",IF('Data Pura Costos'!E1202=0,MAX('Data Pura Costos'!$E$7:$E$3000)*1000,'Data Pura Costos'!E1202))</f>
        <v>380000</v>
      </c>
      <c r="F1202" s="5" t="str">
        <f>+IF('Data Pura Costos'!F1202="","",'Data Pura Costos'!F1202)</f>
        <v>Molina</v>
      </c>
      <c r="G1202" s="5" t="str">
        <f>+IF('Data Pura Costos'!G1202="","",'Data Pura Costos'!G1202)</f>
        <v>Francisco Astroza</v>
      </c>
      <c r="H1202" s="52" t="str">
        <f>+IF('Data Pura Costos'!H1202="","",'Data Pura Costos'!H1202)</f>
        <v>Termo</v>
      </c>
      <c r="I1202" s="71">
        <f>+IF('Data Pura Costos'!I1202="","",'Data Pura Costos'!I1202)</f>
        <v>4222.2222222222226</v>
      </c>
      <c r="J1202" s="52" t="str">
        <f>+IF('Data Pura Costos'!J1202="","",'Data Pura Costos'!J1202)</f>
        <v>24-25</v>
      </c>
      <c r="K1202" s="82" t="str">
        <f t="shared" si="23"/>
        <v>Lihueimo-Molina-Francisco Astroza</v>
      </c>
    </row>
    <row r="1203" spans="2:11" x14ac:dyDescent="0.35">
      <c r="B1203" s="4" t="str">
        <f>+IF('Data Pura Costos'!B1203="","",'Data Pura Costos'!B1203)</f>
        <v>Los Maitenes</v>
      </c>
      <c r="C1203" s="4" t="str">
        <f>+IF('Data Pura Costos'!C1203="","",'Data Pura Costos'!C1203)</f>
        <v>Las Cabras, VI región</v>
      </c>
      <c r="D1203" s="5">
        <f>+IF('Data Pura Costos'!D1203="","",'Data Pura Costos'!D1203)</f>
        <v>144</v>
      </c>
      <c r="E1203" s="65">
        <f>+IF('Data Pura Costos'!E1203="","",IF('Data Pura Costos'!E1203=0,MAX('Data Pura Costos'!$E$7:$E$3000)*1000,'Data Pura Costos'!E1203))</f>
        <v>390000</v>
      </c>
      <c r="F1203" s="5" t="str">
        <f>+IF('Data Pura Costos'!F1203="","",'Data Pura Costos'!F1203)</f>
        <v>Molina</v>
      </c>
      <c r="G1203" s="5" t="str">
        <f>+IF('Data Pura Costos'!G1203="","",'Data Pura Costos'!G1203)</f>
        <v>Francisco Astroza</v>
      </c>
      <c r="H1203" s="52" t="str">
        <f>+IF('Data Pura Costos'!H1203="","",'Data Pura Costos'!H1203)</f>
        <v>Termo</v>
      </c>
      <c r="I1203" s="71">
        <f>+IF('Data Pura Costos'!I1203="","",'Data Pura Costos'!I1203)</f>
        <v>2708.3333333333335</v>
      </c>
      <c r="J1203" s="52" t="str">
        <f>+IF('Data Pura Costos'!J1203="","",'Data Pura Costos'!J1203)</f>
        <v>24-25</v>
      </c>
      <c r="K1203" s="82" t="str">
        <f t="shared" si="23"/>
        <v>Los Maitenes-Molina-Francisco Astroza</v>
      </c>
    </row>
    <row r="1204" spans="2:11" x14ac:dyDescent="0.35">
      <c r="B1204" s="4" t="str">
        <f>+IF('Data Pura Costos'!B1204="","",'Data Pura Costos'!B1204)</f>
        <v>Los Toldos</v>
      </c>
      <c r="C1204" s="4" t="str">
        <f>+IF('Data Pura Costos'!C1204="","",'Data Pura Costos'!C1204)</f>
        <v>Angol, IX región</v>
      </c>
      <c r="D1204" s="5">
        <f>+IF('Data Pura Costos'!D1204="","",'Data Pura Costos'!D1204)</f>
        <v>408</v>
      </c>
      <c r="E1204" s="65">
        <f>+IF('Data Pura Costos'!E1204="","",IF('Data Pura Costos'!E1204=0,MAX('Data Pura Costos'!$E$7:$E$3000)*1000,'Data Pura Costos'!E1204))</f>
        <v>1200000</v>
      </c>
      <c r="F1204" s="5" t="str">
        <f>+IF('Data Pura Costos'!F1204="","",'Data Pura Costos'!F1204)</f>
        <v>Molina</v>
      </c>
      <c r="G1204" s="5" t="str">
        <f>+IF('Data Pura Costos'!G1204="","",'Data Pura Costos'!G1204)</f>
        <v>Francisco Astroza</v>
      </c>
      <c r="H1204" s="52" t="str">
        <f>+IF('Data Pura Costos'!H1204="","",'Data Pura Costos'!H1204)</f>
        <v>Termo</v>
      </c>
      <c r="I1204" s="71">
        <f>+IF('Data Pura Costos'!I1204="","",'Data Pura Costos'!I1204)</f>
        <v>2941.1764705882351</v>
      </c>
      <c r="J1204" s="52" t="str">
        <f>+IF('Data Pura Costos'!J1204="","",'Data Pura Costos'!J1204)</f>
        <v>24-25</v>
      </c>
      <c r="K1204" s="82" t="str">
        <f t="shared" si="23"/>
        <v>Los Toldos-Molina-Francisco Astroza</v>
      </c>
    </row>
    <row r="1205" spans="2:11" x14ac:dyDescent="0.35">
      <c r="B1205" s="4" t="str">
        <f>+IF('Data Pura Costos'!B1205="","",'Data Pura Costos'!B1205)</f>
        <v>Talhuén</v>
      </c>
      <c r="C1205" s="4" t="str">
        <f>+IF('Data Pura Costos'!C1205="","",'Data Pura Costos'!C1205)</f>
        <v>Palmilla, VI región</v>
      </c>
      <c r="D1205" s="5">
        <f>+IF('Data Pura Costos'!D1205="","",'Data Pura Costos'!D1205)</f>
        <v>95</v>
      </c>
      <c r="E1205" s="65">
        <f>+IF('Data Pura Costos'!E1205="","",IF('Data Pura Costos'!E1205=0,MAX('Data Pura Costos'!$E$7:$E$3000)*1000,'Data Pura Costos'!E1205))</f>
        <v>410000</v>
      </c>
      <c r="F1205" s="5" t="str">
        <f>+IF('Data Pura Costos'!F1205="","",'Data Pura Costos'!F1205)</f>
        <v>Molina</v>
      </c>
      <c r="G1205" s="5" t="str">
        <f>+IF('Data Pura Costos'!G1205="","",'Data Pura Costos'!G1205)</f>
        <v>Francisco Astroza</v>
      </c>
      <c r="H1205" s="52" t="str">
        <f>+IF('Data Pura Costos'!H1205="","",'Data Pura Costos'!H1205)</f>
        <v>Termo</v>
      </c>
      <c r="I1205" s="71">
        <f>+IF('Data Pura Costos'!I1205="","",'Data Pura Costos'!I1205)</f>
        <v>4315.7894736842109</v>
      </c>
      <c r="J1205" s="52" t="str">
        <f>+IF('Data Pura Costos'!J1205="","",'Data Pura Costos'!J1205)</f>
        <v>24-25</v>
      </c>
      <c r="K1205" s="82" t="str">
        <f t="shared" si="23"/>
        <v>Talhuén-Molina-Francisco Astroza</v>
      </c>
    </row>
    <row r="1206" spans="2:11" x14ac:dyDescent="0.35">
      <c r="B1206" s="4" t="str">
        <f>+IF('Data Pura Costos'!B1206="","",'Data Pura Costos'!B1206)</f>
        <v>Villaseca</v>
      </c>
      <c r="C1206" s="4" t="str">
        <f>+IF('Data Pura Costos'!C1206="","",'Data Pura Costos'!C1206)</f>
        <v>Retiro, VII reginón</v>
      </c>
      <c r="D1206" s="5" t="str">
        <f>+IF('Data Pura Costos'!D1206="","",'Data Pura Costos'!D1206)</f>
        <v/>
      </c>
      <c r="E1206" s="65">
        <f>+IF('Data Pura Costos'!E1206="","",IF('Data Pura Costos'!E1206=0,MAX('Data Pura Costos'!$E$7:$E$3000)*1000,'Data Pura Costos'!E1206))</f>
        <v>430000</v>
      </c>
      <c r="F1206" s="5" t="str">
        <f>+IF('Data Pura Costos'!F1206="","",'Data Pura Costos'!F1206)</f>
        <v>Molina</v>
      </c>
      <c r="G1206" s="5" t="str">
        <f>+IF('Data Pura Costos'!G1206="","",'Data Pura Costos'!G1206)</f>
        <v>Francisco Astroza</v>
      </c>
      <c r="H1206" s="52" t="str">
        <f>+IF('Data Pura Costos'!H1206="","",'Data Pura Costos'!H1206)</f>
        <v>Termo</v>
      </c>
      <c r="I1206" s="71" t="e">
        <f>+IF('Data Pura Costos'!I1206="","",'Data Pura Costos'!I1206)</f>
        <v>#DIV/0!</v>
      </c>
      <c r="J1206" s="52" t="str">
        <f>+IF('Data Pura Costos'!J1206="","",'Data Pura Costos'!J1206)</f>
        <v>24-25</v>
      </c>
      <c r="K1206" s="82" t="str">
        <f t="shared" si="23"/>
        <v>Villaseca-Molina-Francisco Astroza</v>
      </c>
    </row>
    <row r="1207" spans="2:11" x14ac:dyDescent="0.35">
      <c r="B1207" s="4" t="str">
        <f>+IF('Data Pura Costos'!B1207="","",'Data Pura Costos'!B1207)</f>
        <v>Almahue</v>
      </c>
      <c r="C1207" s="4" t="str">
        <f>+IF('Data Pura Costos'!C1207="","",'Data Pura Costos'!C1207)</f>
        <v>Pichidegua, VI región</v>
      </c>
      <c r="D1207" s="5">
        <f>+IF('Data Pura Costos'!D1207="","",'Data Pura Costos'!D1207)</f>
        <v>50</v>
      </c>
      <c r="E1207" s="65">
        <f>+IF('Data Pura Costos'!E1207="","",IF('Data Pura Costos'!E1207=0,MAX('Data Pura Costos'!$E$7:$E$3000)*1000,'Data Pura Costos'!E1207))</f>
        <v>320000</v>
      </c>
      <c r="F1207" s="5" t="str">
        <f>+IF('Data Pura Costos'!F1207="","",'Data Pura Costos'!F1207)</f>
        <v>Malloa</v>
      </c>
      <c r="G1207" s="5" t="str">
        <f>+IF('Data Pura Costos'!G1207="","",'Data Pura Costos'!G1207)</f>
        <v>Francisco Astroza</v>
      </c>
      <c r="H1207" s="52" t="str">
        <f>+IF('Data Pura Costos'!H1207="","",'Data Pura Costos'!H1207)</f>
        <v>Termo</v>
      </c>
      <c r="I1207" s="71">
        <f>+IF('Data Pura Costos'!I1207="","",'Data Pura Costos'!I1207)</f>
        <v>6400</v>
      </c>
      <c r="J1207" s="52" t="str">
        <f>+IF('Data Pura Costos'!J1207="","",'Data Pura Costos'!J1207)</f>
        <v>24-25</v>
      </c>
      <c r="K1207" s="82" t="str">
        <f t="shared" si="23"/>
        <v>Almahue-Malloa-Francisco Astroza</v>
      </c>
    </row>
    <row r="1208" spans="2:11" x14ac:dyDescent="0.35">
      <c r="B1208" s="4" t="str">
        <f>+IF('Data Pura Costos'!B1208="","",'Data Pura Costos'!B1208)</f>
        <v>Bodega</v>
      </c>
      <c r="C1208" s="4" t="str">
        <f>+IF('Data Pura Costos'!C1208="","",'Data Pura Costos'!C1208)</f>
        <v>Linares, VII region.</v>
      </c>
      <c r="D1208" s="5">
        <f>+IF('Data Pura Costos'!D1208="","",'Data Pura Costos'!D1208)</f>
        <v>211</v>
      </c>
      <c r="E1208" s="65">
        <f>+IF('Data Pura Costos'!E1208="","",IF('Data Pura Costos'!E1208=0,MAX('Data Pura Costos'!$E$7:$E$3000)*1000,'Data Pura Costos'!E1208))</f>
        <v>500000</v>
      </c>
      <c r="F1208" s="5" t="str">
        <f>+IF('Data Pura Costos'!F1208="","",'Data Pura Costos'!F1208)</f>
        <v>Malloa</v>
      </c>
      <c r="G1208" s="5" t="str">
        <f>+IF('Data Pura Costos'!G1208="","",'Data Pura Costos'!G1208)</f>
        <v>Francisco Astroza</v>
      </c>
      <c r="H1208" s="52" t="str">
        <f>+IF('Data Pura Costos'!H1208="","",'Data Pura Costos'!H1208)</f>
        <v>Termo</v>
      </c>
      <c r="I1208" s="71">
        <f>+IF('Data Pura Costos'!I1208="","",'Data Pura Costos'!I1208)</f>
        <v>2369.6682464454975</v>
      </c>
      <c r="J1208" s="52" t="str">
        <f>+IF('Data Pura Costos'!J1208="","",'Data Pura Costos'!J1208)</f>
        <v>24-25</v>
      </c>
      <c r="K1208" s="82" t="str">
        <f t="shared" si="23"/>
        <v>Bodega-Malloa-Francisco Astroza</v>
      </c>
    </row>
    <row r="1209" spans="2:11" x14ac:dyDescent="0.35">
      <c r="B1209" s="4" t="str">
        <f>+IF('Data Pura Costos'!B1209="","",'Data Pura Costos'!B1209)</f>
        <v xml:space="preserve">Caliboro </v>
      </c>
      <c r="C1209" s="4" t="str">
        <f>+IF('Data Pura Costos'!C1209="","",'Data Pura Costos'!C1209)</f>
        <v>San Javier, VII región</v>
      </c>
      <c r="D1209" s="5">
        <f>+IF('Data Pura Costos'!D1209="","",'Data Pura Costos'!D1209)</f>
        <v>206</v>
      </c>
      <c r="E1209" s="65">
        <f>+IF('Data Pura Costos'!E1209="","",IF('Data Pura Costos'!E1209=0,MAX('Data Pura Costos'!$E$7:$E$3000)*1000,'Data Pura Costos'!E1209))</f>
        <v>500000</v>
      </c>
      <c r="F1209" s="5" t="str">
        <f>+IF('Data Pura Costos'!F1209="","",'Data Pura Costos'!F1209)</f>
        <v>Malloa</v>
      </c>
      <c r="G1209" s="5" t="str">
        <f>+IF('Data Pura Costos'!G1209="","",'Data Pura Costos'!G1209)</f>
        <v>Francisco Astroza</v>
      </c>
      <c r="H1209" s="52" t="str">
        <f>+IF('Data Pura Costos'!H1209="","",'Data Pura Costos'!H1209)</f>
        <v>Termo</v>
      </c>
      <c r="I1209" s="71">
        <f>+IF('Data Pura Costos'!I1209="","",'Data Pura Costos'!I1209)</f>
        <v>2427.1844660194174</v>
      </c>
      <c r="J1209" s="52" t="str">
        <f>+IF('Data Pura Costos'!J1209="","",'Data Pura Costos'!J1209)</f>
        <v>24-25</v>
      </c>
      <c r="K1209" s="82" t="str">
        <f t="shared" si="23"/>
        <v>Caliboro -Malloa-Francisco Astroza</v>
      </c>
    </row>
    <row r="1210" spans="2:11" x14ac:dyDescent="0.35">
      <c r="B1210" s="4" t="str">
        <f>+IF('Data Pura Costos'!B1210="","",'Data Pura Costos'!B1210)</f>
        <v>Calleuque</v>
      </c>
      <c r="C1210" s="4" t="str">
        <f>+IF('Data Pura Costos'!C1210="","",'Data Pura Costos'!C1210)</f>
        <v>Peralillo ohiggins, VI región</v>
      </c>
      <c r="D1210" s="5">
        <f>+IF('Data Pura Costos'!D1210="","",'Data Pura Costos'!D1210)</f>
        <v>80</v>
      </c>
      <c r="E1210" s="65">
        <f>+IF('Data Pura Costos'!E1210="","",IF('Data Pura Costos'!E1210=0,MAX('Data Pura Costos'!$E$7:$E$3000)*1000,'Data Pura Costos'!E1210))</f>
        <v>340000</v>
      </c>
      <c r="F1210" s="5" t="str">
        <f>+IF('Data Pura Costos'!F1210="","",'Data Pura Costos'!F1210)</f>
        <v>Malloa</v>
      </c>
      <c r="G1210" s="5" t="str">
        <f>+IF('Data Pura Costos'!G1210="","",'Data Pura Costos'!G1210)</f>
        <v>Francisco Astroza</v>
      </c>
      <c r="H1210" s="52" t="str">
        <f>+IF('Data Pura Costos'!H1210="","",'Data Pura Costos'!H1210)</f>
        <v>Termo</v>
      </c>
      <c r="I1210" s="71">
        <f>+IF('Data Pura Costos'!I1210="","",'Data Pura Costos'!I1210)</f>
        <v>4250</v>
      </c>
      <c r="J1210" s="52" t="str">
        <f>+IF('Data Pura Costos'!J1210="","",'Data Pura Costos'!J1210)</f>
        <v>24-25</v>
      </c>
      <c r="K1210" s="82" t="str">
        <f t="shared" si="23"/>
        <v>Calleuque-Malloa-Francisco Astroza</v>
      </c>
    </row>
    <row r="1211" spans="2:11" x14ac:dyDescent="0.35">
      <c r="B1211" s="4" t="str">
        <f>+IF('Data Pura Costos'!B1211="","",'Data Pura Costos'!B1211)</f>
        <v>Chumpirro</v>
      </c>
      <c r="C1211" s="4" t="str">
        <f>+IF('Data Pura Costos'!C1211="","",'Data Pura Costos'!C1211)</f>
        <v>Angol, IX región</v>
      </c>
      <c r="D1211" s="5">
        <f>+IF('Data Pura Costos'!D1211="","",'Data Pura Costos'!D1211)</f>
        <v>450</v>
      </c>
      <c r="E1211" s="65">
        <f>+IF('Data Pura Costos'!E1211="","",IF('Data Pura Costos'!E1211=0,MAX('Data Pura Costos'!$E$7:$E$3000)*1000,'Data Pura Costos'!E1211))</f>
        <v>1250000</v>
      </c>
      <c r="F1211" s="5" t="str">
        <f>+IF('Data Pura Costos'!F1211="","",'Data Pura Costos'!F1211)</f>
        <v>Malloa</v>
      </c>
      <c r="G1211" s="5" t="str">
        <f>+IF('Data Pura Costos'!G1211="","",'Data Pura Costos'!G1211)</f>
        <v>Francisco Astroza</v>
      </c>
      <c r="H1211" s="52" t="str">
        <f>+IF('Data Pura Costos'!H1211="","",'Data Pura Costos'!H1211)</f>
        <v>Termo</v>
      </c>
      <c r="I1211" s="71">
        <f>+IF('Data Pura Costos'!I1211="","",'Data Pura Costos'!I1211)</f>
        <v>2777.7777777777778</v>
      </c>
      <c r="J1211" s="52" t="str">
        <f>+IF('Data Pura Costos'!J1211="","",'Data Pura Costos'!J1211)</f>
        <v>24-25</v>
      </c>
      <c r="K1211" s="82" t="str">
        <f t="shared" si="23"/>
        <v>Chumpirro-Malloa-Francisco Astroza</v>
      </c>
    </row>
    <row r="1212" spans="2:11" x14ac:dyDescent="0.35">
      <c r="B1212" s="4" t="str">
        <f>+IF('Data Pura Costos'!B1212="","",'Data Pura Costos'!B1212)</f>
        <v xml:space="preserve"> Cocalán</v>
      </c>
      <c r="C1212" s="4" t="str">
        <f>+IF('Data Pura Costos'!C1212="","",'Data Pura Costos'!C1212)</f>
        <v>Cocalán, VI región</v>
      </c>
      <c r="D1212" s="5">
        <f>+IF('Data Pura Costos'!D1212="","",'Data Pura Costos'!D1212)</f>
        <v>50</v>
      </c>
      <c r="E1212" s="65">
        <f>+IF('Data Pura Costos'!E1212="","",IF('Data Pura Costos'!E1212=0,MAX('Data Pura Costos'!$E$7:$E$3000)*1000,'Data Pura Costos'!E1212))</f>
        <v>320000</v>
      </c>
      <c r="F1212" s="5" t="str">
        <f>+IF('Data Pura Costos'!F1212="","",'Data Pura Costos'!F1212)</f>
        <v>Malloa</v>
      </c>
      <c r="G1212" s="5" t="str">
        <f>+IF('Data Pura Costos'!G1212="","",'Data Pura Costos'!G1212)</f>
        <v>Francisco Astroza</v>
      </c>
      <c r="H1212" s="52" t="str">
        <f>+IF('Data Pura Costos'!H1212="","",'Data Pura Costos'!H1212)</f>
        <v>Termo</v>
      </c>
      <c r="I1212" s="71">
        <f>+IF('Data Pura Costos'!I1212="","",'Data Pura Costos'!I1212)</f>
        <v>6400</v>
      </c>
      <c r="J1212" s="52" t="str">
        <f>+IF('Data Pura Costos'!J1212="","",'Data Pura Costos'!J1212)</f>
        <v>24-25</v>
      </c>
      <c r="K1212" s="82" t="str">
        <f t="shared" ref="K1212:K1275" si="24">+IF(B1212="","",CONCATENATE(B1212,"-",F1212,"-",G1212))</f>
        <v xml:space="preserve"> Cocalán-Malloa-Francisco Astroza</v>
      </c>
    </row>
    <row r="1213" spans="2:11" x14ac:dyDescent="0.35">
      <c r="B1213" s="4" t="str">
        <f>+IF('Data Pura Costos'!B1213="","",'Data Pura Costos'!B1213)</f>
        <v>El Descanso</v>
      </c>
      <c r="C1213" s="4" t="str">
        <f>+IF('Data Pura Costos'!C1213="","",'Data Pura Costos'!C1213)</f>
        <v>Sagrada Familia, VII región</v>
      </c>
      <c r="D1213" s="5">
        <f>+IF('Data Pura Costos'!D1213="","",'Data Pura Costos'!D1213)</f>
        <v>100</v>
      </c>
      <c r="E1213" s="65">
        <f>+IF('Data Pura Costos'!E1213="","",IF('Data Pura Costos'!E1213=0,MAX('Data Pura Costos'!$E$7:$E$3000)*1000,'Data Pura Costos'!E1213))</f>
        <v>360000</v>
      </c>
      <c r="F1213" s="5" t="str">
        <f>+IF('Data Pura Costos'!F1213="","",'Data Pura Costos'!F1213)</f>
        <v>Malloa</v>
      </c>
      <c r="G1213" s="5" t="str">
        <f>+IF('Data Pura Costos'!G1213="","",'Data Pura Costos'!G1213)</f>
        <v>Francisco Astroza</v>
      </c>
      <c r="H1213" s="52" t="str">
        <f>+IF('Data Pura Costos'!H1213="","",'Data Pura Costos'!H1213)</f>
        <v>Termo</v>
      </c>
      <c r="I1213" s="71">
        <f>+IF('Data Pura Costos'!I1213="","",'Data Pura Costos'!I1213)</f>
        <v>3600</v>
      </c>
      <c r="J1213" s="52" t="str">
        <f>+IF('Data Pura Costos'!J1213="","",'Data Pura Costos'!J1213)</f>
        <v>24-25</v>
      </c>
      <c r="K1213" s="82" t="str">
        <f t="shared" si="24"/>
        <v>El Descanso-Malloa-Francisco Astroza</v>
      </c>
    </row>
    <row r="1214" spans="2:11" x14ac:dyDescent="0.35">
      <c r="B1214" s="4" t="str">
        <f>+IF('Data Pura Costos'!B1214="","",'Data Pura Costos'!B1214)</f>
        <v>El Rosario</v>
      </c>
      <c r="C1214" s="4" t="str">
        <f>+IF('Data Pura Costos'!C1214="","",'Data Pura Costos'!C1214)</f>
        <v>Linares, VII region.</v>
      </c>
      <c r="D1214" s="5">
        <f>+IF('Data Pura Costos'!D1214="","",'Data Pura Costos'!D1214)</f>
        <v>210</v>
      </c>
      <c r="E1214" s="65">
        <f>+IF('Data Pura Costos'!E1214="","",IF('Data Pura Costos'!E1214=0,MAX('Data Pura Costos'!$E$7:$E$3000)*1000,'Data Pura Costos'!E1214))</f>
        <v>500000</v>
      </c>
      <c r="F1214" s="5" t="str">
        <f>+IF('Data Pura Costos'!F1214="","",'Data Pura Costos'!F1214)</f>
        <v>Malloa</v>
      </c>
      <c r="G1214" s="5" t="str">
        <f>+IF('Data Pura Costos'!G1214="","",'Data Pura Costos'!G1214)</f>
        <v>Francisco Astroza</v>
      </c>
      <c r="H1214" s="52" t="str">
        <f>+IF('Data Pura Costos'!H1214="","",'Data Pura Costos'!H1214)</f>
        <v>Termo</v>
      </c>
      <c r="I1214" s="71">
        <f>+IF('Data Pura Costos'!I1214="","",'Data Pura Costos'!I1214)</f>
        <v>2380.9523809523807</v>
      </c>
      <c r="J1214" s="52" t="str">
        <f>+IF('Data Pura Costos'!J1214="","",'Data Pura Costos'!J1214)</f>
        <v>24-25</v>
      </c>
      <c r="K1214" s="82" t="str">
        <f t="shared" si="24"/>
        <v>El Rosario-Malloa-Francisco Astroza</v>
      </c>
    </row>
    <row r="1215" spans="2:11" x14ac:dyDescent="0.35">
      <c r="B1215" s="4" t="str">
        <f>+IF('Data Pura Costos'!B1215="","",'Data Pura Costos'!B1215)</f>
        <v>La Esperanza</v>
      </c>
      <c r="C1215" s="4" t="str">
        <f>+IF('Data Pura Costos'!C1215="","",'Data Pura Costos'!C1215)</f>
        <v>Peumo, VI región</v>
      </c>
      <c r="D1215" s="5">
        <f>+IF('Data Pura Costos'!D1215="","",'Data Pura Costos'!D1215)</f>
        <v>35</v>
      </c>
      <c r="E1215" s="65">
        <f>+IF('Data Pura Costos'!E1215="","",IF('Data Pura Costos'!E1215=0,MAX('Data Pura Costos'!$E$7:$E$3000)*1000,'Data Pura Costos'!E1215))</f>
        <v>290000</v>
      </c>
      <c r="F1215" s="5" t="str">
        <f>+IF('Data Pura Costos'!F1215="","",'Data Pura Costos'!F1215)</f>
        <v>Malloa</v>
      </c>
      <c r="G1215" s="5" t="str">
        <f>+IF('Data Pura Costos'!G1215="","",'Data Pura Costos'!G1215)</f>
        <v>Francisco Astroza</v>
      </c>
      <c r="H1215" s="52" t="str">
        <f>+IF('Data Pura Costos'!H1215="","",'Data Pura Costos'!H1215)</f>
        <v>Termo</v>
      </c>
      <c r="I1215" s="71">
        <f>+IF('Data Pura Costos'!I1215="","",'Data Pura Costos'!I1215)</f>
        <v>8285.7142857142862</v>
      </c>
      <c r="J1215" s="52" t="str">
        <f>+IF('Data Pura Costos'!J1215="","",'Data Pura Costos'!J1215)</f>
        <v>24-25</v>
      </c>
      <c r="K1215" s="82" t="str">
        <f t="shared" si="24"/>
        <v>La Esperanza-Malloa-Francisco Astroza</v>
      </c>
    </row>
    <row r="1216" spans="2:11" x14ac:dyDescent="0.35">
      <c r="B1216" s="4" t="str">
        <f>+IF('Data Pura Costos'!B1216="","",'Data Pura Costos'!B1216)</f>
        <v>La Estación</v>
      </c>
      <c r="C1216" s="4" t="str">
        <f>+IF('Data Pura Costos'!C1216="","",'Data Pura Costos'!C1216)</f>
        <v>Palmilla, VI región</v>
      </c>
      <c r="D1216" s="5">
        <f>+IF('Data Pura Costos'!D1216="","",'Data Pura Costos'!D1216)</f>
        <v>75</v>
      </c>
      <c r="E1216" s="65">
        <f>+IF('Data Pura Costos'!E1216="","",IF('Data Pura Costos'!E1216=0,MAX('Data Pura Costos'!$E$7:$E$3000)*1000,'Data Pura Costos'!E1216))</f>
        <v>350000</v>
      </c>
      <c r="F1216" s="5" t="str">
        <f>+IF('Data Pura Costos'!F1216="","",'Data Pura Costos'!F1216)</f>
        <v>Malloa</v>
      </c>
      <c r="G1216" s="5" t="str">
        <f>+IF('Data Pura Costos'!G1216="","",'Data Pura Costos'!G1216)</f>
        <v>Francisco Astroza</v>
      </c>
      <c r="H1216" s="52" t="str">
        <f>+IF('Data Pura Costos'!H1216="","",'Data Pura Costos'!H1216)</f>
        <v>Termo</v>
      </c>
      <c r="I1216" s="71">
        <f>+IF('Data Pura Costos'!I1216="","",'Data Pura Costos'!I1216)</f>
        <v>4666.666666666667</v>
      </c>
      <c r="J1216" s="52" t="str">
        <f>+IF('Data Pura Costos'!J1216="","",'Data Pura Costos'!J1216)</f>
        <v>24-25</v>
      </c>
      <c r="K1216" s="82" t="str">
        <f t="shared" si="24"/>
        <v>La Estación-Malloa-Francisco Astroza</v>
      </c>
    </row>
    <row r="1217" spans="2:11" x14ac:dyDescent="0.35">
      <c r="B1217" s="4" t="str">
        <f>+IF('Data Pura Costos'!B1217="","",'Data Pura Costos'!B1217)</f>
        <v>La Lajuela</v>
      </c>
      <c r="C1217" s="4" t="str">
        <f>+IF('Data Pura Costos'!C1217="","",'Data Pura Costos'!C1217)</f>
        <v>Santa Cruz, VI Región</v>
      </c>
      <c r="D1217" s="5">
        <f>+IF('Data Pura Costos'!D1217="","",'Data Pura Costos'!D1217)</f>
        <v>75</v>
      </c>
      <c r="E1217" s="65">
        <f>+IF('Data Pura Costos'!E1217="","",IF('Data Pura Costos'!E1217=0,MAX('Data Pura Costos'!$E$7:$E$3000)*1000,'Data Pura Costos'!E1217))</f>
        <v>350000</v>
      </c>
      <c r="F1217" s="5" t="str">
        <f>+IF('Data Pura Costos'!F1217="","",'Data Pura Costos'!F1217)</f>
        <v>Malloa</v>
      </c>
      <c r="G1217" s="5" t="str">
        <f>+IF('Data Pura Costos'!G1217="","",'Data Pura Costos'!G1217)</f>
        <v>Francisco Astroza</v>
      </c>
      <c r="H1217" s="52" t="str">
        <f>+IF('Data Pura Costos'!H1217="","",'Data Pura Costos'!H1217)</f>
        <v>Termo</v>
      </c>
      <c r="I1217" s="71">
        <f>+IF('Data Pura Costos'!I1217="","",'Data Pura Costos'!I1217)</f>
        <v>4666.666666666667</v>
      </c>
      <c r="J1217" s="52" t="str">
        <f>+IF('Data Pura Costos'!J1217="","",'Data Pura Costos'!J1217)</f>
        <v>24-25</v>
      </c>
      <c r="K1217" s="82" t="str">
        <f t="shared" si="24"/>
        <v>La Lajuela-Malloa-Francisco Astroza</v>
      </c>
    </row>
    <row r="1218" spans="2:11" x14ac:dyDescent="0.35">
      <c r="B1218" s="4" t="str">
        <f>+IF('Data Pura Costos'!B1218="","",'Data Pura Costos'!B1218)</f>
        <v>La Rinconada</v>
      </c>
      <c r="C1218" s="4" t="str">
        <f>+IF('Data Pura Costos'!C1218="","",'Data Pura Costos'!C1218)</f>
        <v>Pichidegua, VI región</v>
      </c>
      <c r="D1218" s="5">
        <f>+IF('Data Pura Costos'!D1218="","",'Data Pura Costos'!D1218)</f>
        <v>45</v>
      </c>
      <c r="E1218" s="65">
        <f>+IF('Data Pura Costos'!E1218="","",IF('Data Pura Costos'!E1218=0,MAX('Data Pura Costos'!$E$7:$E$3000)*1000,'Data Pura Costos'!E1218))</f>
        <v>290000</v>
      </c>
      <c r="F1218" s="5" t="str">
        <f>+IF('Data Pura Costos'!F1218="","",'Data Pura Costos'!F1218)</f>
        <v>Malloa</v>
      </c>
      <c r="G1218" s="5" t="str">
        <f>+IF('Data Pura Costos'!G1218="","",'Data Pura Costos'!G1218)</f>
        <v>Francisco Astroza</v>
      </c>
      <c r="H1218" s="52" t="str">
        <f>+IF('Data Pura Costos'!H1218="","",'Data Pura Costos'!H1218)</f>
        <v>Termo</v>
      </c>
      <c r="I1218" s="71">
        <f>+IF('Data Pura Costos'!I1218="","",'Data Pura Costos'!I1218)</f>
        <v>6444.4444444444443</v>
      </c>
      <c r="J1218" s="52" t="str">
        <f>+IF('Data Pura Costos'!J1218="","",'Data Pura Costos'!J1218)</f>
        <v>24-25</v>
      </c>
      <c r="K1218" s="82" t="str">
        <f t="shared" si="24"/>
        <v>La Rinconada-Malloa-Francisco Astroza</v>
      </c>
    </row>
    <row r="1219" spans="2:11" x14ac:dyDescent="0.35">
      <c r="B1219" s="4" t="str">
        <f>+IF('Data Pura Costos'!B1219="","",'Data Pura Costos'!B1219)</f>
        <v>Las Cabras</v>
      </c>
      <c r="C1219" s="4" t="str">
        <f>+IF('Data Pura Costos'!C1219="","",'Data Pura Costos'!C1219)</f>
        <v>Las Cabras, VI región</v>
      </c>
      <c r="D1219" s="5">
        <f>+IF('Data Pura Costos'!D1219="","",'Data Pura Costos'!D1219)</f>
        <v>45</v>
      </c>
      <c r="E1219" s="65">
        <f>+IF('Data Pura Costos'!E1219="","",IF('Data Pura Costos'!E1219=0,MAX('Data Pura Costos'!$E$7:$E$3000)*1000,'Data Pura Costos'!E1219))</f>
        <v>290000</v>
      </c>
      <c r="F1219" s="5" t="str">
        <f>+IF('Data Pura Costos'!F1219="","",'Data Pura Costos'!F1219)</f>
        <v>Malloa</v>
      </c>
      <c r="G1219" s="5" t="str">
        <f>+IF('Data Pura Costos'!G1219="","",'Data Pura Costos'!G1219)</f>
        <v>Francisco Astroza</v>
      </c>
      <c r="H1219" s="52" t="str">
        <f>+IF('Data Pura Costos'!H1219="","",'Data Pura Costos'!H1219)</f>
        <v>Termo</v>
      </c>
      <c r="I1219" s="71">
        <f>+IF('Data Pura Costos'!I1219="","",'Data Pura Costos'!I1219)</f>
        <v>6444.4444444444443</v>
      </c>
      <c r="J1219" s="52" t="str">
        <f>+IF('Data Pura Costos'!J1219="","",'Data Pura Costos'!J1219)</f>
        <v>24-25</v>
      </c>
      <c r="K1219" s="82" t="str">
        <f t="shared" si="24"/>
        <v>Las Cabras-Malloa-Francisco Astroza</v>
      </c>
    </row>
    <row r="1220" spans="2:11" x14ac:dyDescent="0.35">
      <c r="B1220" s="4" t="str">
        <f>+IF('Data Pura Costos'!B1220="","",'Data Pura Costos'!B1220)</f>
        <v>Las Vertientes</v>
      </c>
      <c r="C1220" s="4" t="str">
        <f>+IF('Data Pura Costos'!C1220="","",'Data Pura Costos'!C1220)</f>
        <v>Pichidegua, VI región</v>
      </c>
      <c r="D1220" s="5">
        <f>+IF('Data Pura Costos'!D1220="","",'Data Pura Costos'!D1220)</f>
        <v>40</v>
      </c>
      <c r="E1220" s="65">
        <f>+IF('Data Pura Costos'!E1220="","",IF('Data Pura Costos'!E1220=0,MAX('Data Pura Costos'!$E$7:$E$3000)*1000,'Data Pura Costos'!E1220))</f>
        <v>290000</v>
      </c>
      <c r="F1220" s="5" t="str">
        <f>+IF('Data Pura Costos'!F1220="","",'Data Pura Costos'!F1220)</f>
        <v>Malloa</v>
      </c>
      <c r="G1220" s="5" t="str">
        <f>+IF('Data Pura Costos'!G1220="","",'Data Pura Costos'!G1220)</f>
        <v>Francisco Astroza</v>
      </c>
      <c r="H1220" s="52" t="str">
        <f>+IF('Data Pura Costos'!H1220="","",'Data Pura Costos'!H1220)</f>
        <v>Termo</v>
      </c>
      <c r="I1220" s="71">
        <f>+IF('Data Pura Costos'!I1220="","",'Data Pura Costos'!I1220)</f>
        <v>7250</v>
      </c>
      <c r="J1220" s="52" t="str">
        <f>+IF('Data Pura Costos'!J1220="","",'Data Pura Costos'!J1220)</f>
        <v>24-25</v>
      </c>
      <c r="K1220" s="82" t="str">
        <f t="shared" si="24"/>
        <v>Las Vertientes-Malloa-Francisco Astroza</v>
      </c>
    </row>
    <row r="1221" spans="2:11" x14ac:dyDescent="0.35">
      <c r="B1221" s="4" t="str">
        <f>+IF('Data Pura Costos'!B1221="","",'Data Pura Costos'!B1221)</f>
        <v>Lihueimo</v>
      </c>
      <c r="C1221" s="4" t="str">
        <f>+IF('Data Pura Costos'!C1221="","",'Data Pura Costos'!C1221)</f>
        <v>Peralillo ohiggins</v>
      </c>
      <c r="D1221" s="5">
        <f>+IF('Data Pura Costos'!D1221="","",'Data Pura Costos'!D1221)</f>
        <v>80</v>
      </c>
      <c r="E1221" s="65">
        <f>+IF('Data Pura Costos'!E1221="","",IF('Data Pura Costos'!E1221=0,MAX('Data Pura Costos'!$E$7:$E$3000)*1000,'Data Pura Costos'!E1221))</f>
        <v>380000</v>
      </c>
      <c r="F1221" s="5" t="str">
        <f>+IF('Data Pura Costos'!F1221="","",'Data Pura Costos'!F1221)</f>
        <v>Malloa</v>
      </c>
      <c r="G1221" s="5" t="str">
        <f>+IF('Data Pura Costos'!G1221="","",'Data Pura Costos'!G1221)</f>
        <v>Francisco Astroza</v>
      </c>
      <c r="H1221" s="52" t="str">
        <f>+IF('Data Pura Costos'!H1221="","",'Data Pura Costos'!H1221)</f>
        <v>Termo</v>
      </c>
      <c r="I1221" s="71">
        <f>+IF('Data Pura Costos'!I1221="","",'Data Pura Costos'!I1221)</f>
        <v>4750</v>
      </c>
      <c r="J1221" s="52" t="str">
        <f>+IF('Data Pura Costos'!J1221="","",'Data Pura Costos'!J1221)</f>
        <v>24-25</v>
      </c>
      <c r="K1221" s="82" t="str">
        <f t="shared" si="24"/>
        <v>Lihueimo-Malloa-Francisco Astroza</v>
      </c>
    </row>
    <row r="1222" spans="2:11" x14ac:dyDescent="0.35">
      <c r="B1222" s="4" t="str">
        <f>+IF('Data Pura Costos'!B1222="","",'Data Pura Costos'!B1222)</f>
        <v>Los Maitenes</v>
      </c>
      <c r="C1222" s="4" t="str">
        <f>+IF('Data Pura Costos'!C1222="","",'Data Pura Costos'!C1222)</f>
        <v>Las Cabras, VI región</v>
      </c>
      <c r="D1222" s="5">
        <f>+IF('Data Pura Costos'!D1222="","",'Data Pura Costos'!D1222)</f>
        <v>60</v>
      </c>
      <c r="E1222" s="65">
        <f>+IF('Data Pura Costos'!E1222="","",IF('Data Pura Costos'!E1222=0,MAX('Data Pura Costos'!$E$7:$E$3000)*1000,'Data Pura Costos'!E1222))</f>
        <v>290000</v>
      </c>
      <c r="F1222" s="5" t="str">
        <f>+IF('Data Pura Costos'!F1222="","",'Data Pura Costos'!F1222)</f>
        <v>Malloa</v>
      </c>
      <c r="G1222" s="5" t="str">
        <f>+IF('Data Pura Costos'!G1222="","",'Data Pura Costos'!G1222)</f>
        <v>Francisco Astroza</v>
      </c>
      <c r="H1222" s="52" t="str">
        <f>+IF('Data Pura Costos'!H1222="","",'Data Pura Costos'!H1222)</f>
        <v>Termo</v>
      </c>
      <c r="I1222" s="71">
        <f>+IF('Data Pura Costos'!I1222="","",'Data Pura Costos'!I1222)</f>
        <v>4833.333333333333</v>
      </c>
      <c r="J1222" s="52" t="str">
        <f>+IF('Data Pura Costos'!J1222="","",'Data Pura Costos'!J1222)</f>
        <v>24-25</v>
      </c>
      <c r="K1222" s="82" t="str">
        <f t="shared" si="24"/>
        <v>Los Maitenes-Malloa-Francisco Astroza</v>
      </c>
    </row>
    <row r="1223" spans="2:11" x14ac:dyDescent="0.35">
      <c r="B1223" s="4" t="str">
        <f>+IF('Data Pura Costos'!B1223="","",'Data Pura Costos'!B1223)</f>
        <v>Los Toldos</v>
      </c>
      <c r="C1223" s="4" t="str">
        <f>+IF('Data Pura Costos'!C1223="","",'Data Pura Costos'!C1223)</f>
        <v>Angol, IX región</v>
      </c>
      <c r="D1223" s="5">
        <f>+IF('Data Pura Costos'!D1223="","",'Data Pura Costos'!D1223)</f>
        <v>50</v>
      </c>
      <c r="E1223" s="65">
        <f>+IF('Data Pura Costos'!E1223="","",IF('Data Pura Costos'!E1223=0,MAX('Data Pura Costos'!$E$7:$E$3000)*1000,'Data Pura Costos'!E1223))</f>
        <v>1250000</v>
      </c>
      <c r="F1223" s="5" t="str">
        <f>+IF('Data Pura Costos'!F1223="","",'Data Pura Costos'!F1223)</f>
        <v>Malloa</v>
      </c>
      <c r="G1223" s="5" t="str">
        <f>+IF('Data Pura Costos'!G1223="","",'Data Pura Costos'!G1223)</f>
        <v>Francisco Astroza</v>
      </c>
      <c r="H1223" s="52" t="str">
        <f>+IF('Data Pura Costos'!H1223="","",'Data Pura Costos'!H1223)</f>
        <v>Termo</v>
      </c>
      <c r="I1223" s="71">
        <f>+IF('Data Pura Costos'!I1223="","",'Data Pura Costos'!I1223)</f>
        <v>25000</v>
      </c>
      <c r="J1223" s="52" t="str">
        <f>+IF('Data Pura Costos'!J1223="","",'Data Pura Costos'!J1223)</f>
        <v>24-25</v>
      </c>
      <c r="K1223" s="82" t="str">
        <f t="shared" si="24"/>
        <v>Los Toldos-Malloa-Francisco Astroza</v>
      </c>
    </row>
    <row r="1224" spans="2:11" x14ac:dyDescent="0.35">
      <c r="B1224" s="4" t="str">
        <f>+IF('Data Pura Costos'!B1224="","",'Data Pura Costos'!B1224)</f>
        <v>Talhuén</v>
      </c>
      <c r="C1224" s="4" t="str">
        <f>+IF('Data Pura Costos'!C1224="","",'Data Pura Costos'!C1224)</f>
        <v>Palmilla, VI región</v>
      </c>
      <c r="D1224" s="5">
        <f>+IF('Data Pura Costos'!D1224="","",'Data Pura Costos'!D1224)</f>
        <v>60</v>
      </c>
      <c r="E1224" s="65">
        <f>+IF('Data Pura Costos'!E1224="","",IF('Data Pura Costos'!E1224=0,MAX('Data Pura Costos'!$E$7:$E$3000)*1000,'Data Pura Costos'!E1224))</f>
        <v>330000</v>
      </c>
      <c r="F1224" s="5" t="str">
        <f>+IF('Data Pura Costos'!F1224="","",'Data Pura Costos'!F1224)</f>
        <v>Malloa</v>
      </c>
      <c r="G1224" s="5" t="str">
        <f>+IF('Data Pura Costos'!G1224="","",'Data Pura Costos'!G1224)</f>
        <v>Francisco Astroza</v>
      </c>
      <c r="H1224" s="52" t="str">
        <f>+IF('Data Pura Costos'!H1224="","",'Data Pura Costos'!H1224)</f>
        <v>Termo</v>
      </c>
      <c r="I1224" s="71">
        <f>+IF('Data Pura Costos'!I1224="","",'Data Pura Costos'!I1224)</f>
        <v>5500</v>
      </c>
      <c r="J1224" s="52" t="str">
        <f>+IF('Data Pura Costos'!J1224="","",'Data Pura Costos'!J1224)</f>
        <v>24-25</v>
      </c>
      <c r="K1224" s="82" t="str">
        <f t="shared" si="24"/>
        <v>Talhuén-Malloa-Francisco Astroza</v>
      </c>
    </row>
    <row r="1225" spans="2:11" x14ac:dyDescent="0.35">
      <c r="B1225" s="4" t="str">
        <f>+IF('Data Pura Costos'!B1225="","",'Data Pura Costos'!B1225)</f>
        <v>Villaseca</v>
      </c>
      <c r="C1225" s="4" t="str">
        <f>+IF('Data Pura Costos'!C1225="","",'Data Pura Costos'!C1225)</f>
        <v>Retiro, VII reginón</v>
      </c>
      <c r="D1225" s="5">
        <f>+IF('Data Pura Costos'!D1225="","",'Data Pura Costos'!D1225)</f>
        <v>250</v>
      </c>
      <c r="E1225" s="65">
        <f>+IF('Data Pura Costos'!E1225="","",IF('Data Pura Costos'!E1225=0,MAX('Data Pura Costos'!$E$7:$E$3000)*1000,'Data Pura Costos'!E1225))</f>
        <v>490000</v>
      </c>
      <c r="F1225" s="5" t="str">
        <f>+IF('Data Pura Costos'!F1225="","",'Data Pura Costos'!F1225)</f>
        <v>Malloa</v>
      </c>
      <c r="G1225" s="5" t="str">
        <f>+IF('Data Pura Costos'!G1225="","",'Data Pura Costos'!G1225)</f>
        <v>Francisco Astroza</v>
      </c>
      <c r="H1225" s="52" t="str">
        <f>+IF('Data Pura Costos'!H1225="","",'Data Pura Costos'!H1225)</f>
        <v>Termo</v>
      </c>
      <c r="I1225" s="71">
        <f>+IF('Data Pura Costos'!I1225="","",'Data Pura Costos'!I1225)</f>
        <v>1960</v>
      </c>
      <c r="J1225" s="52" t="str">
        <f>+IF('Data Pura Costos'!J1225="","",'Data Pura Costos'!J1225)</f>
        <v>24-25</v>
      </c>
      <c r="K1225" s="82" t="str">
        <f t="shared" si="24"/>
        <v>Villaseca-Malloa-Francisco Astroza</v>
      </c>
    </row>
    <row r="1226" spans="2:11" x14ac:dyDescent="0.35">
      <c r="B1226" s="4" t="str">
        <f>+IF('Data Pura Costos'!B1226="","",'Data Pura Costos'!B1226)</f>
        <v>Almahue</v>
      </c>
      <c r="C1226" s="4" t="str">
        <f>+IF('Data Pura Costos'!C1226="","",'Data Pura Costos'!C1226)</f>
        <v>Pichidegua, VI región</v>
      </c>
      <c r="D1226" s="5">
        <f>+IF('Data Pura Costos'!D1226="","",'Data Pura Costos'!D1226)</f>
        <v>108</v>
      </c>
      <c r="E1226" s="65">
        <f>+IF('Data Pura Costos'!E1226="","",IF('Data Pura Costos'!E1226=0,MAX('Data Pura Costos'!$E$7:$E$3000)*1000,'Data Pura Costos'!E1226))</f>
        <v>340000</v>
      </c>
      <c r="F1226" s="5" t="str">
        <f>+IF('Data Pura Costos'!F1226="","",'Data Pura Costos'!F1226)</f>
        <v>Mostazal</v>
      </c>
      <c r="G1226" s="5" t="str">
        <f>+IF('Data Pura Costos'!G1226="","",'Data Pura Costos'!G1226)</f>
        <v>PATRICIO VALENZUELA TRANS. E.I.R.L.</v>
      </c>
      <c r="H1226" s="52" t="str">
        <f>+IF('Data Pura Costos'!H1226="","",'Data Pura Costos'!H1226)</f>
        <v>Termo</v>
      </c>
      <c r="I1226" s="71">
        <f>+IF('Data Pura Costos'!I1226="","",'Data Pura Costos'!I1226)</f>
        <v>3148.1481481481483</v>
      </c>
      <c r="J1226" s="52" t="str">
        <f>+IF('Data Pura Costos'!J1226="","",'Data Pura Costos'!J1226)</f>
        <v>24-25</v>
      </c>
      <c r="K1226" s="82" t="str">
        <f t="shared" si="24"/>
        <v>Almahue-Mostazal-PATRICIO VALENZUELA TRANS. E.I.R.L.</v>
      </c>
    </row>
    <row r="1227" spans="2:11" x14ac:dyDescent="0.35">
      <c r="B1227" s="4" t="str">
        <f>+IF('Data Pura Costos'!B1227="","",'Data Pura Costos'!B1227)</f>
        <v>El Parque</v>
      </c>
      <c r="C1227" s="4" t="str">
        <f>+IF('Data Pura Costos'!C1227="","",'Data Pura Costos'!C1227)</f>
        <v>San Francisco de Mostazal.VI Region.</v>
      </c>
      <c r="D1227" s="5">
        <f>+IF('Data Pura Costos'!D1227="","",'Data Pura Costos'!D1227)</f>
        <v>3</v>
      </c>
      <c r="E1227" s="65">
        <f>+IF('Data Pura Costos'!E1227="","",IF('Data Pura Costos'!E1227=0,MAX('Data Pura Costos'!$E$7:$E$3000)*1000,'Data Pura Costos'!E1227))</f>
        <v>320000</v>
      </c>
      <c r="F1227" s="5" t="str">
        <f>+IF('Data Pura Costos'!F1227="","",'Data Pura Costos'!F1227)</f>
        <v>Mostazal</v>
      </c>
      <c r="G1227" s="5" t="str">
        <f>+IF('Data Pura Costos'!G1227="","",'Data Pura Costos'!G1227)</f>
        <v>PATRICIO VALENZUELA TRANS. E.I.R.L.</v>
      </c>
      <c r="H1227" s="52" t="str">
        <f>+IF('Data Pura Costos'!H1227="","",'Data Pura Costos'!H1227)</f>
        <v>Termo</v>
      </c>
      <c r="I1227" s="71">
        <f>+IF('Data Pura Costos'!I1227="","",'Data Pura Costos'!I1227)</f>
        <v>106666.66666666667</v>
      </c>
      <c r="J1227" s="52" t="str">
        <f>+IF('Data Pura Costos'!J1227="","",'Data Pura Costos'!J1227)</f>
        <v>24-25</v>
      </c>
      <c r="K1227" s="82" t="str">
        <f t="shared" si="24"/>
        <v>El Parque-Mostazal-PATRICIO VALENZUELA TRANS. E.I.R.L.</v>
      </c>
    </row>
    <row r="1228" spans="2:11" x14ac:dyDescent="0.35">
      <c r="B1228" s="4" t="str">
        <f>+IF('Data Pura Costos'!B1228="","",'Data Pura Costos'!B1228)</f>
        <v>El Retiro</v>
      </c>
      <c r="C1228" s="4" t="str">
        <f>+IF('Data Pura Costos'!C1228="","",'Data Pura Costos'!C1228)</f>
        <v>Rosario, VI Region.</v>
      </c>
      <c r="D1228" s="5">
        <f>+IF('Data Pura Costos'!D1228="","",'Data Pura Costos'!D1228)</f>
        <v>45</v>
      </c>
      <c r="E1228" s="65">
        <f>+IF('Data Pura Costos'!E1228="","",IF('Data Pura Costos'!E1228=0,MAX('Data Pura Costos'!$E$7:$E$3000)*1000,'Data Pura Costos'!E1228))</f>
        <v>350000</v>
      </c>
      <c r="F1228" s="5" t="str">
        <f>+IF('Data Pura Costos'!F1228="","",'Data Pura Costos'!F1228)</f>
        <v>Mostazal</v>
      </c>
      <c r="G1228" s="5" t="str">
        <f>+IF('Data Pura Costos'!G1228="","",'Data Pura Costos'!G1228)</f>
        <v>PATRICIO VALENZUELA TRANS. E.I.R.L.</v>
      </c>
      <c r="H1228" s="52" t="str">
        <f>+IF('Data Pura Costos'!H1228="","",'Data Pura Costos'!H1228)</f>
        <v>Termo</v>
      </c>
      <c r="I1228" s="71">
        <f>+IF('Data Pura Costos'!I1228="","",'Data Pura Costos'!I1228)</f>
        <v>7777.7777777777774</v>
      </c>
      <c r="J1228" s="52" t="str">
        <f>+IF('Data Pura Costos'!J1228="","",'Data Pura Costos'!J1228)</f>
        <v>24-25</v>
      </c>
      <c r="K1228" s="82" t="str">
        <f t="shared" si="24"/>
        <v>El Retiro-Mostazal-PATRICIO VALENZUELA TRANS. E.I.R.L.</v>
      </c>
    </row>
    <row r="1229" spans="2:11" x14ac:dyDescent="0.35">
      <c r="B1229" s="4" t="str">
        <f>+IF('Data Pura Costos'!B1229="","",'Data Pura Costos'!B1229)</f>
        <v xml:space="preserve">La Roblería </v>
      </c>
      <c r="C1229" s="4" t="str">
        <f>+IF('Data Pura Costos'!C1229="","",'Data Pura Costos'!C1229)</f>
        <v>Aculeo, RM</v>
      </c>
      <c r="D1229" s="5">
        <f>+IF('Data Pura Costos'!D1229="","",'Data Pura Costos'!D1229)</f>
        <v>40</v>
      </c>
      <c r="E1229" s="65">
        <f>+IF('Data Pura Costos'!E1229="","",IF('Data Pura Costos'!E1229=0,MAX('Data Pura Costos'!$E$7:$E$3000)*1000,'Data Pura Costos'!E1229))</f>
        <v>330000</v>
      </c>
      <c r="F1229" s="5" t="str">
        <f>+IF('Data Pura Costos'!F1229="","",'Data Pura Costos'!F1229)</f>
        <v>Mostazal</v>
      </c>
      <c r="G1229" s="5" t="str">
        <f>+IF('Data Pura Costos'!G1229="","",'Data Pura Costos'!G1229)</f>
        <v>PATRICIO VALENZUELA TRANS. E.I.R.L.</v>
      </c>
      <c r="H1229" s="52" t="str">
        <f>+IF('Data Pura Costos'!H1229="","",'Data Pura Costos'!H1229)</f>
        <v>Termo</v>
      </c>
      <c r="I1229" s="71">
        <f>+IF('Data Pura Costos'!I1229="","",'Data Pura Costos'!I1229)</f>
        <v>8250</v>
      </c>
      <c r="J1229" s="52" t="str">
        <f>+IF('Data Pura Costos'!J1229="","",'Data Pura Costos'!J1229)</f>
        <v>24-25</v>
      </c>
      <c r="K1229" s="82" t="str">
        <f t="shared" si="24"/>
        <v>La Roblería -Mostazal-PATRICIO VALENZUELA TRANS. E.I.R.L.</v>
      </c>
    </row>
    <row r="1230" spans="2:11" x14ac:dyDescent="0.35">
      <c r="B1230" s="4" t="str">
        <f>+IF('Data Pura Costos'!B1230="","",'Data Pura Costos'!B1230)</f>
        <v>Entre Rios/Puente Negro/Rio Claro</v>
      </c>
      <c r="C1230" s="4" t="str">
        <f>+IF('Data Pura Costos'!C1230="","",'Data Pura Costos'!C1230)</f>
        <v>Puente negro, san fernando.VI Region.</v>
      </c>
      <c r="D1230" s="5">
        <f>+IF('Data Pura Costos'!D1230="","",'Data Pura Costos'!D1230)</f>
        <v>100</v>
      </c>
      <c r="E1230" s="65">
        <f>+IF('Data Pura Costos'!E1230="","",IF('Data Pura Costos'!E1230=0,MAX('Data Pura Costos'!$E$7:$E$3000)*1000,'Data Pura Costos'!E1230))</f>
        <v>390000</v>
      </c>
      <c r="F1230" s="5" t="str">
        <f>+IF('Data Pura Costos'!F1230="","",'Data Pura Costos'!F1230)</f>
        <v>Mostazal</v>
      </c>
      <c r="G1230" s="5" t="str">
        <f>+IF('Data Pura Costos'!G1230="","",'Data Pura Costos'!G1230)</f>
        <v>PATRICIO VALENZUELA TRANS. E.I.R.L.</v>
      </c>
      <c r="H1230" s="52" t="str">
        <f>+IF('Data Pura Costos'!H1230="","",'Data Pura Costos'!H1230)</f>
        <v>Termo</v>
      </c>
      <c r="I1230" s="71">
        <f>+IF('Data Pura Costos'!I1230="","",'Data Pura Costos'!I1230)</f>
        <v>3900</v>
      </c>
      <c r="J1230" s="52" t="str">
        <f>+IF('Data Pura Costos'!J1230="","",'Data Pura Costos'!J1230)</f>
        <v>24-25</v>
      </c>
      <c r="K1230" s="82" t="str">
        <f t="shared" si="24"/>
        <v>Entre Rios/Puente Negro/Rio Claro-Mostazal-PATRICIO VALENZUELA TRANS. E.I.R.L.</v>
      </c>
    </row>
    <row r="1231" spans="2:11" x14ac:dyDescent="0.35">
      <c r="B1231" s="4" t="str">
        <f>+IF('Data Pura Costos'!B1231="","",'Data Pura Costos'!B1231)</f>
        <v>Almahue</v>
      </c>
      <c r="C1231" s="4" t="str">
        <f>+IF('Data Pura Costos'!C1231="","",'Data Pura Costos'!C1231)</f>
        <v>Pichidegua, VI región</v>
      </c>
      <c r="D1231" s="5">
        <f>+IF('Data Pura Costos'!D1231="","",'Data Pura Costos'!D1231)</f>
        <v>134</v>
      </c>
      <c r="E1231" s="65">
        <f>+IF('Data Pura Costos'!E1231="","",IF('Data Pura Costos'!E1231=0,MAX('Data Pura Costos'!$E$7:$E$3000)*1000,'Data Pura Costos'!E1231))</f>
        <v>400000</v>
      </c>
      <c r="F1231" s="5" t="str">
        <f>+IF('Data Pura Costos'!F1231="","",'Data Pura Costos'!F1231)</f>
        <v>Molina</v>
      </c>
      <c r="G1231" s="5" t="str">
        <f>+IF('Data Pura Costos'!G1231="","",'Data Pura Costos'!G1231)</f>
        <v>PATRICIO VALENZUELA TRANS. E.I.R.L.</v>
      </c>
      <c r="H1231" s="52" t="str">
        <f>+IF('Data Pura Costos'!H1231="","",'Data Pura Costos'!H1231)</f>
        <v>Termo</v>
      </c>
      <c r="I1231" s="71">
        <f>+IF('Data Pura Costos'!I1231="","",'Data Pura Costos'!I1231)</f>
        <v>2985.0746268656717</v>
      </c>
      <c r="J1231" s="52" t="str">
        <f>+IF('Data Pura Costos'!J1231="","",'Data Pura Costos'!J1231)</f>
        <v>24-25</v>
      </c>
      <c r="K1231" s="82" t="str">
        <f t="shared" si="24"/>
        <v>Almahue-Molina-PATRICIO VALENZUELA TRANS. E.I.R.L.</v>
      </c>
    </row>
    <row r="1232" spans="2:11" x14ac:dyDescent="0.35">
      <c r="B1232" s="4" t="str">
        <f>+IF('Data Pura Costos'!B1232="","",'Data Pura Costos'!B1232)</f>
        <v>El Parque</v>
      </c>
      <c r="C1232" s="4" t="str">
        <f>+IF('Data Pura Costos'!C1232="","",'Data Pura Costos'!C1232)</f>
        <v>San Francisco de Mostazal.VI Region.</v>
      </c>
      <c r="D1232" s="5">
        <f>+IF('Data Pura Costos'!D1232="","",'Data Pura Costos'!D1232)</f>
        <v>144</v>
      </c>
      <c r="E1232" s="65">
        <f>+IF('Data Pura Costos'!E1232="","",IF('Data Pura Costos'!E1232=0,MAX('Data Pura Costos'!$E$7:$E$3000)*1000,'Data Pura Costos'!E1232))</f>
        <v>420000</v>
      </c>
      <c r="F1232" s="5" t="str">
        <f>+IF('Data Pura Costos'!F1232="","",'Data Pura Costos'!F1232)</f>
        <v>Molina</v>
      </c>
      <c r="G1232" s="5" t="str">
        <f>+IF('Data Pura Costos'!G1232="","",'Data Pura Costos'!G1232)</f>
        <v>PATRICIO VALENZUELA TRANS. E.I.R.L.</v>
      </c>
      <c r="H1232" s="52" t="str">
        <f>+IF('Data Pura Costos'!H1232="","",'Data Pura Costos'!H1232)</f>
        <v>Termo</v>
      </c>
      <c r="I1232" s="71">
        <f>+IF('Data Pura Costos'!I1232="","",'Data Pura Costos'!I1232)</f>
        <v>2916.6666666666665</v>
      </c>
      <c r="J1232" s="52" t="str">
        <f>+IF('Data Pura Costos'!J1232="","",'Data Pura Costos'!J1232)</f>
        <v>24-25</v>
      </c>
      <c r="K1232" s="82" t="str">
        <f t="shared" si="24"/>
        <v>El Parque-Molina-PATRICIO VALENZUELA TRANS. E.I.R.L.</v>
      </c>
    </row>
    <row r="1233" spans="2:11" x14ac:dyDescent="0.35">
      <c r="B1233" s="4" t="str">
        <f>+IF('Data Pura Costos'!B1233="","",'Data Pura Costos'!B1233)</f>
        <v>El Retiro</v>
      </c>
      <c r="C1233" s="4" t="str">
        <f>+IF('Data Pura Costos'!C1233="","",'Data Pura Costos'!C1233)</f>
        <v>Rosario, VI Region.</v>
      </c>
      <c r="D1233" s="5">
        <f>+IF('Data Pura Costos'!D1233="","",'Data Pura Costos'!D1233)</f>
        <v>100</v>
      </c>
      <c r="E1233" s="65">
        <f>+IF('Data Pura Costos'!E1233="","",IF('Data Pura Costos'!E1233=0,MAX('Data Pura Costos'!$E$7:$E$3000)*1000,'Data Pura Costos'!E1233))</f>
        <v>400000</v>
      </c>
      <c r="F1233" s="5" t="str">
        <f>+IF('Data Pura Costos'!F1233="","",'Data Pura Costos'!F1233)</f>
        <v>Molina</v>
      </c>
      <c r="G1233" s="5" t="str">
        <f>+IF('Data Pura Costos'!G1233="","",'Data Pura Costos'!G1233)</f>
        <v>PATRICIO VALENZUELA TRANS. E.I.R.L.</v>
      </c>
      <c r="H1233" s="52" t="str">
        <f>+IF('Data Pura Costos'!H1233="","",'Data Pura Costos'!H1233)</f>
        <v>Termo</v>
      </c>
      <c r="I1233" s="71">
        <f>+IF('Data Pura Costos'!I1233="","",'Data Pura Costos'!I1233)</f>
        <v>4000</v>
      </c>
      <c r="J1233" s="52" t="str">
        <f>+IF('Data Pura Costos'!J1233="","",'Data Pura Costos'!J1233)</f>
        <v>24-25</v>
      </c>
      <c r="K1233" s="82" t="str">
        <f t="shared" si="24"/>
        <v>El Retiro-Molina-PATRICIO VALENZUELA TRANS. E.I.R.L.</v>
      </c>
    </row>
    <row r="1234" spans="2:11" x14ac:dyDescent="0.35">
      <c r="B1234" s="4" t="str">
        <f>+IF('Data Pura Costos'!B1234="","",'Data Pura Costos'!B1234)</f>
        <v xml:space="preserve">La Roblería </v>
      </c>
      <c r="C1234" s="4" t="str">
        <f>+IF('Data Pura Costos'!C1234="","",'Data Pura Costos'!C1234)</f>
        <v>Aculeo, RM</v>
      </c>
      <c r="D1234" s="5">
        <f>+IF('Data Pura Costos'!D1234="","",'Data Pura Costos'!D1234)</f>
        <v>180</v>
      </c>
      <c r="E1234" s="65">
        <f>+IF('Data Pura Costos'!E1234="","",IF('Data Pura Costos'!E1234=0,MAX('Data Pura Costos'!$E$7:$E$3000)*1000,'Data Pura Costos'!E1234))</f>
        <v>470000</v>
      </c>
      <c r="F1234" s="5" t="str">
        <f>+IF('Data Pura Costos'!F1234="","",'Data Pura Costos'!F1234)</f>
        <v>Molina</v>
      </c>
      <c r="G1234" s="5" t="str">
        <f>+IF('Data Pura Costos'!G1234="","",'Data Pura Costos'!G1234)</f>
        <v>PATRICIO VALENZUELA TRANS. E.I.R.L.</v>
      </c>
      <c r="H1234" s="52" t="str">
        <f>+IF('Data Pura Costos'!H1234="","",'Data Pura Costos'!H1234)</f>
        <v>Termo</v>
      </c>
      <c r="I1234" s="71">
        <f>+IF('Data Pura Costos'!I1234="","",'Data Pura Costos'!I1234)</f>
        <v>2611.1111111111113</v>
      </c>
      <c r="J1234" s="52" t="str">
        <f>+IF('Data Pura Costos'!J1234="","",'Data Pura Costos'!J1234)</f>
        <v>24-25</v>
      </c>
      <c r="K1234" s="82" t="str">
        <f t="shared" si="24"/>
        <v>La Roblería -Molina-PATRICIO VALENZUELA TRANS. E.I.R.L.</v>
      </c>
    </row>
    <row r="1235" spans="2:11" x14ac:dyDescent="0.35">
      <c r="B1235" s="4" t="str">
        <f>+IF('Data Pura Costos'!B1235="","",'Data Pura Costos'!B1235)</f>
        <v>Entre Rios/Puente Negro/Rio Claro</v>
      </c>
      <c r="C1235" s="4" t="str">
        <f>+IF('Data Pura Costos'!C1235="","",'Data Pura Costos'!C1235)</f>
        <v>Puente negro, san fernando.VI Region.</v>
      </c>
      <c r="D1235" s="5">
        <f>+IF('Data Pura Costos'!D1235="","",'Data Pura Costos'!D1235)</f>
        <v>95</v>
      </c>
      <c r="E1235" s="65">
        <f>+IF('Data Pura Costos'!E1235="","",IF('Data Pura Costos'!E1235=0,MAX('Data Pura Costos'!$E$7:$E$3000)*1000,'Data Pura Costos'!E1235))</f>
        <v>390000</v>
      </c>
      <c r="F1235" s="5" t="str">
        <f>+IF('Data Pura Costos'!F1235="","",'Data Pura Costos'!F1235)</f>
        <v>Molina</v>
      </c>
      <c r="G1235" s="5" t="str">
        <f>+IF('Data Pura Costos'!G1235="","",'Data Pura Costos'!G1235)</f>
        <v>PATRICIO VALENZUELA TRANS. E.I.R.L.</v>
      </c>
      <c r="H1235" s="52" t="str">
        <f>+IF('Data Pura Costos'!H1235="","",'Data Pura Costos'!H1235)</f>
        <v>Termo</v>
      </c>
      <c r="I1235" s="71">
        <f>+IF('Data Pura Costos'!I1235="","",'Data Pura Costos'!I1235)</f>
        <v>4105.2631578947367</v>
      </c>
      <c r="J1235" s="52" t="str">
        <f>+IF('Data Pura Costos'!J1235="","",'Data Pura Costos'!J1235)</f>
        <v>24-25</v>
      </c>
      <c r="K1235" s="82" t="str">
        <f t="shared" si="24"/>
        <v>Entre Rios/Puente Negro/Rio Claro-Molina-PATRICIO VALENZUELA TRANS. E.I.R.L.</v>
      </c>
    </row>
    <row r="1236" spans="2:11" x14ac:dyDescent="0.35">
      <c r="B1236" s="4" t="str">
        <f>+IF('Data Pura Costos'!B1236="","",'Data Pura Costos'!B1236)</f>
        <v>Almahue</v>
      </c>
      <c r="C1236" s="4" t="str">
        <f>+IF('Data Pura Costos'!C1236="","",'Data Pura Costos'!C1236)</f>
        <v>Pichidegua, VI región</v>
      </c>
      <c r="D1236" s="5">
        <f>+IF('Data Pura Costos'!D1236="","",'Data Pura Costos'!D1236)</f>
        <v>50</v>
      </c>
      <c r="E1236" s="65">
        <f>+IF('Data Pura Costos'!E1236="","",IF('Data Pura Costos'!E1236=0,MAX('Data Pura Costos'!$E$7:$E$3000)*1000,'Data Pura Costos'!E1236))</f>
        <v>320000</v>
      </c>
      <c r="F1236" s="5" t="str">
        <f>+IF('Data Pura Costos'!F1236="","",'Data Pura Costos'!F1236)</f>
        <v>Malloa</v>
      </c>
      <c r="G1236" s="5" t="str">
        <f>+IF('Data Pura Costos'!G1236="","",'Data Pura Costos'!G1236)</f>
        <v>PATRICIO VALENZUELA TRANS. E.I.R.L.</v>
      </c>
      <c r="H1236" s="52" t="str">
        <f>+IF('Data Pura Costos'!H1236="","",'Data Pura Costos'!H1236)</f>
        <v>Termo</v>
      </c>
      <c r="I1236" s="71">
        <f>+IF('Data Pura Costos'!I1236="","",'Data Pura Costos'!I1236)</f>
        <v>6400</v>
      </c>
      <c r="J1236" s="52" t="str">
        <f>+IF('Data Pura Costos'!J1236="","",'Data Pura Costos'!J1236)</f>
        <v>24-25</v>
      </c>
      <c r="K1236" s="82" t="str">
        <f t="shared" si="24"/>
        <v>Almahue-Malloa-PATRICIO VALENZUELA TRANS. E.I.R.L.</v>
      </c>
    </row>
    <row r="1237" spans="2:11" x14ac:dyDescent="0.35">
      <c r="B1237" s="4" t="str">
        <f>+IF('Data Pura Costos'!B1237="","",'Data Pura Costos'!B1237)</f>
        <v>El Parque</v>
      </c>
      <c r="C1237" s="4" t="str">
        <f>+IF('Data Pura Costos'!C1237="","",'Data Pura Costos'!C1237)</f>
        <v>San Francisco de Mostazal.VI Region.</v>
      </c>
      <c r="D1237" s="5">
        <f>+IF('Data Pura Costos'!D1237="","",'Data Pura Costos'!D1237)</f>
        <v>70</v>
      </c>
      <c r="E1237" s="65">
        <f>+IF('Data Pura Costos'!E1237="","",IF('Data Pura Costos'!E1237=0,MAX('Data Pura Costos'!$E$7:$E$3000)*1000,'Data Pura Costos'!E1237))</f>
        <v>370000</v>
      </c>
      <c r="F1237" s="5" t="str">
        <f>+IF('Data Pura Costos'!F1237="","",'Data Pura Costos'!F1237)</f>
        <v>Malloa</v>
      </c>
      <c r="G1237" s="5" t="str">
        <f>+IF('Data Pura Costos'!G1237="","",'Data Pura Costos'!G1237)</f>
        <v>PATRICIO VALENZUELA TRANS. E.I.R.L.</v>
      </c>
      <c r="H1237" s="52" t="str">
        <f>+IF('Data Pura Costos'!H1237="","",'Data Pura Costos'!H1237)</f>
        <v>Termo</v>
      </c>
      <c r="I1237" s="71">
        <f>+IF('Data Pura Costos'!I1237="","",'Data Pura Costos'!I1237)</f>
        <v>5285.7142857142853</v>
      </c>
      <c r="J1237" s="52" t="str">
        <f>+IF('Data Pura Costos'!J1237="","",'Data Pura Costos'!J1237)</f>
        <v>24-25</v>
      </c>
      <c r="K1237" s="82" t="str">
        <f t="shared" si="24"/>
        <v>El Parque-Malloa-PATRICIO VALENZUELA TRANS. E.I.R.L.</v>
      </c>
    </row>
    <row r="1238" spans="2:11" x14ac:dyDescent="0.35">
      <c r="B1238" s="4" t="str">
        <f>+IF('Data Pura Costos'!B1238="","",'Data Pura Costos'!B1238)</f>
        <v>El Retiro</v>
      </c>
      <c r="C1238" s="4" t="str">
        <f>+IF('Data Pura Costos'!C1238="","",'Data Pura Costos'!C1238)</f>
        <v>Rosario, VI Region.</v>
      </c>
      <c r="D1238" s="5">
        <f>+IF('Data Pura Costos'!D1238="","",'Data Pura Costos'!D1238)</f>
        <v>25</v>
      </c>
      <c r="E1238" s="65">
        <f>+IF('Data Pura Costos'!E1238="","",IF('Data Pura Costos'!E1238=0,MAX('Data Pura Costos'!$E$7:$E$3000)*1000,'Data Pura Costos'!E1238))</f>
        <v>350000</v>
      </c>
      <c r="F1238" s="5" t="str">
        <f>+IF('Data Pura Costos'!F1238="","",'Data Pura Costos'!F1238)</f>
        <v>Malloa</v>
      </c>
      <c r="G1238" s="5" t="str">
        <f>+IF('Data Pura Costos'!G1238="","",'Data Pura Costos'!G1238)</f>
        <v>PATRICIO VALENZUELA TRANS. E.I.R.L.</v>
      </c>
      <c r="H1238" s="52" t="str">
        <f>+IF('Data Pura Costos'!H1238="","",'Data Pura Costos'!H1238)</f>
        <v>Termo</v>
      </c>
      <c r="I1238" s="71">
        <f>+IF('Data Pura Costos'!I1238="","",'Data Pura Costos'!I1238)</f>
        <v>14000</v>
      </c>
      <c r="J1238" s="52" t="str">
        <f>+IF('Data Pura Costos'!J1238="","",'Data Pura Costos'!J1238)</f>
        <v>24-25</v>
      </c>
      <c r="K1238" s="82" t="str">
        <f t="shared" si="24"/>
        <v>El Retiro-Malloa-PATRICIO VALENZUELA TRANS. E.I.R.L.</v>
      </c>
    </row>
    <row r="1239" spans="2:11" x14ac:dyDescent="0.35">
      <c r="B1239" s="4" t="str">
        <f>+IF('Data Pura Costos'!B1239="","",'Data Pura Costos'!B1239)</f>
        <v xml:space="preserve">La Roblería </v>
      </c>
      <c r="C1239" s="4" t="str">
        <f>+IF('Data Pura Costos'!C1239="","",'Data Pura Costos'!C1239)</f>
        <v>Aculeo, RM</v>
      </c>
      <c r="D1239" s="5">
        <f>+IF('Data Pura Costos'!D1239="","",'Data Pura Costos'!D1239)</f>
        <v>105</v>
      </c>
      <c r="E1239" s="65">
        <f>+IF('Data Pura Costos'!E1239="","",IF('Data Pura Costos'!E1239=0,MAX('Data Pura Costos'!$E$7:$E$3000)*1000,'Data Pura Costos'!E1239))</f>
        <v>370000</v>
      </c>
      <c r="F1239" s="5" t="str">
        <f>+IF('Data Pura Costos'!F1239="","",'Data Pura Costos'!F1239)</f>
        <v>Malloa</v>
      </c>
      <c r="G1239" s="5" t="str">
        <f>+IF('Data Pura Costos'!G1239="","",'Data Pura Costos'!G1239)</f>
        <v>PATRICIO VALENZUELA TRANS. E.I.R.L.</v>
      </c>
      <c r="H1239" s="52" t="str">
        <f>+IF('Data Pura Costos'!H1239="","",'Data Pura Costos'!H1239)</f>
        <v>Termo</v>
      </c>
      <c r="I1239" s="71">
        <f>+IF('Data Pura Costos'!I1239="","",'Data Pura Costos'!I1239)</f>
        <v>3523.8095238095239</v>
      </c>
      <c r="J1239" s="52" t="str">
        <f>+IF('Data Pura Costos'!J1239="","",'Data Pura Costos'!J1239)</f>
        <v>24-25</v>
      </c>
      <c r="K1239" s="82" t="str">
        <f t="shared" si="24"/>
        <v>La Roblería -Malloa-PATRICIO VALENZUELA TRANS. E.I.R.L.</v>
      </c>
    </row>
    <row r="1240" spans="2:11" x14ac:dyDescent="0.35">
      <c r="B1240" s="4" t="str">
        <f>+IF('Data Pura Costos'!B1240="","",'Data Pura Costos'!B1240)</f>
        <v>Entre Rios/Puente Negro/Rio Claro</v>
      </c>
      <c r="C1240" s="4" t="str">
        <f>+IF('Data Pura Costos'!C1240="","",'Data Pura Costos'!C1240)</f>
        <v>Puente negro, san fernando.VI Region.</v>
      </c>
      <c r="D1240" s="5">
        <f>+IF('Data Pura Costos'!D1240="","",'Data Pura Costos'!D1240)</f>
        <v>50</v>
      </c>
      <c r="E1240" s="65">
        <f>+IF('Data Pura Costos'!E1240="","",IF('Data Pura Costos'!E1240=0,MAX('Data Pura Costos'!$E$7:$E$3000)*1000,'Data Pura Costos'!E1240))</f>
        <v>330000</v>
      </c>
      <c r="F1240" s="5" t="str">
        <f>+IF('Data Pura Costos'!F1240="","",'Data Pura Costos'!F1240)</f>
        <v>Malloa</v>
      </c>
      <c r="G1240" s="5" t="str">
        <f>+IF('Data Pura Costos'!G1240="","",'Data Pura Costos'!G1240)</f>
        <v>PATRICIO VALENZUELA TRANS. E.I.R.L.</v>
      </c>
      <c r="H1240" s="52" t="str">
        <f>+IF('Data Pura Costos'!H1240="","",'Data Pura Costos'!H1240)</f>
        <v>Termo</v>
      </c>
      <c r="I1240" s="71">
        <f>+IF('Data Pura Costos'!I1240="","",'Data Pura Costos'!I1240)</f>
        <v>6600</v>
      </c>
      <c r="J1240" s="52" t="str">
        <f>+IF('Data Pura Costos'!J1240="","",'Data Pura Costos'!J1240)</f>
        <v>24-25</v>
      </c>
      <c r="K1240" s="82" t="str">
        <f t="shared" si="24"/>
        <v>Entre Rios/Puente Negro/Rio Claro-Malloa-PATRICIO VALENZUELA TRANS. E.I.R.L.</v>
      </c>
    </row>
    <row r="1241" spans="2:11" x14ac:dyDescent="0.35">
      <c r="B1241" s="4" t="str">
        <f>+IF('Data Pura Costos'!B1241="","",'Data Pura Costos'!B1241)</f>
        <v>Almahue</v>
      </c>
      <c r="C1241" s="4" t="str">
        <f>+IF('Data Pura Costos'!C1241="","",'Data Pura Costos'!C1241)</f>
        <v>Pichidegua, VI región</v>
      </c>
      <c r="D1241" s="5">
        <f>+IF('Data Pura Costos'!D1241="","",'Data Pura Costos'!D1241)</f>
        <v>108</v>
      </c>
      <c r="E1241" s="65">
        <f>+IF('Data Pura Costos'!E1241="","",IF('Data Pura Costos'!E1241=0,MAX('Data Pura Costos'!$E$7:$E$3000)*1000,'Data Pura Costos'!E1241))</f>
        <v>356400</v>
      </c>
      <c r="F1241" s="5" t="str">
        <f>+IF('Data Pura Costos'!F1241="","",'Data Pura Costos'!F1241)</f>
        <v>Mostazal</v>
      </c>
      <c r="G1241" s="5" t="str">
        <f>+IF('Data Pura Costos'!G1241="","",'Data Pura Costos'!G1241)</f>
        <v xml:space="preserve">Transarco </v>
      </c>
      <c r="H1241" s="52" t="str">
        <f>+IF('Data Pura Costos'!H1241="","",'Data Pura Costos'!H1241)</f>
        <v>Termo</v>
      </c>
      <c r="I1241" s="71">
        <f>+IF('Data Pura Costos'!I1241="","",'Data Pura Costos'!I1241)</f>
        <v>3300</v>
      </c>
      <c r="J1241" s="52" t="str">
        <f>+IF('Data Pura Costos'!J1241="","",'Data Pura Costos'!J1241)</f>
        <v>24-25</v>
      </c>
      <c r="K1241" s="82" t="str">
        <f t="shared" si="24"/>
        <v xml:space="preserve">Almahue-Mostazal-Transarco </v>
      </c>
    </row>
    <row r="1242" spans="2:11" x14ac:dyDescent="0.35">
      <c r="B1242" s="4" t="str">
        <f>+IF('Data Pura Costos'!B1242="","",'Data Pura Costos'!B1242)</f>
        <v>Bodega</v>
      </c>
      <c r="C1242" s="4" t="str">
        <f>+IF('Data Pura Costos'!C1242="","",'Data Pura Costos'!C1242)</f>
        <v>Linares, VII region.</v>
      </c>
      <c r="D1242" s="5">
        <f>+IF('Data Pura Costos'!D1242="","",'Data Pura Costos'!D1242)</f>
        <v>264</v>
      </c>
      <c r="E1242" s="65">
        <f>+IF('Data Pura Costos'!E1242="","",IF('Data Pura Costos'!E1242=0,MAX('Data Pura Costos'!$E$7:$E$3000)*1000,'Data Pura Costos'!E1242))</f>
        <v>792000</v>
      </c>
      <c r="F1242" s="5" t="str">
        <f>+IF('Data Pura Costos'!F1242="","",'Data Pura Costos'!F1242)</f>
        <v>Mostazal</v>
      </c>
      <c r="G1242" s="5" t="str">
        <f>+IF('Data Pura Costos'!G1242="","",'Data Pura Costos'!G1242)</f>
        <v xml:space="preserve">Transarco </v>
      </c>
      <c r="H1242" s="52" t="str">
        <f>+IF('Data Pura Costos'!H1242="","",'Data Pura Costos'!H1242)</f>
        <v>Termo</v>
      </c>
      <c r="I1242" s="71">
        <f>+IF('Data Pura Costos'!I1242="","",'Data Pura Costos'!I1242)</f>
        <v>3000</v>
      </c>
      <c r="J1242" s="52" t="str">
        <f>+IF('Data Pura Costos'!J1242="","",'Data Pura Costos'!J1242)</f>
        <v>24-25</v>
      </c>
      <c r="K1242" s="82" t="str">
        <f t="shared" si="24"/>
        <v xml:space="preserve">Bodega-Mostazal-Transarco </v>
      </c>
    </row>
    <row r="1243" spans="2:11" x14ac:dyDescent="0.35">
      <c r="B1243" s="4" t="str">
        <f>+IF('Data Pura Costos'!B1243="","",'Data Pura Costos'!B1243)</f>
        <v xml:space="preserve">Caliboro </v>
      </c>
      <c r="C1243" s="4" t="str">
        <f>+IF('Data Pura Costos'!C1243="","",'Data Pura Costos'!C1243)</f>
        <v>San Javier, VII región</v>
      </c>
      <c r="D1243" s="5">
        <f>+IF('Data Pura Costos'!D1243="","",'Data Pura Costos'!D1243)</f>
        <v>258</v>
      </c>
      <c r="E1243" s="65">
        <f>+IF('Data Pura Costos'!E1243="","",IF('Data Pura Costos'!E1243=0,MAX('Data Pura Costos'!$E$7:$E$3000)*1000,'Data Pura Costos'!E1243))</f>
        <v>774000</v>
      </c>
      <c r="F1243" s="5" t="str">
        <f>+IF('Data Pura Costos'!F1243="","",'Data Pura Costos'!F1243)</f>
        <v>Mostazal</v>
      </c>
      <c r="G1243" s="5" t="str">
        <f>+IF('Data Pura Costos'!G1243="","",'Data Pura Costos'!G1243)</f>
        <v xml:space="preserve">Transarco </v>
      </c>
      <c r="H1243" s="52" t="str">
        <f>+IF('Data Pura Costos'!H1243="","",'Data Pura Costos'!H1243)</f>
        <v>Termo</v>
      </c>
      <c r="I1243" s="71">
        <f>+IF('Data Pura Costos'!I1243="","",'Data Pura Costos'!I1243)</f>
        <v>3000</v>
      </c>
      <c r="J1243" s="52" t="str">
        <f>+IF('Data Pura Costos'!J1243="","",'Data Pura Costos'!J1243)</f>
        <v>24-25</v>
      </c>
      <c r="K1243" s="82" t="str">
        <f t="shared" si="24"/>
        <v xml:space="preserve">Caliboro -Mostazal-Transarco </v>
      </c>
    </row>
    <row r="1244" spans="2:11" x14ac:dyDescent="0.35">
      <c r="B1244" s="4" t="str">
        <f>+IF('Data Pura Costos'!B1244="","",'Data Pura Costos'!B1244)</f>
        <v>Calleuque</v>
      </c>
      <c r="C1244" s="4" t="str">
        <f>+IF('Data Pura Costos'!C1244="","",'Data Pura Costos'!C1244)</f>
        <v>Peralillo ohiggins, VI región</v>
      </c>
      <c r="D1244" s="5">
        <f>+IF('Data Pura Costos'!D1244="","",'Data Pura Costos'!D1244)</f>
        <v>143</v>
      </c>
      <c r="E1244" s="65">
        <f>+IF('Data Pura Costos'!E1244="","",IF('Data Pura Costos'!E1244=0,MAX('Data Pura Costos'!$E$7:$E$3000)*1000,'Data Pura Costos'!E1244))</f>
        <v>471900</v>
      </c>
      <c r="F1244" s="5" t="str">
        <f>+IF('Data Pura Costos'!F1244="","",'Data Pura Costos'!F1244)</f>
        <v>Mostazal</v>
      </c>
      <c r="G1244" s="5" t="str">
        <f>+IF('Data Pura Costos'!G1244="","",'Data Pura Costos'!G1244)</f>
        <v xml:space="preserve">Transarco </v>
      </c>
      <c r="H1244" s="52" t="str">
        <f>+IF('Data Pura Costos'!H1244="","",'Data Pura Costos'!H1244)</f>
        <v>Termo</v>
      </c>
      <c r="I1244" s="71">
        <f>+IF('Data Pura Costos'!I1244="","",'Data Pura Costos'!I1244)</f>
        <v>3300</v>
      </c>
      <c r="J1244" s="52" t="str">
        <f>+IF('Data Pura Costos'!J1244="","",'Data Pura Costos'!J1244)</f>
        <v>24-25</v>
      </c>
      <c r="K1244" s="82" t="str">
        <f t="shared" si="24"/>
        <v xml:space="preserve">Calleuque-Mostazal-Transarco </v>
      </c>
    </row>
    <row r="1245" spans="2:11" x14ac:dyDescent="0.35">
      <c r="B1245" s="4" t="str">
        <f>+IF('Data Pura Costos'!B1245="","",'Data Pura Costos'!B1245)</f>
        <v>Chumpirro</v>
      </c>
      <c r="C1245" s="4" t="str">
        <f>+IF('Data Pura Costos'!C1245="","",'Data Pura Costos'!C1245)</f>
        <v>Angol, IX región</v>
      </c>
      <c r="D1245" s="5">
        <f>+IF('Data Pura Costos'!D1245="","",'Data Pura Costos'!D1245)</f>
        <v>499</v>
      </c>
      <c r="E1245" s="65">
        <f>+IF('Data Pura Costos'!E1245="","",IF('Data Pura Costos'!E1245=0,MAX('Data Pura Costos'!$E$7:$E$3000)*1000,'Data Pura Costos'!E1245))</f>
        <v>1397200</v>
      </c>
      <c r="F1245" s="5" t="str">
        <f>+IF('Data Pura Costos'!F1245="","",'Data Pura Costos'!F1245)</f>
        <v>Mostazal</v>
      </c>
      <c r="G1245" s="5" t="str">
        <f>+IF('Data Pura Costos'!G1245="","",'Data Pura Costos'!G1245)</f>
        <v xml:space="preserve">Transarco </v>
      </c>
      <c r="H1245" s="52" t="str">
        <f>+IF('Data Pura Costos'!H1245="","",'Data Pura Costos'!H1245)</f>
        <v>Termo</v>
      </c>
      <c r="I1245" s="71">
        <f>+IF('Data Pura Costos'!I1245="","",'Data Pura Costos'!I1245)</f>
        <v>2800</v>
      </c>
      <c r="J1245" s="52" t="str">
        <f>+IF('Data Pura Costos'!J1245="","",'Data Pura Costos'!J1245)</f>
        <v>24-25</v>
      </c>
      <c r="K1245" s="82" t="str">
        <f t="shared" si="24"/>
        <v xml:space="preserve">Chumpirro-Mostazal-Transarco </v>
      </c>
    </row>
    <row r="1246" spans="2:11" x14ac:dyDescent="0.35">
      <c r="B1246" s="4" t="str">
        <f>+IF('Data Pura Costos'!B1246="","",'Data Pura Costos'!B1246)</f>
        <v xml:space="preserve"> Cocalán</v>
      </c>
      <c r="C1246" s="4" t="str">
        <f>+IF('Data Pura Costos'!C1246="","",'Data Pura Costos'!C1246)</f>
        <v>Cocalán, VI región</v>
      </c>
      <c r="D1246" s="5">
        <f>+IF('Data Pura Costos'!D1246="","",'Data Pura Costos'!D1246)</f>
        <v>113</v>
      </c>
      <c r="E1246" s="65">
        <f>+IF('Data Pura Costos'!E1246="","",IF('Data Pura Costos'!E1246=0,MAX('Data Pura Costos'!$E$7:$E$3000)*1000,'Data Pura Costos'!E1246))</f>
        <v>372900</v>
      </c>
      <c r="F1246" s="5" t="str">
        <f>+IF('Data Pura Costos'!F1246="","",'Data Pura Costos'!F1246)</f>
        <v>Mostazal</v>
      </c>
      <c r="G1246" s="5" t="str">
        <f>+IF('Data Pura Costos'!G1246="","",'Data Pura Costos'!G1246)</f>
        <v xml:space="preserve">Transarco </v>
      </c>
      <c r="H1246" s="52" t="str">
        <f>+IF('Data Pura Costos'!H1246="","",'Data Pura Costos'!H1246)</f>
        <v>Termo</v>
      </c>
      <c r="I1246" s="71">
        <f>+IF('Data Pura Costos'!I1246="","",'Data Pura Costos'!I1246)</f>
        <v>3300</v>
      </c>
      <c r="J1246" s="52" t="str">
        <f>+IF('Data Pura Costos'!J1246="","",'Data Pura Costos'!J1246)</f>
        <v>24-25</v>
      </c>
      <c r="K1246" s="82" t="str">
        <f t="shared" si="24"/>
        <v xml:space="preserve"> Cocalán-Mostazal-Transarco </v>
      </c>
    </row>
    <row r="1247" spans="2:11" x14ac:dyDescent="0.35">
      <c r="B1247" s="4" t="str">
        <f>+IF('Data Pura Costos'!B1247="","",'Data Pura Costos'!B1247)</f>
        <v>El Cóndor</v>
      </c>
      <c r="C1247" s="4" t="str">
        <f>+IF('Data Pura Costos'!C1247="","",'Data Pura Costos'!C1247)</f>
        <v>Chimbarongo, VI Region.</v>
      </c>
      <c r="D1247" s="5">
        <f>+IF('Data Pura Costos'!D1247="","",'Data Pura Costos'!D1247)</f>
        <v>150</v>
      </c>
      <c r="E1247" s="65">
        <f>+IF('Data Pura Costos'!E1247="","",IF('Data Pura Costos'!E1247=0,MAX('Data Pura Costos'!$E$7:$E$3000)*1000,'Data Pura Costos'!E1247))</f>
        <v>495000</v>
      </c>
      <c r="F1247" s="5" t="str">
        <f>+IF('Data Pura Costos'!F1247="","",'Data Pura Costos'!F1247)</f>
        <v>Mostazal</v>
      </c>
      <c r="G1247" s="5" t="str">
        <f>+IF('Data Pura Costos'!G1247="","",'Data Pura Costos'!G1247)</f>
        <v xml:space="preserve">Transarco </v>
      </c>
      <c r="H1247" s="52" t="str">
        <f>+IF('Data Pura Costos'!H1247="","",'Data Pura Costos'!H1247)</f>
        <v>Termo</v>
      </c>
      <c r="I1247" s="71">
        <f>+IF('Data Pura Costos'!I1247="","",'Data Pura Costos'!I1247)</f>
        <v>3300</v>
      </c>
      <c r="J1247" s="52" t="str">
        <f>+IF('Data Pura Costos'!J1247="","",'Data Pura Costos'!J1247)</f>
        <v>24-25</v>
      </c>
      <c r="K1247" s="82" t="str">
        <f t="shared" si="24"/>
        <v xml:space="preserve">El Cóndor-Mostazal-Transarco </v>
      </c>
    </row>
    <row r="1248" spans="2:11" x14ac:dyDescent="0.35">
      <c r="B1248" s="4" t="str">
        <f>+IF('Data Pura Costos'!B1248="","",'Data Pura Costos'!B1248)</f>
        <v>El Descanso</v>
      </c>
      <c r="C1248" s="4" t="str">
        <f>+IF('Data Pura Costos'!C1248="","",'Data Pura Costos'!C1248)</f>
        <v>Sagrada Familia, VII región</v>
      </c>
      <c r="D1248" s="5">
        <f>+IF('Data Pura Costos'!D1248="","",'Data Pura Costos'!D1248)</f>
        <v>240</v>
      </c>
      <c r="E1248" s="65">
        <f>+IF('Data Pura Costos'!E1248="","",IF('Data Pura Costos'!E1248=0,MAX('Data Pura Costos'!$E$7:$E$3000)*1000,'Data Pura Costos'!E1248))</f>
        <v>720000</v>
      </c>
      <c r="F1248" s="5" t="str">
        <f>+IF('Data Pura Costos'!F1248="","",'Data Pura Costos'!F1248)</f>
        <v>Mostazal</v>
      </c>
      <c r="G1248" s="5" t="str">
        <f>+IF('Data Pura Costos'!G1248="","",'Data Pura Costos'!G1248)</f>
        <v xml:space="preserve">Transarco </v>
      </c>
      <c r="H1248" s="52" t="str">
        <f>+IF('Data Pura Costos'!H1248="","",'Data Pura Costos'!H1248)</f>
        <v>Termo</v>
      </c>
      <c r="I1248" s="71">
        <f>+IF('Data Pura Costos'!I1248="","",'Data Pura Costos'!I1248)</f>
        <v>3000</v>
      </c>
      <c r="J1248" s="52" t="str">
        <f>+IF('Data Pura Costos'!J1248="","",'Data Pura Costos'!J1248)</f>
        <v>24-25</v>
      </c>
      <c r="K1248" s="82" t="str">
        <f t="shared" si="24"/>
        <v xml:space="preserve">El Descanso-Mostazal-Transarco </v>
      </c>
    </row>
    <row r="1249" spans="2:11" x14ac:dyDescent="0.35">
      <c r="B1249" s="4" t="str">
        <f>+IF('Data Pura Costos'!B1249="","",'Data Pura Costos'!B1249)</f>
        <v>El Espino</v>
      </c>
      <c r="C1249" s="4" t="str">
        <f>+IF('Data Pura Costos'!C1249="","",'Data Pura Costos'!C1249)</f>
        <v>Colbún, VII región</v>
      </c>
      <c r="D1249" s="5">
        <f>+IF('Data Pura Costos'!D1249="","",'Data Pura Costos'!D1249)</f>
        <v>240</v>
      </c>
      <c r="E1249" s="65">
        <f>+IF('Data Pura Costos'!E1249="","",IF('Data Pura Costos'!E1249=0,MAX('Data Pura Costos'!$E$7:$E$3000)*1000,'Data Pura Costos'!E1249))</f>
        <v>720000</v>
      </c>
      <c r="F1249" s="5" t="str">
        <f>+IF('Data Pura Costos'!F1249="","",'Data Pura Costos'!F1249)</f>
        <v>Mostazal</v>
      </c>
      <c r="G1249" s="5" t="str">
        <f>+IF('Data Pura Costos'!G1249="","",'Data Pura Costos'!G1249)</f>
        <v xml:space="preserve">Transarco </v>
      </c>
      <c r="H1249" s="52" t="str">
        <f>+IF('Data Pura Costos'!H1249="","",'Data Pura Costos'!H1249)</f>
        <v>Termo</v>
      </c>
      <c r="I1249" s="71">
        <f>+IF('Data Pura Costos'!I1249="","",'Data Pura Costos'!I1249)</f>
        <v>3000</v>
      </c>
      <c r="J1249" s="52" t="str">
        <f>+IF('Data Pura Costos'!J1249="","",'Data Pura Costos'!J1249)</f>
        <v>24-25</v>
      </c>
      <c r="K1249" s="82" t="str">
        <f t="shared" si="24"/>
        <v xml:space="preserve">El Espino-Mostazal-Transarco </v>
      </c>
    </row>
    <row r="1250" spans="2:11" x14ac:dyDescent="0.35">
      <c r="B1250" s="4" t="str">
        <f>+IF('Data Pura Costos'!B1250="","",'Data Pura Costos'!B1250)</f>
        <v>El Huaico</v>
      </c>
      <c r="C1250" s="4" t="str">
        <f>+IF('Data Pura Costos'!C1250="","",'Data Pura Costos'!C1250)</f>
        <v>Palmila Ohiggins</v>
      </c>
      <c r="D1250" s="5">
        <f>+IF('Data Pura Costos'!D1250="","",'Data Pura Costos'!D1250)</f>
        <v>124</v>
      </c>
      <c r="E1250" s="65">
        <f>+IF('Data Pura Costos'!E1250="","",IF('Data Pura Costos'!E1250=0,MAX('Data Pura Costos'!$E$7:$E$3000)*1000,'Data Pura Costos'!E1250))</f>
        <v>409200</v>
      </c>
      <c r="F1250" s="5" t="str">
        <f>+IF('Data Pura Costos'!F1250="","",'Data Pura Costos'!F1250)</f>
        <v>Mostazal</v>
      </c>
      <c r="G1250" s="5" t="str">
        <f>+IF('Data Pura Costos'!G1250="","",'Data Pura Costos'!G1250)</f>
        <v xml:space="preserve">Transarco </v>
      </c>
      <c r="H1250" s="52" t="str">
        <f>+IF('Data Pura Costos'!H1250="","",'Data Pura Costos'!H1250)</f>
        <v>Termo</v>
      </c>
      <c r="I1250" s="71">
        <f>+IF('Data Pura Costos'!I1250="","",'Data Pura Costos'!I1250)</f>
        <v>3300</v>
      </c>
      <c r="J1250" s="52" t="str">
        <f>+IF('Data Pura Costos'!J1250="","",'Data Pura Costos'!J1250)</f>
        <v>24-25</v>
      </c>
      <c r="K1250" s="82" t="str">
        <f t="shared" si="24"/>
        <v xml:space="preserve">El Huaico-Mostazal-Transarco </v>
      </c>
    </row>
    <row r="1251" spans="2:11" x14ac:dyDescent="0.35">
      <c r="B1251" s="4" t="str">
        <f>+IF('Data Pura Costos'!B1251="","",'Data Pura Costos'!B1251)</f>
        <v>El Parque</v>
      </c>
      <c r="C1251" s="4" t="str">
        <f>+IF('Data Pura Costos'!C1251="","",'Data Pura Costos'!C1251)</f>
        <v>San Francisco de Mostazal.VI Region.</v>
      </c>
      <c r="D1251" s="5">
        <f>+IF('Data Pura Costos'!D1251="","",'Data Pura Costos'!D1251)</f>
        <v>3</v>
      </c>
      <c r="E1251" s="65">
        <f>+IF('Data Pura Costos'!E1251="","",IF('Data Pura Costos'!E1251=0,MAX('Data Pura Costos'!$E$7:$E$3000)*1000,'Data Pura Costos'!E1251))</f>
        <v>250000</v>
      </c>
      <c r="F1251" s="5" t="str">
        <f>+IF('Data Pura Costos'!F1251="","",'Data Pura Costos'!F1251)</f>
        <v>Mostazal</v>
      </c>
      <c r="G1251" s="5" t="str">
        <f>+IF('Data Pura Costos'!G1251="","",'Data Pura Costos'!G1251)</f>
        <v xml:space="preserve">Transarco </v>
      </c>
      <c r="H1251" s="52" t="str">
        <f>+IF('Data Pura Costos'!H1251="","",'Data Pura Costos'!H1251)</f>
        <v>Termo</v>
      </c>
      <c r="I1251" s="71">
        <f>+IF('Data Pura Costos'!I1251="","",'Data Pura Costos'!I1251)</f>
        <v>83333.333333333328</v>
      </c>
      <c r="J1251" s="52" t="str">
        <f>+IF('Data Pura Costos'!J1251="","",'Data Pura Costos'!J1251)</f>
        <v>24-25</v>
      </c>
      <c r="K1251" s="82" t="str">
        <f t="shared" si="24"/>
        <v xml:space="preserve">El Parque-Mostazal-Transarco </v>
      </c>
    </row>
    <row r="1252" spans="2:11" x14ac:dyDescent="0.35">
      <c r="B1252" s="4" t="str">
        <f>+IF('Data Pura Costos'!B1252="","",'Data Pura Costos'!B1252)</f>
        <v>El Picaso</v>
      </c>
      <c r="C1252" s="4" t="str">
        <f>+IF('Data Pura Costos'!C1252="","",'Data Pura Costos'!C1252)</f>
        <v xml:space="preserve">San Clemente, VII región </v>
      </c>
      <c r="D1252" s="5">
        <f>+IF('Data Pura Costos'!D1252="","",'Data Pura Costos'!D1252)</f>
        <v>208</v>
      </c>
      <c r="E1252" s="65">
        <f>+IF('Data Pura Costos'!E1252="","",IF('Data Pura Costos'!E1252=0,MAX('Data Pura Costos'!$E$7:$E$3000)*1000,'Data Pura Costos'!E1252))</f>
        <v>624000</v>
      </c>
      <c r="F1252" s="5" t="str">
        <f>+IF('Data Pura Costos'!F1252="","",'Data Pura Costos'!F1252)</f>
        <v>Mostazal</v>
      </c>
      <c r="G1252" s="5" t="str">
        <f>+IF('Data Pura Costos'!G1252="","",'Data Pura Costos'!G1252)</f>
        <v xml:space="preserve">Transarco </v>
      </c>
      <c r="H1252" s="52" t="str">
        <f>+IF('Data Pura Costos'!H1252="","",'Data Pura Costos'!H1252)</f>
        <v>Termo</v>
      </c>
      <c r="I1252" s="71">
        <f>+IF('Data Pura Costos'!I1252="","",'Data Pura Costos'!I1252)</f>
        <v>3000</v>
      </c>
      <c r="J1252" s="52" t="str">
        <f>+IF('Data Pura Costos'!J1252="","",'Data Pura Costos'!J1252)</f>
        <v>24-25</v>
      </c>
      <c r="K1252" s="82" t="str">
        <f t="shared" si="24"/>
        <v xml:space="preserve">El Picaso-Mostazal-Transarco </v>
      </c>
    </row>
    <row r="1253" spans="2:11" x14ac:dyDescent="0.35">
      <c r="B1253" s="4" t="str">
        <f>+IF('Data Pura Costos'!B1253="","",'Data Pura Costos'!B1253)</f>
        <v>El Recurso</v>
      </c>
      <c r="C1253" s="4" t="str">
        <f>+IF('Data Pura Costos'!C1253="","",'Data Pura Costos'!C1253)</f>
        <v>San Francisco de Mostazal.VI Region.</v>
      </c>
      <c r="D1253" s="5">
        <f>+IF('Data Pura Costos'!D1253="","",'Data Pura Costos'!D1253)</f>
        <v>3</v>
      </c>
      <c r="E1253" s="65">
        <f>+IF('Data Pura Costos'!E1253="","",IF('Data Pura Costos'!E1253=0,MAX('Data Pura Costos'!$E$7:$E$3000)*1000,'Data Pura Costos'!E1253))</f>
        <v>250000</v>
      </c>
      <c r="F1253" s="5" t="str">
        <f>+IF('Data Pura Costos'!F1253="","",'Data Pura Costos'!F1253)</f>
        <v>Mostazal</v>
      </c>
      <c r="G1253" s="5" t="str">
        <f>+IF('Data Pura Costos'!G1253="","",'Data Pura Costos'!G1253)</f>
        <v xml:space="preserve">Transarco </v>
      </c>
      <c r="H1253" s="52" t="str">
        <f>+IF('Data Pura Costos'!H1253="","",'Data Pura Costos'!H1253)</f>
        <v>Termo</v>
      </c>
      <c r="I1253" s="71">
        <f>+IF('Data Pura Costos'!I1253="","",'Data Pura Costos'!I1253)</f>
        <v>83333.333333333328</v>
      </c>
      <c r="J1253" s="52" t="str">
        <f>+IF('Data Pura Costos'!J1253="","",'Data Pura Costos'!J1253)</f>
        <v>24-25</v>
      </c>
      <c r="K1253" s="82" t="str">
        <f t="shared" si="24"/>
        <v xml:space="preserve">El Recurso-Mostazal-Transarco </v>
      </c>
    </row>
    <row r="1254" spans="2:11" x14ac:dyDescent="0.35">
      <c r="B1254" s="4" t="str">
        <f>+IF('Data Pura Costos'!B1254="","",'Data Pura Costos'!B1254)</f>
        <v>El Rosario</v>
      </c>
      <c r="C1254" s="4" t="str">
        <f>+IF('Data Pura Costos'!C1254="","",'Data Pura Costos'!C1254)</f>
        <v>Linares, VII region.</v>
      </c>
      <c r="D1254" s="5">
        <f>+IF('Data Pura Costos'!D1254="","",'Data Pura Costos'!D1254)</f>
        <v>260</v>
      </c>
      <c r="E1254" s="65">
        <f>+IF('Data Pura Costos'!E1254="","",IF('Data Pura Costos'!E1254=0,MAX('Data Pura Costos'!$E$7:$E$3000)*1000,'Data Pura Costos'!E1254))</f>
        <v>780000</v>
      </c>
      <c r="F1254" s="5" t="str">
        <f>+IF('Data Pura Costos'!F1254="","",'Data Pura Costos'!F1254)</f>
        <v>Mostazal</v>
      </c>
      <c r="G1254" s="5" t="str">
        <f>+IF('Data Pura Costos'!G1254="","",'Data Pura Costos'!G1254)</f>
        <v xml:space="preserve">Transarco </v>
      </c>
      <c r="H1254" s="52" t="str">
        <f>+IF('Data Pura Costos'!H1254="","",'Data Pura Costos'!H1254)</f>
        <v>Termo</v>
      </c>
      <c r="I1254" s="71">
        <f>+IF('Data Pura Costos'!I1254="","",'Data Pura Costos'!I1254)</f>
        <v>3000</v>
      </c>
      <c r="J1254" s="52" t="str">
        <f>+IF('Data Pura Costos'!J1254="","",'Data Pura Costos'!J1254)</f>
        <v>24-25</v>
      </c>
      <c r="K1254" s="82" t="str">
        <f t="shared" si="24"/>
        <v xml:space="preserve">El Rosario-Mostazal-Transarco </v>
      </c>
    </row>
    <row r="1255" spans="2:11" x14ac:dyDescent="0.35">
      <c r="B1255" s="4" t="str">
        <f>+IF('Data Pura Costos'!B1255="","",'Data Pura Costos'!B1255)</f>
        <v>El Retiro</v>
      </c>
      <c r="C1255" s="4" t="str">
        <f>+IF('Data Pura Costos'!C1255="","",'Data Pura Costos'!C1255)</f>
        <v>Rosario, VI Region.</v>
      </c>
      <c r="D1255" s="5">
        <f>+IF('Data Pura Costos'!D1255="","",'Data Pura Costos'!D1255)</f>
        <v>45</v>
      </c>
      <c r="E1255" s="65">
        <f>+IF('Data Pura Costos'!E1255="","",IF('Data Pura Costos'!E1255=0,MAX('Data Pura Costos'!$E$7:$E$3000)*1000,'Data Pura Costos'!E1255))</f>
        <v>270000</v>
      </c>
      <c r="F1255" s="5" t="str">
        <f>+IF('Data Pura Costos'!F1255="","",'Data Pura Costos'!F1255)</f>
        <v>Mostazal</v>
      </c>
      <c r="G1255" s="5" t="str">
        <f>+IF('Data Pura Costos'!G1255="","",'Data Pura Costos'!G1255)</f>
        <v xml:space="preserve">Transarco </v>
      </c>
      <c r="H1255" s="52" t="str">
        <f>+IF('Data Pura Costos'!H1255="","",'Data Pura Costos'!H1255)</f>
        <v>Termo</v>
      </c>
      <c r="I1255" s="71">
        <f>+IF('Data Pura Costos'!I1255="","",'Data Pura Costos'!I1255)</f>
        <v>6000</v>
      </c>
      <c r="J1255" s="52" t="str">
        <f>+IF('Data Pura Costos'!J1255="","",'Data Pura Costos'!J1255)</f>
        <v>24-25</v>
      </c>
      <c r="K1255" s="82" t="str">
        <f t="shared" si="24"/>
        <v xml:space="preserve">El Retiro-Mostazal-Transarco </v>
      </c>
    </row>
    <row r="1256" spans="2:11" x14ac:dyDescent="0.35">
      <c r="B1256" s="4" t="str">
        <f>+IF('Data Pura Costos'!B1256="","",'Data Pura Costos'!B1256)</f>
        <v>La Esperanza</v>
      </c>
      <c r="C1256" s="4" t="str">
        <f>+IF('Data Pura Costos'!C1256="","",'Data Pura Costos'!C1256)</f>
        <v>Peumo, VI región</v>
      </c>
      <c r="D1256" s="5">
        <f>+IF('Data Pura Costos'!D1256="","",'Data Pura Costos'!D1256)</f>
        <v>98</v>
      </c>
      <c r="E1256" s="65">
        <f>+IF('Data Pura Costos'!E1256="","",IF('Data Pura Costos'!E1256=0,MAX('Data Pura Costos'!$E$7:$E$3000)*1000,'Data Pura Costos'!E1256))</f>
        <v>323400</v>
      </c>
      <c r="F1256" s="5" t="str">
        <f>+IF('Data Pura Costos'!F1256="","",'Data Pura Costos'!F1256)</f>
        <v>Mostazal</v>
      </c>
      <c r="G1256" s="5" t="str">
        <f>+IF('Data Pura Costos'!G1256="","",'Data Pura Costos'!G1256)</f>
        <v xml:space="preserve">Transarco </v>
      </c>
      <c r="H1256" s="52" t="str">
        <f>+IF('Data Pura Costos'!H1256="","",'Data Pura Costos'!H1256)</f>
        <v>Termo</v>
      </c>
      <c r="I1256" s="71">
        <f>+IF('Data Pura Costos'!I1256="","",'Data Pura Costos'!I1256)</f>
        <v>3300</v>
      </c>
      <c r="J1256" s="52" t="str">
        <f>+IF('Data Pura Costos'!J1256="","",'Data Pura Costos'!J1256)</f>
        <v>24-25</v>
      </c>
      <c r="K1256" s="82" t="str">
        <f t="shared" si="24"/>
        <v xml:space="preserve">La Esperanza-Mostazal-Transarco </v>
      </c>
    </row>
    <row r="1257" spans="2:11" x14ac:dyDescent="0.35">
      <c r="B1257" s="4" t="str">
        <f>+IF('Data Pura Costos'!B1257="","",'Data Pura Costos'!B1257)</f>
        <v>La Estación</v>
      </c>
      <c r="C1257" s="4" t="str">
        <f>+IF('Data Pura Costos'!C1257="","",'Data Pura Costos'!C1257)</f>
        <v>Palmilla, VI región</v>
      </c>
      <c r="D1257" s="5">
        <f>+IF('Data Pura Costos'!D1257="","",'Data Pura Costos'!D1257)</f>
        <v>125</v>
      </c>
      <c r="E1257" s="65">
        <f>+IF('Data Pura Costos'!E1257="","",IF('Data Pura Costos'!E1257=0,MAX('Data Pura Costos'!$E$7:$E$3000)*1000,'Data Pura Costos'!E1257))</f>
        <v>412500</v>
      </c>
      <c r="F1257" s="5" t="str">
        <f>+IF('Data Pura Costos'!F1257="","",'Data Pura Costos'!F1257)</f>
        <v>Mostazal</v>
      </c>
      <c r="G1257" s="5" t="str">
        <f>+IF('Data Pura Costos'!G1257="","",'Data Pura Costos'!G1257)</f>
        <v xml:space="preserve">Transarco </v>
      </c>
      <c r="H1257" s="52" t="str">
        <f>+IF('Data Pura Costos'!H1257="","",'Data Pura Costos'!H1257)</f>
        <v>Termo</v>
      </c>
      <c r="I1257" s="71">
        <f>+IF('Data Pura Costos'!I1257="","",'Data Pura Costos'!I1257)</f>
        <v>3300</v>
      </c>
      <c r="J1257" s="52" t="str">
        <f>+IF('Data Pura Costos'!J1257="","",'Data Pura Costos'!J1257)</f>
        <v>24-25</v>
      </c>
      <c r="K1257" s="82" t="str">
        <f t="shared" si="24"/>
        <v xml:space="preserve">La Estación-Mostazal-Transarco </v>
      </c>
    </row>
    <row r="1258" spans="2:11" x14ac:dyDescent="0.35">
      <c r="B1258" s="4" t="str">
        <f>+IF('Data Pura Costos'!B1258="","",'Data Pura Costos'!B1258)</f>
        <v>La Lajuela</v>
      </c>
      <c r="C1258" s="4" t="str">
        <f>+IF('Data Pura Costos'!C1258="","",'Data Pura Costos'!C1258)</f>
        <v>Santa Cruz, VI Región</v>
      </c>
      <c r="D1258" s="5">
        <f>+IF('Data Pura Costos'!D1258="","",'Data Pura Costos'!D1258)</f>
        <v>128</v>
      </c>
      <c r="E1258" s="65">
        <f>+IF('Data Pura Costos'!E1258="","",IF('Data Pura Costos'!E1258=0,MAX('Data Pura Costos'!$E$7:$E$3000)*1000,'Data Pura Costos'!E1258))</f>
        <v>422400</v>
      </c>
      <c r="F1258" s="5" t="str">
        <f>+IF('Data Pura Costos'!F1258="","",'Data Pura Costos'!F1258)</f>
        <v>Mostazal</v>
      </c>
      <c r="G1258" s="5" t="str">
        <f>+IF('Data Pura Costos'!G1258="","",'Data Pura Costos'!G1258)</f>
        <v xml:space="preserve">Transarco </v>
      </c>
      <c r="H1258" s="52" t="str">
        <f>+IF('Data Pura Costos'!H1258="","",'Data Pura Costos'!H1258)</f>
        <v>Termo</v>
      </c>
      <c r="I1258" s="71">
        <f>+IF('Data Pura Costos'!I1258="","",'Data Pura Costos'!I1258)</f>
        <v>3300</v>
      </c>
      <c r="J1258" s="52" t="str">
        <f>+IF('Data Pura Costos'!J1258="","",'Data Pura Costos'!J1258)</f>
        <v>24-25</v>
      </c>
      <c r="K1258" s="82" t="str">
        <f t="shared" si="24"/>
        <v xml:space="preserve">La Lajuela-Mostazal-Transarco </v>
      </c>
    </row>
    <row r="1259" spans="2:11" x14ac:dyDescent="0.35">
      <c r="B1259" s="4" t="str">
        <f>+IF('Data Pura Costos'!B1259="","",'Data Pura Costos'!B1259)</f>
        <v>La Morera</v>
      </c>
      <c r="C1259" s="4" t="str">
        <f>+IF('Data Pura Costos'!C1259="","",'Data Pura Costos'!C1259)</f>
        <v>La compañia, VI Region.</v>
      </c>
      <c r="D1259" s="5">
        <f>+IF('Data Pura Costos'!D1259="","",'Data Pura Costos'!D1259)</f>
        <v>16</v>
      </c>
      <c r="E1259" s="65">
        <f>+IF('Data Pura Costos'!E1259="","",IF('Data Pura Costos'!E1259=0,MAX('Data Pura Costos'!$E$7:$E$3000)*1000,'Data Pura Costos'!E1259))</f>
        <v>250000</v>
      </c>
      <c r="F1259" s="5" t="str">
        <f>+IF('Data Pura Costos'!F1259="","",'Data Pura Costos'!F1259)</f>
        <v>Mostazal</v>
      </c>
      <c r="G1259" s="5" t="str">
        <f>+IF('Data Pura Costos'!G1259="","",'Data Pura Costos'!G1259)</f>
        <v xml:space="preserve">Transarco </v>
      </c>
      <c r="H1259" s="52" t="str">
        <f>+IF('Data Pura Costos'!H1259="","",'Data Pura Costos'!H1259)</f>
        <v>Termo</v>
      </c>
      <c r="I1259" s="71">
        <f>+IF('Data Pura Costos'!I1259="","",'Data Pura Costos'!I1259)</f>
        <v>15625</v>
      </c>
      <c r="J1259" s="52" t="str">
        <f>+IF('Data Pura Costos'!J1259="","",'Data Pura Costos'!J1259)</f>
        <v>24-25</v>
      </c>
      <c r="K1259" s="82" t="str">
        <f t="shared" si="24"/>
        <v xml:space="preserve">La Morera-Mostazal-Transarco </v>
      </c>
    </row>
    <row r="1260" spans="2:11" x14ac:dyDescent="0.35">
      <c r="B1260" s="4" t="str">
        <f>+IF('Data Pura Costos'!B1260="","",'Data Pura Costos'!B1260)</f>
        <v>La Rinconada</v>
      </c>
      <c r="C1260" s="4" t="str">
        <f>+IF('Data Pura Costos'!C1260="","",'Data Pura Costos'!C1260)</f>
        <v>Pichidegua, VI región</v>
      </c>
      <c r="D1260" s="5">
        <f>+IF('Data Pura Costos'!D1260="","",'Data Pura Costos'!D1260)</f>
        <v>110</v>
      </c>
      <c r="E1260" s="65">
        <f>+IF('Data Pura Costos'!E1260="","",IF('Data Pura Costos'!E1260=0,MAX('Data Pura Costos'!$E$7:$E$3000)*1000,'Data Pura Costos'!E1260))</f>
        <v>363000</v>
      </c>
      <c r="F1260" s="5" t="str">
        <f>+IF('Data Pura Costos'!F1260="","",'Data Pura Costos'!F1260)</f>
        <v>Mostazal</v>
      </c>
      <c r="G1260" s="5" t="str">
        <f>+IF('Data Pura Costos'!G1260="","",'Data Pura Costos'!G1260)</f>
        <v xml:space="preserve">Transarco </v>
      </c>
      <c r="H1260" s="52" t="str">
        <f>+IF('Data Pura Costos'!H1260="","",'Data Pura Costos'!H1260)</f>
        <v>Termo</v>
      </c>
      <c r="I1260" s="71">
        <f>+IF('Data Pura Costos'!I1260="","",'Data Pura Costos'!I1260)</f>
        <v>3300</v>
      </c>
      <c r="J1260" s="52" t="str">
        <f>+IF('Data Pura Costos'!J1260="","",'Data Pura Costos'!J1260)</f>
        <v>24-25</v>
      </c>
      <c r="K1260" s="82" t="str">
        <f t="shared" si="24"/>
        <v xml:space="preserve">La Rinconada-Mostazal-Transarco </v>
      </c>
    </row>
    <row r="1261" spans="2:11" x14ac:dyDescent="0.35">
      <c r="B1261" s="4" t="str">
        <f>+IF('Data Pura Costos'!B1261="","",'Data Pura Costos'!B1261)</f>
        <v xml:space="preserve">La Roblería </v>
      </c>
      <c r="C1261" s="4" t="str">
        <f>+IF('Data Pura Costos'!C1261="","",'Data Pura Costos'!C1261)</f>
        <v>Aculeo, RM</v>
      </c>
      <c r="D1261" s="5">
        <f>+IF('Data Pura Costos'!D1261="","",'Data Pura Costos'!D1261)</f>
        <v>40</v>
      </c>
      <c r="E1261" s="65">
        <f>+IF('Data Pura Costos'!E1261="","",IF('Data Pura Costos'!E1261=0,MAX('Data Pura Costos'!$E$7:$E$3000)*1000,'Data Pura Costos'!E1261))</f>
        <v>280000</v>
      </c>
      <c r="F1261" s="5" t="str">
        <f>+IF('Data Pura Costos'!F1261="","",'Data Pura Costos'!F1261)</f>
        <v>Mostazal</v>
      </c>
      <c r="G1261" s="5" t="str">
        <f>+IF('Data Pura Costos'!G1261="","",'Data Pura Costos'!G1261)</f>
        <v xml:space="preserve">Transarco </v>
      </c>
      <c r="H1261" s="52" t="str">
        <f>+IF('Data Pura Costos'!H1261="","",'Data Pura Costos'!H1261)</f>
        <v>Termo</v>
      </c>
      <c r="I1261" s="71">
        <f>+IF('Data Pura Costos'!I1261="","",'Data Pura Costos'!I1261)</f>
        <v>7000</v>
      </c>
      <c r="J1261" s="52" t="str">
        <f>+IF('Data Pura Costos'!J1261="","",'Data Pura Costos'!J1261)</f>
        <v>24-25</v>
      </c>
      <c r="K1261" s="82" t="str">
        <f t="shared" si="24"/>
        <v xml:space="preserve">La Roblería -Mostazal-Transarco </v>
      </c>
    </row>
    <row r="1262" spans="2:11" x14ac:dyDescent="0.35">
      <c r="B1262" s="4" t="str">
        <f>+IF('Data Pura Costos'!B1262="","",'Data Pura Costos'!B1262)</f>
        <v>Las Cabras</v>
      </c>
      <c r="C1262" s="4" t="str">
        <f>+IF('Data Pura Costos'!C1262="","",'Data Pura Costos'!C1262)</f>
        <v>Las Cabras, VI región</v>
      </c>
      <c r="D1262" s="5">
        <f>+IF('Data Pura Costos'!D1262="","",'Data Pura Costos'!D1262)</f>
        <v>110</v>
      </c>
      <c r="E1262" s="65">
        <f>+IF('Data Pura Costos'!E1262="","",IF('Data Pura Costos'!E1262=0,MAX('Data Pura Costos'!$E$7:$E$3000)*1000,'Data Pura Costos'!E1262))</f>
        <v>363000</v>
      </c>
      <c r="F1262" s="5" t="str">
        <f>+IF('Data Pura Costos'!F1262="","",'Data Pura Costos'!F1262)</f>
        <v>Mostazal</v>
      </c>
      <c r="G1262" s="5" t="str">
        <f>+IF('Data Pura Costos'!G1262="","",'Data Pura Costos'!G1262)</f>
        <v xml:space="preserve">Transarco </v>
      </c>
      <c r="H1262" s="52" t="str">
        <f>+IF('Data Pura Costos'!H1262="","",'Data Pura Costos'!H1262)</f>
        <v>Termo</v>
      </c>
      <c r="I1262" s="71">
        <f>+IF('Data Pura Costos'!I1262="","",'Data Pura Costos'!I1262)</f>
        <v>3300</v>
      </c>
      <c r="J1262" s="52" t="str">
        <f>+IF('Data Pura Costos'!J1262="","",'Data Pura Costos'!J1262)</f>
        <v>24-25</v>
      </c>
      <c r="K1262" s="82" t="str">
        <f t="shared" si="24"/>
        <v xml:space="preserve">Las Cabras-Mostazal-Transarco </v>
      </c>
    </row>
    <row r="1263" spans="2:11" x14ac:dyDescent="0.35">
      <c r="B1263" s="4" t="str">
        <f>+IF('Data Pura Costos'!B1263="","",'Data Pura Costos'!B1263)</f>
        <v>Las Vertientes</v>
      </c>
      <c r="C1263" s="4" t="str">
        <f>+IF('Data Pura Costos'!C1263="","",'Data Pura Costos'!C1263)</f>
        <v>Pichidegua, VI región</v>
      </c>
      <c r="D1263" s="5">
        <f>+IF('Data Pura Costos'!D1263="","",'Data Pura Costos'!D1263)</f>
        <v>103</v>
      </c>
      <c r="E1263" s="65">
        <f>+IF('Data Pura Costos'!E1263="","",IF('Data Pura Costos'!E1263=0,MAX('Data Pura Costos'!$E$7:$E$3000)*1000,'Data Pura Costos'!E1263))</f>
        <v>339900</v>
      </c>
      <c r="F1263" s="5" t="str">
        <f>+IF('Data Pura Costos'!F1263="","",'Data Pura Costos'!F1263)</f>
        <v>Mostazal</v>
      </c>
      <c r="G1263" s="5" t="str">
        <f>+IF('Data Pura Costos'!G1263="","",'Data Pura Costos'!G1263)</f>
        <v xml:space="preserve">Transarco </v>
      </c>
      <c r="H1263" s="52" t="str">
        <f>+IF('Data Pura Costos'!H1263="","",'Data Pura Costos'!H1263)</f>
        <v>Termo</v>
      </c>
      <c r="I1263" s="71">
        <f>+IF('Data Pura Costos'!I1263="","",'Data Pura Costos'!I1263)</f>
        <v>3300</v>
      </c>
      <c r="J1263" s="52" t="str">
        <f>+IF('Data Pura Costos'!J1263="","",'Data Pura Costos'!J1263)</f>
        <v>24-25</v>
      </c>
      <c r="K1263" s="82" t="str">
        <f t="shared" si="24"/>
        <v xml:space="preserve">Las Vertientes-Mostazal-Transarco </v>
      </c>
    </row>
    <row r="1264" spans="2:11" x14ac:dyDescent="0.35">
      <c r="B1264" s="4" t="str">
        <f>+IF('Data Pura Costos'!B1264="","",'Data Pura Costos'!B1264)</f>
        <v>Lihueimo</v>
      </c>
      <c r="C1264" s="4" t="str">
        <f>+IF('Data Pura Costos'!C1264="","",'Data Pura Costos'!C1264)</f>
        <v>Peralillo ohiggins</v>
      </c>
      <c r="D1264" s="5">
        <f>+IF('Data Pura Costos'!D1264="","",'Data Pura Costos'!D1264)</f>
        <v>131</v>
      </c>
      <c r="E1264" s="65">
        <f>+IF('Data Pura Costos'!E1264="","",IF('Data Pura Costos'!E1264=0,MAX('Data Pura Costos'!$E$7:$E$3000)*1000,'Data Pura Costos'!E1264))</f>
        <v>432300</v>
      </c>
      <c r="F1264" s="5" t="str">
        <f>+IF('Data Pura Costos'!F1264="","",'Data Pura Costos'!F1264)</f>
        <v>Mostazal</v>
      </c>
      <c r="G1264" s="5" t="str">
        <f>+IF('Data Pura Costos'!G1264="","",'Data Pura Costos'!G1264)</f>
        <v xml:space="preserve">Transarco </v>
      </c>
      <c r="H1264" s="52" t="str">
        <f>+IF('Data Pura Costos'!H1264="","",'Data Pura Costos'!H1264)</f>
        <v>Termo</v>
      </c>
      <c r="I1264" s="71">
        <f>+IF('Data Pura Costos'!I1264="","",'Data Pura Costos'!I1264)</f>
        <v>3300</v>
      </c>
      <c r="J1264" s="52" t="str">
        <f>+IF('Data Pura Costos'!J1264="","",'Data Pura Costos'!J1264)</f>
        <v>24-25</v>
      </c>
      <c r="K1264" s="82" t="str">
        <f t="shared" si="24"/>
        <v xml:space="preserve">Lihueimo-Mostazal-Transarco </v>
      </c>
    </row>
    <row r="1265" spans="2:11" x14ac:dyDescent="0.35">
      <c r="B1265" s="4" t="str">
        <f>+IF('Data Pura Costos'!B1265="","",'Data Pura Costos'!B1265)</f>
        <v>Los Encinos</v>
      </c>
      <c r="C1265" s="4" t="str">
        <f>+IF('Data Pura Costos'!C1265="","",'Data Pura Costos'!C1265)</f>
        <v>Huechun, RM</v>
      </c>
      <c r="D1265" s="5">
        <f>+IF('Data Pura Costos'!D1265="","",'Data Pura Costos'!D1265)</f>
        <v>85</v>
      </c>
      <c r="E1265" s="65">
        <f>+IF('Data Pura Costos'!E1265="","",IF('Data Pura Costos'!E1265=0,MAX('Data Pura Costos'!$E$7:$E$3000)*1000,'Data Pura Costos'!E1265))</f>
        <v>300000</v>
      </c>
      <c r="F1265" s="5" t="str">
        <f>+IF('Data Pura Costos'!F1265="","",'Data Pura Costos'!F1265)</f>
        <v>Mostazal</v>
      </c>
      <c r="G1265" s="5" t="str">
        <f>+IF('Data Pura Costos'!G1265="","",'Data Pura Costos'!G1265)</f>
        <v xml:space="preserve">Transarco </v>
      </c>
      <c r="H1265" s="52" t="str">
        <f>+IF('Data Pura Costos'!H1265="","",'Data Pura Costos'!H1265)</f>
        <v>Termo</v>
      </c>
      <c r="I1265" s="71">
        <f>+IF('Data Pura Costos'!I1265="","",'Data Pura Costos'!I1265)</f>
        <v>3529.4117647058824</v>
      </c>
      <c r="J1265" s="52" t="str">
        <f>+IF('Data Pura Costos'!J1265="","",'Data Pura Costos'!J1265)</f>
        <v>24-25</v>
      </c>
      <c r="K1265" s="82" t="str">
        <f t="shared" si="24"/>
        <v xml:space="preserve">Los Encinos-Mostazal-Transarco </v>
      </c>
    </row>
    <row r="1266" spans="2:11" x14ac:dyDescent="0.35">
      <c r="B1266" s="4" t="str">
        <f>+IF('Data Pura Costos'!B1266="","",'Data Pura Costos'!B1266)</f>
        <v>Los Maitenes</v>
      </c>
      <c r="C1266" s="4" t="str">
        <f>+IF('Data Pura Costos'!C1266="","",'Data Pura Costos'!C1266)</f>
        <v>Las Cabras, VI región</v>
      </c>
      <c r="D1266" s="5">
        <f>+IF('Data Pura Costos'!D1266="","",'Data Pura Costos'!D1266)</f>
        <v>118</v>
      </c>
      <c r="E1266" s="65">
        <f>+IF('Data Pura Costos'!E1266="","",IF('Data Pura Costos'!E1266=0,MAX('Data Pura Costos'!$E$7:$E$3000)*1000,'Data Pura Costos'!E1266))</f>
        <v>389400</v>
      </c>
      <c r="F1266" s="5" t="str">
        <f>+IF('Data Pura Costos'!F1266="","",'Data Pura Costos'!F1266)</f>
        <v>Mostazal</v>
      </c>
      <c r="G1266" s="5" t="str">
        <f>+IF('Data Pura Costos'!G1266="","",'Data Pura Costos'!G1266)</f>
        <v xml:space="preserve">Transarco </v>
      </c>
      <c r="H1266" s="52" t="str">
        <f>+IF('Data Pura Costos'!H1266="","",'Data Pura Costos'!H1266)</f>
        <v>Termo</v>
      </c>
      <c r="I1266" s="71">
        <f>+IF('Data Pura Costos'!I1266="","",'Data Pura Costos'!I1266)</f>
        <v>3300</v>
      </c>
      <c r="J1266" s="52" t="str">
        <f>+IF('Data Pura Costos'!J1266="","",'Data Pura Costos'!J1266)</f>
        <v>24-25</v>
      </c>
      <c r="K1266" s="82" t="str">
        <f t="shared" si="24"/>
        <v xml:space="preserve">Los Maitenes-Mostazal-Transarco </v>
      </c>
    </row>
    <row r="1267" spans="2:11" x14ac:dyDescent="0.35">
      <c r="B1267" s="4" t="str">
        <f>+IF('Data Pura Costos'!B1267="","",'Data Pura Costos'!B1267)</f>
        <v>Los Toldos</v>
      </c>
      <c r="C1267" s="4" t="str">
        <f>+IF('Data Pura Costos'!C1267="","",'Data Pura Costos'!C1267)</f>
        <v>Angol, IX región</v>
      </c>
      <c r="D1267" s="5">
        <f>+IF('Data Pura Costos'!D1267="","",'Data Pura Costos'!D1267)</f>
        <v>549</v>
      </c>
      <c r="E1267" s="65">
        <f>+IF('Data Pura Costos'!E1267="","",IF('Data Pura Costos'!E1267=0,MAX('Data Pura Costos'!$E$7:$E$3000)*1000,'Data Pura Costos'!E1267))</f>
        <v>1537200</v>
      </c>
      <c r="F1267" s="5" t="str">
        <f>+IF('Data Pura Costos'!F1267="","",'Data Pura Costos'!F1267)</f>
        <v>Mostazal</v>
      </c>
      <c r="G1267" s="5" t="str">
        <f>+IF('Data Pura Costos'!G1267="","",'Data Pura Costos'!G1267)</f>
        <v xml:space="preserve">Transarco </v>
      </c>
      <c r="H1267" s="52" t="str">
        <f>+IF('Data Pura Costos'!H1267="","",'Data Pura Costos'!H1267)</f>
        <v>Termo</v>
      </c>
      <c r="I1267" s="71">
        <f>+IF('Data Pura Costos'!I1267="","",'Data Pura Costos'!I1267)</f>
        <v>2800</v>
      </c>
      <c r="J1267" s="52" t="str">
        <f>+IF('Data Pura Costos'!J1267="","",'Data Pura Costos'!J1267)</f>
        <v>24-25</v>
      </c>
      <c r="K1267" s="82" t="str">
        <f t="shared" si="24"/>
        <v xml:space="preserve">Los Toldos-Mostazal-Transarco </v>
      </c>
    </row>
    <row r="1268" spans="2:11" x14ac:dyDescent="0.35">
      <c r="B1268" s="4" t="str">
        <f>+IF('Data Pura Costos'!B1268="","",'Data Pura Costos'!B1268)</f>
        <v>Mallorca</v>
      </c>
      <c r="C1268" s="4" t="str">
        <f>+IF('Data Pura Costos'!C1268="","",'Data Pura Costos'!C1268)</f>
        <v xml:space="preserve">Molina, VII región </v>
      </c>
      <c r="D1268" s="5">
        <f>+IF('Data Pura Costos'!D1268="","",'Data Pura Costos'!D1268)</f>
        <v>144</v>
      </c>
      <c r="E1268" s="65">
        <f>+IF('Data Pura Costos'!E1268="","",IF('Data Pura Costos'!E1268=0,MAX('Data Pura Costos'!$E$7:$E$3000)*1000,'Data Pura Costos'!E1268))</f>
        <v>475200</v>
      </c>
      <c r="F1268" s="5" t="str">
        <f>+IF('Data Pura Costos'!F1268="","",'Data Pura Costos'!F1268)</f>
        <v>Mostazal</v>
      </c>
      <c r="G1268" s="5" t="str">
        <f>+IF('Data Pura Costos'!G1268="","",'Data Pura Costos'!G1268)</f>
        <v xml:space="preserve">Transarco </v>
      </c>
      <c r="H1268" s="52" t="str">
        <f>+IF('Data Pura Costos'!H1268="","",'Data Pura Costos'!H1268)</f>
        <v>Termo</v>
      </c>
      <c r="I1268" s="71">
        <f>+IF('Data Pura Costos'!I1268="","",'Data Pura Costos'!I1268)</f>
        <v>3300</v>
      </c>
      <c r="J1268" s="52" t="str">
        <f>+IF('Data Pura Costos'!J1268="","",'Data Pura Costos'!J1268)</f>
        <v>24-25</v>
      </c>
      <c r="K1268" s="82" t="str">
        <f t="shared" si="24"/>
        <v xml:space="preserve">Mallorca-Mostazal-Transarco </v>
      </c>
    </row>
    <row r="1269" spans="2:11" x14ac:dyDescent="0.35">
      <c r="B1269" s="4" t="str">
        <f>+IF('Data Pura Costos'!B1269="","",'Data Pura Costos'!B1269)</f>
        <v>Panquehue</v>
      </c>
      <c r="C1269" s="4" t="str">
        <f>+IF('Data Pura Costos'!C1269="","",'Data Pura Costos'!C1269)</f>
        <v>Panquehue, V región</v>
      </c>
      <c r="D1269" s="5">
        <f>+IF('Data Pura Costos'!D1269="","",'Data Pura Costos'!D1269)</f>
        <v>165</v>
      </c>
      <c r="E1269" s="65">
        <f>+IF('Data Pura Costos'!E1269="","",IF('Data Pura Costos'!E1269=0,MAX('Data Pura Costos'!$E$7:$E$3000)*1000,'Data Pura Costos'!E1269))</f>
        <v>544500</v>
      </c>
      <c r="F1269" s="5" t="str">
        <f>+IF('Data Pura Costos'!F1269="","",'Data Pura Costos'!F1269)</f>
        <v>Mostazal</v>
      </c>
      <c r="G1269" s="5" t="str">
        <f>+IF('Data Pura Costos'!G1269="","",'Data Pura Costos'!G1269)</f>
        <v xml:space="preserve">Transarco </v>
      </c>
      <c r="H1269" s="52" t="str">
        <f>+IF('Data Pura Costos'!H1269="","",'Data Pura Costos'!H1269)</f>
        <v>Termo</v>
      </c>
      <c r="I1269" s="71">
        <f>+IF('Data Pura Costos'!I1269="","",'Data Pura Costos'!I1269)</f>
        <v>3300</v>
      </c>
      <c r="J1269" s="52" t="str">
        <f>+IF('Data Pura Costos'!J1269="","",'Data Pura Costos'!J1269)</f>
        <v>24-25</v>
      </c>
      <c r="K1269" s="82" t="str">
        <f t="shared" si="24"/>
        <v xml:space="preserve">Panquehue-Mostazal-Transarco </v>
      </c>
    </row>
    <row r="1270" spans="2:11" x14ac:dyDescent="0.35">
      <c r="B1270" s="4" t="str">
        <f>+IF('Data Pura Costos'!B1270="","",'Data Pura Costos'!B1270)</f>
        <v>Entre Rios/Puente Negro/Rio Claro</v>
      </c>
      <c r="C1270" s="4" t="str">
        <f>+IF('Data Pura Costos'!C1270="","",'Data Pura Costos'!C1270)</f>
        <v>Puente negro, san fernando.VI Region.</v>
      </c>
      <c r="D1270" s="5">
        <f>+IF('Data Pura Costos'!D1270="","",'Data Pura Costos'!D1270)</f>
        <v>100</v>
      </c>
      <c r="E1270" s="65">
        <f>+IF('Data Pura Costos'!E1270="","",IF('Data Pura Costos'!E1270=0,MAX('Data Pura Costos'!$E$7:$E$3000)*1000,'Data Pura Costos'!E1270))</f>
        <v>330000</v>
      </c>
      <c r="F1270" s="5" t="str">
        <f>+IF('Data Pura Costos'!F1270="","",'Data Pura Costos'!F1270)</f>
        <v>Mostazal</v>
      </c>
      <c r="G1270" s="5" t="str">
        <f>+IF('Data Pura Costos'!G1270="","",'Data Pura Costos'!G1270)</f>
        <v xml:space="preserve">Transarco </v>
      </c>
      <c r="H1270" s="52" t="str">
        <f>+IF('Data Pura Costos'!H1270="","",'Data Pura Costos'!H1270)</f>
        <v>Termo</v>
      </c>
      <c r="I1270" s="71">
        <f>+IF('Data Pura Costos'!I1270="","",'Data Pura Costos'!I1270)</f>
        <v>3300</v>
      </c>
      <c r="J1270" s="52" t="str">
        <f>+IF('Data Pura Costos'!J1270="","",'Data Pura Costos'!J1270)</f>
        <v>24-25</v>
      </c>
      <c r="K1270" s="82" t="str">
        <f t="shared" si="24"/>
        <v xml:space="preserve">Entre Rios/Puente Negro/Rio Claro-Mostazal-Transarco </v>
      </c>
    </row>
    <row r="1271" spans="2:11" x14ac:dyDescent="0.35">
      <c r="B1271" s="4" t="str">
        <f>+IF('Data Pura Costos'!B1271="","",'Data Pura Costos'!B1271)</f>
        <v>Retorno</v>
      </c>
      <c r="C1271" s="4" t="str">
        <f>+IF('Data Pura Costos'!C1271="","",'Data Pura Costos'!C1271)</f>
        <v>Santa maria, V región</v>
      </c>
      <c r="D1271" s="5">
        <f>+IF('Data Pura Costos'!D1271="","",'Data Pura Costos'!D1271)</f>
        <v>162</v>
      </c>
      <c r="E1271" s="65">
        <f>+IF('Data Pura Costos'!E1271="","",IF('Data Pura Costos'!E1271=0,MAX('Data Pura Costos'!$E$7:$E$3000)*1000,'Data Pura Costos'!E1271))</f>
        <v>534600</v>
      </c>
      <c r="F1271" s="5" t="str">
        <f>+IF('Data Pura Costos'!F1271="","",'Data Pura Costos'!F1271)</f>
        <v>Mostazal</v>
      </c>
      <c r="G1271" s="5" t="str">
        <f>+IF('Data Pura Costos'!G1271="","",'Data Pura Costos'!G1271)</f>
        <v xml:space="preserve">Transarco </v>
      </c>
      <c r="H1271" s="52" t="str">
        <f>+IF('Data Pura Costos'!H1271="","",'Data Pura Costos'!H1271)</f>
        <v>Termo</v>
      </c>
      <c r="I1271" s="71">
        <f>+IF('Data Pura Costos'!I1271="","",'Data Pura Costos'!I1271)</f>
        <v>3300</v>
      </c>
      <c r="J1271" s="52" t="str">
        <f>+IF('Data Pura Costos'!J1271="","",'Data Pura Costos'!J1271)</f>
        <v>24-25</v>
      </c>
      <c r="K1271" s="82" t="str">
        <f t="shared" si="24"/>
        <v xml:space="preserve">Retorno-Mostazal-Transarco </v>
      </c>
    </row>
    <row r="1272" spans="2:11" x14ac:dyDescent="0.35">
      <c r="B1272" s="4" t="str">
        <f>+IF('Data Pura Costos'!B1272="","",'Data Pura Costos'!B1272)</f>
        <v>San Hernán</v>
      </c>
      <c r="C1272" s="4" t="str">
        <f>+IF('Data Pura Costos'!C1272="","",'Data Pura Costos'!C1272)</f>
        <v>Graneros, VI región</v>
      </c>
      <c r="D1272" s="5">
        <f>+IF('Data Pura Costos'!D1272="","",'Data Pura Costos'!D1272)</f>
        <v>10</v>
      </c>
      <c r="E1272" s="65">
        <f>+IF('Data Pura Costos'!E1272="","",IF('Data Pura Costos'!E1272=0,MAX('Data Pura Costos'!$E$7:$E$3000)*1000,'Data Pura Costos'!E1272))</f>
        <v>250000</v>
      </c>
      <c r="F1272" s="5" t="str">
        <f>+IF('Data Pura Costos'!F1272="","",'Data Pura Costos'!F1272)</f>
        <v>Mostazal</v>
      </c>
      <c r="G1272" s="5" t="str">
        <f>+IF('Data Pura Costos'!G1272="","",'Data Pura Costos'!G1272)</f>
        <v xml:space="preserve">Transarco </v>
      </c>
      <c r="H1272" s="52" t="str">
        <f>+IF('Data Pura Costos'!H1272="","",'Data Pura Costos'!H1272)</f>
        <v>Termo</v>
      </c>
      <c r="I1272" s="71">
        <f>+IF('Data Pura Costos'!I1272="","",'Data Pura Costos'!I1272)</f>
        <v>25000</v>
      </c>
      <c r="J1272" s="52" t="str">
        <f>+IF('Data Pura Costos'!J1272="","",'Data Pura Costos'!J1272)</f>
        <v>24-25</v>
      </c>
      <c r="K1272" s="82" t="str">
        <f t="shared" si="24"/>
        <v xml:space="preserve">San Hernán-Mostazal-Transarco </v>
      </c>
    </row>
    <row r="1273" spans="2:11" x14ac:dyDescent="0.35">
      <c r="B1273" s="4" t="str">
        <f>+IF('Data Pura Costos'!B1273="","",'Data Pura Costos'!B1273)</f>
        <v>Santa Mónica</v>
      </c>
      <c r="C1273" s="4" t="str">
        <f>+IF('Data Pura Costos'!C1273="","",'Data Pura Costos'!C1273)</f>
        <v xml:space="preserve">Rancagua, sector Chancón, VI región </v>
      </c>
      <c r="D1273" s="5">
        <f>+IF('Data Pura Costos'!D1273="","",'Data Pura Costos'!D1273)</f>
        <v>20</v>
      </c>
      <c r="E1273" s="65">
        <f>+IF('Data Pura Costos'!E1273="","",IF('Data Pura Costos'!E1273=0,MAX('Data Pura Costos'!$E$7:$E$3000)*1000,'Data Pura Costos'!E1273))</f>
        <v>250000</v>
      </c>
      <c r="F1273" s="5" t="str">
        <f>+IF('Data Pura Costos'!F1273="","",'Data Pura Costos'!F1273)</f>
        <v>Mostazal</v>
      </c>
      <c r="G1273" s="5" t="str">
        <f>+IF('Data Pura Costos'!G1273="","",'Data Pura Costos'!G1273)</f>
        <v xml:space="preserve">Transarco </v>
      </c>
      <c r="H1273" s="52" t="str">
        <f>+IF('Data Pura Costos'!H1273="","",'Data Pura Costos'!H1273)</f>
        <v>Termo</v>
      </c>
      <c r="I1273" s="71">
        <f>+IF('Data Pura Costos'!I1273="","",'Data Pura Costos'!I1273)</f>
        <v>12500</v>
      </c>
      <c r="J1273" s="52" t="str">
        <f>+IF('Data Pura Costos'!J1273="","",'Data Pura Costos'!J1273)</f>
        <v>24-25</v>
      </c>
      <c r="K1273" s="82" t="str">
        <f t="shared" si="24"/>
        <v xml:space="preserve">Santa Mónica-Mostazal-Transarco </v>
      </c>
    </row>
    <row r="1274" spans="2:11" x14ac:dyDescent="0.35">
      <c r="B1274" s="4" t="str">
        <f>+IF('Data Pura Costos'!B1274="","",'Data Pura Costos'!B1274)</f>
        <v>Talhuén</v>
      </c>
      <c r="C1274" s="4" t="str">
        <f>+IF('Data Pura Costos'!C1274="","",'Data Pura Costos'!C1274)</f>
        <v>Palmilla, VI región</v>
      </c>
      <c r="D1274" s="5">
        <f>+IF('Data Pura Costos'!D1274="","",'Data Pura Costos'!D1274)</f>
        <v>122</v>
      </c>
      <c r="E1274" s="65">
        <f>+IF('Data Pura Costos'!E1274="","",IF('Data Pura Costos'!E1274=0,MAX('Data Pura Costos'!$E$7:$E$3000)*1000,'Data Pura Costos'!E1274))</f>
        <v>402600</v>
      </c>
      <c r="F1274" s="5" t="str">
        <f>+IF('Data Pura Costos'!F1274="","",'Data Pura Costos'!F1274)</f>
        <v>Mostazal</v>
      </c>
      <c r="G1274" s="5" t="str">
        <f>+IF('Data Pura Costos'!G1274="","",'Data Pura Costos'!G1274)</f>
        <v xml:space="preserve">Transarco </v>
      </c>
      <c r="H1274" s="52" t="str">
        <f>+IF('Data Pura Costos'!H1274="","",'Data Pura Costos'!H1274)</f>
        <v>Termo</v>
      </c>
      <c r="I1274" s="71">
        <f>+IF('Data Pura Costos'!I1274="","",'Data Pura Costos'!I1274)</f>
        <v>3300</v>
      </c>
      <c r="J1274" s="52" t="str">
        <f>+IF('Data Pura Costos'!J1274="","",'Data Pura Costos'!J1274)</f>
        <v>24-25</v>
      </c>
      <c r="K1274" s="82" t="str">
        <f t="shared" si="24"/>
        <v xml:space="preserve">Talhuén-Mostazal-Transarco </v>
      </c>
    </row>
    <row r="1275" spans="2:11" x14ac:dyDescent="0.35">
      <c r="B1275" s="4" t="str">
        <f>+IF('Data Pura Costos'!B1275="","",'Data Pura Costos'!B1275)</f>
        <v>Triunfo</v>
      </c>
      <c r="C1275" s="4" t="str">
        <f>+IF('Data Pura Costos'!C1275="","",'Data Pura Costos'!C1275)</f>
        <v xml:space="preserve">San Esteban, V región </v>
      </c>
      <c r="D1275" s="5" t="str">
        <f>+IF('Data Pura Costos'!D1275="","",'Data Pura Costos'!D1275)</f>
        <v/>
      </c>
      <c r="E1275" s="65">
        <f>+IF('Data Pura Costos'!E1275="","",IF('Data Pura Costos'!E1275=0,MAX('Data Pura Costos'!$E$7:$E$3000)*1000,'Data Pura Costos'!E1275))</f>
        <v>495000</v>
      </c>
      <c r="F1275" s="5" t="str">
        <f>+IF('Data Pura Costos'!F1275="","",'Data Pura Costos'!F1275)</f>
        <v>Mostazal</v>
      </c>
      <c r="G1275" s="5" t="str">
        <f>+IF('Data Pura Costos'!G1275="","",'Data Pura Costos'!G1275)</f>
        <v xml:space="preserve">Transarco </v>
      </c>
      <c r="H1275" s="52" t="str">
        <f>+IF('Data Pura Costos'!H1275="","",'Data Pura Costos'!H1275)</f>
        <v>Termo</v>
      </c>
      <c r="I1275" s="71" t="e">
        <f>+IF('Data Pura Costos'!I1275="","",'Data Pura Costos'!I1275)</f>
        <v>#DIV/0!</v>
      </c>
      <c r="J1275" s="52" t="str">
        <f>+IF('Data Pura Costos'!J1275="","",'Data Pura Costos'!J1275)</f>
        <v>24-25</v>
      </c>
      <c r="K1275" s="82" t="str">
        <f t="shared" si="24"/>
        <v xml:space="preserve">Triunfo-Mostazal-Transarco </v>
      </c>
    </row>
    <row r="1276" spans="2:11" x14ac:dyDescent="0.35">
      <c r="B1276" s="4" t="str">
        <f>+IF('Data Pura Costos'!B1276="","",'Data Pura Costos'!B1276)</f>
        <v>Villaseca</v>
      </c>
      <c r="C1276" s="4" t="str">
        <f>+IF('Data Pura Costos'!C1276="","",'Data Pura Costos'!C1276)</f>
        <v>Retiro, VII reginón</v>
      </c>
      <c r="D1276" s="5">
        <f>+IF('Data Pura Costos'!D1276="","",'Data Pura Costos'!D1276)</f>
        <v>162</v>
      </c>
      <c r="E1276" s="65">
        <f>+IF('Data Pura Costos'!E1276="","",IF('Data Pura Costos'!E1276=0,MAX('Data Pura Costos'!$E$7:$E$3000)*1000,'Data Pura Costos'!E1276))</f>
        <v>861300</v>
      </c>
      <c r="F1276" s="5" t="str">
        <f>+IF('Data Pura Costos'!F1276="","",'Data Pura Costos'!F1276)</f>
        <v>Mostazal</v>
      </c>
      <c r="G1276" s="5" t="str">
        <f>+IF('Data Pura Costos'!G1276="","",'Data Pura Costos'!G1276)</f>
        <v xml:space="preserve">Transarco </v>
      </c>
      <c r="H1276" s="52" t="str">
        <f>+IF('Data Pura Costos'!H1276="","",'Data Pura Costos'!H1276)</f>
        <v>Termo</v>
      </c>
      <c r="I1276" s="71">
        <f>+IF('Data Pura Costos'!I1276="","",'Data Pura Costos'!I1276)</f>
        <v>5316.666666666667</v>
      </c>
      <c r="J1276" s="52" t="str">
        <f>+IF('Data Pura Costos'!J1276="","",'Data Pura Costos'!J1276)</f>
        <v>24-25</v>
      </c>
      <c r="K1276" s="82" t="str">
        <f t="shared" ref="K1276:K1339" si="25">+IF(B1276="","",CONCATENATE(B1276,"-",F1276,"-",G1276))</f>
        <v xml:space="preserve">Villaseca-Mostazal-Transarco </v>
      </c>
    </row>
    <row r="1277" spans="2:11" x14ac:dyDescent="0.35">
      <c r="B1277" s="4" t="str">
        <f>+IF('Data Pura Costos'!B1277="","",'Data Pura Costos'!B1277)</f>
        <v>Almahue</v>
      </c>
      <c r="C1277" s="4" t="str">
        <f>+IF('Data Pura Costos'!C1277="","",'Data Pura Costos'!C1277)</f>
        <v>Pichidegua, VI región</v>
      </c>
      <c r="D1277" s="5">
        <f>+IF('Data Pura Costos'!D1277="","",'Data Pura Costos'!D1277)</f>
        <v>134</v>
      </c>
      <c r="E1277" s="65">
        <f>+IF('Data Pura Costos'!E1277="","",IF('Data Pura Costos'!E1277=0,MAX('Data Pura Costos'!$E$7:$E$3000)*1000,'Data Pura Costos'!E1277))</f>
        <v>356400</v>
      </c>
      <c r="F1277" s="5" t="str">
        <f>+IF('Data Pura Costos'!F1277="","",'Data Pura Costos'!F1277)</f>
        <v>Molina</v>
      </c>
      <c r="G1277" s="5" t="str">
        <f>+IF('Data Pura Costos'!G1277="","",'Data Pura Costos'!G1277)</f>
        <v xml:space="preserve">Transarco </v>
      </c>
      <c r="H1277" s="52" t="str">
        <f>+IF('Data Pura Costos'!H1277="","",'Data Pura Costos'!H1277)</f>
        <v>Termo</v>
      </c>
      <c r="I1277" s="71">
        <f>+IF('Data Pura Costos'!I1277="","",'Data Pura Costos'!I1277)</f>
        <v>2659.7014925373132</v>
      </c>
      <c r="J1277" s="52" t="str">
        <f>+IF('Data Pura Costos'!J1277="","",'Data Pura Costos'!J1277)</f>
        <v>24-25</v>
      </c>
      <c r="K1277" s="82" t="str">
        <f t="shared" si="25"/>
        <v xml:space="preserve">Almahue-Molina-Transarco </v>
      </c>
    </row>
    <row r="1278" spans="2:11" x14ac:dyDescent="0.35">
      <c r="B1278" s="4" t="str">
        <f>+IF('Data Pura Costos'!B1278="","",'Data Pura Costos'!B1278)</f>
        <v>Bodega</v>
      </c>
      <c r="C1278" s="4" t="str">
        <f>+IF('Data Pura Costos'!C1278="","",'Data Pura Costos'!C1278)</f>
        <v>Linares, VII region.</v>
      </c>
      <c r="D1278" s="5">
        <f>+IF('Data Pura Costos'!D1278="","",'Data Pura Costos'!D1278)</f>
        <v>123</v>
      </c>
      <c r="E1278" s="65">
        <f>+IF('Data Pura Costos'!E1278="","",IF('Data Pura Costos'!E1278=0,MAX('Data Pura Costos'!$E$7:$E$3000)*1000,'Data Pura Costos'!E1278))</f>
        <v>792000</v>
      </c>
      <c r="F1278" s="5" t="str">
        <f>+IF('Data Pura Costos'!F1278="","",'Data Pura Costos'!F1278)</f>
        <v>Molina</v>
      </c>
      <c r="G1278" s="5" t="str">
        <f>+IF('Data Pura Costos'!G1278="","",'Data Pura Costos'!G1278)</f>
        <v xml:space="preserve">Transarco </v>
      </c>
      <c r="H1278" s="52" t="str">
        <f>+IF('Data Pura Costos'!H1278="","",'Data Pura Costos'!H1278)</f>
        <v>Termo</v>
      </c>
      <c r="I1278" s="71">
        <f>+IF('Data Pura Costos'!I1278="","",'Data Pura Costos'!I1278)</f>
        <v>6439.0243902439024</v>
      </c>
      <c r="J1278" s="52" t="str">
        <f>+IF('Data Pura Costos'!J1278="","",'Data Pura Costos'!J1278)</f>
        <v>24-25</v>
      </c>
      <c r="K1278" s="82" t="str">
        <f t="shared" si="25"/>
        <v xml:space="preserve">Bodega-Molina-Transarco </v>
      </c>
    </row>
    <row r="1279" spans="2:11" x14ac:dyDescent="0.35">
      <c r="B1279" s="4" t="str">
        <f>+IF('Data Pura Costos'!B1279="","",'Data Pura Costos'!B1279)</f>
        <v xml:space="preserve">Caliboro </v>
      </c>
      <c r="C1279" s="4" t="str">
        <f>+IF('Data Pura Costos'!C1279="","",'Data Pura Costos'!C1279)</f>
        <v>San Javier, VII región</v>
      </c>
      <c r="D1279" s="5">
        <f>+IF('Data Pura Costos'!D1279="","",'Data Pura Costos'!D1279)</f>
        <v>118</v>
      </c>
      <c r="E1279" s="65">
        <f>+IF('Data Pura Costos'!E1279="","",IF('Data Pura Costos'!E1279=0,MAX('Data Pura Costos'!$E$7:$E$3000)*1000,'Data Pura Costos'!E1279))</f>
        <v>774000</v>
      </c>
      <c r="F1279" s="5" t="str">
        <f>+IF('Data Pura Costos'!F1279="","",'Data Pura Costos'!F1279)</f>
        <v>Molina</v>
      </c>
      <c r="G1279" s="5" t="str">
        <f>+IF('Data Pura Costos'!G1279="","",'Data Pura Costos'!G1279)</f>
        <v xml:space="preserve">Transarco </v>
      </c>
      <c r="H1279" s="52" t="str">
        <f>+IF('Data Pura Costos'!H1279="","",'Data Pura Costos'!H1279)</f>
        <v>Termo</v>
      </c>
      <c r="I1279" s="71">
        <f>+IF('Data Pura Costos'!I1279="","",'Data Pura Costos'!I1279)</f>
        <v>6559.3220338983047</v>
      </c>
      <c r="J1279" s="52" t="str">
        <f>+IF('Data Pura Costos'!J1279="","",'Data Pura Costos'!J1279)</f>
        <v>24-25</v>
      </c>
      <c r="K1279" s="82" t="str">
        <f t="shared" si="25"/>
        <v xml:space="preserve">Caliboro -Molina-Transarco </v>
      </c>
    </row>
    <row r="1280" spans="2:11" x14ac:dyDescent="0.35">
      <c r="B1280" s="4" t="str">
        <f>+IF('Data Pura Costos'!B1280="","",'Data Pura Costos'!B1280)</f>
        <v>Calleuque</v>
      </c>
      <c r="C1280" s="4" t="str">
        <f>+IF('Data Pura Costos'!C1280="","",'Data Pura Costos'!C1280)</f>
        <v>Peralillo ohiggins, VI región</v>
      </c>
      <c r="D1280" s="5">
        <f>+IF('Data Pura Costos'!D1280="","",'Data Pura Costos'!D1280)</f>
        <v>103</v>
      </c>
      <c r="E1280" s="65">
        <f>+IF('Data Pura Costos'!E1280="","",IF('Data Pura Costos'!E1280=0,MAX('Data Pura Costos'!$E$7:$E$3000)*1000,'Data Pura Costos'!E1280))</f>
        <v>471900</v>
      </c>
      <c r="F1280" s="5" t="str">
        <f>+IF('Data Pura Costos'!F1280="","",'Data Pura Costos'!F1280)</f>
        <v>Molina</v>
      </c>
      <c r="G1280" s="5" t="str">
        <f>+IF('Data Pura Costos'!G1280="","",'Data Pura Costos'!G1280)</f>
        <v xml:space="preserve">Transarco </v>
      </c>
      <c r="H1280" s="52" t="str">
        <f>+IF('Data Pura Costos'!H1280="","",'Data Pura Costos'!H1280)</f>
        <v>Termo</v>
      </c>
      <c r="I1280" s="71">
        <f>+IF('Data Pura Costos'!I1280="","",'Data Pura Costos'!I1280)</f>
        <v>4581.5533980582522</v>
      </c>
      <c r="J1280" s="52" t="str">
        <f>+IF('Data Pura Costos'!J1280="","",'Data Pura Costos'!J1280)</f>
        <v>24-25</v>
      </c>
      <c r="K1280" s="82" t="str">
        <f t="shared" si="25"/>
        <v xml:space="preserve">Calleuque-Molina-Transarco </v>
      </c>
    </row>
    <row r="1281" spans="2:11" x14ac:dyDescent="0.35">
      <c r="B1281" s="4" t="str">
        <f>+IF('Data Pura Costos'!B1281="","",'Data Pura Costos'!B1281)</f>
        <v>Chumpirro</v>
      </c>
      <c r="C1281" s="4" t="str">
        <f>+IF('Data Pura Costos'!C1281="","",'Data Pura Costos'!C1281)</f>
        <v>Angol, IX región</v>
      </c>
      <c r="D1281" s="5">
        <f>+IF('Data Pura Costos'!D1281="","",'Data Pura Costos'!D1281)</f>
        <v>358</v>
      </c>
      <c r="E1281" s="65">
        <f>+IF('Data Pura Costos'!E1281="","",IF('Data Pura Costos'!E1281=0,MAX('Data Pura Costos'!$E$7:$E$3000)*1000,'Data Pura Costos'!E1281))</f>
        <v>1397200</v>
      </c>
      <c r="F1281" s="5" t="str">
        <f>+IF('Data Pura Costos'!F1281="","",'Data Pura Costos'!F1281)</f>
        <v>Molina</v>
      </c>
      <c r="G1281" s="5" t="str">
        <f>+IF('Data Pura Costos'!G1281="","",'Data Pura Costos'!G1281)</f>
        <v xml:space="preserve">Transarco </v>
      </c>
      <c r="H1281" s="52" t="str">
        <f>+IF('Data Pura Costos'!H1281="","",'Data Pura Costos'!H1281)</f>
        <v>Termo</v>
      </c>
      <c r="I1281" s="71">
        <f>+IF('Data Pura Costos'!I1281="","",'Data Pura Costos'!I1281)</f>
        <v>3902.7932960893854</v>
      </c>
      <c r="J1281" s="52" t="str">
        <f>+IF('Data Pura Costos'!J1281="","",'Data Pura Costos'!J1281)</f>
        <v>24-25</v>
      </c>
      <c r="K1281" s="82" t="str">
        <f t="shared" si="25"/>
        <v xml:space="preserve">Chumpirro-Molina-Transarco </v>
      </c>
    </row>
    <row r="1282" spans="2:11" x14ac:dyDescent="0.35">
      <c r="B1282" s="4" t="str">
        <f>+IF('Data Pura Costos'!B1282="","",'Data Pura Costos'!B1282)</f>
        <v xml:space="preserve"> Cocalán</v>
      </c>
      <c r="C1282" s="4" t="str">
        <f>+IF('Data Pura Costos'!C1282="","",'Data Pura Costos'!C1282)</f>
        <v>Cocalán, VI región</v>
      </c>
      <c r="D1282" s="5">
        <f>+IF('Data Pura Costos'!D1282="","",'Data Pura Costos'!D1282)</f>
        <v>141</v>
      </c>
      <c r="E1282" s="65">
        <f>+IF('Data Pura Costos'!E1282="","",IF('Data Pura Costos'!E1282=0,MAX('Data Pura Costos'!$E$7:$E$3000)*1000,'Data Pura Costos'!E1282))</f>
        <v>372900</v>
      </c>
      <c r="F1282" s="5" t="str">
        <f>+IF('Data Pura Costos'!F1282="","",'Data Pura Costos'!F1282)</f>
        <v>Molina</v>
      </c>
      <c r="G1282" s="5" t="str">
        <f>+IF('Data Pura Costos'!G1282="","",'Data Pura Costos'!G1282)</f>
        <v xml:space="preserve">Transarco </v>
      </c>
      <c r="H1282" s="52" t="str">
        <f>+IF('Data Pura Costos'!H1282="","",'Data Pura Costos'!H1282)</f>
        <v>Termo</v>
      </c>
      <c r="I1282" s="71">
        <f>+IF('Data Pura Costos'!I1282="","",'Data Pura Costos'!I1282)</f>
        <v>2644.6808510638298</v>
      </c>
      <c r="J1282" s="52" t="str">
        <f>+IF('Data Pura Costos'!J1282="","",'Data Pura Costos'!J1282)</f>
        <v>24-25</v>
      </c>
      <c r="K1282" s="82" t="str">
        <f t="shared" si="25"/>
        <v xml:space="preserve"> Cocalán-Molina-Transarco </v>
      </c>
    </row>
    <row r="1283" spans="2:11" x14ac:dyDescent="0.35">
      <c r="B1283" s="4" t="str">
        <f>+IF('Data Pura Costos'!B1283="","",'Data Pura Costos'!B1283)</f>
        <v>El Cóndor</v>
      </c>
      <c r="C1283" s="4" t="str">
        <f>+IF('Data Pura Costos'!C1283="","",'Data Pura Costos'!C1283)</f>
        <v>Chimbarongo, VI Region.</v>
      </c>
      <c r="D1283" s="5">
        <f>+IF('Data Pura Costos'!D1283="","",'Data Pura Costos'!D1283)</f>
        <v>60</v>
      </c>
      <c r="E1283" s="65">
        <f>+IF('Data Pura Costos'!E1283="","",IF('Data Pura Costos'!E1283=0,MAX('Data Pura Costos'!$E$7:$E$3000)*1000,'Data Pura Costos'!E1283))</f>
        <v>495000</v>
      </c>
      <c r="F1283" s="5" t="str">
        <f>+IF('Data Pura Costos'!F1283="","",'Data Pura Costos'!F1283)</f>
        <v>Molina</v>
      </c>
      <c r="G1283" s="5" t="str">
        <f>+IF('Data Pura Costos'!G1283="","",'Data Pura Costos'!G1283)</f>
        <v xml:space="preserve">Transarco </v>
      </c>
      <c r="H1283" s="52" t="str">
        <f>+IF('Data Pura Costos'!H1283="","",'Data Pura Costos'!H1283)</f>
        <v>Termo</v>
      </c>
      <c r="I1283" s="71">
        <f>+IF('Data Pura Costos'!I1283="","",'Data Pura Costos'!I1283)</f>
        <v>8250</v>
      </c>
      <c r="J1283" s="52" t="str">
        <f>+IF('Data Pura Costos'!J1283="","",'Data Pura Costos'!J1283)</f>
        <v>24-25</v>
      </c>
      <c r="K1283" s="82" t="str">
        <f t="shared" si="25"/>
        <v xml:space="preserve">El Cóndor-Molina-Transarco </v>
      </c>
    </row>
    <row r="1284" spans="2:11" x14ac:dyDescent="0.35">
      <c r="B1284" s="4" t="str">
        <f>+IF('Data Pura Costos'!B1284="","",'Data Pura Costos'!B1284)</f>
        <v>El Descanso</v>
      </c>
      <c r="C1284" s="4" t="str">
        <f>+IF('Data Pura Costos'!C1284="","",'Data Pura Costos'!C1284)</f>
        <v>Sagrada Familia, VII región</v>
      </c>
      <c r="D1284" s="5">
        <f>+IF('Data Pura Costos'!D1284="","",'Data Pura Costos'!D1284)</f>
        <v>22</v>
      </c>
      <c r="E1284" s="65">
        <f>+IF('Data Pura Costos'!E1284="","",IF('Data Pura Costos'!E1284=0,MAX('Data Pura Costos'!$E$7:$E$3000)*1000,'Data Pura Costos'!E1284))</f>
        <v>720000</v>
      </c>
      <c r="F1284" s="5" t="str">
        <f>+IF('Data Pura Costos'!F1284="","",'Data Pura Costos'!F1284)</f>
        <v>Molina</v>
      </c>
      <c r="G1284" s="5" t="str">
        <f>+IF('Data Pura Costos'!G1284="","",'Data Pura Costos'!G1284)</f>
        <v xml:space="preserve">Transarco </v>
      </c>
      <c r="H1284" s="52" t="str">
        <f>+IF('Data Pura Costos'!H1284="","",'Data Pura Costos'!H1284)</f>
        <v>Termo</v>
      </c>
      <c r="I1284" s="71">
        <f>+IF('Data Pura Costos'!I1284="","",'Data Pura Costos'!I1284)</f>
        <v>32727.272727272728</v>
      </c>
      <c r="J1284" s="52" t="str">
        <f>+IF('Data Pura Costos'!J1284="","",'Data Pura Costos'!J1284)</f>
        <v>24-25</v>
      </c>
      <c r="K1284" s="82" t="str">
        <f t="shared" si="25"/>
        <v xml:space="preserve">El Descanso-Molina-Transarco </v>
      </c>
    </row>
    <row r="1285" spans="2:11" x14ac:dyDescent="0.35">
      <c r="B1285" s="4" t="str">
        <f>+IF('Data Pura Costos'!B1285="","",'Data Pura Costos'!B1285)</f>
        <v>El Espino</v>
      </c>
      <c r="C1285" s="4" t="str">
        <f>+IF('Data Pura Costos'!C1285="","",'Data Pura Costos'!C1285)</f>
        <v>Colbún, VII región</v>
      </c>
      <c r="D1285" s="5">
        <f>+IF('Data Pura Costos'!D1285="","",'Data Pura Costos'!D1285)</f>
        <v>100</v>
      </c>
      <c r="E1285" s="65">
        <f>+IF('Data Pura Costos'!E1285="","",IF('Data Pura Costos'!E1285=0,MAX('Data Pura Costos'!$E$7:$E$3000)*1000,'Data Pura Costos'!E1285))</f>
        <v>720000</v>
      </c>
      <c r="F1285" s="5" t="str">
        <f>+IF('Data Pura Costos'!F1285="","",'Data Pura Costos'!F1285)</f>
        <v>Molina</v>
      </c>
      <c r="G1285" s="5" t="str">
        <f>+IF('Data Pura Costos'!G1285="","",'Data Pura Costos'!G1285)</f>
        <v xml:space="preserve">Transarco </v>
      </c>
      <c r="H1285" s="52" t="str">
        <f>+IF('Data Pura Costos'!H1285="","",'Data Pura Costos'!H1285)</f>
        <v>Termo</v>
      </c>
      <c r="I1285" s="71">
        <f>+IF('Data Pura Costos'!I1285="","",'Data Pura Costos'!I1285)</f>
        <v>7200</v>
      </c>
      <c r="J1285" s="52" t="str">
        <f>+IF('Data Pura Costos'!J1285="","",'Data Pura Costos'!J1285)</f>
        <v>24-25</v>
      </c>
      <c r="K1285" s="82" t="str">
        <f t="shared" si="25"/>
        <v xml:space="preserve">El Espino-Molina-Transarco </v>
      </c>
    </row>
    <row r="1286" spans="2:11" x14ac:dyDescent="0.35">
      <c r="B1286" s="4" t="str">
        <f>+IF('Data Pura Costos'!B1286="","",'Data Pura Costos'!B1286)</f>
        <v>El Huaico</v>
      </c>
      <c r="C1286" s="4" t="str">
        <f>+IF('Data Pura Costos'!C1286="","",'Data Pura Costos'!C1286)</f>
        <v>Palmila Ohiggins</v>
      </c>
      <c r="D1286" s="5">
        <f>+IF('Data Pura Costos'!D1286="","",'Data Pura Costos'!D1286)</f>
        <v>85</v>
      </c>
      <c r="E1286" s="65">
        <f>+IF('Data Pura Costos'!E1286="","",IF('Data Pura Costos'!E1286=0,MAX('Data Pura Costos'!$E$7:$E$3000)*1000,'Data Pura Costos'!E1286))</f>
        <v>409200</v>
      </c>
      <c r="F1286" s="5" t="str">
        <f>+IF('Data Pura Costos'!F1286="","",'Data Pura Costos'!F1286)</f>
        <v>Molina</v>
      </c>
      <c r="G1286" s="5" t="str">
        <f>+IF('Data Pura Costos'!G1286="","",'Data Pura Costos'!G1286)</f>
        <v xml:space="preserve">Transarco </v>
      </c>
      <c r="H1286" s="52" t="str">
        <f>+IF('Data Pura Costos'!H1286="","",'Data Pura Costos'!H1286)</f>
        <v>Termo</v>
      </c>
      <c r="I1286" s="71">
        <f>+IF('Data Pura Costos'!I1286="","",'Data Pura Costos'!I1286)</f>
        <v>4814.1176470588234</v>
      </c>
      <c r="J1286" s="52" t="str">
        <f>+IF('Data Pura Costos'!J1286="","",'Data Pura Costos'!J1286)</f>
        <v>24-25</v>
      </c>
      <c r="K1286" s="82" t="str">
        <f t="shared" si="25"/>
        <v xml:space="preserve">El Huaico-Molina-Transarco </v>
      </c>
    </row>
    <row r="1287" spans="2:11" x14ac:dyDescent="0.35">
      <c r="B1287" s="4" t="str">
        <f>+IF('Data Pura Costos'!B1287="","",'Data Pura Costos'!B1287)</f>
        <v>El Parque</v>
      </c>
      <c r="C1287" s="4" t="str">
        <f>+IF('Data Pura Costos'!C1287="","",'Data Pura Costos'!C1287)</f>
        <v>San Francisco de Mostazal.VI Region.</v>
      </c>
      <c r="D1287" s="5">
        <f>+IF('Data Pura Costos'!D1287="","",'Data Pura Costos'!D1287)</f>
        <v>144</v>
      </c>
      <c r="E1287" s="65">
        <f>+IF('Data Pura Costos'!E1287="","",IF('Data Pura Costos'!E1287=0,MAX('Data Pura Costos'!$E$7:$E$3000)*1000,'Data Pura Costos'!E1287))</f>
        <v>250000</v>
      </c>
      <c r="F1287" s="5" t="str">
        <f>+IF('Data Pura Costos'!F1287="","",'Data Pura Costos'!F1287)</f>
        <v>Molina</v>
      </c>
      <c r="G1287" s="5" t="str">
        <f>+IF('Data Pura Costos'!G1287="","",'Data Pura Costos'!G1287)</f>
        <v xml:space="preserve">Transarco </v>
      </c>
      <c r="H1287" s="52" t="str">
        <f>+IF('Data Pura Costos'!H1287="","",'Data Pura Costos'!H1287)</f>
        <v>Termo</v>
      </c>
      <c r="I1287" s="71">
        <f>+IF('Data Pura Costos'!I1287="","",'Data Pura Costos'!I1287)</f>
        <v>1736.1111111111111</v>
      </c>
      <c r="J1287" s="52" t="str">
        <f>+IF('Data Pura Costos'!J1287="","",'Data Pura Costos'!J1287)</f>
        <v>24-25</v>
      </c>
      <c r="K1287" s="82" t="str">
        <f t="shared" si="25"/>
        <v xml:space="preserve">El Parque-Molina-Transarco </v>
      </c>
    </row>
    <row r="1288" spans="2:11" x14ac:dyDescent="0.35">
      <c r="B1288" s="4" t="str">
        <f>+IF('Data Pura Costos'!B1288="","",'Data Pura Costos'!B1288)</f>
        <v>El Picaso</v>
      </c>
      <c r="C1288" s="4" t="str">
        <f>+IF('Data Pura Costos'!C1288="","",'Data Pura Costos'!C1288)</f>
        <v xml:space="preserve">San Clemente, VII región </v>
      </c>
      <c r="D1288" s="5">
        <f>+IF('Data Pura Costos'!D1288="","",'Data Pura Costos'!D1288)</f>
        <v>60</v>
      </c>
      <c r="E1288" s="65">
        <f>+IF('Data Pura Costos'!E1288="","",IF('Data Pura Costos'!E1288=0,MAX('Data Pura Costos'!$E$7:$E$3000)*1000,'Data Pura Costos'!E1288))</f>
        <v>624000</v>
      </c>
      <c r="F1288" s="5" t="str">
        <f>+IF('Data Pura Costos'!F1288="","",'Data Pura Costos'!F1288)</f>
        <v>Molina</v>
      </c>
      <c r="G1288" s="5" t="str">
        <f>+IF('Data Pura Costos'!G1288="","",'Data Pura Costos'!G1288)</f>
        <v xml:space="preserve">Transarco </v>
      </c>
      <c r="H1288" s="52" t="str">
        <f>+IF('Data Pura Costos'!H1288="","",'Data Pura Costos'!H1288)</f>
        <v>Termo</v>
      </c>
      <c r="I1288" s="71">
        <f>+IF('Data Pura Costos'!I1288="","",'Data Pura Costos'!I1288)</f>
        <v>10400</v>
      </c>
      <c r="J1288" s="52" t="str">
        <f>+IF('Data Pura Costos'!J1288="","",'Data Pura Costos'!J1288)</f>
        <v>24-25</v>
      </c>
      <c r="K1288" s="82" t="str">
        <f t="shared" si="25"/>
        <v xml:space="preserve">El Picaso-Molina-Transarco </v>
      </c>
    </row>
    <row r="1289" spans="2:11" x14ac:dyDescent="0.35">
      <c r="B1289" s="4" t="str">
        <f>+IF('Data Pura Costos'!B1289="","",'Data Pura Costos'!B1289)</f>
        <v>El Recurso</v>
      </c>
      <c r="C1289" s="4" t="str">
        <f>+IF('Data Pura Costos'!C1289="","",'Data Pura Costos'!C1289)</f>
        <v>San Francisco de Mostazal.VI Region.</v>
      </c>
      <c r="D1289" s="5">
        <f>+IF('Data Pura Costos'!D1289="","",'Data Pura Costos'!D1289)</f>
        <v>144</v>
      </c>
      <c r="E1289" s="65">
        <f>+IF('Data Pura Costos'!E1289="","",IF('Data Pura Costos'!E1289=0,MAX('Data Pura Costos'!$E$7:$E$3000)*1000,'Data Pura Costos'!E1289))</f>
        <v>250000</v>
      </c>
      <c r="F1289" s="5" t="str">
        <f>+IF('Data Pura Costos'!F1289="","",'Data Pura Costos'!F1289)</f>
        <v>Molina</v>
      </c>
      <c r="G1289" s="5" t="str">
        <f>+IF('Data Pura Costos'!G1289="","",'Data Pura Costos'!G1289)</f>
        <v xml:space="preserve">Transarco </v>
      </c>
      <c r="H1289" s="52" t="str">
        <f>+IF('Data Pura Costos'!H1289="","",'Data Pura Costos'!H1289)</f>
        <v>Termo</v>
      </c>
      <c r="I1289" s="71">
        <f>+IF('Data Pura Costos'!I1289="","",'Data Pura Costos'!I1289)</f>
        <v>1736.1111111111111</v>
      </c>
      <c r="J1289" s="52" t="str">
        <f>+IF('Data Pura Costos'!J1289="","",'Data Pura Costos'!J1289)</f>
        <v>24-25</v>
      </c>
      <c r="K1289" s="82" t="str">
        <f t="shared" si="25"/>
        <v xml:space="preserve">El Recurso-Molina-Transarco </v>
      </c>
    </row>
    <row r="1290" spans="2:11" x14ac:dyDescent="0.35">
      <c r="B1290" s="4" t="str">
        <f>+IF('Data Pura Costos'!B1290="","",'Data Pura Costos'!B1290)</f>
        <v>El Rosario</v>
      </c>
      <c r="C1290" s="4" t="str">
        <f>+IF('Data Pura Costos'!C1290="","",'Data Pura Costos'!C1290)</f>
        <v>Linares, VII region.</v>
      </c>
      <c r="D1290" s="5">
        <f>+IF('Data Pura Costos'!D1290="","",'Data Pura Costos'!D1290)</f>
        <v>120</v>
      </c>
      <c r="E1290" s="65">
        <f>+IF('Data Pura Costos'!E1290="","",IF('Data Pura Costos'!E1290=0,MAX('Data Pura Costos'!$E$7:$E$3000)*1000,'Data Pura Costos'!E1290))</f>
        <v>780000</v>
      </c>
      <c r="F1290" s="5" t="str">
        <f>+IF('Data Pura Costos'!F1290="","",'Data Pura Costos'!F1290)</f>
        <v>Molina</v>
      </c>
      <c r="G1290" s="5" t="str">
        <f>+IF('Data Pura Costos'!G1290="","",'Data Pura Costos'!G1290)</f>
        <v xml:space="preserve">Transarco </v>
      </c>
      <c r="H1290" s="52" t="str">
        <f>+IF('Data Pura Costos'!H1290="","",'Data Pura Costos'!H1290)</f>
        <v>Termo</v>
      </c>
      <c r="I1290" s="71">
        <f>+IF('Data Pura Costos'!I1290="","",'Data Pura Costos'!I1290)</f>
        <v>6500</v>
      </c>
      <c r="J1290" s="52" t="str">
        <f>+IF('Data Pura Costos'!J1290="","",'Data Pura Costos'!J1290)</f>
        <v>24-25</v>
      </c>
      <c r="K1290" s="82" t="str">
        <f t="shared" si="25"/>
        <v xml:space="preserve">El Rosario-Molina-Transarco </v>
      </c>
    </row>
    <row r="1291" spans="2:11" x14ac:dyDescent="0.35">
      <c r="B1291" s="4" t="str">
        <f>+IF('Data Pura Costos'!B1291="","",'Data Pura Costos'!B1291)</f>
        <v>El Retiro</v>
      </c>
      <c r="C1291" s="4" t="str">
        <f>+IF('Data Pura Costos'!C1291="","",'Data Pura Costos'!C1291)</f>
        <v>Rosario, VI Region.</v>
      </c>
      <c r="D1291" s="5">
        <f>+IF('Data Pura Costos'!D1291="","",'Data Pura Costos'!D1291)</f>
        <v>100</v>
      </c>
      <c r="E1291" s="65">
        <f>+IF('Data Pura Costos'!E1291="","",IF('Data Pura Costos'!E1291=0,MAX('Data Pura Costos'!$E$7:$E$3000)*1000,'Data Pura Costos'!E1291))</f>
        <v>270000</v>
      </c>
      <c r="F1291" s="5" t="str">
        <f>+IF('Data Pura Costos'!F1291="","",'Data Pura Costos'!F1291)</f>
        <v>Molina</v>
      </c>
      <c r="G1291" s="5" t="str">
        <f>+IF('Data Pura Costos'!G1291="","",'Data Pura Costos'!G1291)</f>
        <v xml:space="preserve">Transarco </v>
      </c>
      <c r="H1291" s="52" t="str">
        <f>+IF('Data Pura Costos'!H1291="","",'Data Pura Costos'!H1291)</f>
        <v>Termo</v>
      </c>
      <c r="I1291" s="71">
        <f>+IF('Data Pura Costos'!I1291="","",'Data Pura Costos'!I1291)</f>
        <v>2700</v>
      </c>
      <c r="J1291" s="52" t="str">
        <f>+IF('Data Pura Costos'!J1291="","",'Data Pura Costos'!J1291)</f>
        <v>24-25</v>
      </c>
      <c r="K1291" s="82" t="str">
        <f t="shared" si="25"/>
        <v xml:space="preserve">El Retiro-Molina-Transarco </v>
      </c>
    </row>
    <row r="1292" spans="2:11" x14ac:dyDescent="0.35">
      <c r="B1292" s="4" t="str">
        <f>+IF('Data Pura Costos'!B1292="","",'Data Pura Costos'!B1292)</f>
        <v>La Esperanza</v>
      </c>
      <c r="C1292" s="4" t="str">
        <f>+IF('Data Pura Costos'!C1292="","",'Data Pura Costos'!C1292)</f>
        <v>Peumo, VI región</v>
      </c>
      <c r="D1292" s="5">
        <f>+IF('Data Pura Costos'!D1292="","",'Data Pura Costos'!D1292)</f>
        <v>125</v>
      </c>
      <c r="E1292" s="65">
        <f>+IF('Data Pura Costos'!E1292="","",IF('Data Pura Costos'!E1292=0,MAX('Data Pura Costos'!$E$7:$E$3000)*1000,'Data Pura Costos'!E1292))</f>
        <v>323400</v>
      </c>
      <c r="F1292" s="5" t="str">
        <f>+IF('Data Pura Costos'!F1292="","",'Data Pura Costos'!F1292)</f>
        <v>Molina</v>
      </c>
      <c r="G1292" s="5" t="str">
        <f>+IF('Data Pura Costos'!G1292="","",'Data Pura Costos'!G1292)</f>
        <v xml:space="preserve">Transarco </v>
      </c>
      <c r="H1292" s="52" t="str">
        <f>+IF('Data Pura Costos'!H1292="","",'Data Pura Costos'!H1292)</f>
        <v>Termo</v>
      </c>
      <c r="I1292" s="71">
        <f>+IF('Data Pura Costos'!I1292="","",'Data Pura Costos'!I1292)</f>
        <v>2587.1999999999998</v>
      </c>
      <c r="J1292" s="52" t="str">
        <f>+IF('Data Pura Costos'!J1292="","",'Data Pura Costos'!J1292)</f>
        <v>24-25</v>
      </c>
      <c r="K1292" s="82" t="str">
        <f t="shared" si="25"/>
        <v xml:space="preserve">La Esperanza-Molina-Transarco </v>
      </c>
    </row>
    <row r="1293" spans="2:11" x14ac:dyDescent="0.35">
      <c r="B1293" s="4" t="str">
        <f>+IF('Data Pura Costos'!B1293="","",'Data Pura Costos'!B1293)</f>
        <v>La Estación</v>
      </c>
      <c r="C1293" s="4" t="str">
        <f>+IF('Data Pura Costos'!C1293="","",'Data Pura Costos'!C1293)</f>
        <v>Palmilla, VI región</v>
      </c>
      <c r="D1293" s="5">
        <f>+IF('Data Pura Costos'!D1293="","",'Data Pura Costos'!D1293)</f>
        <v>90</v>
      </c>
      <c r="E1293" s="65">
        <f>+IF('Data Pura Costos'!E1293="","",IF('Data Pura Costos'!E1293=0,MAX('Data Pura Costos'!$E$7:$E$3000)*1000,'Data Pura Costos'!E1293))</f>
        <v>412500</v>
      </c>
      <c r="F1293" s="5" t="str">
        <f>+IF('Data Pura Costos'!F1293="","",'Data Pura Costos'!F1293)</f>
        <v>Molina</v>
      </c>
      <c r="G1293" s="5" t="str">
        <f>+IF('Data Pura Costos'!G1293="","",'Data Pura Costos'!G1293)</f>
        <v xml:space="preserve">Transarco </v>
      </c>
      <c r="H1293" s="52" t="str">
        <f>+IF('Data Pura Costos'!H1293="","",'Data Pura Costos'!H1293)</f>
        <v>Termo</v>
      </c>
      <c r="I1293" s="71">
        <f>+IF('Data Pura Costos'!I1293="","",'Data Pura Costos'!I1293)</f>
        <v>4583.333333333333</v>
      </c>
      <c r="J1293" s="52" t="str">
        <f>+IF('Data Pura Costos'!J1293="","",'Data Pura Costos'!J1293)</f>
        <v>24-25</v>
      </c>
      <c r="K1293" s="82" t="str">
        <f t="shared" si="25"/>
        <v xml:space="preserve">La Estación-Molina-Transarco </v>
      </c>
    </row>
    <row r="1294" spans="2:11" x14ac:dyDescent="0.35">
      <c r="B1294" s="4" t="str">
        <f>+IF('Data Pura Costos'!B1294="","",'Data Pura Costos'!B1294)</f>
        <v>La Lajuela</v>
      </c>
      <c r="C1294" s="4" t="str">
        <f>+IF('Data Pura Costos'!C1294="","",'Data Pura Costos'!C1294)</f>
        <v>Santa Cruz, VI Región</v>
      </c>
      <c r="D1294" s="5">
        <f>+IF('Data Pura Costos'!D1294="","",'Data Pura Costos'!D1294)</f>
        <v>80</v>
      </c>
      <c r="E1294" s="65">
        <f>+IF('Data Pura Costos'!E1294="","",IF('Data Pura Costos'!E1294=0,MAX('Data Pura Costos'!$E$7:$E$3000)*1000,'Data Pura Costos'!E1294))</f>
        <v>422400</v>
      </c>
      <c r="F1294" s="5" t="str">
        <f>+IF('Data Pura Costos'!F1294="","",'Data Pura Costos'!F1294)</f>
        <v>Molina</v>
      </c>
      <c r="G1294" s="5" t="str">
        <f>+IF('Data Pura Costos'!G1294="","",'Data Pura Costos'!G1294)</f>
        <v xml:space="preserve">Transarco </v>
      </c>
      <c r="H1294" s="52" t="str">
        <f>+IF('Data Pura Costos'!H1294="","",'Data Pura Costos'!H1294)</f>
        <v>Termo</v>
      </c>
      <c r="I1294" s="71">
        <f>+IF('Data Pura Costos'!I1294="","",'Data Pura Costos'!I1294)</f>
        <v>5280</v>
      </c>
      <c r="J1294" s="52" t="str">
        <f>+IF('Data Pura Costos'!J1294="","",'Data Pura Costos'!J1294)</f>
        <v>24-25</v>
      </c>
      <c r="K1294" s="82" t="str">
        <f t="shared" si="25"/>
        <v xml:space="preserve">La Lajuela-Molina-Transarco </v>
      </c>
    </row>
    <row r="1295" spans="2:11" x14ac:dyDescent="0.35">
      <c r="B1295" s="4" t="str">
        <f>+IF('Data Pura Costos'!B1295="","",'Data Pura Costos'!B1295)</f>
        <v>La Morera</v>
      </c>
      <c r="C1295" s="4" t="str">
        <f>+IF('Data Pura Costos'!C1295="","",'Data Pura Costos'!C1295)</f>
        <v>La compañia, VI Region.</v>
      </c>
      <c r="D1295" s="5">
        <f>+IF('Data Pura Costos'!D1295="","",'Data Pura Costos'!D1295)</f>
        <v>130</v>
      </c>
      <c r="E1295" s="65">
        <f>+IF('Data Pura Costos'!E1295="","",IF('Data Pura Costos'!E1295=0,MAX('Data Pura Costos'!$E$7:$E$3000)*1000,'Data Pura Costos'!E1295))</f>
        <v>250000</v>
      </c>
      <c r="F1295" s="5" t="str">
        <f>+IF('Data Pura Costos'!F1295="","",'Data Pura Costos'!F1295)</f>
        <v>Molina</v>
      </c>
      <c r="G1295" s="5" t="str">
        <f>+IF('Data Pura Costos'!G1295="","",'Data Pura Costos'!G1295)</f>
        <v xml:space="preserve">Transarco </v>
      </c>
      <c r="H1295" s="52" t="str">
        <f>+IF('Data Pura Costos'!H1295="","",'Data Pura Costos'!H1295)</f>
        <v>Termo</v>
      </c>
      <c r="I1295" s="71">
        <f>+IF('Data Pura Costos'!I1295="","",'Data Pura Costos'!I1295)</f>
        <v>1923.0769230769231</v>
      </c>
      <c r="J1295" s="52" t="str">
        <f>+IF('Data Pura Costos'!J1295="","",'Data Pura Costos'!J1295)</f>
        <v>24-25</v>
      </c>
      <c r="K1295" s="82" t="str">
        <f t="shared" si="25"/>
        <v xml:space="preserve">La Morera-Molina-Transarco </v>
      </c>
    </row>
    <row r="1296" spans="2:11" x14ac:dyDescent="0.35">
      <c r="B1296" s="4" t="str">
        <f>+IF('Data Pura Costos'!B1296="","",'Data Pura Costos'!B1296)</f>
        <v>La Rinconada</v>
      </c>
      <c r="C1296" s="4" t="str">
        <f>+IF('Data Pura Costos'!C1296="","",'Data Pura Costos'!C1296)</f>
        <v>Pichidegua, VI región</v>
      </c>
      <c r="D1296" s="5">
        <f>+IF('Data Pura Costos'!D1296="","",'Data Pura Costos'!D1296)</f>
        <v>133</v>
      </c>
      <c r="E1296" s="65">
        <f>+IF('Data Pura Costos'!E1296="","",IF('Data Pura Costos'!E1296=0,MAX('Data Pura Costos'!$E$7:$E$3000)*1000,'Data Pura Costos'!E1296))</f>
        <v>363000</v>
      </c>
      <c r="F1296" s="5" t="str">
        <f>+IF('Data Pura Costos'!F1296="","",'Data Pura Costos'!F1296)</f>
        <v>Molina</v>
      </c>
      <c r="G1296" s="5" t="str">
        <f>+IF('Data Pura Costos'!G1296="","",'Data Pura Costos'!G1296)</f>
        <v xml:space="preserve">Transarco </v>
      </c>
      <c r="H1296" s="52" t="str">
        <f>+IF('Data Pura Costos'!H1296="","",'Data Pura Costos'!H1296)</f>
        <v>Termo</v>
      </c>
      <c r="I1296" s="71">
        <f>+IF('Data Pura Costos'!I1296="","",'Data Pura Costos'!I1296)</f>
        <v>2729.3233082706765</v>
      </c>
      <c r="J1296" s="52" t="str">
        <f>+IF('Data Pura Costos'!J1296="","",'Data Pura Costos'!J1296)</f>
        <v>24-25</v>
      </c>
      <c r="K1296" s="82" t="str">
        <f t="shared" si="25"/>
        <v xml:space="preserve">La Rinconada-Molina-Transarco </v>
      </c>
    </row>
    <row r="1297" spans="2:11" x14ac:dyDescent="0.35">
      <c r="B1297" s="4" t="str">
        <f>+IF('Data Pura Costos'!B1297="","",'Data Pura Costos'!B1297)</f>
        <v xml:space="preserve">La Roblería </v>
      </c>
      <c r="C1297" s="4" t="str">
        <f>+IF('Data Pura Costos'!C1297="","",'Data Pura Costos'!C1297)</f>
        <v>Aculeo, RM</v>
      </c>
      <c r="D1297" s="5">
        <f>+IF('Data Pura Costos'!D1297="","",'Data Pura Costos'!D1297)</f>
        <v>180</v>
      </c>
      <c r="E1297" s="65">
        <f>+IF('Data Pura Costos'!E1297="","",IF('Data Pura Costos'!E1297=0,MAX('Data Pura Costos'!$E$7:$E$3000)*1000,'Data Pura Costos'!E1297))</f>
        <v>280000</v>
      </c>
      <c r="F1297" s="5" t="str">
        <f>+IF('Data Pura Costos'!F1297="","",'Data Pura Costos'!F1297)</f>
        <v>Molina</v>
      </c>
      <c r="G1297" s="5" t="str">
        <f>+IF('Data Pura Costos'!G1297="","",'Data Pura Costos'!G1297)</f>
        <v xml:space="preserve">Transarco </v>
      </c>
      <c r="H1297" s="52" t="str">
        <f>+IF('Data Pura Costos'!H1297="","",'Data Pura Costos'!H1297)</f>
        <v>Termo</v>
      </c>
      <c r="I1297" s="71">
        <f>+IF('Data Pura Costos'!I1297="","",'Data Pura Costos'!I1297)</f>
        <v>1555.5555555555557</v>
      </c>
      <c r="J1297" s="52" t="str">
        <f>+IF('Data Pura Costos'!J1297="","",'Data Pura Costos'!J1297)</f>
        <v>24-25</v>
      </c>
      <c r="K1297" s="82" t="str">
        <f t="shared" si="25"/>
        <v xml:space="preserve">La Roblería -Molina-Transarco </v>
      </c>
    </row>
    <row r="1298" spans="2:11" x14ac:dyDescent="0.35">
      <c r="B1298" s="4" t="str">
        <f>+IF('Data Pura Costos'!B1298="","",'Data Pura Costos'!B1298)</f>
        <v>Las Cabras</v>
      </c>
      <c r="C1298" s="4" t="str">
        <f>+IF('Data Pura Costos'!C1298="","",'Data Pura Costos'!C1298)</f>
        <v>Las Cabras, VI región</v>
      </c>
      <c r="D1298" s="5">
        <f>+IF('Data Pura Costos'!D1298="","",'Data Pura Costos'!D1298)</f>
        <v>140</v>
      </c>
      <c r="E1298" s="65">
        <f>+IF('Data Pura Costos'!E1298="","",IF('Data Pura Costos'!E1298=0,MAX('Data Pura Costos'!$E$7:$E$3000)*1000,'Data Pura Costos'!E1298))</f>
        <v>363000</v>
      </c>
      <c r="F1298" s="5" t="str">
        <f>+IF('Data Pura Costos'!F1298="","",'Data Pura Costos'!F1298)</f>
        <v>Molina</v>
      </c>
      <c r="G1298" s="5" t="str">
        <f>+IF('Data Pura Costos'!G1298="","",'Data Pura Costos'!G1298)</f>
        <v xml:space="preserve">Transarco </v>
      </c>
      <c r="H1298" s="52" t="str">
        <f>+IF('Data Pura Costos'!H1298="","",'Data Pura Costos'!H1298)</f>
        <v>Termo</v>
      </c>
      <c r="I1298" s="71">
        <f>+IF('Data Pura Costos'!I1298="","",'Data Pura Costos'!I1298)</f>
        <v>2592.8571428571427</v>
      </c>
      <c r="J1298" s="52" t="str">
        <f>+IF('Data Pura Costos'!J1298="","",'Data Pura Costos'!J1298)</f>
        <v>24-25</v>
      </c>
      <c r="K1298" s="82" t="str">
        <f t="shared" si="25"/>
        <v xml:space="preserve">Las Cabras-Molina-Transarco </v>
      </c>
    </row>
    <row r="1299" spans="2:11" x14ac:dyDescent="0.35">
      <c r="B1299" s="4" t="str">
        <f>+IF('Data Pura Costos'!B1299="","",'Data Pura Costos'!B1299)</f>
        <v>Las Vertientes</v>
      </c>
      <c r="C1299" s="4" t="str">
        <f>+IF('Data Pura Costos'!C1299="","",'Data Pura Costos'!C1299)</f>
        <v>Pichidegua, VI región</v>
      </c>
      <c r="D1299" s="5">
        <f>+IF('Data Pura Costos'!D1299="","",'Data Pura Costos'!D1299)</f>
        <v>130</v>
      </c>
      <c r="E1299" s="65">
        <f>+IF('Data Pura Costos'!E1299="","",IF('Data Pura Costos'!E1299=0,MAX('Data Pura Costos'!$E$7:$E$3000)*1000,'Data Pura Costos'!E1299))</f>
        <v>339900</v>
      </c>
      <c r="F1299" s="5" t="str">
        <f>+IF('Data Pura Costos'!F1299="","",'Data Pura Costos'!F1299)</f>
        <v>Molina</v>
      </c>
      <c r="G1299" s="5" t="str">
        <f>+IF('Data Pura Costos'!G1299="","",'Data Pura Costos'!G1299)</f>
        <v xml:space="preserve">Transarco </v>
      </c>
      <c r="H1299" s="52" t="str">
        <f>+IF('Data Pura Costos'!H1299="","",'Data Pura Costos'!H1299)</f>
        <v>Termo</v>
      </c>
      <c r="I1299" s="71">
        <f>+IF('Data Pura Costos'!I1299="","",'Data Pura Costos'!I1299)</f>
        <v>2614.6153846153848</v>
      </c>
      <c r="J1299" s="52" t="str">
        <f>+IF('Data Pura Costos'!J1299="","",'Data Pura Costos'!J1299)</f>
        <v>24-25</v>
      </c>
      <c r="K1299" s="82" t="str">
        <f t="shared" si="25"/>
        <v xml:space="preserve">Las Vertientes-Molina-Transarco </v>
      </c>
    </row>
    <row r="1300" spans="2:11" x14ac:dyDescent="0.35">
      <c r="B1300" s="4" t="str">
        <f>+IF('Data Pura Costos'!B1300="","",'Data Pura Costos'!B1300)</f>
        <v>Lihueimo</v>
      </c>
      <c r="C1300" s="4" t="str">
        <f>+IF('Data Pura Costos'!C1300="","",'Data Pura Costos'!C1300)</f>
        <v>Peralillo ohiggins</v>
      </c>
      <c r="D1300" s="5">
        <f>+IF('Data Pura Costos'!D1300="","",'Data Pura Costos'!D1300)</f>
        <v>90</v>
      </c>
      <c r="E1300" s="65">
        <f>+IF('Data Pura Costos'!E1300="","",IF('Data Pura Costos'!E1300=0,MAX('Data Pura Costos'!$E$7:$E$3000)*1000,'Data Pura Costos'!E1300))</f>
        <v>432300</v>
      </c>
      <c r="F1300" s="5" t="str">
        <f>+IF('Data Pura Costos'!F1300="","",'Data Pura Costos'!F1300)</f>
        <v>Molina</v>
      </c>
      <c r="G1300" s="5" t="str">
        <f>+IF('Data Pura Costos'!G1300="","",'Data Pura Costos'!G1300)</f>
        <v xml:space="preserve">Transarco </v>
      </c>
      <c r="H1300" s="52" t="str">
        <f>+IF('Data Pura Costos'!H1300="","",'Data Pura Costos'!H1300)</f>
        <v>Termo</v>
      </c>
      <c r="I1300" s="71">
        <f>+IF('Data Pura Costos'!I1300="","",'Data Pura Costos'!I1300)</f>
        <v>4803.333333333333</v>
      </c>
      <c r="J1300" s="52" t="str">
        <f>+IF('Data Pura Costos'!J1300="","",'Data Pura Costos'!J1300)</f>
        <v>24-25</v>
      </c>
      <c r="K1300" s="82" t="str">
        <f t="shared" si="25"/>
        <v xml:space="preserve">Lihueimo-Molina-Transarco </v>
      </c>
    </row>
    <row r="1301" spans="2:11" x14ac:dyDescent="0.35">
      <c r="B1301" s="4" t="str">
        <f>+IF('Data Pura Costos'!B1301="","",'Data Pura Costos'!B1301)</f>
        <v>Los Encinos</v>
      </c>
      <c r="C1301" s="4" t="str">
        <f>+IF('Data Pura Costos'!C1301="","",'Data Pura Costos'!C1301)</f>
        <v>Huechun, RM</v>
      </c>
      <c r="D1301" s="5">
        <f>+IF('Data Pura Costos'!D1301="","",'Data Pura Costos'!D1301)</f>
        <v>230</v>
      </c>
      <c r="E1301" s="65">
        <f>+IF('Data Pura Costos'!E1301="","",IF('Data Pura Costos'!E1301=0,MAX('Data Pura Costos'!$E$7:$E$3000)*1000,'Data Pura Costos'!E1301))</f>
        <v>300000</v>
      </c>
      <c r="F1301" s="5" t="str">
        <f>+IF('Data Pura Costos'!F1301="","",'Data Pura Costos'!F1301)</f>
        <v>Molina</v>
      </c>
      <c r="G1301" s="5" t="str">
        <f>+IF('Data Pura Costos'!G1301="","",'Data Pura Costos'!G1301)</f>
        <v xml:space="preserve">Transarco </v>
      </c>
      <c r="H1301" s="52" t="str">
        <f>+IF('Data Pura Costos'!H1301="","",'Data Pura Costos'!H1301)</f>
        <v>Termo</v>
      </c>
      <c r="I1301" s="71">
        <f>+IF('Data Pura Costos'!I1301="","",'Data Pura Costos'!I1301)</f>
        <v>1304.3478260869565</v>
      </c>
      <c r="J1301" s="52" t="str">
        <f>+IF('Data Pura Costos'!J1301="","",'Data Pura Costos'!J1301)</f>
        <v>24-25</v>
      </c>
      <c r="K1301" s="82" t="str">
        <f t="shared" si="25"/>
        <v xml:space="preserve">Los Encinos-Molina-Transarco </v>
      </c>
    </row>
    <row r="1302" spans="2:11" x14ac:dyDescent="0.35">
      <c r="B1302" s="4" t="str">
        <f>+IF('Data Pura Costos'!B1302="","",'Data Pura Costos'!B1302)</f>
        <v>Los Maitenes</v>
      </c>
      <c r="C1302" s="4" t="str">
        <f>+IF('Data Pura Costos'!C1302="","",'Data Pura Costos'!C1302)</f>
        <v>Las Cabras, VI región</v>
      </c>
      <c r="D1302" s="5">
        <f>+IF('Data Pura Costos'!D1302="","",'Data Pura Costos'!D1302)</f>
        <v>144</v>
      </c>
      <c r="E1302" s="65">
        <f>+IF('Data Pura Costos'!E1302="","",IF('Data Pura Costos'!E1302=0,MAX('Data Pura Costos'!$E$7:$E$3000)*1000,'Data Pura Costos'!E1302))</f>
        <v>389400</v>
      </c>
      <c r="F1302" s="5" t="str">
        <f>+IF('Data Pura Costos'!F1302="","",'Data Pura Costos'!F1302)</f>
        <v>Molina</v>
      </c>
      <c r="G1302" s="5" t="str">
        <f>+IF('Data Pura Costos'!G1302="","",'Data Pura Costos'!G1302)</f>
        <v xml:space="preserve">Transarco </v>
      </c>
      <c r="H1302" s="52" t="str">
        <f>+IF('Data Pura Costos'!H1302="","",'Data Pura Costos'!H1302)</f>
        <v>Termo</v>
      </c>
      <c r="I1302" s="71">
        <f>+IF('Data Pura Costos'!I1302="","",'Data Pura Costos'!I1302)</f>
        <v>2704.1666666666665</v>
      </c>
      <c r="J1302" s="52" t="str">
        <f>+IF('Data Pura Costos'!J1302="","",'Data Pura Costos'!J1302)</f>
        <v>24-25</v>
      </c>
      <c r="K1302" s="82" t="str">
        <f t="shared" si="25"/>
        <v xml:space="preserve">Los Maitenes-Molina-Transarco </v>
      </c>
    </row>
    <row r="1303" spans="2:11" x14ac:dyDescent="0.35">
      <c r="B1303" s="4" t="str">
        <f>+IF('Data Pura Costos'!B1303="","",'Data Pura Costos'!B1303)</f>
        <v>Los Toldos</v>
      </c>
      <c r="C1303" s="4" t="str">
        <f>+IF('Data Pura Costos'!C1303="","",'Data Pura Costos'!C1303)</f>
        <v>Angol, IX región</v>
      </c>
      <c r="D1303" s="5">
        <f>+IF('Data Pura Costos'!D1303="","",'Data Pura Costos'!D1303)</f>
        <v>408</v>
      </c>
      <c r="E1303" s="65">
        <f>+IF('Data Pura Costos'!E1303="","",IF('Data Pura Costos'!E1303=0,MAX('Data Pura Costos'!$E$7:$E$3000)*1000,'Data Pura Costos'!E1303))</f>
        <v>1537200</v>
      </c>
      <c r="F1303" s="5" t="str">
        <f>+IF('Data Pura Costos'!F1303="","",'Data Pura Costos'!F1303)</f>
        <v>Molina</v>
      </c>
      <c r="G1303" s="5" t="str">
        <f>+IF('Data Pura Costos'!G1303="","",'Data Pura Costos'!G1303)</f>
        <v xml:space="preserve">Transarco </v>
      </c>
      <c r="H1303" s="52" t="str">
        <f>+IF('Data Pura Costos'!H1303="","",'Data Pura Costos'!H1303)</f>
        <v>Termo</v>
      </c>
      <c r="I1303" s="71">
        <f>+IF('Data Pura Costos'!I1303="","",'Data Pura Costos'!I1303)</f>
        <v>3767.6470588235293</v>
      </c>
      <c r="J1303" s="52" t="str">
        <f>+IF('Data Pura Costos'!J1303="","",'Data Pura Costos'!J1303)</f>
        <v>24-25</v>
      </c>
      <c r="K1303" s="82" t="str">
        <f t="shared" si="25"/>
        <v xml:space="preserve">Los Toldos-Molina-Transarco </v>
      </c>
    </row>
    <row r="1304" spans="2:11" x14ac:dyDescent="0.35">
      <c r="B1304" s="4" t="str">
        <f>+IF('Data Pura Costos'!B1304="","",'Data Pura Costos'!B1304)</f>
        <v>Mallorca</v>
      </c>
      <c r="C1304" s="4" t="str">
        <f>+IF('Data Pura Costos'!C1304="","",'Data Pura Costos'!C1304)</f>
        <v xml:space="preserve">Molina, VII región </v>
      </c>
      <c r="D1304" s="5">
        <f>+IF('Data Pura Costos'!D1304="","",'Data Pura Costos'!D1304)</f>
        <v>1</v>
      </c>
      <c r="E1304" s="65">
        <f>+IF('Data Pura Costos'!E1304="","",IF('Data Pura Costos'!E1304=0,MAX('Data Pura Costos'!$E$7:$E$3000)*1000,'Data Pura Costos'!E1304))</f>
        <v>475200</v>
      </c>
      <c r="F1304" s="5" t="str">
        <f>+IF('Data Pura Costos'!F1304="","",'Data Pura Costos'!F1304)</f>
        <v>Molina</v>
      </c>
      <c r="G1304" s="5" t="str">
        <f>+IF('Data Pura Costos'!G1304="","",'Data Pura Costos'!G1304)</f>
        <v xml:space="preserve">Transarco </v>
      </c>
      <c r="H1304" s="52" t="str">
        <f>+IF('Data Pura Costos'!H1304="","",'Data Pura Costos'!H1304)</f>
        <v>Termo</v>
      </c>
      <c r="I1304" s="71">
        <f>+IF('Data Pura Costos'!I1304="","",'Data Pura Costos'!I1304)</f>
        <v>475200</v>
      </c>
      <c r="J1304" s="52" t="str">
        <f>+IF('Data Pura Costos'!J1304="","",'Data Pura Costos'!J1304)</f>
        <v>24-25</v>
      </c>
      <c r="K1304" s="82" t="str">
        <f t="shared" si="25"/>
        <v xml:space="preserve">Mallorca-Molina-Transarco </v>
      </c>
    </row>
    <row r="1305" spans="2:11" x14ac:dyDescent="0.35">
      <c r="B1305" s="4" t="str">
        <f>+IF('Data Pura Costos'!B1305="","",'Data Pura Costos'!B1305)</f>
        <v>Panquehue</v>
      </c>
      <c r="C1305" s="4" t="str">
        <f>+IF('Data Pura Costos'!C1305="","",'Data Pura Costos'!C1305)</f>
        <v>Panquehue, V región</v>
      </c>
      <c r="D1305" s="5">
        <f>+IF('Data Pura Costos'!D1305="","",'Data Pura Costos'!D1305)</f>
        <v>310</v>
      </c>
      <c r="E1305" s="65">
        <f>+IF('Data Pura Costos'!E1305="","",IF('Data Pura Costos'!E1305=0,MAX('Data Pura Costos'!$E$7:$E$3000)*1000,'Data Pura Costos'!E1305))</f>
        <v>544500</v>
      </c>
      <c r="F1305" s="5" t="str">
        <f>+IF('Data Pura Costos'!F1305="","",'Data Pura Costos'!F1305)</f>
        <v>Molina</v>
      </c>
      <c r="G1305" s="5" t="str">
        <f>+IF('Data Pura Costos'!G1305="","",'Data Pura Costos'!G1305)</f>
        <v xml:space="preserve">Transarco </v>
      </c>
      <c r="H1305" s="52" t="str">
        <f>+IF('Data Pura Costos'!H1305="","",'Data Pura Costos'!H1305)</f>
        <v>Termo</v>
      </c>
      <c r="I1305" s="71">
        <f>+IF('Data Pura Costos'!I1305="","",'Data Pura Costos'!I1305)</f>
        <v>1756.4516129032259</v>
      </c>
      <c r="J1305" s="52" t="str">
        <f>+IF('Data Pura Costos'!J1305="","",'Data Pura Costos'!J1305)</f>
        <v>24-25</v>
      </c>
      <c r="K1305" s="82" t="str">
        <f t="shared" si="25"/>
        <v xml:space="preserve">Panquehue-Molina-Transarco </v>
      </c>
    </row>
    <row r="1306" spans="2:11" x14ac:dyDescent="0.35">
      <c r="B1306" s="4" t="str">
        <f>+IF('Data Pura Costos'!B1306="","",'Data Pura Costos'!B1306)</f>
        <v>Entre Rios/Puente Negro/Rio Claro</v>
      </c>
      <c r="C1306" s="4" t="str">
        <f>+IF('Data Pura Costos'!C1306="","",'Data Pura Costos'!C1306)</f>
        <v>Puente negro, san fernando.VI Region.</v>
      </c>
      <c r="D1306" s="5">
        <f>+IF('Data Pura Costos'!D1306="","",'Data Pura Costos'!D1306)</f>
        <v>95</v>
      </c>
      <c r="E1306" s="65">
        <f>+IF('Data Pura Costos'!E1306="","",IF('Data Pura Costos'!E1306=0,MAX('Data Pura Costos'!$E$7:$E$3000)*1000,'Data Pura Costos'!E1306))</f>
        <v>330000</v>
      </c>
      <c r="F1306" s="5" t="str">
        <f>+IF('Data Pura Costos'!F1306="","",'Data Pura Costos'!F1306)</f>
        <v>Molina</v>
      </c>
      <c r="G1306" s="5" t="str">
        <f>+IF('Data Pura Costos'!G1306="","",'Data Pura Costos'!G1306)</f>
        <v xml:space="preserve">Transarco </v>
      </c>
      <c r="H1306" s="52" t="str">
        <f>+IF('Data Pura Costos'!H1306="","",'Data Pura Costos'!H1306)</f>
        <v>Termo</v>
      </c>
      <c r="I1306" s="71">
        <f>+IF('Data Pura Costos'!I1306="","",'Data Pura Costos'!I1306)</f>
        <v>3473.6842105263158</v>
      </c>
      <c r="J1306" s="52" t="str">
        <f>+IF('Data Pura Costos'!J1306="","",'Data Pura Costos'!J1306)</f>
        <v>24-25</v>
      </c>
      <c r="K1306" s="82" t="str">
        <f t="shared" si="25"/>
        <v xml:space="preserve">Entre Rios/Puente Negro/Rio Claro-Molina-Transarco </v>
      </c>
    </row>
    <row r="1307" spans="2:11" x14ac:dyDescent="0.35">
      <c r="B1307" s="4" t="str">
        <f>+IF('Data Pura Costos'!B1307="","",'Data Pura Costos'!B1307)</f>
        <v>Retorno</v>
      </c>
      <c r="C1307" s="4" t="str">
        <f>+IF('Data Pura Costos'!C1307="","",'Data Pura Costos'!C1307)</f>
        <v>Santa maria, V región</v>
      </c>
      <c r="D1307" s="5">
        <f>+IF('Data Pura Costos'!D1307="","",'Data Pura Costos'!D1307)</f>
        <v>305</v>
      </c>
      <c r="E1307" s="65">
        <f>+IF('Data Pura Costos'!E1307="","",IF('Data Pura Costos'!E1307=0,MAX('Data Pura Costos'!$E$7:$E$3000)*1000,'Data Pura Costos'!E1307))</f>
        <v>534600</v>
      </c>
      <c r="F1307" s="5" t="str">
        <f>+IF('Data Pura Costos'!F1307="","",'Data Pura Costos'!F1307)</f>
        <v>Molina</v>
      </c>
      <c r="G1307" s="5" t="str">
        <f>+IF('Data Pura Costos'!G1307="","",'Data Pura Costos'!G1307)</f>
        <v xml:space="preserve">Transarco </v>
      </c>
      <c r="H1307" s="52" t="str">
        <f>+IF('Data Pura Costos'!H1307="","",'Data Pura Costos'!H1307)</f>
        <v>Termo</v>
      </c>
      <c r="I1307" s="71">
        <f>+IF('Data Pura Costos'!I1307="","",'Data Pura Costos'!I1307)</f>
        <v>1752.7868852459017</v>
      </c>
      <c r="J1307" s="52" t="str">
        <f>+IF('Data Pura Costos'!J1307="","",'Data Pura Costos'!J1307)</f>
        <v>24-25</v>
      </c>
      <c r="K1307" s="82" t="str">
        <f t="shared" si="25"/>
        <v xml:space="preserve">Retorno-Molina-Transarco </v>
      </c>
    </row>
    <row r="1308" spans="2:11" x14ac:dyDescent="0.35">
      <c r="B1308" s="4" t="str">
        <f>+IF('Data Pura Costos'!B1308="","",'Data Pura Costos'!B1308)</f>
        <v>San Hernán</v>
      </c>
      <c r="C1308" s="4" t="str">
        <f>+IF('Data Pura Costos'!C1308="","",'Data Pura Costos'!C1308)</f>
        <v>Graneros, VI región</v>
      </c>
      <c r="D1308" s="5">
        <f>+IF('Data Pura Costos'!D1308="","",'Data Pura Costos'!D1308)</f>
        <v>140</v>
      </c>
      <c r="E1308" s="65">
        <f>+IF('Data Pura Costos'!E1308="","",IF('Data Pura Costos'!E1308=0,MAX('Data Pura Costos'!$E$7:$E$3000)*1000,'Data Pura Costos'!E1308))</f>
        <v>250000</v>
      </c>
      <c r="F1308" s="5" t="str">
        <f>+IF('Data Pura Costos'!F1308="","",'Data Pura Costos'!F1308)</f>
        <v>Molina</v>
      </c>
      <c r="G1308" s="5" t="str">
        <f>+IF('Data Pura Costos'!G1308="","",'Data Pura Costos'!G1308)</f>
        <v xml:space="preserve">Transarco </v>
      </c>
      <c r="H1308" s="52" t="str">
        <f>+IF('Data Pura Costos'!H1308="","",'Data Pura Costos'!H1308)</f>
        <v>Termo</v>
      </c>
      <c r="I1308" s="71">
        <f>+IF('Data Pura Costos'!I1308="","",'Data Pura Costos'!I1308)</f>
        <v>1785.7142857142858</v>
      </c>
      <c r="J1308" s="52" t="str">
        <f>+IF('Data Pura Costos'!J1308="","",'Data Pura Costos'!J1308)</f>
        <v>24-25</v>
      </c>
      <c r="K1308" s="82" t="str">
        <f t="shared" si="25"/>
        <v xml:space="preserve">San Hernán-Molina-Transarco </v>
      </c>
    </row>
    <row r="1309" spans="2:11" x14ac:dyDescent="0.35">
      <c r="B1309" s="4" t="str">
        <f>+IF('Data Pura Costos'!B1309="","",'Data Pura Costos'!B1309)</f>
        <v>Santa Mónica</v>
      </c>
      <c r="C1309" s="4" t="str">
        <f>+IF('Data Pura Costos'!C1309="","",'Data Pura Costos'!C1309)</f>
        <v xml:space="preserve">Rancagua, sector Chancón, VI región </v>
      </c>
      <c r="D1309" s="5">
        <f>+IF('Data Pura Costos'!D1309="","",'Data Pura Costos'!D1309)</f>
        <v>130</v>
      </c>
      <c r="E1309" s="65">
        <f>+IF('Data Pura Costos'!E1309="","",IF('Data Pura Costos'!E1309=0,MAX('Data Pura Costos'!$E$7:$E$3000)*1000,'Data Pura Costos'!E1309))</f>
        <v>250000</v>
      </c>
      <c r="F1309" s="5" t="str">
        <f>+IF('Data Pura Costos'!F1309="","",'Data Pura Costos'!F1309)</f>
        <v>Molina</v>
      </c>
      <c r="G1309" s="5" t="str">
        <f>+IF('Data Pura Costos'!G1309="","",'Data Pura Costos'!G1309)</f>
        <v xml:space="preserve">Transarco </v>
      </c>
      <c r="H1309" s="52" t="str">
        <f>+IF('Data Pura Costos'!H1309="","",'Data Pura Costos'!H1309)</f>
        <v>Termo</v>
      </c>
      <c r="I1309" s="71">
        <f>+IF('Data Pura Costos'!I1309="","",'Data Pura Costos'!I1309)</f>
        <v>1923.0769230769231</v>
      </c>
      <c r="J1309" s="52" t="str">
        <f>+IF('Data Pura Costos'!J1309="","",'Data Pura Costos'!J1309)</f>
        <v>24-25</v>
      </c>
      <c r="K1309" s="82" t="str">
        <f t="shared" si="25"/>
        <v xml:space="preserve">Santa Mónica-Molina-Transarco </v>
      </c>
    </row>
    <row r="1310" spans="2:11" x14ac:dyDescent="0.35">
      <c r="B1310" s="4" t="str">
        <f>+IF('Data Pura Costos'!B1310="","",'Data Pura Costos'!B1310)</f>
        <v>Talhuén</v>
      </c>
      <c r="C1310" s="4" t="str">
        <f>+IF('Data Pura Costos'!C1310="","",'Data Pura Costos'!C1310)</f>
        <v>Palmilla, VI región</v>
      </c>
      <c r="D1310" s="5">
        <f>+IF('Data Pura Costos'!D1310="","",'Data Pura Costos'!D1310)</f>
        <v>95</v>
      </c>
      <c r="E1310" s="65">
        <f>+IF('Data Pura Costos'!E1310="","",IF('Data Pura Costos'!E1310=0,MAX('Data Pura Costos'!$E$7:$E$3000)*1000,'Data Pura Costos'!E1310))</f>
        <v>402600</v>
      </c>
      <c r="F1310" s="5" t="str">
        <f>+IF('Data Pura Costos'!F1310="","",'Data Pura Costos'!F1310)</f>
        <v>Molina</v>
      </c>
      <c r="G1310" s="5" t="str">
        <f>+IF('Data Pura Costos'!G1310="","",'Data Pura Costos'!G1310)</f>
        <v xml:space="preserve">Transarco </v>
      </c>
      <c r="H1310" s="52" t="str">
        <f>+IF('Data Pura Costos'!H1310="","",'Data Pura Costos'!H1310)</f>
        <v>Termo</v>
      </c>
      <c r="I1310" s="71">
        <f>+IF('Data Pura Costos'!I1310="","",'Data Pura Costos'!I1310)</f>
        <v>4237.894736842105</v>
      </c>
      <c r="J1310" s="52" t="str">
        <f>+IF('Data Pura Costos'!J1310="","",'Data Pura Costos'!J1310)</f>
        <v>24-25</v>
      </c>
      <c r="K1310" s="82" t="str">
        <f t="shared" si="25"/>
        <v xml:space="preserve">Talhuén-Molina-Transarco </v>
      </c>
    </row>
    <row r="1311" spans="2:11" x14ac:dyDescent="0.35">
      <c r="B1311" s="4" t="str">
        <f>+IF('Data Pura Costos'!B1311="","",'Data Pura Costos'!B1311)</f>
        <v>Triunfo</v>
      </c>
      <c r="C1311" s="4" t="str">
        <f>+IF('Data Pura Costos'!C1311="","",'Data Pura Costos'!C1311)</f>
        <v xml:space="preserve">San Esteban, V región </v>
      </c>
      <c r="D1311" s="5">
        <f>+IF('Data Pura Costos'!D1311="","",'Data Pura Costos'!D1311)</f>
        <v>0</v>
      </c>
      <c r="E1311" s="65">
        <f>+IF('Data Pura Costos'!E1311="","",IF('Data Pura Costos'!E1311=0,MAX('Data Pura Costos'!$E$7:$E$3000)*1000,'Data Pura Costos'!E1311))</f>
        <v>495000</v>
      </c>
      <c r="F1311" s="5" t="str">
        <f>+IF('Data Pura Costos'!F1311="","",'Data Pura Costos'!F1311)</f>
        <v>Molina</v>
      </c>
      <c r="G1311" s="5" t="str">
        <f>+IF('Data Pura Costos'!G1311="","",'Data Pura Costos'!G1311)</f>
        <v xml:space="preserve">Transarco </v>
      </c>
      <c r="H1311" s="52" t="str">
        <f>+IF('Data Pura Costos'!H1311="","",'Data Pura Costos'!H1311)</f>
        <v>Termo</v>
      </c>
      <c r="I1311" s="71" t="e">
        <f>+IF('Data Pura Costos'!I1311="","",'Data Pura Costos'!I1311)</f>
        <v>#DIV/0!</v>
      </c>
      <c r="J1311" s="52" t="str">
        <f>+IF('Data Pura Costos'!J1311="","",'Data Pura Costos'!J1311)</f>
        <v>24-25</v>
      </c>
      <c r="K1311" s="82" t="str">
        <f t="shared" si="25"/>
        <v xml:space="preserve">Triunfo-Molina-Transarco </v>
      </c>
    </row>
    <row r="1312" spans="2:11" x14ac:dyDescent="0.35">
      <c r="B1312" s="4" t="str">
        <f>+IF('Data Pura Costos'!B1312="","",'Data Pura Costos'!B1312)</f>
        <v>Villaseca</v>
      </c>
      <c r="C1312" s="4" t="str">
        <f>+IF('Data Pura Costos'!C1312="","",'Data Pura Costos'!C1312)</f>
        <v>Retiro, VII reginón</v>
      </c>
      <c r="D1312" s="5">
        <f>+IF('Data Pura Costos'!D1312="","",'Data Pura Costos'!D1312)</f>
        <v>0</v>
      </c>
      <c r="E1312" s="65">
        <f>+IF('Data Pura Costos'!E1312="","",IF('Data Pura Costos'!E1312=0,MAX('Data Pura Costos'!$E$7:$E$3000)*1000,'Data Pura Costos'!E1312))</f>
        <v>861300</v>
      </c>
      <c r="F1312" s="5" t="str">
        <f>+IF('Data Pura Costos'!F1312="","",'Data Pura Costos'!F1312)</f>
        <v>Molina</v>
      </c>
      <c r="G1312" s="5" t="str">
        <f>+IF('Data Pura Costos'!G1312="","",'Data Pura Costos'!G1312)</f>
        <v xml:space="preserve">Transarco </v>
      </c>
      <c r="H1312" s="52" t="str">
        <f>+IF('Data Pura Costos'!H1312="","",'Data Pura Costos'!H1312)</f>
        <v>Termo</v>
      </c>
      <c r="I1312" s="71" t="e">
        <f>+IF('Data Pura Costos'!I1312="","",'Data Pura Costos'!I1312)</f>
        <v>#DIV/0!</v>
      </c>
      <c r="J1312" s="52" t="str">
        <f>+IF('Data Pura Costos'!J1312="","",'Data Pura Costos'!J1312)</f>
        <v>24-25</v>
      </c>
      <c r="K1312" s="82" t="str">
        <f t="shared" si="25"/>
        <v xml:space="preserve">Villaseca-Molina-Transarco </v>
      </c>
    </row>
    <row r="1313" spans="2:11" x14ac:dyDescent="0.35">
      <c r="B1313" s="4" t="str">
        <f>+IF('Data Pura Costos'!B1313="","",'Data Pura Costos'!B1313)</f>
        <v>Almahue</v>
      </c>
      <c r="C1313" s="4" t="str">
        <f>+IF('Data Pura Costos'!C1313="","",'Data Pura Costos'!C1313)</f>
        <v>Pichidegua, VI región</v>
      </c>
      <c r="D1313" s="5">
        <f>+IF('Data Pura Costos'!D1313="","",'Data Pura Costos'!D1313)</f>
        <v>50</v>
      </c>
      <c r="E1313" s="65">
        <f>+IF('Data Pura Costos'!E1313="","",IF('Data Pura Costos'!E1313=0,MAX('Data Pura Costos'!$E$7:$E$3000)*1000,'Data Pura Costos'!E1313))</f>
        <v>280000</v>
      </c>
      <c r="F1313" s="5" t="str">
        <f>+IF('Data Pura Costos'!F1313="","",'Data Pura Costos'!F1313)</f>
        <v>Malloa</v>
      </c>
      <c r="G1313" s="5" t="str">
        <f>+IF('Data Pura Costos'!G1313="","",'Data Pura Costos'!G1313)</f>
        <v xml:space="preserve">Transarco </v>
      </c>
      <c r="H1313" s="52" t="str">
        <f>+IF('Data Pura Costos'!H1313="","",'Data Pura Costos'!H1313)</f>
        <v>Termo</v>
      </c>
      <c r="I1313" s="71">
        <f>+IF('Data Pura Costos'!I1313="","",'Data Pura Costos'!I1313)</f>
        <v>5600</v>
      </c>
      <c r="J1313" s="52" t="str">
        <f>+IF('Data Pura Costos'!J1313="","",'Data Pura Costos'!J1313)</f>
        <v>24-25</v>
      </c>
      <c r="K1313" s="82" t="str">
        <f t="shared" si="25"/>
        <v xml:space="preserve">Almahue-Malloa-Transarco </v>
      </c>
    </row>
    <row r="1314" spans="2:11" x14ac:dyDescent="0.35">
      <c r="B1314" s="4" t="str">
        <f>+IF('Data Pura Costos'!B1314="","",'Data Pura Costos'!B1314)</f>
        <v>Bodega</v>
      </c>
      <c r="C1314" s="4" t="str">
        <f>+IF('Data Pura Costos'!C1314="","",'Data Pura Costos'!C1314)</f>
        <v>Linares, VII region.</v>
      </c>
      <c r="D1314" s="5">
        <f>+IF('Data Pura Costos'!D1314="","",'Data Pura Costos'!D1314)</f>
        <v>211</v>
      </c>
      <c r="E1314" s="65">
        <f>+IF('Data Pura Costos'!E1314="","",IF('Data Pura Costos'!E1314=0,MAX('Data Pura Costos'!$E$7:$E$3000)*1000,'Data Pura Costos'!E1314))</f>
        <v>654100</v>
      </c>
      <c r="F1314" s="5" t="str">
        <f>+IF('Data Pura Costos'!F1314="","",'Data Pura Costos'!F1314)</f>
        <v>Malloa</v>
      </c>
      <c r="G1314" s="5" t="str">
        <f>+IF('Data Pura Costos'!G1314="","",'Data Pura Costos'!G1314)</f>
        <v xml:space="preserve">Transarco </v>
      </c>
      <c r="H1314" s="52" t="str">
        <f>+IF('Data Pura Costos'!H1314="","",'Data Pura Costos'!H1314)</f>
        <v>Termo</v>
      </c>
      <c r="I1314" s="71">
        <f>+IF('Data Pura Costos'!I1314="","",'Data Pura Costos'!I1314)</f>
        <v>3100</v>
      </c>
      <c r="J1314" s="52" t="str">
        <f>+IF('Data Pura Costos'!J1314="","",'Data Pura Costos'!J1314)</f>
        <v>24-25</v>
      </c>
      <c r="K1314" s="82" t="str">
        <f t="shared" si="25"/>
        <v xml:space="preserve">Bodega-Malloa-Transarco </v>
      </c>
    </row>
    <row r="1315" spans="2:11" x14ac:dyDescent="0.35">
      <c r="B1315" s="4" t="str">
        <f>+IF('Data Pura Costos'!B1315="","",'Data Pura Costos'!B1315)</f>
        <v xml:space="preserve">Caliboro </v>
      </c>
      <c r="C1315" s="4" t="str">
        <f>+IF('Data Pura Costos'!C1315="","",'Data Pura Costos'!C1315)</f>
        <v>San Javier, VII región</v>
      </c>
      <c r="D1315" s="5">
        <f>+IF('Data Pura Costos'!D1315="","",'Data Pura Costos'!D1315)</f>
        <v>206</v>
      </c>
      <c r="E1315" s="65">
        <f>+IF('Data Pura Costos'!E1315="","",IF('Data Pura Costos'!E1315=0,MAX('Data Pura Costos'!$E$7:$E$3000)*1000,'Data Pura Costos'!E1315))</f>
        <v>450000</v>
      </c>
      <c r="F1315" s="5" t="str">
        <f>+IF('Data Pura Costos'!F1315="","",'Data Pura Costos'!F1315)</f>
        <v>Malloa</v>
      </c>
      <c r="G1315" s="5" t="str">
        <f>+IF('Data Pura Costos'!G1315="","",'Data Pura Costos'!G1315)</f>
        <v xml:space="preserve">Transarco </v>
      </c>
      <c r="H1315" s="52" t="str">
        <f>+IF('Data Pura Costos'!H1315="","",'Data Pura Costos'!H1315)</f>
        <v>Termo</v>
      </c>
      <c r="I1315" s="71">
        <f>+IF('Data Pura Costos'!I1315="","",'Data Pura Costos'!I1315)</f>
        <v>2184.4660194174758</v>
      </c>
      <c r="J1315" s="52" t="str">
        <f>+IF('Data Pura Costos'!J1315="","",'Data Pura Costos'!J1315)</f>
        <v>24-25</v>
      </c>
      <c r="K1315" s="82" t="str">
        <f t="shared" si="25"/>
        <v xml:space="preserve">Caliboro -Malloa-Transarco </v>
      </c>
    </row>
    <row r="1316" spans="2:11" x14ac:dyDescent="0.35">
      <c r="B1316" s="4" t="str">
        <f>+IF('Data Pura Costos'!B1316="","",'Data Pura Costos'!B1316)</f>
        <v>Calleuque</v>
      </c>
      <c r="C1316" s="4" t="str">
        <f>+IF('Data Pura Costos'!C1316="","",'Data Pura Costos'!C1316)</f>
        <v>Peralillo ohiggins, VI región</v>
      </c>
      <c r="D1316" s="5">
        <f>+IF('Data Pura Costos'!D1316="","",'Data Pura Costos'!D1316)</f>
        <v>80</v>
      </c>
      <c r="E1316" s="65">
        <f>+IF('Data Pura Costos'!E1316="","",IF('Data Pura Costos'!E1316=0,MAX('Data Pura Costos'!$E$7:$E$3000)*1000,'Data Pura Costos'!E1316))</f>
        <v>280000</v>
      </c>
      <c r="F1316" s="5" t="str">
        <f>+IF('Data Pura Costos'!F1316="","",'Data Pura Costos'!F1316)</f>
        <v>Malloa</v>
      </c>
      <c r="G1316" s="5" t="str">
        <f>+IF('Data Pura Costos'!G1316="","",'Data Pura Costos'!G1316)</f>
        <v xml:space="preserve">Transarco </v>
      </c>
      <c r="H1316" s="52" t="str">
        <f>+IF('Data Pura Costos'!H1316="","",'Data Pura Costos'!H1316)</f>
        <v>Termo</v>
      </c>
      <c r="I1316" s="71">
        <f>+IF('Data Pura Costos'!I1316="","",'Data Pura Costos'!I1316)</f>
        <v>3500</v>
      </c>
      <c r="J1316" s="52" t="str">
        <f>+IF('Data Pura Costos'!J1316="","",'Data Pura Costos'!J1316)</f>
        <v>24-25</v>
      </c>
      <c r="K1316" s="82" t="str">
        <f t="shared" si="25"/>
        <v xml:space="preserve">Calleuque-Malloa-Transarco </v>
      </c>
    </row>
    <row r="1317" spans="2:11" x14ac:dyDescent="0.35">
      <c r="B1317" s="4" t="str">
        <f>+IF('Data Pura Costos'!B1317="","",'Data Pura Costos'!B1317)</f>
        <v>Chumpirro</v>
      </c>
      <c r="C1317" s="4" t="str">
        <f>+IF('Data Pura Costos'!C1317="","",'Data Pura Costos'!C1317)</f>
        <v>Angol, IX región</v>
      </c>
      <c r="D1317" s="5">
        <f>+IF('Data Pura Costos'!D1317="","",'Data Pura Costos'!D1317)</f>
        <v>450</v>
      </c>
      <c r="E1317" s="65">
        <f>+IF('Data Pura Costos'!E1317="","",IF('Data Pura Costos'!E1317=0,MAX('Data Pura Costos'!$E$7:$E$3000)*1000,'Data Pura Costos'!E1317))</f>
        <v>1260000</v>
      </c>
      <c r="F1317" s="5" t="str">
        <f>+IF('Data Pura Costos'!F1317="","",'Data Pura Costos'!F1317)</f>
        <v>Malloa</v>
      </c>
      <c r="G1317" s="5" t="str">
        <f>+IF('Data Pura Costos'!G1317="","",'Data Pura Costos'!G1317)</f>
        <v xml:space="preserve">Transarco </v>
      </c>
      <c r="H1317" s="52" t="str">
        <f>+IF('Data Pura Costos'!H1317="","",'Data Pura Costos'!H1317)</f>
        <v>Termo</v>
      </c>
      <c r="I1317" s="71">
        <f>+IF('Data Pura Costos'!I1317="","",'Data Pura Costos'!I1317)</f>
        <v>2800</v>
      </c>
      <c r="J1317" s="52" t="str">
        <f>+IF('Data Pura Costos'!J1317="","",'Data Pura Costos'!J1317)</f>
        <v>24-25</v>
      </c>
      <c r="K1317" s="82" t="str">
        <f t="shared" si="25"/>
        <v xml:space="preserve">Chumpirro-Malloa-Transarco </v>
      </c>
    </row>
    <row r="1318" spans="2:11" x14ac:dyDescent="0.35">
      <c r="B1318" s="4" t="str">
        <f>+IF('Data Pura Costos'!B1318="","",'Data Pura Costos'!B1318)</f>
        <v xml:space="preserve"> Cocalán</v>
      </c>
      <c r="C1318" s="4" t="str">
        <f>+IF('Data Pura Costos'!C1318="","",'Data Pura Costos'!C1318)</f>
        <v>Cocalán, VI región</v>
      </c>
      <c r="D1318" s="5">
        <f>+IF('Data Pura Costos'!D1318="","",'Data Pura Costos'!D1318)</f>
        <v>50</v>
      </c>
      <c r="E1318" s="65">
        <f>+IF('Data Pura Costos'!E1318="","",IF('Data Pura Costos'!E1318=0,MAX('Data Pura Costos'!$E$7:$E$3000)*1000,'Data Pura Costos'!E1318))</f>
        <v>280000</v>
      </c>
      <c r="F1318" s="5" t="str">
        <f>+IF('Data Pura Costos'!F1318="","",'Data Pura Costos'!F1318)</f>
        <v>Malloa</v>
      </c>
      <c r="G1318" s="5" t="str">
        <f>+IF('Data Pura Costos'!G1318="","",'Data Pura Costos'!G1318)</f>
        <v xml:space="preserve">Transarco </v>
      </c>
      <c r="H1318" s="52" t="str">
        <f>+IF('Data Pura Costos'!H1318="","",'Data Pura Costos'!H1318)</f>
        <v>Termo</v>
      </c>
      <c r="I1318" s="71">
        <f>+IF('Data Pura Costos'!I1318="","",'Data Pura Costos'!I1318)</f>
        <v>5600</v>
      </c>
      <c r="J1318" s="52" t="str">
        <f>+IF('Data Pura Costos'!J1318="","",'Data Pura Costos'!J1318)</f>
        <v>24-25</v>
      </c>
      <c r="K1318" s="82" t="str">
        <f t="shared" si="25"/>
        <v xml:space="preserve"> Cocalán-Malloa-Transarco </v>
      </c>
    </row>
    <row r="1319" spans="2:11" x14ac:dyDescent="0.35">
      <c r="B1319" s="4" t="str">
        <f>+IF('Data Pura Costos'!B1319="","",'Data Pura Costos'!B1319)</f>
        <v>El Cóndor</v>
      </c>
      <c r="C1319" s="4" t="str">
        <f>+IF('Data Pura Costos'!C1319="","",'Data Pura Costos'!C1319)</f>
        <v>Chimbarongo, VI Region.</v>
      </c>
      <c r="D1319" s="5">
        <f>+IF('Data Pura Costos'!D1319="","",'Data Pura Costos'!D1319)</f>
        <v>60</v>
      </c>
      <c r="E1319" s="65">
        <f>+IF('Data Pura Costos'!E1319="","",IF('Data Pura Costos'!E1319=0,MAX('Data Pura Costos'!$E$7:$E$3000)*1000,'Data Pura Costos'!E1319))</f>
        <v>280000</v>
      </c>
      <c r="F1319" s="5" t="str">
        <f>+IF('Data Pura Costos'!F1319="","",'Data Pura Costos'!F1319)</f>
        <v>Malloa</v>
      </c>
      <c r="G1319" s="5" t="str">
        <f>+IF('Data Pura Costos'!G1319="","",'Data Pura Costos'!G1319)</f>
        <v xml:space="preserve">Transarco </v>
      </c>
      <c r="H1319" s="52" t="str">
        <f>+IF('Data Pura Costos'!H1319="","",'Data Pura Costos'!H1319)</f>
        <v>Termo</v>
      </c>
      <c r="I1319" s="71">
        <f>+IF('Data Pura Costos'!I1319="","",'Data Pura Costos'!I1319)</f>
        <v>4666.666666666667</v>
      </c>
      <c r="J1319" s="52" t="str">
        <f>+IF('Data Pura Costos'!J1319="","",'Data Pura Costos'!J1319)</f>
        <v>24-25</v>
      </c>
      <c r="K1319" s="82" t="str">
        <f t="shared" si="25"/>
        <v xml:space="preserve">El Cóndor-Malloa-Transarco </v>
      </c>
    </row>
    <row r="1320" spans="2:11" x14ac:dyDescent="0.35">
      <c r="B1320" s="4" t="str">
        <f>+IF('Data Pura Costos'!B1320="","",'Data Pura Costos'!B1320)</f>
        <v>El Descanso</v>
      </c>
      <c r="C1320" s="4" t="str">
        <f>+IF('Data Pura Costos'!C1320="","",'Data Pura Costos'!C1320)</f>
        <v>Sagrada Familia, VII región</v>
      </c>
      <c r="D1320" s="5">
        <f>+IF('Data Pura Costos'!D1320="","",'Data Pura Costos'!D1320)</f>
        <v>100</v>
      </c>
      <c r="E1320" s="65">
        <f>+IF('Data Pura Costos'!E1320="","",IF('Data Pura Costos'!E1320=0,MAX('Data Pura Costos'!$E$7:$E$3000)*1000,'Data Pura Costos'!E1320))</f>
        <v>330000</v>
      </c>
      <c r="F1320" s="5" t="str">
        <f>+IF('Data Pura Costos'!F1320="","",'Data Pura Costos'!F1320)</f>
        <v>Malloa</v>
      </c>
      <c r="G1320" s="5" t="str">
        <f>+IF('Data Pura Costos'!G1320="","",'Data Pura Costos'!G1320)</f>
        <v xml:space="preserve">Transarco </v>
      </c>
      <c r="H1320" s="52" t="str">
        <f>+IF('Data Pura Costos'!H1320="","",'Data Pura Costos'!H1320)</f>
        <v>Termo</v>
      </c>
      <c r="I1320" s="71">
        <f>+IF('Data Pura Costos'!I1320="","",'Data Pura Costos'!I1320)</f>
        <v>3300</v>
      </c>
      <c r="J1320" s="52" t="str">
        <f>+IF('Data Pura Costos'!J1320="","",'Data Pura Costos'!J1320)</f>
        <v>24-25</v>
      </c>
      <c r="K1320" s="82" t="str">
        <f t="shared" si="25"/>
        <v xml:space="preserve">El Descanso-Malloa-Transarco </v>
      </c>
    </row>
    <row r="1321" spans="2:11" x14ac:dyDescent="0.35">
      <c r="B1321" s="4" t="str">
        <f>+IF('Data Pura Costos'!B1321="","",'Data Pura Costos'!B1321)</f>
        <v>El Espino</v>
      </c>
      <c r="C1321" s="4" t="str">
        <f>+IF('Data Pura Costos'!C1321="","",'Data Pura Costos'!C1321)</f>
        <v>Colbún, VII región</v>
      </c>
      <c r="D1321" s="5">
        <f>+IF('Data Pura Costos'!D1321="","",'Data Pura Costos'!D1321)</f>
        <v>190</v>
      </c>
      <c r="E1321" s="65">
        <f>+IF('Data Pura Costos'!E1321="","",IF('Data Pura Costos'!E1321=0,MAX('Data Pura Costos'!$E$7:$E$3000)*1000,'Data Pura Costos'!E1321))</f>
        <v>589000</v>
      </c>
      <c r="F1321" s="5" t="str">
        <f>+IF('Data Pura Costos'!F1321="","",'Data Pura Costos'!F1321)</f>
        <v>Malloa</v>
      </c>
      <c r="G1321" s="5" t="str">
        <f>+IF('Data Pura Costos'!G1321="","",'Data Pura Costos'!G1321)</f>
        <v xml:space="preserve">Transarco </v>
      </c>
      <c r="H1321" s="52" t="str">
        <f>+IF('Data Pura Costos'!H1321="","",'Data Pura Costos'!H1321)</f>
        <v>Termo</v>
      </c>
      <c r="I1321" s="71">
        <f>+IF('Data Pura Costos'!I1321="","",'Data Pura Costos'!I1321)</f>
        <v>3100</v>
      </c>
      <c r="J1321" s="52" t="str">
        <f>+IF('Data Pura Costos'!J1321="","",'Data Pura Costos'!J1321)</f>
        <v>24-25</v>
      </c>
      <c r="K1321" s="82" t="str">
        <f t="shared" si="25"/>
        <v xml:space="preserve">El Espino-Malloa-Transarco </v>
      </c>
    </row>
    <row r="1322" spans="2:11" x14ac:dyDescent="0.35">
      <c r="B1322" s="4" t="str">
        <f>+IF('Data Pura Costos'!B1322="","",'Data Pura Costos'!B1322)</f>
        <v>El Huaico</v>
      </c>
      <c r="C1322" s="4" t="str">
        <f>+IF('Data Pura Costos'!C1322="","",'Data Pura Costos'!C1322)</f>
        <v>Palmila Ohiggins</v>
      </c>
      <c r="D1322" s="5">
        <f>+IF('Data Pura Costos'!D1322="","",'Data Pura Costos'!D1322)</f>
        <v>75</v>
      </c>
      <c r="E1322" s="65">
        <f>+IF('Data Pura Costos'!E1322="","",IF('Data Pura Costos'!E1322=0,MAX('Data Pura Costos'!$E$7:$E$3000)*1000,'Data Pura Costos'!E1322))</f>
        <v>280000</v>
      </c>
      <c r="F1322" s="5" t="str">
        <f>+IF('Data Pura Costos'!F1322="","",'Data Pura Costos'!F1322)</f>
        <v>Malloa</v>
      </c>
      <c r="G1322" s="5" t="str">
        <f>+IF('Data Pura Costos'!G1322="","",'Data Pura Costos'!G1322)</f>
        <v xml:space="preserve">Transarco </v>
      </c>
      <c r="H1322" s="52" t="str">
        <f>+IF('Data Pura Costos'!H1322="","",'Data Pura Costos'!H1322)</f>
        <v>Termo</v>
      </c>
      <c r="I1322" s="71">
        <f>+IF('Data Pura Costos'!I1322="","",'Data Pura Costos'!I1322)</f>
        <v>3733.3333333333335</v>
      </c>
      <c r="J1322" s="52" t="str">
        <f>+IF('Data Pura Costos'!J1322="","",'Data Pura Costos'!J1322)</f>
        <v>24-25</v>
      </c>
      <c r="K1322" s="82" t="str">
        <f t="shared" si="25"/>
        <v xml:space="preserve">El Huaico-Malloa-Transarco </v>
      </c>
    </row>
    <row r="1323" spans="2:11" x14ac:dyDescent="0.35">
      <c r="B1323" s="4" t="str">
        <f>+IF('Data Pura Costos'!B1323="","",'Data Pura Costos'!B1323)</f>
        <v>El Parque</v>
      </c>
      <c r="C1323" s="4" t="str">
        <f>+IF('Data Pura Costos'!C1323="","",'Data Pura Costos'!C1323)</f>
        <v>San Francisco de Mostazal.VI Region.</v>
      </c>
      <c r="D1323" s="5">
        <f>+IF('Data Pura Costos'!D1323="","",'Data Pura Costos'!D1323)</f>
        <v>70</v>
      </c>
      <c r="E1323" s="65">
        <f>+IF('Data Pura Costos'!E1323="","",IF('Data Pura Costos'!E1323=0,MAX('Data Pura Costos'!$E$7:$E$3000)*1000,'Data Pura Costos'!E1323))</f>
        <v>280000</v>
      </c>
      <c r="F1323" s="5" t="str">
        <f>+IF('Data Pura Costos'!F1323="","",'Data Pura Costos'!F1323)</f>
        <v>Malloa</v>
      </c>
      <c r="G1323" s="5" t="str">
        <f>+IF('Data Pura Costos'!G1323="","",'Data Pura Costos'!G1323)</f>
        <v xml:space="preserve">Transarco </v>
      </c>
      <c r="H1323" s="52" t="str">
        <f>+IF('Data Pura Costos'!H1323="","",'Data Pura Costos'!H1323)</f>
        <v>Termo</v>
      </c>
      <c r="I1323" s="71">
        <f>+IF('Data Pura Costos'!I1323="","",'Data Pura Costos'!I1323)</f>
        <v>4000</v>
      </c>
      <c r="J1323" s="52" t="str">
        <f>+IF('Data Pura Costos'!J1323="","",'Data Pura Costos'!J1323)</f>
        <v>24-25</v>
      </c>
      <c r="K1323" s="82" t="str">
        <f t="shared" si="25"/>
        <v xml:space="preserve">El Parque-Malloa-Transarco </v>
      </c>
    </row>
    <row r="1324" spans="2:11" x14ac:dyDescent="0.35">
      <c r="B1324" s="4" t="str">
        <f>+IF('Data Pura Costos'!B1324="","",'Data Pura Costos'!B1324)</f>
        <v>El Picaso</v>
      </c>
      <c r="C1324" s="4" t="str">
        <f>+IF('Data Pura Costos'!C1324="","",'Data Pura Costos'!C1324)</f>
        <v xml:space="preserve">San Clemente, VII región </v>
      </c>
      <c r="D1324" s="5">
        <f>+IF('Data Pura Costos'!D1324="","",'Data Pura Costos'!D1324)</f>
        <v>160</v>
      </c>
      <c r="E1324" s="65">
        <f>+IF('Data Pura Costos'!E1324="","",IF('Data Pura Costos'!E1324=0,MAX('Data Pura Costos'!$E$7:$E$3000)*1000,'Data Pura Costos'!E1324))</f>
        <v>528000</v>
      </c>
      <c r="F1324" s="5" t="str">
        <f>+IF('Data Pura Costos'!F1324="","",'Data Pura Costos'!F1324)</f>
        <v>Malloa</v>
      </c>
      <c r="G1324" s="5" t="str">
        <f>+IF('Data Pura Costos'!G1324="","",'Data Pura Costos'!G1324)</f>
        <v xml:space="preserve">Transarco </v>
      </c>
      <c r="H1324" s="52" t="str">
        <f>+IF('Data Pura Costos'!H1324="","",'Data Pura Costos'!H1324)</f>
        <v>Termo</v>
      </c>
      <c r="I1324" s="71">
        <f>+IF('Data Pura Costos'!I1324="","",'Data Pura Costos'!I1324)</f>
        <v>3300</v>
      </c>
      <c r="J1324" s="52" t="str">
        <f>+IF('Data Pura Costos'!J1324="","",'Data Pura Costos'!J1324)</f>
        <v>24-25</v>
      </c>
      <c r="K1324" s="82" t="str">
        <f t="shared" si="25"/>
        <v xml:space="preserve">El Picaso-Malloa-Transarco </v>
      </c>
    </row>
    <row r="1325" spans="2:11" x14ac:dyDescent="0.35">
      <c r="B1325" s="4" t="str">
        <f>+IF('Data Pura Costos'!B1325="","",'Data Pura Costos'!B1325)</f>
        <v>El Recurso</v>
      </c>
      <c r="C1325" s="4" t="str">
        <f>+IF('Data Pura Costos'!C1325="","",'Data Pura Costos'!C1325)</f>
        <v>San Francisco de Mostazal.VI Region.</v>
      </c>
      <c r="D1325" s="5">
        <f>+IF('Data Pura Costos'!D1325="","",'Data Pura Costos'!D1325)</f>
        <v>70</v>
      </c>
      <c r="E1325" s="65">
        <f>+IF('Data Pura Costos'!E1325="","",IF('Data Pura Costos'!E1325=0,MAX('Data Pura Costos'!$E$7:$E$3000)*1000,'Data Pura Costos'!E1325))</f>
        <v>280000</v>
      </c>
      <c r="F1325" s="5" t="str">
        <f>+IF('Data Pura Costos'!F1325="","",'Data Pura Costos'!F1325)</f>
        <v>Malloa</v>
      </c>
      <c r="G1325" s="5" t="str">
        <f>+IF('Data Pura Costos'!G1325="","",'Data Pura Costos'!G1325)</f>
        <v xml:space="preserve">Transarco </v>
      </c>
      <c r="H1325" s="52" t="str">
        <f>+IF('Data Pura Costos'!H1325="","",'Data Pura Costos'!H1325)</f>
        <v>Termo</v>
      </c>
      <c r="I1325" s="71">
        <f>+IF('Data Pura Costos'!I1325="","",'Data Pura Costos'!I1325)</f>
        <v>4000</v>
      </c>
      <c r="J1325" s="52" t="str">
        <f>+IF('Data Pura Costos'!J1325="","",'Data Pura Costos'!J1325)</f>
        <v>24-25</v>
      </c>
      <c r="K1325" s="82" t="str">
        <f t="shared" si="25"/>
        <v xml:space="preserve">El Recurso-Malloa-Transarco </v>
      </c>
    </row>
    <row r="1326" spans="2:11" x14ac:dyDescent="0.35">
      <c r="B1326" s="4" t="str">
        <f>+IF('Data Pura Costos'!B1326="","",'Data Pura Costos'!B1326)</f>
        <v>El Rosario</v>
      </c>
      <c r="C1326" s="4" t="str">
        <f>+IF('Data Pura Costos'!C1326="","",'Data Pura Costos'!C1326)</f>
        <v>Linares, VII region.</v>
      </c>
      <c r="D1326" s="5">
        <f>+IF('Data Pura Costos'!D1326="","",'Data Pura Costos'!D1326)</f>
        <v>210</v>
      </c>
      <c r="E1326" s="65">
        <f>+IF('Data Pura Costos'!E1326="","",IF('Data Pura Costos'!E1326=0,MAX('Data Pura Costos'!$E$7:$E$3000)*1000,'Data Pura Costos'!E1326))</f>
        <v>651000</v>
      </c>
      <c r="F1326" s="5" t="str">
        <f>+IF('Data Pura Costos'!F1326="","",'Data Pura Costos'!F1326)</f>
        <v>Malloa</v>
      </c>
      <c r="G1326" s="5" t="str">
        <f>+IF('Data Pura Costos'!G1326="","",'Data Pura Costos'!G1326)</f>
        <v xml:space="preserve">Transarco </v>
      </c>
      <c r="H1326" s="52" t="str">
        <f>+IF('Data Pura Costos'!H1326="","",'Data Pura Costos'!H1326)</f>
        <v>Termo</v>
      </c>
      <c r="I1326" s="71">
        <f>+IF('Data Pura Costos'!I1326="","",'Data Pura Costos'!I1326)</f>
        <v>3100</v>
      </c>
      <c r="J1326" s="52" t="str">
        <f>+IF('Data Pura Costos'!J1326="","",'Data Pura Costos'!J1326)</f>
        <v>24-25</v>
      </c>
      <c r="K1326" s="82" t="str">
        <f t="shared" si="25"/>
        <v xml:space="preserve">El Rosario-Malloa-Transarco </v>
      </c>
    </row>
    <row r="1327" spans="2:11" x14ac:dyDescent="0.35">
      <c r="B1327" s="4" t="str">
        <f>+IF('Data Pura Costos'!B1327="","",'Data Pura Costos'!B1327)</f>
        <v>El Retiro</v>
      </c>
      <c r="C1327" s="4" t="str">
        <f>+IF('Data Pura Costos'!C1327="","",'Data Pura Costos'!C1327)</f>
        <v>Rosario, VI Region.</v>
      </c>
      <c r="D1327" s="5">
        <f>+IF('Data Pura Costos'!D1327="","",'Data Pura Costos'!D1327)</f>
        <v>25</v>
      </c>
      <c r="E1327" s="65">
        <f>+IF('Data Pura Costos'!E1327="","",IF('Data Pura Costos'!E1327=0,MAX('Data Pura Costos'!$E$7:$E$3000)*1000,'Data Pura Costos'!E1327))</f>
        <v>250000</v>
      </c>
      <c r="F1327" s="5" t="str">
        <f>+IF('Data Pura Costos'!F1327="","",'Data Pura Costos'!F1327)</f>
        <v>Malloa</v>
      </c>
      <c r="G1327" s="5" t="str">
        <f>+IF('Data Pura Costos'!G1327="","",'Data Pura Costos'!G1327)</f>
        <v xml:space="preserve">Transarco </v>
      </c>
      <c r="H1327" s="52" t="str">
        <f>+IF('Data Pura Costos'!H1327="","",'Data Pura Costos'!H1327)</f>
        <v>Termo</v>
      </c>
      <c r="I1327" s="71">
        <f>+IF('Data Pura Costos'!I1327="","",'Data Pura Costos'!I1327)</f>
        <v>10000</v>
      </c>
      <c r="J1327" s="52" t="str">
        <f>+IF('Data Pura Costos'!J1327="","",'Data Pura Costos'!J1327)</f>
        <v>24-25</v>
      </c>
      <c r="K1327" s="82" t="str">
        <f t="shared" si="25"/>
        <v xml:space="preserve">El Retiro-Malloa-Transarco </v>
      </c>
    </row>
    <row r="1328" spans="2:11" x14ac:dyDescent="0.35">
      <c r="B1328" s="4" t="str">
        <f>+IF('Data Pura Costos'!B1328="","",'Data Pura Costos'!B1328)</f>
        <v>La Esperanza</v>
      </c>
      <c r="C1328" s="4" t="str">
        <f>+IF('Data Pura Costos'!C1328="","",'Data Pura Costos'!C1328)</f>
        <v>Peumo, VI región</v>
      </c>
      <c r="D1328" s="5">
        <f>+IF('Data Pura Costos'!D1328="","",'Data Pura Costos'!D1328)</f>
        <v>35</v>
      </c>
      <c r="E1328" s="65">
        <f>+IF('Data Pura Costos'!E1328="","",IF('Data Pura Costos'!E1328=0,MAX('Data Pura Costos'!$E$7:$E$3000)*1000,'Data Pura Costos'!E1328))</f>
        <v>250000</v>
      </c>
      <c r="F1328" s="5" t="str">
        <f>+IF('Data Pura Costos'!F1328="","",'Data Pura Costos'!F1328)</f>
        <v>Malloa</v>
      </c>
      <c r="G1328" s="5" t="str">
        <f>+IF('Data Pura Costos'!G1328="","",'Data Pura Costos'!G1328)</f>
        <v xml:space="preserve">Transarco </v>
      </c>
      <c r="H1328" s="52" t="str">
        <f>+IF('Data Pura Costos'!H1328="","",'Data Pura Costos'!H1328)</f>
        <v>Termo</v>
      </c>
      <c r="I1328" s="71">
        <f>+IF('Data Pura Costos'!I1328="","",'Data Pura Costos'!I1328)</f>
        <v>7142.8571428571431</v>
      </c>
      <c r="J1328" s="52" t="str">
        <f>+IF('Data Pura Costos'!J1328="","",'Data Pura Costos'!J1328)</f>
        <v>24-25</v>
      </c>
      <c r="K1328" s="82" t="str">
        <f t="shared" si="25"/>
        <v xml:space="preserve">La Esperanza-Malloa-Transarco </v>
      </c>
    </row>
    <row r="1329" spans="2:11" x14ac:dyDescent="0.35">
      <c r="B1329" s="4" t="str">
        <f>+IF('Data Pura Costos'!B1329="","",'Data Pura Costos'!B1329)</f>
        <v>La Estación</v>
      </c>
      <c r="C1329" s="4" t="str">
        <f>+IF('Data Pura Costos'!C1329="","",'Data Pura Costos'!C1329)</f>
        <v>Palmilla, VI región</v>
      </c>
      <c r="D1329" s="5">
        <f>+IF('Data Pura Costos'!D1329="","",'Data Pura Costos'!D1329)</f>
        <v>75</v>
      </c>
      <c r="E1329" s="65">
        <f>+IF('Data Pura Costos'!E1329="","",IF('Data Pura Costos'!E1329=0,MAX('Data Pura Costos'!$E$7:$E$3000)*1000,'Data Pura Costos'!E1329))</f>
        <v>280000</v>
      </c>
      <c r="F1329" s="5" t="str">
        <f>+IF('Data Pura Costos'!F1329="","",'Data Pura Costos'!F1329)</f>
        <v>Malloa</v>
      </c>
      <c r="G1329" s="5" t="str">
        <f>+IF('Data Pura Costos'!G1329="","",'Data Pura Costos'!G1329)</f>
        <v xml:space="preserve">Transarco </v>
      </c>
      <c r="H1329" s="52" t="str">
        <f>+IF('Data Pura Costos'!H1329="","",'Data Pura Costos'!H1329)</f>
        <v>Termo</v>
      </c>
      <c r="I1329" s="71">
        <f>+IF('Data Pura Costos'!I1329="","",'Data Pura Costos'!I1329)</f>
        <v>3733.3333333333335</v>
      </c>
      <c r="J1329" s="52" t="str">
        <f>+IF('Data Pura Costos'!J1329="","",'Data Pura Costos'!J1329)</f>
        <v>24-25</v>
      </c>
      <c r="K1329" s="82" t="str">
        <f t="shared" si="25"/>
        <v xml:space="preserve">La Estación-Malloa-Transarco </v>
      </c>
    </row>
    <row r="1330" spans="2:11" x14ac:dyDescent="0.35">
      <c r="B1330" s="4" t="str">
        <f>+IF('Data Pura Costos'!B1330="","",'Data Pura Costos'!B1330)</f>
        <v>La Lajuela</v>
      </c>
      <c r="C1330" s="4" t="str">
        <f>+IF('Data Pura Costos'!C1330="","",'Data Pura Costos'!C1330)</f>
        <v>Santa Cruz, VI Región</v>
      </c>
      <c r="D1330" s="5">
        <f>+IF('Data Pura Costos'!D1330="","",'Data Pura Costos'!D1330)</f>
        <v>75</v>
      </c>
      <c r="E1330" s="65">
        <f>+IF('Data Pura Costos'!E1330="","",IF('Data Pura Costos'!E1330=0,MAX('Data Pura Costos'!$E$7:$E$3000)*1000,'Data Pura Costos'!E1330))</f>
        <v>280000</v>
      </c>
      <c r="F1330" s="5" t="str">
        <f>+IF('Data Pura Costos'!F1330="","",'Data Pura Costos'!F1330)</f>
        <v>Malloa</v>
      </c>
      <c r="G1330" s="5" t="str">
        <f>+IF('Data Pura Costos'!G1330="","",'Data Pura Costos'!G1330)</f>
        <v xml:space="preserve">Transarco </v>
      </c>
      <c r="H1330" s="52" t="str">
        <f>+IF('Data Pura Costos'!H1330="","",'Data Pura Costos'!H1330)</f>
        <v>Termo</v>
      </c>
      <c r="I1330" s="71">
        <f>+IF('Data Pura Costos'!I1330="","",'Data Pura Costos'!I1330)</f>
        <v>3733.3333333333335</v>
      </c>
      <c r="J1330" s="52" t="str">
        <f>+IF('Data Pura Costos'!J1330="","",'Data Pura Costos'!J1330)</f>
        <v>24-25</v>
      </c>
      <c r="K1330" s="82" t="str">
        <f t="shared" si="25"/>
        <v xml:space="preserve">La Lajuela-Malloa-Transarco </v>
      </c>
    </row>
    <row r="1331" spans="2:11" x14ac:dyDescent="0.35">
      <c r="B1331" s="4" t="str">
        <f>+IF('Data Pura Costos'!B1331="","",'Data Pura Costos'!B1331)</f>
        <v>La Morera</v>
      </c>
      <c r="C1331" s="4" t="str">
        <f>+IF('Data Pura Costos'!C1331="","",'Data Pura Costos'!C1331)</f>
        <v>La compañia, VI Region.</v>
      </c>
      <c r="D1331" s="5">
        <f>+IF('Data Pura Costos'!D1331="","",'Data Pura Costos'!D1331)</f>
        <v>55</v>
      </c>
      <c r="E1331" s="65">
        <f>+IF('Data Pura Costos'!E1331="","",IF('Data Pura Costos'!E1331=0,MAX('Data Pura Costos'!$E$7:$E$3000)*1000,'Data Pura Costos'!E1331))</f>
        <v>280000</v>
      </c>
      <c r="F1331" s="5" t="str">
        <f>+IF('Data Pura Costos'!F1331="","",'Data Pura Costos'!F1331)</f>
        <v>Malloa</v>
      </c>
      <c r="G1331" s="5" t="str">
        <f>+IF('Data Pura Costos'!G1331="","",'Data Pura Costos'!G1331)</f>
        <v xml:space="preserve">Transarco </v>
      </c>
      <c r="H1331" s="52" t="str">
        <f>+IF('Data Pura Costos'!H1331="","",'Data Pura Costos'!H1331)</f>
        <v>Termo</v>
      </c>
      <c r="I1331" s="71">
        <f>+IF('Data Pura Costos'!I1331="","",'Data Pura Costos'!I1331)</f>
        <v>5090.909090909091</v>
      </c>
      <c r="J1331" s="52" t="str">
        <f>+IF('Data Pura Costos'!J1331="","",'Data Pura Costos'!J1331)</f>
        <v>24-25</v>
      </c>
      <c r="K1331" s="82" t="str">
        <f t="shared" si="25"/>
        <v xml:space="preserve">La Morera-Malloa-Transarco </v>
      </c>
    </row>
    <row r="1332" spans="2:11" x14ac:dyDescent="0.35">
      <c r="B1332" s="4" t="str">
        <f>+IF('Data Pura Costos'!B1332="","",'Data Pura Costos'!B1332)</f>
        <v>La Rinconada</v>
      </c>
      <c r="C1332" s="4" t="str">
        <f>+IF('Data Pura Costos'!C1332="","",'Data Pura Costos'!C1332)</f>
        <v>Pichidegua, VI región</v>
      </c>
      <c r="D1332" s="5">
        <f>+IF('Data Pura Costos'!D1332="","",'Data Pura Costos'!D1332)</f>
        <v>45</v>
      </c>
      <c r="E1332" s="65">
        <f>+IF('Data Pura Costos'!E1332="","",IF('Data Pura Costos'!E1332=0,MAX('Data Pura Costos'!$E$7:$E$3000)*1000,'Data Pura Costos'!E1332))</f>
        <v>280000</v>
      </c>
      <c r="F1332" s="5" t="str">
        <f>+IF('Data Pura Costos'!F1332="","",'Data Pura Costos'!F1332)</f>
        <v>Malloa</v>
      </c>
      <c r="G1332" s="5" t="str">
        <f>+IF('Data Pura Costos'!G1332="","",'Data Pura Costos'!G1332)</f>
        <v xml:space="preserve">Transarco </v>
      </c>
      <c r="H1332" s="52" t="str">
        <f>+IF('Data Pura Costos'!H1332="","",'Data Pura Costos'!H1332)</f>
        <v>Termo</v>
      </c>
      <c r="I1332" s="71">
        <f>+IF('Data Pura Costos'!I1332="","",'Data Pura Costos'!I1332)</f>
        <v>6222.2222222222226</v>
      </c>
      <c r="J1332" s="52" t="str">
        <f>+IF('Data Pura Costos'!J1332="","",'Data Pura Costos'!J1332)</f>
        <v>24-25</v>
      </c>
      <c r="K1332" s="82" t="str">
        <f t="shared" si="25"/>
        <v xml:space="preserve">La Rinconada-Malloa-Transarco </v>
      </c>
    </row>
    <row r="1333" spans="2:11" x14ac:dyDescent="0.35">
      <c r="B1333" s="4" t="str">
        <f>+IF('Data Pura Costos'!B1333="","",'Data Pura Costos'!B1333)</f>
        <v xml:space="preserve">La Roblería </v>
      </c>
      <c r="C1333" s="4" t="str">
        <f>+IF('Data Pura Costos'!C1333="","",'Data Pura Costos'!C1333)</f>
        <v>Aculeo, RM</v>
      </c>
      <c r="D1333" s="5">
        <f>+IF('Data Pura Costos'!D1333="","",'Data Pura Costos'!D1333)</f>
        <v>105</v>
      </c>
      <c r="E1333" s="65">
        <f>+IF('Data Pura Costos'!E1333="","",IF('Data Pura Costos'!E1333=0,MAX('Data Pura Costos'!$E$7:$E$3000)*1000,'Data Pura Costos'!E1333))</f>
        <v>346500</v>
      </c>
      <c r="F1333" s="5" t="str">
        <f>+IF('Data Pura Costos'!F1333="","",'Data Pura Costos'!F1333)</f>
        <v>Malloa</v>
      </c>
      <c r="G1333" s="5" t="str">
        <f>+IF('Data Pura Costos'!G1333="","",'Data Pura Costos'!G1333)</f>
        <v xml:space="preserve">Transarco </v>
      </c>
      <c r="H1333" s="52" t="str">
        <f>+IF('Data Pura Costos'!H1333="","",'Data Pura Costos'!H1333)</f>
        <v>Termo</v>
      </c>
      <c r="I1333" s="71">
        <f>+IF('Data Pura Costos'!I1333="","",'Data Pura Costos'!I1333)</f>
        <v>3300</v>
      </c>
      <c r="J1333" s="52" t="str">
        <f>+IF('Data Pura Costos'!J1333="","",'Data Pura Costos'!J1333)</f>
        <v>24-25</v>
      </c>
      <c r="K1333" s="82" t="str">
        <f t="shared" si="25"/>
        <v xml:space="preserve">La Roblería -Malloa-Transarco </v>
      </c>
    </row>
    <row r="1334" spans="2:11" x14ac:dyDescent="0.35">
      <c r="B1334" s="4" t="str">
        <f>+IF('Data Pura Costos'!B1334="","",'Data Pura Costos'!B1334)</f>
        <v>Las Cabras</v>
      </c>
      <c r="C1334" s="4" t="str">
        <f>+IF('Data Pura Costos'!C1334="","",'Data Pura Costos'!C1334)</f>
        <v>Las Cabras, VI región</v>
      </c>
      <c r="D1334" s="5">
        <f>+IF('Data Pura Costos'!D1334="","",'Data Pura Costos'!D1334)</f>
        <v>45</v>
      </c>
      <c r="E1334" s="65">
        <f>+IF('Data Pura Costos'!E1334="","",IF('Data Pura Costos'!E1334=0,MAX('Data Pura Costos'!$E$7:$E$3000)*1000,'Data Pura Costos'!E1334))</f>
        <v>280000</v>
      </c>
      <c r="F1334" s="5" t="str">
        <f>+IF('Data Pura Costos'!F1334="","",'Data Pura Costos'!F1334)</f>
        <v>Malloa</v>
      </c>
      <c r="G1334" s="5" t="str">
        <f>+IF('Data Pura Costos'!G1334="","",'Data Pura Costos'!G1334)</f>
        <v xml:space="preserve">Transarco </v>
      </c>
      <c r="H1334" s="52" t="str">
        <f>+IF('Data Pura Costos'!H1334="","",'Data Pura Costos'!H1334)</f>
        <v>Termo</v>
      </c>
      <c r="I1334" s="71">
        <f>+IF('Data Pura Costos'!I1334="","",'Data Pura Costos'!I1334)</f>
        <v>6222.2222222222226</v>
      </c>
      <c r="J1334" s="52" t="str">
        <f>+IF('Data Pura Costos'!J1334="","",'Data Pura Costos'!J1334)</f>
        <v>24-25</v>
      </c>
      <c r="K1334" s="82" t="str">
        <f t="shared" si="25"/>
        <v xml:space="preserve">Las Cabras-Malloa-Transarco </v>
      </c>
    </row>
    <row r="1335" spans="2:11" x14ac:dyDescent="0.35">
      <c r="B1335" s="4" t="str">
        <f>+IF('Data Pura Costos'!B1335="","",'Data Pura Costos'!B1335)</f>
        <v>Las Vertientes</v>
      </c>
      <c r="C1335" s="4" t="str">
        <f>+IF('Data Pura Costos'!C1335="","",'Data Pura Costos'!C1335)</f>
        <v>Pichidegua, VI región</v>
      </c>
      <c r="D1335" s="5">
        <f>+IF('Data Pura Costos'!D1335="","",'Data Pura Costos'!D1335)</f>
        <v>40</v>
      </c>
      <c r="E1335" s="65">
        <f>+IF('Data Pura Costos'!E1335="","",IF('Data Pura Costos'!E1335=0,MAX('Data Pura Costos'!$E$7:$E$3000)*1000,'Data Pura Costos'!E1335))</f>
        <v>280000</v>
      </c>
      <c r="F1335" s="5" t="str">
        <f>+IF('Data Pura Costos'!F1335="","",'Data Pura Costos'!F1335)</f>
        <v>Malloa</v>
      </c>
      <c r="G1335" s="5" t="str">
        <f>+IF('Data Pura Costos'!G1335="","",'Data Pura Costos'!G1335)</f>
        <v xml:space="preserve">Transarco </v>
      </c>
      <c r="H1335" s="52" t="str">
        <f>+IF('Data Pura Costos'!H1335="","",'Data Pura Costos'!H1335)</f>
        <v>Termo</v>
      </c>
      <c r="I1335" s="71">
        <f>+IF('Data Pura Costos'!I1335="","",'Data Pura Costos'!I1335)</f>
        <v>7000</v>
      </c>
      <c r="J1335" s="52" t="str">
        <f>+IF('Data Pura Costos'!J1335="","",'Data Pura Costos'!J1335)</f>
        <v>24-25</v>
      </c>
      <c r="K1335" s="82" t="str">
        <f t="shared" si="25"/>
        <v xml:space="preserve">Las Vertientes-Malloa-Transarco </v>
      </c>
    </row>
    <row r="1336" spans="2:11" x14ac:dyDescent="0.35">
      <c r="B1336" s="4" t="str">
        <f>+IF('Data Pura Costos'!B1336="","",'Data Pura Costos'!B1336)</f>
        <v>Lihueimo</v>
      </c>
      <c r="C1336" s="4" t="str">
        <f>+IF('Data Pura Costos'!C1336="","",'Data Pura Costos'!C1336)</f>
        <v>Peralillo ohiggins</v>
      </c>
      <c r="D1336" s="5">
        <f>+IF('Data Pura Costos'!D1336="","",'Data Pura Costos'!D1336)</f>
        <v>80</v>
      </c>
      <c r="E1336" s="65">
        <f>+IF('Data Pura Costos'!E1336="","",IF('Data Pura Costos'!E1336=0,MAX('Data Pura Costos'!$E$7:$E$3000)*1000,'Data Pura Costos'!E1336))</f>
        <v>280000</v>
      </c>
      <c r="F1336" s="5" t="str">
        <f>+IF('Data Pura Costos'!F1336="","",'Data Pura Costos'!F1336)</f>
        <v>Malloa</v>
      </c>
      <c r="G1336" s="5" t="str">
        <f>+IF('Data Pura Costos'!G1336="","",'Data Pura Costos'!G1336)</f>
        <v xml:space="preserve">Transarco </v>
      </c>
      <c r="H1336" s="52" t="str">
        <f>+IF('Data Pura Costos'!H1336="","",'Data Pura Costos'!H1336)</f>
        <v>Termo</v>
      </c>
      <c r="I1336" s="71">
        <f>+IF('Data Pura Costos'!I1336="","",'Data Pura Costos'!I1336)</f>
        <v>3500</v>
      </c>
      <c r="J1336" s="52" t="str">
        <f>+IF('Data Pura Costos'!J1336="","",'Data Pura Costos'!J1336)</f>
        <v>24-25</v>
      </c>
      <c r="K1336" s="82" t="str">
        <f t="shared" si="25"/>
        <v xml:space="preserve">Lihueimo-Malloa-Transarco </v>
      </c>
    </row>
    <row r="1337" spans="2:11" x14ac:dyDescent="0.35">
      <c r="B1337" s="4" t="str">
        <f>+IF('Data Pura Costos'!B1337="","",'Data Pura Costos'!B1337)</f>
        <v>Los Encinos</v>
      </c>
      <c r="C1337" s="4" t="str">
        <f>+IF('Data Pura Costos'!C1337="","",'Data Pura Costos'!C1337)</f>
        <v>Huechun, RM</v>
      </c>
      <c r="D1337" s="5">
        <f>+IF('Data Pura Costos'!D1337="","",'Data Pura Costos'!D1337)</f>
        <v>145</v>
      </c>
      <c r="E1337" s="65">
        <f>+IF('Data Pura Costos'!E1337="","",IF('Data Pura Costos'!E1337=0,MAX('Data Pura Costos'!$E$7:$E$3000)*1000,'Data Pura Costos'!E1337))</f>
        <v>478500</v>
      </c>
      <c r="F1337" s="5" t="str">
        <f>+IF('Data Pura Costos'!F1337="","",'Data Pura Costos'!F1337)</f>
        <v>Malloa</v>
      </c>
      <c r="G1337" s="5" t="str">
        <f>+IF('Data Pura Costos'!G1337="","",'Data Pura Costos'!G1337)</f>
        <v xml:space="preserve">Transarco </v>
      </c>
      <c r="H1337" s="52" t="str">
        <f>+IF('Data Pura Costos'!H1337="","",'Data Pura Costos'!H1337)</f>
        <v>Termo</v>
      </c>
      <c r="I1337" s="71">
        <f>+IF('Data Pura Costos'!I1337="","",'Data Pura Costos'!I1337)</f>
        <v>3300</v>
      </c>
      <c r="J1337" s="52" t="str">
        <f>+IF('Data Pura Costos'!J1337="","",'Data Pura Costos'!J1337)</f>
        <v>24-25</v>
      </c>
      <c r="K1337" s="82" t="str">
        <f t="shared" si="25"/>
        <v xml:space="preserve">Los Encinos-Malloa-Transarco </v>
      </c>
    </row>
    <row r="1338" spans="2:11" x14ac:dyDescent="0.35">
      <c r="B1338" s="4" t="str">
        <f>+IF('Data Pura Costos'!B1338="","",'Data Pura Costos'!B1338)</f>
        <v>Los Maitenes</v>
      </c>
      <c r="C1338" s="4" t="str">
        <f>+IF('Data Pura Costos'!C1338="","",'Data Pura Costos'!C1338)</f>
        <v>Las Cabras, VI región</v>
      </c>
      <c r="D1338" s="5">
        <f>+IF('Data Pura Costos'!D1338="","",'Data Pura Costos'!D1338)</f>
        <v>60</v>
      </c>
      <c r="E1338" s="65">
        <f>+IF('Data Pura Costos'!E1338="","",IF('Data Pura Costos'!E1338=0,MAX('Data Pura Costos'!$E$7:$E$3000)*1000,'Data Pura Costos'!E1338))</f>
        <v>280000</v>
      </c>
      <c r="F1338" s="5" t="str">
        <f>+IF('Data Pura Costos'!F1338="","",'Data Pura Costos'!F1338)</f>
        <v>Malloa</v>
      </c>
      <c r="G1338" s="5" t="str">
        <f>+IF('Data Pura Costos'!G1338="","",'Data Pura Costos'!G1338)</f>
        <v xml:space="preserve">Transarco </v>
      </c>
      <c r="H1338" s="52" t="str">
        <f>+IF('Data Pura Costos'!H1338="","",'Data Pura Costos'!H1338)</f>
        <v>Termo</v>
      </c>
      <c r="I1338" s="71">
        <f>+IF('Data Pura Costos'!I1338="","",'Data Pura Costos'!I1338)</f>
        <v>4666.666666666667</v>
      </c>
      <c r="J1338" s="52" t="str">
        <f>+IF('Data Pura Costos'!J1338="","",'Data Pura Costos'!J1338)</f>
        <v>24-25</v>
      </c>
      <c r="K1338" s="82" t="str">
        <f t="shared" si="25"/>
        <v xml:space="preserve">Los Maitenes-Malloa-Transarco </v>
      </c>
    </row>
    <row r="1339" spans="2:11" x14ac:dyDescent="0.35">
      <c r="B1339" s="4" t="str">
        <f>+IF('Data Pura Costos'!B1339="","",'Data Pura Costos'!B1339)</f>
        <v>Los Toldos</v>
      </c>
      <c r="C1339" s="4" t="str">
        <f>+IF('Data Pura Costos'!C1339="","",'Data Pura Costos'!C1339)</f>
        <v>Angol, IX región</v>
      </c>
      <c r="D1339" s="5">
        <f>+IF('Data Pura Costos'!D1339="","",'Data Pura Costos'!D1339)</f>
        <v>50</v>
      </c>
      <c r="E1339" s="65">
        <f>+IF('Data Pura Costos'!E1339="","",IF('Data Pura Costos'!E1339=0,MAX('Data Pura Costos'!$E$7:$E$3000)*1000,'Data Pura Costos'!E1339))</f>
        <v>1400000</v>
      </c>
      <c r="F1339" s="5" t="str">
        <f>+IF('Data Pura Costos'!F1339="","",'Data Pura Costos'!F1339)</f>
        <v>Malloa</v>
      </c>
      <c r="G1339" s="5" t="str">
        <f>+IF('Data Pura Costos'!G1339="","",'Data Pura Costos'!G1339)</f>
        <v xml:space="preserve">Transarco </v>
      </c>
      <c r="H1339" s="52" t="str">
        <f>+IF('Data Pura Costos'!H1339="","",'Data Pura Costos'!H1339)</f>
        <v>Termo</v>
      </c>
      <c r="I1339" s="71">
        <f>+IF('Data Pura Costos'!I1339="","",'Data Pura Costos'!I1339)</f>
        <v>28000</v>
      </c>
      <c r="J1339" s="52" t="str">
        <f>+IF('Data Pura Costos'!J1339="","",'Data Pura Costos'!J1339)</f>
        <v>24-25</v>
      </c>
      <c r="K1339" s="82" t="str">
        <f t="shared" si="25"/>
        <v xml:space="preserve">Los Toldos-Malloa-Transarco </v>
      </c>
    </row>
    <row r="1340" spans="2:11" x14ac:dyDescent="0.35">
      <c r="B1340" s="4" t="str">
        <f>+IF('Data Pura Costos'!B1340="","",'Data Pura Costos'!B1340)</f>
        <v>Mallorca</v>
      </c>
      <c r="C1340" s="4" t="str">
        <f>+IF('Data Pura Costos'!C1340="","",'Data Pura Costos'!C1340)</f>
        <v xml:space="preserve">Molina, VII región </v>
      </c>
      <c r="D1340" s="5">
        <f>+IF('Data Pura Costos'!D1340="","",'Data Pura Costos'!D1340)</f>
        <v>95</v>
      </c>
      <c r="E1340" s="65">
        <f>+IF('Data Pura Costos'!E1340="","",IF('Data Pura Costos'!E1340=0,MAX('Data Pura Costos'!$E$7:$E$3000)*1000,'Data Pura Costos'!E1340))</f>
        <v>323000</v>
      </c>
      <c r="F1340" s="5" t="str">
        <f>+IF('Data Pura Costos'!F1340="","",'Data Pura Costos'!F1340)</f>
        <v>Malloa</v>
      </c>
      <c r="G1340" s="5" t="str">
        <f>+IF('Data Pura Costos'!G1340="","",'Data Pura Costos'!G1340)</f>
        <v xml:space="preserve">Transarco </v>
      </c>
      <c r="H1340" s="52" t="str">
        <f>+IF('Data Pura Costos'!H1340="","",'Data Pura Costos'!H1340)</f>
        <v>Termo</v>
      </c>
      <c r="I1340" s="71">
        <f>+IF('Data Pura Costos'!I1340="","",'Data Pura Costos'!I1340)</f>
        <v>3400</v>
      </c>
      <c r="J1340" s="52" t="str">
        <f>+IF('Data Pura Costos'!J1340="","",'Data Pura Costos'!J1340)</f>
        <v>24-25</v>
      </c>
      <c r="K1340" s="82" t="str">
        <f t="shared" ref="K1340:K1403" si="26">+IF(B1340="","",CONCATENATE(B1340,"-",F1340,"-",G1340))</f>
        <v xml:space="preserve">Mallorca-Malloa-Transarco </v>
      </c>
    </row>
    <row r="1341" spans="2:11" x14ac:dyDescent="0.35">
      <c r="B1341" s="4" t="str">
        <f>+IF('Data Pura Costos'!B1341="","",'Data Pura Costos'!B1341)</f>
        <v>Panquehue</v>
      </c>
      <c r="C1341" s="4" t="str">
        <f>+IF('Data Pura Costos'!C1341="","",'Data Pura Costos'!C1341)</f>
        <v>Panquehue, V región</v>
      </c>
      <c r="D1341" s="5">
        <f>+IF('Data Pura Costos'!D1341="","",'Data Pura Costos'!D1341)</f>
        <v>230</v>
      </c>
      <c r="E1341" s="65">
        <f>+IF('Data Pura Costos'!E1341="","",IF('Data Pura Costos'!E1341=0,MAX('Data Pura Costos'!$E$7:$E$3000)*1000,'Data Pura Costos'!E1341))</f>
        <v>713000</v>
      </c>
      <c r="F1341" s="5" t="str">
        <f>+IF('Data Pura Costos'!F1341="","",'Data Pura Costos'!F1341)</f>
        <v>Malloa</v>
      </c>
      <c r="G1341" s="5" t="str">
        <f>+IF('Data Pura Costos'!G1341="","",'Data Pura Costos'!G1341)</f>
        <v xml:space="preserve">Transarco </v>
      </c>
      <c r="H1341" s="52" t="str">
        <f>+IF('Data Pura Costos'!H1341="","",'Data Pura Costos'!H1341)</f>
        <v>Termo</v>
      </c>
      <c r="I1341" s="71">
        <f>+IF('Data Pura Costos'!I1341="","",'Data Pura Costos'!I1341)</f>
        <v>3100</v>
      </c>
      <c r="J1341" s="52" t="str">
        <f>+IF('Data Pura Costos'!J1341="","",'Data Pura Costos'!J1341)</f>
        <v>24-25</v>
      </c>
      <c r="K1341" s="82" t="str">
        <f t="shared" si="26"/>
        <v xml:space="preserve">Panquehue-Malloa-Transarco </v>
      </c>
    </row>
    <row r="1342" spans="2:11" x14ac:dyDescent="0.35">
      <c r="B1342" s="4" t="str">
        <f>+IF('Data Pura Costos'!B1342="","",'Data Pura Costos'!B1342)</f>
        <v>Entre Rios/Puente Negro/Rio Claro</v>
      </c>
      <c r="C1342" s="4" t="str">
        <f>+IF('Data Pura Costos'!C1342="","",'Data Pura Costos'!C1342)</f>
        <v>Puente negro, san fernando.VI Region.</v>
      </c>
      <c r="D1342" s="5">
        <f>+IF('Data Pura Costos'!D1342="","",'Data Pura Costos'!D1342)</f>
        <v>50</v>
      </c>
      <c r="E1342" s="65">
        <f>+IF('Data Pura Costos'!E1342="","",IF('Data Pura Costos'!E1342=0,MAX('Data Pura Costos'!$E$7:$E$3000)*1000,'Data Pura Costos'!E1342))</f>
        <v>280000</v>
      </c>
      <c r="F1342" s="5" t="str">
        <f>+IF('Data Pura Costos'!F1342="","",'Data Pura Costos'!F1342)</f>
        <v>Malloa</v>
      </c>
      <c r="G1342" s="5" t="str">
        <f>+IF('Data Pura Costos'!G1342="","",'Data Pura Costos'!G1342)</f>
        <v xml:space="preserve">Transarco </v>
      </c>
      <c r="H1342" s="52" t="str">
        <f>+IF('Data Pura Costos'!H1342="","",'Data Pura Costos'!H1342)</f>
        <v>Termo</v>
      </c>
      <c r="I1342" s="71">
        <f>+IF('Data Pura Costos'!I1342="","",'Data Pura Costos'!I1342)</f>
        <v>5600</v>
      </c>
      <c r="J1342" s="52" t="str">
        <f>+IF('Data Pura Costos'!J1342="","",'Data Pura Costos'!J1342)</f>
        <v>24-25</v>
      </c>
      <c r="K1342" s="82" t="str">
        <f t="shared" si="26"/>
        <v xml:space="preserve">Entre Rios/Puente Negro/Rio Claro-Malloa-Transarco </v>
      </c>
    </row>
    <row r="1343" spans="2:11" x14ac:dyDescent="0.35">
      <c r="B1343" s="4" t="str">
        <f>+IF('Data Pura Costos'!B1343="","",'Data Pura Costos'!B1343)</f>
        <v>Retorno</v>
      </c>
      <c r="C1343" s="4" t="str">
        <f>+IF('Data Pura Costos'!C1343="","",'Data Pura Costos'!C1343)</f>
        <v>Santa maria, V región</v>
      </c>
      <c r="D1343" s="5">
        <f>+IF('Data Pura Costos'!D1343="","",'Data Pura Costos'!D1343)</f>
        <v>225</v>
      </c>
      <c r="E1343" s="65">
        <f>+IF('Data Pura Costos'!E1343="","",IF('Data Pura Costos'!E1343=0,MAX('Data Pura Costos'!$E$7:$E$3000)*1000,'Data Pura Costos'!E1343))</f>
        <v>697500</v>
      </c>
      <c r="F1343" s="5" t="str">
        <f>+IF('Data Pura Costos'!F1343="","",'Data Pura Costos'!F1343)</f>
        <v>Malloa</v>
      </c>
      <c r="G1343" s="5" t="str">
        <f>+IF('Data Pura Costos'!G1343="","",'Data Pura Costos'!G1343)</f>
        <v xml:space="preserve">Transarco </v>
      </c>
      <c r="H1343" s="52" t="str">
        <f>+IF('Data Pura Costos'!H1343="","",'Data Pura Costos'!H1343)</f>
        <v>Termo</v>
      </c>
      <c r="I1343" s="71">
        <f>+IF('Data Pura Costos'!I1343="","",'Data Pura Costos'!I1343)</f>
        <v>3100</v>
      </c>
      <c r="J1343" s="52" t="str">
        <f>+IF('Data Pura Costos'!J1343="","",'Data Pura Costos'!J1343)</f>
        <v>24-25</v>
      </c>
      <c r="K1343" s="82" t="str">
        <f t="shared" si="26"/>
        <v xml:space="preserve">Retorno-Malloa-Transarco </v>
      </c>
    </row>
    <row r="1344" spans="2:11" x14ac:dyDescent="0.35">
      <c r="B1344" s="4" t="str">
        <f>+IF('Data Pura Costos'!B1344="","",'Data Pura Costos'!B1344)</f>
        <v>San Hernán</v>
      </c>
      <c r="C1344" s="4" t="str">
        <f>+IF('Data Pura Costos'!C1344="","",'Data Pura Costos'!C1344)</f>
        <v>Graneros, VI región</v>
      </c>
      <c r="D1344" s="5">
        <f>+IF('Data Pura Costos'!D1344="","",'Data Pura Costos'!D1344)</f>
        <v>60</v>
      </c>
      <c r="E1344" s="65">
        <f>+IF('Data Pura Costos'!E1344="","",IF('Data Pura Costos'!E1344=0,MAX('Data Pura Costos'!$E$7:$E$3000)*1000,'Data Pura Costos'!E1344))</f>
        <v>280000</v>
      </c>
      <c r="F1344" s="5" t="str">
        <f>+IF('Data Pura Costos'!F1344="","",'Data Pura Costos'!F1344)</f>
        <v>Malloa</v>
      </c>
      <c r="G1344" s="5" t="str">
        <f>+IF('Data Pura Costos'!G1344="","",'Data Pura Costos'!G1344)</f>
        <v xml:space="preserve">Transarco </v>
      </c>
      <c r="H1344" s="52" t="str">
        <f>+IF('Data Pura Costos'!H1344="","",'Data Pura Costos'!H1344)</f>
        <v>Termo</v>
      </c>
      <c r="I1344" s="71">
        <f>+IF('Data Pura Costos'!I1344="","",'Data Pura Costos'!I1344)</f>
        <v>4666.666666666667</v>
      </c>
      <c r="J1344" s="52" t="str">
        <f>+IF('Data Pura Costos'!J1344="","",'Data Pura Costos'!J1344)</f>
        <v>24-25</v>
      </c>
      <c r="K1344" s="82" t="str">
        <f t="shared" si="26"/>
        <v xml:space="preserve">San Hernán-Malloa-Transarco </v>
      </c>
    </row>
    <row r="1345" spans="2:11" x14ac:dyDescent="0.35">
      <c r="B1345" s="4" t="str">
        <f>+IF('Data Pura Costos'!B1345="","",'Data Pura Costos'!B1345)</f>
        <v>Santa Margarita</v>
      </c>
      <c r="C1345" s="4" t="str">
        <f>+IF('Data Pura Costos'!C1345="","",'Data Pura Costos'!C1345)</f>
        <v xml:space="preserve">La punta, Mostazal VI región </v>
      </c>
      <c r="D1345" s="5">
        <f>+IF('Data Pura Costos'!D1345="","",'Data Pura Costos'!D1345)</f>
        <v>70</v>
      </c>
      <c r="E1345" s="65">
        <f>+IF('Data Pura Costos'!E1345="","",IF('Data Pura Costos'!E1345=0,MAX('Data Pura Costos'!$E$7:$E$3000)*1000,'Data Pura Costos'!E1345))</f>
        <v>280000</v>
      </c>
      <c r="F1345" s="5" t="str">
        <f>+IF('Data Pura Costos'!F1345="","",'Data Pura Costos'!F1345)</f>
        <v>Malloa</v>
      </c>
      <c r="G1345" s="5" t="str">
        <f>+IF('Data Pura Costos'!G1345="","",'Data Pura Costos'!G1345)</f>
        <v xml:space="preserve">Transarco </v>
      </c>
      <c r="H1345" s="52" t="str">
        <f>+IF('Data Pura Costos'!H1345="","",'Data Pura Costos'!H1345)</f>
        <v>Termo</v>
      </c>
      <c r="I1345" s="71">
        <f>+IF('Data Pura Costos'!I1345="","",'Data Pura Costos'!I1345)</f>
        <v>4000</v>
      </c>
      <c r="J1345" s="52" t="str">
        <f>+IF('Data Pura Costos'!J1345="","",'Data Pura Costos'!J1345)</f>
        <v>24-25</v>
      </c>
      <c r="K1345" s="82" t="str">
        <f t="shared" si="26"/>
        <v xml:space="preserve">Santa Margarita-Malloa-Transarco </v>
      </c>
    </row>
    <row r="1346" spans="2:11" x14ac:dyDescent="0.35">
      <c r="B1346" s="4" t="str">
        <f>+IF('Data Pura Costos'!B1346="","",'Data Pura Costos'!B1346)</f>
        <v>Santa Mónica</v>
      </c>
      <c r="C1346" s="4" t="str">
        <f>+IF('Data Pura Costos'!C1346="","",'Data Pura Costos'!C1346)</f>
        <v xml:space="preserve">Rancagua, sector Chancón, VI región </v>
      </c>
      <c r="D1346" s="5">
        <f>+IF('Data Pura Costos'!D1346="","",'Data Pura Costos'!D1346)</f>
        <v>55</v>
      </c>
      <c r="E1346" s="65">
        <f>+IF('Data Pura Costos'!E1346="","",IF('Data Pura Costos'!E1346=0,MAX('Data Pura Costos'!$E$7:$E$3000)*1000,'Data Pura Costos'!E1346))</f>
        <v>280000</v>
      </c>
      <c r="F1346" s="5" t="str">
        <f>+IF('Data Pura Costos'!F1346="","",'Data Pura Costos'!F1346)</f>
        <v>Malloa</v>
      </c>
      <c r="G1346" s="5" t="str">
        <f>+IF('Data Pura Costos'!G1346="","",'Data Pura Costos'!G1346)</f>
        <v xml:space="preserve">Transarco </v>
      </c>
      <c r="H1346" s="52" t="str">
        <f>+IF('Data Pura Costos'!H1346="","",'Data Pura Costos'!H1346)</f>
        <v>Termo</v>
      </c>
      <c r="I1346" s="71">
        <f>+IF('Data Pura Costos'!I1346="","",'Data Pura Costos'!I1346)</f>
        <v>5090.909090909091</v>
      </c>
      <c r="J1346" s="52" t="str">
        <f>+IF('Data Pura Costos'!J1346="","",'Data Pura Costos'!J1346)</f>
        <v>24-25</v>
      </c>
      <c r="K1346" s="82" t="str">
        <f t="shared" si="26"/>
        <v xml:space="preserve">Santa Mónica-Malloa-Transarco </v>
      </c>
    </row>
    <row r="1347" spans="2:11" x14ac:dyDescent="0.35">
      <c r="B1347" s="4" t="str">
        <f>+IF('Data Pura Costos'!B1347="","",'Data Pura Costos'!B1347)</f>
        <v>Talhuén</v>
      </c>
      <c r="C1347" s="4" t="str">
        <f>+IF('Data Pura Costos'!C1347="","",'Data Pura Costos'!C1347)</f>
        <v>Palmilla, VI región</v>
      </c>
      <c r="D1347" s="5">
        <f>+IF('Data Pura Costos'!D1347="","",'Data Pura Costos'!D1347)</f>
        <v>60</v>
      </c>
      <c r="E1347" s="65">
        <f>+IF('Data Pura Costos'!E1347="","",IF('Data Pura Costos'!E1347=0,MAX('Data Pura Costos'!$E$7:$E$3000)*1000,'Data Pura Costos'!E1347))</f>
        <v>280000</v>
      </c>
      <c r="F1347" s="5" t="str">
        <f>+IF('Data Pura Costos'!F1347="","",'Data Pura Costos'!F1347)</f>
        <v>Malloa</v>
      </c>
      <c r="G1347" s="5" t="str">
        <f>+IF('Data Pura Costos'!G1347="","",'Data Pura Costos'!G1347)</f>
        <v xml:space="preserve">Transarco </v>
      </c>
      <c r="H1347" s="52" t="str">
        <f>+IF('Data Pura Costos'!H1347="","",'Data Pura Costos'!H1347)</f>
        <v>Termo</v>
      </c>
      <c r="I1347" s="71">
        <f>+IF('Data Pura Costos'!I1347="","",'Data Pura Costos'!I1347)</f>
        <v>4666.666666666667</v>
      </c>
      <c r="J1347" s="52" t="str">
        <f>+IF('Data Pura Costos'!J1347="","",'Data Pura Costos'!J1347)</f>
        <v>24-25</v>
      </c>
      <c r="K1347" s="82" t="str">
        <f t="shared" si="26"/>
        <v xml:space="preserve">Talhuén-Malloa-Transarco </v>
      </c>
    </row>
    <row r="1348" spans="2:11" x14ac:dyDescent="0.35">
      <c r="B1348" s="4" t="str">
        <f>+IF('Data Pura Costos'!B1348="","",'Data Pura Costos'!B1348)</f>
        <v>Villaseca</v>
      </c>
      <c r="C1348" s="4" t="str">
        <f>+IF('Data Pura Costos'!C1348="","",'Data Pura Costos'!C1348)</f>
        <v>Retiro, VII reginón</v>
      </c>
      <c r="D1348" s="5">
        <f>+IF('Data Pura Costos'!D1348="","",'Data Pura Costos'!D1348)</f>
        <v>250</v>
      </c>
      <c r="E1348" s="65">
        <f>+IF('Data Pura Costos'!E1348="","",IF('Data Pura Costos'!E1348=0,MAX('Data Pura Costos'!$E$7:$E$3000)*1000,'Data Pura Costos'!E1348))</f>
        <v>775000</v>
      </c>
      <c r="F1348" s="5" t="str">
        <f>+IF('Data Pura Costos'!F1348="","",'Data Pura Costos'!F1348)</f>
        <v>Malloa</v>
      </c>
      <c r="G1348" s="5" t="str">
        <f>+IF('Data Pura Costos'!G1348="","",'Data Pura Costos'!G1348)</f>
        <v xml:space="preserve">Transarco </v>
      </c>
      <c r="H1348" s="52" t="str">
        <f>+IF('Data Pura Costos'!H1348="","",'Data Pura Costos'!H1348)</f>
        <v>Termo</v>
      </c>
      <c r="I1348" s="71">
        <f>+IF('Data Pura Costos'!I1348="","",'Data Pura Costos'!I1348)</f>
        <v>3100</v>
      </c>
      <c r="J1348" s="52" t="str">
        <f>+IF('Data Pura Costos'!J1348="","",'Data Pura Costos'!J1348)</f>
        <v>24-25</v>
      </c>
      <c r="K1348" s="82" t="str">
        <f t="shared" si="26"/>
        <v xml:space="preserve">Villaseca-Malloa-Transarco </v>
      </c>
    </row>
    <row r="1349" spans="2:11" x14ac:dyDescent="0.35">
      <c r="B1349" s="4" t="str">
        <f>+IF('Data Pura Costos'!B1349="","",'Data Pura Costos'!B1349)</f>
        <v>Almahue</v>
      </c>
      <c r="C1349" s="4" t="str">
        <f>+IF('Data Pura Costos'!C1349="","",'Data Pura Costos'!C1349)</f>
        <v>Pichidegua, VI región</v>
      </c>
      <c r="D1349" s="5">
        <f>+IF('Data Pura Costos'!D1349="","",'Data Pura Costos'!D1349)</f>
        <v>108</v>
      </c>
      <c r="E1349" s="65">
        <f>+IF('Data Pura Costos'!E1349="","",IF('Data Pura Costos'!E1349=0,MAX('Data Pura Costos'!$E$7:$E$3000)*1000,'Data Pura Costos'!E1349))</f>
        <v>480000</v>
      </c>
      <c r="F1349" s="5" t="str">
        <f>+IF('Data Pura Costos'!F1349="","",'Data Pura Costos'!F1349)</f>
        <v xml:space="preserve">Mostazal </v>
      </c>
      <c r="G1349" s="5" t="str">
        <f>+IF('Data Pura Costos'!G1349="","",'Data Pura Costos'!G1349)</f>
        <v xml:space="preserve">Gustavo Cabezas </v>
      </c>
      <c r="H1349" s="52" t="str">
        <f>+IF('Data Pura Costos'!H1349="","",'Data Pura Costos'!H1349)</f>
        <v>Termo</v>
      </c>
      <c r="I1349" s="71">
        <f>+IF('Data Pura Costos'!I1349="","",'Data Pura Costos'!I1349)</f>
        <v>4444.4444444444443</v>
      </c>
      <c r="J1349" s="52" t="str">
        <f>+IF('Data Pura Costos'!J1349="","",'Data Pura Costos'!J1349)</f>
        <v>24-25</v>
      </c>
      <c r="K1349" s="82" t="str">
        <f t="shared" si="26"/>
        <v xml:space="preserve">Almahue-Mostazal -Gustavo Cabezas </v>
      </c>
    </row>
    <row r="1350" spans="2:11" x14ac:dyDescent="0.35">
      <c r="B1350" s="4" t="str">
        <f>+IF('Data Pura Costos'!B1350="","",'Data Pura Costos'!B1350)</f>
        <v>Bodega</v>
      </c>
      <c r="C1350" s="4" t="str">
        <f>+IF('Data Pura Costos'!C1350="","",'Data Pura Costos'!C1350)</f>
        <v>Linares, VII region.</v>
      </c>
      <c r="D1350" s="5">
        <f>+IF('Data Pura Costos'!D1350="","",'Data Pura Costos'!D1350)</f>
        <v>264</v>
      </c>
      <c r="E1350" s="65">
        <f>+IF('Data Pura Costos'!E1350="","",IF('Data Pura Costos'!E1350=0,MAX('Data Pura Costos'!$E$7:$E$3000)*1000,'Data Pura Costos'!E1350))</f>
        <v>650000</v>
      </c>
      <c r="F1350" s="5" t="str">
        <f>+IF('Data Pura Costos'!F1350="","",'Data Pura Costos'!F1350)</f>
        <v xml:space="preserve">Mostazal </v>
      </c>
      <c r="G1350" s="5" t="str">
        <f>+IF('Data Pura Costos'!G1350="","",'Data Pura Costos'!G1350)</f>
        <v xml:space="preserve">Gustavo Cabezas </v>
      </c>
      <c r="H1350" s="52" t="str">
        <f>+IF('Data Pura Costos'!H1350="","",'Data Pura Costos'!H1350)</f>
        <v>Termo</v>
      </c>
      <c r="I1350" s="71">
        <f>+IF('Data Pura Costos'!I1350="","",'Data Pura Costos'!I1350)</f>
        <v>2462.121212121212</v>
      </c>
      <c r="J1350" s="52" t="str">
        <f>+IF('Data Pura Costos'!J1350="","",'Data Pura Costos'!J1350)</f>
        <v>24-25</v>
      </c>
      <c r="K1350" s="82" t="str">
        <f t="shared" si="26"/>
        <v xml:space="preserve">Bodega-Mostazal -Gustavo Cabezas </v>
      </c>
    </row>
    <row r="1351" spans="2:11" x14ac:dyDescent="0.35">
      <c r="B1351" s="4" t="str">
        <f>+IF('Data Pura Costos'!B1351="","",'Data Pura Costos'!B1351)</f>
        <v xml:space="preserve">Caliboro </v>
      </c>
      <c r="C1351" s="4" t="str">
        <f>+IF('Data Pura Costos'!C1351="","",'Data Pura Costos'!C1351)</f>
        <v>San Javier, VII región</v>
      </c>
      <c r="D1351" s="5">
        <f>+IF('Data Pura Costos'!D1351="","",'Data Pura Costos'!D1351)</f>
        <v>258</v>
      </c>
      <c r="E1351" s="65">
        <f>+IF('Data Pura Costos'!E1351="","",IF('Data Pura Costos'!E1351=0,MAX('Data Pura Costos'!$E$7:$E$3000)*1000,'Data Pura Costos'!E1351))</f>
        <v>620000</v>
      </c>
      <c r="F1351" s="5" t="str">
        <f>+IF('Data Pura Costos'!F1351="","",'Data Pura Costos'!F1351)</f>
        <v xml:space="preserve">Mostazal </v>
      </c>
      <c r="G1351" s="5" t="str">
        <f>+IF('Data Pura Costos'!G1351="","",'Data Pura Costos'!G1351)</f>
        <v xml:space="preserve">Gustavo Cabezas </v>
      </c>
      <c r="H1351" s="52" t="str">
        <f>+IF('Data Pura Costos'!H1351="","",'Data Pura Costos'!H1351)</f>
        <v>Termo</v>
      </c>
      <c r="I1351" s="71">
        <f>+IF('Data Pura Costos'!I1351="","",'Data Pura Costos'!I1351)</f>
        <v>2403.1007751937987</v>
      </c>
      <c r="J1351" s="52" t="str">
        <f>+IF('Data Pura Costos'!J1351="","",'Data Pura Costos'!J1351)</f>
        <v>24-25</v>
      </c>
      <c r="K1351" s="82" t="str">
        <f t="shared" si="26"/>
        <v xml:space="preserve">Caliboro -Mostazal -Gustavo Cabezas </v>
      </c>
    </row>
    <row r="1352" spans="2:11" x14ac:dyDescent="0.35">
      <c r="B1352" s="4" t="str">
        <f>+IF('Data Pura Costos'!B1352="","",'Data Pura Costos'!B1352)</f>
        <v>Calleuque</v>
      </c>
      <c r="C1352" s="4" t="str">
        <f>+IF('Data Pura Costos'!C1352="","",'Data Pura Costos'!C1352)</f>
        <v>Peralillo ohiggins, VI región</v>
      </c>
      <c r="D1352" s="5">
        <f>+IF('Data Pura Costos'!D1352="","",'Data Pura Costos'!D1352)</f>
        <v>143</v>
      </c>
      <c r="E1352" s="65">
        <f>+IF('Data Pura Costos'!E1352="","",IF('Data Pura Costos'!E1352=0,MAX('Data Pura Costos'!$E$7:$E$3000)*1000,'Data Pura Costos'!E1352))</f>
        <v>510000</v>
      </c>
      <c r="F1352" s="5" t="str">
        <f>+IF('Data Pura Costos'!F1352="","",'Data Pura Costos'!F1352)</f>
        <v xml:space="preserve">Mostazal </v>
      </c>
      <c r="G1352" s="5" t="str">
        <f>+IF('Data Pura Costos'!G1352="","",'Data Pura Costos'!G1352)</f>
        <v xml:space="preserve">Gustavo Cabezas </v>
      </c>
      <c r="H1352" s="52" t="str">
        <f>+IF('Data Pura Costos'!H1352="","",'Data Pura Costos'!H1352)</f>
        <v>Termo</v>
      </c>
      <c r="I1352" s="71">
        <f>+IF('Data Pura Costos'!I1352="","",'Data Pura Costos'!I1352)</f>
        <v>3566.4335664335663</v>
      </c>
      <c r="J1352" s="52" t="str">
        <f>+IF('Data Pura Costos'!J1352="","",'Data Pura Costos'!J1352)</f>
        <v>24-25</v>
      </c>
      <c r="K1352" s="82" t="str">
        <f t="shared" si="26"/>
        <v xml:space="preserve">Calleuque-Mostazal -Gustavo Cabezas </v>
      </c>
    </row>
    <row r="1353" spans="2:11" x14ac:dyDescent="0.35">
      <c r="B1353" s="4" t="str">
        <f>+IF('Data Pura Costos'!B1353="","",'Data Pura Costos'!B1353)</f>
        <v>Chumpirro</v>
      </c>
      <c r="C1353" s="4" t="str">
        <f>+IF('Data Pura Costos'!C1353="","",'Data Pura Costos'!C1353)</f>
        <v>Angol, IX región</v>
      </c>
      <c r="D1353" s="5">
        <f>+IF('Data Pura Costos'!D1353="","",'Data Pura Costos'!D1353)</f>
        <v>499</v>
      </c>
      <c r="E1353" s="65">
        <f>+IF('Data Pura Costos'!E1353="","",IF('Data Pura Costos'!E1353=0,MAX('Data Pura Costos'!$E$7:$E$3000)*1000,'Data Pura Costos'!E1353))</f>
        <v>1250000</v>
      </c>
      <c r="F1353" s="5" t="str">
        <f>+IF('Data Pura Costos'!F1353="","",'Data Pura Costos'!F1353)</f>
        <v xml:space="preserve">Mostazal </v>
      </c>
      <c r="G1353" s="5" t="str">
        <f>+IF('Data Pura Costos'!G1353="","",'Data Pura Costos'!G1353)</f>
        <v xml:space="preserve">Gustavo Cabezas </v>
      </c>
      <c r="H1353" s="52" t="str">
        <f>+IF('Data Pura Costos'!H1353="","",'Data Pura Costos'!H1353)</f>
        <v>Termo</v>
      </c>
      <c r="I1353" s="71">
        <f>+IF('Data Pura Costos'!I1353="","",'Data Pura Costos'!I1353)</f>
        <v>2505.0100200400802</v>
      </c>
      <c r="J1353" s="52" t="str">
        <f>+IF('Data Pura Costos'!J1353="","",'Data Pura Costos'!J1353)</f>
        <v>24-25</v>
      </c>
      <c r="K1353" s="82" t="str">
        <f t="shared" si="26"/>
        <v xml:space="preserve">Chumpirro-Mostazal -Gustavo Cabezas </v>
      </c>
    </row>
    <row r="1354" spans="2:11" x14ac:dyDescent="0.35">
      <c r="B1354" s="4" t="str">
        <f>+IF('Data Pura Costos'!B1354="","",'Data Pura Costos'!B1354)</f>
        <v xml:space="preserve"> Cocalán</v>
      </c>
      <c r="C1354" s="4" t="str">
        <f>+IF('Data Pura Costos'!C1354="","",'Data Pura Costos'!C1354)</f>
        <v>Cocalán, VI región</v>
      </c>
      <c r="D1354" s="5">
        <f>+IF('Data Pura Costos'!D1354="","",'Data Pura Costos'!D1354)</f>
        <v>113</v>
      </c>
      <c r="E1354" s="65">
        <f>+IF('Data Pura Costos'!E1354="","",IF('Data Pura Costos'!E1354=0,MAX('Data Pura Costos'!$E$7:$E$3000)*1000,'Data Pura Costos'!E1354))</f>
        <v>450000</v>
      </c>
      <c r="F1354" s="5" t="str">
        <f>+IF('Data Pura Costos'!F1354="","",'Data Pura Costos'!F1354)</f>
        <v xml:space="preserve">Mostazal </v>
      </c>
      <c r="G1354" s="5" t="str">
        <f>+IF('Data Pura Costos'!G1354="","",'Data Pura Costos'!G1354)</f>
        <v xml:space="preserve">Gustavo Cabezas </v>
      </c>
      <c r="H1354" s="52" t="str">
        <f>+IF('Data Pura Costos'!H1354="","",'Data Pura Costos'!H1354)</f>
        <v>Termo</v>
      </c>
      <c r="I1354" s="71">
        <f>+IF('Data Pura Costos'!I1354="","",'Data Pura Costos'!I1354)</f>
        <v>3982.3008849557523</v>
      </c>
      <c r="J1354" s="52" t="str">
        <f>+IF('Data Pura Costos'!J1354="","",'Data Pura Costos'!J1354)</f>
        <v>24-25</v>
      </c>
      <c r="K1354" s="82" t="str">
        <f t="shared" si="26"/>
        <v xml:space="preserve"> Cocalán-Mostazal -Gustavo Cabezas </v>
      </c>
    </row>
    <row r="1355" spans="2:11" x14ac:dyDescent="0.35">
      <c r="B1355" s="4" t="str">
        <f>+IF('Data Pura Costos'!B1355="","",'Data Pura Costos'!B1355)</f>
        <v>El Cóndor</v>
      </c>
      <c r="C1355" s="4" t="str">
        <f>+IF('Data Pura Costos'!C1355="","",'Data Pura Costos'!C1355)</f>
        <v>Chimbarongo, VI Region.</v>
      </c>
      <c r="D1355" s="5">
        <f>+IF('Data Pura Costos'!D1355="","",'Data Pura Costos'!D1355)</f>
        <v>150</v>
      </c>
      <c r="E1355" s="65">
        <f>+IF('Data Pura Costos'!E1355="","",IF('Data Pura Costos'!E1355=0,MAX('Data Pura Costos'!$E$7:$E$3000)*1000,'Data Pura Costos'!E1355))</f>
        <v>510000</v>
      </c>
      <c r="F1355" s="5" t="str">
        <f>+IF('Data Pura Costos'!F1355="","",'Data Pura Costos'!F1355)</f>
        <v xml:space="preserve">Mostazal </v>
      </c>
      <c r="G1355" s="5" t="str">
        <f>+IF('Data Pura Costos'!G1355="","",'Data Pura Costos'!G1355)</f>
        <v xml:space="preserve">Gustavo Cabezas </v>
      </c>
      <c r="H1355" s="52" t="str">
        <f>+IF('Data Pura Costos'!H1355="","",'Data Pura Costos'!H1355)</f>
        <v>Termo</v>
      </c>
      <c r="I1355" s="71">
        <f>+IF('Data Pura Costos'!I1355="","",'Data Pura Costos'!I1355)</f>
        <v>3400</v>
      </c>
      <c r="J1355" s="52" t="str">
        <f>+IF('Data Pura Costos'!J1355="","",'Data Pura Costos'!J1355)</f>
        <v>24-25</v>
      </c>
      <c r="K1355" s="82" t="str">
        <f t="shared" si="26"/>
        <v xml:space="preserve">El Cóndor-Mostazal -Gustavo Cabezas </v>
      </c>
    </row>
    <row r="1356" spans="2:11" x14ac:dyDescent="0.35">
      <c r="B1356" s="4" t="str">
        <f>+IF('Data Pura Costos'!B1356="","",'Data Pura Costos'!B1356)</f>
        <v>El Descanso</v>
      </c>
      <c r="C1356" s="4" t="str">
        <f>+IF('Data Pura Costos'!C1356="","",'Data Pura Costos'!C1356)</f>
        <v>Sagrada Familia, VII región</v>
      </c>
      <c r="D1356" s="5">
        <f>+IF('Data Pura Costos'!D1356="","",'Data Pura Costos'!D1356)</f>
        <v>240</v>
      </c>
      <c r="E1356" s="65">
        <f>+IF('Data Pura Costos'!E1356="","",IF('Data Pura Costos'!E1356=0,MAX('Data Pura Costos'!$E$7:$E$3000)*1000,'Data Pura Costos'!E1356))</f>
        <v>580000</v>
      </c>
      <c r="F1356" s="5" t="str">
        <f>+IF('Data Pura Costos'!F1356="","",'Data Pura Costos'!F1356)</f>
        <v xml:space="preserve">Mostazal </v>
      </c>
      <c r="G1356" s="5" t="str">
        <f>+IF('Data Pura Costos'!G1356="","",'Data Pura Costos'!G1356)</f>
        <v xml:space="preserve">Gustavo Cabezas </v>
      </c>
      <c r="H1356" s="52" t="str">
        <f>+IF('Data Pura Costos'!H1356="","",'Data Pura Costos'!H1356)</f>
        <v>Termo</v>
      </c>
      <c r="I1356" s="71">
        <f>+IF('Data Pura Costos'!I1356="","",'Data Pura Costos'!I1356)</f>
        <v>2416.6666666666665</v>
      </c>
      <c r="J1356" s="52" t="str">
        <f>+IF('Data Pura Costos'!J1356="","",'Data Pura Costos'!J1356)</f>
        <v>24-25</v>
      </c>
      <c r="K1356" s="82" t="str">
        <f t="shared" si="26"/>
        <v xml:space="preserve">El Descanso-Mostazal -Gustavo Cabezas </v>
      </c>
    </row>
    <row r="1357" spans="2:11" x14ac:dyDescent="0.35">
      <c r="B1357" s="4" t="str">
        <f>+IF('Data Pura Costos'!B1357="","",'Data Pura Costos'!B1357)</f>
        <v>El Espino</v>
      </c>
      <c r="C1357" s="4" t="str">
        <f>+IF('Data Pura Costos'!C1357="","",'Data Pura Costos'!C1357)</f>
        <v>Colbún, VII región</v>
      </c>
      <c r="D1357" s="5">
        <f>+IF('Data Pura Costos'!D1357="","",'Data Pura Costos'!D1357)</f>
        <v>240</v>
      </c>
      <c r="E1357" s="65">
        <f>+IF('Data Pura Costos'!E1357="","",IF('Data Pura Costos'!E1357=0,MAX('Data Pura Costos'!$E$7:$E$3000)*1000,'Data Pura Costos'!E1357))</f>
        <v>620000</v>
      </c>
      <c r="F1357" s="5" t="str">
        <f>+IF('Data Pura Costos'!F1357="","",'Data Pura Costos'!F1357)</f>
        <v xml:space="preserve">Mostazal </v>
      </c>
      <c r="G1357" s="5" t="str">
        <f>+IF('Data Pura Costos'!G1357="","",'Data Pura Costos'!G1357)</f>
        <v xml:space="preserve">Gustavo Cabezas </v>
      </c>
      <c r="H1357" s="52" t="str">
        <f>+IF('Data Pura Costos'!H1357="","",'Data Pura Costos'!H1357)</f>
        <v>Termo</v>
      </c>
      <c r="I1357" s="71">
        <f>+IF('Data Pura Costos'!I1357="","",'Data Pura Costos'!I1357)</f>
        <v>2583.3333333333335</v>
      </c>
      <c r="J1357" s="52" t="str">
        <f>+IF('Data Pura Costos'!J1357="","",'Data Pura Costos'!J1357)</f>
        <v>24-25</v>
      </c>
      <c r="K1357" s="82" t="str">
        <f t="shared" si="26"/>
        <v xml:space="preserve">El Espino-Mostazal -Gustavo Cabezas </v>
      </c>
    </row>
    <row r="1358" spans="2:11" x14ac:dyDescent="0.35">
      <c r="B1358" s="4" t="str">
        <f>+IF('Data Pura Costos'!B1358="","",'Data Pura Costos'!B1358)</f>
        <v>El Huaico</v>
      </c>
      <c r="C1358" s="4" t="str">
        <f>+IF('Data Pura Costos'!C1358="","",'Data Pura Costos'!C1358)</f>
        <v>Palmila Ohiggins</v>
      </c>
      <c r="D1358" s="5">
        <f>+IF('Data Pura Costos'!D1358="","",'Data Pura Costos'!D1358)</f>
        <v>124</v>
      </c>
      <c r="E1358" s="65">
        <f>+IF('Data Pura Costos'!E1358="","",IF('Data Pura Costos'!E1358=0,MAX('Data Pura Costos'!$E$7:$E$3000)*1000,'Data Pura Costos'!E1358))</f>
        <v>480000</v>
      </c>
      <c r="F1358" s="5" t="str">
        <f>+IF('Data Pura Costos'!F1358="","",'Data Pura Costos'!F1358)</f>
        <v xml:space="preserve">Mostazal </v>
      </c>
      <c r="G1358" s="5" t="str">
        <f>+IF('Data Pura Costos'!G1358="","",'Data Pura Costos'!G1358)</f>
        <v xml:space="preserve">Gustavo Cabezas </v>
      </c>
      <c r="H1358" s="52" t="str">
        <f>+IF('Data Pura Costos'!H1358="","",'Data Pura Costos'!H1358)</f>
        <v>Termo</v>
      </c>
      <c r="I1358" s="71">
        <f>+IF('Data Pura Costos'!I1358="","",'Data Pura Costos'!I1358)</f>
        <v>3870.9677419354839</v>
      </c>
      <c r="J1358" s="52" t="str">
        <f>+IF('Data Pura Costos'!J1358="","",'Data Pura Costos'!J1358)</f>
        <v>24-25</v>
      </c>
      <c r="K1358" s="82" t="str">
        <f t="shared" si="26"/>
        <v xml:space="preserve">El Huaico-Mostazal -Gustavo Cabezas </v>
      </c>
    </row>
    <row r="1359" spans="2:11" x14ac:dyDescent="0.35">
      <c r="B1359" s="4" t="str">
        <f>+IF('Data Pura Costos'!B1359="","",'Data Pura Costos'!B1359)</f>
        <v>El Picaso</v>
      </c>
      <c r="C1359" s="4" t="str">
        <f>+IF('Data Pura Costos'!C1359="","",'Data Pura Costos'!C1359)</f>
        <v xml:space="preserve">San Clemente, VII región </v>
      </c>
      <c r="D1359" s="5">
        <f>+IF('Data Pura Costos'!D1359="","",'Data Pura Costos'!D1359)</f>
        <v>208</v>
      </c>
      <c r="E1359" s="65">
        <f>+IF('Data Pura Costos'!E1359="","",IF('Data Pura Costos'!E1359=0,MAX('Data Pura Costos'!$E$7:$E$3000)*1000,'Data Pura Costos'!E1359))</f>
        <v>580000</v>
      </c>
      <c r="F1359" s="5" t="str">
        <f>+IF('Data Pura Costos'!F1359="","",'Data Pura Costos'!F1359)</f>
        <v xml:space="preserve">Mostazal </v>
      </c>
      <c r="G1359" s="5" t="str">
        <f>+IF('Data Pura Costos'!G1359="","",'Data Pura Costos'!G1359)</f>
        <v xml:space="preserve">Gustavo Cabezas </v>
      </c>
      <c r="H1359" s="52" t="str">
        <f>+IF('Data Pura Costos'!H1359="","",'Data Pura Costos'!H1359)</f>
        <v>Termo</v>
      </c>
      <c r="I1359" s="71">
        <f>+IF('Data Pura Costos'!I1359="","",'Data Pura Costos'!I1359)</f>
        <v>2788.4615384615386</v>
      </c>
      <c r="J1359" s="52" t="str">
        <f>+IF('Data Pura Costos'!J1359="","",'Data Pura Costos'!J1359)</f>
        <v>24-25</v>
      </c>
      <c r="K1359" s="82" t="str">
        <f t="shared" si="26"/>
        <v xml:space="preserve">El Picaso-Mostazal -Gustavo Cabezas </v>
      </c>
    </row>
    <row r="1360" spans="2:11" x14ac:dyDescent="0.35">
      <c r="B1360" s="4" t="str">
        <f>+IF('Data Pura Costos'!B1360="","",'Data Pura Costos'!B1360)</f>
        <v>El Rosario</v>
      </c>
      <c r="C1360" s="4" t="str">
        <f>+IF('Data Pura Costos'!C1360="","",'Data Pura Costos'!C1360)</f>
        <v>Linares, VII region.</v>
      </c>
      <c r="D1360" s="5">
        <f>+IF('Data Pura Costos'!D1360="","",'Data Pura Costos'!D1360)</f>
        <v>260</v>
      </c>
      <c r="E1360" s="65">
        <f>+IF('Data Pura Costos'!E1360="","",IF('Data Pura Costos'!E1360=0,MAX('Data Pura Costos'!$E$7:$E$3000)*1000,'Data Pura Costos'!E1360))</f>
        <v>650000</v>
      </c>
      <c r="F1360" s="5" t="str">
        <f>+IF('Data Pura Costos'!F1360="","",'Data Pura Costos'!F1360)</f>
        <v xml:space="preserve">Mostazal </v>
      </c>
      <c r="G1360" s="5" t="str">
        <f>+IF('Data Pura Costos'!G1360="","",'Data Pura Costos'!G1360)</f>
        <v xml:space="preserve">Gustavo Cabezas </v>
      </c>
      <c r="H1360" s="52" t="str">
        <f>+IF('Data Pura Costos'!H1360="","",'Data Pura Costos'!H1360)</f>
        <v>Termo</v>
      </c>
      <c r="I1360" s="71">
        <f>+IF('Data Pura Costos'!I1360="","",'Data Pura Costos'!I1360)</f>
        <v>2500</v>
      </c>
      <c r="J1360" s="52" t="str">
        <f>+IF('Data Pura Costos'!J1360="","",'Data Pura Costos'!J1360)</f>
        <v>24-25</v>
      </c>
      <c r="K1360" s="82" t="str">
        <f t="shared" si="26"/>
        <v xml:space="preserve">El Rosario-Mostazal -Gustavo Cabezas </v>
      </c>
    </row>
    <row r="1361" spans="2:11" x14ac:dyDescent="0.35">
      <c r="B1361" s="4" t="str">
        <f>+IF('Data Pura Costos'!B1361="","",'Data Pura Costos'!B1361)</f>
        <v>El Retiro</v>
      </c>
      <c r="C1361" s="4" t="str">
        <f>+IF('Data Pura Costos'!C1361="","",'Data Pura Costos'!C1361)</f>
        <v>Rosario, VI Region.</v>
      </c>
      <c r="D1361" s="5">
        <f>+IF('Data Pura Costos'!D1361="","",'Data Pura Costos'!D1361)</f>
        <v>45</v>
      </c>
      <c r="E1361" s="65">
        <f>+IF('Data Pura Costos'!E1361="","",IF('Data Pura Costos'!E1361=0,MAX('Data Pura Costos'!$E$7:$E$3000)*1000,'Data Pura Costos'!E1361))</f>
        <v>350000</v>
      </c>
      <c r="F1361" s="5" t="str">
        <f>+IF('Data Pura Costos'!F1361="","",'Data Pura Costos'!F1361)</f>
        <v xml:space="preserve">Mostazal </v>
      </c>
      <c r="G1361" s="5" t="str">
        <f>+IF('Data Pura Costos'!G1361="","",'Data Pura Costos'!G1361)</f>
        <v xml:space="preserve">Gustavo Cabezas </v>
      </c>
      <c r="H1361" s="52" t="str">
        <f>+IF('Data Pura Costos'!H1361="","",'Data Pura Costos'!H1361)</f>
        <v>Termo</v>
      </c>
      <c r="I1361" s="71">
        <f>+IF('Data Pura Costos'!I1361="","",'Data Pura Costos'!I1361)</f>
        <v>7777.7777777777774</v>
      </c>
      <c r="J1361" s="52" t="str">
        <f>+IF('Data Pura Costos'!J1361="","",'Data Pura Costos'!J1361)</f>
        <v>24-25</v>
      </c>
      <c r="K1361" s="82" t="str">
        <f t="shared" si="26"/>
        <v xml:space="preserve">El Retiro-Mostazal -Gustavo Cabezas </v>
      </c>
    </row>
    <row r="1362" spans="2:11" x14ac:dyDescent="0.35">
      <c r="B1362" s="4" t="str">
        <f>+IF('Data Pura Costos'!B1362="","",'Data Pura Costos'!B1362)</f>
        <v>La Esperanza</v>
      </c>
      <c r="C1362" s="4" t="str">
        <f>+IF('Data Pura Costos'!C1362="","",'Data Pura Costos'!C1362)</f>
        <v>Peumo, VI región</v>
      </c>
      <c r="D1362" s="5">
        <f>+IF('Data Pura Costos'!D1362="","",'Data Pura Costos'!D1362)</f>
        <v>98</v>
      </c>
      <c r="E1362" s="65">
        <f>+IF('Data Pura Costos'!E1362="","",IF('Data Pura Costos'!E1362=0,MAX('Data Pura Costos'!$E$7:$E$3000)*1000,'Data Pura Costos'!E1362))</f>
        <v>450000</v>
      </c>
      <c r="F1362" s="5" t="str">
        <f>+IF('Data Pura Costos'!F1362="","",'Data Pura Costos'!F1362)</f>
        <v xml:space="preserve">Mostazal </v>
      </c>
      <c r="G1362" s="5" t="str">
        <f>+IF('Data Pura Costos'!G1362="","",'Data Pura Costos'!G1362)</f>
        <v xml:space="preserve">Gustavo Cabezas </v>
      </c>
      <c r="H1362" s="52" t="str">
        <f>+IF('Data Pura Costos'!H1362="","",'Data Pura Costos'!H1362)</f>
        <v>Termo</v>
      </c>
      <c r="I1362" s="71">
        <f>+IF('Data Pura Costos'!I1362="","",'Data Pura Costos'!I1362)</f>
        <v>4591.8367346938776</v>
      </c>
      <c r="J1362" s="52" t="str">
        <f>+IF('Data Pura Costos'!J1362="","",'Data Pura Costos'!J1362)</f>
        <v>24-25</v>
      </c>
      <c r="K1362" s="82" t="str">
        <f t="shared" si="26"/>
        <v xml:space="preserve">La Esperanza-Mostazal -Gustavo Cabezas </v>
      </c>
    </row>
    <row r="1363" spans="2:11" x14ac:dyDescent="0.35">
      <c r="B1363" s="4" t="str">
        <f>+IF('Data Pura Costos'!B1363="","",'Data Pura Costos'!B1363)</f>
        <v>La Estación</v>
      </c>
      <c r="C1363" s="4" t="str">
        <f>+IF('Data Pura Costos'!C1363="","",'Data Pura Costos'!C1363)</f>
        <v>Palmilla, VI región</v>
      </c>
      <c r="D1363" s="5">
        <f>+IF('Data Pura Costos'!D1363="","",'Data Pura Costos'!D1363)</f>
        <v>125</v>
      </c>
      <c r="E1363" s="65">
        <f>+IF('Data Pura Costos'!E1363="","",IF('Data Pura Costos'!E1363=0,MAX('Data Pura Costos'!$E$7:$E$3000)*1000,'Data Pura Costos'!E1363))</f>
        <v>480000</v>
      </c>
      <c r="F1363" s="5" t="str">
        <f>+IF('Data Pura Costos'!F1363="","",'Data Pura Costos'!F1363)</f>
        <v xml:space="preserve">Mostazal </v>
      </c>
      <c r="G1363" s="5" t="str">
        <f>+IF('Data Pura Costos'!G1363="","",'Data Pura Costos'!G1363)</f>
        <v xml:space="preserve">Gustavo Cabezas </v>
      </c>
      <c r="H1363" s="52" t="str">
        <f>+IF('Data Pura Costos'!H1363="","",'Data Pura Costos'!H1363)</f>
        <v>Termo</v>
      </c>
      <c r="I1363" s="71">
        <f>+IF('Data Pura Costos'!I1363="","",'Data Pura Costos'!I1363)</f>
        <v>3840</v>
      </c>
      <c r="J1363" s="52" t="str">
        <f>+IF('Data Pura Costos'!J1363="","",'Data Pura Costos'!J1363)</f>
        <v>24-25</v>
      </c>
      <c r="K1363" s="82" t="str">
        <f t="shared" si="26"/>
        <v xml:space="preserve">La Estación-Mostazal -Gustavo Cabezas </v>
      </c>
    </row>
    <row r="1364" spans="2:11" x14ac:dyDescent="0.35">
      <c r="B1364" s="4" t="str">
        <f>+IF('Data Pura Costos'!B1364="","",'Data Pura Costos'!B1364)</f>
        <v>La Lajuela</v>
      </c>
      <c r="C1364" s="4" t="str">
        <f>+IF('Data Pura Costos'!C1364="","",'Data Pura Costos'!C1364)</f>
        <v>Santa Cruz, VI Región</v>
      </c>
      <c r="D1364" s="5">
        <f>+IF('Data Pura Costos'!D1364="","",'Data Pura Costos'!D1364)</f>
        <v>128</v>
      </c>
      <c r="E1364" s="65">
        <f>+IF('Data Pura Costos'!E1364="","",IF('Data Pura Costos'!E1364=0,MAX('Data Pura Costos'!$E$7:$E$3000)*1000,'Data Pura Costos'!E1364))</f>
        <v>490000</v>
      </c>
      <c r="F1364" s="5" t="str">
        <f>+IF('Data Pura Costos'!F1364="","",'Data Pura Costos'!F1364)</f>
        <v xml:space="preserve">Mostazal </v>
      </c>
      <c r="G1364" s="5" t="str">
        <f>+IF('Data Pura Costos'!G1364="","",'Data Pura Costos'!G1364)</f>
        <v xml:space="preserve">Gustavo Cabezas </v>
      </c>
      <c r="H1364" s="52" t="str">
        <f>+IF('Data Pura Costos'!H1364="","",'Data Pura Costos'!H1364)</f>
        <v>Termo</v>
      </c>
      <c r="I1364" s="71">
        <f>+IF('Data Pura Costos'!I1364="","",'Data Pura Costos'!I1364)</f>
        <v>3828.125</v>
      </c>
      <c r="J1364" s="52" t="str">
        <f>+IF('Data Pura Costos'!J1364="","",'Data Pura Costos'!J1364)</f>
        <v>24-25</v>
      </c>
      <c r="K1364" s="82" t="str">
        <f t="shared" si="26"/>
        <v xml:space="preserve">La Lajuela-Mostazal -Gustavo Cabezas </v>
      </c>
    </row>
    <row r="1365" spans="2:11" x14ac:dyDescent="0.35">
      <c r="B1365" s="4" t="str">
        <f>+IF('Data Pura Costos'!B1365="","",'Data Pura Costos'!B1365)</f>
        <v>La Rinconada</v>
      </c>
      <c r="C1365" s="4" t="str">
        <f>+IF('Data Pura Costos'!C1365="","",'Data Pura Costos'!C1365)</f>
        <v>Pichidegua, VI región</v>
      </c>
      <c r="D1365" s="5">
        <f>+IF('Data Pura Costos'!D1365="","",'Data Pura Costos'!D1365)</f>
        <v>110</v>
      </c>
      <c r="E1365" s="65">
        <f>+IF('Data Pura Costos'!E1365="","",IF('Data Pura Costos'!E1365=0,MAX('Data Pura Costos'!$E$7:$E$3000)*1000,'Data Pura Costos'!E1365))</f>
        <v>480000</v>
      </c>
      <c r="F1365" s="5" t="str">
        <f>+IF('Data Pura Costos'!F1365="","",'Data Pura Costos'!F1365)</f>
        <v xml:space="preserve">Mostazal </v>
      </c>
      <c r="G1365" s="5" t="str">
        <f>+IF('Data Pura Costos'!G1365="","",'Data Pura Costos'!G1365)</f>
        <v xml:space="preserve">Gustavo Cabezas </v>
      </c>
      <c r="H1365" s="52" t="str">
        <f>+IF('Data Pura Costos'!H1365="","",'Data Pura Costos'!H1365)</f>
        <v>Termo</v>
      </c>
      <c r="I1365" s="71">
        <f>+IF('Data Pura Costos'!I1365="","",'Data Pura Costos'!I1365)</f>
        <v>4363.636363636364</v>
      </c>
      <c r="J1365" s="52" t="str">
        <f>+IF('Data Pura Costos'!J1365="","",'Data Pura Costos'!J1365)</f>
        <v>24-25</v>
      </c>
      <c r="K1365" s="82" t="str">
        <f t="shared" si="26"/>
        <v xml:space="preserve">La Rinconada-Mostazal -Gustavo Cabezas </v>
      </c>
    </row>
    <row r="1366" spans="2:11" x14ac:dyDescent="0.35">
      <c r="B1366" s="4" t="str">
        <f>+IF('Data Pura Costos'!B1366="","",'Data Pura Costos'!B1366)</f>
        <v>Las Cabras</v>
      </c>
      <c r="C1366" s="4" t="str">
        <f>+IF('Data Pura Costos'!C1366="","",'Data Pura Costos'!C1366)</f>
        <v>Las Cabras, VI región</v>
      </c>
      <c r="D1366" s="5">
        <f>+IF('Data Pura Costos'!D1366="","",'Data Pura Costos'!D1366)</f>
        <v>110</v>
      </c>
      <c r="E1366" s="65">
        <f>+IF('Data Pura Costos'!E1366="","",IF('Data Pura Costos'!E1366=0,MAX('Data Pura Costos'!$E$7:$E$3000)*1000,'Data Pura Costos'!E1366))</f>
        <v>480000</v>
      </c>
      <c r="F1366" s="5" t="str">
        <f>+IF('Data Pura Costos'!F1366="","",'Data Pura Costos'!F1366)</f>
        <v xml:space="preserve">Mostazal </v>
      </c>
      <c r="G1366" s="5" t="str">
        <f>+IF('Data Pura Costos'!G1366="","",'Data Pura Costos'!G1366)</f>
        <v xml:space="preserve">Gustavo Cabezas </v>
      </c>
      <c r="H1366" s="52" t="str">
        <f>+IF('Data Pura Costos'!H1366="","",'Data Pura Costos'!H1366)</f>
        <v>Termo</v>
      </c>
      <c r="I1366" s="71">
        <f>+IF('Data Pura Costos'!I1366="","",'Data Pura Costos'!I1366)</f>
        <v>4363.636363636364</v>
      </c>
      <c r="J1366" s="52" t="str">
        <f>+IF('Data Pura Costos'!J1366="","",'Data Pura Costos'!J1366)</f>
        <v>24-25</v>
      </c>
      <c r="K1366" s="82" t="str">
        <f t="shared" si="26"/>
        <v xml:space="preserve">Las Cabras-Mostazal -Gustavo Cabezas </v>
      </c>
    </row>
    <row r="1367" spans="2:11" x14ac:dyDescent="0.35">
      <c r="B1367" s="4" t="str">
        <f>+IF('Data Pura Costos'!B1367="","",'Data Pura Costos'!B1367)</f>
        <v>Las Vertientes</v>
      </c>
      <c r="C1367" s="4" t="str">
        <f>+IF('Data Pura Costos'!C1367="","",'Data Pura Costos'!C1367)</f>
        <v>Pichidegua, VI región</v>
      </c>
      <c r="D1367" s="5">
        <f>+IF('Data Pura Costos'!D1367="","",'Data Pura Costos'!D1367)</f>
        <v>103</v>
      </c>
      <c r="E1367" s="65">
        <f>+IF('Data Pura Costos'!E1367="","",IF('Data Pura Costos'!E1367=0,MAX('Data Pura Costos'!$E$7:$E$3000)*1000,'Data Pura Costos'!E1367))</f>
        <v>480000</v>
      </c>
      <c r="F1367" s="5" t="str">
        <f>+IF('Data Pura Costos'!F1367="","",'Data Pura Costos'!F1367)</f>
        <v xml:space="preserve">Mostazal </v>
      </c>
      <c r="G1367" s="5" t="str">
        <f>+IF('Data Pura Costos'!G1367="","",'Data Pura Costos'!G1367)</f>
        <v xml:space="preserve">Gustavo Cabezas </v>
      </c>
      <c r="H1367" s="52" t="str">
        <f>+IF('Data Pura Costos'!H1367="","",'Data Pura Costos'!H1367)</f>
        <v>Termo</v>
      </c>
      <c r="I1367" s="71">
        <f>+IF('Data Pura Costos'!I1367="","",'Data Pura Costos'!I1367)</f>
        <v>4660.1941747572819</v>
      </c>
      <c r="J1367" s="52" t="str">
        <f>+IF('Data Pura Costos'!J1367="","",'Data Pura Costos'!J1367)</f>
        <v>24-25</v>
      </c>
      <c r="K1367" s="82" t="str">
        <f t="shared" si="26"/>
        <v xml:space="preserve">Las Vertientes-Mostazal -Gustavo Cabezas </v>
      </c>
    </row>
    <row r="1368" spans="2:11" x14ac:dyDescent="0.35">
      <c r="B1368" s="4" t="str">
        <f>+IF('Data Pura Costos'!B1368="","",'Data Pura Costos'!B1368)</f>
        <v>Lihueimo</v>
      </c>
      <c r="C1368" s="4" t="str">
        <f>+IF('Data Pura Costos'!C1368="","",'Data Pura Costos'!C1368)</f>
        <v>Peralillo ohiggins</v>
      </c>
      <c r="D1368" s="5">
        <f>+IF('Data Pura Costos'!D1368="","",'Data Pura Costos'!D1368)</f>
        <v>131</v>
      </c>
      <c r="E1368" s="65">
        <f>+IF('Data Pura Costos'!E1368="","",IF('Data Pura Costos'!E1368=0,MAX('Data Pura Costos'!$E$7:$E$3000)*1000,'Data Pura Costos'!E1368))</f>
        <v>510000</v>
      </c>
      <c r="F1368" s="5" t="str">
        <f>+IF('Data Pura Costos'!F1368="","",'Data Pura Costos'!F1368)</f>
        <v xml:space="preserve">Mostazal </v>
      </c>
      <c r="G1368" s="5" t="str">
        <f>+IF('Data Pura Costos'!G1368="","",'Data Pura Costos'!G1368)</f>
        <v xml:space="preserve">Gustavo Cabezas </v>
      </c>
      <c r="H1368" s="52" t="str">
        <f>+IF('Data Pura Costos'!H1368="","",'Data Pura Costos'!H1368)</f>
        <v>Termo</v>
      </c>
      <c r="I1368" s="71">
        <f>+IF('Data Pura Costos'!I1368="","",'Data Pura Costos'!I1368)</f>
        <v>3893.1297709923665</v>
      </c>
      <c r="J1368" s="52" t="str">
        <f>+IF('Data Pura Costos'!J1368="","",'Data Pura Costos'!J1368)</f>
        <v>24-25</v>
      </c>
      <c r="K1368" s="82" t="str">
        <f t="shared" si="26"/>
        <v xml:space="preserve">Lihueimo-Mostazal -Gustavo Cabezas </v>
      </c>
    </row>
    <row r="1369" spans="2:11" x14ac:dyDescent="0.35">
      <c r="B1369" s="4" t="str">
        <f>+IF('Data Pura Costos'!B1369="","",'Data Pura Costos'!B1369)</f>
        <v>Los Encinos</v>
      </c>
      <c r="C1369" s="4" t="str">
        <f>+IF('Data Pura Costos'!C1369="","",'Data Pura Costos'!C1369)</f>
        <v>Huechun, RM</v>
      </c>
      <c r="D1369" s="5">
        <f>+IF('Data Pura Costos'!D1369="","",'Data Pura Costos'!D1369)</f>
        <v>85</v>
      </c>
      <c r="E1369" s="65">
        <f>+IF('Data Pura Costos'!E1369="","",IF('Data Pura Costos'!E1369=0,MAX('Data Pura Costos'!$E$7:$E$3000)*1000,'Data Pura Costos'!E1369))</f>
        <v>510000</v>
      </c>
      <c r="F1369" s="5" t="str">
        <f>+IF('Data Pura Costos'!F1369="","",'Data Pura Costos'!F1369)</f>
        <v xml:space="preserve">Mostazal </v>
      </c>
      <c r="G1369" s="5" t="str">
        <f>+IF('Data Pura Costos'!G1369="","",'Data Pura Costos'!G1369)</f>
        <v xml:space="preserve">Gustavo Cabezas </v>
      </c>
      <c r="H1369" s="52" t="str">
        <f>+IF('Data Pura Costos'!H1369="","",'Data Pura Costos'!H1369)</f>
        <v>Termo</v>
      </c>
      <c r="I1369" s="71">
        <f>+IF('Data Pura Costos'!I1369="","",'Data Pura Costos'!I1369)</f>
        <v>6000</v>
      </c>
      <c r="J1369" s="52" t="str">
        <f>+IF('Data Pura Costos'!J1369="","",'Data Pura Costos'!J1369)</f>
        <v>24-25</v>
      </c>
      <c r="K1369" s="82" t="str">
        <f t="shared" si="26"/>
        <v xml:space="preserve">Los Encinos-Mostazal -Gustavo Cabezas </v>
      </c>
    </row>
    <row r="1370" spans="2:11" x14ac:dyDescent="0.35">
      <c r="B1370" s="4" t="str">
        <f>+IF('Data Pura Costos'!B1370="","",'Data Pura Costos'!B1370)</f>
        <v>Los Maitenes</v>
      </c>
      <c r="C1370" s="4" t="str">
        <f>+IF('Data Pura Costos'!C1370="","",'Data Pura Costos'!C1370)</f>
        <v>Las Cabras, VI región</v>
      </c>
      <c r="D1370" s="5">
        <f>+IF('Data Pura Costos'!D1370="","",'Data Pura Costos'!D1370)</f>
        <v>118</v>
      </c>
      <c r="E1370" s="65">
        <f>+IF('Data Pura Costos'!E1370="","",IF('Data Pura Costos'!E1370=0,MAX('Data Pura Costos'!$E$7:$E$3000)*1000,'Data Pura Costos'!E1370))</f>
        <v>510000</v>
      </c>
      <c r="F1370" s="5" t="str">
        <f>+IF('Data Pura Costos'!F1370="","",'Data Pura Costos'!F1370)</f>
        <v xml:space="preserve">Mostazal </v>
      </c>
      <c r="G1370" s="5" t="str">
        <f>+IF('Data Pura Costos'!G1370="","",'Data Pura Costos'!G1370)</f>
        <v xml:space="preserve">Gustavo Cabezas </v>
      </c>
      <c r="H1370" s="52" t="str">
        <f>+IF('Data Pura Costos'!H1370="","",'Data Pura Costos'!H1370)</f>
        <v>Termo</v>
      </c>
      <c r="I1370" s="71">
        <f>+IF('Data Pura Costos'!I1370="","",'Data Pura Costos'!I1370)</f>
        <v>4322.0338983050851</v>
      </c>
      <c r="J1370" s="52" t="str">
        <f>+IF('Data Pura Costos'!J1370="","",'Data Pura Costos'!J1370)</f>
        <v>24-25</v>
      </c>
      <c r="K1370" s="82" t="str">
        <f t="shared" si="26"/>
        <v xml:space="preserve">Los Maitenes-Mostazal -Gustavo Cabezas </v>
      </c>
    </row>
    <row r="1371" spans="2:11" x14ac:dyDescent="0.35">
      <c r="B1371" s="4" t="str">
        <f>+IF('Data Pura Costos'!B1371="","",'Data Pura Costos'!B1371)</f>
        <v>Los Toldos</v>
      </c>
      <c r="C1371" s="4" t="str">
        <f>+IF('Data Pura Costos'!C1371="","",'Data Pura Costos'!C1371)</f>
        <v>Angol, IX región</v>
      </c>
      <c r="D1371" s="5">
        <f>+IF('Data Pura Costos'!D1371="","",'Data Pura Costos'!D1371)</f>
        <v>549</v>
      </c>
      <c r="E1371" s="65">
        <f>+IF('Data Pura Costos'!E1371="","",IF('Data Pura Costos'!E1371=0,MAX('Data Pura Costos'!$E$7:$E$3000)*1000,'Data Pura Costos'!E1371))</f>
        <v>1250000</v>
      </c>
      <c r="F1371" s="5" t="str">
        <f>+IF('Data Pura Costos'!F1371="","",'Data Pura Costos'!F1371)</f>
        <v xml:space="preserve">Mostazal </v>
      </c>
      <c r="G1371" s="5" t="str">
        <f>+IF('Data Pura Costos'!G1371="","",'Data Pura Costos'!G1371)</f>
        <v xml:space="preserve">Gustavo Cabezas </v>
      </c>
      <c r="H1371" s="52" t="str">
        <f>+IF('Data Pura Costos'!H1371="","",'Data Pura Costos'!H1371)</f>
        <v>Termo</v>
      </c>
      <c r="I1371" s="71">
        <f>+IF('Data Pura Costos'!I1371="","",'Data Pura Costos'!I1371)</f>
        <v>2276.8670309653917</v>
      </c>
      <c r="J1371" s="52" t="str">
        <f>+IF('Data Pura Costos'!J1371="","",'Data Pura Costos'!J1371)</f>
        <v>24-25</v>
      </c>
      <c r="K1371" s="82" t="str">
        <f t="shared" si="26"/>
        <v xml:space="preserve">Los Toldos-Mostazal -Gustavo Cabezas </v>
      </c>
    </row>
    <row r="1372" spans="2:11" x14ac:dyDescent="0.35">
      <c r="B1372" s="4" t="str">
        <f>+IF('Data Pura Costos'!B1372="","",'Data Pura Costos'!B1372)</f>
        <v>Mallorca</v>
      </c>
      <c r="C1372" s="4" t="str">
        <f>+IF('Data Pura Costos'!C1372="","",'Data Pura Costos'!C1372)</f>
        <v xml:space="preserve">Molina, VII región </v>
      </c>
      <c r="D1372" s="5">
        <f>+IF('Data Pura Costos'!D1372="","",'Data Pura Costos'!D1372)</f>
        <v>144</v>
      </c>
      <c r="E1372" s="65">
        <f>+IF('Data Pura Costos'!E1372="","",IF('Data Pura Costos'!E1372=0,MAX('Data Pura Costos'!$E$7:$E$3000)*1000,'Data Pura Costos'!E1372))</f>
        <v>580000</v>
      </c>
      <c r="F1372" s="5" t="str">
        <f>+IF('Data Pura Costos'!F1372="","",'Data Pura Costos'!F1372)</f>
        <v xml:space="preserve">Mostazal </v>
      </c>
      <c r="G1372" s="5" t="str">
        <f>+IF('Data Pura Costos'!G1372="","",'Data Pura Costos'!G1372)</f>
        <v xml:space="preserve">Gustavo Cabezas </v>
      </c>
      <c r="H1372" s="52" t="str">
        <f>+IF('Data Pura Costos'!H1372="","",'Data Pura Costos'!H1372)</f>
        <v>Termo</v>
      </c>
      <c r="I1372" s="71">
        <f>+IF('Data Pura Costos'!I1372="","",'Data Pura Costos'!I1372)</f>
        <v>4027.7777777777778</v>
      </c>
      <c r="J1372" s="52" t="str">
        <f>+IF('Data Pura Costos'!J1372="","",'Data Pura Costos'!J1372)</f>
        <v>24-25</v>
      </c>
      <c r="K1372" s="82" t="str">
        <f t="shared" si="26"/>
        <v xml:space="preserve">Mallorca-Mostazal -Gustavo Cabezas </v>
      </c>
    </row>
    <row r="1373" spans="2:11" x14ac:dyDescent="0.35">
      <c r="B1373" s="4" t="str">
        <f>+IF('Data Pura Costos'!B1373="","",'Data Pura Costos'!B1373)</f>
        <v>Panquehue</v>
      </c>
      <c r="C1373" s="4" t="str">
        <f>+IF('Data Pura Costos'!C1373="","",'Data Pura Costos'!C1373)</f>
        <v>Panquehue, V región</v>
      </c>
      <c r="D1373" s="5">
        <f>+IF('Data Pura Costos'!D1373="","",'Data Pura Costos'!D1373)</f>
        <v>165</v>
      </c>
      <c r="E1373" s="65">
        <f>+IF('Data Pura Costos'!E1373="","",IF('Data Pura Costos'!E1373=0,MAX('Data Pura Costos'!$E$7:$E$3000)*1000,'Data Pura Costos'!E1373))</f>
        <v>580000</v>
      </c>
      <c r="F1373" s="5" t="str">
        <f>+IF('Data Pura Costos'!F1373="","",'Data Pura Costos'!F1373)</f>
        <v xml:space="preserve">Mostazal </v>
      </c>
      <c r="G1373" s="5" t="str">
        <f>+IF('Data Pura Costos'!G1373="","",'Data Pura Costos'!G1373)</f>
        <v xml:space="preserve">Gustavo Cabezas </v>
      </c>
      <c r="H1373" s="52" t="str">
        <f>+IF('Data Pura Costos'!H1373="","",'Data Pura Costos'!H1373)</f>
        <v>Termo</v>
      </c>
      <c r="I1373" s="71">
        <f>+IF('Data Pura Costos'!I1373="","",'Data Pura Costos'!I1373)</f>
        <v>3515.151515151515</v>
      </c>
      <c r="J1373" s="52" t="str">
        <f>+IF('Data Pura Costos'!J1373="","",'Data Pura Costos'!J1373)</f>
        <v>24-25</v>
      </c>
      <c r="K1373" s="82" t="str">
        <f t="shared" si="26"/>
        <v xml:space="preserve">Panquehue-Mostazal -Gustavo Cabezas </v>
      </c>
    </row>
    <row r="1374" spans="2:11" x14ac:dyDescent="0.35">
      <c r="B1374" s="4" t="str">
        <f>+IF('Data Pura Costos'!B1374="","",'Data Pura Costos'!B1374)</f>
        <v>Entre Rios/Puente Negro/Rio Claro</v>
      </c>
      <c r="C1374" s="4" t="str">
        <f>+IF('Data Pura Costos'!C1374="","",'Data Pura Costos'!C1374)</f>
        <v>Puente negro, san fernando.VI Region.</v>
      </c>
      <c r="D1374" s="5">
        <f>+IF('Data Pura Costos'!D1374="","",'Data Pura Costos'!D1374)</f>
        <v>100</v>
      </c>
      <c r="E1374" s="65">
        <f>+IF('Data Pura Costos'!E1374="","",IF('Data Pura Costos'!E1374=0,MAX('Data Pura Costos'!$E$7:$E$3000)*1000,'Data Pura Costos'!E1374))</f>
        <v>480000</v>
      </c>
      <c r="F1374" s="5" t="str">
        <f>+IF('Data Pura Costos'!F1374="","",'Data Pura Costos'!F1374)</f>
        <v xml:space="preserve">Mostazal </v>
      </c>
      <c r="G1374" s="5" t="str">
        <f>+IF('Data Pura Costos'!G1374="","",'Data Pura Costos'!G1374)</f>
        <v xml:space="preserve">Gustavo Cabezas </v>
      </c>
      <c r="H1374" s="52" t="str">
        <f>+IF('Data Pura Costos'!H1374="","",'Data Pura Costos'!H1374)</f>
        <v>Termo</v>
      </c>
      <c r="I1374" s="71">
        <f>+IF('Data Pura Costos'!I1374="","",'Data Pura Costos'!I1374)</f>
        <v>4800</v>
      </c>
      <c r="J1374" s="52" t="str">
        <f>+IF('Data Pura Costos'!J1374="","",'Data Pura Costos'!J1374)</f>
        <v>24-25</v>
      </c>
      <c r="K1374" s="82" t="str">
        <f t="shared" si="26"/>
        <v xml:space="preserve">Entre Rios/Puente Negro/Rio Claro-Mostazal -Gustavo Cabezas </v>
      </c>
    </row>
    <row r="1375" spans="2:11" x14ac:dyDescent="0.35">
      <c r="B1375" s="4" t="str">
        <f>+IF('Data Pura Costos'!B1375="","",'Data Pura Costos'!B1375)</f>
        <v>Retorno</v>
      </c>
      <c r="C1375" s="4" t="str">
        <f>+IF('Data Pura Costos'!C1375="","",'Data Pura Costos'!C1375)</f>
        <v>Santa maria, V región</v>
      </c>
      <c r="D1375" s="5">
        <f>+IF('Data Pura Costos'!D1375="","",'Data Pura Costos'!D1375)</f>
        <v>162</v>
      </c>
      <c r="E1375" s="65">
        <f>+IF('Data Pura Costos'!E1375="","",IF('Data Pura Costos'!E1375=0,MAX('Data Pura Costos'!$E$7:$E$3000)*1000,'Data Pura Costos'!E1375))</f>
        <v>550000</v>
      </c>
      <c r="F1375" s="5" t="str">
        <f>+IF('Data Pura Costos'!F1375="","",'Data Pura Costos'!F1375)</f>
        <v xml:space="preserve">Mostazal </v>
      </c>
      <c r="G1375" s="5" t="str">
        <f>+IF('Data Pura Costos'!G1375="","",'Data Pura Costos'!G1375)</f>
        <v xml:space="preserve">Gustavo Cabezas </v>
      </c>
      <c r="H1375" s="52" t="str">
        <f>+IF('Data Pura Costos'!H1375="","",'Data Pura Costos'!H1375)</f>
        <v>Termo</v>
      </c>
      <c r="I1375" s="71">
        <f>+IF('Data Pura Costos'!I1375="","",'Data Pura Costos'!I1375)</f>
        <v>3395.0617283950619</v>
      </c>
      <c r="J1375" s="52" t="str">
        <f>+IF('Data Pura Costos'!J1375="","",'Data Pura Costos'!J1375)</f>
        <v>24-25</v>
      </c>
      <c r="K1375" s="82" t="str">
        <f t="shared" si="26"/>
        <v xml:space="preserve">Retorno-Mostazal -Gustavo Cabezas </v>
      </c>
    </row>
    <row r="1376" spans="2:11" x14ac:dyDescent="0.35">
      <c r="B1376" s="4" t="str">
        <f>+IF('Data Pura Costos'!B1376="","",'Data Pura Costos'!B1376)</f>
        <v>Talhuén</v>
      </c>
      <c r="C1376" s="4" t="str">
        <f>+IF('Data Pura Costos'!C1376="","",'Data Pura Costos'!C1376)</f>
        <v>Palmilla, VI región</v>
      </c>
      <c r="D1376" s="5">
        <f>+IF('Data Pura Costos'!D1376="","",'Data Pura Costos'!D1376)</f>
        <v>122</v>
      </c>
      <c r="E1376" s="65">
        <f>+IF('Data Pura Costos'!E1376="","",IF('Data Pura Costos'!E1376=0,MAX('Data Pura Costos'!$E$7:$E$3000)*1000,'Data Pura Costos'!E1376))</f>
        <v>520000</v>
      </c>
      <c r="F1376" s="5" t="str">
        <f>+IF('Data Pura Costos'!F1376="","",'Data Pura Costos'!F1376)</f>
        <v xml:space="preserve">Mostazal </v>
      </c>
      <c r="G1376" s="5" t="str">
        <f>+IF('Data Pura Costos'!G1376="","",'Data Pura Costos'!G1376)</f>
        <v xml:space="preserve">Gustavo Cabezas </v>
      </c>
      <c r="H1376" s="52" t="str">
        <f>+IF('Data Pura Costos'!H1376="","",'Data Pura Costos'!H1376)</f>
        <v>Termo</v>
      </c>
      <c r="I1376" s="71">
        <f>+IF('Data Pura Costos'!I1376="","",'Data Pura Costos'!I1376)</f>
        <v>4262.2950819672133</v>
      </c>
      <c r="J1376" s="52" t="str">
        <f>+IF('Data Pura Costos'!J1376="","",'Data Pura Costos'!J1376)</f>
        <v>24-25</v>
      </c>
      <c r="K1376" s="82" t="str">
        <f t="shared" si="26"/>
        <v xml:space="preserve">Talhuén-Mostazal -Gustavo Cabezas </v>
      </c>
    </row>
    <row r="1377" spans="2:11" x14ac:dyDescent="0.35">
      <c r="B1377" s="4" t="str">
        <f>+IF('Data Pura Costos'!B1377="","",'Data Pura Costos'!B1377)</f>
        <v>Villaseca</v>
      </c>
      <c r="C1377" s="4" t="str">
        <f>+IF('Data Pura Costos'!C1377="","",'Data Pura Costos'!C1377)</f>
        <v>Retiro, VII reginón</v>
      </c>
      <c r="D1377" s="5">
        <f>+IF('Data Pura Costos'!D1377="","",'Data Pura Costos'!D1377)</f>
        <v>162</v>
      </c>
      <c r="E1377" s="65">
        <f>+IF('Data Pura Costos'!E1377="","",IF('Data Pura Costos'!E1377=0,MAX('Data Pura Costos'!$E$7:$E$3000)*1000,'Data Pura Costos'!E1377))</f>
        <v>750000</v>
      </c>
      <c r="F1377" s="5" t="str">
        <f>+IF('Data Pura Costos'!F1377="","",'Data Pura Costos'!F1377)</f>
        <v xml:space="preserve">Mostazal </v>
      </c>
      <c r="G1377" s="5" t="str">
        <f>+IF('Data Pura Costos'!G1377="","",'Data Pura Costos'!G1377)</f>
        <v xml:space="preserve">Gustavo Cabezas </v>
      </c>
      <c r="H1377" s="52" t="str">
        <f>+IF('Data Pura Costos'!H1377="","",'Data Pura Costos'!H1377)</f>
        <v>Termo</v>
      </c>
      <c r="I1377" s="71">
        <f>+IF('Data Pura Costos'!I1377="","",'Data Pura Costos'!I1377)</f>
        <v>4629.6296296296296</v>
      </c>
      <c r="J1377" s="52" t="str">
        <f>+IF('Data Pura Costos'!J1377="","",'Data Pura Costos'!J1377)</f>
        <v>24-25</v>
      </c>
      <c r="K1377" s="82" t="str">
        <f t="shared" si="26"/>
        <v xml:space="preserve">Villaseca-Mostazal -Gustavo Cabezas </v>
      </c>
    </row>
    <row r="1378" spans="2:11" x14ac:dyDescent="0.35">
      <c r="B1378" s="4" t="str">
        <f>+IF('Data Pura Costos'!B1378="","",'Data Pura Costos'!B1378)</f>
        <v/>
      </c>
      <c r="C1378" s="4" t="str">
        <f>+IF('Data Pura Costos'!C1378="","",'Data Pura Costos'!C1378)</f>
        <v/>
      </c>
      <c r="D1378" s="5" t="str">
        <f>+IF('Data Pura Costos'!D1378="","",'Data Pura Costos'!D1378)</f>
        <v/>
      </c>
      <c r="E1378" s="65" t="str">
        <f>+IF('Data Pura Costos'!E1378="","",IF('Data Pura Costos'!E1378=0,MAX('Data Pura Costos'!$E$7:$E$3000)*1000,'Data Pura Costos'!E1378))</f>
        <v/>
      </c>
      <c r="F1378" s="5" t="str">
        <f>+IF('Data Pura Costos'!F1378="","",'Data Pura Costos'!F1378)</f>
        <v/>
      </c>
      <c r="G1378" s="5" t="str">
        <f>+IF('Data Pura Costos'!G1378="","",'Data Pura Costos'!G1378)</f>
        <v/>
      </c>
      <c r="H1378" s="52" t="str">
        <f>+IF('Data Pura Costos'!H1378="","",'Data Pura Costos'!H1378)</f>
        <v/>
      </c>
      <c r="I1378" s="71" t="str">
        <f>+IF('Data Pura Costos'!I1378="","",'Data Pura Costos'!I1378)</f>
        <v/>
      </c>
      <c r="J1378" s="52" t="str">
        <f>+IF('Data Pura Costos'!J1378="","",'Data Pura Costos'!J1378)</f>
        <v/>
      </c>
      <c r="K1378" s="82" t="str">
        <f t="shared" si="26"/>
        <v/>
      </c>
    </row>
    <row r="1379" spans="2:11" x14ac:dyDescent="0.35">
      <c r="B1379" s="4" t="str">
        <f>+IF('Data Pura Costos'!B1379="","",'Data Pura Costos'!B1379)</f>
        <v/>
      </c>
      <c r="C1379" s="4" t="str">
        <f>+IF('Data Pura Costos'!C1379="","",'Data Pura Costos'!C1379)</f>
        <v/>
      </c>
      <c r="D1379" s="5" t="str">
        <f>+IF('Data Pura Costos'!D1379="","",'Data Pura Costos'!D1379)</f>
        <v/>
      </c>
      <c r="E1379" s="65" t="str">
        <f>+IF('Data Pura Costos'!E1379="","",IF('Data Pura Costos'!E1379=0,MAX('Data Pura Costos'!$E$7:$E$3000)*1000,'Data Pura Costos'!E1379))</f>
        <v/>
      </c>
      <c r="F1379" s="5" t="str">
        <f>+IF('Data Pura Costos'!F1379="","",'Data Pura Costos'!F1379)</f>
        <v/>
      </c>
      <c r="G1379" s="5" t="str">
        <f>+IF('Data Pura Costos'!G1379="","",'Data Pura Costos'!G1379)</f>
        <v/>
      </c>
      <c r="H1379" s="52" t="str">
        <f>+IF('Data Pura Costos'!H1379="","",'Data Pura Costos'!H1379)</f>
        <v/>
      </c>
      <c r="I1379" s="71" t="str">
        <f>+IF('Data Pura Costos'!I1379="","",'Data Pura Costos'!I1379)</f>
        <v/>
      </c>
      <c r="J1379" s="52" t="str">
        <f>+IF('Data Pura Costos'!J1379="","",'Data Pura Costos'!J1379)</f>
        <v/>
      </c>
      <c r="K1379" s="82" t="str">
        <f t="shared" si="26"/>
        <v/>
      </c>
    </row>
    <row r="1380" spans="2:11" x14ac:dyDescent="0.35">
      <c r="B1380" s="4" t="str">
        <f>+IF('Data Pura Costos'!B1380="","",'Data Pura Costos'!B1380)</f>
        <v/>
      </c>
      <c r="C1380" s="4" t="str">
        <f>+IF('Data Pura Costos'!C1380="","",'Data Pura Costos'!C1380)</f>
        <v/>
      </c>
      <c r="D1380" s="5" t="str">
        <f>+IF('Data Pura Costos'!D1380="","",'Data Pura Costos'!D1380)</f>
        <v/>
      </c>
      <c r="E1380" s="65" t="str">
        <f>+IF('Data Pura Costos'!E1380="","",IF('Data Pura Costos'!E1380=0,MAX('Data Pura Costos'!$E$7:$E$3000)*1000,'Data Pura Costos'!E1380))</f>
        <v/>
      </c>
      <c r="F1380" s="5" t="str">
        <f>+IF('Data Pura Costos'!F1380="","",'Data Pura Costos'!F1380)</f>
        <v/>
      </c>
      <c r="G1380" s="5" t="str">
        <f>+IF('Data Pura Costos'!G1380="","",'Data Pura Costos'!G1380)</f>
        <v/>
      </c>
      <c r="H1380" s="52" t="str">
        <f>+IF('Data Pura Costos'!H1380="","",'Data Pura Costos'!H1380)</f>
        <v/>
      </c>
      <c r="I1380" s="71" t="str">
        <f>+IF('Data Pura Costos'!I1380="","",'Data Pura Costos'!I1380)</f>
        <v/>
      </c>
      <c r="J1380" s="52" t="str">
        <f>+IF('Data Pura Costos'!J1380="","",'Data Pura Costos'!J1380)</f>
        <v/>
      </c>
      <c r="K1380" s="82" t="str">
        <f t="shared" si="26"/>
        <v/>
      </c>
    </row>
    <row r="1381" spans="2:11" x14ac:dyDescent="0.35">
      <c r="B1381" s="4" t="str">
        <f>+IF('Data Pura Costos'!B1381="","",'Data Pura Costos'!B1381)</f>
        <v/>
      </c>
      <c r="C1381" s="4" t="str">
        <f>+IF('Data Pura Costos'!C1381="","",'Data Pura Costos'!C1381)</f>
        <v/>
      </c>
      <c r="D1381" s="5" t="str">
        <f>+IF('Data Pura Costos'!D1381="","",'Data Pura Costos'!D1381)</f>
        <v/>
      </c>
      <c r="E1381" s="65" t="str">
        <f>+IF('Data Pura Costos'!E1381="","",IF('Data Pura Costos'!E1381=0,MAX('Data Pura Costos'!$E$7:$E$3000)*1000,'Data Pura Costos'!E1381))</f>
        <v/>
      </c>
      <c r="F1381" s="5" t="str">
        <f>+IF('Data Pura Costos'!F1381="","",'Data Pura Costos'!F1381)</f>
        <v/>
      </c>
      <c r="G1381" s="5" t="str">
        <f>+IF('Data Pura Costos'!G1381="","",'Data Pura Costos'!G1381)</f>
        <v/>
      </c>
      <c r="H1381" s="52" t="str">
        <f>+IF('Data Pura Costos'!H1381="","",'Data Pura Costos'!H1381)</f>
        <v/>
      </c>
      <c r="I1381" s="71" t="str">
        <f>+IF('Data Pura Costos'!I1381="","",'Data Pura Costos'!I1381)</f>
        <v/>
      </c>
      <c r="J1381" s="52" t="str">
        <f>+IF('Data Pura Costos'!J1381="","",'Data Pura Costos'!J1381)</f>
        <v/>
      </c>
      <c r="K1381" s="82" t="str">
        <f t="shared" si="26"/>
        <v/>
      </c>
    </row>
    <row r="1382" spans="2:11" x14ac:dyDescent="0.35">
      <c r="B1382" s="4" t="str">
        <f>+IF('Data Pura Costos'!B1382="","",'Data Pura Costos'!B1382)</f>
        <v/>
      </c>
      <c r="C1382" s="4" t="str">
        <f>+IF('Data Pura Costos'!C1382="","",'Data Pura Costos'!C1382)</f>
        <v/>
      </c>
      <c r="D1382" s="5" t="str">
        <f>+IF('Data Pura Costos'!D1382="","",'Data Pura Costos'!D1382)</f>
        <v/>
      </c>
      <c r="E1382" s="65" t="str">
        <f>+IF('Data Pura Costos'!E1382="","",IF('Data Pura Costos'!E1382=0,MAX('Data Pura Costos'!$E$7:$E$3000)*1000,'Data Pura Costos'!E1382))</f>
        <v/>
      </c>
      <c r="F1382" s="5" t="str">
        <f>+IF('Data Pura Costos'!F1382="","",'Data Pura Costos'!F1382)</f>
        <v/>
      </c>
      <c r="G1382" s="5" t="str">
        <f>+IF('Data Pura Costos'!G1382="","",'Data Pura Costos'!G1382)</f>
        <v/>
      </c>
      <c r="H1382" s="52" t="str">
        <f>+IF('Data Pura Costos'!H1382="","",'Data Pura Costos'!H1382)</f>
        <v/>
      </c>
      <c r="I1382" s="71" t="str">
        <f>+IF('Data Pura Costos'!I1382="","",'Data Pura Costos'!I1382)</f>
        <v/>
      </c>
      <c r="J1382" s="52" t="str">
        <f>+IF('Data Pura Costos'!J1382="","",'Data Pura Costos'!J1382)</f>
        <v/>
      </c>
      <c r="K1382" s="82" t="str">
        <f t="shared" si="26"/>
        <v/>
      </c>
    </row>
    <row r="1383" spans="2:11" x14ac:dyDescent="0.35">
      <c r="B1383" s="4" t="str">
        <f>+IF('Data Pura Costos'!B1383="","",'Data Pura Costos'!B1383)</f>
        <v/>
      </c>
      <c r="C1383" s="4" t="str">
        <f>+IF('Data Pura Costos'!C1383="","",'Data Pura Costos'!C1383)</f>
        <v/>
      </c>
      <c r="D1383" s="5" t="str">
        <f>+IF('Data Pura Costos'!D1383="","",'Data Pura Costos'!D1383)</f>
        <v/>
      </c>
      <c r="E1383" s="65" t="str">
        <f>+IF('Data Pura Costos'!E1383="","",IF('Data Pura Costos'!E1383=0,MAX('Data Pura Costos'!$E$7:$E$3000)*1000,'Data Pura Costos'!E1383))</f>
        <v/>
      </c>
      <c r="F1383" s="5" t="str">
        <f>+IF('Data Pura Costos'!F1383="","",'Data Pura Costos'!F1383)</f>
        <v/>
      </c>
      <c r="G1383" s="5" t="str">
        <f>+IF('Data Pura Costos'!G1383="","",'Data Pura Costos'!G1383)</f>
        <v/>
      </c>
      <c r="H1383" s="52" t="str">
        <f>+IF('Data Pura Costos'!H1383="","",'Data Pura Costos'!H1383)</f>
        <v/>
      </c>
      <c r="I1383" s="71" t="str">
        <f>+IF('Data Pura Costos'!I1383="","",'Data Pura Costos'!I1383)</f>
        <v/>
      </c>
      <c r="J1383" s="52" t="str">
        <f>+IF('Data Pura Costos'!J1383="","",'Data Pura Costos'!J1383)</f>
        <v/>
      </c>
      <c r="K1383" s="82" t="str">
        <f t="shared" si="26"/>
        <v/>
      </c>
    </row>
    <row r="1384" spans="2:11" x14ac:dyDescent="0.35">
      <c r="B1384" s="4" t="str">
        <f>+IF('Data Pura Costos'!B1384="","",'Data Pura Costos'!B1384)</f>
        <v/>
      </c>
      <c r="C1384" s="4" t="str">
        <f>+IF('Data Pura Costos'!C1384="","",'Data Pura Costos'!C1384)</f>
        <v/>
      </c>
      <c r="D1384" s="5" t="str">
        <f>+IF('Data Pura Costos'!D1384="","",'Data Pura Costos'!D1384)</f>
        <v/>
      </c>
      <c r="E1384" s="65" t="str">
        <f>+IF('Data Pura Costos'!E1384="","",IF('Data Pura Costos'!E1384=0,MAX('Data Pura Costos'!$E$7:$E$3000)*1000,'Data Pura Costos'!E1384))</f>
        <v/>
      </c>
      <c r="F1384" s="5" t="str">
        <f>+IF('Data Pura Costos'!F1384="","",'Data Pura Costos'!F1384)</f>
        <v/>
      </c>
      <c r="G1384" s="5" t="str">
        <f>+IF('Data Pura Costos'!G1384="","",'Data Pura Costos'!G1384)</f>
        <v/>
      </c>
      <c r="H1384" s="52" t="str">
        <f>+IF('Data Pura Costos'!H1384="","",'Data Pura Costos'!H1384)</f>
        <v/>
      </c>
      <c r="I1384" s="71" t="str">
        <f>+IF('Data Pura Costos'!I1384="","",'Data Pura Costos'!I1384)</f>
        <v/>
      </c>
      <c r="J1384" s="52" t="str">
        <f>+IF('Data Pura Costos'!J1384="","",'Data Pura Costos'!J1384)</f>
        <v/>
      </c>
      <c r="K1384" s="82" t="str">
        <f t="shared" si="26"/>
        <v/>
      </c>
    </row>
    <row r="1385" spans="2:11" x14ac:dyDescent="0.35">
      <c r="B1385" s="4" t="str">
        <f>+IF('Data Pura Costos'!B1385="","",'Data Pura Costos'!B1385)</f>
        <v/>
      </c>
      <c r="C1385" s="4" t="str">
        <f>+IF('Data Pura Costos'!C1385="","",'Data Pura Costos'!C1385)</f>
        <v/>
      </c>
      <c r="D1385" s="5" t="str">
        <f>+IF('Data Pura Costos'!D1385="","",'Data Pura Costos'!D1385)</f>
        <v/>
      </c>
      <c r="E1385" s="65" t="str">
        <f>+IF('Data Pura Costos'!E1385="","",IF('Data Pura Costos'!E1385=0,MAX('Data Pura Costos'!$E$7:$E$3000)*1000,'Data Pura Costos'!E1385))</f>
        <v/>
      </c>
      <c r="F1385" s="5" t="str">
        <f>+IF('Data Pura Costos'!F1385="","",'Data Pura Costos'!F1385)</f>
        <v/>
      </c>
      <c r="G1385" s="5" t="str">
        <f>+IF('Data Pura Costos'!G1385="","",'Data Pura Costos'!G1385)</f>
        <v/>
      </c>
      <c r="H1385" s="52" t="str">
        <f>+IF('Data Pura Costos'!H1385="","",'Data Pura Costos'!H1385)</f>
        <v/>
      </c>
      <c r="I1385" s="71" t="str">
        <f>+IF('Data Pura Costos'!I1385="","",'Data Pura Costos'!I1385)</f>
        <v/>
      </c>
      <c r="J1385" s="52" t="str">
        <f>+IF('Data Pura Costos'!J1385="","",'Data Pura Costos'!J1385)</f>
        <v/>
      </c>
      <c r="K1385" s="82" t="str">
        <f t="shared" si="26"/>
        <v/>
      </c>
    </row>
    <row r="1386" spans="2:11" x14ac:dyDescent="0.35">
      <c r="B1386" s="4" t="str">
        <f>+IF('Data Pura Costos'!B1386="","",'Data Pura Costos'!B1386)</f>
        <v/>
      </c>
      <c r="C1386" s="4" t="str">
        <f>+IF('Data Pura Costos'!C1386="","",'Data Pura Costos'!C1386)</f>
        <v/>
      </c>
      <c r="D1386" s="5" t="str">
        <f>+IF('Data Pura Costos'!D1386="","",'Data Pura Costos'!D1386)</f>
        <v/>
      </c>
      <c r="E1386" s="65" t="str">
        <f>+IF('Data Pura Costos'!E1386="","",IF('Data Pura Costos'!E1386=0,MAX('Data Pura Costos'!$E$7:$E$3000)*1000,'Data Pura Costos'!E1386))</f>
        <v/>
      </c>
      <c r="F1386" s="5" t="str">
        <f>+IF('Data Pura Costos'!F1386="","",'Data Pura Costos'!F1386)</f>
        <v/>
      </c>
      <c r="G1386" s="5" t="str">
        <f>+IF('Data Pura Costos'!G1386="","",'Data Pura Costos'!G1386)</f>
        <v/>
      </c>
      <c r="H1386" s="52" t="str">
        <f>+IF('Data Pura Costos'!H1386="","",'Data Pura Costos'!H1386)</f>
        <v/>
      </c>
      <c r="I1386" s="71" t="str">
        <f>+IF('Data Pura Costos'!I1386="","",'Data Pura Costos'!I1386)</f>
        <v/>
      </c>
      <c r="J1386" s="52" t="str">
        <f>+IF('Data Pura Costos'!J1386="","",'Data Pura Costos'!J1386)</f>
        <v/>
      </c>
      <c r="K1386" s="82" t="str">
        <f t="shared" si="26"/>
        <v/>
      </c>
    </row>
    <row r="1387" spans="2:11" x14ac:dyDescent="0.35">
      <c r="B1387" s="4" t="str">
        <f>+IF('Data Pura Costos'!B1387="","",'Data Pura Costos'!B1387)</f>
        <v/>
      </c>
      <c r="C1387" s="4" t="str">
        <f>+IF('Data Pura Costos'!C1387="","",'Data Pura Costos'!C1387)</f>
        <v/>
      </c>
      <c r="D1387" s="5" t="str">
        <f>+IF('Data Pura Costos'!D1387="","",'Data Pura Costos'!D1387)</f>
        <v/>
      </c>
      <c r="E1387" s="65" t="str">
        <f>+IF('Data Pura Costos'!E1387="","",IF('Data Pura Costos'!E1387=0,MAX('Data Pura Costos'!$E$7:$E$3000)*1000,'Data Pura Costos'!E1387))</f>
        <v/>
      </c>
      <c r="F1387" s="5" t="str">
        <f>+IF('Data Pura Costos'!F1387="","",'Data Pura Costos'!F1387)</f>
        <v/>
      </c>
      <c r="G1387" s="5" t="str">
        <f>+IF('Data Pura Costos'!G1387="","",'Data Pura Costos'!G1387)</f>
        <v/>
      </c>
      <c r="H1387" s="52" t="str">
        <f>+IF('Data Pura Costos'!H1387="","",'Data Pura Costos'!H1387)</f>
        <v/>
      </c>
      <c r="I1387" s="71" t="str">
        <f>+IF('Data Pura Costos'!I1387="","",'Data Pura Costos'!I1387)</f>
        <v/>
      </c>
      <c r="J1387" s="52" t="str">
        <f>+IF('Data Pura Costos'!J1387="","",'Data Pura Costos'!J1387)</f>
        <v/>
      </c>
      <c r="K1387" s="82" t="str">
        <f t="shared" si="26"/>
        <v/>
      </c>
    </row>
    <row r="1388" spans="2:11" x14ac:dyDescent="0.35">
      <c r="B1388" s="4" t="str">
        <f>+IF('Data Pura Costos'!B1388="","",'Data Pura Costos'!B1388)</f>
        <v/>
      </c>
      <c r="C1388" s="4" t="str">
        <f>+IF('Data Pura Costos'!C1388="","",'Data Pura Costos'!C1388)</f>
        <v/>
      </c>
      <c r="D1388" s="5" t="str">
        <f>+IF('Data Pura Costos'!D1388="","",'Data Pura Costos'!D1388)</f>
        <v/>
      </c>
      <c r="E1388" s="65" t="str">
        <f>+IF('Data Pura Costos'!E1388="","",IF('Data Pura Costos'!E1388=0,MAX('Data Pura Costos'!$E$7:$E$3000)*1000,'Data Pura Costos'!E1388))</f>
        <v/>
      </c>
      <c r="F1388" s="5" t="str">
        <f>+IF('Data Pura Costos'!F1388="","",'Data Pura Costos'!F1388)</f>
        <v/>
      </c>
      <c r="G1388" s="5" t="str">
        <f>+IF('Data Pura Costos'!G1388="","",'Data Pura Costos'!G1388)</f>
        <v/>
      </c>
      <c r="H1388" s="52" t="str">
        <f>+IF('Data Pura Costos'!H1388="","",'Data Pura Costos'!H1388)</f>
        <v/>
      </c>
      <c r="I1388" s="71" t="str">
        <f>+IF('Data Pura Costos'!I1388="","",'Data Pura Costos'!I1388)</f>
        <v/>
      </c>
      <c r="J1388" s="52" t="str">
        <f>+IF('Data Pura Costos'!J1388="","",'Data Pura Costos'!J1388)</f>
        <v/>
      </c>
      <c r="K1388" s="82" t="str">
        <f t="shared" si="26"/>
        <v/>
      </c>
    </row>
    <row r="1389" spans="2:11" x14ac:dyDescent="0.35">
      <c r="B1389" s="4" t="str">
        <f>+IF('Data Pura Costos'!B1389="","",'Data Pura Costos'!B1389)</f>
        <v/>
      </c>
      <c r="C1389" s="4" t="str">
        <f>+IF('Data Pura Costos'!C1389="","",'Data Pura Costos'!C1389)</f>
        <v/>
      </c>
      <c r="D1389" s="5" t="str">
        <f>+IF('Data Pura Costos'!D1389="","",'Data Pura Costos'!D1389)</f>
        <v/>
      </c>
      <c r="E1389" s="65" t="str">
        <f>+IF('Data Pura Costos'!E1389="","",IF('Data Pura Costos'!E1389=0,MAX('Data Pura Costos'!$E$7:$E$3000)*1000,'Data Pura Costos'!E1389))</f>
        <v/>
      </c>
      <c r="F1389" s="5" t="str">
        <f>+IF('Data Pura Costos'!F1389="","",'Data Pura Costos'!F1389)</f>
        <v/>
      </c>
      <c r="G1389" s="5" t="str">
        <f>+IF('Data Pura Costos'!G1389="","",'Data Pura Costos'!G1389)</f>
        <v/>
      </c>
      <c r="H1389" s="52" t="str">
        <f>+IF('Data Pura Costos'!H1389="","",'Data Pura Costos'!H1389)</f>
        <v/>
      </c>
      <c r="I1389" s="71" t="str">
        <f>+IF('Data Pura Costos'!I1389="","",'Data Pura Costos'!I1389)</f>
        <v/>
      </c>
      <c r="J1389" s="52" t="str">
        <f>+IF('Data Pura Costos'!J1389="","",'Data Pura Costos'!J1389)</f>
        <v/>
      </c>
      <c r="K1389" s="82" t="str">
        <f t="shared" si="26"/>
        <v/>
      </c>
    </row>
    <row r="1390" spans="2:11" x14ac:dyDescent="0.35">
      <c r="B1390" s="4" t="str">
        <f>+IF('Data Pura Costos'!B1390="","",'Data Pura Costos'!B1390)</f>
        <v/>
      </c>
      <c r="C1390" s="4" t="str">
        <f>+IF('Data Pura Costos'!C1390="","",'Data Pura Costos'!C1390)</f>
        <v/>
      </c>
      <c r="D1390" s="5" t="str">
        <f>+IF('Data Pura Costos'!D1390="","",'Data Pura Costos'!D1390)</f>
        <v/>
      </c>
      <c r="E1390" s="65" t="str">
        <f>+IF('Data Pura Costos'!E1390="","",IF('Data Pura Costos'!E1390=0,MAX('Data Pura Costos'!$E$7:$E$3000)*1000,'Data Pura Costos'!E1390))</f>
        <v/>
      </c>
      <c r="F1390" s="5" t="str">
        <f>+IF('Data Pura Costos'!F1390="","",'Data Pura Costos'!F1390)</f>
        <v/>
      </c>
      <c r="G1390" s="5" t="str">
        <f>+IF('Data Pura Costos'!G1390="","",'Data Pura Costos'!G1390)</f>
        <v/>
      </c>
      <c r="H1390" s="52" t="str">
        <f>+IF('Data Pura Costos'!H1390="","",'Data Pura Costos'!H1390)</f>
        <v/>
      </c>
      <c r="I1390" s="71" t="str">
        <f>+IF('Data Pura Costos'!I1390="","",'Data Pura Costos'!I1390)</f>
        <v/>
      </c>
      <c r="J1390" s="52" t="str">
        <f>+IF('Data Pura Costos'!J1390="","",'Data Pura Costos'!J1390)</f>
        <v/>
      </c>
      <c r="K1390" s="82" t="str">
        <f t="shared" si="26"/>
        <v/>
      </c>
    </row>
    <row r="1391" spans="2:11" x14ac:dyDescent="0.35">
      <c r="B1391" s="4" t="str">
        <f>+IF('Data Pura Costos'!B1391="","",'Data Pura Costos'!B1391)</f>
        <v/>
      </c>
      <c r="C1391" s="4" t="str">
        <f>+IF('Data Pura Costos'!C1391="","",'Data Pura Costos'!C1391)</f>
        <v/>
      </c>
      <c r="D1391" s="5" t="str">
        <f>+IF('Data Pura Costos'!D1391="","",'Data Pura Costos'!D1391)</f>
        <v/>
      </c>
      <c r="E1391" s="65" t="str">
        <f>+IF('Data Pura Costos'!E1391="","",IF('Data Pura Costos'!E1391=0,MAX('Data Pura Costos'!$E$7:$E$3000)*1000,'Data Pura Costos'!E1391))</f>
        <v/>
      </c>
      <c r="F1391" s="5" t="str">
        <f>+IF('Data Pura Costos'!F1391="","",'Data Pura Costos'!F1391)</f>
        <v/>
      </c>
      <c r="G1391" s="5" t="str">
        <f>+IF('Data Pura Costos'!G1391="","",'Data Pura Costos'!G1391)</f>
        <v/>
      </c>
      <c r="H1391" s="52" t="str">
        <f>+IF('Data Pura Costos'!H1391="","",'Data Pura Costos'!H1391)</f>
        <v/>
      </c>
      <c r="I1391" s="71" t="str">
        <f>+IF('Data Pura Costos'!I1391="","",'Data Pura Costos'!I1391)</f>
        <v/>
      </c>
      <c r="J1391" s="52" t="str">
        <f>+IF('Data Pura Costos'!J1391="","",'Data Pura Costos'!J1391)</f>
        <v/>
      </c>
      <c r="K1391" s="82" t="str">
        <f t="shared" si="26"/>
        <v/>
      </c>
    </row>
    <row r="1392" spans="2:11" x14ac:dyDescent="0.35">
      <c r="B1392" s="4" t="str">
        <f>+IF('Data Pura Costos'!B1392="","",'Data Pura Costos'!B1392)</f>
        <v/>
      </c>
      <c r="C1392" s="4" t="str">
        <f>+IF('Data Pura Costos'!C1392="","",'Data Pura Costos'!C1392)</f>
        <v/>
      </c>
      <c r="D1392" s="5" t="str">
        <f>+IF('Data Pura Costos'!D1392="","",'Data Pura Costos'!D1392)</f>
        <v/>
      </c>
      <c r="E1392" s="65" t="str">
        <f>+IF('Data Pura Costos'!E1392="","",IF('Data Pura Costos'!E1392=0,MAX('Data Pura Costos'!$E$7:$E$3000)*1000,'Data Pura Costos'!E1392))</f>
        <v/>
      </c>
      <c r="F1392" s="5" t="str">
        <f>+IF('Data Pura Costos'!F1392="","",'Data Pura Costos'!F1392)</f>
        <v/>
      </c>
      <c r="G1392" s="5" t="str">
        <f>+IF('Data Pura Costos'!G1392="","",'Data Pura Costos'!G1392)</f>
        <v/>
      </c>
      <c r="H1392" s="52" t="str">
        <f>+IF('Data Pura Costos'!H1392="","",'Data Pura Costos'!H1392)</f>
        <v/>
      </c>
      <c r="I1392" s="71" t="str">
        <f>+IF('Data Pura Costos'!I1392="","",'Data Pura Costos'!I1392)</f>
        <v/>
      </c>
      <c r="J1392" s="52" t="str">
        <f>+IF('Data Pura Costos'!J1392="","",'Data Pura Costos'!J1392)</f>
        <v/>
      </c>
      <c r="K1392" s="82" t="str">
        <f t="shared" si="26"/>
        <v/>
      </c>
    </row>
    <row r="1393" spans="2:11" x14ac:dyDescent="0.35">
      <c r="B1393" s="4" t="str">
        <f>+IF('Data Pura Costos'!B1393="","",'Data Pura Costos'!B1393)</f>
        <v/>
      </c>
      <c r="C1393" s="4" t="str">
        <f>+IF('Data Pura Costos'!C1393="","",'Data Pura Costos'!C1393)</f>
        <v/>
      </c>
      <c r="D1393" s="5" t="str">
        <f>+IF('Data Pura Costos'!D1393="","",'Data Pura Costos'!D1393)</f>
        <v/>
      </c>
      <c r="E1393" s="65" t="str">
        <f>+IF('Data Pura Costos'!E1393="","",IF('Data Pura Costos'!E1393=0,MAX('Data Pura Costos'!$E$7:$E$3000)*1000,'Data Pura Costos'!E1393))</f>
        <v/>
      </c>
      <c r="F1393" s="5" t="str">
        <f>+IF('Data Pura Costos'!F1393="","",'Data Pura Costos'!F1393)</f>
        <v/>
      </c>
      <c r="G1393" s="5" t="str">
        <f>+IF('Data Pura Costos'!G1393="","",'Data Pura Costos'!G1393)</f>
        <v/>
      </c>
      <c r="H1393" s="52" t="str">
        <f>+IF('Data Pura Costos'!H1393="","",'Data Pura Costos'!H1393)</f>
        <v/>
      </c>
      <c r="I1393" s="71" t="str">
        <f>+IF('Data Pura Costos'!I1393="","",'Data Pura Costos'!I1393)</f>
        <v/>
      </c>
      <c r="J1393" s="52" t="str">
        <f>+IF('Data Pura Costos'!J1393="","",'Data Pura Costos'!J1393)</f>
        <v/>
      </c>
      <c r="K1393" s="82" t="str">
        <f t="shared" si="26"/>
        <v/>
      </c>
    </row>
    <row r="1394" spans="2:11" x14ac:dyDescent="0.35">
      <c r="B1394" s="4" t="str">
        <f>+IF('Data Pura Costos'!B1394="","",'Data Pura Costos'!B1394)</f>
        <v/>
      </c>
      <c r="C1394" s="4" t="str">
        <f>+IF('Data Pura Costos'!C1394="","",'Data Pura Costos'!C1394)</f>
        <v/>
      </c>
      <c r="D1394" s="5" t="str">
        <f>+IF('Data Pura Costos'!D1394="","",'Data Pura Costos'!D1394)</f>
        <v/>
      </c>
      <c r="E1394" s="65" t="str">
        <f>+IF('Data Pura Costos'!E1394="","",IF('Data Pura Costos'!E1394=0,MAX('Data Pura Costos'!$E$7:$E$3000)*1000,'Data Pura Costos'!E1394))</f>
        <v/>
      </c>
      <c r="F1394" s="5" t="str">
        <f>+IF('Data Pura Costos'!F1394="","",'Data Pura Costos'!F1394)</f>
        <v/>
      </c>
      <c r="G1394" s="5" t="str">
        <f>+IF('Data Pura Costos'!G1394="","",'Data Pura Costos'!G1394)</f>
        <v/>
      </c>
      <c r="H1394" s="52" t="str">
        <f>+IF('Data Pura Costos'!H1394="","",'Data Pura Costos'!H1394)</f>
        <v/>
      </c>
      <c r="I1394" s="71" t="str">
        <f>+IF('Data Pura Costos'!I1394="","",'Data Pura Costos'!I1394)</f>
        <v/>
      </c>
      <c r="J1394" s="52" t="str">
        <f>+IF('Data Pura Costos'!J1394="","",'Data Pura Costos'!J1394)</f>
        <v/>
      </c>
      <c r="K1394" s="82" t="str">
        <f t="shared" si="26"/>
        <v/>
      </c>
    </row>
    <row r="1395" spans="2:11" x14ac:dyDescent="0.35">
      <c r="B1395" s="4" t="str">
        <f>+IF('Data Pura Costos'!B1395="","",'Data Pura Costos'!B1395)</f>
        <v/>
      </c>
      <c r="C1395" s="4" t="str">
        <f>+IF('Data Pura Costos'!C1395="","",'Data Pura Costos'!C1395)</f>
        <v/>
      </c>
      <c r="D1395" s="5" t="str">
        <f>+IF('Data Pura Costos'!D1395="","",'Data Pura Costos'!D1395)</f>
        <v/>
      </c>
      <c r="E1395" s="65" t="str">
        <f>+IF('Data Pura Costos'!E1395="","",IF('Data Pura Costos'!E1395=0,MAX('Data Pura Costos'!$E$7:$E$3000)*1000,'Data Pura Costos'!E1395))</f>
        <v/>
      </c>
      <c r="F1395" s="5" t="str">
        <f>+IF('Data Pura Costos'!F1395="","",'Data Pura Costos'!F1395)</f>
        <v/>
      </c>
      <c r="G1395" s="5" t="str">
        <f>+IF('Data Pura Costos'!G1395="","",'Data Pura Costos'!G1395)</f>
        <v/>
      </c>
      <c r="H1395" s="52" t="str">
        <f>+IF('Data Pura Costos'!H1395="","",'Data Pura Costos'!H1395)</f>
        <v/>
      </c>
      <c r="I1395" s="71" t="str">
        <f>+IF('Data Pura Costos'!I1395="","",'Data Pura Costos'!I1395)</f>
        <v/>
      </c>
      <c r="J1395" s="52" t="str">
        <f>+IF('Data Pura Costos'!J1395="","",'Data Pura Costos'!J1395)</f>
        <v/>
      </c>
      <c r="K1395" s="82" t="str">
        <f t="shared" si="26"/>
        <v/>
      </c>
    </row>
    <row r="1396" spans="2:11" x14ac:dyDescent="0.35">
      <c r="B1396" s="4" t="str">
        <f>+IF('Data Pura Costos'!B1396="","",'Data Pura Costos'!B1396)</f>
        <v/>
      </c>
      <c r="C1396" s="4" t="str">
        <f>+IF('Data Pura Costos'!C1396="","",'Data Pura Costos'!C1396)</f>
        <v/>
      </c>
      <c r="D1396" s="5" t="str">
        <f>+IF('Data Pura Costos'!D1396="","",'Data Pura Costos'!D1396)</f>
        <v/>
      </c>
      <c r="E1396" s="65" t="str">
        <f>+IF('Data Pura Costos'!E1396="","",IF('Data Pura Costos'!E1396=0,MAX('Data Pura Costos'!$E$7:$E$3000)*1000,'Data Pura Costos'!E1396))</f>
        <v/>
      </c>
      <c r="F1396" s="5" t="str">
        <f>+IF('Data Pura Costos'!F1396="","",'Data Pura Costos'!F1396)</f>
        <v/>
      </c>
      <c r="G1396" s="5" t="str">
        <f>+IF('Data Pura Costos'!G1396="","",'Data Pura Costos'!G1396)</f>
        <v/>
      </c>
      <c r="H1396" s="52" t="str">
        <f>+IF('Data Pura Costos'!H1396="","",'Data Pura Costos'!H1396)</f>
        <v/>
      </c>
      <c r="I1396" s="71" t="str">
        <f>+IF('Data Pura Costos'!I1396="","",'Data Pura Costos'!I1396)</f>
        <v/>
      </c>
      <c r="J1396" s="52" t="str">
        <f>+IF('Data Pura Costos'!J1396="","",'Data Pura Costos'!J1396)</f>
        <v/>
      </c>
      <c r="K1396" s="82" t="str">
        <f t="shared" si="26"/>
        <v/>
      </c>
    </row>
    <row r="1397" spans="2:11" x14ac:dyDescent="0.35">
      <c r="B1397" s="4" t="str">
        <f>+IF('Data Pura Costos'!B1397="","",'Data Pura Costos'!B1397)</f>
        <v/>
      </c>
      <c r="C1397" s="4" t="str">
        <f>+IF('Data Pura Costos'!C1397="","",'Data Pura Costos'!C1397)</f>
        <v/>
      </c>
      <c r="D1397" s="5" t="str">
        <f>+IF('Data Pura Costos'!D1397="","",'Data Pura Costos'!D1397)</f>
        <v/>
      </c>
      <c r="E1397" s="65" t="str">
        <f>+IF('Data Pura Costos'!E1397="","",IF('Data Pura Costos'!E1397=0,MAX('Data Pura Costos'!$E$7:$E$3000)*1000,'Data Pura Costos'!E1397))</f>
        <v/>
      </c>
      <c r="F1397" s="5" t="str">
        <f>+IF('Data Pura Costos'!F1397="","",'Data Pura Costos'!F1397)</f>
        <v/>
      </c>
      <c r="G1397" s="5" t="str">
        <f>+IF('Data Pura Costos'!G1397="","",'Data Pura Costos'!G1397)</f>
        <v/>
      </c>
      <c r="H1397" s="52" t="str">
        <f>+IF('Data Pura Costos'!H1397="","",'Data Pura Costos'!H1397)</f>
        <v/>
      </c>
      <c r="I1397" s="71" t="str">
        <f>+IF('Data Pura Costos'!I1397="","",'Data Pura Costos'!I1397)</f>
        <v/>
      </c>
      <c r="J1397" s="52" t="str">
        <f>+IF('Data Pura Costos'!J1397="","",'Data Pura Costos'!J1397)</f>
        <v/>
      </c>
      <c r="K1397" s="82" t="str">
        <f t="shared" si="26"/>
        <v/>
      </c>
    </row>
    <row r="1398" spans="2:11" x14ac:dyDescent="0.35">
      <c r="B1398" s="4" t="str">
        <f>+IF('Data Pura Costos'!B1398="","",'Data Pura Costos'!B1398)</f>
        <v/>
      </c>
      <c r="C1398" s="4" t="str">
        <f>+IF('Data Pura Costos'!C1398="","",'Data Pura Costos'!C1398)</f>
        <v/>
      </c>
      <c r="D1398" s="5" t="str">
        <f>+IF('Data Pura Costos'!D1398="","",'Data Pura Costos'!D1398)</f>
        <v/>
      </c>
      <c r="E1398" s="65" t="str">
        <f>+IF('Data Pura Costos'!E1398="","",IF('Data Pura Costos'!E1398=0,MAX('Data Pura Costos'!$E$7:$E$3000)*1000,'Data Pura Costos'!E1398))</f>
        <v/>
      </c>
      <c r="F1398" s="5" t="str">
        <f>+IF('Data Pura Costos'!F1398="","",'Data Pura Costos'!F1398)</f>
        <v/>
      </c>
      <c r="G1398" s="5" t="str">
        <f>+IF('Data Pura Costos'!G1398="","",'Data Pura Costos'!G1398)</f>
        <v/>
      </c>
      <c r="H1398" s="52" t="str">
        <f>+IF('Data Pura Costos'!H1398="","",'Data Pura Costos'!H1398)</f>
        <v/>
      </c>
      <c r="I1398" s="71" t="str">
        <f>+IF('Data Pura Costos'!I1398="","",'Data Pura Costos'!I1398)</f>
        <v/>
      </c>
      <c r="J1398" s="52" t="str">
        <f>+IF('Data Pura Costos'!J1398="","",'Data Pura Costos'!J1398)</f>
        <v/>
      </c>
      <c r="K1398" s="82" t="str">
        <f t="shared" si="26"/>
        <v/>
      </c>
    </row>
    <row r="1399" spans="2:11" x14ac:dyDescent="0.35">
      <c r="B1399" s="4" t="str">
        <f>+IF('Data Pura Costos'!B1399="","",'Data Pura Costos'!B1399)</f>
        <v/>
      </c>
      <c r="C1399" s="4" t="str">
        <f>+IF('Data Pura Costos'!C1399="","",'Data Pura Costos'!C1399)</f>
        <v/>
      </c>
      <c r="D1399" s="5" t="str">
        <f>+IF('Data Pura Costos'!D1399="","",'Data Pura Costos'!D1399)</f>
        <v/>
      </c>
      <c r="E1399" s="65" t="str">
        <f>+IF('Data Pura Costos'!E1399="","",IF('Data Pura Costos'!E1399=0,MAX('Data Pura Costos'!$E$7:$E$3000)*1000,'Data Pura Costos'!E1399))</f>
        <v/>
      </c>
      <c r="F1399" s="5" t="str">
        <f>+IF('Data Pura Costos'!F1399="","",'Data Pura Costos'!F1399)</f>
        <v/>
      </c>
      <c r="G1399" s="5" t="str">
        <f>+IF('Data Pura Costos'!G1399="","",'Data Pura Costos'!G1399)</f>
        <v/>
      </c>
      <c r="H1399" s="52" t="str">
        <f>+IF('Data Pura Costos'!H1399="","",'Data Pura Costos'!H1399)</f>
        <v/>
      </c>
      <c r="I1399" s="71" t="str">
        <f>+IF('Data Pura Costos'!I1399="","",'Data Pura Costos'!I1399)</f>
        <v/>
      </c>
      <c r="J1399" s="52" t="str">
        <f>+IF('Data Pura Costos'!J1399="","",'Data Pura Costos'!J1399)</f>
        <v/>
      </c>
      <c r="K1399" s="82" t="str">
        <f t="shared" si="26"/>
        <v/>
      </c>
    </row>
    <row r="1400" spans="2:11" x14ac:dyDescent="0.35">
      <c r="B1400" s="4" t="str">
        <f>+IF('Data Pura Costos'!B1400="","",'Data Pura Costos'!B1400)</f>
        <v/>
      </c>
      <c r="C1400" s="4" t="str">
        <f>+IF('Data Pura Costos'!C1400="","",'Data Pura Costos'!C1400)</f>
        <v/>
      </c>
      <c r="D1400" s="5" t="str">
        <f>+IF('Data Pura Costos'!D1400="","",'Data Pura Costos'!D1400)</f>
        <v/>
      </c>
      <c r="E1400" s="65" t="str">
        <f>+IF('Data Pura Costos'!E1400="","",IF('Data Pura Costos'!E1400=0,MAX('Data Pura Costos'!$E$7:$E$3000)*1000,'Data Pura Costos'!E1400))</f>
        <v/>
      </c>
      <c r="F1400" s="5" t="str">
        <f>+IF('Data Pura Costos'!F1400="","",'Data Pura Costos'!F1400)</f>
        <v/>
      </c>
      <c r="G1400" s="5" t="str">
        <f>+IF('Data Pura Costos'!G1400="","",'Data Pura Costos'!G1400)</f>
        <v/>
      </c>
      <c r="H1400" s="52" t="str">
        <f>+IF('Data Pura Costos'!H1400="","",'Data Pura Costos'!H1400)</f>
        <v/>
      </c>
      <c r="I1400" s="71" t="str">
        <f>+IF('Data Pura Costos'!I1400="","",'Data Pura Costos'!I1400)</f>
        <v/>
      </c>
      <c r="J1400" s="52" t="str">
        <f>+IF('Data Pura Costos'!J1400="","",'Data Pura Costos'!J1400)</f>
        <v/>
      </c>
      <c r="K1400" s="82" t="str">
        <f t="shared" si="26"/>
        <v/>
      </c>
    </row>
    <row r="1401" spans="2:11" x14ac:dyDescent="0.35">
      <c r="B1401" s="4" t="str">
        <f>+IF('Data Pura Costos'!B1401="","",'Data Pura Costos'!B1401)</f>
        <v/>
      </c>
      <c r="C1401" s="4" t="str">
        <f>+IF('Data Pura Costos'!C1401="","",'Data Pura Costos'!C1401)</f>
        <v/>
      </c>
      <c r="D1401" s="5" t="str">
        <f>+IF('Data Pura Costos'!D1401="","",'Data Pura Costos'!D1401)</f>
        <v/>
      </c>
      <c r="E1401" s="65" t="str">
        <f>+IF('Data Pura Costos'!E1401="","",IF('Data Pura Costos'!E1401=0,MAX('Data Pura Costos'!$E$7:$E$3000)*1000,'Data Pura Costos'!E1401))</f>
        <v/>
      </c>
      <c r="F1401" s="5" t="str">
        <f>+IF('Data Pura Costos'!F1401="","",'Data Pura Costos'!F1401)</f>
        <v/>
      </c>
      <c r="G1401" s="5" t="str">
        <f>+IF('Data Pura Costos'!G1401="","",'Data Pura Costos'!G1401)</f>
        <v/>
      </c>
      <c r="H1401" s="52" t="str">
        <f>+IF('Data Pura Costos'!H1401="","",'Data Pura Costos'!H1401)</f>
        <v/>
      </c>
      <c r="I1401" s="71" t="str">
        <f>+IF('Data Pura Costos'!I1401="","",'Data Pura Costos'!I1401)</f>
        <v/>
      </c>
      <c r="J1401" s="52" t="str">
        <f>+IF('Data Pura Costos'!J1401="","",'Data Pura Costos'!J1401)</f>
        <v/>
      </c>
      <c r="K1401" s="82" t="str">
        <f t="shared" si="26"/>
        <v/>
      </c>
    </row>
    <row r="1402" spans="2:11" x14ac:dyDescent="0.35">
      <c r="B1402" s="4" t="str">
        <f>+IF('Data Pura Costos'!B1402="","",'Data Pura Costos'!B1402)</f>
        <v/>
      </c>
      <c r="C1402" s="4" t="str">
        <f>+IF('Data Pura Costos'!C1402="","",'Data Pura Costos'!C1402)</f>
        <v/>
      </c>
      <c r="D1402" s="5" t="str">
        <f>+IF('Data Pura Costos'!D1402="","",'Data Pura Costos'!D1402)</f>
        <v/>
      </c>
      <c r="E1402" s="65" t="str">
        <f>+IF('Data Pura Costos'!E1402="","",IF('Data Pura Costos'!E1402=0,MAX('Data Pura Costos'!$E$7:$E$3000)*1000,'Data Pura Costos'!E1402))</f>
        <v/>
      </c>
      <c r="F1402" s="5" t="str">
        <f>+IF('Data Pura Costos'!F1402="","",'Data Pura Costos'!F1402)</f>
        <v/>
      </c>
      <c r="G1402" s="5" t="str">
        <f>+IF('Data Pura Costos'!G1402="","",'Data Pura Costos'!G1402)</f>
        <v/>
      </c>
      <c r="H1402" s="52" t="str">
        <f>+IF('Data Pura Costos'!H1402="","",'Data Pura Costos'!H1402)</f>
        <v/>
      </c>
      <c r="I1402" s="71" t="str">
        <f>+IF('Data Pura Costos'!I1402="","",'Data Pura Costos'!I1402)</f>
        <v/>
      </c>
      <c r="J1402" s="52" t="str">
        <f>+IF('Data Pura Costos'!J1402="","",'Data Pura Costos'!J1402)</f>
        <v/>
      </c>
      <c r="K1402" s="82" t="str">
        <f t="shared" si="26"/>
        <v/>
      </c>
    </row>
    <row r="1403" spans="2:11" x14ac:dyDescent="0.35">
      <c r="B1403" s="4" t="str">
        <f>+IF('Data Pura Costos'!B1403="","",'Data Pura Costos'!B1403)</f>
        <v/>
      </c>
      <c r="C1403" s="4" t="str">
        <f>+IF('Data Pura Costos'!C1403="","",'Data Pura Costos'!C1403)</f>
        <v/>
      </c>
      <c r="D1403" s="5" t="str">
        <f>+IF('Data Pura Costos'!D1403="","",'Data Pura Costos'!D1403)</f>
        <v/>
      </c>
      <c r="E1403" s="65" t="str">
        <f>+IF('Data Pura Costos'!E1403="","",IF('Data Pura Costos'!E1403=0,MAX('Data Pura Costos'!$E$7:$E$3000)*1000,'Data Pura Costos'!E1403))</f>
        <v/>
      </c>
      <c r="F1403" s="5" t="str">
        <f>+IF('Data Pura Costos'!F1403="","",'Data Pura Costos'!F1403)</f>
        <v/>
      </c>
      <c r="G1403" s="5" t="str">
        <f>+IF('Data Pura Costos'!G1403="","",'Data Pura Costos'!G1403)</f>
        <v/>
      </c>
      <c r="H1403" s="52" t="str">
        <f>+IF('Data Pura Costos'!H1403="","",'Data Pura Costos'!H1403)</f>
        <v/>
      </c>
      <c r="I1403" s="71" t="str">
        <f>+IF('Data Pura Costos'!I1403="","",'Data Pura Costos'!I1403)</f>
        <v/>
      </c>
      <c r="J1403" s="52" t="str">
        <f>+IF('Data Pura Costos'!J1403="","",'Data Pura Costos'!J1403)</f>
        <v/>
      </c>
      <c r="K1403" s="82" t="str">
        <f t="shared" si="26"/>
        <v/>
      </c>
    </row>
    <row r="1404" spans="2:11" x14ac:dyDescent="0.35">
      <c r="B1404" s="4" t="str">
        <f>+IF('Data Pura Costos'!B1404="","",'Data Pura Costos'!B1404)</f>
        <v/>
      </c>
      <c r="C1404" s="4" t="str">
        <f>+IF('Data Pura Costos'!C1404="","",'Data Pura Costos'!C1404)</f>
        <v/>
      </c>
      <c r="D1404" s="5" t="str">
        <f>+IF('Data Pura Costos'!D1404="","",'Data Pura Costos'!D1404)</f>
        <v/>
      </c>
      <c r="E1404" s="65" t="str">
        <f>+IF('Data Pura Costos'!E1404="","",IF('Data Pura Costos'!E1404=0,MAX('Data Pura Costos'!$E$7:$E$3000)*1000,'Data Pura Costos'!E1404))</f>
        <v/>
      </c>
      <c r="F1404" s="5" t="str">
        <f>+IF('Data Pura Costos'!F1404="","",'Data Pura Costos'!F1404)</f>
        <v/>
      </c>
      <c r="G1404" s="5" t="str">
        <f>+IF('Data Pura Costos'!G1404="","",'Data Pura Costos'!G1404)</f>
        <v/>
      </c>
      <c r="H1404" s="52" t="str">
        <f>+IF('Data Pura Costos'!H1404="","",'Data Pura Costos'!H1404)</f>
        <v/>
      </c>
      <c r="I1404" s="71" t="str">
        <f>+IF('Data Pura Costos'!I1404="","",'Data Pura Costos'!I1404)</f>
        <v/>
      </c>
      <c r="J1404" s="52" t="str">
        <f>+IF('Data Pura Costos'!J1404="","",'Data Pura Costos'!J1404)</f>
        <v/>
      </c>
      <c r="K1404" s="82" t="str">
        <f t="shared" ref="K1404:K1467" si="27">+IF(B1404="","",CONCATENATE(B1404,"-",F1404,"-",G1404))</f>
        <v/>
      </c>
    </row>
    <row r="1405" spans="2:11" x14ac:dyDescent="0.35">
      <c r="B1405" s="4" t="str">
        <f>+IF('Data Pura Costos'!B1405="","",'Data Pura Costos'!B1405)</f>
        <v/>
      </c>
      <c r="C1405" s="4" t="str">
        <f>+IF('Data Pura Costos'!C1405="","",'Data Pura Costos'!C1405)</f>
        <v/>
      </c>
      <c r="D1405" s="5" t="str">
        <f>+IF('Data Pura Costos'!D1405="","",'Data Pura Costos'!D1405)</f>
        <v/>
      </c>
      <c r="E1405" s="65" t="str">
        <f>+IF('Data Pura Costos'!E1405="","",IF('Data Pura Costos'!E1405=0,MAX('Data Pura Costos'!$E$7:$E$3000)*1000,'Data Pura Costos'!E1405))</f>
        <v/>
      </c>
      <c r="F1405" s="5" t="str">
        <f>+IF('Data Pura Costos'!F1405="","",'Data Pura Costos'!F1405)</f>
        <v/>
      </c>
      <c r="G1405" s="5" t="str">
        <f>+IF('Data Pura Costos'!G1405="","",'Data Pura Costos'!G1405)</f>
        <v/>
      </c>
      <c r="H1405" s="52" t="str">
        <f>+IF('Data Pura Costos'!H1405="","",'Data Pura Costos'!H1405)</f>
        <v/>
      </c>
      <c r="I1405" s="71" t="str">
        <f>+IF('Data Pura Costos'!I1405="","",'Data Pura Costos'!I1405)</f>
        <v/>
      </c>
      <c r="J1405" s="52" t="str">
        <f>+IF('Data Pura Costos'!J1405="","",'Data Pura Costos'!J1405)</f>
        <v/>
      </c>
      <c r="K1405" s="82" t="str">
        <f t="shared" si="27"/>
        <v/>
      </c>
    </row>
    <row r="1406" spans="2:11" x14ac:dyDescent="0.35">
      <c r="B1406" s="4" t="str">
        <f>+IF('Data Pura Costos'!B1406="","",'Data Pura Costos'!B1406)</f>
        <v/>
      </c>
      <c r="C1406" s="4" t="str">
        <f>+IF('Data Pura Costos'!C1406="","",'Data Pura Costos'!C1406)</f>
        <v/>
      </c>
      <c r="D1406" s="5" t="str">
        <f>+IF('Data Pura Costos'!D1406="","",'Data Pura Costos'!D1406)</f>
        <v/>
      </c>
      <c r="E1406" s="65" t="str">
        <f>+IF('Data Pura Costos'!E1406="","",IF('Data Pura Costos'!E1406=0,MAX('Data Pura Costos'!$E$7:$E$3000)*1000,'Data Pura Costos'!E1406))</f>
        <v/>
      </c>
      <c r="F1406" s="5" t="str">
        <f>+IF('Data Pura Costos'!F1406="","",'Data Pura Costos'!F1406)</f>
        <v/>
      </c>
      <c r="G1406" s="5" t="str">
        <f>+IF('Data Pura Costos'!G1406="","",'Data Pura Costos'!G1406)</f>
        <v/>
      </c>
      <c r="H1406" s="52" t="str">
        <f>+IF('Data Pura Costos'!H1406="","",'Data Pura Costos'!H1406)</f>
        <v/>
      </c>
      <c r="I1406" s="71" t="str">
        <f>+IF('Data Pura Costos'!I1406="","",'Data Pura Costos'!I1406)</f>
        <v/>
      </c>
      <c r="J1406" s="52" t="str">
        <f>+IF('Data Pura Costos'!J1406="","",'Data Pura Costos'!J1406)</f>
        <v/>
      </c>
      <c r="K1406" s="82" t="str">
        <f t="shared" si="27"/>
        <v/>
      </c>
    </row>
    <row r="1407" spans="2:11" x14ac:dyDescent="0.35">
      <c r="B1407" s="4" t="str">
        <f>+IF('Data Pura Costos'!B1407="","",'Data Pura Costos'!B1407)</f>
        <v/>
      </c>
      <c r="C1407" s="4" t="str">
        <f>+IF('Data Pura Costos'!C1407="","",'Data Pura Costos'!C1407)</f>
        <v/>
      </c>
      <c r="D1407" s="5" t="str">
        <f>+IF('Data Pura Costos'!D1407="","",'Data Pura Costos'!D1407)</f>
        <v/>
      </c>
      <c r="E1407" s="65" t="str">
        <f>+IF('Data Pura Costos'!E1407="","",IF('Data Pura Costos'!E1407=0,MAX('Data Pura Costos'!$E$7:$E$3000)*1000,'Data Pura Costos'!E1407))</f>
        <v/>
      </c>
      <c r="F1407" s="5" t="str">
        <f>+IF('Data Pura Costos'!F1407="","",'Data Pura Costos'!F1407)</f>
        <v/>
      </c>
      <c r="G1407" s="5" t="str">
        <f>+IF('Data Pura Costos'!G1407="","",'Data Pura Costos'!G1407)</f>
        <v/>
      </c>
      <c r="H1407" s="52" t="str">
        <f>+IF('Data Pura Costos'!H1407="","",'Data Pura Costos'!H1407)</f>
        <v/>
      </c>
      <c r="I1407" s="71" t="str">
        <f>+IF('Data Pura Costos'!I1407="","",'Data Pura Costos'!I1407)</f>
        <v/>
      </c>
      <c r="J1407" s="52" t="str">
        <f>+IF('Data Pura Costos'!J1407="","",'Data Pura Costos'!J1407)</f>
        <v/>
      </c>
      <c r="K1407" s="82" t="str">
        <f t="shared" si="27"/>
        <v/>
      </c>
    </row>
    <row r="1408" spans="2:11" x14ac:dyDescent="0.35">
      <c r="B1408" s="4" t="str">
        <f>+IF('Data Pura Costos'!B1408="","",'Data Pura Costos'!B1408)</f>
        <v/>
      </c>
      <c r="C1408" s="4" t="str">
        <f>+IF('Data Pura Costos'!C1408="","",'Data Pura Costos'!C1408)</f>
        <v/>
      </c>
      <c r="D1408" s="5" t="str">
        <f>+IF('Data Pura Costos'!D1408="","",'Data Pura Costos'!D1408)</f>
        <v/>
      </c>
      <c r="E1408" s="65" t="str">
        <f>+IF('Data Pura Costos'!E1408="","",IF('Data Pura Costos'!E1408=0,MAX('Data Pura Costos'!$E$7:$E$3000)*1000,'Data Pura Costos'!E1408))</f>
        <v/>
      </c>
      <c r="F1408" s="5" t="str">
        <f>+IF('Data Pura Costos'!F1408="","",'Data Pura Costos'!F1408)</f>
        <v/>
      </c>
      <c r="G1408" s="5" t="str">
        <f>+IF('Data Pura Costos'!G1408="","",'Data Pura Costos'!G1408)</f>
        <v/>
      </c>
      <c r="H1408" s="52" t="str">
        <f>+IF('Data Pura Costos'!H1408="","",'Data Pura Costos'!H1408)</f>
        <v/>
      </c>
      <c r="I1408" s="71" t="str">
        <f>+IF('Data Pura Costos'!I1408="","",'Data Pura Costos'!I1408)</f>
        <v/>
      </c>
      <c r="J1408" s="52" t="str">
        <f>+IF('Data Pura Costos'!J1408="","",'Data Pura Costos'!J1408)</f>
        <v/>
      </c>
      <c r="K1408" s="82" t="str">
        <f t="shared" si="27"/>
        <v/>
      </c>
    </row>
    <row r="1409" spans="2:11" x14ac:dyDescent="0.35">
      <c r="B1409" s="4" t="str">
        <f>+IF('Data Pura Costos'!B1409="","",'Data Pura Costos'!B1409)</f>
        <v/>
      </c>
      <c r="C1409" s="4" t="str">
        <f>+IF('Data Pura Costos'!C1409="","",'Data Pura Costos'!C1409)</f>
        <v/>
      </c>
      <c r="D1409" s="5" t="str">
        <f>+IF('Data Pura Costos'!D1409="","",'Data Pura Costos'!D1409)</f>
        <v/>
      </c>
      <c r="E1409" s="65" t="str">
        <f>+IF('Data Pura Costos'!E1409="","",IF('Data Pura Costos'!E1409=0,MAX('Data Pura Costos'!$E$7:$E$3000)*1000,'Data Pura Costos'!E1409))</f>
        <v/>
      </c>
      <c r="F1409" s="5" t="str">
        <f>+IF('Data Pura Costos'!F1409="","",'Data Pura Costos'!F1409)</f>
        <v/>
      </c>
      <c r="G1409" s="5" t="str">
        <f>+IF('Data Pura Costos'!G1409="","",'Data Pura Costos'!G1409)</f>
        <v/>
      </c>
      <c r="H1409" s="52" t="str">
        <f>+IF('Data Pura Costos'!H1409="","",'Data Pura Costos'!H1409)</f>
        <v/>
      </c>
      <c r="I1409" s="71" t="str">
        <f>+IF('Data Pura Costos'!I1409="","",'Data Pura Costos'!I1409)</f>
        <v/>
      </c>
      <c r="J1409" s="52" t="str">
        <f>+IF('Data Pura Costos'!J1409="","",'Data Pura Costos'!J1409)</f>
        <v/>
      </c>
      <c r="K1409" s="82" t="str">
        <f t="shared" si="27"/>
        <v/>
      </c>
    </row>
    <row r="1410" spans="2:11" x14ac:dyDescent="0.35">
      <c r="B1410" s="4" t="str">
        <f>+IF('Data Pura Costos'!B1410="","",'Data Pura Costos'!B1410)</f>
        <v/>
      </c>
      <c r="C1410" s="4" t="str">
        <f>+IF('Data Pura Costos'!C1410="","",'Data Pura Costos'!C1410)</f>
        <v/>
      </c>
      <c r="D1410" s="5" t="str">
        <f>+IF('Data Pura Costos'!D1410="","",'Data Pura Costos'!D1410)</f>
        <v/>
      </c>
      <c r="E1410" s="65" t="str">
        <f>+IF('Data Pura Costos'!E1410="","",IF('Data Pura Costos'!E1410=0,MAX('Data Pura Costos'!$E$7:$E$3000)*1000,'Data Pura Costos'!E1410))</f>
        <v/>
      </c>
      <c r="F1410" s="5" t="str">
        <f>+IF('Data Pura Costos'!F1410="","",'Data Pura Costos'!F1410)</f>
        <v/>
      </c>
      <c r="G1410" s="5" t="str">
        <f>+IF('Data Pura Costos'!G1410="","",'Data Pura Costos'!G1410)</f>
        <v/>
      </c>
      <c r="H1410" s="52" t="str">
        <f>+IF('Data Pura Costos'!H1410="","",'Data Pura Costos'!H1410)</f>
        <v/>
      </c>
      <c r="I1410" s="71" t="str">
        <f>+IF('Data Pura Costos'!I1410="","",'Data Pura Costos'!I1410)</f>
        <v/>
      </c>
      <c r="J1410" s="52" t="str">
        <f>+IF('Data Pura Costos'!J1410="","",'Data Pura Costos'!J1410)</f>
        <v/>
      </c>
      <c r="K1410" s="82" t="str">
        <f t="shared" si="27"/>
        <v/>
      </c>
    </row>
    <row r="1411" spans="2:11" x14ac:dyDescent="0.35">
      <c r="B1411" s="4" t="str">
        <f>+IF('Data Pura Costos'!B1411="","",'Data Pura Costos'!B1411)</f>
        <v/>
      </c>
      <c r="C1411" s="4" t="str">
        <f>+IF('Data Pura Costos'!C1411="","",'Data Pura Costos'!C1411)</f>
        <v/>
      </c>
      <c r="D1411" s="5" t="str">
        <f>+IF('Data Pura Costos'!D1411="","",'Data Pura Costos'!D1411)</f>
        <v/>
      </c>
      <c r="E1411" s="65" t="str">
        <f>+IF('Data Pura Costos'!E1411="","",IF('Data Pura Costos'!E1411=0,MAX('Data Pura Costos'!$E$7:$E$3000)*1000,'Data Pura Costos'!E1411))</f>
        <v/>
      </c>
      <c r="F1411" s="5" t="str">
        <f>+IF('Data Pura Costos'!F1411="","",'Data Pura Costos'!F1411)</f>
        <v/>
      </c>
      <c r="G1411" s="5" t="str">
        <f>+IF('Data Pura Costos'!G1411="","",'Data Pura Costos'!G1411)</f>
        <v/>
      </c>
      <c r="H1411" s="52" t="str">
        <f>+IF('Data Pura Costos'!H1411="","",'Data Pura Costos'!H1411)</f>
        <v/>
      </c>
      <c r="I1411" s="71" t="str">
        <f>+IF('Data Pura Costos'!I1411="","",'Data Pura Costos'!I1411)</f>
        <v/>
      </c>
      <c r="J1411" s="52" t="str">
        <f>+IF('Data Pura Costos'!J1411="","",'Data Pura Costos'!J1411)</f>
        <v/>
      </c>
      <c r="K1411" s="82" t="str">
        <f t="shared" si="27"/>
        <v/>
      </c>
    </row>
    <row r="1412" spans="2:11" x14ac:dyDescent="0.35">
      <c r="B1412" s="4" t="str">
        <f>+IF('Data Pura Costos'!B1412="","",'Data Pura Costos'!B1412)</f>
        <v/>
      </c>
      <c r="C1412" s="4" t="str">
        <f>+IF('Data Pura Costos'!C1412="","",'Data Pura Costos'!C1412)</f>
        <v/>
      </c>
      <c r="D1412" s="5" t="str">
        <f>+IF('Data Pura Costos'!D1412="","",'Data Pura Costos'!D1412)</f>
        <v/>
      </c>
      <c r="E1412" s="65" t="str">
        <f>+IF('Data Pura Costos'!E1412="","",IF('Data Pura Costos'!E1412=0,MAX('Data Pura Costos'!$E$7:$E$3000)*1000,'Data Pura Costos'!E1412))</f>
        <v/>
      </c>
      <c r="F1412" s="5" t="str">
        <f>+IF('Data Pura Costos'!F1412="","",'Data Pura Costos'!F1412)</f>
        <v/>
      </c>
      <c r="G1412" s="5" t="str">
        <f>+IF('Data Pura Costos'!G1412="","",'Data Pura Costos'!G1412)</f>
        <v/>
      </c>
      <c r="H1412" s="52" t="str">
        <f>+IF('Data Pura Costos'!H1412="","",'Data Pura Costos'!H1412)</f>
        <v/>
      </c>
      <c r="I1412" s="71" t="str">
        <f>+IF('Data Pura Costos'!I1412="","",'Data Pura Costos'!I1412)</f>
        <v/>
      </c>
      <c r="J1412" s="52" t="str">
        <f>+IF('Data Pura Costos'!J1412="","",'Data Pura Costos'!J1412)</f>
        <v/>
      </c>
      <c r="K1412" s="82" t="str">
        <f t="shared" si="27"/>
        <v/>
      </c>
    </row>
    <row r="1413" spans="2:11" x14ac:dyDescent="0.35">
      <c r="B1413" s="4" t="str">
        <f>+IF('Data Pura Costos'!B1413="","",'Data Pura Costos'!B1413)</f>
        <v/>
      </c>
      <c r="C1413" s="4" t="str">
        <f>+IF('Data Pura Costos'!C1413="","",'Data Pura Costos'!C1413)</f>
        <v/>
      </c>
      <c r="D1413" s="5" t="str">
        <f>+IF('Data Pura Costos'!D1413="","",'Data Pura Costos'!D1413)</f>
        <v/>
      </c>
      <c r="E1413" s="65" t="str">
        <f>+IF('Data Pura Costos'!E1413="","",IF('Data Pura Costos'!E1413=0,MAX('Data Pura Costos'!$E$7:$E$3000)*1000,'Data Pura Costos'!E1413))</f>
        <v/>
      </c>
      <c r="F1413" s="5" t="str">
        <f>+IF('Data Pura Costos'!F1413="","",'Data Pura Costos'!F1413)</f>
        <v/>
      </c>
      <c r="G1413" s="5" t="str">
        <f>+IF('Data Pura Costos'!G1413="","",'Data Pura Costos'!G1413)</f>
        <v/>
      </c>
      <c r="H1413" s="52" t="str">
        <f>+IF('Data Pura Costos'!H1413="","",'Data Pura Costos'!H1413)</f>
        <v/>
      </c>
      <c r="I1413" s="71" t="str">
        <f>+IF('Data Pura Costos'!I1413="","",'Data Pura Costos'!I1413)</f>
        <v/>
      </c>
      <c r="J1413" s="52" t="str">
        <f>+IF('Data Pura Costos'!J1413="","",'Data Pura Costos'!J1413)</f>
        <v/>
      </c>
      <c r="K1413" s="82" t="str">
        <f t="shared" si="27"/>
        <v/>
      </c>
    </row>
    <row r="1414" spans="2:11" x14ac:dyDescent="0.35">
      <c r="B1414" s="4" t="str">
        <f>+IF('Data Pura Costos'!B1414="","",'Data Pura Costos'!B1414)</f>
        <v/>
      </c>
      <c r="C1414" s="4" t="str">
        <f>+IF('Data Pura Costos'!C1414="","",'Data Pura Costos'!C1414)</f>
        <v/>
      </c>
      <c r="D1414" s="5" t="str">
        <f>+IF('Data Pura Costos'!D1414="","",'Data Pura Costos'!D1414)</f>
        <v/>
      </c>
      <c r="E1414" s="65" t="str">
        <f>+IF('Data Pura Costos'!E1414="","",IF('Data Pura Costos'!E1414=0,MAX('Data Pura Costos'!$E$7:$E$3000)*1000,'Data Pura Costos'!E1414))</f>
        <v/>
      </c>
      <c r="F1414" s="5" t="str">
        <f>+IF('Data Pura Costos'!F1414="","",'Data Pura Costos'!F1414)</f>
        <v/>
      </c>
      <c r="G1414" s="5" t="str">
        <f>+IF('Data Pura Costos'!G1414="","",'Data Pura Costos'!G1414)</f>
        <v/>
      </c>
      <c r="H1414" s="52" t="str">
        <f>+IF('Data Pura Costos'!H1414="","",'Data Pura Costos'!H1414)</f>
        <v/>
      </c>
      <c r="I1414" s="71" t="str">
        <f>+IF('Data Pura Costos'!I1414="","",'Data Pura Costos'!I1414)</f>
        <v/>
      </c>
      <c r="J1414" s="52" t="str">
        <f>+IF('Data Pura Costos'!J1414="","",'Data Pura Costos'!J1414)</f>
        <v/>
      </c>
      <c r="K1414" s="82" t="str">
        <f t="shared" si="27"/>
        <v/>
      </c>
    </row>
    <row r="1415" spans="2:11" x14ac:dyDescent="0.35">
      <c r="B1415" s="4" t="str">
        <f>+IF('Data Pura Costos'!B1415="","",'Data Pura Costos'!B1415)</f>
        <v/>
      </c>
      <c r="C1415" s="4" t="str">
        <f>+IF('Data Pura Costos'!C1415="","",'Data Pura Costos'!C1415)</f>
        <v/>
      </c>
      <c r="D1415" s="5" t="str">
        <f>+IF('Data Pura Costos'!D1415="","",'Data Pura Costos'!D1415)</f>
        <v/>
      </c>
      <c r="E1415" s="65" t="str">
        <f>+IF('Data Pura Costos'!E1415="","",IF('Data Pura Costos'!E1415=0,MAX('Data Pura Costos'!$E$7:$E$3000)*1000,'Data Pura Costos'!E1415))</f>
        <v/>
      </c>
      <c r="F1415" s="5" t="str">
        <f>+IF('Data Pura Costos'!F1415="","",'Data Pura Costos'!F1415)</f>
        <v/>
      </c>
      <c r="G1415" s="5" t="str">
        <f>+IF('Data Pura Costos'!G1415="","",'Data Pura Costos'!G1415)</f>
        <v/>
      </c>
      <c r="H1415" s="52" t="str">
        <f>+IF('Data Pura Costos'!H1415="","",'Data Pura Costos'!H1415)</f>
        <v/>
      </c>
      <c r="I1415" s="71" t="str">
        <f>+IF('Data Pura Costos'!I1415="","",'Data Pura Costos'!I1415)</f>
        <v/>
      </c>
      <c r="J1415" s="52" t="str">
        <f>+IF('Data Pura Costos'!J1415="","",'Data Pura Costos'!J1415)</f>
        <v/>
      </c>
      <c r="K1415" s="82" t="str">
        <f t="shared" si="27"/>
        <v/>
      </c>
    </row>
    <row r="1416" spans="2:11" x14ac:dyDescent="0.35">
      <c r="B1416" s="4" t="str">
        <f>+IF('Data Pura Costos'!B1416="","",'Data Pura Costos'!B1416)</f>
        <v/>
      </c>
      <c r="C1416" s="4" t="str">
        <f>+IF('Data Pura Costos'!C1416="","",'Data Pura Costos'!C1416)</f>
        <v/>
      </c>
      <c r="D1416" s="5" t="str">
        <f>+IF('Data Pura Costos'!D1416="","",'Data Pura Costos'!D1416)</f>
        <v/>
      </c>
      <c r="E1416" s="65" t="str">
        <f>+IF('Data Pura Costos'!E1416="","",IF('Data Pura Costos'!E1416=0,MAX('Data Pura Costos'!$E$7:$E$3000)*1000,'Data Pura Costos'!E1416))</f>
        <v/>
      </c>
      <c r="F1416" s="5" t="str">
        <f>+IF('Data Pura Costos'!F1416="","",'Data Pura Costos'!F1416)</f>
        <v/>
      </c>
      <c r="G1416" s="5" t="str">
        <f>+IF('Data Pura Costos'!G1416="","",'Data Pura Costos'!G1416)</f>
        <v/>
      </c>
      <c r="H1416" s="52" t="str">
        <f>+IF('Data Pura Costos'!H1416="","",'Data Pura Costos'!H1416)</f>
        <v/>
      </c>
      <c r="I1416" s="71" t="str">
        <f>+IF('Data Pura Costos'!I1416="","",'Data Pura Costos'!I1416)</f>
        <v/>
      </c>
      <c r="J1416" s="52" t="str">
        <f>+IF('Data Pura Costos'!J1416="","",'Data Pura Costos'!J1416)</f>
        <v/>
      </c>
      <c r="K1416" s="82" t="str">
        <f t="shared" si="27"/>
        <v/>
      </c>
    </row>
    <row r="1417" spans="2:11" x14ac:dyDescent="0.35">
      <c r="B1417" s="4" t="str">
        <f>+IF('Data Pura Costos'!B1417="","",'Data Pura Costos'!B1417)</f>
        <v/>
      </c>
      <c r="C1417" s="4" t="str">
        <f>+IF('Data Pura Costos'!C1417="","",'Data Pura Costos'!C1417)</f>
        <v/>
      </c>
      <c r="D1417" s="5" t="str">
        <f>+IF('Data Pura Costos'!D1417="","",'Data Pura Costos'!D1417)</f>
        <v/>
      </c>
      <c r="E1417" s="65" t="str">
        <f>+IF('Data Pura Costos'!E1417="","",IF('Data Pura Costos'!E1417=0,MAX('Data Pura Costos'!$E$7:$E$3000)*1000,'Data Pura Costos'!E1417))</f>
        <v/>
      </c>
      <c r="F1417" s="5" t="str">
        <f>+IF('Data Pura Costos'!F1417="","",'Data Pura Costos'!F1417)</f>
        <v/>
      </c>
      <c r="G1417" s="5" t="str">
        <f>+IF('Data Pura Costos'!G1417="","",'Data Pura Costos'!G1417)</f>
        <v/>
      </c>
      <c r="H1417" s="52" t="str">
        <f>+IF('Data Pura Costos'!H1417="","",'Data Pura Costos'!H1417)</f>
        <v/>
      </c>
      <c r="I1417" s="71" t="str">
        <f>+IF('Data Pura Costos'!I1417="","",'Data Pura Costos'!I1417)</f>
        <v/>
      </c>
      <c r="J1417" s="52" t="str">
        <f>+IF('Data Pura Costos'!J1417="","",'Data Pura Costos'!J1417)</f>
        <v/>
      </c>
      <c r="K1417" s="82" t="str">
        <f t="shared" si="27"/>
        <v/>
      </c>
    </row>
    <row r="1418" spans="2:11" x14ac:dyDescent="0.35">
      <c r="B1418" s="4" t="str">
        <f>+IF('Data Pura Costos'!B1418="","",'Data Pura Costos'!B1418)</f>
        <v/>
      </c>
      <c r="C1418" s="4" t="str">
        <f>+IF('Data Pura Costos'!C1418="","",'Data Pura Costos'!C1418)</f>
        <v/>
      </c>
      <c r="D1418" s="5" t="str">
        <f>+IF('Data Pura Costos'!D1418="","",'Data Pura Costos'!D1418)</f>
        <v/>
      </c>
      <c r="E1418" s="65" t="str">
        <f>+IF('Data Pura Costos'!E1418="","",IF('Data Pura Costos'!E1418=0,MAX('Data Pura Costos'!$E$7:$E$3000)*1000,'Data Pura Costos'!E1418))</f>
        <v/>
      </c>
      <c r="F1418" s="5" t="str">
        <f>+IF('Data Pura Costos'!F1418="","",'Data Pura Costos'!F1418)</f>
        <v/>
      </c>
      <c r="G1418" s="5" t="str">
        <f>+IF('Data Pura Costos'!G1418="","",'Data Pura Costos'!G1418)</f>
        <v/>
      </c>
      <c r="H1418" s="52" t="str">
        <f>+IF('Data Pura Costos'!H1418="","",'Data Pura Costos'!H1418)</f>
        <v/>
      </c>
      <c r="I1418" s="71" t="str">
        <f>+IF('Data Pura Costos'!I1418="","",'Data Pura Costos'!I1418)</f>
        <v/>
      </c>
      <c r="J1418" s="52" t="str">
        <f>+IF('Data Pura Costos'!J1418="","",'Data Pura Costos'!J1418)</f>
        <v/>
      </c>
      <c r="K1418" s="82" t="str">
        <f t="shared" si="27"/>
        <v/>
      </c>
    </row>
    <row r="1419" spans="2:11" x14ac:dyDescent="0.35">
      <c r="B1419" s="4" t="str">
        <f>+IF('Data Pura Costos'!B1419="","",'Data Pura Costos'!B1419)</f>
        <v/>
      </c>
      <c r="C1419" s="4" t="str">
        <f>+IF('Data Pura Costos'!C1419="","",'Data Pura Costos'!C1419)</f>
        <v/>
      </c>
      <c r="D1419" s="5" t="str">
        <f>+IF('Data Pura Costos'!D1419="","",'Data Pura Costos'!D1419)</f>
        <v/>
      </c>
      <c r="E1419" s="65" t="str">
        <f>+IF('Data Pura Costos'!E1419="","",IF('Data Pura Costos'!E1419=0,MAX('Data Pura Costos'!$E$7:$E$3000)*1000,'Data Pura Costos'!E1419))</f>
        <v/>
      </c>
      <c r="F1419" s="5" t="str">
        <f>+IF('Data Pura Costos'!F1419="","",'Data Pura Costos'!F1419)</f>
        <v/>
      </c>
      <c r="G1419" s="5" t="str">
        <f>+IF('Data Pura Costos'!G1419="","",'Data Pura Costos'!G1419)</f>
        <v/>
      </c>
      <c r="H1419" s="52" t="str">
        <f>+IF('Data Pura Costos'!H1419="","",'Data Pura Costos'!H1419)</f>
        <v/>
      </c>
      <c r="I1419" s="71" t="str">
        <f>+IF('Data Pura Costos'!I1419="","",'Data Pura Costos'!I1419)</f>
        <v/>
      </c>
      <c r="J1419" s="52" t="str">
        <f>+IF('Data Pura Costos'!J1419="","",'Data Pura Costos'!J1419)</f>
        <v/>
      </c>
      <c r="K1419" s="82" t="str">
        <f t="shared" si="27"/>
        <v/>
      </c>
    </row>
    <row r="1420" spans="2:11" x14ac:dyDescent="0.35">
      <c r="B1420" s="4" t="str">
        <f>+IF('Data Pura Costos'!B1420="","",'Data Pura Costos'!B1420)</f>
        <v/>
      </c>
      <c r="C1420" s="4" t="str">
        <f>+IF('Data Pura Costos'!C1420="","",'Data Pura Costos'!C1420)</f>
        <v/>
      </c>
      <c r="D1420" s="5" t="str">
        <f>+IF('Data Pura Costos'!D1420="","",'Data Pura Costos'!D1420)</f>
        <v/>
      </c>
      <c r="E1420" s="65" t="str">
        <f>+IF('Data Pura Costos'!E1420="","",IF('Data Pura Costos'!E1420=0,MAX('Data Pura Costos'!$E$7:$E$3000)*1000,'Data Pura Costos'!E1420))</f>
        <v/>
      </c>
      <c r="F1420" s="5" t="str">
        <f>+IF('Data Pura Costos'!F1420="","",'Data Pura Costos'!F1420)</f>
        <v/>
      </c>
      <c r="G1420" s="5" t="str">
        <f>+IF('Data Pura Costos'!G1420="","",'Data Pura Costos'!G1420)</f>
        <v/>
      </c>
      <c r="H1420" s="52" t="str">
        <f>+IF('Data Pura Costos'!H1420="","",'Data Pura Costos'!H1420)</f>
        <v/>
      </c>
      <c r="I1420" s="71" t="str">
        <f>+IF('Data Pura Costos'!I1420="","",'Data Pura Costos'!I1420)</f>
        <v/>
      </c>
      <c r="J1420" s="52" t="str">
        <f>+IF('Data Pura Costos'!J1420="","",'Data Pura Costos'!J1420)</f>
        <v/>
      </c>
      <c r="K1420" s="82" t="str">
        <f t="shared" si="27"/>
        <v/>
      </c>
    </row>
    <row r="1421" spans="2:11" x14ac:dyDescent="0.35">
      <c r="B1421" s="4" t="str">
        <f>+IF('Data Pura Costos'!B1421="","",'Data Pura Costos'!B1421)</f>
        <v/>
      </c>
      <c r="C1421" s="4" t="str">
        <f>+IF('Data Pura Costos'!C1421="","",'Data Pura Costos'!C1421)</f>
        <v/>
      </c>
      <c r="D1421" s="5" t="str">
        <f>+IF('Data Pura Costos'!D1421="","",'Data Pura Costos'!D1421)</f>
        <v/>
      </c>
      <c r="E1421" s="65" t="str">
        <f>+IF('Data Pura Costos'!E1421="","",IF('Data Pura Costos'!E1421=0,MAX('Data Pura Costos'!$E$7:$E$3000)*1000,'Data Pura Costos'!E1421))</f>
        <v/>
      </c>
      <c r="F1421" s="5" t="str">
        <f>+IF('Data Pura Costos'!F1421="","",'Data Pura Costos'!F1421)</f>
        <v/>
      </c>
      <c r="G1421" s="5" t="str">
        <f>+IF('Data Pura Costos'!G1421="","",'Data Pura Costos'!G1421)</f>
        <v/>
      </c>
      <c r="H1421" s="52" t="str">
        <f>+IF('Data Pura Costos'!H1421="","",'Data Pura Costos'!H1421)</f>
        <v/>
      </c>
      <c r="I1421" s="71" t="str">
        <f>+IF('Data Pura Costos'!I1421="","",'Data Pura Costos'!I1421)</f>
        <v/>
      </c>
      <c r="J1421" s="52" t="str">
        <f>+IF('Data Pura Costos'!J1421="","",'Data Pura Costos'!J1421)</f>
        <v/>
      </c>
      <c r="K1421" s="82" t="str">
        <f t="shared" si="27"/>
        <v/>
      </c>
    </row>
    <row r="1422" spans="2:11" x14ac:dyDescent="0.35">
      <c r="B1422" s="4" t="str">
        <f>+IF('Data Pura Costos'!B1422="","",'Data Pura Costos'!B1422)</f>
        <v/>
      </c>
      <c r="C1422" s="4" t="str">
        <f>+IF('Data Pura Costos'!C1422="","",'Data Pura Costos'!C1422)</f>
        <v/>
      </c>
      <c r="D1422" s="5" t="str">
        <f>+IF('Data Pura Costos'!D1422="","",'Data Pura Costos'!D1422)</f>
        <v/>
      </c>
      <c r="E1422" s="65" t="str">
        <f>+IF('Data Pura Costos'!E1422="","",IF('Data Pura Costos'!E1422=0,MAX('Data Pura Costos'!$E$7:$E$3000)*1000,'Data Pura Costos'!E1422))</f>
        <v/>
      </c>
      <c r="F1422" s="5" t="str">
        <f>+IF('Data Pura Costos'!F1422="","",'Data Pura Costos'!F1422)</f>
        <v/>
      </c>
      <c r="G1422" s="5" t="str">
        <f>+IF('Data Pura Costos'!G1422="","",'Data Pura Costos'!G1422)</f>
        <v/>
      </c>
      <c r="H1422" s="52" t="str">
        <f>+IF('Data Pura Costos'!H1422="","",'Data Pura Costos'!H1422)</f>
        <v/>
      </c>
      <c r="I1422" s="71" t="str">
        <f>+IF('Data Pura Costos'!I1422="","",'Data Pura Costos'!I1422)</f>
        <v/>
      </c>
      <c r="J1422" s="52" t="str">
        <f>+IF('Data Pura Costos'!J1422="","",'Data Pura Costos'!J1422)</f>
        <v/>
      </c>
      <c r="K1422" s="82" t="str">
        <f t="shared" si="27"/>
        <v/>
      </c>
    </row>
    <row r="1423" spans="2:11" x14ac:dyDescent="0.35">
      <c r="B1423" s="4" t="str">
        <f>+IF('Data Pura Costos'!B1423="","",'Data Pura Costos'!B1423)</f>
        <v/>
      </c>
      <c r="C1423" s="4" t="str">
        <f>+IF('Data Pura Costos'!C1423="","",'Data Pura Costos'!C1423)</f>
        <v/>
      </c>
      <c r="D1423" s="5" t="str">
        <f>+IF('Data Pura Costos'!D1423="","",'Data Pura Costos'!D1423)</f>
        <v/>
      </c>
      <c r="E1423" s="65" t="str">
        <f>+IF('Data Pura Costos'!E1423="","",IF('Data Pura Costos'!E1423=0,MAX('Data Pura Costos'!$E$7:$E$3000)*1000,'Data Pura Costos'!E1423))</f>
        <v/>
      </c>
      <c r="F1423" s="5" t="str">
        <f>+IF('Data Pura Costos'!F1423="","",'Data Pura Costos'!F1423)</f>
        <v/>
      </c>
      <c r="G1423" s="5" t="str">
        <f>+IF('Data Pura Costos'!G1423="","",'Data Pura Costos'!G1423)</f>
        <v/>
      </c>
      <c r="H1423" s="52" t="str">
        <f>+IF('Data Pura Costos'!H1423="","",'Data Pura Costos'!H1423)</f>
        <v/>
      </c>
      <c r="I1423" s="71" t="str">
        <f>+IF('Data Pura Costos'!I1423="","",'Data Pura Costos'!I1423)</f>
        <v/>
      </c>
      <c r="J1423" s="52" t="str">
        <f>+IF('Data Pura Costos'!J1423="","",'Data Pura Costos'!J1423)</f>
        <v/>
      </c>
      <c r="K1423" s="82" t="str">
        <f t="shared" si="27"/>
        <v/>
      </c>
    </row>
    <row r="1424" spans="2:11" x14ac:dyDescent="0.35">
      <c r="B1424" s="4" t="str">
        <f>+IF('Data Pura Costos'!B1424="","",'Data Pura Costos'!B1424)</f>
        <v/>
      </c>
      <c r="C1424" s="4" t="str">
        <f>+IF('Data Pura Costos'!C1424="","",'Data Pura Costos'!C1424)</f>
        <v/>
      </c>
      <c r="D1424" s="5" t="str">
        <f>+IF('Data Pura Costos'!D1424="","",'Data Pura Costos'!D1424)</f>
        <v/>
      </c>
      <c r="E1424" s="65" t="str">
        <f>+IF('Data Pura Costos'!E1424="","",IF('Data Pura Costos'!E1424=0,MAX('Data Pura Costos'!$E$7:$E$3000)*1000,'Data Pura Costos'!E1424))</f>
        <v/>
      </c>
      <c r="F1424" s="5" t="str">
        <f>+IF('Data Pura Costos'!F1424="","",'Data Pura Costos'!F1424)</f>
        <v/>
      </c>
      <c r="G1424" s="5" t="str">
        <f>+IF('Data Pura Costos'!G1424="","",'Data Pura Costos'!G1424)</f>
        <v/>
      </c>
      <c r="H1424" s="52" t="str">
        <f>+IF('Data Pura Costos'!H1424="","",'Data Pura Costos'!H1424)</f>
        <v/>
      </c>
      <c r="I1424" s="71" t="str">
        <f>+IF('Data Pura Costos'!I1424="","",'Data Pura Costos'!I1424)</f>
        <v/>
      </c>
      <c r="J1424" s="52" t="str">
        <f>+IF('Data Pura Costos'!J1424="","",'Data Pura Costos'!J1424)</f>
        <v/>
      </c>
      <c r="K1424" s="82" t="str">
        <f t="shared" si="27"/>
        <v/>
      </c>
    </row>
    <row r="1425" spans="2:11" x14ac:dyDescent="0.35">
      <c r="B1425" s="4" t="str">
        <f>+IF('Data Pura Costos'!B1425="","",'Data Pura Costos'!B1425)</f>
        <v/>
      </c>
      <c r="C1425" s="4" t="str">
        <f>+IF('Data Pura Costos'!C1425="","",'Data Pura Costos'!C1425)</f>
        <v/>
      </c>
      <c r="D1425" s="5" t="str">
        <f>+IF('Data Pura Costos'!D1425="","",'Data Pura Costos'!D1425)</f>
        <v/>
      </c>
      <c r="E1425" s="65" t="str">
        <f>+IF('Data Pura Costos'!E1425="","",IF('Data Pura Costos'!E1425=0,MAX('Data Pura Costos'!$E$7:$E$3000)*1000,'Data Pura Costos'!E1425))</f>
        <v/>
      </c>
      <c r="F1425" s="5" t="str">
        <f>+IF('Data Pura Costos'!F1425="","",'Data Pura Costos'!F1425)</f>
        <v/>
      </c>
      <c r="G1425" s="5" t="str">
        <f>+IF('Data Pura Costos'!G1425="","",'Data Pura Costos'!G1425)</f>
        <v/>
      </c>
      <c r="H1425" s="52" t="str">
        <f>+IF('Data Pura Costos'!H1425="","",'Data Pura Costos'!H1425)</f>
        <v/>
      </c>
      <c r="I1425" s="71" t="str">
        <f>+IF('Data Pura Costos'!I1425="","",'Data Pura Costos'!I1425)</f>
        <v/>
      </c>
      <c r="J1425" s="52" t="str">
        <f>+IF('Data Pura Costos'!J1425="","",'Data Pura Costos'!J1425)</f>
        <v/>
      </c>
      <c r="K1425" s="82" t="str">
        <f t="shared" si="27"/>
        <v/>
      </c>
    </row>
    <row r="1426" spans="2:11" x14ac:dyDescent="0.35">
      <c r="B1426" s="4" t="str">
        <f>+IF('Data Pura Costos'!B1426="","",'Data Pura Costos'!B1426)</f>
        <v/>
      </c>
      <c r="C1426" s="4" t="str">
        <f>+IF('Data Pura Costos'!C1426="","",'Data Pura Costos'!C1426)</f>
        <v/>
      </c>
      <c r="D1426" s="5" t="str">
        <f>+IF('Data Pura Costos'!D1426="","",'Data Pura Costos'!D1426)</f>
        <v/>
      </c>
      <c r="E1426" s="65" t="str">
        <f>+IF('Data Pura Costos'!E1426="","",IF('Data Pura Costos'!E1426=0,MAX('Data Pura Costos'!$E$7:$E$3000)*1000,'Data Pura Costos'!E1426))</f>
        <v/>
      </c>
      <c r="F1426" s="5" t="str">
        <f>+IF('Data Pura Costos'!F1426="","",'Data Pura Costos'!F1426)</f>
        <v/>
      </c>
      <c r="G1426" s="5" t="str">
        <f>+IF('Data Pura Costos'!G1426="","",'Data Pura Costos'!G1426)</f>
        <v/>
      </c>
      <c r="H1426" s="52" t="str">
        <f>+IF('Data Pura Costos'!H1426="","",'Data Pura Costos'!H1426)</f>
        <v/>
      </c>
      <c r="I1426" s="71" t="str">
        <f>+IF('Data Pura Costos'!I1426="","",'Data Pura Costos'!I1426)</f>
        <v/>
      </c>
      <c r="J1426" s="52" t="str">
        <f>+IF('Data Pura Costos'!J1426="","",'Data Pura Costos'!J1426)</f>
        <v/>
      </c>
      <c r="K1426" s="82" t="str">
        <f t="shared" si="27"/>
        <v/>
      </c>
    </row>
    <row r="1427" spans="2:11" x14ac:dyDescent="0.35">
      <c r="B1427" s="4" t="str">
        <f>+IF('Data Pura Costos'!B1427="","",'Data Pura Costos'!B1427)</f>
        <v/>
      </c>
      <c r="C1427" s="4" t="str">
        <f>+IF('Data Pura Costos'!C1427="","",'Data Pura Costos'!C1427)</f>
        <v/>
      </c>
      <c r="D1427" s="5" t="str">
        <f>+IF('Data Pura Costos'!D1427="","",'Data Pura Costos'!D1427)</f>
        <v/>
      </c>
      <c r="E1427" s="65" t="str">
        <f>+IF('Data Pura Costos'!E1427="","",IF('Data Pura Costos'!E1427=0,MAX('Data Pura Costos'!$E$7:$E$3000)*1000,'Data Pura Costos'!E1427))</f>
        <v/>
      </c>
      <c r="F1427" s="5" t="str">
        <f>+IF('Data Pura Costos'!F1427="","",'Data Pura Costos'!F1427)</f>
        <v/>
      </c>
      <c r="G1427" s="5" t="str">
        <f>+IF('Data Pura Costos'!G1427="","",'Data Pura Costos'!G1427)</f>
        <v/>
      </c>
      <c r="H1427" s="52" t="str">
        <f>+IF('Data Pura Costos'!H1427="","",'Data Pura Costos'!H1427)</f>
        <v/>
      </c>
      <c r="I1427" s="71" t="str">
        <f>+IF('Data Pura Costos'!I1427="","",'Data Pura Costos'!I1427)</f>
        <v/>
      </c>
      <c r="J1427" s="52" t="str">
        <f>+IF('Data Pura Costos'!J1427="","",'Data Pura Costos'!J1427)</f>
        <v/>
      </c>
      <c r="K1427" s="82" t="str">
        <f t="shared" si="27"/>
        <v/>
      </c>
    </row>
    <row r="1428" spans="2:11" x14ac:dyDescent="0.35">
      <c r="B1428" s="4" t="str">
        <f>+IF('Data Pura Costos'!B1428="","",'Data Pura Costos'!B1428)</f>
        <v/>
      </c>
      <c r="C1428" s="4" t="str">
        <f>+IF('Data Pura Costos'!C1428="","",'Data Pura Costos'!C1428)</f>
        <v/>
      </c>
      <c r="D1428" s="5" t="str">
        <f>+IF('Data Pura Costos'!D1428="","",'Data Pura Costos'!D1428)</f>
        <v/>
      </c>
      <c r="E1428" s="65" t="str">
        <f>+IF('Data Pura Costos'!E1428="","",IF('Data Pura Costos'!E1428=0,MAX('Data Pura Costos'!$E$7:$E$3000)*1000,'Data Pura Costos'!E1428))</f>
        <v/>
      </c>
      <c r="F1428" s="5" t="str">
        <f>+IF('Data Pura Costos'!F1428="","",'Data Pura Costos'!F1428)</f>
        <v/>
      </c>
      <c r="G1428" s="5" t="str">
        <f>+IF('Data Pura Costos'!G1428="","",'Data Pura Costos'!G1428)</f>
        <v/>
      </c>
      <c r="H1428" s="52" t="str">
        <f>+IF('Data Pura Costos'!H1428="","",'Data Pura Costos'!H1428)</f>
        <v/>
      </c>
      <c r="I1428" s="71" t="str">
        <f>+IF('Data Pura Costos'!I1428="","",'Data Pura Costos'!I1428)</f>
        <v/>
      </c>
      <c r="J1428" s="52" t="str">
        <f>+IF('Data Pura Costos'!J1428="","",'Data Pura Costos'!J1428)</f>
        <v/>
      </c>
      <c r="K1428" s="82" t="str">
        <f t="shared" si="27"/>
        <v/>
      </c>
    </row>
    <row r="1429" spans="2:11" x14ac:dyDescent="0.35">
      <c r="B1429" s="4" t="str">
        <f>+IF('Data Pura Costos'!B1429="","",'Data Pura Costos'!B1429)</f>
        <v/>
      </c>
      <c r="C1429" s="4" t="str">
        <f>+IF('Data Pura Costos'!C1429="","",'Data Pura Costos'!C1429)</f>
        <v/>
      </c>
      <c r="D1429" s="5" t="str">
        <f>+IF('Data Pura Costos'!D1429="","",'Data Pura Costos'!D1429)</f>
        <v/>
      </c>
      <c r="E1429" s="65" t="str">
        <f>+IF('Data Pura Costos'!E1429="","",IF('Data Pura Costos'!E1429=0,MAX('Data Pura Costos'!$E$7:$E$3000)*1000,'Data Pura Costos'!E1429))</f>
        <v/>
      </c>
      <c r="F1429" s="5" t="str">
        <f>+IF('Data Pura Costos'!F1429="","",'Data Pura Costos'!F1429)</f>
        <v/>
      </c>
      <c r="G1429" s="5" t="str">
        <f>+IF('Data Pura Costos'!G1429="","",'Data Pura Costos'!G1429)</f>
        <v/>
      </c>
      <c r="H1429" s="52" t="str">
        <f>+IF('Data Pura Costos'!H1429="","",'Data Pura Costos'!H1429)</f>
        <v/>
      </c>
      <c r="I1429" s="71" t="str">
        <f>+IF('Data Pura Costos'!I1429="","",'Data Pura Costos'!I1429)</f>
        <v/>
      </c>
      <c r="J1429" s="52" t="str">
        <f>+IF('Data Pura Costos'!J1429="","",'Data Pura Costos'!J1429)</f>
        <v/>
      </c>
      <c r="K1429" s="82" t="str">
        <f t="shared" si="27"/>
        <v/>
      </c>
    </row>
    <row r="1430" spans="2:11" x14ac:dyDescent="0.35">
      <c r="B1430" s="4" t="str">
        <f>+IF('Data Pura Costos'!B1430="","",'Data Pura Costos'!B1430)</f>
        <v/>
      </c>
      <c r="C1430" s="4" t="str">
        <f>+IF('Data Pura Costos'!C1430="","",'Data Pura Costos'!C1430)</f>
        <v/>
      </c>
      <c r="D1430" s="5" t="str">
        <f>+IF('Data Pura Costos'!D1430="","",'Data Pura Costos'!D1430)</f>
        <v/>
      </c>
      <c r="E1430" s="65" t="str">
        <f>+IF('Data Pura Costos'!E1430="","",IF('Data Pura Costos'!E1430=0,MAX('Data Pura Costos'!$E$7:$E$3000)*1000,'Data Pura Costos'!E1430))</f>
        <v/>
      </c>
      <c r="F1430" s="5" t="str">
        <f>+IF('Data Pura Costos'!F1430="","",'Data Pura Costos'!F1430)</f>
        <v/>
      </c>
      <c r="G1430" s="5" t="str">
        <f>+IF('Data Pura Costos'!G1430="","",'Data Pura Costos'!G1430)</f>
        <v/>
      </c>
      <c r="H1430" s="52" t="str">
        <f>+IF('Data Pura Costos'!H1430="","",'Data Pura Costos'!H1430)</f>
        <v/>
      </c>
      <c r="I1430" s="71" t="str">
        <f>+IF('Data Pura Costos'!I1430="","",'Data Pura Costos'!I1430)</f>
        <v/>
      </c>
      <c r="J1430" s="52" t="str">
        <f>+IF('Data Pura Costos'!J1430="","",'Data Pura Costos'!J1430)</f>
        <v/>
      </c>
      <c r="K1430" s="82" t="str">
        <f t="shared" si="27"/>
        <v/>
      </c>
    </row>
    <row r="1431" spans="2:11" x14ac:dyDescent="0.35">
      <c r="B1431" s="4" t="str">
        <f>+IF('Data Pura Costos'!B1431="","",'Data Pura Costos'!B1431)</f>
        <v/>
      </c>
      <c r="C1431" s="4" t="str">
        <f>+IF('Data Pura Costos'!C1431="","",'Data Pura Costos'!C1431)</f>
        <v/>
      </c>
      <c r="D1431" s="5" t="str">
        <f>+IF('Data Pura Costos'!D1431="","",'Data Pura Costos'!D1431)</f>
        <v/>
      </c>
      <c r="E1431" s="65" t="str">
        <f>+IF('Data Pura Costos'!E1431="","",IF('Data Pura Costos'!E1431=0,MAX('Data Pura Costos'!$E$7:$E$3000)*1000,'Data Pura Costos'!E1431))</f>
        <v/>
      </c>
      <c r="F1431" s="5" t="str">
        <f>+IF('Data Pura Costos'!F1431="","",'Data Pura Costos'!F1431)</f>
        <v/>
      </c>
      <c r="G1431" s="5" t="str">
        <f>+IF('Data Pura Costos'!G1431="","",'Data Pura Costos'!G1431)</f>
        <v/>
      </c>
      <c r="H1431" s="52" t="str">
        <f>+IF('Data Pura Costos'!H1431="","",'Data Pura Costos'!H1431)</f>
        <v/>
      </c>
      <c r="I1431" s="71" t="str">
        <f>+IF('Data Pura Costos'!I1431="","",'Data Pura Costos'!I1431)</f>
        <v/>
      </c>
      <c r="J1431" s="52" t="str">
        <f>+IF('Data Pura Costos'!J1431="","",'Data Pura Costos'!J1431)</f>
        <v/>
      </c>
      <c r="K1431" s="82" t="str">
        <f t="shared" si="27"/>
        <v/>
      </c>
    </row>
    <row r="1432" spans="2:11" x14ac:dyDescent="0.35">
      <c r="B1432" s="4" t="str">
        <f>+IF('Data Pura Costos'!B1432="","",'Data Pura Costos'!B1432)</f>
        <v/>
      </c>
      <c r="C1432" s="4" t="str">
        <f>+IF('Data Pura Costos'!C1432="","",'Data Pura Costos'!C1432)</f>
        <v/>
      </c>
      <c r="D1432" s="5" t="str">
        <f>+IF('Data Pura Costos'!D1432="","",'Data Pura Costos'!D1432)</f>
        <v/>
      </c>
      <c r="E1432" s="65" t="str">
        <f>+IF('Data Pura Costos'!E1432="","",IF('Data Pura Costos'!E1432=0,MAX('Data Pura Costos'!$E$7:$E$3000)*1000,'Data Pura Costos'!E1432))</f>
        <v/>
      </c>
      <c r="F1432" s="5" t="str">
        <f>+IF('Data Pura Costos'!F1432="","",'Data Pura Costos'!F1432)</f>
        <v/>
      </c>
      <c r="G1432" s="5" t="str">
        <f>+IF('Data Pura Costos'!G1432="","",'Data Pura Costos'!G1432)</f>
        <v/>
      </c>
      <c r="H1432" s="52" t="str">
        <f>+IF('Data Pura Costos'!H1432="","",'Data Pura Costos'!H1432)</f>
        <v/>
      </c>
      <c r="I1432" s="71" t="str">
        <f>+IF('Data Pura Costos'!I1432="","",'Data Pura Costos'!I1432)</f>
        <v/>
      </c>
      <c r="J1432" s="52" t="str">
        <f>+IF('Data Pura Costos'!J1432="","",'Data Pura Costos'!J1432)</f>
        <v/>
      </c>
      <c r="K1432" s="82" t="str">
        <f t="shared" si="27"/>
        <v/>
      </c>
    </row>
    <row r="1433" spans="2:11" x14ac:dyDescent="0.35">
      <c r="B1433" s="4" t="str">
        <f>+IF('Data Pura Costos'!B1433="","",'Data Pura Costos'!B1433)</f>
        <v/>
      </c>
      <c r="C1433" s="4" t="str">
        <f>+IF('Data Pura Costos'!C1433="","",'Data Pura Costos'!C1433)</f>
        <v/>
      </c>
      <c r="D1433" s="5" t="str">
        <f>+IF('Data Pura Costos'!D1433="","",'Data Pura Costos'!D1433)</f>
        <v/>
      </c>
      <c r="E1433" s="65" t="str">
        <f>+IF('Data Pura Costos'!E1433="","",IF('Data Pura Costos'!E1433=0,MAX('Data Pura Costos'!$E$7:$E$3000)*1000,'Data Pura Costos'!E1433))</f>
        <v/>
      </c>
      <c r="F1433" s="5" t="str">
        <f>+IF('Data Pura Costos'!F1433="","",'Data Pura Costos'!F1433)</f>
        <v/>
      </c>
      <c r="G1433" s="5" t="str">
        <f>+IF('Data Pura Costos'!G1433="","",'Data Pura Costos'!G1433)</f>
        <v/>
      </c>
      <c r="H1433" s="52" t="str">
        <f>+IF('Data Pura Costos'!H1433="","",'Data Pura Costos'!H1433)</f>
        <v/>
      </c>
      <c r="I1433" s="71" t="str">
        <f>+IF('Data Pura Costos'!I1433="","",'Data Pura Costos'!I1433)</f>
        <v/>
      </c>
      <c r="J1433" s="52" t="str">
        <f>+IF('Data Pura Costos'!J1433="","",'Data Pura Costos'!J1433)</f>
        <v/>
      </c>
      <c r="K1433" s="82" t="str">
        <f t="shared" si="27"/>
        <v/>
      </c>
    </row>
    <row r="1434" spans="2:11" x14ac:dyDescent="0.35">
      <c r="B1434" s="4" t="str">
        <f>+IF('Data Pura Costos'!B1434="","",'Data Pura Costos'!B1434)</f>
        <v/>
      </c>
      <c r="C1434" s="4" t="str">
        <f>+IF('Data Pura Costos'!C1434="","",'Data Pura Costos'!C1434)</f>
        <v/>
      </c>
      <c r="D1434" s="5" t="str">
        <f>+IF('Data Pura Costos'!D1434="","",'Data Pura Costos'!D1434)</f>
        <v/>
      </c>
      <c r="E1434" s="65" t="str">
        <f>+IF('Data Pura Costos'!E1434="","",IF('Data Pura Costos'!E1434=0,MAX('Data Pura Costos'!$E$7:$E$3000)*1000,'Data Pura Costos'!E1434))</f>
        <v/>
      </c>
      <c r="F1434" s="5" t="str">
        <f>+IF('Data Pura Costos'!F1434="","",'Data Pura Costos'!F1434)</f>
        <v/>
      </c>
      <c r="G1434" s="5" t="str">
        <f>+IF('Data Pura Costos'!G1434="","",'Data Pura Costos'!G1434)</f>
        <v/>
      </c>
      <c r="H1434" s="52" t="str">
        <f>+IF('Data Pura Costos'!H1434="","",'Data Pura Costos'!H1434)</f>
        <v/>
      </c>
      <c r="I1434" s="71" t="str">
        <f>+IF('Data Pura Costos'!I1434="","",'Data Pura Costos'!I1434)</f>
        <v/>
      </c>
      <c r="J1434" s="52" t="str">
        <f>+IF('Data Pura Costos'!J1434="","",'Data Pura Costos'!J1434)</f>
        <v/>
      </c>
      <c r="K1434" s="82" t="str">
        <f t="shared" si="27"/>
        <v/>
      </c>
    </row>
    <row r="1435" spans="2:11" x14ac:dyDescent="0.35">
      <c r="B1435" s="4" t="str">
        <f>+IF('Data Pura Costos'!B1435="","",'Data Pura Costos'!B1435)</f>
        <v/>
      </c>
      <c r="C1435" s="4" t="str">
        <f>+IF('Data Pura Costos'!C1435="","",'Data Pura Costos'!C1435)</f>
        <v/>
      </c>
      <c r="D1435" s="5" t="str">
        <f>+IF('Data Pura Costos'!D1435="","",'Data Pura Costos'!D1435)</f>
        <v/>
      </c>
      <c r="E1435" s="65" t="str">
        <f>+IF('Data Pura Costos'!E1435="","",IF('Data Pura Costos'!E1435=0,MAX('Data Pura Costos'!$E$7:$E$3000)*1000,'Data Pura Costos'!E1435))</f>
        <v/>
      </c>
      <c r="F1435" s="5" t="str">
        <f>+IF('Data Pura Costos'!F1435="","",'Data Pura Costos'!F1435)</f>
        <v/>
      </c>
      <c r="G1435" s="5" t="str">
        <f>+IF('Data Pura Costos'!G1435="","",'Data Pura Costos'!G1435)</f>
        <v/>
      </c>
      <c r="H1435" s="52" t="str">
        <f>+IF('Data Pura Costos'!H1435="","",'Data Pura Costos'!H1435)</f>
        <v/>
      </c>
      <c r="I1435" s="71" t="str">
        <f>+IF('Data Pura Costos'!I1435="","",'Data Pura Costos'!I1435)</f>
        <v/>
      </c>
      <c r="J1435" s="52" t="str">
        <f>+IF('Data Pura Costos'!J1435="","",'Data Pura Costos'!J1435)</f>
        <v/>
      </c>
      <c r="K1435" s="82" t="str">
        <f t="shared" si="27"/>
        <v/>
      </c>
    </row>
    <row r="1436" spans="2:11" x14ac:dyDescent="0.35">
      <c r="B1436" s="4" t="str">
        <f>+IF('Data Pura Costos'!B1436="","",'Data Pura Costos'!B1436)</f>
        <v/>
      </c>
      <c r="C1436" s="4" t="str">
        <f>+IF('Data Pura Costos'!C1436="","",'Data Pura Costos'!C1436)</f>
        <v/>
      </c>
      <c r="D1436" s="5" t="str">
        <f>+IF('Data Pura Costos'!D1436="","",'Data Pura Costos'!D1436)</f>
        <v/>
      </c>
      <c r="E1436" s="65" t="str">
        <f>+IF('Data Pura Costos'!E1436="","",IF('Data Pura Costos'!E1436=0,MAX('Data Pura Costos'!$E$7:$E$3000)*1000,'Data Pura Costos'!E1436))</f>
        <v/>
      </c>
      <c r="F1436" s="5" t="str">
        <f>+IF('Data Pura Costos'!F1436="","",'Data Pura Costos'!F1436)</f>
        <v/>
      </c>
      <c r="G1436" s="5" t="str">
        <f>+IF('Data Pura Costos'!G1436="","",'Data Pura Costos'!G1436)</f>
        <v/>
      </c>
      <c r="H1436" s="52" t="str">
        <f>+IF('Data Pura Costos'!H1436="","",'Data Pura Costos'!H1436)</f>
        <v/>
      </c>
      <c r="I1436" s="71" t="str">
        <f>+IF('Data Pura Costos'!I1436="","",'Data Pura Costos'!I1436)</f>
        <v/>
      </c>
      <c r="J1436" s="52" t="str">
        <f>+IF('Data Pura Costos'!J1436="","",'Data Pura Costos'!J1436)</f>
        <v/>
      </c>
      <c r="K1436" s="82" t="str">
        <f t="shared" si="27"/>
        <v/>
      </c>
    </row>
    <row r="1437" spans="2:11" x14ac:dyDescent="0.35">
      <c r="B1437" s="4" t="str">
        <f>+IF('Data Pura Costos'!B1437="","",'Data Pura Costos'!B1437)</f>
        <v/>
      </c>
      <c r="C1437" s="4" t="str">
        <f>+IF('Data Pura Costos'!C1437="","",'Data Pura Costos'!C1437)</f>
        <v/>
      </c>
      <c r="D1437" s="5" t="str">
        <f>+IF('Data Pura Costos'!D1437="","",'Data Pura Costos'!D1437)</f>
        <v/>
      </c>
      <c r="E1437" s="65" t="str">
        <f>+IF('Data Pura Costos'!E1437="","",IF('Data Pura Costos'!E1437=0,MAX('Data Pura Costos'!$E$7:$E$3000)*1000,'Data Pura Costos'!E1437))</f>
        <v/>
      </c>
      <c r="F1437" s="5" t="str">
        <f>+IF('Data Pura Costos'!F1437="","",'Data Pura Costos'!F1437)</f>
        <v/>
      </c>
      <c r="G1437" s="5" t="str">
        <f>+IF('Data Pura Costos'!G1437="","",'Data Pura Costos'!G1437)</f>
        <v/>
      </c>
      <c r="H1437" s="52" t="str">
        <f>+IF('Data Pura Costos'!H1437="","",'Data Pura Costos'!H1437)</f>
        <v/>
      </c>
      <c r="I1437" s="71" t="str">
        <f>+IF('Data Pura Costos'!I1437="","",'Data Pura Costos'!I1437)</f>
        <v/>
      </c>
      <c r="J1437" s="52" t="str">
        <f>+IF('Data Pura Costos'!J1437="","",'Data Pura Costos'!J1437)</f>
        <v/>
      </c>
      <c r="K1437" s="82" t="str">
        <f t="shared" si="27"/>
        <v/>
      </c>
    </row>
    <row r="1438" spans="2:11" x14ac:dyDescent="0.35">
      <c r="B1438" s="4" t="str">
        <f>+IF('Data Pura Costos'!B1438="","",'Data Pura Costos'!B1438)</f>
        <v/>
      </c>
      <c r="C1438" s="4" t="str">
        <f>+IF('Data Pura Costos'!C1438="","",'Data Pura Costos'!C1438)</f>
        <v/>
      </c>
      <c r="D1438" s="5" t="str">
        <f>+IF('Data Pura Costos'!D1438="","",'Data Pura Costos'!D1438)</f>
        <v/>
      </c>
      <c r="E1438" s="65" t="str">
        <f>+IF('Data Pura Costos'!E1438="","",IF('Data Pura Costos'!E1438=0,MAX('Data Pura Costos'!$E$7:$E$3000)*1000,'Data Pura Costos'!E1438))</f>
        <v/>
      </c>
      <c r="F1438" s="5" t="str">
        <f>+IF('Data Pura Costos'!F1438="","",'Data Pura Costos'!F1438)</f>
        <v/>
      </c>
      <c r="G1438" s="5" t="str">
        <f>+IF('Data Pura Costos'!G1438="","",'Data Pura Costos'!G1438)</f>
        <v/>
      </c>
      <c r="H1438" s="52" t="str">
        <f>+IF('Data Pura Costos'!H1438="","",'Data Pura Costos'!H1438)</f>
        <v/>
      </c>
      <c r="I1438" s="71" t="str">
        <f>+IF('Data Pura Costos'!I1438="","",'Data Pura Costos'!I1438)</f>
        <v/>
      </c>
      <c r="J1438" s="52" t="str">
        <f>+IF('Data Pura Costos'!J1438="","",'Data Pura Costos'!J1438)</f>
        <v/>
      </c>
      <c r="K1438" s="82" t="str">
        <f t="shared" si="27"/>
        <v/>
      </c>
    </row>
    <row r="1439" spans="2:11" x14ac:dyDescent="0.35">
      <c r="B1439" s="4" t="str">
        <f>+IF('Data Pura Costos'!B1439="","",'Data Pura Costos'!B1439)</f>
        <v/>
      </c>
      <c r="C1439" s="4" t="str">
        <f>+IF('Data Pura Costos'!C1439="","",'Data Pura Costos'!C1439)</f>
        <v/>
      </c>
      <c r="D1439" s="5" t="str">
        <f>+IF('Data Pura Costos'!D1439="","",'Data Pura Costos'!D1439)</f>
        <v/>
      </c>
      <c r="E1439" s="65" t="str">
        <f>+IF('Data Pura Costos'!E1439="","",IF('Data Pura Costos'!E1439=0,MAX('Data Pura Costos'!$E$7:$E$3000)*1000,'Data Pura Costos'!E1439))</f>
        <v/>
      </c>
      <c r="F1439" s="5" t="str">
        <f>+IF('Data Pura Costos'!F1439="","",'Data Pura Costos'!F1439)</f>
        <v/>
      </c>
      <c r="G1439" s="5" t="str">
        <f>+IF('Data Pura Costos'!G1439="","",'Data Pura Costos'!G1439)</f>
        <v/>
      </c>
      <c r="H1439" s="52" t="str">
        <f>+IF('Data Pura Costos'!H1439="","",'Data Pura Costos'!H1439)</f>
        <v/>
      </c>
      <c r="I1439" s="71" t="str">
        <f>+IF('Data Pura Costos'!I1439="","",'Data Pura Costos'!I1439)</f>
        <v/>
      </c>
      <c r="J1439" s="52" t="str">
        <f>+IF('Data Pura Costos'!J1439="","",'Data Pura Costos'!J1439)</f>
        <v/>
      </c>
      <c r="K1439" s="82" t="str">
        <f t="shared" si="27"/>
        <v/>
      </c>
    </row>
    <row r="1440" spans="2:11" x14ac:dyDescent="0.35">
      <c r="B1440" s="4" t="str">
        <f>+IF('Data Pura Costos'!B1440="","",'Data Pura Costos'!B1440)</f>
        <v/>
      </c>
      <c r="C1440" s="4" t="str">
        <f>+IF('Data Pura Costos'!C1440="","",'Data Pura Costos'!C1440)</f>
        <v/>
      </c>
      <c r="D1440" s="5" t="str">
        <f>+IF('Data Pura Costos'!D1440="","",'Data Pura Costos'!D1440)</f>
        <v/>
      </c>
      <c r="E1440" s="65" t="str">
        <f>+IF('Data Pura Costos'!E1440="","",IF('Data Pura Costos'!E1440=0,MAX('Data Pura Costos'!$E$7:$E$3000)*1000,'Data Pura Costos'!E1440))</f>
        <v/>
      </c>
      <c r="F1440" s="5" t="str">
        <f>+IF('Data Pura Costos'!F1440="","",'Data Pura Costos'!F1440)</f>
        <v/>
      </c>
      <c r="G1440" s="5" t="str">
        <f>+IF('Data Pura Costos'!G1440="","",'Data Pura Costos'!G1440)</f>
        <v/>
      </c>
      <c r="H1440" s="52" t="str">
        <f>+IF('Data Pura Costos'!H1440="","",'Data Pura Costos'!H1440)</f>
        <v/>
      </c>
      <c r="I1440" s="71" t="str">
        <f>+IF('Data Pura Costos'!I1440="","",'Data Pura Costos'!I1440)</f>
        <v/>
      </c>
      <c r="J1440" s="52" t="str">
        <f>+IF('Data Pura Costos'!J1440="","",'Data Pura Costos'!J1440)</f>
        <v/>
      </c>
      <c r="K1440" s="82" t="str">
        <f t="shared" si="27"/>
        <v/>
      </c>
    </row>
    <row r="1441" spans="2:11" x14ac:dyDescent="0.35">
      <c r="B1441" s="4" t="str">
        <f>+IF('Data Pura Costos'!B1441="","",'Data Pura Costos'!B1441)</f>
        <v/>
      </c>
      <c r="C1441" s="4" t="str">
        <f>+IF('Data Pura Costos'!C1441="","",'Data Pura Costos'!C1441)</f>
        <v/>
      </c>
      <c r="D1441" s="5" t="str">
        <f>+IF('Data Pura Costos'!D1441="","",'Data Pura Costos'!D1441)</f>
        <v/>
      </c>
      <c r="E1441" s="65" t="str">
        <f>+IF('Data Pura Costos'!E1441="","",IF('Data Pura Costos'!E1441=0,MAX('Data Pura Costos'!$E$7:$E$3000)*1000,'Data Pura Costos'!E1441))</f>
        <v/>
      </c>
      <c r="F1441" s="5" t="str">
        <f>+IF('Data Pura Costos'!F1441="","",'Data Pura Costos'!F1441)</f>
        <v/>
      </c>
      <c r="G1441" s="5" t="str">
        <f>+IF('Data Pura Costos'!G1441="","",'Data Pura Costos'!G1441)</f>
        <v/>
      </c>
      <c r="H1441" s="52" t="str">
        <f>+IF('Data Pura Costos'!H1441="","",'Data Pura Costos'!H1441)</f>
        <v/>
      </c>
      <c r="I1441" s="71" t="str">
        <f>+IF('Data Pura Costos'!I1441="","",'Data Pura Costos'!I1441)</f>
        <v/>
      </c>
      <c r="J1441" s="52" t="str">
        <f>+IF('Data Pura Costos'!J1441="","",'Data Pura Costos'!J1441)</f>
        <v/>
      </c>
      <c r="K1441" s="82" t="str">
        <f t="shared" si="27"/>
        <v/>
      </c>
    </row>
    <row r="1442" spans="2:11" x14ac:dyDescent="0.35">
      <c r="B1442" s="4" t="str">
        <f>+IF('Data Pura Costos'!B1442="","",'Data Pura Costos'!B1442)</f>
        <v/>
      </c>
      <c r="C1442" s="4" t="str">
        <f>+IF('Data Pura Costos'!C1442="","",'Data Pura Costos'!C1442)</f>
        <v/>
      </c>
      <c r="D1442" s="5" t="str">
        <f>+IF('Data Pura Costos'!D1442="","",'Data Pura Costos'!D1442)</f>
        <v/>
      </c>
      <c r="E1442" s="65" t="str">
        <f>+IF('Data Pura Costos'!E1442="","",IF('Data Pura Costos'!E1442=0,MAX('Data Pura Costos'!$E$7:$E$3000)*1000,'Data Pura Costos'!E1442))</f>
        <v/>
      </c>
      <c r="F1442" s="5" t="str">
        <f>+IF('Data Pura Costos'!F1442="","",'Data Pura Costos'!F1442)</f>
        <v/>
      </c>
      <c r="G1442" s="5" t="str">
        <f>+IF('Data Pura Costos'!G1442="","",'Data Pura Costos'!G1442)</f>
        <v/>
      </c>
      <c r="H1442" s="52" t="str">
        <f>+IF('Data Pura Costos'!H1442="","",'Data Pura Costos'!H1442)</f>
        <v/>
      </c>
      <c r="I1442" s="71" t="str">
        <f>+IF('Data Pura Costos'!I1442="","",'Data Pura Costos'!I1442)</f>
        <v/>
      </c>
      <c r="J1442" s="52" t="str">
        <f>+IF('Data Pura Costos'!J1442="","",'Data Pura Costos'!J1442)</f>
        <v/>
      </c>
      <c r="K1442" s="82" t="str">
        <f t="shared" si="27"/>
        <v/>
      </c>
    </row>
    <row r="1443" spans="2:11" x14ac:dyDescent="0.35">
      <c r="B1443" s="4" t="str">
        <f>+IF('Data Pura Costos'!B1443="","",'Data Pura Costos'!B1443)</f>
        <v/>
      </c>
      <c r="C1443" s="4" t="str">
        <f>+IF('Data Pura Costos'!C1443="","",'Data Pura Costos'!C1443)</f>
        <v/>
      </c>
      <c r="D1443" s="5" t="str">
        <f>+IF('Data Pura Costos'!D1443="","",'Data Pura Costos'!D1443)</f>
        <v/>
      </c>
      <c r="E1443" s="65" t="str">
        <f>+IF('Data Pura Costos'!E1443="","",IF('Data Pura Costos'!E1443=0,MAX('Data Pura Costos'!$E$7:$E$3000)*1000,'Data Pura Costos'!E1443))</f>
        <v/>
      </c>
      <c r="F1443" s="5" t="str">
        <f>+IF('Data Pura Costos'!F1443="","",'Data Pura Costos'!F1443)</f>
        <v/>
      </c>
      <c r="G1443" s="5" t="str">
        <f>+IF('Data Pura Costos'!G1443="","",'Data Pura Costos'!G1443)</f>
        <v/>
      </c>
      <c r="H1443" s="52" t="str">
        <f>+IF('Data Pura Costos'!H1443="","",'Data Pura Costos'!H1443)</f>
        <v/>
      </c>
      <c r="I1443" s="71" t="str">
        <f>+IF('Data Pura Costos'!I1443="","",'Data Pura Costos'!I1443)</f>
        <v/>
      </c>
      <c r="J1443" s="52" t="str">
        <f>+IF('Data Pura Costos'!J1443="","",'Data Pura Costos'!J1443)</f>
        <v/>
      </c>
      <c r="K1443" s="82" t="str">
        <f t="shared" si="27"/>
        <v/>
      </c>
    </row>
    <row r="1444" spans="2:11" x14ac:dyDescent="0.35">
      <c r="B1444" s="4" t="str">
        <f>+IF('Data Pura Costos'!B1444="","",'Data Pura Costos'!B1444)</f>
        <v/>
      </c>
      <c r="C1444" s="4" t="str">
        <f>+IF('Data Pura Costos'!C1444="","",'Data Pura Costos'!C1444)</f>
        <v/>
      </c>
      <c r="D1444" s="5" t="str">
        <f>+IF('Data Pura Costos'!D1444="","",'Data Pura Costos'!D1444)</f>
        <v/>
      </c>
      <c r="E1444" s="65" t="str">
        <f>+IF('Data Pura Costos'!E1444="","",IF('Data Pura Costos'!E1444=0,MAX('Data Pura Costos'!$E$7:$E$3000)*1000,'Data Pura Costos'!E1444))</f>
        <v/>
      </c>
      <c r="F1444" s="5" t="str">
        <f>+IF('Data Pura Costos'!F1444="","",'Data Pura Costos'!F1444)</f>
        <v/>
      </c>
      <c r="G1444" s="5" t="str">
        <f>+IF('Data Pura Costos'!G1444="","",'Data Pura Costos'!G1444)</f>
        <v/>
      </c>
      <c r="H1444" s="52" t="str">
        <f>+IF('Data Pura Costos'!H1444="","",'Data Pura Costos'!H1444)</f>
        <v/>
      </c>
      <c r="I1444" s="71" t="str">
        <f>+IF('Data Pura Costos'!I1444="","",'Data Pura Costos'!I1444)</f>
        <v/>
      </c>
      <c r="J1444" s="52" t="str">
        <f>+IF('Data Pura Costos'!J1444="","",'Data Pura Costos'!J1444)</f>
        <v/>
      </c>
      <c r="K1444" s="82" t="str">
        <f t="shared" si="27"/>
        <v/>
      </c>
    </row>
    <row r="1445" spans="2:11" x14ac:dyDescent="0.35">
      <c r="B1445" s="4" t="str">
        <f>+IF('Data Pura Costos'!B1445="","",'Data Pura Costos'!B1445)</f>
        <v/>
      </c>
      <c r="C1445" s="4" t="str">
        <f>+IF('Data Pura Costos'!C1445="","",'Data Pura Costos'!C1445)</f>
        <v/>
      </c>
      <c r="D1445" s="5" t="str">
        <f>+IF('Data Pura Costos'!D1445="","",'Data Pura Costos'!D1445)</f>
        <v/>
      </c>
      <c r="E1445" s="65" t="str">
        <f>+IF('Data Pura Costos'!E1445="","",IF('Data Pura Costos'!E1445=0,MAX('Data Pura Costos'!$E$7:$E$3000)*1000,'Data Pura Costos'!E1445))</f>
        <v/>
      </c>
      <c r="F1445" s="5" t="str">
        <f>+IF('Data Pura Costos'!F1445="","",'Data Pura Costos'!F1445)</f>
        <v/>
      </c>
      <c r="G1445" s="5" t="str">
        <f>+IF('Data Pura Costos'!G1445="","",'Data Pura Costos'!G1445)</f>
        <v/>
      </c>
      <c r="H1445" s="52" t="str">
        <f>+IF('Data Pura Costos'!H1445="","",'Data Pura Costos'!H1445)</f>
        <v/>
      </c>
      <c r="I1445" s="71" t="str">
        <f>+IF('Data Pura Costos'!I1445="","",'Data Pura Costos'!I1445)</f>
        <v/>
      </c>
      <c r="J1445" s="52" t="str">
        <f>+IF('Data Pura Costos'!J1445="","",'Data Pura Costos'!J1445)</f>
        <v/>
      </c>
      <c r="K1445" s="82" t="str">
        <f t="shared" si="27"/>
        <v/>
      </c>
    </row>
    <row r="1446" spans="2:11" x14ac:dyDescent="0.35">
      <c r="B1446" s="4" t="str">
        <f>+IF('Data Pura Costos'!B1446="","",'Data Pura Costos'!B1446)</f>
        <v/>
      </c>
      <c r="C1446" s="4" t="str">
        <f>+IF('Data Pura Costos'!C1446="","",'Data Pura Costos'!C1446)</f>
        <v/>
      </c>
      <c r="D1446" s="5" t="str">
        <f>+IF('Data Pura Costos'!D1446="","",'Data Pura Costos'!D1446)</f>
        <v/>
      </c>
      <c r="E1446" s="65" t="str">
        <f>+IF('Data Pura Costos'!E1446="","",IF('Data Pura Costos'!E1446=0,MAX('Data Pura Costos'!$E$7:$E$3000)*1000,'Data Pura Costos'!E1446))</f>
        <v/>
      </c>
      <c r="F1446" s="5" t="str">
        <f>+IF('Data Pura Costos'!F1446="","",'Data Pura Costos'!F1446)</f>
        <v/>
      </c>
      <c r="G1446" s="5" t="str">
        <f>+IF('Data Pura Costos'!G1446="","",'Data Pura Costos'!G1446)</f>
        <v/>
      </c>
      <c r="H1446" s="52" t="str">
        <f>+IF('Data Pura Costos'!H1446="","",'Data Pura Costos'!H1446)</f>
        <v/>
      </c>
      <c r="I1446" s="71" t="str">
        <f>+IF('Data Pura Costos'!I1446="","",'Data Pura Costos'!I1446)</f>
        <v/>
      </c>
      <c r="J1446" s="52" t="str">
        <f>+IF('Data Pura Costos'!J1446="","",'Data Pura Costos'!J1446)</f>
        <v/>
      </c>
      <c r="K1446" s="82" t="str">
        <f t="shared" si="27"/>
        <v/>
      </c>
    </row>
    <row r="1447" spans="2:11" x14ac:dyDescent="0.35">
      <c r="B1447" s="4" t="str">
        <f>+IF('Data Pura Costos'!B1447="","",'Data Pura Costos'!B1447)</f>
        <v/>
      </c>
      <c r="C1447" s="4" t="str">
        <f>+IF('Data Pura Costos'!C1447="","",'Data Pura Costos'!C1447)</f>
        <v/>
      </c>
      <c r="D1447" s="5" t="str">
        <f>+IF('Data Pura Costos'!D1447="","",'Data Pura Costos'!D1447)</f>
        <v/>
      </c>
      <c r="E1447" s="65" t="str">
        <f>+IF('Data Pura Costos'!E1447="","",IF('Data Pura Costos'!E1447=0,MAX('Data Pura Costos'!$E$7:$E$3000)*1000,'Data Pura Costos'!E1447))</f>
        <v/>
      </c>
      <c r="F1447" s="5" t="str">
        <f>+IF('Data Pura Costos'!F1447="","",'Data Pura Costos'!F1447)</f>
        <v/>
      </c>
      <c r="G1447" s="5" t="str">
        <f>+IF('Data Pura Costos'!G1447="","",'Data Pura Costos'!G1447)</f>
        <v/>
      </c>
      <c r="H1447" s="52" t="str">
        <f>+IF('Data Pura Costos'!H1447="","",'Data Pura Costos'!H1447)</f>
        <v/>
      </c>
      <c r="I1447" s="71" t="str">
        <f>+IF('Data Pura Costos'!I1447="","",'Data Pura Costos'!I1447)</f>
        <v/>
      </c>
      <c r="J1447" s="52" t="str">
        <f>+IF('Data Pura Costos'!J1447="","",'Data Pura Costos'!J1447)</f>
        <v/>
      </c>
      <c r="K1447" s="82" t="str">
        <f t="shared" si="27"/>
        <v/>
      </c>
    </row>
    <row r="1448" spans="2:11" x14ac:dyDescent="0.35">
      <c r="B1448" s="4" t="str">
        <f>+IF('Data Pura Costos'!B1448="","",'Data Pura Costos'!B1448)</f>
        <v/>
      </c>
      <c r="C1448" s="4" t="str">
        <f>+IF('Data Pura Costos'!C1448="","",'Data Pura Costos'!C1448)</f>
        <v/>
      </c>
      <c r="D1448" s="5" t="str">
        <f>+IF('Data Pura Costos'!D1448="","",'Data Pura Costos'!D1448)</f>
        <v/>
      </c>
      <c r="E1448" s="65" t="str">
        <f>+IF('Data Pura Costos'!E1448="","",IF('Data Pura Costos'!E1448=0,MAX('Data Pura Costos'!$E$7:$E$3000)*1000,'Data Pura Costos'!E1448))</f>
        <v/>
      </c>
      <c r="F1448" s="5" t="str">
        <f>+IF('Data Pura Costos'!F1448="","",'Data Pura Costos'!F1448)</f>
        <v/>
      </c>
      <c r="G1448" s="5" t="str">
        <f>+IF('Data Pura Costos'!G1448="","",'Data Pura Costos'!G1448)</f>
        <v/>
      </c>
      <c r="H1448" s="52" t="str">
        <f>+IF('Data Pura Costos'!H1448="","",'Data Pura Costos'!H1448)</f>
        <v/>
      </c>
      <c r="I1448" s="71" t="str">
        <f>+IF('Data Pura Costos'!I1448="","",'Data Pura Costos'!I1448)</f>
        <v/>
      </c>
      <c r="J1448" s="52" t="str">
        <f>+IF('Data Pura Costos'!J1448="","",'Data Pura Costos'!J1448)</f>
        <v/>
      </c>
      <c r="K1448" s="82" t="str">
        <f t="shared" si="27"/>
        <v/>
      </c>
    </row>
    <row r="1449" spans="2:11" x14ac:dyDescent="0.35">
      <c r="B1449" s="4" t="str">
        <f>+IF('Data Pura Costos'!B1449="","",'Data Pura Costos'!B1449)</f>
        <v/>
      </c>
      <c r="C1449" s="4" t="str">
        <f>+IF('Data Pura Costos'!C1449="","",'Data Pura Costos'!C1449)</f>
        <v/>
      </c>
      <c r="D1449" s="5" t="str">
        <f>+IF('Data Pura Costos'!D1449="","",'Data Pura Costos'!D1449)</f>
        <v/>
      </c>
      <c r="E1449" s="65" t="str">
        <f>+IF('Data Pura Costos'!E1449="","",IF('Data Pura Costos'!E1449=0,MAX('Data Pura Costos'!$E$7:$E$3000)*1000,'Data Pura Costos'!E1449))</f>
        <v/>
      </c>
      <c r="F1449" s="5" t="str">
        <f>+IF('Data Pura Costos'!F1449="","",'Data Pura Costos'!F1449)</f>
        <v/>
      </c>
      <c r="G1449" s="5" t="str">
        <f>+IF('Data Pura Costos'!G1449="","",'Data Pura Costos'!G1449)</f>
        <v/>
      </c>
      <c r="H1449" s="52" t="str">
        <f>+IF('Data Pura Costos'!H1449="","",'Data Pura Costos'!H1449)</f>
        <v/>
      </c>
      <c r="I1449" s="71" t="str">
        <f>+IF('Data Pura Costos'!I1449="","",'Data Pura Costos'!I1449)</f>
        <v/>
      </c>
      <c r="J1449" s="52" t="str">
        <f>+IF('Data Pura Costos'!J1449="","",'Data Pura Costos'!J1449)</f>
        <v/>
      </c>
      <c r="K1449" s="82" t="str">
        <f t="shared" si="27"/>
        <v/>
      </c>
    </row>
    <row r="1450" spans="2:11" x14ac:dyDescent="0.35">
      <c r="B1450" s="4" t="str">
        <f>+IF('Data Pura Costos'!B1450="","",'Data Pura Costos'!B1450)</f>
        <v/>
      </c>
      <c r="C1450" s="4" t="str">
        <f>+IF('Data Pura Costos'!C1450="","",'Data Pura Costos'!C1450)</f>
        <v/>
      </c>
      <c r="D1450" s="5" t="str">
        <f>+IF('Data Pura Costos'!D1450="","",'Data Pura Costos'!D1450)</f>
        <v/>
      </c>
      <c r="E1450" s="65" t="str">
        <f>+IF('Data Pura Costos'!E1450="","",IF('Data Pura Costos'!E1450=0,MAX('Data Pura Costos'!$E$7:$E$3000)*1000,'Data Pura Costos'!E1450))</f>
        <v/>
      </c>
      <c r="F1450" s="5" t="str">
        <f>+IF('Data Pura Costos'!F1450="","",'Data Pura Costos'!F1450)</f>
        <v/>
      </c>
      <c r="G1450" s="5" t="str">
        <f>+IF('Data Pura Costos'!G1450="","",'Data Pura Costos'!G1450)</f>
        <v/>
      </c>
      <c r="H1450" s="52" t="str">
        <f>+IF('Data Pura Costos'!H1450="","",'Data Pura Costos'!H1450)</f>
        <v/>
      </c>
      <c r="I1450" s="71" t="str">
        <f>+IF('Data Pura Costos'!I1450="","",'Data Pura Costos'!I1450)</f>
        <v/>
      </c>
      <c r="J1450" s="52" t="str">
        <f>+IF('Data Pura Costos'!J1450="","",'Data Pura Costos'!J1450)</f>
        <v/>
      </c>
      <c r="K1450" s="82" t="str">
        <f t="shared" si="27"/>
        <v/>
      </c>
    </row>
    <row r="1451" spans="2:11" x14ac:dyDescent="0.35">
      <c r="B1451" s="4" t="str">
        <f>+IF('Data Pura Costos'!B1451="","",'Data Pura Costos'!B1451)</f>
        <v/>
      </c>
      <c r="C1451" s="4" t="str">
        <f>+IF('Data Pura Costos'!C1451="","",'Data Pura Costos'!C1451)</f>
        <v/>
      </c>
      <c r="D1451" s="5" t="str">
        <f>+IF('Data Pura Costos'!D1451="","",'Data Pura Costos'!D1451)</f>
        <v/>
      </c>
      <c r="E1451" s="65" t="str">
        <f>+IF('Data Pura Costos'!E1451="","",IF('Data Pura Costos'!E1451=0,MAX('Data Pura Costos'!$E$7:$E$3000)*1000,'Data Pura Costos'!E1451))</f>
        <v/>
      </c>
      <c r="F1451" s="5" t="str">
        <f>+IF('Data Pura Costos'!F1451="","",'Data Pura Costos'!F1451)</f>
        <v/>
      </c>
      <c r="G1451" s="5" t="str">
        <f>+IF('Data Pura Costos'!G1451="","",'Data Pura Costos'!G1451)</f>
        <v/>
      </c>
      <c r="H1451" s="52" t="str">
        <f>+IF('Data Pura Costos'!H1451="","",'Data Pura Costos'!H1451)</f>
        <v/>
      </c>
      <c r="I1451" s="71" t="str">
        <f>+IF('Data Pura Costos'!I1451="","",'Data Pura Costos'!I1451)</f>
        <v/>
      </c>
      <c r="J1451" s="52" t="str">
        <f>+IF('Data Pura Costos'!J1451="","",'Data Pura Costos'!J1451)</f>
        <v/>
      </c>
      <c r="K1451" s="82" t="str">
        <f t="shared" si="27"/>
        <v/>
      </c>
    </row>
    <row r="1452" spans="2:11" x14ac:dyDescent="0.35">
      <c r="B1452" s="4" t="str">
        <f>+IF('Data Pura Costos'!B1452="","",'Data Pura Costos'!B1452)</f>
        <v/>
      </c>
      <c r="C1452" s="4" t="str">
        <f>+IF('Data Pura Costos'!C1452="","",'Data Pura Costos'!C1452)</f>
        <v/>
      </c>
      <c r="D1452" s="5" t="str">
        <f>+IF('Data Pura Costos'!D1452="","",'Data Pura Costos'!D1452)</f>
        <v/>
      </c>
      <c r="E1452" s="65" t="str">
        <f>+IF('Data Pura Costos'!E1452="","",IF('Data Pura Costos'!E1452=0,MAX('Data Pura Costos'!$E$7:$E$3000)*1000,'Data Pura Costos'!E1452))</f>
        <v/>
      </c>
      <c r="F1452" s="5" t="str">
        <f>+IF('Data Pura Costos'!F1452="","",'Data Pura Costos'!F1452)</f>
        <v/>
      </c>
      <c r="G1452" s="5" t="str">
        <f>+IF('Data Pura Costos'!G1452="","",'Data Pura Costos'!G1452)</f>
        <v/>
      </c>
      <c r="H1452" s="52" t="str">
        <f>+IF('Data Pura Costos'!H1452="","",'Data Pura Costos'!H1452)</f>
        <v/>
      </c>
      <c r="I1452" s="71" t="str">
        <f>+IF('Data Pura Costos'!I1452="","",'Data Pura Costos'!I1452)</f>
        <v/>
      </c>
      <c r="J1452" s="52" t="str">
        <f>+IF('Data Pura Costos'!J1452="","",'Data Pura Costos'!J1452)</f>
        <v/>
      </c>
      <c r="K1452" s="82" t="str">
        <f t="shared" si="27"/>
        <v/>
      </c>
    </row>
    <row r="1453" spans="2:11" x14ac:dyDescent="0.35">
      <c r="B1453" s="4" t="str">
        <f>+IF('Data Pura Costos'!B1453="","",'Data Pura Costos'!B1453)</f>
        <v/>
      </c>
      <c r="C1453" s="4" t="str">
        <f>+IF('Data Pura Costos'!C1453="","",'Data Pura Costos'!C1453)</f>
        <v/>
      </c>
      <c r="D1453" s="5" t="str">
        <f>+IF('Data Pura Costos'!D1453="","",'Data Pura Costos'!D1453)</f>
        <v/>
      </c>
      <c r="E1453" s="65" t="str">
        <f>+IF('Data Pura Costos'!E1453="","",IF('Data Pura Costos'!E1453=0,MAX('Data Pura Costos'!$E$7:$E$3000)*1000,'Data Pura Costos'!E1453))</f>
        <v/>
      </c>
      <c r="F1453" s="5" t="str">
        <f>+IF('Data Pura Costos'!F1453="","",'Data Pura Costos'!F1453)</f>
        <v/>
      </c>
      <c r="G1453" s="5" t="str">
        <f>+IF('Data Pura Costos'!G1453="","",'Data Pura Costos'!G1453)</f>
        <v/>
      </c>
      <c r="H1453" s="52" t="str">
        <f>+IF('Data Pura Costos'!H1453="","",'Data Pura Costos'!H1453)</f>
        <v/>
      </c>
      <c r="I1453" s="71" t="str">
        <f>+IF('Data Pura Costos'!I1453="","",'Data Pura Costos'!I1453)</f>
        <v/>
      </c>
      <c r="J1453" s="52" t="str">
        <f>+IF('Data Pura Costos'!J1453="","",'Data Pura Costos'!J1453)</f>
        <v/>
      </c>
      <c r="K1453" s="82" t="str">
        <f t="shared" si="27"/>
        <v/>
      </c>
    </row>
    <row r="1454" spans="2:11" x14ac:dyDescent="0.35">
      <c r="B1454" s="4" t="str">
        <f>+IF('Data Pura Costos'!B1454="","",'Data Pura Costos'!B1454)</f>
        <v/>
      </c>
      <c r="C1454" s="4" t="str">
        <f>+IF('Data Pura Costos'!C1454="","",'Data Pura Costos'!C1454)</f>
        <v/>
      </c>
      <c r="D1454" s="5" t="str">
        <f>+IF('Data Pura Costos'!D1454="","",'Data Pura Costos'!D1454)</f>
        <v/>
      </c>
      <c r="E1454" s="65" t="str">
        <f>+IF('Data Pura Costos'!E1454="","",IF('Data Pura Costos'!E1454=0,MAX('Data Pura Costos'!$E$7:$E$3000)*1000,'Data Pura Costos'!E1454))</f>
        <v/>
      </c>
      <c r="F1454" s="5" t="str">
        <f>+IF('Data Pura Costos'!F1454="","",'Data Pura Costos'!F1454)</f>
        <v/>
      </c>
      <c r="G1454" s="5" t="str">
        <f>+IF('Data Pura Costos'!G1454="","",'Data Pura Costos'!G1454)</f>
        <v/>
      </c>
      <c r="H1454" s="52" t="str">
        <f>+IF('Data Pura Costos'!H1454="","",'Data Pura Costos'!H1454)</f>
        <v/>
      </c>
      <c r="I1454" s="71" t="str">
        <f>+IF('Data Pura Costos'!I1454="","",'Data Pura Costos'!I1454)</f>
        <v/>
      </c>
      <c r="J1454" s="52" t="str">
        <f>+IF('Data Pura Costos'!J1454="","",'Data Pura Costos'!J1454)</f>
        <v/>
      </c>
      <c r="K1454" s="82" t="str">
        <f t="shared" si="27"/>
        <v/>
      </c>
    </row>
    <row r="1455" spans="2:11" x14ac:dyDescent="0.35">
      <c r="B1455" s="4" t="str">
        <f>+IF('Data Pura Costos'!B1455="","",'Data Pura Costos'!B1455)</f>
        <v/>
      </c>
      <c r="C1455" s="4" t="str">
        <f>+IF('Data Pura Costos'!C1455="","",'Data Pura Costos'!C1455)</f>
        <v/>
      </c>
      <c r="D1455" s="5" t="str">
        <f>+IF('Data Pura Costos'!D1455="","",'Data Pura Costos'!D1455)</f>
        <v/>
      </c>
      <c r="E1455" s="65" t="str">
        <f>+IF('Data Pura Costos'!E1455="","",IF('Data Pura Costos'!E1455=0,MAX('Data Pura Costos'!$E$7:$E$3000)*1000,'Data Pura Costos'!E1455))</f>
        <v/>
      </c>
      <c r="F1455" s="5" t="str">
        <f>+IF('Data Pura Costos'!F1455="","",'Data Pura Costos'!F1455)</f>
        <v/>
      </c>
      <c r="G1455" s="5" t="str">
        <f>+IF('Data Pura Costos'!G1455="","",'Data Pura Costos'!G1455)</f>
        <v/>
      </c>
      <c r="H1455" s="52" t="str">
        <f>+IF('Data Pura Costos'!H1455="","",'Data Pura Costos'!H1455)</f>
        <v/>
      </c>
      <c r="I1455" s="71" t="str">
        <f>+IF('Data Pura Costos'!I1455="","",'Data Pura Costos'!I1455)</f>
        <v/>
      </c>
      <c r="J1455" s="52" t="str">
        <f>+IF('Data Pura Costos'!J1455="","",'Data Pura Costos'!J1455)</f>
        <v/>
      </c>
      <c r="K1455" s="82" t="str">
        <f t="shared" si="27"/>
        <v/>
      </c>
    </row>
    <row r="1456" spans="2:11" x14ac:dyDescent="0.35">
      <c r="B1456" s="4" t="str">
        <f>+IF('Data Pura Costos'!B1456="","",'Data Pura Costos'!B1456)</f>
        <v/>
      </c>
      <c r="C1456" s="4" t="str">
        <f>+IF('Data Pura Costos'!C1456="","",'Data Pura Costos'!C1456)</f>
        <v/>
      </c>
      <c r="D1456" s="5" t="str">
        <f>+IF('Data Pura Costos'!D1456="","",'Data Pura Costos'!D1456)</f>
        <v/>
      </c>
      <c r="E1456" s="65" t="str">
        <f>+IF('Data Pura Costos'!E1456="","",IF('Data Pura Costos'!E1456=0,MAX('Data Pura Costos'!$E$7:$E$3000)*1000,'Data Pura Costos'!E1456))</f>
        <v/>
      </c>
      <c r="F1456" s="5" t="str">
        <f>+IF('Data Pura Costos'!F1456="","",'Data Pura Costos'!F1456)</f>
        <v/>
      </c>
      <c r="G1456" s="5" t="str">
        <f>+IF('Data Pura Costos'!G1456="","",'Data Pura Costos'!G1456)</f>
        <v/>
      </c>
      <c r="H1456" s="52" t="str">
        <f>+IF('Data Pura Costos'!H1456="","",'Data Pura Costos'!H1456)</f>
        <v/>
      </c>
      <c r="I1456" s="71" t="str">
        <f>+IF('Data Pura Costos'!I1456="","",'Data Pura Costos'!I1456)</f>
        <v/>
      </c>
      <c r="J1456" s="52" t="str">
        <f>+IF('Data Pura Costos'!J1456="","",'Data Pura Costos'!J1456)</f>
        <v/>
      </c>
      <c r="K1456" s="82" t="str">
        <f t="shared" si="27"/>
        <v/>
      </c>
    </row>
    <row r="1457" spans="2:11" x14ac:dyDescent="0.35">
      <c r="B1457" s="4" t="str">
        <f>+IF('Data Pura Costos'!B1457="","",'Data Pura Costos'!B1457)</f>
        <v/>
      </c>
      <c r="C1457" s="4" t="str">
        <f>+IF('Data Pura Costos'!C1457="","",'Data Pura Costos'!C1457)</f>
        <v/>
      </c>
      <c r="D1457" s="5" t="str">
        <f>+IF('Data Pura Costos'!D1457="","",'Data Pura Costos'!D1457)</f>
        <v/>
      </c>
      <c r="E1457" s="65" t="str">
        <f>+IF('Data Pura Costos'!E1457="","",IF('Data Pura Costos'!E1457=0,MAX('Data Pura Costos'!$E$7:$E$3000)*1000,'Data Pura Costos'!E1457))</f>
        <v/>
      </c>
      <c r="F1457" s="5" t="str">
        <f>+IF('Data Pura Costos'!F1457="","",'Data Pura Costos'!F1457)</f>
        <v/>
      </c>
      <c r="G1457" s="5" t="str">
        <f>+IF('Data Pura Costos'!G1457="","",'Data Pura Costos'!G1457)</f>
        <v/>
      </c>
      <c r="H1457" s="52" t="str">
        <f>+IF('Data Pura Costos'!H1457="","",'Data Pura Costos'!H1457)</f>
        <v/>
      </c>
      <c r="I1457" s="71" t="str">
        <f>+IF('Data Pura Costos'!I1457="","",'Data Pura Costos'!I1457)</f>
        <v/>
      </c>
      <c r="J1457" s="52" t="str">
        <f>+IF('Data Pura Costos'!J1457="","",'Data Pura Costos'!J1457)</f>
        <v/>
      </c>
      <c r="K1457" s="82" t="str">
        <f t="shared" si="27"/>
        <v/>
      </c>
    </row>
    <row r="1458" spans="2:11" x14ac:dyDescent="0.35">
      <c r="B1458" s="4" t="str">
        <f>+IF('Data Pura Costos'!B1458="","",'Data Pura Costos'!B1458)</f>
        <v/>
      </c>
      <c r="C1458" s="4" t="str">
        <f>+IF('Data Pura Costos'!C1458="","",'Data Pura Costos'!C1458)</f>
        <v/>
      </c>
      <c r="D1458" s="5" t="str">
        <f>+IF('Data Pura Costos'!D1458="","",'Data Pura Costos'!D1458)</f>
        <v/>
      </c>
      <c r="E1458" s="65" t="str">
        <f>+IF('Data Pura Costos'!E1458="","",IF('Data Pura Costos'!E1458=0,MAX('Data Pura Costos'!$E$7:$E$3000)*1000,'Data Pura Costos'!E1458))</f>
        <v/>
      </c>
      <c r="F1458" s="5" t="str">
        <f>+IF('Data Pura Costos'!F1458="","",'Data Pura Costos'!F1458)</f>
        <v/>
      </c>
      <c r="G1458" s="5" t="str">
        <f>+IF('Data Pura Costos'!G1458="","",'Data Pura Costos'!G1458)</f>
        <v/>
      </c>
      <c r="H1458" s="52" t="str">
        <f>+IF('Data Pura Costos'!H1458="","",'Data Pura Costos'!H1458)</f>
        <v/>
      </c>
      <c r="I1458" s="71" t="str">
        <f>+IF('Data Pura Costos'!I1458="","",'Data Pura Costos'!I1458)</f>
        <v/>
      </c>
      <c r="J1458" s="52" t="str">
        <f>+IF('Data Pura Costos'!J1458="","",'Data Pura Costos'!J1458)</f>
        <v/>
      </c>
      <c r="K1458" s="82" t="str">
        <f t="shared" si="27"/>
        <v/>
      </c>
    </row>
    <row r="1459" spans="2:11" x14ac:dyDescent="0.35">
      <c r="B1459" s="4" t="str">
        <f>+IF('Data Pura Costos'!B1459="","",'Data Pura Costos'!B1459)</f>
        <v/>
      </c>
      <c r="C1459" s="4" t="str">
        <f>+IF('Data Pura Costos'!C1459="","",'Data Pura Costos'!C1459)</f>
        <v/>
      </c>
      <c r="D1459" s="5" t="str">
        <f>+IF('Data Pura Costos'!D1459="","",'Data Pura Costos'!D1459)</f>
        <v/>
      </c>
      <c r="E1459" s="65" t="str">
        <f>+IF('Data Pura Costos'!E1459="","",IF('Data Pura Costos'!E1459=0,MAX('Data Pura Costos'!$E$7:$E$3000)*1000,'Data Pura Costos'!E1459))</f>
        <v/>
      </c>
      <c r="F1459" s="5" t="str">
        <f>+IF('Data Pura Costos'!F1459="","",'Data Pura Costos'!F1459)</f>
        <v/>
      </c>
      <c r="G1459" s="5" t="str">
        <f>+IF('Data Pura Costos'!G1459="","",'Data Pura Costos'!G1459)</f>
        <v/>
      </c>
      <c r="H1459" s="52" t="str">
        <f>+IF('Data Pura Costos'!H1459="","",'Data Pura Costos'!H1459)</f>
        <v/>
      </c>
      <c r="I1459" s="71" t="str">
        <f>+IF('Data Pura Costos'!I1459="","",'Data Pura Costos'!I1459)</f>
        <v/>
      </c>
      <c r="J1459" s="52" t="str">
        <f>+IF('Data Pura Costos'!J1459="","",'Data Pura Costos'!J1459)</f>
        <v/>
      </c>
      <c r="K1459" s="82" t="str">
        <f t="shared" si="27"/>
        <v/>
      </c>
    </row>
    <row r="1460" spans="2:11" x14ac:dyDescent="0.35">
      <c r="B1460" s="4" t="str">
        <f>+IF('Data Pura Costos'!B1460="","",'Data Pura Costos'!B1460)</f>
        <v/>
      </c>
      <c r="C1460" s="4" t="str">
        <f>+IF('Data Pura Costos'!C1460="","",'Data Pura Costos'!C1460)</f>
        <v/>
      </c>
      <c r="D1460" s="5" t="str">
        <f>+IF('Data Pura Costos'!D1460="","",'Data Pura Costos'!D1460)</f>
        <v/>
      </c>
      <c r="E1460" s="65" t="str">
        <f>+IF('Data Pura Costos'!E1460="","",IF('Data Pura Costos'!E1460=0,MAX('Data Pura Costos'!$E$7:$E$3000)*1000,'Data Pura Costos'!E1460))</f>
        <v/>
      </c>
      <c r="F1460" s="5" t="str">
        <f>+IF('Data Pura Costos'!F1460="","",'Data Pura Costos'!F1460)</f>
        <v/>
      </c>
      <c r="G1460" s="5" t="str">
        <f>+IF('Data Pura Costos'!G1460="","",'Data Pura Costos'!G1460)</f>
        <v/>
      </c>
      <c r="H1460" s="52" t="str">
        <f>+IF('Data Pura Costos'!H1460="","",'Data Pura Costos'!H1460)</f>
        <v/>
      </c>
      <c r="I1460" s="71" t="str">
        <f>+IF('Data Pura Costos'!I1460="","",'Data Pura Costos'!I1460)</f>
        <v/>
      </c>
      <c r="J1460" s="52" t="str">
        <f>+IF('Data Pura Costos'!J1460="","",'Data Pura Costos'!J1460)</f>
        <v/>
      </c>
      <c r="K1460" s="82" t="str">
        <f t="shared" si="27"/>
        <v/>
      </c>
    </row>
    <row r="1461" spans="2:11" x14ac:dyDescent="0.35">
      <c r="B1461" s="4" t="str">
        <f>+IF('Data Pura Costos'!B1461="","",'Data Pura Costos'!B1461)</f>
        <v/>
      </c>
      <c r="C1461" s="4" t="str">
        <f>+IF('Data Pura Costos'!C1461="","",'Data Pura Costos'!C1461)</f>
        <v/>
      </c>
      <c r="D1461" s="5" t="str">
        <f>+IF('Data Pura Costos'!D1461="","",'Data Pura Costos'!D1461)</f>
        <v/>
      </c>
      <c r="E1461" s="65" t="str">
        <f>+IF('Data Pura Costos'!E1461="","",IF('Data Pura Costos'!E1461=0,MAX('Data Pura Costos'!$E$7:$E$3000)*1000,'Data Pura Costos'!E1461))</f>
        <v/>
      </c>
      <c r="F1461" s="5" t="str">
        <f>+IF('Data Pura Costos'!F1461="","",'Data Pura Costos'!F1461)</f>
        <v/>
      </c>
      <c r="G1461" s="5" t="str">
        <f>+IF('Data Pura Costos'!G1461="","",'Data Pura Costos'!G1461)</f>
        <v/>
      </c>
      <c r="H1461" s="52" t="str">
        <f>+IF('Data Pura Costos'!H1461="","",'Data Pura Costos'!H1461)</f>
        <v/>
      </c>
      <c r="I1461" s="71" t="str">
        <f>+IF('Data Pura Costos'!I1461="","",'Data Pura Costos'!I1461)</f>
        <v/>
      </c>
      <c r="J1461" s="52" t="str">
        <f>+IF('Data Pura Costos'!J1461="","",'Data Pura Costos'!J1461)</f>
        <v/>
      </c>
      <c r="K1461" s="82" t="str">
        <f t="shared" si="27"/>
        <v/>
      </c>
    </row>
    <row r="1462" spans="2:11" x14ac:dyDescent="0.35">
      <c r="B1462" s="4" t="str">
        <f>+IF('Data Pura Costos'!B1462="","",'Data Pura Costos'!B1462)</f>
        <v/>
      </c>
      <c r="C1462" s="4" t="str">
        <f>+IF('Data Pura Costos'!C1462="","",'Data Pura Costos'!C1462)</f>
        <v/>
      </c>
      <c r="D1462" s="5" t="str">
        <f>+IF('Data Pura Costos'!D1462="","",'Data Pura Costos'!D1462)</f>
        <v/>
      </c>
      <c r="E1462" s="65" t="str">
        <f>+IF('Data Pura Costos'!E1462="","",IF('Data Pura Costos'!E1462=0,MAX('Data Pura Costos'!$E$7:$E$3000)*1000,'Data Pura Costos'!E1462))</f>
        <v/>
      </c>
      <c r="F1462" s="5" t="str">
        <f>+IF('Data Pura Costos'!F1462="","",'Data Pura Costos'!F1462)</f>
        <v/>
      </c>
      <c r="G1462" s="5" t="str">
        <f>+IF('Data Pura Costos'!G1462="","",'Data Pura Costos'!G1462)</f>
        <v/>
      </c>
      <c r="H1462" s="52" t="str">
        <f>+IF('Data Pura Costos'!H1462="","",'Data Pura Costos'!H1462)</f>
        <v/>
      </c>
      <c r="I1462" s="71" t="str">
        <f>+IF('Data Pura Costos'!I1462="","",'Data Pura Costos'!I1462)</f>
        <v/>
      </c>
      <c r="J1462" s="52" t="str">
        <f>+IF('Data Pura Costos'!J1462="","",'Data Pura Costos'!J1462)</f>
        <v/>
      </c>
      <c r="K1462" s="82" t="str">
        <f t="shared" si="27"/>
        <v/>
      </c>
    </row>
    <row r="1463" spans="2:11" x14ac:dyDescent="0.35">
      <c r="B1463" s="4" t="str">
        <f>+IF('Data Pura Costos'!B1463="","",'Data Pura Costos'!B1463)</f>
        <v/>
      </c>
      <c r="C1463" s="4" t="str">
        <f>+IF('Data Pura Costos'!C1463="","",'Data Pura Costos'!C1463)</f>
        <v/>
      </c>
      <c r="D1463" s="5" t="str">
        <f>+IF('Data Pura Costos'!D1463="","",'Data Pura Costos'!D1463)</f>
        <v/>
      </c>
      <c r="E1463" s="65" t="str">
        <f>+IF('Data Pura Costos'!E1463="","",IF('Data Pura Costos'!E1463=0,MAX('Data Pura Costos'!$E$7:$E$3000)*1000,'Data Pura Costos'!E1463))</f>
        <v/>
      </c>
      <c r="F1463" s="5" t="str">
        <f>+IF('Data Pura Costos'!F1463="","",'Data Pura Costos'!F1463)</f>
        <v/>
      </c>
      <c r="G1463" s="5" t="str">
        <f>+IF('Data Pura Costos'!G1463="","",'Data Pura Costos'!G1463)</f>
        <v/>
      </c>
      <c r="H1463" s="52" t="str">
        <f>+IF('Data Pura Costos'!H1463="","",'Data Pura Costos'!H1463)</f>
        <v/>
      </c>
      <c r="I1463" s="71" t="str">
        <f>+IF('Data Pura Costos'!I1463="","",'Data Pura Costos'!I1463)</f>
        <v/>
      </c>
      <c r="J1463" s="52" t="str">
        <f>+IF('Data Pura Costos'!J1463="","",'Data Pura Costos'!J1463)</f>
        <v/>
      </c>
      <c r="K1463" s="82" t="str">
        <f t="shared" si="27"/>
        <v/>
      </c>
    </row>
    <row r="1464" spans="2:11" x14ac:dyDescent="0.35">
      <c r="B1464" s="4" t="str">
        <f>+IF('Data Pura Costos'!B1464="","",'Data Pura Costos'!B1464)</f>
        <v/>
      </c>
      <c r="C1464" s="4" t="str">
        <f>+IF('Data Pura Costos'!C1464="","",'Data Pura Costos'!C1464)</f>
        <v/>
      </c>
      <c r="D1464" s="5" t="str">
        <f>+IF('Data Pura Costos'!D1464="","",'Data Pura Costos'!D1464)</f>
        <v/>
      </c>
      <c r="E1464" s="65" t="str">
        <f>+IF('Data Pura Costos'!E1464="","",IF('Data Pura Costos'!E1464=0,MAX('Data Pura Costos'!$E$7:$E$3000)*1000,'Data Pura Costos'!E1464))</f>
        <v/>
      </c>
      <c r="F1464" s="5" t="str">
        <f>+IF('Data Pura Costos'!F1464="","",'Data Pura Costos'!F1464)</f>
        <v/>
      </c>
      <c r="G1464" s="5" t="str">
        <f>+IF('Data Pura Costos'!G1464="","",'Data Pura Costos'!G1464)</f>
        <v/>
      </c>
      <c r="H1464" s="52" t="str">
        <f>+IF('Data Pura Costos'!H1464="","",'Data Pura Costos'!H1464)</f>
        <v/>
      </c>
      <c r="I1464" s="71" t="str">
        <f>+IF('Data Pura Costos'!I1464="","",'Data Pura Costos'!I1464)</f>
        <v/>
      </c>
      <c r="J1464" s="52" t="str">
        <f>+IF('Data Pura Costos'!J1464="","",'Data Pura Costos'!J1464)</f>
        <v/>
      </c>
      <c r="K1464" s="82" t="str">
        <f t="shared" si="27"/>
        <v/>
      </c>
    </row>
    <row r="1465" spans="2:11" x14ac:dyDescent="0.35">
      <c r="B1465" s="4" t="str">
        <f>+IF('Data Pura Costos'!B1465="","",'Data Pura Costos'!B1465)</f>
        <v/>
      </c>
      <c r="C1465" s="4" t="str">
        <f>+IF('Data Pura Costos'!C1465="","",'Data Pura Costos'!C1465)</f>
        <v/>
      </c>
      <c r="D1465" s="5" t="str">
        <f>+IF('Data Pura Costos'!D1465="","",'Data Pura Costos'!D1465)</f>
        <v/>
      </c>
      <c r="E1465" s="65" t="str">
        <f>+IF('Data Pura Costos'!E1465="","",IF('Data Pura Costos'!E1465=0,MAX('Data Pura Costos'!$E$7:$E$3000)*1000,'Data Pura Costos'!E1465))</f>
        <v/>
      </c>
      <c r="F1465" s="5" t="str">
        <f>+IF('Data Pura Costos'!F1465="","",'Data Pura Costos'!F1465)</f>
        <v/>
      </c>
      <c r="G1465" s="5" t="str">
        <f>+IF('Data Pura Costos'!G1465="","",'Data Pura Costos'!G1465)</f>
        <v/>
      </c>
      <c r="H1465" s="52" t="str">
        <f>+IF('Data Pura Costos'!H1465="","",'Data Pura Costos'!H1465)</f>
        <v/>
      </c>
      <c r="I1465" s="71" t="str">
        <f>+IF('Data Pura Costos'!I1465="","",'Data Pura Costos'!I1465)</f>
        <v/>
      </c>
      <c r="J1465" s="52" t="str">
        <f>+IF('Data Pura Costos'!J1465="","",'Data Pura Costos'!J1465)</f>
        <v/>
      </c>
      <c r="K1465" s="82" t="str">
        <f t="shared" si="27"/>
        <v/>
      </c>
    </row>
    <row r="1466" spans="2:11" x14ac:dyDescent="0.35">
      <c r="B1466" s="4" t="str">
        <f>+IF('Data Pura Costos'!B1466="","",'Data Pura Costos'!B1466)</f>
        <v/>
      </c>
      <c r="C1466" s="4" t="str">
        <f>+IF('Data Pura Costos'!C1466="","",'Data Pura Costos'!C1466)</f>
        <v/>
      </c>
      <c r="D1466" s="5" t="str">
        <f>+IF('Data Pura Costos'!D1466="","",'Data Pura Costos'!D1466)</f>
        <v/>
      </c>
      <c r="E1466" s="65" t="str">
        <f>+IF('Data Pura Costos'!E1466="","",IF('Data Pura Costos'!E1466=0,MAX('Data Pura Costos'!$E$7:$E$3000)*1000,'Data Pura Costos'!E1466))</f>
        <v/>
      </c>
      <c r="F1466" s="5" t="str">
        <f>+IF('Data Pura Costos'!F1466="","",'Data Pura Costos'!F1466)</f>
        <v/>
      </c>
      <c r="G1466" s="5" t="str">
        <f>+IF('Data Pura Costos'!G1466="","",'Data Pura Costos'!G1466)</f>
        <v/>
      </c>
      <c r="H1466" s="52" t="str">
        <f>+IF('Data Pura Costos'!H1466="","",'Data Pura Costos'!H1466)</f>
        <v/>
      </c>
      <c r="I1466" s="71" t="str">
        <f>+IF('Data Pura Costos'!I1466="","",'Data Pura Costos'!I1466)</f>
        <v/>
      </c>
      <c r="J1466" s="52" t="str">
        <f>+IF('Data Pura Costos'!J1466="","",'Data Pura Costos'!J1466)</f>
        <v/>
      </c>
      <c r="K1466" s="82" t="str">
        <f t="shared" si="27"/>
        <v/>
      </c>
    </row>
    <row r="1467" spans="2:11" x14ac:dyDescent="0.35">
      <c r="B1467" s="4" t="str">
        <f>+IF('Data Pura Costos'!B1467="","",'Data Pura Costos'!B1467)</f>
        <v/>
      </c>
      <c r="C1467" s="4" t="str">
        <f>+IF('Data Pura Costos'!C1467="","",'Data Pura Costos'!C1467)</f>
        <v/>
      </c>
      <c r="D1467" s="5" t="str">
        <f>+IF('Data Pura Costos'!D1467="","",'Data Pura Costos'!D1467)</f>
        <v/>
      </c>
      <c r="E1467" s="65" t="str">
        <f>+IF('Data Pura Costos'!E1467="","",IF('Data Pura Costos'!E1467=0,MAX('Data Pura Costos'!$E$7:$E$3000)*1000,'Data Pura Costos'!E1467))</f>
        <v/>
      </c>
      <c r="F1467" s="5" t="str">
        <f>+IF('Data Pura Costos'!F1467="","",'Data Pura Costos'!F1467)</f>
        <v/>
      </c>
      <c r="G1467" s="5" t="str">
        <f>+IF('Data Pura Costos'!G1467="","",'Data Pura Costos'!G1467)</f>
        <v/>
      </c>
      <c r="H1467" s="52" t="str">
        <f>+IF('Data Pura Costos'!H1467="","",'Data Pura Costos'!H1467)</f>
        <v/>
      </c>
      <c r="I1467" s="71" t="str">
        <f>+IF('Data Pura Costos'!I1467="","",'Data Pura Costos'!I1467)</f>
        <v/>
      </c>
      <c r="J1467" s="52" t="str">
        <f>+IF('Data Pura Costos'!J1467="","",'Data Pura Costos'!J1467)</f>
        <v/>
      </c>
      <c r="K1467" s="82" t="str">
        <f t="shared" si="27"/>
        <v/>
      </c>
    </row>
    <row r="1468" spans="2:11" x14ac:dyDescent="0.35">
      <c r="B1468" s="4" t="str">
        <f>+IF('Data Pura Costos'!B1468="","",'Data Pura Costos'!B1468)</f>
        <v/>
      </c>
      <c r="C1468" s="4" t="str">
        <f>+IF('Data Pura Costos'!C1468="","",'Data Pura Costos'!C1468)</f>
        <v/>
      </c>
      <c r="D1468" s="5" t="str">
        <f>+IF('Data Pura Costos'!D1468="","",'Data Pura Costos'!D1468)</f>
        <v/>
      </c>
      <c r="E1468" s="65" t="str">
        <f>+IF('Data Pura Costos'!E1468="","",IF('Data Pura Costos'!E1468=0,MAX('Data Pura Costos'!$E$7:$E$3000)*1000,'Data Pura Costos'!E1468))</f>
        <v/>
      </c>
      <c r="F1468" s="5" t="str">
        <f>+IF('Data Pura Costos'!F1468="","",'Data Pura Costos'!F1468)</f>
        <v/>
      </c>
      <c r="G1468" s="5" t="str">
        <f>+IF('Data Pura Costos'!G1468="","",'Data Pura Costos'!G1468)</f>
        <v/>
      </c>
      <c r="H1468" s="52" t="str">
        <f>+IF('Data Pura Costos'!H1468="","",'Data Pura Costos'!H1468)</f>
        <v/>
      </c>
      <c r="I1468" s="71" t="str">
        <f>+IF('Data Pura Costos'!I1468="","",'Data Pura Costos'!I1468)</f>
        <v/>
      </c>
      <c r="J1468" s="52" t="str">
        <f>+IF('Data Pura Costos'!J1468="","",'Data Pura Costos'!J1468)</f>
        <v/>
      </c>
      <c r="K1468" s="82" t="str">
        <f t="shared" ref="K1468:K1531" si="28">+IF(B1468="","",CONCATENATE(B1468,"-",F1468,"-",G1468))</f>
        <v/>
      </c>
    </row>
    <row r="1469" spans="2:11" x14ac:dyDescent="0.35">
      <c r="B1469" s="4" t="str">
        <f>+IF('Data Pura Costos'!B1469="","",'Data Pura Costos'!B1469)</f>
        <v/>
      </c>
      <c r="C1469" s="4" t="str">
        <f>+IF('Data Pura Costos'!C1469="","",'Data Pura Costos'!C1469)</f>
        <v/>
      </c>
      <c r="D1469" s="5" t="str">
        <f>+IF('Data Pura Costos'!D1469="","",'Data Pura Costos'!D1469)</f>
        <v/>
      </c>
      <c r="E1469" s="65" t="str">
        <f>+IF('Data Pura Costos'!E1469="","",IF('Data Pura Costos'!E1469=0,MAX('Data Pura Costos'!$E$7:$E$3000)*1000,'Data Pura Costos'!E1469))</f>
        <v/>
      </c>
      <c r="F1469" s="5" t="str">
        <f>+IF('Data Pura Costos'!F1469="","",'Data Pura Costos'!F1469)</f>
        <v/>
      </c>
      <c r="G1469" s="5" t="str">
        <f>+IF('Data Pura Costos'!G1469="","",'Data Pura Costos'!G1469)</f>
        <v/>
      </c>
      <c r="H1469" s="52" t="str">
        <f>+IF('Data Pura Costos'!H1469="","",'Data Pura Costos'!H1469)</f>
        <v/>
      </c>
      <c r="I1469" s="71" t="str">
        <f>+IF('Data Pura Costos'!I1469="","",'Data Pura Costos'!I1469)</f>
        <v/>
      </c>
      <c r="J1469" s="52" t="str">
        <f>+IF('Data Pura Costos'!J1469="","",'Data Pura Costos'!J1469)</f>
        <v/>
      </c>
      <c r="K1469" s="82" t="str">
        <f t="shared" si="28"/>
        <v/>
      </c>
    </row>
    <row r="1470" spans="2:11" x14ac:dyDescent="0.35">
      <c r="B1470" s="4" t="str">
        <f>+IF('Data Pura Costos'!B1470="","",'Data Pura Costos'!B1470)</f>
        <v/>
      </c>
      <c r="C1470" s="4" t="str">
        <f>+IF('Data Pura Costos'!C1470="","",'Data Pura Costos'!C1470)</f>
        <v/>
      </c>
      <c r="D1470" s="5" t="str">
        <f>+IF('Data Pura Costos'!D1470="","",'Data Pura Costos'!D1470)</f>
        <v/>
      </c>
      <c r="E1470" s="65" t="str">
        <f>+IF('Data Pura Costos'!E1470="","",IF('Data Pura Costos'!E1470=0,MAX('Data Pura Costos'!$E$7:$E$3000)*1000,'Data Pura Costos'!E1470))</f>
        <v/>
      </c>
      <c r="F1470" s="5" t="str">
        <f>+IF('Data Pura Costos'!F1470="","",'Data Pura Costos'!F1470)</f>
        <v/>
      </c>
      <c r="G1470" s="5" t="str">
        <f>+IF('Data Pura Costos'!G1470="","",'Data Pura Costos'!G1470)</f>
        <v/>
      </c>
      <c r="H1470" s="52" t="str">
        <f>+IF('Data Pura Costos'!H1470="","",'Data Pura Costos'!H1470)</f>
        <v/>
      </c>
      <c r="I1470" s="71" t="str">
        <f>+IF('Data Pura Costos'!I1470="","",'Data Pura Costos'!I1470)</f>
        <v/>
      </c>
      <c r="J1470" s="52" t="str">
        <f>+IF('Data Pura Costos'!J1470="","",'Data Pura Costos'!J1470)</f>
        <v/>
      </c>
      <c r="K1470" s="82" t="str">
        <f t="shared" si="28"/>
        <v/>
      </c>
    </row>
    <row r="1471" spans="2:11" x14ac:dyDescent="0.35">
      <c r="B1471" s="4" t="str">
        <f>+IF('Data Pura Costos'!B1471="","",'Data Pura Costos'!B1471)</f>
        <v/>
      </c>
      <c r="C1471" s="4" t="str">
        <f>+IF('Data Pura Costos'!C1471="","",'Data Pura Costos'!C1471)</f>
        <v/>
      </c>
      <c r="D1471" s="5" t="str">
        <f>+IF('Data Pura Costos'!D1471="","",'Data Pura Costos'!D1471)</f>
        <v/>
      </c>
      <c r="E1471" s="65" t="str">
        <f>+IF('Data Pura Costos'!E1471="","",IF('Data Pura Costos'!E1471=0,MAX('Data Pura Costos'!$E$7:$E$3000)*1000,'Data Pura Costos'!E1471))</f>
        <v/>
      </c>
      <c r="F1471" s="5" t="str">
        <f>+IF('Data Pura Costos'!F1471="","",'Data Pura Costos'!F1471)</f>
        <v/>
      </c>
      <c r="G1471" s="5" t="str">
        <f>+IF('Data Pura Costos'!G1471="","",'Data Pura Costos'!G1471)</f>
        <v/>
      </c>
      <c r="H1471" s="52" t="str">
        <f>+IF('Data Pura Costos'!H1471="","",'Data Pura Costos'!H1471)</f>
        <v/>
      </c>
      <c r="I1471" s="71" t="str">
        <f>+IF('Data Pura Costos'!I1471="","",'Data Pura Costos'!I1471)</f>
        <v/>
      </c>
      <c r="J1471" s="52" t="str">
        <f>+IF('Data Pura Costos'!J1471="","",'Data Pura Costos'!J1471)</f>
        <v/>
      </c>
      <c r="K1471" s="82" t="str">
        <f t="shared" si="28"/>
        <v/>
      </c>
    </row>
    <row r="1472" spans="2:11" x14ac:dyDescent="0.35">
      <c r="B1472" s="4" t="str">
        <f>+IF('Data Pura Costos'!B1472="","",'Data Pura Costos'!B1472)</f>
        <v/>
      </c>
      <c r="C1472" s="4" t="str">
        <f>+IF('Data Pura Costos'!C1472="","",'Data Pura Costos'!C1472)</f>
        <v/>
      </c>
      <c r="D1472" s="5" t="str">
        <f>+IF('Data Pura Costos'!D1472="","",'Data Pura Costos'!D1472)</f>
        <v/>
      </c>
      <c r="E1472" s="65" t="str">
        <f>+IF('Data Pura Costos'!E1472="","",IF('Data Pura Costos'!E1472=0,MAX('Data Pura Costos'!$E$7:$E$3000)*1000,'Data Pura Costos'!E1472))</f>
        <v/>
      </c>
      <c r="F1472" s="5" t="str">
        <f>+IF('Data Pura Costos'!F1472="","",'Data Pura Costos'!F1472)</f>
        <v/>
      </c>
      <c r="G1472" s="5" t="str">
        <f>+IF('Data Pura Costos'!G1472="","",'Data Pura Costos'!G1472)</f>
        <v/>
      </c>
      <c r="H1472" s="52" t="str">
        <f>+IF('Data Pura Costos'!H1472="","",'Data Pura Costos'!H1472)</f>
        <v/>
      </c>
      <c r="I1472" s="71" t="str">
        <f>+IF('Data Pura Costos'!I1472="","",'Data Pura Costos'!I1472)</f>
        <v/>
      </c>
      <c r="J1472" s="52" t="str">
        <f>+IF('Data Pura Costos'!J1472="","",'Data Pura Costos'!J1472)</f>
        <v/>
      </c>
      <c r="K1472" s="82" t="str">
        <f t="shared" si="28"/>
        <v/>
      </c>
    </row>
    <row r="1473" spans="2:11" x14ac:dyDescent="0.35">
      <c r="B1473" s="4" t="str">
        <f>+IF('Data Pura Costos'!B1473="","",'Data Pura Costos'!B1473)</f>
        <v/>
      </c>
      <c r="C1473" s="4" t="str">
        <f>+IF('Data Pura Costos'!C1473="","",'Data Pura Costos'!C1473)</f>
        <v/>
      </c>
      <c r="D1473" s="5" t="str">
        <f>+IF('Data Pura Costos'!D1473="","",'Data Pura Costos'!D1473)</f>
        <v/>
      </c>
      <c r="E1473" s="65" t="str">
        <f>+IF('Data Pura Costos'!E1473="","",IF('Data Pura Costos'!E1473=0,MAX('Data Pura Costos'!$E$7:$E$3000)*1000,'Data Pura Costos'!E1473))</f>
        <v/>
      </c>
      <c r="F1473" s="5" t="str">
        <f>+IF('Data Pura Costos'!F1473="","",'Data Pura Costos'!F1473)</f>
        <v/>
      </c>
      <c r="G1473" s="5" t="str">
        <f>+IF('Data Pura Costos'!G1473="","",'Data Pura Costos'!G1473)</f>
        <v/>
      </c>
      <c r="H1473" s="52" t="str">
        <f>+IF('Data Pura Costos'!H1473="","",'Data Pura Costos'!H1473)</f>
        <v/>
      </c>
      <c r="I1473" s="71" t="str">
        <f>+IF('Data Pura Costos'!I1473="","",'Data Pura Costos'!I1473)</f>
        <v/>
      </c>
      <c r="J1473" s="52" t="str">
        <f>+IF('Data Pura Costos'!J1473="","",'Data Pura Costos'!J1473)</f>
        <v/>
      </c>
      <c r="K1473" s="82" t="str">
        <f t="shared" si="28"/>
        <v/>
      </c>
    </row>
    <row r="1474" spans="2:11" x14ac:dyDescent="0.35">
      <c r="B1474" s="4" t="str">
        <f>+IF('Data Pura Costos'!B1474="","",'Data Pura Costos'!B1474)</f>
        <v/>
      </c>
      <c r="C1474" s="4" t="str">
        <f>+IF('Data Pura Costos'!C1474="","",'Data Pura Costos'!C1474)</f>
        <v/>
      </c>
      <c r="D1474" s="5" t="str">
        <f>+IF('Data Pura Costos'!D1474="","",'Data Pura Costos'!D1474)</f>
        <v/>
      </c>
      <c r="E1474" s="65" t="str">
        <f>+IF('Data Pura Costos'!E1474="","",IF('Data Pura Costos'!E1474=0,MAX('Data Pura Costos'!$E$7:$E$3000)*1000,'Data Pura Costos'!E1474))</f>
        <v/>
      </c>
      <c r="F1474" s="5" t="str">
        <f>+IF('Data Pura Costos'!F1474="","",'Data Pura Costos'!F1474)</f>
        <v/>
      </c>
      <c r="G1474" s="5" t="str">
        <f>+IF('Data Pura Costos'!G1474="","",'Data Pura Costos'!G1474)</f>
        <v/>
      </c>
      <c r="H1474" s="52" t="str">
        <f>+IF('Data Pura Costos'!H1474="","",'Data Pura Costos'!H1474)</f>
        <v/>
      </c>
      <c r="I1474" s="71" t="str">
        <f>+IF('Data Pura Costos'!I1474="","",'Data Pura Costos'!I1474)</f>
        <v/>
      </c>
      <c r="J1474" s="52" t="str">
        <f>+IF('Data Pura Costos'!J1474="","",'Data Pura Costos'!J1474)</f>
        <v/>
      </c>
      <c r="K1474" s="82" t="str">
        <f t="shared" si="28"/>
        <v/>
      </c>
    </row>
    <row r="1475" spans="2:11" x14ac:dyDescent="0.35">
      <c r="B1475" s="4" t="str">
        <f>+IF('Data Pura Costos'!B1475="","",'Data Pura Costos'!B1475)</f>
        <v/>
      </c>
      <c r="C1475" s="4" t="str">
        <f>+IF('Data Pura Costos'!C1475="","",'Data Pura Costos'!C1475)</f>
        <v/>
      </c>
      <c r="D1475" s="5" t="str">
        <f>+IF('Data Pura Costos'!D1475="","",'Data Pura Costos'!D1475)</f>
        <v/>
      </c>
      <c r="E1475" s="65" t="str">
        <f>+IF('Data Pura Costos'!E1475="","",IF('Data Pura Costos'!E1475=0,MAX('Data Pura Costos'!$E$7:$E$3000)*1000,'Data Pura Costos'!E1475))</f>
        <v/>
      </c>
      <c r="F1475" s="5" t="str">
        <f>+IF('Data Pura Costos'!F1475="","",'Data Pura Costos'!F1475)</f>
        <v/>
      </c>
      <c r="G1475" s="5" t="str">
        <f>+IF('Data Pura Costos'!G1475="","",'Data Pura Costos'!G1475)</f>
        <v/>
      </c>
      <c r="H1475" s="52" t="str">
        <f>+IF('Data Pura Costos'!H1475="","",'Data Pura Costos'!H1475)</f>
        <v/>
      </c>
      <c r="I1475" s="71" t="str">
        <f>+IF('Data Pura Costos'!I1475="","",'Data Pura Costos'!I1475)</f>
        <v/>
      </c>
      <c r="J1475" s="52" t="str">
        <f>+IF('Data Pura Costos'!J1475="","",'Data Pura Costos'!J1475)</f>
        <v/>
      </c>
      <c r="K1475" s="82" t="str">
        <f t="shared" si="28"/>
        <v/>
      </c>
    </row>
    <row r="1476" spans="2:11" x14ac:dyDescent="0.35">
      <c r="B1476" s="4" t="str">
        <f>+IF('Data Pura Costos'!B1476="","",'Data Pura Costos'!B1476)</f>
        <v/>
      </c>
      <c r="C1476" s="4" t="str">
        <f>+IF('Data Pura Costos'!C1476="","",'Data Pura Costos'!C1476)</f>
        <v/>
      </c>
      <c r="D1476" s="5" t="str">
        <f>+IF('Data Pura Costos'!D1476="","",'Data Pura Costos'!D1476)</f>
        <v/>
      </c>
      <c r="E1476" s="65" t="str">
        <f>+IF('Data Pura Costos'!E1476="","",IF('Data Pura Costos'!E1476=0,MAX('Data Pura Costos'!$E$7:$E$3000)*1000,'Data Pura Costos'!E1476))</f>
        <v/>
      </c>
      <c r="F1476" s="5" t="str">
        <f>+IF('Data Pura Costos'!F1476="","",'Data Pura Costos'!F1476)</f>
        <v/>
      </c>
      <c r="G1476" s="5" t="str">
        <f>+IF('Data Pura Costos'!G1476="","",'Data Pura Costos'!G1476)</f>
        <v/>
      </c>
      <c r="H1476" s="52" t="str">
        <f>+IF('Data Pura Costos'!H1476="","",'Data Pura Costos'!H1476)</f>
        <v/>
      </c>
      <c r="I1476" s="71" t="str">
        <f>+IF('Data Pura Costos'!I1476="","",'Data Pura Costos'!I1476)</f>
        <v/>
      </c>
      <c r="J1476" s="52" t="str">
        <f>+IF('Data Pura Costos'!J1476="","",'Data Pura Costos'!J1476)</f>
        <v/>
      </c>
      <c r="K1476" s="82" t="str">
        <f t="shared" si="28"/>
        <v/>
      </c>
    </row>
    <row r="1477" spans="2:11" x14ac:dyDescent="0.35">
      <c r="B1477" s="4" t="str">
        <f>+IF('Data Pura Costos'!B1477="","",'Data Pura Costos'!B1477)</f>
        <v/>
      </c>
      <c r="C1477" s="4" t="str">
        <f>+IF('Data Pura Costos'!C1477="","",'Data Pura Costos'!C1477)</f>
        <v/>
      </c>
      <c r="D1477" s="5" t="str">
        <f>+IF('Data Pura Costos'!D1477="","",'Data Pura Costos'!D1477)</f>
        <v/>
      </c>
      <c r="E1477" s="65" t="str">
        <f>+IF('Data Pura Costos'!E1477="","",IF('Data Pura Costos'!E1477=0,MAX('Data Pura Costos'!$E$7:$E$3000)*1000,'Data Pura Costos'!E1477))</f>
        <v/>
      </c>
      <c r="F1477" s="5" t="str">
        <f>+IF('Data Pura Costos'!F1477="","",'Data Pura Costos'!F1477)</f>
        <v/>
      </c>
      <c r="G1477" s="5" t="str">
        <f>+IF('Data Pura Costos'!G1477="","",'Data Pura Costos'!G1477)</f>
        <v/>
      </c>
      <c r="H1477" s="52" t="str">
        <f>+IF('Data Pura Costos'!H1477="","",'Data Pura Costos'!H1477)</f>
        <v/>
      </c>
      <c r="I1477" s="71" t="str">
        <f>+IF('Data Pura Costos'!I1477="","",'Data Pura Costos'!I1477)</f>
        <v/>
      </c>
      <c r="J1477" s="52" t="str">
        <f>+IF('Data Pura Costos'!J1477="","",'Data Pura Costos'!J1477)</f>
        <v/>
      </c>
      <c r="K1477" s="82" t="str">
        <f t="shared" si="28"/>
        <v/>
      </c>
    </row>
    <row r="1478" spans="2:11" x14ac:dyDescent="0.35">
      <c r="B1478" s="4" t="str">
        <f>+IF('Data Pura Costos'!B1478="","",'Data Pura Costos'!B1478)</f>
        <v/>
      </c>
      <c r="C1478" s="4" t="str">
        <f>+IF('Data Pura Costos'!C1478="","",'Data Pura Costos'!C1478)</f>
        <v/>
      </c>
      <c r="D1478" s="5" t="str">
        <f>+IF('Data Pura Costos'!D1478="","",'Data Pura Costos'!D1478)</f>
        <v/>
      </c>
      <c r="E1478" s="65" t="str">
        <f>+IF('Data Pura Costos'!E1478="","",IF('Data Pura Costos'!E1478=0,MAX('Data Pura Costos'!$E$7:$E$3000)*1000,'Data Pura Costos'!E1478))</f>
        <v/>
      </c>
      <c r="F1478" s="5" t="str">
        <f>+IF('Data Pura Costos'!F1478="","",'Data Pura Costos'!F1478)</f>
        <v/>
      </c>
      <c r="G1478" s="5" t="str">
        <f>+IF('Data Pura Costos'!G1478="","",'Data Pura Costos'!G1478)</f>
        <v/>
      </c>
      <c r="H1478" s="52" t="str">
        <f>+IF('Data Pura Costos'!H1478="","",'Data Pura Costos'!H1478)</f>
        <v/>
      </c>
      <c r="I1478" s="71" t="str">
        <f>+IF('Data Pura Costos'!I1478="","",'Data Pura Costos'!I1478)</f>
        <v/>
      </c>
      <c r="J1478" s="52" t="str">
        <f>+IF('Data Pura Costos'!J1478="","",'Data Pura Costos'!J1478)</f>
        <v/>
      </c>
      <c r="K1478" s="82" t="str">
        <f t="shared" si="28"/>
        <v/>
      </c>
    </row>
    <row r="1479" spans="2:11" x14ac:dyDescent="0.35">
      <c r="B1479" s="4" t="str">
        <f>+IF('Data Pura Costos'!B1479="","",'Data Pura Costos'!B1479)</f>
        <v/>
      </c>
      <c r="C1479" s="4" t="str">
        <f>+IF('Data Pura Costos'!C1479="","",'Data Pura Costos'!C1479)</f>
        <v/>
      </c>
      <c r="D1479" s="5" t="str">
        <f>+IF('Data Pura Costos'!D1479="","",'Data Pura Costos'!D1479)</f>
        <v/>
      </c>
      <c r="E1479" s="65" t="str">
        <f>+IF('Data Pura Costos'!E1479="","",IF('Data Pura Costos'!E1479=0,MAX('Data Pura Costos'!$E$7:$E$3000)*1000,'Data Pura Costos'!E1479))</f>
        <v/>
      </c>
      <c r="F1479" s="5" t="str">
        <f>+IF('Data Pura Costos'!F1479="","",'Data Pura Costos'!F1479)</f>
        <v/>
      </c>
      <c r="G1479" s="5" t="str">
        <f>+IF('Data Pura Costos'!G1479="","",'Data Pura Costos'!G1479)</f>
        <v/>
      </c>
      <c r="H1479" s="52" t="str">
        <f>+IF('Data Pura Costos'!H1479="","",'Data Pura Costos'!H1479)</f>
        <v/>
      </c>
      <c r="I1479" s="71" t="str">
        <f>+IF('Data Pura Costos'!I1479="","",'Data Pura Costos'!I1479)</f>
        <v/>
      </c>
      <c r="J1479" s="52" t="str">
        <f>+IF('Data Pura Costos'!J1479="","",'Data Pura Costos'!J1479)</f>
        <v/>
      </c>
      <c r="K1479" s="82" t="str">
        <f t="shared" si="28"/>
        <v/>
      </c>
    </row>
    <row r="1480" spans="2:11" x14ac:dyDescent="0.35">
      <c r="B1480" s="4" t="str">
        <f>+IF('Data Pura Costos'!B1480="","",'Data Pura Costos'!B1480)</f>
        <v/>
      </c>
      <c r="C1480" s="4" t="str">
        <f>+IF('Data Pura Costos'!C1480="","",'Data Pura Costos'!C1480)</f>
        <v/>
      </c>
      <c r="D1480" s="5" t="str">
        <f>+IF('Data Pura Costos'!D1480="","",'Data Pura Costos'!D1480)</f>
        <v/>
      </c>
      <c r="E1480" s="65" t="str">
        <f>+IF('Data Pura Costos'!E1480="","",IF('Data Pura Costos'!E1480=0,MAX('Data Pura Costos'!$E$7:$E$3000)*1000,'Data Pura Costos'!E1480))</f>
        <v/>
      </c>
      <c r="F1480" s="5" t="str">
        <f>+IF('Data Pura Costos'!F1480="","",'Data Pura Costos'!F1480)</f>
        <v/>
      </c>
      <c r="G1480" s="5" t="str">
        <f>+IF('Data Pura Costos'!G1480="","",'Data Pura Costos'!G1480)</f>
        <v/>
      </c>
      <c r="H1480" s="52" t="str">
        <f>+IF('Data Pura Costos'!H1480="","",'Data Pura Costos'!H1480)</f>
        <v/>
      </c>
      <c r="I1480" s="71" t="str">
        <f>+IF('Data Pura Costos'!I1480="","",'Data Pura Costos'!I1480)</f>
        <v/>
      </c>
      <c r="J1480" s="52" t="str">
        <f>+IF('Data Pura Costos'!J1480="","",'Data Pura Costos'!J1480)</f>
        <v/>
      </c>
      <c r="K1480" s="82" t="str">
        <f t="shared" si="28"/>
        <v/>
      </c>
    </row>
    <row r="1481" spans="2:11" x14ac:dyDescent="0.35">
      <c r="B1481" s="4" t="str">
        <f>+IF('Data Pura Costos'!B1481="","",'Data Pura Costos'!B1481)</f>
        <v/>
      </c>
      <c r="C1481" s="4" t="str">
        <f>+IF('Data Pura Costos'!C1481="","",'Data Pura Costos'!C1481)</f>
        <v/>
      </c>
      <c r="D1481" s="5" t="str">
        <f>+IF('Data Pura Costos'!D1481="","",'Data Pura Costos'!D1481)</f>
        <v/>
      </c>
      <c r="E1481" s="65" t="str">
        <f>+IF('Data Pura Costos'!E1481="","",IF('Data Pura Costos'!E1481=0,MAX('Data Pura Costos'!$E$7:$E$3000)*1000,'Data Pura Costos'!E1481))</f>
        <v/>
      </c>
      <c r="F1481" s="5" t="str">
        <f>+IF('Data Pura Costos'!F1481="","",'Data Pura Costos'!F1481)</f>
        <v/>
      </c>
      <c r="G1481" s="5" t="str">
        <f>+IF('Data Pura Costos'!G1481="","",'Data Pura Costos'!G1481)</f>
        <v/>
      </c>
      <c r="H1481" s="52" t="str">
        <f>+IF('Data Pura Costos'!H1481="","",'Data Pura Costos'!H1481)</f>
        <v/>
      </c>
      <c r="I1481" s="71" t="str">
        <f>+IF('Data Pura Costos'!I1481="","",'Data Pura Costos'!I1481)</f>
        <v/>
      </c>
      <c r="J1481" s="52" t="str">
        <f>+IF('Data Pura Costos'!J1481="","",'Data Pura Costos'!J1481)</f>
        <v/>
      </c>
      <c r="K1481" s="82" t="str">
        <f t="shared" si="28"/>
        <v/>
      </c>
    </row>
    <row r="1482" spans="2:11" x14ac:dyDescent="0.35">
      <c r="B1482" s="4" t="str">
        <f>+IF('Data Pura Costos'!B1482="","",'Data Pura Costos'!B1482)</f>
        <v/>
      </c>
      <c r="C1482" s="4" t="str">
        <f>+IF('Data Pura Costos'!C1482="","",'Data Pura Costos'!C1482)</f>
        <v/>
      </c>
      <c r="D1482" s="5" t="str">
        <f>+IF('Data Pura Costos'!D1482="","",'Data Pura Costos'!D1482)</f>
        <v/>
      </c>
      <c r="E1482" s="65" t="str">
        <f>+IF('Data Pura Costos'!E1482="","",IF('Data Pura Costos'!E1482=0,MAX('Data Pura Costos'!$E$7:$E$3000)*1000,'Data Pura Costos'!E1482))</f>
        <v/>
      </c>
      <c r="F1482" s="5" t="str">
        <f>+IF('Data Pura Costos'!F1482="","",'Data Pura Costos'!F1482)</f>
        <v/>
      </c>
      <c r="G1482" s="5" t="str">
        <f>+IF('Data Pura Costos'!G1482="","",'Data Pura Costos'!G1482)</f>
        <v/>
      </c>
      <c r="H1482" s="52" t="str">
        <f>+IF('Data Pura Costos'!H1482="","",'Data Pura Costos'!H1482)</f>
        <v/>
      </c>
      <c r="I1482" s="71" t="str">
        <f>+IF('Data Pura Costos'!I1482="","",'Data Pura Costos'!I1482)</f>
        <v/>
      </c>
      <c r="J1482" s="52" t="str">
        <f>+IF('Data Pura Costos'!J1482="","",'Data Pura Costos'!J1482)</f>
        <v/>
      </c>
      <c r="K1482" s="82" t="str">
        <f t="shared" si="28"/>
        <v/>
      </c>
    </row>
    <row r="1483" spans="2:11" x14ac:dyDescent="0.35">
      <c r="B1483" s="4" t="str">
        <f>+IF('Data Pura Costos'!B1483="","",'Data Pura Costos'!B1483)</f>
        <v/>
      </c>
      <c r="C1483" s="4" t="str">
        <f>+IF('Data Pura Costos'!C1483="","",'Data Pura Costos'!C1483)</f>
        <v/>
      </c>
      <c r="D1483" s="5" t="str">
        <f>+IF('Data Pura Costos'!D1483="","",'Data Pura Costos'!D1483)</f>
        <v/>
      </c>
      <c r="E1483" s="65" t="str">
        <f>+IF('Data Pura Costos'!E1483="","",IF('Data Pura Costos'!E1483=0,MAX('Data Pura Costos'!$E$7:$E$3000)*1000,'Data Pura Costos'!E1483))</f>
        <v/>
      </c>
      <c r="F1483" s="5" t="str">
        <f>+IF('Data Pura Costos'!F1483="","",'Data Pura Costos'!F1483)</f>
        <v/>
      </c>
      <c r="G1483" s="5" t="str">
        <f>+IF('Data Pura Costos'!G1483="","",'Data Pura Costos'!G1483)</f>
        <v/>
      </c>
      <c r="H1483" s="52" t="str">
        <f>+IF('Data Pura Costos'!H1483="","",'Data Pura Costos'!H1483)</f>
        <v/>
      </c>
      <c r="I1483" s="71" t="str">
        <f>+IF('Data Pura Costos'!I1483="","",'Data Pura Costos'!I1483)</f>
        <v/>
      </c>
      <c r="J1483" s="52" t="str">
        <f>+IF('Data Pura Costos'!J1483="","",'Data Pura Costos'!J1483)</f>
        <v/>
      </c>
      <c r="K1483" s="82" t="str">
        <f t="shared" si="28"/>
        <v/>
      </c>
    </row>
    <row r="1484" spans="2:11" x14ac:dyDescent="0.35">
      <c r="B1484" s="4" t="str">
        <f>+IF('Data Pura Costos'!B1484="","",'Data Pura Costos'!B1484)</f>
        <v/>
      </c>
      <c r="C1484" s="4" t="str">
        <f>+IF('Data Pura Costos'!C1484="","",'Data Pura Costos'!C1484)</f>
        <v/>
      </c>
      <c r="D1484" s="5" t="str">
        <f>+IF('Data Pura Costos'!D1484="","",'Data Pura Costos'!D1484)</f>
        <v/>
      </c>
      <c r="E1484" s="65" t="str">
        <f>+IF('Data Pura Costos'!E1484="","",IF('Data Pura Costos'!E1484=0,MAX('Data Pura Costos'!$E$7:$E$3000)*1000,'Data Pura Costos'!E1484))</f>
        <v/>
      </c>
      <c r="F1484" s="5" t="str">
        <f>+IF('Data Pura Costos'!F1484="","",'Data Pura Costos'!F1484)</f>
        <v/>
      </c>
      <c r="G1484" s="5" t="str">
        <f>+IF('Data Pura Costos'!G1484="","",'Data Pura Costos'!G1484)</f>
        <v/>
      </c>
      <c r="H1484" s="52" t="str">
        <f>+IF('Data Pura Costos'!H1484="","",'Data Pura Costos'!H1484)</f>
        <v/>
      </c>
      <c r="I1484" s="71" t="str">
        <f>+IF('Data Pura Costos'!I1484="","",'Data Pura Costos'!I1484)</f>
        <v/>
      </c>
      <c r="J1484" s="52" t="str">
        <f>+IF('Data Pura Costos'!J1484="","",'Data Pura Costos'!J1484)</f>
        <v/>
      </c>
      <c r="K1484" s="82" t="str">
        <f t="shared" si="28"/>
        <v/>
      </c>
    </row>
    <row r="1485" spans="2:11" x14ac:dyDescent="0.35">
      <c r="B1485" s="4" t="str">
        <f>+IF('Data Pura Costos'!B1485="","",'Data Pura Costos'!B1485)</f>
        <v/>
      </c>
      <c r="C1485" s="4" t="str">
        <f>+IF('Data Pura Costos'!C1485="","",'Data Pura Costos'!C1485)</f>
        <v/>
      </c>
      <c r="D1485" s="5" t="str">
        <f>+IF('Data Pura Costos'!D1485="","",'Data Pura Costos'!D1485)</f>
        <v/>
      </c>
      <c r="E1485" s="65" t="str">
        <f>+IF('Data Pura Costos'!E1485="","",IF('Data Pura Costos'!E1485=0,MAX('Data Pura Costos'!$E$7:$E$3000)*1000,'Data Pura Costos'!E1485))</f>
        <v/>
      </c>
      <c r="F1485" s="5" t="str">
        <f>+IF('Data Pura Costos'!F1485="","",'Data Pura Costos'!F1485)</f>
        <v/>
      </c>
      <c r="G1485" s="5" t="str">
        <f>+IF('Data Pura Costos'!G1485="","",'Data Pura Costos'!G1485)</f>
        <v/>
      </c>
      <c r="H1485" s="52" t="str">
        <f>+IF('Data Pura Costos'!H1485="","",'Data Pura Costos'!H1485)</f>
        <v/>
      </c>
      <c r="I1485" s="71" t="str">
        <f>+IF('Data Pura Costos'!I1485="","",'Data Pura Costos'!I1485)</f>
        <v/>
      </c>
      <c r="J1485" s="52" t="str">
        <f>+IF('Data Pura Costos'!J1485="","",'Data Pura Costos'!J1485)</f>
        <v/>
      </c>
      <c r="K1485" s="82" t="str">
        <f t="shared" si="28"/>
        <v/>
      </c>
    </row>
    <row r="1486" spans="2:11" x14ac:dyDescent="0.35">
      <c r="B1486" s="4" t="str">
        <f>+IF('Data Pura Costos'!B1486="","",'Data Pura Costos'!B1486)</f>
        <v/>
      </c>
      <c r="C1486" s="4" t="str">
        <f>+IF('Data Pura Costos'!C1486="","",'Data Pura Costos'!C1486)</f>
        <v/>
      </c>
      <c r="D1486" s="5" t="str">
        <f>+IF('Data Pura Costos'!D1486="","",'Data Pura Costos'!D1486)</f>
        <v/>
      </c>
      <c r="E1486" s="65" t="str">
        <f>+IF('Data Pura Costos'!E1486="","",IF('Data Pura Costos'!E1486=0,MAX('Data Pura Costos'!$E$7:$E$3000)*1000,'Data Pura Costos'!E1486))</f>
        <v/>
      </c>
      <c r="F1486" s="5" t="str">
        <f>+IF('Data Pura Costos'!F1486="","",'Data Pura Costos'!F1486)</f>
        <v/>
      </c>
      <c r="G1486" s="5" t="str">
        <f>+IF('Data Pura Costos'!G1486="","",'Data Pura Costos'!G1486)</f>
        <v/>
      </c>
      <c r="H1486" s="52" t="str">
        <f>+IF('Data Pura Costos'!H1486="","",'Data Pura Costos'!H1486)</f>
        <v/>
      </c>
      <c r="I1486" s="71" t="str">
        <f>+IF('Data Pura Costos'!I1486="","",'Data Pura Costos'!I1486)</f>
        <v/>
      </c>
      <c r="J1486" s="52" t="str">
        <f>+IF('Data Pura Costos'!J1486="","",'Data Pura Costos'!J1486)</f>
        <v/>
      </c>
      <c r="K1486" s="82" t="str">
        <f t="shared" si="28"/>
        <v/>
      </c>
    </row>
    <row r="1487" spans="2:11" x14ac:dyDescent="0.35">
      <c r="B1487" s="4" t="str">
        <f>+IF('Data Pura Costos'!B1487="","",'Data Pura Costos'!B1487)</f>
        <v/>
      </c>
      <c r="C1487" s="4" t="str">
        <f>+IF('Data Pura Costos'!C1487="","",'Data Pura Costos'!C1487)</f>
        <v/>
      </c>
      <c r="D1487" s="5" t="str">
        <f>+IF('Data Pura Costos'!D1487="","",'Data Pura Costos'!D1487)</f>
        <v/>
      </c>
      <c r="E1487" s="65" t="str">
        <f>+IF('Data Pura Costos'!E1487="","",IF('Data Pura Costos'!E1487=0,MAX('Data Pura Costos'!$E$7:$E$3000)*1000,'Data Pura Costos'!E1487))</f>
        <v/>
      </c>
      <c r="F1487" s="5" t="str">
        <f>+IF('Data Pura Costos'!F1487="","",'Data Pura Costos'!F1487)</f>
        <v/>
      </c>
      <c r="G1487" s="5" t="str">
        <f>+IF('Data Pura Costos'!G1487="","",'Data Pura Costos'!G1487)</f>
        <v/>
      </c>
      <c r="H1487" s="52" t="str">
        <f>+IF('Data Pura Costos'!H1487="","",'Data Pura Costos'!H1487)</f>
        <v/>
      </c>
      <c r="I1487" s="71" t="str">
        <f>+IF('Data Pura Costos'!I1487="","",'Data Pura Costos'!I1487)</f>
        <v/>
      </c>
      <c r="J1487" s="52" t="str">
        <f>+IF('Data Pura Costos'!J1487="","",'Data Pura Costos'!J1487)</f>
        <v/>
      </c>
      <c r="K1487" s="82" t="str">
        <f t="shared" si="28"/>
        <v/>
      </c>
    </row>
    <row r="1488" spans="2:11" x14ac:dyDescent="0.35">
      <c r="B1488" s="4" t="str">
        <f>+IF('Data Pura Costos'!B1488="","",'Data Pura Costos'!B1488)</f>
        <v/>
      </c>
      <c r="C1488" s="4" t="str">
        <f>+IF('Data Pura Costos'!C1488="","",'Data Pura Costos'!C1488)</f>
        <v/>
      </c>
      <c r="D1488" s="5" t="str">
        <f>+IF('Data Pura Costos'!D1488="","",'Data Pura Costos'!D1488)</f>
        <v/>
      </c>
      <c r="E1488" s="65" t="str">
        <f>+IF('Data Pura Costos'!E1488="","",IF('Data Pura Costos'!E1488=0,MAX('Data Pura Costos'!$E$7:$E$3000)*1000,'Data Pura Costos'!E1488))</f>
        <v/>
      </c>
      <c r="F1488" s="5" t="str">
        <f>+IF('Data Pura Costos'!F1488="","",'Data Pura Costos'!F1488)</f>
        <v/>
      </c>
      <c r="G1488" s="5" t="str">
        <f>+IF('Data Pura Costos'!G1488="","",'Data Pura Costos'!G1488)</f>
        <v/>
      </c>
      <c r="H1488" s="52" t="str">
        <f>+IF('Data Pura Costos'!H1488="","",'Data Pura Costos'!H1488)</f>
        <v/>
      </c>
      <c r="I1488" s="71" t="str">
        <f>+IF('Data Pura Costos'!I1488="","",'Data Pura Costos'!I1488)</f>
        <v/>
      </c>
      <c r="J1488" s="52" t="str">
        <f>+IF('Data Pura Costos'!J1488="","",'Data Pura Costos'!J1488)</f>
        <v/>
      </c>
      <c r="K1488" s="82" t="str">
        <f t="shared" si="28"/>
        <v/>
      </c>
    </row>
    <row r="1489" spans="2:11" x14ac:dyDescent="0.35">
      <c r="B1489" s="4" t="str">
        <f>+IF('Data Pura Costos'!B1489="","",'Data Pura Costos'!B1489)</f>
        <v/>
      </c>
      <c r="C1489" s="4" t="str">
        <f>+IF('Data Pura Costos'!C1489="","",'Data Pura Costos'!C1489)</f>
        <v/>
      </c>
      <c r="D1489" s="5" t="str">
        <f>+IF('Data Pura Costos'!D1489="","",'Data Pura Costos'!D1489)</f>
        <v/>
      </c>
      <c r="E1489" s="65" t="str">
        <f>+IF('Data Pura Costos'!E1489="","",IF('Data Pura Costos'!E1489=0,MAX('Data Pura Costos'!$E$7:$E$3000)*1000,'Data Pura Costos'!E1489))</f>
        <v/>
      </c>
      <c r="F1489" s="5" t="str">
        <f>+IF('Data Pura Costos'!F1489="","",'Data Pura Costos'!F1489)</f>
        <v/>
      </c>
      <c r="G1489" s="5" t="str">
        <f>+IF('Data Pura Costos'!G1489="","",'Data Pura Costos'!G1489)</f>
        <v/>
      </c>
      <c r="H1489" s="52" t="str">
        <f>+IF('Data Pura Costos'!H1489="","",'Data Pura Costos'!H1489)</f>
        <v/>
      </c>
      <c r="I1489" s="71" t="str">
        <f>+IF('Data Pura Costos'!I1489="","",'Data Pura Costos'!I1489)</f>
        <v/>
      </c>
      <c r="J1489" s="52" t="str">
        <f>+IF('Data Pura Costos'!J1489="","",'Data Pura Costos'!J1489)</f>
        <v/>
      </c>
      <c r="K1489" s="82" t="str">
        <f t="shared" si="28"/>
        <v/>
      </c>
    </row>
    <row r="1490" spans="2:11" x14ac:dyDescent="0.35">
      <c r="B1490" s="4" t="str">
        <f>+IF('Data Pura Costos'!B1490="","",'Data Pura Costos'!B1490)</f>
        <v/>
      </c>
      <c r="C1490" s="4" t="str">
        <f>+IF('Data Pura Costos'!C1490="","",'Data Pura Costos'!C1490)</f>
        <v/>
      </c>
      <c r="D1490" s="5" t="str">
        <f>+IF('Data Pura Costos'!D1490="","",'Data Pura Costos'!D1490)</f>
        <v/>
      </c>
      <c r="E1490" s="65" t="str">
        <f>+IF('Data Pura Costos'!E1490="","",IF('Data Pura Costos'!E1490=0,MAX('Data Pura Costos'!$E$7:$E$3000)*1000,'Data Pura Costos'!E1490))</f>
        <v/>
      </c>
      <c r="F1490" s="5" t="str">
        <f>+IF('Data Pura Costos'!F1490="","",'Data Pura Costos'!F1490)</f>
        <v/>
      </c>
      <c r="G1490" s="5" t="str">
        <f>+IF('Data Pura Costos'!G1490="","",'Data Pura Costos'!G1490)</f>
        <v/>
      </c>
      <c r="H1490" s="52" t="str">
        <f>+IF('Data Pura Costos'!H1490="","",'Data Pura Costos'!H1490)</f>
        <v/>
      </c>
      <c r="I1490" s="71" t="str">
        <f>+IF('Data Pura Costos'!I1490="","",'Data Pura Costos'!I1490)</f>
        <v/>
      </c>
      <c r="J1490" s="52" t="str">
        <f>+IF('Data Pura Costos'!J1490="","",'Data Pura Costos'!J1490)</f>
        <v/>
      </c>
      <c r="K1490" s="82" t="str">
        <f t="shared" si="28"/>
        <v/>
      </c>
    </row>
    <row r="1491" spans="2:11" x14ac:dyDescent="0.35">
      <c r="B1491" s="4" t="str">
        <f>+IF('Data Pura Costos'!B1491="","",'Data Pura Costos'!B1491)</f>
        <v/>
      </c>
      <c r="C1491" s="4" t="str">
        <f>+IF('Data Pura Costos'!C1491="","",'Data Pura Costos'!C1491)</f>
        <v/>
      </c>
      <c r="D1491" s="5" t="str">
        <f>+IF('Data Pura Costos'!D1491="","",'Data Pura Costos'!D1491)</f>
        <v/>
      </c>
      <c r="E1491" s="65" t="str">
        <f>+IF('Data Pura Costos'!E1491="","",IF('Data Pura Costos'!E1491=0,MAX('Data Pura Costos'!$E$7:$E$3000)*1000,'Data Pura Costos'!E1491))</f>
        <v/>
      </c>
      <c r="F1491" s="5" t="str">
        <f>+IF('Data Pura Costos'!F1491="","",'Data Pura Costos'!F1491)</f>
        <v/>
      </c>
      <c r="G1491" s="5" t="str">
        <f>+IF('Data Pura Costos'!G1491="","",'Data Pura Costos'!G1491)</f>
        <v/>
      </c>
      <c r="H1491" s="52" t="str">
        <f>+IF('Data Pura Costos'!H1491="","",'Data Pura Costos'!H1491)</f>
        <v/>
      </c>
      <c r="I1491" s="71" t="str">
        <f>+IF('Data Pura Costos'!I1491="","",'Data Pura Costos'!I1491)</f>
        <v/>
      </c>
      <c r="J1491" s="52" t="str">
        <f>+IF('Data Pura Costos'!J1491="","",'Data Pura Costos'!J1491)</f>
        <v/>
      </c>
      <c r="K1491" s="82" t="str">
        <f t="shared" si="28"/>
        <v/>
      </c>
    </row>
    <row r="1492" spans="2:11" x14ac:dyDescent="0.35">
      <c r="B1492" s="4" t="str">
        <f>+IF('Data Pura Costos'!B1492="","",'Data Pura Costos'!B1492)</f>
        <v/>
      </c>
      <c r="C1492" s="4" t="str">
        <f>+IF('Data Pura Costos'!C1492="","",'Data Pura Costos'!C1492)</f>
        <v/>
      </c>
      <c r="D1492" s="5" t="str">
        <f>+IF('Data Pura Costos'!D1492="","",'Data Pura Costos'!D1492)</f>
        <v/>
      </c>
      <c r="E1492" s="65" t="str">
        <f>+IF('Data Pura Costos'!E1492="","",IF('Data Pura Costos'!E1492=0,MAX('Data Pura Costos'!$E$7:$E$3000)*1000,'Data Pura Costos'!E1492))</f>
        <v/>
      </c>
      <c r="F1492" s="5" t="str">
        <f>+IF('Data Pura Costos'!F1492="","",'Data Pura Costos'!F1492)</f>
        <v/>
      </c>
      <c r="G1492" s="5" t="str">
        <f>+IF('Data Pura Costos'!G1492="","",'Data Pura Costos'!G1492)</f>
        <v/>
      </c>
      <c r="H1492" s="52" t="str">
        <f>+IF('Data Pura Costos'!H1492="","",'Data Pura Costos'!H1492)</f>
        <v/>
      </c>
      <c r="I1492" s="71" t="str">
        <f>+IF('Data Pura Costos'!I1492="","",'Data Pura Costos'!I1492)</f>
        <v/>
      </c>
      <c r="J1492" s="52" t="str">
        <f>+IF('Data Pura Costos'!J1492="","",'Data Pura Costos'!J1492)</f>
        <v/>
      </c>
      <c r="K1492" s="82" t="str">
        <f t="shared" si="28"/>
        <v/>
      </c>
    </row>
    <row r="1493" spans="2:11" x14ac:dyDescent="0.35">
      <c r="B1493" s="4" t="str">
        <f>+IF('Data Pura Costos'!B1493="","",'Data Pura Costos'!B1493)</f>
        <v/>
      </c>
      <c r="C1493" s="4" t="str">
        <f>+IF('Data Pura Costos'!C1493="","",'Data Pura Costos'!C1493)</f>
        <v/>
      </c>
      <c r="D1493" s="5" t="str">
        <f>+IF('Data Pura Costos'!D1493="","",'Data Pura Costos'!D1493)</f>
        <v/>
      </c>
      <c r="E1493" s="65" t="str">
        <f>+IF('Data Pura Costos'!E1493="","",IF('Data Pura Costos'!E1493=0,MAX('Data Pura Costos'!$E$7:$E$3000)*1000,'Data Pura Costos'!E1493))</f>
        <v/>
      </c>
      <c r="F1493" s="5" t="str">
        <f>+IF('Data Pura Costos'!F1493="","",'Data Pura Costos'!F1493)</f>
        <v/>
      </c>
      <c r="G1493" s="5" t="str">
        <f>+IF('Data Pura Costos'!G1493="","",'Data Pura Costos'!G1493)</f>
        <v/>
      </c>
      <c r="H1493" s="52" t="str">
        <f>+IF('Data Pura Costos'!H1493="","",'Data Pura Costos'!H1493)</f>
        <v/>
      </c>
      <c r="I1493" s="71" t="str">
        <f>+IF('Data Pura Costos'!I1493="","",'Data Pura Costos'!I1493)</f>
        <v/>
      </c>
      <c r="J1493" s="52" t="str">
        <f>+IF('Data Pura Costos'!J1493="","",'Data Pura Costos'!J1493)</f>
        <v/>
      </c>
      <c r="K1493" s="82" t="str">
        <f t="shared" si="28"/>
        <v/>
      </c>
    </row>
    <row r="1494" spans="2:11" x14ac:dyDescent="0.35">
      <c r="B1494" s="4" t="str">
        <f>+IF('Data Pura Costos'!B1494="","",'Data Pura Costos'!B1494)</f>
        <v/>
      </c>
      <c r="C1494" s="4" t="str">
        <f>+IF('Data Pura Costos'!C1494="","",'Data Pura Costos'!C1494)</f>
        <v/>
      </c>
      <c r="D1494" s="5" t="str">
        <f>+IF('Data Pura Costos'!D1494="","",'Data Pura Costos'!D1494)</f>
        <v/>
      </c>
      <c r="E1494" s="65" t="str">
        <f>+IF('Data Pura Costos'!E1494="","",IF('Data Pura Costos'!E1494=0,MAX('Data Pura Costos'!$E$7:$E$3000)*1000,'Data Pura Costos'!E1494))</f>
        <v/>
      </c>
      <c r="F1494" s="5" t="str">
        <f>+IF('Data Pura Costos'!F1494="","",'Data Pura Costos'!F1494)</f>
        <v/>
      </c>
      <c r="G1494" s="5" t="str">
        <f>+IF('Data Pura Costos'!G1494="","",'Data Pura Costos'!G1494)</f>
        <v/>
      </c>
      <c r="H1494" s="52" t="str">
        <f>+IF('Data Pura Costos'!H1494="","",'Data Pura Costos'!H1494)</f>
        <v/>
      </c>
      <c r="I1494" s="71" t="str">
        <f>+IF('Data Pura Costos'!I1494="","",'Data Pura Costos'!I1494)</f>
        <v/>
      </c>
      <c r="J1494" s="52" t="str">
        <f>+IF('Data Pura Costos'!J1494="","",'Data Pura Costos'!J1494)</f>
        <v/>
      </c>
      <c r="K1494" s="82" t="str">
        <f t="shared" si="28"/>
        <v/>
      </c>
    </row>
    <row r="1495" spans="2:11" x14ac:dyDescent="0.35">
      <c r="B1495" s="4" t="str">
        <f>+IF('Data Pura Costos'!B1495="","",'Data Pura Costos'!B1495)</f>
        <v/>
      </c>
      <c r="C1495" s="4" t="str">
        <f>+IF('Data Pura Costos'!C1495="","",'Data Pura Costos'!C1495)</f>
        <v/>
      </c>
      <c r="D1495" s="5" t="str">
        <f>+IF('Data Pura Costos'!D1495="","",'Data Pura Costos'!D1495)</f>
        <v/>
      </c>
      <c r="E1495" s="65" t="str">
        <f>+IF('Data Pura Costos'!E1495="","",IF('Data Pura Costos'!E1495=0,MAX('Data Pura Costos'!$E$7:$E$3000)*1000,'Data Pura Costos'!E1495))</f>
        <v/>
      </c>
      <c r="F1495" s="5" t="str">
        <f>+IF('Data Pura Costos'!F1495="","",'Data Pura Costos'!F1495)</f>
        <v/>
      </c>
      <c r="G1495" s="5" t="str">
        <f>+IF('Data Pura Costos'!G1495="","",'Data Pura Costos'!G1495)</f>
        <v/>
      </c>
      <c r="H1495" s="52" t="str">
        <f>+IF('Data Pura Costos'!H1495="","",'Data Pura Costos'!H1495)</f>
        <v/>
      </c>
      <c r="I1495" s="71" t="str">
        <f>+IF('Data Pura Costos'!I1495="","",'Data Pura Costos'!I1495)</f>
        <v/>
      </c>
      <c r="J1495" s="52" t="str">
        <f>+IF('Data Pura Costos'!J1495="","",'Data Pura Costos'!J1495)</f>
        <v/>
      </c>
      <c r="K1495" s="82" t="str">
        <f t="shared" si="28"/>
        <v/>
      </c>
    </row>
    <row r="1496" spans="2:11" x14ac:dyDescent="0.35">
      <c r="B1496" s="4" t="str">
        <f>+IF('Data Pura Costos'!B1496="","",'Data Pura Costos'!B1496)</f>
        <v/>
      </c>
      <c r="C1496" s="4" t="str">
        <f>+IF('Data Pura Costos'!C1496="","",'Data Pura Costos'!C1496)</f>
        <v/>
      </c>
      <c r="D1496" s="5" t="str">
        <f>+IF('Data Pura Costos'!D1496="","",'Data Pura Costos'!D1496)</f>
        <v/>
      </c>
      <c r="E1496" s="65" t="str">
        <f>+IF('Data Pura Costos'!E1496="","",IF('Data Pura Costos'!E1496=0,MAX('Data Pura Costos'!$E$7:$E$3000)*1000,'Data Pura Costos'!E1496))</f>
        <v/>
      </c>
      <c r="F1496" s="5" t="str">
        <f>+IF('Data Pura Costos'!F1496="","",'Data Pura Costos'!F1496)</f>
        <v/>
      </c>
      <c r="G1496" s="5" t="str">
        <f>+IF('Data Pura Costos'!G1496="","",'Data Pura Costos'!G1496)</f>
        <v/>
      </c>
      <c r="H1496" s="52" t="str">
        <f>+IF('Data Pura Costos'!H1496="","",'Data Pura Costos'!H1496)</f>
        <v/>
      </c>
      <c r="I1496" s="71" t="str">
        <f>+IF('Data Pura Costos'!I1496="","",'Data Pura Costos'!I1496)</f>
        <v/>
      </c>
      <c r="J1496" s="52" t="str">
        <f>+IF('Data Pura Costos'!J1496="","",'Data Pura Costos'!J1496)</f>
        <v/>
      </c>
      <c r="K1496" s="82" t="str">
        <f t="shared" si="28"/>
        <v/>
      </c>
    </row>
    <row r="1497" spans="2:11" x14ac:dyDescent="0.35">
      <c r="B1497" s="4" t="str">
        <f>+IF('Data Pura Costos'!B1497="","",'Data Pura Costos'!B1497)</f>
        <v/>
      </c>
      <c r="C1497" s="4" t="str">
        <f>+IF('Data Pura Costos'!C1497="","",'Data Pura Costos'!C1497)</f>
        <v/>
      </c>
      <c r="D1497" s="5" t="str">
        <f>+IF('Data Pura Costos'!D1497="","",'Data Pura Costos'!D1497)</f>
        <v/>
      </c>
      <c r="E1497" s="65" t="str">
        <f>+IF('Data Pura Costos'!E1497="","",IF('Data Pura Costos'!E1497=0,MAX('Data Pura Costos'!$E$7:$E$3000)*1000,'Data Pura Costos'!E1497))</f>
        <v/>
      </c>
      <c r="F1497" s="5" t="str">
        <f>+IF('Data Pura Costos'!F1497="","",'Data Pura Costos'!F1497)</f>
        <v/>
      </c>
      <c r="G1497" s="5" t="str">
        <f>+IF('Data Pura Costos'!G1497="","",'Data Pura Costos'!G1497)</f>
        <v/>
      </c>
      <c r="H1497" s="52" t="str">
        <f>+IF('Data Pura Costos'!H1497="","",'Data Pura Costos'!H1497)</f>
        <v/>
      </c>
      <c r="I1497" s="71" t="str">
        <f>+IF('Data Pura Costos'!I1497="","",'Data Pura Costos'!I1497)</f>
        <v/>
      </c>
      <c r="J1497" s="52" t="str">
        <f>+IF('Data Pura Costos'!J1497="","",'Data Pura Costos'!J1497)</f>
        <v/>
      </c>
      <c r="K1497" s="82" t="str">
        <f t="shared" si="28"/>
        <v/>
      </c>
    </row>
    <row r="1498" spans="2:11" x14ac:dyDescent="0.35">
      <c r="B1498" s="4" t="str">
        <f>+IF('Data Pura Costos'!B1498="","",'Data Pura Costos'!B1498)</f>
        <v/>
      </c>
      <c r="C1498" s="4" t="str">
        <f>+IF('Data Pura Costos'!C1498="","",'Data Pura Costos'!C1498)</f>
        <v/>
      </c>
      <c r="D1498" s="5" t="str">
        <f>+IF('Data Pura Costos'!D1498="","",'Data Pura Costos'!D1498)</f>
        <v/>
      </c>
      <c r="E1498" s="65" t="str">
        <f>+IF('Data Pura Costos'!E1498="","",IF('Data Pura Costos'!E1498=0,MAX('Data Pura Costos'!$E$7:$E$3000)*1000,'Data Pura Costos'!E1498))</f>
        <v/>
      </c>
      <c r="F1498" s="5" t="str">
        <f>+IF('Data Pura Costos'!F1498="","",'Data Pura Costos'!F1498)</f>
        <v/>
      </c>
      <c r="G1498" s="5" t="str">
        <f>+IF('Data Pura Costos'!G1498="","",'Data Pura Costos'!G1498)</f>
        <v/>
      </c>
      <c r="H1498" s="52" t="str">
        <f>+IF('Data Pura Costos'!H1498="","",'Data Pura Costos'!H1498)</f>
        <v/>
      </c>
      <c r="I1498" s="71" t="str">
        <f>+IF('Data Pura Costos'!I1498="","",'Data Pura Costos'!I1498)</f>
        <v/>
      </c>
      <c r="J1498" s="52" t="str">
        <f>+IF('Data Pura Costos'!J1498="","",'Data Pura Costos'!J1498)</f>
        <v/>
      </c>
      <c r="K1498" s="82" t="str">
        <f t="shared" si="28"/>
        <v/>
      </c>
    </row>
    <row r="1499" spans="2:11" x14ac:dyDescent="0.35">
      <c r="B1499" s="4" t="str">
        <f>+IF('Data Pura Costos'!B1499="","",'Data Pura Costos'!B1499)</f>
        <v/>
      </c>
      <c r="C1499" s="4" t="str">
        <f>+IF('Data Pura Costos'!C1499="","",'Data Pura Costos'!C1499)</f>
        <v/>
      </c>
      <c r="D1499" s="5" t="str">
        <f>+IF('Data Pura Costos'!D1499="","",'Data Pura Costos'!D1499)</f>
        <v/>
      </c>
      <c r="E1499" s="65" t="str">
        <f>+IF('Data Pura Costos'!E1499="","",IF('Data Pura Costos'!E1499=0,MAX('Data Pura Costos'!$E$7:$E$3000)*1000,'Data Pura Costos'!E1499))</f>
        <v/>
      </c>
      <c r="F1499" s="5" t="str">
        <f>+IF('Data Pura Costos'!F1499="","",'Data Pura Costos'!F1499)</f>
        <v/>
      </c>
      <c r="G1499" s="5" t="str">
        <f>+IF('Data Pura Costos'!G1499="","",'Data Pura Costos'!G1499)</f>
        <v/>
      </c>
      <c r="H1499" s="52" t="str">
        <f>+IF('Data Pura Costos'!H1499="","",'Data Pura Costos'!H1499)</f>
        <v/>
      </c>
      <c r="I1499" s="71" t="str">
        <f>+IF('Data Pura Costos'!I1499="","",'Data Pura Costos'!I1499)</f>
        <v/>
      </c>
      <c r="J1499" s="52" t="str">
        <f>+IF('Data Pura Costos'!J1499="","",'Data Pura Costos'!J1499)</f>
        <v/>
      </c>
      <c r="K1499" s="82" t="str">
        <f t="shared" si="28"/>
        <v/>
      </c>
    </row>
    <row r="1500" spans="2:11" x14ac:dyDescent="0.35">
      <c r="B1500" s="4" t="str">
        <f>+IF('Data Pura Costos'!B1500="","",'Data Pura Costos'!B1500)</f>
        <v/>
      </c>
      <c r="C1500" s="4" t="str">
        <f>+IF('Data Pura Costos'!C1500="","",'Data Pura Costos'!C1500)</f>
        <v/>
      </c>
      <c r="D1500" s="5" t="str">
        <f>+IF('Data Pura Costos'!D1500="","",'Data Pura Costos'!D1500)</f>
        <v/>
      </c>
      <c r="E1500" s="65" t="str">
        <f>+IF('Data Pura Costos'!E1500="","",IF('Data Pura Costos'!E1500=0,MAX('Data Pura Costos'!$E$7:$E$3000)*1000,'Data Pura Costos'!E1500))</f>
        <v/>
      </c>
      <c r="F1500" s="5" t="str">
        <f>+IF('Data Pura Costos'!F1500="","",'Data Pura Costos'!F1500)</f>
        <v/>
      </c>
      <c r="G1500" s="5" t="str">
        <f>+IF('Data Pura Costos'!G1500="","",'Data Pura Costos'!G1500)</f>
        <v/>
      </c>
      <c r="H1500" s="52" t="str">
        <f>+IF('Data Pura Costos'!H1500="","",'Data Pura Costos'!H1500)</f>
        <v/>
      </c>
      <c r="I1500" s="71" t="str">
        <f>+IF('Data Pura Costos'!I1500="","",'Data Pura Costos'!I1500)</f>
        <v/>
      </c>
      <c r="J1500" s="52" t="str">
        <f>+IF('Data Pura Costos'!J1500="","",'Data Pura Costos'!J1500)</f>
        <v/>
      </c>
      <c r="K1500" s="82" t="str">
        <f t="shared" si="28"/>
        <v/>
      </c>
    </row>
    <row r="1501" spans="2:11" x14ac:dyDescent="0.35">
      <c r="B1501" s="4" t="str">
        <f>+IF('Data Pura Costos'!B1501="","",'Data Pura Costos'!B1501)</f>
        <v/>
      </c>
      <c r="C1501" s="4" t="str">
        <f>+IF('Data Pura Costos'!C1501="","",'Data Pura Costos'!C1501)</f>
        <v/>
      </c>
      <c r="D1501" s="5" t="str">
        <f>+IF('Data Pura Costos'!D1501="","",'Data Pura Costos'!D1501)</f>
        <v/>
      </c>
      <c r="E1501" s="65" t="str">
        <f>+IF('Data Pura Costos'!E1501="","",IF('Data Pura Costos'!E1501=0,MAX('Data Pura Costos'!$E$7:$E$3000)*1000,'Data Pura Costos'!E1501))</f>
        <v/>
      </c>
      <c r="F1501" s="5" t="str">
        <f>+IF('Data Pura Costos'!F1501="","",'Data Pura Costos'!F1501)</f>
        <v/>
      </c>
      <c r="G1501" s="5" t="str">
        <f>+IF('Data Pura Costos'!G1501="","",'Data Pura Costos'!G1501)</f>
        <v/>
      </c>
      <c r="H1501" s="52" t="str">
        <f>+IF('Data Pura Costos'!H1501="","",'Data Pura Costos'!H1501)</f>
        <v/>
      </c>
      <c r="I1501" s="71" t="str">
        <f>+IF('Data Pura Costos'!I1501="","",'Data Pura Costos'!I1501)</f>
        <v/>
      </c>
      <c r="J1501" s="52" t="str">
        <f>+IF('Data Pura Costos'!J1501="","",'Data Pura Costos'!J1501)</f>
        <v/>
      </c>
      <c r="K1501" s="82" t="str">
        <f t="shared" si="28"/>
        <v/>
      </c>
    </row>
    <row r="1502" spans="2:11" x14ac:dyDescent="0.35">
      <c r="B1502" s="4" t="str">
        <f>+IF('Data Pura Costos'!B1502="","",'Data Pura Costos'!B1502)</f>
        <v/>
      </c>
      <c r="C1502" s="4" t="str">
        <f>+IF('Data Pura Costos'!C1502="","",'Data Pura Costos'!C1502)</f>
        <v/>
      </c>
      <c r="D1502" s="5" t="str">
        <f>+IF('Data Pura Costos'!D1502="","",'Data Pura Costos'!D1502)</f>
        <v/>
      </c>
      <c r="E1502" s="65" t="str">
        <f>+IF('Data Pura Costos'!E1502="","",IF('Data Pura Costos'!E1502=0,MAX('Data Pura Costos'!$E$7:$E$3000)*1000,'Data Pura Costos'!E1502))</f>
        <v/>
      </c>
      <c r="F1502" s="5" t="str">
        <f>+IF('Data Pura Costos'!F1502="","",'Data Pura Costos'!F1502)</f>
        <v/>
      </c>
      <c r="G1502" s="5" t="str">
        <f>+IF('Data Pura Costos'!G1502="","",'Data Pura Costos'!G1502)</f>
        <v/>
      </c>
      <c r="H1502" s="52" t="str">
        <f>+IF('Data Pura Costos'!H1502="","",'Data Pura Costos'!H1502)</f>
        <v/>
      </c>
      <c r="I1502" s="71" t="str">
        <f>+IF('Data Pura Costos'!I1502="","",'Data Pura Costos'!I1502)</f>
        <v/>
      </c>
      <c r="J1502" s="52" t="str">
        <f>+IF('Data Pura Costos'!J1502="","",'Data Pura Costos'!J1502)</f>
        <v/>
      </c>
      <c r="K1502" s="82" t="str">
        <f t="shared" si="28"/>
        <v/>
      </c>
    </row>
    <row r="1503" spans="2:11" x14ac:dyDescent="0.35">
      <c r="B1503" s="4" t="str">
        <f>+IF('Data Pura Costos'!B1503="","",'Data Pura Costos'!B1503)</f>
        <v/>
      </c>
      <c r="C1503" s="4" t="str">
        <f>+IF('Data Pura Costos'!C1503="","",'Data Pura Costos'!C1503)</f>
        <v/>
      </c>
      <c r="D1503" s="5" t="str">
        <f>+IF('Data Pura Costos'!D1503="","",'Data Pura Costos'!D1503)</f>
        <v/>
      </c>
      <c r="E1503" s="65" t="str">
        <f>+IF('Data Pura Costos'!E1503="","",IF('Data Pura Costos'!E1503=0,MAX('Data Pura Costos'!$E$7:$E$3000)*1000,'Data Pura Costos'!E1503))</f>
        <v/>
      </c>
      <c r="F1503" s="5" t="str">
        <f>+IF('Data Pura Costos'!F1503="","",'Data Pura Costos'!F1503)</f>
        <v/>
      </c>
      <c r="G1503" s="5" t="str">
        <f>+IF('Data Pura Costos'!G1503="","",'Data Pura Costos'!G1503)</f>
        <v/>
      </c>
      <c r="H1503" s="52" t="str">
        <f>+IF('Data Pura Costos'!H1503="","",'Data Pura Costos'!H1503)</f>
        <v/>
      </c>
      <c r="I1503" s="71" t="str">
        <f>+IF('Data Pura Costos'!I1503="","",'Data Pura Costos'!I1503)</f>
        <v/>
      </c>
      <c r="J1503" s="52" t="str">
        <f>+IF('Data Pura Costos'!J1503="","",'Data Pura Costos'!J1503)</f>
        <v/>
      </c>
      <c r="K1503" s="82" t="str">
        <f t="shared" si="28"/>
        <v/>
      </c>
    </row>
    <row r="1504" spans="2:11" x14ac:dyDescent="0.35">
      <c r="B1504" s="4" t="str">
        <f>+IF('Data Pura Costos'!B1504="","",'Data Pura Costos'!B1504)</f>
        <v/>
      </c>
      <c r="C1504" s="4" t="str">
        <f>+IF('Data Pura Costos'!C1504="","",'Data Pura Costos'!C1504)</f>
        <v/>
      </c>
      <c r="D1504" s="5" t="str">
        <f>+IF('Data Pura Costos'!D1504="","",'Data Pura Costos'!D1504)</f>
        <v/>
      </c>
      <c r="E1504" s="65" t="str">
        <f>+IF('Data Pura Costos'!E1504="","",IF('Data Pura Costos'!E1504=0,MAX('Data Pura Costos'!$E$7:$E$3000)*1000,'Data Pura Costos'!E1504))</f>
        <v/>
      </c>
      <c r="F1504" s="5" t="str">
        <f>+IF('Data Pura Costos'!F1504="","",'Data Pura Costos'!F1504)</f>
        <v/>
      </c>
      <c r="G1504" s="5" t="str">
        <f>+IF('Data Pura Costos'!G1504="","",'Data Pura Costos'!G1504)</f>
        <v/>
      </c>
      <c r="H1504" s="52" t="str">
        <f>+IF('Data Pura Costos'!H1504="","",'Data Pura Costos'!H1504)</f>
        <v/>
      </c>
      <c r="I1504" s="71" t="str">
        <f>+IF('Data Pura Costos'!I1504="","",'Data Pura Costos'!I1504)</f>
        <v/>
      </c>
      <c r="J1504" s="52" t="str">
        <f>+IF('Data Pura Costos'!J1504="","",'Data Pura Costos'!J1504)</f>
        <v/>
      </c>
      <c r="K1504" s="82" t="str">
        <f t="shared" si="28"/>
        <v/>
      </c>
    </row>
    <row r="1505" spans="2:11" x14ac:dyDescent="0.35">
      <c r="B1505" s="4" t="str">
        <f>+IF('Data Pura Costos'!B1505="","",'Data Pura Costos'!B1505)</f>
        <v/>
      </c>
      <c r="C1505" s="4" t="str">
        <f>+IF('Data Pura Costos'!C1505="","",'Data Pura Costos'!C1505)</f>
        <v/>
      </c>
      <c r="D1505" s="5" t="str">
        <f>+IF('Data Pura Costos'!D1505="","",'Data Pura Costos'!D1505)</f>
        <v/>
      </c>
      <c r="E1505" s="65" t="str">
        <f>+IF('Data Pura Costos'!E1505="","",IF('Data Pura Costos'!E1505=0,MAX('Data Pura Costos'!$E$7:$E$3000)*1000,'Data Pura Costos'!E1505))</f>
        <v/>
      </c>
      <c r="F1505" s="5" t="str">
        <f>+IF('Data Pura Costos'!F1505="","",'Data Pura Costos'!F1505)</f>
        <v/>
      </c>
      <c r="G1505" s="5" t="str">
        <f>+IF('Data Pura Costos'!G1505="","",'Data Pura Costos'!G1505)</f>
        <v/>
      </c>
      <c r="H1505" s="52" t="str">
        <f>+IF('Data Pura Costos'!H1505="","",'Data Pura Costos'!H1505)</f>
        <v/>
      </c>
      <c r="I1505" s="71" t="str">
        <f>+IF('Data Pura Costos'!I1505="","",'Data Pura Costos'!I1505)</f>
        <v/>
      </c>
      <c r="J1505" s="52" t="str">
        <f>+IF('Data Pura Costos'!J1505="","",'Data Pura Costos'!J1505)</f>
        <v/>
      </c>
      <c r="K1505" s="82" t="str">
        <f t="shared" si="28"/>
        <v/>
      </c>
    </row>
    <row r="1506" spans="2:11" x14ac:dyDescent="0.35">
      <c r="B1506" s="4" t="str">
        <f>+IF('Data Pura Costos'!B1506="","",'Data Pura Costos'!B1506)</f>
        <v/>
      </c>
      <c r="C1506" s="4" t="str">
        <f>+IF('Data Pura Costos'!C1506="","",'Data Pura Costos'!C1506)</f>
        <v/>
      </c>
      <c r="D1506" s="5" t="str">
        <f>+IF('Data Pura Costos'!D1506="","",'Data Pura Costos'!D1506)</f>
        <v/>
      </c>
      <c r="E1506" s="65" t="str">
        <f>+IF('Data Pura Costos'!E1506="","",IF('Data Pura Costos'!E1506=0,MAX('Data Pura Costos'!$E$7:$E$3000)*1000,'Data Pura Costos'!E1506))</f>
        <v/>
      </c>
      <c r="F1506" s="5" t="str">
        <f>+IF('Data Pura Costos'!F1506="","",'Data Pura Costos'!F1506)</f>
        <v/>
      </c>
      <c r="G1506" s="5" t="str">
        <f>+IF('Data Pura Costos'!G1506="","",'Data Pura Costos'!G1506)</f>
        <v/>
      </c>
      <c r="H1506" s="52" t="str">
        <f>+IF('Data Pura Costos'!H1506="","",'Data Pura Costos'!H1506)</f>
        <v/>
      </c>
      <c r="I1506" s="71" t="str">
        <f>+IF('Data Pura Costos'!I1506="","",'Data Pura Costos'!I1506)</f>
        <v/>
      </c>
      <c r="J1506" s="52" t="str">
        <f>+IF('Data Pura Costos'!J1506="","",'Data Pura Costos'!J1506)</f>
        <v/>
      </c>
      <c r="K1506" s="82" t="str">
        <f t="shared" si="28"/>
        <v/>
      </c>
    </row>
    <row r="1507" spans="2:11" x14ac:dyDescent="0.35">
      <c r="B1507" s="4" t="str">
        <f>+IF('Data Pura Costos'!B1507="","",'Data Pura Costos'!B1507)</f>
        <v/>
      </c>
      <c r="C1507" s="4" t="str">
        <f>+IF('Data Pura Costos'!C1507="","",'Data Pura Costos'!C1507)</f>
        <v/>
      </c>
      <c r="D1507" s="5" t="str">
        <f>+IF('Data Pura Costos'!D1507="","",'Data Pura Costos'!D1507)</f>
        <v/>
      </c>
      <c r="E1507" s="65" t="str">
        <f>+IF('Data Pura Costos'!E1507="","",IF('Data Pura Costos'!E1507=0,MAX('Data Pura Costos'!$E$7:$E$3000)*1000,'Data Pura Costos'!E1507))</f>
        <v/>
      </c>
      <c r="F1507" s="5" t="str">
        <f>+IF('Data Pura Costos'!F1507="","",'Data Pura Costos'!F1507)</f>
        <v/>
      </c>
      <c r="G1507" s="5" t="str">
        <f>+IF('Data Pura Costos'!G1507="","",'Data Pura Costos'!G1507)</f>
        <v/>
      </c>
      <c r="H1507" s="52" t="str">
        <f>+IF('Data Pura Costos'!H1507="","",'Data Pura Costos'!H1507)</f>
        <v/>
      </c>
      <c r="I1507" s="71" t="str">
        <f>+IF('Data Pura Costos'!I1507="","",'Data Pura Costos'!I1507)</f>
        <v/>
      </c>
      <c r="J1507" s="52" t="str">
        <f>+IF('Data Pura Costos'!J1507="","",'Data Pura Costos'!J1507)</f>
        <v/>
      </c>
      <c r="K1507" s="82" t="str">
        <f t="shared" si="28"/>
        <v/>
      </c>
    </row>
    <row r="1508" spans="2:11" x14ac:dyDescent="0.35">
      <c r="B1508" s="4" t="str">
        <f>+IF('Data Pura Costos'!B1508="","",'Data Pura Costos'!B1508)</f>
        <v/>
      </c>
      <c r="C1508" s="4" t="str">
        <f>+IF('Data Pura Costos'!C1508="","",'Data Pura Costos'!C1508)</f>
        <v/>
      </c>
      <c r="D1508" s="5" t="str">
        <f>+IF('Data Pura Costos'!D1508="","",'Data Pura Costos'!D1508)</f>
        <v/>
      </c>
      <c r="E1508" s="65" t="str">
        <f>+IF('Data Pura Costos'!E1508="","",IF('Data Pura Costos'!E1508=0,MAX('Data Pura Costos'!$E$7:$E$3000)*1000,'Data Pura Costos'!E1508))</f>
        <v/>
      </c>
      <c r="F1508" s="5" t="str">
        <f>+IF('Data Pura Costos'!F1508="","",'Data Pura Costos'!F1508)</f>
        <v/>
      </c>
      <c r="G1508" s="5" t="str">
        <f>+IF('Data Pura Costos'!G1508="","",'Data Pura Costos'!G1508)</f>
        <v/>
      </c>
      <c r="H1508" s="52" t="str">
        <f>+IF('Data Pura Costos'!H1508="","",'Data Pura Costos'!H1508)</f>
        <v/>
      </c>
      <c r="I1508" s="71" t="str">
        <f>+IF('Data Pura Costos'!I1508="","",'Data Pura Costos'!I1508)</f>
        <v/>
      </c>
      <c r="J1508" s="52" t="str">
        <f>+IF('Data Pura Costos'!J1508="","",'Data Pura Costos'!J1508)</f>
        <v/>
      </c>
      <c r="K1508" s="82" t="str">
        <f t="shared" si="28"/>
        <v/>
      </c>
    </row>
    <row r="1509" spans="2:11" x14ac:dyDescent="0.35">
      <c r="B1509" s="4" t="str">
        <f>+IF('Data Pura Costos'!B1509="","",'Data Pura Costos'!B1509)</f>
        <v/>
      </c>
      <c r="C1509" s="4" t="str">
        <f>+IF('Data Pura Costos'!C1509="","",'Data Pura Costos'!C1509)</f>
        <v/>
      </c>
      <c r="D1509" s="5" t="str">
        <f>+IF('Data Pura Costos'!D1509="","",'Data Pura Costos'!D1509)</f>
        <v/>
      </c>
      <c r="E1509" s="65" t="str">
        <f>+IF('Data Pura Costos'!E1509="","",IF('Data Pura Costos'!E1509=0,MAX('Data Pura Costos'!$E$7:$E$3000)*1000,'Data Pura Costos'!E1509))</f>
        <v/>
      </c>
      <c r="F1509" s="5" t="str">
        <f>+IF('Data Pura Costos'!F1509="","",'Data Pura Costos'!F1509)</f>
        <v/>
      </c>
      <c r="G1509" s="5" t="str">
        <f>+IF('Data Pura Costos'!G1509="","",'Data Pura Costos'!G1509)</f>
        <v/>
      </c>
      <c r="H1509" s="52" t="str">
        <f>+IF('Data Pura Costos'!H1509="","",'Data Pura Costos'!H1509)</f>
        <v/>
      </c>
      <c r="I1509" s="71" t="str">
        <f>+IF('Data Pura Costos'!I1509="","",'Data Pura Costos'!I1509)</f>
        <v/>
      </c>
      <c r="J1509" s="52" t="str">
        <f>+IF('Data Pura Costos'!J1509="","",'Data Pura Costos'!J1509)</f>
        <v/>
      </c>
      <c r="K1509" s="82" t="str">
        <f t="shared" si="28"/>
        <v/>
      </c>
    </row>
    <row r="1510" spans="2:11" x14ac:dyDescent="0.35">
      <c r="B1510" s="4" t="str">
        <f>+IF('Data Pura Costos'!B1510="","",'Data Pura Costos'!B1510)</f>
        <v/>
      </c>
      <c r="C1510" s="4" t="str">
        <f>+IF('Data Pura Costos'!C1510="","",'Data Pura Costos'!C1510)</f>
        <v/>
      </c>
      <c r="D1510" s="5" t="str">
        <f>+IF('Data Pura Costos'!D1510="","",'Data Pura Costos'!D1510)</f>
        <v/>
      </c>
      <c r="E1510" s="65" t="str">
        <f>+IF('Data Pura Costos'!E1510="","",IF('Data Pura Costos'!E1510=0,MAX('Data Pura Costos'!$E$7:$E$3000)*1000,'Data Pura Costos'!E1510))</f>
        <v/>
      </c>
      <c r="F1510" s="5" t="str">
        <f>+IF('Data Pura Costos'!F1510="","",'Data Pura Costos'!F1510)</f>
        <v/>
      </c>
      <c r="G1510" s="5" t="str">
        <f>+IF('Data Pura Costos'!G1510="","",'Data Pura Costos'!G1510)</f>
        <v/>
      </c>
      <c r="H1510" s="52" t="str">
        <f>+IF('Data Pura Costos'!H1510="","",'Data Pura Costos'!H1510)</f>
        <v/>
      </c>
      <c r="I1510" s="71" t="str">
        <f>+IF('Data Pura Costos'!I1510="","",'Data Pura Costos'!I1510)</f>
        <v/>
      </c>
      <c r="J1510" s="52" t="str">
        <f>+IF('Data Pura Costos'!J1510="","",'Data Pura Costos'!J1510)</f>
        <v/>
      </c>
      <c r="K1510" s="82" t="str">
        <f t="shared" si="28"/>
        <v/>
      </c>
    </row>
    <row r="1511" spans="2:11" x14ac:dyDescent="0.35">
      <c r="B1511" s="4" t="str">
        <f>+IF('Data Pura Costos'!B1511="","",'Data Pura Costos'!B1511)</f>
        <v/>
      </c>
      <c r="C1511" s="4" t="str">
        <f>+IF('Data Pura Costos'!C1511="","",'Data Pura Costos'!C1511)</f>
        <v/>
      </c>
      <c r="D1511" s="5" t="str">
        <f>+IF('Data Pura Costos'!D1511="","",'Data Pura Costos'!D1511)</f>
        <v/>
      </c>
      <c r="E1511" s="65" t="str">
        <f>+IF('Data Pura Costos'!E1511="","",IF('Data Pura Costos'!E1511=0,MAX('Data Pura Costos'!$E$7:$E$3000)*1000,'Data Pura Costos'!E1511))</f>
        <v/>
      </c>
      <c r="F1511" s="5" t="str">
        <f>+IF('Data Pura Costos'!F1511="","",'Data Pura Costos'!F1511)</f>
        <v/>
      </c>
      <c r="G1511" s="5" t="str">
        <f>+IF('Data Pura Costos'!G1511="","",'Data Pura Costos'!G1511)</f>
        <v/>
      </c>
      <c r="H1511" s="52" t="str">
        <f>+IF('Data Pura Costos'!H1511="","",'Data Pura Costos'!H1511)</f>
        <v/>
      </c>
      <c r="I1511" s="71" t="str">
        <f>+IF('Data Pura Costos'!I1511="","",'Data Pura Costos'!I1511)</f>
        <v/>
      </c>
      <c r="J1511" s="52" t="str">
        <f>+IF('Data Pura Costos'!J1511="","",'Data Pura Costos'!J1511)</f>
        <v/>
      </c>
      <c r="K1511" s="82" t="str">
        <f t="shared" si="28"/>
        <v/>
      </c>
    </row>
    <row r="1512" spans="2:11" x14ac:dyDescent="0.35">
      <c r="B1512" s="4" t="str">
        <f>+IF('Data Pura Costos'!B1512="","",'Data Pura Costos'!B1512)</f>
        <v/>
      </c>
      <c r="C1512" s="4" t="str">
        <f>+IF('Data Pura Costos'!C1512="","",'Data Pura Costos'!C1512)</f>
        <v/>
      </c>
      <c r="D1512" s="5" t="str">
        <f>+IF('Data Pura Costos'!D1512="","",'Data Pura Costos'!D1512)</f>
        <v/>
      </c>
      <c r="E1512" s="65" t="str">
        <f>+IF('Data Pura Costos'!E1512="","",IF('Data Pura Costos'!E1512=0,MAX('Data Pura Costos'!$E$7:$E$3000)*1000,'Data Pura Costos'!E1512))</f>
        <v/>
      </c>
      <c r="F1512" s="5" t="str">
        <f>+IF('Data Pura Costos'!F1512="","",'Data Pura Costos'!F1512)</f>
        <v/>
      </c>
      <c r="G1512" s="5" t="str">
        <f>+IF('Data Pura Costos'!G1512="","",'Data Pura Costos'!G1512)</f>
        <v/>
      </c>
      <c r="H1512" s="52" t="str">
        <f>+IF('Data Pura Costos'!H1512="","",'Data Pura Costos'!H1512)</f>
        <v/>
      </c>
      <c r="I1512" s="71" t="str">
        <f>+IF('Data Pura Costos'!I1512="","",'Data Pura Costos'!I1512)</f>
        <v/>
      </c>
      <c r="J1512" s="52" t="str">
        <f>+IF('Data Pura Costos'!J1512="","",'Data Pura Costos'!J1512)</f>
        <v/>
      </c>
      <c r="K1512" s="82" t="str">
        <f t="shared" si="28"/>
        <v/>
      </c>
    </row>
    <row r="1513" spans="2:11" x14ac:dyDescent="0.35">
      <c r="B1513" s="4" t="str">
        <f>+IF('Data Pura Costos'!B1513="","",'Data Pura Costos'!B1513)</f>
        <v/>
      </c>
      <c r="C1513" s="4" t="str">
        <f>+IF('Data Pura Costos'!C1513="","",'Data Pura Costos'!C1513)</f>
        <v/>
      </c>
      <c r="D1513" s="5" t="str">
        <f>+IF('Data Pura Costos'!D1513="","",'Data Pura Costos'!D1513)</f>
        <v/>
      </c>
      <c r="E1513" s="65" t="str">
        <f>+IF('Data Pura Costos'!E1513="","",IF('Data Pura Costos'!E1513=0,MAX('Data Pura Costos'!$E$7:$E$3000)*1000,'Data Pura Costos'!E1513))</f>
        <v/>
      </c>
      <c r="F1513" s="5" t="str">
        <f>+IF('Data Pura Costos'!F1513="","",'Data Pura Costos'!F1513)</f>
        <v/>
      </c>
      <c r="G1513" s="5" t="str">
        <f>+IF('Data Pura Costos'!G1513="","",'Data Pura Costos'!G1513)</f>
        <v/>
      </c>
      <c r="H1513" s="52" t="str">
        <f>+IF('Data Pura Costos'!H1513="","",'Data Pura Costos'!H1513)</f>
        <v/>
      </c>
      <c r="I1513" s="71" t="str">
        <f>+IF('Data Pura Costos'!I1513="","",'Data Pura Costos'!I1513)</f>
        <v/>
      </c>
      <c r="J1513" s="52" t="str">
        <f>+IF('Data Pura Costos'!J1513="","",'Data Pura Costos'!J1513)</f>
        <v/>
      </c>
      <c r="K1513" s="82" t="str">
        <f t="shared" si="28"/>
        <v/>
      </c>
    </row>
    <row r="1514" spans="2:11" x14ac:dyDescent="0.35">
      <c r="B1514" s="4" t="str">
        <f>+IF('Data Pura Costos'!B1514="","",'Data Pura Costos'!B1514)</f>
        <v/>
      </c>
      <c r="C1514" s="4" t="str">
        <f>+IF('Data Pura Costos'!C1514="","",'Data Pura Costos'!C1514)</f>
        <v/>
      </c>
      <c r="D1514" s="5" t="str">
        <f>+IF('Data Pura Costos'!D1514="","",'Data Pura Costos'!D1514)</f>
        <v/>
      </c>
      <c r="E1514" s="65" t="str">
        <f>+IF('Data Pura Costos'!E1514="","",IF('Data Pura Costos'!E1514=0,MAX('Data Pura Costos'!$E$7:$E$3000)*1000,'Data Pura Costos'!E1514))</f>
        <v/>
      </c>
      <c r="F1514" s="5" t="str">
        <f>+IF('Data Pura Costos'!F1514="","",'Data Pura Costos'!F1514)</f>
        <v/>
      </c>
      <c r="G1514" s="5" t="str">
        <f>+IF('Data Pura Costos'!G1514="","",'Data Pura Costos'!G1514)</f>
        <v/>
      </c>
      <c r="H1514" s="52" t="str">
        <f>+IF('Data Pura Costos'!H1514="","",'Data Pura Costos'!H1514)</f>
        <v/>
      </c>
      <c r="I1514" s="71" t="str">
        <f>+IF('Data Pura Costos'!I1514="","",'Data Pura Costos'!I1514)</f>
        <v/>
      </c>
      <c r="J1514" s="52" t="str">
        <f>+IF('Data Pura Costos'!J1514="","",'Data Pura Costos'!J1514)</f>
        <v/>
      </c>
      <c r="K1514" s="82" t="str">
        <f t="shared" si="28"/>
        <v/>
      </c>
    </row>
    <row r="1515" spans="2:11" x14ac:dyDescent="0.35">
      <c r="B1515" s="4" t="str">
        <f>+IF('Data Pura Costos'!B1515="","",'Data Pura Costos'!B1515)</f>
        <v/>
      </c>
      <c r="C1515" s="4" t="str">
        <f>+IF('Data Pura Costos'!C1515="","",'Data Pura Costos'!C1515)</f>
        <v/>
      </c>
      <c r="D1515" s="5" t="str">
        <f>+IF('Data Pura Costos'!D1515="","",'Data Pura Costos'!D1515)</f>
        <v/>
      </c>
      <c r="E1515" s="65" t="str">
        <f>+IF('Data Pura Costos'!E1515="","",IF('Data Pura Costos'!E1515=0,MAX('Data Pura Costos'!$E$7:$E$3000)*1000,'Data Pura Costos'!E1515))</f>
        <v/>
      </c>
      <c r="F1515" s="5" t="str">
        <f>+IF('Data Pura Costos'!F1515="","",'Data Pura Costos'!F1515)</f>
        <v/>
      </c>
      <c r="G1515" s="5" t="str">
        <f>+IF('Data Pura Costos'!G1515="","",'Data Pura Costos'!G1515)</f>
        <v/>
      </c>
      <c r="H1515" s="52" t="str">
        <f>+IF('Data Pura Costos'!H1515="","",'Data Pura Costos'!H1515)</f>
        <v/>
      </c>
      <c r="I1515" s="71" t="str">
        <f>+IF('Data Pura Costos'!I1515="","",'Data Pura Costos'!I1515)</f>
        <v/>
      </c>
      <c r="J1515" s="52" t="str">
        <f>+IF('Data Pura Costos'!J1515="","",'Data Pura Costos'!J1515)</f>
        <v/>
      </c>
      <c r="K1515" s="82" t="str">
        <f t="shared" si="28"/>
        <v/>
      </c>
    </row>
    <row r="1516" spans="2:11" x14ac:dyDescent="0.35">
      <c r="B1516" s="4" t="str">
        <f>+IF('Data Pura Costos'!B1516="","",'Data Pura Costos'!B1516)</f>
        <v/>
      </c>
      <c r="C1516" s="4" t="str">
        <f>+IF('Data Pura Costos'!C1516="","",'Data Pura Costos'!C1516)</f>
        <v/>
      </c>
      <c r="D1516" s="5" t="str">
        <f>+IF('Data Pura Costos'!D1516="","",'Data Pura Costos'!D1516)</f>
        <v/>
      </c>
      <c r="E1516" s="65" t="str">
        <f>+IF('Data Pura Costos'!E1516="","",IF('Data Pura Costos'!E1516=0,MAX('Data Pura Costos'!$E$7:$E$3000)*1000,'Data Pura Costos'!E1516))</f>
        <v/>
      </c>
      <c r="F1516" s="5" t="str">
        <f>+IF('Data Pura Costos'!F1516="","",'Data Pura Costos'!F1516)</f>
        <v/>
      </c>
      <c r="G1516" s="5" t="str">
        <f>+IF('Data Pura Costos'!G1516="","",'Data Pura Costos'!G1516)</f>
        <v/>
      </c>
      <c r="H1516" s="52" t="str">
        <f>+IF('Data Pura Costos'!H1516="","",'Data Pura Costos'!H1516)</f>
        <v/>
      </c>
      <c r="I1516" s="71" t="str">
        <f>+IF('Data Pura Costos'!I1516="","",'Data Pura Costos'!I1516)</f>
        <v/>
      </c>
      <c r="J1516" s="52" t="str">
        <f>+IF('Data Pura Costos'!J1516="","",'Data Pura Costos'!J1516)</f>
        <v/>
      </c>
      <c r="K1516" s="82" t="str">
        <f t="shared" si="28"/>
        <v/>
      </c>
    </row>
    <row r="1517" spans="2:11" x14ac:dyDescent="0.35">
      <c r="B1517" s="4" t="str">
        <f>+IF('Data Pura Costos'!B1517="","",'Data Pura Costos'!B1517)</f>
        <v/>
      </c>
      <c r="C1517" s="4" t="str">
        <f>+IF('Data Pura Costos'!C1517="","",'Data Pura Costos'!C1517)</f>
        <v/>
      </c>
      <c r="D1517" s="5" t="str">
        <f>+IF('Data Pura Costos'!D1517="","",'Data Pura Costos'!D1517)</f>
        <v/>
      </c>
      <c r="E1517" s="65" t="str">
        <f>+IF('Data Pura Costos'!E1517="","",IF('Data Pura Costos'!E1517=0,MAX('Data Pura Costos'!$E$7:$E$3000)*1000,'Data Pura Costos'!E1517))</f>
        <v/>
      </c>
      <c r="F1517" s="5" t="str">
        <f>+IF('Data Pura Costos'!F1517="","",'Data Pura Costos'!F1517)</f>
        <v/>
      </c>
      <c r="G1517" s="5" t="str">
        <f>+IF('Data Pura Costos'!G1517="","",'Data Pura Costos'!G1517)</f>
        <v/>
      </c>
      <c r="H1517" s="52" t="str">
        <f>+IF('Data Pura Costos'!H1517="","",'Data Pura Costos'!H1517)</f>
        <v/>
      </c>
      <c r="I1517" s="71" t="str">
        <f>+IF('Data Pura Costos'!I1517="","",'Data Pura Costos'!I1517)</f>
        <v/>
      </c>
      <c r="J1517" s="52" t="str">
        <f>+IF('Data Pura Costos'!J1517="","",'Data Pura Costos'!J1517)</f>
        <v/>
      </c>
      <c r="K1517" s="82" t="str">
        <f t="shared" si="28"/>
        <v/>
      </c>
    </row>
    <row r="1518" spans="2:11" x14ac:dyDescent="0.35">
      <c r="B1518" s="4" t="str">
        <f>+IF('Data Pura Costos'!B1518="","",'Data Pura Costos'!B1518)</f>
        <v/>
      </c>
      <c r="C1518" s="4" t="str">
        <f>+IF('Data Pura Costos'!C1518="","",'Data Pura Costos'!C1518)</f>
        <v/>
      </c>
      <c r="D1518" s="5" t="str">
        <f>+IF('Data Pura Costos'!D1518="","",'Data Pura Costos'!D1518)</f>
        <v/>
      </c>
      <c r="E1518" s="65" t="str">
        <f>+IF('Data Pura Costos'!E1518="","",IF('Data Pura Costos'!E1518=0,MAX('Data Pura Costos'!$E$7:$E$3000)*1000,'Data Pura Costos'!E1518))</f>
        <v/>
      </c>
      <c r="F1518" s="5" t="str">
        <f>+IF('Data Pura Costos'!F1518="","",'Data Pura Costos'!F1518)</f>
        <v/>
      </c>
      <c r="G1518" s="5" t="str">
        <f>+IF('Data Pura Costos'!G1518="","",'Data Pura Costos'!G1518)</f>
        <v/>
      </c>
      <c r="H1518" s="52" t="str">
        <f>+IF('Data Pura Costos'!H1518="","",'Data Pura Costos'!H1518)</f>
        <v/>
      </c>
      <c r="I1518" s="71" t="str">
        <f>+IF('Data Pura Costos'!I1518="","",'Data Pura Costos'!I1518)</f>
        <v/>
      </c>
      <c r="J1518" s="52" t="str">
        <f>+IF('Data Pura Costos'!J1518="","",'Data Pura Costos'!J1518)</f>
        <v/>
      </c>
      <c r="K1518" s="82" t="str">
        <f t="shared" si="28"/>
        <v/>
      </c>
    </row>
    <row r="1519" spans="2:11" x14ac:dyDescent="0.35">
      <c r="B1519" s="4" t="str">
        <f>+IF('Data Pura Costos'!B1519="","",'Data Pura Costos'!B1519)</f>
        <v/>
      </c>
      <c r="C1519" s="4" t="str">
        <f>+IF('Data Pura Costos'!C1519="","",'Data Pura Costos'!C1519)</f>
        <v/>
      </c>
      <c r="D1519" s="5" t="str">
        <f>+IF('Data Pura Costos'!D1519="","",'Data Pura Costos'!D1519)</f>
        <v/>
      </c>
      <c r="E1519" s="65" t="str">
        <f>+IF('Data Pura Costos'!E1519="","",IF('Data Pura Costos'!E1519=0,MAX('Data Pura Costos'!$E$7:$E$3000)*1000,'Data Pura Costos'!E1519))</f>
        <v/>
      </c>
      <c r="F1519" s="5" t="str">
        <f>+IF('Data Pura Costos'!F1519="","",'Data Pura Costos'!F1519)</f>
        <v/>
      </c>
      <c r="G1519" s="5" t="str">
        <f>+IF('Data Pura Costos'!G1519="","",'Data Pura Costos'!G1519)</f>
        <v/>
      </c>
      <c r="H1519" s="52" t="str">
        <f>+IF('Data Pura Costos'!H1519="","",'Data Pura Costos'!H1519)</f>
        <v/>
      </c>
      <c r="I1519" s="71" t="str">
        <f>+IF('Data Pura Costos'!I1519="","",'Data Pura Costos'!I1519)</f>
        <v/>
      </c>
      <c r="J1519" s="52" t="str">
        <f>+IF('Data Pura Costos'!J1519="","",'Data Pura Costos'!J1519)</f>
        <v/>
      </c>
      <c r="K1519" s="82" t="str">
        <f t="shared" si="28"/>
        <v/>
      </c>
    </row>
    <row r="1520" spans="2:11" x14ac:dyDescent="0.35">
      <c r="B1520" s="4" t="str">
        <f>+IF('Data Pura Costos'!B1520="","",'Data Pura Costos'!B1520)</f>
        <v/>
      </c>
      <c r="C1520" s="4" t="str">
        <f>+IF('Data Pura Costos'!C1520="","",'Data Pura Costos'!C1520)</f>
        <v/>
      </c>
      <c r="D1520" s="5" t="str">
        <f>+IF('Data Pura Costos'!D1520="","",'Data Pura Costos'!D1520)</f>
        <v/>
      </c>
      <c r="E1520" s="65" t="str">
        <f>+IF('Data Pura Costos'!E1520="","",IF('Data Pura Costos'!E1520=0,MAX('Data Pura Costos'!$E$7:$E$3000)*1000,'Data Pura Costos'!E1520))</f>
        <v/>
      </c>
      <c r="F1520" s="5" t="str">
        <f>+IF('Data Pura Costos'!F1520="","",'Data Pura Costos'!F1520)</f>
        <v/>
      </c>
      <c r="G1520" s="5" t="str">
        <f>+IF('Data Pura Costos'!G1520="","",'Data Pura Costos'!G1520)</f>
        <v/>
      </c>
      <c r="H1520" s="52" t="str">
        <f>+IF('Data Pura Costos'!H1520="","",'Data Pura Costos'!H1520)</f>
        <v/>
      </c>
      <c r="I1520" s="71" t="str">
        <f>+IF('Data Pura Costos'!I1520="","",'Data Pura Costos'!I1520)</f>
        <v/>
      </c>
      <c r="J1520" s="52" t="str">
        <f>+IF('Data Pura Costos'!J1520="","",'Data Pura Costos'!J1520)</f>
        <v/>
      </c>
      <c r="K1520" s="82" t="str">
        <f t="shared" si="28"/>
        <v/>
      </c>
    </row>
    <row r="1521" spans="2:11" x14ac:dyDescent="0.35">
      <c r="B1521" s="4" t="str">
        <f>+IF('Data Pura Costos'!B1521="","",'Data Pura Costos'!B1521)</f>
        <v/>
      </c>
      <c r="C1521" s="4" t="str">
        <f>+IF('Data Pura Costos'!C1521="","",'Data Pura Costos'!C1521)</f>
        <v/>
      </c>
      <c r="D1521" s="5" t="str">
        <f>+IF('Data Pura Costos'!D1521="","",'Data Pura Costos'!D1521)</f>
        <v/>
      </c>
      <c r="E1521" s="65" t="str">
        <f>+IF('Data Pura Costos'!E1521="","",IF('Data Pura Costos'!E1521=0,MAX('Data Pura Costos'!$E$7:$E$3000)*1000,'Data Pura Costos'!E1521))</f>
        <v/>
      </c>
      <c r="F1521" s="5" t="str">
        <f>+IF('Data Pura Costos'!F1521="","",'Data Pura Costos'!F1521)</f>
        <v/>
      </c>
      <c r="G1521" s="5" t="str">
        <f>+IF('Data Pura Costos'!G1521="","",'Data Pura Costos'!G1521)</f>
        <v/>
      </c>
      <c r="H1521" s="52" t="str">
        <f>+IF('Data Pura Costos'!H1521="","",'Data Pura Costos'!H1521)</f>
        <v/>
      </c>
      <c r="I1521" s="71" t="str">
        <f>+IF('Data Pura Costos'!I1521="","",'Data Pura Costos'!I1521)</f>
        <v/>
      </c>
      <c r="J1521" s="52" t="str">
        <f>+IF('Data Pura Costos'!J1521="","",'Data Pura Costos'!J1521)</f>
        <v/>
      </c>
      <c r="K1521" s="82" t="str">
        <f t="shared" si="28"/>
        <v/>
      </c>
    </row>
    <row r="1522" spans="2:11" x14ac:dyDescent="0.35">
      <c r="B1522" s="4" t="str">
        <f>+IF('Data Pura Costos'!B1522="","",'Data Pura Costos'!B1522)</f>
        <v/>
      </c>
      <c r="C1522" s="4" t="str">
        <f>+IF('Data Pura Costos'!C1522="","",'Data Pura Costos'!C1522)</f>
        <v/>
      </c>
      <c r="D1522" s="5" t="str">
        <f>+IF('Data Pura Costos'!D1522="","",'Data Pura Costos'!D1522)</f>
        <v/>
      </c>
      <c r="E1522" s="65" t="str">
        <f>+IF('Data Pura Costos'!E1522="","",IF('Data Pura Costos'!E1522=0,MAX('Data Pura Costos'!$E$7:$E$3000)*1000,'Data Pura Costos'!E1522))</f>
        <v/>
      </c>
      <c r="F1522" s="5" t="str">
        <f>+IF('Data Pura Costos'!F1522="","",'Data Pura Costos'!F1522)</f>
        <v/>
      </c>
      <c r="G1522" s="5" t="str">
        <f>+IF('Data Pura Costos'!G1522="","",'Data Pura Costos'!G1522)</f>
        <v/>
      </c>
      <c r="H1522" s="52" t="str">
        <f>+IF('Data Pura Costos'!H1522="","",'Data Pura Costos'!H1522)</f>
        <v/>
      </c>
      <c r="I1522" s="71" t="str">
        <f>+IF('Data Pura Costos'!I1522="","",'Data Pura Costos'!I1522)</f>
        <v/>
      </c>
      <c r="J1522" s="52" t="str">
        <f>+IF('Data Pura Costos'!J1522="","",'Data Pura Costos'!J1522)</f>
        <v/>
      </c>
      <c r="K1522" s="82" t="str">
        <f t="shared" si="28"/>
        <v/>
      </c>
    </row>
    <row r="1523" spans="2:11" x14ac:dyDescent="0.35">
      <c r="B1523" s="4" t="str">
        <f>+IF('Data Pura Costos'!B1523="","",'Data Pura Costos'!B1523)</f>
        <v/>
      </c>
      <c r="C1523" s="4" t="str">
        <f>+IF('Data Pura Costos'!C1523="","",'Data Pura Costos'!C1523)</f>
        <v/>
      </c>
      <c r="D1523" s="5" t="str">
        <f>+IF('Data Pura Costos'!D1523="","",'Data Pura Costos'!D1523)</f>
        <v/>
      </c>
      <c r="E1523" s="65" t="str">
        <f>+IF('Data Pura Costos'!E1523="","",IF('Data Pura Costos'!E1523=0,MAX('Data Pura Costos'!$E$7:$E$3000)*1000,'Data Pura Costos'!E1523))</f>
        <v/>
      </c>
      <c r="F1523" s="5" t="str">
        <f>+IF('Data Pura Costos'!F1523="","",'Data Pura Costos'!F1523)</f>
        <v/>
      </c>
      <c r="G1523" s="5" t="str">
        <f>+IF('Data Pura Costos'!G1523="","",'Data Pura Costos'!G1523)</f>
        <v/>
      </c>
      <c r="H1523" s="52" t="str">
        <f>+IF('Data Pura Costos'!H1523="","",'Data Pura Costos'!H1523)</f>
        <v/>
      </c>
      <c r="I1523" s="71" t="str">
        <f>+IF('Data Pura Costos'!I1523="","",'Data Pura Costos'!I1523)</f>
        <v/>
      </c>
      <c r="J1523" s="52" t="str">
        <f>+IF('Data Pura Costos'!J1523="","",'Data Pura Costos'!J1523)</f>
        <v/>
      </c>
      <c r="K1523" s="82" t="str">
        <f t="shared" si="28"/>
        <v/>
      </c>
    </row>
    <row r="1524" spans="2:11" x14ac:dyDescent="0.35">
      <c r="B1524" s="4" t="str">
        <f>+IF('Data Pura Costos'!B1524="","",'Data Pura Costos'!B1524)</f>
        <v/>
      </c>
      <c r="C1524" s="4" t="str">
        <f>+IF('Data Pura Costos'!C1524="","",'Data Pura Costos'!C1524)</f>
        <v/>
      </c>
      <c r="D1524" s="5" t="str">
        <f>+IF('Data Pura Costos'!D1524="","",'Data Pura Costos'!D1524)</f>
        <v/>
      </c>
      <c r="E1524" s="65" t="str">
        <f>+IF('Data Pura Costos'!E1524="","",IF('Data Pura Costos'!E1524=0,MAX('Data Pura Costos'!$E$7:$E$3000)*1000,'Data Pura Costos'!E1524))</f>
        <v/>
      </c>
      <c r="F1524" s="5" t="str">
        <f>+IF('Data Pura Costos'!F1524="","",'Data Pura Costos'!F1524)</f>
        <v/>
      </c>
      <c r="G1524" s="5" t="str">
        <f>+IF('Data Pura Costos'!G1524="","",'Data Pura Costos'!G1524)</f>
        <v/>
      </c>
      <c r="H1524" s="52" t="str">
        <f>+IF('Data Pura Costos'!H1524="","",'Data Pura Costos'!H1524)</f>
        <v/>
      </c>
      <c r="I1524" s="71" t="str">
        <f>+IF('Data Pura Costos'!I1524="","",'Data Pura Costos'!I1524)</f>
        <v/>
      </c>
      <c r="J1524" s="52" t="str">
        <f>+IF('Data Pura Costos'!J1524="","",'Data Pura Costos'!J1524)</f>
        <v/>
      </c>
      <c r="K1524" s="82" t="str">
        <f t="shared" si="28"/>
        <v/>
      </c>
    </row>
    <row r="1525" spans="2:11" x14ac:dyDescent="0.35">
      <c r="B1525" s="4" t="str">
        <f>+IF('Data Pura Costos'!B1525="","",'Data Pura Costos'!B1525)</f>
        <v/>
      </c>
      <c r="C1525" s="4" t="str">
        <f>+IF('Data Pura Costos'!C1525="","",'Data Pura Costos'!C1525)</f>
        <v/>
      </c>
      <c r="D1525" s="5" t="str">
        <f>+IF('Data Pura Costos'!D1525="","",'Data Pura Costos'!D1525)</f>
        <v/>
      </c>
      <c r="E1525" s="65" t="str">
        <f>+IF('Data Pura Costos'!E1525="","",IF('Data Pura Costos'!E1525=0,MAX('Data Pura Costos'!$E$7:$E$3000)*1000,'Data Pura Costos'!E1525))</f>
        <v/>
      </c>
      <c r="F1525" s="5" t="str">
        <f>+IF('Data Pura Costos'!F1525="","",'Data Pura Costos'!F1525)</f>
        <v/>
      </c>
      <c r="G1525" s="5" t="str">
        <f>+IF('Data Pura Costos'!G1525="","",'Data Pura Costos'!G1525)</f>
        <v/>
      </c>
      <c r="H1525" s="52" t="str">
        <f>+IF('Data Pura Costos'!H1525="","",'Data Pura Costos'!H1525)</f>
        <v/>
      </c>
      <c r="I1525" s="71" t="str">
        <f>+IF('Data Pura Costos'!I1525="","",'Data Pura Costos'!I1525)</f>
        <v/>
      </c>
      <c r="J1525" s="52" t="str">
        <f>+IF('Data Pura Costos'!J1525="","",'Data Pura Costos'!J1525)</f>
        <v/>
      </c>
      <c r="K1525" s="82" t="str">
        <f t="shared" si="28"/>
        <v/>
      </c>
    </row>
    <row r="1526" spans="2:11" x14ac:dyDescent="0.35">
      <c r="B1526" s="4" t="str">
        <f>+IF('Data Pura Costos'!B1526="","",'Data Pura Costos'!B1526)</f>
        <v/>
      </c>
      <c r="C1526" s="4" t="str">
        <f>+IF('Data Pura Costos'!C1526="","",'Data Pura Costos'!C1526)</f>
        <v/>
      </c>
      <c r="D1526" s="5" t="str">
        <f>+IF('Data Pura Costos'!D1526="","",'Data Pura Costos'!D1526)</f>
        <v/>
      </c>
      <c r="E1526" s="65" t="str">
        <f>+IF('Data Pura Costos'!E1526="","",IF('Data Pura Costos'!E1526=0,MAX('Data Pura Costos'!$E$7:$E$3000)*1000,'Data Pura Costos'!E1526))</f>
        <v/>
      </c>
      <c r="F1526" s="5" t="str">
        <f>+IF('Data Pura Costos'!F1526="","",'Data Pura Costos'!F1526)</f>
        <v/>
      </c>
      <c r="G1526" s="5" t="str">
        <f>+IF('Data Pura Costos'!G1526="","",'Data Pura Costos'!G1526)</f>
        <v/>
      </c>
      <c r="H1526" s="52" t="str">
        <f>+IF('Data Pura Costos'!H1526="","",'Data Pura Costos'!H1526)</f>
        <v/>
      </c>
      <c r="I1526" s="71" t="str">
        <f>+IF('Data Pura Costos'!I1526="","",'Data Pura Costos'!I1526)</f>
        <v/>
      </c>
      <c r="J1526" s="52" t="str">
        <f>+IF('Data Pura Costos'!J1526="","",'Data Pura Costos'!J1526)</f>
        <v/>
      </c>
      <c r="K1526" s="82" t="str">
        <f t="shared" si="28"/>
        <v/>
      </c>
    </row>
    <row r="1527" spans="2:11" x14ac:dyDescent="0.35">
      <c r="B1527" s="4" t="str">
        <f>+IF('Data Pura Costos'!B1527="","",'Data Pura Costos'!B1527)</f>
        <v/>
      </c>
      <c r="C1527" s="4" t="str">
        <f>+IF('Data Pura Costos'!C1527="","",'Data Pura Costos'!C1527)</f>
        <v/>
      </c>
      <c r="D1527" s="5" t="str">
        <f>+IF('Data Pura Costos'!D1527="","",'Data Pura Costos'!D1527)</f>
        <v/>
      </c>
      <c r="E1527" s="65" t="str">
        <f>+IF('Data Pura Costos'!E1527="","",IF('Data Pura Costos'!E1527=0,MAX('Data Pura Costos'!$E$7:$E$3000)*1000,'Data Pura Costos'!E1527))</f>
        <v/>
      </c>
      <c r="F1527" s="5" t="str">
        <f>+IF('Data Pura Costos'!F1527="","",'Data Pura Costos'!F1527)</f>
        <v/>
      </c>
      <c r="G1527" s="5" t="str">
        <f>+IF('Data Pura Costos'!G1527="","",'Data Pura Costos'!G1527)</f>
        <v/>
      </c>
      <c r="H1527" s="52" t="str">
        <f>+IF('Data Pura Costos'!H1527="","",'Data Pura Costos'!H1527)</f>
        <v/>
      </c>
      <c r="I1527" s="71" t="str">
        <f>+IF('Data Pura Costos'!I1527="","",'Data Pura Costos'!I1527)</f>
        <v/>
      </c>
      <c r="J1527" s="52" t="str">
        <f>+IF('Data Pura Costos'!J1527="","",'Data Pura Costos'!J1527)</f>
        <v/>
      </c>
      <c r="K1527" s="82" t="str">
        <f t="shared" si="28"/>
        <v/>
      </c>
    </row>
    <row r="1528" spans="2:11" x14ac:dyDescent="0.35">
      <c r="B1528" s="4" t="str">
        <f>+IF('Data Pura Costos'!B1528="","",'Data Pura Costos'!B1528)</f>
        <v/>
      </c>
      <c r="C1528" s="4" t="str">
        <f>+IF('Data Pura Costos'!C1528="","",'Data Pura Costos'!C1528)</f>
        <v/>
      </c>
      <c r="D1528" s="5" t="str">
        <f>+IF('Data Pura Costos'!D1528="","",'Data Pura Costos'!D1528)</f>
        <v/>
      </c>
      <c r="E1528" s="65" t="str">
        <f>+IF('Data Pura Costos'!E1528="","",IF('Data Pura Costos'!E1528=0,MAX('Data Pura Costos'!$E$7:$E$3000)*1000,'Data Pura Costos'!E1528))</f>
        <v/>
      </c>
      <c r="F1528" s="5" t="str">
        <f>+IF('Data Pura Costos'!F1528="","",'Data Pura Costos'!F1528)</f>
        <v/>
      </c>
      <c r="G1528" s="5" t="str">
        <f>+IF('Data Pura Costos'!G1528="","",'Data Pura Costos'!G1528)</f>
        <v/>
      </c>
      <c r="H1528" s="52" t="str">
        <f>+IF('Data Pura Costos'!H1528="","",'Data Pura Costos'!H1528)</f>
        <v/>
      </c>
      <c r="I1528" s="71" t="str">
        <f>+IF('Data Pura Costos'!I1528="","",'Data Pura Costos'!I1528)</f>
        <v/>
      </c>
      <c r="J1528" s="52" t="str">
        <f>+IF('Data Pura Costos'!J1528="","",'Data Pura Costos'!J1528)</f>
        <v/>
      </c>
      <c r="K1528" s="82" t="str">
        <f t="shared" si="28"/>
        <v/>
      </c>
    </row>
    <row r="1529" spans="2:11" x14ac:dyDescent="0.35">
      <c r="B1529" s="4" t="str">
        <f>+IF('Data Pura Costos'!B1529="","",'Data Pura Costos'!B1529)</f>
        <v/>
      </c>
      <c r="C1529" s="4" t="str">
        <f>+IF('Data Pura Costos'!C1529="","",'Data Pura Costos'!C1529)</f>
        <v/>
      </c>
      <c r="D1529" s="5" t="str">
        <f>+IF('Data Pura Costos'!D1529="","",'Data Pura Costos'!D1529)</f>
        <v/>
      </c>
      <c r="E1529" s="65" t="str">
        <f>+IF('Data Pura Costos'!E1529="","",IF('Data Pura Costos'!E1529=0,MAX('Data Pura Costos'!$E$7:$E$3000)*1000,'Data Pura Costos'!E1529))</f>
        <v/>
      </c>
      <c r="F1529" s="5" t="str">
        <f>+IF('Data Pura Costos'!F1529="","",'Data Pura Costos'!F1529)</f>
        <v/>
      </c>
      <c r="G1529" s="5" t="str">
        <f>+IF('Data Pura Costos'!G1529="","",'Data Pura Costos'!G1529)</f>
        <v/>
      </c>
      <c r="H1529" s="52" t="str">
        <f>+IF('Data Pura Costos'!H1529="","",'Data Pura Costos'!H1529)</f>
        <v/>
      </c>
      <c r="I1529" s="71" t="str">
        <f>+IF('Data Pura Costos'!I1529="","",'Data Pura Costos'!I1529)</f>
        <v/>
      </c>
      <c r="J1529" s="52" t="str">
        <f>+IF('Data Pura Costos'!J1529="","",'Data Pura Costos'!J1529)</f>
        <v/>
      </c>
      <c r="K1529" s="82" t="str">
        <f t="shared" si="28"/>
        <v/>
      </c>
    </row>
    <row r="1530" spans="2:11" x14ac:dyDescent="0.35">
      <c r="B1530" s="4" t="str">
        <f>+IF('Data Pura Costos'!B1530="","",'Data Pura Costos'!B1530)</f>
        <v/>
      </c>
      <c r="C1530" s="4" t="str">
        <f>+IF('Data Pura Costos'!C1530="","",'Data Pura Costos'!C1530)</f>
        <v/>
      </c>
      <c r="D1530" s="5" t="str">
        <f>+IF('Data Pura Costos'!D1530="","",'Data Pura Costos'!D1530)</f>
        <v/>
      </c>
      <c r="E1530" s="65" t="str">
        <f>+IF('Data Pura Costos'!E1530="","",IF('Data Pura Costos'!E1530=0,MAX('Data Pura Costos'!$E$7:$E$3000)*1000,'Data Pura Costos'!E1530))</f>
        <v/>
      </c>
      <c r="F1530" s="5" t="str">
        <f>+IF('Data Pura Costos'!F1530="","",'Data Pura Costos'!F1530)</f>
        <v/>
      </c>
      <c r="G1530" s="5" t="str">
        <f>+IF('Data Pura Costos'!G1530="","",'Data Pura Costos'!G1530)</f>
        <v/>
      </c>
      <c r="H1530" s="52" t="str">
        <f>+IF('Data Pura Costos'!H1530="","",'Data Pura Costos'!H1530)</f>
        <v/>
      </c>
      <c r="I1530" s="71" t="str">
        <f>+IF('Data Pura Costos'!I1530="","",'Data Pura Costos'!I1530)</f>
        <v/>
      </c>
      <c r="J1530" s="52" t="str">
        <f>+IF('Data Pura Costos'!J1530="","",'Data Pura Costos'!J1530)</f>
        <v/>
      </c>
      <c r="K1530" s="82" t="str">
        <f t="shared" si="28"/>
        <v/>
      </c>
    </row>
    <row r="1531" spans="2:11" x14ac:dyDescent="0.35">
      <c r="B1531" s="4" t="str">
        <f>+IF('Data Pura Costos'!B1531="","",'Data Pura Costos'!B1531)</f>
        <v/>
      </c>
      <c r="C1531" s="4" t="str">
        <f>+IF('Data Pura Costos'!C1531="","",'Data Pura Costos'!C1531)</f>
        <v/>
      </c>
      <c r="D1531" s="5" t="str">
        <f>+IF('Data Pura Costos'!D1531="","",'Data Pura Costos'!D1531)</f>
        <v/>
      </c>
      <c r="E1531" s="65" t="str">
        <f>+IF('Data Pura Costos'!E1531="","",IF('Data Pura Costos'!E1531=0,MAX('Data Pura Costos'!$E$7:$E$3000)*1000,'Data Pura Costos'!E1531))</f>
        <v/>
      </c>
      <c r="F1531" s="5" t="str">
        <f>+IF('Data Pura Costos'!F1531="","",'Data Pura Costos'!F1531)</f>
        <v/>
      </c>
      <c r="G1531" s="5" t="str">
        <f>+IF('Data Pura Costos'!G1531="","",'Data Pura Costos'!G1531)</f>
        <v/>
      </c>
      <c r="H1531" s="52" t="str">
        <f>+IF('Data Pura Costos'!H1531="","",'Data Pura Costos'!H1531)</f>
        <v/>
      </c>
      <c r="I1531" s="71" t="str">
        <f>+IF('Data Pura Costos'!I1531="","",'Data Pura Costos'!I1531)</f>
        <v/>
      </c>
      <c r="J1531" s="52" t="str">
        <f>+IF('Data Pura Costos'!J1531="","",'Data Pura Costos'!J1531)</f>
        <v/>
      </c>
      <c r="K1531" s="82" t="str">
        <f t="shared" si="28"/>
        <v/>
      </c>
    </row>
    <row r="1532" spans="2:11" x14ac:dyDescent="0.35">
      <c r="B1532" s="4" t="str">
        <f>+IF('Data Pura Costos'!B1532="","",'Data Pura Costos'!B1532)</f>
        <v/>
      </c>
      <c r="C1532" s="4" t="str">
        <f>+IF('Data Pura Costos'!C1532="","",'Data Pura Costos'!C1532)</f>
        <v/>
      </c>
      <c r="D1532" s="5" t="str">
        <f>+IF('Data Pura Costos'!D1532="","",'Data Pura Costos'!D1532)</f>
        <v/>
      </c>
      <c r="E1532" s="65" t="str">
        <f>+IF('Data Pura Costos'!E1532="","",IF('Data Pura Costos'!E1532=0,MAX('Data Pura Costos'!$E$7:$E$3000)*1000,'Data Pura Costos'!E1532))</f>
        <v/>
      </c>
      <c r="F1532" s="5" t="str">
        <f>+IF('Data Pura Costos'!F1532="","",'Data Pura Costos'!F1532)</f>
        <v/>
      </c>
      <c r="G1532" s="5" t="str">
        <f>+IF('Data Pura Costos'!G1532="","",'Data Pura Costos'!G1532)</f>
        <v/>
      </c>
      <c r="H1532" s="52" t="str">
        <f>+IF('Data Pura Costos'!H1532="","",'Data Pura Costos'!H1532)</f>
        <v/>
      </c>
      <c r="I1532" s="71" t="str">
        <f>+IF('Data Pura Costos'!I1532="","",'Data Pura Costos'!I1532)</f>
        <v/>
      </c>
      <c r="J1532" s="52" t="str">
        <f>+IF('Data Pura Costos'!J1532="","",'Data Pura Costos'!J1532)</f>
        <v/>
      </c>
      <c r="K1532" s="82" t="str">
        <f t="shared" ref="K1532:K1595" si="29">+IF(B1532="","",CONCATENATE(B1532,"-",F1532,"-",G1532))</f>
        <v/>
      </c>
    </row>
    <row r="1533" spans="2:11" x14ac:dyDescent="0.35">
      <c r="B1533" s="4" t="str">
        <f>+IF('Data Pura Costos'!B1533="","",'Data Pura Costos'!B1533)</f>
        <v/>
      </c>
      <c r="C1533" s="4" t="str">
        <f>+IF('Data Pura Costos'!C1533="","",'Data Pura Costos'!C1533)</f>
        <v/>
      </c>
      <c r="D1533" s="5" t="str">
        <f>+IF('Data Pura Costos'!D1533="","",'Data Pura Costos'!D1533)</f>
        <v/>
      </c>
      <c r="E1533" s="65" t="str">
        <f>+IF('Data Pura Costos'!E1533="","",IF('Data Pura Costos'!E1533=0,MAX('Data Pura Costos'!$E$7:$E$3000)*1000,'Data Pura Costos'!E1533))</f>
        <v/>
      </c>
      <c r="F1533" s="5" t="str">
        <f>+IF('Data Pura Costos'!F1533="","",'Data Pura Costos'!F1533)</f>
        <v/>
      </c>
      <c r="G1533" s="5" t="str">
        <f>+IF('Data Pura Costos'!G1533="","",'Data Pura Costos'!G1533)</f>
        <v/>
      </c>
      <c r="H1533" s="52" t="str">
        <f>+IF('Data Pura Costos'!H1533="","",'Data Pura Costos'!H1533)</f>
        <v/>
      </c>
      <c r="I1533" s="71" t="str">
        <f>+IF('Data Pura Costos'!I1533="","",'Data Pura Costos'!I1533)</f>
        <v/>
      </c>
      <c r="J1533" s="52" t="str">
        <f>+IF('Data Pura Costos'!J1533="","",'Data Pura Costos'!J1533)</f>
        <v/>
      </c>
      <c r="K1533" s="82" t="str">
        <f t="shared" si="29"/>
        <v/>
      </c>
    </row>
    <row r="1534" spans="2:11" x14ac:dyDescent="0.35">
      <c r="B1534" s="4" t="str">
        <f>+IF('Data Pura Costos'!B1534="","",'Data Pura Costos'!B1534)</f>
        <v/>
      </c>
      <c r="C1534" s="4" t="str">
        <f>+IF('Data Pura Costos'!C1534="","",'Data Pura Costos'!C1534)</f>
        <v/>
      </c>
      <c r="D1534" s="5" t="str">
        <f>+IF('Data Pura Costos'!D1534="","",'Data Pura Costos'!D1534)</f>
        <v/>
      </c>
      <c r="E1534" s="65" t="str">
        <f>+IF('Data Pura Costos'!E1534="","",IF('Data Pura Costos'!E1534=0,MAX('Data Pura Costos'!$E$7:$E$3000)*1000,'Data Pura Costos'!E1534))</f>
        <v/>
      </c>
      <c r="F1534" s="5" t="str">
        <f>+IF('Data Pura Costos'!F1534="","",'Data Pura Costos'!F1534)</f>
        <v/>
      </c>
      <c r="G1534" s="5" t="str">
        <f>+IF('Data Pura Costos'!G1534="","",'Data Pura Costos'!G1534)</f>
        <v/>
      </c>
      <c r="H1534" s="52" t="str">
        <f>+IF('Data Pura Costos'!H1534="","",'Data Pura Costos'!H1534)</f>
        <v/>
      </c>
      <c r="I1534" s="71" t="str">
        <f>+IF('Data Pura Costos'!I1534="","",'Data Pura Costos'!I1534)</f>
        <v/>
      </c>
      <c r="J1534" s="52" t="str">
        <f>+IF('Data Pura Costos'!J1534="","",'Data Pura Costos'!J1534)</f>
        <v/>
      </c>
      <c r="K1534" s="82" t="str">
        <f t="shared" si="29"/>
        <v/>
      </c>
    </row>
    <row r="1535" spans="2:11" x14ac:dyDescent="0.35">
      <c r="B1535" s="4" t="str">
        <f>+IF('Data Pura Costos'!B1535="","",'Data Pura Costos'!B1535)</f>
        <v/>
      </c>
      <c r="C1535" s="4" t="str">
        <f>+IF('Data Pura Costos'!C1535="","",'Data Pura Costos'!C1535)</f>
        <v/>
      </c>
      <c r="D1535" s="5" t="str">
        <f>+IF('Data Pura Costos'!D1535="","",'Data Pura Costos'!D1535)</f>
        <v/>
      </c>
      <c r="E1535" s="65" t="str">
        <f>+IF('Data Pura Costos'!E1535="","",IF('Data Pura Costos'!E1535=0,MAX('Data Pura Costos'!$E$7:$E$3000)*1000,'Data Pura Costos'!E1535))</f>
        <v/>
      </c>
      <c r="F1535" s="5" t="str">
        <f>+IF('Data Pura Costos'!F1535="","",'Data Pura Costos'!F1535)</f>
        <v/>
      </c>
      <c r="G1535" s="5" t="str">
        <f>+IF('Data Pura Costos'!G1535="","",'Data Pura Costos'!G1535)</f>
        <v/>
      </c>
      <c r="H1535" s="52" t="str">
        <f>+IF('Data Pura Costos'!H1535="","",'Data Pura Costos'!H1535)</f>
        <v/>
      </c>
      <c r="I1535" s="71" t="str">
        <f>+IF('Data Pura Costos'!I1535="","",'Data Pura Costos'!I1535)</f>
        <v/>
      </c>
      <c r="J1535" s="52" t="str">
        <f>+IF('Data Pura Costos'!J1535="","",'Data Pura Costos'!J1535)</f>
        <v/>
      </c>
      <c r="K1535" s="82" t="str">
        <f t="shared" si="29"/>
        <v/>
      </c>
    </row>
    <row r="1536" spans="2:11" x14ac:dyDescent="0.35">
      <c r="B1536" s="4" t="str">
        <f>+IF('Data Pura Costos'!B1536="","",'Data Pura Costos'!B1536)</f>
        <v/>
      </c>
      <c r="C1536" s="4" t="str">
        <f>+IF('Data Pura Costos'!C1536="","",'Data Pura Costos'!C1536)</f>
        <v/>
      </c>
      <c r="D1536" s="5" t="str">
        <f>+IF('Data Pura Costos'!D1536="","",'Data Pura Costos'!D1536)</f>
        <v/>
      </c>
      <c r="E1536" s="65" t="str">
        <f>+IF('Data Pura Costos'!E1536="","",IF('Data Pura Costos'!E1536=0,MAX('Data Pura Costos'!$E$7:$E$3000)*1000,'Data Pura Costos'!E1536))</f>
        <v/>
      </c>
      <c r="F1536" s="5" t="str">
        <f>+IF('Data Pura Costos'!F1536="","",'Data Pura Costos'!F1536)</f>
        <v/>
      </c>
      <c r="G1536" s="5" t="str">
        <f>+IF('Data Pura Costos'!G1536="","",'Data Pura Costos'!G1536)</f>
        <v/>
      </c>
      <c r="H1536" s="52" t="str">
        <f>+IF('Data Pura Costos'!H1536="","",'Data Pura Costos'!H1536)</f>
        <v/>
      </c>
      <c r="I1536" s="71" t="str">
        <f>+IF('Data Pura Costos'!I1536="","",'Data Pura Costos'!I1536)</f>
        <v/>
      </c>
      <c r="J1536" s="52" t="str">
        <f>+IF('Data Pura Costos'!J1536="","",'Data Pura Costos'!J1536)</f>
        <v/>
      </c>
      <c r="K1536" s="82" t="str">
        <f t="shared" si="29"/>
        <v/>
      </c>
    </row>
    <row r="1537" spans="2:11" x14ac:dyDescent="0.35">
      <c r="B1537" s="4" t="str">
        <f>+IF('Data Pura Costos'!B1537="","",'Data Pura Costos'!B1537)</f>
        <v/>
      </c>
      <c r="C1537" s="4" t="str">
        <f>+IF('Data Pura Costos'!C1537="","",'Data Pura Costos'!C1537)</f>
        <v/>
      </c>
      <c r="D1537" s="5" t="str">
        <f>+IF('Data Pura Costos'!D1537="","",'Data Pura Costos'!D1537)</f>
        <v/>
      </c>
      <c r="E1537" s="65" t="str">
        <f>+IF('Data Pura Costos'!E1537="","",IF('Data Pura Costos'!E1537=0,MAX('Data Pura Costos'!$E$7:$E$3000)*1000,'Data Pura Costos'!E1537))</f>
        <v/>
      </c>
      <c r="F1537" s="5" t="str">
        <f>+IF('Data Pura Costos'!F1537="","",'Data Pura Costos'!F1537)</f>
        <v/>
      </c>
      <c r="G1537" s="5" t="str">
        <f>+IF('Data Pura Costos'!G1537="","",'Data Pura Costos'!G1537)</f>
        <v/>
      </c>
      <c r="H1537" s="52" t="str">
        <f>+IF('Data Pura Costos'!H1537="","",'Data Pura Costos'!H1537)</f>
        <v/>
      </c>
      <c r="I1537" s="71" t="str">
        <f>+IF('Data Pura Costos'!I1537="","",'Data Pura Costos'!I1537)</f>
        <v/>
      </c>
      <c r="J1537" s="52" t="str">
        <f>+IF('Data Pura Costos'!J1537="","",'Data Pura Costos'!J1537)</f>
        <v/>
      </c>
      <c r="K1537" s="82" t="str">
        <f t="shared" si="29"/>
        <v/>
      </c>
    </row>
    <row r="1538" spans="2:11" x14ac:dyDescent="0.35">
      <c r="B1538" s="4" t="str">
        <f>+IF('Data Pura Costos'!B1538="","",'Data Pura Costos'!B1538)</f>
        <v/>
      </c>
      <c r="C1538" s="4" t="str">
        <f>+IF('Data Pura Costos'!C1538="","",'Data Pura Costos'!C1538)</f>
        <v/>
      </c>
      <c r="D1538" s="5" t="str">
        <f>+IF('Data Pura Costos'!D1538="","",'Data Pura Costos'!D1538)</f>
        <v/>
      </c>
      <c r="E1538" s="65" t="str">
        <f>+IF('Data Pura Costos'!E1538="","",IF('Data Pura Costos'!E1538=0,MAX('Data Pura Costos'!$E$7:$E$3000)*1000,'Data Pura Costos'!E1538))</f>
        <v/>
      </c>
      <c r="F1538" s="5" t="str">
        <f>+IF('Data Pura Costos'!F1538="","",'Data Pura Costos'!F1538)</f>
        <v/>
      </c>
      <c r="G1538" s="5" t="str">
        <f>+IF('Data Pura Costos'!G1538="","",'Data Pura Costos'!G1538)</f>
        <v/>
      </c>
      <c r="H1538" s="52" t="str">
        <f>+IF('Data Pura Costos'!H1538="","",'Data Pura Costos'!H1538)</f>
        <v/>
      </c>
      <c r="I1538" s="71" t="str">
        <f>+IF('Data Pura Costos'!I1538="","",'Data Pura Costos'!I1538)</f>
        <v/>
      </c>
      <c r="J1538" s="52" t="str">
        <f>+IF('Data Pura Costos'!J1538="","",'Data Pura Costos'!J1538)</f>
        <v/>
      </c>
      <c r="K1538" s="82" t="str">
        <f t="shared" si="29"/>
        <v/>
      </c>
    </row>
    <row r="1539" spans="2:11" x14ac:dyDescent="0.35">
      <c r="B1539" s="4" t="str">
        <f>+IF('Data Pura Costos'!B1539="","",'Data Pura Costos'!B1539)</f>
        <v/>
      </c>
      <c r="C1539" s="4" t="str">
        <f>+IF('Data Pura Costos'!C1539="","",'Data Pura Costos'!C1539)</f>
        <v/>
      </c>
      <c r="D1539" s="5" t="str">
        <f>+IF('Data Pura Costos'!D1539="","",'Data Pura Costos'!D1539)</f>
        <v/>
      </c>
      <c r="E1539" s="65" t="str">
        <f>+IF('Data Pura Costos'!E1539="","",IF('Data Pura Costos'!E1539=0,MAX('Data Pura Costos'!$E$7:$E$3000)*1000,'Data Pura Costos'!E1539))</f>
        <v/>
      </c>
      <c r="F1539" s="5" t="str">
        <f>+IF('Data Pura Costos'!F1539="","",'Data Pura Costos'!F1539)</f>
        <v/>
      </c>
      <c r="G1539" s="5" t="str">
        <f>+IF('Data Pura Costos'!G1539="","",'Data Pura Costos'!G1539)</f>
        <v/>
      </c>
      <c r="H1539" s="52" t="str">
        <f>+IF('Data Pura Costos'!H1539="","",'Data Pura Costos'!H1539)</f>
        <v/>
      </c>
      <c r="I1539" s="71" t="str">
        <f>+IF('Data Pura Costos'!I1539="","",'Data Pura Costos'!I1539)</f>
        <v/>
      </c>
      <c r="J1539" s="52" t="str">
        <f>+IF('Data Pura Costos'!J1539="","",'Data Pura Costos'!J1539)</f>
        <v/>
      </c>
      <c r="K1539" s="82" t="str">
        <f t="shared" si="29"/>
        <v/>
      </c>
    </row>
    <row r="1540" spans="2:11" x14ac:dyDescent="0.35">
      <c r="B1540" s="4" t="str">
        <f>+IF('Data Pura Costos'!B1540="","",'Data Pura Costos'!B1540)</f>
        <v/>
      </c>
      <c r="C1540" s="4" t="str">
        <f>+IF('Data Pura Costos'!C1540="","",'Data Pura Costos'!C1540)</f>
        <v/>
      </c>
      <c r="D1540" s="5" t="str">
        <f>+IF('Data Pura Costos'!D1540="","",'Data Pura Costos'!D1540)</f>
        <v/>
      </c>
      <c r="E1540" s="65" t="str">
        <f>+IF('Data Pura Costos'!E1540="","",IF('Data Pura Costos'!E1540=0,MAX('Data Pura Costos'!$E$7:$E$3000)*1000,'Data Pura Costos'!E1540))</f>
        <v/>
      </c>
      <c r="F1540" s="5" t="str">
        <f>+IF('Data Pura Costos'!F1540="","",'Data Pura Costos'!F1540)</f>
        <v/>
      </c>
      <c r="G1540" s="5" t="str">
        <f>+IF('Data Pura Costos'!G1540="","",'Data Pura Costos'!G1540)</f>
        <v/>
      </c>
      <c r="H1540" s="52" t="str">
        <f>+IF('Data Pura Costos'!H1540="","",'Data Pura Costos'!H1540)</f>
        <v/>
      </c>
      <c r="I1540" s="71" t="str">
        <f>+IF('Data Pura Costos'!I1540="","",'Data Pura Costos'!I1540)</f>
        <v/>
      </c>
      <c r="J1540" s="52" t="str">
        <f>+IF('Data Pura Costos'!J1540="","",'Data Pura Costos'!J1540)</f>
        <v/>
      </c>
      <c r="K1540" s="82" t="str">
        <f t="shared" si="29"/>
        <v/>
      </c>
    </row>
    <row r="1541" spans="2:11" x14ac:dyDescent="0.35">
      <c r="B1541" s="4" t="str">
        <f>+IF('Data Pura Costos'!B1541="","",'Data Pura Costos'!B1541)</f>
        <v/>
      </c>
      <c r="C1541" s="4" t="str">
        <f>+IF('Data Pura Costos'!C1541="","",'Data Pura Costos'!C1541)</f>
        <v/>
      </c>
      <c r="D1541" s="5" t="str">
        <f>+IF('Data Pura Costos'!D1541="","",'Data Pura Costos'!D1541)</f>
        <v/>
      </c>
      <c r="E1541" s="65" t="str">
        <f>+IF('Data Pura Costos'!E1541="","",IF('Data Pura Costos'!E1541=0,MAX('Data Pura Costos'!$E$7:$E$3000)*1000,'Data Pura Costos'!E1541))</f>
        <v/>
      </c>
      <c r="F1541" s="5" t="str">
        <f>+IF('Data Pura Costos'!F1541="","",'Data Pura Costos'!F1541)</f>
        <v/>
      </c>
      <c r="G1541" s="5" t="str">
        <f>+IF('Data Pura Costos'!G1541="","",'Data Pura Costos'!G1541)</f>
        <v/>
      </c>
      <c r="H1541" s="52" t="str">
        <f>+IF('Data Pura Costos'!H1541="","",'Data Pura Costos'!H1541)</f>
        <v/>
      </c>
      <c r="I1541" s="71" t="str">
        <f>+IF('Data Pura Costos'!I1541="","",'Data Pura Costos'!I1541)</f>
        <v/>
      </c>
      <c r="J1541" s="52" t="str">
        <f>+IF('Data Pura Costos'!J1541="","",'Data Pura Costos'!J1541)</f>
        <v/>
      </c>
      <c r="K1541" s="82" t="str">
        <f t="shared" si="29"/>
        <v/>
      </c>
    </row>
    <row r="1542" spans="2:11" x14ac:dyDescent="0.35">
      <c r="B1542" s="4" t="str">
        <f>+IF('Data Pura Costos'!B1542="","",'Data Pura Costos'!B1542)</f>
        <v/>
      </c>
      <c r="C1542" s="4" t="str">
        <f>+IF('Data Pura Costos'!C1542="","",'Data Pura Costos'!C1542)</f>
        <v/>
      </c>
      <c r="D1542" s="5" t="str">
        <f>+IF('Data Pura Costos'!D1542="","",'Data Pura Costos'!D1542)</f>
        <v/>
      </c>
      <c r="E1542" s="65" t="str">
        <f>+IF('Data Pura Costos'!E1542="","",IF('Data Pura Costos'!E1542=0,MAX('Data Pura Costos'!$E$7:$E$3000)*1000,'Data Pura Costos'!E1542))</f>
        <v/>
      </c>
      <c r="F1542" s="5" t="str">
        <f>+IF('Data Pura Costos'!F1542="","",'Data Pura Costos'!F1542)</f>
        <v/>
      </c>
      <c r="G1542" s="5" t="str">
        <f>+IF('Data Pura Costos'!G1542="","",'Data Pura Costos'!G1542)</f>
        <v/>
      </c>
      <c r="H1542" s="52" t="str">
        <f>+IF('Data Pura Costos'!H1542="","",'Data Pura Costos'!H1542)</f>
        <v/>
      </c>
      <c r="I1542" s="71" t="str">
        <f>+IF('Data Pura Costos'!I1542="","",'Data Pura Costos'!I1542)</f>
        <v/>
      </c>
      <c r="J1542" s="52" t="str">
        <f>+IF('Data Pura Costos'!J1542="","",'Data Pura Costos'!J1542)</f>
        <v/>
      </c>
      <c r="K1542" s="82" t="str">
        <f t="shared" si="29"/>
        <v/>
      </c>
    </row>
    <row r="1543" spans="2:11" x14ac:dyDescent="0.35">
      <c r="B1543" s="4" t="str">
        <f>+IF('Data Pura Costos'!B1543="","",'Data Pura Costos'!B1543)</f>
        <v/>
      </c>
      <c r="C1543" s="4" t="str">
        <f>+IF('Data Pura Costos'!C1543="","",'Data Pura Costos'!C1543)</f>
        <v/>
      </c>
      <c r="D1543" s="5" t="str">
        <f>+IF('Data Pura Costos'!D1543="","",'Data Pura Costos'!D1543)</f>
        <v/>
      </c>
      <c r="E1543" s="65" t="str">
        <f>+IF('Data Pura Costos'!E1543="","",IF('Data Pura Costos'!E1543=0,MAX('Data Pura Costos'!$E$7:$E$3000)*1000,'Data Pura Costos'!E1543))</f>
        <v/>
      </c>
      <c r="F1543" s="5" t="str">
        <f>+IF('Data Pura Costos'!F1543="","",'Data Pura Costos'!F1543)</f>
        <v/>
      </c>
      <c r="G1543" s="5" t="str">
        <f>+IF('Data Pura Costos'!G1543="","",'Data Pura Costos'!G1543)</f>
        <v/>
      </c>
      <c r="H1543" s="52" t="str">
        <f>+IF('Data Pura Costos'!H1543="","",'Data Pura Costos'!H1543)</f>
        <v/>
      </c>
      <c r="I1543" s="71" t="str">
        <f>+IF('Data Pura Costos'!I1543="","",'Data Pura Costos'!I1543)</f>
        <v/>
      </c>
      <c r="J1543" s="52" t="str">
        <f>+IF('Data Pura Costos'!J1543="","",'Data Pura Costos'!J1543)</f>
        <v/>
      </c>
      <c r="K1543" s="82" t="str">
        <f t="shared" si="29"/>
        <v/>
      </c>
    </row>
    <row r="1544" spans="2:11" x14ac:dyDescent="0.35">
      <c r="B1544" s="4" t="str">
        <f>+IF('Data Pura Costos'!B1544="","",'Data Pura Costos'!B1544)</f>
        <v/>
      </c>
      <c r="C1544" s="4" t="str">
        <f>+IF('Data Pura Costos'!C1544="","",'Data Pura Costos'!C1544)</f>
        <v/>
      </c>
      <c r="D1544" s="5" t="str">
        <f>+IF('Data Pura Costos'!D1544="","",'Data Pura Costos'!D1544)</f>
        <v/>
      </c>
      <c r="E1544" s="65" t="str">
        <f>+IF('Data Pura Costos'!E1544="","",IF('Data Pura Costos'!E1544=0,MAX('Data Pura Costos'!$E$7:$E$3000)*1000,'Data Pura Costos'!E1544))</f>
        <v/>
      </c>
      <c r="F1544" s="5" t="str">
        <f>+IF('Data Pura Costos'!F1544="","",'Data Pura Costos'!F1544)</f>
        <v/>
      </c>
      <c r="G1544" s="5" t="str">
        <f>+IF('Data Pura Costos'!G1544="","",'Data Pura Costos'!G1544)</f>
        <v/>
      </c>
      <c r="H1544" s="52" t="str">
        <f>+IF('Data Pura Costos'!H1544="","",'Data Pura Costos'!H1544)</f>
        <v/>
      </c>
      <c r="I1544" s="71" t="str">
        <f>+IF('Data Pura Costos'!I1544="","",'Data Pura Costos'!I1544)</f>
        <v/>
      </c>
      <c r="J1544" s="52" t="str">
        <f>+IF('Data Pura Costos'!J1544="","",'Data Pura Costos'!J1544)</f>
        <v/>
      </c>
      <c r="K1544" s="82" t="str">
        <f t="shared" si="29"/>
        <v/>
      </c>
    </row>
    <row r="1545" spans="2:11" x14ac:dyDescent="0.35">
      <c r="B1545" s="4" t="str">
        <f>+IF('Data Pura Costos'!B1545="","",'Data Pura Costos'!B1545)</f>
        <v/>
      </c>
      <c r="C1545" s="4" t="str">
        <f>+IF('Data Pura Costos'!C1545="","",'Data Pura Costos'!C1545)</f>
        <v/>
      </c>
      <c r="D1545" s="5" t="str">
        <f>+IF('Data Pura Costos'!D1545="","",'Data Pura Costos'!D1545)</f>
        <v/>
      </c>
      <c r="E1545" s="65" t="str">
        <f>+IF('Data Pura Costos'!E1545="","",IF('Data Pura Costos'!E1545=0,MAX('Data Pura Costos'!$E$7:$E$3000)*1000,'Data Pura Costos'!E1545))</f>
        <v/>
      </c>
      <c r="F1545" s="5" t="str">
        <f>+IF('Data Pura Costos'!F1545="","",'Data Pura Costos'!F1545)</f>
        <v/>
      </c>
      <c r="G1545" s="5" t="str">
        <f>+IF('Data Pura Costos'!G1545="","",'Data Pura Costos'!G1545)</f>
        <v/>
      </c>
      <c r="H1545" s="52" t="str">
        <f>+IF('Data Pura Costos'!H1545="","",'Data Pura Costos'!H1545)</f>
        <v/>
      </c>
      <c r="I1545" s="71" t="str">
        <f>+IF('Data Pura Costos'!I1545="","",'Data Pura Costos'!I1545)</f>
        <v/>
      </c>
      <c r="J1545" s="52" t="str">
        <f>+IF('Data Pura Costos'!J1545="","",'Data Pura Costos'!J1545)</f>
        <v/>
      </c>
      <c r="K1545" s="82" t="str">
        <f t="shared" si="29"/>
        <v/>
      </c>
    </row>
    <row r="1546" spans="2:11" x14ac:dyDescent="0.35">
      <c r="B1546" s="4" t="str">
        <f>+IF('Data Pura Costos'!B1546="","",'Data Pura Costos'!B1546)</f>
        <v/>
      </c>
      <c r="C1546" s="4" t="str">
        <f>+IF('Data Pura Costos'!C1546="","",'Data Pura Costos'!C1546)</f>
        <v/>
      </c>
      <c r="D1546" s="5" t="str">
        <f>+IF('Data Pura Costos'!D1546="","",'Data Pura Costos'!D1546)</f>
        <v/>
      </c>
      <c r="E1546" s="65" t="str">
        <f>+IF('Data Pura Costos'!E1546="","",IF('Data Pura Costos'!E1546=0,MAX('Data Pura Costos'!$E$7:$E$3000)*1000,'Data Pura Costos'!E1546))</f>
        <v/>
      </c>
      <c r="F1546" s="5" t="str">
        <f>+IF('Data Pura Costos'!F1546="","",'Data Pura Costos'!F1546)</f>
        <v/>
      </c>
      <c r="G1546" s="5" t="str">
        <f>+IF('Data Pura Costos'!G1546="","",'Data Pura Costos'!G1546)</f>
        <v/>
      </c>
      <c r="H1546" s="52" t="str">
        <f>+IF('Data Pura Costos'!H1546="","",'Data Pura Costos'!H1546)</f>
        <v/>
      </c>
      <c r="I1546" s="71" t="str">
        <f>+IF('Data Pura Costos'!I1546="","",'Data Pura Costos'!I1546)</f>
        <v/>
      </c>
      <c r="J1546" s="52" t="str">
        <f>+IF('Data Pura Costos'!J1546="","",'Data Pura Costos'!J1546)</f>
        <v/>
      </c>
      <c r="K1546" s="82" t="str">
        <f t="shared" si="29"/>
        <v/>
      </c>
    </row>
    <row r="1547" spans="2:11" x14ac:dyDescent="0.35">
      <c r="B1547" s="4" t="str">
        <f>+IF('Data Pura Costos'!B1547="","",'Data Pura Costos'!B1547)</f>
        <v/>
      </c>
      <c r="C1547" s="4" t="str">
        <f>+IF('Data Pura Costos'!C1547="","",'Data Pura Costos'!C1547)</f>
        <v/>
      </c>
      <c r="D1547" s="5" t="str">
        <f>+IF('Data Pura Costos'!D1547="","",'Data Pura Costos'!D1547)</f>
        <v/>
      </c>
      <c r="E1547" s="65" t="str">
        <f>+IF('Data Pura Costos'!E1547="","",IF('Data Pura Costos'!E1547=0,MAX('Data Pura Costos'!$E$7:$E$3000)*1000,'Data Pura Costos'!E1547))</f>
        <v/>
      </c>
      <c r="F1547" s="5" t="str">
        <f>+IF('Data Pura Costos'!F1547="","",'Data Pura Costos'!F1547)</f>
        <v/>
      </c>
      <c r="G1547" s="5" t="str">
        <f>+IF('Data Pura Costos'!G1547="","",'Data Pura Costos'!G1547)</f>
        <v/>
      </c>
      <c r="H1547" s="52" t="str">
        <f>+IF('Data Pura Costos'!H1547="","",'Data Pura Costos'!H1547)</f>
        <v/>
      </c>
      <c r="I1547" s="71" t="str">
        <f>+IF('Data Pura Costos'!I1547="","",'Data Pura Costos'!I1547)</f>
        <v/>
      </c>
      <c r="J1547" s="52" t="str">
        <f>+IF('Data Pura Costos'!J1547="","",'Data Pura Costos'!J1547)</f>
        <v/>
      </c>
      <c r="K1547" s="82" t="str">
        <f t="shared" si="29"/>
        <v/>
      </c>
    </row>
    <row r="1548" spans="2:11" x14ac:dyDescent="0.35">
      <c r="B1548" s="4" t="str">
        <f>+IF('Data Pura Costos'!B1548="","",'Data Pura Costos'!B1548)</f>
        <v/>
      </c>
      <c r="C1548" s="4" t="str">
        <f>+IF('Data Pura Costos'!C1548="","",'Data Pura Costos'!C1548)</f>
        <v/>
      </c>
      <c r="D1548" s="5" t="str">
        <f>+IF('Data Pura Costos'!D1548="","",'Data Pura Costos'!D1548)</f>
        <v/>
      </c>
      <c r="E1548" s="65" t="str">
        <f>+IF('Data Pura Costos'!E1548="","",IF('Data Pura Costos'!E1548=0,MAX('Data Pura Costos'!$E$7:$E$3000)*1000,'Data Pura Costos'!E1548))</f>
        <v/>
      </c>
      <c r="F1548" s="5" t="str">
        <f>+IF('Data Pura Costos'!F1548="","",'Data Pura Costos'!F1548)</f>
        <v/>
      </c>
      <c r="G1548" s="5" t="str">
        <f>+IF('Data Pura Costos'!G1548="","",'Data Pura Costos'!G1548)</f>
        <v/>
      </c>
      <c r="H1548" s="52" t="str">
        <f>+IF('Data Pura Costos'!H1548="","",'Data Pura Costos'!H1548)</f>
        <v/>
      </c>
      <c r="I1548" s="71" t="str">
        <f>+IF('Data Pura Costos'!I1548="","",'Data Pura Costos'!I1548)</f>
        <v/>
      </c>
      <c r="J1548" s="52" t="str">
        <f>+IF('Data Pura Costos'!J1548="","",'Data Pura Costos'!J1548)</f>
        <v/>
      </c>
      <c r="K1548" s="82" t="str">
        <f t="shared" si="29"/>
        <v/>
      </c>
    </row>
    <row r="1549" spans="2:11" x14ac:dyDescent="0.35">
      <c r="B1549" s="4" t="str">
        <f>+IF('Data Pura Costos'!B1549="","",'Data Pura Costos'!B1549)</f>
        <v/>
      </c>
      <c r="C1549" s="4" t="str">
        <f>+IF('Data Pura Costos'!C1549="","",'Data Pura Costos'!C1549)</f>
        <v/>
      </c>
      <c r="D1549" s="5" t="str">
        <f>+IF('Data Pura Costos'!D1549="","",'Data Pura Costos'!D1549)</f>
        <v/>
      </c>
      <c r="E1549" s="65" t="str">
        <f>+IF('Data Pura Costos'!E1549="","",IF('Data Pura Costos'!E1549=0,MAX('Data Pura Costos'!$E$7:$E$3000)*1000,'Data Pura Costos'!E1549))</f>
        <v/>
      </c>
      <c r="F1549" s="5" t="str">
        <f>+IF('Data Pura Costos'!F1549="","",'Data Pura Costos'!F1549)</f>
        <v/>
      </c>
      <c r="G1549" s="5" t="str">
        <f>+IF('Data Pura Costos'!G1549="","",'Data Pura Costos'!G1549)</f>
        <v/>
      </c>
      <c r="H1549" s="52" t="str">
        <f>+IF('Data Pura Costos'!H1549="","",'Data Pura Costos'!H1549)</f>
        <v/>
      </c>
      <c r="I1549" s="71" t="str">
        <f>+IF('Data Pura Costos'!I1549="","",'Data Pura Costos'!I1549)</f>
        <v/>
      </c>
      <c r="J1549" s="52" t="str">
        <f>+IF('Data Pura Costos'!J1549="","",'Data Pura Costos'!J1549)</f>
        <v/>
      </c>
      <c r="K1549" s="82" t="str">
        <f t="shared" si="29"/>
        <v/>
      </c>
    </row>
    <row r="1550" spans="2:11" x14ac:dyDescent="0.35">
      <c r="B1550" s="4" t="str">
        <f>+IF('Data Pura Costos'!B1550="","",'Data Pura Costos'!B1550)</f>
        <v/>
      </c>
      <c r="C1550" s="4" t="str">
        <f>+IF('Data Pura Costos'!C1550="","",'Data Pura Costos'!C1550)</f>
        <v/>
      </c>
      <c r="D1550" s="5" t="str">
        <f>+IF('Data Pura Costos'!D1550="","",'Data Pura Costos'!D1550)</f>
        <v/>
      </c>
      <c r="E1550" s="65" t="str">
        <f>+IF('Data Pura Costos'!E1550="","",IF('Data Pura Costos'!E1550=0,MAX('Data Pura Costos'!$E$7:$E$3000)*1000,'Data Pura Costos'!E1550))</f>
        <v/>
      </c>
      <c r="F1550" s="5" t="str">
        <f>+IF('Data Pura Costos'!F1550="","",'Data Pura Costos'!F1550)</f>
        <v/>
      </c>
      <c r="G1550" s="5" t="str">
        <f>+IF('Data Pura Costos'!G1550="","",'Data Pura Costos'!G1550)</f>
        <v/>
      </c>
      <c r="H1550" s="52" t="str">
        <f>+IF('Data Pura Costos'!H1550="","",'Data Pura Costos'!H1550)</f>
        <v/>
      </c>
      <c r="I1550" s="71" t="str">
        <f>+IF('Data Pura Costos'!I1550="","",'Data Pura Costos'!I1550)</f>
        <v/>
      </c>
      <c r="J1550" s="52" t="str">
        <f>+IF('Data Pura Costos'!J1550="","",'Data Pura Costos'!J1550)</f>
        <v/>
      </c>
      <c r="K1550" s="82" t="str">
        <f t="shared" si="29"/>
        <v/>
      </c>
    </row>
    <row r="1551" spans="2:11" x14ac:dyDescent="0.35">
      <c r="B1551" s="4" t="str">
        <f>+IF('Data Pura Costos'!B1551="","",'Data Pura Costos'!B1551)</f>
        <v/>
      </c>
      <c r="C1551" s="4" t="str">
        <f>+IF('Data Pura Costos'!C1551="","",'Data Pura Costos'!C1551)</f>
        <v/>
      </c>
      <c r="D1551" s="5" t="str">
        <f>+IF('Data Pura Costos'!D1551="","",'Data Pura Costos'!D1551)</f>
        <v/>
      </c>
      <c r="E1551" s="65" t="str">
        <f>+IF('Data Pura Costos'!E1551="","",IF('Data Pura Costos'!E1551=0,MAX('Data Pura Costos'!$E$7:$E$3000)*1000,'Data Pura Costos'!E1551))</f>
        <v/>
      </c>
      <c r="F1551" s="5" t="str">
        <f>+IF('Data Pura Costos'!F1551="","",'Data Pura Costos'!F1551)</f>
        <v/>
      </c>
      <c r="G1551" s="5" t="str">
        <f>+IF('Data Pura Costos'!G1551="","",'Data Pura Costos'!G1551)</f>
        <v/>
      </c>
      <c r="H1551" s="52" t="str">
        <f>+IF('Data Pura Costos'!H1551="","",'Data Pura Costos'!H1551)</f>
        <v/>
      </c>
      <c r="I1551" s="71" t="str">
        <f>+IF('Data Pura Costos'!I1551="","",'Data Pura Costos'!I1551)</f>
        <v/>
      </c>
      <c r="J1551" s="52" t="str">
        <f>+IF('Data Pura Costos'!J1551="","",'Data Pura Costos'!J1551)</f>
        <v/>
      </c>
      <c r="K1551" s="82" t="str">
        <f t="shared" si="29"/>
        <v/>
      </c>
    </row>
    <row r="1552" spans="2:11" x14ac:dyDescent="0.35">
      <c r="B1552" s="4" t="str">
        <f>+IF('Data Pura Costos'!B1552="","",'Data Pura Costos'!B1552)</f>
        <v/>
      </c>
      <c r="C1552" s="4" t="str">
        <f>+IF('Data Pura Costos'!C1552="","",'Data Pura Costos'!C1552)</f>
        <v/>
      </c>
      <c r="D1552" s="5" t="str">
        <f>+IF('Data Pura Costos'!D1552="","",'Data Pura Costos'!D1552)</f>
        <v/>
      </c>
      <c r="E1552" s="65" t="str">
        <f>+IF('Data Pura Costos'!E1552="","",IF('Data Pura Costos'!E1552=0,MAX('Data Pura Costos'!$E$7:$E$3000)*1000,'Data Pura Costos'!E1552))</f>
        <v/>
      </c>
      <c r="F1552" s="5" t="str">
        <f>+IF('Data Pura Costos'!F1552="","",'Data Pura Costos'!F1552)</f>
        <v/>
      </c>
      <c r="G1552" s="5" t="str">
        <f>+IF('Data Pura Costos'!G1552="","",'Data Pura Costos'!G1552)</f>
        <v/>
      </c>
      <c r="H1552" s="52" t="str">
        <f>+IF('Data Pura Costos'!H1552="","",'Data Pura Costos'!H1552)</f>
        <v/>
      </c>
      <c r="I1552" s="71" t="str">
        <f>+IF('Data Pura Costos'!I1552="","",'Data Pura Costos'!I1552)</f>
        <v/>
      </c>
      <c r="J1552" s="52" t="str">
        <f>+IF('Data Pura Costos'!J1552="","",'Data Pura Costos'!J1552)</f>
        <v/>
      </c>
      <c r="K1552" s="82" t="str">
        <f t="shared" si="29"/>
        <v/>
      </c>
    </row>
    <row r="1553" spans="2:11" x14ac:dyDescent="0.35">
      <c r="B1553" s="4" t="str">
        <f>+IF('Data Pura Costos'!B1553="","",'Data Pura Costos'!B1553)</f>
        <v/>
      </c>
      <c r="C1553" s="4" t="str">
        <f>+IF('Data Pura Costos'!C1553="","",'Data Pura Costos'!C1553)</f>
        <v/>
      </c>
      <c r="D1553" s="5" t="str">
        <f>+IF('Data Pura Costos'!D1553="","",'Data Pura Costos'!D1553)</f>
        <v/>
      </c>
      <c r="E1553" s="65" t="str">
        <f>+IF('Data Pura Costos'!E1553="","",IF('Data Pura Costos'!E1553=0,MAX('Data Pura Costos'!$E$7:$E$3000)*1000,'Data Pura Costos'!E1553))</f>
        <v/>
      </c>
      <c r="F1553" s="5" t="str">
        <f>+IF('Data Pura Costos'!F1553="","",'Data Pura Costos'!F1553)</f>
        <v/>
      </c>
      <c r="G1553" s="5" t="str">
        <f>+IF('Data Pura Costos'!G1553="","",'Data Pura Costos'!G1553)</f>
        <v/>
      </c>
      <c r="H1553" s="52" t="str">
        <f>+IF('Data Pura Costos'!H1553="","",'Data Pura Costos'!H1553)</f>
        <v/>
      </c>
      <c r="I1553" s="71" t="str">
        <f>+IF('Data Pura Costos'!I1553="","",'Data Pura Costos'!I1553)</f>
        <v/>
      </c>
      <c r="J1553" s="52" t="str">
        <f>+IF('Data Pura Costos'!J1553="","",'Data Pura Costos'!J1553)</f>
        <v/>
      </c>
      <c r="K1553" s="82" t="str">
        <f t="shared" si="29"/>
        <v/>
      </c>
    </row>
    <row r="1554" spans="2:11" x14ac:dyDescent="0.35">
      <c r="B1554" s="4" t="str">
        <f>+IF('Data Pura Costos'!B1554="","",'Data Pura Costos'!B1554)</f>
        <v/>
      </c>
      <c r="C1554" s="4" t="str">
        <f>+IF('Data Pura Costos'!C1554="","",'Data Pura Costos'!C1554)</f>
        <v/>
      </c>
      <c r="D1554" s="5" t="str">
        <f>+IF('Data Pura Costos'!D1554="","",'Data Pura Costos'!D1554)</f>
        <v/>
      </c>
      <c r="E1554" s="65" t="str">
        <f>+IF('Data Pura Costos'!E1554="","",IF('Data Pura Costos'!E1554=0,MAX('Data Pura Costos'!$E$7:$E$3000)*1000,'Data Pura Costos'!E1554))</f>
        <v/>
      </c>
      <c r="F1554" s="5" t="str">
        <f>+IF('Data Pura Costos'!F1554="","",'Data Pura Costos'!F1554)</f>
        <v/>
      </c>
      <c r="G1554" s="5" t="str">
        <f>+IF('Data Pura Costos'!G1554="","",'Data Pura Costos'!G1554)</f>
        <v/>
      </c>
      <c r="H1554" s="52" t="str">
        <f>+IF('Data Pura Costos'!H1554="","",'Data Pura Costos'!H1554)</f>
        <v/>
      </c>
      <c r="I1554" s="71" t="str">
        <f>+IF('Data Pura Costos'!I1554="","",'Data Pura Costos'!I1554)</f>
        <v/>
      </c>
      <c r="J1554" s="52" t="str">
        <f>+IF('Data Pura Costos'!J1554="","",'Data Pura Costos'!J1554)</f>
        <v/>
      </c>
      <c r="K1554" s="82" t="str">
        <f t="shared" si="29"/>
        <v/>
      </c>
    </row>
    <row r="1555" spans="2:11" x14ac:dyDescent="0.35">
      <c r="B1555" s="4" t="str">
        <f>+IF('Data Pura Costos'!B1555="","",'Data Pura Costos'!B1555)</f>
        <v/>
      </c>
      <c r="C1555" s="4" t="str">
        <f>+IF('Data Pura Costos'!C1555="","",'Data Pura Costos'!C1555)</f>
        <v/>
      </c>
      <c r="D1555" s="5" t="str">
        <f>+IF('Data Pura Costos'!D1555="","",'Data Pura Costos'!D1555)</f>
        <v/>
      </c>
      <c r="E1555" s="65" t="str">
        <f>+IF('Data Pura Costos'!E1555="","",IF('Data Pura Costos'!E1555=0,MAX('Data Pura Costos'!$E$7:$E$3000)*1000,'Data Pura Costos'!E1555))</f>
        <v/>
      </c>
      <c r="F1555" s="5" t="str">
        <f>+IF('Data Pura Costos'!F1555="","",'Data Pura Costos'!F1555)</f>
        <v/>
      </c>
      <c r="G1555" s="5" t="str">
        <f>+IF('Data Pura Costos'!G1555="","",'Data Pura Costos'!G1555)</f>
        <v/>
      </c>
      <c r="H1555" s="52" t="str">
        <f>+IF('Data Pura Costos'!H1555="","",'Data Pura Costos'!H1555)</f>
        <v/>
      </c>
      <c r="I1555" s="71" t="str">
        <f>+IF('Data Pura Costos'!I1555="","",'Data Pura Costos'!I1555)</f>
        <v/>
      </c>
      <c r="J1555" s="52" t="str">
        <f>+IF('Data Pura Costos'!J1555="","",'Data Pura Costos'!J1555)</f>
        <v/>
      </c>
      <c r="K1555" s="82" t="str">
        <f t="shared" si="29"/>
        <v/>
      </c>
    </row>
    <row r="1556" spans="2:11" x14ac:dyDescent="0.35">
      <c r="B1556" s="4" t="str">
        <f>+IF('Data Pura Costos'!B1556="","",'Data Pura Costos'!B1556)</f>
        <v/>
      </c>
      <c r="C1556" s="4" t="str">
        <f>+IF('Data Pura Costos'!C1556="","",'Data Pura Costos'!C1556)</f>
        <v/>
      </c>
      <c r="D1556" s="5" t="str">
        <f>+IF('Data Pura Costos'!D1556="","",'Data Pura Costos'!D1556)</f>
        <v/>
      </c>
      <c r="E1556" s="65" t="str">
        <f>+IF('Data Pura Costos'!E1556="","",IF('Data Pura Costos'!E1556=0,MAX('Data Pura Costos'!$E$7:$E$3000)*1000,'Data Pura Costos'!E1556))</f>
        <v/>
      </c>
      <c r="F1556" s="5" t="str">
        <f>+IF('Data Pura Costos'!F1556="","",'Data Pura Costos'!F1556)</f>
        <v/>
      </c>
      <c r="G1556" s="5" t="str">
        <f>+IF('Data Pura Costos'!G1556="","",'Data Pura Costos'!G1556)</f>
        <v/>
      </c>
      <c r="H1556" s="52" t="str">
        <f>+IF('Data Pura Costos'!H1556="","",'Data Pura Costos'!H1556)</f>
        <v/>
      </c>
      <c r="I1556" s="71" t="str">
        <f>+IF('Data Pura Costos'!I1556="","",'Data Pura Costos'!I1556)</f>
        <v/>
      </c>
      <c r="J1556" s="52" t="str">
        <f>+IF('Data Pura Costos'!J1556="","",'Data Pura Costos'!J1556)</f>
        <v/>
      </c>
      <c r="K1556" s="82" t="str">
        <f t="shared" si="29"/>
        <v/>
      </c>
    </row>
    <row r="1557" spans="2:11" x14ac:dyDescent="0.35">
      <c r="B1557" s="4" t="str">
        <f>+IF('Data Pura Costos'!B1557="","",'Data Pura Costos'!B1557)</f>
        <v/>
      </c>
      <c r="C1557" s="4" t="str">
        <f>+IF('Data Pura Costos'!C1557="","",'Data Pura Costos'!C1557)</f>
        <v/>
      </c>
      <c r="D1557" s="5" t="str">
        <f>+IF('Data Pura Costos'!D1557="","",'Data Pura Costos'!D1557)</f>
        <v/>
      </c>
      <c r="E1557" s="65" t="str">
        <f>+IF('Data Pura Costos'!E1557="","",IF('Data Pura Costos'!E1557=0,MAX('Data Pura Costos'!$E$7:$E$3000)*1000,'Data Pura Costos'!E1557))</f>
        <v/>
      </c>
      <c r="F1557" s="5" t="str">
        <f>+IF('Data Pura Costos'!F1557="","",'Data Pura Costos'!F1557)</f>
        <v/>
      </c>
      <c r="G1557" s="5" t="str">
        <f>+IF('Data Pura Costos'!G1557="","",'Data Pura Costos'!G1557)</f>
        <v/>
      </c>
      <c r="H1557" s="52" t="str">
        <f>+IF('Data Pura Costos'!H1557="","",'Data Pura Costos'!H1557)</f>
        <v/>
      </c>
      <c r="I1557" s="71" t="str">
        <f>+IF('Data Pura Costos'!I1557="","",'Data Pura Costos'!I1557)</f>
        <v/>
      </c>
      <c r="J1557" s="52" t="str">
        <f>+IF('Data Pura Costos'!J1557="","",'Data Pura Costos'!J1557)</f>
        <v/>
      </c>
      <c r="K1557" s="82" t="str">
        <f t="shared" si="29"/>
        <v/>
      </c>
    </row>
    <row r="1558" spans="2:11" x14ac:dyDescent="0.35">
      <c r="B1558" s="4" t="str">
        <f>+IF('Data Pura Costos'!B1558="","",'Data Pura Costos'!B1558)</f>
        <v/>
      </c>
      <c r="C1558" s="4" t="str">
        <f>+IF('Data Pura Costos'!C1558="","",'Data Pura Costos'!C1558)</f>
        <v/>
      </c>
      <c r="D1558" s="5" t="str">
        <f>+IF('Data Pura Costos'!D1558="","",'Data Pura Costos'!D1558)</f>
        <v/>
      </c>
      <c r="E1558" s="65" t="str">
        <f>+IF('Data Pura Costos'!E1558="","",IF('Data Pura Costos'!E1558=0,MAX('Data Pura Costos'!$E$7:$E$3000)*1000,'Data Pura Costos'!E1558))</f>
        <v/>
      </c>
      <c r="F1558" s="5" t="str">
        <f>+IF('Data Pura Costos'!F1558="","",'Data Pura Costos'!F1558)</f>
        <v/>
      </c>
      <c r="G1558" s="5" t="str">
        <f>+IF('Data Pura Costos'!G1558="","",'Data Pura Costos'!G1558)</f>
        <v/>
      </c>
      <c r="H1558" s="52" t="str">
        <f>+IF('Data Pura Costos'!H1558="","",'Data Pura Costos'!H1558)</f>
        <v/>
      </c>
      <c r="I1558" s="71" t="str">
        <f>+IF('Data Pura Costos'!I1558="","",'Data Pura Costos'!I1558)</f>
        <v/>
      </c>
      <c r="J1558" s="52" t="str">
        <f>+IF('Data Pura Costos'!J1558="","",'Data Pura Costos'!J1558)</f>
        <v/>
      </c>
      <c r="K1558" s="82" t="str">
        <f t="shared" si="29"/>
        <v/>
      </c>
    </row>
    <row r="1559" spans="2:11" x14ac:dyDescent="0.35">
      <c r="B1559" s="4" t="str">
        <f>+IF('Data Pura Costos'!B1559="","",'Data Pura Costos'!B1559)</f>
        <v/>
      </c>
      <c r="C1559" s="4" t="str">
        <f>+IF('Data Pura Costos'!C1559="","",'Data Pura Costos'!C1559)</f>
        <v/>
      </c>
      <c r="D1559" s="5" t="str">
        <f>+IF('Data Pura Costos'!D1559="","",'Data Pura Costos'!D1559)</f>
        <v/>
      </c>
      <c r="E1559" s="65" t="str">
        <f>+IF('Data Pura Costos'!E1559="","",IF('Data Pura Costos'!E1559=0,MAX('Data Pura Costos'!$E$7:$E$3000)*1000,'Data Pura Costos'!E1559))</f>
        <v/>
      </c>
      <c r="F1559" s="5" t="str">
        <f>+IF('Data Pura Costos'!F1559="","",'Data Pura Costos'!F1559)</f>
        <v/>
      </c>
      <c r="G1559" s="5" t="str">
        <f>+IF('Data Pura Costos'!G1559="","",'Data Pura Costos'!G1559)</f>
        <v/>
      </c>
      <c r="H1559" s="52" t="str">
        <f>+IF('Data Pura Costos'!H1559="","",'Data Pura Costos'!H1559)</f>
        <v/>
      </c>
      <c r="I1559" s="71" t="str">
        <f>+IF('Data Pura Costos'!I1559="","",'Data Pura Costos'!I1559)</f>
        <v/>
      </c>
      <c r="J1559" s="52" t="str">
        <f>+IF('Data Pura Costos'!J1559="","",'Data Pura Costos'!J1559)</f>
        <v/>
      </c>
      <c r="K1559" s="82" t="str">
        <f t="shared" si="29"/>
        <v/>
      </c>
    </row>
    <row r="1560" spans="2:11" x14ac:dyDescent="0.35">
      <c r="B1560" s="4" t="str">
        <f>+IF('Data Pura Costos'!B1560="","",'Data Pura Costos'!B1560)</f>
        <v/>
      </c>
      <c r="C1560" s="4" t="str">
        <f>+IF('Data Pura Costos'!C1560="","",'Data Pura Costos'!C1560)</f>
        <v/>
      </c>
      <c r="D1560" s="5" t="str">
        <f>+IF('Data Pura Costos'!D1560="","",'Data Pura Costos'!D1560)</f>
        <v/>
      </c>
      <c r="E1560" s="65" t="str">
        <f>+IF('Data Pura Costos'!E1560="","",IF('Data Pura Costos'!E1560=0,MAX('Data Pura Costos'!$E$7:$E$3000)*1000,'Data Pura Costos'!E1560))</f>
        <v/>
      </c>
      <c r="F1560" s="5" t="str">
        <f>+IF('Data Pura Costos'!F1560="","",'Data Pura Costos'!F1560)</f>
        <v/>
      </c>
      <c r="G1560" s="5" t="str">
        <f>+IF('Data Pura Costos'!G1560="","",'Data Pura Costos'!G1560)</f>
        <v/>
      </c>
      <c r="H1560" s="52" t="str">
        <f>+IF('Data Pura Costos'!H1560="","",'Data Pura Costos'!H1560)</f>
        <v/>
      </c>
      <c r="I1560" s="71" t="str">
        <f>+IF('Data Pura Costos'!I1560="","",'Data Pura Costos'!I1560)</f>
        <v/>
      </c>
      <c r="J1560" s="52" t="str">
        <f>+IF('Data Pura Costos'!J1560="","",'Data Pura Costos'!J1560)</f>
        <v/>
      </c>
      <c r="K1560" s="82" t="str">
        <f t="shared" si="29"/>
        <v/>
      </c>
    </row>
    <row r="1561" spans="2:11" x14ac:dyDescent="0.35">
      <c r="B1561" s="4" t="str">
        <f>+IF('Data Pura Costos'!B1561="","",'Data Pura Costos'!B1561)</f>
        <v/>
      </c>
      <c r="C1561" s="4" t="str">
        <f>+IF('Data Pura Costos'!C1561="","",'Data Pura Costos'!C1561)</f>
        <v/>
      </c>
      <c r="D1561" s="5" t="str">
        <f>+IF('Data Pura Costos'!D1561="","",'Data Pura Costos'!D1561)</f>
        <v/>
      </c>
      <c r="E1561" s="65" t="str">
        <f>+IF('Data Pura Costos'!E1561="","",IF('Data Pura Costos'!E1561=0,MAX('Data Pura Costos'!$E$7:$E$3000)*1000,'Data Pura Costos'!E1561))</f>
        <v/>
      </c>
      <c r="F1561" s="5" t="str">
        <f>+IF('Data Pura Costos'!F1561="","",'Data Pura Costos'!F1561)</f>
        <v/>
      </c>
      <c r="G1561" s="5" t="str">
        <f>+IF('Data Pura Costos'!G1561="","",'Data Pura Costos'!G1561)</f>
        <v/>
      </c>
      <c r="H1561" s="52" t="str">
        <f>+IF('Data Pura Costos'!H1561="","",'Data Pura Costos'!H1561)</f>
        <v/>
      </c>
      <c r="I1561" s="71" t="str">
        <f>+IF('Data Pura Costos'!I1561="","",'Data Pura Costos'!I1561)</f>
        <v/>
      </c>
      <c r="J1561" s="52" t="str">
        <f>+IF('Data Pura Costos'!J1561="","",'Data Pura Costos'!J1561)</f>
        <v/>
      </c>
      <c r="K1561" s="82" t="str">
        <f t="shared" si="29"/>
        <v/>
      </c>
    </row>
    <row r="1562" spans="2:11" x14ac:dyDescent="0.35">
      <c r="B1562" s="4" t="str">
        <f>+IF('Data Pura Costos'!B1562="","",'Data Pura Costos'!B1562)</f>
        <v/>
      </c>
      <c r="C1562" s="4" t="str">
        <f>+IF('Data Pura Costos'!C1562="","",'Data Pura Costos'!C1562)</f>
        <v/>
      </c>
      <c r="D1562" s="5" t="str">
        <f>+IF('Data Pura Costos'!D1562="","",'Data Pura Costos'!D1562)</f>
        <v/>
      </c>
      <c r="E1562" s="65" t="str">
        <f>+IF('Data Pura Costos'!E1562="","",IF('Data Pura Costos'!E1562=0,MAX('Data Pura Costos'!$E$7:$E$3000)*1000,'Data Pura Costos'!E1562))</f>
        <v/>
      </c>
      <c r="F1562" s="5" t="str">
        <f>+IF('Data Pura Costos'!F1562="","",'Data Pura Costos'!F1562)</f>
        <v/>
      </c>
      <c r="G1562" s="5" t="str">
        <f>+IF('Data Pura Costos'!G1562="","",'Data Pura Costos'!G1562)</f>
        <v/>
      </c>
      <c r="H1562" s="52" t="str">
        <f>+IF('Data Pura Costos'!H1562="","",'Data Pura Costos'!H1562)</f>
        <v/>
      </c>
      <c r="I1562" s="71" t="str">
        <f>+IF('Data Pura Costos'!I1562="","",'Data Pura Costos'!I1562)</f>
        <v/>
      </c>
      <c r="J1562" s="52" t="str">
        <f>+IF('Data Pura Costos'!J1562="","",'Data Pura Costos'!J1562)</f>
        <v/>
      </c>
      <c r="K1562" s="82" t="str">
        <f t="shared" si="29"/>
        <v/>
      </c>
    </row>
    <row r="1563" spans="2:11" x14ac:dyDescent="0.35">
      <c r="B1563" s="4" t="str">
        <f>+IF('Data Pura Costos'!B1563="","",'Data Pura Costos'!B1563)</f>
        <v/>
      </c>
      <c r="C1563" s="4" t="str">
        <f>+IF('Data Pura Costos'!C1563="","",'Data Pura Costos'!C1563)</f>
        <v/>
      </c>
      <c r="D1563" s="5" t="str">
        <f>+IF('Data Pura Costos'!D1563="","",'Data Pura Costos'!D1563)</f>
        <v/>
      </c>
      <c r="E1563" s="65" t="str">
        <f>+IF('Data Pura Costos'!E1563="","",IF('Data Pura Costos'!E1563=0,MAX('Data Pura Costos'!$E$7:$E$3000)*1000,'Data Pura Costos'!E1563))</f>
        <v/>
      </c>
      <c r="F1563" s="5" t="str">
        <f>+IF('Data Pura Costos'!F1563="","",'Data Pura Costos'!F1563)</f>
        <v/>
      </c>
      <c r="G1563" s="5" t="str">
        <f>+IF('Data Pura Costos'!G1563="","",'Data Pura Costos'!G1563)</f>
        <v/>
      </c>
      <c r="H1563" s="52" t="str">
        <f>+IF('Data Pura Costos'!H1563="","",'Data Pura Costos'!H1563)</f>
        <v/>
      </c>
      <c r="I1563" s="71" t="str">
        <f>+IF('Data Pura Costos'!I1563="","",'Data Pura Costos'!I1563)</f>
        <v/>
      </c>
      <c r="J1563" s="52" t="str">
        <f>+IF('Data Pura Costos'!J1563="","",'Data Pura Costos'!J1563)</f>
        <v/>
      </c>
      <c r="K1563" s="82" t="str">
        <f t="shared" si="29"/>
        <v/>
      </c>
    </row>
    <row r="1564" spans="2:11" x14ac:dyDescent="0.35">
      <c r="B1564" s="4" t="str">
        <f>+IF('Data Pura Costos'!B1564="","",'Data Pura Costos'!B1564)</f>
        <v/>
      </c>
      <c r="C1564" s="4" t="str">
        <f>+IF('Data Pura Costos'!C1564="","",'Data Pura Costos'!C1564)</f>
        <v/>
      </c>
      <c r="D1564" s="5" t="str">
        <f>+IF('Data Pura Costos'!D1564="","",'Data Pura Costos'!D1564)</f>
        <v/>
      </c>
      <c r="E1564" s="65" t="str">
        <f>+IF('Data Pura Costos'!E1564="","",IF('Data Pura Costos'!E1564=0,MAX('Data Pura Costos'!$E$7:$E$3000)*1000,'Data Pura Costos'!E1564))</f>
        <v/>
      </c>
      <c r="F1564" s="5" t="str">
        <f>+IF('Data Pura Costos'!F1564="","",'Data Pura Costos'!F1564)</f>
        <v/>
      </c>
      <c r="G1564" s="5" t="str">
        <f>+IF('Data Pura Costos'!G1564="","",'Data Pura Costos'!G1564)</f>
        <v/>
      </c>
      <c r="H1564" s="52" t="str">
        <f>+IF('Data Pura Costos'!H1564="","",'Data Pura Costos'!H1564)</f>
        <v/>
      </c>
      <c r="I1564" s="71" t="str">
        <f>+IF('Data Pura Costos'!I1564="","",'Data Pura Costos'!I1564)</f>
        <v/>
      </c>
      <c r="J1564" s="52" t="str">
        <f>+IF('Data Pura Costos'!J1564="","",'Data Pura Costos'!J1564)</f>
        <v/>
      </c>
      <c r="K1564" s="82" t="str">
        <f t="shared" si="29"/>
        <v/>
      </c>
    </row>
    <row r="1565" spans="2:11" x14ac:dyDescent="0.35">
      <c r="B1565" s="4" t="str">
        <f>+IF('Data Pura Costos'!B1565="","",'Data Pura Costos'!B1565)</f>
        <v/>
      </c>
      <c r="C1565" s="4" t="str">
        <f>+IF('Data Pura Costos'!C1565="","",'Data Pura Costos'!C1565)</f>
        <v/>
      </c>
      <c r="D1565" s="5" t="str">
        <f>+IF('Data Pura Costos'!D1565="","",'Data Pura Costos'!D1565)</f>
        <v/>
      </c>
      <c r="E1565" s="65" t="str">
        <f>+IF('Data Pura Costos'!E1565="","",IF('Data Pura Costos'!E1565=0,MAX('Data Pura Costos'!$E$7:$E$3000)*1000,'Data Pura Costos'!E1565))</f>
        <v/>
      </c>
      <c r="F1565" s="5" t="str">
        <f>+IF('Data Pura Costos'!F1565="","",'Data Pura Costos'!F1565)</f>
        <v/>
      </c>
      <c r="G1565" s="5" t="str">
        <f>+IF('Data Pura Costos'!G1565="","",'Data Pura Costos'!G1565)</f>
        <v/>
      </c>
      <c r="H1565" s="52" t="str">
        <f>+IF('Data Pura Costos'!H1565="","",'Data Pura Costos'!H1565)</f>
        <v/>
      </c>
      <c r="I1565" s="71" t="str">
        <f>+IF('Data Pura Costos'!I1565="","",'Data Pura Costos'!I1565)</f>
        <v/>
      </c>
      <c r="J1565" s="52" t="str">
        <f>+IF('Data Pura Costos'!J1565="","",'Data Pura Costos'!J1565)</f>
        <v/>
      </c>
      <c r="K1565" s="82" t="str">
        <f t="shared" si="29"/>
        <v/>
      </c>
    </row>
    <row r="1566" spans="2:11" x14ac:dyDescent="0.35">
      <c r="B1566" s="4" t="str">
        <f>+IF('Data Pura Costos'!B1566="","",'Data Pura Costos'!B1566)</f>
        <v/>
      </c>
      <c r="C1566" s="4" t="str">
        <f>+IF('Data Pura Costos'!C1566="","",'Data Pura Costos'!C1566)</f>
        <v/>
      </c>
      <c r="D1566" s="5" t="str">
        <f>+IF('Data Pura Costos'!D1566="","",'Data Pura Costos'!D1566)</f>
        <v/>
      </c>
      <c r="E1566" s="65" t="str">
        <f>+IF('Data Pura Costos'!E1566="","",IF('Data Pura Costos'!E1566=0,MAX('Data Pura Costos'!$E$7:$E$3000)*1000,'Data Pura Costos'!E1566))</f>
        <v/>
      </c>
      <c r="F1566" s="5" t="str">
        <f>+IF('Data Pura Costos'!F1566="","",'Data Pura Costos'!F1566)</f>
        <v/>
      </c>
      <c r="G1566" s="5" t="str">
        <f>+IF('Data Pura Costos'!G1566="","",'Data Pura Costos'!G1566)</f>
        <v/>
      </c>
      <c r="H1566" s="52" t="str">
        <f>+IF('Data Pura Costos'!H1566="","",'Data Pura Costos'!H1566)</f>
        <v/>
      </c>
      <c r="I1566" s="71" t="str">
        <f>+IF('Data Pura Costos'!I1566="","",'Data Pura Costos'!I1566)</f>
        <v/>
      </c>
      <c r="J1566" s="52" t="str">
        <f>+IF('Data Pura Costos'!J1566="","",'Data Pura Costos'!J1566)</f>
        <v/>
      </c>
      <c r="K1566" s="82" t="str">
        <f t="shared" si="29"/>
        <v/>
      </c>
    </row>
    <row r="1567" spans="2:11" x14ac:dyDescent="0.35">
      <c r="B1567" s="4" t="str">
        <f>+IF('Data Pura Costos'!B1567="","",'Data Pura Costos'!B1567)</f>
        <v/>
      </c>
      <c r="C1567" s="4" t="str">
        <f>+IF('Data Pura Costos'!C1567="","",'Data Pura Costos'!C1567)</f>
        <v/>
      </c>
      <c r="D1567" s="5" t="str">
        <f>+IF('Data Pura Costos'!D1567="","",'Data Pura Costos'!D1567)</f>
        <v/>
      </c>
      <c r="E1567" s="65" t="str">
        <f>+IF('Data Pura Costos'!E1567="","",IF('Data Pura Costos'!E1567=0,MAX('Data Pura Costos'!$E$7:$E$3000)*1000,'Data Pura Costos'!E1567))</f>
        <v/>
      </c>
      <c r="F1567" s="5" t="str">
        <f>+IF('Data Pura Costos'!F1567="","",'Data Pura Costos'!F1567)</f>
        <v/>
      </c>
      <c r="G1567" s="5" t="str">
        <f>+IF('Data Pura Costos'!G1567="","",'Data Pura Costos'!G1567)</f>
        <v/>
      </c>
      <c r="H1567" s="52" t="str">
        <f>+IF('Data Pura Costos'!H1567="","",'Data Pura Costos'!H1567)</f>
        <v/>
      </c>
      <c r="I1567" s="71" t="str">
        <f>+IF('Data Pura Costos'!I1567="","",'Data Pura Costos'!I1567)</f>
        <v/>
      </c>
      <c r="J1567" s="52" t="str">
        <f>+IF('Data Pura Costos'!J1567="","",'Data Pura Costos'!J1567)</f>
        <v/>
      </c>
      <c r="K1567" s="82" t="str">
        <f t="shared" si="29"/>
        <v/>
      </c>
    </row>
    <row r="1568" spans="2:11" x14ac:dyDescent="0.35">
      <c r="B1568" s="4" t="str">
        <f>+IF('Data Pura Costos'!B1568="","",'Data Pura Costos'!B1568)</f>
        <v/>
      </c>
      <c r="C1568" s="4" t="str">
        <f>+IF('Data Pura Costos'!C1568="","",'Data Pura Costos'!C1568)</f>
        <v/>
      </c>
      <c r="D1568" s="5" t="str">
        <f>+IF('Data Pura Costos'!D1568="","",'Data Pura Costos'!D1568)</f>
        <v/>
      </c>
      <c r="E1568" s="65" t="str">
        <f>+IF('Data Pura Costos'!E1568="","",IF('Data Pura Costos'!E1568=0,MAX('Data Pura Costos'!$E$7:$E$3000)*1000,'Data Pura Costos'!E1568))</f>
        <v/>
      </c>
      <c r="F1568" s="5" t="str">
        <f>+IF('Data Pura Costos'!F1568="","",'Data Pura Costos'!F1568)</f>
        <v/>
      </c>
      <c r="G1568" s="5" t="str">
        <f>+IF('Data Pura Costos'!G1568="","",'Data Pura Costos'!G1568)</f>
        <v/>
      </c>
      <c r="H1568" s="52" t="str">
        <f>+IF('Data Pura Costos'!H1568="","",'Data Pura Costos'!H1568)</f>
        <v/>
      </c>
      <c r="I1568" s="71" t="str">
        <f>+IF('Data Pura Costos'!I1568="","",'Data Pura Costos'!I1568)</f>
        <v/>
      </c>
      <c r="J1568" s="52" t="str">
        <f>+IF('Data Pura Costos'!J1568="","",'Data Pura Costos'!J1568)</f>
        <v/>
      </c>
      <c r="K1568" s="82" t="str">
        <f t="shared" si="29"/>
        <v/>
      </c>
    </row>
    <row r="1569" spans="2:11" x14ac:dyDescent="0.35">
      <c r="B1569" s="4" t="str">
        <f>+IF('Data Pura Costos'!B1569="","",'Data Pura Costos'!B1569)</f>
        <v/>
      </c>
      <c r="C1569" s="4" t="str">
        <f>+IF('Data Pura Costos'!C1569="","",'Data Pura Costos'!C1569)</f>
        <v/>
      </c>
      <c r="D1569" s="5" t="str">
        <f>+IF('Data Pura Costos'!D1569="","",'Data Pura Costos'!D1569)</f>
        <v/>
      </c>
      <c r="E1569" s="65" t="str">
        <f>+IF('Data Pura Costos'!E1569="","",IF('Data Pura Costos'!E1569=0,MAX('Data Pura Costos'!$E$7:$E$3000)*1000,'Data Pura Costos'!E1569))</f>
        <v/>
      </c>
      <c r="F1569" s="5" t="str">
        <f>+IF('Data Pura Costos'!F1569="","",'Data Pura Costos'!F1569)</f>
        <v/>
      </c>
      <c r="G1569" s="5" t="str">
        <f>+IF('Data Pura Costos'!G1569="","",'Data Pura Costos'!G1569)</f>
        <v/>
      </c>
      <c r="H1569" s="52" t="str">
        <f>+IF('Data Pura Costos'!H1569="","",'Data Pura Costos'!H1569)</f>
        <v/>
      </c>
      <c r="I1569" s="71" t="str">
        <f>+IF('Data Pura Costos'!I1569="","",'Data Pura Costos'!I1569)</f>
        <v/>
      </c>
      <c r="J1569" s="52" t="str">
        <f>+IF('Data Pura Costos'!J1569="","",'Data Pura Costos'!J1569)</f>
        <v/>
      </c>
      <c r="K1569" s="82" t="str">
        <f t="shared" si="29"/>
        <v/>
      </c>
    </row>
    <row r="1570" spans="2:11" x14ac:dyDescent="0.35">
      <c r="B1570" s="4" t="str">
        <f>+IF('Data Pura Costos'!B1570="","",'Data Pura Costos'!B1570)</f>
        <v/>
      </c>
      <c r="C1570" s="4" t="str">
        <f>+IF('Data Pura Costos'!C1570="","",'Data Pura Costos'!C1570)</f>
        <v/>
      </c>
      <c r="D1570" s="5" t="str">
        <f>+IF('Data Pura Costos'!D1570="","",'Data Pura Costos'!D1570)</f>
        <v/>
      </c>
      <c r="E1570" s="65" t="str">
        <f>+IF('Data Pura Costos'!E1570="","",IF('Data Pura Costos'!E1570=0,MAX('Data Pura Costos'!$E$7:$E$3000)*1000,'Data Pura Costos'!E1570))</f>
        <v/>
      </c>
      <c r="F1570" s="5" t="str">
        <f>+IF('Data Pura Costos'!F1570="","",'Data Pura Costos'!F1570)</f>
        <v/>
      </c>
      <c r="G1570" s="5" t="str">
        <f>+IF('Data Pura Costos'!G1570="","",'Data Pura Costos'!G1570)</f>
        <v/>
      </c>
      <c r="H1570" s="52" t="str">
        <f>+IF('Data Pura Costos'!H1570="","",'Data Pura Costos'!H1570)</f>
        <v/>
      </c>
      <c r="I1570" s="71" t="str">
        <f>+IF('Data Pura Costos'!I1570="","",'Data Pura Costos'!I1570)</f>
        <v/>
      </c>
      <c r="J1570" s="52" t="str">
        <f>+IF('Data Pura Costos'!J1570="","",'Data Pura Costos'!J1570)</f>
        <v/>
      </c>
      <c r="K1570" s="82" t="str">
        <f t="shared" si="29"/>
        <v/>
      </c>
    </row>
    <row r="1571" spans="2:11" x14ac:dyDescent="0.35">
      <c r="B1571" s="4" t="str">
        <f>+IF('Data Pura Costos'!B1571="","",'Data Pura Costos'!B1571)</f>
        <v/>
      </c>
      <c r="C1571" s="4" t="str">
        <f>+IF('Data Pura Costos'!C1571="","",'Data Pura Costos'!C1571)</f>
        <v/>
      </c>
      <c r="D1571" s="5" t="str">
        <f>+IF('Data Pura Costos'!D1571="","",'Data Pura Costos'!D1571)</f>
        <v/>
      </c>
      <c r="E1571" s="65" t="str">
        <f>+IF('Data Pura Costos'!E1571="","",IF('Data Pura Costos'!E1571=0,MAX('Data Pura Costos'!$E$7:$E$3000)*1000,'Data Pura Costos'!E1571))</f>
        <v/>
      </c>
      <c r="F1571" s="5" t="str">
        <f>+IF('Data Pura Costos'!F1571="","",'Data Pura Costos'!F1571)</f>
        <v/>
      </c>
      <c r="G1571" s="5" t="str">
        <f>+IF('Data Pura Costos'!G1571="","",'Data Pura Costos'!G1571)</f>
        <v/>
      </c>
      <c r="H1571" s="52" t="str">
        <f>+IF('Data Pura Costos'!H1571="","",'Data Pura Costos'!H1571)</f>
        <v/>
      </c>
      <c r="I1571" s="71" t="str">
        <f>+IF('Data Pura Costos'!I1571="","",'Data Pura Costos'!I1571)</f>
        <v/>
      </c>
      <c r="J1571" s="52" t="str">
        <f>+IF('Data Pura Costos'!J1571="","",'Data Pura Costos'!J1571)</f>
        <v/>
      </c>
      <c r="K1571" s="82" t="str">
        <f t="shared" si="29"/>
        <v/>
      </c>
    </row>
    <row r="1572" spans="2:11" x14ac:dyDescent="0.35">
      <c r="B1572" s="4" t="str">
        <f>+IF('Data Pura Costos'!B1572="","",'Data Pura Costos'!B1572)</f>
        <v/>
      </c>
      <c r="C1572" s="4" t="str">
        <f>+IF('Data Pura Costos'!C1572="","",'Data Pura Costos'!C1572)</f>
        <v/>
      </c>
      <c r="D1572" s="5" t="str">
        <f>+IF('Data Pura Costos'!D1572="","",'Data Pura Costos'!D1572)</f>
        <v/>
      </c>
      <c r="E1572" s="65" t="str">
        <f>+IF('Data Pura Costos'!E1572="","",IF('Data Pura Costos'!E1572=0,MAX('Data Pura Costos'!$E$7:$E$3000)*1000,'Data Pura Costos'!E1572))</f>
        <v/>
      </c>
      <c r="F1572" s="5" t="str">
        <f>+IF('Data Pura Costos'!F1572="","",'Data Pura Costos'!F1572)</f>
        <v/>
      </c>
      <c r="G1572" s="5" t="str">
        <f>+IF('Data Pura Costos'!G1572="","",'Data Pura Costos'!G1572)</f>
        <v/>
      </c>
      <c r="H1572" s="52" t="str">
        <f>+IF('Data Pura Costos'!H1572="","",'Data Pura Costos'!H1572)</f>
        <v/>
      </c>
      <c r="I1572" s="71" t="str">
        <f>+IF('Data Pura Costos'!I1572="","",'Data Pura Costos'!I1572)</f>
        <v/>
      </c>
      <c r="J1572" s="52" t="str">
        <f>+IF('Data Pura Costos'!J1572="","",'Data Pura Costos'!J1572)</f>
        <v/>
      </c>
      <c r="K1572" s="82" t="str">
        <f t="shared" si="29"/>
        <v/>
      </c>
    </row>
    <row r="1573" spans="2:11" x14ac:dyDescent="0.35">
      <c r="B1573" s="4" t="str">
        <f>+IF('Data Pura Costos'!B1573="","",'Data Pura Costos'!B1573)</f>
        <v/>
      </c>
      <c r="C1573" s="4" t="str">
        <f>+IF('Data Pura Costos'!C1573="","",'Data Pura Costos'!C1573)</f>
        <v/>
      </c>
      <c r="D1573" s="5" t="str">
        <f>+IF('Data Pura Costos'!D1573="","",'Data Pura Costos'!D1573)</f>
        <v/>
      </c>
      <c r="E1573" s="65" t="str">
        <f>+IF('Data Pura Costos'!E1573="","",IF('Data Pura Costos'!E1573=0,MAX('Data Pura Costos'!$E$7:$E$3000)*1000,'Data Pura Costos'!E1573))</f>
        <v/>
      </c>
      <c r="F1573" s="5" t="str">
        <f>+IF('Data Pura Costos'!F1573="","",'Data Pura Costos'!F1573)</f>
        <v/>
      </c>
      <c r="G1573" s="5" t="str">
        <f>+IF('Data Pura Costos'!G1573="","",'Data Pura Costos'!G1573)</f>
        <v/>
      </c>
      <c r="H1573" s="52" t="str">
        <f>+IF('Data Pura Costos'!H1573="","",'Data Pura Costos'!H1573)</f>
        <v/>
      </c>
      <c r="I1573" s="71" t="str">
        <f>+IF('Data Pura Costos'!I1573="","",'Data Pura Costos'!I1573)</f>
        <v/>
      </c>
      <c r="J1573" s="52" t="str">
        <f>+IF('Data Pura Costos'!J1573="","",'Data Pura Costos'!J1573)</f>
        <v/>
      </c>
      <c r="K1573" s="82" t="str">
        <f t="shared" si="29"/>
        <v/>
      </c>
    </row>
    <row r="1574" spans="2:11" x14ac:dyDescent="0.35">
      <c r="B1574" s="4" t="str">
        <f>+IF('Data Pura Costos'!B1574="","",'Data Pura Costos'!B1574)</f>
        <v/>
      </c>
      <c r="C1574" s="4" t="str">
        <f>+IF('Data Pura Costos'!C1574="","",'Data Pura Costos'!C1574)</f>
        <v/>
      </c>
      <c r="D1574" s="5" t="str">
        <f>+IF('Data Pura Costos'!D1574="","",'Data Pura Costos'!D1574)</f>
        <v/>
      </c>
      <c r="E1574" s="65" t="str">
        <f>+IF('Data Pura Costos'!E1574="","",IF('Data Pura Costos'!E1574=0,MAX('Data Pura Costos'!$E$7:$E$3000)*1000,'Data Pura Costos'!E1574))</f>
        <v/>
      </c>
      <c r="F1574" s="5" t="str">
        <f>+IF('Data Pura Costos'!F1574="","",'Data Pura Costos'!F1574)</f>
        <v/>
      </c>
      <c r="G1574" s="5" t="str">
        <f>+IF('Data Pura Costos'!G1574="","",'Data Pura Costos'!G1574)</f>
        <v/>
      </c>
      <c r="H1574" s="52" t="str">
        <f>+IF('Data Pura Costos'!H1574="","",'Data Pura Costos'!H1574)</f>
        <v/>
      </c>
      <c r="I1574" s="71" t="str">
        <f>+IF('Data Pura Costos'!I1574="","",'Data Pura Costos'!I1574)</f>
        <v/>
      </c>
      <c r="J1574" s="52" t="str">
        <f>+IF('Data Pura Costos'!J1574="","",'Data Pura Costos'!J1574)</f>
        <v/>
      </c>
      <c r="K1574" s="82" t="str">
        <f t="shared" si="29"/>
        <v/>
      </c>
    </row>
    <row r="1575" spans="2:11" x14ac:dyDescent="0.35">
      <c r="B1575" s="4" t="str">
        <f>+IF('Data Pura Costos'!B1575="","",'Data Pura Costos'!B1575)</f>
        <v/>
      </c>
      <c r="C1575" s="4" t="str">
        <f>+IF('Data Pura Costos'!C1575="","",'Data Pura Costos'!C1575)</f>
        <v/>
      </c>
      <c r="D1575" s="5" t="str">
        <f>+IF('Data Pura Costos'!D1575="","",'Data Pura Costos'!D1575)</f>
        <v/>
      </c>
      <c r="E1575" s="65" t="str">
        <f>+IF('Data Pura Costos'!E1575="","",IF('Data Pura Costos'!E1575=0,MAX('Data Pura Costos'!$E$7:$E$3000)*1000,'Data Pura Costos'!E1575))</f>
        <v/>
      </c>
      <c r="F1575" s="5" t="str">
        <f>+IF('Data Pura Costos'!F1575="","",'Data Pura Costos'!F1575)</f>
        <v/>
      </c>
      <c r="G1575" s="5" t="str">
        <f>+IF('Data Pura Costos'!G1575="","",'Data Pura Costos'!G1575)</f>
        <v/>
      </c>
      <c r="H1575" s="52" t="str">
        <f>+IF('Data Pura Costos'!H1575="","",'Data Pura Costos'!H1575)</f>
        <v/>
      </c>
      <c r="I1575" s="71" t="str">
        <f>+IF('Data Pura Costos'!I1575="","",'Data Pura Costos'!I1575)</f>
        <v/>
      </c>
      <c r="J1575" s="52" t="str">
        <f>+IF('Data Pura Costos'!J1575="","",'Data Pura Costos'!J1575)</f>
        <v/>
      </c>
      <c r="K1575" s="82" t="str">
        <f t="shared" si="29"/>
        <v/>
      </c>
    </row>
    <row r="1576" spans="2:11" x14ac:dyDescent="0.35">
      <c r="B1576" s="4" t="str">
        <f>+IF('Data Pura Costos'!B1576="","",'Data Pura Costos'!B1576)</f>
        <v/>
      </c>
      <c r="C1576" s="4" t="str">
        <f>+IF('Data Pura Costos'!C1576="","",'Data Pura Costos'!C1576)</f>
        <v/>
      </c>
      <c r="D1576" s="5" t="str">
        <f>+IF('Data Pura Costos'!D1576="","",'Data Pura Costos'!D1576)</f>
        <v/>
      </c>
      <c r="E1576" s="65" t="str">
        <f>+IF('Data Pura Costos'!E1576="","",IF('Data Pura Costos'!E1576=0,MAX('Data Pura Costos'!$E$7:$E$3000)*1000,'Data Pura Costos'!E1576))</f>
        <v/>
      </c>
      <c r="F1576" s="5" t="str">
        <f>+IF('Data Pura Costos'!F1576="","",'Data Pura Costos'!F1576)</f>
        <v/>
      </c>
      <c r="G1576" s="5" t="str">
        <f>+IF('Data Pura Costos'!G1576="","",'Data Pura Costos'!G1576)</f>
        <v/>
      </c>
      <c r="H1576" s="52" t="str">
        <f>+IF('Data Pura Costos'!H1576="","",'Data Pura Costos'!H1576)</f>
        <v/>
      </c>
      <c r="I1576" s="71" t="str">
        <f>+IF('Data Pura Costos'!I1576="","",'Data Pura Costos'!I1576)</f>
        <v/>
      </c>
      <c r="J1576" s="52" t="str">
        <f>+IF('Data Pura Costos'!J1576="","",'Data Pura Costos'!J1576)</f>
        <v/>
      </c>
      <c r="K1576" s="82" t="str">
        <f t="shared" si="29"/>
        <v/>
      </c>
    </row>
    <row r="1577" spans="2:11" x14ac:dyDescent="0.35">
      <c r="B1577" s="4" t="str">
        <f>+IF('Data Pura Costos'!B1577="","",'Data Pura Costos'!B1577)</f>
        <v/>
      </c>
      <c r="C1577" s="4" t="str">
        <f>+IF('Data Pura Costos'!C1577="","",'Data Pura Costos'!C1577)</f>
        <v/>
      </c>
      <c r="D1577" s="5" t="str">
        <f>+IF('Data Pura Costos'!D1577="","",'Data Pura Costos'!D1577)</f>
        <v/>
      </c>
      <c r="E1577" s="65" t="str">
        <f>+IF('Data Pura Costos'!E1577="","",IF('Data Pura Costos'!E1577=0,MAX('Data Pura Costos'!$E$7:$E$3000)*1000,'Data Pura Costos'!E1577))</f>
        <v/>
      </c>
      <c r="F1577" s="5" t="str">
        <f>+IF('Data Pura Costos'!F1577="","",'Data Pura Costos'!F1577)</f>
        <v/>
      </c>
      <c r="G1577" s="5" t="str">
        <f>+IF('Data Pura Costos'!G1577="","",'Data Pura Costos'!G1577)</f>
        <v/>
      </c>
      <c r="H1577" s="52" t="str">
        <f>+IF('Data Pura Costos'!H1577="","",'Data Pura Costos'!H1577)</f>
        <v/>
      </c>
      <c r="I1577" s="71" t="str">
        <f>+IF('Data Pura Costos'!I1577="","",'Data Pura Costos'!I1577)</f>
        <v/>
      </c>
      <c r="J1577" s="52" t="str">
        <f>+IF('Data Pura Costos'!J1577="","",'Data Pura Costos'!J1577)</f>
        <v/>
      </c>
      <c r="K1577" s="82" t="str">
        <f t="shared" si="29"/>
        <v/>
      </c>
    </row>
    <row r="1578" spans="2:11" x14ac:dyDescent="0.35">
      <c r="B1578" s="4" t="str">
        <f>+IF('Data Pura Costos'!B1578="","",'Data Pura Costos'!B1578)</f>
        <v/>
      </c>
      <c r="C1578" s="4" t="str">
        <f>+IF('Data Pura Costos'!C1578="","",'Data Pura Costos'!C1578)</f>
        <v/>
      </c>
      <c r="D1578" s="5" t="str">
        <f>+IF('Data Pura Costos'!D1578="","",'Data Pura Costos'!D1578)</f>
        <v/>
      </c>
      <c r="E1578" s="65" t="str">
        <f>+IF('Data Pura Costos'!E1578="","",IF('Data Pura Costos'!E1578=0,MAX('Data Pura Costos'!$E$7:$E$3000)*1000,'Data Pura Costos'!E1578))</f>
        <v/>
      </c>
      <c r="F1578" s="5" t="str">
        <f>+IF('Data Pura Costos'!F1578="","",'Data Pura Costos'!F1578)</f>
        <v/>
      </c>
      <c r="G1578" s="5" t="str">
        <f>+IF('Data Pura Costos'!G1578="","",'Data Pura Costos'!G1578)</f>
        <v/>
      </c>
      <c r="H1578" s="52" t="str">
        <f>+IF('Data Pura Costos'!H1578="","",'Data Pura Costos'!H1578)</f>
        <v/>
      </c>
      <c r="I1578" s="71" t="str">
        <f>+IF('Data Pura Costos'!I1578="","",'Data Pura Costos'!I1578)</f>
        <v/>
      </c>
      <c r="J1578" s="52" t="str">
        <f>+IF('Data Pura Costos'!J1578="","",'Data Pura Costos'!J1578)</f>
        <v/>
      </c>
      <c r="K1578" s="82" t="str">
        <f t="shared" si="29"/>
        <v/>
      </c>
    </row>
    <row r="1579" spans="2:11" x14ac:dyDescent="0.35">
      <c r="B1579" s="4" t="str">
        <f>+IF('Data Pura Costos'!B1579="","",'Data Pura Costos'!B1579)</f>
        <v/>
      </c>
      <c r="C1579" s="4" t="str">
        <f>+IF('Data Pura Costos'!C1579="","",'Data Pura Costos'!C1579)</f>
        <v/>
      </c>
      <c r="D1579" s="5" t="str">
        <f>+IF('Data Pura Costos'!D1579="","",'Data Pura Costos'!D1579)</f>
        <v/>
      </c>
      <c r="E1579" s="65" t="str">
        <f>+IF('Data Pura Costos'!E1579="","",IF('Data Pura Costos'!E1579=0,MAX('Data Pura Costos'!$E$7:$E$3000)*1000,'Data Pura Costos'!E1579))</f>
        <v/>
      </c>
      <c r="F1579" s="5" t="str">
        <f>+IF('Data Pura Costos'!F1579="","",'Data Pura Costos'!F1579)</f>
        <v/>
      </c>
      <c r="G1579" s="5" t="str">
        <f>+IF('Data Pura Costos'!G1579="","",'Data Pura Costos'!G1579)</f>
        <v/>
      </c>
      <c r="H1579" s="52" t="str">
        <f>+IF('Data Pura Costos'!H1579="","",'Data Pura Costos'!H1579)</f>
        <v/>
      </c>
      <c r="I1579" s="71" t="str">
        <f>+IF('Data Pura Costos'!I1579="","",'Data Pura Costos'!I1579)</f>
        <v/>
      </c>
      <c r="J1579" s="52" t="str">
        <f>+IF('Data Pura Costos'!J1579="","",'Data Pura Costos'!J1579)</f>
        <v/>
      </c>
      <c r="K1579" s="82" t="str">
        <f t="shared" si="29"/>
        <v/>
      </c>
    </row>
    <row r="1580" spans="2:11" x14ac:dyDescent="0.35">
      <c r="B1580" s="4" t="str">
        <f>+IF('Data Pura Costos'!B1580="","",'Data Pura Costos'!B1580)</f>
        <v/>
      </c>
      <c r="C1580" s="4" t="str">
        <f>+IF('Data Pura Costos'!C1580="","",'Data Pura Costos'!C1580)</f>
        <v/>
      </c>
      <c r="D1580" s="5" t="str">
        <f>+IF('Data Pura Costos'!D1580="","",'Data Pura Costos'!D1580)</f>
        <v/>
      </c>
      <c r="E1580" s="65" t="str">
        <f>+IF('Data Pura Costos'!E1580="","",IF('Data Pura Costos'!E1580=0,MAX('Data Pura Costos'!$E$7:$E$3000)*1000,'Data Pura Costos'!E1580))</f>
        <v/>
      </c>
      <c r="F1580" s="5" t="str">
        <f>+IF('Data Pura Costos'!F1580="","",'Data Pura Costos'!F1580)</f>
        <v/>
      </c>
      <c r="G1580" s="5" t="str">
        <f>+IF('Data Pura Costos'!G1580="","",'Data Pura Costos'!G1580)</f>
        <v/>
      </c>
      <c r="H1580" s="52" t="str">
        <f>+IF('Data Pura Costos'!H1580="","",'Data Pura Costos'!H1580)</f>
        <v/>
      </c>
      <c r="I1580" s="71" t="str">
        <f>+IF('Data Pura Costos'!I1580="","",'Data Pura Costos'!I1580)</f>
        <v/>
      </c>
      <c r="J1580" s="52" t="str">
        <f>+IF('Data Pura Costos'!J1580="","",'Data Pura Costos'!J1580)</f>
        <v/>
      </c>
      <c r="K1580" s="82" t="str">
        <f t="shared" si="29"/>
        <v/>
      </c>
    </row>
    <row r="1581" spans="2:11" x14ac:dyDescent="0.35">
      <c r="B1581" s="4" t="str">
        <f>+IF('Data Pura Costos'!B1581="","",'Data Pura Costos'!B1581)</f>
        <v/>
      </c>
      <c r="C1581" s="4" t="str">
        <f>+IF('Data Pura Costos'!C1581="","",'Data Pura Costos'!C1581)</f>
        <v/>
      </c>
      <c r="D1581" s="5" t="str">
        <f>+IF('Data Pura Costos'!D1581="","",'Data Pura Costos'!D1581)</f>
        <v/>
      </c>
      <c r="E1581" s="65" t="str">
        <f>+IF('Data Pura Costos'!E1581="","",IF('Data Pura Costos'!E1581=0,MAX('Data Pura Costos'!$E$7:$E$3000)*1000,'Data Pura Costos'!E1581))</f>
        <v/>
      </c>
      <c r="F1581" s="5" t="str">
        <f>+IF('Data Pura Costos'!F1581="","",'Data Pura Costos'!F1581)</f>
        <v/>
      </c>
      <c r="G1581" s="5" t="str">
        <f>+IF('Data Pura Costos'!G1581="","",'Data Pura Costos'!G1581)</f>
        <v/>
      </c>
      <c r="H1581" s="52" t="str">
        <f>+IF('Data Pura Costos'!H1581="","",'Data Pura Costos'!H1581)</f>
        <v/>
      </c>
      <c r="I1581" s="71" t="str">
        <f>+IF('Data Pura Costos'!I1581="","",'Data Pura Costos'!I1581)</f>
        <v/>
      </c>
      <c r="J1581" s="52" t="str">
        <f>+IF('Data Pura Costos'!J1581="","",'Data Pura Costos'!J1581)</f>
        <v/>
      </c>
      <c r="K1581" s="82" t="str">
        <f t="shared" si="29"/>
        <v/>
      </c>
    </row>
    <row r="1582" spans="2:11" x14ac:dyDescent="0.35">
      <c r="B1582" s="4" t="str">
        <f>+IF('Data Pura Costos'!B1582="","",'Data Pura Costos'!B1582)</f>
        <v/>
      </c>
      <c r="C1582" s="4" t="str">
        <f>+IF('Data Pura Costos'!C1582="","",'Data Pura Costos'!C1582)</f>
        <v/>
      </c>
      <c r="D1582" s="5" t="str">
        <f>+IF('Data Pura Costos'!D1582="","",'Data Pura Costos'!D1582)</f>
        <v/>
      </c>
      <c r="E1582" s="65" t="str">
        <f>+IF('Data Pura Costos'!E1582="","",IF('Data Pura Costos'!E1582=0,MAX('Data Pura Costos'!$E$7:$E$3000)*1000,'Data Pura Costos'!E1582))</f>
        <v/>
      </c>
      <c r="F1582" s="5" t="str">
        <f>+IF('Data Pura Costos'!F1582="","",'Data Pura Costos'!F1582)</f>
        <v/>
      </c>
      <c r="G1582" s="5" t="str">
        <f>+IF('Data Pura Costos'!G1582="","",'Data Pura Costos'!G1582)</f>
        <v/>
      </c>
      <c r="H1582" s="52" t="str">
        <f>+IF('Data Pura Costos'!H1582="","",'Data Pura Costos'!H1582)</f>
        <v/>
      </c>
      <c r="I1582" s="71" t="str">
        <f>+IF('Data Pura Costos'!I1582="","",'Data Pura Costos'!I1582)</f>
        <v/>
      </c>
      <c r="J1582" s="52" t="str">
        <f>+IF('Data Pura Costos'!J1582="","",'Data Pura Costos'!J1582)</f>
        <v/>
      </c>
      <c r="K1582" s="82" t="str">
        <f t="shared" si="29"/>
        <v/>
      </c>
    </row>
    <row r="1583" spans="2:11" x14ac:dyDescent="0.35">
      <c r="B1583" s="4" t="str">
        <f>+IF('Data Pura Costos'!B1583="","",'Data Pura Costos'!B1583)</f>
        <v/>
      </c>
      <c r="C1583" s="4" t="str">
        <f>+IF('Data Pura Costos'!C1583="","",'Data Pura Costos'!C1583)</f>
        <v/>
      </c>
      <c r="D1583" s="5" t="str">
        <f>+IF('Data Pura Costos'!D1583="","",'Data Pura Costos'!D1583)</f>
        <v/>
      </c>
      <c r="E1583" s="65" t="str">
        <f>+IF('Data Pura Costos'!E1583="","",IF('Data Pura Costos'!E1583=0,MAX('Data Pura Costos'!$E$7:$E$3000)*1000,'Data Pura Costos'!E1583))</f>
        <v/>
      </c>
      <c r="F1583" s="5" t="str">
        <f>+IF('Data Pura Costos'!F1583="","",'Data Pura Costos'!F1583)</f>
        <v/>
      </c>
      <c r="G1583" s="5" t="str">
        <f>+IF('Data Pura Costos'!G1583="","",'Data Pura Costos'!G1583)</f>
        <v/>
      </c>
      <c r="H1583" s="52" t="str">
        <f>+IF('Data Pura Costos'!H1583="","",'Data Pura Costos'!H1583)</f>
        <v/>
      </c>
      <c r="I1583" s="71" t="str">
        <f>+IF('Data Pura Costos'!I1583="","",'Data Pura Costos'!I1583)</f>
        <v/>
      </c>
      <c r="J1583" s="52" t="str">
        <f>+IF('Data Pura Costos'!J1583="","",'Data Pura Costos'!J1583)</f>
        <v/>
      </c>
      <c r="K1583" s="82" t="str">
        <f t="shared" si="29"/>
        <v/>
      </c>
    </row>
    <row r="1584" spans="2:11" x14ac:dyDescent="0.35">
      <c r="B1584" s="4" t="str">
        <f>+IF('Data Pura Costos'!B1584="","",'Data Pura Costos'!B1584)</f>
        <v/>
      </c>
      <c r="C1584" s="4" t="str">
        <f>+IF('Data Pura Costos'!C1584="","",'Data Pura Costos'!C1584)</f>
        <v/>
      </c>
      <c r="D1584" s="5" t="str">
        <f>+IF('Data Pura Costos'!D1584="","",'Data Pura Costos'!D1584)</f>
        <v/>
      </c>
      <c r="E1584" s="65" t="str">
        <f>+IF('Data Pura Costos'!E1584="","",IF('Data Pura Costos'!E1584=0,MAX('Data Pura Costos'!$E$7:$E$3000)*1000,'Data Pura Costos'!E1584))</f>
        <v/>
      </c>
      <c r="F1584" s="5" t="str">
        <f>+IF('Data Pura Costos'!F1584="","",'Data Pura Costos'!F1584)</f>
        <v/>
      </c>
      <c r="G1584" s="5" t="str">
        <f>+IF('Data Pura Costos'!G1584="","",'Data Pura Costos'!G1584)</f>
        <v/>
      </c>
      <c r="H1584" s="52" t="str">
        <f>+IF('Data Pura Costos'!H1584="","",'Data Pura Costos'!H1584)</f>
        <v/>
      </c>
      <c r="I1584" s="71" t="str">
        <f>+IF('Data Pura Costos'!I1584="","",'Data Pura Costos'!I1584)</f>
        <v/>
      </c>
      <c r="J1584" s="52" t="str">
        <f>+IF('Data Pura Costos'!J1584="","",'Data Pura Costos'!J1584)</f>
        <v/>
      </c>
      <c r="K1584" s="82" t="str">
        <f t="shared" si="29"/>
        <v/>
      </c>
    </row>
    <row r="1585" spans="2:11" x14ac:dyDescent="0.35">
      <c r="B1585" s="4" t="str">
        <f>+IF('Data Pura Costos'!B1585="","",'Data Pura Costos'!B1585)</f>
        <v/>
      </c>
      <c r="C1585" s="4" t="str">
        <f>+IF('Data Pura Costos'!C1585="","",'Data Pura Costos'!C1585)</f>
        <v/>
      </c>
      <c r="D1585" s="5" t="str">
        <f>+IF('Data Pura Costos'!D1585="","",'Data Pura Costos'!D1585)</f>
        <v/>
      </c>
      <c r="E1585" s="65" t="str">
        <f>+IF('Data Pura Costos'!E1585="","",IF('Data Pura Costos'!E1585=0,MAX('Data Pura Costos'!$E$7:$E$3000)*1000,'Data Pura Costos'!E1585))</f>
        <v/>
      </c>
      <c r="F1585" s="5" t="str">
        <f>+IF('Data Pura Costos'!F1585="","",'Data Pura Costos'!F1585)</f>
        <v/>
      </c>
      <c r="G1585" s="5" t="str">
        <f>+IF('Data Pura Costos'!G1585="","",'Data Pura Costos'!G1585)</f>
        <v/>
      </c>
      <c r="H1585" s="52" t="str">
        <f>+IF('Data Pura Costos'!H1585="","",'Data Pura Costos'!H1585)</f>
        <v/>
      </c>
      <c r="I1585" s="71" t="str">
        <f>+IF('Data Pura Costos'!I1585="","",'Data Pura Costos'!I1585)</f>
        <v/>
      </c>
      <c r="J1585" s="52" t="str">
        <f>+IF('Data Pura Costos'!J1585="","",'Data Pura Costos'!J1585)</f>
        <v/>
      </c>
      <c r="K1585" s="82" t="str">
        <f t="shared" si="29"/>
        <v/>
      </c>
    </row>
    <row r="1586" spans="2:11" x14ac:dyDescent="0.35">
      <c r="B1586" s="4" t="str">
        <f>+IF('Data Pura Costos'!B1586="","",'Data Pura Costos'!B1586)</f>
        <v/>
      </c>
      <c r="C1586" s="4" t="str">
        <f>+IF('Data Pura Costos'!C1586="","",'Data Pura Costos'!C1586)</f>
        <v/>
      </c>
      <c r="D1586" s="5" t="str">
        <f>+IF('Data Pura Costos'!D1586="","",'Data Pura Costos'!D1586)</f>
        <v/>
      </c>
      <c r="E1586" s="65" t="str">
        <f>+IF('Data Pura Costos'!E1586="","",IF('Data Pura Costos'!E1586=0,MAX('Data Pura Costos'!$E$7:$E$3000)*1000,'Data Pura Costos'!E1586))</f>
        <v/>
      </c>
      <c r="F1586" s="5" t="str">
        <f>+IF('Data Pura Costos'!F1586="","",'Data Pura Costos'!F1586)</f>
        <v/>
      </c>
      <c r="G1586" s="5" t="str">
        <f>+IF('Data Pura Costos'!G1586="","",'Data Pura Costos'!G1586)</f>
        <v/>
      </c>
      <c r="H1586" s="52" t="str">
        <f>+IF('Data Pura Costos'!H1586="","",'Data Pura Costos'!H1586)</f>
        <v/>
      </c>
      <c r="I1586" s="71" t="str">
        <f>+IF('Data Pura Costos'!I1586="","",'Data Pura Costos'!I1586)</f>
        <v/>
      </c>
      <c r="J1586" s="52" t="str">
        <f>+IF('Data Pura Costos'!J1586="","",'Data Pura Costos'!J1586)</f>
        <v/>
      </c>
      <c r="K1586" s="82" t="str">
        <f t="shared" si="29"/>
        <v/>
      </c>
    </row>
    <row r="1587" spans="2:11" x14ac:dyDescent="0.35">
      <c r="B1587" s="4" t="str">
        <f>+IF('Data Pura Costos'!B1587="","",'Data Pura Costos'!B1587)</f>
        <v/>
      </c>
      <c r="C1587" s="4" t="str">
        <f>+IF('Data Pura Costos'!C1587="","",'Data Pura Costos'!C1587)</f>
        <v/>
      </c>
      <c r="D1587" s="5" t="str">
        <f>+IF('Data Pura Costos'!D1587="","",'Data Pura Costos'!D1587)</f>
        <v/>
      </c>
      <c r="E1587" s="65" t="str">
        <f>+IF('Data Pura Costos'!E1587="","",IF('Data Pura Costos'!E1587=0,MAX('Data Pura Costos'!$E$7:$E$3000)*1000,'Data Pura Costos'!E1587))</f>
        <v/>
      </c>
      <c r="F1587" s="5" t="str">
        <f>+IF('Data Pura Costos'!F1587="","",'Data Pura Costos'!F1587)</f>
        <v/>
      </c>
      <c r="G1587" s="5" t="str">
        <f>+IF('Data Pura Costos'!G1587="","",'Data Pura Costos'!G1587)</f>
        <v/>
      </c>
      <c r="H1587" s="52" t="str">
        <f>+IF('Data Pura Costos'!H1587="","",'Data Pura Costos'!H1587)</f>
        <v/>
      </c>
      <c r="I1587" s="71" t="str">
        <f>+IF('Data Pura Costos'!I1587="","",'Data Pura Costos'!I1587)</f>
        <v/>
      </c>
      <c r="J1587" s="52" t="str">
        <f>+IF('Data Pura Costos'!J1587="","",'Data Pura Costos'!J1587)</f>
        <v/>
      </c>
      <c r="K1587" s="82" t="str">
        <f t="shared" si="29"/>
        <v/>
      </c>
    </row>
    <row r="1588" spans="2:11" x14ac:dyDescent="0.35">
      <c r="B1588" s="4" t="str">
        <f>+IF('Data Pura Costos'!B1588="","",'Data Pura Costos'!B1588)</f>
        <v/>
      </c>
      <c r="C1588" s="4" t="str">
        <f>+IF('Data Pura Costos'!C1588="","",'Data Pura Costos'!C1588)</f>
        <v/>
      </c>
      <c r="D1588" s="5" t="str">
        <f>+IF('Data Pura Costos'!D1588="","",'Data Pura Costos'!D1588)</f>
        <v/>
      </c>
      <c r="E1588" s="65" t="str">
        <f>+IF('Data Pura Costos'!E1588="","",IF('Data Pura Costos'!E1588=0,MAX('Data Pura Costos'!$E$7:$E$3000)*1000,'Data Pura Costos'!E1588))</f>
        <v/>
      </c>
      <c r="F1588" s="5" t="str">
        <f>+IF('Data Pura Costos'!F1588="","",'Data Pura Costos'!F1588)</f>
        <v/>
      </c>
      <c r="G1588" s="5" t="str">
        <f>+IF('Data Pura Costos'!G1588="","",'Data Pura Costos'!G1588)</f>
        <v/>
      </c>
      <c r="H1588" s="52" t="str">
        <f>+IF('Data Pura Costos'!H1588="","",'Data Pura Costos'!H1588)</f>
        <v/>
      </c>
      <c r="I1588" s="71" t="str">
        <f>+IF('Data Pura Costos'!I1588="","",'Data Pura Costos'!I1588)</f>
        <v/>
      </c>
      <c r="J1588" s="52" t="str">
        <f>+IF('Data Pura Costos'!J1588="","",'Data Pura Costos'!J1588)</f>
        <v/>
      </c>
      <c r="K1588" s="82" t="str">
        <f t="shared" si="29"/>
        <v/>
      </c>
    </row>
    <row r="1589" spans="2:11" x14ac:dyDescent="0.35">
      <c r="B1589" s="4" t="str">
        <f>+IF('Data Pura Costos'!B1589="","",'Data Pura Costos'!B1589)</f>
        <v/>
      </c>
      <c r="C1589" s="4" t="str">
        <f>+IF('Data Pura Costos'!C1589="","",'Data Pura Costos'!C1589)</f>
        <v/>
      </c>
      <c r="D1589" s="5" t="str">
        <f>+IF('Data Pura Costos'!D1589="","",'Data Pura Costos'!D1589)</f>
        <v/>
      </c>
      <c r="E1589" s="65" t="str">
        <f>+IF('Data Pura Costos'!E1589="","",IF('Data Pura Costos'!E1589=0,MAX('Data Pura Costos'!$E$7:$E$3000)*1000,'Data Pura Costos'!E1589))</f>
        <v/>
      </c>
      <c r="F1589" s="5" t="str">
        <f>+IF('Data Pura Costos'!F1589="","",'Data Pura Costos'!F1589)</f>
        <v/>
      </c>
      <c r="G1589" s="5" t="str">
        <f>+IF('Data Pura Costos'!G1589="","",'Data Pura Costos'!G1589)</f>
        <v/>
      </c>
      <c r="H1589" s="52" t="str">
        <f>+IF('Data Pura Costos'!H1589="","",'Data Pura Costos'!H1589)</f>
        <v/>
      </c>
      <c r="I1589" s="71" t="str">
        <f>+IF('Data Pura Costos'!I1589="","",'Data Pura Costos'!I1589)</f>
        <v/>
      </c>
      <c r="J1589" s="52" t="str">
        <f>+IF('Data Pura Costos'!J1589="","",'Data Pura Costos'!J1589)</f>
        <v/>
      </c>
      <c r="K1589" s="82" t="str">
        <f t="shared" si="29"/>
        <v/>
      </c>
    </row>
    <row r="1590" spans="2:11" x14ac:dyDescent="0.35">
      <c r="B1590" s="4" t="str">
        <f>+IF('Data Pura Costos'!B1590="","",'Data Pura Costos'!B1590)</f>
        <v/>
      </c>
      <c r="C1590" s="4" t="str">
        <f>+IF('Data Pura Costos'!C1590="","",'Data Pura Costos'!C1590)</f>
        <v/>
      </c>
      <c r="D1590" s="5" t="str">
        <f>+IF('Data Pura Costos'!D1590="","",'Data Pura Costos'!D1590)</f>
        <v/>
      </c>
      <c r="E1590" s="65" t="str">
        <f>+IF('Data Pura Costos'!E1590="","",IF('Data Pura Costos'!E1590=0,MAX('Data Pura Costos'!$E$7:$E$3000)*1000,'Data Pura Costos'!E1590))</f>
        <v/>
      </c>
      <c r="F1590" s="5" t="str">
        <f>+IF('Data Pura Costos'!F1590="","",'Data Pura Costos'!F1590)</f>
        <v/>
      </c>
      <c r="G1590" s="5" t="str">
        <f>+IF('Data Pura Costos'!G1590="","",'Data Pura Costos'!G1590)</f>
        <v/>
      </c>
      <c r="H1590" s="52" t="str">
        <f>+IF('Data Pura Costos'!H1590="","",'Data Pura Costos'!H1590)</f>
        <v/>
      </c>
      <c r="I1590" s="71" t="str">
        <f>+IF('Data Pura Costos'!I1590="","",'Data Pura Costos'!I1590)</f>
        <v/>
      </c>
      <c r="J1590" s="52" t="str">
        <f>+IF('Data Pura Costos'!J1590="","",'Data Pura Costos'!J1590)</f>
        <v/>
      </c>
      <c r="K1590" s="82" t="str">
        <f t="shared" si="29"/>
        <v/>
      </c>
    </row>
    <row r="1591" spans="2:11" x14ac:dyDescent="0.35">
      <c r="B1591" s="4" t="str">
        <f>+IF('Data Pura Costos'!B1591="","",'Data Pura Costos'!B1591)</f>
        <v/>
      </c>
      <c r="C1591" s="4" t="str">
        <f>+IF('Data Pura Costos'!C1591="","",'Data Pura Costos'!C1591)</f>
        <v/>
      </c>
      <c r="D1591" s="5" t="str">
        <f>+IF('Data Pura Costos'!D1591="","",'Data Pura Costos'!D1591)</f>
        <v/>
      </c>
      <c r="E1591" s="65" t="str">
        <f>+IF('Data Pura Costos'!E1591="","",IF('Data Pura Costos'!E1591=0,MAX('Data Pura Costos'!$E$7:$E$3000)*1000,'Data Pura Costos'!E1591))</f>
        <v/>
      </c>
      <c r="F1591" s="5" t="str">
        <f>+IF('Data Pura Costos'!F1591="","",'Data Pura Costos'!F1591)</f>
        <v/>
      </c>
      <c r="G1591" s="5" t="str">
        <f>+IF('Data Pura Costos'!G1591="","",'Data Pura Costos'!G1591)</f>
        <v/>
      </c>
      <c r="H1591" s="52" t="str">
        <f>+IF('Data Pura Costos'!H1591="","",'Data Pura Costos'!H1591)</f>
        <v/>
      </c>
      <c r="I1591" s="71" t="str">
        <f>+IF('Data Pura Costos'!I1591="","",'Data Pura Costos'!I1591)</f>
        <v/>
      </c>
      <c r="J1591" s="52" t="str">
        <f>+IF('Data Pura Costos'!J1591="","",'Data Pura Costos'!J1591)</f>
        <v/>
      </c>
      <c r="K1591" s="82" t="str">
        <f t="shared" si="29"/>
        <v/>
      </c>
    </row>
    <row r="1592" spans="2:11" x14ac:dyDescent="0.35">
      <c r="B1592" s="4" t="str">
        <f>+IF('Data Pura Costos'!B1592="","",'Data Pura Costos'!B1592)</f>
        <v/>
      </c>
      <c r="C1592" s="4" t="str">
        <f>+IF('Data Pura Costos'!C1592="","",'Data Pura Costos'!C1592)</f>
        <v/>
      </c>
      <c r="D1592" s="5" t="str">
        <f>+IF('Data Pura Costos'!D1592="","",'Data Pura Costos'!D1592)</f>
        <v/>
      </c>
      <c r="E1592" s="65" t="str">
        <f>+IF('Data Pura Costos'!E1592="","",IF('Data Pura Costos'!E1592=0,MAX('Data Pura Costos'!$E$7:$E$3000)*1000,'Data Pura Costos'!E1592))</f>
        <v/>
      </c>
      <c r="F1592" s="5" t="str">
        <f>+IF('Data Pura Costos'!F1592="","",'Data Pura Costos'!F1592)</f>
        <v/>
      </c>
      <c r="G1592" s="5" t="str">
        <f>+IF('Data Pura Costos'!G1592="","",'Data Pura Costos'!G1592)</f>
        <v/>
      </c>
      <c r="H1592" s="52" t="str">
        <f>+IF('Data Pura Costos'!H1592="","",'Data Pura Costos'!H1592)</f>
        <v/>
      </c>
      <c r="I1592" s="71" t="str">
        <f>+IF('Data Pura Costos'!I1592="","",'Data Pura Costos'!I1592)</f>
        <v/>
      </c>
      <c r="J1592" s="52" t="str">
        <f>+IF('Data Pura Costos'!J1592="","",'Data Pura Costos'!J1592)</f>
        <v/>
      </c>
      <c r="K1592" s="82" t="str">
        <f t="shared" si="29"/>
        <v/>
      </c>
    </row>
    <row r="1593" spans="2:11" x14ac:dyDescent="0.35">
      <c r="B1593" s="4" t="str">
        <f>+IF('Data Pura Costos'!B1593="","",'Data Pura Costos'!B1593)</f>
        <v/>
      </c>
      <c r="C1593" s="4" t="str">
        <f>+IF('Data Pura Costos'!C1593="","",'Data Pura Costos'!C1593)</f>
        <v/>
      </c>
      <c r="D1593" s="5" t="str">
        <f>+IF('Data Pura Costos'!D1593="","",'Data Pura Costos'!D1593)</f>
        <v/>
      </c>
      <c r="E1593" s="65" t="str">
        <f>+IF('Data Pura Costos'!E1593="","",IF('Data Pura Costos'!E1593=0,MAX('Data Pura Costos'!$E$7:$E$3000)*1000,'Data Pura Costos'!E1593))</f>
        <v/>
      </c>
      <c r="F1593" s="5" t="str">
        <f>+IF('Data Pura Costos'!F1593="","",'Data Pura Costos'!F1593)</f>
        <v/>
      </c>
      <c r="G1593" s="5" t="str">
        <f>+IF('Data Pura Costos'!G1593="","",'Data Pura Costos'!G1593)</f>
        <v/>
      </c>
      <c r="H1593" s="52" t="str">
        <f>+IF('Data Pura Costos'!H1593="","",'Data Pura Costos'!H1593)</f>
        <v/>
      </c>
      <c r="I1593" s="71" t="str">
        <f>+IF('Data Pura Costos'!I1593="","",'Data Pura Costos'!I1593)</f>
        <v/>
      </c>
      <c r="J1593" s="52" t="str">
        <f>+IF('Data Pura Costos'!J1593="","",'Data Pura Costos'!J1593)</f>
        <v/>
      </c>
      <c r="K1593" s="82" t="str">
        <f t="shared" si="29"/>
        <v/>
      </c>
    </row>
    <row r="1594" spans="2:11" x14ac:dyDescent="0.35">
      <c r="B1594" s="4" t="str">
        <f>+IF('Data Pura Costos'!B1594="","",'Data Pura Costos'!B1594)</f>
        <v/>
      </c>
      <c r="C1594" s="4" t="str">
        <f>+IF('Data Pura Costos'!C1594="","",'Data Pura Costos'!C1594)</f>
        <v/>
      </c>
      <c r="D1594" s="5" t="str">
        <f>+IF('Data Pura Costos'!D1594="","",'Data Pura Costos'!D1594)</f>
        <v/>
      </c>
      <c r="E1594" s="65" t="str">
        <f>+IF('Data Pura Costos'!E1594="","",IF('Data Pura Costos'!E1594=0,MAX('Data Pura Costos'!$E$7:$E$3000)*1000,'Data Pura Costos'!E1594))</f>
        <v/>
      </c>
      <c r="F1594" s="5" t="str">
        <f>+IF('Data Pura Costos'!F1594="","",'Data Pura Costos'!F1594)</f>
        <v/>
      </c>
      <c r="G1594" s="5" t="str">
        <f>+IF('Data Pura Costos'!G1594="","",'Data Pura Costos'!G1594)</f>
        <v/>
      </c>
      <c r="H1594" s="52" t="str">
        <f>+IF('Data Pura Costos'!H1594="","",'Data Pura Costos'!H1594)</f>
        <v/>
      </c>
      <c r="I1594" s="71" t="str">
        <f>+IF('Data Pura Costos'!I1594="","",'Data Pura Costos'!I1594)</f>
        <v/>
      </c>
      <c r="J1594" s="52" t="str">
        <f>+IF('Data Pura Costos'!J1594="","",'Data Pura Costos'!J1594)</f>
        <v/>
      </c>
      <c r="K1594" s="82" t="str">
        <f t="shared" si="29"/>
        <v/>
      </c>
    </row>
    <row r="1595" spans="2:11" x14ac:dyDescent="0.35">
      <c r="B1595" s="4" t="str">
        <f>+IF('Data Pura Costos'!B1595="","",'Data Pura Costos'!B1595)</f>
        <v/>
      </c>
      <c r="C1595" s="4" t="str">
        <f>+IF('Data Pura Costos'!C1595="","",'Data Pura Costos'!C1595)</f>
        <v/>
      </c>
      <c r="D1595" s="5" t="str">
        <f>+IF('Data Pura Costos'!D1595="","",'Data Pura Costos'!D1595)</f>
        <v/>
      </c>
      <c r="E1595" s="65" t="str">
        <f>+IF('Data Pura Costos'!E1595="","",IF('Data Pura Costos'!E1595=0,MAX('Data Pura Costos'!$E$7:$E$3000)*1000,'Data Pura Costos'!E1595))</f>
        <v/>
      </c>
      <c r="F1595" s="5" t="str">
        <f>+IF('Data Pura Costos'!F1595="","",'Data Pura Costos'!F1595)</f>
        <v/>
      </c>
      <c r="G1595" s="5" t="str">
        <f>+IF('Data Pura Costos'!G1595="","",'Data Pura Costos'!G1595)</f>
        <v/>
      </c>
      <c r="H1595" s="52" t="str">
        <f>+IF('Data Pura Costos'!H1595="","",'Data Pura Costos'!H1595)</f>
        <v/>
      </c>
      <c r="I1595" s="71" t="str">
        <f>+IF('Data Pura Costos'!I1595="","",'Data Pura Costos'!I1595)</f>
        <v/>
      </c>
      <c r="J1595" s="52" t="str">
        <f>+IF('Data Pura Costos'!J1595="","",'Data Pura Costos'!J1595)</f>
        <v/>
      </c>
      <c r="K1595" s="82" t="str">
        <f t="shared" si="29"/>
        <v/>
      </c>
    </row>
    <row r="1596" spans="2:11" x14ac:dyDescent="0.35">
      <c r="B1596" s="4" t="str">
        <f>+IF('Data Pura Costos'!B1596="","",'Data Pura Costos'!B1596)</f>
        <v/>
      </c>
      <c r="C1596" s="4" t="str">
        <f>+IF('Data Pura Costos'!C1596="","",'Data Pura Costos'!C1596)</f>
        <v/>
      </c>
      <c r="D1596" s="5" t="str">
        <f>+IF('Data Pura Costos'!D1596="","",'Data Pura Costos'!D1596)</f>
        <v/>
      </c>
      <c r="E1596" s="65" t="str">
        <f>+IF('Data Pura Costos'!E1596="","",IF('Data Pura Costos'!E1596=0,MAX('Data Pura Costos'!$E$7:$E$3000)*1000,'Data Pura Costos'!E1596))</f>
        <v/>
      </c>
      <c r="F1596" s="5" t="str">
        <f>+IF('Data Pura Costos'!F1596="","",'Data Pura Costos'!F1596)</f>
        <v/>
      </c>
      <c r="G1596" s="5" t="str">
        <f>+IF('Data Pura Costos'!G1596="","",'Data Pura Costos'!G1596)</f>
        <v/>
      </c>
      <c r="H1596" s="52" t="str">
        <f>+IF('Data Pura Costos'!H1596="","",'Data Pura Costos'!H1596)</f>
        <v/>
      </c>
      <c r="I1596" s="71" t="str">
        <f>+IF('Data Pura Costos'!I1596="","",'Data Pura Costos'!I1596)</f>
        <v/>
      </c>
      <c r="J1596" s="52" t="str">
        <f>+IF('Data Pura Costos'!J1596="","",'Data Pura Costos'!J1596)</f>
        <v/>
      </c>
      <c r="K1596" s="82" t="str">
        <f t="shared" ref="K1596:K1659" si="30">+IF(B1596="","",CONCATENATE(B1596,"-",F1596,"-",G1596))</f>
        <v/>
      </c>
    </row>
    <row r="1597" spans="2:11" x14ac:dyDescent="0.35">
      <c r="B1597" s="4" t="str">
        <f>+IF('Data Pura Costos'!B1597="","",'Data Pura Costos'!B1597)</f>
        <v/>
      </c>
      <c r="C1597" s="4" t="str">
        <f>+IF('Data Pura Costos'!C1597="","",'Data Pura Costos'!C1597)</f>
        <v/>
      </c>
      <c r="D1597" s="5" t="str">
        <f>+IF('Data Pura Costos'!D1597="","",'Data Pura Costos'!D1597)</f>
        <v/>
      </c>
      <c r="E1597" s="65" t="str">
        <f>+IF('Data Pura Costos'!E1597="","",IF('Data Pura Costos'!E1597=0,MAX('Data Pura Costos'!$E$7:$E$3000)*1000,'Data Pura Costos'!E1597))</f>
        <v/>
      </c>
      <c r="F1597" s="5" t="str">
        <f>+IF('Data Pura Costos'!F1597="","",'Data Pura Costos'!F1597)</f>
        <v/>
      </c>
      <c r="G1597" s="5" t="str">
        <f>+IF('Data Pura Costos'!G1597="","",'Data Pura Costos'!G1597)</f>
        <v/>
      </c>
      <c r="H1597" s="52" t="str">
        <f>+IF('Data Pura Costos'!H1597="","",'Data Pura Costos'!H1597)</f>
        <v/>
      </c>
      <c r="I1597" s="71" t="str">
        <f>+IF('Data Pura Costos'!I1597="","",'Data Pura Costos'!I1597)</f>
        <v/>
      </c>
      <c r="J1597" s="52" t="str">
        <f>+IF('Data Pura Costos'!J1597="","",'Data Pura Costos'!J1597)</f>
        <v/>
      </c>
      <c r="K1597" s="82" t="str">
        <f t="shared" si="30"/>
        <v/>
      </c>
    </row>
    <row r="1598" spans="2:11" x14ac:dyDescent="0.35">
      <c r="B1598" s="4" t="str">
        <f>+IF('Data Pura Costos'!B1598="","",'Data Pura Costos'!B1598)</f>
        <v/>
      </c>
      <c r="C1598" s="4" t="str">
        <f>+IF('Data Pura Costos'!C1598="","",'Data Pura Costos'!C1598)</f>
        <v/>
      </c>
      <c r="D1598" s="5" t="str">
        <f>+IF('Data Pura Costos'!D1598="","",'Data Pura Costos'!D1598)</f>
        <v/>
      </c>
      <c r="E1598" s="65" t="str">
        <f>+IF('Data Pura Costos'!E1598="","",IF('Data Pura Costos'!E1598=0,MAX('Data Pura Costos'!$E$7:$E$3000)*1000,'Data Pura Costos'!E1598))</f>
        <v/>
      </c>
      <c r="F1598" s="5" t="str">
        <f>+IF('Data Pura Costos'!F1598="","",'Data Pura Costos'!F1598)</f>
        <v/>
      </c>
      <c r="G1598" s="5" t="str">
        <f>+IF('Data Pura Costos'!G1598="","",'Data Pura Costos'!G1598)</f>
        <v/>
      </c>
      <c r="H1598" s="52" t="str">
        <f>+IF('Data Pura Costos'!H1598="","",'Data Pura Costos'!H1598)</f>
        <v/>
      </c>
      <c r="I1598" s="71" t="str">
        <f>+IF('Data Pura Costos'!I1598="","",'Data Pura Costos'!I1598)</f>
        <v/>
      </c>
      <c r="J1598" s="52" t="str">
        <f>+IF('Data Pura Costos'!J1598="","",'Data Pura Costos'!J1598)</f>
        <v/>
      </c>
      <c r="K1598" s="82" t="str">
        <f t="shared" si="30"/>
        <v/>
      </c>
    </row>
    <row r="1599" spans="2:11" x14ac:dyDescent="0.35">
      <c r="B1599" s="4" t="str">
        <f>+IF('Data Pura Costos'!B1599="","",'Data Pura Costos'!B1599)</f>
        <v/>
      </c>
      <c r="C1599" s="4" t="str">
        <f>+IF('Data Pura Costos'!C1599="","",'Data Pura Costos'!C1599)</f>
        <v/>
      </c>
      <c r="D1599" s="5" t="str">
        <f>+IF('Data Pura Costos'!D1599="","",'Data Pura Costos'!D1599)</f>
        <v/>
      </c>
      <c r="E1599" s="65" t="str">
        <f>+IF('Data Pura Costos'!E1599="","",IF('Data Pura Costos'!E1599=0,MAX('Data Pura Costos'!$E$7:$E$3000)*1000,'Data Pura Costos'!E1599))</f>
        <v/>
      </c>
      <c r="F1599" s="5" t="str">
        <f>+IF('Data Pura Costos'!F1599="","",'Data Pura Costos'!F1599)</f>
        <v/>
      </c>
      <c r="G1599" s="5" t="str">
        <f>+IF('Data Pura Costos'!G1599="","",'Data Pura Costos'!G1599)</f>
        <v/>
      </c>
      <c r="H1599" s="52" t="str">
        <f>+IF('Data Pura Costos'!H1599="","",'Data Pura Costos'!H1599)</f>
        <v/>
      </c>
      <c r="I1599" s="71" t="str">
        <f>+IF('Data Pura Costos'!I1599="","",'Data Pura Costos'!I1599)</f>
        <v/>
      </c>
      <c r="J1599" s="52" t="str">
        <f>+IF('Data Pura Costos'!J1599="","",'Data Pura Costos'!J1599)</f>
        <v/>
      </c>
      <c r="K1599" s="82" t="str">
        <f t="shared" si="30"/>
        <v/>
      </c>
    </row>
    <row r="1600" spans="2:11" x14ac:dyDescent="0.35">
      <c r="B1600" s="4" t="str">
        <f>+IF('Data Pura Costos'!B1600="","",'Data Pura Costos'!B1600)</f>
        <v/>
      </c>
      <c r="C1600" s="4" t="str">
        <f>+IF('Data Pura Costos'!C1600="","",'Data Pura Costos'!C1600)</f>
        <v/>
      </c>
      <c r="D1600" s="5" t="str">
        <f>+IF('Data Pura Costos'!D1600="","",'Data Pura Costos'!D1600)</f>
        <v/>
      </c>
      <c r="E1600" s="65" t="str">
        <f>+IF('Data Pura Costos'!E1600="","",IF('Data Pura Costos'!E1600=0,MAX('Data Pura Costos'!$E$7:$E$3000)*1000,'Data Pura Costos'!E1600))</f>
        <v/>
      </c>
      <c r="F1600" s="5" t="str">
        <f>+IF('Data Pura Costos'!F1600="","",'Data Pura Costos'!F1600)</f>
        <v/>
      </c>
      <c r="G1600" s="5" t="str">
        <f>+IF('Data Pura Costos'!G1600="","",'Data Pura Costos'!G1600)</f>
        <v/>
      </c>
      <c r="H1600" s="52" t="str">
        <f>+IF('Data Pura Costos'!H1600="","",'Data Pura Costos'!H1600)</f>
        <v/>
      </c>
      <c r="I1600" s="71" t="str">
        <f>+IF('Data Pura Costos'!I1600="","",'Data Pura Costos'!I1600)</f>
        <v/>
      </c>
      <c r="J1600" s="52" t="str">
        <f>+IF('Data Pura Costos'!J1600="","",'Data Pura Costos'!J1600)</f>
        <v/>
      </c>
      <c r="K1600" s="82" t="str">
        <f t="shared" si="30"/>
        <v/>
      </c>
    </row>
    <row r="1601" spans="2:11" x14ac:dyDescent="0.35">
      <c r="B1601" s="4" t="str">
        <f>+IF('Data Pura Costos'!B1601="","",'Data Pura Costos'!B1601)</f>
        <v/>
      </c>
      <c r="C1601" s="4" t="str">
        <f>+IF('Data Pura Costos'!C1601="","",'Data Pura Costos'!C1601)</f>
        <v/>
      </c>
      <c r="D1601" s="5" t="str">
        <f>+IF('Data Pura Costos'!D1601="","",'Data Pura Costos'!D1601)</f>
        <v/>
      </c>
      <c r="E1601" s="65" t="str">
        <f>+IF('Data Pura Costos'!E1601="","",IF('Data Pura Costos'!E1601=0,MAX('Data Pura Costos'!$E$7:$E$3000)*1000,'Data Pura Costos'!E1601))</f>
        <v/>
      </c>
      <c r="F1601" s="5" t="str">
        <f>+IF('Data Pura Costos'!F1601="","",'Data Pura Costos'!F1601)</f>
        <v/>
      </c>
      <c r="G1601" s="5" t="str">
        <f>+IF('Data Pura Costos'!G1601="","",'Data Pura Costos'!G1601)</f>
        <v/>
      </c>
      <c r="H1601" s="52" t="str">
        <f>+IF('Data Pura Costos'!H1601="","",'Data Pura Costos'!H1601)</f>
        <v/>
      </c>
      <c r="I1601" s="71" t="str">
        <f>+IF('Data Pura Costos'!I1601="","",'Data Pura Costos'!I1601)</f>
        <v/>
      </c>
      <c r="J1601" s="52" t="str">
        <f>+IF('Data Pura Costos'!J1601="","",'Data Pura Costos'!J1601)</f>
        <v/>
      </c>
      <c r="K1601" s="82" t="str">
        <f t="shared" si="30"/>
        <v/>
      </c>
    </row>
    <row r="1602" spans="2:11" x14ac:dyDescent="0.35">
      <c r="B1602" s="4" t="str">
        <f>+IF('Data Pura Costos'!B1602="","",'Data Pura Costos'!B1602)</f>
        <v/>
      </c>
      <c r="C1602" s="4" t="str">
        <f>+IF('Data Pura Costos'!C1602="","",'Data Pura Costos'!C1602)</f>
        <v/>
      </c>
      <c r="D1602" s="5" t="str">
        <f>+IF('Data Pura Costos'!D1602="","",'Data Pura Costos'!D1602)</f>
        <v/>
      </c>
      <c r="E1602" s="65" t="str">
        <f>+IF('Data Pura Costos'!E1602="","",IF('Data Pura Costos'!E1602=0,MAX('Data Pura Costos'!$E$7:$E$3000)*1000,'Data Pura Costos'!E1602))</f>
        <v/>
      </c>
      <c r="F1602" s="5" t="str">
        <f>+IF('Data Pura Costos'!F1602="","",'Data Pura Costos'!F1602)</f>
        <v/>
      </c>
      <c r="G1602" s="5" t="str">
        <f>+IF('Data Pura Costos'!G1602="","",'Data Pura Costos'!G1602)</f>
        <v/>
      </c>
      <c r="H1602" s="52" t="str">
        <f>+IF('Data Pura Costos'!H1602="","",'Data Pura Costos'!H1602)</f>
        <v/>
      </c>
      <c r="I1602" s="71" t="str">
        <f>+IF('Data Pura Costos'!I1602="","",'Data Pura Costos'!I1602)</f>
        <v/>
      </c>
      <c r="J1602" s="52" t="str">
        <f>+IF('Data Pura Costos'!J1602="","",'Data Pura Costos'!J1602)</f>
        <v/>
      </c>
      <c r="K1602" s="82" t="str">
        <f t="shared" si="30"/>
        <v/>
      </c>
    </row>
    <row r="1603" spans="2:11" x14ac:dyDescent="0.35">
      <c r="B1603" s="4" t="str">
        <f>+IF('Data Pura Costos'!B1603="","",'Data Pura Costos'!B1603)</f>
        <v/>
      </c>
      <c r="C1603" s="4" t="str">
        <f>+IF('Data Pura Costos'!C1603="","",'Data Pura Costos'!C1603)</f>
        <v/>
      </c>
      <c r="D1603" s="5" t="str">
        <f>+IF('Data Pura Costos'!D1603="","",'Data Pura Costos'!D1603)</f>
        <v/>
      </c>
      <c r="E1603" s="65" t="str">
        <f>+IF('Data Pura Costos'!E1603="","",IF('Data Pura Costos'!E1603=0,MAX('Data Pura Costos'!$E$7:$E$3000)*1000,'Data Pura Costos'!E1603))</f>
        <v/>
      </c>
      <c r="F1603" s="5" t="str">
        <f>+IF('Data Pura Costos'!F1603="","",'Data Pura Costos'!F1603)</f>
        <v/>
      </c>
      <c r="G1603" s="5" t="str">
        <f>+IF('Data Pura Costos'!G1603="","",'Data Pura Costos'!G1603)</f>
        <v/>
      </c>
      <c r="H1603" s="52" t="str">
        <f>+IF('Data Pura Costos'!H1603="","",'Data Pura Costos'!H1603)</f>
        <v/>
      </c>
      <c r="I1603" s="71" t="str">
        <f>+IF('Data Pura Costos'!I1603="","",'Data Pura Costos'!I1603)</f>
        <v/>
      </c>
      <c r="J1603" s="52" t="str">
        <f>+IF('Data Pura Costos'!J1603="","",'Data Pura Costos'!J1603)</f>
        <v/>
      </c>
      <c r="K1603" s="82" t="str">
        <f t="shared" si="30"/>
        <v/>
      </c>
    </row>
    <row r="1604" spans="2:11" x14ac:dyDescent="0.35">
      <c r="B1604" s="4" t="str">
        <f>+IF('Data Pura Costos'!B1604="","",'Data Pura Costos'!B1604)</f>
        <v/>
      </c>
      <c r="C1604" s="4" t="str">
        <f>+IF('Data Pura Costos'!C1604="","",'Data Pura Costos'!C1604)</f>
        <v/>
      </c>
      <c r="D1604" s="5" t="str">
        <f>+IF('Data Pura Costos'!D1604="","",'Data Pura Costos'!D1604)</f>
        <v/>
      </c>
      <c r="E1604" s="65" t="str">
        <f>+IF('Data Pura Costos'!E1604="","",IF('Data Pura Costos'!E1604=0,MAX('Data Pura Costos'!$E$7:$E$3000)*1000,'Data Pura Costos'!E1604))</f>
        <v/>
      </c>
      <c r="F1604" s="5" t="str">
        <f>+IF('Data Pura Costos'!F1604="","",'Data Pura Costos'!F1604)</f>
        <v/>
      </c>
      <c r="G1604" s="5" t="str">
        <f>+IF('Data Pura Costos'!G1604="","",'Data Pura Costos'!G1604)</f>
        <v/>
      </c>
      <c r="H1604" s="52" t="str">
        <f>+IF('Data Pura Costos'!H1604="","",'Data Pura Costos'!H1604)</f>
        <v/>
      </c>
      <c r="I1604" s="71" t="str">
        <f>+IF('Data Pura Costos'!I1604="","",'Data Pura Costos'!I1604)</f>
        <v/>
      </c>
      <c r="J1604" s="52" t="str">
        <f>+IF('Data Pura Costos'!J1604="","",'Data Pura Costos'!J1604)</f>
        <v/>
      </c>
      <c r="K1604" s="82" t="str">
        <f t="shared" si="30"/>
        <v/>
      </c>
    </row>
    <row r="1605" spans="2:11" x14ac:dyDescent="0.35">
      <c r="B1605" s="4" t="str">
        <f>+IF('Data Pura Costos'!B1605="","",'Data Pura Costos'!B1605)</f>
        <v/>
      </c>
      <c r="C1605" s="4" t="str">
        <f>+IF('Data Pura Costos'!C1605="","",'Data Pura Costos'!C1605)</f>
        <v/>
      </c>
      <c r="D1605" s="5" t="str">
        <f>+IF('Data Pura Costos'!D1605="","",'Data Pura Costos'!D1605)</f>
        <v/>
      </c>
      <c r="E1605" s="65" t="str">
        <f>+IF('Data Pura Costos'!E1605="","",IF('Data Pura Costos'!E1605=0,MAX('Data Pura Costos'!$E$7:$E$3000)*1000,'Data Pura Costos'!E1605))</f>
        <v/>
      </c>
      <c r="F1605" s="5" t="str">
        <f>+IF('Data Pura Costos'!F1605="","",'Data Pura Costos'!F1605)</f>
        <v/>
      </c>
      <c r="G1605" s="5" t="str">
        <f>+IF('Data Pura Costos'!G1605="","",'Data Pura Costos'!G1605)</f>
        <v/>
      </c>
      <c r="H1605" s="52" t="str">
        <f>+IF('Data Pura Costos'!H1605="","",'Data Pura Costos'!H1605)</f>
        <v/>
      </c>
      <c r="I1605" s="71" t="str">
        <f>+IF('Data Pura Costos'!I1605="","",'Data Pura Costos'!I1605)</f>
        <v/>
      </c>
      <c r="J1605" s="52" t="str">
        <f>+IF('Data Pura Costos'!J1605="","",'Data Pura Costos'!J1605)</f>
        <v/>
      </c>
      <c r="K1605" s="82" t="str">
        <f t="shared" si="30"/>
        <v/>
      </c>
    </row>
    <row r="1606" spans="2:11" x14ac:dyDescent="0.35">
      <c r="B1606" s="4" t="str">
        <f>+IF('Data Pura Costos'!B1606="","",'Data Pura Costos'!B1606)</f>
        <v/>
      </c>
      <c r="C1606" s="4" t="str">
        <f>+IF('Data Pura Costos'!C1606="","",'Data Pura Costos'!C1606)</f>
        <v/>
      </c>
      <c r="D1606" s="5" t="str">
        <f>+IF('Data Pura Costos'!D1606="","",'Data Pura Costos'!D1606)</f>
        <v/>
      </c>
      <c r="E1606" s="65" t="str">
        <f>+IF('Data Pura Costos'!E1606="","",IF('Data Pura Costos'!E1606=0,MAX('Data Pura Costos'!$E$7:$E$3000)*1000,'Data Pura Costos'!E1606))</f>
        <v/>
      </c>
      <c r="F1606" s="5" t="str">
        <f>+IF('Data Pura Costos'!F1606="","",'Data Pura Costos'!F1606)</f>
        <v/>
      </c>
      <c r="G1606" s="5" t="str">
        <f>+IF('Data Pura Costos'!G1606="","",'Data Pura Costos'!G1606)</f>
        <v/>
      </c>
      <c r="H1606" s="52" t="str">
        <f>+IF('Data Pura Costos'!H1606="","",'Data Pura Costos'!H1606)</f>
        <v/>
      </c>
      <c r="I1606" s="71" t="str">
        <f>+IF('Data Pura Costos'!I1606="","",'Data Pura Costos'!I1606)</f>
        <v/>
      </c>
      <c r="J1606" s="52" t="str">
        <f>+IF('Data Pura Costos'!J1606="","",'Data Pura Costos'!J1606)</f>
        <v/>
      </c>
      <c r="K1606" s="82" t="str">
        <f t="shared" si="30"/>
        <v/>
      </c>
    </row>
    <row r="1607" spans="2:11" x14ac:dyDescent="0.35">
      <c r="B1607" s="4" t="str">
        <f>+IF('Data Pura Costos'!B1607="","",'Data Pura Costos'!B1607)</f>
        <v/>
      </c>
      <c r="C1607" s="4" t="str">
        <f>+IF('Data Pura Costos'!C1607="","",'Data Pura Costos'!C1607)</f>
        <v/>
      </c>
      <c r="D1607" s="5" t="str">
        <f>+IF('Data Pura Costos'!D1607="","",'Data Pura Costos'!D1607)</f>
        <v/>
      </c>
      <c r="E1607" s="65" t="str">
        <f>+IF('Data Pura Costos'!E1607="","",IF('Data Pura Costos'!E1607=0,MAX('Data Pura Costos'!$E$7:$E$3000)*1000,'Data Pura Costos'!E1607))</f>
        <v/>
      </c>
      <c r="F1607" s="5" t="str">
        <f>+IF('Data Pura Costos'!F1607="","",'Data Pura Costos'!F1607)</f>
        <v/>
      </c>
      <c r="G1607" s="5" t="str">
        <f>+IF('Data Pura Costos'!G1607="","",'Data Pura Costos'!G1607)</f>
        <v/>
      </c>
      <c r="H1607" s="52" t="str">
        <f>+IF('Data Pura Costos'!H1607="","",'Data Pura Costos'!H1607)</f>
        <v/>
      </c>
      <c r="I1607" s="71" t="str">
        <f>+IF('Data Pura Costos'!I1607="","",'Data Pura Costos'!I1607)</f>
        <v/>
      </c>
      <c r="J1607" s="52" t="str">
        <f>+IF('Data Pura Costos'!J1607="","",'Data Pura Costos'!J1607)</f>
        <v/>
      </c>
      <c r="K1607" s="82" t="str">
        <f t="shared" si="30"/>
        <v/>
      </c>
    </row>
    <row r="1608" spans="2:11" x14ac:dyDescent="0.35">
      <c r="B1608" s="4" t="str">
        <f>+IF('Data Pura Costos'!B1608="","",'Data Pura Costos'!B1608)</f>
        <v/>
      </c>
      <c r="C1608" s="4" t="str">
        <f>+IF('Data Pura Costos'!C1608="","",'Data Pura Costos'!C1608)</f>
        <v/>
      </c>
      <c r="D1608" s="5" t="str">
        <f>+IF('Data Pura Costos'!D1608="","",'Data Pura Costos'!D1608)</f>
        <v/>
      </c>
      <c r="E1608" s="65" t="str">
        <f>+IF('Data Pura Costos'!E1608="","",IF('Data Pura Costos'!E1608=0,MAX('Data Pura Costos'!$E$7:$E$3000)*1000,'Data Pura Costos'!E1608))</f>
        <v/>
      </c>
      <c r="F1608" s="5" t="str">
        <f>+IF('Data Pura Costos'!F1608="","",'Data Pura Costos'!F1608)</f>
        <v/>
      </c>
      <c r="G1608" s="5" t="str">
        <f>+IF('Data Pura Costos'!G1608="","",'Data Pura Costos'!G1608)</f>
        <v/>
      </c>
      <c r="H1608" s="52" t="str">
        <f>+IF('Data Pura Costos'!H1608="","",'Data Pura Costos'!H1608)</f>
        <v/>
      </c>
      <c r="I1608" s="71" t="str">
        <f>+IF('Data Pura Costos'!I1608="","",'Data Pura Costos'!I1608)</f>
        <v/>
      </c>
      <c r="J1608" s="52" t="str">
        <f>+IF('Data Pura Costos'!J1608="","",'Data Pura Costos'!J1608)</f>
        <v/>
      </c>
      <c r="K1608" s="82" t="str">
        <f t="shared" si="30"/>
        <v/>
      </c>
    </row>
    <row r="1609" spans="2:11" x14ac:dyDescent="0.35">
      <c r="B1609" s="4" t="str">
        <f>+IF('Data Pura Costos'!B1609="","",'Data Pura Costos'!B1609)</f>
        <v/>
      </c>
      <c r="C1609" s="4" t="str">
        <f>+IF('Data Pura Costos'!C1609="","",'Data Pura Costos'!C1609)</f>
        <v/>
      </c>
      <c r="D1609" s="5" t="str">
        <f>+IF('Data Pura Costos'!D1609="","",'Data Pura Costos'!D1609)</f>
        <v/>
      </c>
      <c r="E1609" s="65" t="str">
        <f>+IF('Data Pura Costos'!E1609="","",IF('Data Pura Costos'!E1609=0,MAX('Data Pura Costos'!$E$7:$E$3000)*1000,'Data Pura Costos'!E1609))</f>
        <v/>
      </c>
      <c r="F1609" s="5" t="str">
        <f>+IF('Data Pura Costos'!F1609="","",'Data Pura Costos'!F1609)</f>
        <v/>
      </c>
      <c r="G1609" s="5" t="str">
        <f>+IF('Data Pura Costos'!G1609="","",'Data Pura Costos'!G1609)</f>
        <v/>
      </c>
      <c r="H1609" s="52" t="str">
        <f>+IF('Data Pura Costos'!H1609="","",'Data Pura Costos'!H1609)</f>
        <v/>
      </c>
      <c r="I1609" s="71" t="str">
        <f>+IF('Data Pura Costos'!I1609="","",'Data Pura Costos'!I1609)</f>
        <v/>
      </c>
      <c r="J1609" s="52" t="str">
        <f>+IF('Data Pura Costos'!J1609="","",'Data Pura Costos'!J1609)</f>
        <v/>
      </c>
      <c r="K1609" s="82" t="str">
        <f t="shared" si="30"/>
        <v/>
      </c>
    </row>
    <row r="1610" spans="2:11" x14ac:dyDescent="0.35">
      <c r="B1610" s="4" t="str">
        <f>+IF('Data Pura Costos'!B1610="","",'Data Pura Costos'!B1610)</f>
        <v/>
      </c>
      <c r="C1610" s="4" t="str">
        <f>+IF('Data Pura Costos'!C1610="","",'Data Pura Costos'!C1610)</f>
        <v/>
      </c>
      <c r="D1610" s="5" t="str">
        <f>+IF('Data Pura Costos'!D1610="","",'Data Pura Costos'!D1610)</f>
        <v/>
      </c>
      <c r="E1610" s="65" t="str">
        <f>+IF('Data Pura Costos'!E1610="","",IF('Data Pura Costos'!E1610=0,MAX('Data Pura Costos'!$E$7:$E$3000)*1000,'Data Pura Costos'!E1610))</f>
        <v/>
      </c>
      <c r="F1610" s="5" t="str">
        <f>+IF('Data Pura Costos'!F1610="","",'Data Pura Costos'!F1610)</f>
        <v/>
      </c>
      <c r="G1610" s="5" t="str">
        <f>+IF('Data Pura Costos'!G1610="","",'Data Pura Costos'!G1610)</f>
        <v/>
      </c>
      <c r="H1610" s="52" t="str">
        <f>+IF('Data Pura Costos'!H1610="","",'Data Pura Costos'!H1610)</f>
        <v/>
      </c>
      <c r="I1610" s="71" t="str">
        <f>+IF('Data Pura Costos'!I1610="","",'Data Pura Costos'!I1610)</f>
        <v/>
      </c>
      <c r="J1610" s="52" t="str">
        <f>+IF('Data Pura Costos'!J1610="","",'Data Pura Costos'!J1610)</f>
        <v/>
      </c>
      <c r="K1610" s="82" t="str">
        <f t="shared" si="30"/>
        <v/>
      </c>
    </row>
    <row r="1611" spans="2:11" x14ac:dyDescent="0.35">
      <c r="B1611" s="4" t="str">
        <f>+IF('Data Pura Costos'!B1611="","",'Data Pura Costos'!B1611)</f>
        <v/>
      </c>
      <c r="C1611" s="4" t="str">
        <f>+IF('Data Pura Costos'!C1611="","",'Data Pura Costos'!C1611)</f>
        <v/>
      </c>
      <c r="D1611" s="5" t="str">
        <f>+IF('Data Pura Costos'!D1611="","",'Data Pura Costos'!D1611)</f>
        <v/>
      </c>
      <c r="E1611" s="65" t="str">
        <f>+IF('Data Pura Costos'!E1611="","",IF('Data Pura Costos'!E1611=0,MAX('Data Pura Costos'!$E$7:$E$3000)*1000,'Data Pura Costos'!E1611))</f>
        <v/>
      </c>
      <c r="F1611" s="5" t="str">
        <f>+IF('Data Pura Costos'!F1611="","",'Data Pura Costos'!F1611)</f>
        <v/>
      </c>
      <c r="G1611" s="5" t="str">
        <f>+IF('Data Pura Costos'!G1611="","",'Data Pura Costos'!G1611)</f>
        <v/>
      </c>
      <c r="H1611" s="52" t="str">
        <f>+IF('Data Pura Costos'!H1611="","",'Data Pura Costos'!H1611)</f>
        <v/>
      </c>
      <c r="I1611" s="71" t="str">
        <f>+IF('Data Pura Costos'!I1611="","",'Data Pura Costos'!I1611)</f>
        <v/>
      </c>
      <c r="J1611" s="52" t="str">
        <f>+IF('Data Pura Costos'!J1611="","",'Data Pura Costos'!J1611)</f>
        <v/>
      </c>
      <c r="K1611" s="82" t="str">
        <f t="shared" si="30"/>
        <v/>
      </c>
    </row>
    <row r="1612" spans="2:11" x14ac:dyDescent="0.35">
      <c r="B1612" s="4" t="str">
        <f>+IF('Data Pura Costos'!B1612="","",'Data Pura Costos'!B1612)</f>
        <v/>
      </c>
      <c r="C1612" s="4" t="str">
        <f>+IF('Data Pura Costos'!C1612="","",'Data Pura Costos'!C1612)</f>
        <v/>
      </c>
      <c r="D1612" s="5" t="str">
        <f>+IF('Data Pura Costos'!D1612="","",'Data Pura Costos'!D1612)</f>
        <v/>
      </c>
      <c r="E1612" s="65" t="str">
        <f>+IF('Data Pura Costos'!E1612="","",IF('Data Pura Costos'!E1612=0,MAX('Data Pura Costos'!$E$7:$E$3000)*1000,'Data Pura Costos'!E1612))</f>
        <v/>
      </c>
      <c r="F1612" s="5" t="str">
        <f>+IF('Data Pura Costos'!F1612="","",'Data Pura Costos'!F1612)</f>
        <v/>
      </c>
      <c r="G1612" s="5" t="str">
        <f>+IF('Data Pura Costos'!G1612="","",'Data Pura Costos'!G1612)</f>
        <v/>
      </c>
      <c r="H1612" s="52" t="str">
        <f>+IF('Data Pura Costos'!H1612="","",'Data Pura Costos'!H1612)</f>
        <v/>
      </c>
      <c r="I1612" s="71" t="str">
        <f>+IF('Data Pura Costos'!I1612="","",'Data Pura Costos'!I1612)</f>
        <v/>
      </c>
      <c r="J1612" s="52" t="str">
        <f>+IF('Data Pura Costos'!J1612="","",'Data Pura Costos'!J1612)</f>
        <v/>
      </c>
      <c r="K1612" s="82" t="str">
        <f t="shared" si="30"/>
        <v/>
      </c>
    </row>
    <row r="1613" spans="2:11" x14ac:dyDescent="0.35">
      <c r="B1613" s="4" t="str">
        <f>+IF('Data Pura Costos'!B1613="","",'Data Pura Costos'!B1613)</f>
        <v/>
      </c>
      <c r="C1613" s="4" t="str">
        <f>+IF('Data Pura Costos'!C1613="","",'Data Pura Costos'!C1613)</f>
        <v/>
      </c>
      <c r="D1613" s="5" t="str">
        <f>+IF('Data Pura Costos'!D1613="","",'Data Pura Costos'!D1613)</f>
        <v/>
      </c>
      <c r="E1613" s="65" t="str">
        <f>+IF('Data Pura Costos'!E1613="","",IF('Data Pura Costos'!E1613=0,MAX('Data Pura Costos'!$E$7:$E$3000)*1000,'Data Pura Costos'!E1613))</f>
        <v/>
      </c>
      <c r="F1613" s="5" t="str">
        <f>+IF('Data Pura Costos'!F1613="","",'Data Pura Costos'!F1613)</f>
        <v/>
      </c>
      <c r="G1613" s="5" t="str">
        <f>+IF('Data Pura Costos'!G1613="","",'Data Pura Costos'!G1613)</f>
        <v/>
      </c>
      <c r="H1613" s="52" t="str">
        <f>+IF('Data Pura Costos'!H1613="","",'Data Pura Costos'!H1613)</f>
        <v/>
      </c>
      <c r="I1613" s="71" t="str">
        <f>+IF('Data Pura Costos'!I1613="","",'Data Pura Costos'!I1613)</f>
        <v/>
      </c>
      <c r="J1613" s="52" t="str">
        <f>+IF('Data Pura Costos'!J1613="","",'Data Pura Costos'!J1613)</f>
        <v/>
      </c>
      <c r="K1613" s="82" t="str">
        <f t="shared" si="30"/>
        <v/>
      </c>
    </row>
    <row r="1614" spans="2:11" x14ac:dyDescent="0.35">
      <c r="B1614" s="4" t="str">
        <f>+IF('Data Pura Costos'!B1614="","",'Data Pura Costos'!B1614)</f>
        <v/>
      </c>
      <c r="C1614" s="4" t="str">
        <f>+IF('Data Pura Costos'!C1614="","",'Data Pura Costos'!C1614)</f>
        <v/>
      </c>
      <c r="D1614" s="5" t="str">
        <f>+IF('Data Pura Costos'!D1614="","",'Data Pura Costos'!D1614)</f>
        <v/>
      </c>
      <c r="E1614" s="65" t="str">
        <f>+IF('Data Pura Costos'!E1614="","",IF('Data Pura Costos'!E1614=0,MAX('Data Pura Costos'!$E$7:$E$3000)*1000,'Data Pura Costos'!E1614))</f>
        <v/>
      </c>
      <c r="F1614" s="5" t="str">
        <f>+IF('Data Pura Costos'!F1614="","",'Data Pura Costos'!F1614)</f>
        <v/>
      </c>
      <c r="G1614" s="5" t="str">
        <f>+IF('Data Pura Costos'!G1614="","",'Data Pura Costos'!G1614)</f>
        <v/>
      </c>
      <c r="H1614" s="52" t="str">
        <f>+IF('Data Pura Costos'!H1614="","",'Data Pura Costos'!H1614)</f>
        <v/>
      </c>
      <c r="I1614" s="71" t="str">
        <f>+IF('Data Pura Costos'!I1614="","",'Data Pura Costos'!I1614)</f>
        <v/>
      </c>
      <c r="J1614" s="52" t="str">
        <f>+IF('Data Pura Costos'!J1614="","",'Data Pura Costos'!J1614)</f>
        <v/>
      </c>
      <c r="K1614" s="82" t="str">
        <f t="shared" si="30"/>
        <v/>
      </c>
    </row>
    <row r="1615" spans="2:11" x14ac:dyDescent="0.35">
      <c r="B1615" s="4" t="str">
        <f>+IF('Data Pura Costos'!B1615="","",'Data Pura Costos'!B1615)</f>
        <v/>
      </c>
      <c r="C1615" s="4" t="str">
        <f>+IF('Data Pura Costos'!C1615="","",'Data Pura Costos'!C1615)</f>
        <v/>
      </c>
      <c r="D1615" s="5" t="str">
        <f>+IF('Data Pura Costos'!D1615="","",'Data Pura Costos'!D1615)</f>
        <v/>
      </c>
      <c r="E1615" s="65" t="str">
        <f>+IF('Data Pura Costos'!E1615="","",IF('Data Pura Costos'!E1615=0,MAX('Data Pura Costos'!$E$7:$E$3000)*1000,'Data Pura Costos'!E1615))</f>
        <v/>
      </c>
      <c r="F1615" s="5" t="str">
        <f>+IF('Data Pura Costos'!F1615="","",'Data Pura Costos'!F1615)</f>
        <v/>
      </c>
      <c r="G1615" s="5" t="str">
        <f>+IF('Data Pura Costos'!G1615="","",'Data Pura Costos'!G1615)</f>
        <v/>
      </c>
      <c r="H1615" s="52" t="str">
        <f>+IF('Data Pura Costos'!H1615="","",'Data Pura Costos'!H1615)</f>
        <v/>
      </c>
      <c r="I1615" s="71" t="str">
        <f>+IF('Data Pura Costos'!I1615="","",'Data Pura Costos'!I1615)</f>
        <v/>
      </c>
      <c r="J1615" s="52" t="str">
        <f>+IF('Data Pura Costos'!J1615="","",'Data Pura Costos'!J1615)</f>
        <v/>
      </c>
      <c r="K1615" s="82" t="str">
        <f t="shared" si="30"/>
        <v/>
      </c>
    </row>
    <row r="1616" spans="2:11" x14ac:dyDescent="0.35">
      <c r="B1616" s="4" t="str">
        <f>+IF('Data Pura Costos'!B1616="","",'Data Pura Costos'!B1616)</f>
        <v/>
      </c>
      <c r="C1616" s="4" t="str">
        <f>+IF('Data Pura Costos'!C1616="","",'Data Pura Costos'!C1616)</f>
        <v/>
      </c>
      <c r="D1616" s="5" t="str">
        <f>+IF('Data Pura Costos'!D1616="","",'Data Pura Costos'!D1616)</f>
        <v/>
      </c>
      <c r="E1616" s="65" t="str">
        <f>+IF('Data Pura Costos'!E1616="","",IF('Data Pura Costos'!E1616=0,MAX('Data Pura Costos'!$E$7:$E$3000)*1000,'Data Pura Costos'!E1616))</f>
        <v/>
      </c>
      <c r="F1616" s="5" t="str">
        <f>+IF('Data Pura Costos'!F1616="","",'Data Pura Costos'!F1616)</f>
        <v/>
      </c>
      <c r="G1616" s="5" t="str">
        <f>+IF('Data Pura Costos'!G1616="","",'Data Pura Costos'!G1616)</f>
        <v/>
      </c>
      <c r="H1616" s="52" t="str">
        <f>+IF('Data Pura Costos'!H1616="","",'Data Pura Costos'!H1616)</f>
        <v/>
      </c>
      <c r="I1616" s="71" t="str">
        <f>+IF('Data Pura Costos'!I1616="","",'Data Pura Costos'!I1616)</f>
        <v/>
      </c>
      <c r="J1616" s="52" t="str">
        <f>+IF('Data Pura Costos'!J1616="","",'Data Pura Costos'!J1616)</f>
        <v/>
      </c>
      <c r="K1616" s="82" t="str">
        <f t="shared" si="30"/>
        <v/>
      </c>
    </row>
    <row r="1617" spans="2:11" x14ac:dyDescent="0.35">
      <c r="B1617" s="4" t="str">
        <f>+IF('Data Pura Costos'!B1617="","",'Data Pura Costos'!B1617)</f>
        <v/>
      </c>
      <c r="C1617" s="4" t="str">
        <f>+IF('Data Pura Costos'!C1617="","",'Data Pura Costos'!C1617)</f>
        <v/>
      </c>
      <c r="D1617" s="5" t="str">
        <f>+IF('Data Pura Costos'!D1617="","",'Data Pura Costos'!D1617)</f>
        <v/>
      </c>
      <c r="E1617" s="65" t="str">
        <f>+IF('Data Pura Costos'!E1617="","",IF('Data Pura Costos'!E1617=0,MAX('Data Pura Costos'!$E$7:$E$3000)*1000,'Data Pura Costos'!E1617))</f>
        <v/>
      </c>
      <c r="F1617" s="5" t="str">
        <f>+IF('Data Pura Costos'!F1617="","",'Data Pura Costos'!F1617)</f>
        <v/>
      </c>
      <c r="G1617" s="5" t="str">
        <f>+IF('Data Pura Costos'!G1617="","",'Data Pura Costos'!G1617)</f>
        <v/>
      </c>
      <c r="H1617" s="52" t="str">
        <f>+IF('Data Pura Costos'!H1617="","",'Data Pura Costos'!H1617)</f>
        <v/>
      </c>
      <c r="I1617" s="71" t="str">
        <f>+IF('Data Pura Costos'!I1617="","",'Data Pura Costos'!I1617)</f>
        <v/>
      </c>
      <c r="J1617" s="52" t="str">
        <f>+IF('Data Pura Costos'!J1617="","",'Data Pura Costos'!J1617)</f>
        <v/>
      </c>
      <c r="K1617" s="82" t="str">
        <f t="shared" si="30"/>
        <v/>
      </c>
    </row>
    <row r="1618" spans="2:11" x14ac:dyDescent="0.35">
      <c r="B1618" s="4" t="str">
        <f>+IF('Data Pura Costos'!B1618="","",'Data Pura Costos'!B1618)</f>
        <v/>
      </c>
      <c r="C1618" s="4" t="str">
        <f>+IF('Data Pura Costos'!C1618="","",'Data Pura Costos'!C1618)</f>
        <v/>
      </c>
      <c r="D1618" s="5" t="str">
        <f>+IF('Data Pura Costos'!D1618="","",'Data Pura Costos'!D1618)</f>
        <v/>
      </c>
      <c r="E1618" s="65" t="str">
        <f>+IF('Data Pura Costos'!E1618="","",IF('Data Pura Costos'!E1618=0,MAX('Data Pura Costos'!$E$7:$E$3000)*1000,'Data Pura Costos'!E1618))</f>
        <v/>
      </c>
      <c r="F1618" s="5" t="str">
        <f>+IF('Data Pura Costos'!F1618="","",'Data Pura Costos'!F1618)</f>
        <v/>
      </c>
      <c r="G1618" s="5" t="str">
        <f>+IF('Data Pura Costos'!G1618="","",'Data Pura Costos'!G1618)</f>
        <v/>
      </c>
      <c r="H1618" s="52" t="str">
        <f>+IF('Data Pura Costos'!H1618="","",'Data Pura Costos'!H1618)</f>
        <v/>
      </c>
      <c r="I1618" s="71" t="str">
        <f>+IF('Data Pura Costos'!I1618="","",'Data Pura Costos'!I1618)</f>
        <v/>
      </c>
      <c r="J1618" s="52" t="str">
        <f>+IF('Data Pura Costos'!J1618="","",'Data Pura Costos'!J1618)</f>
        <v/>
      </c>
      <c r="K1618" s="82" t="str">
        <f t="shared" si="30"/>
        <v/>
      </c>
    </row>
    <row r="1619" spans="2:11" x14ac:dyDescent="0.35">
      <c r="B1619" s="4" t="str">
        <f>+IF('Data Pura Costos'!B1619="","",'Data Pura Costos'!B1619)</f>
        <v/>
      </c>
      <c r="C1619" s="4" t="str">
        <f>+IF('Data Pura Costos'!C1619="","",'Data Pura Costos'!C1619)</f>
        <v/>
      </c>
      <c r="D1619" s="5" t="str">
        <f>+IF('Data Pura Costos'!D1619="","",'Data Pura Costos'!D1619)</f>
        <v/>
      </c>
      <c r="E1619" s="65" t="str">
        <f>+IF('Data Pura Costos'!E1619="","",IF('Data Pura Costos'!E1619=0,MAX('Data Pura Costos'!$E$7:$E$3000)*1000,'Data Pura Costos'!E1619))</f>
        <v/>
      </c>
      <c r="F1619" s="5" t="str">
        <f>+IF('Data Pura Costos'!F1619="","",'Data Pura Costos'!F1619)</f>
        <v/>
      </c>
      <c r="G1619" s="5" t="str">
        <f>+IF('Data Pura Costos'!G1619="","",'Data Pura Costos'!G1619)</f>
        <v/>
      </c>
      <c r="H1619" s="52" t="str">
        <f>+IF('Data Pura Costos'!H1619="","",'Data Pura Costos'!H1619)</f>
        <v/>
      </c>
      <c r="I1619" s="71" t="str">
        <f>+IF('Data Pura Costos'!I1619="","",'Data Pura Costos'!I1619)</f>
        <v/>
      </c>
      <c r="J1619" s="52" t="str">
        <f>+IF('Data Pura Costos'!J1619="","",'Data Pura Costos'!J1619)</f>
        <v/>
      </c>
      <c r="K1619" s="82" t="str">
        <f t="shared" si="30"/>
        <v/>
      </c>
    </row>
    <row r="1620" spans="2:11" x14ac:dyDescent="0.35">
      <c r="B1620" s="4" t="str">
        <f>+IF('Data Pura Costos'!B1620="","",'Data Pura Costos'!B1620)</f>
        <v/>
      </c>
      <c r="C1620" s="4" t="str">
        <f>+IF('Data Pura Costos'!C1620="","",'Data Pura Costos'!C1620)</f>
        <v/>
      </c>
      <c r="D1620" s="5" t="str">
        <f>+IF('Data Pura Costos'!D1620="","",'Data Pura Costos'!D1620)</f>
        <v/>
      </c>
      <c r="E1620" s="65" t="str">
        <f>+IF('Data Pura Costos'!E1620="","",IF('Data Pura Costos'!E1620=0,MAX('Data Pura Costos'!$E$7:$E$3000)*1000,'Data Pura Costos'!E1620))</f>
        <v/>
      </c>
      <c r="F1620" s="5" t="str">
        <f>+IF('Data Pura Costos'!F1620="","",'Data Pura Costos'!F1620)</f>
        <v/>
      </c>
      <c r="G1620" s="5" t="str">
        <f>+IF('Data Pura Costos'!G1620="","",'Data Pura Costos'!G1620)</f>
        <v/>
      </c>
      <c r="H1620" s="52" t="str">
        <f>+IF('Data Pura Costos'!H1620="","",'Data Pura Costos'!H1620)</f>
        <v/>
      </c>
      <c r="I1620" s="71" t="str">
        <f>+IF('Data Pura Costos'!I1620="","",'Data Pura Costos'!I1620)</f>
        <v/>
      </c>
      <c r="J1620" s="52" t="str">
        <f>+IF('Data Pura Costos'!J1620="","",'Data Pura Costos'!J1620)</f>
        <v/>
      </c>
      <c r="K1620" s="82" t="str">
        <f t="shared" si="30"/>
        <v/>
      </c>
    </row>
    <row r="1621" spans="2:11" x14ac:dyDescent="0.35">
      <c r="B1621" s="4" t="str">
        <f>+IF('Data Pura Costos'!B1621="","",'Data Pura Costos'!B1621)</f>
        <v/>
      </c>
      <c r="C1621" s="4" t="str">
        <f>+IF('Data Pura Costos'!C1621="","",'Data Pura Costos'!C1621)</f>
        <v/>
      </c>
      <c r="D1621" s="5" t="str">
        <f>+IF('Data Pura Costos'!D1621="","",'Data Pura Costos'!D1621)</f>
        <v/>
      </c>
      <c r="E1621" s="65" t="str">
        <f>+IF('Data Pura Costos'!E1621="","",IF('Data Pura Costos'!E1621=0,MAX('Data Pura Costos'!$E$7:$E$3000)*1000,'Data Pura Costos'!E1621))</f>
        <v/>
      </c>
      <c r="F1621" s="5" t="str">
        <f>+IF('Data Pura Costos'!F1621="","",'Data Pura Costos'!F1621)</f>
        <v/>
      </c>
      <c r="G1621" s="5" t="str">
        <f>+IF('Data Pura Costos'!G1621="","",'Data Pura Costos'!G1621)</f>
        <v/>
      </c>
      <c r="H1621" s="52" t="str">
        <f>+IF('Data Pura Costos'!H1621="","",'Data Pura Costos'!H1621)</f>
        <v/>
      </c>
      <c r="I1621" s="71" t="str">
        <f>+IF('Data Pura Costos'!I1621="","",'Data Pura Costos'!I1621)</f>
        <v/>
      </c>
      <c r="J1621" s="52" t="str">
        <f>+IF('Data Pura Costos'!J1621="","",'Data Pura Costos'!J1621)</f>
        <v/>
      </c>
      <c r="K1621" s="82" t="str">
        <f t="shared" si="30"/>
        <v/>
      </c>
    </row>
    <row r="1622" spans="2:11" x14ac:dyDescent="0.35">
      <c r="B1622" s="4" t="str">
        <f>+IF('Data Pura Costos'!B1622="","",'Data Pura Costos'!B1622)</f>
        <v/>
      </c>
      <c r="C1622" s="4" t="str">
        <f>+IF('Data Pura Costos'!C1622="","",'Data Pura Costos'!C1622)</f>
        <v/>
      </c>
      <c r="D1622" s="5" t="str">
        <f>+IF('Data Pura Costos'!D1622="","",'Data Pura Costos'!D1622)</f>
        <v/>
      </c>
      <c r="E1622" s="65" t="str">
        <f>+IF('Data Pura Costos'!E1622="","",IF('Data Pura Costos'!E1622=0,MAX('Data Pura Costos'!$E$7:$E$3000)*1000,'Data Pura Costos'!E1622))</f>
        <v/>
      </c>
      <c r="F1622" s="5" t="str">
        <f>+IF('Data Pura Costos'!F1622="","",'Data Pura Costos'!F1622)</f>
        <v/>
      </c>
      <c r="G1622" s="5" t="str">
        <f>+IF('Data Pura Costos'!G1622="","",'Data Pura Costos'!G1622)</f>
        <v/>
      </c>
      <c r="H1622" s="52" t="str">
        <f>+IF('Data Pura Costos'!H1622="","",'Data Pura Costos'!H1622)</f>
        <v/>
      </c>
      <c r="I1622" s="71" t="str">
        <f>+IF('Data Pura Costos'!I1622="","",'Data Pura Costos'!I1622)</f>
        <v/>
      </c>
      <c r="J1622" s="52" t="str">
        <f>+IF('Data Pura Costos'!J1622="","",'Data Pura Costos'!J1622)</f>
        <v/>
      </c>
      <c r="K1622" s="82" t="str">
        <f t="shared" si="30"/>
        <v/>
      </c>
    </row>
    <row r="1623" spans="2:11" x14ac:dyDescent="0.35">
      <c r="B1623" s="4" t="str">
        <f>+IF('Data Pura Costos'!B1623="","",'Data Pura Costos'!B1623)</f>
        <v/>
      </c>
      <c r="C1623" s="4" t="str">
        <f>+IF('Data Pura Costos'!C1623="","",'Data Pura Costos'!C1623)</f>
        <v/>
      </c>
      <c r="D1623" s="5" t="str">
        <f>+IF('Data Pura Costos'!D1623="","",'Data Pura Costos'!D1623)</f>
        <v/>
      </c>
      <c r="E1623" s="65" t="str">
        <f>+IF('Data Pura Costos'!E1623="","",IF('Data Pura Costos'!E1623=0,MAX('Data Pura Costos'!$E$7:$E$3000)*1000,'Data Pura Costos'!E1623))</f>
        <v/>
      </c>
      <c r="F1623" s="5" t="str">
        <f>+IF('Data Pura Costos'!F1623="","",'Data Pura Costos'!F1623)</f>
        <v/>
      </c>
      <c r="G1623" s="5" t="str">
        <f>+IF('Data Pura Costos'!G1623="","",'Data Pura Costos'!G1623)</f>
        <v/>
      </c>
      <c r="H1623" s="52" t="str">
        <f>+IF('Data Pura Costos'!H1623="","",'Data Pura Costos'!H1623)</f>
        <v/>
      </c>
      <c r="I1623" s="71" t="str">
        <f>+IF('Data Pura Costos'!I1623="","",'Data Pura Costos'!I1623)</f>
        <v/>
      </c>
      <c r="J1623" s="52" t="str">
        <f>+IF('Data Pura Costos'!J1623="","",'Data Pura Costos'!J1623)</f>
        <v/>
      </c>
      <c r="K1623" s="82" t="str">
        <f t="shared" si="30"/>
        <v/>
      </c>
    </row>
    <row r="1624" spans="2:11" x14ac:dyDescent="0.35">
      <c r="B1624" s="4" t="str">
        <f>+IF('Data Pura Costos'!B1624="","",'Data Pura Costos'!B1624)</f>
        <v/>
      </c>
      <c r="C1624" s="4" t="str">
        <f>+IF('Data Pura Costos'!C1624="","",'Data Pura Costos'!C1624)</f>
        <v/>
      </c>
      <c r="D1624" s="5" t="str">
        <f>+IF('Data Pura Costos'!D1624="","",'Data Pura Costos'!D1624)</f>
        <v/>
      </c>
      <c r="E1624" s="65" t="str">
        <f>+IF('Data Pura Costos'!E1624="","",IF('Data Pura Costos'!E1624=0,MAX('Data Pura Costos'!$E$7:$E$3000)*1000,'Data Pura Costos'!E1624))</f>
        <v/>
      </c>
      <c r="F1624" s="5" t="str">
        <f>+IF('Data Pura Costos'!F1624="","",'Data Pura Costos'!F1624)</f>
        <v/>
      </c>
      <c r="G1624" s="5" t="str">
        <f>+IF('Data Pura Costos'!G1624="","",'Data Pura Costos'!G1624)</f>
        <v/>
      </c>
      <c r="H1624" s="52" t="str">
        <f>+IF('Data Pura Costos'!H1624="","",'Data Pura Costos'!H1624)</f>
        <v/>
      </c>
      <c r="I1624" s="71" t="str">
        <f>+IF('Data Pura Costos'!I1624="","",'Data Pura Costos'!I1624)</f>
        <v/>
      </c>
      <c r="J1624" s="52" t="str">
        <f>+IF('Data Pura Costos'!J1624="","",'Data Pura Costos'!J1624)</f>
        <v/>
      </c>
      <c r="K1624" s="82" t="str">
        <f t="shared" si="30"/>
        <v/>
      </c>
    </row>
    <row r="1625" spans="2:11" x14ac:dyDescent="0.35">
      <c r="B1625" s="4" t="str">
        <f>+IF('Data Pura Costos'!B1625="","",'Data Pura Costos'!B1625)</f>
        <v/>
      </c>
      <c r="C1625" s="4" t="str">
        <f>+IF('Data Pura Costos'!C1625="","",'Data Pura Costos'!C1625)</f>
        <v/>
      </c>
      <c r="D1625" s="5" t="str">
        <f>+IF('Data Pura Costos'!D1625="","",'Data Pura Costos'!D1625)</f>
        <v/>
      </c>
      <c r="E1625" s="65" t="str">
        <f>+IF('Data Pura Costos'!E1625="","",IF('Data Pura Costos'!E1625=0,MAX('Data Pura Costos'!$E$7:$E$3000)*1000,'Data Pura Costos'!E1625))</f>
        <v/>
      </c>
      <c r="F1625" s="5" t="str">
        <f>+IF('Data Pura Costos'!F1625="","",'Data Pura Costos'!F1625)</f>
        <v/>
      </c>
      <c r="G1625" s="5" t="str">
        <f>+IF('Data Pura Costos'!G1625="","",'Data Pura Costos'!G1625)</f>
        <v/>
      </c>
      <c r="H1625" s="52" t="str">
        <f>+IF('Data Pura Costos'!H1625="","",'Data Pura Costos'!H1625)</f>
        <v/>
      </c>
      <c r="I1625" s="71" t="str">
        <f>+IF('Data Pura Costos'!I1625="","",'Data Pura Costos'!I1625)</f>
        <v/>
      </c>
      <c r="J1625" s="52" t="str">
        <f>+IF('Data Pura Costos'!J1625="","",'Data Pura Costos'!J1625)</f>
        <v/>
      </c>
      <c r="K1625" s="82" t="str">
        <f t="shared" si="30"/>
        <v/>
      </c>
    </row>
    <row r="1626" spans="2:11" x14ac:dyDescent="0.35">
      <c r="B1626" s="4" t="str">
        <f>+IF('Data Pura Costos'!B1626="","",'Data Pura Costos'!B1626)</f>
        <v/>
      </c>
      <c r="C1626" s="4" t="str">
        <f>+IF('Data Pura Costos'!C1626="","",'Data Pura Costos'!C1626)</f>
        <v/>
      </c>
      <c r="D1626" s="5" t="str">
        <f>+IF('Data Pura Costos'!D1626="","",'Data Pura Costos'!D1626)</f>
        <v/>
      </c>
      <c r="E1626" s="65" t="str">
        <f>+IF('Data Pura Costos'!E1626="","",IF('Data Pura Costos'!E1626=0,MAX('Data Pura Costos'!$E$7:$E$3000)*1000,'Data Pura Costos'!E1626))</f>
        <v/>
      </c>
      <c r="F1626" s="5" t="str">
        <f>+IF('Data Pura Costos'!F1626="","",'Data Pura Costos'!F1626)</f>
        <v/>
      </c>
      <c r="G1626" s="5" t="str">
        <f>+IF('Data Pura Costos'!G1626="","",'Data Pura Costos'!G1626)</f>
        <v/>
      </c>
      <c r="H1626" s="52" t="str">
        <f>+IF('Data Pura Costos'!H1626="","",'Data Pura Costos'!H1626)</f>
        <v/>
      </c>
      <c r="I1626" s="71" t="str">
        <f>+IF('Data Pura Costos'!I1626="","",'Data Pura Costos'!I1626)</f>
        <v/>
      </c>
      <c r="J1626" s="52" t="str">
        <f>+IF('Data Pura Costos'!J1626="","",'Data Pura Costos'!J1626)</f>
        <v/>
      </c>
      <c r="K1626" s="82" t="str">
        <f t="shared" si="30"/>
        <v/>
      </c>
    </row>
    <row r="1627" spans="2:11" x14ac:dyDescent="0.35">
      <c r="B1627" s="4" t="str">
        <f>+IF('Data Pura Costos'!B1627="","",'Data Pura Costos'!B1627)</f>
        <v/>
      </c>
      <c r="C1627" s="4" t="str">
        <f>+IF('Data Pura Costos'!C1627="","",'Data Pura Costos'!C1627)</f>
        <v/>
      </c>
      <c r="D1627" s="5" t="str">
        <f>+IF('Data Pura Costos'!D1627="","",'Data Pura Costos'!D1627)</f>
        <v/>
      </c>
      <c r="E1627" s="65" t="str">
        <f>+IF('Data Pura Costos'!E1627="","",IF('Data Pura Costos'!E1627=0,MAX('Data Pura Costos'!$E$7:$E$3000)*1000,'Data Pura Costos'!E1627))</f>
        <v/>
      </c>
      <c r="F1627" s="5" t="str">
        <f>+IF('Data Pura Costos'!F1627="","",'Data Pura Costos'!F1627)</f>
        <v/>
      </c>
      <c r="G1627" s="5" t="str">
        <f>+IF('Data Pura Costos'!G1627="","",'Data Pura Costos'!G1627)</f>
        <v/>
      </c>
      <c r="H1627" s="52" t="str">
        <f>+IF('Data Pura Costos'!H1627="","",'Data Pura Costos'!H1627)</f>
        <v/>
      </c>
      <c r="I1627" s="71" t="str">
        <f>+IF('Data Pura Costos'!I1627="","",'Data Pura Costos'!I1627)</f>
        <v/>
      </c>
      <c r="J1627" s="52" t="str">
        <f>+IF('Data Pura Costos'!J1627="","",'Data Pura Costos'!J1627)</f>
        <v/>
      </c>
      <c r="K1627" s="82" t="str">
        <f t="shared" si="30"/>
        <v/>
      </c>
    </row>
    <row r="1628" spans="2:11" x14ac:dyDescent="0.35">
      <c r="B1628" s="4" t="str">
        <f>+IF('Data Pura Costos'!B1628="","",'Data Pura Costos'!B1628)</f>
        <v/>
      </c>
      <c r="C1628" s="4" t="str">
        <f>+IF('Data Pura Costos'!C1628="","",'Data Pura Costos'!C1628)</f>
        <v/>
      </c>
      <c r="D1628" s="5" t="str">
        <f>+IF('Data Pura Costos'!D1628="","",'Data Pura Costos'!D1628)</f>
        <v/>
      </c>
      <c r="E1628" s="65" t="str">
        <f>+IF('Data Pura Costos'!E1628="","",IF('Data Pura Costos'!E1628=0,MAX('Data Pura Costos'!$E$7:$E$3000)*1000,'Data Pura Costos'!E1628))</f>
        <v/>
      </c>
      <c r="F1628" s="5" t="str">
        <f>+IF('Data Pura Costos'!F1628="","",'Data Pura Costos'!F1628)</f>
        <v/>
      </c>
      <c r="G1628" s="5" t="str">
        <f>+IF('Data Pura Costos'!G1628="","",'Data Pura Costos'!G1628)</f>
        <v/>
      </c>
      <c r="H1628" s="52" t="str">
        <f>+IF('Data Pura Costos'!H1628="","",'Data Pura Costos'!H1628)</f>
        <v/>
      </c>
      <c r="I1628" s="71" t="str">
        <f>+IF('Data Pura Costos'!I1628="","",'Data Pura Costos'!I1628)</f>
        <v/>
      </c>
      <c r="J1628" s="52" t="str">
        <f>+IF('Data Pura Costos'!J1628="","",'Data Pura Costos'!J1628)</f>
        <v/>
      </c>
      <c r="K1628" s="82" t="str">
        <f t="shared" si="30"/>
        <v/>
      </c>
    </row>
    <row r="1629" spans="2:11" x14ac:dyDescent="0.35">
      <c r="B1629" s="4" t="str">
        <f>+IF('Data Pura Costos'!B1629="","",'Data Pura Costos'!B1629)</f>
        <v/>
      </c>
      <c r="C1629" s="4" t="str">
        <f>+IF('Data Pura Costos'!C1629="","",'Data Pura Costos'!C1629)</f>
        <v/>
      </c>
      <c r="D1629" s="5" t="str">
        <f>+IF('Data Pura Costos'!D1629="","",'Data Pura Costos'!D1629)</f>
        <v/>
      </c>
      <c r="E1629" s="65" t="str">
        <f>+IF('Data Pura Costos'!E1629="","",IF('Data Pura Costos'!E1629=0,MAX('Data Pura Costos'!$E$7:$E$3000)*1000,'Data Pura Costos'!E1629))</f>
        <v/>
      </c>
      <c r="F1629" s="5" t="str">
        <f>+IF('Data Pura Costos'!F1629="","",'Data Pura Costos'!F1629)</f>
        <v/>
      </c>
      <c r="G1629" s="5" t="str">
        <f>+IF('Data Pura Costos'!G1629="","",'Data Pura Costos'!G1629)</f>
        <v/>
      </c>
      <c r="H1629" s="52" t="str">
        <f>+IF('Data Pura Costos'!H1629="","",'Data Pura Costos'!H1629)</f>
        <v/>
      </c>
      <c r="I1629" s="71" t="str">
        <f>+IF('Data Pura Costos'!I1629="","",'Data Pura Costos'!I1629)</f>
        <v/>
      </c>
      <c r="J1629" s="52" t="str">
        <f>+IF('Data Pura Costos'!J1629="","",'Data Pura Costos'!J1629)</f>
        <v/>
      </c>
      <c r="K1629" s="82" t="str">
        <f t="shared" si="30"/>
        <v/>
      </c>
    </row>
    <row r="1630" spans="2:11" x14ac:dyDescent="0.35">
      <c r="B1630" s="4" t="str">
        <f>+IF('Data Pura Costos'!B1630="","",'Data Pura Costos'!B1630)</f>
        <v/>
      </c>
      <c r="C1630" s="4" t="str">
        <f>+IF('Data Pura Costos'!C1630="","",'Data Pura Costos'!C1630)</f>
        <v/>
      </c>
      <c r="D1630" s="5" t="str">
        <f>+IF('Data Pura Costos'!D1630="","",'Data Pura Costos'!D1630)</f>
        <v/>
      </c>
      <c r="E1630" s="65" t="str">
        <f>+IF('Data Pura Costos'!E1630="","",IF('Data Pura Costos'!E1630=0,MAX('Data Pura Costos'!$E$7:$E$3000)*1000,'Data Pura Costos'!E1630))</f>
        <v/>
      </c>
      <c r="F1630" s="5" t="str">
        <f>+IF('Data Pura Costos'!F1630="","",'Data Pura Costos'!F1630)</f>
        <v/>
      </c>
      <c r="G1630" s="5" t="str">
        <f>+IF('Data Pura Costos'!G1630="","",'Data Pura Costos'!G1630)</f>
        <v/>
      </c>
      <c r="H1630" s="52" t="str">
        <f>+IF('Data Pura Costos'!H1630="","",'Data Pura Costos'!H1630)</f>
        <v/>
      </c>
      <c r="I1630" s="71" t="str">
        <f>+IF('Data Pura Costos'!I1630="","",'Data Pura Costos'!I1630)</f>
        <v/>
      </c>
      <c r="J1630" s="52" t="str">
        <f>+IF('Data Pura Costos'!J1630="","",'Data Pura Costos'!J1630)</f>
        <v/>
      </c>
      <c r="K1630" s="82" t="str">
        <f t="shared" si="30"/>
        <v/>
      </c>
    </row>
    <row r="1631" spans="2:11" x14ac:dyDescent="0.35">
      <c r="B1631" s="4" t="str">
        <f>+IF('Data Pura Costos'!B1631="","",'Data Pura Costos'!B1631)</f>
        <v/>
      </c>
      <c r="C1631" s="4" t="str">
        <f>+IF('Data Pura Costos'!C1631="","",'Data Pura Costos'!C1631)</f>
        <v/>
      </c>
      <c r="D1631" s="5" t="str">
        <f>+IF('Data Pura Costos'!D1631="","",'Data Pura Costos'!D1631)</f>
        <v/>
      </c>
      <c r="E1631" s="65" t="str">
        <f>+IF('Data Pura Costos'!E1631="","",IF('Data Pura Costos'!E1631=0,MAX('Data Pura Costos'!$E$7:$E$3000)*1000,'Data Pura Costos'!E1631))</f>
        <v/>
      </c>
      <c r="F1631" s="5" t="str">
        <f>+IF('Data Pura Costos'!F1631="","",'Data Pura Costos'!F1631)</f>
        <v/>
      </c>
      <c r="G1631" s="5" t="str">
        <f>+IF('Data Pura Costos'!G1631="","",'Data Pura Costos'!G1631)</f>
        <v/>
      </c>
      <c r="H1631" s="52" t="str">
        <f>+IF('Data Pura Costos'!H1631="","",'Data Pura Costos'!H1631)</f>
        <v/>
      </c>
      <c r="I1631" s="71" t="str">
        <f>+IF('Data Pura Costos'!I1631="","",'Data Pura Costos'!I1631)</f>
        <v/>
      </c>
      <c r="J1631" s="52" t="str">
        <f>+IF('Data Pura Costos'!J1631="","",'Data Pura Costos'!J1631)</f>
        <v/>
      </c>
      <c r="K1631" s="82" t="str">
        <f t="shared" si="30"/>
        <v/>
      </c>
    </row>
    <row r="1632" spans="2:11" x14ac:dyDescent="0.35">
      <c r="B1632" s="4" t="str">
        <f>+IF('Data Pura Costos'!B1632="","",'Data Pura Costos'!B1632)</f>
        <v/>
      </c>
      <c r="C1632" s="4" t="str">
        <f>+IF('Data Pura Costos'!C1632="","",'Data Pura Costos'!C1632)</f>
        <v/>
      </c>
      <c r="D1632" s="5" t="str">
        <f>+IF('Data Pura Costos'!D1632="","",'Data Pura Costos'!D1632)</f>
        <v/>
      </c>
      <c r="E1632" s="65" t="str">
        <f>+IF('Data Pura Costos'!E1632="","",IF('Data Pura Costos'!E1632=0,MAX('Data Pura Costos'!$E$7:$E$3000)*1000,'Data Pura Costos'!E1632))</f>
        <v/>
      </c>
      <c r="F1632" s="5" t="str">
        <f>+IF('Data Pura Costos'!F1632="","",'Data Pura Costos'!F1632)</f>
        <v/>
      </c>
      <c r="G1632" s="5" t="str">
        <f>+IF('Data Pura Costos'!G1632="","",'Data Pura Costos'!G1632)</f>
        <v/>
      </c>
      <c r="H1632" s="52" t="str">
        <f>+IF('Data Pura Costos'!H1632="","",'Data Pura Costos'!H1632)</f>
        <v/>
      </c>
      <c r="I1632" s="71" t="str">
        <f>+IF('Data Pura Costos'!I1632="","",'Data Pura Costos'!I1632)</f>
        <v/>
      </c>
      <c r="J1632" s="52" t="str">
        <f>+IF('Data Pura Costos'!J1632="","",'Data Pura Costos'!J1632)</f>
        <v/>
      </c>
      <c r="K1632" s="82" t="str">
        <f t="shared" si="30"/>
        <v/>
      </c>
    </row>
    <row r="1633" spans="2:11" x14ac:dyDescent="0.35">
      <c r="B1633" s="4" t="str">
        <f>+IF('Data Pura Costos'!B1633="","",'Data Pura Costos'!B1633)</f>
        <v/>
      </c>
      <c r="C1633" s="4" t="str">
        <f>+IF('Data Pura Costos'!C1633="","",'Data Pura Costos'!C1633)</f>
        <v/>
      </c>
      <c r="D1633" s="5" t="str">
        <f>+IF('Data Pura Costos'!D1633="","",'Data Pura Costos'!D1633)</f>
        <v/>
      </c>
      <c r="E1633" s="65" t="str">
        <f>+IF('Data Pura Costos'!E1633="","",IF('Data Pura Costos'!E1633=0,MAX('Data Pura Costos'!$E$7:$E$3000)*1000,'Data Pura Costos'!E1633))</f>
        <v/>
      </c>
      <c r="F1633" s="5" t="str">
        <f>+IF('Data Pura Costos'!F1633="","",'Data Pura Costos'!F1633)</f>
        <v/>
      </c>
      <c r="G1633" s="5" t="str">
        <f>+IF('Data Pura Costos'!G1633="","",'Data Pura Costos'!G1633)</f>
        <v/>
      </c>
      <c r="H1633" s="52" t="str">
        <f>+IF('Data Pura Costos'!H1633="","",'Data Pura Costos'!H1633)</f>
        <v/>
      </c>
      <c r="I1633" s="71" t="str">
        <f>+IF('Data Pura Costos'!I1633="","",'Data Pura Costos'!I1633)</f>
        <v/>
      </c>
      <c r="J1633" s="52" t="str">
        <f>+IF('Data Pura Costos'!J1633="","",'Data Pura Costos'!J1633)</f>
        <v/>
      </c>
      <c r="K1633" s="82" t="str">
        <f t="shared" si="30"/>
        <v/>
      </c>
    </row>
    <row r="1634" spans="2:11" x14ac:dyDescent="0.35">
      <c r="B1634" s="4" t="str">
        <f>+IF('Data Pura Costos'!B1634="","",'Data Pura Costos'!B1634)</f>
        <v/>
      </c>
      <c r="C1634" s="4" t="str">
        <f>+IF('Data Pura Costos'!C1634="","",'Data Pura Costos'!C1634)</f>
        <v/>
      </c>
      <c r="D1634" s="5" t="str">
        <f>+IF('Data Pura Costos'!D1634="","",'Data Pura Costos'!D1634)</f>
        <v/>
      </c>
      <c r="E1634" s="65" t="str">
        <f>+IF('Data Pura Costos'!E1634="","",IF('Data Pura Costos'!E1634=0,MAX('Data Pura Costos'!$E$7:$E$3000)*1000,'Data Pura Costos'!E1634))</f>
        <v/>
      </c>
      <c r="F1634" s="5" t="str">
        <f>+IF('Data Pura Costos'!F1634="","",'Data Pura Costos'!F1634)</f>
        <v/>
      </c>
      <c r="G1634" s="5" t="str">
        <f>+IF('Data Pura Costos'!G1634="","",'Data Pura Costos'!G1634)</f>
        <v/>
      </c>
      <c r="H1634" s="52" t="str">
        <f>+IF('Data Pura Costos'!H1634="","",'Data Pura Costos'!H1634)</f>
        <v/>
      </c>
      <c r="I1634" s="71" t="str">
        <f>+IF('Data Pura Costos'!I1634="","",'Data Pura Costos'!I1634)</f>
        <v/>
      </c>
      <c r="J1634" s="52" t="str">
        <f>+IF('Data Pura Costos'!J1634="","",'Data Pura Costos'!J1634)</f>
        <v/>
      </c>
      <c r="K1634" s="82" t="str">
        <f t="shared" si="30"/>
        <v/>
      </c>
    </row>
    <row r="1635" spans="2:11" x14ac:dyDescent="0.35">
      <c r="B1635" s="4" t="str">
        <f>+IF('Data Pura Costos'!B1635="","",'Data Pura Costos'!B1635)</f>
        <v/>
      </c>
      <c r="C1635" s="4" t="str">
        <f>+IF('Data Pura Costos'!C1635="","",'Data Pura Costos'!C1635)</f>
        <v/>
      </c>
      <c r="D1635" s="5" t="str">
        <f>+IF('Data Pura Costos'!D1635="","",'Data Pura Costos'!D1635)</f>
        <v/>
      </c>
      <c r="E1635" s="65" t="str">
        <f>+IF('Data Pura Costos'!E1635="","",IF('Data Pura Costos'!E1635=0,MAX('Data Pura Costos'!$E$7:$E$3000)*1000,'Data Pura Costos'!E1635))</f>
        <v/>
      </c>
      <c r="F1635" s="5" t="str">
        <f>+IF('Data Pura Costos'!F1635="","",'Data Pura Costos'!F1635)</f>
        <v/>
      </c>
      <c r="G1635" s="5" t="str">
        <f>+IF('Data Pura Costos'!G1635="","",'Data Pura Costos'!G1635)</f>
        <v/>
      </c>
      <c r="H1635" s="52" t="str">
        <f>+IF('Data Pura Costos'!H1635="","",'Data Pura Costos'!H1635)</f>
        <v/>
      </c>
      <c r="I1635" s="71" t="str">
        <f>+IF('Data Pura Costos'!I1635="","",'Data Pura Costos'!I1635)</f>
        <v/>
      </c>
      <c r="J1635" s="52" t="str">
        <f>+IF('Data Pura Costos'!J1635="","",'Data Pura Costos'!J1635)</f>
        <v/>
      </c>
      <c r="K1635" s="82" t="str">
        <f t="shared" si="30"/>
        <v/>
      </c>
    </row>
    <row r="1636" spans="2:11" x14ac:dyDescent="0.35">
      <c r="B1636" s="4" t="str">
        <f>+IF('Data Pura Costos'!B1636="","",'Data Pura Costos'!B1636)</f>
        <v/>
      </c>
      <c r="C1636" s="4" t="str">
        <f>+IF('Data Pura Costos'!C1636="","",'Data Pura Costos'!C1636)</f>
        <v/>
      </c>
      <c r="D1636" s="5" t="str">
        <f>+IF('Data Pura Costos'!D1636="","",'Data Pura Costos'!D1636)</f>
        <v/>
      </c>
      <c r="E1636" s="65" t="str">
        <f>+IF('Data Pura Costos'!E1636="","",IF('Data Pura Costos'!E1636=0,MAX('Data Pura Costos'!$E$7:$E$3000)*1000,'Data Pura Costos'!E1636))</f>
        <v/>
      </c>
      <c r="F1636" s="5" t="str">
        <f>+IF('Data Pura Costos'!F1636="","",'Data Pura Costos'!F1636)</f>
        <v/>
      </c>
      <c r="G1636" s="5" t="str">
        <f>+IF('Data Pura Costos'!G1636="","",'Data Pura Costos'!G1636)</f>
        <v/>
      </c>
      <c r="H1636" s="52" t="str">
        <f>+IF('Data Pura Costos'!H1636="","",'Data Pura Costos'!H1636)</f>
        <v/>
      </c>
      <c r="I1636" s="71" t="str">
        <f>+IF('Data Pura Costos'!I1636="","",'Data Pura Costos'!I1636)</f>
        <v/>
      </c>
      <c r="J1636" s="52" t="str">
        <f>+IF('Data Pura Costos'!J1636="","",'Data Pura Costos'!J1636)</f>
        <v/>
      </c>
      <c r="K1636" s="82" t="str">
        <f t="shared" si="30"/>
        <v/>
      </c>
    </row>
    <row r="1637" spans="2:11" x14ac:dyDescent="0.35">
      <c r="B1637" s="4" t="str">
        <f>+IF('Data Pura Costos'!B1637="","",'Data Pura Costos'!B1637)</f>
        <v/>
      </c>
      <c r="C1637" s="4" t="str">
        <f>+IF('Data Pura Costos'!C1637="","",'Data Pura Costos'!C1637)</f>
        <v/>
      </c>
      <c r="D1637" s="5" t="str">
        <f>+IF('Data Pura Costos'!D1637="","",'Data Pura Costos'!D1637)</f>
        <v/>
      </c>
      <c r="E1637" s="65" t="str">
        <f>+IF('Data Pura Costos'!E1637="","",IF('Data Pura Costos'!E1637=0,MAX('Data Pura Costos'!$E$7:$E$3000)*1000,'Data Pura Costos'!E1637))</f>
        <v/>
      </c>
      <c r="F1637" s="5" t="str">
        <f>+IF('Data Pura Costos'!F1637="","",'Data Pura Costos'!F1637)</f>
        <v/>
      </c>
      <c r="G1637" s="5" t="str">
        <f>+IF('Data Pura Costos'!G1637="","",'Data Pura Costos'!G1637)</f>
        <v/>
      </c>
      <c r="H1637" s="52" t="str">
        <f>+IF('Data Pura Costos'!H1637="","",'Data Pura Costos'!H1637)</f>
        <v/>
      </c>
      <c r="I1637" s="71" t="str">
        <f>+IF('Data Pura Costos'!I1637="","",'Data Pura Costos'!I1637)</f>
        <v/>
      </c>
      <c r="J1637" s="52" t="str">
        <f>+IF('Data Pura Costos'!J1637="","",'Data Pura Costos'!J1637)</f>
        <v/>
      </c>
      <c r="K1637" s="82" t="str">
        <f t="shared" si="30"/>
        <v/>
      </c>
    </row>
    <row r="1638" spans="2:11" x14ac:dyDescent="0.35">
      <c r="B1638" s="4" t="str">
        <f>+IF('Data Pura Costos'!B1638="","",'Data Pura Costos'!B1638)</f>
        <v/>
      </c>
      <c r="C1638" s="4" t="str">
        <f>+IF('Data Pura Costos'!C1638="","",'Data Pura Costos'!C1638)</f>
        <v/>
      </c>
      <c r="D1638" s="5" t="str">
        <f>+IF('Data Pura Costos'!D1638="","",'Data Pura Costos'!D1638)</f>
        <v/>
      </c>
      <c r="E1638" s="65" t="str">
        <f>+IF('Data Pura Costos'!E1638="","",IF('Data Pura Costos'!E1638=0,MAX('Data Pura Costos'!$E$7:$E$3000)*1000,'Data Pura Costos'!E1638))</f>
        <v/>
      </c>
      <c r="F1638" s="5" t="str">
        <f>+IF('Data Pura Costos'!F1638="","",'Data Pura Costos'!F1638)</f>
        <v/>
      </c>
      <c r="G1638" s="5" t="str">
        <f>+IF('Data Pura Costos'!G1638="","",'Data Pura Costos'!G1638)</f>
        <v/>
      </c>
      <c r="H1638" s="52" t="str">
        <f>+IF('Data Pura Costos'!H1638="","",'Data Pura Costos'!H1638)</f>
        <v/>
      </c>
      <c r="I1638" s="71" t="str">
        <f>+IF('Data Pura Costos'!I1638="","",'Data Pura Costos'!I1638)</f>
        <v/>
      </c>
      <c r="J1638" s="52" t="str">
        <f>+IF('Data Pura Costos'!J1638="","",'Data Pura Costos'!J1638)</f>
        <v/>
      </c>
      <c r="K1638" s="82" t="str">
        <f t="shared" si="30"/>
        <v/>
      </c>
    </row>
    <row r="1639" spans="2:11" x14ac:dyDescent="0.35">
      <c r="B1639" s="4" t="str">
        <f>+IF('Data Pura Costos'!B1639="","",'Data Pura Costos'!B1639)</f>
        <v/>
      </c>
      <c r="C1639" s="4" t="str">
        <f>+IF('Data Pura Costos'!C1639="","",'Data Pura Costos'!C1639)</f>
        <v/>
      </c>
      <c r="D1639" s="5" t="str">
        <f>+IF('Data Pura Costos'!D1639="","",'Data Pura Costos'!D1639)</f>
        <v/>
      </c>
      <c r="E1639" s="65" t="str">
        <f>+IF('Data Pura Costos'!E1639="","",IF('Data Pura Costos'!E1639=0,MAX('Data Pura Costos'!$E$7:$E$3000)*1000,'Data Pura Costos'!E1639))</f>
        <v/>
      </c>
      <c r="F1639" s="5" t="str">
        <f>+IF('Data Pura Costos'!F1639="","",'Data Pura Costos'!F1639)</f>
        <v/>
      </c>
      <c r="G1639" s="5" t="str">
        <f>+IF('Data Pura Costos'!G1639="","",'Data Pura Costos'!G1639)</f>
        <v/>
      </c>
      <c r="H1639" s="52" t="str">
        <f>+IF('Data Pura Costos'!H1639="","",'Data Pura Costos'!H1639)</f>
        <v/>
      </c>
      <c r="I1639" s="71" t="str">
        <f>+IF('Data Pura Costos'!I1639="","",'Data Pura Costos'!I1639)</f>
        <v/>
      </c>
      <c r="J1639" s="52" t="str">
        <f>+IF('Data Pura Costos'!J1639="","",'Data Pura Costos'!J1639)</f>
        <v/>
      </c>
      <c r="K1639" s="82" t="str">
        <f t="shared" si="30"/>
        <v/>
      </c>
    </row>
    <row r="1640" spans="2:11" x14ac:dyDescent="0.35">
      <c r="B1640" s="4" t="str">
        <f>+IF('Data Pura Costos'!B1640="","",'Data Pura Costos'!B1640)</f>
        <v/>
      </c>
      <c r="C1640" s="4" t="str">
        <f>+IF('Data Pura Costos'!C1640="","",'Data Pura Costos'!C1640)</f>
        <v/>
      </c>
      <c r="D1640" s="5" t="str">
        <f>+IF('Data Pura Costos'!D1640="","",'Data Pura Costos'!D1640)</f>
        <v/>
      </c>
      <c r="E1640" s="65" t="str">
        <f>+IF('Data Pura Costos'!E1640="","",IF('Data Pura Costos'!E1640=0,MAX('Data Pura Costos'!$E$7:$E$3000)*1000,'Data Pura Costos'!E1640))</f>
        <v/>
      </c>
      <c r="F1640" s="5" t="str">
        <f>+IF('Data Pura Costos'!F1640="","",'Data Pura Costos'!F1640)</f>
        <v/>
      </c>
      <c r="G1640" s="5" t="str">
        <f>+IF('Data Pura Costos'!G1640="","",'Data Pura Costos'!G1640)</f>
        <v/>
      </c>
      <c r="H1640" s="52" t="str">
        <f>+IF('Data Pura Costos'!H1640="","",'Data Pura Costos'!H1640)</f>
        <v/>
      </c>
      <c r="I1640" s="71" t="str">
        <f>+IF('Data Pura Costos'!I1640="","",'Data Pura Costos'!I1640)</f>
        <v/>
      </c>
      <c r="J1640" s="52" t="str">
        <f>+IF('Data Pura Costos'!J1640="","",'Data Pura Costos'!J1640)</f>
        <v/>
      </c>
      <c r="K1640" s="82" t="str">
        <f t="shared" si="30"/>
        <v/>
      </c>
    </row>
    <row r="1641" spans="2:11" x14ac:dyDescent="0.35">
      <c r="B1641" s="4" t="str">
        <f>+IF('Data Pura Costos'!B1641="","",'Data Pura Costos'!B1641)</f>
        <v/>
      </c>
      <c r="C1641" s="4" t="str">
        <f>+IF('Data Pura Costos'!C1641="","",'Data Pura Costos'!C1641)</f>
        <v/>
      </c>
      <c r="D1641" s="5" t="str">
        <f>+IF('Data Pura Costos'!D1641="","",'Data Pura Costos'!D1641)</f>
        <v/>
      </c>
      <c r="E1641" s="65" t="str">
        <f>+IF('Data Pura Costos'!E1641="","",IF('Data Pura Costos'!E1641=0,MAX('Data Pura Costos'!$E$7:$E$3000)*1000,'Data Pura Costos'!E1641))</f>
        <v/>
      </c>
      <c r="F1641" s="5" t="str">
        <f>+IF('Data Pura Costos'!F1641="","",'Data Pura Costos'!F1641)</f>
        <v/>
      </c>
      <c r="G1641" s="5" t="str">
        <f>+IF('Data Pura Costos'!G1641="","",'Data Pura Costos'!G1641)</f>
        <v/>
      </c>
      <c r="H1641" s="52" t="str">
        <f>+IF('Data Pura Costos'!H1641="","",'Data Pura Costos'!H1641)</f>
        <v/>
      </c>
      <c r="I1641" s="71" t="str">
        <f>+IF('Data Pura Costos'!I1641="","",'Data Pura Costos'!I1641)</f>
        <v/>
      </c>
      <c r="J1641" s="52" t="str">
        <f>+IF('Data Pura Costos'!J1641="","",'Data Pura Costos'!J1641)</f>
        <v/>
      </c>
      <c r="K1641" s="82" t="str">
        <f t="shared" si="30"/>
        <v/>
      </c>
    </row>
    <row r="1642" spans="2:11" x14ac:dyDescent="0.35">
      <c r="B1642" s="4" t="str">
        <f>+IF('Data Pura Costos'!B1642="","",'Data Pura Costos'!B1642)</f>
        <v/>
      </c>
      <c r="C1642" s="4" t="str">
        <f>+IF('Data Pura Costos'!C1642="","",'Data Pura Costos'!C1642)</f>
        <v/>
      </c>
      <c r="D1642" s="5" t="str">
        <f>+IF('Data Pura Costos'!D1642="","",'Data Pura Costos'!D1642)</f>
        <v/>
      </c>
      <c r="E1642" s="65" t="str">
        <f>+IF('Data Pura Costos'!E1642="","",IF('Data Pura Costos'!E1642=0,MAX('Data Pura Costos'!$E$7:$E$3000)*1000,'Data Pura Costos'!E1642))</f>
        <v/>
      </c>
      <c r="F1642" s="5" t="str">
        <f>+IF('Data Pura Costos'!F1642="","",'Data Pura Costos'!F1642)</f>
        <v/>
      </c>
      <c r="G1642" s="5" t="str">
        <f>+IF('Data Pura Costos'!G1642="","",'Data Pura Costos'!G1642)</f>
        <v/>
      </c>
      <c r="H1642" s="52" t="str">
        <f>+IF('Data Pura Costos'!H1642="","",'Data Pura Costos'!H1642)</f>
        <v/>
      </c>
      <c r="I1642" s="71" t="str">
        <f>+IF('Data Pura Costos'!I1642="","",'Data Pura Costos'!I1642)</f>
        <v/>
      </c>
      <c r="J1642" s="52" t="str">
        <f>+IF('Data Pura Costos'!J1642="","",'Data Pura Costos'!J1642)</f>
        <v/>
      </c>
      <c r="K1642" s="82" t="str">
        <f t="shared" si="30"/>
        <v/>
      </c>
    </row>
    <row r="1643" spans="2:11" x14ac:dyDescent="0.35">
      <c r="B1643" s="4" t="str">
        <f>+IF('Data Pura Costos'!B1643="","",'Data Pura Costos'!B1643)</f>
        <v/>
      </c>
      <c r="C1643" s="4" t="str">
        <f>+IF('Data Pura Costos'!C1643="","",'Data Pura Costos'!C1643)</f>
        <v/>
      </c>
      <c r="D1643" s="5" t="str">
        <f>+IF('Data Pura Costos'!D1643="","",'Data Pura Costos'!D1643)</f>
        <v/>
      </c>
      <c r="E1643" s="65" t="str">
        <f>+IF('Data Pura Costos'!E1643="","",IF('Data Pura Costos'!E1643=0,MAX('Data Pura Costos'!$E$7:$E$3000)*1000,'Data Pura Costos'!E1643))</f>
        <v/>
      </c>
      <c r="F1643" s="5" t="str">
        <f>+IF('Data Pura Costos'!F1643="","",'Data Pura Costos'!F1643)</f>
        <v/>
      </c>
      <c r="G1643" s="5" t="str">
        <f>+IF('Data Pura Costos'!G1643="","",'Data Pura Costos'!G1643)</f>
        <v/>
      </c>
      <c r="H1643" s="52" t="str">
        <f>+IF('Data Pura Costos'!H1643="","",'Data Pura Costos'!H1643)</f>
        <v/>
      </c>
      <c r="I1643" s="71" t="str">
        <f>+IF('Data Pura Costos'!I1643="","",'Data Pura Costos'!I1643)</f>
        <v/>
      </c>
      <c r="J1643" s="52" t="str">
        <f>+IF('Data Pura Costos'!J1643="","",'Data Pura Costos'!J1643)</f>
        <v/>
      </c>
      <c r="K1643" s="82" t="str">
        <f t="shared" si="30"/>
        <v/>
      </c>
    </row>
    <row r="1644" spans="2:11" x14ac:dyDescent="0.35">
      <c r="B1644" s="4" t="str">
        <f>+IF('Data Pura Costos'!B1644="","",'Data Pura Costos'!B1644)</f>
        <v/>
      </c>
      <c r="C1644" s="4" t="str">
        <f>+IF('Data Pura Costos'!C1644="","",'Data Pura Costos'!C1644)</f>
        <v/>
      </c>
      <c r="D1644" s="5" t="str">
        <f>+IF('Data Pura Costos'!D1644="","",'Data Pura Costos'!D1644)</f>
        <v/>
      </c>
      <c r="E1644" s="65" t="str">
        <f>+IF('Data Pura Costos'!E1644="","",IF('Data Pura Costos'!E1644=0,MAX('Data Pura Costos'!$E$7:$E$3000)*1000,'Data Pura Costos'!E1644))</f>
        <v/>
      </c>
      <c r="F1644" s="5" t="str">
        <f>+IF('Data Pura Costos'!F1644="","",'Data Pura Costos'!F1644)</f>
        <v/>
      </c>
      <c r="G1644" s="5" t="str">
        <f>+IF('Data Pura Costos'!G1644="","",'Data Pura Costos'!G1644)</f>
        <v/>
      </c>
      <c r="H1644" s="52" t="str">
        <f>+IF('Data Pura Costos'!H1644="","",'Data Pura Costos'!H1644)</f>
        <v/>
      </c>
      <c r="I1644" s="71" t="str">
        <f>+IF('Data Pura Costos'!I1644="","",'Data Pura Costos'!I1644)</f>
        <v/>
      </c>
      <c r="J1644" s="52" t="str">
        <f>+IF('Data Pura Costos'!J1644="","",'Data Pura Costos'!J1644)</f>
        <v/>
      </c>
      <c r="K1644" s="82" t="str">
        <f t="shared" si="30"/>
        <v/>
      </c>
    </row>
    <row r="1645" spans="2:11" x14ac:dyDescent="0.35">
      <c r="B1645" s="4" t="str">
        <f>+IF('Data Pura Costos'!B1645="","",'Data Pura Costos'!B1645)</f>
        <v/>
      </c>
      <c r="C1645" s="4" t="str">
        <f>+IF('Data Pura Costos'!C1645="","",'Data Pura Costos'!C1645)</f>
        <v/>
      </c>
      <c r="D1645" s="5" t="str">
        <f>+IF('Data Pura Costos'!D1645="","",'Data Pura Costos'!D1645)</f>
        <v/>
      </c>
      <c r="E1645" s="65" t="str">
        <f>+IF('Data Pura Costos'!E1645="","",IF('Data Pura Costos'!E1645=0,MAX('Data Pura Costos'!$E$7:$E$3000)*1000,'Data Pura Costos'!E1645))</f>
        <v/>
      </c>
      <c r="F1645" s="5" t="str">
        <f>+IF('Data Pura Costos'!F1645="","",'Data Pura Costos'!F1645)</f>
        <v/>
      </c>
      <c r="G1645" s="5" t="str">
        <f>+IF('Data Pura Costos'!G1645="","",'Data Pura Costos'!G1645)</f>
        <v/>
      </c>
      <c r="H1645" s="52" t="str">
        <f>+IF('Data Pura Costos'!H1645="","",'Data Pura Costos'!H1645)</f>
        <v/>
      </c>
      <c r="I1645" s="71" t="str">
        <f>+IF('Data Pura Costos'!I1645="","",'Data Pura Costos'!I1645)</f>
        <v/>
      </c>
      <c r="J1645" s="52" t="str">
        <f>+IF('Data Pura Costos'!J1645="","",'Data Pura Costos'!J1645)</f>
        <v/>
      </c>
      <c r="K1645" s="82" t="str">
        <f t="shared" si="30"/>
        <v/>
      </c>
    </row>
    <row r="1646" spans="2:11" x14ac:dyDescent="0.35">
      <c r="B1646" s="4" t="str">
        <f>+IF('Data Pura Costos'!B1646="","",'Data Pura Costos'!B1646)</f>
        <v/>
      </c>
      <c r="C1646" s="4" t="str">
        <f>+IF('Data Pura Costos'!C1646="","",'Data Pura Costos'!C1646)</f>
        <v/>
      </c>
      <c r="D1646" s="5" t="str">
        <f>+IF('Data Pura Costos'!D1646="","",'Data Pura Costos'!D1646)</f>
        <v/>
      </c>
      <c r="E1646" s="65" t="str">
        <f>+IF('Data Pura Costos'!E1646="","",IF('Data Pura Costos'!E1646=0,MAX('Data Pura Costos'!$E$7:$E$3000)*1000,'Data Pura Costos'!E1646))</f>
        <v/>
      </c>
      <c r="F1646" s="5" t="str">
        <f>+IF('Data Pura Costos'!F1646="","",'Data Pura Costos'!F1646)</f>
        <v/>
      </c>
      <c r="G1646" s="5" t="str">
        <f>+IF('Data Pura Costos'!G1646="","",'Data Pura Costos'!G1646)</f>
        <v/>
      </c>
      <c r="H1646" s="52" t="str">
        <f>+IF('Data Pura Costos'!H1646="","",'Data Pura Costos'!H1646)</f>
        <v/>
      </c>
      <c r="I1646" s="71" t="str">
        <f>+IF('Data Pura Costos'!I1646="","",'Data Pura Costos'!I1646)</f>
        <v/>
      </c>
      <c r="J1646" s="52" t="str">
        <f>+IF('Data Pura Costos'!J1646="","",'Data Pura Costos'!J1646)</f>
        <v/>
      </c>
      <c r="K1646" s="82" t="str">
        <f t="shared" si="30"/>
        <v/>
      </c>
    </row>
    <row r="1647" spans="2:11" x14ac:dyDescent="0.35">
      <c r="B1647" s="4" t="str">
        <f>+IF('Data Pura Costos'!B1647="","",'Data Pura Costos'!B1647)</f>
        <v/>
      </c>
      <c r="C1647" s="4" t="str">
        <f>+IF('Data Pura Costos'!C1647="","",'Data Pura Costos'!C1647)</f>
        <v/>
      </c>
      <c r="D1647" s="5" t="str">
        <f>+IF('Data Pura Costos'!D1647="","",'Data Pura Costos'!D1647)</f>
        <v/>
      </c>
      <c r="E1647" s="65" t="str">
        <f>+IF('Data Pura Costos'!E1647="","",IF('Data Pura Costos'!E1647=0,MAX('Data Pura Costos'!$E$7:$E$3000)*1000,'Data Pura Costos'!E1647))</f>
        <v/>
      </c>
      <c r="F1647" s="5" t="str">
        <f>+IF('Data Pura Costos'!F1647="","",'Data Pura Costos'!F1647)</f>
        <v/>
      </c>
      <c r="G1647" s="5" t="str">
        <f>+IF('Data Pura Costos'!G1647="","",'Data Pura Costos'!G1647)</f>
        <v/>
      </c>
      <c r="H1647" s="52" t="str">
        <f>+IF('Data Pura Costos'!H1647="","",'Data Pura Costos'!H1647)</f>
        <v/>
      </c>
      <c r="I1647" s="71" t="str">
        <f>+IF('Data Pura Costos'!I1647="","",'Data Pura Costos'!I1647)</f>
        <v/>
      </c>
      <c r="J1647" s="52" t="str">
        <f>+IF('Data Pura Costos'!J1647="","",'Data Pura Costos'!J1647)</f>
        <v/>
      </c>
      <c r="K1647" s="82" t="str">
        <f t="shared" si="30"/>
        <v/>
      </c>
    </row>
    <row r="1648" spans="2:11" x14ac:dyDescent="0.35">
      <c r="B1648" s="4" t="str">
        <f>+IF('Data Pura Costos'!B1648="","",'Data Pura Costos'!B1648)</f>
        <v/>
      </c>
      <c r="C1648" s="4" t="str">
        <f>+IF('Data Pura Costos'!C1648="","",'Data Pura Costos'!C1648)</f>
        <v/>
      </c>
      <c r="D1648" s="5" t="str">
        <f>+IF('Data Pura Costos'!D1648="","",'Data Pura Costos'!D1648)</f>
        <v/>
      </c>
      <c r="E1648" s="65" t="str">
        <f>+IF('Data Pura Costos'!E1648="","",IF('Data Pura Costos'!E1648=0,MAX('Data Pura Costos'!$E$7:$E$3000)*1000,'Data Pura Costos'!E1648))</f>
        <v/>
      </c>
      <c r="F1648" s="5" t="str">
        <f>+IF('Data Pura Costos'!F1648="","",'Data Pura Costos'!F1648)</f>
        <v/>
      </c>
      <c r="G1648" s="5" t="str">
        <f>+IF('Data Pura Costos'!G1648="","",'Data Pura Costos'!G1648)</f>
        <v/>
      </c>
      <c r="H1648" s="52" t="str">
        <f>+IF('Data Pura Costos'!H1648="","",'Data Pura Costos'!H1648)</f>
        <v/>
      </c>
      <c r="I1648" s="71" t="str">
        <f>+IF('Data Pura Costos'!I1648="","",'Data Pura Costos'!I1648)</f>
        <v/>
      </c>
      <c r="J1648" s="52" t="str">
        <f>+IF('Data Pura Costos'!J1648="","",'Data Pura Costos'!J1648)</f>
        <v/>
      </c>
      <c r="K1648" s="82" t="str">
        <f t="shared" si="30"/>
        <v/>
      </c>
    </row>
    <row r="1649" spans="2:11" x14ac:dyDescent="0.35">
      <c r="B1649" s="4" t="str">
        <f>+IF('Data Pura Costos'!B1649="","",'Data Pura Costos'!B1649)</f>
        <v/>
      </c>
      <c r="C1649" s="4" t="str">
        <f>+IF('Data Pura Costos'!C1649="","",'Data Pura Costos'!C1649)</f>
        <v/>
      </c>
      <c r="D1649" s="5" t="str">
        <f>+IF('Data Pura Costos'!D1649="","",'Data Pura Costos'!D1649)</f>
        <v/>
      </c>
      <c r="E1649" s="65" t="str">
        <f>+IF('Data Pura Costos'!E1649="","",IF('Data Pura Costos'!E1649=0,MAX('Data Pura Costos'!$E$7:$E$3000)*1000,'Data Pura Costos'!E1649))</f>
        <v/>
      </c>
      <c r="F1649" s="5" t="str">
        <f>+IF('Data Pura Costos'!F1649="","",'Data Pura Costos'!F1649)</f>
        <v/>
      </c>
      <c r="G1649" s="5" t="str">
        <f>+IF('Data Pura Costos'!G1649="","",'Data Pura Costos'!G1649)</f>
        <v/>
      </c>
      <c r="H1649" s="52" t="str">
        <f>+IF('Data Pura Costos'!H1649="","",'Data Pura Costos'!H1649)</f>
        <v/>
      </c>
      <c r="I1649" s="71" t="str">
        <f>+IF('Data Pura Costos'!I1649="","",'Data Pura Costos'!I1649)</f>
        <v/>
      </c>
      <c r="J1649" s="52" t="str">
        <f>+IF('Data Pura Costos'!J1649="","",'Data Pura Costos'!J1649)</f>
        <v/>
      </c>
      <c r="K1649" s="82" t="str">
        <f t="shared" si="30"/>
        <v/>
      </c>
    </row>
    <row r="1650" spans="2:11" x14ac:dyDescent="0.35">
      <c r="B1650" s="4" t="str">
        <f>+IF('Data Pura Costos'!B1650="","",'Data Pura Costos'!B1650)</f>
        <v/>
      </c>
      <c r="C1650" s="4" t="str">
        <f>+IF('Data Pura Costos'!C1650="","",'Data Pura Costos'!C1650)</f>
        <v/>
      </c>
      <c r="D1650" s="5" t="str">
        <f>+IF('Data Pura Costos'!D1650="","",'Data Pura Costos'!D1650)</f>
        <v/>
      </c>
      <c r="E1650" s="65" t="str">
        <f>+IF('Data Pura Costos'!E1650="","",IF('Data Pura Costos'!E1650=0,MAX('Data Pura Costos'!$E$7:$E$3000)*1000,'Data Pura Costos'!E1650))</f>
        <v/>
      </c>
      <c r="F1650" s="5" t="str">
        <f>+IF('Data Pura Costos'!F1650="","",'Data Pura Costos'!F1650)</f>
        <v/>
      </c>
      <c r="G1650" s="5" t="str">
        <f>+IF('Data Pura Costos'!G1650="","",'Data Pura Costos'!G1650)</f>
        <v/>
      </c>
      <c r="H1650" s="52" t="str">
        <f>+IF('Data Pura Costos'!H1650="","",'Data Pura Costos'!H1650)</f>
        <v/>
      </c>
      <c r="I1650" s="71" t="str">
        <f>+IF('Data Pura Costos'!I1650="","",'Data Pura Costos'!I1650)</f>
        <v/>
      </c>
      <c r="J1650" s="52" t="str">
        <f>+IF('Data Pura Costos'!J1650="","",'Data Pura Costos'!J1650)</f>
        <v/>
      </c>
      <c r="K1650" s="82" t="str">
        <f t="shared" si="30"/>
        <v/>
      </c>
    </row>
    <row r="1651" spans="2:11" x14ac:dyDescent="0.35">
      <c r="B1651" s="4" t="str">
        <f>+IF('Data Pura Costos'!B1651="","",'Data Pura Costos'!B1651)</f>
        <v/>
      </c>
      <c r="C1651" s="4" t="str">
        <f>+IF('Data Pura Costos'!C1651="","",'Data Pura Costos'!C1651)</f>
        <v/>
      </c>
      <c r="D1651" s="5" t="str">
        <f>+IF('Data Pura Costos'!D1651="","",'Data Pura Costos'!D1651)</f>
        <v/>
      </c>
      <c r="E1651" s="65" t="str">
        <f>+IF('Data Pura Costos'!E1651="","",IF('Data Pura Costos'!E1651=0,MAX('Data Pura Costos'!$E$7:$E$3000)*1000,'Data Pura Costos'!E1651))</f>
        <v/>
      </c>
      <c r="F1651" s="5" t="str">
        <f>+IF('Data Pura Costos'!F1651="","",'Data Pura Costos'!F1651)</f>
        <v/>
      </c>
      <c r="G1651" s="5" t="str">
        <f>+IF('Data Pura Costos'!G1651="","",'Data Pura Costos'!G1651)</f>
        <v/>
      </c>
      <c r="H1651" s="52" t="str">
        <f>+IF('Data Pura Costos'!H1651="","",'Data Pura Costos'!H1651)</f>
        <v/>
      </c>
      <c r="I1651" s="71" t="str">
        <f>+IF('Data Pura Costos'!I1651="","",'Data Pura Costos'!I1651)</f>
        <v/>
      </c>
      <c r="J1651" s="52" t="str">
        <f>+IF('Data Pura Costos'!J1651="","",'Data Pura Costos'!J1651)</f>
        <v/>
      </c>
      <c r="K1651" s="82" t="str">
        <f t="shared" si="30"/>
        <v/>
      </c>
    </row>
    <row r="1652" spans="2:11" x14ac:dyDescent="0.35">
      <c r="B1652" s="4" t="str">
        <f>+IF('Data Pura Costos'!B1652="","",'Data Pura Costos'!B1652)</f>
        <v/>
      </c>
      <c r="C1652" s="4" t="str">
        <f>+IF('Data Pura Costos'!C1652="","",'Data Pura Costos'!C1652)</f>
        <v/>
      </c>
      <c r="D1652" s="5" t="str">
        <f>+IF('Data Pura Costos'!D1652="","",'Data Pura Costos'!D1652)</f>
        <v/>
      </c>
      <c r="E1652" s="65" t="str">
        <f>+IF('Data Pura Costos'!E1652="","",IF('Data Pura Costos'!E1652=0,MAX('Data Pura Costos'!$E$7:$E$3000)*1000,'Data Pura Costos'!E1652))</f>
        <v/>
      </c>
      <c r="F1652" s="5" t="str">
        <f>+IF('Data Pura Costos'!F1652="","",'Data Pura Costos'!F1652)</f>
        <v/>
      </c>
      <c r="G1652" s="5" t="str">
        <f>+IF('Data Pura Costos'!G1652="","",'Data Pura Costos'!G1652)</f>
        <v/>
      </c>
      <c r="H1652" s="52" t="str">
        <f>+IF('Data Pura Costos'!H1652="","",'Data Pura Costos'!H1652)</f>
        <v/>
      </c>
      <c r="I1652" s="71" t="str">
        <f>+IF('Data Pura Costos'!I1652="","",'Data Pura Costos'!I1652)</f>
        <v/>
      </c>
      <c r="J1652" s="52" t="str">
        <f>+IF('Data Pura Costos'!J1652="","",'Data Pura Costos'!J1652)</f>
        <v/>
      </c>
      <c r="K1652" s="82" t="str">
        <f t="shared" si="30"/>
        <v/>
      </c>
    </row>
    <row r="1653" spans="2:11" x14ac:dyDescent="0.35">
      <c r="B1653" s="4" t="str">
        <f>+IF('Data Pura Costos'!B1653="","",'Data Pura Costos'!B1653)</f>
        <v/>
      </c>
      <c r="C1653" s="4" t="str">
        <f>+IF('Data Pura Costos'!C1653="","",'Data Pura Costos'!C1653)</f>
        <v/>
      </c>
      <c r="D1653" s="5" t="str">
        <f>+IF('Data Pura Costos'!D1653="","",'Data Pura Costos'!D1653)</f>
        <v/>
      </c>
      <c r="E1653" s="65" t="str">
        <f>+IF('Data Pura Costos'!E1653="","",IF('Data Pura Costos'!E1653=0,MAX('Data Pura Costos'!$E$7:$E$3000)*1000,'Data Pura Costos'!E1653))</f>
        <v/>
      </c>
      <c r="F1653" s="5" t="str">
        <f>+IF('Data Pura Costos'!F1653="","",'Data Pura Costos'!F1653)</f>
        <v/>
      </c>
      <c r="G1653" s="5" t="str">
        <f>+IF('Data Pura Costos'!G1653="","",'Data Pura Costos'!G1653)</f>
        <v/>
      </c>
      <c r="H1653" s="52" t="str">
        <f>+IF('Data Pura Costos'!H1653="","",'Data Pura Costos'!H1653)</f>
        <v/>
      </c>
      <c r="I1653" s="71" t="str">
        <f>+IF('Data Pura Costos'!I1653="","",'Data Pura Costos'!I1653)</f>
        <v/>
      </c>
      <c r="J1653" s="52" t="str">
        <f>+IF('Data Pura Costos'!J1653="","",'Data Pura Costos'!J1653)</f>
        <v/>
      </c>
      <c r="K1653" s="82" t="str">
        <f t="shared" si="30"/>
        <v/>
      </c>
    </row>
    <row r="1654" spans="2:11" x14ac:dyDescent="0.35">
      <c r="B1654" s="4" t="str">
        <f>+IF('Data Pura Costos'!B1654="","",'Data Pura Costos'!B1654)</f>
        <v/>
      </c>
      <c r="C1654" s="4" t="str">
        <f>+IF('Data Pura Costos'!C1654="","",'Data Pura Costos'!C1654)</f>
        <v/>
      </c>
      <c r="D1654" s="5" t="str">
        <f>+IF('Data Pura Costos'!D1654="","",'Data Pura Costos'!D1654)</f>
        <v/>
      </c>
      <c r="E1654" s="65" t="str">
        <f>+IF('Data Pura Costos'!E1654="","",IF('Data Pura Costos'!E1654=0,MAX('Data Pura Costos'!$E$7:$E$3000)*1000,'Data Pura Costos'!E1654))</f>
        <v/>
      </c>
      <c r="F1654" s="5" t="str">
        <f>+IF('Data Pura Costos'!F1654="","",'Data Pura Costos'!F1654)</f>
        <v/>
      </c>
      <c r="G1654" s="5" t="str">
        <f>+IF('Data Pura Costos'!G1654="","",'Data Pura Costos'!G1654)</f>
        <v/>
      </c>
      <c r="H1654" s="52" t="str">
        <f>+IF('Data Pura Costos'!H1654="","",'Data Pura Costos'!H1654)</f>
        <v/>
      </c>
      <c r="I1654" s="71" t="str">
        <f>+IF('Data Pura Costos'!I1654="","",'Data Pura Costos'!I1654)</f>
        <v/>
      </c>
      <c r="J1654" s="52" t="str">
        <f>+IF('Data Pura Costos'!J1654="","",'Data Pura Costos'!J1654)</f>
        <v/>
      </c>
      <c r="K1654" s="82" t="str">
        <f t="shared" si="30"/>
        <v/>
      </c>
    </row>
    <row r="1655" spans="2:11" x14ac:dyDescent="0.35">
      <c r="B1655" s="4" t="str">
        <f>+IF('Data Pura Costos'!B1655="","",'Data Pura Costos'!B1655)</f>
        <v/>
      </c>
      <c r="C1655" s="4" t="str">
        <f>+IF('Data Pura Costos'!C1655="","",'Data Pura Costos'!C1655)</f>
        <v/>
      </c>
      <c r="D1655" s="5" t="str">
        <f>+IF('Data Pura Costos'!D1655="","",'Data Pura Costos'!D1655)</f>
        <v/>
      </c>
      <c r="E1655" s="65" t="str">
        <f>+IF('Data Pura Costos'!E1655="","",IF('Data Pura Costos'!E1655=0,MAX('Data Pura Costos'!$E$7:$E$3000)*1000,'Data Pura Costos'!E1655))</f>
        <v/>
      </c>
      <c r="F1655" s="5" t="str">
        <f>+IF('Data Pura Costos'!F1655="","",'Data Pura Costos'!F1655)</f>
        <v/>
      </c>
      <c r="G1655" s="5" t="str">
        <f>+IF('Data Pura Costos'!G1655="","",'Data Pura Costos'!G1655)</f>
        <v/>
      </c>
      <c r="H1655" s="52" t="str">
        <f>+IF('Data Pura Costos'!H1655="","",'Data Pura Costos'!H1655)</f>
        <v/>
      </c>
      <c r="I1655" s="71" t="str">
        <f>+IF('Data Pura Costos'!I1655="","",'Data Pura Costos'!I1655)</f>
        <v/>
      </c>
      <c r="J1655" s="52" t="str">
        <f>+IF('Data Pura Costos'!J1655="","",'Data Pura Costos'!J1655)</f>
        <v/>
      </c>
      <c r="K1655" s="82" t="str">
        <f t="shared" si="30"/>
        <v/>
      </c>
    </row>
    <row r="1656" spans="2:11" x14ac:dyDescent="0.35">
      <c r="B1656" s="4" t="str">
        <f>+IF('Data Pura Costos'!B1656="","",'Data Pura Costos'!B1656)</f>
        <v/>
      </c>
      <c r="C1656" s="4" t="str">
        <f>+IF('Data Pura Costos'!C1656="","",'Data Pura Costos'!C1656)</f>
        <v/>
      </c>
      <c r="D1656" s="5" t="str">
        <f>+IF('Data Pura Costos'!D1656="","",'Data Pura Costos'!D1656)</f>
        <v/>
      </c>
      <c r="E1656" s="65" t="str">
        <f>+IF('Data Pura Costos'!E1656="","",IF('Data Pura Costos'!E1656=0,MAX('Data Pura Costos'!$E$7:$E$3000)*1000,'Data Pura Costos'!E1656))</f>
        <v/>
      </c>
      <c r="F1656" s="5" t="str">
        <f>+IF('Data Pura Costos'!F1656="","",'Data Pura Costos'!F1656)</f>
        <v/>
      </c>
      <c r="G1656" s="5" t="str">
        <f>+IF('Data Pura Costos'!G1656="","",'Data Pura Costos'!G1656)</f>
        <v/>
      </c>
      <c r="H1656" s="52" t="str">
        <f>+IF('Data Pura Costos'!H1656="","",'Data Pura Costos'!H1656)</f>
        <v/>
      </c>
      <c r="I1656" s="71" t="str">
        <f>+IF('Data Pura Costos'!I1656="","",'Data Pura Costos'!I1656)</f>
        <v/>
      </c>
      <c r="J1656" s="52" t="str">
        <f>+IF('Data Pura Costos'!J1656="","",'Data Pura Costos'!J1656)</f>
        <v/>
      </c>
      <c r="K1656" s="82" t="str">
        <f t="shared" si="30"/>
        <v/>
      </c>
    </row>
    <row r="1657" spans="2:11" x14ac:dyDescent="0.35">
      <c r="B1657" s="4" t="str">
        <f>+IF('Data Pura Costos'!B1657="","",'Data Pura Costos'!B1657)</f>
        <v/>
      </c>
      <c r="C1657" s="4" t="str">
        <f>+IF('Data Pura Costos'!C1657="","",'Data Pura Costos'!C1657)</f>
        <v/>
      </c>
      <c r="D1657" s="5" t="str">
        <f>+IF('Data Pura Costos'!D1657="","",'Data Pura Costos'!D1657)</f>
        <v/>
      </c>
      <c r="E1657" s="65" t="str">
        <f>+IF('Data Pura Costos'!E1657="","",IF('Data Pura Costos'!E1657=0,MAX('Data Pura Costos'!$E$7:$E$3000)*1000,'Data Pura Costos'!E1657))</f>
        <v/>
      </c>
      <c r="F1657" s="5" t="str">
        <f>+IF('Data Pura Costos'!F1657="","",'Data Pura Costos'!F1657)</f>
        <v/>
      </c>
      <c r="G1657" s="5" t="str">
        <f>+IF('Data Pura Costos'!G1657="","",'Data Pura Costos'!G1657)</f>
        <v/>
      </c>
      <c r="H1657" s="52" t="str">
        <f>+IF('Data Pura Costos'!H1657="","",'Data Pura Costos'!H1657)</f>
        <v/>
      </c>
      <c r="I1657" s="71" t="str">
        <f>+IF('Data Pura Costos'!I1657="","",'Data Pura Costos'!I1657)</f>
        <v/>
      </c>
      <c r="J1657" s="52" t="str">
        <f>+IF('Data Pura Costos'!J1657="","",'Data Pura Costos'!J1657)</f>
        <v/>
      </c>
      <c r="K1657" s="82" t="str">
        <f t="shared" si="30"/>
        <v/>
      </c>
    </row>
    <row r="1658" spans="2:11" x14ac:dyDescent="0.35">
      <c r="B1658" s="4" t="str">
        <f>+IF('Data Pura Costos'!B1658="","",'Data Pura Costos'!B1658)</f>
        <v/>
      </c>
      <c r="C1658" s="4" t="str">
        <f>+IF('Data Pura Costos'!C1658="","",'Data Pura Costos'!C1658)</f>
        <v/>
      </c>
      <c r="D1658" s="5" t="str">
        <f>+IF('Data Pura Costos'!D1658="","",'Data Pura Costos'!D1658)</f>
        <v/>
      </c>
      <c r="E1658" s="65" t="str">
        <f>+IF('Data Pura Costos'!E1658="","",IF('Data Pura Costos'!E1658=0,MAX('Data Pura Costos'!$E$7:$E$3000)*1000,'Data Pura Costos'!E1658))</f>
        <v/>
      </c>
      <c r="F1658" s="5" t="str">
        <f>+IF('Data Pura Costos'!F1658="","",'Data Pura Costos'!F1658)</f>
        <v/>
      </c>
      <c r="G1658" s="5" t="str">
        <f>+IF('Data Pura Costos'!G1658="","",'Data Pura Costos'!G1658)</f>
        <v/>
      </c>
      <c r="H1658" s="52" t="str">
        <f>+IF('Data Pura Costos'!H1658="","",'Data Pura Costos'!H1658)</f>
        <v/>
      </c>
      <c r="I1658" s="71" t="str">
        <f>+IF('Data Pura Costos'!I1658="","",'Data Pura Costos'!I1658)</f>
        <v/>
      </c>
      <c r="J1658" s="52" t="str">
        <f>+IF('Data Pura Costos'!J1658="","",'Data Pura Costos'!J1658)</f>
        <v/>
      </c>
      <c r="K1658" s="82" t="str">
        <f t="shared" si="30"/>
        <v/>
      </c>
    </row>
    <row r="1659" spans="2:11" x14ac:dyDescent="0.35">
      <c r="B1659" s="4" t="str">
        <f>+IF('Data Pura Costos'!B1659="","",'Data Pura Costos'!B1659)</f>
        <v/>
      </c>
      <c r="C1659" s="4" t="str">
        <f>+IF('Data Pura Costos'!C1659="","",'Data Pura Costos'!C1659)</f>
        <v/>
      </c>
      <c r="D1659" s="5" t="str">
        <f>+IF('Data Pura Costos'!D1659="","",'Data Pura Costos'!D1659)</f>
        <v/>
      </c>
      <c r="E1659" s="65" t="str">
        <f>+IF('Data Pura Costos'!E1659="","",IF('Data Pura Costos'!E1659=0,MAX('Data Pura Costos'!$E$7:$E$3000)*1000,'Data Pura Costos'!E1659))</f>
        <v/>
      </c>
      <c r="F1659" s="5" t="str">
        <f>+IF('Data Pura Costos'!F1659="","",'Data Pura Costos'!F1659)</f>
        <v/>
      </c>
      <c r="G1659" s="5" t="str">
        <f>+IF('Data Pura Costos'!G1659="","",'Data Pura Costos'!G1659)</f>
        <v/>
      </c>
      <c r="H1659" s="52" t="str">
        <f>+IF('Data Pura Costos'!H1659="","",'Data Pura Costos'!H1659)</f>
        <v/>
      </c>
      <c r="I1659" s="71" t="str">
        <f>+IF('Data Pura Costos'!I1659="","",'Data Pura Costos'!I1659)</f>
        <v/>
      </c>
      <c r="J1659" s="52" t="str">
        <f>+IF('Data Pura Costos'!J1659="","",'Data Pura Costos'!J1659)</f>
        <v/>
      </c>
      <c r="K1659" s="82" t="str">
        <f t="shared" si="30"/>
        <v/>
      </c>
    </row>
    <row r="1660" spans="2:11" x14ac:dyDescent="0.35">
      <c r="B1660" s="4" t="str">
        <f>+IF('Data Pura Costos'!B1660="","",'Data Pura Costos'!B1660)</f>
        <v/>
      </c>
      <c r="C1660" s="4" t="str">
        <f>+IF('Data Pura Costos'!C1660="","",'Data Pura Costos'!C1660)</f>
        <v/>
      </c>
      <c r="D1660" s="5" t="str">
        <f>+IF('Data Pura Costos'!D1660="","",'Data Pura Costos'!D1660)</f>
        <v/>
      </c>
      <c r="E1660" s="65" t="str">
        <f>+IF('Data Pura Costos'!E1660="","",IF('Data Pura Costos'!E1660=0,MAX('Data Pura Costos'!$E$7:$E$3000)*1000,'Data Pura Costos'!E1660))</f>
        <v/>
      </c>
      <c r="F1660" s="5" t="str">
        <f>+IF('Data Pura Costos'!F1660="","",'Data Pura Costos'!F1660)</f>
        <v/>
      </c>
      <c r="G1660" s="5" t="str">
        <f>+IF('Data Pura Costos'!G1660="","",'Data Pura Costos'!G1660)</f>
        <v/>
      </c>
      <c r="H1660" s="52" t="str">
        <f>+IF('Data Pura Costos'!H1660="","",'Data Pura Costos'!H1660)</f>
        <v/>
      </c>
      <c r="I1660" s="71" t="str">
        <f>+IF('Data Pura Costos'!I1660="","",'Data Pura Costos'!I1660)</f>
        <v/>
      </c>
      <c r="J1660" s="52" t="str">
        <f>+IF('Data Pura Costos'!J1660="","",'Data Pura Costos'!J1660)</f>
        <v/>
      </c>
      <c r="K1660" s="82" t="str">
        <f t="shared" ref="K1660:K1723" si="31">+IF(B1660="","",CONCATENATE(B1660,"-",F1660,"-",G1660))</f>
        <v/>
      </c>
    </row>
    <row r="1661" spans="2:11" x14ac:dyDescent="0.35">
      <c r="B1661" s="4" t="str">
        <f>+IF('Data Pura Costos'!B1661="","",'Data Pura Costos'!B1661)</f>
        <v/>
      </c>
      <c r="C1661" s="4" t="str">
        <f>+IF('Data Pura Costos'!C1661="","",'Data Pura Costos'!C1661)</f>
        <v/>
      </c>
      <c r="D1661" s="5" t="str">
        <f>+IF('Data Pura Costos'!D1661="","",'Data Pura Costos'!D1661)</f>
        <v/>
      </c>
      <c r="E1661" s="65" t="str">
        <f>+IF('Data Pura Costos'!E1661="","",IF('Data Pura Costos'!E1661=0,MAX('Data Pura Costos'!$E$7:$E$3000)*1000,'Data Pura Costos'!E1661))</f>
        <v/>
      </c>
      <c r="F1661" s="5" t="str">
        <f>+IF('Data Pura Costos'!F1661="","",'Data Pura Costos'!F1661)</f>
        <v/>
      </c>
      <c r="G1661" s="5" t="str">
        <f>+IF('Data Pura Costos'!G1661="","",'Data Pura Costos'!G1661)</f>
        <v/>
      </c>
      <c r="H1661" s="52" t="str">
        <f>+IF('Data Pura Costos'!H1661="","",'Data Pura Costos'!H1661)</f>
        <v/>
      </c>
      <c r="I1661" s="71" t="str">
        <f>+IF('Data Pura Costos'!I1661="","",'Data Pura Costos'!I1661)</f>
        <v/>
      </c>
      <c r="J1661" s="52" t="str">
        <f>+IF('Data Pura Costos'!J1661="","",'Data Pura Costos'!J1661)</f>
        <v/>
      </c>
      <c r="K1661" s="82" t="str">
        <f t="shared" si="31"/>
        <v/>
      </c>
    </row>
    <row r="1662" spans="2:11" x14ac:dyDescent="0.35">
      <c r="B1662" s="4" t="str">
        <f>+IF('Data Pura Costos'!B1662="","",'Data Pura Costos'!B1662)</f>
        <v/>
      </c>
      <c r="C1662" s="4" t="str">
        <f>+IF('Data Pura Costos'!C1662="","",'Data Pura Costos'!C1662)</f>
        <v/>
      </c>
      <c r="D1662" s="5" t="str">
        <f>+IF('Data Pura Costos'!D1662="","",'Data Pura Costos'!D1662)</f>
        <v/>
      </c>
      <c r="E1662" s="65" t="str">
        <f>+IF('Data Pura Costos'!E1662="","",IF('Data Pura Costos'!E1662=0,MAX('Data Pura Costos'!$E$7:$E$3000)*1000,'Data Pura Costos'!E1662))</f>
        <v/>
      </c>
      <c r="F1662" s="5" t="str">
        <f>+IF('Data Pura Costos'!F1662="","",'Data Pura Costos'!F1662)</f>
        <v/>
      </c>
      <c r="G1662" s="5" t="str">
        <f>+IF('Data Pura Costos'!G1662="","",'Data Pura Costos'!G1662)</f>
        <v/>
      </c>
      <c r="H1662" s="52" t="str">
        <f>+IF('Data Pura Costos'!H1662="","",'Data Pura Costos'!H1662)</f>
        <v/>
      </c>
      <c r="I1662" s="71" t="str">
        <f>+IF('Data Pura Costos'!I1662="","",'Data Pura Costos'!I1662)</f>
        <v/>
      </c>
      <c r="J1662" s="52" t="str">
        <f>+IF('Data Pura Costos'!J1662="","",'Data Pura Costos'!J1662)</f>
        <v/>
      </c>
      <c r="K1662" s="82" t="str">
        <f t="shared" si="31"/>
        <v/>
      </c>
    </row>
    <row r="1663" spans="2:11" x14ac:dyDescent="0.35">
      <c r="B1663" s="4" t="str">
        <f>+IF('Data Pura Costos'!B1663="","",'Data Pura Costos'!B1663)</f>
        <v/>
      </c>
      <c r="C1663" s="4" t="str">
        <f>+IF('Data Pura Costos'!C1663="","",'Data Pura Costos'!C1663)</f>
        <v/>
      </c>
      <c r="D1663" s="5" t="str">
        <f>+IF('Data Pura Costos'!D1663="","",'Data Pura Costos'!D1663)</f>
        <v/>
      </c>
      <c r="E1663" s="65" t="str">
        <f>+IF('Data Pura Costos'!E1663="","",IF('Data Pura Costos'!E1663=0,MAX('Data Pura Costos'!$E$7:$E$3000)*1000,'Data Pura Costos'!E1663))</f>
        <v/>
      </c>
      <c r="F1663" s="5" t="str">
        <f>+IF('Data Pura Costos'!F1663="","",'Data Pura Costos'!F1663)</f>
        <v/>
      </c>
      <c r="G1663" s="5" t="str">
        <f>+IF('Data Pura Costos'!G1663="","",'Data Pura Costos'!G1663)</f>
        <v/>
      </c>
      <c r="H1663" s="52" t="str">
        <f>+IF('Data Pura Costos'!H1663="","",'Data Pura Costos'!H1663)</f>
        <v/>
      </c>
      <c r="I1663" s="71" t="str">
        <f>+IF('Data Pura Costos'!I1663="","",'Data Pura Costos'!I1663)</f>
        <v/>
      </c>
      <c r="J1663" s="52" t="str">
        <f>+IF('Data Pura Costos'!J1663="","",'Data Pura Costos'!J1663)</f>
        <v/>
      </c>
      <c r="K1663" s="82" t="str">
        <f t="shared" si="31"/>
        <v/>
      </c>
    </row>
    <row r="1664" spans="2:11" x14ac:dyDescent="0.35">
      <c r="B1664" s="4" t="str">
        <f>+IF('Data Pura Costos'!B1664="","",'Data Pura Costos'!B1664)</f>
        <v/>
      </c>
      <c r="C1664" s="4" t="str">
        <f>+IF('Data Pura Costos'!C1664="","",'Data Pura Costos'!C1664)</f>
        <v/>
      </c>
      <c r="D1664" s="5" t="str">
        <f>+IF('Data Pura Costos'!D1664="","",'Data Pura Costos'!D1664)</f>
        <v/>
      </c>
      <c r="E1664" s="65" t="str">
        <f>+IF('Data Pura Costos'!E1664="","",IF('Data Pura Costos'!E1664=0,MAX('Data Pura Costos'!$E$7:$E$3000)*1000,'Data Pura Costos'!E1664))</f>
        <v/>
      </c>
      <c r="F1664" s="5" t="str">
        <f>+IF('Data Pura Costos'!F1664="","",'Data Pura Costos'!F1664)</f>
        <v/>
      </c>
      <c r="G1664" s="5" t="str">
        <f>+IF('Data Pura Costos'!G1664="","",'Data Pura Costos'!G1664)</f>
        <v/>
      </c>
      <c r="H1664" s="52" t="str">
        <f>+IF('Data Pura Costos'!H1664="","",'Data Pura Costos'!H1664)</f>
        <v/>
      </c>
      <c r="I1664" s="71" t="str">
        <f>+IF('Data Pura Costos'!I1664="","",'Data Pura Costos'!I1664)</f>
        <v/>
      </c>
      <c r="J1664" s="52" t="str">
        <f>+IF('Data Pura Costos'!J1664="","",'Data Pura Costos'!J1664)</f>
        <v/>
      </c>
      <c r="K1664" s="82" t="str">
        <f t="shared" si="31"/>
        <v/>
      </c>
    </row>
    <row r="1665" spans="2:11" x14ac:dyDescent="0.35">
      <c r="B1665" s="4" t="str">
        <f>+IF('Data Pura Costos'!B1665="","",'Data Pura Costos'!B1665)</f>
        <v/>
      </c>
      <c r="C1665" s="4" t="str">
        <f>+IF('Data Pura Costos'!C1665="","",'Data Pura Costos'!C1665)</f>
        <v/>
      </c>
      <c r="D1665" s="5" t="str">
        <f>+IF('Data Pura Costos'!D1665="","",'Data Pura Costos'!D1665)</f>
        <v/>
      </c>
      <c r="E1665" s="65" t="str">
        <f>+IF('Data Pura Costos'!E1665="","",IF('Data Pura Costos'!E1665=0,MAX('Data Pura Costos'!$E$7:$E$3000)*1000,'Data Pura Costos'!E1665))</f>
        <v/>
      </c>
      <c r="F1665" s="5" t="str">
        <f>+IF('Data Pura Costos'!F1665="","",'Data Pura Costos'!F1665)</f>
        <v/>
      </c>
      <c r="G1665" s="5" t="str">
        <f>+IF('Data Pura Costos'!G1665="","",'Data Pura Costos'!G1665)</f>
        <v/>
      </c>
      <c r="H1665" s="52" t="str">
        <f>+IF('Data Pura Costos'!H1665="","",'Data Pura Costos'!H1665)</f>
        <v/>
      </c>
      <c r="I1665" s="71" t="str">
        <f>+IF('Data Pura Costos'!I1665="","",'Data Pura Costos'!I1665)</f>
        <v/>
      </c>
      <c r="J1665" s="52" t="str">
        <f>+IF('Data Pura Costos'!J1665="","",'Data Pura Costos'!J1665)</f>
        <v/>
      </c>
      <c r="K1665" s="82" t="str">
        <f t="shared" si="31"/>
        <v/>
      </c>
    </row>
    <row r="1666" spans="2:11" x14ac:dyDescent="0.35">
      <c r="B1666" s="4" t="str">
        <f>+IF('Data Pura Costos'!B1666="","",'Data Pura Costos'!B1666)</f>
        <v/>
      </c>
      <c r="C1666" s="4" t="str">
        <f>+IF('Data Pura Costos'!C1666="","",'Data Pura Costos'!C1666)</f>
        <v/>
      </c>
      <c r="D1666" s="5" t="str">
        <f>+IF('Data Pura Costos'!D1666="","",'Data Pura Costos'!D1666)</f>
        <v/>
      </c>
      <c r="E1666" s="65" t="str">
        <f>+IF('Data Pura Costos'!E1666="","",IF('Data Pura Costos'!E1666=0,MAX('Data Pura Costos'!$E$7:$E$3000)*1000,'Data Pura Costos'!E1666))</f>
        <v/>
      </c>
      <c r="F1666" s="5" t="str">
        <f>+IF('Data Pura Costos'!F1666="","",'Data Pura Costos'!F1666)</f>
        <v/>
      </c>
      <c r="G1666" s="5" t="str">
        <f>+IF('Data Pura Costos'!G1666="","",'Data Pura Costos'!G1666)</f>
        <v/>
      </c>
      <c r="H1666" s="52" t="str">
        <f>+IF('Data Pura Costos'!H1666="","",'Data Pura Costos'!H1666)</f>
        <v/>
      </c>
      <c r="I1666" s="71" t="str">
        <f>+IF('Data Pura Costos'!I1666="","",'Data Pura Costos'!I1666)</f>
        <v/>
      </c>
      <c r="J1666" s="52" t="str">
        <f>+IF('Data Pura Costos'!J1666="","",'Data Pura Costos'!J1666)</f>
        <v/>
      </c>
      <c r="K1666" s="82" t="str">
        <f t="shared" si="31"/>
        <v/>
      </c>
    </row>
    <row r="1667" spans="2:11" x14ac:dyDescent="0.35">
      <c r="B1667" s="4" t="str">
        <f>+IF('Data Pura Costos'!B1667="","",'Data Pura Costos'!B1667)</f>
        <v/>
      </c>
      <c r="C1667" s="4" t="str">
        <f>+IF('Data Pura Costos'!C1667="","",'Data Pura Costos'!C1667)</f>
        <v/>
      </c>
      <c r="D1667" s="5" t="str">
        <f>+IF('Data Pura Costos'!D1667="","",'Data Pura Costos'!D1667)</f>
        <v/>
      </c>
      <c r="E1667" s="65" t="str">
        <f>+IF('Data Pura Costos'!E1667="","",IF('Data Pura Costos'!E1667=0,MAX('Data Pura Costos'!$E$7:$E$3000)*1000,'Data Pura Costos'!E1667))</f>
        <v/>
      </c>
      <c r="F1667" s="5" t="str">
        <f>+IF('Data Pura Costos'!F1667="","",'Data Pura Costos'!F1667)</f>
        <v/>
      </c>
      <c r="G1667" s="5" t="str">
        <f>+IF('Data Pura Costos'!G1667="","",'Data Pura Costos'!G1667)</f>
        <v/>
      </c>
      <c r="H1667" s="52" t="str">
        <f>+IF('Data Pura Costos'!H1667="","",'Data Pura Costos'!H1667)</f>
        <v/>
      </c>
      <c r="I1667" s="71" t="str">
        <f>+IF('Data Pura Costos'!I1667="","",'Data Pura Costos'!I1667)</f>
        <v/>
      </c>
      <c r="J1667" s="52" t="str">
        <f>+IF('Data Pura Costos'!J1667="","",'Data Pura Costos'!J1667)</f>
        <v/>
      </c>
      <c r="K1667" s="82" t="str">
        <f t="shared" si="31"/>
        <v/>
      </c>
    </row>
    <row r="1668" spans="2:11" x14ac:dyDescent="0.35">
      <c r="B1668" s="4" t="str">
        <f>+IF('Data Pura Costos'!B1668="","",'Data Pura Costos'!B1668)</f>
        <v/>
      </c>
      <c r="C1668" s="4" t="str">
        <f>+IF('Data Pura Costos'!C1668="","",'Data Pura Costos'!C1668)</f>
        <v/>
      </c>
      <c r="D1668" s="5" t="str">
        <f>+IF('Data Pura Costos'!D1668="","",'Data Pura Costos'!D1668)</f>
        <v/>
      </c>
      <c r="E1668" s="65" t="str">
        <f>+IF('Data Pura Costos'!E1668="","",IF('Data Pura Costos'!E1668=0,MAX('Data Pura Costos'!$E$7:$E$3000)*1000,'Data Pura Costos'!E1668))</f>
        <v/>
      </c>
      <c r="F1668" s="5" t="str">
        <f>+IF('Data Pura Costos'!F1668="","",'Data Pura Costos'!F1668)</f>
        <v/>
      </c>
      <c r="G1668" s="5" t="str">
        <f>+IF('Data Pura Costos'!G1668="","",'Data Pura Costos'!G1668)</f>
        <v/>
      </c>
      <c r="H1668" s="52" t="str">
        <f>+IF('Data Pura Costos'!H1668="","",'Data Pura Costos'!H1668)</f>
        <v/>
      </c>
      <c r="I1668" s="71" t="str">
        <f>+IF('Data Pura Costos'!I1668="","",'Data Pura Costos'!I1668)</f>
        <v/>
      </c>
      <c r="J1668" s="52" t="str">
        <f>+IF('Data Pura Costos'!J1668="","",'Data Pura Costos'!J1668)</f>
        <v/>
      </c>
      <c r="K1668" s="82" t="str">
        <f t="shared" si="31"/>
        <v/>
      </c>
    </row>
    <row r="1669" spans="2:11" x14ac:dyDescent="0.35">
      <c r="B1669" s="4" t="str">
        <f>+IF('Data Pura Costos'!B1669="","",'Data Pura Costos'!B1669)</f>
        <v/>
      </c>
      <c r="C1669" s="4" t="str">
        <f>+IF('Data Pura Costos'!C1669="","",'Data Pura Costos'!C1669)</f>
        <v/>
      </c>
      <c r="D1669" s="5" t="str">
        <f>+IF('Data Pura Costos'!D1669="","",'Data Pura Costos'!D1669)</f>
        <v/>
      </c>
      <c r="E1669" s="65" t="str">
        <f>+IF('Data Pura Costos'!E1669="","",IF('Data Pura Costos'!E1669=0,MAX('Data Pura Costos'!$E$7:$E$3000)*1000,'Data Pura Costos'!E1669))</f>
        <v/>
      </c>
      <c r="F1669" s="5" t="str">
        <f>+IF('Data Pura Costos'!F1669="","",'Data Pura Costos'!F1669)</f>
        <v/>
      </c>
      <c r="G1669" s="5" t="str">
        <f>+IF('Data Pura Costos'!G1669="","",'Data Pura Costos'!G1669)</f>
        <v/>
      </c>
      <c r="H1669" s="52" t="str">
        <f>+IF('Data Pura Costos'!H1669="","",'Data Pura Costos'!H1669)</f>
        <v/>
      </c>
      <c r="I1669" s="71" t="str">
        <f>+IF('Data Pura Costos'!I1669="","",'Data Pura Costos'!I1669)</f>
        <v/>
      </c>
      <c r="J1669" s="52" t="str">
        <f>+IF('Data Pura Costos'!J1669="","",'Data Pura Costos'!J1669)</f>
        <v/>
      </c>
      <c r="K1669" s="82" t="str">
        <f t="shared" si="31"/>
        <v/>
      </c>
    </row>
    <row r="1670" spans="2:11" x14ac:dyDescent="0.35">
      <c r="B1670" s="4" t="str">
        <f>+IF('Data Pura Costos'!B1670="","",'Data Pura Costos'!B1670)</f>
        <v/>
      </c>
      <c r="C1670" s="4" t="str">
        <f>+IF('Data Pura Costos'!C1670="","",'Data Pura Costos'!C1670)</f>
        <v/>
      </c>
      <c r="D1670" s="5" t="str">
        <f>+IF('Data Pura Costos'!D1670="","",'Data Pura Costos'!D1670)</f>
        <v/>
      </c>
      <c r="E1670" s="65" t="str">
        <f>+IF('Data Pura Costos'!E1670="","",IF('Data Pura Costos'!E1670=0,MAX('Data Pura Costos'!$E$7:$E$3000)*1000,'Data Pura Costos'!E1670))</f>
        <v/>
      </c>
      <c r="F1670" s="5" t="str">
        <f>+IF('Data Pura Costos'!F1670="","",'Data Pura Costos'!F1670)</f>
        <v/>
      </c>
      <c r="G1670" s="5" t="str">
        <f>+IF('Data Pura Costos'!G1670="","",'Data Pura Costos'!G1670)</f>
        <v/>
      </c>
      <c r="H1670" s="52" t="str">
        <f>+IF('Data Pura Costos'!H1670="","",'Data Pura Costos'!H1670)</f>
        <v/>
      </c>
      <c r="I1670" s="71" t="str">
        <f>+IF('Data Pura Costos'!I1670="","",'Data Pura Costos'!I1670)</f>
        <v/>
      </c>
      <c r="J1670" s="52" t="str">
        <f>+IF('Data Pura Costos'!J1670="","",'Data Pura Costos'!J1670)</f>
        <v/>
      </c>
      <c r="K1670" s="82" t="str">
        <f t="shared" si="31"/>
        <v/>
      </c>
    </row>
    <row r="1671" spans="2:11" x14ac:dyDescent="0.35">
      <c r="B1671" s="4" t="str">
        <f>+IF('Data Pura Costos'!B1671="","",'Data Pura Costos'!B1671)</f>
        <v/>
      </c>
      <c r="C1671" s="4" t="str">
        <f>+IF('Data Pura Costos'!C1671="","",'Data Pura Costos'!C1671)</f>
        <v/>
      </c>
      <c r="D1671" s="5" t="str">
        <f>+IF('Data Pura Costos'!D1671="","",'Data Pura Costos'!D1671)</f>
        <v/>
      </c>
      <c r="E1671" s="65" t="str">
        <f>+IF('Data Pura Costos'!E1671="","",IF('Data Pura Costos'!E1671=0,MAX('Data Pura Costos'!$E$7:$E$3000)*1000,'Data Pura Costos'!E1671))</f>
        <v/>
      </c>
      <c r="F1671" s="5" t="str">
        <f>+IF('Data Pura Costos'!F1671="","",'Data Pura Costos'!F1671)</f>
        <v/>
      </c>
      <c r="G1671" s="5" t="str">
        <f>+IF('Data Pura Costos'!G1671="","",'Data Pura Costos'!G1671)</f>
        <v/>
      </c>
      <c r="H1671" s="52" t="str">
        <f>+IF('Data Pura Costos'!H1671="","",'Data Pura Costos'!H1671)</f>
        <v/>
      </c>
      <c r="I1671" s="71" t="str">
        <f>+IF('Data Pura Costos'!I1671="","",'Data Pura Costos'!I1671)</f>
        <v/>
      </c>
      <c r="J1671" s="52" t="str">
        <f>+IF('Data Pura Costos'!J1671="","",'Data Pura Costos'!J1671)</f>
        <v/>
      </c>
      <c r="K1671" s="82" t="str">
        <f t="shared" si="31"/>
        <v/>
      </c>
    </row>
    <row r="1672" spans="2:11" x14ac:dyDescent="0.35">
      <c r="B1672" s="4" t="str">
        <f>+IF('Data Pura Costos'!B1672="","",'Data Pura Costos'!B1672)</f>
        <v/>
      </c>
      <c r="C1672" s="4" t="str">
        <f>+IF('Data Pura Costos'!C1672="","",'Data Pura Costos'!C1672)</f>
        <v/>
      </c>
      <c r="D1672" s="5" t="str">
        <f>+IF('Data Pura Costos'!D1672="","",'Data Pura Costos'!D1672)</f>
        <v/>
      </c>
      <c r="E1672" s="65" t="str">
        <f>+IF('Data Pura Costos'!E1672="","",IF('Data Pura Costos'!E1672=0,MAX('Data Pura Costos'!$E$7:$E$3000)*1000,'Data Pura Costos'!E1672))</f>
        <v/>
      </c>
      <c r="F1672" s="5" t="str">
        <f>+IF('Data Pura Costos'!F1672="","",'Data Pura Costos'!F1672)</f>
        <v/>
      </c>
      <c r="G1672" s="5" t="str">
        <f>+IF('Data Pura Costos'!G1672="","",'Data Pura Costos'!G1672)</f>
        <v/>
      </c>
      <c r="H1672" s="52" t="str">
        <f>+IF('Data Pura Costos'!H1672="","",'Data Pura Costos'!H1672)</f>
        <v/>
      </c>
      <c r="I1672" s="71" t="str">
        <f>+IF('Data Pura Costos'!I1672="","",'Data Pura Costos'!I1672)</f>
        <v/>
      </c>
      <c r="J1672" s="52" t="str">
        <f>+IF('Data Pura Costos'!J1672="","",'Data Pura Costos'!J1672)</f>
        <v/>
      </c>
      <c r="K1672" s="82" t="str">
        <f t="shared" si="31"/>
        <v/>
      </c>
    </row>
    <row r="1673" spans="2:11" x14ac:dyDescent="0.35">
      <c r="B1673" s="4" t="str">
        <f>+IF('Data Pura Costos'!B1673="","",'Data Pura Costos'!B1673)</f>
        <v/>
      </c>
      <c r="C1673" s="4" t="str">
        <f>+IF('Data Pura Costos'!C1673="","",'Data Pura Costos'!C1673)</f>
        <v/>
      </c>
      <c r="D1673" s="5" t="str">
        <f>+IF('Data Pura Costos'!D1673="","",'Data Pura Costos'!D1673)</f>
        <v/>
      </c>
      <c r="E1673" s="65" t="str">
        <f>+IF('Data Pura Costos'!E1673="","",IF('Data Pura Costos'!E1673=0,MAX('Data Pura Costos'!$E$7:$E$3000)*1000,'Data Pura Costos'!E1673))</f>
        <v/>
      </c>
      <c r="F1673" s="5" t="str">
        <f>+IF('Data Pura Costos'!F1673="","",'Data Pura Costos'!F1673)</f>
        <v/>
      </c>
      <c r="G1673" s="5" t="str">
        <f>+IF('Data Pura Costos'!G1673="","",'Data Pura Costos'!G1673)</f>
        <v/>
      </c>
      <c r="H1673" s="52" t="str">
        <f>+IF('Data Pura Costos'!H1673="","",'Data Pura Costos'!H1673)</f>
        <v/>
      </c>
      <c r="I1673" s="71" t="str">
        <f>+IF('Data Pura Costos'!I1673="","",'Data Pura Costos'!I1673)</f>
        <v/>
      </c>
      <c r="J1673" s="52" t="str">
        <f>+IF('Data Pura Costos'!J1673="","",'Data Pura Costos'!J1673)</f>
        <v/>
      </c>
      <c r="K1673" s="82" t="str">
        <f t="shared" si="31"/>
        <v/>
      </c>
    </row>
    <row r="1674" spans="2:11" x14ac:dyDescent="0.35">
      <c r="B1674" s="4" t="str">
        <f>+IF('Data Pura Costos'!B1674="","",'Data Pura Costos'!B1674)</f>
        <v/>
      </c>
      <c r="C1674" s="4" t="str">
        <f>+IF('Data Pura Costos'!C1674="","",'Data Pura Costos'!C1674)</f>
        <v/>
      </c>
      <c r="D1674" s="5" t="str">
        <f>+IF('Data Pura Costos'!D1674="","",'Data Pura Costos'!D1674)</f>
        <v/>
      </c>
      <c r="E1674" s="65" t="str">
        <f>+IF('Data Pura Costos'!E1674="","",IF('Data Pura Costos'!E1674=0,MAX('Data Pura Costos'!$E$7:$E$3000)*1000,'Data Pura Costos'!E1674))</f>
        <v/>
      </c>
      <c r="F1674" s="5" t="str">
        <f>+IF('Data Pura Costos'!F1674="","",'Data Pura Costos'!F1674)</f>
        <v/>
      </c>
      <c r="G1674" s="5" t="str">
        <f>+IF('Data Pura Costos'!G1674="","",'Data Pura Costos'!G1674)</f>
        <v/>
      </c>
      <c r="H1674" s="52" t="str">
        <f>+IF('Data Pura Costos'!H1674="","",'Data Pura Costos'!H1674)</f>
        <v/>
      </c>
      <c r="I1674" s="71" t="str">
        <f>+IF('Data Pura Costos'!I1674="","",'Data Pura Costos'!I1674)</f>
        <v/>
      </c>
      <c r="J1674" s="52" t="str">
        <f>+IF('Data Pura Costos'!J1674="","",'Data Pura Costos'!J1674)</f>
        <v/>
      </c>
      <c r="K1674" s="82" t="str">
        <f t="shared" si="31"/>
        <v/>
      </c>
    </row>
    <row r="1675" spans="2:11" x14ac:dyDescent="0.35">
      <c r="B1675" s="4" t="str">
        <f>+IF('Data Pura Costos'!B1675="","",'Data Pura Costos'!B1675)</f>
        <v/>
      </c>
      <c r="C1675" s="4" t="str">
        <f>+IF('Data Pura Costos'!C1675="","",'Data Pura Costos'!C1675)</f>
        <v/>
      </c>
      <c r="D1675" s="5" t="str">
        <f>+IF('Data Pura Costos'!D1675="","",'Data Pura Costos'!D1675)</f>
        <v/>
      </c>
      <c r="E1675" s="65" t="str">
        <f>+IF('Data Pura Costos'!E1675="","",IF('Data Pura Costos'!E1675=0,MAX('Data Pura Costos'!$E$7:$E$3000)*1000,'Data Pura Costos'!E1675))</f>
        <v/>
      </c>
      <c r="F1675" s="5" t="str">
        <f>+IF('Data Pura Costos'!F1675="","",'Data Pura Costos'!F1675)</f>
        <v/>
      </c>
      <c r="G1675" s="5" t="str">
        <f>+IF('Data Pura Costos'!G1675="","",'Data Pura Costos'!G1675)</f>
        <v/>
      </c>
      <c r="H1675" s="52" t="str">
        <f>+IF('Data Pura Costos'!H1675="","",'Data Pura Costos'!H1675)</f>
        <v/>
      </c>
      <c r="I1675" s="71" t="str">
        <f>+IF('Data Pura Costos'!I1675="","",'Data Pura Costos'!I1675)</f>
        <v/>
      </c>
      <c r="J1675" s="52" t="str">
        <f>+IF('Data Pura Costos'!J1675="","",'Data Pura Costos'!J1675)</f>
        <v/>
      </c>
      <c r="K1675" s="82" t="str">
        <f t="shared" si="31"/>
        <v/>
      </c>
    </row>
    <row r="1676" spans="2:11" x14ac:dyDescent="0.35">
      <c r="B1676" s="4" t="str">
        <f>+IF('Data Pura Costos'!B1676="","",'Data Pura Costos'!B1676)</f>
        <v/>
      </c>
      <c r="C1676" s="4" t="str">
        <f>+IF('Data Pura Costos'!C1676="","",'Data Pura Costos'!C1676)</f>
        <v/>
      </c>
      <c r="D1676" s="5" t="str">
        <f>+IF('Data Pura Costos'!D1676="","",'Data Pura Costos'!D1676)</f>
        <v/>
      </c>
      <c r="E1676" s="65" t="str">
        <f>+IF('Data Pura Costos'!E1676="","",IF('Data Pura Costos'!E1676=0,MAX('Data Pura Costos'!$E$7:$E$3000)*1000,'Data Pura Costos'!E1676))</f>
        <v/>
      </c>
      <c r="F1676" s="5" t="str">
        <f>+IF('Data Pura Costos'!F1676="","",'Data Pura Costos'!F1676)</f>
        <v/>
      </c>
      <c r="G1676" s="5" t="str">
        <f>+IF('Data Pura Costos'!G1676="","",'Data Pura Costos'!G1676)</f>
        <v/>
      </c>
      <c r="H1676" s="52" t="str">
        <f>+IF('Data Pura Costos'!H1676="","",'Data Pura Costos'!H1676)</f>
        <v/>
      </c>
      <c r="I1676" s="71" t="str">
        <f>+IF('Data Pura Costos'!I1676="","",'Data Pura Costos'!I1676)</f>
        <v/>
      </c>
      <c r="J1676" s="52" t="str">
        <f>+IF('Data Pura Costos'!J1676="","",'Data Pura Costos'!J1676)</f>
        <v/>
      </c>
      <c r="K1676" s="82" t="str">
        <f t="shared" si="31"/>
        <v/>
      </c>
    </row>
    <row r="1677" spans="2:11" x14ac:dyDescent="0.35">
      <c r="B1677" s="4" t="str">
        <f>+IF('Data Pura Costos'!B1677="","",'Data Pura Costos'!B1677)</f>
        <v/>
      </c>
      <c r="C1677" s="4" t="str">
        <f>+IF('Data Pura Costos'!C1677="","",'Data Pura Costos'!C1677)</f>
        <v/>
      </c>
      <c r="D1677" s="5" t="str">
        <f>+IF('Data Pura Costos'!D1677="","",'Data Pura Costos'!D1677)</f>
        <v/>
      </c>
      <c r="E1677" s="65" t="str">
        <f>+IF('Data Pura Costos'!E1677="","",IF('Data Pura Costos'!E1677=0,MAX('Data Pura Costos'!$E$7:$E$3000)*1000,'Data Pura Costos'!E1677))</f>
        <v/>
      </c>
      <c r="F1677" s="5" t="str">
        <f>+IF('Data Pura Costos'!F1677="","",'Data Pura Costos'!F1677)</f>
        <v/>
      </c>
      <c r="G1677" s="5" t="str">
        <f>+IF('Data Pura Costos'!G1677="","",'Data Pura Costos'!G1677)</f>
        <v/>
      </c>
      <c r="H1677" s="52" t="str">
        <f>+IF('Data Pura Costos'!H1677="","",'Data Pura Costos'!H1677)</f>
        <v/>
      </c>
      <c r="I1677" s="71" t="str">
        <f>+IF('Data Pura Costos'!I1677="","",'Data Pura Costos'!I1677)</f>
        <v/>
      </c>
      <c r="J1677" s="52" t="str">
        <f>+IF('Data Pura Costos'!J1677="","",'Data Pura Costos'!J1677)</f>
        <v/>
      </c>
      <c r="K1677" s="82" t="str">
        <f t="shared" si="31"/>
        <v/>
      </c>
    </row>
    <row r="1678" spans="2:11" x14ac:dyDescent="0.35">
      <c r="B1678" s="4" t="str">
        <f>+IF('Data Pura Costos'!B1678="","",'Data Pura Costos'!B1678)</f>
        <v/>
      </c>
      <c r="C1678" s="4" t="str">
        <f>+IF('Data Pura Costos'!C1678="","",'Data Pura Costos'!C1678)</f>
        <v/>
      </c>
      <c r="D1678" s="5" t="str">
        <f>+IF('Data Pura Costos'!D1678="","",'Data Pura Costos'!D1678)</f>
        <v/>
      </c>
      <c r="E1678" s="65" t="str">
        <f>+IF('Data Pura Costos'!E1678="","",IF('Data Pura Costos'!E1678=0,MAX('Data Pura Costos'!$E$7:$E$3000)*1000,'Data Pura Costos'!E1678))</f>
        <v/>
      </c>
      <c r="F1678" s="5" t="str">
        <f>+IF('Data Pura Costos'!F1678="","",'Data Pura Costos'!F1678)</f>
        <v/>
      </c>
      <c r="G1678" s="5" t="str">
        <f>+IF('Data Pura Costos'!G1678="","",'Data Pura Costos'!G1678)</f>
        <v/>
      </c>
      <c r="H1678" s="52" t="str">
        <f>+IF('Data Pura Costos'!H1678="","",'Data Pura Costos'!H1678)</f>
        <v/>
      </c>
      <c r="I1678" s="71" t="str">
        <f>+IF('Data Pura Costos'!I1678="","",'Data Pura Costos'!I1678)</f>
        <v/>
      </c>
      <c r="J1678" s="52" t="str">
        <f>+IF('Data Pura Costos'!J1678="","",'Data Pura Costos'!J1678)</f>
        <v/>
      </c>
      <c r="K1678" s="82" t="str">
        <f t="shared" si="31"/>
        <v/>
      </c>
    </row>
    <row r="1679" spans="2:11" x14ac:dyDescent="0.35">
      <c r="B1679" s="4" t="str">
        <f>+IF('Data Pura Costos'!B1679="","",'Data Pura Costos'!B1679)</f>
        <v/>
      </c>
      <c r="C1679" s="4" t="str">
        <f>+IF('Data Pura Costos'!C1679="","",'Data Pura Costos'!C1679)</f>
        <v/>
      </c>
      <c r="D1679" s="5" t="str">
        <f>+IF('Data Pura Costos'!D1679="","",'Data Pura Costos'!D1679)</f>
        <v/>
      </c>
      <c r="E1679" s="65" t="str">
        <f>+IF('Data Pura Costos'!E1679="","",IF('Data Pura Costos'!E1679=0,MAX('Data Pura Costos'!$E$7:$E$3000)*1000,'Data Pura Costos'!E1679))</f>
        <v/>
      </c>
      <c r="F1679" s="5" t="str">
        <f>+IF('Data Pura Costos'!F1679="","",'Data Pura Costos'!F1679)</f>
        <v/>
      </c>
      <c r="G1679" s="5" t="str">
        <f>+IF('Data Pura Costos'!G1679="","",'Data Pura Costos'!G1679)</f>
        <v/>
      </c>
      <c r="H1679" s="52" t="str">
        <f>+IF('Data Pura Costos'!H1679="","",'Data Pura Costos'!H1679)</f>
        <v/>
      </c>
      <c r="I1679" s="71" t="str">
        <f>+IF('Data Pura Costos'!I1679="","",'Data Pura Costos'!I1679)</f>
        <v/>
      </c>
      <c r="J1679" s="52" t="str">
        <f>+IF('Data Pura Costos'!J1679="","",'Data Pura Costos'!J1679)</f>
        <v/>
      </c>
      <c r="K1679" s="82" t="str">
        <f t="shared" si="31"/>
        <v/>
      </c>
    </row>
    <row r="1680" spans="2:11" x14ac:dyDescent="0.35">
      <c r="B1680" s="4" t="str">
        <f>+IF('Data Pura Costos'!B1680="","",'Data Pura Costos'!B1680)</f>
        <v/>
      </c>
      <c r="C1680" s="4" t="str">
        <f>+IF('Data Pura Costos'!C1680="","",'Data Pura Costos'!C1680)</f>
        <v/>
      </c>
      <c r="D1680" s="5" t="str">
        <f>+IF('Data Pura Costos'!D1680="","",'Data Pura Costos'!D1680)</f>
        <v/>
      </c>
      <c r="E1680" s="65" t="str">
        <f>+IF('Data Pura Costos'!E1680="","",IF('Data Pura Costos'!E1680=0,MAX('Data Pura Costos'!$E$7:$E$3000)*1000,'Data Pura Costos'!E1680))</f>
        <v/>
      </c>
      <c r="F1680" s="5" t="str">
        <f>+IF('Data Pura Costos'!F1680="","",'Data Pura Costos'!F1680)</f>
        <v/>
      </c>
      <c r="G1680" s="5" t="str">
        <f>+IF('Data Pura Costos'!G1680="","",'Data Pura Costos'!G1680)</f>
        <v/>
      </c>
      <c r="H1680" s="52" t="str">
        <f>+IF('Data Pura Costos'!H1680="","",'Data Pura Costos'!H1680)</f>
        <v/>
      </c>
      <c r="I1680" s="71" t="str">
        <f>+IF('Data Pura Costos'!I1680="","",'Data Pura Costos'!I1680)</f>
        <v/>
      </c>
      <c r="J1680" s="52" t="str">
        <f>+IF('Data Pura Costos'!J1680="","",'Data Pura Costos'!J1680)</f>
        <v/>
      </c>
      <c r="K1680" s="82" t="str">
        <f t="shared" si="31"/>
        <v/>
      </c>
    </row>
    <row r="1681" spans="2:11" x14ac:dyDescent="0.35">
      <c r="B1681" s="4" t="str">
        <f>+IF('Data Pura Costos'!B1681="","",'Data Pura Costos'!B1681)</f>
        <v/>
      </c>
      <c r="C1681" s="4" t="str">
        <f>+IF('Data Pura Costos'!C1681="","",'Data Pura Costos'!C1681)</f>
        <v/>
      </c>
      <c r="D1681" s="5" t="str">
        <f>+IF('Data Pura Costos'!D1681="","",'Data Pura Costos'!D1681)</f>
        <v/>
      </c>
      <c r="E1681" s="65" t="str">
        <f>+IF('Data Pura Costos'!E1681="","",IF('Data Pura Costos'!E1681=0,MAX('Data Pura Costos'!$E$7:$E$3000)*1000,'Data Pura Costos'!E1681))</f>
        <v/>
      </c>
      <c r="F1681" s="5" t="str">
        <f>+IF('Data Pura Costos'!F1681="","",'Data Pura Costos'!F1681)</f>
        <v/>
      </c>
      <c r="G1681" s="5" t="str">
        <f>+IF('Data Pura Costos'!G1681="","",'Data Pura Costos'!G1681)</f>
        <v/>
      </c>
      <c r="H1681" s="52" t="str">
        <f>+IF('Data Pura Costos'!H1681="","",'Data Pura Costos'!H1681)</f>
        <v/>
      </c>
      <c r="I1681" s="71" t="str">
        <f>+IF('Data Pura Costos'!I1681="","",'Data Pura Costos'!I1681)</f>
        <v/>
      </c>
      <c r="J1681" s="52" t="str">
        <f>+IF('Data Pura Costos'!J1681="","",'Data Pura Costos'!J1681)</f>
        <v/>
      </c>
      <c r="K1681" s="82" t="str">
        <f t="shared" si="31"/>
        <v/>
      </c>
    </row>
    <row r="1682" spans="2:11" x14ac:dyDescent="0.35">
      <c r="B1682" s="4" t="str">
        <f>+IF('Data Pura Costos'!B1682="","",'Data Pura Costos'!B1682)</f>
        <v/>
      </c>
      <c r="C1682" s="4" t="str">
        <f>+IF('Data Pura Costos'!C1682="","",'Data Pura Costos'!C1682)</f>
        <v/>
      </c>
      <c r="D1682" s="5" t="str">
        <f>+IF('Data Pura Costos'!D1682="","",'Data Pura Costos'!D1682)</f>
        <v/>
      </c>
      <c r="E1682" s="65" t="str">
        <f>+IF('Data Pura Costos'!E1682="","",IF('Data Pura Costos'!E1682=0,MAX('Data Pura Costos'!$E$7:$E$3000)*1000,'Data Pura Costos'!E1682))</f>
        <v/>
      </c>
      <c r="F1682" s="5" t="str">
        <f>+IF('Data Pura Costos'!F1682="","",'Data Pura Costos'!F1682)</f>
        <v/>
      </c>
      <c r="G1682" s="5" t="str">
        <f>+IF('Data Pura Costos'!G1682="","",'Data Pura Costos'!G1682)</f>
        <v/>
      </c>
      <c r="H1682" s="52" t="str">
        <f>+IF('Data Pura Costos'!H1682="","",'Data Pura Costos'!H1682)</f>
        <v/>
      </c>
      <c r="I1682" s="71" t="str">
        <f>+IF('Data Pura Costos'!I1682="","",'Data Pura Costos'!I1682)</f>
        <v/>
      </c>
      <c r="J1682" s="52" t="str">
        <f>+IF('Data Pura Costos'!J1682="","",'Data Pura Costos'!J1682)</f>
        <v/>
      </c>
      <c r="K1682" s="82" t="str">
        <f t="shared" si="31"/>
        <v/>
      </c>
    </row>
    <row r="1683" spans="2:11" x14ac:dyDescent="0.35">
      <c r="B1683" s="4" t="str">
        <f>+IF('Data Pura Costos'!B1683="","",'Data Pura Costos'!B1683)</f>
        <v/>
      </c>
      <c r="C1683" s="4" t="str">
        <f>+IF('Data Pura Costos'!C1683="","",'Data Pura Costos'!C1683)</f>
        <v/>
      </c>
      <c r="D1683" s="5" t="str">
        <f>+IF('Data Pura Costos'!D1683="","",'Data Pura Costos'!D1683)</f>
        <v/>
      </c>
      <c r="E1683" s="65" t="str">
        <f>+IF('Data Pura Costos'!E1683="","",IF('Data Pura Costos'!E1683=0,MAX('Data Pura Costos'!$E$7:$E$3000)*1000,'Data Pura Costos'!E1683))</f>
        <v/>
      </c>
      <c r="F1683" s="5" t="str">
        <f>+IF('Data Pura Costos'!F1683="","",'Data Pura Costos'!F1683)</f>
        <v/>
      </c>
      <c r="G1683" s="5" t="str">
        <f>+IF('Data Pura Costos'!G1683="","",'Data Pura Costos'!G1683)</f>
        <v/>
      </c>
      <c r="H1683" s="52" t="str">
        <f>+IF('Data Pura Costos'!H1683="","",'Data Pura Costos'!H1683)</f>
        <v/>
      </c>
      <c r="I1683" s="71" t="str">
        <f>+IF('Data Pura Costos'!I1683="","",'Data Pura Costos'!I1683)</f>
        <v/>
      </c>
      <c r="J1683" s="52" t="str">
        <f>+IF('Data Pura Costos'!J1683="","",'Data Pura Costos'!J1683)</f>
        <v/>
      </c>
      <c r="K1683" s="82" t="str">
        <f t="shared" si="31"/>
        <v/>
      </c>
    </row>
    <row r="1684" spans="2:11" x14ac:dyDescent="0.35">
      <c r="B1684" s="4" t="str">
        <f>+IF('Data Pura Costos'!B1684="","",'Data Pura Costos'!B1684)</f>
        <v/>
      </c>
      <c r="C1684" s="4" t="str">
        <f>+IF('Data Pura Costos'!C1684="","",'Data Pura Costos'!C1684)</f>
        <v/>
      </c>
      <c r="D1684" s="5" t="str">
        <f>+IF('Data Pura Costos'!D1684="","",'Data Pura Costos'!D1684)</f>
        <v/>
      </c>
      <c r="E1684" s="65" t="str">
        <f>+IF('Data Pura Costos'!E1684="","",IF('Data Pura Costos'!E1684=0,MAX('Data Pura Costos'!$E$7:$E$3000)*1000,'Data Pura Costos'!E1684))</f>
        <v/>
      </c>
      <c r="F1684" s="5" t="str">
        <f>+IF('Data Pura Costos'!F1684="","",'Data Pura Costos'!F1684)</f>
        <v/>
      </c>
      <c r="G1684" s="5" t="str">
        <f>+IF('Data Pura Costos'!G1684="","",'Data Pura Costos'!G1684)</f>
        <v/>
      </c>
      <c r="H1684" s="52" t="str">
        <f>+IF('Data Pura Costos'!H1684="","",'Data Pura Costos'!H1684)</f>
        <v/>
      </c>
      <c r="I1684" s="71" t="str">
        <f>+IF('Data Pura Costos'!I1684="","",'Data Pura Costos'!I1684)</f>
        <v/>
      </c>
      <c r="J1684" s="52" t="str">
        <f>+IF('Data Pura Costos'!J1684="","",'Data Pura Costos'!J1684)</f>
        <v/>
      </c>
      <c r="K1684" s="82" t="str">
        <f t="shared" si="31"/>
        <v/>
      </c>
    </row>
    <row r="1685" spans="2:11" x14ac:dyDescent="0.35">
      <c r="B1685" s="4" t="str">
        <f>+IF('Data Pura Costos'!B1685="","",'Data Pura Costos'!B1685)</f>
        <v/>
      </c>
      <c r="C1685" s="4" t="str">
        <f>+IF('Data Pura Costos'!C1685="","",'Data Pura Costos'!C1685)</f>
        <v/>
      </c>
      <c r="D1685" s="5" t="str">
        <f>+IF('Data Pura Costos'!D1685="","",'Data Pura Costos'!D1685)</f>
        <v/>
      </c>
      <c r="E1685" s="65" t="str">
        <f>+IF('Data Pura Costos'!E1685="","",IF('Data Pura Costos'!E1685=0,MAX('Data Pura Costos'!$E$7:$E$3000)*1000,'Data Pura Costos'!E1685))</f>
        <v/>
      </c>
      <c r="F1685" s="5" t="str">
        <f>+IF('Data Pura Costos'!F1685="","",'Data Pura Costos'!F1685)</f>
        <v/>
      </c>
      <c r="G1685" s="5" t="str">
        <f>+IF('Data Pura Costos'!G1685="","",'Data Pura Costos'!G1685)</f>
        <v/>
      </c>
      <c r="H1685" s="52" t="str">
        <f>+IF('Data Pura Costos'!H1685="","",'Data Pura Costos'!H1685)</f>
        <v/>
      </c>
      <c r="I1685" s="71" t="str">
        <f>+IF('Data Pura Costos'!I1685="","",'Data Pura Costos'!I1685)</f>
        <v/>
      </c>
      <c r="J1685" s="52" t="str">
        <f>+IF('Data Pura Costos'!J1685="","",'Data Pura Costos'!J1685)</f>
        <v/>
      </c>
      <c r="K1685" s="82" t="str">
        <f t="shared" si="31"/>
        <v/>
      </c>
    </row>
    <row r="1686" spans="2:11" x14ac:dyDescent="0.35">
      <c r="B1686" s="4" t="str">
        <f>+IF('Data Pura Costos'!B1686="","",'Data Pura Costos'!B1686)</f>
        <v/>
      </c>
      <c r="C1686" s="4" t="str">
        <f>+IF('Data Pura Costos'!C1686="","",'Data Pura Costos'!C1686)</f>
        <v/>
      </c>
      <c r="D1686" s="5" t="str">
        <f>+IF('Data Pura Costos'!D1686="","",'Data Pura Costos'!D1686)</f>
        <v/>
      </c>
      <c r="E1686" s="65" t="str">
        <f>+IF('Data Pura Costos'!E1686="","",IF('Data Pura Costos'!E1686=0,MAX('Data Pura Costos'!$E$7:$E$3000)*1000,'Data Pura Costos'!E1686))</f>
        <v/>
      </c>
      <c r="F1686" s="5" t="str">
        <f>+IF('Data Pura Costos'!F1686="","",'Data Pura Costos'!F1686)</f>
        <v/>
      </c>
      <c r="G1686" s="5" t="str">
        <f>+IF('Data Pura Costos'!G1686="","",'Data Pura Costos'!G1686)</f>
        <v/>
      </c>
      <c r="H1686" s="52" t="str">
        <f>+IF('Data Pura Costos'!H1686="","",'Data Pura Costos'!H1686)</f>
        <v/>
      </c>
      <c r="I1686" s="71" t="str">
        <f>+IF('Data Pura Costos'!I1686="","",'Data Pura Costos'!I1686)</f>
        <v/>
      </c>
      <c r="J1686" s="52" t="str">
        <f>+IF('Data Pura Costos'!J1686="","",'Data Pura Costos'!J1686)</f>
        <v/>
      </c>
      <c r="K1686" s="82" t="str">
        <f t="shared" si="31"/>
        <v/>
      </c>
    </row>
    <row r="1687" spans="2:11" x14ac:dyDescent="0.35">
      <c r="B1687" s="4" t="str">
        <f>+IF('Data Pura Costos'!B1687="","",'Data Pura Costos'!B1687)</f>
        <v/>
      </c>
      <c r="C1687" s="4" t="str">
        <f>+IF('Data Pura Costos'!C1687="","",'Data Pura Costos'!C1687)</f>
        <v/>
      </c>
      <c r="D1687" s="5" t="str">
        <f>+IF('Data Pura Costos'!D1687="","",'Data Pura Costos'!D1687)</f>
        <v/>
      </c>
      <c r="E1687" s="65" t="str">
        <f>+IF('Data Pura Costos'!E1687="","",IF('Data Pura Costos'!E1687=0,MAX('Data Pura Costos'!$E$7:$E$3000)*1000,'Data Pura Costos'!E1687))</f>
        <v/>
      </c>
      <c r="F1687" s="5" t="str">
        <f>+IF('Data Pura Costos'!F1687="","",'Data Pura Costos'!F1687)</f>
        <v/>
      </c>
      <c r="G1687" s="5" t="str">
        <f>+IF('Data Pura Costos'!G1687="","",'Data Pura Costos'!G1687)</f>
        <v/>
      </c>
      <c r="H1687" s="52" t="str">
        <f>+IF('Data Pura Costos'!H1687="","",'Data Pura Costos'!H1687)</f>
        <v/>
      </c>
      <c r="I1687" s="71" t="str">
        <f>+IF('Data Pura Costos'!I1687="","",'Data Pura Costos'!I1687)</f>
        <v/>
      </c>
      <c r="J1687" s="52" t="str">
        <f>+IF('Data Pura Costos'!J1687="","",'Data Pura Costos'!J1687)</f>
        <v/>
      </c>
      <c r="K1687" s="82" t="str">
        <f t="shared" si="31"/>
        <v/>
      </c>
    </row>
    <row r="1688" spans="2:11" x14ac:dyDescent="0.35">
      <c r="B1688" s="4" t="str">
        <f>+IF('Data Pura Costos'!B1688="","",'Data Pura Costos'!B1688)</f>
        <v/>
      </c>
      <c r="C1688" s="4" t="str">
        <f>+IF('Data Pura Costos'!C1688="","",'Data Pura Costos'!C1688)</f>
        <v/>
      </c>
      <c r="D1688" s="5" t="str">
        <f>+IF('Data Pura Costos'!D1688="","",'Data Pura Costos'!D1688)</f>
        <v/>
      </c>
      <c r="E1688" s="65" t="str">
        <f>+IF('Data Pura Costos'!E1688="","",IF('Data Pura Costos'!E1688=0,MAX('Data Pura Costos'!$E$7:$E$3000)*1000,'Data Pura Costos'!E1688))</f>
        <v/>
      </c>
      <c r="F1688" s="5" t="str">
        <f>+IF('Data Pura Costos'!F1688="","",'Data Pura Costos'!F1688)</f>
        <v/>
      </c>
      <c r="G1688" s="5" t="str">
        <f>+IF('Data Pura Costos'!G1688="","",'Data Pura Costos'!G1688)</f>
        <v/>
      </c>
      <c r="H1688" s="52" t="str">
        <f>+IF('Data Pura Costos'!H1688="","",'Data Pura Costos'!H1688)</f>
        <v/>
      </c>
      <c r="I1688" s="71" t="str">
        <f>+IF('Data Pura Costos'!I1688="","",'Data Pura Costos'!I1688)</f>
        <v/>
      </c>
      <c r="J1688" s="52" t="str">
        <f>+IF('Data Pura Costos'!J1688="","",'Data Pura Costos'!J1688)</f>
        <v/>
      </c>
      <c r="K1688" s="82" t="str">
        <f t="shared" si="31"/>
        <v/>
      </c>
    </row>
    <row r="1689" spans="2:11" x14ac:dyDescent="0.35">
      <c r="B1689" s="4" t="str">
        <f>+IF('Data Pura Costos'!B1689="","",'Data Pura Costos'!B1689)</f>
        <v/>
      </c>
      <c r="C1689" s="4" t="str">
        <f>+IF('Data Pura Costos'!C1689="","",'Data Pura Costos'!C1689)</f>
        <v/>
      </c>
      <c r="D1689" s="5" t="str">
        <f>+IF('Data Pura Costos'!D1689="","",'Data Pura Costos'!D1689)</f>
        <v/>
      </c>
      <c r="E1689" s="65" t="str">
        <f>+IF('Data Pura Costos'!E1689="","",IF('Data Pura Costos'!E1689=0,MAX('Data Pura Costos'!$E$7:$E$3000)*1000,'Data Pura Costos'!E1689))</f>
        <v/>
      </c>
      <c r="F1689" s="5" t="str">
        <f>+IF('Data Pura Costos'!F1689="","",'Data Pura Costos'!F1689)</f>
        <v/>
      </c>
      <c r="G1689" s="5" t="str">
        <f>+IF('Data Pura Costos'!G1689="","",'Data Pura Costos'!G1689)</f>
        <v/>
      </c>
      <c r="H1689" s="52" t="str">
        <f>+IF('Data Pura Costos'!H1689="","",'Data Pura Costos'!H1689)</f>
        <v/>
      </c>
      <c r="I1689" s="71" t="str">
        <f>+IF('Data Pura Costos'!I1689="","",'Data Pura Costos'!I1689)</f>
        <v/>
      </c>
      <c r="J1689" s="52" t="str">
        <f>+IF('Data Pura Costos'!J1689="","",'Data Pura Costos'!J1689)</f>
        <v/>
      </c>
      <c r="K1689" s="82" t="str">
        <f t="shared" si="31"/>
        <v/>
      </c>
    </row>
    <row r="1690" spans="2:11" x14ac:dyDescent="0.35">
      <c r="B1690" s="4" t="str">
        <f>+IF('Data Pura Costos'!B1690="","",'Data Pura Costos'!B1690)</f>
        <v/>
      </c>
      <c r="C1690" s="4" t="str">
        <f>+IF('Data Pura Costos'!C1690="","",'Data Pura Costos'!C1690)</f>
        <v/>
      </c>
      <c r="D1690" s="5" t="str">
        <f>+IF('Data Pura Costos'!D1690="","",'Data Pura Costos'!D1690)</f>
        <v/>
      </c>
      <c r="E1690" s="65" t="str">
        <f>+IF('Data Pura Costos'!E1690="","",IF('Data Pura Costos'!E1690=0,MAX('Data Pura Costos'!$E$7:$E$3000)*1000,'Data Pura Costos'!E1690))</f>
        <v/>
      </c>
      <c r="F1690" s="5" t="str">
        <f>+IF('Data Pura Costos'!F1690="","",'Data Pura Costos'!F1690)</f>
        <v/>
      </c>
      <c r="G1690" s="5" t="str">
        <f>+IF('Data Pura Costos'!G1690="","",'Data Pura Costos'!G1690)</f>
        <v/>
      </c>
      <c r="H1690" s="52" t="str">
        <f>+IF('Data Pura Costos'!H1690="","",'Data Pura Costos'!H1690)</f>
        <v/>
      </c>
      <c r="I1690" s="71" t="str">
        <f>+IF('Data Pura Costos'!I1690="","",'Data Pura Costos'!I1690)</f>
        <v/>
      </c>
      <c r="J1690" s="52" t="str">
        <f>+IF('Data Pura Costos'!J1690="","",'Data Pura Costos'!J1690)</f>
        <v/>
      </c>
      <c r="K1690" s="82" t="str">
        <f t="shared" si="31"/>
        <v/>
      </c>
    </row>
    <row r="1691" spans="2:11" x14ac:dyDescent="0.35">
      <c r="B1691" s="4" t="str">
        <f>+IF('Data Pura Costos'!B1691="","",'Data Pura Costos'!B1691)</f>
        <v/>
      </c>
      <c r="C1691" s="4" t="str">
        <f>+IF('Data Pura Costos'!C1691="","",'Data Pura Costos'!C1691)</f>
        <v/>
      </c>
      <c r="D1691" s="5" t="str">
        <f>+IF('Data Pura Costos'!D1691="","",'Data Pura Costos'!D1691)</f>
        <v/>
      </c>
      <c r="E1691" s="65" t="str">
        <f>+IF('Data Pura Costos'!E1691="","",IF('Data Pura Costos'!E1691=0,MAX('Data Pura Costos'!$E$7:$E$3000)*1000,'Data Pura Costos'!E1691))</f>
        <v/>
      </c>
      <c r="F1691" s="5" t="str">
        <f>+IF('Data Pura Costos'!F1691="","",'Data Pura Costos'!F1691)</f>
        <v/>
      </c>
      <c r="G1691" s="5" t="str">
        <f>+IF('Data Pura Costos'!G1691="","",'Data Pura Costos'!G1691)</f>
        <v/>
      </c>
      <c r="H1691" s="52" t="str">
        <f>+IF('Data Pura Costos'!H1691="","",'Data Pura Costos'!H1691)</f>
        <v/>
      </c>
      <c r="I1691" s="71" t="str">
        <f>+IF('Data Pura Costos'!I1691="","",'Data Pura Costos'!I1691)</f>
        <v/>
      </c>
      <c r="J1691" s="52" t="str">
        <f>+IF('Data Pura Costos'!J1691="","",'Data Pura Costos'!J1691)</f>
        <v/>
      </c>
      <c r="K1691" s="82" t="str">
        <f t="shared" si="31"/>
        <v/>
      </c>
    </row>
    <row r="1692" spans="2:11" x14ac:dyDescent="0.35">
      <c r="B1692" s="4" t="str">
        <f>+IF('Data Pura Costos'!B1692="","",'Data Pura Costos'!B1692)</f>
        <v/>
      </c>
      <c r="C1692" s="4" t="str">
        <f>+IF('Data Pura Costos'!C1692="","",'Data Pura Costos'!C1692)</f>
        <v/>
      </c>
      <c r="D1692" s="5" t="str">
        <f>+IF('Data Pura Costos'!D1692="","",'Data Pura Costos'!D1692)</f>
        <v/>
      </c>
      <c r="E1692" s="65" t="str">
        <f>+IF('Data Pura Costos'!E1692="","",IF('Data Pura Costos'!E1692=0,MAX('Data Pura Costos'!$E$7:$E$3000)*1000,'Data Pura Costos'!E1692))</f>
        <v/>
      </c>
      <c r="F1692" s="5" t="str">
        <f>+IF('Data Pura Costos'!F1692="","",'Data Pura Costos'!F1692)</f>
        <v/>
      </c>
      <c r="G1692" s="5" t="str">
        <f>+IF('Data Pura Costos'!G1692="","",'Data Pura Costos'!G1692)</f>
        <v/>
      </c>
      <c r="H1692" s="52" t="str">
        <f>+IF('Data Pura Costos'!H1692="","",'Data Pura Costos'!H1692)</f>
        <v/>
      </c>
      <c r="I1692" s="71" t="str">
        <f>+IF('Data Pura Costos'!I1692="","",'Data Pura Costos'!I1692)</f>
        <v/>
      </c>
      <c r="J1692" s="52" t="str">
        <f>+IF('Data Pura Costos'!J1692="","",'Data Pura Costos'!J1692)</f>
        <v/>
      </c>
      <c r="K1692" s="82" t="str">
        <f t="shared" si="31"/>
        <v/>
      </c>
    </row>
    <row r="1693" spans="2:11" x14ac:dyDescent="0.35">
      <c r="B1693" s="4" t="str">
        <f>+IF('Data Pura Costos'!B1693="","",'Data Pura Costos'!B1693)</f>
        <v/>
      </c>
      <c r="C1693" s="4" t="str">
        <f>+IF('Data Pura Costos'!C1693="","",'Data Pura Costos'!C1693)</f>
        <v/>
      </c>
      <c r="D1693" s="5" t="str">
        <f>+IF('Data Pura Costos'!D1693="","",'Data Pura Costos'!D1693)</f>
        <v/>
      </c>
      <c r="E1693" s="65" t="str">
        <f>+IF('Data Pura Costos'!E1693="","",IF('Data Pura Costos'!E1693=0,MAX('Data Pura Costos'!$E$7:$E$3000)*1000,'Data Pura Costos'!E1693))</f>
        <v/>
      </c>
      <c r="F1693" s="5" t="str">
        <f>+IF('Data Pura Costos'!F1693="","",'Data Pura Costos'!F1693)</f>
        <v/>
      </c>
      <c r="G1693" s="5" t="str">
        <f>+IF('Data Pura Costos'!G1693="","",'Data Pura Costos'!G1693)</f>
        <v/>
      </c>
      <c r="H1693" s="52" t="str">
        <f>+IF('Data Pura Costos'!H1693="","",'Data Pura Costos'!H1693)</f>
        <v/>
      </c>
      <c r="I1693" s="71" t="str">
        <f>+IF('Data Pura Costos'!I1693="","",'Data Pura Costos'!I1693)</f>
        <v/>
      </c>
      <c r="J1693" s="52" t="str">
        <f>+IF('Data Pura Costos'!J1693="","",'Data Pura Costos'!J1693)</f>
        <v/>
      </c>
      <c r="K1693" s="82" t="str">
        <f t="shared" si="31"/>
        <v/>
      </c>
    </row>
    <row r="1694" spans="2:11" x14ac:dyDescent="0.35">
      <c r="B1694" s="4" t="str">
        <f>+IF('Data Pura Costos'!B1694="","",'Data Pura Costos'!B1694)</f>
        <v/>
      </c>
      <c r="C1694" s="4" t="str">
        <f>+IF('Data Pura Costos'!C1694="","",'Data Pura Costos'!C1694)</f>
        <v/>
      </c>
      <c r="D1694" s="5" t="str">
        <f>+IF('Data Pura Costos'!D1694="","",'Data Pura Costos'!D1694)</f>
        <v/>
      </c>
      <c r="E1694" s="65" t="str">
        <f>+IF('Data Pura Costos'!E1694="","",IF('Data Pura Costos'!E1694=0,MAX('Data Pura Costos'!$E$7:$E$3000)*1000,'Data Pura Costos'!E1694))</f>
        <v/>
      </c>
      <c r="F1694" s="5" t="str">
        <f>+IF('Data Pura Costos'!F1694="","",'Data Pura Costos'!F1694)</f>
        <v/>
      </c>
      <c r="G1694" s="5" t="str">
        <f>+IF('Data Pura Costos'!G1694="","",'Data Pura Costos'!G1694)</f>
        <v/>
      </c>
      <c r="H1694" s="52" t="str">
        <f>+IF('Data Pura Costos'!H1694="","",'Data Pura Costos'!H1694)</f>
        <v/>
      </c>
      <c r="I1694" s="71" t="str">
        <f>+IF('Data Pura Costos'!I1694="","",'Data Pura Costos'!I1694)</f>
        <v/>
      </c>
      <c r="J1694" s="52" t="str">
        <f>+IF('Data Pura Costos'!J1694="","",'Data Pura Costos'!J1694)</f>
        <v/>
      </c>
      <c r="K1694" s="82" t="str">
        <f t="shared" si="31"/>
        <v/>
      </c>
    </row>
    <row r="1695" spans="2:11" x14ac:dyDescent="0.35">
      <c r="B1695" s="4" t="str">
        <f>+IF('Data Pura Costos'!B1695="","",'Data Pura Costos'!B1695)</f>
        <v/>
      </c>
      <c r="C1695" s="4" t="str">
        <f>+IF('Data Pura Costos'!C1695="","",'Data Pura Costos'!C1695)</f>
        <v/>
      </c>
      <c r="D1695" s="5" t="str">
        <f>+IF('Data Pura Costos'!D1695="","",'Data Pura Costos'!D1695)</f>
        <v/>
      </c>
      <c r="E1695" s="65" t="str">
        <f>+IF('Data Pura Costos'!E1695="","",IF('Data Pura Costos'!E1695=0,MAX('Data Pura Costos'!$E$7:$E$3000)*1000,'Data Pura Costos'!E1695))</f>
        <v/>
      </c>
      <c r="F1695" s="5" t="str">
        <f>+IF('Data Pura Costos'!F1695="","",'Data Pura Costos'!F1695)</f>
        <v/>
      </c>
      <c r="G1695" s="5" t="str">
        <f>+IF('Data Pura Costos'!G1695="","",'Data Pura Costos'!G1695)</f>
        <v/>
      </c>
      <c r="H1695" s="52" t="str">
        <f>+IF('Data Pura Costos'!H1695="","",'Data Pura Costos'!H1695)</f>
        <v/>
      </c>
      <c r="I1695" s="71" t="str">
        <f>+IF('Data Pura Costos'!I1695="","",'Data Pura Costos'!I1695)</f>
        <v/>
      </c>
      <c r="J1695" s="52" t="str">
        <f>+IF('Data Pura Costos'!J1695="","",'Data Pura Costos'!J1695)</f>
        <v/>
      </c>
      <c r="K1695" s="82" t="str">
        <f t="shared" si="31"/>
        <v/>
      </c>
    </row>
    <row r="1696" spans="2:11" x14ac:dyDescent="0.35">
      <c r="B1696" s="4" t="str">
        <f>+IF('Data Pura Costos'!B1696="","",'Data Pura Costos'!B1696)</f>
        <v/>
      </c>
      <c r="C1696" s="4" t="str">
        <f>+IF('Data Pura Costos'!C1696="","",'Data Pura Costos'!C1696)</f>
        <v/>
      </c>
      <c r="D1696" s="5" t="str">
        <f>+IF('Data Pura Costos'!D1696="","",'Data Pura Costos'!D1696)</f>
        <v/>
      </c>
      <c r="E1696" s="65" t="str">
        <f>+IF('Data Pura Costos'!E1696="","",IF('Data Pura Costos'!E1696=0,MAX('Data Pura Costos'!$E$7:$E$3000)*1000,'Data Pura Costos'!E1696))</f>
        <v/>
      </c>
      <c r="F1696" s="5" t="str">
        <f>+IF('Data Pura Costos'!F1696="","",'Data Pura Costos'!F1696)</f>
        <v/>
      </c>
      <c r="G1696" s="5" t="str">
        <f>+IF('Data Pura Costos'!G1696="","",'Data Pura Costos'!G1696)</f>
        <v/>
      </c>
      <c r="H1696" s="52" t="str">
        <f>+IF('Data Pura Costos'!H1696="","",'Data Pura Costos'!H1696)</f>
        <v/>
      </c>
      <c r="I1696" s="71" t="str">
        <f>+IF('Data Pura Costos'!I1696="","",'Data Pura Costos'!I1696)</f>
        <v/>
      </c>
      <c r="J1696" s="52" t="str">
        <f>+IF('Data Pura Costos'!J1696="","",'Data Pura Costos'!J1696)</f>
        <v/>
      </c>
      <c r="K1696" s="82" t="str">
        <f t="shared" si="31"/>
        <v/>
      </c>
    </row>
    <row r="1697" spans="2:11" x14ac:dyDescent="0.35">
      <c r="B1697" s="4" t="str">
        <f>+IF('Data Pura Costos'!B1697="","",'Data Pura Costos'!B1697)</f>
        <v/>
      </c>
      <c r="C1697" s="4" t="str">
        <f>+IF('Data Pura Costos'!C1697="","",'Data Pura Costos'!C1697)</f>
        <v/>
      </c>
      <c r="D1697" s="5" t="str">
        <f>+IF('Data Pura Costos'!D1697="","",'Data Pura Costos'!D1697)</f>
        <v/>
      </c>
      <c r="E1697" s="65" t="str">
        <f>+IF('Data Pura Costos'!E1697="","",IF('Data Pura Costos'!E1697=0,MAX('Data Pura Costos'!$E$7:$E$3000)*1000,'Data Pura Costos'!E1697))</f>
        <v/>
      </c>
      <c r="F1697" s="5" t="str">
        <f>+IF('Data Pura Costos'!F1697="","",'Data Pura Costos'!F1697)</f>
        <v/>
      </c>
      <c r="G1697" s="5" t="str">
        <f>+IF('Data Pura Costos'!G1697="","",'Data Pura Costos'!G1697)</f>
        <v/>
      </c>
      <c r="H1697" s="52" t="str">
        <f>+IF('Data Pura Costos'!H1697="","",'Data Pura Costos'!H1697)</f>
        <v/>
      </c>
      <c r="I1697" s="71" t="str">
        <f>+IF('Data Pura Costos'!I1697="","",'Data Pura Costos'!I1697)</f>
        <v/>
      </c>
      <c r="J1697" s="52" t="str">
        <f>+IF('Data Pura Costos'!J1697="","",'Data Pura Costos'!J1697)</f>
        <v/>
      </c>
      <c r="K1697" s="82" t="str">
        <f t="shared" si="31"/>
        <v/>
      </c>
    </row>
    <row r="1698" spans="2:11" x14ac:dyDescent="0.35">
      <c r="B1698" s="4" t="str">
        <f>+IF('Data Pura Costos'!B1698="","",'Data Pura Costos'!B1698)</f>
        <v/>
      </c>
      <c r="C1698" s="4" t="str">
        <f>+IF('Data Pura Costos'!C1698="","",'Data Pura Costos'!C1698)</f>
        <v/>
      </c>
      <c r="D1698" s="5" t="str">
        <f>+IF('Data Pura Costos'!D1698="","",'Data Pura Costos'!D1698)</f>
        <v/>
      </c>
      <c r="E1698" s="65" t="str">
        <f>+IF('Data Pura Costos'!E1698="","",IF('Data Pura Costos'!E1698=0,MAX('Data Pura Costos'!$E$7:$E$3000)*1000,'Data Pura Costos'!E1698))</f>
        <v/>
      </c>
      <c r="F1698" s="5" t="str">
        <f>+IF('Data Pura Costos'!F1698="","",'Data Pura Costos'!F1698)</f>
        <v/>
      </c>
      <c r="G1698" s="5" t="str">
        <f>+IF('Data Pura Costos'!G1698="","",'Data Pura Costos'!G1698)</f>
        <v/>
      </c>
      <c r="H1698" s="52" t="str">
        <f>+IF('Data Pura Costos'!H1698="","",'Data Pura Costos'!H1698)</f>
        <v/>
      </c>
      <c r="I1698" s="71" t="str">
        <f>+IF('Data Pura Costos'!I1698="","",'Data Pura Costos'!I1698)</f>
        <v/>
      </c>
      <c r="J1698" s="52" t="str">
        <f>+IF('Data Pura Costos'!J1698="","",'Data Pura Costos'!J1698)</f>
        <v/>
      </c>
      <c r="K1698" s="82" t="str">
        <f t="shared" si="31"/>
        <v/>
      </c>
    </row>
    <row r="1699" spans="2:11" x14ac:dyDescent="0.35">
      <c r="B1699" s="4" t="str">
        <f>+IF('Data Pura Costos'!B1699="","",'Data Pura Costos'!B1699)</f>
        <v/>
      </c>
      <c r="C1699" s="4" t="str">
        <f>+IF('Data Pura Costos'!C1699="","",'Data Pura Costos'!C1699)</f>
        <v/>
      </c>
      <c r="D1699" s="5" t="str">
        <f>+IF('Data Pura Costos'!D1699="","",'Data Pura Costos'!D1699)</f>
        <v/>
      </c>
      <c r="E1699" s="65" t="str">
        <f>+IF('Data Pura Costos'!E1699="","",IF('Data Pura Costos'!E1699=0,MAX('Data Pura Costos'!$E$7:$E$3000)*1000,'Data Pura Costos'!E1699))</f>
        <v/>
      </c>
      <c r="F1699" s="5" t="str">
        <f>+IF('Data Pura Costos'!F1699="","",'Data Pura Costos'!F1699)</f>
        <v/>
      </c>
      <c r="G1699" s="5" t="str">
        <f>+IF('Data Pura Costos'!G1699="","",'Data Pura Costos'!G1699)</f>
        <v/>
      </c>
      <c r="H1699" s="52" t="str">
        <f>+IF('Data Pura Costos'!H1699="","",'Data Pura Costos'!H1699)</f>
        <v/>
      </c>
      <c r="I1699" s="71" t="str">
        <f>+IF('Data Pura Costos'!I1699="","",'Data Pura Costos'!I1699)</f>
        <v/>
      </c>
      <c r="J1699" s="52" t="str">
        <f>+IF('Data Pura Costos'!J1699="","",'Data Pura Costos'!J1699)</f>
        <v/>
      </c>
      <c r="K1699" s="82" t="str">
        <f t="shared" si="31"/>
        <v/>
      </c>
    </row>
    <row r="1700" spans="2:11" x14ac:dyDescent="0.35">
      <c r="B1700" s="4" t="str">
        <f>+IF('Data Pura Costos'!B1700="","",'Data Pura Costos'!B1700)</f>
        <v/>
      </c>
      <c r="C1700" s="4" t="str">
        <f>+IF('Data Pura Costos'!C1700="","",'Data Pura Costos'!C1700)</f>
        <v/>
      </c>
      <c r="D1700" s="5" t="str">
        <f>+IF('Data Pura Costos'!D1700="","",'Data Pura Costos'!D1700)</f>
        <v/>
      </c>
      <c r="E1700" s="65" t="str">
        <f>+IF('Data Pura Costos'!E1700="","",IF('Data Pura Costos'!E1700=0,MAX('Data Pura Costos'!$E$7:$E$3000)*1000,'Data Pura Costos'!E1700))</f>
        <v/>
      </c>
      <c r="F1700" s="5" t="str">
        <f>+IF('Data Pura Costos'!F1700="","",'Data Pura Costos'!F1700)</f>
        <v/>
      </c>
      <c r="G1700" s="5" t="str">
        <f>+IF('Data Pura Costos'!G1700="","",'Data Pura Costos'!G1700)</f>
        <v/>
      </c>
      <c r="H1700" s="52" t="str">
        <f>+IF('Data Pura Costos'!H1700="","",'Data Pura Costos'!H1700)</f>
        <v/>
      </c>
      <c r="I1700" s="71" t="str">
        <f>+IF('Data Pura Costos'!I1700="","",'Data Pura Costos'!I1700)</f>
        <v/>
      </c>
      <c r="J1700" s="52" t="str">
        <f>+IF('Data Pura Costos'!J1700="","",'Data Pura Costos'!J1700)</f>
        <v/>
      </c>
      <c r="K1700" s="82" t="str">
        <f t="shared" si="31"/>
        <v/>
      </c>
    </row>
    <row r="1701" spans="2:11" x14ac:dyDescent="0.35">
      <c r="B1701" s="4" t="str">
        <f>+IF('Data Pura Costos'!B1701="","",'Data Pura Costos'!B1701)</f>
        <v/>
      </c>
      <c r="C1701" s="4" t="str">
        <f>+IF('Data Pura Costos'!C1701="","",'Data Pura Costos'!C1701)</f>
        <v/>
      </c>
      <c r="D1701" s="5" t="str">
        <f>+IF('Data Pura Costos'!D1701="","",'Data Pura Costos'!D1701)</f>
        <v/>
      </c>
      <c r="E1701" s="65" t="str">
        <f>+IF('Data Pura Costos'!E1701="","",IF('Data Pura Costos'!E1701=0,MAX('Data Pura Costos'!$E$7:$E$3000)*1000,'Data Pura Costos'!E1701))</f>
        <v/>
      </c>
      <c r="F1701" s="5" t="str">
        <f>+IF('Data Pura Costos'!F1701="","",'Data Pura Costos'!F1701)</f>
        <v/>
      </c>
      <c r="G1701" s="5" t="str">
        <f>+IF('Data Pura Costos'!G1701="","",'Data Pura Costos'!G1701)</f>
        <v/>
      </c>
      <c r="H1701" s="52" t="str">
        <f>+IF('Data Pura Costos'!H1701="","",'Data Pura Costos'!H1701)</f>
        <v/>
      </c>
      <c r="I1701" s="71" t="str">
        <f>+IF('Data Pura Costos'!I1701="","",'Data Pura Costos'!I1701)</f>
        <v/>
      </c>
      <c r="J1701" s="52" t="str">
        <f>+IF('Data Pura Costos'!J1701="","",'Data Pura Costos'!J1701)</f>
        <v/>
      </c>
      <c r="K1701" s="82" t="str">
        <f t="shared" si="31"/>
        <v/>
      </c>
    </row>
    <row r="1702" spans="2:11" x14ac:dyDescent="0.35">
      <c r="B1702" s="4" t="str">
        <f>+IF('Data Pura Costos'!B1702="","",'Data Pura Costos'!B1702)</f>
        <v/>
      </c>
      <c r="C1702" s="4" t="str">
        <f>+IF('Data Pura Costos'!C1702="","",'Data Pura Costos'!C1702)</f>
        <v/>
      </c>
      <c r="D1702" s="5" t="str">
        <f>+IF('Data Pura Costos'!D1702="","",'Data Pura Costos'!D1702)</f>
        <v/>
      </c>
      <c r="E1702" s="65" t="str">
        <f>+IF('Data Pura Costos'!E1702="","",IF('Data Pura Costos'!E1702=0,MAX('Data Pura Costos'!$E$7:$E$3000)*1000,'Data Pura Costos'!E1702))</f>
        <v/>
      </c>
      <c r="F1702" s="5" t="str">
        <f>+IF('Data Pura Costos'!F1702="","",'Data Pura Costos'!F1702)</f>
        <v/>
      </c>
      <c r="G1702" s="5" t="str">
        <f>+IF('Data Pura Costos'!G1702="","",'Data Pura Costos'!G1702)</f>
        <v/>
      </c>
      <c r="H1702" s="52" t="str">
        <f>+IF('Data Pura Costos'!H1702="","",'Data Pura Costos'!H1702)</f>
        <v/>
      </c>
      <c r="I1702" s="71" t="str">
        <f>+IF('Data Pura Costos'!I1702="","",'Data Pura Costos'!I1702)</f>
        <v/>
      </c>
      <c r="J1702" s="52" t="str">
        <f>+IF('Data Pura Costos'!J1702="","",'Data Pura Costos'!J1702)</f>
        <v/>
      </c>
      <c r="K1702" s="82" t="str">
        <f t="shared" si="31"/>
        <v/>
      </c>
    </row>
    <row r="1703" spans="2:11" x14ac:dyDescent="0.35">
      <c r="B1703" s="4" t="str">
        <f>+IF('Data Pura Costos'!B1703="","",'Data Pura Costos'!B1703)</f>
        <v/>
      </c>
      <c r="C1703" s="4" t="str">
        <f>+IF('Data Pura Costos'!C1703="","",'Data Pura Costos'!C1703)</f>
        <v/>
      </c>
      <c r="D1703" s="5" t="str">
        <f>+IF('Data Pura Costos'!D1703="","",'Data Pura Costos'!D1703)</f>
        <v/>
      </c>
      <c r="E1703" s="65" t="str">
        <f>+IF('Data Pura Costos'!E1703="","",IF('Data Pura Costos'!E1703=0,MAX('Data Pura Costos'!$E$7:$E$3000)*1000,'Data Pura Costos'!E1703))</f>
        <v/>
      </c>
      <c r="F1703" s="5" t="str">
        <f>+IF('Data Pura Costos'!F1703="","",'Data Pura Costos'!F1703)</f>
        <v/>
      </c>
      <c r="G1703" s="5" t="str">
        <f>+IF('Data Pura Costos'!G1703="","",'Data Pura Costos'!G1703)</f>
        <v/>
      </c>
      <c r="H1703" s="52" t="str">
        <f>+IF('Data Pura Costos'!H1703="","",'Data Pura Costos'!H1703)</f>
        <v/>
      </c>
      <c r="I1703" s="71" t="str">
        <f>+IF('Data Pura Costos'!I1703="","",'Data Pura Costos'!I1703)</f>
        <v/>
      </c>
      <c r="J1703" s="52" t="str">
        <f>+IF('Data Pura Costos'!J1703="","",'Data Pura Costos'!J1703)</f>
        <v/>
      </c>
      <c r="K1703" s="82" t="str">
        <f t="shared" si="31"/>
        <v/>
      </c>
    </row>
    <row r="1704" spans="2:11" x14ac:dyDescent="0.35">
      <c r="B1704" s="4" t="str">
        <f>+IF('Data Pura Costos'!B1704="","",'Data Pura Costos'!B1704)</f>
        <v/>
      </c>
      <c r="C1704" s="4" t="str">
        <f>+IF('Data Pura Costos'!C1704="","",'Data Pura Costos'!C1704)</f>
        <v/>
      </c>
      <c r="D1704" s="5" t="str">
        <f>+IF('Data Pura Costos'!D1704="","",'Data Pura Costos'!D1704)</f>
        <v/>
      </c>
      <c r="E1704" s="65" t="str">
        <f>+IF('Data Pura Costos'!E1704="","",IF('Data Pura Costos'!E1704=0,MAX('Data Pura Costos'!$E$7:$E$3000)*1000,'Data Pura Costos'!E1704))</f>
        <v/>
      </c>
      <c r="F1704" s="5" t="str">
        <f>+IF('Data Pura Costos'!F1704="","",'Data Pura Costos'!F1704)</f>
        <v/>
      </c>
      <c r="G1704" s="5" t="str">
        <f>+IF('Data Pura Costos'!G1704="","",'Data Pura Costos'!G1704)</f>
        <v/>
      </c>
      <c r="H1704" s="52" t="str">
        <f>+IF('Data Pura Costos'!H1704="","",'Data Pura Costos'!H1704)</f>
        <v/>
      </c>
      <c r="I1704" s="71" t="str">
        <f>+IF('Data Pura Costos'!I1704="","",'Data Pura Costos'!I1704)</f>
        <v/>
      </c>
      <c r="J1704" s="52" t="str">
        <f>+IF('Data Pura Costos'!J1704="","",'Data Pura Costos'!J1704)</f>
        <v/>
      </c>
      <c r="K1704" s="82" t="str">
        <f t="shared" si="31"/>
        <v/>
      </c>
    </row>
    <row r="1705" spans="2:11" x14ac:dyDescent="0.35">
      <c r="B1705" s="4" t="str">
        <f>+IF('Data Pura Costos'!B1705="","",'Data Pura Costos'!B1705)</f>
        <v/>
      </c>
      <c r="C1705" s="4" t="str">
        <f>+IF('Data Pura Costos'!C1705="","",'Data Pura Costos'!C1705)</f>
        <v/>
      </c>
      <c r="D1705" s="5" t="str">
        <f>+IF('Data Pura Costos'!D1705="","",'Data Pura Costos'!D1705)</f>
        <v/>
      </c>
      <c r="E1705" s="65" t="str">
        <f>+IF('Data Pura Costos'!E1705="","",IF('Data Pura Costos'!E1705=0,MAX('Data Pura Costos'!$E$7:$E$3000)*1000,'Data Pura Costos'!E1705))</f>
        <v/>
      </c>
      <c r="F1705" s="5" t="str">
        <f>+IF('Data Pura Costos'!F1705="","",'Data Pura Costos'!F1705)</f>
        <v/>
      </c>
      <c r="G1705" s="5" t="str">
        <f>+IF('Data Pura Costos'!G1705="","",'Data Pura Costos'!G1705)</f>
        <v/>
      </c>
      <c r="H1705" s="52" t="str">
        <f>+IF('Data Pura Costos'!H1705="","",'Data Pura Costos'!H1705)</f>
        <v/>
      </c>
      <c r="I1705" s="71" t="str">
        <f>+IF('Data Pura Costos'!I1705="","",'Data Pura Costos'!I1705)</f>
        <v/>
      </c>
      <c r="J1705" s="52" t="str">
        <f>+IF('Data Pura Costos'!J1705="","",'Data Pura Costos'!J1705)</f>
        <v/>
      </c>
      <c r="K1705" s="82" t="str">
        <f t="shared" si="31"/>
        <v/>
      </c>
    </row>
    <row r="1706" spans="2:11" x14ac:dyDescent="0.35">
      <c r="B1706" s="4" t="str">
        <f>+IF('Data Pura Costos'!B1706="","",'Data Pura Costos'!B1706)</f>
        <v/>
      </c>
      <c r="C1706" s="4" t="str">
        <f>+IF('Data Pura Costos'!C1706="","",'Data Pura Costos'!C1706)</f>
        <v/>
      </c>
      <c r="D1706" s="5" t="str">
        <f>+IF('Data Pura Costos'!D1706="","",'Data Pura Costos'!D1706)</f>
        <v/>
      </c>
      <c r="E1706" s="65" t="str">
        <f>+IF('Data Pura Costos'!E1706="","",IF('Data Pura Costos'!E1706=0,MAX('Data Pura Costos'!$E$7:$E$3000)*1000,'Data Pura Costos'!E1706))</f>
        <v/>
      </c>
      <c r="F1706" s="5" t="str">
        <f>+IF('Data Pura Costos'!F1706="","",'Data Pura Costos'!F1706)</f>
        <v/>
      </c>
      <c r="G1706" s="5" t="str">
        <f>+IF('Data Pura Costos'!G1706="","",'Data Pura Costos'!G1706)</f>
        <v/>
      </c>
      <c r="H1706" s="52" t="str">
        <f>+IF('Data Pura Costos'!H1706="","",'Data Pura Costos'!H1706)</f>
        <v/>
      </c>
      <c r="I1706" s="71" t="str">
        <f>+IF('Data Pura Costos'!I1706="","",'Data Pura Costos'!I1706)</f>
        <v/>
      </c>
      <c r="J1706" s="52" t="str">
        <f>+IF('Data Pura Costos'!J1706="","",'Data Pura Costos'!J1706)</f>
        <v/>
      </c>
      <c r="K1706" s="82" t="str">
        <f t="shared" si="31"/>
        <v/>
      </c>
    </row>
    <row r="1707" spans="2:11" x14ac:dyDescent="0.35">
      <c r="B1707" s="4" t="str">
        <f>+IF('Data Pura Costos'!B1707="","",'Data Pura Costos'!B1707)</f>
        <v/>
      </c>
      <c r="C1707" s="4" t="str">
        <f>+IF('Data Pura Costos'!C1707="","",'Data Pura Costos'!C1707)</f>
        <v/>
      </c>
      <c r="D1707" s="5" t="str">
        <f>+IF('Data Pura Costos'!D1707="","",'Data Pura Costos'!D1707)</f>
        <v/>
      </c>
      <c r="E1707" s="65" t="str">
        <f>+IF('Data Pura Costos'!E1707="","",IF('Data Pura Costos'!E1707=0,MAX('Data Pura Costos'!$E$7:$E$3000)*1000,'Data Pura Costos'!E1707))</f>
        <v/>
      </c>
      <c r="F1707" s="5" t="str">
        <f>+IF('Data Pura Costos'!F1707="","",'Data Pura Costos'!F1707)</f>
        <v/>
      </c>
      <c r="G1707" s="5" t="str">
        <f>+IF('Data Pura Costos'!G1707="","",'Data Pura Costos'!G1707)</f>
        <v/>
      </c>
      <c r="H1707" s="52" t="str">
        <f>+IF('Data Pura Costos'!H1707="","",'Data Pura Costos'!H1707)</f>
        <v/>
      </c>
      <c r="I1707" s="71" t="str">
        <f>+IF('Data Pura Costos'!I1707="","",'Data Pura Costos'!I1707)</f>
        <v/>
      </c>
      <c r="J1707" s="52" t="str">
        <f>+IF('Data Pura Costos'!J1707="","",'Data Pura Costos'!J1707)</f>
        <v/>
      </c>
      <c r="K1707" s="82" t="str">
        <f t="shared" si="31"/>
        <v/>
      </c>
    </row>
    <row r="1708" spans="2:11" x14ac:dyDescent="0.35">
      <c r="B1708" s="4" t="str">
        <f>+IF('Data Pura Costos'!B1708="","",'Data Pura Costos'!B1708)</f>
        <v/>
      </c>
      <c r="C1708" s="4" t="str">
        <f>+IF('Data Pura Costos'!C1708="","",'Data Pura Costos'!C1708)</f>
        <v/>
      </c>
      <c r="D1708" s="5" t="str">
        <f>+IF('Data Pura Costos'!D1708="","",'Data Pura Costos'!D1708)</f>
        <v/>
      </c>
      <c r="E1708" s="65" t="str">
        <f>+IF('Data Pura Costos'!E1708="","",IF('Data Pura Costos'!E1708=0,MAX('Data Pura Costos'!$E$7:$E$3000)*1000,'Data Pura Costos'!E1708))</f>
        <v/>
      </c>
      <c r="F1708" s="5" t="str">
        <f>+IF('Data Pura Costos'!F1708="","",'Data Pura Costos'!F1708)</f>
        <v/>
      </c>
      <c r="G1708" s="5" t="str">
        <f>+IF('Data Pura Costos'!G1708="","",'Data Pura Costos'!G1708)</f>
        <v/>
      </c>
      <c r="H1708" s="52" t="str">
        <f>+IF('Data Pura Costos'!H1708="","",'Data Pura Costos'!H1708)</f>
        <v/>
      </c>
      <c r="I1708" s="71" t="str">
        <f>+IF('Data Pura Costos'!I1708="","",'Data Pura Costos'!I1708)</f>
        <v/>
      </c>
      <c r="J1708" s="52" t="str">
        <f>+IF('Data Pura Costos'!J1708="","",'Data Pura Costos'!J1708)</f>
        <v/>
      </c>
      <c r="K1708" s="82" t="str">
        <f t="shared" si="31"/>
        <v/>
      </c>
    </row>
    <row r="1709" spans="2:11" x14ac:dyDescent="0.35">
      <c r="B1709" s="4" t="str">
        <f>+IF('Data Pura Costos'!B1709="","",'Data Pura Costos'!B1709)</f>
        <v/>
      </c>
      <c r="C1709" s="4" t="str">
        <f>+IF('Data Pura Costos'!C1709="","",'Data Pura Costos'!C1709)</f>
        <v/>
      </c>
      <c r="D1709" s="5" t="str">
        <f>+IF('Data Pura Costos'!D1709="","",'Data Pura Costos'!D1709)</f>
        <v/>
      </c>
      <c r="E1709" s="65" t="str">
        <f>+IF('Data Pura Costos'!E1709="","",IF('Data Pura Costos'!E1709=0,MAX('Data Pura Costos'!$E$7:$E$3000)*1000,'Data Pura Costos'!E1709))</f>
        <v/>
      </c>
      <c r="F1709" s="5" t="str">
        <f>+IF('Data Pura Costos'!F1709="","",'Data Pura Costos'!F1709)</f>
        <v/>
      </c>
      <c r="G1709" s="5" t="str">
        <f>+IF('Data Pura Costos'!G1709="","",'Data Pura Costos'!G1709)</f>
        <v/>
      </c>
      <c r="H1709" s="52" t="str">
        <f>+IF('Data Pura Costos'!H1709="","",'Data Pura Costos'!H1709)</f>
        <v/>
      </c>
      <c r="I1709" s="71" t="str">
        <f>+IF('Data Pura Costos'!I1709="","",'Data Pura Costos'!I1709)</f>
        <v/>
      </c>
      <c r="J1709" s="52" t="str">
        <f>+IF('Data Pura Costos'!J1709="","",'Data Pura Costos'!J1709)</f>
        <v/>
      </c>
      <c r="K1709" s="82" t="str">
        <f t="shared" si="31"/>
        <v/>
      </c>
    </row>
    <row r="1710" spans="2:11" x14ac:dyDescent="0.35">
      <c r="B1710" s="4" t="str">
        <f>+IF('Data Pura Costos'!B1710="","",'Data Pura Costos'!B1710)</f>
        <v/>
      </c>
      <c r="C1710" s="4" t="str">
        <f>+IF('Data Pura Costos'!C1710="","",'Data Pura Costos'!C1710)</f>
        <v/>
      </c>
      <c r="D1710" s="5" t="str">
        <f>+IF('Data Pura Costos'!D1710="","",'Data Pura Costos'!D1710)</f>
        <v/>
      </c>
      <c r="E1710" s="65" t="str">
        <f>+IF('Data Pura Costos'!E1710="","",IF('Data Pura Costos'!E1710=0,MAX('Data Pura Costos'!$E$7:$E$3000)*1000,'Data Pura Costos'!E1710))</f>
        <v/>
      </c>
      <c r="F1710" s="5" t="str">
        <f>+IF('Data Pura Costos'!F1710="","",'Data Pura Costos'!F1710)</f>
        <v/>
      </c>
      <c r="G1710" s="5" t="str">
        <f>+IF('Data Pura Costos'!G1710="","",'Data Pura Costos'!G1710)</f>
        <v/>
      </c>
      <c r="H1710" s="52" t="str">
        <f>+IF('Data Pura Costos'!H1710="","",'Data Pura Costos'!H1710)</f>
        <v/>
      </c>
      <c r="I1710" s="71" t="str">
        <f>+IF('Data Pura Costos'!I1710="","",'Data Pura Costos'!I1710)</f>
        <v/>
      </c>
      <c r="J1710" s="52" t="str">
        <f>+IF('Data Pura Costos'!J1710="","",'Data Pura Costos'!J1710)</f>
        <v/>
      </c>
      <c r="K1710" s="82" t="str">
        <f t="shared" si="31"/>
        <v/>
      </c>
    </row>
    <row r="1711" spans="2:11" x14ac:dyDescent="0.35">
      <c r="B1711" s="4" t="str">
        <f>+IF('Data Pura Costos'!B1711="","",'Data Pura Costos'!B1711)</f>
        <v/>
      </c>
      <c r="C1711" s="4" t="str">
        <f>+IF('Data Pura Costos'!C1711="","",'Data Pura Costos'!C1711)</f>
        <v/>
      </c>
      <c r="D1711" s="5" t="str">
        <f>+IF('Data Pura Costos'!D1711="","",'Data Pura Costos'!D1711)</f>
        <v/>
      </c>
      <c r="E1711" s="65" t="str">
        <f>+IF('Data Pura Costos'!E1711="","",IF('Data Pura Costos'!E1711=0,MAX('Data Pura Costos'!$E$7:$E$3000)*1000,'Data Pura Costos'!E1711))</f>
        <v/>
      </c>
      <c r="F1711" s="5" t="str">
        <f>+IF('Data Pura Costos'!F1711="","",'Data Pura Costos'!F1711)</f>
        <v/>
      </c>
      <c r="G1711" s="5" t="str">
        <f>+IF('Data Pura Costos'!G1711="","",'Data Pura Costos'!G1711)</f>
        <v/>
      </c>
      <c r="H1711" s="52" t="str">
        <f>+IF('Data Pura Costos'!H1711="","",'Data Pura Costos'!H1711)</f>
        <v/>
      </c>
      <c r="I1711" s="71" t="str">
        <f>+IF('Data Pura Costos'!I1711="","",'Data Pura Costos'!I1711)</f>
        <v/>
      </c>
      <c r="J1711" s="52" t="str">
        <f>+IF('Data Pura Costos'!J1711="","",'Data Pura Costos'!J1711)</f>
        <v/>
      </c>
      <c r="K1711" s="82" t="str">
        <f t="shared" si="31"/>
        <v/>
      </c>
    </row>
    <row r="1712" spans="2:11" x14ac:dyDescent="0.35">
      <c r="B1712" s="4" t="str">
        <f>+IF('Data Pura Costos'!B1712="","",'Data Pura Costos'!B1712)</f>
        <v/>
      </c>
      <c r="C1712" s="4" t="str">
        <f>+IF('Data Pura Costos'!C1712="","",'Data Pura Costos'!C1712)</f>
        <v/>
      </c>
      <c r="D1712" s="5" t="str">
        <f>+IF('Data Pura Costos'!D1712="","",'Data Pura Costos'!D1712)</f>
        <v/>
      </c>
      <c r="E1712" s="65" t="str">
        <f>+IF('Data Pura Costos'!E1712="","",IF('Data Pura Costos'!E1712=0,MAX('Data Pura Costos'!$E$7:$E$3000)*1000,'Data Pura Costos'!E1712))</f>
        <v/>
      </c>
      <c r="F1712" s="5" t="str">
        <f>+IF('Data Pura Costos'!F1712="","",'Data Pura Costos'!F1712)</f>
        <v/>
      </c>
      <c r="G1712" s="5" t="str">
        <f>+IF('Data Pura Costos'!G1712="","",'Data Pura Costos'!G1712)</f>
        <v/>
      </c>
      <c r="H1712" s="52" t="str">
        <f>+IF('Data Pura Costos'!H1712="","",'Data Pura Costos'!H1712)</f>
        <v/>
      </c>
      <c r="I1712" s="71" t="str">
        <f>+IF('Data Pura Costos'!I1712="","",'Data Pura Costos'!I1712)</f>
        <v/>
      </c>
      <c r="J1712" s="52" t="str">
        <f>+IF('Data Pura Costos'!J1712="","",'Data Pura Costos'!J1712)</f>
        <v/>
      </c>
      <c r="K1712" s="82" t="str">
        <f t="shared" si="31"/>
        <v/>
      </c>
    </row>
    <row r="1713" spans="2:11" x14ac:dyDescent="0.35">
      <c r="B1713" s="4" t="str">
        <f>+IF('Data Pura Costos'!B1713="","",'Data Pura Costos'!B1713)</f>
        <v/>
      </c>
      <c r="C1713" s="4" t="str">
        <f>+IF('Data Pura Costos'!C1713="","",'Data Pura Costos'!C1713)</f>
        <v/>
      </c>
      <c r="D1713" s="5" t="str">
        <f>+IF('Data Pura Costos'!D1713="","",'Data Pura Costos'!D1713)</f>
        <v/>
      </c>
      <c r="E1713" s="65" t="str">
        <f>+IF('Data Pura Costos'!E1713="","",IF('Data Pura Costos'!E1713=0,MAX('Data Pura Costos'!$E$7:$E$3000)*1000,'Data Pura Costos'!E1713))</f>
        <v/>
      </c>
      <c r="F1713" s="5" t="str">
        <f>+IF('Data Pura Costos'!F1713="","",'Data Pura Costos'!F1713)</f>
        <v/>
      </c>
      <c r="G1713" s="5" t="str">
        <f>+IF('Data Pura Costos'!G1713="","",'Data Pura Costos'!G1713)</f>
        <v/>
      </c>
      <c r="H1713" s="52" t="str">
        <f>+IF('Data Pura Costos'!H1713="","",'Data Pura Costos'!H1713)</f>
        <v/>
      </c>
      <c r="I1713" s="71" t="str">
        <f>+IF('Data Pura Costos'!I1713="","",'Data Pura Costos'!I1713)</f>
        <v/>
      </c>
      <c r="J1713" s="52" t="str">
        <f>+IF('Data Pura Costos'!J1713="","",'Data Pura Costos'!J1713)</f>
        <v/>
      </c>
      <c r="K1713" s="82" t="str">
        <f t="shared" si="31"/>
        <v/>
      </c>
    </row>
    <row r="1714" spans="2:11" x14ac:dyDescent="0.35">
      <c r="B1714" s="4" t="str">
        <f>+IF('Data Pura Costos'!B1714="","",'Data Pura Costos'!B1714)</f>
        <v/>
      </c>
      <c r="C1714" s="4" t="str">
        <f>+IF('Data Pura Costos'!C1714="","",'Data Pura Costos'!C1714)</f>
        <v/>
      </c>
      <c r="D1714" s="5" t="str">
        <f>+IF('Data Pura Costos'!D1714="","",'Data Pura Costos'!D1714)</f>
        <v/>
      </c>
      <c r="E1714" s="65" t="str">
        <f>+IF('Data Pura Costos'!E1714="","",IF('Data Pura Costos'!E1714=0,MAX('Data Pura Costos'!$E$7:$E$3000)*1000,'Data Pura Costos'!E1714))</f>
        <v/>
      </c>
      <c r="F1714" s="5" t="str">
        <f>+IF('Data Pura Costos'!F1714="","",'Data Pura Costos'!F1714)</f>
        <v/>
      </c>
      <c r="G1714" s="5" t="str">
        <f>+IF('Data Pura Costos'!G1714="","",'Data Pura Costos'!G1714)</f>
        <v/>
      </c>
      <c r="H1714" s="52" t="str">
        <f>+IF('Data Pura Costos'!H1714="","",'Data Pura Costos'!H1714)</f>
        <v/>
      </c>
      <c r="I1714" s="71" t="str">
        <f>+IF('Data Pura Costos'!I1714="","",'Data Pura Costos'!I1714)</f>
        <v/>
      </c>
      <c r="J1714" s="52" t="str">
        <f>+IF('Data Pura Costos'!J1714="","",'Data Pura Costos'!J1714)</f>
        <v/>
      </c>
      <c r="K1714" s="82" t="str">
        <f t="shared" si="31"/>
        <v/>
      </c>
    </row>
    <row r="1715" spans="2:11" x14ac:dyDescent="0.35">
      <c r="B1715" s="4" t="str">
        <f>+IF('Data Pura Costos'!B1715="","",'Data Pura Costos'!B1715)</f>
        <v/>
      </c>
      <c r="C1715" s="4" t="str">
        <f>+IF('Data Pura Costos'!C1715="","",'Data Pura Costos'!C1715)</f>
        <v/>
      </c>
      <c r="D1715" s="5" t="str">
        <f>+IF('Data Pura Costos'!D1715="","",'Data Pura Costos'!D1715)</f>
        <v/>
      </c>
      <c r="E1715" s="65" t="str">
        <f>+IF('Data Pura Costos'!E1715="","",IF('Data Pura Costos'!E1715=0,MAX('Data Pura Costos'!$E$7:$E$3000)*1000,'Data Pura Costos'!E1715))</f>
        <v/>
      </c>
      <c r="F1715" s="5" t="str">
        <f>+IF('Data Pura Costos'!F1715="","",'Data Pura Costos'!F1715)</f>
        <v/>
      </c>
      <c r="G1715" s="5" t="str">
        <f>+IF('Data Pura Costos'!G1715="","",'Data Pura Costos'!G1715)</f>
        <v/>
      </c>
      <c r="H1715" s="52" t="str">
        <f>+IF('Data Pura Costos'!H1715="","",'Data Pura Costos'!H1715)</f>
        <v/>
      </c>
      <c r="I1715" s="71" t="str">
        <f>+IF('Data Pura Costos'!I1715="","",'Data Pura Costos'!I1715)</f>
        <v/>
      </c>
      <c r="J1715" s="52" t="str">
        <f>+IF('Data Pura Costos'!J1715="","",'Data Pura Costos'!J1715)</f>
        <v/>
      </c>
      <c r="K1715" s="82" t="str">
        <f t="shared" si="31"/>
        <v/>
      </c>
    </row>
    <row r="1716" spans="2:11" x14ac:dyDescent="0.35">
      <c r="B1716" s="4" t="str">
        <f>+IF('Data Pura Costos'!B1716="","",'Data Pura Costos'!B1716)</f>
        <v/>
      </c>
      <c r="C1716" s="4" t="str">
        <f>+IF('Data Pura Costos'!C1716="","",'Data Pura Costos'!C1716)</f>
        <v/>
      </c>
      <c r="D1716" s="5" t="str">
        <f>+IF('Data Pura Costos'!D1716="","",'Data Pura Costos'!D1716)</f>
        <v/>
      </c>
      <c r="E1716" s="65" t="str">
        <f>+IF('Data Pura Costos'!E1716="","",IF('Data Pura Costos'!E1716=0,MAX('Data Pura Costos'!$E$7:$E$3000)*1000,'Data Pura Costos'!E1716))</f>
        <v/>
      </c>
      <c r="F1716" s="5" t="str">
        <f>+IF('Data Pura Costos'!F1716="","",'Data Pura Costos'!F1716)</f>
        <v/>
      </c>
      <c r="G1716" s="5" t="str">
        <f>+IF('Data Pura Costos'!G1716="","",'Data Pura Costos'!G1716)</f>
        <v/>
      </c>
      <c r="H1716" s="52" t="str">
        <f>+IF('Data Pura Costos'!H1716="","",'Data Pura Costos'!H1716)</f>
        <v/>
      </c>
      <c r="I1716" s="71" t="str">
        <f>+IF('Data Pura Costos'!I1716="","",'Data Pura Costos'!I1716)</f>
        <v/>
      </c>
      <c r="J1716" s="52" t="str">
        <f>+IF('Data Pura Costos'!J1716="","",'Data Pura Costos'!J1716)</f>
        <v/>
      </c>
      <c r="K1716" s="82" t="str">
        <f t="shared" si="31"/>
        <v/>
      </c>
    </row>
    <row r="1717" spans="2:11" x14ac:dyDescent="0.35">
      <c r="B1717" s="4" t="str">
        <f>+IF('Data Pura Costos'!B1717="","",'Data Pura Costos'!B1717)</f>
        <v/>
      </c>
      <c r="C1717" s="4" t="str">
        <f>+IF('Data Pura Costos'!C1717="","",'Data Pura Costos'!C1717)</f>
        <v/>
      </c>
      <c r="D1717" s="5" t="str">
        <f>+IF('Data Pura Costos'!D1717="","",'Data Pura Costos'!D1717)</f>
        <v/>
      </c>
      <c r="E1717" s="65" t="str">
        <f>+IF('Data Pura Costos'!E1717="","",IF('Data Pura Costos'!E1717=0,MAX('Data Pura Costos'!$E$7:$E$3000)*1000,'Data Pura Costos'!E1717))</f>
        <v/>
      </c>
      <c r="F1717" s="5" t="str">
        <f>+IF('Data Pura Costos'!F1717="","",'Data Pura Costos'!F1717)</f>
        <v/>
      </c>
      <c r="G1717" s="5" t="str">
        <f>+IF('Data Pura Costos'!G1717="","",'Data Pura Costos'!G1717)</f>
        <v/>
      </c>
      <c r="H1717" s="52" t="str">
        <f>+IF('Data Pura Costos'!H1717="","",'Data Pura Costos'!H1717)</f>
        <v/>
      </c>
      <c r="I1717" s="71" t="str">
        <f>+IF('Data Pura Costos'!I1717="","",'Data Pura Costos'!I1717)</f>
        <v/>
      </c>
      <c r="J1717" s="52" t="str">
        <f>+IF('Data Pura Costos'!J1717="","",'Data Pura Costos'!J1717)</f>
        <v/>
      </c>
      <c r="K1717" s="82" t="str">
        <f t="shared" si="31"/>
        <v/>
      </c>
    </row>
    <row r="1718" spans="2:11" x14ac:dyDescent="0.35">
      <c r="B1718" s="4" t="str">
        <f>+IF('Data Pura Costos'!B1718="","",'Data Pura Costos'!B1718)</f>
        <v/>
      </c>
      <c r="C1718" s="4" t="str">
        <f>+IF('Data Pura Costos'!C1718="","",'Data Pura Costos'!C1718)</f>
        <v/>
      </c>
      <c r="D1718" s="5" t="str">
        <f>+IF('Data Pura Costos'!D1718="","",'Data Pura Costos'!D1718)</f>
        <v/>
      </c>
      <c r="E1718" s="65" t="str">
        <f>+IF('Data Pura Costos'!E1718="","",IF('Data Pura Costos'!E1718=0,MAX('Data Pura Costos'!$E$7:$E$3000)*1000,'Data Pura Costos'!E1718))</f>
        <v/>
      </c>
      <c r="F1718" s="5" t="str">
        <f>+IF('Data Pura Costos'!F1718="","",'Data Pura Costos'!F1718)</f>
        <v/>
      </c>
      <c r="G1718" s="5" t="str">
        <f>+IF('Data Pura Costos'!G1718="","",'Data Pura Costos'!G1718)</f>
        <v/>
      </c>
      <c r="H1718" s="52" t="str">
        <f>+IF('Data Pura Costos'!H1718="","",'Data Pura Costos'!H1718)</f>
        <v/>
      </c>
      <c r="I1718" s="71" t="str">
        <f>+IF('Data Pura Costos'!I1718="","",'Data Pura Costos'!I1718)</f>
        <v/>
      </c>
      <c r="J1718" s="52" t="str">
        <f>+IF('Data Pura Costos'!J1718="","",'Data Pura Costos'!J1718)</f>
        <v/>
      </c>
      <c r="K1718" s="82" t="str">
        <f t="shared" si="31"/>
        <v/>
      </c>
    </row>
    <row r="1719" spans="2:11" x14ac:dyDescent="0.35">
      <c r="B1719" s="4" t="str">
        <f>+IF('Data Pura Costos'!B1719="","",'Data Pura Costos'!B1719)</f>
        <v/>
      </c>
      <c r="C1719" s="4" t="str">
        <f>+IF('Data Pura Costos'!C1719="","",'Data Pura Costos'!C1719)</f>
        <v/>
      </c>
      <c r="D1719" s="5" t="str">
        <f>+IF('Data Pura Costos'!D1719="","",'Data Pura Costos'!D1719)</f>
        <v/>
      </c>
      <c r="E1719" s="65" t="str">
        <f>+IF('Data Pura Costos'!E1719="","",IF('Data Pura Costos'!E1719=0,MAX('Data Pura Costos'!$E$7:$E$3000)*1000,'Data Pura Costos'!E1719))</f>
        <v/>
      </c>
      <c r="F1719" s="5" t="str">
        <f>+IF('Data Pura Costos'!F1719="","",'Data Pura Costos'!F1719)</f>
        <v/>
      </c>
      <c r="G1719" s="5" t="str">
        <f>+IF('Data Pura Costos'!G1719="","",'Data Pura Costos'!G1719)</f>
        <v/>
      </c>
      <c r="H1719" s="52" t="str">
        <f>+IF('Data Pura Costos'!H1719="","",'Data Pura Costos'!H1719)</f>
        <v/>
      </c>
      <c r="I1719" s="71" t="str">
        <f>+IF('Data Pura Costos'!I1719="","",'Data Pura Costos'!I1719)</f>
        <v/>
      </c>
      <c r="J1719" s="52" t="str">
        <f>+IF('Data Pura Costos'!J1719="","",'Data Pura Costos'!J1719)</f>
        <v/>
      </c>
      <c r="K1719" s="82" t="str">
        <f t="shared" si="31"/>
        <v/>
      </c>
    </row>
    <row r="1720" spans="2:11" x14ac:dyDescent="0.35">
      <c r="B1720" s="4" t="str">
        <f>+IF('Data Pura Costos'!B1720="","",'Data Pura Costos'!B1720)</f>
        <v/>
      </c>
      <c r="C1720" s="4" t="str">
        <f>+IF('Data Pura Costos'!C1720="","",'Data Pura Costos'!C1720)</f>
        <v/>
      </c>
      <c r="D1720" s="5" t="str">
        <f>+IF('Data Pura Costos'!D1720="","",'Data Pura Costos'!D1720)</f>
        <v/>
      </c>
      <c r="E1720" s="65" t="str">
        <f>+IF('Data Pura Costos'!E1720="","",IF('Data Pura Costos'!E1720=0,MAX('Data Pura Costos'!$E$7:$E$3000)*1000,'Data Pura Costos'!E1720))</f>
        <v/>
      </c>
      <c r="F1720" s="5" t="str">
        <f>+IF('Data Pura Costos'!F1720="","",'Data Pura Costos'!F1720)</f>
        <v/>
      </c>
      <c r="G1720" s="5" t="str">
        <f>+IF('Data Pura Costos'!G1720="","",'Data Pura Costos'!G1720)</f>
        <v/>
      </c>
      <c r="H1720" s="52" t="str">
        <f>+IF('Data Pura Costos'!H1720="","",'Data Pura Costos'!H1720)</f>
        <v/>
      </c>
      <c r="I1720" s="71" t="str">
        <f>+IF('Data Pura Costos'!I1720="","",'Data Pura Costos'!I1720)</f>
        <v/>
      </c>
      <c r="J1720" s="52" t="str">
        <f>+IF('Data Pura Costos'!J1720="","",'Data Pura Costos'!J1720)</f>
        <v/>
      </c>
      <c r="K1720" s="82" t="str">
        <f t="shared" si="31"/>
        <v/>
      </c>
    </row>
    <row r="1721" spans="2:11" x14ac:dyDescent="0.35">
      <c r="B1721" s="4" t="str">
        <f>+IF('Data Pura Costos'!B1721="","",'Data Pura Costos'!B1721)</f>
        <v/>
      </c>
      <c r="C1721" s="4" t="str">
        <f>+IF('Data Pura Costos'!C1721="","",'Data Pura Costos'!C1721)</f>
        <v/>
      </c>
      <c r="D1721" s="5" t="str">
        <f>+IF('Data Pura Costos'!D1721="","",'Data Pura Costos'!D1721)</f>
        <v/>
      </c>
      <c r="E1721" s="65" t="str">
        <f>+IF('Data Pura Costos'!E1721="","",IF('Data Pura Costos'!E1721=0,MAX('Data Pura Costos'!$E$7:$E$3000)*1000,'Data Pura Costos'!E1721))</f>
        <v/>
      </c>
      <c r="F1721" s="5" t="str">
        <f>+IF('Data Pura Costos'!F1721="","",'Data Pura Costos'!F1721)</f>
        <v/>
      </c>
      <c r="G1721" s="5" t="str">
        <f>+IF('Data Pura Costos'!G1721="","",'Data Pura Costos'!G1721)</f>
        <v/>
      </c>
      <c r="H1721" s="52" t="str">
        <f>+IF('Data Pura Costos'!H1721="","",'Data Pura Costos'!H1721)</f>
        <v/>
      </c>
      <c r="I1721" s="71" t="str">
        <f>+IF('Data Pura Costos'!I1721="","",'Data Pura Costos'!I1721)</f>
        <v/>
      </c>
      <c r="J1721" s="52" t="str">
        <f>+IF('Data Pura Costos'!J1721="","",'Data Pura Costos'!J1721)</f>
        <v/>
      </c>
      <c r="K1721" s="82" t="str">
        <f t="shared" si="31"/>
        <v/>
      </c>
    </row>
    <row r="1722" spans="2:11" x14ac:dyDescent="0.35">
      <c r="B1722" s="4" t="str">
        <f>+IF('Data Pura Costos'!B1722="","",'Data Pura Costos'!B1722)</f>
        <v/>
      </c>
      <c r="C1722" s="4" t="str">
        <f>+IF('Data Pura Costos'!C1722="","",'Data Pura Costos'!C1722)</f>
        <v/>
      </c>
      <c r="D1722" s="5" t="str">
        <f>+IF('Data Pura Costos'!D1722="","",'Data Pura Costos'!D1722)</f>
        <v/>
      </c>
      <c r="E1722" s="65" t="str">
        <f>+IF('Data Pura Costos'!E1722="","",IF('Data Pura Costos'!E1722=0,MAX('Data Pura Costos'!$E$7:$E$3000)*1000,'Data Pura Costos'!E1722))</f>
        <v/>
      </c>
      <c r="F1722" s="5" t="str">
        <f>+IF('Data Pura Costos'!F1722="","",'Data Pura Costos'!F1722)</f>
        <v/>
      </c>
      <c r="G1722" s="5" t="str">
        <f>+IF('Data Pura Costos'!G1722="","",'Data Pura Costos'!G1722)</f>
        <v/>
      </c>
      <c r="H1722" s="52" t="str">
        <f>+IF('Data Pura Costos'!H1722="","",'Data Pura Costos'!H1722)</f>
        <v/>
      </c>
      <c r="I1722" s="71" t="str">
        <f>+IF('Data Pura Costos'!I1722="","",'Data Pura Costos'!I1722)</f>
        <v/>
      </c>
      <c r="J1722" s="52" t="str">
        <f>+IF('Data Pura Costos'!J1722="","",'Data Pura Costos'!J1722)</f>
        <v/>
      </c>
      <c r="K1722" s="82" t="str">
        <f t="shared" si="31"/>
        <v/>
      </c>
    </row>
    <row r="1723" spans="2:11" x14ac:dyDescent="0.35">
      <c r="B1723" s="4" t="str">
        <f>+IF('Data Pura Costos'!B1723="","",'Data Pura Costos'!B1723)</f>
        <v/>
      </c>
      <c r="C1723" s="4" t="str">
        <f>+IF('Data Pura Costos'!C1723="","",'Data Pura Costos'!C1723)</f>
        <v/>
      </c>
      <c r="D1723" s="5" t="str">
        <f>+IF('Data Pura Costos'!D1723="","",'Data Pura Costos'!D1723)</f>
        <v/>
      </c>
      <c r="E1723" s="65" t="str">
        <f>+IF('Data Pura Costos'!E1723="","",IF('Data Pura Costos'!E1723=0,MAX('Data Pura Costos'!$E$7:$E$3000)*1000,'Data Pura Costos'!E1723))</f>
        <v/>
      </c>
      <c r="F1723" s="5" t="str">
        <f>+IF('Data Pura Costos'!F1723="","",'Data Pura Costos'!F1723)</f>
        <v/>
      </c>
      <c r="G1723" s="5" t="str">
        <f>+IF('Data Pura Costos'!G1723="","",'Data Pura Costos'!G1723)</f>
        <v/>
      </c>
      <c r="H1723" s="52" t="str">
        <f>+IF('Data Pura Costos'!H1723="","",'Data Pura Costos'!H1723)</f>
        <v/>
      </c>
      <c r="I1723" s="71" t="str">
        <f>+IF('Data Pura Costos'!I1723="","",'Data Pura Costos'!I1723)</f>
        <v/>
      </c>
      <c r="J1723" s="52" t="str">
        <f>+IF('Data Pura Costos'!J1723="","",'Data Pura Costos'!J1723)</f>
        <v/>
      </c>
      <c r="K1723" s="82" t="str">
        <f t="shared" si="31"/>
        <v/>
      </c>
    </row>
    <row r="1724" spans="2:11" x14ac:dyDescent="0.35">
      <c r="B1724" s="4" t="str">
        <f>+IF('Data Pura Costos'!B1724="","",'Data Pura Costos'!B1724)</f>
        <v/>
      </c>
      <c r="C1724" s="4" t="str">
        <f>+IF('Data Pura Costos'!C1724="","",'Data Pura Costos'!C1724)</f>
        <v/>
      </c>
      <c r="D1724" s="5" t="str">
        <f>+IF('Data Pura Costos'!D1724="","",'Data Pura Costos'!D1724)</f>
        <v/>
      </c>
      <c r="E1724" s="65" t="str">
        <f>+IF('Data Pura Costos'!E1724="","",IF('Data Pura Costos'!E1724=0,MAX('Data Pura Costos'!$E$7:$E$3000)*1000,'Data Pura Costos'!E1724))</f>
        <v/>
      </c>
      <c r="F1724" s="5" t="str">
        <f>+IF('Data Pura Costos'!F1724="","",'Data Pura Costos'!F1724)</f>
        <v/>
      </c>
      <c r="G1724" s="5" t="str">
        <f>+IF('Data Pura Costos'!G1724="","",'Data Pura Costos'!G1724)</f>
        <v/>
      </c>
      <c r="H1724" s="52" t="str">
        <f>+IF('Data Pura Costos'!H1724="","",'Data Pura Costos'!H1724)</f>
        <v/>
      </c>
      <c r="I1724" s="71" t="str">
        <f>+IF('Data Pura Costos'!I1724="","",'Data Pura Costos'!I1724)</f>
        <v/>
      </c>
      <c r="J1724" s="52" t="str">
        <f>+IF('Data Pura Costos'!J1724="","",'Data Pura Costos'!J1724)</f>
        <v/>
      </c>
      <c r="K1724" s="82" t="str">
        <f t="shared" ref="K1724:K1787" si="32">+IF(B1724="","",CONCATENATE(B1724,"-",F1724,"-",G1724))</f>
        <v/>
      </c>
    </row>
    <row r="1725" spans="2:11" x14ac:dyDescent="0.35">
      <c r="B1725" s="4" t="str">
        <f>+IF('Data Pura Costos'!B1725="","",'Data Pura Costos'!B1725)</f>
        <v/>
      </c>
      <c r="C1725" s="4" t="str">
        <f>+IF('Data Pura Costos'!C1725="","",'Data Pura Costos'!C1725)</f>
        <v/>
      </c>
      <c r="D1725" s="5" t="str">
        <f>+IF('Data Pura Costos'!D1725="","",'Data Pura Costos'!D1725)</f>
        <v/>
      </c>
      <c r="E1725" s="65" t="str">
        <f>+IF('Data Pura Costos'!E1725="","",IF('Data Pura Costos'!E1725=0,MAX('Data Pura Costos'!$E$7:$E$3000)*1000,'Data Pura Costos'!E1725))</f>
        <v/>
      </c>
      <c r="F1725" s="5" t="str">
        <f>+IF('Data Pura Costos'!F1725="","",'Data Pura Costos'!F1725)</f>
        <v/>
      </c>
      <c r="G1725" s="5" t="str">
        <f>+IF('Data Pura Costos'!G1725="","",'Data Pura Costos'!G1725)</f>
        <v/>
      </c>
      <c r="H1725" s="52" t="str">
        <f>+IF('Data Pura Costos'!H1725="","",'Data Pura Costos'!H1725)</f>
        <v/>
      </c>
      <c r="I1725" s="71" t="str">
        <f>+IF('Data Pura Costos'!I1725="","",'Data Pura Costos'!I1725)</f>
        <v/>
      </c>
      <c r="J1725" s="52" t="str">
        <f>+IF('Data Pura Costos'!J1725="","",'Data Pura Costos'!J1725)</f>
        <v/>
      </c>
      <c r="K1725" s="82" t="str">
        <f t="shared" si="32"/>
        <v/>
      </c>
    </row>
    <row r="1726" spans="2:11" x14ac:dyDescent="0.35">
      <c r="B1726" s="4" t="str">
        <f>+IF('Data Pura Costos'!B1726="","",'Data Pura Costos'!B1726)</f>
        <v/>
      </c>
      <c r="C1726" s="4" t="str">
        <f>+IF('Data Pura Costos'!C1726="","",'Data Pura Costos'!C1726)</f>
        <v/>
      </c>
      <c r="D1726" s="5" t="str">
        <f>+IF('Data Pura Costos'!D1726="","",'Data Pura Costos'!D1726)</f>
        <v/>
      </c>
      <c r="E1726" s="65" t="str">
        <f>+IF('Data Pura Costos'!E1726="","",IF('Data Pura Costos'!E1726=0,MAX('Data Pura Costos'!$E$7:$E$3000)*1000,'Data Pura Costos'!E1726))</f>
        <v/>
      </c>
      <c r="F1726" s="5" t="str">
        <f>+IF('Data Pura Costos'!F1726="","",'Data Pura Costos'!F1726)</f>
        <v/>
      </c>
      <c r="G1726" s="5" t="str">
        <f>+IF('Data Pura Costos'!G1726="","",'Data Pura Costos'!G1726)</f>
        <v/>
      </c>
      <c r="H1726" s="52" t="str">
        <f>+IF('Data Pura Costos'!H1726="","",'Data Pura Costos'!H1726)</f>
        <v/>
      </c>
      <c r="I1726" s="71" t="str">
        <f>+IF('Data Pura Costos'!I1726="","",'Data Pura Costos'!I1726)</f>
        <v/>
      </c>
      <c r="J1726" s="52" t="str">
        <f>+IF('Data Pura Costos'!J1726="","",'Data Pura Costos'!J1726)</f>
        <v/>
      </c>
      <c r="K1726" s="82" t="str">
        <f t="shared" si="32"/>
        <v/>
      </c>
    </row>
    <row r="1727" spans="2:11" x14ac:dyDescent="0.35">
      <c r="B1727" s="4" t="str">
        <f>+IF('Data Pura Costos'!B1727="","",'Data Pura Costos'!B1727)</f>
        <v/>
      </c>
      <c r="C1727" s="4" t="str">
        <f>+IF('Data Pura Costos'!C1727="","",'Data Pura Costos'!C1727)</f>
        <v/>
      </c>
      <c r="D1727" s="5" t="str">
        <f>+IF('Data Pura Costos'!D1727="","",'Data Pura Costos'!D1727)</f>
        <v/>
      </c>
      <c r="E1727" s="65" t="str">
        <f>+IF('Data Pura Costos'!E1727="","",IF('Data Pura Costos'!E1727=0,MAX('Data Pura Costos'!$E$7:$E$3000)*1000,'Data Pura Costos'!E1727))</f>
        <v/>
      </c>
      <c r="F1727" s="5" t="str">
        <f>+IF('Data Pura Costos'!F1727="","",'Data Pura Costos'!F1727)</f>
        <v/>
      </c>
      <c r="G1727" s="5" t="str">
        <f>+IF('Data Pura Costos'!G1727="","",'Data Pura Costos'!G1727)</f>
        <v/>
      </c>
      <c r="H1727" s="52" t="str">
        <f>+IF('Data Pura Costos'!H1727="","",'Data Pura Costos'!H1727)</f>
        <v/>
      </c>
      <c r="I1727" s="71" t="str">
        <f>+IF('Data Pura Costos'!I1727="","",'Data Pura Costos'!I1727)</f>
        <v/>
      </c>
      <c r="J1727" s="52" t="str">
        <f>+IF('Data Pura Costos'!J1727="","",'Data Pura Costos'!J1727)</f>
        <v/>
      </c>
      <c r="K1727" s="82" t="str">
        <f t="shared" si="32"/>
        <v/>
      </c>
    </row>
    <row r="1728" spans="2:11" x14ac:dyDescent="0.35">
      <c r="B1728" s="4" t="str">
        <f>+IF('Data Pura Costos'!B1728="","",'Data Pura Costos'!B1728)</f>
        <v/>
      </c>
      <c r="C1728" s="4" t="str">
        <f>+IF('Data Pura Costos'!C1728="","",'Data Pura Costos'!C1728)</f>
        <v/>
      </c>
      <c r="D1728" s="5" t="str">
        <f>+IF('Data Pura Costos'!D1728="","",'Data Pura Costos'!D1728)</f>
        <v/>
      </c>
      <c r="E1728" s="65" t="str">
        <f>+IF('Data Pura Costos'!E1728="","",IF('Data Pura Costos'!E1728=0,MAX('Data Pura Costos'!$E$7:$E$3000)*1000,'Data Pura Costos'!E1728))</f>
        <v/>
      </c>
      <c r="F1728" s="5" t="str">
        <f>+IF('Data Pura Costos'!F1728="","",'Data Pura Costos'!F1728)</f>
        <v/>
      </c>
      <c r="G1728" s="5" t="str">
        <f>+IF('Data Pura Costos'!G1728="","",'Data Pura Costos'!G1728)</f>
        <v/>
      </c>
      <c r="H1728" s="52" t="str">
        <f>+IF('Data Pura Costos'!H1728="","",'Data Pura Costos'!H1728)</f>
        <v/>
      </c>
      <c r="I1728" s="71" t="str">
        <f>+IF('Data Pura Costos'!I1728="","",'Data Pura Costos'!I1728)</f>
        <v/>
      </c>
      <c r="J1728" s="52" t="str">
        <f>+IF('Data Pura Costos'!J1728="","",'Data Pura Costos'!J1728)</f>
        <v/>
      </c>
      <c r="K1728" s="82" t="str">
        <f t="shared" si="32"/>
        <v/>
      </c>
    </row>
    <row r="1729" spans="2:11" x14ac:dyDescent="0.35">
      <c r="B1729" s="4" t="str">
        <f>+IF('Data Pura Costos'!B1729="","",'Data Pura Costos'!B1729)</f>
        <v/>
      </c>
      <c r="C1729" s="4" t="str">
        <f>+IF('Data Pura Costos'!C1729="","",'Data Pura Costos'!C1729)</f>
        <v/>
      </c>
      <c r="D1729" s="5" t="str">
        <f>+IF('Data Pura Costos'!D1729="","",'Data Pura Costos'!D1729)</f>
        <v/>
      </c>
      <c r="E1729" s="65" t="str">
        <f>+IF('Data Pura Costos'!E1729="","",IF('Data Pura Costos'!E1729=0,MAX('Data Pura Costos'!$E$7:$E$3000)*1000,'Data Pura Costos'!E1729))</f>
        <v/>
      </c>
      <c r="F1729" s="5" t="str">
        <f>+IF('Data Pura Costos'!F1729="","",'Data Pura Costos'!F1729)</f>
        <v/>
      </c>
      <c r="G1729" s="5" t="str">
        <f>+IF('Data Pura Costos'!G1729="","",'Data Pura Costos'!G1729)</f>
        <v/>
      </c>
      <c r="H1729" s="52" t="str">
        <f>+IF('Data Pura Costos'!H1729="","",'Data Pura Costos'!H1729)</f>
        <v/>
      </c>
      <c r="I1729" s="71" t="str">
        <f>+IF('Data Pura Costos'!I1729="","",'Data Pura Costos'!I1729)</f>
        <v/>
      </c>
      <c r="J1729" s="52" t="str">
        <f>+IF('Data Pura Costos'!J1729="","",'Data Pura Costos'!J1729)</f>
        <v/>
      </c>
      <c r="K1729" s="82" t="str">
        <f t="shared" si="32"/>
        <v/>
      </c>
    </row>
    <row r="1730" spans="2:11" x14ac:dyDescent="0.35">
      <c r="B1730" s="4" t="str">
        <f>+IF('Data Pura Costos'!B1730="","",'Data Pura Costos'!B1730)</f>
        <v/>
      </c>
      <c r="C1730" s="4" t="str">
        <f>+IF('Data Pura Costos'!C1730="","",'Data Pura Costos'!C1730)</f>
        <v/>
      </c>
      <c r="D1730" s="5" t="str">
        <f>+IF('Data Pura Costos'!D1730="","",'Data Pura Costos'!D1730)</f>
        <v/>
      </c>
      <c r="E1730" s="65" t="str">
        <f>+IF('Data Pura Costos'!E1730="","",IF('Data Pura Costos'!E1730=0,MAX('Data Pura Costos'!$E$7:$E$3000)*1000,'Data Pura Costos'!E1730))</f>
        <v/>
      </c>
      <c r="F1730" s="5" t="str">
        <f>+IF('Data Pura Costos'!F1730="","",'Data Pura Costos'!F1730)</f>
        <v/>
      </c>
      <c r="G1730" s="5" t="str">
        <f>+IF('Data Pura Costos'!G1730="","",'Data Pura Costos'!G1730)</f>
        <v/>
      </c>
      <c r="H1730" s="52" t="str">
        <f>+IF('Data Pura Costos'!H1730="","",'Data Pura Costos'!H1730)</f>
        <v/>
      </c>
      <c r="I1730" s="71" t="str">
        <f>+IF('Data Pura Costos'!I1730="","",'Data Pura Costos'!I1730)</f>
        <v/>
      </c>
      <c r="J1730" s="52" t="str">
        <f>+IF('Data Pura Costos'!J1730="","",'Data Pura Costos'!J1730)</f>
        <v/>
      </c>
      <c r="K1730" s="82" t="str">
        <f t="shared" si="32"/>
        <v/>
      </c>
    </row>
    <row r="1731" spans="2:11" x14ac:dyDescent="0.35">
      <c r="B1731" s="4" t="str">
        <f>+IF('Data Pura Costos'!B1731="","",'Data Pura Costos'!B1731)</f>
        <v/>
      </c>
      <c r="C1731" s="4" t="str">
        <f>+IF('Data Pura Costos'!C1731="","",'Data Pura Costos'!C1731)</f>
        <v/>
      </c>
      <c r="D1731" s="5" t="str">
        <f>+IF('Data Pura Costos'!D1731="","",'Data Pura Costos'!D1731)</f>
        <v/>
      </c>
      <c r="E1731" s="65" t="str">
        <f>+IF('Data Pura Costos'!E1731="","",IF('Data Pura Costos'!E1731=0,MAX('Data Pura Costos'!$E$7:$E$3000)*1000,'Data Pura Costos'!E1731))</f>
        <v/>
      </c>
      <c r="F1731" s="5" t="str">
        <f>+IF('Data Pura Costos'!F1731="","",'Data Pura Costos'!F1731)</f>
        <v/>
      </c>
      <c r="G1731" s="5" t="str">
        <f>+IF('Data Pura Costos'!G1731="","",'Data Pura Costos'!G1731)</f>
        <v/>
      </c>
      <c r="H1731" s="52" t="str">
        <f>+IF('Data Pura Costos'!H1731="","",'Data Pura Costos'!H1731)</f>
        <v/>
      </c>
      <c r="I1731" s="71" t="str">
        <f>+IF('Data Pura Costos'!I1731="","",'Data Pura Costos'!I1731)</f>
        <v/>
      </c>
      <c r="J1731" s="52" t="str">
        <f>+IF('Data Pura Costos'!J1731="","",'Data Pura Costos'!J1731)</f>
        <v/>
      </c>
      <c r="K1731" s="82" t="str">
        <f t="shared" si="32"/>
        <v/>
      </c>
    </row>
    <row r="1732" spans="2:11" x14ac:dyDescent="0.35">
      <c r="B1732" s="4" t="str">
        <f>+IF('Data Pura Costos'!B1732="","",'Data Pura Costos'!B1732)</f>
        <v/>
      </c>
      <c r="C1732" s="4" t="str">
        <f>+IF('Data Pura Costos'!C1732="","",'Data Pura Costos'!C1732)</f>
        <v/>
      </c>
      <c r="D1732" s="5" t="str">
        <f>+IF('Data Pura Costos'!D1732="","",'Data Pura Costos'!D1732)</f>
        <v/>
      </c>
      <c r="E1732" s="65" t="str">
        <f>+IF('Data Pura Costos'!E1732="","",IF('Data Pura Costos'!E1732=0,MAX('Data Pura Costos'!$E$7:$E$3000)*1000,'Data Pura Costos'!E1732))</f>
        <v/>
      </c>
      <c r="F1732" s="5" t="str">
        <f>+IF('Data Pura Costos'!F1732="","",'Data Pura Costos'!F1732)</f>
        <v/>
      </c>
      <c r="G1732" s="5" t="str">
        <f>+IF('Data Pura Costos'!G1732="","",'Data Pura Costos'!G1732)</f>
        <v/>
      </c>
      <c r="H1732" s="52" t="str">
        <f>+IF('Data Pura Costos'!H1732="","",'Data Pura Costos'!H1732)</f>
        <v/>
      </c>
      <c r="I1732" s="71" t="str">
        <f>+IF('Data Pura Costos'!I1732="","",'Data Pura Costos'!I1732)</f>
        <v/>
      </c>
      <c r="J1732" s="52" t="str">
        <f>+IF('Data Pura Costos'!J1732="","",'Data Pura Costos'!J1732)</f>
        <v/>
      </c>
      <c r="K1732" s="82" t="str">
        <f t="shared" si="32"/>
        <v/>
      </c>
    </row>
    <row r="1733" spans="2:11" x14ac:dyDescent="0.35">
      <c r="B1733" s="4" t="str">
        <f>+IF('Data Pura Costos'!B1733="","",'Data Pura Costos'!B1733)</f>
        <v/>
      </c>
      <c r="C1733" s="4" t="str">
        <f>+IF('Data Pura Costos'!C1733="","",'Data Pura Costos'!C1733)</f>
        <v/>
      </c>
      <c r="D1733" s="5" t="str">
        <f>+IF('Data Pura Costos'!D1733="","",'Data Pura Costos'!D1733)</f>
        <v/>
      </c>
      <c r="E1733" s="65" t="str">
        <f>+IF('Data Pura Costos'!E1733="","",IF('Data Pura Costos'!E1733=0,MAX('Data Pura Costos'!$E$7:$E$3000)*1000,'Data Pura Costos'!E1733))</f>
        <v/>
      </c>
      <c r="F1733" s="5" t="str">
        <f>+IF('Data Pura Costos'!F1733="","",'Data Pura Costos'!F1733)</f>
        <v/>
      </c>
      <c r="G1733" s="5" t="str">
        <f>+IF('Data Pura Costos'!G1733="","",'Data Pura Costos'!G1733)</f>
        <v/>
      </c>
      <c r="H1733" s="52" t="str">
        <f>+IF('Data Pura Costos'!H1733="","",'Data Pura Costos'!H1733)</f>
        <v/>
      </c>
      <c r="I1733" s="71" t="str">
        <f>+IF('Data Pura Costos'!I1733="","",'Data Pura Costos'!I1733)</f>
        <v/>
      </c>
      <c r="J1733" s="52" t="str">
        <f>+IF('Data Pura Costos'!J1733="","",'Data Pura Costos'!J1733)</f>
        <v/>
      </c>
      <c r="K1733" s="82" t="str">
        <f t="shared" si="32"/>
        <v/>
      </c>
    </row>
    <row r="1734" spans="2:11" x14ac:dyDescent="0.35">
      <c r="B1734" s="4" t="str">
        <f>+IF('Data Pura Costos'!B1734="","",'Data Pura Costos'!B1734)</f>
        <v/>
      </c>
      <c r="C1734" s="4" t="str">
        <f>+IF('Data Pura Costos'!C1734="","",'Data Pura Costos'!C1734)</f>
        <v/>
      </c>
      <c r="D1734" s="5" t="str">
        <f>+IF('Data Pura Costos'!D1734="","",'Data Pura Costos'!D1734)</f>
        <v/>
      </c>
      <c r="E1734" s="65" t="str">
        <f>+IF('Data Pura Costos'!E1734="","",IF('Data Pura Costos'!E1734=0,MAX('Data Pura Costos'!$E$7:$E$3000)*1000,'Data Pura Costos'!E1734))</f>
        <v/>
      </c>
      <c r="F1734" s="5" t="str">
        <f>+IF('Data Pura Costos'!F1734="","",'Data Pura Costos'!F1734)</f>
        <v/>
      </c>
      <c r="G1734" s="5" t="str">
        <f>+IF('Data Pura Costos'!G1734="","",'Data Pura Costos'!G1734)</f>
        <v/>
      </c>
      <c r="H1734" s="52" t="str">
        <f>+IF('Data Pura Costos'!H1734="","",'Data Pura Costos'!H1734)</f>
        <v/>
      </c>
      <c r="I1734" s="71" t="str">
        <f>+IF('Data Pura Costos'!I1734="","",'Data Pura Costos'!I1734)</f>
        <v/>
      </c>
      <c r="J1734" s="52" t="str">
        <f>+IF('Data Pura Costos'!J1734="","",'Data Pura Costos'!J1734)</f>
        <v/>
      </c>
      <c r="K1734" s="82" t="str">
        <f t="shared" si="32"/>
        <v/>
      </c>
    </row>
    <row r="1735" spans="2:11" x14ac:dyDescent="0.35">
      <c r="B1735" s="4" t="str">
        <f>+IF('Data Pura Costos'!B1735="","",'Data Pura Costos'!B1735)</f>
        <v/>
      </c>
      <c r="C1735" s="4" t="str">
        <f>+IF('Data Pura Costos'!C1735="","",'Data Pura Costos'!C1735)</f>
        <v/>
      </c>
      <c r="D1735" s="5" t="str">
        <f>+IF('Data Pura Costos'!D1735="","",'Data Pura Costos'!D1735)</f>
        <v/>
      </c>
      <c r="E1735" s="65" t="str">
        <f>+IF('Data Pura Costos'!E1735="","",IF('Data Pura Costos'!E1735=0,MAX('Data Pura Costos'!$E$7:$E$3000)*1000,'Data Pura Costos'!E1735))</f>
        <v/>
      </c>
      <c r="F1735" s="5" t="str">
        <f>+IF('Data Pura Costos'!F1735="","",'Data Pura Costos'!F1735)</f>
        <v/>
      </c>
      <c r="G1735" s="5" t="str">
        <f>+IF('Data Pura Costos'!G1735="","",'Data Pura Costos'!G1735)</f>
        <v/>
      </c>
      <c r="H1735" s="52" t="str">
        <f>+IF('Data Pura Costos'!H1735="","",'Data Pura Costos'!H1735)</f>
        <v/>
      </c>
      <c r="I1735" s="71" t="str">
        <f>+IF('Data Pura Costos'!I1735="","",'Data Pura Costos'!I1735)</f>
        <v/>
      </c>
      <c r="J1735" s="52" t="str">
        <f>+IF('Data Pura Costos'!J1735="","",'Data Pura Costos'!J1735)</f>
        <v/>
      </c>
      <c r="K1735" s="82" t="str">
        <f t="shared" si="32"/>
        <v/>
      </c>
    </row>
    <row r="1736" spans="2:11" x14ac:dyDescent="0.35">
      <c r="B1736" s="4" t="str">
        <f>+IF('Data Pura Costos'!B1736="","",'Data Pura Costos'!B1736)</f>
        <v/>
      </c>
      <c r="C1736" s="4" t="str">
        <f>+IF('Data Pura Costos'!C1736="","",'Data Pura Costos'!C1736)</f>
        <v/>
      </c>
      <c r="D1736" s="5" t="str">
        <f>+IF('Data Pura Costos'!D1736="","",'Data Pura Costos'!D1736)</f>
        <v/>
      </c>
      <c r="E1736" s="65" t="str">
        <f>+IF('Data Pura Costos'!E1736="","",IF('Data Pura Costos'!E1736=0,MAX('Data Pura Costos'!$E$7:$E$3000)*1000,'Data Pura Costos'!E1736))</f>
        <v/>
      </c>
      <c r="F1736" s="5" t="str">
        <f>+IF('Data Pura Costos'!F1736="","",'Data Pura Costos'!F1736)</f>
        <v/>
      </c>
      <c r="G1736" s="5" t="str">
        <f>+IF('Data Pura Costos'!G1736="","",'Data Pura Costos'!G1736)</f>
        <v/>
      </c>
      <c r="H1736" s="52" t="str">
        <f>+IF('Data Pura Costos'!H1736="","",'Data Pura Costos'!H1736)</f>
        <v/>
      </c>
      <c r="I1736" s="71" t="str">
        <f>+IF('Data Pura Costos'!I1736="","",'Data Pura Costos'!I1736)</f>
        <v/>
      </c>
      <c r="J1736" s="52" t="str">
        <f>+IF('Data Pura Costos'!J1736="","",'Data Pura Costos'!J1736)</f>
        <v/>
      </c>
      <c r="K1736" s="82" t="str">
        <f t="shared" si="32"/>
        <v/>
      </c>
    </row>
    <row r="1737" spans="2:11" x14ac:dyDescent="0.35">
      <c r="B1737" s="4" t="str">
        <f>+IF('Data Pura Costos'!B1737="","",'Data Pura Costos'!B1737)</f>
        <v/>
      </c>
      <c r="C1737" s="4" t="str">
        <f>+IF('Data Pura Costos'!C1737="","",'Data Pura Costos'!C1737)</f>
        <v/>
      </c>
      <c r="D1737" s="5" t="str">
        <f>+IF('Data Pura Costos'!D1737="","",'Data Pura Costos'!D1737)</f>
        <v/>
      </c>
      <c r="E1737" s="65" t="str">
        <f>+IF('Data Pura Costos'!E1737="","",IF('Data Pura Costos'!E1737=0,MAX('Data Pura Costos'!$E$7:$E$3000)*1000,'Data Pura Costos'!E1737))</f>
        <v/>
      </c>
      <c r="F1737" s="5" t="str">
        <f>+IF('Data Pura Costos'!F1737="","",'Data Pura Costos'!F1737)</f>
        <v/>
      </c>
      <c r="G1737" s="5" t="str">
        <f>+IF('Data Pura Costos'!G1737="","",'Data Pura Costos'!G1737)</f>
        <v/>
      </c>
      <c r="H1737" s="52" t="str">
        <f>+IF('Data Pura Costos'!H1737="","",'Data Pura Costos'!H1737)</f>
        <v/>
      </c>
      <c r="I1737" s="71" t="str">
        <f>+IF('Data Pura Costos'!I1737="","",'Data Pura Costos'!I1737)</f>
        <v/>
      </c>
      <c r="J1737" s="52" t="str">
        <f>+IF('Data Pura Costos'!J1737="","",'Data Pura Costos'!J1737)</f>
        <v/>
      </c>
      <c r="K1737" s="82" t="str">
        <f t="shared" si="32"/>
        <v/>
      </c>
    </row>
    <row r="1738" spans="2:11" x14ac:dyDescent="0.35">
      <c r="B1738" s="4" t="str">
        <f>+IF('Data Pura Costos'!B1738="","",'Data Pura Costos'!B1738)</f>
        <v/>
      </c>
      <c r="C1738" s="4" t="str">
        <f>+IF('Data Pura Costos'!C1738="","",'Data Pura Costos'!C1738)</f>
        <v/>
      </c>
      <c r="D1738" s="5" t="str">
        <f>+IF('Data Pura Costos'!D1738="","",'Data Pura Costos'!D1738)</f>
        <v/>
      </c>
      <c r="E1738" s="65" t="str">
        <f>+IF('Data Pura Costos'!E1738="","",IF('Data Pura Costos'!E1738=0,MAX('Data Pura Costos'!$E$7:$E$3000)*1000,'Data Pura Costos'!E1738))</f>
        <v/>
      </c>
      <c r="F1738" s="5" t="str">
        <f>+IF('Data Pura Costos'!F1738="","",'Data Pura Costos'!F1738)</f>
        <v/>
      </c>
      <c r="G1738" s="5" t="str">
        <f>+IF('Data Pura Costos'!G1738="","",'Data Pura Costos'!G1738)</f>
        <v/>
      </c>
      <c r="H1738" s="52" t="str">
        <f>+IF('Data Pura Costos'!H1738="","",'Data Pura Costos'!H1738)</f>
        <v/>
      </c>
      <c r="I1738" s="71" t="str">
        <f>+IF('Data Pura Costos'!I1738="","",'Data Pura Costos'!I1738)</f>
        <v/>
      </c>
      <c r="J1738" s="52" t="str">
        <f>+IF('Data Pura Costos'!J1738="","",'Data Pura Costos'!J1738)</f>
        <v/>
      </c>
      <c r="K1738" s="82" t="str">
        <f t="shared" si="32"/>
        <v/>
      </c>
    </row>
    <row r="1739" spans="2:11" x14ac:dyDescent="0.35">
      <c r="B1739" s="4" t="str">
        <f>+IF('Data Pura Costos'!B1739="","",'Data Pura Costos'!B1739)</f>
        <v/>
      </c>
      <c r="C1739" s="4" t="str">
        <f>+IF('Data Pura Costos'!C1739="","",'Data Pura Costos'!C1739)</f>
        <v/>
      </c>
      <c r="D1739" s="5" t="str">
        <f>+IF('Data Pura Costos'!D1739="","",'Data Pura Costos'!D1739)</f>
        <v/>
      </c>
      <c r="E1739" s="65" t="str">
        <f>+IF('Data Pura Costos'!E1739="","",IF('Data Pura Costos'!E1739=0,MAX('Data Pura Costos'!$E$7:$E$3000)*1000,'Data Pura Costos'!E1739))</f>
        <v/>
      </c>
      <c r="F1739" s="5" t="str">
        <f>+IF('Data Pura Costos'!F1739="","",'Data Pura Costos'!F1739)</f>
        <v/>
      </c>
      <c r="G1739" s="5" t="str">
        <f>+IF('Data Pura Costos'!G1739="","",'Data Pura Costos'!G1739)</f>
        <v/>
      </c>
      <c r="H1739" s="52" t="str">
        <f>+IF('Data Pura Costos'!H1739="","",'Data Pura Costos'!H1739)</f>
        <v/>
      </c>
      <c r="I1739" s="71" t="str">
        <f>+IF('Data Pura Costos'!I1739="","",'Data Pura Costos'!I1739)</f>
        <v/>
      </c>
      <c r="J1739" s="52" t="str">
        <f>+IF('Data Pura Costos'!J1739="","",'Data Pura Costos'!J1739)</f>
        <v/>
      </c>
      <c r="K1739" s="82" t="str">
        <f t="shared" si="32"/>
        <v/>
      </c>
    </row>
    <row r="1740" spans="2:11" x14ac:dyDescent="0.35">
      <c r="B1740" s="4" t="str">
        <f>+IF('Data Pura Costos'!B1740="","",'Data Pura Costos'!B1740)</f>
        <v/>
      </c>
      <c r="C1740" s="4" t="str">
        <f>+IF('Data Pura Costos'!C1740="","",'Data Pura Costos'!C1740)</f>
        <v/>
      </c>
      <c r="D1740" s="5" t="str">
        <f>+IF('Data Pura Costos'!D1740="","",'Data Pura Costos'!D1740)</f>
        <v/>
      </c>
      <c r="E1740" s="65" t="str">
        <f>+IF('Data Pura Costos'!E1740="","",IF('Data Pura Costos'!E1740=0,MAX('Data Pura Costos'!$E$7:$E$3000)*1000,'Data Pura Costos'!E1740))</f>
        <v/>
      </c>
      <c r="F1740" s="5" t="str">
        <f>+IF('Data Pura Costos'!F1740="","",'Data Pura Costos'!F1740)</f>
        <v/>
      </c>
      <c r="G1740" s="5" t="str">
        <f>+IF('Data Pura Costos'!G1740="","",'Data Pura Costos'!G1740)</f>
        <v/>
      </c>
      <c r="H1740" s="52" t="str">
        <f>+IF('Data Pura Costos'!H1740="","",'Data Pura Costos'!H1740)</f>
        <v/>
      </c>
      <c r="I1740" s="71" t="str">
        <f>+IF('Data Pura Costos'!I1740="","",'Data Pura Costos'!I1740)</f>
        <v/>
      </c>
      <c r="J1740" s="52" t="str">
        <f>+IF('Data Pura Costos'!J1740="","",'Data Pura Costos'!J1740)</f>
        <v/>
      </c>
      <c r="K1740" s="82" t="str">
        <f t="shared" si="32"/>
        <v/>
      </c>
    </row>
    <row r="1741" spans="2:11" x14ac:dyDescent="0.35">
      <c r="B1741" s="4" t="str">
        <f>+IF('Data Pura Costos'!B1741="","",'Data Pura Costos'!B1741)</f>
        <v/>
      </c>
      <c r="C1741" s="4" t="str">
        <f>+IF('Data Pura Costos'!C1741="","",'Data Pura Costos'!C1741)</f>
        <v/>
      </c>
      <c r="D1741" s="5" t="str">
        <f>+IF('Data Pura Costos'!D1741="","",'Data Pura Costos'!D1741)</f>
        <v/>
      </c>
      <c r="E1741" s="65" t="str">
        <f>+IF('Data Pura Costos'!E1741="","",IF('Data Pura Costos'!E1741=0,MAX('Data Pura Costos'!$E$7:$E$3000)*1000,'Data Pura Costos'!E1741))</f>
        <v/>
      </c>
      <c r="F1741" s="5" t="str">
        <f>+IF('Data Pura Costos'!F1741="","",'Data Pura Costos'!F1741)</f>
        <v/>
      </c>
      <c r="G1741" s="5" t="str">
        <f>+IF('Data Pura Costos'!G1741="","",'Data Pura Costos'!G1741)</f>
        <v/>
      </c>
      <c r="H1741" s="52" t="str">
        <f>+IF('Data Pura Costos'!H1741="","",'Data Pura Costos'!H1741)</f>
        <v/>
      </c>
      <c r="I1741" s="71" t="str">
        <f>+IF('Data Pura Costos'!I1741="","",'Data Pura Costos'!I1741)</f>
        <v/>
      </c>
      <c r="J1741" s="52" t="str">
        <f>+IF('Data Pura Costos'!J1741="","",'Data Pura Costos'!J1741)</f>
        <v/>
      </c>
      <c r="K1741" s="82" t="str">
        <f t="shared" si="32"/>
        <v/>
      </c>
    </row>
    <row r="1742" spans="2:11" x14ac:dyDescent="0.35">
      <c r="B1742" s="4" t="str">
        <f>+IF('Data Pura Costos'!B1742="","",'Data Pura Costos'!B1742)</f>
        <v/>
      </c>
      <c r="C1742" s="4" t="str">
        <f>+IF('Data Pura Costos'!C1742="","",'Data Pura Costos'!C1742)</f>
        <v/>
      </c>
      <c r="D1742" s="5" t="str">
        <f>+IF('Data Pura Costos'!D1742="","",'Data Pura Costos'!D1742)</f>
        <v/>
      </c>
      <c r="E1742" s="65" t="str">
        <f>+IF('Data Pura Costos'!E1742="","",IF('Data Pura Costos'!E1742=0,MAX('Data Pura Costos'!$E$7:$E$3000)*1000,'Data Pura Costos'!E1742))</f>
        <v/>
      </c>
      <c r="F1742" s="5" t="str">
        <f>+IF('Data Pura Costos'!F1742="","",'Data Pura Costos'!F1742)</f>
        <v/>
      </c>
      <c r="G1742" s="5" t="str">
        <f>+IF('Data Pura Costos'!G1742="","",'Data Pura Costos'!G1742)</f>
        <v/>
      </c>
      <c r="H1742" s="52" t="str">
        <f>+IF('Data Pura Costos'!H1742="","",'Data Pura Costos'!H1742)</f>
        <v/>
      </c>
      <c r="I1742" s="71" t="str">
        <f>+IF('Data Pura Costos'!I1742="","",'Data Pura Costos'!I1742)</f>
        <v/>
      </c>
      <c r="J1742" s="52" t="str">
        <f>+IF('Data Pura Costos'!J1742="","",'Data Pura Costos'!J1742)</f>
        <v/>
      </c>
      <c r="K1742" s="82" t="str">
        <f t="shared" si="32"/>
        <v/>
      </c>
    </row>
    <row r="1743" spans="2:11" x14ac:dyDescent="0.35">
      <c r="B1743" s="4" t="str">
        <f>+IF('Data Pura Costos'!B1743="","",'Data Pura Costos'!B1743)</f>
        <v/>
      </c>
      <c r="C1743" s="4" t="str">
        <f>+IF('Data Pura Costos'!C1743="","",'Data Pura Costos'!C1743)</f>
        <v/>
      </c>
      <c r="D1743" s="5" t="str">
        <f>+IF('Data Pura Costos'!D1743="","",'Data Pura Costos'!D1743)</f>
        <v/>
      </c>
      <c r="E1743" s="65" t="str">
        <f>+IF('Data Pura Costos'!E1743="","",IF('Data Pura Costos'!E1743=0,MAX('Data Pura Costos'!$E$7:$E$3000)*1000,'Data Pura Costos'!E1743))</f>
        <v/>
      </c>
      <c r="F1743" s="5" t="str">
        <f>+IF('Data Pura Costos'!F1743="","",'Data Pura Costos'!F1743)</f>
        <v/>
      </c>
      <c r="G1743" s="5" t="str">
        <f>+IF('Data Pura Costos'!G1743="","",'Data Pura Costos'!G1743)</f>
        <v/>
      </c>
      <c r="H1743" s="52" t="str">
        <f>+IF('Data Pura Costos'!H1743="","",'Data Pura Costos'!H1743)</f>
        <v/>
      </c>
      <c r="I1743" s="71" t="str">
        <f>+IF('Data Pura Costos'!I1743="","",'Data Pura Costos'!I1743)</f>
        <v/>
      </c>
      <c r="J1743" s="52" t="str">
        <f>+IF('Data Pura Costos'!J1743="","",'Data Pura Costos'!J1743)</f>
        <v/>
      </c>
      <c r="K1743" s="82" t="str">
        <f t="shared" si="32"/>
        <v/>
      </c>
    </row>
    <row r="1744" spans="2:11" x14ac:dyDescent="0.35">
      <c r="B1744" s="4" t="str">
        <f>+IF('Data Pura Costos'!B1744="","",'Data Pura Costos'!B1744)</f>
        <v/>
      </c>
      <c r="C1744" s="4" t="str">
        <f>+IF('Data Pura Costos'!C1744="","",'Data Pura Costos'!C1744)</f>
        <v/>
      </c>
      <c r="D1744" s="5" t="str">
        <f>+IF('Data Pura Costos'!D1744="","",'Data Pura Costos'!D1744)</f>
        <v/>
      </c>
      <c r="E1744" s="65" t="str">
        <f>+IF('Data Pura Costos'!E1744="","",IF('Data Pura Costos'!E1744=0,MAX('Data Pura Costos'!$E$7:$E$3000)*1000,'Data Pura Costos'!E1744))</f>
        <v/>
      </c>
      <c r="F1744" s="5" t="str">
        <f>+IF('Data Pura Costos'!F1744="","",'Data Pura Costos'!F1744)</f>
        <v/>
      </c>
      <c r="G1744" s="5" t="str">
        <f>+IF('Data Pura Costos'!G1744="","",'Data Pura Costos'!G1744)</f>
        <v/>
      </c>
      <c r="H1744" s="52" t="str">
        <f>+IF('Data Pura Costos'!H1744="","",'Data Pura Costos'!H1744)</f>
        <v/>
      </c>
      <c r="I1744" s="71" t="str">
        <f>+IF('Data Pura Costos'!I1744="","",'Data Pura Costos'!I1744)</f>
        <v/>
      </c>
      <c r="J1744" s="52" t="str">
        <f>+IF('Data Pura Costos'!J1744="","",'Data Pura Costos'!J1744)</f>
        <v/>
      </c>
      <c r="K1744" s="82" t="str">
        <f t="shared" si="32"/>
        <v/>
      </c>
    </row>
    <row r="1745" spans="2:11" x14ac:dyDescent="0.35">
      <c r="B1745" s="4" t="str">
        <f>+IF('Data Pura Costos'!B1745="","",'Data Pura Costos'!B1745)</f>
        <v/>
      </c>
      <c r="C1745" s="4" t="str">
        <f>+IF('Data Pura Costos'!C1745="","",'Data Pura Costos'!C1745)</f>
        <v/>
      </c>
      <c r="D1745" s="5" t="str">
        <f>+IF('Data Pura Costos'!D1745="","",'Data Pura Costos'!D1745)</f>
        <v/>
      </c>
      <c r="E1745" s="65" t="str">
        <f>+IF('Data Pura Costos'!E1745="","",IF('Data Pura Costos'!E1745=0,MAX('Data Pura Costos'!$E$7:$E$3000)*1000,'Data Pura Costos'!E1745))</f>
        <v/>
      </c>
      <c r="F1745" s="5" t="str">
        <f>+IF('Data Pura Costos'!F1745="","",'Data Pura Costos'!F1745)</f>
        <v/>
      </c>
      <c r="G1745" s="5" t="str">
        <f>+IF('Data Pura Costos'!G1745="","",'Data Pura Costos'!G1745)</f>
        <v/>
      </c>
      <c r="H1745" s="52" t="str">
        <f>+IF('Data Pura Costos'!H1745="","",'Data Pura Costos'!H1745)</f>
        <v/>
      </c>
      <c r="I1745" s="71" t="str">
        <f>+IF('Data Pura Costos'!I1745="","",'Data Pura Costos'!I1745)</f>
        <v/>
      </c>
      <c r="J1745" s="52" t="str">
        <f>+IF('Data Pura Costos'!J1745="","",'Data Pura Costos'!J1745)</f>
        <v/>
      </c>
      <c r="K1745" s="82" t="str">
        <f t="shared" si="32"/>
        <v/>
      </c>
    </row>
    <row r="1746" spans="2:11" x14ac:dyDescent="0.35">
      <c r="B1746" s="4" t="str">
        <f>+IF('Data Pura Costos'!B1746="","",'Data Pura Costos'!B1746)</f>
        <v/>
      </c>
      <c r="C1746" s="4" t="str">
        <f>+IF('Data Pura Costos'!C1746="","",'Data Pura Costos'!C1746)</f>
        <v/>
      </c>
      <c r="D1746" s="5" t="str">
        <f>+IF('Data Pura Costos'!D1746="","",'Data Pura Costos'!D1746)</f>
        <v/>
      </c>
      <c r="E1746" s="65" t="str">
        <f>+IF('Data Pura Costos'!E1746="","",IF('Data Pura Costos'!E1746=0,MAX('Data Pura Costos'!$E$7:$E$3000)*1000,'Data Pura Costos'!E1746))</f>
        <v/>
      </c>
      <c r="F1746" s="5" t="str">
        <f>+IF('Data Pura Costos'!F1746="","",'Data Pura Costos'!F1746)</f>
        <v/>
      </c>
      <c r="G1746" s="5" t="str">
        <f>+IF('Data Pura Costos'!G1746="","",'Data Pura Costos'!G1746)</f>
        <v/>
      </c>
      <c r="H1746" s="52" t="str">
        <f>+IF('Data Pura Costos'!H1746="","",'Data Pura Costos'!H1746)</f>
        <v/>
      </c>
      <c r="I1746" s="71" t="str">
        <f>+IF('Data Pura Costos'!I1746="","",'Data Pura Costos'!I1746)</f>
        <v/>
      </c>
      <c r="J1746" s="52" t="str">
        <f>+IF('Data Pura Costos'!J1746="","",'Data Pura Costos'!J1746)</f>
        <v/>
      </c>
      <c r="K1746" s="82" t="str">
        <f t="shared" si="32"/>
        <v/>
      </c>
    </row>
    <row r="1747" spans="2:11" x14ac:dyDescent="0.35">
      <c r="B1747" s="4" t="str">
        <f>+IF('Data Pura Costos'!B1747="","",'Data Pura Costos'!B1747)</f>
        <v/>
      </c>
      <c r="C1747" s="4" t="str">
        <f>+IF('Data Pura Costos'!C1747="","",'Data Pura Costos'!C1747)</f>
        <v/>
      </c>
      <c r="D1747" s="5" t="str">
        <f>+IF('Data Pura Costos'!D1747="","",'Data Pura Costos'!D1747)</f>
        <v/>
      </c>
      <c r="E1747" s="65" t="str">
        <f>+IF('Data Pura Costos'!E1747="","",IF('Data Pura Costos'!E1747=0,MAX('Data Pura Costos'!$E$7:$E$3000)*1000,'Data Pura Costos'!E1747))</f>
        <v/>
      </c>
      <c r="F1747" s="5" t="str">
        <f>+IF('Data Pura Costos'!F1747="","",'Data Pura Costos'!F1747)</f>
        <v/>
      </c>
      <c r="G1747" s="5" t="str">
        <f>+IF('Data Pura Costos'!G1747="","",'Data Pura Costos'!G1747)</f>
        <v/>
      </c>
      <c r="H1747" s="52" t="str">
        <f>+IF('Data Pura Costos'!H1747="","",'Data Pura Costos'!H1747)</f>
        <v/>
      </c>
      <c r="I1747" s="71" t="str">
        <f>+IF('Data Pura Costos'!I1747="","",'Data Pura Costos'!I1747)</f>
        <v/>
      </c>
      <c r="J1747" s="52" t="str">
        <f>+IF('Data Pura Costos'!J1747="","",'Data Pura Costos'!J1747)</f>
        <v/>
      </c>
      <c r="K1747" s="82" t="str">
        <f t="shared" si="32"/>
        <v/>
      </c>
    </row>
    <row r="1748" spans="2:11" x14ac:dyDescent="0.35">
      <c r="B1748" s="4" t="str">
        <f>+IF('Data Pura Costos'!B1748="","",'Data Pura Costos'!B1748)</f>
        <v/>
      </c>
      <c r="C1748" s="4" t="str">
        <f>+IF('Data Pura Costos'!C1748="","",'Data Pura Costos'!C1748)</f>
        <v/>
      </c>
      <c r="D1748" s="5" t="str">
        <f>+IF('Data Pura Costos'!D1748="","",'Data Pura Costos'!D1748)</f>
        <v/>
      </c>
      <c r="E1748" s="65" t="str">
        <f>+IF('Data Pura Costos'!E1748="","",IF('Data Pura Costos'!E1748=0,MAX('Data Pura Costos'!$E$7:$E$3000)*1000,'Data Pura Costos'!E1748))</f>
        <v/>
      </c>
      <c r="F1748" s="5" t="str">
        <f>+IF('Data Pura Costos'!F1748="","",'Data Pura Costos'!F1748)</f>
        <v/>
      </c>
      <c r="G1748" s="5" t="str">
        <f>+IF('Data Pura Costos'!G1748="","",'Data Pura Costos'!G1748)</f>
        <v/>
      </c>
      <c r="H1748" s="52" t="str">
        <f>+IF('Data Pura Costos'!H1748="","",'Data Pura Costos'!H1748)</f>
        <v/>
      </c>
      <c r="I1748" s="71" t="str">
        <f>+IF('Data Pura Costos'!I1748="","",'Data Pura Costos'!I1748)</f>
        <v/>
      </c>
      <c r="J1748" s="52" t="str">
        <f>+IF('Data Pura Costos'!J1748="","",'Data Pura Costos'!J1748)</f>
        <v/>
      </c>
      <c r="K1748" s="82" t="str">
        <f t="shared" si="32"/>
        <v/>
      </c>
    </row>
    <row r="1749" spans="2:11" x14ac:dyDescent="0.35">
      <c r="B1749" s="4" t="str">
        <f>+IF('Data Pura Costos'!B1749="","",'Data Pura Costos'!B1749)</f>
        <v/>
      </c>
      <c r="C1749" s="4" t="str">
        <f>+IF('Data Pura Costos'!C1749="","",'Data Pura Costos'!C1749)</f>
        <v/>
      </c>
      <c r="D1749" s="5" t="str">
        <f>+IF('Data Pura Costos'!D1749="","",'Data Pura Costos'!D1749)</f>
        <v/>
      </c>
      <c r="E1749" s="65" t="str">
        <f>+IF('Data Pura Costos'!E1749="","",IF('Data Pura Costos'!E1749=0,MAX('Data Pura Costos'!$E$7:$E$3000)*1000,'Data Pura Costos'!E1749))</f>
        <v/>
      </c>
      <c r="F1749" s="5" t="str">
        <f>+IF('Data Pura Costos'!F1749="","",'Data Pura Costos'!F1749)</f>
        <v/>
      </c>
      <c r="G1749" s="5" t="str">
        <f>+IF('Data Pura Costos'!G1749="","",'Data Pura Costos'!G1749)</f>
        <v/>
      </c>
      <c r="H1749" s="52" t="str">
        <f>+IF('Data Pura Costos'!H1749="","",'Data Pura Costos'!H1749)</f>
        <v/>
      </c>
      <c r="I1749" s="71" t="str">
        <f>+IF('Data Pura Costos'!I1749="","",'Data Pura Costos'!I1749)</f>
        <v/>
      </c>
      <c r="J1749" s="52" t="str">
        <f>+IF('Data Pura Costos'!J1749="","",'Data Pura Costos'!J1749)</f>
        <v/>
      </c>
      <c r="K1749" s="82" t="str">
        <f t="shared" si="32"/>
        <v/>
      </c>
    </row>
    <row r="1750" spans="2:11" x14ac:dyDescent="0.35">
      <c r="B1750" s="4" t="str">
        <f>+IF('Data Pura Costos'!B1750="","",'Data Pura Costos'!B1750)</f>
        <v/>
      </c>
      <c r="C1750" s="4" t="str">
        <f>+IF('Data Pura Costos'!C1750="","",'Data Pura Costos'!C1750)</f>
        <v/>
      </c>
      <c r="D1750" s="5" t="str">
        <f>+IF('Data Pura Costos'!D1750="","",'Data Pura Costos'!D1750)</f>
        <v/>
      </c>
      <c r="E1750" s="65" t="str">
        <f>+IF('Data Pura Costos'!E1750="","",IF('Data Pura Costos'!E1750=0,MAX('Data Pura Costos'!$E$7:$E$3000)*1000,'Data Pura Costos'!E1750))</f>
        <v/>
      </c>
      <c r="F1750" s="5" t="str">
        <f>+IF('Data Pura Costos'!F1750="","",'Data Pura Costos'!F1750)</f>
        <v/>
      </c>
      <c r="G1750" s="5" t="str">
        <f>+IF('Data Pura Costos'!G1750="","",'Data Pura Costos'!G1750)</f>
        <v/>
      </c>
      <c r="H1750" s="52" t="str">
        <f>+IF('Data Pura Costos'!H1750="","",'Data Pura Costos'!H1750)</f>
        <v/>
      </c>
      <c r="I1750" s="71" t="str">
        <f>+IF('Data Pura Costos'!I1750="","",'Data Pura Costos'!I1750)</f>
        <v/>
      </c>
      <c r="J1750" s="52" t="str">
        <f>+IF('Data Pura Costos'!J1750="","",'Data Pura Costos'!J1750)</f>
        <v/>
      </c>
      <c r="K1750" s="82" t="str">
        <f t="shared" si="32"/>
        <v/>
      </c>
    </row>
    <row r="1751" spans="2:11" x14ac:dyDescent="0.35">
      <c r="B1751" s="4" t="str">
        <f>+IF('Data Pura Costos'!B1751="","",'Data Pura Costos'!B1751)</f>
        <v/>
      </c>
      <c r="C1751" s="4" t="str">
        <f>+IF('Data Pura Costos'!C1751="","",'Data Pura Costos'!C1751)</f>
        <v/>
      </c>
      <c r="D1751" s="5" t="str">
        <f>+IF('Data Pura Costos'!D1751="","",'Data Pura Costos'!D1751)</f>
        <v/>
      </c>
      <c r="E1751" s="65" t="str">
        <f>+IF('Data Pura Costos'!E1751="","",IF('Data Pura Costos'!E1751=0,MAX('Data Pura Costos'!$E$7:$E$3000)*1000,'Data Pura Costos'!E1751))</f>
        <v/>
      </c>
      <c r="F1751" s="5" t="str">
        <f>+IF('Data Pura Costos'!F1751="","",'Data Pura Costos'!F1751)</f>
        <v/>
      </c>
      <c r="G1751" s="5" t="str">
        <f>+IF('Data Pura Costos'!G1751="","",'Data Pura Costos'!G1751)</f>
        <v/>
      </c>
      <c r="H1751" s="52" t="str">
        <f>+IF('Data Pura Costos'!H1751="","",'Data Pura Costos'!H1751)</f>
        <v/>
      </c>
      <c r="I1751" s="71" t="str">
        <f>+IF('Data Pura Costos'!I1751="","",'Data Pura Costos'!I1751)</f>
        <v/>
      </c>
      <c r="J1751" s="52" t="str">
        <f>+IF('Data Pura Costos'!J1751="","",'Data Pura Costos'!J1751)</f>
        <v/>
      </c>
      <c r="K1751" s="82" t="str">
        <f t="shared" si="32"/>
        <v/>
      </c>
    </row>
    <row r="1752" spans="2:11" x14ac:dyDescent="0.35">
      <c r="B1752" s="4" t="str">
        <f>+IF('Data Pura Costos'!B1752="","",'Data Pura Costos'!B1752)</f>
        <v/>
      </c>
      <c r="C1752" s="4" t="str">
        <f>+IF('Data Pura Costos'!C1752="","",'Data Pura Costos'!C1752)</f>
        <v/>
      </c>
      <c r="D1752" s="5" t="str">
        <f>+IF('Data Pura Costos'!D1752="","",'Data Pura Costos'!D1752)</f>
        <v/>
      </c>
      <c r="E1752" s="65" t="str">
        <f>+IF('Data Pura Costos'!E1752="","",IF('Data Pura Costos'!E1752=0,MAX('Data Pura Costos'!$E$7:$E$3000)*1000,'Data Pura Costos'!E1752))</f>
        <v/>
      </c>
      <c r="F1752" s="5" t="str">
        <f>+IF('Data Pura Costos'!F1752="","",'Data Pura Costos'!F1752)</f>
        <v/>
      </c>
      <c r="G1752" s="5" t="str">
        <f>+IF('Data Pura Costos'!G1752="","",'Data Pura Costos'!G1752)</f>
        <v/>
      </c>
      <c r="H1752" s="52" t="str">
        <f>+IF('Data Pura Costos'!H1752="","",'Data Pura Costos'!H1752)</f>
        <v/>
      </c>
      <c r="I1752" s="71" t="str">
        <f>+IF('Data Pura Costos'!I1752="","",'Data Pura Costos'!I1752)</f>
        <v/>
      </c>
      <c r="J1752" s="52" t="str">
        <f>+IF('Data Pura Costos'!J1752="","",'Data Pura Costos'!J1752)</f>
        <v/>
      </c>
      <c r="K1752" s="82" t="str">
        <f t="shared" si="32"/>
        <v/>
      </c>
    </row>
    <row r="1753" spans="2:11" x14ac:dyDescent="0.35">
      <c r="B1753" s="4" t="str">
        <f>+IF('Data Pura Costos'!B1753="","",'Data Pura Costos'!B1753)</f>
        <v/>
      </c>
      <c r="C1753" s="4" t="str">
        <f>+IF('Data Pura Costos'!C1753="","",'Data Pura Costos'!C1753)</f>
        <v/>
      </c>
      <c r="D1753" s="5" t="str">
        <f>+IF('Data Pura Costos'!D1753="","",'Data Pura Costos'!D1753)</f>
        <v/>
      </c>
      <c r="E1753" s="65" t="str">
        <f>+IF('Data Pura Costos'!E1753="","",IF('Data Pura Costos'!E1753=0,MAX('Data Pura Costos'!$E$7:$E$3000)*1000,'Data Pura Costos'!E1753))</f>
        <v/>
      </c>
      <c r="F1753" s="5" t="str">
        <f>+IF('Data Pura Costos'!F1753="","",'Data Pura Costos'!F1753)</f>
        <v/>
      </c>
      <c r="G1753" s="5" t="str">
        <f>+IF('Data Pura Costos'!G1753="","",'Data Pura Costos'!G1753)</f>
        <v/>
      </c>
      <c r="H1753" s="52" t="str">
        <f>+IF('Data Pura Costos'!H1753="","",'Data Pura Costos'!H1753)</f>
        <v/>
      </c>
      <c r="I1753" s="71" t="str">
        <f>+IF('Data Pura Costos'!I1753="","",'Data Pura Costos'!I1753)</f>
        <v/>
      </c>
      <c r="J1753" s="52" t="str">
        <f>+IF('Data Pura Costos'!J1753="","",'Data Pura Costos'!J1753)</f>
        <v/>
      </c>
      <c r="K1753" s="82" t="str">
        <f t="shared" si="32"/>
        <v/>
      </c>
    </row>
    <row r="1754" spans="2:11" x14ac:dyDescent="0.35">
      <c r="B1754" s="4" t="str">
        <f>+IF('Data Pura Costos'!B1754="","",'Data Pura Costos'!B1754)</f>
        <v/>
      </c>
      <c r="C1754" s="4" t="str">
        <f>+IF('Data Pura Costos'!C1754="","",'Data Pura Costos'!C1754)</f>
        <v/>
      </c>
      <c r="D1754" s="5" t="str">
        <f>+IF('Data Pura Costos'!D1754="","",'Data Pura Costos'!D1754)</f>
        <v/>
      </c>
      <c r="E1754" s="65" t="str">
        <f>+IF('Data Pura Costos'!E1754="","",IF('Data Pura Costos'!E1754=0,MAX('Data Pura Costos'!$E$7:$E$3000)*1000,'Data Pura Costos'!E1754))</f>
        <v/>
      </c>
      <c r="F1754" s="5" t="str">
        <f>+IF('Data Pura Costos'!F1754="","",'Data Pura Costos'!F1754)</f>
        <v/>
      </c>
      <c r="G1754" s="5" t="str">
        <f>+IF('Data Pura Costos'!G1754="","",'Data Pura Costos'!G1754)</f>
        <v/>
      </c>
      <c r="H1754" s="52" t="str">
        <f>+IF('Data Pura Costos'!H1754="","",'Data Pura Costos'!H1754)</f>
        <v/>
      </c>
      <c r="I1754" s="71" t="str">
        <f>+IF('Data Pura Costos'!I1754="","",'Data Pura Costos'!I1754)</f>
        <v/>
      </c>
      <c r="J1754" s="52" t="str">
        <f>+IF('Data Pura Costos'!J1754="","",'Data Pura Costos'!J1754)</f>
        <v/>
      </c>
      <c r="K1754" s="82" t="str">
        <f t="shared" si="32"/>
        <v/>
      </c>
    </row>
    <row r="1755" spans="2:11" x14ac:dyDescent="0.35">
      <c r="B1755" s="4" t="str">
        <f>+IF('Data Pura Costos'!B1755="","",'Data Pura Costos'!B1755)</f>
        <v/>
      </c>
      <c r="C1755" s="4" t="str">
        <f>+IF('Data Pura Costos'!C1755="","",'Data Pura Costos'!C1755)</f>
        <v/>
      </c>
      <c r="D1755" s="5" t="str">
        <f>+IF('Data Pura Costos'!D1755="","",'Data Pura Costos'!D1755)</f>
        <v/>
      </c>
      <c r="E1755" s="65" t="str">
        <f>+IF('Data Pura Costos'!E1755="","",IF('Data Pura Costos'!E1755=0,MAX('Data Pura Costos'!$E$7:$E$3000)*1000,'Data Pura Costos'!E1755))</f>
        <v/>
      </c>
      <c r="F1755" s="5" t="str">
        <f>+IF('Data Pura Costos'!F1755="","",'Data Pura Costos'!F1755)</f>
        <v/>
      </c>
      <c r="G1755" s="5" t="str">
        <f>+IF('Data Pura Costos'!G1755="","",'Data Pura Costos'!G1755)</f>
        <v/>
      </c>
      <c r="H1755" s="52" t="str">
        <f>+IF('Data Pura Costos'!H1755="","",'Data Pura Costos'!H1755)</f>
        <v/>
      </c>
      <c r="I1755" s="71" t="str">
        <f>+IF('Data Pura Costos'!I1755="","",'Data Pura Costos'!I1755)</f>
        <v/>
      </c>
      <c r="J1755" s="52" t="str">
        <f>+IF('Data Pura Costos'!J1755="","",'Data Pura Costos'!J1755)</f>
        <v/>
      </c>
      <c r="K1755" s="82" t="str">
        <f t="shared" si="32"/>
        <v/>
      </c>
    </row>
    <row r="1756" spans="2:11" x14ac:dyDescent="0.35">
      <c r="B1756" s="4" t="str">
        <f>+IF('Data Pura Costos'!B1756="","",'Data Pura Costos'!B1756)</f>
        <v/>
      </c>
      <c r="C1756" s="4" t="str">
        <f>+IF('Data Pura Costos'!C1756="","",'Data Pura Costos'!C1756)</f>
        <v/>
      </c>
      <c r="D1756" s="5" t="str">
        <f>+IF('Data Pura Costos'!D1756="","",'Data Pura Costos'!D1756)</f>
        <v/>
      </c>
      <c r="E1756" s="65" t="str">
        <f>+IF('Data Pura Costos'!E1756="","",IF('Data Pura Costos'!E1756=0,MAX('Data Pura Costos'!$E$7:$E$3000)*1000,'Data Pura Costos'!E1756))</f>
        <v/>
      </c>
      <c r="F1756" s="5" t="str">
        <f>+IF('Data Pura Costos'!F1756="","",'Data Pura Costos'!F1756)</f>
        <v/>
      </c>
      <c r="G1756" s="5" t="str">
        <f>+IF('Data Pura Costos'!G1756="","",'Data Pura Costos'!G1756)</f>
        <v/>
      </c>
      <c r="H1756" s="52" t="str">
        <f>+IF('Data Pura Costos'!H1756="","",'Data Pura Costos'!H1756)</f>
        <v/>
      </c>
      <c r="I1756" s="71" t="str">
        <f>+IF('Data Pura Costos'!I1756="","",'Data Pura Costos'!I1756)</f>
        <v/>
      </c>
      <c r="J1756" s="52" t="str">
        <f>+IF('Data Pura Costos'!J1756="","",'Data Pura Costos'!J1756)</f>
        <v/>
      </c>
      <c r="K1756" s="82" t="str">
        <f t="shared" si="32"/>
        <v/>
      </c>
    </row>
    <row r="1757" spans="2:11" x14ac:dyDescent="0.35">
      <c r="B1757" s="4" t="str">
        <f>+IF('Data Pura Costos'!B1757="","",'Data Pura Costos'!B1757)</f>
        <v/>
      </c>
      <c r="C1757" s="4" t="str">
        <f>+IF('Data Pura Costos'!C1757="","",'Data Pura Costos'!C1757)</f>
        <v/>
      </c>
      <c r="D1757" s="5" t="str">
        <f>+IF('Data Pura Costos'!D1757="","",'Data Pura Costos'!D1757)</f>
        <v/>
      </c>
      <c r="E1757" s="65" t="str">
        <f>+IF('Data Pura Costos'!E1757="","",IF('Data Pura Costos'!E1757=0,MAX('Data Pura Costos'!$E$7:$E$3000)*1000,'Data Pura Costos'!E1757))</f>
        <v/>
      </c>
      <c r="F1757" s="5" t="str">
        <f>+IF('Data Pura Costos'!F1757="","",'Data Pura Costos'!F1757)</f>
        <v/>
      </c>
      <c r="G1757" s="5" t="str">
        <f>+IF('Data Pura Costos'!G1757="","",'Data Pura Costos'!G1757)</f>
        <v/>
      </c>
      <c r="H1757" s="52" t="str">
        <f>+IF('Data Pura Costos'!H1757="","",'Data Pura Costos'!H1757)</f>
        <v/>
      </c>
      <c r="I1757" s="71" t="str">
        <f>+IF('Data Pura Costos'!I1757="","",'Data Pura Costos'!I1757)</f>
        <v/>
      </c>
      <c r="J1757" s="52" t="str">
        <f>+IF('Data Pura Costos'!J1757="","",'Data Pura Costos'!J1757)</f>
        <v/>
      </c>
      <c r="K1757" s="82" t="str">
        <f t="shared" si="32"/>
        <v/>
      </c>
    </row>
    <row r="1758" spans="2:11" x14ac:dyDescent="0.35">
      <c r="B1758" s="4" t="str">
        <f>+IF('Data Pura Costos'!B1758="","",'Data Pura Costos'!B1758)</f>
        <v/>
      </c>
      <c r="C1758" s="4" t="str">
        <f>+IF('Data Pura Costos'!C1758="","",'Data Pura Costos'!C1758)</f>
        <v/>
      </c>
      <c r="D1758" s="5" t="str">
        <f>+IF('Data Pura Costos'!D1758="","",'Data Pura Costos'!D1758)</f>
        <v/>
      </c>
      <c r="E1758" s="65" t="str">
        <f>+IF('Data Pura Costos'!E1758="","",IF('Data Pura Costos'!E1758=0,MAX('Data Pura Costos'!$E$7:$E$3000)*1000,'Data Pura Costos'!E1758))</f>
        <v/>
      </c>
      <c r="F1758" s="5" t="str">
        <f>+IF('Data Pura Costos'!F1758="","",'Data Pura Costos'!F1758)</f>
        <v/>
      </c>
      <c r="G1758" s="5" t="str">
        <f>+IF('Data Pura Costos'!G1758="","",'Data Pura Costos'!G1758)</f>
        <v/>
      </c>
      <c r="H1758" s="52" t="str">
        <f>+IF('Data Pura Costos'!H1758="","",'Data Pura Costos'!H1758)</f>
        <v/>
      </c>
      <c r="I1758" s="71" t="str">
        <f>+IF('Data Pura Costos'!I1758="","",'Data Pura Costos'!I1758)</f>
        <v/>
      </c>
      <c r="J1758" s="52" t="str">
        <f>+IF('Data Pura Costos'!J1758="","",'Data Pura Costos'!J1758)</f>
        <v/>
      </c>
      <c r="K1758" s="82" t="str">
        <f t="shared" si="32"/>
        <v/>
      </c>
    </row>
    <row r="1759" spans="2:11" x14ac:dyDescent="0.35">
      <c r="B1759" s="4" t="str">
        <f>+IF('Data Pura Costos'!B1759="","",'Data Pura Costos'!B1759)</f>
        <v/>
      </c>
      <c r="C1759" s="4" t="str">
        <f>+IF('Data Pura Costos'!C1759="","",'Data Pura Costos'!C1759)</f>
        <v/>
      </c>
      <c r="D1759" s="5" t="str">
        <f>+IF('Data Pura Costos'!D1759="","",'Data Pura Costos'!D1759)</f>
        <v/>
      </c>
      <c r="E1759" s="65" t="str">
        <f>+IF('Data Pura Costos'!E1759="","",IF('Data Pura Costos'!E1759=0,MAX('Data Pura Costos'!$E$7:$E$3000)*1000,'Data Pura Costos'!E1759))</f>
        <v/>
      </c>
      <c r="F1759" s="5" t="str">
        <f>+IF('Data Pura Costos'!F1759="","",'Data Pura Costos'!F1759)</f>
        <v/>
      </c>
      <c r="G1759" s="5" t="str">
        <f>+IF('Data Pura Costos'!G1759="","",'Data Pura Costos'!G1759)</f>
        <v/>
      </c>
      <c r="H1759" s="52" t="str">
        <f>+IF('Data Pura Costos'!H1759="","",'Data Pura Costos'!H1759)</f>
        <v/>
      </c>
      <c r="I1759" s="71" t="str">
        <f>+IF('Data Pura Costos'!I1759="","",'Data Pura Costos'!I1759)</f>
        <v/>
      </c>
      <c r="J1759" s="52" t="str">
        <f>+IF('Data Pura Costos'!J1759="","",'Data Pura Costos'!J1759)</f>
        <v/>
      </c>
      <c r="K1759" s="82" t="str">
        <f t="shared" si="32"/>
        <v/>
      </c>
    </row>
    <row r="1760" spans="2:11" x14ac:dyDescent="0.35">
      <c r="B1760" s="4" t="str">
        <f>+IF('Data Pura Costos'!B1760="","",'Data Pura Costos'!B1760)</f>
        <v/>
      </c>
      <c r="C1760" s="4" t="str">
        <f>+IF('Data Pura Costos'!C1760="","",'Data Pura Costos'!C1760)</f>
        <v/>
      </c>
      <c r="D1760" s="5" t="str">
        <f>+IF('Data Pura Costos'!D1760="","",'Data Pura Costos'!D1760)</f>
        <v/>
      </c>
      <c r="E1760" s="65" t="str">
        <f>+IF('Data Pura Costos'!E1760="","",IF('Data Pura Costos'!E1760=0,MAX('Data Pura Costos'!$E$7:$E$3000)*1000,'Data Pura Costos'!E1760))</f>
        <v/>
      </c>
      <c r="F1760" s="5" t="str">
        <f>+IF('Data Pura Costos'!F1760="","",'Data Pura Costos'!F1760)</f>
        <v/>
      </c>
      <c r="G1760" s="5" t="str">
        <f>+IF('Data Pura Costos'!G1760="","",'Data Pura Costos'!G1760)</f>
        <v/>
      </c>
      <c r="H1760" s="52" t="str">
        <f>+IF('Data Pura Costos'!H1760="","",'Data Pura Costos'!H1760)</f>
        <v/>
      </c>
      <c r="I1760" s="71" t="str">
        <f>+IF('Data Pura Costos'!I1760="","",'Data Pura Costos'!I1760)</f>
        <v/>
      </c>
      <c r="J1760" s="52" t="str">
        <f>+IF('Data Pura Costos'!J1760="","",'Data Pura Costos'!J1760)</f>
        <v/>
      </c>
      <c r="K1760" s="82" t="str">
        <f t="shared" si="32"/>
        <v/>
      </c>
    </row>
    <row r="1761" spans="2:11" x14ac:dyDescent="0.35">
      <c r="B1761" s="4" t="str">
        <f>+IF('Data Pura Costos'!B1761="","",'Data Pura Costos'!B1761)</f>
        <v/>
      </c>
      <c r="C1761" s="4" t="str">
        <f>+IF('Data Pura Costos'!C1761="","",'Data Pura Costos'!C1761)</f>
        <v/>
      </c>
      <c r="D1761" s="5" t="str">
        <f>+IF('Data Pura Costos'!D1761="","",'Data Pura Costos'!D1761)</f>
        <v/>
      </c>
      <c r="E1761" s="65" t="str">
        <f>+IF('Data Pura Costos'!E1761="","",IF('Data Pura Costos'!E1761=0,MAX('Data Pura Costos'!$E$7:$E$3000)*1000,'Data Pura Costos'!E1761))</f>
        <v/>
      </c>
      <c r="F1761" s="5" t="str">
        <f>+IF('Data Pura Costos'!F1761="","",'Data Pura Costos'!F1761)</f>
        <v/>
      </c>
      <c r="G1761" s="5" t="str">
        <f>+IF('Data Pura Costos'!G1761="","",'Data Pura Costos'!G1761)</f>
        <v/>
      </c>
      <c r="H1761" s="52" t="str">
        <f>+IF('Data Pura Costos'!H1761="","",'Data Pura Costos'!H1761)</f>
        <v/>
      </c>
      <c r="I1761" s="71" t="str">
        <f>+IF('Data Pura Costos'!I1761="","",'Data Pura Costos'!I1761)</f>
        <v/>
      </c>
      <c r="J1761" s="52" t="str">
        <f>+IF('Data Pura Costos'!J1761="","",'Data Pura Costos'!J1761)</f>
        <v/>
      </c>
      <c r="K1761" s="82" t="str">
        <f t="shared" si="32"/>
        <v/>
      </c>
    </row>
    <row r="1762" spans="2:11" x14ac:dyDescent="0.35">
      <c r="B1762" s="4" t="str">
        <f>+IF('Data Pura Costos'!B1762="","",'Data Pura Costos'!B1762)</f>
        <v/>
      </c>
      <c r="C1762" s="4" t="str">
        <f>+IF('Data Pura Costos'!C1762="","",'Data Pura Costos'!C1762)</f>
        <v/>
      </c>
      <c r="D1762" s="5" t="str">
        <f>+IF('Data Pura Costos'!D1762="","",'Data Pura Costos'!D1762)</f>
        <v/>
      </c>
      <c r="E1762" s="65" t="str">
        <f>+IF('Data Pura Costos'!E1762="","",IF('Data Pura Costos'!E1762=0,MAX('Data Pura Costos'!$E$7:$E$3000)*1000,'Data Pura Costos'!E1762))</f>
        <v/>
      </c>
      <c r="F1762" s="5" t="str">
        <f>+IF('Data Pura Costos'!F1762="","",'Data Pura Costos'!F1762)</f>
        <v/>
      </c>
      <c r="G1762" s="5" t="str">
        <f>+IF('Data Pura Costos'!G1762="","",'Data Pura Costos'!G1762)</f>
        <v/>
      </c>
      <c r="H1762" s="52" t="str">
        <f>+IF('Data Pura Costos'!H1762="","",'Data Pura Costos'!H1762)</f>
        <v/>
      </c>
      <c r="I1762" s="71" t="str">
        <f>+IF('Data Pura Costos'!I1762="","",'Data Pura Costos'!I1762)</f>
        <v/>
      </c>
      <c r="J1762" s="52" t="str">
        <f>+IF('Data Pura Costos'!J1762="","",'Data Pura Costos'!J1762)</f>
        <v/>
      </c>
      <c r="K1762" s="82" t="str">
        <f t="shared" si="32"/>
        <v/>
      </c>
    </row>
    <row r="1763" spans="2:11" x14ac:dyDescent="0.35">
      <c r="B1763" s="4" t="str">
        <f>+IF('Data Pura Costos'!B1763="","",'Data Pura Costos'!B1763)</f>
        <v/>
      </c>
      <c r="C1763" s="4" t="str">
        <f>+IF('Data Pura Costos'!C1763="","",'Data Pura Costos'!C1763)</f>
        <v/>
      </c>
      <c r="D1763" s="5" t="str">
        <f>+IF('Data Pura Costos'!D1763="","",'Data Pura Costos'!D1763)</f>
        <v/>
      </c>
      <c r="E1763" s="65" t="str">
        <f>+IF('Data Pura Costos'!E1763="","",IF('Data Pura Costos'!E1763=0,MAX('Data Pura Costos'!$E$7:$E$3000)*1000,'Data Pura Costos'!E1763))</f>
        <v/>
      </c>
      <c r="F1763" s="5" t="str">
        <f>+IF('Data Pura Costos'!F1763="","",'Data Pura Costos'!F1763)</f>
        <v/>
      </c>
      <c r="G1763" s="5" t="str">
        <f>+IF('Data Pura Costos'!G1763="","",'Data Pura Costos'!G1763)</f>
        <v/>
      </c>
      <c r="H1763" s="52" t="str">
        <f>+IF('Data Pura Costos'!H1763="","",'Data Pura Costos'!H1763)</f>
        <v/>
      </c>
      <c r="I1763" s="71" t="str">
        <f>+IF('Data Pura Costos'!I1763="","",'Data Pura Costos'!I1763)</f>
        <v/>
      </c>
      <c r="J1763" s="52" t="str">
        <f>+IF('Data Pura Costos'!J1763="","",'Data Pura Costos'!J1763)</f>
        <v/>
      </c>
      <c r="K1763" s="82" t="str">
        <f t="shared" si="32"/>
        <v/>
      </c>
    </row>
    <row r="1764" spans="2:11" x14ac:dyDescent="0.35">
      <c r="B1764" s="4" t="str">
        <f>+IF('Data Pura Costos'!B1764="","",'Data Pura Costos'!B1764)</f>
        <v/>
      </c>
      <c r="C1764" s="4" t="str">
        <f>+IF('Data Pura Costos'!C1764="","",'Data Pura Costos'!C1764)</f>
        <v/>
      </c>
      <c r="D1764" s="5" t="str">
        <f>+IF('Data Pura Costos'!D1764="","",'Data Pura Costos'!D1764)</f>
        <v/>
      </c>
      <c r="E1764" s="65" t="str">
        <f>+IF('Data Pura Costos'!E1764="","",IF('Data Pura Costos'!E1764=0,MAX('Data Pura Costos'!$E$7:$E$3000)*1000,'Data Pura Costos'!E1764))</f>
        <v/>
      </c>
      <c r="F1764" s="5" t="str">
        <f>+IF('Data Pura Costos'!F1764="","",'Data Pura Costos'!F1764)</f>
        <v/>
      </c>
      <c r="G1764" s="5" t="str">
        <f>+IF('Data Pura Costos'!G1764="","",'Data Pura Costos'!G1764)</f>
        <v/>
      </c>
      <c r="H1764" s="52" t="str">
        <f>+IF('Data Pura Costos'!H1764="","",'Data Pura Costos'!H1764)</f>
        <v/>
      </c>
      <c r="I1764" s="71" t="str">
        <f>+IF('Data Pura Costos'!I1764="","",'Data Pura Costos'!I1764)</f>
        <v/>
      </c>
      <c r="J1764" s="52" t="str">
        <f>+IF('Data Pura Costos'!J1764="","",'Data Pura Costos'!J1764)</f>
        <v/>
      </c>
      <c r="K1764" s="82" t="str">
        <f t="shared" si="32"/>
        <v/>
      </c>
    </row>
    <row r="1765" spans="2:11" x14ac:dyDescent="0.35">
      <c r="B1765" s="4" t="str">
        <f>+IF('Data Pura Costos'!B1765="","",'Data Pura Costos'!B1765)</f>
        <v/>
      </c>
      <c r="C1765" s="4" t="str">
        <f>+IF('Data Pura Costos'!C1765="","",'Data Pura Costos'!C1765)</f>
        <v/>
      </c>
      <c r="D1765" s="5" t="str">
        <f>+IF('Data Pura Costos'!D1765="","",'Data Pura Costos'!D1765)</f>
        <v/>
      </c>
      <c r="E1765" s="65" t="str">
        <f>+IF('Data Pura Costos'!E1765="","",IF('Data Pura Costos'!E1765=0,MAX('Data Pura Costos'!$E$7:$E$3000)*1000,'Data Pura Costos'!E1765))</f>
        <v/>
      </c>
      <c r="F1765" s="5" t="str">
        <f>+IF('Data Pura Costos'!F1765="","",'Data Pura Costos'!F1765)</f>
        <v/>
      </c>
      <c r="G1765" s="5" t="str">
        <f>+IF('Data Pura Costos'!G1765="","",'Data Pura Costos'!G1765)</f>
        <v/>
      </c>
      <c r="H1765" s="52" t="str">
        <f>+IF('Data Pura Costos'!H1765="","",'Data Pura Costos'!H1765)</f>
        <v/>
      </c>
      <c r="I1765" s="71" t="str">
        <f>+IF('Data Pura Costos'!I1765="","",'Data Pura Costos'!I1765)</f>
        <v/>
      </c>
      <c r="J1765" s="52" t="str">
        <f>+IF('Data Pura Costos'!J1765="","",'Data Pura Costos'!J1765)</f>
        <v/>
      </c>
      <c r="K1765" s="82" t="str">
        <f t="shared" si="32"/>
        <v/>
      </c>
    </row>
    <row r="1766" spans="2:11" x14ac:dyDescent="0.35">
      <c r="B1766" s="4" t="str">
        <f>+IF('Data Pura Costos'!B1766="","",'Data Pura Costos'!B1766)</f>
        <v/>
      </c>
      <c r="C1766" s="4" t="str">
        <f>+IF('Data Pura Costos'!C1766="","",'Data Pura Costos'!C1766)</f>
        <v/>
      </c>
      <c r="D1766" s="5" t="str">
        <f>+IF('Data Pura Costos'!D1766="","",'Data Pura Costos'!D1766)</f>
        <v/>
      </c>
      <c r="E1766" s="65" t="str">
        <f>+IF('Data Pura Costos'!E1766="","",IF('Data Pura Costos'!E1766=0,MAX('Data Pura Costos'!$E$7:$E$3000)*1000,'Data Pura Costos'!E1766))</f>
        <v/>
      </c>
      <c r="F1766" s="5" t="str">
        <f>+IF('Data Pura Costos'!F1766="","",'Data Pura Costos'!F1766)</f>
        <v/>
      </c>
      <c r="G1766" s="5" t="str">
        <f>+IF('Data Pura Costos'!G1766="","",'Data Pura Costos'!G1766)</f>
        <v/>
      </c>
      <c r="H1766" s="52" t="str">
        <f>+IF('Data Pura Costos'!H1766="","",'Data Pura Costos'!H1766)</f>
        <v/>
      </c>
      <c r="I1766" s="71" t="str">
        <f>+IF('Data Pura Costos'!I1766="","",'Data Pura Costos'!I1766)</f>
        <v/>
      </c>
      <c r="J1766" s="52" t="str">
        <f>+IF('Data Pura Costos'!J1766="","",'Data Pura Costos'!J1766)</f>
        <v/>
      </c>
      <c r="K1766" s="82" t="str">
        <f t="shared" si="32"/>
        <v/>
      </c>
    </row>
    <row r="1767" spans="2:11" x14ac:dyDescent="0.35">
      <c r="B1767" s="4" t="str">
        <f>+IF('Data Pura Costos'!B1767="","",'Data Pura Costos'!B1767)</f>
        <v/>
      </c>
      <c r="C1767" s="4" t="str">
        <f>+IF('Data Pura Costos'!C1767="","",'Data Pura Costos'!C1767)</f>
        <v/>
      </c>
      <c r="D1767" s="5" t="str">
        <f>+IF('Data Pura Costos'!D1767="","",'Data Pura Costos'!D1767)</f>
        <v/>
      </c>
      <c r="E1767" s="65" t="str">
        <f>+IF('Data Pura Costos'!E1767="","",IF('Data Pura Costos'!E1767=0,MAX('Data Pura Costos'!$E$7:$E$3000)*1000,'Data Pura Costos'!E1767))</f>
        <v/>
      </c>
      <c r="F1767" s="5" t="str">
        <f>+IF('Data Pura Costos'!F1767="","",'Data Pura Costos'!F1767)</f>
        <v/>
      </c>
      <c r="G1767" s="5" t="str">
        <f>+IF('Data Pura Costos'!G1767="","",'Data Pura Costos'!G1767)</f>
        <v/>
      </c>
      <c r="H1767" s="52" t="str">
        <f>+IF('Data Pura Costos'!H1767="","",'Data Pura Costos'!H1767)</f>
        <v/>
      </c>
      <c r="I1767" s="71" t="str">
        <f>+IF('Data Pura Costos'!I1767="","",'Data Pura Costos'!I1767)</f>
        <v/>
      </c>
      <c r="J1767" s="52" t="str">
        <f>+IF('Data Pura Costos'!J1767="","",'Data Pura Costos'!J1767)</f>
        <v/>
      </c>
      <c r="K1767" s="82" t="str">
        <f t="shared" si="32"/>
        <v/>
      </c>
    </row>
    <row r="1768" spans="2:11" x14ac:dyDescent="0.35">
      <c r="B1768" s="4" t="str">
        <f>+IF('Data Pura Costos'!B1768="","",'Data Pura Costos'!B1768)</f>
        <v/>
      </c>
      <c r="C1768" s="4" t="str">
        <f>+IF('Data Pura Costos'!C1768="","",'Data Pura Costos'!C1768)</f>
        <v/>
      </c>
      <c r="D1768" s="5" t="str">
        <f>+IF('Data Pura Costos'!D1768="","",'Data Pura Costos'!D1768)</f>
        <v/>
      </c>
      <c r="E1768" s="65" t="str">
        <f>+IF('Data Pura Costos'!E1768="","",IF('Data Pura Costos'!E1768=0,MAX('Data Pura Costos'!$E$7:$E$3000)*1000,'Data Pura Costos'!E1768))</f>
        <v/>
      </c>
      <c r="F1768" s="5" t="str">
        <f>+IF('Data Pura Costos'!F1768="","",'Data Pura Costos'!F1768)</f>
        <v/>
      </c>
      <c r="G1768" s="5" t="str">
        <f>+IF('Data Pura Costos'!G1768="","",'Data Pura Costos'!G1768)</f>
        <v/>
      </c>
      <c r="H1768" s="52" t="str">
        <f>+IF('Data Pura Costos'!H1768="","",'Data Pura Costos'!H1768)</f>
        <v/>
      </c>
      <c r="I1768" s="71" t="str">
        <f>+IF('Data Pura Costos'!I1768="","",'Data Pura Costos'!I1768)</f>
        <v/>
      </c>
      <c r="J1768" s="52" t="str">
        <f>+IF('Data Pura Costos'!J1768="","",'Data Pura Costos'!J1768)</f>
        <v/>
      </c>
      <c r="K1768" s="82" t="str">
        <f t="shared" si="32"/>
        <v/>
      </c>
    </row>
    <row r="1769" spans="2:11" x14ac:dyDescent="0.35">
      <c r="B1769" s="4" t="str">
        <f>+IF('Data Pura Costos'!B1769="","",'Data Pura Costos'!B1769)</f>
        <v/>
      </c>
      <c r="C1769" s="4" t="str">
        <f>+IF('Data Pura Costos'!C1769="","",'Data Pura Costos'!C1769)</f>
        <v/>
      </c>
      <c r="D1769" s="5" t="str">
        <f>+IF('Data Pura Costos'!D1769="","",'Data Pura Costos'!D1769)</f>
        <v/>
      </c>
      <c r="E1769" s="65" t="str">
        <f>+IF('Data Pura Costos'!E1769="","",IF('Data Pura Costos'!E1769=0,MAX('Data Pura Costos'!$E$7:$E$3000)*1000,'Data Pura Costos'!E1769))</f>
        <v/>
      </c>
      <c r="F1769" s="5" t="str">
        <f>+IF('Data Pura Costos'!F1769="","",'Data Pura Costos'!F1769)</f>
        <v/>
      </c>
      <c r="G1769" s="5" t="str">
        <f>+IF('Data Pura Costos'!G1769="","",'Data Pura Costos'!G1769)</f>
        <v/>
      </c>
      <c r="H1769" s="52" t="str">
        <f>+IF('Data Pura Costos'!H1769="","",'Data Pura Costos'!H1769)</f>
        <v/>
      </c>
      <c r="I1769" s="71" t="str">
        <f>+IF('Data Pura Costos'!I1769="","",'Data Pura Costos'!I1769)</f>
        <v/>
      </c>
      <c r="J1769" s="52" t="str">
        <f>+IF('Data Pura Costos'!J1769="","",'Data Pura Costos'!J1769)</f>
        <v/>
      </c>
      <c r="K1769" s="82" t="str">
        <f t="shared" si="32"/>
        <v/>
      </c>
    </row>
    <row r="1770" spans="2:11" x14ac:dyDescent="0.35">
      <c r="B1770" s="4" t="str">
        <f>+IF('Data Pura Costos'!B1770="","",'Data Pura Costos'!B1770)</f>
        <v/>
      </c>
      <c r="C1770" s="4" t="str">
        <f>+IF('Data Pura Costos'!C1770="","",'Data Pura Costos'!C1770)</f>
        <v/>
      </c>
      <c r="D1770" s="5" t="str">
        <f>+IF('Data Pura Costos'!D1770="","",'Data Pura Costos'!D1770)</f>
        <v/>
      </c>
      <c r="E1770" s="65" t="str">
        <f>+IF('Data Pura Costos'!E1770="","",IF('Data Pura Costos'!E1770=0,MAX('Data Pura Costos'!$E$7:$E$3000)*1000,'Data Pura Costos'!E1770))</f>
        <v/>
      </c>
      <c r="F1770" s="5" t="str">
        <f>+IF('Data Pura Costos'!F1770="","",'Data Pura Costos'!F1770)</f>
        <v/>
      </c>
      <c r="G1770" s="5" t="str">
        <f>+IF('Data Pura Costos'!G1770="","",'Data Pura Costos'!G1770)</f>
        <v/>
      </c>
      <c r="H1770" s="52" t="str">
        <f>+IF('Data Pura Costos'!H1770="","",'Data Pura Costos'!H1770)</f>
        <v/>
      </c>
      <c r="I1770" s="71" t="str">
        <f>+IF('Data Pura Costos'!I1770="","",'Data Pura Costos'!I1770)</f>
        <v/>
      </c>
      <c r="J1770" s="52" t="str">
        <f>+IF('Data Pura Costos'!J1770="","",'Data Pura Costos'!J1770)</f>
        <v/>
      </c>
      <c r="K1770" s="82" t="str">
        <f t="shared" si="32"/>
        <v/>
      </c>
    </row>
    <row r="1771" spans="2:11" x14ac:dyDescent="0.35">
      <c r="B1771" s="4" t="str">
        <f>+IF('Data Pura Costos'!B1771="","",'Data Pura Costos'!B1771)</f>
        <v/>
      </c>
      <c r="C1771" s="4" t="str">
        <f>+IF('Data Pura Costos'!C1771="","",'Data Pura Costos'!C1771)</f>
        <v/>
      </c>
      <c r="D1771" s="5" t="str">
        <f>+IF('Data Pura Costos'!D1771="","",'Data Pura Costos'!D1771)</f>
        <v/>
      </c>
      <c r="E1771" s="65" t="str">
        <f>+IF('Data Pura Costos'!E1771="","",IF('Data Pura Costos'!E1771=0,MAX('Data Pura Costos'!$E$7:$E$3000)*1000,'Data Pura Costos'!E1771))</f>
        <v/>
      </c>
      <c r="F1771" s="5" t="str">
        <f>+IF('Data Pura Costos'!F1771="","",'Data Pura Costos'!F1771)</f>
        <v/>
      </c>
      <c r="G1771" s="5" t="str">
        <f>+IF('Data Pura Costos'!G1771="","",'Data Pura Costos'!G1771)</f>
        <v/>
      </c>
      <c r="H1771" s="52" t="str">
        <f>+IF('Data Pura Costos'!H1771="","",'Data Pura Costos'!H1771)</f>
        <v/>
      </c>
      <c r="I1771" s="71" t="str">
        <f>+IF('Data Pura Costos'!I1771="","",'Data Pura Costos'!I1771)</f>
        <v/>
      </c>
      <c r="J1771" s="52" t="str">
        <f>+IF('Data Pura Costos'!J1771="","",'Data Pura Costos'!J1771)</f>
        <v/>
      </c>
      <c r="K1771" s="82" t="str">
        <f t="shared" si="32"/>
        <v/>
      </c>
    </row>
    <row r="1772" spans="2:11" x14ac:dyDescent="0.35">
      <c r="B1772" s="4" t="str">
        <f>+IF('Data Pura Costos'!B1772="","",'Data Pura Costos'!B1772)</f>
        <v/>
      </c>
      <c r="C1772" s="4" t="str">
        <f>+IF('Data Pura Costos'!C1772="","",'Data Pura Costos'!C1772)</f>
        <v/>
      </c>
      <c r="D1772" s="5" t="str">
        <f>+IF('Data Pura Costos'!D1772="","",'Data Pura Costos'!D1772)</f>
        <v/>
      </c>
      <c r="E1772" s="65" t="str">
        <f>+IF('Data Pura Costos'!E1772="","",IF('Data Pura Costos'!E1772=0,MAX('Data Pura Costos'!$E$7:$E$3000)*1000,'Data Pura Costos'!E1772))</f>
        <v/>
      </c>
      <c r="F1772" s="5" t="str">
        <f>+IF('Data Pura Costos'!F1772="","",'Data Pura Costos'!F1772)</f>
        <v/>
      </c>
      <c r="G1772" s="5" t="str">
        <f>+IF('Data Pura Costos'!G1772="","",'Data Pura Costos'!G1772)</f>
        <v/>
      </c>
      <c r="H1772" s="52" t="str">
        <f>+IF('Data Pura Costos'!H1772="","",'Data Pura Costos'!H1772)</f>
        <v/>
      </c>
      <c r="I1772" s="71" t="str">
        <f>+IF('Data Pura Costos'!I1772="","",'Data Pura Costos'!I1772)</f>
        <v/>
      </c>
      <c r="J1772" s="52" t="str">
        <f>+IF('Data Pura Costos'!J1772="","",'Data Pura Costos'!J1772)</f>
        <v/>
      </c>
      <c r="K1772" s="82" t="str">
        <f t="shared" si="32"/>
        <v/>
      </c>
    </row>
    <row r="1773" spans="2:11" x14ac:dyDescent="0.35">
      <c r="B1773" s="4" t="str">
        <f>+IF('Data Pura Costos'!B1773="","",'Data Pura Costos'!B1773)</f>
        <v/>
      </c>
      <c r="C1773" s="4" t="str">
        <f>+IF('Data Pura Costos'!C1773="","",'Data Pura Costos'!C1773)</f>
        <v/>
      </c>
      <c r="D1773" s="5" t="str">
        <f>+IF('Data Pura Costos'!D1773="","",'Data Pura Costos'!D1773)</f>
        <v/>
      </c>
      <c r="E1773" s="65" t="str">
        <f>+IF('Data Pura Costos'!E1773="","",IF('Data Pura Costos'!E1773=0,MAX('Data Pura Costos'!$E$7:$E$3000)*1000,'Data Pura Costos'!E1773))</f>
        <v/>
      </c>
      <c r="F1773" s="5" t="str">
        <f>+IF('Data Pura Costos'!F1773="","",'Data Pura Costos'!F1773)</f>
        <v/>
      </c>
      <c r="G1773" s="5" t="str">
        <f>+IF('Data Pura Costos'!G1773="","",'Data Pura Costos'!G1773)</f>
        <v/>
      </c>
      <c r="H1773" s="52" t="str">
        <f>+IF('Data Pura Costos'!H1773="","",'Data Pura Costos'!H1773)</f>
        <v/>
      </c>
      <c r="I1773" s="71" t="str">
        <f>+IF('Data Pura Costos'!I1773="","",'Data Pura Costos'!I1773)</f>
        <v/>
      </c>
      <c r="J1773" s="52" t="str">
        <f>+IF('Data Pura Costos'!J1773="","",'Data Pura Costos'!J1773)</f>
        <v/>
      </c>
      <c r="K1773" s="82" t="str">
        <f t="shared" si="32"/>
        <v/>
      </c>
    </row>
    <row r="1774" spans="2:11" x14ac:dyDescent="0.35">
      <c r="B1774" s="4" t="str">
        <f>+IF('Data Pura Costos'!B1774="","",'Data Pura Costos'!B1774)</f>
        <v/>
      </c>
      <c r="C1774" s="4" t="str">
        <f>+IF('Data Pura Costos'!C1774="","",'Data Pura Costos'!C1774)</f>
        <v/>
      </c>
      <c r="D1774" s="5" t="str">
        <f>+IF('Data Pura Costos'!D1774="","",'Data Pura Costos'!D1774)</f>
        <v/>
      </c>
      <c r="E1774" s="65" t="str">
        <f>+IF('Data Pura Costos'!E1774="","",IF('Data Pura Costos'!E1774=0,MAX('Data Pura Costos'!$E$7:$E$3000)*1000,'Data Pura Costos'!E1774))</f>
        <v/>
      </c>
      <c r="F1774" s="5" t="str">
        <f>+IF('Data Pura Costos'!F1774="","",'Data Pura Costos'!F1774)</f>
        <v/>
      </c>
      <c r="G1774" s="5" t="str">
        <f>+IF('Data Pura Costos'!G1774="","",'Data Pura Costos'!G1774)</f>
        <v/>
      </c>
      <c r="H1774" s="52" t="str">
        <f>+IF('Data Pura Costos'!H1774="","",'Data Pura Costos'!H1774)</f>
        <v/>
      </c>
      <c r="I1774" s="71" t="str">
        <f>+IF('Data Pura Costos'!I1774="","",'Data Pura Costos'!I1774)</f>
        <v/>
      </c>
      <c r="J1774" s="52" t="str">
        <f>+IF('Data Pura Costos'!J1774="","",'Data Pura Costos'!J1774)</f>
        <v/>
      </c>
      <c r="K1774" s="82" t="str">
        <f t="shared" si="32"/>
        <v/>
      </c>
    </row>
    <row r="1775" spans="2:11" x14ac:dyDescent="0.35">
      <c r="B1775" s="4" t="str">
        <f>+IF('Data Pura Costos'!B1775="","",'Data Pura Costos'!B1775)</f>
        <v/>
      </c>
      <c r="C1775" s="4" t="str">
        <f>+IF('Data Pura Costos'!C1775="","",'Data Pura Costos'!C1775)</f>
        <v/>
      </c>
      <c r="D1775" s="5" t="str">
        <f>+IF('Data Pura Costos'!D1775="","",'Data Pura Costos'!D1775)</f>
        <v/>
      </c>
      <c r="E1775" s="65" t="str">
        <f>+IF('Data Pura Costos'!E1775="","",IF('Data Pura Costos'!E1775=0,MAX('Data Pura Costos'!$E$7:$E$3000)*1000,'Data Pura Costos'!E1775))</f>
        <v/>
      </c>
      <c r="F1775" s="5" t="str">
        <f>+IF('Data Pura Costos'!F1775="","",'Data Pura Costos'!F1775)</f>
        <v/>
      </c>
      <c r="G1775" s="5" t="str">
        <f>+IF('Data Pura Costos'!G1775="","",'Data Pura Costos'!G1775)</f>
        <v/>
      </c>
      <c r="H1775" s="52" t="str">
        <f>+IF('Data Pura Costos'!H1775="","",'Data Pura Costos'!H1775)</f>
        <v/>
      </c>
      <c r="I1775" s="71" t="str">
        <f>+IF('Data Pura Costos'!I1775="","",'Data Pura Costos'!I1775)</f>
        <v/>
      </c>
      <c r="J1775" s="52" t="str">
        <f>+IF('Data Pura Costos'!J1775="","",'Data Pura Costos'!J1775)</f>
        <v/>
      </c>
      <c r="K1775" s="82" t="str">
        <f t="shared" si="32"/>
        <v/>
      </c>
    </row>
    <row r="1776" spans="2:11" x14ac:dyDescent="0.35">
      <c r="B1776" s="4" t="str">
        <f>+IF('Data Pura Costos'!B1776="","",'Data Pura Costos'!B1776)</f>
        <v/>
      </c>
      <c r="C1776" s="4" t="str">
        <f>+IF('Data Pura Costos'!C1776="","",'Data Pura Costos'!C1776)</f>
        <v/>
      </c>
      <c r="D1776" s="5" t="str">
        <f>+IF('Data Pura Costos'!D1776="","",'Data Pura Costos'!D1776)</f>
        <v/>
      </c>
      <c r="E1776" s="65" t="str">
        <f>+IF('Data Pura Costos'!E1776="","",IF('Data Pura Costos'!E1776=0,MAX('Data Pura Costos'!$E$7:$E$3000)*1000,'Data Pura Costos'!E1776))</f>
        <v/>
      </c>
      <c r="F1776" s="5" t="str">
        <f>+IF('Data Pura Costos'!F1776="","",'Data Pura Costos'!F1776)</f>
        <v/>
      </c>
      <c r="G1776" s="5" t="str">
        <f>+IF('Data Pura Costos'!G1776="","",'Data Pura Costos'!G1776)</f>
        <v/>
      </c>
      <c r="H1776" s="52" t="str">
        <f>+IF('Data Pura Costos'!H1776="","",'Data Pura Costos'!H1776)</f>
        <v/>
      </c>
      <c r="I1776" s="71" t="str">
        <f>+IF('Data Pura Costos'!I1776="","",'Data Pura Costos'!I1776)</f>
        <v/>
      </c>
      <c r="J1776" s="52" t="str">
        <f>+IF('Data Pura Costos'!J1776="","",'Data Pura Costos'!J1776)</f>
        <v/>
      </c>
      <c r="K1776" s="82" t="str">
        <f t="shared" si="32"/>
        <v/>
      </c>
    </row>
    <row r="1777" spans="2:11" x14ac:dyDescent="0.35">
      <c r="B1777" s="4" t="str">
        <f>+IF('Data Pura Costos'!B1777="","",'Data Pura Costos'!B1777)</f>
        <v/>
      </c>
      <c r="C1777" s="4" t="str">
        <f>+IF('Data Pura Costos'!C1777="","",'Data Pura Costos'!C1777)</f>
        <v/>
      </c>
      <c r="D1777" s="5" t="str">
        <f>+IF('Data Pura Costos'!D1777="","",'Data Pura Costos'!D1777)</f>
        <v/>
      </c>
      <c r="E1777" s="65" t="str">
        <f>+IF('Data Pura Costos'!E1777="","",IF('Data Pura Costos'!E1777=0,MAX('Data Pura Costos'!$E$7:$E$3000)*1000,'Data Pura Costos'!E1777))</f>
        <v/>
      </c>
      <c r="F1777" s="5" t="str">
        <f>+IF('Data Pura Costos'!F1777="","",'Data Pura Costos'!F1777)</f>
        <v/>
      </c>
      <c r="G1777" s="5" t="str">
        <f>+IF('Data Pura Costos'!G1777="","",'Data Pura Costos'!G1777)</f>
        <v/>
      </c>
      <c r="H1777" s="52" t="str">
        <f>+IF('Data Pura Costos'!H1777="","",'Data Pura Costos'!H1777)</f>
        <v/>
      </c>
      <c r="I1777" s="71" t="str">
        <f>+IF('Data Pura Costos'!I1777="","",'Data Pura Costos'!I1777)</f>
        <v/>
      </c>
      <c r="J1777" s="52" t="str">
        <f>+IF('Data Pura Costos'!J1777="","",'Data Pura Costos'!J1777)</f>
        <v/>
      </c>
      <c r="K1777" s="82" t="str">
        <f t="shared" si="32"/>
        <v/>
      </c>
    </row>
    <row r="1778" spans="2:11" x14ac:dyDescent="0.35">
      <c r="B1778" s="4" t="str">
        <f>+IF('Data Pura Costos'!B1778="","",'Data Pura Costos'!B1778)</f>
        <v/>
      </c>
      <c r="C1778" s="4" t="str">
        <f>+IF('Data Pura Costos'!C1778="","",'Data Pura Costos'!C1778)</f>
        <v/>
      </c>
      <c r="D1778" s="5" t="str">
        <f>+IF('Data Pura Costos'!D1778="","",'Data Pura Costos'!D1778)</f>
        <v/>
      </c>
      <c r="E1778" s="65" t="str">
        <f>+IF('Data Pura Costos'!E1778="","",IF('Data Pura Costos'!E1778=0,MAX('Data Pura Costos'!$E$7:$E$3000)*1000,'Data Pura Costos'!E1778))</f>
        <v/>
      </c>
      <c r="F1778" s="5" t="str">
        <f>+IF('Data Pura Costos'!F1778="","",'Data Pura Costos'!F1778)</f>
        <v/>
      </c>
      <c r="G1778" s="5" t="str">
        <f>+IF('Data Pura Costos'!G1778="","",'Data Pura Costos'!G1778)</f>
        <v/>
      </c>
      <c r="H1778" s="52" t="str">
        <f>+IF('Data Pura Costos'!H1778="","",'Data Pura Costos'!H1778)</f>
        <v/>
      </c>
      <c r="I1778" s="71" t="str">
        <f>+IF('Data Pura Costos'!I1778="","",'Data Pura Costos'!I1778)</f>
        <v/>
      </c>
      <c r="J1778" s="52" t="str">
        <f>+IF('Data Pura Costos'!J1778="","",'Data Pura Costos'!J1778)</f>
        <v/>
      </c>
      <c r="K1778" s="82" t="str">
        <f t="shared" si="32"/>
        <v/>
      </c>
    </row>
    <row r="1779" spans="2:11" x14ac:dyDescent="0.35">
      <c r="B1779" s="4" t="str">
        <f>+IF('Data Pura Costos'!B1779="","",'Data Pura Costos'!B1779)</f>
        <v/>
      </c>
      <c r="C1779" s="4" t="str">
        <f>+IF('Data Pura Costos'!C1779="","",'Data Pura Costos'!C1779)</f>
        <v/>
      </c>
      <c r="D1779" s="5" t="str">
        <f>+IF('Data Pura Costos'!D1779="","",'Data Pura Costos'!D1779)</f>
        <v/>
      </c>
      <c r="E1779" s="65" t="str">
        <f>+IF('Data Pura Costos'!E1779="","",IF('Data Pura Costos'!E1779=0,MAX('Data Pura Costos'!$E$7:$E$3000)*1000,'Data Pura Costos'!E1779))</f>
        <v/>
      </c>
      <c r="F1779" s="5" t="str">
        <f>+IF('Data Pura Costos'!F1779="","",'Data Pura Costos'!F1779)</f>
        <v/>
      </c>
      <c r="G1779" s="5" t="str">
        <f>+IF('Data Pura Costos'!G1779="","",'Data Pura Costos'!G1779)</f>
        <v/>
      </c>
      <c r="H1779" s="52" t="str">
        <f>+IF('Data Pura Costos'!H1779="","",'Data Pura Costos'!H1779)</f>
        <v/>
      </c>
      <c r="I1779" s="71" t="str">
        <f>+IF('Data Pura Costos'!I1779="","",'Data Pura Costos'!I1779)</f>
        <v/>
      </c>
      <c r="J1779" s="52" t="str">
        <f>+IF('Data Pura Costos'!J1779="","",'Data Pura Costos'!J1779)</f>
        <v/>
      </c>
      <c r="K1779" s="82" t="str">
        <f t="shared" si="32"/>
        <v/>
      </c>
    </row>
    <row r="1780" spans="2:11" x14ac:dyDescent="0.35">
      <c r="B1780" s="4" t="str">
        <f>+IF('Data Pura Costos'!B1780="","",'Data Pura Costos'!B1780)</f>
        <v/>
      </c>
      <c r="C1780" s="4" t="str">
        <f>+IF('Data Pura Costos'!C1780="","",'Data Pura Costos'!C1780)</f>
        <v/>
      </c>
      <c r="D1780" s="5" t="str">
        <f>+IF('Data Pura Costos'!D1780="","",'Data Pura Costos'!D1780)</f>
        <v/>
      </c>
      <c r="E1780" s="65" t="str">
        <f>+IF('Data Pura Costos'!E1780="","",IF('Data Pura Costos'!E1780=0,MAX('Data Pura Costos'!$E$7:$E$3000)*1000,'Data Pura Costos'!E1780))</f>
        <v/>
      </c>
      <c r="F1780" s="5" t="str">
        <f>+IF('Data Pura Costos'!F1780="","",'Data Pura Costos'!F1780)</f>
        <v/>
      </c>
      <c r="G1780" s="5" t="str">
        <f>+IF('Data Pura Costos'!G1780="","",'Data Pura Costos'!G1780)</f>
        <v/>
      </c>
      <c r="H1780" s="52" t="str">
        <f>+IF('Data Pura Costos'!H1780="","",'Data Pura Costos'!H1780)</f>
        <v/>
      </c>
      <c r="I1780" s="71" t="str">
        <f>+IF('Data Pura Costos'!I1780="","",'Data Pura Costos'!I1780)</f>
        <v/>
      </c>
      <c r="J1780" s="52" t="str">
        <f>+IF('Data Pura Costos'!J1780="","",'Data Pura Costos'!J1780)</f>
        <v/>
      </c>
      <c r="K1780" s="82" t="str">
        <f t="shared" si="32"/>
        <v/>
      </c>
    </row>
    <row r="1781" spans="2:11" x14ac:dyDescent="0.35">
      <c r="B1781" s="4" t="str">
        <f>+IF('Data Pura Costos'!B1781="","",'Data Pura Costos'!B1781)</f>
        <v/>
      </c>
      <c r="C1781" s="4" t="str">
        <f>+IF('Data Pura Costos'!C1781="","",'Data Pura Costos'!C1781)</f>
        <v/>
      </c>
      <c r="D1781" s="5" t="str">
        <f>+IF('Data Pura Costos'!D1781="","",'Data Pura Costos'!D1781)</f>
        <v/>
      </c>
      <c r="E1781" s="65" t="str">
        <f>+IF('Data Pura Costos'!E1781="","",IF('Data Pura Costos'!E1781=0,MAX('Data Pura Costos'!$E$7:$E$3000)*1000,'Data Pura Costos'!E1781))</f>
        <v/>
      </c>
      <c r="F1781" s="5" t="str">
        <f>+IF('Data Pura Costos'!F1781="","",'Data Pura Costos'!F1781)</f>
        <v/>
      </c>
      <c r="G1781" s="5" t="str">
        <f>+IF('Data Pura Costos'!G1781="","",'Data Pura Costos'!G1781)</f>
        <v/>
      </c>
      <c r="H1781" s="52" t="str">
        <f>+IF('Data Pura Costos'!H1781="","",'Data Pura Costos'!H1781)</f>
        <v/>
      </c>
      <c r="I1781" s="71" t="str">
        <f>+IF('Data Pura Costos'!I1781="","",'Data Pura Costos'!I1781)</f>
        <v/>
      </c>
      <c r="J1781" s="52" t="str">
        <f>+IF('Data Pura Costos'!J1781="","",'Data Pura Costos'!J1781)</f>
        <v/>
      </c>
      <c r="K1781" s="82" t="str">
        <f t="shared" si="32"/>
        <v/>
      </c>
    </row>
    <row r="1782" spans="2:11" x14ac:dyDescent="0.35">
      <c r="B1782" s="4" t="str">
        <f>+IF('Data Pura Costos'!B1782="","",'Data Pura Costos'!B1782)</f>
        <v/>
      </c>
      <c r="C1782" s="4" t="str">
        <f>+IF('Data Pura Costos'!C1782="","",'Data Pura Costos'!C1782)</f>
        <v/>
      </c>
      <c r="D1782" s="5" t="str">
        <f>+IF('Data Pura Costos'!D1782="","",'Data Pura Costos'!D1782)</f>
        <v/>
      </c>
      <c r="E1782" s="65" t="str">
        <f>+IF('Data Pura Costos'!E1782="","",IF('Data Pura Costos'!E1782=0,MAX('Data Pura Costos'!$E$7:$E$3000)*1000,'Data Pura Costos'!E1782))</f>
        <v/>
      </c>
      <c r="F1782" s="5" t="str">
        <f>+IF('Data Pura Costos'!F1782="","",'Data Pura Costos'!F1782)</f>
        <v/>
      </c>
      <c r="G1782" s="5" t="str">
        <f>+IF('Data Pura Costos'!G1782="","",'Data Pura Costos'!G1782)</f>
        <v/>
      </c>
      <c r="H1782" s="52" t="str">
        <f>+IF('Data Pura Costos'!H1782="","",'Data Pura Costos'!H1782)</f>
        <v/>
      </c>
      <c r="I1782" s="71" t="str">
        <f>+IF('Data Pura Costos'!I1782="","",'Data Pura Costos'!I1782)</f>
        <v/>
      </c>
      <c r="J1782" s="52" t="str">
        <f>+IF('Data Pura Costos'!J1782="","",'Data Pura Costos'!J1782)</f>
        <v/>
      </c>
      <c r="K1782" s="82" t="str">
        <f t="shared" si="32"/>
        <v/>
      </c>
    </row>
    <row r="1783" spans="2:11" x14ac:dyDescent="0.35">
      <c r="B1783" s="4" t="str">
        <f>+IF('Data Pura Costos'!B1783="","",'Data Pura Costos'!B1783)</f>
        <v/>
      </c>
      <c r="C1783" s="4" t="str">
        <f>+IF('Data Pura Costos'!C1783="","",'Data Pura Costos'!C1783)</f>
        <v/>
      </c>
      <c r="D1783" s="5" t="str">
        <f>+IF('Data Pura Costos'!D1783="","",'Data Pura Costos'!D1783)</f>
        <v/>
      </c>
      <c r="E1783" s="65" t="str">
        <f>+IF('Data Pura Costos'!E1783="","",IF('Data Pura Costos'!E1783=0,MAX('Data Pura Costos'!$E$7:$E$3000)*1000,'Data Pura Costos'!E1783))</f>
        <v/>
      </c>
      <c r="F1783" s="5" t="str">
        <f>+IF('Data Pura Costos'!F1783="","",'Data Pura Costos'!F1783)</f>
        <v/>
      </c>
      <c r="G1783" s="5" t="str">
        <f>+IF('Data Pura Costos'!G1783="","",'Data Pura Costos'!G1783)</f>
        <v/>
      </c>
      <c r="H1783" s="52" t="str">
        <f>+IF('Data Pura Costos'!H1783="","",'Data Pura Costos'!H1783)</f>
        <v/>
      </c>
      <c r="I1783" s="71" t="str">
        <f>+IF('Data Pura Costos'!I1783="","",'Data Pura Costos'!I1783)</f>
        <v/>
      </c>
      <c r="J1783" s="52" t="str">
        <f>+IF('Data Pura Costos'!J1783="","",'Data Pura Costos'!J1783)</f>
        <v/>
      </c>
      <c r="K1783" s="82" t="str">
        <f t="shared" si="32"/>
        <v/>
      </c>
    </row>
    <row r="1784" spans="2:11" x14ac:dyDescent="0.35">
      <c r="B1784" s="4" t="str">
        <f>+IF('Data Pura Costos'!B1784="","",'Data Pura Costos'!B1784)</f>
        <v/>
      </c>
      <c r="C1784" s="4" t="str">
        <f>+IF('Data Pura Costos'!C1784="","",'Data Pura Costos'!C1784)</f>
        <v/>
      </c>
      <c r="D1784" s="5" t="str">
        <f>+IF('Data Pura Costos'!D1784="","",'Data Pura Costos'!D1784)</f>
        <v/>
      </c>
      <c r="E1784" s="65" t="str">
        <f>+IF('Data Pura Costos'!E1784="","",IF('Data Pura Costos'!E1784=0,MAX('Data Pura Costos'!$E$7:$E$3000)*1000,'Data Pura Costos'!E1784))</f>
        <v/>
      </c>
      <c r="F1784" s="5" t="str">
        <f>+IF('Data Pura Costos'!F1784="","",'Data Pura Costos'!F1784)</f>
        <v/>
      </c>
      <c r="G1784" s="5" t="str">
        <f>+IF('Data Pura Costos'!G1784="","",'Data Pura Costos'!G1784)</f>
        <v/>
      </c>
      <c r="H1784" s="52" t="str">
        <f>+IF('Data Pura Costos'!H1784="","",'Data Pura Costos'!H1784)</f>
        <v/>
      </c>
      <c r="I1784" s="71" t="str">
        <f>+IF('Data Pura Costos'!I1784="","",'Data Pura Costos'!I1784)</f>
        <v/>
      </c>
      <c r="J1784" s="52" t="str">
        <f>+IF('Data Pura Costos'!J1784="","",'Data Pura Costos'!J1784)</f>
        <v/>
      </c>
      <c r="K1784" s="82" t="str">
        <f t="shared" si="32"/>
        <v/>
      </c>
    </row>
    <row r="1785" spans="2:11" x14ac:dyDescent="0.35">
      <c r="B1785" s="4" t="str">
        <f>+IF('Data Pura Costos'!B1785="","",'Data Pura Costos'!B1785)</f>
        <v/>
      </c>
      <c r="C1785" s="4" t="str">
        <f>+IF('Data Pura Costos'!C1785="","",'Data Pura Costos'!C1785)</f>
        <v/>
      </c>
      <c r="D1785" s="5" t="str">
        <f>+IF('Data Pura Costos'!D1785="","",'Data Pura Costos'!D1785)</f>
        <v/>
      </c>
      <c r="E1785" s="65" t="str">
        <f>+IF('Data Pura Costos'!E1785="","",IF('Data Pura Costos'!E1785=0,MAX('Data Pura Costos'!$E$7:$E$3000)*1000,'Data Pura Costos'!E1785))</f>
        <v/>
      </c>
      <c r="F1785" s="5" t="str">
        <f>+IF('Data Pura Costos'!F1785="","",'Data Pura Costos'!F1785)</f>
        <v/>
      </c>
      <c r="G1785" s="5" t="str">
        <f>+IF('Data Pura Costos'!G1785="","",'Data Pura Costos'!G1785)</f>
        <v/>
      </c>
      <c r="H1785" s="52" t="str">
        <f>+IF('Data Pura Costos'!H1785="","",'Data Pura Costos'!H1785)</f>
        <v/>
      </c>
      <c r="I1785" s="71" t="str">
        <f>+IF('Data Pura Costos'!I1785="","",'Data Pura Costos'!I1785)</f>
        <v/>
      </c>
      <c r="J1785" s="52" t="str">
        <f>+IF('Data Pura Costos'!J1785="","",'Data Pura Costos'!J1785)</f>
        <v/>
      </c>
      <c r="K1785" s="82" t="str">
        <f t="shared" si="32"/>
        <v/>
      </c>
    </row>
    <row r="1786" spans="2:11" x14ac:dyDescent="0.35">
      <c r="B1786" s="4" t="str">
        <f>+IF('Data Pura Costos'!B1786="","",'Data Pura Costos'!B1786)</f>
        <v/>
      </c>
      <c r="C1786" s="4" t="str">
        <f>+IF('Data Pura Costos'!C1786="","",'Data Pura Costos'!C1786)</f>
        <v/>
      </c>
      <c r="D1786" s="5" t="str">
        <f>+IF('Data Pura Costos'!D1786="","",'Data Pura Costos'!D1786)</f>
        <v/>
      </c>
      <c r="E1786" s="65" t="str">
        <f>+IF('Data Pura Costos'!E1786="","",IF('Data Pura Costos'!E1786=0,MAX('Data Pura Costos'!$E$7:$E$3000)*1000,'Data Pura Costos'!E1786))</f>
        <v/>
      </c>
      <c r="F1786" s="5" t="str">
        <f>+IF('Data Pura Costos'!F1786="","",'Data Pura Costos'!F1786)</f>
        <v/>
      </c>
      <c r="G1786" s="5" t="str">
        <f>+IF('Data Pura Costos'!G1786="","",'Data Pura Costos'!G1786)</f>
        <v/>
      </c>
      <c r="H1786" s="52" t="str">
        <f>+IF('Data Pura Costos'!H1786="","",'Data Pura Costos'!H1786)</f>
        <v/>
      </c>
      <c r="I1786" s="71" t="str">
        <f>+IF('Data Pura Costos'!I1786="","",'Data Pura Costos'!I1786)</f>
        <v/>
      </c>
      <c r="J1786" s="52" t="str">
        <f>+IF('Data Pura Costos'!J1786="","",'Data Pura Costos'!J1786)</f>
        <v/>
      </c>
      <c r="K1786" s="82" t="str">
        <f t="shared" si="32"/>
        <v/>
      </c>
    </row>
    <row r="1787" spans="2:11" x14ac:dyDescent="0.35">
      <c r="B1787" s="4" t="str">
        <f>+IF('Data Pura Costos'!B1787="","",'Data Pura Costos'!B1787)</f>
        <v/>
      </c>
      <c r="C1787" s="4" t="str">
        <f>+IF('Data Pura Costos'!C1787="","",'Data Pura Costos'!C1787)</f>
        <v/>
      </c>
      <c r="D1787" s="5" t="str">
        <f>+IF('Data Pura Costos'!D1787="","",'Data Pura Costos'!D1787)</f>
        <v/>
      </c>
      <c r="E1787" s="65" t="str">
        <f>+IF('Data Pura Costos'!E1787="","",IF('Data Pura Costos'!E1787=0,MAX('Data Pura Costos'!$E$7:$E$3000)*1000,'Data Pura Costos'!E1787))</f>
        <v/>
      </c>
      <c r="F1787" s="5" t="str">
        <f>+IF('Data Pura Costos'!F1787="","",'Data Pura Costos'!F1787)</f>
        <v/>
      </c>
      <c r="G1787" s="5" t="str">
        <f>+IF('Data Pura Costos'!G1787="","",'Data Pura Costos'!G1787)</f>
        <v/>
      </c>
      <c r="H1787" s="52" t="str">
        <f>+IF('Data Pura Costos'!H1787="","",'Data Pura Costos'!H1787)</f>
        <v/>
      </c>
      <c r="I1787" s="71" t="str">
        <f>+IF('Data Pura Costos'!I1787="","",'Data Pura Costos'!I1787)</f>
        <v/>
      </c>
      <c r="J1787" s="52" t="str">
        <f>+IF('Data Pura Costos'!J1787="","",'Data Pura Costos'!J1787)</f>
        <v/>
      </c>
      <c r="K1787" s="82" t="str">
        <f t="shared" si="32"/>
        <v/>
      </c>
    </row>
    <row r="1788" spans="2:11" x14ac:dyDescent="0.35">
      <c r="B1788" s="4" t="str">
        <f>+IF('Data Pura Costos'!B1788="","",'Data Pura Costos'!B1788)</f>
        <v/>
      </c>
      <c r="C1788" s="4" t="str">
        <f>+IF('Data Pura Costos'!C1788="","",'Data Pura Costos'!C1788)</f>
        <v/>
      </c>
      <c r="D1788" s="5" t="str">
        <f>+IF('Data Pura Costos'!D1788="","",'Data Pura Costos'!D1788)</f>
        <v/>
      </c>
      <c r="E1788" s="65" t="str">
        <f>+IF('Data Pura Costos'!E1788="","",IF('Data Pura Costos'!E1788=0,MAX('Data Pura Costos'!$E$7:$E$3000)*1000,'Data Pura Costos'!E1788))</f>
        <v/>
      </c>
      <c r="F1788" s="5" t="str">
        <f>+IF('Data Pura Costos'!F1788="","",'Data Pura Costos'!F1788)</f>
        <v/>
      </c>
      <c r="G1788" s="5" t="str">
        <f>+IF('Data Pura Costos'!G1788="","",'Data Pura Costos'!G1788)</f>
        <v/>
      </c>
      <c r="H1788" s="52" t="str">
        <f>+IF('Data Pura Costos'!H1788="","",'Data Pura Costos'!H1788)</f>
        <v/>
      </c>
      <c r="I1788" s="71" t="str">
        <f>+IF('Data Pura Costos'!I1788="","",'Data Pura Costos'!I1788)</f>
        <v/>
      </c>
      <c r="J1788" s="52" t="str">
        <f>+IF('Data Pura Costos'!J1788="","",'Data Pura Costos'!J1788)</f>
        <v/>
      </c>
      <c r="K1788" s="82" t="str">
        <f t="shared" ref="K1788:K1851" si="33">+IF(B1788="","",CONCATENATE(B1788,"-",F1788,"-",G1788))</f>
        <v/>
      </c>
    </row>
    <row r="1789" spans="2:11" x14ac:dyDescent="0.35">
      <c r="B1789" s="4" t="str">
        <f>+IF('Data Pura Costos'!B1789="","",'Data Pura Costos'!B1789)</f>
        <v/>
      </c>
      <c r="C1789" s="4" t="str">
        <f>+IF('Data Pura Costos'!C1789="","",'Data Pura Costos'!C1789)</f>
        <v/>
      </c>
      <c r="D1789" s="5" t="str">
        <f>+IF('Data Pura Costos'!D1789="","",'Data Pura Costos'!D1789)</f>
        <v/>
      </c>
      <c r="E1789" s="65" t="str">
        <f>+IF('Data Pura Costos'!E1789="","",IF('Data Pura Costos'!E1789=0,MAX('Data Pura Costos'!$E$7:$E$3000)*1000,'Data Pura Costos'!E1789))</f>
        <v/>
      </c>
      <c r="F1789" s="5" t="str">
        <f>+IF('Data Pura Costos'!F1789="","",'Data Pura Costos'!F1789)</f>
        <v/>
      </c>
      <c r="G1789" s="5" t="str">
        <f>+IF('Data Pura Costos'!G1789="","",'Data Pura Costos'!G1789)</f>
        <v/>
      </c>
      <c r="H1789" s="52" t="str">
        <f>+IF('Data Pura Costos'!H1789="","",'Data Pura Costos'!H1789)</f>
        <v/>
      </c>
      <c r="I1789" s="71" t="str">
        <f>+IF('Data Pura Costos'!I1789="","",'Data Pura Costos'!I1789)</f>
        <v/>
      </c>
      <c r="J1789" s="52" t="str">
        <f>+IF('Data Pura Costos'!J1789="","",'Data Pura Costos'!J1789)</f>
        <v/>
      </c>
      <c r="K1789" s="82" t="str">
        <f t="shared" si="33"/>
        <v/>
      </c>
    </row>
    <row r="1790" spans="2:11" x14ac:dyDescent="0.35">
      <c r="B1790" s="4" t="str">
        <f>+IF('Data Pura Costos'!B1790="","",'Data Pura Costos'!B1790)</f>
        <v/>
      </c>
      <c r="C1790" s="4" t="str">
        <f>+IF('Data Pura Costos'!C1790="","",'Data Pura Costos'!C1790)</f>
        <v/>
      </c>
      <c r="D1790" s="5" t="str">
        <f>+IF('Data Pura Costos'!D1790="","",'Data Pura Costos'!D1790)</f>
        <v/>
      </c>
      <c r="E1790" s="65" t="str">
        <f>+IF('Data Pura Costos'!E1790="","",IF('Data Pura Costos'!E1790=0,MAX('Data Pura Costos'!$E$7:$E$3000)*1000,'Data Pura Costos'!E1790))</f>
        <v/>
      </c>
      <c r="F1790" s="5" t="str">
        <f>+IF('Data Pura Costos'!F1790="","",'Data Pura Costos'!F1790)</f>
        <v/>
      </c>
      <c r="G1790" s="5" t="str">
        <f>+IF('Data Pura Costos'!G1790="","",'Data Pura Costos'!G1790)</f>
        <v/>
      </c>
      <c r="H1790" s="52" t="str">
        <f>+IF('Data Pura Costos'!H1790="","",'Data Pura Costos'!H1790)</f>
        <v/>
      </c>
      <c r="I1790" s="71" t="str">
        <f>+IF('Data Pura Costos'!I1790="","",'Data Pura Costos'!I1790)</f>
        <v/>
      </c>
      <c r="J1790" s="52" t="str">
        <f>+IF('Data Pura Costos'!J1790="","",'Data Pura Costos'!J1790)</f>
        <v/>
      </c>
      <c r="K1790" s="82" t="str">
        <f t="shared" si="33"/>
        <v/>
      </c>
    </row>
    <row r="1791" spans="2:11" x14ac:dyDescent="0.35">
      <c r="B1791" s="4" t="str">
        <f>+IF('Data Pura Costos'!B1791="","",'Data Pura Costos'!B1791)</f>
        <v/>
      </c>
      <c r="C1791" s="4" t="str">
        <f>+IF('Data Pura Costos'!C1791="","",'Data Pura Costos'!C1791)</f>
        <v/>
      </c>
      <c r="D1791" s="5" t="str">
        <f>+IF('Data Pura Costos'!D1791="","",'Data Pura Costos'!D1791)</f>
        <v/>
      </c>
      <c r="E1791" s="65" t="str">
        <f>+IF('Data Pura Costos'!E1791="","",IF('Data Pura Costos'!E1791=0,MAX('Data Pura Costos'!$E$7:$E$3000)*1000,'Data Pura Costos'!E1791))</f>
        <v/>
      </c>
      <c r="F1791" s="5" t="str">
        <f>+IF('Data Pura Costos'!F1791="","",'Data Pura Costos'!F1791)</f>
        <v/>
      </c>
      <c r="G1791" s="5" t="str">
        <f>+IF('Data Pura Costos'!G1791="","",'Data Pura Costos'!G1791)</f>
        <v/>
      </c>
      <c r="H1791" s="52" t="str">
        <f>+IF('Data Pura Costos'!H1791="","",'Data Pura Costos'!H1791)</f>
        <v/>
      </c>
      <c r="I1791" s="71" t="str">
        <f>+IF('Data Pura Costos'!I1791="","",'Data Pura Costos'!I1791)</f>
        <v/>
      </c>
      <c r="J1791" s="52" t="str">
        <f>+IF('Data Pura Costos'!J1791="","",'Data Pura Costos'!J1791)</f>
        <v/>
      </c>
      <c r="K1791" s="82" t="str">
        <f t="shared" si="33"/>
        <v/>
      </c>
    </row>
    <row r="1792" spans="2:11" x14ac:dyDescent="0.35">
      <c r="B1792" s="4" t="str">
        <f>+IF('Data Pura Costos'!B1792="","",'Data Pura Costos'!B1792)</f>
        <v/>
      </c>
      <c r="C1792" s="4" t="str">
        <f>+IF('Data Pura Costos'!C1792="","",'Data Pura Costos'!C1792)</f>
        <v/>
      </c>
      <c r="D1792" s="5" t="str">
        <f>+IF('Data Pura Costos'!D1792="","",'Data Pura Costos'!D1792)</f>
        <v/>
      </c>
      <c r="E1792" s="65" t="str">
        <f>+IF('Data Pura Costos'!E1792="","",IF('Data Pura Costos'!E1792=0,MAX('Data Pura Costos'!$E$7:$E$3000)*1000,'Data Pura Costos'!E1792))</f>
        <v/>
      </c>
      <c r="F1792" s="5" t="str">
        <f>+IF('Data Pura Costos'!F1792="","",'Data Pura Costos'!F1792)</f>
        <v/>
      </c>
      <c r="G1792" s="5" t="str">
        <f>+IF('Data Pura Costos'!G1792="","",'Data Pura Costos'!G1792)</f>
        <v/>
      </c>
      <c r="H1792" s="52" t="str">
        <f>+IF('Data Pura Costos'!H1792="","",'Data Pura Costos'!H1792)</f>
        <v/>
      </c>
      <c r="I1792" s="71" t="str">
        <f>+IF('Data Pura Costos'!I1792="","",'Data Pura Costos'!I1792)</f>
        <v/>
      </c>
      <c r="J1792" s="52" t="str">
        <f>+IF('Data Pura Costos'!J1792="","",'Data Pura Costos'!J1792)</f>
        <v/>
      </c>
      <c r="K1792" s="82" t="str">
        <f t="shared" si="33"/>
        <v/>
      </c>
    </row>
    <row r="1793" spans="2:11" x14ac:dyDescent="0.35">
      <c r="B1793" s="4" t="str">
        <f>+IF('Data Pura Costos'!B1793="","",'Data Pura Costos'!B1793)</f>
        <v/>
      </c>
      <c r="C1793" s="4" t="str">
        <f>+IF('Data Pura Costos'!C1793="","",'Data Pura Costos'!C1793)</f>
        <v/>
      </c>
      <c r="D1793" s="5" t="str">
        <f>+IF('Data Pura Costos'!D1793="","",'Data Pura Costos'!D1793)</f>
        <v/>
      </c>
      <c r="E1793" s="65" t="str">
        <f>+IF('Data Pura Costos'!E1793="","",IF('Data Pura Costos'!E1793=0,MAX('Data Pura Costos'!$E$7:$E$3000)*1000,'Data Pura Costos'!E1793))</f>
        <v/>
      </c>
      <c r="F1793" s="5" t="str">
        <f>+IF('Data Pura Costos'!F1793="","",'Data Pura Costos'!F1793)</f>
        <v/>
      </c>
      <c r="G1793" s="5" t="str">
        <f>+IF('Data Pura Costos'!G1793="","",'Data Pura Costos'!G1793)</f>
        <v/>
      </c>
      <c r="H1793" s="52" t="str">
        <f>+IF('Data Pura Costos'!H1793="","",'Data Pura Costos'!H1793)</f>
        <v/>
      </c>
      <c r="I1793" s="71" t="str">
        <f>+IF('Data Pura Costos'!I1793="","",'Data Pura Costos'!I1793)</f>
        <v/>
      </c>
      <c r="J1793" s="52" t="str">
        <f>+IF('Data Pura Costos'!J1793="","",'Data Pura Costos'!J1793)</f>
        <v/>
      </c>
      <c r="K1793" s="82" t="str">
        <f t="shared" si="33"/>
        <v/>
      </c>
    </row>
    <row r="1794" spans="2:11" x14ac:dyDescent="0.35">
      <c r="B1794" s="4" t="str">
        <f>+IF('Data Pura Costos'!B1794="","",'Data Pura Costos'!B1794)</f>
        <v/>
      </c>
      <c r="C1794" s="4" t="str">
        <f>+IF('Data Pura Costos'!C1794="","",'Data Pura Costos'!C1794)</f>
        <v/>
      </c>
      <c r="D1794" s="5" t="str">
        <f>+IF('Data Pura Costos'!D1794="","",'Data Pura Costos'!D1794)</f>
        <v/>
      </c>
      <c r="E1794" s="65" t="str">
        <f>+IF('Data Pura Costos'!E1794="","",IF('Data Pura Costos'!E1794=0,MAX('Data Pura Costos'!$E$7:$E$3000)*1000,'Data Pura Costos'!E1794))</f>
        <v/>
      </c>
      <c r="F1794" s="5" t="str">
        <f>+IF('Data Pura Costos'!F1794="","",'Data Pura Costos'!F1794)</f>
        <v/>
      </c>
      <c r="G1794" s="5" t="str">
        <f>+IF('Data Pura Costos'!G1794="","",'Data Pura Costos'!G1794)</f>
        <v/>
      </c>
      <c r="H1794" s="52" t="str">
        <f>+IF('Data Pura Costos'!H1794="","",'Data Pura Costos'!H1794)</f>
        <v/>
      </c>
      <c r="I1794" s="71" t="str">
        <f>+IF('Data Pura Costos'!I1794="","",'Data Pura Costos'!I1794)</f>
        <v/>
      </c>
      <c r="J1794" s="52" t="str">
        <f>+IF('Data Pura Costos'!J1794="","",'Data Pura Costos'!J1794)</f>
        <v/>
      </c>
      <c r="K1794" s="82" t="str">
        <f t="shared" si="33"/>
        <v/>
      </c>
    </row>
    <row r="1795" spans="2:11" x14ac:dyDescent="0.35">
      <c r="B1795" s="4" t="str">
        <f>+IF('Data Pura Costos'!B1795="","",'Data Pura Costos'!B1795)</f>
        <v/>
      </c>
      <c r="C1795" s="4" t="str">
        <f>+IF('Data Pura Costos'!C1795="","",'Data Pura Costos'!C1795)</f>
        <v/>
      </c>
      <c r="D1795" s="5" t="str">
        <f>+IF('Data Pura Costos'!D1795="","",'Data Pura Costos'!D1795)</f>
        <v/>
      </c>
      <c r="E1795" s="65" t="str">
        <f>+IF('Data Pura Costos'!E1795="","",IF('Data Pura Costos'!E1795=0,MAX('Data Pura Costos'!$E$7:$E$3000)*1000,'Data Pura Costos'!E1795))</f>
        <v/>
      </c>
      <c r="F1795" s="5" t="str">
        <f>+IF('Data Pura Costos'!F1795="","",'Data Pura Costos'!F1795)</f>
        <v/>
      </c>
      <c r="G1795" s="5" t="str">
        <f>+IF('Data Pura Costos'!G1795="","",'Data Pura Costos'!G1795)</f>
        <v/>
      </c>
      <c r="H1795" s="52" t="str">
        <f>+IF('Data Pura Costos'!H1795="","",'Data Pura Costos'!H1795)</f>
        <v/>
      </c>
      <c r="I1795" s="71" t="str">
        <f>+IF('Data Pura Costos'!I1795="","",'Data Pura Costos'!I1795)</f>
        <v/>
      </c>
      <c r="J1795" s="52" t="str">
        <f>+IF('Data Pura Costos'!J1795="","",'Data Pura Costos'!J1795)</f>
        <v/>
      </c>
      <c r="K1795" s="82" t="str">
        <f t="shared" si="33"/>
        <v/>
      </c>
    </row>
    <row r="1796" spans="2:11" x14ac:dyDescent="0.35">
      <c r="B1796" s="4" t="str">
        <f>+IF('Data Pura Costos'!B1796="","",'Data Pura Costos'!B1796)</f>
        <v/>
      </c>
      <c r="C1796" s="4" t="str">
        <f>+IF('Data Pura Costos'!C1796="","",'Data Pura Costos'!C1796)</f>
        <v/>
      </c>
      <c r="D1796" s="5" t="str">
        <f>+IF('Data Pura Costos'!D1796="","",'Data Pura Costos'!D1796)</f>
        <v/>
      </c>
      <c r="E1796" s="65" t="str">
        <f>+IF('Data Pura Costos'!E1796="","",IF('Data Pura Costos'!E1796=0,MAX('Data Pura Costos'!$E$7:$E$3000)*1000,'Data Pura Costos'!E1796))</f>
        <v/>
      </c>
      <c r="F1796" s="5" t="str">
        <f>+IF('Data Pura Costos'!F1796="","",'Data Pura Costos'!F1796)</f>
        <v/>
      </c>
      <c r="G1796" s="5" t="str">
        <f>+IF('Data Pura Costos'!G1796="","",'Data Pura Costos'!G1796)</f>
        <v/>
      </c>
      <c r="H1796" s="52" t="str">
        <f>+IF('Data Pura Costos'!H1796="","",'Data Pura Costos'!H1796)</f>
        <v/>
      </c>
      <c r="I1796" s="71" t="str">
        <f>+IF('Data Pura Costos'!I1796="","",'Data Pura Costos'!I1796)</f>
        <v/>
      </c>
      <c r="J1796" s="52" t="str">
        <f>+IF('Data Pura Costos'!J1796="","",'Data Pura Costos'!J1796)</f>
        <v/>
      </c>
      <c r="K1796" s="82" t="str">
        <f t="shared" si="33"/>
        <v/>
      </c>
    </row>
    <row r="1797" spans="2:11" x14ac:dyDescent="0.35">
      <c r="B1797" s="4" t="str">
        <f>+IF('Data Pura Costos'!B1797="","",'Data Pura Costos'!B1797)</f>
        <v/>
      </c>
      <c r="C1797" s="4" t="str">
        <f>+IF('Data Pura Costos'!C1797="","",'Data Pura Costos'!C1797)</f>
        <v/>
      </c>
      <c r="D1797" s="5" t="str">
        <f>+IF('Data Pura Costos'!D1797="","",'Data Pura Costos'!D1797)</f>
        <v/>
      </c>
      <c r="E1797" s="65" t="str">
        <f>+IF('Data Pura Costos'!E1797="","",IF('Data Pura Costos'!E1797=0,MAX('Data Pura Costos'!$E$7:$E$3000)*1000,'Data Pura Costos'!E1797))</f>
        <v/>
      </c>
      <c r="F1797" s="5" t="str">
        <f>+IF('Data Pura Costos'!F1797="","",'Data Pura Costos'!F1797)</f>
        <v/>
      </c>
      <c r="G1797" s="5" t="str">
        <f>+IF('Data Pura Costos'!G1797="","",'Data Pura Costos'!G1797)</f>
        <v/>
      </c>
      <c r="H1797" s="52" t="str">
        <f>+IF('Data Pura Costos'!H1797="","",'Data Pura Costos'!H1797)</f>
        <v/>
      </c>
      <c r="I1797" s="71" t="str">
        <f>+IF('Data Pura Costos'!I1797="","",'Data Pura Costos'!I1797)</f>
        <v/>
      </c>
      <c r="J1797" s="52" t="str">
        <f>+IF('Data Pura Costos'!J1797="","",'Data Pura Costos'!J1797)</f>
        <v/>
      </c>
      <c r="K1797" s="82" t="str">
        <f t="shared" si="33"/>
        <v/>
      </c>
    </row>
    <row r="1798" spans="2:11" x14ac:dyDescent="0.35">
      <c r="B1798" s="4" t="str">
        <f>+IF('Data Pura Costos'!B1798="","",'Data Pura Costos'!B1798)</f>
        <v/>
      </c>
      <c r="C1798" s="4" t="str">
        <f>+IF('Data Pura Costos'!C1798="","",'Data Pura Costos'!C1798)</f>
        <v/>
      </c>
      <c r="D1798" s="5" t="str">
        <f>+IF('Data Pura Costos'!D1798="","",'Data Pura Costos'!D1798)</f>
        <v/>
      </c>
      <c r="E1798" s="65" t="str">
        <f>+IF('Data Pura Costos'!E1798="","",IF('Data Pura Costos'!E1798=0,MAX('Data Pura Costos'!$E$7:$E$3000)*1000,'Data Pura Costos'!E1798))</f>
        <v/>
      </c>
      <c r="F1798" s="5" t="str">
        <f>+IF('Data Pura Costos'!F1798="","",'Data Pura Costos'!F1798)</f>
        <v/>
      </c>
      <c r="G1798" s="5" t="str">
        <f>+IF('Data Pura Costos'!G1798="","",'Data Pura Costos'!G1798)</f>
        <v/>
      </c>
      <c r="H1798" s="52" t="str">
        <f>+IF('Data Pura Costos'!H1798="","",'Data Pura Costos'!H1798)</f>
        <v/>
      </c>
      <c r="I1798" s="71" t="str">
        <f>+IF('Data Pura Costos'!I1798="","",'Data Pura Costos'!I1798)</f>
        <v/>
      </c>
      <c r="J1798" s="52" t="str">
        <f>+IF('Data Pura Costos'!J1798="","",'Data Pura Costos'!J1798)</f>
        <v/>
      </c>
      <c r="K1798" s="82" t="str">
        <f t="shared" si="33"/>
        <v/>
      </c>
    </row>
    <row r="1799" spans="2:11" x14ac:dyDescent="0.35">
      <c r="B1799" s="4" t="str">
        <f>+IF('Data Pura Costos'!B1799="","",'Data Pura Costos'!B1799)</f>
        <v/>
      </c>
      <c r="C1799" s="4" t="str">
        <f>+IF('Data Pura Costos'!C1799="","",'Data Pura Costos'!C1799)</f>
        <v/>
      </c>
      <c r="D1799" s="5" t="str">
        <f>+IF('Data Pura Costos'!D1799="","",'Data Pura Costos'!D1799)</f>
        <v/>
      </c>
      <c r="E1799" s="65" t="str">
        <f>+IF('Data Pura Costos'!E1799="","",IF('Data Pura Costos'!E1799=0,MAX('Data Pura Costos'!$E$7:$E$3000)*1000,'Data Pura Costos'!E1799))</f>
        <v/>
      </c>
      <c r="F1799" s="5" t="str">
        <f>+IF('Data Pura Costos'!F1799="","",'Data Pura Costos'!F1799)</f>
        <v/>
      </c>
      <c r="G1799" s="5" t="str">
        <f>+IF('Data Pura Costos'!G1799="","",'Data Pura Costos'!G1799)</f>
        <v/>
      </c>
      <c r="H1799" s="52" t="str">
        <f>+IF('Data Pura Costos'!H1799="","",'Data Pura Costos'!H1799)</f>
        <v/>
      </c>
      <c r="I1799" s="71" t="str">
        <f>+IF('Data Pura Costos'!I1799="","",'Data Pura Costos'!I1799)</f>
        <v/>
      </c>
      <c r="J1799" s="52" t="str">
        <f>+IF('Data Pura Costos'!J1799="","",'Data Pura Costos'!J1799)</f>
        <v/>
      </c>
      <c r="K1799" s="82" t="str">
        <f t="shared" si="33"/>
        <v/>
      </c>
    </row>
    <row r="1800" spans="2:11" x14ac:dyDescent="0.35">
      <c r="B1800" s="4" t="str">
        <f>+IF('Data Pura Costos'!B1800="","",'Data Pura Costos'!B1800)</f>
        <v/>
      </c>
      <c r="C1800" s="4" t="str">
        <f>+IF('Data Pura Costos'!C1800="","",'Data Pura Costos'!C1800)</f>
        <v/>
      </c>
      <c r="D1800" s="5" t="str">
        <f>+IF('Data Pura Costos'!D1800="","",'Data Pura Costos'!D1800)</f>
        <v/>
      </c>
      <c r="E1800" s="65" t="str">
        <f>+IF('Data Pura Costos'!E1800="","",IF('Data Pura Costos'!E1800=0,MAX('Data Pura Costos'!$E$7:$E$3000)*1000,'Data Pura Costos'!E1800))</f>
        <v/>
      </c>
      <c r="F1800" s="5" t="str">
        <f>+IF('Data Pura Costos'!F1800="","",'Data Pura Costos'!F1800)</f>
        <v/>
      </c>
      <c r="G1800" s="5" t="str">
        <f>+IF('Data Pura Costos'!G1800="","",'Data Pura Costos'!G1800)</f>
        <v/>
      </c>
      <c r="H1800" s="52" t="str">
        <f>+IF('Data Pura Costos'!H1800="","",'Data Pura Costos'!H1800)</f>
        <v/>
      </c>
      <c r="I1800" s="71" t="str">
        <f>+IF('Data Pura Costos'!I1800="","",'Data Pura Costos'!I1800)</f>
        <v/>
      </c>
      <c r="J1800" s="52" t="str">
        <f>+IF('Data Pura Costos'!J1800="","",'Data Pura Costos'!J1800)</f>
        <v/>
      </c>
      <c r="K1800" s="82" t="str">
        <f t="shared" si="33"/>
        <v/>
      </c>
    </row>
    <row r="1801" spans="2:11" x14ac:dyDescent="0.35">
      <c r="B1801" s="4" t="str">
        <f>+IF('Data Pura Costos'!B1801="","",'Data Pura Costos'!B1801)</f>
        <v/>
      </c>
      <c r="C1801" s="4" t="str">
        <f>+IF('Data Pura Costos'!C1801="","",'Data Pura Costos'!C1801)</f>
        <v/>
      </c>
      <c r="D1801" s="5" t="str">
        <f>+IF('Data Pura Costos'!D1801="","",'Data Pura Costos'!D1801)</f>
        <v/>
      </c>
      <c r="E1801" s="65" t="str">
        <f>+IF('Data Pura Costos'!E1801="","",IF('Data Pura Costos'!E1801=0,MAX('Data Pura Costos'!$E$7:$E$3000)*1000,'Data Pura Costos'!E1801))</f>
        <v/>
      </c>
      <c r="F1801" s="5" t="str">
        <f>+IF('Data Pura Costos'!F1801="","",'Data Pura Costos'!F1801)</f>
        <v/>
      </c>
      <c r="G1801" s="5" t="str">
        <f>+IF('Data Pura Costos'!G1801="","",'Data Pura Costos'!G1801)</f>
        <v/>
      </c>
      <c r="H1801" s="52" t="str">
        <f>+IF('Data Pura Costos'!H1801="","",'Data Pura Costos'!H1801)</f>
        <v/>
      </c>
      <c r="I1801" s="71" t="str">
        <f>+IF('Data Pura Costos'!I1801="","",'Data Pura Costos'!I1801)</f>
        <v/>
      </c>
      <c r="J1801" s="52" t="str">
        <f>+IF('Data Pura Costos'!J1801="","",'Data Pura Costos'!J1801)</f>
        <v/>
      </c>
      <c r="K1801" s="82" t="str">
        <f t="shared" si="33"/>
        <v/>
      </c>
    </row>
    <row r="1802" spans="2:11" x14ac:dyDescent="0.35">
      <c r="B1802" s="4" t="str">
        <f>+IF('Data Pura Costos'!B1802="","",'Data Pura Costos'!B1802)</f>
        <v/>
      </c>
      <c r="C1802" s="4" t="str">
        <f>+IF('Data Pura Costos'!C1802="","",'Data Pura Costos'!C1802)</f>
        <v/>
      </c>
      <c r="D1802" s="5" t="str">
        <f>+IF('Data Pura Costos'!D1802="","",'Data Pura Costos'!D1802)</f>
        <v/>
      </c>
      <c r="E1802" s="65" t="str">
        <f>+IF('Data Pura Costos'!E1802="","",IF('Data Pura Costos'!E1802=0,MAX('Data Pura Costos'!$E$7:$E$3000)*1000,'Data Pura Costos'!E1802))</f>
        <v/>
      </c>
      <c r="F1802" s="5" t="str">
        <f>+IF('Data Pura Costos'!F1802="","",'Data Pura Costos'!F1802)</f>
        <v/>
      </c>
      <c r="G1802" s="5" t="str">
        <f>+IF('Data Pura Costos'!G1802="","",'Data Pura Costos'!G1802)</f>
        <v/>
      </c>
      <c r="H1802" s="52" t="str">
        <f>+IF('Data Pura Costos'!H1802="","",'Data Pura Costos'!H1802)</f>
        <v/>
      </c>
      <c r="I1802" s="71" t="str">
        <f>+IF('Data Pura Costos'!I1802="","",'Data Pura Costos'!I1802)</f>
        <v/>
      </c>
      <c r="J1802" s="52" t="str">
        <f>+IF('Data Pura Costos'!J1802="","",'Data Pura Costos'!J1802)</f>
        <v/>
      </c>
      <c r="K1802" s="82" t="str">
        <f t="shared" si="33"/>
        <v/>
      </c>
    </row>
    <row r="1803" spans="2:11" x14ac:dyDescent="0.35">
      <c r="B1803" s="4" t="str">
        <f>+IF('Data Pura Costos'!B1803="","",'Data Pura Costos'!B1803)</f>
        <v/>
      </c>
      <c r="C1803" s="4" t="str">
        <f>+IF('Data Pura Costos'!C1803="","",'Data Pura Costos'!C1803)</f>
        <v/>
      </c>
      <c r="D1803" s="5" t="str">
        <f>+IF('Data Pura Costos'!D1803="","",'Data Pura Costos'!D1803)</f>
        <v/>
      </c>
      <c r="E1803" s="65" t="str">
        <f>+IF('Data Pura Costos'!E1803="","",IF('Data Pura Costos'!E1803=0,MAX('Data Pura Costos'!$E$7:$E$3000)*1000,'Data Pura Costos'!E1803))</f>
        <v/>
      </c>
      <c r="F1803" s="5" t="str">
        <f>+IF('Data Pura Costos'!F1803="","",'Data Pura Costos'!F1803)</f>
        <v/>
      </c>
      <c r="G1803" s="5" t="str">
        <f>+IF('Data Pura Costos'!G1803="","",'Data Pura Costos'!G1803)</f>
        <v/>
      </c>
      <c r="H1803" s="52" t="str">
        <f>+IF('Data Pura Costos'!H1803="","",'Data Pura Costos'!H1803)</f>
        <v/>
      </c>
      <c r="I1803" s="71" t="str">
        <f>+IF('Data Pura Costos'!I1803="","",'Data Pura Costos'!I1803)</f>
        <v/>
      </c>
      <c r="J1803" s="52" t="str">
        <f>+IF('Data Pura Costos'!J1803="","",'Data Pura Costos'!J1803)</f>
        <v/>
      </c>
      <c r="K1803" s="82" t="str">
        <f t="shared" si="33"/>
        <v/>
      </c>
    </row>
    <row r="1804" spans="2:11" x14ac:dyDescent="0.35">
      <c r="B1804" s="4" t="str">
        <f>+IF('Data Pura Costos'!B1804="","",'Data Pura Costos'!B1804)</f>
        <v/>
      </c>
      <c r="C1804" s="4" t="str">
        <f>+IF('Data Pura Costos'!C1804="","",'Data Pura Costos'!C1804)</f>
        <v/>
      </c>
      <c r="D1804" s="5" t="str">
        <f>+IF('Data Pura Costos'!D1804="","",'Data Pura Costos'!D1804)</f>
        <v/>
      </c>
      <c r="E1804" s="65" t="str">
        <f>+IF('Data Pura Costos'!E1804="","",IF('Data Pura Costos'!E1804=0,MAX('Data Pura Costos'!$E$7:$E$3000)*1000,'Data Pura Costos'!E1804))</f>
        <v/>
      </c>
      <c r="F1804" s="5" t="str">
        <f>+IF('Data Pura Costos'!F1804="","",'Data Pura Costos'!F1804)</f>
        <v/>
      </c>
      <c r="G1804" s="5" t="str">
        <f>+IF('Data Pura Costos'!G1804="","",'Data Pura Costos'!G1804)</f>
        <v/>
      </c>
      <c r="H1804" s="52" t="str">
        <f>+IF('Data Pura Costos'!H1804="","",'Data Pura Costos'!H1804)</f>
        <v/>
      </c>
      <c r="I1804" s="71" t="str">
        <f>+IF('Data Pura Costos'!I1804="","",'Data Pura Costos'!I1804)</f>
        <v/>
      </c>
      <c r="J1804" s="52" t="str">
        <f>+IF('Data Pura Costos'!J1804="","",'Data Pura Costos'!J1804)</f>
        <v/>
      </c>
      <c r="K1804" s="82" t="str">
        <f t="shared" si="33"/>
        <v/>
      </c>
    </row>
    <row r="1805" spans="2:11" x14ac:dyDescent="0.35">
      <c r="B1805" s="4" t="str">
        <f>+IF('Data Pura Costos'!B1805="","",'Data Pura Costos'!B1805)</f>
        <v/>
      </c>
      <c r="C1805" s="4" t="str">
        <f>+IF('Data Pura Costos'!C1805="","",'Data Pura Costos'!C1805)</f>
        <v/>
      </c>
      <c r="D1805" s="5" t="str">
        <f>+IF('Data Pura Costos'!D1805="","",'Data Pura Costos'!D1805)</f>
        <v/>
      </c>
      <c r="E1805" s="65" t="str">
        <f>+IF('Data Pura Costos'!E1805="","",IF('Data Pura Costos'!E1805=0,MAX('Data Pura Costos'!$E$7:$E$3000)*1000,'Data Pura Costos'!E1805))</f>
        <v/>
      </c>
      <c r="F1805" s="5" t="str">
        <f>+IF('Data Pura Costos'!F1805="","",'Data Pura Costos'!F1805)</f>
        <v/>
      </c>
      <c r="G1805" s="5" t="str">
        <f>+IF('Data Pura Costos'!G1805="","",'Data Pura Costos'!G1805)</f>
        <v/>
      </c>
      <c r="H1805" s="52" t="str">
        <f>+IF('Data Pura Costos'!H1805="","",'Data Pura Costos'!H1805)</f>
        <v/>
      </c>
      <c r="I1805" s="71" t="str">
        <f>+IF('Data Pura Costos'!I1805="","",'Data Pura Costos'!I1805)</f>
        <v/>
      </c>
      <c r="J1805" s="52" t="str">
        <f>+IF('Data Pura Costos'!J1805="","",'Data Pura Costos'!J1805)</f>
        <v/>
      </c>
      <c r="K1805" s="82" t="str">
        <f t="shared" si="33"/>
        <v/>
      </c>
    </row>
    <row r="1806" spans="2:11" x14ac:dyDescent="0.35">
      <c r="B1806" s="4" t="str">
        <f>+IF('Data Pura Costos'!B1806="","",'Data Pura Costos'!B1806)</f>
        <v/>
      </c>
      <c r="C1806" s="4" t="str">
        <f>+IF('Data Pura Costos'!C1806="","",'Data Pura Costos'!C1806)</f>
        <v/>
      </c>
      <c r="D1806" s="5" t="str">
        <f>+IF('Data Pura Costos'!D1806="","",'Data Pura Costos'!D1806)</f>
        <v/>
      </c>
      <c r="E1806" s="65" t="str">
        <f>+IF('Data Pura Costos'!E1806="","",IF('Data Pura Costos'!E1806=0,MAX('Data Pura Costos'!$E$7:$E$3000)*1000,'Data Pura Costos'!E1806))</f>
        <v/>
      </c>
      <c r="F1806" s="5" t="str">
        <f>+IF('Data Pura Costos'!F1806="","",'Data Pura Costos'!F1806)</f>
        <v/>
      </c>
      <c r="G1806" s="5" t="str">
        <f>+IF('Data Pura Costos'!G1806="","",'Data Pura Costos'!G1806)</f>
        <v/>
      </c>
      <c r="H1806" s="52" t="str">
        <f>+IF('Data Pura Costos'!H1806="","",'Data Pura Costos'!H1806)</f>
        <v/>
      </c>
      <c r="I1806" s="71" t="str">
        <f>+IF('Data Pura Costos'!I1806="","",'Data Pura Costos'!I1806)</f>
        <v/>
      </c>
      <c r="J1806" s="52" t="str">
        <f>+IF('Data Pura Costos'!J1806="","",'Data Pura Costos'!J1806)</f>
        <v/>
      </c>
      <c r="K1806" s="82" t="str">
        <f t="shared" si="33"/>
        <v/>
      </c>
    </row>
    <row r="1807" spans="2:11" x14ac:dyDescent="0.35">
      <c r="B1807" s="4" t="str">
        <f>+IF('Data Pura Costos'!B1807="","",'Data Pura Costos'!B1807)</f>
        <v/>
      </c>
      <c r="C1807" s="4" t="str">
        <f>+IF('Data Pura Costos'!C1807="","",'Data Pura Costos'!C1807)</f>
        <v/>
      </c>
      <c r="D1807" s="5" t="str">
        <f>+IF('Data Pura Costos'!D1807="","",'Data Pura Costos'!D1807)</f>
        <v/>
      </c>
      <c r="E1807" s="65" t="str">
        <f>+IF('Data Pura Costos'!E1807="","",IF('Data Pura Costos'!E1807=0,MAX('Data Pura Costos'!$E$7:$E$3000)*1000,'Data Pura Costos'!E1807))</f>
        <v/>
      </c>
      <c r="F1807" s="5" t="str">
        <f>+IF('Data Pura Costos'!F1807="","",'Data Pura Costos'!F1807)</f>
        <v/>
      </c>
      <c r="G1807" s="5" t="str">
        <f>+IF('Data Pura Costos'!G1807="","",'Data Pura Costos'!G1807)</f>
        <v/>
      </c>
      <c r="H1807" s="52" t="str">
        <f>+IF('Data Pura Costos'!H1807="","",'Data Pura Costos'!H1807)</f>
        <v/>
      </c>
      <c r="I1807" s="71" t="str">
        <f>+IF('Data Pura Costos'!I1807="","",'Data Pura Costos'!I1807)</f>
        <v/>
      </c>
      <c r="J1807" s="52" t="str">
        <f>+IF('Data Pura Costos'!J1807="","",'Data Pura Costos'!J1807)</f>
        <v/>
      </c>
      <c r="K1807" s="82" t="str">
        <f t="shared" si="33"/>
        <v/>
      </c>
    </row>
    <row r="1808" spans="2:11" x14ac:dyDescent="0.35">
      <c r="B1808" s="4" t="str">
        <f>+IF('Data Pura Costos'!B1808="","",'Data Pura Costos'!B1808)</f>
        <v/>
      </c>
      <c r="C1808" s="4" t="str">
        <f>+IF('Data Pura Costos'!C1808="","",'Data Pura Costos'!C1808)</f>
        <v/>
      </c>
      <c r="D1808" s="5" t="str">
        <f>+IF('Data Pura Costos'!D1808="","",'Data Pura Costos'!D1808)</f>
        <v/>
      </c>
      <c r="E1808" s="65" t="str">
        <f>+IF('Data Pura Costos'!E1808="","",IF('Data Pura Costos'!E1808=0,MAX('Data Pura Costos'!$E$7:$E$3000)*1000,'Data Pura Costos'!E1808))</f>
        <v/>
      </c>
      <c r="F1808" s="5" t="str">
        <f>+IF('Data Pura Costos'!F1808="","",'Data Pura Costos'!F1808)</f>
        <v/>
      </c>
      <c r="G1808" s="5" t="str">
        <f>+IF('Data Pura Costos'!G1808="","",'Data Pura Costos'!G1808)</f>
        <v/>
      </c>
      <c r="H1808" s="52" t="str">
        <f>+IF('Data Pura Costos'!H1808="","",'Data Pura Costos'!H1808)</f>
        <v/>
      </c>
      <c r="I1808" s="71" t="str">
        <f>+IF('Data Pura Costos'!I1808="","",'Data Pura Costos'!I1808)</f>
        <v/>
      </c>
      <c r="J1808" s="52" t="str">
        <f>+IF('Data Pura Costos'!J1808="","",'Data Pura Costos'!J1808)</f>
        <v/>
      </c>
      <c r="K1808" s="82" t="str">
        <f t="shared" si="33"/>
        <v/>
      </c>
    </row>
    <row r="1809" spans="2:11" x14ac:dyDescent="0.35">
      <c r="B1809" s="4" t="str">
        <f>+IF('Data Pura Costos'!B1809="","",'Data Pura Costos'!B1809)</f>
        <v/>
      </c>
      <c r="C1809" s="4" t="str">
        <f>+IF('Data Pura Costos'!C1809="","",'Data Pura Costos'!C1809)</f>
        <v/>
      </c>
      <c r="D1809" s="5" t="str">
        <f>+IF('Data Pura Costos'!D1809="","",'Data Pura Costos'!D1809)</f>
        <v/>
      </c>
      <c r="E1809" s="65" t="str">
        <f>+IF('Data Pura Costos'!E1809="","",IF('Data Pura Costos'!E1809=0,MAX('Data Pura Costos'!$E$7:$E$3000)*1000,'Data Pura Costos'!E1809))</f>
        <v/>
      </c>
      <c r="F1809" s="5" t="str">
        <f>+IF('Data Pura Costos'!F1809="","",'Data Pura Costos'!F1809)</f>
        <v/>
      </c>
      <c r="G1809" s="5" t="str">
        <f>+IF('Data Pura Costos'!G1809="","",'Data Pura Costos'!G1809)</f>
        <v/>
      </c>
      <c r="H1809" s="52" t="str">
        <f>+IF('Data Pura Costos'!H1809="","",'Data Pura Costos'!H1809)</f>
        <v/>
      </c>
      <c r="I1809" s="71" t="str">
        <f>+IF('Data Pura Costos'!I1809="","",'Data Pura Costos'!I1809)</f>
        <v/>
      </c>
      <c r="J1809" s="52" t="str">
        <f>+IF('Data Pura Costos'!J1809="","",'Data Pura Costos'!J1809)</f>
        <v/>
      </c>
      <c r="K1809" s="82" t="str">
        <f t="shared" si="33"/>
        <v/>
      </c>
    </row>
    <row r="1810" spans="2:11" x14ac:dyDescent="0.35">
      <c r="B1810" s="4" t="str">
        <f>+IF('Data Pura Costos'!B1810="","",'Data Pura Costos'!B1810)</f>
        <v/>
      </c>
      <c r="C1810" s="4" t="str">
        <f>+IF('Data Pura Costos'!C1810="","",'Data Pura Costos'!C1810)</f>
        <v/>
      </c>
      <c r="D1810" s="5" t="str">
        <f>+IF('Data Pura Costos'!D1810="","",'Data Pura Costos'!D1810)</f>
        <v/>
      </c>
      <c r="E1810" s="65" t="str">
        <f>+IF('Data Pura Costos'!E1810="","",IF('Data Pura Costos'!E1810=0,MAX('Data Pura Costos'!$E$7:$E$3000)*1000,'Data Pura Costos'!E1810))</f>
        <v/>
      </c>
      <c r="F1810" s="5" t="str">
        <f>+IF('Data Pura Costos'!F1810="","",'Data Pura Costos'!F1810)</f>
        <v/>
      </c>
      <c r="G1810" s="5" t="str">
        <f>+IF('Data Pura Costos'!G1810="","",'Data Pura Costos'!G1810)</f>
        <v/>
      </c>
      <c r="H1810" s="52" t="str">
        <f>+IF('Data Pura Costos'!H1810="","",'Data Pura Costos'!H1810)</f>
        <v/>
      </c>
      <c r="I1810" s="71" t="str">
        <f>+IF('Data Pura Costos'!I1810="","",'Data Pura Costos'!I1810)</f>
        <v/>
      </c>
      <c r="J1810" s="52" t="str">
        <f>+IF('Data Pura Costos'!J1810="","",'Data Pura Costos'!J1810)</f>
        <v/>
      </c>
      <c r="K1810" s="82" t="str">
        <f t="shared" si="33"/>
        <v/>
      </c>
    </row>
    <row r="1811" spans="2:11" x14ac:dyDescent="0.35">
      <c r="B1811" s="4" t="str">
        <f>+IF('Data Pura Costos'!B1811="","",'Data Pura Costos'!B1811)</f>
        <v/>
      </c>
      <c r="C1811" s="4" t="str">
        <f>+IF('Data Pura Costos'!C1811="","",'Data Pura Costos'!C1811)</f>
        <v/>
      </c>
      <c r="D1811" s="5" t="str">
        <f>+IF('Data Pura Costos'!D1811="","",'Data Pura Costos'!D1811)</f>
        <v/>
      </c>
      <c r="E1811" s="65" t="str">
        <f>+IF('Data Pura Costos'!E1811="","",IF('Data Pura Costos'!E1811=0,MAX('Data Pura Costos'!$E$7:$E$3000)*1000,'Data Pura Costos'!E1811))</f>
        <v/>
      </c>
      <c r="F1811" s="5" t="str">
        <f>+IF('Data Pura Costos'!F1811="","",'Data Pura Costos'!F1811)</f>
        <v/>
      </c>
      <c r="G1811" s="5" t="str">
        <f>+IF('Data Pura Costos'!G1811="","",'Data Pura Costos'!G1811)</f>
        <v/>
      </c>
      <c r="H1811" s="52" t="str">
        <f>+IF('Data Pura Costos'!H1811="","",'Data Pura Costos'!H1811)</f>
        <v/>
      </c>
      <c r="I1811" s="71" t="str">
        <f>+IF('Data Pura Costos'!I1811="","",'Data Pura Costos'!I1811)</f>
        <v/>
      </c>
      <c r="J1811" s="52" t="str">
        <f>+IF('Data Pura Costos'!J1811="","",'Data Pura Costos'!J1811)</f>
        <v/>
      </c>
      <c r="K1811" s="82" t="str">
        <f t="shared" si="33"/>
        <v/>
      </c>
    </row>
    <row r="1812" spans="2:11" x14ac:dyDescent="0.35">
      <c r="B1812" s="4" t="str">
        <f>+IF('Data Pura Costos'!B1812="","",'Data Pura Costos'!B1812)</f>
        <v/>
      </c>
      <c r="C1812" s="4" t="str">
        <f>+IF('Data Pura Costos'!C1812="","",'Data Pura Costos'!C1812)</f>
        <v/>
      </c>
      <c r="D1812" s="5" t="str">
        <f>+IF('Data Pura Costos'!D1812="","",'Data Pura Costos'!D1812)</f>
        <v/>
      </c>
      <c r="E1812" s="65" t="str">
        <f>+IF('Data Pura Costos'!E1812="","",IF('Data Pura Costos'!E1812=0,MAX('Data Pura Costos'!$E$7:$E$3000)*1000,'Data Pura Costos'!E1812))</f>
        <v/>
      </c>
      <c r="F1812" s="5" t="str">
        <f>+IF('Data Pura Costos'!F1812="","",'Data Pura Costos'!F1812)</f>
        <v/>
      </c>
      <c r="G1812" s="5" t="str">
        <f>+IF('Data Pura Costos'!G1812="","",'Data Pura Costos'!G1812)</f>
        <v/>
      </c>
      <c r="H1812" s="52" t="str">
        <f>+IF('Data Pura Costos'!H1812="","",'Data Pura Costos'!H1812)</f>
        <v/>
      </c>
      <c r="I1812" s="71" t="str">
        <f>+IF('Data Pura Costos'!I1812="","",'Data Pura Costos'!I1812)</f>
        <v/>
      </c>
      <c r="J1812" s="52" t="str">
        <f>+IF('Data Pura Costos'!J1812="","",'Data Pura Costos'!J1812)</f>
        <v/>
      </c>
      <c r="K1812" s="82" t="str">
        <f t="shared" si="33"/>
        <v/>
      </c>
    </row>
    <row r="1813" spans="2:11" x14ac:dyDescent="0.35">
      <c r="B1813" s="4" t="str">
        <f>+IF('Data Pura Costos'!B1813="","",'Data Pura Costos'!B1813)</f>
        <v/>
      </c>
      <c r="C1813" s="4" t="str">
        <f>+IF('Data Pura Costos'!C1813="","",'Data Pura Costos'!C1813)</f>
        <v/>
      </c>
      <c r="D1813" s="5" t="str">
        <f>+IF('Data Pura Costos'!D1813="","",'Data Pura Costos'!D1813)</f>
        <v/>
      </c>
      <c r="E1813" s="65" t="str">
        <f>+IF('Data Pura Costos'!E1813="","",IF('Data Pura Costos'!E1813=0,MAX('Data Pura Costos'!$E$7:$E$3000)*1000,'Data Pura Costos'!E1813))</f>
        <v/>
      </c>
      <c r="F1813" s="5" t="str">
        <f>+IF('Data Pura Costos'!F1813="","",'Data Pura Costos'!F1813)</f>
        <v/>
      </c>
      <c r="G1813" s="5" t="str">
        <f>+IF('Data Pura Costos'!G1813="","",'Data Pura Costos'!G1813)</f>
        <v/>
      </c>
      <c r="H1813" s="52" t="str">
        <f>+IF('Data Pura Costos'!H1813="","",'Data Pura Costos'!H1813)</f>
        <v/>
      </c>
      <c r="I1813" s="71" t="str">
        <f>+IF('Data Pura Costos'!I1813="","",'Data Pura Costos'!I1813)</f>
        <v/>
      </c>
      <c r="J1813" s="52" t="str">
        <f>+IF('Data Pura Costos'!J1813="","",'Data Pura Costos'!J1813)</f>
        <v/>
      </c>
      <c r="K1813" s="82" t="str">
        <f t="shared" si="33"/>
        <v/>
      </c>
    </row>
    <row r="1814" spans="2:11" x14ac:dyDescent="0.35">
      <c r="B1814" s="4" t="str">
        <f>+IF('Data Pura Costos'!B1814="","",'Data Pura Costos'!B1814)</f>
        <v/>
      </c>
      <c r="C1814" s="4" t="str">
        <f>+IF('Data Pura Costos'!C1814="","",'Data Pura Costos'!C1814)</f>
        <v/>
      </c>
      <c r="D1814" s="5" t="str">
        <f>+IF('Data Pura Costos'!D1814="","",'Data Pura Costos'!D1814)</f>
        <v/>
      </c>
      <c r="E1814" s="65" t="str">
        <f>+IF('Data Pura Costos'!E1814="","",IF('Data Pura Costos'!E1814=0,MAX('Data Pura Costos'!$E$7:$E$3000)*1000,'Data Pura Costos'!E1814))</f>
        <v/>
      </c>
      <c r="F1814" s="5" t="str">
        <f>+IF('Data Pura Costos'!F1814="","",'Data Pura Costos'!F1814)</f>
        <v/>
      </c>
      <c r="G1814" s="5" t="str">
        <f>+IF('Data Pura Costos'!G1814="","",'Data Pura Costos'!G1814)</f>
        <v/>
      </c>
      <c r="H1814" s="52" t="str">
        <f>+IF('Data Pura Costos'!H1814="","",'Data Pura Costos'!H1814)</f>
        <v/>
      </c>
      <c r="I1814" s="71" t="str">
        <f>+IF('Data Pura Costos'!I1814="","",'Data Pura Costos'!I1814)</f>
        <v/>
      </c>
      <c r="J1814" s="52" t="str">
        <f>+IF('Data Pura Costos'!J1814="","",'Data Pura Costos'!J1814)</f>
        <v/>
      </c>
      <c r="K1814" s="82" t="str">
        <f t="shared" si="33"/>
        <v/>
      </c>
    </row>
    <row r="1815" spans="2:11" x14ac:dyDescent="0.35">
      <c r="B1815" s="4" t="str">
        <f>+IF('Data Pura Costos'!B1815="","",'Data Pura Costos'!B1815)</f>
        <v/>
      </c>
      <c r="C1815" s="4" t="str">
        <f>+IF('Data Pura Costos'!C1815="","",'Data Pura Costos'!C1815)</f>
        <v/>
      </c>
      <c r="D1815" s="5" t="str">
        <f>+IF('Data Pura Costos'!D1815="","",'Data Pura Costos'!D1815)</f>
        <v/>
      </c>
      <c r="E1815" s="65" t="str">
        <f>+IF('Data Pura Costos'!E1815="","",IF('Data Pura Costos'!E1815=0,MAX('Data Pura Costos'!$E$7:$E$3000)*1000,'Data Pura Costos'!E1815))</f>
        <v/>
      </c>
      <c r="F1815" s="5" t="str">
        <f>+IF('Data Pura Costos'!F1815="","",'Data Pura Costos'!F1815)</f>
        <v/>
      </c>
      <c r="G1815" s="5" t="str">
        <f>+IF('Data Pura Costos'!G1815="","",'Data Pura Costos'!G1815)</f>
        <v/>
      </c>
      <c r="H1815" s="52" t="str">
        <f>+IF('Data Pura Costos'!H1815="","",'Data Pura Costos'!H1815)</f>
        <v/>
      </c>
      <c r="I1815" s="71" t="str">
        <f>+IF('Data Pura Costos'!I1815="","",'Data Pura Costos'!I1815)</f>
        <v/>
      </c>
      <c r="J1815" s="52" t="str">
        <f>+IF('Data Pura Costos'!J1815="","",'Data Pura Costos'!J1815)</f>
        <v/>
      </c>
      <c r="K1815" s="82" t="str">
        <f t="shared" si="33"/>
        <v/>
      </c>
    </row>
    <row r="1816" spans="2:11" x14ac:dyDescent="0.35">
      <c r="B1816" s="4" t="str">
        <f>+IF('Data Pura Costos'!B1816="","",'Data Pura Costos'!B1816)</f>
        <v/>
      </c>
      <c r="C1816" s="4" t="str">
        <f>+IF('Data Pura Costos'!C1816="","",'Data Pura Costos'!C1816)</f>
        <v/>
      </c>
      <c r="D1816" s="5" t="str">
        <f>+IF('Data Pura Costos'!D1816="","",'Data Pura Costos'!D1816)</f>
        <v/>
      </c>
      <c r="E1816" s="65" t="str">
        <f>+IF('Data Pura Costos'!E1816="","",IF('Data Pura Costos'!E1816=0,MAX('Data Pura Costos'!$E$7:$E$3000)*1000,'Data Pura Costos'!E1816))</f>
        <v/>
      </c>
      <c r="F1816" s="5" t="str">
        <f>+IF('Data Pura Costos'!F1816="","",'Data Pura Costos'!F1816)</f>
        <v/>
      </c>
      <c r="G1816" s="5" t="str">
        <f>+IF('Data Pura Costos'!G1816="","",'Data Pura Costos'!G1816)</f>
        <v/>
      </c>
      <c r="H1816" s="52" t="str">
        <f>+IF('Data Pura Costos'!H1816="","",'Data Pura Costos'!H1816)</f>
        <v/>
      </c>
      <c r="I1816" s="71" t="str">
        <f>+IF('Data Pura Costos'!I1816="","",'Data Pura Costos'!I1816)</f>
        <v/>
      </c>
      <c r="J1816" s="52" t="str">
        <f>+IF('Data Pura Costos'!J1816="","",'Data Pura Costos'!J1816)</f>
        <v/>
      </c>
      <c r="K1816" s="82" t="str">
        <f t="shared" si="33"/>
        <v/>
      </c>
    </row>
    <row r="1817" spans="2:11" x14ac:dyDescent="0.35">
      <c r="B1817" s="4" t="str">
        <f>+IF('Data Pura Costos'!B1817="","",'Data Pura Costos'!B1817)</f>
        <v/>
      </c>
      <c r="C1817" s="4" t="str">
        <f>+IF('Data Pura Costos'!C1817="","",'Data Pura Costos'!C1817)</f>
        <v/>
      </c>
      <c r="D1817" s="5" t="str">
        <f>+IF('Data Pura Costos'!D1817="","",'Data Pura Costos'!D1817)</f>
        <v/>
      </c>
      <c r="E1817" s="65" t="str">
        <f>+IF('Data Pura Costos'!E1817="","",IF('Data Pura Costos'!E1817=0,MAX('Data Pura Costos'!$E$7:$E$3000)*1000,'Data Pura Costos'!E1817))</f>
        <v/>
      </c>
      <c r="F1817" s="5" t="str">
        <f>+IF('Data Pura Costos'!F1817="","",'Data Pura Costos'!F1817)</f>
        <v/>
      </c>
      <c r="G1817" s="5" t="str">
        <f>+IF('Data Pura Costos'!G1817="","",'Data Pura Costos'!G1817)</f>
        <v/>
      </c>
      <c r="H1817" s="52" t="str">
        <f>+IF('Data Pura Costos'!H1817="","",'Data Pura Costos'!H1817)</f>
        <v/>
      </c>
      <c r="I1817" s="71" t="str">
        <f>+IF('Data Pura Costos'!I1817="","",'Data Pura Costos'!I1817)</f>
        <v/>
      </c>
      <c r="J1817" s="52" t="str">
        <f>+IF('Data Pura Costos'!J1817="","",'Data Pura Costos'!J1817)</f>
        <v/>
      </c>
      <c r="K1817" s="82" t="str">
        <f t="shared" si="33"/>
        <v/>
      </c>
    </row>
    <row r="1818" spans="2:11" x14ac:dyDescent="0.35">
      <c r="B1818" s="4" t="str">
        <f>+IF('Data Pura Costos'!B1818="","",'Data Pura Costos'!B1818)</f>
        <v/>
      </c>
      <c r="C1818" s="4" t="str">
        <f>+IF('Data Pura Costos'!C1818="","",'Data Pura Costos'!C1818)</f>
        <v/>
      </c>
      <c r="D1818" s="5" t="str">
        <f>+IF('Data Pura Costos'!D1818="","",'Data Pura Costos'!D1818)</f>
        <v/>
      </c>
      <c r="E1818" s="65" t="str">
        <f>+IF('Data Pura Costos'!E1818="","",IF('Data Pura Costos'!E1818=0,MAX('Data Pura Costos'!$E$7:$E$3000)*1000,'Data Pura Costos'!E1818))</f>
        <v/>
      </c>
      <c r="F1818" s="5" t="str">
        <f>+IF('Data Pura Costos'!F1818="","",'Data Pura Costos'!F1818)</f>
        <v/>
      </c>
      <c r="G1818" s="5" t="str">
        <f>+IF('Data Pura Costos'!G1818="","",'Data Pura Costos'!G1818)</f>
        <v/>
      </c>
      <c r="H1818" s="52" t="str">
        <f>+IF('Data Pura Costos'!H1818="","",'Data Pura Costos'!H1818)</f>
        <v/>
      </c>
      <c r="I1818" s="71" t="str">
        <f>+IF('Data Pura Costos'!I1818="","",'Data Pura Costos'!I1818)</f>
        <v/>
      </c>
      <c r="J1818" s="52" t="str">
        <f>+IF('Data Pura Costos'!J1818="","",'Data Pura Costos'!J1818)</f>
        <v/>
      </c>
      <c r="K1818" s="82" t="str">
        <f t="shared" si="33"/>
        <v/>
      </c>
    </row>
    <row r="1819" spans="2:11" x14ac:dyDescent="0.35">
      <c r="B1819" s="4" t="str">
        <f>+IF('Data Pura Costos'!B1819="","",'Data Pura Costos'!B1819)</f>
        <v/>
      </c>
      <c r="C1819" s="4" t="str">
        <f>+IF('Data Pura Costos'!C1819="","",'Data Pura Costos'!C1819)</f>
        <v/>
      </c>
      <c r="D1819" s="5" t="str">
        <f>+IF('Data Pura Costos'!D1819="","",'Data Pura Costos'!D1819)</f>
        <v/>
      </c>
      <c r="E1819" s="65" t="str">
        <f>+IF('Data Pura Costos'!E1819="","",IF('Data Pura Costos'!E1819=0,MAX('Data Pura Costos'!$E$7:$E$3000)*1000,'Data Pura Costos'!E1819))</f>
        <v/>
      </c>
      <c r="F1819" s="5" t="str">
        <f>+IF('Data Pura Costos'!F1819="","",'Data Pura Costos'!F1819)</f>
        <v/>
      </c>
      <c r="G1819" s="5" t="str">
        <f>+IF('Data Pura Costos'!G1819="","",'Data Pura Costos'!G1819)</f>
        <v/>
      </c>
      <c r="H1819" s="52" t="str">
        <f>+IF('Data Pura Costos'!H1819="","",'Data Pura Costos'!H1819)</f>
        <v/>
      </c>
      <c r="I1819" s="71" t="str">
        <f>+IF('Data Pura Costos'!I1819="","",'Data Pura Costos'!I1819)</f>
        <v/>
      </c>
      <c r="J1819" s="52" t="str">
        <f>+IF('Data Pura Costos'!J1819="","",'Data Pura Costos'!J1819)</f>
        <v/>
      </c>
      <c r="K1819" s="82" t="str">
        <f t="shared" si="33"/>
        <v/>
      </c>
    </row>
    <row r="1820" spans="2:11" x14ac:dyDescent="0.35">
      <c r="B1820" s="4" t="str">
        <f>+IF('Data Pura Costos'!B1820="","",'Data Pura Costos'!B1820)</f>
        <v/>
      </c>
      <c r="C1820" s="4" t="str">
        <f>+IF('Data Pura Costos'!C1820="","",'Data Pura Costos'!C1820)</f>
        <v/>
      </c>
      <c r="D1820" s="5" t="str">
        <f>+IF('Data Pura Costos'!D1820="","",'Data Pura Costos'!D1820)</f>
        <v/>
      </c>
      <c r="E1820" s="65" t="str">
        <f>+IF('Data Pura Costos'!E1820="","",IF('Data Pura Costos'!E1820=0,MAX('Data Pura Costos'!$E$7:$E$3000)*1000,'Data Pura Costos'!E1820))</f>
        <v/>
      </c>
      <c r="F1820" s="5" t="str">
        <f>+IF('Data Pura Costos'!F1820="","",'Data Pura Costos'!F1820)</f>
        <v/>
      </c>
      <c r="G1820" s="5" t="str">
        <f>+IF('Data Pura Costos'!G1820="","",'Data Pura Costos'!G1820)</f>
        <v/>
      </c>
      <c r="H1820" s="52" t="str">
        <f>+IF('Data Pura Costos'!H1820="","",'Data Pura Costos'!H1820)</f>
        <v/>
      </c>
      <c r="I1820" s="71" t="str">
        <f>+IF('Data Pura Costos'!I1820="","",'Data Pura Costos'!I1820)</f>
        <v/>
      </c>
      <c r="J1820" s="52" t="str">
        <f>+IF('Data Pura Costos'!J1820="","",'Data Pura Costos'!J1820)</f>
        <v/>
      </c>
      <c r="K1820" s="82" t="str">
        <f t="shared" si="33"/>
        <v/>
      </c>
    </row>
    <row r="1821" spans="2:11" x14ac:dyDescent="0.35">
      <c r="B1821" s="4" t="str">
        <f>+IF('Data Pura Costos'!B1821="","",'Data Pura Costos'!B1821)</f>
        <v/>
      </c>
      <c r="C1821" s="4" t="str">
        <f>+IF('Data Pura Costos'!C1821="","",'Data Pura Costos'!C1821)</f>
        <v/>
      </c>
      <c r="D1821" s="5" t="str">
        <f>+IF('Data Pura Costos'!D1821="","",'Data Pura Costos'!D1821)</f>
        <v/>
      </c>
      <c r="E1821" s="65" t="str">
        <f>+IF('Data Pura Costos'!E1821="","",IF('Data Pura Costos'!E1821=0,MAX('Data Pura Costos'!$E$7:$E$3000)*1000,'Data Pura Costos'!E1821))</f>
        <v/>
      </c>
      <c r="F1821" s="5" t="str">
        <f>+IF('Data Pura Costos'!F1821="","",'Data Pura Costos'!F1821)</f>
        <v/>
      </c>
      <c r="G1821" s="5" t="str">
        <f>+IF('Data Pura Costos'!G1821="","",'Data Pura Costos'!G1821)</f>
        <v/>
      </c>
      <c r="H1821" s="52" t="str">
        <f>+IF('Data Pura Costos'!H1821="","",'Data Pura Costos'!H1821)</f>
        <v/>
      </c>
      <c r="I1821" s="71" t="str">
        <f>+IF('Data Pura Costos'!I1821="","",'Data Pura Costos'!I1821)</f>
        <v/>
      </c>
      <c r="J1821" s="52" t="str">
        <f>+IF('Data Pura Costos'!J1821="","",'Data Pura Costos'!J1821)</f>
        <v/>
      </c>
      <c r="K1821" s="82" t="str">
        <f t="shared" si="33"/>
        <v/>
      </c>
    </row>
    <row r="1822" spans="2:11" x14ac:dyDescent="0.35">
      <c r="B1822" s="4" t="str">
        <f>+IF('Data Pura Costos'!B1822="","",'Data Pura Costos'!B1822)</f>
        <v/>
      </c>
      <c r="C1822" s="4" t="str">
        <f>+IF('Data Pura Costos'!C1822="","",'Data Pura Costos'!C1822)</f>
        <v/>
      </c>
      <c r="D1822" s="5" t="str">
        <f>+IF('Data Pura Costos'!D1822="","",'Data Pura Costos'!D1822)</f>
        <v/>
      </c>
      <c r="E1822" s="65" t="str">
        <f>+IF('Data Pura Costos'!E1822="","",IF('Data Pura Costos'!E1822=0,MAX('Data Pura Costos'!$E$7:$E$3000)*1000,'Data Pura Costos'!E1822))</f>
        <v/>
      </c>
      <c r="F1822" s="5" t="str">
        <f>+IF('Data Pura Costos'!F1822="","",'Data Pura Costos'!F1822)</f>
        <v/>
      </c>
      <c r="G1822" s="5" t="str">
        <f>+IF('Data Pura Costos'!G1822="","",'Data Pura Costos'!G1822)</f>
        <v/>
      </c>
      <c r="H1822" s="52" t="str">
        <f>+IF('Data Pura Costos'!H1822="","",'Data Pura Costos'!H1822)</f>
        <v/>
      </c>
      <c r="I1822" s="71" t="str">
        <f>+IF('Data Pura Costos'!I1822="","",'Data Pura Costos'!I1822)</f>
        <v/>
      </c>
      <c r="J1822" s="52" t="str">
        <f>+IF('Data Pura Costos'!J1822="","",'Data Pura Costos'!J1822)</f>
        <v/>
      </c>
      <c r="K1822" s="82" t="str">
        <f t="shared" si="33"/>
        <v/>
      </c>
    </row>
    <row r="1823" spans="2:11" x14ac:dyDescent="0.35">
      <c r="B1823" s="4" t="str">
        <f>+IF('Data Pura Costos'!B1823="","",'Data Pura Costos'!B1823)</f>
        <v/>
      </c>
      <c r="C1823" s="4" t="str">
        <f>+IF('Data Pura Costos'!C1823="","",'Data Pura Costos'!C1823)</f>
        <v/>
      </c>
      <c r="D1823" s="5" t="str">
        <f>+IF('Data Pura Costos'!D1823="","",'Data Pura Costos'!D1823)</f>
        <v/>
      </c>
      <c r="E1823" s="65" t="str">
        <f>+IF('Data Pura Costos'!E1823="","",IF('Data Pura Costos'!E1823=0,MAX('Data Pura Costos'!$E$7:$E$3000)*1000,'Data Pura Costos'!E1823))</f>
        <v/>
      </c>
      <c r="F1823" s="5" t="str">
        <f>+IF('Data Pura Costos'!F1823="","",'Data Pura Costos'!F1823)</f>
        <v/>
      </c>
      <c r="G1823" s="5" t="str">
        <f>+IF('Data Pura Costos'!G1823="","",'Data Pura Costos'!G1823)</f>
        <v/>
      </c>
      <c r="H1823" s="52" t="str">
        <f>+IF('Data Pura Costos'!H1823="","",'Data Pura Costos'!H1823)</f>
        <v/>
      </c>
      <c r="I1823" s="71" t="str">
        <f>+IF('Data Pura Costos'!I1823="","",'Data Pura Costos'!I1823)</f>
        <v/>
      </c>
      <c r="J1823" s="52" t="str">
        <f>+IF('Data Pura Costos'!J1823="","",'Data Pura Costos'!J1823)</f>
        <v/>
      </c>
      <c r="K1823" s="82" t="str">
        <f t="shared" si="33"/>
        <v/>
      </c>
    </row>
    <row r="1824" spans="2:11" x14ac:dyDescent="0.35">
      <c r="B1824" s="4" t="str">
        <f>+IF('Data Pura Costos'!B1824="","",'Data Pura Costos'!B1824)</f>
        <v/>
      </c>
      <c r="C1824" s="4" t="str">
        <f>+IF('Data Pura Costos'!C1824="","",'Data Pura Costos'!C1824)</f>
        <v/>
      </c>
      <c r="D1824" s="5" t="str">
        <f>+IF('Data Pura Costos'!D1824="","",'Data Pura Costos'!D1824)</f>
        <v/>
      </c>
      <c r="E1824" s="65" t="str">
        <f>+IF('Data Pura Costos'!E1824="","",IF('Data Pura Costos'!E1824=0,MAX('Data Pura Costos'!$E$7:$E$3000)*1000,'Data Pura Costos'!E1824))</f>
        <v/>
      </c>
      <c r="F1824" s="5" t="str">
        <f>+IF('Data Pura Costos'!F1824="","",'Data Pura Costos'!F1824)</f>
        <v/>
      </c>
      <c r="G1824" s="5" t="str">
        <f>+IF('Data Pura Costos'!G1824="","",'Data Pura Costos'!G1824)</f>
        <v/>
      </c>
      <c r="H1824" s="52" t="str">
        <f>+IF('Data Pura Costos'!H1824="","",'Data Pura Costos'!H1824)</f>
        <v/>
      </c>
      <c r="I1824" s="71" t="str">
        <f>+IF('Data Pura Costos'!I1824="","",'Data Pura Costos'!I1824)</f>
        <v/>
      </c>
      <c r="J1824" s="52" t="str">
        <f>+IF('Data Pura Costos'!J1824="","",'Data Pura Costos'!J1824)</f>
        <v/>
      </c>
      <c r="K1824" s="82" t="str">
        <f t="shared" si="33"/>
        <v/>
      </c>
    </row>
    <row r="1825" spans="2:11" x14ac:dyDescent="0.35">
      <c r="B1825" s="4" t="str">
        <f>+IF('Data Pura Costos'!B1825="","",'Data Pura Costos'!B1825)</f>
        <v/>
      </c>
      <c r="C1825" s="4" t="str">
        <f>+IF('Data Pura Costos'!C1825="","",'Data Pura Costos'!C1825)</f>
        <v/>
      </c>
      <c r="D1825" s="5" t="str">
        <f>+IF('Data Pura Costos'!D1825="","",'Data Pura Costos'!D1825)</f>
        <v/>
      </c>
      <c r="E1825" s="65" t="str">
        <f>+IF('Data Pura Costos'!E1825="","",IF('Data Pura Costos'!E1825=0,MAX('Data Pura Costos'!$E$7:$E$3000)*1000,'Data Pura Costos'!E1825))</f>
        <v/>
      </c>
      <c r="F1825" s="5" t="str">
        <f>+IF('Data Pura Costos'!F1825="","",'Data Pura Costos'!F1825)</f>
        <v/>
      </c>
      <c r="G1825" s="5" t="str">
        <f>+IF('Data Pura Costos'!G1825="","",'Data Pura Costos'!G1825)</f>
        <v/>
      </c>
      <c r="H1825" s="52" t="str">
        <f>+IF('Data Pura Costos'!H1825="","",'Data Pura Costos'!H1825)</f>
        <v/>
      </c>
      <c r="I1825" s="71" t="str">
        <f>+IF('Data Pura Costos'!I1825="","",'Data Pura Costos'!I1825)</f>
        <v/>
      </c>
      <c r="J1825" s="52" t="str">
        <f>+IF('Data Pura Costos'!J1825="","",'Data Pura Costos'!J1825)</f>
        <v/>
      </c>
      <c r="K1825" s="82" t="str">
        <f t="shared" si="33"/>
        <v/>
      </c>
    </row>
    <row r="1826" spans="2:11" x14ac:dyDescent="0.35">
      <c r="B1826" s="4" t="str">
        <f>+IF('Data Pura Costos'!B1826="","",'Data Pura Costos'!B1826)</f>
        <v/>
      </c>
      <c r="C1826" s="4" t="str">
        <f>+IF('Data Pura Costos'!C1826="","",'Data Pura Costos'!C1826)</f>
        <v/>
      </c>
      <c r="D1826" s="5" t="str">
        <f>+IF('Data Pura Costos'!D1826="","",'Data Pura Costos'!D1826)</f>
        <v/>
      </c>
      <c r="E1826" s="65" t="str">
        <f>+IF('Data Pura Costos'!E1826="","",IF('Data Pura Costos'!E1826=0,MAX('Data Pura Costos'!$E$7:$E$3000)*1000,'Data Pura Costos'!E1826))</f>
        <v/>
      </c>
      <c r="F1826" s="5" t="str">
        <f>+IF('Data Pura Costos'!F1826="","",'Data Pura Costos'!F1826)</f>
        <v/>
      </c>
      <c r="G1826" s="5" t="str">
        <f>+IF('Data Pura Costos'!G1826="","",'Data Pura Costos'!G1826)</f>
        <v/>
      </c>
      <c r="H1826" s="52" t="str">
        <f>+IF('Data Pura Costos'!H1826="","",'Data Pura Costos'!H1826)</f>
        <v/>
      </c>
      <c r="I1826" s="71" t="str">
        <f>+IF('Data Pura Costos'!I1826="","",'Data Pura Costos'!I1826)</f>
        <v/>
      </c>
      <c r="J1826" s="52" t="str">
        <f>+IF('Data Pura Costos'!J1826="","",'Data Pura Costos'!J1826)</f>
        <v/>
      </c>
      <c r="K1826" s="82" t="str">
        <f t="shared" si="33"/>
        <v/>
      </c>
    </row>
    <row r="1827" spans="2:11" x14ac:dyDescent="0.35">
      <c r="B1827" s="4" t="str">
        <f>+IF('Data Pura Costos'!B1827="","",'Data Pura Costos'!B1827)</f>
        <v/>
      </c>
      <c r="C1827" s="4" t="str">
        <f>+IF('Data Pura Costos'!C1827="","",'Data Pura Costos'!C1827)</f>
        <v/>
      </c>
      <c r="D1827" s="5" t="str">
        <f>+IF('Data Pura Costos'!D1827="","",'Data Pura Costos'!D1827)</f>
        <v/>
      </c>
      <c r="E1827" s="65" t="str">
        <f>+IF('Data Pura Costos'!E1827="","",IF('Data Pura Costos'!E1827=0,MAX('Data Pura Costos'!$E$7:$E$3000)*1000,'Data Pura Costos'!E1827))</f>
        <v/>
      </c>
      <c r="F1827" s="5" t="str">
        <f>+IF('Data Pura Costos'!F1827="","",'Data Pura Costos'!F1827)</f>
        <v/>
      </c>
      <c r="G1827" s="5" t="str">
        <f>+IF('Data Pura Costos'!G1827="","",'Data Pura Costos'!G1827)</f>
        <v/>
      </c>
      <c r="H1827" s="52" t="str">
        <f>+IF('Data Pura Costos'!H1827="","",'Data Pura Costos'!H1827)</f>
        <v/>
      </c>
      <c r="I1827" s="71" t="str">
        <f>+IF('Data Pura Costos'!I1827="","",'Data Pura Costos'!I1827)</f>
        <v/>
      </c>
      <c r="J1827" s="52" t="str">
        <f>+IF('Data Pura Costos'!J1827="","",'Data Pura Costos'!J1827)</f>
        <v/>
      </c>
      <c r="K1827" s="82" t="str">
        <f t="shared" si="33"/>
        <v/>
      </c>
    </row>
    <row r="1828" spans="2:11" x14ac:dyDescent="0.35">
      <c r="B1828" s="4" t="str">
        <f>+IF('Data Pura Costos'!B1828="","",'Data Pura Costos'!B1828)</f>
        <v/>
      </c>
      <c r="C1828" s="4" t="str">
        <f>+IF('Data Pura Costos'!C1828="","",'Data Pura Costos'!C1828)</f>
        <v/>
      </c>
      <c r="D1828" s="5" t="str">
        <f>+IF('Data Pura Costos'!D1828="","",'Data Pura Costos'!D1828)</f>
        <v/>
      </c>
      <c r="E1828" s="65" t="str">
        <f>+IF('Data Pura Costos'!E1828="","",IF('Data Pura Costos'!E1828=0,MAX('Data Pura Costos'!$E$7:$E$3000)*1000,'Data Pura Costos'!E1828))</f>
        <v/>
      </c>
      <c r="F1828" s="5" t="str">
        <f>+IF('Data Pura Costos'!F1828="","",'Data Pura Costos'!F1828)</f>
        <v/>
      </c>
      <c r="G1828" s="5" t="str">
        <f>+IF('Data Pura Costos'!G1828="","",'Data Pura Costos'!G1828)</f>
        <v/>
      </c>
      <c r="H1828" s="52" t="str">
        <f>+IF('Data Pura Costos'!H1828="","",'Data Pura Costos'!H1828)</f>
        <v/>
      </c>
      <c r="I1828" s="71" t="str">
        <f>+IF('Data Pura Costos'!I1828="","",'Data Pura Costos'!I1828)</f>
        <v/>
      </c>
      <c r="J1828" s="52" t="str">
        <f>+IF('Data Pura Costos'!J1828="","",'Data Pura Costos'!J1828)</f>
        <v/>
      </c>
      <c r="K1828" s="82" t="str">
        <f t="shared" si="33"/>
        <v/>
      </c>
    </row>
    <row r="1829" spans="2:11" x14ac:dyDescent="0.35">
      <c r="B1829" s="4" t="str">
        <f>+IF('Data Pura Costos'!B1829="","",'Data Pura Costos'!B1829)</f>
        <v/>
      </c>
      <c r="C1829" s="4" t="str">
        <f>+IF('Data Pura Costos'!C1829="","",'Data Pura Costos'!C1829)</f>
        <v/>
      </c>
      <c r="D1829" s="5" t="str">
        <f>+IF('Data Pura Costos'!D1829="","",'Data Pura Costos'!D1829)</f>
        <v/>
      </c>
      <c r="E1829" s="65" t="str">
        <f>+IF('Data Pura Costos'!E1829="","",IF('Data Pura Costos'!E1829=0,MAX('Data Pura Costos'!$E$7:$E$3000)*1000,'Data Pura Costos'!E1829))</f>
        <v/>
      </c>
      <c r="F1829" s="5" t="str">
        <f>+IF('Data Pura Costos'!F1829="","",'Data Pura Costos'!F1829)</f>
        <v/>
      </c>
      <c r="G1829" s="5" t="str">
        <f>+IF('Data Pura Costos'!G1829="","",'Data Pura Costos'!G1829)</f>
        <v/>
      </c>
      <c r="H1829" s="52" t="str">
        <f>+IF('Data Pura Costos'!H1829="","",'Data Pura Costos'!H1829)</f>
        <v/>
      </c>
      <c r="I1829" s="71" t="str">
        <f>+IF('Data Pura Costos'!I1829="","",'Data Pura Costos'!I1829)</f>
        <v/>
      </c>
      <c r="J1829" s="52" t="str">
        <f>+IF('Data Pura Costos'!J1829="","",'Data Pura Costos'!J1829)</f>
        <v/>
      </c>
      <c r="K1829" s="82" t="str">
        <f t="shared" si="33"/>
        <v/>
      </c>
    </row>
    <row r="1830" spans="2:11" x14ac:dyDescent="0.35">
      <c r="B1830" s="4" t="str">
        <f>+IF('Data Pura Costos'!B1830="","",'Data Pura Costos'!B1830)</f>
        <v/>
      </c>
      <c r="C1830" s="4" t="str">
        <f>+IF('Data Pura Costos'!C1830="","",'Data Pura Costos'!C1830)</f>
        <v/>
      </c>
      <c r="D1830" s="5" t="str">
        <f>+IF('Data Pura Costos'!D1830="","",'Data Pura Costos'!D1830)</f>
        <v/>
      </c>
      <c r="E1830" s="65" t="str">
        <f>+IF('Data Pura Costos'!E1830="","",IF('Data Pura Costos'!E1830=0,MAX('Data Pura Costos'!$E$7:$E$3000)*1000,'Data Pura Costos'!E1830))</f>
        <v/>
      </c>
      <c r="F1830" s="5" t="str">
        <f>+IF('Data Pura Costos'!F1830="","",'Data Pura Costos'!F1830)</f>
        <v/>
      </c>
      <c r="G1830" s="5" t="str">
        <f>+IF('Data Pura Costos'!G1830="","",'Data Pura Costos'!G1830)</f>
        <v/>
      </c>
      <c r="H1830" s="52" t="str">
        <f>+IF('Data Pura Costos'!H1830="","",'Data Pura Costos'!H1830)</f>
        <v/>
      </c>
      <c r="I1830" s="71" t="str">
        <f>+IF('Data Pura Costos'!I1830="","",'Data Pura Costos'!I1830)</f>
        <v/>
      </c>
      <c r="J1830" s="52" t="str">
        <f>+IF('Data Pura Costos'!J1830="","",'Data Pura Costos'!J1830)</f>
        <v/>
      </c>
      <c r="K1830" s="82" t="str">
        <f t="shared" si="33"/>
        <v/>
      </c>
    </row>
    <row r="1831" spans="2:11" x14ac:dyDescent="0.35">
      <c r="B1831" s="4" t="str">
        <f>+IF('Data Pura Costos'!B1831="","",'Data Pura Costos'!B1831)</f>
        <v/>
      </c>
      <c r="C1831" s="4" t="str">
        <f>+IF('Data Pura Costos'!C1831="","",'Data Pura Costos'!C1831)</f>
        <v/>
      </c>
      <c r="D1831" s="5" t="str">
        <f>+IF('Data Pura Costos'!D1831="","",'Data Pura Costos'!D1831)</f>
        <v/>
      </c>
      <c r="E1831" s="65" t="str">
        <f>+IF('Data Pura Costos'!E1831="","",IF('Data Pura Costos'!E1831=0,MAX('Data Pura Costos'!$E$7:$E$3000)*1000,'Data Pura Costos'!E1831))</f>
        <v/>
      </c>
      <c r="F1831" s="5" t="str">
        <f>+IF('Data Pura Costos'!F1831="","",'Data Pura Costos'!F1831)</f>
        <v/>
      </c>
      <c r="G1831" s="5" t="str">
        <f>+IF('Data Pura Costos'!G1831="","",'Data Pura Costos'!G1831)</f>
        <v/>
      </c>
      <c r="H1831" s="52" t="str">
        <f>+IF('Data Pura Costos'!H1831="","",'Data Pura Costos'!H1831)</f>
        <v/>
      </c>
      <c r="I1831" s="71" t="str">
        <f>+IF('Data Pura Costos'!I1831="","",'Data Pura Costos'!I1831)</f>
        <v/>
      </c>
      <c r="J1831" s="52" t="str">
        <f>+IF('Data Pura Costos'!J1831="","",'Data Pura Costos'!J1831)</f>
        <v/>
      </c>
      <c r="K1831" s="82" t="str">
        <f t="shared" si="33"/>
        <v/>
      </c>
    </row>
    <row r="1832" spans="2:11" x14ac:dyDescent="0.35">
      <c r="B1832" s="4" t="str">
        <f>+IF('Data Pura Costos'!B1832="","",'Data Pura Costos'!B1832)</f>
        <v/>
      </c>
      <c r="C1832" s="4" t="str">
        <f>+IF('Data Pura Costos'!C1832="","",'Data Pura Costos'!C1832)</f>
        <v/>
      </c>
      <c r="D1832" s="5" t="str">
        <f>+IF('Data Pura Costos'!D1832="","",'Data Pura Costos'!D1832)</f>
        <v/>
      </c>
      <c r="E1832" s="65" t="str">
        <f>+IF('Data Pura Costos'!E1832="","",IF('Data Pura Costos'!E1832=0,MAX('Data Pura Costos'!$E$7:$E$3000)*1000,'Data Pura Costos'!E1832))</f>
        <v/>
      </c>
      <c r="F1832" s="5" t="str">
        <f>+IF('Data Pura Costos'!F1832="","",'Data Pura Costos'!F1832)</f>
        <v/>
      </c>
      <c r="G1832" s="5" t="str">
        <f>+IF('Data Pura Costos'!G1832="","",'Data Pura Costos'!G1832)</f>
        <v/>
      </c>
      <c r="H1832" s="52" t="str">
        <f>+IF('Data Pura Costos'!H1832="","",'Data Pura Costos'!H1832)</f>
        <v/>
      </c>
      <c r="I1832" s="71" t="str">
        <f>+IF('Data Pura Costos'!I1832="","",'Data Pura Costos'!I1832)</f>
        <v/>
      </c>
      <c r="J1832" s="52" t="str">
        <f>+IF('Data Pura Costos'!J1832="","",'Data Pura Costos'!J1832)</f>
        <v/>
      </c>
      <c r="K1832" s="82" t="str">
        <f t="shared" si="33"/>
        <v/>
      </c>
    </row>
    <row r="1833" spans="2:11" x14ac:dyDescent="0.35">
      <c r="B1833" s="4" t="str">
        <f>+IF('Data Pura Costos'!B1833="","",'Data Pura Costos'!B1833)</f>
        <v/>
      </c>
      <c r="C1833" s="4" t="str">
        <f>+IF('Data Pura Costos'!C1833="","",'Data Pura Costos'!C1833)</f>
        <v/>
      </c>
      <c r="D1833" s="5" t="str">
        <f>+IF('Data Pura Costos'!D1833="","",'Data Pura Costos'!D1833)</f>
        <v/>
      </c>
      <c r="E1833" s="65" t="str">
        <f>+IF('Data Pura Costos'!E1833="","",IF('Data Pura Costos'!E1833=0,MAX('Data Pura Costos'!$E$7:$E$3000)*1000,'Data Pura Costos'!E1833))</f>
        <v/>
      </c>
      <c r="F1833" s="5" t="str">
        <f>+IF('Data Pura Costos'!F1833="","",'Data Pura Costos'!F1833)</f>
        <v/>
      </c>
      <c r="G1833" s="5" t="str">
        <f>+IF('Data Pura Costos'!G1833="","",'Data Pura Costos'!G1833)</f>
        <v/>
      </c>
      <c r="H1833" s="52" t="str">
        <f>+IF('Data Pura Costos'!H1833="","",'Data Pura Costos'!H1833)</f>
        <v/>
      </c>
      <c r="I1833" s="71" t="str">
        <f>+IF('Data Pura Costos'!I1833="","",'Data Pura Costos'!I1833)</f>
        <v/>
      </c>
      <c r="J1833" s="52" t="str">
        <f>+IF('Data Pura Costos'!J1833="","",'Data Pura Costos'!J1833)</f>
        <v/>
      </c>
      <c r="K1833" s="82" t="str">
        <f t="shared" si="33"/>
        <v/>
      </c>
    </row>
    <row r="1834" spans="2:11" x14ac:dyDescent="0.35">
      <c r="B1834" s="4" t="str">
        <f>+IF('Data Pura Costos'!B1834="","",'Data Pura Costos'!B1834)</f>
        <v/>
      </c>
      <c r="C1834" s="4" t="str">
        <f>+IF('Data Pura Costos'!C1834="","",'Data Pura Costos'!C1834)</f>
        <v/>
      </c>
      <c r="D1834" s="5" t="str">
        <f>+IF('Data Pura Costos'!D1834="","",'Data Pura Costos'!D1834)</f>
        <v/>
      </c>
      <c r="E1834" s="65" t="str">
        <f>+IF('Data Pura Costos'!E1834="","",IF('Data Pura Costos'!E1834=0,MAX('Data Pura Costos'!$E$7:$E$3000)*1000,'Data Pura Costos'!E1834))</f>
        <v/>
      </c>
      <c r="F1834" s="5" t="str">
        <f>+IF('Data Pura Costos'!F1834="","",'Data Pura Costos'!F1834)</f>
        <v/>
      </c>
      <c r="G1834" s="5" t="str">
        <f>+IF('Data Pura Costos'!G1834="","",'Data Pura Costos'!G1834)</f>
        <v/>
      </c>
      <c r="H1834" s="52" t="str">
        <f>+IF('Data Pura Costos'!H1834="","",'Data Pura Costos'!H1834)</f>
        <v/>
      </c>
      <c r="I1834" s="71" t="str">
        <f>+IF('Data Pura Costos'!I1834="","",'Data Pura Costos'!I1834)</f>
        <v/>
      </c>
      <c r="J1834" s="52" t="str">
        <f>+IF('Data Pura Costos'!J1834="","",'Data Pura Costos'!J1834)</f>
        <v/>
      </c>
      <c r="K1834" s="82" t="str">
        <f t="shared" si="33"/>
        <v/>
      </c>
    </row>
    <row r="1835" spans="2:11" x14ac:dyDescent="0.35">
      <c r="B1835" s="4" t="str">
        <f>+IF('Data Pura Costos'!B1835="","",'Data Pura Costos'!B1835)</f>
        <v/>
      </c>
      <c r="C1835" s="4" t="str">
        <f>+IF('Data Pura Costos'!C1835="","",'Data Pura Costos'!C1835)</f>
        <v/>
      </c>
      <c r="D1835" s="5" t="str">
        <f>+IF('Data Pura Costos'!D1835="","",'Data Pura Costos'!D1835)</f>
        <v/>
      </c>
      <c r="E1835" s="65" t="str">
        <f>+IF('Data Pura Costos'!E1835="","",IF('Data Pura Costos'!E1835=0,MAX('Data Pura Costos'!$E$7:$E$3000)*1000,'Data Pura Costos'!E1835))</f>
        <v/>
      </c>
      <c r="F1835" s="5" t="str">
        <f>+IF('Data Pura Costos'!F1835="","",'Data Pura Costos'!F1835)</f>
        <v/>
      </c>
      <c r="G1835" s="5" t="str">
        <f>+IF('Data Pura Costos'!G1835="","",'Data Pura Costos'!G1835)</f>
        <v/>
      </c>
      <c r="H1835" s="52" t="str">
        <f>+IF('Data Pura Costos'!H1835="","",'Data Pura Costos'!H1835)</f>
        <v/>
      </c>
      <c r="I1835" s="71" t="str">
        <f>+IF('Data Pura Costos'!I1835="","",'Data Pura Costos'!I1835)</f>
        <v/>
      </c>
      <c r="J1835" s="52" t="str">
        <f>+IF('Data Pura Costos'!J1835="","",'Data Pura Costos'!J1835)</f>
        <v/>
      </c>
      <c r="K1835" s="82" t="str">
        <f t="shared" si="33"/>
        <v/>
      </c>
    </row>
    <row r="1836" spans="2:11" x14ac:dyDescent="0.35">
      <c r="B1836" s="4" t="str">
        <f>+IF('Data Pura Costos'!B1836="","",'Data Pura Costos'!B1836)</f>
        <v/>
      </c>
      <c r="C1836" s="4" t="str">
        <f>+IF('Data Pura Costos'!C1836="","",'Data Pura Costos'!C1836)</f>
        <v/>
      </c>
      <c r="D1836" s="5" t="str">
        <f>+IF('Data Pura Costos'!D1836="","",'Data Pura Costos'!D1836)</f>
        <v/>
      </c>
      <c r="E1836" s="65" t="str">
        <f>+IF('Data Pura Costos'!E1836="","",IF('Data Pura Costos'!E1836=0,MAX('Data Pura Costos'!$E$7:$E$3000)*1000,'Data Pura Costos'!E1836))</f>
        <v/>
      </c>
      <c r="F1836" s="5" t="str">
        <f>+IF('Data Pura Costos'!F1836="","",'Data Pura Costos'!F1836)</f>
        <v/>
      </c>
      <c r="G1836" s="5" t="str">
        <f>+IF('Data Pura Costos'!G1836="","",'Data Pura Costos'!G1836)</f>
        <v/>
      </c>
      <c r="H1836" s="52" t="str">
        <f>+IF('Data Pura Costos'!H1836="","",'Data Pura Costos'!H1836)</f>
        <v/>
      </c>
      <c r="I1836" s="71" t="str">
        <f>+IF('Data Pura Costos'!I1836="","",'Data Pura Costos'!I1836)</f>
        <v/>
      </c>
      <c r="J1836" s="52" t="str">
        <f>+IF('Data Pura Costos'!J1836="","",'Data Pura Costos'!J1836)</f>
        <v/>
      </c>
      <c r="K1836" s="82" t="str">
        <f t="shared" si="33"/>
        <v/>
      </c>
    </row>
    <row r="1837" spans="2:11" x14ac:dyDescent="0.35">
      <c r="B1837" s="4" t="str">
        <f>+IF('Data Pura Costos'!B1837="","",'Data Pura Costos'!B1837)</f>
        <v/>
      </c>
      <c r="C1837" s="4" t="str">
        <f>+IF('Data Pura Costos'!C1837="","",'Data Pura Costos'!C1837)</f>
        <v/>
      </c>
      <c r="D1837" s="5" t="str">
        <f>+IF('Data Pura Costos'!D1837="","",'Data Pura Costos'!D1837)</f>
        <v/>
      </c>
      <c r="E1837" s="65" t="str">
        <f>+IF('Data Pura Costos'!E1837="","",IF('Data Pura Costos'!E1837=0,MAX('Data Pura Costos'!$E$7:$E$3000)*1000,'Data Pura Costos'!E1837))</f>
        <v/>
      </c>
      <c r="F1837" s="5" t="str">
        <f>+IF('Data Pura Costos'!F1837="","",'Data Pura Costos'!F1837)</f>
        <v/>
      </c>
      <c r="G1837" s="5" t="str">
        <f>+IF('Data Pura Costos'!G1837="","",'Data Pura Costos'!G1837)</f>
        <v/>
      </c>
      <c r="H1837" s="52" t="str">
        <f>+IF('Data Pura Costos'!H1837="","",'Data Pura Costos'!H1837)</f>
        <v/>
      </c>
      <c r="I1837" s="71" t="str">
        <f>+IF('Data Pura Costos'!I1837="","",'Data Pura Costos'!I1837)</f>
        <v/>
      </c>
      <c r="J1837" s="52" t="str">
        <f>+IF('Data Pura Costos'!J1837="","",'Data Pura Costos'!J1837)</f>
        <v/>
      </c>
      <c r="K1837" s="82" t="str">
        <f t="shared" si="33"/>
        <v/>
      </c>
    </row>
    <row r="1838" spans="2:11" x14ac:dyDescent="0.35">
      <c r="B1838" s="4" t="str">
        <f>+IF('Data Pura Costos'!B1838="","",'Data Pura Costos'!B1838)</f>
        <v/>
      </c>
      <c r="C1838" s="4" t="str">
        <f>+IF('Data Pura Costos'!C1838="","",'Data Pura Costos'!C1838)</f>
        <v/>
      </c>
      <c r="D1838" s="5" t="str">
        <f>+IF('Data Pura Costos'!D1838="","",'Data Pura Costos'!D1838)</f>
        <v/>
      </c>
      <c r="E1838" s="65" t="str">
        <f>+IF('Data Pura Costos'!E1838="","",IF('Data Pura Costos'!E1838=0,MAX('Data Pura Costos'!$E$7:$E$3000)*1000,'Data Pura Costos'!E1838))</f>
        <v/>
      </c>
      <c r="F1838" s="5" t="str">
        <f>+IF('Data Pura Costos'!F1838="","",'Data Pura Costos'!F1838)</f>
        <v/>
      </c>
      <c r="G1838" s="5" t="str">
        <f>+IF('Data Pura Costos'!G1838="","",'Data Pura Costos'!G1838)</f>
        <v/>
      </c>
      <c r="H1838" s="52" t="str">
        <f>+IF('Data Pura Costos'!H1838="","",'Data Pura Costos'!H1838)</f>
        <v/>
      </c>
      <c r="I1838" s="71" t="str">
        <f>+IF('Data Pura Costos'!I1838="","",'Data Pura Costos'!I1838)</f>
        <v/>
      </c>
      <c r="J1838" s="52" t="str">
        <f>+IF('Data Pura Costos'!J1838="","",'Data Pura Costos'!J1838)</f>
        <v/>
      </c>
      <c r="K1838" s="82" t="str">
        <f t="shared" si="33"/>
        <v/>
      </c>
    </row>
    <row r="1839" spans="2:11" x14ac:dyDescent="0.35">
      <c r="B1839" s="4" t="str">
        <f>+IF('Data Pura Costos'!B1839="","",'Data Pura Costos'!B1839)</f>
        <v/>
      </c>
      <c r="C1839" s="4" t="str">
        <f>+IF('Data Pura Costos'!C1839="","",'Data Pura Costos'!C1839)</f>
        <v/>
      </c>
      <c r="D1839" s="5" t="str">
        <f>+IF('Data Pura Costos'!D1839="","",'Data Pura Costos'!D1839)</f>
        <v/>
      </c>
      <c r="E1839" s="65" t="str">
        <f>+IF('Data Pura Costos'!E1839="","",IF('Data Pura Costos'!E1839=0,MAX('Data Pura Costos'!$E$7:$E$3000)*1000,'Data Pura Costos'!E1839))</f>
        <v/>
      </c>
      <c r="F1839" s="5" t="str">
        <f>+IF('Data Pura Costos'!F1839="","",'Data Pura Costos'!F1839)</f>
        <v/>
      </c>
      <c r="G1839" s="5" t="str">
        <f>+IF('Data Pura Costos'!G1839="","",'Data Pura Costos'!G1839)</f>
        <v/>
      </c>
      <c r="H1839" s="52" t="str">
        <f>+IF('Data Pura Costos'!H1839="","",'Data Pura Costos'!H1839)</f>
        <v/>
      </c>
      <c r="I1839" s="71" t="str">
        <f>+IF('Data Pura Costos'!I1839="","",'Data Pura Costos'!I1839)</f>
        <v/>
      </c>
      <c r="J1839" s="52" t="str">
        <f>+IF('Data Pura Costos'!J1839="","",'Data Pura Costos'!J1839)</f>
        <v/>
      </c>
      <c r="K1839" s="82" t="str">
        <f t="shared" si="33"/>
        <v/>
      </c>
    </row>
    <row r="1840" spans="2:11" x14ac:dyDescent="0.35">
      <c r="B1840" s="4" t="str">
        <f>+IF('Data Pura Costos'!B1840="","",'Data Pura Costos'!B1840)</f>
        <v/>
      </c>
      <c r="C1840" s="4" t="str">
        <f>+IF('Data Pura Costos'!C1840="","",'Data Pura Costos'!C1840)</f>
        <v/>
      </c>
      <c r="D1840" s="5" t="str">
        <f>+IF('Data Pura Costos'!D1840="","",'Data Pura Costos'!D1840)</f>
        <v/>
      </c>
      <c r="E1840" s="65" t="str">
        <f>+IF('Data Pura Costos'!E1840="","",IF('Data Pura Costos'!E1840=0,MAX('Data Pura Costos'!$E$7:$E$3000)*1000,'Data Pura Costos'!E1840))</f>
        <v/>
      </c>
      <c r="F1840" s="5" t="str">
        <f>+IF('Data Pura Costos'!F1840="","",'Data Pura Costos'!F1840)</f>
        <v/>
      </c>
      <c r="G1840" s="5" t="str">
        <f>+IF('Data Pura Costos'!G1840="","",'Data Pura Costos'!G1840)</f>
        <v/>
      </c>
      <c r="H1840" s="52" t="str">
        <f>+IF('Data Pura Costos'!H1840="","",'Data Pura Costos'!H1840)</f>
        <v/>
      </c>
      <c r="I1840" s="71" t="str">
        <f>+IF('Data Pura Costos'!I1840="","",'Data Pura Costos'!I1840)</f>
        <v/>
      </c>
      <c r="J1840" s="52" t="str">
        <f>+IF('Data Pura Costos'!J1840="","",'Data Pura Costos'!J1840)</f>
        <v/>
      </c>
      <c r="K1840" s="82" t="str">
        <f t="shared" si="33"/>
        <v/>
      </c>
    </row>
    <row r="1841" spans="2:11" x14ac:dyDescent="0.35">
      <c r="B1841" s="4" t="str">
        <f>+IF('Data Pura Costos'!B1841="","",'Data Pura Costos'!B1841)</f>
        <v/>
      </c>
      <c r="C1841" s="4" t="str">
        <f>+IF('Data Pura Costos'!C1841="","",'Data Pura Costos'!C1841)</f>
        <v/>
      </c>
      <c r="D1841" s="5" t="str">
        <f>+IF('Data Pura Costos'!D1841="","",'Data Pura Costos'!D1841)</f>
        <v/>
      </c>
      <c r="E1841" s="65" t="str">
        <f>+IF('Data Pura Costos'!E1841="","",IF('Data Pura Costos'!E1841=0,MAX('Data Pura Costos'!$E$7:$E$3000)*1000,'Data Pura Costos'!E1841))</f>
        <v/>
      </c>
      <c r="F1841" s="5" t="str">
        <f>+IF('Data Pura Costos'!F1841="","",'Data Pura Costos'!F1841)</f>
        <v/>
      </c>
      <c r="G1841" s="5" t="str">
        <f>+IF('Data Pura Costos'!G1841="","",'Data Pura Costos'!G1841)</f>
        <v/>
      </c>
      <c r="H1841" s="52" t="str">
        <f>+IF('Data Pura Costos'!H1841="","",'Data Pura Costos'!H1841)</f>
        <v/>
      </c>
      <c r="I1841" s="71" t="str">
        <f>+IF('Data Pura Costos'!I1841="","",'Data Pura Costos'!I1841)</f>
        <v/>
      </c>
      <c r="J1841" s="52" t="str">
        <f>+IF('Data Pura Costos'!J1841="","",'Data Pura Costos'!J1841)</f>
        <v/>
      </c>
      <c r="K1841" s="82" t="str">
        <f t="shared" si="33"/>
        <v/>
      </c>
    </row>
    <row r="1842" spans="2:11" x14ac:dyDescent="0.35">
      <c r="B1842" s="4" t="str">
        <f>+IF('Data Pura Costos'!B1842="","",'Data Pura Costos'!B1842)</f>
        <v/>
      </c>
      <c r="C1842" s="4" t="str">
        <f>+IF('Data Pura Costos'!C1842="","",'Data Pura Costos'!C1842)</f>
        <v/>
      </c>
      <c r="D1842" s="5" t="str">
        <f>+IF('Data Pura Costos'!D1842="","",'Data Pura Costos'!D1842)</f>
        <v/>
      </c>
      <c r="E1842" s="65" t="str">
        <f>+IF('Data Pura Costos'!E1842="","",IF('Data Pura Costos'!E1842=0,MAX('Data Pura Costos'!$E$7:$E$3000)*1000,'Data Pura Costos'!E1842))</f>
        <v/>
      </c>
      <c r="F1842" s="5" t="str">
        <f>+IF('Data Pura Costos'!F1842="","",'Data Pura Costos'!F1842)</f>
        <v/>
      </c>
      <c r="G1842" s="5" t="str">
        <f>+IF('Data Pura Costos'!G1842="","",'Data Pura Costos'!G1842)</f>
        <v/>
      </c>
      <c r="H1842" s="52" t="str">
        <f>+IF('Data Pura Costos'!H1842="","",'Data Pura Costos'!H1842)</f>
        <v/>
      </c>
      <c r="I1842" s="71" t="str">
        <f>+IF('Data Pura Costos'!I1842="","",'Data Pura Costos'!I1842)</f>
        <v/>
      </c>
      <c r="J1842" s="52" t="str">
        <f>+IF('Data Pura Costos'!J1842="","",'Data Pura Costos'!J1842)</f>
        <v/>
      </c>
      <c r="K1842" s="82" t="str">
        <f t="shared" si="33"/>
        <v/>
      </c>
    </row>
    <row r="1843" spans="2:11" x14ac:dyDescent="0.35">
      <c r="B1843" s="4" t="str">
        <f>+IF('Data Pura Costos'!B1843="","",'Data Pura Costos'!B1843)</f>
        <v/>
      </c>
      <c r="C1843" s="4" t="str">
        <f>+IF('Data Pura Costos'!C1843="","",'Data Pura Costos'!C1843)</f>
        <v/>
      </c>
      <c r="D1843" s="5" t="str">
        <f>+IF('Data Pura Costos'!D1843="","",'Data Pura Costos'!D1843)</f>
        <v/>
      </c>
      <c r="E1843" s="65" t="str">
        <f>+IF('Data Pura Costos'!E1843="","",IF('Data Pura Costos'!E1843=0,MAX('Data Pura Costos'!$E$7:$E$3000)*1000,'Data Pura Costos'!E1843))</f>
        <v/>
      </c>
      <c r="F1843" s="5" t="str">
        <f>+IF('Data Pura Costos'!F1843="","",'Data Pura Costos'!F1843)</f>
        <v/>
      </c>
      <c r="G1843" s="5" t="str">
        <f>+IF('Data Pura Costos'!G1843="","",'Data Pura Costos'!G1843)</f>
        <v/>
      </c>
      <c r="H1843" s="52" t="str">
        <f>+IF('Data Pura Costos'!H1843="","",'Data Pura Costos'!H1843)</f>
        <v/>
      </c>
      <c r="I1843" s="71" t="str">
        <f>+IF('Data Pura Costos'!I1843="","",'Data Pura Costos'!I1843)</f>
        <v/>
      </c>
      <c r="J1843" s="52" t="str">
        <f>+IF('Data Pura Costos'!J1843="","",'Data Pura Costos'!J1843)</f>
        <v/>
      </c>
      <c r="K1843" s="82" t="str">
        <f t="shared" si="33"/>
        <v/>
      </c>
    </row>
    <row r="1844" spans="2:11" x14ac:dyDescent="0.35">
      <c r="B1844" s="4" t="str">
        <f>+IF('Data Pura Costos'!B1844="","",'Data Pura Costos'!B1844)</f>
        <v/>
      </c>
      <c r="C1844" s="4" t="str">
        <f>+IF('Data Pura Costos'!C1844="","",'Data Pura Costos'!C1844)</f>
        <v/>
      </c>
      <c r="D1844" s="5" t="str">
        <f>+IF('Data Pura Costos'!D1844="","",'Data Pura Costos'!D1844)</f>
        <v/>
      </c>
      <c r="E1844" s="65" t="str">
        <f>+IF('Data Pura Costos'!E1844="","",IF('Data Pura Costos'!E1844=0,MAX('Data Pura Costos'!$E$7:$E$3000)*1000,'Data Pura Costos'!E1844))</f>
        <v/>
      </c>
      <c r="F1844" s="5" t="str">
        <f>+IF('Data Pura Costos'!F1844="","",'Data Pura Costos'!F1844)</f>
        <v/>
      </c>
      <c r="G1844" s="5" t="str">
        <f>+IF('Data Pura Costos'!G1844="","",'Data Pura Costos'!G1844)</f>
        <v/>
      </c>
      <c r="H1844" s="52" t="str">
        <f>+IF('Data Pura Costos'!H1844="","",'Data Pura Costos'!H1844)</f>
        <v/>
      </c>
      <c r="I1844" s="71" t="str">
        <f>+IF('Data Pura Costos'!I1844="","",'Data Pura Costos'!I1844)</f>
        <v/>
      </c>
      <c r="J1844" s="52" t="str">
        <f>+IF('Data Pura Costos'!J1844="","",'Data Pura Costos'!J1844)</f>
        <v/>
      </c>
      <c r="K1844" s="82" t="str">
        <f t="shared" si="33"/>
        <v/>
      </c>
    </row>
    <row r="1845" spans="2:11" x14ac:dyDescent="0.35">
      <c r="B1845" s="4" t="str">
        <f>+IF('Data Pura Costos'!B1845="","",'Data Pura Costos'!B1845)</f>
        <v/>
      </c>
      <c r="C1845" s="4" t="str">
        <f>+IF('Data Pura Costos'!C1845="","",'Data Pura Costos'!C1845)</f>
        <v/>
      </c>
      <c r="D1845" s="5" t="str">
        <f>+IF('Data Pura Costos'!D1845="","",'Data Pura Costos'!D1845)</f>
        <v/>
      </c>
      <c r="E1845" s="65" t="str">
        <f>+IF('Data Pura Costos'!E1845="","",IF('Data Pura Costos'!E1845=0,MAX('Data Pura Costos'!$E$7:$E$3000)*1000,'Data Pura Costos'!E1845))</f>
        <v/>
      </c>
      <c r="F1845" s="5" t="str">
        <f>+IF('Data Pura Costos'!F1845="","",'Data Pura Costos'!F1845)</f>
        <v/>
      </c>
      <c r="G1845" s="5" t="str">
        <f>+IF('Data Pura Costos'!G1845="","",'Data Pura Costos'!G1845)</f>
        <v/>
      </c>
      <c r="H1845" s="52" t="str">
        <f>+IF('Data Pura Costos'!H1845="","",'Data Pura Costos'!H1845)</f>
        <v/>
      </c>
      <c r="I1845" s="71" t="str">
        <f>+IF('Data Pura Costos'!I1845="","",'Data Pura Costos'!I1845)</f>
        <v/>
      </c>
      <c r="J1845" s="52" t="str">
        <f>+IF('Data Pura Costos'!J1845="","",'Data Pura Costos'!J1845)</f>
        <v/>
      </c>
      <c r="K1845" s="82" t="str">
        <f t="shared" si="33"/>
        <v/>
      </c>
    </row>
    <row r="1846" spans="2:11" x14ac:dyDescent="0.35">
      <c r="B1846" s="4" t="str">
        <f>+IF('Data Pura Costos'!B1846="","",'Data Pura Costos'!B1846)</f>
        <v/>
      </c>
      <c r="C1846" s="4" t="str">
        <f>+IF('Data Pura Costos'!C1846="","",'Data Pura Costos'!C1846)</f>
        <v/>
      </c>
      <c r="D1846" s="5" t="str">
        <f>+IF('Data Pura Costos'!D1846="","",'Data Pura Costos'!D1846)</f>
        <v/>
      </c>
      <c r="E1846" s="65" t="str">
        <f>+IF('Data Pura Costos'!E1846="","",IF('Data Pura Costos'!E1846=0,MAX('Data Pura Costos'!$E$7:$E$3000)*1000,'Data Pura Costos'!E1846))</f>
        <v/>
      </c>
      <c r="F1846" s="5" t="str">
        <f>+IF('Data Pura Costos'!F1846="","",'Data Pura Costos'!F1846)</f>
        <v/>
      </c>
      <c r="G1846" s="5" t="str">
        <f>+IF('Data Pura Costos'!G1846="","",'Data Pura Costos'!G1846)</f>
        <v/>
      </c>
      <c r="H1846" s="52" t="str">
        <f>+IF('Data Pura Costos'!H1846="","",'Data Pura Costos'!H1846)</f>
        <v/>
      </c>
      <c r="I1846" s="71" t="str">
        <f>+IF('Data Pura Costos'!I1846="","",'Data Pura Costos'!I1846)</f>
        <v/>
      </c>
      <c r="J1846" s="52" t="str">
        <f>+IF('Data Pura Costos'!J1846="","",'Data Pura Costos'!J1846)</f>
        <v/>
      </c>
      <c r="K1846" s="82" t="str">
        <f t="shared" si="33"/>
        <v/>
      </c>
    </row>
    <row r="1847" spans="2:11" x14ac:dyDescent="0.35">
      <c r="B1847" s="4" t="str">
        <f>+IF('Data Pura Costos'!B1847="","",'Data Pura Costos'!B1847)</f>
        <v/>
      </c>
      <c r="C1847" s="4" t="str">
        <f>+IF('Data Pura Costos'!C1847="","",'Data Pura Costos'!C1847)</f>
        <v/>
      </c>
      <c r="D1847" s="5" t="str">
        <f>+IF('Data Pura Costos'!D1847="","",'Data Pura Costos'!D1847)</f>
        <v/>
      </c>
      <c r="E1847" s="65" t="str">
        <f>+IF('Data Pura Costos'!E1847="","",IF('Data Pura Costos'!E1847=0,MAX('Data Pura Costos'!$E$7:$E$3000)*1000,'Data Pura Costos'!E1847))</f>
        <v/>
      </c>
      <c r="F1847" s="5" t="str">
        <f>+IF('Data Pura Costos'!F1847="","",'Data Pura Costos'!F1847)</f>
        <v/>
      </c>
      <c r="G1847" s="5" t="str">
        <f>+IF('Data Pura Costos'!G1847="","",'Data Pura Costos'!G1847)</f>
        <v/>
      </c>
      <c r="H1847" s="52" t="str">
        <f>+IF('Data Pura Costos'!H1847="","",'Data Pura Costos'!H1847)</f>
        <v/>
      </c>
      <c r="I1847" s="71" t="str">
        <f>+IF('Data Pura Costos'!I1847="","",'Data Pura Costos'!I1847)</f>
        <v/>
      </c>
      <c r="J1847" s="52" t="str">
        <f>+IF('Data Pura Costos'!J1847="","",'Data Pura Costos'!J1847)</f>
        <v/>
      </c>
      <c r="K1847" s="82" t="str">
        <f t="shared" si="33"/>
        <v/>
      </c>
    </row>
    <row r="1848" spans="2:11" x14ac:dyDescent="0.35">
      <c r="B1848" s="4" t="str">
        <f>+IF('Data Pura Costos'!B1848="","",'Data Pura Costos'!B1848)</f>
        <v/>
      </c>
      <c r="C1848" s="4" t="str">
        <f>+IF('Data Pura Costos'!C1848="","",'Data Pura Costos'!C1848)</f>
        <v/>
      </c>
      <c r="D1848" s="5" t="str">
        <f>+IF('Data Pura Costos'!D1848="","",'Data Pura Costos'!D1848)</f>
        <v/>
      </c>
      <c r="E1848" s="65" t="str">
        <f>+IF('Data Pura Costos'!E1848="","",IF('Data Pura Costos'!E1848=0,MAX('Data Pura Costos'!$E$7:$E$3000)*1000,'Data Pura Costos'!E1848))</f>
        <v/>
      </c>
      <c r="F1848" s="5" t="str">
        <f>+IF('Data Pura Costos'!F1848="","",'Data Pura Costos'!F1848)</f>
        <v/>
      </c>
      <c r="G1848" s="5" t="str">
        <f>+IF('Data Pura Costos'!G1848="","",'Data Pura Costos'!G1848)</f>
        <v/>
      </c>
      <c r="H1848" s="52" t="str">
        <f>+IF('Data Pura Costos'!H1848="","",'Data Pura Costos'!H1848)</f>
        <v/>
      </c>
      <c r="I1848" s="71" t="str">
        <f>+IF('Data Pura Costos'!I1848="","",'Data Pura Costos'!I1848)</f>
        <v/>
      </c>
      <c r="J1848" s="52" t="str">
        <f>+IF('Data Pura Costos'!J1848="","",'Data Pura Costos'!J1848)</f>
        <v/>
      </c>
      <c r="K1848" s="82" t="str">
        <f t="shared" si="33"/>
        <v/>
      </c>
    </row>
    <row r="1849" spans="2:11" x14ac:dyDescent="0.35">
      <c r="B1849" s="4" t="str">
        <f>+IF('Data Pura Costos'!B1849="","",'Data Pura Costos'!B1849)</f>
        <v/>
      </c>
      <c r="C1849" s="4" t="str">
        <f>+IF('Data Pura Costos'!C1849="","",'Data Pura Costos'!C1849)</f>
        <v/>
      </c>
      <c r="D1849" s="5" t="str">
        <f>+IF('Data Pura Costos'!D1849="","",'Data Pura Costos'!D1849)</f>
        <v/>
      </c>
      <c r="E1849" s="65" t="str">
        <f>+IF('Data Pura Costos'!E1849="","",IF('Data Pura Costos'!E1849=0,MAX('Data Pura Costos'!$E$7:$E$3000)*1000,'Data Pura Costos'!E1849))</f>
        <v/>
      </c>
      <c r="F1849" s="5" t="str">
        <f>+IF('Data Pura Costos'!F1849="","",'Data Pura Costos'!F1849)</f>
        <v/>
      </c>
      <c r="G1849" s="5" t="str">
        <f>+IF('Data Pura Costos'!G1849="","",'Data Pura Costos'!G1849)</f>
        <v/>
      </c>
      <c r="H1849" s="52" t="str">
        <f>+IF('Data Pura Costos'!H1849="","",'Data Pura Costos'!H1849)</f>
        <v/>
      </c>
      <c r="I1849" s="71" t="str">
        <f>+IF('Data Pura Costos'!I1849="","",'Data Pura Costos'!I1849)</f>
        <v/>
      </c>
      <c r="J1849" s="52" t="str">
        <f>+IF('Data Pura Costos'!J1849="","",'Data Pura Costos'!J1849)</f>
        <v/>
      </c>
      <c r="K1849" s="82" t="str">
        <f t="shared" si="33"/>
        <v/>
      </c>
    </row>
    <row r="1850" spans="2:11" x14ac:dyDescent="0.35">
      <c r="B1850" s="4" t="str">
        <f>+IF('Data Pura Costos'!B1850="","",'Data Pura Costos'!B1850)</f>
        <v/>
      </c>
      <c r="C1850" s="4" t="str">
        <f>+IF('Data Pura Costos'!C1850="","",'Data Pura Costos'!C1850)</f>
        <v/>
      </c>
      <c r="D1850" s="5" t="str">
        <f>+IF('Data Pura Costos'!D1850="","",'Data Pura Costos'!D1850)</f>
        <v/>
      </c>
      <c r="E1850" s="65" t="str">
        <f>+IF('Data Pura Costos'!E1850="","",IF('Data Pura Costos'!E1850=0,MAX('Data Pura Costos'!$E$7:$E$3000)*1000,'Data Pura Costos'!E1850))</f>
        <v/>
      </c>
      <c r="F1850" s="5" t="str">
        <f>+IF('Data Pura Costos'!F1850="","",'Data Pura Costos'!F1850)</f>
        <v/>
      </c>
      <c r="G1850" s="5" t="str">
        <f>+IF('Data Pura Costos'!G1850="","",'Data Pura Costos'!G1850)</f>
        <v/>
      </c>
      <c r="H1850" s="52" t="str">
        <f>+IF('Data Pura Costos'!H1850="","",'Data Pura Costos'!H1850)</f>
        <v/>
      </c>
      <c r="I1850" s="71" t="str">
        <f>+IF('Data Pura Costos'!I1850="","",'Data Pura Costos'!I1850)</f>
        <v/>
      </c>
      <c r="J1850" s="52" t="str">
        <f>+IF('Data Pura Costos'!J1850="","",'Data Pura Costos'!J1850)</f>
        <v/>
      </c>
      <c r="K1850" s="82" t="str">
        <f t="shared" si="33"/>
        <v/>
      </c>
    </row>
    <row r="1851" spans="2:11" x14ac:dyDescent="0.35">
      <c r="B1851" s="4" t="str">
        <f>+IF('Data Pura Costos'!B1851="","",'Data Pura Costos'!B1851)</f>
        <v/>
      </c>
      <c r="C1851" s="4" t="str">
        <f>+IF('Data Pura Costos'!C1851="","",'Data Pura Costos'!C1851)</f>
        <v/>
      </c>
      <c r="D1851" s="5" t="str">
        <f>+IF('Data Pura Costos'!D1851="","",'Data Pura Costos'!D1851)</f>
        <v/>
      </c>
      <c r="E1851" s="65" t="str">
        <f>+IF('Data Pura Costos'!E1851="","",IF('Data Pura Costos'!E1851=0,MAX('Data Pura Costos'!$E$7:$E$3000)*1000,'Data Pura Costos'!E1851))</f>
        <v/>
      </c>
      <c r="F1851" s="5" t="str">
        <f>+IF('Data Pura Costos'!F1851="","",'Data Pura Costos'!F1851)</f>
        <v/>
      </c>
      <c r="G1851" s="5" t="str">
        <f>+IF('Data Pura Costos'!G1851="","",'Data Pura Costos'!G1851)</f>
        <v/>
      </c>
      <c r="H1851" s="52" t="str">
        <f>+IF('Data Pura Costos'!H1851="","",'Data Pura Costos'!H1851)</f>
        <v/>
      </c>
      <c r="I1851" s="71" t="str">
        <f>+IF('Data Pura Costos'!I1851="","",'Data Pura Costos'!I1851)</f>
        <v/>
      </c>
      <c r="J1851" s="52" t="str">
        <f>+IF('Data Pura Costos'!J1851="","",'Data Pura Costos'!J1851)</f>
        <v/>
      </c>
      <c r="K1851" s="82" t="str">
        <f t="shared" si="33"/>
        <v/>
      </c>
    </row>
    <row r="1852" spans="2:11" x14ac:dyDescent="0.35">
      <c r="B1852" s="4" t="str">
        <f>+IF('Data Pura Costos'!B1852="","",'Data Pura Costos'!B1852)</f>
        <v/>
      </c>
      <c r="C1852" s="4" t="str">
        <f>+IF('Data Pura Costos'!C1852="","",'Data Pura Costos'!C1852)</f>
        <v/>
      </c>
      <c r="D1852" s="5" t="str">
        <f>+IF('Data Pura Costos'!D1852="","",'Data Pura Costos'!D1852)</f>
        <v/>
      </c>
      <c r="E1852" s="65" t="str">
        <f>+IF('Data Pura Costos'!E1852="","",IF('Data Pura Costos'!E1852=0,MAX('Data Pura Costos'!$E$7:$E$3000)*1000,'Data Pura Costos'!E1852))</f>
        <v/>
      </c>
      <c r="F1852" s="5" t="str">
        <f>+IF('Data Pura Costos'!F1852="","",'Data Pura Costos'!F1852)</f>
        <v/>
      </c>
      <c r="G1852" s="5" t="str">
        <f>+IF('Data Pura Costos'!G1852="","",'Data Pura Costos'!G1852)</f>
        <v/>
      </c>
      <c r="H1852" s="52" t="str">
        <f>+IF('Data Pura Costos'!H1852="","",'Data Pura Costos'!H1852)</f>
        <v/>
      </c>
      <c r="I1852" s="71" t="str">
        <f>+IF('Data Pura Costos'!I1852="","",'Data Pura Costos'!I1852)</f>
        <v/>
      </c>
      <c r="J1852" s="52" t="str">
        <f>+IF('Data Pura Costos'!J1852="","",'Data Pura Costos'!J1852)</f>
        <v/>
      </c>
      <c r="K1852" s="82" t="str">
        <f t="shared" ref="K1852:K1915" si="34">+IF(B1852="","",CONCATENATE(B1852,"-",F1852,"-",G1852))</f>
        <v/>
      </c>
    </row>
    <row r="1853" spans="2:11" x14ac:dyDescent="0.35">
      <c r="B1853" s="4" t="str">
        <f>+IF('Data Pura Costos'!B1853="","",'Data Pura Costos'!B1853)</f>
        <v/>
      </c>
      <c r="C1853" s="4" t="str">
        <f>+IF('Data Pura Costos'!C1853="","",'Data Pura Costos'!C1853)</f>
        <v/>
      </c>
      <c r="D1853" s="5" t="str">
        <f>+IF('Data Pura Costos'!D1853="","",'Data Pura Costos'!D1853)</f>
        <v/>
      </c>
      <c r="E1853" s="65" t="str">
        <f>+IF('Data Pura Costos'!E1853="","",IF('Data Pura Costos'!E1853=0,MAX('Data Pura Costos'!$E$7:$E$3000)*1000,'Data Pura Costos'!E1853))</f>
        <v/>
      </c>
      <c r="F1853" s="5" t="str">
        <f>+IF('Data Pura Costos'!F1853="","",'Data Pura Costos'!F1853)</f>
        <v/>
      </c>
      <c r="G1853" s="5" t="str">
        <f>+IF('Data Pura Costos'!G1853="","",'Data Pura Costos'!G1853)</f>
        <v/>
      </c>
      <c r="H1853" s="52" t="str">
        <f>+IF('Data Pura Costos'!H1853="","",'Data Pura Costos'!H1853)</f>
        <v/>
      </c>
      <c r="I1853" s="71" t="str">
        <f>+IF('Data Pura Costos'!I1853="","",'Data Pura Costos'!I1853)</f>
        <v/>
      </c>
      <c r="J1853" s="52" t="str">
        <f>+IF('Data Pura Costos'!J1853="","",'Data Pura Costos'!J1853)</f>
        <v/>
      </c>
      <c r="K1853" s="82" t="str">
        <f t="shared" si="34"/>
        <v/>
      </c>
    </row>
    <row r="1854" spans="2:11" x14ac:dyDescent="0.35">
      <c r="B1854" s="4" t="str">
        <f>+IF('Data Pura Costos'!B1854="","",'Data Pura Costos'!B1854)</f>
        <v/>
      </c>
      <c r="C1854" s="4" t="str">
        <f>+IF('Data Pura Costos'!C1854="","",'Data Pura Costos'!C1854)</f>
        <v/>
      </c>
      <c r="D1854" s="5" t="str">
        <f>+IF('Data Pura Costos'!D1854="","",'Data Pura Costos'!D1854)</f>
        <v/>
      </c>
      <c r="E1854" s="65" t="str">
        <f>+IF('Data Pura Costos'!E1854="","",IF('Data Pura Costos'!E1854=0,MAX('Data Pura Costos'!$E$7:$E$3000)*1000,'Data Pura Costos'!E1854))</f>
        <v/>
      </c>
      <c r="F1854" s="5" t="str">
        <f>+IF('Data Pura Costos'!F1854="","",'Data Pura Costos'!F1854)</f>
        <v/>
      </c>
      <c r="G1854" s="5" t="str">
        <f>+IF('Data Pura Costos'!G1854="","",'Data Pura Costos'!G1854)</f>
        <v/>
      </c>
      <c r="H1854" s="52" t="str">
        <f>+IF('Data Pura Costos'!H1854="","",'Data Pura Costos'!H1854)</f>
        <v/>
      </c>
      <c r="I1854" s="71" t="str">
        <f>+IF('Data Pura Costos'!I1854="","",'Data Pura Costos'!I1854)</f>
        <v/>
      </c>
      <c r="J1854" s="52" t="str">
        <f>+IF('Data Pura Costos'!J1854="","",'Data Pura Costos'!J1854)</f>
        <v/>
      </c>
      <c r="K1854" s="82" t="str">
        <f t="shared" si="34"/>
        <v/>
      </c>
    </row>
    <row r="1855" spans="2:11" x14ac:dyDescent="0.35">
      <c r="B1855" s="4" t="str">
        <f>+IF('Data Pura Costos'!B1855="","",'Data Pura Costos'!B1855)</f>
        <v/>
      </c>
      <c r="C1855" s="4" t="str">
        <f>+IF('Data Pura Costos'!C1855="","",'Data Pura Costos'!C1855)</f>
        <v/>
      </c>
      <c r="D1855" s="5" t="str">
        <f>+IF('Data Pura Costos'!D1855="","",'Data Pura Costos'!D1855)</f>
        <v/>
      </c>
      <c r="E1855" s="65" t="str">
        <f>+IF('Data Pura Costos'!E1855="","",IF('Data Pura Costos'!E1855=0,MAX('Data Pura Costos'!$E$7:$E$3000)*1000,'Data Pura Costos'!E1855))</f>
        <v/>
      </c>
      <c r="F1855" s="5" t="str">
        <f>+IF('Data Pura Costos'!F1855="","",'Data Pura Costos'!F1855)</f>
        <v/>
      </c>
      <c r="G1855" s="5" t="str">
        <f>+IF('Data Pura Costos'!G1855="","",'Data Pura Costos'!G1855)</f>
        <v/>
      </c>
      <c r="H1855" s="52" t="str">
        <f>+IF('Data Pura Costos'!H1855="","",'Data Pura Costos'!H1855)</f>
        <v/>
      </c>
      <c r="I1855" s="71" t="str">
        <f>+IF('Data Pura Costos'!I1855="","",'Data Pura Costos'!I1855)</f>
        <v/>
      </c>
      <c r="J1855" s="52" t="str">
        <f>+IF('Data Pura Costos'!J1855="","",'Data Pura Costos'!J1855)</f>
        <v/>
      </c>
      <c r="K1855" s="82" t="str">
        <f t="shared" si="34"/>
        <v/>
      </c>
    </row>
    <row r="1856" spans="2:11" x14ac:dyDescent="0.35">
      <c r="B1856" s="4" t="str">
        <f>+IF('Data Pura Costos'!B1856="","",'Data Pura Costos'!B1856)</f>
        <v/>
      </c>
      <c r="C1856" s="4" t="str">
        <f>+IF('Data Pura Costos'!C1856="","",'Data Pura Costos'!C1856)</f>
        <v/>
      </c>
      <c r="D1856" s="5" t="str">
        <f>+IF('Data Pura Costos'!D1856="","",'Data Pura Costos'!D1856)</f>
        <v/>
      </c>
      <c r="E1856" s="65" t="str">
        <f>+IF('Data Pura Costos'!E1856="","",IF('Data Pura Costos'!E1856=0,MAX('Data Pura Costos'!$E$7:$E$3000)*1000,'Data Pura Costos'!E1856))</f>
        <v/>
      </c>
      <c r="F1856" s="5" t="str">
        <f>+IF('Data Pura Costos'!F1856="","",'Data Pura Costos'!F1856)</f>
        <v/>
      </c>
      <c r="G1856" s="5" t="str">
        <f>+IF('Data Pura Costos'!G1856="","",'Data Pura Costos'!G1856)</f>
        <v/>
      </c>
      <c r="H1856" s="52" t="str">
        <f>+IF('Data Pura Costos'!H1856="","",'Data Pura Costos'!H1856)</f>
        <v/>
      </c>
      <c r="I1856" s="71" t="str">
        <f>+IF('Data Pura Costos'!I1856="","",'Data Pura Costos'!I1856)</f>
        <v/>
      </c>
      <c r="J1856" s="52" t="str">
        <f>+IF('Data Pura Costos'!J1856="","",'Data Pura Costos'!J1856)</f>
        <v/>
      </c>
      <c r="K1856" s="82" t="str">
        <f t="shared" si="34"/>
        <v/>
      </c>
    </row>
    <row r="1857" spans="2:11" x14ac:dyDescent="0.35">
      <c r="B1857" s="4" t="str">
        <f>+IF('Data Pura Costos'!B1857="","",'Data Pura Costos'!B1857)</f>
        <v/>
      </c>
      <c r="C1857" s="4" t="str">
        <f>+IF('Data Pura Costos'!C1857="","",'Data Pura Costos'!C1857)</f>
        <v/>
      </c>
      <c r="D1857" s="5" t="str">
        <f>+IF('Data Pura Costos'!D1857="","",'Data Pura Costos'!D1857)</f>
        <v/>
      </c>
      <c r="E1857" s="65" t="str">
        <f>+IF('Data Pura Costos'!E1857="","",IF('Data Pura Costos'!E1857=0,MAX('Data Pura Costos'!$E$7:$E$3000)*1000,'Data Pura Costos'!E1857))</f>
        <v/>
      </c>
      <c r="F1857" s="5" t="str">
        <f>+IF('Data Pura Costos'!F1857="","",'Data Pura Costos'!F1857)</f>
        <v/>
      </c>
      <c r="G1857" s="5" t="str">
        <f>+IF('Data Pura Costos'!G1857="","",'Data Pura Costos'!G1857)</f>
        <v/>
      </c>
      <c r="H1857" s="52" t="str">
        <f>+IF('Data Pura Costos'!H1857="","",'Data Pura Costos'!H1857)</f>
        <v/>
      </c>
      <c r="I1857" s="71" t="str">
        <f>+IF('Data Pura Costos'!I1857="","",'Data Pura Costos'!I1857)</f>
        <v/>
      </c>
      <c r="J1857" s="52" t="str">
        <f>+IF('Data Pura Costos'!J1857="","",'Data Pura Costos'!J1857)</f>
        <v/>
      </c>
      <c r="K1857" s="82" t="str">
        <f t="shared" si="34"/>
        <v/>
      </c>
    </row>
    <row r="1858" spans="2:11" x14ac:dyDescent="0.35">
      <c r="B1858" s="4" t="str">
        <f>+IF('Data Pura Costos'!B1858="","",'Data Pura Costos'!B1858)</f>
        <v/>
      </c>
      <c r="C1858" s="4" t="str">
        <f>+IF('Data Pura Costos'!C1858="","",'Data Pura Costos'!C1858)</f>
        <v/>
      </c>
      <c r="D1858" s="5" t="str">
        <f>+IF('Data Pura Costos'!D1858="","",'Data Pura Costos'!D1858)</f>
        <v/>
      </c>
      <c r="E1858" s="65" t="str">
        <f>+IF('Data Pura Costos'!E1858="","",IF('Data Pura Costos'!E1858=0,MAX('Data Pura Costos'!$E$7:$E$3000)*1000,'Data Pura Costos'!E1858))</f>
        <v/>
      </c>
      <c r="F1858" s="5" t="str">
        <f>+IF('Data Pura Costos'!F1858="","",'Data Pura Costos'!F1858)</f>
        <v/>
      </c>
      <c r="G1858" s="5" t="str">
        <f>+IF('Data Pura Costos'!G1858="","",'Data Pura Costos'!G1858)</f>
        <v/>
      </c>
      <c r="H1858" s="52" t="str">
        <f>+IF('Data Pura Costos'!H1858="","",'Data Pura Costos'!H1858)</f>
        <v/>
      </c>
      <c r="I1858" s="71" t="str">
        <f>+IF('Data Pura Costos'!I1858="","",'Data Pura Costos'!I1858)</f>
        <v/>
      </c>
      <c r="J1858" s="52" t="str">
        <f>+IF('Data Pura Costos'!J1858="","",'Data Pura Costos'!J1858)</f>
        <v/>
      </c>
      <c r="K1858" s="82" t="str">
        <f t="shared" si="34"/>
        <v/>
      </c>
    </row>
    <row r="1859" spans="2:11" x14ac:dyDescent="0.35">
      <c r="B1859" s="4" t="str">
        <f>+IF('Data Pura Costos'!B1859="","",'Data Pura Costos'!B1859)</f>
        <v/>
      </c>
      <c r="C1859" s="4" t="str">
        <f>+IF('Data Pura Costos'!C1859="","",'Data Pura Costos'!C1859)</f>
        <v/>
      </c>
      <c r="D1859" s="5" t="str">
        <f>+IF('Data Pura Costos'!D1859="","",'Data Pura Costos'!D1859)</f>
        <v/>
      </c>
      <c r="E1859" s="65" t="str">
        <f>+IF('Data Pura Costos'!E1859="","",IF('Data Pura Costos'!E1859=0,MAX('Data Pura Costos'!$E$7:$E$3000)*1000,'Data Pura Costos'!E1859))</f>
        <v/>
      </c>
      <c r="F1859" s="5" t="str">
        <f>+IF('Data Pura Costos'!F1859="","",'Data Pura Costos'!F1859)</f>
        <v/>
      </c>
      <c r="G1859" s="5" t="str">
        <f>+IF('Data Pura Costos'!G1859="","",'Data Pura Costos'!G1859)</f>
        <v/>
      </c>
      <c r="H1859" s="52" t="str">
        <f>+IF('Data Pura Costos'!H1859="","",'Data Pura Costos'!H1859)</f>
        <v/>
      </c>
      <c r="I1859" s="71" t="str">
        <f>+IF('Data Pura Costos'!I1859="","",'Data Pura Costos'!I1859)</f>
        <v/>
      </c>
      <c r="J1859" s="52" t="str">
        <f>+IF('Data Pura Costos'!J1859="","",'Data Pura Costos'!J1859)</f>
        <v/>
      </c>
      <c r="K1859" s="82" t="str">
        <f t="shared" si="34"/>
        <v/>
      </c>
    </row>
    <row r="1860" spans="2:11" x14ac:dyDescent="0.35">
      <c r="B1860" s="4" t="str">
        <f>+IF('Data Pura Costos'!B1860="","",'Data Pura Costos'!B1860)</f>
        <v/>
      </c>
      <c r="C1860" s="4" t="str">
        <f>+IF('Data Pura Costos'!C1860="","",'Data Pura Costos'!C1860)</f>
        <v/>
      </c>
      <c r="D1860" s="5" t="str">
        <f>+IF('Data Pura Costos'!D1860="","",'Data Pura Costos'!D1860)</f>
        <v/>
      </c>
      <c r="E1860" s="65" t="str">
        <f>+IF('Data Pura Costos'!E1860="","",IF('Data Pura Costos'!E1860=0,MAX('Data Pura Costos'!$E$7:$E$3000)*1000,'Data Pura Costos'!E1860))</f>
        <v/>
      </c>
      <c r="F1860" s="5" t="str">
        <f>+IF('Data Pura Costos'!F1860="","",'Data Pura Costos'!F1860)</f>
        <v/>
      </c>
      <c r="G1860" s="5" t="str">
        <f>+IF('Data Pura Costos'!G1860="","",'Data Pura Costos'!G1860)</f>
        <v/>
      </c>
      <c r="H1860" s="52" t="str">
        <f>+IF('Data Pura Costos'!H1860="","",'Data Pura Costos'!H1860)</f>
        <v/>
      </c>
      <c r="I1860" s="71" t="str">
        <f>+IF('Data Pura Costos'!I1860="","",'Data Pura Costos'!I1860)</f>
        <v/>
      </c>
      <c r="J1860" s="52" t="str">
        <f>+IF('Data Pura Costos'!J1860="","",'Data Pura Costos'!J1860)</f>
        <v/>
      </c>
      <c r="K1860" s="82" t="str">
        <f t="shared" si="34"/>
        <v/>
      </c>
    </row>
    <row r="1861" spans="2:11" x14ac:dyDescent="0.35">
      <c r="B1861" s="4" t="str">
        <f>+IF('Data Pura Costos'!B1861="","",'Data Pura Costos'!B1861)</f>
        <v/>
      </c>
      <c r="C1861" s="4" t="str">
        <f>+IF('Data Pura Costos'!C1861="","",'Data Pura Costos'!C1861)</f>
        <v/>
      </c>
      <c r="D1861" s="5" t="str">
        <f>+IF('Data Pura Costos'!D1861="","",'Data Pura Costos'!D1861)</f>
        <v/>
      </c>
      <c r="E1861" s="65" t="str">
        <f>+IF('Data Pura Costos'!E1861="","",IF('Data Pura Costos'!E1861=0,MAX('Data Pura Costos'!$E$7:$E$3000)*1000,'Data Pura Costos'!E1861))</f>
        <v/>
      </c>
      <c r="F1861" s="5" t="str">
        <f>+IF('Data Pura Costos'!F1861="","",'Data Pura Costos'!F1861)</f>
        <v/>
      </c>
      <c r="G1861" s="5" t="str">
        <f>+IF('Data Pura Costos'!G1861="","",'Data Pura Costos'!G1861)</f>
        <v/>
      </c>
      <c r="H1861" s="52" t="str">
        <f>+IF('Data Pura Costos'!H1861="","",'Data Pura Costos'!H1861)</f>
        <v/>
      </c>
      <c r="I1861" s="71" t="str">
        <f>+IF('Data Pura Costos'!I1861="","",'Data Pura Costos'!I1861)</f>
        <v/>
      </c>
      <c r="J1861" s="52" t="str">
        <f>+IF('Data Pura Costos'!J1861="","",'Data Pura Costos'!J1861)</f>
        <v/>
      </c>
      <c r="K1861" s="82" t="str">
        <f t="shared" si="34"/>
        <v/>
      </c>
    </row>
    <row r="1862" spans="2:11" x14ac:dyDescent="0.35">
      <c r="B1862" s="4" t="str">
        <f>+IF('Data Pura Costos'!B1862="","",'Data Pura Costos'!B1862)</f>
        <v/>
      </c>
      <c r="C1862" s="4" t="str">
        <f>+IF('Data Pura Costos'!C1862="","",'Data Pura Costos'!C1862)</f>
        <v/>
      </c>
      <c r="D1862" s="5" t="str">
        <f>+IF('Data Pura Costos'!D1862="","",'Data Pura Costos'!D1862)</f>
        <v/>
      </c>
      <c r="E1862" s="65" t="str">
        <f>+IF('Data Pura Costos'!E1862="","",IF('Data Pura Costos'!E1862=0,MAX('Data Pura Costos'!$E$7:$E$3000)*1000,'Data Pura Costos'!E1862))</f>
        <v/>
      </c>
      <c r="F1862" s="5" t="str">
        <f>+IF('Data Pura Costos'!F1862="","",'Data Pura Costos'!F1862)</f>
        <v/>
      </c>
      <c r="G1862" s="5" t="str">
        <f>+IF('Data Pura Costos'!G1862="","",'Data Pura Costos'!G1862)</f>
        <v/>
      </c>
      <c r="H1862" s="52" t="str">
        <f>+IF('Data Pura Costos'!H1862="","",'Data Pura Costos'!H1862)</f>
        <v/>
      </c>
      <c r="I1862" s="71" t="str">
        <f>+IF('Data Pura Costos'!I1862="","",'Data Pura Costos'!I1862)</f>
        <v/>
      </c>
      <c r="J1862" s="52" t="str">
        <f>+IF('Data Pura Costos'!J1862="","",'Data Pura Costos'!J1862)</f>
        <v/>
      </c>
      <c r="K1862" s="82" t="str">
        <f t="shared" si="34"/>
        <v/>
      </c>
    </row>
    <row r="1863" spans="2:11" x14ac:dyDescent="0.35">
      <c r="B1863" s="4" t="str">
        <f>+IF('Data Pura Costos'!B1863="","",'Data Pura Costos'!B1863)</f>
        <v/>
      </c>
      <c r="C1863" s="4" t="str">
        <f>+IF('Data Pura Costos'!C1863="","",'Data Pura Costos'!C1863)</f>
        <v/>
      </c>
      <c r="D1863" s="5" t="str">
        <f>+IF('Data Pura Costos'!D1863="","",'Data Pura Costos'!D1863)</f>
        <v/>
      </c>
      <c r="E1863" s="65" t="str">
        <f>+IF('Data Pura Costos'!E1863="","",IF('Data Pura Costos'!E1863=0,MAX('Data Pura Costos'!$E$7:$E$3000)*1000,'Data Pura Costos'!E1863))</f>
        <v/>
      </c>
      <c r="F1863" s="5" t="str">
        <f>+IF('Data Pura Costos'!F1863="","",'Data Pura Costos'!F1863)</f>
        <v/>
      </c>
      <c r="G1863" s="5" t="str">
        <f>+IF('Data Pura Costos'!G1863="","",'Data Pura Costos'!G1863)</f>
        <v/>
      </c>
      <c r="H1863" s="52" t="str">
        <f>+IF('Data Pura Costos'!H1863="","",'Data Pura Costos'!H1863)</f>
        <v/>
      </c>
      <c r="I1863" s="71" t="str">
        <f>+IF('Data Pura Costos'!I1863="","",'Data Pura Costos'!I1863)</f>
        <v/>
      </c>
      <c r="J1863" s="52" t="str">
        <f>+IF('Data Pura Costos'!J1863="","",'Data Pura Costos'!J1863)</f>
        <v/>
      </c>
      <c r="K1863" s="82" t="str">
        <f t="shared" si="34"/>
        <v/>
      </c>
    </row>
    <row r="1864" spans="2:11" x14ac:dyDescent="0.35">
      <c r="B1864" s="4" t="str">
        <f>+IF('Data Pura Costos'!B1864="","",'Data Pura Costos'!B1864)</f>
        <v/>
      </c>
      <c r="C1864" s="4" t="str">
        <f>+IF('Data Pura Costos'!C1864="","",'Data Pura Costos'!C1864)</f>
        <v/>
      </c>
      <c r="D1864" s="5" t="str">
        <f>+IF('Data Pura Costos'!D1864="","",'Data Pura Costos'!D1864)</f>
        <v/>
      </c>
      <c r="E1864" s="65" t="str">
        <f>+IF('Data Pura Costos'!E1864="","",IF('Data Pura Costos'!E1864=0,MAX('Data Pura Costos'!$E$7:$E$3000)*1000,'Data Pura Costos'!E1864))</f>
        <v/>
      </c>
      <c r="F1864" s="5" t="str">
        <f>+IF('Data Pura Costos'!F1864="","",'Data Pura Costos'!F1864)</f>
        <v/>
      </c>
      <c r="G1864" s="5" t="str">
        <f>+IF('Data Pura Costos'!G1864="","",'Data Pura Costos'!G1864)</f>
        <v/>
      </c>
      <c r="H1864" s="52" t="str">
        <f>+IF('Data Pura Costos'!H1864="","",'Data Pura Costos'!H1864)</f>
        <v/>
      </c>
      <c r="I1864" s="71" t="str">
        <f>+IF('Data Pura Costos'!I1864="","",'Data Pura Costos'!I1864)</f>
        <v/>
      </c>
      <c r="J1864" s="52" t="str">
        <f>+IF('Data Pura Costos'!J1864="","",'Data Pura Costos'!J1864)</f>
        <v/>
      </c>
      <c r="K1864" s="82" t="str">
        <f t="shared" si="34"/>
        <v/>
      </c>
    </row>
    <row r="1865" spans="2:11" x14ac:dyDescent="0.35">
      <c r="B1865" s="4" t="str">
        <f>+IF('Data Pura Costos'!B1865="","",'Data Pura Costos'!B1865)</f>
        <v/>
      </c>
      <c r="C1865" s="4" t="str">
        <f>+IF('Data Pura Costos'!C1865="","",'Data Pura Costos'!C1865)</f>
        <v/>
      </c>
      <c r="D1865" s="5" t="str">
        <f>+IF('Data Pura Costos'!D1865="","",'Data Pura Costos'!D1865)</f>
        <v/>
      </c>
      <c r="E1865" s="65" t="str">
        <f>+IF('Data Pura Costos'!E1865="","",IF('Data Pura Costos'!E1865=0,MAX('Data Pura Costos'!$E$7:$E$3000)*1000,'Data Pura Costos'!E1865))</f>
        <v/>
      </c>
      <c r="F1865" s="5" t="str">
        <f>+IF('Data Pura Costos'!F1865="","",'Data Pura Costos'!F1865)</f>
        <v/>
      </c>
      <c r="G1865" s="5" t="str">
        <f>+IF('Data Pura Costos'!G1865="","",'Data Pura Costos'!G1865)</f>
        <v/>
      </c>
      <c r="H1865" s="52" t="str">
        <f>+IF('Data Pura Costos'!H1865="","",'Data Pura Costos'!H1865)</f>
        <v/>
      </c>
      <c r="I1865" s="71" t="str">
        <f>+IF('Data Pura Costos'!I1865="","",'Data Pura Costos'!I1865)</f>
        <v/>
      </c>
      <c r="J1865" s="52" t="str">
        <f>+IF('Data Pura Costos'!J1865="","",'Data Pura Costos'!J1865)</f>
        <v/>
      </c>
      <c r="K1865" s="82" t="str">
        <f t="shared" si="34"/>
        <v/>
      </c>
    </row>
    <row r="1866" spans="2:11" x14ac:dyDescent="0.35">
      <c r="B1866" s="4" t="str">
        <f>+IF('Data Pura Costos'!B1866="","",'Data Pura Costos'!B1866)</f>
        <v/>
      </c>
      <c r="C1866" s="4" t="str">
        <f>+IF('Data Pura Costos'!C1866="","",'Data Pura Costos'!C1866)</f>
        <v/>
      </c>
      <c r="D1866" s="5" t="str">
        <f>+IF('Data Pura Costos'!D1866="","",'Data Pura Costos'!D1866)</f>
        <v/>
      </c>
      <c r="E1866" s="65" t="str">
        <f>+IF('Data Pura Costos'!E1866="","",IF('Data Pura Costos'!E1866=0,MAX('Data Pura Costos'!$E$7:$E$3000)*1000,'Data Pura Costos'!E1866))</f>
        <v/>
      </c>
      <c r="F1866" s="5" t="str">
        <f>+IF('Data Pura Costos'!F1866="","",'Data Pura Costos'!F1866)</f>
        <v/>
      </c>
      <c r="G1866" s="5" t="str">
        <f>+IF('Data Pura Costos'!G1866="","",'Data Pura Costos'!G1866)</f>
        <v/>
      </c>
      <c r="H1866" s="52" t="str">
        <f>+IF('Data Pura Costos'!H1866="","",'Data Pura Costos'!H1866)</f>
        <v/>
      </c>
      <c r="I1866" s="71" t="str">
        <f>+IF('Data Pura Costos'!I1866="","",'Data Pura Costos'!I1866)</f>
        <v/>
      </c>
      <c r="J1866" s="52" t="str">
        <f>+IF('Data Pura Costos'!J1866="","",'Data Pura Costos'!J1866)</f>
        <v/>
      </c>
      <c r="K1866" s="82" t="str">
        <f t="shared" si="34"/>
        <v/>
      </c>
    </row>
    <row r="1867" spans="2:11" x14ac:dyDescent="0.35">
      <c r="B1867" s="4" t="str">
        <f>+IF('Data Pura Costos'!B1867="","",'Data Pura Costos'!B1867)</f>
        <v/>
      </c>
      <c r="C1867" s="4" t="str">
        <f>+IF('Data Pura Costos'!C1867="","",'Data Pura Costos'!C1867)</f>
        <v/>
      </c>
      <c r="D1867" s="5" t="str">
        <f>+IF('Data Pura Costos'!D1867="","",'Data Pura Costos'!D1867)</f>
        <v/>
      </c>
      <c r="E1867" s="65" t="str">
        <f>+IF('Data Pura Costos'!E1867="","",IF('Data Pura Costos'!E1867=0,MAX('Data Pura Costos'!$E$7:$E$3000)*1000,'Data Pura Costos'!E1867))</f>
        <v/>
      </c>
      <c r="F1867" s="5" t="str">
        <f>+IF('Data Pura Costos'!F1867="","",'Data Pura Costos'!F1867)</f>
        <v/>
      </c>
      <c r="G1867" s="5" t="str">
        <f>+IF('Data Pura Costos'!G1867="","",'Data Pura Costos'!G1867)</f>
        <v/>
      </c>
      <c r="H1867" s="52" t="str">
        <f>+IF('Data Pura Costos'!H1867="","",'Data Pura Costos'!H1867)</f>
        <v/>
      </c>
      <c r="I1867" s="71" t="str">
        <f>+IF('Data Pura Costos'!I1867="","",'Data Pura Costos'!I1867)</f>
        <v/>
      </c>
      <c r="J1867" s="52" t="str">
        <f>+IF('Data Pura Costos'!J1867="","",'Data Pura Costos'!J1867)</f>
        <v/>
      </c>
      <c r="K1867" s="82" t="str">
        <f t="shared" si="34"/>
        <v/>
      </c>
    </row>
    <row r="1868" spans="2:11" x14ac:dyDescent="0.35">
      <c r="B1868" s="4" t="str">
        <f>+IF('Data Pura Costos'!B1868="","",'Data Pura Costos'!B1868)</f>
        <v/>
      </c>
      <c r="C1868" s="4" t="str">
        <f>+IF('Data Pura Costos'!C1868="","",'Data Pura Costos'!C1868)</f>
        <v/>
      </c>
      <c r="D1868" s="5" t="str">
        <f>+IF('Data Pura Costos'!D1868="","",'Data Pura Costos'!D1868)</f>
        <v/>
      </c>
      <c r="E1868" s="65" t="str">
        <f>+IF('Data Pura Costos'!E1868="","",IF('Data Pura Costos'!E1868=0,MAX('Data Pura Costos'!$E$7:$E$3000)*1000,'Data Pura Costos'!E1868))</f>
        <v/>
      </c>
      <c r="F1868" s="5" t="str">
        <f>+IF('Data Pura Costos'!F1868="","",'Data Pura Costos'!F1868)</f>
        <v/>
      </c>
      <c r="G1868" s="5" t="str">
        <f>+IF('Data Pura Costos'!G1868="","",'Data Pura Costos'!G1868)</f>
        <v/>
      </c>
      <c r="H1868" s="52" t="str">
        <f>+IF('Data Pura Costos'!H1868="","",'Data Pura Costos'!H1868)</f>
        <v/>
      </c>
      <c r="I1868" s="71" t="str">
        <f>+IF('Data Pura Costos'!I1868="","",'Data Pura Costos'!I1868)</f>
        <v/>
      </c>
      <c r="J1868" s="52" t="str">
        <f>+IF('Data Pura Costos'!J1868="","",'Data Pura Costos'!J1868)</f>
        <v/>
      </c>
      <c r="K1868" s="82" t="str">
        <f t="shared" si="34"/>
        <v/>
      </c>
    </row>
    <row r="1869" spans="2:11" x14ac:dyDescent="0.35">
      <c r="B1869" s="4" t="str">
        <f>+IF('Data Pura Costos'!B1869="","",'Data Pura Costos'!B1869)</f>
        <v/>
      </c>
      <c r="C1869" s="4" t="str">
        <f>+IF('Data Pura Costos'!C1869="","",'Data Pura Costos'!C1869)</f>
        <v/>
      </c>
      <c r="D1869" s="5" t="str">
        <f>+IF('Data Pura Costos'!D1869="","",'Data Pura Costos'!D1869)</f>
        <v/>
      </c>
      <c r="E1869" s="65" t="str">
        <f>+IF('Data Pura Costos'!E1869="","",IF('Data Pura Costos'!E1869=0,MAX('Data Pura Costos'!$E$7:$E$3000)*1000,'Data Pura Costos'!E1869))</f>
        <v/>
      </c>
      <c r="F1869" s="5" t="str">
        <f>+IF('Data Pura Costos'!F1869="","",'Data Pura Costos'!F1869)</f>
        <v/>
      </c>
      <c r="G1869" s="5" t="str">
        <f>+IF('Data Pura Costos'!G1869="","",'Data Pura Costos'!G1869)</f>
        <v/>
      </c>
      <c r="H1869" s="52" t="str">
        <f>+IF('Data Pura Costos'!H1869="","",'Data Pura Costos'!H1869)</f>
        <v/>
      </c>
      <c r="I1869" s="71" t="str">
        <f>+IF('Data Pura Costos'!I1869="","",'Data Pura Costos'!I1869)</f>
        <v/>
      </c>
      <c r="J1869" s="52" t="str">
        <f>+IF('Data Pura Costos'!J1869="","",'Data Pura Costos'!J1869)</f>
        <v/>
      </c>
      <c r="K1869" s="82" t="str">
        <f t="shared" si="34"/>
        <v/>
      </c>
    </row>
    <row r="1870" spans="2:11" x14ac:dyDescent="0.35">
      <c r="B1870" s="4" t="str">
        <f>+IF('Data Pura Costos'!B1870="","",'Data Pura Costos'!B1870)</f>
        <v/>
      </c>
      <c r="C1870" s="4" t="str">
        <f>+IF('Data Pura Costos'!C1870="","",'Data Pura Costos'!C1870)</f>
        <v/>
      </c>
      <c r="D1870" s="5" t="str">
        <f>+IF('Data Pura Costos'!D1870="","",'Data Pura Costos'!D1870)</f>
        <v/>
      </c>
      <c r="E1870" s="65" t="str">
        <f>+IF('Data Pura Costos'!E1870="","",IF('Data Pura Costos'!E1870=0,MAX('Data Pura Costos'!$E$7:$E$3000)*1000,'Data Pura Costos'!E1870))</f>
        <v/>
      </c>
      <c r="F1870" s="5" t="str">
        <f>+IF('Data Pura Costos'!F1870="","",'Data Pura Costos'!F1870)</f>
        <v/>
      </c>
      <c r="G1870" s="5" t="str">
        <f>+IF('Data Pura Costos'!G1870="","",'Data Pura Costos'!G1870)</f>
        <v/>
      </c>
      <c r="H1870" s="52" t="str">
        <f>+IF('Data Pura Costos'!H1870="","",'Data Pura Costos'!H1870)</f>
        <v/>
      </c>
      <c r="I1870" s="71" t="str">
        <f>+IF('Data Pura Costos'!I1870="","",'Data Pura Costos'!I1870)</f>
        <v/>
      </c>
      <c r="J1870" s="52" t="str">
        <f>+IF('Data Pura Costos'!J1870="","",'Data Pura Costos'!J1870)</f>
        <v/>
      </c>
      <c r="K1870" s="82" t="str">
        <f t="shared" si="34"/>
        <v/>
      </c>
    </row>
    <row r="1871" spans="2:11" x14ac:dyDescent="0.35">
      <c r="B1871" s="4" t="str">
        <f>+IF('Data Pura Costos'!B1871="","",'Data Pura Costos'!B1871)</f>
        <v/>
      </c>
      <c r="C1871" s="4" t="str">
        <f>+IF('Data Pura Costos'!C1871="","",'Data Pura Costos'!C1871)</f>
        <v/>
      </c>
      <c r="D1871" s="5" t="str">
        <f>+IF('Data Pura Costos'!D1871="","",'Data Pura Costos'!D1871)</f>
        <v/>
      </c>
      <c r="E1871" s="65" t="str">
        <f>+IF('Data Pura Costos'!E1871="","",IF('Data Pura Costos'!E1871=0,MAX('Data Pura Costos'!$E$7:$E$3000)*1000,'Data Pura Costos'!E1871))</f>
        <v/>
      </c>
      <c r="F1871" s="5" t="str">
        <f>+IF('Data Pura Costos'!F1871="","",'Data Pura Costos'!F1871)</f>
        <v/>
      </c>
      <c r="G1871" s="5" t="str">
        <f>+IF('Data Pura Costos'!G1871="","",'Data Pura Costos'!G1871)</f>
        <v/>
      </c>
      <c r="H1871" s="52" t="str">
        <f>+IF('Data Pura Costos'!H1871="","",'Data Pura Costos'!H1871)</f>
        <v/>
      </c>
      <c r="I1871" s="71" t="str">
        <f>+IF('Data Pura Costos'!I1871="","",'Data Pura Costos'!I1871)</f>
        <v/>
      </c>
      <c r="J1871" s="52" t="str">
        <f>+IF('Data Pura Costos'!J1871="","",'Data Pura Costos'!J1871)</f>
        <v/>
      </c>
      <c r="K1871" s="82" t="str">
        <f t="shared" si="34"/>
        <v/>
      </c>
    </row>
    <row r="1872" spans="2:11" x14ac:dyDescent="0.35">
      <c r="B1872" s="4" t="str">
        <f>+IF('Data Pura Costos'!B1872="","",'Data Pura Costos'!B1872)</f>
        <v/>
      </c>
      <c r="C1872" s="4" t="str">
        <f>+IF('Data Pura Costos'!C1872="","",'Data Pura Costos'!C1872)</f>
        <v/>
      </c>
      <c r="D1872" s="5" t="str">
        <f>+IF('Data Pura Costos'!D1872="","",'Data Pura Costos'!D1872)</f>
        <v/>
      </c>
      <c r="E1872" s="65" t="str">
        <f>+IF('Data Pura Costos'!E1872="","",IF('Data Pura Costos'!E1872=0,MAX('Data Pura Costos'!$E$7:$E$3000)*1000,'Data Pura Costos'!E1872))</f>
        <v/>
      </c>
      <c r="F1872" s="5" t="str">
        <f>+IF('Data Pura Costos'!F1872="","",'Data Pura Costos'!F1872)</f>
        <v/>
      </c>
      <c r="G1872" s="5" t="str">
        <f>+IF('Data Pura Costos'!G1872="","",'Data Pura Costos'!G1872)</f>
        <v/>
      </c>
      <c r="H1872" s="52" t="str">
        <f>+IF('Data Pura Costos'!H1872="","",'Data Pura Costos'!H1872)</f>
        <v/>
      </c>
      <c r="I1872" s="71" t="str">
        <f>+IF('Data Pura Costos'!I1872="","",'Data Pura Costos'!I1872)</f>
        <v/>
      </c>
      <c r="J1872" s="52" t="str">
        <f>+IF('Data Pura Costos'!J1872="","",'Data Pura Costos'!J1872)</f>
        <v/>
      </c>
      <c r="K1872" s="82" t="str">
        <f t="shared" si="34"/>
        <v/>
      </c>
    </row>
    <row r="1873" spans="2:11" x14ac:dyDescent="0.35">
      <c r="B1873" s="4" t="str">
        <f>+IF('Data Pura Costos'!B1873="","",'Data Pura Costos'!B1873)</f>
        <v/>
      </c>
      <c r="C1873" s="4" t="str">
        <f>+IF('Data Pura Costos'!C1873="","",'Data Pura Costos'!C1873)</f>
        <v/>
      </c>
      <c r="D1873" s="5" t="str">
        <f>+IF('Data Pura Costos'!D1873="","",'Data Pura Costos'!D1873)</f>
        <v/>
      </c>
      <c r="E1873" s="65" t="str">
        <f>+IF('Data Pura Costos'!E1873="","",IF('Data Pura Costos'!E1873=0,MAX('Data Pura Costos'!$E$7:$E$3000)*1000,'Data Pura Costos'!E1873))</f>
        <v/>
      </c>
      <c r="F1873" s="5" t="str">
        <f>+IF('Data Pura Costos'!F1873="","",'Data Pura Costos'!F1873)</f>
        <v/>
      </c>
      <c r="G1873" s="5" t="str">
        <f>+IF('Data Pura Costos'!G1873="","",'Data Pura Costos'!G1873)</f>
        <v/>
      </c>
      <c r="H1873" s="52" t="str">
        <f>+IF('Data Pura Costos'!H1873="","",'Data Pura Costos'!H1873)</f>
        <v/>
      </c>
      <c r="I1873" s="71" t="str">
        <f>+IF('Data Pura Costos'!I1873="","",'Data Pura Costos'!I1873)</f>
        <v/>
      </c>
      <c r="J1873" s="52" t="str">
        <f>+IF('Data Pura Costos'!J1873="","",'Data Pura Costos'!J1873)</f>
        <v/>
      </c>
      <c r="K1873" s="82" t="str">
        <f t="shared" si="34"/>
        <v/>
      </c>
    </row>
    <row r="1874" spans="2:11" x14ac:dyDescent="0.35">
      <c r="B1874" s="4" t="str">
        <f>+IF('Data Pura Costos'!B1874="","",'Data Pura Costos'!B1874)</f>
        <v/>
      </c>
      <c r="C1874" s="4" t="str">
        <f>+IF('Data Pura Costos'!C1874="","",'Data Pura Costos'!C1874)</f>
        <v/>
      </c>
      <c r="D1874" s="5" t="str">
        <f>+IF('Data Pura Costos'!D1874="","",'Data Pura Costos'!D1874)</f>
        <v/>
      </c>
      <c r="E1874" s="65" t="str">
        <f>+IF('Data Pura Costos'!E1874="","",IF('Data Pura Costos'!E1874=0,MAX('Data Pura Costos'!$E$7:$E$3000)*1000,'Data Pura Costos'!E1874))</f>
        <v/>
      </c>
      <c r="F1874" s="5" t="str">
        <f>+IF('Data Pura Costos'!F1874="","",'Data Pura Costos'!F1874)</f>
        <v/>
      </c>
      <c r="G1874" s="5" t="str">
        <f>+IF('Data Pura Costos'!G1874="","",'Data Pura Costos'!G1874)</f>
        <v/>
      </c>
      <c r="H1874" s="52" t="str">
        <f>+IF('Data Pura Costos'!H1874="","",'Data Pura Costos'!H1874)</f>
        <v/>
      </c>
      <c r="I1874" s="71" t="str">
        <f>+IF('Data Pura Costos'!I1874="","",'Data Pura Costos'!I1874)</f>
        <v/>
      </c>
      <c r="J1874" s="52" t="str">
        <f>+IF('Data Pura Costos'!J1874="","",'Data Pura Costos'!J1874)</f>
        <v/>
      </c>
      <c r="K1874" s="82" t="str">
        <f t="shared" si="34"/>
        <v/>
      </c>
    </row>
    <row r="1875" spans="2:11" x14ac:dyDescent="0.35">
      <c r="B1875" s="4" t="str">
        <f>+IF('Data Pura Costos'!B1875="","",'Data Pura Costos'!B1875)</f>
        <v/>
      </c>
      <c r="C1875" s="4" t="str">
        <f>+IF('Data Pura Costos'!C1875="","",'Data Pura Costos'!C1875)</f>
        <v/>
      </c>
      <c r="D1875" s="5" t="str">
        <f>+IF('Data Pura Costos'!D1875="","",'Data Pura Costos'!D1875)</f>
        <v/>
      </c>
      <c r="E1875" s="65" t="str">
        <f>+IF('Data Pura Costos'!E1875="","",IF('Data Pura Costos'!E1875=0,MAX('Data Pura Costos'!$E$7:$E$3000)*1000,'Data Pura Costos'!E1875))</f>
        <v/>
      </c>
      <c r="F1875" s="5" t="str">
        <f>+IF('Data Pura Costos'!F1875="","",'Data Pura Costos'!F1875)</f>
        <v/>
      </c>
      <c r="G1875" s="5" t="str">
        <f>+IF('Data Pura Costos'!G1875="","",'Data Pura Costos'!G1875)</f>
        <v/>
      </c>
      <c r="H1875" s="52" t="str">
        <f>+IF('Data Pura Costos'!H1875="","",'Data Pura Costos'!H1875)</f>
        <v/>
      </c>
      <c r="I1875" s="71" t="str">
        <f>+IF('Data Pura Costos'!I1875="","",'Data Pura Costos'!I1875)</f>
        <v/>
      </c>
      <c r="J1875" s="52" t="str">
        <f>+IF('Data Pura Costos'!J1875="","",'Data Pura Costos'!J1875)</f>
        <v/>
      </c>
      <c r="K1875" s="82" t="str">
        <f t="shared" si="34"/>
        <v/>
      </c>
    </row>
    <row r="1876" spans="2:11" x14ac:dyDescent="0.35">
      <c r="B1876" s="4" t="str">
        <f>+IF('Data Pura Costos'!B1876="","",'Data Pura Costos'!B1876)</f>
        <v/>
      </c>
      <c r="C1876" s="4" t="str">
        <f>+IF('Data Pura Costos'!C1876="","",'Data Pura Costos'!C1876)</f>
        <v/>
      </c>
      <c r="D1876" s="5" t="str">
        <f>+IF('Data Pura Costos'!D1876="","",'Data Pura Costos'!D1876)</f>
        <v/>
      </c>
      <c r="E1876" s="65" t="str">
        <f>+IF('Data Pura Costos'!E1876="","",IF('Data Pura Costos'!E1876=0,MAX('Data Pura Costos'!$E$7:$E$3000)*1000,'Data Pura Costos'!E1876))</f>
        <v/>
      </c>
      <c r="F1876" s="5" t="str">
        <f>+IF('Data Pura Costos'!F1876="","",'Data Pura Costos'!F1876)</f>
        <v/>
      </c>
      <c r="G1876" s="5" t="str">
        <f>+IF('Data Pura Costos'!G1876="","",'Data Pura Costos'!G1876)</f>
        <v/>
      </c>
      <c r="H1876" s="52" t="str">
        <f>+IF('Data Pura Costos'!H1876="","",'Data Pura Costos'!H1876)</f>
        <v/>
      </c>
      <c r="I1876" s="71" t="str">
        <f>+IF('Data Pura Costos'!I1876="","",'Data Pura Costos'!I1876)</f>
        <v/>
      </c>
      <c r="J1876" s="52" t="str">
        <f>+IF('Data Pura Costos'!J1876="","",'Data Pura Costos'!J1876)</f>
        <v/>
      </c>
      <c r="K1876" s="82" t="str">
        <f t="shared" si="34"/>
        <v/>
      </c>
    </row>
    <row r="1877" spans="2:11" x14ac:dyDescent="0.35">
      <c r="B1877" s="4" t="str">
        <f>+IF('Data Pura Costos'!B1877="","",'Data Pura Costos'!B1877)</f>
        <v/>
      </c>
      <c r="C1877" s="4" t="str">
        <f>+IF('Data Pura Costos'!C1877="","",'Data Pura Costos'!C1877)</f>
        <v/>
      </c>
      <c r="D1877" s="5" t="str">
        <f>+IF('Data Pura Costos'!D1877="","",'Data Pura Costos'!D1877)</f>
        <v/>
      </c>
      <c r="E1877" s="65" t="str">
        <f>+IF('Data Pura Costos'!E1877="","",IF('Data Pura Costos'!E1877=0,MAX('Data Pura Costos'!$E$7:$E$3000)*1000,'Data Pura Costos'!E1877))</f>
        <v/>
      </c>
      <c r="F1877" s="5" t="str">
        <f>+IF('Data Pura Costos'!F1877="","",'Data Pura Costos'!F1877)</f>
        <v/>
      </c>
      <c r="G1877" s="5" t="str">
        <f>+IF('Data Pura Costos'!G1877="","",'Data Pura Costos'!G1877)</f>
        <v/>
      </c>
      <c r="H1877" s="52" t="str">
        <f>+IF('Data Pura Costos'!H1877="","",'Data Pura Costos'!H1877)</f>
        <v/>
      </c>
      <c r="I1877" s="71" t="str">
        <f>+IF('Data Pura Costos'!I1877="","",'Data Pura Costos'!I1877)</f>
        <v/>
      </c>
      <c r="J1877" s="52" t="str">
        <f>+IF('Data Pura Costos'!J1877="","",'Data Pura Costos'!J1877)</f>
        <v/>
      </c>
      <c r="K1877" s="82" t="str">
        <f t="shared" si="34"/>
        <v/>
      </c>
    </row>
    <row r="1878" spans="2:11" x14ac:dyDescent="0.35">
      <c r="B1878" s="4" t="str">
        <f>+IF('Data Pura Costos'!B1878="","",'Data Pura Costos'!B1878)</f>
        <v/>
      </c>
      <c r="C1878" s="4" t="str">
        <f>+IF('Data Pura Costos'!C1878="","",'Data Pura Costos'!C1878)</f>
        <v/>
      </c>
      <c r="D1878" s="5" t="str">
        <f>+IF('Data Pura Costos'!D1878="","",'Data Pura Costos'!D1878)</f>
        <v/>
      </c>
      <c r="E1878" s="65" t="str">
        <f>+IF('Data Pura Costos'!E1878="","",IF('Data Pura Costos'!E1878=0,MAX('Data Pura Costos'!$E$7:$E$3000)*1000,'Data Pura Costos'!E1878))</f>
        <v/>
      </c>
      <c r="F1878" s="5" t="str">
        <f>+IF('Data Pura Costos'!F1878="","",'Data Pura Costos'!F1878)</f>
        <v/>
      </c>
      <c r="G1878" s="5" t="str">
        <f>+IF('Data Pura Costos'!G1878="","",'Data Pura Costos'!G1878)</f>
        <v/>
      </c>
      <c r="H1878" s="52" t="str">
        <f>+IF('Data Pura Costos'!H1878="","",'Data Pura Costos'!H1878)</f>
        <v/>
      </c>
      <c r="I1878" s="71" t="str">
        <f>+IF('Data Pura Costos'!I1878="","",'Data Pura Costos'!I1878)</f>
        <v/>
      </c>
      <c r="J1878" s="52" t="str">
        <f>+IF('Data Pura Costos'!J1878="","",'Data Pura Costos'!J1878)</f>
        <v/>
      </c>
      <c r="K1878" s="82" t="str">
        <f t="shared" si="34"/>
        <v/>
      </c>
    </row>
    <row r="1879" spans="2:11" x14ac:dyDescent="0.35">
      <c r="B1879" s="4" t="str">
        <f>+IF('Data Pura Costos'!B1879="","",'Data Pura Costos'!B1879)</f>
        <v/>
      </c>
      <c r="C1879" s="4" t="str">
        <f>+IF('Data Pura Costos'!C1879="","",'Data Pura Costos'!C1879)</f>
        <v/>
      </c>
      <c r="D1879" s="5" t="str">
        <f>+IF('Data Pura Costos'!D1879="","",'Data Pura Costos'!D1879)</f>
        <v/>
      </c>
      <c r="E1879" s="65" t="str">
        <f>+IF('Data Pura Costos'!E1879="","",IF('Data Pura Costos'!E1879=0,MAX('Data Pura Costos'!$E$7:$E$3000)*1000,'Data Pura Costos'!E1879))</f>
        <v/>
      </c>
      <c r="F1879" s="5" t="str">
        <f>+IF('Data Pura Costos'!F1879="","",'Data Pura Costos'!F1879)</f>
        <v/>
      </c>
      <c r="G1879" s="5" t="str">
        <f>+IF('Data Pura Costos'!G1879="","",'Data Pura Costos'!G1879)</f>
        <v/>
      </c>
      <c r="H1879" s="52" t="str">
        <f>+IF('Data Pura Costos'!H1879="","",'Data Pura Costos'!H1879)</f>
        <v/>
      </c>
      <c r="I1879" s="71" t="str">
        <f>+IF('Data Pura Costos'!I1879="","",'Data Pura Costos'!I1879)</f>
        <v/>
      </c>
      <c r="J1879" s="52" t="str">
        <f>+IF('Data Pura Costos'!J1879="","",'Data Pura Costos'!J1879)</f>
        <v/>
      </c>
      <c r="K1879" s="82" t="str">
        <f t="shared" si="34"/>
        <v/>
      </c>
    </row>
    <row r="1880" spans="2:11" x14ac:dyDescent="0.35">
      <c r="B1880" s="4" t="str">
        <f>+IF('Data Pura Costos'!B1880="","",'Data Pura Costos'!B1880)</f>
        <v/>
      </c>
      <c r="C1880" s="4" t="str">
        <f>+IF('Data Pura Costos'!C1880="","",'Data Pura Costos'!C1880)</f>
        <v/>
      </c>
      <c r="D1880" s="5" t="str">
        <f>+IF('Data Pura Costos'!D1880="","",'Data Pura Costos'!D1880)</f>
        <v/>
      </c>
      <c r="E1880" s="65" t="str">
        <f>+IF('Data Pura Costos'!E1880="","",IF('Data Pura Costos'!E1880=0,MAX('Data Pura Costos'!$E$7:$E$3000)*1000,'Data Pura Costos'!E1880))</f>
        <v/>
      </c>
      <c r="F1880" s="5" t="str">
        <f>+IF('Data Pura Costos'!F1880="","",'Data Pura Costos'!F1880)</f>
        <v/>
      </c>
      <c r="G1880" s="5" t="str">
        <f>+IF('Data Pura Costos'!G1880="","",'Data Pura Costos'!G1880)</f>
        <v/>
      </c>
      <c r="H1880" s="52" t="str">
        <f>+IF('Data Pura Costos'!H1880="","",'Data Pura Costos'!H1880)</f>
        <v/>
      </c>
      <c r="I1880" s="71" t="str">
        <f>+IF('Data Pura Costos'!I1880="","",'Data Pura Costos'!I1880)</f>
        <v/>
      </c>
      <c r="J1880" s="52" t="str">
        <f>+IF('Data Pura Costos'!J1880="","",'Data Pura Costos'!J1880)</f>
        <v/>
      </c>
      <c r="K1880" s="82" t="str">
        <f t="shared" si="34"/>
        <v/>
      </c>
    </row>
    <row r="1881" spans="2:11" x14ac:dyDescent="0.35">
      <c r="B1881" s="4" t="str">
        <f>+IF('Data Pura Costos'!B1881="","",'Data Pura Costos'!B1881)</f>
        <v/>
      </c>
      <c r="C1881" s="4" t="str">
        <f>+IF('Data Pura Costos'!C1881="","",'Data Pura Costos'!C1881)</f>
        <v/>
      </c>
      <c r="D1881" s="5" t="str">
        <f>+IF('Data Pura Costos'!D1881="","",'Data Pura Costos'!D1881)</f>
        <v/>
      </c>
      <c r="E1881" s="65" t="str">
        <f>+IF('Data Pura Costos'!E1881="","",IF('Data Pura Costos'!E1881=0,MAX('Data Pura Costos'!$E$7:$E$3000)*1000,'Data Pura Costos'!E1881))</f>
        <v/>
      </c>
      <c r="F1881" s="5" t="str">
        <f>+IF('Data Pura Costos'!F1881="","",'Data Pura Costos'!F1881)</f>
        <v/>
      </c>
      <c r="G1881" s="5" t="str">
        <f>+IF('Data Pura Costos'!G1881="","",'Data Pura Costos'!G1881)</f>
        <v/>
      </c>
      <c r="H1881" s="52" t="str">
        <f>+IF('Data Pura Costos'!H1881="","",'Data Pura Costos'!H1881)</f>
        <v/>
      </c>
      <c r="I1881" s="71" t="str">
        <f>+IF('Data Pura Costos'!I1881="","",'Data Pura Costos'!I1881)</f>
        <v/>
      </c>
      <c r="J1881" s="52" t="str">
        <f>+IF('Data Pura Costos'!J1881="","",'Data Pura Costos'!J1881)</f>
        <v/>
      </c>
      <c r="K1881" s="82" t="str">
        <f t="shared" si="34"/>
        <v/>
      </c>
    </row>
    <row r="1882" spans="2:11" x14ac:dyDescent="0.35">
      <c r="B1882" s="4" t="str">
        <f>+IF('Data Pura Costos'!B1882="","",'Data Pura Costos'!B1882)</f>
        <v/>
      </c>
      <c r="C1882" s="4" t="str">
        <f>+IF('Data Pura Costos'!C1882="","",'Data Pura Costos'!C1882)</f>
        <v/>
      </c>
      <c r="D1882" s="5" t="str">
        <f>+IF('Data Pura Costos'!D1882="","",'Data Pura Costos'!D1882)</f>
        <v/>
      </c>
      <c r="E1882" s="65" t="str">
        <f>+IF('Data Pura Costos'!E1882="","",IF('Data Pura Costos'!E1882=0,MAX('Data Pura Costos'!$E$7:$E$3000)*1000,'Data Pura Costos'!E1882))</f>
        <v/>
      </c>
      <c r="F1882" s="5" t="str">
        <f>+IF('Data Pura Costos'!F1882="","",'Data Pura Costos'!F1882)</f>
        <v/>
      </c>
      <c r="G1882" s="5" t="str">
        <f>+IF('Data Pura Costos'!G1882="","",'Data Pura Costos'!G1882)</f>
        <v/>
      </c>
      <c r="H1882" s="52" t="str">
        <f>+IF('Data Pura Costos'!H1882="","",'Data Pura Costos'!H1882)</f>
        <v/>
      </c>
      <c r="I1882" s="71" t="str">
        <f>+IF('Data Pura Costos'!I1882="","",'Data Pura Costos'!I1882)</f>
        <v/>
      </c>
      <c r="J1882" s="52" t="str">
        <f>+IF('Data Pura Costos'!J1882="","",'Data Pura Costos'!J1882)</f>
        <v/>
      </c>
      <c r="K1882" s="82" t="str">
        <f t="shared" si="34"/>
        <v/>
      </c>
    </row>
    <row r="1883" spans="2:11" x14ac:dyDescent="0.35">
      <c r="B1883" s="4" t="str">
        <f>+IF('Data Pura Costos'!B1883="","",'Data Pura Costos'!B1883)</f>
        <v/>
      </c>
      <c r="C1883" s="4" t="str">
        <f>+IF('Data Pura Costos'!C1883="","",'Data Pura Costos'!C1883)</f>
        <v/>
      </c>
      <c r="D1883" s="5" t="str">
        <f>+IF('Data Pura Costos'!D1883="","",'Data Pura Costos'!D1883)</f>
        <v/>
      </c>
      <c r="E1883" s="65" t="str">
        <f>+IF('Data Pura Costos'!E1883="","",IF('Data Pura Costos'!E1883=0,MAX('Data Pura Costos'!$E$7:$E$3000)*1000,'Data Pura Costos'!E1883))</f>
        <v/>
      </c>
      <c r="F1883" s="5" t="str">
        <f>+IF('Data Pura Costos'!F1883="","",'Data Pura Costos'!F1883)</f>
        <v/>
      </c>
      <c r="G1883" s="5" t="str">
        <f>+IF('Data Pura Costos'!G1883="","",'Data Pura Costos'!G1883)</f>
        <v/>
      </c>
      <c r="H1883" s="52" t="str">
        <f>+IF('Data Pura Costos'!H1883="","",'Data Pura Costos'!H1883)</f>
        <v/>
      </c>
      <c r="I1883" s="71" t="str">
        <f>+IF('Data Pura Costos'!I1883="","",'Data Pura Costos'!I1883)</f>
        <v/>
      </c>
      <c r="J1883" s="52" t="str">
        <f>+IF('Data Pura Costos'!J1883="","",'Data Pura Costos'!J1883)</f>
        <v/>
      </c>
      <c r="K1883" s="82" t="str">
        <f t="shared" si="34"/>
        <v/>
      </c>
    </row>
    <row r="1884" spans="2:11" x14ac:dyDescent="0.35">
      <c r="B1884" s="4" t="str">
        <f>+IF('Data Pura Costos'!B1884="","",'Data Pura Costos'!B1884)</f>
        <v/>
      </c>
      <c r="C1884" s="4" t="str">
        <f>+IF('Data Pura Costos'!C1884="","",'Data Pura Costos'!C1884)</f>
        <v/>
      </c>
      <c r="D1884" s="5" t="str">
        <f>+IF('Data Pura Costos'!D1884="","",'Data Pura Costos'!D1884)</f>
        <v/>
      </c>
      <c r="E1884" s="65" t="str">
        <f>+IF('Data Pura Costos'!E1884="","",IF('Data Pura Costos'!E1884=0,MAX('Data Pura Costos'!$E$7:$E$3000)*1000,'Data Pura Costos'!E1884))</f>
        <v/>
      </c>
      <c r="F1884" s="5" t="str">
        <f>+IF('Data Pura Costos'!F1884="","",'Data Pura Costos'!F1884)</f>
        <v/>
      </c>
      <c r="G1884" s="5" t="str">
        <f>+IF('Data Pura Costos'!G1884="","",'Data Pura Costos'!G1884)</f>
        <v/>
      </c>
      <c r="H1884" s="52" t="str">
        <f>+IF('Data Pura Costos'!H1884="","",'Data Pura Costos'!H1884)</f>
        <v/>
      </c>
      <c r="I1884" s="71" t="str">
        <f>+IF('Data Pura Costos'!I1884="","",'Data Pura Costos'!I1884)</f>
        <v/>
      </c>
      <c r="J1884" s="52" t="str">
        <f>+IF('Data Pura Costos'!J1884="","",'Data Pura Costos'!J1884)</f>
        <v/>
      </c>
      <c r="K1884" s="82" t="str">
        <f t="shared" si="34"/>
        <v/>
      </c>
    </row>
    <row r="1885" spans="2:11" x14ac:dyDescent="0.35">
      <c r="B1885" s="4" t="str">
        <f>+IF('Data Pura Costos'!B1885="","",'Data Pura Costos'!B1885)</f>
        <v/>
      </c>
      <c r="C1885" s="4" t="str">
        <f>+IF('Data Pura Costos'!C1885="","",'Data Pura Costos'!C1885)</f>
        <v/>
      </c>
      <c r="D1885" s="5" t="str">
        <f>+IF('Data Pura Costos'!D1885="","",'Data Pura Costos'!D1885)</f>
        <v/>
      </c>
      <c r="E1885" s="65" t="str">
        <f>+IF('Data Pura Costos'!E1885="","",IF('Data Pura Costos'!E1885=0,MAX('Data Pura Costos'!$E$7:$E$3000)*1000,'Data Pura Costos'!E1885))</f>
        <v/>
      </c>
      <c r="F1885" s="5" t="str">
        <f>+IF('Data Pura Costos'!F1885="","",'Data Pura Costos'!F1885)</f>
        <v/>
      </c>
      <c r="G1885" s="5" t="str">
        <f>+IF('Data Pura Costos'!G1885="","",'Data Pura Costos'!G1885)</f>
        <v/>
      </c>
      <c r="H1885" s="52" t="str">
        <f>+IF('Data Pura Costos'!H1885="","",'Data Pura Costos'!H1885)</f>
        <v/>
      </c>
      <c r="I1885" s="71" t="str">
        <f>+IF('Data Pura Costos'!I1885="","",'Data Pura Costos'!I1885)</f>
        <v/>
      </c>
      <c r="J1885" s="52" t="str">
        <f>+IF('Data Pura Costos'!J1885="","",'Data Pura Costos'!J1885)</f>
        <v/>
      </c>
      <c r="K1885" s="82" t="str">
        <f t="shared" si="34"/>
        <v/>
      </c>
    </row>
    <row r="1886" spans="2:11" x14ac:dyDescent="0.35">
      <c r="B1886" s="4" t="str">
        <f>+IF('Data Pura Costos'!B1886="","",'Data Pura Costos'!B1886)</f>
        <v/>
      </c>
      <c r="C1886" s="4" t="str">
        <f>+IF('Data Pura Costos'!C1886="","",'Data Pura Costos'!C1886)</f>
        <v/>
      </c>
      <c r="D1886" s="5" t="str">
        <f>+IF('Data Pura Costos'!D1886="","",'Data Pura Costos'!D1886)</f>
        <v/>
      </c>
      <c r="E1886" s="65" t="str">
        <f>+IF('Data Pura Costos'!E1886="","",IF('Data Pura Costos'!E1886=0,MAX('Data Pura Costos'!$E$7:$E$3000)*1000,'Data Pura Costos'!E1886))</f>
        <v/>
      </c>
      <c r="F1886" s="5" t="str">
        <f>+IF('Data Pura Costos'!F1886="","",'Data Pura Costos'!F1886)</f>
        <v/>
      </c>
      <c r="G1886" s="5" t="str">
        <f>+IF('Data Pura Costos'!G1886="","",'Data Pura Costos'!G1886)</f>
        <v/>
      </c>
      <c r="H1886" s="52" t="str">
        <f>+IF('Data Pura Costos'!H1886="","",'Data Pura Costos'!H1886)</f>
        <v/>
      </c>
      <c r="I1886" s="71" t="str">
        <f>+IF('Data Pura Costos'!I1886="","",'Data Pura Costos'!I1886)</f>
        <v/>
      </c>
      <c r="J1886" s="52" t="str">
        <f>+IF('Data Pura Costos'!J1886="","",'Data Pura Costos'!J1886)</f>
        <v/>
      </c>
      <c r="K1886" s="82" t="str">
        <f t="shared" si="34"/>
        <v/>
      </c>
    </row>
    <row r="1887" spans="2:11" x14ac:dyDescent="0.35">
      <c r="B1887" s="4" t="str">
        <f>+IF('Data Pura Costos'!B1887="","",'Data Pura Costos'!B1887)</f>
        <v/>
      </c>
      <c r="C1887" s="4" t="str">
        <f>+IF('Data Pura Costos'!C1887="","",'Data Pura Costos'!C1887)</f>
        <v/>
      </c>
      <c r="D1887" s="5" t="str">
        <f>+IF('Data Pura Costos'!D1887="","",'Data Pura Costos'!D1887)</f>
        <v/>
      </c>
      <c r="E1887" s="65" t="str">
        <f>+IF('Data Pura Costos'!E1887="","",IF('Data Pura Costos'!E1887=0,MAX('Data Pura Costos'!$E$7:$E$3000)*1000,'Data Pura Costos'!E1887))</f>
        <v/>
      </c>
      <c r="F1887" s="5" t="str">
        <f>+IF('Data Pura Costos'!F1887="","",'Data Pura Costos'!F1887)</f>
        <v/>
      </c>
      <c r="G1887" s="5" t="str">
        <f>+IF('Data Pura Costos'!G1887="","",'Data Pura Costos'!G1887)</f>
        <v/>
      </c>
      <c r="H1887" s="52" t="str">
        <f>+IF('Data Pura Costos'!H1887="","",'Data Pura Costos'!H1887)</f>
        <v/>
      </c>
      <c r="I1887" s="71" t="str">
        <f>+IF('Data Pura Costos'!I1887="","",'Data Pura Costos'!I1887)</f>
        <v/>
      </c>
      <c r="J1887" s="52" t="str">
        <f>+IF('Data Pura Costos'!J1887="","",'Data Pura Costos'!J1887)</f>
        <v/>
      </c>
      <c r="K1887" s="82" t="str">
        <f t="shared" si="34"/>
        <v/>
      </c>
    </row>
    <row r="1888" spans="2:11" x14ac:dyDescent="0.35">
      <c r="B1888" s="4" t="str">
        <f>+IF('Data Pura Costos'!B1888="","",'Data Pura Costos'!B1888)</f>
        <v/>
      </c>
      <c r="C1888" s="4" t="str">
        <f>+IF('Data Pura Costos'!C1888="","",'Data Pura Costos'!C1888)</f>
        <v/>
      </c>
      <c r="D1888" s="5" t="str">
        <f>+IF('Data Pura Costos'!D1888="","",'Data Pura Costos'!D1888)</f>
        <v/>
      </c>
      <c r="E1888" s="65" t="str">
        <f>+IF('Data Pura Costos'!E1888="","",IF('Data Pura Costos'!E1888=0,MAX('Data Pura Costos'!$E$7:$E$3000)*1000,'Data Pura Costos'!E1888))</f>
        <v/>
      </c>
      <c r="F1888" s="5" t="str">
        <f>+IF('Data Pura Costos'!F1888="","",'Data Pura Costos'!F1888)</f>
        <v/>
      </c>
      <c r="G1888" s="5" t="str">
        <f>+IF('Data Pura Costos'!G1888="","",'Data Pura Costos'!G1888)</f>
        <v/>
      </c>
      <c r="H1888" s="52" t="str">
        <f>+IF('Data Pura Costos'!H1888="","",'Data Pura Costos'!H1888)</f>
        <v/>
      </c>
      <c r="I1888" s="71" t="str">
        <f>+IF('Data Pura Costos'!I1888="","",'Data Pura Costos'!I1888)</f>
        <v/>
      </c>
      <c r="J1888" s="52" t="str">
        <f>+IF('Data Pura Costos'!J1888="","",'Data Pura Costos'!J1888)</f>
        <v/>
      </c>
      <c r="K1888" s="82" t="str">
        <f t="shared" si="34"/>
        <v/>
      </c>
    </row>
    <row r="1889" spans="2:11" x14ac:dyDescent="0.35">
      <c r="B1889" s="4" t="str">
        <f>+IF('Data Pura Costos'!B1889="","",'Data Pura Costos'!B1889)</f>
        <v/>
      </c>
      <c r="C1889" s="4" t="str">
        <f>+IF('Data Pura Costos'!C1889="","",'Data Pura Costos'!C1889)</f>
        <v/>
      </c>
      <c r="D1889" s="5" t="str">
        <f>+IF('Data Pura Costos'!D1889="","",'Data Pura Costos'!D1889)</f>
        <v/>
      </c>
      <c r="E1889" s="65" t="str">
        <f>+IF('Data Pura Costos'!E1889="","",IF('Data Pura Costos'!E1889=0,MAX('Data Pura Costos'!$E$7:$E$3000)*1000,'Data Pura Costos'!E1889))</f>
        <v/>
      </c>
      <c r="F1889" s="5" t="str">
        <f>+IF('Data Pura Costos'!F1889="","",'Data Pura Costos'!F1889)</f>
        <v/>
      </c>
      <c r="G1889" s="5" t="str">
        <f>+IF('Data Pura Costos'!G1889="","",'Data Pura Costos'!G1889)</f>
        <v/>
      </c>
      <c r="H1889" s="52" t="str">
        <f>+IF('Data Pura Costos'!H1889="","",'Data Pura Costos'!H1889)</f>
        <v/>
      </c>
      <c r="I1889" s="71" t="str">
        <f>+IF('Data Pura Costos'!I1889="","",'Data Pura Costos'!I1889)</f>
        <v/>
      </c>
      <c r="J1889" s="52" t="str">
        <f>+IF('Data Pura Costos'!J1889="","",'Data Pura Costos'!J1889)</f>
        <v/>
      </c>
      <c r="K1889" s="82" t="str">
        <f t="shared" si="34"/>
        <v/>
      </c>
    </row>
    <row r="1890" spans="2:11" x14ac:dyDescent="0.35">
      <c r="B1890" s="4" t="str">
        <f>+IF('Data Pura Costos'!B1890="","",'Data Pura Costos'!B1890)</f>
        <v/>
      </c>
      <c r="C1890" s="4" t="str">
        <f>+IF('Data Pura Costos'!C1890="","",'Data Pura Costos'!C1890)</f>
        <v/>
      </c>
      <c r="D1890" s="5" t="str">
        <f>+IF('Data Pura Costos'!D1890="","",'Data Pura Costos'!D1890)</f>
        <v/>
      </c>
      <c r="E1890" s="65" t="str">
        <f>+IF('Data Pura Costos'!E1890="","",IF('Data Pura Costos'!E1890=0,MAX('Data Pura Costos'!$E$7:$E$3000)*1000,'Data Pura Costos'!E1890))</f>
        <v/>
      </c>
      <c r="F1890" s="5" t="str">
        <f>+IF('Data Pura Costos'!F1890="","",'Data Pura Costos'!F1890)</f>
        <v/>
      </c>
      <c r="G1890" s="5" t="str">
        <f>+IF('Data Pura Costos'!G1890="","",'Data Pura Costos'!G1890)</f>
        <v/>
      </c>
      <c r="H1890" s="52" t="str">
        <f>+IF('Data Pura Costos'!H1890="","",'Data Pura Costos'!H1890)</f>
        <v/>
      </c>
      <c r="I1890" s="71" t="str">
        <f>+IF('Data Pura Costos'!I1890="","",'Data Pura Costos'!I1890)</f>
        <v/>
      </c>
      <c r="J1890" s="52" t="str">
        <f>+IF('Data Pura Costos'!J1890="","",'Data Pura Costos'!J1890)</f>
        <v/>
      </c>
      <c r="K1890" s="82" t="str">
        <f t="shared" si="34"/>
        <v/>
      </c>
    </row>
    <row r="1891" spans="2:11" x14ac:dyDescent="0.35">
      <c r="B1891" s="4" t="str">
        <f>+IF('Data Pura Costos'!B1891="","",'Data Pura Costos'!B1891)</f>
        <v/>
      </c>
      <c r="C1891" s="4" t="str">
        <f>+IF('Data Pura Costos'!C1891="","",'Data Pura Costos'!C1891)</f>
        <v/>
      </c>
      <c r="D1891" s="5" t="str">
        <f>+IF('Data Pura Costos'!D1891="","",'Data Pura Costos'!D1891)</f>
        <v/>
      </c>
      <c r="E1891" s="65" t="str">
        <f>+IF('Data Pura Costos'!E1891="","",IF('Data Pura Costos'!E1891=0,MAX('Data Pura Costos'!$E$7:$E$3000)*1000,'Data Pura Costos'!E1891))</f>
        <v/>
      </c>
      <c r="F1891" s="5" t="str">
        <f>+IF('Data Pura Costos'!F1891="","",'Data Pura Costos'!F1891)</f>
        <v/>
      </c>
      <c r="G1891" s="5" t="str">
        <f>+IF('Data Pura Costos'!G1891="","",'Data Pura Costos'!G1891)</f>
        <v/>
      </c>
      <c r="H1891" s="52" t="str">
        <f>+IF('Data Pura Costos'!H1891="","",'Data Pura Costos'!H1891)</f>
        <v/>
      </c>
      <c r="I1891" s="71" t="str">
        <f>+IF('Data Pura Costos'!I1891="","",'Data Pura Costos'!I1891)</f>
        <v/>
      </c>
      <c r="J1891" s="52" t="str">
        <f>+IF('Data Pura Costos'!J1891="","",'Data Pura Costos'!J1891)</f>
        <v/>
      </c>
      <c r="K1891" s="82" t="str">
        <f t="shared" si="34"/>
        <v/>
      </c>
    </row>
    <row r="1892" spans="2:11" x14ac:dyDescent="0.35">
      <c r="B1892" s="4" t="str">
        <f>+IF('Data Pura Costos'!B1892="","",'Data Pura Costos'!B1892)</f>
        <v/>
      </c>
      <c r="C1892" s="4" t="str">
        <f>+IF('Data Pura Costos'!C1892="","",'Data Pura Costos'!C1892)</f>
        <v/>
      </c>
      <c r="D1892" s="5" t="str">
        <f>+IF('Data Pura Costos'!D1892="","",'Data Pura Costos'!D1892)</f>
        <v/>
      </c>
      <c r="E1892" s="65" t="str">
        <f>+IF('Data Pura Costos'!E1892="","",IF('Data Pura Costos'!E1892=0,MAX('Data Pura Costos'!$E$7:$E$3000)*1000,'Data Pura Costos'!E1892))</f>
        <v/>
      </c>
      <c r="F1892" s="5" t="str">
        <f>+IF('Data Pura Costos'!F1892="","",'Data Pura Costos'!F1892)</f>
        <v/>
      </c>
      <c r="G1892" s="5" t="str">
        <f>+IF('Data Pura Costos'!G1892="","",'Data Pura Costos'!G1892)</f>
        <v/>
      </c>
      <c r="H1892" s="52" t="str">
        <f>+IF('Data Pura Costos'!H1892="","",'Data Pura Costos'!H1892)</f>
        <v/>
      </c>
      <c r="I1892" s="71" t="str">
        <f>+IF('Data Pura Costos'!I1892="","",'Data Pura Costos'!I1892)</f>
        <v/>
      </c>
      <c r="J1892" s="52" t="str">
        <f>+IF('Data Pura Costos'!J1892="","",'Data Pura Costos'!J1892)</f>
        <v/>
      </c>
      <c r="K1892" s="82" t="str">
        <f t="shared" si="34"/>
        <v/>
      </c>
    </row>
    <row r="1893" spans="2:11" x14ac:dyDescent="0.35">
      <c r="B1893" s="4" t="str">
        <f>+IF('Data Pura Costos'!B1893="","",'Data Pura Costos'!B1893)</f>
        <v/>
      </c>
      <c r="C1893" s="4" t="str">
        <f>+IF('Data Pura Costos'!C1893="","",'Data Pura Costos'!C1893)</f>
        <v/>
      </c>
      <c r="D1893" s="5" t="str">
        <f>+IF('Data Pura Costos'!D1893="","",'Data Pura Costos'!D1893)</f>
        <v/>
      </c>
      <c r="E1893" s="65" t="str">
        <f>+IF('Data Pura Costos'!E1893="","",IF('Data Pura Costos'!E1893=0,MAX('Data Pura Costos'!$E$7:$E$3000)*1000,'Data Pura Costos'!E1893))</f>
        <v/>
      </c>
      <c r="F1893" s="5" t="str">
        <f>+IF('Data Pura Costos'!F1893="","",'Data Pura Costos'!F1893)</f>
        <v/>
      </c>
      <c r="G1893" s="5" t="str">
        <f>+IF('Data Pura Costos'!G1893="","",'Data Pura Costos'!G1893)</f>
        <v/>
      </c>
      <c r="H1893" s="52" t="str">
        <f>+IF('Data Pura Costos'!H1893="","",'Data Pura Costos'!H1893)</f>
        <v/>
      </c>
      <c r="I1893" s="71" t="str">
        <f>+IF('Data Pura Costos'!I1893="","",'Data Pura Costos'!I1893)</f>
        <v/>
      </c>
      <c r="J1893" s="52" t="str">
        <f>+IF('Data Pura Costos'!J1893="","",'Data Pura Costos'!J1893)</f>
        <v/>
      </c>
      <c r="K1893" s="82" t="str">
        <f t="shared" si="34"/>
        <v/>
      </c>
    </row>
    <row r="1894" spans="2:11" x14ac:dyDescent="0.35">
      <c r="B1894" s="4" t="str">
        <f>+IF('Data Pura Costos'!B1894="","",'Data Pura Costos'!B1894)</f>
        <v/>
      </c>
      <c r="C1894" s="4" t="str">
        <f>+IF('Data Pura Costos'!C1894="","",'Data Pura Costos'!C1894)</f>
        <v/>
      </c>
      <c r="D1894" s="5" t="str">
        <f>+IF('Data Pura Costos'!D1894="","",'Data Pura Costos'!D1894)</f>
        <v/>
      </c>
      <c r="E1894" s="65" t="str">
        <f>+IF('Data Pura Costos'!E1894="","",IF('Data Pura Costos'!E1894=0,MAX('Data Pura Costos'!$E$7:$E$3000)*1000,'Data Pura Costos'!E1894))</f>
        <v/>
      </c>
      <c r="F1894" s="5" t="str">
        <f>+IF('Data Pura Costos'!F1894="","",'Data Pura Costos'!F1894)</f>
        <v/>
      </c>
      <c r="G1894" s="5" t="str">
        <f>+IF('Data Pura Costos'!G1894="","",'Data Pura Costos'!G1894)</f>
        <v/>
      </c>
      <c r="H1894" s="52" t="str">
        <f>+IF('Data Pura Costos'!H1894="","",'Data Pura Costos'!H1894)</f>
        <v/>
      </c>
      <c r="I1894" s="71" t="str">
        <f>+IF('Data Pura Costos'!I1894="","",'Data Pura Costos'!I1894)</f>
        <v/>
      </c>
      <c r="J1894" s="52" t="str">
        <f>+IF('Data Pura Costos'!J1894="","",'Data Pura Costos'!J1894)</f>
        <v/>
      </c>
      <c r="K1894" s="82" t="str">
        <f t="shared" si="34"/>
        <v/>
      </c>
    </row>
    <row r="1895" spans="2:11" x14ac:dyDescent="0.35">
      <c r="B1895" s="4" t="str">
        <f>+IF('Data Pura Costos'!B1895="","",'Data Pura Costos'!B1895)</f>
        <v/>
      </c>
      <c r="C1895" s="4" t="str">
        <f>+IF('Data Pura Costos'!C1895="","",'Data Pura Costos'!C1895)</f>
        <v/>
      </c>
      <c r="D1895" s="5" t="str">
        <f>+IF('Data Pura Costos'!D1895="","",'Data Pura Costos'!D1895)</f>
        <v/>
      </c>
      <c r="E1895" s="65" t="str">
        <f>+IF('Data Pura Costos'!E1895="","",IF('Data Pura Costos'!E1895=0,MAX('Data Pura Costos'!$E$7:$E$3000)*1000,'Data Pura Costos'!E1895))</f>
        <v/>
      </c>
      <c r="F1895" s="5" t="str">
        <f>+IF('Data Pura Costos'!F1895="","",'Data Pura Costos'!F1895)</f>
        <v/>
      </c>
      <c r="G1895" s="5" t="str">
        <f>+IF('Data Pura Costos'!G1895="","",'Data Pura Costos'!G1895)</f>
        <v/>
      </c>
      <c r="H1895" s="52" t="str">
        <f>+IF('Data Pura Costos'!H1895="","",'Data Pura Costos'!H1895)</f>
        <v/>
      </c>
      <c r="I1895" s="71" t="str">
        <f>+IF('Data Pura Costos'!I1895="","",'Data Pura Costos'!I1895)</f>
        <v/>
      </c>
      <c r="J1895" s="52" t="str">
        <f>+IF('Data Pura Costos'!J1895="","",'Data Pura Costos'!J1895)</f>
        <v/>
      </c>
      <c r="K1895" s="82" t="str">
        <f t="shared" si="34"/>
        <v/>
      </c>
    </row>
    <row r="1896" spans="2:11" x14ac:dyDescent="0.35">
      <c r="B1896" s="4" t="str">
        <f>+IF('Data Pura Costos'!B1896="","",'Data Pura Costos'!B1896)</f>
        <v/>
      </c>
      <c r="C1896" s="4" t="str">
        <f>+IF('Data Pura Costos'!C1896="","",'Data Pura Costos'!C1896)</f>
        <v/>
      </c>
      <c r="D1896" s="5" t="str">
        <f>+IF('Data Pura Costos'!D1896="","",'Data Pura Costos'!D1896)</f>
        <v/>
      </c>
      <c r="E1896" s="65" t="str">
        <f>+IF('Data Pura Costos'!E1896="","",IF('Data Pura Costos'!E1896=0,MAX('Data Pura Costos'!$E$7:$E$3000)*1000,'Data Pura Costos'!E1896))</f>
        <v/>
      </c>
      <c r="F1896" s="5" t="str">
        <f>+IF('Data Pura Costos'!F1896="","",'Data Pura Costos'!F1896)</f>
        <v/>
      </c>
      <c r="G1896" s="5" t="str">
        <f>+IF('Data Pura Costos'!G1896="","",'Data Pura Costos'!G1896)</f>
        <v/>
      </c>
      <c r="H1896" s="52" t="str">
        <f>+IF('Data Pura Costos'!H1896="","",'Data Pura Costos'!H1896)</f>
        <v/>
      </c>
      <c r="I1896" s="71" t="str">
        <f>+IF('Data Pura Costos'!I1896="","",'Data Pura Costos'!I1896)</f>
        <v/>
      </c>
      <c r="J1896" s="52" t="str">
        <f>+IF('Data Pura Costos'!J1896="","",'Data Pura Costos'!J1896)</f>
        <v/>
      </c>
      <c r="K1896" s="82" t="str">
        <f t="shared" si="34"/>
        <v/>
      </c>
    </row>
    <row r="1897" spans="2:11" x14ac:dyDescent="0.35">
      <c r="B1897" s="4" t="str">
        <f>+IF('Data Pura Costos'!B1897="","",'Data Pura Costos'!B1897)</f>
        <v/>
      </c>
      <c r="C1897" s="4" t="str">
        <f>+IF('Data Pura Costos'!C1897="","",'Data Pura Costos'!C1897)</f>
        <v/>
      </c>
      <c r="D1897" s="5" t="str">
        <f>+IF('Data Pura Costos'!D1897="","",'Data Pura Costos'!D1897)</f>
        <v/>
      </c>
      <c r="E1897" s="65" t="str">
        <f>+IF('Data Pura Costos'!E1897="","",IF('Data Pura Costos'!E1897=0,MAX('Data Pura Costos'!$E$7:$E$3000)*1000,'Data Pura Costos'!E1897))</f>
        <v/>
      </c>
      <c r="F1897" s="5" t="str">
        <f>+IF('Data Pura Costos'!F1897="","",'Data Pura Costos'!F1897)</f>
        <v/>
      </c>
      <c r="G1897" s="5" t="str">
        <f>+IF('Data Pura Costos'!G1897="","",'Data Pura Costos'!G1897)</f>
        <v/>
      </c>
      <c r="H1897" s="52" t="str">
        <f>+IF('Data Pura Costos'!H1897="","",'Data Pura Costos'!H1897)</f>
        <v/>
      </c>
      <c r="I1897" s="71" t="str">
        <f>+IF('Data Pura Costos'!I1897="","",'Data Pura Costos'!I1897)</f>
        <v/>
      </c>
      <c r="J1897" s="52" t="str">
        <f>+IF('Data Pura Costos'!J1897="","",'Data Pura Costos'!J1897)</f>
        <v/>
      </c>
      <c r="K1897" s="82" t="str">
        <f t="shared" si="34"/>
        <v/>
      </c>
    </row>
    <row r="1898" spans="2:11" x14ac:dyDescent="0.35">
      <c r="B1898" s="4" t="str">
        <f>+IF('Data Pura Costos'!B1898="","",'Data Pura Costos'!B1898)</f>
        <v/>
      </c>
      <c r="C1898" s="4" t="str">
        <f>+IF('Data Pura Costos'!C1898="","",'Data Pura Costos'!C1898)</f>
        <v/>
      </c>
      <c r="D1898" s="5" t="str">
        <f>+IF('Data Pura Costos'!D1898="","",'Data Pura Costos'!D1898)</f>
        <v/>
      </c>
      <c r="E1898" s="65" t="str">
        <f>+IF('Data Pura Costos'!E1898="","",IF('Data Pura Costos'!E1898=0,MAX('Data Pura Costos'!$E$7:$E$3000)*1000,'Data Pura Costos'!E1898))</f>
        <v/>
      </c>
      <c r="F1898" s="5" t="str">
        <f>+IF('Data Pura Costos'!F1898="","",'Data Pura Costos'!F1898)</f>
        <v/>
      </c>
      <c r="G1898" s="5" t="str">
        <f>+IF('Data Pura Costos'!G1898="","",'Data Pura Costos'!G1898)</f>
        <v/>
      </c>
      <c r="H1898" s="52" t="str">
        <f>+IF('Data Pura Costos'!H1898="","",'Data Pura Costos'!H1898)</f>
        <v/>
      </c>
      <c r="I1898" s="71" t="str">
        <f>+IF('Data Pura Costos'!I1898="","",'Data Pura Costos'!I1898)</f>
        <v/>
      </c>
      <c r="J1898" s="52" t="str">
        <f>+IF('Data Pura Costos'!J1898="","",'Data Pura Costos'!J1898)</f>
        <v/>
      </c>
      <c r="K1898" s="82" t="str">
        <f t="shared" si="34"/>
        <v/>
      </c>
    </row>
    <row r="1899" spans="2:11" x14ac:dyDescent="0.35">
      <c r="B1899" s="4" t="str">
        <f>+IF('Data Pura Costos'!B1899="","",'Data Pura Costos'!B1899)</f>
        <v/>
      </c>
      <c r="C1899" s="4" t="str">
        <f>+IF('Data Pura Costos'!C1899="","",'Data Pura Costos'!C1899)</f>
        <v/>
      </c>
      <c r="D1899" s="5" t="str">
        <f>+IF('Data Pura Costos'!D1899="","",'Data Pura Costos'!D1899)</f>
        <v/>
      </c>
      <c r="E1899" s="65" t="str">
        <f>+IF('Data Pura Costos'!E1899="","",IF('Data Pura Costos'!E1899=0,MAX('Data Pura Costos'!$E$7:$E$3000)*1000,'Data Pura Costos'!E1899))</f>
        <v/>
      </c>
      <c r="F1899" s="5" t="str">
        <f>+IF('Data Pura Costos'!F1899="","",'Data Pura Costos'!F1899)</f>
        <v/>
      </c>
      <c r="G1899" s="5" t="str">
        <f>+IF('Data Pura Costos'!G1899="","",'Data Pura Costos'!G1899)</f>
        <v/>
      </c>
      <c r="H1899" s="52" t="str">
        <f>+IF('Data Pura Costos'!H1899="","",'Data Pura Costos'!H1899)</f>
        <v/>
      </c>
      <c r="I1899" s="71" t="str">
        <f>+IF('Data Pura Costos'!I1899="","",'Data Pura Costos'!I1899)</f>
        <v/>
      </c>
      <c r="J1899" s="52" t="str">
        <f>+IF('Data Pura Costos'!J1899="","",'Data Pura Costos'!J1899)</f>
        <v/>
      </c>
      <c r="K1899" s="82" t="str">
        <f t="shared" si="34"/>
        <v/>
      </c>
    </row>
    <row r="1900" spans="2:11" x14ac:dyDescent="0.35">
      <c r="B1900" s="4" t="str">
        <f>+IF('Data Pura Costos'!B1900="","",'Data Pura Costos'!B1900)</f>
        <v/>
      </c>
      <c r="C1900" s="4" t="str">
        <f>+IF('Data Pura Costos'!C1900="","",'Data Pura Costos'!C1900)</f>
        <v/>
      </c>
      <c r="D1900" s="5" t="str">
        <f>+IF('Data Pura Costos'!D1900="","",'Data Pura Costos'!D1900)</f>
        <v/>
      </c>
      <c r="E1900" s="65" t="str">
        <f>+IF('Data Pura Costos'!E1900="","",IF('Data Pura Costos'!E1900=0,MAX('Data Pura Costos'!$E$7:$E$3000)*1000,'Data Pura Costos'!E1900))</f>
        <v/>
      </c>
      <c r="F1900" s="5" t="str">
        <f>+IF('Data Pura Costos'!F1900="","",'Data Pura Costos'!F1900)</f>
        <v/>
      </c>
      <c r="G1900" s="5" t="str">
        <f>+IF('Data Pura Costos'!G1900="","",'Data Pura Costos'!G1900)</f>
        <v/>
      </c>
      <c r="H1900" s="52" t="str">
        <f>+IF('Data Pura Costos'!H1900="","",'Data Pura Costos'!H1900)</f>
        <v/>
      </c>
      <c r="I1900" s="71" t="str">
        <f>+IF('Data Pura Costos'!I1900="","",'Data Pura Costos'!I1900)</f>
        <v/>
      </c>
      <c r="J1900" s="52" t="str">
        <f>+IF('Data Pura Costos'!J1900="","",'Data Pura Costos'!J1900)</f>
        <v/>
      </c>
      <c r="K1900" s="82" t="str">
        <f t="shared" si="34"/>
        <v/>
      </c>
    </row>
    <row r="1901" spans="2:11" x14ac:dyDescent="0.35">
      <c r="B1901" s="4" t="str">
        <f>+IF('Data Pura Costos'!B1901="","",'Data Pura Costos'!B1901)</f>
        <v/>
      </c>
      <c r="C1901" s="4" t="str">
        <f>+IF('Data Pura Costos'!C1901="","",'Data Pura Costos'!C1901)</f>
        <v/>
      </c>
      <c r="D1901" s="5" t="str">
        <f>+IF('Data Pura Costos'!D1901="","",'Data Pura Costos'!D1901)</f>
        <v/>
      </c>
      <c r="E1901" s="65" t="str">
        <f>+IF('Data Pura Costos'!E1901="","",IF('Data Pura Costos'!E1901=0,MAX('Data Pura Costos'!$E$7:$E$3000)*1000,'Data Pura Costos'!E1901))</f>
        <v/>
      </c>
      <c r="F1901" s="5" t="str">
        <f>+IF('Data Pura Costos'!F1901="","",'Data Pura Costos'!F1901)</f>
        <v/>
      </c>
      <c r="G1901" s="5" t="str">
        <f>+IF('Data Pura Costos'!G1901="","",'Data Pura Costos'!G1901)</f>
        <v/>
      </c>
      <c r="H1901" s="52" t="str">
        <f>+IF('Data Pura Costos'!H1901="","",'Data Pura Costos'!H1901)</f>
        <v/>
      </c>
      <c r="I1901" s="71" t="str">
        <f>+IF('Data Pura Costos'!I1901="","",'Data Pura Costos'!I1901)</f>
        <v/>
      </c>
      <c r="J1901" s="52" t="str">
        <f>+IF('Data Pura Costos'!J1901="","",'Data Pura Costos'!J1901)</f>
        <v/>
      </c>
      <c r="K1901" s="82" t="str">
        <f t="shared" si="34"/>
        <v/>
      </c>
    </row>
    <row r="1902" spans="2:11" x14ac:dyDescent="0.35">
      <c r="B1902" s="4" t="str">
        <f>+IF('Data Pura Costos'!B1902="","",'Data Pura Costos'!B1902)</f>
        <v/>
      </c>
      <c r="C1902" s="4" t="str">
        <f>+IF('Data Pura Costos'!C1902="","",'Data Pura Costos'!C1902)</f>
        <v/>
      </c>
      <c r="D1902" s="5" t="str">
        <f>+IF('Data Pura Costos'!D1902="","",'Data Pura Costos'!D1902)</f>
        <v/>
      </c>
      <c r="E1902" s="65" t="str">
        <f>+IF('Data Pura Costos'!E1902="","",IF('Data Pura Costos'!E1902=0,MAX('Data Pura Costos'!$E$7:$E$3000)*1000,'Data Pura Costos'!E1902))</f>
        <v/>
      </c>
      <c r="F1902" s="5" t="str">
        <f>+IF('Data Pura Costos'!F1902="","",'Data Pura Costos'!F1902)</f>
        <v/>
      </c>
      <c r="G1902" s="5" t="str">
        <f>+IF('Data Pura Costos'!G1902="","",'Data Pura Costos'!G1902)</f>
        <v/>
      </c>
      <c r="H1902" s="52" t="str">
        <f>+IF('Data Pura Costos'!H1902="","",'Data Pura Costos'!H1902)</f>
        <v/>
      </c>
      <c r="I1902" s="71" t="str">
        <f>+IF('Data Pura Costos'!I1902="","",'Data Pura Costos'!I1902)</f>
        <v/>
      </c>
      <c r="J1902" s="52" t="str">
        <f>+IF('Data Pura Costos'!J1902="","",'Data Pura Costos'!J1902)</f>
        <v/>
      </c>
      <c r="K1902" s="82" t="str">
        <f t="shared" si="34"/>
        <v/>
      </c>
    </row>
    <row r="1903" spans="2:11" x14ac:dyDescent="0.35">
      <c r="B1903" s="4" t="str">
        <f>+IF('Data Pura Costos'!B1903="","",'Data Pura Costos'!B1903)</f>
        <v/>
      </c>
      <c r="C1903" s="4" t="str">
        <f>+IF('Data Pura Costos'!C1903="","",'Data Pura Costos'!C1903)</f>
        <v/>
      </c>
      <c r="D1903" s="5" t="str">
        <f>+IF('Data Pura Costos'!D1903="","",'Data Pura Costos'!D1903)</f>
        <v/>
      </c>
      <c r="E1903" s="65" t="str">
        <f>+IF('Data Pura Costos'!E1903="","",IF('Data Pura Costos'!E1903=0,MAX('Data Pura Costos'!$E$7:$E$3000)*1000,'Data Pura Costos'!E1903))</f>
        <v/>
      </c>
      <c r="F1903" s="5" t="str">
        <f>+IF('Data Pura Costos'!F1903="","",'Data Pura Costos'!F1903)</f>
        <v/>
      </c>
      <c r="G1903" s="5" t="str">
        <f>+IF('Data Pura Costos'!G1903="","",'Data Pura Costos'!G1903)</f>
        <v/>
      </c>
      <c r="H1903" s="52" t="str">
        <f>+IF('Data Pura Costos'!H1903="","",'Data Pura Costos'!H1903)</f>
        <v/>
      </c>
      <c r="I1903" s="71" t="str">
        <f>+IF('Data Pura Costos'!I1903="","",'Data Pura Costos'!I1903)</f>
        <v/>
      </c>
      <c r="J1903" s="52" t="str">
        <f>+IF('Data Pura Costos'!J1903="","",'Data Pura Costos'!J1903)</f>
        <v/>
      </c>
      <c r="K1903" s="82" t="str">
        <f t="shared" si="34"/>
        <v/>
      </c>
    </row>
    <row r="1904" spans="2:11" x14ac:dyDescent="0.35">
      <c r="B1904" s="4" t="str">
        <f>+IF('Data Pura Costos'!B1904="","",'Data Pura Costos'!B1904)</f>
        <v/>
      </c>
      <c r="C1904" s="4" t="str">
        <f>+IF('Data Pura Costos'!C1904="","",'Data Pura Costos'!C1904)</f>
        <v/>
      </c>
      <c r="D1904" s="5" t="str">
        <f>+IF('Data Pura Costos'!D1904="","",'Data Pura Costos'!D1904)</f>
        <v/>
      </c>
      <c r="E1904" s="65" t="str">
        <f>+IF('Data Pura Costos'!E1904="","",IF('Data Pura Costos'!E1904=0,MAX('Data Pura Costos'!$E$7:$E$3000)*1000,'Data Pura Costos'!E1904))</f>
        <v/>
      </c>
      <c r="F1904" s="5" t="str">
        <f>+IF('Data Pura Costos'!F1904="","",'Data Pura Costos'!F1904)</f>
        <v/>
      </c>
      <c r="G1904" s="5" t="str">
        <f>+IF('Data Pura Costos'!G1904="","",'Data Pura Costos'!G1904)</f>
        <v/>
      </c>
      <c r="H1904" s="52" t="str">
        <f>+IF('Data Pura Costos'!H1904="","",'Data Pura Costos'!H1904)</f>
        <v/>
      </c>
      <c r="I1904" s="71" t="str">
        <f>+IF('Data Pura Costos'!I1904="","",'Data Pura Costos'!I1904)</f>
        <v/>
      </c>
      <c r="J1904" s="52" t="str">
        <f>+IF('Data Pura Costos'!J1904="","",'Data Pura Costos'!J1904)</f>
        <v/>
      </c>
      <c r="K1904" s="82" t="str">
        <f t="shared" si="34"/>
        <v/>
      </c>
    </row>
    <row r="1905" spans="2:11" x14ac:dyDescent="0.35">
      <c r="B1905" s="4" t="str">
        <f>+IF('Data Pura Costos'!B1905="","",'Data Pura Costos'!B1905)</f>
        <v/>
      </c>
      <c r="C1905" s="4" t="str">
        <f>+IF('Data Pura Costos'!C1905="","",'Data Pura Costos'!C1905)</f>
        <v/>
      </c>
      <c r="D1905" s="5" t="str">
        <f>+IF('Data Pura Costos'!D1905="","",'Data Pura Costos'!D1905)</f>
        <v/>
      </c>
      <c r="E1905" s="65" t="str">
        <f>+IF('Data Pura Costos'!E1905="","",IF('Data Pura Costos'!E1905=0,MAX('Data Pura Costos'!$E$7:$E$3000)*1000,'Data Pura Costos'!E1905))</f>
        <v/>
      </c>
      <c r="F1905" s="5" t="str">
        <f>+IF('Data Pura Costos'!F1905="","",'Data Pura Costos'!F1905)</f>
        <v/>
      </c>
      <c r="G1905" s="5" t="str">
        <f>+IF('Data Pura Costos'!G1905="","",'Data Pura Costos'!G1905)</f>
        <v/>
      </c>
      <c r="H1905" s="52" t="str">
        <f>+IF('Data Pura Costos'!H1905="","",'Data Pura Costos'!H1905)</f>
        <v/>
      </c>
      <c r="I1905" s="71" t="str">
        <f>+IF('Data Pura Costos'!I1905="","",'Data Pura Costos'!I1905)</f>
        <v/>
      </c>
      <c r="J1905" s="52" t="str">
        <f>+IF('Data Pura Costos'!J1905="","",'Data Pura Costos'!J1905)</f>
        <v/>
      </c>
      <c r="K1905" s="82" t="str">
        <f t="shared" si="34"/>
        <v/>
      </c>
    </row>
    <row r="1906" spans="2:11" x14ac:dyDescent="0.35">
      <c r="B1906" s="4" t="str">
        <f>+IF('Data Pura Costos'!B1906="","",'Data Pura Costos'!B1906)</f>
        <v/>
      </c>
      <c r="C1906" s="4" t="str">
        <f>+IF('Data Pura Costos'!C1906="","",'Data Pura Costos'!C1906)</f>
        <v/>
      </c>
      <c r="D1906" s="5" t="str">
        <f>+IF('Data Pura Costos'!D1906="","",'Data Pura Costos'!D1906)</f>
        <v/>
      </c>
      <c r="E1906" s="65" t="str">
        <f>+IF('Data Pura Costos'!E1906="","",IF('Data Pura Costos'!E1906=0,MAX('Data Pura Costos'!$E$7:$E$3000)*1000,'Data Pura Costos'!E1906))</f>
        <v/>
      </c>
      <c r="F1906" s="5" t="str">
        <f>+IF('Data Pura Costos'!F1906="","",'Data Pura Costos'!F1906)</f>
        <v/>
      </c>
      <c r="G1906" s="5" t="str">
        <f>+IF('Data Pura Costos'!G1906="","",'Data Pura Costos'!G1906)</f>
        <v/>
      </c>
      <c r="H1906" s="52" t="str">
        <f>+IF('Data Pura Costos'!H1906="","",'Data Pura Costos'!H1906)</f>
        <v/>
      </c>
      <c r="I1906" s="71" t="str">
        <f>+IF('Data Pura Costos'!I1906="","",'Data Pura Costos'!I1906)</f>
        <v/>
      </c>
      <c r="J1906" s="52" t="str">
        <f>+IF('Data Pura Costos'!J1906="","",'Data Pura Costos'!J1906)</f>
        <v/>
      </c>
      <c r="K1906" s="82" t="str">
        <f t="shared" si="34"/>
        <v/>
      </c>
    </row>
    <row r="1907" spans="2:11" x14ac:dyDescent="0.35">
      <c r="B1907" s="4" t="str">
        <f>+IF('Data Pura Costos'!B1907="","",'Data Pura Costos'!B1907)</f>
        <v/>
      </c>
      <c r="C1907" s="4" t="str">
        <f>+IF('Data Pura Costos'!C1907="","",'Data Pura Costos'!C1907)</f>
        <v/>
      </c>
      <c r="D1907" s="5" t="str">
        <f>+IF('Data Pura Costos'!D1907="","",'Data Pura Costos'!D1907)</f>
        <v/>
      </c>
      <c r="E1907" s="65" t="str">
        <f>+IF('Data Pura Costos'!E1907="","",IF('Data Pura Costos'!E1907=0,MAX('Data Pura Costos'!$E$7:$E$3000)*1000,'Data Pura Costos'!E1907))</f>
        <v/>
      </c>
      <c r="F1907" s="5" t="str">
        <f>+IF('Data Pura Costos'!F1907="","",'Data Pura Costos'!F1907)</f>
        <v/>
      </c>
      <c r="G1907" s="5" t="str">
        <f>+IF('Data Pura Costos'!G1907="","",'Data Pura Costos'!G1907)</f>
        <v/>
      </c>
      <c r="H1907" s="52" t="str">
        <f>+IF('Data Pura Costos'!H1907="","",'Data Pura Costos'!H1907)</f>
        <v/>
      </c>
      <c r="I1907" s="71" t="str">
        <f>+IF('Data Pura Costos'!I1907="","",'Data Pura Costos'!I1907)</f>
        <v/>
      </c>
      <c r="J1907" s="52" t="str">
        <f>+IF('Data Pura Costos'!J1907="","",'Data Pura Costos'!J1907)</f>
        <v/>
      </c>
      <c r="K1907" s="82" t="str">
        <f t="shared" si="34"/>
        <v/>
      </c>
    </row>
    <row r="1908" spans="2:11" x14ac:dyDescent="0.35">
      <c r="B1908" s="4" t="str">
        <f>+IF('Data Pura Costos'!B1908="","",'Data Pura Costos'!B1908)</f>
        <v/>
      </c>
      <c r="C1908" s="4" t="str">
        <f>+IF('Data Pura Costos'!C1908="","",'Data Pura Costos'!C1908)</f>
        <v/>
      </c>
      <c r="D1908" s="5" t="str">
        <f>+IF('Data Pura Costos'!D1908="","",'Data Pura Costos'!D1908)</f>
        <v/>
      </c>
      <c r="E1908" s="65" t="str">
        <f>+IF('Data Pura Costos'!E1908="","",IF('Data Pura Costos'!E1908=0,MAX('Data Pura Costos'!$E$7:$E$3000)*1000,'Data Pura Costos'!E1908))</f>
        <v/>
      </c>
      <c r="F1908" s="5" t="str">
        <f>+IF('Data Pura Costos'!F1908="","",'Data Pura Costos'!F1908)</f>
        <v/>
      </c>
      <c r="G1908" s="5" t="str">
        <f>+IF('Data Pura Costos'!G1908="","",'Data Pura Costos'!G1908)</f>
        <v/>
      </c>
      <c r="H1908" s="52" t="str">
        <f>+IF('Data Pura Costos'!H1908="","",'Data Pura Costos'!H1908)</f>
        <v/>
      </c>
      <c r="I1908" s="71" t="str">
        <f>+IF('Data Pura Costos'!I1908="","",'Data Pura Costos'!I1908)</f>
        <v/>
      </c>
      <c r="J1908" s="52" t="str">
        <f>+IF('Data Pura Costos'!J1908="","",'Data Pura Costos'!J1908)</f>
        <v/>
      </c>
      <c r="K1908" s="82" t="str">
        <f t="shared" si="34"/>
        <v/>
      </c>
    </row>
    <row r="1909" spans="2:11" x14ac:dyDescent="0.35">
      <c r="B1909" s="4" t="str">
        <f>+IF('Data Pura Costos'!B1909="","",'Data Pura Costos'!B1909)</f>
        <v/>
      </c>
      <c r="C1909" s="4" t="str">
        <f>+IF('Data Pura Costos'!C1909="","",'Data Pura Costos'!C1909)</f>
        <v/>
      </c>
      <c r="D1909" s="5" t="str">
        <f>+IF('Data Pura Costos'!D1909="","",'Data Pura Costos'!D1909)</f>
        <v/>
      </c>
      <c r="E1909" s="65" t="str">
        <f>+IF('Data Pura Costos'!E1909="","",IF('Data Pura Costos'!E1909=0,MAX('Data Pura Costos'!$E$7:$E$3000)*1000,'Data Pura Costos'!E1909))</f>
        <v/>
      </c>
      <c r="F1909" s="5" t="str">
        <f>+IF('Data Pura Costos'!F1909="","",'Data Pura Costos'!F1909)</f>
        <v/>
      </c>
      <c r="G1909" s="5" t="str">
        <f>+IF('Data Pura Costos'!G1909="","",'Data Pura Costos'!G1909)</f>
        <v/>
      </c>
      <c r="H1909" s="52" t="str">
        <f>+IF('Data Pura Costos'!H1909="","",'Data Pura Costos'!H1909)</f>
        <v/>
      </c>
      <c r="I1909" s="71" t="str">
        <f>+IF('Data Pura Costos'!I1909="","",'Data Pura Costos'!I1909)</f>
        <v/>
      </c>
      <c r="J1909" s="52" t="str">
        <f>+IF('Data Pura Costos'!J1909="","",'Data Pura Costos'!J1909)</f>
        <v/>
      </c>
      <c r="K1909" s="82" t="str">
        <f t="shared" si="34"/>
        <v/>
      </c>
    </row>
    <row r="1910" spans="2:11" x14ac:dyDescent="0.35">
      <c r="B1910" s="4" t="str">
        <f>+IF('Data Pura Costos'!B1910="","",'Data Pura Costos'!B1910)</f>
        <v/>
      </c>
      <c r="C1910" s="4" t="str">
        <f>+IF('Data Pura Costos'!C1910="","",'Data Pura Costos'!C1910)</f>
        <v/>
      </c>
      <c r="D1910" s="5" t="str">
        <f>+IF('Data Pura Costos'!D1910="","",'Data Pura Costos'!D1910)</f>
        <v/>
      </c>
      <c r="E1910" s="65" t="str">
        <f>+IF('Data Pura Costos'!E1910="","",IF('Data Pura Costos'!E1910=0,MAX('Data Pura Costos'!$E$7:$E$3000)*1000,'Data Pura Costos'!E1910))</f>
        <v/>
      </c>
      <c r="F1910" s="5" t="str">
        <f>+IF('Data Pura Costos'!F1910="","",'Data Pura Costos'!F1910)</f>
        <v/>
      </c>
      <c r="G1910" s="5" t="str">
        <f>+IF('Data Pura Costos'!G1910="","",'Data Pura Costos'!G1910)</f>
        <v/>
      </c>
      <c r="H1910" s="52" t="str">
        <f>+IF('Data Pura Costos'!H1910="","",'Data Pura Costos'!H1910)</f>
        <v/>
      </c>
      <c r="I1910" s="71" t="str">
        <f>+IF('Data Pura Costos'!I1910="","",'Data Pura Costos'!I1910)</f>
        <v/>
      </c>
      <c r="J1910" s="52" t="str">
        <f>+IF('Data Pura Costos'!J1910="","",'Data Pura Costos'!J1910)</f>
        <v/>
      </c>
      <c r="K1910" s="82" t="str">
        <f t="shared" si="34"/>
        <v/>
      </c>
    </row>
    <row r="1911" spans="2:11" x14ac:dyDescent="0.35">
      <c r="B1911" s="4" t="str">
        <f>+IF('Data Pura Costos'!B1911="","",'Data Pura Costos'!B1911)</f>
        <v/>
      </c>
      <c r="C1911" s="4" t="str">
        <f>+IF('Data Pura Costos'!C1911="","",'Data Pura Costos'!C1911)</f>
        <v/>
      </c>
      <c r="D1911" s="5" t="str">
        <f>+IF('Data Pura Costos'!D1911="","",'Data Pura Costos'!D1911)</f>
        <v/>
      </c>
      <c r="E1911" s="65" t="str">
        <f>+IF('Data Pura Costos'!E1911="","",IF('Data Pura Costos'!E1911=0,MAX('Data Pura Costos'!$E$7:$E$3000)*1000,'Data Pura Costos'!E1911))</f>
        <v/>
      </c>
      <c r="F1911" s="5" t="str">
        <f>+IF('Data Pura Costos'!F1911="","",'Data Pura Costos'!F1911)</f>
        <v/>
      </c>
      <c r="G1911" s="5" t="str">
        <f>+IF('Data Pura Costos'!G1911="","",'Data Pura Costos'!G1911)</f>
        <v/>
      </c>
      <c r="H1911" s="52" t="str">
        <f>+IF('Data Pura Costos'!H1911="","",'Data Pura Costos'!H1911)</f>
        <v/>
      </c>
      <c r="I1911" s="71" t="str">
        <f>+IF('Data Pura Costos'!I1911="","",'Data Pura Costos'!I1911)</f>
        <v/>
      </c>
      <c r="J1911" s="52" t="str">
        <f>+IF('Data Pura Costos'!J1911="","",'Data Pura Costos'!J1911)</f>
        <v/>
      </c>
      <c r="K1911" s="82" t="str">
        <f t="shared" si="34"/>
        <v/>
      </c>
    </row>
    <row r="1912" spans="2:11" x14ac:dyDescent="0.35">
      <c r="B1912" s="4" t="str">
        <f>+IF('Data Pura Costos'!B1912="","",'Data Pura Costos'!B1912)</f>
        <v/>
      </c>
      <c r="C1912" s="4" t="str">
        <f>+IF('Data Pura Costos'!C1912="","",'Data Pura Costos'!C1912)</f>
        <v/>
      </c>
      <c r="D1912" s="5" t="str">
        <f>+IF('Data Pura Costos'!D1912="","",'Data Pura Costos'!D1912)</f>
        <v/>
      </c>
      <c r="E1912" s="65" t="str">
        <f>+IF('Data Pura Costos'!E1912="","",IF('Data Pura Costos'!E1912=0,MAX('Data Pura Costos'!$E$7:$E$3000)*1000,'Data Pura Costos'!E1912))</f>
        <v/>
      </c>
      <c r="F1912" s="5" t="str">
        <f>+IF('Data Pura Costos'!F1912="","",'Data Pura Costos'!F1912)</f>
        <v/>
      </c>
      <c r="G1912" s="5" t="str">
        <f>+IF('Data Pura Costos'!G1912="","",'Data Pura Costos'!G1912)</f>
        <v/>
      </c>
      <c r="H1912" s="52" t="str">
        <f>+IF('Data Pura Costos'!H1912="","",'Data Pura Costos'!H1912)</f>
        <v/>
      </c>
      <c r="I1912" s="71" t="str">
        <f>+IF('Data Pura Costos'!I1912="","",'Data Pura Costos'!I1912)</f>
        <v/>
      </c>
      <c r="J1912" s="52" t="str">
        <f>+IF('Data Pura Costos'!J1912="","",'Data Pura Costos'!J1912)</f>
        <v/>
      </c>
      <c r="K1912" s="82" t="str">
        <f t="shared" si="34"/>
        <v/>
      </c>
    </row>
    <row r="1913" spans="2:11" x14ac:dyDescent="0.35">
      <c r="B1913" s="4" t="str">
        <f>+IF('Data Pura Costos'!B1913="","",'Data Pura Costos'!B1913)</f>
        <v/>
      </c>
      <c r="C1913" s="4" t="str">
        <f>+IF('Data Pura Costos'!C1913="","",'Data Pura Costos'!C1913)</f>
        <v/>
      </c>
      <c r="D1913" s="5" t="str">
        <f>+IF('Data Pura Costos'!D1913="","",'Data Pura Costos'!D1913)</f>
        <v/>
      </c>
      <c r="E1913" s="65" t="str">
        <f>+IF('Data Pura Costos'!E1913="","",IF('Data Pura Costos'!E1913=0,MAX('Data Pura Costos'!$E$7:$E$3000)*1000,'Data Pura Costos'!E1913))</f>
        <v/>
      </c>
      <c r="F1913" s="5" t="str">
        <f>+IF('Data Pura Costos'!F1913="","",'Data Pura Costos'!F1913)</f>
        <v/>
      </c>
      <c r="G1913" s="5" t="str">
        <f>+IF('Data Pura Costos'!G1913="","",'Data Pura Costos'!G1913)</f>
        <v/>
      </c>
      <c r="H1913" s="52" t="str">
        <f>+IF('Data Pura Costos'!H1913="","",'Data Pura Costos'!H1913)</f>
        <v/>
      </c>
      <c r="I1913" s="71" t="str">
        <f>+IF('Data Pura Costos'!I1913="","",'Data Pura Costos'!I1913)</f>
        <v/>
      </c>
      <c r="J1913" s="52" t="str">
        <f>+IF('Data Pura Costos'!J1913="","",'Data Pura Costos'!J1913)</f>
        <v/>
      </c>
      <c r="K1913" s="82" t="str">
        <f t="shared" si="34"/>
        <v/>
      </c>
    </row>
    <row r="1914" spans="2:11" x14ac:dyDescent="0.35">
      <c r="B1914" s="4" t="str">
        <f>+IF('Data Pura Costos'!B1914="","",'Data Pura Costos'!B1914)</f>
        <v/>
      </c>
      <c r="C1914" s="4" t="str">
        <f>+IF('Data Pura Costos'!C1914="","",'Data Pura Costos'!C1914)</f>
        <v/>
      </c>
      <c r="D1914" s="5" t="str">
        <f>+IF('Data Pura Costos'!D1914="","",'Data Pura Costos'!D1914)</f>
        <v/>
      </c>
      <c r="E1914" s="65" t="str">
        <f>+IF('Data Pura Costos'!E1914="","",IF('Data Pura Costos'!E1914=0,MAX('Data Pura Costos'!$E$7:$E$3000)*1000,'Data Pura Costos'!E1914))</f>
        <v/>
      </c>
      <c r="F1914" s="5" t="str">
        <f>+IF('Data Pura Costos'!F1914="","",'Data Pura Costos'!F1914)</f>
        <v/>
      </c>
      <c r="G1914" s="5" t="str">
        <f>+IF('Data Pura Costos'!G1914="","",'Data Pura Costos'!G1914)</f>
        <v/>
      </c>
      <c r="H1914" s="52" t="str">
        <f>+IF('Data Pura Costos'!H1914="","",'Data Pura Costos'!H1914)</f>
        <v/>
      </c>
      <c r="I1914" s="71" t="str">
        <f>+IF('Data Pura Costos'!I1914="","",'Data Pura Costos'!I1914)</f>
        <v/>
      </c>
      <c r="J1914" s="52" t="str">
        <f>+IF('Data Pura Costos'!J1914="","",'Data Pura Costos'!J1914)</f>
        <v/>
      </c>
      <c r="K1914" s="82" t="str">
        <f t="shared" si="34"/>
        <v/>
      </c>
    </row>
    <row r="1915" spans="2:11" x14ac:dyDescent="0.35">
      <c r="B1915" s="4" t="str">
        <f>+IF('Data Pura Costos'!B1915="","",'Data Pura Costos'!B1915)</f>
        <v/>
      </c>
      <c r="C1915" s="4" t="str">
        <f>+IF('Data Pura Costos'!C1915="","",'Data Pura Costos'!C1915)</f>
        <v/>
      </c>
      <c r="D1915" s="5" t="str">
        <f>+IF('Data Pura Costos'!D1915="","",'Data Pura Costos'!D1915)</f>
        <v/>
      </c>
      <c r="E1915" s="65" t="str">
        <f>+IF('Data Pura Costos'!E1915="","",IF('Data Pura Costos'!E1915=0,MAX('Data Pura Costos'!$E$7:$E$3000)*1000,'Data Pura Costos'!E1915))</f>
        <v/>
      </c>
      <c r="F1915" s="5" t="str">
        <f>+IF('Data Pura Costos'!F1915="","",'Data Pura Costos'!F1915)</f>
        <v/>
      </c>
      <c r="G1915" s="5" t="str">
        <f>+IF('Data Pura Costos'!G1915="","",'Data Pura Costos'!G1915)</f>
        <v/>
      </c>
      <c r="H1915" s="52" t="str">
        <f>+IF('Data Pura Costos'!H1915="","",'Data Pura Costos'!H1915)</f>
        <v/>
      </c>
      <c r="I1915" s="71" t="str">
        <f>+IF('Data Pura Costos'!I1915="","",'Data Pura Costos'!I1915)</f>
        <v/>
      </c>
      <c r="J1915" s="52" t="str">
        <f>+IF('Data Pura Costos'!J1915="","",'Data Pura Costos'!J1915)</f>
        <v/>
      </c>
      <c r="K1915" s="82" t="str">
        <f t="shared" si="34"/>
        <v/>
      </c>
    </row>
    <row r="1916" spans="2:11" x14ac:dyDescent="0.35">
      <c r="B1916" s="4" t="str">
        <f>+IF('Data Pura Costos'!B1916="","",'Data Pura Costos'!B1916)</f>
        <v/>
      </c>
      <c r="C1916" s="4" t="str">
        <f>+IF('Data Pura Costos'!C1916="","",'Data Pura Costos'!C1916)</f>
        <v/>
      </c>
      <c r="D1916" s="5" t="str">
        <f>+IF('Data Pura Costos'!D1916="","",'Data Pura Costos'!D1916)</f>
        <v/>
      </c>
      <c r="E1916" s="65" t="str">
        <f>+IF('Data Pura Costos'!E1916="","",IF('Data Pura Costos'!E1916=0,MAX('Data Pura Costos'!$E$7:$E$3000)*1000,'Data Pura Costos'!E1916))</f>
        <v/>
      </c>
      <c r="F1916" s="5" t="str">
        <f>+IF('Data Pura Costos'!F1916="","",'Data Pura Costos'!F1916)</f>
        <v/>
      </c>
      <c r="G1916" s="5" t="str">
        <f>+IF('Data Pura Costos'!G1916="","",'Data Pura Costos'!G1916)</f>
        <v/>
      </c>
      <c r="H1916" s="52" t="str">
        <f>+IF('Data Pura Costos'!H1916="","",'Data Pura Costos'!H1916)</f>
        <v/>
      </c>
      <c r="I1916" s="71" t="str">
        <f>+IF('Data Pura Costos'!I1916="","",'Data Pura Costos'!I1916)</f>
        <v/>
      </c>
      <c r="J1916" s="52" t="str">
        <f>+IF('Data Pura Costos'!J1916="","",'Data Pura Costos'!J1916)</f>
        <v/>
      </c>
      <c r="K1916" s="82" t="str">
        <f t="shared" ref="K1916:K1979" si="35">+IF(B1916="","",CONCATENATE(B1916,"-",F1916,"-",G1916))</f>
        <v/>
      </c>
    </row>
    <row r="1917" spans="2:11" x14ac:dyDescent="0.35">
      <c r="B1917" s="4" t="str">
        <f>+IF('Data Pura Costos'!B1917="","",'Data Pura Costos'!B1917)</f>
        <v/>
      </c>
      <c r="C1917" s="4" t="str">
        <f>+IF('Data Pura Costos'!C1917="","",'Data Pura Costos'!C1917)</f>
        <v/>
      </c>
      <c r="D1917" s="5" t="str">
        <f>+IF('Data Pura Costos'!D1917="","",'Data Pura Costos'!D1917)</f>
        <v/>
      </c>
      <c r="E1917" s="65" t="str">
        <f>+IF('Data Pura Costos'!E1917="","",IF('Data Pura Costos'!E1917=0,MAX('Data Pura Costos'!$E$7:$E$3000)*1000,'Data Pura Costos'!E1917))</f>
        <v/>
      </c>
      <c r="F1917" s="5" t="str">
        <f>+IF('Data Pura Costos'!F1917="","",'Data Pura Costos'!F1917)</f>
        <v/>
      </c>
      <c r="G1917" s="5" t="str">
        <f>+IF('Data Pura Costos'!G1917="","",'Data Pura Costos'!G1917)</f>
        <v/>
      </c>
      <c r="H1917" s="52" t="str">
        <f>+IF('Data Pura Costos'!H1917="","",'Data Pura Costos'!H1917)</f>
        <v/>
      </c>
      <c r="I1917" s="71" t="str">
        <f>+IF('Data Pura Costos'!I1917="","",'Data Pura Costos'!I1917)</f>
        <v/>
      </c>
      <c r="J1917" s="52" t="str">
        <f>+IF('Data Pura Costos'!J1917="","",'Data Pura Costos'!J1917)</f>
        <v/>
      </c>
      <c r="K1917" s="82" t="str">
        <f t="shared" si="35"/>
        <v/>
      </c>
    </row>
    <row r="1918" spans="2:11" x14ac:dyDescent="0.35">
      <c r="B1918" s="4" t="str">
        <f>+IF('Data Pura Costos'!B1918="","",'Data Pura Costos'!B1918)</f>
        <v/>
      </c>
      <c r="C1918" s="4" t="str">
        <f>+IF('Data Pura Costos'!C1918="","",'Data Pura Costos'!C1918)</f>
        <v/>
      </c>
      <c r="D1918" s="5" t="str">
        <f>+IF('Data Pura Costos'!D1918="","",'Data Pura Costos'!D1918)</f>
        <v/>
      </c>
      <c r="E1918" s="65" t="str">
        <f>+IF('Data Pura Costos'!E1918="","",IF('Data Pura Costos'!E1918=0,MAX('Data Pura Costos'!$E$7:$E$3000)*1000,'Data Pura Costos'!E1918))</f>
        <v/>
      </c>
      <c r="F1918" s="5" t="str">
        <f>+IF('Data Pura Costos'!F1918="","",'Data Pura Costos'!F1918)</f>
        <v/>
      </c>
      <c r="G1918" s="5" t="str">
        <f>+IF('Data Pura Costos'!G1918="","",'Data Pura Costos'!G1918)</f>
        <v/>
      </c>
      <c r="H1918" s="52" t="str">
        <f>+IF('Data Pura Costos'!H1918="","",'Data Pura Costos'!H1918)</f>
        <v/>
      </c>
      <c r="I1918" s="71" t="str">
        <f>+IF('Data Pura Costos'!I1918="","",'Data Pura Costos'!I1918)</f>
        <v/>
      </c>
      <c r="J1918" s="52" t="str">
        <f>+IF('Data Pura Costos'!J1918="","",'Data Pura Costos'!J1918)</f>
        <v/>
      </c>
      <c r="K1918" s="82" t="str">
        <f t="shared" si="35"/>
        <v/>
      </c>
    </row>
    <row r="1919" spans="2:11" x14ac:dyDescent="0.35">
      <c r="B1919" s="4" t="str">
        <f>+IF('Data Pura Costos'!B1919="","",'Data Pura Costos'!B1919)</f>
        <v/>
      </c>
      <c r="C1919" s="4" t="str">
        <f>+IF('Data Pura Costos'!C1919="","",'Data Pura Costos'!C1919)</f>
        <v/>
      </c>
      <c r="D1919" s="5" t="str">
        <f>+IF('Data Pura Costos'!D1919="","",'Data Pura Costos'!D1919)</f>
        <v/>
      </c>
      <c r="E1919" s="65" t="str">
        <f>+IF('Data Pura Costos'!E1919="","",IF('Data Pura Costos'!E1919=0,MAX('Data Pura Costos'!$E$7:$E$3000)*1000,'Data Pura Costos'!E1919))</f>
        <v/>
      </c>
      <c r="F1919" s="5" t="str">
        <f>+IF('Data Pura Costos'!F1919="","",'Data Pura Costos'!F1919)</f>
        <v/>
      </c>
      <c r="G1919" s="5" t="str">
        <f>+IF('Data Pura Costos'!G1919="","",'Data Pura Costos'!G1919)</f>
        <v/>
      </c>
      <c r="H1919" s="52" t="str">
        <f>+IF('Data Pura Costos'!H1919="","",'Data Pura Costos'!H1919)</f>
        <v/>
      </c>
      <c r="I1919" s="71" t="str">
        <f>+IF('Data Pura Costos'!I1919="","",'Data Pura Costos'!I1919)</f>
        <v/>
      </c>
      <c r="J1919" s="52" t="str">
        <f>+IF('Data Pura Costos'!J1919="","",'Data Pura Costos'!J1919)</f>
        <v/>
      </c>
      <c r="K1919" s="82" t="str">
        <f t="shared" si="35"/>
        <v/>
      </c>
    </row>
    <row r="1920" spans="2:11" x14ac:dyDescent="0.35">
      <c r="B1920" s="4" t="str">
        <f>+IF('Data Pura Costos'!B1920="","",'Data Pura Costos'!B1920)</f>
        <v/>
      </c>
      <c r="C1920" s="4" t="str">
        <f>+IF('Data Pura Costos'!C1920="","",'Data Pura Costos'!C1920)</f>
        <v/>
      </c>
      <c r="D1920" s="5" t="str">
        <f>+IF('Data Pura Costos'!D1920="","",'Data Pura Costos'!D1920)</f>
        <v/>
      </c>
      <c r="E1920" s="65" t="str">
        <f>+IF('Data Pura Costos'!E1920="","",IF('Data Pura Costos'!E1920=0,MAX('Data Pura Costos'!$E$7:$E$3000)*1000,'Data Pura Costos'!E1920))</f>
        <v/>
      </c>
      <c r="F1920" s="5" t="str">
        <f>+IF('Data Pura Costos'!F1920="","",'Data Pura Costos'!F1920)</f>
        <v/>
      </c>
      <c r="G1920" s="5" t="str">
        <f>+IF('Data Pura Costos'!G1920="","",'Data Pura Costos'!G1920)</f>
        <v/>
      </c>
      <c r="H1920" s="52" t="str">
        <f>+IF('Data Pura Costos'!H1920="","",'Data Pura Costos'!H1920)</f>
        <v/>
      </c>
      <c r="I1920" s="71" t="str">
        <f>+IF('Data Pura Costos'!I1920="","",'Data Pura Costos'!I1920)</f>
        <v/>
      </c>
      <c r="J1920" s="52" t="str">
        <f>+IF('Data Pura Costos'!J1920="","",'Data Pura Costos'!J1920)</f>
        <v/>
      </c>
      <c r="K1920" s="82" t="str">
        <f t="shared" si="35"/>
        <v/>
      </c>
    </row>
    <row r="1921" spans="2:11" x14ac:dyDescent="0.35">
      <c r="B1921" s="4" t="str">
        <f>+IF('Data Pura Costos'!B1921="","",'Data Pura Costos'!B1921)</f>
        <v/>
      </c>
      <c r="C1921" s="4" t="str">
        <f>+IF('Data Pura Costos'!C1921="","",'Data Pura Costos'!C1921)</f>
        <v/>
      </c>
      <c r="D1921" s="5" t="str">
        <f>+IF('Data Pura Costos'!D1921="","",'Data Pura Costos'!D1921)</f>
        <v/>
      </c>
      <c r="E1921" s="65" t="str">
        <f>+IF('Data Pura Costos'!E1921="","",IF('Data Pura Costos'!E1921=0,MAX('Data Pura Costos'!$E$7:$E$3000)*1000,'Data Pura Costos'!E1921))</f>
        <v/>
      </c>
      <c r="F1921" s="5" t="str">
        <f>+IF('Data Pura Costos'!F1921="","",'Data Pura Costos'!F1921)</f>
        <v/>
      </c>
      <c r="G1921" s="5" t="str">
        <f>+IF('Data Pura Costos'!G1921="","",'Data Pura Costos'!G1921)</f>
        <v/>
      </c>
      <c r="H1921" s="52" t="str">
        <f>+IF('Data Pura Costos'!H1921="","",'Data Pura Costos'!H1921)</f>
        <v/>
      </c>
      <c r="I1921" s="71" t="str">
        <f>+IF('Data Pura Costos'!I1921="","",'Data Pura Costos'!I1921)</f>
        <v/>
      </c>
      <c r="J1921" s="52" t="str">
        <f>+IF('Data Pura Costos'!J1921="","",'Data Pura Costos'!J1921)</f>
        <v/>
      </c>
      <c r="K1921" s="82" t="str">
        <f t="shared" si="35"/>
        <v/>
      </c>
    </row>
    <row r="1922" spans="2:11" x14ac:dyDescent="0.35">
      <c r="B1922" s="4" t="str">
        <f>+IF('Data Pura Costos'!B1922="","",'Data Pura Costos'!B1922)</f>
        <v/>
      </c>
      <c r="C1922" s="4" t="str">
        <f>+IF('Data Pura Costos'!C1922="","",'Data Pura Costos'!C1922)</f>
        <v/>
      </c>
      <c r="D1922" s="5" t="str">
        <f>+IF('Data Pura Costos'!D1922="","",'Data Pura Costos'!D1922)</f>
        <v/>
      </c>
      <c r="E1922" s="65" t="str">
        <f>+IF('Data Pura Costos'!E1922="","",IF('Data Pura Costos'!E1922=0,MAX('Data Pura Costos'!$E$7:$E$3000)*1000,'Data Pura Costos'!E1922))</f>
        <v/>
      </c>
      <c r="F1922" s="5" t="str">
        <f>+IF('Data Pura Costos'!F1922="","",'Data Pura Costos'!F1922)</f>
        <v/>
      </c>
      <c r="G1922" s="5" t="str">
        <f>+IF('Data Pura Costos'!G1922="","",'Data Pura Costos'!G1922)</f>
        <v/>
      </c>
      <c r="H1922" s="52" t="str">
        <f>+IF('Data Pura Costos'!H1922="","",'Data Pura Costos'!H1922)</f>
        <v/>
      </c>
      <c r="I1922" s="71" t="str">
        <f>+IF('Data Pura Costos'!I1922="","",'Data Pura Costos'!I1922)</f>
        <v/>
      </c>
      <c r="J1922" s="52" t="str">
        <f>+IF('Data Pura Costos'!J1922="","",'Data Pura Costos'!J1922)</f>
        <v/>
      </c>
      <c r="K1922" s="82" t="str">
        <f t="shared" si="35"/>
        <v/>
      </c>
    </row>
    <row r="1923" spans="2:11" x14ac:dyDescent="0.35">
      <c r="B1923" s="4" t="str">
        <f>+IF('Data Pura Costos'!B1923="","",'Data Pura Costos'!B1923)</f>
        <v/>
      </c>
      <c r="C1923" s="4" t="str">
        <f>+IF('Data Pura Costos'!C1923="","",'Data Pura Costos'!C1923)</f>
        <v/>
      </c>
      <c r="D1923" s="5" t="str">
        <f>+IF('Data Pura Costos'!D1923="","",'Data Pura Costos'!D1923)</f>
        <v/>
      </c>
      <c r="E1923" s="65" t="str">
        <f>+IF('Data Pura Costos'!E1923="","",IF('Data Pura Costos'!E1923=0,MAX('Data Pura Costos'!$E$7:$E$3000)*1000,'Data Pura Costos'!E1923))</f>
        <v/>
      </c>
      <c r="F1923" s="5" t="str">
        <f>+IF('Data Pura Costos'!F1923="","",'Data Pura Costos'!F1923)</f>
        <v/>
      </c>
      <c r="G1923" s="5" t="str">
        <f>+IF('Data Pura Costos'!G1923="","",'Data Pura Costos'!G1923)</f>
        <v/>
      </c>
      <c r="H1923" s="52" t="str">
        <f>+IF('Data Pura Costos'!H1923="","",'Data Pura Costos'!H1923)</f>
        <v/>
      </c>
      <c r="I1923" s="71" t="str">
        <f>+IF('Data Pura Costos'!I1923="","",'Data Pura Costos'!I1923)</f>
        <v/>
      </c>
      <c r="J1923" s="52" t="str">
        <f>+IF('Data Pura Costos'!J1923="","",'Data Pura Costos'!J1923)</f>
        <v/>
      </c>
      <c r="K1923" s="82" t="str">
        <f t="shared" si="35"/>
        <v/>
      </c>
    </row>
    <row r="1924" spans="2:11" x14ac:dyDescent="0.35">
      <c r="B1924" s="4" t="str">
        <f>+IF('Data Pura Costos'!B1924="","",'Data Pura Costos'!B1924)</f>
        <v/>
      </c>
      <c r="C1924" s="4" t="str">
        <f>+IF('Data Pura Costos'!C1924="","",'Data Pura Costos'!C1924)</f>
        <v/>
      </c>
      <c r="D1924" s="5" t="str">
        <f>+IF('Data Pura Costos'!D1924="","",'Data Pura Costos'!D1924)</f>
        <v/>
      </c>
      <c r="E1924" s="65" t="str">
        <f>+IF('Data Pura Costos'!E1924="","",IF('Data Pura Costos'!E1924=0,MAX('Data Pura Costos'!$E$7:$E$3000)*1000,'Data Pura Costos'!E1924))</f>
        <v/>
      </c>
      <c r="F1924" s="5" t="str">
        <f>+IF('Data Pura Costos'!F1924="","",'Data Pura Costos'!F1924)</f>
        <v/>
      </c>
      <c r="G1924" s="5" t="str">
        <f>+IF('Data Pura Costos'!G1924="","",'Data Pura Costos'!G1924)</f>
        <v/>
      </c>
      <c r="H1924" s="52" t="str">
        <f>+IF('Data Pura Costos'!H1924="","",'Data Pura Costos'!H1924)</f>
        <v/>
      </c>
      <c r="I1924" s="71" t="str">
        <f>+IF('Data Pura Costos'!I1924="","",'Data Pura Costos'!I1924)</f>
        <v/>
      </c>
      <c r="J1924" s="52" t="str">
        <f>+IF('Data Pura Costos'!J1924="","",'Data Pura Costos'!J1924)</f>
        <v/>
      </c>
      <c r="K1924" s="82" t="str">
        <f t="shared" si="35"/>
        <v/>
      </c>
    </row>
    <row r="1925" spans="2:11" x14ac:dyDescent="0.35">
      <c r="B1925" s="4" t="str">
        <f>+IF('Data Pura Costos'!B1925="","",'Data Pura Costos'!B1925)</f>
        <v/>
      </c>
      <c r="C1925" s="4" t="str">
        <f>+IF('Data Pura Costos'!C1925="","",'Data Pura Costos'!C1925)</f>
        <v/>
      </c>
      <c r="D1925" s="5" t="str">
        <f>+IF('Data Pura Costos'!D1925="","",'Data Pura Costos'!D1925)</f>
        <v/>
      </c>
      <c r="E1925" s="65" t="str">
        <f>+IF('Data Pura Costos'!E1925="","",IF('Data Pura Costos'!E1925=0,MAX('Data Pura Costos'!$E$7:$E$3000)*1000,'Data Pura Costos'!E1925))</f>
        <v/>
      </c>
      <c r="F1925" s="5" t="str">
        <f>+IF('Data Pura Costos'!F1925="","",'Data Pura Costos'!F1925)</f>
        <v/>
      </c>
      <c r="G1925" s="5" t="str">
        <f>+IF('Data Pura Costos'!G1925="","",'Data Pura Costos'!G1925)</f>
        <v/>
      </c>
      <c r="H1925" s="52" t="str">
        <f>+IF('Data Pura Costos'!H1925="","",'Data Pura Costos'!H1925)</f>
        <v/>
      </c>
      <c r="I1925" s="71" t="str">
        <f>+IF('Data Pura Costos'!I1925="","",'Data Pura Costos'!I1925)</f>
        <v/>
      </c>
      <c r="J1925" s="52" t="str">
        <f>+IF('Data Pura Costos'!J1925="","",'Data Pura Costos'!J1925)</f>
        <v/>
      </c>
      <c r="K1925" s="82" t="str">
        <f t="shared" si="35"/>
        <v/>
      </c>
    </row>
    <row r="1926" spans="2:11" x14ac:dyDescent="0.35">
      <c r="B1926" s="4" t="str">
        <f>+IF('Data Pura Costos'!B1926="","",'Data Pura Costos'!B1926)</f>
        <v/>
      </c>
      <c r="C1926" s="4" t="str">
        <f>+IF('Data Pura Costos'!C1926="","",'Data Pura Costos'!C1926)</f>
        <v/>
      </c>
      <c r="D1926" s="5" t="str">
        <f>+IF('Data Pura Costos'!D1926="","",'Data Pura Costos'!D1926)</f>
        <v/>
      </c>
      <c r="E1926" s="65" t="str">
        <f>+IF('Data Pura Costos'!E1926="","",IF('Data Pura Costos'!E1926=0,MAX('Data Pura Costos'!$E$7:$E$3000)*1000,'Data Pura Costos'!E1926))</f>
        <v/>
      </c>
      <c r="F1926" s="5" t="str">
        <f>+IF('Data Pura Costos'!F1926="","",'Data Pura Costos'!F1926)</f>
        <v/>
      </c>
      <c r="G1926" s="5" t="str">
        <f>+IF('Data Pura Costos'!G1926="","",'Data Pura Costos'!G1926)</f>
        <v/>
      </c>
      <c r="H1926" s="52" t="str">
        <f>+IF('Data Pura Costos'!H1926="","",'Data Pura Costos'!H1926)</f>
        <v/>
      </c>
      <c r="I1926" s="71" t="str">
        <f>+IF('Data Pura Costos'!I1926="","",'Data Pura Costos'!I1926)</f>
        <v/>
      </c>
      <c r="J1926" s="52" t="str">
        <f>+IF('Data Pura Costos'!J1926="","",'Data Pura Costos'!J1926)</f>
        <v/>
      </c>
      <c r="K1926" s="82" t="str">
        <f t="shared" si="35"/>
        <v/>
      </c>
    </row>
    <row r="1927" spans="2:11" x14ac:dyDescent="0.35">
      <c r="B1927" s="4" t="str">
        <f>+IF('Data Pura Costos'!B1927="","",'Data Pura Costos'!B1927)</f>
        <v/>
      </c>
      <c r="C1927" s="4" t="str">
        <f>+IF('Data Pura Costos'!C1927="","",'Data Pura Costos'!C1927)</f>
        <v/>
      </c>
      <c r="D1927" s="5" t="str">
        <f>+IF('Data Pura Costos'!D1927="","",'Data Pura Costos'!D1927)</f>
        <v/>
      </c>
      <c r="E1927" s="65" t="str">
        <f>+IF('Data Pura Costos'!E1927="","",IF('Data Pura Costos'!E1927=0,MAX('Data Pura Costos'!$E$7:$E$3000)*1000,'Data Pura Costos'!E1927))</f>
        <v/>
      </c>
      <c r="F1927" s="5" t="str">
        <f>+IF('Data Pura Costos'!F1927="","",'Data Pura Costos'!F1927)</f>
        <v/>
      </c>
      <c r="G1927" s="5" t="str">
        <f>+IF('Data Pura Costos'!G1927="","",'Data Pura Costos'!G1927)</f>
        <v/>
      </c>
      <c r="H1927" s="52" t="str">
        <f>+IF('Data Pura Costos'!H1927="","",'Data Pura Costos'!H1927)</f>
        <v/>
      </c>
      <c r="I1927" s="71" t="str">
        <f>+IF('Data Pura Costos'!I1927="","",'Data Pura Costos'!I1927)</f>
        <v/>
      </c>
      <c r="J1927" s="52" t="str">
        <f>+IF('Data Pura Costos'!J1927="","",'Data Pura Costos'!J1927)</f>
        <v/>
      </c>
      <c r="K1927" s="82" t="str">
        <f t="shared" si="35"/>
        <v/>
      </c>
    </row>
    <row r="1928" spans="2:11" x14ac:dyDescent="0.35">
      <c r="B1928" s="4" t="str">
        <f>+IF('Data Pura Costos'!B1928="","",'Data Pura Costos'!B1928)</f>
        <v/>
      </c>
      <c r="C1928" s="4" t="str">
        <f>+IF('Data Pura Costos'!C1928="","",'Data Pura Costos'!C1928)</f>
        <v/>
      </c>
      <c r="D1928" s="5" t="str">
        <f>+IF('Data Pura Costos'!D1928="","",'Data Pura Costos'!D1928)</f>
        <v/>
      </c>
      <c r="E1928" s="65" t="str">
        <f>+IF('Data Pura Costos'!E1928="","",IF('Data Pura Costos'!E1928=0,MAX('Data Pura Costos'!$E$7:$E$3000)*1000,'Data Pura Costos'!E1928))</f>
        <v/>
      </c>
      <c r="F1928" s="5" t="str">
        <f>+IF('Data Pura Costos'!F1928="","",'Data Pura Costos'!F1928)</f>
        <v/>
      </c>
      <c r="G1928" s="5" t="str">
        <f>+IF('Data Pura Costos'!G1928="","",'Data Pura Costos'!G1928)</f>
        <v/>
      </c>
      <c r="H1928" s="52" t="str">
        <f>+IF('Data Pura Costos'!H1928="","",'Data Pura Costos'!H1928)</f>
        <v/>
      </c>
      <c r="I1928" s="71" t="str">
        <f>+IF('Data Pura Costos'!I1928="","",'Data Pura Costos'!I1928)</f>
        <v/>
      </c>
      <c r="J1928" s="52" t="str">
        <f>+IF('Data Pura Costos'!J1928="","",'Data Pura Costos'!J1928)</f>
        <v/>
      </c>
      <c r="K1928" s="82" t="str">
        <f t="shared" si="35"/>
        <v/>
      </c>
    </row>
    <row r="1929" spans="2:11" x14ac:dyDescent="0.35">
      <c r="B1929" s="4" t="str">
        <f>+IF('Data Pura Costos'!B1929="","",'Data Pura Costos'!B1929)</f>
        <v/>
      </c>
      <c r="C1929" s="4" t="str">
        <f>+IF('Data Pura Costos'!C1929="","",'Data Pura Costos'!C1929)</f>
        <v/>
      </c>
      <c r="D1929" s="5" t="str">
        <f>+IF('Data Pura Costos'!D1929="","",'Data Pura Costos'!D1929)</f>
        <v/>
      </c>
      <c r="E1929" s="65" t="str">
        <f>+IF('Data Pura Costos'!E1929="","",IF('Data Pura Costos'!E1929=0,MAX('Data Pura Costos'!$E$7:$E$3000)*1000,'Data Pura Costos'!E1929))</f>
        <v/>
      </c>
      <c r="F1929" s="5" t="str">
        <f>+IF('Data Pura Costos'!F1929="","",'Data Pura Costos'!F1929)</f>
        <v/>
      </c>
      <c r="G1929" s="5" t="str">
        <f>+IF('Data Pura Costos'!G1929="","",'Data Pura Costos'!G1929)</f>
        <v/>
      </c>
      <c r="H1929" s="52" t="str">
        <f>+IF('Data Pura Costos'!H1929="","",'Data Pura Costos'!H1929)</f>
        <v/>
      </c>
      <c r="I1929" s="71" t="str">
        <f>+IF('Data Pura Costos'!I1929="","",'Data Pura Costos'!I1929)</f>
        <v/>
      </c>
      <c r="J1929" s="52" t="str">
        <f>+IF('Data Pura Costos'!J1929="","",'Data Pura Costos'!J1929)</f>
        <v/>
      </c>
      <c r="K1929" s="82" t="str">
        <f t="shared" si="35"/>
        <v/>
      </c>
    </row>
    <row r="1930" spans="2:11" x14ac:dyDescent="0.35">
      <c r="B1930" s="4" t="str">
        <f>+IF('Data Pura Costos'!B1930="","",'Data Pura Costos'!B1930)</f>
        <v/>
      </c>
      <c r="C1930" s="4" t="str">
        <f>+IF('Data Pura Costos'!C1930="","",'Data Pura Costos'!C1930)</f>
        <v/>
      </c>
      <c r="D1930" s="5" t="str">
        <f>+IF('Data Pura Costos'!D1930="","",'Data Pura Costos'!D1930)</f>
        <v/>
      </c>
      <c r="E1930" s="65" t="str">
        <f>+IF('Data Pura Costos'!E1930="","",IF('Data Pura Costos'!E1930=0,MAX('Data Pura Costos'!$E$7:$E$3000)*1000,'Data Pura Costos'!E1930))</f>
        <v/>
      </c>
      <c r="F1930" s="5" t="str">
        <f>+IF('Data Pura Costos'!F1930="","",'Data Pura Costos'!F1930)</f>
        <v/>
      </c>
      <c r="G1930" s="5" t="str">
        <f>+IF('Data Pura Costos'!G1930="","",'Data Pura Costos'!G1930)</f>
        <v/>
      </c>
      <c r="H1930" s="52" t="str">
        <f>+IF('Data Pura Costos'!H1930="","",'Data Pura Costos'!H1930)</f>
        <v/>
      </c>
      <c r="I1930" s="71" t="str">
        <f>+IF('Data Pura Costos'!I1930="","",'Data Pura Costos'!I1930)</f>
        <v/>
      </c>
      <c r="J1930" s="52" t="str">
        <f>+IF('Data Pura Costos'!J1930="","",'Data Pura Costos'!J1930)</f>
        <v/>
      </c>
      <c r="K1930" s="82" t="str">
        <f t="shared" si="35"/>
        <v/>
      </c>
    </row>
    <row r="1931" spans="2:11" x14ac:dyDescent="0.35">
      <c r="B1931" s="4" t="str">
        <f>+IF('Data Pura Costos'!B1931="","",'Data Pura Costos'!B1931)</f>
        <v/>
      </c>
      <c r="C1931" s="4" t="str">
        <f>+IF('Data Pura Costos'!C1931="","",'Data Pura Costos'!C1931)</f>
        <v/>
      </c>
      <c r="D1931" s="5" t="str">
        <f>+IF('Data Pura Costos'!D1931="","",'Data Pura Costos'!D1931)</f>
        <v/>
      </c>
      <c r="E1931" s="65" t="str">
        <f>+IF('Data Pura Costos'!E1931="","",IF('Data Pura Costos'!E1931=0,MAX('Data Pura Costos'!$E$7:$E$3000)*1000,'Data Pura Costos'!E1931))</f>
        <v/>
      </c>
      <c r="F1931" s="5" t="str">
        <f>+IF('Data Pura Costos'!F1931="","",'Data Pura Costos'!F1931)</f>
        <v/>
      </c>
      <c r="G1931" s="5" t="str">
        <f>+IF('Data Pura Costos'!G1931="","",'Data Pura Costos'!G1931)</f>
        <v/>
      </c>
      <c r="H1931" s="52" t="str">
        <f>+IF('Data Pura Costos'!H1931="","",'Data Pura Costos'!H1931)</f>
        <v/>
      </c>
      <c r="I1931" s="71" t="str">
        <f>+IF('Data Pura Costos'!I1931="","",'Data Pura Costos'!I1931)</f>
        <v/>
      </c>
      <c r="J1931" s="52" t="str">
        <f>+IF('Data Pura Costos'!J1931="","",'Data Pura Costos'!J1931)</f>
        <v/>
      </c>
      <c r="K1931" s="82" t="str">
        <f t="shared" si="35"/>
        <v/>
      </c>
    </row>
    <row r="1932" spans="2:11" x14ac:dyDescent="0.35">
      <c r="B1932" s="4" t="str">
        <f>+IF('Data Pura Costos'!B1932="","",'Data Pura Costos'!B1932)</f>
        <v/>
      </c>
      <c r="C1932" s="4" t="str">
        <f>+IF('Data Pura Costos'!C1932="","",'Data Pura Costos'!C1932)</f>
        <v/>
      </c>
      <c r="D1932" s="5" t="str">
        <f>+IF('Data Pura Costos'!D1932="","",'Data Pura Costos'!D1932)</f>
        <v/>
      </c>
      <c r="E1932" s="65" t="str">
        <f>+IF('Data Pura Costos'!E1932="","",IF('Data Pura Costos'!E1932=0,MAX('Data Pura Costos'!$E$7:$E$3000)*1000,'Data Pura Costos'!E1932))</f>
        <v/>
      </c>
      <c r="F1932" s="5" t="str">
        <f>+IF('Data Pura Costos'!F1932="","",'Data Pura Costos'!F1932)</f>
        <v/>
      </c>
      <c r="G1932" s="5" t="str">
        <f>+IF('Data Pura Costos'!G1932="","",'Data Pura Costos'!G1932)</f>
        <v/>
      </c>
      <c r="H1932" s="52" t="str">
        <f>+IF('Data Pura Costos'!H1932="","",'Data Pura Costos'!H1932)</f>
        <v/>
      </c>
      <c r="I1932" s="71" t="str">
        <f>+IF('Data Pura Costos'!I1932="","",'Data Pura Costos'!I1932)</f>
        <v/>
      </c>
      <c r="J1932" s="52" t="str">
        <f>+IF('Data Pura Costos'!J1932="","",'Data Pura Costos'!J1932)</f>
        <v/>
      </c>
      <c r="K1932" s="82" t="str">
        <f t="shared" si="35"/>
        <v/>
      </c>
    </row>
    <row r="1933" spans="2:11" x14ac:dyDescent="0.35">
      <c r="B1933" s="4" t="str">
        <f>+IF('Data Pura Costos'!B1933="","",'Data Pura Costos'!B1933)</f>
        <v/>
      </c>
      <c r="C1933" s="4" t="str">
        <f>+IF('Data Pura Costos'!C1933="","",'Data Pura Costos'!C1933)</f>
        <v/>
      </c>
      <c r="D1933" s="5" t="str">
        <f>+IF('Data Pura Costos'!D1933="","",'Data Pura Costos'!D1933)</f>
        <v/>
      </c>
      <c r="E1933" s="65" t="str">
        <f>+IF('Data Pura Costos'!E1933="","",IF('Data Pura Costos'!E1933=0,MAX('Data Pura Costos'!$E$7:$E$3000)*1000,'Data Pura Costos'!E1933))</f>
        <v/>
      </c>
      <c r="F1933" s="5" t="str">
        <f>+IF('Data Pura Costos'!F1933="","",'Data Pura Costos'!F1933)</f>
        <v/>
      </c>
      <c r="G1933" s="5" t="str">
        <f>+IF('Data Pura Costos'!G1933="","",'Data Pura Costos'!G1933)</f>
        <v/>
      </c>
      <c r="H1933" s="52" t="str">
        <f>+IF('Data Pura Costos'!H1933="","",'Data Pura Costos'!H1933)</f>
        <v/>
      </c>
      <c r="I1933" s="71" t="str">
        <f>+IF('Data Pura Costos'!I1933="","",'Data Pura Costos'!I1933)</f>
        <v/>
      </c>
      <c r="J1933" s="52" t="str">
        <f>+IF('Data Pura Costos'!J1933="","",'Data Pura Costos'!J1933)</f>
        <v/>
      </c>
      <c r="K1933" s="82" t="str">
        <f t="shared" si="35"/>
        <v/>
      </c>
    </row>
    <row r="1934" spans="2:11" x14ac:dyDescent="0.35">
      <c r="B1934" s="4" t="str">
        <f>+IF('Data Pura Costos'!B1934="","",'Data Pura Costos'!B1934)</f>
        <v/>
      </c>
      <c r="C1934" s="4" t="str">
        <f>+IF('Data Pura Costos'!C1934="","",'Data Pura Costos'!C1934)</f>
        <v/>
      </c>
      <c r="D1934" s="5" t="str">
        <f>+IF('Data Pura Costos'!D1934="","",'Data Pura Costos'!D1934)</f>
        <v/>
      </c>
      <c r="E1934" s="65" t="str">
        <f>+IF('Data Pura Costos'!E1934="","",IF('Data Pura Costos'!E1934=0,MAX('Data Pura Costos'!$E$7:$E$3000)*1000,'Data Pura Costos'!E1934))</f>
        <v/>
      </c>
      <c r="F1934" s="5" t="str">
        <f>+IF('Data Pura Costos'!F1934="","",'Data Pura Costos'!F1934)</f>
        <v/>
      </c>
      <c r="G1934" s="5" t="str">
        <f>+IF('Data Pura Costos'!G1934="","",'Data Pura Costos'!G1934)</f>
        <v/>
      </c>
      <c r="H1934" s="52" t="str">
        <f>+IF('Data Pura Costos'!H1934="","",'Data Pura Costos'!H1934)</f>
        <v/>
      </c>
      <c r="I1934" s="71" t="str">
        <f>+IF('Data Pura Costos'!I1934="","",'Data Pura Costos'!I1934)</f>
        <v/>
      </c>
      <c r="J1934" s="52" t="str">
        <f>+IF('Data Pura Costos'!J1934="","",'Data Pura Costos'!J1934)</f>
        <v/>
      </c>
      <c r="K1934" s="82" t="str">
        <f t="shared" si="35"/>
        <v/>
      </c>
    </row>
    <row r="1935" spans="2:11" x14ac:dyDescent="0.35">
      <c r="B1935" s="4" t="str">
        <f>+IF('Data Pura Costos'!B1935="","",'Data Pura Costos'!B1935)</f>
        <v/>
      </c>
      <c r="C1935" s="4" t="str">
        <f>+IF('Data Pura Costos'!C1935="","",'Data Pura Costos'!C1935)</f>
        <v/>
      </c>
      <c r="D1935" s="5" t="str">
        <f>+IF('Data Pura Costos'!D1935="","",'Data Pura Costos'!D1935)</f>
        <v/>
      </c>
      <c r="E1935" s="65" t="str">
        <f>+IF('Data Pura Costos'!E1935="","",IF('Data Pura Costos'!E1935=0,MAX('Data Pura Costos'!$E$7:$E$3000)*1000,'Data Pura Costos'!E1935))</f>
        <v/>
      </c>
      <c r="F1935" s="5" t="str">
        <f>+IF('Data Pura Costos'!F1935="","",'Data Pura Costos'!F1935)</f>
        <v/>
      </c>
      <c r="G1935" s="5" t="str">
        <f>+IF('Data Pura Costos'!G1935="","",'Data Pura Costos'!G1935)</f>
        <v/>
      </c>
      <c r="H1935" s="52" t="str">
        <f>+IF('Data Pura Costos'!H1935="","",'Data Pura Costos'!H1935)</f>
        <v/>
      </c>
      <c r="I1935" s="71" t="str">
        <f>+IF('Data Pura Costos'!I1935="","",'Data Pura Costos'!I1935)</f>
        <v/>
      </c>
      <c r="J1935" s="52" t="str">
        <f>+IF('Data Pura Costos'!J1935="","",'Data Pura Costos'!J1935)</f>
        <v/>
      </c>
      <c r="K1935" s="82" t="str">
        <f t="shared" si="35"/>
        <v/>
      </c>
    </row>
    <row r="1936" spans="2:11" x14ac:dyDescent="0.35">
      <c r="B1936" s="4" t="str">
        <f>+IF('Data Pura Costos'!B1936="","",'Data Pura Costos'!B1936)</f>
        <v/>
      </c>
      <c r="C1936" s="4" t="str">
        <f>+IF('Data Pura Costos'!C1936="","",'Data Pura Costos'!C1936)</f>
        <v/>
      </c>
      <c r="D1936" s="5" t="str">
        <f>+IF('Data Pura Costos'!D1936="","",'Data Pura Costos'!D1936)</f>
        <v/>
      </c>
      <c r="E1936" s="65" t="str">
        <f>+IF('Data Pura Costos'!E1936="","",IF('Data Pura Costos'!E1936=0,MAX('Data Pura Costos'!$E$7:$E$3000)*1000,'Data Pura Costos'!E1936))</f>
        <v/>
      </c>
      <c r="F1936" s="5" t="str">
        <f>+IF('Data Pura Costos'!F1936="","",'Data Pura Costos'!F1936)</f>
        <v/>
      </c>
      <c r="G1936" s="5" t="str">
        <f>+IF('Data Pura Costos'!G1936="","",'Data Pura Costos'!G1936)</f>
        <v/>
      </c>
      <c r="H1936" s="52" t="str">
        <f>+IF('Data Pura Costos'!H1936="","",'Data Pura Costos'!H1936)</f>
        <v/>
      </c>
      <c r="I1936" s="71" t="str">
        <f>+IF('Data Pura Costos'!I1936="","",'Data Pura Costos'!I1936)</f>
        <v/>
      </c>
      <c r="J1936" s="52" t="str">
        <f>+IF('Data Pura Costos'!J1936="","",'Data Pura Costos'!J1936)</f>
        <v/>
      </c>
      <c r="K1936" s="82" t="str">
        <f t="shared" si="35"/>
        <v/>
      </c>
    </row>
    <row r="1937" spans="2:11" x14ac:dyDescent="0.35">
      <c r="B1937" s="4" t="str">
        <f>+IF('Data Pura Costos'!B1937="","",'Data Pura Costos'!B1937)</f>
        <v/>
      </c>
      <c r="C1937" s="4" t="str">
        <f>+IF('Data Pura Costos'!C1937="","",'Data Pura Costos'!C1937)</f>
        <v/>
      </c>
      <c r="D1937" s="5" t="str">
        <f>+IF('Data Pura Costos'!D1937="","",'Data Pura Costos'!D1937)</f>
        <v/>
      </c>
      <c r="E1937" s="65" t="str">
        <f>+IF('Data Pura Costos'!E1937="","",IF('Data Pura Costos'!E1937=0,MAX('Data Pura Costos'!$E$7:$E$3000)*1000,'Data Pura Costos'!E1937))</f>
        <v/>
      </c>
      <c r="F1937" s="5" t="str">
        <f>+IF('Data Pura Costos'!F1937="","",'Data Pura Costos'!F1937)</f>
        <v/>
      </c>
      <c r="G1937" s="5" t="str">
        <f>+IF('Data Pura Costos'!G1937="","",'Data Pura Costos'!G1937)</f>
        <v/>
      </c>
      <c r="H1937" s="52" t="str">
        <f>+IF('Data Pura Costos'!H1937="","",'Data Pura Costos'!H1937)</f>
        <v/>
      </c>
      <c r="I1937" s="71" t="str">
        <f>+IF('Data Pura Costos'!I1937="","",'Data Pura Costos'!I1937)</f>
        <v/>
      </c>
      <c r="J1937" s="52" t="str">
        <f>+IF('Data Pura Costos'!J1937="","",'Data Pura Costos'!J1937)</f>
        <v/>
      </c>
      <c r="K1937" s="82" t="str">
        <f t="shared" si="35"/>
        <v/>
      </c>
    </row>
    <row r="1938" spans="2:11" x14ac:dyDescent="0.35">
      <c r="B1938" s="4" t="str">
        <f>+IF('Data Pura Costos'!B1938="","",'Data Pura Costos'!B1938)</f>
        <v/>
      </c>
      <c r="C1938" s="4" t="str">
        <f>+IF('Data Pura Costos'!C1938="","",'Data Pura Costos'!C1938)</f>
        <v/>
      </c>
      <c r="D1938" s="5" t="str">
        <f>+IF('Data Pura Costos'!D1938="","",'Data Pura Costos'!D1938)</f>
        <v/>
      </c>
      <c r="E1938" s="65" t="str">
        <f>+IF('Data Pura Costos'!E1938="","",IF('Data Pura Costos'!E1938=0,MAX('Data Pura Costos'!$E$7:$E$3000)*1000,'Data Pura Costos'!E1938))</f>
        <v/>
      </c>
      <c r="F1938" s="5" t="str">
        <f>+IF('Data Pura Costos'!F1938="","",'Data Pura Costos'!F1938)</f>
        <v/>
      </c>
      <c r="G1938" s="5" t="str">
        <f>+IF('Data Pura Costos'!G1938="","",'Data Pura Costos'!G1938)</f>
        <v/>
      </c>
      <c r="H1938" s="52" t="str">
        <f>+IF('Data Pura Costos'!H1938="","",'Data Pura Costos'!H1938)</f>
        <v/>
      </c>
      <c r="I1938" s="71" t="str">
        <f>+IF('Data Pura Costos'!I1938="","",'Data Pura Costos'!I1938)</f>
        <v/>
      </c>
      <c r="J1938" s="52" t="str">
        <f>+IF('Data Pura Costos'!J1938="","",'Data Pura Costos'!J1938)</f>
        <v/>
      </c>
      <c r="K1938" s="82" t="str">
        <f t="shared" si="35"/>
        <v/>
      </c>
    </row>
    <row r="1939" spans="2:11" x14ac:dyDescent="0.35">
      <c r="B1939" s="4" t="str">
        <f>+IF('Data Pura Costos'!B1939="","",'Data Pura Costos'!B1939)</f>
        <v/>
      </c>
      <c r="C1939" s="4" t="str">
        <f>+IF('Data Pura Costos'!C1939="","",'Data Pura Costos'!C1939)</f>
        <v/>
      </c>
      <c r="D1939" s="5" t="str">
        <f>+IF('Data Pura Costos'!D1939="","",'Data Pura Costos'!D1939)</f>
        <v/>
      </c>
      <c r="E1939" s="65" t="str">
        <f>+IF('Data Pura Costos'!E1939="","",IF('Data Pura Costos'!E1939=0,MAX('Data Pura Costos'!$E$7:$E$3000)*1000,'Data Pura Costos'!E1939))</f>
        <v/>
      </c>
      <c r="F1939" s="5" t="str">
        <f>+IF('Data Pura Costos'!F1939="","",'Data Pura Costos'!F1939)</f>
        <v/>
      </c>
      <c r="G1939" s="5" t="str">
        <f>+IF('Data Pura Costos'!G1939="","",'Data Pura Costos'!G1939)</f>
        <v/>
      </c>
      <c r="H1939" s="52" t="str">
        <f>+IF('Data Pura Costos'!H1939="","",'Data Pura Costos'!H1939)</f>
        <v/>
      </c>
      <c r="I1939" s="71" t="str">
        <f>+IF('Data Pura Costos'!I1939="","",'Data Pura Costos'!I1939)</f>
        <v/>
      </c>
      <c r="J1939" s="52" t="str">
        <f>+IF('Data Pura Costos'!J1939="","",'Data Pura Costos'!J1939)</f>
        <v/>
      </c>
      <c r="K1939" s="82" t="str">
        <f t="shared" si="35"/>
        <v/>
      </c>
    </row>
    <row r="1940" spans="2:11" x14ac:dyDescent="0.35">
      <c r="B1940" s="4" t="str">
        <f>+IF('Data Pura Costos'!B1940="","",'Data Pura Costos'!B1940)</f>
        <v/>
      </c>
      <c r="C1940" s="4" t="str">
        <f>+IF('Data Pura Costos'!C1940="","",'Data Pura Costos'!C1940)</f>
        <v/>
      </c>
      <c r="D1940" s="5" t="str">
        <f>+IF('Data Pura Costos'!D1940="","",'Data Pura Costos'!D1940)</f>
        <v/>
      </c>
      <c r="E1940" s="65" t="str">
        <f>+IF('Data Pura Costos'!E1940="","",IF('Data Pura Costos'!E1940=0,MAX('Data Pura Costos'!$E$7:$E$3000)*1000,'Data Pura Costos'!E1940))</f>
        <v/>
      </c>
      <c r="F1940" s="5" t="str">
        <f>+IF('Data Pura Costos'!F1940="","",'Data Pura Costos'!F1940)</f>
        <v/>
      </c>
      <c r="G1940" s="5" t="str">
        <f>+IF('Data Pura Costos'!G1940="","",'Data Pura Costos'!G1940)</f>
        <v/>
      </c>
      <c r="H1940" s="52" t="str">
        <f>+IF('Data Pura Costos'!H1940="","",'Data Pura Costos'!H1940)</f>
        <v/>
      </c>
      <c r="I1940" s="71" t="str">
        <f>+IF('Data Pura Costos'!I1940="","",'Data Pura Costos'!I1940)</f>
        <v/>
      </c>
      <c r="J1940" s="52" t="str">
        <f>+IF('Data Pura Costos'!J1940="","",'Data Pura Costos'!J1940)</f>
        <v/>
      </c>
      <c r="K1940" s="82" t="str">
        <f t="shared" si="35"/>
        <v/>
      </c>
    </row>
    <row r="1941" spans="2:11" x14ac:dyDescent="0.35">
      <c r="B1941" s="4" t="str">
        <f>+IF('Data Pura Costos'!B1941="","",'Data Pura Costos'!B1941)</f>
        <v/>
      </c>
      <c r="C1941" s="4" t="str">
        <f>+IF('Data Pura Costos'!C1941="","",'Data Pura Costos'!C1941)</f>
        <v/>
      </c>
      <c r="D1941" s="5" t="str">
        <f>+IF('Data Pura Costos'!D1941="","",'Data Pura Costos'!D1941)</f>
        <v/>
      </c>
      <c r="E1941" s="65" t="str">
        <f>+IF('Data Pura Costos'!E1941="","",IF('Data Pura Costos'!E1941=0,MAX('Data Pura Costos'!$E$7:$E$3000)*1000,'Data Pura Costos'!E1941))</f>
        <v/>
      </c>
      <c r="F1941" s="5" t="str">
        <f>+IF('Data Pura Costos'!F1941="","",'Data Pura Costos'!F1941)</f>
        <v/>
      </c>
      <c r="G1941" s="5" t="str">
        <f>+IF('Data Pura Costos'!G1941="","",'Data Pura Costos'!G1941)</f>
        <v/>
      </c>
      <c r="H1941" s="52" t="str">
        <f>+IF('Data Pura Costos'!H1941="","",'Data Pura Costos'!H1941)</f>
        <v/>
      </c>
      <c r="I1941" s="71" t="str">
        <f>+IF('Data Pura Costos'!I1941="","",'Data Pura Costos'!I1941)</f>
        <v/>
      </c>
      <c r="J1941" s="52" t="str">
        <f>+IF('Data Pura Costos'!J1941="","",'Data Pura Costos'!J1941)</f>
        <v/>
      </c>
      <c r="K1941" s="82" t="str">
        <f t="shared" si="35"/>
        <v/>
      </c>
    </row>
    <row r="1942" spans="2:11" x14ac:dyDescent="0.35">
      <c r="B1942" s="4" t="str">
        <f>+IF('Data Pura Costos'!B1942="","",'Data Pura Costos'!B1942)</f>
        <v/>
      </c>
      <c r="C1942" s="4" t="str">
        <f>+IF('Data Pura Costos'!C1942="","",'Data Pura Costos'!C1942)</f>
        <v/>
      </c>
      <c r="D1942" s="5" t="str">
        <f>+IF('Data Pura Costos'!D1942="","",'Data Pura Costos'!D1942)</f>
        <v/>
      </c>
      <c r="E1942" s="65" t="str">
        <f>+IF('Data Pura Costos'!E1942="","",IF('Data Pura Costos'!E1942=0,MAX('Data Pura Costos'!$E$7:$E$3000)*1000,'Data Pura Costos'!E1942))</f>
        <v/>
      </c>
      <c r="F1942" s="5" t="str">
        <f>+IF('Data Pura Costos'!F1942="","",'Data Pura Costos'!F1942)</f>
        <v/>
      </c>
      <c r="G1942" s="5" t="str">
        <f>+IF('Data Pura Costos'!G1942="","",'Data Pura Costos'!G1942)</f>
        <v/>
      </c>
      <c r="H1942" s="52" t="str">
        <f>+IF('Data Pura Costos'!H1942="","",'Data Pura Costos'!H1942)</f>
        <v/>
      </c>
      <c r="I1942" s="71" t="str">
        <f>+IF('Data Pura Costos'!I1942="","",'Data Pura Costos'!I1942)</f>
        <v/>
      </c>
      <c r="J1942" s="52" t="str">
        <f>+IF('Data Pura Costos'!J1942="","",'Data Pura Costos'!J1942)</f>
        <v/>
      </c>
      <c r="K1942" s="82" t="str">
        <f t="shared" si="35"/>
        <v/>
      </c>
    </row>
    <row r="1943" spans="2:11" x14ac:dyDescent="0.35">
      <c r="B1943" s="4" t="str">
        <f>+IF('Data Pura Costos'!B1943="","",'Data Pura Costos'!B1943)</f>
        <v/>
      </c>
      <c r="C1943" s="4" t="str">
        <f>+IF('Data Pura Costos'!C1943="","",'Data Pura Costos'!C1943)</f>
        <v/>
      </c>
      <c r="D1943" s="5" t="str">
        <f>+IF('Data Pura Costos'!D1943="","",'Data Pura Costos'!D1943)</f>
        <v/>
      </c>
      <c r="E1943" s="65" t="str">
        <f>+IF('Data Pura Costos'!E1943="","",IF('Data Pura Costos'!E1943=0,MAX('Data Pura Costos'!$E$7:$E$3000)*1000,'Data Pura Costos'!E1943))</f>
        <v/>
      </c>
      <c r="F1943" s="5" t="str">
        <f>+IF('Data Pura Costos'!F1943="","",'Data Pura Costos'!F1943)</f>
        <v/>
      </c>
      <c r="G1943" s="5" t="str">
        <f>+IF('Data Pura Costos'!G1943="","",'Data Pura Costos'!G1943)</f>
        <v/>
      </c>
      <c r="H1943" s="52" t="str">
        <f>+IF('Data Pura Costos'!H1943="","",'Data Pura Costos'!H1943)</f>
        <v/>
      </c>
      <c r="I1943" s="71" t="str">
        <f>+IF('Data Pura Costos'!I1943="","",'Data Pura Costos'!I1943)</f>
        <v/>
      </c>
      <c r="J1943" s="52" t="str">
        <f>+IF('Data Pura Costos'!J1943="","",'Data Pura Costos'!J1943)</f>
        <v/>
      </c>
      <c r="K1943" s="82" t="str">
        <f t="shared" si="35"/>
        <v/>
      </c>
    </row>
    <row r="1944" spans="2:11" x14ac:dyDescent="0.35">
      <c r="B1944" s="4" t="str">
        <f>+IF('Data Pura Costos'!B1944="","",'Data Pura Costos'!B1944)</f>
        <v/>
      </c>
      <c r="C1944" s="4" t="str">
        <f>+IF('Data Pura Costos'!C1944="","",'Data Pura Costos'!C1944)</f>
        <v/>
      </c>
      <c r="D1944" s="5" t="str">
        <f>+IF('Data Pura Costos'!D1944="","",'Data Pura Costos'!D1944)</f>
        <v/>
      </c>
      <c r="E1944" s="65" t="str">
        <f>+IF('Data Pura Costos'!E1944="","",IF('Data Pura Costos'!E1944=0,MAX('Data Pura Costos'!$E$7:$E$3000)*1000,'Data Pura Costos'!E1944))</f>
        <v/>
      </c>
      <c r="F1944" s="5" t="str">
        <f>+IF('Data Pura Costos'!F1944="","",'Data Pura Costos'!F1944)</f>
        <v/>
      </c>
      <c r="G1944" s="5" t="str">
        <f>+IF('Data Pura Costos'!G1944="","",'Data Pura Costos'!G1944)</f>
        <v/>
      </c>
      <c r="H1944" s="52" t="str">
        <f>+IF('Data Pura Costos'!H1944="","",'Data Pura Costos'!H1944)</f>
        <v/>
      </c>
      <c r="I1944" s="71" t="str">
        <f>+IF('Data Pura Costos'!I1944="","",'Data Pura Costos'!I1944)</f>
        <v/>
      </c>
      <c r="J1944" s="52" t="str">
        <f>+IF('Data Pura Costos'!J1944="","",'Data Pura Costos'!J1944)</f>
        <v/>
      </c>
      <c r="K1944" s="82" t="str">
        <f t="shared" si="35"/>
        <v/>
      </c>
    </row>
    <row r="1945" spans="2:11" x14ac:dyDescent="0.35">
      <c r="B1945" s="4" t="str">
        <f>+IF('Data Pura Costos'!B1945="","",'Data Pura Costos'!B1945)</f>
        <v/>
      </c>
      <c r="C1945" s="4" t="str">
        <f>+IF('Data Pura Costos'!C1945="","",'Data Pura Costos'!C1945)</f>
        <v/>
      </c>
      <c r="D1945" s="5" t="str">
        <f>+IF('Data Pura Costos'!D1945="","",'Data Pura Costos'!D1945)</f>
        <v/>
      </c>
      <c r="E1945" s="65" t="str">
        <f>+IF('Data Pura Costos'!E1945="","",IF('Data Pura Costos'!E1945=0,MAX('Data Pura Costos'!$E$7:$E$3000)*1000,'Data Pura Costos'!E1945))</f>
        <v/>
      </c>
      <c r="F1945" s="5" t="str">
        <f>+IF('Data Pura Costos'!F1945="","",'Data Pura Costos'!F1945)</f>
        <v/>
      </c>
      <c r="G1945" s="5" t="str">
        <f>+IF('Data Pura Costos'!G1945="","",'Data Pura Costos'!G1945)</f>
        <v/>
      </c>
      <c r="H1945" s="52" t="str">
        <f>+IF('Data Pura Costos'!H1945="","",'Data Pura Costos'!H1945)</f>
        <v/>
      </c>
      <c r="I1945" s="71" t="str">
        <f>+IF('Data Pura Costos'!I1945="","",'Data Pura Costos'!I1945)</f>
        <v/>
      </c>
      <c r="J1945" s="52" t="str">
        <f>+IF('Data Pura Costos'!J1945="","",'Data Pura Costos'!J1945)</f>
        <v/>
      </c>
      <c r="K1945" s="82" t="str">
        <f t="shared" si="35"/>
        <v/>
      </c>
    </row>
    <row r="1946" spans="2:11" x14ac:dyDescent="0.35">
      <c r="B1946" s="4" t="str">
        <f>+IF('Data Pura Costos'!B1946="","",'Data Pura Costos'!B1946)</f>
        <v/>
      </c>
      <c r="C1946" s="4" t="str">
        <f>+IF('Data Pura Costos'!C1946="","",'Data Pura Costos'!C1946)</f>
        <v/>
      </c>
      <c r="D1946" s="5" t="str">
        <f>+IF('Data Pura Costos'!D1946="","",'Data Pura Costos'!D1946)</f>
        <v/>
      </c>
      <c r="E1946" s="65" t="str">
        <f>+IF('Data Pura Costos'!E1946="","",IF('Data Pura Costos'!E1946=0,MAX('Data Pura Costos'!$E$7:$E$3000)*1000,'Data Pura Costos'!E1946))</f>
        <v/>
      </c>
      <c r="F1946" s="5" t="str">
        <f>+IF('Data Pura Costos'!F1946="","",'Data Pura Costos'!F1946)</f>
        <v/>
      </c>
      <c r="G1946" s="5" t="str">
        <f>+IF('Data Pura Costos'!G1946="","",'Data Pura Costos'!G1946)</f>
        <v/>
      </c>
      <c r="H1946" s="52" t="str">
        <f>+IF('Data Pura Costos'!H1946="","",'Data Pura Costos'!H1946)</f>
        <v/>
      </c>
      <c r="I1946" s="71" t="str">
        <f>+IF('Data Pura Costos'!I1946="","",'Data Pura Costos'!I1946)</f>
        <v/>
      </c>
      <c r="J1946" s="52" t="str">
        <f>+IF('Data Pura Costos'!J1946="","",'Data Pura Costos'!J1946)</f>
        <v/>
      </c>
      <c r="K1946" s="82" t="str">
        <f t="shared" si="35"/>
        <v/>
      </c>
    </row>
    <row r="1947" spans="2:11" x14ac:dyDescent="0.35">
      <c r="B1947" s="4" t="str">
        <f>+IF('Data Pura Costos'!B1947="","",'Data Pura Costos'!B1947)</f>
        <v/>
      </c>
      <c r="C1947" s="4" t="str">
        <f>+IF('Data Pura Costos'!C1947="","",'Data Pura Costos'!C1947)</f>
        <v/>
      </c>
      <c r="D1947" s="5" t="str">
        <f>+IF('Data Pura Costos'!D1947="","",'Data Pura Costos'!D1947)</f>
        <v/>
      </c>
      <c r="E1947" s="65" t="str">
        <f>+IF('Data Pura Costos'!E1947="","",IF('Data Pura Costos'!E1947=0,MAX('Data Pura Costos'!$E$7:$E$3000)*1000,'Data Pura Costos'!E1947))</f>
        <v/>
      </c>
      <c r="F1947" s="5" t="str">
        <f>+IF('Data Pura Costos'!F1947="","",'Data Pura Costos'!F1947)</f>
        <v/>
      </c>
      <c r="G1947" s="5" t="str">
        <f>+IF('Data Pura Costos'!G1947="","",'Data Pura Costos'!G1947)</f>
        <v/>
      </c>
      <c r="H1947" s="52" t="str">
        <f>+IF('Data Pura Costos'!H1947="","",'Data Pura Costos'!H1947)</f>
        <v/>
      </c>
      <c r="I1947" s="71" t="str">
        <f>+IF('Data Pura Costos'!I1947="","",'Data Pura Costos'!I1947)</f>
        <v/>
      </c>
      <c r="J1947" s="52" t="str">
        <f>+IF('Data Pura Costos'!J1947="","",'Data Pura Costos'!J1947)</f>
        <v/>
      </c>
      <c r="K1947" s="82" t="str">
        <f t="shared" si="35"/>
        <v/>
      </c>
    </row>
    <row r="1948" spans="2:11" x14ac:dyDescent="0.35">
      <c r="B1948" s="4" t="str">
        <f>+IF('Data Pura Costos'!B1948="","",'Data Pura Costos'!B1948)</f>
        <v/>
      </c>
      <c r="C1948" s="4" t="str">
        <f>+IF('Data Pura Costos'!C1948="","",'Data Pura Costos'!C1948)</f>
        <v/>
      </c>
      <c r="D1948" s="5" t="str">
        <f>+IF('Data Pura Costos'!D1948="","",'Data Pura Costos'!D1948)</f>
        <v/>
      </c>
      <c r="E1948" s="65" t="str">
        <f>+IF('Data Pura Costos'!E1948="","",IF('Data Pura Costos'!E1948=0,MAX('Data Pura Costos'!$E$7:$E$3000)*1000,'Data Pura Costos'!E1948))</f>
        <v/>
      </c>
      <c r="F1948" s="5" t="str">
        <f>+IF('Data Pura Costos'!F1948="","",'Data Pura Costos'!F1948)</f>
        <v/>
      </c>
      <c r="G1948" s="5" t="str">
        <f>+IF('Data Pura Costos'!G1948="","",'Data Pura Costos'!G1948)</f>
        <v/>
      </c>
      <c r="H1948" s="52" t="str">
        <f>+IF('Data Pura Costos'!H1948="","",'Data Pura Costos'!H1948)</f>
        <v/>
      </c>
      <c r="I1948" s="71" t="str">
        <f>+IF('Data Pura Costos'!I1948="","",'Data Pura Costos'!I1948)</f>
        <v/>
      </c>
      <c r="J1948" s="52" t="str">
        <f>+IF('Data Pura Costos'!J1948="","",'Data Pura Costos'!J1948)</f>
        <v/>
      </c>
      <c r="K1948" s="82" t="str">
        <f t="shared" si="35"/>
        <v/>
      </c>
    </row>
    <row r="1949" spans="2:11" x14ac:dyDescent="0.35">
      <c r="B1949" s="4" t="str">
        <f>+IF('Data Pura Costos'!B1949="","",'Data Pura Costos'!B1949)</f>
        <v/>
      </c>
      <c r="C1949" s="4" t="str">
        <f>+IF('Data Pura Costos'!C1949="","",'Data Pura Costos'!C1949)</f>
        <v/>
      </c>
      <c r="D1949" s="5" t="str">
        <f>+IF('Data Pura Costos'!D1949="","",'Data Pura Costos'!D1949)</f>
        <v/>
      </c>
      <c r="E1949" s="65" t="str">
        <f>+IF('Data Pura Costos'!E1949="","",IF('Data Pura Costos'!E1949=0,MAX('Data Pura Costos'!$E$7:$E$3000)*1000,'Data Pura Costos'!E1949))</f>
        <v/>
      </c>
      <c r="F1949" s="5" t="str">
        <f>+IF('Data Pura Costos'!F1949="","",'Data Pura Costos'!F1949)</f>
        <v/>
      </c>
      <c r="G1949" s="5" t="str">
        <f>+IF('Data Pura Costos'!G1949="","",'Data Pura Costos'!G1949)</f>
        <v/>
      </c>
      <c r="H1949" s="52" t="str">
        <f>+IF('Data Pura Costos'!H1949="","",'Data Pura Costos'!H1949)</f>
        <v/>
      </c>
      <c r="I1949" s="71" t="str">
        <f>+IF('Data Pura Costos'!I1949="","",'Data Pura Costos'!I1949)</f>
        <v/>
      </c>
      <c r="J1949" s="52" t="str">
        <f>+IF('Data Pura Costos'!J1949="","",'Data Pura Costos'!J1949)</f>
        <v/>
      </c>
      <c r="K1949" s="82" t="str">
        <f t="shared" si="35"/>
        <v/>
      </c>
    </row>
    <row r="1950" spans="2:11" x14ac:dyDescent="0.35">
      <c r="B1950" s="4" t="str">
        <f>+IF('Data Pura Costos'!B1950="","",'Data Pura Costos'!B1950)</f>
        <v/>
      </c>
      <c r="C1950" s="4" t="str">
        <f>+IF('Data Pura Costos'!C1950="","",'Data Pura Costos'!C1950)</f>
        <v/>
      </c>
      <c r="D1950" s="5" t="str">
        <f>+IF('Data Pura Costos'!D1950="","",'Data Pura Costos'!D1950)</f>
        <v/>
      </c>
      <c r="E1950" s="65" t="str">
        <f>+IF('Data Pura Costos'!E1950="","",IF('Data Pura Costos'!E1950=0,MAX('Data Pura Costos'!$E$7:$E$3000)*1000,'Data Pura Costos'!E1950))</f>
        <v/>
      </c>
      <c r="F1950" s="5" t="str">
        <f>+IF('Data Pura Costos'!F1950="","",'Data Pura Costos'!F1950)</f>
        <v/>
      </c>
      <c r="G1950" s="5" t="str">
        <f>+IF('Data Pura Costos'!G1950="","",'Data Pura Costos'!G1950)</f>
        <v/>
      </c>
      <c r="H1950" s="52" t="str">
        <f>+IF('Data Pura Costos'!H1950="","",'Data Pura Costos'!H1950)</f>
        <v/>
      </c>
      <c r="I1950" s="71" t="str">
        <f>+IF('Data Pura Costos'!I1950="","",'Data Pura Costos'!I1950)</f>
        <v/>
      </c>
      <c r="J1950" s="52" t="str">
        <f>+IF('Data Pura Costos'!J1950="","",'Data Pura Costos'!J1950)</f>
        <v/>
      </c>
      <c r="K1950" s="82" t="str">
        <f t="shared" si="35"/>
        <v/>
      </c>
    </row>
    <row r="1951" spans="2:11" x14ac:dyDescent="0.35">
      <c r="B1951" s="4" t="str">
        <f>+IF('Data Pura Costos'!B1951="","",'Data Pura Costos'!B1951)</f>
        <v/>
      </c>
      <c r="C1951" s="4" t="str">
        <f>+IF('Data Pura Costos'!C1951="","",'Data Pura Costos'!C1951)</f>
        <v/>
      </c>
      <c r="D1951" s="5" t="str">
        <f>+IF('Data Pura Costos'!D1951="","",'Data Pura Costos'!D1951)</f>
        <v/>
      </c>
      <c r="E1951" s="65" t="str">
        <f>+IF('Data Pura Costos'!E1951="","",IF('Data Pura Costos'!E1951=0,MAX('Data Pura Costos'!$E$7:$E$3000)*1000,'Data Pura Costos'!E1951))</f>
        <v/>
      </c>
      <c r="F1951" s="5" t="str">
        <f>+IF('Data Pura Costos'!F1951="","",'Data Pura Costos'!F1951)</f>
        <v/>
      </c>
      <c r="G1951" s="5" t="str">
        <f>+IF('Data Pura Costos'!G1951="","",'Data Pura Costos'!G1951)</f>
        <v/>
      </c>
      <c r="H1951" s="52" t="str">
        <f>+IF('Data Pura Costos'!H1951="","",'Data Pura Costos'!H1951)</f>
        <v/>
      </c>
      <c r="I1951" s="71" t="str">
        <f>+IF('Data Pura Costos'!I1951="","",'Data Pura Costos'!I1951)</f>
        <v/>
      </c>
      <c r="J1951" s="52" t="str">
        <f>+IF('Data Pura Costos'!J1951="","",'Data Pura Costos'!J1951)</f>
        <v/>
      </c>
      <c r="K1951" s="82" t="str">
        <f t="shared" si="35"/>
        <v/>
      </c>
    </row>
    <row r="1952" spans="2:11" x14ac:dyDescent="0.35">
      <c r="B1952" s="4" t="str">
        <f>+IF('Data Pura Costos'!B1952="","",'Data Pura Costos'!B1952)</f>
        <v/>
      </c>
      <c r="C1952" s="4" t="str">
        <f>+IF('Data Pura Costos'!C1952="","",'Data Pura Costos'!C1952)</f>
        <v/>
      </c>
      <c r="D1952" s="5" t="str">
        <f>+IF('Data Pura Costos'!D1952="","",'Data Pura Costos'!D1952)</f>
        <v/>
      </c>
      <c r="E1952" s="65" t="str">
        <f>+IF('Data Pura Costos'!E1952="","",IF('Data Pura Costos'!E1952=0,MAX('Data Pura Costos'!$E$7:$E$3000)*1000,'Data Pura Costos'!E1952))</f>
        <v/>
      </c>
      <c r="F1952" s="5" t="str">
        <f>+IF('Data Pura Costos'!F1952="","",'Data Pura Costos'!F1952)</f>
        <v/>
      </c>
      <c r="G1952" s="5" t="str">
        <f>+IF('Data Pura Costos'!G1952="","",'Data Pura Costos'!G1952)</f>
        <v/>
      </c>
      <c r="H1952" s="52" t="str">
        <f>+IF('Data Pura Costos'!H1952="","",'Data Pura Costos'!H1952)</f>
        <v/>
      </c>
      <c r="I1952" s="71" t="str">
        <f>+IF('Data Pura Costos'!I1952="","",'Data Pura Costos'!I1952)</f>
        <v/>
      </c>
      <c r="J1952" s="52" t="str">
        <f>+IF('Data Pura Costos'!J1952="","",'Data Pura Costos'!J1952)</f>
        <v/>
      </c>
      <c r="K1952" s="82" t="str">
        <f t="shared" si="35"/>
        <v/>
      </c>
    </row>
    <row r="1953" spans="2:11" x14ac:dyDescent="0.35">
      <c r="B1953" s="4" t="str">
        <f>+IF('Data Pura Costos'!B1953="","",'Data Pura Costos'!B1953)</f>
        <v/>
      </c>
      <c r="C1953" s="4" t="str">
        <f>+IF('Data Pura Costos'!C1953="","",'Data Pura Costos'!C1953)</f>
        <v/>
      </c>
      <c r="D1953" s="5" t="str">
        <f>+IF('Data Pura Costos'!D1953="","",'Data Pura Costos'!D1953)</f>
        <v/>
      </c>
      <c r="E1953" s="65" t="str">
        <f>+IF('Data Pura Costos'!E1953="","",IF('Data Pura Costos'!E1953=0,MAX('Data Pura Costos'!$E$7:$E$3000)*1000,'Data Pura Costos'!E1953))</f>
        <v/>
      </c>
      <c r="F1953" s="5" t="str">
        <f>+IF('Data Pura Costos'!F1953="","",'Data Pura Costos'!F1953)</f>
        <v/>
      </c>
      <c r="G1953" s="5" t="str">
        <f>+IF('Data Pura Costos'!G1953="","",'Data Pura Costos'!G1953)</f>
        <v/>
      </c>
      <c r="H1953" s="52" t="str">
        <f>+IF('Data Pura Costos'!H1953="","",'Data Pura Costos'!H1953)</f>
        <v/>
      </c>
      <c r="I1953" s="71" t="str">
        <f>+IF('Data Pura Costos'!I1953="","",'Data Pura Costos'!I1953)</f>
        <v/>
      </c>
      <c r="J1953" s="52" t="str">
        <f>+IF('Data Pura Costos'!J1953="","",'Data Pura Costos'!J1953)</f>
        <v/>
      </c>
      <c r="K1953" s="82" t="str">
        <f t="shared" si="35"/>
        <v/>
      </c>
    </row>
    <row r="1954" spans="2:11" x14ac:dyDescent="0.35">
      <c r="B1954" s="4" t="str">
        <f>+IF('Data Pura Costos'!B1954="","",'Data Pura Costos'!B1954)</f>
        <v/>
      </c>
      <c r="C1954" s="4" t="str">
        <f>+IF('Data Pura Costos'!C1954="","",'Data Pura Costos'!C1954)</f>
        <v/>
      </c>
      <c r="D1954" s="5" t="str">
        <f>+IF('Data Pura Costos'!D1954="","",'Data Pura Costos'!D1954)</f>
        <v/>
      </c>
      <c r="E1954" s="65" t="str">
        <f>+IF('Data Pura Costos'!E1954="","",IF('Data Pura Costos'!E1954=0,MAX('Data Pura Costos'!$E$7:$E$3000)*1000,'Data Pura Costos'!E1954))</f>
        <v/>
      </c>
      <c r="F1954" s="5" t="str">
        <f>+IF('Data Pura Costos'!F1954="","",'Data Pura Costos'!F1954)</f>
        <v/>
      </c>
      <c r="G1954" s="5" t="str">
        <f>+IF('Data Pura Costos'!G1954="","",'Data Pura Costos'!G1954)</f>
        <v/>
      </c>
      <c r="H1954" s="52" t="str">
        <f>+IF('Data Pura Costos'!H1954="","",'Data Pura Costos'!H1954)</f>
        <v/>
      </c>
      <c r="I1954" s="71" t="str">
        <f>+IF('Data Pura Costos'!I1954="","",'Data Pura Costos'!I1954)</f>
        <v/>
      </c>
      <c r="J1954" s="52" t="str">
        <f>+IF('Data Pura Costos'!J1954="","",'Data Pura Costos'!J1954)</f>
        <v/>
      </c>
      <c r="K1954" s="82" t="str">
        <f t="shared" si="35"/>
        <v/>
      </c>
    </row>
    <row r="1955" spans="2:11" x14ac:dyDescent="0.35">
      <c r="B1955" s="4" t="str">
        <f>+IF('Data Pura Costos'!B1955="","",'Data Pura Costos'!B1955)</f>
        <v/>
      </c>
      <c r="C1955" s="4" t="str">
        <f>+IF('Data Pura Costos'!C1955="","",'Data Pura Costos'!C1955)</f>
        <v/>
      </c>
      <c r="D1955" s="5" t="str">
        <f>+IF('Data Pura Costos'!D1955="","",'Data Pura Costos'!D1955)</f>
        <v/>
      </c>
      <c r="E1955" s="65" t="str">
        <f>+IF('Data Pura Costos'!E1955="","",IF('Data Pura Costos'!E1955=0,MAX('Data Pura Costos'!$E$7:$E$3000)*1000,'Data Pura Costos'!E1955))</f>
        <v/>
      </c>
      <c r="F1955" s="5" t="str">
        <f>+IF('Data Pura Costos'!F1955="","",'Data Pura Costos'!F1955)</f>
        <v/>
      </c>
      <c r="G1955" s="5" t="str">
        <f>+IF('Data Pura Costos'!G1955="","",'Data Pura Costos'!G1955)</f>
        <v/>
      </c>
      <c r="H1955" s="52" t="str">
        <f>+IF('Data Pura Costos'!H1955="","",'Data Pura Costos'!H1955)</f>
        <v/>
      </c>
      <c r="I1955" s="71" t="str">
        <f>+IF('Data Pura Costos'!I1955="","",'Data Pura Costos'!I1955)</f>
        <v/>
      </c>
      <c r="J1955" s="52" t="str">
        <f>+IF('Data Pura Costos'!J1955="","",'Data Pura Costos'!J1955)</f>
        <v/>
      </c>
      <c r="K1955" s="82" t="str">
        <f t="shared" si="35"/>
        <v/>
      </c>
    </row>
    <row r="1956" spans="2:11" x14ac:dyDescent="0.35">
      <c r="B1956" s="4" t="str">
        <f>+IF('Data Pura Costos'!B1956="","",'Data Pura Costos'!B1956)</f>
        <v/>
      </c>
      <c r="C1956" s="4" t="str">
        <f>+IF('Data Pura Costos'!C1956="","",'Data Pura Costos'!C1956)</f>
        <v/>
      </c>
      <c r="D1956" s="5" t="str">
        <f>+IF('Data Pura Costos'!D1956="","",'Data Pura Costos'!D1956)</f>
        <v/>
      </c>
      <c r="E1956" s="65" t="str">
        <f>+IF('Data Pura Costos'!E1956="","",IF('Data Pura Costos'!E1956=0,MAX('Data Pura Costos'!$E$7:$E$3000)*1000,'Data Pura Costos'!E1956))</f>
        <v/>
      </c>
      <c r="F1956" s="5" t="str">
        <f>+IF('Data Pura Costos'!F1956="","",'Data Pura Costos'!F1956)</f>
        <v/>
      </c>
      <c r="G1956" s="5" t="str">
        <f>+IF('Data Pura Costos'!G1956="","",'Data Pura Costos'!G1956)</f>
        <v/>
      </c>
      <c r="H1956" s="52" t="str">
        <f>+IF('Data Pura Costos'!H1956="","",'Data Pura Costos'!H1956)</f>
        <v/>
      </c>
      <c r="I1956" s="71" t="str">
        <f>+IF('Data Pura Costos'!I1956="","",'Data Pura Costos'!I1956)</f>
        <v/>
      </c>
      <c r="J1956" s="52" t="str">
        <f>+IF('Data Pura Costos'!J1956="","",'Data Pura Costos'!J1956)</f>
        <v/>
      </c>
      <c r="K1956" s="82" t="str">
        <f t="shared" si="35"/>
        <v/>
      </c>
    </row>
    <row r="1957" spans="2:11" x14ac:dyDescent="0.35">
      <c r="B1957" s="4" t="str">
        <f>+IF('Data Pura Costos'!B1957="","",'Data Pura Costos'!B1957)</f>
        <v/>
      </c>
      <c r="C1957" s="4" t="str">
        <f>+IF('Data Pura Costos'!C1957="","",'Data Pura Costos'!C1957)</f>
        <v/>
      </c>
      <c r="D1957" s="5" t="str">
        <f>+IF('Data Pura Costos'!D1957="","",'Data Pura Costos'!D1957)</f>
        <v/>
      </c>
      <c r="E1957" s="65" t="str">
        <f>+IF('Data Pura Costos'!E1957="","",IF('Data Pura Costos'!E1957=0,MAX('Data Pura Costos'!$E$7:$E$3000)*1000,'Data Pura Costos'!E1957))</f>
        <v/>
      </c>
      <c r="F1957" s="5" t="str">
        <f>+IF('Data Pura Costos'!F1957="","",'Data Pura Costos'!F1957)</f>
        <v/>
      </c>
      <c r="G1957" s="5" t="str">
        <f>+IF('Data Pura Costos'!G1957="","",'Data Pura Costos'!G1957)</f>
        <v/>
      </c>
      <c r="H1957" s="52" t="str">
        <f>+IF('Data Pura Costos'!H1957="","",'Data Pura Costos'!H1957)</f>
        <v/>
      </c>
      <c r="I1957" s="71" t="str">
        <f>+IF('Data Pura Costos'!I1957="","",'Data Pura Costos'!I1957)</f>
        <v/>
      </c>
      <c r="J1957" s="52" t="str">
        <f>+IF('Data Pura Costos'!J1957="","",'Data Pura Costos'!J1957)</f>
        <v/>
      </c>
      <c r="K1957" s="82" t="str">
        <f t="shared" si="35"/>
        <v/>
      </c>
    </row>
    <row r="1958" spans="2:11" x14ac:dyDescent="0.35">
      <c r="B1958" s="4" t="str">
        <f>+IF('Data Pura Costos'!B1958="","",'Data Pura Costos'!B1958)</f>
        <v/>
      </c>
      <c r="C1958" s="4" t="str">
        <f>+IF('Data Pura Costos'!C1958="","",'Data Pura Costos'!C1958)</f>
        <v/>
      </c>
      <c r="D1958" s="5" t="str">
        <f>+IF('Data Pura Costos'!D1958="","",'Data Pura Costos'!D1958)</f>
        <v/>
      </c>
      <c r="E1958" s="65" t="str">
        <f>+IF('Data Pura Costos'!E1958="","",IF('Data Pura Costos'!E1958=0,MAX('Data Pura Costos'!$E$7:$E$3000)*1000,'Data Pura Costos'!E1958))</f>
        <v/>
      </c>
      <c r="F1958" s="5" t="str">
        <f>+IF('Data Pura Costos'!F1958="","",'Data Pura Costos'!F1958)</f>
        <v/>
      </c>
      <c r="G1958" s="5" t="str">
        <f>+IF('Data Pura Costos'!G1958="","",'Data Pura Costos'!G1958)</f>
        <v/>
      </c>
      <c r="H1958" s="52" t="str">
        <f>+IF('Data Pura Costos'!H1958="","",'Data Pura Costos'!H1958)</f>
        <v/>
      </c>
      <c r="I1958" s="71" t="str">
        <f>+IF('Data Pura Costos'!I1958="","",'Data Pura Costos'!I1958)</f>
        <v/>
      </c>
      <c r="J1958" s="52" t="str">
        <f>+IF('Data Pura Costos'!J1958="","",'Data Pura Costos'!J1958)</f>
        <v/>
      </c>
      <c r="K1958" s="82" t="str">
        <f t="shared" si="35"/>
        <v/>
      </c>
    </row>
    <row r="1959" spans="2:11" x14ac:dyDescent="0.35">
      <c r="B1959" s="4" t="str">
        <f>+IF('Data Pura Costos'!B1959="","",'Data Pura Costos'!B1959)</f>
        <v/>
      </c>
      <c r="C1959" s="4" t="str">
        <f>+IF('Data Pura Costos'!C1959="","",'Data Pura Costos'!C1959)</f>
        <v/>
      </c>
      <c r="D1959" s="5" t="str">
        <f>+IF('Data Pura Costos'!D1959="","",'Data Pura Costos'!D1959)</f>
        <v/>
      </c>
      <c r="E1959" s="65" t="str">
        <f>+IF('Data Pura Costos'!E1959="","",IF('Data Pura Costos'!E1959=0,MAX('Data Pura Costos'!$E$7:$E$3000)*1000,'Data Pura Costos'!E1959))</f>
        <v/>
      </c>
      <c r="F1959" s="5" t="str">
        <f>+IF('Data Pura Costos'!F1959="","",'Data Pura Costos'!F1959)</f>
        <v/>
      </c>
      <c r="G1959" s="5" t="str">
        <f>+IF('Data Pura Costos'!G1959="","",'Data Pura Costos'!G1959)</f>
        <v/>
      </c>
      <c r="H1959" s="52" t="str">
        <f>+IF('Data Pura Costos'!H1959="","",'Data Pura Costos'!H1959)</f>
        <v/>
      </c>
      <c r="I1959" s="71" t="str">
        <f>+IF('Data Pura Costos'!I1959="","",'Data Pura Costos'!I1959)</f>
        <v/>
      </c>
      <c r="J1959" s="52" t="str">
        <f>+IF('Data Pura Costos'!J1959="","",'Data Pura Costos'!J1959)</f>
        <v/>
      </c>
      <c r="K1959" s="82" t="str">
        <f t="shared" si="35"/>
        <v/>
      </c>
    </row>
    <row r="1960" spans="2:11" x14ac:dyDescent="0.35">
      <c r="B1960" s="4" t="str">
        <f>+IF('Data Pura Costos'!B1960="","",'Data Pura Costos'!B1960)</f>
        <v/>
      </c>
      <c r="C1960" s="4" t="str">
        <f>+IF('Data Pura Costos'!C1960="","",'Data Pura Costos'!C1960)</f>
        <v/>
      </c>
      <c r="D1960" s="5" t="str">
        <f>+IF('Data Pura Costos'!D1960="","",'Data Pura Costos'!D1960)</f>
        <v/>
      </c>
      <c r="E1960" s="65" t="str">
        <f>+IF('Data Pura Costos'!E1960="","",IF('Data Pura Costos'!E1960=0,MAX('Data Pura Costos'!$E$7:$E$3000)*1000,'Data Pura Costos'!E1960))</f>
        <v/>
      </c>
      <c r="F1960" s="5" t="str">
        <f>+IF('Data Pura Costos'!F1960="","",'Data Pura Costos'!F1960)</f>
        <v/>
      </c>
      <c r="G1960" s="5" t="str">
        <f>+IF('Data Pura Costos'!G1960="","",'Data Pura Costos'!G1960)</f>
        <v/>
      </c>
      <c r="H1960" s="52" t="str">
        <f>+IF('Data Pura Costos'!H1960="","",'Data Pura Costos'!H1960)</f>
        <v/>
      </c>
      <c r="I1960" s="71" t="str">
        <f>+IF('Data Pura Costos'!I1960="","",'Data Pura Costos'!I1960)</f>
        <v/>
      </c>
      <c r="J1960" s="52" t="str">
        <f>+IF('Data Pura Costos'!J1960="","",'Data Pura Costos'!J1960)</f>
        <v/>
      </c>
      <c r="K1960" s="82" t="str">
        <f t="shared" si="35"/>
        <v/>
      </c>
    </row>
    <row r="1961" spans="2:11" x14ac:dyDescent="0.35">
      <c r="B1961" s="4" t="str">
        <f>+IF('Data Pura Costos'!B1961="","",'Data Pura Costos'!B1961)</f>
        <v/>
      </c>
      <c r="C1961" s="4" t="str">
        <f>+IF('Data Pura Costos'!C1961="","",'Data Pura Costos'!C1961)</f>
        <v/>
      </c>
      <c r="D1961" s="5" t="str">
        <f>+IF('Data Pura Costos'!D1961="","",'Data Pura Costos'!D1961)</f>
        <v/>
      </c>
      <c r="E1961" s="65" t="str">
        <f>+IF('Data Pura Costos'!E1961="","",IF('Data Pura Costos'!E1961=0,MAX('Data Pura Costos'!$E$7:$E$3000)*1000,'Data Pura Costos'!E1961))</f>
        <v/>
      </c>
      <c r="F1961" s="5" t="str">
        <f>+IF('Data Pura Costos'!F1961="","",'Data Pura Costos'!F1961)</f>
        <v/>
      </c>
      <c r="G1961" s="5" t="str">
        <f>+IF('Data Pura Costos'!G1961="","",'Data Pura Costos'!G1961)</f>
        <v/>
      </c>
      <c r="H1961" s="52" t="str">
        <f>+IF('Data Pura Costos'!H1961="","",'Data Pura Costos'!H1961)</f>
        <v/>
      </c>
      <c r="I1961" s="71" t="str">
        <f>+IF('Data Pura Costos'!I1961="","",'Data Pura Costos'!I1961)</f>
        <v/>
      </c>
      <c r="J1961" s="52" t="str">
        <f>+IF('Data Pura Costos'!J1961="","",'Data Pura Costos'!J1961)</f>
        <v/>
      </c>
      <c r="K1961" s="82" t="str">
        <f t="shared" si="35"/>
        <v/>
      </c>
    </row>
    <row r="1962" spans="2:11" x14ac:dyDescent="0.35">
      <c r="B1962" s="4" t="str">
        <f>+IF('Data Pura Costos'!B1962="","",'Data Pura Costos'!B1962)</f>
        <v/>
      </c>
      <c r="C1962" s="4" t="str">
        <f>+IF('Data Pura Costos'!C1962="","",'Data Pura Costos'!C1962)</f>
        <v/>
      </c>
      <c r="D1962" s="5" t="str">
        <f>+IF('Data Pura Costos'!D1962="","",'Data Pura Costos'!D1962)</f>
        <v/>
      </c>
      <c r="E1962" s="65" t="str">
        <f>+IF('Data Pura Costos'!E1962="","",IF('Data Pura Costos'!E1962=0,MAX('Data Pura Costos'!$E$7:$E$3000)*1000,'Data Pura Costos'!E1962))</f>
        <v/>
      </c>
      <c r="F1962" s="5" t="str">
        <f>+IF('Data Pura Costos'!F1962="","",'Data Pura Costos'!F1962)</f>
        <v/>
      </c>
      <c r="G1962" s="5" t="str">
        <f>+IF('Data Pura Costos'!G1962="","",'Data Pura Costos'!G1962)</f>
        <v/>
      </c>
      <c r="H1962" s="52" t="str">
        <f>+IF('Data Pura Costos'!H1962="","",'Data Pura Costos'!H1962)</f>
        <v/>
      </c>
      <c r="I1962" s="71" t="str">
        <f>+IF('Data Pura Costos'!I1962="","",'Data Pura Costos'!I1962)</f>
        <v/>
      </c>
      <c r="J1962" s="52" t="str">
        <f>+IF('Data Pura Costos'!J1962="","",'Data Pura Costos'!J1962)</f>
        <v/>
      </c>
      <c r="K1962" s="82" t="str">
        <f t="shared" si="35"/>
        <v/>
      </c>
    </row>
    <row r="1963" spans="2:11" x14ac:dyDescent="0.35">
      <c r="B1963" s="4" t="str">
        <f>+IF('Data Pura Costos'!B1963="","",'Data Pura Costos'!B1963)</f>
        <v/>
      </c>
      <c r="C1963" s="4" t="str">
        <f>+IF('Data Pura Costos'!C1963="","",'Data Pura Costos'!C1963)</f>
        <v/>
      </c>
      <c r="D1963" s="5" t="str">
        <f>+IF('Data Pura Costos'!D1963="","",'Data Pura Costos'!D1963)</f>
        <v/>
      </c>
      <c r="E1963" s="65" t="str">
        <f>+IF('Data Pura Costos'!E1963="","",IF('Data Pura Costos'!E1963=0,MAX('Data Pura Costos'!$E$7:$E$3000)*1000,'Data Pura Costos'!E1963))</f>
        <v/>
      </c>
      <c r="F1963" s="5" t="str">
        <f>+IF('Data Pura Costos'!F1963="","",'Data Pura Costos'!F1963)</f>
        <v/>
      </c>
      <c r="G1963" s="5" t="str">
        <f>+IF('Data Pura Costos'!G1963="","",'Data Pura Costos'!G1963)</f>
        <v/>
      </c>
      <c r="H1963" s="52" t="str">
        <f>+IF('Data Pura Costos'!H1963="","",'Data Pura Costos'!H1963)</f>
        <v/>
      </c>
      <c r="I1963" s="71" t="str">
        <f>+IF('Data Pura Costos'!I1963="","",'Data Pura Costos'!I1963)</f>
        <v/>
      </c>
      <c r="J1963" s="52" t="str">
        <f>+IF('Data Pura Costos'!J1963="","",'Data Pura Costos'!J1963)</f>
        <v/>
      </c>
      <c r="K1963" s="82" t="str">
        <f t="shared" si="35"/>
        <v/>
      </c>
    </row>
    <row r="1964" spans="2:11" x14ac:dyDescent="0.35">
      <c r="B1964" s="4" t="str">
        <f>+IF('Data Pura Costos'!B1964="","",'Data Pura Costos'!B1964)</f>
        <v/>
      </c>
      <c r="C1964" s="4" t="str">
        <f>+IF('Data Pura Costos'!C1964="","",'Data Pura Costos'!C1964)</f>
        <v/>
      </c>
      <c r="D1964" s="5" t="str">
        <f>+IF('Data Pura Costos'!D1964="","",'Data Pura Costos'!D1964)</f>
        <v/>
      </c>
      <c r="E1964" s="65" t="str">
        <f>+IF('Data Pura Costos'!E1964="","",IF('Data Pura Costos'!E1964=0,MAX('Data Pura Costos'!$E$7:$E$3000)*1000,'Data Pura Costos'!E1964))</f>
        <v/>
      </c>
      <c r="F1964" s="5" t="str">
        <f>+IF('Data Pura Costos'!F1964="","",'Data Pura Costos'!F1964)</f>
        <v/>
      </c>
      <c r="G1964" s="5" t="str">
        <f>+IF('Data Pura Costos'!G1964="","",'Data Pura Costos'!G1964)</f>
        <v/>
      </c>
      <c r="H1964" s="52" t="str">
        <f>+IF('Data Pura Costos'!H1964="","",'Data Pura Costos'!H1964)</f>
        <v/>
      </c>
      <c r="I1964" s="71" t="str">
        <f>+IF('Data Pura Costos'!I1964="","",'Data Pura Costos'!I1964)</f>
        <v/>
      </c>
      <c r="J1964" s="52" t="str">
        <f>+IF('Data Pura Costos'!J1964="","",'Data Pura Costos'!J1964)</f>
        <v/>
      </c>
      <c r="K1964" s="82" t="str">
        <f t="shared" si="35"/>
        <v/>
      </c>
    </row>
    <row r="1965" spans="2:11" x14ac:dyDescent="0.35">
      <c r="B1965" s="4" t="str">
        <f>+IF('Data Pura Costos'!B1965="","",'Data Pura Costos'!B1965)</f>
        <v/>
      </c>
      <c r="C1965" s="4" t="str">
        <f>+IF('Data Pura Costos'!C1965="","",'Data Pura Costos'!C1965)</f>
        <v/>
      </c>
      <c r="D1965" s="5" t="str">
        <f>+IF('Data Pura Costos'!D1965="","",'Data Pura Costos'!D1965)</f>
        <v/>
      </c>
      <c r="E1965" s="65" t="str">
        <f>+IF('Data Pura Costos'!E1965="","",IF('Data Pura Costos'!E1965=0,MAX('Data Pura Costos'!$E$7:$E$3000)*1000,'Data Pura Costos'!E1965))</f>
        <v/>
      </c>
      <c r="F1965" s="5" t="str">
        <f>+IF('Data Pura Costos'!F1965="","",'Data Pura Costos'!F1965)</f>
        <v/>
      </c>
      <c r="G1965" s="5" t="str">
        <f>+IF('Data Pura Costos'!G1965="","",'Data Pura Costos'!G1965)</f>
        <v/>
      </c>
      <c r="H1965" s="52" t="str">
        <f>+IF('Data Pura Costos'!H1965="","",'Data Pura Costos'!H1965)</f>
        <v/>
      </c>
      <c r="I1965" s="71" t="str">
        <f>+IF('Data Pura Costos'!I1965="","",'Data Pura Costos'!I1965)</f>
        <v/>
      </c>
      <c r="J1965" s="52" t="str">
        <f>+IF('Data Pura Costos'!J1965="","",'Data Pura Costos'!J1965)</f>
        <v/>
      </c>
      <c r="K1965" s="82" t="str">
        <f t="shared" si="35"/>
        <v/>
      </c>
    </row>
    <row r="1966" spans="2:11" x14ac:dyDescent="0.35">
      <c r="B1966" s="4" t="str">
        <f>+IF('Data Pura Costos'!B1966="","",'Data Pura Costos'!B1966)</f>
        <v/>
      </c>
      <c r="C1966" s="4" t="str">
        <f>+IF('Data Pura Costos'!C1966="","",'Data Pura Costos'!C1966)</f>
        <v/>
      </c>
      <c r="D1966" s="5" t="str">
        <f>+IF('Data Pura Costos'!D1966="","",'Data Pura Costos'!D1966)</f>
        <v/>
      </c>
      <c r="E1966" s="65" t="str">
        <f>+IF('Data Pura Costos'!E1966="","",IF('Data Pura Costos'!E1966=0,MAX('Data Pura Costos'!$E$7:$E$3000)*1000,'Data Pura Costos'!E1966))</f>
        <v/>
      </c>
      <c r="F1966" s="5" t="str">
        <f>+IF('Data Pura Costos'!F1966="","",'Data Pura Costos'!F1966)</f>
        <v/>
      </c>
      <c r="G1966" s="5" t="str">
        <f>+IF('Data Pura Costos'!G1966="","",'Data Pura Costos'!G1966)</f>
        <v/>
      </c>
      <c r="H1966" s="52" t="str">
        <f>+IF('Data Pura Costos'!H1966="","",'Data Pura Costos'!H1966)</f>
        <v/>
      </c>
      <c r="I1966" s="71" t="str">
        <f>+IF('Data Pura Costos'!I1966="","",'Data Pura Costos'!I1966)</f>
        <v/>
      </c>
      <c r="J1966" s="52" t="str">
        <f>+IF('Data Pura Costos'!J1966="","",'Data Pura Costos'!J1966)</f>
        <v/>
      </c>
      <c r="K1966" s="82" t="str">
        <f t="shared" si="35"/>
        <v/>
      </c>
    </row>
    <row r="1967" spans="2:11" x14ac:dyDescent="0.35">
      <c r="B1967" s="4" t="str">
        <f>+IF('Data Pura Costos'!B1967="","",'Data Pura Costos'!B1967)</f>
        <v/>
      </c>
      <c r="C1967" s="4" t="str">
        <f>+IF('Data Pura Costos'!C1967="","",'Data Pura Costos'!C1967)</f>
        <v/>
      </c>
      <c r="D1967" s="5" t="str">
        <f>+IF('Data Pura Costos'!D1967="","",'Data Pura Costos'!D1967)</f>
        <v/>
      </c>
      <c r="E1967" s="65" t="str">
        <f>+IF('Data Pura Costos'!E1967="","",IF('Data Pura Costos'!E1967=0,MAX('Data Pura Costos'!$E$7:$E$3000)*1000,'Data Pura Costos'!E1967))</f>
        <v/>
      </c>
      <c r="F1967" s="5" t="str">
        <f>+IF('Data Pura Costos'!F1967="","",'Data Pura Costos'!F1967)</f>
        <v/>
      </c>
      <c r="G1967" s="5" t="str">
        <f>+IF('Data Pura Costos'!G1967="","",'Data Pura Costos'!G1967)</f>
        <v/>
      </c>
      <c r="H1967" s="52" t="str">
        <f>+IF('Data Pura Costos'!H1967="","",'Data Pura Costos'!H1967)</f>
        <v/>
      </c>
      <c r="I1967" s="71" t="str">
        <f>+IF('Data Pura Costos'!I1967="","",'Data Pura Costos'!I1967)</f>
        <v/>
      </c>
      <c r="J1967" s="52" t="str">
        <f>+IF('Data Pura Costos'!J1967="","",'Data Pura Costos'!J1967)</f>
        <v/>
      </c>
      <c r="K1967" s="82" t="str">
        <f t="shared" si="35"/>
        <v/>
      </c>
    </row>
    <row r="1968" spans="2:11" x14ac:dyDescent="0.35">
      <c r="B1968" s="4" t="str">
        <f>+IF('Data Pura Costos'!B1968="","",'Data Pura Costos'!B1968)</f>
        <v/>
      </c>
      <c r="C1968" s="4" t="str">
        <f>+IF('Data Pura Costos'!C1968="","",'Data Pura Costos'!C1968)</f>
        <v/>
      </c>
      <c r="D1968" s="5" t="str">
        <f>+IF('Data Pura Costos'!D1968="","",'Data Pura Costos'!D1968)</f>
        <v/>
      </c>
      <c r="E1968" s="65" t="str">
        <f>+IF('Data Pura Costos'!E1968="","",IF('Data Pura Costos'!E1968=0,MAX('Data Pura Costos'!$E$7:$E$3000)*1000,'Data Pura Costos'!E1968))</f>
        <v/>
      </c>
      <c r="F1968" s="5" t="str">
        <f>+IF('Data Pura Costos'!F1968="","",'Data Pura Costos'!F1968)</f>
        <v/>
      </c>
      <c r="G1968" s="5" t="str">
        <f>+IF('Data Pura Costos'!G1968="","",'Data Pura Costos'!G1968)</f>
        <v/>
      </c>
      <c r="H1968" s="52" t="str">
        <f>+IF('Data Pura Costos'!H1968="","",'Data Pura Costos'!H1968)</f>
        <v/>
      </c>
      <c r="I1968" s="71" t="str">
        <f>+IF('Data Pura Costos'!I1968="","",'Data Pura Costos'!I1968)</f>
        <v/>
      </c>
      <c r="J1968" s="52" t="str">
        <f>+IF('Data Pura Costos'!J1968="","",'Data Pura Costos'!J1968)</f>
        <v/>
      </c>
      <c r="K1968" s="82" t="str">
        <f t="shared" si="35"/>
        <v/>
      </c>
    </row>
    <row r="1969" spans="2:11" x14ac:dyDescent="0.35">
      <c r="B1969" s="4" t="str">
        <f>+IF('Data Pura Costos'!B1969="","",'Data Pura Costos'!B1969)</f>
        <v/>
      </c>
      <c r="C1969" s="4" t="str">
        <f>+IF('Data Pura Costos'!C1969="","",'Data Pura Costos'!C1969)</f>
        <v/>
      </c>
      <c r="D1969" s="5" t="str">
        <f>+IF('Data Pura Costos'!D1969="","",'Data Pura Costos'!D1969)</f>
        <v/>
      </c>
      <c r="E1969" s="65" t="str">
        <f>+IF('Data Pura Costos'!E1969="","",IF('Data Pura Costos'!E1969=0,MAX('Data Pura Costos'!$E$7:$E$3000)*1000,'Data Pura Costos'!E1969))</f>
        <v/>
      </c>
      <c r="F1969" s="5" t="str">
        <f>+IF('Data Pura Costos'!F1969="","",'Data Pura Costos'!F1969)</f>
        <v/>
      </c>
      <c r="G1969" s="5" t="str">
        <f>+IF('Data Pura Costos'!G1969="","",'Data Pura Costos'!G1969)</f>
        <v/>
      </c>
      <c r="H1969" s="52" t="str">
        <f>+IF('Data Pura Costos'!H1969="","",'Data Pura Costos'!H1969)</f>
        <v/>
      </c>
      <c r="I1969" s="71" t="str">
        <f>+IF('Data Pura Costos'!I1969="","",'Data Pura Costos'!I1969)</f>
        <v/>
      </c>
      <c r="J1969" s="52" t="str">
        <f>+IF('Data Pura Costos'!J1969="","",'Data Pura Costos'!J1969)</f>
        <v/>
      </c>
      <c r="K1969" s="82" t="str">
        <f t="shared" si="35"/>
        <v/>
      </c>
    </row>
    <row r="1970" spans="2:11" x14ac:dyDescent="0.35">
      <c r="B1970" s="4" t="str">
        <f>+IF('Data Pura Costos'!B1970="","",'Data Pura Costos'!B1970)</f>
        <v/>
      </c>
      <c r="C1970" s="4" t="str">
        <f>+IF('Data Pura Costos'!C1970="","",'Data Pura Costos'!C1970)</f>
        <v/>
      </c>
      <c r="D1970" s="5" t="str">
        <f>+IF('Data Pura Costos'!D1970="","",'Data Pura Costos'!D1970)</f>
        <v/>
      </c>
      <c r="E1970" s="65" t="str">
        <f>+IF('Data Pura Costos'!E1970="","",IF('Data Pura Costos'!E1970=0,MAX('Data Pura Costos'!$E$7:$E$3000)*1000,'Data Pura Costos'!E1970))</f>
        <v/>
      </c>
      <c r="F1970" s="5" t="str">
        <f>+IF('Data Pura Costos'!F1970="","",'Data Pura Costos'!F1970)</f>
        <v/>
      </c>
      <c r="G1970" s="5" t="str">
        <f>+IF('Data Pura Costos'!G1970="","",'Data Pura Costos'!G1970)</f>
        <v/>
      </c>
      <c r="H1970" s="52" t="str">
        <f>+IF('Data Pura Costos'!H1970="","",'Data Pura Costos'!H1970)</f>
        <v/>
      </c>
      <c r="I1970" s="71" t="str">
        <f>+IF('Data Pura Costos'!I1970="","",'Data Pura Costos'!I1970)</f>
        <v/>
      </c>
      <c r="J1970" s="52" t="str">
        <f>+IF('Data Pura Costos'!J1970="","",'Data Pura Costos'!J1970)</f>
        <v/>
      </c>
      <c r="K1970" s="82" t="str">
        <f t="shared" si="35"/>
        <v/>
      </c>
    </row>
    <row r="1971" spans="2:11" x14ac:dyDescent="0.35">
      <c r="B1971" s="4" t="str">
        <f>+IF('Data Pura Costos'!B1971="","",'Data Pura Costos'!B1971)</f>
        <v/>
      </c>
      <c r="C1971" s="4" t="str">
        <f>+IF('Data Pura Costos'!C1971="","",'Data Pura Costos'!C1971)</f>
        <v/>
      </c>
      <c r="D1971" s="5" t="str">
        <f>+IF('Data Pura Costos'!D1971="","",'Data Pura Costos'!D1971)</f>
        <v/>
      </c>
      <c r="E1971" s="65" t="str">
        <f>+IF('Data Pura Costos'!E1971="","",IF('Data Pura Costos'!E1971=0,MAX('Data Pura Costos'!$E$7:$E$3000)*1000,'Data Pura Costos'!E1971))</f>
        <v/>
      </c>
      <c r="F1971" s="5" t="str">
        <f>+IF('Data Pura Costos'!F1971="","",'Data Pura Costos'!F1971)</f>
        <v/>
      </c>
      <c r="G1971" s="5" t="str">
        <f>+IF('Data Pura Costos'!G1971="","",'Data Pura Costos'!G1971)</f>
        <v/>
      </c>
      <c r="H1971" s="52" t="str">
        <f>+IF('Data Pura Costos'!H1971="","",'Data Pura Costos'!H1971)</f>
        <v/>
      </c>
      <c r="I1971" s="71" t="str">
        <f>+IF('Data Pura Costos'!I1971="","",'Data Pura Costos'!I1971)</f>
        <v/>
      </c>
      <c r="J1971" s="52" t="str">
        <f>+IF('Data Pura Costos'!J1971="","",'Data Pura Costos'!J1971)</f>
        <v/>
      </c>
      <c r="K1971" s="82" t="str">
        <f t="shared" si="35"/>
        <v/>
      </c>
    </row>
    <row r="1972" spans="2:11" x14ac:dyDescent="0.35">
      <c r="B1972" s="4" t="str">
        <f>+IF('Data Pura Costos'!B1972="","",'Data Pura Costos'!B1972)</f>
        <v/>
      </c>
      <c r="C1972" s="4" t="str">
        <f>+IF('Data Pura Costos'!C1972="","",'Data Pura Costos'!C1972)</f>
        <v/>
      </c>
      <c r="D1972" s="5" t="str">
        <f>+IF('Data Pura Costos'!D1972="","",'Data Pura Costos'!D1972)</f>
        <v/>
      </c>
      <c r="E1972" s="65" t="str">
        <f>+IF('Data Pura Costos'!E1972="","",IF('Data Pura Costos'!E1972=0,MAX('Data Pura Costos'!$E$7:$E$3000)*1000,'Data Pura Costos'!E1972))</f>
        <v/>
      </c>
      <c r="F1972" s="5" t="str">
        <f>+IF('Data Pura Costos'!F1972="","",'Data Pura Costos'!F1972)</f>
        <v/>
      </c>
      <c r="G1972" s="5" t="str">
        <f>+IF('Data Pura Costos'!G1972="","",'Data Pura Costos'!G1972)</f>
        <v/>
      </c>
      <c r="H1972" s="52" t="str">
        <f>+IF('Data Pura Costos'!H1972="","",'Data Pura Costos'!H1972)</f>
        <v/>
      </c>
      <c r="I1972" s="71" t="str">
        <f>+IF('Data Pura Costos'!I1972="","",'Data Pura Costos'!I1972)</f>
        <v/>
      </c>
      <c r="J1972" s="52" t="str">
        <f>+IF('Data Pura Costos'!J1972="","",'Data Pura Costos'!J1972)</f>
        <v/>
      </c>
      <c r="K1972" s="82" t="str">
        <f t="shared" si="35"/>
        <v/>
      </c>
    </row>
    <row r="1973" spans="2:11" x14ac:dyDescent="0.35">
      <c r="B1973" s="4" t="str">
        <f>+IF('Data Pura Costos'!B1973="","",'Data Pura Costos'!B1973)</f>
        <v/>
      </c>
      <c r="C1973" s="4" t="str">
        <f>+IF('Data Pura Costos'!C1973="","",'Data Pura Costos'!C1973)</f>
        <v/>
      </c>
      <c r="D1973" s="5" t="str">
        <f>+IF('Data Pura Costos'!D1973="","",'Data Pura Costos'!D1973)</f>
        <v/>
      </c>
      <c r="E1973" s="65" t="str">
        <f>+IF('Data Pura Costos'!E1973="","",IF('Data Pura Costos'!E1973=0,MAX('Data Pura Costos'!$E$7:$E$3000)*1000,'Data Pura Costos'!E1973))</f>
        <v/>
      </c>
      <c r="F1973" s="5" t="str">
        <f>+IF('Data Pura Costos'!F1973="","",'Data Pura Costos'!F1973)</f>
        <v/>
      </c>
      <c r="G1973" s="5" t="str">
        <f>+IF('Data Pura Costos'!G1973="","",'Data Pura Costos'!G1973)</f>
        <v/>
      </c>
      <c r="H1973" s="52" t="str">
        <f>+IF('Data Pura Costos'!H1973="","",'Data Pura Costos'!H1973)</f>
        <v/>
      </c>
      <c r="I1973" s="71" t="str">
        <f>+IF('Data Pura Costos'!I1973="","",'Data Pura Costos'!I1973)</f>
        <v/>
      </c>
      <c r="J1973" s="52" t="str">
        <f>+IF('Data Pura Costos'!J1973="","",'Data Pura Costos'!J1973)</f>
        <v/>
      </c>
      <c r="K1973" s="82" t="str">
        <f t="shared" si="35"/>
        <v/>
      </c>
    </row>
    <row r="1974" spans="2:11" x14ac:dyDescent="0.35">
      <c r="B1974" s="4" t="str">
        <f>+IF('Data Pura Costos'!B1974="","",'Data Pura Costos'!B1974)</f>
        <v/>
      </c>
      <c r="C1974" s="4" t="str">
        <f>+IF('Data Pura Costos'!C1974="","",'Data Pura Costos'!C1974)</f>
        <v/>
      </c>
      <c r="D1974" s="5" t="str">
        <f>+IF('Data Pura Costos'!D1974="","",'Data Pura Costos'!D1974)</f>
        <v/>
      </c>
      <c r="E1974" s="65" t="str">
        <f>+IF('Data Pura Costos'!E1974="","",IF('Data Pura Costos'!E1974=0,MAX('Data Pura Costos'!$E$7:$E$3000)*1000,'Data Pura Costos'!E1974))</f>
        <v/>
      </c>
      <c r="F1974" s="5" t="str">
        <f>+IF('Data Pura Costos'!F1974="","",'Data Pura Costos'!F1974)</f>
        <v/>
      </c>
      <c r="G1974" s="5" t="str">
        <f>+IF('Data Pura Costos'!G1974="","",'Data Pura Costos'!G1974)</f>
        <v/>
      </c>
      <c r="H1974" s="52" t="str">
        <f>+IF('Data Pura Costos'!H1974="","",'Data Pura Costos'!H1974)</f>
        <v/>
      </c>
      <c r="I1974" s="71" t="str">
        <f>+IF('Data Pura Costos'!I1974="","",'Data Pura Costos'!I1974)</f>
        <v/>
      </c>
      <c r="J1974" s="52" t="str">
        <f>+IF('Data Pura Costos'!J1974="","",'Data Pura Costos'!J1974)</f>
        <v/>
      </c>
      <c r="K1974" s="82" t="str">
        <f t="shared" si="35"/>
        <v/>
      </c>
    </row>
    <row r="1975" spans="2:11" x14ac:dyDescent="0.35">
      <c r="B1975" s="4" t="str">
        <f>+IF('Data Pura Costos'!B1975="","",'Data Pura Costos'!B1975)</f>
        <v/>
      </c>
      <c r="C1975" s="4" t="str">
        <f>+IF('Data Pura Costos'!C1975="","",'Data Pura Costos'!C1975)</f>
        <v/>
      </c>
      <c r="D1975" s="5" t="str">
        <f>+IF('Data Pura Costos'!D1975="","",'Data Pura Costos'!D1975)</f>
        <v/>
      </c>
      <c r="E1975" s="65" t="str">
        <f>+IF('Data Pura Costos'!E1975="","",IF('Data Pura Costos'!E1975=0,MAX('Data Pura Costos'!$E$7:$E$3000)*1000,'Data Pura Costos'!E1975))</f>
        <v/>
      </c>
      <c r="F1975" s="5" t="str">
        <f>+IF('Data Pura Costos'!F1975="","",'Data Pura Costos'!F1975)</f>
        <v/>
      </c>
      <c r="G1975" s="5" t="str">
        <f>+IF('Data Pura Costos'!G1975="","",'Data Pura Costos'!G1975)</f>
        <v/>
      </c>
      <c r="H1975" s="52" t="str">
        <f>+IF('Data Pura Costos'!H1975="","",'Data Pura Costos'!H1975)</f>
        <v/>
      </c>
      <c r="I1975" s="71" t="str">
        <f>+IF('Data Pura Costos'!I1975="","",'Data Pura Costos'!I1975)</f>
        <v/>
      </c>
      <c r="J1975" s="52" t="str">
        <f>+IF('Data Pura Costos'!J1975="","",'Data Pura Costos'!J1975)</f>
        <v/>
      </c>
      <c r="K1975" s="82" t="str">
        <f t="shared" si="35"/>
        <v/>
      </c>
    </row>
    <row r="1976" spans="2:11" x14ac:dyDescent="0.35">
      <c r="B1976" s="4" t="str">
        <f>+IF('Data Pura Costos'!B1976="","",'Data Pura Costos'!B1976)</f>
        <v/>
      </c>
      <c r="C1976" s="4" t="str">
        <f>+IF('Data Pura Costos'!C1976="","",'Data Pura Costos'!C1976)</f>
        <v/>
      </c>
      <c r="D1976" s="5" t="str">
        <f>+IF('Data Pura Costos'!D1976="","",'Data Pura Costos'!D1976)</f>
        <v/>
      </c>
      <c r="E1976" s="65" t="str">
        <f>+IF('Data Pura Costos'!E1976="","",IF('Data Pura Costos'!E1976=0,MAX('Data Pura Costos'!$E$7:$E$3000)*1000,'Data Pura Costos'!E1976))</f>
        <v/>
      </c>
      <c r="F1976" s="5" t="str">
        <f>+IF('Data Pura Costos'!F1976="","",'Data Pura Costos'!F1976)</f>
        <v/>
      </c>
      <c r="G1976" s="5" t="str">
        <f>+IF('Data Pura Costos'!G1976="","",'Data Pura Costos'!G1976)</f>
        <v/>
      </c>
      <c r="H1976" s="52" t="str">
        <f>+IF('Data Pura Costos'!H1976="","",'Data Pura Costos'!H1976)</f>
        <v/>
      </c>
      <c r="I1976" s="71" t="str">
        <f>+IF('Data Pura Costos'!I1976="","",'Data Pura Costos'!I1976)</f>
        <v/>
      </c>
      <c r="J1976" s="52" t="str">
        <f>+IF('Data Pura Costos'!J1976="","",'Data Pura Costos'!J1976)</f>
        <v/>
      </c>
      <c r="K1976" s="82" t="str">
        <f t="shared" si="35"/>
        <v/>
      </c>
    </row>
    <row r="1977" spans="2:11" x14ac:dyDescent="0.35">
      <c r="B1977" s="4" t="str">
        <f>+IF('Data Pura Costos'!B1977="","",'Data Pura Costos'!B1977)</f>
        <v/>
      </c>
      <c r="C1977" s="4" t="str">
        <f>+IF('Data Pura Costos'!C1977="","",'Data Pura Costos'!C1977)</f>
        <v/>
      </c>
      <c r="D1977" s="5" t="str">
        <f>+IF('Data Pura Costos'!D1977="","",'Data Pura Costos'!D1977)</f>
        <v/>
      </c>
      <c r="E1977" s="65" t="str">
        <f>+IF('Data Pura Costos'!E1977="","",IF('Data Pura Costos'!E1977=0,MAX('Data Pura Costos'!$E$7:$E$3000)*1000,'Data Pura Costos'!E1977))</f>
        <v/>
      </c>
      <c r="F1977" s="5" t="str">
        <f>+IF('Data Pura Costos'!F1977="","",'Data Pura Costos'!F1977)</f>
        <v/>
      </c>
      <c r="G1977" s="5" t="str">
        <f>+IF('Data Pura Costos'!G1977="","",'Data Pura Costos'!G1977)</f>
        <v/>
      </c>
      <c r="H1977" s="52" t="str">
        <f>+IF('Data Pura Costos'!H1977="","",'Data Pura Costos'!H1977)</f>
        <v/>
      </c>
      <c r="I1977" s="71" t="str">
        <f>+IF('Data Pura Costos'!I1977="","",'Data Pura Costos'!I1977)</f>
        <v/>
      </c>
      <c r="J1977" s="52" t="str">
        <f>+IF('Data Pura Costos'!J1977="","",'Data Pura Costos'!J1977)</f>
        <v/>
      </c>
      <c r="K1977" s="82" t="str">
        <f t="shared" si="35"/>
        <v/>
      </c>
    </row>
    <row r="1978" spans="2:11" x14ac:dyDescent="0.35">
      <c r="B1978" s="4" t="str">
        <f>+IF('Data Pura Costos'!B1978="","",'Data Pura Costos'!B1978)</f>
        <v/>
      </c>
      <c r="C1978" s="4" t="str">
        <f>+IF('Data Pura Costos'!C1978="","",'Data Pura Costos'!C1978)</f>
        <v/>
      </c>
      <c r="D1978" s="5" t="str">
        <f>+IF('Data Pura Costos'!D1978="","",'Data Pura Costos'!D1978)</f>
        <v/>
      </c>
      <c r="E1978" s="65" t="str">
        <f>+IF('Data Pura Costos'!E1978="","",IF('Data Pura Costos'!E1978=0,MAX('Data Pura Costos'!$E$7:$E$3000)*1000,'Data Pura Costos'!E1978))</f>
        <v/>
      </c>
      <c r="F1978" s="5" t="str">
        <f>+IF('Data Pura Costos'!F1978="","",'Data Pura Costos'!F1978)</f>
        <v/>
      </c>
      <c r="G1978" s="5" t="str">
        <f>+IF('Data Pura Costos'!G1978="","",'Data Pura Costos'!G1978)</f>
        <v/>
      </c>
      <c r="H1978" s="52" t="str">
        <f>+IF('Data Pura Costos'!H1978="","",'Data Pura Costos'!H1978)</f>
        <v/>
      </c>
      <c r="I1978" s="71" t="str">
        <f>+IF('Data Pura Costos'!I1978="","",'Data Pura Costos'!I1978)</f>
        <v/>
      </c>
      <c r="J1978" s="52" t="str">
        <f>+IF('Data Pura Costos'!J1978="","",'Data Pura Costos'!J1978)</f>
        <v/>
      </c>
      <c r="K1978" s="82" t="str">
        <f t="shared" si="35"/>
        <v/>
      </c>
    </row>
    <row r="1979" spans="2:11" x14ac:dyDescent="0.35">
      <c r="B1979" s="4" t="str">
        <f>+IF('Data Pura Costos'!B1979="","",'Data Pura Costos'!B1979)</f>
        <v/>
      </c>
      <c r="C1979" s="4" t="str">
        <f>+IF('Data Pura Costos'!C1979="","",'Data Pura Costos'!C1979)</f>
        <v/>
      </c>
      <c r="D1979" s="5" t="str">
        <f>+IF('Data Pura Costos'!D1979="","",'Data Pura Costos'!D1979)</f>
        <v/>
      </c>
      <c r="E1979" s="65" t="str">
        <f>+IF('Data Pura Costos'!E1979="","",IF('Data Pura Costos'!E1979=0,MAX('Data Pura Costos'!$E$7:$E$3000)*1000,'Data Pura Costos'!E1979))</f>
        <v/>
      </c>
      <c r="F1979" s="5" t="str">
        <f>+IF('Data Pura Costos'!F1979="","",'Data Pura Costos'!F1979)</f>
        <v/>
      </c>
      <c r="G1979" s="5" t="str">
        <f>+IF('Data Pura Costos'!G1979="","",'Data Pura Costos'!G1979)</f>
        <v/>
      </c>
      <c r="H1979" s="52" t="str">
        <f>+IF('Data Pura Costos'!H1979="","",'Data Pura Costos'!H1979)</f>
        <v/>
      </c>
      <c r="I1979" s="71" t="str">
        <f>+IF('Data Pura Costos'!I1979="","",'Data Pura Costos'!I1979)</f>
        <v/>
      </c>
      <c r="J1979" s="52" t="str">
        <f>+IF('Data Pura Costos'!J1979="","",'Data Pura Costos'!J1979)</f>
        <v/>
      </c>
      <c r="K1979" s="82" t="str">
        <f t="shared" si="35"/>
        <v/>
      </c>
    </row>
    <row r="1980" spans="2:11" x14ac:dyDescent="0.35">
      <c r="B1980" s="4" t="str">
        <f>+IF('Data Pura Costos'!B1980="","",'Data Pura Costos'!B1980)</f>
        <v/>
      </c>
      <c r="C1980" s="4" t="str">
        <f>+IF('Data Pura Costos'!C1980="","",'Data Pura Costos'!C1980)</f>
        <v/>
      </c>
      <c r="D1980" s="5" t="str">
        <f>+IF('Data Pura Costos'!D1980="","",'Data Pura Costos'!D1980)</f>
        <v/>
      </c>
      <c r="E1980" s="65" t="str">
        <f>+IF('Data Pura Costos'!E1980="","",IF('Data Pura Costos'!E1980=0,MAX('Data Pura Costos'!$E$7:$E$3000)*1000,'Data Pura Costos'!E1980))</f>
        <v/>
      </c>
      <c r="F1980" s="5" t="str">
        <f>+IF('Data Pura Costos'!F1980="","",'Data Pura Costos'!F1980)</f>
        <v/>
      </c>
      <c r="G1980" s="5" t="str">
        <f>+IF('Data Pura Costos'!G1980="","",'Data Pura Costos'!G1980)</f>
        <v/>
      </c>
      <c r="H1980" s="52" t="str">
        <f>+IF('Data Pura Costos'!H1980="","",'Data Pura Costos'!H1980)</f>
        <v/>
      </c>
      <c r="I1980" s="71" t="str">
        <f>+IF('Data Pura Costos'!I1980="","",'Data Pura Costos'!I1980)</f>
        <v/>
      </c>
      <c r="J1980" s="52" t="str">
        <f>+IF('Data Pura Costos'!J1980="","",'Data Pura Costos'!J1980)</f>
        <v/>
      </c>
      <c r="K1980" s="82" t="str">
        <f t="shared" ref="K1980:K2043" si="36">+IF(B1980="","",CONCATENATE(B1980,"-",F1980,"-",G1980))</f>
        <v/>
      </c>
    </row>
    <row r="1981" spans="2:11" x14ac:dyDescent="0.35">
      <c r="B1981" s="4" t="str">
        <f>+IF('Data Pura Costos'!B1981="","",'Data Pura Costos'!B1981)</f>
        <v/>
      </c>
      <c r="C1981" s="4" t="str">
        <f>+IF('Data Pura Costos'!C1981="","",'Data Pura Costos'!C1981)</f>
        <v/>
      </c>
      <c r="D1981" s="5" t="str">
        <f>+IF('Data Pura Costos'!D1981="","",'Data Pura Costos'!D1981)</f>
        <v/>
      </c>
      <c r="E1981" s="65" t="str">
        <f>+IF('Data Pura Costos'!E1981="","",IF('Data Pura Costos'!E1981=0,MAX('Data Pura Costos'!$E$7:$E$3000)*1000,'Data Pura Costos'!E1981))</f>
        <v/>
      </c>
      <c r="F1981" s="5" t="str">
        <f>+IF('Data Pura Costos'!F1981="","",'Data Pura Costos'!F1981)</f>
        <v/>
      </c>
      <c r="G1981" s="5" t="str">
        <f>+IF('Data Pura Costos'!G1981="","",'Data Pura Costos'!G1981)</f>
        <v/>
      </c>
      <c r="H1981" s="52" t="str">
        <f>+IF('Data Pura Costos'!H1981="","",'Data Pura Costos'!H1981)</f>
        <v/>
      </c>
      <c r="I1981" s="71" t="str">
        <f>+IF('Data Pura Costos'!I1981="","",'Data Pura Costos'!I1981)</f>
        <v/>
      </c>
      <c r="J1981" s="52" t="str">
        <f>+IF('Data Pura Costos'!J1981="","",'Data Pura Costos'!J1981)</f>
        <v/>
      </c>
      <c r="K1981" s="82" t="str">
        <f t="shared" si="36"/>
        <v/>
      </c>
    </row>
    <row r="1982" spans="2:11" x14ac:dyDescent="0.35">
      <c r="B1982" s="4" t="str">
        <f>+IF('Data Pura Costos'!B1982="","",'Data Pura Costos'!B1982)</f>
        <v/>
      </c>
      <c r="C1982" s="4" t="str">
        <f>+IF('Data Pura Costos'!C1982="","",'Data Pura Costos'!C1982)</f>
        <v/>
      </c>
      <c r="D1982" s="5" t="str">
        <f>+IF('Data Pura Costos'!D1982="","",'Data Pura Costos'!D1982)</f>
        <v/>
      </c>
      <c r="E1982" s="65" t="str">
        <f>+IF('Data Pura Costos'!E1982="","",IF('Data Pura Costos'!E1982=0,MAX('Data Pura Costos'!$E$7:$E$3000)*1000,'Data Pura Costos'!E1982))</f>
        <v/>
      </c>
      <c r="F1982" s="5" t="str">
        <f>+IF('Data Pura Costos'!F1982="","",'Data Pura Costos'!F1982)</f>
        <v/>
      </c>
      <c r="G1982" s="5" t="str">
        <f>+IF('Data Pura Costos'!G1982="","",'Data Pura Costos'!G1982)</f>
        <v/>
      </c>
      <c r="H1982" s="52" t="str">
        <f>+IF('Data Pura Costos'!H1982="","",'Data Pura Costos'!H1982)</f>
        <v/>
      </c>
      <c r="I1982" s="71" t="str">
        <f>+IF('Data Pura Costos'!I1982="","",'Data Pura Costos'!I1982)</f>
        <v/>
      </c>
      <c r="J1982" s="52" t="str">
        <f>+IF('Data Pura Costos'!J1982="","",'Data Pura Costos'!J1982)</f>
        <v/>
      </c>
      <c r="K1982" s="82" t="str">
        <f t="shared" si="36"/>
        <v/>
      </c>
    </row>
    <row r="1983" spans="2:11" x14ac:dyDescent="0.35">
      <c r="B1983" s="4" t="str">
        <f>+IF('Data Pura Costos'!B1983="","",'Data Pura Costos'!B1983)</f>
        <v/>
      </c>
      <c r="C1983" s="4" t="str">
        <f>+IF('Data Pura Costos'!C1983="","",'Data Pura Costos'!C1983)</f>
        <v/>
      </c>
      <c r="D1983" s="5" t="str">
        <f>+IF('Data Pura Costos'!D1983="","",'Data Pura Costos'!D1983)</f>
        <v/>
      </c>
      <c r="E1983" s="65" t="str">
        <f>+IF('Data Pura Costos'!E1983="","",IF('Data Pura Costos'!E1983=0,MAX('Data Pura Costos'!$E$7:$E$3000)*1000,'Data Pura Costos'!E1983))</f>
        <v/>
      </c>
      <c r="F1983" s="5" t="str">
        <f>+IF('Data Pura Costos'!F1983="","",'Data Pura Costos'!F1983)</f>
        <v/>
      </c>
      <c r="G1983" s="5" t="str">
        <f>+IF('Data Pura Costos'!G1983="","",'Data Pura Costos'!G1983)</f>
        <v/>
      </c>
      <c r="H1983" s="52" t="str">
        <f>+IF('Data Pura Costos'!H1983="","",'Data Pura Costos'!H1983)</f>
        <v/>
      </c>
      <c r="I1983" s="71" t="str">
        <f>+IF('Data Pura Costos'!I1983="","",'Data Pura Costos'!I1983)</f>
        <v/>
      </c>
      <c r="J1983" s="52" t="str">
        <f>+IF('Data Pura Costos'!J1983="","",'Data Pura Costos'!J1983)</f>
        <v/>
      </c>
      <c r="K1983" s="82" t="str">
        <f t="shared" si="36"/>
        <v/>
      </c>
    </row>
    <row r="1984" spans="2:11" x14ac:dyDescent="0.35">
      <c r="B1984" s="4" t="str">
        <f>+IF('Data Pura Costos'!B1984="","",'Data Pura Costos'!B1984)</f>
        <v/>
      </c>
      <c r="C1984" s="4" t="str">
        <f>+IF('Data Pura Costos'!C1984="","",'Data Pura Costos'!C1984)</f>
        <v/>
      </c>
      <c r="D1984" s="5" t="str">
        <f>+IF('Data Pura Costos'!D1984="","",'Data Pura Costos'!D1984)</f>
        <v/>
      </c>
      <c r="E1984" s="65" t="str">
        <f>+IF('Data Pura Costos'!E1984="","",IF('Data Pura Costos'!E1984=0,MAX('Data Pura Costos'!$E$7:$E$3000)*1000,'Data Pura Costos'!E1984))</f>
        <v/>
      </c>
      <c r="F1984" s="5" t="str">
        <f>+IF('Data Pura Costos'!F1984="","",'Data Pura Costos'!F1984)</f>
        <v/>
      </c>
      <c r="G1984" s="5" t="str">
        <f>+IF('Data Pura Costos'!G1984="","",'Data Pura Costos'!G1984)</f>
        <v/>
      </c>
      <c r="H1984" s="52" t="str">
        <f>+IF('Data Pura Costos'!H1984="","",'Data Pura Costos'!H1984)</f>
        <v/>
      </c>
      <c r="I1984" s="71" t="str">
        <f>+IF('Data Pura Costos'!I1984="","",'Data Pura Costos'!I1984)</f>
        <v/>
      </c>
      <c r="J1984" s="52" t="str">
        <f>+IF('Data Pura Costos'!J1984="","",'Data Pura Costos'!J1984)</f>
        <v/>
      </c>
      <c r="K1984" s="82" t="str">
        <f t="shared" si="36"/>
        <v/>
      </c>
    </row>
    <row r="1985" spans="2:11" x14ac:dyDescent="0.35">
      <c r="B1985" s="4" t="str">
        <f>+IF('Data Pura Costos'!B1985="","",'Data Pura Costos'!B1985)</f>
        <v/>
      </c>
      <c r="C1985" s="4" t="str">
        <f>+IF('Data Pura Costos'!C1985="","",'Data Pura Costos'!C1985)</f>
        <v/>
      </c>
      <c r="D1985" s="5" t="str">
        <f>+IF('Data Pura Costos'!D1985="","",'Data Pura Costos'!D1985)</f>
        <v/>
      </c>
      <c r="E1985" s="65" t="str">
        <f>+IF('Data Pura Costos'!E1985="","",IF('Data Pura Costos'!E1985=0,MAX('Data Pura Costos'!$E$7:$E$3000)*1000,'Data Pura Costos'!E1985))</f>
        <v/>
      </c>
      <c r="F1985" s="5" t="str">
        <f>+IF('Data Pura Costos'!F1985="","",'Data Pura Costos'!F1985)</f>
        <v/>
      </c>
      <c r="G1985" s="5" t="str">
        <f>+IF('Data Pura Costos'!G1985="","",'Data Pura Costos'!G1985)</f>
        <v/>
      </c>
      <c r="H1985" s="52" t="str">
        <f>+IF('Data Pura Costos'!H1985="","",'Data Pura Costos'!H1985)</f>
        <v/>
      </c>
      <c r="I1985" s="71" t="str">
        <f>+IF('Data Pura Costos'!I1985="","",'Data Pura Costos'!I1985)</f>
        <v/>
      </c>
      <c r="J1985" s="52" t="str">
        <f>+IF('Data Pura Costos'!J1985="","",'Data Pura Costos'!J1985)</f>
        <v/>
      </c>
      <c r="K1985" s="82" t="str">
        <f t="shared" si="36"/>
        <v/>
      </c>
    </row>
    <row r="1986" spans="2:11" x14ac:dyDescent="0.35">
      <c r="B1986" s="4" t="str">
        <f>+IF('Data Pura Costos'!B1986="","",'Data Pura Costos'!B1986)</f>
        <v/>
      </c>
      <c r="C1986" s="4" t="str">
        <f>+IF('Data Pura Costos'!C1986="","",'Data Pura Costos'!C1986)</f>
        <v/>
      </c>
      <c r="D1986" s="5" t="str">
        <f>+IF('Data Pura Costos'!D1986="","",'Data Pura Costos'!D1986)</f>
        <v/>
      </c>
      <c r="E1986" s="65" t="str">
        <f>+IF('Data Pura Costos'!E1986="","",IF('Data Pura Costos'!E1986=0,MAX('Data Pura Costos'!$E$7:$E$3000)*1000,'Data Pura Costos'!E1986))</f>
        <v/>
      </c>
      <c r="F1986" s="5" t="str">
        <f>+IF('Data Pura Costos'!F1986="","",'Data Pura Costos'!F1986)</f>
        <v/>
      </c>
      <c r="G1986" s="5" t="str">
        <f>+IF('Data Pura Costos'!G1986="","",'Data Pura Costos'!G1986)</f>
        <v/>
      </c>
      <c r="H1986" s="52" t="str">
        <f>+IF('Data Pura Costos'!H1986="","",'Data Pura Costos'!H1986)</f>
        <v/>
      </c>
      <c r="I1986" s="71" t="str">
        <f>+IF('Data Pura Costos'!I1986="","",'Data Pura Costos'!I1986)</f>
        <v/>
      </c>
      <c r="J1986" s="52" t="str">
        <f>+IF('Data Pura Costos'!J1986="","",'Data Pura Costos'!J1986)</f>
        <v/>
      </c>
      <c r="K1986" s="82" t="str">
        <f t="shared" si="36"/>
        <v/>
      </c>
    </row>
    <row r="1987" spans="2:11" x14ac:dyDescent="0.35">
      <c r="B1987" s="4" t="str">
        <f>+IF('Data Pura Costos'!B1987="","",'Data Pura Costos'!B1987)</f>
        <v/>
      </c>
      <c r="C1987" s="4" t="str">
        <f>+IF('Data Pura Costos'!C1987="","",'Data Pura Costos'!C1987)</f>
        <v/>
      </c>
      <c r="D1987" s="5" t="str">
        <f>+IF('Data Pura Costos'!D1987="","",'Data Pura Costos'!D1987)</f>
        <v/>
      </c>
      <c r="E1987" s="65" t="str">
        <f>+IF('Data Pura Costos'!E1987="","",IF('Data Pura Costos'!E1987=0,MAX('Data Pura Costos'!$E$7:$E$3000)*1000,'Data Pura Costos'!E1987))</f>
        <v/>
      </c>
      <c r="F1987" s="5" t="str">
        <f>+IF('Data Pura Costos'!F1987="","",'Data Pura Costos'!F1987)</f>
        <v/>
      </c>
      <c r="G1987" s="5" t="str">
        <f>+IF('Data Pura Costos'!G1987="","",'Data Pura Costos'!G1987)</f>
        <v/>
      </c>
      <c r="H1987" s="52" t="str">
        <f>+IF('Data Pura Costos'!H1987="","",'Data Pura Costos'!H1987)</f>
        <v/>
      </c>
      <c r="I1987" s="71" t="str">
        <f>+IF('Data Pura Costos'!I1987="","",'Data Pura Costos'!I1987)</f>
        <v/>
      </c>
      <c r="J1987" s="52" t="str">
        <f>+IF('Data Pura Costos'!J1987="","",'Data Pura Costos'!J1987)</f>
        <v/>
      </c>
      <c r="K1987" s="82" t="str">
        <f t="shared" si="36"/>
        <v/>
      </c>
    </row>
    <row r="1988" spans="2:11" x14ac:dyDescent="0.35">
      <c r="B1988" s="4" t="str">
        <f>+IF('Data Pura Costos'!B1988="","",'Data Pura Costos'!B1988)</f>
        <v/>
      </c>
      <c r="C1988" s="4" t="str">
        <f>+IF('Data Pura Costos'!C1988="","",'Data Pura Costos'!C1988)</f>
        <v/>
      </c>
      <c r="D1988" s="5" t="str">
        <f>+IF('Data Pura Costos'!D1988="","",'Data Pura Costos'!D1988)</f>
        <v/>
      </c>
      <c r="E1988" s="65" t="str">
        <f>+IF('Data Pura Costos'!E1988="","",IF('Data Pura Costos'!E1988=0,MAX('Data Pura Costos'!$E$7:$E$3000)*1000,'Data Pura Costos'!E1988))</f>
        <v/>
      </c>
      <c r="F1988" s="5" t="str">
        <f>+IF('Data Pura Costos'!F1988="","",'Data Pura Costos'!F1988)</f>
        <v/>
      </c>
      <c r="G1988" s="5" t="str">
        <f>+IF('Data Pura Costos'!G1988="","",'Data Pura Costos'!G1988)</f>
        <v/>
      </c>
      <c r="H1988" s="52" t="str">
        <f>+IF('Data Pura Costos'!H1988="","",'Data Pura Costos'!H1988)</f>
        <v/>
      </c>
      <c r="I1988" s="71" t="str">
        <f>+IF('Data Pura Costos'!I1988="","",'Data Pura Costos'!I1988)</f>
        <v/>
      </c>
      <c r="J1988" s="52" t="str">
        <f>+IF('Data Pura Costos'!J1988="","",'Data Pura Costos'!J1988)</f>
        <v/>
      </c>
      <c r="K1988" s="82" t="str">
        <f t="shared" si="36"/>
        <v/>
      </c>
    </row>
    <row r="1989" spans="2:11" x14ac:dyDescent="0.35">
      <c r="B1989" s="4" t="str">
        <f>+IF('Data Pura Costos'!B1989="","",'Data Pura Costos'!B1989)</f>
        <v/>
      </c>
      <c r="C1989" s="4" t="str">
        <f>+IF('Data Pura Costos'!C1989="","",'Data Pura Costos'!C1989)</f>
        <v/>
      </c>
      <c r="D1989" s="5" t="str">
        <f>+IF('Data Pura Costos'!D1989="","",'Data Pura Costos'!D1989)</f>
        <v/>
      </c>
      <c r="E1989" s="65" t="str">
        <f>+IF('Data Pura Costos'!E1989="","",IF('Data Pura Costos'!E1989=0,MAX('Data Pura Costos'!$E$7:$E$3000)*1000,'Data Pura Costos'!E1989))</f>
        <v/>
      </c>
      <c r="F1989" s="5" t="str">
        <f>+IF('Data Pura Costos'!F1989="","",'Data Pura Costos'!F1989)</f>
        <v/>
      </c>
      <c r="G1989" s="5" t="str">
        <f>+IF('Data Pura Costos'!G1989="","",'Data Pura Costos'!G1989)</f>
        <v/>
      </c>
      <c r="H1989" s="52" t="str">
        <f>+IF('Data Pura Costos'!H1989="","",'Data Pura Costos'!H1989)</f>
        <v/>
      </c>
      <c r="I1989" s="71" t="str">
        <f>+IF('Data Pura Costos'!I1989="","",'Data Pura Costos'!I1989)</f>
        <v/>
      </c>
      <c r="J1989" s="52" t="str">
        <f>+IF('Data Pura Costos'!J1989="","",'Data Pura Costos'!J1989)</f>
        <v/>
      </c>
      <c r="K1989" s="82" t="str">
        <f t="shared" si="36"/>
        <v/>
      </c>
    </row>
    <row r="1990" spans="2:11" x14ac:dyDescent="0.35">
      <c r="B1990" s="4" t="str">
        <f>+IF('Data Pura Costos'!B1990="","",'Data Pura Costos'!B1990)</f>
        <v/>
      </c>
      <c r="C1990" s="4" t="str">
        <f>+IF('Data Pura Costos'!C1990="","",'Data Pura Costos'!C1990)</f>
        <v/>
      </c>
      <c r="D1990" s="5" t="str">
        <f>+IF('Data Pura Costos'!D1990="","",'Data Pura Costos'!D1990)</f>
        <v/>
      </c>
      <c r="E1990" s="65" t="str">
        <f>+IF('Data Pura Costos'!E1990="","",IF('Data Pura Costos'!E1990=0,MAX('Data Pura Costos'!$E$7:$E$3000)*1000,'Data Pura Costos'!E1990))</f>
        <v/>
      </c>
      <c r="F1990" s="5" t="str">
        <f>+IF('Data Pura Costos'!F1990="","",'Data Pura Costos'!F1990)</f>
        <v/>
      </c>
      <c r="G1990" s="5" t="str">
        <f>+IF('Data Pura Costos'!G1990="","",'Data Pura Costos'!G1990)</f>
        <v/>
      </c>
      <c r="H1990" s="52" t="str">
        <f>+IF('Data Pura Costos'!H1990="","",'Data Pura Costos'!H1990)</f>
        <v/>
      </c>
      <c r="I1990" s="71" t="str">
        <f>+IF('Data Pura Costos'!I1990="","",'Data Pura Costos'!I1990)</f>
        <v/>
      </c>
      <c r="J1990" s="52" t="str">
        <f>+IF('Data Pura Costos'!J1990="","",'Data Pura Costos'!J1990)</f>
        <v/>
      </c>
      <c r="K1990" s="82" t="str">
        <f t="shared" si="36"/>
        <v/>
      </c>
    </row>
    <row r="1991" spans="2:11" x14ac:dyDescent="0.35">
      <c r="B1991" s="4" t="str">
        <f>+IF('Data Pura Costos'!B1991="","",'Data Pura Costos'!B1991)</f>
        <v/>
      </c>
      <c r="C1991" s="4" t="str">
        <f>+IF('Data Pura Costos'!C1991="","",'Data Pura Costos'!C1991)</f>
        <v/>
      </c>
      <c r="D1991" s="5" t="str">
        <f>+IF('Data Pura Costos'!D1991="","",'Data Pura Costos'!D1991)</f>
        <v/>
      </c>
      <c r="E1991" s="65" t="str">
        <f>+IF('Data Pura Costos'!E1991="","",IF('Data Pura Costos'!E1991=0,MAX('Data Pura Costos'!$E$7:$E$3000)*1000,'Data Pura Costos'!E1991))</f>
        <v/>
      </c>
      <c r="F1991" s="5" t="str">
        <f>+IF('Data Pura Costos'!F1991="","",'Data Pura Costos'!F1991)</f>
        <v/>
      </c>
      <c r="G1991" s="5" t="str">
        <f>+IF('Data Pura Costos'!G1991="","",'Data Pura Costos'!G1991)</f>
        <v/>
      </c>
      <c r="H1991" s="52" t="str">
        <f>+IF('Data Pura Costos'!H1991="","",'Data Pura Costos'!H1991)</f>
        <v/>
      </c>
      <c r="I1991" s="71" t="str">
        <f>+IF('Data Pura Costos'!I1991="","",'Data Pura Costos'!I1991)</f>
        <v/>
      </c>
      <c r="J1991" s="52" t="str">
        <f>+IF('Data Pura Costos'!J1991="","",'Data Pura Costos'!J1991)</f>
        <v/>
      </c>
      <c r="K1991" s="82" t="str">
        <f t="shared" si="36"/>
        <v/>
      </c>
    </row>
    <row r="1992" spans="2:11" x14ac:dyDescent="0.35">
      <c r="B1992" s="4" t="str">
        <f>+IF('Data Pura Costos'!B1992="","",'Data Pura Costos'!B1992)</f>
        <v/>
      </c>
      <c r="C1992" s="4" t="str">
        <f>+IF('Data Pura Costos'!C1992="","",'Data Pura Costos'!C1992)</f>
        <v/>
      </c>
      <c r="D1992" s="5" t="str">
        <f>+IF('Data Pura Costos'!D1992="","",'Data Pura Costos'!D1992)</f>
        <v/>
      </c>
      <c r="E1992" s="65" t="str">
        <f>+IF('Data Pura Costos'!E1992="","",IF('Data Pura Costos'!E1992=0,MAX('Data Pura Costos'!$E$7:$E$3000)*1000,'Data Pura Costos'!E1992))</f>
        <v/>
      </c>
      <c r="F1992" s="5" t="str">
        <f>+IF('Data Pura Costos'!F1992="","",'Data Pura Costos'!F1992)</f>
        <v/>
      </c>
      <c r="G1992" s="5" t="str">
        <f>+IF('Data Pura Costos'!G1992="","",'Data Pura Costos'!G1992)</f>
        <v/>
      </c>
      <c r="H1992" s="52" t="str">
        <f>+IF('Data Pura Costos'!H1992="","",'Data Pura Costos'!H1992)</f>
        <v/>
      </c>
      <c r="I1992" s="71" t="str">
        <f>+IF('Data Pura Costos'!I1992="","",'Data Pura Costos'!I1992)</f>
        <v/>
      </c>
      <c r="J1992" s="52" t="str">
        <f>+IF('Data Pura Costos'!J1992="","",'Data Pura Costos'!J1992)</f>
        <v/>
      </c>
      <c r="K1992" s="82" t="str">
        <f t="shared" si="36"/>
        <v/>
      </c>
    </row>
    <row r="1993" spans="2:11" x14ac:dyDescent="0.35">
      <c r="B1993" s="4" t="str">
        <f>+IF('Data Pura Costos'!B1993="","",'Data Pura Costos'!B1993)</f>
        <v/>
      </c>
      <c r="C1993" s="4" t="str">
        <f>+IF('Data Pura Costos'!C1993="","",'Data Pura Costos'!C1993)</f>
        <v/>
      </c>
      <c r="D1993" s="5" t="str">
        <f>+IF('Data Pura Costos'!D1993="","",'Data Pura Costos'!D1993)</f>
        <v/>
      </c>
      <c r="E1993" s="65" t="str">
        <f>+IF('Data Pura Costos'!E1993="","",IF('Data Pura Costos'!E1993=0,MAX('Data Pura Costos'!$E$7:$E$3000)*1000,'Data Pura Costos'!E1993))</f>
        <v/>
      </c>
      <c r="F1993" s="5" t="str">
        <f>+IF('Data Pura Costos'!F1993="","",'Data Pura Costos'!F1993)</f>
        <v/>
      </c>
      <c r="G1993" s="5" t="str">
        <f>+IF('Data Pura Costos'!G1993="","",'Data Pura Costos'!G1993)</f>
        <v/>
      </c>
      <c r="H1993" s="52" t="str">
        <f>+IF('Data Pura Costos'!H1993="","",'Data Pura Costos'!H1993)</f>
        <v/>
      </c>
      <c r="I1993" s="71" t="str">
        <f>+IF('Data Pura Costos'!I1993="","",'Data Pura Costos'!I1993)</f>
        <v/>
      </c>
      <c r="J1993" s="52" t="str">
        <f>+IF('Data Pura Costos'!J1993="","",'Data Pura Costos'!J1993)</f>
        <v/>
      </c>
      <c r="K1993" s="82" t="str">
        <f t="shared" si="36"/>
        <v/>
      </c>
    </row>
    <row r="1994" spans="2:11" x14ac:dyDescent="0.35">
      <c r="B1994" s="4" t="str">
        <f>+IF('Data Pura Costos'!B1994="","",'Data Pura Costos'!B1994)</f>
        <v/>
      </c>
      <c r="C1994" s="4" t="str">
        <f>+IF('Data Pura Costos'!C1994="","",'Data Pura Costos'!C1994)</f>
        <v/>
      </c>
      <c r="D1994" s="5" t="str">
        <f>+IF('Data Pura Costos'!D1994="","",'Data Pura Costos'!D1994)</f>
        <v/>
      </c>
      <c r="E1994" s="65" t="str">
        <f>+IF('Data Pura Costos'!E1994="","",IF('Data Pura Costos'!E1994=0,MAX('Data Pura Costos'!$E$7:$E$3000)*1000,'Data Pura Costos'!E1994))</f>
        <v/>
      </c>
      <c r="F1994" s="5" t="str">
        <f>+IF('Data Pura Costos'!F1994="","",'Data Pura Costos'!F1994)</f>
        <v/>
      </c>
      <c r="G1994" s="5" t="str">
        <f>+IF('Data Pura Costos'!G1994="","",'Data Pura Costos'!G1994)</f>
        <v/>
      </c>
      <c r="H1994" s="52" t="str">
        <f>+IF('Data Pura Costos'!H1994="","",'Data Pura Costos'!H1994)</f>
        <v/>
      </c>
      <c r="I1994" s="71" t="str">
        <f>+IF('Data Pura Costos'!I1994="","",'Data Pura Costos'!I1994)</f>
        <v/>
      </c>
      <c r="J1994" s="52" t="str">
        <f>+IF('Data Pura Costos'!J1994="","",'Data Pura Costos'!J1994)</f>
        <v/>
      </c>
      <c r="K1994" s="82" t="str">
        <f t="shared" si="36"/>
        <v/>
      </c>
    </row>
    <row r="1995" spans="2:11" x14ac:dyDescent="0.35">
      <c r="B1995" s="4" t="str">
        <f>+IF('Data Pura Costos'!B1995="","",'Data Pura Costos'!B1995)</f>
        <v/>
      </c>
      <c r="C1995" s="4" t="str">
        <f>+IF('Data Pura Costos'!C1995="","",'Data Pura Costos'!C1995)</f>
        <v/>
      </c>
      <c r="D1995" s="5" t="str">
        <f>+IF('Data Pura Costos'!D1995="","",'Data Pura Costos'!D1995)</f>
        <v/>
      </c>
      <c r="E1995" s="65" t="str">
        <f>+IF('Data Pura Costos'!E1995="","",IF('Data Pura Costos'!E1995=0,MAX('Data Pura Costos'!$E$7:$E$3000)*1000,'Data Pura Costos'!E1995))</f>
        <v/>
      </c>
      <c r="F1995" s="5" t="str">
        <f>+IF('Data Pura Costos'!F1995="","",'Data Pura Costos'!F1995)</f>
        <v/>
      </c>
      <c r="G1995" s="5" t="str">
        <f>+IF('Data Pura Costos'!G1995="","",'Data Pura Costos'!G1995)</f>
        <v/>
      </c>
      <c r="H1995" s="52" t="str">
        <f>+IF('Data Pura Costos'!H1995="","",'Data Pura Costos'!H1995)</f>
        <v/>
      </c>
      <c r="I1995" s="71" t="str">
        <f>+IF('Data Pura Costos'!I1995="","",'Data Pura Costos'!I1995)</f>
        <v/>
      </c>
      <c r="J1995" s="52" t="str">
        <f>+IF('Data Pura Costos'!J1995="","",'Data Pura Costos'!J1995)</f>
        <v/>
      </c>
      <c r="K1995" s="82" t="str">
        <f t="shared" si="36"/>
        <v/>
      </c>
    </row>
    <row r="1996" spans="2:11" x14ac:dyDescent="0.35">
      <c r="B1996" s="4" t="str">
        <f>+IF('Data Pura Costos'!B1996="","",'Data Pura Costos'!B1996)</f>
        <v/>
      </c>
      <c r="C1996" s="4" t="str">
        <f>+IF('Data Pura Costos'!C1996="","",'Data Pura Costos'!C1996)</f>
        <v/>
      </c>
      <c r="D1996" s="5" t="str">
        <f>+IF('Data Pura Costos'!D1996="","",'Data Pura Costos'!D1996)</f>
        <v/>
      </c>
      <c r="E1996" s="65" t="str">
        <f>+IF('Data Pura Costos'!E1996="","",IF('Data Pura Costos'!E1996=0,MAX('Data Pura Costos'!$E$7:$E$3000)*1000,'Data Pura Costos'!E1996))</f>
        <v/>
      </c>
      <c r="F1996" s="5" t="str">
        <f>+IF('Data Pura Costos'!F1996="","",'Data Pura Costos'!F1996)</f>
        <v/>
      </c>
      <c r="G1996" s="5" t="str">
        <f>+IF('Data Pura Costos'!G1996="","",'Data Pura Costos'!G1996)</f>
        <v/>
      </c>
      <c r="H1996" s="52" t="str">
        <f>+IF('Data Pura Costos'!H1996="","",'Data Pura Costos'!H1996)</f>
        <v/>
      </c>
      <c r="I1996" s="71" t="str">
        <f>+IF('Data Pura Costos'!I1996="","",'Data Pura Costos'!I1996)</f>
        <v/>
      </c>
      <c r="J1996" s="52" t="str">
        <f>+IF('Data Pura Costos'!J1996="","",'Data Pura Costos'!J1996)</f>
        <v/>
      </c>
      <c r="K1996" s="82" t="str">
        <f t="shared" si="36"/>
        <v/>
      </c>
    </row>
    <row r="1997" spans="2:11" x14ac:dyDescent="0.35">
      <c r="B1997" s="4" t="str">
        <f>+IF('Data Pura Costos'!B1997="","",'Data Pura Costos'!B1997)</f>
        <v/>
      </c>
      <c r="C1997" s="4" t="str">
        <f>+IF('Data Pura Costos'!C1997="","",'Data Pura Costos'!C1997)</f>
        <v/>
      </c>
      <c r="D1997" s="5" t="str">
        <f>+IF('Data Pura Costos'!D1997="","",'Data Pura Costos'!D1997)</f>
        <v/>
      </c>
      <c r="E1997" s="65" t="str">
        <f>+IF('Data Pura Costos'!E1997="","",IF('Data Pura Costos'!E1997=0,MAX('Data Pura Costos'!$E$7:$E$3000)*1000,'Data Pura Costos'!E1997))</f>
        <v/>
      </c>
      <c r="F1997" s="5" t="str">
        <f>+IF('Data Pura Costos'!F1997="","",'Data Pura Costos'!F1997)</f>
        <v/>
      </c>
      <c r="G1997" s="5" t="str">
        <f>+IF('Data Pura Costos'!G1997="","",'Data Pura Costos'!G1997)</f>
        <v/>
      </c>
      <c r="H1997" s="52" t="str">
        <f>+IF('Data Pura Costos'!H1997="","",'Data Pura Costos'!H1997)</f>
        <v/>
      </c>
      <c r="I1997" s="71" t="str">
        <f>+IF('Data Pura Costos'!I1997="","",'Data Pura Costos'!I1997)</f>
        <v/>
      </c>
      <c r="J1997" s="52" t="str">
        <f>+IF('Data Pura Costos'!J1997="","",'Data Pura Costos'!J1997)</f>
        <v/>
      </c>
      <c r="K1997" s="82" t="str">
        <f t="shared" si="36"/>
        <v/>
      </c>
    </row>
    <row r="1998" spans="2:11" x14ac:dyDescent="0.35">
      <c r="B1998" s="4" t="str">
        <f>+IF('Data Pura Costos'!B1998="","",'Data Pura Costos'!B1998)</f>
        <v/>
      </c>
      <c r="C1998" s="4" t="str">
        <f>+IF('Data Pura Costos'!C1998="","",'Data Pura Costos'!C1998)</f>
        <v/>
      </c>
      <c r="D1998" s="5" t="str">
        <f>+IF('Data Pura Costos'!D1998="","",'Data Pura Costos'!D1998)</f>
        <v/>
      </c>
      <c r="E1998" s="65" t="str">
        <f>+IF('Data Pura Costos'!E1998="","",IF('Data Pura Costos'!E1998=0,MAX('Data Pura Costos'!$E$7:$E$3000)*1000,'Data Pura Costos'!E1998))</f>
        <v/>
      </c>
      <c r="F1998" s="5" t="str">
        <f>+IF('Data Pura Costos'!F1998="","",'Data Pura Costos'!F1998)</f>
        <v/>
      </c>
      <c r="G1998" s="5" t="str">
        <f>+IF('Data Pura Costos'!G1998="","",'Data Pura Costos'!G1998)</f>
        <v/>
      </c>
      <c r="H1998" s="52" t="str">
        <f>+IF('Data Pura Costos'!H1998="","",'Data Pura Costos'!H1998)</f>
        <v/>
      </c>
      <c r="I1998" s="71" t="str">
        <f>+IF('Data Pura Costos'!I1998="","",'Data Pura Costos'!I1998)</f>
        <v/>
      </c>
      <c r="J1998" s="52" t="str">
        <f>+IF('Data Pura Costos'!J1998="","",'Data Pura Costos'!J1998)</f>
        <v/>
      </c>
      <c r="K1998" s="82" t="str">
        <f t="shared" si="36"/>
        <v/>
      </c>
    </row>
    <row r="1999" spans="2:11" x14ac:dyDescent="0.35">
      <c r="B1999" s="4" t="str">
        <f>+IF('Data Pura Costos'!B1999="","",'Data Pura Costos'!B1999)</f>
        <v/>
      </c>
      <c r="C1999" s="4" t="str">
        <f>+IF('Data Pura Costos'!C1999="","",'Data Pura Costos'!C1999)</f>
        <v/>
      </c>
      <c r="D1999" s="5" t="str">
        <f>+IF('Data Pura Costos'!D1999="","",'Data Pura Costos'!D1999)</f>
        <v/>
      </c>
      <c r="E1999" s="65" t="str">
        <f>+IF('Data Pura Costos'!E1999="","",IF('Data Pura Costos'!E1999=0,MAX('Data Pura Costos'!$E$7:$E$3000)*1000,'Data Pura Costos'!E1999))</f>
        <v/>
      </c>
      <c r="F1999" s="5" t="str">
        <f>+IF('Data Pura Costos'!F1999="","",'Data Pura Costos'!F1999)</f>
        <v/>
      </c>
      <c r="G1999" s="5" t="str">
        <f>+IF('Data Pura Costos'!G1999="","",'Data Pura Costos'!G1999)</f>
        <v/>
      </c>
      <c r="H1999" s="52" t="str">
        <f>+IF('Data Pura Costos'!H1999="","",'Data Pura Costos'!H1999)</f>
        <v/>
      </c>
      <c r="I1999" s="71" t="str">
        <f>+IF('Data Pura Costos'!I1999="","",'Data Pura Costos'!I1999)</f>
        <v/>
      </c>
      <c r="J1999" s="52" t="str">
        <f>+IF('Data Pura Costos'!J1999="","",'Data Pura Costos'!J1999)</f>
        <v/>
      </c>
      <c r="K1999" s="82" t="str">
        <f t="shared" si="36"/>
        <v/>
      </c>
    </row>
    <row r="2000" spans="2:11" x14ac:dyDescent="0.35">
      <c r="B2000" s="4" t="str">
        <f>+IF('Data Pura Costos'!B2000="","",'Data Pura Costos'!B2000)</f>
        <v/>
      </c>
      <c r="C2000" s="4" t="str">
        <f>+IF('Data Pura Costos'!C2000="","",'Data Pura Costos'!C2000)</f>
        <v/>
      </c>
      <c r="D2000" s="5" t="str">
        <f>+IF('Data Pura Costos'!D2000="","",'Data Pura Costos'!D2000)</f>
        <v/>
      </c>
      <c r="E2000" s="65" t="str">
        <f>+IF('Data Pura Costos'!E2000="","",IF('Data Pura Costos'!E2000=0,MAX('Data Pura Costos'!$E$7:$E$3000)*1000,'Data Pura Costos'!E2000))</f>
        <v/>
      </c>
      <c r="F2000" s="5" t="str">
        <f>+IF('Data Pura Costos'!F2000="","",'Data Pura Costos'!F2000)</f>
        <v/>
      </c>
      <c r="G2000" s="5" t="str">
        <f>+IF('Data Pura Costos'!G2000="","",'Data Pura Costos'!G2000)</f>
        <v/>
      </c>
      <c r="H2000" s="52" t="str">
        <f>+IF('Data Pura Costos'!H2000="","",'Data Pura Costos'!H2000)</f>
        <v/>
      </c>
      <c r="I2000" s="71" t="str">
        <f>+IF('Data Pura Costos'!I2000="","",'Data Pura Costos'!I2000)</f>
        <v/>
      </c>
      <c r="J2000" s="52" t="str">
        <f>+IF('Data Pura Costos'!J2000="","",'Data Pura Costos'!J2000)</f>
        <v/>
      </c>
      <c r="K2000" s="82" t="str">
        <f t="shared" si="36"/>
        <v/>
      </c>
    </row>
    <row r="2001" spans="2:11" x14ac:dyDescent="0.35">
      <c r="B2001" s="4" t="str">
        <f>+IF('Data Pura Costos'!B2001="","",'Data Pura Costos'!B2001)</f>
        <v/>
      </c>
      <c r="C2001" s="4" t="str">
        <f>+IF('Data Pura Costos'!C2001="","",'Data Pura Costos'!C2001)</f>
        <v/>
      </c>
      <c r="D2001" s="5" t="str">
        <f>+IF('Data Pura Costos'!D2001="","",'Data Pura Costos'!D2001)</f>
        <v/>
      </c>
      <c r="E2001" s="65" t="str">
        <f>+IF('Data Pura Costos'!E2001="","",IF('Data Pura Costos'!E2001=0,MAX('Data Pura Costos'!$E$7:$E$3000)*1000,'Data Pura Costos'!E2001))</f>
        <v/>
      </c>
      <c r="F2001" s="5" t="str">
        <f>+IF('Data Pura Costos'!F2001="","",'Data Pura Costos'!F2001)</f>
        <v/>
      </c>
      <c r="G2001" s="5" t="str">
        <f>+IF('Data Pura Costos'!G2001="","",'Data Pura Costos'!G2001)</f>
        <v/>
      </c>
      <c r="H2001" s="52" t="str">
        <f>+IF('Data Pura Costos'!H2001="","",'Data Pura Costos'!H2001)</f>
        <v/>
      </c>
      <c r="I2001" s="71" t="str">
        <f>+IF('Data Pura Costos'!I2001="","",'Data Pura Costos'!I2001)</f>
        <v/>
      </c>
      <c r="J2001" s="52" t="str">
        <f>+IF('Data Pura Costos'!J2001="","",'Data Pura Costos'!J2001)</f>
        <v/>
      </c>
      <c r="K2001" s="82" t="str">
        <f t="shared" si="36"/>
        <v/>
      </c>
    </row>
    <row r="2002" spans="2:11" x14ac:dyDescent="0.35">
      <c r="B2002" s="4" t="str">
        <f>+IF('Data Pura Costos'!B2002="","",'Data Pura Costos'!B2002)</f>
        <v/>
      </c>
      <c r="C2002" s="4" t="str">
        <f>+IF('Data Pura Costos'!C2002="","",'Data Pura Costos'!C2002)</f>
        <v/>
      </c>
      <c r="D2002" s="5" t="str">
        <f>+IF('Data Pura Costos'!D2002="","",'Data Pura Costos'!D2002)</f>
        <v/>
      </c>
      <c r="E2002" s="65" t="str">
        <f>+IF('Data Pura Costos'!E2002="","",IF('Data Pura Costos'!E2002=0,MAX('Data Pura Costos'!$E$7:$E$3000)*1000,'Data Pura Costos'!E2002))</f>
        <v/>
      </c>
      <c r="F2002" s="5" t="str">
        <f>+IF('Data Pura Costos'!F2002="","",'Data Pura Costos'!F2002)</f>
        <v/>
      </c>
      <c r="G2002" s="5" t="str">
        <f>+IF('Data Pura Costos'!G2002="","",'Data Pura Costos'!G2002)</f>
        <v/>
      </c>
      <c r="H2002" s="52" t="str">
        <f>+IF('Data Pura Costos'!H2002="","",'Data Pura Costos'!H2002)</f>
        <v/>
      </c>
      <c r="I2002" s="71" t="str">
        <f>+IF('Data Pura Costos'!I2002="","",'Data Pura Costos'!I2002)</f>
        <v/>
      </c>
      <c r="J2002" s="52" t="str">
        <f>+IF('Data Pura Costos'!J2002="","",'Data Pura Costos'!J2002)</f>
        <v/>
      </c>
      <c r="K2002" s="82" t="str">
        <f t="shared" si="36"/>
        <v/>
      </c>
    </row>
    <row r="2003" spans="2:11" x14ac:dyDescent="0.35">
      <c r="B2003" s="4" t="str">
        <f>+IF('Data Pura Costos'!B2003="","",'Data Pura Costos'!B2003)</f>
        <v/>
      </c>
      <c r="C2003" s="4" t="str">
        <f>+IF('Data Pura Costos'!C2003="","",'Data Pura Costos'!C2003)</f>
        <v/>
      </c>
      <c r="D2003" s="5" t="str">
        <f>+IF('Data Pura Costos'!D2003="","",'Data Pura Costos'!D2003)</f>
        <v/>
      </c>
      <c r="E2003" s="65" t="str">
        <f>+IF('Data Pura Costos'!E2003="","",IF('Data Pura Costos'!E2003=0,MAX('Data Pura Costos'!$E$7:$E$3000)*1000,'Data Pura Costos'!E2003))</f>
        <v/>
      </c>
      <c r="F2003" s="5" t="str">
        <f>+IF('Data Pura Costos'!F2003="","",'Data Pura Costos'!F2003)</f>
        <v/>
      </c>
      <c r="G2003" s="5" t="str">
        <f>+IF('Data Pura Costos'!G2003="","",'Data Pura Costos'!G2003)</f>
        <v/>
      </c>
      <c r="H2003" s="52" t="str">
        <f>+IF('Data Pura Costos'!H2003="","",'Data Pura Costos'!H2003)</f>
        <v/>
      </c>
      <c r="I2003" s="71" t="str">
        <f>+IF('Data Pura Costos'!I2003="","",'Data Pura Costos'!I2003)</f>
        <v/>
      </c>
      <c r="J2003" s="52" t="str">
        <f>+IF('Data Pura Costos'!J2003="","",'Data Pura Costos'!J2003)</f>
        <v/>
      </c>
      <c r="K2003" s="82" t="str">
        <f t="shared" si="36"/>
        <v/>
      </c>
    </row>
    <row r="2004" spans="2:11" x14ac:dyDescent="0.35">
      <c r="B2004" s="4" t="str">
        <f>+IF('Data Pura Costos'!B2004="","",'Data Pura Costos'!B2004)</f>
        <v/>
      </c>
      <c r="C2004" s="4" t="str">
        <f>+IF('Data Pura Costos'!C2004="","",'Data Pura Costos'!C2004)</f>
        <v/>
      </c>
      <c r="D2004" s="5" t="str">
        <f>+IF('Data Pura Costos'!D2004="","",'Data Pura Costos'!D2004)</f>
        <v/>
      </c>
      <c r="E2004" s="65" t="str">
        <f>+IF('Data Pura Costos'!E2004="","",IF('Data Pura Costos'!E2004=0,MAX('Data Pura Costos'!$E$7:$E$3000)*1000,'Data Pura Costos'!E2004))</f>
        <v/>
      </c>
      <c r="F2004" s="5" t="str">
        <f>+IF('Data Pura Costos'!F2004="","",'Data Pura Costos'!F2004)</f>
        <v/>
      </c>
      <c r="G2004" s="5" t="str">
        <f>+IF('Data Pura Costos'!G2004="","",'Data Pura Costos'!G2004)</f>
        <v/>
      </c>
      <c r="H2004" s="52" t="str">
        <f>+IF('Data Pura Costos'!H2004="","",'Data Pura Costos'!H2004)</f>
        <v/>
      </c>
      <c r="I2004" s="71" t="str">
        <f>+IF('Data Pura Costos'!I2004="","",'Data Pura Costos'!I2004)</f>
        <v/>
      </c>
      <c r="J2004" s="52" t="str">
        <f>+IF('Data Pura Costos'!J2004="","",'Data Pura Costos'!J2004)</f>
        <v/>
      </c>
      <c r="K2004" s="82" t="str">
        <f t="shared" si="36"/>
        <v/>
      </c>
    </row>
    <row r="2005" spans="2:11" x14ac:dyDescent="0.35">
      <c r="B2005" s="4" t="str">
        <f>+IF('Data Pura Costos'!B2005="","",'Data Pura Costos'!B2005)</f>
        <v/>
      </c>
      <c r="C2005" s="4" t="str">
        <f>+IF('Data Pura Costos'!C2005="","",'Data Pura Costos'!C2005)</f>
        <v/>
      </c>
      <c r="D2005" s="5" t="str">
        <f>+IF('Data Pura Costos'!D2005="","",'Data Pura Costos'!D2005)</f>
        <v/>
      </c>
      <c r="E2005" s="65" t="str">
        <f>+IF('Data Pura Costos'!E2005="","",IF('Data Pura Costos'!E2005=0,MAX('Data Pura Costos'!$E$7:$E$3000)*1000,'Data Pura Costos'!E2005))</f>
        <v/>
      </c>
      <c r="F2005" s="5" t="str">
        <f>+IF('Data Pura Costos'!F2005="","",'Data Pura Costos'!F2005)</f>
        <v/>
      </c>
      <c r="G2005" s="5" t="str">
        <f>+IF('Data Pura Costos'!G2005="","",'Data Pura Costos'!G2005)</f>
        <v/>
      </c>
      <c r="H2005" s="52" t="str">
        <f>+IF('Data Pura Costos'!H2005="","",'Data Pura Costos'!H2005)</f>
        <v/>
      </c>
      <c r="I2005" s="71" t="str">
        <f>+IF('Data Pura Costos'!I2005="","",'Data Pura Costos'!I2005)</f>
        <v/>
      </c>
      <c r="J2005" s="52" t="str">
        <f>+IF('Data Pura Costos'!J2005="","",'Data Pura Costos'!J2005)</f>
        <v/>
      </c>
      <c r="K2005" s="82" t="str">
        <f t="shared" si="36"/>
        <v/>
      </c>
    </row>
    <row r="2006" spans="2:11" x14ac:dyDescent="0.35">
      <c r="B2006" s="4" t="str">
        <f>+IF('Data Pura Costos'!B2006="","",'Data Pura Costos'!B2006)</f>
        <v/>
      </c>
      <c r="C2006" s="4" t="str">
        <f>+IF('Data Pura Costos'!C2006="","",'Data Pura Costos'!C2006)</f>
        <v/>
      </c>
      <c r="D2006" s="5" t="str">
        <f>+IF('Data Pura Costos'!D2006="","",'Data Pura Costos'!D2006)</f>
        <v/>
      </c>
      <c r="E2006" s="65" t="str">
        <f>+IF('Data Pura Costos'!E2006="","",IF('Data Pura Costos'!E2006=0,MAX('Data Pura Costos'!$E$7:$E$3000)*1000,'Data Pura Costos'!E2006))</f>
        <v/>
      </c>
      <c r="F2006" s="5" t="str">
        <f>+IF('Data Pura Costos'!F2006="","",'Data Pura Costos'!F2006)</f>
        <v/>
      </c>
      <c r="G2006" s="5" t="str">
        <f>+IF('Data Pura Costos'!G2006="","",'Data Pura Costos'!G2006)</f>
        <v/>
      </c>
      <c r="H2006" s="52" t="str">
        <f>+IF('Data Pura Costos'!H2006="","",'Data Pura Costos'!H2006)</f>
        <v/>
      </c>
      <c r="I2006" s="71" t="str">
        <f>+IF('Data Pura Costos'!I2006="","",'Data Pura Costos'!I2006)</f>
        <v/>
      </c>
      <c r="J2006" s="52" t="str">
        <f>+IF('Data Pura Costos'!J2006="","",'Data Pura Costos'!J2006)</f>
        <v/>
      </c>
      <c r="K2006" s="82" t="str">
        <f t="shared" si="36"/>
        <v/>
      </c>
    </row>
    <row r="2007" spans="2:11" x14ac:dyDescent="0.35">
      <c r="B2007" s="4" t="str">
        <f>+IF('Data Pura Costos'!B2007="","",'Data Pura Costos'!B2007)</f>
        <v/>
      </c>
      <c r="C2007" s="4" t="str">
        <f>+IF('Data Pura Costos'!C2007="","",'Data Pura Costos'!C2007)</f>
        <v/>
      </c>
      <c r="D2007" s="5" t="str">
        <f>+IF('Data Pura Costos'!D2007="","",'Data Pura Costos'!D2007)</f>
        <v/>
      </c>
      <c r="E2007" s="65" t="str">
        <f>+IF('Data Pura Costos'!E2007="","",IF('Data Pura Costos'!E2007=0,MAX('Data Pura Costos'!$E$7:$E$3000)*1000,'Data Pura Costos'!E2007))</f>
        <v/>
      </c>
      <c r="F2007" s="5" t="str">
        <f>+IF('Data Pura Costos'!F2007="","",'Data Pura Costos'!F2007)</f>
        <v/>
      </c>
      <c r="G2007" s="5" t="str">
        <f>+IF('Data Pura Costos'!G2007="","",'Data Pura Costos'!G2007)</f>
        <v/>
      </c>
      <c r="H2007" s="52" t="str">
        <f>+IF('Data Pura Costos'!H2007="","",'Data Pura Costos'!H2007)</f>
        <v/>
      </c>
      <c r="I2007" s="71" t="str">
        <f>+IF('Data Pura Costos'!I2007="","",'Data Pura Costos'!I2007)</f>
        <v/>
      </c>
      <c r="J2007" s="52" t="str">
        <f>+IF('Data Pura Costos'!J2007="","",'Data Pura Costos'!J2007)</f>
        <v/>
      </c>
      <c r="K2007" s="82" t="str">
        <f t="shared" si="36"/>
        <v/>
      </c>
    </row>
    <row r="2008" spans="2:11" x14ac:dyDescent="0.35">
      <c r="B2008" s="4" t="str">
        <f>+IF('Data Pura Costos'!B2008="","",'Data Pura Costos'!B2008)</f>
        <v/>
      </c>
      <c r="C2008" s="4" t="str">
        <f>+IF('Data Pura Costos'!C2008="","",'Data Pura Costos'!C2008)</f>
        <v/>
      </c>
      <c r="D2008" s="5" t="str">
        <f>+IF('Data Pura Costos'!D2008="","",'Data Pura Costos'!D2008)</f>
        <v/>
      </c>
      <c r="E2008" s="65" t="str">
        <f>+IF('Data Pura Costos'!E2008="","",IF('Data Pura Costos'!E2008=0,MAX('Data Pura Costos'!$E$7:$E$3000)*1000,'Data Pura Costos'!E2008))</f>
        <v/>
      </c>
      <c r="F2008" s="5" t="str">
        <f>+IF('Data Pura Costos'!F2008="","",'Data Pura Costos'!F2008)</f>
        <v/>
      </c>
      <c r="G2008" s="5" t="str">
        <f>+IF('Data Pura Costos'!G2008="","",'Data Pura Costos'!G2008)</f>
        <v/>
      </c>
      <c r="H2008" s="52" t="str">
        <f>+IF('Data Pura Costos'!H2008="","",'Data Pura Costos'!H2008)</f>
        <v/>
      </c>
      <c r="I2008" s="71" t="str">
        <f>+IF('Data Pura Costos'!I2008="","",'Data Pura Costos'!I2008)</f>
        <v/>
      </c>
      <c r="J2008" s="52" t="str">
        <f>+IF('Data Pura Costos'!J2008="","",'Data Pura Costos'!J2008)</f>
        <v/>
      </c>
      <c r="K2008" s="82" t="str">
        <f t="shared" si="36"/>
        <v/>
      </c>
    </row>
    <row r="2009" spans="2:11" x14ac:dyDescent="0.35">
      <c r="B2009" s="4" t="str">
        <f>+IF('Data Pura Costos'!B2009="","",'Data Pura Costos'!B2009)</f>
        <v/>
      </c>
      <c r="C2009" s="4" t="str">
        <f>+IF('Data Pura Costos'!C2009="","",'Data Pura Costos'!C2009)</f>
        <v/>
      </c>
      <c r="D2009" s="5" t="str">
        <f>+IF('Data Pura Costos'!D2009="","",'Data Pura Costos'!D2009)</f>
        <v/>
      </c>
      <c r="E2009" s="65" t="str">
        <f>+IF('Data Pura Costos'!E2009="","",IF('Data Pura Costos'!E2009=0,MAX('Data Pura Costos'!$E$7:$E$3000)*1000,'Data Pura Costos'!E2009))</f>
        <v/>
      </c>
      <c r="F2009" s="5" t="str">
        <f>+IF('Data Pura Costos'!F2009="","",'Data Pura Costos'!F2009)</f>
        <v/>
      </c>
      <c r="G2009" s="5" t="str">
        <f>+IF('Data Pura Costos'!G2009="","",'Data Pura Costos'!G2009)</f>
        <v/>
      </c>
      <c r="H2009" s="52" t="str">
        <f>+IF('Data Pura Costos'!H2009="","",'Data Pura Costos'!H2009)</f>
        <v/>
      </c>
      <c r="I2009" s="71" t="str">
        <f>+IF('Data Pura Costos'!I2009="","",'Data Pura Costos'!I2009)</f>
        <v/>
      </c>
      <c r="J2009" s="52" t="str">
        <f>+IF('Data Pura Costos'!J2009="","",'Data Pura Costos'!J2009)</f>
        <v/>
      </c>
      <c r="K2009" s="82" t="str">
        <f t="shared" si="36"/>
        <v/>
      </c>
    </row>
    <row r="2010" spans="2:11" x14ac:dyDescent="0.35">
      <c r="B2010" s="4" t="str">
        <f>+IF('Data Pura Costos'!B2010="","",'Data Pura Costos'!B2010)</f>
        <v/>
      </c>
      <c r="C2010" s="4" t="str">
        <f>+IF('Data Pura Costos'!C2010="","",'Data Pura Costos'!C2010)</f>
        <v/>
      </c>
      <c r="D2010" s="5" t="str">
        <f>+IF('Data Pura Costos'!D2010="","",'Data Pura Costos'!D2010)</f>
        <v/>
      </c>
      <c r="E2010" s="65" t="str">
        <f>+IF('Data Pura Costos'!E2010="","",IF('Data Pura Costos'!E2010=0,MAX('Data Pura Costos'!$E$7:$E$3000)*1000,'Data Pura Costos'!E2010))</f>
        <v/>
      </c>
      <c r="F2010" s="5" t="str">
        <f>+IF('Data Pura Costos'!F2010="","",'Data Pura Costos'!F2010)</f>
        <v/>
      </c>
      <c r="G2010" s="5" t="str">
        <f>+IF('Data Pura Costos'!G2010="","",'Data Pura Costos'!G2010)</f>
        <v/>
      </c>
      <c r="H2010" s="52" t="str">
        <f>+IF('Data Pura Costos'!H2010="","",'Data Pura Costos'!H2010)</f>
        <v/>
      </c>
      <c r="I2010" s="71" t="str">
        <f>+IF('Data Pura Costos'!I2010="","",'Data Pura Costos'!I2010)</f>
        <v/>
      </c>
      <c r="J2010" s="52" t="str">
        <f>+IF('Data Pura Costos'!J2010="","",'Data Pura Costos'!J2010)</f>
        <v/>
      </c>
      <c r="K2010" s="82" t="str">
        <f t="shared" si="36"/>
        <v/>
      </c>
    </row>
    <row r="2011" spans="2:11" x14ac:dyDescent="0.35">
      <c r="B2011" s="4" t="str">
        <f>+IF('Data Pura Costos'!B2011="","",'Data Pura Costos'!B2011)</f>
        <v/>
      </c>
      <c r="C2011" s="4" t="str">
        <f>+IF('Data Pura Costos'!C2011="","",'Data Pura Costos'!C2011)</f>
        <v/>
      </c>
      <c r="D2011" s="5" t="str">
        <f>+IF('Data Pura Costos'!D2011="","",'Data Pura Costos'!D2011)</f>
        <v/>
      </c>
      <c r="E2011" s="65" t="str">
        <f>+IF('Data Pura Costos'!E2011="","",IF('Data Pura Costos'!E2011=0,MAX('Data Pura Costos'!$E$7:$E$3000)*1000,'Data Pura Costos'!E2011))</f>
        <v/>
      </c>
      <c r="F2011" s="5" t="str">
        <f>+IF('Data Pura Costos'!F2011="","",'Data Pura Costos'!F2011)</f>
        <v/>
      </c>
      <c r="G2011" s="5" t="str">
        <f>+IF('Data Pura Costos'!G2011="","",'Data Pura Costos'!G2011)</f>
        <v/>
      </c>
      <c r="H2011" s="52" t="str">
        <f>+IF('Data Pura Costos'!H2011="","",'Data Pura Costos'!H2011)</f>
        <v/>
      </c>
      <c r="I2011" s="71" t="str">
        <f>+IF('Data Pura Costos'!I2011="","",'Data Pura Costos'!I2011)</f>
        <v/>
      </c>
      <c r="J2011" s="52" t="str">
        <f>+IF('Data Pura Costos'!J2011="","",'Data Pura Costos'!J2011)</f>
        <v/>
      </c>
      <c r="K2011" s="82" t="str">
        <f t="shared" si="36"/>
        <v/>
      </c>
    </row>
    <row r="2012" spans="2:11" x14ac:dyDescent="0.35">
      <c r="B2012" s="4" t="str">
        <f>+IF('Data Pura Costos'!B2012="","",'Data Pura Costos'!B2012)</f>
        <v/>
      </c>
      <c r="C2012" s="4" t="str">
        <f>+IF('Data Pura Costos'!C2012="","",'Data Pura Costos'!C2012)</f>
        <v/>
      </c>
      <c r="D2012" s="5" t="str">
        <f>+IF('Data Pura Costos'!D2012="","",'Data Pura Costos'!D2012)</f>
        <v/>
      </c>
      <c r="E2012" s="65" t="str">
        <f>+IF('Data Pura Costos'!E2012="","",IF('Data Pura Costos'!E2012=0,MAX('Data Pura Costos'!$E$7:$E$3000)*1000,'Data Pura Costos'!E2012))</f>
        <v/>
      </c>
      <c r="F2012" s="5" t="str">
        <f>+IF('Data Pura Costos'!F2012="","",'Data Pura Costos'!F2012)</f>
        <v/>
      </c>
      <c r="G2012" s="5" t="str">
        <f>+IF('Data Pura Costos'!G2012="","",'Data Pura Costos'!G2012)</f>
        <v/>
      </c>
      <c r="H2012" s="52" t="str">
        <f>+IF('Data Pura Costos'!H2012="","",'Data Pura Costos'!H2012)</f>
        <v/>
      </c>
      <c r="I2012" s="71" t="str">
        <f>+IF('Data Pura Costos'!I2012="","",'Data Pura Costos'!I2012)</f>
        <v/>
      </c>
      <c r="J2012" s="52" t="str">
        <f>+IF('Data Pura Costos'!J2012="","",'Data Pura Costos'!J2012)</f>
        <v/>
      </c>
      <c r="K2012" s="82" t="str">
        <f t="shared" si="36"/>
        <v/>
      </c>
    </row>
    <row r="2013" spans="2:11" x14ac:dyDescent="0.35">
      <c r="B2013" s="4" t="str">
        <f>+IF('Data Pura Costos'!B2013="","",'Data Pura Costos'!B2013)</f>
        <v/>
      </c>
      <c r="C2013" s="4" t="str">
        <f>+IF('Data Pura Costos'!C2013="","",'Data Pura Costos'!C2013)</f>
        <v/>
      </c>
      <c r="D2013" s="5" t="str">
        <f>+IF('Data Pura Costos'!D2013="","",'Data Pura Costos'!D2013)</f>
        <v/>
      </c>
      <c r="E2013" s="65" t="str">
        <f>+IF('Data Pura Costos'!E2013="","",IF('Data Pura Costos'!E2013=0,MAX('Data Pura Costos'!$E$7:$E$3000)*1000,'Data Pura Costos'!E2013))</f>
        <v/>
      </c>
      <c r="F2013" s="5" t="str">
        <f>+IF('Data Pura Costos'!F2013="","",'Data Pura Costos'!F2013)</f>
        <v/>
      </c>
      <c r="G2013" s="5" t="str">
        <f>+IF('Data Pura Costos'!G2013="","",'Data Pura Costos'!G2013)</f>
        <v/>
      </c>
      <c r="H2013" s="52" t="str">
        <f>+IF('Data Pura Costos'!H2013="","",'Data Pura Costos'!H2013)</f>
        <v/>
      </c>
      <c r="I2013" s="71" t="str">
        <f>+IF('Data Pura Costos'!I2013="","",'Data Pura Costos'!I2013)</f>
        <v/>
      </c>
      <c r="J2013" s="52" t="str">
        <f>+IF('Data Pura Costos'!J2013="","",'Data Pura Costos'!J2013)</f>
        <v/>
      </c>
      <c r="K2013" s="82" t="str">
        <f t="shared" si="36"/>
        <v/>
      </c>
    </row>
    <row r="2014" spans="2:11" x14ac:dyDescent="0.35">
      <c r="B2014" s="4" t="str">
        <f>+IF('Data Pura Costos'!B2014="","",'Data Pura Costos'!B2014)</f>
        <v/>
      </c>
      <c r="C2014" s="4" t="str">
        <f>+IF('Data Pura Costos'!C2014="","",'Data Pura Costos'!C2014)</f>
        <v/>
      </c>
      <c r="D2014" s="5" t="str">
        <f>+IF('Data Pura Costos'!D2014="","",'Data Pura Costos'!D2014)</f>
        <v/>
      </c>
      <c r="E2014" s="65" t="str">
        <f>+IF('Data Pura Costos'!E2014="","",IF('Data Pura Costos'!E2014=0,MAX('Data Pura Costos'!$E$7:$E$3000)*1000,'Data Pura Costos'!E2014))</f>
        <v/>
      </c>
      <c r="F2014" s="5" t="str">
        <f>+IF('Data Pura Costos'!F2014="","",'Data Pura Costos'!F2014)</f>
        <v/>
      </c>
      <c r="G2014" s="5" t="str">
        <f>+IF('Data Pura Costos'!G2014="","",'Data Pura Costos'!G2014)</f>
        <v/>
      </c>
      <c r="H2014" s="52" t="str">
        <f>+IF('Data Pura Costos'!H2014="","",'Data Pura Costos'!H2014)</f>
        <v/>
      </c>
      <c r="I2014" s="71" t="str">
        <f>+IF('Data Pura Costos'!I2014="","",'Data Pura Costos'!I2014)</f>
        <v/>
      </c>
      <c r="J2014" s="52" t="str">
        <f>+IF('Data Pura Costos'!J2014="","",'Data Pura Costos'!J2014)</f>
        <v/>
      </c>
      <c r="K2014" s="82" t="str">
        <f t="shared" si="36"/>
        <v/>
      </c>
    </row>
    <row r="2015" spans="2:11" x14ac:dyDescent="0.35">
      <c r="B2015" s="4" t="str">
        <f>+IF('Data Pura Costos'!B2015="","",'Data Pura Costos'!B2015)</f>
        <v/>
      </c>
      <c r="C2015" s="4" t="str">
        <f>+IF('Data Pura Costos'!C2015="","",'Data Pura Costos'!C2015)</f>
        <v/>
      </c>
      <c r="D2015" s="5" t="str">
        <f>+IF('Data Pura Costos'!D2015="","",'Data Pura Costos'!D2015)</f>
        <v/>
      </c>
      <c r="E2015" s="65" t="str">
        <f>+IF('Data Pura Costos'!E2015="","",IF('Data Pura Costos'!E2015=0,MAX('Data Pura Costos'!$E$7:$E$3000)*1000,'Data Pura Costos'!E2015))</f>
        <v/>
      </c>
      <c r="F2015" s="5" t="str">
        <f>+IF('Data Pura Costos'!F2015="","",'Data Pura Costos'!F2015)</f>
        <v/>
      </c>
      <c r="G2015" s="5" t="str">
        <f>+IF('Data Pura Costos'!G2015="","",'Data Pura Costos'!G2015)</f>
        <v/>
      </c>
      <c r="H2015" s="52" t="str">
        <f>+IF('Data Pura Costos'!H2015="","",'Data Pura Costos'!H2015)</f>
        <v/>
      </c>
      <c r="I2015" s="71" t="str">
        <f>+IF('Data Pura Costos'!I2015="","",'Data Pura Costos'!I2015)</f>
        <v/>
      </c>
      <c r="J2015" s="52" t="str">
        <f>+IF('Data Pura Costos'!J2015="","",'Data Pura Costos'!J2015)</f>
        <v/>
      </c>
      <c r="K2015" s="82" t="str">
        <f t="shared" si="36"/>
        <v/>
      </c>
    </row>
    <row r="2016" spans="2:11" x14ac:dyDescent="0.35">
      <c r="B2016" s="4" t="str">
        <f>+IF('Data Pura Costos'!B2016="","",'Data Pura Costos'!B2016)</f>
        <v/>
      </c>
      <c r="C2016" s="4" t="str">
        <f>+IF('Data Pura Costos'!C2016="","",'Data Pura Costos'!C2016)</f>
        <v/>
      </c>
      <c r="D2016" s="5" t="str">
        <f>+IF('Data Pura Costos'!D2016="","",'Data Pura Costos'!D2016)</f>
        <v/>
      </c>
      <c r="E2016" s="65" t="str">
        <f>+IF('Data Pura Costos'!E2016="","",IF('Data Pura Costos'!E2016=0,MAX('Data Pura Costos'!$E$7:$E$3000)*1000,'Data Pura Costos'!E2016))</f>
        <v/>
      </c>
      <c r="F2016" s="5" t="str">
        <f>+IF('Data Pura Costos'!F2016="","",'Data Pura Costos'!F2016)</f>
        <v/>
      </c>
      <c r="G2016" s="5" t="str">
        <f>+IF('Data Pura Costos'!G2016="","",'Data Pura Costos'!G2016)</f>
        <v/>
      </c>
      <c r="H2016" s="52" t="str">
        <f>+IF('Data Pura Costos'!H2016="","",'Data Pura Costos'!H2016)</f>
        <v/>
      </c>
      <c r="I2016" s="71" t="str">
        <f>+IF('Data Pura Costos'!I2016="","",'Data Pura Costos'!I2016)</f>
        <v/>
      </c>
      <c r="J2016" s="52" t="str">
        <f>+IF('Data Pura Costos'!J2016="","",'Data Pura Costos'!J2016)</f>
        <v/>
      </c>
      <c r="K2016" s="82" t="str">
        <f t="shared" si="36"/>
        <v/>
      </c>
    </row>
    <row r="2017" spans="2:11" x14ac:dyDescent="0.35">
      <c r="B2017" s="4" t="str">
        <f>+IF('Data Pura Costos'!B2017="","",'Data Pura Costos'!B2017)</f>
        <v/>
      </c>
      <c r="C2017" s="4" t="str">
        <f>+IF('Data Pura Costos'!C2017="","",'Data Pura Costos'!C2017)</f>
        <v/>
      </c>
      <c r="D2017" s="5" t="str">
        <f>+IF('Data Pura Costos'!D2017="","",'Data Pura Costos'!D2017)</f>
        <v/>
      </c>
      <c r="E2017" s="65" t="str">
        <f>+IF('Data Pura Costos'!E2017="","",IF('Data Pura Costos'!E2017=0,MAX('Data Pura Costos'!$E$7:$E$3000)*1000,'Data Pura Costos'!E2017))</f>
        <v/>
      </c>
      <c r="F2017" s="5" t="str">
        <f>+IF('Data Pura Costos'!F2017="","",'Data Pura Costos'!F2017)</f>
        <v/>
      </c>
      <c r="G2017" s="5" t="str">
        <f>+IF('Data Pura Costos'!G2017="","",'Data Pura Costos'!G2017)</f>
        <v/>
      </c>
      <c r="H2017" s="52" t="str">
        <f>+IF('Data Pura Costos'!H2017="","",'Data Pura Costos'!H2017)</f>
        <v/>
      </c>
      <c r="I2017" s="71" t="str">
        <f>+IF('Data Pura Costos'!I2017="","",'Data Pura Costos'!I2017)</f>
        <v/>
      </c>
      <c r="J2017" s="52" t="str">
        <f>+IF('Data Pura Costos'!J2017="","",'Data Pura Costos'!J2017)</f>
        <v/>
      </c>
      <c r="K2017" s="82" t="str">
        <f t="shared" si="36"/>
        <v/>
      </c>
    </row>
    <row r="2018" spans="2:11" x14ac:dyDescent="0.35">
      <c r="B2018" s="4" t="str">
        <f>+IF('Data Pura Costos'!B2018="","",'Data Pura Costos'!B2018)</f>
        <v/>
      </c>
      <c r="C2018" s="4" t="str">
        <f>+IF('Data Pura Costos'!C2018="","",'Data Pura Costos'!C2018)</f>
        <v/>
      </c>
      <c r="D2018" s="5" t="str">
        <f>+IF('Data Pura Costos'!D2018="","",'Data Pura Costos'!D2018)</f>
        <v/>
      </c>
      <c r="E2018" s="65" t="str">
        <f>+IF('Data Pura Costos'!E2018="","",IF('Data Pura Costos'!E2018=0,MAX('Data Pura Costos'!$E$7:$E$3000)*1000,'Data Pura Costos'!E2018))</f>
        <v/>
      </c>
      <c r="F2018" s="5" t="str">
        <f>+IF('Data Pura Costos'!F2018="","",'Data Pura Costos'!F2018)</f>
        <v/>
      </c>
      <c r="G2018" s="5" t="str">
        <f>+IF('Data Pura Costos'!G2018="","",'Data Pura Costos'!G2018)</f>
        <v/>
      </c>
      <c r="H2018" s="52" t="str">
        <f>+IF('Data Pura Costos'!H2018="","",'Data Pura Costos'!H2018)</f>
        <v/>
      </c>
      <c r="I2018" s="71" t="str">
        <f>+IF('Data Pura Costos'!I2018="","",'Data Pura Costos'!I2018)</f>
        <v/>
      </c>
      <c r="J2018" s="52" t="str">
        <f>+IF('Data Pura Costos'!J2018="","",'Data Pura Costos'!J2018)</f>
        <v/>
      </c>
      <c r="K2018" s="82" t="str">
        <f t="shared" si="36"/>
        <v/>
      </c>
    </row>
    <row r="2019" spans="2:11" x14ac:dyDescent="0.35">
      <c r="B2019" s="4" t="str">
        <f>+IF('Data Pura Costos'!B2019="","",'Data Pura Costos'!B2019)</f>
        <v/>
      </c>
      <c r="C2019" s="4" t="str">
        <f>+IF('Data Pura Costos'!C2019="","",'Data Pura Costos'!C2019)</f>
        <v/>
      </c>
      <c r="D2019" s="5" t="str">
        <f>+IF('Data Pura Costos'!D2019="","",'Data Pura Costos'!D2019)</f>
        <v/>
      </c>
      <c r="E2019" s="65" t="str">
        <f>+IF('Data Pura Costos'!E2019="","",IF('Data Pura Costos'!E2019=0,MAX('Data Pura Costos'!$E$7:$E$3000)*1000,'Data Pura Costos'!E2019))</f>
        <v/>
      </c>
      <c r="F2019" s="5" t="str">
        <f>+IF('Data Pura Costos'!F2019="","",'Data Pura Costos'!F2019)</f>
        <v/>
      </c>
      <c r="G2019" s="5" t="str">
        <f>+IF('Data Pura Costos'!G2019="","",'Data Pura Costos'!G2019)</f>
        <v/>
      </c>
      <c r="H2019" s="52" t="str">
        <f>+IF('Data Pura Costos'!H2019="","",'Data Pura Costos'!H2019)</f>
        <v/>
      </c>
      <c r="I2019" s="71" t="str">
        <f>+IF('Data Pura Costos'!I2019="","",'Data Pura Costos'!I2019)</f>
        <v/>
      </c>
      <c r="J2019" s="52" t="str">
        <f>+IF('Data Pura Costos'!J2019="","",'Data Pura Costos'!J2019)</f>
        <v/>
      </c>
      <c r="K2019" s="82" t="str">
        <f t="shared" si="36"/>
        <v/>
      </c>
    </row>
    <row r="2020" spans="2:11" x14ac:dyDescent="0.35">
      <c r="B2020" s="4" t="str">
        <f>+IF('Data Pura Costos'!B2020="","",'Data Pura Costos'!B2020)</f>
        <v/>
      </c>
      <c r="C2020" s="4" t="str">
        <f>+IF('Data Pura Costos'!C2020="","",'Data Pura Costos'!C2020)</f>
        <v/>
      </c>
      <c r="D2020" s="5" t="str">
        <f>+IF('Data Pura Costos'!D2020="","",'Data Pura Costos'!D2020)</f>
        <v/>
      </c>
      <c r="E2020" s="65" t="str">
        <f>+IF('Data Pura Costos'!E2020="","",IF('Data Pura Costos'!E2020=0,MAX('Data Pura Costos'!$E$7:$E$3000)*1000,'Data Pura Costos'!E2020))</f>
        <v/>
      </c>
      <c r="F2020" s="5" t="str">
        <f>+IF('Data Pura Costos'!F2020="","",'Data Pura Costos'!F2020)</f>
        <v/>
      </c>
      <c r="G2020" s="5" t="str">
        <f>+IF('Data Pura Costos'!G2020="","",'Data Pura Costos'!G2020)</f>
        <v/>
      </c>
      <c r="H2020" s="52" t="str">
        <f>+IF('Data Pura Costos'!H2020="","",'Data Pura Costos'!H2020)</f>
        <v/>
      </c>
      <c r="I2020" s="71" t="str">
        <f>+IF('Data Pura Costos'!I2020="","",'Data Pura Costos'!I2020)</f>
        <v/>
      </c>
      <c r="J2020" s="52" t="str">
        <f>+IF('Data Pura Costos'!J2020="","",'Data Pura Costos'!J2020)</f>
        <v/>
      </c>
      <c r="K2020" s="82" t="str">
        <f t="shared" si="36"/>
        <v/>
      </c>
    </row>
    <row r="2021" spans="2:11" x14ac:dyDescent="0.35">
      <c r="B2021" s="4" t="str">
        <f>+IF('Data Pura Costos'!B2021="","",'Data Pura Costos'!B2021)</f>
        <v/>
      </c>
      <c r="C2021" s="4" t="str">
        <f>+IF('Data Pura Costos'!C2021="","",'Data Pura Costos'!C2021)</f>
        <v/>
      </c>
      <c r="D2021" s="5" t="str">
        <f>+IF('Data Pura Costos'!D2021="","",'Data Pura Costos'!D2021)</f>
        <v/>
      </c>
      <c r="E2021" s="65" t="str">
        <f>+IF('Data Pura Costos'!E2021="","",IF('Data Pura Costos'!E2021=0,MAX('Data Pura Costos'!$E$7:$E$3000)*1000,'Data Pura Costos'!E2021))</f>
        <v/>
      </c>
      <c r="F2021" s="5" t="str">
        <f>+IF('Data Pura Costos'!F2021="","",'Data Pura Costos'!F2021)</f>
        <v/>
      </c>
      <c r="G2021" s="5" t="str">
        <f>+IF('Data Pura Costos'!G2021="","",'Data Pura Costos'!G2021)</f>
        <v/>
      </c>
      <c r="H2021" s="52" t="str">
        <f>+IF('Data Pura Costos'!H2021="","",'Data Pura Costos'!H2021)</f>
        <v/>
      </c>
      <c r="I2021" s="71" t="str">
        <f>+IF('Data Pura Costos'!I2021="","",'Data Pura Costos'!I2021)</f>
        <v/>
      </c>
      <c r="J2021" s="52" t="str">
        <f>+IF('Data Pura Costos'!J2021="","",'Data Pura Costos'!J2021)</f>
        <v/>
      </c>
      <c r="K2021" s="82" t="str">
        <f t="shared" si="36"/>
        <v/>
      </c>
    </row>
    <row r="2022" spans="2:11" x14ac:dyDescent="0.35">
      <c r="B2022" s="4" t="str">
        <f>+IF('Data Pura Costos'!B2022="","",'Data Pura Costos'!B2022)</f>
        <v/>
      </c>
      <c r="C2022" s="4" t="str">
        <f>+IF('Data Pura Costos'!C2022="","",'Data Pura Costos'!C2022)</f>
        <v/>
      </c>
      <c r="D2022" s="5" t="str">
        <f>+IF('Data Pura Costos'!D2022="","",'Data Pura Costos'!D2022)</f>
        <v/>
      </c>
      <c r="E2022" s="65" t="str">
        <f>+IF('Data Pura Costos'!E2022="","",IF('Data Pura Costos'!E2022=0,MAX('Data Pura Costos'!$E$7:$E$3000)*1000,'Data Pura Costos'!E2022))</f>
        <v/>
      </c>
      <c r="F2022" s="5" t="str">
        <f>+IF('Data Pura Costos'!F2022="","",'Data Pura Costos'!F2022)</f>
        <v/>
      </c>
      <c r="G2022" s="5" t="str">
        <f>+IF('Data Pura Costos'!G2022="","",'Data Pura Costos'!G2022)</f>
        <v/>
      </c>
      <c r="H2022" s="52" t="str">
        <f>+IF('Data Pura Costos'!H2022="","",'Data Pura Costos'!H2022)</f>
        <v/>
      </c>
      <c r="I2022" s="71" t="str">
        <f>+IF('Data Pura Costos'!I2022="","",'Data Pura Costos'!I2022)</f>
        <v/>
      </c>
      <c r="J2022" s="52" t="str">
        <f>+IF('Data Pura Costos'!J2022="","",'Data Pura Costos'!J2022)</f>
        <v/>
      </c>
      <c r="K2022" s="82" t="str">
        <f t="shared" si="36"/>
        <v/>
      </c>
    </row>
    <row r="2023" spans="2:11" x14ac:dyDescent="0.35">
      <c r="B2023" s="4" t="str">
        <f>+IF('Data Pura Costos'!B2023="","",'Data Pura Costos'!B2023)</f>
        <v/>
      </c>
      <c r="C2023" s="4" t="str">
        <f>+IF('Data Pura Costos'!C2023="","",'Data Pura Costos'!C2023)</f>
        <v/>
      </c>
      <c r="D2023" s="5" t="str">
        <f>+IF('Data Pura Costos'!D2023="","",'Data Pura Costos'!D2023)</f>
        <v/>
      </c>
      <c r="E2023" s="65" t="str">
        <f>+IF('Data Pura Costos'!E2023="","",IF('Data Pura Costos'!E2023=0,MAX('Data Pura Costos'!$E$7:$E$3000)*1000,'Data Pura Costos'!E2023))</f>
        <v/>
      </c>
      <c r="F2023" s="5" t="str">
        <f>+IF('Data Pura Costos'!F2023="","",'Data Pura Costos'!F2023)</f>
        <v/>
      </c>
      <c r="G2023" s="5" t="str">
        <f>+IF('Data Pura Costos'!G2023="","",'Data Pura Costos'!G2023)</f>
        <v/>
      </c>
      <c r="H2023" s="52" t="str">
        <f>+IF('Data Pura Costos'!H2023="","",'Data Pura Costos'!H2023)</f>
        <v/>
      </c>
      <c r="I2023" s="71" t="str">
        <f>+IF('Data Pura Costos'!I2023="","",'Data Pura Costos'!I2023)</f>
        <v/>
      </c>
      <c r="J2023" s="52" t="str">
        <f>+IF('Data Pura Costos'!J2023="","",'Data Pura Costos'!J2023)</f>
        <v/>
      </c>
      <c r="K2023" s="82" t="str">
        <f t="shared" si="36"/>
        <v/>
      </c>
    </row>
    <row r="2024" spans="2:11" x14ac:dyDescent="0.35">
      <c r="B2024" s="4" t="str">
        <f>+IF('Data Pura Costos'!B2024="","",'Data Pura Costos'!B2024)</f>
        <v/>
      </c>
      <c r="C2024" s="4" t="str">
        <f>+IF('Data Pura Costos'!C2024="","",'Data Pura Costos'!C2024)</f>
        <v/>
      </c>
      <c r="D2024" s="5" t="str">
        <f>+IF('Data Pura Costos'!D2024="","",'Data Pura Costos'!D2024)</f>
        <v/>
      </c>
      <c r="E2024" s="65" t="str">
        <f>+IF('Data Pura Costos'!E2024="","",IF('Data Pura Costos'!E2024=0,MAX('Data Pura Costos'!$E$7:$E$3000)*1000,'Data Pura Costos'!E2024))</f>
        <v/>
      </c>
      <c r="F2024" s="5" t="str">
        <f>+IF('Data Pura Costos'!F2024="","",'Data Pura Costos'!F2024)</f>
        <v/>
      </c>
      <c r="G2024" s="5" t="str">
        <f>+IF('Data Pura Costos'!G2024="","",'Data Pura Costos'!G2024)</f>
        <v/>
      </c>
      <c r="H2024" s="52" t="str">
        <f>+IF('Data Pura Costos'!H2024="","",'Data Pura Costos'!H2024)</f>
        <v/>
      </c>
      <c r="I2024" s="71" t="str">
        <f>+IF('Data Pura Costos'!I2024="","",'Data Pura Costos'!I2024)</f>
        <v/>
      </c>
      <c r="J2024" s="52" t="str">
        <f>+IF('Data Pura Costos'!J2024="","",'Data Pura Costos'!J2024)</f>
        <v/>
      </c>
      <c r="K2024" s="82" t="str">
        <f t="shared" si="36"/>
        <v/>
      </c>
    </row>
    <row r="2025" spans="2:11" x14ac:dyDescent="0.35">
      <c r="B2025" s="4" t="str">
        <f>+IF('Data Pura Costos'!B2025="","",'Data Pura Costos'!B2025)</f>
        <v/>
      </c>
      <c r="C2025" s="4" t="str">
        <f>+IF('Data Pura Costos'!C2025="","",'Data Pura Costos'!C2025)</f>
        <v/>
      </c>
      <c r="D2025" s="5" t="str">
        <f>+IF('Data Pura Costos'!D2025="","",'Data Pura Costos'!D2025)</f>
        <v/>
      </c>
      <c r="E2025" s="65" t="str">
        <f>+IF('Data Pura Costos'!E2025="","",IF('Data Pura Costos'!E2025=0,MAX('Data Pura Costos'!$E$7:$E$3000)*1000,'Data Pura Costos'!E2025))</f>
        <v/>
      </c>
      <c r="F2025" s="5" t="str">
        <f>+IF('Data Pura Costos'!F2025="","",'Data Pura Costos'!F2025)</f>
        <v/>
      </c>
      <c r="G2025" s="5" t="str">
        <f>+IF('Data Pura Costos'!G2025="","",'Data Pura Costos'!G2025)</f>
        <v/>
      </c>
      <c r="H2025" s="52" t="str">
        <f>+IF('Data Pura Costos'!H2025="","",'Data Pura Costos'!H2025)</f>
        <v/>
      </c>
      <c r="I2025" s="71" t="str">
        <f>+IF('Data Pura Costos'!I2025="","",'Data Pura Costos'!I2025)</f>
        <v/>
      </c>
      <c r="J2025" s="52" t="str">
        <f>+IF('Data Pura Costos'!J2025="","",'Data Pura Costos'!J2025)</f>
        <v/>
      </c>
      <c r="K2025" s="82" t="str">
        <f t="shared" si="36"/>
        <v/>
      </c>
    </row>
    <row r="2026" spans="2:11" x14ac:dyDescent="0.35">
      <c r="B2026" s="4" t="str">
        <f>+IF('Data Pura Costos'!B2026="","",'Data Pura Costos'!B2026)</f>
        <v/>
      </c>
      <c r="C2026" s="4" t="str">
        <f>+IF('Data Pura Costos'!C2026="","",'Data Pura Costos'!C2026)</f>
        <v/>
      </c>
      <c r="D2026" s="5" t="str">
        <f>+IF('Data Pura Costos'!D2026="","",'Data Pura Costos'!D2026)</f>
        <v/>
      </c>
      <c r="E2026" s="65" t="str">
        <f>+IF('Data Pura Costos'!E2026="","",IF('Data Pura Costos'!E2026=0,MAX('Data Pura Costos'!$E$7:$E$3000)*1000,'Data Pura Costos'!E2026))</f>
        <v/>
      </c>
      <c r="F2026" s="5" t="str">
        <f>+IF('Data Pura Costos'!F2026="","",'Data Pura Costos'!F2026)</f>
        <v/>
      </c>
      <c r="G2026" s="5" t="str">
        <f>+IF('Data Pura Costos'!G2026="","",'Data Pura Costos'!G2026)</f>
        <v/>
      </c>
      <c r="H2026" s="52" t="str">
        <f>+IF('Data Pura Costos'!H2026="","",'Data Pura Costos'!H2026)</f>
        <v/>
      </c>
      <c r="I2026" s="71" t="str">
        <f>+IF('Data Pura Costos'!I2026="","",'Data Pura Costos'!I2026)</f>
        <v/>
      </c>
      <c r="J2026" s="52" t="str">
        <f>+IF('Data Pura Costos'!J2026="","",'Data Pura Costos'!J2026)</f>
        <v/>
      </c>
      <c r="K2026" s="82" t="str">
        <f t="shared" si="36"/>
        <v/>
      </c>
    </row>
    <row r="2027" spans="2:11" x14ac:dyDescent="0.35">
      <c r="B2027" s="4" t="str">
        <f>+IF('Data Pura Costos'!B2027="","",'Data Pura Costos'!B2027)</f>
        <v/>
      </c>
      <c r="C2027" s="4" t="str">
        <f>+IF('Data Pura Costos'!C2027="","",'Data Pura Costos'!C2027)</f>
        <v/>
      </c>
      <c r="D2027" s="5" t="str">
        <f>+IF('Data Pura Costos'!D2027="","",'Data Pura Costos'!D2027)</f>
        <v/>
      </c>
      <c r="E2027" s="65" t="str">
        <f>+IF('Data Pura Costos'!E2027="","",IF('Data Pura Costos'!E2027=0,MAX('Data Pura Costos'!$E$7:$E$3000)*1000,'Data Pura Costos'!E2027))</f>
        <v/>
      </c>
      <c r="F2027" s="5" t="str">
        <f>+IF('Data Pura Costos'!F2027="","",'Data Pura Costos'!F2027)</f>
        <v/>
      </c>
      <c r="G2027" s="5" t="str">
        <f>+IF('Data Pura Costos'!G2027="","",'Data Pura Costos'!G2027)</f>
        <v/>
      </c>
      <c r="H2027" s="52" t="str">
        <f>+IF('Data Pura Costos'!H2027="","",'Data Pura Costos'!H2027)</f>
        <v/>
      </c>
      <c r="I2027" s="71" t="str">
        <f>+IF('Data Pura Costos'!I2027="","",'Data Pura Costos'!I2027)</f>
        <v/>
      </c>
      <c r="J2027" s="52" t="str">
        <f>+IF('Data Pura Costos'!J2027="","",'Data Pura Costos'!J2027)</f>
        <v/>
      </c>
      <c r="K2027" s="82" t="str">
        <f t="shared" si="36"/>
        <v/>
      </c>
    </row>
    <row r="2028" spans="2:11" x14ac:dyDescent="0.35">
      <c r="B2028" s="4" t="str">
        <f>+IF('Data Pura Costos'!B2028="","",'Data Pura Costos'!B2028)</f>
        <v/>
      </c>
      <c r="C2028" s="4" t="str">
        <f>+IF('Data Pura Costos'!C2028="","",'Data Pura Costos'!C2028)</f>
        <v/>
      </c>
      <c r="D2028" s="5" t="str">
        <f>+IF('Data Pura Costos'!D2028="","",'Data Pura Costos'!D2028)</f>
        <v/>
      </c>
      <c r="E2028" s="65" t="str">
        <f>+IF('Data Pura Costos'!E2028="","",IF('Data Pura Costos'!E2028=0,MAX('Data Pura Costos'!$E$7:$E$3000)*1000,'Data Pura Costos'!E2028))</f>
        <v/>
      </c>
      <c r="F2028" s="5" t="str">
        <f>+IF('Data Pura Costos'!F2028="","",'Data Pura Costos'!F2028)</f>
        <v/>
      </c>
      <c r="G2028" s="5" t="str">
        <f>+IF('Data Pura Costos'!G2028="","",'Data Pura Costos'!G2028)</f>
        <v/>
      </c>
      <c r="H2028" s="52" t="str">
        <f>+IF('Data Pura Costos'!H2028="","",'Data Pura Costos'!H2028)</f>
        <v/>
      </c>
      <c r="I2028" s="71" t="str">
        <f>+IF('Data Pura Costos'!I2028="","",'Data Pura Costos'!I2028)</f>
        <v/>
      </c>
      <c r="J2028" s="52" t="str">
        <f>+IF('Data Pura Costos'!J2028="","",'Data Pura Costos'!J2028)</f>
        <v/>
      </c>
      <c r="K2028" s="82" t="str">
        <f t="shared" si="36"/>
        <v/>
      </c>
    </row>
    <row r="2029" spans="2:11" x14ac:dyDescent="0.35">
      <c r="B2029" s="4" t="str">
        <f>+IF('Data Pura Costos'!B2029="","",'Data Pura Costos'!B2029)</f>
        <v/>
      </c>
      <c r="C2029" s="4" t="str">
        <f>+IF('Data Pura Costos'!C2029="","",'Data Pura Costos'!C2029)</f>
        <v/>
      </c>
      <c r="D2029" s="5" t="str">
        <f>+IF('Data Pura Costos'!D2029="","",'Data Pura Costos'!D2029)</f>
        <v/>
      </c>
      <c r="E2029" s="65" t="str">
        <f>+IF('Data Pura Costos'!E2029="","",IF('Data Pura Costos'!E2029=0,MAX('Data Pura Costos'!$E$7:$E$3000)*1000,'Data Pura Costos'!E2029))</f>
        <v/>
      </c>
      <c r="F2029" s="5" t="str">
        <f>+IF('Data Pura Costos'!F2029="","",'Data Pura Costos'!F2029)</f>
        <v/>
      </c>
      <c r="G2029" s="5" t="str">
        <f>+IF('Data Pura Costos'!G2029="","",'Data Pura Costos'!G2029)</f>
        <v/>
      </c>
      <c r="H2029" s="52" t="str">
        <f>+IF('Data Pura Costos'!H2029="","",'Data Pura Costos'!H2029)</f>
        <v/>
      </c>
      <c r="I2029" s="71" t="str">
        <f>+IF('Data Pura Costos'!I2029="","",'Data Pura Costos'!I2029)</f>
        <v/>
      </c>
      <c r="J2029" s="52" t="str">
        <f>+IF('Data Pura Costos'!J2029="","",'Data Pura Costos'!J2029)</f>
        <v/>
      </c>
      <c r="K2029" s="82" t="str">
        <f t="shared" si="36"/>
        <v/>
      </c>
    </row>
    <row r="2030" spans="2:11" x14ac:dyDescent="0.35">
      <c r="B2030" s="4" t="str">
        <f>+IF('Data Pura Costos'!B2030="","",'Data Pura Costos'!B2030)</f>
        <v/>
      </c>
      <c r="C2030" s="4" t="str">
        <f>+IF('Data Pura Costos'!C2030="","",'Data Pura Costos'!C2030)</f>
        <v/>
      </c>
      <c r="D2030" s="5" t="str">
        <f>+IF('Data Pura Costos'!D2030="","",'Data Pura Costos'!D2030)</f>
        <v/>
      </c>
      <c r="E2030" s="65" t="str">
        <f>+IF('Data Pura Costos'!E2030="","",IF('Data Pura Costos'!E2030=0,MAX('Data Pura Costos'!$E$7:$E$3000)*1000,'Data Pura Costos'!E2030))</f>
        <v/>
      </c>
      <c r="F2030" s="5" t="str">
        <f>+IF('Data Pura Costos'!F2030="","",'Data Pura Costos'!F2030)</f>
        <v/>
      </c>
      <c r="G2030" s="5" t="str">
        <f>+IF('Data Pura Costos'!G2030="","",'Data Pura Costos'!G2030)</f>
        <v/>
      </c>
      <c r="H2030" s="52" t="str">
        <f>+IF('Data Pura Costos'!H2030="","",'Data Pura Costos'!H2030)</f>
        <v/>
      </c>
      <c r="I2030" s="71" t="str">
        <f>+IF('Data Pura Costos'!I2030="","",'Data Pura Costos'!I2030)</f>
        <v/>
      </c>
      <c r="J2030" s="52" t="str">
        <f>+IF('Data Pura Costos'!J2030="","",'Data Pura Costos'!J2030)</f>
        <v/>
      </c>
      <c r="K2030" s="82" t="str">
        <f t="shared" si="36"/>
        <v/>
      </c>
    </row>
    <row r="2031" spans="2:11" x14ac:dyDescent="0.35">
      <c r="B2031" s="4" t="str">
        <f>+IF('Data Pura Costos'!B2031="","",'Data Pura Costos'!B2031)</f>
        <v/>
      </c>
      <c r="C2031" s="4" t="str">
        <f>+IF('Data Pura Costos'!C2031="","",'Data Pura Costos'!C2031)</f>
        <v/>
      </c>
      <c r="D2031" s="5" t="str">
        <f>+IF('Data Pura Costos'!D2031="","",'Data Pura Costos'!D2031)</f>
        <v/>
      </c>
      <c r="E2031" s="65" t="str">
        <f>+IF('Data Pura Costos'!E2031="","",IF('Data Pura Costos'!E2031=0,MAX('Data Pura Costos'!$E$7:$E$3000)*1000,'Data Pura Costos'!E2031))</f>
        <v/>
      </c>
      <c r="F2031" s="5" t="str">
        <f>+IF('Data Pura Costos'!F2031="","",'Data Pura Costos'!F2031)</f>
        <v/>
      </c>
      <c r="G2031" s="5" t="str">
        <f>+IF('Data Pura Costos'!G2031="","",'Data Pura Costos'!G2031)</f>
        <v/>
      </c>
      <c r="H2031" s="52" t="str">
        <f>+IF('Data Pura Costos'!H2031="","",'Data Pura Costos'!H2031)</f>
        <v/>
      </c>
      <c r="I2031" s="71" t="str">
        <f>+IF('Data Pura Costos'!I2031="","",'Data Pura Costos'!I2031)</f>
        <v/>
      </c>
      <c r="J2031" s="52" t="str">
        <f>+IF('Data Pura Costos'!J2031="","",'Data Pura Costos'!J2031)</f>
        <v/>
      </c>
      <c r="K2031" s="82" t="str">
        <f t="shared" si="36"/>
        <v/>
      </c>
    </row>
    <row r="2032" spans="2:11" x14ac:dyDescent="0.35">
      <c r="B2032" s="4" t="str">
        <f>+IF('Data Pura Costos'!B2032="","",'Data Pura Costos'!B2032)</f>
        <v/>
      </c>
      <c r="C2032" s="4" t="str">
        <f>+IF('Data Pura Costos'!C2032="","",'Data Pura Costos'!C2032)</f>
        <v/>
      </c>
      <c r="D2032" s="5" t="str">
        <f>+IF('Data Pura Costos'!D2032="","",'Data Pura Costos'!D2032)</f>
        <v/>
      </c>
      <c r="E2032" s="65" t="str">
        <f>+IF('Data Pura Costos'!E2032="","",IF('Data Pura Costos'!E2032=0,MAX('Data Pura Costos'!$E$7:$E$3000)*1000,'Data Pura Costos'!E2032))</f>
        <v/>
      </c>
      <c r="F2032" s="5" t="str">
        <f>+IF('Data Pura Costos'!F2032="","",'Data Pura Costos'!F2032)</f>
        <v/>
      </c>
      <c r="G2032" s="5" t="str">
        <f>+IF('Data Pura Costos'!G2032="","",'Data Pura Costos'!G2032)</f>
        <v/>
      </c>
      <c r="H2032" s="52" t="str">
        <f>+IF('Data Pura Costos'!H2032="","",'Data Pura Costos'!H2032)</f>
        <v/>
      </c>
      <c r="I2032" s="71" t="str">
        <f>+IF('Data Pura Costos'!I2032="","",'Data Pura Costos'!I2032)</f>
        <v/>
      </c>
      <c r="J2032" s="52" t="str">
        <f>+IF('Data Pura Costos'!J2032="","",'Data Pura Costos'!J2032)</f>
        <v/>
      </c>
      <c r="K2032" s="82" t="str">
        <f t="shared" si="36"/>
        <v/>
      </c>
    </row>
    <row r="2033" spans="2:11" x14ac:dyDescent="0.35">
      <c r="B2033" s="4" t="str">
        <f>+IF('Data Pura Costos'!B2033="","",'Data Pura Costos'!B2033)</f>
        <v/>
      </c>
      <c r="C2033" s="4" t="str">
        <f>+IF('Data Pura Costos'!C2033="","",'Data Pura Costos'!C2033)</f>
        <v/>
      </c>
      <c r="D2033" s="5" t="str">
        <f>+IF('Data Pura Costos'!D2033="","",'Data Pura Costos'!D2033)</f>
        <v/>
      </c>
      <c r="E2033" s="65" t="str">
        <f>+IF('Data Pura Costos'!E2033="","",IF('Data Pura Costos'!E2033=0,MAX('Data Pura Costos'!$E$7:$E$3000)*1000,'Data Pura Costos'!E2033))</f>
        <v/>
      </c>
      <c r="F2033" s="5" t="str">
        <f>+IF('Data Pura Costos'!F2033="","",'Data Pura Costos'!F2033)</f>
        <v/>
      </c>
      <c r="G2033" s="5" t="str">
        <f>+IF('Data Pura Costos'!G2033="","",'Data Pura Costos'!G2033)</f>
        <v/>
      </c>
      <c r="H2033" s="52" t="str">
        <f>+IF('Data Pura Costos'!H2033="","",'Data Pura Costos'!H2033)</f>
        <v/>
      </c>
      <c r="I2033" s="71" t="str">
        <f>+IF('Data Pura Costos'!I2033="","",'Data Pura Costos'!I2033)</f>
        <v/>
      </c>
      <c r="J2033" s="52" t="str">
        <f>+IF('Data Pura Costos'!J2033="","",'Data Pura Costos'!J2033)</f>
        <v/>
      </c>
      <c r="K2033" s="82" t="str">
        <f t="shared" si="36"/>
        <v/>
      </c>
    </row>
    <row r="2034" spans="2:11" x14ac:dyDescent="0.35">
      <c r="B2034" s="4" t="str">
        <f>+IF('Data Pura Costos'!B2034="","",'Data Pura Costos'!B2034)</f>
        <v/>
      </c>
      <c r="C2034" s="4" t="str">
        <f>+IF('Data Pura Costos'!C2034="","",'Data Pura Costos'!C2034)</f>
        <v/>
      </c>
      <c r="D2034" s="5" t="str">
        <f>+IF('Data Pura Costos'!D2034="","",'Data Pura Costos'!D2034)</f>
        <v/>
      </c>
      <c r="E2034" s="65" t="str">
        <f>+IF('Data Pura Costos'!E2034="","",IF('Data Pura Costos'!E2034=0,MAX('Data Pura Costos'!$E$7:$E$3000)*1000,'Data Pura Costos'!E2034))</f>
        <v/>
      </c>
      <c r="F2034" s="5" t="str">
        <f>+IF('Data Pura Costos'!F2034="","",'Data Pura Costos'!F2034)</f>
        <v/>
      </c>
      <c r="G2034" s="5" t="str">
        <f>+IF('Data Pura Costos'!G2034="","",'Data Pura Costos'!G2034)</f>
        <v/>
      </c>
      <c r="H2034" s="52" t="str">
        <f>+IF('Data Pura Costos'!H2034="","",'Data Pura Costos'!H2034)</f>
        <v/>
      </c>
      <c r="I2034" s="71" t="str">
        <f>+IF('Data Pura Costos'!I2034="","",'Data Pura Costos'!I2034)</f>
        <v/>
      </c>
      <c r="J2034" s="52" t="str">
        <f>+IF('Data Pura Costos'!J2034="","",'Data Pura Costos'!J2034)</f>
        <v/>
      </c>
      <c r="K2034" s="82" t="str">
        <f t="shared" si="36"/>
        <v/>
      </c>
    </row>
    <row r="2035" spans="2:11" x14ac:dyDescent="0.35">
      <c r="B2035" s="4" t="str">
        <f>+IF('Data Pura Costos'!B2035="","",'Data Pura Costos'!B2035)</f>
        <v/>
      </c>
      <c r="C2035" s="4" t="str">
        <f>+IF('Data Pura Costos'!C2035="","",'Data Pura Costos'!C2035)</f>
        <v/>
      </c>
      <c r="D2035" s="5" t="str">
        <f>+IF('Data Pura Costos'!D2035="","",'Data Pura Costos'!D2035)</f>
        <v/>
      </c>
      <c r="E2035" s="65" t="str">
        <f>+IF('Data Pura Costos'!E2035="","",IF('Data Pura Costos'!E2035=0,MAX('Data Pura Costos'!$E$7:$E$3000)*1000,'Data Pura Costos'!E2035))</f>
        <v/>
      </c>
      <c r="F2035" s="5" t="str">
        <f>+IF('Data Pura Costos'!F2035="","",'Data Pura Costos'!F2035)</f>
        <v/>
      </c>
      <c r="G2035" s="5" t="str">
        <f>+IF('Data Pura Costos'!G2035="","",'Data Pura Costos'!G2035)</f>
        <v/>
      </c>
      <c r="H2035" s="52" t="str">
        <f>+IF('Data Pura Costos'!H2035="","",'Data Pura Costos'!H2035)</f>
        <v/>
      </c>
      <c r="I2035" s="71" t="str">
        <f>+IF('Data Pura Costos'!I2035="","",'Data Pura Costos'!I2035)</f>
        <v/>
      </c>
      <c r="J2035" s="52" t="str">
        <f>+IF('Data Pura Costos'!J2035="","",'Data Pura Costos'!J2035)</f>
        <v/>
      </c>
      <c r="K2035" s="82" t="str">
        <f t="shared" si="36"/>
        <v/>
      </c>
    </row>
    <row r="2036" spans="2:11" x14ac:dyDescent="0.35">
      <c r="B2036" s="4" t="str">
        <f>+IF('Data Pura Costos'!B2036="","",'Data Pura Costos'!B2036)</f>
        <v/>
      </c>
      <c r="C2036" s="4" t="str">
        <f>+IF('Data Pura Costos'!C2036="","",'Data Pura Costos'!C2036)</f>
        <v/>
      </c>
      <c r="D2036" s="5" t="str">
        <f>+IF('Data Pura Costos'!D2036="","",'Data Pura Costos'!D2036)</f>
        <v/>
      </c>
      <c r="E2036" s="65" t="str">
        <f>+IF('Data Pura Costos'!E2036="","",IF('Data Pura Costos'!E2036=0,MAX('Data Pura Costos'!$E$7:$E$3000)*1000,'Data Pura Costos'!E2036))</f>
        <v/>
      </c>
      <c r="F2036" s="5" t="str">
        <f>+IF('Data Pura Costos'!F2036="","",'Data Pura Costos'!F2036)</f>
        <v/>
      </c>
      <c r="G2036" s="5" t="str">
        <f>+IF('Data Pura Costos'!G2036="","",'Data Pura Costos'!G2036)</f>
        <v/>
      </c>
      <c r="H2036" s="52" t="str">
        <f>+IF('Data Pura Costos'!H2036="","",'Data Pura Costos'!H2036)</f>
        <v/>
      </c>
      <c r="I2036" s="71" t="str">
        <f>+IF('Data Pura Costos'!I2036="","",'Data Pura Costos'!I2036)</f>
        <v/>
      </c>
      <c r="J2036" s="52" t="str">
        <f>+IF('Data Pura Costos'!J2036="","",'Data Pura Costos'!J2036)</f>
        <v/>
      </c>
      <c r="K2036" s="82" t="str">
        <f t="shared" si="36"/>
        <v/>
      </c>
    </row>
    <row r="2037" spans="2:11" x14ac:dyDescent="0.35">
      <c r="B2037" s="4" t="str">
        <f>+IF('Data Pura Costos'!B2037="","",'Data Pura Costos'!B2037)</f>
        <v/>
      </c>
      <c r="C2037" s="4" t="str">
        <f>+IF('Data Pura Costos'!C2037="","",'Data Pura Costos'!C2037)</f>
        <v/>
      </c>
      <c r="D2037" s="5" t="str">
        <f>+IF('Data Pura Costos'!D2037="","",'Data Pura Costos'!D2037)</f>
        <v/>
      </c>
      <c r="E2037" s="65" t="str">
        <f>+IF('Data Pura Costos'!E2037="","",IF('Data Pura Costos'!E2037=0,MAX('Data Pura Costos'!$E$7:$E$3000)*1000,'Data Pura Costos'!E2037))</f>
        <v/>
      </c>
      <c r="F2037" s="5" t="str">
        <f>+IF('Data Pura Costos'!F2037="","",'Data Pura Costos'!F2037)</f>
        <v/>
      </c>
      <c r="G2037" s="5" t="str">
        <f>+IF('Data Pura Costos'!G2037="","",'Data Pura Costos'!G2037)</f>
        <v/>
      </c>
      <c r="H2037" s="52" t="str">
        <f>+IF('Data Pura Costos'!H2037="","",'Data Pura Costos'!H2037)</f>
        <v/>
      </c>
      <c r="I2037" s="71" t="str">
        <f>+IF('Data Pura Costos'!I2037="","",'Data Pura Costos'!I2037)</f>
        <v/>
      </c>
      <c r="J2037" s="52" t="str">
        <f>+IF('Data Pura Costos'!J2037="","",'Data Pura Costos'!J2037)</f>
        <v/>
      </c>
      <c r="K2037" s="82" t="str">
        <f t="shared" si="36"/>
        <v/>
      </c>
    </row>
    <row r="2038" spans="2:11" x14ac:dyDescent="0.35">
      <c r="B2038" s="4" t="str">
        <f>+IF('Data Pura Costos'!B2038="","",'Data Pura Costos'!B2038)</f>
        <v/>
      </c>
      <c r="C2038" s="4" t="str">
        <f>+IF('Data Pura Costos'!C2038="","",'Data Pura Costos'!C2038)</f>
        <v/>
      </c>
      <c r="D2038" s="5" t="str">
        <f>+IF('Data Pura Costos'!D2038="","",'Data Pura Costos'!D2038)</f>
        <v/>
      </c>
      <c r="E2038" s="65" t="str">
        <f>+IF('Data Pura Costos'!E2038="","",IF('Data Pura Costos'!E2038=0,MAX('Data Pura Costos'!$E$7:$E$3000)*1000,'Data Pura Costos'!E2038))</f>
        <v/>
      </c>
      <c r="F2038" s="5" t="str">
        <f>+IF('Data Pura Costos'!F2038="","",'Data Pura Costos'!F2038)</f>
        <v/>
      </c>
      <c r="G2038" s="5" t="str">
        <f>+IF('Data Pura Costos'!G2038="","",'Data Pura Costos'!G2038)</f>
        <v/>
      </c>
      <c r="H2038" s="52" t="str">
        <f>+IF('Data Pura Costos'!H2038="","",'Data Pura Costos'!H2038)</f>
        <v/>
      </c>
      <c r="I2038" s="71" t="str">
        <f>+IF('Data Pura Costos'!I2038="","",'Data Pura Costos'!I2038)</f>
        <v/>
      </c>
      <c r="J2038" s="52" t="str">
        <f>+IF('Data Pura Costos'!J2038="","",'Data Pura Costos'!J2038)</f>
        <v/>
      </c>
      <c r="K2038" s="82" t="str">
        <f t="shared" si="36"/>
        <v/>
      </c>
    </row>
    <row r="2039" spans="2:11" x14ac:dyDescent="0.35">
      <c r="B2039" s="4" t="str">
        <f>+IF('Data Pura Costos'!B2039="","",'Data Pura Costos'!B2039)</f>
        <v/>
      </c>
      <c r="C2039" s="4" t="str">
        <f>+IF('Data Pura Costos'!C2039="","",'Data Pura Costos'!C2039)</f>
        <v/>
      </c>
      <c r="D2039" s="5" t="str">
        <f>+IF('Data Pura Costos'!D2039="","",'Data Pura Costos'!D2039)</f>
        <v/>
      </c>
      <c r="E2039" s="65" t="str">
        <f>+IF('Data Pura Costos'!E2039="","",IF('Data Pura Costos'!E2039=0,MAX('Data Pura Costos'!$E$7:$E$3000)*1000,'Data Pura Costos'!E2039))</f>
        <v/>
      </c>
      <c r="F2039" s="5" t="str">
        <f>+IF('Data Pura Costos'!F2039="","",'Data Pura Costos'!F2039)</f>
        <v/>
      </c>
      <c r="G2039" s="5" t="str">
        <f>+IF('Data Pura Costos'!G2039="","",'Data Pura Costos'!G2039)</f>
        <v/>
      </c>
      <c r="H2039" s="52" t="str">
        <f>+IF('Data Pura Costos'!H2039="","",'Data Pura Costos'!H2039)</f>
        <v/>
      </c>
      <c r="I2039" s="71" t="str">
        <f>+IF('Data Pura Costos'!I2039="","",'Data Pura Costos'!I2039)</f>
        <v/>
      </c>
      <c r="J2039" s="52" t="str">
        <f>+IF('Data Pura Costos'!J2039="","",'Data Pura Costos'!J2039)</f>
        <v/>
      </c>
      <c r="K2039" s="82" t="str">
        <f t="shared" si="36"/>
        <v/>
      </c>
    </row>
    <row r="2040" spans="2:11" x14ac:dyDescent="0.35">
      <c r="B2040" s="4" t="str">
        <f>+IF('Data Pura Costos'!B2040="","",'Data Pura Costos'!B2040)</f>
        <v/>
      </c>
      <c r="C2040" s="4" t="str">
        <f>+IF('Data Pura Costos'!C2040="","",'Data Pura Costos'!C2040)</f>
        <v/>
      </c>
      <c r="D2040" s="5" t="str">
        <f>+IF('Data Pura Costos'!D2040="","",'Data Pura Costos'!D2040)</f>
        <v/>
      </c>
      <c r="E2040" s="65" t="str">
        <f>+IF('Data Pura Costos'!E2040="","",IF('Data Pura Costos'!E2040=0,MAX('Data Pura Costos'!$E$7:$E$3000)*1000,'Data Pura Costos'!E2040))</f>
        <v/>
      </c>
      <c r="F2040" s="5" t="str">
        <f>+IF('Data Pura Costos'!F2040="","",'Data Pura Costos'!F2040)</f>
        <v/>
      </c>
      <c r="G2040" s="5" t="str">
        <f>+IF('Data Pura Costos'!G2040="","",'Data Pura Costos'!G2040)</f>
        <v/>
      </c>
      <c r="H2040" s="52" t="str">
        <f>+IF('Data Pura Costos'!H2040="","",'Data Pura Costos'!H2040)</f>
        <v/>
      </c>
      <c r="I2040" s="71" t="str">
        <f>+IF('Data Pura Costos'!I2040="","",'Data Pura Costos'!I2040)</f>
        <v/>
      </c>
      <c r="J2040" s="52" t="str">
        <f>+IF('Data Pura Costos'!J2040="","",'Data Pura Costos'!J2040)</f>
        <v/>
      </c>
      <c r="K2040" s="82" t="str">
        <f t="shared" si="36"/>
        <v/>
      </c>
    </row>
    <row r="2041" spans="2:11" x14ac:dyDescent="0.35">
      <c r="B2041" s="4" t="str">
        <f>+IF('Data Pura Costos'!B2041="","",'Data Pura Costos'!B2041)</f>
        <v/>
      </c>
      <c r="C2041" s="4" t="str">
        <f>+IF('Data Pura Costos'!C2041="","",'Data Pura Costos'!C2041)</f>
        <v/>
      </c>
      <c r="D2041" s="5" t="str">
        <f>+IF('Data Pura Costos'!D2041="","",'Data Pura Costos'!D2041)</f>
        <v/>
      </c>
      <c r="E2041" s="65" t="str">
        <f>+IF('Data Pura Costos'!E2041="","",IF('Data Pura Costos'!E2041=0,MAX('Data Pura Costos'!$E$7:$E$3000)*1000,'Data Pura Costos'!E2041))</f>
        <v/>
      </c>
      <c r="F2041" s="5" t="str">
        <f>+IF('Data Pura Costos'!F2041="","",'Data Pura Costos'!F2041)</f>
        <v/>
      </c>
      <c r="G2041" s="5" t="str">
        <f>+IF('Data Pura Costos'!G2041="","",'Data Pura Costos'!G2041)</f>
        <v/>
      </c>
      <c r="H2041" s="52" t="str">
        <f>+IF('Data Pura Costos'!H2041="","",'Data Pura Costos'!H2041)</f>
        <v/>
      </c>
      <c r="I2041" s="71" t="str">
        <f>+IF('Data Pura Costos'!I2041="","",'Data Pura Costos'!I2041)</f>
        <v/>
      </c>
      <c r="J2041" s="52" t="str">
        <f>+IF('Data Pura Costos'!J2041="","",'Data Pura Costos'!J2041)</f>
        <v/>
      </c>
      <c r="K2041" s="82" t="str">
        <f t="shared" si="36"/>
        <v/>
      </c>
    </row>
    <row r="2042" spans="2:11" x14ac:dyDescent="0.35">
      <c r="B2042" s="4" t="str">
        <f>+IF('Data Pura Costos'!B2042="","",'Data Pura Costos'!B2042)</f>
        <v/>
      </c>
      <c r="C2042" s="4" t="str">
        <f>+IF('Data Pura Costos'!C2042="","",'Data Pura Costos'!C2042)</f>
        <v/>
      </c>
      <c r="D2042" s="5" t="str">
        <f>+IF('Data Pura Costos'!D2042="","",'Data Pura Costos'!D2042)</f>
        <v/>
      </c>
      <c r="E2042" s="65" t="str">
        <f>+IF('Data Pura Costos'!E2042="","",IF('Data Pura Costos'!E2042=0,MAX('Data Pura Costos'!$E$7:$E$3000)*1000,'Data Pura Costos'!E2042))</f>
        <v/>
      </c>
      <c r="F2042" s="5" t="str">
        <f>+IF('Data Pura Costos'!F2042="","",'Data Pura Costos'!F2042)</f>
        <v/>
      </c>
      <c r="G2042" s="5" t="str">
        <f>+IF('Data Pura Costos'!G2042="","",'Data Pura Costos'!G2042)</f>
        <v/>
      </c>
      <c r="H2042" s="52" t="str">
        <f>+IF('Data Pura Costos'!H2042="","",'Data Pura Costos'!H2042)</f>
        <v/>
      </c>
      <c r="I2042" s="71" t="str">
        <f>+IF('Data Pura Costos'!I2042="","",'Data Pura Costos'!I2042)</f>
        <v/>
      </c>
      <c r="J2042" s="52" t="str">
        <f>+IF('Data Pura Costos'!J2042="","",'Data Pura Costos'!J2042)</f>
        <v/>
      </c>
      <c r="K2042" s="82" t="str">
        <f t="shared" si="36"/>
        <v/>
      </c>
    </row>
    <row r="2043" spans="2:11" x14ac:dyDescent="0.35">
      <c r="B2043" s="4" t="str">
        <f>+IF('Data Pura Costos'!B2043="","",'Data Pura Costos'!B2043)</f>
        <v/>
      </c>
      <c r="C2043" s="4" t="str">
        <f>+IF('Data Pura Costos'!C2043="","",'Data Pura Costos'!C2043)</f>
        <v/>
      </c>
      <c r="D2043" s="5" t="str">
        <f>+IF('Data Pura Costos'!D2043="","",'Data Pura Costos'!D2043)</f>
        <v/>
      </c>
      <c r="E2043" s="65" t="str">
        <f>+IF('Data Pura Costos'!E2043="","",IF('Data Pura Costos'!E2043=0,MAX('Data Pura Costos'!$E$7:$E$3000)*1000,'Data Pura Costos'!E2043))</f>
        <v/>
      </c>
      <c r="F2043" s="5" t="str">
        <f>+IF('Data Pura Costos'!F2043="","",'Data Pura Costos'!F2043)</f>
        <v/>
      </c>
      <c r="G2043" s="5" t="str">
        <f>+IF('Data Pura Costos'!G2043="","",'Data Pura Costos'!G2043)</f>
        <v/>
      </c>
      <c r="H2043" s="52" t="str">
        <f>+IF('Data Pura Costos'!H2043="","",'Data Pura Costos'!H2043)</f>
        <v/>
      </c>
      <c r="I2043" s="71" t="str">
        <f>+IF('Data Pura Costos'!I2043="","",'Data Pura Costos'!I2043)</f>
        <v/>
      </c>
      <c r="J2043" s="52" t="str">
        <f>+IF('Data Pura Costos'!J2043="","",'Data Pura Costos'!J2043)</f>
        <v/>
      </c>
      <c r="K2043" s="82" t="str">
        <f t="shared" si="36"/>
        <v/>
      </c>
    </row>
    <row r="2044" spans="2:11" x14ac:dyDescent="0.35">
      <c r="B2044" s="4" t="str">
        <f>+IF('Data Pura Costos'!B2044="","",'Data Pura Costos'!B2044)</f>
        <v/>
      </c>
      <c r="C2044" s="4" t="str">
        <f>+IF('Data Pura Costos'!C2044="","",'Data Pura Costos'!C2044)</f>
        <v/>
      </c>
      <c r="D2044" s="5" t="str">
        <f>+IF('Data Pura Costos'!D2044="","",'Data Pura Costos'!D2044)</f>
        <v/>
      </c>
      <c r="E2044" s="65" t="str">
        <f>+IF('Data Pura Costos'!E2044="","",IF('Data Pura Costos'!E2044=0,MAX('Data Pura Costos'!$E$7:$E$3000)*1000,'Data Pura Costos'!E2044))</f>
        <v/>
      </c>
      <c r="F2044" s="5" t="str">
        <f>+IF('Data Pura Costos'!F2044="","",'Data Pura Costos'!F2044)</f>
        <v/>
      </c>
      <c r="G2044" s="5" t="str">
        <f>+IF('Data Pura Costos'!G2044="","",'Data Pura Costos'!G2044)</f>
        <v/>
      </c>
      <c r="H2044" s="52" t="str">
        <f>+IF('Data Pura Costos'!H2044="","",'Data Pura Costos'!H2044)</f>
        <v/>
      </c>
      <c r="I2044" s="71" t="str">
        <f>+IF('Data Pura Costos'!I2044="","",'Data Pura Costos'!I2044)</f>
        <v/>
      </c>
      <c r="J2044" s="52" t="str">
        <f>+IF('Data Pura Costos'!J2044="","",'Data Pura Costos'!J2044)</f>
        <v/>
      </c>
      <c r="K2044" s="82" t="str">
        <f t="shared" ref="K2044:K2107" si="37">+IF(B2044="","",CONCATENATE(B2044,"-",F2044,"-",G2044))</f>
        <v/>
      </c>
    </row>
    <row r="2045" spans="2:11" x14ac:dyDescent="0.35">
      <c r="B2045" s="4" t="str">
        <f>+IF('Data Pura Costos'!B2045="","",'Data Pura Costos'!B2045)</f>
        <v/>
      </c>
      <c r="C2045" s="4" t="str">
        <f>+IF('Data Pura Costos'!C2045="","",'Data Pura Costos'!C2045)</f>
        <v/>
      </c>
      <c r="D2045" s="5" t="str">
        <f>+IF('Data Pura Costos'!D2045="","",'Data Pura Costos'!D2045)</f>
        <v/>
      </c>
      <c r="E2045" s="65" t="str">
        <f>+IF('Data Pura Costos'!E2045="","",IF('Data Pura Costos'!E2045=0,MAX('Data Pura Costos'!$E$7:$E$3000)*1000,'Data Pura Costos'!E2045))</f>
        <v/>
      </c>
      <c r="F2045" s="5" t="str">
        <f>+IF('Data Pura Costos'!F2045="","",'Data Pura Costos'!F2045)</f>
        <v/>
      </c>
      <c r="G2045" s="5" t="str">
        <f>+IF('Data Pura Costos'!G2045="","",'Data Pura Costos'!G2045)</f>
        <v/>
      </c>
      <c r="H2045" s="52" t="str">
        <f>+IF('Data Pura Costos'!H2045="","",'Data Pura Costos'!H2045)</f>
        <v/>
      </c>
      <c r="I2045" s="71" t="str">
        <f>+IF('Data Pura Costos'!I2045="","",'Data Pura Costos'!I2045)</f>
        <v/>
      </c>
      <c r="J2045" s="52" t="str">
        <f>+IF('Data Pura Costos'!J2045="","",'Data Pura Costos'!J2045)</f>
        <v/>
      </c>
      <c r="K2045" s="82" t="str">
        <f t="shared" si="37"/>
        <v/>
      </c>
    </row>
    <row r="2046" spans="2:11" x14ac:dyDescent="0.35">
      <c r="B2046" s="4" t="str">
        <f>+IF('Data Pura Costos'!B2046="","",'Data Pura Costos'!B2046)</f>
        <v/>
      </c>
      <c r="C2046" s="4" t="str">
        <f>+IF('Data Pura Costos'!C2046="","",'Data Pura Costos'!C2046)</f>
        <v/>
      </c>
      <c r="D2046" s="5" t="str">
        <f>+IF('Data Pura Costos'!D2046="","",'Data Pura Costos'!D2046)</f>
        <v/>
      </c>
      <c r="E2046" s="65" t="str">
        <f>+IF('Data Pura Costos'!E2046="","",IF('Data Pura Costos'!E2046=0,MAX('Data Pura Costos'!$E$7:$E$3000)*1000,'Data Pura Costos'!E2046))</f>
        <v/>
      </c>
      <c r="F2046" s="5" t="str">
        <f>+IF('Data Pura Costos'!F2046="","",'Data Pura Costos'!F2046)</f>
        <v/>
      </c>
      <c r="G2046" s="5" t="str">
        <f>+IF('Data Pura Costos'!G2046="","",'Data Pura Costos'!G2046)</f>
        <v/>
      </c>
      <c r="H2046" s="52" t="str">
        <f>+IF('Data Pura Costos'!H2046="","",'Data Pura Costos'!H2046)</f>
        <v/>
      </c>
      <c r="I2046" s="71" t="str">
        <f>+IF('Data Pura Costos'!I2046="","",'Data Pura Costos'!I2046)</f>
        <v/>
      </c>
      <c r="J2046" s="52" t="str">
        <f>+IF('Data Pura Costos'!J2046="","",'Data Pura Costos'!J2046)</f>
        <v/>
      </c>
      <c r="K2046" s="82" t="str">
        <f t="shared" si="37"/>
        <v/>
      </c>
    </row>
    <row r="2047" spans="2:11" x14ac:dyDescent="0.35">
      <c r="B2047" s="4" t="str">
        <f>+IF('Data Pura Costos'!B2047="","",'Data Pura Costos'!B2047)</f>
        <v/>
      </c>
      <c r="C2047" s="4" t="str">
        <f>+IF('Data Pura Costos'!C2047="","",'Data Pura Costos'!C2047)</f>
        <v/>
      </c>
      <c r="D2047" s="5" t="str">
        <f>+IF('Data Pura Costos'!D2047="","",'Data Pura Costos'!D2047)</f>
        <v/>
      </c>
      <c r="E2047" s="65" t="str">
        <f>+IF('Data Pura Costos'!E2047="","",IF('Data Pura Costos'!E2047=0,MAX('Data Pura Costos'!$E$7:$E$3000)*1000,'Data Pura Costos'!E2047))</f>
        <v/>
      </c>
      <c r="F2047" s="5" t="str">
        <f>+IF('Data Pura Costos'!F2047="","",'Data Pura Costos'!F2047)</f>
        <v/>
      </c>
      <c r="G2047" s="5" t="str">
        <f>+IF('Data Pura Costos'!G2047="","",'Data Pura Costos'!G2047)</f>
        <v/>
      </c>
      <c r="H2047" s="52" t="str">
        <f>+IF('Data Pura Costos'!H2047="","",'Data Pura Costos'!H2047)</f>
        <v/>
      </c>
      <c r="I2047" s="71" t="str">
        <f>+IF('Data Pura Costos'!I2047="","",'Data Pura Costos'!I2047)</f>
        <v/>
      </c>
      <c r="J2047" s="52" t="str">
        <f>+IF('Data Pura Costos'!J2047="","",'Data Pura Costos'!J2047)</f>
        <v/>
      </c>
      <c r="K2047" s="82" t="str">
        <f t="shared" si="37"/>
        <v/>
      </c>
    </row>
    <row r="2048" spans="2:11" x14ac:dyDescent="0.35">
      <c r="B2048" s="4" t="str">
        <f>+IF('Data Pura Costos'!B2048="","",'Data Pura Costos'!B2048)</f>
        <v/>
      </c>
      <c r="C2048" s="4" t="str">
        <f>+IF('Data Pura Costos'!C2048="","",'Data Pura Costos'!C2048)</f>
        <v/>
      </c>
      <c r="D2048" s="5" t="str">
        <f>+IF('Data Pura Costos'!D2048="","",'Data Pura Costos'!D2048)</f>
        <v/>
      </c>
      <c r="E2048" s="65" t="str">
        <f>+IF('Data Pura Costos'!E2048="","",IF('Data Pura Costos'!E2048=0,MAX('Data Pura Costos'!$E$7:$E$3000)*1000,'Data Pura Costos'!E2048))</f>
        <v/>
      </c>
      <c r="F2048" s="5" t="str">
        <f>+IF('Data Pura Costos'!F2048="","",'Data Pura Costos'!F2048)</f>
        <v/>
      </c>
      <c r="G2048" s="5" t="str">
        <f>+IF('Data Pura Costos'!G2048="","",'Data Pura Costos'!G2048)</f>
        <v/>
      </c>
      <c r="H2048" s="52" t="str">
        <f>+IF('Data Pura Costos'!H2048="","",'Data Pura Costos'!H2048)</f>
        <v/>
      </c>
      <c r="I2048" s="71" t="str">
        <f>+IF('Data Pura Costos'!I2048="","",'Data Pura Costos'!I2048)</f>
        <v/>
      </c>
      <c r="J2048" s="52" t="str">
        <f>+IF('Data Pura Costos'!J2048="","",'Data Pura Costos'!J2048)</f>
        <v/>
      </c>
      <c r="K2048" s="82" t="str">
        <f t="shared" si="37"/>
        <v/>
      </c>
    </row>
    <row r="2049" spans="2:11" x14ac:dyDescent="0.35">
      <c r="B2049" s="4" t="str">
        <f>+IF('Data Pura Costos'!B2049="","",'Data Pura Costos'!B2049)</f>
        <v/>
      </c>
      <c r="C2049" s="4" t="str">
        <f>+IF('Data Pura Costos'!C2049="","",'Data Pura Costos'!C2049)</f>
        <v/>
      </c>
      <c r="D2049" s="5" t="str">
        <f>+IF('Data Pura Costos'!D2049="","",'Data Pura Costos'!D2049)</f>
        <v/>
      </c>
      <c r="E2049" s="65" t="str">
        <f>+IF('Data Pura Costos'!E2049="","",IF('Data Pura Costos'!E2049=0,MAX('Data Pura Costos'!$E$7:$E$3000)*1000,'Data Pura Costos'!E2049))</f>
        <v/>
      </c>
      <c r="F2049" s="5" t="str">
        <f>+IF('Data Pura Costos'!F2049="","",'Data Pura Costos'!F2049)</f>
        <v/>
      </c>
      <c r="G2049" s="5" t="str">
        <f>+IF('Data Pura Costos'!G2049="","",'Data Pura Costos'!G2049)</f>
        <v/>
      </c>
      <c r="H2049" s="52" t="str">
        <f>+IF('Data Pura Costos'!H2049="","",'Data Pura Costos'!H2049)</f>
        <v/>
      </c>
      <c r="I2049" s="71" t="str">
        <f>+IF('Data Pura Costos'!I2049="","",'Data Pura Costos'!I2049)</f>
        <v/>
      </c>
      <c r="J2049" s="52" t="str">
        <f>+IF('Data Pura Costos'!J2049="","",'Data Pura Costos'!J2049)</f>
        <v/>
      </c>
      <c r="K2049" s="82" t="str">
        <f t="shared" si="37"/>
        <v/>
      </c>
    </row>
    <row r="2050" spans="2:11" x14ac:dyDescent="0.35">
      <c r="B2050" s="4" t="str">
        <f>+IF('Data Pura Costos'!B2050="","",'Data Pura Costos'!B2050)</f>
        <v/>
      </c>
      <c r="C2050" s="4" t="str">
        <f>+IF('Data Pura Costos'!C2050="","",'Data Pura Costos'!C2050)</f>
        <v/>
      </c>
      <c r="D2050" s="5" t="str">
        <f>+IF('Data Pura Costos'!D2050="","",'Data Pura Costos'!D2050)</f>
        <v/>
      </c>
      <c r="E2050" s="65" t="str">
        <f>+IF('Data Pura Costos'!E2050="","",IF('Data Pura Costos'!E2050=0,MAX('Data Pura Costos'!$E$7:$E$3000)*1000,'Data Pura Costos'!E2050))</f>
        <v/>
      </c>
      <c r="F2050" s="5" t="str">
        <f>+IF('Data Pura Costos'!F2050="","",'Data Pura Costos'!F2050)</f>
        <v/>
      </c>
      <c r="G2050" s="5" t="str">
        <f>+IF('Data Pura Costos'!G2050="","",'Data Pura Costos'!G2050)</f>
        <v/>
      </c>
      <c r="H2050" s="52" t="str">
        <f>+IF('Data Pura Costos'!H2050="","",'Data Pura Costos'!H2050)</f>
        <v/>
      </c>
      <c r="I2050" s="71" t="str">
        <f>+IF('Data Pura Costos'!I2050="","",'Data Pura Costos'!I2050)</f>
        <v/>
      </c>
      <c r="J2050" s="52" t="str">
        <f>+IF('Data Pura Costos'!J2050="","",'Data Pura Costos'!J2050)</f>
        <v/>
      </c>
      <c r="K2050" s="82" t="str">
        <f t="shared" si="37"/>
        <v/>
      </c>
    </row>
    <row r="2051" spans="2:11" x14ac:dyDescent="0.35">
      <c r="B2051" s="4" t="str">
        <f>+IF('Data Pura Costos'!B2051="","",'Data Pura Costos'!B2051)</f>
        <v/>
      </c>
      <c r="C2051" s="4" t="str">
        <f>+IF('Data Pura Costos'!C2051="","",'Data Pura Costos'!C2051)</f>
        <v/>
      </c>
      <c r="D2051" s="5" t="str">
        <f>+IF('Data Pura Costos'!D2051="","",'Data Pura Costos'!D2051)</f>
        <v/>
      </c>
      <c r="E2051" s="65" t="str">
        <f>+IF('Data Pura Costos'!E2051="","",IF('Data Pura Costos'!E2051=0,MAX('Data Pura Costos'!$E$7:$E$3000)*1000,'Data Pura Costos'!E2051))</f>
        <v/>
      </c>
      <c r="F2051" s="5" t="str">
        <f>+IF('Data Pura Costos'!F2051="","",'Data Pura Costos'!F2051)</f>
        <v/>
      </c>
      <c r="G2051" s="5" t="str">
        <f>+IF('Data Pura Costos'!G2051="","",'Data Pura Costos'!G2051)</f>
        <v/>
      </c>
      <c r="H2051" s="52" t="str">
        <f>+IF('Data Pura Costos'!H2051="","",'Data Pura Costos'!H2051)</f>
        <v/>
      </c>
      <c r="I2051" s="71" t="str">
        <f>+IF('Data Pura Costos'!I2051="","",'Data Pura Costos'!I2051)</f>
        <v/>
      </c>
      <c r="J2051" s="52" t="str">
        <f>+IF('Data Pura Costos'!J2051="","",'Data Pura Costos'!J2051)</f>
        <v/>
      </c>
      <c r="K2051" s="82" t="str">
        <f t="shared" si="37"/>
        <v/>
      </c>
    </row>
    <row r="2052" spans="2:11" x14ac:dyDescent="0.35">
      <c r="B2052" s="4" t="str">
        <f>+IF('Data Pura Costos'!B2052="","",'Data Pura Costos'!B2052)</f>
        <v/>
      </c>
      <c r="C2052" s="4" t="str">
        <f>+IF('Data Pura Costos'!C2052="","",'Data Pura Costos'!C2052)</f>
        <v/>
      </c>
      <c r="D2052" s="5" t="str">
        <f>+IF('Data Pura Costos'!D2052="","",'Data Pura Costos'!D2052)</f>
        <v/>
      </c>
      <c r="E2052" s="65" t="str">
        <f>+IF('Data Pura Costos'!E2052="","",IF('Data Pura Costos'!E2052=0,MAX('Data Pura Costos'!$E$7:$E$3000)*1000,'Data Pura Costos'!E2052))</f>
        <v/>
      </c>
      <c r="F2052" s="5" t="str">
        <f>+IF('Data Pura Costos'!F2052="","",'Data Pura Costos'!F2052)</f>
        <v/>
      </c>
      <c r="G2052" s="5" t="str">
        <f>+IF('Data Pura Costos'!G2052="","",'Data Pura Costos'!G2052)</f>
        <v/>
      </c>
      <c r="H2052" s="52" t="str">
        <f>+IF('Data Pura Costos'!H2052="","",'Data Pura Costos'!H2052)</f>
        <v/>
      </c>
      <c r="I2052" s="71" t="str">
        <f>+IF('Data Pura Costos'!I2052="","",'Data Pura Costos'!I2052)</f>
        <v/>
      </c>
      <c r="J2052" s="52" t="str">
        <f>+IF('Data Pura Costos'!J2052="","",'Data Pura Costos'!J2052)</f>
        <v/>
      </c>
      <c r="K2052" s="82" t="str">
        <f t="shared" si="37"/>
        <v/>
      </c>
    </row>
    <row r="2053" spans="2:11" x14ac:dyDescent="0.35">
      <c r="B2053" s="4" t="str">
        <f>+IF('Data Pura Costos'!B2053="","",'Data Pura Costos'!B2053)</f>
        <v/>
      </c>
      <c r="C2053" s="4" t="str">
        <f>+IF('Data Pura Costos'!C2053="","",'Data Pura Costos'!C2053)</f>
        <v/>
      </c>
      <c r="D2053" s="5" t="str">
        <f>+IF('Data Pura Costos'!D2053="","",'Data Pura Costos'!D2053)</f>
        <v/>
      </c>
      <c r="E2053" s="65" t="str">
        <f>+IF('Data Pura Costos'!E2053="","",IF('Data Pura Costos'!E2053=0,MAX('Data Pura Costos'!$E$7:$E$3000)*1000,'Data Pura Costos'!E2053))</f>
        <v/>
      </c>
      <c r="F2053" s="5" t="str">
        <f>+IF('Data Pura Costos'!F2053="","",'Data Pura Costos'!F2053)</f>
        <v/>
      </c>
      <c r="G2053" s="5" t="str">
        <f>+IF('Data Pura Costos'!G2053="","",'Data Pura Costos'!G2053)</f>
        <v/>
      </c>
      <c r="H2053" s="52" t="str">
        <f>+IF('Data Pura Costos'!H2053="","",'Data Pura Costos'!H2053)</f>
        <v/>
      </c>
      <c r="I2053" s="71" t="str">
        <f>+IF('Data Pura Costos'!I2053="","",'Data Pura Costos'!I2053)</f>
        <v/>
      </c>
      <c r="J2053" s="52" t="str">
        <f>+IF('Data Pura Costos'!J2053="","",'Data Pura Costos'!J2053)</f>
        <v/>
      </c>
      <c r="K2053" s="82" t="str">
        <f t="shared" si="37"/>
        <v/>
      </c>
    </row>
    <row r="2054" spans="2:11" x14ac:dyDescent="0.35">
      <c r="B2054" s="4" t="str">
        <f>+IF('Data Pura Costos'!B2054="","",'Data Pura Costos'!B2054)</f>
        <v/>
      </c>
      <c r="C2054" s="4" t="str">
        <f>+IF('Data Pura Costos'!C2054="","",'Data Pura Costos'!C2054)</f>
        <v/>
      </c>
      <c r="D2054" s="5" t="str">
        <f>+IF('Data Pura Costos'!D2054="","",'Data Pura Costos'!D2054)</f>
        <v/>
      </c>
      <c r="E2054" s="65" t="str">
        <f>+IF('Data Pura Costos'!E2054="","",IF('Data Pura Costos'!E2054=0,MAX('Data Pura Costos'!$E$7:$E$3000)*1000,'Data Pura Costos'!E2054))</f>
        <v/>
      </c>
      <c r="F2054" s="5" t="str">
        <f>+IF('Data Pura Costos'!F2054="","",'Data Pura Costos'!F2054)</f>
        <v/>
      </c>
      <c r="G2054" s="5" t="str">
        <f>+IF('Data Pura Costos'!G2054="","",'Data Pura Costos'!G2054)</f>
        <v/>
      </c>
      <c r="H2054" s="52" t="str">
        <f>+IF('Data Pura Costos'!H2054="","",'Data Pura Costos'!H2054)</f>
        <v/>
      </c>
      <c r="I2054" s="71" t="str">
        <f>+IF('Data Pura Costos'!I2054="","",'Data Pura Costos'!I2054)</f>
        <v/>
      </c>
      <c r="J2054" s="52" t="str">
        <f>+IF('Data Pura Costos'!J2054="","",'Data Pura Costos'!J2054)</f>
        <v/>
      </c>
      <c r="K2054" s="82" t="str">
        <f t="shared" si="37"/>
        <v/>
      </c>
    </row>
    <row r="2055" spans="2:11" x14ac:dyDescent="0.35">
      <c r="B2055" s="4" t="str">
        <f>+IF('Data Pura Costos'!B2055="","",'Data Pura Costos'!B2055)</f>
        <v/>
      </c>
      <c r="C2055" s="4" t="str">
        <f>+IF('Data Pura Costos'!C2055="","",'Data Pura Costos'!C2055)</f>
        <v/>
      </c>
      <c r="D2055" s="5" t="str">
        <f>+IF('Data Pura Costos'!D2055="","",'Data Pura Costos'!D2055)</f>
        <v/>
      </c>
      <c r="E2055" s="65" t="str">
        <f>+IF('Data Pura Costos'!E2055="","",IF('Data Pura Costos'!E2055=0,MAX('Data Pura Costos'!$E$7:$E$3000)*1000,'Data Pura Costos'!E2055))</f>
        <v/>
      </c>
      <c r="F2055" s="5" t="str">
        <f>+IF('Data Pura Costos'!F2055="","",'Data Pura Costos'!F2055)</f>
        <v/>
      </c>
      <c r="G2055" s="5" t="str">
        <f>+IF('Data Pura Costos'!G2055="","",'Data Pura Costos'!G2055)</f>
        <v/>
      </c>
      <c r="H2055" s="52" t="str">
        <f>+IF('Data Pura Costos'!H2055="","",'Data Pura Costos'!H2055)</f>
        <v/>
      </c>
      <c r="I2055" s="71" t="str">
        <f>+IF('Data Pura Costos'!I2055="","",'Data Pura Costos'!I2055)</f>
        <v/>
      </c>
      <c r="J2055" s="52" t="str">
        <f>+IF('Data Pura Costos'!J2055="","",'Data Pura Costos'!J2055)</f>
        <v/>
      </c>
      <c r="K2055" s="82" t="str">
        <f t="shared" si="37"/>
        <v/>
      </c>
    </row>
    <row r="2056" spans="2:11" x14ac:dyDescent="0.35">
      <c r="B2056" s="4" t="str">
        <f>+IF('Data Pura Costos'!B2056="","",'Data Pura Costos'!B2056)</f>
        <v/>
      </c>
      <c r="C2056" s="4" t="str">
        <f>+IF('Data Pura Costos'!C2056="","",'Data Pura Costos'!C2056)</f>
        <v/>
      </c>
      <c r="D2056" s="5" t="str">
        <f>+IF('Data Pura Costos'!D2056="","",'Data Pura Costos'!D2056)</f>
        <v/>
      </c>
      <c r="E2056" s="65" t="str">
        <f>+IF('Data Pura Costos'!E2056="","",IF('Data Pura Costos'!E2056=0,MAX('Data Pura Costos'!$E$7:$E$3000)*1000,'Data Pura Costos'!E2056))</f>
        <v/>
      </c>
      <c r="F2056" s="5" t="str">
        <f>+IF('Data Pura Costos'!F2056="","",'Data Pura Costos'!F2056)</f>
        <v/>
      </c>
      <c r="G2056" s="5" t="str">
        <f>+IF('Data Pura Costos'!G2056="","",'Data Pura Costos'!G2056)</f>
        <v/>
      </c>
      <c r="H2056" s="52" t="str">
        <f>+IF('Data Pura Costos'!H2056="","",'Data Pura Costos'!H2056)</f>
        <v/>
      </c>
      <c r="I2056" s="71" t="str">
        <f>+IF('Data Pura Costos'!I2056="","",'Data Pura Costos'!I2056)</f>
        <v/>
      </c>
      <c r="J2056" s="52" t="str">
        <f>+IF('Data Pura Costos'!J2056="","",'Data Pura Costos'!J2056)</f>
        <v/>
      </c>
      <c r="K2056" s="82" t="str">
        <f t="shared" si="37"/>
        <v/>
      </c>
    </row>
    <row r="2057" spans="2:11" x14ac:dyDescent="0.35">
      <c r="B2057" s="4" t="str">
        <f>+IF('Data Pura Costos'!B2057="","",'Data Pura Costos'!B2057)</f>
        <v/>
      </c>
      <c r="C2057" s="4" t="str">
        <f>+IF('Data Pura Costos'!C2057="","",'Data Pura Costos'!C2057)</f>
        <v/>
      </c>
      <c r="D2057" s="5" t="str">
        <f>+IF('Data Pura Costos'!D2057="","",'Data Pura Costos'!D2057)</f>
        <v/>
      </c>
      <c r="E2057" s="65" t="str">
        <f>+IF('Data Pura Costos'!E2057="","",IF('Data Pura Costos'!E2057=0,MAX('Data Pura Costos'!$E$7:$E$3000)*1000,'Data Pura Costos'!E2057))</f>
        <v/>
      </c>
      <c r="F2057" s="5" t="str">
        <f>+IF('Data Pura Costos'!F2057="","",'Data Pura Costos'!F2057)</f>
        <v/>
      </c>
      <c r="G2057" s="5" t="str">
        <f>+IF('Data Pura Costos'!G2057="","",'Data Pura Costos'!G2057)</f>
        <v/>
      </c>
      <c r="H2057" s="52" t="str">
        <f>+IF('Data Pura Costos'!H2057="","",'Data Pura Costos'!H2057)</f>
        <v/>
      </c>
      <c r="I2057" s="71" t="str">
        <f>+IF('Data Pura Costos'!I2057="","",'Data Pura Costos'!I2057)</f>
        <v/>
      </c>
      <c r="J2057" s="52" t="str">
        <f>+IF('Data Pura Costos'!J2057="","",'Data Pura Costos'!J2057)</f>
        <v/>
      </c>
      <c r="K2057" s="82" t="str">
        <f t="shared" si="37"/>
        <v/>
      </c>
    </row>
    <row r="2058" spans="2:11" x14ac:dyDescent="0.35">
      <c r="B2058" s="4" t="str">
        <f>+IF('Data Pura Costos'!B2058="","",'Data Pura Costos'!B2058)</f>
        <v/>
      </c>
      <c r="C2058" s="4" t="str">
        <f>+IF('Data Pura Costos'!C2058="","",'Data Pura Costos'!C2058)</f>
        <v/>
      </c>
      <c r="D2058" s="5" t="str">
        <f>+IF('Data Pura Costos'!D2058="","",'Data Pura Costos'!D2058)</f>
        <v/>
      </c>
      <c r="E2058" s="65" t="str">
        <f>+IF('Data Pura Costos'!E2058="","",IF('Data Pura Costos'!E2058=0,MAX('Data Pura Costos'!$E$7:$E$3000)*1000,'Data Pura Costos'!E2058))</f>
        <v/>
      </c>
      <c r="F2058" s="5" t="str">
        <f>+IF('Data Pura Costos'!F2058="","",'Data Pura Costos'!F2058)</f>
        <v/>
      </c>
      <c r="G2058" s="5" t="str">
        <f>+IF('Data Pura Costos'!G2058="","",'Data Pura Costos'!G2058)</f>
        <v/>
      </c>
      <c r="H2058" s="52" t="str">
        <f>+IF('Data Pura Costos'!H2058="","",'Data Pura Costos'!H2058)</f>
        <v/>
      </c>
      <c r="I2058" s="71" t="str">
        <f>+IF('Data Pura Costos'!I2058="","",'Data Pura Costos'!I2058)</f>
        <v/>
      </c>
      <c r="J2058" s="52" t="str">
        <f>+IF('Data Pura Costos'!J2058="","",'Data Pura Costos'!J2058)</f>
        <v/>
      </c>
      <c r="K2058" s="82" t="str">
        <f t="shared" si="37"/>
        <v/>
      </c>
    </row>
    <row r="2059" spans="2:11" x14ac:dyDescent="0.35">
      <c r="B2059" s="4" t="str">
        <f>+IF('Data Pura Costos'!B2059="","",'Data Pura Costos'!B2059)</f>
        <v/>
      </c>
      <c r="C2059" s="4" t="str">
        <f>+IF('Data Pura Costos'!C2059="","",'Data Pura Costos'!C2059)</f>
        <v/>
      </c>
      <c r="D2059" s="5" t="str">
        <f>+IF('Data Pura Costos'!D2059="","",'Data Pura Costos'!D2059)</f>
        <v/>
      </c>
      <c r="E2059" s="65" t="str">
        <f>+IF('Data Pura Costos'!E2059="","",IF('Data Pura Costos'!E2059=0,MAX('Data Pura Costos'!$E$7:$E$3000)*1000,'Data Pura Costos'!E2059))</f>
        <v/>
      </c>
      <c r="F2059" s="5" t="str">
        <f>+IF('Data Pura Costos'!F2059="","",'Data Pura Costos'!F2059)</f>
        <v/>
      </c>
      <c r="G2059" s="5" t="str">
        <f>+IF('Data Pura Costos'!G2059="","",'Data Pura Costos'!G2059)</f>
        <v/>
      </c>
      <c r="H2059" s="52" t="str">
        <f>+IF('Data Pura Costos'!H2059="","",'Data Pura Costos'!H2059)</f>
        <v/>
      </c>
      <c r="I2059" s="71" t="str">
        <f>+IF('Data Pura Costos'!I2059="","",'Data Pura Costos'!I2059)</f>
        <v/>
      </c>
      <c r="J2059" s="52" t="str">
        <f>+IF('Data Pura Costos'!J2059="","",'Data Pura Costos'!J2059)</f>
        <v/>
      </c>
      <c r="K2059" s="82" t="str">
        <f t="shared" si="37"/>
        <v/>
      </c>
    </row>
    <row r="2060" spans="2:11" x14ac:dyDescent="0.35">
      <c r="B2060" s="4" t="str">
        <f>+IF('Data Pura Costos'!B2060="","",'Data Pura Costos'!B2060)</f>
        <v/>
      </c>
      <c r="C2060" s="4" t="str">
        <f>+IF('Data Pura Costos'!C2060="","",'Data Pura Costos'!C2060)</f>
        <v/>
      </c>
      <c r="D2060" s="5" t="str">
        <f>+IF('Data Pura Costos'!D2060="","",'Data Pura Costos'!D2060)</f>
        <v/>
      </c>
      <c r="E2060" s="65" t="str">
        <f>+IF('Data Pura Costos'!E2060="","",IF('Data Pura Costos'!E2060=0,MAX('Data Pura Costos'!$E$7:$E$3000)*1000,'Data Pura Costos'!E2060))</f>
        <v/>
      </c>
      <c r="F2060" s="5" t="str">
        <f>+IF('Data Pura Costos'!F2060="","",'Data Pura Costos'!F2060)</f>
        <v/>
      </c>
      <c r="G2060" s="5" t="str">
        <f>+IF('Data Pura Costos'!G2060="","",'Data Pura Costos'!G2060)</f>
        <v/>
      </c>
      <c r="H2060" s="52" t="str">
        <f>+IF('Data Pura Costos'!H2060="","",'Data Pura Costos'!H2060)</f>
        <v/>
      </c>
      <c r="I2060" s="71" t="str">
        <f>+IF('Data Pura Costos'!I2060="","",'Data Pura Costos'!I2060)</f>
        <v/>
      </c>
      <c r="J2060" s="52" t="str">
        <f>+IF('Data Pura Costos'!J2060="","",'Data Pura Costos'!J2060)</f>
        <v/>
      </c>
      <c r="K2060" s="82" t="str">
        <f t="shared" si="37"/>
        <v/>
      </c>
    </row>
    <row r="2061" spans="2:11" x14ac:dyDescent="0.35">
      <c r="B2061" s="4" t="str">
        <f>+IF('Data Pura Costos'!B2061="","",'Data Pura Costos'!B2061)</f>
        <v/>
      </c>
      <c r="C2061" s="4" t="str">
        <f>+IF('Data Pura Costos'!C2061="","",'Data Pura Costos'!C2061)</f>
        <v/>
      </c>
      <c r="D2061" s="5" t="str">
        <f>+IF('Data Pura Costos'!D2061="","",'Data Pura Costos'!D2061)</f>
        <v/>
      </c>
      <c r="E2061" s="65" t="str">
        <f>+IF('Data Pura Costos'!E2061="","",IF('Data Pura Costos'!E2061=0,MAX('Data Pura Costos'!$E$7:$E$3000)*1000,'Data Pura Costos'!E2061))</f>
        <v/>
      </c>
      <c r="F2061" s="5" t="str">
        <f>+IF('Data Pura Costos'!F2061="","",'Data Pura Costos'!F2061)</f>
        <v/>
      </c>
      <c r="G2061" s="5" t="str">
        <f>+IF('Data Pura Costos'!G2061="","",'Data Pura Costos'!G2061)</f>
        <v/>
      </c>
      <c r="H2061" s="52" t="str">
        <f>+IF('Data Pura Costos'!H2061="","",'Data Pura Costos'!H2061)</f>
        <v/>
      </c>
      <c r="I2061" s="71" t="str">
        <f>+IF('Data Pura Costos'!I2061="","",'Data Pura Costos'!I2061)</f>
        <v/>
      </c>
      <c r="J2061" s="52" t="str">
        <f>+IF('Data Pura Costos'!J2061="","",'Data Pura Costos'!J2061)</f>
        <v/>
      </c>
      <c r="K2061" s="82" t="str">
        <f t="shared" si="37"/>
        <v/>
      </c>
    </row>
    <row r="2062" spans="2:11" x14ac:dyDescent="0.35">
      <c r="B2062" s="4" t="str">
        <f>+IF('Data Pura Costos'!B2062="","",'Data Pura Costos'!B2062)</f>
        <v/>
      </c>
      <c r="C2062" s="4" t="str">
        <f>+IF('Data Pura Costos'!C2062="","",'Data Pura Costos'!C2062)</f>
        <v/>
      </c>
      <c r="D2062" s="5" t="str">
        <f>+IF('Data Pura Costos'!D2062="","",'Data Pura Costos'!D2062)</f>
        <v/>
      </c>
      <c r="E2062" s="65" t="str">
        <f>+IF('Data Pura Costos'!E2062="","",IF('Data Pura Costos'!E2062=0,MAX('Data Pura Costos'!$E$7:$E$3000)*1000,'Data Pura Costos'!E2062))</f>
        <v/>
      </c>
      <c r="F2062" s="5" t="str">
        <f>+IF('Data Pura Costos'!F2062="","",'Data Pura Costos'!F2062)</f>
        <v/>
      </c>
      <c r="G2062" s="5" t="str">
        <f>+IF('Data Pura Costos'!G2062="","",'Data Pura Costos'!G2062)</f>
        <v/>
      </c>
      <c r="H2062" s="52" t="str">
        <f>+IF('Data Pura Costos'!H2062="","",'Data Pura Costos'!H2062)</f>
        <v/>
      </c>
      <c r="I2062" s="71" t="str">
        <f>+IF('Data Pura Costos'!I2062="","",'Data Pura Costos'!I2062)</f>
        <v/>
      </c>
      <c r="J2062" s="52" t="str">
        <f>+IF('Data Pura Costos'!J2062="","",'Data Pura Costos'!J2062)</f>
        <v/>
      </c>
      <c r="K2062" s="82" t="str">
        <f t="shared" si="37"/>
        <v/>
      </c>
    </row>
    <row r="2063" spans="2:11" x14ac:dyDescent="0.35">
      <c r="B2063" s="4" t="str">
        <f>+IF('Data Pura Costos'!B2063="","",'Data Pura Costos'!B2063)</f>
        <v/>
      </c>
      <c r="C2063" s="4" t="str">
        <f>+IF('Data Pura Costos'!C2063="","",'Data Pura Costos'!C2063)</f>
        <v/>
      </c>
      <c r="D2063" s="5" t="str">
        <f>+IF('Data Pura Costos'!D2063="","",'Data Pura Costos'!D2063)</f>
        <v/>
      </c>
      <c r="E2063" s="65" t="str">
        <f>+IF('Data Pura Costos'!E2063="","",IF('Data Pura Costos'!E2063=0,MAX('Data Pura Costos'!$E$7:$E$3000)*1000,'Data Pura Costos'!E2063))</f>
        <v/>
      </c>
      <c r="F2063" s="5" t="str">
        <f>+IF('Data Pura Costos'!F2063="","",'Data Pura Costos'!F2063)</f>
        <v/>
      </c>
      <c r="G2063" s="5" t="str">
        <f>+IF('Data Pura Costos'!G2063="","",'Data Pura Costos'!G2063)</f>
        <v/>
      </c>
      <c r="H2063" s="52" t="str">
        <f>+IF('Data Pura Costos'!H2063="","",'Data Pura Costos'!H2063)</f>
        <v/>
      </c>
      <c r="I2063" s="71" t="str">
        <f>+IF('Data Pura Costos'!I2063="","",'Data Pura Costos'!I2063)</f>
        <v/>
      </c>
      <c r="J2063" s="52" t="str">
        <f>+IF('Data Pura Costos'!J2063="","",'Data Pura Costos'!J2063)</f>
        <v/>
      </c>
      <c r="K2063" s="82" t="str">
        <f t="shared" si="37"/>
        <v/>
      </c>
    </row>
    <row r="2064" spans="2:11" x14ac:dyDescent="0.35">
      <c r="B2064" s="4" t="str">
        <f>+IF('Data Pura Costos'!B2064="","",'Data Pura Costos'!B2064)</f>
        <v/>
      </c>
      <c r="C2064" s="4" t="str">
        <f>+IF('Data Pura Costos'!C2064="","",'Data Pura Costos'!C2064)</f>
        <v/>
      </c>
      <c r="D2064" s="5" t="str">
        <f>+IF('Data Pura Costos'!D2064="","",'Data Pura Costos'!D2064)</f>
        <v/>
      </c>
      <c r="E2064" s="65" t="str">
        <f>+IF('Data Pura Costos'!E2064="","",IF('Data Pura Costos'!E2064=0,MAX('Data Pura Costos'!$E$7:$E$3000)*1000,'Data Pura Costos'!E2064))</f>
        <v/>
      </c>
      <c r="F2064" s="5" t="str">
        <f>+IF('Data Pura Costos'!F2064="","",'Data Pura Costos'!F2064)</f>
        <v/>
      </c>
      <c r="G2064" s="5" t="str">
        <f>+IF('Data Pura Costos'!G2064="","",'Data Pura Costos'!G2064)</f>
        <v/>
      </c>
      <c r="H2064" s="52" t="str">
        <f>+IF('Data Pura Costos'!H2064="","",'Data Pura Costos'!H2064)</f>
        <v/>
      </c>
      <c r="I2064" s="71" t="str">
        <f>+IF('Data Pura Costos'!I2064="","",'Data Pura Costos'!I2064)</f>
        <v/>
      </c>
      <c r="J2064" s="52" t="str">
        <f>+IF('Data Pura Costos'!J2064="","",'Data Pura Costos'!J2064)</f>
        <v/>
      </c>
      <c r="K2064" s="82" t="str">
        <f t="shared" si="37"/>
        <v/>
      </c>
    </row>
    <row r="2065" spans="2:11" x14ac:dyDescent="0.35">
      <c r="B2065" s="4" t="str">
        <f>+IF('Data Pura Costos'!B2065="","",'Data Pura Costos'!B2065)</f>
        <v/>
      </c>
      <c r="C2065" s="4" t="str">
        <f>+IF('Data Pura Costos'!C2065="","",'Data Pura Costos'!C2065)</f>
        <v/>
      </c>
      <c r="D2065" s="5" t="str">
        <f>+IF('Data Pura Costos'!D2065="","",'Data Pura Costos'!D2065)</f>
        <v/>
      </c>
      <c r="E2065" s="65" t="str">
        <f>+IF('Data Pura Costos'!E2065="","",IF('Data Pura Costos'!E2065=0,MAX('Data Pura Costos'!$E$7:$E$3000)*1000,'Data Pura Costos'!E2065))</f>
        <v/>
      </c>
      <c r="F2065" s="5" t="str">
        <f>+IF('Data Pura Costos'!F2065="","",'Data Pura Costos'!F2065)</f>
        <v/>
      </c>
      <c r="G2065" s="5" t="str">
        <f>+IF('Data Pura Costos'!G2065="","",'Data Pura Costos'!G2065)</f>
        <v/>
      </c>
      <c r="H2065" s="52" t="str">
        <f>+IF('Data Pura Costos'!H2065="","",'Data Pura Costos'!H2065)</f>
        <v/>
      </c>
      <c r="I2065" s="71" t="str">
        <f>+IF('Data Pura Costos'!I2065="","",'Data Pura Costos'!I2065)</f>
        <v/>
      </c>
      <c r="J2065" s="52" t="str">
        <f>+IF('Data Pura Costos'!J2065="","",'Data Pura Costos'!J2065)</f>
        <v/>
      </c>
      <c r="K2065" s="82" t="str">
        <f t="shared" si="37"/>
        <v/>
      </c>
    </row>
    <row r="2066" spans="2:11" x14ac:dyDescent="0.35">
      <c r="B2066" s="4" t="str">
        <f>+IF('Data Pura Costos'!B2066="","",'Data Pura Costos'!B2066)</f>
        <v/>
      </c>
      <c r="C2066" s="4" t="str">
        <f>+IF('Data Pura Costos'!C2066="","",'Data Pura Costos'!C2066)</f>
        <v/>
      </c>
      <c r="D2066" s="5" t="str">
        <f>+IF('Data Pura Costos'!D2066="","",'Data Pura Costos'!D2066)</f>
        <v/>
      </c>
      <c r="E2066" s="65" t="str">
        <f>+IF('Data Pura Costos'!E2066="","",IF('Data Pura Costos'!E2066=0,MAX('Data Pura Costos'!$E$7:$E$3000)*1000,'Data Pura Costos'!E2066))</f>
        <v/>
      </c>
      <c r="F2066" s="5" t="str">
        <f>+IF('Data Pura Costos'!F2066="","",'Data Pura Costos'!F2066)</f>
        <v/>
      </c>
      <c r="G2066" s="5" t="str">
        <f>+IF('Data Pura Costos'!G2066="","",'Data Pura Costos'!G2066)</f>
        <v/>
      </c>
      <c r="H2066" s="52" t="str">
        <f>+IF('Data Pura Costos'!H2066="","",'Data Pura Costos'!H2066)</f>
        <v/>
      </c>
      <c r="I2066" s="71" t="str">
        <f>+IF('Data Pura Costos'!I2066="","",'Data Pura Costos'!I2066)</f>
        <v/>
      </c>
      <c r="J2066" s="52" t="str">
        <f>+IF('Data Pura Costos'!J2066="","",'Data Pura Costos'!J2066)</f>
        <v/>
      </c>
      <c r="K2066" s="82" t="str">
        <f t="shared" si="37"/>
        <v/>
      </c>
    </row>
    <row r="2067" spans="2:11" x14ac:dyDescent="0.35">
      <c r="B2067" s="4" t="str">
        <f>+IF('Data Pura Costos'!B2067="","",'Data Pura Costos'!B2067)</f>
        <v/>
      </c>
      <c r="C2067" s="4" t="str">
        <f>+IF('Data Pura Costos'!C2067="","",'Data Pura Costos'!C2067)</f>
        <v/>
      </c>
      <c r="D2067" s="5" t="str">
        <f>+IF('Data Pura Costos'!D2067="","",'Data Pura Costos'!D2067)</f>
        <v/>
      </c>
      <c r="E2067" s="65" t="str">
        <f>+IF('Data Pura Costos'!E2067="","",IF('Data Pura Costos'!E2067=0,MAX('Data Pura Costos'!$E$7:$E$3000)*1000,'Data Pura Costos'!E2067))</f>
        <v/>
      </c>
      <c r="F2067" s="5" t="str">
        <f>+IF('Data Pura Costos'!F2067="","",'Data Pura Costos'!F2067)</f>
        <v/>
      </c>
      <c r="G2067" s="5" t="str">
        <f>+IF('Data Pura Costos'!G2067="","",'Data Pura Costos'!G2067)</f>
        <v/>
      </c>
      <c r="H2067" s="52" t="str">
        <f>+IF('Data Pura Costos'!H2067="","",'Data Pura Costos'!H2067)</f>
        <v/>
      </c>
      <c r="I2067" s="71" t="str">
        <f>+IF('Data Pura Costos'!I2067="","",'Data Pura Costos'!I2067)</f>
        <v/>
      </c>
      <c r="J2067" s="52" t="str">
        <f>+IF('Data Pura Costos'!J2067="","",'Data Pura Costos'!J2067)</f>
        <v/>
      </c>
      <c r="K2067" s="82" t="str">
        <f t="shared" si="37"/>
        <v/>
      </c>
    </row>
    <row r="2068" spans="2:11" x14ac:dyDescent="0.35">
      <c r="B2068" s="4" t="str">
        <f>+IF('Data Pura Costos'!B2068="","",'Data Pura Costos'!B2068)</f>
        <v/>
      </c>
      <c r="C2068" s="4" t="str">
        <f>+IF('Data Pura Costos'!C2068="","",'Data Pura Costos'!C2068)</f>
        <v/>
      </c>
      <c r="D2068" s="5" t="str">
        <f>+IF('Data Pura Costos'!D2068="","",'Data Pura Costos'!D2068)</f>
        <v/>
      </c>
      <c r="E2068" s="65" t="str">
        <f>+IF('Data Pura Costos'!E2068="","",IF('Data Pura Costos'!E2068=0,MAX('Data Pura Costos'!$E$7:$E$3000)*1000,'Data Pura Costos'!E2068))</f>
        <v/>
      </c>
      <c r="F2068" s="5" t="str">
        <f>+IF('Data Pura Costos'!F2068="","",'Data Pura Costos'!F2068)</f>
        <v/>
      </c>
      <c r="G2068" s="5" t="str">
        <f>+IF('Data Pura Costos'!G2068="","",'Data Pura Costos'!G2068)</f>
        <v/>
      </c>
      <c r="H2068" s="52" t="str">
        <f>+IF('Data Pura Costos'!H2068="","",'Data Pura Costos'!H2068)</f>
        <v/>
      </c>
      <c r="I2068" s="71" t="str">
        <f>+IF('Data Pura Costos'!I2068="","",'Data Pura Costos'!I2068)</f>
        <v/>
      </c>
      <c r="J2068" s="52" t="str">
        <f>+IF('Data Pura Costos'!J2068="","",'Data Pura Costos'!J2068)</f>
        <v/>
      </c>
      <c r="K2068" s="82" t="str">
        <f t="shared" si="37"/>
        <v/>
      </c>
    </row>
    <row r="2069" spans="2:11" x14ac:dyDescent="0.35">
      <c r="B2069" s="4" t="str">
        <f>+IF('Data Pura Costos'!B2069="","",'Data Pura Costos'!B2069)</f>
        <v/>
      </c>
      <c r="C2069" s="4" t="str">
        <f>+IF('Data Pura Costos'!C2069="","",'Data Pura Costos'!C2069)</f>
        <v/>
      </c>
      <c r="D2069" s="5" t="str">
        <f>+IF('Data Pura Costos'!D2069="","",'Data Pura Costos'!D2069)</f>
        <v/>
      </c>
      <c r="E2069" s="65" t="str">
        <f>+IF('Data Pura Costos'!E2069="","",IF('Data Pura Costos'!E2069=0,MAX('Data Pura Costos'!$E$7:$E$3000)*1000,'Data Pura Costos'!E2069))</f>
        <v/>
      </c>
      <c r="F2069" s="5" t="str">
        <f>+IF('Data Pura Costos'!F2069="","",'Data Pura Costos'!F2069)</f>
        <v/>
      </c>
      <c r="G2069" s="5" t="str">
        <f>+IF('Data Pura Costos'!G2069="","",'Data Pura Costos'!G2069)</f>
        <v/>
      </c>
      <c r="H2069" s="52" t="str">
        <f>+IF('Data Pura Costos'!H2069="","",'Data Pura Costos'!H2069)</f>
        <v/>
      </c>
      <c r="I2069" s="71" t="str">
        <f>+IF('Data Pura Costos'!I2069="","",'Data Pura Costos'!I2069)</f>
        <v/>
      </c>
      <c r="J2069" s="52" t="str">
        <f>+IF('Data Pura Costos'!J2069="","",'Data Pura Costos'!J2069)</f>
        <v/>
      </c>
      <c r="K2069" s="82" t="str">
        <f t="shared" si="37"/>
        <v/>
      </c>
    </row>
    <row r="2070" spans="2:11" x14ac:dyDescent="0.35">
      <c r="B2070" s="4" t="str">
        <f>+IF('Data Pura Costos'!B2070="","",'Data Pura Costos'!B2070)</f>
        <v/>
      </c>
      <c r="C2070" s="4" t="str">
        <f>+IF('Data Pura Costos'!C2070="","",'Data Pura Costos'!C2070)</f>
        <v/>
      </c>
      <c r="D2070" s="5" t="str">
        <f>+IF('Data Pura Costos'!D2070="","",'Data Pura Costos'!D2070)</f>
        <v/>
      </c>
      <c r="E2070" s="65" t="str">
        <f>+IF('Data Pura Costos'!E2070="","",IF('Data Pura Costos'!E2070=0,MAX('Data Pura Costos'!$E$7:$E$3000)*1000,'Data Pura Costos'!E2070))</f>
        <v/>
      </c>
      <c r="F2070" s="5" t="str">
        <f>+IF('Data Pura Costos'!F2070="","",'Data Pura Costos'!F2070)</f>
        <v/>
      </c>
      <c r="G2070" s="5" t="str">
        <f>+IF('Data Pura Costos'!G2070="","",'Data Pura Costos'!G2070)</f>
        <v/>
      </c>
      <c r="H2070" s="52" t="str">
        <f>+IF('Data Pura Costos'!H2070="","",'Data Pura Costos'!H2070)</f>
        <v/>
      </c>
      <c r="I2070" s="71" t="str">
        <f>+IF('Data Pura Costos'!I2070="","",'Data Pura Costos'!I2070)</f>
        <v/>
      </c>
      <c r="J2070" s="52" t="str">
        <f>+IF('Data Pura Costos'!J2070="","",'Data Pura Costos'!J2070)</f>
        <v/>
      </c>
      <c r="K2070" s="82" t="str">
        <f t="shared" si="37"/>
        <v/>
      </c>
    </row>
    <row r="2071" spans="2:11" x14ac:dyDescent="0.35">
      <c r="B2071" s="4" t="str">
        <f>+IF('Data Pura Costos'!B2071="","",'Data Pura Costos'!B2071)</f>
        <v/>
      </c>
      <c r="C2071" s="4" t="str">
        <f>+IF('Data Pura Costos'!C2071="","",'Data Pura Costos'!C2071)</f>
        <v/>
      </c>
      <c r="D2071" s="5" t="str">
        <f>+IF('Data Pura Costos'!D2071="","",'Data Pura Costos'!D2071)</f>
        <v/>
      </c>
      <c r="E2071" s="65" t="str">
        <f>+IF('Data Pura Costos'!E2071="","",IF('Data Pura Costos'!E2071=0,MAX('Data Pura Costos'!$E$7:$E$3000)*1000,'Data Pura Costos'!E2071))</f>
        <v/>
      </c>
      <c r="F2071" s="5" t="str">
        <f>+IF('Data Pura Costos'!F2071="","",'Data Pura Costos'!F2071)</f>
        <v/>
      </c>
      <c r="G2071" s="5" t="str">
        <f>+IF('Data Pura Costos'!G2071="","",'Data Pura Costos'!G2071)</f>
        <v/>
      </c>
      <c r="H2071" s="52" t="str">
        <f>+IF('Data Pura Costos'!H2071="","",'Data Pura Costos'!H2071)</f>
        <v/>
      </c>
      <c r="I2071" s="71" t="str">
        <f>+IF('Data Pura Costos'!I2071="","",'Data Pura Costos'!I2071)</f>
        <v/>
      </c>
      <c r="J2071" s="52" t="str">
        <f>+IF('Data Pura Costos'!J2071="","",'Data Pura Costos'!J2071)</f>
        <v/>
      </c>
      <c r="K2071" s="82" t="str">
        <f t="shared" si="37"/>
        <v/>
      </c>
    </row>
    <row r="2072" spans="2:11" x14ac:dyDescent="0.35">
      <c r="B2072" s="4" t="str">
        <f>+IF('Data Pura Costos'!B2072="","",'Data Pura Costos'!B2072)</f>
        <v/>
      </c>
      <c r="C2072" s="4" t="str">
        <f>+IF('Data Pura Costos'!C2072="","",'Data Pura Costos'!C2072)</f>
        <v/>
      </c>
      <c r="D2072" s="5" t="str">
        <f>+IF('Data Pura Costos'!D2072="","",'Data Pura Costos'!D2072)</f>
        <v/>
      </c>
      <c r="E2072" s="65" t="str">
        <f>+IF('Data Pura Costos'!E2072="","",IF('Data Pura Costos'!E2072=0,MAX('Data Pura Costos'!$E$7:$E$3000)*1000,'Data Pura Costos'!E2072))</f>
        <v/>
      </c>
      <c r="F2072" s="5" t="str">
        <f>+IF('Data Pura Costos'!F2072="","",'Data Pura Costos'!F2072)</f>
        <v/>
      </c>
      <c r="G2072" s="5" t="str">
        <f>+IF('Data Pura Costos'!G2072="","",'Data Pura Costos'!G2072)</f>
        <v/>
      </c>
      <c r="H2072" s="52" t="str">
        <f>+IF('Data Pura Costos'!H2072="","",'Data Pura Costos'!H2072)</f>
        <v/>
      </c>
      <c r="I2072" s="71" t="str">
        <f>+IF('Data Pura Costos'!I2072="","",'Data Pura Costos'!I2072)</f>
        <v/>
      </c>
      <c r="J2072" s="52" t="str">
        <f>+IF('Data Pura Costos'!J2072="","",'Data Pura Costos'!J2072)</f>
        <v/>
      </c>
      <c r="K2072" s="82" t="str">
        <f t="shared" si="37"/>
        <v/>
      </c>
    </row>
    <row r="2073" spans="2:11" x14ac:dyDescent="0.35">
      <c r="B2073" s="4" t="str">
        <f>+IF('Data Pura Costos'!B2073="","",'Data Pura Costos'!B2073)</f>
        <v/>
      </c>
      <c r="C2073" s="4" t="str">
        <f>+IF('Data Pura Costos'!C2073="","",'Data Pura Costos'!C2073)</f>
        <v/>
      </c>
      <c r="D2073" s="5" t="str">
        <f>+IF('Data Pura Costos'!D2073="","",'Data Pura Costos'!D2073)</f>
        <v/>
      </c>
      <c r="E2073" s="65" t="str">
        <f>+IF('Data Pura Costos'!E2073="","",IF('Data Pura Costos'!E2073=0,MAX('Data Pura Costos'!$E$7:$E$3000)*1000,'Data Pura Costos'!E2073))</f>
        <v/>
      </c>
      <c r="F2073" s="5" t="str">
        <f>+IF('Data Pura Costos'!F2073="","",'Data Pura Costos'!F2073)</f>
        <v/>
      </c>
      <c r="G2073" s="5" t="str">
        <f>+IF('Data Pura Costos'!G2073="","",'Data Pura Costos'!G2073)</f>
        <v/>
      </c>
      <c r="H2073" s="52" t="str">
        <f>+IF('Data Pura Costos'!H2073="","",'Data Pura Costos'!H2073)</f>
        <v/>
      </c>
      <c r="I2073" s="71" t="str">
        <f>+IF('Data Pura Costos'!I2073="","",'Data Pura Costos'!I2073)</f>
        <v/>
      </c>
      <c r="J2073" s="52" t="str">
        <f>+IF('Data Pura Costos'!J2073="","",'Data Pura Costos'!J2073)</f>
        <v/>
      </c>
      <c r="K2073" s="82" t="str">
        <f t="shared" si="37"/>
        <v/>
      </c>
    </row>
    <row r="2074" spans="2:11" x14ac:dyDescent="0.35">
      <c r="B2074" s="4" t="str">
        <f>+IF('Data Pura Costos'!B2074="","",'Data Pura Costos'!B2074)</f>
        <v/>
      </c>
      <c r="C2074" s="4" t="str">
        <f>+IF('Data Pura Costos'!C2074="","",'Data Pura Costos'!C2074)</f>
        <v/>
      </c>
      <c r="D2074" s="5" t="str">
        <f>+IF('Data Pura Costos'!D2074="","",'Data Pura Costos'!D2074)</f>
        <v/>
      </c>
      <c r="E2074" s="65" t="str">
        <f>+IF('Data Pura Costos'!E2074="","",IF('Data Pura Costos'!E2074=0,MAX('Data Pura Costos'!$E$7:$E$3000)*1000,'Data Pura Costos'!E2074))</f>
        <v/>
      </c>
      <c r="F2074" s="5" t="str">
        <f>+IF('Data Pura Costos'!F2074="","",'Data Pura Costos'!F2074)</f>
        <v/>
      </c>
      <c r="G2074" s="5" t="str">
        <f>+IF('Data Pura Costos'!G2074="","",'Data Pura Costos'!G2074)</f>
        <v/>
      </c>
      <c r="H2074" s="52" t="str">
        <f>+IF('Data Pura Costos'!H2074="","",'Data Pura Costos'!H2074)</f>
        <v/>
      </c>
      <c r="I2074" s="71" t="str">
        <f>+IF('Data Pura Costos'!I2074="","",'Data Pura Costos'!I2074)</f>
        <v/>
      </c>
      <c r="J2074" s="52" t="str">
        <f>+IF('Data Pura Costos'!J2074="","",'Data Pura Costos'!J2074)</f>
        <v/>
      </c>
      <c r="K2074" s="82" t="str">
        <f t="shared" si="37"/>
        <v/>
      </c>
    </row>
    <row r="2075" spans="2:11" x14ac:dyDescent="0.35">
      <c r="B2075" s="4" t="str">
        <f>+IF('Data Pura Costos'!B2075="","",'Data Pura Costos'!B2075)</f>
        <v/>
      </c>
      <c r="C2075" s="4" t="str">
        <f>+IF('Data Pura Costos'!C2075="","",'Data Pura Costos'!C2075)</f>
        <v/>
      </c>
      <c r="D2075" s="5" t="str">
        <f>+IF('Data Pura Costos'!D2075="","",'Data Pura Costos'!D2075)</f>
        <v/>
      </c>
      <c r="E2075" s="65" t="str">
        <f>+IF('Data Pura Costos'!E2075="","",IF('Data Pura Costos'!E2075=0,MAX('Data Pura Costos'!$E$7:$E$3000)*1000,'Data Pura Costos'!E2075))</f>
        <v/>
      </c>
      <c r="F2075" s="5" t="str">
        <f>+IF('Data Pura Costos'!F2075="","",'Data Pura Costos'!F2075)</f>
        <v/>
      </c>
      <c r="G2075" s="5" t="str">
        <f>+IF('Data Pura Costos'!G2075="","",'Data Pura Costos'!G2075)</f>
        <v/>
      </c>
      <c r="H2075" s="52" t="str">
        <f>+IF('Data Pura Costos'!H2075="","",'Data Pura Costos'!H2075)</f>
        <v/>
      </c>
      <c r="I2075" s="71" t="str">
        <f>+IF('Data Pura Costos'!I2075="","",'Data Pura Costos'!I2075)</f>
        <v/>
      </c>
      <c r="J2075" s="52" t="str">
        <f>+IF('Data Pura Costos'!J2075="","",'Data Pura Costos'!J2075)</f>
        <v/>
      </c>
      <c r="K2075" s="82" t="str">
        <f t="shared" si="37"/>
        <v/>
      </c>
    </row>
    <row r="2076" spans="2:11" x14ac:dyDescent="0.35">
      <c r="B2076" s="4" t="str">
        <f>+IF('Data Pura Costos'!B2076="","",'Data Pura Costos'!B2076)</f>
        <v/>
      </c>
      <c r="C2076" s="4" t="str">
        <f>+IF('Data Pura Costos'!C2076="","",'Data Pura Costos'!C2076)</f>
        <v/>
      </c>
      <c r="D2076" s="5" t="str">
        <f>+IF('Data Pura Costos'!D2076="","",'Data Pura Costos'!D2076)</f>
        <v/>
      </c>
      <c r="E2076" s="65" t="str">
        <f>+IF('Data Pura Costos'!E2076="","",IF('Data Pura Costos'!E2076=0,MAX('Data Pura Costos'!$E$7:$E$3000)*1000,'Data Pura Costos'!E2076))</f>
        <v/>
      </c>
      <c r="F2076" s="5" t="str">
        <f>+IF('Data Pura Costos'!F2076="","",'Data Pura Costos'!F2076)</f>
        <v/>
      </c>
      <c r="G2076" s="5" t="str">
        <f>+IF('Data Pura Costos'!G2076="","",'Data Pura Costos'!G2076)</f>
        <v/>
      </c>
      <c r="H2076" s="52" t="str">
        <f>+IF('Data Pura Costos'!H2076="","",'Data Pura Costos'!H2076)</f>
        <v/>
      </c>
      <c r="I2076" s="71" t="str">
        <f>+IF('Data Pura Costos'!I2076="","",'Data Pura Costos'!I2076)</f>
        <v/>
      </c>
      <c r="J2076" s="52" t="str">
        <f>+IF('Data Pura Costos'!J2076="","",'Data Pura Costos'!J2076)</f>
        <v/>
      </c>
      <c r="K2076" s="82" t="str">
        <f t="shared" si="37"/>
        <v/>
      </c>
    </row>
    <row r="2077" spans="2:11" x14ac:dyDescent="0.35">
      <c r="B2077" s="4" t="str">
        <f>+IF('Data Pura Costos'!B2077="","",'Data Pura Costos'!B2077)</f>
        <v/>
      </c>
      <c r="C2077" s="4" t="str">
        <f>+IF('Data Pura Costos'!C2077="","",'Data Pura Costos'!C2077)</f>
        <v/>
      </c>
      <c r="D2077" s="5" t="str">
        <f>+IF('Data Pura Costos'!D2077="","",'Data Pura Costos'!D2077)</f>
        <v/>
      </c>
      <c r="E2077" s="65" t="str">
        <f>+IF('Data Pura Costos'!E2077="","",IF('Data Pura Costos'!E2077=0,MAX('Data Pura Costos'!$E$7:$E$3000)*1000,'Data Pura Costos'!E2077))</f>
        <v/>
      </c>
      <c r="F2077" s="5" t="str">
        <f>+IF('Data Pura Costos'!F2077="","",'Data Pura Costos'!F2077)</f>
        <v/>
      </c>
      <c r="G2077" s="5" t="str">
        <f>+IF('Data Pura Costos'!G2077="","",'Data Pura Costos'!G2077)</f>
        <v/>
      </c>
      <c r="H2077" s="52" t="str">
        <f>+IF('Data Pura Costos'!H2077="","",'Data Pura Costos'!H2077)</f>
        <v/>
      </c>
      <c r="I2077" s="71" t="str">
        <f>+IF('Data Pura Costos'!I2077="","",'Data Pura Costos'!I2077)</f>
        <v/>
      </c>
      <c r="J2077" s="52" t="str">
        <f>+IF('Data Pura Costos'!J2077="","",'Data Pura Costos'!J2077)</f>
        <v/>
      </c>
      <c r="K2077" s="82" t="str">
        <f t="shared" si="37"/>
        <v/>
      </c>
    </row>
    <row r="2078" spans="2:11" x14ac:dyDescent="0.35">
      <c r="B2078" s="4" t="str">
        <f>+IF('Data Pura Costos'!B2078="","",'Data Pura Costos'!B2078)</f>
        <v/>
      </c>
      <c r="C2078" s="4" t="str">
        <f>+IF('Data Pura Costos'!C2078="","",'Data Pura Costos'!C2078)</f>
        <v/>
      </c>
      <c r="D2078" s="5" t="str">
        <f>+IF('Data Pura Costos'!D2078="","",'Data Pura Costos'!D2078)</f>
        <v/>
      </c>
      <c r="E2078" s="65" t="str">
        <f>+IF('Data Pura Costos'!E2078="","",IF('Data Pura Costos'!E2078=0,MAX('Data Pura Costos'!$E$7:$E$3000)*1000,'Data Pura Costos'!E2078))</f>
        <v/>
      </c>
      <c r="F2078" s="5" t="str">
        <f>+IF('Data Pura Costos'!F2078="","",'Data Pura Costos'!F2078)</f>
        <v/>
      </c>
      <c r="G2078" s="5" t="str">
        <f>+IF('Data Pura Costos'!G2078="","",'Data Pura Costos'!G2078)</f>
        <v/>
      </c>
      <c r="H2078" s="52" t="str">
        <f>+IF('Data Pura Costos'!H2078="","",'Data Pura Costos'!H2078)</f>
        <v/>
      </c>
      <c r="I2078" s="71" t="str">
        <f>+IF('Data Pura Costos'!I2078="","",'Data Pura Costos'!I2078)</f>
        <v/>
      </c>
      <c r="J2078" s="52" t="str">
        <f>+IF('Data Pura Costos'!J2078="","",'Data Pura Costos'!J2078)</f>
        <v/>
      </c>
      <c r="K2078" s="82" t="str">
        <f t="shared" si="37"/>
        <v/>
      </c>
    </row>
    <row r="2079" spans="2:11" x14ac:dyDescent="0.35">
      <c r="B2079" s="4" t="str">
        <f>+IF('Data Pura Costos'!B2079="","",'Data Pura Costos'!B2079)</f>
        <v/>
      </c>
      <c r="C2079" s="4" t="str">
        <f>+IF('Data Pura Costos'!C2079="","",'Data Pura Costos'!C2079)</f>
        <v/>
      </c>
      <c r="D2079" s="5" t="str">
        <f>+IF('Data Pura Costos'!D2079="","",'Data Pura Costos'!D2079)</f>
        <v/>
      </c>
      <c r="E2079" s="65" t="str">
        <f>+IF('Data Pura Costos'!E2079="","",IF('Data Pura Costos'!E2079=0,MAX('Data Pura Costos'!$E$7:$E$3000)*1000,'Data Pura Costos'!E2079))</f>
        <v/>
      </c>
      <c r="F2079" s="5" t="str">
        <f>+IF('Data Pura Costos'!F2079="","",'Data Pura Costos'!F2079)</f>
        <v/>
      </c>
      <c r="G2079" s="5" t="str">
        <f>+IF('Data Pura Costos'!G2079="","",'Data Pura Costos'!G2079)</f>
        <v/>
      </c>
      <c r="H2079" s="52" t="str">
        <f>+IF('Data Pura Costos'!H2079="","",'Data Pura Costos'!H2079)</f>
        <v/>
      </c>
      <c r="I2079" s="71" t="str">
        <f>+IF('Data Pura Costos'!I2079="","",'Data Pura Costos'!I2079)</f>
        <v/>
      </c>
      <c r="J2079" s="52" t="str">
        <f>+IF('Data Pura Costos'!J2079="","",'Data Pura Costos'!J2079)</f>
        <v/>
      </c>
      <c r="K2079" s="82" t="str">
        <f t="shared" si="37"/>
        <v/>
      </c>
    </row>
    <row r="2080" spans="2:11" x14ac:dyDescent="0.35">
      <c r="B2080" s="4" t="str">
        <f>+IF('Data Pura Costos'!B2080="","",'Data Pura Costos'!B2080)</f>
        <v/>
      </c>
      <c r="C2080" s="4" t="str">
        <f>+IF('Data Pura Costos'!C2080="","",'Data Pura Costos'!C2080)</f>
        <v/>
      </c>
      <c r="D2080" s="5" t="str">
        <f>+IF('Data Pura Costos'!D2080="","",'Data Pura Costos'!D2080)</f>
        <v/>
      </c>
      <c r="E2080" s="65" t="str">
        <f>+IF('Data Pura Costos'!E2080="","",IF('Data Pura Costos'!E2080=0,MAX('Data Pura Costos'!$E$7:$E$3000)*1000,'Data Pura Costos'!E2080))</f>
        <v/>
      </c>
      <c r="F2080" s="5" t="str">
        <f>+IF('Data Pura Costos'!F2080="","",'Data Pura Costos'!F2080)</f>
        <v/>
      </c>
      <c r="G2080" s="5" t="str">
        <f>+IF('Data Pura Costos'!G2080="","",'Data Pura Costos'!G2080)</f>
        <v/>
      </c>
      <c r="H2080" s="52" t="str">
        <f>+IF('Data Pura Costos'!H2080="","",'Data Pura Costos'!H2080)</f>
        <v/>
      </c>
      <c r="I2080" s="71" t="str">
        <f>+IF('Data Pura Costos'!I2080="","",'Data Pura Costos'!I2080)</f>
        <v/>
      </c>
      <c r="J2080" s="52" t="str">
        <f>+IF('Data Pura Costos'!J2080="","",'Data Pura Costos'!J2080)</f>
        <v/>
      </c>
      <c r="K2080" s="82" t="str">
        <f t="shared" si="37"/>
        <v/>
      </c>
    </row>
    <row r="2081" spans="2:11" x14ac:dyDescent="0.35">
      <c r="B2081" s="4" t="str">
        <f>+IF('Data Pura Costos'!B2081="","",'Data Pura Costos'!B2081)</f>
        <v/>
      </c>
      <c r="C2081" s="4" t="str">
        <f>+IF('Data Pura Costos'!C2081="","",'Data Pura Costos'!C2081)</f>
        <v/>
      </c>
      <c r="D2081" s="5" t="str">
        <f>+IF('Data Pura Costos'!D2081="","",'Data Pura Costos'!D2081)</f>
        <v/>
      </c>
      <c r="E2081" s="65" t="str">
        <f>+IF('Data Pura Costos'!E2081="","",IF('Data Pura Costos'!E2081=0,MAX('Data Pura Costos'!$E$7:$E$3000)*1000,'Data Pura Costos'!E2081))</f>
        <v/>
      </c>
      <c r="F2081" s="5" t="str">
        <f>+IF('Data Pura Costos'!F2081="","",'Data Pura Costos'!F2081)</f>
        <v/>
      </c>
      <c r="G2081" s="5" t="str">
        <f>+IF('Data Pura Costos'!G2081="","",'Data Pura Costos'!G2081)</f>
        <v/>
      </c>
      <c r="H2081" s="52" t="str">
        <f>+IF('Data Pura Costos'!H2081="","",'Data Pura Costos'!H2081)</f>
        <v/>
      </c>
      <c r="I2081" s="71" t="str">
        <f>+IF('Data Pura Costos'!I2081="","",'Data Pura Costos'!I2081)</f>
        <v/>
      </c>
      <c r="J2081" s="52" t="str">
        <f>+IF('Data Pura Costos'!J2081="","",'Data Pura Costos'!J2081)</f>
        <v/>
      </c>
      <c r="K2081" s="82" t="str">
        <f t="shared" si="37"/>
        <v/>
      </c>
    </row>
    <row r="2082" spans="2:11" x14ac:dyDescent="0.35">
      <c r="B2082" s="4" t="str">
        <f>+IF('Data Pura Costos'!B2082="","",'Data Pura Costos'!B2082)</f>
        <v/>
      </c>
      <c r="C2082" s="4" t="str">
        <f>+IF('Data Pura Costos'!C2082="","",'Data Pura Costos'!C2082)</f>
        <v/>
      </c>
      <c r="D2082" s="5" t="str">
        <f>+IF('Data Pura Costos'!D2082="","",'Data Pura Costos'!D2082)</f>
        <v/>
      </c>
      <c r="E2082" s="65" t="str">
        <f>+IF('Data Pura Costos'!E2082="","",IF('Data Pura Costos'!E2082=0,MAX('Data Pura Costos'!$E$7:$E$3000)*1000,'Data Pura Costos'!E2082))</f>
        <v/>
      </c>
      <c r="F2082" s="5" t="str">
        <f>+IF('Data Pura Costos'!F2082="","",'Data Pura Costos'!F2082)</f>
        <v/>
      </c>
      <c r="G2082" s="5" t="str">
        <f>+IF('Data Pura Costos'!G2082="","",'Data Pura Costos'!G2082)</f>
        <v/>
      </c>
      <c r="H2082" s="52" t="str">
        <f>+IF('Data Pura Costos'!H2082="","",'Data Pura Costos'!H2082)</f>
        <v/>
      </c>
      <c r="I2082" s="71" t="str">
        <f>+IF('Data Pura Costos'!I2082="","",'Data Pura Costos'!I2082)</f>
        <v/>
      </c>
      <c r="J2082" s="52" t="str">
        <f>+IF('Data Pura Costos'!J2082="","",'Data Pura Costos'!J2082)</f>
        <v/>
      </c>
      <c r="K2082" s="82" t="str">
        <f t="shared" si="37"/>
        <v/>
      </c>
    </row>
    <row r="2083" spans="2:11" x14ac:dyDescent="0.35">
      <c r="B2083" s="4" t="str">
        <f>+IF('Data Pura Costos'!B2083="","",'Data Pura Costos'!B2083)</f>
        <v/>
      </c>
      <c r="C2083" s="4" t="str">
        <f>+IF('Data Pura Costos'!C2083="","",'Data Pura Costos'!C2083)</f>
        <v/>
      </c>
      <c r="D2083" s="5" t="str">
        <f>+IF('Data Pura Costos'!D2083="","",'Data Pura Costos'!D2083)</f>
        <v/>
      </c>
      <c r="E2083" s="65" t="str">
        <f>+IF('Data Pura Costos'!E2083="","",IF('Data Pura Costos'!E2083=0,MAX('Data Pura Costos'!$E$7:$E$3000)*1000,'Data Pura Costos'!E2083))</f>
        <v/>
      </c>
      <c r="F2083" s="5" t="str">
        <f>+IF('Data Pura Costos'!F2083="","",'Data Pura Costos'!F2083)</f>
        <v/>
      </c>
      <c r="G2083" s="5" t="str">
        <f>+IF('Data Pura Costos'!G2083="","",'Data Pura Costos'!G2083)</f>
        <v/>
      </c>
      <c r="H2083" s="52" t="str">
        <f>+IF('Data Pura Costos'!H2083="","",'Data Pura Costos'!H2083)</f>
        <v/>
      </c>
      <c r="I2083" s="71" t="str">
        <f>+IF('Data Pura Costos'!I2083="","",'Data Pura Costos'!I2083)</f>
        <v/>
      </c>
      <c r="J2083" s="52" t="str">
        <f>+IF('Data Pura Costos'!J2083="","",'Data Pura Costos'!J2083)</f>
        <v/>
      </c>
      <c r="K2083" s="82" t="str">
        <f t="shared" si="37"/>
        <v/>
      </c>
    </row>
    <row r="2084" spans="2:11" x14ac:dyDescent="0.35">
      <c r="B2084" s="4" t="str">
        <f>+IF('Data Pura Costos'!B2084="","",'Data Pura Costos'!B2084)</f>
        <v/>
      </c>
      <c r="C2084" s="4" t="str">
        <f>+IF('Data Pura Costos'!C2084="","",'Data Pura Costos'!C2084)</f>
        <v/>
      </c>
      <c r="D2084" s="5" t="str">
        <f>+IF('Data Pura Costos'!D2084="","",'Data Pura Costos'!D2084)</f>
        <v/>
      </c>
      <c r="E2084" s="65" t="str">
        <f>+IF('Data Pura Costos'!E2084="","",IF('Data Pura Costos'!E2084=0,MAX('Data Pura Costos'!$E$7:$E$3000)*1000,'Data Pura Costos'!E2084))</f>
        <v/>
      </c>
      <c r="F2084" s="5" t="str">
        <f>+IF('Data Pura Costos'!F2084="","",'Data Pura Costos'!F2084)</f>
        <v/>
      </c>
      <c r="G2084" s="5" t="str">
        <f>+IF('Data Pura Costos'!G2084="","",'Data Pura Costos'!G2084)</f>
        <v/>
      </c>
      <c r="H2084" s="52" t="str">
        <f>+IF('Data Pura Costos'!H2084="","",'Data Pura Costos'!H2084)</f>
        <v/>
      </c>
      <c r="I2084" s="71" t="str">
        <f>+IF('Data Pura Costos'!I2084="","",'Data Pura Costos'!I2084)</f>
        <v/>
      </c>
      <c r="J2084" s="52" t="str">
        <f>+IF('Data Pura Costos'!J2084="","",'Data Pura Costos'!J2084)</f>
        <v/>
      </c>
      <c r="K2084" s="82" t="str">
        <f t="shared" si="37"/>
        <v/>
      </c>
    </row>
    <row r="2085" spans="2:11" x14ac:dyDescent="0.35">
      <c r="B2085" s="4" t="str">
        <f>+IF('Data Pura Costos'!B2085="","",'Data Pura Costos'!B2085)</f>
        <v/>
      </c>
      <c r="C2085" s="4" t="str">
        <f>+IF('Data Pura Costos'!C2085="","",'Data Pura Costos'!C2085)</f>
        <v/>
      </c>
      <c r="D2085" s="5" t="str">
        <f>+IF('Data Pura Costos'!D2085="","",'Data Pura Costos'!D2085)</f>
        <v/>
      </c>
      <c r="E2085" s="65" t="str">
        <f>+IF('Data Pura Costos'!E2085="","",IF('Data Pura Costos'!E2085=0,MAX('Data Pura Costos'!$E$7:$E$3000)*1000,'Data Pura Costos'!E2085))</f>
        <v/>
      </c>
      <c r="F2085" s="5" t="str">
        <f>+IF('Data Pura Costos'!F2085="","",'Data Pura Costos'!F2085)</f>
        <v/>
      </c>
      <c r="G2085" s="5" t="str">
        <f>+IF('Data Pura Costos'!G2085="","",'Data Pura Costos'!G2085)</f>
        <v/>
      </c>
      <c r="H2085" s="52" t="str">
        <f>+IF('Data Pura Costos'!H2085="","",'Data Pura Costos'!H2085)</f>
        <v/>
      </c>
      <c r="I2085" s="71" t="str">
        <f>+IF('Data Pura Costos'!I2085="","",'Data Pura Costos'!I2085)</f>
        <v/>
      </c>
      <c r="J2085" s="52" t="str">
        <f>+IF('Data Pura Costos'!J2085="","",'Data Pura Costos'!J2085)</f>
        <v/>
      </c>
      <c r="K2085" s="82" t="str">
        <f t="shared" si="37"/>
        <v/>
      </c>
    </row>
    <row r="2086" spans="2:11" x14ac:dyDescent="0.35">
      <c r="B2086" s="4" t="str">
        <f>+IF('Data Pura Costos'!B2086="","",'Data Pura Costos'!B2086)</f>
        <v/>
      </c>
      <c r="C2086" s="4" t="str">
        <f>+IF('Data Pura Costos'!C2086="","",'Data Pura Costos'!C2086)</f>
        <v/>
      </c>
      <c r="D2086" s="5" t="str">
        <f>+IF('Data Pura Costos'!D2086="","",'Data Pura Costos'!D2086)</f>
        <v/>
      </c>
      <c r="E2086" s="65" t="str">
        <f>+IF('Data Pura Costos'!E2086="","",IF('Data Pura Costos'!E2086=0,MAX('Data Pura Costos'!$E$7:$E$3000)*1000,'Data Pura Costos'!E2086))</f>
        <v/>
      </c>
      <c r="F2086" s="5" t="str">
        <f>+IF('Data Pura Costos'!F2086="","",'Data Pura Costos'!F2086)</f>
        <v/>
      </c>
      <c r="G2086" s="5" t="str">
        <f>+IF('Data Pura Costos'!G2086="","",'Data Pura Costos'!G2086)</f>
        <v/>
      </c>
      <c r="H2086" s="52" t="str">
        <f>+IF('Data Pura Costos'!H2086="","",'Data Pura Costos'!H2086)</f>
        <v/>
      </c>
      <c r="I2086" s="71" t="str">
        <f>+IF('Data Pura Costos'!I2086="","",'Data Pura Costos'!I2086)</f>
        <v/>
      </c>
      <c r="J2086" s="52" t="str">
        <f>+IF('Data Pura Costos'!J2086="","",'Data Pura Costos'!J2086)</f>
        <v/>
      </c>
      <c r="K2086" s="82" t="str">
        <f t="shared" si="37"/>
        <v/>
      </c>
    </row>
    <row r="2087" spans="2:11" x14ac:dyDescent="0.35">
      <c r="B2087" s="4" t="str">
        <f>+IF('Data Pura Costos'!B2087="","",'Data Pura Costos'!B2087)</f>
        <v/>
      </c>
      <c r="C2087" s="4" t="str">
        <f>+IF('Data Pura Costos'!C2087="","",'Data Pura Costos'!C2087)</f>
        <v/>
      </c>
      <c r="D2087" s="5" t="str">
        <f>+IF('Data Pura Costos'!D2087="","",'Data Pura Costos'!D2087)</f>
        <v/>
      </c>
      <c r="E2087" s="65" t="str">
        <f>+IF('Data Pura Costos'!E2087="","",IF('Data Pura Costos'!E2087=0,MAX('Data Pura Costos'!$E$7:$E$3000)*1000,'Data Pura Costos'!E2087))</f>
        <v/>
      </c>
      <c r="F2087" s="5" t="str">
        <f>+IF('Data Pura Costos'!F2087="","",'Data Pura Costos'!F2087)</f>
        <v/>
      </c>
      <c r="G2087" s="5" t="str">
        <f>+IF('Data Pura Costos'!G2087="","",'Data Pura Costos'!G2087)</f>
        <v/>
      </c>
      <c r="H2087" s="52" t="str">
        <f>+IF('Data Pura Costos'!H2087="","",'Data Pura Costos'!H2087)</f>
        <v/>
      </c>
      <c r="I2087" s="71" t="str">
        <f>+IF('Data Pura Costos'!I2087="","",'Data Pura Costos'!I2087)</f>
        <v/>
      </c>
      <c r="J2087" s="52" t="str">
        <f>+IF('Data Pura Costos'!J2087="","",'Data Pura Costos'!J2087)</f>
        <v/>
      </c>
      <c r="K2087" s="82" t="str">
        <f t="shared" si="37"/>
        <v/>
      </c>
    </row>
    <row r="2088" spans="2:11" x14ac:dyDescent="0.35">
      <c r="B2088" s="4" t="str">
        <f>+IF('Data Pura Costos'!B2088="","",'Data Pura Costos'!B2088)</f>
        <v/>
      </c>
      <c r="C2088" s="4" t="str">
        <f>+IF('Data Pura Costos'!C2088="","",'Data Pura Costos'!C2088)</f>
        <v/>
      </c>
      <c r="D2088" s="5" t="str">
        <f>+IF('Data Pura Costos'!D2088="","",'Data Pura Costos'!D2088)</f>
        <v/>
      </c>
      <c r="E2088" s="65" t="str">
        <f>+IF('Data Pura Costos'!E2088="","",IF('Data Pura Costos'!E2088=0,MAX('Data Pura Costos'!$E$7:$E$3000)*1000,'Data Pura Costos'!E2088))</f>
        <v/>
      </c>
      <c r="F2088" s="5" t="str">
        <f>+IF('Data Pura Costos'!F2088="","",'Data Pura Costos'!F2088)</f>
        <v/>
      </c>
      <c r="G2088" s="5" t="str">
        <f>+IF('Data Pura Costos'!G2088="","",'Data Pura Costos'!G2088)</f>
        <v/>
      </c>
      <c r="H2088" s="52" t="str">
        <f>+IF('Data Pura Costos'!H2088="","",'Data Pura Costos'!H2088)</f>
        <v/>
      </c>
      <c r="I2088" s="71" t="str">
        <f>+IF('Data Pura Costos'!I2088="","",'Data Pura Costos'!I2088)</f>
        <v/>
      </c>
      <c r="J2088" s="52" t="str">
        <f>+IF('Data Pura Costos'!J2088="","",'Data Pura Costos'!J2088)</f>
        <v/>
      </c>
      <c r="K2088" s="82" t="str">
        <f t="shared" si="37"/>
        <v/>
      </c>
    </row>
    <row r="2089" spans="2:11" x14ac:dyDescent="0.35">
      <c r="B2089" s="4" t="str">
        <f>+IF('Data Pura Costos'!B2089="","",'Data Pura Costos'!B2089)</f>
        <v/>
      </c>
      <c r="C2089" s="4" t="str">
        <f>+IF('Data Pura Costos'!C2089="","",'Data Pura Costos'!C2089)</f>
        <v/>
      </c>
      <c r="D2089" s="5" t="str">
        <f>+IF('Data Pura Costos'!D2089="","",'Data Pura Costos'!D2089)</f>
        <v/>
      </c>
      <c r="E2089" s="65" t="str">
        <f>+IF('Data Pura Costos'!E2089="","",IF('Data Pura Costos'!E2089=0,MAX('Data Pura Costos'!$E$7:$E$3000)*1000,'Data Pura Costos'!E2089))</f>
        <v/>
      </c>
      <c r="F2089" s="5" t="str">
        <f>+IF('Data Pura Costos'!F2089="","",'Data Pura Costos'!F2089)</f>
        <v/>
      </c>
      <c r="G2089" s="5" t="str">
        <f>+IF('Data Pura Costos'!G2089="","",'Data Pura Costos'!G2089)</f>
        <v/>
      </c>
      <c r="H2089" s="52" t="str">
        <f>+IF('Data Pura Costos'!H2089="","",'Data Pura Costos'!H2089)</f>
        <v/>
      </c>
      <c r="I2089" s="71" t="str">
        <f>+IF('Data Pura Costos'!I2089="","",'Data Pura Costos'!I2089)</f>
        <v/>
      </c>
      <c r="J2089" s="52" t="str">
        <f>+IF('Data Pura Costos'!J2089="","",'Data Pura Costos'!J2089)</f>
        <v/>
      </c>
      <c r="K2089" s="82" t="str">
        <f t="shared" si="37"/>
        <v/>
      </c>
    </row>
    <row r="2090" spans="2:11" x14ac:dyDescent="0.35">
      <c r="B2090" s="4" t="str">
        <f>+IF('Data Pura Costos'!B2090="","",'Data Pura Costos'!B2090)</f>
        <v/>
      </c>
      <c r="C2090" s="4" t="str">
        <f>+IF('Data Pura Costos'!C2090="","",'Data Pura Costos'!C2090)</f>
        <v/>
      </c>
      <c r="D2090" s="5" t="str">
        <f>+IF('Data Pura Costos'!D2090="","",'Data Pura Costos'!D2090)</f>
        <v/>
      </c>
      <c r="E2090" s="65" t="str">
        <f>+IF('Data Pura Costos'!E2090="","",IF('Data Pura Costos'!E2090=0,MAX('Data Pura Costos'!$E$7:$E$3000)*1000,'Data Pura Costos'!E2090))</f>
        <v/>
      </c>
      <c r="F2090" s="5" t="str">
        <f>+IF('Data Pura Costos'!F2090="","",'Data Pura Costos'!F2090)</f>
        <v/>
      </c>
      <c r="G2090" s="5" t="str">
        <f>+IF('Data Pura Costos'!G2090="","",'Data Pura Costos'!G2090)</f>
        <v/>
      </c>
      <c r="H2090" s="52" t="str">
        <f>+IF('Data Pura Costos'!H2090="","",'Data Pura Costos'!H2090)</f>
        <v/>
      </c>
      <c r="I2090" s="71" t="str">
        <f>+IF('Data Pura Costos'!I2090="","",'Data Pura Costos'!I2090)</f>
        <v/>
      </c>
      <c r="J2090" s="52" t="str">
        <f>+IF('Data Pura Costos'!J2090="","",'Data Pura Costos'!J2090)</f>
        <v/>
      </c>
      <c r="K2090" s="82" t="str">
        <f t="shared" si="37"/>
        <v/>
      </c>
    </row>
    <row r="2091" spans="2:11" x14ac:dyDescent="0.35">
      <c r="B2091" s="4" t="str">
        <f>+IF('Data Pura Costos'!B2091="","",'Data Pura Costos'!B2091)</f>
        <v/>
      </c>
      <c r="C2091" s="4" t="str">
        <f>+IF('Data Pura Costos'!C2091="","",'Data Pura Costos'!C2091)</f>
        <v/>
      </c>
      <c r="D2091" s="5" t="str">
        <f>+IF('Data Pura Costos'!D2091="","",'Data Pura Costos'!D2091)</f>
        <v/>
      </c>
      <c r="E2091" s="65" t="str">
        <f>+IF('Data Pura Costos'!E2091="","",IF('Data Pura Costos'!E2091=0,MAX('Data Pura Costos'!$E$7:$E$3000)*1000,'Data Pura Costos'!E2091))</f>
        <v/>
      </c>
      <c r="F2091" s="5" t="str">
        <f>+IF('Data Pura Costos'!F2091="","",'Data Pura Costos'!F2091)</f>
        <v/>
      </c>
      <c r="G2091" s="5" t="str">
        <f>+IF('Data Pura Costos'!G2091="","",'Data Pura Costos'!G2091)</f>
        <v/>
      </c>
      <c r="H2091" s="52" t="str">
        <f>+IF('Data Pura Costos'!H2091="","",'Data Pura Costos'!H2091)</f>
        <v/>
      </c>
      <c r="I2091" s="71" t="str">
        <f>+IF('Data Pura Costos'!I2091="","",'Data Pura Costos'!I2091)</f>
        <v/>
      </c>
      <c r="J2091" s="52" t="str">
        <f>+IF('Data Pura Costos'!J2091="","",'Data Pura Costos'!J2091)</f>
        <v/>
      </c>
      <c r="K2091" s="82" t="str">
        <f t="shared" si="37"/>
        <v/>
      </c>
    </row>
    <row r="2092" spans="2:11" x14ac:dyDescent="0.35">
      <c r="B2092" s="4" t="str">
        <f>+IF('Data Pura Costos'!B2092="","",'Data Pura Costos'!B2092)</f>
        <v/>
      </c>
      <c r="C2092" s="4" t="str">
        <f>+IF('Data Pura Costos'!C2092="","",'Data Pura Costos'!C2092)</f>
        <v/>
      </c>
      <c r="D2092" s="5" t="str">
        <f>+IF('Data Pura Costos'!D2092="","",'Data Pura Costos'!D2092)</f>
        <v/>
      </c>
      <c r="E2092" s="65" t="str">
        <f>+IF('Data Pura Costos'!E2092="","",IF('Data Pura Costos'!E2092=0,MAX('Data Pura Costos'!$E$7:$E$3000)*1000,'Data Pura Costos'!E2092))</f>
        <v/>
      </c>
      <c r="F2092" s="5" t="str">
        <f>+IF('Data Pura Costos'!F2092="","",'Data Pura Costos'!F2092)</f>
        <v/>
      </c>
      <c r="G2092" s="5" t="str">
        <f>+IF('Data Pura Costos'!G2092="","",'Data Pura Costos'!G2092)</f>
        <v/>
      </c>
      <c r="H2092" s="52" t="str">
        <f>+IF('Data Pura Costos'!H2092="","",'Data Pura Costos'!H2092)</f>
        <v/>
      </c>
      <c r="I2092" s="71" t="str">
        <f>+IF('Data Pura Costos'!I2092="","",'Data Pura Costos'!I2092)</f>
        <v/>
      </c>
      <c r="J2092" s="52" t="str">
        <f>+IF('Data Pura Costos'!J2092="","",'Data Pura Costos'!J2092)</f>
        <v/>
      </c>
      <c r="K2092" s="82" t="str">
        <f t="shared" si="37"/>
        <v/>
      </c>
    </row>
    <row r="2093" spans="2:11" x14ac:dyDescent="0.35">
      <c r="B2093" s="4" t="str">
        <f>+IF('Data Pura Costos'!B2093="","",'Data Pura Costos'!B2093)</f>
        <v/>
      </c>
      <c r="C2093" s="4" t="str">
        <f>+IF('Data Pura Costos'!C2093="","",'Data Pura Costos'!C2093)</f>
        <v/>
      </c>
      <c r="D2093" s="5" t="str">
        <f>+IF('Data Pura Costos'!D2093="","",'Data Pura Costos'!D2093)</f>
        <v/>
      </c>
      <c r="E2093" s="65" t="str">
        <f>+IF('Data Pura Costos'!E2093="","",IF('Data Pura Costos'!E2093=0,MAX('Data Pura Costos'!$E$7:$E$3000)*1000,'Data Pura Costos'!E2093))</f>
        <v/>
      </c>
      <c r="F2093" s="5" t="str">
        <f>+IF('Data Pura Costos'!F2093="","",'Data Pura Costos'!F2093)</f>
        <v/>
      </c>
      <c r="G2093" s="5" t="str">
        <f>+IF('Data Pura Costos'!G2093="","",'Data Pura Costos'!G2093)</f>
        <v/>
      </c>
      <c r="H2093" s="52" t="str">
        <f>+IF('Data Pura Costos'!H2093="","",'Data Pura Costos'!H2093)</f>
        <v/>
      </c>
      <c r="I2093" s="71" t="str">
        <f>+IF('Data Pura Costos'!I2093="","",'Data Pura Costos'!I2093)</f>
        <v/>
      </c>
      <c r="J2093" s="52" t="str">
        <f>+IF('Data Pura Costos'!J2093="","",'Data Pura Costos'!J2093)</f>
        <v/>
      </c>
      <c r="K2093" s="82" t="str">
        <f t="shared" si="37"/>
        <v/>
      </c>
    </row>
    <row r="2094" spans="2:11" x14ac:dyDescent="0.35">
      <c r="B2094" s="4" t="str">
        <f>+IF('Data Pura Costos'!B2094="","",'Data Pura Costos'!B2094)</f>
        <v/>
      </c>
      <c r="C2094" s="4" t="str">
        <f>+IF('Data Pura Costos'!C2094="","",'Data Pura Costos'!C2094)</f>
        <v/>
      </c>
      <c r="D2094" s="5" t="str">
        <f>+IF('Data Pura Costos'!D2094="","",'Data Pura Costos'!D2094)</f>
        <v/>
      </c>
      <c r="E2094" s="65" t="str">
        <f>+IF('Data Pura Costos'!E2094="","",IF('Data Pura Costos'!E2094=0,MAX('Data Pura Costos'!$E$7:$E$3000)*1000,'Data Pura Costos'!E2094))</f>
        <v/>
      </c>
      <c r="F2094" s="5" t="str">
        <f>+IF('Data Pura Costos'!F2094="","",'Data Pura Costos'!F2094)</f>
        <v/>
      </c>
      <c r="G2094" s="5" t="str">
        <f>+IF('Data Pura Costos'!G2094="","",'Data Pura Costos'!G2094)</f>
        <v/>
      </c>
      <c r="H2094" s="52" t="str">
        <f>+IF('Data Pura Costos'!H2094="","",'Data Pura Costos'!H2094)</f>
        <v/>
      </c>
      <c r="I2094" s="71" t="str">
        <f>+IF('Data Pura Costos'!I2094="","",'Data Pura Costos'!I2094)</f>
        <v/>
      </c>
      <c r="J2094" s="52" t="str">
        <f>+IF('Data Pura Costos'!J2094="","",'Data Pura Costos'!J2094)</f>
        <v/>
      </c>
      <c r="K2094" s="82" t="str">
        <f t="shared" si="37"/>
        <v/>
      </c>
    </row>
    <row r="2095" spans="2:11" x14ac:dyDescent="0.35">
      <c r="B2095" s="4" t="str">
        <f>+IF('Data Pura Costos'!B2095="","",'Data Pura Costos'!B2095)</f>
        <v/>
      </c>
      <c r="C2095" s="4" t="str">
        <f>+IF('Data Pura Costos'!C2095="","",'Data Pura Costos'!C2095)</f>
        <v/>
      </c>
      <c r="D2095" s="5" t="str">
        <f>+IF('Data Pura Costos'!D2095="","",'Data Pura Costos'!D2095)</f>
        <v/>
      </c>
      <c r="E2095" s="65" t="str">
        <f>+IF('Data Pura Costos'!E2095="","",IF('Data Pura Costos'!E2095=0,MAX('Data Pura Costos'!$E$7:$E$3000)*1000,'Data Pura Costos'!E2095))</f>
        <v/>
      </c>
      <c r="F2095" s="5" t="str">
        <f>+IF('Data Pura Costos'!F2095="","",'Data Pura Costos'!F2095)</f>
        <v/>
      </c>
      <c r="G2095" s="5" t="str">
        <f>+IF('Data Pura Costos'!G2095="","",'Data Pura Costos'!G2095)</f>
        <v/>
      </c>
      <c r="H2095" s="52" t="str">
        <f>+IF('Data Pura Costos'!H2095="","",'Data Pura Costos'!H2095)</f>
        <v/>
      </c>
      <c r="I2095" s="71" t="str">
        <f>+IF('Data Pura Costos'!I2095="","",'Data Pura Costos'!I2095)</f>
        <v/>
      </c>
      <c r="J2095" s="52" t="str">
        <f>+IF('Data Pura Costos'!J2095="","",'Data Pura Costos'!J2095)</f>
        <v/>
      </c>
      <c r="K2095" s="82" t="str">
        <f t="shared" si="37"/>
        <v/>
      </c>
    </row>
    <row r="2096" spans="2:11" x14ac:dyDescent="0.35">
      <c r="B2096" s="4" t="str">
        <f>+IF('Data Pura Costos'!B2096="","",'Data Pura Costos'!B2096)</f>
        <v/>
      </c>
      <c r="C2096" s="4" t="str">
        <f>+IF('Data Pura Costos'!C2096="","",'Data Pura Costos'!C2096)</f>
        <v/>
      </c>
      <c r="D2096" s="5" t="str">
        <f>+IF('Data Pura Costos'!D2096="","",'Data Pura Costos'!D2096)</f>
        <v/>
      </c>
      <c r="E2096" s="65" t="str">
        <f>+IF('Data Pura Costos'!E2096="","",IF('Data Pura Costos'!E2096=0,MAX('Data Pura Costos'!$E$7:$E$3000)*1000,'Data Pura Costos'!E2096))</f>
        <v/>
      </c>
      <c r="F2096" s="5" t="str">
        <f>+IF('Data Pura Costos'!F2096="","",'Data Pura Costos'!F2096)</f>
        <v/>
      </c>
      <c r="G2096" s="5" t="str">
        <f>+IF('Data Pura Costos'!G2096="","",'Data Pura Costos'!G2096)</f>
        <v/>
      </c>
      <c r="H2096" s="52" t="str">
        <f>+IF('Data Pura Costos'!H2096="","",'Data Pura Costos'!H2096)</f>
        <v/>
      </c>
      <c r="I2096" s="71" t="str">
        <f>+IF('Data Pura Costos'!I2096="","",'Data Pura Costos'!I2096)</f>
        <v/>
      </c>
      <c r="J2096" s="52" t="str">
        <f>+IF('Data Pura Costos'!J2096="","",'Data Pura Costos'!J2096)</f>
        <v/>
      </c>
      <c r="K2096" s="82" t="str">
        <f t="shared" si="37"/>
        <v/>
      </c>
    </row>
    <row r="2097" spans="2:11" x14ac:dyDescent="0.35">
      <c r="B2097" s="4" t="str">
        <f>+IF('Data Pura Costos'!B2097="","",'Data Pura Costos'!B2097)</f>
        <v/>
      </c>
      <c r="C2097" s="4" t="str">
        <f>+IF('Data Pura Costos'!C2097="","",'Data Pura Costos'!C2097)</f>
        <v/>
      </c>
      <c r="D2097" s="5" t="str">
        <f>+IF('Data Pura Costos'!D2097="","",'Data Pura Costos'!D2097)</f>
        <v/>
      </c>
      <c r="E2097" s="65" t="str">
        <f>+IF('Data Pura Costos'!E2097="","",IF('Data Pura Costos'!E2097=0,MAX('Data Pura Costos'!$E$7:$E$3000)*1000,'Data Pura Costos'!E2097))</f>
        <v/>
      </c>
      <c r="F2097" s="5" t="str">
        <f>+IF('Data Pura Costos'!F2097="","",'Data Pura Costos'!F2097)</f>
        <v/>
      </c>
      <c r="G2097" s="5" t="str">
        <f>+IF('Data Pura Costos'!G2097="","",'Data Pura Costos'!G2097)</f>
        <v/>
      </c>
      <c r="H2097" s="52" t="str">
        <f>+IF('Data Pura Costos'!H2097="","",'Data Pura Costos'!H2097)</f>
        <v/>
      </c>
      <c r="I2097" s="71" t="str">
        <f>+IF('Data Pura Costos'!I2097="","",'Data Pura Costos'!I2097)</f>
        <v/>
      </c>
      <c r="J2097" s="52" t="str">
        <f>+IF('Data Pura Costos'!J2097="","",'Data Pura Costos'!J2097)</f>
        <v/>
      </c>
      <c r="K2097" s="82" t="str">
        <f t="shared" si="37"/>
        <v/>
      </c>
    </row>
    <row r="2098" spans="2:11" x14ac:dyDescent="0.35">
      <c r="B2098" s="4" t="str">
        <f>+IF('Data Pura Costos'!B2098="","",'Data Pura Costos'!B2098)</f>
        <v/>
      </c>
      <c r="C2098" s="4" t="str">
        <f>+IF('Data Pura Costos'!C2098="","",'Data Pura Costos'!C2098)</f>
        <v/>
      </c>
      <c r="D2098" s="5" t="str">
        <f>+IF('Data Pura Costos'!D2098="","",'Data Pura Costos'!D2098)</f>
        <v/>
      </c>
      <c r="E2098" s="65" t="str">
        <f>+IF('Data Pura Costos'!E2098="","",IF('Data Pura Costos'!E2098=0,MAX('Data Pura Costos'!$E$7:$E$3000)*1000,'Data Pura Costos'!E2098))</f>
        <v/>
      </c>
      <c r="F2098" s="5" t="str">
        <f>+IF('Data Pura Costos'!F2098="","",'Data Pura Costos'!F2098)</f>
        <v/>
      </c>
      <c r="G2098" s="5" t="str">
        <f>+IF('Data Pura Costos'!G2098="","",'Data Pura Costos'!G2098)</f>
        <v/>
      </c>
      <c r="H2098" s="52" t="str">
        <f>+IF('Data Pura Costos'!H2098="","",'Data Pura Costos'!H2098)</f>
        <v/>
      </c>
      <c r="I2098" s="71" t="str">
        <f>+IF('Data Pura Costos'!I2098="","",'Data Pura Costos'!I2098)</f>
        <v/>
      </c>
      <c r="J2098" s="52" t="str">
        <f>+IF('Data Pura Costos'!J2098="","",'Data Pura Costos'!J2098)</f>
        <v/>
      </c>
      <c r="K2098" s="82" t="str">
        <f t="shared" si="37"/>
        <v/>
      </c>
    </row>
    <row r="2099" spans="2:11" x14ac:dyDescent="0.35">
      <c r="B2099" s="4" t="str">
        <f>+IF('Data Pura Costos'!B2099="","",'Data Pura Costos'!B2099)</f>
        <v/>
      </c>
      <c r="C2099" s="4" t="str">
        <f>+IF('Data Pura Costos'!C2099="","",'Data Pura Costos'!C2099)</f>
        <v/>
      </c>
      <c r="D2099" s="5" t="str">
        <f>+IF('Data Pura Costos'!D2099="","",'Data Pura Costos'!D2099)</f>
        <v/>
      </c>
      <c r="E2099" s="65" t="str">
        <f>+IF('Data Pura Costos'!E2099="","",IF('Data Pura Costos'!E2099=0,MAX('Data Pura Costos'!$E$7:$E$3000)*1000,'Data Pura Costos'!E2099))</f>
        <v/>
      </c>
      <c r="F2099" s="5" t="str">
        <f>+IF('Data Pura Costos'!F2099="","",'Data Pura Costos'!F2099)</f>
        <v/>
      </c>
      <c r="G2099" s="5" t="str">
        <f>+IF('Data Pura Costos'!G2099="","",'Data Pura Costos'!G2099)</f>
        <v/>
      </c>
      <c r="H2099" s="52" t="str">
        <f>+IF('Data Pura Costos'!H2099="","",'Data Pura Costos'!H2099)</f>
        <v/>
      </c>
      <c r="I2099" s="71" t="str">
        <f>+IF('Data Pura Costos'!I2099="","",'Data Pura Costos'!I2099)</f>
        <v/>
      </c>
      <c r="J2099" s="52" t="str">
        <f>+IF('Data Pura Costos'!J2099="","",'Data Pura Costos'!J2099)</f>
        <v/>
      </c>
      <c r="K2099" s="82" t="str">
        <f t="shared" si="37"/>
        <v/>
      </c>
    </row>
    <row r="2100" spans="2:11" x14ac:dyDescent="0.35">
      <c r="B2100" s="4" t="str">
        <f>+IF('Data Pura Costos'!B2100="","",'Data Pura Costos'!B2100)</f>
        <v/>
      </c>
      <c r="C2100" s="4" t="str">
        <f>+IF('Data Pura Costos'!C2100="","",'Data Pura Costos'!C2100)</f>
        <v/>
      </c>
      <c r="D2100" s="5" t="str">
        <f>+IF('Data Pura Costos'!D2100="","",'Data Pura Costos'!D2100)</f>
        <v/>
      </c>
      <c r="E2100" s="65" t="str">
        <f>+IF('Data Pura Costos'!E2100="","",IF('Data Pura Costos'!E2100=0,MAX('Data Pura Costos'!$E$7:$E$3000)*1000,'Data Pura Costos'!E2100))</f>
        <v/>
      </c>
      <c r="F2100" s="5" t="str">
        <f>+IF('Data Pura Costos'!F2100="","",'Data Pura Costos'!F2100)</f>
        <v/>
      </c>
      <c r="G2100" s="5" t="str">
        <f>+IF('Data Pura Costos'!G2100="","",'Data Pura Costos'!G2100)</f>
        <v/>
      </c>
      <c r="H2100" s="52" t="str">
        <f>+IF('Data Pura Costos'!H2100="","",'Data Pura Costos'!H2100)</f>
        <v/>
      </c>
      <c r="I2100" s="71" t="str">
        <f>+IF('Data Pura Costos'!I2100="","",'Data Pura Costos'!I2100)</f>
        <v/>
      </c>
      <c r="J2100" s="52" t="str">
        <f>+IF('Data Pura Costos'!J2100="","",'Data Pura Costos'!J2100)</f>
        <v/>
      </c>
      <c r="K2100" s="82" t="str">
        <f t="shared" si="37"/>
        <v/>
      </c>
    </row>
    <row r="2101" spans="2:11" x14ac:dyDescent="0.35">
      <c r="B2101" s="4" t="str">
        <f>+IF('Data Pura Costos'!B2101="","",'Data Pura Costos'!B2101)</f>
        <v/>
      </c>
      <c r="C2101" s="4" t="str">
        <f>+IF('Data Pura Costos'!C2101="","",'Data Pura Costos'!C2101)</f>
        <v/>
      </c>
      <c r="D2101" s="5" t="str">
        <f>+IF('Data Pura Costos'!D2101="","",'Data Pura Costos'!D2101)</f>
        <v/>
      </c>
      <c r="E2101" s="65" t="str">
        <f>+IF('Data Pura Costos'!E2101="","",IF('Data Pura Costos'!E2101=0,MAX('Data Pura Costos'!$E$7:$E$3000)*1000,'Data Pura Costos'!E2101))</f>
        <v/>
      </c>
      <c r="F2101" s="5" t="str">
        <f>+IF('Data Pura Costos'!F2101="","",'Data Pura Costos'!F2101)</f>
        <v/>
      </c>
      <c r="G2101" s="5" t="str">
        <f>+IF('Data Pura Costos'!G2101="","",'Data Pura Costos'!G2101)</f>
        <v/>
      </c>
      <c r="H2101" s="52" t="str">
        <f>+IF('Data Pura Costos'!H2101="","",'Data Pura Costos'!H2101)</f>
        <v/>
      </c>
      <c r="I2101" s="71" t="str">
        <f>+IF('Data Pura Costos'!I2101="","",'Data Pura Costos'!I2101)</f>
        <v/>
      </c>
      <c r="J2101" s="52" t="str">
        <f>+IF('Data Pura Costos'!J2101="","",'Data Pura Costos'!J2101)</f>
        <v/>
      </c>
      <c r="K2101" s="82" t="str">
        <f t="shared" si="37"/>
        <v/>
      </c>
    </row>
    <row r="2102" spans="2:11" x14ac:dyDescent="0.35">
      <c r="B2102" s="4" t="str">
        <f>+IF('Data Pura Costos'!B2102="","",'Data Pura Costos'!B2102)</f>
        <v/>
      </c>
      <c r="C2102" s="4" t="str">
        <f>+IF('Data Pura Costos'!C2102="","",'Data Pura Costos'!C2102)</f>
        <v/>
      </c>
      <c r="D2102" s="5" t="str">
        <f>+IF('Data Pura Costos'!D2102="","",'Data Pura Costos'!D2102)</f>
        <v/>
      </c>
      <c r="E2102" s="65" t="str">
        <f>+IF('Data Pura Costos'!E2102="","",IF('Data Pura Costos'!E2102=0,MAX('Data Pura Costos'!$E$7:$E$3000)*1000,'Data Pura Costos'!E2102))</f>
        <v/>
      </c>
      <c r="F2102" s="5" t="str">
        <f>+IF('Data Pura Costos'!F2102="","",'Data Pura Costos'!F2102)</f>
        <v/>
      </c>
      <c r="G2102" s="5" t="str">
        <f>+IF('Data Pura Costos'!G2102="","",'Data Pura Costos'!G2102)</f>
        <v/>
      </c>
      <c r="H2102" s="52" t="str">
        <f>+IF('Data Pura Costos'!H2102="","",'Data Pura Costos'!H2102)</f>
        <v/>
      </c>
      <c r="I2102" s="71" t="str">
        <f>+IF('Data Pura Costos'!I2102="","",'Data Pura Costos'!I2102)</f>
        <v/>
      </c>
      <c r="J2102" s="52" t="str">
        <f>+IF('Data Pura Costos'!J2102="","",'Data Pura Costos'!J2102)</f>
        <v/>
      </c>
      <c r="K2102" s="82" t="str">
        <f t="shared" si="37"/>
        <v/>
      </c>
    </row>
    <row r="2103" spans="2:11" x14ac:dyDescent="0.35">
      <c r="B2103" s="4" t="str">
        <f>+IF('Data Pura Costos'!B2103="","",'Data Pura Costos'!B2103)</f>
        <v/>
      </c>
      <c r="C2103" s="4" t="str">
        <f>+IF('Data Pura Costos'!C2103="","",'Data Pura Costos'!C2103)</f>
        <v/>
      </c>
      <c r="D2103" s="5" t="str">
        <f>+IF('Data Pura Costos'!D2103="","",'Data Pura Costos'!D2103)</f>
        <v/>
      </c>
      <c r="E2103" s="65" t="str">
        <f>+IF('Data Pura Costos'!E2103="","",IF('Data Pura Costos'!E2103=0,MAX('Data Pura Costos'!$E$7:$E$3000)*1000,'Data Pura Costos'!E2103))</f>
        <v/>
      </c>
      <c r="F2103" s="5" t="str">
        <f>+IF('Data Pura Costos'!F2103="","",'Data Pura Costos'!F2103)</f>
        <v/>
      </c>
      <c r="G2103" s="5" t="str">
        <f>+IF('Data Pura Costos'!G2103="","",'Data Pura Costos'!G2103)</f>
        <v/>
      </c>
      <c r="H2103" s="52" t="str">
        <f>+IF('Data Pura Costos'!H2103="","",'Data Pura Costos'!H2103)</f>
        <v/>
      </c>
      <c r="I2103" s="71" t="str">
        <f>+IF('Data Pura Costos'!I2103="","",'Data Pura Costos'!I2103)</f>
        <v/>
      </c>
      <c r="J2103" s="52" t="str">
        <f>+IF('Data Pura Costos'!J2103="","",'Data Pura Costos'!J2103)</f>
        <v/>
      </c>
      <c r="K2103" s="82" t="str">
        <f t="shared" si="37"/>
        <v/>
      </c>
    </row>
    <row r="2104" spans="2:11" x14ac:dyDescent="0.35">
      <c r="B2104" s="4" t="str">
        <f>+IF('Data Pura Costos'!B2104="","",'Data Pura Costos'!B2104)</f>
        <v/>
      </c>
      <c r="C2104" s="4" t="str">
        <f>+IF('Data Pura Costos'!C2104="","",'Data Pura Costos'!C2104)</f>
        <v/>
      </c>
      <c r="D2104" s="5" t="str">
        <f>+IF('Data Pura Costos'!D2104="","",'Data Pura Costos'!D2104)</f>
        <v/>
      </c>
      <c r="E2104" s="65" t="str">
        <f>+IF('Data Pura Costos'!E2104="","",IF('Data Pura Costos'!E2104=0,MAX('Data Pura Costos'!$E$7:$E$3000)*1000,'Data Pura Costos'!E2104))</f>
        <v/>
      </c>
      <c r="F2104" s="5" t="str">
        <f>+IF('Data Pura Costos'!F2104="","",'Data Pura Costos'!F2104)</f>
        <v/>
      </c>
      <c r="G2104" s="5" t="str">
        <f>+IF('Data Pura Costos'!G2104="","",'Data Pura Costos'!G2104)</f>
        <v/>
      </c>
      <c r="H2104" s="52" t="str">
        <f>+IF('Data Pura Costos'!H2104="","",'Data Pura Costos'!H2104)</f>
        <v/>
      </c>
      <c r="I2104" s="71" t="str">
        <f>+IF('Data Pura Costos'!I2104="","",'Data Pura Costos'!I2104)</f>
        <v/>
      </c>
      <c r="J2104" s="52" t="str">
        <f>+IF('Data Pura Costos'!J2104="","",'Data Pura Costos'!J2104)</f>
        <v/>
      </c>
      <c r="K2104" s="82" t="str">
        <f t="shared" si="37"/>
        <v/>
      </c>
    </row>
    <row r="2105" spans="2:11" x14ac:dyDescent="0.35">
      <c r="B2105" s="4" t="str">
        <f>+IF('Data Pura Costos'!B2105="","",'Data Pura Costos'!B2105)</f>
        <v/>
      </c>
      <c r="C2105" s="4" t="str">
        <f>+IF('Data Pura Costos'!C2105="","",'Data Pura Costos'!C2105)</f>
        <v/>
      </c>
      <c r="D2105" s="5" t="str">
        <f>+IF('Data Pura Costos'!D2105="","",'Data Pura Costos'!D2105)</f>
        <v/>
      </c>
      <c r="E2105" s="65" t="str">
        <f>+IF('Data Pura Costos'!E2105="","",IF('Data Pura Costos'!E2105=0,MAX('Data Pura Costos'!$E$7:$E$3000)*1000,'Data Pura Costos'!E2105))</f>
        <v/>
      </c>
      <c r="F2105" s="5" t="str">
        <f>+IF('Data Pura Costos'!F2105="","",'Data Pura Costos'!F2105)</f>
        <v/>
      </c>
      <c r="G2105" s="5" t="str">
        <f>+IF('Data Pura Costos'!G2105="","",'Data Pura Costos'!G2105)</f>
        <v/>
      </c>
      <c r="H2105" s="52" t="str">
        <f>+IF('Data Pura Costos'!H2105="","",'Data Pura Costos'!H2105)</f>
        <v/>
      </c>
      <c r="I2105" s="71" t="str">
        <f>+IF('Data Pura Costos'!I2105="","",'Data Pura Costos'!I2105)</f>
        <v/>
      </c>
      <c r="J2105" s="52" t="str">
        <f>+IF('Data Pura Costos'!J2105="","",'Data Pura Costos'!J2105)</f>
        <v/>
      </c>
      <c r="K2105" s="82" t="str">
        <f t="shared" si="37"/>
        <v/>
      </c>
    </row>
    <row r="2106" spans="2:11" x14ac:dyDescent="0.35">
      <c r="B2106" s="4" t="str">
        <f>+IF('Data Pura Costos'!B2106="","",'Data Pura Costos'!B2106)</f>
        <v/>
      </c>
      <c r="C2106" s="4" t="str">
        <f>+IF('Data Pura Costos'!C2106="","",'Data Pura Costos'!C2106)</f>
        <v/>
      </c>
      <c r="D2106" s="5" t="str">
        <f>+IF('Data Pura Costos'!D2106="","",'Data Pura Costos'!D2106)</f>
        <v/>
      </c>
      <c r="E2106" s="65" t="str">
        <f>+IF('Data Pura Costos'!E2106="","",IF('Data Pura Costos'!E2106=0,MAX('Data Pura Costos'!$E$7:$E$3000)*1000,'Data Pura Costos'!E2106))</f>
        <v/>
      </c>
      <c r="F2106" s="5" t="str">
        <f>+IF('Data Pura Costos'!F2106="","",'Data Pura Costos'!F2106)</f>
        <v/>
      </c>
      <c r="G2106" s="5" t="str">
        <f>+IF('Data Pura Costos'!G2106="","",'Data Pura Costos'!G2106)</f>
        <v/>
      </c>
      <c r="H2106" s="52" t="str">
        <f>+IF('Data Pura Costos'!H2106="","",'Data Pura Costos'!H2106)</f>
        <v/>
      </c>
      <c r="I2106" s="71" t="str">
        <f>+IF('Data Pura Costos'!I2106="","",'Data Pura Costos'!I2106)</f>
        <v/>
      </c>
      <c r="J2106" s="52" t="str">
        <f>+IF('Data Pura Costos'!J2106="","",'Data Pura Costos'!J2106)</f>
        <v/>
      </c>
      <c r="K2106" s="82" t="str">
        <f t="shared" si="37"/>
        <v/>
      </c>
    </row>
    <row r="2107" spans="2:11" x14ac:dyDescent="0.35">
      <c r="B2107" s="4" t="str">
        <f>+IF('Data Pura Costos'!B2107="","",'Data Pura Costos'!B2107)</f>
        <v/>
      </c>
      <c r="C2107" s="4" t="str">
        <f>+IF('Data Pura Costos'!C2107="","",'Data Pura Costos'!C2107)</f>
        <v/>
      </c>
      <c r="D2107" s="5" t="str">
        <f>+IF('Data Pura Costos'!D2107="","",'Data Pura Costos'!D2107)</f>
        <v/>
      </c>
      <c r="E2107" s="65" t="str">
        <f>+IF('Data Pura Costos'!E2107="","",IF('Data Pura Costos'!E2107=0,MAX('Data Pura Costos'!$E$7:$E$3000)*1000,'Data Pura Costos'!E2107))</f>
        <v/>
      </c>
      <c r="F2107" s="5" t="str">
        <f>+IF('Data Pura Costos'!F2107="","",'Data Pura Costos'!F2107)</f>
        <v/>
      </c>
      <c r="G2107" s="5" t="str">
        <f>+IF('Data Pura Costos'!G2107="","",'Data Pura Costos'!G2107)</f>
        <v/>
      </c>
      <c r="H2107" s="52" t="str">
        <f>+IF('Data Pura Costos'!H2107="","",'Data Pura Costos'!H2107)</f>
        <v/>
      </c>
      <c r="I2107" s="71" t="str">
        <f>+IF('Data Pura Costos'!I2107="","",'Data Pura Costos'!I2107)</f>
        <v/>
      </c>
      <c r="J2107" s="52" t="str">
        <f>+IF('Data Pura Costos'!J2107="","",'Data Pura Costos'!J2107)</f>
        <v/>
      </c>
      <c r="K2107" s="82" t="str">
        <f t="shared" si="37"/>
        <v/>
      </c>
    </row>
    <row r="2108" spans="2:11" x14ac:dyDescent="0.35">
      <c r="B2108" s="4" t="str">
        <f>+IF('Data Pura Costos'!B2108="","",'Data Pura Costos'!B2108)</f>
        <v/>
      </c>
      <c r="C2108" s="4" t="str">
        <f>+IF('Data Pura Costos'!C2108="","",'Data Pura Costos'!C2108)</f>
        <v/>
      </c>
      <c r="D2108" s="5" t="str">
        <f>+IF('Data Pura Costos'!D2108="","",'Data Pura Costos'!D2108)</f>
        <v/>
      </c>
      <c r="E2108" s="65" t="str">
        <f>+IF('Data Pura Costos'!E2108="","",IF('Data Pura Costos'!E2108=0,MAX('Data Pura Costos'!$E$7:$E$3000)*1000,'Data Pura Costos'!E2108))</f>
        <v/>
      </c>
      <c r="F2108" s="5" t="str">
        <f>+IF('Data Pura Costos'!F2108="","",'Data Pura Costos'!F2108)</f>
        <v/>
      </c>
      <c r="G2108" s="5" t="str">
        <f>+IF('Data Pura Costos'!G2108="","",'Data Pura Costos'!G2108)</f>
        <v/>
      </c>
      <c r="H2108" s="52" t="str">
        <f>+IF('Data Pura Costos'!H2108="","",'Data Pura Costos'!H2108)</f>
        <v/>
      </c>
      <c r="I2108" s="71" t="str">
        <f>+IF('Data Pura Costos'!I2108="","",'Data Pura Costos'!I2108)</f>
        <v/>
      </c>
      <c r="J2108" s="52" t="str">
        <f>+IF('Data Pura Costos'!J2108="","",'Data Pura Costos'!J2108)</f>
        <v/>
      </c>
      <c r="K2108" s="82" t="str">
        <f t="shared" ref="K2108:K2171" si="38">+IF(B2108="","",CONCATENATE(B2108,"-",F2108,"-",G2108))</f>
        <v/>
      </c>
    </row>
    <row r="2109" spans="2:11" x14ac:dyDescent="0.35">
      <c r="B2109" s="4" t="str">
        <f>+IF('Data Pura Costos'!B2109="","",'Data Pura Costos'!B2109)</f>
        <v/>
      </c>
      <c r="C2109" s="4" t="str">
        <f>+IF('Data Pura Costos'!C2109="","",'Data Pura Costos'!C2109)</f>
        <v/>
      </c>
      <c r="D2109" s="5" t="str">
        <f>+IF('Data Pura Costos'!D2109="","",'Data Pura Costos'!D2109)</f>
        <v/>
      </c>
      <c r="E2109" s="65" t="str">
        <f>+IF('Data Pura Costos'!E2109="","",IF('Data Pura Costos'!E2109=0,MAX('Data Pura Costos'!$E$7:$E$3000)*1000,'Data Pura Costos'!E2109))</f>
        <v/>
      </c>
      <c r="F2109" s="5" t="str">
        <f>+IF('Data Pura Costos'!F2109="","",'Data Pura Costos'!F2109)</f>
        <v/>
      </c>
      <c r="G2109" s="5" t="str">
        <f>+IF('Data Pura Costos'!G2109="","",'Data Pura Costos'!G2109)</f>
        <v/>
      </c>
      <c r="H2109" s="52" t="str">
        <f>+IF('Data Pura Costos'!H2109="","",'Data Pura Costos'!H2109)</f>
        <v/>
      </c>
      <c r="I2109" s="71" t="str">
        <f>+IF('Data Pura Costos'!I2109="","",'Data Pura Costos'!I2109)</f>
        <v/>
      </c>
      <c r="J2109" s="52" t="str">
        <f>+IF('Data Pura Costos'!J2109="","",'Data Pura Costos'!J2109)</f>
        <v/>
      </c>
      <c r="K2109" s="82" t="str">
        <f t="shared" si="38"/>
        <v/>
      </c>
    </row>
    <row r="2110" spans="2:11" x14ac:dyDescent="0.35">
      <c r="B2110" s="4" t="str">
        <f>+IF('Data Pura Costos'!B2110="","",'Data Pura Costos'!B2110)</f>
        <v/>
      </c>
      <c r="C2110" s="4" t="str">
        <f>+IF('Data Pura Costos'!C2110="","",'Data Pura Costos'!C2110)</f>
        <v/>
      </c>
      <c r="D2110" s="5" t="str">
        <f>+IF('Data Pura Costos'!D2110="","",'Data Pura Costos'!D2110)</f>
        <v/>
      </c>
      <c r="E2110" s="65" t="str">
        <f>+IF('Data Pura Costos'!E2110="","",IF('Data Pura Costos'!E2110=0,MAX('Data Pura Costos'!$E$7:$E$3000)*1000,'Data Pura Costos'!E2110))</f>
        <v/>
      </c>
      <c r="F2110" s="5" t="str">
        <f>+IF('Data Pura Costos'!F2110="","",'Data Pura Costos'!F2110)</f>
        <v/>
      </c>
      <c r="G2110" s="5" t="str">
        <f>+IF('Data Pura Costos'!G2110="","",'Data Pura Costos'!G2110)</f>
        <v/>
      </c>
      <c r="H2110" s="52" t="str">
        <f>+IF('Data Pura Costos'!H2110="","",'Data Pura Costos'!H2110)</f>
        <v/>
      </c>
      <c r="I2110" s="71" t="str">
        <f>+IF('Data Pura Costos'!I2110="","",'Data Pura Costos'!I2110)</f>
        <v/>
      </c>
      <c r="J2110" s="52" t="str">
        <f>+IF('Data Pura Costos'!J2110="","",'Data Pura Costos'!J2110)</f>
        <v/>
      </c>
      <c r="K2110" s="82" t="str">
        <f t="shared" si="38"/>
        <v/>
      </c>
    </row>
    <row r="2111" spans="2:11" x14ac:dyDescent="0.35">
      <c r="B2111" s="4" t="str">
        <f>+IF('Data Pura Costos'!B2111="","",'Data Pura Costos'!B2111)</f>
        <v/>
      </c>
      <c r="C2111" s="4" t="str">
        <f>+IF('Data Pura Costos'!C2111="","",'Data Pura Costos'!C2111)</f>
        <v/>
      </c>
      <c r="D2111" s="5" t="str">
        <f>+IF('Data Pura Costos'!D2111="","",'Data Pura Costos'!D2111)</f>
        <v/>
      </c>
      <c r="E2111" s="65" t="str">
        <f>+IF('Data Pura Costos'!E2111="","",IF('Data Pura Costos'!E2111=0,MAX('Data Pura Costos'!$E$7:$E$3000)*1000,'Data Pura Costos'!E2111))</f>
        <v/>
      </c>
      <c r="F2111" s="5" t="str">
        <f>+IF('Data Pura Costos'!F2111="","",'Data Pura Costos'!F2111)</f>
        <v/>
      </c>
      <c r="G2111" s="5" t="str">
        <f>+IF('Data Pura Costos'!G2111="","",'Data Pura Costos'!G2111)</f>
        <v/>
      </c>
      <c r="H2111" s="52" t="str">
        <f>+IF('Data Pura Costos'!H2111="","",'Data Pura Costos'!H2111)</f>
        <v/>
      </c>
      <c r="I2111" s="71" t="str">
        <f>+IF('Data Pura Costos'!I2111="","",'Data Pura Costos'!I2111)</f>
        <v/>
      </c>
      <c r="J2111" s="52" t="str">
        <f>+IF('Data Pura Costos'!J2111="","",'Data Pura Costos'!J2111)</f>
        <v/>
      </c>
      <c r="K2111" s="82" t="str">
        <f t="shared" si="38"/>
        <v/>
      </c>
    </row>
    <row r="2112" spans="2:11" x14ac:dyDescent="0.35">
      <c r="B2112" s="4" t="str">
        <f>+IF('Data Pura Costos'!B2112="","",'Data Pura Costos'!B2112)</f>
        <v/>
      </c>
      <c r="C2112" s="4" t="str">
        <f>+IF('Data Pura Costos'!C2112="","",'Data Pura Costos'!C2112)</f>
        <v/>
      </c>
      <c r="D2112" s="5" t="str">
        <f>+IF('Data Pura Costos'!D2112="","",'Data Pura Costos'!D2112)</f>
        <v/>
      </c>
      <c r="E2112" s="65" t="str">
        <f>+IF('Data Pura Costos'!E2112="","",IF('Data Pura Costos'!E2112=0,MAX('Data Pura Costos'!$E$7:$E$3000)*1000,'Data Pura Costos'!E2112))</f>
        <v/>
      </c>
      <c r="F2112" s="5" t="str">
        <f>+IF('Data Pura Costos'!F2112="","",'Data Pura Costos'!F2112)</f>
        <v/>
      </c>
      <c r="G2112" s="5" t="str">
        <f>+IF('Data Pura Costos'!G2112="","",'Data Pura Costos'!G2112)</f>
        <v/>
      </c>
      <c r="H2112" s="52" t="str">
        <f>+IF('Data Pura Costos'!H2112="","",'Data Pura Costos'!H2112)</f>
        <v/>
      </c>
      <c r="I2112" s="71" t="str">
        <f>+IF('Data Pura Costos'!I2112="","",'Data Pura Costos'!I2112)</f>
        <v/>
      </c>
      <c r="J2112" s="52" t="str">
        <f>+IF('Data Pura Costos'!J2112="","",'Data Pura Costos'!J2112)</f>
        <v/>
      </c>
      <c r="K2112" s="82" t="str">
        <f t="shared" si="38"/>
        <v/>
      </c>
    </row>
    <row r="2113" spans="2:11" x14ac:dyDescent="0.35">
      <c r="B2113" s="4" t="str">
        <f>+IF('Data Pura Costos'!B2113="","",'Data Pura Costos'!B2113)</f>
        <v/>
      </c>
      <c r="C2113" s="4" t="str">
        <f>+IF('Data Pura Costos'!C2113="","",'Data Pura Costos'!C2113)</f>
        <v/>
      </c>
      <c r="D2113" s="5" t="str">
        <f>+IF('Data Pura Costos'!D2113="","",'Data Pura Costos'!D2113)</f>
        <v/>
      </c>
      <c r="E2113" s="65" t="str">
        <f>+IF('Data Pura Costos'!E2113="","",IF('Data Pura Costos'!E2113=0,MAX('Data Pura Costos'!$E$7:$E$3000)*1000,'Data Pura Costos'!E2113))</f>
        <v/>
      </c>
      <c r="F2113" s="5" t="str">
        <f>+IF('Data Pura Costos'!F2113="","",'Data Pura Costos'!F2113)</f>
        <v/>
      </c>
      <c r="G2113" s="5" t="str">
        <f>+IF('Data Pura Costos'!G2113="","",'Data Pura Costos'!G2113)</f>
        <v/>
      </c>
      <c r="H2113" s="52" t="str">
        <f>+IF('Data Pura Costos'!H2113="","",'Data Pura Costos'!H2113)</f>
        <v/>
      </c>
      <c r="I2113" s="71" t="str">
        <f>+IF('Data Pura Costos'!I2113="","",'Data Pura Costos'!I2113)</f>
        <v/>
      </c>
      <c r="J2113" s="52" t="str">
        <f>+IF('Data Pura Costos'!J2113="","",'Data Pura Costos'!J2113)</f>
        <v/>
      </c>
      <c r="K2113" s="82" t="str">
        <f t="shared" si="38"/>
        <v/>
      </c>
    </row>
    <row r="2114" spans="2:11" x14ac:dyDescent="0.35">
      <c r="B2114" s="4" t="str">
        <f>+IF('Data Pura Costos'!B2114="","",'Data Pura Costos'!B2114)</f>
        <v/>
      </c>
      <c r="C2114" s="4" t="str">
        <f>+IF('Data Pura Costos'!C2114="","",'Data Pura Costos'!C2114)</f>
        <v/>
      </c>
      <c r="D2114" s="5" t="str">
        <f>+IF('Data Pura Costos'!D2114="","",'Data Pura Costos'!D2114)</f>
        <v/>
      </c>
      <c r="E2114" s="65" t="str">
        <f>+IF('Data Pura Costos'!E2114="","",IF('Data Pura Costos'!E2114=0,MAX('Data Pura Costos'!$E$7:$E$3000)*1000,'Data Pura Costos'!E2114))</f>
        <v/>
      </c>
      <c r="F2114" s="5" t="str">
        <f>+IF('Data Pura Costos'!F2114="","",'Data Pura Costos'!F2114)</f>
        <v/>
      </c>
      <c r="G2114" s="5" t="str">
        <f>+IF('Data Pura Costos'!G2114="","",'Data Pura Costos'!G2114)</f>
        <v/>
      </c>
      <c r="H2114" s="52" t="str">
        <f>+IF('Data Pura Costos'!H2114="","",'Data Pura Costos'!H2114)</f>
        <v/>
      </c>
      <c r="I2114" s="71" t="str">
        <f>+IF('Data Pura Costos'!I2114="","",'Data Pura Costos'!I2114)</f>
        <v/>
      </c>
      <c r="J2114" s="52" t="str">
        <f>+IF('Data Pura Costos'!J2114="","",'Data Pura Costos'!J2114)</f>
        <v/>
      </c>
      <c r="K2114" s="82" t="str">
        <f t="shared" si="38"/>
        <v/>
      </c>
    </row>
    <row r="2115" spans="2:11" x14ac:dyDescent="0.35">
      <c r="B2115" s="4" t="str">
        <f>+IF('Data Pura Costos'!B2115="","",'Data Pura Costos'!B2115)</f>
        <v/>
      </c>
      <c r="C2115" s="4" t="str">
        <f>+IF('Data Pura Costos'!C2115="","",'Data Pura Costos'!C2115)</f>
        <v/>
      </c>
      <c r="D2115" s="5" t="str">
        <f>+IF('Data Pura Costos'!D2115="","",'Data Pura Costos'!D2115)</f>
        <v/>
      </c>
      <c r="E2115" s="65" t="str">
        <f>+IF('Data Pura Costos'!E2115="","",IF('Data Pura Costos'!E2115=0,MAX('Data Pura Costos'!$E$7:$E$3000)*1000,'Data Pura Costos'!E2115))</f>
        <v/>
      </c>
      <c r="F2115" s="5" t="str">
        <f>+IF('Data Pura Costos'!F2115="","",'Data Pura Costos'!F2115)</f>
        <v/>
      </c>
      <c r="G2115" s="5" t="str">
        <f>+IF('Data Pura Costos'!G2115="","",'Data Pura Costos'!G2115)</f>
        <v/>
      </c>
      <c r="H2115" s="52" t="str">
        <f>+IF('Data Pura Costos'!H2115="","",'Data Pura Costos'!H2115)</f>
        <v/>
      </c>
      <c r="I2115" s="71" t="str">
        <f>+IF('Data Pura Costos'!I2115="","",'Data Pura Costos'!I2115)</f>
        <v/>
      </c>
      <c r="J2115" s="52" t="str">
        <f>+IF('Data Pura Costos'!J2115="","",'Data Pura Costos'!J2115)</f>
        <v/>
      </c>
      <c r="K2115" s="82" t="str">
        <f t="shared" si="38"/>
        <v/>
      </c>
    </row>
    <row r="2116" spans="2:11" x14ac:dyDescent="0.35">
      <c r="B2116" s="4" t="str">
        <f>+IF('Data Pura Costos'!B2116="","",'Data Pura Costos'!B2116)</f>
        <v/>
      </c>
      <c r="C2116" s="4" t="str">
        <f>+IF('Data Pura Costos'!C2116="","",'Data Pura Costos'!C2116)</f>
        <v/>
      </c>
      <c r="D2116" s="5" t="str">
        <f>+IF('Data Pura Costos'!D2116="","",'Data Pura Costos'!D2116)</f>
        <v/>
      </c>
      <c r="E2116" s="65" t="str">
        <f>+IF('Data Pura Costos'!E2116="","",IF('Data Pura Costos'!E2116=0,MAX('Data Pura Costos'!$E$7:$E$3000)*1000,'Data Pura Costos'!E2116))</f>
        <v/>
      </c>
      <c r="F2116" s="5" t="str">
        <f>+IF('Data Pura Costos'!F2116="","",'Data Pura Costos'!F2116)</f>
        <v/>
      </c>
      <c r="G2116" s="5" t="str">
        <f>+IF('Data Pura Costos'!G2116="","",'Data Pura Costos'!G2116)</f>
        <v/>
      </c>
      <c r="H2116" s="52" t="str">
        <f>+IF('Data Pura Costos'!H2116="","",'Data Pura Costos'!H2116)</f>
        <v/>
      </c>
      <c r="I2116" s="71" t="str">
        <f>+IF('Data Pura Costos'!I2116="","",'Data Pura Costos'!I2116)</f>
        <v/>
      </c>
      <c r="J2116" s="52" t="str">
        <f>+IF('Data Pura Costos'!J2116="","",'Data Pura Costos'!J2116)</f>
        <v/>
      </c>
      <c r="K2116" s="82" t="str">
        <f t="shared" si="38"/>
        <v/>
      </c>
    </row>
    <row r="2117" spans="2:11" x14ac:dyDescent="0.35">
      <c r="B2117" s="4" t="str">
        <f>+IF('Data Pura Costos'!B2117="","",'Data Pura Costos'!B2117)</f>
        <v/>
      </c>
      <c r="C2117" s="4" t="str">
        <f>+IF('Data Pura Costos'!C2117="","",'Data Pura Costos'!C2117)</f>
        <v/>
      </c>
      <c r="D2117" s="5" t="str">
        <f>+IF('Data Pura Costos'!D2117="","",'Data Pura Costos'!D2117)</f>
        <v/>
      </c>
      <c r="E2117" s="65" t="str">
        <f>+IF('Data Pura Costos'!E2117="","",IF('Data Pura Costos'!E2117=0,MAX('Data Pura Costos'!$E$7:$E$3000)*1000,'Data Pura Costos'!E2117))</f>
        <v/>
      </c>
      <c r="F2117" s="5" t="str">
        <f>+IF('Data Pura Costos'!F2117="","",'Data Pura Costos'!F2117)</f>
        <v/>
      </c>
      <c r="G2117" s="5" t="str">
        <f>+IF('Data Pura Costos'!G2117="","",'Data Pura Costos'!G2117)</f>
        <v/>
      </c>
      <c r="H2117" s="52" t="str">
        <f>+IF('Data Pura Costos'!H2117="","",'Data Pura Costos'!H2117)</f>
        <v/>
      </c>
      <c r="I2117" s="71" t="str">
        <f>+IF('Data Pura Costos'!I2117="","",'Data Pura Costos'!I2117)</f>
        <v/>
      </c>
      <c r="J2117" s="52" t="str">
        <f>+IF('Data Pura Costos'!J2117="","",'Data Pura Costos'!J2117)</f>
        <v/>
      </c>
      <c r="K2117" s="82" t="str">
        <f t="shared" si="38"/>
        <v/>
      </c>
    </row>
    <row r="2118" spans="2:11" x14ac:dyDescent="0.35">
      <c r="B2118" s="4" t="str">
        <f>+IF('Data Pura Costos'!B2118="","",'Data Pura Costos'!B2118)</f>
        <v/>
      </c>
      <c r="C2118" s="4" t="str">
        <f>+IF('Data Pura Costos'!C2118="","",'Data Pura Costos'!C2118)</f>
        <v/>
      </c>
      <c r="D2118" s="5" t="str">
        <f>+IF('Data Pura Costos'!D2118="","",'Data Pura Costos'!D2118)</f>
        <v/>
      </c>
      <c r="E2118" s="65" t="str">
        <f>+IF('Data Pura Costos'!E2118="","",IF('Data Pura Costos'!E2118=0,MAX('Data Pura Costos'!$E$7:$E$3000)*1000,'Data Pura Costos'!E2118))</f>
        <v/>
      </c>
      <c r="F2118" s="5" t="str">
        <f>+IF('Data Pura Costos'!F2118="","",'Data Pura Costos'!F2118)</f>
        <v/>
      </c>
      <c r="G2118" s="5" t="str">
        <f>+IF('Data Pura Costos'!G2118="","",'Data Pura Costos'!G2118)</f>
        <v/>
      </c>
      <c r="H2118" s="52" t="str">
        <f>+IF('Data Pura Costos'!H2118="","",'Data Pura Costos'!H2118)</f>
        <v/>
      </c>
      <c r="I2118" s="71" t="str">
        <f>+IF('Data Pura Costos'!I2118="","",'Data Pura Costos'!I2118)</f>
        <v/>
      </c>
      <c r="J2118" s="52" t="str">
        <f>+IF('Data Pura Costos'!J2118="","",'Data Pura Costos'!J2118)</f>
        <v/>
      </c>
      <c r="K2118" s="82" t="str">
        <f t="shared" si="38"/>
        <v/>
      </c>
    </row>
    <row r="2119" spans="2:11" x14ac:dyDescent="0.35">
      <c r="B2119" s="4" t="str">
        <f>+IF('Data Pura Costos'!B2119="","",'Data Pura Costos'!B2119)</f>
        <v/>
      </c>
      <c r="C2119" s="4" t="str">
        <f>+IF('Data Pura Costos'!C2119="","",'Data Pura Costos'!C2119)</f>
        <v/>
      </c>
      <c r="D2119" s="5" t="str">
        <f>+IF('Data Pura Costos'!D2119="","",'Data Pura Costos'!D2119)</f>
        <v/>
      </c>
      <c r="E2119" s="65" t="str">
        <f>+IF('Data Pura Costos'!E2119="","",IF('Data Pura Costos'!E2119=0,MAX('Data Pura Costos'!$E$7:$E$3000)*1000,'Data Pura Costos'!E2119))</f>
        <v/>
      </c>
      <c r="F2119" s="5" t="str">
        <f>+IF('Data Pura Costos'!F2119="","",'Data Pura Costos'!F2119)</f>
        <v/>
      </c>
      <c r="G2119" s="5" t="str">
        <f>+IF('Data Pura Costos'!G2119="","",'Data Pura Costos'!G2119)</f>
        <v/>
      </c>
      <c r="H2119" s="52" t="str">
        <f>+IF('Data Pura Costos'!H2119="","",'Data Pura Costos'!H2119)</f>
        <v/>
      </c>
      <c r="I2119" s="71" t="str">
        <f>+IF('Data Pura Costos'!I2119="","",'Data Pura Costos'!I2119)</f>
        <v/>
      </c>
      <c r="J2119" s="52" t="str">
        <f>+IF('Data Pura Costos'!J2119="","",'Data Pura Costos'!J2119)</f>
        <v/>
      </c>
      <c r="K2119" s="82" t="str">
        <f t="shared" si="38"/>
        <v/>
      </c>
    </row>
    <row r="2120" spans="2:11" x14ac:dyDescent="0.35">
      <c r="B2120" s="4" t="str">
        <f>+IF('Data Pura Costos'!B2120="","",'Data Pura Costos'!B2120)</f>
        <v/>
      </c>
      <c r="C2120" s="4" t="str">
        <f>+IF('Data Pura Costos'!C2120="","",'Data Pura Costos'!C2120)</f>
        <v/>
      </c>
      <c r="D2120" s="5" t="str">
        <f>+IF('Data Pura Costos'!D2120="","",'Data Pura Costos'!D2120)</f>
        <v/>
      </c>
      <c r="E2120" s="65" t="str">
        <f>+IF('Data Pura Costos'!E2120="","",IF('Data Pura Costos'!E2120=0,MAX('Data Pura Costos'!$E$7:$E$3000)*1000,'Data Pura Costos'!E2120))</f>
        <v/>
      </c>
      <c r="F2120" s="5" t="str">
        <f>+IF('Data Pura Costos'!F2120="","",'Data Pura Costos'!F2120)</f>
        <v/>
      </c>
      <c r="G2120" s="5" t="str">
        <f>+IF('Data Pura Costos'!G2120="","",'Data Pura Costos'!G2120)</f>
        <v/>
      </c>
      <c r="H2120" s="52" t="str">
        <f>+IF('Data Pura Costos'!H2120="","",'Data Pura Costos'!H2120)</f>
        <v/>
      </c>
      <c r="I2120" s="71" t="str">
        <f>+IF('Data Pura Costos'!I2120="","",'Data Pura Costos'!I2120)</f>
        <v/>
      </c>
      <c r="J2120" s="52" t="str">
        <f>+IF('Data Pura Costos'!J2120="","",'Data Pura Costos'!J2120)</f>
        <v/>
      </c>
      <c r="K2120" s="82" t="str">
        <f t="shared" si="38"/>
        <v/>
      </c>
    </row>
    <row r="2121" spans="2:11" x14ac:dyDescent="0.35">
      <c r="B2121" s="4" t="str">
        <f>+IF('Data Pura Costos'!B2121="","",'Data Pura Costos'!B2121)</f>
        <v/>
      </c>
      <c r="C2121" s="4" t="str">
        <f>+IF('Data Pura Costos'!C2121="","",'Data Pura Costos'!C2121)</f>
        <v/>
      </c>
      <c r="D2121" s="5" t="str">
        <f>+IF('Data Pura Costos'!D2121="","",'Data Pura Costos'!D2121)</f>
        <v/>
      </c>
      <c r="E2121" s="65" t="str">
        <f>+IF('Data Pura Costos'!E2121="","",IF('Data Pura Costos'!E2121=0,MAX('Data Pura Costos'!$E$7:$E$3000)*1000,'Data Pura Costos'!E2121))</f>
        <v/>
      </c>
      <c r="F2121" s="5" t="str">
        <f>+IF('Data Pura Costos'!F2121="","",'Data Pura Costos'!F2121)</f>
        <v/>
      </c>
      <c r="G2121" s="5" t="str">
        <f>+IF('Data Pura Costos'!G2121="","",'Data Pura Costos'!G2121)</f>
        <v/>
      </c>
      <c r="H2121" s="52" t="str">
        <f>+IF('Data Pura Costos'!H2121="","",'Data Pura Costos'!H2121)</f>
        <v/>
      </c>
      <c r="I2121" s="71" t="str">
        <f>+IF('Data Pura Costos'!I2121="","",'Data Pura Costos'!I2121)</f>
        <v/>
      </c>
      <c r="J2121" s="52" t="str">
        <f>+IF('Data Pura Costos'!J2121="","",'Data Pura Costos'!J2121)</f>
        <v/>
      </c>
      <c r="K2121" s="82" t="str">
        <f t="shared" si="38"/>
        <v/>
      </c>
    </row>
    <row r="2122" spans="2:11" x14ac:dyDescent="0.35">
      <c r="B2122" s="4" t="str">
        <f>+IF('Data Pura Costos'!B2122="","",'Data Pura Costos'!B2122)</f>
        <v/>
      </c>
      <c r="C2122" s="4" t="str">
        <f>+IF('Data Pura Costos'!C2122="","",'Data Pura Costos'!C2122)</f>
        <v/>
      </c>
      <c r="D2122" s="5" t="str">
        <f>+IF('Data Pura Costos'!D2122="","",'Data Pura Costos'!D2122)</f>
        <v/>
      </c>
      <c r="E2122" s="65" t="str">
        <f>+IF('Data Pura Costos'!E2122="","",IF('Data Pura Costos'!E2122=0,MAX('Data Pura Costos'!$E$7:$E$3000)*1000,'Data Pura Costos'!E2122))</f>
        <v/>
      </c>
      <c r="F2122" s="5" t="str">
        <f>+IF('Data Pura Costos'!F2122="","",'Data Pura Costos'!F2122)</f>
        <v/>
      </c>
      <c r="G2122" s="5" t="str">
        <f>+IF('Data Pura Costos'!G2122="","",'Data Pura Costos'!G2122)</f>
        <v/>
      </c>
      <c r="H2122" s="52" t="str">
        <f>+IF('Data Pura Costos'!H2122="","",'Data Pura Costos'!H2122)</f>
        <v/>
      </c>
      <c r="I2122" s="71" t="str">
        <f>+IF('Data Pura Costos'!I2122="","",'Data Pura Costos'!I2122)</f>
        <v/>
      </c>
      <c r="J2122" s="52" t="str">
        <f>+IF('Data Pura Costos'!J2122="","",'Data Pura Costos'!J2122)</f>
        <v/>
      </c>
      <c r="K2122" s="82" t="str">
        <f t="shared" si="38"/>
        <v/>
      </c>
    </row>
    <row r="2123" spans="2:11" x14ac:dyDescent="0.35">
      <c r="B2123" s="4" t="str">
        <f>+IF('Data Pura Costos'!B2123="","",'Data Pura Costos'!B2123)</f>
        <v/>
      </c>
      <c r="C2123" s="4" t="str">
        <f>+IF('Data Pura Costos'!C2123="","",'Data Pura Costos'!C2123)</f>
        <v/>
      </c>
      <c r="D2123" s="5" t="str">
        <f>+IF('Data Pura Costos'!D2123="","",'Data Pura Costos'!D2123)</f>
        <v/>
      </c>
      <c r="E2123" s="65" t="str">
        <f>+IF('Data Pura Costos'!E2123="","",IF('Data Pura Costos'!E2123=0,MAX('Data Pura Costos'!$E$7:$E$3000)*1000,'Data Pura Costos'!E2123))</f>
        <v/>
      </c>
      <c r="F2123" s="5" t="str">
        <f>+IF('Data Pura Costos'!F2123="","",'Data Pura Costos'!F2123)</f>
        <v/>
      </c>
      <c r="G2123" s="5" t="str">
        <f>+IF('Data Pura Costos'!G2123="","",'Data Pura Costos'!G2123)</f>
        <v/>
      </c>
      <c r="H2123" s="52" t="str">
        <f>+IF('Data Pura Costos'!H2123="","",'Data Pura Costos'!H2123)</f>
        <v/>
      </c>
      <c r="I2123" s="71" t="str">
        <f>+IF('Data Pura Costos'!I2123="","",'Data Pura Costos'!I2123)</f>
        <v/>
      </c>
      <c r="J2123" s="52" t="str">
        <f>+IF('Data Pura Costos'!J2123="","",'Data Pura Costos'!J2123)</f>
        <v/>
      </c>
      <c r="K2123" s="82" t="str">
        <f t="shared" si="38"/>
        <v/>
      </c>
    </row>
    <row r="2124" spans="2:11" x14ac:dyDescent="0.35">
      <c r="B2124" s="4" t="str">
        <f>+IF('Data Pura Costos'!B2124="","",'Data Pura Costos'!B2124)</f>
        <v/>
      </c>
      <c r="C2124" s="4" t="str">
        <f>+IF('Data Pura Costos'!C2124="","",'Data Pura Costos'!C2124)</f>
        <v/>
      </c>
      <c r="D2124" s="5" t="str">
        <f>+IF('Data Pura Costos'!D2124="","",'Data Pura Costos'!D2124)</f>
        <v/>
      </c>
      <c r="E2124" s="65" t="str">
        <f>+IF('Data Pura Costos'!E2124="","",IF('Data Pura Costos'!E2124=0,MAX('Data Pura Costos'!$E$7:$E$3000)*1000,'Data Pura Costos'!E2124))</f>
        <v/>
      </c>
      <c r="F2124" s="5" t="str">
        <f>+IF('Data Pura Costos'!F2124="","",'Data Pura Costos'!F2124)</f>
        <v/>
      </c>
      <c r="G2124" s="5" t="str">
        <f>+IF('Data Pura Costos'!G2124="","",'Data Pura Costos'!G2124)</f>
        <v/>
      </c>
      <c r="H2124" s="52" t="str">
        <f>+IF('Data Pura Costos'!H2124="","",'Data Pura Costos'!H2124)</f>
        <v/>
      </c>
      <c r="I2124" s="71" t="str">
        <f>+IF('Data Pura Costos'!I2124="","",'Data Pura Costos'!I2124)</f>
        <v/>
      </c>
      <c r="J2124" s="52" t="str">
        <f>+IF('Data Pura Costos'!J2124="","",'Data Pura Costos'!J2124)</f>
        <v/>
      </c>
      <c r="K2124" s="82" t="str">
        <f t="shared" si="38"/>
        <v/>
      </c>
    </row>
    <row r="2125" spans="2:11" x14ac:dyDescent="0.35">
      <c r="B2125" s="4" t="str">
        <f>+IF('Data Pura Costos'!B2125="","",'Data Pura Costos'!B2125)</f>
        <v/>
      </c>
      <c r="C2125" s="4" t="str">
        <f>+IF('Data Pura Costos'!C2125="","",'Data Pura Costos'!C2125)</f>
        <v/>
      </c>
      <c r="D2125" s="5" t="str">
        <f>+IF('Data Pura Costos'!D2125="","",'Data Pura Costos'!D2125)</f>
        <v/>
      </c>
      <c r="E2125" s="65" t="str">
        <f>+IF('Data Pura Costos'!E2125="","",IF('Data Pura Costos'!E2125=0,MAX('Data Pura Costos'!$E$7:$E$3000)*1000,'Data Pura Costos'!E2125))</f>
        <v/>
      </c>
      <c r="F2125" s="5" t="str">
        <f>+IF('Data Pura Costos'!F2125="","",'Data Pura Costos'!F2125)</f>
        <v/>
      </c>
      <c r="G2125" s="5" t="str">
        <f>+IF('Data Pura Costos'!G2125="","",'Data Pura Costos'!G2125)</f>
        <v/>
      </c>
      <c r="H2125" s="52" t="str">
        <f>+IF('Data Pura Costos'!H2125="","",'Data Pura Costos'!H2125)</f>
        <v/>
      </c>
      <c r="I2125" s="71" t="str">
        <f>+IF('Data Pura Costos'!I2125="","",'Data Pura Costos'!I2125)</f>
        <v/>
      </c>
      <c r="J2125" s="52" t="str">
        <f>+IF('Data Pura Costos'!J2125="","",'Data Pura Costos'!J2125)</f>
        <v/>
      </c>
      <c r="K2125" s="82" t="str">
        <f t="shared" si="38"/>
        <v/>
      </c>
    </row>
    <row r="2126" spans="2:11" x14ac:dyDescent="0.35">
      <c r="B2126" s="4" t="str">
        <f>+IF('Data Pura Costos'!B2126="","",'Data Pura Costos'!B2126)</f>
        <v/>
      </c>
      <c r="C2126" s="4" t="str">
        <f>+IF('Data Pura Costos'!C2126="","",'Data Pura Costos'!C2126)</f>
        <v/>
      </c>
      <c r="D2126" s="5" t="str">
        <f>+IF('Data Pura Costos'!D2126="","",'Data Pura Costos'!D2126)</f>
        <v/>
      </c>
      <c r="E2126" s="65" t="str">
        <f>+IF('Data Pura Costos'!E2126="","",IF('Data Pura Costos'!E2126=0,MAX('Data Pura Costos'!$E$7:$E$3000)*1000,'Data Pura Costos'!E2126))</f>
        <v/>
      </c>
      <c r="F2126" s="5" t="str">
        <f>+IF('Data Pura Costos'!F2126="","",'Data Pura Costos'!F2126)</f>
        <v/>
      </c>
      <c r="G2126" s="5" t="str">
        <f>+IF('Data Pura Costos'!G2126="","",'Data Pura Costos'!G2126)</f>
        <v/>
      </c>
      <c r="H2126" s="52" t="str">
        <f>+IF('Data Pura Costos'!H2126="","",'Data Pura Costos'!H2126)</f>
        <v/>
      </c>
      <c r="I2126" s="71" t="str">
        <f>+IF('Data Pura Costos'!I2126="","",'Data Pura Costos'!I2126)</f>
        <v/>
      </c>
      <c r="J2126" s="52" t="str">
        <f>+IF('Data Pura Costos'!J2126="","",'Data Pura Costos'!J2126)</f>
        <v/>
      </c>
      <c r="K2126" s="82" t="str">
        <f t="shared" si="38"/>
        <v/>
      </c>
    </row>
    <row r="2127" spans="2:11" x14ac:dyDescent="0.35">
      <c r="B2127" s="4" t="str">
        <f>+IF('Data Pura Costos'!B2127="","",'Data Pura Costos'!B2127)</f>
        <v/>
      </c>
      <c r="C2127" s="4" t="str">
        <f>+IF('Data Pura Costos'!C2127="","",'Data Pura Costos'!C2127)</f>
        <v/>
      </c>
      <c r="D2127" s="5" t="str">
        <f>+IF('Data Pura Costos'!D2127="","",'Data Pura Costos'!D2127)</f>
        <v/>
      </c>
      <c r="E2127" s="65" t="str">
        <f>+IF('Data Pura Costos'!E2127="","",IF('Data Pura Costos'!E2127=0,MAX('Data Pura Costos'!$E$7:$E$3000)*1000,'Data Pura Costos'!E2127))</f>
        <v/>
      </c>
      <c r="F2127" s="5" t="str">
        <f>+IF('Data Pura Costos'!F2127="","",'Data Pura Costos'!F2127)</f>
        <v/>
      </c>
      <c r="G2127" s="5" t="str">
        <f>+IF('Data Pura Costos'!G2127="","",'Data Pura Costos'!G2127)</f>
        <v/>
      </c>
      <c r="H2127" s="52" t="str">
        <f>+IF('Data Pura Costos'!H2127="","",'Data Pura Costos'!H2127)</f>
        <v/>
      </c>
      <c r="I2127" s="71" t="str">
        <f>+IF('Data Pura Costos'!I2127="","",'Data Pura Costos'!I2127)</f>
        <v/>
      </c>
      <c r="J2127" s="52" t="str">
        <f>+IF('Data Pura Costos'!J2127="","",'Data Pura Costos'!J2127)</f>
        <v/>
      </c>
      <c r="K2127" s="82" t="str">
        <f t="shared" si="38"/>
        <v/>
      </c>
    </row>
    <row r="2128" spans="2:11" x14ac:dyDescent="0.35">
      <c r="B2128" s="4" t="str">
        <f>+IF('Data Pura Costos'!B2128="","",'Data Pura Costos'!B2128)</f>
        <v/>
      </c>
      <c r="C2128" s="4" t="str">
        <f>+IF('Data Pura Costos'!C2128="","",'Data Pura Costos'!C2128)</f>
        <v/>
      </c>
      <c r="D2128" s="5" t="str">
        <f>+IF('Data Pura Costos'!D2128="","",'Data Pura Costos'!D2128)</f>
        <v/>
      </c>
      <c r="E2128" s="65" t="str">
        <f>+IF('Data Pura Costos'!E2128="","",IF('Data Pura Costos'!E2128=0,MAX('Data Pura Costos'!$E$7:$E$3000)*1000,'Data Pura Costos'!E2128))</f>
        <v/>
      </c>
      <c r="F2128" s="5" t="str">
        <f>+IF('Data Pura Costos'!F2128="","",'Data Pura Costos'!F2128)</f>
        <v/>
      </c>
      <c r="G2128" s="5" t="str">
        <f>+IF('Data Pura Costos'!G2128="","",'Data Pura Costos'!G2128)</f>
        <v/>
      </c>
      <c r="H2128" s="52" t="str">
        <f>+IF('Data Pura Costos'!H2128="","",'Data Pura Costos'!H2128)</f>
        <v/>
      </c>
      <c r="I2128" s="71" t="str">
        <f>+IF('Data Pura Costos'!I2128="","",'Data Pura Costos'!I2128)</f>
        <v/>
      </c>
      <c r="J2128" s="52" t="str">
        <f>+IF('Data Pura Costos'!J2128="","",'Data Pura Costos'!J2128)</f>
        <v/>
      </c>
      <c r="K2128" s="82" t="str">
        <f t="shared" si="38"/>
        <v/>
      </c>
    </row>
    <row r="2129" spans="2:11" x14ac:dyDescent="0.35">
      <c r="B2129" s="4" t="str">
        <f>+IF('Data Pura Costos'!B2129="","",'Data Pura Costos'!B2129)</f>
        <v/>
      </c>
      <c r="C2129" s="4" t="str">
        <f>+IF('Data Pura Costos'!C2129="","",'Data Pura Costos'!C2129)</f>
        <v/>
      </c>
      <c r="D2129" s="5" t="str">
        <f>+IF('Data Pura Costos'!D2129="","",'Data Pura Costos'!D2129)</f>
        <v/>
      </c>
      <c r="E2129" s="65" t="str">
        <f>+IF('Data Pura Costos'!E2129="","",IF('Data Pura Costos'!E2129=0,MAX('Data Pura Costos'!$E$7:$E$3000)*1000,'Data Pura Costos'!E2129))</f>
        <v/>
      </c>
      <c r="F2129" s="5" t="str">
        <f>+IF('Data Pura Costos'!F2129="","",'Data Pura Costos'!F2129)</f>
        <v/>
      </c>
      <c r="G2129" s="5" t="str">
        <f>+IF('Data Pura Costos'!G2129="","",'Data Pura Costos'!G2129)</f>
        <v/>
      </c>
      <c r="H2129" s="52" t="str">
        <f>+IF('Data Pura Costos'!H2129="","",'Data Pura Costos'!H2129)</f>
        <v/>
      </c>
      <c r="I2129" s="71" t="str">
        <f>+IF('Data Pura Costos'!I2129="","",'Data Pura Costos'!I2129)</f>
        <v/>
      </c>
      <c r="J2129" s="52" t="str">
        <f>+IF('Data Pura Costos'!J2129="","",'Data Pura Costos'!J2129)</f>
        <v/>
      </c>
      <c r="K2129" s="82" t="str">
        <f t="shared" si="38"/>
        <v/>
      </c>
    </row>
    <row r="2130" spans="2:11" x14ac:dyDescent="0.35">
      <c r="B2130" s="4" t="str">
        <f>+IF('Data Pura Costos'!B2130="","",'Data Pura Costos'!B2130)</f>
        <v/>
      </c>
      <c r="C2130" s="4" t="str">
        <f>+IF('Data Pura Costos'!C2130="","",'Data Pura Costos'!C2130)</f>
        <v/>
      </c>
      <c r="D2130" s="5" t="str">
        <f>+IF('Data Pura Costos'!D2130="","",'Data Pura Costos'!D2130)</f>
        <v/>
      </c>
      <c r="E2130" s="65" t="str">
        <f>+IF('Data Pura Costos'!E2130="","",IF('Data Pura Costos'!E2130=0,MAX('Data Pura Costos'!$E$7:$E$3000)*1000,'Data Pura Costos'!E2130))</f>
        <v/>
      </c>
      <c r="F2130" s="5" t="str">
        <f>+IF('Data Pura Costos'!F2130="","",'Data Pura Costos'!F2130)</f>
        <v/>
      </c>
      <c r="G2130" s="5" t="str">
        <f>+IF('Data Pura Costos'!G2130="","",'Data Pura Costos'!G2130)</f>
        <v/>
      </c>
      <c r="H2130" s="52" t="str">
        <f>+IF('Data Pura Costos'!H2130="","",'Data Pura Costos'!H2130)</f>
        <v/>
      </c>
      <c r="I2130" s="71" t="str">
        <f>+IF('Data Pura Costos'!I2130="","",'Data Pura Costos'!I2130)</f>
        <v/>
      </c>
      <c r="J2130" s="52" t="str">
        <f>+IF('Data Pura Costos'!J2130="","",'Data Pura Costos'!J2130)</f>
        <v/>
      </c>
      <c r="K2130" s="82" t="str">
        <f t="shared" si="38"/>
        <v/>
      </c>
    </row>
    <row r="2131" spans="2:11" x14ac:dyDescent="0.35">
      <c r="B2131" s="4" t="str">
        <f>+IF('Data Pura Costos'!B2131="","",'Data Pura Costos'!B2131)</f>
        <v/>
      </c>
      <c r="C2131" s="4" t="str">
        <f>+IF('Data Pura Costos'!C2131="","",'Data Pura Costos'!C2131)</f>
        <v/>
      </c>
      <c r="D2131" s="5" t="str">
        <f>+IF('Data Pura Costos'!D2131="","",'Data Pura Costos'!D2131)</f>
        <v/>
      </c>
      <c r="E2131" s="65" t="str">
        <f>+IF('Data Pura Costos'!E2131="","",IF('Data Pura Costos'!E2131=0,MAX('Data Pura Costos'!$E$7:$E$3000)*1000,'Data Pura Costos'!E2131))</f>
        <v/>
      </c>
      <c r="F2131" s="5" t="str">
        <f>+IF('Data Pura Costos'!F2131="","",'Data Pura Costos'!F2131)</f>
        <v/>
      </c>
      <c r="G2131" s="5" t="str">
        <f>+IF('Data Pura Costos'!G2131="","",'Data Pura Costos'!G2131)</f>
        <v/>
      </c>
      <c r="H2131" s="52" t="str">
        <f>+IF('Data Pura Costos'!H2131="","",'Data Pura Costos'!H2131)</f>
        <v/>
      </c>
      <c r="I2131" s="71" t="str">
        <f>+IF('Data Pura Costos'!I2131="","",'Data Pura Costos'!I2131)</f>
        <v/>
      </c>
      <c r="J2131" s="52" t="str">
        <f>+IF('Data Pura Costos'!J2131="","",'Data Pura Costos'!J2131)</f>
        <v/>
      </c>
      <c r="K2131" s="82" t="str">
        <f t="shared" si="38"/>
        <v/>
      </c>
    </row>
    <row r="2132" spans="2:11" x14ac:dyDescent="0.35">
      <c r="B2132" s="4" t="str">
        <f>+IF('Data Pura Costos'!B2132="","",'Data Pura Costos'!B2132)</f>
        <v/>
      </c>
      <c r="C2132" s="4" t="str">
        <f>+IF('Data Pura Costos'!C2132="","",'Data Pura Costos'!C2132)</f>
        <v/>
      </c>
      <c r="D2132" s="5" t="str">
        <f>+IF('Data Pura Costos'!D2132="","",'Data Pura Costos'!D2132)</f>
        <v/>
      </c>
      <c r="E2132" s="65" t="str">
        <f>+IF('Data Pura Costos'!E2132="","",IF('Data Pura Costos'!E2132=0,MAX('Data Pura Costos'!$E$7:$E$3000)*1000,'Data Pura Costos'!E2132))</f>
        <v/>
      </c>
      <c r="F2132" s="5" t="str">
        <f>+IF('Data Pura Costos'!F2132="","",'Data Pura Costos'!F2132)</f>
        <v/>
      </c>
      <c r="G2132" s="5" t="str">
        <f>+IF('Data Pura Costos'!G2132="","",'Data Pura Costos'!G2132)</f>
        <v/>
      </c>
      <c r="H2132" s="52" t="str">
        <f>+IF('Data Pura Costos'!H2132="","",'Data Pura Costos'!H2132)</f>
        <v/>
      </c>
      <c r="I2132" s="71" t="str">
        <f>+IF('Data Pura Costos'!I2132="","",'Data Pura Costos'!I2132)</f>
        <v/>
      </c>
      <c r="J2132" s="52" t="str">
        <f>+IF('Data Pura Costos'!J2132="","",'Data Pura Costos'!J2132)</f>
        <v/>
      </c>
      <c r="K2132" s="82" t="str">
        <f t="shared" si="38"/>
        <v/>
      </c>
    </row>
    <row r="2133" spans="2:11" x14ac:dyDescent="0.35">
      <c r="B2133" s="4" t="str">
        <f>+IF('Data Pura Costos'!B2133="","",'Data Pura Costos'!B2133)</f>
        <v/>
      </c>
      <c r="C2133" s="4" t="str">
        <f>+IF('Data Pura Costos'!C2133="","",'Data Pura Costos'!C2133)</f>
        <v/>
      </c>
      <c r="D2133" s="5" t="str">
        <f>+IF('Data Pura Costos'!D2133="","",'Data Pura Costos'!D2133)</f>
        <v/>
      </c>
      <c r="E2133" s="65" t="str">
        <f>+IF('Data Pura Costos'!E2133="","",IF('Data Pura Costos'!E2133=0,MAX('Data Pura Costos'!$E$7:$E$3000)*1000,'Data Pura Costos'!E2133))</f>
        <v/>
      </c>
      <c r="F2133" s="5" t="str">
        <f>+IF('Data Pura Costos'!F2133="","",'Data Pura Costos'!F2133)</f>
        <v/>
      </c>
      <c r="G2133" s="5" t="str">
        <f>+IF('Data Pura Costos'!G2133="","",'Data Pura Costos'!G2133)</f>
        <v/>
      </c>
      <c r="H2133" s="52" t="str">
        <f>+IF('Data Pura Costos'!H2133="","",'Data Pura Costos'!H2133)</f>
        <v/>
      </c>
      <c r="I2133" s="71" t="str">
        <f>+IF('Data Pura Costos'!I2133="","",'Data Pura Costos'!I2133)</f>
        <v/>
      </c>
      <c r="J2133" s="52" t="str">
        <f>+IF('Data Pura Costos'!J2133="","",'Data Pura Costos'!J2133)</f>
        <v/>
      </c>
      <c r="K2133" s="82" t="str">
        <f t="shared" si="38"/>
        <v/>
      </c>
    </row>
    <row r="2134" spans="2:11" x14ac:dyDescent="0.35">
      <c r="B2134" s="4" t="str">
        <f>+IF('Data Pura Costos'!B2134="","",'Data Pura Costos'!B2134)</f>
        <v/>
      </c>
      <c r="C2134" s="4" t="str">
        <f>+IF('Data Pura Costos'!C2134="","",'Data Pura Costos'!C2134)</f>
        <v/>
      </c>
      <c r="D2134" s="5" t="str">
        <f>+IF('Data Pura Costos'!D2134="","",'Data Pura Costos'!D2134)</f>
        <v/>
      </c>
      <c r="E2134" s="65" t="str">
        <f>+IF('Data Pura Costos'!E2134="","",IF('Data Pura Costos'!E2134=0,MAX('Data Pura Costos'!$E$7:$E$3000)*1000,'Data Pura Costos'!E2134))</f>
        <v/>
      </c>
      <c r="F2134" s="5" t="str">
        <f>+IF('Data Pura Costos'!F2134="","",'Data Pura Costos'!F2134)</f>
        <v/>
      </c>
      <c r="G2134" s="5" t="str">
        <f>+IF('Data Pura Costos'!G2134="","",'Data Pura Costos'!G2134)</f>
        <v/>
      </c>
      <c r="H2134" s="52" t="str">
        <f>+IF('Data Pura Costos'!H2134="","",'Data Pura Costos'!H2134)</f>
        <v/>
      </c>
      <c r="I2134" s="71" t="str">
        <f>+IF('Data Pura Costos'!I2134="","",'Data Pura Costos'!I2134)</f>
        <v/>
      </c>
      <c r="J2134" s="52" t="str">
        <f>+IF('Data Pura Costos'!J2134="","",'Data Pura Costos'!J2134)</f>
        <v/>
      </c>
      <c r="K2134" s="82" t="str">
        <f t="shared" si="38"/>
        <v/>
      </c>
    </row>
    <row r="2135" spans="2:11" x14ac:dyDescent="0.35">
      <c r="B2135" s="4" t="str">
        <f>+IF('Data Pura Costos'!B2135="","",'Data Pura Costos'!B2135)</f>
        <v/>
      </c>
      <c r="C2135" s="4" t="str">
        <f>+IF('Data Pura Costos'!C2135="","",'Data Pura Costos'!C2135)</f>
        <v/>
      </c>
      <c r="D2135" s="5" t="str">
        <f>+IF('Data Pura Costos'!D2135="","",'Data Pura Costos'!D2135)</f>
        <v/>
      </c>
      <c r="E2135" s="65" t="str">
        <f>+IF('Data Pura Costos'!E2135="","",IF('Data Pura Costos'!E2135=0,MAX('Data Pura Costos'!$E$7:$E$3000)*1000,'Data Pura Costos'!E2135))</f>
        <v/>
      </c>
      <c r="F2135" s="5" t="str">
        <f>+IF('Data Pura Costos'!F2135="","",'Data Pura Costos'!F2135)</f>
        <v/>
      </c>
      <c r="G2135" s="5" t="str">
        <f>+IF('Data Pura Costos'!G2135="","",'Data Pura Costos'!G2135)</f>
        <v/>
      </c>
      <c r="H2135" s="52" t="str">
        <f>+IF('Data Pura Costos'!H2135="","",'Data Pura Costos'!H2135)</f>
        <v/>
      </c>
      <c r="I2135" s="71" t="str">
        <f>+IF('Data Pura Costos'!I2135="","",'Data Pura Costos'!I2135)</f>
        <v/>
      </c>
      <c r="J2135" s="52" t="str">
        <f>+IF('Data Pura Costos'!J2135="","",'Data Pura Costos'!J2135)</f>
        <v/>
      </c>
      <c r="K2135" s="82" t="str">
        <f t="shared" si="38"/>
        <v/>
      </c>
    </row>
    <row r="2136" spans="2:11" x14ac:dyDescent="0.35">
      <c r="B2136" s="4" t="str">
        <f>+IF('Data Pura Costos'!B2136="","",'Data Pura Costos'!B2136)</f>
        <v/>
      </c>
      <c r="C2136" s="4" t="str">
        <f>+IF('Data Pura Costos'!C2136="","",'Data Pura Costos'!C2136)</f>
        <v/>
      </c>
      <c r="D2136" s="5" t="str">
        <f>+IF('Data Pura Costos'!D2136="","",'Data Pura Costos'!D2136)</f>
        <v/>
      </c>
      <c r="E2136" s="65" t="str">
        <f>+IF('Data Pura Costos'!E2136="","",IF('Data Pura Costos'!E2136=0,MAX('Data Pura Costos'!$E$7:$E$3000)*1000,'Data Pura Costos'!E2136))</f>
        <v/>
      </c>
      <c r="F2136" s="5" t="str">
        <f>+IF('Data Pura Costos'!F2136="","",'Data Pura Costos'!F2136)</f>
        <v/>
      </c>
      <c r="G2136" s="5" t="str">
        <f>+IF('Data Pura Costos'!G2136="","",'Data Pura Costos'!G2136)</f>
        <v/>
      </c>
      <c r="H2136" s="52" t="str">
        <f>+IF('Data Pura Costos'!H2136="","",'Data Pura Costos'!H2136)</f>
        <v/>
      </c>
      <c r="I2136" s="71" t="str">
        <f>+IF('Data Pura Costos'!I2136="","",'Data Pura Costos'!I2136)</f>
        <v/>
      </c>
      <c r="J2136" s="52" t="str">
        <f>+IF('Data Pura Costos'!J2136="","",'Data Pura Costos'!J2136)</f>
        <v/>
      </c>
      <c r="K2136" s="82" t="str">
        <f t="shared" si="38"/>
        <v/>
      </c>
    </row>
    <row r="2137" spans="2:11" x14ac:dyDescent="0.35">
      <c r="B2137" s="4" t="str">
        <f>+IF('Data Pura Costos'!B2137="","",'Data Pura Costos'!B2137)</f>
        <v/>
      </c>
      <c r="C2137" s="4" t="str">
        <f>+IF('Data Pura Costos'!C2137="","",'Data Pura Costos'!C2137)</f>
        <v/>
      </c>
      <c r="D2137" s="5" t="str">
        <f>+IF('Data Pura Costos'!D2137="","",'Data Pura Costos'!D2137)</f>
        <v/>
      </c>
      <c r="E2137" s="65" t="str">
        <f>+IF('Data Pura Costos'!E2137="","",IF('Data Pura Costos'!E2137=0,MAX('Data Pura Costos'!$E$7:$E$3000)*1000,'Data Pura Costos'!E2137))</f>
        <v/>
      </c>
      <c r="F2137" s="5" t="str">
        <f>+IF('Data Pura Costos'!F2137="","",'Data Pura Costos'!F2137)</f>
        <v/>
      </c>
      <c r="G2137" s="5" t="str">
        <f>+IF('Data Pura Costos'!G2137="","",'Data Pura Costos'!G2137)</f>
        <v/>
      </c>
      <c r="H2137" s="52" t="str">
        <f>+IF('Data Pura Costos'!H2137="","",'Data Pura Costos'!H2137)</f>
        <v/>
      </c>
      <c r="I2137" s="71" t="str">
        <f>+IF('Data Pura Costos'!I2137="","",'Data Pura Costos'!I2137)</f>
        <v/>
      </c>
      <c r="J2137" s="52" t="str">
        <f>+IF('Data Pura Costos'!J2137="","",'Data Pura Costos'!J2137)</f>
        <v/>
      </c>
      <c r="K2137" s="82" t="str">
        <f t="shared" si="38"/>
        <v/>
      </c>
    </row>
    <row r="2138" spans="2:11" x14ac:dyDescent="0.35">
      <c r="B2138" s="4" t="str">
        <f>+IF('Data Pura Costos'!B2138="","",'Data Pura Costos'!B2138)</f>
        <v/>
      </c>
      <c r="C2138" s="4" t="str">
        <f>+IF('Data Pura Costos'!C2138="","",'Data Pura Costos'!C2138)</f>
        <v/>
      </c>
      <c r="D2138" s="5" t="str">
        <f>+IF('Data Pura Costos'!D2138="","",'Data Pura Costos'!D2138)</f>
        <v/>
      </c>
      <c r="E2138" s="65" t="str">
        <f>+IF('Data Pura Costos'!E2138="","",IF('Data Pura Costos'!E2138=0,MAX('Data Pura Costos'!$E$7:$E$3000)*1000,'Data Pura Costos'!E2138))</f>
        <v/>
      </c>
      <c r="F2138" s="5" t="str">
        <f>+IF('Data Pura Costos'!F2138="","",'Data Pura Costos'!F2138)</f>
        <v/>
      </c>
      <c r="G2138" s="5" t="str">
        <f>+IF('Data Pura Costos'!G2138="","",'Data Pura Costos'!G2138)</f>
        <v/>
      </c>
      <c r="H2138" s="52" t="str">
        <f>+IF('Data Pura Costos'!H2138="","",'Data Pura Costos'!H2138)</f>
        <v/>
      </c>
      <c r="I2138" s="71" t="str">
        <f>+IF('Data Pura Costos'!I2138="","",'Data Pura Costos'!I2138)</f>
        <v/>
      </c>
      <c r="J2138" s="52" t="str">
        <f>+IF('Data Pura Costos'!J2138="","",'Data Pura Costos'!J2138)</f>
        <v/>
      </c>
      <c r="K2138" s="82" t="str">
        <f t="shared" si="38"/>
        <v/>
      </c>
    </row>
    <row r="2139" spans="2:11" x14ac:dyDescent="0.35">
      <c r="B2139" s="4" t="str">
        <f>+IF('Data Pura Costos'!B2139="","",'Data Pura Costos'!B2139)</f>
        <v/>
      </c>
      <c r="C2139" s="4" t="str">
        <f>+IF('Data Pura Costos'!C2139="","",'Data Pura Costos'!C2139)</f>
        <v/>
      </c>
      <c r="D2139" s="5" t="str">
        <f>+IF('Data Pura Costos'!D2139="","",'Data Pura Costos'!D2139)</f>
        <v/>
      </c>
      <c r="E2139" s="65" t="str">
        <f>+IF('Data Pura Costos'!E2139="","",IF('Data Pura Costos'!E2139=0,MAX('Data Pura Costos'!$E$7:$E$3000)*1000,'Data Pura Costos'!E2139))</f>
        <v/>
      </c>
      <c r="F2139" s="5" t="str">
        <f>+IF('Data Pura Costos'!F2139="","",'Data Pura Costos'!F2139)</f>
        <v/>
      </c>
      <c r="G2139" s="5" t="str">
        <f>+IF('Data Pura Costos'!G2139="","",'Data Pura Costos'!G2139)</f>
        <v/>
      </c>
      <c r="H2139" s="52" t="str">
        <f>+IF('Data Pura Costos'!H2139="","",'Data Pura Costos'!H2139)</f>
        <v/>
      </c>
      <c r="I2139" s="71" t="str">
        <f>+IF('Data Pura Costos'!I2139="","",'Data Pura Costos'!I2139)</f>
        <v/>
      </c>
      <c r="J2139" s="52" t="str">
        <f>+IF('Data Pura Costos'!J2139="","",'Data Pura Costos'!J2139)</f>
        <v/>
      </c>
      <c r="K2139" s="82" t="str">
        <f t="shared" si="38"/>
        <v/>
      </c>
    </row>
    <row r="2140" spans="2:11" x14ac:dyDescent="0.35">
      <c r="B2140" s="4" t="str">
        <f>+IF('Data Pura Costos'!B2140="","",'Data Pura Costos'!B2140)</f>
        <v/>
      </c>
      <c r="C2140" s="4" t="str">
        <f>+IF('Data Pura Costos'!C2140="","",'Data Pura Costos'!C2140)</f>
        <v/>
      </c>
      <c r="D2140" s="5" t="str">
        <f>+IF('Data Pura Costos'!D2140="","",'Data Pura Costos'!D2140)</f>
        <v/>
      </c>
      <c r="E2140" s="65" t="str">
        <f>+IF('Data Pura Costos'!E2140="","",IF('Data Pura Costos'!E2140=0,MAX('Data Pura Costos'!$E$7:$E$3000)*1000,'Data Pura Costos'!E2140))</f>
        <v/>
      </c>
      <c r="F2140" s="5" t="str">
        <f>+IF('Data Pura Costos'!F2140="","",'Data Pura Costos'!F2140)</f>
        <v/>
      </c>
      <c r="G2140" s="5" t="str">
        <f>+IF('Data Pura Costos'!G2140="","",'Data Pura Costos'!G2140)</f>
        <v/>
      </c>
      <c r="H2140" s="52" t="str">
        <f>+IF('Data Pura Costos'!H2140="","",'Data Pura Costos'!H2140)</f>
        <v/>
      </c>
      <c r="I2140" s="71" t="str">
        <f>+IF('Data Pura Costos'!I2140="","",'Data Pura Costos'!I2140)</f>
        <v/>
      </c>
      <c r="J2140" s="52" t="str">
        <f>+IF('Data Pura Costos'!J2140="","",'Data Pura Costos'!J2140)</f>
        <v/>
      </c>
      <c r="K2140" s="82" t="str">
        <f t="shared" si="38"/>
        <v/>
      </c>
    </row>
    <row r="2141" spans="2:11" x14ac:dyDescent="0.35">
      <c r="B2141" s="4" t="str">
        <f>+IF('Data Pura Costos'!B2141="","",'Data Pura Costos'!B2141)</f>
        <v/>
      </c>
      <c r="C2141" s="4" t="str">
        <f>+IF('Data Pura Costos'!C2141="","",'Data Pura Costos'!C2141)</f>
        <v/>
      </c>
      <c r="D2141" s="5" t="str">
        <f>+IF('Data Pura Costos'!D2141="","",'Data Pura Costos'!D2141)</f>
        <v/>
      </c>
      <c r="E2141" s="65" t="str">
        <f>+IF('Data Pura Costos'!E2141="","",IF('Data Pura Costos'!E2141=0,MAX('Data Pura Costos'!$E$7:$E$3000)*1000,'Data Pura Costos'!E2141))</f>
        <v/>
      </c>
      <c r="F2141" s="5" t="str">
        <f>+IF('Data Pura Costos'!F2141="","",'Data Pura Costos'!F2141)</f>
        <v/>
      </c>
      <c r="G2141" s="5" t="str">
        <f>+IF('Data Pura Costos'!G2141="","",'Data Pura Costos'!G2141)</f>
        <v/>
      </c>
      <c r="H2141" s="52" t="str">
        <f>+IF('Data Pura Costos'!H2141="","",'Data Pura Costos'!H2141)</f>
        <v/>
      </c>
      <c r="I2141" s="71" t="str">
        <f>+IF('Data Pura Costos'!I2141="","",'Data Pura Costos'!I2141)</f>
        <v/>
      </c>
      <c r="J2141" s="52" t="str">
        <f>+IF('Data Pura Costos'!J2141="","",'Data Pura Costos'!J2141)</f>
        <v/>
      </c>
      <c r="K2141" s="82" t="str">
        <f t="shared" si="38"/>
        <v/>
      </c>
    </row>
    <row r="2142" spans="2:11" x14ac:dyDescent="0.35">
      <c r="B2142" s="4" t="str">
        <f>+IF('Data Pura Costos'!B2142="","",'Data Pura Costos'!B2142)</f>
        <v/>
      </c>
      <c r="C2142" s="4" t="str">
        <f>+IF('Data Pura Costos'!C2142="","",'Data Pura Costos'!C2142)</f>
        <v/>
      </c>
      <c r="D2142" s="5" t="str">
        <f>+IF('Data Pura Costos'!D2142="","",'Data Pura Costos'!D2142)</f>
        <v/>
      </c>
      <c r="E2142" s="65" t="str">
        <f>+IF('Data Pura Costos'!E2142="","",IF('Data Pura Costos'!E2142=0,MAX('Data Pura Costos'!$E$7:$E$3000)*1000,'Data Pura Costos'!E2142))</f>
        <v/>
      </c>
      <c r="F2142" s="5" t="str">
        <f>+IF('Data Pura Costos'!F2142="","",'Data Pura Costos'!F2142)</f>
        <v/>
      </c>
      <c r="G2142" s="5" t="str">
        <f>+IF('Data Pura Costos'!G2142="","",'Data Pura Costos'!G2142)</f>
        <v/>
      </c>
      <c r="H2142" s="52" t="str">
        <f>+IF('Data Pura Costos'!H2142="","",'Data Pura Costos'!H2142)</f>
        <v/>
      </c>
      <c r="I2142" s="71" t="str">
        <f>+IF('Data Pura Costos'!I2142="","",'Data Pura Costos'!I2142)</f>
        <v/>
      </c>
      <c r="J2142" s="52" t="str">
        <f>+IF('Data Pura Costos'!J2142="","",'Data Pura Costos'!J2142)</f>
        <v/>
      </c>
      <c r="K2142" s="82" t="str">
        <f t="shared" si="38"/>
        <v/>
      </c>
    </row>
    <row r="2143" spans="2:11" x14ac:dyDescent="0.35">
      <c r="B2143" s="4" t="str">
        <f>+IF('Data Pura Costos'!B2143="","",'Data Pura Costos'!B2143)</f>
        <v/>
      </c>
      <c r="C2143" s="4" t="str">
        <f>+IF('Data Pura Costos'!C2143="","",'Data Pura Costos'!C2143)</f>
        <v/>
      </c>
      <c r="D2143" s="5" t="str">
        <f>+IF('Data Pura Costos'!D2143="","",'Data Pura Costos'!D2143)</f>
        <v/>
      </c>
      <c r="E2143" s="65" t="str">
        <f>+IF('Data Pura Costos'!E2143="","",IF('Data Pura Costos'!E2143=0,MAX('Data Pura Costos'!$E$7:$E$3000)*1000,'Data Pura Costos'!E2143))</f>
        <v/>
      </c>
      <c r="F2143" s="5" t="str">
        <f>+IF('Data Pura Costos'!F2143="","",'Data Pura Costos'!F2143)</f>
        <v/>
      </c>
      <c r="G2143" s="5" t="str">
        <f>+IF('Data Pura Costos'!G2143="","",'Data Pura Costos'!G2143)</f>
        <v/>
      </c>
      <c r="H2143" s="52" t="str">
        <f>+IF('Data Pura Costos'!H2143="","",'Data Pura Costos'!H2143)</f>
        <v/>
      </c>
      <c r="I2143" s="71" t="str">
        <f>+IF('Data Pura Costos'!I2143="","",'Data Pura Costos'!I2143)</f>
        <v/>
      </c>
      <c r="J2143" s="52" t="str">
        <f>+IF('Data Pura Costos'!J2143="","",'Data Pura Costos'!J2143)</f>
        <v/>
      </c>
      <c r="K2143" s="82" t="str">
        <f t="shared" si="38"/>
        <v/>
      </c>
    </row>
    <row r="2144" spans="2:11" x14ac:dyDescent="0.35">
      <c r="B2144" s="4" t="str">
        <f>+IF('Data Pura Costos'!B2144="","",'Data Pura Costos'!B2144)</f>
        <v/>
      </c>
      <c r="C2144" s="4" t="str">
        <f>+IF('Data Pura Costos'!C2144="","",'Data Pura Costos'!C2144)</f>
        <v/>
      </c>
      <c r="D2144" s="5" t="str">
        <f>+IF('Data Pura Costos'!D2144="","",'Data Pura Costos'!D2144)</f>
        <v/>
      </c>
      <c r="E2144" s="65" t="str">
        <f>+IF('Data Pura Costos'!E2144="","",IF('Data Pura Costos'!E2144=0,MAX('Data Pura Costos'!$E$7:$E$3000)*1000,'Data Pura Costos'!E2144))</f>
        <v/>
      </c>
      <c r="F2144" s="5" t="str">
        <f>+IF('Data Pura Costos'!F2144="","",'Data Pura Costos'!F2144)</f>
        <v/>
      </c>
      <c r="G2144" s="5" t="str">
        <f>+IF('Data Pura Costos'!G2144="","",'Data Pura Costos'!G2144)</f>
        <v/>
      </c>
      <c r="H2144" s="52" t="str">
        <f>+IF('Data Pura Costos'!H2144="","",'Data Pura Costos'!H2144)</f>
        <v/>
      </c>
      <c r="I2144" s="71" t="str">
        <f>+IF('Data Pura Costos'!I2144="","",'Data Pura Costos'!I2144)</f>
        <v/>
      </c>
      <c r="J2144" s="52" t="str">
        <f>+IF('Data Pura Costos'!J2144="","",'Data Pura Costos'!J2144)</f>
        <v/>
      </c>
      <c r="K2144" s="82" t="str">
        <f t="shared" si="38"/>
        <v/>
      </c>
    </row>
    <row r="2145" spans="2:11" x14ac:dyDescent="0.35">
      <c r="B2145" s="4" t="str">
        <f>+IF('Data Pura Costos'!B2145="","",'Data Pura Costos'!B2145)</f>
        <v/>
      </c>
      <c r="C2145" s="4" t="str">
        <f>+IF('Data Pura Costos'!C2145="","",'Data Pura Costos'!C2145)</f>
        <v/>
      </c>
      <c r="D2145" s="5" t="str">
        <f>+IF('Data Pura Costos'!D2145="","",'Data Pura Costos'!D2145)</f>
        <v/>
      </c>
      <c r="E2145" s="65" t="str">
        <f>+IF('Data Pura Costos'!E2145="","",IF('Data Pura Costos'!E2145=0,MAX('Data Pura Costos'!$E$7:$E$3000)*1000,'Data Pura Costos'!E2145))</f>
        <v/>
      </c>
      <c r="F2145" s="5" t="str">
        <f>+IF('Data Pura Costos'!F2145="","",'Data Pura Costos'!F2145)</f>
        <v/>
      </c>
      <c r="G2145" s="5" t="str">
        <f>+IF('Data Pura Costos'!G2145="","",'Data Pura Costos'!G2145)</f>
        <v/>
      </c>
      <c r="H2145" s="52" t="str">
        <f>+IF('Data Pura Costos'!H2145="","",'Data Pura Costos'!H2145)</f>
        <v/>
      </c>
      <c r="I2145" s="71" t="str">
        <f>+IF('Data Pura Costos'!I2145="","",'Data Pura Costos'!I2145)</f>
        <v/>
      </c>
      <c r="J2145" s="52" t="str">
        <f>+IF('Data Pura Costos'!J2145="","",'Data Pura Costos'!J2145)</f>
        <v/>
      </c>
      <c r="K2145" s="82" t="str">
        <f t="shared" si="38"/>
        <v/>
      </c>
    </row>
    <row r="2146" spans="2:11" x14ac:dyDescent="0.35">
      <c r="B2146" s="4" t="str">
        <f>+IF('Data Pura Costos'!B2146="","",'Data Pura Costos'!B2146)</f>
        <v/>
      </c>
      <c r="C2146" s="4" t="str">
        <f>+IF('Data Pura Costos'!C2146="","",'Data Pura Costos'!C2146)</f>
        <v/>
      </c>
      <c r="D2146" s="5" t="str">
        <f>+IF('Data Pura Costos'!D2146="","",'Data Pura Costos'!D2146)</f>
        <v/>
      </c>
      <c r="E2146" s="65" t="str">
        <f>+IF('Data Pura Costos'!E2146="","",IF('Data Pura Costos'!E2146=0,MAX('Data Pura Costos'!$E$7:$E$3000)*1000,'Data Pura Costos'!E2146))</f>
        <v/>
      </c>
      <c r="F2146" s="5" t="str">
        <f>+IF('Data Pura Costos'!F2146="","",'Data Pura Costos'!F2146)</f>
        <v/>
      </c>
      <c r="G2146" s="5" t="str">
        <f>+IF('Data Pura Costos'!G2146="","",'Data Pura Costos'!G2146)</f>
        <v/>
      </c>
      <c r="H2146" s="52" t="str">
        <f>+IF('Data Pura Costos'!H2146="","",'Data Pura Costos'!H2146)</f>
        <v/>
      </c>
      <c r="I2146" s="71" t="str">
        <f>+IF('Data Pura Costos'!I2146="","",'Data Pura Costos'!I2146)</f>
        <v/>
      </c>
      <c r="J2146" s="52" t="str">
        <f>+IF('Data Pura Costos'!J2146="","",'Data Pura Costos'!J2146)</f>
        <v/>
      </c>
      <c r="K2146" s="82" t="str">
        <f t="shared" si="38"/>
        <v/>
      </c>
    </row>
    <row r="2147" spans="2:11" x14ac:dyDescent="0.35">
      <c r="B2147" s="4" t="str">
        <f>+IF('Data Pura Costos'!B2147="","",'Data Pura Costos'!B2147)</f>
        <v/>
      </c>
      <c r="C2147" s="4" t="str">
        <f>+IF('Data Pura Costos'!C2147="","",'Data Pura Costos'!C2147)</f>
        <v/>
      </c>
      <c r="D2147" s="5" t="str">
        <f>+IF('Data Pura Costos'!D2147="","",'Data Pura Costos'!D2147)</f>
        <v/>
      </c>
      <c r="E2147" s="65" t="str">
        <f>+IF('Data Pura Costos'!E2147="","",IF('Data Pura Costos'!E2147=0,MAX('Data Pura Costos'!$E$7:$E$3000)*1000,'Data Pura Costos'!E2147))</f>
        <v/>
      </c>
      <c r="F2147" s="5" t="str">
        <f>+IF('Data Pura Costos'!F2147="","",'Data Pura Costos'!F2147)</f>
        <v/>
      </c>
      <c r="G2147" s="5" t="str">
        <f>+IF('Data Pura Costos'!G2147="","",'Data Pura Costos'!G2147)</f>
        <v/>
      </c>
      <c r="H2147" s="52" t="str">
        <f>+IF('Data Pura Costos'!H2147="","",'Data Pura Costos'!H2147)</f>
        <v/>
      </c>
      <c r="I2147" s="71" t="str">
        <f>+IF('Data Pura Costos'!I2147="","",'Data Pura Costos'!I2147)</f>
        <v/>
      </c>
      <c r="J2147" s="52" t="str">
        <f>+IF('Data Pura Costos'!J2147="","",'Data Pura Costos'!J2147)</f>
        <v/>
      </c>
      <c r="K2147" s="82" t="str">
        <f t="shared" si="38"/>
        <v/>
      </c>
    </row>
    <row r="2148" spans="2:11" x14ac:dyDescent="0.35">
      <c r="B2148" s="4" t="str">
        <f>+IF('Data Pura Costos'!B2148="","",'Data Pura Costos'!B2148)</f>
        <v/>
      </c>
      <c r="C2148" s="4" t="str">
        <f>+IF('Data Pura Costos'!C2148="","",'Data Pura Costos'!C2148)</f>
        <v/>
      </c>
      <c r="D2148" s="5" t="str">
        <f>+IF('Data Pura Costos'!D2148="","",'Data Pura Costos'!D2148)</f>
        <v/>
      </c>
      <c r="E2148" s="65" t="str">
        <f>+IF('Data Pura Costos'!E2148="","",IF('Data Pura Costos'!E2148=0,MAX('Data Pura Costos'!$E$7:$E$3000)*1000,'Data Pura Costos'!E2148))</f>
        <v/>
      </c>
      <c r="F2148" s="5" t="str">
        <f>+IF('Data Pura Costos'!F2148="","",'Data Pura Costos'!F2148)</f>
        <v/>
      </c>
      <c r="G2148" s="5" t="str">
        <f>+IF('Data Pura Costos'!G2148="","",'Data Pura Costos'!G2148)</f>
        <v/>
      </c>
      <c r="H2148" s="52" t="str">
        <f>+IF('Data Pura Costos'!H2148="","",'Data Pura Costos'!H2148)</f>
        <v/>
      </c>
      <c r="I2148" s="71" t="str">
        <f>+IF('Data Pura Costos'!I2148="","",'Data Pura Costos'!I2148)</f>
        <v/>
      </c>
      <c r="J2148" s="52" t="str">
        <f>+IF('Data Pura Costos'!J2148="","",'Data Pura Costos'!J2148)</f>
        <v/>
      </c>
      <c r="K2148" s="82" t="str">
        <f t="shared" si="38"/>
        <v/>
      </c>
    </row>
    <row r="2149" spans="2:11" x14ac:dyDescent="0.35">
      <c r="B2149" s="4" t="str">
        <f>+IF('Data Pura Costos'!B2149="","",'Data Pura Costos'!B2149)</f>
        <v/>
      </c>
      <c r="C2149" s="4" t="str">
        <f>+IF('Data Pura Costos'!C2149="","",'Data Pura Costos'!C2149)</f>
        <v/>
      </c>
      <c r="D2149" s="5" t="str">
        <f>+IF('Data Pura Costos'!D2149="","",'Data Pura Costos'!D2149)</f>
        <v/>
      </c>
      <c r="E2149" s="65" t="str">
        <f>+IF('Data Pura Costos'!E2149="","",IF('Data Pura Costos'!E2149=0,MAX('Data Pura Costos'!$E$7:$E$3000)*1000,'Data Pura Costos'!E2149))</f>
        <v/>
      </c>
      <c r="F2149" s="5" t="str">
        <f>+IF('Data Pura Costos'!F2149="","",'Data Pura Costos'!F2149)</f>
        <v/>
      </c>
      <c r="G2149" s="5" t="str">
        <f>+IF('Data Pura Costos'!G2149="","",'Data Pura Costos'!G2149)</f>
        <v/>
      </c>
      <c r="H2149" s="52" t="str">
        <f>+IF('Data Pura Costos'!H2149="","",'Data Pura Costos'!H2149)</f>
        <v/>
      </c>
      <c r="I2149" s="71" t="str">
        <f>+IF('Data Pura Costos'!I2149="","",'Data Pura Costos'!I2149)</f>
        <v/>
      </c>
      <c r="J2149" s="52" t="str">
        <f>+IF('Data Pura Costos'!J2149="","",'Data Pura Costos'!J2149)</f>
        <v/>
      </c>
      <c r="K2149" s="82" t="str">
        <f t="shared" si="38"/>
        <v/>
      </c>
    </row>
    <row r="2150" spans="2:11" x14ac:dyDescent="0.35">
      <c r="B2150" s="4" t="str">
        <f>+IF('Data Pura Costos'!B2150="","",'Data Pura Costos'!B2150)</f>
        <v/>
      </c>
      <c r="C2150" s="4" t="str">
        <f>+IF('Data Pura Costos'!C2150="","",'Data Pura Costos'!C2150)</f>
        <v/>
      </c>
      <c r="D2150" s="5" t="str">
        <f>+IF('Data Pura Costos'!D2150="","",'Data Pura Costos'!D2150)</f>
        <v/>
      </c>
      <c r="E2150" s="65" t="str">
        <f>+IF('Data Pura Costos'!E2150="","",IF('Data Pura Costos'!E2150=0,MAX('Data Pura Costos'!$E$7:$E$3000)*1000,'Data Pura Costos'!E2150))</f>
        <v/>
      </c>
      <c r="F2150" s="5" t="str">
        <f>+IF('Data Pura Costos'!F2150="","",'Data Pura Costos'!F2150)</f>
        <v/>
      </c>
      <c r="G2150" s="5" t="str">
        <f>+IF('Data Pura Costos'!G2150="","",'Data Pura Costos'!G2150)</f>
        <v/>
      </c>
      <c r="H2150" s="52" t="str">
        <f>+IF('Data Pura Costos'!H2150="","",'Data Pura Costos'!H2150)</f>
        <v/>
      </c>
      <c r="I2150" s="71" t="str">
        <f>+IF('Data Pura Costos'!I2150="","",'Data Pura Costos'!I2150)</f>
        <v/>
      </c>
      <c r="J2150" s="52" t="str">
        <f>+IF('Data Pura Costos'!J2150="","",'Data Pura Costos'!J2150)</f>
        <v/>
      </c>
      <c r="K2150" s="82" t="str">
        <f t="shared" si="38"/>
        <v/>
      </c>
    </row>
    <row r="2151" spans="2:11" x14ac:dyDescent="0.35">
      <c r="B2151" s="4" t="str">
        <f>+IF('Data Pura Costos'!B2151="","",'Data Pura Costos'!B2151)</f>
        <v/>
      </c>
      <c r="C2151" s="4" t="str">
        <f>+IF('Data Pura Costos'!C2151="","",'Data Pura Costos'!C2151)</f>
        <v/>
      </c>
      <c r="D2151" s="5" t="str">
        <f>+IF('Data Pura Costos'!D2151="","",'Data Pura Costos'!D2151)</f>
        <v/>
      </c>
      <c r="E2151" s="65" t="str">
        <f>+IF('Data Pura Costos'!E2151="","",IF('Data Pura Costos'!E2151=0,MAX('Data Pura Costos'!$E$7:$E$3000)*1000,'Data Pura Costos'!E2151))</f>
        <v/>
      </c>
      <c r="F2151" s="5" t="str">
        <f>+IF('Data Pura Costos'!F2151="","",'Data Pura Costos'!F2151)</f>
        <v/>
      </c>
      <c r="G2151" s="5" t="str">
        <f>+IF('Data Pura Costos'!G2151="","",'Data Pura Costos'!G2151)</f>
        <v/>
      </c>
      <c r="H2151" s="52" t="str">
        <f>+IF('Data Pura Costos'!H2151="","",'Data Pura Costos'!H2151)</f>
        <v/>
      </c>
      <c r="I2151" s="71" t="str">
        <f>+IF('Data Pura Costos'!I2151="","",'Data Pura Costos'!I2151)</f>
        <v/>
      </c>
      <c r="J2151" s="52" t="str">
        <f>+IF('Data Pura Costos'!J2151="","",'Data Pura Costos'!J2151)</f>
        <v/>
      </c>
      <c r="K2151" s="82" t="str">
        <f t="shared" si="38"/>
        <v/>
      </c>
    </row>
    <row r="2152" spans="2:11" x14ac:dyDescent="0.35">
      <c r="B2152" s="4" t="str">
        <f>+IF('Data Pura Costos'!B2152="","",'Data Pura Costos'!B2152)</f>
        <v/>
      </c>
      <c r="C2152" s="4" t="str">
        <f>+IF('Data Pura Costos'!C2152="","",'Data Pura Costos'!C2152)</f>
        <v/>
      </c>
      <c r="D2152" s="5" t="str">
        <f>+IF('Data Pura Costos'!D2152="","",'Data Pura Costos'!D2152)</f>
        <v/>
      </c>
      <c r="E2152" s="65" t="str">
        <f>+IF('Data Pura Costos'!E2152="","",IF('Data Pura Costos'!E2152=0,MAX('Data Pura Costos'!$E$7:$E$3000)*1000,'Data Pura Costos'!E2152))</f>
        <v/>
      </c>
      <c r="F2152" s="5" t="str">
        <f>+IF('Data Pura Costos'!F2152="","",'Data Pura Costos'!F2152)</f>
        <v/>
      </c>
      <c r="G2152" s="5" t="str">
        <f>+IF('Data Pura Costos'!G2152="","",'Data Pura Costos'!G2152)</f>
        <v/>
      </c>
      <c r="H2152" s="52" t="str">
        <f>+IF('Data Pura Costos'!H2152="","",'Data Pura Costos'!H2152)</f>
        <v/>
      </c>
      <c r="I2152" s="71" t="str">
        <f>+IF('Data Pura Costos'!I2152="","",'Data Pura Costos'!I2152)</f>
        <v/>
      </c>
      <c r="J2152" s="52" t="str">
        <f>+IF('Data Pura Costos'!J2152="","",'Data Pura Costos'!J2152)</f>
        <v/>
      </c>
      <c r="K2152" s="82" t="str">
        <f t="shared" si="38"/>
        <v/>
      </c>
    </row>
    <row r="2153" spans="2:11" x14ac:dyDescent="0.35">
      <c r="B2153" s="4" t="str">
        <f>+IF('Data Pura Costos'!B2153="","",'Data Pura Costos'!B2153)</f>
        <v/>
      </c>
      <c r="C2153" s="4" t="str">
        <f>+IF('Data Pura Costos'!C2153="","",'Data Pura Costos'!C2153)</f>
        <v/>
      </c>
      <c r="D2153" s="5" t="str">
        <f>+IF('Data Pura Costos'!D2153="","",'Data Pura Costos'!D2153)</f>
        <v/>
      </c>
      <c r="E2153" s="65" t="str">
        <f>+IF('Data Pura Costos'!E2153="","",IF('Data Pura Costos'!E2153=0,MAX('Data Pura Costos'!$E$7:$E$3000)*1000,'Data Pura Costos'!E2153))</f>
        <v/>
      </c>
      <c r="F2153" s="5" t="str">
        <f>+IF('Data Pura Costos'!F2153="","",'Data Pura Costos'!F2153)</f>
        <v/>
      </c>
      <c r="G2153" s="5" t="str">
        <f>+IF('Data Pura Costos'!G2153="","",'Data Pura Costos'!G2153)</f>
        <v/>
      </c>
      <c r="H2153" s="52" t="str">
        <f>+IF('Data Pura Costos'!H2153="","",'Data Pura Costos'!H2153)</f>
        <v/>
      </c>
      <c r="I2153" s="71" t="str">
        <f>+IF('Data Pura Costos'!I2153="","",'Data Pura Costos'!I2153)</f>
        <v/>
      </c>
      <c r="J2153" s="52" t="str">
        <f>+IF('Data Pura Costos'!J2153="","",'Data Pura Costos'!J2153)</f>
        <v/>
      </c>
      <c r="K2153" s="82" t="str">
        <f t="shared" si="38"/>
        <v/>
      </c>
    </row>
    <row r="2154" spans="2:11" x14ac:dyDescent="0.35">
      <c r="B2154" s="4" t="str">
        <f>+IF('Data Pura Costos'!B2154="","",'Data Pura Costos'!B2154)</f>
        <v/>
      </c>
      <c r="C2154" s="4" t="str">
        <f>+IF('Data Pura Costos'!C2154="","",'Data Pura Costos'!C2154)</f>
        <v/>
      </c>
      <c r="D2154" s="5" t="str">
        <f>+IF('Data Pura Costos'!D2154="","",'Data Pura Costos'!D2154)</f>
        <v/>
      </c>
      <c r="E2154" s="65" t="str">
        <f>+IF('Data Pura Costos'!E2154="","",IF('Data Pura Costos'!E2154=0,MAX('Data Pura Costos'!$E$7:$E$3000)*1000,'Data Pura Costos'!E2154))</f>
        <v/>
      </c>
      <c r="F2154" s="5" t="str">
        <f>+IF('Data Pura Costos'!F2154="","",'Data Pura Costos'!F2154)</f>
        <v/>
      </c>
      <c r="G2154" s="5" t="str">
        <f>+IF('Data Pura Costos'!G2154="","",'Data Pura Costos'!G2154)</f>
        <v/>
      </c>
      <c r="H2154" s="52" t="str">
        <f>+IF('Data Pura Costos'!H2154="","",'Data Pura Costos'!H2154)</f>
        <v/>
      </c>
      <c r="I2154" s="71" t="str">
        <f>+IF('Data Pura Costos'!I2154="","",'Data Pura Costos'!I2154)</f>
        <v/>
      </c>
      <c r="J2154" s="52" t="str">
        <f>+IF('Data Pura Costos'!J2154="","",'Data Pura Costos'!J2154)</f>
        <v/>
      </c>
      <c r="K2154" s="82" t="str">
        <f t="shared" si="38"/>
        <v/>
      </c>
    </row>
    <row r="2155" spans="2:11" x14ac:dyDescent="0.35">
      <c r="B2155" s="4" t="str">
        <f>+IF('Data Pura Costos'!B2155="","",'Data Pura Costos'!B2155)</f>
        <v/>
      </c>
      <c r="C2155" s="4" t="str">
        <f>+IF('Data Pura Costos'!C2155="","",'Data Pura Costos'!C2155)</f>
        <v/>
      </c>
      <c r="D2155" s="5" t="str">
        <f>+IF('Data Pura Costos'!D2155="","",'Data Pura Costos'!D2155)</f>
        <v/>
      </c>
      <c r="E2155" s="65" t="str">
        <f>+IF('Data Pura Costos'!E2155="","",IF('Data Pura Costos'!E2155=0,MAX('Data Pura Costos'!$E$7:$E$3000)*1000,'Data Pura Costos'!E2155))</f>
        <v/>
      </c>
      <c r="F2155" s="5" t="str">
        <f>+IF('Data Pura Costos'!F2155="","",'Data Pura Costos'!F2155)</f>
        <v/>
      </c>
      <c r="G2155" s="5" t="str">
        <f>+IF('Data Pura Costos'!G2155="","",'Data Pura Costos'!G2155)</f>
        <v/>
      </c>
      <c r="H2155" s="52" t="str">
        <f>+IF('Data Pura Costos'!H2155="","",'Data Pura Costos'!H2155)</f>
        <v/>
      </c>
      <c r="I2155" s="71" t="str">
        <f>+IF('Data Pura Costos'!I2155="","",'Data Pura Costos'!I2155)</f>
        <v/>
      </c>
      <c r="J2155" s="52" t="str">
        <f>+IF('Data Pura Costos'!J2155="","",'Data Pura Costos'!J2155)</f>
        <v/>
      </c>
      <c r="K2155" s="82" t="str">
        <f t="shared" si="38"/>
        <v/>
      </c>
    </row>
    <row r="2156" spans="2:11" x14ac:dyDescent="0.35">
      <c r="B2156" s="4" t="str">
        <f>+IF('Data Pura Costos'!B2156="","",'Data Pura Costos'!B2156)</f>
        <v/>
      </c>
      <c r="C2156" s="4" t="str">
        <f>+IF('Data Pura Costos'!C2156="","",'Data Pura Costos'!C2156)</f>
        <v/>
      </c>
      <c r="D2156" s="5" t="str">
        <f>+IF('Data Pura Costos'!D2156="","",'Data Pura Costos'!D2156)</f>
        <v/>
      </c>
      <c r="E2156" s="65" t="str">
        <f>+IF('Data Pura Costos'!E2156="","",IF('Data Pura Costos'!E2156=0,MAX('Data Pura Costos'!$E$7:$E$3000)*1000,'Data Pura Costos'!E2156))</f>
        <v/>
      </c>
      <c r="F2156" s="5" t="str">
        <f>+IF('Data Pura Costos'!F2156="","",'Data Pura Costos'!F2156)</f>
        <v/>
      </c>
      <c r="G2156" s="5" t="str">
        <f>+IF('Data Pura Costos'!G2156="","",'Data Pura Costos'!G2156)</f>
        <v/>
      </c>
      <c r="H2156" s="52" t="str">
        <f>+IF('Data Pura Costos'!H2156="","",'Data Pura Costos'!H2156)</f>
        <v/>
      </c>
      <c r="I2156" s="71" t="str">
        <f>+IF('Data Pura Costos'!I2156="","",'Data Pura Costos'!I2156)</f>
        <v/>
      </c>
      <c r="J2156" s="52" t="str">
        <f>+IF('Data Pura Costos'!J2156="","",'Data Pura Costos'!J2156)</f>
        <v/>
      </c>
      <c r="K2156" s="82" t="str">
        <f t="shared" si="38"/>
        <v/>
      </c>
    </row>
    <row r="2157" spans="2:11" x14ac:dyDescent="0.35">
      <c r="B2157" s="4" t="str">
        <f>+IF('Data Pura Costos'!B2157="","",'Data Pura Costos'!B2157)</f>
        <v/>
      </c>
      <c r="C2157" s="4" t="str">
        <f>+IF('Data Pura Costos'!C2157="","",'Data Pura Costos'!C2157)</f>
        <v/>
      </c>
      <c r="D2157" s="5" t="str">
        <f>+IF('Data Pura Costos'!D2157="","",'Data Pura Costos'!D2157)</f>
        <v/>
      </c>
      <c r="E2157" s="65" t="str">
        <f>+IF('Data Pura Costos'!E2157="","",IF('Data Pura Costos'!E2157=0,MAX('Data Pura Costos'!$E$7:$E$3000)*1000,'Data Pura Costos'!E2157))</f>
        <v/>
      </c>
      <c r="F2157" s="5" t="str">
        <f>+IF('Data Pura Costos'!F2157="","",'Data Pura Costos'!F2157)</f>
        <v/>
      </c>
      <c r="G2157" s="5" t="str">
        <f>+IF('Data Pura Costos'!G2157="","",'Data Pura Costos'!G2157)</f>
        <v/>
      </c>
      <c r="H2157" s="52" t="str">
        <f>+IF('Data Pura Costos'!H2157="","",'Data Pura Costos'!H2157)</f>
        <v/>
      </c>
      <c r="I2157" s="71" t="str">
        <f>+IF('Data Pura Costos'!I2157="","",'Data Pura Costos'!I2157)</f>
        <v/>
      </c>
      <c r="J2157" s="52" t="str">
        <f>+IF('Data Pura Costos'!J2157="","",'Data Pura Costos'!J2157)</f>
        <v/>
      </c>
      <c r="K2157" s="82" t="str">
        <f t="shared" si="38"/>
        <v/>
      </c>
    </row>
    <row r="2158" spans="2:11" x14ac:dyDescent="0.35">
      <c r="B2158" s="4" t="str">
        <f>+IF('Data Pura Costos'!B2158="","",'Data Pura Costos'!B2158)</f>
        <v/>
      </c>
      <c r="C2158" s="4" t="str">
        <f>+IF('Data Pura Costos'!C2158="","",'Data Pura Costos'!C2158)</f>
        <v/>
      </c>
      <c r="D2158" s="5" t="str">
        <f>+IF('Data Pura Costos'!D2158="","",'Data Pura Costos'!D2158)</f>
        <v/>
      </c>
      <c r="E2158" s="65" t="str">
        <f>+IF('Data Pura Costos'!E2158="","",IF('Data Pura Costos'!E2158=0,MAX('Data Pura Costos'!$E$7:$E$3000)*1000,'Data Pura Costos'!E2158))</f>
        <v/>
      </c>
      <c r="F2158" s="5" t="str">
        <f>+IF('Data Pura Costos'!F2158="","",'Data Pura Costos'!F2158)</f>
        <v/>
      </c>
      <c r="G2158" s="5" t="str">
        <f>+IF('Data Pura Costos'!G2158="","",'Data Pura Costos'!G2158)</f>
        <v/>
      </c>
      <c r="H2158" s="52" t="str">
        <f>+IF('Data Pura Costos'!H2158="","",'Data Pura Costos'!H2158)</f>
        <v/>
      </c>
      <c r="I2158" s="71" t="str">
        <f>+IF('Data Pura Costos'!I2158="","",'Data Pura Costos'!I2158)</f>
        <v/>
      </c>
      <c r="J2158" s="52" t="str">
        <f>+IF('Data Pura Costos'!J2158="","",'Data Pura Costos'!J2158)</f>
        <v/>
      </c>
      <c r="K2158" s="82" t="str">
        <f t="shared" si="38"/>
        <v/>
      </c>
    </row>
    <row r="2159" spans="2:11" x14ac:dyDescent="0.35">
      <c r="B2159" s="4" t="str">
        <f>+IF('Data Pura Costos'!B2159="","",'Data Pura Costos'!B2159)</f>
        <v/>
      </c>
      <c r="C2159" s="4" t="str">
        <f>+IF('Data Pura Costos'!C2159="","",'Data Pura Costos'!C2159)</f>
        <v/>
      </c>
      <c r="D2159" s="5" t="str">
        <f>+IF('Data Pura Costos'!D2159="","",'Data Pura Costos'!D2159)</f>
        <v/>
      </c>
      <c r="E2159" s="65" t="str">
        <f>+IF('Data Pura Costos'!E2159="","",IF('Data Pura Costos'!E2159=0,MAX('Data Pura Costos'!$E$7:$E$3000)*1000,'Data Pura Costos'!E2159))</f>
        <v/>
      </c>
      <c r="F2159" s="5" t="str">
        <f>+IF('Data Pura Costos'!F2159="","",'Data Pura Costos'!F2159)</f>
        <v/>
      </c>
      <c r="G2159" s="5" t="str">
        <f>+IF('Data Pura Costos'!G2159="","",'Data Pura Costos'!G2159)</f>
        <v/>
      </c>
      <c r="H2159" s="52" t="str">
        <f>+IF('Data Pura Costos'!H2159="","",'Data Pura Costos'!H2159)</f>
        <v/>
      </c>
      <c r="I2159" s="71" t="str">
        <f>+IF('Data Pura Costos'!I2159="","",'Data Pura Costos'!I2159)</f>
        <v/>
      </c>
      <c r="J2159" s="52" t="str">
        <f>+IF('Data Pura Costos'!J2159="","",'Data Pura Costos'!J2159)</f>
        <v/>
      </c>
      <c r="K2159" s="82" t="str">
        <f t="shared" si="38"/>
        <v/>
      </c>
    </row>
    <row r="2160" spans="2:11" x14ac:dyDescent="0.35">
      <c r="B2160" s="4" t="str">
        <f>+IF('Data Pura Costos'!B2160="","",'Data Pura Costos'!B2160)</f>
        <v/>
      </c>
      <c r="C2160" s="4" t="str">
        <f>+IF('Data Pura Costos'!C2160="","",'Data Pura Costos'!C2160)</f>
        <v/>
      </c>
      <c r="D2160" s="5" t="str">
        <f>+IF('Data Pura Costos'!D2160="","",'Data Pura Costos'!D2160)</f>
        <v/>
      </c>
      <c r="E2160" s="65" t="str">
        <f>+IF('Data Pura Costos'!E2160="","",IF('Data Pura Costos'!E2160=0,MAX('Data Pura Costos'!$E$7:$E$3000)*1000,'Data Pura Costos'!E2160))</f>
        <v/>
      </c>
      <c r="F2160" s="5" t="str">
        <f>+IF('Data Pura Costos'!F2160="","",'Data Pura Costos'!F2160)</f>
        <v/>
      </c>
      <c r="G2160" s="5" t="str">
        <f>+IF('Data Pura Costos'!G2160="","",'Data Pura Costos'!G2160)</f>
        <v/>
      </c>
      <c r="H2160" s="52" t="str">
        <f>+IF('Data Pura Costos'!H2160="","",'Data Pura Costos'!H2160)</f>
        <v/>
      </c>
      <c r="I2160" s="71" t="str">
        <f>+IF('Data Pura Costos'!I2160="","",'Data Pura Costos'!I2160)</f>
        <v/>
      </c>
      <c r="J2160" s="52" t="str">
        <f>+IF('Data Pura Costos'!J2160="","",'Data Pura Costos'!J2160)</f>
        <v/>
      </c>
      <c r="K2160" s="82" t="str">
        <f t="shared" si="38"/>
        <v/>
      </c>
    </row>
    <row r="2161" spans="2:11" x14ac:dyDescent="0.35">
      <c r="B2161" s="4" t="str">
        <f>+IF('Data Pura Costos'!B2161="","",'Data Pura Costos'!B2161)</f>
        <v/>
      </c>
      <c r="C2161" s="4" t="str">
        <f>+IF('Data Pura Costos'!C2161="","",'Data Pura Costos'!C2161)</f>
        <v/>
      </c>
      <c r="D2161" s="5" t="str">
        <f>+IF('Data Pura Costos'!D2161="","",'Data Pura Costos'!D2161)</f>
        <v/>
      </c>
      <c r="E2161" s="65" t="str">
        <f>+IF('Data Pura Costos'!E2161="","",IF('Data Pura Costos'!E2161=0,MAX('Data Pura Costos'!$E$7:$E$3000)*1000,'Data Pura Costos'!E2161))</f>
        <v/>
      </c>
      <c r="F2161" s="5" t="str">
        <f>+IF('Data Pura Costos'!F2161="","",'Data Pura Costos'!F2161)</f>
        <v/>
      </c>
      <c r="G2161" s="5" t="str">
        <f>+IF('Data Pura Costos'!G2161="","",'Data Pura Costos'!G2161)</f>
        <v/>
      </c>
      <c r="H2161" s="52" t="str">
        <f>+IF('Data Pura Costos'!H2161="","",'Data Pura Costos'!H2161)</f>
        <v/>
      </c>
      <c r="I2161" s="71" t="str">
        <f>+IF('Data Pura Costos'!I2161="","",'Data Pura Costos'!I2161)</f>
        <v/>
      </c>
      <c r="J2161" s="52" t="str">
        <f>+IF('Data Pura Costos'!J2161="","",'Data Pura Costos'!J2161)</f>
        <v/>
      </c>
      <c r="K2161" s="82" t="str">
        <f t="shared" si="38"/>
        <v/>
      </c>
    </row>
    <row r="2162" spans="2:11" x14ac:dyDescent="0.35">
      <c r="B2162" s="4" t="str">
        <f>+IF('Data Pura Costos'!B2162="","",'Data Pura Costos'!B2162)</f>
        <v/>
      </c>
      <c r="C2162" s="4" t="str">
        <f>+IF('Data Pura Costos'!C2162="","",'Data Pura Costos'!C2162)</f>
        <v/>
      </c>
      <c r="D2162" s="5" t="str">
        <f>+IF('Data Pura Costos'!D2162="","",'Data Pura Costos'!D2162)</f>
        <v/>
      </c>
      <c r="E2162" s="65" t="str">
        <f>+IF('Data Pura Costos'!E2162="","",IF('Data Pura Costos'!E2162=0,MAX('Data Pura Costos'!$E$7:$E$3000)*1000,'Data Pura Costos'!E2162))</f>
        <v/>
      </c>
      <c r="F2162" s="5" t="str">
        <f>+IF('Data Pura Costos'!F2162="","",'Data Pura Costos'!F2162)</f>
        <v/>
      </c>
      <c r="G2162" s="5" t="str">
        <f>+IF('Data Pura Costos'!G2162="","",'Data Pura Costos'!G2162)</f>
        <v/>
      </c>
      <c r="H2162" s="52" t="str">
        <f>+IF('Data Pura Costos'!H2162="","",'Data Pura Costos'!H2162)</f>
        <v/>
      </c>
      <c r="I2162" s="71" t="str">
        <f>+IF('Data Pura Costos'!I2162="","",'Data Pura Costos'!I2162)</f>
        <v/>
      </c>
      <c r="J2162" s="52" t="str">
        <f>+IF('Data Pura Costos'!J2162="","",'Data Pura Costos'!J2162)</f>
        <v/>
      </c>
      <c r="K2162" s="82" t="str">
        <f t="shared" si="38"/>
        <v/>
      </c>
    </row>
    <row r="2163" spans="2:11" x14ac:dyDescent="0.35">
      <c r="B2163" s="4" t="str">
        <f>+IF('Data Pura Costos'!B2163="","",'Data Pura Costos'!B2163)</f>
        <v/>
      </c>
      <c r="C2163" s="4" t="str">
        <f>+IF('Data Pura Costos'!C2163="","",'Data Pura Costos'!C2163)</f>
        <v/>
      </c>
      <c r="D2163" s="5" t="str">
        <f>+IF('Data Pura Costos'!D2163="","",'Data Pura Costos'!D2163)</f>
        <v/>
      </c>
      <c r="E2163" s="65" t="str">
        <f>+IF('Data Pura Costos'!E2163="","",IF('Data Pura Costos'!E2163=0,MAX('Data Pura Costos'!$E$7:$E$3000)*1000,'Data Pura Costos'!E2163))</f>
        <v/>
      </c>
      <c r="F2163" s="5" t="str">
        <f>+IF('Data Pura Costos'!F2163="","",'Data Pura Costos'!F2163)</f>
        <v/>
      </c>
      <c r="G2163" s="5" t="str">
        <f>+IF('Data Pura Costos'!G2163="","",'Data Pura Costos'!G2163)</f>
        <v/>
      </c>
      <c r="H2163" s="52" t="str">
        <f>+IF('Data Pura Costos'!H2163="","",'Data Pura Costos'!H2163)</f>
        <v/>
      </c>
      <c r="I2163" s="71" t="str">
        <f>+IF('Data Pura Costos'!I2163="","",'Data Pura Costos'!I2163)</f>
        <v/>
      </c>
      <c r="J2163" s="52" t="str">
        <f>+IF('Data Pura Costos'!J2163="","",'Data Pura Costos'!J2163)</f>
        <v/>
      </c>
      <c r="K2163" s="82" t="str">
        <f t="shared" si="38"/>
        <v/>
      </c>
    </row>
    <row r="2164" spans="2:11" x14ac:dyDescent="0.35">
      <c r="B2164" s="4" t="str">
        <f>+IF('Data Pura Costos'!B2164="","",'Data Pura Costos'!B2164)</f>
        <v/>
      </c>
      <c r="C2164" s="4" t="str">
        <f>+IF('Data Pura Costos'!C2164="","",'Data Pura Costos'!C2164)</f>
        <v/>
      </c>
      <c r="D2164" s="5" t="str">
        <f>+IF('Data Pura Costos'!D2164="","",'Data Pura Costos'!D2164)</f>
        <v/>
      </c>
      <c r="E2164" s="65" t="str">
        <f>+IF('Data Pura Costos'!E2164="","",IF('Data Pura Costos'!E2164=0,MAX('Data Pura Costos'!$E$7:$E$3000)*1000,'Data Pura Costos'!E2164))</f>
        <v/>
      </c>
      <c r="F2164" s="5" t="str">
        <f>+IF('Data Pura Costos'!F2164="","",'Data Pura Costos'!F2164)</f>
        <v/>
      </c>
      <c r="G2164" s="5" t="str">
        <f>+IF('Data Pura Costos'!G2164="","",'Data Pura Costos'!G2164)</f>
        <v/>
      </c>
      <c r="H2164" s="52" t="str">
        <f>+IF('Data Pura Costos'!H2164="","",'Data Pura Costos'!H2164)</f>
        <v/>
      </c>
      <c r="I2164" s="71" t="str">
        <f>+IF('Data Pura Costos'!I2164="","",'Data Pura Costos'!I2164)</f>
        <v/>
      </c>
      <c r="J2164" s="52" t="str">
        <f>+IF('Data Pura Costos'!J2164="","",'Data Pura Costos'!J2164)</f>
        <v/>
      </c>
      <c r="K2164" s="82" t="str">
        <f t="shared" si="38"/>
        <v/>
      </c>
    </row>
    <row r="2165" spans="2:11" x14ac:dyDescent="0.35">
      <c r="B2165" s="4" t="str">
        <f>+IF('Data Pura Costos'!B2165="","",'Data Pura Costos'!B2165)</f>
        <v/>
      </c>
      <c r="C2165" s="4" t="str">
        <f>+IF('Data Pura Costos'!C2165="","",'Data Pura Costos'!C2165)</f>
        <v/>
      </c>
      <c r="D2165" s="5" t="str">
        <f>+IF('Data Pura Costos'!D2165="","",'Data Pura Costos'!D2165)</f>
        <v/>
      </c>
      <c r="E2165" s="65" t="str">
        <f>+IF('Data Pura Costos'!E2165="","",IF('Data Pura Costos'!E2165=0,MAX('Data Pura Costos'!$E$7:$E$3000)*1000,'Data Pura Costos'!E2165))</f>
        <v/>
      </c>
      <c r="F2165" s="5" t="str">
        <f>+IF('Data Pura Costos'!F2165="","",'Data Pura Costos'!F2165)</f>
        <v/>
      </c>
      <c r="G2165" s="5" t="str">
        <f>+IF('Data Pura Costos'!G2165="","",'Data Pura Costos'!G2165)</f>
        <v/>
      </c>
      <c r="H2165" s="52" t="str">
        <f>+IF('Data Pura Costos'!H2165="","",'Data Pura Costos'!H2165)</f>
        <v/>
      </c>
      <c r="I2165" s="71" t="str">
        <f>+IF('Data Pura Costos'!I2165="","",'Data Pura Costos'!I2165)</f>
        <v/>
      </c>
      <c r="J2165" s="52" t="str">
        <f>+IF('Data Pura Costos'!J2165="","",'Data Pura Costos'!J2165)</f>
        <v/>
      </c>
      <c r="K2165" s="82" t="str">
        <f t="shared" si="38"/>
        <v/>
      </c>
    </row>
    <row r="2166" spans="2:11" x14ac:dyDescent="0.35">
      <c r="B2166" s="4" t="str">
        <f>+IF('Data Pura Costos'!B2166="","",'Data Pura Costos'!B2166)</f>
        <v/>
      </c>
      <c r="C2166" s="4" t="str">
        <f>+IF('Data Pura Costos'!C2166="","",'Data Pura Costos'!C2166)</f>
        <v/>
      </c>
      <c r="D2166" s="5" t="str">
        <f>+IF('Data Pura Costos'!D2166="","",'Data Pura Costos'!D2166)</f>
        <v/>
      </c>
      <c r="E2166" s="65" t="str">
        <f>+IF('Data Pura Costos'!E2166="","",IF('Data Pura Costos'!E2166=0,MAX('Data Pura Costos'!$E$7:$E$3000)*1000,'Data Pura Costos'!E2166))</f>
        <v/>
      </c>
      <c r="F2166" s="5" t="str">
        <f>+IF('Data Pura Costos'!F2166="","",'Data Pura Costos'!F2166)</f>
        <v/>
      </c>
      <c r="G2166" s="5" t="str">
        <f>+IF('Data Pura Costos'!G2166="","",'Data Pura Costos'!G2166)</f>
        <v/>
      </c>
      <c r="H2166" s="52" t="str">
        <f>+IF('Data Pura Costos'!H2166="","",'Data Pura Costos'!H2166)</f>
        <v/>
      </c>
      <c r="I2166" s="71" t="str">
        <f>+IF('Data Pura Costos'!I2166="","",'Data Pura Costos'!I2166)</f>
        <v/>
      </c>
      <c r="J2166" s="52" t="str">
        <f>+IF('Data Pura Costos'!J2166="","",'Data Pura Costos'!J2166)</f>
        <v/>
      </c>
      <c r="K2166" s="82" t="str">
        <f t="shared" si="38"/>
        <v/>
      </c>
    </row>
    <row r="2167" spans="2:11" x14ac:dyDescent="0.35">
      <c r="B2167" s="4" t="str">
        <f>+IF('Data Pura Costos'!B2167="","",'Data Pura Costos'!B2167)</f>
        <v/>
      </c>
      <c r="C2167" s="4" t="str">
        <f>+IF('Data Pura Costos'!C2167="","",'Data Pura Costos'!C2167)</f>
        <v/>
      </c>
      <c r="D2167" s="5" t="str">
        <f>+IF('Data Pura Costos'!D2167="","",'Data Pura Costos'!D2167)</f>
        <v/>
      </c>
      <c r="E2167" s="65" t="str">
        <f>+IF('Data Pura Costos'!E2167="","",IF('Data Pura Costos'!E2167=0,MAX('Data Pura Costos'!$E$7:$E$3000)*1000,'Data Pura Costos'!E2167))</f>
        <v/>
      </c>
      <c r="F2167" s="5" t="str">
        <f>+IF('Data Pura Costos'!F2167="","",'Data Pura Costos'!F2167)</f>
        <v/>
      </c>
      <c r="G2167" s="5" t="str">
        <f>+IF('Data Pura Costos'!G2167="","",'Data Pura Costos'!G2167)</f>
        <v/>
      </c>
      <c r="H2167" s="52" t="str">
        <f>+IF('Data Pura Costos'!H2167="","",'Data Pura Costos'!H2167)</f>
        <v/>
      </c>
      <c r="I2167" s="71" t="str">
        <f>+IF('Data Pura Costos'!I2167="","",'Data Pura Costos'!I2167)</f>
        <v/>
      </c>
      <c r="J2167" s="52" t="str">
        <f>+IF('Data Pura Costos'!J2167="","",'Data Pura Costos'!J2167)</f>
        <v/>
      </c>
      <c r="K2167" s="82" t="str">
        <f t="shared" si="38"/>
        <v/>
      </c>
    </row>
    <row r="2168" spans="2:11" x14ac:dyDescent="0.35">
      <c r="B2168" s="4" t="str">
        <f>+IF('Data Pura Costos'!B2168="","",'Data Pura Costos'!B2168)</f>
        <v/>
      </c>
      <c r="C2168" s="4" t="str">
        <f>+IF('Data Pura Costos'!C2168="","",'Data Pura Costos'!C2168)</f>
        <v/>
      </c>
      <c r="D2168" s="5" t="str">
        <f>+IF('Data Pura Costos'!D2168="","",'Data Pura Costos'!D2168)</f>
        <v/>
      </c>
      <c r="E2168" s="65" t="str">
        <f>+IF('Data Pura Costos'!E2168="","",IF('Data Pura Costos'!E2168=0,MAX('Data Pura Costos'!$E$7:$E$3000)*1000,'Data Pura Costos'!E2168))</f>
        <v/>
      </c>
      <c r="F2168" s="5" t="str">
        <f>+IF('Data Pura Costos'!F2168="","",'Data Pura Costos'!F2168)</f>
        <v/>
      </c>
      <c r="G2168" s="5" t="str">
        <f>+IF('Data Pura Costos'!G2168="","",'Data Pura Costos'!G2168)</f>
        <v/>
      </c>
      <c r="H2168" s="52" t="str">
        <f>+IF('Data Pura Costos'!H2168="","",'Data Pura Costos'!H2168)</f>
        <v/>
      </c>
      <c r="I2168" s="71" t="str">
        <f>+IF('Data Pura Costos'!I2168="","",'Data Pura Costos'!I2168)</f>
        <v/>
      </c>
      <c r="J2168" s="52" t="str">
        <f>+IF('Data Pura Costos'!J2168="","",'Data Pura Costos'!J2168)</f>
        <v/>
      </c>
      <c r="K2168" s="82" t="str">
        <f t="shared" si="38"/>
        <v/>
      </c>
    </row>
    <row r="2169" spans="2:11" x14ac:dyDescent="0.35">
      <c r="B2169" s="4" t="str">
        <f>+IF('Data Pura Costos'!B2169="","",'Data Pura Costos'!B2169)</f>
        <v/>
      </c>
      <c r="C2169" s="4" t="str">
        <f>+IF('Data Pura Costos'!C2169="","",'Data Pura Costos'!C2169)</f>
        <v/>
      </c>
      <c r="D2169" s="5" t="str">
        <f>+IF('Data Pura Costos'!D2169="","",'Data Pura Costos'!D2169)</f>
        <v/>
      </c>
      <c r="E2169" s="65" t="str">
        <f>+IF('Data Pura Costos'!E2169="","",IF('Data Pura Costos'!E2169=0,MAX('Data Pura Costos'!$E$7:$E$3000)*1000,'Data Pura Costos'!E2169))</f>
        <v/>
      </c>
      <c r="F2169" s="5" t="str">
        <f>+IF('Data Pura Costos'!F2169="","",'Data Pura Costos'!F2169)</f>
        <v/>
      </c>
      <c r="G2169" s="5" t="str">
        <f>+IF('Data Pura Costos'!G2169="","",'Data Pura Costos'!G2169)</f>
        <v/>
      </c>
      <c r="H2169" s="52" t="str">
        <f>+IF('Data Pura Costos'!H2169="","",'Data Pura Costos'!H2169)</f>
        <v/>
      </c>
      <c r="I2169" s="71" t="str">
        <f>+IF('Data Pura Costos'!I2169="","",'Data Pura Costos'!I2169)</f>
        <v/>
      </c>
      <c r="J2169" s="52" t="str">
        <f>+IF('Data Pura Costos'!J2169="","",'Data Pura Costos'!J2169)</f>
        <v/>
      </c>
      <c r="K2169" s="82" t="str">
        <f t="shared" si="38"/>
        <v/>
      </c>
    </row>
    <row r="2170" spans="2:11" x14ac:dyDescent="0.35">
      <c r="B2170" s="4" t="str">
        <f>+IF('Data Pura Costos'!B2170="","",'Data Pura Costos'!B2170)</f>
        <v/>
      </c>
      <c r="C2170" s="4" t="str">
        <f>+IF('Data Pura Costos'!C2170="","",'Data Pura Costos'!C2170)</f>
        <v/>
      </c>
      <c r="D2170" s="5" t="str">
        <f>+IF('Data Pura Costos'!D2170="","",'Data Pura Costos'!D2170)</f>
        <v/>
      </c>
      <c r="E2170" s="65" t="str">
        <f>+IF('Data Pura Costos'!E2170="","",IF('Data Pura Costos'!E2170=0,MAX('Data Pura Costos'!$E$7:$E$3000)*1000,'Data Pura Costos'!E2170))</f>
        <v/>
      </c>
      <c r="F2170" s="5" t="str">
        <f>+IF('Data Pura Costos'!F2170="","",'Data Pura Costos'!F2170)</f>
        <v/>
      </c>
      <c r="G2170" s="5" t="str">
        <f>+IF('Data Pura Costos'!G2170="","",'Data Pura Costos'!G2170)</f>
        <v/>
      </c>
      <c r="H2170" s="52" t="str">
        <f>+IF('Data Pura Costos'!H2170="","",'Data Pura Costos'!H2170)</f>
        <v/>
      </c>
      <c r="I2170" s="71" t="str">
        <f>+IF('Data Pura Costos'!I2170="","",'Data Pura Costos'!I2170)</f>
        <v/>
      </c>
      <c r="J2170" s="52" t="str">
        <f>+IF('Data Pura Costos'!J2170="","",'Data Pura Costos'!J2170)</f>
        <v/>
      </c>
      <c r="K2170" s="82" t="str">
        <f t="shared" si="38"/>
        <v/>
      </c>
    </row>
    <row r="2171" spans="2:11" x14ac:dyDescent="0.35">
      <c r="B2171" s="4" t="str">
        <f>+IF('Data Pura Costos'!B2171="","",'Data Pura Costos'!B2171)</f>
        <v/>
      </c>
      <c r="C2171" s="4" t="str">
        <f>+IF('Data Pura Costos'!C2171="","",'Data Pura Costos'!C2171)</f>
        <v/>
      </c>
      <c r="D2171" s="5" t="str">
        <f>+IF('Data Pura Costos'!D2171="","",'Data Pura Costos'!D2171)</f>
        <v/>
      </c>
      <c r="E2171" s="65" t="str">
        <f>+IF('Data Pura Costos'!E2171="","",IF('Data Pura Costos'!E2171=0,MAX('Data Pura Costos'!$E$7:$E$3000)*1000,'Data Pura Costos'!E2171))</f>
        <v/>
      </c>
      <c r="F2171" s="5" t="str">
        <f>+IF('Data Pura Costos'!F2171="","",'Data Pura Costos'!F2171)</f>
        <v/>
      </c>
      <c r="G2171" s="5" t="str">
        <f>+IF('Data Pura Costos'!G2171="","",'Data Pura Costos'!G2171)</f>
        <v/>
      </c>
      <c r="H2171" s="52" t="str">
        <f>+IF('Data Pura Costos'!H2171="","",'Data Pura Costos'!H2171)</f>
        <v/>
      </c>
      <c r="I2171" s="71" t="str">
        <f>+IF('Data Pura Costos'!I2171="","",'Data Pura Costos'!I2171)</f>
        <v/>
      </c>
      <c r="J2171" s="52" t="str">
        <f>+IF('Data Pura Costos'!J2171="","",'Data Pura Costos'!J2171)</f>
        <v/>
      </c>
      <c r="K2171" s="82" t="str">
        <f t="shared" si="38"/>
        <v/>
      </c>
    </row>
    <row r="2172" spans="2:11" x14ac:dyDescent="0.35">
      <c r="B2172" s="4" t="str">
        <f>+IF('Data Pura Costos'!B2172="","",'Data Pura Costos'!B2172)</f>
        <v/>
      </c>
      <c r="C2172" s="4" t="str">
        <f>+IF('Data Pura Costos'!C2172="","",'Data Pura Costos'!C2172)</f>
        <v/>
      </c>
      <c r="D2172" s="5" t="str">
        <f>+IF('Data Pura Costos'!D2172="","",'Data Pura Costos'!D2172)</f>
        <v/>
      </c>
      <c r="E2172" s="65" t="str">
        <f>+IF('Data Pura Costos'!E2172="","",IF('Data Pura Costos'!E2172=0,MAX('Data Pura Costos'!$E$7:$E$3000)*1000,'Data Pura Costos'!E2172))</f>
        <v/>
      </c>
      <c r="F2172" s="5" t="str">
        <f>+IF('Data Pura Costos'!F2172="","",'Data Pura Costos'!F2172)</f>
        <v/>
      </c>
      <c r="G2172" s="5" t="str">
        <f>+IF('Data Pura Costos'!G2172="","",'Data Pura Costos'!G2172)</f>
        <v/>
      </c>
      <c r="H2172" s="52" t="str">
        <f>+IF('Data Pura Costos'!H2172="","",'Data Pura Costos'!H2172)</f>
        <v/>
      </c>
      <c r="I2172" s="71" t="str">
        <f>+IF('Data Pura Costos'!I2172="","",'Data Pura Costos'!I2172)</f>
        <v/>
      </c>
      <c r="J2172" s="52" t="str">
        <f>+IF('Data Pura Costos'!J2172="","",'Data Pura Costos'!J2172)</f>
        <v/>
      </c>
      <c r="K2172" s="82" t="str">
        <f t="shared" ref="K2172:K2235" si="39">+IF(B2172="","",CONCATENATE(B2172,"-",F2172,"-",G2172))</f>
        <v/>
      </c>
    </row>
    <row r="2173" spans="2:11" x14ac:dyDescent="0.35">
      <c r="B2173" s="4" t="str">
        <f>+IF('Data Pura Costos'!B2173="","",'Data Pura Costos'!B2173)</f>
        <v/>
      </c>
      <c r="C2173" s="4" t="str">
        <f>+IF('Data Pura Costos'!C2173="","",'Data Pura Costos'!C2173)</f>
        <v/>
      </c>
      <c r="D2173" s="5" t="str">
        <f>+IF('Data Pura Costos'!D2173="","",'Data Pura Costos'!D2173)</f>
        <v/>
      </c>
      <c r="E2173" s="65" t="str">
        <f>+IF('Data Pura Costos'!E2173="","",IF('Data Pura Costos'!E2173=0,MAX('Data Pura Costos'!$E$7:$E$3000)*1000,'Data Pura Costos'!E2173))</f>
        <v/>
      </c>
      <c r="F2173" s="5" t="str">
        <f>+IF('Data Pura Costos'!F2173="","",'Data Pura Costos'!F2173)</f>
        <v/>
      </c>
      <c r="G2173" s="5" t="str">
        <f>+IF('Data Pura Costos'!G2173="","",'Data Pura Costos'!G2173)</f>
        <v/>
      </c>
      <c r="H2173" s="52" t="str">
        <f>+IF('Data Pura Costos'!H2173="","",'Data Pura Costos'!H2173)</f>
        <v/>
      </c>
      <c r="I2173" s="71" t="str">
        <f>+IF('Data Pura Costos'!I2173="","",'Data Pura Costos'!I2173)</f>
        <v/>
      </c>
      <c r="J2173" s="52" t="str">
        <f>+IF('Data Pura Costos'!J2173="","",'Data Pura Costos'!J2173)</f>
        <v/>
      </c>
      <c r="K2173" s="82" t="str">
        <f t="shared" si="39"/>
        <v/>
      </c>
    </row>
    <row r="2174" spans="2:11" x14ac:dyDescent="0.35">
      <c r="B2174" s="4" t="str">
        <f>+IF('Data Pura Costos'!B2174="","",'Data Pura Costos'!B2174)</f>
        <v/>
      </c>
      <c r="C2174" s="4" t="str">
        <f>+IF('Data Pura Costos'!C2174="","",'Data Pura Costos'!C2174)</f>
        <v/>
      </c>
      <c r="D2174" s="5" t="str">
        <f>+IF('Data Pura Costos'!D2174="","",'Data Pura Costos'!D2174)</f>
        <v/>
      </c>
      <c r="E2174" s="65" t="str">
        <f>+IF('Data Pura Costos'!E2174="","",IF('Data Pura Costos'!E2174=0,MAX('Data Pura Costos'!$E$7:$E$3000)*1000,'Data Pura Costos'!E2174))</f>
        <v/>
      </c>
      <c r="F2174" s="5" t="str">
        <f>+IF('Data Pura Costos'!F2174="","",'Data Pura Costos'!F2174)</f>
        <v/>
      </c>
      <c r="G2174" s="5" t="str">
        <f>+IF('Data Pura Costos'!G2174="","",'Data Pura Costos'!G2174)</f>
        <v/>
      </c>
      <c r="H2174" s="52" t="str">
        <f>+IF('Data Pura Costos'!H2174="","",'Data Pura Costos'!H2174)</f>
        <v/>
      </c>
      <c r="I2174" s="71" t="str">
        <f>+IF('Data Pura Costos'!I2174="","",'Data Pura Costos'!I2174)</f>
        <v/>
      </c>
      <c r="J2174" s="52" t="str">
        <f>+IF('Data Pura Costos'!J2174="","",'Data Pura Costos'!J2174)</f>
        <v/>
      </c>
      <c r="K2174" s="82" t="str">
        <f t="shared" si="39"/>
        <v/>
      </c>
    </row>
    <row r="2175" spans="2:11" x14ac:dyDescent="0.35">
      <c r="B2175" s="4" t="str">
        <f>+IF('Data Pura Costos'!B2175="","",'Data Pura Costos'!B2175)</f>
        <v/>
      </c>
      <c r="C2175" s="4" t="str">
        <f>+IF('Data Pura Costos'!C2175="","",'Data Pura Costos'!C2175)</f>
        <v/>
      </c>
      <c r="D2175" s="5" t="str">
        <f>+IF('Data Pura Costos'!D2175="","",'Data Pura Costos'!D2175)</f>
        <v/>
      </c>
      <c r="E2175" s="65" t="str">
        <f>+IF('Data Pura Costos'!E2175="","",IF('Data Pura Costos'!E2175=0,MAX('Data Pura Costos'!$E$7:$E$3000)*1000,'Data Pura Costos'!E2175))</f>
        <v/>
      </c>
      <c r="F2175" s="5" t="str">
        <f>+IF('Data Pura Costos'!F2175="","",'Data Pura Costos'!F2175)</f>
        <v/>
      </c>
      <c r="G2175" s="5" t="str">
        <f>+IF('Data Pura Costos'!G2175="","",'Data Pura Costos'!G2175)</f>
        <v/>
      </c>
      <c r="H2175" s="52" t="str">
        <f>+IF('Data Pura Costos'!H2175="","",'Data Pura Costos'!H2175)</f>
        <v/>
      </c>
      <c r="I2175" s="71" t="str">
        <f>+IF('Data Pura Costos'!I2175="","",'Data Pura Costos'!I2175)</f>
        <v/>
      </c>
      <c r="J2175" s="52" t="str">
        <f>+IF('Data Pura Costos'!J2175="","",'Data Pura Costos'!J2175)</f>
        <v/>
      </c>
      <c r="K2175" s="82" t="str">
        <f t="shared" si="39"/>
        <v/>
      </c>
    </row>
    <row r="2176" spans="2:11" x14ac:dyDescent="0.35">
      <c r="B2176" s="4" t="str">
        <f>+IF('Data Pura Costos'!B2176="","",'Data Pura Costos'!B2176)</f>
        <v/>
      </c>
      <c r="C2176" s="4" t="str">
        <f>+IF('Data Pura Costos'!C2176="","",'Data Pura Costos'!C2176)</f>
        <v/>
      </c>
      <c r="D2176" s="5" t="str">
        <f>+IF('Data Pura Costos'!D2176="","",'Data Pura Costos'!D2176)</f>
        <v/>
      </c>
      <c r="E2176" s="65" t="str">
        <f>+IF('Data Pura Costos'!E2176="","",IF('Data Pura Costos'!E2176=0,MAX('Data Pura Costos'!$E$7:$E$3000)*1000,'Data Pura Costos'!E2176))</f>
        <v/>
      </c>
      <c r="F2176" s="5" t="str">
        <f>+IF('Data Pura Costos'!F2176="","",'Data Pura Costos'!F2176)</f>
        <v/>
      </c>
      <c r="G2176" s="5" t="str">
        <f>+IF('Data Pura Costos'!G2176="","",'Data Pura Costos'!G2176)</f>
        <v/>
      </c>
      <c r="H2176" s="52" t="str">
        <f>+IF('Data Pura Costos'!H2176="","",'Data Pura Costos'!H2176)</f>
        <v/>
      </c>
      <c r="I2176" s="71" t="str">
        <f>+IF('Data Pura Costos'!I2176="","",'Data Pura Costos'!I2176)</f>
        <v/>
      </c>
      <c r="J2176" s="52" t="str">
        <f>+IF('Data Pura Costos'!J2176="","",'Data Pura Costos'!J2176)</f>
        <v/>
      </c>
      <c r="K2176" s="82" t="str">
        <f t="shared" si="39"/>
        <v/>
      </c>
    </row>
    <row r="2177" spans="2:11" x14ac:dyDescent="0.35">
      <c r="B2177" s="4" t="str">
        <f>+IF('Data Pura Costos'!B2177="","",'Data Pura Costos'!B2177)</f>
        <v/>
      </c>
      <c r="C2177" s="4" t="str">
        <f>+IF('Data Pura Costos'!C2177="","",'Data Pura Costos'!C2177)</f>
        <v/>
      </c>
      <c r="D2177" s="5" t="str">
        <f>+IF('Data Pura Costos'!D2177="","",'Data Pura Costos'!D2177)</f>
        <v/>
      </c>
      <c r="E2177" s="65" t="str">
        <f>+IF('Data Pura Costos'!E2177="","",IF('Data Pura Costos'!E2177=0,MAX('Data Pura Costos'!$E$7:$E$3000)*1000,'Data Pura Costos'!E2177))</f>
        <v/>
      </c>
      <c r="F2177" s="5" t="str">
        <f>+IF('Data Pura Costos'!F2177="","",'Data Pura Costos'!F2177)</f>
        <v/>
      </c>
      <c r="G2177" s="5" t="str">
        <f>+IF('Data Pura Costos'!G2177="","",'Data Pura Costos'!G2177)</f>
        <v/>
      </c>
      <c r="H2177" s="52" t="str">
        <f>+IF('Data Pura Costos'!H2177="","",'Data Pura Costos'!H2177)</f>
        <v/>
      </c>
      <c r="I2177" s="71" t="str">
        <f>+IF('Data Pura Costos'!I2177="","",'Data Pura Costos'!I2177)</f>
        <v/>
      </c>
      <c r="J2177" s="52" t="str">
        <f>+IF('Data Pura Costos'!J2177="","",'Data Pura Costos'!J2177)</f>
        <v/>
      </c>
      <c r="K2177" s="82" t="str">
        <f t="shared" si="39"/>
        <v/>
      </c>
    </row>
    <row r="2178" spans="2:11" x14ac:dyDescent="0.35">
      <c r="B2178" s="4" t="str">
        <f>+IF('Data Pura Costos'!B2178="","",'Data Pura Costos'!B2178)</f>
        <v/>
      </c>
      <c r="C2178" s="4" t="str">
        <f>+IF('Data Pura Costos'!C2178="","",'Data Pura Costos'!C2178)</f>
        <v/>
      </c>
      <c r="D2178" s="5" t="str">
        <f>+IF('Data Pura Costos'!D2178="","",'Data Pura Costos'!D2178)</f>
        <v/>
      </c>
      <c r="E2178" s="65" t="str">
        <f>+IF('Data Pura Costos'!E2178="","",IF('Data Pura Costos'!E2178=0,MAX('Data Pura Costos'!$E$7:$E$3000)*1000,'Data Pura Costos'!E2178))</f>
        <v/>
      </c>
      <c r="F2178" s="5" t="str">
        <f>+IF('Data Pura Costos'!F2178="","",'Data Pura Costos'!F2178)</f>
        <v/>
      </c>
      <c r="G2178" s="5" t="str">
        <f>+IF('Data Pura Costos'!G2178="","",'Data Pura Costos'!G2178)</f>
        <v/>
      </c>
      <c r="H2178" s="52" t="str">
        <f>+IF('Data Pura Costos'!H2178="","",'Data Pura Costos'!H2178)</f>
        <v/>
      </c>
      <c r="I2178" s="71" t="str">
        <f>+IF('Data Pura Costos'!I2178="","",'Data Pura Costos'!I2178)</f>
        <v/>
      </c>
      <c r="J2178" s="52" t="str">
        <f>+IF('Data Pura Costos'!J2178="","",'Data Pura Costos'!J2178)</f>
        <v/>
      </c>
      <c r="K2178" s="82" t="str">
        <f t="shared" si="39"/>
        <v/>
      </c>
    </row>
    <row r="2179" spans="2:11" x14ac:dyDescent="0.35">
      <c r="B2179" s="4" t="str">
        <f>+IF('Data Pura Costos'!B2179="","",'Data Pura Costos'!B2179)</f>
        <v/>
      </c>
      <c r="C2179" s="4" t="str">
        <f>+IF('Data Pura Costos'!C2179="","",'Data Pura Costos'!C2179)</f>
        <v/>
      </c>
      <c r="D2179" s="5" t="str">
        <f>+IF('Data Pura Costos'!D2179="","",'Data Pura Costos'!D2179)</f>
        <v/>
      </c>
      <c r="E2179" s="65" t="str">
        <f>+IF('Data Pura Costos'!E2179="","",IF('Data Pura Costos'!E2179=0,MAX('Data Pura Costos'!$E$7:$E$3000)*1000,'Data Pura Costos'!E2179))</f>
        <v/>
      </c>
      <c r="F2179" s="5" t="str">
        <f>+IF('Data Pura Costos'!F2179="","",'Data Pura Costos'!F2179)</f>
        <v/>
      </c>
      <c r="G2179" s="5" t="str">
        <f>+IF('Data Pura Costos'!G2179="","",'Data Pura Costos'!G2179)</f>
        <v/>
      </c>
      <c r="H2179" s="52" t="str">
        <f>+IF('Data Pura Costos'!H2179="","",'Data Pura Costos'!H2179)</f>
        <v/>
      </c>
      <c r="I2179" s="71" t="str">
        <f>+IF('Data Pura Costos'!I2179="","",'Data Pura Costos'!I2179)</f>
        <v/>
      </c>
      <c r="J2179" s="52" t="str">
        <f>+IF('Data Pura Costos'!J2179="","",'Data Pura Costos'!J2179)</f>
        <v/>
      </c>
      <c r="K2179" s="82" t="str">
        <f t="shared" si="39"/>
        <v/>
      </c>
    </row>
    <row r="2180" spans="2:11" x14ac:dyDescent="0.35">
      <c r="B2180" s="4" t="str">
        <f>+IF('Data Pura Costos'!B2180="","",'Data Pura Costos'!B2180)</f>
        <v/>
      </c>
      <c r="C2180" s="4" t="str">
        <f>+IF('Data Pura Costos'!C2180="","",'Data Pura Costos'!C2180)</f>
        <v/>
      </c>
      <c r="D2180" s="5" t="str">
        <f>+IF('Data Pura Costos'!D2180="","",'Data Pura Costos'!D2180)</f>
        <v/>
      </c>
      <c r="E2180" s="65" t="str">
        <f>+IF('Data Pura Costos'!E2180="","",IF('Data Pura Costos'!E2180=0,MAX('Data Pura Costos'!$E$7:$E$3000)*1000,'Data Pura Costos'!E2180))</f>
        <v/>
      </c>
      <c r="F2180" s="5" t="str">
        <f>+IF('Data Pura Costos'!F2180="","",'Data Pura Costos'!F2180)</f>
        <v/>
      </c>
      <c r="G2180" s="5" t="str">
        <f>+IF('Data Pura Costos'!G2180="","",'Data Pura Costos'!G2180)</f>
        <v/>
      </c>
      <c r="H2180" s="52" t="str">
        <f>+IF('Data Pura Costos'!H2180="","",'Data Pura Costos'!H2180)</f>
        <v/>
      </c>
      <c r="I2180" s="71" t="str">
        <f>+IF('Data Pura Costos'!I2180="","",'Data Pura Costos'!I2180)</f>
        <v/>
      </c>
      <c r="J2180" s="52" t="str">
        <f>+IF('Data Pura Costos'!J2180="","",'Data Pura Costos'!J2180)</f>
        <v/>
      </c>
      <c r="K2180" s="82" t="str">
        <f t="shared" si="39"/>
        <v/>
      </c>
    </row>
    <row r="2181" spans="2:11" x14ac:dyDescent="0.35">
      <c r="B2181" s="4" t="str">
        <f>+IF('Data Pura Costos'!B2181="","",'Data Pura Costos'!B2181)</f>
        <v/>
      </c>
      <c r="C2181" s="4" t="str">
        <f>+IF('Data Pura Costos'!C2181="","",'Data Pura Costos'!C2181)</f>
        <v/>
      </c>
      <c r="D2181" s="5" t="str">
        <f>+IF('Data Pura Costos'!D2181="","",'Data Pura Costos'!D2181)</f>
        <v/>
      </c>
      <c r="E2181" s="65" t="str">
        <f>+IF('Data Pura Costos'!E2181="","",IF('Data Pura Costos'!E2181=0,MAX('Data Pura Costos'!$E$7:$E$3000)*1000,'Data Pura Costos'!E2181))</f>
        <v/>
      </c>
      <c r="F2181" s="5" t="str">
        <f>+IF('Data Pura Costos'!F2181="","",'Data Pura Costos'!F2181)</f>
        <v/>
      </c>
      <c r="G2181" s="5" t="str">
        <f>+IF('Data Pura Costos'!G2181="","",'Data Pura Costos'!G2181)</f>
        <v/>
      </c>
      <c r="H2181" s="52" t="str">
        <f>+IF('Data Pura Costos'!H2181="","",'Data Pura Costos'!H2181)</f>
        <v/>
      </c>
      <c r="I2181" s="71" t="str">
        <f>+IF('Data Pura Costos'!I2181="","",'Data Pura Costos'!I2181)</f>
        <v/>
      </c>
      <c r="J2181" s="52" t="str">
        <f>+IF('Data Pura Costos'!J2181="","",'Data Pura Costos'!J2181)</f>
        <v/>
      </c>
      <c r="K2181" s="82" t="str">
        <f t="shared" si="39"/>
        <v/>
      </c>
    </row>
    <row r="2182" spans="2:11" x14ac:dyDescent="0.35">
      <c r="B2182" s="4" t="str">
        <f>+IF('Data Pura Costos'!B2182="","",'Data Pura Costos'!B2182)</f>
        <v/>
      </c>
      <c r="C2182" s="4" t="str">
        <f>+IF('Data Pura Costos'!C2182="","",'Data Pura Costos'!C2182)</f>
        <v/>
      </c>
      <c r="D2182" s="5" t="str">
        <f>+IF('Data Pura Costos'!D2182="","",'Data Pura Costos'!D2182)</f>
        <v/>
      </c>
      <c r="E2182" s="65" t="str">
        <f>+IF('Data Pura Costos'!E2182="","",IF('Data Pura Costos'!E2182=0,MAX('Data Pura Costos'!$E$7:$E$3000)*1000,'Data Pura Costos'!E2182))</f>
        <v/>
      </c>
      <c r="F2182" s="5" t="str">
        <f>+IF('Data Pura Costos'!F2182="","",'Data Pura Costos'!F2182)</f>
        <v/>
      </c>
      <c r="G2182" s="5" t="str">
        <f>+IF('Data Pura Costos'!G2182="","",'Data Pura Costos'!G2182)</f>
        <v/>
      </c>
      <c r="H2182" s="52" t="str">
        <f>+IF('Data Pura Costos'!H2182="","",'Data Pura Costos'!H2182)</f>
        <v/>
      </c>
      <c r="I2182" s="71" t="str">
        <f>+IF('Data Pura Costos'!I2182="","",'Data Pura Costos'!I2182)</f>
        <v/>
      </c>
      <c r="J2182" s="52" t="str">
        <f>+IF('Data Pura Costos'!J2182="","",'Data Pura Costos'!J2182)</f>
        <v/>
      </c>
      <c r="K2182" s="82" t="str">
        <f t="shared" si="39"/>
        <v/>
      </c>
    </row>
    <row r="2183" spans="2:11" x14ac:dyDescent="0.35">
      <c r="B2183" s="4" t="str">
        <f>+IF('Data Pura Costos'!B2183="","",'Data Pura Costos'!B2183)</f>
        <v/>
      </c>
      <c r="C2183" s="4" t="str">
        <f>+IF('Data Pura Costos'!C2183="","",'Data Pura Costos'!C2183)</f>
        <v/>
      </c>
      <c r="D2183" s="5" t="str">
        <f>+IF('Data Pura Costos'!D2183="","",'Data Pura Costos'!D2183)</f>
        <v/>
      </c>
      <c r="E2183" s="65" t="str">
        <f>+IF('Data Pura Costos'!E2183="","",IF('Data Pura Costos'!E2183=0,MAX('Data Pura Costos'!$E$7:$E$3000)*1000,'Data Pura Costos'!E2183))</f>
        <v/>
      </c>
      <c r="F2183" s="5" t="str">
        <f>+IF('Data Pura Costos'!F2183="","",'Data Pura Costos'!F2183)</f>
        <v/>
      </c>
      <c r="G2183" s="5" t="str">
        <f>+IF('Data Pura Costos'!G2183="","",'Data Pura Costos'!G2183)</f>
        <v/>
      </c>
      <c r="H2183" s="52" t="str">
        <f>+IF('Data Pura Costos'!H2183="","",'Data Pura Costos'!H2183)</f>
        <v/>
      </c>
      <c r="I2183" s="71" t="str">
        <f>+IF('Data Pura Costos'!I2183="","",'Data Pura Costos'!I2183)</f>
        <v/>
      </c>
      <c r="J2183" s="52" t="str">
        <f>+IF('Data Pura Costos'!J2183="","",'Data Pura Costos'!J2183)</f>
        <v/>
      </c>
      <c r="K2183" s="82" t="str">
        <f t="shared" si="39"/>
        <v/>
      </c>
    </row>
    <row r="2184" spans="2:11" x14ac:dyDescent="0.35">
      <c r="B2184" s="4" t="str">
        <f>+IF('Data Pura Costos'!B2184="","",'Data Pura Costos'!B2184)</f>
        <v/>
      </c>
      <c r="C2184" s="4" t="str">
        <f>+IF('Data Pura Costos'!C2184="","",'Data Pura Costos'!C2184)</f>
        <v/>
      </c>
      <c r="D2184" s="5" t="str">
        <f>+IF('Data Pura Costos'!D2184="","",'Data Pura Costos'!D2184)</f>
        <v/>
      </c>
      <c r="E2184" s="65" t="str">
        <f>+IF('Data Pura Costos'!E2184="","",IF('Data Pura Costos'!E2184=0,MAX('Data Pura Costos'!$E$7:$E$3000)*1000,'Data Pura Costos'!E2184))</f>
        <v/>
      </c>
      <c r="F2184" s="5" t="str">
        <f>+IF('Data Pura Costos'!F2184="","",'Data Pura Costos'!F2184)</f>
        <v/>
      </c>
      <c r="G2184" s="5" t="str">
        <f>+IF('Data Pura Costos'!G2184="","",'Data Pura Costos'!G2184)</f>
        <v/>
      </c>
      <c r="H2184" s="52" t="str">
        <f>+IF('Data Pura Costos'!H2184="","",'Data Pura Costos'!H2184)</f>
        <v/>
      </c>
      <c r="I2184" s="71" t="str">
        <f>+IF('Data Pura Costos'!I2184="","",'Data Pura Costos'!I2184)</f>
        <v/>
      </c>
      <c r="J2184" s="52" t="str">
        <f>+IF('Data Pura Costos'!J2184="","",'Data Pura Costos'!J2184)</f>
        <v/>
      </c>
      <c r="K2184" s="82" t="str">
        <f t="shared" si="39"/>
        <v/>
      </c>
    </row>
    <row r="2185" spans="2:11" x14ac:dyDescent="0.35">
      <c r="B2185" s="4" t="str">
        <f>+IF('Data Pura Costos'!B2185="","",'Data Pura Costos'!B2185)</f>
        <v/>
      </c>
      <c r="C2185" s="4" t="str">
        <f>+IF('Data Pura Costos'!C2185="","",'Data Pura Costos'!C2185)</f>
        <v/>
      </c>
      <c r="D2185" s="5" t="str">
        <f>+IF('Data Pura Costos'!D2185="","",'Data Pura Costos'!D2185)</f>
        <v/>
      </c>
      <c r="E2185" s="65" t="str">
        <f>+IF('Data Pura Costos'!E2185="","",IF('Data Pura Costos'!E2185=0,MAX('Data Pura Costos'!$E$7:$E$3000)*1000,'Data Pura Costos'!E2185))</f>
        <v/>
      </c>
      <c r="F2185" s="5" t="str">
        <f>+IF('Data Pura Costos'!F2185="","",'Data Pura Costos'!F2185)</f>
        <v/>
      </c>
      <c r="G2185" s="5" t="str">
        <f>+IF('Data Pura Costos'!G2185="","",'Data Pura Costos'!G2185)</f>
        <v/>
      </c>
      <c r="H2185" s="52" t="str">
        <f>+IF('Data Pura Costos'!H2185="","",'Data Pura Costos'!H2185)</f>
        <v/>
      </c>
      <c r="I2185" s="71" t="str">
        <f>+IF('Data Pura Costos'!I2185="","",'Data Pura Costos'!I2185)</f>
        <v/>
      </c>
      <c r="J2185" s="52" t="str">
        <f>+IF('Data Pura Costos'!J2185="","",'Data Pura Costos'!J2185)</f>
        <v/>
      </c>
      <c r="K2185" s="82" t="str">
        <f t="shared" si="39"/>
        <v/>
      </c>
    </row>
    <row r="2186" spans="2:11" x14ac:dyDescent="0.35">
      <c r="B2186" s="4" t="str">
        <f>+IF('Data Pura Costos'!B2186="","",'Data Pura Costos'!B2186)</f>
        <v/>
      </c>
      <c r="C2186" s="4" t="str">
        <f>+IF('Data Pura Costos'!C2186="","",'Data Pura Costos'!C2186)</f>
        <v/>
      </c>
      <c r="D2186" s="5" t="str">
        <f>+IF('Data Pura Costos'!D2186="","",'Data Pura Costos'!D2186)</f>
        <v/>
      </c>
      <c r="E2186" s="65" t="str">
        <f>+IF('Data Pura Costos'!E2186="","",IF('Data Pura Costos'!E2186=0,MAX('Data Pura Costos'!$E$7:$E$3000)*1000,'Data Pura Costos'!E2186))</f>
        <v/>
      </c>
      <c r="F2186" s="5" t="str">
        <f>+IF('Data Pura Costos'!F2186="","",'Data Pura Costos'!F2186)</f>
        <v/>
      </c>
      <c r="G2186" s="5" t="str">
        <f>+IF('Data Pura Costos'!G2186="","",'Data Pura Costos'!G2186)</f>
        <v/>
      </c>
      <c r="H2186" s="52" t="str">
        <f>+IF('Data Pura Costos'!H2186="","",'Data Pura Costos'!H2186)</f>
        <v/>
      </c>
      <c r="I2186" s="71" t="str">
        <f>+IF('Data Pura Costos'!I2186="","",'Data Pura Costos'!I2186)</f>
        <v/>
      </c>
      <c r="J2186" s="52" t="str">
        <f>+IF('Data Pura Costos'!J2186="","",'Data Pura Costos'!J2186)</f>
        <v/>
      </c>
      <c r="K2186" s="82" t="str">
        <f t="shared" si="39"/>
        <v/>
      </c>
    </row>
    <row r="2187" spans="2:11" x14ac:dyDescent="0.35">
      <c r="B2187" s="4" t="str">
        <f>+IF('Data Pura Costos'!B2187="","",'Data Pura Costos'!B2187)</f>
        <v/>
      </c>
      <c r="C2187" s="4" t="str">
        <f>+IF('Data Pura Costos'!C2187="","",'Data Pura Costos'!C2187)</f>
        <v/>
      </c>
      <c r="D2187" s="5" t="str">
        <f>+IF('Data Pura Costos'!D2187="","",'Data Pura Costos'!D2187)</f>
        <v/>
      </c>
      <c r="E2187" s="65" t="str">
        <f>+IF('Data Pura Costos'!E2187="","",IF('Data Pura Costos'!E2187=0,MAX('Data Pura Costos'!$E$7:$E$3000)*1000,'Data Pura Costos'!E2187))</f>
        <v/>
      </c>
      <c r="F2187" s="5" t="str">
        <f>+IF('Data Pura Costos'!F2187="","",'Data Pura Costos'!F2187)</f>
        <v/>
      </c>
      <c r="G2187" s="5" t="str">
        <f>+IF('Data Pura Costos'!G2187="","",'Data Pura Costos'!G2187)</f>
        <v/>
      </c>
      <c r="H2187" s="52" t="str">
        <f>+IF('Data Pura Costos'!H2187="","",'Data Pura Costos'!H2187)</f>
        <v/>
      </c>
      <c r="I2187" s="71" t="str">
        <f>+IF('Data Pura Costos'!I2187="","",'Data Pura Costos'!I2187)</f>
        <v/>
      </c>
      <c r="J2187" s="52" t="str">
        <f>+IF('Data Pura Costos'!J2187="","",'Data Pura Costos'!J2187)</f>
        <v/>
      </c>
      <c r="K2187" s="82" t="str">
        <f t="shared" si="39"/>
        <v/>
      </c>
    </row>
    <row r="2188" spans="2:11" x14ac:dyDescent="0.35">
      <c r="B2188" s="4" t="str">
        <f>+IF('Data Pura Costos'!B2188="","",'Data Pura Costos'!B2188)</f>
        <v/>
      </c>
      <c r="C2188" s="4" t="str">
        <f>+IF('Data Pura Costos'!C2188="","",'Data Pura Costos'!C2188)</f>
        <v/>
      </c>
      <c r="D2188" s="5" t="str">
        <f>+IF('Data Pura Costos'!D2188="","",'Data Pura Costos'!D2188)</f>
        <v/>
      </c>
      <c r="E2188" s="65" t="str">
        <f>+IF('Data Pura Costos'!E2188="","",IF('Data Pura Costos'!E2188=0,MAX('Data Pura Costos'!$E$7:$E$3000)*1000,'Data Pura Costos'!E2188))</f>
        <v/>
      </c>
      <c r="F2188" s="5" t="str">
        <f>+IF('Data Pura Costos'!F2188="","",'Data Pura Costos'!F2188)</f>
        <v/>
      </c>
      <c r="G2188" s="5" t="str">
        <f>+IF('Data Pura Costos'!G2188="","",'Data Pura Costos'!G2188)</f>
        <v/>
      </c>
      <c r="H2188" s="52" t="str">
        <f>+IF('Data Pura Costos'!H2188="","",'Data Pura Costos'!H2188)</f>
        <v/>
      </c>
      <c r="I2188" s="71" t="str">
        <f>+IF('Data Pura Costos'!I2188="","",'Data Pura Costos'!I2188)</f>
        <v/>
      </c>
      <c r="J2188" s="52" t="str">
        <f>+IF('Data Pura Costos'!J2188="","",'Data Pura Costos'!J2188)</f>
        <v/>
      </c>
      <c r="K2188" s="82" t="str">
        <f t="shared" si="39"/>
        <v/>
      </c>
    </row>
    <row r="2189" spans="2:11" x14ac:dyDescent="0.35">
      <c r="B2189" s="4" t="str">
        <f>+IF('Data Pura Costos'!B2189="","",'Data Pura Costos'!B2189)</f>
        <v/>
      </c>
      <c r="C2189" s="4" t="str">
        <f>+IF('Data Pura Costos'!C2189="","",'Data Pura Costos'!C2189)</f>
        <v/>
      </c>
      <c r="D2189" s="5" t="str">
        <f>+IF('Data Pura Costos'!D2189="","",'Data Pura Costos'!D2189)</f>
        <v/>
      </c>
      <c r="E2189" s="65" t="str">
        <f>+IF('Data Pura Costos'!E2189="","",IF('Data Pura Costos'!E2189=0,MAX('Data Pura Costos'!$E$7:$E$3000)*1000,'Data Pura Costos'!E2189))</f>
        <v/>
      </c>
      <c r="F2189" s="5" t="str">
        <f>+IF('Data Pura Costos'!F2189="","",'Data Pura Costos'!F2189)</f>
        <v/>
      </c>
      <c r="G2189" s="5" t="str">
        <f>+IF('Data Pura Costos'!G2189="","",'Data Pura Costos'!G2189)</f>
        <v/>
      </c>
      <c r="H2189" s="52" t="str">
        <f>+IF('Data Pura Costos'!H2189="","",'Data Pura Costos'!H2189)</f>
        <v/>
      </c>
      <c r="I2189" s="71" t="str">
        <f>+IF('Data Pura Costos'!I2189="","",'Data Pura Costos'!I2189)</f>
        <v/>
      </c>
      <c r="J2189" s="52" t="str">
        <f>+IF('Data Pura Costos'!J2189="","",'Data Pura Costos'!J2189)</f>
        <v/>
      </c>
      <c r="K2189" s="82" t="str">
        <f t="shared" si="39"/>
        <v/>
      </c>
    </row>
    <row r="2190" spans="2:11" x14ac:dyDescent="0.35">
      <c r="B2190" s="4" t="str">
        <f>+IF('Data Pura Costos'!B2190="","",'Data Pura Costos'!B2190)</f>
        <v/>
      </c>
      <c r="C2190" s="4" t="str">
        <f>+IF('Data Pura Costos'!C2190="","",'Data Pura Costos'!C2190)</f>
        <v/>
      </c>
      <c r="D2190" s="5" t="str">
        <f>+IF('Data Pura Costos'!D2190="","",'Data Pura Costos'!D2190)</f>
        <v/>
      </c>
      <c r="E2190" s="65" t="str">
        <f>+IF('Data Pura Costos'!E2190="","",IF('Data Pura Costos'!E2190=0,MAX('Data Pura Costos'!$E$7:$E$3000)*1000,'Data Pura Costos'!E2190))</f>
        <v/>
      </c>
      <c r="F2190" s="5" t="str">
        <f>+IF('Data Pura Costos'!F2190="","",'Data Pura Costos'!F2190)</f>
        <v/>
      </c>
      <c r="G2190" s="5" t="str">
        <f>+IF('Data Pura Costos'!G2190="","",'Data Pura Costos'!G2190)</f>
        <v/>
      </c>
      <c r="H2190" s="52" t="str">
        <f>+IF('Data Pura Costos'!H2190="","",'Data Pura Costos'!H2190)</f>
        <v/>
      </c>
      <c r="I2190" s="71" t="str">
        <f>+IF('Data Pura Costos'!I2190="","",'Data Pura Costos'!I2190)</f>
        <v/>
      </c>
      <c r="J2190" s="52" t="str">
        <f>+IF('Data Pura Costos'!J2190="","",'Data Pura Costos'!J2190)</f>
        <v/>
      </c>
      <c r="K2190" s="82" t="str">
        <f t="shared" si="39"/>
        <v/>
      </c>
    </row>
    <row r="2191" spans="2:11" x14ac:dyDescent="0.35">
      <c r="B2191" s="4" t="str">
        <f>+IF('Data Pura Costos'!B2191="","",'Data Pura Costos'!B2191)</f>
        <v/>
      </c>
      <c r="C2191" s="4" t="str">
        <f>+IF('Data Pura Costos'!C2191="","",'Data Pura Costos'!C2191)</f>
        <v/>
      </c>
      <c r="D2191" s="5" t="str">
        <f>+IF('Data Pura Costos'!D2191="","",'Data Pura Costos'!D2191)</f>
        <v/>
      </c>
      <c r="E2191" s="65" t="str">
        <f>+IF('Data Pura Costos'!E2191="","",IF('Data Pura Costos'!E2191=0,MAX('Data Pura Costos'!$E$7:$E$3000)*1000,'Data Pura Costos'!E2191))</f>
        <v/>
      </c>
      <c r="F2191" s="5" t="str">
        <f>+IF('Data Pura Costos'!F2191="","",'Data Pura Costos'!F2191)</f>
        <v/>
      </c>
      <c r="G2191" s="5" t="str">
        <f>+IF('Data Pura Costos'!G2191="","",'Data Pura Costos'!G2191)</f>
        <v/>
      </c>
      <c r="H2191" s="52" t="str">
        <f>+IF('Data Pura Costos'!H2191="","",'Data Pura Costos'!H2191)</f>
        <v/>
      </c>
      <c r="I2191" s="71" t="str">
        <f>+IF('Data Pura Costos'!I2191="","",'Data Pura Costos'!I2191)</f>
        <v/>
      </c>
      <c r="J2191" s="52" t="str">
        <f>+IF('Data Pura Costos'!J2191="","",'Data Pura Costos'!J2191)</f>
        <v/>
      </c>
      <c r="K2191" s="82" t="str">
        <f t="shared" si="39"/>
        <v/>
      </c>
    </row>
    <row r="2192" spans="2:11" x14ac:dyDescent="0.35">
      <c r="B2192" s="4" t="str">
        <f>+IF('Data Pura Costos'!B2192="","",'Data Pura Costos'!B2192)</f>
        <v/>
      </c>
      <c r="C2192" s="4" t="str">
        <f>+IF('Data Pura Costos'!C2192="","",'Data Pura Costos'!C2192)</f>
        <v/>
      </c>
      <c r="D2192" s="5" t="str">
        <f>+IF('Data Pura Costos'!D2192="","",'Data Pura Costos'!D2192)</f>
        <v/>
      </c>
      <c r="E2192" s="65" t="str">
        <f>+IF('Data Pura Costos'!E2192="","",IF('Data Pura Costos'!E2192=0,MAX('Data Pura Costos'!$E$7:$E$3000)*1000,'Data Pura Costos'!E2192))</f>
        <v/>
      </c>
      <c r="F2192" s="5" t="str">
        <f>+IF('Data Pura Costos'!F2192="","",'Data Pura Costos'!F2192)</f>
        <v/>
      </c>
      <c r="G2192" s="5" t="str">
        <f>+IF('Data Pura Costos'!G2192="","",'Data Pura Costos'!G2192)</f>
        <v/>
      </c>
      <c r="H2192" s="52" t="str">
        <f>+IF('Data Pura Costos'!H2192="","",'Data Pura Costos'!H2192)</f>
        <v/>
      </c>
      <c r="I2192" s="71" t="str">
        <f>+IF('Data Pura Costos'!I2192="","",'Data Pura Costos'!I2192)</f>
        <v/>
      </c>
      <c r="J2192" s="52" t="str">
        <f>+IF('Data Pura Costos'!J2192="","",'Data Pura Costos'!J2192)</f>
        <v/>
      </c>
      <c r="K2192" s="82" t="str">
        <f t="shared" si="39"/>
        <v/>
      </c>
    </row>
    <row r="2193" spans="2:11" x14ac:dyDescent="0.35">
      <c r="B2193" s="4" t="str">
        <f>+IF('Data Pura Costos'!B2193="","",'Data Pura Costos'!B2193)</f>
        <v/>
      </c>
      <c r="C2193" s="4" t="str">
        <f>+IF('Data Pura Costos'!C2193="","",'Data Pura Costos'!C2193)</f>
        <v/>
      </c>
      <c r="D2193" s="5" t="str">
        <f>+IF('Data Pura Costos'!D2193="","",'Data Pura Costos'!D2193)</f>
        <v/>
      </c>
      <c r="E2193" s="65" t="str">
        <f>+IF('Data Pura Costos'!E2193="","",IF('Data Pura Costos'!E2193=0,MAX('Data Pura Costos'!$E$7:$E$3000)*1000,'Data Pura Costos'!E2193))</f>
        <v/>
      </c>
      <c r="F2193" s="5" t="str">
        <f>+IF('Data Pura Costos'!F2193="","",'Data Pura Costos'!F2193)</f>
        <v/>
      </c>
      <c r="G2193" s="5" t="str">
        <f>+IF('Data Pura Costos'!G2193="","",'Data Pura Costos'!G2193)</f>
        <v/>
      </c>
      <c r="H2193" s="52" t="str">
        <f>+IF('Data Pura Costos'!H2193="","",'Data Pura Costos'!H2193)</f>
        <v/>
      </c>
      <c r="I2193" s="71" t="str">
        <f>+IF('Data Pura Costos'!I2193="","",'Data Pura Costos'!I2193)</f>
        <v/>
      </c>
      <c r="J2193" s="52" t="str">
        <f>+IF('Data Pura Costos'!J2193="","",'Data Pura Costos'!J2193)</f>
        <v/>
      </c>
      <c r="K2193" s="82" t="str">
        <f t="shared" si="39"/>
        <v/>
      </c>
    </row>
    <row r="2194" spans="2:11" x14ac:dyDescent="0.35">
      <c r="B2194" s="4" t="str">
        <f>+IF('Data Pura Costos'!B2194="","",'Data Pura Costos'!B2194)</f>
        <v/>
      </c>
      <c r="C2194" s="4" t="str">
        <f>+IF('Data Pura Costos'!C2194="","",'Data Pura Costos'!C2194)</f>
        <v/>
      </c>
      <c r="D2194" s="5" t="str">
        <f>+IF('Data Pura Costos'!D2194="","",'Data Pura Costos'!D2194)</f>
        <v/>
      </c>
      <c r="E2194" s="65" t="str">
        <f>+IF('Data Pura Costos'!E2194="","",IF('Data Pura Costos'!E2194=0,MAX('Data Pura Costos'!$E$7:$E$3000)*1000,'Data Pura Costos'!E2194))</f>
        <v/>
      </c>
      <c r="F2194" s="5" t="str">
        <f>+IF('Data Pura Costos'!F2194="","",'Data Pura Costos'!F2194)</f>
        <v/>
      </c>
      <c r="G2194" s="5" t="str">
        <f>+IF('Data Pura Costos'!G2194="","",'Data Pura Costos'!G2194)</f>
        <v/>
      </c>
      <c r="H2194" s="52" t="str">
        <f>+IF('Data Pura Costos'!H2194="","",'Data Pura Costos'!H2194)</f>
        <v/>
      </c>
      <c r="I2194" s="71" t="str">
        <f>+IF('Data Pura Costos'!I2194="","",'Data Pura Costos'!I2194)</f>
        <v/>
      </c>
      <c r="J2194" s="52" t="str">
        <f>+IF('Data Pura Costos'!J2194="","",'Data Pura Costos'!J2194)</f>
        <v/>
      </c>
      <c r="K2194" s="82" t="str">
        <f t="shared" si="39"/>
        <v/>
      </c>
    </row>
    <row r="2195" spans="2:11" x14ac:dyDescent="0.35">
      <c r="B2195" s="4" t="str">
        <f>+IF('Data Pura Costos'!B2195="","",'Data Pura Costos'!B2195)</f>
        <v/>
      </c>
      <c r="C2195" s="4" t="str">
        <f>+IF('Data Pura Costos'!C2195="","",'Data Pura Costos'!C2195)</f>
        <v/>
      </c>
      <c r="D2195" s="5" t="str">
        <f>+IF('Data Pura Costos'!D2195="","",'Data Pura Costos'!D2195)</f>
        <v/>
      </c>
      <c r="E2195" s="65" t="str">
        <f>+IF('Data Pura Costos'!E2195="","",IF('Data Pura Costos'!E2195=0,MAX('Data Pura Costos'!$E$7:$E$3000)*1000,'Data Pura Costos'!E2195))</f>
        <v/>
      </c>
      <c r="F2195" s="5" t="str">
        <f>+IF('Data Pura Costos'!F2195="","",'Data Pura Costos'!F2195)</f>
        <v/>
      </c>
      <c r="G2195" s="5" t="str">
        <f>+IF('Data Pura Costos'!G2195="","",'Data Pura Costos'!G2195)</f>
        <v/>
      </c>
      <c r="H2195" s="52" t="str">
        <f>+IF('Data Pura Costos'!H2195="","",'Data Pura Costos'!H2195)</f>
        <v/>
      </c>
      <c r="I2195" s="71" t="str">
        <f>+IF('Data Pura Costos'!I2195="","",'Data Pura Costos'!I2195)</f>
        <v/>
      </c>
      <c r="J2195" s="52" t="str">
        <f>+IF('Data Pura Costos'!J2195="","",'Data Pura Costos'!J2195)</f>
        <v/>
      </c>
      <c r="K2195" s="82" t="str">
        <f t="shared" si="39"/>
        <v/>
      </c>
    </row>
    <row r="2196" spans="2:11" x14ac:dyDescent="0.35">
      <c r="B2196" s="4" t="str">
        <f>+IF('Data Pura Costos'!B2196="","",'Data Pura Costos'!B2196)</f>
        <v/>
      </c>
      <c r="C2196" s="4" t="str">
        <f>+IF('Data Pura Costos'!C2196="","",'Data Pura Costos'!C2196)</f>
        <v/>
      </c>
      <c r="D2196" s="5" t="str">
        <f>+IF('Data Pura Costos'!D2196="","",'Data Pura Costos'!D2196)</f>
        <v/>
      </c>
      <c r="E2196" s="65" t="str">
        <f>+IF('Data Pura Costos'!E2196="","",IF('Data Pura Costos'!E2196=0,MAX('Data Pura Costos'!$E$7:$E$3000)*1000,'Data Pura Costos'!E2196))</f>
        <v/>
      </c>
      <c r="F2196" s="5" t="str">
        <f>+IF('Data Pura Costos'!F2196="","",'Data Pura Costos'!F2196)</f>
        <v/>
      </c>
      <c r="G2196" s="5" t="str">
        <f>+IF('Data Pura Costos'!G2196="","",'Data Pura Costos'!G2196)</f>
        <v/>
      </c>
      <c r="H2196" s="52" t="str">
        <f>+IF('Data Pura Costos'!H2196="","",'Data Pura Costos'!H2196)</f>
        <v/>
      </c>
      <c r="I2196" s="71" t="str">
        <f>+IF('Data Pura Costos'!I2196="","",'Data Pura Costos'!I2196)</f>
        <v/>
      </c>
      <c r="J2196" s="52" t="str">
        <f>+IF('Data Pura Costos'!J2196="","",'Data Pura Costos'!J2196)</f>
        <v/>
      </c>
      <c r="K2196" s="82" t="str">
        <f t="shared" si="39"/>
        <v/>
      </c>
    </row>
    <row r="2197" spans="2:11" x14ac:dyDescent="0.35">
      <c r="B2197" s="4" t="str">
        <f>+IF('Data Pura Costos'!B2197="","",'Data Pura Costos'!B2197)</f>
        <v/>
      </c>
      <c r="C2197" s="4" t="str">
        <f>+IF('Data Pura Costos'!C2197="","",'Data Pura Costos'!C2197)</f>
        <v/>
      </c>
      <c r="D2197" s="5" t="str">
        <f>+IF('Data Pura Costos'!D2197="","",'Data Pura Costos'!D2197)</f>
        <v/>
      </c>
      <c r="E2197" s="65" t="str">
        <f>+IF('Data Pura Costos'!E2197="","",IF('Data Pura Costos'!E2197=0,MAX('Data Pura Costos'!$E$7:$E$3000)*1000,'Data Pura Costos'!E2197))</f>
        <v/>
      </c>
      <c r="F2197" s="5" t="str">
        <f>+IF('Data Pura Costos'!F2197="","",'Data Pura Costos'!F2197)</f>
        <v/>
      </c>
      <c r="G2197" s="5" t="str">
        <f>+IF('Data Pura Costos'!G2197="","",'Data Pura Costos'!G2197)</f>
        <v/>
      </c>
      <c r="H2197" s="52" t="str">
        <f>+IF('Data Pura Costos'!H2197="","",'Data Pura Costos'!H2197)</f>
        <v/>
      </c>
      <c r="I2197" s="71" t="str">
        <f>+IF('Data Pura Costos'!I2197="","",'Data Pura Costos'!I2197)</f>
        <v/>
      </c>
      <c r="J2197" s="52" t="str">
        <f>+IF('Data Pura Costos'!J2197="","",'Data Pura Costos'!J2197)</f>
        <v/>
      </c>
      <c r="K2197" s="82" t="str">
        <f t="shared" si="39"/>
        <v/>
      </c>
    </row>
    <row r="2198" spans="2:11" x14ac:dyDescent="0.35">
      <c r="B2198" s="4" t="str">
        <f>+IF('Data Pura Costos'!B2198="","",'Data Pura Costos'!B2198)</f>
        <v/>
      </c>
      <c r="C2198" s="4" t="str">
        <f>+IF('Data Pura Costos'!C2198="","",'Data Pura Costos'!C2198)</f>
        <v/>
      </c>
      <c r="D2198" s="5" t="str">
        <f>+IF('Data Pura Costos'!D2198="","",'Data Pura Costos'!D2198)</f>
        <v/>
      </c>
      <c r="E2198" s="65" t="str">
        <f>+IF('Data Pura Costos'!E2198="","",IF('Data Pura Costos'!E2198=0,MAX('Data Pura Costos'!$E$7:$E$3000)*1000,'Data Pura Costos'!E2198))</f>
        <v/>
      </c>
      <c r="F2198" s="5" t="str">
        <f>+IF('Data Pura Costos'!F2198="","",'Data Pura Costos'!F2198)</f>
        <v/>
      </c>
      <c r="G2198" s="5" t="str">
        <f>+IF('Data Pura Costos'!G2198="","",'Data Pura Costos'!G2198)</f>
        <v/>
      </c>
      <c r="H2198" s="52" t="str">
        <f>+IF('Data Pura Costos'!H2198="","",'Data Pura Costos'!H2198)</f>
        <v/>
      </c>
      <c r="I2198" s="71" t="str">
        <f>+IF('Data Pura Costos'!I2198="","",'Data Pura Costos'!I2198)</f>
        <v/>
      </c>
      <c r="J2198" s="52" t="str">
        <f>+IF('Data Pura Costos'!J2198="","",'Data Pura Costos'!J2198)</f>
        <v/>
      </c>
      <c r="K2198" s="82" t="str">
        <f t="shared" si="39"/>
        <v/>
      </c>
    </row>
    <row r="2199" spans="2:11" x14ac:dyDescent="0.35">
      <c r="B2199" s="4" t="str">
        <f>+IF('Data Pura Costos'!B2199="","",'Data Pura Costos'!B2199)</f>
        <v/>
      </c>
      <c r="C2199" s="4" t="str">
        <f>+IF('Data Pura Costos'!C2199="","",'Data Pura Costos'!C2199)</f>
        <v/>
      </c>
      <c r="D2199" s="5" t="str">
        <f>+IF('Data Pura Costos'!D2199="","",'Data Pura Costos'!D2199)</f>
        <v/>
      </c>
      <c r="E2199" s="65" t="str">
        <f>+IF('Data Pura Costos'!E2199="","",IF('Data Pura Costos'!E2199=0,MAX('Data Pura Costos'!$E$7:$E$3000)*1000,'Data Pura Costos'!E2199))</f>
        <v/>
      </c>
      <c r="F2199" s="5" t="str">
        <f>+IF('Data Pura Costos'!F2199="","",'Data Pura Costos'!F2199)</f>
        <v/>
      </c>
      <c r="G2199" s="5" t="str">
        <f>+IF('Data Pura Costos'!G2199="","",'Data Pura Costos'!G2199)</f>
        <v/>
      </c>
      <c r="H2199" s="52" t="str">
        <f>+IF('Data Pura Costos'!H2199="","",'Data Pura Costos'!H2199)</f>
        <v/>
      </c>
      <c r="I2199" s="71" t="str">
        <f>+IF('Data Pura Costos'!I2199="","",'Data Pura Costos'!I2199)</f>
        <v/>
      </c>
      <c r="J2199" s="52" t="str">
        <f>+IF('Data Pura Costos'!J2199="","",'Data Pura Costos'!J2199)</f>
        <v/>
      </c>
      <c r="K2199" s="82" t="str">
        <f t="shared" si="39"/>
        <v/>
      </c>
    </row>
    <row r="2200" spans="2:11" x14ac:dyDescent="0.35">
      <c r="B2200" s="4" t="str">
        <f>+IF('Data Pura Costos'!B2200="","",'Data Pura Costos'!B2200)</f>
        <v/>
      </c>
      <c r="C2200" s="4" t="str">
        <f>+IF('Data Pura Costos'!C2200="","",'Data Pura Costos'!C2200)</f>
        <v/>
      </c>
      <c r="D2200" s="5" t="str">
        <f>+IF('Data Pura Costos'!D2200="","",'Data Pura Costos'!D2200)</f>
        <v/>
      </c>
      <c r="E2200" s="65" t="str">
        <f>+IF('Data Pura Costos'!E2200="","",IF('Data Pura Costos'!E2200=0,MAX('Data Pura Costos'!$E$7:$E$3000)*1000,'Data Pura Costos'!E2200))</f>
        <v/>
      </c>
      <c r="F2200" s="5" t="str">
        <f>+IF('Data Pura Costos'!F2200="","",'Data Pura Costos'!F2200)</f>
        <v/>
      </c>
      <c r="G2200" s="5" t="str">
        <f>+IF('Data Pura Costos'!G2200="","",'Data Pura Costos'!G2200)</f>
        <v/>
      </c>
      <c r="H2200" s="52" t="str">
        <f>+IF('Data Pura Costos'!H2200="","",'Data Pura Costos'!H2200)</f>
        <v/>
      </c>
      <c r="I2200" s="71" t="str">
        <f>+IF('Data Pura Costos'!I2200="","",'Data Pura Costos'!I2200)</f>
        <v/>
      </c>
      <c r="J2200" s="52" t="str">
        <f>+IF('Data Pura Costos'!J2200="","",'Data Pura Costos'!J2200)</f>
        <v/>
      </c>
      <c r="K2200" s="82" t="str">
        <f t="shared" si="39"/>
        <v/>
      </c>
    </row>
    <row r="2201" spans="2:11" x14ac:dyDescent="0.35">
      <c r="B2201" s="4" t="str">
        <f>+IF('Data Pura Costos'!B2201="","",'Data Pura Costos'!B2201)</f>
        <v/>
      </c>
      <c r="C2201" s="4" t="str">
        <f>+IF('Data Pura Costos'!C2201="","",'Data Pura Costos'!C2201)</f>
        <v/>
      </c>
      <c r="D2201" s="5" t="str">
        <f>+IF('Data Pura Costos'!D2201="","",'Data Pura Costos'!D2201)</f>
        <v/>
      </c>
      <c r="E2201" s="65" t="str">
        <f>+IF('Data Pura Costos'!E2201="","",IF('Data Pura Costos'!E2201=0,MAX('Data Pura Costos'!$E$7:$E$3000)*1000,'Data Pura Costos'!E2201))</f>
        <v/>
      </c>
      <c r="F2201" s="5" t="str">
        <f>+IF('Data Pura Costos'!F2201="","",'Data Pura Costos'!F2201)</f>
        <v/>
      </c>
      <c r="G2201" s="5" t="str">
        <f>+IF('Data Pura Costos'!G2201="","",'Data Pura Costos'!G2201)</f>
        <v/>
      </c>
      <c r="H2201" s="52" t="str">
        <f>+IF('Data Pura Costos'!H2201="","",'Data Pura Costos'!H2201)</f>
        <v/>
      </c>
      <c r="I2201" s="71" t="str">
        <f>+IF('Data Pura Costos'!I2201="","",'Data Pura Costos'!I2201)</f>
        <v/>
      </c>
      <c r="J2201" s="52" t="str">
        <f>+IF('Data Pura Costos'!J2201="","",'Data Pura Costos'!J2201)</f>
        <v/>
      </c>
      <c r="K2201" s="82" t="str">
        <f t="shared" si="39"/>
        <v/>
      </c>
    </row>
    <row r="2202" spans="2:11" x14ac:dyDescent="0.35">
      <c r="B2202" s="4" t="str">
        <f>+IF('Data Pura Costos'!B2202="","",'Data Pura Costos'!B2202)</f>
        <v/>
      </c>
      <c r="C2202" s="4" t="str">
        <f>+IF('Data Pura Costos'!C2202="","",'Data Pura Costos'!C2202)</f>
        <v/>
      </c>
      <c r="D2202" s="5" t="str">
        <f>+IF('Data Pura Costos'!D2202="","",'Data Pura Costos'!D2202)</f>
        <v/>
      </c>
      <c r="E2202" s="65" t="str">
        <f>+IF('Data Pura Costos'!E2202="","",IF('Data Pura Costos'!E2202=0,MAX('Data Pura Costos'!$E$7:$E$3000)*1000,'Data Pura Costos'!E2202))</f>
        <v/>
      </c>
      <c r="F2202" s="5" t="str">
        <f>+IF('Data Pura Costos'!F2202="","",'Data Pura Costos'!F2202)</f>
        <v/>
      </c>
      <c r="G2202" s="5" t="str">
        <f>+IF('Data Pura Costos'!G2202="","",'Data Pura Costos'!G2202)</f>
        <v/>
      </c>
      <c r="H2202" s="52" t="str">
        <f>+IF('Data Pura Costos'!H2202="","",'Data Pura Costos'!H2202)</f>
        <v/>
      </c>
      <c r="I2202" s="71" t="str">
        <f>+IF('Data Pura Costos'!I2202="","",'Data Pura Costos'!I2202)</f>
        <v/>
      </c>
      <c r="J2202" s="52" t="str">
        <f>+IF('Data Pura Costos'!J2202="","",'Data Pura Costos'!J2202)</f>
        <v/>
      </c>
      <c r="K2202" s="82" t="str">
        <f t="shared" si="39"/>
        <v/>
      </c>
    </row>
    <row r="2203" spans="2:11" x14ac:dyDescent="0.35">
      <c r="B2203" s="4" t="str">
        <f>+IF('Data Pura Costos'!B2203="","",'Data Pura Costos'!B2203)</f>
        <v/>
      </c>
      <c r="C2203" s="4" t="str">
        <f>+IF('Data Pura Costos'!C2203="","",'Data Pura Costos'!C2203)</f>
        <v/>
      </c>
      <c r="D2203" s="5" t="str">
        <f>+IF('Data Pura Costos'!D2203="","",'Data Pura Costos'!D2203)</f>
        <v/>
      </c>
      <c r="E2203" s="65" t="str">
        <f>+IF('Data Pura Costos'!E2203="","",IF('Data Pura Costos'!E2203=0,MAX('Data Pura Costos'!$E$7:$E$3000)*1000,'Data Pura Costos'!E2203))</f>
        <v/>
      </c>
      <c r="F2203" s="5" t="str">
        <f>+IF('Data Pura Costos'!F2203="","",'Data Pura Costos'!F2203)</f>
        <v/>
      </c>
      <c r="G2203" s="5" t="str">
        <f>+IF('Data Pura Costos'!G2203="","",'Data Pura Costos'!G2203)</f>
        <v/>
      </c>
      <c r="H2203" s="52" t="str">
        <f>+IF('Data Pura Costos'!H2203="","",'Data Pura Costos'!H2203)</f>
        <v/>
      </c>
      <c r="I2203" s="71" t="str">
        <f>+IF('Data Pura Costos'!I2203="","",'Data Pura Costos'!I2203)</f>
        <v/>
      </c>
      <c r="J2203" s="52" t="str">
        <f>+IF('Data Pura Costos'!J2203="","",'Data Pura Costos'!J2203)</f>
        <v/>
      </c>
      <c r="K2203" s="82" t="str">
        <f t="shared" si="39"/>
        <v/>
      </c>
    </row>
    <row r="2204" spans="2:11" x14ac:dyDescent="0.35">
      <c r="B2204" s="4" t="str">
        <f>+IF('Data Pura Costos'!B2204="","",'Data Pura Costos'!B2204)</f>
        <v/>
      </c>
      <c r="C2204" s="4" t="str">
        <f>+IF('Data Pura Costos'!C2204="","",'Data Pura Costos'!C2204)</f>
        <v/>
      </c>
      <c r="D2204" s="5" t="str">
        <f>+IF('Data Pura Costos'!D2204="","",'Data Pura Costos'!D2204)</f>
        <v/>
      </c>
      <c r="E2204" s="65" t="str">
        <f>+IF('Data Pura Costos'!E2204="","",IF('Data Pura Costos'!E2204=0,MAX('Data Pura Costos'!$E$7:$E$3000)*1000,'Data Pura Costos'!E2204))</f>
        <v/>
      </c>
      <c r="F2204" s="5" t="str">
        <f>+IF('Data Pura Costos'!F2204="","",'Data Pura Costos'!F2204)</f>
        <v/>
      </c>
      <c r="G2204" s="5" t="str">
        <f>+IF('Data Pura Costos'!G2204="","",'Data Pura Costos'!G2204)</f>
        <v/>
      </c>
      <c r="H2204" s="52" t="str">
        <f>+IF('Data Pura Costos'!H2204="","",'Data Pura Costos'!H2204)</f>
        <v/>
      </c>
      <c r="I2204" s="71" t="str">
        <f>+IF('Data Pura Costos'!I2204="","",'Data Pura Costos'!I2204)</f>
        <v/>
      </c>
      <c r="J2204" s="52" t="str">
        <f>+IF('Data Pura Costos'!J2204="","",'Data Pura Costos'!J2204)</f>
        <v/>
      </c>
      <c r="K2204" s="82" t="str">
        <f t="shared" si="39"/>
        <v/>
      </c>
    </row>
    <row r="2205" spans="2:11" x14ac:dyDescent="0.35">
      <c r="B2205" s="4" t="str">
        <f>+IF('Data Pura Costos'!B2205="","",'Data Pura Costos'!B2205)</f>
        <v/>
      </c>
      <c r="C2205" s="4" t="str">
        <f>+IF('Data Pura Costos'!C2205="","",'Data Pura Costos'!C2205)</f>
        <v/>
      </c>
      <c r="D2205" s="5" t="str">
        <f>+IF('Data Pura Costos'!D2205="","",'Data Pura Costos'!D2205)</f>
        <v/>
      </c>
      <c r="E2205" s="65" t="str">
        <f>+IF('Data Pura Costos'!E2205="","",IF('Data Pura Costos'!E2205=0,MAX('Data Pura Costos'!$E$7:$E$3000)*1000,'Data Pura Costos'!E2205))</f>
        <v/>
      </c>
      <c r="F2205" s="5" t="str">
        <f>+IF('Data Pura Costos'!F2205="","",'Data Pura Costos'!F2205)</f>
        <v/>
      </c>
      <c r="G2205" s="5" t="str">
        <f>+IF('Data Pura Costos'!G2205="","",'Data Pura Costos'!G2205)</f>
        <v/>
      </c>
      <c r="H2205" s="52" t="str">
        <f>+IF('Data Pura Costos'!H2205="","",'Data Pura Costos'!H2205)</f>
        <v/>
      </c>
      <c r="I2205" s="71" t="str">
        <f>+IF('Data Pura Costos'!I2205="","",'Data Pura Costos'!I2205)</f>
        <v/>
      </c>
      <c r="J2205" s="52" t="str">
        <f>+IF('Data Pura Costos'!J2205="","",'Data Pura Costos'!J2205)</f>
        <v/>
      </c>
      <c r="K2205" s="82" t="str">
        <f t="shared" si="39"/>
        <v/>
      </c>
    </row>
    <row r="2206" spans="2:11" x14ac:dyDescent="0.35">
      <c r="B2206" s="4" t="str">
        <f>+IF('Data Pura Costos'!B2206="","",'Data Pura Costos'!B2206)</f>
        <v/>
      </c>
      <c r="C2206" s="4" t="str">
        <f>+IF('Data Pura Costos'!C2206="","",'Data Pura Costos'!C2206)</f>
        <v/>
      </c>
      <c r="D2206" s="5" t="str">
        <f>+IF('Data Pura Costos'!D2206="","",'Data Pura Costos'!D2206)</f>
        <v/>
      </c>
      <c r="E2206" s="65" t="str">
        <f>+IF('Data Pura Costos'!E2206="","",IF('Data Pura Costos'!E2206=0,MAX('Data Pura Costos'!$E$7:$E$3000)*1000,'Data Pura Costos'!E2206))</f>
        <v/>
      </c>
      <c r="F2206" s="5" t="str">
        <f>+IF('Data Pura Costos'!F2206="","",'Data Pura Costos'!F2206)</f>
        <v/>
      </c>
      <c r="G2206" s="5" t="str">
        <f>+IF('Data Pura Costos'!G2206="","",'Data Pura Costos'!G2206)</f>
        <v/>
      </c>
      <c r="H2206" s="52" t="str">
        <f>+IF('Data Pura Costos'!H2206="","",'Data Pura Costos'!H2206)</f>
        <v/>
      </c>
      <c r="I2206" s="71" t="str">
        <f>+IF('Data Pura Costos'!I2206="","",'Data Pura Costos'!I2206)</f>
        <v/>
      </c>
      <c r="J2206" s="52" t="str">
        <f>+IF('Data Pura Costos'!J2206="","",'Data Pura Costos'!J2206)</f>
        <v/>
      </c>
      <c r="K2206" s="82" t="str">
        <f t="shared" si="39"/>
        <v/>
      </c>
    </row>
    <row r="2207" spans="2:11" x14ac:dyDescent="0.35">
      <c r="B2207" s="4" t="str">
        <f>+IF('Data Pura Costos'!B2207="","",'Data Pura Costos'!B2207)</f>
        <v/>
      </c>
      <c r="C2207" s="4" t="str">
        <f>+IF('Data Pura Costos'!C2207="","",'Data Pura Costos'!C2207)</f>
        <v/>
      </c>
      <c r="D2207" s="5" t="str">
        <f>+IF('Data Pura Costos'!D2207="","",'Data Pura Costos'!D2207)</f>
        <v/>
      </c>
      <c r="E2207" s="65" t="str">
        <f>+IF('Data Pura Costos'!E2207="","",IF('Data Pura Costos'!E2207=0,MAX('Data Pura Costos'!$E$7:$E$3000)*1000,'Data Pura Costos'!E2207))</f>
        <v/>
      </c>
      <c r="F2207" s="5" t="str">
        <f>+IF('Data Pura Costos'!F2207="","",'Data Pura Costos'!F2207)</f>
        <v/>
      </c>
      <c r="G2207" s="5" t="str">
        <f>+IF('Data Pura Costos'!G2207="","",'Data Pura Costos'!G2207)</f>
        <v/>
      </c>
      <c r="H2207" s="52" t="str">
        <f>+IF('Data Pura Costos'!H2207="","",'Data Pura Costos'!H2207)</f>
        <v/>
      </c>
      <c r="I2207" s="71" t="str">
        <f>+IF('Data Pura Costos'!I2207="","",'Data Pura Costos'!I2207)</f>
        <v/>
      </c>
      <c r="J2207" s="52" t="str">
        <f>+IF('Data Pura Costos'!J2207="","",'Data Pura Costos'!J2207)</f>
        <v/>
      </c>
      <c r="K2207" s="82" t="str">
        <f t="shared" si="39"/>
        <v/>
      </c>
    </row>
    <row r="2208" spans="2:11" x14ac:dyDescent="0.35">
      <c r="B2208" s="4" t="str">
        <f>+IF('Data Pura Costos'!B2208="","",'Data Pura Costos'!B2208)</f>
        <v/>
      </c>
      <c r="C2208" s="4" t="str">
        <f>+IF('Data Pura Costos'!C2208="","",'Data Pura Costos'!C2208)</f>
        <v/>
      </c>
      <c r="D2208" s="5" t="str">
        <f>+IF('Data Pura Costos'!D2208="","",'Data Pura Costos'!D2208)</f>
        <v/>
      </c>
      <c r="E2208" s="65" t="str">
        <f>+IF('Data Pura Costos'!E2208="","",IF('Data Pura Costos'!E2208=0,MAX('Data Pura Costos'!$E$7:$E$3000)*1000,'Data Pura Costos'!E2208))</f>
        <v/>
      </c>
      <c r="F2208" s="5" t="str">
        <f>+IF('Data Pura Costos'!F2208="","",'Data Pura Costos'!F2208)</f>
        <v/>
      </c>
      <c r="G2208" s="5" t="str">
        <f>+IF('Data Pura Costos'!G2208="","",'Data Pura Costos'!G2208)</f>
        <v/>
      </c>
      <c r="H2208" s="52" t="str">
        <f>+IF('Data Pura Costos'!H2208="","",'Data Pura Costos'!H2208)</f>
        <v/>
      </c>
      <c r="I2208" s="71" t="str">
        <f>+IF('Data Pura Costos'!I2208="","",'Data Pura Costos'!I2208)</f>
        <v/>
      </c>
      <c r="J2208" s="52" t="str">
        <f>+IF('Data Pura Costos'!J2208="","",'Data Pura Costos'!J2208)</f>
        <v/>
      </c>
      <c r="K2208" s="82" t="str">
        <f t="shared" si="39"/>
        <v/>
      </c>
    </row>
    <row r="2209" spans="2:11" x14ac:dyDescent="0.35">
      <c r="B2209" s="4" t="str">
        <f>+IF('Data Pura Costos'!B2209="","",'Data Pura Costos'!B2209)</f>
        <v/>
      </c>
      <c r="C2209" s="4" t="str">
        <f>+IF('Data Pura Costos'!C2209="","",'Data Pura Costos'!C2209)</f>
        <v/>
      </c>
      <c r="D2209" s="5" t="str">
        <f>+IF('Data Pura Costos'!D2209="","",'Data Pura Costos'!D2209)</f>
        <v/>
      </c>
      <c r="E2209" s="65" t="str">
        <f>+IF('Data Pura Costos'!E2209="","",IF('Data Pura Costos'!E2209=0,MAX('Data Pura Costos'!$E$7:$E$3000)*1000,'Data Pura Costos'!E2209))</f>
        <v/>
      </c>
      <c r="F2209" s="5" t="str">
        <f>+IF('Data Pura Costos'!F2209="","",'Data Pura Costos'!F2209)</f>
        <v/>
      </c>
      <c r="G2209" s="5" t="str">
        <f>+IF('Data Pura Costos'!G2209="","",'Data Pura Costos'!G2209)</f>
        <v/>
      </c>
      <c r="H2209" s="52" t="str">
        <f>+IF('Data Pura Costos'!H2209="","",'Data Pura Costos'!H2209)</f>
        <v/>
      </c>
      <c r="I2209" s="71" t="str">
        <f>+IF('Data Pura Costos'!I2209="","",'Data Pura Costos'!I2209)</f>
        <v/>
      </c>
      <c r="J2209" s="52" t="str">
        <f>+IF('Data Pura Costos'!J2209="","",'Data Pura Costos'!J2209)</f>
        <v/>
      </c>
      <c r="K2209" s="82" t="str">
        <f t="shared" si="39"/>
        <v/>
      </c>
    </row>
    <row r="2210" spans="2:11" x14ac:dyDescent="0.35">
      <c r="B2210" s="4" t="str">
        <f>+IF('Data Pura Costos'!B2210="","",'Data Pura Costos'!B2210)</f>
        <v/>
      </c>
      <c r="C2210" s="4" t="str">
        <f>+IF('Data Pura Costos'!C2210="","",'Data Pura Costos'!C2210)</f>
        <v/>
      </c>
      <c r="D2210" s="5" t="str">
        <f>+IF('Data Pura Costos'!D2210="","",'Data Pura Costos'!D2210)</f>
        <v/>
      </c>
      <c r="E2210" s="65" t="str">
        <f>+IF('Data Pura Costos'!E2210="","",IF('Data Pura Costos'!E2210=0,MAX('Data Pura Costos'!$E$7:$E$3000)*1000,'Data Pura Costos'!E2210))</f>
        <v/>
      </c>
      <c r="F2210" s="5" t="str">
        <f>+IF('Data Pura Costos'!F2210="","",'Data Pura Costos'!F2210)</f>
        <v/>
      </c>
      <c r="G2210" s="5" t="str">
        <f>+IF('Data Pura Costos'!G2210="","",'Data Pura Costos'!G2210)</f>
        <v/>
      </c>
      <c r="H2210" s="52" t="str">
        <f>+IF('Data Pura Costos'!H2210="","",'Data Pura Costos'!H2210)</f>
        <v/>
      </c>
      <c r="I2210" s="71" t="str">
        <f>+IF('Data Pura Costos'!I2210="","",'Data Pura Costos'!I2210)</f>
        <v/>
      </c>
      <c r="J2210" s="52" t="str">
        <f>+IF('Data Pura Costos'!J2210="","",'Data Pura Costos'!J2210)</f>
        <v/>
      </c>
      <c r="K2210" s="82" t="str">
        <f t="shared" si="39"/>
        <v/>
      </c>
    </row>
    <row r="2211" spans="2:11" x14ac:dyDescent="0.35">
      <c r="B2211" s="4" t="str">
        <f>+IF('Data Pura Costos'!B2211="","",'Data Pura Costos'!B2211)</f>
        <v/>
      </c>
      <c r="C2211" s="4" t="str">
        <f>+IF('Data Pura Costos'!C2211="","",'Data Pura Costos'!C2211)</f>
        <v/>
      </c>
      <c r="D2211" s="5" t="str">
        <f>+IF('Data Pura Costos'!D2211="","",'Data Pura Costos'!D2211)</f>
        <v/>
      </c>
      <c r="E2211" s="65" t="str">
        <f>+IF('Data Pura Costos'!E2211="","",IF('Data Pura Costos'!E2211=0,MAX('Data Pura Costos'!$E$7:$E$3000)*1000,'Data Pura Costos'!E2211))</f>
        <v/>
      </c>
      <c r="F2211" s="5" t="str">
        <f>+IF('Data Pura Costos'!F2211="","",'Data Pura Costos'!F2211)</f>
        <v/>
      </c>
      <c r="G2211" s="5" t="str">
        <f>+IF('Data Pura Costos'!G2211="","",'Data Pura Costos'!G2211)</f>
        <v/>
      </c>
      <c r="H2211" s="52" t="str">
        <f>+IF('Data Pura Costos'!H2211="","",'Data Pura Costos'!H2211)</f>
        <v/>
      </c>
      <c r="I2211" s="71" t="str">
        <f>+IF('Data Pura Costos'!I2211="","",'Data Pura Costos'!I2211)</f>
        <v/>
      </c>
      <c r="J2211" s="52" t="str">
        <f>+IF('Data Pura Costos'!J2211="","",'Data Pura Costos'!J2211)</f>
        <v/>
      </c>
      <c r="K2211" s="82" t="str">
        <f t="shared" si="39"/>
        <v/>
      </c>
    </row>
    <row r="2212" spans="2:11" x14ac:dyDescent="0.35">
      <c r="B2212" s="4" t="str">
        <f>+IF('Data Pura Costos'!B2212="","",'Data Pura Costos'!B2212)</f>
        <v/>
      </c>
      <c r="C2212" s="4" t="str">
        <f>+IF('Data Pura Costos'!C2212="","",'Data Pura Costos'!C2212)</f>
        <v/>
      </c>
      <c r="D2212" s="5" t="str">
        <f>+IF('Data Pura Costos'!D2212="","",'Data Pura Costos'!D2212)</f>
        <v/>
      </c>
      <c r="E2212" s="65" t="str">
        <f>+IF('Data Pura Costos'!E2212="","",IF('Data Pura Costos'!E2212=0,MAX('Data Pura Costos'!$E$7:$E$3000)*1000,'Data Pura Costos'!E2212))</f>
        <v/>
      </c>
      <c r="F2212" s="5" t="str">
        <f>+IF('Data Pura Costos'!F2212="","",'Data Pura Costos'!F2212)</f>
        <v/>
      </c>
      <c r="G2212" s="5" t="str">
        <f>+IF('Data Pura Costos'!G2212="","",'Data Pura Costos'!G2212)</f>
        <v/>
      </c>
      <c r="H2212" s="52" t="str">
        <f>+IF('Data Pura Costos'!H2212="","",'Data Pura Costos'!H2212)</f>
        <v/>
      </c>
      <c r="I2212" s="71" t="str">
        <f>+IF('Data Pura Costos'!I2212="","",'Data Pura Costos'!I2212)</f>
        <v/>
      </c>
      <c r="J2212" s="52" t="str">
        <f>+IF('Data Pura Costos'!J2212="","",'Data Pura Costos'!J2212)</f>
        <v/>
      </c>
      <c r="K2212" s="82" t="str">
        <f t="shared" si="39"/>
        <v/>
      </c>
    </row>
    <row r="2213" spans="2:11" x14ac:dyDescent="0.35">
      <c r="B2213" s="4" t="str">
        <f>+IF('Data Pura Costos'!B2213="","",'Data Pura Costos'!B2213)</f>
        <v/>
      </c>
      <c r="C2213" s="4" t="str">
        <f>+IF('Data Pura Costos'!C2213="","",'Data Pura Costos'!C2213)</f>
        <v/>
      </c>
      <c r="D2213" s="5" t="str">
        <f>+IF('Data Pura Costos'!D2213="","",'Data Pura Costos'!D2213)</f>
        <v/>
      </c>
      <c r="E2213" s="65" t="str">
        <f>+IF('Data Pura Costos'!E2213="","",IF('Data Pura Costos'!E2213=0,MAX('Data Pura Costos'!$E$7:$E$3000)*1000,'Data Pura Costos'!E2213))</f>
        <v/>
      </c>
      <c r="F2213" s="5" t="str">
        <f>+IF('Data Pura Costos'!F2213="","",'Data Pura Costos'!F2213)</f>
        <v/>
      </c>
      <c r="G2213" s="5" t="str">
        <f>+IF('Data Pura Costos'!G2213="","",'Data Pura Costos'!G2213)</f>
        <v/>
      </c>
      <c r="H2213" s="52" t="str">
        <f>+IF('Data Pura Costos'!H2213="","",'Data Pura Costos'!H2213)</f>
        <v/>
      </c>
      <c r="I2213" s="71" t="str">
        <f>+IF('Data Pura Costos'!I2213="","",'Data Pura Costos'!I2213)</f>
        <v/>
      </c>
      <c r="J2213" s="52" t="str">
        <f>+IF('Data Pura Costos'!J2213="","",'Data Pura Costos'!J2213)</f>
        <v/>
      </c>
      <c r="K2213" s="82" t="str">
        <f t="shared" si="39"/>
        <v/>
      </c>
    </row>
    <row r="2214" spans="2:11" x14ac:dyDescent="0.35">
      <c r="B2214" s="4" t="str">
        <f>+IF('Data Pura Costos'!B2214="","",'Data Pura Costos'!B2214)</f>
        <v/>
      </c>
      <c r="C2214" s="4" t="str">
        <f>+IF('Data Pura Costos'!C2214="","",'Data Pura Costos'!C2214)</f>
        <v/>
      </c>
      <c r="D2214" s="5" t="str">
        <f>+IF('Data Pura Costos'!D2214="","",'Data Pura Costos'!D2214)</f>
        <v/>
      </c>
      <c r="E2214" s="65" t="str">
        <f>+IF('Data Pura Costos'!E2214="","",IF('Data Pura Costos'!E2214=0,MAX('Data Pura Costos'!$E$7:$E$3000)*1000,'Data Pura Costos'!E2214))</f>
        <v/>
      </c>
      <c r="F2214" s="5" t="str">
        <f>+IF('Data Pura Costos'!F2214="","",'Data Pura Costos'!F2214)</f>
        <v/>
      </c>
      <c r="G2214" s="5" t="str">
        <f>+IF('Data Pura Costos'!G2214="","",'Data Pura Costos'!G2214)</f>
        <v/>
      </c>
      <c r="H2214" s="52" t="str">
        <f>+IF('Data Pura Costos'!H2214="","",'Data Pura Costos'!H2214)</f>
        <v/>
      </c>
      <c r="I2214" s="71" t="str">
        <f>+IF('Data Pura Costos'!I2214="","",'Data Pura Costos'!I2214)</f>
        <v/>
      </c>
      <c r="J2214" s="52" t="str">
        <f>+IF('Data Pura Costos'!J2214="","",'Data Pura Costos'!J2214)</f>
        <v/>
      </c>
      <c r="K2214" s="82" t="str">
        <f t="shared" si="39"/>
        <v/>
      </c>
    </row>
    <row r="2215" spans="2:11" x14ac:dyDescent="0.35">
      <c r="B2215" s="4" t="str">
        <f>+IF('Data Pura Costos'!B2215="","",'Data Pura Costos'!B2215)</f>
        <v/>
      </c>
      <c r="C2215" s="4" t="str">
        <f>+IF('Data Pura Costos'!C2215="","",'Data Pura Costos'!C2215)</f>
        <v/>
      </c>
      <c r="D2215" s="5" t="str">
        <f>+IF('Data Pura Costos'!D2215="","",'Data Pura Costos'!D2215)</f>
        <v/>
      </c>
      <c r="E2215" s="65" t="str">
        <f>+IF('Data Pura Costos'!E2215="","",IF('Data Pura Costos'!E2215=0,MAX('Data Pura Costos'!$E$7:$E$3000)*1000,'Data Pura Costos'!E2215))</f>
        <v/>
      </c>
      <c r="F2215" s="5" t="str">
        <f>+IF('Data Pura Costos'!F2215="","",'Data Pura Costos'!F2215)</f>
        <v/>
      </c>
      <c r="G2215" s="5" t="str">
        <f>+IF('Data Pura Costos'!G2215="","",'Data Pura Costos'!G2215)</f>
        <v/>
      </c>
      <c r="H2215" s="52" t="str">
        <f>+IF('Data Pura Costos'!H2215="","",'Data Pura Costos'!H2215)</f>
        <v/>
      </c>
      <c r="I2215" s="71" t="str">
        <f>+IF('Data Pura Costos'!I2215="","",'Data Pura Costos'!I2215)</f>
        <v/>
      </c>
      <c r="J2215" s="52" t="str">
        <f>+IF('Data Pura Costos'!J2215="","",'Data Pura Costos'!J2215)</f>
        <v/>
      </c>
      <c r="K2215" s="82" t="str">
        <f t="shared" si="39"/>
        <v/>
      </c>
    </row>
    <row r="2216" spans="2:11" x14ac:dyDescent="0.35">
      <c r="B2216" s="4" t="str">
        <f>+IF('Data Pura Costos'!B2216="","",'Data Pura Costos'!B2216)</f>
        <v/>
      </c>
      <c r="C2216" s="4" t="str">
        <f>+IF('Data Pura Costos'!C2216="","",'Data Pura Costos'!C2216)</f>
        <v/>
      </c>
      <c r="D2216" s="5" t="str">
        <f>+IF('Data Pura Costos'!D2216="","",'Data Pura Costos'!D2216)</f>
        <v/>
      </c>
      <c r="E2216" s="65" t="str">
        <f>+IF('Data Pura Costos'!E2216="","",IF('Data Pura Costos'!E2216=0,MAX('Data Pura Costos'!$E$7:$E$3000)*1000,'Data Pura Costos'!E2216))</f>
        <v/>
      </c>
      <c r="F2216" s="5" t="str">
        <f>+IF('Data Pura Costos'!F2216="","",'Data Pura Costos'!F2216)</f>
        <v/>
      </c>
      <c r="G2216" s="5" t="str">
        <f>+IF('Data Pura Costos'!G2216="","",'Data Pura Costos'!G2216)</f>
        <v/>
      </c>
      <c r="H2216" s="52" t="str">
        <f>+IF('Data Pura Costos'!H2216="","",'Data Pura Costos'!H2216)</f>
        <v/>
      </c>
      <c r="I2216" s="71" t="str">
        <f>+IF('Data Pura Costos'!I2216="","",'Data Pura Costos'!I2216)</f>
        <v/>
      </c>
      <c r="J2216" s="52" t="str">
        <f>+IF('Data Pura Costos'!J2216="","",'Data Pura Costos'!J2216)</f>
        <v/>
      </c>
      <c r="K2216" s="82" t="str">
        <f t="shared" si="39"/>
        <v/>
      </c>
    </row>
    <row r="2217" spans="2:11" x14ac:dyDescent="0.35">
      <c r="B2217" s="4" t="str">
        <f>+IF('Data Pura Costos'!B2217="","",'Data Pura Costos'!B2217)</f>
        <v/>
      </c>
      <c r="C2217" s="4" t="str">
        <f>+IF('Data Pura Costos'!C2217="","",'Data Pura Costos'!C2217)</f>
        <v/>
      </c>
      <c r="D2217" s="5" t="str">
        <f>+IF('Data Pura Costos'!D2217="","",'Data Pura Costos'!D2217)</f>
        <v/>
      </c>
      <c r="E2217" s="65" t="str">
        <f>+IF('Data Pura Costos'!E2217="","",IF('Data Pura Costos'!E2217=0,MAX('Data Pura Costos'!$E$7:$E$3000)*1000,'Data Pura Costos'!E2217))</f>
        <v/>
      </c>
      <c r="F2217" s="5" t="str">
        <f>+IF('Data Pura Costos'!F2217="","",'Data Pura Costos'!F2217)</f>
        <v/>
      </c>
      <c r="G2217" s="5" t="str">
        <f>+IF('Data Pura Costos'!G2217="","",'Data Pura Costos'!G2217)</f>
        <v/>
      </c>
      <c r="H2217" s="52" t="str">
        <f>+IF('Data Pura Costos'!H2217="","",'Data Pura Costos'!H2217)</f>
        <v/>
      </c>
      <c r="I2217" s="71" t="str">
        <f>+IF('Data Pura Costos'!I2217="","",'Data Pura Costos'!I2217)</f>
        <v/>
      </c>
      <c r="J2217" s="52" t="str">
        <f>+IF('Data Pura Costos'!J2217="","",'Data Pura Costos'!J2217)</f>
        <v/>
      </c>
      <c r="K2217" s="82" t="str">
        <f t="shared" si="39"/>
        <v/>
      </c>
    </row>
    <row r="2218" spans="2:11" x14ac:dyDescent="0.35">
      <c r="B2218" s="4" t="str">
        <f>+IF('Data Pura Costos'!B2218="","",'Data Pura Costos'!B2218)</f>
        <v/>
      </c>
      <c r="C2218" s="4" t="str">
        <f>+IF('Data Pura Costos'!C2218="","",'Data Pura Costos'!C2218)</f>
        <v/>
      </c>
      <c r="D2218" s="5" t="str">
        <f>+IF('Data Pura Costos'!D2218="","",'Data Pura Costos'!D2218)</f>
        <v/>
      </c>
      <c r="E2218" s="65" t="str">
        <f>+IF('Data Pura Costos'!E2218="","",IF('Data Pura Costos'!E2218=0,MAX('Data Pura Costos'!$E$7:$E$3000)*1000,'Data Pura Costos'!E2218))</f>
        <v/>
      </c>
      <c r="F2218" s="5" t="str">
        <f>+IF('Data Pura Costos'!F2218="","",'Data Pura Costos'!F2218)</f>
        <v/>
      </c>
      <c r="G2218" s="5" t="str">
        <f>+IF('Data Pura Costos'!G2218="","",'Data Pura Costos'!G2218)</f>
        <v/>
      </c>
      <c r="H2218" s="52" t="str">
        <f>+IF('Data Pura Costos'!H2218="","",'Data Pura Costos'!H2218)</f>
        <v/>
      </c>
      <c r="I2218" s="71" t="str">
        <f>+IF('Data Pura Costos'!I2218="","",'Data Pura Costos'!I2218)</f>
        <v/>
      </c>
      <c r="J2218" s="52" t="str">
        <f>+IF('Data Pura Costos'!J2218="","",'Data Pura Costos'!J2218)</f>
        <v/>
      </c>
      <c r="K2218" s="82" t="str">
        <f t="shared" si="39"/>
        <v/>
      </c>
    </row>
    <row r="2219" spans="2:11" x14ac:dyDescent="0.35">
      <c r="B2219" s="4" t="str">
        <f>+IF('Data Pura Costos'!B2219="","",'Data Pura Costos'!B2219)</f>
        <v/>
      </c>
      <c r="C2219" s="4" t="str">
        <f>+IF('Data Pura Costos'!C2219="","",'Data Pura Costos'!C2219)</f>
        <v/>
      </c>
      <c r="D2219" s="5" t="str">
        <f>+IF('Data Pura Costos'!D2219="","",'Data Pura Costos'!D2219)</f>
        <v/>
      </c>
      <c r="E2219" s="65" t="str">
        <f>+IF('Data Pura Costos'!E2219="","",IF('Data Pura Costos'!E2219=0,MAX('Data Pura Costos'!$E$7:$E$3000)*1000,'Data Pura Costos'!E2219))</f>
        <v/>
      </c>
      <c r="F2219" s="5" t="str">
        <f>+IF('Data Pura Costos'!F2219="","",'Data Pura Costos'!F2219)</f>
        <v/>
      </c>
      <c r="G2219" s="5" t="str">
        <f>+IF('Data Pura Costos'!G2219="","",'Data Pura Costos'!G2219)</f>
        <v/>
      </c>
      <c r="H2219" s="52" t="str">
        <f>+IF('Data Pura Costos'!H2219="","",'Data Pura Costos'!H2219)</f>
        <v/>
      </c>
      <c r="I2219" s="71" t="str">
        <f>+IF('Data Pura Costos'!I2219="","",'Data Pura Costos'!I2219)</f>
        <v/>
      </c>
      <c r="J2219" s="52" t="str">
        <f>+IF('Data Pura Costos'!J2219="","",'Data Pura Costos'!J2219)</f>
        <v/>
      </c>
      <c r="K2219" s="82" t="str">
        <f t="shared" si="39"/>
        <v/>
      </c>
    </row>
    <row r="2220" spans="2:11" x14ac:dyDescent="0.35">
      <c r="B2220" s="4" t="str">
        <f>+IF('Data Pura Costos'!B2220="","",'Data Pura Costos'!B2220)</f>
        <v/>
      </c>
      <c r="C2220" s="4" t="str">
        <f>+IF('Data Pura Costos'!C2220="","",'Data Pura Costos'!C2220)</f>
        <v/>
      </c>
      <c r="D2220" s="5" t="str">
        <f>+IF('Data Pura Costos'!D2220="","",'Data Pura Costos'!D2220)</f>
        <v/>
      </c>
      <c r="E2220" s="65" t="str">
        <f>+IF('Data Pura Costos'!E2220="","",IF('Data Pura Costos'!E2220=0,MAX('Data Pura Costos'!$E$7:$E$3000)*1000,'Data Pura Costos'!E2220))</f>
        <v/>
      </c>
      <c r="F2220" s="5" t="str">
        <f>+IF('Data Pura Costos'!F2220="","",'Data Pura Costos'!F2220)</f>
        <v/>
      </c>
      <c r="G2220" s="5" t="str">
        <f>+IF('Data Pura Costos'!G2220="","",'Data Pura Costos'!G2220)</f>
        <v/>
      </c>
      <c r="H2220" s="52" t="str">
        <f>+IF('Data Pura Costos'!H2220="","",'Data Pura Costos'!H2220)</f>
        <v/>
      </c>
      <c r="I2220" s="71" t="str">
        <f>+IF('Data Pura Costos'!I2220="","",'Data Pura Costos'!I2220)</f>
        <v/>
      </c>
      <c r="J2220" s="52" t="str">
        <f>+IF('Data Pura Costos'!J2220="","",'Data Pura Costos'!J2220)</f>
        <v/>
      </c>
      <c r="K2220" s="82" t="str">
        <f t="shared" si="39"/>
        <v/>
      </c>
    </row>
    <row r="2221" spans="2:11" x14ac:dyDescent="0.35">
      <c r="B2221" s="4" t="str">
        <f>+IF('Data Pura Costos'!B2221="","",'Data Pura Costos'!B2221)</f>
        <v/>
      </c>
      <c r="C2221" s="4" t="str">
        <f>+IF('Data Pura Costos'!C2221="","",'Data Pura Costos'!C2221)</f>
        <v/>
      </c>
      <c r="D2221" s="5" t="str">
        <f>+IF('Data Pura Costos'!D2221="","",'Data Pura Costos'!D2221)</f>
        <v/>
      </c>
      <c r="E2221" s="65" t="str">
        <f>+IF('Data Pura Costos'!E2221="","",IF('Data Pura Costos'!E2221=0,MAX('Data Pura Costos'!$E$7:$E$3000)*1000,'Data Pura Costos'!E2221))</f>
        <v/>
      </c>
      <c r="F2221" s="5" t="str">
        <f>+IF('Data Pura Costos'!F2221="","",'Data Pura Costos'!F2221)</f>
        <v/>
      </c>
      <c r="G2221" s="5" t="str">
        <f>+IF('Data Pura Costos'!G2221="","",'Data Pura Costos'!G2221)</f>
        <v/>
      </c>
      <c r="H2221" s="52" t="str">
        <f>+IF('Data Pura Costos'!H2221="","",'Data Pura Costos'!H2221)</f>
        <v/>
      </c>
      <c r="I2221" s="71" t="str">
        <f>+IF('Data Pura Costos'!I2221="","",'Data Pura Costos'!I2221)</f>
        <v/>
      </c>
      <c r="J2221" s="52" t="str">
        <f>+IF('Data Pura Costos'!J2221="","",'Data Pura Costos'!J2221)</f>
        <v/>
      </c>
      <c r="K2221" s="82" t="str">
        <f t="shared" si="39"/>
        <v/>
      </c>
    </row>
    <row r="2222" spans="2:11" x14ac:dyDescent="0.35">
      <c r="B2222" s="4" t="str">
        <f>+IF('Data Pura Costos'!B2222="","",'Data Pura Costos'!B2222)</f>
        <v/>
      </c>
      <c r="C2222" s="4" t="str">
        <f>+IF('Data Pura Costos'!C2222="","",'Data Pura Costos'!C2222)</f>
        <v/>
      </c>
      <c r="D2222" s="5" t="str">
        <f>+IF('Data Pura Costos'!D2222="","",'Data Pura Costos'!D2222)</f>
        <v/>
      </c>
      <c r="E2222" s="65" t="str">
        <f>+IF('Data Pura Costos'!E2222="","",IF('Data Pura Costos'!E2222=0,MAX('Data Pura Costos'!$E$7:$E$3000)*1000,'Data Pura Costos'!E2222))</f>
        <v/>
      </c>
      <c r="F2222" s="5" t="str">
        <f>+IF('Data Pura Costos'!F2222="","",'Data Pura Costos'!F2222)</f>
        <v/>
      </c>
      <c r="G2222" s="5" t="str">
        <f>+IF('Data Pura Costos'!G2222="","",'Data Pura Costos'!G2222)</f>
        <v/>
      </c>
      <c r="H2222" s="52" t="str">
        <f>+IF('Data Pura Costos'!H2222="","",'Data Pura Costos'!H2222)</f>
        <v/>
      </c>
      <c r="I2222" s="71" t="str">
        <f>+IF('Data Pura Costos'!I2222="","",'Data Pura Costos'!I2222)</f>
        <v/>
      </c>
      <c r="J2222" s="52" t="str">
        <f>+IF('Data Pura Costos'!J2222="","",'Data Pura Costos'!J2222)</f>
        <v/>
      </c>
      <c r="K2222" s="82" t="str">
        <f t="shared" si="39"/>
        <v/>
      </c>
    </row>
    <row r="2223" spans="2:11" x14ac:dyDescent="0.35">
      <c r="B2223" s="4" t="str">
        <f>+IF('Data Pura Costos'!B2223="","",'Data Pura Costos'!B2223)</f>
        <v/>
      </c>
      <c r="C2223" s="4" t="str">
        <f>+IF('Data Pura Costos'!C2223="","",'Data Pura Costos'!C2223)</f>
        <v/>
      </c>
      <c r="D2223" s="5" t="str">
        <f>+IF('Data Pura Costos'!D2223="","",'Data Pura Costos'!D2223)</f>
        <v/>
      </c>
      <c r="E2223" s="65" t="str">
        <f>+IF('Data Pura Costos'!E2223="","",IF('Data Pura Costos'!E2223=0,MAX('Data Pura Costos'!$E$7:$E$3000)*1000,'Data Pura Costos'!E2223))</f>
        <v/>
      </c>
      <c r="F2223" s="5" t="str">
        <f>+IF('Data Pura Costos'!F2223="","",'Data Pura Costos'!F2223)</f>
        <v/>
      </c>
      <c r="G2223" s="5" t="str">
        <f>+IF('Data Pura Costos'!G2223="","",'Data Pura Costos'!G2223)</f>
        <v/>
      </c>
      <c r="H2223" s="52" t="str">
        <f>+IF('Data Pura Costos'!H2223="","",'Data Pura Costos'!H2223)</f>
        <v/>
      </c>
      <c r="I2223" s="71" t="str">
        <f>+IF('Data Pura Costos'!I2223="","",'Data Pura Costos'!I2223)</f>
        <v/>
      </c>
      <c r="J2223" s="52" t="str">
        <f>+IF('Data Pura Costos'!J2223="","",'Data Pura Costos'!J2223)</f>
        <v/>
      </c>
      <c r="K2223" s="82" t="str">
        <f t="shared" si="39"/>
        <v/>
      </c>
    </row>
    <row r="2224" spans="2:11" x14ac:dyDescent="0.35">
      <c r="B2224" s="4" t="str">
        <f>+IF('Data Pura Costos'!B2224="","",'Data Pura Costos'!B2224)</f>
        <v/>
      </c>
      <c r="C2224" s="4" t="str">
        <f>+IF('Data Pura Costos'!C2224="","",'Data Pura Costos'!C2224)</f>
        <v/>
      </c>
      <c r="D2224" s="5" t="str">
        <f>+IF('Data Pura Costos'!D2224="","",'Data Pura Costos'!D2224)</f>
        <v/>
      </c>
      <c r="E2224" s="65" t="str">
        <f>+IF('Data Pura Costos'!E2224="","",IF('Data Pura Costos'!E2224=0,MAX('Data Pura Costos'!$E$7:$E$3000)*1000,'Data Pura Costos'!E2224))</f>
        <v/>
      </c>
      <c r="F2224" s="5" t="str">
        <f>+IF('Data Pura Costos'!F2224="","",'Data Pura Costos'!F2224)</f>
        <v/>
      </c>
      <c r="G2224" s="5" t="str">
        <f>+IF('Data Pura Costos'!G2224="","",'Data Pura Costos'!G2224)</f>
        <v/>
      </c>
      <c r="H2224" s="52" t="str">
        <f>+IF('Data Pura Costos'!H2224="","",'Data Pura Costos'!H2224)</f>
        <v/>
      </c>
      <c r="I2224" s="71" t="str">
        <f>+IF('Data Pura Costos'!I2224="","",'Data Pura Costos'!I2224)</f>
        <v/>
      </c>
      <c r="J2224" s="52" t="str">
        <f>+IF('Data Pura Costos'!J2224="","",'Data Pura Costos'!J2224)</f>
        <v/>
      </c>
      <c r="K2224" s="82" t="str">
        <f t="shared" si="39"/>
        <v/>
      </c>
    </row>
    <row r="2225" spans="2:11" x14ac:dyDescent="0.35">
      <c r="B2225" s="4" t="str">
        <f>+IF('Data Pura Costos'!B2225="","",'Data Pura Costos'!B2225)</f>
        <v/>
      </c>
      <c r="C2225" s="4" t="str">
        <f>+IF('Data Pura Costos'!C2225="","",'Data Pura Costos'!C2225)</f>
        <v/>
      </c>
      <c r="D2225" s="5" t="str">
        <f>+IF('Data Pura Costos'!D2225="","",'Data Pura Costos'!D2225)</f>
        <v/>
      </c>
      <c r="E2225" s="65" t="str">
        <f>+IF('Data Pura Costos'!E2225="","",IF('Data Pura Costos'!E2225=0,MAX('Data Pura Costos'!$E$7:$E$3000)*1000,'Data Pura Costos'!E2225))</f>
        <v/>
      </c>
      <c r="F2225" s="5" t="str">
        <f>+IF('Data Pura Costos'!F2225="","",'Data Pura Costos'!F2225)</f>
        <v/>
      </c>
      <c r="G2225" s="5" t="str">
        <f>+IF('Data Pura Costos'!G2225="","",'Data Pura Costos'!G2225)</f>
        <v/>
      </c>
      <c r="H2225" s="52" t="str">
        <f>+IF('Data Pura Costos'!H2225="","",'Data Pura Costos'!H2225)</f>
        <v/>
      </c>
      <c r="I2225" s="71" t="str">
        <f>+IF('Data Pura Costos'!I2225="","",'Data Pura Costos'!I2225)</f>
        <v/>
      </c>
      <c r="J2225" s="52" t="str">
        <f>+IF('Data Pura Costos'!J2225="","",'Data Pura Costos'!J2225)</f>
        <v/>
      </c>
      <c r="K2225" s="82" t="str">
        <f t="shared" si="39"/>
        <v/>
      </c>
    </row>
    <row r="2226" spans="2:11" x14ac:dyDescent="0.35">
      <c r="B2226" s="4" t="str">
        <f>+IF('Data Pura Costos'!B2226="","",'Data Pura Costos'!B2226)</f>
        <v/>
      </c>
      <c r="C2226" s="4" t="str">
        <f>+IF('Data Pura Costos'!C2226="","",'Data Pura Costos'!C2226)</f>
        <v/>
      </c>
      <c r="D2226" s="5" t="str">
        <f>+IF('Data Pura Costos'!D2226="","",'Data Pura Costos'!D2226)</f>
        <v/>
      </c>
      <c r="E2226" s="65" t="str">
        <f>+IF('Data Pura Costos'!E2226="","",IF('Data Pura Costos'!E2226=0,MAX('Data Pura Costos'!$E$7:$E$3000)*1000,'Data Pura Costos'!E2226))</f>
        <v/>
      </c>
      <c r="F2226" s="5" t="str">
        <f>+IF('Data Pura Costos'!F2226="","",'Data Pura Costos'!F2226)</f>
        <v/>
      </c>
      <c r="G2226" s="5" t="str">
        <f>+IF('Data Pura Costos'!G2226="","",'Data Pura Costos'!G2226)</f>
        <v/>
      </c>
      <c r="H2226" s="52" t="str">
        <f>+IF('Data Pura Costos'!H2226="","",'Data Pura Costos'!H2226)</f>
        <v/>
      </c>
      <c r="I2226" s="71" t="str">
        <f>+IF('Data Pura Costos'!I2226="","",'Data Pura Costos'!I2226)</f>
        <v/>
      </c>
      <c r="J2226" s="52" t="str">
        <f>+IF('Data Pura Costos'!J2226="","",'Data Pura Costos'!J2226)</f>
        <v/>
      </c>
      <c r="K2226" s="82" t="str">
        <f t="shared" si="39"/>
        <v/>
      </c>
    </row>
    <row r="2227" spans="2:11" x14ac:dyDescent="0.35">
      <c r="B2227" s="4" t="str">
        <f>+IF('Data Pura Costos'!B2227="","",'Data Pura Costos'!B2227)</f>
        <v/>
      </c>
      <c r="C2227" s="4" t="str">
        <f>+IF('Data Pura Costos'!C2227="","",'Data Pura Costos'!C2227)</f>
        <v/>
      </c>
      <c r="D2227" s="5" t="str">
        <f>+IF('Data Pura Costos'!D2227="","",'Data Pura Costos'!D2227)</f>
        <v/>
      </c>
      <c r="E2227" s="65" t="str">
        <f>+IF('Data Pura Costos'!E2227="","",IF('Data Pura Costos'!E2227=0,MAX('Data Pura Costos'!$E$7:$E$3000)*1000,'Data Pura Costos'!E2227))</f>
        <v/>
      </c>
      <c r="F2227" s="5" t="str">
        <f>+IF('Data Pura Costos'!F2227="","",'Data Pura Costos'!F2227)</f>
        <v/>
      </c>
      <c r="G2227" s="5" t="str">
        <f>+IF('Data Pura Costos'!G2227="","",'Data Pura Costos'!G2227)</f>
        <v/>
      </c>
      <c r="H2227" s="52" t="str">
        <f>+IF('Data Pura Costos'!H2227="","",'Data Pura Costos'!H2227)</f>
        <v/>
      </c>
      <c r="I2227" s="71" t="str">
        <f>+IF('Data Pura Costos'!I2227="","",'Data Pura Costos'!I2227)</f>
        <v/>
      </c>
      <c r="J2227" s="52" t="str">
        <f>+IF('Data Pura Costos'!J2227="","",'Data Pura Costos'!J2227)</f>
        <v/>
      </c>
      <c r="K2227" s="82" t="str">
        <f t="shared" si="39"/>
        <v/>
      </c>
    </row>
    <row r="2228" spans="2:11" x14ac:dyDescent="0.35">
      <c r="B2228" s="4" t="str">
        <f>+IF('Data Pura Costos'!B2228="","",'Data Pura Costos'!B2228)</f>
        <v/>
      </c>
      <c r="C2228" s="4" t="str">
        <f>+IF('Data Pura Costos'!C2228="","",'Data Pura Costos'!C2228)</f>
        <v/>
      </c>
      <c r="D2228" s="5" t="str">
        <f>+IF('Data Pura Costos'!D2228="","",'Data Pura Costos'!D2228)</f>
        <v/>
      </c>
      <c r="E2228" s="65" t="str">
        <f>+IF('Data Pura Costos'!E2228="","",IF('Data Pura Costos'!E2228=0,MAX('Data Pura Costos'!$E$7:$E$3000)*1000,'Data Pura Costos'!E2228))</f>
        <v/>
      </c>
      <c r="F2228" s="5" t="str">
        <f>+IF('Data Pura Costos'!F2228="","",'Data Pura Costos'!F2228)</f>
        <v/>
      </c>
      <c r="G2228" s="5" t="str">
        <f>+IF('Data Pura Costos'!G2228="","",'Data Pura Costos'!G2228)</f>
        <v/>
      </c>
      <c r="H2228" s="52" t="str">
        <f>+IF('Data Pura Costos'!H2228="","",'Data Pura Costos'!H2228)</f>
        <v/>
      </c>
      <c r="I2228" s="71" t="str">
        <f>+IF('Data Pura Costos'!I2228="","",'Data Pura Costos'!I2228)</f>
        <v/>
      </c>
      <c r="J2228" s="52" t="str">
        <f>+IF('Data Pura Costos'!J2228="","",'Data Pura Costos'!J2228)</f>
        <v/>
      </c>
      <c r="K2228" s="82" t="str">
        <f t="shared" si="39"/>
        <v/>
      </c>
    </row>
    <row r="2229" spans="2:11" x14ac:dyDescent="0.35">
      <c r="B2229" s="4" t="str">
        <f>+IF('Data Pura Costos'!B2229="","",'Data Pura Costos'!B2229)</f>
        <v/>
      </c>
      <c r="C2229" s="4" t="str">
        <f>+IF('Data Pura Costos'!C2229="","",'Data Pura Costos'!C2229)</f>
        <v/>
      </c>
      <c r="D2229" s="5" t="str">
        <f>+IF('Data Pura Costos'!D2229="","",'Data Pura Costos'!D2229)</f>
        <v/>
      </c>
      <c r="E2229" s="65" t="str">
        <f>+IF('Data Pura Costos'!E2229="","",IF('Data Pura Costos'!E2229=0,MAX('Data Pura Costos'!$E$7:$E$3000)*1000,'Data Pura Costos'!E2229))</f>
        <v/>
      </c>
      <c r="F2229" s="5" t="str">
        <f>+IF('Data Pura Costos'!F2229="","",'Data Pura Costos'!F2229)</f>
        <v/>
      </c>
      <c r="G2229" s="5" t="str">
        <f>+IF('Data Pura Costos'!G2229="","",'Data Pura Costos'!G2229)</f>
        <v/>
      </c>
      <c r="H2229" s="52" t="str">
        <f>+IF('Data Pura Costos'!H2229="","",'Data Pura Costos'!H2229)</f>
        <v/>
      </c>
      <c r="I2229" s="71" t="str">
        <f>+IF('Data Pura Costos'!I2229="","",'Data Pura Costos'!I2229)</f>
        <v/>
      </c>
      <c r="J2229" s="52" t="str">
        <f>+IF('Data Pura Costos'!J2229="","",'Data Pura Costos'!J2229)</f>
        <v/>
      </c>
      <c r="K2229" s="82" t="str">
        <f t="shared" si="39"/>
        <v/>
      </c>
    </row>
    <row r="2230" spans="2:11" x14ac:dyDescent="0.35">
      <c r="B2230" s="4" t="str">
        <f>+IF('Data Pura Costos'!B2230="","",'Data Pura Costos'!B2230)</f>
        <v/>
      </c>
      <c r="C2230" s="4" t="str">
        <f>+IF('Data Pura Costos'!C2230="","",'Data Pura Costos'!C2230)</f>
        <v/>
      </c>
      <c r="D2230" s="5" t="str">
        <f>+IF('Data Pura Costos'!D2230="","",'Data Pura Costos'!D2230)</f>
        <v/>
      </c>
      <c r="E2230" s="65" t="str">
        <f>+IF('Data Pura Costos'!E2230="","",IF('Data Pura Costos'!E2230=0,MAX('Data Pura Costos'!$E$7:$E$3000)*1000,'Data Pura Costos'!E2230))</f>
        <v/>
      </c>
      <c r="F2230" s="5" t="str">
        <f>+IF('Data Pura Costos'!F2230="","",'Data Pura Costos'!F2230)</f>
        <v/>
      </c>
      <c r="G2230" s="5" t="str">
        <f>+IF('Data Pura Costos'!G2230="","",'Data Pura Costos'!G2230)</f>
        <v/>
      </c>
      <c r="H2230" s="52" t="str">
        <f>+IF('Data Pura Costos'!H2230="","",'Data Pura Costos'!H2230)</f>
        <v/>
      </c>
      <c r="I2230" s="71" t="str">
        <f>+IF('Data Pura Costos'!I2230="","",'Data Pura Costos'!I2230)</f>
        <v/>
      </c>
      <c r="J2230" s="52" t="str">
        <f>+IF('Data Pura Costos'!J2230="","",'Data Pura Costos'!J2230)</f>
        <v/>
      </c>
      <c r="K2230" s="82" t="str">
        <f t="shared" si="39"/>
        <v/>
      </c>
    </row>
    <row r="2231" spans="2:11" x14ac:dyDescent="0.35">
      <c r="B2231" s="4" t="str">
        <f>+IF('Data Pura Costos'!B2231="","",'Data Pura Costos'!B2231)</f>
        <v/>
      </c>
      <c r="C2231" s="4" t="str">
        <f>+IF('Data Pura Costos'!C2231="","",'Data Pura Costos'!C2231)</f>
        <v/>
      </c>
      <c r="D2231" s="5" t="str">
        <f>+IF('Data Pura Costos'!D2231="","",'Data Pura Costos'!D2231)</f>
        <v/>
      </c>
      <c r="E2231" s="65" t="str">
        <f>+IF('Data Pura Costos'!E2231="","",IF('Data Pura Costos'!E2231=0,MAX('Data Pura Costos'!$E$7:$E$3000)*1000,'Data Pura Costos'!E2231))</f>
        <v/>
      </c>
      <c r="F2231" s="5" t="str">
        <f>+IF('Data Pura Costos'!F2231="","",'Data Pura Costos'!F2231)</f>
        <v/>
      </c>
      <c r="G2231" s="5" t="str">
        <f>+IF('Data Pura Costos'!G2231="","",'Data Pura Costos'!G2231)</f>
        <v/>
      </c>
      <c r="H2231" s="52" t="str">
        <f>+IF('Data Pura Costos'!H2231="","",'Data Pura Costos'!H2231)</f>
        <v/>
      </c>
      <c r="I2231" s="71" t="str">
        <f>+IF('Data Pura Costos'!I2231="","",'Data Pura Costos'!I2231)</f>
        <v/>
      </c>
      <c r="J2231" s="52" t="str">
        <f>+IF('Data Pura Costos'!J2231="","",'Data Pura Costos'!J2231)</f>
        <v/>
      </c>
      <c r="K2231" s="82" t="str">
        <f t="shared" si="39"/>
        <v/>
      </c>
    </row>
    <row r="2232" spans="2:11" x14ac:dyDescent="0.35">
      <c r="B2232" s="4" t="str">
        <f>+IF('Data Pura Costos'!B2232="","",'Data Pura Costos'!B2232)</f>
        <v/>
      </c>
      <c r="C2232" s="4" t="str">
        <f>+IF('Data Pura Costos'!C2232="","",'Data Pura Costos'!C2232)</f>
        <v/>
      </c>
      <c r="D2232" s="5" t="str">
        <f>+IF('Data Pura Costos'!D2232="","",'Data Pura Costos'!D2232)</f>
        <v/>
      </c>
      <c r="E2232" s="65" t="str">
        <f>+IF('Data Pura Costos'!E2232="","",IF('Data Pura Costos'!E2232=0,MAX('Data Pura Costos'!$E$7:$E$3000)*1000,'Data Pura Costos'!E2232))</f>
        <v/>
      </c>
      <c r="F2232" s="5" t="str">
        <f>+IF('Data Pura Costos'!F2232="","",'Data Pura Costos'!F2232)</f>
        <v/>
      </c>
      <c r="G2232" s="5" t="str">
        <f>+IF('Data Pura Costos'!G2232="","",'Data Pura Costos'!G2232)</f>
        <v/>
      </c>
      <c r="H2232" s="52" t="str">
        <f>+IF('Data Pura Costos'!H2232="","",'Data Pura Costos'!H2232)</f>
        <v/>
      </c>
      <c r="I2232" s="71" t="str">
        <f>+IF('Data Pura Costos'!I2232="","",'Data Pura Costos'!I2232)</f>
        <v/>
      </c>
      <c r="J2232" s="52" t="str">
        <f>+IF('Data Pura Costos'!J2232="","",'Data Pura Costos'!J2232)</f>
        <v/>
      </c>
      <c r="K2232" s="82" t="str">
        <f t="shared" si="39"/>
        <v/>
      </c>
    </row>
    <row r="2233" spans="2:11" x14ac:dyDescent="0.35">
      <c r="B2233" s="4" t="str">
        <f>+IF('Data Pura Costos'!B2233="","",'Data Pura Costos'!B2233)</f>
        <v/>
      </c>
      <c r="C2233" s="4" t="str">
        <f>+IF('Data Pura Costos'!C2233="","",'Data Pura Costos'!C2233)</f>
        <v/>
      </c>
      <c r="D2233" s="5" t="str">
        <f>+IF('Data Pura Costos'!D2233="","",'Data Pura Costos'!D2233)</f>
        <v/>
      </c>
      <c r="E2233" s="65" t="str">
        <f>+IF('Data Pura Costos'!E2233="","",IF('Data Pura Costos'!E2233=0,MAX('Data Pura Costos'!$E$7:$E$3000)*1000,'Data Pura Costos'!E2233))</f>
        <v/>
      </c>
      <c r="F2233" s="5" t="str">
        <f>+IF('Data Pura Costos'!F2233="","",'Data Pura Costos'!F2233)</f>
        <v/>
      </c>
      <c r="G2233" s="5" t="str">
        <f>+IF('Data Pura Costos'!G2233="","",'Data Pura Costos'!G2233)</f>
        <v/>
      </c>
      <c r="H2233" s="52" t="str">
        <f>+IF('Data Pura Costos'!H2233="","",'Data Pura Costos'!H2233)</f>
        <v/>
      </c>
      <c r="I2233" s="71" t="str">
        <f>+IF('Data Pura Costos'!I2233="","",'Data Pura Costos'!I2233)</f>
        <v/>
      </c>
      <c r="J2233" s="52" t="str">
        <f>+IF('Data Pura Costos'!J2233="","",'Data Pura Costos'!J2233)</f>
        <v/>
      </c>
      <c r="K2233" s="82" t="str">
        <f t="shared" si="39"/>
        <v/>
      </c>
    </row>
    <row r="2234" spans="2:11" x14ac:dyDescent="0.35">
      <c r="B2234" s="4" t="str">
        <f>+IF('Data Pura Costos'!B2234="","",'Data Pura Costos'!B2234)</f>
        <v/>
      </c>
      <c r="C2234" s="4" t="str">
        <f>+IF('Data Pura Costos'!C2234="","",'Data Pura Costos'!C2234)</f>
        <v/>
      </c>
      <c r="D2234" s="5" t="str">
        <f>+IF('Data Pura Costos'!D2234="","",'Data Pura Costos'!D2234)</f>
        <v/>
      </c>
      <c r="E2234" s="65" t="str">
        <f>+IF('Data Pura Costos'!E2234="","",IF('Data Pura Costos'!E2234=0,MAX('Data Pura Costos'!$E$7:$E$3000)*1000,'Data Pura Costos'!E2234))</f>
        <v/>
      </c>
      <c r="F2234" s="5" t="str">
        <f>+IF('Data Pura Costos'!F2234="","",'Data Pura Costos'!F2234)</f>
        <v/>
      </c>
      <c r="G2234" s="5" t="str">
        <f>+IF('Data Pura Costos'!G2234="","",'Data Pura Costos'!G2234)</f>
        <v/>
      </c>
      <c r="H2234" s="52" t="str">
        <f>+IF('Data Pura Costos'!H2234="","",'Data Pura Costos'!H2234)</f>
        <v/>
      </c>
      <c r="I2234" s="71" t="str">
        <f>+IF('Data Pura Costos'!I2234="","",'Data Pura Costos'!I2234)</f>
        <v/>
      </c>
      <c r="J2234" s="52" t="str">
        <f>+IF('Data Pura Costos'!J2234="","",'Data Pura Costos'!J2234)</f>
        <v/>
      </c>
      <c r="K2234" s="82" t="str">
        <f t="shared" si="39"/>
        <v/>
      </c>
    </row>
    <row r="2235" spans="2:11" x14ac:dyDescent="0.35">
      <c r="B2235" s="4" t="str">
        <f>+IF('Data Pura Costos'!B2235="","",'Data Pura Costos'!B2235)</f>
        <v/>
      </c>
      <c r="C2235" s="4" t="str">
        <f>+IF('Data Pura Costos'!C2235="","",'Data Pura Costos'!C2235)</f>
        <v/>
      </c>
      <c r="D2235" s="5" t="str">
        <f>+IF('Data Pura Costos'!D2235="","",'Data Pura Costos'!D2235)</f>
        <v/>
      </c>
      <c r="E2235" s="65" t="str">
        <f>+IF('Data Pura Costos'!E2235="","",IF('Data Pura Costos'!E2235=0,MAX('Data Pura Costos'!$E$7:$E$3000)*1000,'Data Pura Costos'!E2235))</f>
        <v/>
      </c>
      <c r="F2235" s="5" t="str">
        <f>+IF('Data Pura Costos'!F2235="","",'Data Pura Costos'!F2235)</f>
        <v/>
      </c>
      <c r="G2235" s="5" t="str">
        <f>+IF('Data Pura Costos'!G2235="","",'Data Pura Costos'!G2235)</f>
        <v/>
      </c>
      <c r="H2235" s="52" t="str">
        <f>+IF('Data Pura Costos'!H2235="","",'Data Pura Costos'!H2235)</f>
        <v/>
      </c>
      <c r="I2235" s="71" t="str">
        <f>+IF('Data Pura Costos'!I2235="","",'Data Pura Costos'!I2235)</f>
        <v/>
      </c>
      <c r="J2235" s="52" t="str">
        <f>+IF('Data Pura Costos'!J2235="","",'Data Pura Costos'!J2235)</f>
        <v/>
      </c>
      <c r="K2235" s="82" t="str">
        <f t="shared" si="39"/>
        <v/>
      </c>
    </row>
    <row r="2236" spans="2:11" x14ac:dyDescent="0.35">
      <c r="B2236" s="4" t="str">
        <f>+IF('Data Pura Costos'!B2236="","",'Data Pura Costos'!B2236)</f>
        <v/>
      </c>
      <c r="C2236" s="4" t="str">
        <f>+IF('Data Pura Costos'!C2236="","",'Data Pura Costos'!C2236)</f>
        <v/>
      </c>
      <c r="D2236" s="5" t="str">
        <f>+IF('Data Pura Costos'!D2236="","",'Data Pura Costos'!D2236)</f>
        <v/>
      </c>
      <c r="E2236" s="65" t="str">
        <f>+IF('Data Pura Costos'!E2236="","",IF('Data Pura Costos'!E2236=0,MAX('Data Pura Costos'!$E$7:$E$3000)*1000,'Data Pura Costos'!E2236))</f>
        <v/>
      </c>
      <c r="F2236" s="5" t="str">
        <f>+IF('Data Pura Costos'!F2236="","",'Data Pura Costos'!F2236)</f>
        <v/>
      </c>
      <c r="G2236" s="5" t="str">
        <f>+IF('Data Pura Costos'!G2236="","",'Data Pura Costos'!G2236)</f>
        <v/>
      </c>
      <c r="H2236" s="52" t="str">
        <f>+IF('Data Pura Costos'!H2236="","",'Data Pura Costos'!H2236)</f>
        <v/>
      </c>
      <c r="I2236" s="71" t="str">
        <f>+IF('Data Pura Costos'!I2236="","",'Data Pura Costos'!I2236)</f>
        <v/>
      </c>
      <c r="J2236" s="52" t="str">
        <f>+IF('Data Pura Costos'!J2236="","",'Data Pura Costos'!J2236)</f>
        <v/>
      </c>
      <c r="K2236" s="82" t="str">
        <f t="shared" ref="K2236:K2299" si="40">+IF(B2236="","",CONCATENATE(B2236,"-",F2236,"-",G2236))</f>
        <v/>
      </c>
    </row>
    <row r="2237" spans="2:11" x14ac:dyDescent="0.35">
      <c r="B2237" s="4" t="str">
        <f>+IF('Data Pura Costos'!B2237="","",'Data Pura Costos'!B2237)</f>
        <v/>
      </c>
      <c r="C2237" s="4" t="str">
        <f>+IF('Data Pura Costos'!C2237="","",'Data Pura Costos'!C2237)</f>
        <v/>
      </c>
      <c r="D2237" s="5" t="str">
        <f>+IF('Data Pura Costos'!D2237="","",'Data Pura Costos'!D2237)</f>
        <v/>
      </c>
      <c r="E2237" s="65" t="str">
        <f>+IF('Data Pura Costos'!E2237="","",IF('Data Pura Costos'!E2237=0,MAX('Data Pura Costos'!$E$7:$E$3000)*1000,'Data Pura Costos'!E2237))</f>
        <v/>
      </c>
      <c r="F2237" s="5" t="str">
        <f>+IF('Data Pura Costos'!F2237="","",'Data Pura Costos'!F2237)</f>
        <v/>
      </c>
      <c r="G2237" s="5" t="str">
        <f>+IF('Data Pura Costos'!G2237="","",'Data Pura Costos'!G2237)</f>
        <v/>
      </c>
      <c r="H2237" s="52" t="str">
        <f>+IF('Data Pura Costos'!H2237="","",'Data Pura Costos'!H2237)</f>
        <v/>
      </c>
      <c r="I2237" s="71" t="str">
        <f>+IF('Data Pura Costos'!I2237="","",'Data Pura Costos'!I2237)</f>
        <v/>
      </c>
      <c r="J2237" s="52" t="str">
        <f>+IF('Data Pura Costos'!J2237="","",'Data Pura Costos'!J2237)</f>
        <v/>
      </c>
      <c r="K2237" s="82" t="str">
        <f t="shared" si="40"/>
        <v/>
      </c>
    </row>
    <row r="2238" spans="2:11" x14ac:dyDescent="0.35">
      <c r="B2238" s="4" t="str">
        <f>+IF('Data Pura Costos'!B2238="","",'Data Pura Costos'!B2238)</f>
        <v/>
      </c>
      <c r="C2238" s="4" t="str">
        <f>+IF('Data Pura Costos'!C2238="","",'Data Pura Costos'!C2238)</f>
        <v/>
      </c>
      <c r="D2238" s="5" t="str">
        <f>+IF('Data Pura Costos'!D2238="","",'Data Pura Costos'!D2238)</f>
        <v/>
      </c>
      <c r="E2238" s="65" t="str">
        <f>+IF('Data Pura Costos'!E2238="","",IF('Data Pura Costos'!E2238=0,MAX('Data Pura Costos'!$E$7:$E$3000)*1000,'Data Pura Costos'!E2238))</f>
        <v/>
      </c>
      <c r="F2238" s="5" t="str">
        <f>+IF('Data Pura Costos'!F2238="","",'Data Pura Costos'!F2238)</f>
        <v/>
      </c>
      <c r="G2238" s="5" t="str">
        <f>+IF('Data Pura Costos'!G2238="","",'Data Pura Costos'!G2238)</f>
        <v/>
      </c>
      <c r="H2238" s="52" t="str">
        <f>+IF('Data Pura Costos'!H2238="","",'Data Pura Costos'!H2238)</f>
        <v/>
      </c>
      <c r="I2238" s="71" t="str">
        <f>+IF('Data Pura Costos'!I2238="","",'Data Pura Costos'!I2238)</f>
        <v/>
      </c>
      <c r="J2238" s="52" t="str">
        <f>+IF('Data Pura Costos'!J2238="","",'Data Pura Costos'!J2238)</f>
        <v/>
      </c>
      <c r="K2238" s="82" t="str">
        <f t="shared" si="40"/>
        <v/>
      </c>
    </row>
    <row r="2239" spans="2:11" x14ac:dyDescent="0.35">
      <c r="B2239" s="4" t="str">
        <f>+IF('Data Pura Costos'!B2239="","",'Data Pura Costos'!B2239)</f>
        <v/>
      </c>
      <c r="C2239" s="4" t="str">
        <f>+IF('Data Pura Costos'!C2239="","",'Data Pura Costos'!C2239)</f>
        <v/>
      </c>
      <c r="D2239" s="5" t="str">
        <f>+IF('Data Pura Costos'!D2239="","",'Data Pura Costos'!D2239)</f>
        <v/>
      </c>
      <c r="E2239" s="65" t="str">
        <f>+IF('Data Pura Costos'!E2239="","",IF('Data Pura Costos'!E2239=0,MAX('Data Pura Costos'!$E$7:$E$3000)*1000,'Data Pura Costos'!E2239))</f>
        <v/>
      </c>
      <c r="F2239" s="5" t="str">
        <f>+IF('Data Pura Costos'!F2239="","",'Data Pura Costos'!F2239)</f>
        <v/>
      </c>
      <c r="G2239" s="5" t="str">
        <f>+IF('Data Pura Costos'!G2239="","",'Data Pura Costos'!G2239)</f>
        <v/>
      </c>
      <c r="H2239" s="52" t="str">
        <f>+IF('Data Pura Costos'!H2239="","",'Data Pura Costos'!H2239)</f>
        <v/>
      </c>
      <c r="I2239" s="71" t="str">
        <f>+IF('Data Pura Costos'!I2239="","",'Data Pura Costos'!I2239)</f>
        <v/>
      </c>
      <c r="J2239" s="52" t="str">
        <f>+IF('Data Pura Costos'!J2239="","",'Data Pura Costos'!J2239)</f>
        <v/>
      </c>
      <c r="K2239" s="82" t="str">
        <f t="shared" si="40"/>
        <v/>
      </c>
    </row>
    <row r="2240" spans="2:11" x14ac:dyDescent="0.35">
      <c r="B2240" s="4" t="str">
        <f>+IF('Data Pura Costos'!B2240="","",'Data Pura Costos'!B2240)</f>
        <v/>
      </c>
      <c r="C2240" s="4" t="str">
        <f>+IF('Data Pura Costos'!C2240="","",'Data Pura Costos'!C2240)</f>
        <v/>
      </c>
      <c r="D2240" s="5" t="str">
        <f>+IF('Data Pura Costos'!D2240="","",'Data Pura Costos'!D2240)</f>
        <v/>
      </c>
      <c r="E2240" s="65" t="str">
        <f>+IF('Data Pura Costos'!E2240="","",IF('Data Pura Costos'!E2240=0,MAX('Data Pura Costos'!$E$7:$E$3000)*1000,'Data Pura Costos'!E2240))</f>
        <v/>
      </c>
      <c r="F2240" s="5" t="str">
        <f>+IF('Data Pura Costos'!F2240="","",'Data Pura Costos'!F2240)</f>
        <v/>
      </c>
      <c r="G2240" s="5" t="str">
        <f>+IF('Data Pura Costos'!G2240="","",'Data Pura Costos'!G2240)</f>
        <v/>
      </c>
      <c r="H2240" s="52" t="str">
        <f>+IF('Data Pura Costos'!H2240="","",'Data Pura Costos'!H2240)</f>
        <v/>
      </c>
      <c r="I2240" s="71" t="str">
        <f>+IF('Data Pura Costos'!I2240="","",'Data Pura Costos'!I2240)</f>
        <v/>
      </c>
      <c r="J2240" s="52" t="str">
        <f>+IF('Data Pura Costos'!J2240="","",'Data Pura Costos'!J2240)</f>
        <v/>
      </c>
      <c r="K2240" s="82" t="str">
        <f t="shared" si="40"/>
        <v/>
      </c>
    </row>
    <row r="2241" spans="2:11" x14ac:dyDescent="0.35">
      <c r="B2241" s="4" t="str">
        <f>+IF('Data Pura Costos'!B2241="","",'Data Pura Costos'!B2241)</f>
        <v/>
      </c>
      <c r="C2241" s="4" t="str">
        <f>+IF('Data Pura Costos'!C2241="","",'Data Pura Costos'!C2241)</f>
        <v/>
      </c>
      <c r="D2241" s="5" t="str">
        <f>+IF('Data Pura Costos'!D2241="","",'Data Pura Costos'!D2241)</f>
        <v/>
      </c>
      <c r="E2241" s="65" t="str">
        <f>+IF('Data Pura Costos'!E2241="","",IF('Data Pura Costos'!E2241=0,MAX('Data Pura Costos'!$E$7:$E$3000)*1000,'Data Pura Costos'!E2241))</f>
        <v/>
      </c>
      <c r="F2241" s="5" t="str">
        <f>+IF('Data Pura Costos'!F2241="","",'Data Pura Costos'!F2241)</f>
        <v/>
      </c>
      <c r="G2241" s="5" t="str">
        <f>+IF('Data Pura Costos'!G2241="","",'Data Pura Costos'!G2241)</f>
        <v/>
      </c>
      <c r="H2241" s="52" t="str">
        <f>+IF('Data Pura Costos'!H2241="","",'Data Pura Costos'!H2241)</f>
        <v/>
      </c>
      <c r="I2241" s="71" t="str">
        <f>+IF('Data Pura Costos'!I2241="","",'Data Pura Costos'!I2241)</f>
        <v/>
      </c>
      <c r="J2241" s="52" t="str">
        <f>+IF('Data Pura Costos'!J2241="","",'Data Pura Costos'!J2241)</f>
        <v/>
      </c>
      <c r="K2241" s="82" t="str">
        <f t="shared" si="40"/>
        <v/>
      </c>
    </row>
    <row r="2242" spans="2:11" x14ac:dyDescent="0.35">
      <c r="B2242" s="4" t="str">
        <f>+IF('Data Pura Costos'!B2242="","",'Data Pura Costos'!B2242)</f>
        <v/>
      </c>
      <c r="C2242" s="4" t="str">
        <f>+IF('Data Pura Costos'!C2242="","",'Data Pura Costos'!C2242)</f>
        <v/>
      </c>
      <c r="D2242" s="5" t="str">
        <f>+IF('Data Pura Costos'!D2242="","",'Data Pura Costos'!D2242)</f>
        <v/>
      </c>
      <c r="E2242" s="65" t="str">
        <f>+IF('Data Pura Costos'!E2242="","",IF('Data Pura Costos'!E2242=0,MAX('Data Pura Costos'!$E$7:$E$3000)*1000,'Data Pura Costos'!E2242))</f>
        <v/>
      </c>
      <c r="F2242" s="5" t="str">
        <f>+IF('Data Pura Costos'!F2242="","",'Data Pura Costos'!F2242)</f>
        <v/>
      </c>
      <c r="G2242" s="5" t="str">
        <f>+IF('Data Pura Costos'!G2242="","",'Data Pura Costos'!G2242)</f>
        <v/>
      </c>
      <c r="H2242" s="52" t="str">
        <f>+IF('Data Pura Costos'!H2242="","",'Data Pura Costos'!H2242)</f>
        <v/>
      </c>
      <c r="I2242" s="71" t="str">
        <f>+IF('Data Pura Costos'!I2242="","",'Data Pura Costos'!I2242)</f>
        <v/>
      </c>
      <c r="J2242" s="52" t="str">
        <f>+IF('Data Pura Costos'!J2242="","",'Data Pura Costos'!J2242)</f>
        <v/>
      </c>
      <c r="K2242" s="82" t="str">
        <f t="shared" si="40"/>
        <v/>
      </c>
    </row>
    <row r="2243" spans="2:11" x14ac:dyDescent="0.35">
      <c r="B2243" s="4" t="str">
        <f>+IF('Data Pura Costos'!B2243="","",'Data Pura Costos'!B2243)</f>
        <v/>
      </c>
      <c r="C2243" s="4" t="str">
        <f>+IF('Data Pura Costos'!C2243="","",'Data Pura Costos'!C2243)</f>
        <v/>
      </c>
      <c r="D2243" s="5" t="str">
        <f>+IF('Data Pura Costos'!D2243="","",'Data Pura Costos'!D2243)</f>
        <v/>
      </c>
      <c r="E2243" s="65" t="str">
        <f>+IF('Data Pura Costos'!E2243="","",IF('Data Pura Costos'!E2243=0,MAX('Data Pura Costos'!$E$7:$E$3000)*1000,'Data Pura Costos'!E2243))</f>
        <v/>
      </c>
      <c r="F2243" s="5" t="str">
        <f>+IF('Data Pura Costos'!F2243="","",'Data Pura Costos'!F2243)</f>
        <v/>
      </c>
      <c r="G2243" s="5" t="str">
        <f>+IF('Data Pura Costos'!G2243="","",'Data Pura Costos'!G2243)</f>
        <v/>
      </c>
      <c r="H2243" s="52" t="str">
        <f>+IF('Data Pura Costos'!H2243="","",'Data Pura Costos'!H2243)</f>
        <v/>
      </c>
      <c r="I2243" s="71" t="str">
        <f>+IF('Data Pura Costos'!I2243="","",'Data Pura Costos'!I2243)</f>
        <v/>
      </c>
      <c r="J2243" s="52" t="str">
        <f>+IF('Data Pura Costos'!J2243="","",'Data Pura Costos'!J2243)</f>
        <v/>
      </c>
      <c r="K2243" s="82" t="str">
        <f t="shared" si="40"/>
        <v/>
      </c>
    </row>
    <row r="2244" spans="2:11" x14ac:dyDescent="0.35">
      <c r="B2244" s="4" t="str">
        <f>+IF('Data Pura Costos'!B2244="","",'Data Pura Costos'!B2244)</f>
        <v/>
      </c>
      <c r="C2244" s="4" t="str">
        <f>+IF('Data Pura Costos'!C2244="","",'Data Pura Costos'!C2244)</f>
        <v/>
      </c>
      <c r="D2244" s="5" t="str">
        <f>+IF('Data Pura Costos'!D2244="","",'Data Pura Costos'!D2244)</f>
        <v/>
      </c>
      <c r="E2244" s="65" t="str">
        <f>+IF('Data Pura Costos'!E2244="","",IF('Data Pura Costos'!E2244=0,MAX('Data Pura Costos'!$E$7:$E$3000)*1000,'Data Pura Costos'!E2244))</f>
        <v/>
      </c>
      <c r="F2244" s="5" t="str">
        <f>+IF('Data Pura Costos'!F2244="","",'Data Pura Costos'!F2244)</f>
        <v/>
      </c>
      <c r="G2244" s="5" t="str">
        <f>+IF('Data Pura Costos'!G2244="","",'Data Pura Costos'!G2244)</f>
        <v/>
      </c>
      <c r="H2244" s="52" t="str">
        <f>+IF('Data Pura Costos'!H2244="","",'Data Pura Costos'!H2244)</f>
        <v/>
      </c>
      <c r="I2244" s="71" t="str">
        <f>+IF('Data Pura Costos'!I2244="","",'Data Pura Costos'!I2244)</f>
        <v/>
      </c>
      <c r="J2244" s="52" t="str">
        <f>+IF('Data Pura Costos'!J2244="","",'Data Pura Costos'!J2244)</f>
        <v/>
      </c>
      <c r="K2244" s="82" t="str">
        <f t="shared" si="40"/>
        <v/>
      </c>
    </row>
    <row r="2245" spans="2:11" x14ac:dyDescent="0.35">
      <c r="B2245" s="4" t="str">
        <f>+IF('Data Pura Costos'!B2245="","",'Data Pura Costos'!B2245)</f>
        <v/>
      </c>
      <c r="C2245" s="4" t="str">
        <f>+IF('Data Pura Costos'!C2245="","",'Data Pura Costos'!C2245)</f>
        <v/>
      </c>
      <c r="D2245" s="5" t="str">
        <f>+IF('Data Pura Costos'!D2245="","",'Data Pura Costos'!D2245)</f>
        <v/>
      </c>
      <c r="E2245" s="65" t="str">
        <f>+IF('Data Pura Costos'!E2245="","",IF('Data Pura Costos'!E2245=0,MAX('Data Pura Costos'!$E$7:$E$3000)*1000,'Data Pura Costos'!E2245))</f>
        <v/>
      </c>
      <c r="F2245" s="5" t="str">
        <f>+IF('Data Pura Costos'!F2245="","",'Data Pura Costos'!F2245)</f>
        <v/>
      </c>
      <c r="G2245" s="5" t="str">
        <f>+IF('Data Pura Costos'!G2245="","",'Data Pura Costos'!G2245)</f>
        <v/>
      </c>
      <c r="H2245" s="52" t="str">
        <f>+IF('Data Pura Costos'!H2245="","",'Data Pura Costos'!H2245)</f>
        <v/>
      </c>
      <c r="I2245" s="71" t="str">
        <f>+IF('Data Pura Costos'!I2245="","",'Data Pura Costos'!I2245)</f>
        <v/>
      </c>
      <c r="J2245" s="52" t="str">
        <f>+IF('Data Pura Costos'!J2245="","",'Data Pura Costos'!J2245)</f>
        <v/>
      </c>
      <c r="K2245" s="82" t="str">
        <f t="shared" si="40"/>
        <v/>
      </c>
    </row>
    <row r="2246" spans="2:11" x14ac:dyDescent="0.35">
      <c r="B2246" s="4" t="str">
        <f>+IF('Data Pura Costos'!B2246="","",'Data Pura Costos'!B2246)</f>
        <v/>
      </c>
      <c r="C2246" s="4" t="str">
        <f>+IF('Data Pura Costos'!C2246="","",'Data Pura Costos'!C2246)</f>
        <v/>
      </c>
      <c r="D2246" s="5" t="str">
        <f>+IF('Data Pura Costos'!D2246="","",'Data Pura Costos'!D2246)</f>
        <v/>
      </c>
      <c r="E2246" s="65" t="str">
        <f>+IF('Data Pura Costos'!E2246="","",IF('Data Pura Costos'!E2246=0,MAX('Data Pura Costos'!$E$7:$E$3000)*1000,'Data Pura Costos'!E2246))</f>
        <v/>
      </c>
      <c r="F2246" s="5" t="str">
        <f>+IF('Data Pura Costos'!F2246="","",'Data Pura Costos'!F2246)</f>
        <v/>
      </c>
      <c r="G2246" s="5" t="str">
        <f>+IF('Data Pura Costos'!G2246="","",'Data Pura Costos'!G2246)</f>
        <v/>
      </c>
      <c r="H2246" s="52" t="str">
        <f>+IF('Data Pura Costos'!H2246="","",'Data Pura Costos'!H2246)</f>
        <v/>
      </c>
      <c r="I2246" s="71" t="str">
        <f>+IF('Data Pura Costos'!I2246="","",'Data Pura Costos'!I2246)</f>
        <v/>
      </c>
      <c r="J2246" s="52" t="str">
        <f>+IF('Data Pura Costos'!J2246="","",'Data Pura Costos'!J2246)</f>
        <v/>
      </c>
      <c r="K2246" s="82" t="str">
        <f t="shared" si="40"/>
        <v/>
      </c>
    </row>
    <row r="2247" spans="2:11" x14ac:dyDescent="0.35">
      <c r="B2247" s="4" t="str">
        <f>+IF('Data Pura Costos'!B2247="","",'Data Pura Costos'!B2247)</f>
        <v/>
      </c>
      <c r="C2247" s="4" t="str">
        <f>+IF('Data Pura Costos'!C2247="","",'Data Pura Costos'!C2247)</f>
        <v/>
      </c>
      <c r="D2247" s="5" t="str">
        <f>+IF('Data Pura Costos'!D2247="","",'Data Pura Costos'!D2247)</f>
        <v/>
      </c>
      <c r="E2247" s="65" t="str">
        <f>+IF('Data Pura Costos'!E2247="","",IF('Data Pura Costos'!E2247=0,MAX('Data Pura Costos'!$E$7:$E$3000)*1000,'Data Pura Costos'!E2247))</f>
        <v/>
      </c>
      <c r="F2247" s="5" t="str">
        <f>+IF('Data Pura Costos'!F2247="","",'Data Pura Costos'!F2247)</f>
        <v/>
      </c>
      <c r="G2247" s="5" t="str">
        <f>+IF('Data Pura Costos'!G2247="","",'Data Pura Costos'!G2247)</f>
        <v/>
      </c>
      <c r="H2247" s="52" t="str">
        <f>+IF('Data Pura Costos'!H2247="","",'Data Pura Costos'!H2247)</f>
        <v/>
      </c>
      <c r="I2247" s="71" t="str">
        <f>+IF('Data Pura Costos'!I2247="","",'Data Pura Costos'!I2247)</f>
        <v/>
      </c>
      <c r="J2247" s="52" t="str">
        <f>+IF('Data Pura Costos'!J2247="","",'Data Pura Costos'!J2247)</f>
        <v/>
      </c>
      <c r="K2247" s="82" t="str">
        <f t="shared" si="40"/>
        <v/>
      </c>
    </row>
    <row r="2248" spans="2:11" x14ac:dyDescent="0.35">
      <c r="B2248" s="4" t="str">
        <f>+IF('Data Pura Costos'!B2248="","",'Data Pura Costos'!B2248)</f>
        <v/>
      </c>
      <c r="C2248" s="4" t="str">
        <f>+IF('Data Pura Costos'!C2248="","",'Data Pura Costos'!C2248)</f>
        <v/>
      </c>
      <c r="D2248" s="5" t="str">
        <f>+IF('Data Pura Costos'!D2248="","",'Data Pura Costos'!D2248)</f>
        <v/>
      </c>
      <c r="E2248" s="65" t="str">
        <f>+IF('Data Pura Costos'!E2248="","",IF('Data Pura Costos'!E2248=0,MAX('Data Pura Costos'!$E$7:$E$3000)*1000,'Data Pura Costos'!E2248))</f>
        <v/>
      </c>
      <c r="F2248" s="5" t="str">
        <f>+IF('Data Pura Costos'!F2248="","",'Data Pura Costos'!F2248)</f>
        <v/>
      </c>
      <c r="G2248" s="5" t="str">
        <f>+IF('Data Pura Costos'!G2248="","",'Data Pura Costos'!G2248)</f>
        <v/>
      </c>
      <c r="H2248" s="52" t="str">
        <f>+IF('Data Pura Costos'!H2248="","",'Data Pura Costos'!H2248)</f>
        <v/>
      </c>
      <c r="I2248" s="71" t="str">
        <f>+IF('Data Pura Costos'!I2248="","",'Data Pura Costos'!I2248)</f>
        <v/>
      </c>
      <c r="J2248" s="52" t="str">
        <f>+IF('Data Pura Costos'!J2248="","",'Data Pura Costos'!J2248)</f>
        <v/>
      </c>
      <c r="K2248" s="82" t="str">
        <f t="shared" si="40"/>
        <v/>
      </c>
    </row>
    <row r="2249" spans="2:11" x14ac:dyDescent="0.35">
      <c r="B2249" s="4" t="str">
        <f>+IF('Data Pura Costos'!B2249="","",'Data Pura Costos'!B2249)</f>
        <v/>
      </c>
      <c r="C2249" s="4" t="str">
        <f>+IF('Data Pura Costos'!C2249="","",'Data Pura Costos'!C2249)</f>
        <v/>
      </c>
      <c r="D2249" s="5" t="str">
        <f>+IF('Data Pura Costos'!D2249="","",'Data Pura Costos'!D2249)</f>
        <v/>
      </c>
      <c r="E2249" s="65" t="str">
        <f>+IF('Data Pura Costos'!E2249="","",IF('Data Pura Costos'!E2249=0,MAX('Data Pura Costos'!$E$7:$E$3000)*1000,'Data Pura Costos'!E2249))</f>
        <v/>
      </c>
      <c r="F2249" s="5" t="str">
        <f>+IF('Data Pura Costos'!F2249="","",'Data Pura Costos'!F2249)</f>
        <v/>
      </c>
      <c r="G2249" s="5" t="str">
        <f>+IF('Data Pura Costos'!G2249="","",'Data Pura Costos'!G2249)</f>
        <v/>
      </c>
      <c r="H2249" s="52" t="str">
        <f>+IF('Data Pura Costos'!H2249="","",'Data Pura Costos'!H2249)</f>
        <v/>
      </c>
      <c r="I2249" s="71" t="str">
        <f>+IF('Data Pura Costos'!I2249="","",'Data Pura Costos'!I2249)</f>
        <v/>
      </c>
      <c r="J2249" s="52" t="str">
        <f>+IF('Data Pura Costos'!J2249="","",'Data Pura Costos'!J2249)</f>
        <v/>
      </c>
      <c r="K2249" s="82" t="str">
        <f t="shared" si="40"/>
        <v/>
      </c>
    </row>
    <row r="2250" spans="2:11" x14ac:dyDescent="0.35">
      <c r="B2250" s="4" t="str">
        <f>+IF('Data Pura Costos'!B2250="","",'Data Pura Costos'!B2250)</f>
        <v/>
      </c>
      <c r="C2250" s="4" t="str">
        <f>+IF('Data Pura Costos'!C2250="","",'Data Pura Costos'!C2250)</f>
        <v/>
      </c>
      <c r="D2250" s="5" t="str">
        <f>+IF('Data Pura Costos'!D2250="","",'Data Pura Costos'!D2250)</f>
        <v/>
      </c>
      <c r="E2250" s="65" t="str">
        <f>+IF('Data Pura Costos'!E2250="","",IF('Data Pura Costos'!E2250=0,MAX('Data Pura Costos'!$E$7:$E$3000)*1000,'Data Pura Costos'!E2250))</f>
        <v/>
      </c>
      <c r="F2250" s="5" t="str">
        <f>+IF('Data Pura Costos'!F2250="","",'Data Pura Costos'!F2250)</f>
        <v/>
      </c>
      <c r="G2250" s="5" t="str">
        <f>+IF('Data Pura Costos'!G2250="","",'Data Pura Costos'!G2250)</f>
        <v/>
      </c>
      <c r="H2250" s="52" t="str">
        <f>+IF('Data Pura Costos'!H2250="","",'Data Pura Costos'!H2250)</f>
        <v/>
      </c>
      <c r="I2250" s="71" t="str">
        <f>+IF('Data Pura Costos'!I2250="","",'Data Pura Costos'!I2250)</f>
        <v/>
      </c>
      <c r="J2250" s="52" t="str">
        <f>+IF('Data Pura Costos'!J2250="","",'Data Pura Costos'!J2250)</f>
        <v/>
      </c>
      <c r="K2250" s="82" t="str">
        <f t="shared" si="40"/>
        <v/>
      </c>
    </row>
    <row r="2251" spans="2:11" x14ac:dyDescent="0.35">
      <c r="B2251" s="4" t="str">
        <f>+IF('Data Pura Costos'!B2251="","",'Data Pura Costos'!B2251)</f>
        <v/>
      </c>
      <c r="C2251" s="4" t="str">
        <f>+IF('Data Pura Costos'!C2251="","",'Data Pura Costos'!C2251)</f>
        <v/>
      </c>
      <c r="D2251" s="5" t="str">
        <f>+IF('Data Pura Costos'!D2251="","",'Data Pura Costos'!D2251)</f>
        <v/>
      </c>
      <c r="E2251" s="65" t="str">
        <f>+IF('Data Pura Costos'!E2251="","",IF('Data Pura Costos'!E2251=0,MAX('Data Pura Costos'!$E$7:$E$3000)*1000,'Data Pura Costos'!E2251))</f>
        <v/>
      </c>
      <c r="F2251" s="5" t="str">
        <f>+IF('Data Pura Costos'!F2251="","",'Data Pura Costos'!F2251)</f>
        <v/>
      </c>
      <c r="G2251" s="5" t="str">
        <f>+IF('Data Pura Costos'!G2251="","",'Data Pura Costos'!G2251)</f>
        <v/>
      </c>
      <c r="H2251" s="52" t="str">
        <f>+IF('Data Pura Costos'!H2251="","",'Data Pura Costos'!H2251)</f>
        <v/>
      </c>
      <c r="I2251" s="71" t="str">
        <f>+IF('Data Pura Costos'!I2251="","",'Data Pura Costos'!I2251)</f>
        <v/>
      </c>
      <c r="J2251" s="52" t="str">
        <f>+IF('Data Pura Costos'!J2251="","",'Data Pura Costos'!J2251)</f>
        <v/>
      </c>
      <c r="K2251" s="82" t="str">
        <f t="shared" si="40"/>
        <v/>
      </c>
    </row>
    <row r="2252" spans="2:11" x14ac:dyDescent="0.35">
      <c r="B2252" s="4" t="str">
        <f>+IF('Data Pura Costos'!B2252="","",'Data Pura Costos'!B2252)</f>
        <v/>
      </c>
      <c r="C2252" s="4" t="str">
        <f>+IF('Data Pura Costos'!C2252="","",'Data Pura Costos'!C2252)</f>
        <v/>
      </c>
      <c r="D2252" s="5" t="str">
        <f>+IF('Data Pura Costos'!D2252="","",'Data Pura Costos'!D2252)</f>
        <v/>
      </c>
      <c r="E2252" s="65" t="str">
        <f>+IF('Data Pura Costos'!E2252="","",IF('Data Pura Costos'!E2252=0,MAX('Data Pura Costos'!$E$7:$E$3000)*1000,'Data Pura Costos'!E2252))</f>
        <v/>
      </c>
      <c r="F2252" s="5" t="str">
        <f>+IF('Data Pura Costos'!F2252="","",'Data Pura Costos'!F2252)</f>
        <v/>
      </c>
      <c r="G2252" s="5" t="str">
        <f>+IF('Data Pura Costos'!G2252="","",'Data Pura Costos'!G2252)</f>
        <v/>
      </c>
      <c r="H2252" s="52" t="str">
        <f>+IF('Data Pura Costos'!H2252="","",'Data Pura Costos'!H2252)</f>
        <v/>
      </c>
      <c r="I2252" s="71" t="str">
        <f>+IF('Data Pura Costos'!I2252="","",'Data Pura Costos'!I2252)</f>
        <v/>
      </c>
      <c r="J2252" s="52" t="str">
        <f>+IF('Data Pura Costos'!J2252="","",'Data Pura Costos'!J2252)</f>
        <v/>
      </c>
      <c r="K2252" s="82" t="str">
        <f t="shared" si="40"/>
        <v/>
      </c>
    </row>
    <row r="2253" spans="2:11" x14ac:dyDescent="0.35">
      <c r="B2253" s="4" t="str">
        <f>+IF('Data Pura Costos'!B2253="","",'Data Pura Costos'!B2253)</f>
        <v/>
      </c>
      <c r="C2253" s="4" t="str">
        <f>+IF('Data Pura Costos'!C2253="","",'Data Pura Costos'!C2253)</f>
        <v/>
      </c>
      <c r="D2253" s="5" t="str">
        <f>+IF('Data Pura Costos'!D2253="","",'Data Pura Costos'!D2253)</f>
        <v/>
      </c>
      <c r="E2253" s="65" t="str">
        <f>+IF('Data Pura Costos'!E2253="","",IF('Data Pura Costos'!E2253=0,MAX('Data Pura Costos'!$E$7:$E$3000)*1000,'Data Pura Costos'!E2253))</f>
        <v/>
      </c>
      <c r="F2253" s="5" t="str">
        <f>+IF('Data Pura Costos'!F2253="","",'Data Pura Costos'!F2253)</f>
        <v/>
      </c>
      <c r="G2253" s="5" t="str">
        <f>+IF('Data Pura Costos'!G2253="","",'Data Pura Costos'!G2253)</f>
        <v/>
      </c>
      <c r="H2253" s="52" t="str">
        <f>+IF('Data Pura Costos'!H2253="","",'Data Pura Costos'!H2253)</f>
        <v/>
      </c>
      <c r="I2253" s="71" t="str">
        <f>+IF('Data Pura Costos'!I2253="","",'Data Pura Costos'!I2253)</f>
        <v/>
      </c>
      <c r="J2253" s="52" t="str">
        <f>+IF('Data Pura Costos'!J2253="","",'Data Pura Costos'!J2253)</f>
        <v/>
      </c>
      <c r="K2253" s="82" t="str">
        <f t="shared" si="40"/>
        <v/>
      </c>
    </row>
    <row r="2254" spans="2:11" x14ac:dyDescent="0.35">
      <c r="B2254" s="4" t="str">
        <f>+IF('Data Pura Costos'!B2254="","",'Data Pura Costos'!B2254)</f>
        <v/>
      </c>
      <c r="C2254" s="4" t="str">
        <f>+IF('Data Pura Costos'!C2254="","",'Data Pura Costos'!C2254)</f>
        <v/>
      </c>
      <c r="D2254" s="5" t="str">
        <f>+IF('Data Pura Costos'!D2254="","",'Data Pura Costos'!D2254)</f>
        <v/>
      </c>
      <c r="E2254" s="65" t="str">
        <f>+IF('Data Pura Costos'!E2254="","",IF('Data Pura Costos'!E2254=0,MAX('Data Pura Costos'!$E$7:$E$3000)*1000,'Data Pura Costos'!E2254))</f>
        <v/>
      </c>
      <c r="F2254" s="5" t="str">
        <f>+IF('Data Pura Costos'!F2254="","",'Data Pura Costos'!F2254)</f>
        <v/>
      </c>
      <c r="G2254" s="5" t="str">
        <f>+IF('Data Pura Costos'!G2254="","",'Data Pura Costos'!G2254)</f>
        <v/>
      </c>
      <c r="H2254" s="52" t="str">
        <f>+IF('Data Pura Costos'!H2254="","",'Data Pura Costos'!H2254)</f>
        <v/>
      </c>
      <c r="I2254" s="71" t="str">
        <f>+IF('Data Pura Costos'!I2254="","",'Data Pura Costos'!I2254)</f>
        <v/>
      </c>
      <c r="J2254" s="52" t="str">
        <f>+IF('Data Pura Costos'!J2254="","",'Data Pura Costos'!J2254)</f>
        <v/>
      </c>
      <c r="K2254" s="82" t="str">
        <f t="shared" si="40"/>
        <v/>
      </c>
    </row>
    <row r="2255" spans="2:11" x14ac:dyDescent="0.35">
      <c r="B2255" s="4" t="str">
        <f>+IF('Data Pura Costos'!B2255="","",'Data Pura Costos'!B2255)</f>
        <v/>
      </c>
      <c r="C2255" s="4" t="str">
        <f>+IF('Data Pura Costos'!C2255="","",'Data Pura Costos'!C2255)</f>
        <v/>
      </c>
      <c r="D2255" s="5" t="str">
        <f>+IF('Data Pura Costos'!D2255="","",'Data Pura Costos'!D2255)</f>
        <v/>
      </c>
      <c r="E2255" s="65" t="str">
        <f>+IF('Data Pura Costos'!E2255="","",IF('Data Pura Costos'!E2255=0,MAX('Data Pura Costos'!$E$7:$E$3000)*1000,'Data Pura Costos'!E2255))</f>
        <v/>
      </c>
      <c r="F2255" s="5" t="str">
        <f>+IF('Data Pura Costos'!F2255="","",'Data Pura Costos'!F2255)</f>
        <v/>
      </c>
      <c r="G2255" s="5" t="str">
        <f>+IF('Data Pura Costos'!G2255="","",'Data Pura Costos'!G2255)</f>
        <v/>
      </c>
      <c r="H2255" s="52" t="str">
        <f>+IF('Data Pura Costos'!H2255="","",'Data Pura Costos'!H2255)</f>
        <v/>
      </c>
      <c r="I2255" s="71" t="str">
        <f>+IF('Data Pura Costos'!I2255="","",'Data Pura Costos'!I2255)</f>
        <v/>
      </c>
      <c r="J2255" s="52" t="str">
        <f>+IF('Data Pura Costos'!J2255="","",'Data Pura Costos'!J2255)</f>
        <v/>
      </c>
      <c r="K2255" s="82" t="str">
        <f t="shared" si="40"/>
        <v/>
      </c>
    </row>
    <row r="2256" spans="2:11" x14ac:dyDescent="0.35">
      <c r="B2256" s="4" t="str">
        <f>+IF('Data Pura Costos'!B2256="","",'Data Pura Costos'!B2256)</f>
        <v/>
      </c>
      <c r="C2256" s="4" t="str">
        <f>+IF('Data Pura Costos'!C2256="","",'Data Pura Costos'!C2256)</f>
        <v/>
      </c>
      <c r="D2256" s="5" t="str">
        <f>+IF('Data Pura Costos'!D2256="","",'Data Pura Costos'!D2256)</f>
        <v/>
      </c>
      <c r="E2256" s="65" t="str">
        <f>+IF('Data Pura Costos'!E2256="","",IF('Data Pura Costos'!E2256=0,MAX('Data Pura Costos'!$E$7:$E$3000)*1000,'Data Pura Costos'!E2256))</f>
        <v/>
      </c>
      <c r="F2256" s="5" t="str">
        <f>+IF('Data Pura Costos'!F2256="","",'Data Pura Costos'!F2256)</f>
        <v/>
      </c>
      <c r="G2256" s="5" t="str">
        <f>+IF('Data Pura Costos'!G2256="","",'Data Pura Costos'!G2256)</f>
        <v/>
      </c>
      <c r="H2256" s="52" t="str">
        <f>+IF('Data Pura Costos'!H2256="","",'Data Pura Costos'!H2256)</f>
        <v/>
      </c>
      <c r="I2256" s="71" t="str">
        <f>+IF('Data Pura Costos'!I2256="","",'Data Pura Costos'!I2256)</f>
        <v/>
      </c>
      <c r="J2256" s="52" t="str">
        <f>+IF('Data Pura Costos'!J2256="","",'Data Pura Costos'!J2256)</f>
        <v/>
      </c>
      <c r="K2256" s="82" t="str">
        <f t="shared" si="40"/>
        <v/>
      </c>
    </row>
    <row r="2257" spans="2:11" x14ac:dyDescent="0.35">
      <c r="B2257" s="4" t="str">
        <f>+IF('Data Pura Costos'!B2257="","",'Data Pura Costos'!B2257)</f>
        <v/>
      </c>
      <c r="C2257" s="4" t="str">
        <f>+IF('Data Pura Costos'!C2257="","",'Data Pura Costos'!C2257)</f>
        <v/>
      </c>
      <c r="D2257" s="5" t="str">
        <f>+IF('Data Pura Costos'!D2257="","",'Data Pura Costos'!D2257)</f>
        <v/>
      </c>
      <c r="E2257" s="65" t="str">
        <f>+IF('Data Pura Costos'!E2257="","",IF('Data Pura Costos'!E2257=0,MAX('Data Pura Costos'!$E$7:$E$3000)*1000,'Data Pura Costos'!E2257))</f>
        <v/>
      </c>
      <c r="F2257" s="5" t="str">
        <f>+IF('Data Pura Costos'!F2257="","",'Data Pura Costos'!F2257)</f>
        <v/>
      </c>
      <c r="G2257" s="5" t="str">
        <f>+IF('Data Pura Costos'!G2257="","",'Data Pura Costos'!G2257)</f>
        <v/>
      </c>
      <c r="H2257" s="52" t="str">
        <f>+IF('Data Pura Costos'!H2257="","",'Data Pura Costos'!H2257)</f>
        <v/>
      </c>
      <c r="I2257" s="71" t="str">
        <f>+IF('Data Pura Costos'!I2257="","",'Data Pura Costos'!I2257)</f>
        <v/>
      </c>
      <c r="J2257" s="52" t="str">
        <f>+IF('Data Pura Costos'!J2257="","",'Data Pura Costos'!J2257)</f>
        <v/>
      </c>
      <c r="K2257" s="82" t="str">
        <f t="shared" si="40"/>
        <v/>
      </c>
    </row>
    <row r="2258" spans="2:11" x14ac:dyDescent="0.35">
      <c r="B2258" s="4" t="str">
        <f>+IF('Data Pura Costos'!B2258="","",'Data Pura Costos'!B2258)</f>
        <v/>
      </c>
      <c r="C2258" s="4" t="str">
        <f>+IF('Data Pura Costos'!C2258="","",'Data Pura Costos'!C2258)</f>
        <v/>
      </c>
      <c r="D2258" s="5" t="str">
        <f>+IF('Data Pura Costos'!D2258="","",'Data Pura Costos'!D2258)</f>
        <v/>
      </c>
      <c r="E2258" s="65" t="str">
        <f>+IF('Data Pura Costos'!E2258="","",IF('Data Pura Costos'!E2258=0,MAX('Data Pura Costos'!$E$7:$E$3000)*1000,'Data Pura Costos'!E2258))</f>
        <v/>
      </c>
      <c r="F2258" s="5" t="str">
        <f>+IF('Data Pura Costos'!F2258="","",'Data Pura Costos'!F2258)</f>
        <v/>
      </c>
      <c r="G2258" s="5" t="str">
        <f>+IF('Data Pura Costos'!G2258="","",'Data Pura Costos'!G2258)</f>
        <v/>
      </c>
      <c r="H2258" s="52" t="str">
        <f>+IF('Data Pura Costos'!H2258="","",'Data Pura Costos'!H2258)</f>
        <v/>
      </c>
      <c r="I2258" s="71" t="str">
        <f>+IF('Data Pura Costos'!I2258="","",'Data Pura Costos'!I2258)</f>
        <v/>
      </c>
      <c r="J2258" s="52" t="str">
        <f>+IF('Data Pura Costos'!J2258="","",'Data Pura Costos'!J2258)</f>
        <v/>
      </c>
      <c r="K2258" s="82" t="str">
        <f t="shared" si="40"/>
        <v/>
      </c>
    </row>
    <row r="2259" spans="2:11" x14ac:dyDescent="0.35">
      <c r="B2259" s="4" t="str">
        <f>+IF('Data Pura Costos'!B2259="","",'Data Pura Costos'!B2259)</f>
        <v/>
      </c>
      <c r="C2259" s="4" t="str">
        <f>+IF('Data Pura Costos'!C2259="","",'Data Pura Costos'!C2259)</f>
        <v/>
      </c>
      <c r="D2259" s="5" t="str">
        <f>+IF('Data Pura Costos'!D2259="","",'Data Pura Costos'!D2259)</f>
        <v/>
      </c>
      <c r="E2259" s="65" t="str">
        <f>+IF('Data Pura Costos'!E2259="","",IF('Data Pura Costos'!E2259=0,MAX('Data Pura Costos'!$E$7:$E$3000)*1000,'Data Pura Costos'!E2259))</f>
        <v/>
      </c>
      <c r="F2259" s="5" t="str">
        <f>+IF('Data Pura Costos'!F2259="","",'Data Pura Costos'!F2259)</f>
        <v/>
      </c>
      <c r="G2259" s="5" t="str">
        <f>+IF('Data Pura Costos'!G2259="","",'Data Pura Costos'!G2259)</f>
        <v/>
      </c>
      <c r="H2259" s="52" t="str">
        <f>+IF('Data Pura Costos'!H2259="","",'Data Pura Costos'!H2259)</f>
        <v/>
      </c>
      <c r="I2259" s="71" t="str">
        <f>+IF('Data Pura Costos'!I2259="","",'Data Pura Costos'!I2259)</f>
        <v/>
      </c>
      <c r="J2259" s="52" t="str">
        <f>+IF('Data Pura Costos'!J2259="","",'Data Pura Costos'!J2259)</f>
        <v/>
      </c>
      <c r="K2259" s="82" t="str">
        <f t="shared" si="40"/>
        <v/>
      </c>
    </row>
    <row r="2260" spans="2:11" x14ac:dyDescent="0.35">
      <c r="B2260" s="4" t="str">
        <f>+IF('Data Pura Costos'!B2260="","",'Data Pura Costos'!B2260)</f>
        <v/>
      </c>
      <c r="C2260" s="4" t="str">
        <f>+IF('Data Pura Costos'!C2260="","",'Data Pura Costos'!C2260)</f>
        <v/>
      </c>
      <c r="D2260" s="5" t="str">
        <f>+IF('Data Pura Costos'!D2260="","",'Data Pura Costos'!D2260)</f>
        <v/>
      </c>
      <c r="E2260" s="65" t="str">
        <f>+IF('Data Pura Costos'!E2260="","",IF('Data Pura Costos'!E2260=0,MAX('Data Pura Costos'!$E$7:$E$3000)*1000,'Data Pura Costos'!E2260))</f>
        <v/>
      </c>
      <c r="F2260" s="5" t="str">
        <f>+IF('Data Pura Costos'!F2260="","",'Data Pura Costos'!F2260)</f>
        <v/>
      </c>
      <c r="G2260" s="5" t="str">
        <f>+IF('Data Pura Costos'!G2260="","",'Data Pura Costos'!G2260)</f>
        <v/>
      </c>
      <c r="H2260" s="52" t="str">
        <f>+IF('Data Pura Costos'!H2260="","",'Data Pura Costos'!H2260)</f>
        <v/>
      </c>
      <c r="I2260" s="71" t="str">
        <f>+IF('Data Pura Costos'!I2260="","",'Data Pura Costos'!I2260)</f>
        <v/>
      </c>
      <c r="J2260" s="52" t="str">
        <f>+IF('Data Pura Costos'!J2260="","",'Data Pura Costos'!J2260)</f>
        <v/>
      </c>
      <c r="K2260" s="82" t="str">
        <f t="shared" si="40"/>
        <v/>
      </c>
    </row>
    <row r="2261" spans="2:11" x14ac:dyDescent="0.35">
      <c r="B2261" s="4" t="str">
        <f>+IF('Data Pura Costos'!B2261="","",'Data Pura Costos'!B2261)</f>
        <v/>
      </c>
      <c r="C2261" s="4" t="str">
        <f>+IF('Data Pura Costos'!C2261="","",'Data Pura Costos'!C2261)</f>
        <v/>
      </c>
      <c r="D2261" s="5" t="str">
        <f>+IF('Data Pura Costos'!D2261="","",'Data Pura Costos'!D2261)</f>
        <v/>
      </c>
      <c r="E2261" s="65" t="str">
        <f>+IF('Data Pura Costos'!E2261="","",IF('Data Pura Costos'!E2261=0,MAX('Data Pura Costos'!$E$7:$E$3000)*1000,'Data Pura Costos'!E2261))</f>
        <v/>
      </c>
      <c r="F2261" s="5" t="str">
        <f>+IF('Data Pura Costos'!F2261="","",'Data Pura Costos'!F2261)</f>
        <v/>
      </c>
      <c r="G2261" s="5" t="str">
        <f>+IF('Data Pura Costos'!G2261="","",'Data Pura Costos'!G2261)</f>
        <v/>
      </c>
      <c r="H2261" s="52" t="str">
        <f>+IF('Data Pura Costos'!H2261="","",'Data Pura Costos'!H2261)</f>
        <v/>
      </c>
      <c r="I2261" s="71" t="str">
        <f>+IF('Data Pura Costos'!I2261="","",'Data Pura Costos'!I2261)</f>
        <v/>
      </c>
      <c r="J2261" s="52" t="str">
        <f>+IF('Data Pura Costos'!J2261="","",'Data Pura Costos'!J2261)</f>
        <v/>
      </c>
      <c r="K2261" s="82" t="str">
        <f t="shared" si="40"/>
        <v/>
      </c>
    </row>
    <row r="2262" spans="2:11" x14ac:dyDescent="0.35">
      <c r="B2262" s="4" t="str">
        <f>+IF('Data Pura Costos'!B2262="","",'Data Pura Costos'!B2262)</f>
        <v/>
      </c>
      <c r="C2262" s="4" t="str">
        <f>+IF('Data Pura Costos'!C2262="","",'Data Pura Costos'!C2262)</f>
        <v/>
      </c>
      <c r="D2262" s="5" t="str">
        <f>+IF('Data Pura Costos'!D2262="","",'Data Pura Costos'!D2262)</f>
        <v/>
      </c>
      <c r="E2262" s="65" t="str">
        <f>+IF('Data Pura Costos'!E2262="","",IF('Data Pura Costos'!E2262=0,MAX('Data Pura Costos'!$E$7:$E$3000)*1000,'Data Pura Costos'!E2262))</f>
        <v/>
      </c>
      <c r="F2262" s="5" t="str">
        <f>+IF('Data Pura Costos'!F2262="","",'Data Pura Costos'!F2262)</f>
        <v/>
      </c>
      <c r="G2262" s="5" t="str">
        <f>+IF('Data Pura Costos'!G2262="","",'Data Pura Costos'!G2262)</f>
        <v/>
      </c>
      <c r="H2262" s="52" t="str">
        <f>+IF('Data Pura Costos'!H2262="","",'Data Pura Costos'!H2262)</f>
        <v/>
      </c>
      <c r="I2262" s="71" t="str">
        <f>+IF('Data Pura Costos'!I2262="","",'Data Pura Costos'!I2262)</f>
        <v/>
      </c>
      <c r="J2262" s="52" t="str">
        <f>+IF('Data Pura Costos'!J2262="","",'Data Pura Costos'!J2262)</f>
        <v/>
      </c>
      <c r="K2262" s="82" t="str">
        <f t="shared" si="40"/>
        <v/>
      </c>
    </row>
    <row r="2263" spans="2:11" x14ac:dyDescent="0.35">
      <c r="B2263" s="4" t="str">
        <f>+IF('Data Pura Costos'!B2263="","",'Data Pura Costos'!B2263)</f>
        <v/>
      </c>
      <c r="C2263" s="4" t="str">
        <f>+IF('Data Pura Costos'!C2263="","",'Data Pura Costos'!C2263)</f>
        <v/>
      </c>
      <c r="D2263" s="5" t="str">
        <f>+IF('Data Pura Costos'!D2263="","",'Data Pura Costos'!D2263)</f>
        <v/>
      </c>
      <c r="E2263" s="65" t="str">
        <f>+IF('Data Pura Costos'!E2263="","",IF('Data Pura Costos'!E2263=0,MAX('Data Pura Costos'!$E$7:$E$3000)*1000,'Data Pura Costos'!E2263))</f>
        <v/>
      </c>
      <c r="F2263" s="5" t="str">
        <f>+IF('Data Pura Costos'!F2263="","",'Data Pura Costos'!F2263)</f>
        <v/>
      </c>
      <c r="G2263" s="5" t="str">
        <f>+IF('Data Pura Costos'!G2263="","",'Data Pura Costos'!G2263)</f>
        <v/>
      </c>
      <c r="H2263" s="52" t="str">
        <f>+IF('Data Pura Costos'!H2263="","",'Data Pura Costos'!H2263)</f>
        <v/>
      </c>
      <c r="I2263" s="71" t="str">
        <f>+IF('Data Pura Costos'!I2263="","",'Data Pura Costos'!I2263)</f>
        <v/>
      </c>
      <c r="J2263" s="52" t="str">
        <f>+IF('Data Pura Costos'!J2263="","",'Data Pura Costos'!J2263)</f>
        <v/>
      </c>
      <c r="K2263" s="82" t="str">
        <f t="shared" si="40"/>
        <v/>
      </c>
    </row>
    <row r="2264" spans="2:11" x14ac:dyDescent="0.35">
      <c r="B2264" s="4" t="str">
        <f>+IF('Data Pura Costos'!B2264="","",'Data Pura Costos'!B2264)</f>
        <v/>
      </c>
      <c r="C2264" s="4" t="str">
        <f>+IF('Data Pura Costos'!C2264="","",'Data Pura Costos'!C2264)</f>
        <v/>
      </c>
      <c r="D2264" s="5" t="str">
        <f>+IF('Data Pura Costos'!D2264="","",'Data Pura Costos'!D2264)</f>
        <v/>
      </c>
      <c r="E2264" s="65" t="str">
        <f>+IF('Data Pura Costos'!E2264="","",IF('Data Pura Costos'!E2264=0,MAX('Data Pura Costos'!$E$7:$E$3000)*1000,'Data Pura Costos'!E2264))</f>
        <v/>
      </c>
      <c r="F2264" s="5" t="str">
        <f>+IF('Data Pura Costos'!F2264="","",'Data Pura Costos'!F2264)</f>
        <v/>
      </c>
      <c r="G2264" s="5" t="str">
        <f>+IF('Data Pura Costos'!G2264="","",'Data Pura Costos'!G2264)</f>
        <v/>
      </c>
      <c r="H2264" s="52" t="str">
        <f>+IF('Data Pura Costos'!H2264="","",'Data Pura Costos'!H2264)</f>
        <v/>
      </c>
      <c r="I2264" s="71" t="str">
        <f>+IF('Data Pura Costos'!I2264="","",'Data Pura Costos'!I2264)</f>
        <v/>
      </c>
      <c r="J2264" s="52" t="str">
        <f>+IF('Data Pura Costos'!J2264="","",'Data Pura Costos'!J2264)</f>
        <v/>
      </c>
      <c r="K2264" s="82" t="str">
        <f t="shared" si="40"/>
        <v/>
      </c>
    </row>
    <row r="2265" spans="2:11" x14ac:dyDescent="0.35">
      <c r="B2265" s="4" t="str">
        <f>+IF('Data Pura Costos'!B2265="","",'Data Pura Costos'!B2265)</f>
        <v/>
      </c>
      <c r="C2265" s="4" t="str">
        <f>+IF('Data Pura Costos'!C2265="","",'Data Pura Costos'!C2265)</f>
        <v/>
      </c>
      <c r="D2265" s="5" t="str">
        <f>+IF('Data Pura Costos'!D2265="","",'Data Pura Costos'!D2265)</f>
        <v/>
      </c>
      <c r="E2265" s="65" t="str">
        <f>+IF('Data Pura Costos'!E2265="","",IF('Data Pura Costos'!E2265=0,MAX('Data Pura Costos'!$E$7:$E$3000)*1000,'Data Pura Costos'!E2265))</f>
        <v/>
      </c>
      <c r="F2265" s="5" t="str">
        <f>+IF('Data Pura Costos'!F2265="","",'Data Pura Costos'!F2265)</f>
        <v/>
      </c>
      <c r="G2265" s="5" t="str">
        <f>+IF('Data Pura Costos'!G2265="","",'Data Pura Costos'!G2265)</f>
        <v/>
      </c>
      <c r="H2265" s="52" t="str">
        <f>+IF('Data Pura Costos'!H2265="","",'Data Pura Costos'!H2265)</f>
        <v/>
      </c>
      <c r="I2265" s="71" t="str">
        <f>+IF('Data Pura Costos'!I2265="","",'Data Pura Costos'!I2265)</f>
        <v/>
      </c>
      <c r="J2265" s="52" t="str">
        <f>+IF('Data Pura Costos'!J2265="","",'Data Pura Costos'!J2265)</f>
        <v/>
      </c>
      <c r="K2265" s="82" t="str">
        <f t="shared" si="40"/>
        <v/>
      </c>
    </row>
    <row r="2266" spans="2:11" x14ac:dyDescent="0.35">
      <c r="B2266" s="4" t="str">
        <f>+IF('Data Pura Costos'!B2266="","",'Data Pura Costos'!B2266)</f>
        <v/>
      </c>
      <c r="C2266" s="4" t="str">
        <f>+IF('Data Pura Costos'!C2266="","",'Data Pura Costos'!C2266)</f>
        <v/>
      </c>
      <c r="D2266" s="5" t="str">
        <f>+IF('Data Pura Costos'!D2266="","",'Data Pura Costos'!D2266)</f>
        <v/>
      </c>
      <c r="E2266" s="65" t="str">
        <f>+IF('Data Pura Costos'!E2266="","",IF('Data Pura Costos'!E2266=0,MAX('Data Pura Costos'!$E$7:$E$3000)*1000,'Data Pura Costos'!E2266))</f>
        <v/>
      </c>
      <c r="F2266" s="5" t="str">
        <f>+IF('Data Pura Costos'!F2266="","",'Data Pura Costos'!F2266)</f>
        <v/>
      </c>
      <c r="G2266" s="5" t="str">
        <f>+IF('Data Pura Costos'!G2266="","",'Data Pura Costos'!G2266)</f>
        <v/>
      </c>
      <c r="H2266" s="52" t="str">
        <f>+IF('Data Pura Costos'!H2266="","",'Data Pura Costos'!H2266)</f>
        <v/>
      </c>
      <c r="I2266" s="71" t="str">
        <f>+IF('Data Pura Costos'!I2266="","",'Data Pura Costos'!I2266)</f>
        <v/>
      </c>
      <c r="J2266" s="52" t="str">
        <f>+IF('Data Pura Costos'!J2266="","",'Data Pura Costos'!J2266)</f>
        <v/>
      </c>
      <c r="K2266" s="82" t="str">
        <f t="shared" si="40"/>
        <v/>
      </c>
    </row>
    <row r="2267" spans="2:11" x14ac:dyDescent="0.35">
      <c r="B2267" s="4" t="str">
        <f>+IF('Data Pura Costos'!B2267="","",'Data Pura Costos'!B2267)</f>
        <v/>
      </c>
      <c r="C2267" s="4" t="str">
        <f>+IF('Data Pura Costos'!C2267="","",'Data Pura Costos'!C2267)</f>
        <v/>
      </c>
      <c r="D2267" s="5" t="str">
        <f>+IF('Data Pura Costos'!D2267="","",'Data Pura Costos'!D2267)</f>
        <v/>
      </c>
      <c r="E2267" s="65" t="str">
        <f>+IF('Data Pura Costos'!E2267="","",IF('Data Pura Costos'!E2267=0,MAX('Data Pura Costos'!$E$7:$E$3000)*1000,'Data Pura Costos'!E2267))</f>
        <v/>
      </c>
      <c r="F2267" s="5" t="str">
        <f>+IF('Data Pura Costos'!F2267="","",'Data Pura Costos'!F2267)</f>
        <v/>
      </c>
      <c r="G2267" s="5" t="str">
        <f>+IF('Data Pura Costos'!G2267="","",'Data Pura Costos'!G2267)</f>
        <v/>
      </c>
      <c r="H2267" s="52" t="str">
        <f>+IF('Data Pura Costos'!H2267="","",'Data Pura Costos'!H2267)</f>
        <v/>
      </c>
      <c r="I2267" s="71" t="str">
        <f>+IF('Data Pura Costos'!I2267="","",'Data Pura Costos'!I2267)</f>
        <v/>
      </c>
      <c r="J2267" s="52" t="str">
        <f>+IF('Data Pura Costos'!J2267="","",'Data Pura Costos'!J2267)</f>
        <v/>
      </c>
      <c r="K2267" s="82" t="str">
        <f t="shared" si="40"/>
        <v/>
      </c>
    </row>
    <row r="2268" spans="2:11" x14ac:dyDescent="0.35">
      <c r="B2268" s="4" t="str">
        <f>+IF('Data Pura Costos'!B2268="","",'Data Pura Costos'!B2268)</f>
        <v/>
      </c>
      <c r="C2268" s="4" t="str">
        <f>+IF('Data Pura Costos'!C2268="","",'Data Pura Costos'!C2268)</f>
        <v/>
      </c>
      <c r="D2268" s="5" t="str">
        <f>+IF('Data Pura Costos'!D2268="","",'Data Pura Costos'!D2268)</f>
        <v/>
      </c>
      <c r="E2268" s="65" t="str">
        <f>+IF('Data Pura Costos'!E2268="","",IF('Data Pura Costos'!E2268=0,MAX('Data Pura Costos'!$E$7:$E$3000)*1000,'Data Pura Costos'!E2268))</f>
        <v/>
      </c>
      <c r="F2268" s="5" t="str">
        <f>+IF('Data Pura Costos'!F2268="","",'Data Pura Costos'!F2268)</f>
        <v/>
      </c>
      <c r="G2268" s="5" t="str">
        <f>+IF('Data Pura Costos'!G2268="","",'Data Pura Costos'!G2268)</f>
        <v/>
      </c>
      <c r="H2268" s="52" t="str">
        <f>+IF('Data Pura Costos'!H2268="","",'Data Pura Costos'!H2268)</f>
        <v/>
      </c>
      <c r="I2268" s="71" t="str">
        <f>+IF('Data Pura Costos'!I2268="","",'Data Pura Costos'!I2268)</f>
        <v/>
      </c>
      <c r="J2268" s="52" t="str">
        <f>+IF('Data Pura Costos'!J2268="","",'Data Pura Costos'!J2268)</f>
        <v/>
      </c>
      <c r="K2268" s="82" t="str">
        <f t="shared" si="40"/>
        <v/>
      </c>
    </row>
    <row r="2269" spans="2:11" x14ac:dyDescent="0.35">
      <c r="B2269" s="4" t="str">
        <f>+IF('Data Pura Costos'!B2269="","",'Data Pura Costos'!B2269)</f>
        <v/>
      </c>
      <c r="C2269" s="4" t="str">
        <f>+IF('Data Pura Costos'!C2269="","",'Data Pura Costos'!C2269)</f>
        <v/>
      </c>
      <c r="D2269" s="5" t="str">
        <f>+IF('Data Pura Costos'!D2269="","",'Data Pura Costos'!D2269)</f>
        <v/>
      </c>
      <c r="E2269" s="65" t="str">
        <f>+IF('Data Pura Costos'!E2269="","",IF('Data Pura Costos'!E2269=0,MAX('Data Pura Costos'!$E$7:$E$3000)*1000,'Data Pura Costos'!E2269))</f>
        <v/>
      </c>
      <c r="F2269" s="5" t="str">
        <f>+IF('Data Pura Costos'!F2269="","",'Data Pura Costos'!F2269)</f>
        <v/>
      </c>
      <c r="G2269" s="5" t="str">
        <f>+IF('Data Pura Costos'!G2269="","",'Data Pura Costos'!G2269)</f>
        <v/>
      </c>
      <c r="H2269" s="52" t="str">
        <f>+IF('Data Pura Costos'!H2269="","",'Data Pura Costos'!H2269)</f>
        <v/>
      </c>
      <c r="I2269" s="71" t="str">
        <f>+IF('Data Pura Costos'!I2269="","",'Data Pura Costos'!I2269)</f>
        <v/>
      </c>
      <c r="J2269" s="52" t="str">
        <f>+IF('Data Pura Costos'!J2269="","",'Data Pura Costos'!J2269)</f>
        <v/>
      </c>
      <c r="K2269" s="82" t="str">
        <f t="shared" si="40"/>
        <v/>
      </c>
    </row>
    <row r="2270" spans="2:11" x14ac:dyDescent="0.35">
      <c r="B2270" s="4" t="str">
        <f>+IF('Data Pura Costos'!B2270="","",'Data Pura Costos'!B2270)</f>
        <v/>
      </c>
      <c r="C2270" s="4" t="str">
        <f>+IF('Data Pura Costos'!C2270="","",'Data Pura Costos'!C2270)</f>
        <v/>
      </c>
      <c r="D2270" s="5" t="str">
        <f>+IF('Data Pura Costos'!D2270="","",'Data Pura Costos'!D2270)</f>
        <v/>
      </c>
      <c r="E2270" s="65" t="str">
        <f>+IF('Data Pura Costos'!E2270="","",IF('Data Pura Costos'!E2270=0,MAX('Data Pura Costos'!$E$7:$E$3000)*1000,'Data Pura Costos'!E2270))</f>
        <v/>
      </c>
      <c r="F2270" s="5" t="str">
        <f>+IF('Data Pura Costos'!F2270="","",'Data Pura Costos'!F2270)</f>
        <v/>
      </c>
      <c r="G2270" s="5" t="str">
        <f>+IF('Data Pura Costos'!G2270="","",'Data Pura Costos'!G2270)</f>
        <v/>
      </c>
      <c r="H2270" s="52" t="str">
        <f>+IF('Data Pura Costos'!H2270="","",'Data Pura Costos'!H2270)</f>
        <v/>
      </c>
      <c r="I2270" s="71" t="str">
        <f>+IF('Data Pura Costos'!I2270="","",'Data Pura Costos'!I2270)</f>
        <v/>
      </c>
      <c r="J2270" s="52" t="str">
        <f>+IF('Data Pura Costos'!J2270="","",'Data Pura Costos'!J2270)</f>
        <v/>
      </c>
      <c r="K2270" s="82" t="str">
        <f t="shared" si="40"/>
        <v/>
      </c>
    </row>
    <row r="2271" spans="2:11" x14ac:dyDescent="0.35">
      <c r="B2271" s="4" t="str">
        <f>+IF('Data Pura Costos'!B2271="","",'Data Pura Costos'!B2271)</f>
        <v/>
      </c>
      <c r="C2271" s="4" t="str">
        <f>+IF('Data Pura Costos'!C2271="","",'Data Pura Costos'!C2271)</f>
        <v/>
      </c>
      <c r="D2271" s="5" t="str">
        <f>+IF('Data Pura Costos'!D2271="","",'Data Pura Costos'!D2271)</f>
        <v/>
      </c>
      <c r="E2271" s="65" t="str">
        <f>+IF('Data Pura Costos'!E2271="","",IF('Data Pura Costos'!E2271=0,MAX('Data Pura Costos'!$E$7:$E$3000)*1000,'Data Pura Costos'!E2271))</f>
        <v/>
      </c>
      <c r="F2271" s="5" t="str">
        <f>+IF('Data Pura Costos'!F2271="","",'Data Pura Costos'!F2271)</f>
        <v/>
      </c>
      <c r="G2271" s="5" t="str">
        <f>+IF('Data Pura Costos'!G2271="","",'Data Pura Costos'!G2271)</f>
        <v/>
      </c>
      <c r="H2271" s="52" t="str">
        <f>+IF('Data Pura Costos'!H2271="","",'Data Pura Costos'!H2271)</f>
        <v/>
      </c>
      <c r="I2271" s="71" t="str">
        <f>+IF('Data Pura Costos'!I2271="","",'Data Pura Costos'!I2271)</f>
        <v/>
      </c>
      <c r="J2271" s="52" t="str">
        <f>+IF('Data Pura Costos'!J2271="","",'Data Pura Costos'!J2271)</f>
        <v/>
      </c>
      <c r="K2271" s="82" t="str">
        <f t="shared" si="40"/>
        <v/>
      </c>
    </row>
    <row r="2272" spans="2:11" x14ac:dyDescent="0.35">
      <c r="B2272" s="4" t="str">
        <f>+IF('Data Pura Costos'!B2272="","",'Data Pura Costos'!B2272)</f>
        <v/>
      </c>
      <c r="C2272" s="4" t="str">
        <f>+IF('Data Pura Costos'!C2272="","",'Data Pura Costos'!C2272)</f>
        <v/>
      </c>
      <c r="D2272" s="5" t="str">
        <f>+IF('Data Pura Costos'!D2272="","",'Data Pura Costos'!D2272)</f>
        <v/>
      </c>
      <c r="E2272" s="65" t="str">
        <f>+IF('Data Pura Costos'!E2272="","",IF('Data Pura Costos'!E2272=0,MAX('Data Pura Costos'!$E$7:$E$3000)*1000,'Data Pura Costos'!E2272))</f>
        <v/>
      </c>
      <c r="F2272" s="5" t="str">
        <f>+IF('Data Pura Costos'!F2272="","",'Data Pura Costos'!F2272)</f>
        <v/>
      </c>
      <c r="G2272" s="5" t="str">
        <f>+IF('Data Pura Costos'!G2272="","",'Data Pura Costos'!G2272)</f>
        <v/>
      </c>
      <c r="H2272" s="52" t="str">
        <f>+IF('Data Pura Costos'!H2272="","",'Data Pura Costos'!H2272)</f>
        <v/>
      </c>
      <c r="I2272" s="71" t="str">
        <f>+IF('Data Pura Costos'!I2272="","",'Data Pura Costos'!I2272)</f>
        <v/>
      </c>
      <c r="J2272" s="52" t="str">
        <f>+IF('Data Pura Costos'!J2272="","",'Data Pura Costos'!J2272)</f>
        <v/>
      </c>
      <c r="K2272" s="82" t="str">
        <f t="shared" si="40"/>
        <v/>
      </c>
    </row>
    <row r="2273" spans="2:11" x14ac:dyDescent="0.35">
      <c r="B2273" s="4" t="str">
        <f>+IF('Data Pura Costos'!B2273="","",'Data Pura Costos'!B2273)</f>
        <v/>
      </c>
      <c r="C2273" s="4" t="str">
        <f>+IF('Data Pura Costos'!C2273="","",'Data Pura Costos'!C2273)</f>
        <v/>
      </c>
      <c r="D2273" s="5" t="str">
        <f>+IF('Data Pura Costos'!D2273="","",'Data Pura Costos'!D2273)</f>
        <v/>
      </c>
      <c r="E2273" s="65" t="str">
        <f>+IF('Data Pura Costos'!E2273="","",IF('Data Pura Costos'!E2273=0,MAX('Data Pura Costos'!$E$7:$E$3000)*1000,'Data Pura Costos'!E2273))</f>
        <v/>
      </c>
      <c r="F2273" s="5" t="str">
        <f>+IF('Data Pura Costos'!F2273="","",'Data Pura Costos'!F2273)</f>
        <v/>
      </c>
      <c r="G2273" s="5" t="str">
        <f>+IF('Data Pura Costos'!G2273="","",'Data Pura Costos'!G2273)</f>
        <v/>
      </c>
      <c r="H2273" s="52" t="str">
        <f>+IF('Data Pura Costos'!H2273="","",'Data Pura Costos'!H2273)</f>
        <v/>
      </c>
      <c r="I2273" s="71" t="str">
        <f>+IF('Data Pura Costos'!I2273="","",'Data Pura Costos'!I2273)</f>
        <v/>
      </c>
      <c r="J2273" s="52" t="str">
        <f>+IF('Data Pura Costos'!J2273="","",'Data Pura Costos'!J2273)</f>
        <v/>
      </c>
      <c r="K2273" s="82" t="str">
        <f t="shared" si="40"/>
        <v/>
      </c>
    </row>
    <row r="2274" spans="2:11" x14ac:dyDescent="0.35">
      <c r="B2274" s="4" t="str">
        <f>+IF('Data Pura Costos'!B2274="","",'Data Pura Costos'!B2274)</f>
        <v/>
      </c>
      <c r="C2274" s="4" t="str">
        <f>+IF('Data Pura Costos'!C2274="","",'Data Pura Costos'!C2274)</f>
        <v/>
      </c>
      <c r="D2274" s="5" t="str">
        <f>+IF('Data Pura Costos'!D2274="","",'Data Pura Costos'!D2274)</f>
        <v/>
      </c>
      <c r="E2274" s="65" t="str">
        <f>+IF('Data Pura Costos'!E2274="","",IF('Data Pura Costos'!E2274=0,MAX('Data Pura Costos'!$E$7:$E$3000)*1000,'Data Pura Costos'!E2274))</f>
        <v/>
      </c>
      <c r="F2274" s="5" t="str">
        <f>+IF('Data Pura Costos'!F2274="","",'Data Pura Costos'!F2274)</f>
        <v/>
      </c>
      <c r="G2274" s="5" t="str">
        <f>+IF('Data Pura Costos'!G2274="","",'Data Pura Costos'!G2274)</f>
        <v/>
      </c>
      <c r="H2274" s="52" t="str">
        <f>+IF('Data Pura Costos'!H2274="","",'Data Pura Costos'!H2274)</f>
        <v/>
      </c>
      <c r="I2274" s="71" t="str">
        <f>+IF('Data Pura Costos'!I2274="","",'Data Pura Costos'!I2274)</f>
        <v/>
      </c>
      <c r="J2274" s="52" t="str">
        <f>+IF('Data Pura Costos'!J2274="","",'Data Pura Costos'!J2274)</f>
        <v/>
      </c>
      <c r="K2274" s="82" t="str">
        <f t="shared" si="40"/>
        <v/>
      </c>
    </row>
    <row r="2275" spans="2:11" x14ac:dyDescent="0.35">
      <c r="B2275" s="4" t="str">
        <f>+IF('Data Pura Costos'!B2275="","",'Data Pura Costos'!B2275)</f>
        <v/>
      </c>
      <c r="C2275" s="4" t="str">
        <f>+IF('Data Pura Costos'!C2275="","",'Data Pura Costos'!C2275)</f>
        <v/>
      </c>
      <c r="D2275" s="5" t="str">
        <f>+IF('Data Pura Costos'!D2275="","",'Data Pura Costos'!D2275)</f>
        <v/>
      </c>
      <c r="E2275" s="65" t="str">
        <f>+IF('Data Pura Costos'!E2275="","",IF('Data Pura Costos'!E2275=0,MAX('Data Pura Costos'!$E$7:$E$3000)*1000,'Data Pura Costos'!E2275))</f>
        <v/>
      </c>
      <c r="F2275" s="5" t="str">
        <f>+IF('Data Pura Costos'!F2275="","",'Data Pura Costos'!F2275)</f>
        <v/>
      </c>
      <c r="G2275" s="5" t="str">
        <f>+IF('Data Pura Costos'!G2275="","",'Data Pura Costos'!G2275)</f>
        <v/>
      </c>
      <c r="H2275" s="52" t="str">
        <f>+IF('Data Pura Costos'!H2275="","",'Data Pura Costos'!H2275)</f>
        <v/>
      </c>
      <c r="I2275" s="71" t="str">
        <f>+IF('Data Pura Costos'!I2275="","",'Data Pura Costos'!I2275)</f>
        <v/>
      </c>
      <c r="J2275" s="52" t="str">
        <f>+IF('Data Pura Costos'!J2275="","",'Data Pura Costos'!J2275)</f>
        <v/>
      </c>
      <c r="K2275" s="82" t="str">
        <f t="shared" si="40"/>
        <v/>
      </c>
    </row>
    <row r="2276" spans="2:11" x14ac:dyDescent="0.35">
      <c r="B2276" s="4" t="str">
        <f>+IF('Data Pura Costos'!B2276="","",'Data Pura Costos'!B2276)</f>
        <v/>
      </c>
      <c r="C2276" s="4" t="str">
        <f>+IF('Data Pura Costos'!C2276="","",'Data Pura Costos'!C2276)</f>
        <v/>
      </c>
      <c r="D2276" s="5" t="str">
        <f>+IF('Data Pura Costos'!D2276="","",'Data Pura Costos'!D2276)</f>
        <v/>
      </c>
      <c r="E2276" s="65" t="str">
        <f>+IF('Data Pura Costos'!E2276="","",IF('Data Pura Costos'!E2276=0,MAX('Data Pura Costos'!$E$7:$E$3000)*1000,'Data Pura Costos'!E2276))</f>
        <v/>
      </c>
      <c r="F2276" s="5" t="str">
        <f>+IF('Data Pura Costos'!F2276="","",'Data Pura Costos'!F2276)</f>
        <v/>
      </c>
      <c r="G2276" s="5" t="str">
        <f>+IF('Data Pura Costos'!G2276="","",'Data Pura Costos'!G2276)</f>
        <v/>
      </c>
      <c r="H2276" s="52" t="str">
        <f>+IF('Data Pura Costos'!H2276="","",'Data Pura Costos'!H2276)</f>
        <v/>
      </c>
      <c r="I2276" s="71" t="str">
        <f>+IF('Data Pura Costos'!I2276="","",'Data Pura Costos'!I2276)</f>
        <v/>
      </c>
      <c r="J2276" s="52" t="str">
        <f>+IF('Data Pura Costos'!J2276="","",'Data Pura Costos'!J2276)</f>
        <v/>
      </c>
      <c r="K2276" s="82" t="str">
        <f t="shared" si="40"/>
        <v/>
      </c>
    </row>
    <row r="2277" spans="2:11" x14ac:dyDescent="0.35">
      <c r="B2277" s="4" t="str">
        <f>+IF('Data Pura Costos'!B2277="","",'Data Pura Costos'!B2277)</f>
        <v/>
      </c>
      <c r="C2277" s="4" t="str">
        <f>+IF('Data Pura Costos'!C2277="","",'Data Pura Costos'!C2277)</f>
        <v/>
      </c>
      <c r="D2277" s="5" t="str">
        <f>+IF('Data Pura Costos'!D2277="","",'Data Pura Costos'!D2277)</f>
        <v/>
      </c>
      <c r="E2277" s="65" t="str">
        <f>+IF('Data Pura Costos'!E2277="","",IF('Data Pura Costos'!E2277=0,MAX('Data Pura Costos'!$E$7:$E$3000)*1000,'Data Pura Costos'!E2277))</f>
        <v/>
      </c>
      <c r="F2277" s="5" t="str">
        <f>+IF('Data Pura Costos'!F2277="","",'Data Pura Costos'!F2277)</f>
        <v/>
      </c>
      <c r="G2277" s="5" t="str">
        <f>+IF('Data Pura Costos'!G2277="","",'Data Pura Costos'!G2277)</f>
        <v/>
      </c>
      <c r="H2277" s="52" t="str">
        <f>+IF('Data Pura Costos'!H2277="","",'Data Pura Costos'!H2277)</f>
        <v/>
      </c>
      <c r="I2277" s="71" t="str">
        <f>+IF('Data Pura Costos'!I2277="","",'Data Pura Costos'!I2277)</f>
        <v/>
      </c>
      <c r="J2277" s="52" t="str">
        <f>+IF('Data Pura Costos'!J2277="","",'Data Pura Costos'!J2277)</f>
        <v/>
      </c>
      <c r="K2277" s="82" t="str">
        <f t="shared" si="40"/>
        <v/>
      </c>
    </row>
    <row r="2278" spans="2:11" x14ac:dyDescent="0.35">
      <c r="B2278" s="4" t="str">
        <f>+IF('Data Pura Costos'!B2278="","",'Data Pura Costos'!B2278)</f>
        <v/>
      </c>
      <c r="C2278" s="4" t="str">
        <f>+IF('Data Pura Costos'!C2278="","",'Data Pura Costos'!C2278)</f>
        <v/>
      </c>
      <c r="D2278" s="5" t="str">
        <f>+IF('Data Pura Costos'!D2278="","",'Data Pura Costos'!D2278)</f>
        <v/>
      </c>
      <c r="E2278" s="65" t="str">
        <f>+IF('Data Pura Costos'!E2278="","",IF('Data Pura Costos'!E2278=0,MAX('Data Pura Costos'!$E$7:$E$3000)*1000,'Data Pura Costos'!E2278))</f>
        <v/>
      </c>
      <c r="F2278" s="5" t="str">
        <f>+IF('Data Pura Costos'!F2278="","",'Data Pura Costos'!F2278)</f>
        <v/>
      </c>
      <c r="G2278" s="5" t="str">
        <f>+IF('Data Pura Costos'!G2278="","",'Data Pura Costos'!G2278)</f>
        <v/>
      </c>
      <c r="H2278" s="52" t="str">
        <f>+IF('Data Pura Costos'!H2278="","",'Data Pura Costos'!H2278)</f>
        <v/>
      </c>
      <c r="I2278" s="71" t="str">
        <f>+IF('Data Pura Costos'!I2278="","",'Data Pura Costos'!I2278)</f>
        <v/>
      </c>
      <c r="J2278" s="52" t="str">
        <f>+IF('Data Pura Costos'!J2278="","",'Data Pura Costos'!J2278)</f>
        <v/>
      </c>
      <c r="K2278" s="82" t="str">
        <f t="shared" si="40"/>
        <v/>
      </c>
    </row>
    <row r="2279" spans="2:11" x14ac:dyDescent="0.35">
      <c r="B2279" s="4" t="str">
        <f>+IF('Data Pura Costos'!B2279="","",'Data Pura Costos'!B2279)</f>
        <v/>
      </c>
      <c r="C2279" s="4" t="str">
        <f>+IF('Data Pura Costos'!C2279="","",'Data Pura Costos'!C2279)</f>
        <v/>
      </c>
      <c r="D2279" s="5" t="str">
        <f>+IF('Data Pura Costos'!D2279="","",'Data Pura Costos'!D2279)</f>
        <v/>
      </c>
      <c r="E2279" s="65" t="str">
        <f>+IF('Data Pura Costos'!E2279="","",IF('Data Pura Costos'!E2279=0,MAX('Data Pura Costos'!$E$7:$E$3000)*1000,'Data Pura Costos'!E2279))</f>
        <v/>
      </c>
      <c r="F2279" s="5" t="str">
        <f>+IF('Data Pura Costos'!F2279="","",'Data Pura Costos'!F2279)</f>
        <v/>
      </c>
      <c r="G2279" s="5" t="str">
        <f>+IF('Data Pura Costos'!G2279="","",'Data Pura Costos'!G2279)</f>
        <v/>
      </c>
      <c r="H2279" s="52" t="str">
        <f>+IF('Data Pura Costos'!H2279="","",'Data Pura Costos'!H2279)</f>
        <v/>
      </c>
      <c r="I2279" s="71" t="str">
        <f>+IF('Data Pura Costos'!I2279="","",'Data Pura Costos'!I2279)</f>
        <v/>
      </c>
      <c r="J2279" s="52" t="str">
        <f>+IF('Data Pura Costos'!J2279="","",'Data Pura Costos'!J2279)</f>
        <v/>
      </c>
      <c r="K2279" s="82" t="str">
        <f t="shared" si="40"/>
        <v/>
      </c>
    </row>
    <row r="2280" spans="2:11" x14ac:dyDescent="0.35">
      <c r="B2280" s="4" t="str">
        <f>+IF('Data Pura Costos'!B2280="","",'Data Pura Costos'!B2280)</f>
        <v/>
      </c>
      <c r="C2280" s="4" t="str">
        <f>+IF('Data Pura Costos'!C2280="","",'Data Pura Costos'!C2280)</f>
        <v/>
      </c>
      <c r="D2280" s="5" t="str">
        <f>+IF('Data Pura Costos'!D2280="","",'Data Pura Costos'!D2280)</f>
        <v/>
      </c>
      <c r="E2280" s="65" t="str">
        <f>+IF('Data Pura Costos'!E2280="","",IF('Data Pura Costos'!E2280=0,MAX('Data Pura Costos'!$E$7:$E$3000)*1000,'Data Pura Costos'!E2280))</f>
        <v/>
      </c>
      <c r="F2280" s="5" t="str">
        <f>+IF('Data Pura Costos'!F2280="","",'Data Pura Costos'!F2280)</f>
        <v/>
      </c>
      <c r="G2280" s="5" t="str">
        <f>+IF('Data Pura Costos'!G2280="","",'Data Pura Costos'!G2280)</f>
        <v/>
      </c>
      <c r="H2280" s="52" t="str">
        <f>+IF('Data Pura Costos'!H2280="","",'Data Pura Costos'!H2280)</f>
        <v/>
      </c>
      <c r="I2280" s="71" t="str">
        <f>+IF('Data Pura Costos'!I2280="","",'Data Pura Costos'!I2280)</f>
        <v/>
      </c>
      <c r="J2280" s="52" t="str">
        <f>+IF('Data Pura Costos'!J2280="","",'Data Pura Costos'!J2280)</f>
        <v/>
      </c>
      <c r="K2280" s="82" t="str">
        <f t="shared" si="40"/>
        <v/>
      </c>
    </row>
    <row r="2281" spans="2:11" x14ac:dyDescent="0.35">
      <c r="B2281" s="4" t="str">
        <f>+IF('Data Pura Costos'!B2281="","",'Data Pura Costos'!B2281)</f>
        <v/>
      </c>
      <c r="C2281" s="4" t="str">
        <f>+IF('Data Pura Costos'!C2281="","",'Data Pura Costos'!C2281)</f>
        <v/>
      </c>
      <c r="D2281" s="5" t="str">
        <f>+IF('Data Pura Costos'!D2281="","",'Data Pura Costos'!D2281)</f>
        <v/>
      </c>
      <c r="E2281" s="65" t="str">
        <f>+IF('Data Pura Costos'!E2281="","",IF('Data Pura Costos'!E2281=0,MAX('Data Pura Costos'!$E$7:$E$3000)*1000,'Data Pura Costos'!E2281))</f>
        <v/>
      </c>
      <c r="F2281" s="5" t="str">
        <f>+IF('Data Pura Costos'!F2281="","",'Data Pura Costos'!F2281)</f>
        <v/>
      </c>
      <c r="G2281" s="5" t="str">
        <f>+IF('Data Pura Costos'!G2281="","",'Data Pura Costos'!G2281)</f>
        <v/>
      </c>
      <c r="H2281" s="52" t="str">
        <f>+IF('Data Pura Costos'!H2281="","",'Data Pura Costos'!H2281)</f>
        <v/>
      </c>
      <c r="I2281" s="71" t="str">
        <f>+IF('Data Pura Costos'!I2281="","",'Data Pura Costos'!I2281)</f>
        <v/>
      </c>
      <c r="J2281" s="52" t="str">
        <f>+IF('Data Pura Costos'!J2281="","",'Data Pura Costos'!J2281)</f>
        <v/>
      </c>
      <c r="K2281" s="82" t="str">
        <f t="shared" si="40"/>
        <v/>
      </c>
    </row>
    <row r="2282" spans="2:11" x14ac:dyDescent="0.35">
      <c r="B2282" s="4" t="str">
        <f>+IF('Data Pura Costos'!B2282="","",'Data Pura Costos'!B2282)</f>
        <v/>
      </c>
      <c r="C2282" s="4" t="str">
        <f>+IF('Data Pura Costos'!C2282="","",'Data Pura Costos'!C2282)</f>
        <v/>
      </c>
      <c r="D2282" s="5" t="str">
        <f>+IF('Data Pura Costos'!D2282="","",'Data Pura Costos'!D2282)</f>
        <v/>
      </c>
      <c r="E2282" s="65" t="str">
        <f>+IF('Data Pura Costos'!E2282="","",IF('Data Pura Costos'!E2282=0,MAX('Data Pura Costos'!$E$7:$E$3000)*1000,'Data Pura Costos'!E2282))</f>
        <v/>
      </c>
      <c r="F2282" s="5" t="str">
        <f>+IF('Data Pura Costos'!F2282="","",'Data Pura Costos'!F2282)</f>
        <v/>
      </c>
      <c r="G2282" s="5" t="str">
        <f>+IF('Data Pura Costos'!G2282="","",'Data Pura Costos'!G2282)</f>
        <v/>
      </c>
      <c r="H2282" s="52" t="str">
        <f>+IF('Data Pura Costos'!H2282="","",'Data Pura Costos'!H2282)</f>
        <v/>
      </c>
      <c r="I2282" s="71" t="str">
        <f>+IF('Data Pura Costos'!I2282="","",'Data Pura Costos'!I2282)</f>
        <v/>
      </c>
      <c r="J2282" s="52" t="str">
        <f>+IF('Data Pura Costos'!J2282="","",'Data Pura Costos'!J2282)</f>
        <v/>
      </c>
      <c r="K2282" s="82" t="str">
        <f t="shared" si="40"/>
        <v/>
      </c>
    </row>
    <row r="2283" spans="2:11" x14ac:dyDescent="0.35">
      <c r="B2283" s="4" t="str">
        <f>+IF('Data Pura Costos'!B2283="","",'Data Pura Costos'!B2283)</f>
        <v/>
      </c>
      <c r="C2283" s="4" t="str">
        <f>+IF('Data Pura Costos'!C2283="","",'Data Pura Costos'!C2283)</f>
        <v/>
      </c>
      <c r="D2283" s="5" t="str">
        <f>+IF('Data Pura Costos'!D2283="","",'Data Pura Costos'!D2283)</f>
        <v/>
      </c>
      <c r="E2283" s="65" t="str">
        <f>+IF('Data Pura Costos'!E2283="","",IF('Data Pura Costos'!E2283=0,MAX('Data Pura Costos'!$E$7:$E$3000)*1000,'Data Pura Costos'!E2283))</f>
        <v/>
      </c>
      <c r="F2283" s="5" t="str">
        <f>+IF('Data Pura Costos'!F2283="","",'Data Pura Costos'!F2283)</f>
        <v/>
      </c>
      <c r="G2283" s="5" t="str">
        <f>+IF('Data Pura Costos'!G2283="","",'Data Pura Costos'!G2283)</f>
        <v/>
      </c>
      <c r="H2283" s="52" t="str">
        <f>+IF('Data Pura Costos'!H2283="","",'Data Pura Costos'!H2283)</f>
        <v/>
      </c>
      <c r="I2283" s="71" t="str">
        <f>+IF('Data Pura Costos'!I2283="","",'Data Pura Costos'!I2283)</f>
        <v/>
      </c>
      <c r="J2283" s="52" t="str">
        <f>+IF('Data Pura Costos'!J2283="","",'Data Pura Costos'!J2283)</f>
        <v/>
      </c>
      <c r="K2283" s="82" t="str">
        <f t="shared" si="40"/>
        <v/>
      </c>
    </row>
    <row r="2284" spans="2:11" x14ac:dyDescent="0.35">
      <c r="B2284" s="4" t="str">
        <f>+IF('Data Pura Costos'!B2284="","",'Data Pura Costos'!B2284)</f>
        <v/>
      </c>
      <c r="C2284" s="4" t="str">
        <f>+IF('Data Pura Costos'!C2284="","",'Data Pura Costos'!C2284)</f>
        <v/>
      </c>
      <c r="D2284" s="5" t="str">
        <f>+IF('Data Pura Costos'!D2284="","",'Data Pura Costos'!D2284)</f>
        <v/>
      </c>
      <c r="E2284" s="65" t="str">
        <f>+IF('Data Pura Costos'!E2284="","",IF('Data Pura Costos'!E2284=0,MAX('Data Pura Costos'!$E$7:$E$3000)*1000,'Data Pura Costos'!E2284))</f>
        <v/>
      </c>
      <c r="F2284" s="5" t="str">
        <f>+IF('Data Pura Costos'!F2284="","",'Data Pura Costos'!F2284)</f>
        <v/>
      </c>
      <c r="G2284" s="5" t="str">
        <f>+IF('Data Pura Costos'!G2284="","",'Data Pura Costos'!G2284)</f>
        <v/>
      </c>
      <c r="H2284" s="52" t="str">
        <f>+IF('Data Pura Costos'!H2284="","",'Data Pura Costos'!H2284)</f>
        <v/>
      </c>
      <c r="I2284" s="71" t="str">
        <f>+IF('Data Pura Costos'!I2284="","",'Data Pura Costos'!I2284)</f>
        <v/>
      </c>
      <c r="J2284" s="52" t="str">
        <f>+IF('Data Pura Costos'!J2284="","",'Data Pura Costos'!J2284)</f>
        <v/>
      </c>
      <c r="K2284" s="82" t="str">
        <f t="shared" si="40"/>
        <v/>
      </c>
    </row>
    <row r="2285" spans="2:11" x14ac:dyDescent="0.35">
      <c r="B2285" s="4" t="str">
        <f>+IF('Data Pura Costos'!B2285="","",'Data Pura Costos'!B2285)</f>
        <v/>
      </c>
      <c r="C2285" s="4" t="str">
        <f>+IF('Data Pura Costos'!C2285="","",'Data Pura Costos'!C2285)</f>
        <v/>
      </c>
      <c r="D2285" s="5" t="str">
        <f>+IF('Data Pura Costos'!D2285="","",'Data Pura Costos'!D2285)</f>
        <v/>
      </c>
      <c r="E2285" s="65" t="str">
        <f>+IF('Data Pura Costos'!E2285="","",IF('Data Pura Costos'!E2285=0,MAX('Data Pura Costos'!$E$7:$E$3000)*1000,'Data Pura Costos'!E2285))</f>
        <v/>
      </c>
      <c r="F2285" s="5" t="str">
        <f>+IF('Data Pura Costos'!F2285="","",'Data Pura Costos'!F2285)</f>
        <v/>
      </c>
      <c r="G2285" s="5" t="str">
        <f>+IF('Data Pura Costos'!G2285="","",'Data Pura Costos'!G2285)</f>
        <v/>
      </c>
      <c r="H2285" s="52" t="str">
        <f>+IF('Data Pura Costos'!H2285="","",'Data Pura Costos'!H2285)</f>
        <v/>
      </c>
      <c r="I2285" s="71" t="str">
        <f>+IF('Data Pura Costos'!I2285="","",'Data Pura Costos'!I2285)</f>
        <v/>
      </c>
      <c r="J2285" s="52" t="str">
        <f>+IF('Data Pura Costos'!J2285="","",'Data Pura Costos'!J2285)</f>
        <v/>
      </c>
      <c r="K2285" s="82" t="str">
        <f t="shared" si="40"/>
        <v/>
      </c>
    </row>
    <row r="2286" spans="2:11" x14ac:dyDescent="0.35">
      <c r="B2286" s="4" t="str">
        <f>+IF('Data Pura Costos'!B2286="","",'Data Pura Costos'!B2286)</f>
        <v/>
      </c>
      <c r="C2286" s="4" t="str">
        <f>+IF('Data Pura Costos'!C2286="","",'Data Pura Costos'!C2286)</f>
        <v/>
      </c>
      <c r="D2286" s="5" t="str">
        <f>+IF('Data Pura Costos'!D2286="","",'Data Pura Costos'!D2286)</f>
        <v/>
      </c>
      <c r="E2286" s="65" t="str">
        <f>+IF('Data Pura Costos'!E2286="","",IF('Data Pura Costos'!E2286=0,MAX('Data Pura Costos'!$E$7:$E$3000)*1000,'Data Pura Costos'!E2286))</f>
        <v/>
      </c>
      <c r="F2286" s="5" t="str">
        <f>+IF('Data Pura Costos'!F2286="","",'Data Pura Costos'!F2286)</f>
        <v/>
      </c>
      <c r="G2286" s="5" t="str">
        <f>+IF('Data Pura Costos'!G2286="","",'Data Pura Costos'!G2286)</f>
        <v/>
      </c>
      <c r="H2286" s="52" t="str">
        <f>+IF('Data Pura Costos'!H2286="","",'Data Pura Costos'!H2286)</f>
        <v/>
      </c>
      <c r="I2286" s="71" t="str">
        <f>+IF('Data Pura Costos'!I2286="","",'Data Pura Costos'!I2286)</f>
        <v/>
      </c>
      <c r="J2286" s="52" t="str">
        <f>+IF('Data Pura Costos'!J2286="","",'Data Pura Costos'!J2286)</f>
        <v/>
      </c>
      <c r="K2286" s="82" t="str">
        <f t="shared" si="40"/>
        <v/>
      </c>
    </row>
    <row r="2287" spans="2:11" x14ac:dyDescent="0.35">
      <c r="B2287" s="4" t="str">
        <f>+IF('Data Pura Costos'!B2287="","",'Data Pura Costos'!B2287)</f>
        <v/>
      </c>
      <c r="C2287" s="4" t="str">
        <f>+IF('Data Pura Costos'!C2287="","",'Data Pura Costos'!C2287)</f>
        <v/>
      </c>
      <c r="D2287" s="5" t="str">
        <f>+IF('Data Pura Costos'!D2287="","",'Data Pura Costos'!D2287)</f>
        <v/>
      </c>
      <c r="E2287" s="65" t="str">
        <f>+IF('Data Pura Costos'!E2287="","",IF('Data Pura Costos'!E2287=0,MAX('Data Pura Costos'!$E$7:$E$3000)*1000,'Data Pura Costos'!E2287))</f>
        <v/>
      </c>
      <c r="F2287" s="5" t="str">
        <f>+IF('Data Pura Costos'!F2287="","",'Data Pura Costos'!F2287)</f>
        <v/>
      </c>
      <c r="G2287" s="5" t="str">
        <f>+IF('Data Pura Costos'!G2287="","",'Data Pura Costos'!G2287)</f>
        <v/>
      </c>
      <c r="H2287" s="52" t="str">
        <f>+IF('Data Pura Costos'!H2287="","",'Data Pura Costos'!H2287)</f>
        <v/>
      </c>
      <c r="I2287" s="71" t="str">
        <f>+IF('Data Pura Costos'!I2287="","",'Data Pura Costos'!I2287)</f>
        <v/>
      </c>
      <c r="J2287" s="52" t="str">
        <f>+IF('Data Pura Costos'!J2287="","",'Data Pura Costos'!J2287)</f>
        <v/>
      </c>
      <c r="K2287" s="82" t="str">
        <f t="shared" si="40"/>
        <v/>
      </c>
    </row>
    <row r="2288" spans="2:11" x14ac:dyDescent="0.35">
      <c r="B2288" s="4" t="str">
        <f>+IF('Data Pura Costos'!B2288="","",'Data Pura Costos'!B2288)</f>
        <v/>
      </c>
      <c r="C2288" s="4" t="str">
        <f>+IF('Data Pura Costos'!C2288="","",'Data Pura Costos'!C2288)</f>
        <v/>
      </c>
      <c r="D2288" s="5" t="str">
        <f>+IF('Data Pura Costos'!D2288="","",'Data Pura Costos'!D2288)</f>
        <v/>
      </c>
      <c r="E2288" s="65" t="str">
        <f>+IF('Data Pura Costos'!E2288="","",IF('Data Pura Costos'!E2288=0,MAX('Data Pura Costos'!$E$7:$E$3000)*1000,'Data Pura Costos'!E2288))</f>
        <v/>
      </c>
      <c r="F2288" s="5" t="str">
        <f>+IF('Data Pura Costos'!F2288="","",'Data Pura Costos'!F2288)</f>
        <v/>
      </c>
      <c r="G2288" s="5" t="str">
        <f>+IF('Data Pura Costos'!G2288="","",'Data Pura Costos'!G2288)</f>
        <v/>
      </c>
      <c r="H2288" s="52" t="str">
        <f>+IF('Data Pura Costos'!H2288="","",'Data Pura Costos'!H2288)</f>
        <v/>
      </c>
      <c r="I2288" s="71" t="str">
        <f>+IF('Data Pura Costos'!I2288="","",'Data Pura Costos'!I2288)</f>
        <v/>
      </c>
      <c r="J2288" s="52" t="str">
        <f>+IF('Data Pura Costos'!J2288="","",'Data Pura Costos'!J2288)</f>
        <v/>
      </c>
      <c r="K2288" s="82" t="str">
        <f t="shared" si="40"/>
        <v/>
      </c>
    </row>
    <row r="2289" spans="2:11" x14ac:dyDescent="0.35">
      <c r="B2289" s="4" t="str">
        <f>+IF('Data Pura Costos'!B2289="","",'Data Pura Costos'!B2289)</f>
        <v/>
      </c>
      <c r="C2289" s="4" t="str">
        <f>+IF('Data Pura Costos'!C2289="","",'Data Pura Costos'!C2289)</f>
        <v/>
      </c>
      <c r="D2289" s="5" t="str">
        <f>+IF('Data Pura Costos'!D2289="","",'Data Pura Costos'!D2289)</f>
        <v/>
      </c>
      <c r="E2289" s="65" t="str">
        <f>+IF('Data Pura Costos'!E2289="","",IF('Data Pura Costos'!E2289=0,MAX('Data Pura Costos'!$E$7:$E$3000)*1000,'Data Pura Costos'!E2289))</f>
        <v/>
      </c>
      <c r="F2289" s="5" t="str">
        <f>+IF('Data Pura Costos'!F2289="","",'Data Pura Costos'!F2289)</f>
        <v/>
      </c>
      <c r="G2289" s="5" t="str">
        <f>+IF('Data Pura Costos'!G2289="","",'Data Pura Costos'!G2289)</f>
        <v/>
      </c>
      <c r="H2289" s="52" t="str">
        <f>+IF('Data Pura Costos'!H2289="","",'Data Pura Costos'!H2289)</f>
        <v/>
      </c>
      <c r="I2289" s="71" t="str">
        <f>+IF('Data Pura Costos'!I2289="","",'Data Pura Costos'!I2289)</f>
        <v/>
      </c>
      <c r="J2289" s="52" t="str">
        <f>+IF('Data Pura Costos'!J2289="","",'Data Pura Costos'!J2289)</f>
        <v/>
      </c>
      <c r="K2289" s="82" t="str">
        <f t="shared" si="40"/>
        <v/>
      </c>
    </row>
    <row r="2290" spans="2:11" x14ac:dyDescent="0.35">
      <c r="B2290" s="4" t="str">
        <f>+IF('Data Pura Costos'!B2290="","",'Data Pura Costos'!B2290)</f>
        <v/>
      </c>
      <c r="C2290" s="4" t="str">
        <f>+IF('Data Pura Costos'!C2290="","",'Data Pura Costos'!C2290)</f>
        <v/>
      </c>
      <c r="D2290" s="5" t="str">
        <f>+IF('Data Pura Costos'!D2290="","",'Data Pura Costos'!D2290)</f>
        <v/>
      </c>
      <c r="E2290" s="65" t="str">
        <f>+IF('Data Pura Costos'!E2290="","",IF('Data Pura Costos'!E2290=0,MAX('Data Pura Costos'!$E$7:$E$3000)*1000,'Data Pura Costos'!E2290))</f>
        <v/>
      </c>
      <c r="F2290" s="5" t="str">
        <f>+IF('Data Pura Costos'!F2290="","",'Data Pura Costos'!F2290)</f>
        <v/>
      </c>
      <c r="G2290" s="5" t="str">
        <f>+IF('Data Pura Costos'!G2290="","",'Data Pura Costos'!G2290)</f>
        <v/>
      </c>
      <c r="H2290" s="52" t="str">
        <f>+IF('Data Pura Costos'!H2290="","",'Data Pura Costos'!H2290)</f>
        <v/>
      </c>
      <c r="I2290" s="71" t="str">
        <f>+IF('Data Pura Costos'!I2290="","",'Data Pura Costos'!I2290)</f>
        <v/>
      </c>
      <c r="J2290" s="52" t="str">
        <f>+IF('Data Pura Costos'!J2290="","",'Data Pura Costos'!J2290)</f>
        <v/>
      </c>
      <c r="K2290" s="82" t="str">
        <f t="shared" si="40"/>
        <v/>
      </c>
    </row>
    <row r="2291" spans="2:11" x14ac:dyDescent="0.35">
      <c r="B2291" s="4" t="str">
        <f>+IF('Data Pura Costos'!B2291="","",'Data Pura Costos'!B2291)</f>
        <v/>
      </c>
      <c r="C2291" s="4" t="str">
        <f>+IF('Data Pura Costos'!C2291="","",'Data Pura Costos'!C2291)</f>
        <v/>
      </c>
      <c r="D2291" s="5" t="str">
        <f>+IF('Data Pura Costos'!D2291="","",'Data Pura Costos'!D2291)</f>
        <v/>
      </c>
      <c r="E2291" s="65" t="str">
        <f>+IF('Data Pura Costos'!E2291="","",IF('Data Pura Costos'!E2291=0,MAX('Data Pura Costos'!$E$7:$E$3000)*1000,'Data Pura Costos'!E2291))</f>
        <v/>
      </c>
      <c r="F2291" s="5" t="str">
        <f>+IF('Data Pura Costos'!F2291="","",'Data Pura Costos'!F2291)</f>
        <v/>
      </c>
      <c r="G2291" s="5" t="str">
        <f>+IF('Data Pura Costos'!G2291="","",'Data Pura Costos'!G2291)</f>
        <v/>
      </c>
      <c r="H2291" s="52" t="str">
        <f>+IF('Data Pura Costos'!H2291="","",'Data Pura Costos'!H2291)</f>
        <v/>
      </c>
      <c r="I2291" s="71" t="str">
        <f>+IF('Data Pura Costos'!I2291="","",'Data Pura Costos'!I2291)</f>
        <v/>
      </c>
      <c r="J2291" s="52" t="str">
        <f>+IF('Data Pura Costos'!J2291="","",'Data Pura Costos'!J2291)</f>
        <v/>
      </c>
      <c r="K2291" s="82" t="str">
        <f t="shared" si="40"/>
        <v/>
      </c>
    </row>
    <row r="2292" spans="2:11" x14ac:dyDescent="0.35">
      <c r="B2292" s="4" t="str">
        <f>+IF('Data Pura Costos'!B2292="","",'Data Pura Costos'!B2292)</f>
        <v/>
      </c>
      <c r="C2292" s="4" t="str">
        <f>+IF('Data Pura Costos'!C2292="","",'Data Pura Costos'!C2292)</f>
        <v/>
      </c>
      <c r="D2292" s="5" t="str">
        <f>+IF('Data Pura Costos'!D2292="","",'Data Pura Costos'!D2292)</f>
        <v/>
      </c>
      <c r="E2292" s="65" t="str">
        <f>+IF('Data Pura Costos'!E2292="","",IF('Data Pura Costos'!E2292=0,MAX('Data Pura Costos'!$E$7:$E$3000)*1000,'Data Pura Costos'!E2292))</f>
        <v/>
      </c>
      <c r="F2292" s="5" t="str">
        <f>+IF('Data Pura Costos'!F2292="","",'Data Pura Costos'!F2292)</f>
        <v/>
      </c>
      <c r="G2292" s="5" t="str">
        <f>+IF('Data Pura Costos'!G2292="","",'Data Pura Costos'!G2292)</f>
        <v/>
      </c>
      <c r="H2292" s="52" t="str">
        <f>+IF('Data Pura Costos'!H2292="","",'Data Pura Costos'!H2292)</f>
        <v/>
      </c>
      <c r="I2292" s="71" t="str">
        <f>+IF('Data Pura Costos'!I2292="","",'Data Pura Costos'!I2292)</f>
        <v/>
      </c>
      <c r="J2292" s="52" t="str">
        <f>+IF('Data Pura Costos'!J2292="","",'Data Pura Costos'!J2292)</f>
        <v/>
      </c>
      <c r="K2292" s="82" t="str">
        <f t="shared" si="40"/>
        <v/>
      </c>
    </row>
    <row r="2293" spans="2:11" x14ac:dyDescent="0.35">
      <c r="B2293" s="4" t="str">
        <f>+IF('Data Pura Costos'!B2293="","",'Data Pura Costos'!B2293)</f>
        <v/>
      </c>
      <c r="C2293" s="4" t="str">
        <f>+IF('Data Pura Costos'!C2293="","",'Data Pura Costos'!C2293)</f>
        <v/>
      </c>
      <c r="D2293" s="5" t="str">
        <f>+IF('Data Pura Costos'!D2293="","",'Data Pura Costos'!D2293)</f>
        <v/>
      </c>
      <c r="E2293" s="65" t="str">
        <f>+IF('Data Pura Costos'!E2293="","",IF('Data Pura Costos'!E2293=0,MAX('Data Pura Costos'!$E$7:$E$3000)*1000,'Data Pura Costos'!E2293))</f>
        <v/>
      </c>
      <c r="F2293" s="5" t="str">
        <f>+IF('Data Pura Costos'!F2293="","",'Data Pura Costos'!F2293)</f>
        <v/>
      </c>
      <c r="G2293" s="5" t="str">
        <f>+IF('Data Pura Costos'!G2293="","",'Data Pura Costos'!G2293)</f>
        <v/>
      </c>
      <c r="H2293" s="52" t="str">
        <f>+IF('Data Pura Costos'!H2293="","",'Data Pura Costos'!H2293)</f>
        <v/>
      </c>
      <c r="I2293" s="71" t="str">
        <f>+IF('Data Pura Costos'!I2293="","",'Data Pura Costos'!I2293)</f>
        <v/>
      </c>
      <c r="J2293" s="52" t="str">
        <f>+IF('Data Pura Costos'!J2293="","",'Data Pura Costos'!J2293)</f>
        <v/>
      </c>
      <c r="K2293" s="82" t="str">
        <f t="shared" si="40"/>
        <v/>
      </c>
    </row>
    <row r="2294" spans="2:11" x14ac:dyDescent="0.35">
      <c r="B2294" s="4" t="str">
        <f>+IF('Data Pura Costos'!B2294="","",'Data Pura Costos'!B2294)</f>
        <v/>
      </c>
      <c r="C2294" s="4" t="str">
        <f>+IF('Data Pura Costos'!C2294="","",'Data Pura Costos'!C2294)</f>
        <v/>
      </c>
      <c r="D2294" s="5" t="str">
        <f>+IF('Data Pura Costos'!D2294="","",'Data Pura Costos'!D2294)</f>
        <v/>
      </c>
      <c r="E2294" s="65" t="str">
        <f>+IF('Data Pura Costos'!E2294="","",IF('Data Pura Costos'!E2294=0,MAX('Data Pura Costos'!$E$7:$E$3000)*1000,'Data Pura Costos'!E2294))</f>
        <v/>
      </c>
      <c r="F2294" s="5" t="str">
        <f>+IF('Data Pura Costos'!F2294="","",'Data Pura Costos'!F2294)</f>
        <v/>
      </c>
      <c r="G2294" s="5" t="str">
        <f>+IF('Data Pura Costos'!G2294="","",'Data Pura Costos'!G2294)</f>
        <v/>
      </c>
      <c r="H2294" s="52" t="str">
        <f>+IF('Data Pura Costos'!H2294="","",'Data Pura Costos'!H2294)</f>
        <v/>
      </c>
      <c r="I2294" s="71" t="str">
        <f>+IF('Data Pura Costos'!I2294="","",'Data Pura Costos'!I2294)</f>
        <v/>
      </c>
      <c r="J2294" s="52" t="str">
        <f>+IF('Data Pura Costos'!J2294="","",'Data Pura Costos'!J2294)</f>
        <v/>
      </c>
      <c r="K2294" s="82" t="str">
        <f t="shared" si="40"/>
        <v/>
      </c>
    </row>
    <row r="2295" spans="2:11" x14ac:dyDescent="0.35">
      <c r="B2295" s="4" t="str">
        <f>+IF('Data Pura Costos'!B2295="","",'Data Pura Costos'!B2295)</f>
        <v/>
      </c>
      <c r="C2295" s="4" t="str">
        <f>+IF('Data Pura Costos'!C2295="","",'Data Pura Costos'!C2295)</f>
        <v/>
      </c>
      <c r="D2295" s="5" t="str">
        <f>+IF('Data Pura Costos'!D2295="","",'Data Pura Costos'!D2295)</f>
        <v/>
      </c>
      <c r="E2295" s="65" t="str">
        <f>+IF('Data Pura Costos'!E2295="","",IF('Data Pura Costos'!E2295=0,MAX('Data Pura Costos'!$E$7:$E$3000)*1000,'Data Pura Costos'!E2295))</f>
        <v/>
      </c>
      <c r="F2295" s="5" t="str">
        <f>+IF('Data Pura Costos'!F2295="","",'Data Pura Costos'!F2295)</f>
        <v/>
      </c>
      <c r="G2295" s="5" t="str">
        <f>+IF('Data Pura Costos'!G2295="","",'Data Pura Costos'!G2295)</f>
        <v/>
      </c>
      <c r="H2295" s="52" t="str">
        <f>+IF('Data Pura Costos'!H2295="","",'Data Pura Costos'!H2295)</f>
        <v/>
      </c>
      <c r="I2295" s="71" t="str">
        <f>+IF('Data Pura Costos'!I2295="","",'Data Pura Costos'!I2295)</f>
        <v/>
      </c>
      <c r="J2295" s="52" t="str">
        <f>+IF('Data Pura Costos'!J2295="","",'Data Pura Costos'!J2295)</f>
        <v/>
      </c>
      <c r="K2295" s="82" t="str">
        <f t="shared" si="40"/>
        <v/>
      </c>
    </row>
    <row r="2296" spans="2:11" x14ac:dyDescent="0.35">
      <c r="B2296" s="4" t="str">
        <f>+IF('Data Pura Costos'!B2296="","",'Data Pura Costos'!B2296)</f>
        <v/>
      </c>
      <c r="C2296" s="4" t="str">
        <f>+IF('Data Pura Costos'!C2296="","",'Data Pura Costos'!C2296)</f>
        <v/>
      </c>
      <c r="D2296" s="5" t="str">
        <f>+IF('Data Pura Costos'!D2296="","",'Data Pura Costos'!D2296)</f>
        <v/>
      </c>
      <c r="E2296" s="65" t="str">
        <f>+IF('Data Pura Costos'!E2296="","",IF('Data Pura Costos'!E2296=0,MAX('Data Pura Costos'!$E$7:$E$3000)*1000,'Data Pura Costos'!E2296))</f>
        <v/>
      </c>
      <c r="F2296" s="5" t="str">
        <f>+IF('Data Pura Costos'!F2296="","",'Data Pura Costos'!F2296)</f>
        <v/>
      </c>
      <c r="G2296" s="5" t="str">
        <f>+IF('Data Pura Costos'!G2296="","",'Data Pura Costos'!G2296)</f>
        <v/>
      </c>
      <c r="H2296" s="52" t="str">
        <f>+IF('Data Pura Costos'!H2296="","",'Data Pura Costos'!H2296)</f>
        <v/>
      </c>
      <c r="I2296" s="71" t="str">
        <f>+IF('Data Pura Costos'!I2296="","",'Data Pura Costos'!I2296)</f>
        <v/>
      </c>
      <c r="J2296" s="52" t="str">
        <f>+IF('Data Pura Costos'!J2296="","",'Data Pura Costos'!J2296)</f>
        <v/>
      </c>
      <c r="K2296" s="82" t="str">
        <f t="shared" si="40"/>
        <v/>
      </c>
    </row>
    <row r="2297" spans="2:11" x14ac:dyDescent="0.35">
      <c r="B2297" s="4" t="str">
        <f>+IF('Data Pura Costos'!B2297="","",'Data Pura Costos'!B2297)</f>
        <v/>
      </c>
      <c r="C2297" s="4" t="str">
        <f>+IF('Data Pura Costos'!C2297="","",'Data Pura Costos'!C2297)</f>
        <v/>
      </c>
      <c r="D2297" s="5" t="str">
        <f>+IF('Data Pura Costos'!D2297="","",'Data Pura Costos'!D2297)</f>
        <v/>
      </c>
      <c r="E2297" s="65" t="str">
        <f>+IF('Data Pura Costos'!E2297="","",IF('Data Pura Costos'!E2297=0,MAX('Data Pura Costos'!$E$7:$E$3000)*1000,'Data Pura Costos'!E2297))</f>
        <v/>
      </c>
      <c r="F2297" s="5" t="str">
        <f>+IF('Data Pura Costos'!F2297="","",'Data Pura Costos'!F2297)</f>
        <v/>
      </c>
      <c r="G2297" s="5" t="str">
        <f>+IF('Data Pura Costos'!G2297="","",'Data Pura Costos'!G2297)</f>
        <v/>
      </c>
      <c r="H2297" s="52" t="str">
        <f>+IF('Data Pura Costos'!H2297="","",'Data Pura Costos'!H2297)</f>
        <v/>
      </c>
      <c r="I2297" s="71" t="str">
        <f>+IF('Data Pura Costos'!I2297="","",'Data Pura Costos'!I2297)</f>
        <v/>
      </c>
      <c r="J2297" s="52" t="str">
        <f>+IF('Data Pura Costos'!J2297="","",'Data Pura Costos'!J2297)</f>
        <v/>
      </c>
      <c r="K2297" s="82" t="str">
        <f t="shared" si="40"/>
        <v/>
      </c>
    </row>
    <row r="2298" spans="2:11" x14ac:dyDescent="0.35">
      <c r="B2298" s="4" t="str">
        <f>+IF('Data Pura Costos'!B2298="","",'Data Pura Costos'!B2298)</f>
        <v/>
      </c>
      <c r="C2298" s="4" t="str">
        <f>+IF('Data Pura Costos'!C2298="","",'Data Pura Costos'!C2298)</f>
        <v/>
      </c>
      <c r="D2298" s="5" t="str">
        <f>+IF('Data Pura Costos'!D2298="","",'Data Pura Costos'!D2298)</f>
        <v/>
      </c>
      <c r="E2298" s="65" t="str">
        <f>+IF('Data Pura Costos'!E2298="","",IF('Data Pura Costos'!E2298=0,MAX('Data Pura Costos'!$E$7:$E$3000)*1000,'Data Pura Costos'!E2298))</f>
        <v/>
      </c>
      <c r="F2298" s="5" t="str">
        <f>+IF('Data Pura Costos'!F2298="","",'Data Pura Costos'!F2298)</f>
        <v/>
      </c>
      <c r="G2298" s="5" t="str">
        <f>+IF('Data Pura Costos'!G2298="","",'Data Pura Costos'!G2298)</f>
        <v/>
      </c>
      <c r="H2298" s="52" t="str">
        <f>+IF('Data Pura Costos'!H2298="","",'Data Pura Costos'!H2298)</f>
        <v/>
      </c>
      <c r="I2298" s="71" t="str">
        <f>+IF('Data Pura Costos'!I2298="","",'Data Pura Costos'!I2298)</f>
        <v/>
      </c>
      <c r="J2298" s="52" t="str">
        <f>+IF('Data Pura Costos'!J2298="","",'Data Pura Costos'!J2298)</f>
        <v/>
      </c>
      <c r="K2298" s="82" t="str">
        <f t="shared" si="40"/>
        <v/>
      </c>
    </row>
    <row r="2299" spans="2:11" x14ac:dyDescent="0.35">
      <c r="B2299" s="4" t="str">
        <f>+IF('Data Pura Costos'!B2299="","",'Data Pura Costos'!B2299)</f>
        <v/>
      </c>
      <c r="C2299" s="4" t="str">
        <f>+IF('Data Pura Costos'!C2299="","",'Data Pura Costos'!C2299)</f>
        <v/>
      </c>
      <c r="D2299" s="5" t="str">
        <f>+IF('Data Pura Costos'!D2299="","",'Data Pura Costos'!D2299)</f>
        <v/>
      </c>
      <c r="E2299" s="65" t="str">
        <f>+IF('Data Pura Costos'!E2299="","",IF('Data Pura Costos'!E2299=0,MAX('Data Pura Costos'!$E$7:$E$3000)*1000,'Data Pura Costos'!E2299))</f>
        <v/>
      </c>
      <c r="F2299" s="5" t="str">
        <f>+IF('Data Pura Costos'!F2299="","",'Data Pura Costos'!F2299)</f>
        <v/>
      </c>
      <c r="G2299" s="5" t="str">
        <f>+IF('Data Pura Costos'!G2299="","",'Data Pura Costos'!G2299)</f>
        <v/>
      </c>
      <c r="H2299" s="52" t="str">
        <f>+IF('Data Pura Costos'!H2299="","",'Data Pura Costos'!H2299)</f>
        <v/>
      </c>
      <c r="I2299" s="71" t="str">
        <f>+IF('Data Pura Costos'!I2299="","",'Data Pura Costos'!I2299)</f>
        <v/>
      </c>
      <c r="J2299" s="52" t="str">
        <f>+IF('Data Pura Costos'!J2299="","",'Data Pura Costos'!J2299)</f>
        <v/>
      </c>
      <c r="K2299" s="82" t="str">
        <f t="shared" si="40"/>
        <v/>
      </c>
    </row>
    <row r="2300" spans="2:11" x14ac:dyDescent="0.35">
      <c r="B2300" s="4" t="str">
        <f>+IF('Data Pura Costos'!B2300="","",'Data Pura Costos'!B2300)</f>
        <v/>
      </c>
      <c r="C2300" s="4" t="str">
        <f>+IF('Data Pura Costos'!C2300="","",'Data Pura Costos'!C2300)</f>
        <v/>
      </c>
      <c r="D2300" s="5" t="str">
        <f>+IF('Data Pura Costos'!D2300="","",'Data Pura Costos'!D2300)</f>
        <v/>
      </c>
      <c r="E2300" s="65" t="str">
        <f>+IF('Data Pura Costos'!E2300="","",IF('Data Pura Costos'!E2300=0,MAX('Data Pura Costos'!$E$7:$E$3000)*1000,'Data Pura Costos'!E2300))</f>
        <v/>
      </c>
      <c r="F2300" s="5" t="str">
        <f>+IF('Data Pura Costos'!F2300="","",'Data Pura Costos'!F2300)</f>
        <v/>
      </c>
      <c r="G2300" s="5" t="str">
        <f>+IF('Data Pura Costos'!G2300="","",'Data Pura Costos'!G2300)</f>
        <v/>
      </c>
      <c r="H2300" s="52" t="str">
        <f>+IF('Data Pura Costos'!H2300="","",'Data Pura Costos'!H2300)</f>
        <v/>
      </c>
      <c r="I2300" s="71" t="str">
        <f>+IF('Data Pura Costos'!I2300="","",'Data Pura Costos'!I2300)</f>
        <v/>
      </c>
      <c r="J2300" s="52" t="str">
        <f>+IF('Data Pura Costos'!J2300="","",'Data Pura Costos'!J2300)</f>
        <v/>
      </c>
      <c r="K2300" s="82" t="str">
        <f t="shared" ref="K2300:K2363" si="41">+IF(B2300="","",CONCATENATE(B2300,"-",F2300,"-",G2300))</f>
        <v/>
      </c>
    </row>
    <row r="2301" spans="2:11" x14ac:dyDescent="0.35">
      <c r="B2301" s="4" t="str">
        <f>+IF('Data Pura Costos'!B2301="","",'Data Pura Costos'!B2301)</f>
        <v/>
      </c>
      <c r="C2301" s="4" t="str">
        <f>+IF('Data Pura Costos'!C2301="","",'Data Pura Costos'!C2301)</f>
        <v/>
      </c>
      <c r="D2301" s="5" t="str">
        <f>+IF('Data Pura Costos'!D2301="","",'Data Pura Costos'!D2301)</f>
        <v/>
      </c>
      <c r="E2301" s="65" t="str">
        <f>+IF('Data Pura Costos'!E2301="","",IF('Data Pura Costos'!E2301=0,MAX('Data Pura Costos'!$E$7:$E$3000)*1000,'Data Pura Costos'!E2301))</f>
        <v/>
      </c>
      <c r="F2301" s="5" t="str">
        <f>+IF('Data Pura Costos'!F2301="","",'Data Pura Costos'!F2301)</f>
        <v/>
      </c>
      <c r="G2301" s="5" t="str">
        <f>+IF('Data Pura Costos'!G2301="","",'Data Pura Costos'!G2301)</f>
        <v/>
      </c>
      <c r="H2301" s="52" t="str">
        <f>+IF('Data Pura Costos'!H2301="","",'Data Pura Costos'!H2301)</f>
        <v/>
      </c>
      <c r="I2301" s="71" t="str">
        <f>+IF('Data Pura Costos'!I2301="","",'Data Pura Costos'!I2301)</f>
        <v/>
      </c>
      <c r="J2301" s="52" t="str">
        <f>+IF('Data Pura Costos'!J2301="","",'Data Pura Costos'!J2301)</f>
        <v/>
      </c>
      <c r="K2301" s="82" t="str">
        <f t="shared" si="41"/>
        <v/>
      </c>
    </row>
    <row r="2302" spans="2:11" x14ac:dyDescent="0.35">
      <c r="B2302" s="4" t="str">
        <f>+IF('Data Pura Costos'!B2302="","",'Data Pura Costos'!B2302)</f>
        <v/>
      </c>
      <c r="C2302" s="4" t="str">
        <f>+IF('Data Pura Costos'!C2302="","",'Data Pura Costos'!C2302)</f>
        <v/>
      </c>
      <c r="D2302" s="5" t="str">
        <f>+IF('Data Pura Costos'!D2302="","",'Data Pura Costos'!D2302)</f>
        <v/>
      </c>
      <c r="E2302" s="65" t="str">
        <f>+IF('Data Pura Costos'!E2302="","",IF('Data Pura Costos'!E2302=0,MAX('Data Pura Costos'!$E$7:$E$3000)*1000,'Data Pura Costos'!E2302))</f>
        <v/>
      </c>
      <c r="F2302" s="5" t="str">
        <f>+IF('Data Pura Costos'!F2302="","",'Data Pura Costos'!F2302)</f>
        <v/>
      </c>
      <c r="G2302" s="5" t="str">
        <f>+IF('Data Pura Costos'!G2302="","",'Data Pura Costos'!G2302)</f>
        <v/>
      </c>
      <c r="H2302" s="52" t="str">
        <f>+IF('Data Pura Costos'!H2302="","",'Data Pura Costos'!H2302)</f>
        <v/>
      </c>
      <c r="I2302" s="71" t="str">
        <f>+IF('Data Pura Costos'!I2302="","",'Data Pura Costos'!I2302)</f>
        <v/>
      </c>
      <c r="J2302" s="52" t="str">
        <f>+IF('Data Pura Costos'!J2302="","",'Data Pura Costos'!J2302)</f>
        <v/>
      </c>
      <c r="K2302" s="82" t="str">
        <f t="shared" si="41"/>
        <v/>
      </c>
    </row>
    <row r="2303" spans="2:11" x14ac:dyDescent="0.35">
      <c r="B2303" s="4" t="str">
        <f>+IF('Data Pura Costos'!B2303="","",'Data Pura Costos'!B2303)</f>
        <v/>
      </c>
      <c r="C2303" s="4" t="str">
        <f>+IF('Data Pura Costos'!C2303="","",'Data Pura Costos'!C2303)</f>
        <v/>
      </c>
      <c r="D2303" s="5" t="str">
        <f>+IF('Data Pura Costos'!D2303="","",'Data Pura Costos'!D2303)</f>
        <v/>
      </c>
      <c r="E2303" s="65" t="str">
        <f>+IF('Data Pura Costos'!E2303="","",IF('Data Pura Costos'!E2303=0,MAX('Data Pura Costos'!$E$7:$E$3000)*1000,'Data Pura Costos'!E2303))</f>
        <v/>
      </c>
      <c r="F2303" s="5" t="str">
        <f>+IF('Data Pura Costos'!F2303="","",'Data Pura Costos'!F2303)</f>
        <v/>
      </c>
      <c r="G2303" s="5" t="str">
        <f>+IF('Data Pura Costos'!G2303="","",'Data Pura Costos'!G2303)</f>
        <v/>
      </c>
      <c r="H2303" s="52" t="str">
        <f>+IF('Data Pura Costos'!H2303="","",'Data Pura Costos'!H2303)</f>
        <v/>
      </c>
      <c r="I2303" s="71" t="str">
        <f>+IF('Data Pura Costos'!I2303="","",'Data Pura Costos'!I2303)</f>
        <v/>
      </c>
      <c r="J2303" s="52" t="str">
        <f>+IF('Data Pura Costos'!J2303="","",'Data Pura Costos'!J2303)</f>
        <v/>
      </c>
      <c r="K2303" s="82" t="str">
        <f t="shared" si="41"/>
        <v/>
      </c>
    </row>
    <row r="2304" spans="2:11" x14ac:dyDescent="0.35">
      <c r="B2304" s="4" t="str">
        <f>+IF('Data Pura Costos'!B2304="","",'Data Pura Costos'!B2304)</f>
        <v/>
      </c>
      <c r="C2304" s="4" t="str">
        <f>+IF('Data Pura Costos'!C2304="","",'Data Pura Costos'!C2304)</f>
        <v/>
      </c>
      <c r="D2304" s="5" t="str">
        <f>+IF('Data Pura Costos'!D2304="","",'Data Pura Costos'!D2304)</f>
        <v/>
      </c>
      <c r="E2304" s="65" t="str">
        <f>+IF('Data Pura Costos'!E2304="","",IF('Data Pura Costos'!E2304=0,MAX('Data Pura Costos'!$E$7:$E$3000)*1000,'Data Pura Costos'!E2304))</f>
        <v/>
      </c>
      <c r="F2304" s="5" t="str">
        <f>+IF('Data Pura Costos'!F2304="","",'Data Pura Costos'!F2304)</f>
        <v/>
      </c>
      <c r="G2304" s="5" t="str">
        <f>+IF('Data Pura Costos'!G2304="","",'Data Pura Costos'!G2304)</f>
        <v/>
      </c>
      <c r="H2304" s="52" t="str">
        <f>+IF('Data Pura Costos'!H2304="","",'Data Pura Costos'!H2304)</f>
        <v/>
      </c>
      <c r="I2304" s="71" t="str">
        <f>+IF('Data Pura Costos'!I2304="","",'Data Pura Costos'!I2304)</f>
        <v/>
      </c>
      <c r="J2304" s="52" t="str">
        <f>+IF('Data Pura Costos'!J2304="","",'Data Pura Costos'!J2304)</f>
        <v/>
      </c>
      <c r="K2304" s="82" t="str">
        <f t="shared" si="41"/>
        <v/>
      </c>
    </row>
    <row r="2305" spans="2:11" x14ac:dyDescent="0.35">
      <c r="B2305" s="4" t="str">
        <f>+IF('Data Pura Costos'!B2305="","",'Data Pura Costos'!B2305)</f>
        <v/>
      </c>
      <c r="C2305" s="4" t="str">
        <f>+IF('Data Pura Costos'!C2305="","",'Data Pura Costos'!C2305)</f>
        <v/>
      </c>
      <c r="D2305" s="5" t="str">
        <f>+IF('Data Pura Costos'!D2305="","",'Data Pura Costos'!D2305)</f>
        <v/>
      </c>
      <c r="E2305" s="65" t="str">
        <f>+IF('Data Pura Costos'!E2305="","",IF('Data Pura Costos'!E2305=0,MAX('Data Pura Costos'!$E$7:$E$3000)*1000,'Data Pura Costos'!E2305))</f>
        <v/>
      </c>
      <c r="F2305" s="5" t="str">
        <f>+IF('Data Pura Costos'!F2305="","",'Data Pura Costos'!F2305)</f>
        <v/>
      </c>
      <c r="G2305" s="5" t="str">
        <f>+IF('Data Pura Costos'!G2305="","",'Data Pura Costos'!G2305)</f>
        <v/>
      </c>
      <c r="H2305" s="52" t="str">
        <f>+IF('Data Pura Costos'!H2305="","",'Data Pura Costos'!H2305)</f>
        <v/>
      </c>
      <c r="I2305" s="71" t="str">
        <f>+IF('Data Pura Costos'!I2305="","",'Data Pura Costos'!I2305)</f>
        <v/>
      </c>
      <c r="J2305" s="52" t="str">
        <f>+IF('Data Pura Costos'!J2305="","",'Data Pura Costos'!J2305)</f>
        <v/>
      </c>
      <c r="K2305" s="82" t="str">
        <f t="shared" si="41"/>
        <v/>
      </c>
    </row>
    <row r="2306" spans="2:11" x14ac:dyDescent="0.35">
      <c r="B2306" s="4" t="str">
        <f>+IF('Data Pura Costos'!B2306="","",'Data Pura Costos'!B2306)</f>
        <v/>
      </c>
      <c r="C2306" s="4" t="str">
        <f>+IF('Data Pura Costos'!C2306="","",'Data Pura Costos'!C2306)</f>
        <v/>
      </c>
      <c r="D2306" s="5" t="str">
        <f>+IF('Data Pura Costos'!D2306="","",'Data Pura Costos'!D2306)</f>
        <v/>
      </c>
      <c r="E2306" s="65" t="str">
        <f>+IF('Data Pura Costos'!E2306="","",IF('Data Pura Costos'!E2306=0,MAX('Data Pura Costos'!$E$7:$E$3000)*1000,'Data Pura Costos'!E2306))</f>
        <v/>
      </c>
      <c r="F2306" s="5" t="str">
        <f>+IF('Data Pura Costos'!F2306="","",'Data Pura Costos'!F2306)</f>
        <v/>
      </c>
      <c r="G2306" s="5" t="str">
        <f>+IF('Data Pura Costos'!G2306="","",'Data Pura Costos'!G2306)</f>
        <v/>
      </c>
      <c r="H2306" s="52" t="str">
        <f>+IF('Data Pura Costos'!H2306="","",'Data Pura Costos'!H2306)</f>
        <v/>
      </c>
      <c r="I2306" s="71" t="str">
        <f>+IF('Data Pura Costos'!I2306="","",'Data Pura Costos'!I2306)</f>
        <v/>
      </c>
      <c r="J2306" s="52" t="str">
        <f>+IF('Data Pura Costos'!J2306="","",'Data Pura Costos'!J2306)</f>
        <v/>
      </c>
      <c r="K2306" s="82" t="str">
        <f t="shared" si="41"/>
        <v/>
      </c>
    </row>
    <row r="2307" spans="2:11" x14ac:dyDescent="0.35">
      <c r="B2307" s="4" t="str">
        <f>+IF('Data Pura Costos'!B2307="","",'Data Pura Costos'!B2307)</f>
        <v/>
      </c>
      <c r="C2307" s="4" t="str">
        <f>+IF('Data Pura Costos'!C2307="","",'Data Pura Costos'!C2307)</f>
        <v/>
      </c>
      <c r="D2307" s="5" t="str">
        <f>+IF('Data Pura Costos'!D2307="","",'Data Pura Costos'!D2307)</f>
        <v/>
      </c>
      <c r="E2307" s="65" t="str">
        <f>+IF('Data Pura Costos'!E2307="","",IF('Data Pura Costos'!E2307=0,MAX('Data Pura Costos'!$E$7:$E$3000)*1000,'Data Pura Costos'!E2307))</f>
        <v/>
      </c>
      <c r="F2307" s="5" t="str">
        <f>+IF('Data Pura Costos'!F2307="","",'Data Pura Costos'!F2307)</f>
        <v/>
      </c>
      <c r="G2307" s="5" t="str">
        <f>+IF('Data Pura Costos'!G2307="","",'Data Pura Costos'!G2307)</f>
        <v/>
      </c>
      <c r="H2307" s="52" t="str">
        <f>+IF('Data Pura Costos'!H2307="","",'Data Pura Costos'!H2307)</f>
        <v/>
      </c>
      <c r="I2307" s="71" t="str">
        <f>+IF('Data Pura Costos'!I2307="","",'Data Pura Costos'!I2307)</f>
        <v/>
      </c>
      <c r="J2307" s="52" t="str">
        <f>+IF('Data Pura Costos'!J2307="","",'Data Pura Costos'!J2307)</f>
        <v/>
      </c>
      <c r="K2307" s="82" t="str">
        <f t="shared" si="41"/>
        <v/>
      </c>
    </row>
    <row r="2308" spans="2:11" x14ac:dyDescent="0.35">
      <c r="B2308" s="4" t="str">
        <f>+IF('Data Pura Costos'!B2308="","",'Data Pura Costos'!B2308)</f>
        <v/>
      </c>
      <c r="C2308" s="4" t="str">
        <f>+IF('Data Pura Costos'!C2308="","",'Data Pura Costos'!C2308)</f>
        <v/>
      </c>
      <c r="D2308" s="5" t="str">
        <f>+IF('Data Pura Costos'!D2308="","",'Data Pura Costos'!D2308)</f>
        <v/>
      </c>
      <c r="E2308" s="65" t="str">
        <f>+IF('Data Pura Costos'!E2308="","",IF('Data Pura Costos'!E2308=0,MAX('Data Pura Costos'!$E$7:$E$3000)*1000,'Data Pura Costos'!E2308))</f>
        <v/>
      </c>
      <c r="F2308" s="5" t="str">
        <f>+IF('Data Pura Costos'!F2308="","",'Data Pura Costos'!F2308)</f>
        <v/>
      </c>
      <c r="G2308" s="5" t="str">
        <f>+IF('Data Pura Costos'!G2308="","",'Data Pura Costos'!G2308)</f>
        <v/>
      </c>
      <c r="H2308" s="52" t="str">
        <f>+IF('Data Pura Costos'!H2308="","",'Data Pura Costos'!H2308)</f>
        <v/>
      </c>
      <c r="I2308" s="71" t="str">
        <f>+IF('Data Pura Costos'!I2308="","",'Data Pura Costos'!I2308)</f>
        <v/>
      </c>
      <c r="J2308" s="52" t="str">
        <f>+IF('Data Pura Costos'!J2308="","",'Data Pura Costos'!J2308)</f>
        <v/>
      </c>
      <c r="K2308" s="82" t="str">
        <f t="shared" si="41"/>
        <v/>
      </c>
    </row>
    <row r="2309" spans="2:11" x14ac:dyDescent="0.35">
      <c r="B2309" s="4" t="str">
        <f>+IF('Data Pura Costos'!B2309="","",'Data Pura Costos'!B2309)</f>
        <v/>
      </c>
      <c r="C2309" s="4" t="str">
        <f>+IF('Data Pura Costos'!C2309="","",'Data Pura Costos'!C2309)</f>
        <v/>
      </c>
      <c r="D2309" s="5" t="str">
        <f>+IF('Data Pura Costos'!D2309="","",'Data Pura Costos'!D2309)</f>
        <v/>
      </c>
      <c r="E2309" s="65" t="str">
        <f>+IF('Data Pura Costos'!E2309="","",IF('Data Pura Costos'!E2309=0,MAX('Data Pura Costos'!$E$7:$E$3000)*1000,'Data Pura Costos'!E2309))</f>
        <v/>
      </c>
      <c r="F2309" s="5" t="str">
        <f>+IF('Data Pura Costos'!F2309="","",'Data Pura Costos'!F2309)</f>
        <v/>
      </c>
      <c r="G2309" s="5" t="str">
        <f>+IF('Data Pura Costos'!G2309="","",'Data Pura Costos'!G2309)</f>
        <v/>
      </c>
      <c r="H2309" s="52" t="str">
        <f>+IF('Data Pura Costos'!H2309="","",'Data Pura Costos'!H2309)</f>
        <v/>
      </c>
      <c r="I2309" s="71" t="str">
        <f>+IF('Data Pura Costos'!I2309="","",'Data Pura Costos'!I2309)</f>
        <v/>
      </c>
      <c r="J2309" s="52" t="str">
        <f>+IF('Data Pura Costos'!J2309="","",'Data Pura Costos'!J2309)</f>
        <v/>
      </c>
      <c r="K2309" s="82" t="str">
        <f t="shared" si="41"/>
        <v/>
      </c>
    </row>
    <row r="2310" spans="2:11" x14ac:dyDescent="0.35">
      <c r="B2310" s="4" t="str">
        <f>+IF('Data Pura Costos'!B2310="","",'Data Pura Costos'!B2310)</f>
        <v/>
      </c>
      <c r="C2310" s="4" t="str">
        <f>+IF('Data Pura Costos'!C2310="","",'Data Pura Costos'!C2310)</f>
        <v/>
      </c>
      <c r="D2310" s="5" t="str">
        <f>+IF('Data Pura Costos'!D2310="","",'Data Pura Costos'!D2310)</f>
        <v/>
      </c>
      <c r="E2310" s="65" t="str">
        <f>+IF('Data Pura Costos'!E2310="","",IF('Data Pura Costos'!E2310=0,MAX('Data Pura Costos'!$E$7:$E$3000)*1000,'Data Pura Costos'!E2310))</f>
        <v/>
      </c>
      <c r="F2310" s="5" t="str">
        <f>+IF('Data Pura Costos'!F2310="","",'Data Pura Costos'!F2310)</f>
        <v/>
      </c>
      <c r="G2310" s="5" t="str">
        <f>+IF('Data Pura Costos'!G2310="","",'Data Pura Costos'!G2310)</f>
        <v/>
      </c>
      <c r="H2310" s="52" t="str">
        <f>+IF('Data Pura Costos'!H2310="","",'Data Pura Costos'!H2310)</f>
        <v/>
      </c>
      <c r="I2310" s="71" t="str">
        <f>+IF('Data Pura Costos'!I2310="","",'Data Pura Costos'!I2310)</f>
        <v/>
      </c>
      <c r="J2310" s="52" t="str">
        <f>+IF('Data Pura Costos'!J2310="","",'Data Pura Costos'!J2310)</f>
        <v/>
      </c>
      <c r="K2310" s="82" t="str">
        <f t="shared" si="41"/>
        <v/>
      </c>
    </row>
    <row r="2311" spans="2:11" x14ac:dyDescent="0.35">
      <c r="B2311" s="4" t="str">
        <f>+IF('Data Pura Costos'!B2311="","",'Data Pura Costos'!B2311)</f>
        <v/>
      </c>
      <c r="C2311" s="4" t="str">
        <f>+IF('Data Pura Costos'!C2311="","",'Data Pura Costos'!C2311)</f>
        <v/>
      </c>
      <c r="D2311" s="5" t="str">
        <f>+IF('Data Pura Costos'!D2311="","",'Data Pura Costos'!D2311)</f>
        <v/>
      </c>
      <c r="E2311" s="65" t="str">
        <f>+IF('Data Pura Costos'!E2311="","",IF('Data Pura Costos'!E2311=0,MAX('Data Pura Costos'!$E$7:$E$3000)*1000,'Data Pura Costos'!E2311))</f>
        <v/>
      </c>
      <c r="F2311" s="5" t="str">
        <f>+IF('Data Pura Costos'!F2311="","",'Data Pura Costos'!F2311)</f>
        <v/>
      </c>
      <c r="G2311" s="5" t="str">
        <f>+IF('Data Pura Costos'!G2311="","",'Data Pura Costos'!G2311)</f>
        <v/>
      </c>
      <c r="H2311" s="52" t="str">
        <f>+IF('Data Pura Costos'!H2311="","",'Data Pura Costos'!H2311)</f>
        <v/>
      </c>
      <c r="I2311" s="71" t="str">
        <f>+IF('Data Pura Costos'!I2311="","",'Data Pura Costos'!I2311)</f>
        <v/>
      </c>
      <c r="J2311" s="52" t="str">
        <f>+IF('Data Pura Costos'!J2311="","",'Data Pura Costos'!J2311)</f>
        <v/>
      </c>
      <c r="K2311" s="82" t="str">
        <f t="shared" si="41"/>
        <v/>
      </c>
    </row>
    <row r="2312" spans="2:11" x14ac:dyDescent="0.35">
      <c r="B2312" s="4" t="str">
        <f>+IF('Data Pura Costos'!B2312="","",'Data Pura Costos'!B2312)</f>
        <v/>
      </c>
      <c r="C2312" s="4" t="str">
        <f>+IF('Data Pura Costos'!C2312="","",'Data Pura Costos'!C2312)</f>
        <v/>
      </c>
      <c r="D2312" s="5" t="str">
        <f>+IF('Data Pura Costos'!D2312="","",'Data Pura Costos'!D2312)</f>
        <v/>
      </c>
      <c r="E2312" s="65" t="str">
        <f>+IF('Data Pura Costos'!E2312="","",IF('Data Pura Costos'!E2312=0,MAX('Data Pura Costos'!$E$7:$E$3000)*1000,'Data Pura Costos'!E2312))</f>
        <v/>
      </c>
      <c r="F2312" s="5" t="str">
        <f>+IF('Data Pura Costos'!F2312="","",'Data Pura Costos'!F2312)</f>
        <v/>
      </c>
      <c r="G2312" s="5" t="str">
        <f>+IF('Data Pura Costos'!G2312="","",'Data Pura Costos'!G2312)</f>
        <v/>
      </c>
      <c r="H2312" s="52" t="str">
        <f>+IF('Data Pura Costos'!H2312="","",'Data Pura Costos'!H2312)</f>
        <v/>
      </c>
      <c r="I2312" s="71" t="str">
        <f>+IF('Data Pura Costos'!I2312="","",'Data Pura Costos'!I2312)</f>
        <v/>
      </c>
      <c r="J2312" s="52" t="str">
        <f>+IF('Data Pura Costos'!J2312="","",'Data Pura Costos'!J2312)</f>
        <v/>
      </c>
      <c r="K2312" s="82" t="str">
        <f t="shared" si="41"/>
        <v/>
      </c>
    </row>
    <row r="2313" spans="2:11" x14ac:dyDescent="0.35">
      <c r="B2313" s="4" t="str">
        <f>+IF('Data Pura Costos'!B2313="","",'Data Pura Costos'!B2313)</f>
        <v/>
      </c>
      <c r="C2313" s="4" t="str">
        <f>+IF('Data Pura Costos'!C2313="","",'Data Pura Costos'!C2313)</f>
        <v/>
      </c>
      <c r="D2313" s="5" t="str">
        <f>+IF('Data Pura Costos'!D2313="","",'Data Pura Costos'!D2313)</f>
        <v/>
      </c>
      <c r="E2313" s="65" t="str">
        <f>+IF('Data Pura Costos'!E2313="","",IF('Data Pura Costos'!E2313=0,MAX('Data Pura Costos'!$E$7:$E$3000)*1000,'Data Pura Costos'!E2313))</f>
        <v/>
      </c>
      <c r="F2313" s="5" t="str">
        <f>+IF('Data Pura Costos'!F2313="","",'Data Pura Costos'!F2313)</f>
        <v/>
      </c>
      <c r="G2313" s="5" t="str">
        <f>+IF('Data Pura Costos'!G2313="","",'Data Pura Costos'!G2313)</f>
        <v/>
      </c>
      <c r="H2313" s="52" t="str">
        <f>+IF('Data Pura Costos'!H2313="","",'Data Pura Costos'!H2313)</f>
        <v/>
      </c>
      <c r="I2313" s="71" t="str">
        <f>+IF('Data Pura Costos'!I2313="","",'Data Pura Costos'!I2313)</f>
        <v/>
      </c>
      <c r="J2313" s="52" t="str">
        <f>+IF('Data Pura Costos'!J2313="","",'Data Pura Costos'!J2313)</f>
        <v/>
      </c>
      <c r="K2313" s="82" t="str">
        <f t="shared" si="41"/>
        <v/>
      </c>
    </row>
    <row r="2314" spans="2:11" x14ac:dyDescent="0.35">
      <c r="B2314" s="4" t="str">
        <f>+IF('Data Pura Costos'!B2314="","",'Data Pura Costos'!B2314)</f>
        <v/>
      </c>
      <c r="C2314" s="4" t="str">
        <f>+IF('Data Pura Costos'!C2314="","",'Data Pura Costos'!C2314)</f>
        <v/>
      </c>
      <c r="D2314" s="5" t="str">
        <f>+IF('Data Pura Costos'!D2314="","",'Data Pura Costos'!D2314)</f>
        <v/>
      </c>
      <c r="E2314" s="65" t="str">
        <f>+IF('Data Pura Costos'!E2314="","",IF('Data Pura Costos'!E2314=0,MAX('Data Pura Costos'!$E$7:$E$3000)*1000,'Data Pura Costos'!E2314))</f>
        <v/>
      </c>
      <c r="F2314" s="5" t="str">
        <f>+IF('Data Pura Costos'!F2314="","",'Data Pura Costos'!F2314)</f>
        <v/>
      </c>
      <c r="G2314" s="5" t="str">
        <f>+IF('Data Pura Costos'!G2314="","",'Data Pura Costos'!G2314)</f>
        <v/>
      </c>
      <c r="H2314" s="52" t="str">
        <f>+IF('Data Pura Costos'!H2314="","",'Data Pura Costos'!H2314)</f>
        <v/>
      </c>
      <c r="I2314" s="71" t="str">
        <f>+IF('Data Pura Costos'!I2314="","",'Data Pura Costos'!I2314)</f>
        <v/>
      </c>
      <c r="J2314" s="52" t="str">
        <f>+IF('Data Pura Costos'!J2314="","",'Data Pura Costos'!J2314)</f>
        <v/>
      </c>
      <c r="K2314" s="82" t="str">
        <f t="shared" si="41"/>
        <v/>
      </c>
    </row>
    <row r="2315" spans="2:11" x14ac:dyDescent="0.35">
      <c r="B2315" s="4" t="str">
        <f>+IF('Data Pura Costos'!B2315="","",'Data Pura Costos'!B2315)</f>
        <v/>
      </c>
      <c r="C2315" s="4" t="str">
        <f>+IF('Data Pura Costos'!C2315="","",'Data Pura Costos'!C2315)</f>
        <v/>
      </c>
      <c r="D2315" s="5" t="str">
        <f>+IF('Data Pura Costos'!D2315="","",'Data Pura Costos'!D2315)</f>
        <v/>
      </c>
      <c r="E2315" s="65" t="str">
        <f>+IF('Data Pura Costos'!E2315="","",IF('Data Pura Costos'!E2315=0,MAX('Data Pura Costos'!$E$7:$E$3000)*1000,'Data Pura Costos'!E2315))</f>
        <v/>
      </c>
      <c r="F2315" s="5" t="str">
        <f>+IF('Data Pura Costos'!F2315="","",'Data Pura Costos'!F2315)</f>
        <v/>
      </c>
      <c r="G2315" s="5" t="str">
        <f>+IF('Data Pura Costos'!G2315="","",'Data Pura Costos'!G2315)</f>
        <v/>
      </c>
      <c r="H2315" s="52" t="str">
        <f>+IF('Data Pura Costos'!H2315="","",'Data Pura Costos'!H2315)</f>
        <v/>
      </c>
      <c r="I2315" s="71" t="str">
        <f>+IF('Data Pura Costos'!I2315="","",'Data Pura Costos'!I2315)</f>
        <v/>
      </c>
      <c r="J2315" s="52" t="str">
        <f>+IF('Data Pura Costos'!J2315="","",'Data Pura Costos'!J2315)</f>
        <v/>
      </c>
      <c r="K2315" s="82" t="str">
        <f t="shared" si="41"/>
        <v/>
      </c>
    </row>
    <row r="2316" spans="2:11" x14ac:dyDescent="0.35">
      <c r="B2316" s="4" t="str">
        <f>+IF('Data Pura Costos'!B2316="","",'Data Pura Costos'!B2316)</f>
        <v/>
      </c>
      <c r="C2316" s="4" t="str">
        <f>+IF('Data Pura Costos'!C2316="","",'Data Pura Costos'!C2316)</f>
        <v/>
      </c>
      <c r="D2316" s="5" t="str">
        <f>+IF('Data Pura Costos'!D2316="","",'Data Pura Costos'!D2316)</f>
        <v/>
      </c>
      <c r="E2316" s="65" t="str">
        <f>+IF('Data Pura Costos'!E2316="","",IF('Data Pura Costos'!E2316=0,MAX('Data Pura Costos'!$E$7:$E$3000)*1000,'Data Pura Costos'!E2316))</f>
        <v/>
      </c>
      <c r="F2316" s="5" t="str">
        <f>+IF('Data Pura Costos'!F2316="","",'Data Pura Costos'!F2316)</f>
        <v/>
      </c>
      <c r="G2316" s="5" t="str">
        <f>+IF('Data Pura Costos'!G2316="","",'Data Pura Costos'!G2316)</f>
        <v/>
      </c>
      <c r="H2316" s="52" t="str">
        <f>+IF('Data Pura Costos'!H2316="","",'Data Pura Costos'!H2316)</f>
        <v/>
      </c>
      <c r="I2316" s="71" t="str">
        <f>+IF('Data Pura Costos'!I2316="","",'Data Pura Costos'!I2316)</f>
        <v/>
      </c>
      <c r="J2316" s="52" t="str">
        <f>+IF('Data Pura Costos'!J2316="","",'Data Pura Costos'!J2316)</f>
        <v/>
      </c>
      <c r="K2316" s="82" t="str">
        <f t="shared" si="41"/>
        <v/>
      </c>
    </row>
    <row r="2317" spans="2:11" x14ac:dyDescent="0.35">
      <c r="B2317" s="4" t="str">
        <f>+IF('Data Pura Costos'!B2317="","",'Data Pura Costos'!B2317)</f>
        <v/>
      </c>
      <c r="C2317" s="4" t="str">
        <f>+IF('Data Pura Costos'!C2317="","",'Data Pura Costos'!C2317)</f>
        <v/>
      </c>
      <c r="D2317" s="5" t="str">
        <f>+IF('Data Pura Costos'!D2317="","",'Data Pura Costos'!D2317)</f>
        <v/>
      </c>
      <c r="E2317" s="65" t="str">
        <f>+IF('Data Pura Costos'!E2317="","",IF('Data Pura Costos'!E2317=0,MAX('Data Pura Costos'!$E$7:$E$3000)*1000,'Data Pura Costos'!E2317))</f>
        <v/>
      </c>
      <c r="F2317" s="5" t="str">
        <f>+IF('Data Pura Costos'!F2317="","",'Data Pura Costos'!F2317)</f>
        <v/>
      </c>
      <c r="G2317" s="5" t="str">
        <f>+IF('Data Pura Costos'!G2317="","",'Data Pura Costos'!G2317)</f>
        <v/>
      </c>
      <c r="H2317" s="52" t="str">
        <f>+IF('Data Pura Costos'!H2317="","",'Data Pura Costos'!H2317)</f>
        <v/>
      </c>
      <c r="I2317" s="71" t="str">
        <f>+IF('Data Pura Costos'!I2317="","",'Data Pura Costos'!I2317)</f>
        <v/>
      </c>
      <c r="J2317" s="52" t="str">
        <f>+IF('Data Pura Costos'!J2317="","",'Data Pura Costos'!J2317)</f>
        <v/>
      </c>
      <c r="K2317" s="82" t="str">
        <f t="shared" si="41"/>
        <v/>
      </c>
    </row>
    <row r="2318" spans="2:11" x14ac:dyDescent="0.35">
      <c r="B2318" s="4" t="str">
        <f>+IF('Data Pura Costos'!B2318="","",'Data Pura Costos'!B2318)</f>
        <v/>
      </c>
      <c r="C2318" s="4" t="str">
        <f>+IF('Data Pura Costos'!C2318="","",'Data Pura Costos'!C2318)</f>
        <v/>
      </c>
      <c r="D2318" s="5" t="str">
        <f>+IF('Data Pura Costos'!D2318="","",'Data Pura Costos'!D2318)</f>
        <v/>
      </c>
      <c r="E2318" s="65" t="str">
        <f>+IF('Data Pura Costos'!E2318="","",IF('Data Pura Costos'!E2318=0,MAX('Data Pura Costos'!$E$7:$E$3000)*1000,'Data Pura Costos'!E2318))</f>
        <v/>
      </c>
      <c r="F2318" s="5" t="str">
        <f>+IF('Data Pura Costos'!F2318="","",'Data Pura Costos'!F2318)</f>
        <v/>
      </c>
      <c r="G2318" s="5" t="str">
        <f>+IF('Data Pura Costos'!G2318="","",'Data Pura Costos'!G2318)</f>
        <v/>
      </c>
      <c r="H2318" s="52" t="str">
        <f>+IF('Data Pura Costos'!H2318="","",'Data Pura Costos'!H2318)</f>
        <v/>
      </c>
      <c r="I2318" s="71" t="str">
        <f>+IF('Data Pura Costos'!I2318="","",'Data Pura Costos'!I2318)</f>
        <v/>
      </c>
      <c r="J2318" s="52" t="str">
        <f>+IF('Data Pura Costos'!J2318="","",'Data Pura Costos'!J2318)</f>
        <v/>
      </c>
      <c r="K2318" s="82" t="str">
        <f t="shared" si="41"/>
        <v/>
      </c>
    </row>
    <row r="2319" spans="2:11" x14ac:dyDescent="0.35">
      <c r="B2319" s="4" t="str">
        <f>+IF('Data Pura Costos'!B2319="","",'Data Pura Costos'!B2319)</f>
        <v/>
      </c>
      <c r="C2319" s="4" t="str">
        <f>+IF('Data Pura Costos'!C2319="","",'Data Pura Costos'!C2319)</f>
        <v/>
      </c>
      <c r="D2319" s="5" t="str">
        <f>+IF('Data Pura Costos'!D2319="","",'Data Pura Costos'!D2319)</f>
        <v/>
      </c>
      <c r="E2319" s="65" t="str">
        <f>+IF('Data Pura Costos'!E2319="","",IF('Data Pura Costos'!E2319=0,MAX('Data Pura Costos'!$E$7:$E$3000)*1000,'Data Pura Costos'!E2319))</f>
        <v/>
      </c>
      <c r="F2319" s="5" t="str">
        <f>+IF('Data Pura Costos'!F2319="","",'Data Pura Costos'!F2319)</f>
        <v/>
      </c>
      <c r="G2319" s="5" t="str">
        <f>+IF('Data Pura Costos'!G2319="","",'Data Pura Costos'!G2319)</f>
        <v/>
      </c>
      <c r="H2319" s="52" t="str">
        <f>+IF('Data Pura Costos'!H2319="","",'Data Pura Costos'!H2319)</f>
        <v/>
      </c>
      <c r="I2319" s="71" t="str">
        <f>+IF('Data Pura Costos'!I2319="","",'Data Pura Costos'!I2319)</f>
        <v/>
      </c>
      <c r="J2319" s="52" t="str">
        <f>+IF('Data Pura Costos'!J2319="","",'Data Pura Costos'!J2319)</f>
        <v/>
      </c>
      <c r="K2319" s="82" t="str">
        <f t="shared" si="41"/>
        <v/>
      </c>
    </row>
    <row r="2320" spans="2:11" x14ac:dyDescent="0.35">
      <c r="B2320" s="4" t="str">
        <f>+IF('Data Pura Costos'!B2320="","",'Data Pura Costos'!B2320)</f>
        <v/>
      </c>
      <c r="C2320" s="4" t="str">
        <f>+IF('Data Pura Costos'!C2320="","",'Data Pura Costos'!C2320)</f>
        <v/>
      </c>
      <c r="D2320" s="5" t="str">
        <f>+IF('Data Pura Costos'!D2320="","",'Data Pura Costos'!D2320)</f>
        <v/>
      </c>
      <c r="E2320" s="65" t="str">
        <f>+IF('Data Pura Costos'!E2320="","",IF('Data Pura Costos'!E2320=0,MAX('Data Pura Costos'!$E$7:$E$3000)*1000,'Data Pura Costos'!E2320))</f>
        <v/>
      </c>
      <c r="F2320" s="5" t="str">
        <f>+IF('Data Pura Costos'!F2320="","",'Data Pura Costos'!F2320)</f>
        <v/>
      </c>
      <c r="G2320" s="5" t="str">
        <f>+IF('Data Pura Costos'!G2320="","",'Data Pura Costos'!G2320)</f>
        <v/>
      </c>
      <c r="H2320" s="52" t="str">
        <f>+IF('Data Pura Costos'!H2320="","",'Data Pura Costos'!H2320)</f>
        <v/>
      </c>
      <c r="I2320" s="71" t="str">
        <f>+IF('Data Pura Costos'!I2320="","",'Data Pura Costos'!I2320)</f>
        <v/>
      </c>
      <c r="J2320" s="52" t="str">
        <f>+IF('Data Pura Costos'!J2320="","",'Data Pura Costos'!J2320)</f>
        <v/>
      </c>
      <c r="K2320" s="82" t="str">
        <f t="shared" si="41"/>
        <v/>
      </c>
    </row>
    <row r="2321" spans="2:11" x14ac:dyDescent="0.35">
      <c r="B2321" s="4" t="str">
        <f>+IF('Data Pura Costos'!B2321="","",'Data Pura Costos'!B2321)</f>
        <v/>
      </c>
      <c r="C2321" s="4" t="str">
        <f>+IF('Data Pura Costos'!C2321="","",'Data Pura Costos'!C2321)</f>
        <v/>
      </c>
      <c r="D2321" s="5" t="str">
        <f>+IF('Data Pura Costos'!D2321="","",'Data Pura Costos'!D2321)</f>
        <v/>
      </c>
      <c r="E2321" s="65" t="str">
        <f>+IF('Data Pura Costos'!E2321="","",IF('Data Pura Costos'!E2321=0,MAX('Data Pura Costos'!$E$7:$E$3000)*1000,'Data Pura Costos'!E2321))</f>
        <v/>
      </c>
      <c r="F2321" s="5" t="str">
        <f>+IF('Data Pura Costos'!F2321="","",'Data Pura Costos'!F2321)</f>
        <v/>
      </c>
      <c r="G2321" s="5" t="str">
        <f>+IF('Data Pura Costos'!G2321="","",'Data Pura Costos'!G2321)</f>
        <v/>
      </c>
      <c r="H2321" s="52" t="str">
        <f>+IF('Data Pura Costos'!H2321="","",'Data Pura Costos'!H2321)</f>
        <v/>
      </c>
      <c r="I2321" s="71" t="str">
        <f>+IF('Data Pura Costos'!I2321="","",'Data Pura Costos'!I2321)</f>
        <v/>
      </c>
      <c r="J2321" s="52" t="str">
        <f>+IF('Data Pura Costos'!J2321="","",'Data Pura Costos'!J2321)</f>
        <v/>
      </c>
      <c r="K2321" s="82" t="str">
        <f t="shared" si="41"/>
        <v/>
      </c>
    </row>
    <row r="2322" spans="2:11" x14ac:dyDescent="0.35">
      <c r="B2322" s="4" t="str">
        <f>+IF('Data Pura Costos'!B2322="","",'Data Pura Costos'!B2322)</f>
        <v/>
      </c>
      <c r="C2322" s="4" t="str">
        <f>+IF('Data Pura Costos'!C2322="","",'Data Pura Costos'!C2322)</f>
        <v/>
      </c>
      <c r="D2322" s="5" t="str">
        <f>+IF('Data Pura Costos'!D2322="","",'Data Pura Costos'!D2322)</f>
        <v/>
      </c>
      <c r="E2322" s="65" t="str">
        <f>+IF('Data Pura Costos'!E2322="","",IF('Data Pura Costos'!E2322=0,MAX('Data Pura Costos'!$E$7:$E$3000)*1000,'Data Pura Costos'!E2322))</f>
        <v/>
      </c>
      <c r="F2322" s="5" t="str">
        <f>+IF('Data Pura Costos'!F2322="","",'Data Pura Costos'!F2322)</f>
        <v/>
      </c>
      <c r="G2322" s="5" t="str">
        <f>+IF('Data Pura Costos'!G2322="","",'Data Pura Costos'!G2322)</f>
        <v/>
      </c>
      <c r="H2322" s="52" t="str">
        <f>+IF('Data Pura Costos'!H2322="","",'Data Pura Costos'!H2322)</f>
        <v/>
      </c>
      <c r="I2322" s="71" t="str">
        <f>+IF('Data Pura Costos'!I2322="","",'Data Pura Costos'!I2322)</f>
        <v/>
      </c>
      <c r="J2322" s="52" t="str">
        <f>+IF('Data Pura Costos'!J2322="","",'Data Pura Costos'!J2322)</f>
        <v/>
      </c>
      <c r="K2322" s="82" t="str">
        <f t="shared" si="41"/>
        <v/>
      </c>
    </row>
    <row r="2323" spans="2:11" x14ac:dyDescent="0.35">
      <c r="B2323" s="4" t="str">
        <f>+IF('Data Pura Costos'!B2323="","",'Data Pura Costos'!B2323)</f>
        <v/>
      </c>
      <c r="C2323" s="4" t="str">
        <f>+IF('Data Pura Costos'!C2323="","",'Data Pura Costos'!C2323)</f>
        <v/>
      </c>
      <c r="D2323" s="5" t="str">
        <f>+IF('Data Pura Costos'!D2323="","",'Data Pura Costos'!D2323)</f>
        <v/>
      </c>
      <c r="E2323" s="65" t="str">
        <f>+IF('Data Pura Costos'!E2323="","",IF('Data Pura Costos'!E2323=0,MAX('Data Pura Costos'!$E$7:$E$3000)*1000,'Data Pura Costos'!E2323))</f>
        <v/>
      </c>
      <c r="F2323" s="5" t="str">
        <f>+IF('Data Pura Costos'!F2323="","",'Data Pura Costos'!F2323)</f>
        <v/>
      </c>
      <c r="G2323" s="5" t="str">
        <f>+IF('Data Pura Costos'!G2323="","",'Data Pura Costos'!G2323)</f>
        <v/>
      </c>
      <c r="H2323" s="52" t="str">
        <f>+IF('Data Pura Costos'!H2323="","",'Data Pura Costos'!H2323)</f>
        <v/>
      </c>
      <c r="I2323" s="71" t="str">
        <f>+IF('Data Pura Costos'!I2323="","",'Data Pura Costos'!I2323)</f>
        <v/>
      </c>
      <c r="J2323" s="52" t="str">
        <f>+IF('Data Pura Costos'!J2323="","",'Data Pura Costos'!J2323)</f>
        <v/>
      </c>
      <c r="K2323" s="82" t="str">
        <f t="shared" si="41"/>
        <v/>
      </c>
    </row>
    <row r="2324" spans="2:11" x14ac:dyDescent="0.35">
      <c r="B2324" s="4" t="str">
        <f>+IF('Data Pura Costos'!B2324="","",'Data Pura Costos'!B2324)</f>
        <v/>
      </c>
      <c r="C2324" s="4" t="str">
        <f>+IF('Data Pura Costos'!C2324="","",'Data Pura Costos'!C2324)</f>
        <v/>
      </c>
      <c r="D2324" s="5" t="str">
        <f>+IF('Data Pura Costos'!D2324="","",'Data Pura Costos'!D2324)</f>
        <v/>
      </c>
      <c r="E2324" s="65" t="str">
        <f>+IF('Data Pura Costos'!E2324="","",IF('Data Pura Costos'!E2324=0,MAX('Data Pura Costos'!$E$7:$E$3000)*1000,'Data Pura Costos'!E2324))</f>
        <v/>
      </c>
      <c r="F2324" s="5" t="str">
        <f>+IF('Data Pura Costos'!F2324="","",'Data Pura Costos'!F2324)</f>
        <v/>
      </c>
      <c r="G2324" s="5" t="str">
        <f>+IF('Data Pura Costos'!G2324="","",'Data Pura Costos'!G2324)</f>
        <v/>
      </c>
      <c r="H2324" s="52" t="str">
        <f>+IF('Data Pura Costos'!H2324="","",'Data Pura Costos'!H2324)</f>
        <v/>
      </c>
      <c r="I2324" s="71" t="str">
        <f>+IF('Data Pura Costos'!I2324="","",'Data Pura Costos'!I2324)</f>
        <v/>
      </c>
      <c r="J2324" s="52" t="str">
        <f>+IF('Data Pura Costos'!J2324="","",'Data Pura Costos'!J2324)</f>
        <v/>
      </c>
      <c r="K2324" s="82" t="str">
        <f t="shared" si="41"/>
        <v/>
      </c>
    </row>
    <row r="2325" spans="2:11" x14ac:dyDescent="0.35">
      <c r="B2325" s="4" t="str">
        <f>+IF('Data Pura Costos'!B2325="","",'Data Pura Costos'!B2325)</f>
        <v/>
      </c>
      <c r="C2325" s="4" t="str">
        <f>+IF('Data Pura Costos'!C2325="","",'Data Pura Costos'!C2325)</f>
        <v/>
      </c>
      <c r="D2325" s="5" t="str">
        <f>+IF('Data Pura Costos'!D2325="","",'Data Pura Costos'!D2325)</f>
        <v/>
      </c>
      <c r="E2325" s="65" t="str">
        <f>+IF('Data Pura Costos'!E2325="","",IF('Data Pura Costos'!E2325=0,MAX('Data Pura Costos'!$E$7:$E$3000)*1000,'Data Pura Costos'!E2325))</f>
        <v/>
      </c>
      <c r="F2325" s="5" t="str">
        <f>+IF('Data Pura Costos'!F2325="","",'Data Pura Costos'!F2325)</f>
        <v/>
      </c>
      <c r="G2325" s="5" t="str">
        <f>+IF('Data Pura Costos'!G2325="","",'Data Pura Costos'!G2325)</f>
        <v/>
      </c>
      <c r="H2325" s="52" t="str">
        <f>+IF('Data Pura Costos'!H2325="","",'Data Pura Costos'!H2325)</f>
        <v/>
      </c>
      <c r="I2325" s="71" t="str">
        <f>+IF('Data Pura Costos'!I2325="","",'Data Pura Costos'!I2325)</f>
        <v/>
      </c>
      <c r="J2325" s="52" t="str">
        <f>+IF('Data Pura Costos'!J2325="","",'Data Pura Costos'!J2325)</f>
        <v/>
      </c>
      <c r="K2325" s="82" t="str">
        <f t="shared" si="41"/>
        <v/>
      </c>
    </row>
    <row r="2326" spans="2:11" x14ac:dyDescent="0.35">
      <c r="B2326" s="4" t="str">
        <f>+IF('Data Pura Costos'!B2326="","",'Data Pura Costos'!B2326)</f>
        <v/>
      </c>
      <c r="C2326" s="4" t="str">
        <f>+IF('Data Pura Costos'!C2326="","",'Data Pura Costos'!C2326)</f>
        <v/>
      </c>
      <c r="D2326" s="5" t="str">
        <f>+IF('Data Pura Costos'!D2326="","",'Data Pura Costos'!D2326)</f>
        <v/>
      </c>
      <c r="E2326" s="65" t="str">
        <f>+IF('Data Pura Costos'!E2326="","",IF('Data Pura Costos'!E2326=0,MAX('Data Pura Costos'!$E$7:$E$3000)*1000,'Data Pura Costos'!E2326))</f>
        <v/>
      </c>
      <c r="F2326" s="5" t="str">
        <f>+IF('Data Pura Costos'!F2326="","",'Data Pura Costos'!F2326)</f>
        <v/>
      </c>
      <c r="G2326" s="5" t="str">
        <f>+IF('Data Pura Costos'!G2326="","",'Data Pura Costos'!G2326)</f>
        <v/>
      </c>
      <c r="H2326" s="52" t="str">
        <f>+IF('Data Pura Costos'!H2326="","",'Data Pura Costos'!H2326)</f>
        <v/>
      </c>
      <c r="I2326" s="71" t="str">
        <f>+IF('Data Pura Costos'!I2326="","",'Data Pura Costos'!I2326)</f>
        <v/>
      </c>
      <c r="J2326" s="52" t="str">
        <f>+IF('Data Pura Costos'!J2326="","",'Data Pura Costos'!J2326)</f>
        <v/>
      </c>
      <c r="K2326" s="82" t="str">
        <f t="shared" si="41"/>
        <v/>
      </c>
    </row>
    <row r="2327" spans="2:11" x14ac:dyDescent="0.35">
      <c r="B2327" s="4" t="str">
        <f>+IF('Data Pura Costos'!B2327="","",'Data Pura Costos'!B2327)</f>
        <v/>
      </c>
      <c r="C2327" s="4" t="str">
        <f>+IF('Data Pura Costos'!C2327="","",'Data Pura Costos'!C2327)</f>
        <v/>
      </c>
      <c r="D2327" s="5" t="str">
        <f>+IF('Data Pura Costos'!D2327="","",'Data Pura Costos'!D2327)</f>
        <v/>
      </c>
      <c r="E2327" s="65" t="str">
        <f>+IF('Data Pura Costos'!E2327="","",IF('Data Pura Costos'!E2327=0,MAX('Data Pura Costos'!$E$7:$E$3000)*1000,'Data Pura Costos'!E2327))</f>
        <v/>
      </c>
      <c r="F2327" s="5" t="str">
        <f>+IF('Data Pura Costos'!F2327="","",'Data Pura Costos'!F2327)</f>
        <v/>
      </c>
      <c r="G2327" s="5" t="str">
        <f>+IF('Data Pura Costos'!G2327="","",'Data Pura Costos'!G2327)</f>
        <v/>
      </c>
      <c r="H2327" s="52" t="str">
        <f>+IF('Data Pura Costos'!H2327="","",'Data Pura Costos'!H2327)</f>
        <v/>
      </c>
      <c r="I2327" s="71" t="str">
        <f>+IF('Data Pura Costos'!I2327="","",'Data Pura Costos'!I2327)</f>
        <v/>
      </c>
      <c r="J2327" s="52" t="str">
        <f>+IF('Data Pura Costos'!J2327="","",'Data Pura Costos'!J2327)</f>
        <v/>
      </c>
      <c r="K2327" s="82" t="str">
        <f t="shared" si="41"/>
        <v/>
      </c>
    </row>
    <row r="2328" spans="2:11" x14ac:dyDescent="0.35">
      <c r="B2328" s="4" t="str">
        <f>+IF('Data Pura Costos'!B2328="","",'Data Pura Costos'!B2328)</f>
        <v/>
      </c>
      <c r="C2328" s="4" t="str">
        <f>+IF('Data Pura Costos'!C2328="","",'Data Pura Costos'!C2328)</f>
        <v/>
      </c>
      <c r="D2328" s="5" t="str">
        <f>+IF('Data Pura Costos'!D2328="","",'Data Pura Costos'!D2328)</f>
        <v/>
      </c>
      <c r="E2328" s="65" t="str">
        <f>+IF('Data Pura Costos'!E2328="","",IF('Data Pura Costos'!E2328=0,MAX('Data Pura Costos'!$E$7:$E$3000)*1000,'Data Pura Costos'!E2328))</f>
        <v/>
      </c>
      <c r="F2328" s="5" t="str">
        <f>+IF('Data Pura Costos'!F2328="","",'Data Pura Costos'!F2328)</f>
        <v/>
      </c>
      <c r="G2328" s="5" t="str">
        <f>+IF('Data Pura Costos'!G2328="","",'Data Pura Costos'!G2328)</f>
        <v/>
      </c>
      <c r="H2328" s="52" t="str">
        <f>+IF('Data Pura Costos'!H2328="","",'Data Pura Costos'!H2328)</f>
        <v/>
      </c>
      <c r="I2328" s="71" t="str">
        <f>+IF('Data Pura Costos'!I2328="","",'Data Pura Costos'!I2328)</f>
        <v/>
      </c>
      <c r="J2328" s="52" t="str">
        <f>+IF('Data Pura Costos'!J2328="","",'Data Pura Costos'!J2328)</f>
        <v/>
      </c>
      <c r="K2328" s="82" t="str">
        <f t="shared" si="41"/>
        <v/>
      </c>
    </row>
    <row r="2329" spans="2:11" x14ac:dyDescent="0.35">
      <c r="B2329" s="4" t="str">
        <f>+IF('Data Pura Costos'!B2329="","",'Data Pura Costos'!B2329)</f>
        <v/>
      </c>
      <c r="C2329" s="4" t="str">
        <f>+IF('Data Pura Costos'!C2329="","",'Data Pura Costos'!C2329)</f>
        <v/>
      </c>
      <c r="D2329" s="5" t="str">
        <f>+IF('Data Pura Costos'!D2329="","",'Data Pura Costos'!D2329)</f>
        <v/>
      </c>
      <c r="E2329" s="65" t="str">
        <f>+IF('Data Pura Costos'!E2329="","",IF('Data Pura Costos'!E2329=0,MAX('Data Pura Costos'!$E$7:$E$3000)*1000,'Data Pura Costos'!E2329))</f>
        <v/>
      </c>
      <c r="F2329" s="5" t="str">
        <f>+IF('Data Pura Costos'!F2329="","",'Data Pura Costos'!F2329)</f>
        <v/>
      </c>
      <c r="G2329" s="5" t="str">
        <f>+IF('Data Pura Costos'!G2329="","",'Data Pura Costos'!G2329)</f>
        <v/>
      </c>
      <c r="H2329" s="52" t="str">
        <f>+IF('Data Pura Costos'!H2329="","",'Data Pura Costos'!H2329)</f>
        <v/>
      </c>
      <c r="I2329" s="71" t="str">
        <f>+IF('Data Pura Costos'!I2329="","",'Data Pura Costos'!I2329)</f>
        <v/>
      </c>
      <c r="J2329" s="52" t="str">
        <f>+IF('Data Pura Costos'!J2329="","",'Data Pura Costos'!J2329)</f>
        <v/>
      </c>
      <c r="K2329" s="82" t="str">
        <f t="shared" si="41"/>
        <v/>
      </c>
    </row>
    <row r="2330" spans="2:11" x14ac:dyDescent="0.35">
      <c r="B2330" s="4" t="str">
        <f>+IF('Data Pura Costos'!B2330="","",'Data Pura Costos'!B2330)</f>
        <v/>
      </c>
      <c r="C2330" s="4" t="str">
        <f>+IF('Data Pura Costos'!C2330="","",'Data Pura Costos'!C2330)</f>
        <v/>
      </c>
      <c r="D2330" s="5" t="str">
        <f>+IF('Data Pura Costos'!D2330="","",'Data Pura Costos'!D2330)</f>
        <v/>
      </c>
      <c r="E2330" s="65" t="str">
        <f>+IF('Data Pura Costos'!E2330="","",IF('Data Pura Costos'!E2330=0,MAX('Data Pura Costos'!$E$7:$E$3000)*1000,'Data Pura Costos'!E2330))</f>
        <v/>
      </c>
      <c r="F2330" s="5" t="str">
        <f>+IF('Data Pura Costos'!F2330="","",'Data Pura Costos'!F2330)</f>
        <v/>
      </c>
      <c r="G2330" s="5" t="str">
        <f>+IF('Data Pura Costos'!G2330="","",'Data Pura Costos'!G2330)</f>
        <v/>
      </c>
      <c r="H2330" s="52" t="str">
        <f>+IF('Data Pura Costos'!H2330="","",'Data Pura Costos'!H2330)</f>
        <v/>
      </c>
      <c r="I2330" s="71" t="str">
        <f>+IF('Data Pura Costos'!I2330="","",'Data Pura Costos'!I2330)</f>
        <v/>
      </c>
      <c r="J2330" s="52" t="str">
        <f>+IF('Data Pura Costos'!J2330="","",'Data Pura Costos'!J2330)</f>
        <v/>
      </c>
      <c r="K2330" s="82" t="str">
        <f t="shared" si="41"/>
        <v/>
      </c>
    </row>
    <row r="2331" spans="2:11" x14ac:dyDescent="0.35">
      <c r="B2331" s="4" t="str">
        <f>+IF('Data Pura Costos'!B2331="","",'Data Pura Costos'!B2331)</f>
        <v/>
      </c>
      <c r="C2331" s="4" t="str">
        <f>+IF('Data Pura Costos'!C2331="","",'Data Pura Costos'!C2331)</f>
        <v/>
      </c>
      <c r="D2331" s="5" t="str">
        <f>+IF('Data Pura Costos'!D2331="","",'Data Pura Costos'!D2331)</f>
        <v/>
      </c>
      <c r="E2331" s="65" t="str">
        <f>+IF('Data Pura Costos'!E2331="","",IF('Data Pura Costos'!E2331=0,MAX('Data Pura Costos'!$E$7:$E$3000)*1000,'Data Pura Costos'!E2331))</f>
        <v/>
      </c>
      <c r="F2331" s="5" t="str">
        <f>+IF('Data Pura Costos'!F2331="","",'Data Pura Costos'!F2331)</f>
        <v/>
      </c>
      <c r="G2331" s="5" t="str">
        <f>+IF('Data Pura Costos'!G2331="","",'Data Pura Costos'!G2331)</f>
        <v/>
      </c>
      <c r="H2331" s="52" t="str">
        <f>+IF('Data Pura Costos'!H2331="","",'Data Pura Costos'!H2331)</f>
        <v/>
      </c>
      <c r="I2331" s="71" t="str">
        <f>+IF('Data Pura Costos'!I2331="","",'Data Pura Costos'!I2331)</f>
        <v/>
      </c>
      <c r="J2331" s="52" t="str">
        <f>+IF('Data Pura Costos'!J2331="","",'Data Pura Costos'!J2331)</f>
        <v/>
      </c>
      <c r="K2331" s="82" t="str">
        <f t="shared" si="41"/>
        <v/>
      </c>
    </row>
    <row r="2332" spans="2:11" x14ac:dyDescent="0.35">
      <c r="B2332" s="4" t="str">
        <f>+IF('Data Pura Costos'!B2332="","",'Data Pura Costos'!B2332)</f>
        <v/>
      </c>
      <c r="C2332" s="4" t="str">
        <f>+IF('Data Pura Costos'!C2332="","",'Data Pura Costos'!C2332)</f>
        <v/>
      </c>
      <c r="D2332" s="5" t="str">
        <f>+IF('Data Pura Costos'!D2332="","",'Data Pura Costos'!D2332)</f>
        <v/>
      </c>
      <c r="E2332" s="65" t="str">
        <f>+IF('Data Pura Costos'!E2332="","",IF('Data Pura Costos'!E2332=0,MAX('Data Pura Costos'!$E$7:$E$3000)*1000,'Data Pura Costos'!E2332))</f>
        <v/>
      </c>
      <c r="F2332" s="5" t="str">
        <f>+IF('Data Pura Costos'!F2332="","",'Data Pura Costos'!F2332)</f>
        <v/>
      </c>
      <c r="G2332" s="5" t="str">
        <f>+IF('Data Pura Costos'!G2332="","",'Data Pura Costos'!G2332)</f>
        <v/>
      </c>
      <c r="H2332" s="52" t="str">
        <f>+IF('Data Pura Costos'!H2332="","",'Data Pura Costos'!H2332)</f>
        <v/>
      </c>
      <c r="I2332" s="71" t="str">
        <f>+IF('Data Pura Costos'!I2332="","",'Data Pura Costos'!I2332)</f>
        <v/>
      </c>
      <c r="J2332" s="52" t="str">
        <f>+IF('Data Pura Costos'!J2332="","",'Data Pura Costos'!J2332)</f>
        <v/>
      </c>
      <c r="K2332" s="82" t="str">
        <f t="shared" si="41"/>
        <v/>
      </c>
    </row>
    <row r="2333" spans="2:11" x14ac:dyDescent="0.35">
      <c r="B2333" s="4" t="str">
        <f>+IF('Data Pura Costos'!B2333="","",'Data Pura Costos'!B2333)</f>
        <v/>
      </c>
      <c r="C2333" s="4" t="str">
        <f>+IF('Data Pura Costos'!C2333="","",'Data Pura Costos'!C2333)</f>
        <v/>
      </c>
      <c r="D2333" s="5" t="str">
        <f>+IF('Data Pura Costos'!D2333="","",'Data Pura Costos'!D2333)</f>
        <v/>
      </c>
      <c r="E2333" s="65" t="str">
        <f>+IF('Data Pura Costos'!E2333="","",IF('Data Pura Costos'!E2333=0,MAX('Data Pura Costos'!$E$7:$E$3000)*1000,'Data Pura Costos'!E2333))</f>
        <v/>
      </c>
      <c r="F2333" s="5" t="str">
        <f>+IF('Data Pura Costos'!F2333="","",'Data Pura Costos'!F2333)</f>
        <v/>
      </c>
      <c r="G2333" s="5" t="str">
        <f>+IF('Data Pura Costos'!G2333="","",'Data Pura Costos'!G2333)</f>
        <v/>
      </c>
      <c r="H2333" s="52" t="str">
        <f>+IF('Data Pura Costos'!H2333="","",'Data Pura Costos'!H2333)</f>
        <v/>
      </c>
      <c r="I2333" s="71" t="str">
        <f>+IF('Data Pura Costos'!I2333="","",'Data Pura Costos'!I2333)</f>
        <v/>
      </c>
      <c r="J2333" s="52" t="str">
        <f>+IF('Data Pura Costos'!J2333="","",'Data Pura Costos'!J2333)</f>
        <v/>
      </c>
      <c r="K2333" s="82" t="str">
        <f t="shared" si="41"/>
        <v/>
      </c>
    </row>
    <row r="2334" spans="2:11" x14ac:dyDescent="0.35">
      <c r="B2334" s="4" t="str">
        <f>+IF('Data Pura Costos'!B2334="","",'Data Pura Costos'!B2334)</f>
        <v/>
      </c>
      <c r="C2334" s="4" t="str">
        <f>+IF('Data Pura Costos'!C2334="","",'Data Pura Costos'!C2334)</f>
        <v/>
      </c>
      <c r="D2334" s="5" t="str">
        <f>+IF('Data Pura Costos'!D2334="","",'Data Pura Costos'!D2334)</f>
        <v/>
      </c>
      <c r="E2334" s="65" t="str">
        <f>+IF('Data Pura Costos'!E2334="","",IF('Data Pura Costos'!E2334=0,MAX('Data Pura Costos'!$E$7:$E$3000)*1000,'Data Pura Costos'!E2334))</f>
        <v/>
      </c>
      <c r="F2334" s="5" t="str">
        <f>+IF('Data Pura Costos'!F2334="","",'Data Pura Costos'!F2334)</f>
        <v/>
      </c>
      <c r="G2334" s="5" t="str">
        <f>+IF('Data Pura Costos'!G2334="","",'Data Pura Costos'!G2334)</f>
        <v/>
      </c>
      <c r="H2334" s="52" t="str">
        <f>+IF('Data Pura Costos'!H2334="","",'Data Pura Costos'!H2334)</f>
        <v/>
      </c>
      <c r="I2334" s="71" t="str">
        <f>+IF('Data Pura Costos'!I2334="","",'Data Pura Costos'!I2334)</f>
        <v/>
      </c>
      <c r="J2334" s="52" t="str">
        <f>+IF('Data Pura Costos'!J2334="","",'Data Pura Costos'!J2334)</f>
        <v/>
      </c>
      <c r="K2334" s="82" t="str">
        <f t="shared" si="41"/>
        <v/>
      </c>
    </row>
    <row r="2335" spans="2:11" x14ac:dyDescent="0.35">
      <c r="B2335" s="4" t="str">
        <f>+IF('Data Pura Costos'!B2335="","",'Data Pura Costos'!B2335)</f>
        <v/>
      </c>
      <c r="C2335" s="4" t="str">
        <f>+IF('Data Pura Costos'!C2335="","",'Data Pura Costos'!C2335)</f>
        <v/>
      </c>
      <c r="D2335" s="5" t="str">
        <f>+IF('Data Pura Costos'!D2335="","",'Data Pura Costos'!D2335)</f>
        <v/>
      </c>
      <c r="E2335" s="65" t="str">
        <f>+IF('Data Pura Costos'!E2335="","",IF('Data Pura Costos'!E2335=0,MAX('Data Pura Costos'!$E$7:$E$3000)*1000,'Data Pura Costos'!E2335))</f>
        <v/>
      </c>
      <c r="F2335" s="5" t="str">
        <f>+IF('Data Pura Costos'!F2335="","",'Data Pura Costos'!F2335)</f>
        <v/>
      </c>
      <c r="G2335" s="5" t="str">
        <f>+IF('Data Pura Costos'!G2335="","",'Data Pura Costos'!G2335)</f>
        <v/>
      </c>
      <c r="H2335" s="52" t="str">
        <f>+IF('Data Pura Costos'!H2335="","",'Data Pura Costos'!H2335)</f>
        <v/>
      </c>
      <c r="I2335" s="71" t="str">
        <f>+IF('Data Pura Costos'!I2335="","",'Data Pura Costos'!I2335)</f>
        <v/>
      </c>
      <c r="J2335" s="52" t="str">
        <f>+IF('Data Pura Costos'!J2335="","",'Data Pura Costos'!J2335)</f>
        <v/>
      </c>
      <c r="K2335" s="82" t="str">
        <f t="shared" si="41"/>
        <v/>
      </c>
    </row>
    <row r="2336" spans="2:11" x14ac:dyDescent="0.35">
      <c r="B2336" s="4" t="str">
        <f>+IF('Data Pura Costos'!B2336="","",'Data Pura Costos'!B2336)</f>
        <v/>
      </c>
      <c r="C2336" s="4" t="str">
        <f>+IF('Data Pura Costos'!C2336="","",'Data Pura Costos'!C2336)</f>
        <v/>
      </c>
      <c r="D2336" s="5" t="str">
        <f>+IF('Data Pura Costos'!D2336="","",'Data Pura Costos'!D2336)</f>
        <v/>
      </c>
      <c r="E2336" s="65" t="str">
        <f>+IF('Data Pura Costos'!E2336="","",IF('Data Pura Costos'!E2336=0,MAX('Data Pura Costos'!$E$7:$E$3000)*1000,'Data Pura Costos'!E2336))</f>
        <v/>
      </c>
      <c r="F2336" s="5" t="str">
        <f>+IF('Data Pura Costos'!F2336="","",'Data Pura Costos'!F2336)</f>
        <v/>
      </c>
      <c r="G2336" s="5" t="str">
        <f>+IF('Data Pura Costos'!G2336="","",'Data Pura Costos'!G2336)</f>
        <v/>
      </c>
      <c r="H2336" s="52" t="str">
        <f>+IF('Data Pura Costos'!H2336="","",'Data Pura Costos'!H2336)</f>
        <v/>
      </c>
      <c r="I2336" s="71" t="str">
        <f>+IF('Data Pura Costos'!I2336="","",'Data Pura Costos'!I2336)</f>
        <v/>
      </c>
      <c r="J2336" s="52" t="str">
        <f>+IF('Data Pura Costos'!J2336="","",'Data Pura Costos'!J2336)</f>
        <v/>
      </c>
      <c r="K2336" s="82" t="str">
        <f t="shared" si="41"/>
        <v/>
      </c>
    </row>
    <row r="2337" spans="2:11" x14ac:dyDescent="0.35">
      <c r="B2337" s="4" t="str">
        <f>+IF('Data Pura Costos'!B2337="","",'Data Pura Costos'!B2337)</f>
        <v/>
      </c>
      <c r="C2337" s="4" t="str">
        <f>+IF('Data Pura Costos'!C2337="","",'Data Pura Costos'!C2337)</f>
        <v/>
      </c>
      <c r="D2337" s="5" t="str">
        <f>+IF('Data Pura Costos'!D2337="","",'Data Pura Costos'!D2337)</f>
        <v/>
      </c>
      <c r="E2337" s="65" t="str">
        <f>+IF('Data Pura Costos'!E2337="","",IF('Data Pura Costos'!E2337=0,MAX('Data Pura Costos'!$E$7:$E$3000)*1000,'Data Pura Costos'!E2337))</f>
        <v/>
      </c>
      <c r="F2337" s="5" t="str">
        <f>+IF('Data Pura Costos'!F2337="","",'Data Pura Costos'!F2337)</f>
        <v/>
      </c>
      <c r="G2337" s="5" t="str">
        <f>+IF('Data Pura Costos'!G2337="","",'Data Pura Costos'!G2337)</f>
        <v/>
      </c>
      <c r="H2337" s="52" t="str">
        <f>+IF('Data Pura Costos'!H2337="","",'Data Pura Costos'!H2337)</f>
        <v/>
      </c>
      <c r="I2337" s="71" t="str">
        <f>+IF('Data Pura Costos'!I2337="","",'Data Pura Costos'!I2337)</f>
        <v/>
      </c>
      <c r="J2337" s="52" t="str">
        <f>+IF('Data Pura Costos'!J2337="","",'Data Pura Costos'!J2337)</f>
        <v/>
      </c>
      <c r="K2337" s="82" t="str">
        <f t="shared" si="41"/>
        <v/>
      </c>
    </row>
    <row r="2338" spans="2:11" x14ac:dyDescent="0.35">
      <c r="B2338" s="4" t="str">
        <f>+IF('Data Pura Costos'!B2338="","",'Data Pura Costos'!B2338)</f>
        <v/>
      </c>
      <c r="C2338" s="4" t="str">
        <f>+IF('Data Pura Costos'!C2338="","",'Data Pura Costos'!C2338)</f>
        <v/>
      </c>
      <c r="D2338" s="5" t="str">
        <f>+IF('Data Pura Costos'!D2338="","",'Data Pura Costos'!D2338)</f>
        <v/>
      </c>
      <c r="E2338" s="65" t="str">
        <f>+IF('Data Pura Costos'!E2338="","",IF('Data Pura Costos'!E2338=0,MAX('Data Pura Costos'!$E$7:$E$3000)*1000,'Data Pura Costos'!E2338))</f>
        <v/>
      </c>
      <c r="F2338" s="5" t="str">
        <f>+IF('Data Pura Costos'!F2338="","",'Data Pura Costos'!F2338)</f>
        <v/>
      </c>
      <c r="G2338" s="5" t="str">
        <f>+IF('Data Pura Costos'!G2338="","",'Data Pura Costos'!G2338)</f>
        <v/>
      </c>
      <c r="H2338" s="52" t="str">
        <f>+IF('Data Pura Costos'!H2338="","",'Data Pura Costos'!H2338)</f>
        <v/>
      </c>
      <c r="I2338" s="71" t="str">
        <f>+IF('Data Pura Costos'!I2338="","",'Data Pura Costos'!I2338)</f>
        <v/>
      </c>
      <c r="J2338" s="52" t="str">
        <f>+IF('Data Pura Costos'!J2338="","",'Data Pura Costos'!J2338)</f>
        <v/>
      </c>
      <c r="K2338" s="82" t="str">
        <f t="shared" si="41"/>
        <v/>
      </c>
    </row>
    <row r="2339" spans="2:11" x14ac:dyDescent="0.35">
      <c r="B2339" s="4" t="str">
        <f>+IF('Data Pura Costos'!B2339="","",'Data Pura Costos'!B2339)</f>
        <v/>
      </c>
      <c r="C2339" s="4" t="str">
        <f>+IF('Data Pura Costos'!C2339="","",'Data Pura Costos'!C2339)</f>
        <v/>
      </c>
      <c r="D2339" s="5" t="str">
        <f>+IF('Data Pura Costos'!D2339="","",'Data Pura Costos'!D2339)</f>
        <v/>
      </c>
      <c r="E2339" s="65" t="str">
        <f>+IF('Data Pura Costos'!E2339="","",IF('Data Pura Costos'!E2339=0,MAX('Data Pura Costos'!$E$7:$E$3000)*1000,'Data Pura Costos'!E2339))</f>
        <v/>
      </c>
      <c r="F2339" s="5" t="str">
        <f>+IF('Data Pura Costos'!F2339="","",'Data Pura Costos'!F2339)</f>
        <v/>
      </c>
      <c r="G2339" s="5" t="str">
        <f>+IF('Data Pura Costos'!G2339="","",'Data Pura Costos'!G2339)</f>
        <v/>
      </c>
      <c r="H2339" s="52" t="str">
        <f>+IF('Data Pura Costos'!H2339="","",'Data Pura Costos'!H2339)</f>
        <v/>
      </c>
      <c r="I2339" s="71" t="str">
        <f>+IF('Data Pura Costos'!I2339="","",'Data Pura Costos'!I2339)</f>
        <v/>
      </c>
      <c r="J2339" s="52" t="str">
        <f>+IF('Data Pura Costos'!J2339="","",'Data Pura Costos'!J2339)</f>
        <v/>
      </c>
      <c r="K2339" s="82" t="str">
        <f t="shared" si="41"/>
        <v/>
      </c>
    </row>
    <row r="2340" spans="2:11" x14ac:dyDescent="0.35">
      <c r="B2340" s="4" t="str">
        <f>+IF('Data Pura Costos'!B2340="","",'Data Pura Costos'!B2340)</f>
        <v/>
      </c>
      <c r="C2340" s="4" t="str">
        <f>+IF('Data Pura Costos'!C2340="","",'Data Pura Costos'!C2340)</f>
        <v/>
      </c>
      <c r="D2340" s="5" t="str">
        <f>+IF('Data Pura Costos'!D2340="","",'Data Pura Costos'!D2340)</f>
        <v/>
      </c>
      <c r="E2340" s="65" t="str">
        <f>+IF('Data Pura Costos'!E2340="","",IF('Data Pura Costos'!E2340=0,MAX('Data Pura Costos'!$E$7:$E$3000)*1000,'Data Pura Costos'!E2340))</f>
        <v/>
      </c>
      <c r="F2340" s="5" t="str">
        <f>+IF('Data Pura Costos'!F2340="","",'Data Pura Costos'!F2340)</f>
        <v/>
      </c>
      <c r="G2340" s="5" t="str">
        <f>+IF('Data Pura Costos'!G2340="","",'Data Pura Costos'!G2340)</f>
        <v/>
      </c>
      <c r="H2340" s="52" t="str">
        <f>+IF('Data Pura Costos'!H2340="","",'Data Pura Costos'!H2340)</f>
        <v/>
      </c>
      <c r="I2340" s="71" t="str">
        <f>+IF('Data Pura Costos'!I2340="","",'Data Pura Costos'!I2340)</f>
        <v/>
      </c>
      <c r="J2340" s="52" t="str">
        <f>+IF('Data Pura Costos'!J2340="","",'Data Pura Costos'!J2340)</f>
        <v/>
      </c>
      <c r="K2340" s="82" t="str">
        <f t="shared" si="41"/>
        <v/>
      </c>
    </row>
    <row r="2341" spans="2:11" x14ac:dyDescent="0.35">
      <c r="B2341" s="4" t="str">
        <f>+IF('Data Pura Costos'!B2341="","",'Data Pura Costos'!B2341)</f>
        <v/>
      </c>
      <c r="C2341" s="4" t="str">
        <f>+IF('Data Pura Costos'!C2341="","",'Data Pura Costos'!C2341)</f>
        <v/>
      </c>
      <c r="D2341" s="5" t="str">
        <f>+IF('Data Pura Costos'!D2341="","",'Data Pura Costos'!D2341)</f>
        <v/>
      </c>
      <c r="E2341" s="65" t="str">
        <f>+IF('Data Pura Costos'!E2341="","",IF('Data Pura Costos'!E2341=0,MAX('Data Pura Costos'!$E$7:$E$3000)*1000,'Data Pura Costos'!E2341))</f>
        <v/>
      </c>
      <c r="F2341" s="5" t="str">
        <f>+IF('Data Pura Costos'!F2341="","",'Data Pura Costos'!F2341)</f>
        <v/>
      </c>
      <c r="G2341" s="5" t="str">
        <f>+IF('Data Pura Costos'!G2341="","",'Data Pura Costos'!G2341)</f>
        <v/>
      </c>
      <c r="H2341" s="52" t="str">
        <f>+IF('Data Pura Costos'!H2341="","",'Data Pura Costos'!H2341)</f>
        <v/>
      </c>
      <c r="I2341" s="71" t="str">
        <f>+IF('Data Pura Costos'!I2341="","",'Data Pura Costos'!I2341)</f>
        <v/>
      </c>
      <c r="J2341" s="52" t="str">
        <f>+IF('Data Pura Costos'!J2341="","",'Data Pura Costos'!J2341)</f>
        <v/>
      </c>
      <c r="K2341" s="82" t="str">
        <f t="shared" si="41"/>
        <v/>
      </c>
    </row>
    <row r="2342" spans="2:11" x14ac:dyDescent="0.35">
      <c r="B2342" s="4" t="str">
        <f>+IF('Data Pura Costos'!B2342="","",'Data Pura Costos'!B2342)</f>
        <v/>
      </c>
      <c r="C2342" s="4" t="str">
        <f>+IF('Data Pura Costos'!C2342="","",'Data Pura Costos'!C2342)</f>
        <v/>
      </c>
      <c r="D2342" s="5" t="str">
        <f>+IF('Data Pura Costos'!D2342="","",'Data Pura Costos'!D2342)</f>
        <v/>
      </c>
      <c r="E2342" s="65" t="str">
        <f>+IF('Data Pura Costos'!E2342="","",IF('Data Pura Costos'!E2342=0,MAX('Data Pura Costos'!$E$7:$E$3000)*1000,'Data Pura Costos'!E2342))</f>
        <v/>
      </c>
      <c r="F2342" s="5" t="str">
        <f>+IF('Data Pura Costos'!F2342="","",'Data Pura Costos'!F2342)</f>
        <v/>
      </c>
      <c r="G2342" s="5" t="str">
        <f>+IF('Data Pura Costos'!G2342="","",'Data Pura Costos'!G2342)</f>
        <v/>
      </c>
      <c r="H2342" s="52" t="str">
        <f>+IF('Data Pura Costos'!H2342="","",'Data Pura Costos'!H2342)</f>
        <v/>
      </c>
      <c r="I2342" s="71" t="str">
        <f>+IF('Data Pura Costos'!I2342="","",'Data Pura Costos'!I2342)</f>
        <v/>
      </c>
      <c r="J2342" s="52" t="str">
        <f>+IF('Data Pura Costos'!J2342="","",'Data Pura Costos'!J2342)</f>
        <v/>
      </c>
      <c r="K2342" s="82" t="str">
        <f t="shared" si="41"/>
        <v/>
      </c>
    </row>
    <row r="2343" spans="2:11" x14ac:dyDescent="0.35">
      <c r="B2343" s="4" t="str">
        <f>+IF('Data Pura Costos'!B2343="","",'Data Pura Costos'!B2343)</f>
        <v/>
      </c>
      <c r="C2343" s="4" t="str">
        <f>+IF('Data Pura Costos'!C2343="","",'Data Pura Costos'!C2343)</f>
        <v/>
      </c>
      <c r="D2343" s="5" t="str">
        <f>+IF('Data Pura Costos'!D2343="","",'Data Pura Costos'!D2343)</f>
        <v/>
      </c>
      <c r="E2343" s="65" t="str">
        <f>+IF('Data Pura Costos'!E2343="","",IF('Data Pura Costos'!E2343=0,MAX('Data Pura Costos'!$E$7:$E$3000)*1000,'Data Pura Costos'!E2343))</f>
        <v/>
      </c>
      <c r="F2343" s="5" t="str">
        <f>+IF('Data Pura Costos'!F2343="","",'Data Pura Costos'!F2343)</f>
        <v/>
      </c>
      <c r="G2343" s="5" t="str">
        <f>+IF('Data Pura Costos'!G2343="","",'Data Pura Costos'!G2343)</f>
        <v/>
      </c>
      <c r="H2343" s="52" t="str">
        <f>+IF('Data Pura Costos'!H2343="","",'Data Pura Costos'!H2343)</f>
        <v/>
      </c>
      <c r="I2343" s="71" t="str">
        <f>+IF('Data Pura Costos'!I2343="","",'Data Pura Costos'!I2343)</f>
        <v/>
      </c>
      <c r="J2343" s="52" t="str">
        <f>+IF('Data Pura Costos'!J2343="","",'Data Pura Costos'!J2343)</f>
        <v/>
      </c>
      <c r="K2343" s="82" t="str">
        <f t="shared" si="41"/>
        <v/>
      </c>
    </row>
    <row r="2344" spans="2:11" x14ac:dyDescent="0.35">
      <c r="B2344" s="4" t="str">
        <f>+IF('Data Pura Costos'!B2344="","",'Data Pura Costos'!B2344)</f>
        <v/>
      </c>
      <c r="C2344" s="4" t="str">
        <f>+IF('Data Pura Costos'!C2344="","",'Data Pura Costos'!C2344)</f>
        <v/>
      </c>
      <c r="D2344" s="5" t="str">
        <f>+IF('Data Pura Costos'!D2344="","",'Data Pura Costos'!D2344)</f>
        <v/>
      </c>
      <c r="E2344" s="65" t="str">
        <f>+IF('Data Pura Costos'!E2344="","",IF('Data Pura Costos'!E2344=0,MAX('Data Pura Costos'!$E$7:$E$3000)*1000,'Data Pura Costos'!E2344))</f>
        <v/>
      </c>
      <c r="F2344" s="5" t="str">
        <f>+IF('Data Pura Costos'!F2344="","",'Data Pura Costos'!F2344)</f>
        <v/>
      </c>
      <c r="G2344" s="5" t="str">
        <f>+IF('Data Pura Costos'!G2344="","",'Data Pura Costos'!G2344)</f>
        <v/>
      </c>
      <c r="H2344" s="52" t="str">
        <f>+IF('Data Pura Costos'!H2344="","",'Data Pura Costos'!H2344)</f>
        <v/>
      </c>
      <c r="I2344" s="71" t="str">
        <f>+IF('Data Pura Costos'!I2344="","",'Data Pura Costos'!I2344)</f>
        <v/>
      </c>
      <c r="J2344" s="52" t="str">
        <f>+IF('Data Pura Costos'!J2344="","",'Data Pura Costos'!J2344)</f>
        <v/>
      </c>
      <c r="K2344" s="82" t="str">
        <f t="shared" si="41"/>
        <v/>
      </c>
    </row>
    <row r="2345" spans="2:11" x14ac:dyDescent="0.35">
      <c r="B2345" s="4" t="str">
        <f>+IF('Data Pura Costos'!B2345="","",'Data Pura Costos'!B2345)</f>
        <v/>
      </c>
      <c r="C2345" s="4" t="str">
        <f>+IF('Data Pura Costos'!C2345="","",'Data Pura Costos'!C2345)</f>
        <v/>
      </c>
      <c r="D2345" s="5" t="str">
        <f>+IF('Data Pura Costos'!D2345="","",'Data Pura Costos'!D2345)</f>
        <v/>
      </c>
      <c r="E2345" s="65" t="str">
        <f>+IF('Data Pura Costos'!E2345="","",IF('Data Pura Costos'!E2345=0,MAX('Data Pura Costos'!$E$7:$E$3000)*1000,'Data Pura Costos'!E2345))</f>
        <v/>
      </c>
      <c r="F2345" s="5" t="str">
        <f>+IF('Data Pura Costos'!F2345="","",'Data Pura Costos'!F2345)</f>
        <v/>
      </c>
      <c r="G2345" s="5" t="str">
        <f>+IF('Data Pura Costos'!G2345="","",'Data Pura Costos'!G2345)</f>
        <v/>
      </c>
      <c r="H2345" s="52" t="str">
        <f>+IF('Data Pura Costos'!H2345="","",'Data Pura Costos'!H2345)</f>
        <v/>
      </c>
      <c r="I2345" s="71" t="str">
        <f>+IF('Data Pura Costos'!I2345="","",'Data Pura Costos'!I2345)</f>
        <v/>
      </c>
      <c r="J2345" s="52" t="str">
        <f>+IF('Data Pura Costos'!J2345="","",'Data Pura Costos'!J2345)</f>
        <v/>
      </c>
      <c r="K2345" s="82" t="str">
        <f t="shared" si="41"/>
        <v/>
      </c>
    </row>
    <row r="2346" spans="2:11" x14ac:dyDescent="0.35">
      <c r="B2346" s="4" t="str">
        <f>+IF('Data Pura Costos'!B2346="","",'Data Pura Costos'!B2346)</f>
        <v/>
      </c>
      <c r="C2346" s="4" t="str">
        <f>+IF('Data Pura Costos'!C2346="","",'Data Pura Costos'!C2346)</f>
        <v/>
      </c>
      <c r="D2346" s="5" t="str">
        <f>+IF('Data Pura Costos'!D2346="","",'Data Pura Costos'!D2346)</f>
        <v/>
      </c>
      <c r="E2346" s="65" t="str">
        <f>+IF('Data Pura Costos'!E2346="","",IF('Data Pura Costos'!E2346=0,MAX('Data Pura Costos'!$E$7:$E$3000)*1000,'Data Pura Costos'!E2346))</f>
        <v/>
      </c>
      <c r="F2346" s="5" t="str">
        <f>+IF('Data Pura Costos'!F2346="","",'Data Pura Costos'!F2346)</f>
        <v/>
      </c>
      <c r="G2346" s="5" t="str">
        <f>+IF('Data Pura Costos'!G2346="","",'Data Pura Costos'!G2346)</f>
        <v/>
      </c>
      <c r="H2346" s="52" t="str">
        <f>+IF('Data Pura Costos'!H2346="","",'Data Pura Costos'!H2346)</f>
        <v/>
      </c>
      <c r="I2346" s="71" t="str">
        <f>+IF('Data Pura Costos'!I2346="","",'Data Pura Costos'!I2346)</f>
        <v/>
      </c>
      <c r="J2346" s="52" t="str">
        <f>+IF('Data Pura Costos'!J2346="","",'Data Pura Costos'!J2346)</f>
        <v/>
      </c>
      <c r="K2346" s="82" t="str">
        <f t="shared" si="41"/>
        <v/>
      </c>
    </row>
    <row r="2347" spans="2:11" x14ac:dyDescent="0.35">
      <c r="B2347" s="4" t="str">
        <f>+IF('Data Pura Costos'!B2347="","",'Data Pura Costos'!B2347)</f>
        <v/>
      </c>
      <c r="C2347" s="4" t="str">
        <f>+IF('Data Pura Costos'!C2347="","",'Data Pura Costos'!C2347)</f>
        <v/>
      </c>
      <c r="D2347" s="5" t="str">
        <f>+IF('Data Pura Costos'!D2347="","",'Data Pura Costos'!D2347)</f>
        <v/>
      </c>
      <c r="E2347" s="65" t="str">
        <f>+IF('Data Pura Costos'!E2347="","",IF('Data Pura Costos'!E2347=0,MAX('Data Pura Costos'!$E$7:$E$3000)*1000,'Data Pura Costos'!E2347))</f>
        <v/>
      </c>
      <c r="F2347" s="5" t="str">
        <f>+IF('Data Pura Costos'!F2347="","",'Data Pura Costos'!F2347)</f>
        <v/>
      </c>
      <c r="G2347" s="5" t="str">
        <f>+IF('Data Pura Costos'!G2347="","",'Data Pura Costos'!G2347)</f>
        <v/>
      </c>
      <c r="H2347" s="52" t="str">
        <f>+IF('Data Pura Costos'!H2347="","",'Data Pura Costos'!H2347)</f>
        <v/>
      </c>
      <c r="I2347" s="71" t="str">
        <f>+IF('Data Pura Costos'!I2347="","",'Data Pura Costos'!I2347)</f>
        <v/>
      </c>
      <c r="J2347" s="52" t="str">
        <f>+IF('Data Pura Costos'!J2347="","",'Data Pura Costos'!J2347)</f>
        <v/>
      </c>
      <c r="K2347" s="82" t="str">
        <f t="shared" si="41"/>
        <v/>
      </c>
    </row>
    <row r="2348" spans="2:11" x14ac:dyDescent="0.35">
      <c r="B2348" s="4" t="str">
        <f>+IF('Data Pura Costos'!B2348="","",'Data Pura Costos'!B2348)</f>
        <v/>
      </c>
      <c r="C2348" s="4" t="str">
        <f>+IF('Data Pura Costos'!C2348="","",'Data Pura Costos'!C2348)</f>
        <v/>
      </c>
      <c r="D2348" s="5" t="str">
        <f>+IF('Data Pura Costos'!D2348="","",'Data Pura Costos'!D2348)</f>
        <v/>
      </c>
      <c r="E2348" s="65" t="str">
        <f>+IF('Data Pura Costos'!E2348="","",IF('Data Pura Costos'!E2348=0,MAX('Data Pura Costos'!$E$7:$E$3000)*1000,'Data Pura Costos'!E2348))</f>
        <v/>
      </c>
      <c r="F2348" s="5" t="str">
        <f>+IF('Data Pura Costos'!F2348="","",'Data Pura Costos'!F2348)</f>
        <v/>
      </c>
      <c r="G2348" s="5" t="str">
        <f>+IF('Data Pura Costos'!G2348="","",'Data Pura Costos'!G2348)</f>
        <v/>
      </c>
      <c r="H2348" s="52" t="str">
        <f>+IF('Data Pura Costos'!H2348="","",'Data Pura Costos'!H2348)</f>
        <v/>
      </c>
      <c r="I2348" s="71" t="str">
        <f>+IF('Data Pura Costos'!I2348="","",'Data Pura Costos'!I2348)</f>
        <v/>
      </c>
      <c r="J2348" s="52" t="str">
        <f>+IF('Data Pura Costos'!J2348="","",'Data Pura Costos'!J2348)</f>
        <v/>
      </c>
      <c r="K2348" s="82" t="str">
        <f t="shared" si="41"/>
        <v/>
      </c>
    </row>
    <row r="2349" spans="2:11" x14ac:dyDescent="0.35">
      <c r="B2349" s="4" t="str">
        <f>+IF('Data Pura Costos'!B2349="","",'Data Pura Costos'!B2349)</f>
        <v/>
      </c>
      <c r="C2349" s="4" t="str">
        <f>+IF('Data Pura Costos'!C2349="","",'Data Pura Costos'!C2349)</f>
        <v/>
      </c>
      <c r="D2349" s="5" t="str">
        <f>+IF('Data Pura Costos'!D2349="","",'Data Pura Costos'!D2349)</f>
        <v/>
      </c>
      <c r="E2349" s="65" t="str">
        <f>+IF('Data Pura Costos'!E2349="","",IF('Data Pura Costos'!E2349=0,MAX('Data Pura Costos'!$E$7:$E$3000)*1000,'Data Pura Costos'!E2349))</f>
        <v/>
      </c>
      <c r="F2349" s="5" t="str">
        <f>+IF('Data Pura Costos'!F2349="","",'Data Pura Costos'!F2349)</f>
        <v/>
      </c>
      <c r="G2349" s="5" t="str">
        <f>+IF('Data Pura Costos'!G2349="","",'Data Pura Costos'!G2349)</f>
        <v/>
      </c>
      <c r="H2349" s="52" t="str">
        <f>+IF('Data Pura Costos'!H2349="","",'Data Pura Costos'!H2349)</f>
        <v/>
      </c>
      <c r="I2349" s="71" t="str">
        <f>+IF('Data Pura Costos'!I2349="","",'Data Pura Costos'!I2349)</f>
        <v/>
      </c>
      <c r="J2349" s="52" t="str">
        <f>+IF('Data Pura Costos'!J2349="","",'Data Pura Costos'!J2349)</f>
        <v/>
      </c>
      <c r="K2349" s="82" t="str">
        <f t="shared" si="41"/>
        <v/>
      </c>
    </row>
    <row r="2350" spans="2:11" x14ac:dyDescent="0.35">
      <c r="B2350" s="4" t="str">
        <f>+IF('Data Pura Costos'!B2350="","",'Data Pura Costos'!B2350)</f>
        <v/>
      </c>
      <c r="C2350" s="4" t="str">
        <f>+IF('Data Pura Costos'!C2350="","",'Data Pura Costos'!C2350)</f>
        <v/>
      </c>
      <c r="D2350" s="5" t="str">
        <f>+IF('Data Pura Costos'!D2350="","",'Data Pura Costos'!D2350)</f>
        <v/>
      </c>
      <c r="E2350" s="65" t="str">
        <f>+IF('Data Pura Costos'!E2350="","",IF('Data Pura Costos'!E2350=0,MAX('Data Pura Costos'!$E$7:$E$3000)*1000,'Data Pura Costos'!E2350))</f>
        <v/>
      </c>
      <c r="F2350" s="5" t="str">
        <f>+IF('Data Pura Costos'!F2350="","",'Data Pura Costos'!F2350)</f>
        <v/>
      </c>
      <c r="G2350" s="5" t="str">
        <f>+IF('Data Pura Costos'!G2350="","",'Data Pura Costos'!G2350)</f>
        <v/>
      </c>
      <c r="H2350" s="52" t="str">
        <f>+IF('Data Pura Costos'!H2350="","",'Data Pura Costos'!H2350)</f>
        <v/>
      </c>
      <c r="I2350" s="71" t="str">
        <f>+IF('Data Pura Costos'!I2350="","",'Data Pura Costos'!I2350)</f>
        <v/>
      </c>
      <c r="J2350" s="52" t="str">
        <f>+IF('Data Pura Costos'!J2350="","",'Data Pura Costos'!J2350)</f>
        <v/>
      </c>
      <c r="K2350" s="82" t="str">
        <f t="shared" si="41"/>
        <v/>
      </c>
    </row>
    <row r="2351" spans="2:11" x14ac:dyDescent="0.35">
      <c r="B2351" s="4" t="str">
        <f>+IF('Data Pura Costos'!B2351="","",'Data Pura Costos'!B2351)</f>
        <v/>
      </c>
      <c r="C2351" s="4" t="str">
        <f>+IF('Data Pura Costos'!C2351="","",'Data Pura Costos'!C2351)</f>
        <v/>
      </c>
      <c r="D2351" s="5" t="str">
        <f>+IF('Data Pura Costos'!D2351="","",'Data Pura Costos'!D2351)</f>
        <v/>
      </c>
      <c r="E2351" s="65" t="str">
        <f>+IF('Data Pura Costos'!E2351="","",IF('Data Pura Costos'!E2351=0,MAX('Data Pura Costos'!$E$7:$E$3000)*1000,'Data Pura Costos'!E2351))</f>
        <v/>
      </c>
      <c r="F2351" s="5" t="str">
        <f>+IF('Data Pura Costos'!F2351="","",'Data Pura Costos'!F2351)</f>
        <v/>
      </c>
      <c r="G2351" s="5" t="str">
        <f>+IF('Data Pura Costos'!G2351="","",'Data Pura Costos'!G2351)</f>
        <v/>
      </c>
      <c r="H2351" s="52" t="str">
        <f>+IF('Data Pura Costos'!H2351="","",'Data Pura Costos'!H2351)</f>
        <v/>
      </c>
      <c r="I2351" s="71" t="str">
        <f>+IF('Data Pura Costos'!I2351="","",'Data Pura Costos'!I2351)</f>
        <v/>
      </c>
      <c r="J2351" s="52" t="str">
        <f>+IF('Data Pura Costos'!J2351="","",'Data Pura Costos'!J2351)</f>
        <v/>
      </c>
      <c r="K2351" s="82" t="str">
        <f t="shared" si="41"/>
        <v/>
      </c>
    </row>
    <row r="2352" spans="2:11" x14ac:dyDescent="0.35">
      <c r="B2352" s="4" t="str">
        <f>+IF('Data Pura Costos'!B2352="","",'Data Pura Costos'!B2352)</f>
        <v/>
      </c>
      <c r="C2352" s="4" t="str">
        <f>+IF('Data Pura Costos'!C2352="","",'Data Pura Costos'!C2352)</f>
        <v/>
      </c>
      <c r="D2352" s="5" t="str">
        <f>+IF('Data Pura Costos'!D2352="","",'Data Pura Costos'!D2352)</f>
        <v/>
      </c>
      <c r="E2352" s="65" t="str">
        <f>+IF('Data Pura Costos'!E2352="","",IF('Data Pura Costos'!E2352=0,MAX('Data Pura Costos'!$E$7:$E$3000)*1000,'Data Pura Costos'!E2352))</f>
        <v/>
      </c>
      <c r="F2352" s="5" t="str">
        <f>+IF('Data Pura Costos'!F2352="","",'Data Pura Costos'!F2352)</f>
        <v/>
      </c>
      <c r="G2352" s="5" t="str">
        <f>+IF('Data Pura Costos'!G2352="","",'Data Pura Costos'!G2352)</f>
        <v/>
      </c>
      <c r="H2352" s="52" t="str">
        <f>+IF('Data Pura Costos'!H2352="","",'Data Pura Costos'!H2352)</f>
        <v/>
      </c>
      <c r="I2352" s="71" t="str">
        <f>+IF('Data Pura Costos'!I2352="","",'Data Pura Costos'!I2352)</f>
        <v/>
      </c>
      <c r="J2352" s="52" t="str">
        <f>+IF('Data Pura Costos'!J2352="","",'Data Pura Costos'!J2352)</f>
        <v/>
      </c>
      <c r="K2352" s="82" t="str">
        <f t="shared" si="41"/>
        <v/>
      </c>
    </row>
    <row r="2353" spans="2:11" x14ac:dyDescent="0.35">
      <c r="B2353" s="4" t="str">
        <f>+IF('Data Pura Costos'!B2353="","",'Data Pura Costos'!B2353)</f>
        <v/>
      </c>
      <c r="C2353" s="4" t="str">
        <f>+IF('Data Pura Costos'!C2353="","",'Data Pura Costos'!C2353)</f>
        <v/>
      </c>
      <c r="D2353" s="5" t="str">
        <f>+IF('Data Pura Costos'!D2353="","",'Data Pura Costos'!D2353)</f>
        <v/>
      </c>
      <c r="E2353" s="65" t="str">
        <f>+IF('Data Pura Costos'!E2353="","",IF('Data Pura Costos'!E2353=0,MAX('Data Pura Costos'!$E$7:$E$3000)*1000,'Data Pura Costos'!E2353))</f>
        <v/>
      </c>
      <c r="F2353" s="5" t="str">
        <f>+IF('Data Pura Costos'!F2353="","",'Data Pura Costos'!F2353)</f>
        <v/>
      </c>
      <c r="G2353" s="5" t="str">
        <f>+IF('Data Pura Costos'!G2353="","",'Data Pura Costos'!G2353)</f>
        <v/>
      </c>
      <c r="H2353" s="52" t="str">
        <f>+IF('Data Pura Costos'!H2353="","",'Data Pura Costos'!H2353)</f>
        <v/>
      </c>
      <c r="I2353" s="71" t="str">
        <f>+IF('Data Pura Costos'!I2353="","",'Data Pura Costos'!I2353)</f>
        <v/>
      </c>
      <c r="J2353" s="52" t="str">
        <f>+IF('Data Pura Costos'!J2353="","",'Data Pura Costos'!J2353)</f>
        <v/>
      </c>
      <c r="K2353" s="82" t="str">
        <f t="shared" si="41"/>
        <v/>
      </c>
    </row>
    <row r="2354" spans="2:11" x14ac:dyDescent="0.35">
      <c r="B2354" s="4" t="str">
        <f>+IF('Data Pura Costos'!B2354="","",'Data Pura Costos'!B2354)</f>
        <v/>
      </c>
      <c r="C2354" s="4" t="str">
        <f>+IF('Data Pura Costos'!C2354="","",'Data Pura Costos'!C2354)</f>
        <v/>
      </c>
      <c r="D2354" s="5" t="str">
        <f>+IF('Data Pura Costos'!D2354="","",'Data Pura Costos'!D2354)</f>
        <v/>
      </c>
      <c r="E2354" s="65" t="str">
        <f>+IF('Data Pura Costos'!E2354="","",IF('Data Pura Costos'!E2354=0,MAX('Data Pura Costos'!$E$7:$E$3000)*1000,'Data Pura Costos'!E2354))</f>
        <v/>
      </c>
      <c r="F2354" s="5" t="str">
        <f>+IF('Data Pura Costos'!F2354="","",'Data Pura Costos'!F2354)</f>
        <v/>
      </c>
      <c r="G2354" s="5" t="str">
        <f>+IF('Data Pura Costos'!G2354="","",'Data Pura Costos'!G2354)</f>
        <v/>
      </c>
      <c r="H2354" s="52" t="str">
        <f>+IF('Data Pura Costos'!H2354="","",'Data Pura Costos'!H2354)</f>
        <v/>
      </c>
      <c r="I2354" s="71" t="str">
        <f>+IF('Data Pura Costos'!I2354="","",'Data Pura Costos'!I2354)</f>
        <v/>
      </c>
      <c r="J2354" s="52" t="str">
        <f>+IF('Data Pura Costos'!J2354="","",'Data Pura Costos'!J2354)</f>
        <v/>
      </c>
      <c r="K2354" s="82" t="str">
        <f t="shared" si="41"/>
        <v/>
      </c>
    </row>
    <row r="2355" spans="2:11" x14ac:dyDescent="0.35">
      <c r="B2355" s="4" t="str">
        <f>+IF('Data Pura Costos'!B2355="","",'Data Pura Costos'!B2355)</f>
        <v/>
      </c>
      <c r="C2355" s="4" t="str">
        <f>+IF('Data Pura Costos'!C2355="","",'Data Pura Costos'!C2355)</f>
        <v/>
      </c>
      <c r="D2355" s="5" t="str">
        <f>+IF('Data Pura Costos'!D2355="","",'Data Pura Costos'!D2355)</f>
        <v/>
      </c>
      <c r="E2355" s="65" t="str">
        <f>+IF('Data Pura Costos'!E2355="","",IF('Data Pura Costos'!E2355=0,MAX('Data Pura Costos'!$E$7:$E$3000)*1000,'Data Pura Costos'!E2355))</f>
        <v/>
      </c>
      <c r="F2355" s="5" t="str">
        <f>+IF('Data Pura Costos'!F2355="","",'Data Pura Costos'!F2355)</f>
        <v/>
      </c>
      <c r="G2355" s="5" t="str">
        <f>+IF('Data Pura Costos'!G2355="","",'Data Pura Costos'!G2355)</f>
        <v/>
      </c>
      <c r="H2355" s="52" t="str">
        <f>+IF('Data Pura Costos'!H2355="","",'Data Pura Costos'!H2355)</f>
        <v/>
      </c>
      <c r="I2355" s="71" t="str">
        <f>+IF('Data Pura Costos'!I2355="","",'Data Pura Costos'!I2355)</f>
        <v/>
      </c>
      <c r="J2355" s="52" t="str">
        <f>+IF('Data Pura Costos'!J2355="","",'Data Pura Costos'!J2355)</f>
        <v/>
      </c>
      <c r="K2355" s="82" t="str">
        <f t="shared" si="41"/>
        <v/>
      </c>
    </row>
    <row r="2356" spans="2:11" x14ac:dyDescent="0.35">
      <c r="B2356" s="4" t="str">
        <f>+IF('Data Pura Costos'!B2356="","",'Data Pura Costos'!B2356)</f>
        <v/>
      </c>
      <c r="C2356" s="4" t="str">
        <f>+IF('Data Pura Costos'!C2356="","",'Data Pura Costos'!C2356)</f>
        <v/>
      </c>
      <c r="D2356" s="5" t="str">
        <f>+IF('Data Pura Costos'!D2356="","",'Data Pura Costos'!D2356)</f>
        <v/>
      </c>
      <c r="E2356" s="65" t="str">
        <f>+IF('Data Pura Costos'!E2356="","",IF('Data Pura Costos'!E2356=0,MAX('Data Pura Costos'!$E$7:$E$3000)*1000,'Data Pura Costos'!E2356))</f>
        <v/>
      </c>
      <c r="F2356" s="5" t="str">
        <f>+IF('Data Pura Costos'!F2356="","",'Data Pura Costos'!F2356)</f>
        <v/>
      </c>
      <c r="G2356" s="5" t="str">
        <f>+IF('Data Pura Costos'!G2356="","",'Data Pura Costos'!G2356)</f>
        <v/>
      </c>
      <c r="H2356" s="52" t="str">
        <f>+IF('Data Pura Costos'!H2356="","",'Data Pura Costos'!H2356)</f>
        <v/>
      </c>
      <c r="I2356" s="71" t="str">
        <f>+IF('Data Pura Costos'!I2356="","",'Data Pura Costos'!I2356)</f>
        <v/>
      </c>
      <c r="J2356" s="52" t="str">
        <f>+IF('Data Pura Costos'!J2356="","",'Data Pura Costos'!J2356)</f>
        <v/>
      </c>
      <c r="K2356" s="82" t="str">
        <f t="shared" si="41"/>
        <v/>
      </c>
    </row>
    <row r="2357" spans="2:11" x14ac:dyDescent="0.35">
      <c r="B2357" s="4" t="str">
        <f>+IF('Data Pura Costos'!B2357="","",'Data Pura Costos'!B2357)</f>
        <v/>
      </c>
      <c r="C2357" s="4" t="str">
        <f>+IF('Data Pura Costos'!C2357="","",'Data Pura Costos'!C2357)</f>
        <v/>
      </c>
      <c r="D2357" s="5" t="str">
        <f>+IF('Data Pura Costos'!D2357="","",'Data Pura Costos'!D2357)</f>
        <v/>
      </c>
      <c r="E2357" s="65" t="str">
        <f>+IF('Data Pura Costos'!E2357="","",IF('Data Pura Costos'!E2357=0,MAX('Data Pura Costos'!$E$7:$E$3000)*1000,'Data Pura Costos'!E2357))</f>
        <v/>
      </c>
      <c r="F2357" s="5" t="str">
        <f>+IF('Data Pura Costos'!F2357="","",'Data Pura Costos'!F2357)</f>
        <v/>
      </c>
      <c r="G2357" s="5" t="str">
        <f>+IF('Data Pura Costos'!G2357="","",'Data Pura Costos'!G2357)</f>
        <v/>
      </c>
      <c r="H2357" s="52" t="str">
        <f>+IF('Data Pura Costos'!H2357="","",'Data Pura Costos'!H2357)</f>
        <v/>
      </c>
      <c r="I2357" s="71" t="str">
        <f>+IF('Data Pura Costos'!I2357="","",'Data Pura Costos'!I2357)</f>
        <v/>
      </c>
      <c r="J2357" s="52" t="str">
        <f>+IF('Data Pura Costos'!J2357="","",'Data Pura Costos'!J2357)</f>
        <v/>
      </c>
      <c r="K2357" s="82" t="str">
        <f t="shared" si="41"/>
        <v/>
      </c>
    </row>
    <row r="2358" spans="2:11" x14ac:dyDescent="0.35">
      <c r="B2358" s="4" t="str">
        <f>+IF('Data Pura Costos'!B2358="","",'Data Pura Costos'!B2358)</f>
        <v/>
      </c>
      <c r="C2358" s="4" t="str">
        <f>+IF('Data Pura Costos'!C2358="","",'Data Pura Costos'!C2358)</f>
        <v/>
      </c>
      <c r="D2358" s="5" t="str">
        <f>+IF('Data Pura Costos'!D2358="","",'Data Pura Costos'!D2358)</f>
        <v/>
      </c>
      <c r="E2358" s="65" t="str">
        <f>+IF('Data Pura Costos'!E2358="","",IF('Data Pura Costos'!E2358=0,MAX('Data Pura Costos'!$E$7:$E$3000)*1000,'Data Pura Costos'!E2358))</f>
        <v/>
      </c>
      <c r="F2358" s="5" t="str">
        <f>+IF('Data Pura Costos'!F2358="","",'Data Pura Costos'!F2358)</f>
        <v/>
      </c>
      <c r="G2358" s="5" t="str">
        <f>+IF('Data Pura Costos'!G2358="","",'Data Pura Costos'!G2358)</f>
        <v/>
      </c>
      <c r="H2358" s="52" t="str">
        <f>+IF('Data Pura Costos'!H2358="","",'Data Pura Costos'!H2358)</f>
        <v/>
      </c>
      <c r="I2358" s="71" t="str">
        <f>+IF('Data Pura Costos'!I2358="","",'Data Pura Costos'!I2358)</f>
        <v/>
      </c>
      <c r="J2358" s="52" t="str">
        <f>+IF('Data Pura Costos'!J2358="","",'Data Pura Costos'!J2358)</f>
        <v/>
      </c>
      <c r="K2358" s="82" t="str">
        <f t="shared" si="41"/>
        <v/>
      </c>
    </row>
    <row r="2359" spans="2:11" x14ac:dyDescent="0.35">
      <c r="B2359" s="4" t="str">
        <f>+IF('Data Pura Costos'!B2359="","",'Data Pura Costos'!B2359)</f>
        <v/>
      </c>
      <c r="C2359" s="4" t="str">
        <f>+IF('Data Pura Costos'!C2359="","",'Data Pura Costos'!C2359)</f>
        <v/>
      </c>
      <c r="D2359" s="5" t="str">
        <f>+IF('Data Pura Costos'!D2359="","",'Data Pura Costos'!D2359)</f>
        <v/>
      </c>
      <c r="E2359" s="65" t="str">
        <f>+IF('Data Pura Costos'!E2359="","",IF('Data Pura Costos'!E2359=0,MAX('Data Pura Costos'!$E$7:$E$3000)*1000,'Data Pura Costos'!E2359))</f>
        <v/>
      </c>
      <c r="F2359" s="5" t="str">
        <f>+IF('Data Pura Costos'!F2359="","",'Data Pura Costos'!F2359)</f>
        <v/>
      </c>
      <c r="G2359" s="5" t="str">
        <f>+IF('Data Pura Costos'!G2359="","",'Data Pura Costos'!G2359)</f>
        <v/>
      </c>
      <c r="H2359" s="52" t="str">
        <f>+IF('Data Pura Costos'!H2359="","",'Data Pura Costos'!H2359)</f>
        <v/>
      </c>
      <c r="I2359" s="71" t="str">
        <f>+IF('Data Pura Costos'!I2359="","",'Data Pura Costos'!I2359)</f>
        <v/>
      </c>
      <c r="J2359" s="52" t="str">
        <f>+IF('Data Pura Costos'!J2359="","",'Data Pura Costos'!J2359)</f>
        <v/>
      </c>
      <c r="K2359" s="82" t="str">
        <f t="shared" si="41"/>
        <v/>
      </c>
    </row>
    <row r="2360" spans="2:11" x14ac:dyDescent="0.35">
      <c r="B2360" s="4" t="str">
        <f>+IF('Data Pura Costos'!B2360="","",'Data Pura Costos'!B2360)</f>
        <v/>
      </c>
      <c r="C2360" s="4" t="str">
        <f>+IF('Data Pura Costos'!C2360="","",'Data Pura Costos'!C2360)</f>
        <v/>
      </c>
      <c r="D2360" s="5" t="str">
        <f>+IF('Data Pura Costos'!D2360="","",'Data Pura Costos'!D2360)</f>
        <v/>
      </c>
      <c r="E2360" s="65" t="str">
        <f>+IF('Data Pura Costos'!E2360="","",IF('Data Pura Costos'!E2360=0,MAX('Data Pura Costos'!$E$7:$E$3000)*1000,'Data Pura Costos'!E2360))</f>
        <v/>
      </c>
      <c r="F2360" s="5" t="str">
        <f>+IF('Data Pura Costos'!F2360="","",'Data Pura Costos'!F2360)</f>
        <v/>
      </c>
      <c r="G2360" s="5" t="str">
        <f>+IF('Data Pura Costos'!G2360="","",'Data Pura Costos'!G2360)</f>
        <v/>
      </c>
      <c r="H2360" s="52" t="str">
        <f>+IF('Data Pura Costos'!H2360="","",'Data Pura Costos'!H2360)</f>
        <v/>
      </c>
      <c r="I2360" s="71" t="str">
        <f>+IF('Data Pura Costos'!I2360="","",'Data Pura Costos'!I2360)</f>
        <v/>
      </c>
      <c r="J2360" s="52" t="str">
        <f>+IF('Data Pura Costos'!J2360="","",'Data Pura Costos'!J2360)</f>
        <v/>
      </c>
      <c r="K2360" s="82" t="str">
        <f t="shared" si="41"/>
        <v/>
      </c>
    </row>
    <row r="2361" spans="2:11" x14ac:dyDescent="0.35">
      <c r="B2361" s="4" t="str">
        <f>+IF('Data Pura Costos'!B2361="","",'Data Pura Costos'!B2361)</f>
        <v/>
      </c>
      <c r="C2361" s="4" t="str">
        <f>+IF('Data Pura Costos'!C2361="","",'Data Pura Costos'!C2361)</f>
        <v/>
      </c>
      <c r="D2361" s="5" t="str">
        <f>+IF('Data Pura Costos'!D2361="","",'Data Pura Costos'!D2361)</f>
        <v/>
      </c>
      <c r="E2361" s="65" t="str">
        <f>+IF('Data Pura Costos'!E2361="","",IF('Data Pura Costos'!E2361=0,MAX('Data Pura Costos'!$E$7:$E$3000)*1000,'Data Pura Costos'!E2361))</f>
        <v/>
      </c>
      <c r="F2361" s="5" t="str">
        <f>+IF('Data Pura Costos'!F2361="","",'Data Pura Costos'!F2361)</f>
        <v/>
      </c>
      <c r="G2361" s="5" t="str">
        <f>+IF('Data Pura Costos'!G2361="","",'Data Pura Costos'!G2361)</f>
        <v/>
      </c>
      <c r="H2361" s="52" t="str">
        <f>+IF('Data Pura Costos'!H2361="","",'Data Pura Costos'!H2361)</f>
        <v/>
      </c>
      <c r="I2361" s="71" t="str">
        <f>+IF('Data Pura Costos'!I2361="","",'Data Pura Costos'!I2361)</f>
        <v/>
      </c>
      <c r="J2361" s="52" t="str">
        <f>+IF('Data Pura Costos'!J2361="","",'Data Pura Costos'!J2361)</f>
        <v/>
      </c>
      <c r="K2361" s="82" t="str">
        <f t="shared" si="41"/>
        <v/>
      </c>
    </row>
    <row r="2362" spans="2:11" x14ac:dyDescent="0.35">
      <c r="B2362" s="4" t="str">
        <f>+IF('Data Pura Costos'!B2362="","",'Data Pura Costos'!B2362)</f>
        <v/>
      </c>
      <c r="C2362" s="4" t="str">
        <f>+IF('Data Pura Costos'!C2362="","",'Data Pura Costos'!C2362)</f>
        <v/>
      </c>
      <c r="D2362" s="5" t="str">
        <f>+IF('Data Pura Costos'!D2362="","",'Data Pura Costos'!D2362)</f>
        <v/>
      </c>
      <c r="E2362" s="65" t="str">
        <f>+IF('Data Pura Costos'!E2362="","",IF('Data Pura Costos'!E2362=0,MAX('Data Pura Costos'!$E$7:$E$3000)*1000,'Data Pura Costos'!E2362))</f>
        <v/>
      </c>
      <c r="F2362" s="5" t="str">
        <f>+IF('Data Pura Costos'!F2362="","",'Data Pura Costos'!F2362)</f>
        <v/>
      </c>
      <c r="G2362" s="5" t="str">
        <f>+IF('Data Pura Costos'!G2362="","",'Data Pura Costos'!G2362)</f>
        <v/>
      </c>
      <c r="H2362" s="52" t="str">
        <f>+IF('Data Pura Costos'!H2362="","",'Data Pura Costos'!H2362)</f>
        <v/>
      </c>
      <c r="I2362" s="71" t="str">
        <f>+IF('Data Pura Costos'!I2362="","",'Data Pura Costos'!I2362)</f>
        <v/>
      </c>
      <c r="J2362" s="52" t="str">
        <f>+IF('Data Pura Costos'!J2362="","",'Data Pura Costos'!J2362)</f>
        <v/>
      </c>
      <c r="K2362" s="82" t="str">
        <f t="shared" si="41"/>
        <v/>
      </c>
    </row>
    <row r="2363" spans="2:11" x14ac:dyDescent="0.35">
      <c r="B2363" s="4" t="str">
        <f>+IF('Data Pura Costos'!B2363="","",'Data Pura Costos'!B2363)</f>
        <v/>
      </c>
      <c r="C2363" s="4" t="str">
        <f>+IF('Data Pura Costos'!C2363="","",'Data Pura Costos'!C2363)</f>
        <v/>
      </c>
      <c r="D2363" s="5" t="str">
        <f>+IF('Data Pura Costos'!D2363="","",'Data Pura Costos'!D2363)</f>
        <v/>
      </c>
      <c r="E2363" s="65" t="str">
        <f>+IF('Data Pura Costos'!E2363="","",IF('Data Pura Costos'!E2363=0,MAX('Data Pura Costos'!$E$7:$E$3000)*1000,'Data Pura Costos'!E2363))</f>
        <v/>
      </c>
      <c r="F2363" s="5" t="str">
        <f>+IF('Data Pura Costos'!F2363="","",'Data Pura Costos'!F2363)</f>
        <v/>
      </c>
      <c r="G2363" s="5" t="str">
        <f>+IF('Data Pura Costos'!G2363="","",'Data Pura Costos'!G2363)</f>
        <v/>
      </c>
      <c r="H2363" s="52" t="str">
        <f>+IF('Data Pura Costos'!H2363="","",'Data Pura Costos'!H2363)</f>
        <v/>
      </c>
      <c r="I2363" s="71" t="str">
        <f>+IF('Data Pura Costos'!I2363="","",'Data Pura Costos'!I2363)</f>
        <v/>
      </c>
      <c r="J2363" s="52" t="str">
        <f>+IF('Data Pura Costos'!J2363="","",'Data Pura Costos'!J2363)</f>
        <v/>
      </c>
      <c r="K2363" s="82" t="str">
        <f t="shared" si="41"/>
        <v/>
      </c>
    </row>
    <row r="2364" spans="2:11" x14ac:dyDescent="0.35">
      <c r="B2364" s="4" t="str">
        <f>+IF('Data Pura Costos'!B2364="","",'Data Pura Costos'!B2364)</f>
        <v/>
      </c>
      <c r="C2364" s="4" t="str">
        <f>+IF('Data Pura Costos'!C2364="","",'Data Pura Costos'!C2364)</f>
        <v/>
      </c>
      <c r="D2364" s="5" t="str">
        <f>+IF('Data Pura Costos'!D2364="","",'Data Pura Costos'!D2364)</f>
        <v/>
      </c>
      <c r="E2364" s="65" t="str">
        <f>+IF('Data Pura Costos'!E2364="","",IF('Data Pura Costos'!E2364=0,MAX('Data Pura Costos'!$E$7:$E$3000)*1000,'Data Pura Costos'!E2364))</f>
        <v/>
      </c>
      <c r="F2364" s="5" t="str">
        <f>+IF('Data Pura Costos'!F2364="","",'Data Pura Costos'!F2364)</f>
        <v/>
      </c>
      <c r="G2364" s="5" t="str">
        <f>+IF('Data Pura Costos'!G2364="","",'Data Pura Costos'!G2364)</f>
        <v/>
      </c>
      <c r="H2364" s="52" t="str">
        <f>+IF('Data Pura Costos'!H2364="","",'Data Pura Costos'!H2364)</f>
        <v/>
      </c>
      <c r="I2364" s="71" t="str">
        <f>+IF('Data Pura Costos'!I2364="","",'Data Pura Costos'!I2364)</f>
        <v/>
      </c>
      <c r="J2364" s="52" t="str">
        <f>+IF('Data Pura Costos'!J2364="","",'Data Pura Costos'!J2364)</f>
        <v/>
      </c>
      <c r="K2364" s="82" t="str">
        <f t="shared" ref="K2364:K2427" si="42">+IF(B2364="","",CONCATENATE(B2364,"-",F2364,"-",G2364))</f>
        <v/>
      </c>
    </row>
    <row r="2365" spans="2:11" x14ac:dyDescent="0.35">
      <c r="B2365" s="4" t="str">
        <f>+IF('Data Pura Costos'!B2365="","",'Data Pura Costos'!B2365)</f>
        <v/>
      </c>
      <c r="C2365" s="4" t="str">
        <f>+IF('Data Pura Costos'!C2365="","",'Data Pura Costos'!C2365)</f>
        <v/>
      </c>
      <c r="D2365" s="5" t="str">
        <f>+IF('Data Pura Costos'!D2365="","",'Data Pura Costos'!D2365)</f>
        <v/>
      </c>
      <c r="E2365" s="65" t="str">
        <f>+IF('Data Pura Costos'!E2365="","",IF('Data Pura Costos'!E2365=0,MAX('Data Pura Costos'!$E$7:$E$3000)*1000,'Data Pura Costos'!E2365))</f>
        <v/>
      </c>
      <c r="F2365" s="5" t="str">
        <f>+IF('Data Pura Costos'!F2365="","",'Data Pura Costos'!F2365)</f>
        <v/>
      </c>
      <c r="G2365" s="5" t="str">
        <f>+IF('Data Pura Costos'!G2365="","",'Data Pura Costos'!G2365)</f>
        <v/>
      </c>
      <c r="H2365" s="52" t="str">
        <f>+IF('Data Pura Costos'!H2365="","",'Data Pura Costos'!H2365)</f>
        <v/>
      </c>
      <c r="I2365" s="71" t="str">
        <f>+IF('Data Pura Costos'!I2365="","",'Data Pura Costos'!I2365)</f>
        <v/>
      </c>
      <c r="J2365" s="52" t="str">
        <f>+IF('Data Pura Costos'!J2365="","",'Data Pura Costos'!J2365)</f>
        <v/>
      </c>
      <c r="K2365" s="82" t="str">
        <f t="shared" si="42"/>
        <v/>
      </c>
    </row>
    <row r="2366" spans="2:11" x14ac:dyDescent="0.35">
      <c r="B2366" s="4" t="str">
        <f>+IF('Data Pura Costos'!B2366="","",'Data Pura Costos'!B2366)</f>
        <v/>
      </c>
      <c r="C2366" s="4" t="str">
        <f>+IF('Data Pura Costos'!C2366="","",'Data Pura Costos'!C2366)</f>
        <v/>
      </c>
      <c r="D2366" s="5" t="str">
        <f>+IF('Data Pura Costos'!D2366="","",'Data Pura Costos'!D2366)</f>
        <v/>
      </c>
      <c r="E2366" s="65" t="str">
        <f>+IF('Data Pura Costos'!E2366="","",IF('Data Pura Costos'!E2366=0,MAX('Data Pura Costos'!$E$7:$E$3000)*1000,'Data Pura Costos'!E2366))</f>
        <v/>
      </c>
      <c r="F2366" s="5" t="str">
        <f>+IF('Data Pura Costos'!F2366="","",'Data Pura Costos'!F2366)</f>
        <v/>
      </c>
      <c r="G2366" s="5" t="str">
        <f>+IF('Data Pura Costos'!G2366="","",'Data Pura Costos'!G2366)</f>
        <v/>
      </c>
      <c r="H2366" s="52" t="str">
        <f>+IF('Data Pura Costos'!H2366="","",'Data Pura Costos'!H2366)</f>
        <v/>
      </c>
      <c r="I2366" s="71" t="str">
        <f>+IF('Data Pura Costos'!I2366="","",'Data Pura Costos'!I2366)</f>
        <v/>
      </c>
      <c r="J2366" s="52" t="str">
        <f>+IF('Data Pura Costos'!J2366="","",'Data Pura Costos'!J2366)</f>
        <v/>
      </c>
      <c r="K2366" s="82" t="str">
        <f t="shared" si="42"/>
        <v/>
      </c>
    </row>
    <row r="2367" spans="2:11" x14ac:dyDescent="0.35">
      <c r="B2367" s="4" t="str">
        <f>+IF('Data Pura Costos'!B2367="","",'Data Pura Costos'!B2367)</f>
        <v/>
      </c>
      <c r="C2367" s="4" t="str">
        <f>+IF('Data Pura Costos'!C2367="","",'Data Pura Costos'!C2367)</f>
        <v/>
      </c>
      <c r="D2367" s="5" t="str">
        <f>+IF('Data Pura Costos'!D2367="","",'Data Pura Costos'!D2367)</f>
        <v/>
      </c>
      <c r="E2367" s="65" t="str">
        <f>+IF('Data Pura Costos'!E2367="","",IF('Data Pura Costos'!E2367=0,MAX('Data Pura Costos'!$E$7:$E$3000)*1000,'Data Pura Costos'!E2367))</f>
        <v/>
      </c>
      <c r="F2367" s="5" t="str">
        <f>+IF('Data Pura Costos'!F2367="","",'Data Pura Costos'!F2367)</f>
        <v/>
      </c>
      <c r="G2367" s="5" t="str">
        <f>+IF('Data Pura Costos'!G2367="","",'Data Pura Costos'!G2367)</f>
        <v/>
      </c>
      <c r="H2367" s="52" t="str">
        <f>+IF('Data Pura Costos'!H2367="","",'Data Pura Costos'!H2367)</f>
        <v/>
      </c>
      <c r="I2367" s="71" t="str">
        <f>+IF('Data Pura Costos'!I2367="","",'Data Pura Costos'!I2367)</f>
        <v/>
      </c>
      <c r="J2367" s="52" t="str">
        <f>+IF('Data Pura Costos'!J2367="","",'Data Pura Costos'!J2367)</f>
        <v/>
      </c>
      <c r="K2367" s="82" t="str">
        <f t="shared" si="42"/>
        <v/>
      </c>
    </row>
    <row r="2368" spans="2:11" x14ac:dyDescent="0.35">
      <c r="B2368" s="4" t="str">
        <f>+IF('Data Pura Costos'!B2368="","",'Data Pura Costos'!B2368)</f>
        <v/>
      </c>
      <c r="C2368" s="4" t="str">
        <f>+IF('Data Pura Costos'!C2368="","",'Data Pura Costos'!C2368)</f>
        <v/>
      </c>
      <c r="D2368" s="5" t="str">
        <f>+IF('Data Pura Costos'!D2368="","",'Data Pura Costos'!D2368)</f>
        <v/>
      </c>
      <c r="E2368" s="65" t="str">
        <f>+IF('Data Pura Costos'!E2368="","",IF('Data Pura Costos'!E2368=0,MAX('Data Pura Costos'!$E$7:$E$3000)*1000,'Data Pura Costos'!E2368))</f>
        <v/>
      </c>
      <c r="F2368" s="5" t="str">
        <f>+IF('Data Pura Costos'!F2368="","",'Data Pura Costos'!F2368)</f>
        <v/>
      </c>
      <c r="G2368" s="5" t="str">
        <f>+IF('Data Pura Costos'!G2368="","",'Data Pura Costos'!G2368)</f>
        <v/>
      </c>
      <c r="H2368" s="52" t="str">
        <f>+IF('Data Pura Costos'!H2368="","",'Data Pura Costos'!H2368)</f>
        <v/>
      </c>
      <c r="I2368" s="71" t="str">
        <f>+IF('Data Pura Costos'!I2368="","",'Data Pura Costos'!I2368)</f>
        <v/>
      </c>
      <c r="J2368" s="52" t="str">
        <f>+IF('Data Pura Costos'!J2368="","",'Data Pura Costos'!J2368)</f>
        <v/>
      </c>
      <c r="K2368" s="82" t="str">
        <f t="shared" si="42"/>
        <v/>
      </c>
    </row>
    <row r="2369" spans="2:11" x14ac:dyDescent="0.35">
      <c r="B2369" s="4" t="str">
        <f>+IF('Data Pura Costos'!B2369="","",'Data Pura Costos'!B2369)</f>
        <v/>
      </c>
      <c r="C2369" s="4" t="str">
        <f>+IF('Data Pura Costos'!C2369="","",'Data Pura Costos'!C2369)</f>
        <v/>
      </c>
      <c r="D2369" s="5" t="str">
        <f>+IF('Data Pura Costos'!D2369="","",'Data Pura Costos'!D2369)</f>
        <v/>
      </c>
      <c r="E2369" s="65" t="str">
        <f>+IF('Data Pura Costos'!E2369="","",IF('Data Pura Costos'!E2369=0,MAX('Data Pura Costos'!$E$7:$E$3000)*1000,'Data Pura Costos'!E2369))</f>
        <v/>
      </c>
      <c r="F2369" s="5" t="str">
        <f>+IF('Data Pura Costos'!F2369="","",'Data Pura Costos'!F2369)</f>
        <v/>
      </c>
      <c r="G2369" s="5" t="str">
        <f>+IF('Data Pura Costos'!G2369="","",'Data Pura Costos'!G2369)</f>
        <v/>
      </c>
      <c r="H2369" s="52" t="str">
        <f>+IF('Data Pura Costos'!H2369="","",'Data Pura Costos'!H2369)</f>
        <v/>
      </c>
      <c r="I2369" s="71" t="str">
        <f>+IF('Data Pura Costos'!I2369="","",'Data Pura Costos'!I2369)</f>
        <v/>
      </c>
      <c r="J2369" s="52" t="str">
        <f>+IF('Data Pura Costos'!J2369="","",'Data Pura Costos'!J2369)</f>
        <v/>
      </c>
      <c r="K2369" s="82" t="str">
        <f t="shared" si="42"/>
        <v/>
      </c>
    </row>
    <row r="2370" spans="2:11" x14ac:dyDescent="0.35">
      <c r="B2370" s="4" t="str">
        <f>+IF('Data Pura Costos'!B2370="","",'Data Pura Costos'!B2370)</f>
        <v/>
      </c>
      <c r="C2370" s="4" t="str">
        <f>+IF('Data Pura Costos'!C2370="","",'Data Pura Costos'!C2370)</f>
        <v/>
      </c>
      <c r="D2370" s="5" t="str">
        <f>+IF('Data Pura Costos'!D2370="","",'Data Pura Costos'!D2370)</f>
        <v/>
      </c>
      <c r="E2370" s="65" t="str">
        <f>+IF('Data Pura Costos'!E2370="","",IF('Data Pura Costos'!E2370=0,MAX('Data Pura Costos'!$E$7:$E$3000)*1000,'Data Pura Costos'!E2370))</f>
        <v/>
      </c>
      <c r="F2370" s="5" t="str">
        <f>+IF('Data Pura Costos'!F2370="","",'Data Pura Costos'!F2370)</f>
        <v/>
      </c>
      <c r="G2370" s="5" t="str">
        <f>+IF('Data Pura Costos'!G2370="","",'Data Pura Costos'!G2370)</f>
        <v/>
      </c>
      <c r="H2370" s="52" t="str">
        <f>+IF('Data Pura Costos'!H2370="","",'Data Pura Costos'!H2370)</f>
        <v/>
      </c>
      <c r="I2370" s="71" t="str">
        <f>+IF('Data Pura Costos'!I2370="","",'Data Pura Costos'!I2370)</f>
        <v/>
      </c>
      <c r="J2370" s="52" t="str">
        <f>+IF('Data Pura Costos'!J2370="","",'Data Pura Costos'!J2370)</f>
        <v/>
      </c>
      <c r="K2370" s="82" t="str">
        <f t="shared" si="42"/>
        <v/>
      </c>
    </row>
    <row r="2371" spans="2:11" x14ac:dyDescent="0.35">
      <c r="B2371" s="4" t="str">
        <f>+IF('Data Pura Costos'!B2371="","",'Data Pura Costos'!B2371)</f>
        <v/>
      </c>
      <c r="C2371" s="4" t="str">
        <f>+IF('Data Pura Costos'!C2371="","",'Data Pura Costos'!C2371)</f>
        <v/>
      </c>
      <c r="D2371" s="5" t="str">
        <f>+IF('Data Pura Costos'!D2371="","",'Data Pura Costos'!D2371)</f>
        <v/>
      </c>
      <c r="E2371" s="65" t="str">
        <f>+IF('Data Pura Costos'!E2371="","",IF('Data Pura Costos'!E2371=0,MAX('Data Pura Costos'!$E$7:$E$3000)*1000,'Data Pura Costos'!E2371))</f>
        <v/>
      </c>
      <c r="F2371" s="5" t="str">
        <f>+IF('Data Pura Costos'!F2371="","",'Data Pura Costos'!F2371)</f>
        <v/>
      </c>
      <c r="G2371" s="5" t="str">
        <f>+IF('Data Pura Costos'!G2371="","",'Data Pura Costos'!G2371)</f>
        <v/>
      </c>
      <c r="H2371" s="52" t="str">
        <f>+IF('Data Pura Costos'!H2371="","",'Data Pura Costos'!H2371)</f>
        <v/>
      </c>
      <c r="I2371" s="71" t="str">
        <f>+IF('Data Pura Costos'!I2371="","",'Data Pura Costos'!I2371)</f>
        <v/>
      </c>
      <c r="J2371" s="52" t="str">
        <f>+IF('Data Pura Costos'!J2371="","",'Data Pura Costos'!J2371)</f>
        <v/>
      </c>
      <c r="K2371" s="82" t="str">
        <f t="shared" si="42"/>
        <v/>
      </c>
    </row>
    <row r="2372" spans="2:11" x14ac:dyDescent="0.35">
      <c r="B2372" s="4" t="str">
        <f>+IF('Data Pura Costos'!B2372="","",'Data Pura Costos'!B2372)</f>
        <v/>
      </c>
      <c r="C2372" s="4" t="str">
        <f>+IF('Data Pura Costos'!C2372="","",'Data Pura Costos'!C2372)</f>
        <v/>
      </c>
      <c r="D2372" s="5" t="str">
        <f>+IF('Data Pura Costos'!D2372="","",'Data Pura Costos'!D2372)</f>
        <v/>
      </c>
      <c r="E2372" s="65" t="str">
        <f>+IF('Data Pura Costos'!E2372="","",IF('Data Pura Costos'!E2372=0,MAX('Data Pura Costos'!$E$7:$E$3000)*1000,'Data Pura Costos'!E2372))</f>
        <v/>
      </c>
      <c r="F2372" s="5" t="str">
        <f>+IF('Data Pura Costos'!F2372="","",'Data Pura Costos'!F2372)</f>
        <v/>
      </c>
      <c r="G2372" s="5" t="str">
        <f>+IF('Data Pura Costos'!G2372="","",'Data Pura Costos'!G2372)</f>
        <v/>
      </c>
      <c r="H2372" s="52" t="str">
        <f>+IF('Data Pura Costos'!H2372="","",'Data Pura Costos'!H2372)</f>
        <v/>
      </c>
      <c r="I2372" s="71" t="str">
        <f>+IF('Data Pura Costos'!I2372="","",'Data Pura Costos'!I2372)</f>
        <v/>
      </c>
      <c r="J2372" s="52" t="str">
        <f>+IF('Data Pura Costos'!J2372="","",'Data Pura Costos'!J2372)</f>
        <v/>
      </c>
      <c r="K2372" s="82" t="str">
        <f t="shared" si="42"/>
        <v/>
      </c>
    </row>
    <row r="2373" spans="2:11" x14ac:dyDescent="0.35">
      <c r="B2373" s="4" t="str">
        <f>+IF('Data Pura Costos'!B2373="","",'Data Pura Costos'!B2373)</f>
        <v/>
      </c>
      <c r="C2373" s="4" t="str">
        <f>+IF('Data Pura Costos'!C2373="","",'Data Pura Costos'!C2373)</f>
        <v/>
      </c>
      <c r="D2373" s="5" t="str">
        <f>+IF('Data Pura Costos'!D2373="","",'Data Pura Costos'!D2373)</f>
        <v/>
      </c>
      <c r="E2373" s="65" t="str">
        <f>+IF('Data Pura Costos'!E2373="","",IF('Data Pura Costos'!E2373=0,MAX('Data Pura Costos'!$E$7:$E$3000)*1000,'Data Pura Costos'!E2373))</f>
        <v/>
      </c>
      <c r="F2373" s="5" t="str">
        <f>+IF('Data Pura Costos'!F2373="","",'Data Pura Costos'!F2373)</f>
        <v/>
      </c>
      <c r="G2373" s="5" t="str">
        <f>+IF('Data Pura Costos'!G2373="","",'Data Pura Costos'!G2373)</f>
        <v/>
      </c>
      <c r="H2373" s="52" t="str">
        <f>+IF('Data Pura Costos'!H2373="","",'Data Pura Costos'!H2373)</f>
        <v/>
      </c>
      <c r="I2373" s="71" t="str">
        <f>+IF('Data Pura Costos'!I2373="","",'Data Pura Costos'!I2373)</f>
        <v/>
      </c>
      <c r="J2373" s="52" t="str">
        <f>+IF('Data Pura Costos'!J2373="","",'Data Pura Costos'!J2373)</f>
        <v/>
      </c>
      <c r="K2373" s="82" t="str">
        <f t="shared" si="42"/>
        <v/>
      </c>
    </row>
    <row r="2374" spans="2:11" x14ac:dyDescent="0.35">
      <c r="B2374" s="4" t="str">
        <f>+IF('Data Pura Costos'!B2374="","",'Data Pura Costos'!B2374)</f>
        <v/>
      </c>
      <c r="C2374" s="4" t="str">
        <f>+IF('Data Pura Costos'!C2374="","",'Data Pura Costos'!C2374)</f>
        <v/>
      </c>
      <c r="D2374" s="5" t="str">
        <f>+IF('Data Pura Costos'!D2374="","",'Data Pura Costos'!D2374)</f>
        <v/>
      </c>
      <c r="E2374" s="65" t="str">
        <f>+IF('Data Pura Costos'!E2374="","",IF('Data Pura Costos'!E2374=0,MAX('Data Pura Costos'!$E$7:$E$3000)*1000,'Data Pura Costos'!E2374))</f>
        <v/>
      </c>
      <c r="F2374" s="5" t="str">
        <f>+IF('Data Pura Costos'!F2374="","",'Data Pura Costos'!F2374)</f>
        <v/>
      </c>
      <c r="G2374" s="5" t="str">
        <f>+IF('Data Pura Costos'!G2374="","",'Data Pura Costos'!G2374)</f>
        <v/>
      </c>
      <c r="H2374" s="52" t="str">
        <f>+IF('Data Pura Costos'!H2374="","",'Data Pura Costos'!H2374)</f>
        <v/>
      </c>
      <c r="I2374" s="71" t="str">
        <f>+IF('Data Pura Costos'!I2374="","",'Data Pura Costos'!I2374)</f>
        <v/>
      </c>
      <c r="J2374" s="52" t="str">
        <f>+IF('Data Pura Costos'!J2374="","",'Data Pura Costos'!J2374)</f>
        <v/>
      </c>
      <c r="K2374" s="82" t="str">
        <f t="shared" si="42"/>
        <v/>
      </c>
    </row>
    <row r="2375" spans="2:11" x14ac:dyDescent="0.35">
      <c r="B2375" s="4" t="str">
        <f>+IF('Data Pura Costos'!B2375="","",'Data Pura Costos'!B2375)</f>
        <v/>
      </c>
      <c r="C2375" s="4" t="str">
        <f>+IF('Data Pura Costos'!C2375="","",'Data Pura Costos'!C2375)</f>
        <v/>
      </c>
      <c r="D2375" s="5" t="str">
        <f>+IF('Data Pura Costos'!D2375="","",'Data Pura Costos'!D2375)</f>
        <v/>
      </c>
      <c r="E2375" s="65" t="str">
        <f>+IF('Data Pura Costos'!E2375="","",IF('Data Pura Costos'!E2375=0,MAX('Data Pura Costos'!$E$7:$E$3000)*1000,'Data Pura Costos'!E2375))</f>
        <v/>
      </c>
      <c r="F2375" s="5" t="str">
        <f>+IF('Data Pura Costos'!F2375="","",'Data Pura Costos'!F2375)</f>
        <v/>
      </c>
      <c r="G2375" s="5" t="str">
        <f>+IF('Data Pura Costos'!G2375="","",'Data Pura Costos'!G2375)</f>
        <v/>
      </c>
      <c r="H2375" s="52" t="str">
        <f>+IF('Data Pura Costos'!H2375="","",'Data Pura Costos'!H2375)</f>
        <v/>
      </c>
      <c r="I2375" s="71" t="str">
        <f>+IF('Data Pura Costos'!I2375="","",'Data Pura Costos'!I2375)</f>
        <v/>
      </c>
      <c r="J2375" s="52" t="str">
        <f>+IF('Data Pura Costos'!J2375="","",'Data Pura Costos'!J2375)</f>
        <v/>
      </c>
      <c r="K2375" s="82" t="str">
        <f t="shared" si="42"/>
        <v/>
      </c>
    </row>
    <row r="2376" spans="2:11" x14ac:dyDescent="0.35">
      <c r="B2376" s="4" t="str">
        <f>+IF('Data Pura Costos'!B2376="","",'Data Pura Costos'!B2376)</f>
        <v/>
      </c>
      <c r="C2376" s="4" t="str">
        <f>+IF('Data Pura Costos'!C2376="","",'Data Pura Costos'!C2376)</f>
        <v/>
      </c>
      <c r="D2376" s="5" t="str">
        <f>+IF('Data Pura Costos'!D2376="","",'Data Pura Costos'!D2376)</f>
        <v/>
      </c>
      <c r="E2376" s="65" t="str">
        <f>+IF('Data Pura Costos'!E2376="","",IF('Data Pura Costos'!E2376=0,MAX('Data Pura Costos'!$E$7:$E$3000)*1000,'Data Pura Costos'!E2376))</f>
        <v/>
      </c>
      <c r="F2376" s="5" t="str">
        <f>+IF('Data Pura Costos'!F2376="","",'Data Pura Costos'!F2376)</f>
        <v/>
      </c>
      <c r="G2376" s="5" t="str">
        <f>+IF('Data Pura Costos'!G2376="","",'Data Pura Costos'!G2376)</f>
        <v/>
      </c>
      <c r="H2376" s="52" t="str">
        <f>+IF('Data Pura Costos'!H2376="","",'Data Pura Costos'!H2376)</f>
        <v/>
      </c>
      <c r="I2376" s="71" t="str">
        <f>+IF('Data Pura Costos'!I2376="","",'Data Pura Costos'!I2376)</f>
        <v/>
      </c>
      <c r="J2376" s="52" t="str">
        <f>+IF('Data Pura Costos'!J2376="","",'Data Pura Costos'!J2376)</f>
        <v/>
      </c>
      <c r="K2376" s="82" t="str">
        <f t="shared" si="42"/>
        <v/>
      </c>
    </row>
    <row r="2377" spans="2:11" x14ac:dyDescent="0.35">
      <c r="B2377" s="4" t="str">
        <f>+IF('Data Pura Costos'!B2377="","",'Data Pura Costos'!B2377)</f>
        <v/>
      </c>
      <c r="C2377" s="4" t="str">
        <f>+IF('Data Pura Costos'!C2377="","",'Data Pura Costos'!C2377)</f>
        <v/>
      </c>
      <c r="D2377" s="5" t="str">
        <f>+IF('Data Pura Costos'!D2377="","",'Data Pura Costos'!D2377)</f>
        <v/>
      </c>
      <c r="E2377" s="65" t="str">
        <f>+IF('Data Pura Costos'!E2377="","",IF('Data Pura Costos'!E2377=0,MAX('Data Pura Costos'!$E$7:$E$3000)*1000,'Data Pura Costos'!E2377))</f>
        <v/>
      </c>
      <c r="F2377" s="5" t="str">
        <f>+IF('Data Pura Costos'!F2377="","",'Data Pura Costos'!F2377)</f>
        <v/>
      </c>
      <c r="G2377" s="5" t="str">
        <f>+IF('Data Pura Costos'!G2377="","",'Data Pura Costos'!G2377)</f>
        <v/>
      </c>
      <c r="H2377" s="52" t="str">
        <f>+IF('Data Pura Costos'!H2377="","",'Data Pura Costos'!H2377)</f>
        <v/>
      </c>
      <c r="I2377" s="71" t="str">
        <f>+IF('Data Pura Costos'!I2377="","",'Data Pura Costos'!I2377)</f>
        <v/>
      </c>
      <c r="J2377" s="52" t="str">
        <f>+IF('Data Pura Costos'!J2377="","",'Data Pura Costos'!J2377)</f>
        <v/>
      </c>
      <c r="K2377" s="82" t="str">
        <f t="shared" si="42"/>
        <v/>
      </c>
    </row>
    <row r="2378" spans="2:11" x14ac:dyDescent="0.35">
      <c r="B2378" s="4" t="str">
        <f>+IF('Data Pura Costos'!B2378="","",'Data Pura Costos'!B2378)</f>
        <v/>
      </c>
      <c r="C2378" s="4" t="str">
        <f>+IF('Data Pura Costos'!C2378="","",'Data Pura Costos'!C2378)</f>
        <v/>
      </c>
      <c r="D2378" s="5" t="str">
        <f>+IF('Data Pura Costos'!D2378="","",'Data Pura Costos'!D2378)</f>
        <v/>
      </c>
      <c r="E2378" s="65" t="str">
        <f>+IF('Data Pura Costos'!E2378="","",IF('Data Pura Costos'!E2378=0,MAX('Data Pura Costos'!$E$7:$E$3000)*1000,'Data Pura Costos'!E2378))</f>
        <v/>
      </c>
      <c r="F2378" s="5" t="str">
        <f>+IF('Data Pura Costos'!F2378="","",'Data Pura Costos'!F2378)</f>
        <v/>
      </c>
      <c r="G2378" s="5" t="str">
        <f>+IF('Data Pura Costos'!G2378="","",'Data Pura Costos'!G2378)</f>
        <v/>
      </c>
      <c r="H2378" s="52" t="str">
        <f>+IF('Data Pura Costos'!H2378="","",'Data Pura Costos'!H2378)</f>
        <v/>
      </c>
      <c r="I2378" s="71" t="str">
        <f>+IF('Data Pura Costos'!I2378="","",'Data Pura Costos'!I2378)</f>
        <v/>
      </c>
      <c r="J2378" s="52" t="str">
        <f>+IF('Data Pura Costos'!J2378="","",'Data Pura Costos'!J2378)</f>
        <v/>
      </c>
      <c r="K2378" s="82" t="str">
        <f t="shared" si="42"/>
        <v/>
      </c>
    </row>
    <row r="2379" spans="2:11" x14ac:dyDescent="0.35">
      <c r="B2379" s="4" t="str">
        <f>+IF('Data Pura Costos'!B2379="","",'Data Pura Costos'!B2379)</f>
        <v/>
      </c>
      <c r="C2379" s="4" t="str">
        <f>+IF('Data Pura Costos'!C2379="","",'Data Pura Costos'!C2379)</f>
        <v/>
      </c>
      <c r="D2379" s="5" t="str">
        <f>+IF('Data Pura Costos'!D2379="","",'Data Pura Costos'!D2379)</f>
        <v/>
      </c>
      <c r="E2379" s="65" t="str">
        <f>+IF('Data Pura Costos'!E2379="","",IF('Data Pura Costos'!E2379=0,MAX('Data Pura Costos'!$E$7:$E$3000)*1000,'Data Pura Costos'!E2379))</f>
        <v/>
      </c>
      <c r="F2379" s="5" t="str">
        <f>+IF('Data Pura Costos'!F2379="","",'Data Pura Costos'!F2379)</f>
        <v/>
      </c>
      <c r="G2379" s="5" t="str">
        <f>+IF('Data Pura Costos'!G2379="","",'Data Pura Costos'!G2379)</f>
        <v/>
      </c>
      <c r="H2379" s="52" t="str">
        <f>+IF('Data Pura Costos'!H2379="","",'Data Pura Costos'!H2379)</f>
        <v/>
      </c>
      <c r="I2379" s="71" t="str">
        <f>+IF('Data Pura Costos'!I2379="","",'Data Pura Costos'!I2379)</f>
        <v/>
      </c>
      <c r="J2379" s="52" t="str">
        <f>+IF('Data Pura Costos'!J2379="","",'Data Pura Costos'!J2379)</f>
        <v/>
      </c>
      <c r="K2379" s="82" t="str">
        <f t="shared" si="42"/>
        <v/>
      </c>
    </row>
    <row r="2380" spans="2:11" x14ac:dyDescent="0.35">
      <c r="B2380" s="4" t="str">
        <f>+IF('Data Pura Costos'!B2380="","",'Data Pura Costos'!B2380)</f>
        <v/>
      </c>
      <c r="C2380" s="4" t="str">
        <f>+IF('Data Pura Costos'!C2380="","",'Data Pura Costos'!C2380)</f>
        <v/>
      </c>
      <c r="D2380" s="5" t="str">
        <f>+IF('Data Pura Costos'!D2380="","",'Data Pura Costos'!D2380)</f>
        <v/>
      </c>
      <c r="E2380" s="65" t="str">
        <f>+IF('Data Pura Costos'!E2380="","",IF('Data Pura Costos'!E2380=0,MAX('Data Pura Costos'!$E$7:$E$3000)*1000,'Data Pura Costos'!E2380))</f>
        <v/>
      </c>
      <c r="F2380" s="5" t="str">
        <f>+IF('Data Pura Costos'!F2380="","",'Data Pura Costos'!F2380)</f>
        <v/>
      </c>
      <c r="G2380" s="5" t="str">
        <f>+IF('Data Pura Costos'!G2380="","",'Data Pura Costos'!G2380)</f>
        <v/>
      </c>
      <c r="H2380" s="52" t="str">
        <f>+IF('Data Pura Costos'!H2380="","",'Data Pura Costos'!H2380)</f>
        <v/>
      </c>
      <c r="I2380" s="71" t="str">
        <f>+IF('Data Pura Costos'!I2380="","",'Data Pura Costos'!I2380)</f>
        <v/>
      </c>
      <c r="J2380" s="52" t="str">
        <f>+IF('Data Pura Costos'!J2380="","",'Data Pura Costos'!J2380)</f>
        <v/>
      </c>
      <c r="K2380" s="82" t="str">
        <f t="shared" si="42"/>
        <v/>
      </c>
    </row>
    <row r="2381" spans="2:11" x14ac:dyDescent="0.35">
      <c r="B2381" s="4" t="str">
        <f>+IF('Data Pura Costos'!B2381="","",'Data Pura Costos'!B2381)</f>
        <v/>
      </c>
      <c r="C2381" s="4" t="str">
        <f>+IF('Data Pura Costos'!C2381="","",'Data Pura Costos'!C2381)</f>
        <v/>
      </c>
      <c r="D2381" s="5" t="str">
        <f>+IF('Data Pura Costos'!D2381="","",'Data Pura Costos'!D2381)</f>
        <v/>
      </c>
      <c r="E2381" s="65" t="str">
        <f>+IF('Data Pura Costos'!E2381="","",IF('Data Pura Costos'!E2381=0,MAX('Data Pura Costos'!$E$7:$E$3000)*1000,'Data Pura Costos'!E2381))</f>
        <v/>
      </c>
      <c r="F2381" s="5" t="str">
        <f>+IF('Data Pura Costos'!F2381="","",'Data Pura Costos'!F2381)</f>
        <v/>
      </c>
      <c r="G2381" s="5" t="str">
        <f>+IF('Data Pura Costos'!G2381="","",'Data Pura Costos'!G2381)</f>
        <v/>
      </c>
      <c r="H2381" s="52" t="str">
        <f>+IF('Data Pura Costos'!H2381="","",'Data Pura Costos'!H2381)</f>
        <v/>
      </c>
      <c r="I2381" s="71" t="str">
        <f>+IF('Data Pura Costos'!I2381="","",'Data Pura Costos'!I2381)</f>
        <v/>
      </c>
      <c r="J2381" s="52" t="str">
        <f>+IF('Data Pura Costos'!J2381="","",'Data Pura Costos'!J2381)</f>
        <v/>
      </c>
      <c r="K2381" s="82" t="str">
        <f t="shared" si="42"/>
        <v/>
      </c>
    </row>
    <row r="2382" spans="2:11" x14ac:dyDescent="0.35">
      <c r="B2382" s="4" t="str">
        <f>+IF('Data Pura Costos'!B2382="","",'Data Pura Costos'!B2382)</f>
        <v/>
      </c>
      <c r="C2382" s="4" t="str">
        <f>+IF('Data Pura Costos'!C2382="","",'Data Pura Costos'!C2382)</f>
        <v/>
      </c>
      <c r="D2382" s="5" t="str">
        <f>+IF('Data Pura Costos'!D2382="","",'Data Pura Costos'!D2382)</f>
        <v/>
      </c>
      <c r="E2382" s="65" t="str">
        <f>+IF('Data Pura Costos'!E2382="","",IF('Data Pura Costos'!E2382=0,MAX('Data Pura Costos'!$E$7:$E$3000)*1000,'Data Pura Costos'!E2382))</f>
        <v/>
      </c>
      <c r="F2382" s="5" t="str">
        <f>+IF('Data Pura Costos'!F2382="","",'Data Pura Costos'!F2382)</f>
        <v/>
      </c>
      <c r="G2382" s="5" t="str">
        <f>+IF('Data Pura Costos'!G2382="","",'Data Pura Costos'!G2382)</f>
        <v/>
      </c>
      <c r="H2382" s="52" t="str">
        <f>+IF('Data Pura Costos'!H2382="","",'Data Pura Costos'!H2382)</f>
        <v/>
      </c>
      <c r="I2382" s="71" t="str">
        <f>+IF('Data Pura Costos'!I2382="","",'Data Pura Costos'!I2382)</f>
        <v/>
      </c>
      <c r="J2382" s="52" t="str">
        <f>+IF('Data Pura Costos'!J2382="","",'Data Pura Costos'!J2382)</f>
        <v/>
      </c>
      <c r="K2382" s="82" t="str">
        <f t="shared" si="42"/>
        <v/>
      </c>
    </row>
    <row r="2383" spans="2:11" x14ac:dyDescent="0.35">
      <c r="B2383" s="4" t="str">
        <f>+IF('Data Pura Costos'!B2383="","",'Data Pura Costos'!B2383)</f>
        <v/>
      </c>
      <c r="C2383" s="4" t="str">
        <f>+IF('Data Pura Costos'!C2383="","",'Data Pura Costos'!C2383)</f>
        <v/>
      </c>
      <c r="D2383" s="5" t="str">
        <f>+IF('Data Pura Costos'!D2383="","",'Data Pura Costos'!D2383)</f>
        <v/>
      </c>
      <c r="E2383" s="65" t="str">
        <f>+IF('Data Pura Costos'!E2383="","",IF('Data Pura Costos'!E2383=0,MAX('Data Pura Costos'!$E$7:$E$3000)*1000,'Data Pura Costos'!E2383))</f>
        <v/>
      </c>
      <c r="F2383" s="5" t="str">
        <f>+IF('Data Pura Costos'!F2383="","",'Data Pura Costos'!F2383)</f>
        <v/>
      </c>
      <c r="G2383" s="5" t="str">
        <f>+IF('Data Pura Costos'!G2383="","",'Data Pura Costos'!G2383)</f>
        <v/>
      </c>
      <c r="H2383" s="52" t="str">
        <f>+IF('Data Pura Costos'!H2383="","",'Data Pura Costos'!H2383)</f>
        <v/>
      </c>
      <c r="I2383" s="71" t="str">
        <f>+IF('Data Pura Costos'!I2383="","",'Data Pura Costos'!I2383)</f>
        <v/>
      </c>
      <c r="J2383" s="52" t="str">
        <f>+IF('Data Pura Costos'!J2383="","",'Data Pura Costos'!J2383)</f>
        <v/>
      </c>
      <c r="K2383" s="82" t="str">
        <f t="shared" si="42"/>
        <v/>
      </c>
    </row>
    <row r="2384" spans="2:11" x14ac:dyDescent="0.35">
      <c r="B2384" s="4" t="str">
        <f>+IF('Data Pura Costos'!B2384="","",'Data Pura Costos'!B2384)</f>
        <v/>
      </c>
      <c r="C2384" s="4" t="str">
        <f>+IF('Data Pura Costos'!C2384="","",'Data Pura Costos'!C2384)</f>
        <v/>
      </c>
      <c r="D2384" s="5" t="str">
        <f>+IF('Data Pura Costos'!D2384="","",'Data Pura Costos'!D2384)</f>
        <v/>
      </c>
      <c r="E2384" s="65" t="str">
        <f>+IF('Data Pura Costos'!E2384="","",IF('Data Pura Costos'!E2384=0,MAX('Data Pura Costos'!$E$7:$E$3000)*1000,'Data Pura Costos'!E2384))</f>
        <v/>
      </c>
      <c r="F2384" s="5" t="str">
        <f>+IF('Data Pura Costos'!F2384="","",'Data Pura Costos'!F2384)</f>
        <v/>
      </c>
      <c r="G2384" s="5" t="str">
        <f>+IF('Data Pura Costos'!G2384="","",'Data Pura Costos'!G2384)</f>
        <v/>
      </c>
      <c r="H2384" s="52" t="str">
        <f>+IF('Data Pura Costos'!H2384="","",'Data Pura Costos'!H2384)</f>
        <v/>
      </c>
      <c r="I2384" s="71" t="str">
        <f>+IF('Data Pura Costos'!I2384="","",'Data Pura Costos'!I2384)</f>
        <v/>
      </c>
      <c r="J2384" s="52" t="str">
        <f>+IF('Data Pura Costos'!J2384="","",'Data Pura Costos'!J2384)</f>
        <v/>
      </c>
      <c r="K2384" s="82" t="str">
        <f t="shared" si="42"/>
        <v/>
      </c>
    </row>
    <row r="2385" spans="2:11" x14ac:dyDescent="0.35">
      <c r="B2385" s="4" t="str">
        <f>+IF('Data Pura Costos'!B2385="","",'Data Pura Costos'!B2385)</f>
        <v/>
      </c>
      <c r="C2385" s="4" t="str">
        <f>+IF('Data Pura Costos'!C2385="","",'Data Pura Costos'!C2385)</f>
        <v/>
      </c>
      <c r="D2385" s="5" t="str">
        <f>+IF('Data Pura Costos'!D2385="","",'Data Pura Costos'!D2385)</f>
        <v/>
      </c>
      <c r="E2385" s="65" t="str">
        <f>+IF('Data Pura Costos'!E2385="","",IF('Data Pura Costos'!E2385=0,MAX('Data Pura Costos'!$E$7:$E$3000)*1000,'Data Pura Costos'!E2385))</f>
        <v/>
      </c>
      <c r="F2385" s="5" t="str">
        <f>+IF('Data Pura Costos'!F2385="","",'Data Pura Costos'!F2385)</f>
        <v/>
      </c>
      <c r="G2385" s="5" t="str">
        <f>+IF('Data Pura Costos'!G2385="","",'Data Pura Costos'!G2385)</f>
        <v/>
      </c>
      <c r="H2385" s="52" t="str">
        <f>+IF('Data Pura Costos'!H2385="","",'Data Pura Costos'!H2385)</f>
        <v/>
      </c>
      <c r="I2385" s="71" t="str">
        <f>+IF('Data Pura Costos'!I2385="","",'Data Pura Costos'!I2385)</f>
        <v/>
      </c>
      <c r="J2385" s="52" t="str">
        <f>+IF('Data Pura Costos'!J2385="","",'Data Pura Costos'!J2385)</f>
        <v/>
      </c>
      <c r="K2385" s="82" t="str">
        <f t="shared" si="42"/>
        <v/>
      </c>
    </row>
    <row r="2386" spans="2:11" x14ac:dyDescent="0.35">
      <c r="B2386" s="4" t="str">
        <f>+IF('Data Pura Costos'!B2386="","",'Data Pura Costos'!B2386)</f>
        <v/>
      </c>
      <c r="C2386" s="4" t="str">
        <f>+IF('Data Pura Costos'!C2386="","",'Data Pura Costos'!C2386)</f>
        <v/>
      </c>
      <c r="D2386" s="5" t="str">
        <f>+IF('Data Pura Costos'!D2386="","",'Data Pura Costos'!D2386)</f>
        <v/>
      </c>
      <c r="E2386" s="65" t="str">
        <f>+IF('Data Pura Costos'!E2386="","",IF('Data Pura Costos'!E2386=0,MAX('Data Pura Costos'!$E$7:$E$3000)*1000,'Data Pura Costos'!E2386))</f>
        <v/>
      </c>
      <c r="F2386" s="5" t="str">
        <f>+IF('Data Pura Costos'!F2386="","",'Data Pura Costos'!F2386)</f>
        <v/>
      </c>
      <c r="G2386" s="5" t="str">
        <f>+IF('Data Pura Costos'!G2386="","",'Data Pura Costos'!G2386)</f>
        <v/>
      </c>
      <c r="H2386" s="52" t="str">
        <f>+IF('Data Pura Costos'!H2386="","",'Data Pura Costos'!H2386)</f>
        <v/>
      </c>
      <c r="I2386" s="71" t="str">
        <f>+IF('Data Pura Costos'!I2386="","",'Data Pura Costos'!I2386)</f>
        <v/>
      </c>
      <c r="J2386" s="52" t="str">
        <f>+IF('Data Pura Costos'!J2386="","",'Data Pura Costos'!J2386)</f>
        <v/>
      </c>
      <c r="K2386" s="82" t="str">
        <f t="shared" si="42"/>
        <v/>
      </c>
    </row>
    <row r="2387" spans="2:11" x14ac:dyDescent="0.35">
      <c r="B2387" s="4" t="str">
        <f>+IF('Data Pura Costos'!B2387="","",'Data Pura Costos'!B2387)</f>
        <v/>
      </c>
      <c r="C2387" s="4" t="str">
        <f>+IF('Data Pura Costos'!C2387="","",'Data Pura Costos'!C2387)</f>
        <v/>
      </c>
      <c r="D2387" s="5" t="str">
        <f>+IF('Data Pura Costos'!D2387="","",'Data Pura Costos'!D2387)</f>
        <v/>
      </c>
      <c r="E2387" s="65" t="str">
        <f>+IF('Data Pura Costos'!E2387="","",IF('Data Pura Costos'!E2387=0,MAX('Data Pura Costos'!$E$7:$E$3000)*1000,'Data Pura Costos'!E2387))</f>
        <v/>
      </c>
      <c r="F2387" s="5" t="str">
        <f>+IF('Data Pura Costos'!F2387="","",'Data Pura Costos'!F2387)</f>
        <v/>
      </c>
      <c r="G2387" s="5" t="str">
        <f>+IF('Data Pura Costos'!G2387="","",'Data Pura Costos'!G2387)</f>
        <v/>
      </c>
      <c r="H2387" s="52" t="str">
        <f>+IF('Data Pura Costos'!H2387="","",'Data Pura Costos'!H2387)</f>
        <v/>
      </c>
      <c r="I2387" s="71" t="str">
        <f>+IF('Data Pura Costos'!I2387="","",'Data Pura Costos'!I2387)</f>
        <v/>
      </c>
      <c r="J2387" s="52" t="str">
        <f>+IF('Data Pura Costos'!J2387="","",'Data Pura Costos'!J2387)</f>
        <v/>
      </c>
      <c r="K2387" s="82" t="str">
        <f t="shared" si="42"/>
        <v/>
      </c>
    </row>
    <row r="2388" spans="2:11" x14ac:dyDescent="0.35">
      <c r="B2388" s="4" t="str">
        <f>+IF('Data Pura Costos'!B2388="","",'Data Pura Costos'!B2388)</f>
        <v/>
      </c>
      <c r="C2388" s="4" t="str">
        <f>+IF('Data Pura Costos'!C2388="","",'Data Pura Costos'!C2388)</f>
        <v/>
      </c>
      <c r="D2388" s="5" t="str">
        <f>+IF('Data Pura Costos'!D2388="","",'Data Pura Costos'!D2388)</f>
        <v/>
      </c>
      <c r="E2388" s="65" t="str">
        <f>+IF('Data Pura Costos'!E2388="","",IF('Data Pura Costos'!E2388=0,MAX('Data Pura Costos'!$E$7:$E$3000)*1000,'Data Pura Costos'!E2388))</f>
        <v/>
      </c>
      <c r="F2388" s="5" t="str">
        <f>+IF('Data Pura Costos'!F2388="","",'Data Pura Costos'!F2388)</f>
        <v/>
      </c>
      <c r="G2388" s="5" t="str">
        <f>+IF('Data Pura Costos'!G2388="","",'Data Pura Costos'!G2388)</f>
        <v/>
      </c>
      <c r="H2388" s="52" t="str">
        <f>+IF('Data Pura Costos'!H2388="","",'Data Pura Costos'!H2388)</f>
        <v/>
      </c>
      <c r="I2388" s="71" t="str">
        <f>+IF('Data Pura Costos'!I2388="","",'Data Pura Costos'!I2388)</f>
        <v/>
      </c>
      <c r="J2388" s="52" t="str">
        <f>+IF('Data Pura Costos'!J2388="","",'Data Pura Costos'!J2388)</f>
        <v/>
      </c>
      <c r="K2388" s="82" t="str">
        <f t="shared" si="42"/>
        <v/>
      </c>
    </row>
    <row r="2389" spans="2:11" x14ac:dyDescent="0.35">
      <c r="B2389" s="4" t="str">
        <f>+IF('Data Pura Costos'!B2389="","",'Data Pura Costos'!B2389)</f>
        <v/>
      </c>
      <c r="C2389" s="4" t="str">
        <f>+IF('Data Pura Costos'!C2389="","",'Data Pura Costos'!C2389)</f>
        <v/>
      </c>
      <c r="D2389" s="5" t="str">
        <f>+IF('Data Pura Costos'!D2389="","",'Data Pura Costos'!D2389)</f>
        <v/>
      </c>
      <c r="E2389" s="65" t="str">
        <f>+IF('Data Pura Costos'!E2389="","",IF('Data Pura Costos'!E2389=0,MAX('Data Pura Costos'!$E$7:$E$3000)*1000,'Data Pura Costos'!E2389))</f>
        <v/>
      </c>
      <c r="F2389" s="5" t="str">
        <f>+IF('Data Pura Costos'!F2389="","",'Data Pura Costos'!F2389)</f>
        <v/>
      </c>
      <c r="G2389" s="5" t="str">
        <f>+IF('Data Pura Costos'!G2389="","",'Data Pura Costos'!G2389)</f>
        <v/>
      </c>
      <c r="H2389" s="52" t="str">
        <f>+IF('Data Pura Costos'!H2389="","",'Data Pura Costos'!H2389)</f>
        <v/>
      </c>
      <c r="I2389" s="71" t="str">
        <f>+IF('Data Pura Costos'!I2389="","",'Data Pura Costos'!I2389)</f>
        <v/>
      </c>
      <c r="J2389" s="52" t="str">
        <f>+IF('Data Pura Costos'!J2389="","",'Data Pura Costos'!J2389)</f>
        <v/>
      </c>
      <c r="K2389" s="82" t="str">
        <f t="shared" si="42"/>
        <v/>
      </c>
    </row>
    <row r="2390" spans="2:11" x14ac:dyDescent="0.35">
      <c r="B2390" s="4" t="str">
        <f>+IF('Data Pura Costos'!B2390="","",'Data Pura Costos'!B2390)</f>
        <v/>
      </c>
      <c r="C2390" s="4" t="str">
        <f>+IF('Data Pura Costos'!C2390="","",'Data Pura Costos'!C2390)</f>
        <v/>
      </c>
      <c r="D2390" s="5" t="str">
        <f>+IF('Data Pura Costos'!D2390="","",'Data Pura Costos'!D2390)</f>
        <v/>
      </c>
      <c r="E2390" s="65" t="str">
        <f>+IF('Data Pura Costos'!E2390="","",IF('Data Pura Costos'!E2390=0,MAX('Data Pura Costos'!$E$7:$E$3000)*1000,'Data Pura Costos'!E2390))</f>
        <v/>
      </c>
      <c r="F2390" s="5" t="str">
        <f>+IF('Data Pura Costos'!F2390="","",'Data Pura Costos'!F2390)</f>
        <v/>
      </c>
      <c r="G2390" s="5" t="str">
        <f>+IF('Data Pura Costos'!G2390="","",'Data Pura Costos'!G2390)</f>
        <v/>
      </c>
      <c r="H2390" s="52" t="str">
        <f>+IF('Data Pura Costos'!H2390="","",'Data Pura Costos'!H2390)</f>
        <v/>
      </c>
      <c r="I2390" s="71" t="str">
        <f>+IF('Data Pura Costos'!I2390="","",'Data Pura Costos'!I2390)</f>
        <v/>
      </c>
      <c r="J2390" s="52" t="str">
        <f>+IF('Data Pura Costos'!J2390="","",'Data Pura Costos'!J2390)</f>
        <v/>
      </c>
      <c r="K2390" s="82" t="str">
        <f t="shared" si="42"/>
        <v/>
      </c>
    </row>
    <row r="2391" spans="2:11" x14ac:dyDescent="0.35">
      <c r="B2391" s="4" t="str">
        <f>+IF('Data Pura Costos'!B2391="","",'Data Pura Costos'!B2391)</f>
        <v/>
      </c>
      <c r="C2391" s="4" t="str">
        <f>+IF('Data Pura Costos'!C2391="","",'Data Pura Costos'!C2391)</f>
        <v/>
      </c>
      <c r="D2391" s="5" t="str">
        <f>+IF('Data Pura Costos'!D2391="","",'Data Pura Costos'!D2391)</f>
        <v/>
      </c>
      <c r="E2391" s="65" t="str">
        <f>+IF('Data Pura Costos'!E2391="","",IF('Data Pura Costos'!E2391=0,MAX('Data Pura Costos'!$E$7:$E$3000)*1000,'Data Pura Costos'!E2391))</f>
        <v/>
      </c>
      <c r="F2391" s="5" t="str">
        <f>+IF('Data Pura Costos'!F2391="","",'Data Pura Costos'!F2391)</f>
        <v/>
      </c>
      <c r="G2391" s="5" t="str">
        <f>+IF('Data Pura Costos'!G2391="","",'Data Pura Costos'!G2391)</f>
        <v/>
      </c>
      <c r="H2391" s="52" t="str">
        <f>+IF('Data Pura Costos'!H2391="","",'Data Pura Costos'!H2391)</f>
        <v/>
      </c>
      <c r="I2391" s="71" t="str">
        <f>+IF('Data Pura Costos'!I2391="","",'Data Pura Costos'!I2391)</f>
        <v/>
      </c>
      <c r="J2391" s="52" t="str">
        <f>+IF('Data Pura Costos'!J2391="","",'Data Pura Costos'!J2391)</f>
        <v/>
      </c>
      <c r="K2391" s="82" t="str">
        <f t="shared" si="42"/>
        <v/>
      </c>
    </row>
    <row r="2392" spans="2:11" x14ac:dyDescent="0.35">
      <c r="B2392" s="4" t="str">
        <f>+IF('Data Pura Costos'!B2392="","",'Data Pura Costos'!B2392)</f>
        <v/>
      </c>
      <c r="C2392" s="4" t="str">
        <f>+IF('Data Pura Costos'!C2392="","",'Data Pura Costos'!C2392)</f>
        <v/>
      </c>
      <c r="D2392" s="5" t="str">
        <f>+IF('Data Pura Costos'!D2392="","",'Data Pura Costos'!D2392)</f>
        <v/>
      </c>
      <c r="E2392" s="65" t="str">
        <f>+IF('Data Pura Costos'!E2392="","",IF('Data Pura Costos'!E2392=0,MAX('Data Pura Costos'!$E$7:$E$3000)*1000,'Data Pura Costos'!E2392))</f>
        <v/>
      </c>
      <c r="F2392" s="5" t="str">
        <f>+IF('Data Pura Costos'!F2392="","",'Data Pura Costos'!F2392)</f>
        <v/>
      </c>
      <c r="G2392" s="5" t="str">
        <f>+IF('Data Pura Costos'!G2392="","",'Data Pura Costos'!G2392)</f>
        <v/>
      </c>
      <c r="H2392" s="52" t="str">
        <f>+IF('Data Pura Costos'!H2392="","",'Data Pura Costos'!H2392)</f>
        <v/>
      </c>
      <c r="I2392" s="71" t="str">
        <f>+IF('Data Pura Costos'!I2392="","",'Data Pura Costos'!I2392)</f>
        <v/>
      </c>
      <c r="J2392" s="52" t="str">
        <f>+IF('Data Pura Costos'!J2392="","",'Data Pura Costos'!J2392)</f>
        <v/>
      </c>
      <c r="K2392" s="82" t="str">
        <f t="shared" si="42"/>
        <v/>
      </c>
    </row>
    <row r="2393" spans="2:11" x14ac:dyDescent="0.35">
      <c r="B2393" s="4" t="str">
        <f>+IF('Data Pura Costos'!B2393="","",'Data Pura Costos'!B2393)</f>
        <v/>
      </c>
      <c r="C2393" s="4" t="str">
        <f>+IF('Data Pura Costos'!C2393="","",'Data Pura Costos'!C2393)</f>
        <v/>
      </c>
      <c r="D2393" s="5" t="str">
        <f>+IF('Data Pura Costos'!D2393="","",'Data Pura Costos'!D2393)</f>
        <v/>
      </c>
      <c r="E2393" s="65" t="str">
        <f>+IF('Data Pura Costos'!E2393="","",IF('Data Pura Costos'!E2393=0,MAX('Data Pura Costos'!$E$7:$E$3000)*1000,'Data Pura Costos'!E2393))</f>
        <v/>
      </c>
      <c r="F2393" s="5" t="str">
        <f>+IF('Data Pura Costos'!F2393="","",'Data Pura Costos'!F2393)</f>
        <v/>
      </c>
      <c r="G2393" s="5" t="str">
        <f>+IF('Data Pura Costos'!G2393="","",'Data Pura Costos'!G2393)</f>
        <v/>
      </c>
      <c r="H2393" s="52" t="str">
        <f>+IF('Data Pura Costos'!H2393="","",'Data Pura Costos'!H2393)</f>
        <v/>
      </c>
      <c r="I2393" s="71" t="str">
        <f>+IF('Data Pura Costos'!I2393="","",'Data Pura Costos'!I2393)</f>
        <v/>
      </c>
      <c r="J2393" s="52" t="str">
        <f>+IF('Data Pura Costos'!J2393="","",'Data Pura Costos'!J2393)</f>
        <v/>
      </c>
      <c r="K2393" s="82" t="str">
        <f t="shared" si="42"/>
        <v/>
      </c>
    </row>
    <row r="2394" spans="2:11" x14ac:dyDescent="0.35">
      <c r="B2394" s="4" t="str">
        <f>+IF('Data Pura Costos'!B2394="","",'Data Pura Costos'!B2394)</f>
        <v/>
      </c>
      <c r="C2394" s="4" t="str">
        <f>+IF('Data Pura Costos'!C2394="","",'Data Pura Costos'!C2394)</f>
        <v/>
      </c>
      <c r="D2394" s="5" t="str">
        <f>+IF('Data Pura Costos'!D2394="","",'Data Pura Costos'!D2394)</f>
        <v/>
      </c>
      <c r="E2394" s="65" t="str">
        <f>+IF('Data Pura Costos'!E2394="","",IF('Data Pura Costos'!E2394=0,MAX('Data Pura Costos'!$E$7:$E$3000)*1000,'Data Pura Costos'!E2394))</f>
        <v/>
      </c>
      <c r="F2394" s="5" t="str">
        <f>+IF('Data Pura Costos'!F2394="","",'Data Pura Costos'!F2394)</f>
        <v/>
      </c>
      <c r="G2394" s="5" t="str">
        <f>+IF('Data Pura Costos'!G2394="","",'Data Pura Costos'!G2394)</f>
        <v/>
      </c>
      <c r="H2394" s="52" t="str">
        <f>+IF('Data Pura Costos'!H2394="","",'Data Pura Costos'!H2394)</f>
        <v/>
      </c>
      <c r="I2394" s="71" t="str">
        <f>+IF('Data Pura Costos'!I2394="","",'Data Pura Costos'!I2394)</f>
        <v/>
      </c>
      <c r="J2394" s="52" t="str">
        <f>+IF('Data Pura Costos'!J2394="","",'Data Pura Costos'!J2394)</f>
        <v/>
      </c>
      <c r="K2394" s="82" t="str">
        <f t="shared" si="42"/>
        <v/>
      </c>
    </row>
    <row r="2395" spans="2:11" x14ac:dyDescent="0.35">
      <c r="B2395" s="4" t="str">
        <f>+IF('Data Pura Costos'!B2395="","",'Data Pura Costos'!B2395)</f>
        <v/>
      </c>
      <c r="C2395" s="4" t="str">
        <f>+IF('Data Pura Costos'!C2395="","",'Data Pura Costos'!C2395)</f>
        <v/>
      </c>
      <c r="D2395" s="5" t="str">
        <f>+IF('Data Pura Costos'!D2395="","",'Data Pura Costos'!D2395)</f>
        <v/>
      </c>
      <c r="E2395" s="65" t="str">
        <f>+IF('Data Pura Costos'!E2395="","",IF('Data Pura Costos'!E2395=0,MAX('Data Pura Costos'!$E$7:$E$3000)*1000,'Data Pura Costos'!E2395))</f>
        <v/>
      </c>
      <c r="F2395" s="5" t="str">
        <f>+IF('Data Pura Costos'!F2395="","",'Data Pura Costos'!F2395)</f>
        <v/>
      </c>
      <c r="G2395" s="5" t="str">
        <f>+IF('Data Pura Costos'!G2395="","",'Data Pura Costos'!G2395)</f>
        <v/>
      </c>
      <c r="H2395" s="52" t="str">
        <f>+IF('Data Pura Costos'!H2395="","",'Data Pura Costos'!H2395)</f>
        <v/>
      </c>
      <c r="I2395" s="71" t="str">
        <f>+IF('Data Pura Costos'!I2395="","",'Data Pura Costos'!I2395)</f>
        <v/>
      </c>
      <c r="J2395" s="52" t="str">
        <f>+IF('Data Pura Costos'!J2395="","",'Data Pura Costos'!J2395)</f>
        <v/>
      </c>
      <c r="K2395" s="82" t="str">
        <f t="shared" si="42"/>
        <v/>
      </c>
    </row>
    <row r="2396" spans="2:11" x14ac:dyDescent="0.35">
      <c r="B2396" s="4" t="str">
        <f>+IF('Data Pura Costos'!B2396="","",'Data Pura Costos'!B2396)</f>
        <v/>
      </c>
      <c r="C2396" s="4" t="str">
        <f>+IF('Data Pura Costos'!C2396="","",'Data Pura Costos'!C2396)</f>
        <v/>
      </c>
      <c r="D2396" s="5" t="str">
        <f>+IF('Data Pura Costos'!D2396="","",'Data Pura Costos'!D2396)</f>
        <v/>
      </c>
      <c r="E2396" s="65" t="str">
        <f>+IF('Data Pura Costos'!E2396="","",IF('Data Pura Costos'!E2396=0,MAX('Data Pura Costos'!$E$7:$E$3000)*1000,'Data Pura Costos'!E2396))</f>
        <v/>
      </c>
      <c r="F2396" s="5" t="str">
        <f>+IF('Data Pura Costos'!F2396="","",'Data Pura Costos'!F2396)</f>
        <v/>
      </c>
      <c r="G2396" s="5" t="str">
        <f>+IF('Data Pura Costos'!G2396="","",'Data Pura Costos'!G2396)</f>
        <v/>
      </c>
      <c r="H2396" s="52" t="str">
        <f>+IF('Data Pura Costos'!H2396="","",'Data Pura Costos'!H2396)</f>
        <v/>
      </c>
      <c r="I2396" s="71" t="str">
        <f>+IF('Data Pura Costos'!I2396="","",'Data Pura Costos'!I2396)</f>
        <v/>
      </c>
      <c r="J2396" s="52" t="str">
        <f>+IF('Data Pura Costos'!J2396="","",'Data Pura Costos'!J2396)</f>
        <v/>
      </c>
      <c r="K2396" s="82" t="str">
        <f t="shared" si="42"/>
        <v/>
      </c>
    </row>
    <row r="2397" spans="2:11" x14ac:dyDescent="0.35">
      <c r="B2397" s="4" t="str">
        <f>+IF('Data Pura Costos'!B2397="","",'Data Pura Costos'!B2397)</f>
        <v/>
      </c>
      <c r="C2397" s="4" t="str">
        <f>+IF('Data Pura Costos'!C2397="","",'Data Pura Costos'!C2397)</f>
        <v/>
      </c>
      <c r="D2397" s="5" t="str">
        <f>+IF('Data Pura Costos'!D2397="","",'Data Pura Costos'!D2397)</f>
        <v/>
      </c>
      <c r="E2397" s="65" t="str">
        <f>+IF('Data Pura Costos'!E2397="","",IF('Data Pura Costos'!E2397=0,MAX('Data Pura Costos'!$E$7:$E$3000)*1000,'Data Pura Costos'!E2397))</f>
        <v/>
      </c>
      <c r="F2397" s="5" t="str">
        <f>+IF('Data Pura Costos'!F2397="","",'Data Pura Costos'!F2397)</f>
        <v/>
      </c>
      <c r="G2397" s="5" t="str">
        <f>+IF('Data Pura Costos'!G2397="","",'Data Pura Costos'!G2397)</f>
        <v/>
      </c>
      <c r="H2397" s="52" t="str">
        <f>+IF('Data Pura Costos'!H2397="","",'Data Pura Costos'!H2397)</f>
        <v/>
      </c>
      <c r="I2397" s="71" t="str">
        <f>+IF('Data Pura Costos'!I2397="","",'Data Pura Costos'!I2397)</f>
        <v/>
      </c>
      <c r="J2397" s="52" t="str">
        <f>+IF('Data Pura Costos'!J2397="","",'Data Pura Costos'!J2397)</f>
        <v/>
      </c>
      <c r="K2397" s="82" t="str">
        <f t="shared" si="42"/>
        <v/>
      </c>
    </row>
    <row r="2398" spans="2:11" x14ac:dyDescent="0.35">
      <c r="B2398" s="4" t="str">
        <f>+IF('Data Pura Costos'!B2398="","",'Data Pura Costos'!B2398)</f>
        <v/>
      </c>
      <c r="C2398" s="4" t="str">
        <f>+IF('Data Pura Costos'!C2398="","",'Data Pura Costos'!C2398)</f>
        <v/>
      </c>
      <c r="D2398" s="5" t="str">
        <f>+IF('Data Pura Costos'!D2398="","",'Data Pura Costos'!D2398)</f>
        <v/>
      </c>
      <c r="E2398" s="65" t="str">
        <f>+IF('Data Pura Costos'!E2398="","",IF('Data Pura Costos'!E2398=0,MAX('Data Pura Costos'!$E$7:$E$3000)*1000,'Data Pura Costos'!E2398))</f>
        <v/>
      </c>
      <c r="F2398" s="5" t="str">
        <f>+IF('Data Pura Costos'!F2398="","",'Data Pura Costos'!F2398)</f>
        <v/>
      </c>
      <c r="G2398" s="5" t="str">
        <f>+IF('Data Pura Costos'!G2398="","",'Data Pura Costos'!G2398)</f>
        <v/>
      </c>
      <c r="H2398" s="52" t="str">
        <f>+IF('Data Pura Costos'!H2398="","",'Data Pura Costos'!H2398)</f>
        <v/>
      </c>
      <c r="I2398" s="71" t="str">
        <f>+IF('Data Pura Costos'!I2398="","",'Data Pura Costos'!I2398)</f>
        <v/>
      </c>
      <c r="J2398" s="52" t="str">
        <f>+IF('Data Pura Costos'!J2398="","",'Data Pura Costos'!J2398)</f>
        <v/>
      </c>
      <c r="K2398" s="82" t="str">
        <f t="shared" si="42"/>
        <v/>
      </c>
    </row>
    <row r="2399" spans="2:11" x14ac:dyDescent="0.35">
      <c r="B2399" s="4" t="str">
        <f>+IF('Data Pura Costos'!B2399="","",'Data Pura Costos'!B2399)</f>
        <v/>
      </c>
      <c r="C2399" s="4" t="str">
        <f>+IF('Data Pura Costos'!C2399="","",'Data Pura Costos'!C2399)</f>
        <v/>
      </c>
      <c r="D2399" s="5" t="str">
        <f>+IF('Data Pura Costos'!D2399="","",'Data Pura Costos'!D2399)</f>
        <v/>
      </c>
      <c r="E2399" s="65" t="str">
        <f>+IF('Data Pura Costos'!E2399="","",IF('Data Pura Costos'!E2399=0,MAX('Data Pura Costos'!$E$7:$E$3000)*1000,'Data Pura Costos'!E2399))</f>
        <v/>
      </c>
      <c r="F2399" s="5" t="str">
        <f>+IF('Data Pura Costos'!F2399="","",'Data Pura Costos'!F2399)</f>
        <v/>
      </c>
      <c r="G2399" s="5" t="str">
        <f>+IF('Data Pura Costos'!G2399="","",'Data Pura Costos'!G2399)</f>
        <v/>
      </c>
      <c r="H2399" s="52" t="str">
        <f>+IF('Data Pura Costos'!H2399="","",'Data Pura Costos'!H2399)</f>
        <v/>
      </c>
      <c r="I2399" s="71" t="str">
        <f>+IF('Data Pura Costos'!I2399="","",'Data Pura Costos'!I2399)</f>
        <v/>
      </c>
      <c r="J2399" s="52" t="str">
        <f>+IF('Data Pura Costos'!J2399="","",'Data Pura Costos'!J2399)</f>
        <v/>
      </c>
      <c r="K2399" s="82" t="str">
        <f t="shared" si="42"/>
        <v/>
      </c>
    </row>
    <row r="2400" spans="2:11" x14ac:dyDescent="0.35">
      <c r="B2400" s="4" t="str">
        <f>+IF('Data Pura Costos'!B2400="","",'Data Pura Costos'!B2400)</f>
        <v/>
      </c>
      <c r="C2400" s="4" t="str">
        <f>+IF('Data Pura Costos'!C2400="","",'Data Pura Costos'!C2400)</f>
        <v/>
      </c>
      <c r="D2400" s="5" t="str">
        <f>+IF('Data Pura Costos'!D2400="","",'Data Pura Costos'!D2400)</f>
        <v/>
      </c>
      <c r="E2400" s="65" t="str">
        <f>+IF('Data Pura Costos'!E2400="","",IF('Data Pura Costos'!E2400=0,MAX('Data Pura Costos'!$E$7:$E$3000)*1000,'Data Pura Costos'!E2400))</f>
        <v/>
      </c>
      <c r="F2400" s="5" t="str">
        <f>+IF('Data Pura Costos'!F2400="","",'Data Pura Costos'!F2400)</f>
        <v/>
      </c>
      <c r="G2400" s="5" t="str">
        <f>+IF('Data Pura Costos'!G2400="","",'Data Pura Costos'!G2400)</f>
        <v/>
      </c>
      <c r="H2400" s="52" t="str">
        <f>+IF('Data Pura Costos'!H2400="","",'Data Pura Costos'!H2400)</f>
        <v/>
      </c>
      <c r="I2400" s="71" t="str">
        <f>+IF('Data Pura Costos'!I2400="","",'Data Pura Costos'!I2400)</f>
        <v/>
      </c>
      <c r="J2400" s="52" t="str">
        <f>+IF('Data Pura Costos'!J2400="","",'Data Pura Costos'!J2400)</f>
        <v/>
      </c>
      <c r="K2400" s="82" t="str">
        <f t="shared" si="42"/>
        <v/>
      </c>
    </row>
    <row r="2401" spans="2:11" x14ac:dyDescent="0.35">
      <c r="B2401" s="4" t="str">
        <f>+IF('Data Pura Costos'!B2401="","",'Data Pura Costos'!B2401)</f>
        <v/>
      </c>
      <c r="C2401" s="4" t="str">
        <f>+IF('Data Pura Costos'!C2401="","",'Data Pura Costos'!C2401)</f>
        <v/>
      </c>
      <c r="D2401" s="5" t="str">
        <f>+IF('Data Pura Costos'!D2401="","",'Data Pura Costos'!D2401)</f>
        <v/>
      </c>
      <c r="E2401" s="65" t="str">
        <f>+IF('Data Pura Costos'!E2401="","",IF('Data Pura Costos'!E2401=0,MAX('Data Pura Costos'!$E$7:$E$3000)*1000,'Data Pura Costos'!E2401))</f>
        <v/>
      </c>
      <c r="F2401" s="5" t="str">
        <f>+IF('Data Pura Costos'!F2401="","",'Data Pura Costos'!F2401)</f>
        <v/>
      </c>
      <c r="G2401" s="5" t="str">
        <f>+IF('Data Pura Costos'!G2401="","",'Data Pura Costos'!G2401)</f>
        <v/>
      </c>
      <c r="H2401" s="52" t="str">
        <f>+IF('Data Pura Costos'!H2401="","",'Data Pura Costos'!H2401)</f>
        <v/>
      </c>
      <c r="I2401" s="71" t="str">
        <f>+IF('Data Pura Costos'!I2401="","",'Data Pura Costos'!I2401)</f>
        <v/>
      </c>
      <c r="J2401" s="52" t="str">
        <f>+IF('Data Pura Costos'!J2401="","",'Data Pura Costos'!J2401)</f>
        <v/>
      </c>
      <c r="K2401" s="82" t="str">
        <f t="shared" si="42"/>
        <v/>
      </c>
    </row>
    <row r="2402" spans="2:11" x14ac:dyDescent="0.35">
      <c r="B2402" s="4" t="str">
        <f>+IF('Data Pura Costos'!B2402="","",'Data Pura Costos'!B2402)</f>
        <v/>
      </c>
      <c r="C2402" s="4" t="str">
        <f>+IF('Data Pura Costos'!C2402="","",'Data Pura Costos'!C2402)</f>
        <v/>
      </c>
      <c r="D2402" s="5" t="str">
        <f>+IF('Data Pura Costos'!D2402="","",'Data Pura Costos'!D2402)</f>
        <v/>
      </c>
      <c r="E2402" s="65" t="str">
        <f>+IF('Data Pura Costos'!E2402="","",IF('Data Pura Costos'!E2402=0,MAX('Data Pura Costos'!$E$7:$E$3000)*1000,'Data Pura Costos'!E2402))</f>
        <v/>
      </c>
      <c r="F2402" s="5" t="str">
        <f>+IF('Data Pura Costos'!F2402="","",'Data Pura Costos'!F2402)</f>
        <v/>
      </c>
      <c r="G2402" s="5" t="str">
        <f>+IF('Data Pura Costos'!G2402="","",'Data Pura Costos'!G2402)</f>
        <v/>
      </c>
      <c r="H2402" s="52" t="str">
        <f>+IF('Data Pura Costos'!H2402="","",'Data Pura Costos'!H2402)</f>
        <v/>
      </c>
      <c r="I2402" s="71" t="str">
        <f>+IF('Data Pura Costos'!I2402="","",'Data Pura Costos'!I2402)</f>
        <v/>
      </c>
      <c r="J2402" s="52" t="str">
        <f>+IF('Data Pura Costos'!J2402="","",'Data Pura Costos'!J2402)</f>
        <v/>
      </c>
      <c r="K2402" s="82" t="str">
        <f t="shared" si="42"/>
        <v/>
      </c>
    </row>
    <row r="2403" spans="2:11" x14ac:dyDescent="0.35">
      <c r="B2403" s="4" t="str">
        <f>+IF('Data Pura Costos'!B2403="","",'Data Pura Costos'!B2403)</f>
        <v/>
      </c>
      <c r="C2403" s="4" t="str">
        <f>+IF('Data Pura Costos'!C2403="","",'Data Pura Costos'!C2403)</f>
        <v/>
      </c>
      <c r="D2403" s="5" t="str">
        <f>+IF('Data Pura Costos'!D2403="","",'Data Pura Costos'!D2403)</f>
        <v/>
      </c>
      <c r="E2403" s="65" t="str">
        <f>+IF('Data Pura Costos'!E2403="","",IF('Data Pura Costos'!E2403=0,MAX('Data Pura Costos'!$E$7:$E$3000)*1000,'Data Pura Costos'!E2403))</f>
        <v/>
      </c>
      <c r="F2403" s="5" t="str">
        <f>+IF('Data Pura Costos'!F2403="","",'Data Pura Costos'!F2403)</f>
        <v/>
      </c>
      <c r="G2403" s="5" t="str">
        <f>+IF('Data Pura Costos'!G2403="","",'Data Pura Costos'!G2403)</f>
        <v/>
      </c>
      <c r="H2403" s="52" t="str">
        <f>+IF('Data Pura Costos'!H2403="","",'Data Pura Costos'!H2403)</f>
        <v/>
      </c>
      <c r="I2403" s="71" t="str">
        <f>+IF('Data Pura Costos'!I2403="","",'Data Pura Costos'!I2403)</f>
        <v/>
      </c>
      <c r="J2403" s="52" t="str">
        <f>+IF('Data Pura Costos'!J2403="","",'Data Pura Costos'!J2403)</f>
        <v/>
      </c>
      <c r="K2403" s="82" t="str">
        <f t="shared" si="42"/>
        <v/>
      </c>
    </row>
    <row r="2404" spans="2:11" x14ac:dyDescent="0.35">
      <c r="B2404" s="4" t="str">
        <f>+IF('Data Pura Costos'!B2404="","",'Data Pura Costos'!B2404)</f>
        <v/>
      </c>
      <c r="C2404" s="4" t="str">
        <f>+IF('Data Pura Costos'!C2404="","",'Data Pura Costos'!C2404)</f>
        <v/>
      </c>
      <c r="D2404" s="5" t="str">
        <f>+IF('Data Pura Costos'!D2404="","",'Data Pura Costos'!D2404)</f>
        <v/>
      </c>
      <c r="E2404" s="65" t="str">
        <f>+IF('Data Pura Costos'!E2404="","",IF('Data Pura Costos'!E2404=0,MAX('Data Pura Costos'!$E$7:$E$3000)*1000,'Data Pura Costos'!E2404))</f>
        <v/>
      </c>
      <c r="F2404" s="5" t="str">
        <f>+IF('Data Pura Costos'!F2404="","",'Data Pura Costos'!F2404)</f>
        <v/>
      </c>
      <c r="G2404" s="5" t="str">
        <f>+IF('Data Pura Costos'!G2404="","",'Data Pura Costos'!G2404)</f>
        <v/>
      </c>
      <c r="H2404" s="52" t="str">
        <f>+IF('Data Pura Costos'!H2404="","",'Data Pura Costos'!H2404)</f>
        <v/>
      </c>
      <c r="I2404" s="71" t="str">
        <f>+IF('Data Pura Costos'!I2404="","",'Data Pura Costos'!I2404)</f>
        <v/>
      </c>
      <c r="J2404" s="52" t="str">
        <f>+IF('Data Pura Costos'!J2404="","",'Data Pura Costos'!J2404)</f>
        <v/>
      </c>
      <c r="K2404" s="82" t="str">
        <f t="shared" si="42"/>
        <v/>
      </c>
    </row>
    <row r="2405" spans="2:11" x14ac:dyDescent="0.35">
      <c r="B2405" s="4" t="str">
        <f>+IF('Data Pura Costos'!B2405="","",'Data Pura Costos'!B2405)</f>
        <v/>
      </c>
      <c r="C2405" s="4" t="str">
        <f>+IF('Data Pura Costos'!C2405="","",'Data Pura Costos'!C2405)</f>
        <v/>
      </c>
      <c r="D2405" s="5" t="str">
        <f>+IF('Data Pura Costos'!D2405="","",'Data Pura Costos'!D2405)</f>
        <v/>
      </c>
      <c r="E2405" s="65" t="str">
        <f>+IF('Data Pura Costos'!E2405="","",IF('Data Pura Costos'!E2405=0,MAX('Data Pura Costos'!$E$7:$E$3000)*1000,'Data Pura Costos'!E2405))</f>
        <v/>
      </c>
      <c r="F2405" s="5" t="str">
        <f>+IF('Data Pura Costos'!F2405="","",'Data Pura Costos'!F2405)</f>
        <v/>
      </c>
      <c r="G2405" s="5" t="str">
        <f>+IF('Data Pura Costos'!G2405="","",'Data Pura Costos'!G2405)</f>
        <v/>
      </c>
      <c r="H2405" s="52" t="str">
        <f>+IF('Data Pura Costos'!H2405="","",'Data Pura Costos'!H2405)</f>
        <v/>
      </c>
      <c r="I2405" s="71" t="str">
        <f>+IF('Data Pura Costos'!I2405="","",'Data Pura Costos'!I2405)</f>
        <v/>
      </c>
      <c r="J2405" s="52" t="str">
        <f>+IF('Data Pura Costos'!J2405="","",'Data Pura Costos'!J2405)</f>
        <v/>
      </c>
      <c r="K2405" s="82" t="str">
        <f t="shared" si="42"/>
        <v/>
      </c>
    </row>
    <row r="2406" spans="2:11" x14ac:dyDescent="0.35">
      <c r="B2406" s="4" t="str">
        <f>+IF('Data Pura Costos'!B2406="","",'Data Pura Costos'!B2406)</f>
        <v/>
      </c>
      <c r="C2406" s="4" t="str">
        <f>+IF('Data Pura Costos'!C2406="","",'Data Pura Costos'!C2406)</f>
        <v/>
      </c>
      <c r="D2406" s="5" t="str">
        <f>+IF('Data Pura Costos'!D2406="","",'Data Pura Costos'!D2406)</f>
        <v/>
      </c>
      <c r="E2406" s="65" t="str">
        <f>+IF('Data Pura Costos'!E2406="","",IF('Data Pura Costos'!E2406=0,MAX('Data Pura Costos'!$E$7:$E$3000)*1000,'Data Pura Costos'!E2406))</f>
        <v/>
      </c>
      <c r="F2406" s="5" t="str">
        <f>+IF('Data Pura Costos'!F2406="","",'Data Pura Costos'!F2406)</f>
        <v/>
      </c>
      <c r="G2406" s="5" t="str">
        <f>+IF('Data Pura Costos'!G2406="","",'Data Pura Costos'!G2406)</f>
        <v/>
      </c>
      <c r="H2406" s="52" t="str">
        <f>+IF('Data Pura Costos'!H2406="","",'Data Pura Costos'!H2406)</f>
        <v/>
      </c>
      <c r="I2406" s="71" t="str">
        <f>+IF('Data Pura Costos'!I2406="","",'Data Pura Costos'!I2406)</f>
        <v/>
      </c>
      <c r="J2406" s="52" t="str">
        <f>+IF('Data Pura Costos'!J2406="","",'Data Pura Costos'!J2406)</f>
        <v/>
      </c>
      <c r="K2406" s="82" t="str">
        <f t="shared" si="42"/>
        <v/>
      </c>
    </row>
    <row r="2407" spans="2:11" x14ac:dyDescent="0.35">
      <c r="B2407" s="4" t="str">
        <f>+IF('Data Pura Costos'!B2407="","",'Data Pura Costos'!B2407)</f>
        <v/>
      </c>
      <c r="C2407" s="4" t="str">
        <f>+IF('Data Pura Costos'!C2407="","",'Data Pura Costos'!C2407)</f>
        <v/>
      </c>
      <c r="D2407" s="5" t="str">
        <f>+IF('Data Pura Costos'!D2407="","",'Data Pura Costos'!D2407)</f>
        <v/>
      </c>
      <c r="E2407" s="65" t="str">
        <f>+IF('Data Pura Costos'!E2407="","",IF('Data Pura Costos'!E2407=0,MAX('Data Pura Costos'!$E$7:$E$3000)*1000,'Data Pura Costos'!E2407))</f>
        <v/>
      </c>
      <c r="F2407" s="5" t="str">
        <f>+IF('Data Pura Costos'!F2407="","",'Data Pura Costos'!F2407)</f>
        <v/>
      </c>
      <c r="G2407" s="5" t="str">
        <f>+IF('Data Pura Costos'!G2407="","",'Data Pura Costos'!G2407)</f>
        <v/>
      </c>
      <c r="H2407" s="52" t="str">
        <f>+IF('Data Pura Costos'!H2407="","",'Data Pura Costos'!H2407)</f>
        <v/>
      </c>
      <c r="I2407" s="71" t="str">
        <f>+IF('Data Pura Costos'!I2407="","",'Data Pura Costos'!I2407)</f>
        <v/>
      </c>
      <c r="J2407" s="52" t="str">
        <f>+IF('Data Pura Costos'!J2407="","",'Data Pura Costos'!J2407)</f>
        <v/>
      </c>
      <c r="K2407" s="82" t="str">
        <f t="shared" si="42"/>
        <v/>
      </c>
    </row>
    <row r="2408" spans="2:11" x14ac:dyDescent="0.35">
      <c r="B2408" s="4" t="str">
        <f>+IF('Data Pura Costos'!B2408="","",'Data Pura Costos'!B2408)</f>
        <v/>
      </c>
      <c r="C2408" s="4" t="str">
        <f>+IF('Data Pura Costos'!C2408="","",'Data Pura Costos'!C2408)</f>
        <v/>
      </c>
      <c r="D2408" s="5" t="str">
        <f>+IF('Data Pura Costos'!D2408="","",'Data Pura Costos'!D2408)</f>
        <v/>
      </c>
      <c r="E2408" s="65" t="str">
        <f>+IF('Data Pura Costos'!E2408="","",IF('Data Pura Costos'!E2408=0,MAX('Data Pura Costos'!$E$7:$E$3000)*1000,'Data Pura Costos'!E2408))</f>
        <v/>
      </c>
      <c r="F2408" s="5" t="str">
        <f>+IF('Data Pura Costos'!F2408="","",'Data Pura Costos'!F2408)</f>
        <v/>
      </c>
      <c r="G2408" s="5" t="str">
        <f>+IF('Data Pura Costos'!G2408="","",'Data Pura Costos'!G2408)</f>
        <v/>
      </c>
      <c r="H2408" s="52" t="str">
        <f>+IF('Data Pura Costos'!H2408="","",'Data Pura Costos'!H2408)</f>
        <v/>
      </c>
      <c r="I2408" s="71" t="str">
        <f>+IF('Data Pura Costos'!I2408="","",'Data Pura Costos'!I2408)</f>
        <v/>
      </c>
      <c r="J2408" s="52" t="str">
        <f>+IF('Data Pura Costos'!J2408="","",'Data Pura Costos'!J2408)</f>
        <v/>
      </c>
      <c r="K2408" s="82" t="str">
        <f t="shared" si="42"/>
        <v/>
      </c>
    </row>
    <row r="2409" spans="2:11" x14ac:dyDescent="0.35">
      <c r="B2409" s="4" t="str">
        <f>+IF('Data Pura Costos'!B2409="","",'Data Pura Costos'!B2409)</f>
        <v/>
      </c>
      <c r="C2409" s="4" t="str">
        <f>+IF('Data Pura Costos'!C2409="","",'Data Pura Costos'!C2409)</f>
        <v/>
      </c>
      <c r="D2409" s="5" t="str">
        <f>+IF('Data Pura Costos'!D2409="","",'Data Pura Costos'!D2409)</f>
        <v/>
      </c>
      <c r="E2409" s="65" t="str">
        <f>+IF('Data Pura Costos'!E2409="","",IF('Data Pura Costos'!E2409=0,MAX('Data Pura Costos'!$E$7:$E$3000)*1000,'Data Pura Costos'!E2409))</f>
        <v/>
      </c>
      <c r="F2409" s="5" t="str">
        <f>+IF('Data Pura Costos'!F2409="","",'Data Pura Costos'!F2409)</f>
        <v/>
      </c>
      <c r="G2409" s="5" t="str">
        <f>+IF('Data Pura Costos'!G2409="","",'Data Pura Costos'!G2409)</f>
        <v/>
      </c>
      <c r="H2409" s="52" t="str">
        <f>+IF('Data Pura Costos'!H2409="","",'Data Pura Costos'!H2409)</f>
        <v/>
      </c>
      <c r="I2409" s="71" t="str">
        <f>+IF('Data Pura Costos'!I2409="","",'Data Pura Costos'!I2409)</f>
        <v/>
      </c>
      <c r="J2409" s="52" t="str">
        <f>+IF('Data Pura Costos'!J2409="","",'Data Pura Costos'!J2409)</f>
        <v/>
      </c>
      <c r="K2409" s="82" t="str">
        <f t="shared" si="42"/>
        <v/>
      </c>
    </row>
    <row r="2410" spans="2:11" x14ac:dyDescent="0.35">
      <c r="B2410" s="4" t="str">
        <f>+IF('Data Pura Costos'!B2410="","",'Data Pura Costos'!B2410)</f>
        <v/>
      </c>
      <c r="C2410" s="4" t="str">
        <f>+IF('Data Pura Costos'!C2410="","",'Data Pura Costos'!C2410)</f>
        <v/>
      </c>
      <c r="D2410" s="5" t="str">
        <f>+IF('Data Pura Costos'!D2410="","",'Data Pura Costos'!D2410)</f>
        <v/>
      </c>
      <c r="E2410" s="65" t="str">
        <f>+IF('Data Pura Costos'!E2410="","",IF('Data Pura Costos'!E2410=0,MAX('Data Pura Costos'!$E$7:$E$3000)*1000,'Data Pura Costos'!E2410))</f>
        <v/>
      </c>
      <c r="F2410" s="5" t="str">
        <f>+IF('Data Pura Costos'!F2410="","",'Data Pura Costos'!F2410)</f>
        <v/>
      </c>
      <c r="G2410" s="5" t="str">
        <f>+IF('Data Pura Costos'!G2410="","",'Data Pura Costos'!G2410)</f>
        <v/>
      </c>
      <c r="H2410" s="52" t="str">
        <f>+IF('Data Pura Costos'!H2410="","",'Data Pura Costos'!H2410)</f>
        <v/>
      </c>
      <c r="I2410" s="71" t="str">
        <f>+IF('Data Pura Costos'!I2410="","",'Data Pura Costos'!I2410)</f>
        <v/>
      </c>
      <c r="J2410" s="52" t="str">
        <f>+IF('Data Pura Costos'!J2410="","",'Data Pura Costos'!J2410)</f>
        <v/>
      </c>
      <c r="K2410" s="82" t="str">
        <f t="shared" si="42"/>
        <v/>
      </c>
    </row>
    <row r="2411" spans="2:11" x14ac:dyDescent="0.35">
      <c r="B2411" s="4" t="str">
        <f>+IF('Data Pura Costos'!B2411="","",'Data Pura Costos'!B2411)</f>
        <v/>
      </c>
      <c r="C2411" s="4" t="str">
        <f>+IF('Data Pura Costos'!C2411="","",'Data Pura Costos'!C2411)</f>
        <v/>
      </c>
      <c r="D2411" s="5" t="str">
        <f>+IF('Data Pura Costos'!D2411="","",'Data Pura Costos'!D2411)</f>
        <v/>
      </c>
      <c r="E2411" s="65" t="str">
        <f>+IF('Data Pura Costos'!E2411="","",IF('Data Pura Costos'!E2411=0,MAX('Data Pura Costos'!$E$7:$E$3000)*1000,'Data Pura Costos'!E2411))</f>
        <v/>
      </c>
      <c r="F2411" s="5" t="str">
        <f>+IF('Data Pura Costos'!F2411="","",'Data Pura Costos'!F2411)</f>
        <v/>
      </c>
      <c r="G2411" s="5" t="str">
        <f>+IF('Data Pura Costos'!G2411="","",'Data Pura Costos'!G2411)</f>
        <v/>
      </c>
      <c r="H2411" s="52" t="str">
        <f>+IF('Data Pura Costos'!H2411="","",'Data Pura Costos'!H2411)</f>
        <v/>
      </c>
      <c r="I2411" s="71" t="str">
        <f>+IF('Data Pura Costos'!I2411="","",'Data Pura Costos'!I2411)</f>
        <v/>
      </c>
      <c r="J2411" s="52" t="str">
        <f>+IF('Data Pura Costos'!J2411="","",'Data Pura Costos'!J2411)</f>
        <v/>
      </c>
      <c r="K2411" s="82" t="str">
        <f t="shared" si="42"/>
        <v/>
      </c>
    </row>
    <row r="2412" spans="2:11" x14ac:dyDescent="0.35">
      <c r="B2412" s="4" t="str">
        <f>+IF('Data Pura Costos'!B2412="","",'Data Pura Costos'!B2412)</f>
        <v/>
      </c>
      <c r="C2412" s="4" t="str">
        <f>+IF('Data Pura Costos'!C2412="","",'Data Pura Costos'!C2412)</f>
        <v/>
      </c>
      <c r="D2412" s="5" t="str">
        <f>+IF('Data Pura Costos'!D2412="","",'Data Pura Costos'!D2412)</f>
        <v/>
      </c>
      <c r="E2412" s="65" t="str">
        <f>+IF('Data Pura Costos'!E2412="","",IF('Data Pura Costos'!E2412=0,MAX('Data Pura Costos'!$E$7:$E$3000)*1000,'Data Pura Costos'!E2412))</f>
        <v/>
      </c>
      <c r="F2412" s="5" t="str">
        <f>+IF('Data Pura Costos'!F2412="","",'Data Pura Costos'!F2412)</f>
        <v/>
      </c>
      <c r="G2412" s="5" t="str">
        <f>+IF('Data Pura Costos'!G2412="","",'Data Pura Costos'!G2412)</f>
        <v/>
      </c>
      <c r="H2412" s="52" t="str">
        <f>+IF('Data Pura Costos'!H2412="","",'Data Pura Costos'!H2412)</f>
        <v/>
      </c>
      <c r="I2412" s="71" t="str">
        <f>+IF('Data Pura Costos'!I2412="","",'Data Pura Costos'!I2412)</f>
        <v/>
      </c>
      <c r="J2412" s="52" t="str">
        <f>+IF('Data Pura Costos'!J2412="","",'Data Pura Costos'!J2412)</f>
        <v/>
      </c>
      <c r="K2412" s="82" t="str">
        <f t="shared" si="42"/>
        <v/>
      </c>
    </row>
    <row r="2413" spans="2:11" x14ac:dyDescent="0.35">
      <c r="B2413" s="4" t="str">
        <f>+IF('Data Pura Costos'!B2413="","",'Data Pura Costos'!B2413)</f>
        <v/>
      </c>
      <c r="C2413" s="4" t="str">
        <f>+IF('Data Pura Costos'!C2413="","",'Data Pura Costos'!C2413)</f>
        <v/>
      </c>
      <c r="D2413" s="5" t="str">
        <f>+IF('Data Pura Costos'!D2413="","",'Data Pura Costos'!D2413)</f>
        <v/>
      </c>
      <c r="E2413" s="65" t="str">
        <f>+IF('Data Pura Costos'!E2413="","",IF('Data Pura Costos'!E2413=0,MAX('Data Pura Costos'!$E$7:$E$3000)*1000,'Data Pura Costos'!E2413))</f>
        <v/>
      </c>
      <c r="F2413" s="5" t="str">
        <f>+IF('Data Pura Costos'!F2413="","",'Data Pura Costos'!F2413)</f>
        <v/>
      </c>
      <c r="G2413" s="5" t="str">
        <f>+IF('Data Pura Costos'!G2413="","",'Data Pura Costos'!G2413)</f>
        <v/>
      </c>
      <c r="H2413" s="52" t="str">
        <f>+IF('Data Pura Costos'!H2413="","",'Data Pura Costos'!H2413)</f>
        <v/>
      </c>
      <c r="I2413" s="71" t="str">
        <f>+IF('Data Pura Costos'!I2413="","",'Data Pura Costos'!I2413)</f>
        <v/>
      </c>
      <c r="J2413" s="52" t="str">
        <f>+IF('Data Pura Costos'!J2413="","",'Data Pura Costos'!J2413)</f>
        <v/>
      </c>
      <c r="K2413" s="82" t="str">
        <f t="shared" si="42"/>
        <v/>
      </c>
    </row>
    <row r="2414" spans="2:11" x14ac:dyDescent="0.35">
      <c r="B2414" s="4" t="str">
        <f>+IF('Data Pura Costos'!B2414="","",'Data Pura Costos'!B2414)</f>
        <v/>
      </c>
      <c r="C2414" s="4" t="str">
        <f>+IF('Data Pura Costos'!C2414="","",'Data Pura Costos'!C2414)</f>
        <v/>
      </c>
      <c r="D2414" s="5" t="str">
        <f>+IF('Data Pura Costos'!D2414="","",'Data Pura Costos'!D2414)</f>
        <v/>
      </c>
      <c r="E2414" s="65" t="str">
        <f>+IF('Data Pura Costos'!E2414="","",IF('Data Pura Costos'!E2414=0,MAX('Data Pura Costos'!$E$7:$E$3000)*1000,'Data Pura Costos'!E2414))</f>
        <v/>
      </c>
      <c r="F2414" s="5" t="str">
        <f>+IF('Data Pura Costos'!F2414="","",'Data Pura Costos'!F2414)</f>
        <v/>
      </c>
      <c r="G2414" s="5" t="str">
        <f>+IF('Data Pura Costos'!G2414="","",'Data Pura Costos'!G2414)</f>
        <v/>
      </c>
      <c r="H2414" s="52" t="str">
        <f>+IF('Data Pura Costos'!H2414="","",'Data Pura Costos'!H2414)</f>
        <v/>
      </c>
      <c r="I2414" s="71" t="str">
        <f>+IF('Data Pura Costos'!I2414="","",'Data Pura Costos'!I2414)</f>
        <v/>
      </c>
      <c r="J2414" s="52" t="str">
        <f>+IF('Data Pura Costos'!J2414="","",'Data Pura Costos'!J2414)</f>
        <v/>
      </c>
      <c r="K2414" s="82" t="str">
        <f t="shared" si="42"/>
        <v/>
      </c>
    </row>
    <row r="2415" spans="2:11" x14ac:dyDescent="0.35">
      <c r="B2415" s="4" t="str">
        <f>+IF('Data Pura Costos'!B2415="","",'Data Pura Costos'!B2415)</f>
        <v/>
      </c>
      <c r="C2415" s="4" t="str">
        <f>+IF('Data Pura Costos'!C2415="","",'Data Pura Costos'!C2415)</f>
        <v/>
      </c>
      <c r="D2415" s="5" t="str">
        <f>+IF('Data Pura Costos'!D2415="","",'Data Pura Costos'!D2415)</f>
        <v/>
      </c>
      <c r="E2415" s="65" t="str">
        <f>+IF('Data Pura Costos'!E2415="","",IF('Data Pura Costos'!E2415=0,MAX('Data Pura Costos'!$E$7:$E$3000)*1000,'Data Pura Costos'!E2415))</f>
        <v/>
      </c>
      <c r="F2415" s="5" t="str">
        <f>+IF('Data Pura Costos'!F2415="","",'Data Pura Costos'!F2415)</f>
        <v/>
      </c>
      <c r="G2415" s="5" t="str">
        <f>+IF('Data Pura Costos'!G2415="","",'Data Pura Costos'!G2415)</f>
        <v/>
      </c>
      <c r="H2415" s="52" t="str">
        <f>+IF('Data Pura Costos'!H2415="","",'Data Pura Costos'!H2415)</f>
        <v/>
      </c>
      <c r="I2415" s="71" t="str">
        <f>+IF('Data Pura Costos'!I2415="","",'Data Pura Costos'!I2415)</f>
        <v/>
      </c>
      <c r="J2415" s="52" t="str">
        <f>+IF('Data Pura Costos'!J2415="","",'Data Pura Costos'!J2415)</f>
        <v/>
      </c>
      <c r="K2415" s="82" t="str">
        <f t="shared" si="42"/>
        <v/>
      </c>
    </row>
    <row r="2416" spans="2:11" x14ac:dyDescent="0.35">
      <c r="B2416" s="4" t="str">
        <f>+IF('Data Pura Costos'!B2416="","",'Data Pura Costos'!B2416)</f>
        <v/>
      </c>
      <c r="C2416" s="4" t="str">
        <f>+IF('Data Pura Costos'!C2416="","",'Data Pura Costos'!C2416)</f>
        <v/>
      </c>
      <c r="D2416" s="5" t="str">
        <f>+IF('Data Pura Costos'!D2416="","",'Data Pura Costos'!D2416)</f>
        <v/>
      </c>
      <c r="E2416" s="65" t="str">
        <f>+IF('Data Pura Costos'!E2416="","",IF('Data Pura Costos'!E2416=0,MAX('Data Pura Costos'!$E$7:$E$3000)*1000,'Data Pura Costos'!E2416))</f>
        <v/>
      </c>
      <c r="F2416" s="5" t="str">
        <f>+IF('Data Pura Costos'!F2416="","",'Data Pura Costos'!F2416)</f>
        <v/>
      </c>
      <c r="G2416" s="5" t="str">
        <f>+IF('Data Pura Costos'!G2416="","",'Data Pura Costos'!G2416)</f>
        <v/>
      </c>
      <c r="H2416" s="52" t="str">
        <f>+IF('Data Pura Costos'!H2416="","",'Data Pura Costos'!H2416)</f>
        <v/>
      </c>
      <c r="I2416" s="71" t="str">
        <f>+IF('Data Pura Costos'!I2416="","",'Data Pura Costos'!I2416)</f>
        <v/>
      </c>
      <c r="J2416" s="52" t="str">
        <f>+IF('Data Pura Costos'!J2416="","",'Data Pura Costos'!J2416)</f>
        <v/>
      </c>
      <c r="K2416" s="82" t="str">
        <f t="shared" si="42"/>
        <v/>
      </c>
    </row>
    <row r="2417" spans="2:11" x14ac:dyDescent="0.35">
      <c r="B2417" s="4" t="str">
        <f>+IF('Data Pura Costos'!B2417="","",'Data Pura Costos'!B2417)</f>
        <v/>
      </c>
      <c r="C2417" s="4" t="str">
        <f>+IF('Data Pura Costos'!C2417="","",'Data Pura Costos'!C2417)</f>
        <v/>
      </c>
      <c r="D2417" s="5" t="str">
        <f>+IF('Data Pura Costos'!D2417="","",'Data Pura Costos'!D2417)</f>
        <v/>
      </c>
      <c r="E2417" s="65" t="str">
        <f>+IF('Data Pura Costos'!E2417="","",IF('Data Pura Costos'!E2417=0,MAX('Data Pura Costos'!$E$7:$E$3000)*1000,'Data Pura Costos'!E2417))</f>
        <v/>
      </c>
      <c r="F2417" s="5" t="str">
        <f>+IF('Data Pura Costos'!F2417="","",'Data Pura Costos'!F2417)</f>
        <v/>
      </c>
      <c r="G2417" s="5" t="str">
        <f>+IF('Data Pura Costos'!G2417="","",'Data Pura Costos'!G2417)</f>
        <v/>
      </c>
      <c r="H2417" s="52" t="str">
        <f>+IF('Data Pura Costos'!H2417="","",'Data Pura Costos'!H2417)</f>
        <v/>
      </c>
      <c r="I2417" s="71" t="str">
        <f>+IF('Data Pura Costos'!I2417="","",'Data Pura Costos'!I2417)</f>
        <v/>
      </c>
      <c r="J2417" s="52" t="str">
        <f>+IF('Data Pura Costos'!J2417="","",'Data Pura Costos'!J2417)</f>
        <v/>
      </c>
      <c r="K2417" s="82" t="str">
        <f t="shared" si="42"/>
        <v/>
      </c>
    </row>
    <row r="2418" spans="2:11" x14ac:dyDescent="0.35">
      <c r="B2418" s="4" t="str">
        <f>+IF('Data Pura Costos'!B2418="","",'Data Pura Costos'!B2418)</f>
        <v/>
      </c>
      <c r="C2418" s="4" t="str">
        <f>+IF('Data Pura Costos'!C2418="","",'Data Pura Costos'!C2418)</f>
        <v/>
      </c>
      <c r="D2418" s="5" t="str">
        <f>+IF('Data Pura Costos'!D2418="","",'Data Pura Costos'!D2418)</f>
        <v/>
      </c>
      <c r="E2418" s="65" t="str">
        <f>+IF('Data Pura Costos'!E2418="","",IF('Data Pura Costos'!E2418=0,MAX('Data Pura Costos'!$E$7:$E$3000)*1000,'Data Pura Costos'!E2418))</f>
        <v/>
      </c>
      <c r="F2418" s="5" t="str">
        <f>+IF('Data Pura Costos'!F2418="","",'Data Pura Costos'!F2418)</f>
        <v/>
      </c>
      <c r="G2418" s="5" t="str">
        <f>+IF('Data Pura Costos'!G2418="","",'Data Pura Costos'!G2418)</f>
        <v/>
      </c>
      <c r="H2418" s="52" t="str">
        <f>+IF('Data Pura Costos'!H2418="","",'Data Pura Costos'!H2418)</f>
        <v/>
      </c>
      <c r="I2418" s="71" t="str">
        <f>+IF('Data Pura Costos'!I2418="","",'Data Pura Costos'!I2418)</f>
        <v/>
      </c>
      <c r="J2418" s="52" t="str">
        <f>+IF('Data Pura Costos'!J2418="","",'Data Pura Costos'!J2418)</f>
        <v/>
      </c>
      <c r="K2418" s="82" t="str">
        <f t="shared" si="42"/>
        <v/>
      </c>
    </row>
    <row r="2419" spans="2:11" x14ac:dyDescent="0.35">
      <c r="B2419" s="4" t="str">
        <f>+IF('Data Pura Costos'!B2419="","",'Data Pura Costos'!B2419)</f>
        <v/>
      </c>
      <c r="C2419" s="4" t="str">
        <f>+IF('Data Pura Costos'!C2419="","",'Data Pura Costos'!C2419)</f>
        <v/>
      </c>
      <c r="D2419" s="5" t="str">
        <f>+IF('Data Pura Costos'!D2419="","",'Data Pura Costos'!D2419)</f>
        <v/>
      </c>
      <c r="E2419" s="65" t="str">
        <f>+IF('Data Pura Costos'!E2419="","",IF('Data Pura Costos'!E2419=0,MAX('Data Pura Costos'!$E$7:$E$3000)*1000,'Data Pura Costos'!E2419))</f>
        <v/>
      </c>
      <c r="F2419" s="5" t="str">
        <f>+IF('Data Pura Costos'!F2419="","",'Data Pura Costos'!F2419)</f>
        <v/>
      </c>
      <c r="G2419" s="5" t="str">
        <f>+IF('Data Pura Costos'!G2419="","",'Data Pura Costos'!G2419)</f>
        <v/>
      </c>
      <c r="H2419" s="52" t="str">
        <f>+IF('Data Pura Costos'!H2419="","",'Data Pura Costos'!H2419)</f>
        <v/>
      </c>
      <c r="I2419" s="71" t="str">
        <f>+IF('Data Pura Costos'!I2419="","",'Data Pura Costos'!I2419)</f>
        <v/>
      </c>
      <c r="J2419" s="52" t="str">
        <f>+IF('Data Pura Costos'!J2419="","",'Data Pura Costos'!J2419)</f>
        <v/>
      </c>
      <c r="K2419" s="82" t="str">
        <f t="shared" si="42"/>
        <v/>
      </c>
    </row>
    <row r="2420" spans="2:11" x14ac:dyDescent="0.35">
      <c r="B2420" s="4" t="str">
        <f>+IF('Data Pura Costos'!B2420="","",'Data Pura Costos'!B2420)</f>
        <v/>
      </c>
      <c r="C2420" s="4" t="str">
        <f>+IF('Data Pura Costos'!C2420="","",'Data Pura Costos'!C2420)</f>
        <v/>
      </c>
      <c r="D2420" s="5" t="str">
        <f>+IF('Data Pura Costos'!D2420="","",'Data Pura Costos'!D2420)</f>
        <v/>
      </c>
      <c r="E2420" s="65" t="str">
        <f>+IF('Data Pura Costos'!E2420="","",IF('Data Pura Costos'!E2420=0,MAX('Data Pura Costos'!$E$7:$E$3000)*1000,'Data Pura Costos'!E2420))</f>
        <v/>
      </c>
      <c r="F2420" s="5" t="str">
        <f>+IF('Data Pura Costos'!F2420="","",'Data Pura Costos'!F2420)</f>
        <v/>
      </c>
      <c r="G2420" s="5" t="str">
        <f>+IF('Data Pura Costos'!G2420="","",'Data Pura Costos'!G2420)</f>
        <v/>
      </c>
      <c r="H2420" s="52" t="str">
        <f>+IF('Data Pura Costos'!H2420="","",'Data Pura Costos'!H2420)</f>
        <v/>
      </c>
      <c r="I2420" s="71" t="str">
        <f>+IF('Data Pura Costos'!I2420="","",'Data Pura Costos'!I2420)</f>
        <v/>
      </c>
      <c r="J2420" s="52" t="str">
        <f>+IF('Data Pura Costos'!J2420="","",'Data Pura Costos'!J2420)</f>
        <v/>
      </c>
      <c r="K2420" s="82" t="str">
        <f t="shared" si="42"/>
        <v/>
      </c>
    </row>
    <row r="2421" spans="2:11" x14ac:dyDescent="0.35">
      <c r="B2421" s="4" t="str">
        <f>+IF('Data Pura Costos'!B2421="","",'Data Pura Costos'!B2421)</f>
        <v/>
      </c>
      <c r="C2421" s="4" t="str">
        <f>+IF('Data Pura Costos'!C2421="","",'Data Pura Costos'!C2421)</f>
        <v/>
      </c>
      <c r="D2421" s="5" t="str">
        <f>+IF('Data Pura Costos'!D2421="","",'Data Pura Costos'!D2421)</f>
        <v/>
      </c>
      <c r="E2421" s="65" t="str">
        <f>+IF('Data Pura Costos'!E2421="","",IF('Data Pura Costos'!E2421=0,MAX('Data Pura Costos'!$E$7:$E$3000)*1000,'Data Pura Costos'!E2421))</f>
        <v/>
      </c>
      <c r="F2421" s="5" t="str">
        <f>+IF('Data Pura Costos'!F2421="","",'Data Pura Costos'!F2421)</f>
        <v/>
      </c>
      <c r="G2421" s="5" t="str">
        <f>+IF('Data Pura Costos'!G2421="","",'Data Pura Costos'!G2421)</f>
        <v/>
      </c>
      <c r="H2421" s="52" t="str">
        <f>+IF('Data Pura Costos'!H2421="","",'Data Pura Costos'!H2421)</f>
        <v/>
      </c>
      <c r="I2421" s="71" t="str">
        <f>+IF('Data Pura Costos'!I2421="","",'Data Pura Costos'!I2421)</f>
        <v/>
      </c>
      <c r="J2421" s="52" t="str">
        <f>+IF('Data Pura Costos'!J2421="","",'Data Pura Costos'!J2421)</f>
        <v/>
      </c>
      <c r="K2421" s="82" t="str">
        <f t="shared" si="42"/>
        <v/>
      </c>
    </row>
    <row r="2422" spans="2:11" x14ac:dyDescent="0.35">
      <c r="B2422" s="4" t="str">
        <f>+IF('Data Pura Costos'!B2422="","",'Data Pura Costos'!B2422)</f>
        <v/>
      </c>
      <c r="C2422" s="4" t="str">
        <f>+IF('Data Pura Costos'!C2422="","",'Data Pura Costos'!C2422)</f>
        <v/>
      </c>
      <c r="D2422" s="5" t="str">
        <f>+IF('Data Pura Costos'!D2422="","",'Data Pura Costos'!D2422)</f>
        <v/>
      </c>
      <c r="E2422" s="65" t="str">
        <f>+IF('Data Pura Costos'!E2422="","",IF('Data Pura Costos'!E2422=0,MAX('Data Pura Costos'!$E$7:$E$3000)*1000,'Data Pura Costos'!E2422))</f>
        <v/>
      </c>
      <c r="F2422" s="5" t="str">
        <f>+IF('Data Pura Costos'!F2422="","",'Data Pura Costos'!F2422)</f>
        <v/>
      </c>
      <c r="G2422" s="5" t="str">
        <f>+IF('Data Pura Costos'!G2422="","",'Data Pura Costos'!G2422)</f>
        <v/>
      </c>
      <c r="H2422" s="52" t="str">
        <f>+IF('Data Pura Costos'!H2422="","",'Data Pura Costos'!H2422)</f>
        <v/>
      </c>
      <c r="I2422" s="71" t="str">
        <f>+IF('Data Pura Costos'!I2422="","",'Data Pura Costos'!I2422)</f>
        <v/>
      </c>
      <c r="J2422" s="52" t="str">
        <f>+IF('Data Pura Costos'!J2422="","",'Data Pura Costos'!J2422)</f>
        <v/>
      </c>
      <c r="K2422" s="82" t="str">
        <f t="shared" si="42"/>
        <v/>
      </c>
    </row>
    <row r="2423" spans="2:11" x14ac:dyDescent="0.35">
      <c r="B2423" s="4" t="str">
        <f>+IF('Data Pura Costos'!B2423="","",'Data Pura Costos'!B2423)</f>
        <v/>
      </c>
      <c r="C2423" s="4" t="str">
        <f>+IF('Data Pura Costos'!C2423="","",'Data Pura Costos'!C2423)</f>
        <v/>
      </c>
      <c r="D2423" s="5" t="str">
        <f>+IF('Data Pura Costos'!D2423="","",'Data Pura Costos'!D2423)</f>
        <v/>
      </c>
      <c r="E2423" s="65" t="str">
        <f>+IF('Data Pura Costos'!E2423="","",IF('Data Pura Costos'!E2423=0,MAX('Data Pura Costos'!$E$7:$E$3000)*1000,'Data Pura Costos'!E2423))</f>
        <v/>
      </c>
      <c r="F2423" s="5" t="str">
        <f>+IF('Data Pura Costos'!F2423="","",'Data Pura Costos'!F2423)</f>
        <v/>
      </c>
      <c r="G2423" s="5" t="str">
        <f>+IF('Data Pura Costos'!G2423="","",'Data Pura Costos'!G2423)</f>
        <v/>
      </c>
      <c r="H2423" s="52" t="str">
        <f>+IF('Data Pura Costos'!H2423="","",'Data Pura Costos'!H2423)</f>
        <v/>
      </c>
      <c r="I2423" s="71" t="str">
        <f>+IF('Data Pura Costos'!I2423="","",'Data Pura Costos'!I2423)</f>
        <v/>
      </c>
      <c r="J2423" s="52" t="str">
        <f>+IF('Data Pura Costos'!J2423="","",'Data Pura Costos'!J2423)</f>
        <v/>
      </c>
      <c r="K2423" s="82" t="str">
        <f t="shared" si="42"/>
        <v/>
      </c>
    </row>
    <row r="2424" spans="2:11" x14ac:dyDescent="0.35">
      <c r="B2424" s="4" t="str">
        <f>+IF('Data Pura Costos'!B2424="","",'Data Pura Costos'!B2424)</f>
        <v/>
      </c>
      <c r="C2424" s="4" t="str">
        <f>+IF('Data Pura Costos'!C2424="","",'Data Pura Costos'!C2424)</f>
        <v/>
      </c>
      <c r="D2424" s="5" t="str">
        <f>+IF('Data Pura Costos'!D2424="","",'Data Pura Costos'!D2424)</f>
        <v/>
      </c>
      <c r="E2424" s="65" t="str">
        <f>+IF('Data Pura Costos'!E2424="","",IF('Data Pura Costos'!E2424=0,MAX('Data Pura Costos'!$E$7:$E$3000)*1000,'Data Pura Costos'!E2424))</f>
        <v/>
      </c>
      <c r="F2424" s="5" t="str">
        <f>+IF('Data Pura Costos'!F2424="","",'Data Pura Costos'!F2424)</f>
        <v/>
      </c>
      <c r="G2424" s="5" t="str">
        <f>+IF('Data Pura Costos'!G2424="","",'Data Pura Costos'!G2424)</f>
        <v/>
      </c>
      <c r="H2424" s="52" t="str">
        <f>+IF('Data Pura Costos'!H2424="","",'Data Pura Costos'!H2424)</f>
        <v/>
      </c>
      <c r="I2424" s="71" t="str">
        <f>+IF('Data Pura Costos'!I2424="","",'Data Pura Costos'!I2424)</f>
        <v/>
      </c>
      <c r="J2424" s="52" t="str">
        <f>+IF('Data Pura Costos'!J2424="","",'Data Pura Costos'!J2424)</f>
        <v/>
      </c>
      <c r="K2424" s="82" t="str">
        <f t="shared" si="42"/>
        <v/>
      </c>
    </row>
    <row r="2425" spans="2:11" x14ac:dyDescent="0.35">
      <c r="B2425" s="4" t="str">
        <f>+IF('Data Pura Costos'!B2425="","",'Data Pura Costos'!B2425)</f>
        <v/>
      </c>
      <c r="C2425" s="4" t="str">
        <f>+IF('Data Pura Costos'!C2425="","",'Data Pura Costos'!C2425)</f>
        <v/>
      </c>
      <c r="D2425" s="5" t="str">
        <f>+IF('Data Pura Costos'!D2425="","",'Data Pura Costos'!D2425)</f>
        <v/>
      </c>
      <c r="E2425" s="65" t="str">
        <f>+IF('Data Pura Costos'!E2425="","",IF('Data Pura Costos'!E2425=0,MAX('Data Pura Costos'!$E$7:$E$3000)*1000,'Data Pura Costos'!E2425))</f>
        <v/>
      </c>
      <c r="F2425" s="5" t="str">
        <f>+IF('Data Pura Costos'!F2425="","",'Data Pura Costos'!F2425)</f>
        <v/>
      </c>
      <c r="G2425" s="5" t="str">
        <f>+IF('Data Pura Costos'!G2425="","",'Data Pura Costos'!G2425)</f>
        <v/>
      </c>
      <c r="H2425" s="52" t="str">
        <f>+IF('Data Pura Costos'!H2425="","",'Data Pura Costos'!H2425)</f>
        <v/>
      </c>
      <c r="I2425" s="71" t="str">
        <f>+IF('Data Pura Costos'!I2425="","",'Data Pura Costos'!I2425)</f>
        <v/>
      </c>
      <c r="J2425" s="52" t="str">
        <f>+IF('Data Pura Costos'!J2425="","",'Data Pura Costos'!J2425)</f>
        <v/>
      </c>
      <c r="K2425" s="82" t="str">
        <f t="shared" si="42"/>
        <v/>
      </c>
    </row>
    <row r="2426" spans="2:11" x14ac:dyDescent="0.35">
      <c r="B2426" s="4" t="str">
        <f>+IF('Data Pura Costos'!B2426="","",'Data Pura Costos'!B2426)</f>
        <v/>
      </c>
      <c r="C2426" s="4" t="str">
        <f>+IF('Data Pura Costos'!C2426="","",'Data Pura Costos'!C2426)</f>
        <v/>
      </c>
      <c r="D2426" s="5" t="str">
        <f>+IF('Data Pura Costos'!D2426="","",'Data Pura Costos'!D2426)</f>
        <v/>
      </c>
      <c r="E2426" s="65" t="str">
        <f>+IF('Data Pura Costos'!E2426="","",IF('Data Pura Costos'!E2426=0,MAX('Data Pura Costos'!$E$7:$E$3000)*1000,'Data Pura Costos'!E2426))</f>
        <v/>
      </c>
      <c r="F2426" s="5" t="str">
        <f>+IF('Data Pura Costos'!F2426="","",'Data Pura Costos'!F2426)</f>
        <v/>
      </c>
      <c r="G2426" s="5" t="str">
        <f>+IF('Data Pura Costos'!G2426="","",'Data Pura Costos'!G2426)</f>
        <v/>
      </c>
      <c r="H2426" s="52" t="str">
        <f>+IF('Data Pura Costos'!H2426="","",'Data Pura Costos'!H2426)</f>
        <v/>
      </c>
      <c r="I2426" s="71" t="str">
        <f>+IF('Data Pura Costos'!I2426="","",'Data Pura Costos'!I2426)</f>
        <v/>
      </c>
      <c r="J2426" s="52" t="str">
        <f>+IF('Data Pura Costos'!J2426="","",'Data Pura Costos'!J2426)</f>
        <v/>
      </c>
      <c r="K2426" s="82" t="str">
        <f t="shared" si="42"/>
        <v/>
      </c>
    </row>
    <row r="2427" spans="2:11" x14ac:dyDescent="0.35">
      <c r="B2427" s="4" t="str">
        <f>+IF('Data Pura Costos'!B2427="","",'Data Pura Costos'!B2427)</f>
        <v/>
      </c>
      <c r="C2427" s="4" t="str">
        <f>+IF('Data Pura Costos'!C2427="","",'Data Pura Costos'!C2427)</f>
        <v/>
      </c>
      <c r="D2427" s="5" t="str">
        <f>+IF('Data Pura Costos'!D2427="","",'Data Pura Costos'!D2427)</f>
        <v/>
      </c>
      <c r="E2427" s="65" t="str">
        <f>+IF('Data Pura Costos'!E2427="","",IF('Data Pura Costos'!E2427=0,MAX('Data Pura Costos'!$E$7:$E$3000)*1000,'Data Pura Costos'!E2427))</f>
        <v/>
      </c>
      <c r="F2427" s="5" t="str">
        <f>+IF('Data Pura Costos'!F2427="","",'Data Pura Costos'!F2427)</f>
        <v/>
      </c>
      <c r="G2427" s="5" t="str">
        <f>+IF('Data Pura Costos'!G2427="","",'Data Pura Costos'!G2427)</f>
        <v/>
      </c>
      <c r="H2427" s="52" t="str">
        <f>+IF('Data Pura Costos'!H2427="","",'Data Pura Costos'!H2427)</f>
        <v/>
      </c>
      <c r="I2427" s="71" t="str">
        <f>+IF('Data Pura Costos'!I2427="","",'Data Pura Costos'!I2427)</f>
        <v/>
      </c>
      <c r="J2427" s="52" t="str">
        <f>+IF('Data Pura Costos'!J2427="","",'Data Pura Costos'!J2427)</f>
        <v/>
      </c>
      <c r="K2427" s="82" t="str">
        <f t="shared" si="42"/>
        <v/>
      </c>
    </row>
    <row r="2428" spans="2:11" x14ac:dyDescent="0.35">
      <c r="B2428" s="4" t="str">
        <f>+IF('Data Pura Costos'!B2428="","",'Data Pura Costos'!B2428)</f>
        <v/>
      </c>
      <c r="C2428" s="4" t="str">
        <f>+IF('Data Pura Costos'!C2428="","",'Data Pura Costos'!C2428)</f>
        <v/>
      </c>
      <c r="D2428" s="5" t="str">
        <f>+IF('Data Pura Costos'!D2428="","",'Data Pura Costos'!D2428)</f>
        <v/>
      </c>
      <c r="E2428" s="65" t="str">
        <f>+IF('Data Pura Costos'!E2428="","",IF('Data Pura Costos'!E2428=0,MAX('Data Pura Costos'!$E$7:$E$3000)*1000,'Data Pura Costos'!E2428))</f>
        <v/>
      </c>
      <c r="F2428" s="5" t="str">
        <f>+IF('Data Pura Costos'!F2428="","",'Data Pura Costos'!F2428)</f>
        <v/>
      </c>
      <c r="G2428" s="5" t="str">
        <f>+IF('Data Pura Costos'!G2428="","",'Data Pura Costos'!G2428)</f>
        <v/>
      </c>
      <c r="H2428" s="52" t="str">
        <f>+IF('Data Pura Costos'!H2428="","",'Data Pura Costos'!H2428)</f>
        <v/>
      </c>
      <c r="I2428" s="71" t="str">
        <f>+IF('Data Pura Costos'!I2428="","",'Data Pura Costos'!I2428)</f>
        <v/>
      </c>
      <c r="J2428" s="52" t="str">
        <f>+IF('Data Pura Costos'!J2428="","",'Data Pura Costos'!J2428)</f>
        <v/>
      </c>
      <c r="K2428" s="82" t="str">
        <f t="shared" ref="K2428:K2491" si="43">+IF(B2428="","",CONCATENATE(B2428,"-",F2428,"-",G2428))</f>
        <v/>
      </c>
    </row>
    <row r="2429" spans="2:11" x14ac:dyDescent="0.35">
      <c r="B2429" s="4" t="str">
        <f>+IF('Data Pura Costos'!B2429="","",'Data Pura Costos'!B2429)</f>
        <v/>
      </c>
      <c r="C2429" s="4" t="str">
        <f>+IF('Data Pura Costos'!C2429="","",'Data Pura Costos'!C2429)</f>
        <v/>
      </c>
      <c r="D2429" s="5" t="str">
        <f>+IF('Data Pura Costos'!D2429="","",'Data Pura Costos'!D2429)</f>
        <v/>
      </c>
      <c r="E2429" s="65" t="str">
        <f>+IF('Data Pura Costos'!E2429="","",IF('Data Pura Costos'!E2429=0,MAX('Data Pura Costos'!$E$7:$E$3000)*1000,'Data Pura Costos'!E2429))</f>
        <v/>
      </c>
      <c r="F2429" s="5" t="str">
        <f>+IF('Data Pura Costos'!F2429="","",'Data Pura Costos'!F2429)</f>
        <v/>
      </c>
      <c r="G2429" s="5" t="str">
        <f>+IF('Data Pura Costos'!G2429="","",'Data Pura Costos'!G2429)</f>
        <v/>
      </c>
      <c r="H2429" s="52" t="str">
        <f>+IF('Data Pura Costos'!H2429="","",'Data Pura Costos'!H2429)</f>
        <v/>
      </c>
      <c r="I2429" s="71" t="str">
        <f>+IF('Data Pura Costos'!I2429="","",'Data Pura Costos'!I2429)</f>
        <v/>
      </c>
      <c r="J2429" s="52" t="str">
        <f>+IF('Data Pura Costos'!J2429="","",'Data Pura Costos'!J2429)</f>
        <v/>
      </c>
      <c r="K2429" s="82" t="str">
        <f t="shared" si="43"/>
        <v/>
      </c>
    </row>
    <row r="2430" spans="2:11" x14ac:dyDescent="0.35">
      <c r="B2430" s="4" t="str">
        <f>+IF('Data Pura Costos'!B2430="","",'Data Pura Costos'!B2430)</f>
        <v/>
      </c>
      <c r="C2430" s="4" t="str">
        <f>+IF('Data Pura Costos'!C2430="","",'Data Pura Costos'!C2430)</f>
        <v/>
      </c>
      <c r="D2430" s="5" t="str">
        <f>+IF('Data Pura Costos'!D2430="","",'Data Pura Costos'!D2430)</f>
        <v/>
      </c>
      <c r="E2430" s="65" t="str">
        <f>+IF('Data Pura Costos'!E2430="","",IF('Data Pura Costos'!E2430=0,MAX('Data Pura Costos'!$E$7:$E$3000)*1000,'Data Pura Costos'!E2430))</f>
        <v/>
      </c>
      <c r="F2430" s="5" t="str">
        <f>+IF('Data Pura Costos'!F2430="","",'Data Pura Costos'!F2430)</f>
        <v/>
      </c>
      <c r="G2430" s="5" t="str">
        <f>+IF('Data Pura Costos'!G2430="","",'Data Pura Costos'!G2430)</f>
        <v/>
      </c>
      <c r="H2430" s="52" t="str">
        <f>+IF('Data Pura Costos'!H2430="","",'Data Pura Costos'!H2430)</f>
        <v/>
      </c>
      <c r="I2430" s="71" t="str">
        <f>+IF('Data Pura Costos'!I2430="","",'Data Pura Costos'!I2430)</f>
        <v/>
      </c>
      <c r="J2430" s="52" t="str">
        <f>+IF('Data Pura Costos'!J2430="","",'Data Pura Costos'!J2430)</f>
        <v/>
      </c>
      <c r="K2430" s="82" t="str">
        <f t="shared" si="43"/>
        <v/>
      </c>
    </row>
    <row r="2431" spans="2:11" x14ac:dyDescent="0.35">
      <c r="B2431" s="4" t="str">
        <f>+IF('Data Pura Costos'!B2431="","",'Data Pura Costos'!B2431)</f>
        <v/>
      </c>
      <c r="C2431" s="4" t="str">
        <f>+IF('Data Pura Costos'!C2431="","",'Data Pura Costos'!C2431)</f>
        <v/>
      </c>
      <c r="D2431" s="5" t="str">
        <f>+IF('Data Pura Costos'!D2431="","",'Data Pura Costos'!D2431)</f>
        <v/>
      </c>
      <c r="E2431" s="65" t="str">
        <f>+IF('Data Pura Costos'!E2431="","",IF('Data Pura Costos'!E2431=0,MAX('Data Pura Costos'!$E$7:$E$3000)*1000,'Data Pura Costos'!E2431))</f>
        <v/>
      </c>
      <c r="F2431" s="5" t="str">
        <f>+IF('Data Pura Costos'!F2431="","",'Data Pura Costos'!F2431)</f>
        <v/>
      </c>
      <c r="G2431" s="5" t="str">
        <f>+IF('Data Pura Costos'!G2431="","",'Data Pura Costos'!G2431)</f>
        <v/>
      </c>
      <c r="H2431" s="52" t="str">
        <f>+IF('Data Pura Costos'!H2431="","",'Data Pura Costos'!H2431)</f>
        <v/>
      </c>
      <c r="I2431" s="71" t="str">
        <f>+IF('Data Pura Costos'!I2431="","",'Data Pura Costos'!I2431)</f>
        <v/>
      </c>
      <c r="J2431" s="52" t="str">
        <f>+IF('Data Pura Costos'!J2431="","",'Data Pura Costos'!J2431)</f>
        <v/>
      </c>
      <c r="K2431" s="82" t="str">
        <f t="shared" si="43"/>
        <v/>
      </c>
    </row>
    <row r="2432" spans="2:11" x14ac:dyDescent="0.35">
      <c r="B2432" s="4" t="str">
        <f>+IF('Data Pura Costos'!B2432="","",'Data Pura Costos'!B2432)</f>
        <v/>
      </c>
      <c r="C2432" s="4" t="str">
        <f>+IF('Data Pura Costos'!C2432="","",'Data Pura Costos'!C2432)</f>
        <v/>
      </c>
      <c r="D2432" s="5" t="str">
        <f>+IF('Data Pura Costos'!D2432="","",'Data Pura Costos'!D2432)</f>
        <v/>
      </c>
      <c r="E2432" s="65" t="str">
        <f>+IF('Data Pura Costos'!E2432="","",IF('Data Pura Costos'!E2432=0,MAX('Data Pura Costos'!$E$7:$E$3000)*1000,'Data Pura Costos'!E2432))</f>
        <v/>
      </c>
      <c r="F2432" s="5" t="str">
        <f>+IF('Data Pura Costos'!F2432="","",'Data Pura Costos'!F2432)</f>
        <v/>
      </c>
      <c r="G2432" s="5" t="str">
        <f>+IF('Data Pura Costos'!G2432="","",'Data Pura Costos'!G2432)</f>
        <v/>
      </c>
      <c r="H2432" s="52" t="str">
        <f>+IF('Data Pura Costos'!H2432="","",'Data Pura Costos'!H2432)</f>
        <v/>
      </c>
      <c r="I2432" s="71" t="str">
        <f>+IF('Data Pura Costos'!I2432="","",'Data Pura Costos'!I2432)</f>
        <v/>
      </c>
      <c r="J2432" s="52" t="str">
        <f>+IF('Data Pura Costos'!J2432="","",'Data Pura Costos'!J2432)</f>
        <v/>
      </c>
      <c r="K2432" s="82" t="str">
        <f t="shared" si="43"/>
        <v/>
      </c>
    </row>
    <row r="2433" spans="2:11" x14ac:dyDescent="0.35">
      <c r="B2433" s="4" t="str">
        <f>+IF('Data Pura Costos'!B2433="","",'Data Pura Costos'!B2433)</f>
        <v/>
      </c>
      <c r="C2433" s="4" t="str">
        <f>+IF('Data Pura Costos'!C2433="","",'Data Pura Costos'!C2433)</f>
        <v/>
      </c>
      <c r="D2433" s="5" t="str">
        <f>+IF('Data Pura Costos'!D2433="","",'Data Pura Costos'!D2433)</f>
        <v/>
      </c>
      <c r="E2433" s="65" t="str">
        <f>+IF('Data Pura Costos'!E2433="","",IF('Data Pura Costos'!E2433=0,MAX('Data Pura Costos'!$E$7:$E$3000)*1000,'Data Pura Costos'!E2433))</f>
        <v/>
      </c>
      <c r="F2433" s="5" t="str">
        <f>+IF('Data Pura Costos'!F2433="","",'Data Pura Costos'!F2433)</f>
        <v/>
      </c>
      <c r="G2433" s="5" t="str">
        <f>+IF('Data Pura Costos'!G2433="","",'Data Pura Costos'!G2433)</f>
        <v/>
      </c>
      <c r="H2433" s="52" t="str">
        <f>+IF('Data Pura Costos'!H2433="","",'Data Pura Costos'!H2433)</f>
        <v/>
      </c>
      <c r="I2433" s="71" t="str">
        <f>+IF('Data Pura Costos'!I2433="","",'Data Pura Costos'!I2433)</f>
        <v/>
      </c>
      <c r="J2433" s="52" t="str">
        <f>+IF('Data Pura Costos'!J2433="","",'Data Pura Costos'!J2433)</f>
        <v/>
      </c>
      <c r="K2433" s="82" t="str">
        <f t="shared" si="43"/>
        <v/>
      </c>
    </row>
    <row r="2434" spans="2:11" x14ac:dyDescent="0.35">
      <c r="B2434" s="4" t="str">
        <f>+IF('Data Pura Costos'!B2434="","",'Data Pura Costos'!B2434)</f>
        <v/>
      </c>
      <c r="C2434" s="4" t="str">
        <f>+IF('Data Pura Costos'!C2434="","",'Data Pura Costos'!C2434)</f>
        <v/>
      </c>
      <c r="D2434" s="5" t="str">
        <f>+IF('Data Pura Costos'!D2434="","",'Data Pura Costos'!D2434)</f>
        <v/>
      </c>
      <c r="E2434" s="65" t="str">
        <f>+IF('Data Pura Costos'!E2434="","",IF('Data Pura Costos'!E2434=0,MAX('Data Pura Costos'!$E$7:$E$3000)*1000,'Data Pura Costos'!E2434))</f>
        <v/>
      </c>
      <c r="F2434" s="5" t="str">
        <f>+IF('Data Pura Costos'!F2434="","",'Data Pura Costos'!F2434)</f>
        <v/>
      </c>
      <c r="G2434" s="5" t="str">
        <f>+IF('Data Pura Costos'!G2434="","",'Data Pura Costos'!G2434)</f>
        <v/>
      </c>
      <c r="H2434" s="52" t="str">
        <f>+IF('Data Pura Costos'!H2434="","",'Data Pura Costos'!H2434)</f>
        <v/>
      </c>
      <c r="I2434" s="71" t="str">
        <f>+IF('Data Pura Costos'!I2434="","",'Data Pura Costos'!I2434)</f>
        <v/>
      </c>
      <c r="J2434" s="52" t="str">
        <f>+IF('Data Pura Costos'!J2434="","",'Data Pura Costos'!J2434)</f>
        <v/>
      </c>
      <c r="K2434" s="82" t="str">
        <f t="shared" si="43"/>
        <v/>
      </c>
    </row>
    <row r="2435" spans="2:11" x14ac:dyDescent="0.35">
      <c r="B2435" s="4" t="str">
        <f>+IF('Data Pura Costos'!B2435="","",'Data Pura Costos'!B2435)</f>
        <v/>
      </c>
      <c r="C2435" s="4" t="str">
        <f>+IF('Data Pura Costos'!C2435="","",'Data Pura Costos'!C2435)</f>
        <v/>
      </c>
      <c r="D2435" s="5" t="str">
        <f>+IF('Data Pura Costos'!D2435="","",'Data Pura Costos'!D2435)</f>
        <v/>
      </c>
      <c r="E2435" s="65" t="str">
        <f>+IF('Data Pura Costos'!E2435="","",IF('Data Pura Costos'!E2435=0,MAX('Data Pura Costos'!$E$7:$E$3000)*1000,'Data Pura Costos'!E2435))</f>
        <v/>
      </c>
      <c r="F2435" s="5" t="str">
        <f>+IF('Data Pura Costos'!F2435="","",'Data Pura Costos'!F2435)</f>
        <v/>
      </c>
      <c r="G2435" s="5" t="str">
        <f>+IF('Data Pura Costos'!G2435="","",'Data Pura Costos'!G2435)</f>
        <v/>
      </c>
      <c r="H2435" s="52" t="str">
        <f>+IF('Data Pura Costos'!H2435="","",'Data Pura Costos'!H2435)</f>
        <v/>
      </c>
      <c r="I2435" s="71" t="str">
        <f>+IF('Data Pura Costos'!I2435="","",'Data Pura Costos'!I2435)</f>
        <v/>
      </c>
      <c r="J2435" s="52" t="str">
        <f>+IF('Data Pura Costos'!J2435="","",'Data Pura Costos'!J2435)</f>
        <v/>
      </c>
      <c r="K2435" s="82" t="str">
        <f t="shared" si="43"/>
        <v/>
      </c>
    </row>
    <row r="2436" spans="2:11" x14ac:dyDescent="0.35">
      <c r="B2436" s="4" t="str">
        <f>+IF('Data Pura Costos'!B2436="","",'Data Pura Costos'!B2436)</f>
        <v/>
      </c>
      <c r="C2436" s="4" t="str">
        <f>+IF('Data Pura Costos'!C2436="","",'Data Pura Costos'!C2436)</f>
        <v/>
      </c>
      <c r="D2436" s="5" t="str">
        <f>+IF('Data Pura Costos'!D2436="","",'Data Pura Costos'!D2436)</f>
        <v/>
      </c>
      <c r="E2436" s="65" t="str">
        <f>+IF('Data Pura Costos'!E2436="","",IF('Data Pura Costos'!E2436=0,MAX('Data Pura Costos'!$E$7:$E$3000)*1000,'Data Pura Costos'!E2436))</f>
        <v/>
      </c>
      <c r="F2436" s="5" t="str">
        <f>+IF('Data Pura Costos'!F2436="","",'Data Pura Costos'!F2436)</f>
        <v/>
      </c>
      <c r="G2436" s="5" t="str">
        <f>+IF('Data Pura Costos'!G2436="","",'Data Pura Costos'!G2436)</f>
        <v/>
      </c>
      <c r="H2436" s="52" t="str">
        <f>+IF('Data Pura Costos'!H2436="","",'Data Pura Costos'!H2436)</f>
        <v/>
      </c>
      <c r="I2436" s="71" t="str">
        <f>+IF('Data Pura Costos'!I2436="","",'Data Pura Costos'!I2436)</f>
        <v/>
      </c>
      <c r="J2436" s="52" t="str">
        <f>+IF('Data Pura Costos'!J2436="","",'Data Pura Costos'!J2436)</f>
        <v/>
      </c>
      <c r="K2436" s="82" t="str">
        <f t="shared" si="43"/>
        <v/>
      </c>
    </row>
    <row r="2437" spans="2:11" x14ac:dyDescent="0.35">
      <c r="B2437" s="4" t="str">
        <f>+IF('Data Pura Costos'!B2437="","",'Data Pura Costos'!B2437)</f>
        <v/>
      </c>
      <c r="C2437" s="4" t="str">
        <f>+IF('Data Pura Costos'!C2437="","",'Data Pura Costos'!C2437)</f>
        <v/>
      </c>
      <c r="D2437" s="5" t="str">
        <f>+IF('Data Pura Costos'!D2437="","",'Data Pura Costos'!D2437)</f>
        <v/>
      </c>
      <c r="E2437" s="65" t="str">
        <f>+IF('Data Pura Costos'!E2437="","",IF('Data Pura Costos'!E2437=0,MAX('Data Pura Costos'!$E$7:$E$3000)*1000,'Data Pura Costos'!E2437))</f>
        <v/>
      </c>
      <c r="F2437" s="5" t="str">
        <f>+IF('Data Pura Costos'!F2437="","",'Data Pura Costos'!F2437)</f>
        <v/>
      </c>
      <c r="G2437" s="5" t="str">
        <f>+IF('Data Pura Costos'!G2437="","",'Data Pura Costos'!G2437)</f>
        <v/>
      </c>
      <c r="H2437" s="52" t="str">
        <f>+IF('Data Pura Costos'!H2437="","",'Data Pura Costos'!H2437)</f>
        <v/>
      </c>
      <c r="I2437" s="71" t="str">
        <f>+IF('Data Pura Costos'!I2437="","",'Data Pura Costos'!I2437)</f>
        <v/>
      </c>
      <c r="J2437" s="52" t="str">
        <f>+IF('Data Pura Costos'!J2437="","",'Data Pura Costos'!J2437)</f>
        <v/>
      </c>
      <c r="K2437" s="82" t="str">
        <f t="shared" si="43"/>
        <v/>
      </c>
    </row>
    <row r="2438" spans="2:11" x14ac:dyDescent="0.35">
      <c r="B2438" s="4" t="str">
        <f>+IF('Data Pura Costos'!B2438="","",'Data Pura Costos'!B2438)</f>
        <v/>
      </c>
      <c r="C2438" s="4" t="str">
        <f>+IF('Data Pura Costos'!C2438="","",'Data Pura Costos'!C2438)</f>
        <v/>
      </c>
      <c r="D2438" s="5" t="str">
        <f>+IF('Data Pura Costos'!D2438="","",'Data Pura Costos'!D2438)</f>
        <v/>
      </c>
      <c r="E2438" s="65" t="str">
        <f>+IF('Data Pura Costos'!E2438="","",IF('Data Pura Costos'!E2438=0,MAX('Data Pura Costos'!$E$7:$E$3000)*1000,'Data Pura Costos'!E2438))</f>
        <v/>
      </c>
      <c r="F2438" s="5" t="str">
        <f>+IF('Data Pura Costos'!F2438="","",'Data Pura Costos'!F2438)</f>
        <v/>
      </c>
      <c r="G2438" s="5" t="str">
        <f>+IF('Data Pura Costos'!G2438="","",'Data Pura Costos'!G2438)</f>
        <v/>
      </c>
      <c r="H2438" s="52" t="str">
        <f>+IF('Data Pura Costos'!H2438="","",'Data Pura Costos'!H2438)</f>
        <v/>
      </c>
      <c r="I2438" s="71" t="str">
        <f>+IF('Data Pura Costos'!I2438="","",'Data Pura Costos'!I2438)</f>
        <v/>
      </c>
      <c r="J2438" s="52" t="str">
        <f>+IF('Data Pura Costos'!J2438="","",'Data Pura Costos'!J2438)</f>
        <v/>
      </c>
      <c r="K2438" s="82" t="str">
        <f t="shared" si="43"/>
        <v/>
      </c>
    </row>
    <row r="2439" spans="2:11" x14ac:dyDescent="0.35">
      <c r="B2439" s="4" t="str">
        <f>+IF('Data Pura Costos'!B2439="","",'Data Pura Costos'!B2439)</f>
        <v/>
      </c>
      <c r="C2439" s="4" t="str">
        <f>+IF('Data Pura Costos'!C2439="","",'Data Pura Costos'!C2439)</f>
        <v/>
      </c>
      <c r="D2439" s="5" t="str">
        <f>+IF('Data Pura Costos'!D2439="","",'Data Pura Costos'!D2439)</f>
        <v/>
      </c>
      <c r="E2439" s="65" t="str">
        <f>+IF('Data Pura Costos'!E2439="","",IF('Data Pura Costos'!E2439=0,MAX('Data Pura Costos'!$E$7:$E$3000)*1000,'Data Pura Costos'!E2439))</f>
        <v/>
      </c>
      <c r="F2439" s="5" t="str">
        <f>+IF('Data Pura Costos'!F2439="","",'Data Pura Costos'!F2439)</f>
        <v/>
      </c>
      <c r="G2439" s="5" t="str">
        <f>+IF('Data Pura Costos'!G2439="","",'Data Pura Costos'!G2439)</f>
        <v/>
      </c>
      <c r="H2439" s="52" t="str">
        <f>+IF('Data Pura Costos'!H2439="","",'Data Pura Costos'!H2439)</f>
        <v/>
      </c>
      <c r="I2439" s="71" t="str">
        <f>+IF('Data Pura Costos'!I2439="","",'Data Pura Costos'!I2439)</f>
        <v/>
      </c>
      <c r="J2439" s="52" t="str">
        <f>+IF('Data Pura Costos'!J2439="","",'Data Pura Costos'!J2439)</f>
        <v/>
      </c>
      <c r="K2439" s="82" t="str">
        <f t="shared" si="43"/>
        <v/>
      </c>
    </row>
    <row r="2440" spans="2:11" x14ac:dyDescent="0.35">
      <c r="B2440" s="4" t="str">
        <f>+IF('Data Pura Costos'!B2440="","",'Data Pura Costos'!B2440)</f>
        <v/>
      </c>
      <c r="C2440" s="4" t="str">
        <f>+IF('Data Pura Costos'!C2440="","",'Data Pura Costos'!C2440)</f>
        <v/>
      </c>
      <c r="D2440" s="5" t="str">
        <f>+IF('Data Pura Costos'!D2440="","",'Data Pura Costos'!D2440)</f>
        <v/>
      </c>
      <c r="E2440" s="65" t="str">
        <f>+IF('Data Pura Costos'!E2440="","",IF('Data Pura Costos'!E2440=0,MAX('Data Pura Costos'!$E$7:$E$3000)*1000,'Data Pura Costos'!E2440))</f>
        <v/>
      </c>
      <c r="F2440" s="5" t="str">
        <f>+IF('Data Pura Costos'!F2440="","",'Data Pura Costos'!F2440)</f>
        <v/>
      </c>
      <c r="G2440" s="5" t="str">
        <f>+IF('Data Pura Costos'!G2440="","",'Data Pura Costos'!G2440)</f>
        <v/>
      </c>
      <c r="H2440" s="52" t="str">
        <f>+IF('Data Pura Costos'!H2440="","",'Data Pura Costos'!H2440)</f>
        <v/>
      </c>
      <c r="I2440" s="71" t="str">
        <f>+IF('Data Pura Costos'!I2440="","",'Data Pura Costos'!I2440)</f>
        <v/>
      </c>
      <c r="J2440" s="52" t="str">
        <f>+IF('Data Pura Costos'!J2440="","",'Data Pura Costos'!J2440)</f>
        <v/>
      </c>
      <c r="K2440" s="82" t="str">
        <f t="shared" si="43"/>
        <v/>
      </c>
    </row>
    <row r="2441" spans="2:11" x14ac:dyDescent="0.35">
      <c r="B2441" s="4" t="str">
        <f>+IF('Data Pura Costos'!B2441="","",'Data Pura Costos'!B2441)</f>
        <v/>
      </c>
      <c r="C2441" s="4" t="str">
        <f>+IF('Data Pura Costos'!C2441="","",'Data Pura Costos'!C2441)</f>
        <v/>
      </c>
      <c r="D2441" s="5" t="str">
        <f>+IF('Data Pura Costos'!D2441="","",'Data Pura Costos'!D2441)</f>
        <v/>
      </c>
      <c r="E2441" s="65" t="str">
        <f>+IF('Data Pura Costos'!E2441="","",IF('Data Pura Costos'!E2441=0,MAX('Data Pura Costos'!$E$7:$E$3000)*1000,'Data Pura Costos'!E2441))</f>
        <v/>
      </c>
      <c r="F2441" s="5" t="str">
        <f>+IF('Data Pura Costos'!F2441="","",'Data Pura Costos'!F2441)</f>
        <v/>
      </c>
      <c r="G2441" s="5" t="str">
        <f>+IF('Data Pura Costos'!G2441="","",'Data Pura Costos'!G2441)</f>
        <v/>
      </c>
      <c r="H2441" s="52" t="str">
        <f>+IF('Data Pura Costos'!H2441="","",'Data Pura Costos'!H2441)</f>
        <v/>
      </c>
      <c r="I2441" s="71" t="str">
        <f>+IF('Data Pura Costos'!I2441="","",'Data Pura Costos'!I2441)</f>
        <v/>
      </c>
      <c r="J2441" s="52" t="str">
        <f>+IF('Data Pura Costos'!J2441="","",'Data Pura Costos'!J2441)</f>
        <v/>
      </c>
      <c r="K2441" s="82" t="str">
        <f t="shared" si="43"/>
        <v/>
      </c>
    </row>
    <row r="2442" spans="2:11" x14ac:dyDescent="0.35">
      <c r="B2442" s="4" t="str">
        <f>+IF('Data Pura Costos'!B2442="","",'Data Pura Costos'!B2442)</f>
        <v/>
      </c>
      <c r="C2442" s="4" t="str">
        <f>+IF('Data Pura Costos'!C2442="","",'Data Pura Costos'!C2442)</f>
        <v/>
      </c>
      <c r="D2442" s="5" t="str">
        <f>+IF('Data Pura Costos'!D2442="","",'Data Pura Costos'!D2442)</f>
        <v/>
      </c>
      <c r="E2442" s="65" t="str">
        <f>+IF('Data Pura Costos'!E2442="","",IF('Data Pura Costos'!E2442=0,MAX('Data Pura Costos'!$E$7:$E$3000)*1000,'Data Pura Costos'!E2442))</f>
        <v/>
      </c>
      <c r="F2442" s="5" t="str">
        <f>+IF('Data Pura Costos'!F2442="","",'Data Pura Costos'!F2442)</f>
        <v/>
      </c>
      <c r="G2442" s="5" t="str">
        <f>+IF('Data Pura Costos'!G2442="","",'Data Pura Costos'!G2442)</f>
        <v/>
      </c>
      <c r="H2442" s="52" t="str">
        <f>+IF('Data Pura Costos'!H2442="","",'Data Pura Costos'!H2442)</f>
        <v/>
      </c>
      <c r="I2442" s="71" t="str">
        <f>+IF('Data Pura Costos'!I2442="","",'Data Pura Costos'!I2442)</f>
        <v/>
      </c>
      <c r="J2442" s="52" t="str">
        <f>+IF('Data Pura Costos'!J2442="","",'Data Pura Costos'!J2442)</f>
        <v/>
      </c>
      <c r="K2442" s="82" t="str">
        <f t="shared" si="43"/>
        <v/>
      </c>
    </row>
    <row r="2443" spans="2:11" x14ac:dyDescent="0.35">
      <c r="B2443" s="4" t="str">
        <f>+IF('Data Pura Costos'!B2443="","",'Data Pura Costos'!B2443)</f>
        <v/>
      </c>
      <c r="C2443" s="4" t="str">
        <f>+IF('Data Pura Costos'!C2443="","",'Data Pura Costos'!C2443)</f>
        <v/>
      </c>
      <c r="D2443" s="5" t="str">
        <f>+IF('Data Pura Costos'!D2443="","",'Data Pura Costos'!D2443)</f>
        <v/>
      </c>
      <c r="E2443" s="65" t="str">
        <f>+IF('Data Pura Costos'!E2443="","",IF('Data Pura Costos'!E2443=0,MAX('Data Pura Costos'!$E$7:$E$3000)*1000,'Data Pura Costos'!E2443))</f>
        <v/>
      </c>
      <c r="F2443" s="5" t="str">
        <f>+IF('Data Pura Costos'!F2443="","",'Data Pura Costos'!F2443)</f>
        <v/>
      </c>
      <c r="G2443" s="5" t="str">
        <f>+IF('Data Pura Costos'!G2443="","",'Data Pura Costos'!G2443)</f>
        <v/>
      </c>
      <c r="H2443" s="52" t="str">
        <f>+IF('Data Pura Costos'!H2443="","",'Data Pura Costos'!H2443)</f>
        <v/>
      </c>
      <c r="I2443" s="71" t="str">
        <f>+IF('Data Pura Costos'!I2443="","",'Data Pura Costos'!I2443)</f>
        <v/>
      </c>
      <c r="J2443" s="52" t="str">
        <f>+IF('Data Pura Costos'!J2443="","",'Data Pura Costos'!J2443)</f>
        <v/>
      </c>
      <c r="K2443" s="82" t="str">
        <f t="shared" si="43"/>
        <v/>
      </c>
    </row>
    <row r="2444" spans="2:11" x14ac:dyDescent="0.35">
      <c r="B2444" s="4" t="str">
        <f>+IF('Data Pura Costos'!B2444="","",'Data Pura Costos'!B2444)</f>
        <v/>
      </c>
      <c r="C2444" s="4" t="str">
        <f>+IF('Data Pura Costos'!C2444="","",'Data Pura Costos'!C2444)</f>
        <v/>
      </c>
      <c r="D2444" s="5" t="str">
        <f>+IF('Data Pura Costos'!D2444="","",'Data Pura Costos'!D2444)</f>
        <v/>
      </c>
      <c r="E2444" s="65" t="str">
        <f>+IF('Data Pura Costos'!E2444="","",IF('Data Pura Costos'!E2444=0,MAX('Data Pura Costos'!$E$7:$E$3000)*1000,'Data Pura Costos'!E2444))</f>
        <v/>
      </c>
      <c r="F2444" s="5" t="str">
        <f>+IF('Data Pura Costos'!F2444="","",'Data Pura Costos'!F2444)</f>
        <v/>
      </c>
      <c r="G2444" s="5" t="str">
        <f>+IF('Data Pura Costos'!G2444="","",'Data Pura Costos'!G2444)</f>
        <v/>
      </c>
      <c r="H2444" s="52" t="str">
        <f>+IF('Data Pura Costos'!H2444="","",'Data Pura Costos'!H2444)</f>
        <v/>
      </c>
      <c r="I2444" s="71" t="str">
        <f>+IF('Data Pura Costos'!I2444="","",'Data Pura Costos'!I2444)</f>
        <v/>
      </c>
      <c r="J2444" s="52" t="str">
        <f>+IF('Data Pura Costos'!J2444="","",'Data Pura Costos'!J2444)</f>
        <v/>
      </c>
      <c r="K2444" s="82" t="str">
        <f t="shared" si="43"/>
        <v/>
      </c>
    </row>
    <row r="2445" spans="2:11" x14ac:dyDescent="0.35">
      <c r="B2445" s="4" t="str">
        <f>+IF('Data Pura Costos'!B2445="","",'Data Pura Costos'!B2445)</f>
        <v/>
      </c>
      <c r="C2445" s="4" t="str">
        <f>+IF('Data Pura Costos'!C2445="","",'Data Pura Costos'!C2445)</f>
        <v/>
      </c>
      <c r="D2445" s="5" t="str">
        <f>+IF('Data Pura Costos'!D2445="","",'Data Pura Costos'!D2445)</f>
        <v/>
      </c>
      <c r="E2445" s="65" t="str">
        <f>+IF('Data Pura Costos'!E2445="","",IF('Data Pura Costos'!E2445=0,MAX('Data Pura Costos'!$E$7:$E$3000)*1000,'Data Pura Costos'!E2445))</f>
        <v/>
      </c>
      <c r="F2445" s="5" t="str">
        <f>+IF('Data Pura Costos'!F2445="","",'Data Pura Costos'!F2445)</f>
        <v/>
      </c>
      <c r="G2445" s="5" t="str">
        <f>+IF('Data Pura Costos'!G2445="","",'Data Pura Costos'!G2445)</f>
        <v/>
      </c>
      <c r="H2445" s="52" t="str">
        <f>+IF('Data Pura Costos'!H2445="","",'Data Pura Costos'!H2445)</f>
        <v/>
      </c>
      <c r="I2445" s="71" t="str">
        <f>+IF('Data Pura Costos'!I2445="","",'Data Pura Costos'!I2445)</f>
        <v/>
      </c>
      <c r="J2445" s="52" t="str">
        <f>+IF('Data Pura Costos'!J2445="","",'Data Pura Costos'!J2445)</f>
        <v/>
      </c>
      <c r="K2445" s="82" t="str">
        <f t="shared" si="43"/>
        <v/>
      </c>
    </row>
    <row r="2446" spans="2:11" x14ac:dyDescent="0.35">
      <c r="B2446" s="4" t="str">
        <f>+IF('Data Pura Costos'!B2446="","",'Data Pura Costos'!B2446)</f>
        <v/>
      </c>
      <c r="C2446" s="4" t="str">
        <f>+IF('Data Pura Costos'!C2446="","",'Data Pura Costos'!C2446)</f>
        <v/>
      </c>
      <c r="D2446" s="5" t="str">
        <f>+IF('Data Pura Costos'!D2446="","",'Data Pura Costos'!D2446)</f>
        <v/>
      </c>
      <c r="E2446" s="65" t="str">
        <f>+IF('Data Pura Costos'!E2446="","",IF('Data Pura Costos'!E2446=0,MAX('Data Pura Costos'!$E$7:$E$3000)*1000,'Data Pura Costos'!E2446))</f>
        <v/>
      </c>
      <c r="F2446" s="5" t="str">
        <f>+IF('Data Pura Costos'!F2446="","",'Data Pura Costos'!F2446)</f>
        <v/>
      </c>
      <c r="G2446" s="5" t="str">
        <f>+IF('Data Pura Costos'!G2446="","",'Data Pura Costos'!G2446)</f>
        <v/>
      </c>
      <c r="H2446" s="52" t="str">
        <f>+IF('Data Pura Costos'!H2446="","",'Data Pura Costos'!H2446)</f>
        <v/>
      </c>
      <c r="I2446" s="71" t="str">
        <f>+IF('Data Pura Costos'!I2446="","",'Data Pura Costos'!I2446)</f>
        <v/>
      </c>
      <c r="J2446" s="52" t="str">
        <f>+IF('Data Pura Costos'!J2446="","",'Data Pura Costos'!J2446)</f>
        <v/>
      </c>
      <c r="K2446" s="82" t="str">
        <f t="shared" si="43"/>
        <v/>
      </c>
    </row>
    <row r="2447" spans="2:11" x14ac:dyDescent="0.35">
      <c r="B2447" s="4" t="str">
        <f>+IF('Data Pura Costos'!B2447="","",'Data Pura Costos'!B2447)</f>
        <v/>
      </c>
      <c r="C2447" s="4" t="str">
        <f>+IF('Data Pura Costos'!C2447="","",'Data Pura Costos'!C2447)</f>
        <v/>
      </c>
      <c r="D2447" s="5" t="str">
        <f>+IF('Data Pura Costos'!D2447="","",'Data Pura Costos'!D2447)</f>
        <v/>
      </c>
      <c r="E2447" s="65" t="str">
        <f>+IF('Data Pura Costos'!E2447="","",IF('Data Pura Costos'!E2447=0,MAX('Data Pura Costos'!$E$7:$E$3000)*1000,'Data Pura Costos'!E2447))</f>
        <v/>
      </c>
      <c r="F2447" s="5" t="str">
        <f>+IF('Data Pura Costos'!F2447="","",'Data Pura Costos'!F2447)</f>
        <v/>
      </c>
      <c r="G2447" s="5" t="str">
        <f>+IF('Data Pura Costos'!G2447="","",'Data Pura Costos'!G2447)</f>
        <v/>
      </c>
      <c r="H2447" s="52" t="str">
        <f>+IF('Data Pura Costos'!H2447="","",'Data Pura Costos'!H2447)</f>
        <v/>
      </c>
      <c r="I2447" s="71" t="str">
        <f>+IF('Data Pura Costos'!I2447="","",'Data Pura Costos'!I2447)</f>
        <v/>
      </c>
      <c r="J2447" s="52" t="str">
        <f>+IF('Data Pura Costos'!J2447="","",'Data Pura Costos'!J2447)</f>
        <v/>
      </c>
      <c r="K2447" s="82" t="str">
        <f t="shared" si="43"/>
        <v/>
      </c>
    </row>
    <row r="2448" spans="2:11" x14ac:dyDescent="0.35">
      <c r="B2448" s="4" t="str">
        <f>+IF('Data Pura Costos'!B2448="","",'Data Pura Costos'!B2448)</f>
        <v/>
      </c>
      <c r="C2448" s="4" t="str">
        <f>+IF('Data Pura Costos'!C2448="","",'Data Pura Costos'!C2448)</f>
        <v/>
      </c>
      <c r="D2448" s="5" t="str">
        <f>+IF('Data Pura Costos'!D2448="","",'Data Pura Costos'!D2448)</f>
        <v/>
      </c>
      <c r="E2448" s="65" t="str">
        <f>+IF('Data Pura Costos'!E2448="","",IF('Data Pura Costos'!E2448=0,MAX('Data Pura Costos'!$E$7:$E$3000)*1000,'Data Pura Costos'!E2448))</f>
        <v/>
      </c>
      <c r="F2448" s="5" t="str">
        <f>+IF('Data Pura Costos'!F2448="","",'Data Pura Costos'!F2448)</f>
        <v/>
      </c>
      <c r="G2448" s="5" t="str">
        <f>+IF('Data Pura Costos'!G2448="","",'Data Pura Costos'!G2448)</f>
        <v/>
      </c>
      <c r="H2448" s="52" t="str">
        <f>+IF('Data Pura Costos'!H2448="","",'Data Pura Costos'!H2448)</f>
        <v/>
      </c>
      <c r="I2448" s="71" t="str">
        <f>+IF('Data Pura Costos'!I2448="","",'Data Pura Costos'!I2448)</f>
        <v/>
      </c>
      <c r="J2448" s="52" t="str">
        <f>+IF('Data Pura Costos'!J2448="","",'Data Pura Costos'!J2448)</f>
        <v/>
      </c>
      <c r="K2448" s="82" t="str">
        <f t="shared" si="43"/>
        <v/>
      </c>
    </row>
    <row r="2449" spans="2:11" x14ac:dyDescent="0.35">
      <c r="B2449" s="4" t="str">
        <f>+IF('Data Pura Costos'!B2449="","",'Data Pura Costos'!B2449)</f>
        <v/>
      </c>
      <c r="C2449" s="4" t="str">
        <f>+IF('Data Pura Costos'!C2449="","",'Data Pura Costos'!C2449)</f>
        <v/>
      </c>
      <c r="D2449" s="5" t="str">
        <f>+IF('Data Pura Costos'!D2449="","",'Data Pura Costos'!D2449)</f>
        <v/>
      </c>
      <c r="E2449" s="65" t="str">
        <f>+IF('Data Pura Costos'!E2449="","",IF('Data Pura Costos'!E2449=0,MAX('Data Pura Costos'!$E$7:$E$3000)*1000,'Data Pura Costos'!E2449))</f>
        <v/>
      </c>
      <c r="F2449" s="5" t="str">
        <f>+IF('Data Pura Costos'!F2449="","",'Data Pura Costos'!F2449)</f>
        <v/>
      </c>
      <c r="G2449" s="5" t="str">
        <f>+IF('Data Pura Costos'!G2449="","",'Data Pura Costos'!G2449)</f>
        <v/>
      </c>
      <c r="H2449" s="52" t="str">
        <f>+IF('Data Pura Costos'!H2449="","",'Data Pura Costos'!H2449)</f>
        <v/>
      </c>
      <c r="I2449" s="71" t="str">
        <f>+IF('Data Pura Costos'!I2449="","",'Data Pura Costos'!I2449)</f>
        <v/>
      </c>
      <c r="J2449" s="52" t="str">
        <f>+IF('Data Pura Costos'!J2449="","",'Data Pura Costos'!J2449)</f>
        <v/>
      </c>
      <c r="K2449" s="82" t="str">
        <f t="shared" si="43"/>
        <v/>
      </c>
    </row>
    <row r="2450" spans="2:11" x14ac:dyDescent="0.35">
      <c r="B2450" s="4" t="str">
        <f>+IF('Data Pura Costos'!B2450="","",'Data Pura Costos'!B2450)</f>
        <v/>
      </c>
      <c r="C2450" s="4" t="str">
        <f>+IF('Data Pura Costos'!C2450="","",'Data Pura Costos'!C2450)</f>
        <v/>
      </c>
      <c r="D2450" s="5" t="str">
        <f>+IF('Data Pura Costos'!D2450="","",'Data Pura Costos'!D2450)</f>
        <v/>
      </c>
      <c r="E2450" s="65" t="str">
        <f>+IF('Data Pura Costos'!E2450="","",IF('Data Pura Costos'!E2450=0,MAX('Data Pura Costos'!$E$7:$E$3000)*1000,'Data Pura Costos'!E2450))</f>
        <v/>
      </c>
      <c r="F2450" s="5" t="str">
        <f>+IF('Data Pura Costos'!F2450="","",'Data Pura Costos'!F2450)</f>
        <v/>
      </c>
      <c r="G2450" s="5" t="str">
        <f>+IF('Data Pura Costos'!G2450="","",'Data Pura Costos'!G2450)</f>
        <v/>
      </c>
      <c r="H2450" s="52" t="str">
        <f>+IF('Data Pura Costos'!H2450="","",'Data Pura Costos'!H2450)</f>
        <v/>
      </c>
      <c r="I2450" s="71" t="str">
        <f>+IF('Data Pura Costos'!I2450="","",'Data Pura Costos'!I2450)</f>
        <v/>
      </c>
      <c r="J2450" s="52" t="str">
        <f>+IF('Data Pura Costos'!J2450="","",'Data Pura Costos'!J2450)</f>
        <v/>
      </c>
      <c r="K2450" s="82" t="str">
        <f t="shared" si="43"/>
        <v/>
      </c>
    </row>
    <row r="2451" spans="2:11" x14ac:dyDescent="0.35">
      <c r="B2451" s="4" t="str">
        <f>+IF('Data Pura Costos'!B2451="","",'Data Pura Costos'!B2451)</f>
        <v/>
      </c>
      <c r="C2451" s="4" t="str">
        <f>+IF('Data Pura Costos'!C2451="","",'Data Pura Costos'!C2451)</f>
        <v/>
      </c>
      <c r="D2451" s="5" t="str">
        <f>+IF('Data Pura Costos'!D2451="","",'Data Pura Costos'!D2451)</f>
        <v/>
      </c>
      <c r="E2451" s="65" t="str">
        <f>+IF('Data Pura Costos'!E2451="","",IF('Data Pura Costos'!E2451=0,MAX('Data Pura Costos'!$E$7:$E$3000)*1000,'Data Pura Costos'!E2451))</f>
        <v/>
      </c>
      <c r="F2451" s="5" t="str">
        <f>+IF('Data Pura Costos'!F2451="","",'Data Pura Costos'!F2451)</f>
        <v/>
      </c>
      <c r="G2451" s="5" t="str">
        <f>+IF('Data Pura Costos'!G2451="","",'Data Pura Costos'!G2451)</f>
        <v/>
      </c>
      <c r="H2451" s="52" t="str">
        <f>+IF('Data Pura Costos'!H2451="","",'Data Pura Costos'!H2451)</f>
        <v/>
      </c>
      <c r="I2451" s="71" t="str">
        <f>+IF('Data Pura Costos'!I2451="","",'Data Pura Costos'!I2451)</f>
        <v/>
      </c>
      <c r="J2451" s="52" t="str">
        <f>+IF('Data Pura Costos'!J2451="","",'Data Pura Costos'!J2451)</f>
        <v/>
      </c>
      <c r="K2451" s="82" t="str">
        <f t="shared" si="43"/>
        <v/>
      </c>
    </row>
    <row r="2452" spans="2:11" x14ac:dyDescent="0.35">
      <c r="B2452" s="4" t="str">
        <f>+IF('Data Pura Costos'!B2452="","",'Data Pura Costos'!B2452)</f>
        <v/>
      </c>
      <c r="C2452" s="4" t="str">
        <f>+IF('Data Pura Costos'!C2452="","",'Data Pura Costos'!C2452)</f>
        <v/>
      </c>
      <c r="D2452" s="5" t="str">
        <f>+IF('Data Pura Costos'!D2452="","",'Data Pura Costos'!D2452)</f>
        <v/>
      </c>
      <c r="E2452" s="65" t="str">
        <f>+IF('Data Pura Costos'!E2452="","",IF('Data Pura Costos'!E2452=0,MAX('Data Pura Costos'!$E$7:$E$3000)*1000,'Data Pura Costos'!E2452))</f>
        <v/>
      </c>
      <c r="F2452" s="5" t="str">
        <f>+IF('Data Pura Costos'!F2452="","",'Data Pura Costos'!F2452)</f>
        <v/>
      </c>
      <c r="G2452" s="5" t="str">
        <f>+IF('Data Pura Costos'!G2452="","",'Data Pura Costos'!G2452)</f>
        <v/>
      </c>
      <c r="H2452" s="52" t="str">
        <f>+IF('Data Pura Costos'!H2452="","",'Data Pura Costos'!H2452)</f>
        <v/>
      </c>
      <c r="I2452" s="71" t="str">
        <f>+IF('Data Pura Costos'!I2452="","",'Data Pura Costos'!I2452)</f>
        <v/>
      </c>
      <c r="J2452" s="52" t="str">
        <f>+IF('Data Pura Costos'!J2452="","",'Data Pura Costos'!J2452)</f>
        <v/>
      </c>
      <c r="K2452" s="82" t="str">
        <f t="shared" si="43"/>
        <v/>
      </c>
    </row>
    <row r="2453" spans="2:11" x14ac:dyDescent="0.35">
      <c r="B2453" s="4" t="str">
        <f>+IF('Data Pura Costos'!B2453="","",'Data Pura Costos'!B2453)</f>
        <v/>
      </c>
      <c r="C2453" s="4" t="str">
        <f>+IF('Data Pura Costos'!C2453="","",'Data Pura Costos'!C2453)</f>
        <v/>
      </c>
      <c r="D2453" s="5" t="str">
        <f>+IF('Data Pura Costos'!D2453="","",'Data Pura Costos'!D2453)</f>
        <v/>
      </c>
      <c r="E2453" s="65" t="str">
        <f>+IF('Data Pura Costos'!E2453="","",IF('Data Pura Costos'!E2453=0,MAX('Data Pura Costos'!$E$7:$E$3000)*1000,'Data Pura Costos'!E2453))</f>
        <v/>
      </c>
      <c r="F2453" s="5" t="str">
        <f>+IF('Data Pura Costos'!F2453="","",'Data Pura Costos'!F2453)</f>
        <v/>
      </c>
      <c r="G2453" s="5" t="str">
        <f>+IF('Data Pura Costos'!G2453="","",'Data Pura Costos'!G2453)</f>
        <v/>
      </c>
      <c r="H2453" s="52" t="str">
        <f>+IF('Data Pura Costos'!H2453="","",'Data Pura Costos'!H2453)</f>
        <v/>
      </c>
      <c r="I2453" s="71" t="str">
        <f>+IF('Data Pura Costos'!I2453="","",'Data Pura Costos'!I2453)</f>
        <v/>
      </c>
      <c r="J2453" s="52" t="str">
        <f>+IF('Data Pura Costos'!J2453="","",'Data Pura Costos'!J2453)</f>
        <v/>
      </c>
      <c r="K2453" s="82" t="str">
        <f t="shared" si="43"/>
        <v/>
      </c>
    </row>
    <row r="2454" spans="2:11" x14ac:dyDescent="0.35">
      <c r="B2454" s="4" t="str">
        <f>+IF('Data Pura Costos'!B2454="","",'Data Pura Costos'!B2454)</f>
        <v/>
      </c>
      <c r="C2454" s="4" t="str">
        <f>+IF('Data Pura Costos'!C2454="","",'Data Pura Costos'!C2454)</f>
        <v/>
      </c>
      <c r="D2454" s="5" t="str">
        <f>+IF('Data Pura Costos'!D2454="","",'Data Pura Costos'!D2454)</f>
        <v/>
      </c>
      <c r="E2454" s="65" t="str">
        <f>+IF('Data Pura Costos'!E2454="","",IF('Data Pura Costos'!E2454=0,MAX('Data Pura Costos'!$E$7:$E$3000)*1000,'Data Pura Costos'!E2454))</f>
        <v/>
      </c>
      <c r="F2454" s="5" t="str">
        <f>+IF('Data Pura Costos'!F2454="","",'Data Pura Costos'!F2454)</f>
        <v/>
      </c>
      <c r="G2454" s="5" t="str">
        <f>+IF('Data Pura Costos'!G2454="","",'Data Pura Costos'!G2454)</f>
        <v/>
      </c>
      <c r="H2454" s="52" t="str">
        <f>+IF('Data Pura Costos'!H2454="","",'Data Pura Costos'!H2454)</f>
        <v/>
      </c>
      <c r="I2454" s="71" t="str">
        <f>+IF('Data Pura Costos'!I2454="","",'Data Pura Costos'!I2454)</f>
        <v/>
      </c>
      <c r="J2454" s="52" t="str">
        <f>+IF('Data Pura Costos'!J2454="","",'Data Pura Costos'!J2454)</f>
        <v/>
      </c>
      <c r="K2454" s="82" t="str">
        <f t="shared" si="43"/>
        <v/>
      </c>
    </row>
    <row r="2455" spans="2:11" x14ac:dyDescent="0.35">
      <c r="B2455" s="4" t="str">
        <f>+IF('Data Pura Costos'!B2455="","",'Data Pura Costos'!B2455)</f>
        <v/>
      </c>
      <c r="C2455" s="4" t="str">
        <f>+IF('Data Pura Costos'!C2455="","",'Data Pura Costos'!C2455)</f>
        <v/>
      </c>
      <c r="D2455" s="5" t="str">
        <f>+IF('Data Pura Costos'!D2455="","",'Data Pura Costos'!D2455)</f>
        <v/>
      </c>
      <c r="E2455" s="65" t="str">
        <f>+IF('Data Pura Costos'!E2455="","",IF('Data Pura Costos'!E2455=0,MAX('Data Pura Costos'!$E$7:$E$3000)*1000,'Data Pura Costos'!E2455))</f>
        <v/>
      </c>
      <c r="F2455" s="5" t="str">
        <f>+IF('Data Pura Costos'!F2455="","",'Data Pura Costos'!F2455)</f>
        <v/>
      </c>
      <c r="G2455" s="5" t="str">
        <f>+IF('Data Pura Costos'!G2455="","",'Data Pura Costos'!G2455)</f>
        <v/>
      </c>
      <c r="H2455" s="52" t="str">
        <f>+IF('Data Pura Costos'!H2455="","",'Data Pura Costos'!H2455)</f>
        <v/>
      </c>
      <c r="I2455" s="71" t="str">
        <f>+IF('Data Pura Costos'!I2455="","",'Data Pura Costos'!I2455)</f>
        <v/>
      </c>
      <c r="J2455" s="52" t="str">
        <f>+IF('Data Pura Costos'!J2455="","",'Data Pura Costos'!J2455)</f>
        <v/>
      </c>
      <c r="K2455" s="82" t="str">
        <f t="shared" si="43"/>
        <v/>
      </c>
    </row>
    <row r="2456" spans="2:11" x14ac:dyDescent="0.35">
      <c r="B2456" s="4" t="str">
        <f>+IF('Data Pura Costos'!B2456="","",'Data Pura Costos'!B2456)</f>
        <v/>
      </c>
      <c r="C2456" s="4" t="str">
        <f>+IF('Data Pura Costos'!C2456="","",'Data Pura Costos'!C2456)</f>
        <v/>
      </c>
      <c r="D2456" s="5" t="str">
        <f>+IF('Data Pura Costos'!D2456="","",'Data Pura Costos'!D2456)</f>
        <v/>
      </c>
      <c r="E2456" s="65" t="str">
        <f>+IF('Data Pura Costos'!E2456="","",IF('Data Pura Costos'!E2456=0,MAX('Data Pura Costos'!$E$7:$E$3000)*1000,'Data Pura Costos'!E2456))</f>
        <v/>
      </c>
      <c r="F2456" s="5" t="str">
        <f>+IF('Data Pura Costos'!F2456="","",'Data Pura Costos'!F2456)</f>
        <v/>
      </c>
      <c r="G2456" s="5" t="str">
        <f>+IF('Data Pura Costos'!G2456="","",'Data Pura Costos'!G2456)</f>
        <v/>
      </c>
      <c r="H2456" s="52" t="str">
        <f>+IF('Data Pura Costos'!H2456="","",'Data Pura Costos'!H2456)</f>
        <v/>
      </c>
      <c r="I2456" s="71" t="str">
        <f>+IF('Data Pura Costos'!I2456="","",'Data Pura Costos'!I2456)</f>
        <v/>
      </c>
      <c r="J2456" s="52" t="str">
        <f>+IF('Data Pura Costos'!J2456="","",'Data Pura Costos'!J2456)</f>
        <v/>
      </c>
      <c r="K2456" s="82" t="str">
        <f t="shared" si="43"/>
        <v/>
      </c>
    </row>
    <row r="2457" spans="2:11" x14ac:dyDescent="0.35">
      <c r="B2457" s="4" t="str">
        <f>+IF('Data Pura Costos'!B2457="","",'Data Pura Costos'!B2457)</f>
        <v/>
      </c>
      <c r="C2457" s="4" t="str">
        <f>+IF('Data Pura Costos'!C2457="","",'Data Pura Costos'!C2457)</f>
        <v/>
      </c>
      <c r="D2457" s="5" t="str">
        <f>+IF('Data Pura Costos'!D2457="","",'Data Pura Costos'!D2457)</f>
        <v/>
      </c>
      <c r="E2457" s="65" t="str">
        <f>+IF('Data Pura Costos'!E2457="","",IF('Data Pura Costos'!E2457=0,MAX('Data Pura Costos'!$E$7:$E$3000)*1000,'Data Pura Costos'!E2457))</f>
        <v/>
      </c>
      <c r="F2457" s="5" t="str">
        <f>+IF('Data Pura Costos'!F2457="","",'Data Pura Costos'!F2457)</f>
        <v/>
      </c>
      <c r="G2457" s="5" t="str">
        <f>+IF('Data Pura Costos'!G2457="","",'Data Pura Costos'!G2457)</f>
        <v/>
      </c>
      <c r="H2457" s="52" t="str">
        <f>+IF('Data Pura Costos'!H2457="","",'Data Pura Costos'!H2457)</f>
        <v/>
      </c>
      <c r="I2457" s="71" t="str">
        <f>+IF('Data Pura Costos'!I2457="","",'Data Pura Costos'!I2457)</f>
        <v/>
      </c>
      <c r="J2457" s="52" t="str">
        <f>+IF('Data Pura Costos'!J2457="","",'Data Pura Costos'!J2457)</f>
        <v/>
      </c>
      <c r="K2457" s="82" t="str">
        <f t="shared" si="43"/>
        <v/>
      </c>
    </row>
    <row r="2458" spans="2:11" x14ac:dyDescent="0.35">
      <c r="B2458" s="4" t="str">
        <f>+IF('Data Pura Costos'!B2458="","",'Data Pura Costos'!B2458)</f>
        <v/>
      </c>
      <c r="C2458" s="4" t="str">
        <f>+IF('Data Pura Costos'!C2458="","",'Data Pura Costos'!C2458)</f>
        <v/>
      </c>
      <c r="D2458" s="5" t="str">
        <f>+IF('Data Pura Costos'!D2458="","",'Data Pura Costos'!D2458)</f>
        <v/>
      </c>
      <c r="E2458" s="65" t="str">
        <f>+IF('Data Pura Costos'!E2458="","",IF('Data Pura Costos'!E2458=0,MAX('Data Pura Costos'!$E$7:$E$3000)*1000,'Data Pura Costos'!E2458))</f>
        <v/>
      </c>
      <c r="F2458" s="5" t="str">
        <f>+IF('Data Pura Costos'!F2458="","",'Data Pura Costos'!F2458)</f>
        <v/>
      </c>
      <c r="G2458" s="5" t="str">
        <f>+IF('Data Pura Costos'!G2458="","",'Data Pura Costos'!G2458)</f>
        <v/>
      </c>
      <c r="H2458" s="52" t="str">
        <f>+IF('Data Pura Costos'!H2458="","",'Data Pura Costos'!H2458)</f>
        <v/>
      </c>
      <c r="I2458" s="71" t="str">
        <f>+IF('Data Pura Costos'!I2458="","",'Data Pura Costos'!I2458)</f>
        <v/>
      </c>
      <c r="J2458" s="52" t="str">
        <f>+IF('Data Pura Costos'!J2458="","",'Data Pura Costos'!J2458)</f>
        <v/>
      </c>
      <c r="K2458" s="82" t="str">
        <f t="shared" si="43"/>
        <v/>
      </c>
    </row>
    <row r="2459" spans="2:11" x14ac:dyDescent="0.35">
      <c r="B2459" s="4" t="str">
        <f>+IF('Data Pura Costos'!B2459="","",'Data Pura Costos'!B2459)</f>
        <v/>
      </c>
      <c r="C2459" s="4" t="str">
        <f>+IF('Data Pura Costos'!C2459="","",'Data Pura Costos'!C2459)</f>
        <v/>
      </c>
      <c r="D2459" s="5" t="str">
        <f>+IF('Data Pura Costos'!D2459="","",'Data Pura Costos'!D2459)</f>
        <v/>
      </c>
      <c r="E2459" s="65" t="str">
        <f>+IF('Data Pura Costos'!E2459="","",IF('Data Pura Costos'!E2459=0,MAX('Data Pura Costos'!$E$7:$E$3000)*1000,'Data Pura Costos'!E2459))</f>
        <v/>
      </c>
      <c r="F2459" s="5" t="str">
        <f>+IF('Data Pura Costos'!F2459="","",'Data Pura Costos'!F2459)</f>
        <v/>
      </c>
      <c r="G2459" s="5" t="str">
        <f>+IF('Data Pura Costos'!G2459="","",'Data Pura Costos'!G2459)</f>
        <v/>
      </c>
      <c r="H2459" s="52" t="str">
        <f>+IF('Data Pura Costos'!H2459="","",'Data Pura Costos'!H2459)</f>
        <v/>
      </c>
      <c r="I2459" s="71" t="str">
        <f>+IF('Data Pura Costos'!I2459="","",'Data Pura Costos'!I2459)</f>
        <v/>
      </c>
      <c r="J2459" s="52" t="str">
        <f>+IF('Data Pura Costos'!J2459="","",'Data Pura Costos'!J2459)</f>
        <v/>
      </c>
      <c r="K2459" s="82" t="str">
        <f t="shared" si="43"/>
        <v/>
      </c>
    </row>
    <row r="2460" spans="2:11" x14ac:dyDescent="0.35">
      <c r="B2460" s="4" t="str">
        <f>+IF('Data Pura Costos'!B2460="","",'Data Pura Costos'!B2460)</f>
        <v/>
      </c>
      <c r="C2460" s="4" t="str">
        <f>+IF('Data Pura Costos'!C2460="","",'Data Pura Costos'!C2460)</f>
        <v/>
      </c>
      <c r="D2460" s="5" t="str">
        <f>+IF('Data Pura Costos'!D2460="","",'Data Pura Costos'!D2460)</f>
        <v/>
      </c>
      <c r="E2460" s="65" t="str">
        <f>+IF('Data Pura Costos'!E2460="","",IF('Data Pura Costos'!E2460=0,MAX('Data Pura Costos'!$E$7:$E$3000)*1000,'Data Pura Costos'!E2460))</f>
        <v/>
      </c>
      <c r="F2460" s="5" t="str">
        <f>+IF('Data Pura Costos'!F2460="","",'Data Pura Costos'!F2460)</f>
        <v/>
      </c>
      <c r="G2460" s="5" t="str">
        <f>+IF('Data Pura Costos'!G2460="","",'Data Pura Costos'!G2460)</f>
        <v/>
      </c>
      <c r="H2460" s="52" t="str">
        <f>+IF('Data Pura Costos'!H2460="","",'Data Pura Costos'!H2460)</f>
        <v/>
      </c>
      <c r="I2460" s="71" t="str">
        <f>+IF('Data Pura Costos'!I2460="","",'Data Pura Costos'!I2460)</f>
        <v/>
      </c>
      <c r="J2460" s="52" t="str">
        <f>+IF('Data Pura Costos'!J2460="","",'Data Pura Costos'!J2460)</f>
        <v/>
      </c>
      <c r="K2460" s="82" t="str">
        <f t="shared" si="43"/>
        <v/>
      </c>
    </row>
    <row r="2461" spans="2:11" x14ac:dyDescent="0.35">
      <c r="B2461" s="4" t="str">
        <f>+IF('Data Pura Costos'!B2461="","",'Data Pura Costos'!B2461)</f>
        <v/>
      </c>
      <c r="C2461" s="4" t="str">
        <f>+IF('Data Pura Costos'!C2461="","",'Data Pura Costos'!C2461)</f>
        <v/>
      </c>
      <c r="D2461" s="5" t="str">
        <f>+IF('Data Pura Costos'!D2461="","",'Data Pura Costos'!D2461)</f>
        <v/>
      </c>
      <c r="E2461" s="65" t="str">
        <f>+IF('Data Pura Costos'!E2461="","",IF('Data Pura Costos'!E2461=0,MAX('Data Pura Costos'!$E$7:$E$3000)*1000,'Data Pura Costos'!E2461))</f>
        <v/>
      </c>
      <c r="F2461" s="5" t="str">
        <f>+IF('Data Pura Costos'!F2461="","",'Data Pura Costos'!F2461)</f>
        <v/>
      </c>
      <c r="G2461" s="5" t="str">
        <f>+IF('Data Pura Costos'!G2461="","",'Data Pura Costos'!G2461)</f>
        <v/>
      </c>
      <c r="H2461" s="52" t="str">
        <f>+IF('Data Pura Costos'!H2461="","",'Data Pura Costos'!H2461)</f>
        <v/>
      </c>
      <c r="I2461" s="71" t="str">
        <f>+IF('Data Pura Costos'!I2461="","",'Data Pura Costos'!I2461)</f>
        <v/>
      </c>
      <c r="J2461" s="52" t="str">
        <f>+IF('Data Pura Costos'!J2461="","",'Data Pura Costos'!J2461)</f>
        <v/>
      </c>
      <c r="K2461" s="82" t="str">
        <f t="shared" si="43"/>
        <v/>
      </c>
    </row>
    <row r="2462" spans="2:11" x14ac:dyDescent="0.35">
      <c r="B2462" s="4" t="str">
        <f>+IF('Data Pura Costos'!B2462="","",'Data Pura Costos'!B2462)</f>
        <v/>
      </c>
      <c r="C2462" s="4" t="str">
        <f>+IF('Data Pura Costos'!C2462="","",'Data Pura Costos'!C2462)</f>
        <v/>
      </c>
      <c r="D2462" s="5" t="str">
        <f>+IF('Data Pura Costos'!D2462="","",'Data Pura Costos'!D2462)</f>
        <v/>
      </c>
      <c r="E2462" s="65" t="str">
        <f>+IF('Data Pura Costos'!E2462="","",IF('Data Pura Costos'!E2462=0,MAX('Data Pura Costos'!$E$7:$E$3000)*1000,'Data Pura Costos'!E2462))</f>
        <v/>
      </c>
      <c r="F2462" s="5" t="str">
        <f>+IF('Data Pura Costos'!F2462="","",'Data Pura Costos'!F2462)</f>
        <v/>
      </c>
      <c r="G2462" s="5" t="str">
        <f>+IF('Data Pura Costos'!G2462="","",'Data Pura Costos'!G2462)</f>
        <v/>
      </c>
      <c r="H2462" s="52" t="str">
        <f>+IF('Data Pura Costos'!H2462="","",'Data Pura Costos'!H2462)</f>
        <v/>
      </c>
      <c r="I2462" s="71" t="str">
        <f>+IF('Data Pura Costos'!I2462="","",'Data Pura Costos'!I2462)</f>
        <v/>
      </c>
      <c r="J2462" s="52" t="str">
        <f>+IF('Data Pura Costos'!J2462="","",'Data Pura Costos'!J2462)</f>
        <v/>
      </c>
      <c r="K2462" s="82" t="str">
        <f t="shared" si="43"/>
        <v/>
      </c>
    </row>
    <row r="2463" spans="2:11" x14ac:dyDescent="0.35">
      <c r="B2463" s="4" t="str">
        <f>+IF('Data Pura Costos'!B2463="","",'Data Pura Costos'!B2463)</f>
        <v/>
      </c>
      <c r="C2463" s="4" t="str">
        <f>+IF('Data Pura Costos'!C2463="","",'Data Pura Costos'!C2463)</f>
        <v/>
      </c>
      <c r="D2463" s="5" t="str">
        <f>+IF('Data Pura Costos'!D2463="","",'Data Pura Costos'!D2463)</f>
        <v/>
      </c>
      <c r="E2463" s="65" t="str">
        <f>+IF('Data Pura Costos'!E2463="","",IF('Data Pura Costos'!E2463=0,MAX('Data Pura Costos'!$E$7:$E$3000)*1000,'Data Pura Costos'!E2463))</f>
        <v/>
      </c>
      <c r="F2463" s="5" t="str">
        <f>+IF('Data Pura Costos'!F2463="","",'Data Pura Costos'!F2463)</f>
        <v/>
      </c>
      <c r="G2463" s="5" t="str">
        <f>+IF('Data Pura Costos'!G2463="","",'Data Pura Costos'!G2463)</f>
        <v/>
      </c>
      <c r="H2463" s="52" t="str">
        <f>+IF('Data Pura Costos'!H2463="","",'Data Pura Costos'!H2463)</f>
        <v/>
      </c>
      <c r="I2463" s="71" t="str">
        <f>+IF('Data Pura Costos'!I2463="","",'Data Pura Costos'!I2463)</f>
        <v/>
      </c>
      <c r="J2463" s="52" t="str">
        <f>+IF('Data Pura Costos'!J2463="","",'Data Pura Costos'!J2463)</f>
        <v/>
      </c>
      <c r="K2463" s="82" t="str">
        <f t="shared" si="43"/>
        <v/>
      </c>
    </row>
    <row r="2464" spans="2:11" x14ac:dyDescent="0.35">
      <c r="B2464" s="4" t="str">
        <f>+IF('Data Pura Costos'!B2464="","",'Data Pura Costos'!B2464)</f>
        <v/>
      </c>
      <c r="C2464" s="4" t="str">
        <f>+IF('Data Pura Costos'!C2464="","",'Data Pura Costos'!C2464)</f>
        <v/>
      </c>
      <c r="D2464" s="5" t="str">
        <f>+IF('Data Pura Costos'!D2464="","",'Data Pura Costos'!D2464)</f>
        <v/>
      </c>
      <c r="E2464" s="65" t="str">
        <f>+IF('Data Pura Costos'!E2464="","",IF('Data Pura Costos'!E2464=0,MAX('Data Pura Costos'!$E$7:$E$3000)*1000,'Data Pura Costos'!E2464))</f>
        <v/>
      </c>
      <c r="F2464" s="5" t="str">
        <f>+IF('Data Pura Costos'!F2464="","",'Data Pura Costos'!F2464)</f>
        <v/>
      </c>
      <c r="G2464" s="5" t="str">
        <f>+IF('Data Pura Costos'!G2464="","",'Data Pura Costos'!G2464)</f>
        <v/>
      </c>
      <c r="H2464" s="52" t="str">
        <f>+IF('Data Pura Costos'!H2464="","",'Data Pura Costos'!H2464)</f>
        <v/>
      </c>
      <c r="I2464" s="71" t="str">
        <f>+IF('Data Pura Costos'!I2464="","",'Data Pura Costos'!I2464)</f>
        <v/>
      </c>
      <c r="J2464" s="52" t="str">
        <f>+IF('Data Pura Costos'!J2464="","",'Data Pura Costos'!J2464)</f>
        <v/>
      </c>
      <c r="K2464" s="82" t="str">
        <f t="shared" si="43"/>
        <v/>
      </c>
    </row>
    <row r="2465" spans="2:11" x14ac:dyDescent="0.35">
      <c r="B2465" s="4" t="str">
        <f>+IF('Data Pura Costos'!B2465="","",'Data Pura Costos'!B2465)</f>
        <v/>
      </c>
      <c r="C2465" s="4" t="str">
        <f>+IF('Data Pura Costos'!C2465="","",'Data Pura Costos'!C2465)</f>
        <v/>
      </c>
      <c r="D2465" s="5" t="str">
        <f>+IF('Data Pura Costos'!D2465="","",'Data Pura Costos'!D2465)</f>
        <v/>
      </c>
      <c r="E2465" s="65" t="str">
        <f>+IF('Data Pura Costos'!E2465="","",IF('Data Pura Costos'!E2465=0,MAX('Data Pura Costos'!$E$7:$E$3000)*1000,'Data Pura Costos'!E2465))</f>
        <v/>
      </c>
      <c r="F2465" s="5" t="str">
        <f>+IF('Data Pura Costos'!F2465="","",'Data Pura Costos'!F2465)</f>
        <v/>
      </c>
      <c r="G2465" s="5" t="str">
        <f>+IF('Data Pura Costos'!G2465="","",'Data Pura Costos'!G2465)</f>
        <v/>
      </c>
      <c r="H2465" s="52" t="str">
        <f>+IF('Data Pura Costos'!H2465="","",'Data Pura Costos'!H2465)</f>
        <v/>
      </c>
      <c r="I2465" s="71" t="str">
        <f>+IF('Data Pura Costos'!I2465="","",'Data Pura Costos'!I2465)</f>
        <v/>
      </c>
      <c r="J2465" s="52" t="str">
        <f>+IF('Data Pura Costos'!J2465="","",'Data Pura Costos'!J2465)</f>
        <v/>
      </c>
      <c r="K2465" s="82" t="str">
        <f t="shared" si="43"/>
        <v/>
      </c>
    </row>
    <row r="2466" spans="2:11" x14ac:dyDescent="0.35">
      <c r="B2466" s="4" t="str">
        <f>+IF('Data Pura Costos'!B2466="","",'Data Pura Costos'!B2466)</f>
        <v/>
      </c>
      <c r="C2466" s="4" t="str">
        <f>+IF('Data Pura Costos'!C2466="","",'Data Pura Costos'!C2466)</f>
        <v/>
      </c>
      <c r="D2466" s="5" t="str">
        <f>+IF('Data Pura Costos'!D2466="","",'Data Pura Costos'!D2466)</f>
        <v/>
      </c>
      <c r="E2466" s="65" t="str">
        <f>+IF('Data Pura Costos'!E2466="","",IF('Data Pura Costos'!E2466=0,MAX('Data Pura Costos'!$E$7:$E$3000)*1000,'Data Pura Costos'!E2466))</f>
        <v/>
      </c>
      <c r="F2466" s="5" t="str">
        <f>+IF('Data Pura Costos'!F2466="","",'Data Pura Costos'!F2466)</f>
        <v/>
      </c>
      <c r="G2466" s="5" t="str">
        <f>+IF('Data Pura Costos'!G2466="","",'Data Pura Costos'!G2466)</f>
        <v/>
      </c>
      <c r="H2466" s="52" t="str">
        <f>+IF('Data Pura Costos'!H2466="","",'Data Pura Costos'!H2466)</f>
        <v/>
      </c>
      <c r="I2466" s="71" t="str">
        <f>+IF('Data Pura Costos'!I2466="","",'Data Pura Costos'!I2466)</f>
        <v/>
      </c>
      <c r="J2466" s="52" t="str">
        <f>+IF('Data Pura Costos'!J2466="","",'Data Pura Costos'!J2466)</f>
        <v/>
      </c>
      <c r="K2466" s="82" t="str">
        <f t="shared" si="43"/>
        <v/>
      </c>
    </row>
    <row r="2467" spans="2:11" x14ac:dyDescent="0.35">
      <c r="B2467" s="4" t="str">
        <f>+IF('Data Pura Costos'!B2467="","",'Data Pura Costos'!B2467)</f>
        <v/>
      </c>
      <c r="C2467" s="4" t="str">
        <f>+IF('Data Pura Costos'!C2467="","",'Data Pura Costos'!C2467)</f>
        <v/>
      </c>
      <c r="D2467" s="5" t="str">
        <f>+IF('Data Pura Costos'!D2467="","",'Data Pura Costos'!D2467)</f>
        <v/>
      </c>
      <c r="E2467" s="65" t="str">
        <f>+IF('Data Pura Costos'!E2467="","",IF('Data Pura Costos'!E2467=0,MAX('Data Pura Costos'!$E$7:$E$3000)*1000,'Data Pura Costos'!E2467))</f>
        <v/>
      </c>
      <c r="F2467" s="5" t="str">
        <f>+IF('Data Pura Costos'!F2467="","",'Data Pura Costos'!F2467)</f>
        <v/>
      </c>
      <c r="G2467" s="5" t="str">
        <f>+IF('Data Pura Costos'!G2467="","",'Data Pura Costos'!G2467)</f>
        <v/>
      </c>
      <c r="H2467" s="52" t="str">
        <f>+IF('Data Pura Costos'!H2467="","",'Data Pura Costos'!H2467)</f>
        <v/>
      </c>
      <c r="I2467" s="71" t="str">
        <f>+IF('Data Pura Costos'!I2467="","",'Data Pura Costos'!I2467)</f>
        <v/>
      </c>
      <c r="J2467" s="52" t="str">
        <f>+IF('Data Pura Costos'!J2467="","",'Data Pura Costos'!J2467)</f>
        <v/>
      </c>
      <c r="K2467" s="82" t="str">
        <f t="shared" si="43"/>
        <v/>
      </c>
    </row>
    <row r="2468" spans="2:11" x14ac:dyDescent="0.35">
      <c r="B2468" s="4" t="str">
        <f>+IF('Data Pura Costos'!B2468="","",'Data Pura Costos'!B2468)</f>
        <v/>
      </c>
      <c r="C2468" s="4" t="str">
        <f>+IF('Data Pura Costos'!C2468="","",'Data Pura Costos'!C2468)</f>
        <v/>
      </c>
      <c r="D2468" s="5" t="str">
        <f>+IF('Data Pura Costos'!D2468="","",'Data Pura Costos'!D2468)</f>
        <v/>
      </c>
      <c r="E2468" s="65" t="str">
        <f>+IF('Data Pura Costos'!E2468="","",IF('Data Pura Costos'!E2468=0,MAX('Data Pura Costos'!$E$7:$E$3000)*1000,'Data Pura Costos'!E2468))</f>
        <v/>
      </c>
      <c r="F2468" s="5" t="str">
        <f>+IF('Data Pura Costos'!F2468="","",'Data Pura Costos'!F2468)</f>
        <v/>
      </c>
      <c r="G2468" s="5" t="str">
        <f>+IF('Data Pura Costos'!G2468="","",'Data Pura Costos'!G2468)</f>
        <v/>
      </c>
      <c r="H2468" s="52" t="str">
        <f>+IF('Data Pura Costos'!H2468="","",'Data Pura Costos'!H2468)</f>
        <v/>
      </c>
      <c r="I2468" s="71" t="str">
        <f>+IF('Data Pura Costos'!I2468="","",'Data Pura Costos'!I2468)</f>
        <v/>
      </c>
      <c r="J2468" s="52" t="str">
        <f>+IF('Data Pura Costos'!J2468="","",'Data Pura Costos'!J2468)</f>
        <v/>
      </c>
      <c r="K2468" s="82" t="str">
        <f t="shared" si="43"/>
        <v/>
      </c>
    </row>
    <row r="2469" spans="2:11" x14ac:dyDescent="0.35">
      <c r="B2469" s="4" t="str">
        <f>+IF('Data Pura Costos'!B2469="","",'Data Pura Costos'!B2469)</f>
        <v/>
      </c>
      <c r="C2469" s="4" t="str">
        <f>+IF('Data Pura Costos'!C2469="","",'Data Pura Costos'!C2469)</f>
        <v/>
      </c>
      <c r="D2469" s="5" t="str">
        <f>+IF('Data Pura Costos'!D2469="","",'Data Pura Costos'!D2469)</f>
        <v/>
      </c>
      <c r="E2469" s="65" t="str">
        <f>+IF('Data Pura Costos'!E2469="","",IF('Data Pura Costos'!E2469=0,MAX('Data Pura Costos'!$E$7:$E$3000)*1000,'Data Pura Costos'!E2469))</f>
        <v/>
      </c>
      <c r="F2469" s="5" t="str">
        <f>+IF('Data Pura Costos'!F2469="","",'Data Pura Costos'!F2469)</f>
        <v/>
      </c>
      <c r="G2469" s="5" t="str">
        <f>+IF('Data Pura Costos'!G2469="","",'Data Pura Costos'!G2469)</f>
        <v/>
      </c>
      <c r="H2469" s="52" t="str">
        <f>+IF('Data Pura Costos'!H2469="","",'Data Pura Costos'!H2469)</f>
        <v/>
      </c>
      <c r="I2469" s="71" t="str">
        <f>+IF('Data Pura Costos'!I2469="","",'Data Pura Costos'!I2469)</f>
        <v/>
      </c>
      <c r="J2469" s="52" t="str">
        <f>+IF('Data Pura Costos'!J2469="","",'Data Pura Costos'!J2469)</f>
        <v/>
      </c>
      <c r="K2469" s="82" t="str">
        <f t="shared" si="43"/>
        <v/>
      </c>
    </row>
    <row r="2470" spans="2:11" x14ac:dyDescent="0.35">
      <c r="B2470" s="4" t="str">
        <f>+IF('Data Pura Costos'!B2470="","",'Data Pura Costos'!B2470)</f>
        <v/>
      </c>
      <c r="C2470" s="4" t="str">
        <f>+IF('Data Pura Costos'!C2470="","",'Data Pura Costos'!C2470)</f>
        <v/>
      </c>
      <c r="D2470" s="5" t="str">
        <f>+IF('Data Pura Costos'!D2470="","",'Data Pura Costos'!D2470)</f>
        <v/>
      </c>
      <c r="E2470" s="65" t="str">
        <f>+IF('Data Pura Costos'!E2470="","",IF('Data Pura Costos'!E2470=0,MAX('Data Pura Costos'!$E$7:$E$3000)*1000,'Data Pura Costos'!E2470))</f>
        <v/>
      </c>
      <c r="F2470" s="5" t="str">
        <f>+IF('Data Pura Costos'!F2470="","",'Data Pura Costos'!F2470)</f>
        <v/>
      </c>
      <c r="G2470" s="5" t="str">
        <f>+IF('Data Pura Costos'!G2470="","",'Data Pura Costos'!G2470)</f>
        <v/>
      </c>
      <c r="H2470" s="52" t="str">
        <f>+IF('Data Pura Costos'!H2470="","",'Data Pura Costos'!H2470)</f>
        <v/>
      </c>
      <c r="I2470" s="71" t="str">
        <f>+IF('Data Pura Costos'!I2470="","",'Data Pura Costos'!I2470)</f>
        <v/>
      </c>
      <c r="J2470" s="52" t="str">
        <f>+IF('Data Pura Costos'!J2470="","",'Data Pura Costos'!J2470)</f>
        <v/>
      </c>
      <c r="K2470" s="82" t="str">
        <f t="shared" si="43"/>
        <v/>
      </c>
    </row>
    <row r="2471" spans="2:11" x14ac:dyDescent="0.35">
      <c r="B2471" s="4" t="str">
        <f>+IF('Data Pura Costos'!B2471="","",'Data Pura Costos'!B2471)</f>
        <v/>
      </c>
      <c r="C2471" s="4" t="str">
        <f>+IF('Data Pura Costos'!C2471="","",'Data Pura Costos'!C2471)</f>
        <v/>
      </c>
      <c r="D2471" s="5" t="str">
        <f>+IF('Data Pura Costos'!D2471="","",'Data Pura Costos'!D2471)</f>
        <v/>
      </c>
      <c r="E2471" s="65" t="str">
        <f>+IF('Data Pura Costos'!E2471="","",IF('Data Pura Costos'!E2471=0,MAX('Data Pura Costos'!$E$7:$E$3000)*1000,'Data Pura Costos'!E2471))</f>
        <v/>
      </c>
      <c r="F2471" s="5" t="str">
        <f>+IF('Data Pura Costos'!F2471="","",'Data Pura Costos'!F2471)</f>
        <v/>
      </c>
      <c r="G2471" s="5" t="str">
        <f>+IF('Data Pura Costos'!G2471="","",'Data Pura Costos'!G2471)</f>
        <v/>
      </c>
      <c r="H2471" s="52" t="str">
        <f>+IF('Data Pura Costos'!H2471="","",'Data Pura Costos'!H2471)</f>
        <v/>
      </c>
      <c r="I2471" s="71" t="str">
        <f>+IF('Data Pura Costos'!I2471="","",'Data Pura Costos'!I2471)</f>
        <v/>
      </c>
      <c r="J2471" s="52" t="str">
        <f>+IF('Data Pura Costos'!J2471="","",'Data Pura Costos'!J2471)</f>
        <v/>
      </c>
      <c r="K2471" s="82" t="str">
        <f t="shared" si="43"/>
        <v/>
      </c>
    </row>
    <row r="2472" spans="2:11" x14ac:dyDescent="0.35">
      <c r="B2472" s="4" t="str">
        <f>+IF('Data Pura Costos'!B2472="","",'Data Pura Costos'!B2472)</f>
        <v/>
      </c>
      <c r="C2472" s="4" t="str">
        <f>+IF('Data Pura Costos'!C2472="","",'Data Pura Costos'!C2472)</f>
        <v/>
      </c>
      <c r="D2472" s="5" t="str">
        <f>+IF('Data Pura Costos'!D2472="","",'Data Pura Costos'!D2472)</f>
        <v/>
      </c>
      <c r="E2472" s="65" t="str">
        <f>+IF('Data Pura Costos'!E2472="","",IF('Data Pura Costos'!E2472=0,MAX('Data Pura Costos'!$E$7:$E$3000)*1000,'Data Pura Costos'!E2472))</f>
        <v/>
      </c>
      <c r="F2472" s="5" t="str">
        <f>+IF('Data Pura Costos'!F2472="","",'Data Pura Costos'!F2472)</f>
        <v/>
      </c>
      <c r="G2472" s="5" t="str">
        <f>+IF('Data Pura Costos'!G2472="","",'Data Pura Costos'!G2472)</f>
        <v/>
      </c>
      <c r="H2472" s="52" t="str">
        <f>+IF('Data Pura Costos'!H2472="","",'Data Pura Costos'!H2472)</f>
        <v/>
      </c>
      <c r="I2472" s="71" t="str">
        <f>+IF('Data Pura Costos'!I2472="","",'Data Pura Costos'!I2472)</f>
        <v/>
      </c>
      <c r="J2472" s="52" t="str">
        <f>+IF('Data Pura Costos'!J2472="","",'Data Pura Costos'!J2472)</f>
        <v/>
      </c>
      <c r="K2472" s="82" t="str">
        <f t="shared" si="43"/>
        <v/>
      </c>
    </row>
    <row r="2473" spans="2:11" x14ac:dyDescent="0.35">
      <c r="B2473" s="4" t="str">
        <f>+IF('Data Pura Costos'!B2473="","",'Data Pura Costos'!B2473)</f>
        <v/>
      </c>
      <c r="C2473" s="4" t="str">
        <f>+IF('Data Pura Costos'!C2473="","",'Data Pura Costos'!C2473)</f>
        <v/>
      </c>
      <c r="D2473" s="5" t="str">
        <f>+IF('Data Pura Costos'!D2473="","",'Data Pura Costos'!D2473)</f>
        <v/>
      </c>
      <c r="E2473" s="65" t="str">
        <f>+IF('Data Pura Costos'!E2473="","",IF('Data Pura Costos'!E2473=0,MAX('Data Pura Costos'!$E$7:$E$3000)*1000,'Data Pura Costos'!E2473))</f>
        <v/>
      </c>
      <c r="F2473" s="5" t="str">
        <f>+IF('Data Pura Costos'!F2473="","",'Data Pura Costos'!F2473)</f>
        <v/>
      </c>
      <c r="G2473" s="5" t="str">
        <f>+IF('Data Pura Costos'!G2473="","",'Data Pura Costos'!G2473)</f>
        <v/>
      </c>
      <c r="H2473" s="52" t="str">
        <f>+IF('Data Pura Costos'!H2473="","",'Data Pura Costos'!H2473)</f>
        <v/>
      </c>
      <c r="I2473" s="71" t="str">
        <f>+IF('Data Pura Costos'!I2473="","",'Data Pura Costos'!I2473)</f>
        <v/>
      </c>
      <c r="J2473" s="52" t="str">
        <f>+IF('Data Pura Costos'!J2473="","",'Data Pura Costos'!J2473)</f>
        <v/>
      </c>
      <c r="K2473" s="82" t="str">
        <f t="shared" si="43"/>
        <v/>
      </c>
    </row>
    <row r="2474" spans="2:11" x14ac:dyDescent="0.35">
      <c r="B2474" s="4" t="str">
        <f>+IF('Data Pura Costos'!B2474="","",'Data Pura Costos'!B2474)</f>
        <v/>
      </c>
      <c r="C2474" s="4" t="str">
        <f>+IF('Data Pura Costos'!C2474="","",'Data Pura Costos'!C2474)</f>
        <v/>
      </c>
      <c r="D2474" s="5" t="str">
        <f>+IF('Data Pura Costos'!D2474="","",'Data Pura Costos'!D2474)</f>
        <v/>
      </c>
      <c r="E2474" s="65" t="str">
        <f>+IF('Data Pura Costos'!E2474="","",IF('Data Pura Costos'!E2474=0,MAX('Data Pura Costos'!$E$7:$E$3000)*1000,'Data Pura Costos'!E2474))</f>
        <v/>
      </c>
      <c r="F2474" s="5" t="str">
        <f>+IF('Data Pura Costos'!F2474="","",'Data Pura Costos'!F2474)</f>
        <v/>
      </c>
      <c r="G2474" s="5" t="str">
        <f>+IF('Data Pura Costos'!G2474="","",'Data Pura Costos'!G2474)</f>
        <v/>
      </c>
      <c r="H2474" s="52" t="str">
        <f>+IF('Data Pura Costos'!H2474="","",'Data Pura Costos'!H2474)</f>
        <v/>
      </c>
      <c r="I2474" s="71" t="str">
        <f>+IF('Data Pura Costos'!I2474="","",'Data Pura Costos'!I2474)</f>
        <v/>
      </c>
      <c r="J2474" s="52" t="str">
        <f>+IF('Data Pura Costos'!J2474="","",'Data Pura Costos'!J2474)</f>
        <v/>
      </c>
      <c r="K2474" s="82" t="str">
        <f t="shared" si="43"/>
        <v/>
      </c>
    </row>
    <row r="2475" spans="2:11" x14ac:dyDescent="0.35">
      <c r="B2475" s="4" t="str">
        <f>+IF('Data Pura Costos'!B2475="","",'Data Pura Costos'!B2475)</f>
        <v/>
      </c>
      <c r="C2475" s="4" t="str">
        <f>+IF('Data Pura Costos'!C2475="","",'Data Pura Costos'!C2475)</f>
        <v/>
      </c>
      <c r="D2475" s="5" t="str">
        <f>+IF('Data Pura Costos'!D2475="","",'Data Pura Costos'!D2475)</f>
        <v/>
      </c>
      <c r="E2475" s="65" t="str">
        <f>+IF('Data Pura Costos'!E2475="","",IF('Data Pura Costos'!E2475=0,MAX('Data Pura Costos'!$E$7:$E$3000)*1000,'Data Pura Costos'!E2475))</f>
        <v/>
      </c>
      <c r="F2475" s="5" t="str">
        <f>+IF('Data Pura Costos'!F2475="","",'Data Pura Costos'!F2475)</f>
        <v/>
      </c>
      <c r="G2475" s="5" t="str">
        <f>+IF('Data Pura Costos'!G2475="","",'Data Pura Costos'!G2475)</f>
        <v/>
      </c>
      <c r="H2475" s="52" t="str">
        <f>+IF('Data Pura Costos'!H2475="","",'Data Pura Costos'!H2475)</f>
        <v/>
      </c>
      <c r="I2475" s="71" t="str">
        <f>+IF('Data Pura Costos'!I2475="","",'Data Pura Costos'!I2475)</f>
        <v/>
      </c>
      <c r="J2475" s="52" t="str">
        <f>+IF('Data Pura Costos'!J2475="","",'Data Pura Costos'!J2475)</f>
        <v/>
      </c>
      <c r="K2475" s="82" t="str">
        <f t="shared" si="43"/>
        <v/>
      </c>
    </row>
    <row r="2476" spans="2:11" x14ac:dyDescent="0.35">
      <c r="B2476" s="4" t="str">
        <f>+IF('Data Pura Costos'!B2476="","",'Data Pura Costos'!B2476)</f>
        <v/>
      </c>
      <c r="C2476" s="4" t="str">
        <f>+IF('Data Pura Costos'!C2476="","",'Data Pura Costos'!C2476)</f>
        <v/>
      </c>
      <c r="D2476" s="5" t="str">
        <f>+IF('Data Pura Costos'!D2476="","",'Data Pura Costos'!D2476)</f>
        <v/>
      </c>
      <c r="E2476" s="65" t="str">
        <f>+IF('Data Pura Costos'!E2476="","",IF('Data Pura Costos'!E2476=0,MAX('Data Pura Costos'!$E$7:$E$3000)*1000,'Data Pura Costos'!E2476))</f>
        <v/>
      </c>
      <c r="F2476" s="5" t="str">
        <f>+IF('Data Pura Costos'!F2476="","",'Data Pura Costos'!F2476)</f>
        <v/>
      </c>
      <c r="G2476" s="5" t="str">
        <f>+IF('Data Pura Costos'!G2476="","",'Data Pura Costos'!G2476)</f>
        <v/>
      </c>
      <c r="H2476" s="52" t="str">
        <f>+IF('Data Pura Costos'!H2476="","",'Data Pura Costos'!H2476)</f>
        <v/>
      </c>
      <c r="I2476" s="71" t="str">
        <f>+IF('Data Pura Costos'!I2476="","",'Data Pura Costos'!I2476)</f>
        <v/>
      </c>
      <c r="J2476" s="52" t="str">
        <f>+IF('Data Pura Costos'!J2476="","",'Data Pura Costos'!J2476)</f>
        <v/>
      </c>
      <c r="K2476" s="82" t="str">
        <f t="shared" si="43"/>
        <v/>
      </c>
    </row>
    <row r="2477" spans="2:11" x14ac:dyDescent="0.35">
      <c r="B2477" s="4" t="str">
        <f>+IF('Data Pura Costos'!B2477="","",'Data Pura Costos'!B2477)</f>
        <v/>
      </c>
      <c r="C2477" s="4" t="str">
        <f>+IF('Data Pura Costos'!C2477="","",'Data Pura Costos'!C2477)</f>
        <v/>
      </c>
      <c r="D2477" s="5" t="str">
        <f>+IF('Data Pura Costos'!D2477="","",'Data Pura Costos'!D2477)</f>
        <v/>
      </c>
      <c r="E2477" s="65" t="str">
        <f>+IF('Data Pura Costos'!E2477="","",IF('Data Pura Costos'!E2477=0,MAX('Data Pura Costos'!$E$7:$E$3000)*1000,'Data Pura Costos'!E2477))</f>
        <v/>
      </c>
      <c r="F2477" s="5" t="str">
        <f>+IF('Data Pura Costos'!F2477="","",'Data Pura Costos'!F2477)</f>
        <v/>
      </c>
      <c r="G2477" s="5" t="str">
        <f>+IF('Data Pura Costos'!G2477="","",'Data Pura Costos'!G2477)</f>
        <v/>
      </c>
      <c r="H2477" s="52" t="str">
        <f>+IF('Data Pura Costos'!H2477="","",'Data Pura Costos'!H2477)</f>
        <v/>
      </c>
      <c r="I2477" s="71" t="str">
        <f>+IF('Data Pura Costos'!I2477="","",'Data Pura Costos'!I2477)</f>
        <v/>
      </c>
      <c r="J2477" s="52" t="str">
        <f>+IF('Data Pura Costos'!J2477="","",'Data Pura Costos'!J2477)</f>
        <v/>
      </c>
      <c r="K2477" s="82" t="str">
        <f t="shared" si="43"/>
        <v/>
      </c>
    </row>
    <row r="2478" spans="2:11" x14ac:dyDescent="0.35">
      <c r="B2478" s="4" t="str">
        <f>+IF('Data Pura Costos'!B2478="","",'Data Pura Costos'!B2478)</f>
        <v/>
      </c>
      <c r="C2478" s="4" t="str">
        <f>+IF('Data Pura Costos'!C2478="","",'Data Pura Costos'!C2478)</f>
        <v/>
      </c>
      <c r="D2478" s="5" t="str">
        <f>+IF('Data Pura Costos'!D2478="","",'Data Pura Costos'!D2478)</f>
        <v/>
      </c>
      <c r="E2478" s="65" t="str">
        <f>+IF('Data Pura Costos'!E2478="","",IF('Data Pura Costos'!E2478=0,MAX('Data Pura Costos'!$E$7:$E$3000)*1000,'Data Pura Costos'!E2478))</f>
        <v/>
      </c>
      <c r="F2478" s="5" t="str">
        <f>+IF('Data Pura Costos'!F2478="","",'Data Pura Costos'!F2478)</f>
        <v/>
      </c>
      <c r="G2478" s="5" t="str">
        <f>+IF('Data Pura Costos'!G2478="","",'Data Pura Costos'!G2478)</f>
        <v/>
      </c>
      <c r="H2478" s="52" t="str">
        <f>+IF('Data Pura Costos'!H2478="","",'Data Pura Costos'!H2478)</f>
        <v/>
      </c>
      <c r="I2478" s="71" t="str">
        <f>+IF('Data Pura Costos'!I2478="","",'Data Pura Costos'!I2478)</f>
        <v/>
      </c>
      <c r="J2478" s="52" t="str">
        <f>+IF('Data Pura Costos'!J2478="","",'Data Pura Costos'!J2478)</f>
        <v/>
      </c>
      <c r="K2478" s="82" t="str">
        <f t="shared" si="43"/>
        <v/>
      </c>
    </row>
    <row r="2479" spans="2:11" x14ac:dyDescent="0.35">
      <c r="B2479" s="4" t="str">
        <f>+IF('Data Pura Costos'!B2479="","",'Data Pura Costos'!B2479)</f>
        <v/>
      </c>
      <c r="C2479" s="4" t="str">
        <f>+IF('Data Pura Costos'!C2479="","",'Data Pura Costos'!C2479)</f>
        <v/>
      </c>
      <c r="D2479" s="5" t="str">
        <f>+IF('Data Pura Costos'!D2479="","",'Data Pura Costos'!D2479)</f>
        <v/>
      </c>
      <c r="E2479" s="65" t="str">
        <f>+IF('Data Pura Costos'!E2479="","",IF('Data Pura Costos'!E2479=0,MAX('Data Pura Costos'!$E$7:$E$3000)*1000,'Data Pura Costos'!E2479))</f>
        <v/>
      </c>
      <c r="F2479" s="5" t="str">
        <f>+IF('Data Pura Costos'!F2479="","",'Data Pura Costos'!F2479)</f>
        <v/>
      </c>
      <c r="G2479" s="5" t="str">
        <f>+IF('Data Pura Costos'!G2479="","",'Data Pura Costos'!G2479)</f>
        <v/>
      </c>
      <c r="H2479" s="52" t="str">
        <f>+IF('Data Pura Costos'!H2479="","",'Data Pura Costos'!H2479)</f>
        <v/>
      </c>
      <c r="I2479" s="71" t="str">
        <f>+IF('Data Pura Costos'!I2479="","",'Data Pura Costos'!I2479)</f>
        <v/>
      </c>
      <c r="J2479" s="52" t="str">
        <f>+IF('Data Pura Costos'!J2479="","",'Data Pura Costos'!J2479)</f>
        <v/>
      </c>
      <c r="K2479" s="82" t="str">
        <f t="shared" si="43"/>
        <v/>
      </c>
    </row>
    <row r="2480" spans="2:11" x14ac:dyDescent="0.35">
      <c r="B2480" s="4" t="str">
        <f>+IF('Data Pura Costos'!B2480="","",'Data Pura Costos'!B2480)</f>
        <v/>
      </c>
      <c r="C2480" s="4" t="str">
        <f>+IF('Data Pura Costos'!C2480="","",'Data Pura Costos'!C2480)</f>
        <v/>
      </c>
      <c r="D2480" s="5" t="str">
        <f>+IF('Data Pura Costos'!D2480="","",'Data Pura Costos'!D2480)</f>
        <v/>
      </c>
      <c r="E2480" s="65" t="str">
        <f>+IF('Data Pura Costos'!E2480="","",IF('Data Pura Costos'!E2480=0,MAX('Data Pura Costos'!$E$7:$E$3000)*1000,'Data Pura Costos'!E2480))</f>
        <v/>
      </c>
      <c r="F2480" s="5" t="str">
        <f>+IF('Data Pura Costos'!F2480="","",'Data Pura Costos'!F2480)</f>
        <v/>
      </c>
      <c r="G2480" s="5" t="str">
        <f>+IF('Data Pura Costos'!G2480="","",'Data Pura Costos'!G2480)</f>
        <v/>
      </c>
      <c r="H2480" s="52" t="str">
        <f>+IF('Data Pura Costos'!H2480="","",'Data Pura Costos'!H2480)</f>
        <v/>
      </c>
      <c r="I2480" s="71" t="str">
        <f>+IF('Data Pura Costos'!I2480="","",'Data Pura Costos'!I2480)</f>
        <v/>
      </c>
      <c r="J2480" s="52" t="str">
        <f>+IF('Data Pura Costos'!J2480="","",'Data Pura Costos'!J2480)</f>
        <v/>
      </c>
      <c r="K2480" s="82" t="str">
        <f t="shared" si="43"/>
        <v/>
      </c>
    </row>
    <row r="2481" spans="2:11" x14ac:dyDescent="0.35">
      <c r="B2481" s="4" t="str">
        <f>+IF('Data Pura Costos'!B2481="","",'Data Pura Costos'!B2481)</f>
        <v/>
      </c>
      <c r="C2481" s="4" t="str">
        <f>+IF('Data Pura Costos'!C2481="","",'Data Pura Costos'!C2481)</f>
        <v/>
      </c>
      <c r="D2481" s="5" t="str">
        <f>+IF('Data Pura Costos'!D2481="","",'Data Pura Costos'!D2481)</f>
        <v/>
      </c>
      <c r="E2481" s="65" t="str">
        <f>+IF('Data Pura Costos'!E2481="","",IF('Data Pura Costos'!E2481=0,MAX('Data Pura Costos'!$E$7:$E$3000)*1000,'Data Pura Costos'!E2481))</f>
        <v/>
      </c>
      <c r="F2481" s="5" t="str">
        <f>+IF('Data Pura Costos'!F2481="","",'Data Pura Costos'!F2481)</f>
        <v/>
      </c>
      <c r="G2481" s="5" t="str">
        <f>+IF('Data Pura Costos'!G2481="","",'Data Pura Costos'!G2481)</f>
        <v/>
      </c>
      <c r="H2481" s="52" t="str">
        <f>+IF('Data Pura Costos'!H2481="","",'Data Pura Costos'!H2481)</f>
        <v/>
      </c>
      <c r="I2481" s="71" t="str">
        <f>+IF('Data Pura Costos'!I2481="","",'Data Pura Costos'!I2481)</f>
        <v/>
      </c>
      <c r="J2481" s="52" t="str">
        <f>+IF('Data Pura Costos'!J2481="","",'Data Pura Costos'!J2481)</f>
        <v/>
      </c>
      <c r="K2481" s="82" t="str">
        <f t="shared" si="43"/>
        <v/>
      </c>
    </row>
    <row r="2482" spans="2:11" x14ac:dyDescent="0.35">
      <c r="B2482" s="4" t="str">
        <f>+IF('Data Pura Costos'!B2482="","",'Data Pura Costos'!B2482)</f>
        <v/>
      </c>
      <c r="C2482" s="4" t="str">
        <f>+IF('Data Pura Costos'!C2482="","",'Data Pura Costos'!C2482)</f>
        <v/>
      </c>
      <c r="D2482" s="5" t="str">
        <f>+IF('Data Pura Costos'!D2482="","",'Data Pura Costos'!D2482)</f>
        <v/>
      </c>
      <c r="E2482" s="65" t="str">
        <f>+IF('Data Pura Costos'!E2482="","",IF('Data Pura Costos'!E2482=0,MAX('Data Pura Costos'!$E$7:$E$3000)*1000,'Data Pura Costos'!E2482))</f>
        <v/>
      </c>
      <c r="F2482" s="5" t="str">
        <f>+IF('Data Pura Costos'!F2482="","",'Data Pura Costos'!F2482)</f>
        <v/>
      </c>
      <c r="G2482" s="5" t="str">
        <f>+IF('Data Pura Costos'!G2482="","",'Data Pura Costos'!G2482)</f>
        <v/>
      </c>
      <c r="H2482" s="52" t="str">
        <f>+IF('Data Pura Costos'!H2482="","",'Data Pura Costos'!H2482)</f>
        <v/>
      </c>
      <c r="I2482" s="71" t="str">
        <f>+IF('Data Pura Costos'!I2482="","",'Data Pura Costos'!I2482)</f>
        <v/>
      </c>
      <c r="J2482" s="52" t="str">
        <f>+IF('Data Pura Costos'!J2482="","",'Data Pura Costos'!J2482)</f>
        <v/>
      </c>
      <c r="K2482" s="82" t="str">
        <f t="shared" si="43"/>
        <v/>
      </c>
    </row>
    <row r="2483" spans="2:11" x14ac:dyDescent="0.35">
      <c r="B2483" s="4" t="str">
        <f>+IF('Data Pura Costos'!B2483="","",'Data Pura Costos'!B2483)</f>
        <v/>
      </c>
      <c r="C2483" s="4" t="str">
        <f>+IF('Data Pura Costos'!C2483="","",'Data Pura Costos'!C2483)</f>
        <v/>
      </c>
      <c r="D2483" s="5" t="str">
        <f>+IF('Data Pura Costos'!D2483="","",'Data Pura Costos'!D2483)</f>
        <v/>
      </c>
      <c r="E2483" s="65" t="str">
        <f>+IF('Data Pura Costos'!E2483="","",IF('Data Pura Costos'!E2483=0,MAX('Data Pura Costos'!$E$7:$E$3000)*1000,'Data Pura Costos'!E2483))</f>
        <v/>
      </c>
      <c r="F2483" s="5" t="str">
        <f>+IF('Data Pura Costos'!F2483="","",'Data Pura Costos'!F2483)</f>
        <v/>
      </c>
      <c r="G2483" s="5" t="str">
        <f>+IF('Data Pura Costos'!G2483="","",'Data Pura Costos'!G2483)</f>
        <v/>
      </c>
      <c r="H2483" s="52" t="str">
        <f>+IF('Data Pura Costos'!H2483="","",'Data Pura Costos'!H2483)</f>
        <v/>
      </c>
      <c r="I2483" s="71" t="str">
        <f>+IF('Data Pura Costos'!I2483="","",'Data Pura Costos'!I2483)</f>
        <v/>
      </c>
      <c r="J2483" s="52" t="str">
        <f>+IF('Data Pura Costos'!J2483="","",'Data Pura Costos'!J2483)</f>
        <v/>
      </c>
      <c r="K2483" s="82" t="str">
        <f t="shared" si="43"/>
        <v/>
      </c>
    </row>
    <row r="2484" spans="2:11" x14ac:dyDescent="0.35">
      <c r="B2484" s="4" t="str">
        <f>+IF('Data Pura Costos'!B2484="","",'Data Pura Costos'!B2484)</f>
        <v/>
      </c>
      <c r="C2484" s="4" t="str">
        <f>+IF('Data Pura Costos'!C2484="","",'Data Pura Costos'!C2484)</f>
        <v/>
      </c>
      <c r="D2484" s="5" t="str">
        <f>+IF('Data Pura Costos'!D2484="","",'Data Pura Costos'!D2484)</f>
        <v/>
      </c>
      <c r="E2484" s="65" t="str">
        <f>+IF('Data Pura Costos'!E2484="","",IF('Data Pura Costos'!E2484=0,MAX('Data Pura Costos'!$E$7:$E$3000)*1000,'Data Pura Costos'!E2484))</f>
        <v/>
      </c>
      <c r="F2484" s="5" t="str">
        <f>+IF('Data Pura Costos'!F2484="","",'Data Pura Costos'!F2484)</f>
        <v/>
      </c>
      <c r="G2484" s="5" t="str">
        <f>+IF('Data Pura Costos'!G2484="","",'Data Pura Costos'!G2484)</f>
        <v/>
      </c>
      <c r="H2484" s="52" t="str">
        <f>+IF('Data Pura Costos'!H2484="","",'Data Pura Costos'!H2484)</f>
        <v/>
      </c>
      <c r="I2484" s="71" t="str">
        <f>+IF('Data Pura Costos'!I2484="","",'Data Pura Costos'!I2484)</f>
        <v/>
      </c>
      <c r="J2484" s="52" t="str">
        <f>+IF('Data Pura Costos'!J2484="","",'Data Pura Costos'!J2484)</f>
        <v/>
      </c>
      <c r="K2484" s="82" t="str">
        <f t="shared" si="43"/>
        <v/>
      </c>
    </row>
    <row r="2485" spans="2:11" x14ac:dyDescent="0.35">
      <c r="B2485" s="4" t="str">
        <f>+IF('Data Pura Costos'!B2485="","",'Data Pura Costos'!B2485)</f>
        <v/>
      </c>
      <c r="C2485" s="4" t="str">
        <f>+IF('Data Pura Costos'!C2485="","",'Data Pura Costos'!C2485)</f>
        <v/>
      </c>
      <c r="D2485" s="5" t="str">
        <f>+IF('Data Pura Costos'!D2485="","",'Data Pura Costos'!D2485)</f>
        <v/>
      </c>
      <c r="E2485" s="65" t="str">
        <f>+IF('Data Pura Costos'!E2485="","",IF('Data Pura Costos'!E2485=0,MAX('Data Pura Costos'!$E$7:$E$3000)*1000,'Data Pura Costos'!E2485))</f>
        <v/>
      </c>
      <c r="F2485" s="5" t="str">
        <f>+IF('Data Pura Costos'!F2485="","",'Data Pura Costos'!F2485)</f>
        <v/>
      </c>
      <c r="G2485" s="5" t="str">
        <f>+IF('Data Pura Costos'!G2485="","",'Data Pura Costos'!G2485)</f>
        <v/>
      </c>
      <c r="H2485" s="52" t="str">
        <f>+IF('Data Pura Costos'!H2485="","",'Data Pura Costos'!H2485)</f>
        <v/>
      </c>
      <c r="I2485" s="71" t="str">
        <f>+IF('Data Pura Costos'!I2485="","",'Data Pura Costos'!I2485)</f>
        <v/>
      </c>
      <c r="J2485" s="52" t="str">
        <f>+IF('Data Pura Costos'!J2485="","",'Data Pura Costos'!J2485)</f>
        <v/>
      </c>
      <c r="K2485" s="82" t="str">
        <f t="shared" si="43"/>
        <v/>
      </c>
    </row>
    <row r="2486" spans="2:11" x14ac:dyDescent="0.35">
      <c r="B2486" s="4" t="str">
        <f>+IF('Data Pura Costos'!B2486="","",'Data Pura Costos'!B2486)</f>
        <v/>
      </c>
      <c r="C2486" s="4" t="str">
        <f>+IF('Data Pura Costos'!C2486="","",'Data Pura Costos'!C2486)</f>
        <v/>
      </c>
      <c r="D2486" s="5" t="str">
        <f>+IF('Data Pura Costos'!D2486="","",'Data Pura Costos'!D2486)</f>
        <v/>
      </c>
      <c r="E2486" s="65" t="str">
        <f>+IF('Data Pura Costos'!E2486="","",IF('Data Pura Costos'!E2486=0,MAX('Data Pura Costos'!$E$7:$E$3000)*1000,'Data Pura Costos'!E2486))</f>
        <v/>
      </c>
      <c r="F2486" s="5" t="str">
        <f>+IF('Data Pura Costos'!F2486="","",'Data Pura Costos'!F2486)</f>
        <v/>
      </c>
      <c r="G2486" s="5" t="str">
        <f>+IF('Data Pura Costos'!G2486="","",'Data Pura Costos'!G2486)</f>
        <v/>
      </c>
      <c r="H2486" s="52" t="str">
        <f>+IF('Data Pura Costos'!H2486="","",'Data Pura Costos'!H2486)</f>
        <v/>
      </c>
      <c r="I2486" s="71" t="str">
        <f>+IF('Data Pura Costos'!I2486="","",'Data Pura Costos'!I2486)</f>
        <v/>
      </c>
      <c r="J2486" s="52" t="str">
        <f>+IF('Data Pura Costos'!J2486="","",'Data Pura Costos'!J2486)</f>
        <v/>
      </c>
      <c r="K2486" s="82" t="str">
        <f t="shared" si="43"/>
        <v/>
      </c>
    </row>
    <row r="2487" spans="2:11" x14ac:dyDescent="0.35">
      <c r="B2487" s="4" t="str">
        <f>+IF('Data Pura Costos'!B2487="","",'Data Pura Costos'!B2487)</f>
        <v/>
      </c>
      <c r="C2487" s="4" t="str">
        <f>+IF('Data Pura Costos'!C2487="","",'Data Pura Costos'!C2487)</f>
        <v/>
      </c>
      <c r="D2487" s="5" t="str">
        <f>+IF('Data Pura Costos'!D2487="","",'Data Pura Costos'!D2487)</f>
        <v/>
      </c>
      <c r="E2487" s="65" t="str">
        <f>+IF('Data Pura Costos'!E2487="","",IF('Data Pura Costos'!E2487=0,MAX('Data Pura Costos'!$E$7:$E$3000)*1000,'Data Pura Costos'!E2487))</f>
        <v/>
      </c>
      <c r="F2487" s="5" t="str">
        <f>+IF('Data Pura Costos'!F2487="","",'Data Pura Costos'!F2487)</f>
        <v/>
      </c>
      <c r="G2487" s="5" t="str">
        <f>+IF('Data Pura Costos'!G2487="","",'Data Pura Costos'!G2487)</f>
        <v/>
      </c>
      <c r="H2487" s="52" t="str">
        <f>+IF('Data Pura Costos'!H2487="","",'Data Pura Costos'!H2487)</f>
        <v/>
      </c>
      <c r="I2487" s="71" t="str">
        <f>+IF('Data Pura Costos'!I2487="","",'Data Pura Costos'!I2487)</f>
        <v/>
      </c>
      <c r="J2487" s="52" t="str">
        <f>+IF('Data Pura Costos'!J2487="","",'Data Pura Costos'!J2487)</f>
        <v/>
      </c>
      <c r="K2487" s="82" t="str">
        <f t="shared" si="43"/>
        <v/>
      </c>
    </row>
    <row r="2488" spans="2:11" x14ac:dyDescent="0.35">
      <c r="B2488" s="4" t="str">
        <f>+IF('Data Pura Costos'!B2488="","",'Data Pura Costos'!B2488)</f>
        <v/>
      </c>
      <c r="C2488" s="4" t="str">
        <f>+IF('Data Pura Costos'!C2488="","",'Data Pura Costos'!C2488)</f>
        <v/>
      </c>
      <c r="D2488" s="5" t="str">
        <f>+IF('Data Pura Costos'!D2488="","",'Data Pura Costos'!D2488)</f>
        <v/>
      </c>
      <c r="E2488" s="65" t="str">
        <f>+IF('Data Pura Costos'!E2488="","",IF('Data Pura Costos'!E2488=0,MAX('Data Pura Costos'!$E$7:$E$3000)*1000,'Data Pura Costos'!E2488))</f>
        <v/>
      </c>
      <c r="F2488" s="5" t="str">
        <f>+IF('Data Pura Costos'!F2488="","",'Data Pura Costos'!F2488)</f>
        <v/>
      </c>
      <c r="G2488" s="5" t="str">
        <f>+IF('Data Pura Costos'!G2488="","",'Data Pura Costos'!G2488)</f>
        <v/>
      </c>
      <c r="H2488" s="52" t="str">
        <f>+IF('Data Pura Costos'!H2488="","",'Data Pura Costos'!H2488)</f>
        <v/>
      </c>
      <c r="I2488" s="71" t="str">
        <f>+IF('Data Pura Costos'!I2488="","",'Data Pura Costos'!I2488)</f>
        <v/>
      </c>
      <c r="J2488" s="52" t="str">
        <f>+IF('Data Pura Costos'!J2488="","",'Data Pura Costos'!J2488)</f>
        <v/>
      </c>
      <c r="K2488" s="82" t="str">
        <f t="shared" si="43"/>
        <v/>
      </c>
    </row>
    <row r="2489" spans="2:11" x14ac:dyDescent="0.35">
      <c r="B2489" s="4" t="str">
        <f>+IF('Data Pura Costos'!B2489="","",'Data Pura Costos'!B2489)</f>
        <v/>
      </c>
      <c r="C2489" s="4" t="str">
        <f>+IF('Data Pura Costos'!C2489="","",'Data Pura Costos'!C2489)</f>
        <v/>
      </c>
      <c r="D2489" s="5" t="str">
        <f>+IF('Data Pura Costos'!D2489="","",'Data Pura Costos'!D2489)</f>
        <v/>
      </c>
      <c r="E2489" s="65" t="str">
        <f>+IF('Data Pura Costos'!E2489="","",IF('Data Pura Costos'!E2489=0,MAX('Data Pura Costos'!$E$7:$E$3000)*1000,'Data Pura Costos'!E2489))</f>
        <v/>
      </c>
      <c r="F2489" s="5" t="str">
        <f>+IF('Data Pura Costos'!F2489="","",'Data Pura Costos'!F2489)</f>
        <v/>
      </c>
      <c r="G2489" s="5" t="str">
        <f>+IF('Data Pura Costos'!G2489="","",'Data Pura Costos'!G2489)</f>
        <v/>
      </c>
      <c r="H2489" s="52" t="str">
        <f>+IF('Data Pura Costos'!H2489="","",'Data Pura Costos'!H2489)</f>
        <v/>
      </c>
      <c r="I2489" s="71" t="str">
        <f>+IF('Data Pura Costos'!I2489="","",'Data Pura Costos'!I2489)</f>
        <v/>
      </c>
      <c r="J2489" s="52" t="str">
        <f>+IF('Data Pura Costos'!J2489="","",'Data Pura Costos'!J2489)</f>
        <v/>
      </c>
      <c r="K2489" s="82" t="str">
        <f t="shared" si="43"/>
        <v/>
      </c>
    </row>
    <row r="2490" spans="2:11" x14ac:dyDescent="0.35">
      <c r="B2490" s="4" t="str">
        <f>+IF('Data Pura Costos'!B2490="","",'Data Pura Costos'!B2490)</f>
        <v/>
      </c>
      <c r="C2490" s="4" t="str">
        <f>+IF('Data Pura Costos'!C2490="","",'Data Pura Costos'!C2490)</f>
        <v/>
      </c>
      <c r="D2490" s="5" t="str">
        <f>+IF('Data Pura Costos'!D2490="","",'Data Pura Costos'!D2490)</f>
        <v/>
      </c>
      <c r="E2490" s="65" t="str">
        <f>+IF('Data Pura Costos'!E2490="","",IF('Data Pura Costos'!E2490=0,MAX('Data Pura Costos'!$E$7:$E$3000)*1000,'Data Pura Costos'!E2490))</f>
        <v/>
      </c>
      <c r="F2490" s="5" t="str">
        <f>+IF('Data Pura Costos'!F2490="","",'Data Pura Costos'!F2490)</f>
        <v/>
      </c>
      <c r="G2490" s="5" t="str">
        <f>+IF('Data Pura Costos'!G2490="","",'Data Pura Costos'!G2490)</f>
        <v/>
      </c>
      <c r="H2490" s="52" t="str">
        <f>+IF('Data Pura Costos'!H2490="","",'Data Pura Costos'!H2490)</f>
        <v/>
      </c>
      <c r="I2490" s="71" t="str">
        <f>+IF('Data Pura Costos'!I2490="","",'Data Pura Costos'!I2490)</f>
        <v/>
      </c>
      <c r="J2490" s="52" t="str">
        <f>+IF('Data Pura Costos'!J2490="","",'Data Pura Costos'!J2490)</f>
        <v/>
      </c>
      <c r="K2490" s="82" t="str">
        <f t="shared" si="43"/>
        <v/>
      </c>
    </row>
    <row r="2491" spans="2:11" x14ac:dyDescent="0.35">
      <c r="B2491" s="4" t="str">
        <f>+IF('Data Pura Costos'!B2491="","",'Data Pura Costos'!B2491)</f>
        <v/>
      </c>
      <c r="C2491" s="4" t="str">
        <f>+IF('Data Pura Costos'!C2491="","",'Data Pura Costos'!C2491)</f>
        <v/>
      </c>
      <c r="D2491" s="5" t="str">
        <f>+IF('Data Pura Costos'!D2491="","",'Data Pura Costos'!D2491)</f>
        <v/>
      </c>
      <c r="E2491" s="65" t="str">
        <f>+IF('Data Pura Costos'!E2491="","",IF('Data Pura Costos'!E2491=0,MAX('Data Pura Costos'!$E$7:$E$3000)*1000,'Data Pura Costos'!E2491))</f>
        <v/>
      </c>
      <c r="F2491" s="5" t="str">
        <f>+IF('Data Pura Costos'!F2491="","",'Data Pura Costos'!F2491)</f>
        <v/>
      </c>
      <c r="G2491" s="5" t="str">
        <f>+IF('Data Pura Costos'!G2491="","",'Data Pura Costos'!G2491)</f>
        <v/>
      </c>
      <c r="H2491" s="52" t="str">
        <f>+IF('Data Pura Costos'!H2491="","",'Data Pura Costos'!H2491)</f>
        <v/>
      </c>
      <c r="I2491" s="71" t="str">
        <f>+IF('Data Pura Costos'!I2491="","",'Data Pura Costos'!I2491)</f>
        <v/>
      </c>
      <c r="J2491" s="52" t="str">
        <f>+IF('Data Pura Costos'!J2491="","",'Data Pura Costos'!J2491)</f>
        <v/>
      </c>
      <c r="K2491" s="82" t="str">
        <f t="shared" si="43"/>
        <v/>
      </c>
    </row>
    <row r="2492" spans="2:11" x14ac:dyDescent="0.35">
      <c r="B2492" s="4" t="str">
        <f>+IF('Data Pura Costos'!B2492="","",'Data Pura Costos'!B2492)</f>
        <v/>
      </c>
      <c r="C2492" s="4" t="str">
        <f>+IF('Data Pura Costos'!C2492="","",'Data Pura Costos'!C2492)</f>
        <v/>
      </c>
      <c r="D2492" s="5" t="str">
        <f>+IF('Data Pura Costos'!D2492="","",'Data Pura Costos'!D2492)</f>
        <v/>
      </c>
      <c r="E2492" s="65" t="str">
        <f>+IF('Data Pura Costos'!E2492="","",IF('Data Pura Costos'!E2492=0,MAX('Data Pura Costos'!$E$7:$E$3000)*1000,'Data Pura Costos'!E2492))</f>
        <v/>
      </c>
      <c r="F2492" s="5" t="str">
        <f>+IF('Data Pura Costos'!F2492="","",'Data Pura Costos'!F2492)</f>
        <v/>
      </c>
      <c r="G2492" s="5" t="str">
        <f>+IF('Data Pura Costos'!G2492="","",'Data Pura Costos'!G2492)</f>
        <v/>
      </c>
      <c r="H2492" s="52" t="str">
        <f>+IF('Data Pura Costos'!H2492="","",'Data Pura Costos'!H2492)</f>
        <v/>
      </c>
      <c r="I2492" s="71" t="str">
        <f>+IF('Data Pura Costos'!I2492="","",'Data Pura Costos'!I2492)</f>
        <v/>
      </c>
      <c r="J2492" s="52" t="str">
        <f>+IF('Data Pura Costos'!J2492="","",'Data Pura Costos'!J2492)</f>
        <v/>
      </c>
      <c r="K2492" s="82" t="str">
        <f t="shared" ref="K2492:K2555" si="44">+IF(B2492="","",CONCATENATE(B2492,"-",F2492,"-",G2492))</f>
        <v/>
      </c>
    </row>
    <row r="2493" spans="2:11" x14ac:dyDescent="0.35">
      <c r="B2493" s="4" t="str">
        <f>+IF('Data Pura Costos'!B2493="","",'Data Pura Costos'!B2493)</f>
        <v/>
      </c>
      <c r="C2493" s="4" t="str">
        <f>+IF('Data Pura Costos'!C2493="","",'Data Pura Costos'!C2493)</f>
        <v/>
      </c>
      <c r="D2493" s="5" t="str">
        <f>+IF('Data Pura Costos'!D2493="","",'Data Pura Costos'!D2493)</f>
        <v/>
      </c>
      <c r="E2493" s="65" t="str">
        <f>+IF('Data Pura Costos'!E2493="","",IF('Data Pura Costos'!E2493=0,MAX('Data Pura Costos'!$E$7:$E$3000)*1000,'Data Pura Costos'!E2493))</f>
        <v/>
      </c>
      <c r="F2493" s="5" t="str">
        <f>+IF('Data Pura Costos'!F2493="","",'Data Pura Costos'!F2493)</f>
        <v/>
      </c>
      <c r="G2493" s="5" t="str">
        <f>+IF('Data Pura Costos'!G2493="","",'Data Pura Costos'!G2493)</f>
        <v/>
      </c>
      <c r="H2493" s="52" t="str">
        <f>+IF('Data Pura Costos'!H2493="","",'Data Pura Costos'!H2493)</f>
        <v/>
      </c>
      <c r="I2493" s="71" t="str">
        <f>+IF('Data Pura Costos'!I2493="","",'Data Pura Costos'!I2493)</f>
        <v/>
      </c>
      <c r="J2493" s="52" t="str">
        <f>+IF('Data Pura Costos'!J2493="","",'Data Pura Costos'!J2493)</f>
        <v/>
      </c>
      <c r="K2493" s="82" t="str">
        <f t="shared" si="44"/>
        <v/>
      </c>
    </row>
    <row r="2494" spans="2:11" x14ac:dyDescent="0.35">
      <c r="B2494" s="4" t="str">
        <f>+IF('Data Pura Costos'!B2494="","",'Data Pura Costos'!B2494)</f>
        <v/>
      </c>
      <c r="C2494" s="4" t="str">
        <f>+IF('Data Pura Costos'!C2494="","",'Data Pura Costos'!C2494)</f>
        <v/>
      </c>
      <c r="D2494" s="5" t="str">
        <f>+IF('Data Pura Costos'!D2494="","",'Data Pura Costos'!D2494)</f>
        <v/>
      </c>
      <c r="E2494" s="65" t="str">
        <f>+IF('Data Pura Costos'!E2494="","",IF('Data Pura Costos'!E2494=0,MAX('Data Pura Costos'!$E$7:$E$3000)*1000,'Data Pura Costos'!E2494))</f>
        <v/>
      </c>
      <c r="F2494" s="5" t="str">
        <f>+IF('Data Pura Costos'!F2494="","",'Data Pura Costos'!F2494)</f>
        <v/>
      </c>
      <c r="G2494" s="5" t="str">
        <f>+IF('Data Pura Costos'!G2494="","",'Data Pura Costos'!G2494)</f>
        <v/>
      </c>
      <c r="H2494" s="52" t="str">
        <f>+IF('Data Pura Costos'!H2494="","",'Data Pura Costos'!H2494)</f>
        <v/>
      </c>
      <c r="I2494" s="71" t="str">
        <f>+IF('Data Pura Costos'!I2494="","",'Data Pura Costos'!I2494)</f>
        <v/>
      </c>
      <c r="J2494" s="52" t="str">
        <f>+IF('Data Pura Costos'!J2494="","",'Data Pura Costos'!J2494)</f>
        <v/>
      </c>
      <c r="K2494" s="82" t="str">
        <f t="shared" si="44"/>
        <v/>
      </c>
    </row>
    <row r="2495" spans="2:11" x14ac:dyDescent="0.35">
      <c r="B2495" s="4" t="str">
        <f>+IF('Data Pura Costos'!B2495="","",'Data Pura Costos'!B2495)</f>
        <v/>
      </c>
      <c r="C2495" s="4" t="str">
        <f>+IF('Data Pura Costos'!C2495="","",'Data Pura Costos'!C2495)</f>
        <v/>
      </c>
      <c r="D2495" s="5" t="str">
        <f>+IF('Data Pura Costos'!D2495="","",'Data Pura Costos'!D2495)</f>
        <v/>
      </c>
      <c r="E2495" s="65" t="str">
        <f>+IF('Data Pura Costos'!E2495="","",IF('Data Pura Costos'!E2495=0,MAX('Data Pura Costos'!$E$7:$E$3000)*1000,'Data Pura Costos'!E2495))</f>
        <v/>
      </c>
      <c r="F2495" s="5" t="str">
        <f>+IF('Data Pura Costos'!F2495="","",'Data Pura Costos'!F2495)</f>
        <v/>
      </c>
      <c r="G2495" s="5" t="str">
        <f>+IF('Data Pura Costos'!G2495="","",'Data Pura Costos'!G2495)</f>
        <v/>
      </c>
      <c r="H2495" s="52" t="str">
        <f>+IF('Data Pura Costos'!H2495="","",'Data Pura Costos'!H2495)</f>
        <v/>
      </c>
      <c r="I2495" s="71" t="str">
        <f>+IF('Data Pura Costos'!I2495="","",'Data Pura Costos'!I2495)</f>
        <v/>
      </c>
      <c r="J2495" s="52" t="str">
        <f>+IF('Data Pura Costos'!J2495="","",'Data Pura Costos'!J2495)</f>
        <v/>
      </c>
      <c r="K2495" s="82" t="str">
        <f t="shared" si="44"/>
        <v/>
      </c>
    </row>
    <row r="2496" spans="2:11" x14ac:dyDescent="0.35">
      <c r="B2496" s="4" t="str">
        <f>+IF('Data Pura Costos'!B2496="","",'Data Pura Costos'!B2496)</f>
        <v/>
      </c>
      <c r="C2496" s="4" t="str">
        <f>+IF('Data Pura Costos'!C2496="","",'Data Pura Costos'!C2496)</f>
        <v/>
      </c>
      <c r="D2496" s="5" t="str">
        <f>+IF('Data Pura Costos'!D2496="","",'Data Pura Costos'!D2496)</f>
        <v/>
      </c>
      <c r="E2496" s="65" t="str">
        <f>+IF('Data Pura Costos'!E2496="","",IF('Data Pura Costos'!E2496=0,MAX('Data Pura Costos'!$E$7:$E$3000)*1000,'Data Pura Costos'!E2496))</f>
        <v/>
      </c>
      <c r="F2496" s="5" t="str">
        <f>+IF('Data Pura Costos'!F2496="","",'Data Pura Costos'!F2496)</f>
        <v/>
      </c>
      <c r="G2496" s="5" t="str">
        <f>+IF('Data Pura Costos'!G2496="","",'Data Pura Costos'!G2496)</f>
        <v/>
      </c>
      <c r="H2496" s="52" t="str">
        <f>+IF('Data Pura Costos'!H2496="","",'Data Pura Costos'!H2496)</f>
        <v/>
      </c>
      <c r="I2496" s="71" t="str">
        <f>+IF('Data Pura Costos'!I2496="","",'Data Pura Costos'!I2496)</f>
        <v/>
      </c>
      <c r="J2496" s="52" t="str">
        <f>+IF('Data Pura Costos'!J2496="","",'Data Pura Costos'!J2496)</f>
        <v/>
      </c>
      <c r="K2496" s="82" t="str">
        <f t="shared" si="44"/>
        <v/>
      </c>
    </row>
    <row r="2497" spans="2:11" x14ac:dyDescent="0.35">
      <c r="B2497" s="4" t="str">
        <f>+IF('Data Pura Costos'!B2497="","",'Data Pura Costos'!B2497)</f>
        <v/>
      </c>
      <c r="C2497" s="4" t="str">
        <f>+IF('Data Pura Costos'!C2497="","",'Data Pura Costos'!C2497)</f>
        <v/>
      </c>
      <c r="D2497" s="5" t="str">
        <f>+IF('Data Pura Costos'!D2497="","",'Data Pura Costos'!D2497)</f>
        <v/>
      </c>
      <c r="E2497" s="65" t="str">
        <f>+IF('Data Pura Costos'!E2497="","",IF('Data Pura Costos'!E2497=0,MAX('Data Pura Costos'!$E$7:$E$3000)*1000,'Data Pura Costos'!E2497))</f>
        <v/>
      </c>
      <c r="F2497" s="5" t="str">
        <f>+IF('Data Pura Costos'!F2497="","",'Data Pura Costos'!F2497)</f>
        <v/>
      </c>
      <c r="G2497" s="5" t="str">
        <f>+IF('Data Pura Costos'!G2497="","",'Data Pura Costos'!G2497)</f>
        <v/>
      </c>
      <c r="H2497" s="52" t="str">
        <f>+IF('Data Pura Costos'!H2497="","",'Data Pura Costos'!H2497)</f>
        <v/>
      </c>
      <c r="I2497" s="71" t="str">
        <f>+IF('Data Pura Costos'!I2497="","",'Data Pura Costos'!I2497)</f>
        <v/>
      </c>
      <c r="J2497" s="52" t="str">
        <f>+IF('Data Pura Costos'!J2497="","",'Data Pura Costos'!J2497)</f>
        <v/>
      </c>
      <c r="K2497" s="82" t="str">
        <f t="shared" si="44"/>
        <v/>
      </c>
    </row>
    <row r="2498" spans="2:11" x14ac:dyDescent="0.35">
      <c r="B2498" s="4" t="str">
        <f>+IF('Data Pura Costos'!B2498="","",'Data Pura Costos'!B2498)</f>
        <v/>
      </c>
      <c r="C2498" s="4" t="str">
        <f>+IF('Data Pura Costos'!C2498="","",'Data Pura Costos'!C2498)</f>
        <v/>
      </c>
      <c r="D2498" s="5" t="str">
        <f>+IF('Data Pura Costos'!D2498="","",'Data Pura Costos'!D2498)</f>
        <v/>
      </c>
      <c r="E2498" s="65" t="str">
        <f>+IF('Data Pura Costos'!E2498="","",IF('Data Pura Costos'!E2498=0,MAX('Data Pura Costos'!$E$7:$E$3000)*1000,'Data Pura Costos'!E2498))</f>
        <v/>
      </c>
      <c r="F2498" s="5" t="str">
        <f>+IF('Data Pura Costos'!F2498="","",'Data Pura Costos'!F2498)</f>
        <v/>
      </c>
      <c r="G2498" s="5" t="str">
        <f>+IF('Data Pura Costos'!G2498="","",'Data Pura Costos'!G2498)</f>
        <v/>
      </c>
      <c r="H2498" s="52" t="str">
        <f>+IF('Data Pura Costos'!H2498="","",'Data Pura Costos'!H2498)</f>
        <v/>
      </c>
      <c r="I2498" s="71" t="str">
        <f>+IF('Data Pura Costos'!I2498="","",'Data Pura Costos'!I2498)</f>
        <v/>
      </c>
      <c r="J2498" s="52" t="str">
        <f>+IF('Data Pura Costos'!J2498="","",'Data Pura Costos'!J2498)</f>
        <v/>
      </c>
      <c r="K2498" s="82" t="str">
        <f t="shared" si="44"/>
        <v/>
      </c>
    </row>
    <row r="2499" spans="2:11" x14ac:dyDescent="0.35">
      <c r="B2499" s="4" t="str">
        <f>+IF('Data Pura Costos'!B2499="","",'Data Pura Costos'!B2499)</f>
        <v/>
      </c>
      <c r="C2499" s="4" t="str">
        <f>+IF('Data Pura Costos'!C2499="","",'Data Pura Costos'!C2499)</f>
        <v/>
      </c>
      <c r="D2499" s="5" t="str">
        <f>+IF('Data Pura Costos'!D2499="","",'Data Pura Costos'!D2499)</f>
        <v/>
      </c>
      <c r="E2499" s="65" t="str">
        <f>+IF('Data Pura Costos'!E2499="","",IF('Data Pura Costos'!E2499=0,MAX('Data Pura Costos'!$E$7:$E$3000)*1000,'Data Pura Costos'!E2499))</f>
        <v/>
      </c>
      <c r="F2499" s="5" t="str">
        <f>+IF('Data Pura Costos'!F2499="","",'Data Pura Costos'!F2499)</f>
        <v/>
      </c>
      <c r="G2499" s="5" t="str">
        <f>+IF('Data Pura Costos'!G2499="","",'Data Pura Costos'!G2499)</f>
        <v/>
      </c>
      <c r="H2499" s="52" t="str">
        <f>+IF('Data Pura Costos'!H2499="","",'Data Pura Costos'!H2499)</f>
        <v/>
      </c>
      <c r="I2499" s="71" t="str">
        <f>+IF('Data Pura Costos'!I2499="","",'Data Pura Costos'!I2499)</f>
        <v/>
      </c>
      <c r="J2499" s="52" t="str">
        <f>+IF('Data Pura Costos'!J2499="","",'Data Pura Costos'!J2499)</f>
        <v/>
      </c>
      <c r="K2499" s="82" t="str">
        <f t="shared" si="44"/>
        <v/>
      </c>
    </row>
    <row r="2500" spans="2:11" x14ac:dyDescent="0.35">
      <c r="B2500" s="4" t="str">
        <f>+IF('Data Pura Costos'!B2500="","",'Data Pura Costos'!B2500)</f>
        <v/>
      </c>
      <c r="C2500" s="4" t="str">
        <f>+IF('Data Pura Costos'!C2500="","",'Data Pura Costos'!C2500)</f>
        <v/>
      </c>
      <c r="D2500" s="5" t="str">
        <f>+IF('Data Pura Costos'!D2500="","",'Data Pura Costos'!D2500)</f>
        <v/>
      </c>
      <c r="E2500" s="65" t="str">
        <f>+IF('Data Pura Costos'!E2500="","",IF('Data Pura Costos'!E2500=0,MAX('Data Pura Costos'!$E$7:$E$3000)*1000,'Data Pura Costos'!E2500))</f>
        <v/>
      </c>
      <c r="F2500" s="5" t="str">
        <f>+IF('Data Pura Costos'!F2500="","",'Data Pura Costos'!F2500)</f>
        <v/>
      </c>
      <c r="G2500" s="5" t="str">
        <f>+IF('Data Pura Costos'!G2500="","",'Data Pura Costos'!G2500)</f>
        <v/>
      </c>
      <c r="H2500" s="52" t="str">
        <f>+IF('Data Pura Costos'!H2500="","",'Data Pura Costos'!H2500)</f>
        <v/>
      </c>
      <c r="I2500" s="71" t="str">
        <f>+IF('Data Pura Costos'!I2500="","",'Data Pura Costos'!I2500)</f>
        <v/>
      </c>
      <c r="J2500" s="52" t="str">
        <f>+IF('Data Pura Costos'!J2500="","",'Data Pura Costos'!J2500)</f>
        <v/>
      </c>
      <c r="K2500" s="82" t="str">
        <f t="shared" si="44"/>
        <v/>
      </c>
    </row>
    <row r="2501" spans="2:11" x14ac:dyDescent="0.35">
      <c r="B2501" s="4" t="str">
        <f>+IF('Data Pura Costos'!B2501="","",'Data Pura Costos'!B2501)</f>
        <v/>
      </c>
      <c r="C2501" s="4" t="str">
        <f>+IF('Data Pura Costos'!C2501="","",'Data Pura Costos'!C2501)</f>
        <v/>
      </c>
      <c r="D2501" s="5" t="str">
        <f>+IF('Data Pura Costos'!D2501="","",'Data Pura Costos'!D2501)</f>
        <v/>
      </c>
      <c r="E2501" s="65" t="str">
        <f>+IF('Data Pura Costos'!E2501="","",IF('Data Pura Costos'!E2501=0,MAX('Data Pura Costos'!$E$7:$E$3000)*1000,'Data Pura Costos'!E2501))</f>
        <v/>
      </c>
      <c r="F2501" s="5" t="str">
        <f>+IF('Data Pura Costos'!F2501="","",'Data Pura Costos'!F2501)</f>
        <v/>
      </c>
      <c r="G2501" s="5" t="str">
        <f>+IF('Data Pura Costos'!G2501="","",'Data Pura Costos'!G2501)</f>
        <v/>
      </c>
      <c r="H2501" s="52" t="str">
        <f>+IF('Data Pura Costos'!H2501="","",'Data Pura Costos'!H2501)</f>
        <v/>
      </c>
      <c r="I2501" s="71" t="str">
        <f>+IF('Data Pura Costos'!I2501="","",'Data Pura Costos'!I2501)</f>
        <v/>
      </c>
      <c r="J2501" s="52" t="str">
        <f>+IF('Data Pura Costos'!J2501="","",'Data Pura Costos'!J2501)</f>
        <v/>
      </c>
      <c r="K2501" s="82" t="str">
        <f t="shared" si="44"/>
        <v/>
      </c>
    </row>
    <row r="2502" spans="2:11" x14ac:dyDescent="0.35">
      <c r="B2502" s="4" t="str">
        <f>+IF('Data Pura Costos'!B2502="","",'Data Pura Costos'!B2502)</f>
        <v/>
      </c>
      <c r="C2502" s="4" t="str">
        <f>+IF('Data Pura Costos'!C2502="","",'Data Pura Costos'!C2502)</f>
        <v/>
      </c>
      <c r="D2502" s="5" t="str">
        <f>+IF('Data Pura Costos'!D2502="","",'Data Pura Costos'!D2502)</f>
        <v/>
      </c>
      <c r="E2502" s="65" t="str">
        <f>+IF('Data Pura Costos'!E2502="","",IF('Data Pura Costos'!E2502=0,MAX('Data Pura Costos'!$E$7:$E$3000)*1000,'Data Pura Costos'!E2502))</f>
        <v/>
      </c>
      <c r="F2502" s="5" t="str">
        <f>+IF('Data Pura Costos'!F2502="","",'Data Pura Costos'!F2502)</f>
        <v/>
      </c>
      <c r="G2502" s="5" t="str">
        <f>+IF('Data Pura Costos'!G2502="","",'Data Pura Costos'!G2502)</f>
        <v/>
      </c>
      <c r="H2502" s="52" t="str">
        <f>+IF('Data Pura Costos'!H2502="","",'Data Pura Costos'!H2502)</f>
        <v/>
      </c>
      <c r="I2502" s="71" t="str">
        <f>+IF('Data Pura Costos'!I2502="","",'Data Pura Costos'!I2502)</f>
        <v/>
      </c>
      <c r="J2502" s="52" t="str">
        <f>+IF('Data Pura Costos'!J2502="","",'Data Pura Costos'!J2502)</f>
        <v/>
      </c>
      <c r="K2502" s="82" t="str">
        <f t="shared" si="44"/>
        <v/>
      </c>
    </row>
    <row r="2503" spans="2:11" x14ac:dyDescent="0.35">
      <c r="B2503" s="4" t="str">
        <f>+IF('Data Pura Costos'!B2503="","",'Data Pura Costos'!B2503)</f>
        <v/>
      </c>
      <c r="C2503" s="4" t="str">
        <f>+IF('Data Pura Costos'!C2503="","",'Data Pura Costos'!C2503)</f>
        <v/>
      </c>
      <c r="D2503" s="5" t="str">
        <f>+IF('Data Pura Costos'!D2503="","",'Data Pura Costos'!D2503)</f>
        <v/>
      </c>
      <c r="E2503" s="65" t="str">
        <f>+IF('Data Pura Costos'!E2503="","",IF('Data Pura Costos'!E2503=0,MAX('Data Pura Costos'!$E$7:$E$3000)*1000,'Data Pura Costos'!E2503))</f>
        <v/>
      </c>
      <c r="F2503" s="5" t="str">
        <f>+IF('Data Pura Costos'!F2503="","",'Data Pura Costos'!F2503)</f>
        <v/>
      </c>
      <c r="G2503" s="5" t="str">
        <f>+IF('Data Pura Costos'!G2503="","",'Data Pura Costos'!G2503)</f>
        <v/>
      </c>
      <c r="H2503" s="52" t="str">
        <f>+IF('Data Pura Costos'!H2503="","",'Data Pura Costos'!H2503)</f>
        <v/>
      </c>
      <c r="I2503" s="71" t="str">
        <f>+IF('Data Pura Costos'!I2503="","",'Data Pura Costos'!I2503)</f>
        <v/>
      </c>
      <c r="J2503" s="52" t="str">
        <f>+IF('Data Pura Costos'!J2503="","",'Data Pura Costos'!J2503)</f>
        <v/>
      </c>
      <c r="K2503" s="82" t="str">
        <f t="shared" si="44"/>
        <v/>
      </c>
    </row>
    <row r="2504" spans="2:11" x14ac:dyDescent="0.35">
      <c r="B2504" s="4" t="str">
        <f>+IF('Data Pura Costos'!B2504="","",'Data Pura Costos'!B2504)</f>
        <v/>
      </c>
      <c r="C2504" s="4" t="str">
        <f>+IF('Data Pura Costos'!C2504="","",'Data Pura Costos'!C2504)</f>
        <v/>
      </c>
      <c r="D2504" s="5" t="str">
        <f>+IF('Data Pura Costos'!D2504="","",'Data Pura Costos'!D2504)</f>
        <v/>
      </c>
      <c r="E2504" s="65" t="str">
        <f>+IF('Data Pura Costos'!E2504="","",IF('Data Pura Costos'!E2504=0,MAX('Data Pura Costos'!$E$7:$E$3000)*1000,'Data Pura Costos'!E2504))</f>
        <v/>
      </c>
      <c r="F2504" s="5" t="str">
        <f>+IF('Data Pura Costos'!F2504="","",'Data Pura Costos'!F2504)</f>
        <v/>
      </c>
      <c r="G2504" s="5" t="str">
        <f>+IF('Data Pura Costos'!G2504="","",'Data Pura Costos'!G2504)</f>
        <v/>
      </c>
      <c r="H2504" s="52" t="str">
        <f>+IF('Data Pura Costos'!H2504="","",'Data Pura Costos'!H2504)</f>
        <v/>
      </c>
      <c r="I2504" s="71" t="str">
        <f>+IF('Data Pura Costos'!I2504="","",'Data Pura Costos'!I2504)</f>
        <v/>
      </c>
      <c r="J2504" s="52" t="str">
        <f>+IF('Data Pura Costos'!J2504="","",'Data Pura Costos'!J2504)</f>
        <v/>
      </c>
      <c r="K2504" s="82" t="str">
        <f t="shared" si="44"/>
        <v/>
      </c>
    </row>
    <row r="2505" spans="2:11" x14ac:dyDescent="0.35">
      <c r="B2505" s="4" t="str">
        <f>+IF('Data Pura Costos'!B2505="","",'Data Pura Costos'!B2505)</f>
        <v/>
      </c>
      <c r="C2505" s="4" t="str">
        <f>+IF('Data Pura Costos'!C2505="","",'Data Pura Costos'!C2505)</f>
        <v/>
      </c>
      <c r="D2505" s="5" t="str">
        <f>+IF('Data Pura Costos'!D2505="","",'Data Pura Costos'!D2505)</f>
        <v/>
      </c>
      <c r="E2505" s="65" t="str">
        <f>+IF('Data Pura Costos'!E2505="","",IF('Data Pura Costos'!E2505=0,MAX('Data Pura Costos'!$E$7:$E$3000)*1000,'Data Pura Costos'!E2505))</f>
        <v/>
      </c>
      <c r="F2505" s="5" t="str">
        <f>+IF('Data Pura Costos'!F2505="","",'Data Pura Costos'!F2505)</f>
        <v/>
      </c>
      <c r="G2505" s="5" t="str">
        <f>+IF('Data Pura Costos'!G2505="","",'Data Pura Costos'!G2505)</f>
        <v/>
      </c>
      <c r="H2505" s="52" t="str">
        <f>+IF('Data Pura Costos'!H2505="","",'Data Pura Costos'!H2505)</f>
        <v/>
      </c>
      <c r="I2505" s="71" t="str">
        <f>+IF('Data Pura Costos'!I2505="","",'Data Pura Costos'!I2505)</f>
        <v/>
      </c>
      <c r="J2505" s="52" t="str">
        <f>+IF('Data Pura Costos'!J2505="","",'Data Pura Costos'!J2505)</f>
        <v/>
      </c>
      <c r="K2505" s="82" t="str">
        <f t="shared" si="44"/>
        <v/>
      </c>
    </row>
    <row r="2506" spans="2:11" x14ac:dyDescent="0.35">
      <c r="B2506" s="4" t="str">
        <f>+IF('Data Pura Costos'!B2506="","",'Data Pura Costos'!B2506)</f>
        <v/>
      </c>
      <c r="C2506" s="4" t="str">
        <f>+IF('Data Pura Costos'!C2506="","",'Data Pura Costos'!C2506)</f>
        <v/>
      </c>
      <c r="D2506" s="5" t="str">
        <f>+IF('Data Pura Costos'!D2506="","",'Data Pura Costos'!D2506)</f>
        <v/>
      </c>
      <c r="E2506" s="65" t="str">
        <f>+IF('Data Pura Costos'!E2506="","",IF('Data Pura Costos'!E2506=0,MAX('Data Pura Costos'!$E$7:$E$3000)*1000,'Data Pura Costos'!E2506))</f>
        <v/>
      </c>
      <c r="F2506" s="5" t="str">
        <f>+IF('Data Pura Costos'!F2506="","",'Data Pura Costos'!F2506)</f>
        <v/>
      </c>
      <c r="G2506" s="5" t="str">
        <f>+IF('Data Pura Costos'!G2506="","",'Data Pura Costos'!G2506)</f>
        <v/>
      </c>
      <c r="H2506" s="52" t="str">
        <f>+IF('Data Pura Costos'!H2506="","",'Data Pura Costos'!H2506)</f>
        <v/>
      </c>
      <c r="I2506" s="71" t="str">
        <f>+IF('Data Pura Costos'!I2506="","",'Data Pura Costos'!I2506)</f>
        <v/>
      </c>
      <c r="J2506" s="52" t="str">
        <f>+IF('Data Pura Costos'!J2506="","",'Data Pura Costos'!J2506)</f>
        <v/>
      </c>
      <c r="K2506" s="82" t="str">
        <f t="shared" si="44"/>
        <v/>
      </c>
    </row>
    <row r="2507" spans="2:11" x14ac:dyDescent="0.35">
      <c r="B2507" s="4" t="str">
        <f>+IF('Data Pura Costos'!B2507="","",'Data Pura Costos'!B2507)</f>
        <v/>
      </c>
      <c r="C2507" s="4" t="str">
        <f>+IF('Data Pura Costos'!C2507="","",'Data Pura Costos'!C2507)</f>
        <v/>
      </c>
      <c r="D2507" s="5" t="str">
        <f>+IF('Data Pura Costos'!D2507="","",'Data Pura Costos'!D2507)</f>
        <v/>
      </c>
      <c r="E2507" s="65" t="str">
        <f>+IF('Data Pura Costos'!E2507="","",IF('Data Pura Costos'!E2507=0,MAX('Data Pura Costos'!$E$7:$E$3000)*1000,'Data Pura Costos'!E2507))</f>
        <v/>
      </c>
      <c r="F2507" s="5" t="str">
        <f>+IF('Data Pura Costos'!F2507="","",'Data Pura Costos'!F2507)</f>
        <v/>
      </c>
      <c r="G2507" s="5" t="str">
        <f>+IF('Data Pura Costos'!G2507="","",'Data Pura Costos'!G2507)</f>
        <v/>
      </c>
      <c r="H2507" s="52" t="str">
        <f>+IF('Data Pura Costos'!H2507="","",'Data Pura Costos'!H2507)</f>
        <v/>
      </c>
      <c r="I2507" s="71" t="str">
        <f>+IF('Data Pura Costos'!I2507="","",'Data Pura Costos'!I2507)</f>
        <v/>
      </c>
      <c r="J2507" s="52" t="str">
        <f>+IF('Data Pura Costos'!J2507="","",'Data Pura Costos'!J2507)</f>
        <v/>
      </c>
      <c r="K2507" s="82" t="str">
        <f t="shared" si="44"/>
        <v/>
      </c>
    </row>
    <row r="2508" spans="2:11" x14ac:dyDescent="0.35">
      <c r="B2508" s="4" t="str">
        <f>+IF('Data Pura Costos'!B2508="","",'Data Pura Costos'!B2508)</f>
        <v/>
      </c>
      <c r="C2508" s="4" t="str">
        <f>+IF('Data Pura Costos'!C2508="","",'Data Pura Costos'!C2508)</f>
        <v/>
      </c>
      <c r="D2508" s="5" t="str">
        <f>+IF('Data Pura Costos'!D2508="","",'Data Pura Costos'!D2508)</f>
        <v/>
      </c>
      <c r="E2508" s="65" t="str">
        <f>+IF('Data Pura Costos'!E2508="","",IF('Data Pura Costos'!E2508=0,MAX('Data Pura Costos'!$E$7:$E$3000)*1000,'Data Pura Costos'!E2508))</f>
        <v/>
      </c>
      <c r="F2508" s="5" t="str">
        <f>+IF('Data Pura Costos'!F2508="","",'Data Pura Costos'!F2508)</f>
        <v/>
      </c>
      <c r="G2508" s="5" t="str">
        <f>+IF('Data Pura Costos'!G2508="","",'Data Pura Costos'!G2508)</f>
        <v/>
      </c>
      <c r="H2508" s="52" t="str">
        <f>+IF('Data Pura Costos'!H2508="","",'Data Pura Costos'!H2508)</f>
        <v/>
      </c>
      <c r="I2508" s="71" t="str">
        <f>+IF('Data Pura Costos'!I2508="","",'Data Pura Costos'!I2508)</f>
        <v/>
      </c>
      <c r="J2508" s="52" t="str">
        <f>+IF('Data Pura Costos'!J2508="","",'Data Pura Costos'!J2508)</f>
        <v/>
      </c>
      <c r="K2508" s="82" t="str">
        <f t="shared" si="44"/>
        <v/>
      </c>
    </row>
    <row r="2509" spans="2:11" x14ac:dyDescent="0.35">
      <c r="B2509" s="4" t="str">
        <f>+IF('Data Pura Costos'!B2509="","",'Data Pura Costos'!B2509)</f>
        <v/>
      </c>
      <c r="C2509" s="4" t="str">
        <f>+IF('Data Pura Costos'!C2509="","",'Data Pura Costos'!C2509)</f>
        <v/>
      </c>
      <c r="D2509" s="5" t="str">
        <f>+IF('Data Pura Costos'!D2509="","",'Data Pura Costos'!D2509)</f>
        <v/>
      </c>
      <c r="E2509" s="65" t="str">
        <f>+IF('Data Pura Costos'!E2509="","",IF('Data Pura Costos'!E2509=0,MAX('Data Pura Costos'!$E$7:$E$3000)*1000,'Data Pura Costos'!E2509))</f>
        <v/>
      </c>
      <c r="F2509" s="5" t="str">
        <f>+IF('Data Pura Costos'!F2509="","",'Data Pura Costos'!F2509)</f>
        <v/>
      </c>
      <c r="G2509" s="5" t="str">
        <f>+IF('Data Pura Costos'!G2509="","",'Data Pura Costos'!G2509)</f>
        <v/>
      </c>
      <c r="H2509" s="52" t="str">
        <f>+IF('Data Pura Costos'!H2509="","",'Data Pura Costos'!H2509)</f>
        <v/>
      </c>
      <c r="I2509" s="71" t="str">
        <f>+IF('Data Pura Costos'!I2509="","",'Data Pura Costos'!I2509)</f>
        <v/>
      </c>
      <c r="J2509" s="52" t="str">
        <f>+IF('Data Pura Costos'!J2509="","",'Data Pura Costos'!J2509)</f>
        <v/>
      </c>
      <c r="K2509" s="82" t="str">
        <f t="shared" si="44"/>
        <v/>
      </c>
    </row>
    <row r="2510" spans="2:11" x14ac:dyDescent="0.35">
      <c r="B2510" s="4" t="str">
        <f>+IF('Data Pura Costos'!B2510="","",'Data Pura Costos'!B2510)</f>
        <v/>
      </c>
      <c r="C2510" s="4" t="str">
        <f>+IF('Data Pura Costos'!C2510="","",'Data Pura Costos'!C2510)</f>
        <v/>
      </c>
      <c r="D2510" s="5" t="str">
        <f>+IF('Data Pura Costos'!D2510="","",'Data Pura Costos'!D2510)</f>
        <v/>
      </c>
      <c r="E2510" s="65" t="str">
        <f>+IF('Data Pura Costos'!E2510="","",IF('Data Pura Costos'!E2510=0,MAX('Data Pura Costos'!$E$7:$E$3000)*1000,'Data Pura Costos'!E2510))</f>
        <v/>
      </c>
      <c r="F2510" s="5" t="str">
        <f>+IF('Data Pura Costos'!F2510="","",'Data Pura Costos'!F2510)</f>
        <v/>
      </c>
      <c r="G2510" s="5" t="str">
        <f>+IF('Data Pura Costos'!G2510="","",'Data Pura Costos'!G2510)</f>
        <v/>
      </c>
      <c r="H2510" s="52" t="str">
        <f>+IF('Data Pura Costos'!H2510="","",'Data Pura Costos'!H2510)</f>
        <v/>
      </c>
      <c r="I2510" s="71" t="str">
        <f>+IF('Data Pura Costos'!I2510="","",'Data Pura Costos'!I2510)</f>
        <v/>
      </c>
      <c r="J2510" s="52" t="str">
        <f>+IF('Data Pura Costos'!J2510="","",'Data Pura Costos'!J2510)</f>
        <v/>
      </c>
      <c r="K2510" s="82" t="str">
        <f t="shared" si="44"/>
        <v/>
      </c>
    </row>
    <row r="2511" spans="2:11" x14ac:dyDescent="0.35">
      <c r="B2511" s="4" t="str">
        <f>+IF('Data Pura Costos'!B2511="","",'Data Pura Costos'!B2511)</f>
        <v/>
      </c>
      <c r="C2511" s="4" t="str">
        <f>+IF('Data Pura Costos'!C2511="","",'Data Pura Costos'!C2511)</f>
        <v/>
      </c>
      <c r="D2511" s="5" t="str">
        <f>+IF('Data Pura Costos'!D2511="","",'Data Pura Costos'!D2511)</f>
        <v/>
      </c>
      <c r="E2511" s="65" t="str">
        <f>+IF('Data Pura Costos'!E2511="","",IF('Data Pura Costos'!E2511=0,MAX('Data Pura Costos'!$E$7:$E$3000)*1000,'Data Pura Costos'!E2511))</f>
        <v/>
      </c>
      <c r="F2511" s="5" t="str">
        <f>+IF('Data Pura Costos'!F2511="","",'Data Pura Costos'!F2511)</f>
        <v/>
      </c>
      <c r="G2511" s="5" t="str">
        <f>+IF('Data Pura Costos'!G2511="","",'Data Pura Costos'!G2511)</f>
        <v/>
      </c>
      <c r="H2511" s="52" t="str">
        <f>+IF('Data Pura Costos'!H2511="","",'Data Pura Costos'!H2511)</f>
        <v/>
      </c>
      <c r="I2511" s="71" t="str">
        <f>+IF('Data Pura Costos'!I2511="","",'Data Pura Costos'!I2511)</f>
        <v/>
      </c>
      <c r="J2511" s="52" t="str">
        <f>+IF('Data Pura Costos'!J2511="","",'Data Pura Costos'!J2511)</f>
        <v/>
      </c>
      <c r="K2511" s="82" t="str">
        <f t="shared" si="44"/>
        <v/>
      </c>
    </row>
    <row r="2512" spans="2:11" x14ac:dyDescent="0.35">
      <c r="B2512" s="4" t="str">
        <f>+IF('Data Pura Costos'!B2512="","",'Data Pura Costos'!B2512)</f>
        <v/>
      </c>
      <c r="C2512" s="4" t="str">
        <f>+IF('Data Pura Costos'!C2512="","",'Data Pura Costos'!C2512)</f>
        <v/>
      </c>
      <c r="D2512" s="5" t="str">
        <f>+IF('Data Pura Costos'!D2512="","",'Data Pura Costos'!D2512)</f>
        <v/>
      </c>
      <c r="E2512" s="65" t="str">
        <f>+IF('Data Pura Costos'!E2512="","",IF('Data Pura Costos'!E2512=0,MAX('Data Pura Costos'!$E$7:$E$3000)*1000,'Data Pura Costos'!E2512))</f>
        <v/>
      </c>
      <c r="F2512" s="5" t="str">
        <f>+IF('Data Pura Costos'!F2512="","",'Data Pura Costos'!F2512)</f>
        <v/>
      </c>
      <c r="G2512" s="5" t="str">
        <f>+IF('Data Pura Costos'!G2512="","",'Data Pura Costos'!G2512)</f>
        <v/>
      </c>
      <c r="H2512" s="52" t="str">
        <f>+IF('Data Pura Costos'!H2512="","",'Data Pura Costos'!H2512)</f>
        <v/>
      </c>
      <c r="I2512" s="71" t="str">
        <f>+IF('Data Pura Costos'!I2512="","",'Data Pura Costos'!I2512)</f>
        <v/>
      </c>
      <c r="J2512" s="52" t="str">
        <f>+IF('Data Pura Costos'!J2512="","",'Data Pura Costos'!J2512)</f>
        <v/>
      </c>
      <c r="K2512" s="82" t="str">
        <f t="shared" si="44"/>
        <v/>
      </c>
    </row>
    <row r="2513" spans="2:11" x14ac:dyDescent="0.35">
      <c r="B2513" s="4" t="str">
        <f>+IF('Data Pura Costos'!B2513="","",'Data Pura Costos'!B2513)</f>
        <v/>
      </c>
      <c r="C2513" s="4" t="str">
        <f>+IF('Data Pura Costos'!C2513="","",'Data Pura Costos'!C2513)</f>
        <v/>
      </c>
      <c r="D2513" s="5" t="str">
        <f>+IF('Data Pura Costos'!D2513="","",'Data Pura Costos'!D2513)</f>
        <v/>
      </c>
      <c r="E2513" s="65" t="str">
        <f>+IF('Data Pura Costos'!E2513="","",IF('Data Pura Costos'!E2513=0,MAX('Data Pura Costos'!$E$7:$E$3000)*1000,'Data Pura Costos'!E2513))</f>
        <v/>
      </c>
      <c r="F2513" s="5" t="str">
        <f>+IF('Data Pura Costos'!F2513="","",'Data Pura Costos'!F2513)</f>
        <v/>
      </c>
      <c r="G2513" s="5" t="str">
        <f>+IF('Data Pura Costos'!G2513="","",'Data Pura Costos'!G2513)</f>
        <v/>
      </c>
      <c r="H2513" s="52" t="str">
        <f>+IF('Data Pura Costos'!H2513="","",'Data Pura Costos'!H2513)</f>
        <v/>
      </c>
      <c r="I2513" s="71" t="str">
        <f>+IF('Data Pura Costos'!I2513="","",'Data Pura Costos'!I2513)</f>
        <v/>
      </c>
      <c r="J2513" s="52" t="str">
        <f>+IF('Data Pura Costos'!J2513="","",'Data Pura Costos'!J2513)</f>
        <v/>
      </c>
      <c r="K2513" s="82" t="str">
        <f t="shared" si="44"/>
        <v/>
      </c>
    </row>
    <row r="2514" spans="2:11" x14ac:dyDescent="0.35">
      <c r="B2514" s="4" t="str">
        <f>+IF('Data Pura Costos'!B2514="","",'Data Pura Costos'!B2514)</f>
        <v/>
      </c>
      <c r="C2514" s="4" t="str">
        <f>+IF('Data Pura Costos'!C2514="","",'Data Pura Costos'!C2514)</f>
        <v/>
      </c>
      <c r="D2514" s="5" t="str">
        <f>+IF('Data Pura Costos'!D2514="","",'Data Pura Costos'!D2514)</f>
        <v/>
      </c>
      <c r="E2514" s="65" t="str">
        <f>+IF('Data Pura Costos'!E2514="","",IF('Data Pura Costos'!E2514=0,MAX('Data Pura Costos'!$E$7:$E$3000)*1000,'Data Pura Costos'!E2514))</f>
        <v/>
      </c>
      <c r="F2514" s="5" t="str">
        <f>+IF('Data Pura Costos'!F2514="","",'Data Pura Costos'!F2514)</f>
        <v/>
      </c>
      <c r="G2514" s="5" t="str">
        <f>+IF('Data Pura Costos'!G2514="","",'Data Pura Costos'!G2514)</f>
        <v/>
      </c>
      <c r="H2514" s="52" t="str">
        <f>+IF('Data Pura Costos'!H2514="","",'Data Pura Costos'!H2514)</f>
        <v/>
      </c>
      <c r="I2514" s="71" t="str">
        <f>+IF('Data Pura Costos'!I2514="","",'Data Pura Costos'!I2514)</f>
        <v/>
      </c>
      <c r="J2514" s="52" t="str">
        <f>+IF('Data Pura Costos'!J2514="","",'Data Pura Costos'!J2514)</f>
        <v/>
      </c>
      <c r="K2514" s="82" t="str">
        <f t="shared" si="44"/>
        <v/>
      </c>
    </row>
    <row r="2515" spans="2:11" x14ac:dyDescent="0.35">
      <c r="B2515" s="4" t="str">
        <f>+IF('Data Pura Costos'!B2515="","",'Data Pura Costos'!B2515)</f>
        <v/>
      </c>
      <c r="C2515" s="4" t="str">
        <f>+IF('Data Pura Costos'!C2515="","",'Data Pura Costos'!C2515)</f>
        <v/>
      </c>
      <c r="D2515" s="5" t="str">
        <f>+IF('Data Pura Costos'!D2515="","",'Data Pura Costos'!D2515)</f>
        <v/>
      </c>
      <c r="E2515" s="65" t="str">
        <f>+IF('Data Pura Costos'!E2515="","",IF('Data Pura Costos'!E2515=0,MAX('Data Pura Costos'!$E$7:$E$3000)*1000,'Data Pura Costos'!E2515))</f>
        <v/>
      </c>
      <c r="F2515" s="5" t="str">
        <f>+IF('Data Pura Costos'!F2515="","",'Data Pura Costos'!F2515)</f>
        <v/>
      </c>
      <c r="G2515" s="5" t="str">
        <f>+IF('Data Pura Costos'!G2515="","",'Data Pura Costos'!G2515)</f>
        <v/>
      </c>
      <c r="H2515" s="52" t="str">
        <f>+IF('Data Pura Costos'!H2515="","",'Data Pura Costos'!H2515)</f>
        <v/>
      </c>
      <c r="I2515" s="71" t="str">
        <f>+IF('Data Pura Costos'!I2515="","",'Data Pura Costos'!I2515)</f>
        <v/>
      </c>
      <c r="J2515" s="52" t="str">
        <f>+IF('Data Pura Costos'!J2515="","",'Data Pura Costos'!J2515)</f>
        <v/>
      </c>
      <c r="K2515" s="82" t="str">
        <f t="shared" si="44"/>
        <v/>
      </c>
    </row>
    <row r="2516" spans="2:11" x14ac:dyDescent="0.35">
      <c r="B2516" s="4" t="str">
        <f>+IF('Data Pura Costos'!B2516="","",'Data Pura Costos'!B2516)</f>
        <v/>
      </c>
      <c r="C2516" s="4" t="str">
        <f>+IF('Data Pura Costos'!C2516="","",'Data Pura Costos'!C2516)</f>
        <v/>
      </c>
      <c r="D2516" s="5" t="str">
        <f>+IF('Data Pura Costos'!D2516="","",'Data Pura Costos'!D2516)</f>
        <v/>
      </c>
      <c r="E2516" s="65" t="str">
        <f>+IF('Data Pura Costos'!E2516="","",IF('Data Pura Costos'!E2516=0,MAX('Data Pura Costos'!$E$7:$E$3000)*1000,'Data Pura Costos'!E2516))</f>
        <v/>
      </c>
      <c r="F2516" s="5" t="str">
        <f>+IF('Data Pura Costos'!F2516="","",'Data Pura Costos'!F2516)</f>
        <v/>
      </c>
      <c r="G2516" s="5" t="str">
        <f>+IF('Data Pura Costos'!G2516="","",'Data Pura Costos'!G2516)</f>
        <v/>
      </c>
      <c r="H2516" s="52" t="str">
        <f>+IF('Data Pura Costos'!H2516="","",'Data Pura Costos'!H2516)</f>
        <v/>
      </c>
      <c r="I2516" s="71" t="str">
        <f>+IF('Data Pura Costos'!I2516="","",'Data Pura Costos'!I2516)</f>
        <v/>
      </c>
      <c r="J2516" s="52" t="str">
        <f>+IF('Data Pura Costos'!J2516="","",'Data Pura Costos'!J2516)</f>
        <v/>
      </c>
      <c r="K2516" s="82" t="str">
        <f t="shared" si="44"/>
        <v/>
      </c>
    </row>
    <row r="2517" spans="2:11" x14ac:dyDescent="0.35">
      <c r="B2517" s="4" t="str">
        <f>+IF('Data Pura Costos'!B2517="","",'Data Pura Costos'!B2517)</f>
        <v/>
      </c>
      <c r="C2517" s="4" t="str">
        <f>+IF('Data Pura Costos'!C2517="","",'Data Pura Costos'!C2517)</f>
        <v/>
      </c>
      <c r="D2517" s="5" t="str">
        <f>+IF('Data Pura Costos'!D2517="","",'Data Pura Costos'!D2517)</f>
        <v/>
      </c>
      <c r="E2517" s="65" t="str">
        <f>+IF('Data Pura Costos'!E2517="","",IF('Data Pura Costos'!E2517=0,MAX('Data Pura Costos'!$E$7:$E$3000)*1000,'Data Pura Costos'!E2517))</f>
        <v/>
      </c>
      <c r="F2517" s="5" t="str">
        <f>+IF('Data Pura Costos'!F2517="","",'Data Pura Costos'!F2517)</f>
        <v/>
      </c>
      <c r="G2517" s="5" t="str">
        <f>+IF('Data Pura Costos'!G2517="","",'Data Pura Costos'!G2517)</f>
        <v/>
      </c>
      <c r="H2517" s="52" t="str">
        <f>+IF('Data Pura Costos'!H2517="","",'Data Pura Costos'!H2517)</f>
        <v/>
      </c>
      <c r="I2517" s="71" t="str">
        <f>+IF('Data Pura Costos'!I2517="","",'Data Pura Costos'!I2517)</f>
        <v/>
      </c>
      <c r="J2517" s="52" t="str">
        <f>+IF('Data Pura Costos'!J2517="","",'Data Pura Costos'!J2517)</f>
        <v/>
      </c>
      <c r="K2517" s="82" t="str">
        <f t="shared" si="44"/>
        <v/>
      </c>
    </row>
    <row r="2518" spans="2:11" x14ac:dyDescent="0.35">
      <c r="B2518" s="4" t="str">
        <f>+IF('Data Pura Costos'!B2518="","",'Data Pura Costos'!B2518)</f>
        <v/>
      </c>
      <c r="C2518" s="4" t="str">
        <f>+IF('Data Pura Costos'!C2518="","",'Data Pura Costos'!C2518)</f>
        <v/>
      </c>
      <c r="D2518" s="5" t="str">
        <f>+IF('Data Pura Costos'!D2518="","",'Data Pura Costos'!D2518)</f>
        <v/>
      </c>
      <c r="E2518" s="65" t="str">
        <f>+IF('Data Pura Costos'!E2518="","",IF('Data Pura Costos'!E2518=0,MAX('Data Pura Costos'!$E$7:$E$3000)*1000,'Data Pura Costos'!E2518))</f>
        <v/>
      </c>
      <c r="F2518" s="5" t="str">
        <f>+IF('Data Pura Costos'!F2518="","",'Data Pura Costos'!F2518)</f>
        <v/>
      </c>
      <c r="G2518" s="5" t="str">
        <f>+IF('Data Pura Costos'!G2518="","",'Data Pura Costos'!G2518)</f>
        <v/>
      </c>
      <c r="H2518" s="52" t="str">
        <f>+IF('Data Pura Costos'!H2518="","",'Data Pura Costos'!H2518)</f>
        <v/>
      </c>
      <c r="I2518" s="71" t="str">
        <f>+IF('Data Pura Costos'!I2518="","",'Data Pura Costos'!I2518)</f>
        <v/>
      </c>
      <c r="J2518" s="52" t="str">
        <f>+IF('Data Pura Costos'!J2518="","",'Data Pura Costos'!J2518)</f>
        <v/>
      </c>
      <c r="K2518" s="82" t="str">
        <f t="shared" si="44"/>
        <v/>
      </c>
    </row>
    <row r="2519" spans="2:11" x14ac:dyDescent="0.35">
      <c r="B2519" s="4" t="str">
        <f>+IF('Data Pura Costos'!B2519="","",'Data Pura Costos'!B2519)</f>
        <v/>
      </c>
      <c r="C2519" s="4" t="str">
        <f>+IF('Data Pura Costos'!C2519="","",'Data Pura Costos'!C2519)</f>
        <v/>
      </c>
      <c r="D2519" s="5" t="str">
        <f>+IF('Data Pura Costos'!D2519="","",'Data Pura Costos'!D2519)</f>
        <v/>
      </c>
      <c r="E2519" s="65" t="str">
        <f>+IF('Data Pura Costos'!E2519="","",IF('Data Pura Costos'!E2519=0,MAX('Data Pura Costos'!$E$7:$E$3000)*1000,'Data Pura Costos'!E2519))</f>
        <v/>
      </c>
      <c r="F2519" s="5" t="str">
        <f>+IF('Data Pura Costos'!F2519="","",'Data Pura Costos'!F2519)</f>
        <v/>
      </c>
      <c r="G2519" s="5" t="str">
        <f>+IF('Data Pura Costos'!G2519="","",'Data Pura Costos'!G2519)</f>
        <v/>
      </c>
      <c r="H2519" s="52" t="str">
        <f>+IF('Data Pura Costos'!H2519="","",'Data Pura Costos'!H2519)</f>
        <v/>
      </c>
      <c r="I2519" s="71" t="str">
        <f>+IF('Data Pura Costos'!I2519="","",'Data Pura Costos'!I2519)</f>
        <v/>
      </c>
      <c r="J2519" s="52" t="str">
        <f>+IF('Data Pura Costos'!J2519="","",'Data Pura Costos'!J2519)</f>
        <v/>
      </c>
      <c r="K2519" s="82" t="str">
        <f t="shared" si="44"/>
        <v/>
      </c>
    </row>
    <row r="2520" spans="2:11" x14ac:dyDescent="0.35">
      <c r="B2520" s="4" t="str">
        <f>+IF('Data Pura Costos'!B2520="","",'Data Pura Costos'!B2520)</f>
        <v/>
      </c>
      <c r="C2520" s="4" t="str">
        <f>+IF('Data Pura Costos'!C2520="","",'Data Pura Costos'!C2520)</f>
        <v/>
      </c>
      <c r="D2520" s="5" t="str">
        <f>+IF('Data Pura Costos'!D2520="","",'Data Pura Costos'!D2520)</f>
        <v/>
      </c>
      <c r="E2520" s="65" t="str">
        <f>+IF('Data Pura Costos'!E2520="","",IF('Data Pura Costos'!E2520=0,MAX('Data Pura Costos'!$E$7:$E$3000)*1000,'Data Pura Costos'!E2520))</f>
        <v/>
      </c>
      <c r="F2520" s="5" t="str">
        <f>+IF('Data Pura Costos'!F2520="","",'Data Pura Costos'!F2520)</f>
        <v/>
      </c>
      <c r="G2520" s="5" t="str">
        <f>+IF('Data Pura Costos'!G2520="","",'Data Pura Costos'!G2520)</f>
        <v/>
      </c>
      <c r="H2520" s="52" t="str">
        <f>+IF('Data Pura Costos'!H2520="","",'Data Pura Costos'!H2520)</f>
        <v/>
      </c>
      <c r="I2520" s="71" t="str">
        <f>+IF('Data Pura Costos'!I2520="","",'Data Pura Costos'!I2520)</f>
        <v/>
      </c>
      <c r="J2520" s="52" t="str">
        <f>+IF('Data Pura Costos'!J2520="","",'Data Pura Costos'!J2520)</f>
        <v/>
      </c>
      <c r="K2520" s="82" t="str">
        <f t="shared" si="44"/>
        <v/>
      </c>
    </row>
    <row r="2521" spans="2:11" x14ac:dyDescent="0.35">
      <c r="B2521" s="4" t="str">
        <f>+IF('Data Pura Costos'!B2521="","",'Data Pura Costos'!B2521)</f>
        <v/>
      </c>
      <c r="C2521" s="4" t="str">
        <f>+IF('Data Pura Costos'!C2521="","",'Data Pura Costos'!C2521)</f>
        <v/>
      </c>
      <c r="D2521" s="5" t="str">
        <f>+IF('Data Pura Costos'!D2521="","",'Data Pura Costos'!D2521)</f>
        <v/>
      </c>
      <c r="E2521" s="65" t="str">
        <f>+IF('Data Pura Costos'!E2521="","",IF('Data Pura Costos'!E2521=0,MAX('Data Pura Costos'!$E$7:$E$3000)*1000,'Data Pura Costos'!E2521))</f>
        <v/>
      </c>
      <c r="F2521" s="5" t="str">
        <f>+IF('Data Pura Costos'!F2521="","",'Data Pura Costos'!F2521)</f>
        <v/>
      </c>
      <c r="G2521" s="5" t="str">
        <f>+IF('Data Pura Costos'!G2521="","",'Data Pura Costos'!G2521)</f>
        <v/>
      </c>
      <c r="H2521" s="52" t="str">
        <f>+IF('Data Pura Costos'!H2521="","",'Data Pura Costos'!H2521)</f>
        <v/>
      </c>
      <c r="I2521" s="71" t="str">
        <f>+IF('Data Pura Costos'!I2521="","",'Data Pura Costos'!I2521)</f>
        <v/>
      </c>
      <c r="J2521" s="52" t="str">
        <f>+IF('Data Pura Costos'!J2521="","",'Data Pura Costos'!J2521)</f>
        <v/>
      </c>
      <c r="K2521" s="82" t="str">
        <f t="shared" si="44"/>
        <v/>
      </c>
    </row>
    <row r="2522" spans="2:11" x14ac:dyDescent="0.35">
      <c r="B2522" s="4" t="str">
        <f>+IF('Data Pura Costos'!B2522="","",'Data Pura Costos'!B2522)</f>
        <v/>
      </c>
      <c r="C2522" s="4" t="str">
        <f>+IF('Data Pura Costos'!C2522="","",'Data Pura Costos'!C2522)</f>
        <v/>
      </c>
      <c r="D2522" s="5" t="str">
        <f>+IF('Data Pura Costos'!D2522="","",'Data Pura Costos'!D2522)</f>
        <v/>
      </c>
      <c r="E2522" s="65" t="str">
        <f>+IF('Data Pura Costos'!E2522="","",IF('Data Pura Costos'!E2522=0,MAX('Data Pura Costos'!$E$7:$E$3000)*1000,'Data Pura Costos'!E2522))</f>
        <v/>
      </c>
      <c r="F2522" s="5" t="str">
        <f>+IF('Data Pura Costos'!F2522="","",'Data Pura Costos'!F2522)</f>
        <v/>
      </c>
      <c r="G2522" s="5" t="str">
        <f>+IF('Data Pura Costos'!G2522="","",'Data Pura Costos'!G2522)</f>
        <v/>
      </c>
      <c r="H2522" s="52" t="str">
        <f>+IF('Data Pura Costos'!H2522="","",'Data Pura Costos'!H2522)</f>
        <v/>
      </c>
      <c r="I2522" s="71" t="str">
        <f>+IF('Data Pura Costos'!I2522="","",'Data Pura Costos'!I2522)</f>
        <v/>
      </c>
      <c r="J2522" s="52" t="str">
        <f>+IF('Data Pura Costos'!J2522="","",'Data Pura Costos'!J2522)</f>
        <v/>
      </c>
      <c r="K2522" s="82" t="str">
        <f t="shared" si="44"/>
        <v/>
      </c>
    </row>
    <row r="2523" spans="2:11" x14ac:dyDescent="0.35">
      <c r="B2523" s="4" t="str">
        <f>+IF('Data Pura Costos'!B2523="","",'Data Pura Costos'!B2523)</f>
        <v/>
      </c>
      <c r="C2523" s="4" t="str">
        <f>+IF('Data Pura Costos'!C2523="","",'Data Pura Costos'!C2523)</f>
        <v/>
      </c>
      <c r="D2523" s="5" t="str">
        <f>+IF('Data Pura Costos'!D2523="","",'Data Pura Costos'!D2523)</f>
        <v/>
      </c>
      <c r="E2523" s="65" t="str">
        <f>+IF('Data Pura Costos'!E2523="","",IF('Data Pura Costos'!E2523=0,MAX('Data Pura Costos'!$E$7:$E$3000)*1000,'Data Pura Costos'!E2523))</f>
        <v/>
      </c>
      <c r="F2523" s="5" t="str">
        <f>+IF('Data Pura Costos'!F2523="","",'Data Pura Costos'!F2523)</f>
        <v/>
      </c>
      <c r="G2523" s="5" t="str">
        <f>+IF('Data Pura Costos'!G2523="","",'Data Pura Costos'!G2523)</f>
        <v/>
      </c>
      <c r="H2523" s="52" t="str">
        <f>+IF('Data Pura Costos'!H2523="","",'Data Pura Costos'!H2523)</f>
        <v/>
      </c>
      <c r="I2523" s="71" t="str">
        <f>+IF('Data Pura Costos'!I2523="","",'Data Pura Costos'!I2523)</f>
        <v/>
      </c>
      <c r="J2523" s="52" t="str">
        <f>+IF('Data Pura Costos'!J2523="","",'Data Pura Costos'!J2523)</f>
        <v/>
      </c>
      <c r="K2523" s="82" t="str">
        <f t="shared" si="44"/>
        <v/>
      </c>
    </row>
    <row r="2524" spans="2:11" x14ac:dyDescent="0.35">
      <c r="B2524" s="4" t="str">
        <f>+IF('Data Pura Costos'!B2524="","",'Data Pura Costos'!B2524)</f>
        <v/>
      </c>
      <c r="C2524" s="4" t="str">
        <f>+IF('Data Pura Costos'!C2524="","",'Data Pura Costos'!C2524)</f>
        <v/>
      </c>
      <c r="D2524" s="5" t="str">
        <f>+IF('Data Pura Costos'!D2524="","",'Data Pura Costos'!D2524)</f>
        <v/>
      </c>
      <c r="E2524" s="65" t="str">
        <f>+IF('Data Pura Costos'!E2524="","",IF('Data Pura Costos'!E2524=0,MAX('Data Pura Costos'!$E$7:$E$3000)*1000,'Data Pura Costos'!E2524))</f>
        <v/>
      </c>
      <c r="F2524" s="5" t="str">
        <f>+IF('Data Pura Costos'!F2524="","",'Data Pura Costos'!F2524)</f>
        <v/>
      </c>
      <c r="G2524" s="5" t="str">
        <f>+IF('Data Pura Costos'!G2524="","",'Data Pura Costos'!G2524)</f>
        <v/>
      </c>
      <c r="H2524" s="52" t="str">
        <f>+IF('Data Pura Costos'!H2524="","",'Data Pura Costos'!H2524)</f>
        <v/>
      </c>
      <c r="I2524" s="71" t="str">
        <f>+IF('Data Pura Costos'!I2524="","",'Data Pura Costos'!I2524)</f>
        <v/>
      </c>
      <c r="J2524" s="52" t="str">
        <f>+IF('Data Pura Costos'!J2524="","",'Data Pura Costos'!J2524)</f>
        <v/>
      </c>
      <c r="K2524" s="82" t="str">
        <f t="shared" si="44"/>
        <v/>
      </c>
    </row>
    <row r="2525" spans="2:11" x14ac:dyDescent="0.35">
      <c r="B2525" s="4" t="str">
        <f>+IF('Data Pura Costos'!B2525="","",'Data Pura Costos'!B2525)</f>
        <v/>
      </c>
      <c r="C2525" s="4" t="str">
        <f>+IF('Data Pura Costos'!C2525="","",'Data Pura Costos'!C2525)</f>
        <v/>
      </c>
      <c r="D2525" s="5" t="str">
        <f>+IF('Data Pura Costos'!D2525="","",'Data Pura Costos'!D2525)</f>
        <v/>
      </c>
      <c r="E2525" s="65" t="str">
        <f>+IF('Data Pura Costos'!E2525="","",IF('Data Pura Costos'!E2525=0,MAX('Data Pura Costos'!$E$7:$E$3000)*1000,'Data Pura Costos'!E2525))</f>
        <v/>
      </c>
      <c r="F2525" s="5" t="str">
        <f>+IF('Data Pura Costos'!F2525="","",'Data Pura Costos'!F2525)</f>
        <v/>
      </c>
      <c r="G2525" s="5" t="str">
        <f>+IF('Data Pura Costos'!G2525="","",'Data Pura Costos'!G2525)</f>
        <v/>
      </c>
      <c r="H2525" s="52" t="str">
        <f>+IF('Data Pura Costos'!H2525="","",'Data Pura Costos'!H2525)</f>
        <v/>
      </c>
      <c r="I2525" s="71" t="str">
        <f>+IF('Data Pura Costos'!I2525="","",'Data Pura Costos'!I2525)</f>
        <v/>
      </c>
      <c r="J2525" s="52" t="str">
        <f>+IF('Data Pura Costos'!J2525="","",'Data Pura Costos'!J2525)</f>
        <v/>
      </c>
      <c r="K2525" s="82" t="str">
        <f t="shared" si="44"/>
        <v/>
      </c>
    </row>
    <row r="2526" spans="2:11" x14ac:dyDescent="0.35">
      <c r="B2526" s="4" t="str">
        <f>+IF('Data Pura Costos'!B2526="","",'Data Pura Costos'!B2526)</f>
        <v/>
      </c>
      <c r="C2526" s="4" t="str">
        <f>+IF('Data Pura Costos'!C2526="","",'Data Pura Costos'!C2526)</f>
        <v/>
      </c>
      <c r="D2526" s="5" t="str">
        <f>+IF('Data Pura Costos'!D2526="","",'Data Pura Costos'!D2526)</f>
        <v/>
      </c>
      <c r="E2526" s="65" t="str">
        <f>+IF('Data Pura Costos'!E2526="","",IF('Data Pura Costos'!E2526=0,MAX('Data Pura Costos'!$E$7:$E$3000)*1000,'Data Pura Costos'!E2526))</f>
        <v/>
      </c>
      <c r="F2526" s="5" t="str">
        <f>+IF('Data Pura Costos'!F2526="","",'Data Pura Costos'!F2526)</f>
        <v/>
      </c>
      <c r="G2526" s="5" t="str">
        <f>+IF('Data Pura Costos'!G2526="","",'Data Pura Costos'!G2526)</f>
        <v/>
      </c>
      <c r="H2526" s="52" t="str">
        <f>+IF('Data Pura Costos'!H2526="","",'Data Pura Costos'!H2526)</f>
        <v/>
      </c>
      <c r="I2526" s="71" t="str">
        <f>+IF('Data Pura Costos'!I2526="","",'Data Pura Costos'!I2526)</f>
        <v/>
      </c>
      <c r="J2526" s="52" t="str">
        <f>+IF('Data Pura Costos'!J2526="","",'Data Pura Costos'!J2526)</f>
        <v/>
      </c>
      <c r="K2526" s="82" t="str">
        <f t="shared" si="44"/>
        <v/>
      </c>
    </row>
    <row r="2527" spans="2:11" x14ac:dyDescent="0.35">
      <c r="B2527" s="4" t="str">
        <f>+IF('Data Pura Costos'!B2527="","",'Data Pura Costos'!B2527)</f>
        <v/>
      </c>
      <c r="C2527" s="4" t="str">
        <f>+IF('Data Pura Costos'!C2527="","",'Data Pura Costos'!C2527)</f>
        <v/>
      </c>
      <c r="D2527" s="5" t="str">
        <f>+IF('Data Pura Costos'!D2527="","",'Data Pura Costos'!D2527)</f>
        <v/>
      </c>
      <c r="E2527" s="65" t="str">
        <f>+IF('Data Pura Costos'!E2527="","",IF('Data Pura Costos'!E2527=0,MAX('Data Pura Costos'!$E$7:$E$3000)*1000,'Data Pura Costos'!E2527))</f>
        <v/>
      </c>
      <c r="F2527" s="5" t="str">
        <f>+IF('Data Pura Costos'!F2527="","",'Data Pura Costos'!F2527)</f>
        <v/>
      </c>
      <c r="G2527" s="5" t="str">
        <f>+IF('Data Pura Costos'!G2527="","",'Data Pura Costos'!G2527)</f>
        <v/>
      </c>
      <c r="H2527" s="52" t="str">
        <f>+IF('Data Pura Costos'!H2527="","",'Data Pura Costos'!H2527)</f>
        <v/>
      </c>
      <c r="I2527" s="71" t="str">
        <f>+IF('Data Pura Costos'!I2527="","",'Data Pura Costos'!I2527)</f>
        <v/>
      </c>
      <c r="J2527" s="52" t="str">
        <f>+IF('Data Pura Costos'!J2527="","",'Data Pura Costos'!J2527)</f>
        <v/>
      </c>
      <c r="K2527" s="82" t="str">
        <f t="shared" si="44"/>
        <v/>
      </c>
    </row>
    <row r="2528" spans="2:11" x14ac:dyDescent="0.35">
      <c r="B2528" s="4" t="str">
        <f>+IF('Data Pura Costos'!B2528="","",'Data Pura Costos'!B2528)</f>
        <v/>
      </c>
      <c r="C2528" s="4" t="str">
        <f>+IF('Data Pura Costos'!C2528="","",'Data Pura Costos'!C2528)</f>
        <v/>
      </c>
      <c r="D2528" s="5" t="str">
        <f>+IF('Data Pura Costos'!D2528="","",'Data Pura Costos'!D2528)</f>
        <v/>
      </c>
      <c r="E2528" s="65" t="str">
        <f>+IF('Data Pura Costos'!E2528="","",IF('Data Pura Costos'!E2528=0,MAX('Data Pura Costos'!$E$7:$E$3000)*1000,'Data Pura Costos'!E2528))</f>
        <v/>
      </c>
      <c r="F2528" s="5" t="str">
        <f>+IF('Data Pura Costos'!F2528="","",'Data Pura Costos'!F2528)</f>
        <v/>
      </c>
      <c r="G2528" s="5" t="str">
        <f>+IF('Data Pura Costos'!G2528="","",'Data Pura Costos'!G2528)</f>
        <v/>
      </c>
      <c r="H2528" s="52" t="str">
        <f>+IF('Data Pura Costos'!H2528="","",'Data Pura Costos'!H2528)</f>
        <v/>
      </c>
      <c r="I2528" s="71" t="str">
        <f>+IF('Data Pura Costos'!I2528="","",'Data Pura Costos'!I2528)</f>
        <v/>
      </c>
      <c r="J2528" s="52" t="str">
        <f>+IF('Data Pura Costos'!J2528="","",'Data Pura Costos'!J2528)</f>
        <v/>
      </c>
      <c r="K2528" s="82" t="str">
        <f t="shared" si="44"/>
        <v/>
      </c>
    </row>
    <row r="2529" spans="2:11" x14ac:dyDescent="0.35">
      <c r="B2529" s="4" t="str">
        <f>+IF('Data Pura Costos'!B2529="","",'Data Pura Costos'!B2529)</f>
        <v/>
      </c>
      <c r="C2529" s="4" t="str">
        <f>+IF('Data Pura Costos'!C2529="","",'Data Pura Costos'!C2529)</f>
        <v/>
      </c>
      <c r="D2529" s="5" t="str">
        <f>+IF('Data Pura Costos'!D2529="","",'Data Pura Costos'!D2529)</f>
        <v/>
      </c>
      <c r="E2529" s="65" t="str">
        <f>+IF('Data Pura Costos'!E2529="","",IF('Data Pura Costos'!E2529=0,MAX('Data Pura Costos'!$E$7:$E$3000)*1000,'Data Pura Costos'!E2529))</f>
        <v/>
      </c>
      <c r="F2529" s="5" t="str">
        <f>+IF('Data Pura Costos'!F2529="","",'Data Pura Costos'!F2529)</f>
        <v/>
      </c>
      <c r="G2529" s="5" t="str">
        <f>+IF('Data Pura Costos'!G2529="","",'Data Pura Costos'!G2529)</f>
        <v/>
      </c>
      <c r="H2529" s="52" t="str">
        <f>+IF('Data Pura Costos'!H2529="","",'Data Pura Costos'!H2529)</f>
        <v/>
      </c>
      <c r="I2529" s="71" t="str">
        <f>+IF('Data Pura Costos'!I2529="","",'Data Pura Costos'!I2529)</f>
        <v/>
      </c>
      <c r="J2529" s="52" t="str">
        <f>+IF('Data Pura Costos'!J2529="","",'Data Pura Costos'!J2529)</f>
        <v/>
      </c>
      <c r="K2529" s="82" t="str">
        <f t="shared" si="44"/>
        <v/>
      </c>
    </row>
    <row r="2530" spans="2:11" x14ac:dyDescent="0.35">
      <c r="B2530" s="4" t="str">
        <f>+IF('Data Pura Costos'!B2530="","",'Data Pura Costos'!B2530)</f>
        <v/>
      </c>
      <c r="C2530" s="4" t="str">
        <f>+IF('Data Pura Costos'!C2530="","",'Data Pura Costos'!C2530)</f>
        <v/>
      </c>
      <c r="D2530" s="5" t="str">
        <f>+IF('Data Pura Costos'!D2530="","",'Data Pura Costos'!D2530)</f>
        <v/>
      </c>
      <c r="E2530" s="65" t="str">
        <f>+IF('Data Pura Costos'!E2530="","",IF('Data Pura Costos'!E2530=0,MAX('Data Pura Costos'!$E$7:$E$3000)*1000,'Data Pura Costos'!E2530))</f>
        <v/>
      </c>
      <c r="F2530" s="5" t="str">
        <f>+IF('Data Pura Costos'!F2530="","",'Data Pura Costos'!F2530)</f>
        <v/>
      </c>
      <c r="G2530" s="5" t="str">
        <f>+IF('Data Pura Costos'!G2530="","",'Data Pura Costos'!G2530)</f>
        <v/>
      </c>
      <c r="H2530" s="52" t="str">
        <f>+IF('Data Pura Costos'!H2530="","",'Data Pura Costos'!H2530)</f>
        <v/>
      </c>
      <c r="I2530" s="71" t="str">
        <f>+IF('Data Pura Costos'!I2530="","",'Data Pura Costos'!I2530)</f>
        <v/>
      </c>
      <c r="J2530" s="52" t="str">
        <f>+IF('Data Pura Costos'!J2530="","",'Data Pura Costos'!J2530)</f>
        <v/>
      </c>
      <c r="K2530" s="82" t="str">
        <f t="shared" si="44"/>
        <v/>
      </c>
    </row>
    <row r="2531" spans="2:11" x14ac:dyDescent="0.35">
      <c r="B2531" s="4" t="str">
        <f>+IF('Data Pura Costos'!B2531="","",'Data Pura Costos'!B2531)</f>
        <v/>
      </c>
      <c r="C2531" s="4" t="str">
        <f>+IF('Data Pura Costos'!C2531="","",'Data Pura Costos'!C2531)</f>
        <v/>
      </c>
      <c r="D2531" s="5" t="str">
        <f>+IF('Data Pura Costos'!D2531="","",'Data Pura Costos'!D2531)</f>
        <v/>
      </c>
      <c r="E2531" s="65" t="str">
        <f>+IF('Data Pura Costos'!E2531="","",IF('Data Pura Costos'!E2531=0,MAX('Data Pura Costos'!$E$7:$E$3000)*1000,'Data Pura Costos'!E2531))</f>
        <v/>
      </c>
      <c r="F2531" s="5" t="str">
        <f>+IF('Data Pura Costos'!F2531="","",'Data Pura Costos'!F2531)</f>
        <v/>
      </c>
      <c r="G2531" s="5" t="str">
        <f>+IF('Data Pura Costos'!G2531="","",'Data Pura Costos'!G2531)</f>
        <v/>
      </c>
      <c r="H2531" s="52" t="str">
        <f>+IF('Data Pura Costos'!H2531="","",'Data Pura Costos'!H2531)</f>
        <v/>
      </c>
      <c r="I2531" s="71" t="str">
        <f>+IF('Data Pura Costos'!I2531="","",'Data Pura Costos'!I2531)</f>
        <v/>
      </c>
      <c r="J2531" s="52" t="str">
        <f>+IF('Data Pura Costos'!J2531="","",'Data Pura Costos'!J2531)</f>
        <v/>
      </c>
      <c r="K2531" s="82" t="str">
        <f t="shared" si="44"/>
        <v/>
      </c>
    </row>
    <row r="2532" spans="2:11" x14ac:dyDescent="0.35">
      <c r="B2532" s="4" t="str">
        <f>+IF('Data Pura Costos'!B2532="","",'Data Pura Costos'!B2532)</f>
        <v/>
      </c>
      <c r="C2532" s="4" t="str">
        <f>+IF('Data Pura Costos'!C2532="","",'Data Pura Costos'!C2532)</f>
        <v/>
      </c>
      <c r="D2532" s="5" t="str">
        <f>+IF('Data Pura Costos'!D2532="","",'Data Pura Costos'!D2532)</f>
        <v/>
      </c>
      <c r="E2532" s="65" t="str">
        <f>+IF('Data Pura Costos'!E2532="","",IF('Data Pura Costos'!E2532=0,MAX('Data Pura Costos'!$E$7:$E$3000)*1000,'Data Pura Costos'!E2532))</f>
        <v/>
      </c>
      <c r="F2532" s="5" t="str">
        <f>+IF('Data Pura Costos'!F2532="","",'Data Pura Costos'!F2532)</f>
        <v/>
      </c>
      <c r="G2532" s="5" t="str">
        <f>+IF('Data Pura Costos'!G2532="","",'Data Pura Costos'!G2532)</f>
        <v/>
      </c>
      <c r="H2532" s="52" t="str">
        <f>+IF('Data Pura Costos'!H2532="","",'Data Pura Costos'!H2532)</f>
        <v/>
      </c>
      <c r="I2532" s="71" t="str">
        <f>+IF('Data Pura Costos'!I2532="","",'Data Pura Costos'!I2532)</f>
        <v/>
      </c>
      <c r="J2532" s="52" t="str">
        <f>+IF('Data Pura Costos'!J2532="","",'Data Pura Costos'!J2532)</f>
        <v/>
      </c>
      <c r="K2532" s="82" t="str">
        <f t="shared" si="44"/>
        <v/>
      </c>
    </row>
    <row r="2533" spans="2:11" x14ac:dyDescent="0.35">
      <c r="B2533" s="4" t="str">
        <f>+IF('Data Pura Costos'!B2533="","",'Data Pura Costos'!B2533)</f>
        <v/>
      </c>
      <c r="C2533" s="4" t="str">
        <f>+IF('Data Pura Costos'!C2533="","",'Data Pura Costos'!C2533)</f>
        <v/>
      </c>
      <c r="D2533" s="5" t="str">
        <f>+IF('Data Pura Costos'!D2533="","",'Data Pura Costos'!D2533)</f>
        <v/>
      </c>
      <c r="E2533" s="65" t="str">
        <f>+IF('Data Pura Costos'!E2533="","",IF('Data Pura Costos'!E2533=0,MAX('Data Pura Costos'!$E$7:$E$3000)*1000,'Data Pura Costos'!E2533))</f>
        <v/>
      </c>
      <c r="F2533" s="5" t="str">
        <f>+IF('Data Pura Costos'!F2533="","",'Data Pura Costos'!F2533)</f>
        <v/>
      </c>
      <c r="G2533" s="5" t="str">
        <f>+IF('Data Pura Costos'!G2533="","",'Data Pura Costos'!G2533)</f>
        <v/>
      </c>
      <c r="H2533" s="52" t="str">
        <f>+IF('Data Pura Costos'!H2533="","",'Data Pura Costos'!H2533)</f>
        <v/>
      </c>
      <c r="I2533" s="71" t="str">
        <f>+IF('Data Pura Costos'!I2533="","",'Data Pura Costos'!I2533)</f>
        <v/>
      </c>
      <c r="J2533" s="52" t="str">
        <f>+IF('Data Pura Costos'!J2533="","",'Data Pura Costos'!J2533)</f>
        <v/>
      </c>
      <c r="K2533" s="82" t="str">
        <f t="shared" si="44"/>
        <v/>
      </c>
    </row>
    <row r="2534" spans="2:11" x14ac:dyDescent="0.35">
      <c r="B2534" s="4" t="str">
        <f>+IF('Data Pura Costos'!B2534="","",'Data Pura Costos'!B2534)</f>
        <v/>
      </c>
      <c r="C2534" s="4" t="str">
        <f>+IF('Data Pura Costos'!C2534="","",'Data Pura Costos'!C2534)</f>
        <v/>
      </c>
      <c r="D2534" s="5" t="str">
        <f>+IF('Data Pura Costos'!D2534="","",'Data Pura Costos'!D2534)</f>
        <v/>
      </c>
      <c r="E2534" s="65" t="str">
        <f>+IF('Data Pura Costos'!E2534="","",IF('Data Pura Costos'!E2534=0,MAX('Data Pura Costos'!$E$7:$E$3000)*1000,'Data Pura Costos'!E2534))</f>
        <v/>
      </c>
      <c r="F2534" s="5" t="str">
        <f>+IF('Data Pura Costos'!F2534="","",'Data Pura Costos'!F2534)</f>
        <v/>
      </c>
      <c r="G2534" s="5" t="str">
        <f>+IF('Data Pura Costos'!G2534="","",'Data Pura Costos'!G2534)</f>
        <v/>
      </c>
      <c r="H2534" s="52" t="str">
        <f>+IF('Data Pura Costos'!H2534="","",'Data Pura Costos'!H2534)</f>
        <v/>
      </c>
      <c r="I2534" s="71" t="str">
        <f>+IF('Data Pura Costos'!I2534="","",'Data Pura Costos'!I2534)</f>
        <v/>
      </c>
      <c r="J2534" s="52" t="str">
        <f>+IF('Data Pura Costos'!J2534="","",'Data Pura Costos'!J2534)</f>
        <v/>
      </c>
      <c r="K2534" s="82" t="str">
        <f t="shared" si="44"/>
        <v/>
      </c>
    </row>
    <row r="2535" spans="2:11" x14ac:dyDescent="0.35">
      <c r="B2535" s="4" t="str">
        <f>+IF('Data Pura Costos'!B2535="","",'Data Pura Costos'!B2535)</f>
        <v/>
      </c>
      <c r="C2535" s="4" t="str">
        <f>+IF('Data Pura Costos'!C2535="","",'Data Pura Costos'!C2535)</f>
        <v/>
      </c>
      <c r="D2535" s="5" t="str">
        <f>+IF('Data Pura Costos'!D2535="","",'Data Pura Costos'!D2535)</f>
        <v/>
      </c>
      <c r="E2535" s="65" t="str">
        <f>+IF('Data Pura Costos'!E2535="","",IF('Data Pura Costos'!E2535=0,MAX('Data Pura Costos'!$E$7:$E$3000)*1000,'Data Pura Costos'!E2535))</f>
        <v/>
      </c>
      <c r="F2535" s="5" t="str">
        <f>+IF('Data Pura Costos'!F2535="","",'Data Pura Costos'!F2535)</f>
        <v/>
      </c>
      <c r="G2535" s="5" t="str">
        <f>+IF('Data Pura Costos'!G2535="","",'Data Pura Costos'!G2535)</f>
        <v/>
      </c>
      <c r="H2535" s="52" t="str">
        <f>+IF('Data Pura Costos'!H2535="","",'Data Pura Costos'!H2535)</f>
        <v/>
      </c>
      <c r="I2535" s="71" t="str">
        <f>+IF('Data Pura Costos'!I2535="","",'Data Pura Costos'!I2535)</f>
        <v/>
      </c>
      <c r="J2535" s="52" t="str">
        <f>+IF('Data Pura Costos'!J2535="","",'Data Pura Costos'!J2535)</f>
        <v/>
      </c>
      <c r="K2535" s="82" t="str">
        <f t="shared" si="44"/>
        <v/>
      </c>
    </row>
    <row r="2536" spans="2:11" x14ac:dyDescent="0.35">
      <c r="B2536" s="4" t="str">
        <f>+IF('Data Pura Costos'!B2536="","",'Data Pura Costos'!B2536)</f>
        <v/>
      </c>
      <c r="C2536" s="4" t="str">
        <f>+IF('Data Pura Costos'!C2536="","",'Data Pura Costos'!C2536)</f>
        <v/>
      </c>
      <c r="D2536" s="5" t="str">
        <f>+IF('Data Pura Costos'!D2536="","",'Data Pura Costos'!D2536)</f>
        <v/>
      </c>
      <c r="E2536" s="65" t="str">
        <f>+IF('Data Pura Costos'!E2536="","",IF('Data Pura Costos'!E2536=0,MAX('Data Pura Costos'!$E$7:$E$3000)*1000,'Data Pura Costos'!E2536))</f>
        <v/>
      </c>
      <c r="F2536" s="5" t="str">
        <f>+IF('Data Pura Costos'!F2536="","",'Data Pura Costos'!F2536)</f>
        <v/>
      </c>
      <c r="G2536" s="5" t="str">
        <f>+IF('Data Pura Costos'!G2536="","",'Data Pura Costos'!G2536)</f>
        <v/>
      </c>
      <c r="H2536" s="52" t="str">
        <f>+IF('Data Pura Costos'!H2536="","",'Data Pura Costos'!H2536)</f>
        <v/>
      </c>
      <c r="I2536" s="71" t="str">
        <f>+IF('Data Pura Costos'!I2536="","",'Data Pura Costos'!I2536)</f>
        <v/>
      </c>
      <c r="J2536" s="52" t="str">
        <f>+IF('Data Pura Costos'!J2536="","",'Data Pura Costos'!J2536)</f>
        <v/>
      </c>
      <c r="K2536" s="82" t="str">
        <f t="shared" si="44"/>
        <v/>
      </c>
    </row>
    <row r="2537" spans="2:11" x14ac:dyDescent="0.35">
      <c r="B2537" s="4" t="str">
        <f>+IF('Data Pura Costos'!B2537="","",'Data Pura Costos'!B2537)</f>
        <v/>
      </c>
      <c r="C2537" s="4" t="str">
        <f>+IF('Data Pura Costos'!C2537="","",'Data Pura Costos'!C2537)</f>
        <v/>
      </c>
      <c r="D2537" s="5" t="str">
        <f>+IF('Data Pura Costos'!D2537="","",'Data Pura Costos'!D2537)</f>
        <v/>
      </c>
      <c r="E2537" s="65" t="str">
        <f>+IF('Data Pura Costos'!E2537="","",IF('Data Pura Costos'!E2537=0,MAX('Data Pura Costos'!$E$7:$E$3000)*1000,'Data Pura Costos'!E2537))</f>
        <v/>
      </c>
      <c r="F2537" s="5" t="str">
        <f>+IF('Data Pura Costos'!F2537="","",'Data Pura Costos'!F2537)</f>
        <v/>
      </c>
      <c r="G2537" s="5" t="str">
        <f>+IF('Data Pura Costos'!G2537="","",'Data Pura Costos'!G2537)</f>
        <v/>
      </c>
      <c r="H2537" s="52" t="str">
        <f>+IF('Data Pura Costos'!H2537="","",'Data Pura Costos'!H2537)</f>
        <v/>
      </c>
      <c r="I2537" s="71" t="str">
        <f>+IF('Data Pura Costos'!I2537="","",'Data Pura Costos'!I2537)</f>
        <v/>
      </c>
      <c r="J2537" s="52" t="str">
        <f>+IF('Data Pura Costos'!J2537="","",'Data Pura Costos'!J2537)</f>
        <v/>
      </c>
      <c r="K2537" s="82" t="str">
        <f t="shared" si="44"/>
        <v/>
      </c>
    </row>
    <row r="2538" spans="2:11" x14ac:dyDescent="0.35">
      <c r="B2538" s="4" t="str">
        <f>+IF('Data Pura Costos'!B2538="","",'Data Pura Costos'!B2538)</f>
        <v/>
      </c>
      <c r="C2538" s="4" t="str">
        <f>+IF('Data Pura Costos'!C2538="","",'Data Pura Costos'!C2538)</f>
        <v/>
      </c>
      <c r="D2538" s="5" t="str">
        <f>+IF('Data Pura Costos'!D2538="","",'Data Pura Costos'!D2538)</f>
        <v/>
      </c>
      <c r="E2538" s="65" t="str">
        <f>+IF('Data Pura Costos'!E2538="","",IF('Data Pura Costos'!E2538=0,MAX('Data Pura Costos'!$E$7:$E$3000)*1000,'Data Pura Costos'!E2538))</f>
        <v/>
      </c>
      <c r="F2538" s="5" t="str">
        <f>+IF('Data Pura Costos'!F2538="","",'Data Pura Costos'!F2538)</f>
        <v/>
      </c>
      <c r="G2538" s="5" t="str">
        <f>+IF('Data Pura Costos'!G2538="","",'Data Pura Costos'!G2538)</f>
        <v/>
      </c>
      <c r="H2538" s="52" t="str">
        <f>+IF('Data Pura Costos'!H2538="","",'Data Pura Costos'!H2538)</f>
        <v/>
      </c>
      <c r="I2538" s="71" t="str">
        <f>+IF('Data Pura Costos'!I2538="","",'Data Pura Costos'!I2538)</f>
        <v/>
      </c>
      <c r="J2538" s="52" t="str">
        <f>+IF('Data Pura Costos'!J2538="","",'Data Pura Costos'!J2538)</f>
        <v/>
      </c>
      <c r="K2538" s="82" t="str">
        <f t="shared" si="44"/>
        <v/>
      </c>
    </row>
    <row r="2539" spans="2:11" x14ac:dyDescent="0.35">
      <c r="B2539" s="4" t="str">
        <f>+IF('Data Pura Costos'!B2539="","",'Data Pura Costos'!B2539)</f>
        <v/>
      </c>
      <c r="C2539" s="4" t="str">
        <f>+IF('Data Pura Costos'!C2539="","",'Data Pura Costos'!C2539)</f>
        <v/>
      </c>
      <c r="D2539" s="5" t="str">
        <f>+IF('Data Pura Costos'!D2539="","",'Data Pura Costos'!D2539)</f>
        <v/>
      </c>
      <c r="E2539" s="65" t="str">
        <f>+IF('Data Pura Costos'!E2539="","",IF('Data Pura Costos'!E2539=0,MAX('Data Pura Costos'!$E$7:$E$3000)*1000,'Data Pura Costos'!E2539))</f>
        <v/>
      </c>
      <c r="F2539" s="5" t="str">
        <f>+IF('Data Pura Costos'!F2539="","",'Data Pura Costos'!F2539)</f>
        <v/>
      </c>
      <c r="G2539" s="5" t="str">
        <f>+IF('Data Pura Costos'!G2539="","",'Data Pura Costos'!G2539)</f>
        <v/>
      </c>
      <c r="H2539" s="52" t="str">
        <f>+IF('Data Pura Costos'!H2539="","",'Data Pura Costos'!H2539)</f>
        <v/>
      </c>
      <c r="I2539" s="71" t="str">
        <f>+IF('Data Pura Costos'!I2539="","",'Data Pura Costos'!I2539)</f>
        <v/>
      </c>
      <c r="J2539" s="52" t="str">
        <f>+IF('Data Pura Costos'!J2539="","",'Data Pura Costos'!J2539)</f>
        <v/>
      </c>
      <c r="K2539" s="82" t="str">
        <f t="shared" si="44"/>
        <v/>
      </c>
    </row>
    <row r="2540" spans="2:11" x14ac:dyDescent="0.35">
      <c r="B2540" s="4" t="str">
        <f>+IF('Data Pura Costos'!B2540="","",'Data Pura Costos'!B2540)</f>
        <v/>
      </c>
      <c r="C2540" s="4" t="str">
        <f>+IF('Data Pura Costos'!C2540="","",'Data Pura Costos'!C2540)</f>
        <v/>
      </c>
      <c r="D2540" s="5" t="str">
        <f>+IF('Data Pura Costos'!D2540="","",'Data Pura Costos'!D2540)</f>
        <v/>
      </c>
      <c r="E2540" s="65" t="str">
        <f>+IF('Data Pura Costos'!E2540="","",IF('Data Pura Costos'!E2540=0,MAX('Data Pura Costos'!$E$7:$E$3000)*1000,'Data Pura Costos'!E2540))</f>
        <v/>
      </c>
      <c r="F2540" s="5" t="str">
        <f>+IF('Data Pura Costos'!F2540="","",'Data Pura Costos'!F2540)</f>
        <v/>
      </c>
      <c r="G2540" s="5" t="str">
        <f>+IF('Data Pura Costos'!G2540="","",'Data Pura Costos'!G2540)</f>
        <v/>
      </c>
      <c r="H2540" s="52" t="str">
        <f>+IF('Data Pura Costos'!H2540="","",'Data Pura Costos'!H2540)</f>
        <v/>
      </c>
      <c r="I2540" s="71" t="str">
        <f>+IF('Data Pura Costos'!I2540="","",'Data Pura Costos'!I2540)</f>
        <v/>
      </c>
      <c r="J2540" s="52" t="str">
        <f>+IF('Data Pura Costos'!J2540="","",'Data Pura Costos'!J2540)</f>
        <v/>
      </c>
      <c r="K2540" s="82" t="str">
        <f t="shared" si="44"/>
        <v/>
      </c>
    </row>
    <row r="2541" spans="2:11" x14ac:dyDescent="0.35">
      <c r="B2541" s="4" t="str">
        <f>+IF('Data Pura Costos'!B2541="","",'Data Pura Costos'!B2541)</f>
        <v/>
      </c>
      <c r="C2541" s="4" t="str">
        <f>+IF('Data Pura Costos'!C2541="","",'Data Pura Costos'!C2541)</f>
        <v/>
      </c>
      <c r="D2541" s="5" t="str">
        <f>+IF('Data Pura Costos'!D2541="","",'Data Pura Costos'!D2541)</f>
        <v/>
      </c>
      <c r="E2541" s="65" t="str">
        <f>+IF('Data Pura Costos'!E2541="","",IF('Data Pura Costos'!E2541=0,MAX('Data Pura Costos'!$E$7:$E$3000)*1000,'Data Pura Costos'!E2541))</f>
        <v/>
      </c>
      <c r="F2541" s="5" t="str">
        <f>+IF('Data Pura Costos'!F2541="","",'Data Pura Costos'!F2541)</f>
        <v/>
      </c>
      <c r="G2541" s="5" t="str">
        <f>+IF('Data Pura Costos'!G2541="","",'Data Pura Costos'!G2541)</f>
        <v/>
      </c>
      <c r="H2541" s="52" t="str">
        <f>+IF('Data Pura Costos'!H2541="","",'Data Pura Costos'!H2541)</f>
        <v/>
      </c>
      <c r="I2541" s="71" t="str">
        <f>+IF('Data Pura Costos'!I2541="","",'Data Pura Costos'!I2541)</f>
        <v/>
      </c>
      <c r="J2541" s="52" t="str">
        <f>+IF('Data Pura Costos'!J2541="","",'Data Pura Costos'!J2541)</f>
        <v/>
      </c>
      <c r="K2541" s="82" t="str">
        <f t="shared" si="44"/>
        <v/>
      </c>
    </row>
    <row r="2542" spans="2:11" x14ac:dyDescent="0.35">
      <c r="B2542" s="4" t="str">
        <f>+IF('Data Pura Costos'!B2542="","",'Data Pura Costos'!B2542)</f>
        <v/>
      </c>
      <c r="C2542" s="4" t="str">
        <f>+IF('Data Pura Costos'!C2542="","",'Data Pura Costos'!C2542)</f>
        <v/>
      </c>
      <c r="D2542" s="5" t="str">
        <f>+IF('Data Pura Costos'!D2542="","",'Data Pura Costos'!D2542)</f>
        <v/>
      </c>
      <c r="E2542" s="65" t="str">
        <f>+IF('Data Pura Costos'!E2542="","",IF('Data Pura Costos'!E2542=0,MAX('Data Pura Costos'!$E$7:$E$3000)*1000,'Data Pura Costos'!E2542))</f>
        <v/>
      </c>
      <c r="F2542" s="5" t="str">
        <f>+IF('Data Pura Costos'!F2542="","",'Data Pura Costos'!F2542)</f>
        <v/>
      </c>
      <c r="G2542" s="5" t="str">
        <f>+IF('Data Pura Costos'!G2542="","",'Data Pura Costos'!G2542)</f>
        <v/>
      </c>
      <c r="H2542" s="52" t="str">
        <f>+IF('Data Pura Costos'!H2542="","",'Data Pura Costos'!H2542)</f>
        <v/>
      </c>
      <c r="I2542" s="71" t="str">
        <f>+IF('Data Pura Costos'!I2542="","",'Data Pura Costos'!I2542)</f>
        <v/>
      </c>
      <c r="J2542" s="52" t="str">
        <f>+IF('Data Pura Costos'!J2542="","",'Data Pura Costos'!J2542)</f>
        <v/>
      </c>
      <c r="K2542" s="82" t="str">
        <f t="shared" si="44"/>
        <v/>
      </c>
    </row>
    <row r="2543" spans="2:11" x14ac:dyDescent="0.35">
      <c r="B2543" s="4" t="str">
        <f>+IF('Data Pura Costos'!B2543="","",'Data Pura Costos'!B2543)</f>
        <v/>
      </c>
      <c r="C2543" s="4" t="str">
        <f>+IF('Data Pura Costos'!C2543="","",'Data Pura Costos'!C2543)</f>
        <v/>
      </c>
      <c r="D2543" s="5" t="str">
        <f>+IF('Data Pura Costos'!D2543="","",'Data Pura Costos'!D2543)</f>
        <v/>
      </c>
      <c r="E2543" s="65" t="str">
        <f>+IF('Data Pura Costos'!E2543="","",IF('Data Pura Costos'!E2543=0,MAX('Data Pura Costos'!$E$7:$E$3000)*1000,'Data Pura Costos'!E2543))</f>
        <v/>
      </c>
      <c r="F2543" s="5" t="str">
        <f>+IF('Data Pura Costos'!F2543="","",'Data Pura Costos'!F2543)</f>
        <v/>
      </c>
      <c r="G2543" s="5" t="str">
        <f>+IF('Data Pura Costos'!G2543="","",'Data Pura Costos'!G2543)</f>
        <v/>
      </c>
      <c r="H2543" s="52" t="str">
        <f>+IF('Data Pura Costos'!H2543="","",'Data Pura Costos'!H2543)</f>
        <v/>
      </c>
      <c r="I2543" s="71" t="str">
        <f>+IF('Data Pura Costos'!I2543="","",'Data Pura Costos'!I2543)</f>
        <v/>
      </c>
      <c r="J2543" s="52" t="str">
        <f>+IF('Data Pura Costos'!J2543="","",'Data Pura Costos'!J2543)</f>
        <v/>
      </c>
      <c r="K2543" s="82" t="str">
        <f t="shared" si="44"/>
        <v/>
      </c>
    </row>
    <row r="2544" spans="2:11" x14ac:dyDescent="0.35">
      <c r="B2544" s="4" t="str">
        <f>+IF('Data Pura Costos'!B2544="","",'Data Pura Costos'!B2544)</f>
        <v/>
      </c>
      <c r="C2544" s="4" t="str">
        <f>+IF('Data Pura Costos'!C2544="","",'Data Pura Costos'!C2544)</f>
        <v/>
      </c>
      <c r="D2544" s="5" t="str">
        <f>+IF('Data Pura Costos'!D2544="","",'Data Pura Costos'!D2544)</f>
        <v/>
      </c>
      <c r="E2544" s="65" t="str">
        <f>+IF('Data Pura Costos'!E2544="","",IF('Data Pura Costos'!E2544=0,MAX('Data Pura Costos'!$E$7:$E$3000)*1000,'Data Pura Costos'!E2544))</f>
        <v/>
      </c>
      <c r="F2544" s="5" t="str">
        <f>+IF('Data Pura Costos'!F2544="","",'Data Pura Costos'!F2544)</f>
        <v/>
      </c>
      <c r="G2544" s="5" t="str">
        <f>+IF('Data Pura Costos'!G2544="","",'Data Pura Costos'!G2544)</f>
        <v/>
      </c>
      <c r="H2544" s="52" t="str">
        <f>+IF('Data Pura Costos'!H2544="","",'Data Pura Costos'!H2544)</f>
        <v/>
      </c>
      <c r="I2544" s="71" t="str">
        <f>+IF('Data Pura Costos'!I2544="","",'Data Pura Costos'!I2544)</f>
        <v/>
      </c>
      <c r="J2544" s="52" t="str">
        <f>+IF('Data Pura Costos'!J2544="","",'Data Pura Costos'!J2544)</f>
        <v/>
      </c>
      <c r="K2544" s="82" t="str">
        <f t="shared" si="44"/>
        <v/>
      </c>
    </row>
    <row r="2545" spans="2:11" x14ac:dyDescent="0.35">
      <c r="B2545" s="4" t="str">
        <f>+IF('Data Pura Costos'!B2545="","",'Data Pura Costos'!B2545)</f>
        <v/>
      </c>
      <c r="C2545" s="4" t="str">
        <f>+IF('Data Pura Costos'!C2545="","",'Data Pura Costos'!C2545)</f>
        <v/>
      </c>
      <c r="D2545" s="5" t="str">
        <f>+IF('Data Pura Costos'!D2545="","",'Data Pura Costos'!D2545)</f>
        <v/>
      </c>
      <c r="E2545" s="65" t="str">
        <f>+IF('Data Pura Costos'!E2545="","",IF('Data Pura Costos'!E2545=0,MAX('Data Pura Costos'!$E$7:$E$3000)*1000,'Data Pura Costos'!E2545))</f>
        <v/>
      </c>
      <c r="F2545" s="5" t="str">
        <f>+IF('Data Pura Costos'!F2545="","",'Data Pura Costos'!F2545)</f>
        <v/>
      </c>
      <c r="G2545" s="5" t="str">
        <f>+IF('Data Pura Costos'!G2545="","",'Data Pura Costos'!G2545)</f>
        <v/>
      </c>
      <c r="H2545" s="52" t="str">
        <f>+IF('Data Pura Costos'!H2545="","",'Data Pura Costos'!H2545)</f>
        <v/>
      </c>
      <c r="I2545" s="71" t="str">
        <f>+IF('Data Pura Costos'!I2545="","",'Data Pura Costos'!I2545)</f>
        <v/>
      </c>
      <c r="J2545" s="52" t="str">
        <f>+IF('Data Pura Costos'!J2545="","",'Data Pura Costos'!J2545)</f>
        <v/>
      </c>
      <c r="K2545" s="82" t="str">
        <f t="shared" si="44"/>
        <v/>
      </c>
    </row>
    <row r="2546" spans="2:11" x14ac:dyDescent="0.35">
      <c r="B2546" s="4" t="str">
        <f>+IF('Data Pura Costos'!B2546="","",'Data Pura Costos'!B2546)</f>
        <v/>
      </c>
      <c r="C2546" s="4" t="str">
        <f>+IF('Data Pura Costos'!C2546="","",'Data Pura Costos'!C2546)</f>
        <v/>
      </c>
      <c r="D2546" s="5" t="str">
        <f>+IF('Data Pura Costos'!D2546="","",'Data Pura Costos'!D2546)</f>
        <v/>
      </c>
      <c r="E2546" s="65" t="str">
        <f>+IF('Data Pura Costos'!E2546="","",IF('Data Pura Costos'!E2546=0,MAX('Data Pura Costos'!$E$7:$E$3000)*1000,'Data Pura Costos'!E2546))</f>
        <v/>
      </c>
      <c r="F2546" s="5" t="str">
        <f>+IF('Data Pura Costos'!F2546="","",'Data Pura Costos'!F2546)</f>
        <v/>
      </c>
      <c r="G2546" s="5" t="str">
        <f>+IF('Data Pura Costos'!G2546="","",'Data Pura Costos'!G2546)</f>
        <v/>
      </c>
      <c r="H2546" s="52" t="str">
        <f>+IF('Data Pura Costos'!H2546="","",'Data Pura Costos'!H2546)</f>
        <v/>
      </c>
      <c r="I2546" s="71" t="str">
        <f>+IF('Data Pura Costos'!I2546="","",'Data Pura Costos'!I2546)</f>
        <v/>
      </c>
      <c r="J2546" s="52" t="str">
        <f>+IF('Data Pura Costos'!J2546="","",'Data Pura Costos'!J2546)</f>
        <v/>
      </c>
      <c r="K2546" s="82" t="str">
        <f t="shared" si="44"/>
        <v/>
      </c>
    </row>
    <row r="2547" spans="2:11" x14ac:dyDescent="0.35">
      <c r="B2547" s="4" t="str">
        <f>+IF('Data Pura Costos'!B2547="","",'Data Pura Costos'!B2547)</f>
        <v/>
      </c>
      <c r="C2547" s="4" t="str">
        <f>+IF('Data Pura Costos'!C2547="","",'Data Pura Costos'!C2547)</f>
        <v/>
      </c>
      <c r="D2547" s="5" t="str">
        <f>+IF('Data Pura Costos'!D2547="","",'Data Pura Costos'!D2547)</f>
        <v/>
      </c>
      <c r="E2547" s="65" t="str">
        <f>+IF('Data Pura Costos'!E2547="","",IF('Data Pura Costos'!E2547=0,MAX('Data Pura Costos'!$E$7:$E$3000)*1000,'Data Pura Costos'!E2547))</f>
        <v/>
      </c>
      <c r="F2547" s="5" t="str">
        <f>+IF('Data Pura Costos'!F2547="","",'Data Pura Costos'!F2547)</f>
        <v/>
      </c>
      <c r="G2547" s="5" t="str">
        <f>+IF('Data Pura Costos'!G2547="","",'Data Pura Costos'!G2547)</f>
        <v/>
      </c>
      <c r="H2547" s="52" t="str">
        <f>+IF('Data Pura Costos'!H2547="","",'Data Pura Costos'!H2547)</f>
        <v/>
      </c>
      <c r="I2547" s="71" t="str">
        <f>+IF('Data Pura Costos'!I2547="","",'Data Pura Costos'!I2547)</f>
        <v/>
      </c>
      <c r="J2547" s="52" t="str">
        <f>+IF('Data Pura Costos'!J2547="","",'Data Pura Costos'!J2547)</f>
        <v/>
      </c>
      <c r="K2547" s="82" t="str">
        <f t="shared" si="44"/>
        <v/>
      </c>
    </row>
    <row r="2548" spans="2:11" x14ac:dyDescent="0.35">
      <c r="B2548" s="4" t="str">
        <f>+IF('Data Pura Costos'!B2548="","",'Data Pura Costos'!B2548)</f>
        <v/>
      </c>
      <c r="C2548" s="4" t="str">
        <f>+IF('Data Pura Costos'!C2548="","",'Data Pura Costos'!C2548)</f>
        <v/>
      </c>
      <c r="D2548" s="5" t="str">
        <f>+IF('Data Pura Costos'!D2548="","",'Data Pura Costos'!D2548)</f>
        <v/>
      </c>
      <c r="E2548" s="65" t="str">
        <f>+IF('Data Pura Costos'!E2548="","",IF('Data Pura Costos'!E2548=0,MAX('Data Pura Costos'!$E$7:$E$3000)*1000,'Data Pura Costos'!E2548))</f>
        <v/>
      </c>
      <c r="F2548" s="5" t="str">
        <f>+IF('Data Pura Costos'!F2548="","",'Data Pura Costos'!F2548)</f>
        <v/>
      </c>
      <c r="G2548" s="5" t="str">
        <f>+IF('Data Pura Costos'!G2548="","",'Data Pura Costos'!G2548)</f>
        <v/>
      </c>
      <c r="H2548" s="52" t="str">
        <f>+IF('Data Pura Costos'!H2548="","",'Data Pura Costos'!H2548)</f>
        <v/>
      </c>
      <c r="I2548" s="71" t="str">
        <f>+IF('Data Pura Costos'!I2548="","",'Data Pura Costos'!I2548)</f>
        <v/>
      </c>
      <c r="J2548" s="52" t="str">
        <f>+IF('Data Pura Costos'!J2548="","",'Data Pura Costos'!J2548)</f>
        <v/>
      </c>
      <c r="K2548" s="82" t="str">
        <f t="shared" si="44"/>
        <v/>
      </c>
    </row>
    <row r="2549" spans="2:11" x14ac:dyDescent="0.35">
      <c r="B2549" s="4" t="str">
        <f>+IF('Data Pura Costos'!B2549="","",'Data Pura Costos'!B2549)</f>
        <v/>
      </c>
      <c r="C2549" s="4" t="str">
        <f>+IF('Data Pura Costos'!C2549="","",'Data Pura Costos'!C2549)</f>
        <v/>
      </c>
      <c r="D2549" s="5" t="str">
        <f>+IF('Data Pura Costos'!D2549="","",'Data Pura Costos'!D2549)</f>
        <v/>
      </c>
      <c r="E2549" s="65" t="str">
        <f>+IF('Data Pura Costos'!E2549="","",IF('Data Pura Costos'!E2549=0,MAX('Data Pura Costos'!$E$7:$E$3000)*1000,'Data Pura Costos'!E2549))</f>
        <v/>
      </c>
      <c r="F2549" s="5" t="str">
        <f>+IF('Data Pura Costos'!F2549="","",'Data Pura Costos'!F2549)</f>
        <v/>
      </c>
      <c r="G2549" s="5" t="str">
        <f>+IF('Data Pura Costos'!G2549="","",'Data Pura Costos'!G2549)</f>
        <v/>
      </c>
      <c r="H2549" s="52" t="str">
        <f>+IF('Data Pura Costos'!H2549="","",'Data Pura Costos'!H2549)</f>
        <v/>
      </c>
      <c r="I2549" s="71" t="str">
        <f>+IF('Data Pura Costos'!I2549="","",'Data Pura Costos'!I2549)</f>
        <v/>
      </c>
      <c r="J2549" s="52" t="str">
        <f>+IF('Data Pura Costos'!J2549="","",'Data Pura Costos'!J2549)</f>
        <v/>
      </c>
      <c r="K2549" s="82" t="str">
        <f t="shared" si="44"/>
        <v/>
      </c>
    </row>
    <row r="2550" spans="2:11" x14ac:dyDescent="0.35">
      <c r="B2550" s="4" t="str">
        <f>+IF('Data Pura Costos'!B2550="","",'Data Pura Costos'!B2550)</f>
        <v/>
      </c>
      <c r="C2550" s="4" t="str">
        <f>+IF('Data Pura Costos'!C2550="","",'Data Pura Costos'!C2550)</f>
        <v/>
      </c>
      <c r="D2550" s="5" t="str">
        <f>+IF('Data Pura Costos'!D2550="","",'Data Pura Costos'!D2550)</f>
        <v/>
      </c>
      <c r="E2550" s="65" t="str">
        <f>+IF('Data Pura Costos'!E2550="","",IF('Data Pura Costos'!E2550=0,MAX('Data Pura Costos'!$E$7:$E$3000)*1000,'Data Pura Costos'!E2550))</f>
        <v/>
      </c>
      <c r="F2550" s="5" t="str">
        <f>+IF('Data Pura Costos'!F2550="","",'Data Pura Costos'!F2550)</f>
        <v/>
      </c>
      <c r="G2550" s="5" t="str">
        <f>+IF('Data Pura Costos'!G2550="","",'Data Pura Costos'!G2550)</f>
        <v/>
      </c>
      <c r="H2550" s="52" t="str">
        <f>+IF('Data Pura Costos'!H2550="","",'Data Pura Costos'!H2550)</f>
        <v/>
      </c>
      <c r="I2550" s="71" t="str">
        <f>+IF('Data Pura Costos'!I2550="","",'Data Pura Costos'!I2550)</f>
        <v/>
      </c>
      <c r="J2550" s="52" t="str">
        <f>+IF('Data Pura Costos'!J2550="","",'Data Pura Costos'!J2550)</f>
        <v/>
      </c>
      <c r="K2550" s="82" t="str">
        <f t="shared" si="44"/>
        <v/>
      </c>
    </row>
    <row r="2551" spans="2:11" x14ac:dyDescent="0.35">
      <c r="B2551" s="4" t="str">
        <f>+IF('Data Pura Costos'!B2551="","",'Data Pura Costos'!B2551)</f>
        <v/>
      </c>
      <c r="C2551" s="4" t="str">
        <f>+IF('Data Pura Costos'!C2551="","",'Data Pura Costos'!C2551)</f>
        <v/>
      </c>
      <c r="D2551" s="5" t="str">
        <f>+IF('Data Pura Costos'!D2551="","",'Data Pura Costos'!D2551)</f>
        <v/>
      </c>
      <c r="E2551" s="65" t="str">
        <f>+IF('Data Pura Costos'!E2551="","",IF('Data Pura Costos'!E2551=0,MAX('Data Pura Costos'!$E$7:$E$3000)*1000,'Data Pura Costos'!E2551))</f>
        <v/>
      </c>
      <c r="F2551" s="5" t="str">
        <f>+IF('Data Pura Costos'!F2551="","",'Data Pura Costos'!F2551)</f>
        <v/>
      </c>
      <c r="G2551" s="5" t="str">
        <f>+IF('Data Pura Costos'!G2551="","",'Data Pura Costos'!G2551)</f>
        <v/>
      </c>
      <c r="H2551" s="52" t="str">
        <f>+IF('Data Pura Costos'!H2551="","",'Data Pura Costos'!H2551)</f>
        <v/>
      </c>
      <c r="I2551" s="71" t="str">
        <f>+IF('Data Pura Costos'!I2551="","",'Data Pura Costos'!I2551)</f>
        <v/>
      </c>
      <c r="J2551" s="52" t="str">
        <f>+IF('Data Pura Costos'!J2551="","",'Data Pura Costos'!J2551)</f>
        <v/>
      </c>
      <c r="K2551" s="82" t="str">
        <f t="shared" si="44"/>
        <v/>
      </c>
    </row>
    <row r="2552" spans="2:11" x14ac:dyDescent="0.35">
      <c r="B2552" s="4" t="str">
        <f>+IF('Data Pura Costos'!B2552="","",'Data Pura Costos'!B2552)</f>
        <v/>
      </c>
      <c r="C2552" s="4" t="str">
        <f>+IF('Data Pura Costos'!C2552="","",'Data Pura Costos'!C2552)</f>
        <v/>
      </c>
      <c r="D2552" s="5" t="str">
        <f>+IF('Data Pura Costos'!D2552="","",'Data Pura Costos'!D2552)</f>
        <v/>
      </c>
      <c r="E2552" s="65" t="str">
        <f>+IF('Data Pura Costos'!E2552="","",IF('Data Pura Costos'!E2552=0,MAX('Data Pura Costos'!$E$7:$E$3000)*1000,'Data Pura Costos'!E2552))</f>
        <v/>
      </c>
      <c r="F2552" s="5" t="str">
        <f>+IF('Data Pura Costos'!F2552="","",'Data Pura Costos'!F2552)</f>
        <v/>
      </c>
      <c r="G2552" s="5" t="str">
        <f>+IF('Data Pura Costos'!G2552="","",'Data Pura Costos'!G2552)</f>
        <v/>
      </c>
      <c r="H2552" s="52" t="str">
        <f>+IF('Data Pura Costos'!H2552="","",'Data Pura Costos'!H2552)</f>
        <v/>
      </c>
      <c r="I2552" s="71" t="str">
        <f>+IF('Data Pura Costos'!I2552="","",'Data Pura Costos'!I2552)</f>
        <v/>
      </c>
      <c r="J2552" s="52" t="str">
        <f>+IF('Data Pura Costos'!J2552="","",'Data Pura Costos'!J2552)</f>
        <v/>
      </c>
      <c r="K2552" s="82" t="str">
        <f t="shared" si="44"/>
        <v/>
      </c>
    </row>
    <row r="2553" spans="2:11" x14ac:dyDescent="0.35">
      <c r="B2553" s="4" t="str">
        <f>+IF('Data Pura Costos'!B2553="","",'Data Pura Costos'!B2553)</f>
        <v/>
      </c>
      <c r="C2553" s="4" t="str">
        <f>+IF('Data Pura Costos'!C2553="","",'Data Pura Costos'!C2553)</f>
        <v/>
      </c>
      <c r="D2553" s="5" t="str">
        <f>+IF('Data Pura Costos'!D2553="","",'Data Pura Costos'!D2553)</f>
        <v/>
      </c>
      <c r="E2553" s="65" t="str">
        <f>+IF('Data Pura Costos'!E2553="","",IF('Data Pura Costos'!E2553=0,MAX('Data Pura Costos'!$E$7:$E$3000)*1000,'Data Pura Costos'!E2553))</f>
        <v/>
      </c>
      <c r="F2553" s="5" t="str">
        <f>+IF('Data Pura Costos'!F2553="","",'Data Pura Costos'!F2553)</f>
        <v/>
      </c>
      <c r="G2553" s="5" t="str">
        <f>+IF('Data Pura Costos'!G2553="","",'Data Pura Costos'!G2553)</f>
        <v/>
      </c>
      <c r="H2553" s="52" t="str">
        <f>+IF('Data Pura Costos'!H2553="","",'Data Pura Costos'!H2553)</f>
        <v/>
      </c>
      <c r="I2553" s="71" t="str">
        <f>+IF('Data Pura Costos'!I2553="","",'Data Pura Costos'!I2553)</f>
        <v/>
      </c>
      <c r="J2553" s="52" t="str">
        <f>+IF('Data Pura Costos'!J2553="","",'Data Pura Costos'!J2553)</f>
        <v/>
      </c>
      <c r="K2553" s="82" t="str">
        <f t="shared" si="44"/>
        <v/>
      </c>
    </row>
    <row r="2554" spans="2:11" x14ac:dyDescent="0.35">
      <c r="B2554" s="4" t="str">
        <f>+IF('Data Pura Costos'!B2554="","",'Data Pura Costos'!B2554)</f>
        <v/>
      </c>
      <c r="C2554" s="4" t="str">
        <f>+IF('Data Pura Costos'!C2554="","",'Data Pura Costos'!C2554)</f>
        <v/>
      </c>
      <c r="D2554" s="5" t="str">
        <f>+IF('Data Pura Costos'!D2554="","",'Data Pura Costos'!D2554)</f>
        <v/>
      </c>
      <c r="E2554" s="65" t="str">
        <f>+IF('Data Pura Costos'!E2554="","",IF('Data Pura Costos'!E2554=0,MAX('Data Pura Costos'!$E$7:$E$3000)*1000,'Data Pura Costos'!E2554))</f>
        <v/>
      </c>
      <c r="F2554" s="5" t="str">
        <f>+IF('Data Pura Costos'!F2554="","",'Data Pura Costos'!F2554)</f>
        <v/>
      </c>
      <c r="G2554" s="5" t="str">
        <f>+IF('Data Pura Costos'!G2554="","",'Data Pura Costos'!G2554)</f>
        <v/>
      </c>
      <c r="H2554" s="52" t="str">
        <f>+IF('Data Pura Costos'!H2554="","",'Data Pura Costos'!H2554)</f>
        <v/>
      </c>
      <c r="I2554" s="71" t="str">
        <f>+IF('Data Pura Costos'!I2554="","",'Data Pura Costos'!I2554)</f>
        <v/>
      </c>
      <c r="J2554" s="52" t="str">
        <f>+IF('Data Pura Costos'!J2554="","",'Data Pura Costos'!J2554)</f>
        <v/>
      </c>
      <c r="K2554" s="82" t="str">
        <f t="shared" si="44"/>
        <v/>
      </c>
    </row>
    <row r="2555" spans="2:11" x14ac:dyDescent="0.35">
      <c r="B2555" s="4" t="str">
        <f>+IF('Data Pura Costos'!B2555="","",'Data Pura Costos'!B2555)</f>
        <v/>
      </c>
      <c r="C2555" s="4" t="str">
        <f>+IF('Data Pura Costos'!C2555="","",'Data Pura Costos'!C2555)</f>
        <v/>
      </c>
      <c r="D2555" s="5" t="str">
        <f>+IF('Data Pura Costos'!D2555="","",'Data Pura Costos'!D2555)</f>
        <v/>
      </c>
      <c r="E2555" s="65" t="str">
        <f>+IF('Data Pura Costos'!E2555="","",IF('Data Pura Costos'!E2555=0,MAX('Data Pura Costos'!$E$7:$E$3000)*1000,'Data Pura Costos'!E2555))</f>
        <v/>
      </c>
      <c r="F2555" s="5" t="str">
        <f>+IF('Data Pura Costos'!F2555="","",'Data Pura Costos'!F2555)</f>
        <v/>
      </c>
      <c r="G2555" s="5" t="str">
        <f>+IF('Data Pura Costos'!G2555="","",'Data Pura Costos'!G2555)</f>
        <v/>
      </c>
      <c r="H2555" s="52" t="str">
        <f>+IF('Data Pura Costos'!H2555="","",'Data Pura Costos'!H2555)</f>
        <v/>
      </c>
      <c r="I2555" s="71" t="str">
        <f>+IF('Data Pura Costos'!I2555="","",'Data Pura Costos'!I2555)</f>
        <v/>
      </c>
      <c r="J2555" s="52" t="str">
        <f>+IF('Data Pura Costos'!J2555="","",'Data Pura Costos'!J2555)</f>
        <v/>
      </c>
      <c r="K2555" s="82" t="str">
        <f t="shared" si="44"/>
        <v/>
      </c>
    </row>
    <row r="2556" spans="2:11" x14ac:dyDescent="0.35">
      <c r="B2556" s="4" t="str">
        <f>+IF('Data Pura Costos'!B2556="","",'Data Pura Costos'!B2556)</f>
        <v/>
      </c>
      <c r="C2556" s="4" t="str">
        <f>+IF('Data Pura Costos'!C2556="","",'Data Pura Costos'!C2556)</f>
        <v/>
      </c>
      <c r="D2556" s="5" t="str">
        <f>+IF('Data Pura Costos'!D2556="","",'Data Pura Costos'!D2556)</f>
        <v/>
      </c>
      <c r="E2556" s="65" t="str">
        <f>+IF('Data Pura Costos'!E2556="","",IF('Data Pura Costos'!E2556=0,MAX('Data Pura Costos'!$E$7:$E$3000)*1000,'Data Pura Costos'!E2556))</f>
        <v/>
      </c>
      <c r="F2556" s="5" t="str">
        <f>+IF('Data Pura Costos'!F2556="","",'Data Pura Costos'!F2556)</f>
        <v/>
      </c>
      <c r="G2556" s="5" t="str">
        <f>+IF('Data Pura Costos'!G2556="","",'Data Pura Costos'!G2556)</f>
        <v/>
      </c>
      <c r="H2556" s="52" t="str">
        <f>+IF('Data Pura Costos'!H2556="","",'Data Pura Costos'!H2556)</f>
        <v/>
      </c>
      <c r="I2556" s="71" t="str">
        <f>+IF('Data Pura Costos'!I2556="","",'Data Pura Costos'!I2556)</f>
        <v/>
      </c>
      <c r="J2556" s="52" t="str">
        <f>+IF('Data Pura Costos'!J2556="","",'Data Pura Costos'!J2556)</f>
        <v/>
      </c>
      <c r="K2556" s="82" t="str">
        <f t="shared" ref="K2556:K2619" si="45">+IF(B2556="","",CONCATENATE(B2556,"-",F2556,"-",G2556))</f>
        <v/>
      </c>
    </row>
    <row r="2557" spans="2:11" x14ac:dyDescent="0.35">
      <c r="B2557" s="4" t="str">
        <f>+IF('Data Pura Costos'!B2557="","",'Data Pura Costos'!B2557)</f>
        <v/>
      </c>
      <c r="C2557" s="4" t="str">
        <f>+IF('Data Pura Costos'!C2557="","",'Data Pura Costos'!C2557)</f>
        <v/>
      </c>
      <c r="D2557" s="5" t="str">
        <f>+IF('Data Pura Costos'!D2557="","",'Data Pura Costos'!D2557)</f>
        <v/>
      </c>
      <c r="E2557" s="65" t="str">
        <f>+IF('Data Pura Costos'!E2557="","",IF('Data Pura Costos'!E2557=0,MAX('Data Pura Costos'!$E$7:$E$3000)*1000,'Data Pura Costos'!E2557))</f>
        <v/>
      </c>
      <c r="F2557" s="5" t="str">
        <f>+IF('Data Pura Costos'!F2557="","",'Data Pura Costos'!F2557)</f>
        <v/>
      </c>
      <c r="G2557" s="5" t="str">
        <f>+IF('Data Pura Costos'!G2557="","",'Data Pura Costos'!G2557)</f>
        <v/>
      </c>
      <c r="H2557" s="52" t="str">
        <f>+IF('Data Pura Costos'!H2557="","",'Data Pura Costos'!H2557)</f>
        <v/>
      </c>
      <c r="I2557" s="71" t="str">
        <f>+IF('Data Pura Costos'!I2557="","",'Data Pura Costos'!I2557)</f>
        <v/>
      </c>
      <c r="J2557" s="52" t="str">
        <f>+IF('Data Pura Costos'!J2557="","",'Data Pura Costos'!J2557)</f>
        <v/>
      </c>
      <c r="K2557" s="82" t="str">
        <f t="shared" si="45"/>
        <v/>
      </c>
    </row>
    <row r="2558" spans="2:11" x14ac:dyDescent="0.35">
      <c r="B2558" s="4" t="str">
        <f>+IF('Data Pura Costos'!B2558="","",'Data Pura Costos'!B2558)</f>
        <v/>
      </c>
      <c r="C2558" s="4" t="str">
        <f>+IF('Data Pura Costos'!C2558="","",'Data Pura Costos'!C2558)</f>
        <v/>
      </c>
      <c r="D2558" s="5" t="str">
        <f>+IF('Data Pura Costos'!D2558="","",'Data Pura Costos'!D2558)</f>
        <v/>
      </c>
      <c r="E2558" s="65" t="str">
        <f>+IF('Data Pura Costos'!E2558="","",IF('Data Pura Costos'!E2558=0,MAX('Data Pura Costos'!$E$7:$E$3000)*1000,'Data Pura Costos'!E2558))</f>
        <v/>
      </c>
      <c r="F2558" s="5" t="str">
        <f>+IF('Data Pura Costos'!F2558="","",'Data Pura Costos'!F2558)</f>
        <v/>
      </c>
      <c r="G2558" s="5" t="str">
        <f>+IF('Data Pura Costos'!G2558="","",'Data Pura Costos'!G2558)</f>
        <v/>
      </c>
      <c r="H2558" s="52" t="str">
        <f>+IF('Data Pura Costos'!H2558="","",'Data Pura Costos'!H2558)</f>
        <v/>
      </c>
      <c r="I2558" s="71" t="str">
        <f>+IF('Data Pura Costos'!I2558="","",'Data Pura Costos'!I2558)</f>
        <v/>
      </c>
      <c r="J2558" s="52" t="str">
        <f>+IF('Data Pura Costos'!J2558="","",'Data Pura Costos'!J2558)</f>
        <v/>
      </c>
      <c r="K2558" s="82" t="str">
        <f t="shared" si="45"/>
        <v/>
      </c>
    </row>
    <row r="2559" spans="2:11" x14ac:dyDescent="0.35">
      <c r="B2559" s="4" t="str">
        <f>+IF('Data Pura Costos'!B2559="","",'Data Pura Costos'!B2559)</f>
        <v/>
      </c>
      <c r="C2559" s="4" t="str">
        <f>+IF('Data Pura Costos'!C2559="","",'Data Pura Costos'!C2559)</f>
        <v/>
      </c>
      <c r="D2559" s="5" t="str">
        <f>+IF('Data Pura Costos'!D2559="","",'Data Pura Costos'!D2559)</f>
        <v/>
      </c>
      <c r="E2559" s="65" t="str">
        <f>+IF('Data Pura Costos'!E2559="","",IF('Data Pura Costos'!E2559=0,MAX('Data Pura Costos'!$E$7:$E$3000)*1000,'Data Pura Costos'!E2559))</f>
        <v/>
      </c>
      <c r="F2559" s="5" t="str">
        <f>+IF('Data Pura Costos'!F2559="","",'Data Pura Costos'!F2559)</f>
        <v/>
      </c>
      <c r="G2559" s="5" t="str">
        <f>+IF('Data Pura Costos'!G2559="","",'Data Pura Costos'!G2559)</f>
        <v/>
      </c>
      <c r="H2559" s="52" t="str">
        <f>+IF('Data Pura Costos'!H2559="","",'Data Pura Costos'!H2559)</f>
        <v/>
      </c>
      <c r="I2559" s="71" t="str">
        <f>+IF('Data Pura Costos'!I2559="","",'Data Pura Costos'!I2559)</f>
        <v/>
      </c>
      <c r="J2559" s="52" t="str">
        <f>+IF('Data Pura Costos'!J2559="","",'Data Pura Costos'!J2559)</f>
        <v/>
      </c>
      <c r="K2559" s="82" t="str">
        <f t="shared" si="45"/>
        <v/>
      </c>
    </row>
    <row r="2560" spans="2:11" x14ac:dyDescent="0.35">
      <c r="B2560" s="4" t="str">
        <f>+IF('Data Pura Costos'!B2560="","",'Data Pura Costos'!B2560)</f>
        <v/>
      </c>
      <c r="C2560" s="4" t="str">
        <f>+IF('Data Pura Costos'!C2560="","",'Data Pura Costos'!C2560)</f>
        <v/>
      </c>
      <c r="D2560" s="5" t="str">
        <f>+IF('Data Pura Costos'!D2560="","",'Data Pura Costos'!D2560)</f>
        <v/>
      </c>
      <c r="E2560" s="65" t="str">
        <f>+IF('Data Pura Costos'!E2560="","",IF('Data Pura Costos'!E2560=0,MAX('Data Pura Costos'!$E$7:$E$3000)*1000,'Data Pura Costos'!E2560))</f>
        <v/>
      </c>
      <c r="F2560" s="5" t="str">
        <f>+IF('Data Pura Costos'!F2560="","",'Data Pura Costos'!F2560)</f>
        <v/>
      </c>
      <c r="G2560" s="5" t="str">
        <f>+IF('Data Pura Costos'!G2560="","",'Data Pura Costos'!G2560)</f>
        <v/>
      </c>
      <c r="H2560" s="52" t="str">
        <f>+IF('Data Pura Costos'!H2560="","",'Data Pura Costos'!H2560)</f>
        <v/>
      </c>
      <c r="I2560" s="71" t="str">
        <f>+IF('Data Pura Costos'!I2560="","",'Data Pura Costos'!I2560)</f>
        <v/>
      </c>
      <c r="J2560" s="52" t="str">
        <f>+IF('Data Pura Costos'!J2560="","",'Data Pura Costos'!J2560)</f>
        <v/>
      </c>
      <c r="K2560" s="82" t="str">
        <f t="shared" si="45"/>
        <v/>
      </c>
    </row>
    <row r="2561" spans="2:11" x14ac:dyDescent="0.35">
      <c r="B2561" s="4" t="str">
        <f>+IF('Data Pura Costos'!B2561="","",'Data Pura Costos'!B2561)</f>
        <v/>
      </c>
      <c r="C2561" s="4" t="str">
        <f>+IF('Data Pura Costos'!C2561="","",'Data Pura Costos'!C2561)</f>
        <v/>
      </c>
      <c r="D2561" s="5" t="str">
        <f>+IF('Data Pura Costos'!D2561="","",'Data Pura Costos'!D2561)</f>
        <v/>
      </c>
      <c r="E2561" s="65" t="str">
        <f>+IF('Data Pura Costos'!E2561="","",IF('Data Pura Costos'!E2561=0,MAX('Data Pura Costos'!$E$7:$E$3000)*1000,'Data Pura Costos'!E2561))</f>
        <v/>
      </c>
      <c r="F2561" s="5" t="str">
        <f>+IF('Data Pura Costos'!F2561="","",'Data Pura Costos'!F2561)</f>
        <v/>
      </c>
      <c r="G2561" s="5" t="str">
        <f>+IF('Data Pura Costos'!G2561="","",'Data Pura Costos'!G2561)</f>
        <v/>
      </c>
      <c r="H2561" s="52" t="str">
        <f>+IF('Data Pura Costos'!H2561="","",'Data Pura Costos'!H2561)</f>
        <v/>
      </c>
      <c r="I2561" s="71" t="str">
        <f>+IF('Data Pura Costos'!I2561="","",'Data Pura Costos'!I2561)</f>
        <v/>
      </c>
      <c r="J2561" s="52" t="str">
        <f>+IF('Data Pura Costos'!J2561="","",'Data Pura Costos'!J2561)</f>
        <v/>
      </c>
      <c r="K2561" s="82" t="str">
        <f t="shared" si="45"/>
        <v/>
      </c>
    </row>
    <row r="2562" spans="2:11" x14ac:dyDescent="0.35">
      <c r="B2562" s="4" t="str">
        <f>+IF('Data Pura Costos'!B2562="","",'Data Pura Costos'!B2562)</f>
        <v/>
      </c>
      <c r="C2562" s="4" t="str">
        <f>+IF('Data Pura Costos'!C2562="","",'Data Pura Costos'!C2562)</f>
        <v/>
      </c>
      <c r="D2562" s="5" t="str">
        <f>+IF('Data Pura Costos'!D2562="","",'Data Pura Costos'!D2562)</f>
        <v/>
      </c>
      <c r="E2562" s="65" t="str">
        <f>+IF('Data Pura Costos'!E2562="","",IF('Data Pura Costos'!E2562=0,MAX('Data Pura Costos'!$E$7:$E$3000)*1000,'Data Pura Costos'!E2562))</f>
        <v/>
      </c>
      <c r="F2562" s="5" t="str">
        <f>+IF('Data Pura Costos'!F2562="","",'Data Pura Costos'!F2562)</f>
        <v/>
      </c>
      <c r="G2562" s="5" t="str">
        <f>+IF('Data Pura Costos'!G2562="","",'Data Pura Costos'!G2562)</f>
        <v/>
      </c>
      <c r="H2562" s="52" t="str">
        <f>+IF('Data Pura Costos'!H2562="","",'Data Pura Costos'!H2562)</f>
        <v/>
      </c>
      <c r="I2562" s="71" t="str">
        <f>+IF('Data Pura Costos'!I2562="","",'Data Pura Costos'!I2562)</f>
        <v/>
      </c>
      <c r="J2562" s="52" t="str">
        <f>+IF('Data Pura Costos'!J2562="","",'Data Pura Costos'!J2562)</f>
        <v/>
      </c>
      <c r="K2562" s="82" t="str">
        <f t="shared" si="45"/>
        <v/>
      </c>
    </row>
    <row r="2563" spans="2:11" x14ac:dyDescent="0.35">
      <c r="B2563" s="4" t="str">
        <f>+IF('Data Pura Costos'!B2563="","",'Data Pura Costos'!B2563)</f>
        <v/>
      </c>
      <c r="C2563" s="4" t="str">
        <f>+IF('Data Pura Costos'!C2563="","",'Data Pura Costos'!C2563)</f>
        <v/>
      </c>
      <c r="D2563" s="5" t="str">
        <f>+IF('Data Pura Costos'!D2563="","",'Data Pura Costos'!D2563)</f>
        <v/>
      </c>
      <c r="E2563" s="65" t="str">
        <f>+IF('Data Pura Costos'!E2563="","",IF('Data Pura Costos'!E2563=0,MAX('Data Pura Costos'!$E$7:$E$3000)*1000,'Data Pura Costos'!E2563))</f>
        <v/>
      </c>
      <c r="F2563" s="5" t="str">
        <f>+IF('Data Pura Costos'!F2563="","",'Data Pura Costos'!F2563)</f>
        <v/>
      </c>
      <c r="G2563" s="5" t="str">
        <f>+IF('Data Pura Costos'!G2563="","",'Data Pura Costos'!G2563)</f>
        <v/>
      </c>
      <c r="H2563" s="52" t="str">
        <f>+IF('Data Pura Costos'!H2563="","",'Data Pura Costos'!H2563)</f>
        <v/>
      </c>
      <c r="I2563" s="71" t="str">
        <f>+IF('Data Pura Costos'!I2563="","",'Data Pura Costos'!I2563)</f>
        <v/>
      </c>
      <c r="J2563" s="52" t="str">
        <f>+IF('Data Pura Costos'!J2563="","",'Data Pura Costos'!J2563)</f>
        <v/>
      </c>
      <c r="K2563" s="82" t="str">
        <f t="shared" si="45"/>
        <v/>
      </c>
    </row>
    <row r="2564" spans="2:11" x14ac:dyDescent="0.35">
      <c r="B2564" s="4" t="str">
        <f>+IF('Data Pura Costos'!B2564="","",'Data Pura Costos'!B2564)</f>
        <v/>
      </c>
      <c r="C2564" s="4" t="str">
        <f>+IF('Data Pura Costos'!C2564="","",'Data Pura Costos'!C2564)</f>
        <v/>
      </c>
      <c r="D2564" s="5" t="str">
        <f>+IF('Data Pura Costos'!D2564="","",'Data Pura Costos'!D2564)</f>
        <v/>
      </c>
      <c r="E2564" s="65" t="str">
        <f>+IF('Data Pura Costos'!E2564="","",IF('Data Pura Costos'!E2564=0,MAX('Data Pura Costos'!$E$7:$E$3000)*1000,'Data Pura Costos'!E2564))</f>
        <v/>
      </c>
      <c r="F2564" s="5" t="str">
        <f>+IF('Data Pura Costos'!F2564="","",'Data Pura Costos'!F2564)</f>
        <v/>
      </c>
      <c r="G2564" s="5" t="str">
        <f>+IF('Data Pura Costos'!G2564="","",'Data Pura Costos'!G2564)</f>
        <v/>
      </c>
      <c r="H2564" s="52" t="str">
        <f>+IF('Data Pura Costos'!H2564="","",'Data Pura Costos'!H2564)</f>
        <v/>
      </c>
      <c r="I2564" s="71" t="str">
        <f>+IF('Data Pura Costos'!I2564="","",'Data Pura Costos'!I2564)</f>
        <v/>
      </c>
      <c r="J2564" s="52" t="str">
        <f>+IF('Data Pura Costos'!J2564="","",'Data Pura Costos'!J2564)</f>
        <v/>
      </c>
      <c r="K2564" s="82" t="str">
        <f t="shared" si="45"/>
        <v/>
      </c>
    </row>
    <row r="2565" spans="2:11" x14ac:dyDescent="0.35">
      <c r="B2565" s="4" t="str">
        <f>+IF('Data Pura Costos'!B2565="","",'Data Pura Costos'!B2565)</f>
        <v/>
      </c>
      <c r="C2565" s="4" t="str">
        <f>+IF('Data Pura Costos'!C2565="","",'Data Pura Costos'!C2565)</f>
        <v/>
      </c>
      <c r="D2565" s="5" t="str">
        <f>+IF('Data Pura Costos'!D2565="","",'Data Pura Costos'!D2565)</f>
        <v/>
      </c>
      <c r="E2565" s="65" t="str">
        <f>+IF('Data Pura Costos'!E2565="","",IF('Data Pura Costos'!E2565=0,MAX('Data Pura Costos'!$E$7:$E$3000)*1000,'Data Pura Costos'!E2565))</f>
        <v/>
      </c>
      <c r="F2565" s="5" t="str">
        <f>+IF('Data Pura Costos'!F2565="","",'Data Pura Costos'!F2565)</f>
        <v/>
      </c>
      <c r="G2565" s="5" t="str">
        <f>+IF('Data Pura Costos'!G2565="","",'Data Pura Costos'!G2565)</f>
        <v/>
      </c>
      <c r="H2565" s="52" t="str">
        <f>+IF('Data Pura Costos'!H2565="","",'Data Pura Costos'!H2565)</f>
        <v/>
      </c>
      <c r="I2565" s="71" t="str">
        <f>+IF('Data Pura Costos'!I2565="","",'Data Pura Costos'!I2565)</f>
        <v/>
      </c>
      <c r="J2565" s="52" t="str">
        <f>+IF('Data Pura Costos'!J2565="","",'Data Pura Costos'!J2565)</f>
        <v/>
      </c>
      <c r="K2565" s="82" t="str">
        <f t="shared" si="45"/>
        <v/>
      </c>
    </row>
    <row r="2566" spans="2:11" x14ac:dyDescent="0.35">
      <c r="B2566" s="4" t="str">
        <f>+IF('Data Pura Costos'!B2566="","",'Data Pura Costos'!B2566)</f>
        <v/>
      </c>
      <c r="C2566" s="4" t="str">
        <f>+IF('Data Pura Costos'!C2566="","",'Data Pura Costos'!C2566)</f>
        <v/>
      </c>
      <c r="D2566" s="5" t="str">
        <f>+IF('Data Pura Costos'!D2566="","",'Data Pura Costos'!D2566)</f>
        <v/>
      </c>
      <c r="E2566" s="65" t="str">
        <f>+IF('Data Pura Costos'!E2566="","",IF('Data Pura Costos'!E2566=0,MAX('Data Pura Costos'!$E$7:$E$3000)*1000,'Data Pura Costos'!E2566))</f>
        <v/>
      </c>
      <c r="F2566" s="5" t="str">
        <f>+IF('Data Pura Costos'!F2566="","",'Data Pura Costos'!F2566)</f>
        <v/>
      </c>
      <c r="G2566" s="5" t="str">
        <f>+IF('Data Pura Costos'!G2566="","",'Data Pura Costos'!G2566)</f>
        <v/>
      </c>
      <c r="H2566" s="52" t="str">
        <f>+IF('Data Pura Costos'!H2566="","",'Data Pura Costos'!H2566)</f>
        <v/>
      </c>
      <c r="I2566" s="71" t="str">
        <f>+IF('Data Pura Costos'!I2566="","",'Data Pura Costos'!I2566)</f>
        <v/>
      </c>
      <c r="J2566" s="52" t="str">
        <f>+IF('Data Pura Costos'!J2566="","",'Data Pura Costos'!J2566)</f>
        <v/>
      </c>
      <c r="K2566" s="82" t="str">
        <f t="shared" si="45"/>
        <v/>
      </c>
    </row>
    <row r="2567" spans="2:11" x14ac:dyDescent="0.35">
      <c r="B2567" s="4" t="str">
        <f>+IF('Data Pura Costos'!B2567="","",'Data Pura Costos'!B2567)</f>
        <v/>
      </c>
      <c r="C2567" s="4" t="str">
        <f>+IF('Data Pura Costos'!C2567="","",'Data Pura Costos'!C2567)</f>
        <v/>
      </c>
      <c r="D2567" s="5" t="str">
        <f>+IF('Data Pura Costos'!D2567="","",'Data Pura Costos'!D2567)</f>
        <v/>
      </c>
      <c r="E2567" s="65" t="str">
        <f>+IF('Data Pura Costos'!E2567="","",IF('Data Pura Costos'!E2567=0,MAX('Data Pura Costos'!$E$7:$E$3000)*1000,'Data Pura Costos'!E2567))</f>
        <v/>
      </c>
      <c r="F2567" s="5" t="str">
        <f>+IF('Data Pura Costos'!F2567="","",'Data Pura Costos'!F2567)</f>
        <v/>
      </c>
      <c r="G2567" s="5" t="str">
        <f>+IF('Data Pura Costos'!G2567="","",'Data Pura Costos'!G2567)</f>
        <v/>
      </c>
      <c r="H2567" s="52" t="str">
        <f>+IF('Data Pura Costos'!H2567="","",'Data Pura Costos'!H2567)</f>
        <v/>
      </c>
      <c r="I2567" s="71" t="str">
        <f>+IF('Data Pura Costos'!I2567="","",'Data Pura Costos'!I2567)</f>
        <v/>
      </c>
      <c r="J2567" s="52" t="str">
        <f>+IF('Data Pura Costos'!J2567="","",'Data Pura Costos'!J2567)</f>
        <v/>
      </c>
      <c r="K2567" s="82" t="str">
        <f t="shared" si="45"/>
        <v/>
      </c>
    </row>
    <row r="2568" spans="2:11" x14ac:dyDescent="0.35">
      <c r="B2568" s="4" t="str">
        <f>+IF('Data Pura Costos'!B2568="","",'Data Pura Costos'!B2568)</f>
        <v/>
      </c>
      <c r="C2568" s="4" t="str">
        <f>+IF('Data Pura Costos'!C2568="","",'Data Pura Costos'!C2568)</f>
        <v/>
      </c>
      <c r="D2568" s="5" t="str">
        <f>+IF('Data Pura Costos'!D2568="","",'Data Pura Costos'!D2568)</f>
        <v/>
      </c>
      <c r="E2568" s="65" t="str">
        <f>+IF('Data Pura Costos'!E2568="","",IF('Data Pura Costos'!E2568=0,MAX('Data Pura Costos'!$E$7:$E$3000)*1000,'Data Pura Costos'!E2568))</f>
        <v/>
      </c>
      <c r="F2568" s="5" t="str">
        <f>+IF('Data Pura Costos'!F2568="","",'Data Pura Costos'!F2568)</f>
        <v/>
      </c>
      <c r="G2568" s="5" t="str">
        <f>+IF('Data Pura Costos'!G2568="","",'Data Pura Costos'!G2568)</f>
        <v/>
      </c>
      <c r="H2568" s="52" t="str">
        <f>+IF('Data Pura Costos'!H2568="","",'Data Pura Costos'!H2568)</f>
        <v/>
      </c>
      <c r="I2568" s="71" t="str">
        <f>+IF('Data Pura Costos'!I2568="","",'Data Pura Costos'!I2568)</f>
        <v/>
      </c>
      <c r="J2568" s="52" t="str">
        <f>+IF('Data Pura Costos'!J2568="","",'Data Pura Costos'!J2568)</f>
        <v/>
      </c>
      <c r="K2568" s="82" t="str">
        <f t="shared" si="45"/>
        <v/>
      </c>
    </row>
    <row r="2569" spans="2:11" x14ac:dyDescent="0.35">
      <c r="B2569" s="4" t="str">
        <f>+IF('Data Pura Costos'!B2569="","",'Data Pura Costos'!B2569)</f>
        <v/>
      </c>
      <c r="C2569" s="4" t="str">
        <f>+IF('Data Pura Costos'!C2569="","",'Data Pura Costos'!C2569)</f>
        <v/>
      </c>
      <c r="D2569" s="5" t="str">
        <f>+IF('Data Pura Costos'!D2569="","",'Data Pura Costos'!D2569)</f>
        <v/>
      </c>
      <c r="E2569" s="65" t="str">
        <f>+IF('Data Pura Costos'!E2569="","",IF('Data Pura Costos'!E2569=0,MAX('Data Pura Costos'!$E$7:$E$3000)*1000,'Data Pura Costos'!E2569))</f>
        <v/>
      </c>
      <c r="F2569" s="5" t="str">
        <f>+IF('Data Pura Costos'!F2569="","",'Data Pura Costos'!F2569)</f>
        <v/>
      </c>
      <c r="G2569" s="5" t="str">
        <f>+IF('Data Pura Costos'!G2569="","",'Data Pura Costos'!G2569)</f>
        <v/>
      </c>
      <c r="H2569" s="52" t="str">
        <f>+IF('Data Pura Costos'!H2569="","",'Data Pura Costos'!H2569)</f>
        <v/>
      </c>
      <c r="I2569" s="71" t="str">
        <f>+IF('Data Pura Costos'!I2569="","",'Data Pura Costos'!I2569)</f>
        <v/>
      </c>
      <c r="J2569" s="52" t="str">
        <f>+IF('Data Pura Costos'!J2569="","",'Data Pura Costos'!J2569)</f>
        <v/>
      </c>
      <c r="K2569" s="82" t="str">
        <f t="shared" si="45"/>
        <v/>
      </c>
    </row>
    <row r="2570" spans="2:11" x14ac:dyDescent="0.35">
      <c r="B2570" s="4" t="str">
        <f>+IF('Data Pura Costos'!B2570="","",'Data Pura Costos'!B2570)</f>
        <v/>
      </c>
      <c r="C2570" s="4" t="str">
        <f>+IF('Data Pura Costos'!C2570="","",'Data Pura Costos'!C2570)</f>
        <v/>
      </c>
      <c r="D2570" s="5" t="str">
        <f>+IF('Data Pura Costos'!D2570="","",'Data Pura Costos'!D2570)</f>
        <v/>
      </c>
      <c r="E2570" s="65" t="str">
        <f>+IF('Data Pura Costos'!E2570="","",IF('Data Pura Costos'!E2570=0,MAX('Data Pura Costos'!$E$7:$E$3000)*1000,'Data Pura Costos'!E2570))</f>
        <v/>
      </c>
      <c r="F2570" s="5" t="str">
        <f>+IF('Data Pura Costos'!F2570="","",'Data Pura Costos'!F2570)</f>
        <v/>
      </c>
      <c r="G2570" s="5" t="str">
        <f>+IF('Data Pura Costos'!G2570="","",'Data Pura Costos'!G2570)</f>
        <v/>
      </c>
      <c r="H2570" s="52" t="str">
        <f>+IF('Data Pura Costos'!H2570="","",'Data Pura Costos'!H2570)</f>
        <v/>
      </c>
      <c r="I2570" s="71" t="str">
        <f>+IF('Data Pura Costos'!I2570="","",'Data Pura Costos'!I2570)</f>
        <v/>
      </c>
      <c r="J2570" s="52" t="str">
        <f>+IF('Data Pura Costos'!J2570="","",'Data Pura Costos'!J2570)</f>
        <v/>
      </c>
      <c r="K2570" s="82" t="str">
        <f t="shared" si="45"/>
        <v/>
      </c>
    </row>
    <row r="2571" spans="2:11" x14ac:dyDescent="0.35">
      <c r="B2571" s="4" t="str">
        <f>+IF('Data Pura Costos'!B2571="","",'Data Pura Costos'!B2571)</f>
        <v/>
      </c>
      <c r="C2571" s="4" t="str">
        <f>+IF('Data Pura Costos'!C2571="","",'Data Pura Costos'!C2571)</f>
        <v/>
      </c>
      <c r="D2571" s="5" t="str">
        <f>+IF('Data Pura Costos'!D2571="","",'Data Pura Costos'!D2571)</f>
        <v/>
      </c>
      <c r="E2571" s="65" t="str">
        <f>+IF('Data Pura Costos'!E2571="","",IF('Data Pura Costos'!E2571=0,MAX('Data Pura Costos'!$E$7:$E$3000)*1000,'Data Pura Costos'!E2571))</f>
        <v/>
      </c>
      <c r="F2571" s="5" t="str">
        <f>+IF('Data Pura Costos'!F2571="","",'Data Pura Costos'!F2571)</f>
        <v/>
      </c>
      <c r="G2571" s="5" t="str">
        <f>+IF('Data Pura Costos'!G2571="","",'Data Pura Costos'!G2571)</f>
        <v/>
      </c>
      <c r="H2571" s="52" t="str">
        <f>+IF('Data Pura Costos'!H2571="","",'Data Pura Costos'!H2571)</f>
        <v/>
      </c>
      <c r="I2571" s="71" t="str">
        <f>+IF('Data Pura Costos'!I2571="","",'Data Pura Costos'!I2571)</f>
        <v/>
      </c>
      <c r="J2571" s="52" t="str">
        <f>+IF('Data Pura Costos'!J2571="","",'Data Pura Costos'!J2571)</f>
        <v/>
      </c>
      <c r="K2571" s="82" t="str">
        <f t="shared" si="45"/>
        <v/>
      </c>
    </row>
    <row r="2572" spans="2:11" x14ac:dyDescent="0.35">
      <c r="B2572" s="4" t="str">
        <f>+IF('Data Pura Costos'!B2572="","",'Data Pura Costos'!B2572)</f>
        <v/>
      </c>
      <c r="C2572" s="4" t="str">
        <f>+IF('Data Pura Costos'!C2572="","",'Data Pura Costos'!C2572)</f>
        <v/>
      </c>
      <c r="D2572" s="5" t="str">
        <f>+IF('Data Pura Costos'!D2572="","",'Data Pura Costos'!D2572)</f>
        <v/>
      </c>
      <c r="E2572" s="65" t="str">
        <f>+IF('Data Pura Costos'!E2572="","",IF('Data Pura Costos'!E2572=0,MAX('Data Pura Costos'!$E$7:$E$3000)*1000,'Data Pura Costos'!E2572))</f>
        <v/>
      </c>
      <c r="F2572" s="5" t="str">
        <f>+IF('Data Pura Costos'!F2572="","",'Data Pura Costos'!F2572)</f>
        <v/>
      </c>
      <c r="G2572" s="5" t="str">
        <f>+IF('Data Pura Costos'!G2572="","",'Data Pura Costos'!G2572)</f>
        <v/>
      </c>
      <c r="H2572" s="52" t="str">
        <f>+IF('Data Pura Costos'!H2572="","",'Data Pura Costos'!H2572)</f>
        <v/>
      </c>
      <c r="I2572" s="71" t="str">
        <f>+IF('Data Pura Costos'!I2572="","",'Data Pura Costos'!I2572)</f>
        <v/>
      </c>
      <c r="J2572" s="52" t="str">
        <f>+IF('Data Pura Costos'!J2572="","",'Data Pura Costos'!J2572)</f>
        <v/>
      </c>
      <c r="K2572" s="82" t="str">
        <f t="shared" si="45"/>
        <v/>
      </c>
    </row>
    <row r="2573" spans="2:11" x14ac:dyDescent="0.35">
      <c r="B2573" s="4" t="str">
        <f>+IF('Data Pura Costos'!B2573="","",'Data Pura Costos'!B2573)</f>
        <v/>
      </c>
      <c r="C2573" s="4" t="str">
        <f>+IF('Data Pura Costos'!C2573="","",'Data Pura Costos'!C2573)</f>
        <v/>
      </c>
      <c r="D2573" s="5" t="str">
        <f>+IF('Data Pura Costos'!D2573="","",'Data Pura Costos'!D2573)</f>
        <v/>
      </c>
      <c r="E2573" s="65" t="str">
        <f>+IF('Data Pura Costos'!E2573="","",IF('Data Pura Costos'!E2573=0,MAX('Data Pura Costos'!$E$7:$E$3000)*1000,'Data Pura Costos'!E2573))</f>
        <v/>
      </c>
      <c r="F2573" s="5" t="str">
        <f>+IF('Data Pura Costos'!F2573="","",'Data Pura Costos'!F2573)</f>
        <v/>
      </c>
      <c r="G2573" s="5" t="str">
        <f>+IF('Data Pura Costos'!G2573="","",'Data Pura Costos'!G2573)</f>
        <v/>
      </c>
      <c r="H2573" s="52" t="str">
        <f>+IF('Data Pura Costos'!H2573="","",'Data Pura Costos'!H2573)</f>
        <v/>
      </c>
      <c r="I2573" s="71" t="str">
        <f>+IF('Data Pura Costos'!I2573="","",'Data Pura Costos'!I2573)</f>
        <v/>
      </c>
      <c r="J2573" s="52" t="str">
        <f>+IF('Data Pura Costos'!J2573="","",'Data Pura Costos'!J2573)</f>
        <v/>
      </c>
      <c r="K2573" s="82" t="str">
        <f t="shared" si="45"/>
        <v/>
      </c>
    </row>
    <row r="2574" spans="2:11" x14ac:dyDescent="0.35">
      <c r="B2574" s="4" t="str">
        <f>+IF('Data Pura Costos'!B2574="","",'Data Pura Costos'!B2574)</f>
        <v/>
      </c>
      <c r="C2574" s="4" t="str">
        <f>+IF('Data Pura Costos'!C2574="","",'Data Pura Costos'!C2574)</f>
        <v/>
      </c>
      <c r="D2574" s="5" t="str">
        <f>+IF('Data Pura Costos'!D2574="","",'Data Pura Costos'!D2574)</f>
        <v/>
      </c>
      <c r="E2574" s="65" t="str">
        <f>+IF('Data Pura Costos'!E2574="","",IF('Data Pura Costos'!E2574=0,MAX('Data Pura Costos'!$E$7:$E$3000)*1000,'Data Pura Costos'!E2574))</f>
        <v/>
      </c>
      <c r="F2574" s="5" t="str">
        <f>+IF('Data Pura Costos'!F2574="","",'Data Pura Costos'!F2574)</f>
        <v/>
      </c>
      <c r="G2574" s="5" t="str">
        <f>+IF('Data Pura Costos'!G2574="","",'Data Pura Costos'!G2574)</f>
        <v/>
      </c>
      <c r="H2574" s="52" t="str">
        <f>+IF('Data Pura Costos'!H2574="","",'Data Pura Costos'!H2574)</f>
        <v/>
      </c>
      <c r="I2574" s="71" t="str">
        <f>+IF('Data Pura Costos'!I2574="","",'Data Pura Costos'!I2574)</f>
        <v/>
      </c>
      <c r="J2574" s="52" t="str">
        <f>+IF('Data Pura Costos'!J2574="","",'Data Pura Costos'!J2574)</f>
        <v/>
      </c>
      <c r="K2574" s="82" t="str">
        <f t="shared" si="45"/>
        <v/>
      </c>
    </row>
    <row r="2575" spans="2:11" x14ac:dyDescent="0.35">
      <c r="B2575" s="4" t="str">
        <f>+IF('Data Pura Costos'!B2575="","",'Data Pura Costos'!B2575)</f>
        <v/>
      </c>
      <c r="C2575" s="4" t="str">
        <f>+IF('Data Pura Costos'!C2575="","",'Data Pura Costos'!C2575)</f>
        <v/>
      </c>
      <c r="D2575" s="5" t="str">
        <f>+IF('Data Pura Costos'!D2575="","",'Data Pura Costos'!D2575)</f>
        <v/>
      </c>
      <c r="E2575" s="65" t="str">
        <f>+IF('Data Pura Costos'!E2575="","",IF('Data Pura Costos'!E2575=0,MAX('Data Pura Costos'!$E$7:$E$3000)*1000,'Data Pura Costos'!E2575))</f>
        <v/>
      </c>
      <c r="F2575" s="5" t="str">
        <f>+IF('Data Pura Costos'!F2575="","",'Data Pura Costos'!F2575)</f>
        <v/>
      </c>
      <c r="G2575" s="5" t="str">
        <f>+IF('Data Pura Costos'!G2575="","",'Data Pura Costos'!G2575)</f>
        <v/>
      </c>
      <c r="H2575" s="52" t="str">
        <f>+IF('Data Pura Costos'!H2575="","",'Data Pura Costos'!H2575)</f>
        <v/>
      </c>
      <c r="I2575" s="71" t="str">
        <f>+IF('Data Pura Costos'!I2575="","",'Data Pura Costos'!I2575)</f>
        <v/>
      </c>
      <c r="J2575" s="52" t="str">
        <f>+IF('Data Pura Costos'!J2575="","",'Data Pura Costos'!J2575)</f>
        <v/>
      </c>
      <c r="K2575" s="82" t="str">
        <f t="shared" si="45"/>
        <v/>
      </c>
    </row>
    <row r="2576" spans="2:11" x14ac:dyDescent="0.35">
      <c r="B2576" s="4" t="str">
        <f>+IF('Data Pura Costos'!B2576="","",'Data Pura Costos'!B2576)</f>
        <v/>
      </c>
      <c r="C2576" s="4" t="str">
        <f>+IF('Data Pura Costos'!C2576="","",'Data Pura Costos'!C2576)</f>
        <v/>
      </c>
      <c r="D2576" s="5" t="str">
        <f>+IF('Data Pura Costos'!D2576="","",'Data Pura Costos'!D2576)</f>
        <v/>
      </c>
      <c r="E2576" s="65" t="str">
        <f>+IF('Data Pura Costos'!E2576="","",IF('Data Pura Costos'!E2576=0,MAX('Data Pura Costos'!$E$7:$E$3000)*1000,'Data Pura Costos'!E2576))</f>
        <v/>
      </c>
      <c r="F2576" s="5" t="str">
        <f>+IF('Data Pura Costos'!F2576="","",'Data Pura Costos'!F2576)</f>
        <v/>
      </c>
      <c r="G2576" s="5" t="str">
        <f>+IF('Data Pura Costos'!G2576="","",'Data Pura Costos'!G2576)</f>
        <v/>
      </c>
      <c r="H2576" s="52" t="str">
        <f>+IF('Data Pura Costos'!H2576="","",'Data Pura Costos'!H2576)</f>
        <v/>
      </c>
      <c r="I2576" s="71" t="str">
        <f>+IF('Data Pura Costos'!I2576="","",'Data Pura Costos'!I2576)</f>
        <v/>
      </c>
      <c r="J2576" s="52" t="str">
        <f>+IF('Data Pura Costos'!J2576="","",'Data Pura Costos'!J2576)</f>
        <v/>
      </c>
      <c r="K2576" s="82" t="str">
        <f t="shared" si="45"/>
        <v/>
      </c>
    </row>
    <row r="2577" spans="2:11" x14ac:dyDescent="0.35">
      <c r="B2577" s="4" t="str">
        <f>+IF('Data Pura Costos'!B2577="","",'Data Pura Costos'!B2577)</f>
        <v/>
      </c>
      <c r="C2577" s="4" t="str">
        <f>+IF('Data Pura Costos'!C2577="","",'Data Pura Costos'!C2577)</f>
        <v/>
      </c>
      <c r="D2577" s="5" t="str">
        <f>+IF('Data Pura Costos'!D2577="","",'Data Pura Costos'!D2577)</f>
        <v/>
      </c>
      <c r="E2577" s="65" t="str">
        <f>+IF('Data Pura Costos'!E2577="","",IF('Data Pura Costos'!E2577=0,MAX('Data Pura Costos'!$E$7:$E$3000)*1000,'Data Pura Costos'!E2577))</f>
        <v/>
      </c>
      <c r="F2577" s="5" t="str">
        <f>+IF('Data Pura Costos'!F2577="","",'Data Pura Costos'!F2577)</f>
        <v/>
      </c>
      <c r="G2577" s="5" t="str">
        <f>+IF('Data Pura Costos'!G2577="","",'Data Pura Costos'!G2577)</f>
        <v/>
      </c>
      <c r="H2577" s="52" t="str">
        <f>+IF('Data Pura Costos'!H2577="","",'Data Pura Costos'!H2577)</f>
        <v/>
      </c>
      <c r="I2577" s="71" t="str">
        <f>+IF('Data Pura Costos'!I2577="","",'Data Pura Costos'!I2577)</f>
        <v/>
      </c>
      <c r="J2577" s="52" t="str">
        <f>+IF('Data Pura Costos'!J2577="","",'Data Pura Costos'!J2577)</f>
        <v/>
      </c>
      <c r="K2577" s="82" t="str">
        <f t="shared" si="45"/>
        <v/>
      </c>
    </row>
    <row r="2578" spans="2:11" x14ac:dyDescent="0.35">
      <c r="B2578" s="4" t="str">
        <f>+IF('Data Pura Costos'!B2578="","",'Data Pura Costos'!B2578)</f>
        <v/>
      </c>
      <c r="C2578" s="4" t="str">
        <f>+IF('Data Pura Costos'!C2578="","",'Data Pura Costos'!C2578)</f>
        <v/>
      </c>
      <c r="D2578" s="5" t="str">
        <f>+IF('Data Pura Costos'!D2578="","",'Data Pura Costos'!D2578)</f>
        <v/>
      </c>
      <c r="E2578" s="65" t="str">
        <f>+IF('Data Pura Costos'!E2578="","",IF('Data Pura Costos'!E2578=0,MAX('Data Pura Costos'!$E$7:$E$3000)*1000,'Data Pura Costos'!E2578))</f>
        <v/>
      </c>
      <c r="F2578" s="5" t="str">
        <f>+IF('Data Pura Costos'!F2578="","",'Data Pura Costos'!F2578)</f>
        <v/>
      </c>
      <c r="G2578" s="5" t="str">
        <f>+IF('Data Pura Costos'!G2578="","",'Data Pura Costos'!G2578)</f>
        <v/>
      </c>
      <c r="H2578" s="52" t="str">
        <f>+IF('Data Pura Costos'!H2578="","",'Data Pura Costos'!H2578)</f>
        <v/>
      </c>
      <c r="I2578" s="71" t="str">
        <f>+IF('Data Pura Costos'!I2578="","",'Data Pura Costos'!I2578)</f>
        <v/>
      </c>
      <c r="J2578" s="52" t="str">
        <f>+IF('Data Pura Costos'!J2578="","",'Data Pura Costos'!J2578)</f>
        <v/>
      </c>
      <c r="K2578" s="82" t="str">
        <f t="shared" si="45"/>
        <v/>
      </c>
    </row>
    <row r="2579" spans="2:11" x14ac:dyDescent="0.35">
      <c r="B2579" s="4" t="str">
        <f>+IF('Data Pura Costos'!B2579="","",'Data Pura Costos'!B2579)</f>
        <v/>
      </c>
      <c r="C2579" s="4" t="str">
        <f>+IF('Data Pura Costos'!C2579="","",'Data Pura Costos'!C2579)</f>
        <v/>
      </c>
      <c r="D2579" s="5" t="str">
        <f>+IF('Data Pura Costos'!D2579="","",'Data Pura Costos'!D2579)</f>
        <v/>
      </c>
      <c r="E2579" s="65" t="str">
        <f>+IF('Data Pura Costos'!E2579="","",IF('Data Pura Costos'!E2579=0,MAX('Data Pura Costos'!$E$7:$E$3000)*1000,'Data Pura Costos'!E2579))</f>
        <v/>
      </c>
      <c r="F2579" s="5" t="str">
        <f>+IF('Data Pura Costos'!F2579="","",'Data Pura Costos'!F2579)</f>
        <v/>
      </c>
      <c r="G2579" s="5" t="str">
        <f>+IF('Data Pura Costos'!G2579="","",'Data Pura Costos'!G2579)</f>
        <v/>
      </c>
      <c r="H2579" s="52" t="str">
        <f>+IF('Data Pura Costos'!H2579="","",'Data Pura Costos'!H2579)</f>
        <v/>
      </c>
      <c r="I2579" s="71" t="str">
        <f>+IF('Data Pura Costos'!I2579="","",'Data Pura Costos'!I2579)</f>
        <v/>
      </c>
      <c r="J2579" s="52" t="str">
        <f>+IF('Data Pura Costos'!J2579="","",'Data Pura Costos'!J2579)</f>
        <v/>
      </c>
      <c r="K2579" s="82" t="str">
        <f t="shared" si="45"/>
        <v/>
      </c>
    </row>
    <row r="2580" spans="2:11" x14ac:dyDescent="0.35">
      <c r="B2580" s="4" t="str">
        <f>+IF('Data Pura Costos'!B2580="","",'Data Pura Costos'!B2580)</f>
        <v/>
      </c>
      <c r="C2580" s="4" t="str">
        <f>+IF('Data Pura Costos'!C2580="","",'Data Pura Costos'!C2580)</f>
        <v/>
      </c>
      <c r="D2580" s="5" t="str">
        <f>+IF('Data Pura Costos'!D2580="","",'Data Pura Costos'!D2580)</f>
        <v/>
      </c>
      <c r="E2580" s="65" t="str">
        <f>+IF('Data Pura Costos'!E2580="","",IF('Data Pura Costos'!E2580=0,MAX('Data Pura Costos'!$E$7:$E$3000)*1000,'Data Pura Costos'!E2580))</f>
        <v/>
      </c>
      <c r="F2580" s="5" t="str">
        <f>+IF('Data Pura Costos'!F2580="","",'Data Pura Costos'!F2580)</f>
        <v/>
      </c>
      <c r="G2580" s="5" t="str">
        <f>+IF('Data Pura Costos'!G2580="","",'Data Pura Costos'!G2580)</f>
        <v/>
      </c>
      <c r="H2580" s="52" t="str">
        <f>+IF('Data Pura Costos'!H2580="","",'Data Pura Costos'!H2580)</f>
        <v/>
      </c>
      <c r="I2580" s="71" t="str">
        <f>+IF('Data Pura Costos'!I2580="","",'Data Pura Costos'!I2580)</f>
        <v/>
      </c>
      <c r="J2580" s="52" t="str">
        <f>+IF('Data Pura Costos'!J2580="","",'Data Pura Costos'!J2580)</f>
        <v/>
      </c>
      <c r="K2580" s="82" t="str">
        <f t="shared" si="45"/>
        <v/>
      </c>
    </row>
    <row r="2581" spans="2:11" x14ac:dyDescent="0.35">
      <c r="B2581" s="4" t="str">
        <f>+IF('Data Pura Costos'!B2581="","",'Data Pura Costos'!B2581)</f>
        <v/>
      </c>
      <c r="C2581" s="4" t="str">
        <f>+IF('Data Pura Costos'!C2581="","",'Data Pura Costos'!C2581)</f>
        <v/>
      </c>
      <c r="D2581" s="5" t="str">
        <f>+IF('Data Pura Costos'!D2581="","",'Data Pura Costos'!D2581)</f>
        <v/>
      </c>
      <c r="E2581" s="65" t="str">
        <f>+IF('Data Pura Costos'!E2581="","",IF('Data Pura Costos'!E2581=0,MAX('Data Pura Costos'!$E$7:$E$3000)*1000,'Data Pura Costos'!E2581))</f>
        <v/>
      </c>
      <c r="F2581" s="5" t="str">
        <f>+IF('Data Pura Costos'!F2581="","",'Data Pura Costos'!F2581)</f>
        <v/>
      </c>
      <c r="G2581" s="5" t="str">
        <f>+IF('Data Pura Costos'!G2581="","",'Data Pura Costos'!G2581)</f>
        <v/>
      </c>
      <c r="H2581" s="52" t="str">
        <f>+IF('Data Pura Costos'!H2581="","",'Data Pura Costos'!H2581)</f>
        <v/>
      </c>
      <c r="I2581" s="71" t="str">
        <f>+IF('Data Pura Costos'!I2581="","",'Data Pura Costos'!I2581)</f>
        <v/>
      </c>
      <c r="J2581" s="52" t="str">
        <f>+IF('Data Pura Costos'!J2581="","",'Data Pura Costos'!J2581)</f>
        <v/>
      </c>
      <c r="K2581" s="82" t="str">
        <f t="shared" si="45"/>
        <v/>
      </c>
    </row>
    <row r="2582" spans="2:11" x14ac:dyDescent="0.35">
      <c r="B2582" s="4" t="str">
        <f>+IF('Data Pura Costos'!B2582="","",'Data Pura Costos'!B2582)</f>
        <v/>
      </c>
      <c r="C2582" s="4" t="str">
        <f>+IF('Data Pura Costos'!C2582="","",'Data Pura Costos'!C2582)</f>
        <v/>
      </c>
      <c r="D2582" s="5" t="str">
        <f>+IF('Data Pura Costos'!D2582="","",'Data Pura Costos'!D2582)</f>
        <v/>
      </c>
      <c r="E2582" s="65" t="str">
        <f>+IF('Data Pura Costos'!E2582="","",IF('Data Pura Costos'!E2582=0,MAX('Data Pura Costos'!$E$7:$E$3000)*1000,'Data Pura Costos'!E2582))</f>
        <v/>
      </c>
      <c r="F2582" s="5" t="str">
        <f>+IF('Data Pura Costos'!F2582="","",'Data Pura Costos'!F2582)</f>
        <v/>
      </c>
      <c r="G2582" s="5" t="str">
        <f>+IF('Data Pura Costos'!G2582="","",'Data Pura Costos'!G2582)</f>
        <v/>
      </c>
      <c r="H2582" s="52" t="str">
        <f>+IF('Data Pura Costos'!H2582="","",'Data Pura Costos'!H2582)</f>
        <v/>
      </c>
      <c r="I2582" s="71" t="str">
        <f>+IF('Data Pura Costos'!I2582="","",'Data Pura Costos'!I2582)</f>
        <v/>
      </c>
      <c r="J2582" s="52" t="str">
        <f>+IF('Data Pura Costos'!J2582="","",'Data Pura Costos'!J2582)</f>
        <v/>
      </c>
      <c r="K2582" s="82" t="str">
        <f t="shared" si="45"/>
        <v/>
      </c>
    </row>
    <row r="2583" spans="2:11" x14ac:dyDescent="0.35">
      <c r="B2583" s="4" t="str">
        <f>+IF('Data Pura Costos'!B2583="","",'Data Pura Costos'!B2583)</f>
        <v/>
      </c>
      <c r="C2583" s="4" t="str">
        <f>+IF('Data Pura Costos'!C2583="","",'Data Pura Costos'!C2583)</f>
        <v/>
      </c>
      <c r="D2583" s="5" t="str">
        <f>+IF('Data Pura Costos'!D2583="","",'Data Pura Costos'!D2583)</f>
        <v/>
      </c>
      <c r="E2583" s="65" t="str">
        <f>+IF('Data Pura Costos'!E2583="","",IF('Data Pura Costos'!E2583=0,MAX('Data Pura Costos'!$E$7:$E$3000)*1000,'Data Pura Costos'!E2583))</f>
        <v/>
      </c>
      <c r="F2583" s="5" t="str">
        <f>+IF('Data Pura Costos'!F2583="","",'Data Pura Costos'!F2583)</f>
        <v/>
      </c>
      <c r="G2583" s="5" t="str">
        <f>+IF('Data Pura Costos'!G2583="","",'Data Pura Costos'!G2583)</f>
        <v/>
      </c>
      <c r="H2583" s="52" t="str">
        <f>+IF('Data Pura Costos'!H2583="","",'Data Pura Costos'!H2583)</f>
        <v/>
      </c>
      <c r="I2583" s="71" t="str">
        <f>+IF('Data Pura Costos'!I2583="","",'Data Pura Costos'!I2583)</f>
        <v/>
      </c>
      <c r="J2583" s="52" t="str">
        <f>+IF('Data Pura Costos'!J2583="","",'Data Pura Costos'!J2583)</f>
        <v/>
      </c>
      <c r="K2583" s="82" t="str">
        <f t="shared" si="45"/>
        <v/>
      </c>
    </row>
    <row r="2584" spans="2:11" x14ac:dyDescent="0.35">
      <c r="B2584" s="4" t="str">
        <f>+IF('Data Pura Costos'!B2584="","",'Data Pura Costos'!B2584)</f>
        <v/>
      </c>
      <c r="C2584" s="4" t="str">
        <f>+IF('Data Pura Costos'!C2584="","",'Data Pura Costos'!C2584)</f>
        <v/>
      </c>
      <c r="D2584" s="5" t="str">
        <f>+IF('Data Pura Costos'!D2584="","",'Data Pura Costos'!D2584)</f>
        <v/>
      </c>
      <c r="E2584" s="65" t="str">
        <f>+IF('Data Pura Costos'!E2584="","",IF('Data Pura Costos'!E2584=0,MAX('Data Pura Costos'!$E$7:$E$3000)*1000,'Data Pura Costos'!E2584))</f>
        <v/>
      </c>
      <c r="F2584" s="5" t="str">
        <f>+IF('Data Pura Costos'!F2584="","",'Data Pura Costos'!F2584)</f>
        <v/>
      </c>
      <c r="G2584" s="5" t="str">
        <f>+IF('Data Pura Costos'!G2584="","",'Data Pura Costos'!G2584)</f>
        <v/>
      </c>
      <c r="H2584" s="52" t="str">
        <f>+IF('Data Pura Costos'!H2584="","",'Data Pura Costos'!H2584)</f>
        <v/>
      </c>
      <c r="I2584" s="71" t="str">
        <f>+IF('Data Pura Costos'!I2584="","",'Data Pura Costos'!I2584)</f>
        <v/>
      </c>
      <c r="J2584" s="52" t="str">
        <f>+IF('Data Pura Costos'!J2584="","",'Data Pura Costos'!J2584)</f>
        <v/>
      </c>
      <c r="K2584" s="82" t="str">
        <f t="shared" si="45"/>
        <v/>
      </c>
    </row>
    <row r="2585" spans="2:11" x14ac:dyDescent="0.35">
      <c r="B2585" s="4" t="str">
        <f>+IF('Data Pura Costos'!B2585="","",'Data Pura Costos'!B2585)</f>
        <v/>
      </c>
      <c r="C2585" s="4" t="str">
        <f>+IF('Data Pura Costos'!C2585="","",'Data Pura Costos'!C2585)</f>
        <v/>
      </c>
      <c r="D2585" s="5" t="str">
        <f>+IF('Data Pura Costos'!D2585="","",'Data Pura Costos'!D2585)</f>
        <v/>
      </c>
      <c r="E2585" s="65" t="str">
        <f>+IF('Data Pura Costos'!E2585="","",IF('Data Pura Costos'!E2585=0,MAX('Data Pura Costos'!$E$7:$E$3000)*1000,'Data Pura Costos'!E2585))</f>
        <v/>
      </c>
      <c r="F2585" s="5" t="str">
        <f>+IF('Data Pura Costos'!F2585="","",'Data Pura Costos'!F2585)</f>
        <v/>
      </c>
      <c r="G2585" s="5" t="str">
        <f>+IF('Data Pura Costos'!G2585="","",'Data Pura Costos'!G2585)</f>
        <v/>
      </c>
      <c r="H2585" s="52" t="str">
        <f>+IF('Data Pura Costos'!H2585="","",'Data Pura Costos'!H2585)</f>
        <v/>
      </c>
      <c r="I2585" s="71" t="str">
        <f>+IF('Data Pura Costos'!I2585="","",'Data Pura Costos'!I2585)</f>
        <v/>
      </c>
      <c r="J2585" s="52" t="str">
        <f>+IF('Data Pura Costos'!J2585="","",'Data Pura Costos'!J2585)</f>
        <v/>
      </c>
      <c r="K2585" s="82" t="str">
        <f t="shared" si="45"/>
        <v/>
      </c>
    </row>
    <row r="2586" spans="2:11" x14ac:dyDescent="0.35">
      <c r="B2586" s="4" t="str">
        <f>+IF('Data Pura Costos'!B2586="","",'Data Pura Costos'!B2586)</f>
        <v/>
      </c>
      <c r="C2586" s="4" t="str">
        <f>+IF('Data Pura Costos'!C2586="","",'Data Pura Costos'!C2586)</f>
        <v/>
      </c>
      <c r="D2586" s="5" t="str">
        <f>+IF('Data Pura Costos'!D2586="","",'Data Pura Costos'!D2586)</f>
        <v/>
      </c>
      <c r="E2586" s="65" t="str">
        <f>+IF('Data Pura Costos'!E2586="","",IF('Data Pura Costos'!E2586=0,MAX('Data Pura Costos'!$E$7:$E$3000)*1000,'Data Pura Costos'!E2586))</f>
        <v/>
      </c>
      <c r="F2586" s="5" t="str">
        <f>+IF('Data Pura Costos'!F2586="","",'Data Pura Costos'!F2586)</f>
        <v/>
      </c>
      <c r="G2586" s="5" t="str">
        <f>+IF('Data Pura Costos'!G2586="","",'Data Pura Costos'!G2586)</f>
        <v/>
      </c>
      <c r="H2586" s="52" t="str">
        <f>+IF('Data Pura Costos'!H2586="","",'Data Pura Costos'!H2586)</f>
        <v/>
      </c>
      <c r="I2586" s="71" t="str">
        <f>+IF('Data Pura Costos'!I2586="","",'Data Pura Costos'!I2586)</f>
        <v/>
      </c>
      <c r="J2586" s="52" t="str">
        <f>+IF('Data Pura Costos'!J2586="","",'Data Pura Costos'!J2586)</f>
        <v/>
      </c>
      <c r="K2586" s="82" t="str">
        <f t="shared" si="45"/>
        <v/>
      </c>
    </row>
    <row r="2587" spans="2:11" x14ac:dyDescent="0.35">
      <c r="B2587" s="4" t="str">
        <f>+IF('Data Pura Costos'!B2587="","",'Data Pura Costos'!B2587)</f>
        <v/>
      </c>
      <c r="C2587" s="4" t="str">
        <f>+IF('Data Pura Costos'!C2587="","",'Data Pura Costos'!C2587)</f>
        <v/>
      </c>
      <c r="D2587" s="5" t="str">
        <f>+IF('Data Pura Costos'!D2587="","",'Data Pura Costos'!D2587)</f>
        <v/>
      </c>
      <c r="E2587" s="65" t="str">
        <f>+IF('Data Pura Costos'!E2587="","",IF('Data Pura Costos'!E2587=0,MAX('Data Pura Costos'!$E$7:$E$3000)*1000,'Data Pura Costos'!E2587))</f>
        <v/>
      </c>
      <c r="F2587" s="5" t="str">
        <f>+IF('Data Pura Costos'!F2587="","",'Data Pura Costos'!F2587)</f>
        <v/>
      </c>
      <c r="G2587" s="5" t="str">
        <f>+IF('Data Pura Costos'!G2587="","",'Data Pura Costos'!G2587)</f>
        <v/>
      </c>
      <c r="H2587" s="52" t="str">
        <f>+IF('Data Pura Costos'!H2587="","",'Data Pura Costos'!H2587)</f>
        <v/>
      </c>
      <c r="I2587" s="71" t="str">
        <f>+IF('Data Pura Costos'!I2587="","",'Data Pura Costos'!I2587)</f>
        <v/>
      </c>
      <c r="J2587" s="52" t="str">
        <f>+IF('Data Pura Costos'!J2587="","",'Data Pura Costos'!J2587)</f>
        <v/>
      </c>
      <c r="K2587" s="82" t="str">
        <f t="shared" si="45"/>
        <v/>
      </c>
    </row>
    <row r="2588" spans="2:11" x14ac:dyDescent="0.35">
      <c r="B2588" s="4" t="str">
        <f>+IF('Data Pura Costos'!B2588="","",'Data Pura Costos'!B2588)</f>
        <v/>
      </c>
      <c r="C2588" s="4" t="str">
        <f>+IF('Data Pura Costos'!C2588="","",'Data Pura Costos'!C2588)</f>
        <v/>
      </c>
      <c r="D2588" s="5" t="str">
        <f>+IF('Data Pura Costos'!D2588="","",'Data Pura Costos'!D2588)</f>
        <v/>
      </c>
      <c r="E2588" s="65" t="str">
        <f>+IF('Data Pura Costos'!E2588="","",IF('Data Pura Costos'!E2588=0,MAX('Data Pura Costos'!$E$7:$E$3000)*1000,'Data Pura Costos'!E2588))</f>
        <v/>
      </c>
      <c r="F2588" s="5" t="str">
        <f>+IF('Data Pura Costos'!F2588="","",'Data Pura Costos'!F2588)</f>
        <v/>
      </c>
      <c r="G2588" s="5" t="str">
        <f>+IF('Data Pura Costos'!G2588="","",'Data Pura Costos'!G2588)</f>
        <v/>
      </c>
      <c r="H2588" s="52" t="str">
        <f>+IF('Data Pura Costos'!H2588="","",'Data Pura Costos'!H2588)</f>
        <v/>
      </c>
      <c r="I2588" s="71" t="str">
        <f>+IF('Data Pura Costos'!I2588="","",'Data Pura Costos'!I2588)</f>
        <v/>
      </c>
      <c r="J2588" s="52" t="str">
        <f>+IF('Data Pura Costos'!J2588="","",'Data Pura Costos'!J2588)</f>
        <v/>
      </c>
      <c r="K2588" s="82" t="str">
        <f t="shared" si="45"/>
        <v/>
      </c>
    </row>
    <row r="2589" spans="2:11" x14ac:dyDescent="0.35">
      <c r="B2589" s="4" t="str">
        <f>+IF('Data Pura Costos'!B2589="","",'Data Pura Costos'!B2589)</f>
        <v/>
      </c>
      <c r="C2589" s="4" t="str">
        <f>+IF('Data Pura Costos'!C2589="","",'Data Pura Costos'!C2589)</f>
        <v/>
      </c>
      <c r="D2589" s="5" t="str">
        <f>+IF('Data Pura Costos'!D2589="","",'Data Pura Costos'!D2589)</f>
        <v/>
      </c>
      <c r="E2589" s="65" t="str">
        <f>+IF('Data Pura Costos'!E2589="","",IF('Data Pura Costos'!E2589=0,MAX('Data Pura Costos'!$E$7:$E$3000)*1000,'Data Pura Costos'!E2589))</f>
        <v/>
      </c>
      <c r="F2589" s="5" t="str">
        <f>+IF('Data Pura Costos'!F2589="","",'Data Pura Costos'!F2589)</f>
        <v/>
      </c>
      <c r="G2589" s="5" t="str">
        <f>+IF('Data Pura Costos'!G2589="","",'Data Pura Costos'!G2589)</f>
        <v/>
      </c>
      <c r="H2589" s="52" t="str">
        <f>+IF('Data Pura Costos'!H2589="","",'Data Pura Costos'!H2589)</f>
        <v/>
      </c>
      <c r="I2589" s="71" t="str">
        <f>+IF('Data Pura Costos'!I2589="","",'Data Pura Costos'!I2589)</f>
        <v/>
      </c>
      <c r="J2589" s="52" t="str">
        <f>+IF('Data Pura Costos'!J2589="","",'Data Pura Costos'!J2589)</f>
        <v/>
      </c>
      <c r="K2589" s="82" t="str">
        <f t="shared" si="45"/>
        <v/>
      </c>
    </row>
    <row r="2590" spans="2:11" x14ac:dyDescent="0.35">
      <c r="B2590" s="4" t="str">
        <f>+IF('Data Pura Costos'!B2590="","",'Data Pura Costos'!B2590)</f>
        <v/>
      </c>
      <c r="C2590" s="4" t="str">
        <f>+IF('Data Pura Costos'!C2590="","",'Data Pura Costos'!C2590)</f>
        <v/>
      </c>
      <c r="D2590" s="5" t="str">
        <f>+IF('Data Pura Costos'!D2590="","",'Data Pura Costos'!D2590)</f>
        <v/>
      </c>
      <c r="E2590" s="65" t="str">
        <f>+IF('Data Pura Costos'!E2590="","",IF('Data Pura Costos'!E2590=0,MAX('Data Pura Costos'!$E$7:$E$3000)*1000,'Data Pura Costos'!E2590))</f>
        <v/>
      </c>
      <c r="F2590" s="5" t="str">
        <f>+IF('Data Pura Costos'!F2590="","",'Data Pura Costos'!F2590)</f>
        <v/>
      </c>
      <c r="G2590" s="5" t="str">
        <f>+IF('Data Pura Costos'!G2590="","",'Data Pura Costos'!G2590)</f>
        <v/>
      </c>
      <c r="H2590" s="52" t="str">
        <f>+IF('Data Pura Costos'!H2590="","",'Data Pura Costos'!H2590)</f>
        <v/>
      </c>
      <c r="I2590" s="71" t="str">
        <f>+IF('Data Pura Costos'!I2590="","",'Data Pura Costos'!I2590)</f>
        <v/>
      </c>
      <c r="J2590" s="52" t="str">
        <f>+IF('Data Pura Costos'!J2590="","",'Data Pura Costos'!J2590)</f>
        <v/>
      </c>
      <c r="K2590" s="82" t="str">
        <f t="shared" si="45"/>
        <v/>
      </c>
    </row>
    <row r="2591" spans="2:11" x14ac:dyDescent="0.35">
      <c r="B2591" s="4" t="str">
        <f>+IF('Data Pura Costos'!B2591="","",'Data Pura Costos'!B2591)</f>
        <v/>
      </c>
      <c r="C2591" s="4" t="str">
        <f>+IF('Data Pura Costos'!C2591="","",'Data Pura Costos'!C2591)</f>
        <v/>
      </c>
      <c r="D2591" s="5" t="str">
        <f>+IF('Data Pura Costos'!D2591="","",'Data Pura Costos'!D2591)</f>
        <v/>
      </c>
      <c r="E2591" s="65" t="str">
        <f>+IF('Data Pura Costos'!E2591="","",IF('Data Pura Costos'!E2591=0,MAX('Data Pura Costos'!$E$7:$E$3000)*1000,'Data Pura Costos'!E2591))</f>
        <v/>
      </c>
      <c r="F2591" s="5" t="str">
        <f>+IF('Data Pura Costos'!F2591="","",'Data Pura Costos'!F2591)</f>
        <v/>
      </c>
      <c r="G2591" s="5" t="str">
        <f>+IF('Data Pura Costos'!G2591="","",'Data Pura Costos'!G2591)</f>
        <v/>
      </c>
      <c r="H2591" s="52" t="str">
        <f>+IF('Data Pura Costos'!H2591="","",'Data Pura Costos'!H2591)</f>
        <v/>
      </c>
      <c r="I2591" s="71" t="str">
        <f>+IF('Data Pura Costos'!I2591="","",'Data Pura Costos'!I2591)</f>
        <v/>
      </c>
      <c r="J2591" s="52" t="str">
        <f>+IF('Data Pura Costos'!J2591="","",'Data Pura Costos'!J2591)</f>
        <v/>
      </c>
      <c r="K2591" s="82" t="str">
        <f t="shared" si="45"/>
        <v/>
      </c>
    </row>
    <row r="2592" spans="2:11" x14ac:dyDescent="0.35">
      <c r="B2592" s="4" t="str">
        <f>+IF('Data Pura Costos'!B2592="","",'Data Pura Costos'!B2592)</f>
        <v/>
      </c>
      <c r="C2592" s="4" t="str">
        <f>+IF('Data Pura Costos'!C2592="","",'Data Pura Costos'!C2592)</f>
        <v/>
      </c>
      <c r="D2592" s="5" t="str">
        <f>+IF('Data Pura Costos'!D2592="","",'Data Pura Costos'!D2592)</f>
        <v/>
      </c>
      <c r="E2592" s="65" t="str">
        <f>+IF('Data Pura Costos'!E2592="","",IF('Data Pura Costos'!E2592=0,MAX('Data Pura Costos'!$E$7:$E$3000)*1000,'Data Pura Costos'!E2592))</f>
        <v/>
      </c>
      <c r="F2592" s="5" t="str">
        <f>+IF('Data Pura Costos'!F2592="","",'Data Pura Costos'!F2592)</f>
        <v/>
      </c>
      <c r="G2592" s="5" t="str">
        <f>+IF('Data Pura Costos'!G2592="","",'Data Pura Costos'!G2592)</f>
        <v/>
      </c>
      <c r="H2592" s="52" t="str">
        <f>+IF('Data Pura Costos'!H2592="","",'Data Pura Costos'!H2592)</f>
        <v/>
      </c>
      <c r="I2592" s="71" t="str">
        <f>+IF('Data Pura Costos'!I2592="","",'Data Pura Costos'!I2592)</f>
        <v/>
      </c>
      <c r="J2592" s="52" t="str">
        <f>+IF('Data Pura Costos'!J2592="","",'Data Pura Costos'!J2592)</f>
        <v/>
      </c>
      <c r="K2592" s="82" t="str">
        <f t="shared" si="45"/>
        <v/>
      </c>
    </row>
    <row r="2593" spans="2:11" x14ac:dyDescent="0.35">
      <c r="B2593" s="4" t="str">
        <f>+IF('Data Pura Costos'!B2593="","",'Data Pura Costos'!B2593)</f>
        <v/>
      </c>
      <c r="C2593" s="4" t="str">
        <f>+IF('Data Pura Costos'!C2593="","",'Data Pura Costos'!C2593)</f>
        <v/>
      </c>
      <c r="D2593" s="5" t="str">
        <f>+IF('Data Pura Costos'!D2593="","",'Data Pura Costos'!D2593)</f>
        <v/>
      </c>
      <c r="E2593" s="65" t="str">
        <f>+IF('Data Pura Costos'!E2593="","",IF('Data Pura Costos'!E2593=0,MAX('Data Pura Costos'!$E$7:$E$3000)*1000,'Data Pura Costos'!E2593))</f>
        <v/>
      </c>
      <c r="F2593" s="5" t="str">
        <f>+IF('Data Pura Costos'!F2593="","",'Data Pura Costos'!F2593)</f>
        <v/>
      </c>
      <c r="G2593" s="5" t="str">
        <f>+IF('Data Pura Costos'!G2593="","",'Data Pura Costos'!G2593)</f>
        <v/>
      </c>
      <c r="H2593" s="52" t="str">
        <f>+IF('Data Pura Costos'!H2593="","",'Data Pura Costos'!H2593)</f>
        <v/>
      </c>
      <c r="I2593" s="71" t="str">
        <f>+IF('Data Pura Costos'!I2593="","",'Data Pura Costos'!I2593)</f>
        <v/>
      </c>
      <c r="J2593" s="52" t="str">
        <f>+IF('Data Pura Costos'!J2593="","",'Data Pura Costos'!J2593)</f>
        <v/>
      </c>
      <c r="K2593" s="82" t="str">
        <f t="shared" si="45"/>
        <v/>
      </c>
    </row>
    <row r="2594" spans="2:11" x14ac:dyDescent="0.35">
      <c r="B2594" s="4" t="str">
        <f>+IF('Data Pura Costos'!B2594="","",'Data Pura Costos'!B2594)</f>
        <v/>
      </c>
      <c r="C2594" s="4" t="str">
        <f>+IF('Data Pura Costos'!C2594="","",'Data Pura Costos'!C2594)</f>
        <v/>
      </c>
      <c r="D2594" s="5" t="str">
        <f>+IF('Data Pura Costos'!D2594="","",'Data Pura Costos'!D2594)</f>
        <v/>
      </c>
      <c r="E2594" s="65" t="str">
        <f>+IF('Data Pura Costos'!E2594="","",IF('Data Pura Costos'!E2594=0,MAX('Data Pura Costos'!$E$7:$E$3000)*1000,'Data Pura Costos'!E2594))</f>
        <v/>
      </c>
      <c r="F2594" s="5" t="str">
        <f>+IF('Data Pura Costos'!F2594="","",'Data Pura Costos'!F2594)</f>
        <v/>
      </c>
      <c r="G2594" s="5" t="str">
        <f>+IF('Data Pura Costos'!G2594="","",'Data Pura Costos'!G2594)</f>
        <v/>
      </c>
      <c r="H2594" s="52" t="str">
        <f>+IF('Data Pura Costos'!H2594="","",'Data Pura Costos'!H2594)</f>
        <v/>
      </c>
      <c r="I2594" s="71" t="str">
        <f>+IF('Data Pura Costos'!I2594="","",'Data Pura Costos'!I2594)</f>
        <v/>
      </c>
      <c r="J2594" s="52" t="str">
        <f>+IF('Data Pura Costos'!J2594="","",'Data Pura Costos'!J2594)</f>
        <v/>
      </c>
      <c r="K2594" s="82" t="str">
        <f t="shared" si="45"/>
        <v/>
      </c>
    </row>
    <row r="2595" spans="2:11" x14ac:dyDescent="0.35">
      <c r="B2595" s="4" t="str">
        <f>+IF('Data Pura Costos'!B2595="","",'Data Pura Costos'!B2595)</f>
        <v/>
      </c>
      <c r="C2595" s="4" t="str">
        <f>+IF('Data Pura Costos'!C2595="","",'Data Pura Costos'!C2595)</f>
        <v/>
      </c>
      <c r="D2595" s="5" t="str">
        <f>+IF('Data Pura Costos'!D2595="","",'Data Pura Costos'!D2595)</f>
        <v/>
      </c>
      <c r="E2595" s="65" t="str">
        <f>+IF('Data Pura Costos'!E2595="","",IF('Data Pura Costos'!E2595=0,MAX('Data Pura Costos'!$E$7:$E$3000)*1000,'Data Pura Costos'!E2595))</f>
        <v/>
      </c>
      <c r="F2595" s="5" t="str">
        <f>+IF('Data Pura Costos'!F2595="","",'Data Pura Costos'!F2595)</f>
        <v/>
      </c>
      <c r="G2595" s="5" t="str">
        <f>+IF('Data Pura Costos'!G2595="","",'Data Pura Costos'!G2595)</f>
        <v/>
      </c>
      <c r="H2595" s="52" t="str">
        <f>+IF('Data Pura Costos'!H2595="","",'Data Pura Costos'!H2595)</f>
        <v/>
      </c>
      <c r="I2595" s="71" t="str">
        <f>+IF('Data Pura Costos'!I2595="","",'Data Pura Costos'!I2595)</f>
        <v/>
      </c>
      <c r="J2595" s="52" t="str">
        <f>+IF('Data Pura Costos'!J2595="","",'Data Pura Costos'!J2595)</f>
        <v/>
      </c>
      <c r="K2595" s="82" t="str">
        <f t="shared" si="45"/>
        <v/>
      </c>
    </row>
    <row r="2596" spans="2:11" x14ac:dyDescent="0.35">
      <c r="B2596" s="4" t="str">
        <f>+IF('Data Pura Costos'!B2596="","",'Data Pura Costos'!B2596)</f>
        <v/>
      </c>
      <c r="C2596" s="4" t="str">
        <f>+IF('Data Pura Costos'!C2596="","",'Data Pura Costos'!C2596)</f>
        <v/>
      </c>
      <c r="D2596" s="5" t="str">
        <f>+IF('Data Pura Costos'!D2596="","",'Data Pura Costos'!D2596)</f>
        <v/>
      </c>
      <c r="E2596" s="65" t="str">
        <f>+IF('Data Pura Costos'!E2596="","",IF('Data Pura Costos'!E2596=0,MAX('Data Pura Costos'!$E$7:$E$3000)*1000,'Data Pura Costos'!E2596))</f>
        <v/>
      </c>
      <c r="F2596" s="5" t="str">
        <f>+IF('Data Pura Costos'!F2596="","",'Data Pura Costos'!F2596)</f>
        <v/>
      </c>
      <c r="G2596" s="5" t="str">
        <f>+IF('Data Pura Costos'!G2596="","",'Data Pura Costos'!G2596)</f>
        <v/>
      </c>
      <c r="H2596" s="52" t="str">
        <f>+IF('Data Pura Costos'!H2596="","",'Data Pura Costos'!H2596)</f>
        <v/>
      </c>
      <c r="I2596" s="71" t="str">
        <f>+IF('Data Pura Costos'!I2596="","",'Data Pura Costos'!I2596)</f>
        <v/>
      </c>
      <c r="J2596" s="52" t="str">
        <f>+IF('Data Pura Costos'!J2596="","",'Data Pura Costos'!J2596)</f>
        <v/>
      </c>
      <c r="K2596" s="82" t="str">
        <f t="shared" si="45"/>
        <v/>
      </c>
    </row>
    <row r="2597" spans="2:11" x14ac:dyDescent="0.35">
      <c r="B2597" s="4" t="str">
        <f>+IF('Data Pura Costos'!B2597="","",'Data Pura Costos'!B2597)</f>
        <v/>
      </c>
      <c r="C2597" s="4" t="str">
        <f>+IF('Data Pura Costos'!C2597="","",'Data Pura Costos'!C2597)</f>
        <v/>
      </c>
      <c r="D2597" s="5" t="str">
        <f>+IF('Data Pura Costos'!D2597="","",'Data Pura Costos'!D2597)</f>
        <v/>
      </c>
      <c r="E2597" s="65" t="str">
        <f>+IF('Data Pura Costos'!E2597="","",IF('Data Pura Costos'!E2597=0,MAX('Data Pura Costos'!$E$7:$E$3000)*1000,'Data Pura Costos'!E2597))</f>
        <v/>
      </c>
      <c r="F2597" s="5" t="str">
        <f>+IF('Data Pura Costos'!F2597="","",'Data Pura Costos'!F2597)</f>
        <v/>
      </c>
      <c r="G2597" s="5" t="str">
        <f>+IF('Data Pura Costos'!G2597="","",'Data Pura Costos'!G2597)</f>
        <v/>
      </c>
      <c r="H2597" s="52" t="str">
        <f>+IF('Data Pura Costos'!H2597="","",'Data Pura Costos'!H2597)</f>
        <v/>
      </c>
      <c r="I2597" s="71" t="str">
        <f>+IF('Data Pura Costos'!I2597="","",'Data Pura Costos'!I2597)</f>
        <v/>
      </c>
      <c r="J2597" s="52" t="str">
        <f>+IF('Data Pura Costos'!J2597="","",'Data Pura Costos'!J2597)</f>
        <v/>
      </c>
      <c r="K2597" s="82" t="str">
        <f t="shared" si="45"/>
        <v/>
      </c>
    </row>
    <row r="2598" spans="2:11" x14ac:dyDescent="0.35">
      <c r="B2598" s="4" t="str">
        <f>+IF('Data Pura Costos'!B2598="","",'Data Pura Costos'!B2598)</f>
        <v/>
      </c>
      <c r="C2598" s="4" t="str">
        <f>+IF('Data Pura Costos'!C2598="","",'Data Pura Costos'!C2598)</f>
        <v/>
      </c>
      <c r="D2598" s="5" t="str">
        <f>+IF('Data Pura Costos'!D2598="","",'Data Pura Costos'!D2598)</f>
        <v/>
      </c>
      <c r="E2598" s="65" t="str">
        <f>+IF('Data Pura Costos'!E2598="","",IF('Data Pura Costos'!E2598=0,MAX('Data Pura Costos'!$E$7:$E$3000)*1000,'Data Pura Costos'!E2598))</f>
        <v/>
      </c>
      <c r="F2598" s="5" t="str">
        <f>+IF('Data Pura Costos'!F2598="","",'Data Pura Costos'!F2598)</f>
        <v/>
      </c>
      <c r="G2598" s="5" t="str">
        <f>+IF('Data Pura Costos'!G2598="","",'Data Pura Costos'!G2598)</f>
        <v/>
      </c>
      <c r="H2598" s="52" t="str">
        <f>+IF('Data Pura Costos'!H2598="","",'Data Pura Costos'!H2598)</f>
        <v/>
      </c>
      <c r="I2598" s="71" t="str">
        <f>+IF('Data Pura Costos'!I2598="","",'Data Pura Costos'!I2598)</f>
        <v/>
      </c>
      <c r="J2598" s="52" t="str">
        <f>+IF('Data Pura Costos'!J2598="","",'Data Pura Costos'!J2598)</f>
        <v/>
      </c>
      <c r="K2598" s="82" t="str">
        <f t="shared" si="45"/>
        <v/>
      </c>
    </row>
    <row r="2599" spans="2:11" x14ac:dyDescent="0.35">
      <c r="B2599" s="4" t="str">
        <f>+IF('Data Pura Costos'!B2599="","",'Data Pura Costos'!B2599)</f>
        <v/>
      </c>
      <c r="C2599" s="4" t="str">
        <f>+IF('Data Pura Costos'!C2599="","",'Data Pura Costos'!C2599)</f>
        <v/>
      </c>
      <c r="D2599" s="5" t="str">
        <f>+IF('Data Pura Costos'!D2599="","",'Data Pura Costos'!D2599)</f>
        <v/>
      </c>
      <c r="E2599" s="65" t="str">
        <f>+IF('Data Pura Costos'!E2599="","",IF('Data Pura Costos'!E2599=0,MAX('Data Pura Costos'!$E$7:$E$3000)*1000,'Data Pura Costos'!E2599))</f>
        <v/>
      </c>
      <c r="F2599" s="5" t="str">
        <f>+IF('Data Pura Costos'!F2599="","",'Data Pura Costos'!F2599)</f>
        <v/>
      </c>
      <c r="G2599" s="5" t="str">
        <f>+IF('Data Pura Costos'!G2599="","",'Data Pura Costos'!G2599)</f>
        <v/>
      </c>
      <c r="H2599" s="52" t="str">
        <f>+IF('Data Pura Costos'!H2599="","",'Data Pura Costos'!H2599)</f>
        <v/>
      </c>
      <c r="I2599" s="71" t="str">
        <f>+IF('Data Pura Costos'!I2599="","",'Data Pura Costos'!I2599)</f>
        <v/>
      </c>
      <c r="J2599" s="52" t="str">
        <f>+IF('Data Pura Costos'!J2599="","",'Data Pura Costos'!J2599)</f>
        <v/>
      </c>
      <c r="K2599" s="82" t="str">
        <f t="shared" si="45"/>
        <v/>
      </c>
    </row>
    <row r="2600" spans="2:11" x14ac:dyDescent="0.35">
      <c r="B2600" s="4" t="str">
        <f>+IF('Data Pura Costos'!B2600="","",'Data Pura Costos'!B2600)</f>
        <v/>
      </c>
      <c r="C2600" s="4" t="str">
        <f>+IF('Data Pura Costos'!C2600="","",'Data Pura Costos'!C2600)</f>
        <v/>
      </c>
      <c r="D2600" s="5" t="str">
        <f>+IF('Data Pura Costos'!D2600="","",'Data Pura Costos'!D2600)</f>
        <v/>
      </c>
      <c r="E2600" s="65" t="str">
        <f>+IF('Data Pura Costos'!E2600="","",IF('Data Pura Costos'!E2600=0,MAX('Data Pura Costos'!$E$7:$E$3000)*1000,'Data Pura Costos'!E2600))</f>
        <v/>
      </c>
      <c r="F2600" s="5" t="str">
        <f>+IF('Data Pura Costos'!F2600="","",'Data Pura Costos'!F2600)</f>
        <v/>
      </c>
      <c r="G2600" s="5" t="str">
        <f>+IF('Data Pura Costos'!G2600="","",'Data Pura Costos'!G2600)</f>
        <v/>
      </c>
      <c r="H2600" s="52" t="str">
        <f>+IF('Data Pura Costos'!H2600="","",'Data Pura Costos'!H2600)</f>
        <v/>
      </c>
      <c r="I2600" s="71" t="str">
        <f>+IF('Data Pura Costos'!I2600="","",'Data Pura Costos'!I2600)</f>
        <v/>
      </c>
      <c r="J2600" s="52" t="str">
        <f>+IF('Data Pura Costos'!J2600="","",'Data Pura Costos'!J2600)</f>
        <v/>
      </c>
      <c r="K2600" s="82" t="str">
        <f t="shared" si="45"/>
        <v/>
      </c>
    </row>
    <row r="2601" spans="2:11" x14ac:dyDescent="0.35">
      <c r="B2601" s="4" t="str">
        <f>+IF('Data Pura Costos'!B2601="","",'Data Pura Costos'!B2601)</f>
        <v/>
      </c>
      <c r="C2601" s="4" t="str">
        <f>+IF('Data Pura Costos'!C2601="","",'Data Pura Costos'!C2601)</f>
        <v/>
      </c>
      <c r="D2601" s="5" t="str">
        <f>+IF('Data Pura Costos'!D2601="","",'Data Pura Costos'!D2601)</f>
        <v/>
      </c>
      <c r="E2601" s="65" t="str">
        <f>+IF('Data Pura Costos'!E2601="","",IF('Data Pura Costos'!E2601=0,MAX('Data Pura Costos'!$E$7:$E$3000)*1000,'Data Pura Costos'!E2601))</f>
        <v/>
      </c>
      <c r="F2601" s="5" t="str">
        <f>+IF('Data Pura Costos'!F2601="","",'Data Pura Costos'!F2601)</f>
        <v/>
      </c>
      <c r="G2601" s="5" t="str">
        <f>+IF('Data Pura Costos'!G2601="","",'Data Pura Costos'!G2601)</f>
        <v/>
      </c>
      <c r="H2601" s="52" t="str">
        <f>+IF('Data Pura Costos'!H2601="","",'Data Pura Costos'!H2601)</f>
        <v/>
      </c>
      <c r="I2601" s="71" t="str">
        <f>+IF('Data Pura Costos'!I2601="","",'Data Pura Costos'!I2601)</f>
        <v/>
      </c>
      <c r="J2601" s="52" t="str">
        <f>+IF('Data Pura Costos'!J2601="","",'Data Pura Costos'!J2601)</f>
        <v/>
      </c>
      <c r="K2601" s="82" t="str">
        <f t="shared" si="45"/>
        <v/>
      </c>
    </row>
    <row r="2602" spans="2:11" x14ac:dyDescent="0.35">
      <c r="B2602" s="4" t="str">
        <f>+IF('Data Pura Costos'!B2602="","",'Data Pura Costos'!B2602)</f>
        <v/>
      </c>
      <c r="C2602" s="4" t="str">
        <f>+IF('Data Pura Costos'!C2602="","",'Data Pura Costos'!C2602)</f>
        <v/>
      </c>
      <c r="D2602" s="5" t="str">
        <f>+IF('Data Pura Costos'!D2602="","",'Data Pura Costos'!D2602)</f>
        <v/>
      </c>
      <c r="E2602" s="65" t="str">
        <f>+IF('Data Pura Costos'!E2602="","",IF('Data Pura Costos'!E2602=0,MAX('Data Pura Costos'!$E$7:$E$3000)*1000,'Data Pura Costos'!E2602))</f>
        <v/>
      </c>
      <c r="F2602" s="5" t="str">
        <f>+IF('Data Pura Costos'!F2602="","",'Data Pura Costos'!F2602)</f>
        <v/>
      </c>
      <c r="G2602" s="5" t="str">
        <f>+IF('Data Pura Costos'!G2602="","",'Data Pura Costos'!G2602)</f>
        <v/>
      </c>
      <c r="H2602" s="52" t="str">
        <f>+IF('Data Pura Costos'!H2602="","",'Data Pura Costos'!H2602)</f>
        <v/>
      </c>
      <c r="I2602" s="71" t="str">
        <f>+IF('Data Pura Costos'!I2602="","",'Data Pura Costos'!I2602)</f>
        <v/>
      </c>
      <c r="J2602" s="52" t="str">
        <f>+IF('Data Pura Costos'!J2602="","",'Data Pura Costos'!J2602)</f>
        <v/>
      </c>
      <c r="K2602" s="82" t="str">
        <f t="shared" si="45"/>
        <v/>
      </c>
    </row>
    <row r="2603" spans="2:11" x14ac:dyDescent="0.35">
      <c r="B2603" s="4" t="str">
        <f>+IF('Data Pura Costos'!B2603="","",'Data Pura Costos'!B2603)</f>
        <v/>
      </c>
      <c r="C2603" s="4" t="str">
        <f>+IF('Data Pura Costos'!C2603="","",'Data Pura Costos'!C2603)</f>
        <v/>
      </c>
      <c r="D2603" s="5" t="str">
        <f>+IF('Data Pura Costos'!D2603="","",'Data Pura Costos'!D2603)</f>
        <v/>
      </c>
      <c r="E2603" s="65" t="str">
        <f>+IF('Data Pura Costos'!E2603="","",IF('Data Pura Costos'!E2603=0,MAX('Data Pura Costos'!$E$7:$E$3000)*1000,'Data Pura Costos'!E2603))</f>
        <v/>
      </c>
      <c r="F2603" s="5" t="str">
        <f>+IF('Data Pura Costos'!F2603="","",'Data Pura Costos'!F2603)</f>
        <v/>
      </c>
      <c r="G2603" s="5" t="str">
        <f>+IF('Data Pura Costos'!G2603="","",'Data Pura Costos'!G2603)</f>
        <v/>
      </c>
      <c r="H2603" s="52" t="str">
        <f>+IF('Data Pura Costos'!H2603="","",'Data Pura Costos'!H2603)</f>
        <v/>
      </c>
      <c r="I2603" s="71" t="str">
        <f>+IF('Data Pura Costos'!I2603="","",'Data Pura Costos'!I2603)</f>
        <v/>
      </c>
      <c r="J2603" s="52" t="str">
        <f>+IF('Data Pura Costos'!J2603="","",'Data Pura Costos'!J2603)</f>
        <v/>
      </c>
      <c r="K2603" s="82" t="str">
        <f t="shared" si="45"/>
        <v/>
      </c>
    </row>
    <row r="2604" spans="2:11" x14ac:dyDescent="0.35">
      <c r="B2604" s="4" t="str">
        <f>+IF('Data Pura Costos'!B2604="","",'Data Pura Costos'!B2604)</f>
        <v/>
      </c>
      <c r="C2604" s="4" t="str">
        <f>+IF('Data Pura Costos'!C2604="","",'Data Pura Costos'!C2604)</f>
        <v/>
      </c>
      <c r="D2604" s="5" t="str">
        <f>+IF('Data Pura Costos'!D2604="","",'Data Pura Costos'!D2604)</f>
        <v/>
      </c>
      <c r="E2604" s="65" t="str">
        <f>+IF('Data Pura Costos'!E2604="","",IF('Data Pura Costos'!E2604=0,MAX('Data Pura Costos'!$E$7:$E$3000)*1000,'Data Pura Costos'!E2604))</f>
        <v/>
      </c>
      <c r="F2604" s="5" t="str">
        <f>+IF('Data Pura Costos'!F2604="","",'Data Pura Costos'!F2604)</f>
        <v/>
      </c>
      <c r="G2604" s="5" t="str">
        <f>+IF('Data Pura Costos'!G2604="","",'Data Pura Costos'!G2604)</f>
        <v/>
      </c>
      <c r="H2604" s="52" t="str">
        <f>+IF('Data Pura Costos'!H2604="","",'Data Pura Costos'!H2604)</f>
        <v/>
      </c>
      <c r="I2604" s="71" t="str">
        <f>+IF('Data Pura Costos'!I2604="","",'Data Pura Costos'!I2604)</f>
        <v/>
      </c>
      <c r="J2604" s="52" t="str">
        <f>+IF('Data Pura Costos'!J2604="","",'Data Pura Costos'!J2604)</f>
        <v/>
      </c>
      <c r="K2604" s="82" t="str">
        <f t="shared" si="45"/>
        <v/>
      </c>
    </row>
    <row r="2605" spans="2:11" x14ac:dyDescent="0.35">
      <c r="B2605" s="4" t="str">
        <f>+IF('Data Pura Costos'!B2605="","",'Data Pura Costos'!B2605)</f>
        <v/>
      </c>
      <c r="C2605" s="4" t="str">
        <f>+IF('Data Pura Costos'!C2605="","",'Data Pura Costos'!C2605)</f>
        <v/>
      </c>
      <c r="D2605" s="5" t="str">
        <f>+IF('Data Pura Costos'!D2605="","",'Data Pura Costos'!D2605)</f>
        <v/>
      </c>
      <c r="E2605" s="65" t="str">
        <f>+IF('Data Pura Costos'!E2605="","",IF('Data Pura Costos'!E2605=0,MAX('Data Pura Costos'!$E$7:$E$3000)*1000,'Data Pura Costos'!E2605))</f>
        <v/>
      </c>
      <c r="F2605" s="5" t="str">
        <f>+IF('Data Pura Costos'!F2605="","",'Data Pura Costos'!F2605)</f>
        <v/>
      </c>
      <c r="G2605" s="5" t="str">
        <f>+IF('Data Pura Costos'!G2605="","",'Data Pura Costos'!G2605)</f>
        <v/>
      </c>
      <c r="H2605" s="52" t="str">
        <f>+IF('Data Pura Costos'!H2605="","",'Data Pura Costos'!H2605)</f>
        <v/>
      </c>
      <c r="I2605" s="71" t="str">
        <f>+IF('Data Pura Costos'!I2605="","",'Data Pura Costos'!I2605)</f>
        <v/>
      </c>
      <c r="J2605" s="52" t="str">
        <f>+IF('Data Pura Costos'!J2605="","",'Data Pura Costos'!J2605)</f>
        <v/>
      </c>
      <c r="K2605" s="82" t="str">
        <f t="shared" si="45"/>
        <v/>
      </c>
    </row>
    <row r="2606" spans="2:11" x14ac:dyDescent="0.35">
      <c r="B2606" s="4" t="str">
        <f>+IF('Data Pura Costos'!B2606="","",'Data Pura Costos'!B2606)</f>
        <v/>
      </c>
      <c r="C2606" s="4" t="str">
        <f>+IF('Data Pura Costos'!C2606="","",'Data Pura Costos'!C2606)</f>
        <v/>
      </c>
      <c r="D2606" s="5" t="str">
        <f>+IF('Data Pura Costos'!D2606="","",'Data Pura Costos'!D2606)</f>
        <v/>
      </c>
      <c r="E2606" s="65" t="str">
        <f>+IF('Data Pura Costos'!E2606="","",IF('Data Pura Costos'!E2606=0,MAX('Data Pura Costos'!$E$7:$E$3000)*1000,'Data Pura Costos'!E2606))</f>
        <v/>
      </c>
      <c r="F2606" s="5" t="str">
        <f>+IF('Data Pura Costos'!F2606="","",'Data Pura Costos'!F2606)</f>
        <v/>
      </c>
      <c r="G2606" s="5" t="str">
        <f>+IF('Data Pura Costos'!G2606="","",'Data Pura Costos'!G2606)</f>
        <v/>
      </c>
      <c r="H2606" s="52" t="str">
        <f>+IF('Data Pura Costos'!H2606="","",'Data Pura Costos'!H2606)</f>
        <v/>
      </c>
      <c r="I2606" s="71" t="str">
        <f>+IF('Data Pura Costos'!I2606="","",'Data Pura Costos'!I2606)</f>
        <v/>
      </c>
      <c r="J2606" s="52" t="str">
        <f>+IF('Data Pura Costos'!J2606="","",'Data Pura Costos'!J2606)</f>
        <v/>
      </c>
      <c r="K2606" s="82" t="str">
        <f t="shared" si="45"/>
        <v/>
      </c>
    </row>
    <row r="2607" spans="2:11" x14ac:dyDescent="0.35">
      <c r="B2607" s="4" t="str">
        <f>+IF('Data Pura Costos'!B2607="","",'Data Pura Costos'!B2607)</f>
        <v/>
      </c>
      <c r="C2607" s="4" t="str">
        <f>+IF('Data Pura Costos'!C2607="","",'Data Pura Costos'!C2607)</f>
        <v/>
      </c>
      <c r="D2607" s="5" t="str">
        <f>+IF('Data Pura Costos'!D2607="","",'Data Pura Costos'!D2607)</f>
        <v/>
      </c>
      <c r="E2607" s="65" t="str">
        <f>+IF('Data Pura Costos'!E2607="","",IF('Data Pura Costos'!E2607=0,MAX('Data Pura Costos'!$E$7:$E$3000)*1000,'Data Pura Costos'!E2607))</f>
        <v/>
      </c>
      <c r="F2607" s="5" t="str">
        <f>+IF('Data Pura Costos'!F2607="","",'Data Pura Costos'!F2607)</f>
        <v/>
      </c>
      <c r="G2607" s="5" t="str">
        <f>+IF('Data Pura Costos'!G2607="","",'Data Pura Costos'!G2607)</f>
        <v/>
      </c>
      <c r="H2607" s="52" t="str">
        <f>+IF('Data Pura Costos'!H2607="","",'Data Pura Costos'!H2607)</f>
        <v/>
      </c>
      <c r="I2607" s="71" t="str">
        <f>+IF('Data Pura Costos'!I2607="","",'Data Pura Costos'!I2607)</f>
        <v/>
      </c>
      <c r="J2607" s="52" t="str">
        <f>+IF('Data Pura Costos'!J2607="","",'Data Pura Costos'!J2607)</f>
        <v/>
      </c>
      <c r="K2607" s="82" t="str">
        <f t="shared" si="45"/>
        <v/>
      </c>
    </row>
    <row r="2608" spans="2:11" x14ac:dyDescent="0.35">
      <c r="B2608" s="4" t="str">
        <f>+IF('Data Pura Costos'!B2608="","",'Data Pura Costos'!B2608)</f>
        <v/>
      </c>
      <c r="C2608" s="4" t="str">
        <f>+IF('Data Pura Costos'!C2608="","",'Data Pura Costos'!C2608)</f>
        <v/>
      </c>
      <c r="D2608" s="5" t="str">
        <f>+IF('Data Pura Costos'!D2608="","",'Data Pura Costos'!D2608)</f>
        <v/>
      </c>
      <c r="E2608" s="65" t="str">
        <f>+IF('Data Pura Costos'!E2608="","",IF('Data Pura Costos'!E2608=0,MAX('Data Pura Costos'!$E$7:$E$3000)*1000,'Data Pura Costos'!E2608))</f>
        <v/>
      </c>
      <c r="F2608" s="5" t="str">
        <f>+IF('Data Pura Costos'!F2608="","",'Data Pura Costos'!F2608)</f>
        <v/>
      </c>
      <c r="G2608" s="5" t="str">
        <f>+IF('Data Pura Costos'!G2608="","",'Data Pura Costos'!G2608)</f>
        <v/>
      </c>
      <c r="H2608" s="52" t="str">
        <f>+IF('Data Pura Costos'!H2608="","",'Data Pura Costos'!H2608)</f>
        <v/>
      </c>
      <c r="I2608" s="71" t="str">
        <f>+IF('Data Pura Costos'!I2608="","",'Data Pura Costos'!I2608)</f>
        <v/>
      </c>
      <c r="J2608" s="52" t="str">
        <f>+IF('Data Pura Costos'!J2608="","",'Data Pura Costos'!J2608)</f>
        <v/>
      </c>
      <c r="K2608" s="82" t="str">
        <f t="shared" si="45"/>
        <v/>
      </c>
    </row>
    <row r="2609" spans="2:11" x14ac:dyDescent="0.35">
      <c r="B2609" s="4" t="str">
        <f>+IF('Data Pura Costos'!B2609="","",'Data Pura Costos'!B2609)</f>
        <v/>
      </c>
      <c r="C2609" s="4" t="str">
        <f>+IF('Data Pura Costos'!C2609="","",'Data Pura Costos'!C2609)</f>
        <v/>
      </c>
      <c r="D2609" s="5" t="str">
        <f>+IF('Data Pura Costos'!D2609="","",'Data Pura Costos'!D2609)</f>
        <v/>
      </c>
      <c r="E2609" s="65" t="str">
        <f>+IF('Data Pura Costos'!E2609="","",IF('Data Pura Costos'!E2609=0,MAX('Data Pura Costos'!$E$7:$E$3000)*1000,'Data Pura Costos'!E2609))</f>
        <v/>
      </c>
      <c r="F2609" s="5" t="str">
        <f>+IF('Data Pura Costos'!F2609="","",'Data Pura Costos'!F2609)</f>
        <v/>
      </c>
      <c r="G2609" s="5" t="str">
        <f>+IF('Data Pura Costos'!G2609="","",'Data Pura Costos'!G2609)</f>
        <v/>
      </c>
      <c r="H2609" s="52" t="str">
        <f>+IF('Data Pura Costos'!H2609="","",'Data Pura Costos'!H2609)</f>
        <v/>
      </c>
      <c r="I2609" s="71" t="str">
        <f>+IF('Data Pura Costos'!I2609="","",'Data Pura Costos'!I2609)</f>
        <v/>
      </c>
      <c r="J2609" s="52" t="str">
        <f>+IF('Data Pura Costos'!J2609="","",'Data Pura Costos'!J2609)</f>
        <v/>
      </c>
      <c r="K2609" s="82" t="str">
        <f t="shared" si="45"/>
        <v/>
      </c>
    </row>
    <row r="2610" spans="2:11" x14ac:dyDescent="0.35">
      <c r="B2610" s="4" t="str">
        <f>+IF('Data Pura Costos'!B2610="","",'Data Pura Costos'!B2610)</f>
        <v/>
      </c>
      <c r="C2610" s="4" t="str">
        <f>+IF('Data Pura Costos'!C2610="","",'Data Pura Costos'!C2610)</f>
        <v/>
      </c>
      <c r="D2610" s="5" t="str">
        <f>+IF('Data Pura Costos'!D2610="","",'Data Pura Costos'!D2610)</f>
        <v/>
      </c>
      <c r="E2610" s="65" t="str">
        <f>+IF('Data Pura Costos'!E2610="","",IF('Data Pura Costos'!E2610=0,MAX('Data Pura Costos'!$E$7:$E$3000)*1000,'Data Pura Costos'!E2610))</f>
        <v/>
      </c>
      <c r="F2610" s="5" t="str">
        <f>+IF('Data Pura Costos'!F2610="","",'Data Pura Costos'!F2610)</f>
        <v/>
      </c>
      <c r="G2610" s="5" t="str">
        <f>+IF('Data Pura Costos'!G2610="","",'Data Pura Costos'!G2610)</f>
        <v/>
      </c>
      <c r="H2610" s="52" t="str">
        <f>+IF('Data Pura Costos'!H2610="","",'Data Pura Costos'!H2610)</f>
        <v/>
      </c>
      <c r="I2610" s="71" t="str">
        <f>+IF('Data Pura Costos'!I2610="","",'Data Pura Costos'!I2610)</f>
        <v/>
      </c>
      <c r="J2610" s="52" t="str">
        <f>+IF('Data Pura Costos'!J2610="","",'Data Pura Costos'!J2610)</f>
        <v/>
      </c>
      <c r="K2610" s="82" t="str">
        <f t="shared" si="45"/>
        <v/>
      </c>
    </row>
    <row r="2611" spans="2:11" x14ac:dyDescent="0.35">
      <c r="B2611" s="4" t="str">
        <f>+IF('Data Pura Costos'!B2611="","",'Data Pura Costos'!B2611)</f>
        <v/>
      </c>
      <c r="C2611" s="4" t="str">
        <f>+IF('Data Pura Costos'!C2611="","",'Data Pura Costos'!C2611)</f>
        <v/>
      </c>
      <c r="D2611" s="5" t="str">
        <f>+IF('Data Pura Costos'!D2611="","",'Data Pura Costos'!D2611)</f>
        <v/>
      </c>
      <c r="E2611" s="65" t="str">
        <f>+IF('Data Pura Costos'!E2611="","",IF('Data Pura Costos'!E2611=0,MAX('Data Pura Costos'!$E$7:$E$3000)*1000,'Data Pura Costos'!E2611))</f>
        <v/>
      </c>
      <c r="F2611" s="5" t="str">
        <f>+IF('Data Pura Costos'!F2611="","",'Data Pura Costos'!F2611)</f>
        <v/>
      </c>
      <c r="G2611" s="5" t="str">
        <f>+IF('Data Pura Costos'!G2611="","",'Data Pura Costos'!G2611)</f>
        <v/>
      </c>
      <c r="H2611" s="52" t="str">
        <f>+IF('Data Pura Costos'!H2611="","",'Data Pura Costos'!H2611)</f>
        <v/>
      </c>
      <c r="I2611" s="71" t="str">
        <f>+IF('Data Pura Costos'!I2611="","",'Data Pura Costos'!I2611)</f>
        <v/>
      </c>
      <c r="J2611" s="52" t="str">
        <f>+IF('Data Pura Costos'!J2611="","",'Data Pura Costos'!J2611)</f>
        <v/>
      </c>
      <c r="K2611" s="82" t="str">
        <f t="shared" si="45"/>
        <v/>
      </c>
    </row>
    <row r="2612" spans="2:11" x14ac:dyDescent="0.35">
      <c r="B2612" s="4" t="str">
        <f>+IF('Data Pura Costos'!B2612="","",'Data Pura Costos'!B2612)</f>
        <v/>
      </c>
      <c r="C2612" s="4" t="str">
        <f>+IF('Data Pura Costos'!C2612="","",'Data Pura Costos'!C2612)</f>
        <v/>
      </c>
      <c r="D2612" s="5" t="str">
        <f>+IF('Data Pura Costos'!D2612="","",'Data Pura Costos'!D2612)</f>
        <v/>
      </c>
      <c r="E2612" s="65" t="str">
        <f>+IF('Data Pura Costos'!E2612="","",IF('Data Pura Costos'!E2612=0,MAX('Data Pura Costos'!$E$7:$E$3000)*1000,'Data Pura Costos'!E2612))</f>
        <v/>
      </c>
      <c r="F2612" s="5" t="str">
        <f>+IF('Data Pura Costos'!F2612="","",'Data Pura Costos'!F2612)</f>
        <v/>
      </c>
      <c r="G2612" s="5" t="str">
        <f>+IF('Data Pura Costos'!G2612="","",'Data Pura Costos'!G2612)</f>
        <v/>
      </c>
      <c r="H2612" s="52" t="str">
        <f>+IF('Data Pura Costos'!H2612="","",'Data Pura Costos'!H2612)</f>
        <v/>
      </c>
      <c r="I2612" s="71" t="str">
        <f>+IF('Data Pura Costos'!I2612="","",'Data Pura Costos'!I2612)</f>
        <v/>
      </c>
      <c r="J2612" s="52" t="str">
        <f>+IF('Data Pura Costos'!J2612="","",'Data Pura Costos'!J2612)</f>
        <v/>
      </c>
      <c r="K2612" s="82" t="str">
        <f t="shared" si="45"/>
        <v/>
      </c>
    </row>
    <row r="2613" spans="2:11" x14ac:dyDescent="0.35">
      <c r="B2613" s="4" t="str">
        <f>+IF('Data Pura Costos'!B2613="","",'Data Pura Costos'!B2613)</f>
        <v/>
      </c>
      <c r="C2613" s="4" t="str">
        <f>+IF('Data Pura Costos'!C2613="","",'Data Pura Costos'!C2613)</f>
        <v/>
      </c>
      <c r="D2613" s="5" t="str">
        <f>+IF('Data Pura Costos'!D2613="","",'Data Pura Costos'!D2613)</f>
        <v/>
      </c>
      <c r="E2613" s="65" t="str">
        <f>+IF('Data Pura Costos'!E2613="","",IF('Data Pura Costos'!E2613=0,MAX('Data Pura Costos'!$E$7:$E$3000)*1000,'Data Pura Costos'!E2613))</f>
        <v/>
      </c>
      <c r="F2613" s="5" t="str">
        <f>+IF('Data Pura Costos'!F2613="","",'Data Pura Costos'!F2613)</f>
        <v/>
      </c>
      <c r="G2613" s="5" t="str">
        <f>+IF('Data Pura Costos'!G2613="","",'Data Pura Costos'!G2613)</f>
        <v/>
      </c>
      <c r="H2613" s="52" t="str">
        <f>+IF('Data Pura Costos'!H2613="","",'Data Pura Costos'!H2613)</f>
        <v/>
      </c>
      <c r="I2613" s="71" t="str">
        <f>+IF('Data Pura Costos'!I2613="","",'Data Pura Costos'!I2613)</f>
        <v/>
      </c>
      <c r="J2613" s="52" t="str">
        <f>+IF('Data Pura Costos'!J2613="","",'Data Pura Costos'!J2613)</f>
        <v/>
      </c>
      <c r="K2613" s="82" t="str">
        <f t="shared" si="45"/>
        <v/>
      </c>
    </row>
    <row r="2614" spans="2:11" x14ac:dyDescent="0.35">
      <c r="B2614" s="4" t="str">
        <f>+IF('Data Pura Costos'!B2614="","",'Data Pura Costos'!B2614)</f>
        <v/>
      </c>
      <c r="C2614" s="4" t="str">
        <f>+IF('Data Pura Costos'!C2614="","",'Data Pura Costos'!C2614)</f>
        <v/>
      </c>
      <c r="D2614" s="5" t="str">
        <f>+IF('Data Pura Costos'!D2614="","",'Data Pura Costos'!D2614)</f>
        <v/>
      </c>
      <c r="E2614" s="65" t="str">
        <f>+IF('Data Pura Costos'!E2614="","",IF('Data Pura Costos'!E2614=0,MAX('Data Pura Costos'!$E$7:$E$3000)*1000,'Data Pura Costos'!E2614))</f>
        <v/>
      </c>
      <c r="F2614" s="5" t="str">
        <f>+IF('Data Pura Costos'!F2614="","",'Data Pura Costos'!F2614)</f>
        <v/>
      </c>
      <c r="G2614" s="5" t="str">
        <f>+IF('Data Pura Costos'!G2614="","",'Data Pura Costos'!G2614)</f>
        <v/>
      </c>
      <c r="H2614" s="52" t="str">
        <f>+IF('Data Pura Costos'!H2614="","",'Data Pura Costos'!H2614)</f>
        <v/>
      </c>
      <c r="I2614" s="71" t="str">
        <f>+IF('Data Pura Costos'!I2614="","",'Data Pura Costos'!I2614)</f>
        <v/>
      </c>
      <c r="J2614" s="52" t="str">
        <f>+IF('Data Pura Costos'!J2614="","",'Data Pura Costos'!J2614)</f>
        <v/>
      </c>
      <c r="K2614" s="82" t="str">
        <f t="shared" si="45"/>
        <v/>
      </c>
    </row>
    <row r="2615" spans="2:11" x14ac:dyDescent="0.35">
      <c r="B2615" s="4" t="str">
        <f>+IF('Data Pura Costos'!B2615="","",'Data Pura Costos'!B2615)</f>
        <v/>
      </c>
      <c r="C2615" s="4" t="str">
        <f>+IF('Data Pura Costos'!C2615="","",'Data Pura Costos'!C2615)</f>
        <v/>
      </c>
      <c r="D2615" s="5" t="str">
        <f>+IF('Data Pura Costos'!D2615="","",'Data Pura Costos'!D2615)</f>
        <v/>
      </c>
      <c r="E2615" s="65" t="str">
        <f>+IF('Data Pura Costos'!E2615="","",IF('Data Pura Costos'!E2615=0,MAX('Data Pura Costos'!$E$7:$E$3000)*1000,'Data Pura Costos'!E2615))</f>
        <v/>
      </c>
      <c r="F2615" s="5" t="str">
        <f>+IF('Data Pura Costos'!F2615="","",'Data Pura Costos'!F2615)</f>
        <v/>
      </c>
      <c r="G2615" s="5" t="str">
        <f>+IF('Data Pura Costos'!G2615="","",'Data Pura Costos'!G2615)</f>
        <v/>
      </c>
      <c r="H2615" s="52" t="str">
        <f>+IF('Data Pura Costos'!H2615="","",'Data Pura Costos'!H2615)</f>
        <v/>
      </c>
      <c r="I2615" s="71" t="str">
        <f>+IF('Data Pura Costos'!I2615="","",'Data Pura Costos'!I2615)</f>
        <v/>
      </c>
      <c r="J2615" s="52" t="str">
        <f>+IF('Data Pura Costos'!J2615="","",'Data Pura Costos'!J2615)</f>
        <v/>
      </c>
      <c r="K2615" s="82" t="str">
        <f t="shared" si="45"/>
        <v/>
      </c>
    </row>
    <row r="2616" spans="2:11" x14ac:dyDescent="0.35">
      <c r="B2616" s="4" t="str">
        <f>+IF('Data Pura Costos'!B2616="","",'Data Pura Costos'!B2616)</f>
        <v/>
      </c>
      <c r="C2616" s="4" t="str">
        <f>+IF('Data Pura Costos'!C2616="","",'Data Pura Costos'!C2616)</f>
        <v/>
      </c>
      <c r="D2616" s="5" t="str">
        <f>+IF('Data Pura Costos'!D2616="","",'Data Pura Costos'!D2616)</f>
        <v/>
      </c>
      <c r="E2616" s="65" t="str">
        <f>+IF('Data Pura Costos'!E2616="","",IF('Data Pura Costos'!E2616=0,MAX('Data Pura Costos'!$E$7:$E$3000)*1000,'Data Pura Costos'!E2616))</f>
        <v/>
      </c>
      <c r="F2616" s="5" t="str">
        <f>+IF('Data Pura Costos'!F2616="","",'Data Pura Costos'!F2616)</f>
        <v/>
      </c>
      <c r="G2616" s="5" t="str">
        <f>+IF('Data Pura Costos'!G2616="","",'Data Pura Costos'!G2616)</f>
        <v/>
      </c>
      <c r="H2616" s="52" t="str">
        <f>+IF('Data Pura Costos'!H2616="","",'Data Pura Costos'!H2616)</f>
        <v/>
      </c>
      <c r="I2616" s="71" t="str">
        <f>+IF('Data Pura Costos'!I2616="","",'Data Pura Costos'!I2616)</f>
        <v/>
      </c>
      <c r="J2616" s="52" t="str">
        <f>+IF('Data Pura Costos'!J2616="","",'Data Pura Costos'!J2616)</f>
        <v/>
      </c>
      <c r="K2616" s="82" t="str">
        <f t="shared" si="45"/>
        <v/>
      </c>
    </row>
    <row r="2617" spans="2:11" x14ac:dyDescent="0.35">
      <c r="B2617" s="4" t="str">
        <f>+IF('Data Pura Costos'!B2617="","",'Data Pura Costos'!B2617)</f>
        <v/>
      </c>
      <c r="C2617" s="4" t="str">
        <f>+IF('Data Pura Costos'!C2617="","",'Data Pura Costos'!C2617)</f>
        <v/>
      </c>
      <c r="D2617" s="5" t="str">
        <f>+IF('Data Pura Costos'!D2617="","",'Data Pura Costos'!D2617)</f>
        <v/>
      </c>
      <c r="E2617" s="65" t="str">
        <f>+IF('Data Pura Costos'!E2617="","",IF('Data Pura Costos'!E2617=0,MAX('Data Pura Costos'!$E$7:$E$3000)*1000,'Data Pura Costos'!E2617))</f>
        <v/>
      </c>
      <c r="F2617" s="5" t="str">
        <f>+IF('Data Pura Costos'!F2617="","",'Data Pura Costos'!F2617)</f>
        <v/>
      </c>
      <c r="G2617" s="5" t="str">
        <f>+IF('Data Pura Costos'!G2617="","",'Data Pura Costos'!G2617)</f>
        <v/>
      </c>
      <c r="H2617" s="52" t="str">
        <f>+IF('Data Pura Costos'!H2617="","",'Data Pura Costos'!H2617)</f>
        <v/>
      </c>
      <c r="I2617" s="71" t="str">
        <f>+IF('Data Pura Costos'!I2617="","",'Data Pura Costos'!I2617)</f>
        <v/>
      </c>
      <c r="J2617" s="52" t="str">
        <f>+IF('Data Pura Costos'!J2617="","",'Data Pura Costos'!J2617)</f>
        <v/>
      </c>
      <c r="K2617" s="82" t="str">
        <f t="shared" si="45"/>
        <v/>
      </c>
    </row>
    <row r="2618" spans="2:11" x14ac:dyDescent="0.35">
      <c r="B2618" s="4" t="str">
        <f>+IF('Data Pura Costos'!B2618="","",'Data Pura Costos'!B2618)</f>
        <v/>
      </c>
      <c r="C2618" s="4" t="str">
        <f>+IF('Data Pura Costos'!C2618="","",'Data Pura Costos'!C2618)</f>
        <v/>
      </c>
      <c r="D2618" s="5" t="str">
        <f>+IF('Data Pura Costos'!D2618="","",'Data Pura Costos'!D2618)</f>
        <v/>
      </c>
      <c r="E2618" s="65" t="str">
        <f>+IF('Data Pura Costos'!E2618="","",IF('Data Pura Costos'!E2618=0,MAX('Data Pura Costos'!$E$7:$E$3000)*1000,'Data Pura Costos'!E2618))</f>
        <v/>
      </c>
      <c r="F2618" s="5" t="str">
        <f>+IF('Data Pura Costos'!F2618="","",'Data Pura Costos'!F2618)</f>
        <v/>
      </c>
      <c r="G2618" s="5" t="str">
        <f>+IF('Data Pura Costos'!G2618="","",'Data Pura Costos'!G2618)</f>
        <v/>
      </c>
      <c r="H2618" s="52" t="str">
        <f>+IF('Data Pura Costos'!H2618="","",'Data Pura Costos'!H2618)</f>
        <v/>
      </c>
      <c r="I2618" s="71" t="str">
        <f>+IF('Data Pura Costos'!I2618="","",'Data Pura Costos'!I2618)</f>
        <v/>
      </c>
      <c r="J2618" s="52" t="str">
        <f>+IF('Data Pura Costos'!J2618="","",'Data Pura Costos'!J2618)</f>
        <v/>
      </c>
      <c r="K2618" s="82" t="str">
        <f t="shared" si="45"/>
        <v/>
      </c>
    </row>
    <row r="2619" spans="2:11" x14ac:dyDescent="0.35">
      <c r="B2619" s="4" t="str">
        <f>+IF('Data Pura Costos'!B2619="","",'Data Pura Costos'!B2619)</f>
        <v/>
      </c>
      <c r="C2619" s="4" t="str">
        <f>+IF('Data Pura Costos'!C2619="","",'Data Pura Costos'!C2619)</f>
        <v/>
      </c>
      <c r="D2619" s="5" t="str">
        <f>+IF('Data Pura Costos'!D2619="","",'Data Pura Costos'!D2619)</f>
        <v/>
      </c>
      <c r="E2619" s="65" t="str">
        <f>+IF('Data Pura Costos'!E2619="","",IF('Data Pura Costos'!E2619=0,MAX('Data Pura Costos'!$E$7:$E$3000)*1000,'Data Pura Costos'!E2619))</f>
        <v/>
      </c>
      <c r="F2619" s="5" t="str">
        <f>+IF('Data Pura Costos'!F2619="","",'Data Pura Costos'!F2619)</f>
        <v/>
      </c>
      <c r="G2619" s="5" t="str">
        <f>+IF('Data Pura Costos'!G2619="","",'Data Pura Costos'!G2619)</f>
        <v/>
      </c>
      <c r="H2619" s="52" t="str">
        <f>+IF('Data Pura Costos'!H2619="","",'Data Pura Costos'!H2619)</f>
        <v/>
      </c>
      <c r="I2619" s="71" t="str">
        <f>+IF('Data Pura Costos'!I2619="","",'Data Pura Costos'!I2619)</f>
        <v/>
      </c>
      <c r="J2619" s="52" t="str">
        <f>+IF('Data Pura Costos'!J2619="","",'Data Pura Costos'!J2619)</f>
        <v/>
      </c>
      <c r="K2619" s="82" t="str">
        <f t="shared" si="45"/>
        <v/>
      </c>
    </row>
    <row r="2620" spans="2:11" x14ac:dyDescent="0.35">
      <c r="B2620" s="4" t="str">
        <f>+IF('Data Pura Costos'!B2620="","",'Data Pura Costos'!B2620)</f>
        <v/>
      </c>
      <c r="C2620" s="4" t="str">
        <f>+IF('Data Pura Costos'!C2620="","",'Data Pura Costos'!C2620)</f>
        <v/>
      </c>
      <c r="D2620" s="5" t="str">
        <f>+IF('Data Pura Costos'!D2620="","",'Data Pura Costos'!D2620)</f>
        <v/>
      </c>
      <c r="E2620" s="65" t="str">
        <f>+IF('Data Pura Costos'!E2620="","",IF('Data Pura Costos'!E2620=0,MAX('Data Pura Costos'!$E$7:$E$3000)*1000,'Data Pura Costos'!E2620))</f>
        <v/>
      </c>
      <c r="F2620" s="5" t="str">
        <f>+IF('Data Pura Costos'!F2620="","",'Data Pura Costos'!F2620)</f>
        <v/>
      </c>
      <c r="G2620" s="5" t="str">
        <f>+IF('Data Pura Costos'!G2620="","",'Data Pura Costos'!G2620)</f>
        <v/>
      </c>
      <c r="H2620" s="52" t="str">
        <f>+IF('Data Pura Costos'!H2620="","",'Data Pura Costos'!H2620)</f>
        <v/>
      </c>
      <c r="I2620" s="71" t="str">
        <f>+IF('Data Pura Costos'!I2620="","",'Data Pura Costos'!I2620)</f>
        <v/>
      </c>
      <c r="J2620" s="52" t="str">
        <f>+IF('Data Pura Costos'!J2620="","",'Data Pura Costos'!J2620)</f>
        <v/>
      </c>
      <c r="K2620" s="82" t="str">
        <f t="shared" ref="K2620:K2683" si="46">+IF(B2620="","",CONCATENATE(B2620,"-",F2620,"-",G2620))</f>
        <v/>
      </c>
    </row>
    <row r="2621" spans="2:11" x14ac:dyDescent="0.35">
      <c r="B2621" s="4" t="str">
        <f>+IF('Data Pura Costos'!B2621="","",'Data Pura Costos'!B2621)</f>
        <v/>
      </c>
      <c r="C2621" s="4" t="str">
        <f>+IF('Data Pura Costos'!C2621="","",'Data Pura Costos'!C2621)</f>
        <v/>
      </c>
      <c r="D2621" s="5" t="str">
        <f>+IF('Data Pura Costos'!D2621="","",'Data Pura Costos'!D2621)</f>
        <v/>
      </c>
      <c r="E2621" s="65" t="str">
        <f>+IF('Data Pura Costos'!E2621="","",IF('Data Pura Costos'!E2621=0,MAX('Data Pura Costos'!$E$7:$E$3000)*1000,'Data Pura Costos'!E2621))</f>
        <v/>
      </c>
      <c r="F2621" s="5" t="str">
        <f>+IF('Data Pura Costos'!F2621="","",'Data Pura Costos'!F2621)</f>
        <v/>
      </c>
      <c r="G2621" s="5" t="str">
        <f>+IF('Data Pura Costos'!G2621="","",'Data Pura Costos'!G2621)</f>
        <v/>
      </c>
      <c r="H2621" s="52" t="str">
        <f>+IF('Data Pura Costos'!H2621="","",'Data Pura Costos'!H2621)</f>
        <v/>
      </c>
      <c r="I2621" s="71" t="str">
        <f>+IF('Data Pura Costos'!I2621="","",'Data Pura Costos'!I2621)</f>
        <v/>
      </c>
      <c r="J2621" s="52" t="str">
        <f>+IF('Data Pura Costos'!J2621="","",'Data Pura Costos'!J2621)</f>
        <v/>
      </c>
      <c r="K2621" s="82" t="str">
        <f t="shared" si="46"/>
        <v/>
      </c>
    </row>
    <row r="2622" spans="2:11" x14ac:dyDescent="0.35">
      <c r="B2622" s="4" t="str">
        <f>+IF('Data Pura Costos'!B2622="","",'Data Pura Costos'!B2622)</f>
        <v/>
      </c>
      <c r="C2622" s="4" t="str">
        <f>+IF('Data Pura Costos'!C2622="","",'Data Pura Costos'!C2622)</f>
        <v/>
      </c>
      <c r="D2622" s="5" t="str">
        <f>+IF('Data Pura Costos'!D2622="","",'Data Pura Costos'!D2622)</f>
        <v/>
      </c>
      <c r="E2622" s="65" t="str">
        <f>+IF('Data Pura Costos'!E2622="","",IF('Data Pura Costos'!E2622=0,MAX('Data Pura Costos'!$E$7:$E$3000)*1000,'Data Pura Costos'!E2622))</f>
        <v/>
      </c>
      <c r="F2622" s="5" t="str">
        <f>+IF('Data Pura Costos'!F2622="","",'Data Pura Costos'!F2622)</f>
        <v/>
      </c>
      <c r="G2622" s="5" t="str">
        <f>+IF('Data Pura Costos'!G2622="","",'Data Pura Costos'!G2622)</f>
        <v/>
      </c>
      <c r="H2622" s="52" t="str">
        <f>+IF('Data Pura Costos'!H2622="","",'Data Pura Costos'!H2622)</f>
        <v/>
      </c>
      <c r="I2622" s="71" t="str">
        <f>+IF('Data Pura Costos'!I2622="","",'Data Pura Costos'!I2622)</f>
        <v/>
      </c>
      <c r="J2622" s="52" t="str">
        <f>+IF('Data Pura Costos'!J2622="","",'Data Pura Costos'!J2622)</f>
        <v/>
      </c>
      <c r="K2622" s="82" t="str">
        <f t="shared" si="46"/>
        <v/>
      </c>
    </row>
    <row r="2623" spans="2:11" x14ac:dyDescent="0.35">
      <c r="B2623" s="4" t="str">
        <f>+IF('Data Pura Costos'!B2623="","",'Data Pura Costos'!B2623)</f>
        <v/>
      </c>
      <c r="C2623" s="4" t="str">
        <f>+IF('Data Pura Costos'!C2623="","",'Data Pura Costos'!C2623)</f>
        <v/>
      </c>
      <c r="D2623" s="5" t="str">
        <f>+IF('Data Pura Costos'!D2623="","",'Data Pura Costos'!D2623)</f>
        <v/>
      </c>
      <c r="E2623" s="65" t="str">
        <f>+IF('Data Pura Costos'!E2623="","",IF('Data Pura Costos'!E2623=0,MAX('Data Pura Costos'!$E$7:$E$3000)*1000,'Data Pura Costos'!E2623))</f>
        <v/>
      </c>
      <c r="F2623" s="5" t="str">
        <f>+IF('Data Pura Costos'!F2623="","",'Data Pura Costos'!F2623)</f>
        <v/>
      </c>
      <c r="G2623" s="5" t="str">
        <f>+IF('Data Pura Costos'!G2623="","",'Data Pura Costos'!G2623)</f>
        <v/>
      </c>
      <c r="H2623" s="52" t="str">
        <f>+IF('Data Pura Costos'!H2623="","",'Data Pura Costos'!H2623)</f>
        <v/>
      </c>
      <c r="I2623" s="71" t="str">
        <f>+IF('Data Pura Costos'!I2623="","",'Data Pura Costos'!I2623)</f>
        <v/>
      </c>
      <c r="J2623" s="52" t="str">
        <f>+IF('Data Pura Costos'!J2623="","",'Data Pura Costos'!J2623)</f>
        <v/>
      </c>
      <c r="K2623" s="82" t="str">
        <f t="shared" si="46"/>
        <v/>
      </c>
    </row>
    <row r="2624" spans="2:11" x14ac:dyDescent="0.35">
      <c r="B2624" s="4" t="str">
        <f>+IF('Data Pura Costos'!B2624="","",'Data Pura Costos'!B2624)</f>
        <v/>
      </c>
      <c r="C2624" s="4" t="str">
        <f>+IF('Data Pura Costos'!C2624="","",'Data Pura Costos'!C2624)</f>
        <v/>
      </c>
      <c r="D2624" s="5" t="str">
        <f>+IF('Data Pura Costos'!D2624="","",'Data Pura Costos'!D2624)</f>
        <v/>
      </c>
      <c r="E2624" s="65" t="str">
        <f>+IF('Data Pura Costos'!E2624="","",IF('Data Pura Costos'!E2624=0,MAX('Data Pura Costos'!$E$7:$E$3000)*1000,'Data Pura Costos'!E2624))</f>
        <v/>
      </c>
      <c r="F2624" s="5" t="str">
        <f>+IF('Data Pura Costos'!F2624="","",'Data Pura Costos'!F2624)</f>
        <v/>
      </c>
      <c r="G2624" s="5" t="str">
        <f>+IF('Data Pura Costos'!G2624="","",'Data Pura Costos'!G2624)</f>
        <v/>
      </c>
      <c r="H2624" s="52" t="str">
        <f>+IF('Data Pura Costos'!H2624="","",'Data Pura Costos'!H2624)</f>
        <v/>
      </c>
      <c r="I2624" s="71" t="str">
        <f>+IF('Data Pura Costos'!I2624="","",'Data Pura Costos'!I2624)</f>
        <v/>
      </c>
      <c r="J2624" s="52" t="str">
        <f>+IF('Data Pura Costos'!J2624="","",'Data Pura Costos'!J2624)</f>
        <v/>
      </c>
      <c r="K2624" s="82" t="str">
        <f t="shared" si="46"/>
        <v/>
      </c>
    </row>
    <row r="2625" spans="2:11" x14ac:dyDescent="0.35">
      <c r="B2625" s="4" t="str">
        <f>+IF('Data Pura Costos'!B2625="","",'Data Pura Costos'!B2625)</f>
        <v/>
      </c>
      <c r="C2625" s="4" t="str">
        <f>+IF('Data Pura Costos'!C2625="","",'Data Pura Costos'!C2625)</f>
        <v/>
      </c>
      <c r="D2625" s="5" t="str">
        <f>+IF('Data Pura Costos'!D2625="","",'Data Pura Costos'!D2625)</f>
        <v/>
      </c>
      <c r="E2625" s="65" t="str">
        <f>+IF('Data Pura Costos'!E2625="","",IF('Data Pura Costos'!E2625=0,MAX('Data Pura Costos'!$E$7:$E$3000)*1000,'Data Pura Costos'!E2625))</f>
        <v/>
      </c>
      <c r="F2625" s="5" t="str">
        <f>+IF('Data Pura Costos'!F2625="","",'Data Pura Costos'!F2625)</f>
        <v/>
      </c>
      <c r="G2625" s="5" t="str">
        <f>+IF('Data Pura Costos'!G2625="","",'Data Pura Costos'!G2625)</f>
        <v/>
      </c>
      <c r="H2625" s="52" t="str">
        <f>+IF('Data Pura Costos'!H2625="","",'Data Pura Costos'!H2625)</f>
        <v/>
      </c>
      <c r="I2625" s="71" t="str">
        <f>+IF('Data Pura Costos'!I2625="","",'Data Pura Costos'!I2625)</f>
        <v/>
      </c>
      <c r="J2625" s="52" t="str">
        <f>+IF('Data Pura Costos'!J2625="","",'Data Pura Costos'!J2625)</f>
        <v/>
      </c>
      <c r="K2625" s="82" t="str">
        <f t="shared" si="46"/>
        <v/>
      </c>
    </row>
    <row r="2626" spans="2:11" x14ac:dyDescent="0.35">
      <c r="B2626" s="4" t="str">
        <f>+IF('Data Pura Costos'!B2626="","",'Data Pura Costos'!B2626)</f>
        <v/>
      </c>
      <c r="C2626" s="4" t="str">
        <f>+IF('Data Pura Costos'!C2626="","",'Data Pura Costos'!C2626)</f>
        <v/>
      </c>
      <c r="D2626" s="5" t="str">
        <f>+IF('Data Pura Costos'!D2626="","",'Data Pura Costos'!D2626)</f>
        <v/>
      </c>
      <c r="E2626" s="65" t="str">
        <f>+IF('Data Pura Costos'!E2626="","",IF('Data Pura Costos'!E2626=0,MAX('Data Pura Costos'!$E$7:$E$3000)*1000,'Data Pura Costos'!E2626))</f>
        <v/>
      </c>
      <c r="F2626" s="5" t="str">
        <f>+IF('Data Pura Costos'!F2626="","",'Data Pura Costos'!F2626)</f>
        <v/>
      </c>
      <c r="G2626" s="5" t="str">
        <f>+IF('Data Pura Costos'!G2626="","",'Data Pura Costos'!G2626)</f>
        <v/>
      </c>
      <c r="H2626" s="52" t="str">
        <f>+IF('Data Pura Costos'!H2626="","",'Data Pura Costos'!H2626)</f>
        <v/>
      </c>
      <c r="I2626" s="71" t="str">
        <f>+IF('Data Pura Costos'!I2626="","",'Data Pura Costos'!I2626)</f>
        <v/>
      </c>
      <c r="J2626" s="52" t="str">
        <f>+IF('Data Pura Costos'!J2626="","",'Data Pura Costos'!J2626)</f>
        <v/>
      </c>
      <c r="K2626" s="82" t="str">
        <f t="shared" si="46"/>
        <v/>
      </c>
    </row>
    <row r="2627" spans="2:11" x14ac:dyDescent="0.35">
      <c r="B2627" s="4" t="str">
        <f>+IF('Data Pura Costos'!B2627="","",'Data Pura Costos'!B2627)</f>
        <v/>
      </c>
      <c r="C2627" s="4" t="str">
        <f>+IF('Data Pura Costos'!C2627="","",'Data Pura Costos'!C2627)</f>
        <v/>
      </c>
      <c r="D2627" s="5" t="str">
        <f>+IF('Data Pura Costos'!D2627="","",'Data Pura Costos'!D2627)</f>
        <v/>
      </c>
      <c r="E2627" s="65" t="str">
        <f>+IF('Data Pura Costos'!E2627="","",IF('Data Pura Costos'!E2627=0,MAX('Data Pura Costos'!$E$7:$E$3000)*1000,'Data Pura Costos'!E2627))</f>
        <v/>
      </c>
      <c r="F2627" s="5" t="str">
        <f>+IF('Data Pura Costos'!F2627="","",'Data Pura Costos'!F2627)</f>
        <v/>
      </c>
      <c r="G2627" s="5" t="str">
        <f>+IF('Data Pura Costos'!G2627="","",'Data Pura Costos'!G2627)</f>
        <v/>
      </c>
      <c r="H2627" s="52" t="str">
        <f>+IF('Data Pura Costos'!H2627="","",'Data Pura Costos'!H2627)</f>
        <v/>
      </c>
      <c r="I2627" s="71" t="str">
        <f>+IF('Data Pura Costos'!I2627="","",'Data Pura Costos'!I2627)</f>
        <v/>
      </c>
      <c r="J2627" s="52" t="str">
        <f>+IF('Data Pura Costos'!J2627="","",'Data Pura Costos'!J2627)</f>
        <v/>
      </c>
      <c r="K2627" s="82" t="str">
        <f t="shared" si="46"/>
        <v/>
      </c>
    </row>
    <row r="2628" spans="2:11" x14ac:dyDescent="0.35">
      <c r="B2628" s="4" t="str">
        <f>+IF('Data Pura Costos'!B2628="","",'Data Pura Costos'!B2628)</f>
        <v/>
      </c>
      <c r="C2628" s="4" t="str">
        <f>+IF('Data Pura Costos'!C2628="","",'Data Pura Costos'!C2628)</f>
        <v/>
      </c>
      <c r="D2628" s="5" t="str">
        <f>+IF('Data Pura Costos'!D2628="","",'Data Pura Costos'!D2628)</f>
        <v/>
      </c>
      <c r="E2628" s="65" t="str">
        <f>+IF('Data Pura Costos'!E2628="","",IF('Data Pura Costos'!E2628=0,MAX('Data Pura Costos'!$E$7:$E$3000)*1000,'Data Pura Costos'!E2628))</f>
        <v/>
      </c>
      <c r="F2628" s="5" t="str">
        <f>+IF('Data Pura Costos'!F2628="","",'Data Pura Costos'!F2628)</f>
        <v/>
      </c>
      <c r="G2628" s="5" t="str">
        <f>+IF('Data Pura Costos'!G2628="","",'Data Pura Costos'!G2628)</f>
        <v/>
      </c>
      <c r="H2628" s="52" t="str">
        <f>+IF('Data Pura Costos'!H2628="","",'Data Pura Costos'!H2628)</f>
        <v/>
      </c>
      <c r="I2628" s="71" t="str">
        <f>+IF('Data Pura Costos'!I2628="","",'Data Pura Costos'!I2628)</f>
        <v/>
      </c>
      <c r="J2628" s="52" t="str">
        <f>+IF('Data Pura Costos'!J2628="","",'Data Pura Costos'!J2628)</f>
        <v/>
      </c>
      <c r="K2628" s="82" t="str">
        <f t="shared" si="46"/>
        <v/>
      </c>
    </row>
    <row r="2629" spans="2:11" x14ac:dyDescent="0.35">
      <c r="B2629" s="4" t="str">
        <f>+IF('Data Pura Costos'!B2629="","",'Data Pura Costos'!B2629)</f>
        <v/>
      </c>
      <c r="C2629" s="4" t="str">
        <f>+IF('Data Pura Costos'!C2629="","",'Data Pura Costos'!C2629)</f>
        <v/>
      </c>
      <c r="D2629" s="5" t="str">
        <f>+IF('Data Pura Costos'!D2629="","",'Data Pura Costos'!D2629)</f>
        <v/>
      </c>
      <c r="E2629" s="65" t="str">
        <f>+IF('Data Pura Costos'!E2629="","",IF('Data Pura Costos'!E2629=0,MAX('Data Pura Costos'!$E$7:$E$3000)*1000,'Data Pura Costos'!E2629))</f>
        <v/>
      </c>
      <c r="F2629" s="5" t="str">
        <f>+IF('Data Pura Costos'!F2629="","",'Data Pura Costos'!F2629)</f>
        <v/>
      </c>
      <c r="G2629" s="5" t="str">
        <f>+IF('Data Pura Costos'!G2629="","",'Data Pura Costos'!G2629)</f>
        <v/>
      </c>
      <c r="H2629" s="52" t="str">
        <f>+IF('Data Pura Costos'!H2629="","",'Data Pura Costos'!H2629)</f>
        <v/>
      </c>
      <c r="I2629" s="71" t="str">
        <f>+IF('Data Pura Costos'!I2629="","",'Data Pura Costos'!I2629)</f>
        <v/>
      </c>
      <c r="J2629" s="52" t="str">
        <f>+IF('Data Pura Costos'!J2629="","",'Data Pura Costos'!J2629)</f>
        <v/>
      </c>
      <c r="K2629" s="82" t="str">
        <f t="shared" si="46"/>
        <v/>
      </c>
    </row>
    <row r="2630" spans="2:11" x14ac:dyDescent="0.35">
      <c r="B2630" s="4" t="str">
        <f>+IF('Data Pura Costos'!B2630="","",'Data Pura Costos'!B2630)</f>
        <v/>
      </c>
      <c r="C2630" s="4" t="str">
        <f>+IF('Data Pura Costos'!C2630="","",'Data Pura Costos'!C2630)</f>
        <v/>
      </c>
      <c r="D2630" s="5" t="str">
        <f>+IF('Data Pura Costos'!D2630="","",'Data Pura Costos'!D2630)</f>
        <v/>
      </c>
      <c r="E2630" s="65" t="str">
        <f>+IF('Data Pura Costos'!E2630="","",IF('Data Pura Costos'!E2630=0,MAX('Data Pura Costos'!$E$7:$E$3000)*1000,'Data Pura Costos'!E2630))</f>
        <v/>
      </c>
      <c r="F2630" s="5" t="str">
        <f>+IF('Data Pura Costos'!F2630="","",'Data Pura Costos'!F2630)</f>
        <v/>
      </c>
      <c r="G2630" s="5" t="str">
        <f>+IF('Data Pura Costos'!G2630="","",'Data Pura Costos'!G2630)</f>
        <v/>
      </c>
      <c r="H2630" s="52" t="str">
        <f>+IF('Data Pura Costos'!H2630="","",'Data Pura Costos'!H2630)</f>
        <v/>
      </c>
      <c r="I2630" s="71" t="str">
        <f>+IF('Data Pura Costos'!I2630="","",'Data Pura Costos'!I2630)</f>
        <v/>
      </c>
      <c r="J2630" s="52" t="str">
        <f>+IF('Data Pura Costos'!J2630="","",'Data Pura Costos'!J2630)</f>
        <v/>
      </c>
      <c r="K2630" s="82" t="str">
        <f t="shared" si="46"/>
        <v/>
      </c>
    </row>
    <row r="2631" spans="2:11" x14ac:dyDescent="0.35">
      <c r="B2631" s="4" t="str">
        <f>+IF('Data Pura Costos'!B2631="","",'Data Pura Costos'!B2631)</f>
        <v/>
      </c>
      <c r="C2631" s="4" t="str">
        <f>+IF('Data Pura Costos'!C2631="","",'Data Pura Costos'!C2631)</f>
        <v/>
      </c>
      <c r="D2631" s="5" t="str">
        <f>+IF('Data Pura Costos'!D2631="","",'Data Pura Costos'!D2631)</f>
        <v/>
      </c>
      <c r="E2631" s="65" t="str">
        <f>+IF('Data Pura Costos'!E2631="","",IF('Data Pura Costos'!E2631=0,MAX('Data Pura Costos'!$E$7:$E$3000)*1000,'Data Pura Costos'!E2631))</f>
        <v/>
      </c>
      <c r="F2631" s="5" t="str">
        <f>+IF('Data Pura Costos'!F2631="","",'Data Pura Costos'!F2631)</f>
        <v/>
      </c>
      <c r="G2631" s="5" t="str">
        <f>+IF('Data Pura Costos'!G2631="","",'Data Pura Costos'!G2631)</f>
        <v/>
      </c>
      <c r="H2631" s="52" t="str">
        <f>+IF('Data Pura Costos'!H2631="","",'Data Pura Costos'!H2631)</f>
        <v/>
      </c>
      <c r="I2631" s="71" t="str">
        <f>+IF('Data Pura Costos'!I2631="","",'Data Pura Costos'!I2631)</f>
        <v/>
      </c>
      <c r="J2631" s="52" t="str">
        <f>+IF('Data Pura Costos'!J2631="","",'Data Pura Costos'!J2631)</f>
        <v/>
      </c>
      <c r="K2631" s="82" t="str">
        <f t="shared" si="46"/>
        <v/>
      </c>
    </row>
    <row r="2632" spans="2:11" x14ac:dyDescent="0.35">
      <c r="B2632" s="4" t="str">
        <f>+IF('Data Pura Costos'!B2632="","",'Data Pura Costos'!B2632)</f>
        <v/>
      </c>
      <c r="C2632" s="4" t="str">
        <f>+IF('Data Pura Costos'!C2632="","",'Data Pura Costos'!C2632)</f>
        <v/>
      </c>
      <c r="D2632" s="5" t="str">
        <f>+IF('Data Pura Costos'!D2632="","",'Data Pura Costos'!D2632)</f>
        <v/>
      </c>
      <c r="E2632" s="65" t="str">
        <f>+IF('Data Pura Costos'!E2632="","",IF('Data Pura Costos'!E2632=0,MAX('Data Pura Costos'!$E$7:$E$3000)*1000,'Data Pura Costos'!E2632))</f>
        <v/>
      </c>
      <c r="F2632" s="5" t="str">
        <f>+IF('Data Pura Costos'!F2632="","",'Data Pura Costos'!F2632)</f>
        <v/>
      </c>
      <c r="G2632" s="5" t="str">
        <f>+IF('Data Pura Costos'!G2632="","",'Data Pura Costos'!G2632)</f>
        <v/>
      </c>
      <c r="H2632" s="52" t="str">
        <f>+IF('Data Pura Costos'!H2632="","",'Data Pura Costos'!H2632)</f>
        <v/>
      </c>
      <c r="I2632" s="71" t="str">
        <f>+IF('Data Pura Costos'!I2632="","",'Data Pura Costos'!I2632)</f>
        <v/>
      </c>
      <c r="J2632" s="52" t="str">
        <f>+IF('Data Pura Costos'!J2632="","",'Data Pura Costos'!J2632)</f>
        <v/>
      </c>
      <c r="K2632" s="82" t="str">
        <f t="shared" si="46"/>
        <v/>
      </c>
    </row>
    <row r="2633" spans="2:11" x14ac:dyDescent="0.35">
      <c r="B2633" s="4" t="str">
        <f>+IF('Data Pura Costos'!B2633="","",'Data Pura Costos'!B2633)</f>
        <v/>
      </c>
      <c r="C2633" s="4" t="str">
        <f>+IF('Data Pura Costos'!C2633="","",'Data Pura Costos'!C2633)</f>
        <v/>
      </c>
      <c r="D2633" s="5" t="str">
        <f>+IF('Data Pura Costos'!D2633="","",'Data Pura Costos'!D2633)</f>
        <v/>
      </c>
      <c r="E2633" s="65" t="str">
        <f>+IF('Data Pura Costos'!E2633="","",IF('Data Pura Costos'!E2633=0,MAX('Data Pura Costos'!$E$7:$E$3000)*1000,'Data Pura Costos'!E2633))</f>
        <v/>
      </c>
      <c r="F2633" s="5" t="str">
        <f>+IF('Data Pura Costos'!F2633="","",'Data Pura Costos'!F2633)</f>
        <v/>
      </c>
      <c r="G2633" s="5" t="str">
        <f>+IF('Data Pura Costos'!G2633="","",'Data Pura Costos'!G2633)</f>
        <v/>
      </c>
      <c r="H2633" s="52" t="str">
        <f>+IF('Data Pura Costos'!H2633="","",'Data Pura Costos'!H2633)</f>
        <v/>
      </c>
      <c r="I2633" s="71" t="str">
        <f>+IF('Data Pura Costos'!I2633="","",'Data Pura Costos'!I2633)</f>
        <v/>
      </c>
      <c r="J2633" s="52" t="str">
        <f>+IF('Data Pura Costos'!J2633="","",'Data Pura Costos'!J2633)</f>
        <v/>
      </c>
      <c r="K2633" s="82" t="str">
        <f t="shared" si="46"/>
        <v/>
      </c>
    </row>
    <row r="2634" spans="2:11" x14ac:dyDescent="0.35">
      <c r="B2634" s="4" t="str">
        <f>+IF('Data Pura Costos'!B2634="","",'Data Pura Costos'!B2634)</f>
        <v/>
      </c>
      <c r="C2634" s="4" t="str">
        <f>+IF('Data Pura Costos'!C2634="","",'Data Pura Costos'!C2634)</f>
        <v/>
      </c>
      <c r="D2634" s="5" t="str">
        <f>+IF('Data Pura Costos'!D2634="","",'Data Pura Costos'!D2634)</f>
        <v/>
      </c>
      <c r="E2634" s="65" t="str">
        <f>+IF('Data Pura Costos'!E2634="","",IF('Data Pura Costos'!E2634=0,MAX('Data Pura Costos'!$E$7:$E$3000)*1000,'Data Pura Costos'!E2634))</f>
        <v/>
      </c>
      <c r="F2634" s="5" t="str">
        <f>+IF('Data Pura Costos'!F2634="","",'Data Pura Costos'!F2634)</f>
        <v/>
      </c>
      <c r="G2634" s="5" t="str">
        <f>+IF('Data Pura Costos'!G2634="","",'Data Pura Costos'!G2634)</f>
        <v/>
      </c>
      <c r="H2634" s="52" t="str">
        <f>+IF('Data Pura Costos'!H2634="","",'Data Pura Costos'!H2634)</f>
        <v/>
      </c>
      <c r="I2634" s="71" t="str">
        <f>+IF('Data Pura Costos'!I2634="","",'Data Pura Costos'!I2634)</f>
        <v/>
      </c>
      <c r="J2634" s="52" t="str">
        <f>+IF('Data Pura Costos'!J2634="","",'Data Pura Costos'!J2634)</f>
        <v/>
      </c>
      <c r="K2634" s="82" t="str">
        <f t="shared" si="46"/>
        <v/>
      </c>
    </row>
    <row r="2635" spans="2:11" x14ac:dyDescent="0.35">
      <c r="B2635" s="4" t="str">
        <f>+IF('Data Pura Costos'!B2635="","",'Data Pura Costos'!B2635)</f>
        <v/>
      </c>
      <c r="C2635" s="4" t="str">
        <f>+IF('Data Pura Costos'!C2635="","",'Data Pura Costos'!C2635)</f>
        <v/>
      </c>
      <c r="D2635" s="5" t="str">
        <f>+IF('Data Pura Costos'!D2635="","",'Data Pura Costos'!D2635)</f>
        <v/>
      </c>
      <c r="E2635" s="65" t="str">
        <f>+IF('Data Pura Costos'!E2635="","",IF('Data Pura Costos'!E2635=0,MAX('Data Pura Costos'!$E$7:$E$3000)*1000,'Data Pura Costos'!E2635))</f>
        <v/>
      </c>
      <c r="F2635" s="5" t="str">
        <f>+IF('Data Pura Costos'!F2635="","",'Data Pura Costos'!F2635)</f>
        <v/>
      </c>
      <c r="G2635" s="5" t="str">
        <f>+IF('Data Pura Costos'!G2635="","",'Data Pura Costos'!G2635)</f>
        <v/>
      </c>
      <c r="H2635" s="52" t="str">
        <f>+IF('Data Pura Costos'!H2635="","",'Data Pura Costos'!H2635)</f>
        <v/>
      </c>
      <c r="I2635" s="71" t="str">
        <f>+IF('Data Pura Costos'!I2635="","",'Data Pura Costos'!I2635)</f>
        <v/>
      </c>
      <c r="J2635" s="52" t="str">
        <f>+IF('Data Pura Costos'!J2635="","",'Data Pura Costos'!J2635)</f>
        <v/>
      </c>
      <c r="K2635" s="82" t="str">
        <f t="shared" si="46"/>
        <v/>
      </c>
    </row>
    <row r="2636" spans="2:11" x14ac:dyDescent="0.35">
      <c r="B2636" s="4" t="str">
        <f>+IF('Data Pura Costos'!B2636="","",'Data Pura Costos'!B2636)</f>
        <v/>
      </c>
      <c r="C2636" s="4" t="str">
        <f>+IF('Data Pura Costos'!C2636="","",'Data Pura Costos'!C2636)</f>
        <v/>
      </c>
      <c r="D2636" s="5" t="str">
        <f>+IF('Data Pura Costos'!D2636="","",'Data Pura Costos'!D2636)</f>
        <v/>
      </c>
      <c r="E2636" s="65" t="str">
        <f>+IF('Data Pura Costos'!E2636="","",IF('Data Pura Costos'!E2636=0,MAX('Data Pura Costos'!$E$7:$E$3000)*1000,'Data Pura Costos'!E2636))</f>
        <v/>
      </c>
      <c r="F2636" s="5" t="str">
        <f>+IF('Data Pura Costos'!F2636="","",'Data Pura Costos'!F2636)</f>
        <v/>
      </c>
      <c r="G2636" s="5" t="str">
        <f>+IF('Data Pura Costos'!G2636="","",'Data Pura Costos'!G2636)</f>
        <v/>
      </c>
      <c r="H2636" s="52" t="str">
        <f>+IF('Data Pura Costos'!H2636="","",'Data Pura Costos'!H2636)</f>
        <v/>
      </c>
      <c r="I2636" s="71" t="str">
        <f>+IF('Data Pura Costos'!I2636="","",'Data Pura Costos'!I2636)</f>
        <v/>
      </c>
      <c r="J2636" s="52" t="str">
        <f>+IF('Data Pura Costos'!J2636="","",'Data Pura Costos'!J2636)</f>
        <v/>
      </c>
      <c r="K2636" s="82" t="str">
        <f t="shared" si="46"/>
        <v/>
      </c>
    </row>
    <row r="2637" spans="2:11" x14ac:dyDescent="0.35">
      <c r="B2637" s="4" t="str">
        <f>+IF('Data Pura Costos'!B2637="","",'Data Pura Costos'!B2637)</f>
        <v/>
      </c>
      <c r="C2637" s="4" t="str">
        <f>+IF('Data Pura Costos'!C2637="","",'Data Pura Costos'!C2637)</f>
        <v/>
      </c>
      <c r="D2637" s="5" t="str">
        <f>+IF('Data Pura Costos'!D2637="","",'Data Pura Costos'!D2637)</f>
        <v/>
      </c>
      <c r="E2637" s="65" t="str">
        <f>+IF('Data Pura Costos'!E2637="","",IF('Data Pura Costos'!E2637=0,MAX('Data Pura Costos'!$E$7:$E$3000)*1000,'Data Pura Costos'!E2637))</f>
        <v/>
      </c>
      <c r="F2637" s="5" t="str">
        <f>+IF('Data Pura Costos'!F2637="","",'Data Pura Costos'!F2637)</f>
        <v/>
      </c>
      <c r="G2637" s="5" t="str">
        <f>+IF('Data Pura Costos'!G2637="","",'Data Pura Costos'!G2637)</f>
        <v/>
      </c>
      <c r="H2637" s="52" t="str">
        <f>+IF('Data Pura Costos'!H2637="","",'Data Pura Costos'!H2637)</f>
        <v/>
      </c>
      <c r="I2637" s="71" t="str">
        <f>+IF('Data Pura Costos'!I2637="","",'Data Pura Costos'!I2637)</f>
        <v/>
      </c>
      <c r="J2637" s="52" t="str">
        <f>+IF('Data Pura Costos'!J2637="","",'Data Pura Costos'!J2637)</f>
        <v/>
      </c>
      <c r="K2637" s="82" t="str">
        <f t="shared" si="46"/>
        <v/>
      </c>
    </row>
    <row r="2638" spans="2:11" x14ac:dyDescent="0.35">
      <c r="B2638" s="4" t="str">
        <f>+IF('Data Pura Costos'!B2638="","",'Data Pura Costos'!B2638)</f>
        <v/>
      </c>
      <c r="C2638" s="4" t="str">
        <f>+IF('Data Pura Costos'!C2638="","",'Data Pura Costos'!C2638)</f>
        <v/>
      </c>
      <c r="D2638" s="5" t="str">
        <f>+IF('Data Pura Costos'!D2638="","",'Data Pura Costos'!D2638)</f>
        <v/>
      </c>
      <c r="E2638" s="65" t="str">
        <f>+IF('Data Pura Costos'!E2638="","",IF('Data Pura Costos'!E2638=0,MAX('Data Pura Costos'!$E$7:$E$3000)*1000,'Data Pura Costos'!E2638))</f>
        <v/>
      </c>
      <c r="F2638" s="5" t="str">
        <f>+IF('Data Pura Costos'!F2638="","",'Data Pura Costos'!F2638)</f>
        <v/>
      </c>
      <c r="G2638" s="5" t="str">
        <f>+IF('Data Pura Costos'!G2638="","",'Data Pura Costos'!G2638)</f>
        <v/>
      </c>
      <c r="H2638" s="52" t="str">
        <f>+IF('Data Pura Costos'!H2638="","",'Data Pura Costos'!H2638)</f>
        <v/>
      </c>
      <c r="I2638" s="71" t="str">
        <f>+IF('Data Pura Costos'!I2638="","",'Data Pura Costos'!I2638)</f>
        <v/>
      </c>
      <c r="J2638" s="52" t="str">
        <f>+IF('Data Pura Costos'!J2638="","",'Data Pura Costos'!J2638)</f>
        <v/>
      </c>
      <c r="K2638" s="82" t="str">
        <f t="shared" si="46"/>
        <v/>
      </c>
    </row>
    <row r="2639" spans="2:11" x14ac:dyDescent="0.35">
      <c r="B2639" s="4" t="str">
        <f>+IF('Data Pura Costos'!B2639="","",'Data Pura Costos'!B2639)</f>
        <v/>
      </c>
      <c r="C2639" s="4" t="str">
        <f>+IF('Data Pura Costos'!C2639="","",'Data Pura Costos'!C2639)</f>
        <v/>
      </c>
      <c r="D2639" s="5" t="str">
        <f>+IF('Data Pura Costos'!D2639="","",'Data Pura Costos'!D2639)</f>
        <v/>
      </c>
      <c r="E2639" s="65" t="str">
        <f>+IF('Data Pura Costos'!E2639="","",IF('Data Pura Costos'!E2639=0,MAX('Data Pura Costos'!$E$7:$E$3000)*1000,'Data Pura Costos'!E2639))</f>
        <v/>
      </c>
      <c r="F2639" s="5" t="str">
        <f>+IF('Data Pura Costos'!F2639="","",'Data Pura Costos'!F2639)</f>
        <v/>
      </c>
      <c r="G2639" s="5" t="str">
        <f>+IF('Data Pura Costos'!G2639="","",'Data Pura Costos'!G2639)</f>
        <v/>
      </c>
      <c r="H2639" s="52" t="str">
        <f>+IF('Data Pura Costos'!H2639="","",'Data Pura Costos'!H2639)</f>
        <v/>
      </c>
      <c r="I2639" s="71" t="str">
        <f>+IF('Data Pura Costos'!I2639="","",'Data Pura Costos'!I2639)</f>
        <v/>
      </c>
      <c r="J2639" s="52" t="str">
        <f>+IF('Data Pura Costos'!J2639="","",'Data Pura Costos'!J2639)</f>
        <v/>
      </c>
      <c r="K2639" s="82" t="str">
        <f t="shared" si="46"/>
        <v/>
      </c>
    </row>
    <row r="2640" spans="2:11" x14ac:dyDescent="0.35">
      <c r="B2640" s="4" t="str">
        <f>+IF('Data Pura Costos'!B2640="","",'Data Pura Costos'!B2640)</f>
        <v/>
      </c>
      <c r="C2640" s="4" t="str">
        <f>+IF('Data Pura Costos'!C2640="","",'Data Pura Costos'!C2640)</f>
        <v/>
      </c>
      <c r="D2640" s="5" t="str">
        <f>+IF('Data Pura Costos'!D2640="","",'Data Pura Costos'!D2640)</f>
        <v/>
      </c>
      <c r="E2640" s="65" t="str">
        <f>+IF('Data Pura Costos'!E2640="","",IF('Data Pura Costos'!E2640=0,MAX('Data Pura Costos'!$E$7:$E$3000)*1000,'Data Pura Costos'!E2640))</f>
        <v/>
      </c>
      <c r="F2640" s="5" t="str">
        <f>+IF('Data Pura Costos'!F2640="","",'Data Pura Costos'!F2640)</f>
        <v/>
      </c>
      <c r="G2640" s="5" t="str">
        <f>+IF('Data Pura Costos'!G2640="","",'Data Pura Costos'!G2640)</f>
        <v/>
      </c>
      <c r="H2640" s="52" t="str">
        <f>+IF('Data Pura Costos'!H2640="","",'Data Pura Costos'!H2640)</f>
        <v/>
      </c>
      <c r="I2640" s="71" t="str">
        <f>+IF('Data Pura Costos'!I2640="","",'Data Pura Costos'!I2640)</f>
        <v/>
      </c>
      <c r="J2640" s="52" t="str">
        <f>+IF('Data Pura Costos'!J2640="","",'Data Pura Costos'!J2640)</f>
        <v/>
      </c>
      <c r="K2640" s="82" t="str">
        <f t="shared" si="46"/>
        <v/>
      </c>
    </row>
    <row r="2641" spans="2:11" x14ac:dyDescent="0.35">
      <c r="B2641" s="4" t="str">
        <f>+IF('Data Pura Costos'!B2641="","",'Data Pura Costos'!B2641)</f>
        <v/>
      </c>
      <c r="C2641" s="4" t="str">
        <f>+IF('Data Pura Costos'!C2641="","",'Data Pura Costos'!C2641)</f>
        <v/>
      </c>
      <c r="D2641" s="5" t="str">
        <f>+IF('Data Pura Costos'!D2641="","",'Data Pura Costos'!D2641)</f>
        <v/>
      </c>
      <c r="E2641" s="65" t="str">
        <f>+IF('Data Pura Costos'!E2641="","",IF('Data Pura Costos'!E2641=0,MAX('Data Pura Costos'!$E$7:$E$3000)*1000,'Data Pura Costos'!E2641))</f>
        <v/>
      </c>
      <c r="F2641" s="5" t="str">
        <f>+IF('Data Pura Costos'!F2641="","",'Data Pura Costos'!F2641)</f>
        <v/>
      </c>
      <c r="G2641" s="5" t="str">
        <f>+IF('Data Pura Costos'!G2641="","",'Data Pura Costos'!G2641)</f>
        <v/>
      </c>
      <c r="H2641" s="52" t="str">
        <f>+IF('Data Pura Costos'!H2641="","",'Data Pura Costos'!H2641)</f>
        <v/>
      </c>
      <c r="I2641" s="71" t="str">
        <f>+IF('Data Pura Costos'!I2641="","",'Data Pura Costos'!I2641)</f>
        <v/>
      </c>
      <c r="J2641" s="52" t="str">
        <f>+IF('Data Pura Costos'!J2641="","",'Data Pura Costos'!J2641)</f>
        <v/>
      </c>
      <c r="K2641" s="82" t="str">
        <f t="shared" si="46"/>
        <v/>
      </c>
    </row>
    <row r="2642" spans="2:11" x14ac:dyDescent="0.35">
      <c r="B2642" s="4" t="str">
        <f>+IF('Data Pura Costos'!B2642="","",'Data Pura Costos'!B2642)</f>
        <v/>
      </c>
      <c r="C2642" s="4" t="str">
        <f>+IF('Data Pura Costos'!C2642="","",'Data Pura Costos'!C2642)</f>
        <v/>
      </c>
      <c r="D2642" s="5" t="str">
        <f>+IF('Data Pura Costos'!D2642="","",'Data Pura Costos'!D2642)</f>
        <v/>
      </c>
      <c r="E2642" s="65" t="str">
        <f>+IF('Data Pura Costos'!E2642="","",IF('Data Pura Costos'!E2642=0,MAX('Data Pura Costos'!$E$7:$E$3000)*1000,'Data Pura Costos'!E2642))</f>
        <v/>
      </c>
      <c r="F2642" s="5" t="str">
        <f>+IF('Data Pura Costos'!F2642="","",'Data Pura Costos'!F2642)</f>
        <v/>
      </c>
      <c r="G2642" s="5" t="str">
        <f>+IF('Data Pura Costos'!G2642="","",'Data Pura Costos'!G2642)</f>
        <v/>
      </c>
      <c r="H2642" s="52" t="str">
        <f>+IF('Data Pura Costos'!H2642="","",'Data Pura Costos'!H2642)</f>
        <v/>
      </c>
      <c r="I2642" s="71" t="str">
        <f>+IF('Data Pura Costos'!I2642="","",'Data Pura Costos'!I2642)</f>
        <v/>
      </c>
      <c r="J2642" s="52" t="str">
        <f>+IF('Data Pura Costos'!J2642="","",'Data Pura Costos'!J2642)</f>
        <v/>
      </c>
      <c r="K2642" s="82" t="str">
        <f t="shared" si="46"/>
        <v/>
      </c>
    </row>
    <row r="2643" spans="2:11" x14ac:dyDescent="0.35">
      <c r="B2643" s="4" t="str">
        <f>+IF('Data Pura Costos'!B2643="","",'Data Pura Costos'!B2643)</f>
        <v/>
      </c>
      <c r="C2643" s="4" t="str">
        <f>+IF('Data Pura Costos'!C2643="","",'Data Pura Costos'!C2643)</f>
        <v/>
      </c>
      <c r="D2643" s="5" t="str">
        <f>+IF('Data Pura Costos'!D2643="","",'Data Pura Costos'!D2643)</f>
        <v/>
      </c>
      <c r="E2643" s="65" t="str">
        <f>+IF('Data Pura Costos'!E2643="","",IF('Data Pura Costos'!E2643=0,MAX('Data Pura Costos'!$E$7:$E$3000)*1000,'Data Pura Costos'!E2643))</f>
        <v/>
      </c>
      <c r="F2643" s="5" t="str">
        <f>+IF('Data Pura Costos'!F2643="","",'Data Pura Costos'!F2643)</f>
        <v/>
      </c>
      <c r="G2643" s="5" t="str">
        <f>+IF('Data Pura Costos'!G2643="","",'Data Pura Costos'!G2643)</f>
        <v/>
      </c>
      <c r="H2643" s="52" t="str">
        <f>+IF('Data Pura Costos'!H2643="","",'Data Pura Costos'!H2643)</f>
        <v/>
      </c>
      <c r="I2643" s="71" t="str">
        <f>+IF('Data Pura Costos'!I2643="","",'Data Pura Costos'!I2643)</f>
        <v/>
      </c>
      <c r="J2643" s="52" t="str">
        <f>+IF('Data Pura Costos'!J2643="","",'Data Pura Costos'!J2643)</f>
        <v/>
      </c>
      <c r="K2643" s="82" t="str">
        <f t="shared" si="46"/>
        <v/>
      </c>
    </row>
    <row r="2644" spans="2:11" x14ac:dyDescent="0.35">
      <c r="B2644" s="4" t="str">
        <f>+IF('Data Pura Costos'!B2644="","",'Data Pura Costos'!B2644)</f>
        <v/>
      </c>
      <c r="C2644" s="4" t="str">
        <f>+IF('Data Pura Costos'!C2644="","",'Data Pura Costos'!C2644)</f>
        <v/>
      </c>
      <c r="D2644" s="5" t="str">
        <f>+IF('Data Pura Costos'!D2644="","",'Data Pura Costos'!D2644)</f>
        <v/>
      </c>
      <c r="E2644" s="65" t="str">
        <f>+IF('Data Pura Costos'!E2644="","",IF('Data Pura Costos'!E2644=0,MAX('Data Pura Costos'!$E$7:$E$3000)*1000,'Data Pura Costos'!E2644))</f>
        <v/>
      </c>
      <c r="F2644" s="5" t="str">
        <f>+IF('Data Pura Costos'!F2644="","",'Data Pura Costos'!F2644)</f>
        <v/>
      </c>
      <c r="G2644" s="5" t="str">
        <f>+IF('Data Pura Costos'!G2644="","",'Data Pura Costos'!G2644)</f>
        <v/>
      </c>
      <c r="H2644" s="52" t="str">
        <f>+IF('Data Pura Costos'!H2644="","",'Data Pura Costos'!H2644)</f>
        <v/>
      </c>
      <c r="I2644" s="71" t="str">
        <f>+IF('Data Pura Costos'!I2644="","",'Data Pura Costos'!I2644)</f>
        <v/>
      </c>
      <c r="J2644" s="52" t="str">
        <f>+IF('Data Pura Costos'!J2644="","",'Data Pura Costos'!J2644)</f>
        <v/>
      </c>
      <c r="K2644" s="82" t="str">
        <f t="shared" si="46"/>
        <v/>
      </c>
    </row>
    <row r="2645" spans="2:11" x14ac:dyDescent="0.35">
      <c r="B2645" s="4" t="str">
        <f>+IF('Data Pura Costos'!B2645="","",'Data Pura Costos'!B2645)</f>
        <v/>
      </c>
      <c r="C2645" s="4" t="str">
        <f>+IF('Data Pura Costos'!C2645="","",'Data Pura Costos'!C2645)</f>
        <v/>
      </c>
      <c r="D2645" s="5" t="str">
        <f>+IF('Data Pura Costos'!D2645="","",'Data Pura Costos'!D2645)</f>
        <v/>
      </c>
      <c r="E2645" s="65" t="str">
        <f>+IF('Data Pura Costos'!E2645="","",IF('Data Pura Costos'!E2645=0,MAX('Data Pura Costos'!$E$7:$E$3000)*1000,'Data Pura Costos'!E2645))</f>
        <v/>
      </c>
      <c r="F2645" s="5" t="str">
        <f>+IF('Data Pura Costos'!F2645="","",'Data Pura Costos'!F2645)</f>
        <v/>
      </c>
      <c r="G2645" s="5" t="str">
        <f>+IF('Data Pura Costos'!G2645="","",'Data Pura Costos'!G2645)</f>
        <v/>
      </c>
      <c r="H2645" s="52" t="str">
        <f>+IF('Data Pura Costos'!H2645="","",'Data Pura Costos'!H2645)</f>
        <v/>
      </c>
      <c r="I2645" s="71" t="str">
        <f>+IF('Data Pura Costos'!I2645="","",'Data Pura Costos'!I2645)</f>
        <v/>
      </c>
      <c r="J2645" s="52" t="str">
        <f>+IF('Data Pura Costos'!J2645="","",'Data Pura Costos'!J2645)</f>
        <v/>
      </c>
      <c r="K2645" s="82" t="str">
        <f t="shared" si="46"/>
        <v/>
      </c>
    </row>
    <row r="2646" spans="2:11" x14ac:dyDescent="0.35">
      <c r="B2646" s="4" t="str">
        <f>+IF('Data Pura Costos'!B2646="","",'Data Pura Costos'!B2646)</f>
        <v/>
      </c>
      <c r="C2646" s="4" t="str">
        <f>+IF('Data Pura Costos'!C2646="","",'Data Pura Costos'!C2646)</f>
        <v/>
      </c>
      <c r="D2646" s="5" t="str">
        <f>+IF('Data Pura Costos'!D2646="","",'Data Pura Costos'!D2646)</f>
        <v/>
      </c>
      <c r="E2646" s="65" t="str">
        <f>+IF('Data Pura Costos'!E2646="","",IF('Data Pura Costos'!E2646=0,MAX('Data Pura Costos'!$E$7:$E$3000)*1000,'Data Pura Costos'!E2646))</f>
        <v/>
      </c>
      <c r="F2646" s="5" t="str">
        <f>+IF('Data Pura Costos'!F2646="","",'Data Pura Costos'!F2646)</f>
        <v/>
      </c>
      <c r="G2646" s="5" t="str">
        <f>+IF('Data Pura Costos'!G2646="","",'Data Pura Costos'!G2646)</f>
        <v/>
      </c>
      <c r="H2646" s="52" t="str">
        <f>+IF('Data Pura Costos'!H2646="","",'Data Pura Costos'!H2646)</f>
        <v/>
      </c>
      <c r="I2646" s="71" t="str">
        <f>+IF('Data Pura Costos'!I2646="","",'Data Pura Costos'!I2646)</f>
        <v/>
      </c>
      <c r="J2646" s="52" t="str">
        <f>+IF('Data Pura Costos'!J2646="","",'Data Pura Costos'!J2646)</f>
        <v/>
      </c>
      <c r="K2646" s="82" t="str">
        <f t="shared" si="46"/>
        <v/>
      </c>
    </row>
    <row r="2647" spans="2:11" x14ac:dyDescent="0.35">
      <c r="B2647" s="4" t="str">
        <f>+IF('Data Pura Costos'!B2647="","",'Data Pura Costos'!B2647)</f>
        <v/>
      </c>
      <c r="C2647" s="4" t="str">
        <f>+IF('Data Pura Costos'!C2647="","",'Data Pura Costos'!C2647)</f>
        <v/>
      </c>
      <c r="D2647" s="5" t="str">
        <f>+IF('Data Pura Costos'!D2647="","",'Data Pura Costos'!D2647)</f>
        <v/>
      </c>
      <c r="E2647" s="65" t="str">
        <f>+IF('Data Pura Costos'!E2647="","",IF('Data Pura Costos'!E2647=0,MAX('Data Pura Costos'!$E$7:$E$3000)*1000,'Data Pura Costos'!E2647))</f>
        <v/>
      </c>
      <c r="F2647" s="5" t="str">
        <f>+IF('Data Pura Costos'!F2647="","",'Data Pura Costos'!F2647)</f>
        <v/>
      </c>
      <c r="G2647" s="5" t="str">
        <f>+IF('Data Pura Costos'!G2647="","",'Data Pura Costos'!G2647)</f>
        <v/>
      </c>
      <c r="H2647" s="52" t="str">
        <f>+IF('Data Pura Costos'!H2647="","",'Data Pura Costos'!H2647)</f>
        <v/>
      </c>
      <c r="I2647" s="71" t="str">
        <f>+IF('Data Pura Costos'!I2647="","",'Data Pura Costos'!I2647)</f>
        <v/>
      </c>
      <c r="J2647" s="52" t="str">
        <f>+IF('Data Pura Costos'!J2647="","",'Data Pura Costos'!J2647)</f>
        <v/>
      </c>
      <c r="K2647" s="82" t="str">
        <f t="shared" si="46"/>
        <v/>
      </c>
    </row>
    <row r="2648" spans="2:11" x14ac:dyDescent="0.35">
      <c r="B2648" s="4" t="str">
        <f>+IF('Data Pura Costos'!B2648="","",'Data Pura Costos'!B2648)</f>
        <v/>
      </c>
      <c r="C2648" s="4" t="str">
        <f>+IF('Data Pura Costos'!C2648="","",'Data Pura Costos'!C2648)</f>
        <v/>
      </c>
      <c r="D2648" s="5" t="str">
        <f>+IF('Data Pura Costos'!D2648="","",'Data Pura Costos'!D2648)</f>
        <v/>
      </c>
      <c r="E2648" s="65" t="str">
        <f>+IF('Data Pura Costos'!E2648="","",IF('Data Pura Costos'!E2648=0,MAX('Data Pura Costos'!$E$7:$E$3000)*1000,'Data Pura Costos'!E2648))</f>
        <v/>
      </c>
      <c r="F2648" s="5" t="str">
        <f>+IF('Data Pura Costos'!F2648="","",'Data Pura Costos'!F2648)</f>
        <v/>
      </c>
      <c r="G2648" s="5" t="str">
        <f>+IF('Data Pura Costos'!G2648="","",'Data Pura Costos'!G2648)</f>
        <v/>
      </c>
      <c r="H2648" s="52" t="str">
        <f>+IF('Data Pura Costos'!H2648="","",'Data Pura Costos'!H2648)</f>
        <v/>
      </c>
      <c r="I2648" s="71" t="str">
        <f>+IF('Data Pura Costos'!I2648="","",'Data Pura Costos'!I2648)</f>
        <v/>
      </c>
      <c r="J2648" s="52" t="str">
        <f>+IF('Data Pura Costos'!J2648="","",'Data Pura Costos'!J2648)</f>
        <v/>
      </c>
      <c r="K2648" s="82" t="str">
        <f t="shared" si="46"/>
        <v/>
      </c>
    </row>
    <row r="2649" spans="2:11" x14ac:dyDescent="0.35">
      <c r="B2649" s="4" t="str">
        <f>+IF('Data Pura Costos'!B2649="","",'Data Pura Costos'!B2649)</f>
        <v/>
      </c>
      <c r="C2649" s="4" t="str">
        <f>+IF('Data Pura Costos'!C2649="","",'Data Pura Costos'!C2649)</f>
        <v/>
      </c>
      <c r="D2649" s="5" t="str">
        <f>+IF('Data Pura Costos'!D2649="","",'Data Pura Costos'!D2649)</f>
        <v/>
      </c>
      <c r="E2649" s="65" t="str">
        <f>+IF('Data Pura Costos'!E2649="","",IF('Data Pura Costos'!E2649=0,MAX('Data Pura Costos'!$E$7:$E$3000)*1000,'Data Pura Costos'!E2649))</f>
        <v/>
      </c>
      <c r="F2649" s="5" t="str">
        <f>+IF('Data Pura Costos'!F2649="","",'Data Pura Costos'!F2649)</f>
        <v/>
      </c>
      <c r="G2649" s="5" t="str">
        <f>+IF('Data Pura Costos'!G2649="","",'Data Pura Costos'!G2649)</f>
        <v/>
      </c>
      <c r="H2649" s="52" t="str">
        <f>+IF('Data Pura Costos'!H2649="","",'Data Pura Costos'!H2649)</f>
        <v/>
      </c>
      <c r="I2649" s="71" t="str">
        <f>+IF('Data Pura Costos'!I2649="","",'Data Pura Costos'!I2649)</f>
        <v/>
      </c>
      <c r="J2649" s="52" t="str">
        <f>+IF('Data Pura Costos'!J2649="","",'Data Pura Costos'!J2649)</f>
        <v/>
      </c>
      <c r="K2649" s="82" t="str">
        <f t="shared" si="46"/>
        <v/>
      </c>
    </row>
    <row r="2650" spans="2:11" x14ac:dyDescent="0.35">
      <c r="B2650" s="4" t="str">
        <f>+IF('Data Pura Costos'!B2650="","",'Data Pura Costos'!B2650)</f>
        <v/>
      </c>
      <c r="C2650" s="4" t="str">
        <f>+IF('Data Pura Costos'!C2650="","",'Data Pura Costos'!C2650)</f>
        <v/>
      </c>
      <c r="D2650" s="5" t="str">
        <f>+IF('Data Pura Costos'!D2650="","",'Data Pura Costos'!D2650)</f>
        <v/>
      </c>
      <c r="E2650" s="65" t="str">
        <f>+IF('Data Pura Costos'!E2650="","",IF('Data Pura Costos'!E2650=0,MAX('Data Pura Costos'!$E$7:$E$3000)*1000,'Data Pura Costos'!E2650))</f>
        <v/>
      </c>
      <c r="F2650" s="5" t="str">
        <f>+IF('Data Pura Costos'!F2650="","",'Data Pura Costos'!F2650)</f>
        <v/>
      </c>
      <c r="G2650" s="5" t="str">
        <f>+IF('Data Pura Costos'!G2650="","",'Data Pura Costos'!G2650)</f>
        <v/>
      </c>
      <c r="H2650" s="52" t="str">
        <f>+IF('Data Pura Costos'!H2650="","",'Data Pura Costos'!H2650)</f>
        <v/>
      </c>
      <c r="I2650" s="71" t="str">
        <f>+IF('Data Pura Costos'!I2650="","",'Data Pura Costos'!I2650)</f>
        <v/>
      </c>
      <c r="J2650" s="52" t="str">
        <f>+IF('Data Pura Costos'!J2650="","",'Data Pura Costos'!J2650)</f>
        <v/>
      </c>
      <c r="K2650" s="82" t="str">
        <f t="shared" si="46"/>
        <v/>
      </c>
    </row>
    <row r="2651" spans="2:11" x14ac:dyDescent="0.35">
      <c r="B2651" s="4" t="str">
        <f>+IF('Data Pura Costos'!B2651="","",'Data Pura Costos'!B2651)</f>
        <v/>
      </c>
      <c r="C2651" s="4" t="str">
        <f>+IF('Data Pura Costos'!C2651="","",'Data Pura Costos'!C2651)</f>
        <v/>
      </c>
      <c r="D2651" s="5" t="str">
        <f>+IF('Data Pura Costos'!D2651="","",'Data Pura Costos'!D2651)</f>
        <v/>
      </c>
      <c r="E2651" s="65" t="str">
        <f>+IF('Data Pura Costos'!E2651="","",IF('Data Pura Costos'!E2651=0,MAX('Data Pura Costos'!$E$7:$E$3000)*1000,'Data Pura Costos'!E2651))</f>
        <v/>
      </c>
      <c r="F2651" s="5" t="str">
        <f>+IF('Data Pura Costos'!F2651="","",'Data Pura Costos'!F2651)</f>
        <v/>
      </c>
      <c r="G2651" s="5" t="str">
        <f>+IF('Data Pura Costos'!G2651="","",'Data Pura Costos'!G2651)</f>
        <v/>
      </c>
      <c r="H2651" s="52" t="str">
        <f>+IF('Data Pura Costos'!H2651="","",'Data Pura Costos'!H2651)</f>
        <v/>
      </c>
      <c r="I2651" s="71" t="str">
        <f>+IF('Data Pura Costos'!I2651="","",'Data Pura Costos'!I2651)</f>
        <v/>
      </c>
      <c r="J2651" s="52" t="str">
        <f>+IF('Data Pura Costos'!J2651="","",'Data Pura Costos'!J2651)</f>
        <v/>
      </c>
      <c r="K2651" s="82" t="str">
        <f t="shared" si="46"/>
        <v/>
      </c>
    </row>
    <row r="2652" spans="2:11" x14ac:dyDescent="0.35">
      <c r="B2652" s="4" t="str">
        <f>+IF('Data Pura Costos'!B2652="","",'Data Pura Costos'!B2652)</f>
        <v/>
      </c>
      <c r="C2652" s="4" t="str">
        <f>+IF('Data Pura Costos'!C2652="","",'Data Pura Costos'!C2652)</f>
        <v/>
      </c>
      <c r="D2652" s="5" t="str">
        <f>+IF('Data Pura Costos'!D2652="","",'Data Pura Costos'!D2652)</f>
        <v/>
      </c>
      <c r="E2652" s="65" t="str">
        <f>+IF('Data Pura Costos'!E2652="","",IF('Data Pura Costos'!E2652=0,MAX('Data Pura Costos'!$E$7:$E$3000)*1000,'Data Pura Costos'!E2652))</f>
        <v/>
      </c>
      <c r="F2652" s="5" t="str">
        <f>+IF('Data Pura Costos'!F2652="","",'Data Pura Costos'!F2652)</f>
        <v/>
      </c>
      <c r="G2652" s="5" t="str">
        <f>+IF('Data Pura Costos'!G2652="","",'Data Pura Costos'!G2652)</f>
        <v/>
      </c>
      <c r="H2652" s="52" t="str">
        <f>+IF('Data Pura Costos'!H2652="","",'Data Pura Costos'!H2652)</f>
        <v/>
      </c>
      <c r="I2652" s="71" t="str">
        <f>+IF('Data Pura Costos'!I2652="","",'Data Pura Costos'!I2652)</f>
        <v/>
      </c>
      <c r="J2652" s="52" t="str">
        <f>+IF('Data Pura Costos'!J2652="","",'Data Pura Costos'!J2652)</f>
        <v/>
      </c>
      <c r="K2652" s="82" t="str">
        <f t="shared" si="46"/>
        <v/>
      </c>
    </row>
    <row r="2653" spans="2:11" x14ac:dyDescent="0.35">
      <c r="B2653" s="4" t="str">
        <f>+IF('Data Pura Costos'!B2653="","",'Data Pura Costos'!B2653)</f>
        <v/>
      </c>
      <c r="C2653" s="4" t="str">
        <f>+IF('Data Pura Costos'!C2653="","",'Data Pura Costos'!C2653)</f>
        <v/>
      </c>
      <c r="D2653" s="5" t="str">
        <f>+IF('Data Pura Costos'!D2653="","",'Data Pura Costos'!D2653)</f>
        <v/>
      </c>
      <c r="E2653" s="65" t="str">
        <f>+IF('Data Pura Costos'!E2653="","",IF('Data Pura Costos'!E2653=0,MAX('Data Pura Costos'!$E$7:$E$3000)*1000,'Data Pura Costos'!E2653))</f>
        <v/>
      </c>
      <c r="F2653" s="5" t="str">
        <f>+IF('Data Pura Costos'!F2653="","",'Data Pura Costos'!F2653)</f>
        <v/>
      </c>
      <c r="G2653" s="5" t="str">
        <f>+IF('Data Pura Costos'!G2653="","",'Data Pura Costos'!G2653)</f>
        <v/>
      </c>
      <c r="H2653" s="52" t="str">
        <f>+IF('Data Pura Costos'!H2653="","",'Data Pura Costos'!H2653)</f>
        <v/>
      </c>
      <c r="I2653" s="71" t="str">
        <f>+IF('Data Pura Costos'!I2653="","",'Data Pura Costos'!I2653)</f>
        <v/>
      </c>
      <c r="J2653" s="52" t="str">
        <f>+IF('Data Pura Costos'!J2653="","",'Data Pura Costos'!J2653)</f>
        <v/>
      </c>
      <c r="K2653" s="82" t="str">
        <f t="shared" si="46"/>
        <v/>
      </c>
    </row>
    <row r="2654" spans="2:11" x14ac:dyDescent="0.35">
      <c r="B2654" s="4" t="str">
        <f>+IF('Data Pura Costos'!B2654="","",'Data Pura Costos'!B2654)</f>
        <v/>
      </c>
      <c r="C2654" s="4" t="str">
        <f>+IF('Data Pura Costos'!C2654="","",'Data Pura Costos'!C2654)</f>
        <v/>
      </c>
      <c r="D2654" s="5" t="str">
        <f>+IF('Data Pura Costos'!D2654="","",'Data Pura Costos'!D2654)</f>
        <v/>
      </c>
      <c r="E2654" s="65" t="str">
        <f>+IF('Data Pura Costos'!E2654="","",IF('Data Pura Costos'!E2654=0,MAX('Data Pura Costos'!$E$7:$E$3000)*1000,'Data Pura Costos'!E2654))</f>
        <v/>
      </c>
      <c r="F2654" s="5" t="str">
        <f>+IF('Data Pura Costos'!F2654="","",'Data Pura Costos'!F2654)</f>
        <v/>
      </c>
      <c r="G2654" s="5" t="str">
        <f>+IF('Data Pura Costos'!G2654="","",'Data Pura Costos'!G2654)</f>
        <v/>
      </c>
      <c r="H2654" s="52" t="str">
        <f>+IF('Data Pura Costos'!H2654="","",'Data Pura Costos'!H2654)</f>
        <v/>
      </c>
      <c r="I2654" s="71" t="str">
        <f>+IF('Data Pura Costos'!I2654="","",'Data Pura Costos'!I2654)</f>
        <v/>
      </c>
      <c r="J2654" s="52" t="str">
        <f>+IF('Data Pura Costos'!J2654="","",'Data Pura Costos'!J2654)</f>
        <v/>
      </c>
      <c r="K2654" s="82" t="str">
        <f t="shared" si="46"/>
        <v/>
      </c>
    </row>
    <row r="2655" spans="2:11" x14ac:dyDescent="0.35">
      <c r="B2655" s="4" t="str">
        <f>+IF('Data Pura Costos'!B2655="","",'Data Pura Costos'!B2655)</f>
        <v/>
      </c>
      <c r="C2655" s="4" t="str">
        <f>+IF('Data Pura Costos'!C2655="","",'Data Pura Costos'!C2655)</f>
        <v/>
      </c>
      <c r="D2655" s="5" t="str">
        <f>+IF('Data Pura Costos'!D2655="","",'Data Pura Costos'!D2655)</f>
        <v/>
      </c>
      <c r="E2655" s="65" t="str">
        <f>+IF('Data Pura Costos'!E2655="","",IF('Data Pura Costos'!E2655=0,MAX('Data Pura Costos'!$E$7:$E$3000)*1000,'Data Pura Costos'!E2655))</f>
        <v/>
      </c>
      <c r="F2655" s="5" t="str">
        <f>+IF('Data Pura Costos'!F2655="","",'Data Pura Costos'!F2655)</f>
        <v/>
      </c>
      <c r="G2655" s="5" t="str">
        <f>+IF('Data Pura Costos'!G2655="","",'Data Pura Costos'!G2655)</f>
        <v/>
      </c>
      <c r="H2655" s="52" t="str">
        <f>+IF('Data Pura Costos'!H2655="","",'Data Pura Costos'!H2655)</f>
        <v/>
      </c>
      <c r="I2655" s="71" t="str">
        <f>+IF('Data Pura Costos'!I2655="","",'Data Pura Costos'!I2655)</f>
        <v/>
      </c>
      <c r="J2655" s="52" t="str">
        <f>+IF('Data Pura Costos'!J2655="","",'Data Pura Costos'!J2655)</f>
        <v/>
      </c>
      <c r="K2655" s="82" t="str">
        <f t="shared" si="46"/>
        <v/>
      </c>
    </row>
    <row r="2656" spans="2:11" x14ac:dyDescent="0.35">
      <c r="B2656" s="4" t="str">
        <f>+IF('Data Pura Costos'!B2656="","",'Data Pura Costos'!B2656)</f>
        <v/>
      </c>
      <c r="C2656" s="4" t="str">
        <f>+IF('Data Pura Costos'!C2656="","",'Data Pura Costos'!C2656)</f>
        <v/>
      </c>
      <c r="D2656" s="5" t="str">
        <f>+IF('Data Pura Costos'!D2656="","",'Data Pura Costos'!D2656)</f>
        <v/>
      </c>
      <c r="E2656" s="65" t="str">
        <f>+IF('Data Pura Costos'!E2656="","",IF('Data Pura Costos'!E2656=0,MAX('Data Pura Costos'!$E$7:$E$3000)*1000,'Data Pura Costos'!E2656))</f>
        <v/>
      </c>
      <c r="F2656" s="5" t="str">
        <f>+IF('Data Pura Costos'!F2656="","",'Data Pura Costos'!F2656)</f>
        <v/>
      </c>
      <c r="G2656" s="5" t="str">
        <f>+IF('Data Pura Costos'!G2656="","",'Data Pura Costos'!G2656)</f>
        <v/>
      </c>
      <c r="H2656" s="52" t="str">
        <f>+IF('Data Pura Costos'!H2656="","",'Data Pura Costos'!H2656)</f>
        <v/>
      </c>
      <c r="I2656" s="71" t="str">
        <f>+IF('Data Pura Costos'!I2656="","",'Data Pura Costos'!I2656)</f>
        <v/>
      </c>
      <c r="J2656" s="52" t="str">
        <f>+IF('Data Pura Costos'!J2656="","",'Data Pura Costos'!J2656)</f>
        <v/>
      </c>
      <c r="K2656" s="82" t="str">
        <f t="shared" si="46"/>
        <v/>
      </c>
    </row>
    <row r="2657" spans="2:11" x14ac:dyDescent="0.35">
      <c r="B2657" s="4" t="str">
        <f>+IF('Data Pura Costos'!B2657="","",'Data Pura Costos'!B2657)</f>
        <v/>
      </c>
      <c r="C2657" s="4" t="str">
        <f>+IF('Data Pura Costos'!C2657="","",'Data Pura Costos'!C2657)</f>
        <v/>
      </c>
      <c r="D2657" s="5" t="str">
        <f>+IF('Data Pura Costos'!D2657="","",'Data Pura Costos'!D2657)</f>
        <v/>
      </c>
      <c r="E2657" s="65" t="str">
        <f>+IF('Data Pura Costos'!E2657="","",IF('Data Pura Costos'!E2657=0,MAX('Data Pura Costos'!$E$7:$E$3000)*1000,'Data Pura Costos'!E2657))</f>
        <v/>
      </c>
      <c r="F2657" s="5" t="str">
        <f>+IF('Data Pura Costos'!F2657="","",'Data Pura Costos'!F2657)</f>
        <v/>
      </c>
      <c r="G2657" s="5" t="str">
        <f>+IF('Data Pura Costos'!G2657="","",'Data Pura Costos'!G2657)</f>
        <v/>
      </c>
      <c r="H2657" s="52" t="str">
        <f>+IF('Data Pura Costos'!H2657="","",'Data Pura Costos'!H2657)</f>
        <v/>
      </c>
      <c r="I2657" s="71" t="str">
        <f>+IF('Data Pura Costos'!I2657="","",'Data Pura Costos'!I2657)</f>
        <v/>
      </c>
      <c r="J2657" s="52" t="str">
        <f>+IF('Data Pura Costos'!J2657="","",'Data Pura Costos'!J2657)</f>
        <v/>
      </c>
      <c r="K2657" s="82" t="str">
        <f t="shared" si="46"/>
        <v/>
      </c>
    </row>
    <row r="2658" spans="2:11" x14ac:dyDescent="0.35">
      <c r="B2658" s="4" t="str">
        <f>+IF('Data Pura Costos'!B2658="","",'Data Pura Costos'!B2658)</f>
        <v/>
      </c>
      <c r="C2658" s="4" t="str">
        <f>+IF('Data Pura Costos'!C2658="","",'Data Pura Costos'!C2658)</f>
        <v/>
      </c>
      <c r="D2658" s="5" t="str">
        <f>+IF('Data Pura Costos'!D2658="","",'Data Pura Costos'!D2658)</f>
        <v/>
      </c>
      <c r="E2658" s="65" t="str">
        <f>+IF('Data Pura Costos'!E2658="","",IF('Data Pura Costos'!E2658=0,MAX('Data Pura Costos'!$E$7:$E$3000)*1000,'Data Pura Costos'!E2658))</f>
        <v/>
      </c>
      <c r="F2658" s="5" t="str">
        <f>+IF('Data Pura Costos'!F2658="","",'Data Pura Costos'!F2658)</f>
        <v/>
      </c>
      <c r="G2658" s="5" t="str">
        <f>+IF('Data Pura Costos'!G2658="","",'Data Pura Costos'!G2658)</f>
        <v/>
      </c>
      <c r="H2658" s="52" t="str">
        <f>+IF('Data Pura Costos'!H2658="","",'Data Pura Costos'!H2658)</f>
        <v/>
      </c>
      <c r="I2658" s="71" t="str">
        <f>+IF('Data Pura Costos'!I2658="","",'Data Pura Costos'!I2658)</f>
        <v/>
      </c>
      <c r="J2658" s="52" t="str">
        <f>+IF('Data Pura Costos'!J2658="","",'Data Pura Costos'!J2658)</f>
        <v/>
      </c>
      <c r="K2658" s="82" t="str">
        <f t="shared" si="46"/>
        <v/>
      </c>
    </row>
    <row r="2659" spans="2:11" x14ac:dyDescent="0.35">
      <c r="B2659" s="4" t="str">
        <f>+IF('Data Pura Costos'!B2659="","",'Data Pura Costos'!B2659)</f>
        <v/>
      </c>
      <c r="C2659" s="4" t="str">
        <f>+IF('Data Pura Costos'!C2659="","",'Data Pura Costos'!C2659)</f>
        <v/>
      </c>
      <c r="D2659" s="5" t="str">
        <f>+IF('Data Pura Costos'!D2659="","",'Data Pura Costos'!D2659)</f>
        <v/>
      </c>
      <c r="E2659" s="65" t="str">
        <f>+IF('Data Pura Costos'!E2659="","",IF('Data Pura Costos'!E2659=0,MAX('Data Pura Costos'!$E$7:$E$3000)*1000,'Data Pura Costos'!E2659))</f>
        <v/>
      </c>
      <c r="F2659" s="5" t="str">
        <f>+IF('Data Pura Costos'!F2659="","",'Data Pura Costos'!F2659)</f>
        <v/>
      </c>
      <c r="G2659" s="5" t="str">
        <f>+IF('Data Pura Costos'!G2659="","",'Data Pura Costos'!G2659)</f>
        <v/>
      </c>
      <c r="H2659" s="52" t="str">
        <f>+IF('Data Pura Costos'!H2659="","",'Data Pura Costos'!H2659)</f>
        <v/>
      </c>
      <c r="I2659" s="71" t="str">
        <f>+IF('Data Pura Costos'!I2659="","",'Data Pura Costos'!I2659)</f>
        <v/>
      </c>
      <c r="J2659" s="52" t="str">
        <f>+IF('Data Pura Costos'!J2659="","",'Data Pura Costos'!J2659)</f>
        <v/>
      </c>
      <c r="K2659" s="82" t="str">
        <f t="shared" si="46"/>
        <v/>
      </c>
    </row>
    <row r="2660" spans="2:11" x14ac:dyDescent="0.35">
      <c r="B2660" s="4" t="str">
        <f>+IF('Data Pura Costos'!B2660="","",'Data Pura Costos'!B2660)</f>
        <v/>
      </c>
      <c r="C2660" s="4" t="str">
        <f>+IF('Data Pura Costos'!C2660="","",'Data Pura Costos'!C2660)</f>
        <v/>
      </c>
      <c r="D2660" s="5" t="str">
        <f>+IF('Data Pura Costos'!D2660="","",'Data Pura Costos'!D2660)</f>
        <v/>
      </c>
      <c r="E2660" s="65" t="str">
        <f>+IF('Data Pura Costos'!E2660="","",IF('Data Pura Costos'!E2660=0,MAX('Data Pura Costos'!$E$7:$E$3000)*1000,'Data Pura Costos'!E2660))</f>
        <v/>
      </c>
      <c r="F2660" s="5" t="str">
        <f>+IF('Data Pura Costos'!F2660="","",'Data Pura Costos'!F2660)</f>
        <v/>
      </c>
      <c r="G2660" s="5" t="str">
        <f>+IF('Data Pura Costos'!G2660="","",'Data Pura Costos'!G2660)</f>
        <v/>
      </c>
      <c r="H2660" s="52" t="str">
        <f>+IF('Data Pura Costos'!H2660="","",'Data Pura Costos'!H2660)</f>
        <v/>
      </c>
      <c r="I2660" s="71" t="str">
        <f>+IF('Data Pura Costos'!I2660="","",'Data Pura Costos'!I2660)</f>
        <v/>
      </c>
      <c r="J2660" s="52" t="str">
        <f>+IF('Data Pura Costos'!J2660="","",'Data Pura Costos'!J2660)</f>
        <v/>
      </c>
      <c r="K2660" s="82" t="str">
        <f t="shared" si="46"/>
        <v/>
      </c>
    </row>
    <row r="2661" spans="2:11" x14ac:dyDescent="0.35">
      <c r="B2661" s="4" t="str">
        <f>+IF('Data Pura Costos'!B2661="","",'Data Pura Costos'!B2661)</f>
        <v/>
      </c>
      <c r="C2661" s="4" t="str">
        <f>+IF('Data Pura Costos'!C2661="","",'Data Pura Costos'!C2661)</f>
        <v/>
      </c>
      <c r="D2661" s="5" t="str">
        <f>+IF('Data Pura Costos'!D2661="","",'Data Pura Costos'!D2661)</f>
        <v/>
      </c>
      <c r="E2661" s="65" t="str">
        <f>+IF('Data Pura Costos'!E2661="","",IF('Data Pura Costos'!E2661=0,MAX('Data Pura Costos'!$E$7:$E$3000)*1000,'Data Pura Costos'!E2661))</f>
        <v/>
      </c>
      <c r="F2661" s="5" t="str">
        <f>+IF('Data Pura Costos'!F2661="","",'Data Pura Costos'!F2661)</f>
        <v/>
      </c>
      <c r="G2661" s="5" t="str">
        <f>+IF('Data Pura Costos'!G2661="","",'Data Pura Costos'!G2661)</f>
        <v/>
      </c>
      <c r="H2661" s="52" t="str">
        <f>+IF('Data Pura Costos'!H2661="","",'Data Pura Costos'!H2661)</f>
        <v/>
      </c>
      <c r="I2661" s="71" t="str">
        <f>+IF('Data Pura Costos'!I2661="","",'Data Pura Costos'!I2661)</f>
        <v/>
      </c>
      <c r="J2661" s="52" t="str">
        <f>+IF('Data Pura Costos'!J2661="","",'Data Pura Costos'!J2661)</f>
        <v/>
      </c>
      <c r="K2661" s="82" t="str">
        <f t="shared" si="46"/>
        <v/>
      </c>
    </row>
    <row r="2662" spans="2:11" x14ac:dyDescent="0.35">
      <c r="B2662" s="4" t="str">
        <f>+IF('Data Pura Costos'!B2662="","",'Data Pura Costos'!B2662)</f>
        <v/>
      </c>
      <c r="C2662" s="4" t="str">
        <f>+IF('Data Pura Costos'!C2662="","",'Data Pura Costos'!C2662)</f>
        <v/>
      </c>
      <c r="D2662" s="5" t="str">
        <f>+IF('Data Pura Costos'!D2662="","",'Data Pura Costos'!D2662)</f>
        <v/>
      </c>
      <c r="E2662" s="65" t="str">
        <f>+IF('Data Pura Costos'!E2662="","",IF('Data Pura Costos'!E2662=0,MAX('Data Pura Costos'!$E$7:$E$3000)*1000,'Data Pura Costos'!E2662))</f>
        <v/>
      </c>
      <c r="F2662" s="5" t="str">
        <f>+IF('Data Pura Costos'!F2662="","",'Data Pura Costos'!F2662)</f>
        <v/>
      </c>
      <c r="G2662" s="5" t="str">
        <f>+IF('Data Pura Costos'!G2662="","",'Data Pura Costos'!G2662)</f>
        <v/>
      </c>
      <c r="H2662" s="52" t="str">
        <f>+IF('Data Pura Costos'!H2662="","",'Data Pura Costos'!H2662)</f>
        <v/>
      </c>
      <c r="I2662" s="71" t="str">
        <f>+IF('Data Pura Costos'!I2662="","",'Data Pura Costos'!I2662)</f>
        <v/>
      </c>
      <c r="J2662" s="52" t="str">
        <f>+IF('Data Pura Costos'!J2662="","",'Data Pura Costos'!J2662)</f>
        <v/>
      </c>
      <c r="K2662" s="82" t="str">
        <f t="shared" si="46"/>
        <v/>
      </c>
    </row>
    <row r="2663" spans="2:11" x14ac:dyDescent="0.35">
      <c r="B2663" s="4" t="str">
        <f>+IF('Data Pura Costos'!B2663="","",'Data Pura Costos'!B2663)</f>
        <v/>
      </c>
      <c r="C2663" s="4" t="str">
        <f>+IF('Data Pura Costos'!C2663="","",'Data Pura Costos'!C2663)</f>
        <v/>
      </c>
      <c r="D2663" s="5" t="str">
        <f>+IF('Data Pura Costos'!D2663="","",'Data Pura Costos'!D2663)</f>
        <v/>
      </c>
      <c r="E2663" s="65" t="str">
        <f>+IF('Data Pura Costos'!E2663="","",IF('Data Pura Costos'!E2663=0,MAX('Data Pura Costos'!$E$7:$E$3000)*1000,'Data Pura Costos'!E2663))</f>
        <v/>
      </c>
      <c r="F2663" s="5" t="str">
        <f>+IF('Data Pura Costos'!F2663="","",'Data Pura Costos'!F2663)</f>
        <v/>
      </c>
      <c r="G2663" s="5" t="str">
        <f>+IF('Data Pura Costos'!G2663="","",'Data Pura Costos'!G2663)</f>
        <v/>
      </c>
      <c r="H2663" s="52" t="str">
        <f>+IF('Data Pura Costos'!H2663="","",'Data Pura Costos'!H2663)</f>
        <v/>
      </c>
      <c r="I2663" s="71" t="str">
        <f>+IF('Data Pura Costos'!I2663="","",'Data Pura Costos'!I2663)</f>
        <v/>
      </c>
      <c r="J2663" s="52" t="str">
        <f>+IF('Data Pura Costos'!J2663="","",'Data Pura Costos'!J2663)</f>
        <v/>
      </c>
      <c r="K2663" s="82" t="str">
        <f t="shared" si="46"/>
        <v/>
      </c>
    </row>
    <row r="2664" spans="2:11" x14ac:dyDescent="0.35">
      <c r="B2664" s="4" t="str">
        <f>+IF('Data Pura Costos'!B2664="","",'Data Pura Costos'!B2664)</f>
        <v/>
      </c>
      <c r="C2664" s="4" t="str">
        <f>+IF('Data Pura Costos'!C2664="","",'Data Pura Costos'!C2664)</f>
        <v/>
      </c>
      <c r="D2664" s="5" t="str">
        <f>+IF('Data Pura Costos'!D2664="","",'Data Pura Costos'!D2664)</f>
        <v/>
      </c>
      <c r="E2664" s="65" t="str">
        <f>+IF('Data Pura Costos'!E2664="","",IF('Data Pura Costos'!E2664=0,MAX('Data Pura Costos'!$E$7:$E$3000)*1000,'Data Pura Costos'!E2664))</f>
        <v/>
      </c>
      <c r="F2664" s="5" t="str">
        <f>+IF('Data Pura Costos'!F2664="","",'Data Pura Costos'!F2664)</f>
        <v/>
      </c>
      <c r="G2664" s="5" t="str">
        <f>+IF('Data Pura Costos'!G2664="","",'Data Pura Costos'!G2664)</f>
        <v/>
      </c>
      <c r="H2664" s="52" t="str">
        <f>+IF('Data Pura Costos'!H2664="","",'Data Pura Costos'!H2664)</f>
        <v/>
      </c>
      <c r="I2664" s="71" t="str">
        <f>+IF('Data Pura Costos'!I2664="","",'Data Pura Costos'!I2664)</f>
        <v/>
      </c>
      <c r="J2664" s="52" t="str">
        <f>+IF('Data Pura Costos'!J2664="","",'Data Pura Costos'!J2664)</f>
        <v/>
      </c>
      <c r="K2664" s="82" t="str">
        <f t="shared" si="46"/>
        <v/>
      </c>
    </row>
    <row r="2665" spans="2:11" x14ac:dyDescent="0.35">
      <c r="B2665" s="4" t="str">
        <f>+IF('Data Pura Costos'!B2665="","",'Data Pura Costos'!B2665)</f>
        <v/>
      </c>
      <c r="C2665" s="4" t="str">
        <f>+IF('Data Pura Costos'!C2665="","",'Data Pura Costos'!C2665)</f>
        <v/>
      </c>
      <c r="D2665" s="5" t="str">
        <f>+IF('Data Pura Costos'!D2665="","",'Data Pura Costos'!D2665)</f>
        <v/>
      </c>
      <c r="E2665" s="65" t="str">
        <f>+IF('Data Pura Costos'!E2665="","",IF('Data Pura Costos'!E2665=0,MAX('Data Pura Costos'!$E$7:$E$3000)*1000,'Data Pura Costos'!E2665))</f>
        <v/>
      </c>
      <c r="F2665" s="5" t="str">
        <f>+IF('Data Pura Costos'!F2665="","",'Data Pura Costos'!F2665)</f>
        <v/>
      </c>
      <c r="G2665" s="5" t="str">
        <f>+IF('Data Pura Costos'!G2665="","",'Data Pura Costos'!G2665)</f>
        <v/>
      </c>
      <c r="H2665" s="52" t="str">
        <f>+IF('Data Pura Costos'!H2665="","",'Data Pura Costos'!H2665)</f>
        <v/>
      </c>
      <c r="I2665" s="71" t="str">
        <f>+IF('Data Pura Costos'!I2665="","",'Data Pura Costos'!I2665)</f>
        <v/>
      </c>
      <c r="J2665" s="52" t="str">
        <f>+IF('Data Pura Costos'!J2665="","",'Data Pura Costos'!J2665)</f>
        <v/>
      </c>
      <c r="K2665" s="82" t="str">
        <f t="shared" si="46"/>
        <v/>
      </c>
    </row>
    <row r="2666" spans="2:11" x14ac:dyDescent="0.35">
      <c r="B2666" s="4" t="str">
        <f>+IF('Data Pura Costos'!B2666="","",'Data Pura Costos'!B2666)</f>
        <v/>
      </c>
      <c r="C2666" s="4" t="str">
        <f>+IF('Data Pura Costos'!C2666="","",'Data Pura Costos'!C2666)</f>
        <v/>
      </c>
      <c r="D2666" s="5" t="str">
        <f>+IF('Data Pura Costos'!D2666="","",'Data Pura Costos'!D2666)</f>
        <v/>
      </c>
      <c r="E2666" s="65" t="str">
        <f>+IF('Data Pura Costos'!E2666="","",IF('Data Pura Costos'!E2666=0,MAX('Data Pura Costos'!$E$7:$E$3000)*1000,'Data Pura Costos'!E2666))</f>
        <v/>
      </c>
      <c r="F2666" s="5" t="str">
        <f>+IF('Data Pura Costos'!F2666="","",'Data Pura Costos'!F2666)</f>
        <v/>
      </c>
      <c r="G2666" s="5" t="str">
        <f>+IF('Data Pura Costos'!G2666="","",'Data Pura Costos'!G2666)</f>
        <v/>
      </c>
      <c r="H2666" s="52" t="str">
        <f>+IF('Data Pura Costos'!H2666="","",'Data Pura Costos'!H2666)</f>
        <v/>
      </c>
      <c r="I2666" s="71" t="str">
        <f>+IF('Data Pura Costos'!I2666="","",'Data Pura Costos'!I2666)</f>
        <v/>
      </c>
      <c r="J2666" s="52" t="str">
        <f>+IF('Data Pura Costos'!J2666="","",'Data Pura Costos'!J2666)</f>
        <v/>
      </c>
      <c r="K2666" s="82" t="str">
        <f t="shared" si="46"/>
        <v/>
      </c>
    </row>
    <row r="2667" spans="2:11" x14ac:dyDescent="0.35">
      <c r="B2667" s="4" t="str">
        <f>+IF('Data Pura Costos'!B2667="","",'Data Pura Costos'!B2667)</f>
        <v/>
      </c>
      <c r="C2667" s="4" t="str">
        <f>+IF('Data Pura Costos'!C2667="","",'Data Pura Costos'!C2667)</f>
        <v/>
      </c>
      <c r="D2667" s="5" t="str">
        <f>+IF('Data Pura Costos'!D2667="","",'Data Pura Costos'!D2667)</f>
        <v/>
      </c>
      <c r="E2667" s="65" t="str">
        <f>+IF('Data Pura Costos'!E2667="","",IF('Data Pura Costos'!E2667=0,MAX('Data Pura Costos'!$E$7:$E$3000)*1000,'Data Pura Costos'!E2667))</f>
        <v/>
      </c>
      <c r="F2667" s="5" t="str">
        <f>+IF('Data Pura Costos'!F2667="","",'Data Pura Costos'!F2667)</f>
        <v/>
      </c>
      <c r="G2667" s="5" t="str">
        <f>+IF('Data Pura Costos'!G2667="","",'Data Pura Costos'!G2667)</f>
        <v/>
      </c>
      <c r="H2667" s="52" t="str">
        <f>+IF('Data Pura Costos'!H2667="","",'Data Pura Costos'!H2667)</f>
        <v/>
      </c>
      <c r="I2667" s="71" t="str">
        <f>+IF('Data Pura Costos'!I2667="","",'Data Pura Costos'!I2667)</f>
        <v/>
      </c>
      <c r="J2667" s="52" t="str">
        <f>+IF('Data Pura Costos'!J2667="","",'Data Pura Costos'!J2667)</f>
        <v/>
      </c>
      <c r="K2667" s="82" t="str">
        <f t="shared" si="46"/>
        <v/>
      </c>
    </row>
    <row r="2668" spans="2:11" x14ac:dyDescent="0.35">
      <c r="B2668" s="4" t="str">
        <f>+IF('Data Pura Costos'!B2668="","",'Data Pura Costos'!B2668)</f>
        <v/>
      </c>
      <c r="C2668" s="4" t="str">
        <f>+IF('Data Pura Costos'!C2668="","",'Data Pura Costos'!C2668)</f>
        <v/>
      </c>
      <c r="D2668" s="5" t="str">
        <f>+IF('Data Pura Costos'!D2668="","",'Data Pura Costos'!D2668)</f>
        <v/>
      </c>
      <c r="E2668" s="65" t="str">
        <f>+IF('Data Pura Costos'!E2668="","",IF('Data Pura Costos'!E2668=0,MAX('Data Pura Costos'!$E$7:$E$3000)*1000,'Data Pura Costos'!E2668))</f>
        <v/>
      </c>
      <c r="F2668" s="5" t="str">
        <f>+IF('Data Pura Costos'!F2668="","",'Data Pura Costos'!F2668)</f>
        <v/>
      </c>
      <c r="G2668" s="5" t="str">
        <f>+IF('Data Pura Costos'!G2668="","",'Data Pura Costos'!G2668)</f>
        <v/>
      </c>
      <c r="H2668" s="52" t="str">
        <f>+IF('Data Pura Costos'!H2668="","",'Data Pura Costos'!H2668)</f>
        <v/>
      </c>
      <c r="I2668" s="71" t="str">
        <f>+IF('Data Pura Costos'!I2668="","",'Data Pura Costos'!I2668)</f>
        <v/>
      </c>
      <c r="J2668" s="52" t="str">
        <f>+IF('Data Pura Costos'!J2668="","",'Data Pura Costos'!J2668)</f>
        <v/>
      </c>
      <c r="K2668" s="82" t="str">
        <f t="shared" si="46"/>
        <v/>
      </c>
    </row>
    <row r="2669" spans="2:11" x14ac:dyDescent="0.35">
      <c r="B2669" s="4" t="str">
        <f>+IF('Data Pura Costos'!B2669="","",'Data Pura Costos'!B2669)</f>
        <v/>
      </c>
      <c r="C2669" s="4" t="str">
        <f>+IF('Data Pura Costos'!C2669="","",'Data Pura Costos'!C2669)</f>
        <v/>
      </c>
      <c r="D2669" s="5" t="str">
        <f>+IF('Data Pura Costos'!D2669="","",'Data Pura Costos'!D2669)</f>
        <v/>
      </c>
      <c r="E2669" s="65" t="str">
        <f>+IF('Data Pura Costos'!E2669="","",IF('Data Pura Costos'!E2669=0,MAX('Data Pura Costos'!$E$7:$E$3000)*1000,'Data Pura Costos'!E2669))</f>
        <v/>
      </c>
      <c r="F2669" s="5" t="str">
        <f>+IF('Data Pura Costos'!F2669="","",'Data Pura Costos'!F2669)</f>
        <v/>
      </c>
      <c r="G2669" s="5" t="str">
        <f>+IF('Data Pura Costos'!G2669="","",'Data Pura Costos'!G2669)</f>
        <v/>
      </c>
      <c r="H2669" s="52" t="str">
        <f>+IF('Data Pura Costos'!H2669="","",'Data Pura Costos'!H2669)</f>
        <v/>
      </c>
      <c r="I2669" s="71" t="str">
        <f>+IF('Data Pura Costos'!I2669="","",'Data Pura Costos'!I2669)</f>
        <v/>
      </c>
      <c r="J2669" s="52" t="str">
        <f>+IF('Data Pura Costos'!J2669="","",'Data Pura Costos'!J2669)</f>
        <v/>
      </c>
      <c r="K2669" s="82" t="str">
        <f t="shared" si="46"/>
        <v/>
      </c>
    </row>
    <row r="2670" spans="2:11" x14ac:dyDescent="0.35">
      <c r="B2670" s="4" t="str">
        <f>+IF('Data Pura Costos'!B2670="","",'Data Pura Costos'!B2670)</f>
        <v/>
      </c>
      <c r="C2670" s="4" t="str">
        <f>+IF('Data Pura Costos'!C2670="","",'Data Pura Costos'!C2670)</f>
        <v/>
      </c>
      <c r="D2670" s="5" t="str">
        <f>+IF('Data Pura Costos'!D2670="","",'Data Pura Costos'!D2670)</f>
        <v/>
      </c>
      <c r="E2670" s="65" t="str">
        <f>+IF('Data Pura Costos'!E2670="","",IF('Data Pura Costos'!E2670=0,MAX('Data Pura Costos'!$E$7:$E$3000)*1000,'Data Pura Costos'!E2670))</f>
        <v/>
      </c>
      <c r="F2670" s="5" t="str">
        <f>+IF('Data Pura Costos'!F2670="","",'Data Pura Costos'!F2670)</f>
        <v/>
      </c>
      <c r="G2670" s="5" t="str">
        <f>+IF('Data Pura Costos'!G2670="","",'Data Pura Costos'!G2670)</f>
        <v/>
      </c>
      <c r="H2670" s="52" t="str">
        <f>+IF('Data Pura Costos'!H2670="","",'Data Pura Costos'!H2670)</f>
        <v/>
      </c>
      <c r="I2670" s="71" t="str">
        <f>+IF('Data Pura Costos'!I2670="","",'Data Pura Costos'!I2670)</f>
        <v/>
      </c>
      <c r="J2670" s="52" t="str">
        <f>+IF('Data Pura Costos'!J2670="","",'Data Pura Costos'!J2670)</f>
        <v/>
      </c>
      <c r="K2670" s="82" t="str">
        <f t="shared" si="46"/>
        <v/>
      </c>
    </row>
    <row r="2671" spans="2:11" x14ac:dyDescent="0.35">
      <c r="B2671" s="4" t="str">
        <f>+IF('Data Pura Costos'!B2671="","",'Data Pura Costos'!B2671)</f>
        <v/>
      </c>
      <c r="C2671" s="4" t="str">
        <f>+IF('Data Pura Costos'!C2671="","",'Data Pura Costos'!C2671)</f>
        <v/>
      </c>
      <c r="D2671" s="5" t="str">
        <f>+IF('Data Pura Costos'!D2671="","",'Data Pura Costos'!D2671)</f>
        <v/>
      </c>
      <c r="E2671" s="65" t="str">
        <f>+IF('Data Pura Costos'!E2671="","",IF('Data Pura Costos'!E2671=0,MAX('Data Pura Costos'!$E$7:$E$3000)*1000,'Data Pura Costos'!E2671))</f>
        <v/>
      </c>
      <c r="F2671" s="5" t="str">
        <f>+IF('Data Pura Costos'!F2671="","",'Data Pura Costos'!F2671)</f>
        <v/>
      </c>
      <c r="G2671" s="5" t="str">
        <f>+IF('Data Pura Costos'!G2671="","",'Data Pura Costos'!G2671)</f>
        <v/>
      </c>
      <c r="H2671" s="52" t="str">
        <f>+IF('Data Pura Costos'!H2671="","",'Data Pura Costos'!H2671)</f>
        <v/>
      </c>
      <c r="I2671" s="71" t="str">
        <f>+IF('Data Pura Costos'!I2671="","",'Data Pura Costos'!I2671)</f>
        <v/>
      </c>
      <c r="J2671" s="52" t="str">
        <f>+IF('Data Pura Costos'!J2671="","",'Data Pura Costos'!J2671)</f>
        <v/>
      </c>
      <c r="K2671" s="82" t="str">
        <f t="shared" si="46"/>
        <v/>
      </c>
    </row>
    <row r="2672" spans="2:11" x14ac:dyDescent="0.35">
      <c r="B2672" s="4" t="str">
        <f>+IF('Data Pura Costos'!B2672="","",'Data Pura Costos'!B2672)</f>
        <v/>
      </c>
      <c r="C2672" s="4" t="str">
        <f>+IF('Data Pura Costos'!C2672="","",'Data Pura Costos'!C2672)</f>
        <v/>
      </c>
      <c r="D2672" s="5" t="str">
        <f>+IF('Data Pura Costos'!D2672="","",'Data Pura Costos'!D2672)</f>
        <v/>
      </c>
      <c r="E2672" s="65" t="str">
        <f>+IF('Data Pura Costos'!E2672="","",IF('Data Pura Costos'!E2672=0,MAX('Data Pura Costos'!$E$7:$E$3000)*1000,'Data Pura Costos'!E2672))</f>
        <v/>
      </c>
      <c r="F2672" s="5" t="str">
        <f>+IF('Data Pura Costos'!F2672="","",'Data Pura Costos'!F2672)</f>
        <v/>
      </c>
      <c r="G2672" s="5" t="str">
        <f>+IF('Data Pura Costos'!G2672="","",'Data Pura Costos'!G2672)</f>
        <v/>
      </c>
      <c r="H2672" s="52" t="str">
        <f>+IF('Data Pura Costos'!H2672="","",'Data Pura Costos'!H2672)</f>
        <v/>
      </c>
      <c r="I2672" s="71" t="str">
        <f>+IF('Data Pura Costos'!I2672="","",'Data Pura Costos'!I2672)</f>
        <v/>
      </c>
      <c r="J2672" s="52" t="str">
        <f>+IF('Data Pura Costos'!J2672="","",'Data Pura Costos'!J2672)</f>
        <v/>
      </c>
      <c r="K2672" s="82" t="str">
        <f t="shared" si="46"/>
        <v/>
      </c>
    </row>
    <row r="2673" spans="2:11" x14ac:dyDescent="0.35">
      <c r="B2673" s="4" t="str">
        <f>+IF('Data Pura Costos'!B2673="","",'Data Pura Costos'!B2673)</f>
        <v/>
      </c>
      <c r="C2673" s="4" t="str">
        <f>+IF('Data Pura Costos'!C2673="","",'Data Pura Costos'!C2673)</f>
        <v/>
      </c>
      <c r="D2673" s="5" t="str">
        <f>+IF('Data Pura Costos'!D2673="","",'Data Pura Costos'!D2673)</f>
        <v/>
      </c>
      <c r="E2673" s="65" t="str">
        <f>+IF('Data Pura Costos'!E2673="","",IF('Data Pura Costos'!E2673=0,MAX('Data Pura Costos'!$E$7:$E$3000)*1000,'Data Pura Costos'!E2673))</f>
        <v/>
      </c>
      <c r="F2673" s="5" t="str">
        <f>+IF('Data Pura Costos'!F2673="","",'Data Pura Costos'!F2673)</f>
        <v/>
      </c>
      <c r="G2673" s="5" t="str">
        <f>+IF('Data Pura Costos'!G2673="","",'Data Pura Costos'!G2673)</f>
        <v/>
      </c>
      <c r="H2673" s="52" t="str">
        <f>+IF('Data Pura Costos'!H2673="","",'Data Pura Costos'!H2673)</f>
        <v/>
      </c>
      <c r="I2673" s="71" t="str">
        <f>+IF('Data Pura Costos'!I2673="","",'Data Pura Costos'!I2673)</f>
        <v/>
      </c>
      <c r="J2673" s="52" t="str">
        <f>+IF('Data Pura Costos'!J2673="","",'Data Pura Costos'!J2673)</f>
        <v/>
      </c>
      <c r="K2673" s="82" t="str">
        <f t="shared" si="46"/>
        <v/>
      </c>
    </row>
    <row r="2674" spans="2:11" x14ac:dyDescent="0.35">
      <c r="B2674" s="4" t="str">
        <f>+IF('Data Pura Costos'!B2674="","",'Data Pura Costos'!B2674)</f>
        <v/>
      </c>
      <c r="C2674" s="4" t="str">
        <f>+IF('Data Pura Costos'!C2674="","",'Data Pura Costos'!C2674)</f>
        <v/>
      </c>
      <c r="D2674" s="5" t="str">
        <f>+IF('Data Pura Costos'!D2674="","",'Data Pura Costos'!D2674)</f>
        <v/>
      </c>
      <c r="E2674" s="65" t="str">
        <f>+IF('Data Pura Costos'!E2674="","",IF('Data Pura Costos'!E2674=0,MAX('Data Pura Costos'!$E$7:$E$3000)*1000,'Data Pura Costos'!E2674))</f>
        <v/>
      </c>
      <c r="F2674" s="5" t="str">
        <f>+IF('Data Pura Costos'!F2674="","",'Data Pura Costos'!F2674)</f>
        <v/>
      </c>
      <c r="G2674" s="5" t="str">
        <f>+IF('Data Pura Costos'!G2674="","",'Data Pura Costos'!G2674)</f>
        <v/>
      </c>
      <c r="H2674" s="52" t="str">
        <f>+IF('Data Pura Costos'!H2674="","",'Data Pura Costos'!H2674)</f>
        <v/>
      </c>
      <c r="I2674" s="71" t="str">
        <f>+IF('Data Pura Costos'!I2674="","",'Data Pura Costos'!I2674)</f>
        <v/>
      </c>
      <c r="J2674" s="52" t="str">
        <f>+IF('Data Pura Costos'!J2674="","",'Data Pura Costos'!J2674)</f>
        <v/>
      </c>
      <c r="K2674" s="82" t="str">
        <f t="shared" si="46"/>
        <v/>
      </c>
    </row>
    <row r="2675" spans="2:11" x14ac:dyDescent="0.35">
      <c r="B2675" s="4" t="str">
        <f>+IF('Data Pura Costos'!B2675="","",'Data Pura Costos'!B2675)</f>
        <v/>
      </c>
      <c r="C2675" s="4" t="str">
        <f>+IF('Data Pura Costos'!C2675="","",'Data Pura Costos'!C2675)</f>
        <v/>
      </c>
      <c r="D2675" s="5" t="str">
        <f>+IF('Data Pura Costos'!D2675="","",'Data Pura Costos'!D2675)</f>
        <v/>
      </c>
      <c r="E2675" s="65" t="str">
        <f>+IF('Data Pura Costos'!E2675="","",IF('Data Pura Costos'!E2675=0,MAX('Data Pura Costos'!$E$7:$E$3000)*1000,'Data Pura Costos'!E2675))</f>
        <v/>
      </c>
      <c r="F2675" s="5" t="str">
        <f>+IF('Data Pura Costos'!F2675="","",'Data Pura Costos'!F2675)</f>
        <v/>
      </c>
      <c r="G2675" s="5" t="str">
        <f>+IF('Data Pura Costos'!G2675="","",'Data Pura Costos'!G2675)</f>
        <v/>
      </c>
      <c r="H2675" s="52" t="str">
        <f>+IF('Data Pura Costos'!H2675="","",'Data Pura Costos'!H2675)</f>
        <v/>
      </c>
      <c r="I2675" s="71" t="str">
        <f>+IF('Data Pura Costos'!I2675="","",'Data Pura Costos'!I2675)</f>
        <v/>
      </c>
      <c r="J2675" s="52" t="str">
        <f>+IF('Data Pura Costos'!J2675="","",'Data Pura Costos'!J2675)</f>
        <v/>
      </c>
      <c r="K2675" s="82" t="str">
        <f t="shared" si="46"/>
        <v/>
      </c>
    </row>
    <row r="2676" spans="2:11" x14ac:dyDescent="0.35">
      <c r="B2676" s="4" t="str">
        <f>+IF('Data Pura Costos'!B2676="","",'Data Pura Costos'!B2676)</f>
        <v/>
      </c>
      <c r="C2676" s="4" t="str">
        <f>+IF('Data Pura Costos'!C2676="","",'Data Pura Costos'!C2676)</f>
        <v/>
      </c>
      <c r="D2676" s="5" t="str">
        <f>+IF('Data Pura Costos'!D2676="","",'Data Pura Costos'!D2676)</f>
        <v/>
      </c>
      <c r="E2676" s="65" t="str">
        <f>+IF('Data Pura Costos'!E2676="","",IF('Data Pura Costos'!E2676=0,MAX('Data Pura Costos'!$E$7:$E$3000)*1000,'Data Pura Costos'!E2676))</f>
        <v/>
      </c>
      <c r="F2676" s="5" t="str">
        <f>+IF('Data Pura Costos'!F2676="","",'Data Pura Costos'!F2676)</f>
        <v/>
      </c>
      <c r="G2676" s="5" t="str">
        <f>+IF('Data Pura Costos'!G2676="","",'Data Pura Costos'!G2676)</f>
        <v/>
      </c>
      <c r="H2676" s="52" t="str">
        <f>+IF('Data Pura Costos'!H2676="","",'Data Pura Costos'!H2676)</f>
        <v/>
      </c>
      <c r="I2676" s="71" t="str">
        <f>+IF('Data Pura Costos'!I2676="","",'Data Pura Costos'!I2676)</f>
        <v/>
      </c>
      <c r="J2676" s="52" t="str">
        <f>+IF('Data Pura Costos'!J2676="","",'Data Pura Costos'!J2676)</f>
        <v/>
      </c>
      <c r="K2676" s="82" t="str">
        <f t="shared" si="46"/>
        <v/>
      </c>
    </row>
    <row r="2677" spans="2:11" x14ac:dyDescent="0.35">
      <c r="B2677" s="4" t="str">
        <f>+IF('Data Pura Costos'!B2677="","",'Data Pura Costos'!B2677)</f>
        <v/>
      </c>
      <c r="C2677" s="4" t="str">
        <f>+IF('Data Pura Costos'!C2677="","",'Data Pura Costos'!C2677)</f>
        <v/>
      </c>
      <c r="D2677" s="5" t="str">
        <f>+IF('Data Pura Costos'!D2677="","",'Data Pura Costos'!D2677)</f>
        <v/>
      </c>
      <c r="E2677" s="65" t="str">
        <f>+IF('Data Pura Costos'!E2677="","",IF('Data Pura Costos'!E2677=0,MAX('Data Pura Costos'!$E$7:$E$3000)*1000,'Data Pura Costos'!E2677))</f>
        <v/>
      </c>
      <c r="F2677" s="5" t="str">
        <f>+IF('Data Pura Costos'!F2677="","",'Data Pura Costos'!F2677)</f>
        <v/>
      </c>
      <c r="G2677" s="5" t="str">
        <f>+IF('Data Pura Costos'!G2677="","",'Data Pura Costos'!G2677)</f>
        <v/>
      </c>
      <c r="H2677" s="52" t="str">
        <f>+IF('Data Pura Costos'!H2677="","",'Data Pura Costos'!H2677)</f>
        <v/>
      </c>
      <c r="I2677" s="71" t="str">
        <f>+IF('Data Pura Costos'!I2677="","",'Data Pura Costos'!I2677)</f>
        <v/>
      </c>
      <c r="J2677" s="52" t="str">
        <f>+IF('Data Pura Costos'!J2677="","",'Data Pura Costos'!J2677)</f>
        <v/>
      </c>
      <c r="K2677" s="82" t="str">
        <f t="shared" si="46"/>
        <v/>
      </c>
    </row>
    <row r="2678" spans="2:11" x14ac:dyDescent="0.35">
      <c r="B2678" s="4" t="str">
        <f>+IF('Data Pura Costos'!B2678="","",'Data Pura Costos'!B2678)</f>
        <v/>
      </c>
      <c r="C2678" s="4" t="str">
        <f>+IF('Data Pura Costos'!C2678="","",'Data Pura Costos'!C2678)</f>
        <v/>
      </c>
      <c r="D2678" s="5" t="str">
        <f>+IF('Data Pura Costos'!D2678="","",'Data Pura Costos'!D2678)</f>
        <v/>
      </c>
      <c r="E2678" s="65" t="str">
        <f>+IF('Data Pura Costos'!E2678="","",IF('Data Pura Costos'!E2678=0,MAX('Data Pura Costos'!$E$7:$E$3000)*1000,'Data Pura Costos'!E2678))</f>
        <v/>
      </c>
      <c r="F2678" s="5" t="str">
        <f>+IF('Data Pura Costos'!F2678="","",'Data Pura Costos'!F2678)</f>
        <v/>
      </c>
      <c r="G2678" s="5" t="str">
        <f>+IF('Data Pura Costos'!G2678="","",'Data Pura Costos'!G2678)</f>
        <v/>
      </c>
      <c r="H2678" s="52" t="str">
        <f>+IF('Data Pura Costos'!H2678="","",'Data Pura Costos'!H2678)</f>
        <v/>
      </c>
      <c r="I2678" s="71" t="str">
        <f>+IF('Data Pura Costos'!I2678="","",'Data Pura Costos'!I2678)</f>
        <v/>
      </c>
      <c r="J2678" s="52" t="str">
        <f>+IF('Data Pura Costos'!J2678="","",'Data Pura Costos'!J2678)</f>
        <v/>
      </c>
      <c r="K2678" s="82" t="str">
        <f t="shared" si="46"/>
        <v/>
      </c>
    </row>
    <row r="2679" spans="2:11" x14ac:dyDescent="0.35">
      <c r="B2679" s="4" t="str">
        <f>+IF('Data Pura Costos'!B2679="","",'Data Pura Costos'!B2679)</f>
        <v/>
      </c>
      <c r="C2679" s="4" t="str">
        <f>+IF('Data Pura Costos'!C2679="","",'Data Pura Costos'!C2679)</f>
        <v/>
      </c>
      <c r="D2679" s="5" t="str">
        <f>+IF('Data Pura Costos'!D2679="","",'Data Pura Costos'!D2679)</f>
        <v/>
      </c>
      <c r="E2679" s="65" t="str">
        <f>+IF('Data Pura Costos'!E2679="","",IF('Data Pura Costos'!E2679=0,MAX('Data Pura Costos'!$E$7:$E$3000)*1000,'Data Pura Costos'!E2679))</f>
        <v/>
      </c>
      <c r="F2679" s="5" t="str">
        <f>+IF('Data Pura Costos'!F2679="","",'Data Pura Costos'!F2679)</f>
        <v/>
      </c>
      <c r="G2679" s="5" t="str">
        <f>+IF('Data Pura Costos'!G2679="","",'Data Pura Costos'!G2679)</f>
        <v/>
      </c>
      <c r="H2679" s="52" t="str">
        <f>+IF('Data Pura Costos'!H2679="","",'Data Pura Costos'!H2679)</f>
        <v/>
      </c>
      <c r="I2679" s="71" t="str">
        <f>+IF('Data Pura Costos'!I2679="","",'Data Pura Costos'!I2679)</f>
        <v/>
      </c>
      <c r="J2679" s="52" t="str">
        <f>+IF('Data Pura Costos'!J2679="","",'Data Pura Costos'!J2679)</f>
        <v/>
      </c>
      <c r="K2679" s="82" t="str">
        <f t="shared" si="46"/>
        <v/>
      </c>
    </row>
    <row r="2680" spans="2:11" x14ac:dyDescent="0.35">
      <c r="B2680" s="4" t="str">
        <f>+IF('Data Pura Costos'!B2680="","",'Data Pura Costos'!B2680)</f>
        <v/>
      </c>
      <c r="C2680" s="4" t="str">
        <f>+IF('Data Pura Costos'!C2680="","",'Data Pura Costos'!C2680)</f>
        <v/>
      </c>
      <c r="D2680" s="5" t="str">
        <f>+IF('Data Pura Costos'!D2680="","",'Data Pura Costos'!D2680)</f>
        <v/>
      </c>
      <c r="E2680" s="65" t="str">
        <f>+IF('Data Pura Costos'!E2680="","",IF('Data Pura Costos'!E2680=0,MAX('Data Pura Costos'!$E$7:$E$3000)*1000,'Data Pura Costos'!E2680))</f>
        <v/>
      </c>
      <c r="F2680" s="5" t="str">
        <f>+IF('Data Pura Costos'!F2680="","",'Data Pura Costos'!F2680)</f>
        <v/>
      </c>
      <c r="G2680" s="5" t="str">
        <f>+IF('Data Pura Costos'!G2680="","",'Data Pura Costos'!G2680)</f>
        <v/>
      </c>
      <c r="H2680" s="52" t="str">
        <f>+IF('Data Pura Costos'!H2680="","",'Data Pura Costos'!H2680)</f>
        <v/>
      </c>
      <c r="I2680" s="71" t="str">
        <f>+IF('Data Pura Costos'!I2680="","",'Data Pura Costos'!I2680)</f>
        <v/>
      </c>
      <c r="J2680" s="52" t="str">
        <f>+IF('Data Pura Costos'!J2680="","",'Data Pura Costos'!J2680)</f>
        <v/>
      </c>
      <c r="K2680" s="82" t="str">
        <f t="shared" si="46"/>
        <v/>
      </c>
    </row>
    <row r="2681" spans="2:11" x14ac:dyDescent="0.35">
      <c r="B2681" s="4" t="str">
        <f>+IF('Data Pura Costos'!B2681="","",'Data Pura Costos'!B2681)</f>
        <v/>
      </c>
      <c r="C2681" s="4" t="str">
        <f>+IF('Data Pura Costos'!C2681="","",'Data Pura Costos'!C2681)</f>
        <v/>
      </c>
      <c r="D2681" s="5" t="str">
        <f>+IF('Data Pura Costos'!D2681="","",'Data Pura Costos'!D2681)</f>
        <v/>
      </c>
      <c r="E2681" s="65" t="str">
        <f>+IF('Data Pura Costos'!E2681="","",IF('Data Pura Costos'!E2681=0,MAX('Data Pura Costos'!$E$7:$E$3000)*1000,'Data Pura Costos'!E2681))</f>
        <v/>
      </c>
      <c r="F2681" s="5" t="str">
        <f>+IF('Data Pura Costos'!F2681="","",'Data Pura Costos'!F2681)</f>
        <v/>
      </c>
      <c r="G2681" s="5" t="str">
        <f>+IF('Data Pura Costos'!G2681="","",'Data Pura Costos'!G2681)</f>
        <v/>
      </c>
      <c r="H2681" s="52" t="str">
        <f>+IF('Data Pura Costos'!H2681="","",'Data Pura Costos'!H2681)</f>
        <v/>
      </c>
      <c r="I2681" s="71" t="str">
        <f>+IF('Data Pura Costos'!I2681="","",'Data Pura Costos'!I2681)</f>
        <v/>
      </c>
      <c r="J2681" s="52" t="str">
        <f>+IF('Data Pura Costos'!J2681="","",'Data Pura Costos'!J2681)</f>
        <v/>
      </c>
      <c r="K2681" s="82" t="str">
        <f t="shared" si="46"/>
        <v/>
      </c>
    </row>
    <row r="2682" spans="2:11" x14ac:dyDescent="0.35">
      <c r="B2682" s="4" t="str">
        <f>+IF('Data Pura Costos'!B2682="","",'Data Pura Costos'!B2682)</f>
        <v/>
      </c>
      <c r="C2682" s="4" t="str">
        <f>+IF('Data Pura Costos'!C2682="","",'Data Pura Costos'!C2682)</f>
        <v/>
      </c>
      <c r="D2682" s="5" t="str">
        <f>+IF('Data Pura Costos'!D2682="","",'Data Pura Costos'!D2682)</f>
        <v/>
      </c>
      <c r="E2682" s="65" t="str">
        <f>+IF('Data Pura Costos'!E2682="","",IF('Data Pura Costos'!E2682=0,MAX('Data Pura Costos'!$E$7:$E$3000)*1000,'Data Pura Costos'!E2682))</f>
        <v/>
      </c>
      <c r="F2682" s="5" t="str">
        <f>+IF('Data Pura Costos'!F2682="","",'Data Pura Costos'!F2682)</f>
        <v/>
      </c>
      <c r="G2682" s="5" t="str">
        <f>+IF('Data Pura Costos'!G2682="","",'Data Pura Costos'!G2682)</f>
        <v/>
      </c>
      <c r="H2682" s="52" t="str">
        <f>+IF('Data Pura Costos'!H2682="","",'Data Pura Costos'!H2682)</f>
        <v/>
      </c>
      <c r="I2682" s="71" t="str">
        <f>+IF('Data Pura Costos'!I2682="","",'Data Pura Costos'!I2682)</f>
        <v/>
      </c>
      <c r="J2682" s="52" t="str">
        <f>+IF('Data Pura Costos'!J2682="","",'Data Pura Costos'!J2682)</f>
        <v/>
      </c>
      <c r="K2682" s="82" t="str">
        <f t="shared" si="46"/>
        <v/>
      </c>
    </row>
    <row r="2683" spans="2:11" x14ac:dyDescent="0.35">
      <c r="B2683" s="4" t="str">
        <f>+IF('Data Pura Costos'!B2683="","",'Data Pura Costos'!B2683)</f>
        <v/>
      </c>
      <c r="C2683" s="4" t="str">
        <f>+IF('Data Pura Costos'!C2683="","",'Data Pura Costos'!C2683)</f>
        <v/>
      </c>
      <c r="D2683" s="5" t="str">
        <f>+IF('Data Pura Costos'!D2683="","",'Data Pura Costos'!D2683)</f>
        <v/>
      </c>
      <c r="E2683" s="65" t="str">
        <f>+IF('Data Pura Costos'!E2683="","",IF('Data Pura Costos'!E2683=0,MAX('Data Pura Costos'!$E$7:$E$3000)*1000,'Data Pura Costos'!E2683))</f>
        <v/>
      </c>
      <c r="F2683" s="5" t="str">
        <f>+IF('Data Pura Costos'!F2683="","",'Data Pura Costos'!F2683)</f>
        <v/>
      </c>
      <c r="G2683" s="5" t="str">
        <f>+IF('Data Pura Costos'!G2683="","",'Data Pura Costos'!G2683)</f>
        <v/>
      </c>
      <c r="H2683" s="52" t="str">
        <f>+IF('Data Pura Costos'!H2683="","",'Data Pura Costos'!H2683)</f>
        <v/>
      </c>
      <c r="I2683" s="71" t="str">
        <f>+IF('Data Pura Costos'!I2683="","",'Data Pura Costos'!I2683)</f>
        <v/>
      </c>
      <c r="J2683" s="52" t="str">
        <f>+IF('Data Pura Costos'!J2683="","",'Data Pura Costos'!J2683)</f>
        <v/>
      </c>
      <c r="K2683" s="82" t="str">
        <f t="shared" si="46"/>
        <v/>
      </c>
    </row>
    <row r="2684" spans="2:11" x14ac:dyDescent="0.35">
      <c r="B2684" s="4" t="str">
        <f>+IF('Data Pura Costos'!B2684="","",'Data Pura Costos'!B2684)</f>
        <v/>
      </c>
      <c r="C2684" s="4" t="str">
        <f>+IF('Data Pura Costos'!C2684="","",'Data Pura Costos'!C2684)</f>
        <v/>
      </c>
      <c r="D2684" s="5" t="str">
        <f>+IF('Data Pura Costos'!D2684="","",'Data Pura Costos'!D2684)</f>
        <v/>
      </c>
      <c r="E2684" s="65" t="str">
        <f>+IF('Data Pura Costos'!E2684="","",IF('Data Pura Costos'!E2684=0,MAX('Data Pura Costos'!$E$7:$E$3000)*1000,'Data Pura Costos'!E2684))</f>
        <v/>
      </c>
      <c r="F2684" s="5" t="str">
        <f>+IF('Data Pura Costos'!F2684="","",'Data Pura Costos'!F2684)</f>
        <v/>
      </c>
      <c r="G2684" s="5" t="str">
        <f>+IF('Data Pura Costos'!G2684="","",'Data Pura Costos'!G2684)</f>
        <v/>
      </c>
      <c r="H2684" s="52" t="str">
        <f>+IF('Data Pura Costos'!H2684="","",'Data Pura Costos'!H2684)</f>
        <v/>
      </c>
      <c r="I2684" s="71" t="str">
        <f>+IF('Data Pura Costos'!I2684="","",'Data Pura Costos'!I2684)</f>
        <v/>
      </c>
      <c r="J2684" s="52" t="str">
        <f>+IF('Data Pura Costos'!J2684="","",'Data Pura Costos'!J2684)</f>
        <v/>
      </c>
      <c r="K2684" s="82" t="str">
        <f t="shared" ref="K2684:K2747" si="47">+IF(B2684="","",CONCATENATE(B2684,"-",F2684,"-",G2684))</f>
        <v/>
      </c>
    </row>
    <row r="2685" spans="2:11" x14ac:dyDescent="0.35">
      <c r="B2685" s="4" t="str">
        <f>+IF('Data Pura Costos'!B2685="","",'Data Pura Costos'!B2685)</f>
        <v/>
      </c>
      <c r="C2685" s="4" t="str">
        <f>+IF('Data Pura Costos'!C2685="","",'Data Pura Costos'!C2685)</f>
        <v/>
      </c>
      <c r="D2685" s="5" t="str">
        <f>+IF('Data Pura Costos'!D2685="","",'Data Pura Costos'!D2685)</f>
        <v/>
      </c>
      <c r="E2685" s="65" t="str">
        <f>+IF('Data Pura Costos'!E2685="","",IF('Data Pura Costos'!E2685=0,MAX('Data Pura Costos'!$E$7:$E$3000)*1000,'Data Pura Costos'!E2685))</f>
        <v/>
      </c>
      <c r="F2685" s="5" t="str">
        <f>+IF('Data Pura Costos'!F2685="","",'Data Pura Costos'!F2685)</f>
        <v/>
      </c>
      <c r="G2685" s="5" t="str">
        <f>+IF('Data Pura Costos'!G2685="","",'Data Pura Costos'!G2685)</f>
        <v/>
      </c>
      <c r="H2685" s="52" t="str">
        <f>+IF('Data Pura Costos'!H2685="","",'Data Pura Costos'!H2685)</f>
        <v/>
      </c>
      <c r="I2685" s="71" t="str">
        <f>+IF('Data Pura Costos'!I2685="","",'Data Pura Costos'!I2685)</f>
        <v/>
      </c>
      <c r="J2685" s="52" t="str">
        <f>+IF('Data Pura Costos'!J2685="","",'Data Pura Costos'!J2685)</f>
        <v/>
      </c>
      <c r="K2685" s="82" t="str">
        <f t="shared" si="47"/>
        <v/>
      </c>
    </row>
    <row r="2686" spans="2:11" x14ac:dyDescent="0.35">
      <c r="B2686" s="4" t="str">
        <f>+IF('Data Pura Costos'!B2686="","",'Data Pura Costos'!B2686)</f>
        <v/>
      </c>
      <c r="C2686" s="4" t="str">
        <f>+IF('Data Pura Costos'!C2686="","",'Data Pura Costos'!C2686)</f>
        <v/>
      </c>
      <c r="D2686" s="5" t="str">
        <f>+IF('Data Pura Costos'!D2686="","",'Data Pura Costos'!D2686)</f>
        <v/>
      </c>
      <c r="E2686" s="65" t="str">
        <f>+IF('Data Pura Costos'!E2686="","",IF('Data Pura Costos'!E2686=0,MAX('Data Pura Costos'!$E$7:$E$3000)*1000,'Data Pura Costos'!E2686))</f>
        <v/>
      </c>
      <c r="F2686" s="5" t="str">
        <f>+IF('Data Pura Costos'!F2686="","",'Data Pura Costos'!F2686)</f>
        <v/>
      </c>
      <c r="G2686" s="5" t="str">
        <f>+IF('Data Pura Costos'!G2686="","",'Data Pura Costos'!G2686)</f>
        <v/>
      </c>
      <c r="H2686" s="52" t="str">
        <f>+IF('Data Pura Costos'!H2686="","",'Data Pura Costos'!H2686)</f>
        <v/>
      </c>
      <c r="I2686" s="71" t="str">
        <f>+IF('Data Pura Costos'!I2686="","",'Data Pura Costos'!I2686)</f>
        <v/>
      </c>
      <c r="J2686" s="52" t="str">
        <f>+IF('Data Pura Costos'!J2686="","",'Data Pura Costos'!J2686)</f>
        <v/>
      </c>
      <c r="K2686" s="82" t="str">
        <f t="shared" si="47"/>
        <v/>
      </c>
    </row>
    <row r="2687" spans="2:11" x14ac:dyDescent="0.35">
      <c r="B2687" s="4" t="str">
        <f>+IF('Data Pura Costos'!B2687="","",'Data Pura Costos'!B2687)</f>
        <v/>
      </c>
      <c r="C2687" s="4" t="str">
        <f>+IF('Data Pura Costos'!C2687="","",'Data Pura Costos'!C2687)</f>
        <v/>
      </c>
      <c r="D2687" s="5" t="str">
        <f>+IF('Data Pura Costos'!D2687="","",'Data Pura Costos'!D2687)</f>
        <v/>
      </c>
      <c r="E2687" s="65" t="str">
        <f>+IF('Data Pura Costos'!E2687="","",IF('Data Pura Costos'!E2687=0,MAX('Data Pura Costos'!$E$7:$E$3000)*1000,'Data Pura Costos'!E2687))</f>
        <v/>
      </c>
      <c r="F2687" s="5" t="str">
        <f>+IF('Data Pura Costos'!F2687="","",'Data Pura Costos'!F2687)</f>
        <v/>
      </c>
      <c r="G2687" s="5" t="str">
        <f>+IF('Data Pura Costos'!G2687="","",'Data Pura Costos'!G2687)</f>
        <v/>
      </c>
      <c r="H2687" s="52" t="str">
        <f>+IF('Data Pura Costos'!H2687="","",'Data Pura Costos'!H2687)</f>
        <v/>
      </c>
      <c r="I2687" s="71" t="str">
        <f>+IF('Data Pura Costos'!I2687="","",'Data Pura Costos'!I2687)</f>
        <v/>
      </c>
      <c r="J2687" s="52" t="str">
        <f>+IF('Data Pura Costos'!J2687="","",'Data Pura Costos'!J2687)</f>
        <v/>
      </c>
      <c r="K2687" s="82" t="str">
        <f t="shared" si="47"/>
        <v/>
      </c>
    </row>
    <row r="2688" spans="2:11" x14ac:dyDescent="0.35">
      <c r="B2688" s="4" t="str">
        <f>+IF('Data Pura Costos'!B2688="","",'Data Pura Costos'!B2688)</f>
        <v/>
      </c>
      <c r="C2688" s="4" t="str">
        <f>+IF('Data Pura Costos'!C2688="","",'Data Pura Costos'!C2688)</f>
        <v/>
      </c>
      <c r="D2688" s="5" t="str">
        <f>+IF('Data Pura Costos'!D2688="","",'Data Pura Costos'!D2688)</f>
        <v/>
      </c>
      <c r="E2688" s="65" t="str">
        <f>+IF('Data Pura Costos'!E2688="","",IF('Data Pura Costos'!E2688=0,MAX('Data Pura Costos'!$E$7:$E$3000)*1000,'Data Pura Costos'!E2688))</f>
        <v/>
      </c>
      <c r="F2688" s="5" t="str">
        <f>+IF('Data Pura Costos'!F2688="","",'Data Pura Costos'!F2688)</f>
        <v/>
      </c>
      <c r="G2688" s="5" t="str">
        <f>+IF('Data Pura Costos'!G2688="","",'Data Pura Costos'!G2688)</f>
        <v/>
      </c>
      <c r="H2688" s="52" t="str">
        <f>+IF('Data Pura Costos'!H2688="","",'Data Pura Costos'!H2688)</f>
        <v/>
      </c>
      <c r="I2688" s="71" t="str">
        <f>+IF('Data Pura Costos'!I2688="","",'Data Pura Costos'!I2688)</f>
        <v/>
      </c>
      <c r="J2688" s="52" t="str">
        <f>+IF('Data Pura Costos'!J2688="","",'Data Pura Costos'!J2688)</f>
        <v/>
      </c>
      <c r="K2688" s="82" t="str">
        <f t="shared" si="47"/>
        <v/>
      </c>
    </row>
    <row r="2689" spans="2:11" x14ac:dyDescent="0.35">
      <c r="B2689" s="4" t="str">
        <f>+IF('Data Pura Costos'!B2689="","",'Data Pura Costos'!B2689)</f>
        <v/>
      </c>
      <c r="C2689" s="4" t="str">
        <f>+IF('Data Pura Costos'!C2689="","",'Data Pura Costos'!C2689)</f>
        <v/>
      </c>
      <c r="D2689" s="5" t="str">
        <f>+IF('Data Pura Costos'!D2689="","",'Data Pura Costos'!D2689)</f>
        <v/>
      </c>
      <c r="E2689" s="65" t="str">
        <f>+IF('Data Pura Costos'!E2689="","",IF('Data Pura Costos'!E2689=0,MAX('Data Pura Costos'!$E$7:$E$3000)*1000,'Data Pura Costos'!E2689))</f>
        <v/>
      </c>
      <c r="F2689" s="5" t="str">
        <f>+IF('Data Pura Costos'!F2689="","",'Data Pura Costos'!F2689)</f>
        <v/>
      </c>
      <c r="G2689" s="5" t="str">
        <f>+IF('Data Pura Costos'!G2689="","",'Data Pura Costos'!G2689)</f>
        <v/>
      </c>
      <c r="H2689" s="52" t="str">
        <f>+IF('Data Pura Costos'!H2689="","",'Data Pura Costos'!H2689)</f>
        <v/>
      </c>
      <c r="I2689" s="71" t="str">
        <f>+IF('Data Pura Costos'!I2689="","",'Data Pura Costos'!I2689)</f>
        <v/>
      </c>
      <c r="J2689" s="52" t="str">
        <f>+IF('Data Pura Costos'!J2689="","",'Data Pura Costos'!J2689)</f>
        <v/>
      </c>
      <c r="K2689" s="82" t="str">
        <f t="shared" si="47"/>
        <v/>
      </c>
    </row>
    <row r="2690" spans="2:11" x14ac:dyDescent="0.35">
      <c r="B2690" s="4" t="str">
        <f>+IF('Data Pura Costos'!B2690="","",'Data Pura Costos'!B2690)</f>
        <v/>
      </c>
      <c r="C2690" s="4" t="str">
        <f>+IF('Data Pura Costos'!C2690="","",'Data Pura Costos'!C2690)</f>
        <v/>
      </c>
      <c r="D2690" s="5" t="str">
        <f>+IF('Data Pura Costos'!D2690="","",'Data Pura Costos'!D2690)</f>
        <v/>
      </c>
      <c r="E2690" s="65" t="str">
        <f>+IF('Data Pura Costos'!E2690="","",IF('Data Pura Costos'!E2690=0,MAX('Data Pura Costos'!$E$7:$E$3000)*1000,'Data Pura Costos'!E2690))</f>
        <v/>
      </c>
      <c r="F2690" s="5" t="str">
        <f>+IF('Data Pura Costos'!F2690="","",'Data Pura Costos'!F2690)</f>
        <v/>
      </c>
      <c r="G2690" s="5" t="str">
        <f>+IF('Data Pura Costos'!G2690="","",'Data Pura Costos'!G2690)</f>
        <v/>
      </c>
      <c r="H2690" s="52" t="str">
        <f>+IF('Data Pura Costos'!H2690="","",'Data Pura Costos'!H2690)</f>
        <v/>
      </c>
      <c r="I2690" s="71" t="str">
        <f>+IF('Data Pura Costos'!I2690="","",'Data Pura Costos'!I2690)</f>
        <v/>
      </c>
      <c r="J2690" s="52" t="str">
        <f>+IF('Data Pura Costos'!J2690="","",'Data Pura Costos'!J2690)</f>
        <v/>
      </c>
      <c r="K2690" s="82" t="str">
        <f t="shared" si="47"/>
        <v/>
      </c>
    </row>
    <row r="2691" spans="2:11" x14ac:dyDescent="0.35">
      <c r="B2691" s="4" t="str">
        <f>+IF('Data Pura Costos'!B2691="","",'Data Pura Costos'!B2691)</f>
        <v/>
      </c>
      <c r="C2691" s="4" t="str">
        <f>+IF('Data Pura Costos'!C2691="","",'Data Pura Costos'!C2691)</f>
        <v/>
      </c>
      <c r="D2691" s="5" t="str">
        <f>+IF('Data Pura Costos'!D2691="","",'Data Pura Costos'!D2691)</f>
        <v/>
      </c>
      <c r="E2691" s="65" t="str">
        <f>+IF('Data Pura Costos'!E2691="","",IF('Data Pura Costos'!E2691=0,MAX('Data Pura Costos'!$E$7:$E$3000)*1000,'Data Pura Costos'!E2691))</f>
        <v/>
      </c>
      <c r="F2691" s="5" t="str">
        <f>+IF('Data Pura Costos'!F2691="","",'Data Pura Costos'!F2691)</f>
        <v/>
      </c>
      <c r="G2691" s="5" t="str">
        <f>+IF('Data Pura Costos'!G2691="","",'Data Pura Costos'!G2691)</f>
        <v/>
      </c>
      <c r="H2691" s="52" t="str">
        <f>+IF('Data Pura Costos'!H2691="","",'Data Pura Costos'!H2691)</f>
        <v/>
      </c>
      <c r="I2691" s="71" t="str">
        <f>+IF('Data Pura Costos'!I2691="","",'Data Pura Costos'!I2691)</f>
        <v/>
      </c>
      <c r="J2691" s="52" t="str">
        <f>+IF('Data Pura Costos'!J2691="","",'Data Pura Costos'!J2691)</f>
        <v/>
      </c>
      <c r="K2691" s="82" t="str">
        <f t="shared" si="47"/>
        <v/>
      </c>
    </row>
    <row r="2692" spans="2:11" x14ac:dyDescent="0.35">
      <c r="B2692" s="4" t="str">
        <f>+IF('Data Pura Costos'!B2692="","",'Data Pura Costos'!B2692)</f>
        <v/>
      </c>
      <c r="C2692" s="4" t="str">
        <f>+IF('Data Pura Costos'!C2692="","",'Data Pura Costos'!C2692)</f>
        <v/>
      </c>
      <c r="D2692" s="5" t="str">
        <f>+IF('Data Pura Costos'!D2692="","",'Data Pura Costos'!D2692)</f>
        <v/>
      </c>
      <c r="E2692" s="65" t="str">
        <f>+IF('Data Pura Costos'!E2692="","",IF('Data Pura Costos'!E2692=0,MAX('Data Pura Costos'!$E$7:$E$3000)*1000,'Data Pura Costos'!E2692))</f>
        <v/>
      </c>
      <c r="F2692" s="5" t="str">
        <f>+IF('Data Pura Costos'!F2692="","",'Data Pura Costos'!F2692)</f>
        <v/>
      </c>
      <c r="G2692" s="5" t="str">
        <f>+IF('Data Pura Costos'!G2692="","",'Data Pura Costos'!G2692)</f>
        <v/>
      </c>
      <c r="H2692" s="52" t="str">
        <f>+IF('Data Pura Costos'!H2692="","",'Data Pura Costos'!H2692)</f>
        <v/>
      </c>
      <c r="I2692" s="71" t="str">
        <f>+IF('Data Pura Costos'!I2692="","",'Data Pura Costos'!I2692)</f>
        <v/>
      </c>
      <c r="J2692" s="52" t="str">
        <f>+IF('Data Pura Costos'!J2692="","",'Data Pura Costos'!J2692)</f>
        <v/>
      </c>
      <c r="K2692" s="82" t="str">
        <f t="shared" si="47"/>
        <v/>
      </c>
    </row>
    <row r="2693" spans="2:11" x14ac:dyDescent="0.35">
      <c r="B2693" s="4" t="str">
        <f>+IF('Data Pura Costos'!B2693="","",'Data Pura Costos'!B2693)</f>
        <v/>
      </c>
      <c r="C2693" s="4" t="str">
        <f>+IF('Data Pura Costos'!C2693="","",'Data Pura Costos'!C2693)</f>
        <v/>
      </c>
      <c r="D2693" s="5" t="str">
        <f>+IF('Data Pura Costos'!D2693="","",'Data Pura Costos'!D2693)</f>
        <v/>
      </c>
      <c r="E2693" s="65" t="str">
        <f>+IF('Data Pura Costos'!E2693="","",IF('Data Pura Costos'!E2693=0,MAX('Data Pura Costos'!$E$7:$E$3000)*1000,'Data Pura Costos'!E2693))</f>
        <v/>
      </c>
      <c r="F2693" s="5" t="str">
        <f>+IF('Data Pura Costos'!F2693="","",'Data Pura Costos'!F2693)</f>
        <v/>
      </c>
      <c r="G2693" s="5" t="str">
        <f>+IF('Data Pura Costos'!G2693="","",'Data Pura Costos'!G2693)</f>
        <v/>
      </c>
      <c r="H2693" s="52" t="str">
        <f>+IF('Data Pura Costos'!H2693="","",'Data Pura Costos'!H2693)</f>
        <v/>
      </c>
      <c r="I2693" s="71" t="str">
        <f>+IF('Data Pura Costos'!I2693="","",'Data Pura Costos'!I2693)</f>
        <v/>
      </c>
      <c r="J2693" s="52" t="str">
        <f>+IF('Data Pura Costos'!J2693="","",'Data Pura Costos'!J2693)</f>
        <v/>
      </c>
      <c r="K2693" s="82" t="str">
        <f t="shared" si="47"/>
        <v/>
      </c>
    </row>
    <row r="2694" spans="2:11" x14ac:dyDescent="0.35">
      <c r="B2694" s="4" t="str">
        <f>+IF('Data Pura Costos'!B2694="","",'Data Pura Costos'!B2694)</f>
        <v/>
      </c>
      <c r="C2694" s="4" t="str">
        <f>+IF('Data Pura Costos'!C2694="","",'Data Pura Costos'!C2694)</f>
        <v/>
      </c>
      <c r="D2694" s="5" t="str">
        <f>+IF('Data Pura Costos'!D2694="","",'Data Pura Costos'!D2694)</f>
        <v/>
      </c>
      <c r="E2694" s="65" t="str">
        <f>+IF('Data Pura Costos'!E2694="","",IF('Data Pura Costos'!E2694=0,MAX('Data Pura Costos'!$E$7:$E$3000)*1000,'Data Pura Costos'!E2694))</f>
        <v/>
      </c>
      <c r="F2694" s="5" t="str">
        <f>+IF('Data Pura Costos'!F2694="","",'Data Pura Costos'!F2694)</f>
        <v/>
      </c>
      <c r="G2694" s="5" t="str">
        <f>+IF('Data Pura Costos'!G2694="","",'Data Pura Costos'!G2694)</f>
        <v/>
      </c>
      <c r="H2694" s="52" t="str">
        <f>+IF('Data Pura Costos'!H2694="","",'Data Pura Costos'!H2694)</f>
        <v/>
      </c>
      <c r="I2694" s="71" t="str">
        <f>+IF('Data Pura Costos'!I2694="","",'Data Pura Costos'!I2694)</f>
        <v/>
      </c>
      <c r="J2694" s="52" t="str">
        <f>+IF('Data Pura Costos'!J2694="","",'Data Pura Costos'!J2694)</f>
        <v/>
      </c>
      <c r="K2694" s="82" t="str">
        <f t="shared" si="47"/>
        <v/>
      </c>
    </row>
    <row r="2695" spans="2:11" x14ac:dyDescent="0.35">
      <c r="B2695" s="4" t="str">
        <f>+IF('Data Pura Costos'!B2695="","",'Data Pura Costos'!B2695)</f>
        <v/>
      </c>
      <c r="C2695" s="4" t="str">
        <f>+IF('Data Pura Costos'!C2695="","",'Data Pura Costos'!C2695)</f>
        <v/>
      </c>
      <c r="D2695" s="5" t="str">
        <f>+IF('Data Pura Costos'!D2695="","",'Data Pura Costos'!D2695)</f>
        <v/>
      </c>
      <c r="E2695" s="65" t="str">
        <f>+IF('Data Pura Costos'!E2695="","",IF('Data Pura Costos'!E2695=0,MAX('Data Pura Costos'!$E$7:$E$3000)*1000,'Data Pura Costos'!E2695))</f>
        <v/>
      </c>
      <c r="F2695" s="5" t="str">
        <f>+IF('Data Pura Costos'!F2695="","",'Data Pura Costos'!F2695)</f>
        <v/>
      </c>
      <c r="G2695" s="5" t="str">
        <f>+IF('Data Pura Costos'!G2695="","",'Data Pura Costos'!G2695)</f>
        <v/>
      </c>
      <c r="H2695" s="52" t="str">
        <f>+IF('Data Pura Costos'!H2695="","",'Data Pura Costos'!H2695)</f>
        <v/>
      </c>
      <c r="I2695" s="71" t="str">
        <f>+IF('Data Pura Costos'!I2695="","",'Data Pura Costos'!I2695)</f>
        <v/>
      </c>
      <c r="J2695" s="52" t="str">
        <f>+IF('Data Pura Costos'!J2695="","",'Data Pura Costos'!J2695)</f>
        <v/>
      </c>
      <c r="K2695" s="82" t="str">
        <f t="shared" si="47"/>
        <v/>
      </c>
    </row>
    <row r="2696" spans="2:11" x14ac:dyDescent="0.35">
      <c r="B2696" s="4" t="str">
        <f>+IF('Data Pura Costos'!B2696="","",'Data Pura Costos'!B2696)</f>
        <v/>
      </c>
      <c r="C2696" s="4" t="str">
        <f>+IF('Data Pura Costos'!C2696="","",'Data Pura Costos'!C2696)</f>
        <v/>
      </c>
      <c r="D2696" s="5" t="str">
        <f>+IF('Data Pura Costos'!D2696="","",'Data Pura Costos'!D2696)</f>
        <v/>
      </c>
      <c r="E2696" s="65" t="str">
        <f>+IF('Data Pura Costos'!E2696="","",IF('Data Pura Costos'!E2696=0,MAX('Data Pura Costos'!$E$7:$E$3000)*1000,'Data Pura Costos'!E2696))</f>
        <v/>
      </c>
      <c r="F2696" s="5" t="str">
        <f>+IF('Data Pura Costos'!F2696="","",'Data Pura Costos'!F2696)</f>
        <v/>
      </c>
      <c r="G2696" s="5" t="str">
        <f>+IF('Data Pura Costos'!G2696="","",'Data Pura Costos'!G2696)</f>
        <v/>
      </c>
      <c r="H2696" s="52" t="str">
        <f>+IF('Data Pura Costos'!H2696="","",'Data Pura Costos'!H2696)</f>
        <v/>
      </c>
      <c r="I2696" s="71" t="str">
        <f>+IF('Data Pura Costos'!I2696="","",'Data Pura Costos'!I2696)</f>
        <v/>
      </c>
      <c r="J2696" s="52" t="str">
        <f>+IF('Data Pura Costos'!J2696="","",'Data Pura Costos'!J2696)</f>
        <v/>
      </c>
      <c r="K2696" s="82" t="str">
        <f t="shared" si="47"/>
        <v/>
      </c>
    </row>
    <row r="2697" spans="2:11" x14ac:dyDescent="0.35">
      <c r="B2697" s="4" t="str">
        <f>+IF('Data Pura Costos'!B2697="","",'Data Pura Costos'!B2697)</f>
        <v/>
      </c>
      <c r="C2697" s="4" t="str">
        <f>+IF('Data Pura Costos'!C2697="","",'Data Pura Costos'!C2697)</f>
        <v/>
      </c>
      <c r="D2697" s="5" t="str">
        <f>+IF('Data Pura Costos'!D2697="","",'Data Pura Costos'!D2697)</f>
        <v/>
      </c>
      <c r="E2697" s="65" t="str">
        <f>+IF('Data Pura Costos'!E2697="","",IF('Data Pura Costos'!E2697=0,MAX('Data Pura Costos'!$E$7:$E$3000)*1000,'Data Pura Costos'!E2697))</f>
        <v/>
      </c>
      <c r="F2697" s="5" t="str">
        <f>+IF('Data Pura Costos'!F2697="","",'Data Pura Costos'!F2697)</f>
        <v/>
      </c>
      <c r="G2697" s="5" t="str">
        <f>+IF('Data Pura Costos'!G2697="","",'Data Pura Costos'!G2697)</f>
        <v/>
      </c>
      <c r="H2697" s="52" t="str">
        <f>+IF('Data Pura Costos'!H2697="","",'Data Pura Costos'!H2697)</f>
        <v/>
      </c>
      <c r="I2697" s="71" t="str">
        <f>+IF('Data Pura Costos'!I2697="","",'Data Pura Costos'!I2697)</f>
        <v/>
      </c>
      <c r="J2697" s="52" t="str">
        <f>+IF('Data Pura Costos'!J2697="","",'Data Pura Costos'!J2697)</f>
        <v/>
      </c>
      <c r="K2697" s="82" t="str">
        <f t="shared" si="47"/>
        <v/>
      </c>
    </row>
    <row r="2698" spans="2:11" x14ac:dyDescent="0.35">
      <c r="B2698" s="4" t="str">
        <f>+IF('Data Pura Costos'!B2698="","",'Data Pura Costos'!B2698)</f>
        <v/>
      </c>
      <c r="C2698" s="4" t="str">
        <f>+IF('Data Pura Costos'!C2698="","",'Data Pura Costos'!C2698)</f>
        <v/>
      </c>
      <c r="D2698" s="5" t="str">
        <f>+IF('Data Pura Costos'!D2698="","",'Data Pura Costos'!D2698)</f>
        <v/>
      </c>
      <c r="E2698" s="65" t="str">
        <f>+IF('Data Pura Costos'!E2698="","",IF('Data Pura Costos'!E2698=0,MAX('Data Pura Costos'!$E$7:$E$3000)*1000,'Data Pura Costos'!E2698))</f>
        <v/>
      </c>
      <c r="F2698" s="5" t="str">
        <f>+IF('Data Pura Costos'!F2698="","",'Data Pura Costos'!F2698)</f>
        <v/>
      </c>
      <c r="G2698" s="5" t="str">
        <f>+IF('Data Pura Costos'!G2698="","",'Data Pura Costos'!G2698)</f>
        <v/>
      </c>
      <c r="H2698" s="52" t="str">
        <f>+IF('Data Pura Costos'!H2698="","",'Data Pura Costos'!H2698)</f>
        <v/>
      </c>
      <c r="I2698" s="71" t="str">
        <f>+IF('Data Pura Costos'!I2698="","",'Data Pura Costos'!I2698)</f>
        <v/>
      </c>
      <c r="J2698" s="52" t="str">
        <f>+IF('Data Pura Costos'!J2698="","",'Data Pura Costos'!J2698)</f>
        <v/>
      </c>
      <c r="K2698" s="82" t="str">
        <f t="shared" si="47"/>
        <v/>
      </c>
    </row>
    <row r="2699" spans="2:11" x14ac:dyDescent="0.35">
      <c r="B2699" s="4" t="str">
        <f>+IF('Data Pura Costos'!B2699="","",'Data Pura Costos'!B2699)</f>
        <v/>
      </c>
      <c r="C2699" s="4" t="str">
        <f>+IF('Data Pura Costos'!C2699="","",'Data Pura Costos'!C2699)</f>
        <v/>
      </c>
      <c r="D2699" s="5" t="str">
        <f>+IF('Data Pura Costos'!D2699="","",'Data Pura Costos'!D2699)</f>
        <v/>
      </c>
      <c r="E2699" s="65" t="str">
        <f>+IF('Data Pura Costos'!E2699="","",IF('Data Pura Costos'!E2699=0,MAX('Data Pura Costos'!$E$7:$E$3000)*1000,'Data Pura Costos'!E2699))</f>
        <v/>
      </c>
      <c r="F2699" s="5" t="str">
        <f>+IF('Data Pura Costos'!F2699="","",'Data Pura Costos'!F2699)</f>
        <v/>
      </c>
      <c r="G2699" s="5" t="str">
        <f>+IF('Data Pura Costos'!G2699="","",'Data Pura Costos'!G2699)</f>
        <v/>
      </c>
      <c r="H2699" s="52" t="str">
        <f>+IF('Data Pura Costos'!H2699="","",'Data Pura Costos'!H2699)</f>
        <v/>
      </c>
      <c r="I2699" s="71" t="str">
        <f>+IF('Data Pura Costos'!I2699="","",'Data Pura Costos'!I2699)</f>
        <v/>
      </c>
      <c r="J2699" s="52" t="str">
        <f>+IF('Data Pura Costos'!J2699="","",'Data Pura Costos'!J2699)</f>
        <v/>
      </c>
      <c r="K2699" s="82" t="str">
        <f t="shared" si="47"/>
        <v/>
      </c>
    </row>
    <row r="2700" spans="2:11" x14ac:dyDescent="0.35">
      <c r="B2700" s="4" t="str">
        <f>+IF('Data Pura Costos'!B2700="","",'Data Pura Costos'!B2700)</f>
        <v/>
      </c>
      <c r="C2700" s="4" t="str">
        <f>+IF('Data Pura Costos'!C2700="","",'Data Pura Costos'!C2700)</f>
        <v/>
      </c>
      <c r="D2700" s="5" t="str">
        <f>+IF('Data Pura Costos'!D2700="","",'Data Pura Costos'!D2700)</f>
        <v/>
      </c>
      <c r="E2700" s="65" t="str">
        <f>+IF('Data Pura Costos'!E2700="","",IF('Data Pura Costos'!E2700=0,MAX('Data Pura Costos'!$E$7:$E$3000)*1000,'Data Pura Costos'!E2700))</f>
        <v/>
      </c>
      <c r="F2700" s="5" t="str">
        <f>+IF('Data Pura Costos'!F2700="","",'Data Pura Costos'!F2700)</f>
        <v/>
      </c>
      <c r="G2700" s="5" t="str">
        <f>+IF('Data Pura Costos'!G2700="","",'Data Pura Costos'!G2700)</f>
        <v/>
      </c>
      <c r="H2700" s="52" t="str">
        <f>+IF('Data Pura Costos'!H2700="","",'Data Pura Costos'!H2700)</f>
        <v/>
      </c>
      <c r="I2700" s="71" t="str">
        <f>+IF('Data Pura Costos'!I2700="","",'Data Pura Costos'!I2700)</f>
        <v/>
      </c>
      <c r="J2700" s="52" t="str">
        <f>+IF('Data Pura Costos'!J2700="","",'Data Pura Costos'!J2700)</f>
        <v/>
      </c>
      <c r="K2700" s="82" t="str">
        <f t="shared" si="47"/>
        <v/>
      </c>
    </row>
    <row r="2701" spans="2:11" x14ac:dyDescent="0.35">
      <c r="B2701" s="4" t="str">
        <f>+IF('Data Pura Costos'!B2701="","",'Data Pura Costos'!B2701)</f>
        <v/>
      </c>
      <c r="C2701" s="4" t="str">
        <f>+IF('Data Pura Costos'!C2701="","",'Data Pura Costos'!C2701)</f>
        <v/>
      </c>
      <c r="D2701" s="5" t="str">
        <f>+IF('Data Pura Costos'!D2701="","",'Data Pura Costos'!D2701)</f>
        <v/>
      </c>
      <c r="E2701" s="65" t="str">
        <f>+IF('Data Pura Costos'!E2701="","",IF('Data Pura Costos'!E2701=0,MAX('Data Pura Costos'!$E$7:$E$3000)*1000,'Data Pura Costos'!E2701))</f>
        <v/>
      </c>
      <c r="F2701" s="5" t="str">
        <f>+IF('Data Pura Costos'!F2701="","",'Data Pura Costos'!F2701)</f>
        <v/>
      </c>
      <c r="G2701" s="5" t="str">
        <f>+IF('Data Pura Costos'!G2701="","",'Data Pura Costos'!G2701)</f>
        <v/>
      </c>
      <c r="H2701" s="52" t="str">
        <f>+IF('Data Pura Costos'!H2701="","",'Data Pura Costos'!H2701)</f>
        <v/>
      </c>
      <c r="I2701" s="71" t="str">
        <f>+IF('Data Pura Costos'!I2701="","",'Data Pura Costos'!I2701)</f>
        <v/>
      </c>
      <c r="J2701" s="52" t="str">
        <f>+IF('Data Pura Costos'!J2701="","",'Data Pura Costos'!J2701)</f>
        <v/>
      </c>
      <c r="K2701" s="82" t="str">
        <f t="shared" si="47"/>
        <v/>
      </c>
    </row>
    <row r="2702" spans="2:11" x14ac:dyDescent="0.35">
      <c r="B2702" s="4" t="str">
        <f>+IF('Data Pura Costos'!B2702="","",'Data Pura Costos'!B2702)</f>
        <v/>
      </c>
      <c r="C2702" s="4" t="str">
        <f>+IF('Data Pura Costos'!C2702="","",'Data Pura Costos'!C2702)</f>
        <v/>
      </c>
      <c r="D2702" s="5" t="str">
        <f>+IF('Data Pura Costos'!D2702="","",'Data Pura Costos'!D2702)</f>
        <v/>
      </c>
      <c r="E2702" s="65" t="str">
        <f>+IF('Data Pura Costos'!E2702="","",IF('Data Pura Costos'!E2702=0,MAX('Data Pura Costos'!$E$7:$E$3000)*1000,'Data Pura Costos'!E2702))</f>
        <v/>
      </c>
      <c r="F2702" s="5" t="str">
        <f>+IF('Data Pura Costos'!F2702="","",'Data Pura Costos'!F2702)</f>
        <v/>
      </c>
      <c r="G2702" s="5" t="str">
        <f>+IF('Data Pura Costos'!G2702="","",'Data Pura Costos'!G2702)</f>
        <v/>
      </c>
      <c r="H2702" s="52" t="str">
        <f>+IF('Data Pura Costos'!H2702="","",'Data Pura Costos'!H2702)</f>
        <v/>
      </c>
      <c r="I2702" s="71" t="str">
        <f>+IF('Data Pura Costos'!I2702="","",'Data Pura Costos'!I2702)</f>
        <v/>
      </c>
      <c r="J2702" s="52" t="str">
        <f>+IF('Data Pura Costos'!J2702="","",'Data Pura Costos'!J2702)</f>
        <v/>
      </c>
      <c r="K2702" s="82" t="str">
        <f t="shared" si="47"/>
        <v/>
      </c>
    </row>
    <row r="2703" spans="2:11" x14ac:dyDescent="0.35">
      <c r="B2703" s="4" t="str">
        <f>+IF('Data Pura Costos'!B2703="","",'Data Pura Costos'!B2703)</f>
        <v/>
      </c>
      <c r="C2703" s="4" t="str">
        <f>+IF('Data Pura Costos'!C2703="","",'Data Pura Costos'!C2703)</f>
        <v/>
      </c>
      <c r="D2703" s="5" t="str">
        <f>+IF('Data Pura Costos'!D2703="","",'Data Pura Costos'!D2703)</f>
        <v/>
      </c>
      <c r="E2703" s="65" t="str">
        <f>+IF('Data Pura Costos'!E2703="","",IF('Data Pura Costos'!E2703=0,MAX('Data Pura Costos'!$E$7:$E$3000)*1000,'Data Pura Costos'!E2703))</f>
        <v/>
      </c>
      <c r="F2703" s="5" t="str">
        <f>+IF('Data Pura Costos'!F2703="","",'Data Pura Costos'!F2703)</f>
        <v/>
      </c>
      <c r="G2703" s="5" t="str">
        <f>+IF('Data Pura Costos'!G2703="","",'Data Pura Costos'!G2703)</f>
        <v/>
      </c>
      <c r="H2703" s="52" t="str">
        <f>+IF('Data Pura Costos'!H2703="","",'Data Pura Costos'!H2703)</f>
        <v/>
      </c>
      <c r="I2703" s="71" t="str">
        <f>+IF('Data Pura Costos'!I2703="","",'Data Pura Costos'!I2703)</f>
        <v/>
      </c>
      <c r="J2703" s="52" t="str">
        <f>+IF('Data Pura Costos'!J2703="","",'Data Pura Costos'!J2703)</f>
        <v/>
      </c>
      <c r="K2703" s="82" t="str">
        <f t="shared" si="47"/>
        <v/>
      </c>
    </row>
    <row r="2704" spans="2:11" x14ac:dyDescent="0.35">
      <c r="B2704" s="4" t="str">
        <f>+IF('Data Pura Costos'!B2704="","",'Data Pura Costos'!B2704)</f>
        <v/>
      </c>
      <c r="C2704" s="4" t="str">
        <f>+IF('Data Pura Costos'!C2704="","",'Data Pura Costos'!C2704)</f>
        <v/>
      </c>
      <c r="D2704" s="5" t="str">
        <f>+IF('Data Pura Costos'!D2704="","",'Data Pura Costos'!D2704)</f>
        <v/>
      </c>
      <c r="E2704" s="65" t="str">
        <f>+IF('Data Pura Costos'!E2704="","",IF('Data Pura Costos'!E2704=0,MAX('Data Pura Costos'!$E$7:$E$3000)*1000,'Data Pura Costos'!E2704))</f>
        <v/>
      </c>
      <c r="F2704" s="5" t="str">
        <f>+IF('Data Pura Costos'!F2704="","",'Data Pura Costos'!F2704)</f>
        <v/>
      </c>
      <c r="G2704" s="5" t="str">
        <f>+IF('Data Pura Costos'!G2704="","",'Data Pura Costos'!G2704)</f>
        <v/>
      </c>
      <c r="H2704" s="52" t="str">
        <f>+IF('Data Pura Costos'!H2704="","",'Data Pura Costos'!H2704)</f>
        <v/>
      </c>
      <c r="I2704" s="71" t="str">
        <f>+IF('Data Pura Costos'!I2704="","",'Data Pura Costos'!I2704)</f>
        <v/>
      </c>
      <c r="J2704" s="52" t="str">
        <f>+IF('Data Pura Costos'!J2704="","",'Data Pura Costos'!J2704)</f>
        <v/>
      </c>
      <c r="K2704" s="82" t="str">
        <f t="shared" si="47"/>
        <v/>
      </c>
    </row>
    <row r="2705" spans="2:11" x14ac:dyDescent="0.35">
      <c r="B2705" s="4" t="str">
        <f>+IF('Data Pura Costos'!B2705="","",'Data Pura Costos'!B2705)</f>
        <v/>
      </c>
      <c r="C2705" s="4" t="str">
        <f>+IF('Data Pura Costos'!C2705="","",'Data Pura Costos'!C2705)</f>
        <v/>
      </c>
      <c r="D2705" s="5" t="str">
        <f>+IF('Data Pura Costos'!D2705="","",'Data Pura Costos'!D2705)</f>
        <v/>
      </c>
      <c r="E2705" s="65" t="str">
        <f>+IF('Data Pura Costos'!E2705="","",IF('Data Pura Costos'!E2705=0,MAX('Data Pura Costos'!$E$7:$E$3000)*1000,'Data Pura Costos'!E2705))</f>
        <v/>
      </c>
      <c r="F2705" s="5" t="str">
        <f>+IF('Data Pura Costos'!F2705="","",'Data Pura Costos'!F2705)</f>
        <v/>
      </c>
      <c r="G2705" s="5" t="str">
        <f>+IF('Data Pura Costos'!G2705="","",'Data Pura Costos'!G2705)</f>
        <v/>
      </c>
      <c r="H2705" s="52" t="str">
        <f>+IF('Data Pura Costos'!H2705="","",'Data Pura Costos'!H2705)</f>
        <v/>
      </c>
      <c r="I2705" s="71" t="str">
        <f>+IF('Data Pura Costos'!I2705="","",'Data Pura Costos'!I2705)</f>
        <v/>
      </c>
      <c r="J2705" s="52" t="str">
        <f>+IF('Data Pura Costos'!J2705="","",'Data Pura Costos'!J2705)</f>
        <v/>
      </c>
      <c r="K2705" s="82" t="str">
        <f t="shared" si="47"/>
        <v/>
      </c>
    </row>
    <row r="2706" spans="2:11" x14ac:dyDescent="0.35">
      <c r="B2706" s="4" t="str">
        <f>+IF('Data Pura Costos'!B2706="","",'Data Pura Costos'!B2706)</f>
        <v/>
      </c>
      <c r="C2706" s="4" t="str">
        <f>+IF('Data Pura Costos'!C2706="","",'Data Pura Costos'!C2706)</f>
        <v/>
      </c>
      <c r="D2706" s="5" t="str">
        <f>+IF('Data Pura Costos'!D2706="","",'Data Pura Costos'!D2706)</f>
        <v/>
      </c>
      <c r="E2706" s="65" t="str">
        <f>+IF('Data Pura Costos'!E2706="","",IF('Data Pura Costos'!E2706=0,MAX('Data Pura Costos'!$E$7:$E$3000)*1000,'Data Pura Costos'!E2706))</f>
        <v/>
      </c>
      <c r="F2706" s="5" t="str">
        <f>+IF('Data Pura Costos'!F2706="","",'Data Pura Costos'!F2706)</f>
        <v/>
      </c>
      <c r="G2706" s="5" t="str">
        <f>+IF('Data Pura Costos'!G2706="","",'Data Pura Costos'!G2706)</f>
        <v/>
      </c>
      <c r="H2706" s="52" t="str">
        <f>+IF('Data Pura Costos'!H2706="","",'Data Pura Costos'!H2706)</f>
        <v/>
      </c>
      <c r="I2706" s="71" t="str">
        <f>+IF('Data Pura Costos'!I2706="","",'Data Pura Costos'!I2706)</f>
        <v/>
      </c>
      <c r="J2706" s="52" t="str">
        <f>+IF('Data Pura Costos'!J2706="","",'Data Pura Costos'!J2706)</f>
        <v/>
      </c>
      <c r="K2706" s="82" t="str">
        <f t="shared" si="47"/>
        <v/>
      </c>
    </row>
    <row r="2707" spans="2:11" x14ac:dyDescent="0.35">
      <c r="B2707" s="4" t="str">
        <f>+IF('Data Pura Costos'!B2707="","",'Data Pura Costos'!B2707)</f>
        <v/>
      </c>
      <c r="C2707" s="4" t="str">
        <f>+IF('Data Pura Costos'!C2707="","",'Data Pura Costos'!C2707)</f>
        <v/>
      </c>
      <c r="D2707" s="5" t="str">
        <f>+IF('Data Pura Costos'!D2707="","",'Data Pura Costos'!D2707)</f>
        <v/>
      </c>
      <c r="E2707" s="65" t="str">
        <f>+IF('Data Pura Costos'!E2707="","",IF('Data Pura Costos'!E2707=0,MAX('Data Pura Costos'!$E$7:$E$3000)*1000,'Data Pura Costos'!E2707))</f>
        <v/>
      </c>
      <c r="F2707" s="5" t="str">
        <f>+IF('Data Pura Costos'!F2707="","",'Data Pura Costos'!F2707)</f>
        <v/>
      </c>
      <c r="G2707" s="5" t="str">
        <f>+IF('Data Pura Costos'!G2707="","",'Data Pura Costos'!G2707)</f>
        <v/>
      </c>
      <c r="H2707" s="52" t="str">
        <f>+IF('Data Pura Costos'!H2707="","",'Data Pura Costos'!H2707)</f>
        <v/>
      </c>
      <c r="I2707" s="71" t="str">
        <f>+IF('Data Pura Costos'!I2707="","",'Data Pura Costos'!I2707)</f>
        <v/>
      </c>
      <c r="J2707" s="52" t="str">
        <f>+IF('Data Pura Costos'!J2707="","",'Data Pura Costos'!J2707)</f>
        <v/>
      </c>
      <c r="K2707" s="82" t="str">
        <f t="shared" si="47"/>
        <v/>
      </c>
    </row>
    <row r="2708" spans="2:11" x14ac:dyDescent="0.35">
      <c r="B2708" s="4" t="str">
        <f>+IF('Data Pura Costos'!B2708="","",'Data Pura Costos'!B2708)</f>
        <v/>
      </c>
      <c r="C2708" s="4" t="str">
        <f>+IF('Data Pura Costos'!C2708="","",'Data Pura Costos'!C2708)</f>
        <v/>
      </c>
      <c r="D2708" s="5" t="str">
        <f>+IF('Data Pura Costos'!D2708="","",'Data Pura Costos'!D2708)</f>
        <v/>
      </c>
      <c r="E2708" s="65" t="str">
        <f>+IF('Data Pura Costos'!E2708="","",IF('Data Pura Costos'!E2708=0,MAX('Data Pura Costos'!$E$7:$E$3000)*1000,'Data Pura Costos'!E2708))</f>
        <v/>
      </c>
      <c r="F2708" s="5" t="str">
        <f>+IF('Data Pura Costos'!F2708="","",'Data Pura Costos'!F2708)</f>
        <v/>
      </c>
      <c r="G2708" s="5" t="str">
        <f>+IF('Data Pura Costos'!G2708="","",'Data Pura Costos'!G2708)</f>
        <v/>
      </c>
      <c r="H2708" s="52" t="str">
        <f>+IF('Data Pura Costos'!H2708="","",'Data Pura Costos'!H2708)</f>
        <v/>
      </c>
      <c r="I2708" s="71" t="str">
        <f>+IF('Data Pura Costos'!I2708="","",'Data Pura Costos'!I2708)</f>
        <v/>
      </c>
      <c r="J2708" s="52" t="str">
        <f>+IF('Data Pura Costos'!J2708="","",'Data Pura Costos'!J2708)</f>
        <v/>
      </c>
      <c r="K2708" s="82" t="str">
        <f t="shared" si="47"/>
        <v/>
      </c>
    </row>
    <row r="2709" spans="2:11" x14ac:dyDescent="0.35">
      <c r="B2709" s="4" t="str">
        <f>+IF('Data Pura Costos'!B2709="","",'Data Pura Costos'!B2709)</f>
        <v/>
      </c>
      <c r="C2709" s="4" t="str">
        <f>+IF('Data Pura Costos'!C2709="","",'Data Pura Costos'!C2709)</f>
        <v/>
      </c>
      <c r="D2709" s="5" t="str">
        <f>+IF('Data Pura Costos'!D2709="","",'Data Pura Costos'!D2709)</f>
        <v/>
      </c>
      <c r="E2709" s="65" t="str">
        <f>+IF('Data Pura Costos'!E2709="","",IF('Data Pura Costos'!E2709=0,MAX('Data Pura Costos'!$E$7:$E$3000)*1000,'Data Pura Costos'!E2709))</f>
        <v/>
      </c>
      <c r="F2709" s="5" t="str">
        <f>+IF('Data Pura Costos'!F2709="","",'Data Pura Costos'!F2709)</f>
        <v/>
      </c>
      <c r="G2709" s="5" t="str">
        <f>+IF('Data Pura Costos'!G2709="","",'Data Pura Costos'!G2709)</f>
        <v/>
      </c>
      <c r="H2709" s="52" t="str">
        <f>+IF('Data Pura Costos'!H2709="","",'Data Pura Costos'!H2709)</f>
        <v/>
      </c>
      <c r="I2709" s="71" t="str">
        <f>+IF('Data Pura Costos'!I2709="","",'Data Pura Costos'!I2709)</f>
        <v/>
      </c>
      <c r="J2709" s="52" t="str">
        <f>+IF('Data Pura Costos'!J2709="","",'Data Pura Costos'!J2709)</f>
        <v/>
      </c>
      <c r="K2709" s="82" t="str">
        <f t="shared" si="47"/>
        <v/>
      </c>
    </row>
    <row r="2710" spans="2:11" x14ac:dyDescent="0.35">
      <c r="B2710" s="4" t="str">
        <f>+IF('Data Pura Costos'!B2710="","",'Data Pura Costos'!B2710)</f>
        <v/>
      </c>
      <c r="C2710" s="4" t="str">
        <f>+IF('Data Pura Costos'!C2710="","",'Data Pura Costos'!C2710)</f>
        <v/>
      </c>
      <c r="D2710" s="5" t="str">
        <f>+IF('Data Pura Costos'!D2710="","",'Data Pura Costos'!D2710)</f>
        <v/>
      </c>
      <c r="E2710" s="65" t="str">
        <f>+IF('Data Pura Costos'!E2710="","",IF('Data Pura Costos'!E2710=0,MAX('Data Pura Costos'!$E$7:$E$3000)*1000,'Data Pura Costos'!E2710))</f>
        <v/>
      </c>
      <c r="F2710" s="5" t="str">
        <f>+IF('Data Pura Costos'!F2710="","",'Data Pura Costos'!F2710)</f>
        <v/>
      </c>
      <c r="G2710" s="5" t="str">
        <f>+IF('Data Pura Costos'!G2710="","",'Data Pura Costos'!G2710)</f>
        <v/>
      </c>
      <c r="H2710" s="52" t="str">
        <f>+IF('Data Pura Costos'!H2710="","",'Data Pura Costos'!H2710)</f>
        <v/>
      </c>
      <c r="I2710" s="71" t="str">
        <f>+IF('Data Pura Costos'!I2710="","",'Data Pura Costos'!I2710)</f>
        <v/>
      </c>
      <c r="J2710" s="52" t="str">
        <f>+IF('Data Pura Costos'!J2710="","",'Data Pura Costos'!J2710)</f>
        <v/>
      </c>
      <c r="K2710" s="82" t="str">
        <f t="shared" si="47"/>
        <v/>
      </c>
    </row>
    <row r="2711" spans="2:11" x14ac:dyDescent="0.35">
      <c r="B2711" s="4" t="str">
        <f>+IF('Data Pura Costos'!B2711="","",'Data Pura Costos'!B2711)</f>
        <v/>
      </c>
      <c r="C2711" s="4" t="str">
        <f>+IF('Data Pura Costos'!C2711="","",'Data Pura Costos'!C2711)</f>
        <v/>
      </c>
      <c r="D2711" s="5" t="str">
        <f>+IF('Data Pura Costos'!D2711="","",'Data Pura Costos'!D2711)</f>
        <v/>
      </c>
      <c r="E2711" s="65" t="str">
        <f>+IF('Data Pura Costos'!E2711="","",IF('Data Pura Costos'!E2711=0,MAX('Data Pura Costos'!$E$7:$E$3000)*1000,'Data Pura Costos'!E2711))</f>
        <v/>
      </c>
      <c r="F2711" s="5" t="str">
        <f>+IF('Data Pura Costos'!F2711="","",'Data Pura Costos'!F2711)</f>
        <v/>
      </c>
      <c r="G2711" s="5" t="str">
        <f>+IF('Data Pura Costos'!G2711="","",'Data Pura Costos'!G2711)</f>
        <v/>
      </c>
      <c r="H2711" s="52" t="str">
        <f>+IF('Data Pura Costos'!H2711="","",'Data Pura Costos'!H2711)</f>
        <v/>
      </c>
      <c r="I2711" s="71" t="str">
        <f>+IF('Data Pura Costos'!I2711="","",'Data Pura Costos'!I2711)</f>
        <v/>
      </c>
      <c r="J2711" s="52" t="str">
        <f>+IF('Data Pura Costos'!J2711="","",'Data Pura Costos'!J2711)</f>
        <v/>
      </c>
      <c r="K2711" s="82" t="str">
        <f t="shared" si="47"/>
        <v/>
      </c>
    </row>
    <row r="2712" spans="2:11" x14ac:dyDescent="0.35">
      <c r="B2712" s="4" t="str">
        <f>+IF('Data Pura Costos'!B2712="","",'Data Pura Costos'!B2712)</f>
        <v/>
      </c>
      <c r="C2712" s="4" t="str">
        <f>+IF('Data Pura Costos'!C2712="","",'Data Pura Costos'!C2712)</f>
        <v/>
      </c>
      <c r="D2712" s="5" t="str">
        <f>+IF('Data Pura Costos'!D2712="","",'Data Pura Costos'!D2712)</f>
        <v/>
      </c>
      <c r="E2712" s="65" t="str">
        <f>+IF('Data Pura Costos'!E2712="","",IF('Data Pura Costos'!E2712=0,MAX('Data Pura Costos'!$E$7:$E$3000)*1000,'Data Pura Costos'!E2712))</f>
        <v/>
      </c>
      <c r="F2712" s="5" t="str">
        <f>+IF('Data Pura Costos'!F2712="","",'Data Pura Costos'!F2712)</f>
        <v/>
      </c>
      <c r="G2712" s="5" t="str">
        <f>+IF('Data Pura Costos'!G2712="","",'Data Pura Costos'!G2712)</f>
        <v/>
      </c>
      <c r="H2712" s="52" t="str">
        <f>+IF('Data Pura Costos'!H2712="","",'Data Pura Costos'!H2712)</f>
        <v/>
      </c>
      <c r="I2712" s="71" t="str">
        <f>+IF('Data Pura Costos'!I2712="","",'Data Pura Costos'!I2712)</f>
        <v/>
      </c>
      <c r="J2712" s="52" t="str">
        <f>+IF('Data Pura Costos'!J2712="","",'Data Pura Costos'!J2712)</f>
        <v/>
      </c>
      <c r="K2712" s="82" t="str">
        <f t="shared" si="47"/>
        <v/>
      </c>
    </row>
    <row r="2713" spans="2:11" x14ac:dyDescent="0.35">
      <c r="B2713" s="4" t="str">
        <f>+IF('Data Pura Costos'!B2713="","",'Data Pura Costos'!B2713)</f>
        <v/>
      </c>
      <c r="C2713" s="4" t="str">
        <f>+IF('Data Pura Costos'!C2713="","",'Data Pura Costos'!C2713)</f>
        <v/>
      </c>
      <c r="D2713" s="5" t="str">
        <f>+IF('Data Pura Costos'!D2713="","",'Data Pura Costos'!D2713)</f>
        <v/>
      </c>
      <c r="E2713" s="65" t="str">
        <f>+IF('Data Pura Costos'!E2713="","",IF('Data Pura Costos'!E2713=0,MAX('Data Pura Costos'!$E$7:$E$3000)*1000,'Data Pura Costos'!E2713))</f>
        <v/>
      </c>
      <c r="F2713" s="5" t="str">
        <f>+IF('Data Pura Costos'!F2713="","",'Data Pura Costos'!F2713)</f>
        <v/>
      </c>
      <c r="G2713" s="5" t="str">
        <f>+IF('Data Pura Costos'!G2713="","",'Data Pura Costos'!G2713)</f>
        <v/>
      </c>
      <c r="H2713" s="52" t="str">
        <f>+IF('Data Pura Costos'!H2713="","",'Data Pura Costos'!H2713)</f>
        <v/>
      </c>
      <c r="I2713" s="71" t="str">
        <f>+IF('Data Pura Costos'!I2713="","",'Data Pura Costos'!I2713)</f>
        <v/>
      </c>
      <c r="J2713" s="52" t="str">
        <f>+IF('Data Pura Costos'!J2713="","",'Data Pura Costos'!J2713)</f>
        <v/>
      </c>
      <c r="K2713" s="82" t="str">
        <f t="shared" si="47"/>
        <v/>
      </c>
    </row>
    <row r="2714" spans="2:11" x14ac:dyDescent="0.35">
      <c r="B2714" s="4" t="str">
        <f>+IF('Data Pura Costos'!B2714="","",'Data Pura Costos'!B2714)</f>
        <v/>
      </c>
      <c r="C2714" s="4" t="str">
        <f>+IF('Data Pura Costos'!C2714="","",'Data Pura Costos'!C2714)</f>
        <v/>
      </c>
      <c r="D2714" s="5" t="str">
        <f>+IF('Data Pura Costos'!D2714="","",'Data Pura Costos'!D2714)</f>
        <v/>
      </c>
      <c r="E2714" s="65" t="str">
        <f>+IF('Data Pura Costos'!E2714="","",IF('Data Pura Costos'!E2714=0,MAX('Data Pura Costos'!$E$7:$E$3000)*1000,'Data Pura Costos'!E2714))</f>
        <v/>
      </c>
      <c r="F2714" s="5" t="str">
        <f>+IF('Data Pura Costos'!F2714="","",'Data Pura Costos'!F2714)</f>
        <v/>
      </c>
      <c r="G2714" s="5" t="str">
        <f>+IF('Data Pura Costos'!G2714="","",'Data Pura Costos'!G2714)</f>
        <v/>
      </c>
      <c r="H2714" s="52" t="str">
        <f>+IF('Data Pura Costos'!H2714="","",'Data Pura Costos'!H2714)</f>
        <v/>
      </c>
      <c r="I2714" s="71" t="str">
        <f>+IF('Data Pura Costos'!I2714="","",'Data Pura Costos'!I2714)</f>
        <v/>
      </c>
      <c r="J2714" s="52" t="str">
        <f>+IF('Data Pura Costos'!J2714="","",'Data Pura Costos'!J2714)</f>
        <v/>
      </c>
      <c r="K2714" s="82" t="str">
        <f t="shared" si="47"/>
        <v/>
      </c>
    </row>
    <row r="2715" spans="2:11" x14ac:dyDescent="0.35">
      <c r="B2715" s="4" t="str">
        <f>+IF('Data Pura Costos'!B2715="","",'Data Pura Costos'!B2715)</f>
        <v/>
      </c>
      <c r="C2715" s="4" t="str">
        <f>+IF('Data Pura Costos'!C2715="","",'Data Pura Costos'!C2715)</f>
        <v/>
      </c>
      <c r="D2715" s="5" t="str">
        <f>+IF('Data Pura Costos'!D2715="","",'Data Pura Costos'!D2715)</f>
        <v/>
      </c>
      <c r="E2715" s="65" t="str">
        <f>+IF('Data Pura Costos'!E2715="","",IF('Data Pura Costos'!E2715=0,MAX('Data Pura Costos'!$E$7:$E$3000)*1000,'Data Pura Costos'!E2715))</f>
        <v/>
      </c>
      <c r="F2715" s="5" t="str">
        <f>+IF('Data Pura Costos'!F2715="","",'Data Pura Costos'!F2715)</f>
        <v/>
      </c>
      <c r="G2715" s="5" t="str">
        <f>+IF('Data Pura Costos'!G2715="","",'Data Pura Costos'!G2715)</f>
        <v/>
      </c>
      <c r="H2715" s="52" t="str">
        <f>+IF('Data Pura Costos'!H2715="","",'Data Pura Costos'!H2715)</f>
        <v/>
      </c>
      <c r="I2715" s="71" t="str">
        <f>+IF('Data Pura Costos'!I2715="","",'Data Pura Costos'!I2715)</f>
        <v/>
      </c>
      <c r="J2715" s="52" t="str">
        <f>+IF('Data Pura Costos'!J2715="","",'Data Pura Costos'!J2715)</f>
        <v/>
      </c>
      <c r="K2715" s="82" t="str">
        <f t="shared" si="47"/>
        <v/>
      </c>
    </row>
    <row r="2716" spans="2:11" x14ac:dyDescent="0.35">
      <c r="B2716" s="4" t="str">
        <f>+IF('Data Pura Costos'!B2716="","",'Data Pura Costos'!B2716)</f>
        <v/>
      </c>
      <c r="C2716" s="4" t="str">
        <f>+IF('Data Pura Costos'!C2716="","",'Data Pura Costos'!C2716)</f>
        <v/>
      </c>
      <c r="D2716" s="5" t="str">
        <f>+IF('Data Pura Costos'!D2716="","",'Data Pura Costos'!D2716)</f>
        <v/>
      </c>
      <c r="E2716" s="65" t="str">
        <f>+IF('Data Pura Costos'!E2716="","",IF('Data Pura Costos'!E2716=0,MAX('Data Pura Costos'!$E$7:$E$3000)*1000,'Data Pura Costos'!E2716))</f>
        <v/>
      </c>
      <c r="F2716" s="5" t="str">
        <f>+IF('Data Pura Costos'!F2716="","",'Data Pura Costos'!F2716)</f>
        <v/>
      </c>
      <c r="G2716" s="5" t="str">
        <f>+IF('Data Pura Costos'!G2716="","",'Data Pura Costos'!G2716)</f>
        <v/>
      </c>
      <c r="H2716" s="52" t="str">
        <f>+IF('Data Pura Costos'!H2716="","",'Data Pura Costos'!H2716)</f>
        <v/>
      </c>
      <c r="I2716" s="71" t="str">
        <f>+IF('Data Pura Costos'!I2716="","",'Data Pura Costos'!I2716)</f>
        <v/>
      </c>
      <c r="J2716" s="52" t="str">
        <f>+IF('Data Pura Costos'!J2716="","",'Data Pura Costos'!J2716)</f>
        <v/>
      </c>
      <c r="K2716" s="82" t="str">
        <f t="shared" si="47"/>
        <v/>
      </c>
    </row>
    <row r="2717" spans="2:11" x14ac:dyDescent="0.35">
      <c r="B2717" s="4" t="str">
        <f>+IF('Data Pura Costos'!B2717="","",'Data Pura Costos'!B2717)</f>
        <v/>
      </c>
      <c r="C2717" s="4" t="str">
        <f>+IF('Data Pura Costos'!C2717="","",'Data Pura Costos'!C2717)</f>
        <v/>
      </c>
      <c r="D2717" s="5" t="str">
        <f>+IF('Data Pura Costos'!D2717="","",'Data Pura Costos'!D2717)</f>
        <v/>
      </c>
      <c r="E2717" s="65" t="str">
        <f>+IF('Data Pura Costos'!E2717="","",IF('Data Pura Costos'!E2717=0,MAX('Data Pura Costos'!$E$7:$E$3000)*1000,'Data Pura Costos'!E2717))</f>
        <v/>
      </c>
      <c r="F2717" s="5" t="str">
        <f>+IF('Data Pura Costos'!F2717="","",'Data Pura Costos'!F2717)</f>
        <v/>
      </c>
      <c r="G2717" s="5" t="str">
        <f>+IF('Data Pura Costos'!G2717="","",'Data Pura Costos'!G2717)</f>
        <v/>
      </c>
      <c r="H2717" s="52" t="str">
        <f>+IF('Data Pura Costos'!H2717="","",'Data Pura Costos'!H2717)</f>
        <v/>
      </c>
      <c r="I2717" s="71" t="str">
        <f>+IF('Data Pura Costos'!I2717="","",'Data Pura Costos'!I2717)</f>
        <v/>
      </c>
      <c r="J2717" s="52" t="str">
        <f>+IF('Data Pura Costos'!J2717="","",'Data Pura Costos'!J2717)</f>
        <v/>
      </c>
      <c r="K2717" s="82" t="str">
        <f t="shared" si="47"/>
        <v/>
      </c>
    </row>
    <row r="2718" spans="2:11" x14ac:dyDescent="0.35">
      <c r="B2718" s="4" t="str">
        <f>+IF('Data Pura Costos'!B2718="","",'Data Pura Costos'!B2718)</f>
        <v/>
      </c>
      <c r="C2718" s="4" t="str">
        <f>+IF('Data Pura Costos'!C2718="","",'Data Pura Costos'!C2718)</f>
        <v/>
      </c>
      <c r="D2718" s="5" t="str">
        <f>+IF('Data Pura Costos'!D2718="","",'Data Pura Costos'!D2718)</f>
        <v/>
      </c>
      <c r="E2718" s="65" t="str">
        <f>+IF('Data Pura Costos'!E2718="","",IF('Data Pura Costos'!E2718=0,MAX('Data Pura Costos'!$E$7:$E$3000)*1000,'Data Pura Costos'!E2718))</f>
        <v/>
      </c>
      <c r="F2718" s="5" t="str">
        <f>+IF('Data Pura Costos'!F2718="","",'Data Pura Costos'!F2718)</f>
        <v/>
      </c>
      <c r="G2718" s="5" t="str">
        <f>+IF('Data Pura Costos'!G2718="","",'Data Pura Costos'!G2718)</f>
        <v/>
      </c>
      <c r="H2718" s="52" t="str">
        <f>+IF('Data Pura Costos'!H2718="","",'Data Pura Costos'!H2718)</f>
        <v/>
      </c>
      <c r="I2718" s="71" t="str">
        <f>+IF('Data Pura Costos'!I2718="","",'Data Pura Costos'!I2718)</f>
        <v/>
      </c>
      <c r="J2718" s="52" t="str">
        <f>+IF('Data Pura Costos'!J2718="","",'Data Pura Costos'!J2718)</f>
        <v/>
      </c>
      <c r="K2718" s="82" t="str">
        <f t="shared" si="47"/>
        <v/>
      </c>
    </row>
    <row r="2719" spans="2:11" x14ac:dyDescent="0.35">
      <c r="B2719" s="4" t="str">
        <f>+IF('Data Pura Costos'!B2719="","",'Data Pura Costos'!B2719)</f>
        <v/>
      </c>
      <c r="C2719" s="4" t="str">
        <f>+IF('Data Pura Costos'!C2719="","",'Data Pura Costos'!C2719)</f>
        <v/>
      </c>
      <c r="D2719" s="5" t="str">
        <f>+IF('Data Pura Costos'!D2719="","",'Data Pura Costos'!D2719)</f>
        <v/>
      </c>
      <c r="E2719" s="65" t="str">
        <f>+IF('Data Pura Costos'!E2719="","",IF('Data Pura Costos'!E2719=0,MAX('Data Pura Costos'!$E$7:$E$3000)*1000,'Data Pura Costos'!E2719))</f>
        <v/>
      </c>
      <c r="F2719" s="5" t="str">
        <f>+IF('Data Pura Costos'!F2719="","",'Data Pura Costos'!F2719)</f>
        <v/>
      </c>
      <c r="G2719" s="5" t="str">
        <f>+IF('Data Pura Costos'!G2719="","",'Data Pura Costos'!G2719)</f>
        <v/>
      </c>
      <c r="H2719" s="52" t="str">
        <f>+IF('Data Pura Costos'!H2719="","",'Data Pura Costos'!H2719)</f>
        <v/>
      </c>
      <c r="I2719" s="71" t="str">
        <f>+IF('Data Pura Costos'!I2719="","",'Data Pura Costos'!I2719)</f>
        <v/>
      </c>
      <c r="J2719" s="52" t="str">
        <f>+IF('Data Pura Costos'!J2719="","",'Data Pura Costos'!J2719)</f>
        <v/>
      </c>
      <c r="K2719" s="82" t="str">
        <f t="shared" si="47"/>
        <v/>
      </c>
    </row>
    <row r="2720" spans="2:11" x14ac:dyDescent="0.35">
      <c r="B2720" s="4" t="str">
        <f>+IF('Data Pura Costos'!B2720="","",'Data Pura Costos'!B2720)</f>
        <v/>
      </c>
      <c r="C2720" s="4" t="str">
        <f>+IF('Data Pura Costos'!C2720="","",'Data Pura Costos'!C2720)</f>
        <v/>
      </c>
      <c r="D2720" s="5" t="str">
        <f>+IF('Data Pura Costos'!D2720="","",'Data Pura Costos'!D2720)</f>
        <v/>
      </c>
      <c r="E2720" s="65" t="str">
        <f>+IF('Data Pura Costos'!E2720="","",IF('Data Pura Costos'!E2720=0,MAX('Data Pura Costos'!$E$7:$E$3000)*1000,'Data Pura Costos'!E2720))</f>
        <v/>
      </c>
      <c r="F2720" s="5" t="str">
        <f>+IF('Data Pura Costos'!F2720="","",'Data Pura Costos'!F2720)</f>
        <v/>
      </c>
      <c r="G2720" s="5" t="str">
        <f>+IF('Data Pura Costos'!G2720="","",'Data Pura Costos'!G2720)</f>
        <v/>
      </c>
      <c r="H2720" s="52" t="str">
        <f>+IF('Data Pura Costos'!H2720="","",'Data Pura Costos'!H2720)</f>
        <v/>
      </c>
      <c r="I2720" s="71" t="str">
        <f>+IF('Data Pura Costos'!I2720="","",'Data Pura Costos'!I2720)</f>
        <v/>
      </c>
      <c r="J2720" s="52" t="str">
        <f>+IF('Data Pura Costos'!J2720="","",'Data Pura Costos'!J2720)</f>
        <v/>
      </c>
      <c r="K2720" s="82" t="str">
        <f t="shared" si="47"/>
        <v/>
      </c>
    </row>
    <row r="2721" spans="2:11" x14ac:dyDescent="0.35">
      <c r="B2721" s="4" t="str">
        <f>+IF('Data Pura Costos'!B2721="","",'Data Pura Costos'!B2721)</f>
        <v/>
      </c>
      <c r="C2721" s="4" t="str">
        <f>+IF('Data Pura Costos'!C2721="","",'Data Pura Costos'!C2721)</f>
        <v/>
      </c>
      <c r="D2721" s="5" t="str">
        <f>+IF('Data Pura Costos'!D2721="","",'Data Pura Costos'!D2721)</f>
        <v/>
      </c>
      <c r="E2721" s="65" t="str">
        <f>+IF('Data Pura Costos'!E2721="","",IF('Data Pura Costos'!E2721=0,MAX('Data Pura Costos'!$E$7:$E$3000)*1000,'Data Pura Costos'!E2721))</f>
        <v/>
      </c>
      <c r="F2721" s="5" t="str">
        <f>+IF('Data Pura Costos'!F2721="","",'Data Pura Costos'!F2721)</f>
        <v/>
      </c>
      <c r="G2721" s="5" t="str">
        <f>+IF('Data Pura Costos'!G2721="","",'Data Pura Costos'!G2721)</f>
        <v/>
      </c>
      <c r="H2721" s="52" t="str">
        <f>+IF('Data Pura Costos'!H2721="","",'Data Pura Costos'!H2721)</f>
        <v/>
      </c>
      <c r="I2721" s="71" t="str">
        <f>+IF('Data Pura Costos'!I2721="","",'Data Pura Costos'!I2721)</f>
        <v/>
      </c>
      <c r="J2721" s="52" t="str">
        <f>+IF('Data Pura Costos'!J2721="","",'Data Pura Costos'!J2721)</f>
        <v/>
      </c>
      <c r="K2721" s="82" t="str">
        <f t="shared" si="47"/>
        <v/>
      </c>
    </row>
    <row r="2722" spans="2:11" x14ac:dyDescent="0.35">
      <c r="B2722" s="4" t="str">
        <f>+IF('Data Pura Costos'!B2722="","",'Data Pura Costos'!B2722)</f>
        <v/>
      </c>
      <c r="C2722" s="4" t="str">
        <f>+IF('Data Pura Costos'!C2722="","",'Data Pura Costos'!C2722)</f>
        <v/>
      </c>
      <c r="D2722" s="5" t="str">
        <f>+IF('Data Pura Costos'!D2722="","",'Data Pura Costos'!D2722)</f>
        <v/>
      </c>
      <c r="E2722" s="65" t="str">
        <f>+IF('Data Pura Costos'!E2722="","",IF('Data Pura Costos'!E2722=0,MAX('Data Pura Costos'!$E$7:$E$3000)*1000,'Data Pura Costos'!E2722))</f>
        <v/>
      </c>
      <c r="F2722" s="5" t="str">
        <f>+IF('Data Pura Costos'!F2722="","",'Data Pura Costos'!F2722)</f>
        <v/>
      </c>
      <c r="G2722" s="5" t="str">
        <f>+IF('Data Pura Costos'!G2722="","",'Data Pura Costos'!G2722)</f>
        <v/>
      </c>
      <c r="H2722" s="52" t="str">
        <f>+IF('Data Pura Costos'!H2722="","",'Data Pura Costos'!H2722)</f>
        <v/>
      </c>
      <c r="I2722" s="71" t="str">
        <f>+IF('Data Pura Costos'!I2722="","",'Data Pura Costos'!I2722)</f>
        <v/>
      </c>
      <c r="J2722" s="52" t="str">
        <f>+IF('Data Pura Costos'!J2722="","",'Data Pura Costos'!J2722)</f>
        <v/>
      </c>
      <c r="K2722" s="82" t="str">
        <f t="shared" si="47"/>
        <v/>
      </c>
    </row>
    <row r="2723" spans="2:11" x14ac:dyDescent="0.35">
      <c r="B2723" s="4" t="str">
        <f>+IF('Data Pura Costos'!B2723="","",'Data Pura Costos'!B2723)</f>
        <v/>
      </c>
      <c r="C2723" s="4" t="str">
        <f>+IF('Data Pura Costos'!C2723="","",'Data Pura Costos'!C2723)</f>
        <v/>
      </c>
      <c r="D2723" s="5" t="str">
        <f>+IF('Data Pura Costos'!D2723="","",'Data Pura Costos'!D2723)</f>
        <v/>
      </c>
      <c r="E2723" s="65" t="str">
        <f>+IF('Data Pura Costos'!E2723="","",IF('Data Pura Costos'!E2723=0,MAX('Data Pura Costos'!$E$7:$E$3000)*1000,'Data Pura Costos'!E2723))</f>
        <v/>
      </c>
      <c r="F2723" s="5" t="str">
        <f>+IF('Data Pura Costos'!F2723="","",'Data Pura Costos'!F2723)</f>
        <v/>
      </c>
      <c r="G2723" s="5" t="str">
        <f>+IF('Data Pura Costos'!G2723="","",'Data Pura Costos'!G2723)</f>
        <v/>
      </c>
      <c r="H2723" s="52" t="str">
        <f>+IF('Data Pura Costos'!H2723="","",'Data Pura Costos'!H2723)</f>
        <v/>
      </c>
      <c r="I2723" s="71" t="str">
        <f>+IF('Data Pura Costos'!I2723="","",'Data Pura Costos'!I2723)</f>
        <v/>
      </c>
      <c r="J2723" s="52" t="str">
        <f>+IF('Data Pura Costos'!J2723="","",'Data Pura Costos'!J2723)</f>
        <v/>
      </c>
      <c r="K2723" s="82" t="str">
        <f t="shared" si="47"/>
        <v/>
      </c>
    </row>
    <row r="2724" spans="2:11" x14ac:dyDescent="0.35">
      <c r="B2724" s="4" t="str">
        <f>+IF('Data Pura Costos'!B2724="","",'Data Pura Costos'!B2724)</f>
        <v/>
      </c>
      <c r="C2724" s="4" t="str">
        <f>+IF('Data Pura Costos'!C2724="","",'Data Pura Costos'!C2724)</f>
        <v/>
      </c>
      <c r="D2724" s="5" t="str">
        <f>+IF('Data Pura Costos'!D2724="","",'Data Pura Costos'!D2724)</f>
        <v/>
      </c>
      <c r="E2724" s="65" t="str">
        <f>+IF('Data Pura Costos'!E2724="","",IF('Data Pura Costos'!E2724=0,MAX('Data Pura Costos'!$E$7:$E$3000)*1000,'Data Pura Costos'!E2724))</f>
        <v/>
      </c>
      <c r="F2724" s="5" t="str">
        <f>+IF('Data Pura Costos'!F2724="","",'Data Pura Costos'!F2724)</f>
        <v/>
      </c>
      <c r="G2724" s="5" t="str">
        <f>+IF('Data Pura Costos'!G2724="","",'Data Pura Costos'!G2724)</f>
        <v/>
      </c>
      <c r="H2724" s="52" t="str">
        <f>+IF('Data Pura Costos'!H2724="","",'Data Pura Costos'!H2724)</f>
        <v/>
      </c>
      <c r="I2724" s="71" t="str">
        <f>+IF('Data Pura Costos'!I2724="","",'Data Pura Costos'!I2724)</f>
        <v/>
      </c>
      <c r="J2724" s="52" t="str">
        <f>+IF('Data Pura Costos'!J2724="","",'Data Pura Costos'!J2724)</f>
        <v/>
      </c>
      <c r="K2724" s="82" t="str">
        <f t="shared" si="47"/>
        <v/>
      </c>
    </row>
    <row r="2725" spans="2:11" x14ac:dyDescent="0.35">
      <c r="B2725" s="4" t="str">
        <f>+IF('Data Pura Costos'!B2725="","",'Data Pura Costos'!B2725)</f>
        <v/>
      </c>
      <c r="C2725" s="4" t="str">
        <f>+IF('Data Pura Costos'!C2725="","",'Data Pura Costos'!C2725)</f>
        <v/>
      </c>
      <c r="D2725" s="5" t="str">
        <f>+IF('Data Pura Costos'!D2725="","",'Data Pura Costos'!D2725)</f>
        <v/>
      </c>
      <c r="E2725" s="65" t="str">
        <f>+IF('Data Pura Costos'!E2725="","",IF('Data Pura Costos'!E2725=0,MAX('Data Pura Costos'!$E$7:$E$3000)*1000,'Data Pura Costos'!E2725))</f>
        <v/>
      </c>
      <c r="F2725" s="5" t="str">
        <f>+IF('Data Pura Costos'!F2725="","",'Data Pura Costos'!F2725)</f>
        <v/>
      </c>
      <c r="G2725" s="5" t="str">
        <f>+IF('Data Pura Costos'!G2725="","",'Data Pura Costos'!G2725)</f>
        <v/>
      </c>
      <c r="H2725" s="52" t="str">
        <f>+IF('Data Pura Costos'!H2725="","",'Data Pura Costos'!H2725)</f>
        <v/>
      </c>
      <c r="I2725" s="71" t="str">
        <f>+IF('Data Pura Costos'!I2725="","",'Data Pura Costos'!I2725)</f>
        <v/>
      </c>
      <c r="J2725" s="52" t="str">
        <f>+IF('Data Pura Costos'!J2725="","",'Data Pura Costos'!J2725)</f>
        <v/>
      </c>
      <c r="K2725" s="82" t="str">
        <f t="shared" si="47"/>
        <v/>
      </c>
    </row>
    <row r="2726" spans="2:11" x14ac:dyDescent="0.35">
      <c r="B2726" s="4" t="str">
        <f>+IF('Data Pura Costos'!B2726="","",'Data Pura Costos'!B2726)</f>
        <v/>
      </c>
      <c r="C2726" s="4" t="str">
        <f>+IF('Data Pura Costos'!C2726="","",'Data Pura Costos'!C2726)</f>
        <v/>
      </c>
      <c r="D2726" s="5" t="str">
        <f>+IF('Data Pura Costos'!D2726="","",'Data Pura Costos'!D2726)</f>
        <v/>
      </c>
      <c r="E2726" s="65" t="str">
        <f>+IF('Data Pura Costos'!E2726="","",IF('Data Pura Costos'!E2726=0,MAX('Data Pura Costos'!$E$7:$E$3000)*1000,'Data Pura Costos'!E2726))</f>
        <v/>
      </c>
      <c r="F2726" s="5" t="str">
        <f>+IF('Data Pura Costos'!F2726="","",'Data Pura Costos'!F2726)</f>
        <v/>
      </c>
      <c r="G2726" s="5" t="str">
        <f>+IF('Data Pura Costos'!G2726="","",'Data Pura Costos'!G2726)</f>
        <v/>
      </c>
      <c r="H2726" s="52" t="str">
        <f>+IF('Data Pura Costos'!H2726="","",'Data Pura Costos'!H2726)</f>
        <v/>
      </c>
      <c r="I2726" s="71" t="str">
        <f>+IF('Data Pura Costos'!I2726="","",'Data Pura Costos'!I2726)</f>
        <v/>
      </c>
      <c r="J2726" s="52" t="str">
        <f>+IF('Data Pura Costos'!J2726="","",'Data Pura Costos'!J2726)</f>
        <v/>
      </c>
      <c r="K2726" s="82" t="str">
        <f t="shared" si="47"/>
        <v/>
      </c>
    </row>
    <row r="2727" spans="2:11" x14ac:dyDescent="0.35">
      <c r="B2727" s="4" t="str">
        <f>+IF('Data Pura Costos'!B2727="","",'Data Pura Costos'!B2727)</f>
        <v/>
      </c>
      <c r="C2727" s="4" t="str">
        <f>+IF('Data Pura Costos'!C2727="","",'Data Pura Costos'!C2727)</f>
        <v/>
      </c>
      <c r="D2727" s="5" t="str">
        <f>+IF('Data Pura Costos'!D2727="","",'Data Pura Costos'!D2727)</f>
        <v/>
      </c>
      <c r="E2727" s="65" t="str">
        <f>+IF('Data Pura Costos'!E2727="","",IF('Data Pura Costos'!E2727=0,MAX('Data Pura Costos'!$E$7:$E$3000)*1000,'Data Pura Costos'!E2727))</f>
        <v/>
      </c>
      <c r="F2727" s="5" t="str">
        <f>+IF('Data Pura Costos'!F2727="","",'Data Pura Costos'!F2727)</f>
        <v/>
      </c>
      <c r="G2727" s="5" t="str">
        <f>+IF('Data Pura Costos'!G2727="","",'Data Pura Costos'!G2727)</f>
        <v/>
      </c>
      <c r="H2727" s="52" t="str">
        <f>+IF('Data Pura Costos'!H2727="","",'Data Pura Costos'!H2727)</f>
        <v/>
      </c>
      <c r="I2727" s="71" t="str">
        <f>+IF('Data Pura Costos'!I2727="","",'Data Pura Costos'!I2727)</f>
        <v/>
      </c>
      <c r="J2727" s="52" t="str">
        <f>+IF('Data Pura Costos'!J2727="","",'Data Pura Costos'!J2727)</f>
        <v/>
      </c>
      <c r="K2727" s="82" t="str">
        <f t="shared" si="47"/>
        <v/>
      </c>
    </row>
    <row r="2728" spans="2:11" x14ac:dyDescent="0.35">
      <c r="B2728" s="4" t="str">
        <f>+IF('Data Pura Costos'!B2728="","",'Data Pura Costos'!B2728)</f>
        <v/>
      </c>
      <c r="C2728" s="4" t="str">
        <f>+IF('Data Pura Costos'!C2728="","",'Data Pura Costos'!C2728)</f>
        <v/>
      </c>
      <c r="D2728" s="5" t="str">
        <f>+IF('Data Pura Costos'!D2728="","",'Data Pura Costos'!D2728)</f>
        <v/>
      </c>
      <c r="E2728" s="65" t="str">
        <f>+IF('Data Pura Costos'!E2728="","",IF('Data Pura Costos'!E2728=0,MAX('Data Pura Costos'!$E$7:$E$3000)*1000,'Data Pura Costos'!E2728))</f>
        <v/>
      </c>
      <c r="F2728" s="5" t="str">
        <f>+IF('Data Pura Costos'!F2728="","",'Data Pura Costos'!F2728)</f>
        <v/>
      </c>
      <c r="G2728" s="5" t="str">
        <f>+IF('Data Pura Costos'!G2728="","",'Data Pura Costos'!G2728)</f>
        <v/>
      </c>
      <c r="H2728" s="52" t="str">
        <f>+IF('Data Pura Costos'!H2728="","",'Data Pura Costos'!H2728)</f>
        <v/>
      </c>
      <c r="I2728" s="71" t="str">
        <f>+IF('Data Pura Costos'!I2728="","",'Data Pura Costos'!I2728)</f>
        <v/>
      </c>
      <c r="J2728" s="52" t="str">
        <f>+IF('Data Pura Costos'!J2728="","",'Data Pura Costos'!J2728)</f>
        <v/>
      </c>
      <c r="K2728" s="82" t="str">
        <f t="shared" si="47"/>
        <v/>
      </c>
    </row>
    <row r="2729" spans="2:11" x14ac:dyDescent="0.35">
      <c r="B2729" s="4" t="str">
        <f>+IF('Data Pura Costos'!B2729="","",'Data Pura Costos'!B2729)</f>
        <v/>
      </c>
      <c r="C2729" s="4" t="str">
        <f>+IF('Data Pura Costos'!C2729="","",'Data Pura Costos'!C2729)</f>
        <v/>
      </c>
      <c r="D2729" s="5" t="str">
        <f>+IF('Data Pura Costos'!D2729="","",'Data Pura Costos'!D2729)</f>
        <v/>
      </c>
      <c r="E2729" s="65" t="str">
        <f>+IF('Data Pura Costos'!E2729="","",IF('Data Pura Costos'!E2729=0,MAX('Data Pura Costos'!$E$7:$E$3000)*1000,'Data Pura Costos'!E2729))</f>
        <v/>
      </c>
      <c r="F2729" s="5" t="str">
        <f>+IF('Data Pura Costos'!F2729="","",'Data Pura Costos'!F2729)</f>
        <v/>
      </c>
      <c r="G2729" s="5" t="str">
        <f>+IF('Data Pura Costos'!G2729="","",'Data Pura Costos'!G2729)</f>
        <v/>
      </c>
      <c r="H2729" s="52" t="str">
        <f>+IF('Data Pura Costos'!H2729="","",'Data Pura Costos'!H2729)</f>
        <v/>
      </c>
      <c r="I2729" s="71" t="str">
        <f>+IF('Data Pura Costos'!I2729="","",'Data Pura Costos'!I2729)</f>
        <v/>
      </c>
      <c r="J2729" s="52" t="str">
        <f>+IF('Data Pura Costos'!J2729="","",'Data Pura Costos'!J2729)</f>
        <v/>
      </c>
      <c r="K2729" s="82" t="str">
        <f t="shared" si="47"/>
        <v/>
      </c>
    </row>
    <row r="2730" spans="2:11" x14ac:dyDescent="0.35">
      <c r="B2730" s="4" t="str">
        <f>+IF('Data Pura Costos'!B2730="","",'Data Pura Costos'!B2730)</f>
        <v/>
      </c>
      <c r="C2730" s="4" t="str">
        <f>+IF('Data Pura Costos'!C2730="","",'Data Pura Costos'!C2730)</f>
        <v/>
      </c>
      <c r="D2730" s="5" t="str">
        <f>+IF('Data Pura Costos'!D2730="","",'Data Pura Costos'!D2730)</f>
        <v/>
      </c>
      <c r="E2730" s="65" t="str">
        <f>+IF('Data Pura Costos'!E2730="","",IF('Data Pura Costos'!E2730=0,MAX('Data Pura Costos'!$E$7:$E$3000)*1000,'Data Pura Costos'!E2730))</f>
        <v/>
      </c>
      <c r="F2730" s="5" t="str">
        <f>+IF('Data Pura Costos'!F2730="","",'Data Pura Costos'!F2730)</f>
        <v/>
      </c>
      <c r="G2730" s="5" t="str">
        <f>+IF('Data Pura Costos'!G2730="","",'Data Pura Costos'!G2730)</f>
        <v/>
      </c>
      <c r="H2730" s="52" t="str">
        <f>+IF('Data Pura Costos'!H2730="","",'Data Pura Costos'!H2730)</f>
        <v/>
      </c>
      <c r="I2730" s="71" t="str">
        <f>+IF('Data Pura Costos'!I2730="","",'Data Pura Costos'!I2730)</f>
        <v/>
      </c>
      <c r="J2730" s="52" t="str">
        <f>+IF('Data Pura Costos'!J2730="","",'Data Pura Costos'!J2730)</f>
        <v/>
      </c>
      <c r="K2730" s="82" t="str">
        <f t="shared" si="47"/>
        <v/>
      </c>
    </row>
    <row r="2731" spans="2:11" x14ac:dyDescent="0.35">
      <c r="B2731" s="4" t="str">
        <f>+IF('Data Pura Costos'!B2731="","",'Data Pura Costos'!B2731)</f>
        <v/>
      </c>
      <c r="C2731" s="4" t="str">
        <f>+IF('Data Pura Costos'!C2731="","",'Data Pura Costos'!C2731)</f>
        <v/>
      </c>
      <c r="D2731" s="5" t="str">
        <f>+IF('Data Pura Costos'!D2731="","",'Data Pura Costos'!D2731)</f>
        <v/>
      </c>
      <c r="E2731" s="65" t="str">
        <f>+IF('Data Pura Costos'!E2731="","",IF('Data Pura Costos'!E2731=0,MAX('Data Pura Costos'!$E$7:$E$3000)*1000,'Data Pura Costos'!E2731))</f>
        <v/>
      </c>
      <c r="F2731" s="5" t="str">
        <f>+IF('Data Pura Costos'!F2731="","",'Data Pura Costos'!F2731)</f>
        <v/>
      </c>
      <c r="G2731" s="5" t="str">
        <f>+IF('Data Pura Costos'!G2731="","",'Data Pura Costos'!G2731)</f>
        <v/>
      </c>
      <c r="H2731" s="52" t="str">
        <f>+IF('Data Pura Costos'!H2731="","",'Data Pura Costos'!H2731)</f>
        <v/>
      </c>
      <c r="I2731" s="71" t="str">
        <f>+IF('Data Pura Costos'!I2731="","",'Data Pura Costos'!I2731)</f>
        <v/>
      </c>
      <c r="J2731" s="52" t="str">
        <f>+IF('Data Pura Costos'!J2731="","",'Data Pura Costos'!J2731)</f>
        <v/>
      </c>
      <c r="K2731" s="82" t="str">
        <f t="shared" si="47"/>
        <v/>
      </c>
    </row>
    <row r="2732" spans="2:11" x14ac:dyDescent="0.35">
      <c r="B2732" s="4" t="str">
        <f>+IF('Data Pura Costos'!B2732="","",'Data Pura Costos'!B2732)</f>
        <v/>
      </c>
      <c r="C2732" s="4" t="str">
        <f>+IF('Data Pura Costos'!C2732="","",'Data Pura Costos'!C2732)</f>
        <v/>
      </c>
      <c r="D2732" s="5" t="str">
        <f>+IF('Data Pura Costos'!D2732="","",'Data Pura Costos'!D2732)</f>
        <v/>
      </c>
      <c r="E2732" s="65" t="str">
        <f>+IF('Data Pura Costos'!E2732="","",IF('Data Pura Costos'!E2732=0,MAX('Data Pura Costos'!$E$7:$E$3000)*1000,'Data Pura Costos'!E2732))</f>
        <v/>
      </c>
      <c r="F2732" s="5" t="str">
        <f>+IF('Data Pura Costos'!F2732="","",'Data Pura Costos'!F2732)</f>
        <v/>
      </c>
      <c r="G2732" s="5" t="str">
        <f>+IF('Data Pura Costos'!G2732="","",'Data Pura Costos'!G2732)</f>
        <v/>
      </c>
      <c r="H2732" s="52" t="str">
        <f>+IF('Data Pura Costos'!H2732="","",'Data Pura Costos'!H2732)</f>
        <v/>
      </c>
      <c r="I2732" s="71" t="str">
        <f>+IF('Data Pura Costos'!I2732="","",'Data Pura Costos'!I2732)</f>
        <v/>
      </c>
      <c r="J2732" s="52" t="str">
        <f>+IF('Data Pura Costos'!J2732="","",'Data Pura Costos'!J2732)</f>
        <v/>
      </c>
      <c r="K2732" s="82" t="str">
        <f t="shared" si="47"/>
        <v/>
      </c>
    </row>
    <row r="2733" spans="2:11" x14ac:dyDescent="0.35">
      <c r="B2733" s="4" t="str">
        <f>+IF('Data Pura Costos'!B2733="","",'Data Pura Costos'!B2733)</f>
        <v/>
      </c>
      <c r="C2733" s="4" t="str">
        <f>+IF('Data Pura Costos'!C2733="","",'Data Pura Costos'!C2733)</f>
        <v/>
      </c>
      <c r="D2733" s="5" t="str">
        <f>+IF('Data Pura Costos'!D2733="","",'Data Pura Costos'!D2733)</f>
        <v/>
      </c>
      <c r="E2733" s="65" t="str">
        <f>+IF('Data Pura Costos'!E2733="","",IF('Data Pura Costos'!E2733=0,MAX('Data Pura Costos'!$E$7:$E$3000)*1000,'Data Pura Costos'!E2733))</f>
        <v/>
      </c>
      <c r="F2733" s="5" t="str">
        <f>+IF('Data Pura Costos'!F2733="","",'Data Pura Costos'!F2733)</f>
        <v/>
      </c>
      <c r="G2733" s="5" t="str">
        <f>+IF('Data Pura Costos'!G2733="","",'Data Pura Costos'!G2733)</f>
        <v/>
      </c>
      <c r="H2733" s="52" t="str">
        <f>+IF('Data Pura Costos'!H2733="","",'Data Pura Costos'!H2733)</f>
        <v/>
      </c>
      <c r="I2733" s="71" t="str">
        <f>+IF('Data Pura Costos'!I2733="","",'Data Pura Costos'!I2733)</f>
        <v/>
      </c>
      <c r="J2733" s="52" t="str">
        <f>+IF('Data Pura Costos'!J2733="","",'Data Pura Costos'!J2733)</f>
        <v/>
      </c>
      <c r="K2733" s="82" t="str">
        <f t="shared" si="47"/>
        <v/>
      </c>
    </row>
    <row r="2734" spans="2:11" x14ac:dyDescent="0.35">
      <c r="B2734" s="4" t="str">
        <f>+IF('Data Pura Costos'!B2734="","",'Data Pura Costos'!B2734)</f>
        <v/>
      </c>
      <c r="C2734" s="4" t="str">
        <f>+IF('Data Pura Costos'!C2734="","",'Data Pura Costos'!C2734)</f>
        <v/>
      </c>
      <c r="D2734" s="5" t="str">
        <f>+IF('Data Pura Costos'!D2734="","",'Data Pura Costos'!D2734)</f>
        <v/>
      </c>
      <c r="E2734" s="65" t="str">
        <f>+IF('Data Pura Costos'!E2734="","",IF('Data Pura Costos'!E2734=0,MAX('Data Pura Costos'!$E$7:$E$3000)*1000,'Data Pura Costos'!E2734))</f>
        <v/>
      </c>
      <c r="F2734" s="5" t="str">
        <f>+IF('Data Pura Costos'!F2734="","",'Data Pura Costos'!F2734)</f>
        <v/>
      </c>
      <c r="G2734" s="5" t="str">
        <f>+IF('Data Pura Costos'!G2734="","",'Data Pura Costos'!G2734)</f>
        <v/>
      </c>
      <c r="H2734" s="52" t="str">
        <f>+IF('Data Pura Costos'!H2734="","",'Data Pura Costos'!H2734)</f>
        <v/>
      </c>
      <c r="I2734" s="71" t="str">
        <f>+IF('Data Pura Costos'!I2734="","",'Data Pura Costos'!I2734)</f>
        <v/>
      </c>
      <c r="J2734" s="52" t="str">
        <f>+IF('Data Pura Costos'!J2734="","",'Data Pura Costos'!J2734)</f>
        <v/>
      </c>
      <c r="K2734" s="82" t="str">
        <f t="shared" si="47"/>
        <v/>
      </c>
    </row>
    <row r="2735" spans="2:11" x14ac:dyDescent="0.35">
      <c r="B2735" s="4" t="str">
        <f>+IF('Data Pura Costos'!B2735="","",'Data Pura Costos'!B2735)</f>
        <v/>
      </c>
      <c r="C2735" s="4" t="str">
        <f>+IF('Data Pura Costos'!C2735="","",'Data Pura Costos'!C2735)</f>
        <v/>
      </c>
      <c r="D2735" s="5" t="str">
        <f>+IF('Data Pura Costos'!D2735="","",'Data Pura Costos'!D2735)</f>
        <v/>
      </c>
      <c r="E2735" s="65" t="str">
        <f>+IF('Data Pura Costos'!E2735="","",IF('Data Pura Costos'!E2735=0,MAX('Data Pura Costos'!$E$7:$E$3000)*1000,'Data Pura Costos'!E2735))</f>
        <v/>
      </c>
      <c r="F2735" s="5" t="str">
        <f>+IF('Data Pura Costos'!F2735="","",'Data Pura Costos'!F2735)</f>
        <v/>
      </c>
      <c r="G2735" s="5" t="str">
        <f>+IF('Data Pura Costos'!G2735="","",'Data Pura Costos'!G2735)</f>
        <v/>
      </c>
      <c r="H2735" s="52" t="str">
        <f>+IF('Data Pura Costos'!H2735="","",'Data Pura Costos'!H2735)</f>
        <v/>
      </c>
      <c r="I2735" s="71" t="str">
        <f>+IF('Data Pura Costos'!I2735="","",'Data Pura Costos'!I2735)</f>
        <v/>
      </c>
      <c r="J2735" s="52" t="str">
        <f>+IF('Data Pura Costos'!J2735="","",'Data Pura Costos'!J2735)</f>
        <v/>
      </c>
      <c r="K2735" s="82" t="str">
        <f t="shared" si="47"/>
        <v/>
      </c>
    </row>
    <row r="2736" spans="2:11" x14ac:dyDescent="0.35">
      <c r="B2736" s="4" t="str">
        <f>+IF('Data Pura Costos'!B2736="","",'Data Pura Costos'!B2736)</f>
        <v/>
      </c>
      <c r="C2736" s="4" t="str">
        <f>+IF('Data Pura Costos'!C2736="","",'Data Pura Costos'!C2736)</f>
        <v/>
      </c>
      <c r="D2736" s="5" t="str">
        <f>+IF('Data Pura Costos'!D2736="","",'Data Pura Costos'!D2736)</f>
        <v/>
      </c>
      <c r="E2736" s="65" t="str">
        <f>+IF('Data Pura Costos'!E2736="","",IF('Data Pura Costos'!E2736=0,MAX('Data Pura Costos'!$E$7:$E$3000)*1000,'Data Pura Costos'!E2736))</f>
        <v/>
      </c>
      <c r="F2736" s="5" t="str">
        <f>+IF('Data Pura Costos'!F2736="","",'Data Pura Costos'!F2736)</f>
        <v/>
      </c>
      <c r="G2736" s="5" t="str">
        <f>+IF('Data Pura Costos'!G2736="","",'Data Pura Costos'!G2736)</f>
        <v/>
      </c>
      <c r="H2736" s="52" t="str">
        <f>+IF('Data Pura Costos'!H2736="","",'Data Pura Costos'!H2736)</f>
        <v/>
      </c>
      <c r="I2736" s="71" t="str">
        <f>+IF('Data Pura Costos'!I2736="","",'Data Pura Costos'!I2736)</f>
        <v/>
      </c>
      <c r="J2736" s="52" t="str">
        <f>+IF('Data Pura Costos'!J2736="","",'Data Pura Costos'!J2736)</f>
        <v/>
      </c>
      <c r="K2736" s="82" t="str">
        <f t="shared" si="47"/>
        <v/>
      </c>
    </row>
    <row r="2737" spans="2:11" x14ac:dyDescent="0.35">
      <c r="B2737" s="4" t="str">
        <f>+IF('Data Pura Costos'!B2737="","",'Data Pura Costos'!B2737)</f>
        <v/>
      </c>
      <c r="C2737" s="4" t="str">
        <f>+IF('Data Pura Costos'!C2737="","",'Data Pura Costos'!C2737)</f>
        <v/>
      </c>
      <c r="D2737" s="5" t="str">
        <f>+IF('Data Pura Costos'!D2737="","",'Data Pura Costos'!D2737)</f>
        <v/>
      </c>
      <c r="E2737" s="65" t="str">
        <f>+IF('Data Pura Costos'!E2737="","",IF('Data Pura Costos'!E2737=0,MAX('Data Pura Costos'!$E$7:$E$3000)*1000,'Data Pura Costos'!E2737))</f>
        <v/>
      </c>
      <c r="F2737" s="5" t="str">
        <f>+IF('Data Pura Costos'!F2737="","",'Data Pura Costos'!F2737)</f>
        <v/>
      </c>
      <c r="G2737" s="5" t="str">
        <f>+IF('Data Pura Costos'!G2737="","",'Data Pura Costos'!G2737)</f>
        <v/>
      </c>
      <c r="H2737" s="52" t="str">
        <f>+IF('Data Pura Costos'!H2737="","",'Data Pura Costos'!H2737)</f>
        <v/>
      </c>
      <c r="I2737" s="71" t="str">
        <f>+IF('Data Pura Costos'!I2737="","",'Data Pura Costos'!I2737)</f>
        <v/>
      </c>
      <c r="J2737" s="52" t="str">
        <f>+IF('Data Pura Costos'!J2737="","",'Data Pura Costos'!J2737)</f>
        <v/>
      </c>
      <c r="K2737" s="82" t="str">
        <f t="shared" si="47"/>
        <v/>
      </c>
    </row>
    <row r="2738" spans="2:11" x14ac:dyDescent="0.35">
      <c r="B2738" s="4" t="str">
        <f>+IF('Data Pura Costos'!B2738="","",'Data Pura Costos'!B2738)</f>
        <v/>
      </c>
      <c r="C2738" s="4" t="str">
        <f>+IF('Data Pura Costos'!C2738="","",'Data Pura Costos'!C2738)</f>
        <v/>
      </c>
      <c r="D2738" s="5" t="str">
        <f>+IF('Data Pura Costos'!D2738="","",'Data Pura Costos'!D2738)</f>
        <v/>
      </c>
      <c r="E2738" s="65" t="str">
        <f>+IF('Data Pura Costos'!E2738="","",IF('Data Pura Costos'!E2738=0,MAX('Data Pura Costos'!$E$7:$E$3000)*1000,'Data Pura Costos'!E2738))</f>
        <v/>
      </c>
      <c r="F2738" s="5" t="str">
        <f>+IF('Data Pura Costos'!F2738="","",'Data Pura Costos'!F2738)</f>
        <v/>
      </c>
      <c r="G2738" s="5" t="str">
        <f>+IF('Data Pura Costos'!G2738="","",'Data Pura Costos'!G2738)</f>
        <v/>
      </c>
      <c r="H2738" s="52" t="str">
        <f>+IF('Data Pura Costos'!H2738="","",'Data Pura Costos'!H2738)</f>
        <v/>
      </c>
      <c r="I2738" s="71" t="str">
        <f>+IF('Data Pura Costos'!I2738="","",'Data Pura Costos'!I2738)</f>
        <v/>
      </c>
      <c r="J2738" s="52" t="str">
        <f>+IF('Data Pura Costos'!J2738="","",'Data Pura Costos'!J2738)</f>
        <v/>
      </c>
      <c r="K2738" s="82" t="str">
        <f t="shared" si="47"/>
        <v/>
      </c>
    </row>
    <row r="2739" spans="2:11" x14ac:dyDescent="0.35">
      <c r="B2739" s="4" t="str">
        <f>+IF('Data Pura Costos'!B2739="","",'Data Pura Costos'!B2739)</f>
        <v/>
      </c>
      <c r="C2739" s="4" t="str">
        <f>+IF('Data Pura Costos'!C2739="","",'Data Pura Costos'!C2739)</f>
        <v/>
      </c>
      <c r="D2739" s="5" t="str">
        <f>+IF('Data Pura Costos'!D2739="","",'Data Pura Costos'!D2739)</f>
        <v/>
      </c>
      <c r="E2739" s="65" t="str">
        <f>+IF('Data Pura Costos'!E2739="","",IF('Data Pura Costos'!E2739=0,MAX('Data Pura Costos'!$E$7:$E$3000)*1000,'Data Pura Costos'!E2739))</f>
        <v/>
      </c>
      <c r="F2739" s="5" t="str">
        <f>+IF('Data Pura Costos'!F2739="","",'Data Pura Costos'!F2739)</f>
        <v/>
      </c>
      <c r="G2739" s="5" t="str">
        <f>+IF('Data Pura Costos'!G2739="","",'Data Pura Costos'!G2739)</f>
        <v/>
      </c>
      <c r="H2739" s="52" t="str">
        <f>+IF('Data Pura Costos'!H2739="","",'Data Pura Costos'!H2739)</f>
        <v/>
      </c>
      <c r="I2739" s="71" t="str">
        <f>+IF('Data Pura Costos'!I2739="","",'Data Pura Costos'!I2739)</f>
        <v/>
      </c>
      <c r="J2739" s="52" t="str">
        <f>+IF('Data Pura Costos'!J2739="","",'Data Pura Costos'!J2739)</f>
        <v/>
      </c>
      <c r="K2739" s="82" t="str">
        <f t="shared" si="47"/>
        <v/>
      </c>
    </row>
    <row r="2740" spans="2:11" x14ac:dyDescent="0.35">
      <c r="B2740" s="4" t="str">
        <f>+IF('Data Pura Costos'!B2740="","",'Data Pura Costos'!B2740)</f>
        <v/>
      </c>
      <c r="C2740" s="4" t="str">
        <f>+IF('Data Pura Costos'!C2740="","",'Data Pura Costos'!C2740)</f>
        <v/>
      </c>
      <c r="D2740" s="5" t="str">
        <f>+IF('Data Pura Costos'!D2740="","",'Data Pura Costos'!D2740)</f>
        <v/>
      </c>
      <c r="E2740" s="65" t="str">
        <f>+IF('Data Pura Costos'!E2740="","",IF('Data Pura Costos'!E2740=0,MAX('Data Pura Costos'!$E$7:$E$3000)*1000,'Data Pura Costos'!E2740))</f>
        <v/>
      </c>
      <c r="F2740" s="5" t="str">
        <f>+IF('Data Pura Costos'!F2740="","",'Data Pura Costos'!F2740)</f>
        <v/>
      </c>
      <c r="G2740" s="5" t="str">
        <f>+IF('Data Pura Costos'!G2740="","",'Data Pura Costos'!G2740)</f>
        <v/>
      </c>
      <c r="H2740" s="52" t="str">
        <f>+IF('Data Pura Costos'!H2740="","",'Data Pura Costos'!H2740)</f>
        <v/>
      </c>
      <c r="I2740" s="71" t="str">
        <f>+IF('Data Pura Costos'!I2740="","",'Data Pura Costos'!I2740)</f>
        <v/>
      </c>
      <c r="J2740" s="52" t="str">
        <f>+IF('Data Pura Costos'!J2740="","",'Data Pura Costos'!J2740)</f>
        <v/>
      </c>
      <c r="K2740" s="82" t="str">
        <f t="shared" si="47"/>
        <v/>
      </c>
    </row>
    <row r="2741" spans="2:11" x14ac:dyDescent="0.35">
      <c r="B2741" s="4" t="str">
        <f>+IF('Data Pura Costos'!B2741="","",'Data Pura Costos'!B2741)</f>
        <v/>
      </c>
      <c r="C2741" s="4" t="str">
        <f>+IF('Data Pura Costos'!C2741="","",'Data Pura Costos'!C2741)</f>
        <v/>
      </c>
      <c r="D2741" s="5" t="str">
        <f>+IF('Data Pura Costos'!D2741="","",'Data Pura Costos'!D2741)</f>
        <v/>
      </c>
      <c r="E2741" s="65" t="str">
        <f>+IF('Data Pura Costos'!E2741="","",IF('Data Pura Costos'!E2741=0,MAX('Data Pura Costos'!$E$7:$E$3000)*1000,'Data Pura Costos'!E2741))</f>
        <v/>
      </c>
      <c r="F2741" s="5" t="str">
        <f>+IF('Data Pura Costos'!F2741="","",'Data Pura Costos'!F2741)</f>
        <v/>
      </c>
      <c r="G2741" s="5" t="str">
        <f>+IF('Data Pura Costos'!G2741="","",'Data Pura Costos'!G2741)</f>
        <v/>
      </c>
      <c r="H2741" s="52" t="str">
        <f>+IF('Data Pura Costos'!H2741="","",'Data Pura Costos'!H2741)</f>
        <v/>
      </c>
      <c r="I2741" s="71" t="str">
        <f>+IF('Data Pura Costos'!I2741="","",'Data Pura Costos'!I2741)</f>
        <v/>
      </c>
      <c r="J2741" s="52" t="str">
        <f>+IF('Data Pura Costos'!J2741="","",'Data Pura Costos'!J2741)</f>
        <v/>
      </c>
      <c r="K2741" s="82" t="str">
        <f t="shared" si="47"/>
        <v/>
      </c>
    </row>
    <row r="2742" spans="2:11" x14ac:dyDescent="0.35">
      <c r="B2742" s="4" t="str">
        <f>+IF('Data Pura Costos'!B2742="","",'Data Pura Costos'!B2742)</f>
        <v/>
      </c>
      <c r="C2742" s="4" t="str">
        <f>+IF('Data Pura Costos'!C2742="","",'Data Pura Costos'!C2742)</f>
        <v/>
      </c>
      <c r="D2742" s="5" t="str">
        <f>+IF('Data Pura Costos'!D2742="","",'Data Pura Costos'!D2742)</f>
        <v/>
      </c>
      <c r="E2742" s="65" t="str">
        <f>+IF('Data Pura Costos'!E2742="","",IF('Data Pura Costos'!E2742=0,MAX('Data Pura Costos'!$E$7:$E$3000)*1000,'Data Pura Costos'!E2742))</f>
        <v/>
      </c>
      <c r="F2742" s="5" t="str">
        <f>+IF('Data Pura Costos'!F2742="","",'Data Pura Costos'!F2742)</f>
        <v/>
      </c>
      <c r="G2742" s="5" t="str">
        <f>+IF('Data Pura Costos'!G2742="","",'Data Pura Costos'!G2742)</f>
        <v/>
      </c>
      <c r="H2742" s="52" t="str">
        <f>+IF('Data Pura Costos'!H2742="","",'Data Pura Costos'!H2742)</f>
        <v/>
      </c>
      <c r="I2742" s="71" t="str">
        <f>+IF('Data Pura Costos'!I2742="","",'Data Pura Costos'!I2742)</f>
        <v/>
      </c>
      <c r="J2742" s="52" t="str">
        <f>+IF('Data Pura Costos'!J2742="","",'Data Pura Costos'!J2742)</f>
        <v/>
      </c>
      <c r="K2742" s="82" t="str">
        <f t="shared" si="47"/>
        <v/>
      </c>
    </row>
    <row r="2743" spans="2:11" x14ac:dyDescent="0.35">
      <c r="B2743" s="4" t="str">
        <f>+IF('Data Pura Costos'!B2743="","",'Data Pura Costos'!B2743)</f>
        <v/>
      </c>
      <c r="C2743" s="4" t="str">
        <f>+IF('Data Pura Costos'!C2743="","",'Data Pura Costos'!C2743)</f>
        <v/>
      </c>
      <c r="D2743" s="5" t="str">
        <f>+IF('Data Pura Costos'!D2743="","",'Data Pura Costos'!D2743)</f>
        <v/>
      </c>
      <c r="E2743" s="65" t="str">
        <f>+IF('Data Pura Costos'!E2743="","",IF('Data Pura Costos'!E2743=0,MAX('Data Pura Costos'!$E$7:$E$3000)*1000,'Data Pura Costos'!E2743))</f>
        <v/>
      </c>
      <c r="F2743" s="5" t="str">
        <f>+IF('Data Pura Costos'!F2743="","",'Data Pura Costos'!F2743)</f>
        <v/>
      </c>
      <c r="G2743" s="5" t="str">
        <f>+IF('Data Pura Costos'!G2743="","",'Data Pura Costos'!G2743)</f>
        <v/>
      </c>
      <c r="H2743" s="52" t="str">
        <f>+IF('Data Pura Costos'!H2743="","",'Data Pura Costos'!H2743)</f>
        <v/>
      </c>
      <c r="I2743" s="71" t="str">
        <f>+IF('Data Pura Costos'!I2743="","",'Data Pura Costos'!I2743)</f>
        <v/>
      </c>
      <c r="J2743" s="52" t="str">
        <f>+IF('Data Pura Costos'!J2743="","",'Data Pura Costos'!J2743)</f>
        <v/>
      </c>
      <c r="K2743" s="82" t="str">
        <f t="shared" si="47"/>
        <v/>
      </c>
    </row>
    <row r="2744" spans="2:11" x14ac:dyDescent="0.35">
      <c r="B2744" s="4" t="str">
        <f>+IF('Data Pura Costos'!B2744="","",'Data Pura Costos'!B2744)</f>
        <v/>
      </c>
      <c r="C2744" s="4" t="str">
        <f>+IF('Data Pura Costos'!C2744="","",'Data Pura Costos'!C2744)</f>
        <v/>
      </c>
      <c r="D2744" s="5" t="str">
        <f>+IF('Data Pura Costos'!D2744="","",'Data Pura Costos'!D2744)</f>
        <v/>
      </c>
      <c r="E2744" s="65" t="str">
        <f>+IF('Data Pura Costos'!E2744="","",IF('Data Pura Costos'!E2744=0,MAX('Data Pura Costos'!$E$7:$E$3000)*1000,'Data Pura Costos'!E2744))</f>
        <v/>
      </c>
      <c r="F2744" s="5" t="str">
        <f>+IF('Data Pura Costos'!F2744="","",'Data Pura Costos'!F2744)</f>
        <v/>
      </c>
      <c r="G2744" s="5" t="str">
        <f>+IF('Data Pura Costos'!G2744="","",'Data Pura Costos'!G2744)</f>
        <v/>
      </c>
      <c r="H2744" s="52" t="str">
        <f>+IF('Data Pura Costos'!H2744="","",'Data Pura Costos'!H2744)</f>
        <v/>
      </c>
      <c r="I2744" s="71" t="str">
        <f>+IF('Data Pura Costos'!I2744="","",'Data Pura Costos'!I2744)</f>
        <v/>
      </c>
      <c r="J2744" s="52" t="str">
        <f>+IF('Data Pura Costos'!J2744="","",'Data Pura Costos'!J2744)</f>
        <v/>
      </c>
      <c r="K2744" s="82" t="str">
        <f t="shared" si="47"/>
        <v/>
      </c>
    </row>
    <row r="2745" spans="2:11" x14ac:dyDescent="0.35">
      <c r="B2745" s="4" t="str">
        <f>+IF('Data Pura Costos'!B2745="","",'Data Pura Costos'!B2745)</f>
        <v/>
      </c>
      <c r="C2745" s="4" t="str">
        <f>+IF('Data Pura Costos'!C2745="","",'Data Pura Costos'!C2745)</f>
        <v/>
      </c>
      <c r="D2745" s="5" t="str">
        <f>+IF('Data Pura Costos'!D2745="","",'Data Pura Costos'!D2745)</f>
        <v/>
      </c>
      <c r="E2745" s="65" t="str">
        <f>+IF('Data Pura Costos'!E2745="","",IF('Data Pura Costos'!E2745=0,MAX('Data Pura Costos'!$E$7:$E$3000)*1000,'Data Pura Costos'!E2745))</f>
        <v/>
      </c>
      <c r="F2745" s="5" t="str">
        <f>+IF('Data Pura Costos'!F2745="","",'Data Pura Costos'!F2745)</f>
        <v/>
      </c>
      <c r="G2745" s="5" t="str">
        <f>+IF('Data Pura Costos'!G2745="","",'Data Pura Costos'!G2745)</f>
        <v/>
      </c>
      <c r="H2745" s="52" t="str">
        <f>+IF('Data Pura Costos'!H2745="","",'Data Pura Costos'!H2745)</f>
        <v/>
      </c>
      <c r="I2745" s="71" t="str">
        <f>+IF('Data Pura Costos'!I2745="","",'Data Pura Costos'!I2745)</f>
        <v/>
      </c>
      <c r="J2745" s="52" t="str">
        <f>+IF('Data Pura Costos'!J2745="","",'Data Pura Costos'!J2745)</f>
        <v/>
      </c>
      <c r="K2745" s="82" t="str">
        <f t="shared" si="47"/>
        <v/>
      </c>
    </row>
    <row r="2746" spans="2:11" x14ac:dyDescent="0.35">
      <c r="B2746" s="4" t="str">
        <f>+IF('Data Pura Costos'!B2746="","",'Data Pura Costos'!B2746)</f>
        <v/>
      </c>
      <c r="C2746" s="4" t="str">
        <f>+IF('Data Pura Costos'!C2746="","",'Data Pura Costos'!C2746)</f>
        <v/>
      </c>
      <c r="D2746" s="5" t="str">
        <f>+IF('Data Pura Costos'!D2746="","",'Data Pura Costos'!D2746)</f>
        <v/>
      </c>
      <c r="E2746" s="65" t="str">
        <f>+IF('Data Pura Costos'!E2746="","",IF('Data Pura Costos'!E2746=0,MAX('Data Pura Costos'!$E$7:$E$3000)*1000,'Data Pura Costos'!E2746))</f>
        <v/>
      </c>
      <c r="F2746" s="5" t="str">
        <f>+IF('Data Pura Costos'!F2746="","",'Data Pura Costos'!F2746)</f>
        <v/>
      </c>
      <c r="G2746" s="5" t="str">
        <f>+IF('Data Pura Costos'!G2746="","",'Data Pura Costos'!G2746)</f>
        <v/>
      </c>
      <c r="H2746" s="52" t="str">
        <f>+IF('Data Pura Costos'!H2746="","",'Data Pura Costos'!H2746)</f>
        <v/>
      </c>
      <c r="I2746" s="71" t="str">
        <f>+IF('Data Pura Costos'!I2746="","",'Data Pura Costos'!I2746)</f>
        <v/>
      </c>
      <c r="J2746" s="52" t="str">
        <f>+IF('Data Pura Costos'!J2746="","",'Data Pura Costos'!J2746)</f>
        <v/>
      </c>
      <c r="K2746" s="82" t="str">
        <f t="shared" si="47"/>
        <v/>
      </c>
    </row>
    <row r="2747" spans="2:11" x14ac:dyDescent="0.35">
      <c r="B2747" s="4" t="str">
        <f>+IF('Data Pura Costos'!B2747="","",'Data Pura Costos'!B2747)</f>
        <v/>
      </c>
      <c r="C2747" s="4" t="str">
        <f>+IF('Data Pura Costos'!C2747="","",'Data Pura Costos'!C2747)</f>
        <v/>
      </c>
      <c r="D2747" s="5" t="str">
        <f>+IF('Data Pura Costos'!D2747="","",'Data Pura Costos'!D2747)</f>
        <v/>
      </c>
      <c r="E2747" s="65" t="str">
        <f>+IF('Data Pura Costos'!E2747="","",IF('Data Pura Costos'!E2747=0,MAX('Data Pura Costos'!$E$7:$E$3000)*1000,'Data Pura Costos'!E2747))</f>
        <v/>
      </c>
      <c r="F2747" s="5" t="str">
        <f>+IF('Data Pura Costos'!F2747="","",'Data Pura Costos'!F2747)</f>
        <v/>
      </c>
      <c r="G2747" s="5" t="str">
        <f>+IF('Data Pura Costos'!G2747="","",'Data Pura Costos'!G2747)</f>
        <v/>
      </c>
      <c r="H2747" s="52" t="str">
        <f>+IF('Data Pura Costos'!H2747="","",'Data Pura Costos'!H2747)</f>
        <v/>
      </c>
      <c r="I2747" s="71" t="str">
        <f>+IF('Data Pura Costos'!I2747="","",'Data Pura Costos'!I2747)</f>
        <v/>
      </c>
      <c r="J2747" s="52" t="str">
        <f>+IF('Data Pura Costos'!J2747="","",'Data Pura Costos'!J2747)</f>
        <v/>
      </c>
      <c r="K2747" s="82" t="str">
        <f t="shared" si="47"/>
        <v/>
      </c>
    </row>
    <row r="2748" spans="2:11" x14ac:dyDescent="0.35">
      <c r="B2748" s="4" t="str">
        <f>+IF('Data Pura Costos'!B2748="","",'Data Pura Costos'!B2748)</f>
        <v/>
      </c>
      <c r="C2748" s="4" t="str">
        <f>+IF('Data Pura Costos'!C2748="","",'Data Pura Costos'!C2748)</f>
        <v/>
      </c>
      <c r="D2748" s="5" t="str">
        <f>+IF('Data Pura Costos'!D2748="","",'Data Pura Costos'!D2748)</f>
        <v/>
      </c>
      <c r="E2748" s="65" t="str">
        <f>+IF('Data Pura Costos'!E2748="","",IF('Data Pura Costos'!E2748=0,MAX('Data Pura Costos'!$E$7:$E$3000)*1000,'Data Pura Costos'!E2748))</f>
        <v/>
      </c>
      <c r="F2748" s="5" t="str">
        <f>+IF('Data Pura Costos'!F2748="","",'Data Pura Costos'!F2748)</f>
        <v/>
      </c>
      <c r="G2748" s="5" t="str">
        <f>+IF('Data Pura Costos'!G2748="","",'Data Pura Costos'!G2748)</f>
        <v/>
      </c>
      <c r="H2748" s="52" t="str">
        <f>+IF('Data Pura Costos'!H2748="","",'Data Pura Costos'!H2748)</f>
        <v/>
      </c>
      <c r="I2748" s="71" t="str">
        <f>+IF('Data Pura Costos'!I2748="","",'Data Pura Costos'!I2748)</f>
        <v/>
      </c>
      <c r="J2748" s="52" t="str">
        <f>+IF('Data Pura Costos'!J2748="","",'Data Pura Costos'!J2748)</f>
        <v/>
      </c>
      <c r="K2748" s="82" t="str">
        <f t="shared" ref="K2748:K2811" si="48">+IF(B2748="","",CONCATENATE(B2748,"-",F2748,"-",G2748))</f>
        <v/>
      </c>
    </row>
    <row r="2749" spans="2:11" x14ac:dyDescent="0.35">
      <c r="B2749" s="4" t="str">
        <f>+IF('Data Pura Costos'!B2749="","",'Data Pura Costos'!B2749)</f>
        <v/>
      </c>
      <c r="C2749" s="4" t="str">
        <f>+IF('Data Pura Costos'!C2749="","",'Data Pura Costos'!C2749)</f>
        <v/>
      </c>
      <c r="D2749" s="5" t="str">
        <f>+IF('Data Pura Costos'!D2749="","",'Data Pura Costos'!D2749)</f>
        <v/>
      </c>
      <c r="E2749" s="65" t="str">
        <f>+IF('Data Pura Costos'!E2749="","",IF('Data Pura Costos'!E2749=0,MAX('Data Pura Costos'!$E$7:$E$3000)*1000,'Data Pura Costos'!E2749))</f>
        <v/>
      </c>
      <c r="F2749" s="5" t="str">
        <f>+IF('Data Pura Costos'!F2749="","",'Data Pura Costos'!F2749)</f>
        <v/>
      </c>
      <c r="G2749" s="5" t="str">
        <f>+IF('Data Pura Costos'!G2749="","",'Data Pura Costos'!G2749)</f>
        <v/>
      </c>
      <c r="H2749" s="52" t="str">
        <f>+IF('Data Pura Costos'!H2749="","",'Data Pura Costos'!H2749)</f>
        <v/>
      </c>
      <c r="I2749" s="71" t="str">
        <f>+IF('Data Pura Costos'!I2749="","",'Data Pura Costos'!I2749)</f>
        <v/>
      </c>
      <c r="J2749" s="52" t="str">
        <f>+IF('Data Pura Costos'!J2749="","",'Data Pura Costos'!J2749)</f>
        <v/>
      </c>
      <c r="K2749" s="82" t="str">
        <f t="shared" si="48"/>
        <v/>
      </c>
    </row>
    <row r="2750" spans="2:11" x14ac:dyDescent="0.35">
      <c r="B2750" s="4" t="str">
        <f>+IF('Data Pura Costos'!B2750="","",'Data Pura Costos'!B2750)</f>
        <v/>
      </c>
      <c r="C2750" s="4" t="str">
        <f>+IF('Data Pura Costos'!C2750="","",'Data Pura Costos'!C2750)</f>
        <v/>
      </c>
      <c r="D2750" s="5" t="str">
        <f>+IF('Data Pura Costos'!D2750="","",'Data Pura Costos'!D2750)</f>
        <v/>
      </c>
      <c r="E2750" s="65" t="str">
        <f>+IF('Data Pura Costos'!E2750="","",IF('Data Pura Costos'!E2750=0,MAX('Data Pura Costos'!$E$7:$E$3000)*1000,'Data Pura Costos'!E2750))</f>
        <v/>
      </c>
      <c r="F2750" s="5" t="str">
        <f>+IF('Data Pura Costos'!F2750="","",'Data Pura Costos'!F2750)</f>
        <v/>
      </c>
      <c r="G2750" s="5" t="str">
        <f>+IF('Data Pura Costos'!G2750="","",'Data Pura Costos'!G2750)</f>
        <v/>
      </c>
      <c r="H2750" s="52" t="str">
        <f>+IF('Data Pura Costos'!H2750="","",'Data Pura Costos'!H2750)</f>
        <v/>
      </c>
      <c r="I2750" s="71" t="str">
        <f>+IF('Data Pura Costos'!I2750="","",'Data Pura Costos'!I2750)</f>
        <v/>
      </c>
      <c r="J2750" s="52" t="str">
        <f>+IF('Data Pura Costos'!J2750="","",'Data Pura Costos'!J2750)</f>
        <v/>
      </c>
      <c r="K2750" s="82" t="str">
        <f t="shared" si="48"/>
        <v/>
      </c>
    </row>
    <row r="2751" spans="2:11" x14ac:dyDescent="0.35">
      <c r="B2751" s="4" t="str">
        <f>+IF('Data Pura Costos'!B2751="","",'Data Pura Costos'!B2751)</f>
        <v/>
      </c>
      <c r="C2751" s="4" t="str">
        <f>+IF('Data Pura Costos'!C2751="","",'Data Pura Costos'!C2751)</f>
        <v/>
      </c>
      <c r="D2751" s="5" t="str">
        <f>+IF('Data Pura Costos'!D2751="","",'Data Pura Costos'!D2751)</f>
        <v/>
      </c>
      <c r="E2751" s="65" t="str">
        <f>+IF('Data Pura Costos'!E2751="","",IF('Data Pura Costos'!E2751=0,MAX('Data Pura Costos'!$E$7:$E$3000)*1000,'Data Pura Costos'!E2751))</f>
        <v/>
      </c>
      <c r="F2751" s="5" t="str">
        <f>+IF('Data Pura Costos'!F2751="","",'Data Pura Costos'!F2751)</f>
        <v/>
      </c>
      <c r="G2751" s="5" t="str">
        <f>+IF('Data Pura Costos'!G2751="","",'Data Pura Costos'!G2751)</f>
        <v/>
      </c>
      <c r="H2751" s="52" t="str">
        <f>+IF('Data Pura Costos'!H2751="","",'Data Pura Costos'!H2751)</f>
        <v/>
      </c>
      <c r="I2751" s="71" t="str">
        <f>+IF('Data Pura Costos'!I2751="","",'Data Pura Costos'!I2751)</f>
        <v/>
      </c>
      <c r="J2751" s="52" t="str">
        <f>+IF('Data Pura Costos'!J2751="","",'Data Pura Costos'!J2751)</f>
        <v/>
      </c>
      <c r="K2751" s="82" t="str">
        <f t="shared" si="48"/>
        <v/>
      </c>
    </row>
    <row r="2752" spans="2:11" x14ac:dyDescent="0.35">
      <c r="B2752" s="4" t="str">
        <f>+IF('Data Pura Costos'!B2752="","",'Data Pura Costos'!B2752)</f>
        <v/>
      </c>
      <c r="C2752" s="4" t="str">
        <f>+IF('Data Pura Costos'!C2752="","",'Data Pura Costos'!C2752)</f>
        <v/>
      </c>
      <c r="D2752" s="5" t="str">
        <f>+IF('Data Pura Costos'!D2752="","",'Data Pura Costos'!D2752)</f>
        <v/>
      </c>
      <c r="E2752" s="65" t="str">
        <f>+IF('Data Pura Costos'!E2752="","",IF('Data Pura Costos'!E2752=0,MAX('Data Pura Costos'!$E$7:$E$3000)*1000,'Data Pura Costos'!E2752))</f>
        <v/>
      </c>
      <c r="F2752" s="5" t="str">
        <f>+IF('Data Pura Costos'!F2752="","",'Data Pura Costos'!F2752)</f>
        <v/>
      </c>
      <c r="G2752" s="5" t="str">
        <f>+IF('Data Pura Costos'!G2752="","",'Data Pura Costos'!G2752)</f>
        <v/>
      </c>
      <c r="H2752" s="52" t="str">
        <f>+IF('Data Pura Costos'!H2752="","",'Data Pura Costos'!H2752)</f>
        <v/>
      </c>
      <c r="I2752" s="71" t="str">
        <f>+IF('Data Pura Costos'!I2752="","",'Data Pura Costos'!I2752)</f>
        <v/>
      </c>
      <c r="J2752" s="52" t="str">
        <f>+IF('Data Pura Costos'!J2752="","",'Data Pura Costos'!J2752)</f>
        <v/>
      </c>
      <c r="K2752" s="82" t="str">
        <f t="shared" si="48"/>
        <v/>
      </c>
    </row>
    <row r="2753" spans="2:11" x14ac:dyDescent="0.35">
      <c r="B2753" s="4" t="str">
        <f>+IF('Data Pura Costos'!B2753="","",'Data Pura Costos'!B2753)</f>
        <v/>
      </c>
      <c r="C2753" s="4" t="str">
        <f>+IF('Data Pura Costos'!C2753="","",'Data Pura Costos'!C2753)</f>
        <v/>
      </c>
      <c r="D2753" s="5" t="str">
        <f>+IF('Data Pura Costos'!D2753="","",'Data Pura Costos'!D2753)</f>
        <v/>
      </c>
      <c r="E2753" s="65" t="str">
        <f>+IF('Data Pura Costos'!E2753="","",IF('Data Pura Costos'!E2753=0,MAX('Data Pura Costos'!$E$7:$E$3000)*1000,'Data Pura Costos'!E2753))</f>
        <v/>
      </c>
      <c r="F2753" s="5" t="str">
        <f>+IF('Data Pura Costos'!F2753="","",'Data Pura Costos'!F2753)</f>
        <v/>
      </c>
      <c r="G2753" s="5" t="str">
        <f>+IF('Data Pura Costos'!G2753="","",'Data Pura Costos'!G2753)</f>
        <v/>
      </c>
      <c r="H2753" s="52" t="str">
        <f>+IF('Data Pura Costos'!H2753="","",'Data Pura Costos'!H2753)</f>
        <v/>
      </c>
      <c r="I2753" s="71" t="str">
        <f>+IF('Data Pura Costos'!I2753="","",'Data Pura Costos'!I2753)</f>
        <v/>
      </c>
      <c r="J2753" s="52" t="str">
        <f>+IF('Data Pura Costos'!J2753="","",'Data Pura Costos'!J2753)</f>
        <v/>
      </c>
      <c r="K2753" s="82" t="str">
        <f t="shared" si="48"/>
        <v/>
      </c>
    </row>
    <row r="2754" spans="2:11" x14ac:dyDescent="0.35">
      <c r="B2754" s="4" t="str">
        <f>+IF('Data Pura Costos'!B2754="","",'Data Pura Costos'!B2754)</f>
        <v/>
      </c>
      <c r="C2754" s="4" t="str">
        <f>+IF('Data Pura Costos'!C2754="","",'Data Pura Costos'!C2754)</f>
        <v/>
      </c>
      <c r="D2754" s="5" t="str">
        <f>+IF('Data Pura Costos'!D2754="","",'Data Pura Costos'!D2754)</f>
        <v/>
      </c>
      <c r="E2754" s="65" t="str">
        <f>+IF('Data Pura Costos'!E2754="","",IF('Data Pura Costos'!E2754=0,MAX('Data Pura Costos'!$E$7:$E$3000)*1000,'Data Pura Costos'!E2754))</f>
        <v/>
      </c>
      <c r="F2754" s="5" t="str">
        <f>+IF('Data Pura Costos'!F2754="","",'Data Pura Costos'!F2754)</f>
        <v/>
      </c>
      <c r="G2754" s="5" t="str">
        <f>+IF('Data Pura Costos'!G2754="","",'Data Pura Costos'!G2754)</f>
        <v/>
      </c>
      <c r="H2754" s="52" t="str">
        <f>+IF('Data Pura Costos'!H2754="","",'Data Pura Costos'!H2754)</f>
        <v/>
      </c>
      <c r="I2754" s="71" t="str">
        <f>+IF('Data Pura Costos'!I2754="","",'Data Pura Costos'!I2754)</f>
        <v/>
      </c>
      <c r="J2754" s="52" t="str">
        <f>+IF('Data Pura Costos'!J2754="","",'Data Pura Costos'!J2754)</f>
        <v/>
      </c>
      <c r="K2754" s="82" t="str">
        <f t="shared" si="48"/>
        <v/>
      </c>
    </row>
    <row r="2755" spans="2:11" x14ac:dyDescent="0.35">
      <c r="B2755" s="4" t="str">
        <f>+IF('Data Pura Costos'!B2755="","",'Data Pura Costos'!B2755)</f>
        <v/>
      </c>
      <c r="C2755" s="4" t="str">
        <f>+IF('Data Pura Costos'!C2755="","",'Data Pura Costos'!C2755)</f>
        <v/>
      </c>
      <c r="D2755" s="5" t="str">
        <f>+IF('Data Pura Costos'!D2755="","",'Data Pura Costos'!D2755)</f>
        <v/>
      </c>
      <c r="E2755" s="65" t="str">
        <f>+IF('Data Pura Costos'!E2755="","",IF('Data Pura Costos'!E2755=0,MAX('Data Pura Costos'!$E$7:$E$3000)*1000,'Data Pura Costos'!E2755))</f>
        <v/>
      </c>
      <c r="F2755" s="5" t="str">
        <f>+IF('Data Pura Costos'!F2755="","",'Data Pura Costos'!F2755)</f>
        <v/>
      </c>
      <c r="G2755" s="5" t="str">
        <f>+IF('Data Pura Costos'!G2755="","",'Data Pura Costos'!G2755)</f>
        <v/>
      </c>
      <c r="H2755" s="52" t="str">
        <f>+IF('Data Pura Costos'!H2755="","",'Data Pura Costos'!H2755)</f>
        <v/>
      </c>
      <c r="I2755" s="71" t="str">
        <f>+IF('Data Pura Costos'!I2755="","",'Data Pura Costos'!I2755)</f>
        <v/>
      </c>
      <c r="J2755" s="52" t="str">
        <f>+IF('Data Pura Costos'!J2755="","",'Data Pura Costos'!J2755)</f>
        <v/>
      </c>
      <c r="K2755" s="82" t="str">
        <f t="shared" si="48"/>
        <v/>
      </c>
    </row>
    <row r="2756" spans="2:11" x14ac:dyDescent="0.35">
      <c r="B2756" s="4" t="str">
        <f>+IF('Data Pura Costos'!B2756="","",'Data Pura Costos'!B2756)</f>
        <v/>
      </c>
      <c r="C2756" s="4" t="str">
        <f>+IF('Data Pura Costos'!C2756="","",'Data Pura Costos'!C2756)</f>
        <v/>
      </c>
      <c r="D2756" s="5" t="str">
        <f>+IF('Data Pura Costos'!D2756="","",'Data Pura Costos'!D2756)</f>
        <v/>
      </c>
      <c r="E2756" s="65" t="str">
        <f>+IF('Data Pura Costos'!E2756="","",IF('Data Pura Costos'!E2756=0,MAX('Data Pura Costos'!$E$7:$E$3000)*1000,'Data Pura Costos'!E2756))</f>
        <v/>
      </c>
      <c r="F2756" s="5" t="str">
        <f>+IF('Data Pura Costos'!F2756="","",'Data Pura Costos'!F2756)</f>
        <v/>
      </c>
      <c r="G2756" s="5" t="str">
        <f>+IF('Data Pura Costos'!G2756="","",'Data Pura Costos'!G2756)</f>
        <v/>
      </c>
      <c r="H2756" s="52" t="str">
        <f>+IF('Data Pura Costos'!H2756="","",'Data Pura Costos'!H2756)</f>
        <v/>
      </c>
      <c r="I2756" s="71" t="str">
        <f>+IF('Data Pura Costos'!I2756="","",'Data Pura Costos'!I2756)</f>
        <v/>
      </c>
      <c r="J2756" s="52" t="str">
        <f>+IF('Data Pura Costos'!J2756="","",'Data Pura Costos'!J2756)</f>
        <v/>
      </c>
      <c r="K2756" s="82" t="str">
        <f t="shared" si="48"/>
        <v/>
      </c>
    </row>
    <row r="2757" spans="2:11" x14ac:dyDescent="0.35">
      <c r="B2757" s="4" t="str">
        <f>+IF('Data Pura Costos'!B2757="","",'Data Pura Costos'!B2757)</f>
        <v/>
      </c>
      <c r="C2757" s="4" t="str">
        <f>+IF('Data Pura Costos'!C2757="","",'Data Pura Costos'!C2757)</f>
        <v/>
      </c>
      <c r="D2757" s="5" t="str">
        <f>+IF('Data Pura Costos'!D2757="","",'Data Pura Costos'!D2757)</f>
        <v/>
      </c>
      <c r="E2757" s="65" t="str">
        <f>+IF('Data Pura Costos'!E2757="","",IF('Data Pura Costos'!E2757=0,MAX('Data Pura Costos'!$E$7:$E$3000)*1000,'Data Pura Costos'!E2757))</f>
        <v/>
      </c>
      <c r="F2757" s="5" t="str">
        <f>+IF('Data Pura Costos'!F2757="","",'Data Pura Costos'!F2757)</f>
        <v/>
      </c>
      <c r="G2757" s="5" t="str">
        <f>+IF('Data Pura Costos'!G2757="","",'Data Pura Costos'!G2757)</f>
        <v/>
      </c>
      <c r="H2757" s="52" t="str">
        <f>+IF('Data Pura Costos'!H2757="","",'Data Pura Costos'!H2757)</f>
        <v/>
      </c>
      <c r="I2757" s="71" t="str">
        <f>+IF('Data Pura Costos'!I2757="","",'Data Pura Costos'!I2757)</f>
        <v/>
      </c>
      <c r="J2757" s="52" t="str">
        <f>+IF('Data Pura Costos'!J2757="","",'Data Pura Costos'!J2757)</f>
        <v/>
      </c>
      <c r="K2757" s="82" t="str">
        <f t="shared" si="48"/>
        <v/>
      </c>
    </row>
    <row r="2758" spans="2:11" x14ac:dyDescent="0.35">
      <c r="B2758" s="4" t="str">
        <f>+IF('Data Pura Costos'!B2758="","",'Data Pura Costos'!B2758)</f>
        <v/>
      </c>
      <c r="C2758" s="4" t="str">
        <f>+IF('Data Pura Costos'!C2758="","",'Data Pura Costos'!C2758)</f>
        <v/>
      </c>
      <c r="D2758" s="5" t="str">
        <f>+IF('Data Pura Costos'!D2758="","",'Data Pura Costos'!D2758)</f>
        <v/>
      </c>
      <c r="E2758" s="65" t="str">
        <f>+IF('Data Pura Costos'!E2758="","",IF('Data Pura Costos'!E2758=0,MAX('Data Pura Costos'!$E$7:$E$3000)*1000,'Data Pura Costos'!E2758))</f>
        <v/>
      </c>
      <c r="F2758" s="5" t="str">
        <f>+IF('Data Pura Costos'!F2758="","",'Data Pura Costos'!F2758)</f>
        <v/>
      </c>
      <c r="G2758" s="5" t="str">
        <f>+IF('Data Pura Costos'!G2758="","",'Data Pura Costos'!G2758)</f>
        <v/>
      </c>
      <c r="H2758" s="52" t="str">
        <f>+IF('Data Pura Costos'!H2758="","",'Data Pura Costos'!H2758)</f>
        <v/>
      </c>
      <c r="I2758" s="71" t="str">
        <f>+IF('Data Pura Costos'!I2758="","",'Data Pura Costos'!I2758)</f>
        <v/>
      </c>
      <c r="J2758" s="52" t="str">
        <f>+IF('Data Pura Costos'!J2758="","",'Data Pura Costos'!J2758)</f>
        <v/>
      </c>
      <c r="K2758" s="82" t="str">
        <f t="shared" si="48"/>
        <v/>
      </c>
    </row>
    <row r="2759" spans="2:11" x14ac:dyDescent="0.35">
      <c r="B2759" s="4" t="str">
        <f>+IF('Data Pura Costos'!B2759="","",'Data Pura Costos'!B2759)</f>
        <v/>
      </c>
      <c r="C2759" s="4" t="str">
        <f>+IF('Data Pura Costos'!C2759="","",'Data Pura Costos'!C2759)</f>
        <v/>
      </c>
      <c r="D2759" s="5" t="str">
        <f>+IF('Data Pura Costos'!D2759="","",'Data Pura Costos'!D2759)</f>
        <v/>
      </c>
      <c r="E2759" s="65" t="str">
        <f>+IF('Data Pura Costos'!E2759="","",IF('Data Pura Costos'!E2759=0,MAX('Data Pura Costos'!$E$7:$E$3000)*1000,'Data Pura Costos'!E2759))</f>
        <v/>
      </c>
      <c r="F2759" s="5" t="str">
        <f>+IF('Data Pura Costos'!F2759="","",'Data Pura Costos'!F2759)</f>
        <v/>
      </c>
      <c r="G2759" s="5" t="str">
        <f>+IF('Data Pura Costos'!G2759="","",'Data Pura Costos'!G2759)</f>
        <v/>
      </c>
      <c r="H2759" s="52" t="str">
        <f>+IF('Data Pura Costos'!H2759="","",'Data Pura Costos'!H2759)</f>
        <v/>
      </c>
      <c r="I2759" s="71" t="str">
        <f>+IF('Data Pura Costos'!I2759="","",'Data Pura Costos'!I2759)</f>
        <v/>
      </c>
      <c r="J2759" s="52" t="str">
        <f>+IF('Data Pura Costos'!J2759="","",'Data Pura Costos'!J2759)</f>
        <v/>
      </c>
      <c r="K2759" s="82" t="str">
        <f t="shared" si="48"/>
        <v/>
      </c>
    </row>
    <row r="2760" spans="2:11" x14ac:dyDescent="0.35">
      <c r="B2760" s="4" t="str">
        <f>+IF('Data Pura Costos'!B2760="","",'Data Pura Costos'!B2760)</f>
        <v/>
      </c>
      <c r="C2760" s="4" t="str">
        <f>+IF('Data Pura Costos'!C2760="","",'Data Pura Costos'!C2760)</f>
        <v/>
      </c>
      <c r="D2760" s="5" t="str">
        <f>+IF('Data Pura Costos'!D2760="","",'Data Pura Costos'!D2760)</f>
        <v/>
      </c>
      <c r="E2760" s="65" t="str">
        <f>+IF('Data Pura Costos'!E2760="","",IF('Data Pura Costos'!E2760=0,MAX('Data Pura Costos'!$E$7:$E$3000)*1000,'Data Pura Costos'!E2760))</f>
        <v/>
      </c>
      <c r="F2760" s="5" t="str">
        <f>+IF('Data Pura Costos'!F2760="","",'Data Pura Costos'!F2760)</f>
        <v/>
      </c>
      <c r="G2760" s="5" t="str">
        <f>+IF('Data Pura Costos'!G2760="","",'Data Pura Costos'!G2760)</f>
        <v/>
      </c>
      <c r="H2760" s="52" t="str">
        <f>+IF('Data Pura Costos'!H2760="","",'Data Pura Costos'!H2760)</f>
        <v/>
      </c>
      <c r="I2760" s="71" t="str">
        <f>+IF('Data Pura Costos'!I2760="","",'Data Pura Costos'!I2760)</f>
        <v/>
      </c>
      <c r="J2760" s="52" t="str">
        <f>+IF('Data Pura Costos'!J2760="","",'Data Pura Costos'!J2760)</f>
        <v/>
      </c>
      <c r="K2760" s="82" t="str">
        <f t="shared" si="48"/>
        <v/>
      </c>
    </row>
    <row r="2761" spans="2:11" x14ac:dyDescent="0.35">
      <c r="B2761" s="4" t="str">
        <f>+IF('Data Pura Costos'!B2761="","",'Data Pura Costos'!B2761)</f>
        <v/>
      </c>
      <c r="C2761" s="4" t="str">
        <f>+IF('Data Pura Costos'!C2761="","",'Data Pura Costos'!C2761)</f>
        <v/>
      </c>
      <c r="D2761" s="5" t="str">
        <f>+IF('Data Pura Costos'!D2761="","",'Data Pura Costos'!D2761)</f>
        <v/>
      </c>
      <c r="E2761" s="65" t="str">
        <f>+IF('Data Pura Costos'!E2761="","",IF('Data Pura Costos'!E2761=0,MAX('Data Pura Costos'!$E$7:$E$3000)*1000,'Data Pura Costos'!E2761))</f>
        <v/>
      </c>
      <c r="F2761" s="5" t="str">
        <f>+IF('Data Pura Costos'!F2761="","",'Data Pura Costos'!F2761)</f>
        <v/>
      </c>
      <c r="G2761" s="5" t="str">
        <f>+IF('Data Pura Costos'!G2761="","",'Data Pura Costos'!G2761)</f>
        <v/>
      </c>
      <c r="H2761" s="52" t="str">
        <f>+IF('Data Pura Costos'!H2761="","",'Data Pura Costos'!H2761)</f>
        <v/>
      </c>
      <c r="I2761" s="71" t="str">
        <f>+IF('Data Pura Costos'!I2761="","",'Data Pura Costos'!I2761)</f>
        <v/>
      </c>
      <c r="J2761" s="52" t="str">
        <f>+IF('Data Pura Costos'!J2761="","",'Data Pura Costos'!J2761)</f>
        <v/>
      </c>
      <c r="K2761" s="82" t="str">
        <f t="shared" si="48"/>
        <v/>
      </c>
    </row>
    <row r="2762" spans="2:11" x14ac:dyDescent="0.35">
      <c r="B2762" s="4" t="str">
        <f>+IF('Data Pura Costos'!B2762="","",'Data Pura Costos'!B2762)</f>
        <v/>
      </c>
      <c r="C2762" s="4" t="str">
        <f>+IF('Data Pura Costos'!C2762="","",'Data Pura Costos'!C2762)</f>
        <v/>
      </c>
      <c r="D2762" s="5" t="str">
        <f>+IF('Data Pura Costos'!D2762="","",'Data Pura Costos'!D2762)</f>
        <v/>
      </c>
      <c r="E2762" s="65" t="str">
        <f>+IF('Data Pura Costos'!E2762="","",IF('Data Pura Costos'!E2762=0,MAX('Data Pura Costos'!$E$7:$E$3000)*1000,'Data Pura Costos'!E2762))</f>
        <v/>
      </c>
      <c r="F2762" s="5" t="str">
        <f>+IF('Data Pura Costos'!F2762="","",'Data Pura Costos'!F2762)</f>
        <v/>
      </c>
      <c r="G2762" s="5" t="str">
        <f>+IF('Data Pura Costos'!G2762="","",'Data Pura Costos'!G2762)</f>
        <v/>
      </c>
      <c r="H2762" s="52" t="str">
        <f>+IF('Data Pura Costos'!H2762="","",'Data Pura Costos'!H2762)</f>
        <v/>
      </c>
      <c r="I2762" s="71" t="str">
        <f>+IF('Data Pura Costos'!I2762="","",'Data Pura Costos'!I2762)</f>
        <v/>
      </c>
      <c r="J2762" s="52" t="str">
        <f>+IF('Data Pura Costos'!J2762="","",'Data Pura Costos'!J2762)</f>
        <v/>
      </c>
      <c r="K2762" s="82" t="str">
        <f t="shared" si="48"/>
        <v/>
      </c>
    </row>
    <row r="2763" spans="2:11" x14ac:dyDescent="0.35">
      <c r="B2763" s="4" t="str">
        <f>+IF('Data Pura Costos'!B2763="","",'Data Pura Costos'!B2763)</f>
        <v/>
      </c>
      <c r="C2763" s="4" t="str">
        <f>+IF('Data Pura Costos'!C2763="","",'Data Pura Costos'!C2763)</f>
        <v/>
      </c>
      <c r="D2763" s="5" t="str">
        <f>+IF('Data Pura Costos'!D2763="","",'Data Pura Costos'!D2763)</f>
        <v/>
      </c>
      <c r="E2763" s="65" t="str">
        <f>+IF('Data Pura Costos'!E2763="","",IF('Data Pura Costos'!E2763=0,MAX('Data Pura Costos'!$E$7:$E$3000)*1000,'Data Pura Costos'!E2763))</f>
        <v/>
      </c>
      <c r="F2763" s="5" t="str">
        <f>+IF('Data Pura Costos'!F2763="","",'Data Pura Costos'!F2763)</f>
        <v/>
      </c>
      <c r="G2763" s="5" t="str">
        <f>+IF('Data Pura Costos'!G2763="","",'Data Pura Costos'!G2763)</f>
        <v/>
      </c>
      <c r="H2763" s="52" t="str">
        <f>+IF('Data Pura Costos'!H2763="","",'Data Pura Costos'!H2763)</f>
        <v/>
      </c>
      <c r="I2763" s="71" t="str">
        <f>+IF('Data Pura Costos'!I2763="","",'Data Pura Costos'!I2763)</f>
        <v/>
      </c>
      <c r="J2763" s="52" t="str">
        <f>+IF('Data Pura Costos'!J2763="","",'Data Pura Costos'!J2763)</f>
        <v/>
      </c>
      <c r="K2763" s="82" t="str">
        <f t="shared" si="48"/>
        <v/>
      </c>
    </row>
    <row r="2764" spans="2:11" x14ac:dyDescent="0.35">
      <c r="B2764" s="4" t="str">
        <f>+IF('Data Pura Costos'!B2764="","",'Data Pura Costos'!B2764)</f>
        <v/>
      </c>
      <c r="C2764" s="4" t="str">
        <f>+IF('Data Pura Costos'!C2764="","",'Data Pura Costos'!C2764)</f>
        <v/>
      </c>
      <c r="D2764" s="5" t="str">
        <f>+IF('Data Pura Costos'!D2764="","",'Data Pura Costos'!D2764)</f>
        <v/>
      </c>
      <c r="E2764" s="65" t="str">
        <f>+IF('Data Pura Costos'!E2764="","",IF('Data Pura Costos'!E2764=0,MAX('Data Pura Costos'!$E$7:$E$3000)*1000,'Data Pura Costos'!E2764))</f>
        <v/>
      </c>
      <c r="F2764" s="5" t="str">
        <f>+IF('Data Pura Costos'!F2764="","",'Data Pura Costos'!F2764)</f>
        <v/>
      </c>
      <c r="G2764" s="5" t="str">
        <f>+IF('Data Pura Costos'!G2764="","",'Data Pura Costos'!G2764)</f>
        <v/>
      </c>
      <c r="H2764" s="52" t="str">
        <f>+IF('Data Pura Costos'!H2764="","",'Data Pura Costos'!H2764)</f>
        <v/>
      </c>
      <c r="I2764" s="71" t="str">
        <f>+IF('Data Pura Costos'!I2764="","",'Data Pura Costos'!I2764)</f>
        <v/>
      </c>
      <c r="J2764" s="52" t="str">
        <f>+IF('Data Pura Costos'!J2764="","",'Data Pura Costos'!J2764)</f>
        <v/>
      </c>
      <c r="K2764" s="82" t="str">
        <f t="shared" si="48"/>
        <v/>
      </c>
    </row>
    <row r="2765" spans="2:11" x14ac:dyDescent="0.35">
      <c r="B2765" s="4" t="str">
        <f>+IF('Data Pura Costos'!B2765="","",'Data Pura Costos'!B2765)</f>
        <v/>
      </c>
      <c r="C2765" s="4" t="str">
        <f>+IF('Data Pura Costos'!C2765="","",'Data Pura Costos'!C2765)</f>
        <v/>
      </c>
      <c r="D2765" s="5" t="str">
        <f>+IF('Data Pura Costos'!D2765="","",'Data Pura Costos'!D2765)</f>
        <v/>
      </c>
      <c r="E2765" s="65" t="str">
        <f>+IF('Data Pura Costos'!E2765="","",IF('Data Pura Costos'!E2765=0,MAX('Data Pura Costos'!$E$7:$E$3000)*1000,'Data Pura Costos'!E2765))</f>
        <v/>
      </c>
      <c r="F2765" s="5" t="str">
        <f>+IF('Data Pura Costos'!F2765="","",'Data Pura Costos'!F2765)</f>
        <v/>
      </c>
      <c r="G2765" s="5" t="str">
        <f>+IF('Data Pura Costos'!G2765="","",'Data Pura Costos'!G2765)</f>
        <v/>
      </c>
      <c r="H2765" s="52" t="str">
        <f>+IF('Data Pura Costos'!H2765="","",'Data Pura Costos'!H2765)</f>
        <v/>
      </c>
      <c r="I2765" s="71" t="str">
        <f>+IF('Data Pura Costos'!I2765="","",'Data Pura Costos'!I2765)</f>
        <v/>
      </c>
      <c r="J2765" s="52" t="str">
        <f>+IF('Data Pura Costos'!J2765="","",'Data Pura Costos'!J2765)</f>
        <v/>
      </c>
      <c r="K2765" s="82" t="str">
        <f t="shared" si="48"/>
        <v/>
      </c>
    </row>
    <row r="2766" spans="2:11" x14ac:dyDescent="0.35">
      <c r="B2766" s="4" t="str">
        <f>+IF('Data Pura Costos'!B2766="","",'Data Pura Costos'!B2766)</f>
        <v/>
      </c>
      <c r="C2766" s="4" t="str">
        <f>+IF('Data Pura Costos'!C2766="","",'Data Pura Costos'!C2766)</f>
        <v/>
      </c>
      <c r="D2766" s="5" t="str">
        <f>+IF('Data Pura Costos'!D2766="","",'Data Pura Costos'!D2766)</f>
        <v/>
      </c>
      <c r="E2766" s="65" t="str">
        <f>+IF('Data Pura Costos'!E2766="","",IF('Data Pura Costos'!E2766=0,MAX('Data Pura Costos'!$E$7:$E$3000)*1000,'Data Pura Costos'!E2766))</f>
        <v/>
      </c>
      <c r="F2766" s="5" t="str">
        <f>+IF('Data Pura Costos'!F2766="","",'Data Pura Costos'!F2766)</f>
        <v/>
      </c>
      <c r="G2766" s="5" t="str">
        <f>+IF('Data Pura Costos'!G2766="","",'Data Pura Costos'!G2766)</f>
        <v/>
      </c>
      <c r="H2766" s="52" t="str">
        <f>+IF('Data Pura Costos'!H2766="","",'Data Pura Costos'!H2766)</f>
        <v/>
      </c>
      <c r="I2766" s="71" t="str">
        <f>+IF('Data Pura Costos'!I2766="","",'Data Pura Costos'!I2766)</f>
        <v/>
      </c>
      <c r="J2766" s="52" t="str">
        <f>+IF('Data Pura Costos'!J2766="","",'Data Pura Costos'!J2766)</f>
        <v/>
      </c>
      <c r="K2766" s="82" t="str">
        <f t="shared" si="48"/>
        <v/>
      </c>
    </row>
    <row r="2767" spans="2:11" x14ac:dyDescent="0.35">
      <c r="B2767" s="4" t="str">
        <f>+IF('Data Pura Costos'!B2767="","",'Data Pura Costos'!B2767)</f>
        <v/>
      </c>
      <c r="C2767" s="4" t="str">
        <f>+IF('Data Pura Costos'!C2767="","",'Data Pura Costos'!C2767)</f>
        <v/>
      </c>
      <c r="D2767" s="5" t="str">
        <f>+IF('Data Pura Costos'!D2767="","",'Data Pura Costos'!D2767)</f>
        <v/>
      </c>
      <c r="E2767" s="65" t="str">
        <f>+IF('Data Pura Costos'!E2767="","",IF('Data Pura Costos'!E2767=0,MAX('Data Pura Costos'!$E$7:$E$3000)*1000,'Data Pura Costos'!E2767))</f>
        <v/>
      </c>
      <c r="F2767" s="5" t="str">
        <f>+IF('Data Pura Costos'!F2767="","",'Data Pura Costos'!F2767)</f>
        <v/>
      </c>
      <c r="G2767" s="5" t="str">
        <f>+IF('Data Pura Costos'!G2767="","",'Data Pura Costos'!G2767)</f>
        <v/>
      </c>
      <c r="H2767" s="52" t="str">
        <f>+IF('Data Pura Costos'!H2767="","",'Data Pura Costos'!H2767)</f>
        <v/>
      </c>
      <c r="I2767" s="71" t="str">
        <f>+IF('Data Pura Costos'!I2767="","",'Data Pura Costos'!I2767)</f>
        <v/>
      </c>
      <c r="J2767" s="52" t="str">
        <f>+IF('Data Pura Costos'!J2767="","",'Data Pura Costos'!J2767)</f>
        <v/>
      </c>
      <c r="K2767" s="82" t="str">
        <f t="shared" si="48"/>
        <v/>
      </c>
    </row>
    <row r="2768" spans="2:11" x14ac:dyDescent="0.35">
      <c r="B2768" s="4" t="str">
        <f>+IF('Data Pura Costos'!B2768="","",'Data Pura Costos'!B2768)</f>
        <v/>
      </c>
      <c r="C2768" s="4" t="str">
        <f>+IF('Data Pura Costos'!C2768="","",'Data Pura Costos'!C2768)</f>
        <v/>
      </c>
      <c r="D2768" s="5" t="str">
        <f>+IF('Data Pura Costos'!D2768="","",'Data Pura Costos'!D2768)</f>
        <v/>
      </c>
      <c r="E2768" s="65" t="str">
        <f>+IF('Data Pura Costos'!E2768="","",IF('Data Pura Costos'!E2768=0,MAX('Data Pura Costos'!$E$7:$E$3000)*1000,'Data Pura Costos'!E2768))</f>
        <v/>
      </c>
      <c r="F2768" s="5" t="str">
        <f>+IF('Data Pura Costos'!F2768="","",'Data Pura Costos'!F2768)</f>
        <v/>
      </c>
      <c r="G2768" s="5" t="str">
        <f>+IF('Data Pura Costos'!G2768="","",'Data Pura Costos'!G2768)</f>
        <v/>
      </c>
      <c r="H2768" s="52" t="str">
        <f>+IF('Data Pura Costos'!H2768="","",'Data Pura Costos'!H2768)</f>
        <v/>
      </c>
      <c r="I2768" s="71" t="str">
        <f>+IF('Data Pura Costos'!I2768="","",'Data Pura Costos'!I2768)</f>
        <v/>
      </c>
      <c r="J2768" s="52" t="str">
        <f>+IF('Data Pura Costos'!J2768="","",'Data Pura Costos'!J2768)</f>
        <v/>
      </c>
      <c r="K2768" s="82" t="str">
        <f t="shared" si="48"/>
        <v/>
      </c>
    </row>
    <row r="2769" spans="2:11" x14ac:dyDescent="0.35">
      <c r="B2769" s="4" t="str">
        <f>+IF('Data Pura Costos'!B2769="","",'Data Pura Costos'!B2769)</f>
        <v/>
      </c>
      <c r="C2769" s="4" t="str">
        <f>+IF('Data Pura Costos'!C2769="","",'Data Pura Costos'!C2769)</f>
        <v/>
      </c>
      <c r="D2769" s="5" t="str">
        <f>+IF('Data Pura Costos'!D2769="","",'Data Pura Costos'!D2769)</f>
        <v/>
      </c>
      <c r="E2769" s="65" t="str">
        <f>+IF('Data Pura Costos'!E2769="","",IF('Data Pura Costos'!E2769=0,MAX('Data Pura Costos'!$E$7:$E$3000)*1000,'Data Pura Costos'!E2769))</f>
        <v/>
      </c>
      <c r="F2769" s="5" t="str">
        <f>+IF('Data Pura Costos'!F2769="","",'Data Pura Costos'!F2769)</f>
        <v/>
      </c>
      <c r="G2769" s="5" t="str">
        <f>+IF('Data Pura Costos'!G2769="","",'Data Pura Costos'!G2769)</f>
        <v/>
      </c>
      <c r="H2769" s="52" t="str">
        <f>+IF('Data Pura Costos'!H2769="","",'Data Pura Costos'!H2769)</f>
        <v/>
      </c>
      <c r="I2769" s="71" t="str">
        <f>+IF('Data Pura Costos'!I2769="","",'Data Pura Costos'!I2769)</f>
        <v/>
      </c>
      <c r="J2769" s="52" t="str">
        <f>+IF('Data Pura Costos'!J2769="","",'Data Pura Costos'!J2769)</f>
        <v/>
      </c>
      <c r="K2769" s="82" t="str">
        <f t="shared" si="48"/>
        <v/>
      </c>
    </row>
    <row r="2770" spans="2:11" x14ac:dyDescent="0.35">
      <c r="B2770" s="4" t="str">
        <f>+IF('Data Pura Costos'!B2770="","",'Data Pura Costos'!B2770)</f>
        <v/>
      </c>
      <c r="C2770" s="4" t="str">
        <f>+IF('Data Pura Costos'!C2770="","",'Data Pura Costos'!C2770)</f>
        <v/>
      </c>
      <c r="D2770" s="5" t="str">
        <f>+IF('Data Pura Costos'!D2770="","",'Data Pura Costos'!D2770)</f>
        <v/>
      </c>
      <c r="E2770" s="65" t="str">
        <f>+IF('Data Pura Costos'!E2770="","",IF('Data Pura Costos'!E2770=0,MAX('Data Pura Costos'!$E$7:$E$3000)*1000,'Data Pura Costos'!E2770))</f>
        <v/>
      </c>
      <c r="F2770" s="5" t="str">
        <f>+IF('Data Pura Costos'!F2770="","",'Data Pura Costos'!F2770)</f>
        <v/>
      </c>
      <c r="G2770" s="5" t="str">
        <f>+IF('Data Pura Costos'!G2770="","",'Data Pura Costos'!G2770)</f>
        <v/>
      </c>
      <c r="H2770" s="52" t="str">
        <f>+IF('Data Pura Costos'!H2770="","",'Data Pura Costos'!H2770)</f>
        <v/>
      </c>
      <c r="I2770" s="71" t="str">
        <f>+IF('Data Pura Costos'!I2770="","",'Data Pura Costos'!I2770)</f>
        <v/>
      </c>
      <c r="J2770" s="52" t="str">
        <f>+IF('Data Pura Costos'!J2770="","",'Data Pura Costos'!J2770)</f>
        <v/>
      </c>
      <c r="K2770" s="82" t="str">
        <f t="shared" si="48"/>
        <v/>
      </c>
    </row>
    <row r="2771" spans="2:11" x14ac:dyDescent="0.35">
      <c r="B2771" s="4" t="str">
        <f>+IF('Data Pura Costos'!B2771="","",'Data Pura Costos'!B2771)</f>
        <v/>
      </c>
      <c r="C2771" s="4" t="str">
        <f>+IF('Data Pura Costos'!C2771="","",'Data Pura Costos'!C2771)</f>
        <v/>
      </c>
      <c r="D2771" s="5" t="str">
        <f>+IF('Data Pura Costos'!D2771="","",'Data Pura Costos'!D2771)</f>
        <v/>
      </c>
      <c r="E2771" s="65" t="str">
        <f>+IF('Data Pura Costos'!E2771="","",IF('Data Pura Costos'!E2771=0,MAX('Data Pura Costos'!$E$7:$E$3000)*1000,'Data Pura Costos'!E2771))</f>
        <v/>
      </c>
      <c r="F2771" s="5" t="str">
        <f>+IF('Data Pura Costos'!F2771="","",'Data Pura Costos'!F2771)</f>
        <v/>
      </c>
      <c r="G2771" s="5" t="str">
        <f>+IF('Data Pura Costos'!G2771="","",'Data Pura Costos'!G2771)</f>
        <v/>
      </c>
      <c r="H2771" s="52" t="str">
        <f>+IF('Data Pura Costos'!H2771="","",'Data Pura Costos'!H2771)</f>
        <v/>
      </c>
      <c r="I2771" s="71" t="str">
        <f>+IF('Data Pura Costos'!I2771="","",'Data Pura Costos'!I2771)</f>
        <v/>
      </c>
      <c r="J2771" s="52" t="str">
        <f>+IF('Data Pura Costos'!J2771="","",'Data Pura Costos'!J2771)</f>
        <v/>
      </c>
      <c r="K2771" s="82" t="str">
        <f t="shared" si="48"/>
        <v/>
      </c>
    </row>
    <row r="2772" spans="2:11" x14ac:dyDescent="0.35">
      <c r="B2772" s="4" t="str">
        <f>+IF('Data Pura Costos'!B2772="","",'Data Pura Costos'!B2772)</f>
        <v/>
      </c>
      <c r="C2772" s="4" t="str">
        <f>+IF('Data Pura Costos'!C2772="","",'Data Pura Costos'!C2772)</f>
        <v/>
      </c>
      <c r="D2772" s="5" t="str">
        <f>+IF('Data Pura Costos'!D2772="","",'Data Pura Costos'!D2772)</f>
        <v/>
      </c>
      <c r="E2772" s="65" t="str">
        <f>+IF('Data Pura Costos'!E2772="","",IF('Data Pura Costos'!E2772=0,MAX('Data Pura Costos'!$E$7:$E$3000)*1000,'Data Pura Costos'!E2772))</f>
        <v/>
      </c>
      <c r="F2772" s="5" t="str">
        <f>+IF('Data Pura Costos'!F2772="","",'Data Pura Costos'!F2772)</f>
        <v/>
      </c>
      <c r="G2772" s="5" t="str">
        <f>+IF('Data Pura Costos'!G2772="","",'Data Pura Costos'!G2772)</f>
        <v/>
      </c>
      <c r="H2772" s="52" t="str">
        <f>+IF('Data Pura Costos'!H2772="","",'Data Pura Costos'!H2772)</f>
        <v/>
      </c>
      <c r="I2772" s="71" t="str">
        <f>+IF('Data Pura Costos'!I2772="","",'Data Pura Costos'!I2772)</f>
        <v/>
      </c>
      <c r="J2772" s="52" t="str">
        <f>+IF('Data Pura Costos'!J2772="","",'Data Pura Costos'!J2772)</f>
        <v/>
      </c>
      <c r="K2772" s="82" t="str">
        <f t="shared" si="48"/>
        <v/>
      </c>
    </row>
    <row r="2773" spans="2:11" x14ac:dyDescent="0.35">
      <c r="B2773" s="4" t="str">
        <f>+IF('Data Pura Costos'!B2773="","",'Data Pura Costos'!B2773)</f>
        <v/>
      </c>
      <c r="C2773" s="4" t="str">
        <f>+IF('Data Pura Costos'!C2773="","",'Data Pura Costos'!C2773)</f>
        <v/>
      </c>
      <c r="D2773" s="5" t="str">
        <f>+IF('Data Pura Costos'!D2773="","",'Data Pura Costos'!D2773)</f>
        <v/>
      </c>
      <c r="E2773" s="65" t="str">
        <f>+IF('Data Pura Costos'!E2773="","",IF('Data Pura Costos'!E2773=0,MAX('Data Pura Costos'!$E$7:$E$3000)*1000,'Data Pura Costos'!E2773))</f>
        <v/>
      </c>
      <c r="F2773" s="5" t="str">
        <f>+IF('Data Pura Costos'!F2773="","",'Data Pura Costos'!F2773)</f>
        <v/>
      </c>
      <c r="G2773" s="5" t="str">
        <f>+IF('Data Pura Costos'!G2773="","",'Data Pura Costos'!G2773)</f>
        <v/>
      </c>
      <c r="H2773" s="52" t="str">
        <f>+IF('Data Pura Costos'!H2773="","",'Data Pura Costos'!H2773)</f>
        <v/>
      </c>
      <c r="I2773" s="71" t="str">
        <f>+IF('Data Pura Costos'!I2773="","",'Data Pura Costos'!I2773)</f>
        <v/>
      </c>
      <c r="J2773" s="52" t="str">
        <f>+IF('Data Pura Costos'!J2773="","",'Data Pura Costos'!J2773)</f>
        <v/>
      </c>
      <c r="K2773" s="82" t="str">
        <f t="shared" si="48"/>
        <v/>
      </c>
    </row>
    <row r="2774" spans="2:11" x14ac:dyDescent="0.35">
      <c r="B2774" s="4" t="str">
        <f>+IF('Data Pura Costos'!B2774="","",'Data Pura Costos'!B2774)</f>
        <v/>
      </c>
      <c r="C2774" s="4" t="str">
        <f>+IF('Data Pura Costos'!C2774="","",'Data Pura Costos'!C2774)</f>
        <v/>
      </c>
      <c r="D2774" s="5" t="str">
        <f>+IF('Data Pura Costos'!D2774="","",'Data Pura Costos'!D2774)</f>
        <v/>
      </c>
      <c r="E2774" s="65" t="str">
        <f>+IF('Data Pura Costos'!E2774="","",IF('Data Pura Costos'!E2774=0,MAX('Data Pura Costos'!$E$7:$E$3000)*1000,'Data Pura Costos'!E2774))</f>
        <v/>
      </c>
      <c r="F2774" s="5" t="str">
        <f>+IF('Data Pura Costos'!F2774="","",'Data Pura Costos'!F2774)</f>
        <v/>
      </c>
      <c r="G2774" s="5" t="str">
        <f>+IF('Data Pura Costos'!G2774="","",'Data Pura Costos'!G2774)</f>
        <v/>
      </c>
      <c r="H2774" s="52" t="str">
        <f>+IF('Data Pura Costos'!H2774="","",'Data Pura Costos'!H2774)</f>
        <v/>
      </c>
      <c r="I2774" s="71" t="str">
        <f>+IF('Data Pura Costos'!I2774="","",'Data Pura Costos'!I2774)</f>
        <v/>
      </c>
      <c r="J2774" s="52" t="str">
        <f>+IF('Data Pura Costos'!J2774="","",'Data Pura Costos'!J2774)</f>
        <v/>
      </c>
      <c r="K2774" s="82" t="str">
        <f t="shared" si="48"/>
        <v/>
      </c>
    </row>
    <row r="2775" spans="2:11" x14ac:dyDescent="0.35">
      <c r="B2775" s="4" t="str">
        <f>+IF('Data Pura Costos'!B2775="","",'Data Pura Costos'!B2775)</f>
        <v/>
      </c>
      <c r="C2775" s="4" t="str">
        <f>+IF('Data Pura Costos'!C2775="","",'Data Pura Costos'!C2775)</f>
        <v/>
      </c>
      <c r="D2775" s="5" t="str">
        <f>+IF('Data Pura Costos'!D2775="","",'Data Pura Costos'!D2775)</f>
        <v/>
      </c>
      <c r="E2775" s="65" t="str">
        <f>+IF('Data Pura Costos'!E2775="","",IF('Data Pura Costos'!E2775=0,MAX('Data Pura Costos'!$E$7:$E$3000)*1000,'Data Pura Costos'!E2775))</f>
        <v/>
      </c>
      <c r="F2775" s="5" t="str">
        <f>+IF('Data Pura Costos'!F2775="","",'Data Pura Costos'!F2775)</f>
        <v/>
      </c>
      <c r="G2775" s="5" t="str">
        <f>+IF('Data Pura Costos'!G2775="","",'Data Pura Costos'!G2775)</f>
        <v/>
      </c>
      <c r="H2775" s="52" t="str">
        <f>+IF('Data Pura Costos'!H2775="","",'Data Pura Costos'!H2775)</f>
        <v/>
      </c>
      <c r="I2775" s="71" t="str">
        <f>+IF('Data Pura Costos'!I2775="","",'Data Pura Costos'!I2775)</f>
        <v/>
      </c>
      <c r="J2775" s="52" t="str">
        <f>+IF('Data Pura Costos'!J2775="","",'Data Pura Costos'!J2775)</f>
        <v/>
      </c>
      <c r="K2775" s="82" t="str">
        <f t="shared" si="48"/>
        <v/>
      </c>
    </row>
    <row r="2776" spans="2:11" x14ac:dyDescent="0.35">
      <c r="B2776" s="4" t="str">
        <f>+IF('Data Pura Costos'!B2776="","",'Data Pura Costos'!B2776)</f>
        <v/>
      </c>
      <c r="C2776" s="4" t="str">
        <f>+IF('Data Pura Costos'!C2776="","",'Data Pura Costos'!C2776)</f>
        <v/>
      </c>
      <c r="D2776" s="5" t="str">
        <f>+IF('Data Pura Costos'!D2776="","",'Data Pura Costos'!D2776)</f>
        <v/>
      </c>
      <c r="E2776" s="65" t="str">
        <f>+IF('Data Pura Costos'!E2776="","",IF('Data Pura Costos'!E2776=0,MAX('Data Pura Costos'!$E$7:$E$3000)*1000,'Data Pura Costos'!E2776))</f>
        <v/>
      </c>
      <c r="F2776" s="5" t="str">
        <f>+IF('Data Pura Costos'!F2776="","",'Data Pura Costos'!F2776)</f>
        <v/>
      </c>
      <c r="G2776" s="5" t="str">
        <f>+IF('Data Pura Costos'!G2776="","",'Data Pura Costos'!G2776)</f>
        <v/>
      </c>
      <c r="H2776" s="52" t="str">
        <f>+IF('Data Pura Costos'!H2776="","",'Data Pura Costos'!H2776)</f>
        <v/>
      </c>
      <c r="I2776" s="71" t="str">
        <f>+IF('Data Pura Costos'!I2776="","",'Data Pura Costos'!I2776)</f>
        <v/>
      </c>
      <c r="J2776" s="52" t="str">
        <f>+IF('Data Pura Costos'!J2776="","",'Data Pura Costos'!J2776)</f>
        <v/>
      </c>
      <c r="K2776" s="82" t="str">
        <f t="shared" si="48"/>
        <v/>
      </c>
    </row>
    <row r="2777" spans="2:11" x14ac:dyDescent="0.35">
      <c r="B2777" s="4" t="str">
        <f>+IF('Data Pura Costos'!B2777="","",'Data Pura Costos'!B2777)</f>
        <v/>
      </c>
      <c r="C2777" s="4" t="str">
        <f>+IF('Data Pura Costos'!C2777="","",'Data Pura Costos'!C2777)</f>
        <v/>
      </c>
      <c r="D2777" s="5" t="str">
        <f>+IF('Data Pura Costos'!D2777="","",'Data Pura Costos'!D2777)</f>
        <v/>
      </c>
      <c r="E2777" s="65" t="str">
        <f>+IF('Data Pura Costos'!E2777="","",IF('Data Pura Costos'!E2777=0,MAX('Data Pura Costos'!$E$7:$E$3000)*1000,'Data Pura Costos'!E2777))</f>
        <v/>
      </c>
      <c r="F2777" s="5" t="str">
        <f>+IF('Data Pura Costos'!F2777="","",'Data Pura Costos'!F2777)</f>
        <v/>
      </c>
      <c r="G2777" s="5" t="str">
        <f>+IF('Data Pura Costos'!G2777="","",'Data Pura Costos'!G2777)</f>
        <v/>
      </c>
      <c r="H2777" s="52" t="str">
        <f>+IF('Data Pura Costos'!H2777="","",'Data Pura Costos'!H2777)</f>
        <v/>
      </c>
      <c r="I2777" s="71" t="str">
        <f>+IF('Data Pura Costos'!I2777="","",'Data Pura Costos'!I2777)</f>
        <v/>
      </c>
      <c r="J2777" s="52" t="str">
        <f>+IF('Data Pura Costos'!J2777="","",'Data Pura Costos'!J2777)</f>
        <v/>
      </c>
      <c r="K2777" s="82" t="str">
        <f t="shared" si="48"/>
        <v/>
      </c>
    </row>
    <row r="2778" spans="2:11" x14ac:dyDescent="0.35">
      <c r="B2778" s="4" t="str">
        <f>+IF('Data Pura Costos'!B2778="","",'Data Pura Costos'!B2778)</f>
        <v/>
      </c>
      <c r="C2778" s="4" t="str">
        <f>+IF('Data Pura Costos'!C2778="","",'Data Pura Costos'!C2778)</f>
        <v/>
      </c>
      <c r="D2778" s="5" t="str">
        <f>+IF('Data Pura Costos'!D2778="","",'Data Pura Costos'!D2778)</f>
        <v/>
      </c>
      <c r="E2778" s="65" t="str">
        <f>+IF('Data Pura Costos'!E2778="","",IF('Data Pura Costos'!E2778=0,MAX('Data Pura Costos'!$E$7:$E$3000)*1000,'Data Pura Costos'!E2778))</f>
        <v/>
      </c>
      <c r="F2778" s="5" t="str">
        <f>+IF('Data Pura Costos'!F2778="","",'Data Pura Costos'!F2778)</f>
        <v/>
      </c>
      <c r="G2778" s="5" t="str">
        <f>+IF('Data Pura Costos'!G2778="","",'Data Pura Costos'!G2778)</f>
        <v/>
      </c>
      <c r="H2778" s="52" t="str">
        <f>+IF('Data Pura Costos'!H2778="","",'Data Pura Costos'!H2778)</f>
        <v/>
      </c>
      <c r="I2778" s="71" t="str">
        <f>+IF('Data Pura Costos'!I2778="","",'Data Pura Costos'!I2778)</f>
        <v/>
      </c>
      <c r="J2778" s="52" t="str">
        <f>+IF('Data Pura Costos'!J2778="","",'Data Pura Costos'!J2778)</f>
        <v/>
      </c>
      <c r="K2778" s="82" t="str">
        <f t="shared" si="48"/>
        <v/>
      </c>
    </row>
    <row r="2779" spans="2:11" x14ac:dyDescent="0.35">
      <c r="B2779" s="4" t="str">
        <f>+IF('Data Pura Costos'!B2779="","",'Data Pura Costos'!B2779)</f>
        <v/>
      </c>
      <c r="C2779" s="4" t="str">
        <f>+IF('Data Pura Costos'!C2779="","",'Data Pura Costos'!C2779)</f>
        <v/>
      </c>
      <c r="D2779" s="5" t="str">
        <f>+IF('Data Pura Costos'!D2779="","",'Data Pura Costos'!D2779)</f>
        <v/>
      </c>
      <c r="E2779" s="65" t="str">
        <f>+IF('Data Pura Costos'!E2779="","",IF('Data Pura Costos'!E2779=0,MAX('Data Pura Costos'!$E$7:$E$3000)*1000,'Data Pura Costos'!E2779))</f>
        <v/>
      </c>
      <c r="F2779" s="5" t="str">
        <f>+IF('Data Pura Costos'!F2779="","",'Data Pura Costos'!F2779)</f>
        <v/>
      </c>
      <c r="G2779" s="5" t="str">
        <f>+IF('Data Pura Costos'!G2779="","",'Data Pura Costos'!G2779)</f>
        <v/>
      </c>
      <c r="H2779" s="52" t="str">
        <f>+IF('Data Pura Costos'!H2779="","",'Data Pura Costos'!H2779)</f>
        <v/>
      </c>
      <c r="I2779" s="71" t="str">
        <f>+IF('Data Pura Costos'!I2779="","",'Data Pura Costos'!I2779)</f>
        <v/>
      </c>
      <c r="J2779" s="52" t="str">
        <f>+IF('Data Pura Costos'!J2779="","",'Data Pura Costos'!J2779)</f>
        <v/>
      </c>
      <c r="K2779" s="82" t="str">
        <f t="shared" si="48"/>
        <v/>
      </c>
    </row>
    <row r="2780" spans="2:11" x14ac:dyDescent="0.35">
      <c r="B2780" s="4" t="str">
        <f>+IF('Data Pura Costos'!B2780="","",'Data Pura Costos'!B2780)</f>
        <v/>
      </c>
      <c r="C2780" s="4" t="str">
        <f>+IF('Data Pura Costos'!C2780="","",'Data Pura Costos'!C2780)</f>
        <v/>
      </c>
      <c r="D2780" s="5" t="str">
        <f>+IF('Data Pura Costos'!D2780="","",'Data Pura Costos'!D2780)</f>
        <v/>
      </c>
      <c r="E2780" s="65" t="str">
        <f>+IF('Data Pura Costos'!E2780="","",IF('Data Pura Costos'!E2780=0,MAX('Data Pura Costos'!$E$7:$E$3000)*1000,'Data Pura Costos'!E2780))</f>
        <v/>
      </c>
      <c r="F2780" s="5" t="str">
        <f>+IF('Data Pura Costos'!F2780="","",'Data Pura Costos'!F2780)</f>
        <v/>
      </c>
      <c r="G2780" s="5" t="str">
        <f>+IF('Data Pura Costos'!G2780="","",'Data Pura Costos'!G2780)</f>
        <v/>
      </c>
      <c r="H2780" s="52" t="str">
        <f>+IF('Data Pura Costos'!H2780="","",'Data Pura Costos'!H2780)</f>
        <v/>
      </c>
      <c r="I2780" s="71" t="str">
        <f>+IF('Data Pura Costos'!I2780="","",'Data Pura Costos'!I2780)</f>
        <v/>
      </c>
      <c r="J2780" s="52" t="str">
        <f>+IF('Data Pura Costos'!J2780="","",'Data Pura Costos'!J2780)</f>
        <v/>
      </c>
      <c r="K2780" s="82" t="str">
        <f t="shared" si="48"/>
        <v/>
      </c>
    </row>
    <row r="2781" spans="2:11" x14ac:dyDescent="0.35">
      <c r="B2781" s="4" t="str">
        <f>+IF('Data Pura Costos'!B2781="","",'Data Pura Costos'!B2781)</f>
        <v/>
      </c>
      <c r="C2781" s="4" t="str">
        <f>+IF('Data Pura Costos'!C2781="","",'Data Pura Costos'!C2781)</f>
        <v/>
      </c>
      <c r="D2781" s="5" t="str">
        <f>+IF('Data Pura Costos'!D2781="","",'Data Pura Costos'!D2781)</f>
        <v/>
      </c>
      <c r="E2781" s="65" t="str">
        <f>+IF('Data Pura Costos'!E2781="","",IF('Data Pura Costos'!E2781=0,MAX('Data Pura Costos'!$E$7:$E$3000)*1000,'Data Pura Costos'!E2781))</f>
        <v/>
      </c>
      <c r="F2781" s="5" t="str">
        <f>+IF('Data Pura Costos'!F2781="","",'Data Pura Costos'!F2781)</f>
        <v/>
      </c>
      <c r="G2781" s="5" t="str">
        <f>+IF('Data Pura Costos'!G2781="","",'Data Pura Costos'!G2781)</f>
        <v/>
      </c>
      <c r="H2781" s="52" t="str">
        <f>+IF('Data Pura Costos'!H2781="","",'Data Pura Costos'!H2781)</f>
        <v/>
      </c>
      <c r="I2781" s="71" t="str">
        <f>+IF('Data Pura Costos'!I2781="","",'Data Pura Costos'!I2781)</f>
        <v/>
      </c>
      <c r="J2781" s="52" t="str">
        <f>+IF('Data Pura Costos'!J2781="","",'Data Pura Costos'!J2781)</f>
        <v/>
      </c>
      <c r="K2781" s="82" t="str">
        <f t="shared" si="48"/>
        <v/>
      </c>
    </row>
    <row r="2782" spans="2:11" x14ac:dyDescent="0.35">
      <c r="B2782" s="4" t="str">
        <f>+IF('Data Pura Costos'!B2782="","",'Data Pura Costos'!B2782)</f>
        <v/>
      </c>
      <c r="C2782" s="4" t="str">
        <f>+IF('Data Pura Costos'!C2782="","",'Data Pura Costos'!C2782)</f>
        <v/>
      </c>
      <c r="D2782" s="5" t="str">
        <f>+IF('Data Pura Costos'!D2782="","",'Data Pura Costos'!D2782)</f>
        <v/>
      </c>
      <c r="E2782" s="65" t="str">
        <f>+IF('Data Pura Costos'!E2782="","",IF('Data Pura Costos'!E2782=0,MAX('Data Pura Costos'!$E$7:$E$3000)*1000,'Data Pura Costos'!E2782))</f>
        <v/>
      </c>
      <c r="F2782" s="5" t="str">
        <f>+IF('Data Pura Costos'!F2782="","",'Data Pura Costos'!F2782)</f>
        <v/>
      </c>
      <c r="G2782" s="5" t="str">
        <f>+IF('Data Pura Costos'!G2782="","",'Data Pura Costos'!G2782)</f>
        <v/>
      </c>
      <c r="H2782" s="52" t="str">
        <f>+IF('Data Pura Costos'!H2782="","",'Data Pura Costos'!H2782)</f>
        <v/>
      </c>
      <c r="I2782" s="71" t="str">
        <f>+IF('Data Pura Costos'!I2782="","",'Data Pura Costos'!I2782)</f>
        <v/>
      </c>
      <c r="J2782" s="52" t="str">
        <f>+IF('Data Pura Costos'!J2782="","",'Data Pura Costos'!J2782)</f>
        <v/>
      </c>
      <c r="K2782" s="82" t="str">
        <f t="shared" si="48"/>
        <v/>
      </c>
    </row>
    <row r="2783" spans="2:11" x14ac:dyDescent="0.35">
      <c r="B2783" s="4" t="str">
        <f>+IF('Data Pura Costos'!B2783="","",'Data Pura Costos'!B2783)</f>
        <v/>
      </c>
      <c r="C2783" s="4" t="str">
        <f>+IF('Data Pura Costos'!C2783="","",'Data Pura Costos'!C2783)</f>
        <v/>
      </c>
      <c r="D2783" s="5" t="str">
        <f>+IF('Data Pura Costos'!D2783="","",'Data Pura Costos'!D2783)</f>
        <v/>
      </c>
      <c r="E2783" s="65" t="str">
        <f>+IF('Data Pura Costos'!E2783="","",IF('Data Pura Costos'!E2783=0,MAX('Data Pura Costos'!$E$7:$E$3000)*1000,'Data Pura Costos'!E2783))</f>
        <v/>
      </c>
      <c r="F2783" s="5" t="str">
        <f>+IF('Data Pura Costos'!F2783="","",'Data Pura Costos'!F2783)</f>
        <v/>
      </c>
      <c r="G2783" s="5" t="str">
        <f>+IF('Data Pura Costos'!G2783="","",'Data Pura Costos'!G2783)</f>
        <v/>
      </c>
      <c r="H2783" s="52" t="str">
        <f>+IF('Data Pura Costos'!H2783="","",'Data Pura Costos'!H2783)</f>
        <v/>
      </c>
      <c r="I2783" s="71" t="str">
        <f>+IF('Data Pura Costos'!I2783="","",'Data Pura Costos'!I2783)</f>
        <v/>
      </c>
      <c r="J2783" s="52" t="str">
        <f>+IF('Data Pura Costos'!J2783="","",'Data Pura Costos'!J2783)</f>
        <v/>
      </c>
      <c r="K2783" s="82" t="str">
        <f t="shared" si="48"/>
        <v/>
      </c>
    </row>
    <row r="2784" spans="2:11" x14ac:dyDescent="0.35">
      <c r="B2784" s="4" t="str">
        <f>+IF('Data Pura Costos'!B2784="","",'Data Pura Costos'!B2784)</f>
        <v/>
      </c>
      <c r="C2784" s="4" t="str">
        <f>+IF('Data Pura Costos'!C2784="","",'Data Pura Costos'!C2784)</f>
        <v/>
      </c>
      <c r="D2784" s="5" t="str">
        <f>+IF('Data Pura Costos'!D2784="","",'Data Pura Costos'!D2784)</f>
        <v/>
      </c>
      <c r="E2784" s="65" t="str">
        <f>+IF('Data Pura Costos'!E2784="","",IF('Data Pura Costos'!E2784=0,MAX('Data Pura Costos'!$E$7:$E$3000)*1000,'Data Pura Costos'!E2784))</f>
        <v/>
      </c>
      <c r="F2784" s="5" t="str">
        <f>+IF('Data Pura Costos'!F2784="","",'Data Pura Costos'!F2784)</f>
        <v/>
      </c>
      <c r="G2784" s="5" t="str">
        <f>+IF('Data Pura Costos'!G2784="","",'Data Pura Costos'!G2784)</f>
        <v/>
      </c>
      <c r="H2784" s="52" t="str">
        <f>+IF('Data Pura Costos'!H2784="","",'Data Pura Costos'!H2784)</f>
        <v/>
      </c>
      <c r="I2784" s="71" t="str">
        <f>+IF('Data Pura Costos'!I2784="","",'Data Pura Costos'!I2784)</f>
        <v/>
      </c>
      <c r="J2784" s="52" t="str">
        <f>+IF('Data Pura Costos'!J2784="","",'Data Pura Costos'!J2784)</f>
        <v/>
      </c>
      <c r="K2784" s="82" t="str">
        <f t="shared" si="48"/>
        <v/>
      </c>
    </row>
    <row r="2785" spans="2:11" x14ac:dyDescent="0.35">
      <c r="B2785" s="4" t="str">
        <f>+IF('Data Pura Costos'!B2785="","",'Data Pura Costos'!B2785)</f>
        <v/>
      </c>
      <c r="C2785" s="4" t="str">
        <f>+IF('Data Pura Costos'!C2785="","",'Data Pura Costos'!C2785)</f>
        <v/>
      </c>
      <c r="D2785" s="5" t="str">
        <f>+IF('Data Pura Costos'!D2785="","",'Data Pura Costos'!D2785)</f>
        <v/>
      </c>
      <c r="E2785" s="65" t="str">
        <f>+IF('Data Pura Costos'!E2785="","",IF('Data Pura Costos'!E2785=0,MAX('Data Pura Costos'!$E$7:$E$3000)*1000,'Data Pura Costos'!E2785))</f>
        <v/>
      </c>
      <c r="F2785" s="5" t="str">
        <f>+IF('Data Pura Costos'!F2785="","",'Data Pura Costos'!F2785)</f>
        <v/>
      </c>
      <c r="G2785" s="5" t="str">
        <f>+IF('Data Pura Costos'!G2785="","",'Data Pura Costos'!G2785)</f>
        <v/>
      </c>
      <c r="H2785" s="52" t="str">
        <f>+IF('Data Pura Costos'!H2785="","",'Data Pura Costos'!H2785)</f>
        <v/>
      </c>
      <c r="I2785" s="71" t="str">
        <f>+IF('Data Pura Costos'!I2785="","",'Data Pura Costos'!I2785)</f>
        <v/>
      </c>
      <c r="J2785" s="52" t="str">
        <f>+IF('Data Pura Costos'!J2785="","",'Data Pura Costos'!J2785)</f>
        <v/>
      </c>
      <c r="K2785" s="82" t="str">
        <f t="shared" si="48"/>
        <v/>
      </c>
    </row>
    <row r="2786" spans="2:11" x14ac:dyDescent="0.35">
      <c r="B2786" s="4" t="str">
        <f>+IF('Data Pura Costos'!B2786="","",'Data Pura Costos'!B2786)</f>
        <v/>
      </c>
      <c r="C2786" s="4" t="str">
        <f>+IF('Data Pura Costos'!C2786="","",'Data Pura Costos'!C2786)</f>
        <v/>
      </c>
      <c r="D2786" s="5" t="str">
        <f>+IF('Data Pura Costos'!D2786="","",'Data Pura Costos'!D2786)</f>
        <v/>
      </c>
      <c r="E2786" s="65" t="str">
        <f>+IF('Data Pura Costos'!E2786="","",IF('Data Pura Costos'!E2786=0,MAX('Data Pura Costos'!$E$7:$E$3000)*1000,'Data Pura Costos'!E2786))</f>
        <v/>
      </c>
      <c r="F2786" s="5" t="str">
        <f>+IF('Data Pura Costos'!F2786="","",'Data Pura Costos'!F2786)</f>
        <v/>
      </c>
      <c r="G2786" s="5" t="str">
        <f>+IF('Data Pura Costos'!G2786="","",'Data Pura Costos'!G2786)</f>
        <v/>
      </c>
      <c r="H2786" s="52" t="str">
        <f>+IF('Data Pura Costos'!H2786="","",'Data Pura Costos'!H2786)</f>
        <v/>
      </c>
      <c r="I2786" s="71" t="str">
        <f>+IF('Data Pura Costos'!I2786="","",'Data Pura Costos'!I2786)</f>
        <v/>
      </c>
      <c r="J2786" s="52" t="str">
        <f>+IF('Data Pura Costos'!J2786="","",'Data Pura Costos'!J2786)</f>
        <v/>
      </c>
      <c r="K2786" s="82" t="str">
        <f t="shared" si="48"/>
        <v/>
      </c>
    </row>
    <row r="2787" spans="2:11" x14ac:dyDescent="0.35">
      <c r="B2787" s="4" t="str">
        <f>+IF('Data Pura Costos'!B2787="","",'Data Pura Costos'!B2787)</f>
        <v/>
      </c>
      <c r="C2787" s="4" t="str">
        <f>+IF('Data Pura Costos'!C2787="","",'Data Pura Costos'!C2787)</f>
        <v/>
      </c>
      <c r="D2787" s="5" t="str">
        <f>+IF('Data Pura Costos'!D2787="","",'Data Pura Costos'!D2787)</f>
        <v/>
      </c>
      <c r="E2787" s="65" t="str">
        <f>+IF('Data Pura Costos'!E2787="","",IF('Data Pura Costos'!E2787=0,MAX('Data Pura Costos'!$E$7:$E$3000)*1000,'Data Pura Costos'!E2787))</f>
        <v/>
      </c>
      <c r="F2787" s="5" t="str">
        <f>+IF('Data Pura Costos'!F2787="","",'Data Pura Costos'!F2787)</f>
        <v/>
      </c>
      <c r="G2787" s="5" t="str">
        <f>+IF('Data Pura Costos'!G2787="","",'Data Pura Costos'!G2787)</f>
        <v/>
      </c>
      <c r="H2787" s="52" t="str">
        <f>+IF('Data Pura Costos'!H2787="","",'Data Pura Costos'!H2787)</f>
        <v/>
      </c>
      <c r="I2787" s="71" t="str">
        <f>+IF('Data Pura Costos'!I2787="","",'Data Pura Costos'!I2787)</f>
        <v/>
      </c>
      <c r="J2787" s="52" t="str">
        <f>+IF('Data Pura Costos'!J2787="","",'Data Pura Costos'!J2787)</f>
        <v/>
      </c>
      <c r="K2787" s="82" t="str">
        <f t="shared" si="48"/>
        <v/>
      </c>
    </row>
    <row r="2788" spans="2:11" x14ac:dyDescent="0.35">
      <c r="B2788" s="4" t="str">
        <f>+IF('Data Pura Costos'!B2788="","",'Data Pura Costos'!B2788)</f>
        <v/>
      </c>
      <c r="C2788" s="4" t="str">
        <f>+IF('Data Pura Costos'!C2788="","",'Data Pura Costos'!C2788)</f>
        <v/>
      </c>
      <c r="D2788" s="5" t="str">
        <f>+IF('Data Pura Costos'!D2788="","",'Data Pura Costos'!D2788)</f>
        <v/>
      </c>
      <c r="E2788" s="65" t="str">
        <f>+IF('Data Pura Costos'!E2788="","",IF('Data Pura Costos'!E2788=0,MAX('Data Pura Costos'!$E$7:$E$3000)*1000,'Data Pura Costos'!E2788))</f>
        <v/>
      </c>
      <c r="F2788" s="5" t="str">
        <f>+IF('Data Pura Costos'!F2788="","",'Data Pura Costos'!F2788)</f>
        <v/>
      </c>
      <c r="G2788" s="5" t="str">
        <f>+IF('Data Pura Costos'!G2788="","",'Data Pura Costos'!G2788)</f>
        <v/>
      </c>
      <c r="H2788" s="52" t="str">
        <f>+IF('Data Pura Costos'!H2788="","",'Data Pura Costos'!H2788)</f>
        <v/>
      </c>
      <c r="I2788" s="71" t="str">
        <f>+IF('Data Pura Costos'!I2788="","",'Data Pura Costos'!I2788)</f>
        <v/>
      </c>
      <c r="J2788" s="52" t="str">
        <f>+IF('Data Pura Costos'!J2788="","",'Data Pura Costos'!J2788)</f>
        <v/>
      </c>
      <c r="K2788" s="82" t="str">
        <f t="shared" si="48"/>
        <v/>
      </c>
    </row>
    <row r="2789" spans="2:11" x14ac:dyDescent="0.35">
      <c r="B2789" s="4" t="str">
        <f>+IF('Data Pura Costos'!B2789="","",'Data Pura Costos'!B2789)</f>
        <v/>
      </c>
      <c r="C2789" s="4" t="str">
        <f>+IF('Data Pura Costos'!C2789="","",'Data Pura Costos'!C2789)</f>
        <v/>
      </c>
      <c r="D2789" s="5" t="str">
        <f>+IF('Data Pura Costos'!D2789="","",'Data Pura Costos'!D2789)</f>
        <v/>
      </c>
      <c r="E2789" s="65" t="str">
        <f>+IF('Data Pura Costos'!E2789="","",IF('Data Pura Costos'!E2789=0,MAX('Data Pura Costos'!$E$7:$E$3000)*1000,'Data Pura Costos'!E2789))</f>
        <v/>
      </c>
      <c r="F2789" s="5" t="str">
        <f>+IF('Data Pura Costos'!F2789="","",'Data Pura Costos'!F2789)</f>
        <v/>
      </c>
      <c r="G2789" s="5" t="str">
        <f>+IF('Data Pura Costos'!G2789="","",'Data Pura Costos'!G2789)</f>
        <v/>
      </c>
      <c r="H2789" s="52" t="str">
        <f>+IF('Data Pura Costos'!H2789="","",'Data Pura Costos'!H2789)</f>
        <v/>
      </c>
      <c r="I2789" s="71" t="str">
        <f>+IF('Data Pura Costos'!I2789="","",'Data Pura Costos'!I2789)</f>
        <v/>
      </c>
      <c r="J2789" s="52" t="str">
        <f>+IF('Data Pura Costos'!J2789="","",'Data Pura Costos'!J2789)</f>
        <v/>
      </c>
      <c r="K2789" s="82" t="str">
        <f t="shared" si="48"/>
        <v/>
      </c>
    </row>
    <row r="2790" spans="2:11" x14ac:dyDescent="0.35">
      <c r="B2790" s="4" t="str">
        <f>+IF('Data Pura Costos'!B2790="","",'Data Pura Costos'!B2790)</f>
        <v/>
      </c>
      <c r="C2790" s="4" t="str">
        <f>+IF('Data Pura Costos'!C2790="","",'Data Pura Costos'!C2790)</f>
        <v/>
      </c>
      <c r="D2790" s="5" t="str">
        <f>+IF('Data Pura Costos'!D2790="","",'Data Pura Costos'!D2790)</f>
        <v/>
      </c>
      <c r="E2790" s="65" t="str">
        <f>+IF('Data Pura Costos'!E2790="","",IF('Data Pura Costos'!E2790=0,MAX('Data Pura Costos'!$E$7:$E$3000)*1000,'Data Pura Costos'!E2790))</f>
        <v/>
      </c>
      <c r="F2790" s="5" t="str">
        <f>+IF('Data Pura Costos'!F2790="","",'Data Pura Costos'!F2790)</f>
        <v/>
      </c>
      <c r="G2790" s="5" t="str">
        <f>+IF('Data Pura Costos'!G2790="","",'Data Pura Costos'!G2790)</f>
        <v/>
      </c>
      <c r="H2790" s="52" t="str">
        <f>+IF('Data Pura Costos'!H2790="","",'Data Pura Costos'!H2790)</f>
        <v/>
      </c>
      <c r="I2790" s="71" t="str">
        <f>+IF('Data Pura Costos'!I2790="","",'Data Pura Costos'!I2790)</f>
        <v/>
      </c>
      <c r="J2790" s="52" t="str">
        <f>+IF('Data Pura Costos'!J2790="","",'Data Pura Costos'!J2790)</f>
        <v/>
      </c>
      <c r="K2790" s="82" t="str">
        <f t="shared" si="48"/>
        <v/>
      </c>
    </row>
    <row r="2791" spans="2:11" x14ac:dyDescent="0.35">
      <c r="B2791" s="4" t="str">
        <f>+IF('Data Pura Costos'!B2791="","",'Data Pura Costos'!B2791)</f>
        <v/>
      </c>
      <c r="C2791" s="4" t="str">
        <f>+IF('Data Pura Costos'!C2791="","",'Data Pura Costos'!C2791)</f>
        <v/>
      </c>
      <c r="D2791" s="5" t="str">
        <f>+IF('Data Pura Costos'!D2791="","",'Data Pura Costos'!D2791)</f>
        <v/>
      </c>
      <c r="E2791" s="65" t="str">
        <f>+IF('Data Pura Costos'!E2791="","",IF('Data Pura Costos'!E2791=0,MAX('Data Pura Costos'!$E$7:$E$3000)*1000,'Data Pura Costos'!E2791))</f>
        <v/>
      </c>
      <c r="F2791" s="5" t="str">
        <f>+IF('Data Pura Costos'!F2791="","",'Data Pura Costos'!F2791)</f>
        <v/>
      </c>
      <c r="G2791" s="5" t="str">
        <f>+IF('Data Pura Costos'!G2791="","",'Data Pura Costos'!G2791)</f>
        <v/>
      </c>
      <c r="H2791" s="52" t="str">
        <f>+IF('Data Pura Costos'!H2791="","",'Data Pura Costos'!H2791)</f>
        <v/>
      </c>
      <c r="I2791" s="71" t="str">
        <f>+IF('Data Pura Costos'!I2791="","",'Data Pura Costos'!I2791)</f>
        <v/>
      </c>
      <c r="J2791" s="52" t="str">
        <f>+IF('Data Pura Costos'!J2791="","",'Data Pura Costos'!J2791)</f>
        <v/>
      </c>
      <c r="K2791" s="82" t="str">
        <f t="shared" si="48"/>
        <v/>
      </c>
    </row>
    <row r="2792" spans="2:11" x14ac:dyDescent="0.35">
      <c r="B2792" s="4" t="str">
        <f>+IF('Data Pura Costos'!B2792="","",'Data Pura Costos'!B2792)</f>
        <v/>
      </c>
      <c r="C2792" s="4" t="str">
        <f>+IF('Data Pura Costos'!C2792="","",'Data Pura Costos'!C2792)</f>
        <v/>
      </c>
      <c r="D2792" s="5" t="str">
        <f>+IF('Data Pura Costos'!D2792="","",'Data Pura Costos'!D2792)</f>
        <v/>
      </c>
      <c r="E2792" s="65" t="str">
        <f>+IF('Data Pura Costos'!E2792="","",IF('Data Pura Costos'!E2792=0,MAX('Data Pura Costos'!$E$7:$E$3000)*1000,'Data Pura Costos'!E2792))</f>
        <v/>
      </c>
      <c r="F2792" s="5" t="str">
        <f>+IF('Data Pura Costos'!F2792="","",'Data Pura Costos'!F2792)</f>
        <v/>
      </c>
      <c r="G2792" s="5" t="str">
        <f>+IF('Data Pura Costos'!G2792="","",'Data Pura Costos'!G2792)</f>
        <v/>
      </c>
      <c r="H2792" s="52" t="str">
        <f>+IF('Data Pura Costos'!H2792="","",'Data Pura Costos'!H2792)</f>
        <v/>
      </c>
      <c r="I2792" s="71" t="str">
        <f>+IF('Data Pura Costos'!I2792="","",'Data Pura Costos'!I2792)</f>
        <v/>
      </c>
      <c r="J2792" s="52" t="str">
        <f>+IF('Data Pura Costos'!J2792="","",'Data Pura Costos'!J2792)</f>
        <v/>
      </c>
      <c r="K2792" s="82" t="str">
        <f t="shared" si="48"/>
        <v/>
      </c>
    </row>
    <row r="2793" spans="2:11" x14ac:dyDescent="0.35">
      <c r="B2793" s="4" t="str">
        <f>+IF('Data Pura Costos'!B2793="","",'Data Pura Costos'!B2793)</f>
        <v/>
      </c>
      <c r="C2793" s="4" t="str">
        <f>+IF('Data Pura Costos'!C2793="","",'Data Pura Costos'!C2793)</f>
        <v/>
      </c>
      <c r="D2793" s="5" t="str">
        <f>+IF('Data Pura Costos'!D2793="","",'Data Pura Costos'!D2793)</f>
        <v/>
      </c>
      <c r="E2793" s="65" t="str">
        <f>+IF('Data Pura Costos'!E2793="","",IF('Data Pura Costos'!E2793=0,MAX('Data Pura Costos'!$E$7:$E$3000)*1000,'Data Pura Costos'!E2793))</f>
        <v/>
      </c>
      <c r="F2793" s="5" t="str">
        <f>+IF('Data Pura Costos'!F2793="","",'Data Pura Costos'!F2793)</f>
        <v/>
      </c>
      <c r="G2793" s="5" t="str">
        <f>+IF('Data Pura Costos'!G2793="","",'Data Pura Costos'!G2793)</f>
        <v/>
      </c>
      <c r="H2793" s="52" t="str">
        <f>+IF('Data Pura Costos'!H2793="","",'Data Pura Costos'!H2793)</f>
        <v/>
      </c>
      <c r="I2793" s="71" t="str">
        <f>+IF('Data Pura Costos'!I2793="","",'Data Pura Costos'!I2793)</f>
        <v/>
      </c>
      <c r="J2793" s="52" t="str">
        <f>+IF('Data Pura Costos'!J2793="","",'Data Pura Costos'!J2793)</f>
        <v/>
      </c>
      <c r="K2793" s="82" t="str">
        <f t="shared" si="48"/>
        <v/>
      </c>
    </row>
    <row r="2794" spans="2:11" x14ac:dyDescent="0.35">
      <c r="B2794" s="4" t="str">
        <f>+IF('Data Pura Costos'!B2794="","",'Data Pura Costos'!B2794)</f>
        <v/>
      </c>
      <c r="C2794" s="4" t="str">
        <f>+IF('Data Pura Costos'!C2794="","",'Data Pura Costos'!C2794)</f>
        <v/>
      </c>
      <c r="D2794" s="5" t="str">
        <f>+IF('Data Pura Costos'!D2794="","",'Data Pura Costos'!D2794)</f>
        <v/>
      </c>
      <c r="E2794" s="65" t="str">
        <f>+IF('Data Pura Costos'!E2794="","",IF('Data Pura Costos'!E2794=0,MAX('Data Pura Costos'!$E$7:$E$3000)*1000,'Data Pura Costos'!E2794))</f>
        <v/>
      </c>
      <c r="F2794" s="5" t="str">
        <f>+IF('Data Pura Costos'!F2794="","",'Data Pura Costos'!F2794)</f>
        <v/>
      </c>
      <c r="G2794" s="5" t="str">
        <f>+IF('Data Pura Costos'!G2794="","",'Data Pura Costos'!G2794)</f>
        <v/>
      </c>
      <c r="H2794" s="52" t="str">
        <f>+IF('Data Pura Costos'!H2794="","",'Data Pura Costos'!H2794)</f>
        <v/>
      </c>
      <c r="I2794" s="71" t="str">
        <f>+IF('Data Pura Costos'!I2794="","",'Data Pura Costos'!I2794)</f>
        <v/>
      </c>
      <c r="J2794" s="52" t="str">
        <f>+IF('Data Pura Costos'!J2794="","",'Data Pura Costos'!J2794)</f>
        <v/>
      </c>
      <c r="K2794" s="82" t="str">
        <f t="shared" si="48"/>
        <v/>
      </c>
    </row>
    <row r="2795" spans="2:11" x14ac:dyDescent="0.35">
      <c r="B2795" s="4" t="str">
        <f>+IF('Data Pura Costos'!B2795="","",'Data Pura Costos'!B2795)</f>
        <v/>
      </c>
      <c r="C2795" s="4" t="str">
        <f>+IF('Data Pura Costos'!C2795="","",'Data Pura Costos'!C2795)</f>
        <v/>
      </c>
      <c r="D2795" s="5" t="str">
        <f>+IF('Data Pura Costos'!D2795="","",'Data Pura Costos'!D2795)</f>
        <v/>
      </c>
      <c r="E2795" s="65" t="str">
        <f>+IF('Data Pura Costos'!E2795="","",IF('Data Pura Costos'!E2795=0,MAX('Data Pura Costos'!$E$7:$E$3000)*1000,'Data Pura Costos'!E2795))</f>
        <v/>
      </c>
      <c r="F2795" s="5" t="str">
        <f>+IF('Data Pura Costos'!F2795="","",'Data Pura Costos'!F2795)</f>
        <v/>
      </c>
      <c r="G2795" s="5" t="str">
        <f>+IF('Data Pura Costos'!G2795="","",'Data Pura Costos'!G2795)</f>
        <v/>
      </c>
      <c r="H2795" s="52" t="str">
        <f>+IF('Data Pura Costos'!H2795="","",'Data Pura Costos'!H2795)</f>
        <v/>
      </c>
      <c r="I2795" s="71" t="str">
        <f>+IF('Data Pura Costos'!I2795="","",'Data Pura Costos'!I2795)</f>
        <v/>
      </c>
      <c r="J2795" s="52" t="str">
        <f>+IF('Data Pura Costos'!J2795="","",'Data Pura Costos'!J2795)</f>
        <v/>
      </c>
      <c r="K2795" s="82" t="str">
        <f t="shared" si="48"/>
        <v/>
      </c>
    </row>
    <row r="2796" spans="2:11" x14ac:dyDescent="0.35">
      <c r="B2796" s="4" t="str">
        <f>+IF('Data Pura Costos'!B2796="","",'Data Pura Costos'!B2796)</f>
        <v/>
      </c>
      <c r="C2796" s="4" t="str">
        <f>+IF('Data Pura Costos'!C2796="","",'Data Pura Costos'!C2796)</f>
        <v/>
      </c>
      <c r="D2796" s="5" t="str">
        <f>+IF('Data Pura Costos'!D2796="","",'Data Pura Costos'!D2796)</f>
        <v/>
      </c>
      <c r="E2796" s="65" t="str">
        <f>+IF('Data Pura Costos'!E2796="","",IF('Data Pura Costos'!E2796=0,MAX('Data Pura Costos'!$E$7:$E$3000)*1000,'Data Pura Costos'!E2796))</f>
        <v/>
      </c>
      <c r="F2796" s="5" t="str">
        <f>+IF('Data Pura Costos'!F2796="","",'Data Pura Costos'!F2796)</f>
        <v/>
      </c>
      <c r="G2796" s="5" t="str">
        <f>+IF('Data Pura Costos'!G2796="","",'Data Pura Costos'!G2796)</f>
        <v/>
      </c>
      <c r="H2796" s="52" t="str">
        <f>+IF('Data Pura Costos'!H2796="","",'Data Pura Costos'!H2796)</f>
        <v/>
      </c>
      <c r="I2796" s="71" t="str">
        <f>+IF('Data Pura Costos'!I2796="","",'Data Pura Costos'!I2796)</f>
        <v/>
      </c>
      <c r="J2796" s="52" t="str">
        <f>+IF('Data Pura Costos'!J2796="","",'Data Pura Costos'!J2796)</f>
        <v/>
      </c>
      <c r="K2796" s="82" t="str">
        <f t="shared" si="48"/>
        <v/>
      </c>
    </row>
    <row r="2797" spans="2:11" x14ac:dyDescent="0.35">
      <c r="B2797" s="4" t="str">
        <f>+IF('Data Pura Costos'!B2797="","",'Data Pura Costos'!B2797)</f>
        <v/>
      </c>
      <c r="C2797" s="4" t="str">
        <f>+IF('Data Pura Costos'!C2797="","",'Data Pura Costos'!C2797)</f>
        <v/>
      </c>
      <c r="D2797" s="5" t="str">
        <f>+IF('Data Pura Costos'!D2797="","",'Data Pura Costos'!D2797)</f>
        <v/>
      </c>
      <c r="E2797" s="65" t="str">
        <f>+IF('Data Pura Costos'!E2797="","",IF('Data Pura Costos'!E2797=0,MAX('Data Pura Costos'!$E$7:$E$3000)*1000,'Data Pura Costos'!E2797))</f>
        <v/>
      </c>
      <c r="F2797" s="5" t="str">
        <f>+IF('Data Pura Costos'!F2797="","",'Data Pura Costos'!F2797)</f>
        <v/>
      </c>
      <c r="G2797" s="5" t="str">
        <f>+IF('Data Pura Costos'!G2797="","",'Data Pura Costos'!G2797)</f>
        <v/>
      </c>
      <c r="H2797" s="52" t="str">
        <f>+IF('Data Pura Costos'!H2797="","",'Data Pura Costos'!H2797)</f>
        <v/>
      </c>
      <c r="I2797" s="71" t="str">
        <f>+IF('Data Pura Costos'!I2797="","",'Data Pura Costos'!I2797)</f>
        <v/>
      </c>
      <c r="J2797" s="52" t="str">
        <f>+IF('Data Pura Costos'!J2797="","",'Data Pura Costos'!J2797)</f>
        <v/>
      </c>
      <c r="K2797" s="82" t="str">
        <f t="shared" si="48"/>
        <v/>
      </c>
    </row>
    <row r="2798" spans="2:11" x14ac:dyDescent="0.35">
      <c r="B2798" s="4" t="str">
        <f>+IF('Data Pura Costos'!B2798="","",'Data Pura Costos'!B2798)</f>
        <v/>
      </c>
      <c r="C2798" s="4" t="str">
        <f>+IF('Data Pura Costos'!C2798="","",'Data Pura Costos'!C2798)</f>
        <v/>
      </c>
      <c r="D2798" s="5" t="str">
        <f>+IF('Data Pura Costos'!D2798="","",'Data Pura Costos'!D2798)</f>
        <v/>
      </c>
      <c r="E2798" s="65" t="str">
        <f>+IF('Data Pura Costos'!E2798="","",IF('Data Pura Costos'!E2798=0,MAX('Data Pura Costos'!$E$7:$E$3000)*1000,'Data Pura Costos'!E2798))</f>
        <v/>
      </c>
      <c r="F2798" s="5" t="str">
        <f>+IF('Data Pura Costos'!F2798="","",'Data Pura Costos'!F2798)</f>
        <v/>
      </c>
      <c r="G2798" s="5" t="str">
        <f>+IF('Data Pura Costos'!G2798="","",'Data Pura Costos'!G2798)</f>
        <v/>
      </c>
      <c r="H2798" s="52" t="str">
        <f>+IF('Data Pura Costos'!H2798="","",'Data Pura Costos'!H2798)</f>
        <v/>
      </c>
      <c r="I2798" s="71" t="str">
        <f>+IF('Data Pura Costos'!I2798="","",'Data Pura Costos'!I2798)</f>
        <v/>
      </c>
      <c r="J2798" s="52" t="str">
        <f>+IF('Data Pura Costos'!J2798="","",'Data Pura Costos'!J2798)</f>
        <v/>
      </c>
      <c r="K2798" s="82" t="str">
        <f t="shared" si="48"/>
        <v/>
      </c>
    </row>
    <row r="2799" spans="2:11" x14ac:dyDescent="0.35">
      <c r="B2799" s="4" t="str">
        <f>+IF('Data Pura Costos'!B2799="","",'Data Pura Costos'!B2799)</f>
        <v/>
      </c>
      <c r="C2799" s="4" t="str">
        <f>+IF('Data Pura Costos'!C2799="","",'Data Pura Costos'!C2799)</f>
        <v/>
      </c>
      <c r="D2799" s="5" t="str">
        <f>+IF('Data Pura Costos'!D2799="","",'Data Pura Costos'!D2799)</f>
        <v/>
      </c>
      <c r="E2799" s="65" t="str">
        <f>+IF('Data Pura Costos'!E2799="","",IF('Data Pura Costos'!E2799=0,MAX('Data Pura Costos'!$E$7:$E$3000)*1000,'Data Pura Costos'!E2799))</f>
        <v/>
      </c>
      <c r="F2799" s="5" t="str">
        <f>+IF('Data Pura Costos'!F2799="","",'Data Pura Costos'!F2799)</f>
        <v/>
      </c>
      <c r="G2799" s="5" t="str">
        <f>+IF('Data Pura Costos'!G2799="","",'Data Pura Costos'!G2799)</f>
        <v/>
      </c>
      <c r="H2799" s="52" t="str">
        <f>+IF('Data Pura Costos'!H2799="","",'Data Pura Costos'!H2799)</f>
        <v/>
      </c>
      <c r="I2799" s="71" t="str">
        <f>+IF('Data Pura Costos'!I2799="","",'Data Pura Costos'!I2799)</f>
        <v/>
      </c>
      <c r="J2799" s="52" t="str">
        <f>+IF('Data Pura Costos'!J2799="","",'Data Pura Costos'!J2799)</f>
        <v/>
      </c>
      <c r="K2799" s="82" t="str">
        <f t="shared" si="48"/>
        <v/>
      </c>
    </row>
    <row r="2800" spans="2:11" x14ac:dyDescent="0.35">
      <c r="B2800" s="4" t="str">
        <f>+IF('Data Pura Costos'!B2800="","",'Data Pura Costos'!B2800)</f>
        <v/>
      </c>
      <c r="C2800" s="4" t="str">
        <f>+IF('Data Pura Costos'!C2800="","",'Data Pura Costos'!C2800)</f>
        <v/>
      </c>
      <c r="D2800" s="5" t="str">
        <f>+IF('Data Pura Costos'!D2800="","",'Data Pura Costos'!D2800)</f>
        <v/>
      </c>
      <c r="E2800" s="65" t="str">
        <f>+IF('Data Pura Costos'!E2800="","",IF('Data Pura Costos'!E2800=0,MAX('Data Pura Costos'!$E$7:$E$3000)*1000,'Data Pura Costos'!E2800))</f>
        <v/>
      </c>
      <c r="F2800" s="5" t="str">
        <f>+IF('Data Pura Costos'!F2800="","",'Data Pura Costos'!F2800)</f>
        <v/>
      </c>
      <c r="G2800" s="5" t="str">
        <f>+IF('Data Pura Costos'!G2800="","",'Data Pura Costos'!G2800)</f>
        <v/>
      </c>
      <c r="H2800" s="52" t="str">
        <f>+IF('Data Pura Costos'!H2800="","",'Data Pura Costos'!H2800)</f>
        <v/>
      </c>
      <c r="I2800" s="71" t="str">
        <f>+IF('Data Pura Costos'!I2800="","",'Data Pura Costos'!I2800)</f>
        <v/>
      </c>
      <c r="J2800" s="52" t="str">
        <f>+IF('Data Pura Costos'!J2800="","",'Data Pura Costos'!J2800)</f>
        <v/>
      </c>
      <c r="K2800" s="82" t="str">
        <f t="shared" si="48"/>
        <v/>
      </c>
    </row>
    <row r="2801" spans="2:11" x14ac:dyDescent="0.35">
      <c r="B2801" s="4" t="str">
        <f>+IF('Data Pura Costos'!B2801="","",'Data Pura Costos'!B2801)</f>
        <v/>
      </c>
      <c r="C2801" s="4" t="str">
        <f>+IF('Data Pura Costos'!C2801="","",'Data Pura Costos'!C2801)</f>
        <v/>
      </c>
      <c r="D2801" s="5" t="str">
        <f>+IF('Data Pura Costos'!D2801="","",'Data Pura Costos'!D2801)</f>
        <v/>
      </c>
      <c r="E2801" s="65" t="str">
        <f>+IF('Data Pura Costos'!E2801="","",IF('Data Pura Costos'!E2801=0,MAX('Data Pura Costos'!$E$7:$E$3000)*1000,'Data Pura Costos'!E2801))</f>
        <v/>
      </c>
      <c r="F2801" s="5" t="str">
        <f>+IF('Data Pura Costos'!F2801="","",'Data Pura Costos'!F2801)</f>
        <v/>
      </c>
      <c r="G2801" s="5" t="str">
        <f>+IF('Data Pura Costos'!G2801="","",'Data Pura Costos'!G2801)</f>
        <v/>
      </c>
      <c r="H2801" s="52" t="str">
        <f>+IF('Data Pura Costos'!H2801="","",'Data Pura Costos'!H2801)</f>
        <v/>
      </c>
      <c r="I2801" s="71" t="str">
        <f>+IF('Data Pura Costos'!I2801="","",'Data Pura Costos'!I2801)</f>
        <v/>
      </c>
      <c r="J2801" s="52" t="str">
        <f>+IF('Data Pura Costos'!J2801="","",'Data Pura Costos'!J2801)</f>
        <v/>
      </c>
      <c r="K2801" s="82" t="str">
        <f t="shared" si="48"/>
        <v/>
      </c>
    </row>
    <row r="2802" spans="2:11" x14ac:dyDescent="0.35">
      <c r="B2802" s="4" t="str">
        <f>+IF('Data Pura Costos'!B2802="","",'Data Pura Costos'!B2802)</f>
        <v/>
      </c>
      <c r="C2802" s="4" t="str">
        <f>+IF('Data Pura Costos'!C2802="","",'Data Pura Costos'!C2802)</f>
        <v/>
      </c>
      <c r="D2802" s="5" t="str">
        <f>+IF('Data Pura Costos'!D2802="","",'Data Pura Costos'!D2802)</f>
        <v/>
      </c>
      <c r="E2802" s="65" t="str">
        <f>+IF('Data Pura Costos'!E2802="","",IF('Data Pura Costos'!E2802=0,MAX('Data Pura Costos'!$E$7:$E$3000)*1000,'Data Pura Costos'!E2802))</f>
        <v/>
      </c>
      <c r="F2802" s="5" t="str">
        <f>+IF('Data Pura Costos'!F2802="","",'Data Pura Costos'!F2802)</f>
        <v/>
      </c>
      <c r="G2802" s="5" t="str">
        <f>+IF('Data Pura Costos'!G2802="","",'Data Pura Costos'!G2802)</f>
        <v/>
      </c>
      <c r="H2802" s="52" t="str">
        <f>+IF('Data Pura Costos'!H2802="","",'Data Pura Costos'!H2802)</f>
        <v/>
      </c>
      <c r="I2802" s="71" t="str">
        <f>+IF('Data Pura Costos'!I2802="","",'Data Pura Costos'!I2802)</f>
        <v/>
      </c>
      <c r="J2802" s="52" t="str">
        <f>+IF('Data Pura Costos'!J2802="","",'Data Pura Costos'!J2802)</f>
        <v/>
      </c>
      <c r="K2802" s="82" t="str">
        <f t="shared" si="48"/>
        <v/>
      </c>
    </row>
    <row r="2803" spans="2:11" x14ac:dyDescent="0.35">
      <c r="B2803" s="4" t="str">
        <f>+IF('Data Pura Costos'!B2803="","",'Data Pura Costos'!B2803)</f>
        <v/>
      </c>
      <c r="C2803" s="4" t="str">
        <f>+IF('Data Pura Costos'!C2803="","",'Data Pura Costos'!C2803)</f>
        <v/>
      </c>
      <c r="D2803" s="5" t="str">
        <f>+IF('Data Pura Costos'!D2803="","",'Data Pura Costos'!D2803)</f>
        <v/>
      </c>
      <c r="E2803" s="65" t="str">
        <f>+IF('Data Pura Costos'!E2803="","",IF('Data Pura Costos'!E2803=0,MAX('Data Pura Costos'!$E$7:$E$3000)*1000,'Data Pura Costos'!E2803))</f>
        <v/>
      </c>
      <c r="F2803" s="5" t="str">
        <f>+IF('Data Pura Costos'!F2803="","",'Data Pura Costos'!F2803)</f>
        <v/>
      </c>
      <c r="G2803" s="5" t="str">
        <f>+IF('Data Pura Costos'!G2803="","",'Data Pura Costos'!G2803)</f>
        <v/>
      </c>
      <c r="H2803" s="52" t="str">
        <f>+IF('Data Pura Costos'!H2803="","",'Data Pura Costos'!H2803)</f>
        <v/>
      </c>
      <c r="I2803" s="71" t="str">
        <f>+IF('Data Pura Costos'!I2803="","",'Data Pura Costos'!I2803)</f>
        <v/>
      </c>
      <c r="J2803" s="52" t="str">
        <f>+IF('Data Pura Costos'!J2803="","",'Data Pura Costos'!J2803)</f>
        <v/>
      </c>
      <c r="K2803" s="82" t="str">
        <f t="shared" si="48"/>
        <v/>
      </c>
    </row>
    <row r="2804" spans="2:11" x14ac:dyDescent="0.35">
      <c r="B2804" s="4" t="str">
        <f>+IF('Data Pura Costos'!B2804="","",'Data Pura Costos'!B2804)</f>
        <v/>
      </c>
      <c r="C2804" s="4" t="str">
        <f>+IF('Data Pura Costos'!C2804="","",'Data Pura Costos'!C2804)</f>
        <v/>
      </c>
      <c r="D2804" s="5" t="str">
        <f>+IF('Data Pura Costos'!D2804="","",'Data Pura Costos'!D2804)</f>
        <v/>
      </c>
      <c r="E2804" s="65" t="str">
        <f>+IF('Data Pura Costos'!E2804="","",IF('Data Pura Costos'!E2804=0,MAX('Data Pura Costos'!$E$7:$E$3000)*1000,'Data Pura Costos'!E2804))</f>
        <v/>
      </c>
      <c r="F2804" s="5" t="str">
        <f>+IF('Data Pura Costos'!F2804="","",'Data Pura Costos'!F2804)</f>
        <v/>
      </c>
      <c r="G2804" s="5" t="str">
        <f>+IF('Data Pura Costos'!G2804="","",'Data Pura Costos'!G2804)</f>
        <v/>
      </c>
      <c r="H2804" s="52" t="str">
        <f>+IF('Data Pura Costos'!H2804="","",'Data Pura Costos'!H2804)</f>
        <v/>
      </c>
      <c r="I2804" s="71" t="str">
        <f>+IF('Data Pura Costos'!I2804="","",'Data Pura Costos'!I2804)</f>
        <v/>
      </c>
      <c r="J2804" s="52" t="str">
        <f>+IF('Data Pura Costos'!J2804="","",'Data Pura Costos'!J2804)</f>
        <v/>
      </c>
      <c r="K2804" s="82" t="str">
        <f t="shared" si="48"/>
        <v/>
      </c>
    </row>
    <row r="2805" spans="2:11" x14ac:dyDescent="0.35">
      <c r="B2805" s="4" t="str">
        <f>+IF('Data Pura Costos'!B2805="","",'Data Pura Costos'!B2805)</f>
        <v/>
      </c>
      <c r="C2805" s="4" t="str">
        <f>+IF('Data Pura Costos'!C2805="","",'Data Pura Costos'!C2805)</f>
        <v/>
      </c>
      <c r="D2805" s="5" t="str">
        <f>+IF('Data Pura Costos'!D2805="","",'Data Pura Costos'!D2805)</f>
        <v/>
      </c>
      <c r="E2805" s="65" t="str">
        <f>+IF('Data Pura Costos'!E2805="","",IF('Data Pura Costos'!E2805=0,MAX('Data Pura Costos'!$E$7:$E$3000)*1000,'Data Pura Costos'!E2805))</f>
        <v/>
      </c>
      <c r="F2805" s="5" t="str">
        <f>+IF('Data Pura Costos'!F2805="","",'Data Pura Costos'!F2805)</f>
        <v/>
      </c>
      <c r="G2805" s="5" t="str">
        <f>+IF('Data Pura Costos'!G2805="","",'Data Pura Costos'!G2805)</f>
        <v/>
      </c>
      <c r="H2805" s="52" t="str">
        <f>+IF('Data Pura Costos'!H2805="","",'Data Pura Costos'!H2805)</f>
        <v/>
      </c>
      <c r="I2805" s="71" t="str">
        <f>+IF('Data Pura Costos'!I2805="","",'Data Pura Costos'!I2805)</f>
        <v/>
      </c>
      <c r="J2805" s="52" t="str">
        <f>+IF('Data Pura Costos'!J2805="","",'Data Pura Costos'!J2805)</f>
        <v/>
      </c>
      <c r="K2805" s="82" t="str">
        <f t="shared" si="48"/>
        <v/>
      </c>
    </row>
    <row r="2806" spans="2:11" x14ac:dyDescent="0.35">
      <c r="B2806" s="4" t="str">
        <f>+IF('Data Pura Costos'!B2806="","",'Data Pura Costos'!B2806)</f>
        <v/>
      </c>
      <c r="C2806" s="4" t="str">
        <f>+IF('Data Pura Costos'!C2806="","",'Data Pura Costos'!C2806)</f>
        <v/>
      </c>
      <c r="D2806" s="5" t="str">
        <f>+IF('Data Pura Costos'!D2806="","",'Data Pura Costos'!D2806)</f>
        <v/>
      </c>
      <c r="E2806" s="65" t="str">
        <f>+IF('Data Pura Costos'!E2806="","",IF('Data Pura Costos'!E2806=0,MAX('Data Pura Costos'!$E$7:$E$3000)*1000,'Data Pura Costos'!E2806))</f>
        <v/>
      </c>
      <c r="F2806" s="5" t="str">
        <f>+IF('Data Pura Costos'!F2806="","",'Data Pura Costos'!F2806)</f>
        <v/>
      </c>
      <c r="G2806" s="5" t="str">
        <f>+IF('Data Pura Costos'!G2806="","",'Data Pura Costos'!G2806)</f>
        <v/>
      </c>
      <c r="H2806" s="52" t="str">
        <f>+IF('Data Pura Costos'!H2806="","",'Data Pura Costos'!H2806)</f>
        <v/>
      </c>
      <c r="I2806" s="71" t="str">
        <f>+IF('Data Pura Costos'!I2806="","",'Data Pura Costos'!I2806)</f>
        <v/>
      </c>
      <c r="J2806" s="52" t="str">
        <f>+IF('Data Pura Costos'!J2806="","",'Data Pura Costos'!J2806)</f>
        <v/>
      </c>
      <c r="K2806" s="82" t="str">
        <f t="shared" si="48"/>
        <v/>
      </c>
    </row>
    <row r="2807" spans="2:11" x14ac:dyDescent="0.35">
      <c r="B2807" s="4" t="str">
        <f>+IF('Data Pura Costos'!B2807="","",'Data Pura Costos'!B2807)</f>
        <v/>
      </c>
      <c r="C2807" s="4" t="str">
        <f>+IF('Data Pura Costos'!C2807="","",'Data Pura Costos'!C2807)</f>
        <v/>
      </c>
      <c r="D2807" s="5" t="str">
        <f>+IF('Data Pura Costos'!D2807="","",'Data Pura Costos'!D2807)</f>
        <v/>
      </c>
      <c r="E2807" s="65" t="str">
        <f>+IF('Data Pura Costos'!E2807="","",IF('Data Pura Costos'!E2807=0,MAX('Data Pura Costos'!$E$7:$E$3000)*1000,'Data Pura Costos'!E2807))</f>
        <v/>
      </c>
      <c r="F2807" s="5" t="str">
        <f>+IF('Data Pura Costos'!F2807="","",'Data Pura Costos'!F2807)</f>
        <v/>
      </c>
      <c r="G2807" s="5" t="str">
        <f>+IF('Data Pura Costos'!G2807="","",'Data Pura Costos'!G2807)</f>
        <v/>
      </c>
      <c r="H2807" s="52" t="str">
        <f>+IF('Data Pura Costos'!H2807="","",'Data Pura Costos'!H2807)</f>
        <v/>
      </c>
      <c r="I2807" s="71" t="str">
        <f>+IF('Data Pura Costos'!I2807="","",'Data Pura Costos'!I2807)</f>
        <v/>
      </c>
      <c r="J2807" s="52" t="str">
        <f>+IF('Data Pura Costos'!J2807="","",'Data Pura Costos'!J2807)</f>
        <v/>
      </c>
      <c r="K2807" s="82" t="str">
        <f t="shared" si="48"/>
        <v/>
      </c>
    </row>
    <row r="2808" spans="2:11" x14ac:dyDescent="0.35">
      <c r="B2808" s="4" t="str">
        <f>+IF('Data Pura Costos'!B2808="","",'Data Pura Costos'!B2808)</f>
        <v/>
      </c>
      <c r="C2808" s="4" t="str">
        <f>+IF('Data Pura Costos'!C2808="","",'Data Pura Costos'!C2808)</f>
        <v/>
      </c>
      <c r="D2808" s="5" t="str">
        <f>+IF('Data Pura Costos'!D2808="","",'Data Pura Costos'!D2808)</f>
        <v/>
      </c>
      <c r="E2808" s="65" t="str">
        <f>+IF('Data Pura Costos'!E2808="","",IF('Data Pura Costos'!E2808=0,MAX('Data Pura Costos'!$E$7:$E$3000)*1000,'Data Pura Costos'!E2808))</f>
        <v/>
      </c>
      <c r="F2808" s="5" t="str">
        <f>+IF('Data Pura Costos'!F2808="","",'Data Pura Costos'!F2808)</f>
        <v/>
      </c>
      <c r="G2808" s="5" t="str">
        <f>+IF('Data Pura Costos'!G2808="","",'Data Pura Costos'!G2808)</f>
        <v/>
      </c>
      <c r="H2808" s="52" t="str">
        <f>+IF('Data Pura Costos'!H2808="","",'Data Pura Costos'!H2808)</f>
        <v/>
      </c>
      <c r="I2808" s="71" t="str">
        <f>+IF('Data Pura Costos'!I2808="","",'Data Pura Costos'!I2808)</f>
        <v/>
      </c>
      <c r="J2808" s="52" t="str">
        <f>+IF('Data Pura Costos'!J2808="","",'Data Pura Costos'!J2808)</f>
        <v/>
      </c>
      <c r="K2808" s="82" t="str">
        <f t="shared" si="48"/>
        <v/>
      </c>
    </row>
    <row r="2809" spans="2:11" x14ac:dyDescent="0.35">
      <c r="B2809" s="4" t="str">
        <f>+IF('Data Pura Costos'!B2809="","",'Data Pura Costos'!B2809)</f>
        <v/>
      </c>
      <c r="C2809" s="4" t="str">
        <f>+IF('Data Pura Costos'!C2809="","",'Data Pura Costos'!C2809)</f>
        <v/>
      </c>
      <c r="D2809" s="5" t="str">
        <f>+IF('Data Pura Costos'!D2809="","",'Data Pura Costos'!D2809)</f>
        <v/>
      </c>
      <c r="E2809" s="65" t="str">
        <f>+IF('Data Pura Costos'!E2809="","",IF('Data Pura Costos'!E2809=0,MAX('Data Pura Costos'!$E$7:$E$3000)*1000,'Data Pura Costos'!E2809))</f>
        <v/>
      </c>
      <c r="F2809" s="5" t="str">
        <f>+IF('Data Pura Costos'!F2809="","",'Data Pura Costos'!F2809)</f>
        <v/>
      </c>
      <c r="G2809" s="5" t="str">
        <f>+IF('Data Pura Costos'!G2809="","",'Data Pura Costos'!G2809)</f>
        <v/>
      </c>
      <c r="H2809" s="52" t="str">
        <f>+IF('Data Pura Costos'!H2809="","",'Data Pura Costos'!H2809)</f>
        <v/>
      </c>
      <c r="I2809" s="71" t="str">
        <f>+IF('Data Pura Costos'!I2809="","",'Data Pura Costos'!I2809)</f>
        <v/>
      </c>
      <c r="J2809" s="52" t="str">
        <f>+IF('Data Pura Costos'!J2809="","",'Data Pura Costos'!J2809)</f>
        <v/>
      </c>
      <c r="K2809" s="82" t="str">
        <f t="shared" si="48"/>
        <v/>
      </c>
    </row>
    <row r="2810" spans="2:11" x14ac:dyDescent="0.35">
      <c r="B2810" s="4" t="str">
        <f>+IF('Data Pura Costos'!B2810="","",'Data Pura Costos'!B2810)</f>
        <v/>
      </c>
      <c r="C2810" s="4" t="str">
        <f>+IF('Data Pura Costos'!C2810="","",'Data Pura Costos'!C2810)</f>
        <v/>
      </c>
      <c r="D2810" s="5" t="str">
        <f>+IF('Data Pura Costos'!D2810="","",'Data Pura Costos'!D2810)</f>
        <v/>
      </c>
      <c r="E2810" s="65" t="str">
        <f>+IF('Data Pura Costos'!E2810="","",IF('Data Pura Costos'!E2810=0,MAX('Data Pura Costos'!$E$7:$E$3000)*1000,'Data Pura Costos'!E2810))</f>
        <v/>
      </c>
      <c r="F2810" s="5" t="str">
        <f>+IF('Data Pura Costos'!F2810="","",'Data Pura Costos'!F2810)</f>
        <v/>
      </c>
      <c r="G2810" s="5" t="str">
        <f>+IF('Data Pura Costos'!G2810="","",'Data Pura Costos'!G2810)</f>
        <v/>
      </c>
      <c r="H2810" s="52" t="str">
        <f>+IF('Data Pura Costos'!H2810="","",'Data Pura Costos'!H2810)</f>
        <v/>
      </c>
      <c r="I2810" s="71" t="str">
        <f>+IF('Data Pura Costos'!I2810="","",'Data Pura Costos'!I2810)</f>
        <v/>
      </c>
      <c r="J2810" s="52" t="str">
        <f>+IF('Data Pura Costos'!J2810="","",'Data Pura Costos'!J2810)</f>
        <v/>
      </c>
      <c r="K2810" s="82" t="str">
        <f t="shared" si="48"/>
        <v/>
      </c>
    </row>
    <row r="2811" spans="2:11" x14ac:dyDescent="0.35">
      <c r="B2811" s="4" t="str">
        <f>+IF('Data Pura Costos'!B2811="","",'Data Pura Costos'!B2811)</f>
        <v/>
      </c>
      <c r="C2811" s="4" t="str">
        <f>+IF('Data Pura Costos'!C2811="","",'Data Pura Costos'!C2811)</f>
        <v/>
      </c>
      <c r="D2811" s="5" t="str">
        <f>+IF('Data Pura Costos'!D2811="","",'Data Pura Costos'!D2811)</f>
        <v/>
      </c>
      <c r="E2811" s="65" t="str">
        <f>+IF('Data Pura Costos'!E2811="","",IF('Data Pura Costos'!E2811=0,MAX('Data Pura Costos'!$E$7:$E$3000)*1000,'Data Pura Costos'!E2811))</f>
        <v/>
      </c>
      <c r="F2811" s="5" t="str">
        <f>+IF('Data Pura Costos'!F2811="","",'Data Pura Costos'!F2811)</f>
        <v/>
      </c>
      <c r="G2811" s="5" t="str">
        <f>+IF('Data Pura Costos'!G2811="","",'Data Pura Costos'!G2811)</f>
        <v/>
      </c>
      <c r="H2811" s="52" t="str">
        <f>+IF('Data Pura Costos'!H2811="","",'Data Pura Costos'!H2811)</f>
        <v/>
      </c>
      <c r="I2811" s="71" t="str">
        <f>+IF('Data Pura Costos'!I2811="","",'Data Pura Costos'!I2811)</f>
        <v/>
      </c>
      <c r="J2811" s="52" t="str">
        <f>+IF('Data Pura Costos'!J2811="","",'Data Pura Costos'!J2811)</f>
        <v/>
      </c>
      <c r="K2811" s="82" t="str">
        <f t="shared" si="48"/>
        <v/>
      </c>
    </row>
    <row r="2812" spans="2:11" x14ac:dyDescent="0.35">
      <c r="B2812" s="4" t="str">
        <f>+IF('Data Pura Costos'!B2812="","",'Data Pura Costos'!B2812)</f>
        <v/>
      </c>
      <c r="C2812" s="4" t="str">
        <f>+IF('Data Pura Costos'!C2812="","",'Data Pura Costos'!C2812)</f>
        <v/>
      </c>
      <c r="D2812" s="5" t="str">
        <f>+IF('Data Pura Costos'!D2812="","",'Data Pura Costos'!D2812)</f>
        <v/>
      </c>
      <c r="E2812" s="65" t="str">
        <f>+IF('Data Pura Costos'!E2812="","",IF('Data Pura Costos'!E2812=0,MAX('Data Pura Costos'!$E$7:$E$3000)*1000,'Data Pura Costos'!E2812))</f>
        <v/>
      </c>
      <c r="F2812" s="5" t="str">
        <f>+IF('Data Pura Costos'!F2812="","",'Data Pura Costos'!F2812)</f>
        <v/>
      </c>
      <c r="G2812" s="5" t="str">
        <f>+IF('Data Pura Costos'!G2812="","",'Data Pura Costos'!G2812)</f>
        <v/>
      </c>
      <c r="H2812" s="52" t="str">
        <f>+IF('Data Pura Costos'!H2812="","",'Data Pura Costos'!H2812)</f>
        <v/>
      </c>
      <c r="I2812" s="71" t="str">
        <f>+IF('Data Pura Costos'!I2812="","",'Data Pura Costos'!I2812)</f>
        <v/>
      </c>
      <c r="J2812" s="52" t="str">
        <f>+IF('Data Pura Costos'!J2812="","",'Data Pura Costos'!J2812)</f>
        <v/>
      </c>
      <c r="K2812" s="82" t="str">
        <f t="shared" ref="K2812:K2875" si="49">+IF(B2812="","",CONCATENATE(B2812,"-",F2812,"-",G2812))</f>
        <v/>
      </c>
    </row>
    <row r="2813" spans="2:11" x14ac:dyDescent="0.35">
      <c r="B2813" s="4" t="str">
        <f>+IF('Data Pura Costos'!B2813="","",'Data Pura Costos'!B2813)</f>
        <v/>
      </c>
      <c r="C2813" s="4" t="str">
        <f>+IF('Data Pura Costos'!C2813="","",'Data Pura Costos'!C2813)</f>
        <v/>
      </c>
      <c r="D2813" s="5" t="str">
        <f>+IF('Data Pura Costos'!D2813="","",'Data Pura Costos'!D2813)</f>
        <v/>
      </c>
      <c r="E2813" s="65" t="str">
        <f>+IF('Data Pura Costos'!E2813="","",IF('Data Pura Costos'!E2813=0,MAX('Data Pura Costos'!$E$7:$E$3000)*1000,'Data Pura Costos'!E2813))</f>
        <v/>
      </c>
      <c r="F2813" s="5" t="str">
        <f>+IF('Data Pura Costos'!F2813="","",'Data Pura Costos'!F2813)</f>
        <v/>
      </c>
      <c r="G2813" s="5" t="str">
        <f>+IF('Data Pura Costos'!G2813="","",'Data Pura Costos'!G2813)</f>
        <v/>
      </c>
      <c r="H2813" s="52" t="str">
        <f>+IF('Data Pura Costos'!H2813="","",'Data Pura Costos'!H2813)</f>
        <v/>
      </c>
      <c r="I2813" s="71" t="str">
        <f>+IF('Data Pura Costos'!I2813="","",'Data Pura Costos'!I2813)</f>
        <v/>
      </c>
      <c r="J2813" s="52" t="str">
        <f>+IF('Data Pura Costos'!J2813="","",'Data Pura Costos'!J2813)</f>
        <v/>
      </c>
      <c r="K2813" s="82" t="str">
        <f t="shared" si="49"/>
        <v/>
      </c>
    </row>
    <row r="2814" spans="2:11" x14ac:dyDescent="0.35">
      <c r="B2814" s="4" t="str">
        <f>+IF('Data Pura Costos'!B2814="","",'Data Pura Costos'!B2814)</f>
        <v/>
      </c>
      <c r="C2814" s="4" t="str">
        <f>+IF('Data Pura Costos'!C2814="","",'Data Pura Costos'!C2814)</f>
        <v/>
      </c>
      <c r="D2814" s="5" t="str">
        <f>+IF('Data Pura Costos'!D2814="","",'Data Pura Costos'!D2814)</f>
        <v/>
      </c>
      <c r="E2814" s="65" t="str">
        <f>+IF('Data Pura Costos'!E2814="","",IF('Data Pura Costos'!E2814=0,MAX('Data Pura Costos'!$E$7:$E$3000)*1000,'Data Pura Costos'!E2814))</f>
        <v/>
      </c>
      <c r="F2814" s="5" t="str">
        <f>+IF('Data Pura Costos'!F2814="","",'Data Pura Costos'!F2814)</f>
        <v/>
      </c>
      <c r="G2814" s="5" t="str">
        <f>+IF('Data Pura Costos'!G2814="","",'Data Pura Costos'!G2814)</f>
        <v/>
      </c>
      <c r="H2814" s="52" t="str">
        <f>+IF('Data Pura Costos'!H2814="","",'Data Pura Costos'!H2814)</f>
        <v/>
      </c>
      <c r="I2814" s="71" t="str">
        <f>+IF('Data Pura Costos'!I2814="","",'Data Pura Costos'!I2814)</f>
        <v/>
      </c>
      <c r="J2814" s="52" t="str">
        <f>+IF('Data Pura Costos'!J2814="","",'Data Pura Costos'!J2814)</f>
        <v/>
      </c>
      <c r="K2814" s="82" t="str">
        <f t="shared" si="49"/>
        <v/>
      </c>
    </row>
    <row r="2815" spans="2:11" x14ac:dyDescent="0.35">
      <c r="B2815" s="4" t="str">
        <f>+IF('Data Pura Costos'!B2815="","",'Data Pura Costos'!B2815)</f>
        <v/>
      </c>
      <c r="C2815" s="4" t="str">
        <f>+IF('Data Pura Costos'!C2815="","",'Data Pura Costos'!C2815)</f>
        <v/>
      </c>
      <c r="D2815" s="5" t="str">
        <f>+IF('Data Pura Costos'!D2815="","",'Data Pura Costos'!D2815)</f>
        <v/>
      </c>
      <c r="E2815" s="65" t="str">
        <f>+IF('Data Pura Costos'!E2815="","",IF('Data Pura Costos'!E2815=0,MAX('Data Pura Costos'!$E$7:$E$3000)*1000,'Data Pura Costos'!E2815))</f>
        <v/>
      </c>
      <c r="F2815" s="5" t="str">
        <f>+IF('Data Pura Costos'!F2815="","",'Data Pura Costos'!F2815)</f>
        <v/>
      </c>
      <c r="G2815" s="5" t="str">
        <f>+IF('Data Pura Costos'!G2815="","",'Data Pura Costos'!G2815)</f>
        <v/>
      </c>
      <c r="H2815" s="52" t="str">
        <f>+IF('Data Pura Costos'!H2815="","",'Data Pura Costos'!H2815)</f>
        <v/>
      </c>
      <c r="I2815" s="71" t="str">
        <f>+IF('Data Pura Costos'!I2815="","",'Data Pura Costos'!I2815)</f>
        <v/>
      </c>
      <c r="J2815" s="52" t="str">
        <f>+IF('Data Pura Costos'!J2815="","",'Data Pura Costos'!J2815)</f>
        <v/>
      </c>
      <c r="K2815" s="82" t="str">
        <f t="shared" si="49"/>
        <v/>
      </c>
    </row>
    <row r="2816" spans="2:11" x14ac:dyDescent="0.35">
      <c r="B2816" s="4" t="str">
        <f>+IF('Data Pura Costos'!B2816="","",'Data Pura Costos'!B2816)</f>
        <v/>
      </c>
      <c r="C2816" s="4" t="str">
        <f>+IF('Data Pura Costos'!C2816="","",'Data Pura Costos'!C2816)</f>
        <v/>
      </c>
      <c r="D2816" s="5" t="str">
        <f>+IF('Data Pura Costos'!D2816="","",'Data Pura Costos'!D2816)</f>
        <v/>
      </c>
      <c r="E2816" s="65" t="str">
        <f>+IF('Data Pura Costos'!E2816="","",IF('Data Pura Costos'!E2816=0,MAX('Data Pura Costos'!$E$7:$E$3000)*1000,'Data Pura Costos'!E2816))</f>
        <v/>
      </c>
      <c r="F2816" s="5" t="str">
        <f>+IF('Data Pura Costos'!F2816="","",'Data Pura Costos'!F2816)</f>
        <v/>
      </c>
      <c r="G2816" s="5" t="str">
        <f>+IF('Data Pura Costos'!G2816="","",'Data Pura Costos'!G2816)</f>
        <v/>
      </c>
      <c r="H2816" s="52" t="str">
        <f>+IF('Data Pura Costos'!H2816="","",'Data Pura Costos'!H2816)</f>
        <v/>
      </c>
      <c r="I2816" s="71" t="str">
        <f>+IF('Data Pura Costos'!I2816="","",'Data Pura Costos'!I2816)</f>
        <v/>
      </c>
      <c r="J2816" s="52" t="str">
        <f>+IF('Data Pura Costos'!J2816="","",'Data Pura Costos'!J2816)</f>
        <v/>
      </c>
      <c r="K2816" s="82" t="str">
        <f t="shared" si="49"/>
        <v/>
      </c>
    </row>
    <row r="2817" spans="2:11" x14ac:dyDescent="0.35">
      <c r="B2817" s="4" t="str">
        <f>+IF('Data Pura Costos'!B2817="","",'Data Pura Costos'!B2817)</f>
        <v/>
      </c>
      <c r="C2817" s="4" t="str">
        <f>+IF('Data Pura Costos'!C2817="","",'Data Pura Costos'!C2817)</f>
        <v/>
      </c>
      <c r="D2817" s="5" t="str">
        <f>+IF('Data Pura Costos'!D2817="","",'Data Pura Costos'!D2817)</f>
        <v/>
      </c>
      <c r="E2817" s="65" t="str">
        <f>+IF('Data Pura Costos'!E2817="","",IF('Data Pura Costos'!E2817=0,MAX('Data Pura Costos'!$E$7:$E$3000)*1000,'Data Pura Costos'!E2817))</f>
        <v/>
      </c>
      <c r="F2817" s="5" t="str">
        <f>+IF('Data Pura Costos'!F2817="","",'Data Pura Costos'!F2817)</f>
        <v/>
      </c>
      <c r="G2817" s="5" t="str">
        <f>+IF('Data Pura Costos'!G2817="","",'Data Pura Costos'!G2817)</f>
        <v/>
      </c>
      <c r="H2817" s="52" t="str">
        <f>+IF('Data Pura Costos'!H2817="","",'Data Pura Costos'!H2817)</f>
        <v/>
      </c>
      <c r="I2817" s="71" t="str">
        <f>+IF('Data Pura Costos'!I2817="","",'Data Pura Costos'!I2817)</f>
        <v/>
      </c>
      <c r="J2817" s="52" t="str">
        <f>+IF('Data Pura Costos'!J2817="","",'Data Pura Costos'!J2817)</f>
        <v/>
      </c>
      <c r="K2817" s="82" t="str">
        <f t="shared" si="49"/>
        <v/>
      </c>
    </row>
    <row r="2818" spans="2:11" x14ac:dyDescent="0.35">
      <c r="B2818" s="4" t="str">
        <f>+IF('Data Pura Costos'!B2818="","",'Data Pura Costos'!B2818)</f>
        <v/>
      </c>
      <c r="C2818" s="4" t="str">
        <f>+IF('Data Pura Costos'!C2818="","",'Data Pura Costos'!C2818)</f>
        <v/>
      </c>
      <c r="D2818" s="5" t="str">
        <f>+IF('Data Pura Costos'!D2818="","",'Data Pura Costos'!D2818)</f>
        <v/>
      </c>
      <c r="E2818" s="65" t="str">
        <f>+IF('Data Pura Costos'!E2818="","",IF('Data Pura Costos'!E2818=0,MAX('Data Pura Costos'!$E$7:$E$3000)*1000,'Data Pura Costos'!E2818))</f>
        <v/>
      </c>
      <c r="F2818" s="5" t="str">
        <f>+IF('Data Pura Costos'!F2818="","",'Data Pura Costos'!F2818)</f>
        <v/>
      </c>
      <c r="G2818" s="5" t="str">
        <f>+IF('Data Pura Costos'!G2818="","",'Data Pura Costos'!G2818)</f>
        <v/>
      </c>
      <c r="H2818" s="52" t="str">
        <f>+IF('Data Pura Costos'!H2818="","",'Data Pura Costos'!H2818)</f>
        <v/>
      </c>
      <c r="I2818" s="71" t="str">
        <f>+IF('Data Pura Costos'!I2818="","",'Data Pura Costos'!I2818)</f>
        <v/>
      </c>
      <c r="J2818" s="52" t="str">
        <f>+IF('Data Pura Costos'!J2818="","",'Data Pura Costos'!J2818)</f>
        <v/>
      </c>
      <c r="K2818" s="82" t="str">
        <f t="shared" si="49"/>
        <v/>
      </c>
    </row>
    <row r="2819" spans="2:11" x14ac:dyDescent="0.35">
      <c r="B2819" s="4" t="str">
        <f>+IF('Data Pura Costos'!B2819="","",'Data Pura Costos'!B2819)</f>
        <v/>
      </c>
      <c r="C2819" s="4" t="str">
        <f>+IF('Data Pura Costos'!C2819="","",'Data Pura Costos'!C2819)</f>
        <v/>
      </c>
      <c r="D2819" s="5" t="str">
        <f>+IF('Data Pura Costos'!D2819="","",'Data Pura Costos'!D2819)</f>
        <v/>
      </c>
      <c r="E2819" s="65" t="str">
        <f>+IF('Data Pura Costos'!E2819="","",IF('Data Pura Costos'!E2819=0,MAX('Data Pura Costos'!$E$7:$E$3000)*1000,'Data Pura Costos'!E2819))</f>
        <v/>
      </c>
      <c r="F2819" s="5" t="str">
        <f>+IF('Data Pura Costos'!F2819="","",'Data Pura Costos'!F2819)</f>
        <v/>
      </c>
      <c r="G2819" s="5" t="str">
        <f>+IF('Data Pura Costos'!G2819="","",'Data Pura Costos'!G2819)</f>
        <v/>
      </c>
      <c r="H2819" s="52" t="str">
        <f>+IF('Data Pura Costos'!H2819="","",'Data Pura Costos'!H2819)</f>
        <v/>
      </c>
      <c r="I2819" s="71" t="str">
        <f>+IF('Data Pura Costos'!I2819="","",'Data Pura Costos'!I2819)</f>
        <v/>
      </c>
      <c r="J2819" s="52" t="str">
        <f>+IF('Data Pura Costos'!J2819="","",'Data Pura Costos'!J2819)</f>
        <v/>
      </c>
      <c r="K2819" s="82" t="str">
        <f t="shared" si="49"/>
        <v/>
      </c>
    </row>
    <row r="2820" spans="2:11" x14ac:dyDescent="0.35">
      <c r="B2820" s="4" t="str">
        <f>+IF('Data Pura Costos'!B2820="","",'Data Pura Costos'!B2820)</f>
        <v/>
      </c>
      <c r="C2820" s="4" t="str">
        <f>+IF('Data Pura Costos'!C2820="","",'Data Pura Costos'!C2820)</f>
        <v/>
      </c>
      <c r="D2820" s="5" t="str">
        <f>+IF('Data Pura Costos'!D2820="","",'Data Pura Costos'!D2820)</f>
        <v/>
      </c>
      <c r="E2820" s="65" t="str">
        <f>+IF('Data Pura Costos'!E2820="","",IF('Data Pura Costos'!E2820=0,MAX('Data Pura Costos'!$E$7:$E$3000)*1000,'Data Pura Costos'!E2820))</f>
        <v/>
      </c>
      <c r="F2820" s="5" t="str">
        <f>+IF('Data Pura Costos'!F2820="","",'Data Pura Costos'!F2820)</f>
        <v/>
      </c>
      <c r="G2820" s="5" t="str">
        <f>+IF('Data Pura Costos'!G2820="","",'Data Pura Costos'!G2820)</f>
        <v/>
      </c>
      <c r="H2820" s="52" t="str">
        <f>+IF('Data Pura Costos'!H2820="","",'Data Pura Costos'!H2820)</f>
        <v/>
      </c>
      <c r="I2820" s="71" t="str">
        <f>+IF('Data Pura Costos'!I2820="","",'Data Pura Costos'!I2820)</f>
        <v/>
      </c>
      <c r="J2820" s="52" t="str">
        <f>+IF('Data Pura Costos'!J2820="","",'Data Pura Costos'!J2820)</f>
        <v/>
      </c>
      <c r="K2820" s="82" t="str">
        <f t="shared" si="49"/>
        <v/>
      </c>
    </row>
    <row r="2821" spans="2:11" x14ac:dyDescent="0.35">
      <c r="B2821" s="4" t="str">
        <f>+IF('Data Pura Costos'!B2821="","",'Data Pura Costos'!B2821)</f>
        <v/>
      </c>
      <c r="C2821" s="4" t="str">
        <f>+IF('Data Pura Costos'!C2821="","",'Data Pura Costos'!C2821)</f>
        <v/>
      </c>
      <c r="D2821" s="5" t="str">
        <f>+IF('Data Pura Costos'!D2821="","",'Data Pura Costos'!D2821)</f>
        <v/>
      </c>
      <c r="E2821" s="65" t="str">
        <f>+IF('Data Pura Costos'!E2821="","",IF('Data Pura Costos'!E2821=0,MAX('Data Pura Costos'!$E$7:$E$3000)*1000,'Data Pura Costos'!E2821))</f>
        <v/>
      </c>
      <c r="F2821" s="5" t="str">
        <f>+IF('Data Pura Costos'!F2821="","",'Data Pura Costos'!F2821)</f>
        <v/>
      </c>
      <c r="G2821" s="5" t="str">
        <f>+IF('Data Pura Costos'!G2821="","",'Data Pura Costos'!G2821)</f>
        <v/>
      </c>
      <c r="H2821" s="52" t="str">
        <f>+IF('Data Pura Costos'!H2821="","",'Data Pura Costos'!H2821)</f>
        <v/>
      </c>
      <c r="I2821" s="71" t="str">
        <f>+IF('Data Pura Costos'!I2821="","",'Data Pura Costos'!I2821)</f>
        <v/>
      </c>
      <c r="J2821" s="52" t="str">
        <f>+IF('Data Pura Costos'!J2821="","",'Data Pura Costos'!J2821)</f>
        <v/>
      </c>
      <c r="K2821" s="82" t="str">
        <f t="shared" si="49"/>
        <v/>
      </c>
    </row>
    <row r="2822" spans="2:11" x14ac:dyDescent="0.35">
      <c r="B2822" s="4" t="str">
        <f>+IF('Data Pura Costos'!B2822="","",'Data Pura Costos'!B2822)</f>
        <v/>
      </c>
      <c r="C2822" s="4" t="str">
        <f>+IF('Data Pura Costos'!C2822="","",'Data Pura Costos'!C2822)</f>
        <v/>
      </c>
      <c r="D2822" s="5" t="str">
        <f>+IF('Data Pura Costos'!D2822="","",'Data Pura Costos'!D2822)</f>
        <v/>
      </c>
      <c r="E2822" s="65" t="str">
        <f>+IF('Data Pura Costos'!E2822="","",IF('Data Pura Costos'!E2822=0,MAX('Data Pura Costos'!$E$7:$E$3000)*1000,'Data Pura Costos'!E2822))</f>
        <v/>
      </c>
      <c r="F2822" s="5" t="str">
        <f>+IF('Data Pura Costos'!F2822="","",'Data Pura Costos'!F2822)</f>
        <v/>
      </c>
      <c r="G2822" s="5" t="str">
        <f>+IF('Data Pura Costos'!G2822="","",'Data Pura Costos'!G2822)</f>
        <v/>
      </c>
      <c r="H2822" s="52" t="str">
        <f>+IF('Data Pura Costos'!H2822="","",'Data Pura Costos'!H2822)</f>
        <v/>
      </c>
      <c r="I2822" s="71" t="str">
        <f>+IF('Data Pura Costos'!I2822="","",'Data Pura Costos'!I2822)</f>
        <v/>
      </c>
      <c r="J2822" s="52" t="str">
        <f>+IF('Data Pura Costos'!J2822="","",'Data Pura Costos'!J2822)</f>
        <v/>
      </c>
      <c r="K2822" s="82" t="str">
        <f t="shared" si="49"/>
        <v/>
      </c>
    </row>
    <row r="2823" spans="2:11" x14ac:dyDescent="0.35">
      <c r="B2823" s="4" t="str">
        <f>+IF('Data Pura Costos'!B2823="","",'Data Pura Costos'!B2823)</f>
        <v/>
      </c>
      <c r="C2823" s="4" t="str">
        <f>+IF('Data Pura Costos'!C2823="","",'Data Pura Costos'!C2823)</f>
        <v/>
      </c>
      <c r="D2823" s="5" t="str">
        <f>+IF('Data Pura Costos'!D2823="","",'Data Pura Costos'!D2823)</f>
        <v/>
      </c>
      <c r="E2823" s="65" t="str">
        <f>+IF('Data Pura Costos'!E2823="","",IF('Data Pura Costos'!E2823=0,MAX('Data Pura Costos'!$E$7:$E$3000)*1000,'Data Pura Costos'!E2823))</f>
        <v/>
      </c>
      <c r="F2823" s="5" t="str">
        <f>+IF('Data Pura Costos'!F2823="","",'Data Pura Costos'!F2823)</f>
        <v/>
      </c>
      <c r="G2823" s="5" t="str">
        <f>+IF('Data Pura Costos'!G2823="","",'Data Pura Costos'!G2823)</f>
        <v/>
      </c>
      <c r="H2823" s="52" t="str">
        <f>+IF('Data Pura Costos'!H2823="","",'Data Pura Costos'!H2823)</f>
        <v/>
      </c>
      <c r="I2823" s="71" t="str">
        <f>+IF('Data Pura Costos'!I2823="","",'Data Pura Costos'!I2823)</f>
        <v/>
      </c>
      <c r="J2823" s="52" t="str">
        <f>+IF('Data Pura Costos'!J2823="","",'Data Pura Costos'!J2823)</f>
        <v/>
      </c>
      <c r="K2823" s="82" t="str">
        <f t="shared" si="49"/>
        <v/>
      </c>
    </row>
    <row r="2824" spans="2:11" x14ac:dyDescent="0.35">
      <c r="B2824" s="4" t="str">
        <f>+IF('Data Pura Costos'!B2824="","",'Data Pura Costos'!B2824)</f>
        <v/>
      </c>
      <c r="C2824" s="4" t="str">
        <f>+IF('Data Pura Costos'!C2824="","",'Data Pura Costos'!C2824)</f>
        <v/>
      </c>
      <c r="D2824" s="5" t="str">
        <f>+IF('Data Pura Costos'!D2824="","",'Data Pura Costos'!D2824)</f>
        <v/>
      </c>
      <c r="E2824" s="65" t="str">
        <f>+IF('Data Pura Costos'!E2824="","",IF('Data Pura Costos'!E2824=0,MAX('Data Pura Costos'!$E$7:$E$3000)*1000,'Data Pura Costos'!E2824))</f>
        <v/>
      </c>
      <c r="F2824" s="5" t="str">
        <f>+IF('Data Pura Costos'!F2824="","",'Data Pura Costos'!F2824)</f>
        <v/>
      </c>
      <c r="G2824" s="5" t="str">
        <f>+IF('Data Pura Costos'!G2824="","",'Data Pura Costos'!G2824)</f>
        <v/>
      </c>
      <c r="H2824" s="52" t="str">
        <f>+IF('Data Pura Costos'!H2824="","",'Data Pura Costos'!H2824)</f>
        <v/>
      </c>
      <c r="I2824" s="71" t="str">
        <f>+IF('Data Pura Costos'!I2824="","",'Data Pura Costos'!I2824)</f>
        <v/>
      </c>
      <c r="J2824" s="52" t="str">
        <f>+IF('Data Pura Costos'!J2824="","",'Data Pura Costos'!J2824)</f>
        <v/>
      </c>
      <c r="K2824" s="82" t="str">
        <f t="shared" si="49"/>
        <v/>
      </c>
    </row>
    <row r="2825" spans="2:11" x14ac:dyDescent="0.35">
      <c r="B2825" s="4" t="str">
        <f>+IF('Data Pura Costos'!B2825="","",'Data Pura Costos'!B2825)</f>
        <v/>
      </c>
      <c r="C2825" s="4" t="str">
        <f>+IF('Data Pura Costos'!C2825="","",'Data Pura Costos'!C2825)</f>
        <v/>
      </c>
      <c r="D2825" s="5" t="str">
        <f>+IF('Data Pura Costos'!D2825="","",'Data Pura Costos'!D2825)</f>
        <v/>
      </c>
      <c r="E2825" s="65" t="str">
        <f>+IF('Data Pura Costos'!E2825="","",IF('Data Pura Costos'!E2825=0,MAX('Data Pura Costos'!$E$7:$E$3000)*1000,'Data Pura Costos'!E2825))</f>
        <v/>
      </c>
      <c r="F2825" s="5" t="str">
        <f>+IF('Data Pura Costos'!F2825="","",'Data Pura Costos'!F2825)</f>
        <v/>
      </c>
      <c r="G2825" s="5" t="str">
        <f>+IF('Data Pura Costos'!G2825="","",'Data Pura Costos'!G2825)</f>
        <v/>
      </c>
      <c r="H2825" s="52" t="str">
        <f>+IF('Data Pura Costos'!H2825="","",'Data Pura Costos'!H2825)</f>
        <v/>
      </c>
      <c r="I2825" s="71" t="str">
        <f>+IF('Data Pura Costos'!I2825="","",'Data Pura Costos'!I2825)</f>
        <v/>
      </c>
      <c r="J2825" s="52" t="str">
        <f>+IF('Data Pura Costos'!J2825="","",'Data Pura Costos'!J2825)</f>
        <v/>
      </c>
      <c r="K2825" s="82" t="str">
        <f t="shared" si="49"/>
        <v/>
      </c>
    </row>
    <row r="2826" spans="2:11" x14ac:dyDescent="0.35">
      <c r="B2826" s="4" t="str">
        <f>+IF('Data Pura Costos'!B2826="","",'Data Pura Costos'!B2826)</f>
        <v/>
      </c>
      <c r="C2826" s="4" t="str">
        <f>+IF('Data Pura Costos'!C2826="","",'Data Pura Costos'!C2826)</f>
        <v/>
      </c>
      <c r="D2826" s="5" t="str">
        <f>+IF('Data Pura Costos'!D2826="","",'Data Pura Costos'!D2826)</f>
        <v/>
      </c>
      <c r="E2826" s="65" t="str">
        <f>+IF('Data Pura Costos'!E2826="","",IF('Data Pura Costos'!E2826=0,MAX('Data Pura Costos'!$E$7:$E$3000)*1000,'Data Pura Costos'!E2826))</f>
        <v/>
      </c>
      <c r="F2826" s="5" t="str">
        <f>+IF('Data Pura Costos'!F2826="","",'Data Pura Costos'!F2826)</f>
        <v/>
      </c>
      <c r="G2826" s="5" t="str">
        <f>+IF('Data Pura Costos'!G2826="","",'Data Pura Costos'!G2826)</f>
        <v/>
      </c>
      <c r="H2826" s="52" t="str">
        <f>+IF('Data Pura Costos'!H2826="","",'Data Pura Costos'!H2826)</f>
        <v/>
      </c>
      <c r="I2826" s="71" t="str">
        <f>+IF('Data Pura Costos'!I2826="","",'Data Pura Costos'!I2826)</f>
        <v/>
      </c>
      <c r="J2826" s="52" t="str">
        <f>+IF('Data Pura Costos'!J2826="","",'Data Pura Costos'!J2826)</f>
        <v/>
      </c>
      <c r="K2826" s="82" t="str">
        <f t="shared" si="49"/>
        <v/>
      </c>
    </row>
    <row r="2827" spans="2:11" x14ac:dyDescent="0.35">
      <c r="B2827" s="4" t="str">
        <f>+IF('Data Pura Costos'!B2827="","",'Data Pura Costos'!B2827)</f>
        <v/>
      </c>
      <c r="C2827" s="4" t="str">
        <f>+IF('Data Pura Costos'!C2827="","",'Data Pura Costos'!C2827)</f>
        <v/>
      </c>
      <c r="D2827" s="5" t="str">
        <f>+IF('Data Pura Costos'!D2827="","",'Data Pura Costos'!D2827)</f>
        <v/>
      </c>
      <c r="E2827" s="65" t="str">
        <f>+IF('Data Pura Costos'!E2827="","",IF('Data Pura Costos'!E2827=0,MAX('Data Pura Costos'!$E$7:$E$3000)*1000,'Data Pura Costos'!E2827))</f>
        <v/>
      </c>
      <c r="F2827" s="5" t="str">
        <f>+IF('Data Pura Costos'!F2827="","",'Data Pura Costos'!F2827)</f>
        <v/>
      </c>
      <c r="G2827" s="5" t="str">
        <f>+IF('Data Pura Costos'!G2827="","",'Data Pura Costos'!G2827)</f>
        <v/>
      </c>
      <c r="H2827" s="52" t="str">
        <f>+IF('Data Pura Costos'!H2827="","",'Data Pura Costos'!H2827)</f>
        <v/>
      </c>
      <c r="I2827" s="71" t="str">
        <f>+IF('Data Pura Costos'!I2827="","",'Data Pura Costos'!I2827)</f>
        <v/>
      </c>
      <c r="J2827" s="52" t="str">
        <f>+IF('Data Pura Costos'!J2827="","",'Data Pura Costos'!J2827)</f>
        <v/>
      </c>
      <c r="K2827" s="82" t="str">
        <f t="shared" si="49"/>
        <v/>
      </c>
    </row>
    <row r="2828" spans="2:11" x14ac:dyDescent="0.35">
      <c r="B2828" s="4" t="str">
        <f>+IF('Data Pura Costos'!B2828="","",'Data Pura Costos'!B2828)</f>
        <v/>
      </c>
      <c r="C2828" s="4" t="str">
        <f>+IF('Data Pura Costos'!C2828="","",'Data Pura Costos'!C2828)</f>
        <v/>
      </c>
      <c r="D2828" s="5" t="str">
        <f>+IF('Data Pura Costos'!D2828="","",'Data Pura Costos'!D2828)</f>
        <v/>
      </c>
      <c r="E2828" s="65" t="str">
        <f>+IF('Data Pura Costos'!E2828="","",IF('Data Pura Costos'!E2828=0,MAX('Data Pura Costos'!$E$7:$E$3000)*1000,'Data Pura Costos'!E2828))</f>
        <v/>
      </c>
      <c r="F2828" s="5" t="str">
        <f>+IF('Data Pura Costos'!F2828="","",'Data Pura Costos'!F2828)</f>
        <v/>
      </c>
      <c r="G2828" s="5" t="str">
        <f>+IF('Data Pura Costos'!G2828="","",'Data Pura Costos'!G2828)</f>
        <v/>
      </c>
      <c r="H2828" s="52" t="str">
        <f>+IF('Data Pura Costos'!H2828="","",'Data Pura Costos'!H2828)</f>
        <v/>
      </c>
      <c r="I2828" s="71" t="str">
        <f>+IF('Data Pura Costos'!I2828="","",'Data Pura Costos'!I2828)</f>
        <v/>
      </c>
      <c r="J2828" s="52" t="str">
        <f>+IF('Data Pura Costos'!J2828="","",'Data Pura Costos'!J2828)</f>
        <v/>
      </c>
      <c r="K2828" s="82" t="str">
        <f t="shared" si="49"/>
        <v/>
      </c>
    </row>
    <row r="2829" spans="2:11" x14ac:dyDescent="0.35">
      <c r="B2829" s="4" t="str">
        <f>+IF('Data Pura Costos'!B2829="","",'Data Pura Costos'!B2829)</f>
        <v/>
      </c>
      <c r="C2829" s="4" t="str">
        <f>+IF('Data Pura Costos'!C2829="","",'Data Pura Costos'!C2829)</f>
        <v/>
      </c>
      <c r="D2829" s="5" t="str">
        <f>+IF('Data Pura Costos'!D2829="","",'Data Pura Costos'!D2829)</f>
        <v/>
      </c>
      <c r="E2829" s="65" t="str">
        <f>+IF('Data Pura Costos'!E2829="","",IF('Data Pura Costos'!E2829=0,MAX('Data Pura Costos'!$E$7:$E$3000)*1000,'Data Pura Costos'!E2829))</f>
        <v/>
      </c>
      <c r="F2829" s="5" t="str">
        <f>+IF('Data Pura Costos'!F2829="","",'Data Pura Costos'!F2829)</f>
        <v/>
      </c>
      <c r="G2829" s="5" t="str">
        <f>+IF('Data Pura Costos'!G2829="","",'Data Pura Costos'!G2829)</f>
        <v/>
      </c>
      <c r="H2829" s="52" t="str">
        <f>+IF('Data Pura Costos'!H2829="","",'Data Pura Costos'!H2829)</f>
        <v/>
      </c>
      <c r="I2829" s="71" t="str">
        <f>+IF('Data Pura Costos'!I2829="","",'Data Pura Costos'!I2829)</f>
        <v/>
      </c>
      <c r="J2829" s="52" t="str">
        <f>+IF('Data Pura Costos'!J2829="","",'Data Pura Costos'!J2829)</f>
        <v/>
      </c>
      <c r="K2829" s="82" t="str">
        <f t="shared" si="49"/>
        <v/>
      </c>
    </row>
    <row r="2830" spans="2:11" x14ac:dyDescent="0.35">
      <c r="B2830" s="4" t="str">
        <f>+IF('Data Pura Costos'!B2830="","",'Data Pura Costos'!B2830)</f>
        <v/>
      </c>
      <c r="C2830" s="4" t="str">
        <f>+IF('Data Pura Costos'!C2830="","",'Data Pura Costos'!C2830)</f>
        <v/>
      </c>
      <c r="D2830" s="5" t="str">
        <f>+IF('Data Pura Costos'!D2830="","",'Data Pura Costos'!D2830)</f>
        <v/>
      </c>
      <c r="E2830" s="65" t="str">
        <f>+IF('Data Pura Costos'!E2830="","",IF('Data Pura Costos'!E2830=0,MAX('Data Pura Costos'!$E$7:$E$3000)*1000,'Data Pura Costos'!E2830))</f>
        <v/>
      </c>
      <c r="F2830" s="5" t="str">
        <f>+IF('Data Pura Costos'!F2830="","",'Data Pura Costos'!F2830)</f>
        <v/>
      </c>
      <c r="G2830" s="5" t="str">
        <f>+IF('Data Pura Costos'!G2830="","",'Data Pura Costos'!G2830)</f>
        <v/>
      </c>
      <c r="H2830" s="52" t="str">
        <f>+IF('Data Pura Costos'!H2830="","",'Data Pura Costos'!H2830)</f>
        <v/>
      </c>
      <c r="I2830" s="71" t="str">
        <f>+IF('Data Pura Costos'!I2830="","",'Data Pura Costos'!I2830)</f>
        <v/>
      </c>
      <c r="J2830" s="52" t="str">
        <f>+IF('Data Pura Costos'!J2830="","",'Data Pura Costos'!J2830)</f>
        <v/>
      </c>
      <c r="K2830" s="82" t="str">
        <f t="shared" si="49"/>
        <v/>
      </c>
    </row>
    <row r="2831" spans="2:11" x14ac:dyDescent="0.35">
      <c r="B2831" s="4" t="str">
        <f>+IF('Data Pura Costos'!B2831="","",'Data Pura Costos'!B2831)</f>
        <v/>
      </c>
      <c r="C2831" s="4" t="str">
        <f>+IF('Data Pura Costos'!C2831="","",'Data Pura Costos'!C2831)</f>
        <v/>
      </c>
      <c r="D2831" s="5" t="str">
        <f>+IF('Data Pura Costos'!D2831="","",'Data Pura Costos'!D2831)</f>
        <v/>
      </c>
      <c r="E2831" s="65" t="str">
        <f>+IF('Data Pura Costos'!E2831="","",IF('Data Pura Costos'!E2831=0,MAX('Data Pura Costos'!$E$7:$E$3000)*1000,'Data Pura Costos'!E2831))</f>
        <v/>
      </c>
      <c r="F2831" s="5" t="str">
        <f>+IF('Data Pura Costos'!F2831="","",'Data Pura Costos'!F2831)</f>
        <v/>
      </c>
      <c r="G2831" s="5" t="str">
        <f>+IF('Data Pura Costos'!G2831="","",'Data Pura Costos'!G2831)</f>
        <v/>
      </c>
      <c r="H2831" s="52" t="str">
        <f>+IF('Data Pura Costos'!H2831="","",'Data Pura Costos'!H2831)</f>
        <v/>
      </c>
      <c r="I2831" s="71" t="str">
        <f>+IF('Data Pura Costos'!I2831="","",'Data Pura Costos'!I2831)</f>
        <v/>
      </c>
      <c r="J2831" s="52" t="str">
        <f>+IF('Data Pura Costos'!J2831="","",'Data Pura Costos'!J2831)</f>
        <v/>
      </c>
      <c r="K2831" s="82" t="str">
        <f t="shared" si="49"/>
        <v/>
      </c>
    </row>
    <row r="2832" spans="2:11" x14ac:dyDescent="0.35">
      <c r="B2832" s="4" t="str">
        <f>+IF('Data Pura Costos'!B2832="","",'Data Pura Costos'!B2832)</f>
        <v/>
      </c>
      <c r="C2832" s="4" t="str">
        <f>+IF('Data Pura Costos'!C2832="","",'Data Pura Costos'!C2832)</f>
        <v/>
      </c>
      <c r="D2832" s="5" t="str">
        <f>+IF('Data Pura Costos'!D2832="","",'Data Pura Costos'!D2832)</f>
        <v/>
      </c>
      <c r="E2832" s="65" t="str">
        <f>+IF('Data Pura Costos'!E2832="","",IF('Data Pura Costos'!E2832=0,MAX('Data Pura Costos'!$E$7:$E$3000)*1000,'Data Pura Costos'!E2832))</f>
        <v/>
      </c>
      <c r="F2832" s="5" t="str">
        <f>+IF('Data Pura Costos'!F2832="","",'Data Pura Costos'!F2832)</f>
        <v/>
      </c>
      <c r="G2832" s="5" t="str">
        <f>+IF('Data Pura Costos'!G2832="","",'Data Pura Costos'!G2832)</f>
        <v/>
      </c>
      <c r="H2832" s="52" t="str">
        <f>+IF('Data Pura Costos'!H2832="","",'Data Pura Costos'!H2832)</f>
        <v/>
      </c>
      <c r="I2832" s="71" t="str">
        <f>+IF('Data Pura Costos'!I2832="","",'Data Pura Costos'!I2832)</f>
        <v/>
      </c>
      <c r="J2832" s="52" t="str">
        <f>+IF('Data Pura Costos'!J2832="","",'Data Pura Costos'!J2832)</f>
        <v/>
      </c>
      <c r="K2832" s="82" t="str">
        <f t="shared" si="49"/>
        <v/>
      </c>
    </row>
    <row r="2833" spans="2:11" x14ac:dyDescent="0.35">
      <c r="B2833" s="4" t="str">
        <f>+IF('Data Pura Costos'!B2833="","",'Data Pura Costos'!B2833)</f>
        <v/>
      </c>
      <c r="C2833" s="4" t="str">
        <f>+IF('Data Pura Costos'!C2833="","",'Data Pura Costos'!C2833)</f>
        <v/>
      </c>
      <c r="D2833" s="5" t="str">
        <f>+IF('Data Pura Costos'!D2833="","",'Data Pura Costos'!D2833)</f>
        <v/>
      </c>
      <c r="E2833" s="65" t="str">
        <f>+IF('Data Pura Costos'!E2833="","",IF('Data Pura Costos'!E2833=0,MAX('Data Pura Costos'!$E$7:$E$3000)*1000,'Data Pura Costos'!E2833))</f>
        <v/>
      </c>
      <c r="F2833" s="5" t="str">
        <f>+IF('Data Pura Costos'!F2833="","",'Data Pura Costos'!F2833)</f>
        <v/>
      </c>
      <c r="G2833" s="5" t="str">
        <f>+IF('Data Pura Costos'!G2833="","",'Data Pura Costos'!G2833)</f>
        <v/>
      </c>
      <c r="H2833" s="52" t="str">
        <f>+IF('Data Pura Costos'!H2833="","",'Data Pura Costos'!H2833)</f>
        <v/>
      </c>
      <c r="I2833" s="71" t="str">
        <f>+IF('Data Pura Costos'!I2833="","",'Data Pura Costos'!I2833)</f>
        <v/>
      </c>
      <c r="J2833" s="52" t="str">
        <f>+IF('Data Pura Costos'!J2833="","",'Data Pura Costos'!J2833)</f>
        <v/>
      </c>
      <c r="K2833" s="82" t="str">
        <f t="shared" si="49"/>
        <v/>
      </c>
    </row>
    <row r="2834" spans="2:11" x14ac:dyDescent="0.35">
      <c r="B2834" s="4" t="str">
        <f>+IF('Data Pura Costos'!B2834="","",'Data Pura Costos'!B2834)</f>
        <v/>
      </c>
      <c r="C2834" s="4" t="str">
        <f>+IF('Data Pura Costos'!C2834="","",'Data Pura Costos'!C2834)</f>
        <v/>
      </c>
      <c r="D2834" s="5" t="str">
        <f>+IF('Data Pura Costos'!D2834="","",'Data Pura Costos'!D2834)</f>
        <v/>
      </c>
      <c r="E2834" s="65" t="str">
        <f>+IF('Data Pura Costos'!E2834="","",IF('Data Pura Costos'!E2834=0,MAX('Data Pura Costos'!$E$7:$E$3000)*1000,'Data Pura Costos'!E2834))</f>
        <v/>
      </c>
      <c r="F2834" s="5" t="str">
        <f>+IF('Data Pura Costos'!F2834="","",'Data Pura Costos'!F2834)</f>
        <v/>
      </c>
      <c r="G2834" s="5" t="str">
        <f>+IF('Data Pura Costos'!G2834="","",'Data Pura Costos'!G2834)</f>
        <v/>
      </c>
      <c r="H2834" s="52" t="str">
        <f>+IF('Data Pura Costos'!H2834="","",'Data Pura Costos'!H2834)</f>
        <v/>
      </c>
      <c r="I2834" s="71" t="str">
        <f>+IF('Data Pura Costos'!I2834="","",'Data Pura Costos'!I2834)</f>
        <v/>
      </c>
      <c r="J2834" s="52" t="str">
        <f>+IF('Data Pura Costos'!J2834="","",'Data Pura Costos'!J2834)</f>
        <v/>
      </c>
      <c r="K2834" s="82" t="str">
        <f t="shared" si="49"/>
        <v/>
      </c>
    </row>
    <row r="2835" spans="2:11" x14ac:dyDescent="0.35">
      <c r="B2835" s="4" t="str">
        <f>+IF('Data Pura Costos'!B2835="","",'Data Pura Costos'!B2835)</f>
        <v/>
      </c>
      <c r="C2835" s="4" t="str">
        <f>+IF('Data Pura Costos'!C2835="","",'Data Pura Costos'!C2835)</f>
        <v/>
      </c>
      <c r="D2835" s="5" t="str">
        <f>+IF('Data Pura Costos'!D2835="","",'Data Pura Costos'!D2835)</f>
        <v/>
      </c>
      <c r="E2835" s="65" t="str">
        <f>+IF('Data Pura Costos'!E2835="","",IF('Data Pura Costos'!E2835=0,MAX('Data Pura Costos'!$E$7:$E$3000)*1000,'Data Pura Costos'!E2835))</f>
        <v/>
      </c>
      <c r="F2835" s="5" t="str">
        <f>+IF('Data Pura Costos'!F2835="","",'Data Pura Costos'!F2835)</f>
        <v/>
      </c>
      <c r="G2835" s="5" t="str">
        <f>+IF('Data Pura Costos'!G2835="","",'Data Pura Costos'!G2835)</f>
        <v/>
      </c>
      <c r="H2835" s="52" t="str">
        <f>+IF('Data Pura Costos'!H2835="","",'Data Pura Costos'!H2835)</f>
        <v/>
      </c>
      <c r="I2835" s="71" t="str">
        <f>+IF('Data Pura Costos'!I2835="","",'Data Pura Costos'!I2835)</f>
        <v/>
      </c>
      <c r="J2835" s="52" t="str">
        <f>+IF('Data Pura Costos'!J2835="","",'Data Pura Costos'!J2835)</f>
        <v/>
      </c>
      <c r="K2835" s="82" t="str">
        <f t="shared" si="49"/>
        <v/>
      </c>
    </row>
    <row r="2836" spans="2:11" x14ac:dyDescent="0.35">
      <c r="B2836" s="4" t="str">
        <f>+IF('Data Pura Costos'!B2836="","",'Data Pura Costos'!B2836)</f>
        <v/>
      </c>
      <c r="C2836" s="4" t="str">
        <f>+IF('Data Pura Costos'!C2836="","",'Data Pura Costos'!C2836)</f>
        <v/>
      </c>
      <c r="D2836" s="5" t="str">
        <f>+IF('Data Pura Costos'!D2836="","",'Data Pura Costos'!D2836)</f>
        <v/>
      </c>
      <c r="E2836" s="65" t="str">
        <f>+IF('Data Pura Costos'!E2836="","",IF('Data Pura Costos'!E2836=0,MAX('Data Pura Costos'!$E$7:$E$3000)*1000,'Data Pura Costos'!E2836))</f>
        <v/>
      </c>
      <c r="F2836" s="5" t="str">
        <f>+IF('Data Pura Costos'!F2836="","",'Data Pura Costos'!F2836)</f>
        <v/>
      </c>
      <c r="G2836" s="5" t="str">
        <f>+IF('Data Pura Costos'!G2836="","",'Data Pura Costos'!G2836)</f>
        <v/>
      </c>
      <c r="H2836" s="52" t="str">
        <f>+IF('Data Pura Costos'!H2836="","",'Data Pura Costos'!H2836)</f>
        <v/>
      </c>
      <c r="I2836" s="71" t="str">
        <f>+IF('Data Pura Costos'!I2836="","",'Data Pura Costos'!I2836)</f>
        <v/>
      </c>
      <c r="J2836" s="52" t="str">
        <f>+IF('Data Pura Costos'!J2836="","",'Data Pura Costos'!J2836)</f>
        <v/>
      </c>
      <c r="K2836" s="82" t="str">
        <f t="shared" si="49"/>
        <v/>
      </c>
    </row>
    <row r="2837" spans="2:11" x14ac:dyDescent="0.35">
      <c r="B2837" s="4" t="str">
        <f>+IF('Data Pura Costos'!B2837="","",'Data Pura Costos'!B2837)</f>
        <v/>
      </c>
      <c r="C2837" s="4" t="str">
        <f>+IF('Data Pura Costos'!C2837="","",'Data Pura Costos'!C2837)</f>
        <v/>
      </c>
      <c r="D2837" s="5" t="str">
        <f>+IF('Data Pura Costos'!D2837="","",'Data Pura Costos'!D2837)</f>
        <v/>
      </c>
      <c r="E2837" s="65" t="str">
        <f>+IF('Data Pura Costos'!E2837="","",IF('Data Pura Costos'!E2837=0,MAX('Data Pura Costos'!$E$7:$E$3000)*1000,'Data Pura Costos'!E2837))</f>
        <v/>
      </c>
      <c r="F2837" s="5" t="str">
        <f>+IF('Data Pura Costos'!F2837="","",'Data Pura Costos'!F2837)</f>
        <v/>
      </c>
      <c r="G2837" s="5" t="str">
        <f>+IF('Data Pura Costos'!G2837="","",'Data Pura Costos'!G2837)</f>
        <v/>
      </c>
      <c r="H2837" s="52" t="str">
        <f>+IF('Data Pura Costos'!H2837="","",'Data Pura Costos'!H2837)</f>
        <v/>
      </c>
      <c r="I2837" s="71" t="str">
        <f>+IF('Data Pura Costos'!I2837="","",'Data Pura Costos'!I2837)</f>
        <v/>
      </c>
      <c r="J2837" s="52" t="str">
        <f>+IF('Data Pura Costos'!J2837="","",'Data Pura Costos'!J2837)</f>
        <v/>
      </c>
      <c r="K2837" s="82" t="str">
        <f t="shared" si="49"/>
        <v/>
      </c>
    </row>
    <row r="2838" spans="2:11" x14ac:dyDescent="0.35">
      <c r="B2838" s="4" t="str">
        <f>+IF('Data Pura Costos'!B2838="","",'Data Pura Costos'!B2838)</f>
        <v/>
      </c>
      <c r="C2838" s="4" t="str">
        <f>+IF('Data Pura Costos'!C2838="","",'Data Pura Costos'!C2838)</f>
        <v/>
      </c>
      <c r="D2838" s="5" t="str">
        <f>+IF('Data Pura Costos'!D2838="","",'Data Pura Costos'!D2838)</f>
        <v/>
      </c>
      <c r="E2838" s="65" t="str">
        <f>+IF('Data Pura Costos'!E2838="","",IF('Data Pura Costos'!E2838=0,MAX('Data Pura Costos'!$E$7:$E$3000)*1000,'Data Pura Costos'!E2838))</f>
        <v/>
      </c>
      <c r="F2838" s="5" t="str">
        <f>+IF('Data Pura Costos'!F2838="","",'Data Pura Costos'!F2838)</f>
        <v/>
      </c>
      <c r="G2838" s="5" t="str">
        <f>+IF('Data Pura Costos'!G2838="","",'Data Pura Costos'!G2838)</f>
        <v/>
      </c>
      <c r="H2838" s="52" t="str">
        <f>+IF('Data Pura Costos'!H2838="","",'Data Pura Costos'!H2838)</f>
        <v/>
      </c>
      <c r="I2838" s="71" t="str">
        <f>+IF('Data Pura Costos'!I2838="","",'Data Pura Costos'!I2838)</f>
        <v/>
      </c>
      <c r="J2838" s="52" t="str">
        <f>+IF('Data Pura Costos'!J2838="","",'Data Pura Costos'!J2838)</f>
        <v/>
      </c>
      <c r="K2838" s="82" t="str">
        <f t="shared" si="49"/>
        <v/>
      </c>
    </row>
    <row r="2839" spans="2:11" x14ac:dyDescent="0.35">
      <c r="B2839" s="4" t="str">
        <f>+IF('Data Pura Costos'!B2839="","",'Data Pura Costos'!B2839)</f>
        <v/>
      </c>
      <c r="C2839" s="4" t="str">
        <f>+IF('Data Pura Costos'!C2839="","",'Data Pura Costos'!C2839)</f>
        <v/>
      </c>
      <c r="D2839" s="5" t="str">
        <f>+IF('Data Pura Costos'!D2839="","",'Data Pura Costos'!D2839)</f>
        <v/>
      </c>
      <c r="E2839" s="65" t="str">
        <f>+IF('Data Pura Costos'!E2839="","",IF('Data Pura Costos'!E2839=0,MAX('Data Pura Costos'!$E$7:$E$3000)*1000,'Data Pura Costos'!E2839))</f>
        <v/>
      </c>
      <c r="F2839" s="5" t="str">
        <f>+IF('Data Pura Costos'!F2839="","",'Data Pura Costos'!F2839)</f>
        <v/>
      </c>
      <c r="G2839" s="5" t="str">
        <f>+IF('Data Pura Costos'!G2839="","",'Data Pura Costos'!G2839)</f>
        <v/>
      </c>
      <c r="H2839" s="52" t="str">
        <f>+IF('Data Pura Costos'!H2839="","",'Data Pura Costos'!H2839)</f>
        <v/>
      </c>
      <c r="I2839" s="71" t="str">
        <f>+IF('Data Pura Costos'!I2839="","",'Data Pura Costos'!I2839)</f>
        <v/>
      </c>
      <c r="J2839" s="52" t="str">
        <f>+IF('Data Pura Costos'!J2839="","",'Data Pura Costos'!J2839)</f>
        <v/>
      </c>
      <c r="K2839" s="82" t="str">
        <f t="shared" si="49"/>
        <v/>
      </c>
    </row>
    <row r="2840" spans="2:11" x14ac:dyDescent="0.35">
      <c r="B2840" s="4" t="str">
        <f>+IF('Data Pura Costos'!B2840="","",'Data Pura Costos'!B2840)</f>
        <v/>
      </c>
      <c r="C2840" s="4" t="str">
        <f>+IF('Data Pura Costos'!C2840="","",'Data Pura Costos'!C2840)</f>
        <v/>
      </c>
      <c r="D2840" s="5" t="str">
        <f>+IF('Data Pura Costos'!D2840="","",'Data Pura Costos'!D2840)</f>
        <v/>
      </c>
      <c r="E2840" s="65" t="str">
        <f>+IF('Data Pura Costos'!E2840="","",IF('Data Pura Costos'!E2840=0,MAX('Data Pura Costos'!$E$7:$E$3000)*1000,'Data Pura Costos'!E2840))</f>
        <v/>
      </c>
      <c r="F2840" s="5" t="str">
        <f>+IF('Data Pura Costos'!F2840="","",'Data Pura Costos'!F2840)</f>
        <v/>
      </c>
      <c r="G2840" s="5" t="str">
        <f>+IF('Data Pura Costos'!G2840="","",'Data Pura Costos'!G2840)</f>
        <v/>
      </c>
      <c r="H2840" s="52" t="str">
        <f>+IF('Data Pura Costos'!H2840="","",'Data Pura Costos'!H2840)</f>
        <v/>
      </c>
      <c r="I2840" s="71" t="str">
        <f>+IF('Data Pura Costos'!I2840="","",'Data Pura Costos'!I2840)</f>
        <v/>
      </c>
      <c r="J2840" s="52" t="str">
        <f>+IF('Data Pura Costos'!J2840="","",'Data Pura Costos'!J2840)</f>
        <v/>
      </c>
      <c r="K2840" s="82" t="str">
        <f t="shared" si="49"/>
        <v/>
      </c>
    </row>
    <row r="2841" spans="2:11" x14ac:dyDescent="0.35">
      <c r="B2841" s="4" t="str">
        <f>+IF('Data Pura Costos'!B2841="","",'Data Pura Costos'!B2841)</f>
        <v/>
      </c>
      <c r="C2841" s="4" t="str">
        <f>+IF('Data Pura Costos'!C2841="","",'Data Pura Costos'!C2841)</f>
        <v/>
      </c>
      <c r="D2841" s="5" t="str">
        <f>+IF('Data Pura Costos'!D2841="","",'Data Pura Costos'!D2841)</f>
        <v/>
      </c>
      <c r="E2841" s="65" t="str">
        <f>+IF('Data Pura Costos'!E2841="","",IF('Data Pura Costos'!E2841=0,MAX('Data Pura Costos'!$E$7:$E$3000)*1000,'Data Pura Costos'!E2841))</f>
        <v/>
      </c>
      <c r="F2841" s="5" t="str">
        <f>+IF('Data Pura Costos'!F2841="","",'Data Pura Costos'!F2841)</f>
        <v/>
      </c>
      <c r="G2841" s="5" t="str">
        <f>+IF('Data Pura Costos'!G2841="","",'Data Pura Costos'!G2841)</f>
        <v/>
      </c>
      <c r="H2841" s="52" t="str">
        <f>+IF('Data Pura Costos'!H2841="","",'Data Pura Costos'!H2841)</f>
        <v/>
      </c>
      <c r="I2841" s="71" t="str">
        <f>+IF('Data Pura Costos'!I2841="","",'Data Pura Costos'!I2841)</f>
        <v/>
      </c>
      <c r="J2841" s="52" t="str">
        <f>+IF('Data Pura Costos'!J2841="","",'Data Pura Costos'!J2841)</f>
        <v/>
      </c>
      <c r="K2841" s="82" t="str">
        <f t="shared" si="49"/>
        <v/>
      </c>
    </row>
    <row r="2842" spans="2:11" x14ac:dyDescent="0.35">
      <c r="B2842" s="4" t="str">
        <f>+IF('Data Pura Costos'!B2842="","",'Data Pura Costos'!B2842)</f>
        <v/>
      </c>
      <c r="C2842" s="4" t="str">
        <f>+IF('Data Pura Costos'!C2842="","",'Data Pura Costos'!C2842)</f>
        <v/>
      </c>
      <c r="D2842" s="5" t="str">
        <f>+IF('Data Pura Costos'!D2842="","",'Data Pura Costos'!D2842)</f>
        <v/>
      </c>
      <c r="E2842" s="65" t="str">
        <f>+IF('Data Pura Costos'!E2842="","",IF('Data Pura Costos'!E2842=0,MAX('Data Pura Costos'!$E$7:$E$3000)*1000,'Data Pura Costos'!E2842))</f>
        <v/>
      </c>
      <c r="F2842" s="5" t="str">
        <f>+IF('Data Pura Costos'!F2842="","",'Data Pura Costos'!F2842)</f>
        <v/>
      </c>
      <c r="G2842" s="5" t="str">
        <f>+IF('Data Pura Costos'!G2842="","",'Data Pura Costos'!G2842)</f>
        <v/>
      </c>
      <c r="H2842" s="52" t="str">
        <f>+IF('Data Pura Costos'!H2842="","",'Data Pura Costos'!H2842)</f>
        <v/>
      </c>
      <c r="I2842" s="71" t="str">
        <f>+IF('Data Pura Costos'!I2842="","",'Data Pura Costos'!I2842)</f>
        <v/>
      </c>
      <c r="J2842" s="52" t="str">
        <f>+IF('Data Pura Costos'!J2842="","",'Data Pura Costos'!J2842)</f>
        <v/>
      </c>
      <c r="K2842" s="82" t="str">
        <f t="shared" si="49"/>
        <v/>
      </c>
    </row>
    <row r="2843" spans="2:11" x14ac:dyDescent="0.35">
      <c r="B2843" s="4" t="str">
        <f>+IF('Data Pura Costos'!B2843="","",'Data Pura Costos'!B2843)</f>
        <v/>
      </c>
      <c r="C2843" s="4" t="str">
        <f>+IF('Data Pura Costos'!C2843="","",'Data Pura Costos'!C2843)</f>
        <v/>
      </c>
      <c r="D2843" s="5" t="str">
        <f>+IF('Data Pura Costos'!D2843="","",'Data Pura Costos'!D2843)</f>
        <v/>
      </c>
      <c r="E2843" s="65" t="str">
        <f>+IF('Data Pura Costos'!E2843="","",IF('Data Pura Costos'!E2843=0,MAX('Data Pura Costos'!$E$7:$E$3000)*1000,'Data Pura Costos'!E2843))</f>
        <v/>
      </c>
      <c r="F2843" s="5" t="str">
        <f>+IF('Data Pura Costos'!F2843="","",'Data Pura Costos'!F2843)</f>
        <v/>
      </c>
      <c r="G2843" s="5" t="str">
        <f>+IF('Data Pura Costos'!G2843="","",'Data Pura Costos'!G2843)</f>
        <v/>
      </c>
      <c r="H2843" s="52" t="str">
        <f>+IF('Data Pura Costos'!H2843="","",'Data Pura Costos'!H2843)</f>
        <v/>
      </c>
      <c r="I2843" s="71" t="str">
        <f>+IF('Data Pura Costos'!I2843="","",'Data Pura Costos'!I2843)</f>
        <v/>
      </c>
      <c r="J2843" s="52" t="str">
        <f>+IF('Data Pura Costos'!J2843="","",'Data Pura Costos'!J2843)</f>
        <v/>
      </c>
      <c r="K2843" s="82" t="str">
        <f t="shared" si="49"/>
        <v/>
      </c>
    </row>
    <row r="2844" spans="2:11" x14ac:dyDescent="0.35">
      <c r="B2844" s="4" t="str">
        <f>+IF('Data Pura Costos'!B2844="","",'Data Pura Costos'!B2844)</f>
        <v/>
      </c>
      <c r="C2844" s="4" t="str">
        <f>+IF('Data Pura Costos'!C2844="","",'Data Pura Costos'!C2844)</f>
        <v/>
      </c>
      <c r="D2844" s="5" t="str">
        <f>+IF('Data Pura Costos'!D2844="","",'Data Pura Costos'!D2844)</f>
        <v/>
      </c>
      <c r="E2844" s="65" t="str">
        <f>+IF('Data Pura Costos'!E2844="","",IF('Data Pura Costos'!E2844=0,MAX('Data Pura Costos'!$E$7:$E$3000)*1000,'Data Pura Costos'!E2844))</f>
        <v/>
      </c>
      <c r="F2844" s="5" t="str">
        <f>+IF('Data Pura Costos'!F2844="","",'Data Pura Costos'!F2844)</f>
        <v/>
      </c>
      <c r="G2844" s="5" t="str">
        <f>+IF('Data Pura Costos'!G2844="","",'Data Pura Costos'!G2844)</f>
        <v/>
      </c>
      <c r="H2844" s="52" t="str">
        <f>+IF('Data Pura Costos'!H2844="","",'Data Pura Costos'!H2844)</f>
        <v/>
      </c>
      <c r="I2844" s="71" t="str">
        <f>+IF('Data Pura Costos'!I2844="","",'Data Pura Costos'!I2844)</f>
        <v/>
      </c>
      <c r="J2844" s="52" t="str">
        <f>+IF('Data Pura Costos'!J2844="","",'Data Pura Costos'!J2844)</f>
        <v/>
      </c>
      <c r="K2844" s="82" t="str">
        <f t="shared" si="49"/>
        <v/>
      </c>
    </row>
    <row r="2845" spans="2:11" x14ac:dyDescent="0.35">
      <c r="B2845" s="4" t="str">
        <f>+IF('Data Pura Costos'!B2845="","",'Data Pura Costos'!B2845)</f>
        <v/>
      </c>
      <c r="C2845" s="4" t="str">
        <f>+IF('Data Pura Costos'!C2845="","",'Data Pura Costos'!C2845)</f>
        <v/>
      </c>
      <c r="D2845" s="5" t="str">
        <f>+IF('Data Pura Costos'!D2845="","",'Data Pura Costos'!D2845)</f>
        <v/>
      </c>
      <c r="E2845" s="65" t="str">
        <f>+IF('Data Pura Costos'!E2845="","",IF('Data Pura Costos'!E2845=0,MAX('Data Pura Costos'!$E$7:$E$3000)*1000,'Data Pura Costos'!E2845))</f>
        <v/>
      </c>
      <c r="F2845" s="5" t="str">
        <f>+IF('Data Pura Costos'!F2845="","",'Data Pura Costos'!F2845)</f>
        <v/>
      </c>
      <c r="G2845" s="5" t="str">
        <f>+IF('Data Pura Costos'!G2845="","",'Data Pura Costos'!G2845)</f>
        <v/>
      </c>
      <c r="H2845" s="52" t="str">
        <f>+IF('Data Pura Costos'!H2845="","",'Data Pura Costos'!H2845)</f>
        <v/>
      </c>
      <c r="I2845" s="71" t="str">
        <f>+IF('Data Pura Costos'!I2845="","",'Data Pura Costos'!I2845)</f>
        <v/>
      </c>
      <c r="J2845" s="52" t="str">
        <f>+IF('Data Pura Costos'!J2845="","",'Data Pura Costos'!J2845)</f>
        <v/>
      </c>
      <c r="K2845" s="82" t="str">
        <f t="shared" si="49"/>
        <v/>
      </c>
    </row>
    <row r="2846" spans="2:11" x14ac:dyDescent="0.35">
      <c r="B2846" s="4" t="str">
        <f>+IF('Data Pura Costos'!B2846="","",'Data Pura Costos'!B2846)</f>
        <v/>
      </c>
      <c r="C2846" s="4" t="str">
        <f>+IF('Data Pura Costos'!C2846="","",'Data Pura Costos'!C2846)</f>
        <v/>
      </c>
      <c r="D2846" s="5" t="str">
        <f>+IF('Data Pura Costos'!D2846="","",'Data Pura Costos'!D2846)</f>
        <v/>
      </c>
      <c r="E2846" s="65" t="str">
        <f>+IF('Data Pura Costos'!E2846="","",IF('Data Pura Costos'!E2846=0,MAX('Data Pura Costos'!$E$7:$E$3000)*1000,'Data Pura Costos'!E2846))</f>
        <v/>
      </c>
      <c r="F2846" s="5" t="str">
        <f>+IF('Data Pura Costos'!F2846="","",'Data Pura Costos'!F2846)</f>
        <v/>
      </c>
      <c r="G2846" s="5" t="str">
        <f>+IF('Data Pura Costos'!G2846="","",'Data Pura Costos'!G2846)</f>
        <v/>
      </c>
      <c r="H2846" s="52" t="str">
        <f>+IF('Data Pura Costos'!H2846="","",'Data Pura Costos'!H2846)</f>
        <v/>
      </c>
      <c r="I2846" s="71" t="str">
        <f>+IF('Data Pura Costos'!I2846="","",'Data Pura Costos'!I2846)</f>
        <v/>
      </c>
      <c r="J2846" s="52" t="str">
        <f>+IF('Data Pura Costos'!J2846="","",'Data Pura Costos'!J2846)</f>
        <v/>
      </c>
      <c r="K2846" s="82" t="str">
        <f t="shared" si="49"/>
        <v/>
      </c>
    </row>
    <row r="2847" spans="2:11" x14ac:dyDescent="0.35">
      <c r="B2847" s="4" t="str">
        <f>+IF('Data Pura Costos'!B2847="","",'Data Pura Costos'!B2847)</f>
        <v/>
      </c>
      <c r="C2847" s="4" t="str">
        <f>+IF('Data Pura Costos'!C2847="","",'Data Pura Costos'!C2847)</f>
        <v/>
      </c>
      <c r="D2847" s="5" t="str">
        <f>+IF('Data Pura Costos'!D2847="","",'Data Pura Costos'!D2847)</f>
        <v/>
      </c>
      <c r="E2847" s="65" t="str">
        <f>+IF('Data Pura Costos'!E2847="","",IF('Data Pura Costos'!E2847=0,MAX('Data Pura Costos'!$E$7:$E$3000)*1000,'Data Pura Costos'!E2847))</f>
        <v/>
      </c>
      <c r="F2847" s="5" t="str">
        <f>+IF('Data Pura Costos'!F2847="","",'Data Pura Costos'!F2847)</f>
        <v/>
      </c>
      <c r="G2847" s="5" t="str">
        <f>+IF('Data Pura Costos'!G2847="","",'Data Pura Costos'!G2847)</f>
        <v/>
      </c>
      <c r="H2847" s="52" t="str">
        <f>+IF('Data Pura Costos'!H2847="","",'Data Pura Costos'!H2847)</f>
        <v/>
      </c>
      <c r="I2847" s="71" t="str">
        <f>+IF('Data Pura Costos'!I2847="","",'Data Pura Costos'!I2847)</f>
        <v/>
      </c>
      <c r="J2847" s="52" t="str">
        <f>+IF('Data Pura Costos'!J2847="","",'Data Pura Costos'!J2847)</f>
        <v/>
      </c>
      <c r="K2847" s="82" t="str">
        <f t="shared" si="49"/>
        <v/>
      </c>
    </row>
    <row r="2848" spans="2:11" x14ac:dyDescent="0.35">
      <c r="B2848" s="4" t="str">
        <f>+IF('Data Pura Costos'!B2848="","",'Data Pura Costos'!B2848)</f>
        <v/>
      </c>
      <c r="C2848" s="4" t="str">
        <f>+IF('Data Pura Costos'!C2848="","",'Data Pura Costos'!C2848)</f>
        <v/>
      </c>
      <c r="D2848" s="5" t="str">
        <f>+IF('Data Pura Costos'!D2848="","",'Data Pura Costos'!D2848)</f>
        <v/>
      </c>
      <c r="E2848" s="65" t="str">
        <f>+IF('Data Pura Costos'!E2848="","",IF('Data Pura Costos'!E2848=0,MAX('Data Pura Costos'!$E$7:$E$3000)*1000,'Data Pura Costos'!E2848))</f>
        <v/>
      </c>
      <c r="F2848" s="5" t="str">
        <f>+IF('Data Pura Costos'!F2848="","",'Data Pura Costos'!F2848)</f>
        <v/>
      </c>
      <c r="G2848" s="5" t="str">
        <f>+IF('Data Pura Costos'!G2848="","",'Data Pura Costos'!G2848)</f>
        <v/>
      </c>
      <c r="H2848" s="52" t="str">
        <f>+IF('Data Pura Costos'!H2848="","",'Data Pura Costos'!H2848)</f>
        <v/>
      </c>
      <c r="I2848" s="71" t="str">
        <f>+IF('Data Pura Costos'!I2848="","",'Data Pura Costos'!I2848)</f>
        <v/>
      </c>
      <c r="J2848" s="52" t="str">
        <f>+IF('Data Pura Costos'!J2848="","",'Data Pura Costos'!J2848)</f>
        <v/>
      </c>
      <c r="K2848" s="82" t="str">
        <f t="shared" si="49"/>
        <v/>
      </c>
    </row>
    <row r="2849" spans="2:11" x14ac:dyDescent="0.35">
      <c r="B2849" s="4" t="str">
        <f>+IF('Data Pura Costos'!B2849="","",'Data Pura Costos'!B2849)</f>
        <v/>
      </c>
      <c r="C2849" s="4" t="str">
        <f>+IF('Data Pura Costos'!C2849="","",'Data Pura Costos'!C2849)</f>
        <v/>
      </c>
      <c r="D2849" s="5" t="str">
        <f>+IF('Data Pura Costos'!D2849="","",'Data Pura Costos'!D2849)</f>
        <v/>
      </c>
      <c r="E2849" s="65" t="str">
        <f>+IF('Data Pura Costos'!E2849="","",IF('Data Pura Costos'!E2849=0,MAX('Data Pura Costos'!$E$7:$E$3000)*1000,'Data Pura Costos'!E2849))</f>
        <v/>
      </c>
      <c r="F2849" s="5" t="str">
        <f>+IF('Data Pura Costos'!F2849="","",'Data Pura Costos'!F2849)</f>
        <v/>
      </c>
      <c r="G2849" s="5" t="str">
        <f>+IF('Data Pura Costos'!G2849="","",'Data Pura Costos'!G2849)</f>
        <v/>
      </c>
      <c r="H2849" s="52" t="str">
        <f>+IF('Data Pura Costos'!H2849="","",'Data Pura Costos'!H2849)</f>
        <v/>
      </c>
      <c r="I2849" s="71" t="str">
        <f>+IF('Data Pura Costos'!I2849="","",'Data Pura Costos'!I2849)</f>
        <v/>
      </c>
      <c r="J2849" s="52" t="str">
        <f>+IF('Data Pura Costos'!J2849="","",'Data Pura Costos'!J2849)</f>
        <v/>
      </c>
      <c r="K2849" s="82" t="str">
        <f t="shared" si="49"/>
        <v/>
      </c>
    </row>
    <row r="2850" spans="2:11" x14ac:dyDescent="0.35">
      <c r="B2850" s="4" t="str">
        <f>+IF('Data Pura Costos'!B2850="","",'Data Pura Costos'!B2850)</f>
        <v/>
      </c>
      <c r="C2850" s="4" t="str">
        <f>+IF('Data Pura Costos'!C2850="","",'Data Pura Costos'!C2850)</f>
        <v/>
      </c>
      <c r="D2850" s="5" t="str">
        <f>+IF('Data Pura Costos'!D2850="","",'Data Pura Costos'!D2850)</f>
        <v/>
      </c>
      <c r="E2850" s="65" t="str">
        <f>+IF('Data Pura Costos'!E2850="","",IF('Data Pura Costos'!E2850=0,MAX('Data Pura Costos'!$E$7:$E$3000)*1000,'Data Pura Costos'!E2850))</f>
        <v/>
      </c>
      <c r="F2850" s="5" t="str">
        <f>+IF('Data Pura Costos'!F2850="","",'Data Pura Costos'!F2850)</f>
        <v/>
      </c>
      <c r="G2850" s="5" t="str">
        <f>+IF('Data Pura Costos'!G2850="","",'Data Pura Costos'!G2850)</f>
        <v/>
      </c>
      <c r="H2850" s="52" t="str">
        <f>+IF('Data Pura Costos'!H2850="","",'Data Pura Costos'!H2850)</f>
        <v/>
      </c>
      <c r="I2850" s="71" t="str">
        <f>+IF('Data Pura Costos'!I2850="","",'Data Pura Costos'!I2850)</f>
        <v/>
      </c>
      <c r="J2850" s="52" t="str">
        <f>+IF('Data Pura Costos'!J2850="","",'Data Pura Costos'!J2850)</f>
        <v/>
      </c>
      <c r="K2850" s="82" t="str">
        <f t="shared" si="49"/>
        <v/>
      </c>
    </row>
    <row r="2851" spans="2:11" x14ac:dyDescent="0.35">
      <c r="B2851" s="4" t="str">
        <f>+IF('Data Pura Costos'!B2851="","",'Data Pura Costos'!B2851)</f>
        <v/>
      </c>
      <c r="C2851" s="4" t="str">
        <f>+IF('Data Pura Costos'!C2851="","",'Data Pura Costos'!C2851)</f>
        <v/>
      </c>
      <c r="D2851" s="5" t="str">
        <f>+IF('Data Pura Costos'!D2851="","",'Data Pura Costos'!D2851)</f>
        <v/>
      </c>
      <c r="E2851" s="65" t="str">
        <f>+IF('Data Pura Costos'!E2851="","",IF('Data Pura Costos'!E2851=0,MAX('Data Pura Costos'!$E$7:$E$3000)*1000,'Data Pura Costos'!E2851))</f>
        <v/>
      </c>
      <c r="F2851" s="5" t="str">
        <f>+IF('Data Pura Costos'!F2851="","",'Data Pura Costos'!F2851)</f>
        <v/>
      </c>
      <c r="G2851" s="5" t="str">
        <f>+IF('Data Pura Costos'!G2851="","",'Data Pura Costos'!G2851)</f>
        <v/>
      </c>
      <c r="H2851" s="52" t="str">
        <f>+IF('Data Pura Costos'!H2851="","",'Data Pura Costos'!H2851)</f>
        <v/>
      </c>
      <c r="I2851" s="71" t="str">
        <f>+IF('Data Pura Costos'!I2851="","",'Data Pura Costos'!I2851)</f>
        <v/>
      </c>
      <c r="J2851" s="52" t="str">
        <f>+IF('Data Pura Costos'!J2851="","",'Data Pura Costos'!J2851)</f>
        <v/>
      </c>
      <c r="K2851" s="82" t="str">
        <f t="shared" si="49"/>
        <v/>
      </c>
    </row>
    <row r="2852" spans="2:11" x14ac:dyDescent="0.35">
      <c r="B2852" s="4" t="str">
        <f>+IF('Data Pura Costos'!B2852="","",'Data Pura Costos'!B2852)</f>
        <v/>
      </c>
      <c r="C2852" s="4" t="str">
        <f>+IF('Data Pura Costos'!C2852="","",'Data Pura Costos'!C2852)</f>
        <v/>
      </c>
      <c r="D2852" s="5" t="str">
        <f>+IF('Data Pura Costos'!D2852="","",'Data Pura Costos'!D2852)</f>
        <v/>
      </c>
      <c r="E2852" s="65" t="str">
        <f>+IF('Data Pura Costos'!E2852="","",IF('Data Pura Costos'!E2852=0,MAX('Data Pura Costos'!$E$7:$E$3000)*1000,'Data Pura Costos'!E2852))</f>
        <v/>
      </c>
      <c r="F2852" s="5" t="str">
        <f>+IF('Data Pura Costos'!F2852="","",'Data Pura Costos'!F2852)</f>
        <v/>
      </c>
      <c r="G2852" s="5" t="str">
        <f>+IF('Data Pura Costos'!G2852="","",'Data Pura Costos'!G2852)</f>
        <v/>
      </c>
      <c r="H2852" s="52" t="str">
        <f>+IF('Data Pura Costos'!H2852="","",'Data Pura Costos'!H2852)</f>
        <v/>
      </c>
      <c r="I2852" s="71" t="str">
        <f>+IF('Data Pura Costos'!I2852="","",'Data Pura Costos'!I2852)</f>
        <v/>
      </c>
      <c r="J2852" s="52" t="str">
        <f>+IF('Data Pura Costos'!J2852="","",'Data Pura Costos'!J2852)</f>
        <v/>
      </c>
      <c r="K2852" s="82" t="str">
        <f t="shared" si="49"/>
        <v/>
      </c>
    </row>
    <row r="2853" spans="2:11" x14ac:dyDescent="0.35">
      <c r="B2853" s="4" t="str">
        <f>+IF('Data Pura Costos'!B2853="","",'Data Pura Costos'!B2853)</f>
        <v/>
      </c>
      <c r="C2853" s="4" t="str">
        <f>+IF('Data Pura Costos'!C2853="","",'Data Pura Costos'!C2853)</f>
        <v/>
      </c>
      <c r="D2853" s="5" t="str">
        <f>+IF('Data Pura Costos'!D2853="","",'Data Pura Costos'!D2853)</f>
        <v/>
      </c>
      <c r="E2853" s="65" t="str">
        <f>+IF('Data Pura Costos'!E2853="","",IF('Data Pura Costos'!E2853=0,MAX('Data Pura Costos'!$E$7:$E$3000)*1000,'Data Pura Costos'!E2853))</f>
        <v/>
      </c>
      <c r="F2853" s="5" t="str">
        <f>+IF('Data Pura Costos'!F2853="","",'Data Pura Costos'!F2853)</f>
        <v/>
      </c>
      <c r="G2853" s="5" t="str">
        <f>+IF('Data Pura Costos'!G2853="","",'Data Pura Costos'!G2853)</f>
        <v/>
      </c>
      <c r="H2853" s="52" t="str">
        <f>+IF('Data Pura Costos'!H2853="","",'Data Pura Costos'!H2853)</f>
        <v/>
      </c>
      <c r="I2853" s="71" t="str">
        <f>+IF('Data Pura Costos'!I2853="","",'Data Pura Costos'!I2853)</f>
        <v/>
      </c>
      <c r="J2853" s="52" t="str">
        <f>+IF('Data Pura Costos'!J2853="","",'Data Pura Costos'!J2853)</f>
        <v/>
      </c>
      <c r="K2853" s="82" t="str">
        <f t="shared" si="49"/>
        <v/>
      </c>
    </row>
    <row r="2854" spans="2:11" x14ac:dyDescent="0.35">
      <c r="B2854" s="4" t="str">
        <f>+IF('Data Pura Costos'!B2854="","",'Data Pura Costos'!B2854)</f>
        <v/>
      </c>
      <c r="C2854" s="4" t="str">
        <f>+IF('Data Pura Costos'!C2854="","",'Data Pura Costos'!C2854)</f>
        <v/>
      </c>
      <c r="D2854" s="5" t="str">
        <f>+IF('Data Pura Costos'!D2854="","",'Data Pura Costos'!D2854)</f>
        <v/>
      </c>
      <c r="E2854" s="65" t="str">
        <f>+IF('Data Pura Costos'!E2854="","",IF('Data Pura Costos'!E2854=0,MAX('Data Pura Costos'!$E$7:$E$3000)*1000,'Data Pura Costos'!E2854))</f>
        <v/>
      </c>
      <c r="F2854" s="5" t="str">
        <f>+IF('Data Pura Costos'!F2854="","",'Data Pura Costos'!F2854)</f>
        <v/>
      </c>
      <c r="G2854" s="5" t="str">
        <f>+IF('Data Pura Costos'!G2854="","",'Data Pura Costos'!G2854)</f>
        <v/>
      </c>
      <c r="H2854" s="52" t="str">
        <f>+IF('Data Pura Costos'!H2854="","",'Data Pura Costos'!H2854)</f>
        <v/>
      </c>
      <c r="I2854" s="71" t="str">
        <f>+IF('Data Pura Costos'!I2854="","",'Data Pura Costos'!I2854)</f>
        <v/>
      </c>
      <c r="J2854" s="52" t="str">
        <f>+IF('Data Pura Costos'!J2854="","",'Data Pura Costos'!J2854)</f>
        <v/>
      </c>
      <c r="K2854" s="82" t="str">
        <f t="shared" si="49"/>
        <v/>
      </c>
    </row>
    <row r="2855" spans="2:11" x14ac:dyDescent="0.35">
      <c r="B2855" s="4" t="str">
        <f>+IF('Data Pura Costos'!B2855="","",'Data Pura Costos'!B2855)</f>
        <v/>
      </c>
      <c r="C2855" s="4" t="str">
        <f>+IF('Data Pura Costos'!C2855="","",'Data Pura Costos'!C2855)</f>
        <v/>
      </c>
      <c r="D2855" s="5" t="str">
        <f>+IF('Data Pura Costos'!D2855="","",'Data Pura Costos'!D2855)</f>
        <v/>
      </c>
      <c r="E2855" s="65" t="str">
        <f>+IF('Data Pura Costos'!E2855="","",IF('Data Pura Costos'!E2855=0,MAX('Data Pura Costos'!$E$7:$E$3000)*1000,'Data Pura Costos'!E2855))</f>
        <v/>
      </c>
      <c r="F2855" s="5" t="str">
        <f>+IF('Data Pura Costos'!F2855="","",'Data Pura Costos'!F2855)</f>
        <v/>
      </c>
      <c r="G2855" s="5" t="str">
        <f>+IF('Data Pura Costos'!G2855="","",'Data Pura Costos'!G2855)</f>
        <v/>
      </c>
      <c r="H2855" s="52" t="str">
        <f>+IF('Data Pura Costos'!H2855="","",'Data Pura Costos'!H2855)</f>
        <v/>
      </c>
      <c r="I2855" s="71" t="str">
        <f>+IF('Data Pura Costos'!I2855="","",'Data Pura Costos'!I2855)</f>
        <v/>
      </c>
      <c r="J2855" s="52" t="str">
        <f>+IF('Data Pura Costos'!J2855="","",'Data Pura Costos'!J2855)</f>
        <v/>
      </c>
      <c r="K2855" s="82" t="str">
        <f t="shared" si="49"/>
        <v/>
      </c>
    </row>
    <row r="2856" spans="2:11" x14ac:dyDescent="0.35">
      <c r="B2856" s="4" t="str">
        <f>+IF('Data Pura Costos'!B2856="","",'Data Pura Costos'!B2856)</f>
        <v/>
      </c>
      <c r="C2856" s="4" t="str">
        <f>+IF('Data Pura Costos'!C2856="","",'Data Pura Costos'!C2856)</f>
        <v/>
      </c>
      <c r="D2856" s="5" t="str">
        <f>+IF('Data Pura Costos'!D2856="","",'Data Pura Costos'!D2856)</f>
        <v/>
      </c>
      <c r="E2856" s="65" t="str">
        <f>+IF('Data Pura Costos'!E2856="","",IF('Data Pura Costos'!E2856=0,MAX('Data Pura Costos'!$E$7:$E$3000)*1000,'Data Pura Costos'!E2856))</f>
        <v/>
      </c>
      <c r="F2856" s="5" t="str">
        <f>+IF('Data Pura Costos'!F2856="","",'Data Pura Costos'!F2856)</f>
        <v/>
      </c>
      <c r="G2856" s="5" t="str">
        <f>+IF('Data Pura Costos'!G2856="","",'Data Pura Costos'!G2856)</f>
        <v/>
      </c>
      <c r="H2856" s="52" t="str">
        <f>+IF('Data Pura Costos'!H2856="","",'Data Pura Costos'!H2856)</f>
        <v/>
      </c>
      <c r="I2856" s="71" t="str">
        <f>+IF('Data Pura Costos'!I2856="","",'Data Pura Costos'!I2856)</f>
        <v/>
      </c>
      <c r="J2856" s="52" t="str">
        <f>+IF('Data Pura Costos'!J2856="","",'Data Pura Costos'!J2856)</f>
        <v/>
      </c>
      <c r="K2856" s="82" t="str">
        <f t="shared" si="49"/>
        <v/>
      </c>
    </row>
    <row r="2857" spans="2:11" x14ac:dyDescent="0.35">
      <c r="B2857" s="4" t="str">
        <f>+IF('Data Pura Costos'!B2857="","",'Data Pura Costos'!B2857)</f>
        <v/>
      </c>
      <c r="C2857" s="4" t="str">
        <f>+IF('Data Pura Costos'!C2857="","",'Data Pura Costos'!C2857)</f>
        <v/>
      </c>
      <c r="D2857" s="5" t="str">
        <f>+IF('Data Pura Costos'!D2857="","",'Data Pura Costos'!D2857)</f>
        <v/>
      </c>
      <c r="E2857" s="65" t="str">
        <f>+IF('Data Pura Costos'!E2857="","",IF('Data Pura Costos'!E2857=0,MAX('Data Pura Costos'!$E$7:$E$3000)*1000,'Data Pura Costos'!E2857))</f>
        <v/>
      </c>
      <c r="F2857" s="5" t="str">
        <f>+IF('Data Pura Costos'!F2857="","",'Data Pura Costos'!F2857)</f>
        <v/>
      </c>
      <c r="G2857" s="5" t="str">
        <f>+IF('Data Pura Costos'!G2857="","",'Data Pura Costos'!G2857)</f>
        <v/>
      </c>
      <c r="H2857" s="52" t="str">
        <f>+IF('Data Pura Costos'!H2857="","",'Data Pura Costos'!H2857)</f>
        <v/>
      </c>
      <c r="I2857" s="71" t="str">
        <f>+IF('Data Pura Costos'!I2857="","",'Data Pura Costos'!I2857)</f>
        <v/>
      </c>
      <c r="J2857" s="52" t="str">
        <f>+IF('Data Pura Costos'!J2857="","",'Data Pura Costos'!J2857)</f>
        <v/>
      </c>
      <c r="K2857" s="82" t="str">
        <f t="shared" si="49"/>
        <v/>
      </c>
    </row>
    <row r="2858" spans="2:11" x14ac:dyDescent="0.35">
      <c r="B2858" s="4" t="str">
        <f>+IF('Data Pura Costos'!B2858="","",'Data Pura Costos'!B2858)</f>
        <v/>
      </c>
      <c r="C2858" s="4" t="str">
        <f>+IF('Data Pura Costos'!C2858="","",'Data Pura Costos'!C2858)</f>
        <v/>
      </c>
      <c r="D2858" s="5" t="str">
        <f>+IF('Data Pura Costos'!D2858="","",'Data Pura Costos'!D2858)</f>
        <v/>
      </c>
      <c r="E2858" s="65" t="str">
        <f>+IF('Data Pura Costos'!E2858="","",IF('Data Pura Costos'!E2858=0,MAX('Data Pura Costos'!$E$7:$E$3000)*1000,'Data Pura Costos'!E2858))</f>
        <v/>
      </c>
      <c r="F2858" s="5" t="str">
        <f>+IF('Data Pura Costos'!F2858="","",'Data Pura Costos'!F2858)</f>
        <v/>
      </c>
      <c r="G2858" s="5" t="str">
        <f>+IF('Data Pura Costos'!G2858="","",'Data Pura Costos'!G2858)</f>
        <v/>
      </c>
      <c r="H2858" s="52" t="str">
        <f>+IF('Data Pura Costos'!H2858="","",'Data Pura Costos'!H2858)</f>
        <v/>
      </c>
      <c r="I2858" s="71" t="str">
        <f>+IF('Data Pura Costos'!I2858="","",'Data Pura Costos'!I2858)</f>
        <v/>
      </c>
      <c r="J2858" s="52" t="str">
        <f>+IF('Data Pura Costos'!J2858="","",'Data Pura Costos'!J2858)</f>
        <v/>
      </c>
      <c r="K2858" s="82" t="str">
        <f t="shared" si="49"/>
        <v/>
      </c>
    </row>
    <row r="2859" spans="2:11" x14ac:dyDescent="0.35">
      <c r="B2859" s="4" t="str">
        <f>+IF('Data Pura Costos'!B2859="","",'Data Pura Costos'!B2859)</f>
        <v/>
      </c>
      <c r="C2859" s="4" t="str">
        <f>+IF('Data Pura Costos'!C2859="","",'Data Pura Costos'!C2859)</f>
        <v/>
      </c>
      <c r="D2859" s="5" t="str">
        <f>+IF('Data Pura Costos'!D2859="","",'Data Pura Costos'!D2859)</f>
        <v/>
      </c>
      <c r="E2859" s="65" t="str">
        <f>+IF('Data Pura Costos'!E2859="","",IF('Data Pura Costos'!E2859=0,MAX('Data Pura Costos'!$E$7:$E$3000)*1000,'Data Pura Costos'!E2859))</f>
        <v/>
      </c>
      <c r="F2859" s="5" t="str">
        <f>+IF('Data Pura Costos'!F2859="","",'Data Pura Costos'!F2859)</f>
        <v/>
      </c>
      <c r="G2859" s="5" t="str">
        <f>+IF('Data Pura Costos'!G2859="","",'Data Pura Costos'!G2859)</f>
        <v/>
      </c>
      <c r="H2859" s="52" t="str">
        <f>+IF('Data Pura Costos'!H2859="","",'Data Pura Costos'!H2859)</f>
        <v/>
      </c>
      <c r="I2859" s="71" t="str">
        <f>+IF('Data Pura Costos'!I2859="","",'Data Pura Costos'!I2859)</f>
        <v/>
      </c>
      <c r="J2859" s="52" t="str">
        <f>+IF('Data Pura Costos'!J2859="","",'Data Pura Costos'!J2859)</f>
        <v/>
      </c>
      <c r="K2859" s="82" t="str">
        <f t="shared" si="49"/>
        <v/>
      </c>
    </row>
    <row r="2860" spans="2:11" x14ac:dyDescent="0.35">
      <c r="B2860" s="4" t="str">
        <f>+IF('Data Pura Costos'!B2860="","",'Data Pura Costos'!B2860)</f>
        <v/>
      </c>
      <c r="C2860" s="4" t="str">
        <f>+IF('Data Pura Costos'!C2860="","",'Data Pura Costos'!C2860)</f>
        <v/>
      </c>
      <c r="D2860" s="5" t="str">
        <f>+IF('Data Pura Costos'!D2860="","",'Data Pura Costos'!D2860)</f>
        <v/>
      </c>
      <c r="E2860" s="65" t="str">
        <f>+IF('Data Pura Costos'!E2860="","",IF('Data Pura Costos'!E2860=0,MAX('Data Pura Costos'!$E$7:$E$3000)*1000,'Data Pura Costos'!E2860))</f>
        <v/>
      </c>
      <c r="F2860" s="5" t="str">
        <f>+IF('Data Pura Costos'!F2860="","",'Data Pura Costos'!F2860)</f>
        <v/>
      </c>
      <c r="G2860" s="5" t="str">
        <f>+IF('Data Pura Costos'!G2860="","",'Data Pura Costos'!G2860)</f>
        <v/>
      </c>
      <c r="H2860" s="52" t="str">
        <f>+IF('Data Pura Costos'!H2860="","",'Data Pura Costos'!H2860)</f>
        <v/>
      </c>
      <c r="I2860" s="71" t="str">
        <f>+IF('Data Pura Costos'!I2860="","",'Data Pura Costos'!I2860)</f>
        <v/>
      </c>
      <c r="J2860" s="52" t="str">
        <f>+IF('Data Pura Costos'!J2860="","",'Data Pura Costos'!J2860)</f>
        <v/>
      </c>
      <c r="K2860" s="82" t="str">
        <f t="shared" si="49"/>
        <v/>
      </c>
    </row>
    <row r="2861" spans="2:11" x14ac:dyDescent="0.35">
      <c r="B2861" s="4" t="str">
        <f>+IF('Data Pura Costos'!B2861="","",'Data Pura Costos'!B2861)</f>
        <v/>
      </c>
      <c r="C2861" s="4" t="str">
        <f>+IF('Data Pura Costos'!C2861="","",'Data Pura Costos'!C2861)</f>
        <v/>
      </c>
      <c r="D2861" s="5" t="str">
        <f>+IF('Data Pura Costos'!D2861="","",'Data Pura Costos'!D2861)</f>
        <v/>
      </c>
      <c r="E2861" s="65" t="str">
        <f>+IF('Data Pura Costos'!E2861="","",IF('Data Pura Costos'!E2861=0,MAX('Data Pura Costos'!$E$7:$E$3000)*1000,'Data Pura Costos'!E2861))</f>
        <v/>
      </c>
      <c r="F2861" s="5" t="str">
        <f>+IF('Data Pura Costos'!F2861="","",'Data Pura Costos'!F2861)</f>
        <v/>
      </c>
      <c r="G2861" s="5" t="str">
        <f>+IF('Data Pura Costos'!G2861="","",'Data Pura Costos'!G2861)</f>
        <v/>
      </c>
      <c r="H2861" s="52" t="str">
        <f>+IF('Data Pura Costos'!H2861="","",'Data Pura Costos'!H2861)</f>
        <v/>
      </c>
      <c r="I2861" s="71" t="str">
        <f>+IF('Data Pura Costos'!I2861="","",'Data Pura Costos'!I2861)</f>
        <v/>
      </c>
      <c r="J2861" s="52" t="str">
        <f>+IF('Data Pura Costos'!J2861="","",'Data Pura Costos'!J2861)</f>
        <v/>
      </c>
      <c r="K2861" s="82" t="str">
        <f t="shared" si="49"/>
        <v/>
      </c>
    </row>
    <row r="2862" spans="2:11" x14ac:dyDescent="0.35">
      <c r="B2862" s="4" t="str">
        <f>+IF('Data Pura Costos'!B2862="","",'Data Pura Costos'!B2862)</f>
        <v/>
      </c>
      <c r="C2862" s="4" t="str">
        <f>+IF('Data Pura Costos'!C2862="","",'Data Pura Costos'!C2862)</f>
        <v/>
      </c>
      <c r="D2862" s="5" t="str">
        <f>+IF('Data Pura Costos'!D2862="","",'Data Pura Costos'!D2862)</f>
        <v/>
      </c>
      <c r="E2862" s="65" t="str">
        <f>+IF('Data Pura Costos'!E2862="","",IF('Data Pura Costos'!E2862=0,MAX('Data Pura Costos'!$E$7:$E$3000)*1000,'Data Pura Costos'!E2862))</f>
        <v/>
      </c>
      <c r="F2862" s="5" t="str">
        <f>+IF('Data Pura Costos'!F2862="","",'Data Pura Costos'!F2862)</f>
        <v/>
      </c>
      <c r="G2862" s="5" t="str">
        <f>+IF('Data Pura Costos'!G2862="","",'Data Pura Costos'!G2862)</f>
        <v/>
      </c>
      <c r="H2862" s="52" t="str">
        <f>+IF('Data Pura Costos'!H2862="","",'Data Pura Costos'!H2862)</f>
        <v/>
      </c>
      <c r="I2862" s="71" t="str">
        <f>+IF('Data Pura Costos'!I2862="","",'Data Pura Costos'!I2862)</f>
        <v/>
      </c>
      <c r="J2862" s="52" t="str">
        <f>+IF('Data Pura Costos'!J2862="","",'Data Pura Costos'!J2862)</f>
        <v/>
      </c>
      <c r="K2862" s="82" t="str">
        <f t="shared" si="49"/>
        <v/>
      </c>
    </row>
    <row r="2863" spans="2:11" x14ac:dyDescent="0.35">
      <c r="B2863" s="4" t="str">
        <f>+IF('Data Pura Costos'!B2863="","",'Data Pura Costos'!B2863)</f>
        <v/>
      </c>
      <c r="C2863" s="4" t="str">
        <f>+IF('Data Pura Costos'!C2863="","",'Data Pura Costos'!C2863)</f>
        <v/>
      </c>
      <c r="D2863" s="5" t="str">
        <f>+IF('Data Pura Costos'!D2863="","",'Data Pura Costos'!D2863)</f>
        <v/>
      </c>
      <c r="E2863" s="65" t="str">
        <f>+IF('Data Pura Costos'!E2863="","",IF('Data Pura Costos'!E2863=0,MAX('Data Pura Costos'!$E$7:$E$3000)*1000,'Data Pura Costos'!E2863))</f>
        <v/>
      </c>
      <c r="F2863" s="5" t="str">
        <f>+IF('Data Pura Costos'!F2863="","",'Data Pura Costos'!F2863)</f>
        <v/>
      </c>
      <c r="G2863" s="5" t="str">
        <f>+IF('Data Pura Costos'!G2863="","",'Data Pura Costos'!G2863)</f>
        <v/>
      </c>
      <c r="H2863" s="52" t="str">
        <f>+IF('Data Pura Costos'!H2863="","",'Data Pura Costos'!H2863)</f>
        <v/>
      </c>
      <c r="I2863" s="71" t="str">
        <f>+IF('Data Pura Costos'!I2863="","",'Data Pura Costos'!I2863)</f>
        <v/>
      </c>
      <c r="J2863" s="52" t="str">
        <f>+IF('Data Pura Costos'!J2863="","",'Data Pura Costos'!J2863)</f>
        <v/>
      </c>
      <c r="K2863" s="82" t="str">
        <f t="shared" si="49"/>
        <v/>
      </c>
    </row>
    <row r="2864" spans="2:11" x14ac:dyDescent="0.35">
      <c r="B2864" s="4" t="str">
        <f>+IF('Data Pura Costos'!B2864="","",'Data Pura Costos'!B2864)</f>
        <v/>
      </c>
      <c r="C2864" s="4" t="str">
        <f>+IF('Data Pura Costos'!C2864="","",'Data Pura Costos'!C2864)</f>
        <v/>
      </c>
      <c r="D2864" s="5" t="str">
        <f>+IF('Data Pura Costos'!D2864="","",'Data Pura Costos'!D2864)</f>
        <v/>
      </c>
      <c r="E2864" s="65" t="str">
        <f>+IF('Data Pura Costos'!E2864="","",IF('Data Pura Costos'!E2864=0,MAX('Data Pura Costos'!$E$7:$E$3000)*1000,'Data Pura Costos'!E2864))</f>
        <v/>
      </c>
      <c r="F2864" s="5" t="str">
        <f>+IF('Data Pura Costos'!F2864="","",'Data Pura Costos'!F2864)</f>
        <v/>
      </c>
      <c r="G2864" s="5" t="str">
        <f>+IF('Data Pura Costos'!G2864="","",'Data Pura Costos'!G2864)</f>
        <v/>
      </c>
      <c r="H2864" s="52" t="str">
        <f>+IF('Data Pura Costos'!H2864="","",'Data Pura Costos'!H2864)</f>
        <v/>
      </c>
      <c r="I2864" s="71" t="str">
        <f>+IF('Data Pura Costos'!I2864="","",'Data Pura Costos'!I2864)</f>
        <v/>
      </c>
      <c r="J2864" s="52" t="str">
        <f>+IF('Data Pura Costos'!J2864="","",'Data Pura Costos'!J2864)</f>
        <v/>
      </c>
      <c r="K2864" s="82" t="str">
        <f t="shared" si="49"/>
        <v/>
      </c>
    </row>
    <row r="2865" spans="2:11" x14ac:dyDescent="0.35">
      <c r="B2865" s="4" t="str">
        <f>+IF('Data Pura Costos'!B2865="","",'Data Pura Costos'!B2865)</f>
        <v/>
      </c>
      <c r="C2865" s="4" t="str">
        <f>+IF('Data Pura Costos'!C2865="","",'Data Pura Costos'!C2865)</f>
        <v/>
      </c>
      <c r="D2865" s="5" t="str">
        <f>+IF('Data Pura Costos'!D2865="","",'Data Pura Costos'!D2865)</f>
        <v/>
      </c>
      <c r="E2865" s="65" t="str">
        <f>+IF('Data Pura Costos'!E2865="","",IF('Data Pura Costos'!E2865=0,MAX('Data Pura Costos'!$E$7:$E$3000)*1000,'Data Pura Costos'!E2865))</f>
        <v/>
      </c>
      <c r="F2865" s="5" t="str">
        <f>+IF('Data Pura Costos'!F2865="","",'Data Pura Costos'!F2865)</f>
        <v/>
      </c>
      <c r="G2865" s="5" t="str">
        <f>+IF('Data Pura Costos'!G2865="","",'Data Pura Costos'!G2865)</f>
        <v/>
      </c>
      <c r="H2865" s="52" t="str">
        <f>+IF('Data Pura Costos'!H2865="","",'Data Pura Costos'!H2865)</f>
        <v/>
      </c>
      <c r="I2865" s="71" t="str">
        <f>+IF('Data Pura Costos'!I2865="","",'Data Pura Costos'!I2865)</f>
        <v/>
      </c>
      <c r="J2865" s="52" t="str">
        <f>+IF('Data Pura Costos'!J2865="","",'Data Pura Costos'!J2865)</f>
        <v/>
      </c>
      <c r="K2865" s="82" t="str">
        <f t="shared" si="49"/>
        <v/>
      </c>
    </row>
    <row r="2866" spans="2:11" x14ac:dyDescent="0.35">
      <c r="B2866" s="4" t="str">
        <f>+IF('Data Pura Costos'!B2866="","",'Data Pura Costos'!B2866)</f>
        <v/>
      </c>
      <c r="C2866" s="4" t="str">
        <f>+IF('Data Pura Costos'!C2866="","",'Data Pura Costos'!C2866)</f>
        <v/>
      </c>
      <c r="D2866" s="5" t="str">
        <f>+IF('Data Pura Costos'!D2866="","",'Data Pura Costos'!D2866)</f>
        <v/>
      </c>
      <c r="E2866" s="65" t="str">
        <f>+IF('Data Pura Costos'!E2866="","",IF('Data Pura Costos'!E2866=0,MAX('Data Pura Costos'!$E$7:$E$3000)*1000,'Data Pura Costos'!E2866))</f>
        <v/>
      </c>
      <c r="F2866" s="5" t="str">
        <f>+IF('Data Pura Costos'!F2866="","",'Data Pura Costos'!F2866)</f>
        <v/>
      </c>
      <c r="G2866" s="5" t="str">
        <f>+IF('Data Pura Costos'!G2866="","",'Data Pura Costos'!G2866)</f>
        <v/>
      </c>
      <c r="H2866" s="52" t="str">
        <f>+IF('Data Pura Costos'!H2866="","",'Data Pura Costos'!H2866)</f>
        <v/>
      </c>
      <c r="I2866" s="71" t="str">
        <f>+IF('Data Pura Costos'!I2866="","",'Data Pura Costos'!I2866)</f>
        <v/>
      </c>
      <c r="J2866" s="52" t="str">
        <f>+IF('Data Pura Costos'!J2866="","",'Data Pura Costos'!J2866)</f>
        <v/>
      </c>
      <c r="K2866" s="82" t="str">
        <f t="shared" si="49"/>
        <v/>
      </c>
    </row>
    <row r="2867" spans="2:11" x14ac:dyDescent="0.35">
      <c r="B2867" s="4" t="str">
        <f>+IF('Data Pura Costos'!B2867="","",'Data Pura Costos'!B2867)</f>
        <v/>
      </c>
      <c r="C2867" s="4" t="str">
        <f>+IF('Data Pura Costos'!C2867="","",'Data Pura Costos'!C2867)</f>
        <v/>
      </c>
      <c r="D2867" s="5" t="str">
        <f>+IF('Data Pura Costos'!D2867="","",'Data Pura Costos'!D2867)</f>
        <v/>
      </c>
      <c r="E2867" s="65" t="str">
        <f>+IF('Data Pura Costos'!E2867="","",IF('Data Pura Costos'!E2867=0,MAX('Data Pura Costos'!$E$7:$E$3000)*1000,'Data Pura Costos'!E2867))</f>
        <v/>
      </c>
      <c r="F2867" s="5" t="str">
        <f>+IF('Data Pura Costos'!F2867="","",'Data Pura Costos'!F2867)</f>
        <v/>
      </c>
      <c r="G2867" s="5" t="str">
        <f>+IF('Data Pura Costos'!G2867="","",'Data Pura Costos'!G2867)</f>
        <v/>
      </c>
      <c r="H2867" s="52" t="str">
        <f>+IF('Data Pura Costos'!H2867="","",'Data Pura Costos'!H2867)</f>
        <v/>
      </c>
      <c r="I2867" s="71" t="str">
        <f>+IF('Data Pura Costos'!I2867="","",'Data Pura Costos'!I2867)</f>
        <v/>
      </c>
      <c r="J2867" s="52" t="str">
        <f>+IF('Data Pura Costos'!J2867="","",'Data Pura Costos'!J2867)</f>
        <v/>
      </c>
      <c r="K2867" s="82" t="str">
        <f t="shared" si="49"/>
        <v/>
      </c>
    </row>
    <row r="2868" spans="2:11" x14ac:dyDescent="0.35">
      <c r="B2868" s="4" t="str">
        <f>+IF('Data Pura Costos'!B2868="","",'Data Pura Costos'!B2868)</f>
        <v/>
      </c>
      <c r="C2868" s="4" t="str">
        <f>+IF('Data Pura Costos'!C2868="","",'Data Pura Costos'!C2868)</f>
        <v/>
      </c>
      <c r="D2868" s="5" t="str">
        <f>+IF('Data Pura Costos'!D2868="","",'Data Pura Costos'!D2868)</f>
        <v/>
      </c>
      <c r="E2868" s="65" t="str">
        <f>+IF('Data Pura Costos'!E2868="","",IF('Data Pura Costos'!E2868=0,MAX('Data Pura Costos'!$E$7:$E$3000)*1000,'Data Pura Costos'!E2868))</f>
        <v/>
      </c>
      <c r="F2868" s="5" t="str">
        <f>+IF('Data Pura Costos'!F2868="","",'Data Pura Costos'!F2868)</f>
        <v/>
      </c>
      <c r="G2868" s="5" t="str">
        <f>+IF('Data Pura Costos'!G2868="","",'Data Pura Costos'!G2868)</f>
        <v/>
      </c>
      <c r="H2868" s="52" t="str">
        <f>+IF('Data Pura Costos'!H2868="","",'Data Pura Costos'!H2868)</f>
        <v/>
      </c>
      <c r="I2868" s="71" t="str">
        <f>+IF('Data Pura Costos'!I2868="","",'Data Pura Costos'!I2868)</f>
        <v/>
      </c>
      <c r="J2868" s="52" t="str">
        <f>+IF('Data Pura Costos'!J2868="","",'Data Pura Costos'!J2868)</f>
        <v/>
      </c>
      <c r="K2868" s="82" t="str">
        <f t="shared" si="49"/>
        <v/>
      </c>
    </row>
    <row r="2869" spans="2:11" x14ac:dyDescent="0.35">
      <c r="B2869" s="4" t="str">
        <f>+IF('Data Pura Costos'!B2869="","",'Data Pura Costos'!B2869)</f>
        <v/>
      </c>
      <c r="C2869" s="4" t="str">
        <f>+IF('Data Pura Costos'!C2869="","",'Data Pura Costos'!C2869)</f>
        <v/>
      </c>
      <c r="D2869" s="5" t="str">
        <f>+IF('Data Pura Costos'!D2869="","",'Data Pura Costos'!D2869)</f>
        <v/>
      </c>
      <c r="E2869" s="65" t="str">
        <f>+IF('Data Pura Costos'!E2869="","",IF('Data Pura Costos'!E2869=0,MAX('Data Pura Costos'!$E$7:$E$3000)*1000,'Data Pura Costos'!E2869))</f>
        <v/>
      </c>
      <c r="F2869" s="5" t="str">
        <f>+IF('Data Pura Costos'!F2869="","",'Data Pura Costos'!F2869)</f>
        <v/>
      </c>
      <c r="G2869" s="5" t="str">
        <f>+IF('Data Pura Costos'!G2869="","",'Data Pura Costos'!G2869)</f>
        <v/>
      </c>
      <c r="H2869" s="52" t="str">
        <f>+IF('Data Pura Costos'!H2869="","",'Data Pura Costos'!H2869)</f>
        <v/>
      </c>
      <c r="I2869" s="71" t="str">
        <f>+IF('Data Pura Costos'!I2869="","",'Data Pura Costos'!I2869)</f>
        <v/>
      </c>
      <c r="J2869" s="52" t="str">
        <f>+IF('Data Pura Costos'!J2869="","",'Data Pura Costos'!J2869)</f>
        <v/>
      </c>
      <c r="K2869" s="82" t="str">
        <f t="shared" si="49"/>
        <v/>
      </c>
    </row>
    <row r="2870" spans="2:11" x14ac:dyDescent="0.35">
      <c r="B2870" s="4" t="str">
        <f>+IF('Data Pura Costos'!B2870="","",'Data Pura Costos'!B2870)</f>
        <v/>
      </c>
      <c r="C2870" s="4" t="str">
        <f>+IF('Data Pura Costos'!C2870="","",'Data Pura Costos'!C2870)</f>
        <v/>
      </c>
      <c r="D2870" s="5" t="str">
        <f>+IF('Data Pura Costos'!D2870="","",'Data Pura Costos'!D2870)</f>
        <v/>
      </c>
      <c r="E2870" s="65" t="str">
        <f>+IF('Data Pura Costos'!E2870="","",IF('Data Pura Costos'!E2870=0,MAX('Data Pura Costos'!$E$7:$E$3000)*1000,'Data Pura Costos'!E2870))</f>
        <v/>
      </c>
      <c r="F2870" s="5" t="str">
        <f>+IF('Data Pura Costos'!F2870="","",'Data Pura Costos'!F2870)</f>
        <v/>
      </c>
      <c r="G2870" s="5" t="str">
        <f>+IF('Data Pura Costos'!G2870="","",'Data Pura Costos'!G2870)</f>
        <v/>
      </c>
      <c r="H2870" s="52" t="str">
        <f>+IF('Data Pura Costos'!H2870="","",'Data Pura Costos'!H2870)</f>
        <v/>
      </c>
      <c r="I2870" s="71" t="str">
        <f>+IF('Data Pura Costos'!I2870="","",'Data Pura Costos'!I2870)</f>
        <v/>
      </c>
      <c r="J2870" s="52" t="str">
        <f>+IF('Data Pura Costos'!J2870="","",'Data Pura Costos'!J2870)</f>
        <v/>
      </c>
      <c r="K2870" s="82" t="str">
        <f t="shared" si="49"/>
        <v/>
      </c>
    </row>
    <row r="2871" spans="2:11" x14ac:dyDescent="0.35">
      <c r="B2871" s="4" t="str">
        <f>+IF('Data Pura Costos'!B2871="","",'Data Pura Costos'!B2871)</f>
        <v/>
      </c>
      <c r="C2871" s="4" t="str">
        <f>+IF('Data Pura Costos'!C2871="","",'Data Pura Costos'!C2871)</f>
        <v/>
      </c>
      <c r="D2871" s="5" t="str">
        <f>+IF('Data Pura Costos'!D2871="","",'Data Pura Costos'!D2871)</f>
        <v/>
      </c>
      <c r="E2871" s="65" t="str">
        <f>+IF('Data Pura Costos'!E2871="","",IF('Data Pura Costos'!E2871=0,MAX('Data Pura Costos'!$E$7:$E$3000)*1000,'Data Pura Costos'!E2871))</f>
        <v/>
      </c>
      <c r="F2871" s="5" t="str">
        <f>+IF('Data Pura Costos'!F2871="","",'Data Pura Costos'!F2871)</f>
        <v/>
      </c>
      <c r="G2871" s="5" t="str">
        <f>+IF('Data Pura Costos'!G2871="","",'Data Pura Costos'!G2871)</f>
        <v/>
      </c>
      <c r="H2871" s="52" t="str">
        <f>+IF('Data Pura Costos'!H2871="","",'Data Pura Costos'!H2871)</f>
        <v/>
      </c>
      <c r="I2871" s="71" t="str">
        <f>+IF('Data Pura Costos'!I2871="","",'Data Pura Costos'!I2871)</f>
        <v/>
      </c>
      <c r="J2871" s="52" t="str">
        <f>+IF('Data Pura Costos'!J2871="","",'Data Pura Costos'!J2871)</f>
        <v/>
      </c>
      <c r="K2871" s="82" t="str">
        <f t="shared" si="49"/>
        <v/>
      </c>
    </row>
    <row r="2872" spans="2:11" x14ac:dyDescent="0.35">
      <c r="B2872" s="4" t="str">
        <f>+IF('Data Pura Costos'!B2872="","",'Data Pura Costos'!B2872)</f>
        <v/>
      </c>
      <c r="C2872" s="4" t="str">
        <f>+IF('Data Pura Costos'!C2872="","",'Data Pura Costos'!C2872)</f>
        <v/>
      </c>
      <c r="D2872" s="5" t="str">
        <f>+IF('Data Pura Costos'!D2872="","",'Data Pura Costos'!D2872)</f>
        <v/>
      </c>
      <c r="E2872" s="65" t="str">
        <f>+IF('Data Pura Costos'!E2872="","",IF('Data Pura Costos'!E2872=0,MAX('Data Pura Costos'!$E$7:$E$3000)*1000,'Data Pura Costos'!E2872))</f>
        <v/>
      </c>
      <c r="F2872" s="5" t="str">
        <f>+IF('Data Pura Costos'!F2872="","",'Data Pura Costos'!F2872)</f>
        <v/>
      </c>
      <c r="G2872" s="5" t="str">
        <f>+IF('Data Pura Costos'!G2872="","",'Data Pura Costos'!G2872)</f>
        <v/>
      </c>
      <c r="H2872" s="52" t="str">
        <f>+IF('Data Pura Costos'!H2872="","",'Data Pura Costos'!H2872)</f>
        <v/>
      </c>
      <c r="I2872" s="71" t="str">
        <f>+IF('Data Pura Costos'!I2872="","",'Data Pura Costos'!I2872)</f>
        <v/>
      </c>
      <c r="J2872" s="52" t="str">
        <f>+IF('Data Pura Costos'!J2872="","",'Data Pura Costos'!J2872)</f>
        <v/>
      </c>
      <c r="K2872" s="82" t="str">
        <f t="shared" si="49"/>
        <v/>
      </c>
    </row>
    <row r="2873" spans="2:11" x14ac:dyDescent="0.35">
      <c r="B2873" s="4" t="str">
        <f>+IF('Data Pura Costos'!B2873="","",'Data Pura Costos'!B2873)</f>
        <v/>
      </c>
      <c r="C2873" s="4" t="str">
        <f>+IF('Data Pura Costos'!C2873="","",'Data Pura Costos'!C2873)</f>
        <v/>
      </c>
      <c r="D2873" s="5" t="str">
        <f>+IF('Data Pura Costos'!D2873="","",'Data Pura Costos'!D2873)</f>
        <v/>
      </c>
      <c r="E2873" s="65" t="str">
        <f>+IF('Data Pura Costos'!E2873="","",IF('Data Pura Costos'!E2873=0,MAX('Data Pura Costos'!$E$7:$E$3000)*1000,'Data Pura Costos'!E2873))</f>
        <v/>
      </c>
      <c r="F2873" s="5" t="str">
        <f>+IF('Data Pura Costos'!F2873="","",'Data Pura Costos'!F2873)</f>
        <v/>
      </c>
      <c r="G2873" s="5" t="str">
        <f>+IF('Data Pura Costos'!G2873="","",'Data Pura Costos'!G2873)</f>
        <v/>
      </c>
      <c r="H2873" s="52" t="str">
        <f>+IF('Data Pura Costos'!H2873="","",'Data Pura Costos'!H2873)</f>
        <v/>
      </c>
      <c r="I2873" s="71" t="str">
        <f>+IF('Data Pura Costos'!I2873="","",'Data Pura Costos'!I2873)</f>
        <v/>
      </c>
      <c r="J2873" s="52" t="str">
        <f>+IF('Data Pura Costos'!J2873="","",'Data Pura Costos'!J2873)</f>
        <v/>
      </c>
      <c r="K2873" s="82" t="str">
        <f t="shared" si="49"/>
        <v/>
      </c>
    </row>
    <row r="2874" spans="2:11" x14ac:dyDescent="0.35">
      <c r="B2874" s="4" t="str">
        <f>+IF('Data Pura Costos'!B2874="","",'Data Pura Costos'!B2874)</f>
        <v/>
      </c>
      <c r="C2874" s="4" t="str">
        <f>+IF('Data Pura Costos'!C2874="","",'Data Pura Costos'!C2874)</f>
        <v/>
      </c>
      <c r="D2874" s="5" t="str">
        <f>+IF('Data Pura Costos'!D2874="","",'Data Pura Costos'!D2874)</f>
        <v/>
      </c>
      <c r="E2874" s="65" t="str">
        <f>+IF('Data Pura Costos'!E2874="","",IF('Data Pura Costos'!E2874=0,MAX('Data Pura Costos'!$E$7:$E$3000)*1000,'Data Pura Costos'!E2874))</f>
        <v/>
      </c>
      <c r="F2874" s="5" t="str">
        <f>+IF('Data Pura Costos'!F2874="","",'Data Pura Costos'!F2874)</f>
        <v/>
      </c>
      <c r="G2874" s="5" t="str">
        <f>+IF('Data Pura Costos'!G2874="","",'Data Pura Costos'!G2874)</f>
        <v/>
      </c>
      <c r="H2874" s="52" t="str">
        <f>+IF('Data Pura Costos'!H2874="","",'Data Pura Costos'!H2874)</f>
        <v/>
      </c>
      <c r="I2874" s="71" t="str">
        <f>+IF('Data Pura Costos'!I2874="","",'Data Pura Costos'!I2874)</f>
        <v/>
      </c>
      <c r="J2874" s="52" t="str">
        <f>+IF('Data Pura Costos'!J2874="","",'Data Pura Costos'!J2874)</f>
        <v/>
      </c>
      <c r="K2874" s="82" t="str">
        <f t="shared" si="49"/>
        <v/>
      </c>
    </row>
    <row r="2875" spans="2:11" x14ac:dyDescent="0.35">
      <c r="B2875" s="4" t="str">
        <f>+IF('Data Pura Costos'!B2875="","",'Data Pura Costos'!B2875)</f>
        <v/>
      </c>
      <c r="C2875" s="4" t="str">
        <f>+IF('Data Pura Costos'!C2875="","",'Data Pura Costos'!C2875)</f>
        <v/>
      </c>
      <c r="D2875" s="5" t="str">
        <f>+IF('Data Pura Costos'!D2875="","",'Data Pura Costos'!D2875)</f>
        <v/>
      </c>
      <c r="E2875" s="65" t="str">
        <f>+IF('Data Pura Costos'!E2875="","",IF('Data Pura Costos'!E2875=0,MAX('Data Pura Costos'!$E$7:$E$3000)*1000,'Data Pura Costos'!E2875))</f>
        <v/>
      </c>
      <c r="F2875" s="5" t="str">
        <f>+IF('Data Pura Costos'!F2875="","",'Data Pura Costos'!F2875)</f>
        <v/>
      </c>
      <c r="G2875" s="5" t="str">
        <f>+IF('Data Pura Costos'!G2875="","",'Data Pura Costos'!G2875)</f>
        <v/>
      </c>
      <c r="H2875" s="52" t="str">
        <f>+IF('Data Pura Costos'!H2875="","",'Data Pura Costos'!H2875)</f>
        <v/>
      </c>
      <c r="I2875" s="71" t="str">
        <f>+IF('Data Pura Costos'!I2875="","",'Data Pura Costos'!I2875)</f>
        <v/>
      </c>
      <c r="J2875" s="52" t="str">
        <f>+IF('Data Pura Costos'!J2875="","",'Data Pura Costos'!J2875)</f>
        <v/>
      </c>
      <c r="K2875" s="82" t="str">
        <f t="shared" si="49"/>
        <v/>
      </c>
    </row>
    <row r="2876" spans="2:11" x14ac:dyDescent="0.35">
      <c r="B2876" s="4" t="str">
        <f>+IF('Data Pura Costos'!B2876="","",'Data Pura Costos'!B2876)</f>
        <v/>
      </c>
      <c r="C2876" s="4" t="str">
        <f>+IF('Data Pura Costos'!C2876="","",'Data Pura Costos'!C2876)</f>
        <v/>
      </c>
      <c r="D2876" s="5" t="str">
        <f>+IF('Data Pura Costos'!D2876="","",'Data Pura Costos'!D2876)</f>
        <v/>
      </c>
      <c r="E2876" s="65" t="str">
        <f>+IF('Data Pura Costos'!E2876="","",IF('Data Pura Costos'!E2876=0,MAX('Data Pura Costos'!$E$7:$E$3000)*1000,'Data Pura Costos'!E2876))</f>
        <v/>
      </c>
      <c r="F2876" s="5" t="str">
        <f>+IF('Data Pura Costos'!F2876="","",'Data Pura Costos'!F2876)</f>
        <v/>
      </c>
      <c r="G2876" s="5" t="str">
        <f>+IF('Data Pura Costos'!G2876="","",'Data Pura Costos'!G2876)</f>
        <v/>
      </c>
      <c r="H2876" s="52" t="str">
        <f>+IF('Data Pura Costos'!H2876="","",'Data Pura Costos'!H2876)</f>
        <v/>
      </c>
      <c r="I2876" s="71" t="str">
        <f>+IF('Data Pura Costos'!I2876="","",'Data Pura Costos'!I2876)</f>
        <v/>
      </c>
      <c r="J2876" s="52" t="str">
        <f>+IF('Data Pura Costos'!J2876="","",'Data Pura Costos'!J2876)</f>
        <v/>
      </c>
      <c r="K2876" s="82" t="str">
        <f t="shared" ref="K2876:K2939" si="50">+IF(B2876="","",CONCATENATE(B2876,"-",F2876,"-",G2876))</f>
        <v/>
      </c>
    </row>
    <row r="2877" spans="2:11" x14ac:dyDescent="0.35">
      <c r="B2877" s="4" t="str">
        <f>+IF('Data Pura Costos'!B2877="","",'Data Pura Costos'!B2877)</f>
        <v/>
      </c>
      <c r="C2877" s="4" t="str">
        <f>+IF('Data Pura Costos'!C2877="","",'Data Pura Costos'!C2877)</f>
        <v/>
      </c>
      <c r="D2877" s="5" t="str">
        <f>+IF('Data Pura Costos'!D2877="","",'Data Pura Costos'!D2877)</f>
        <v/>
      </c>
      <c r="E2877" s="65" t="str">
        <f>+IF('Data Pura Costos'!E2877="","",IF('Data Pura Costos'!E2877=0,MAX('Data Pura Costos'!$E$7:$E$3000)*1000,'Data Pura Costos'!E2877))</f>
        <v/>
      </c>
      <c r="F2877" s="5" t="str">
        <f>+IF('Data Pura Costos'!F2877="","",'Data Pura Costos'!F2877)</f>
        <v/>
      </c>
      <c r="G2877" s="5" t="str">
        <f>+IF('Data Pura Costos'!G2877="","",'Data Pura Costos'!G2877)</f>
        <v/>
      </c>
      <c r="H2877" s="52" t="str">
        <f>+IF('Data Pura Costos'!H2877="","",'Data Pura Costos'!H2877)</f>
        <v/>
      </c>
      <c r="I2877" s="71" t="str">
        <f>+IF('Data Pura Costos'!I2877="","",'Data Pura Costos'!I2877)</f>
        <v/>
      </c>
      <c r="J2877" s="52" t="str">
        <f>+IF('Data Pura Costos'!J2877="","",'Data Pura Costos'!J2877)</f>
        <v/>
      </c>
      <c r="K2877" s="82" t="str">
        <f t="shared" si="50"/>
        <v/>
      </c>
    </row>
    <row r="2878" spans="2:11" x14ac:dyDescent="0.35">
      <c r="B2878" s="4" t="str">
        <f>+IF('Data Pura Costos'!B2878="","",'Data Pura Costos'!B2878)</f>
        <v/>
      </c>
      <c r="C2878" s="4" t="str">
        <f>+IF('Data Pura Costos'!C2878="","",'Data Pura Costos'!C2878)</f>
        <v/>
      </c>
      <c r="D2878" s="5" t="str">
        <f>+IF('Data Pura Costos'!D2878="","",'Data Pura Costos'!D2878)</f>
        <v/>
      </c>
      <c r="E2878" s="65" t="str">
        <f>+IF('Data Pura Costos'!E2878="","",IF('Data Pura Costos'!E2878=0,MAX('Data Pura Costos'!$E$7:$E$3000)*1000,'Data Pura Costos'!E2878))</f>
        <v/>
      </c>
      <c r="F2878" s="5" t="str">
        <f>+IF('Data Pura Costos'!F2878="","",'Data Pura Costos'!F2878)</f>
        <v/>
      </c>
      <c r="G2878" s="5" t="str">
        <f>+IF('Data Pura Costos'!G2878="","",'Data Pura Costos'!G2878)</f>
        <v/>
      </c>
      <c r="H2878" s="52" t="str">
        <f>+IF('Data Pura Costos'!H2878="","",'Data Pura Costos'!H2878)</f>
        <v/>
      </c>
      <c r="I2878" s="71" t="str">
        <f>+IF('Data Pura Costos'!I2878="","",'Data Pura Costos'!I2878)</f>
        <v/>
      </c>
      <c r="J2878" s="52" t="str">
        <f>+IF('Data Pura Costos'!J2878="","",'Data Pura Costos'!J2878)</f>
        <v/>
      </c>
      <c r="K2878" s="82" t="str">
        <f t="shared" si="50"/>
        <v/>
      </c>
    </row>
    <row r="2879" spans="2:11" x14ac:dyDescent="0.35">
      <c r="B2879" s="4" t="str">
        <f>+IF('Data Pura Costos'!B2879="","",'Data Pura Costos'!B2879)</f>
        <v/>
      </c>
      <c r="C2879" s="4" t="str">
        <f>+IF('Data Pura Costos'!C2879="","",'Data Pura Costos'!C2879)</f>
        <v/>
      </c>
      <c r="D2879" s="5" t="str">
        <f>+IF('Data Pura Costos'!D2879="","",'Data Pura Costos'!D2879)</f>
        <v/>
      </c>
      <c r="E2879" s="65" t="str">
        <f>+IF('Data Pura Costos'!E2879="","",IF('Data Pura Costos'!E2879=0,MAX('Data Pura Costos'!$E$7:$E$3000)*1000,'Data Pura Costos'!E2879))</f>
        <v/>
      </c>
      <c r="F2879" s="5" t="str">
        <f>+IF('Data Pura Costos'!F2879="","",'Data Pura Costos'!F2879)</f>
        <v/>
      </c>
      <c r="G2879" s="5" t="str">
        <f>+IF('Data Pura Costos'!G2879="","",'Data Pura Costos'!G2879)</f>
        <v/>
      </c>
      <c r="H2879" s="52" t="str">
        <f>+IF('Data Pura Costos'!H2879="","",'Data Pura Costos'!H2879)</f>
        <v/>
      </c>
      <c r="I2879" s="71" t="str">
        <f>+IF('Data Pura Costos'!I2879="","",'Data Pura Costos'!I2879)</f>
        <v/>
      </c>
      <c r="J2879" s="52" t="str">
        <f>+IF('Data Pura Costos'!J2879="","",'Data Pura Costos'!J2879)</f>
        <v/>
      </c>
      <c r="K2879" s="82" t="str">
        <f t="shared" si="50"/>
        <v/>
      </c>
    </row>
    <row r="2880" spans="2:11" x14ac:dyDescent="0.35">
      <c r="B2880" s="4" t="str">
        <f>+IF('Data Pura Costos'!B2880="","",'Data Pura Costos'!B2880)</f>
        <v/>
      </c>
      <c r="C2880" s="4" t="str">
        <f>+IF('Data Pura Costos'!C2880="","",'Data Pura Costos'!C2880)</f>
        <v/>
      </c>
      <c r="D2880" s="5" t="str">
        <f>+IF('Data Pura Costos'!D2880="","",'Data Pura Costos'!D2880)</f>
        <v/>
      </c>
      <c r="E2880" s="65" t="str">
        <f>+IF('Data Pura Costos'!E2880="","",IF('Data Pura Costos'!E2880=0,MAX('Data Pura Costos'!$E$7:$E$3000)*1000,'Data Pura Costos'!E2880))</f>
        <v/>
      </c>
      <c r="F2880" s="5" t="str">
        <f>+IF('Data Pura Costos'!F2880="","",'Data Pura Costos'!F2880)</f>
        <v/>
      </c>
      <c r="G2880" s="5" t="str">
        <f>+IF('Data Pura Costos'!G2880="","",'Data Pura Costos'!G2880)</f>
        <v/>
      </c>
      <c r="H2880" s="52" t="str">
        <f>+IF('Data Pura Costos'!H2880="","",'Data Pura Costos'!H2880)</f>
        <v/>
      </c>
      <c r="I2880" s="71" t="str">
        <f>+IF('Data Pura Costos'!I2880="","",'Data Pura Costos'!I2880)</f>
        <v/>
      </c>
      <c r="J2880" s="52" t="str">
        <f>+IF('Data Pura Costos'!J2880="","",'Data Pura Costos'!J2880)</f>
        <v/>
      </c>
      <c r="K2880" s="82" t="str">
        <f t="shared" si="50"/>
        <v/>
      </c>
    </row>
    <row r="2881" spans="2:11" x14ac:dyDescent="0.35">
      <c r="B2881" s="4" t="str">
        <f>+IF('Data Pura Costos'!B2881="","",'Data Pura Costos'!B2881)</f>
        <v/>
      </c>
      <c r="C2881" s="4" t="str">
        <f>+IF('Data Pura Costos'!C2881="","",'Data Pura Costos'!C2881)</f>
        <v/>
      </c>
      <c r="D2881" s="5" t="str">
        <f>+IF('Data Pura Costos'!D2881="","",'Data Pura Costos'!D2881)</f>
        <v/>
      </c>
      <c r="E2881" s="65" t="str">
        <f>+IF('Data Pura Costos'!E2881="","",IF('Data Pura Costos'!E2881=0,MAX('Data Pura Costos'!$E$7:$E$3000)*1000,'Data Pura Costos'!E2881))</f>
        <v/>
      </c>
      <c r="F2881" s="5" t="str">
        <f>+IF('Data Pura Costos'!F2881="","",'Data Pura Costos'!F2881)</f>
        <v/>
      </c>
      <c r="G2881" s="5" t="str">
        <f>+IF('Data Pura Costos'!G2881="","",'Data Pura Costos'!G2881)</f>
        <v/>
      </c>
      <c r="H2881" s="52" t="str">
        <f>+IF('Data Pura Costos'!H2881="","",'Data Pura Costos'!H2881)</f>
        <v/>
      </c>
      <c r="I2881" s="71" t="str">
        <f>+IF('Data Pura Costos'!I2881="","",'Data Pura Costos'!I2881)</f>
        <v/>
      </c>
      <c r="J2881" s="52" t="str">
        <f>+IF('Data Pura Costos'!J2881="","",'Data Pura Costos'!J2881)</f>
        <v/>
      </c>
      <c r="K2881" s="82" t="str">
        <f t="shared" si="50"/>
        <v/>
      </c>
    </row>
    <row r="2882" spans="2:11" x14ac:dyDescent="0.35">
      <c r="B2882" s="4" t="str">
        <f>+IF('Data Pura Costos'!B2882="","",'Data Pura Costos'!B2882)</f>
        <v/>
      </c>
      <c r="C2882" s="4" t="str">
        <f>+IF('Data Pura Costos'!C2882="","",'Data Pura Costos'!C2882)</f>
        <v/>
      </c>
      <c r="D2882" s="5" t="str">
        <f>+IF('Data Pura Costos'!D2882="","",'Data Pura Costos'!D2882)</f>
        <v/>
      </c>
      <c r="E2882" s="65" t="str">
        <f>+IF('Data Pura Costos'!E2882="","",IF('Data Pura Costos'!E2882=0,MAX('Data Pura Costos'!$E$7:$E$3000)*1000,'Data Pura Costos'!E2882))</f>
        <v/>
      </c>
      <c r="F2882" s="5" t="str">
        <f>+IF('Data Pura Costos'!F2882="","",'Data Pura Costos'!F2882)</f>
        <v/>
      </c>
      <c r="G2882" s="5" t="str">
        <f>+IF('Data Pura Costos'!G2882="","",'Data Pura Costos'!G2882)</f>
        <v/>
      </c>
      <c r="H2882" s="52" t="str">
        <f>+IF('Data Pura Costos'!H2882="","",'Data Pura Costos'!H2882)</f>
        <v/>
      </c>
      <c r="I2882" s="71" t="str">
        <f>+IF('Data Pura Costos'!I2882="","",'Data Pura Costos'!I2882)</f>
        <v/>
      </c>
      <c r="J2882" s="52" t="str">
        <f>+IF('Data Pura Costos'!J2882="","",'Data Pura Costos'!J2882)</f>
        <v/>
      </c>
      <c r="K2882" s="82" t="str">
        <f t="shared" si="50"/>
        <v/>
      </c>
    </row>
    <row r="2883" spans="2:11" x14ac:dyDescent="0.35">
      <c r="B2883" s="4" t="str">
        <f>+IF('Data Pura Costos'!B2883="","",'Data Pura Costos'!B2883)</f>
        <v/>
      </c>
      <c r="C2883" s="4" t="str">
        <f>+IF('Data Pura Costos'!C2883="","",'Data Pura Costos'!C2883)</f>
        <v/>
      </c>
      <c r="D2883" s="5" t="str">
        <f>+IF('Data Pura Costos'!D2883="","",'Data Pura Costos'!D2883)</f>
        <v/>
      </c>
      <c r="E2883" s="65" t="str">
        <f>+IF('Data Pura Costos'!E2883="","",IF('Data Pura Costos'!E2883=0,MAX('Data Pura Costos'!$E$7:$E$3000)*1000,'Data Pura Costos'!E2883))</f>
        <v/>
      </c>
      <c r="F2883" s="5" t="str">
        <f>+IF('Data Pura Costos'!F2883="","",'Data Pura Costos'!F2883)</f>
        <v/>
      </c>
      <c r="G2883" s="5" t="str">
        <f>+IF('Data Pura Costos'!G2883="","",'Data Pura Costos'!G2883)</f>
        <v/>
      </c>
      <c r="H2883" s="52" t="str">
        <f>+IF('Data Pura Costos'!H2883="","",'Data Pura Costos'!H2883)</f>
        <v/>
      </c>
      <c r="I2883" s="71" t="str">
        <f>+IF('Data Pura Costos'!I2883="","",'Data Pura Costos'!I2883)</f>
        <v/>
      </c>
      <c r="J2883" s="52" t="str">
        <f>+IF('Data Pura Costos'!J2883="","",'Data Pura Costos'!J2883)</f>
        <v/>
      </c>
      <c r="K2883" s="82" t="str">
        <f t="shared" si="50"/>
        <v/>
      </c>
    </row>
    <row r="2884" spans="2:11" x14ac:dyDescent="0.35">
      <c r="B2884" s="4" t="str">
        <f>+IF('Data Pura Costos'!B2884="","",'Data Pura Costos'!B2884)</f>
        <v/>
      </c>
      <c r="C2884" s="4" t="str">
        <f>+IF('Data Pura Costos'!C2884="","",'Data Pura Costos'!C2884)</f>
        <v/>
      </c>
      <c r="D2884" s="5" t="str">
        <f>+IF('Data Pura Costos'!D2884="","",'Data Pura Costos'!D2884)</f>
        <v/>
      </c>
      <c r="E2884" s="65" t="str">
        <f>+IF('Data Pura Costos'!E2884="","",IF('Data Pura Costos'!E2884=0,MAX('Data Pura Costos'!$E$7:$E$3000)*1000,'Data Pura Costos'!E2884))</f>
        <v/>
      </c>
      <c r="F2884" s="5" t="str">
        <f>+IF('Data Pura Costos'!F2884="","",'Data Pura Costos'!F2884)</f>
        <v/>
      </c>
      <c r="G2884" s="5" t="str">
        <f>+IF('Data Pura Costos'!G2884="","",'Data Pura Costos'!G2884)</f>
        <v/>
      </c>
      <c r="H2884" s="52" t="str">
        <f>+IF('Data Pura Costos'!H2884="","",'Data Pura Costos'!H2884)</f>
        <v/>
      </c>
      <c r="I2884" s="71" t="str">
        <f>+IF('Data Pura Costos'!I2884="","",'Data Pura Costos'!I2884)</f>
        <v/>
      </c>
      <c r="J2884" s="52" t="str">
        <f>+IF('Data Pura Costos'!J2884="","",'Data Pura Costos'!J2884)</f>
        <v/>
      </c>
      <c r="K2884" s="82" t="str">
        <f t="shared" si="50"/>
        <v/>
      </c>
    </row>
    <row r="2885" spans="2:11" x14ac:dyDescent="0.35">
      <c r="B2885" s="4" t="str">
        <f>+IF('Data Pura Costos'!B2885="","",'Data Pura Costos'!B2885)</f>
        <v/>
      </c>
      <c r="C2885" s="4" t="str">
        <f>+IF('Data Pura Costos'!C2885="","",'Data Pura Costos'!C2885)</f>
        <v/>
      </c>
      <c r="D2885" s="5" t="str">
        <f>+IF('Data Pura Costos'!D2885="","",'Data Pura Costos'!D2885)</f>
        <v/>
      </c>
      <c r="E2885" s="65" t="str">
        <f>+IF('Data Pura Costos'!E2885="","",IF('Data Pura Costos'!E2885=0,MAX('Data Pura Costos'!$E$7:$E$3000)*1000,'Data Pura Costos'!E2885))</f>
        <v/>
      </c>
      <c r="F2885" s="5" t="str">
        <f>+IF('Data Pura Costos'!F2885="","",'Data Pura Costos'!F2885)</f>
        <v/>
      </c>
      <c r="G2885" s="5" t="str">
        <f>+IF('Data Pura Costos'!G2885="","",'Data Pura Costos'!G2885)</f>
        <v/>
      </c>
      <c r="H2885" s="52" t="str">
        <f>+IF('Data Pura Costos'!H2885="","",'Data Pura Costos'!H2885)</f>
        <v/>
      </c>
      <c r="I2885" s="71" t="str">
        <f>+IF('Data Pura Costos'!I2885="","",'Data Pura Costos'!I2885)</f>
        <v/>
      </c>
      <c r="J2885" s="52" t="str">
        <f>+IF('Data Pura Costos'!J2885="","",'Data Pura Costos'!J2885)</f>
        <v/>
      </c>
      <c r="K2885" s="82" t="str">
        <f t="shared" si="50"/>
        <v/>
      </c>
    </row>
    <row r="2886" spans="2:11" x14ac:dyDescent="0.35">
      <c r="B2886" s="4" t="str">
        <f>+IF('Data Pura Costos'!B2886="","",'Data Pura Costos'!B2886)</f>
        <v/>
      </c>
      <c r="C2886" s="4" t="str">
        <f>+IF('Data Pura Costos'!C2886="","",'Data Pura Costos'!C2886)</f>
        <v/>
      </c>
      <c r="D2886" s="5" t="str">
        <f>+IF('Data Pura Costos'!D2886="","",'Data Pura Costos'!D2886)</f>
        <v/>
      </c>
      <c r="E2886" s="65" t="str">
        <f>+IF('Data Pura Costos'!E2886="","",IF('Data Pura Costos'!E2886=0,MAX('Data Pura Costos'!$E$7:$E$3000)*1000,'Data Pura Costos'!E2886))</f>
        <v/>
      </c>
      <c r="F2886" s="5" t="str">
        <f>+IF('Data Pura Costos'!F2886="","",'Data Pura Costos'!F2886)</f>
        <v/>
      </c>
      <c r="G2886" s="5" t="str">
        <f>+IF('Data Pura Costos'!G2886="","",'Data Pura Costos'!G2886)</f>
        <v/>
      </c>
      <c r="H2886" s="52" t="str">
        <f>+IF('Data Pura Costos'!H2886="","",'Data Pura Costos'!H2886)</f>
        <v/>
      </c>
      <c r="I2886" s="71" t="str">
        <f>+IF('Data Pura Costos'!I2886="","",'Data Pura Costos'!I2886)</f>
        <v/>
      </c>
      <c r="J2886" s="52" t="str">
        <f>+IF('Data Pura Costos'!J2886="","",'Data Pura Costos'!J2886)</f>
        <v/>
      </c>
      <c r="K2886" s="82" t="str">
        <f t="shared" si="50"/>
        <v/>
      </c>
    </row>
    <row r="2887" spans="2:11" x14ac:dyDescent="0.35">
      <c r="B2887" s="4" t="str">
        <f>+IF('Data Pura Costos'!B2887="","",'Data Pura Costos'!B2887)</f>
        <v/>
      </c>
      <c r="C2887" s="4" t="str">
        <f>+IF('Data Pura Costos'!C2887="","",'Data Pura Costos'!C2887)</f>
        <v/>
      </c>
      <c r="D2887" s="5" t="str">
        <f>+IF('Data Pura Costos'!D2887="","",'Data Pura Costos'!D2887)</f>
        <v/>
      </c>
      <c r="E2887" s="65" t="str">
        <f>+IF('Data Pura Costos'!E2887="","",IF('Data Pura Costos'!E2887=0,MAX('Data Pura Costos'!$E$7:$E$3000)*1000,'Data Pura Costos'!E2887))</f>
        <v/>
      </c>
      <c r="F2887" s="5" t="str">
        <f>+IF('Data Pura Costos'!F2887="","",'Data Pura Costos'!F2887)</f>
        <v/>
      </c>
      <c r="G2887" s="5" t="str">
        <f>+IF('Data Pura Costos'!G2887="","",'Data Pura Costos'!G2887)</f>
        <v/>
      </c>
      <c r="H2887" s="52" t="str">
        <f>+IF('Data Pura Costos'!H2887="","",'Data Pura Costos'!H2887)</f>
        <v/>
      </c>
      <c r="I2887" s="71" t="str">
        <f>+IF('Data Pura Costos'!I2887="","",'Data Pura Costos'!I2887)</f>
        <v/>
      </c>
      <c r="J2887" s="52" t="str">
        <f>+IF('Data Pura Costos'!J2887="","",'Data Pura Costos'!J2887)</f>
        <v/>
      </c>
      <c r="K2887" s="82" t="str">
        <f t="shared" si="50"/>
        <v/>
      </c>
    </row>
    <row r="2888" spans="2:11" x14ac:dyDescent="0.35">
      <c r="B2888" s="4" t="str">
        <f>+IF('Data Pura Costos'!B2888="","",'Data Pura Costos'!B2888)</f>
        <v/>
      </c>
      <c r="C2888" s="4" t="str">
        <f>+IF('Data Pura Costos'!C2888="","",'Data Pura Costos'!C2888)</f>
        <v/>
      </c>
      <c r="D2888" s="5" t="str">
        <f>+IF('Data Pura Costos'!D2888="","",'Data Pura Costos'!D2888)</f>
        <v/>
      </c>
      <c r="E2888" s="65" t="str">
        <f>+IF('Data Pura Costos'!E2888="","",IF('Data Pura Costos'!E2888=0,MAX('Data Pura Costos'!$E$7:$E$3000)*1000,'Data Pura Costos'!E2888))</f>
        <v/>
      </c>
      <c r="F2888" s="5" t="str">
        <f>+IF('Data Pura Costos'!F2888="","",'Data Pura Costos'!F2888)</f>
        <v/>
      </c>
      <c r="G2888" s="5" t="str">
        <f>+IF('Data Pura Costos'!G2888="","",'Data Pura Costos'!G2888)</f>
        <v/>
      </c>
      <c r="H2888" s="52" t="str">
        <f>+IF('Data Pura Costos'!H2888="","",'Data Pura Costos'!H2888)</f>
        <v/>
      </c>
      <c r="I2888" s="71" t="str">
        <f>+IF('Data Pura Costos'!I2888="","",'Data Pura Costos'!I2888)</f>
        <v/>
      </c>
      <c r="J2888" s="52" t="str">
        <f>+IF('Data Pura Costos'!J2888="","",'Data Pura Costos'!J2888)</f>
        <v/>
      </c>
      <c r="K2888" s="82" t="str">
        <f t="shared" si="50"/>
        <v/>
      </c>
    </row>
    <row r="2889" spans="2:11" x14ac:dyDescent="0.35">
      <c r="B2889" s="4" t="str">
        <f>+IF('Data Pura Costos'!B2889="","",'Data Pura Costos'!B2889)</f>
        <v/>
      </c>
      <c r="C2889" s="4" t="str">
        <f>+IF('Data Pura Costos'!C2889="","",'Data Pura Costos'!C2889)</f>
        <v/>
      </c>
      <c r="D2889" s="5" t="str">
        <f>+IF('Data Pura Costos'!D2889="","",'Data Pura Costos'!D2889)</f>
        <v/>
      </c>
      <c r="E2889" s="65" t="str">
        <f>+IF('Data Pura Costos'!E2889="","",IF('Data Pura Costos'!E2889=0,MAX('Data Pura Costos'!$E$7:$E$3000)*1000,'Data Pura Costos'!E2889))</f>
        <v/>
      </c>
      <c r="F2889" s="5" t="str">
        <f>+IF('Data Pura Costos'!F2889="","",'Data Pura Costos'!F2889)</f>
        <v/>
      </c>
      <c r="G2889" s="5" t="str">
        <f>+IF('Data Pura Costos'!G2889="","",'Data Pura Costos'!G2889)</f>
        <v/>
      </c>
      <c r="H2889" s="52" t="str">
        <f>+IF('Data Pura Costos'!H2889="","",'Data Pura Costos'!H2889)</f>
        <v/>
      </c>
      <c r="I2889" s="71" t="str">
        <f>+IF('Data Pura Costos'!I2889="","",'Data Pura Costos'!I2889)</f>
        <v/>
      </c>
      <c r="J2889" s="52" t="str">
        <f>+IF('Data Pura Costos'!J2889="","",'Data Pura Costos'!J2889)</f>
        <v/>
      </c>
      <c r="K2889" s="82" t="str">
        <f t="shared" si="50"/>
        <v/>
      </c>
    </row>
    <row r="2890" spans="2:11" x14ac:dyDescent="0.35">
      <c r="B2890" s="4" t="str">
        <f>+IF('Data Pura Costos'!B2890="","",'Data Pura Costos'!B2890)</f>
        <v/>
      </c>
      <c r="C2890" s="4" t="str">
        <f>+IF('Data Pura Costos'!C2890="","",'Data Pura Costos'!C2890)</f>
        <v/>
      </c>
      <c r="D2890" s="5" t="str">
        <f>+IF('Data Pura Costos'!D2890="","",'Data Pura Costos'!D2890)</f>
        <v/>
      </c>
      <c r="E2890" s="65" t="str">
        <f>+IF('Data Pura Costos'!E2890="","",IF('Data Pura Costos'!E2890=0,MAX('Data Pura Costos'!$E$7:$E$3000)*1000,'Data Pura Costos'!E2890))</f>
        <v/>
      </c>
      <c r="F2890" s="5" t="str">
        <f>+IF('Data Pura Costos'!F2890="","",'Data Pura Costos'!F2890)</f>
        <v/>
      </c>
      <c r="G2890" s="5" t="str">
        <f>+IF('Data Pura Costos'!G2890="","",'Data Pura Costos'!G2890)</f>
        <v/>
      </c>
      <c r="H2890" s="52" t="str">
        <f>+IF('Data Pura Costos'!H2890="","",'Data Pura Costos'!H2890)</f>
        <v/>
      </c>
      <c r="I2890" s="71" t="str">
        <f>+IF('Data Pura Costos'!I2890="","",'Data Pura Costos'!I2890)</f>
        <v/>
      </c>
      <c r="J2890" s="52" t="str">
        <f>+IF('Data Pura Costos'!J2890="","",'Data Pura Costos'!J2890)</f>
        <v/>
      </c>
      <c r="K2890" s="82" t="str">
        <f t="shared" si="50"/>
        <v/>
      </c>
    </row>
    <row r="2891" spans="2:11" x14ac:dyDescent="0.35">
      <c r="B2891" s="4" t="str">
        <f>+IF('Data Pura Costos'!B2891="","",'Data Pura Costos'!B2891)</f>
        <v/>
      </c>
      <c r="C2891" s="4" t="str">
        <f>+IF('Data Pura Costos'!C2891="","",'Data Pura Costos'!C2891)</f>
        <v/>
      </c>
      <c r="D2891" s="5" t="str">
        <f>+IF('Data Pura Costos'!D2891="","",'Data Pura Costos'!D2891)</f>
        <v/>
      </c>
      <c r="E2891" s="65" t="str">
        <f>+IF('Data Pura Costos'!E2891="","",IF('Data Pura Costos'!E2891=0,MAX('Data Pura Costos'!$E$7:$E$3000)*1000,'Data Pura Costos'!E2891))</f>
        <v/>
      </c>
      <c r="F2891" s="5" t="str">
        <f>+IF('Data Pura Costos'!F2891="","",'Data Pura Costos'!F2891)</f>
        <v/>
      </c>
      <c r="G2891" s="5" t="str">
        <f>+IF('Data Pura Costos'!G2891="","",'Data Pura Costos'!G2891)</f>
        <v/>
      </c>
      <c r="H2891" s="52" t="str">
        <f>+IF('Data Pura Costos'!H2891="","",'Data Pura Costos'!H2891)</f>
        <v/>
      </c>
      <c r="I2891" s="71" t="str">
        <f>+IF('Data Pura Costos'!I2891="","",'Data Pura Costos'!I2891)</f>
        <v/>
      </c>
      <c r="J2891" s="52" t="str">
        <f>+IF('Data Pura Costos'!J2891="","",'Data Pura Costos'!J2891)</f>
        <v/>
      </c>
      <c r="K2891" s="82" t="str">
        <f t="shared" si="50"/>
        <v/>
      </c>
    </row>
    <row r="2892" spans="2:11" x14ac:dyDescent="0.35">
      <c r="B2892" s="4" t="str">
        <f>+IF('Data Pura Costos'!B2892="","",'Data Pura Costos'!B2892)</f>
        <v/>
      </c>
      <c r="C2892" s="4" t="str">
        <f>+IF('Data Pura Costos'!C2892="","",'Data Pura Costos'!C2892)</f>
        <v/>
      </c>
      <c r="D2892" s="5" t="str">
        <f>+IF('Data Pura Costos'!D2892="","",'Data Pura Costos'!D2892)</f>
        <v/>
      </c>
      <c r="E2892" s="65" t="str">
        <f>+IF('Data Pura Costos'!E2892="","",IF('Data Pura Costos'!E2892=0,MAX('Data Pura Costos'!$E$7:$E$3000)*1000,'Data Pura Costos'!E2892))</f>
        <v/>
      </c>
      <c r="F2892" s="5" t="str">
        <f>+IF('Data Pura Costos'!F2892="","",'Data Pura Costos'!F2892)</f>
        <v/>
      </c>
      <c r="G2892" s="5" t="str">
        <f>+IF('Data Pura Costos'!G2892="","",'Data Pura Costos'!G2892)</f>
        <v/>
      </c>
      <c r="H2892" s="52" t="str">
        <f>+IF('Data Pura Costos'!H2892="","",'Data Pura Costos'!H2892)</f>
        <v/>
      </c>
      <c r="I2892" s="71" t="str">
        <f>+IF('Data Pura Costos'!I2892="","",'Data Pura Costos'!I2892)</f>
        <v/>
      </c>
      <c r="J2892" s="52" t="str">
        <f>+IF('Data Pura Costos'!J2892="","",'Data Pura Costos'!J2892)</f>
        <v/>
      </c>
      <c r="K2892" s="82" t="str">
        <f t="shared" si="50"/>
        <v/>
      </c>
    </row>
    <row r="2893" spans="2:11" x14ac:dyDescent="0.35">
      <c r="B2893" s="4" t="str">
        <f>+IF('Data Pura Costos'!B2893="","",'Data Pura Costos'!B2893)</f>
        <v/>
      </c>
      <c r="C2893" s="4" t="str">
        <f>+IF('Data Pura Costos'!C2893="","",'Data Pura Costos'!C2893)</f>
        <v/>
      </c>
      <c r="D2893" s="5" t="str">
        <f>+IF('Data Pura Costos'!D2893="","",'Data Pura Costos'!D2893)</f>
        <v/>
      </c>
      <c r="E2893" s="65" t="str">
        <f>+IF('Data Pura Costos'!E2893="","",IF('Data Pura Costos'!E2893=0,MAX('Data Pura Costos'!$E$7:$E$3000)*1000,'Data Pura Costos'!E2893))</f>
        <v/>
      </c>
      <c r="F2893" s="5" t="str">
        <f>+IF('Data Pura Costos'!F2893="","",'Data Pura Costos'!F2893)</f>
        <v/>
      </c>
      <c r="G2893" s="5" t="str">
        <f>+IF('Data Pura Costos'!G2893="","",'Data Pura Costos'!G2893)</f>
        <v/>
      </c>
      <c r="H2893" s="52" t="str">
        <f>+IF('Data Pura Costos'!H2893="","",'Data Pura Costos'!H2893)</f>
        <v/>
      </c>
      <c r="I2893" s="71" t="str">
        <f>+IF('Data Pura Costos'!I2893="","",'Data Pura Costos'!I2893)</f>
        <v/>
      </c>
      <c r="J2893" s="52" t="str">
        <f>+IF('Data Pura Costos'!J2893="","",'Data Pura Costos'!J2893)</f>
        <v/>
      </c>
      <c r="K2893" s="82" t="str">
        <f t="shared" si="50"/>
        <v/>
      </c>
    </row>
    <row r="2894" spans="2:11" x14ac:dyDescent="0.35">
      <c r="B2894" s="4" t="str">
        <f>+IF('Data Pura Costos'!B2894="","",'Data Pura Costos'!B2894)</f>
        <v/>
      </c>
      <c r="C2894" s="4" t="str">
        <f>+IF('Data Pura Costos'!C2894="","",'Data Pura Costos'!C2894)</f>
        <v/>
      </c>
      <c r="D2894" s="5" t="str">
        <f>+IF('Data Pura Costos'!D2894="","",'Data Pura Costos'!D2894)</f>
        <v/>
      </c>
      <c r="E2894" s="65" t="str">
        <f>+IF('Data Pura Costos'!E2894="","",IF('Data Pura Costos'!E2894=0,MAX('Data Pura Costos'!$E$7:$E$3000)*1000,'Data Pura Costos'!E2894))</f>
        <v/>
      </c>
      <c r="F2894" s="5" t="str">
        <f>+IF('Data Pura Costos'!F2894="","",'Data Pura Costos'!F2894)</f>
        <v/>
      </c>
      <c r="G2894" s="5" t="str">
        <f>+IF('Data Pura Costos'!G2894="","",'Data Pura Costos'!G2894)</f>
        <v/>
      </c>
      <c r="H2894" s="52" t="str">
        <f>+IF('Data Pura Costos'!H2894="","",'Data Pura Costos'!H2894)</f>
        <v/>
      </c>
      <c r="I2894" s="71" t="str">
        <f>+IF('Data Pura Costos'!I2894="","",'Data Pura Costos'!I2894)</f>
        <v/>
      </c>
      <c r="J2894" s="52" t="str">
        <f>+IF('Data Pura Costos'!J2894="","",'Data Pura Costos'!J2894)</f>
        <v/>
      </c>
      <c r="K2894" s="82" t="str">
        <f t="shared" si="50"/>
        <v/>
      </c>
    </row>
    <row r="2895" spans="2:11" x14ac:dyDescent="0.35">
      <c r="B2895" s="4" t="str">
        <f>+IF('Data Pura Costos'!B2895="","",'Data Pura Costos'!B2895)</f>
        <v/>
      </c>
      <c r="C2895" s="4" t="str">
        <f>+IF('Data Pura Costos'!C2895="","",'Data Pura Costos'!C2895)</f>
        <v/>
      </c>
      <c r="D2895" s="5" t="str">
        <f>+IF('Data Pura Costos'!D2895="","",'Data Pura Costos'!D2895)</f>
        <v/>
      </c>
      <c r="E2895" s="65" t="str">
        <f>+IF('Data Pura Costos'!E2895="","",IF('Data Pura Costos'!E2895=0,MAX('Data Pura Costos'!$E$7:$E$3000)*1000,'Data Pura Costos'!E2895))</f>
        <v/>
      </c>
      <c r="F2895" s="5" t="str">
        <f>+IF('Data Pura Costos'!F2895="","",'Data Pura Costos'!F2895)</f>
        <v/>
      </c>
      <c r="G2895" s="5" t="str">
        <f>+IF('Data Pura Costos'!G2895="","",'Data Pura Costos'!G2895)</f>
        <v/>
      </c>
      <c r="H2895" s="52" t="str">
        <f>+IF('Data Pura Costos'!H2895="","",'Data Pura Costos'!H2895)</f>
        <v/>
      </c>
      <c r="I2895" s="71" t="str">
        <f>+IF('Data Pura Costos'!I2895="","",'Data Pura Costos'!I2895)</f>
        <v/>
      </c>
      <c r="J2895" s="52" t="str">
        <f>+IF('Data Pura Costos'!J2895="","",'Data Pura Costos'!J2895)</f>
        <v/>
      </c>
      <c r="K2895" s="82" t="str">
        <f t="shared" si="50"/>
        <v/>
      </c>
    </row>
    <row r="2896" spans="2:11" x14ac:dyDescent="0.35">
      <c r="B2896" s="4" t="str">
        <f>+IF('Data Pura Costos'!B2896="","",'Data Pura Costos'!B2896)</f>
        <v/>
      </c>
      <c r="C2896" s="4" t="str">
        <f>+IF('Data Pura Costos'!C2896="","",'Data Pura Costos'!C2896)</f>
        <v/>
      </c>
      <c r="D2896" s="5" t="str">
        <f>+IF('Data Pura Costos'!D2896="","",'Data Pura Costos'!D2896)</f>
        <v/>
      </c>
      <c r="E2896" s="65" t="str">
        <f>+IF('Data Pura Costos'!E2896="","",IF('Data Pura Costos'!E2896=0,MAX('Data Pura Costos'!$E$7:$E$3000)*1000,'Data Pura Costos'!E2896))</f>
        <v/>
      </c>
      <c r="F2896" s="5" t="str">
        <f>+IF('Data Pura Costos'!F2896="","",'Data Pura Costos'!F2896)</f>
        <v/>
      </c>
      <c r="G2896" s="5" t="str">
        <f>+IF('Data Pura Costos'!G2896="","",'Data Pura Costos'!G2896)</f>
        <v/>
      </c>
      <c r="H2896" s="52" t="str">
        <f>+IF('Data Pura Costos'!H2896="","",'Data Pura Costos'!H2896)</f>
        <v/>
      </c>
      <c r="I2896" s="71" t="str">
        <f>+IF('Data Pura Costos'!I2896="","",'Data Pura Costos'!I2896)</f>
        <v/>
      </c>
      <c r="J2896" s="52" t="str">
        <f>+IF('Data Pura Costos'!J2896="","",'Data Pura Costos'!J2896)</f>
        <v/>
      </c>
      <c r="K2896" s="82" t="str">
        <f t="shared" si="50"/>
        <v/>
      </c>
    </row>
    <row r="2897" spans="2:11" x14ac:dyDescent="0.35">
      <c r="B2897" s="4" t="str">
        <f>+IF('Data Pura Costos'!B2897="","",'Data Pura Costos'!B2897)</f>
        <v/>
      </c>
      <c r="C2897" s="4" t="str">
        <f>+IF('Data Pura Costos'!C2897="","",'Data Pura Costos'!C2897)</f>
        <v/>
      </c>
      <c r="D2897" s="5" t="str">
        <f>+IF('Data Pura Costos'!D2897="","",'Data Pura Costos'!D2897)</f>
        <v/>
      </c>
      <c r="E2897" s="65" t="str">
        <f>+IF('Data Pura Costos'!E2897="","",IF('Data Pura Costos'!E2897=0,MAX('Data Pura Costos'!$E$7:$E$3000)*1000,'Data Pura Costos'!E2897))</f>
        <v/>
      </c>
      <c r="F2897" s="5" t="str">
        <f>+IF('Data Pura Costos'!F2897="","",'Data Pura Costos'!F2897)</f>
        <v/>
      </c>
      <c r="G2897" s="5" t="str">
        <f>+IF('Data Pura Costos'!G2897="","",'Data Pura Costos'!G2897)</f>
        <v/>
      </c>
      <c r="H2897" s="52" t="str">
        <f>+IF('Data Pura Costos'!H2897="","",'Data Pura Costos'!H2897)</f>
        <v/>
      </c>
      <c r="I2897" s="71" t="str">
        <f>+IF('Data Pura Costos'!I2897="","",'Data Pura Costos'!I2897)</f>
        <v/>
      </c>
      <c r="J2897" s="52" t="str">
        <f>+IF('Data Pura Costos'!J2897="","",'Data Pura Costos'!J2897)</f>
        <v/>
      </c>
      <c r="K2897" s="82" t="str">
        <f t="shared" si="50"/>
        <v/>
      </c>
    </row>
    <row r="2898" spans="2:11" x14ac:dyDescent="0.35">
      <c r="B2898" s="4" t="str">
        <f>+IF('Data Pura Costos'!B2898="","",'Data Pura Costos'!B2898)</f>
        <v/>
      </c>
      <c r="C2898" s="4" t="str">
        <f>+IF('Data Pura Costos'!C2898="","",'Data Pura Costos'!C2898)</f>
        <v/>
      </c>
      <c r="D2898" s="5" t="str">
        <f>+IF('Data Pura Costos'!D2898="","",'Data Pura Costos'!D2898)</f>
        <v/>
      </c>
      <c r="E2898" s="65" t="str">
        <f>+IF('Data Pura Costos'!E2898="","",IF('Data Pura Costos'!E2898=0,MAX('Data Pura Costos'!$E$7:$E$3000)*1000,'Data Pura Costos'!E2898))</f>
        <v/>
      </c>
      <c r="F2898" s="5" t="str">
        <f>+IF('Data Pura Costos'!F2898="","",'Data Pura Costos'!F2898)</f>
        <v/>
      </c>
      <c r="G2898" s="5" t="str">
        <f>+IF('Data Pura Costos'!G2898="","",'Data Pura Costos'!G2898)</f>
        <v/>
      </c>
      <c r="H2898" s="52" t="str">
        <f>+IF('Data Pura Costos'!H2898="","",'Data Pura Costos'!H2898)</f>
        <v/>
      </c>
      <c r="I2898" s="71" t="str">
        <f>+IF('Data Pura Costos'!I2898="","",'Data Pura Costos'!I2898)</f>
        <v/>
      </c>
      <c r="J2898" s="52" t="str">
        <f>+IF('Data Pura Costos'!J2898="","",'Data Pura Costos'!J2898)</f>
        <v/>
      </c>
      <c r="K2898" s="82" t="str">
        <f t="shared" si="50"/>
        <v/>
      </c>
    </row>
    <row r="2899" spans="2:11" x14ac:dyDescent="0.35">
      <c r="B2899" s="4" t="str">
        <f>+IF('Data Pura Costos'!B2899="","",'Data Pura Costos'!B2899)</f>
        <v/>
      </c>
      <c r="C2899" s="4" t="str">
        <f>+IF('Data Pura Costos'!C2899="","",'Data Pura Costos'!C2899)</f>
        <v/>
      </c>
      <c r="D2899" s="5" t="str">
        <f>+IF('Data Pura Costos'!D2899="","",'Data Pura Costos'!D2899)</f>
        <v/>
      </c>
      <c r="E2899" s="65" t="str">
        <f>+IF('Data Pura Costos'!E2899="","",IF('Data Pura Costos'!E2899=0,MAX('Data Pura Costos'!$E$7:$E$3000)*1000,'Data Pura Costos'!E2899))</f>
        <v/>
      </c>
      <c r="F2899" s="5" t="str">
        <f>+IF('Data Pura Costos'!F2899="","",'Data Pura Costos'!F2899)</f>
        <v/>
      </c>
      <c r="G2899" s="5" t="str">
        <f>+IF('Data Pura Costos'!G2899="","",'Data Pura Costos'!G2899)</f>
        <v/>
      </c>
      <c r="H2899" s="52" t="str">
        <f>+IF('Data Pura Costos'!H2899="","",'Data Pura Costos'!H2899)</f>
        <v/>
      </c>
      <c r="I2899" s="71" t="str">
        <f>+IF('Data Pura Costos'!I2899="","",'Data Pura Costos'!I2899)</f>
        <v/>
      </c>
      <c r="J2899" s="52" t="str">
        <f>+IF('Data Pura Costos'!J2899="","",'Data Pura Costos'!J2899)</f>
        <v/>
      </c>
      <c r="K2899" s="82" t="str">
        <f t="shared" si="50"/>
        <v/>
      </c>
    </row>
    <row r="2900" spans="2:11" x14ac:dyDescent="0.35">
      <c r="B2900" s="4" t="str">
        <f>+IF('Data Pura Costos'!B2900="","",'Data Pura Costos'!B2900)</f>
        <v/>
      </c>
      <c r="C2900" s="4" t="str">
        <f>+IF('Data Pura Costos'!C2900="","",'Data Pura Costos'!C2900)</f>
        <v/>
      </c>
      <c r="D2900" s="5" t="str">
        <f>+IF('Data Pura Costos'!D2900="","",'Data Pura Costos'!D2900)</f>
        <v/>
      </c>
      <c r="E2900" s="65" t="str">
        <f>+IF('Data Pura Costos'!E2900="","",IF('Data Pura Costos'!E2900=0,MAX('Data Pura Costos'!$E$7:$E$3000)*1000,'Data Pura Costos'!E2900))</f>
        <v/>
      </c>
      <c r="F2900" s="5" t="str">
        <f>+IF('Data Pura Costos'!F2900="","",'Data Pura Costos'!F2900)</f>
        <v/>
      </c>
      <c r="G2900" s="5" t="str">
        <f>+IF('Data Pura Costos'!G2900="","",'Data Pura Costos'!G2900)</f>
        <v/>
      </c>
      <c r="H2900" s="52" t="str">
        <f>+IF('Data Pura Costos'!H2900="","",'Data Pura Costos'!H2900)</f>
        <v/>
      </c>
      <c r="I2900" s="71" t="str">
        <f>+IF('Data Pura Costos'!I2900="","",'Data Pura Costos'!I2900)</f>
        <v/>
      </c>
      <c r="J2900" s="52" t="str">
        <f>+IF('Data Pura Costos'!J2900="","",'Data Pura Costos'!J2900)</f>
        <v/>
      </c>
      <c r="K2900" s="82" t="str">
        <f t="shared" si="50"/>
        <v/>
      </c>
    </row>
    <row r="2901" spans="2:11" x14ac:dyDescent="0.35">
      <c r="B2901" s="4" t="str">
        <f>+IF('Data Pura Costos'!B2901="","",'Data Pura Costos'!B2901)</f>
        <v/>
      </c>
      <c r="C2901" s="4" t="str">
        <f>+IF('Data Pura Costos'!C2901="","",'Data Pura Costos'!C2901)</f>
        <v/>
      </c>
      <c r="D2901" s="5" t="str">
        <f>+IF('Data Pura Costos'!D2901="","",'Data Pura Costos'!D2901)</f>
        <v/>
      </c>
      <c r="E2901" s="65" t="str">
        <f>+IF('Data Pura Costos'!E2901="","",IF('Data Pura Costos'!E2901=0,MAX('Data Pura Costos'!$E$7:$E$3000)*1000,'Data Pura Costos'!E2901))</f>
        <v/>
      </c>
      <c r="F2901" s="5" t="str">
        <f>+IF('Data Pura Costos'!F2901="","",'Data Pura Costos'!F2901)</f>
        <v/>
      </c>
      <c r="G2901" s="5" t="str">
        <f>+IF('Data Pura Costos'!G2901="","",'Data Pura Costos'!G2901)</f>
        <v/>
      </c>
      <c r="H2901" s="52" t="str">
        <f>+IF('Data Pura Costos'!H2901="","",'Data Pura Costos'!H2901)</f>
        <v/>
      </c>
      <c r="I2901" s="71" t="str">
        <f>+IF('Data Pura Costos'!I2901="","",'Data Pura Costos'!I2901)</f>
        <v/>
      </c>
      <c r="J2901" s="52" t="str">
        <f>+IF('Data Pura Costos'!J2901="","",'Data Pura Costos'!J2901)</f>
        <v/>
      </c>
      <c r="K2901" s="82" t="str">
        <f t="shared" si="50"/>
        <v/>
      </c>
    </row>
    <row r="2902" spans="2:11" x14ac:dyDescent="0.35">
      <c r="B2902" s="4" t="str">
        <f>+IF('Data Pura Costos'!B2902="","",'Data Pura Costos'!B2902)</f>
        <v/>
      </c>
      <c r="C2902" s="4" t="str">
        <f>+IF('Data Pura Costos'!C2902="","",'Data Pura Costos'!C2902)</f>
        <v/>
      </c>
      <c r="D2902" s="5" t="str">
        <f>+IF('Data Pura Costos'!D2902="","",'Data Pura Costos'!D2902)</f>
        <v/>
      </c>
      <c r="E2902" s="65" t="str">
        <f>+IF('Data Pura Costos'!E2902="","",IF('Data Pura Costos'!E2902=0,MAX('Data Pura Costos'!$E$7:$E$3000)*1000,'Data Pura Costos'!E2902))</f>
        <v/>
      </c>
      <c r="F2902" s="5" t="str">
        <f>+IF('Data Pura Costos'!F2902="","",'Data Pura Costos'!F2902)</f>
        <v/>
      </c>
      <c r="G2902" s="5" t="str">
        <f>+IF('Data Pura Costos'!G2902="","",'Data Pura Costos'!G2902)</f>
        <v/>
      </c>
      <c r="H2902" s="52" t="str">
        <f>+IF('Data Pura Costos'!H2902="","",'Data Pura Costos'!H2902)</f>
        <v/>
      </c>
      <c r="I2902" s="71" t="str">
        <f>+IF('Data Pura Costos'!I2902="","",'Data Pura Costos'!I2902)</f>
        <v/>
      </c>
      <c r="J2902" s="52" t="str">
        <f>+IF('Data Pura Costos'!J2902="","",'Data Pura Costos'!J2902)</f>
        <v/>
      </c>
      <c r="K2902" s="82" t="str">
        <f t="shared" si="50"/>
        <v/>
      </c>
    </row>
    <row r="2903" spans="2:11" x14ac:dyDescent="0.35">
      <c r="B2903" s="4" t="str">
        <f>+IF('Data Pura Costos'!B2903="","",'Data Pura Costos'!B2903)</f>
        <v/>
      </c>
      <c r="C2903" s="4" t="str">
        <f>+IF('Data Pura Costos'!C2903="","",'Data Pura Costos'!C2903)</f>
        <v/>
      </c>
      <c r="D2903" s="5" t="str">
        <f>+IF('Data Pura Costos'!D2903="","",'Data Pura Costos'!D2903)</f>
        <v/>
      </c>
      <c r="E2903" s="65" t="str">
        <f>+IF('Data Pura Costos'!E2903="","",IF('Data Pura Costos'!E2903=0,MAX('Data Pura Costos'!$E$7:$E$3000)*1000,'Data Pura Costos'!E2903))</f>
        <v/>
      </c>
      <c r="F2903" s="5" t="str">
        <f>+IF('Data Pura Costos'!F2903="","",'Data Pura Costos'!F2903)</f>
        <v/>
      </c>
      <c r="G2903" s="5" t="str">
        <f>+IF('Data Pura Costos'!G2903="","",'Data Pura Costos'!G2903)</f>
        <v/>
      </c>
      <c r="H2903" s="52" t="str">
        <f>+IF('Data Pura Costos'!H2903="","",'Data Pura Costos'!H2903)</f>
        <v/>
      </c>
      <c r="I2903" s="71" t="str">
        <f>+IF('Data Pura Costos'!I2903="","",'Data Pura Costos'!I2903)</f>
        <v/>
      </c>
      <c r="J2903" s="52" t="str">
        <f>+IF('Data Pura Costos'!J2903="","",'Data Pura Costos'!J2903)</f>
        <v/>
      </c>
      <c r="K2903" s="82" t="str">
        <f t="shared" si="50"/>
        <v/>
      </c>
    </row>
    <row r="2904" spans="2:11" x14ac:dyDescent="0.35">
      <c r="B2904" s="4" t="str">
        <f>+IF('Data Pura Costos'!B2904="","",'Data Pura Costos'!B2904)</f>
        <v/>
      </c>
      <c r="C2904" s="4" t="str">
        <f>+IF('Data Pura Costos'!C2904="","",'Data Pura Costos'!C2904)</f>
        <v/>
      </c>
      <c r="D2904" s="5" t="str">
        <f>+IF('Data Pura Costos'!D2904="","",'Data Pura Costos'!D2904)</f>
        <v/>
      </c>
      <c r="E2904" s="65" t="str">
        <f>+IF('Data Pura Costos'!E2904="","",IF('Data Pura Costos'!E2904=0,MAX('Data Pura Costos'!$E$7:$E$3000)*1000,'Data Pura Costos'!E2904))</f>
        <v/>
      </c>
      <c r="F2904" s="5" t="str">
        <f>+IF('Data Pura Costos'!F2904="","",'Data Pura Costos'!F2904)</f>
        <v/>
      </c>
      <c r="G2904" s="5" t="str">
        <f>+IF('Data Pura Costos'!G2904="","",'Data Pura Costos'!G2904)</f>
        <v/>
      </c>
      <c r="H2904" s="52" t="str">
        <f>+IF('Data Pura Costos'!H2904="","",'Data Pura Costos'!H2904)</f>
        <v/>
      </c>
      <c r="I2904" s="71" t="str">
        <f>+IF('Data Pura Costos'!I2904="","",'Data Pura Costos'!I2904)</f>
        <v/>
      </c>
      <c r="J2904" s="52" t="str">
        <f>+IF('Data Pura Costos'!J2904="","",'Data Pura Costos'!J2904)</f>
        <v/>
      </c>
      <c r="K2904" s="82" t="str">
        <f t="shared" si="50"/>
        <v/>
      </c>
    </row>
    <row r="2905" spans="2:11" x14ac:dyDescent="0.35">
      <c r="B2905" s="4" t="str">
        <f>+IF('Data Pura Costos'!B2905="","",'Data Pura Costos'!B2905)</f>
        <v/>
      </c>
      <c r="C2905" s="4" t="str">
        <f>+IF('Data Pura Costos'!C2905="","",'Data Pura Costos'!C2905)</f>
        <v/>
      </c>
      <c r="D2905" s="5" t="str">
        <f>+IF('Data Pura Costos'!D2905="","",'Data Pura Costos'!D2905)</f>
        <v/>
      </c>
      <c r="E2905" s="65" t="str">
        <f>+IF('Data Pura Costos'!E2905="","",IF('Data Pura Costos'!E2905=0,MAX('Data Pura Costos'!$E$7:$E$3000)*1000,'Data Pura Costos'!E2905))</f>
        <v/>
      </c>
      <c r="F2905" s="5" t="str">
        <f>+IF('Data Pura Costos'!F2905="","",'Data Pura Costos'!F2905)</f>
        <v/>
      </c>
      <c r="G2905" s="5" t="str">
        <f>+IF('Data Pura Costos'!G2905="","",'Data Pura Costos'!G2905)</f>
        <v/>
      </c>
      <c r="H2905" s="52" t="str">
        <f>+IF('Data Pura Costos'!H2905="","",'Data Pura Costos'!H2905)</f>
        <v/>
      </c>
      <c r="I2905" s="71" t="str">
        <f>+IF('Data Pura Costos'!I2905="","",'Data Pura Costos'!I2905)</f>
        <v/>
      </c>
      <c r="J2905" s="52" t="str">
        <f>+IF('Data Pura Costos'!J2905="","",'Data Pura Costos'!J2905)</f>
        <v/>
      </c>
      <c r="K2905" s="82" t="str">
        <f t="shared" si="50"/>
        <v/>
      </c>
    </row>
    <row r="2906" spans="2:11" x14ac:dyDescent="0.35">
      <c r="B2906" s="4" t="str">
        <f>+IF('Data Pura Costos'!B2906="","",'Data Pura Costos'!B2906)</f>
        <v/>
      </c>
      <c r="C2906" s="4" t="str">
        <f>+IF('Data Pura Costos'!C2906="","",'Data Pura Costos'!C2906)</f>
        <v/>
      </c>
      <c r="D2906" s="5" t="str">
        <f>+IF('Data Pura Costos'!D2906="","",'Data Pura Costos'!D2906)</f>
        <v/>
      </c>
      <c r="E2906" s="65" t="str">
        <f>+IF('Data Pura Costos'!E2906="","",IF('Data Pura Costos'!E2906=0,MAX('Data Pura Costos'!$E$7:$E$3000)*1000,'Data Pura Costos'!E2906))</f>
        <v/>
      </c>
      <c r="F2906" s="5" t="str">
        <f>+IF('Data Pura Costos'!F2906="","",'Data Pura Costos'!F2906)</f>
        <v/>
      </c>
      <c r="G2906" s="5" t="str">
        <f>+IF('Data Pura Costos'!G2906="","",'Data Pura Costos'!G2906)</f>
        <v/>
      </c>
      <c r="H2906" s="52" t="str">
        <f>+IF('Data Pura Costos'!H2906="","",'Data Pura Costos'!H2906)</f>
        <v/>
      </c>
      <c r="I2906" s="71" t="str">
        <f>+IF('Data Pura Costos'!I2906="","",'Data Pura Costos'!I2906)</f>
        <v/>
      </c>
      <c r="J2906" s="52" t="str">
        <f>+IF('Data Pura Costos'!J2906="","",'Data Pura Costos'!J2906)</f>
        <v/>
      </c>
      <c r="K2906" s="82" t="str">
        <f t="shared" si="50"/>
        <v/>
      </c>
    </row>
    <row r="2907" spans="2:11" x14ac:dyDescent="0.35">
      <c r="B2907" s="4" t="str">
        <f>+IF('Data Pura Costos'!B2907="","",'Data Pura Costos'!B2907)</f>
        <v/>
      </c>
      <c r="C2907" s="4" t="str">
        <f>+IF('Data Pura Costos'!C2907="","",'Data Pura Costos'!C2907)</f>
        <v/>
      </c>
      <c r="D2907" s="5" t="str">
        <f>+IF('Data Pura Costos'!D2907="","",'Data Pura Costos'!D2907)</f>
        <v/>
      </c>
      <c r="E2907" s="65" t="str">
        <f>+IF('Data Pura Costos'!E2907="","",IF('Data Pura Costos'!E2907=0,MAX('Data Pura Costos'!$E$7:$E$3000)*1000,'Data Pura Costos'!E2907))</f>
        <v/>
      </c>
      <c r="F2907" s="5" t="str">
        <f>+IF('Data Pura Costos'!F2907="","",'Data Pura Costos'!F2907)</f>
        <v/>
      </c>
      <c r="G2907" s="5" t="str">
        <f>+IF('Data Pura Costos'!G2907="","",'Data Pura Costos'!G2907)</f>
        <v/>
      </c>
      <c r="H2907" s="52" t="str">
        <f>+IF('Data Pura Costos'!H2907="","",'Data Pura Costos'!H2907)</f>
        <v/>
      </c>
      <c r="I2907" s="71" t="str">
        <f>+IF('Data Pura Costos'!I2907="","",'Data Pura Costos'!I2907)</f>
        <v/>
      </c>
      <c r="J2907" s="52" t="str">
        <f>+IF('Data Pura Costos'!J2907="","",'Data Pura Costos'!J2907)</f>
        <v/>
      </c>
      <c r="K2907" s="82" t="str">
        <f t="shared" si="50"/>
        <v/>
      </c>
    </row>
    <row r="2908" spans="2:11" x14ac:dyDescent="0.35">
      <c r="B2908" s="4" t="str">
        <f>+IF('Data Pura Costos'!B2908="","",'Data Pura Costos'!B2908)</f>
        <v/>
      </c>
      <c r="C2908" s="4" t="str">
        <f>+IF('Data Pura Costos'!C2908="","",'Data Pura Costos'!C2908)</f>
        <v/>
      </c>
      <c r="D2908" s="5" t="str">
        <f>+IF('Data Pura Costos'!D2908="","",'Data Pura Costos'!D2908)</f>
        <v/>
      </c>
      <c r="E2908" s="65" t="str">
        <f>+IF('Data Pura Costos'!E2908="","",IF('Data Pura Costos'!E2908=0,MAX('Data Pura Costos'!$E$7:$E$3000)*1000,'Data Pura Costos'!E2908))</f>
        <v/>
      </c>
      <c r="F2908" s="5" t="str">
        <f>+IF('Data Pura Costos'!F2908="","",'Data Pura Costos'!F2908)</f>
        <v/>
      </c>
      <c r="G2908" s="5" t="str">
        <f>+IF('Data Pura Costos'!G2908="","",'Data Pura Costos'!G2908)</f>
        <v/>
      </c>
      <c r="H2908" s="52" t="str">
        <f>+IF('Data Pura Costos'!H2908="","",'Data Pura Costos'!H2908)</f>
        <v/>
      </c>
      <c r="I2908" s="71" t="str">
        <f>+IF('Data Pura Costos'!I2908="","",'Data Pura Costos'!I2908)</f>
        <v/>
      </c>
      <c r="J2908" s="52" t="str">
        <f>+IF('Data Pura Costos'!J2908="","",'Data Pura Costos'!J2908)</f>
        <v/>
      </c>
      <c r="K2908" s="82" t="str">
        <f t="shared" si="50"/>
        <v/>
      </c>
    </row>
    <row r="2909" spans="2:11" x14ac:dyDescent="0.35">
      <c r="B2909" s="4" t="str">
        <f>+IF('Data Pura Costos'!B2909="","",'Data Pura Costos'!B2909)</f>
        <v/>
      </c>
      <c r="C2909" s="4" t="str">
        <f>+IF('Data Pura Costos'!C2909="","",'Data Pura Costos'!C2909)</f>
        <v/>
      </c>
      <c r="D2909" s="5" t="str">
        <f>+IF('Data Pura Costos'!D2909="","",'Data Pura Costos'!D2909)</f>
        <v/>
      </c>
      <c r="E2909" s="65" t="str">
        <f>+IF('Data Pura Costos'!E2909="","",IF('Data Pura Costos'!E2909=0,MAX('Data Pura Costos'!$E$7:$E$3000)*1000,'Data Pura Costos'!E2909))</f>
        <v/>
      </c>
      <c r="F2909" s="5" t="str">
        <f>+IF('Data Pura Costos'!F2909="","",'Data Pura Costos'!F2909)</f>
        <v/>
      </c>
      <c r="G2909" s="5" t="str">
        <f>+IF('Data Pura Costos'!G2909="","",'Data Pura Costos'!G2909)</f>
        <v/>
      </c>
      <c r="H2909" s="52" t="str">
        <f>+IF('Data Pura Costos'!H2909="","",'Data Pura Costos'!H2909)</f>
        <v/>
      </c>
      <c r="I2909" s="71" t="str">
        <f>+IF('Data Pura Costos'!I2909="","",'Data Pura Costos'!I2909)</f>
        <v/>
      </c>
      <c r="J2909" s="52" t="str">
        <f>+IF('Data Pura Costos'!J2909="","",'Data Pura Costos'!J2909)</f>
        <v/>
      </c>
      <c r="K2909" s="82" t="str">
        <f t="shared" si="50"/>
        <v/>
      </c>
    </row>
    <row r="2910" spans="2:11" x14ac:dyDescent="0.35">
      <c r="B2910" s="4" t="str">
        <f>+IF('Data Pura Costos'!B2910="","",'Data Pura Costos'!B2910)</f>
        <v/>
      </c>
      <c r="C2910" s="4" t="str">
        <f>+IF('Data Pura Costos'!C2910="","",'Data Pura Costos'!C2910)</f>
        <v/>
      </c>
      <c r="D2910" s="5" t="str">
        <f>+IF('Data Pura Costos'!D2910="","",'Data Pura Costos'!D2910)</f>
        <v/>
      </c>
      <c r="E2910" s="65" t="str">
        <f>+IF('Data Pura Costos'!E2910="","",IF('Data Pura Costos'!E2910=0,MAX('Data Pura Costos'!$E$7:$E$3000)*1000,'Data Pura Costos'!E2910))</f>
        <v/>
      </c>
      <c r="F2910" s="5" t="str">
        <f>+IF('Data Pura Costos'!F2910="","",'Data Pura Costos'!F2910)</f>
        <v/>
      </c>
      <c r="G2910" s="5" t="str">
        <f>+IF('Data Pura Costos'!G2910="","",'Data Pura Costos'!G2910)</f>
        <v/>
      </c>
      <c r="H2910" s="52" t="str">
        <f>+IF('Data Pura Costos'!H2910="","",'Data Pura Costos'!H2910)</f>
        <v/>
      </c>
      <c r="I2910" s="71" t="str">
        <f>+IF('Data Pura Costos'!I2910="","",'Data Pura Costos'!I2910)</f>
        <v/>
      </c>
      <c r="J2910" s="52" t="str">
        <f>+IF('Data Pura Costos'!J2910="","",'Data Pura Costos'!J2910)</f>
        <v/>
      </c>
      <c r="K2910" s="82" t="str">
        <f t="shared" si="50"/>
        <v/>
      </c>
    </row>
    <row r="2911" spans="2:11" x14ac:dyDescent="0.35">
      <c r="B2911" s="4" t="str">
        <f>+IF('Data Pura Costos'!B2911="","",'Data Pura Costos'!B2911)</f>
        <v/>
      </c>
      <c r="C2911" s="4" t="str">
        <f>+IF('Data Pura Costos'!C2911="","",'Data Pura Costos'!C2911)</f>
        <v/>
      </c>
      <c r="D2911" s="5" t="str">
        <f>+IF('Data Pura Costos'!D2911="","",'Data Pura Costos'!D2911)</f>
        <v/>
      </c>
      <c r="E2911" s="65" t="str">
        <f>+IF('Data Pura Costos'!E2911="","",IF('Data Pura Costos'!E2911=0,MAX('Data Pura Costos'!$E$7:$E$3000)*1000,'Data Pura Costos'!E2911))</f>
        <v/>
      </c>
      <c r="F2911" s="5" t="str">
        <f>+IF('Data Pura Costos'!F2911="","",'Data Pura Costos'!F2911)</f>
        <v/>
      </c>
      <c r="G2911" s="5" t="str">
        <f>+IF('Data Pura Costos'!G2911="","",'Data Pura Costos'!G2911)</f>
        <v/>
      </c>
      <c r="H2911" s="52" t="str">
        <f>+IF('Data Pura Costos'!H2911="","",'Data Pura Costos'!H2911)</f>
        <v/>
      </c>
      <c r="I2911" s="71" t="str">
        <f>+IF('Data Pura Costos'!I2911="","",'Data Pura Costos'!I2911)</f>
        <v/>
      </c>
      <c r="J2911" s="52" t="str">
        <f>+IF('Data Pura Costos'!J2911="","",'Data Pura Costos'!J2911)</f>
        <v/>
      </c>
      <c r="K2911" s="82" t="str">
        <f t="shared" si="50"/>
        <v/>
      </c>
    </row>
    <row r="2912" spans="2:11" x14ac:dyDescent="0.35">
      <c r="B2912" s="4" t="str">
        <f>+IF('Data Pura Costos'!B2912="","",'Data Pura Costos'!B2912)</f>
        <v/>
      </c>
      <c r="C2912" s="4" t="str">
        <f>+IF('Data Pura Costos'!C2912="","",'Data Pura Costos'!C2912)</f>
        <v/>
      </c>
      <c r="D2912" s="5" t="str">
        <f>+IF('Data Pura Costos'!D2912="","",'Data Pura Costos'!D2912)</f>
        <v/>
      </c>
      <c r="E2912" s="65" t="str">
        <f>+IF('Data Pura Costos'!E2912="","",IF('Data Pura Costos'!E2912=0,MAX('Data Pura Costos'!$E$7:$E$3000)*1000,'Data Pura Costos'!E2912))</f>
        <v/>
      </c>
      <c r="F2912" s="5" t="str">
        <f>+IF('Data Pura Costos'!F2912="","",'Data Pura Costos'!F2912)</f>
        <v/>
      </c>
      <c r="G2912" s="5" t="str">
        <f>+IF('Data Pura Costos'!G2912="","",'Data Pura Costos'!G2912)</f>
        <v/>
      </c>
      <c r="H2912" s="52" t="str">
        <f>+IF('Data Pura Costos'!H2912="","",'Data Pura Costos'!H2912)</f>
        <v/>
      </c>
      <c r="I2912" s="71" t="str">
        <f>+IF('Data Pura Costos'!I2912="","",'Data Pura Costos'!I2912)</f>
        <v/>
      </c>
      <c r="J2912" s="52" t="str">
        <f>+IF('Data Pura Costos'!J2912="","",'Data Pura Costos'!J2912)</f>
        <v/>
      </c>
      <c r="K2912" s="82" t="str">
        <f t="shared" si="50"/>
        <v/>
      </c>
    </row>
    <row r="2913" spans="2:11" x14ac:dyDescent="0.35">
      <c r="B2913" s="4" t="str">
        <f>+IF('Data Pura Costos'!B2913="","",'Data Pura Costos'!B2913)</f>
        <v/>
      </c>
      <c r="C2913" s="4" t="str">
        <f>+IF('Data Pura Costos'!C2913="","",'Data Pura Costos'!C2913)</f>
        <v/>
      </c>
      <c r="D2913" s="5" t="str">
        <f>+IF('Data Pura Costos'!D2913="","",'Data Pura Costos'!D2913)</f>
        <v/>
      </c>
      <c r="E2913" s="65" t="str">
        <f>+IF('Data Pura Costos'!E2913="","",IF('Data Pura Costos'!E2913=0,MAX('Data Pura Costos'!$E$7:$E$3000)*1000,'Data Pura Costos'!E2913))</f>
        <v/>
      </c>
      <c r="F2913" s="5" t="str">
        <f>+IF('Data Pura Costos'!F2913="","",'Data Pura Costos'!F2913)</f>
        <v/>
      </c>
      <c r="G2913" s="5" t="str">
        <f>+IF('Data Pura Costos'!G2913="","",'Data Pura Costos'!G2913)</f>
        <v/>
      </c>
      <c r="H2913" s="52" t="str">
        <f>+IF('Data Pura Costos'!H2913="","",'Data Pura Costos'!H2913)</f>
        <v/>
      </c>
      <c r="I2913" s="71" t="str">
        <f>+IF('Data Pura Costos'!I2913="","",'Data Pura Costos'!I2913)</f>
        <v/>
      </c>
      <c r="J2913" s="52" t="str">
        <f>+IF('Data Pura Costos'!J2913="","",'Data Pura Costos'!J2913)</f>
        <v/>
      </c>
      <c r="K2913" s="82" t="str">
        <f t="shared" si="50"/>
        <v/>
      </c>
    </row>
    <row r="2914" spans="2:11" x14ac:dyDescent="0.35">
      <c r="B2914" s="4" t="str">
        <f>+IF('Data Pura Costos'!B2914="","",'Data Pura Costos'!B2914)</f>
        <v/>
      </c>
      <c r="C2914" s="4" t="str">
        <f>+IF('Data Pura Costos'!C2914="","",'Data Pura Costos'!C2914)</f>
        <v/>
      </c>
      <c r="D2914" s="5" t="str">
        <f>+IF('Data Pura Costos'!D2914="","",'Data Pura Costos'!D2914)</f>
        <v/>
      </c>
      <c r="E2914" s="65" t="str">
        <f>+IF('Data Pura Costos'!E2914="","",IF('Data Pura Costos'!E2914=0,MAX('Data Pura Costos'!$E$7:$E$3000)*1000,'Data Pura Costos'!E2914))</f>
        <v/>
      </c>
      <c r="F2914" s="5" t="str">
        <f>+IF('Data Pura Costos'!F2914="","",'Data Pura Costos'!F2914)</f>
        <v/>
      </c>
      <c r="G2914" s="5" t="str">
        <f>+IF('Data Pura Costos'!G2914="","",'Data Pura Costos'!G2914)</f>
        <v/>
      </c>
      <c r="H2914" s="52" t="str">
        <f>+IF('Data Pura Costos'!H2914="","",'Data Pura Costos'!H2914)</f>
        <v/>
      </c>
      <c r="I2914" s="71" t="str">
        <f>+IF('Data Pura Costos'!I2914="","",'Data Pura Costos'!I2914)</f>
        <v/>
      </c>
      <c r="J2914" s="52" t="str">
        <f>+IF('Data Pura Costos'!J2914="","",'Data Pura Costos'!J2914)</f>
        <v/>
      </c>
      <c r="K2914" s="82" t="str">
        <f t="shared" si="50"/>
        <v/>
      </c>
    </row>
    <row r="2915" spans="2:11" x14ac:dyDescent="0.35">
      <c r="B2915" s="4" t="str">
        <f>+IF('Data Pura Costos'!B2915="","",'Data Pura Costos'!B2915)</f>
        <v/>
      </c>
      <c r="C2915" s="4" t="str">
        <f>+IF('Data Pura Costos'!C2915="","",'Data Pura Costos'!C2915)</f>
        <v/>
      </c>
      <c r="D2915" s="5" t="str">
        <f>+IF('Data Pura Costos'!D2915="","",'Data Pura Costos'!D2915)</f>
        <v/>
      </c>
      <c r="E2915" s="65" t="str">
        <f>+IF('Data Pura Costos'!E2915="","",IF('Data Pura Costos'!E2915=0,MAX('Data Pura Costos'!$E$7:$E$3000)*1000,'Data Pura Costos'!E2915))</f>
        <v/>
      </c>
      <c r="F2915" s="5" t="str">
        <f>+IF('Data Pura Costos'!F2915="","",'Data Pura Costos'!F2915)</f>
        <v/>
      </c>
      <c r="G2915" s="5" t="str">
        <f>+IF('Data Pura Costos'!G2915="","",'Data Pura Costos'!G2915)</f>
        <v/>
      </c>
      <c r="H2915" s="52" t="str">
        <f>+IF('Data Pura Costos'!H2915="","",'Data Pura Costos'!H2915)</f>
        <v/>
      </c>
      <c r="I2915" s="71" t="str">
        <f>+IF('Data Pura Costos'!I2915="","",'Data Pura Costos'!I2915)</f>
        <v/>
      </c>
      <c r="J2915" s="52" t="str">
        <f>+IF('Data Pura Costos'!J2915="","",'Data Pura Costos'!J2915)</f>
        <v/>
      </c>
      <c r="K2915" s="82" t="str">
        <f t="shared" si="50"/>
        <v/>
      </c>
    </row>
    <row r="2916" spans="2:11" x14ac:dyDescent="0.35">
      <c r="B2916" s="4" t="str">
        <f>+IF('Data Pura Costos'!B2916="","",'Data Pura Costos'!B2916)</f>
        <v/>
      </c>
      <c r="C2916" s="4" t="str">
        <f>+IF('Data Pura Costos'!C2916="","",'Data Pura Costos'!C2916)</f>
        <v/>
      </c>
      <c r="D2916" s="5" t="str">
        <f>+IF('Data Pura Costos'!D2916="","",'Data Pura Costos'!D2916)</f>
        <v/>
      </c>
      <c r="E2916" s="65" t="str">
        <f>+IF('Data Pura Costos'!E2916="","",IF('Data Pura Costos'!E2916=0,MAX('Data Pura Costos'!$E$7:$E$3000)*1000,'Data Pura Costos'!E2916))</f>
        <v/>
      </c>
      <c r="F2916" s="5" t="str">
        <f>+IF('Data Pura Costos'!F2916="","",'Data Pura Costos'!F2916)</f>
        <v/>
      </c>
      <c r="G2916" s="5" t="str">
        <f>+IF('Data Pura Costos'!G2916="","",'Data Pura Costos'!G2916)</f>
        <v/>
      </c>
      <c r="H2916" s="52" t="str">
        <f>+IF('Data Pura Costos'!H2916="","",'Data Pura Costos'!H2916)</f>
        <v/>
      </c>
      <c r="I2916" s="71" t="str">
        <f>+IF('Data Pura Costos'!I2916="","",'Data Pura Costos'!I2916)</f>
        <v/>
      </c>
      <c r="J2916" s="52" t="str">
        <f>+IF('Data Pura Costos'!J2916="","",'Data Pura Costos'!J2916)</f>
        <v/>
      </c>
      <c r="K2916" s="82" t="str">
        <f t="shared" si="50"/>
        <v/>
      </c>
    </row>
    <row r="2917" spans="2:11" x14ac:dyDescent="0.35">
      <c r="B2917" s="4" t="str">
        <f>+IF('Data Pura Costos'!B2917="","",'Data Pura Costos'!B2917)</f>
        <v/>
      </c>
      <c r="C2917" s="4" t="str">
        <f>+IF('Data Pura Costos'!C2917="","",'Data Pura Costos'!C2917)</f>
        <v/>
      </c>
      <c r="D2917" s="5" t="str">
        <f>+IF('Data Pura Costos'!D2917="","",'Data Pura Costos'!D2917)</f>
        <v/>
      </c>
      <c r="E2917" s="65" t="str">
        <f>+IF('Data Pura Costos'!E2917="","",IF('Data Pura Costos'!E2917=0,MAX('Data Pura Costos'!$E$7:$E$3000)*1000,'Data Pura Costos'!E2917))</f>
        <v/>
      </c>
      <c r="F2917" s="5" t="str">
        <f>+IF('Data Pura Costos'!F2917="","",'Data Pura Costos'!F2917)</f>
        <v/>
      </c>
      <c r="G2917" s="5" t="str">
        <f>+IF('Data Pura Costos'!G2917="","",'Data Pura Costos'!G2917)</f>
        <v/>
      </c>
      <c r="H2917" s="52" t="str">
        <f>+IF('Data Pura Costos'!H2917="","",'Data Pura Costos'!H2917)</f>
        <v/>
      </c>
      <c r="I2917" s="71" t="str">
        <f>+IF('Data Pura Costos'!I2917="","",'Data Pura Costos'!I2917)</f>
        <v/>
      </c>
      <c r="J2917" s="52" t="str">
        <f>+IF('Data Pura Costos'!J2917="","",'Data Pura Costos'!J2917)</f>
        <v/>
      </c>
      <c r="K2917" s="82" t="str">
        <f t="shared" si="50"/>
        <v/>
      </c>
    </row>
    <row r="2918" spans="2:11" x14ac:dyDescent="0.35">
      <c r="B2918" s="4" t="str">
        <f>+IF('Data Pura Costos'!B2918="","",'Data Pura Costos'!B2918)</f>
        <v/>
      </c>
      <c r="C2918" s="4" t="str">
        <f>+IF('Data Pura Costos'!C2918="","",'Data Pura Costos'!C2918)</f>
        <v/>
      </c>
      <c r="D2918" s="5" t="str">
        <f>+IF('Data Pura Costos'!D2918="","",'Data Pura Costos'!D2918)</f>
        <v/>
      </c>
      <c r="E2918" s="65" t="str">
        <f>+IF('Data Pura Costos'!E2918="","",IF('Data Pura Costos'!E2918=0,MAX('Data Pura Costos'!$E$7:$E$3000)*1000,'Data Pura Costos'!E2918))</f>
        <v/>
      </c>
      <c r="F2918" s="5" t="str">
        <f>+IF('Data Pura Costos'!F2918="","",'Data Pura Costos'!F2918)</f>
        <v/>
      </c>
      <c r="G2918" s="5" t="str">
        <f>+IF('Data Pura Costos'!G2918="","",'Data Pura Costos'!G2918)</f>
        <v/>
      </c>
      <c r="H2918" s="52" t="str">
        <f>+IF('Data Pura Costos'!H2918="","",'Data Pura Costos'!H2918)</f>
        <v/>
      </c>
      <c r="I2918" s="71" t="str">
        <f>+IF('Data Pura Costos'!I2918="","",'Data Pura Costos'!I2918)</f>
        <v/>
      </c>
      <c r="J2918" s="52" t="str">
        <f>+IF('Data Pura Costos'!J2918="","",'Data Pura Costos'!J2918)</f>
        <v/>
      </c>
      <c r="K2918" s="82" t="str">
        <f t="shared" si="50"/>
        <v/>
      </c>
    </row>
    <row r="2919" spans="2:11" x14ac:dyDescent="0.35">
      <c r="B2919" s="4" t="str">
        <f>+IF('Data Pura Costos'!B2919="","",'Data Pura Costos'!B2919)</f>
        <v/>
      </c>
      <c r="C2919" s="4" t="str">
        <f>+IF('Data Pura Costos'!C2919="","",'Data Pura Costos'!C2919)</f>
        <v/>
      </c>
      <c r="D2919" s="5" t="str">
        <f>+IF('Data Pura Costos'!D2919="","",'Data Pura Costos'!D2919)</f>
        <v/>
      </c>
      <c r="E2919" s="65" t="str">
        <f>+IF('Data Pura Costos'!E2919="","",IF('Data Pura Costos'!E2919=0,MAX('Data Pura Costos'!$E$7:$E$3000)*1000,'Data Pura Costos'!E2919))</f>
        <v/>
      </c>
      <c r="F2919" s="5" t="str">
        <f>+IF('Data Pura Costos'!F2919="","",'Data Pura Costos'!F2919)</f>
        <v/>
      </c>
      <c r="G2919" s="5" t="str">
        <f>+IF('Data Pura Costos'!G2919="","",'Data Pura Costos'!G2919)</f>
        <v/>
      </c>
      <c r="H2919" s="52" t="str">
        <f>+IF('Data Pura Costos'!H2919="","",'Data Pura Costos'!H2919)</f>
        <v/>
      </c>
      <c r="I2919" s="71" t="str">
        <f>+IF('Data Pura Costos'!I2919="","",'Data Pura Costos'!I2919)</f>
        <v/>
      </c>
      <c r="J2919" s="52" t="str">
        <f>+IF('Data Pura Costos'!J2919="","",'Data Pura Costos'!J2919)</f>
        <v/>
      </c>
      <c r="K2919" s="82" t="str">
        <f t="shared" si="50"/>
        <v/>
      </c>
    </row>
    <row r="2920" spans="2:11" x14ac:dyDescent="0.35">
      <c r="B2920" s="4" t="str">
        <f>+IF('Data Pura Costos'!B2920="","",'Data Pura Costos'!B2920)</f>
        <v/>
      </c>
      <c r="C2920" s="4" t="str">
        <f>+IF('Data Pura Costos'!C2920="","",'Data Pura Costos'!C2920)</f>
        <v/>
      </c>
      <c r="D2920" s="5" t="str">
        <f>+IF('Data Pura Costos'!D2920="","",'Data Pura Costos'!D2920)</f>
        <v/>
      </c>
      <c r="E2920" s="65" t="str">
        <f>+IF('Data Pura Costos'!E2920="","",IF('Data Pura Costos'!E2920=0,MAX('Data Pura Costos'!$E$7:$E$3000)*1000,'Data Pura Costos'!E2920))</f>
        <v/>
      </c>
      <c r="F2920" s="5" t="str">
        <f>+IF('Data Pura Costos'!F2920="","",'Data Pura Costos'!F2920)</f>
        <v/>
      </c>
      <c r="G2920" s="5" t="str">
        <f>+IF('Data Pura Costos'!G2920="","",'Data Pura Costos'!G2920)</f>
        <v/>
      </c>
      <c r="H2920" s="52" t="str">
        <f>+IF('Data Pura Costos'!H2920="","",'Data Pura Costos'!H2920)</f>
        <v/>
      </c>
      <c r="I2920" s="71" t="str">
        <f>+IF('Data Pura Costos'!I2920="","",'Data Pura Costos'!I2920)</f>
        <v/>
      </c>
      <c r="J2920" s="52" t="str">
        <f>+IF('Data Pura Costos'!J2920="","",'Data Pura Costos'!J2920)</f>
        <v/>
      </c>
      <c r="K2920" s="82" t="str">
        <f t="shared" si="50"/>
        <v/>
      </c>
    </row>
    <row r="2921" spans="2:11" x14ac:dyDescent="0.35">
      <c r="B2921" s="4" t="str">
        <f>+IF('Data Pura Costos'!B2921="","",'Data Pura Costos'!B2921)</f>
        <v/>
      </c>
      <c r="C2921" s="4" t="str">
        <f>+IF('Data Pura Costos'!C2921="","",'Data Pura Costos'!C2921)</f>
        <v/>
      </c>
      <c r="D2921" s="5" t="str">
        <f>+IF('Data Pura Costos'!D2921="","",'Data Pura Costos'!D2921)</f>
        <v/>
      </c>
      <c r="E2921" s="65" t="str">
        <f>+IF('Data Pura Costos'!E2921="","",IF('Data Pura Costos'!E2921=0,MAX('Data Pura Costos'!$E$7:$E$3000)*1000,'Data Pura Costos'!E2921))</f>
        <v/>
      </c>
      <c r="F2921" s="5" t="str">
        <f>+IF('Data Pura Costos'!F2921="","",'Data Pura Costos'!F2921)</f>
        <v/>
      </c>
      <c r="G2921" s="5" t="str">
        <f>+IF('Data Pura Costos'!G2921="","",'Data Pura Costos'!G2921)</f>
        <v/>
      </c>
      <c r="H2921" s="52" t="str">
        <f>+IF('Data Pura Costos'!H2921="","",'Data Pura Costos'!H2921)</f>
        <v/>
      </c>
      <c r="I2921" s="71" t="str">
        <f>+IF('Data Pura Costos'!I2921="","",'Data Pura Costos'!I2921)</f>
        <v/>
      </c>
      <c r="J2921" s="52" t="str">
        <f>+IF('Data Pura Costos'!J2921="","",'Data Pura Costos'!J2921)</f>
        <v/>
      </c>
      <c r="K2921" s="82" t="str">
        <f t="shared" si="50"/>
        <v/>
      </c>
    </row>
    <row r="2922" spans="2:11" x14ac:dyDescent="0.35">
      <c r="B2922" s="4" t="str">
        <f>+IF('Data Pura Costos'!B2922="","",'Data Pura Costos'!B2922)</f>
        <v/>
      </c>
      <c r="C2922" s="4" t="str">
        <f>+IF('Data Pura Costos'!C2922="","",'Data Pura Costos'!C2922)</f>
        <v/>
      </c>
      <c r="D2922" s="5" t="str">
        <f>+IF('Data Pura Costos'!D2922="","",'Data Pura Costos'!D2922)</f>
        <v/>
      </c>
      <c r="E2922" s="65" t="str">
        <f>+IF('Data Pura Costos'!E2922="","",IF('Data Pura Costos'!E2922=0,MAX('Data Pura Costos'!$E$7:$E$3000)*1000,'Data Pura Costos'!E2922))</f>
        <v/>
      </c>
      <c r="F2922" s="5" t="str">
        <f>+IF('Data Pura Costos'!F2922="","",'Data Pura Costos'!F2922)</f>
        <v/>
      </c>
      <c r="G2922" s="5" t="str">
        <f>+IF('Data Pura Costos'!G2922="","",'Data Pura Costos'!G2922)</f>
        <v/>
      </c>
      <c r="H2922" s="52" t="str">
        <f>+IF('Data Pura Costos'!H2922="","",'Data Pura Costos'!H2922)</f>
        <v/>
      </c>
      <c r="I2922" s="71" t="str">
        <f>+IF('Data Pura Costos'!I2922="","",'Data Pura Costos'!I2922)</f>
        <v/>
      </c>
      <c r="J2922" s="52" t="str">
        <f>+IF('Data Pura Costos'!J2922="","",'Data Pura Costos'!J2922)</f>
        <v/>
      </c>
      <c r="K2922" s="82" t="str">
        <f t="shared" si="50"/>
        <v/>
      </c>
    </row>
    <row r="2923" spans="2:11" x14ac:dyDescent="0.35">
      <c r="B2923" s="4" t="str">
        <f>+IF('Data Pura Costos'!B2923="","",'Data Pura Costos'!B2923)</f>
        <v/>
      </c>
      <c r="C2923" s="4" t="str">
        <f>+IF('Data Pura Costos'!C2923="","",'Data Pura Costos'!C2923)</f>
        <v/>
      </c>
      <c r="D2923" s="5" t="str">
        <f>+IF('Data Pura Costos'!D2923="","",'Data Pura Costos'!D2923)</f>
        <v/>
      </c>
      <c r="E2923" s="65" t="str">
        <f>+IF('Data Pura Costos'!E2923="","",IF('Data Pura Costos'!E2923=0,MAX('Data Pura Costos'!$E$7:$E$3000)*1000,'Data Pura Costos'!E2923))</f>
        <v/>
      </c>
      <c r="F2923" s="5" t="str">
        <f>+IF('Data Pura Costos'!F2923="","",'Data Pura Costos'!F2923)</f>
        <v/>
      </c>
      <c r="G2923" s="5" t="str">
        <f>+IF('Data Pura Costos'!G2923="","",'Data Pura Costos'!G2923)</f>
        <v/>
      </c>
      <c r="H2923" s="52" t="str">
        <f>+IF('Data Pura Costos'!H2923="","",'Data Pura Costos'!H2923)</f>
        <v/>
      </c>
      <c r="I2923" s="71" t="str">
        <f>+IF('Data Pura Costos'!I2923="","",'Data Pura Costos'!I2923)</f>
        <v/>
      </c>
      <c r="J2923" s="52" t="str">
        <f>+IF('Data Pura Costos'!J2923="","",'Data Pura Costos'!J2923)</f>
        <v/>
      </c>
      <c r="K2923" s="82" t="str">
        <f t="shared" si="50"/>
        <v/>
      </c>
    </row>
    <row r="2924" spans="2:11" x14ac:dyDescent="0.35">
      <c r="B2924" s="4" t="str">
        <f>+IF('Data Pura Costos'!B2924="","",'Data Pura Costos'!B2924)</f>
        <v/>
      </c>
      <c r="C2924" s="4" t="str">
        <f>+IF('Data Pura Costos'!C2924="","",'Data Pura Costos'!C2924)</f>
        <v/>
      </c>
      <c r="D2924" s="5" t="str">
        <f>+IF('Data Pura Costos'!D2924="","",'Data Pura Costos'!D2924)</f>
        <v/>
      </c>
      <c r="E2924" s="65" t="str">
        <f>+IF('Data Pura Costos'!E2924="","",IF('Data Pura Costos'!E2924=0,MAX('Data Pura Costos'!$E$7:$E$3000)*1000,'Data Pura Costos'!E2924))</f>
        <v/>
      </c>
      <c r="F2924" s="5" t="str">
        <f>+IF('Data Pura Costos'!F2924="","",'Data Pura Costos'!F2924)</f>
        <v/>
      </c>
      <c r="G2924" s="5" t="str">
        <f>+IF('Data Pura Costos'!G2924="","",'Data Pura Costos'!G2924)</f>
        <v/>
      </c>
      <c r="H2924" s="52" t="str">
        <f>+IF('Data Pura Costos'!H2924="","",'Data Pura Costos'!H2924)</f>
        <v/>
      </c>
      <c r="I2924" s="71" t="str">
        <f>+IF('Data Pura Costos'!I2924="","",'Data Pura Costos'!I2924)</f>
        <v/>
      </c>
      <c r="J2924" s="52" t="str">
        <f>+IF('Data Pura Costos'!J2924="","",'Data Pura Costos'!J2924)</f>
        <v/>
      </c>
      <c r="K2924" s="82" t="str">
        <f t="shared" si="50"/>
        <v/>
      </c>
    </row>
    <row r="2925" spans="2:11" x14ac:dyDescent="0.35">
      <c r="B2925" s="4" t="str">
        <f>+IF('Data Pura Costos'!B2925="","",'Data Pura Costos'!B2925)</f>
        <v/>
      </c>
      <c r="C2925" s="4" t="str">
        <f>+IF('Data Pura Costos'!C2925="","",'Data Pura Costos'!C2925)</f>
        <v/>
      </c>
      <c r="D2925" s="5" t="str">
        <f>+IF('Data Pura Costos'!D2925="","",'Data Pura Costos'!D2925)</f>
        <v/>
      </c>
      <c r="E2925" s="65" t="str">
        <f>+IF('Data Pura Costos'!E2925="","",IF('Data Pura Costos'!E2925=0,MAX('Data Pura Costos'!$E$7:$E$3000)*1000,'Data Pura Costos'!E2925))</f>
        <v/>
      </c>
      <c r="F2925" s="5" t="str">
        <f>+IF('Data Pura Costos'!F2925="","",'Data Pura Costos'!F2925)</f>
        <v/>
      </c>
      <c r="G2925" s="5" t="str">
        <f>+IF('Data Pura Costos'!G2925="","",'Data Pura Costos'!G2925)</f>
        <v/>
      </c>
      <c r="H2925" s="52" t="str">
        <f>+IF('Data Pura Costos'!H2925="","",'Data Pura Costos'!H2925)</f>
        <v/>
      </c>
      <c r="I2925" s="71" t="str">
        <f>+IF('Data Pura Costos'!I2925="","",'Data Pura Costos'!I2925)</f>
        <v/>
      </c>
      <c r="J2925" s="52" t="str">
        <f>+IF('Data Pura Costos'!J2925="","",'Data Pura Costos'!J2925)</f>
        <v/>
      </c>
      <c r="K2925" s="82" t="str">
        <f t="shared" si="50"/>
        <v/>
      </c>
    </row>
    <row r="2926" spans="2:11" x14ac:dyDescent="0.35">
      <c r="B2926" s="4" t="str">
        <f>+IF('Data Pura Costos'!B2926="","",'Data Pura Costos'!B2926)</f>
        <v/>
      </c>
      <c r="C2926" s="4" t="str">
        <f>+IF('Data Pura Costos'!C2926="","",'Data Pura Costos'!C2926)</f>
        <v/>
      </c>
      <c r="D2926" s="5" t="str">
        <f>+IF('Data Pura Costos'!D2926="","",'Data Pura Costos'!D2926)</f>
        <v/>
      </c>
      <c r="E2926" s="65" t="str">
        <f>+IF('Data Pura Costos'!E2926="","",IF('Data Pura Costos'!E2926=0,MAX('Data Pura Costos'!$E$7:$E$3000)*1000,'Data Pura Costos'!E2926))</f>
        <v/>
      </c>
      <c r="F2926" s="5" t="str">
        <f>+IF('Data Pura Costos'!F2926="","",'Data Pura Costos'!F2926)</f>
        <v/>
      </c>
      <c r="G2926" s="5" t="str">
        <f>+IF('Data Pura Costos'!G2926="","",'Data Pura Costos'!G2926)</f>
        <v/>
      </c>
      <c r="H2926" s="52" t="str">
        <f>+IF('Data Pura Costos'!H2926="","",'Data Pura Costos'!H2926)</f>
        <v/>
      </c>
      <c r="I2926" s="71" t="str">
        <f>+IF('Data Pura Costos'!I2926="","",'Data Pura Costos'!I2926)</f>
        <v/>
      </c>
      <c r="J2926" s="52" t="str">
        <f>+IF('Data Pura Costos'!J2926="","",'Data Pura Costos'!J2926)</f>
        <v/>
      </c>
      <c r="K2926" s="82" t="str">
        <f t="shared" si="50"/>
        <v/>
      </c>
    </row>
    <row r="2927" spans="2:11" x14ac:dyDescent="0.35">
      <c r="B2927" s="4" t="str">
        <f>+IF('Data Pura Costos'!B2927="","",'Data Pura Costos'!B2927)</f>
        <v/>
      </c>
      <c r="C2927" s="4" t="str">
        <f>+IF('Data Pura Costos'!C2927="","",'Data Pura Costos'!C2927)</f>
        <v/>
      </c>
      <c r="D2927" s="5" t="str">
        <f>+IF('Data Pura Costos'!D2927="","",'Data Pura Costos'!D2927)</f>
        <v/>
      </c>
      <c r="E2927" s="65" t="str">
        <f>+IF('Data Pura Costos'!E2927="","",IF('Data Pura Costos'!E2927=0,MAX('Data Pura Costos'!$E$7:$E$3000)*1000,'Data Pura Costos'!E2927))</f>
        <v/>
      </c>
      <c r="F2927" s="5" t="str">
        <f>+IF('Data Pura Costos'!F2927="","",'Data Pura Costos'!F2927)</f>
        <v/>
      </c>
      <c r="G2927" s="5" t="str">
        <f>+IF('Data Pura Costos'!G2927="","",'Data Pura Costos'!G2927)</f>
        <v/>
      </c>
      <c r="H2927" s="52" t="str">
        <f>+IF('Data Pura Costos'!H2927="","",'Data Pura Costos'!H2927)</f>
        <v/>
      </c>
      <c r="I2927" s="71" t="str">
        <f>+IF('Data Pura Costos'!I2927="","",'Data Pura Costos'!I2927)</f>
        <v/>
      </c>
      <c r="J2927" s="52" t="str">
        <f>+IF('Data Pura Costos'!J2927="","",'Data Pura Costos'!J2927)</f>
        <v/>
      </c>
      <c r="K2927" s="82" t="str">
        <f t="shared" si="50"/>
        <v/>
      </c>
    </row>
    <row r="2928" spans="2:11" x14ac:dyDescent="0.35">
      <c r="B2928" s="4" t="str">
        <f>+IF('Data Pura Costos'!B2928="","",'Data Pura Costos'!B2928)</f>
        <v/>
      </c>
      <c r="C2928" s="4" t="str">
        <f>+IF('Data Pura Costos'!C2928="","",'Data Pura Costos'!C2928)</f>
        <v/>
      </c>
      <c r="D2928" s="5" t="str">
        <f>+IF('Data Pura Costos'!D2928="","",'Data Pura Costos'!D2928)</f>
        <v/>
      </c>
      <c r="E2928" s="65" t="str">
        <f>+IF('Data Pura Costos'!E2928="","",IF('Data Pura Costos'!E2928=0,MAX('Data Pura Costos'!$E$7:$E$3000)*1000,'Data Pura Costos'!E2928))</f>
        <v/>
      </c>
      <c r="F2928" s="5" t="str">
        <f>+IF('Data Pura Costos'!F2928="","",'Data Pura Costos'!F2928)</f>
        <v/>
      </c>
      <c r="G2928" s="5" t="str">
        <f>+IF('Data Pura Costos'!G2928="","",'Data Pura Costos'!G2928)</f>
        <v/>
      </c>
      <c r="H2928" s="52" t="str">
        <f>+IF('Data Pura Costos'!H2928="","",'Data Pura Costos'!H2928)</f>
        <v/>
      </c>
      <c r="I2928" s="71" t="str">
        <f>+IF('Data Pura Costos'!I2928="","",'Data Pura Costos'!I2928)</f>
        <v/>
      </c>
      <c r="J2928" s="52" t="str">
        <f>+IF('Data Pura Costos'!J2928="","",'Data Pura Costos'!J2928)</f>
        <v/>
      </c>
      <c r="K2928" s="82" t="str">
        <f t="shared" si="50"/>
        <v/>
      </c>
    </row>
    <row r="2929" spans="2:11" x14ac:dyDescent="0.35">
      <c r="B2929" s="4" t="str">
        <f>+IF('Data Pura Costos'!B2929="","",'Data Pura Costos'!B2929)</f>
        <v/>
      </c>
      <c r="C2929" s="4" t="str">
        <f>+IF('Data Pura Costos'!C2929="","",'Data Pura Costos'!C2929)</f>
        <v/>
      </c>
      <c r="D2929" s="5" t="str">
        <f>+IF('Data Pura Costos'!D2929="","",'Data Pura Costos'!D2929)</f>
        <v/>
      </c>
      <c r="E2929" s="65" t="str">
        <f>+IF('Data Pura Costos'!E2929="","",IF('Data Pura Costos'!E2929=0,MAX('Data Pura Costos'!$E$7:$E$3000)*1000,'Data Pura Costos'!E2929))</f>
        <v/>
      </c>
      <c r="F2929" s="5" t="str">
        <f>+IF('Data Pura Costos'!F2929="","",'Data Pura Costos'!F2929)</f>
        <v/>
      </c>
      <c r="G2929" s="5" t="str">
        <f>+IF('Data Pura Costos'!G2929="","",'Data Pura Costos'!G2929)</f>
        <v/>
      </c>
      <c r="H2929" s="52" t="str">
        <f>+IF('Data Pura Costos'!H2929="","",'Data Pura Costos'!H2929)</f>
        <v/>
      </c>
      <c r="I2929" s="71" t="str">
        <f>+IF('Data Pura Costos'!I2929="","",'Data Pura Costos'!I2929)</f>
        <v/>
      </c>
      <c r="J2929" s="52" t="str">
        <f>+IF('Data Pura Costos'!J2929="","",'Data Pura Costos'!J2929)</f>
        <v/>
      </c>
      <c r="K2929" s="82" t="str">
        <f t="shared" si="50"/>
        <v/>
      </c>
    </row>
    <row r="2930" spans="2:11" x14ac:dyDescent="0.35">
      <c r="B2930" s="4" t="str">
        <f>+IF('Data Pura Costos'!B2930="","",'Data Pura Costos'!B2930)</f>
        <v/>
      </c>
      <c r="C2930" s="4" t="str">
        <f>+IF('Data Pura Costos'!C2930="","",'Data Pura Costos'!C2930)</f>
        <v/>
      </c>
      <c r="D2930" s="5" t="str">
        <f>+IF('Data Pura Costos'!D2930="","",'Data Pura Costos'!D2930)</f>
        <v/>
      </c>
      <c r="E2930" s="65" t="str">
        <f>+IF('Data Pura Costos'!E2930="","",IF('Data Pura Costos'!E2930=0,MAX('Data Pura Costos'!$E$7:$E$3000)*1000,'Data Pura Costos'!E2930))</f>
        <v/>
      </c>
      <c r="F2930" s="5" t="str">
        <f>+IF('Data Pura Costos'!F2930="","",'Data Pura Costos'!F2930)</f>
        <v/>
      </c>
      <c r="G2930" s="5" t="str">
        <f>+IF('Data Pura Costos'!G2930="","",'Data Pura Costos'!G2930)</f>
        <v/>
      </c>
      <c r="H2930" s="52" t="str">
        <f>+IF('Data Pura Costos'!H2930="","",'Data Pura Costos'!H2930)</f>
        <v/>
      </c>
      <c r="I2930" s="71" t="str">
        <f>+IF('Data Pura Costos'!I2930="","",'Data Pura Costos'!I2930)</f>
        <v/>
      </c>
      <c r="J2930" s="52" t="str">
        <f>+IF('Data Pura Costos'!J2930="","",'Data Pura Costos'!J2930)</f>
        <v/>
      </c>
      <c r="K2930" s="82" t="str">
        <f t="shared" si="50"/>
        <v/>
      </c>
    </row>
    <row r="2931" spans="2:11" x14ac:dyDescent="0.35">
      <c r="B2931" s="4" t="str">
        <f>+IF('Data Pura Costos'!B2931="","",'Data Pura Costos'!B2931)</f>
        <v/>
      </c>
      <c r="C2931" s="4" t="str">
        <f>+IF('Data Pura Costos'!C2931="","",'Data Pura Costos'!C2931)</f>
        <v/>
      </c>
      <c r="D2931" s="5" t="str">
        <f>+IF('Data Pura Costos'!D2931="","",'Data Pura Costos'!D2931)</f>
        <v/>
      </c>
      <c r="E2931" s="65" t="str">
        <f>+IF('Data Pura Costos'!E2931="","",IF('Data Pura Costos'!E2931=0,MAX('Data Pura Costos'!$E$7:$E$3000)*1000,'Data Pura Costos'!E2931))</f>
        <v/>
      </c>
      <c r="F2931" s="5" t="str">
        <f>+IF('Data Pura Costos'!F2931="","",'Data Pura Costos'!F2931)</f>
        <v/>
      </c>
      <c r="G2931" s="5" t="str">
        <f>+IF('Data Pura Costos'!G2931="","",'Data Pura Costos'!G2931)</f>
        <v/>
      </c>
      <c r="H2931" s="52" t="str">
        <f>+IF('Data Pura Costos'!H2931="","",'Data Pura Costos'!H2931)</f>
        <v/>
      </c>
      <c r="I2931" s="71" t="str">
        <f>+IF('Data Pura Costos'!I2931="","",'Data Pura Costos'!I2931)</f>
        <v/>
      </c>
      <c r="J2931" s="52" t="str">
        <f>+IF('Data Pura Costos'!J2931="","",'Data Pura Costos'!J2931)</f>
        <v/>
      </c>
      <c r="K2931" s="82" t="str">
        <f t="shared" si="50"/>
        <v/>
      </c>
    </row>
    <row r="2932" spans="2:11" x14ac:dyDescent="0.35">
      <c r="B2932" s="4" t="str">
        <f>+IF('Data Pura Costos'!B2932="","",'Data Pura Costos'!B2932)</f>
        <v/>
      </c>
      <c r="C2932" s="4" t="str">
        <f>+IF('Data Pura Costos'!C2932="","",'Data Pura Costos'!C2932)</f>
        <v/>
      </c>
      <c r="D2932" s="5" t="str">
        <f>+IF('Data Pura Costos'!D2932="","",'Data Pura Costos'!D2932)</f>
        <v/>
      </c>
      <c r="E2932" s="65" t="str">
        <f>+IF('Data Pura Costos'!E2932="","",IF('Data Pura Costos'!E2932=0,MAX('Data Pura Costos'!$E$7:$E$3000)*1000,'Data Pura Costos'!E2932))</f>
        <v/>
      </c>
      <c r="F2932" s="5" t="str">
        <f>+IF('Data Pura Costos'!F2932="","",'Data Pura Costos'!F2932)</f>
        <v/>
      </c>
      <c r="G2932" s="5" t="str">
        <f>+IF('Data Pura Costos'!G2932="","",'Data Pura Costos'!G2932)</f>
        <v/>
      </c>
      <c r="H2932" s="52" t="str">
        <f>+IF('Data Pura Costos'!H2932="","",'Data Pura Costos'!H2932)</f>
        <v/>
      </c>
      <c r="I2932" s="71" t="str">
        <f>+IF('Data Pura Costos'!I2932="","",'Data Pura Costos'!I2932)</f>
        <v/>
      </c>
      <c r="J2932" s="52" t="str">
        <f>+IF('Data Pura Costos'!J2932="","",'Data Pura Costos'!J2932)</f>
        <v/>
      </c>
      <c r="K2932" s="82" t="str">
        <f t="shared" si="50"/>
        <v/>
      </c>
    </row>
    <row r="2933" spans="2:11" x14ac:dyDescent="0.35">
      <c r="B2933" s="4" t="str">
        <f>+IF('Data Pura Costos'!B2933="","",'Data Pura Costos'!B2933)</f>
        <v/>
      </c>
      <c r="C2933" s="4" t="str">
        <f>+IF('Data Pura Costos'!C2933="","",'Data Pura Costos'!C2933)</f>
        <v/>
      </c>
      <c r="D2933" s="5" t="str">
        <f>+IF('Data Pura Costos'!D2933="","",'Data Pura Costos'!D2933)</f>
        <v/>
      </c>
      <c r="E2933" s="65" t="str">
        <f>+IF('Data Pura Costos'!E2933="","",IF('Data Pura Costos'!E2933=0,MAX('Data Pura Costos'!$E$7:$E$3000)*1000,'Data Pura Costos'!E2933))</f>
        <v/>
      </c>
      <c r="F2933" s="5" t="str">
        <f>+IF('Data Pura Costos'!F2933="","",'Data Pura Costos'!F2933)</f>
        <v/>
      </c>
      <c r="G2933" s="5" t="str">
        <f>+IF('Data Pura Costos'!G2933="","",'Data Pura Costos'!G2933)</f>
        <v/>
      </c>
      <c r="H2933" s="52" t="str">
        <f>+IF('Data Pura Costos'!H2933="","",'Data Pura Costos'!H2933)</f>
        <v/>
      </c>
      <c r="I2933" s="71" t="str">
        <f>+IF('Data Pura Costos'!I2933="","",'Data Pura Costos'!I2933)</f>
        <v/>
      </c>
      <c r="J2933" s="52" t="str">
        <f>+IF('Data Pura Costos'!J2933="","",'Data Pura Costos'!J2933)</f>
        <v/>
      </c>
      <c r="K2933" s="82" t="str">
        <f t="shared" si="50"/>
        <v/>
      </c>
    </row>
    <row r="2934" spans="2:11" x14ac:dyDescent="0.35">
      <c r="B2934" s="4" t="str">
        <f>+IF('Data Pura Costos'!B2934="","",'Data Pura Costos'!B2934)</f>
        <v/>
      </c>
      <c r="C2934" s="4" t="str">
        <f>+IF('Data Pura Costos'!C2934="","",'Data Pura Costos'!C2934)</f>
        <v/>
      </c>
      <c r="D2934" s="5" t="str">
        <f>+IF('Data Pura Costos'!D2934="","",'Data Pura Costos'!D2934)</f>
        <v/>
      </c>
      <c r="E2934" s="65" t="str">
        <f>+IF('Data Pura Costos'!E2934="","",IF('Data Pura Costos'!E2934=0,MAX('Data Pura Costos'!$E$7:$E$3000)*1000,'Data Pura Costos'!E2934))</f>
        <v/>
      </c>
      <c r="F2934" s="5" t="str">
        <f>+IF('Data Pura Costos'!F2934="","",'Data Pura Costos'!F2934)</f>
        <v/>
      </c>
      <c r="G2934" s="5" t="str">
        <f>+IF('Data Pura Costos'!G2934="","",'Data Pura Costos'!G2934)</f>
        <v/>
      </c>
      <c r="H2934" s="52" t="str">
        <f>+IF('Data Pura Costos'!H2934="","",'Data Pura Costos'!H2934)</f>
        <v/>
      </c>
      <c r="I2934" s="71" t="str">
        <f>+IF('Data Pura Costos'!I2934="","",'Data Pura Costos'!I2934)</f>
        <v/>
      </c>
      <c r="J2934" s="52" t="str">
        <f>+IF('Data Pura Costos'!J2934="","",'Data Pura Costos'!J2934)</f>
        <v/>
      </c>
      <c r="K2934" s="82" t="str">
        <f t="shared" si="50"/>
        <v/>
      </c>
    </row>
    <row r="2935" spans="2:11" x14ac:dyDescent="0.35">
      <c r="B2935" s="4" t="str">
        <f>+IF('Data Pura Costos'!B2935="","",'Data Pura Costos'!B2935)</f>
        <v/>
      </c>
      <c r="C2935" s="4" t="str">
        <f>+IF('Data Pura Costos'!C2935="","",'Data Pura Costos'!C2935)</f>
        <v/>
      </c>
      <c r="D2935" s="5" t="str">
        <f>+IF('Data Pura Costos'!D2935="","",'Data Pura Costos'!D2935)</f>
        <v/>
      </c>
      <c r="E2935" s="65" t="str">
        <f>+IF('Data Pura Costos'!E2935="","",IF('Data Pura Costos'!E2935=0,MAX('Data Pura Costos'!$E$7:$E$3000)*1000,'Data Pura Costos'!E2935))</f>
        <v/>
      </c>
      <c r="F2935" s="5" t="str">
        <f>+IF('Data Pura Costos'!F2935="","",'Data Pura Costos'!F2935)</f>
        <v/>
      </c>
      <c r="G2935" s="5" t="str">
        <f>+IF('Data Pura Costos'!G2935="","",'Data Pura Costos'!G2935)</f>
        <v/>
      </c>
      <c r="H2935" s="52" t="str">
        <f>+IF('Data Pura Costos'!H2935="","",'Data Pura Costos'!H2935)</f>
        <v/>
      </c>
      <c r="I2935" s="71" t="str">
        <f>+IF('Data Pura Costos'!I2935="","",'Data Pura Costos'!I2935)</f>
        <v/>
      </c>
      <c r="J2935" s="52" t="str">
        <f>+IF('Data Pura Costos'!J2935="","",'Data Pura Costos'!J2935)</f>
        <v/>
      </c>
      <c r="K2935" s="82" t="str">
        <f t="shared" si="50"/>
        <v/>
      </c>
    </row>
    <row r="2936" spans="2:11" x14ac:dyDescent="0.35">
      <c r="B2936" s="4" t="str">
        <f>+IF('Data Pura Costos'!B2936="","",'Data Pura Costos'!B2936)</f>
        <v/>
      </c>
      <c r="C2936" s="4" t="str">
        <f>+IF('Data Pura Costos'!C2936="","",'Data Pura Costos'!C2936)</f>
        <v/>
      </c>
      <c r="D2936" s="5" t="str">
        <f>+IF('Data Pura Costos'!D2936="","",'Data Pura Costos'!D2936)</f>
        <v/>
      </c>
      <c r="E2936" s="65" t="str">
        <f>+IF('Data Pura Costos'!E2936="","",IF('Data Pura Costos'!E2936=0,MAX('Data Pura Costos'!$E$7:$E$3000)*1000,'Data Pura Costos'!E2936))</f>
        <v/>
      </c>
      <c r="F2936" s="5" t="str">
        <f>+IF('Data Pura Costos'!F2936="","",'Data Pura Costos'!F2936)</f>
        <v/>
      </c>
      <c r="G2936" s="5" t="str">
        <f>+IF('Data Pura Costos'!G2936="","",'Data Pura Costos'!G2936)</f>
        <v/>
      </c>
      <c r="H2936" s="52" t="str">
        <f>+IF('Data Pura Costos'!H2936="","",'Data Pura Costos'!H2936)</f>
        <v/>
      </c>
      <c r="I2936" s="71" t="str">
        <f>+IF('Data Pura Costos'!I2936="","",'Data Pura Costos'!I2936)</f>
        <v/>
      </c>
      <c r="J2936" s="52" t="str">
        <f>+IF('Data Pura Costos'!J2936="","",'Data Pura Costos'!J2936)</f>
        <v/>
      </c>
      <c r="K2936" s="82" t="str">
        <f t="shared" si="50"/>
        <v/>
      </c>
    </row>
    <row r="2937" spans="2:11" x14ac:dyDescent="0.35">
      <c r="B2937" s="4" t="str">
        <f>+IF('Data Pura Costos'!B2937="","",'Data Pura Costos'!B2937)</f>
        <v/>
      </c>
      <c r="C2937" s="4" t="str">
        <f>+IF('Data Pura Costos'!C2937="","",'Data Pura Costos'!C2937)</f>
        <v/>
      </c>
      <c r="D2937" s="5" t="str">
        <f>+IF('Data Pura Costos'!D2937="","",'Data Pura Costos'!D2937)</f>
        <v/>
      </c>
      <c r="E2937" s="65" t="str">
        <f>+IF('Data Pura Costos'!E2937="","",IF('Data Pura Costos'!E2937=0,MAX('Data Pura Costos'!$E$7:$E$3000)*1000,'Data Pura Costos'!E2937))</f>
        <v/>
      </c>
      <c r="F2937" s="5" t="str">
        <f>+IF('Data Pura Costos'!F2937="","",'Data Pura Costos'!F2937)</f>
        <v/>
      </c>
      <c r="G2937" s="5" t="str">
        <f>+IF('Data Pura Costos'!G2937="","",'Data Pura Costos'!G2937)</f>
        <v/>
      </c>
      <c r="H2937" s="52" t="str">
        <f>+IF('Data Pura Costos'!H2937="","",'Data Pura Costos'!H2937)</f>
        <v/>
      </c>
      <c r="I2937" s="71" t="str">
        <f>+IF('Data Pura Costos'!I2937="","",'Data Pura Costos'!I2937)</f>
        <v/>
      </c>
      <c r="J2937" s="52" t="str">
        <f>+IF('Data Pura Costos'!J2937="","",'Data Pura Costos'!J2937)</f>
        <v/>
      </c>
      <c r="K2937" s="82" t="str">
        <f t="shared" si="50"/>
        <v/>
      </c>
    </row>
    <row r="2938" spans="2:11" x14ac:dyDescent="0.35">
      <c r="B2938" s="4" t="str">
        <f>+IF('Data Pura Costos'!B2938="","",'Data Pura Costos'!B2938)</f>
        <v/>
      </c>
      <c r="C2938" s="4" t="str">
        <f>+IF('Data Pura Costos'!C2938="","",'Data Pura Costos'!C2938)</f>
        <v/>
      </c>
      <c r="D2938" s="5" t="str">
        <f>+IF('Data Pura Costos'!D2938="","",'Data Pura Costos'!D2938)</f>
        <v/>
      </c>
      <c r="E2938" s="65" t="str">
        <f>+IF('Data Pura Costos'!E2938="","",IF('Data Pura Costos'!E2938=0,MAX('Data Pura Costos'!$E$7:$E$3000)*1000,'Data Pura Costos'!E2938))</f>
        <v/>
      </c>
      <c r="F2938" s="5" t="str">
        <f>+IF('Data Pura Costos'!F2938="","",'Data Pura Costos'!F2938)</f>
        <v/>
      </c>
      <c r="G2938" s="5" t="str">
        <f>+IF('Data Pura Costos'!G2938="","",'Data Pura Costos'!G2938)</f>
        <v/>
      </c>
      <c r="H2938" s="52" t="str">
        <f>+IF('Data Pura Costos'!H2938="","",'Data Pura Costos'!H2938)</f>
        <v/>
      </c>
      <c r="I2938" s="71" t="str">
        <f>+IF('Data Pura Costos'!I2938="","",'Data Pura Costos'!I2938)</f>
        <v/>
      </c>
      <c r="J2938" s="52" t="str">
        <f>+IF('Data Pura Costos'!J2938="","",'Data Pura Costos'!J2938)</f>
        <v/>
      </c>
      <c r="K2938" s="82" t="str">
        <f t="shared" si="50"/>
        <v/>
      </c>
    </row>
    <row r="2939" spans="2:11" x14ac:dyDescent="0.35">
      <c r="B2939" s="4" t="str">
        <f>+IF('Data Pura Costos'!B2939="","",'Data Pura Costos'!B2939)</f>
        <v/>
      </c>
      <c r="C2939" s="4" t="str">
        <f>+IF('Data Pura Costos'!C2939="","",'Data Pura Costos'!C2939)</f>
        <v/>
      </c>
      <c r="D2939" s="5" t="str">
        <f>+IF('Data Pura Costos'!D2939="","",'Data Pura Costos'!D2939)</f>
        <v/>
      </c>
      <c r="E2939" s="65" t="str">
        <f>+IF('Data Pura Costos'!E2939="","",IF('Data Pura Costos'!E2939=0,MAX('Data Pura Costos'!$E$7:$E$3000)*1000,'Data Pura Costos'!E2939))</f>
        <v/>
      </c>
      <c r="F2939" s="5" t="str">
        <f>+IF('Data Pura Costos'!F2939="","",'Data Pura Costos'!F2939)</f>
        <v/>
      </c>
      <c r="G2939" s="5" t="str">
        <f>+IF('Data Pura Costos'!G2939="","",'Data Pura Costos'!G2939)</f>
        <v/>
      </c>
      <c r="H2939" s="52" t="str">
        <f>+IF('Data Pura Costos'!H2939="","",'Data Pura Costos'!H2939)</f>
        <v/>
      </c>
      <c r="I2939" s="71" t="str">
        <f>+IF('Data Pura Costos'!I2939="","",'Data Pura Costos'!I2939)</f>
        <v/>
      </c>
      <c r="J2939" s="52" t="str">
        <f>+IF('Data Pura Costos'!J2939="","",'Data Pura Costos'!J2939)</f>
        <v/>
      </c>
      <c r="K2939" s="82" t="str">
        <f t="shared" si="50"/>
        <v/>
      </c>
    </row>
    <row r="2940" spans="2:11" x14ac:dyDescent="0.35">
      <c r="B2940" s="4" t="str">
        <f>+IF('Data Pura Costos'!B2940="","",'Data Pura Costos'!B2940)</f>
        <v/>
      </c>
      <c r="C2940" s="4" t="str">
        <f>+IF('Data Pura Costos'!C2940="","",'Data Pura Costos'!C2940)</f>
        <v/>
      </c>
      <c r="D2940" s="5" t="str">
        <f>+IF('Data Pura Costos'!D2940="","",'Data Pura Costos'!D2940)</f>
        <v/>
      </c>
      <c r="E2940" s="65" t="str">
        <f>+IF('Data Pura Costos'!E2940="","",IF('Data Pura Costos'!E2940=0,MAX('Data Pura Costos'!$E$7:$E$3000)*1000,'Data Pura Costos'!E2940))</f>
        <v/>
      </c>
      <c r="F2940" s="5" t="str">
        <f>+IF('Data Pura Costos'!F2940="","",'Data Pura Costos'!F2940)</f>
        <v/>
      </c>
      <c r="G2940" s="5" t="str">
        <f>+IF('Data Pura Costos'!G2940="","",'Data Pura Costos'!G2940)</f>
        <v/>
      </c>
      <c r="H2940" s="52" t="str">
        <f>+IF('Data Pura Costos'!H2940="","",'Data Pura Costos'!H2940)</f>
        <v/>
      </c>
      <c r="I2940" s="71" t="str">
        <f>+IF('Data Pura Costos'!I2940="","",'Data Pura Costos'!I2940)</f>
        <v/>
      </c>
      <c r="J2940" s="52" t="str">
        <f>+IF('Data Pura Costos'!J2940="","",'Data Pura Costos'!J2940)</f>
        <v/>
      </c>
      <c r="K2940" s="82" t="str">
        <f t="shared" ref="K2940:K3000" si="51">+IF(B2940="","",CONCATENATE(B2940,"-",F2940,"-",G2940))</f>
        <v/>
      </c>
    </row>
    <row r="2941" spans="2:11" x14ac:dyDescent="0.35">
      <c r="B2941" s="4" t="str">
        <f>+IF('Data Pura Costos'!B2941="","",'Data Pura Costos'!B2941)</f>
        <v/>
      </c>
      <c r="C2941" s="4" t="str">
        <f>+IF('Data Pura Costos'!C2941="","",'Data Pura Costos'!C2941)</f>
        <v/>
      </c>
      <c r="D2941" s="5" t="str">
        <f>+IF('Data Pura Costos'!D2941="","",'Data Pura Costos'!D2941)</f>
        <v/>
      </c>
      <c r="E2941" s="65" t="str">
        <f>+IF('Data Pura Costos'!E2941="","",IF('Data Pura Costos'!E2941=0,MAX('Data Pura Costos'!$E$7:$E$3000)*1000,'Data Pura Costos'!E2941))</f>
        <v/>
      </c>
      <c r="F2941" s="5" t="str">
        <f>+IF('Data Pura Costos'!F2941="","",'Data Pura Costos'!F2941)</f>
        <v/>
      </c>
      <c r="G2941" s="5" t="str">
        <f>+IF('Data Pura Costos'!G2941="","",'Data Pura Costos'!G2941)</f>
        <v/>
      </c>
      <c r="H2941" s="52" t="str">
        <f>+IF('Data Pura Costos'!H2941="","",'Data Pura Costos'!H2941)</f>
        <v/>
      </c>
      <c r="I2941" s="71" t="str">
        <f>+IF('Data Pura Costos'!I2941="","",'Data Pura Costos'!I2941)</f>
        <v/>
      </c>
      <c r="J2941" s="52" t="str">
        <f>+IF('Data Pura Costos'!J2941="","",'Data Pura Costos'!J2941)</f>
        <v/>
      </c>
      <c r="K2941" s="82" t="str">
        <f t="shared" si="51"/>
        <v/>
      </c>
    </row>
    <row r="2942" spans="2:11" x14ac:dyDescent="0.35">
      <c r="B2942" s="4" t="str">
        <f>+IF('Data Pura Costos'!B2942="","",'Data Pura Costos'!B2942)</f>
        <v/>
      </c>
      <c r="C2942" s="4" t="str">
        <f>+IF('Data Pura Costos'!C2942="","",'Data Pura Costos'!C2942)</f>
        <v/>
      </c>
      <c r="D2942" s="5" t="str">
        <f>+IF('Data Pura Costos'!D2942="","",'Data Pura Costos'!D2942)</f>
        <v/>
      </c>
      <c r="E2942" s="65" t="str">
        <f>+IF('Data Pura Costos'!E2942="","",IF('Data Pura Costos'!E2942=0,MAX('Data Pura Costos'!$E$7:$E$3000)*1000,'Data Pura Costos'!E2942))</f>
        <v/>
      </c>
      <c r="F2942" s="5" t="str">
        <f>+IF('Data Pura Costos'!F2942="","",'Data Pura Costos'!F2942)</f>
        <v/>
      </c>
      <c r="G2942" s="5" t="str">
        <f>+IF('Data Pura Costos'!G2942="","",'Data Pura Costos'!G2942)</f>
        <v/>
      </c>
      <c r="H2942" s="52" t="str">
        <f>+IF('Data Pura Costos'!H2942="","",'Data Pura Costos'!H2942)</f>
        <v/>
      </c>
      <c r="I2942" s="71" t="str">
        <f>+IF('Data Pura Costos'!I2942="","",'Data Pura Costos'!I2942)</f>
        <v/>
      </c>
      <c r="J2942" s="52" t="str">
        <f>+IF('Data Pura Costos'!J2942="","",'Data Pura Costos'!J2942)</f>
        <v/>
      </c>
      <c r="K2942" s="82" t="str">
        <f t="shared" si="51"/>
        <v/>
      </c>
    </row>
    <row r="2943" spans="2:11" x14ac:dyDescent="0.35">
      <c r="B2943" s="4" t="str">
        <f>+IF('Data Pura Costos'!B2943="","",'Data Pura Costos'!B2943)</f>
        <v/>
      </c>
      <c r="C2943" s="4" t="str">
        <f>+IF('Data Pura Costos'!C2943="","",'Data Pura Costos'!C2943)</f>
        <v/>
      </c>
      <c r="D2943" s="5" t="str">
        <f>+IF('Data Pura Costos'!D2943="","",'Data Pura Costos'!D2943)</f>
        <v/>
      </c>
      <c r="E2943" s="65" t="str">
        <f>+IF('Data Pura Costos'!E2943="","",IF('Data Pura Costos'!E2943=0,MAX('Data Pura Costos'!$E$7:$E$3000)*1000,'Data Pura Costos'!E2943))</f>
        <v/>
      </c>
      <c r="F2943" s="5" t="str">
        <f>+IF('Data Pura Costos'!F2943="","",'Data Pura Costos'!F2943)</f>
        <v/>
      </c>
      <c r="G2943" s="5" t="str">
        <f>+IF('Data Pura Costos'!G2943="","",'Data Pura Costos'!G2943)</f>
        <v/>
      </c>
      <c r="H2943" s="52" t="str">
        <f>+IF('Data Pura Costos'!H2943="","",'Data Pura Costos'!H2943)</f>
        <v/>
      </c>
      <c r="I2943" s="71" t="str">
        <f>+IF('Data Pura Costos'!I2943="","",'Data Pura Costos'!I2943)</f>
        <v/>
      </c>
      <c r="J2943" s="52" t="str">
        <f>+IF('Data Pura Costos'!J2943="","",'Data Pura Costos'!J2943)</f>
        <v/>
      </c>
      <c r="K2943" s="82" t="str">
        <f t="shared" si="51"/>
        <v/>
      </c>
    </row>
    <row r="2944" spans="2:11" x14ac:dyDescent="0.35">
      <c r="B2944" s="4" t="str">
        <f>+IF('Data Pura Costos'!B2944="","",'Data Pura Costos'!B2944)</f>
        <v/>
      </c>
      <c r="C2944" s="4" t="str">
        <f>+IF('Data Pura Costos'!C2944="","",'Data Pura Costos'!C2944)</f>
        <v/>
      </c>
      <c r="D2944" s="5" t="str">
        <f>+IF('Data Pura Costos'!D2944="","",'Data Pura Costos'!D2944)</f>
        <v/>
      </c>
      <c r="E2944" s="65" t="str">
        <f>+IF('Data Pura Costos'!E2944="","",IF('Data Pura Costos'!E2944=0,MAX('Data Pura Costos'!$E$7:$E$3000)*1000,'Data Pura Costos'!E2944))</f>
        <v/>
      </c>
      <c r="F2944" s="5" t="str">
        <f>+IF('Data Pura Costos'!F2944="","",'Data Pura Costos'!F2944)</f>
        <v/>
      </c>
      <c r="G2944" s="5" t="str">
        <f>+IF('Data Pura Costos'!G2944="","",'Data Pura Costos'!G2944)</f>
        <v/>
      </c>
      <c r="H2944" s="52" t="str">
        <f>+IF('Data Pura Costos'!H2944="","",'Data Pura Costos'!H2944)</f>
        <v/>
      </c>
      <c r="I2944" s="71" t="str">
        <f>+IF('Data Pura Costos'!I2944="","",'Data Pura Costos'!I2944)</f>
        <v/>
      </c>
      <c r="J2944" s="52" t="str">
        <f>+IF('Data Pura Costos'!J2944="","",'Data Pura Costos'!J2944)</f>
        <v/>
      </c>
      <c r="K2944" s="82" t="str">
        <f t="shared" si="51"/>
        <v/>
      </c>
    </row>
    <row r="2945" spans="2:11" x14ac:dyDescent="0.35">
      <c r="B2945" s="4" t="str">
        <f>+IF('Data Pura Costos'!B2945="","",'Data Pura Costos'!B2945)</f>
        <v/>
      </c>
      <c r="C2945" s="4" t="str">
        <f>+IF('Data Pura Costos'!C2945="","",'Data Pura Costos'!C2945)</f>
        <v/>
      </c>
      <c r="D2945" s="5" t="str">
        <f>+IF('Data Pura Costos'!D2945="","",'Data Pura Costos'!D2945)</f>
        <v/>
      </c>
      <c r="E2945" s="65" t="str">
        <f>+IF('Data Pura Costos'!E2945="","",IF('Data Pura Costos'!E2945=0,MAX('Data Pura Costos'!$E$7:$E$3000)*1000,'Data Pura Costos'!E2945))</f>
        <v/>
      </c>
      <c r="F2945" s="5" t="str">
        <f>+IF('Data Pura Costos'!F2945="","",'Data Pura Costos'!F2945)</f>
        <v/>
      </c>
      <c r="G2945" s="5" t="str">
        <f>+IF('Data Pura Costos'!G2945="","",'Data Pura Costos'!G2945)</f>
        <v/>
      </c>
      <c r="H2945" s="52" t="str">
        <f>+IF('Data Pura Costos'!H2945="","",'Data Pura Costos'!H2945)</f>
        <v/>
      </c>
      <c r="I2945" s="71" t="str">
        <f>+IF('Data Pura Costos'!I2945="","",'Data Pura Costos'!I2945)</f>
        <v/>
      </c>
      <c r="J2945" s="52" t="str">
        <f>+IF('Data Pura Costos'!J2945="","",'Data Pura Costos'!J2945)</f>
        <v/>
      </c>
      <c r="K2945" s="82" t="str">
        <f t="shared" si="51"/>
        <v/>
      </c>
    </row>
    <row r="2946" spans="2:11" x14ac:dyDescent="0.35">
      <c r="B2946" s="4" t="str">
        <f>+IF('Data Pura Costos'!B2946="","",'Data Pura Costos'!B2946)</f>
        <v/>
      </c>
      <c r="C2946" s="4" t="str">
        <f>+IF('Data Pura Costos'!C2946="","",'Data Pura Costos'!C2946)</f>
        <v/>
      </c>
      <c r="D2946" s="5" t="str">
        <f>+IF('Data Pura Costos'!D2946="","",'Data Pura Costos'!D2946)</f>
        <v/>
      </c>
      <c r="E2946" s="65" t="str">
        <f>+IF('Data Pura Costos'!E2946="","",IF('Data Pura Costos'!E2946=0,MAX('Data Pura Costos'!$E$7:$E$3000)*1000,'Data Pura Costos'!E2946))</f>
        <v/>
      </c>
      <c r="F2946" s="5" t="str">
        <f>+IF('Data Pura Costos'!F2946="","",'Data Pura Costos'!F2946)</f>
        <v/>
      </c>
      <c r="G2946" s="5" t="str">
        <f>+IF('Data Pura Costos'!G2946="","",'Data Pura Costos'!G2946)</f>
        <v/>
      </c>
      <c r="H2946" s="52" t="str">
        <f>+IF('Data Pura Costos'!H2946="","",'Data Pura Costos'!H2946)</f>
        <v/>
      </c>
      <c r="I2946" s="71" t="str">
        <f>+IF('Data Pura Costos'!I2946="","",'Data Pura Costos'!I2946)</f>
        <v/>
      </c>
      <c r="J2946" s="52" t="str">
        <f>+IF('Data Pura Costos'!J2946="","",'Data Pura Costos'!J2946)</f>
        <v/>
      </c>
      <c r="K2946" s="82" t="str">
        <f t="shared" si="51"/>
        <v/>
      </c>
    </row>
    <row r="2947" spans="2:11" x14ac:dyDescent="0.35">
      <c r="B2947" s="4" t="str">
        <f>+IF('Data Pura Costos'!B2947="","",'Data Pura Costos'!B2947)</f>
        <v/>
      </c>
      <c r="C2947" s="4" t="str">
        <f>+IF('Data Pura Costos'!C2947="","",'Data Pura Costos'!C2947)</f>
        <v/>
      </c>
      <c r="D2947" s="5" t="str">
        <f>+IF('Data Pura Costos'!D2947="","",'Data Pura Costos'!D2947)</f>
        <v/>
      </c>
      <c r="E2947" s="65" t="str">
        <f>+IF('Data Pura Costos'!E2947="","",IF('Data Pura Costos'!E2947=0,MAX('Data Pura Costos'!$E$7:$E$3000)*1000,'Data Pura Costos'!E2947))</f>
        <v/>
      </c>
      <c r="F2947" s="5" t="str">
        <f>+IF('Data Pura Costos'!F2947="","",'Data Pura Costos'!F2947)</f>
        <v/>
      </c>
      <c r="G2947" s="5" t="str">
        <f>+IF('Data Pura Costos'!G2947="","",'Data Pura Costos'!G2947)</f>
        <v/>
      </c>
      <c r="H2947" s="52" t="str">
        <f>+IF('Data Pura Costos'!H2947="","",'Data Pura Costos'!H2947)</f>
        <v/>
      </c>
      <c r="I2947" s="71" t="str">
        <f>+IF('Data Pura Costos'!I2947="","",'Data Pura Costos'!I2947)</f>
        <v/>
      </c>
      <c r="J2947" s="52" t="str">
        <f>+IF('Data Pura Costos'!J2947="","",'Data Pura Costos'!J2947)</f>
        <v/>
      </c>
      <c r="K2947" s="82" t="str">
        <f t="shared" si="51"/>
        <v/>
      </c>
    </row>
    <row r="2948" spans="2:11" x14ac:dyDescent="0.35">
      <c r="B2948" s="4" t="str">
        <f>+IF('Data Pura Costos'!B2948="","",'Data Pura Costos'!B2948)</f>
        <v/>
      </c>
      <c r="C2948" s="4" t="str">
        <f>+IF('Data Pura Costos'!C2948="","",'Data Pura Costos'!C2948)</f>
        <v/>
      </c>
      <c r="D2948" s="5" t="str">
        <f>+IF('Data Pura Costos'!D2948="","",'Data Pura Costos'!D2948)</f>
        <v/>
      </c>
      <c r="E2948" s="65" t="str">
        <f>+IF('Data Pura Costos'!E2948="","",IF('Data Pura Costos'!E2948=0,MAX('Data Pura Costos'!$E$7:$E$3000)*1000,'Data Pura Costos'!E2948))</f>
        <v/>
      </c>
      <c r="F2948" s="5" t="str">
        <f>+IF('Data Pura Costos'!F2948="","",'Data Pura Costos'!F2948)</f>
        <v/>
      </c>
      <c r="G2948" s="5" t="str">
        <f>+IF('Data Pura Costos'!G2948="","",'Data Pura Costos'!G2948)</f>
        <v/>
      </c>
      <c r="H2948" s="52" t="str">
        <f>+IF('Data Pura Costos'!H2948="","",'Data Pura Costos'!H2948)</f>
        <v/>
      </c>
      <c r="I2948" s="71" t="str">
        <f>+IF('Data Pura Costos'!I2948="","",'Data Pura Costos'!I2948)</f>
        <v/>
      </c>
      <c r="J2948" s="52" t="str">
        <f>+IF('Data Pura Costos'!J2948="","",'Data Pura Costos'!J2948)</f>
        <v/>
      </c>
      <c r="K2948" s="82" t="str">
        <f t="shared" si="51"/>
        <v/>
      </c>
    </row>
    <row r="2949" spans="2:11" x14ac:dyDescent="0.35">
      <c r="B2949" s="4" t="str">
        <f>+IF('Data Pura Costos'!B2949="","",'Data Pura Costos'!B2949)</f>
        <v/>
      </c>
      <c r="C2949" s="4" t="str">
        <f>+IF('Data Pura Costos'!C2949="","",'Data Pura Costos'!C2949)</f>
        <v/>
      </c>
      <c r="D2949" s="5" t="str">
        <f>+IF('Data Pura Costos'!D2949="","",'Data Pura Costos'!D2949)</f>
        <v/>
      </c>
      <c r="E2949" s="65" t="str">
        <f>+IF('Data Pura Costos'!E2949="","",IF('Data Pura Costos'!E2949=0,MAX('Data Pura Costos'!$E$7:$E$3000)*1000,'Data Pura Costos'!E2949))</f>
        <v/>
      </c>
      <c r="F2949" s="5" t="str">
        <f>+IF('Data Pura Costos'!F2949="","",'Data Pura Costos'!F2949)</f>
        <v/>
      </c>
      <c r="G2949" s="5" t="str">
        <f>+IF('Data Pura Costos'!G2949="","",'Data Pura Costos'!G2949)</f>
        <v/>
      </c>
      <c r="H2949" s="52" t="str">
        <f>+IF('Data Pura Costos'!H2949="","",'Data Pura Costos'!H2949)</f>
        <v/>
      </c>
      <c r="I2949" s="71" t="str">
        <f>+IF('Data Pura Costos'!I2949="","",'Data Pura Costos'!I2949)</f>
        <v/>
      </c>
      <c r="J2949" s="52" t="str">
        <f>+IF('Data Pura Costos'!J2949="","",'Data Pura Costos'!J2949)</f>
        <v/>
      </c>
      <c r="K2949" s="82" t="str">
        <f t="shared" si="51"/>
        <v/>
      </c>
    </row>
    <row r="2950" spans="2:11" x14ac:dyDescent="0.35">
      <c r="B2950" s="4" t="str">
        <f>+IF('Data Pura Costos'!B2950="","",'Data Pura Costos'!B2950)</f>
        <v/>
      </c>
      <c r="C2950" s="4" t="str">
        <f>+IF('Data Pura Costos'!C2950="","",'Data Pura Costos'!C2950)</f>
        <v/>
      </c>
      <c r="D2950" s="5" t="str">
        <f>+IF('Data Pura Costos'!D2950="","",'Data Pura Costos'!D2950)</f>
        <v/>
      </c>
      <c r="E2950" s="65" t="str">
        <f>+IF('Data Pura Costos'!E2950="","",IF('Data Pura Costos'!E2950=0,MAX('Data Pura Costos'!$E$7:$E$3000)*1000,'Data Pura Costos'!E2950))</f>
        <v/>
      </c>
      <c r="F2950" s="5" t="str">
        <f>+IF('Data Pura Costos'!F2950="","",'Data Pura Costos'!F2950)</f>
        <v/>
      </c>
      <c r="G2950" s="5" t="str">
        <f>+IF('Data Pura Costos'!G2950="","",'Data Pura Costos'!G2950)</f>
        <v/>
      </c>
      <c r="H2950" s="52" t="str">
        <f>+IF('Data Pura Costos'!H2950="","",'Data Pura Costos'!H2950)</f>
        <v/>
      </c>
      <c r="I2950" s="71" t="str">
        <f>+IF('Data Pura Costos'!I2950="","",'Data Pura Costos'!I2950)</f>
        <v/>
      </c>
      <c r="J2950" s="52" t="str">
        <f>+IF('Data Pura Costos'!J2950="","",'Data Pura Costos'!J2950)</f>
        <v/>
      </c>
      <c r="K2950" s="82" t="str">
        <f t="shared" si="51"/>
        <v/>
      </c>
    </row>
    <row r="2951" spans="2:11" x14ac:dyDescent="0.35">
      <c r="B2951" s="4" t="str">
        <f>+IF('Data Pura Costos'!B2951="","",'Data Pura Costos'!B2951)</f>
        <v/>
      </c>
      <c r="C2951" s="4" t="str">
        <f>+IF('Data Pura Costos'!C2951="","",'Data Pura Costos'!C2951)</f>
        <v/>
      </c>
      <c r="D2951" s="5" t="str">
        <f>+IF('Data Pura Costos'!D2951="","",'Data Pura Costos'!D2951)</f>
        <v/>
      </c>
      <c r="E2951" s="65" t="str">
        <f>+IF('Data Pura Costos'!E2951="","",IF('Data Pura Costos'!E2951=0,MAX('Data Pura Costos'!$E$7:$E$3000)*1000,'Data Pura Costos'!E2951))</f>
        <v/>
      </c>
      <c r="F2951" s="5" t="str">
        <f>+IF('Data Pura Costos'!F2951="","",'Data Pura Costos'!F2951)</f>
        <v/>
      </c>
      <c r="G2951" s="5" t="str">
        <f>+IF('Data Pura Costos'!G2951="","",'Data Pura Costos'!G2951)</f>
        <v/>
      </c>
      <c r="H2951" s="52" t="str">
        <f>+IF('Data Pura Costos'!H2951="","",'Data Pura Costos'!H2951)</f>
        <v/>
      </c>
      <c r="I2951" s="71" t="str">
        <f>+IF('Data Pura Costos'!I2951="","",'Data Pura Costos'!I2951)</f>
        <v/>
      </c>
      <c r="J2951" s="52" t="str">
        <f>+IF('Data Pura Costos'!J2951="","",'Data Pura Costos'!J2951)</f>
        <v/>
      </c>
      <c r="K2951" s="82" t="str">
        <f t="shared" si="51"/>
        <v/>
      </c>
    </row>
    <row r="2952" spans="2:11" x14ac:dyDescent="0.35">
      <c r="B2952" s="4" t="str">
        <f>+IF('Data Pura Costos'!B2952="","",'Data Pura Costos'!B2952)</f>
        <v/>
      </c>
      <c r="C2952" s="4" t="str">
        <f>+IF('Data Pura Costos'!C2952="","",'Data Pura Costos'!C2952)</f>
        <v/>
      </c>
      <c r="D2952" s="5" t="str">
        <f>+IF('Data Pura Costos'!D2952="","",'Data Pura Costos'!D2952)</f>
        <v/>
      </c>
      <c r="E2952" s="65" t="str">
        <f>+IF('Data Pura Costos'!E2952="","",IF('Data Pura Costos'!E2952=0,MAX('Data Pura Costos'!$E$7:$E$3000)*1000,'Data Pura Costos'!E2952))</f>
        <v/>
      </c>
      <c r="F2952" s="5" t="str">
        <f>+IF('Data Pura Costos'!F2952="","",'Data Pura Costos'!F2952)</f>
        <v/>
      </c>
      <c r="G2952" s="5" t="str">
        <f>+IF('Data Pura Costos'!G2952="","",'Data Pura Costos'!G2952)</f>
        <v/>
      </c>
      <c r="H2952" s="52" t="str">
        <f>+IF('Data Pura Costos'!H2952="","",'Data Pura Costos'!H2952)</f>
        <v/>
      </c>
      <c r="I2952" s="71" t="str">
        <f>+IF('Data Pura Costos'!I2952="","",'Data Pura Costos'!I2952)</f>
        <v/>
      </c>
      <c r="J2952" s="52" t="str">
        <f>+IF('Data Pura Costos'!J2952="","",'Data Pura Costos'!J2952)</f>
        <v/>
      </c>
      <c r="K2952" s="82" t="str">
        <f t="shared" si="51"/>
        <v/>
      </c>
    </row>
    <row r="2953" spans="2:11" x14ac:dyDescent="0.35">
      <c r="B2953" s="4" t="str">
        <f>+IF('Data Pura Costos'!B2953="","",'Data Pura Costos'!B2953)</f>
        <v/>
      </c>
      <c r="C2953" s="4" t="str">
        <f>+IF('Data Pura Costos'!C2953="","",'Data Pura Costos'!C2953)</f>
        <v/>
      </c>
      <c r="D2953" s="5" t="str">
        <f>+IF('Data Pura Costos'!D2953="","",'Data Pura Costos'!D2953)</f>
        <v/>
      </c>
      <c r="E2953" s="65" t="str">
        <f>+IF('Data Pura Costos'!E2953="","",IF('Data Pura Costos'!E2953=0,MAX('Data Pura Costos'!$E$7:$E$3000)*1000,'Data Pura Costos'!E2953))</f>
        <v/>
      </c>
      <c r="F2953" s="5" t="str">
        <f>+IF('Data Pura Costos'!F2953="","",'Data Pura Costos'!F2953)</f>
        <v/>
      </c>
      <c r="G2953" s="5" t="str">
        <f>+IF('Data Pura Costos'!G2953="","",'Data Pura Costos'!G2953)</f>
        <v/>
      </c>
      <c r="H2953" s="52" t="str">
        <f>+IF('Data Pura Costos'!H2953="","",'Data Pura Costos'!H2953)</f>
        <v/>
      </c>
      <c r="I2953" s="71" t="str">
        <f>+IF('Data Pura Costos'!I2953="","",'Data Pura Costos'!I2953)</f>
        <v/>
      </c>
      <c r="J2953" s="52" t="str">
        <f>+IF('Data Pura Costos'!J2953="","",'Data Pura Costos'!J2953)</f>
        <v/>
      </c>
      <c r="K2953" s="82" t="str">
        <f t="shared" si="51"/>
        <v/>
      </c>
    </row>
    <row r="2954" spans="2:11" x14ac:dyDescent="0.35">
      <c r="B2954" s="4" t="str">
        <f>+IF('Data Pura Costos'!B2954="","",'Data Pura Costos'!B2954)</f>
        <v/>
      </c>
      <c r="C2954" s="4" t="str">
        <f>+IF('Data Pura Costos'!C2954="","",'Data Pura Costos'!C2954)</f>
        <v/>
      </c>
      <c r="D2954" s="5" t="str">
        <f>+IF('Data Pura Costos'!D2954="","",'Data Pura Costos'!D2954)</f>
        <v/>
      </c>
      <c r="E2954" s="65" t="str">
        <f>+IF('Data Pura Costos'!E2954="","",IF('Data Pura Costos'!E2954=0,MAX('Data Pura Costos'!$E$7:$E$3000)*1000,'Data Pura Costos'!E2954))</f>
        <v/>
      </c>
      <c r="F2954" s="5" t="str">
        <f>+IF('Data Pura Costos'!F2954="","",'Data Pura Costos'!F2954)</f>
        <v/>
      </c>
      <c r="G2954" s="5" t="str">
        <f>+IF('Data Pura Costos'!G2954="","",'Data Pura Costos'!G2954)</f>
        <v/>
      </c>
      <c r="H2954" s="52" t="str">
        <f>+IF('Data Pura Costos'!H2954="","",'Data Pura Costos'!H2954)</f>
        <v/>
      </c>
      <c r="I2954" s="71" t="str">
        <f>+IF('Data Pura Costos'!I2954="","",'Data Pura Costos'!I2954)</f>
        <v/>
      </c>
      <c r="J2954" s="52" t="str">
        <f>+IF('Data Pura Costos'!J2954="","",'Data Pura Costos'!J2954)</f>
        <v/>
      </c>
      <c r="K2954" s="82" t="str">
        <f t="shared" si="51"/>
        <v/>
      </c>
    </row>
    <row r="2955" spans="2:11" x14ac:dyDescent="0.35">
      <c r="B2955" s="4" t="str">
        <f>+IF('Data Pura Costos'!B2955="","",'Data Pura Costos'!B2955)</f>
        <v/>
      </c>
      <c r="C2955" s="4" t="str">
        <f>+IF('Data Pura Costos'!C2955="","",'Data Pura Costos'!C2955)</f>
        <v/>
      </c>
      <c r="D2955" s="5" t="str">
        <f>+IF('Data Pura Costos'!D2955="","",'Data Pura Costos'!D2955)</f>
        <v/>
      </c>
      <c r="E2955" s="65" t="str">
        <f>+IF('Data Pura Costos'!E2955="","",IF('Data Pura Costos'!E2955=0,MAX('Data Pura Costos'!$E$7:$E$3000)*1000,'Data Pura Costos'!E2955))</f>
        <v/>
      </c>
      <c r="F2955" s="5" t="str">
        <f>+IF('Data Pura Costos'!F2955="","",'Data Pura Costos'!F2955)</f>
        <v/>
      </c>
      <c r="G2955" s="5" t="str">
        <f>+IF('Data Pura Costos'!G2955="","",'Data Pura Costos'!G2955)</f>
        <v/>
      </c>
      <c r="H2955" s="52" t="str">
        <f>+IF('Data Pura Costos'!H2955="","",'Data Pura Costos'!H2955)</f>
        <v/>
      </c>
      <c r="I2955" s="71" t="str">
        <f>+IF('Data Pura Costos'!I2955="","",'Data Pura Costos'!I2955)</f>
        <v/>
      </c>
      <c r="J2955" s="52" t="str">
        <f>+IF('Data Pura Costos'!J2955="","",'Data Pura Costos'!J2955)</f>
        <v/>
      </c>
      <c r="K2955" s="82" t="str">
        <f t="shared" si="51"/>
        <v/>
      </c>
    </row>
    <row r="2956" spans="2:11" x14ac:dyDescent="0.35">
      <c r="B2956" s="4" t="str">
        <f>+IF('Data Pura Costos'!B2956="","",'Data Pura Costos'!B2956)</f>
        <v/>
      </c>
      <c r="C2956" s="4" t="str">
        <f>+IF('Data Pura Costos'!C2956="","",'Data Pura Costos'!C2956)</f>
        <v/>
      </c>
      <c r="D2956" s="5" t="str">
        <f>+IF('Data Pura Costos'!D2956="","",'Data Pura Costos'!D2956)</f>
        <v/>
      </c>
      <c r="E2956" s="65" t="str">
        <f>+IF('Data Pura Costos'!E2956="","",IF('Data Pura Costos'!E2956=0,MAX('Data Pura Costos'!$E$7:$E$3000)*1000,'Data Pura Costos'!E2956))</f>
        <v/>
      </c>
      <c r="F2956" s="5" t="str">
        <f>+IF('Data Pura Costos'!F2956="","",'Data Pura Costos'!F2956)</f>
        <v/>
      </c>
      <c r="G2956" s="5" t="str">
        <f>+IF('Data Pura Costos'!G2956="","",'Data Pura Costos'!G2956)</f>
        <v/>
      </c>
      <c r="H2956" s="52" t="str">
        <f>+IF('Data Pura Costos'!H2956="","",'Data Pura Costos'!H2956)</f>
        <v/>
      </c>
      <c r="I2956" s="71" t="str">
        <f>+IF('Data Pura Costos'!I2956="","",'Data Pura Costos'!I2956)</f>
        <v/>
      </c>
      <c r="J2956" s="52" t="str">
        <f>+IF('Data Pura Costos'!J2956="","",'Data Pura Costos'!J2956)</f>
        <v/>
      </c>
      <c r="K2956" s="82" t="str">
        <f t="shared" si="51"/>
        <v/>
      </c>
    </row>
    <row r="2957" spans="2:11" x14ac:dyDescent="0.35">
      <c r="B2957" s="4" t="str">
        <f>+IF('Data Pura Costos'!B2957="","",'Data Pura Costos'!B2957)</f>
        <v/>
      </c>
      <c r="C2957" s="4" t="str">
        <f>+IF('Data Pura Costos'!C2957="","",'Data Pura Costos'!C2957)</f>
        <v/>
      </c>
      <c r="D2957" s="5" t="str">
        <f>+IF('Data Pura Costos'!D2957="","",'Data Pura Costos'!D2957)</f>
        <v/>
      </c>
      <c r="E2957" s="65" t="str">
        <f>+IF('Data Pura Costos'!E2957="","",IF('Data Pura Costos'!E2957=0,MAX('Data Pura Costos'!$E$7:$E$3000)*1000,'Data Pura Costos'!E2957))</f>
        <v/>
      </c>
      <c r="F2957" s="5" t="str">
        <f>+IF('Data Pura Costos'!F2957="","",'Data Pura Costos'!F2957)</f>
        <v/>
      </c>
      <c r="G2957" s="5" t="str">
        <f>+IF('Data Pura Costos'!G2957="","",'Data Pura Costos'!G2957)</f>
        <v/>
      </c>
      <c r="H2957" s="52" t="str">
        <f>+IF('Data Pura Costos'!H2957="","",'Data Pura Costos'!H2957)</f>
        <v/>
      </c>
      <c r="I2957" s="71" t="str">
        <f>+IF('Data Pura Costos'!I2957="","",'Data Pura Costos'!I2957)</f>
        <v/>
      </c>
      <c r="J2957" s="52" t="str">
        <f>+IF('Data Pura Costos'!J2957="","",'Data Pura Costos'!J2957)</f>
        <v/>
      </c>
      <c r="K2957" s="82" t="str">
        <f t="shared" si="51"/>
        <v/>
      </c>
    </row>
    <row r="2958" spans="2:11" x14ac:dyDescent="0.35">
      <c r="B2958" s="4" t="str">
        <f>+IF('Data Pura Costos'!B2958="","",'Data Pura Costos'!B2958)</f>
        <v/>
      </c>
      <c r="C2958" s="4" t="str">
        <f>+IF('Data Pura Costos'!C2958="","",'Data Pura Costos'!C2958)</f>
        <v/>
      </c>
      <c r="D2958" s="5" t="str">
        <f>+IF('Data Pura Costos'!D2958="","",'Data Pura Costos'!D2958)</f>
        <v/>
      </c>
      <c r="E2958" s="65" t="str">
        <f>+IF('Data Pura Costos'!E2958="","",IF('Data Pura Costos'!E2958=0,MAX('Data Pura Costos'!$E$7:$E$3000)*1000,'Data Pura Costos'!E2958))</f>
        <v/>
      </c>
      <c r="F2958" s="5" t="str">
        <f>+IF('Data Pura Costos'!F2958="","",'Data Pura Costos'!F2958)</f>
        <v/>
      </c>
      <c r="G2958" s="5" t="str">
        <f>+IF('Data Pura Costos'!G2958="","",'Data Pura Costos'!G2958)</f>
        <v/>
      </c>
      <c r="H2958" s="52" t="str">
        <f>+IF('Data Pura Costos'!H2958="","",'Data Pura Costos'!H2958)</f>
        <v/>
      </c>
      <c r="I2958" s="71" t="str">
        <f>+IF('Data Pura Costos'!I2958="","",'Data Pura Costos'!I2958)</f>
        <v/>
      </c>
      <c r="J2958" s="52" t="str">
        <f>+IF('Data Pura Costos'!J2958="","",'Data Pura Costos'!J2958)</f>
        <v/>
      </c>
      <c r="K2958" s="82" t="str">
        <f t="shared" si="51"/>
        <v/>
      </c>
    </row>
    <row r="2959" spans="2:11" x14ac:dyDescent="0.35">
      <c r="B2959" s="4" t="str">
        <f>+IF('Data Pura Costos'!B2959="","",'Data Pura Costos'!B2959)</f>
        <v/>
      </c>
      <c r="C2959" s="4" t="str">
        <f>+IF('Data Pura Costos'!C2959="","",'Data Pura Costos'!C2959)</f>
        <v/>
      </c>
      <c r="D2959" s="5" t="str">
        <f>+IF('Data Pura Costos'!D2959="","",'Data Pura Costos'!D2959)</f>
        <v/>
      </c>
      <c r="E2959" s="65" t="str">
        <f>+IF('Data Pura Costos'!E2959="","",IF('Data Pura Costos'!E2959=0,MAX('Data Pura Costos'!$E$7:$E$3000)*1000,'Data Pura Costos'!E2959))</f>
        <v/>
      </c>
      <c r="F2959" s="5" t="str">
        <f>+IF('Data Pura Costos'!F2959="","",'Data Pura Costos'!F2959)</f>
        <v/>
      </c>
      <c r="G2959" s="5" t="str">
        <f>+IF('Data Pura Costos'!G2959="","",'Data Pura Costos'!G2959)</f>
        <v/>
      </c>
      <c r="H2959" s="52" t="str">
        <f>+IF('Data Pura Costos'!H2959="","",'Data Pura Costos'!H2959)</f>
        <v/>
      </c>
      <c r="I2959" s="71" t="str">
        <f>+IF('Data Pura Costos'!I2959="","",'Data Pura Costos'!I2959)</f>
        <v/>
      </c>
      <c r="J2959" s="52" t="str">
        <f>+IF('Data Pura Costos'!J2959="","",'Data Pura Costos'!J2959)</f>
        <v/>
      </c>
      <c r="K2959" s="82" t="str">
        <f t="shared" si="51"/>
        <v/>
      </c>
    </row>
    <row r="2960" spans="2:11" x14ac:dyDescent="0.35">
      <c r="B2960" s="4" t="str">
        <f>+IF('Data Pura Costos'!B2960="","",'Data Pura Costos'!B2960)</f>
        <v/>
      </c>
      <c r="C2960" s="4" t="str">
        <f>+IF('Data Pura Costos'!C2960="","",'Data Pura Costos'!C2960)</f>
        <v/>
      </c>
      <c r="D2960" s="5" t="str">
        <f>+IF('Data Pura Costos'!D2960="","",'Data Pura Costos'!D2960)</f>
        <v/>
      </c>
      <c r="E2960" s="65" t="str">
        <f>+IF('Data Pura Costos'!E2960="","",IF('Data Pura Costos'!E2960=0,MAX('Data Pura Costos'!$E$7:$E$3000)*1000,'Data Pura Costos'!E2960))</f>
        <v/>
      </c>
      <c r="F2960" s="5" t="str">
        <f>+IF('Data Pura Costos'!F2960="","",'Data Pura Costos'!F2960)</f>
        <v/>
      </c>
      <c r="G2960" s="5" t="str">
        <f>+IF('Data Pura Costos'!G2960="","",'Data Pura Costos'!G2960)</f>
        <v/>
      </c>
      <c r="H2960" s="52" t="str">
        <f>+IF('Data Pura Costos'!H2960="","",'Data Pura Costos'!H2960)</f>
        <v/>
      </c>
      <c r="I2960" s="71" t="str">
        <f>+IF('Data Pura Costos'!I2960="","",'Data Pura Costos'!I2960)</f>
        <v/>
      </c>
      <c r="J2960" s="52" t="str">
        <f>+IF('Data Pura Costos'!J2960="","",'Data Pura Costos'!J2960)</f>
        <v/>
      </c>
      <c r="K2960" s="82" t="str">
        <f t="shared" si="51"/>
        <v/>
      </c>
    </row>
    <row r="2961" spans="2:11" x14ac:dyDescent="0.35">
      <c r="B2961" s="4" t="str">
        <f>+IF('Data Pura Costos'!B2961="","",'Data Pura Costos'!B2961)</f>
        <v/>
      </c>
      <c r="C2961" s="4" t="str">
        <f>+IF('Data Pura Costos'!C2961="","",'Data Pura Costos'!C2961)</f>
        <v/>
      </c>
      <c r="D2961" s="5" t="str">
        <f>+IF('Data Pura Costos'!D2961="","",'Data Pura Costos'!D2961)</f>
        <v/>
      </c>
      <c r="E2961" s="65" t="str">
        <f>+IF('Data Pura Costos'!E2961="","",IF('Data Pura Costos'!E2961=0,MAX('Data Pura Costos'!$E$7:$E$3000)*1000,'Data Pura Costos'!E2961))</f>
        <v/>
      </c>
      <c r="F2961" s="5" t="str">
        <f>+IF('Data Pura Costos'!F2961="","",'Data Pura Costos'!F2961)</f>
        <v/>
      </c>
      <c r="G2961" s="5" t="str">
        <f>+IF('Data Pura Costos'!G2961="","",'Data Pura Costos'!G2961)</f>
        <v/>
      </c>
      <c r="H2961" s="52" t="str">
        <f>+IF('Data Pura Costos'!H2961="","",'Data Pura Costos'!H2961)</f>
        <v/>
      </c>
      <c r="I2961" s="71" t="str">
        <f>+IF('Data Pura Costos'!I2961="","",'Data Pura Costos'!I2961)</f>
        <v/>
      </c>
      <c r="J2961" s="52" t="str">
        <f>+IF('Data Pura Costos'!J2961="","",'Data Pura Costos'!J2961)</f>
        <v/>
      </c>
      <c r="K2961" s="82" t="str">
        <f t="shared" si="51"/>
        <v/>
      </c>
    </row>
    <row r="2962" spans="2:11" x14ac:dyDescent="0.35">
      <c r="B2962" s="4" t="str">
        <f>+IF('Data Pura Costos'!B2962="","",'Data Pura Costos'!B2962)</f>
        <v/>
      </c>
      <c r="C2962" s="4" t="str">
        <f>+IF('Data Pura Costos'!C2962="","",'Data Pura Costos'!C2962)</f>
        <v/>
      </c>
      <c r="D2962" s="5" t="str">
        <f>+IF('Data Pura Costos'!D2962="","",'Data Pura Costos'!D2962)</f>
        <v/>
      </c>
      <c r="E2962" s="65" t="str">
        <f>+IF('Data Pura Costos'!E2962="","",IF('Data Pura Costos'!E2962=0,MAX('Data Pura Costos'!$E$7:$E$3000)*1000,'Data Pura Costos'!E2962))</f>
        <v/>
      </c>
      <c r="F2962" s="5" t="str">
        <f>+IF('Data Pura Costos'!F2962="","",'Data Pura Costos'!F2962)</f>
        <v/>
      </c>
      <c r="G2962" s="5" t="str">
        <f>+IF('Data Pura Costos'!G2962="","",'Data Pura Costos'!G2962)</f>
        <v/>
      </c>
      <c r="H2962" s="52" t="str">
        <f>+IF('Data Pura Costos'!H2962="","",'Data Pura Costos'!H2962)</f>
        <v/>
      </c>
      <c r="I2962" s="71" t="str">
        <f>+IF('Data Pura Costos'!I2962="","",'Data Pura Costos'!I2962)</f>
        <v/>
      </c>
      <c r="J2962" s="52" t="str">
        <f>+IF('Data Pura Costos'!J2962="","",'Data Pura Costos'!J2962)</f>
        <v/>
      </c>
      <c r="K2962" s="82" t="str">
        <f t="shared" si="51"/>
        <v/>
      </c>
    </row>
    <row r="2963" spans="2:11" x14ac:dyDescent="0.35">
      <c r="B2963" s="4" t="str">
        <f>+IF('Data Pura Costos'!B2963="","",'Data Pura Costos'!B2963)</f>
        <v/>
      </c>
      <c r="C2963" s="4" t="str">
        <f>+IF('Data Pura Costos'!C2963="","",'Data Pura Costos'!C2963)</f>
        <v/>
      </c>
      <c r="D2963" s="5" t="str">
        <f>+IF('Data Pura Costos'!D2963="","",'Data Pura Costos'!D2963)</f>
        <v/>
      </c>
      <c r="E2963" s="65" t="str">
        <f>+IF('Data Pura Costos'!E2963="","",IF('Data Pura Costos'!E2963=0,MAX('Data Pura Costos'!$E$7:$E$3000)*1000,'Data Pura Costos'!E2963))</f>
        <v/>
      </c>
      <c r="F2963" s="5" t="str">
        <f>+IF('Data Pura Costos'!F2963="","",'Data Pura Costos'!F2963)</f>
        <v/>
      </c>
      <c r="G2963" s="5" t="str">
        <f>+IF('Data Pura Costos'!G2963="","",'Data Pura Costos'!G2963)</f>
        <v/>
      </c>
      <c r="H2963" s="52" t="str">
        <f>+IF('Data Pura Costos'!H2963="","",'Data Pura Costos'!H2963)</f>
        <v/>
      </c>
      <c r="I2963" s="71" t="str">
        <f>+IF('Data Pura Costos'!I2963="","",'Data Pura Costos'!I2963)</f>
        <v/>
      </c>
      <c r="J2963" s="52" t="str">
        <f>+IF('Data Pura Costos'!J2963="","",'Data Pura Costos'!J2963)</f>
        <v/>
      </c>
      <c r="K2963" s="82" t="str">
        <f t="shared" si="51"/>
        <v/>
      </c>
    </row>
    <row r="2964" spans="2:11" x14ac:dyDescent="0.35">
      <c r="B2964" s="4" t="str">
        <f>+IF('Data Pura Costos'!B2964="","",'Data Pura Costos'!B2964)</f>
        <v/>
      </c>
      <c r="C2964" s="4" t="str">
        <f>+IF('Data Pura Costos'!C2964="","",'Data Pura Costos'!C2964)</f>
        <v/>
      </c>
      <c r="D2964" s="5" t="str">
        <f>+IF('Data Pura Costos'!D2964="","",'Data Pura Costos'!D2964)</f>
        <v/>
      </c>
      <c r="E2964" s="65" t="str">
        <f>+IF('Data Pura Costos'!E2964="","",IF('Data Pura Costos'!E2964=0,MAX('Data Pura Costos'!$E$7:$E$3000)*1000,'Data Pura Costos'!E2964))</f>
        <v/>
      </c>
      <c r="F2964" s="5" t="str">
        <f>+IF('Data Pura Costos'!F2964="","",'Data Pura Costos'!F2964)</f>
        <v/>
      </c>
      <c r="G2964" s="5" t="str">
        <f>+IF('Data Pura Costos'!G2964="","",'Data Pura Costos'!G2964)</f>
        <v/>
      </c>
      <c r="H2964" s="52" t="str">
        <f>+IF('Data Pura Costos'!H2964="","",'Data Pura Costos'!H2964)</f>
        <v/>
      </c>
      <c r="I2964" s="71" t="str">
        <f>+IF('Data Pura Costos'!I2964="","",'Data Pura Costos'!I2964)</f>
        <v/>
      </c>
      <c r="J2964" s="52" t="str">
        <f>+IF('Data Pura Costos'!J2964="","",'Data Pura Costos'!J2964)</f>
        <v/>
      </c>
      <c r="K2964" s="82" t="str">
        <f t="shared" si="51"/>
        <v/>
      </c>
    </row>
    <row r="2965" spans="2:11" x14ac:dyDescent="0.35">
      <c r="B2965" s="4" t="str">
        <f>+IF('Data Pura Costos'!B2965="","",'Data Pura Costos'!B2965)</f>
        <v/>
      </c>
      <c r="C2965" s="4" t="str">
        <f>+IF('Data Pura Costos'!C2965="","",'Data Pura Costos'!C2965)</f>
        <v/>
      </c>
      <c r="D2965" s="5" t="str">
        <f>+IF('Data Pura Costos'!D2965="","",'Data Pura Costos'!D2965)</f>
        <v/>
      </c>
      <c r="E2965" s="65" t="str">
        <f>+IF('Data Pura Costos'!E2965="","",IF('Data Pura Costos'!E2965=0,MAX('Data Pura Costos'!$E$7:$E$3000)*1000,'Data Pura Costos'!E2965))</f>
        <v/>
      </c>
      <c r="F2965" s="5" t="str">
        <f>+IF('Data Pura Costos'!F2965="","",'Data Pura Costos'!F2965)</f>
        <v/>
      </c>
      <c r="G2965" s="5" t="str">
        <f>+IF('Data Pura Costos'!G2965="","",'Data Pura Costos'!G2965)</f>
        <v/>
      </c>
      <c r="H2965" s="52" t="str">
        <f>+IF('Data Pura Costos'!H2965="","",'Data Pura Costos'!H2965)</f>
        <v/>
      </c>
      <c r="I2965" s="71" t="str">
        <f>+IF('Data Pura Costos'!I2965="","",'Data Pura Costos'!I2965)</f>
        <v/>
      </c>
      <c r="J2965" s="52" t="str">
        <f>+IF('Data Pura Costos'!J2965="","",'Data Pura Costos'!J2965)</f>
        <v/>
      </c>
      <c r="K2965" s="82" t="str">
        <f t="shared" si="51"/>
        <v/>
      </c>
    </row>
    <row r="2966" spans="2:11" x14ac:dyDescent="0.35">
      <c r="B2966" s="4" t="str">
        <f>+IF('Data Pura Costos'!B2966="","",'Data Pura Costos'!B2966)</f>
        <v/>
      </c>
      <c r="C2966" s="4" t="str">
        <f>+IF('Data Pura Costos'!C2966="","",'Data Pura Costos'!C2966)</f>
        <v/>
      </c>
      <c r="D2966" s="5" t="str">
        <f>+IF('Data Pura Costos'!D2966="","",'Data Pura Costos'!D2966)</f>
        <v/>
      </c>
      <c r="E2966" s="65" t="str">
        <f>+IF('Data Pura Costos'!E2966="","",IF('Data Pura Costos'!E2966=0,MAX('Data Pura Costos'!$E$7:$E$3000)*1000,'Data Pura Costos'!E2966))</f>
        <v/>
      </c>
      <c r="F2966" s="5" t="str">
        <f>+IF('Data Pura Costos'!F2966="","",'Data Pura Costos'!F2966)</f>
        <v/>
      </c>
      <c r="G2966" s="5" t="str">
        <f>+IF('Data Pura Costos'!G2966="","",'Data Pura Costos'!G2966)</f>
        <v/>
      </c>
      <c r="H2966" s="52" t="str">
        <f>+IF('Data Pura Costos'!H2966="","",'Data Pura Costos'!H2966)</f>
        <v/>
      </c>
      <c r="I2966" s="71" t="str">
        <f>+IF('Data Pura Costos'!I2966="","",'Data Pura Costos'!I2966)</f>
        <v/>
      </c>
      <c r="J2966" s="52" t="str">
        <f>+IF('Data Pura Costos'!J2966="","",'Data Pura Costos'!J2966)</f>
        <v/>
      </c>
      <c r="K2966" s="82" t="str">
        <f t="shared" si="51"/>
        <v/>
      </c>
    </row>
    <row r="2967" spans="2:11" x14ac:dyDescent="0.35">
      <c r="B2967" s="4" t="str">
        <f>+IF('Data Pura Costos'!B2967="","",'Data Pura Costos'!B2967)</f>
        <v/>
      </c>
      <c r="C2967" s="4" t="str">
        <f>+IF('Data Pura Costos'!C2967="","",'Data Pura Costos'!C2967)</f>
        <v/>
      </c>
      <c r="D2967" s="5" t="str">
        <f>+IF('Data Pura Costos'!D2967="","",'Data Pura Costos'!D2967)</f>
        <v/>
      </c>
      <c r="E2967" s="65" t="str">
        <f>+IF('Data Pura Costos'!E2967="","",IF('Data Pura Costos'!E2967=0,MAX('Data Pura Costos'!$E$7:$E$3000)*1000,'Data Pura Costos'!E2967))</f>
        <v/>
      </c>
      <c r="F2967" s="5" t="str">
        <f>+IF('Data Pura Costos'!F2967="","",'Data Pura Costos'!F2967)</f>
        <v/>
      </c>
      <c r="G2967" s="5" t="str">
        <f>+IF('Data Pura Costos'!G2967="","",'Data Pura Costos'!G2967)</f>
        <v/>
      </c>
      <c r="H2967" s="52" t="str">
        <f>+IF('Data Pura Costos'!H2967="","",'Data Pura Costos'!H2967)</f>
        <v/>
      </c>
      <c r="I2967" s="71" t="str">
        <f>+IF('Data Pura Costos'!I2967="","",'Data Pura Costos'!I2967)</f>
        <v/>
      </c>
      <c r="J2967" s="52" t="str">
        <f>+IF('Data Pura Costos'!J2967="","",'Data Pura Costos'!J2967)</f>
        <v/>
      </c>
      <c r="K2967" s="82" t="str">
        <f t="shared" si="51"/>
        <v/>
      </c>
    </row>
    <row r="2968" spans="2:11" x14ac:dyDescent="0.35">
      <c r="B2968" s="4" t="str">
        <f>+IF('Data Pura Costos'!B2968="","",'Data Pura Costos'!B2968)</f>
        <v/>
      </c>
      <c r="C2968" s="4" t="str">
        <f>+IF('Data Pura Costos'!C2968="","",'Data Pura Costos'!C2968)</f>
        <v/>
      </c>
      <c r="D2968" s="5" t="str">
        <f>+IF('Data Pura Costos'!D2968="","",'Data Pura Costos'!D2968)</f>
        <v/>
      </c>
      <c r="E2968" s="65" t="str">
        <f>+IF('Data Pura Costos'!E2968="","",IF('Data Pura Costos'!E2968=0,MAX('Data Pura Costos'!$E$7:$E$3000)*1000,'Data Pura Costos'!E2968))</f>
        <v/>
      </c>
      <c r="F2968" s="5" t="str">
        <f>+IF('Data Pura Costos'!F2968="","",'Data Pura Costos'!F2968)</f>
        <v/>
      </c>
      <c r="G2968" s="5" t="str">
        <f>+IF('Data Pura Costos'!G2968="","",'Data Pura Costos'!G2968)</f>
        <v/>
      </c>
      <c r="H2968" s="52" t="str">
        <f>+IF('Data Pura Costos'!H2968="","",'Data Pura Costos'!H2968)</f>
        <v/>
      </c>
      <c r="I2968" s="71" t="str">
        <f>+IF('Data Pura Costos'!I2968="","",'Data Pura Costos'!I2968)</f>
        <v/>
      </c>
      <c r="J2968" s="52" t="str">
        <f>+IF('Data Pura Costos'!J2968="","",'Data Pura Costos'!J2968)</f>
        <v/>
      </c>
      <c r="K2968" s="82" t="str">
        <f t="shared" si="51"/>
        <v/>
      </c>
    </row>
    <row r="2969" spans="2:11" x14ac:dyDescent="0.35">
      <c r="B2969" s="4" t="str">
        <f>+IF('Data Pura Costos'!B2969="","",'Data Pura Costos'!B2969)</f>
        <v/>
      </c>
      <c r="C2969" s="4" t="str">
        <f>+IF('Data Pura Costos'!C2969="","",'Data Pura Costos'!C2969)</f>
        <v/>
      </c>
      <c r="D2969" s="5" t="str">
        <f>+IF('Data Pura Costos'!D2969="","",'Data Pura Costos'!D2969)</f>
        <v/>
      </c>
      <c r="E2969" s="65" t="str">
        <f>+IF('Data Pura Costos'!E2969="","",IF('Data Pura Costos'!E2969=0,MAX('Data Pura Costos'!$E$7:$E$3000)*1000,'Data Pura Costos'!E2969))</f>
        <v/>
      </c>
      <c r="F2969" s="5" t="str">
        <f>+IF('Data Pura Costos'!F2969="","",'Data Pura Costos'!F2969)</f>
        <v/>
      </c>
      <c r="G2969" s="5" t="str">
        <f>+IF('Data Pura Costos'!G2969="","",'Data Pura Costos'!G2969)</f>
        <v/>
      </c>
      <c r="H2969" s="52" t="str">
        <f>+IF('Data Pura Costos'!H2969="","",'Data Pura Costos'!H2969)</f>
        <v/>
      </c>
      <c r="I2969" s="71" t="str">
        <f>+IF('Data Pura Costos'!I2969="","",'Data Pura Costos'!I2969)</f>
        <v/>
      </c>
      <c r="J2969" s="52" t="str">
        <f>+IF('Data Pura Costos'!J2969="","",'Data Pura Costos'!J2969)</f>
        <v/>
      </c>
      <c r="K2969" s="82" t="str">
        <f t="shared" si="51"/>
        <v/>
      </c>
    </row>
    <row r="2970" spans="2:11" x14ac:dyDescent="0.35">
      <c r="B2970" s="4" t="str">
        <f>+IF('Data Pura Costos'!B2970="","",'Data Pura Costos'!B2970)</f>
        <v/>
      </c>
      <c r="C2970" s="4" t="str">
        <f>+IF('Data Pura Costos'!C2970="","",'Data Pura Costos'!C2970)</f>
        <v/>
      </c>
      <c r="D2970" s="5" t="str">
        <f>+IF('Data Pura Costos'!D2970="","",'Data Pura Costos'!D2970)</f>
        <v/>
      </c>
      <c r="E2970" s="65" t="str">
        <f>+IF('Data Pura Costos'!E2970="","",IF('Data Pura Costos'!E2970=0,MAX('Data Pura Costos'!$E$7:$E$3000)*1000,'Data Pura Costos'!E2970))</f>
        <v/>
      </c>
      <c r="F2970" s="5" t="str">
        <f>+IF('Data Pura Costos'!F2970="","",'Data Pura Costos'!F2970)</f>
        <v/>
      </c>
      <c r="G2970" s="5" t="str">
        <f>+IF('Data Pura Costos'!G2970="","",'Data Pura Costos'!G2970)</f>
        <v/>
      </c>
      <c r="H2970" s="52" t="str">
        <f>+IF('Data Pura Costos'!H2970="","",'Data Pura Costos'!H2970)</f>
        <v/>
      </c>
      <c r="I2970" s="71" t="str">
        <f>+IF('Data Pura Costos'!I2970="","",'Data Pura Costos'!I2970)</f>
        <v/>
      </c>
      <c r="J2970" s="52" t="str">
        <f>+IF('Data Pura Costos'!J2970="","",'Data Pura Costos'!J2970)</f>
        <v/>
      </c>
      <c r="K2970" s="82" t="str">
        <f t="shared" si="51"/>
        <v/>
      </c>
    </row>
    <row r="2971" spans="2:11" x14ac:dyDescent="0.35">
      <c r="B2971" s="4" t="str">
        <f>+IF('Data Pura Costos'!B2971="","",'Data Pura Costos'!B2971)</f>
        <v/>
      </c>
      <c r="C2971" s="4" t="str">
        <f>+IF('Data Pura Costos'!C2971="","",'Data Pura Costos'!C2971)</f>
        <v/>
      </c>
      <c r="D2971" s="5" t="str">
        <f>+IF('Data Pura Costos'!D2971="","",'Data Pura Costos'!D2971)</f>
        <v/>
      </c>
      <c r="E2971" s="65" t="str">
        <f>+IF('Data Pura Costos'!E2971="","",IF('Data Pura Costos'!E2971=0,MAX('Data Pura Costos'!$E$7:$E$3000)*1000,'Data Pura Costos'!E2971))</f>
        <v/>
      </c>
      <c r="F2971" s="5" t="str">
        <f>+IF('Data Pura Costos'!F2971="","",'Data Pura Costos'!F2971)</f>
        <v/>
      </c>
      <c r="G2971" s="5" t="str">
        <f>+IF('Data Pura Costos'!G2971="","",'Data Pura Costos'!G2971)</f>
        <v/>
      </c>
      <c r="H2971" s="52" t="str">
        <f>+IF('Data Pura Costos'!H2971="","",'Data Pura Costos'!H2971)</f>
        <v/>
      </c>
      <c r="I2971" s="71" t="str">
        <f>+IF('Data Pura Costos'!I2971="","",'Data Pura Costos'!I2971)</f>
        <v/>
      </c>
      <c r="J2971" s="52" t="str">
        <f>+IF('Data Pura Costos'!J2971="","",'Data Pura Costos'!J2971)</f>
        <v/>
      </c>
      <c r="K2971" s="82" t="str">
        <f t="shared" si="51"/>
        <v/>
      </c>
    </row>
    <row r="2972" spans="2:11" x14ac:dyDescent="0.35">
      <c r="B2972" s="4" t="str">
        <f>+IF('Data Pura Costos'!B2972="","",'Data Pura Costos'!B2972)</f>
        <v/>
      </c>
      <c r="C2972" s="4" t="str">
        <f>+IF('Data Pura Costos'!C2972="","",'Data Pura Costos'!C2972)</f>
        <v/>
      </c>
      <c r="D2972" s="5" t="str">
        <f>+IF('Data Pura Costos'!D2972="","",'Data Pura Costos'!D2972)</f>
        <v/>
      </c>
      <c r="E2972" s="65" t="str">
        <f>+IF('Data Pura Costos'!E2972="","",IF('Data Pura Costos'!E2972=0,MAX('Data Pura Costos'!$E$7:$E$3000)*1000,'Data Pura Costos'!E2972))</f>
        <v/>
      </c>
      <c r="F2972" s="5" t="str">
        <f>+IF('Data Pura Costos'!F2972="","",'Data Pura Costos'!F2972)</f>
        <v/>
      </c>
      <c r="G2972" s="5" t="str">
        <f>+IF('Data Pura Costos'!G2972="","",'Data Pura Costos'!G2972)</f>
        <v/>
      </c>
      <c r="H2972" s="52" t="str">
        <f>+IF('Data Pura Costos'!H2972="","",'Data Pura Costos'!H2972)</f>
        <v/>
      </c>
      <c r="I2972" s="71" t="str">
        <f>+IF('Data Pura Costos'!I2972="","",'Data Pura Costos'!I2972)</f>
        <v/>
      </c>
      <c r="J2972" s="52" t="str">
        <f>+IF('Data Pura Costos'!J2972="","",'Data Pura Costos'!J2972)</f>
        <v/>
      </c>
      <c r="K2972" s="82" t="str">
        <f t="shared" si="51"/>
        <v/>
      </c>
    </row>
    <row r="2973" spans="2:11" x14ac:dyDescent="0.35">
      <c r="B2973" s="4" t="str">
        <f>+IF('Data Pura Costos'!B2973="","",'Data Pura Costos'!B2973)</f>
        <v/>
      </c>
      <c r="C2973" s="4" t="str">
        <f>+IF('Data Pura Costos'!C2973="","",'Data Pura Costos'!C2973)</f>
        <v/>
      </c>
      <c r="D2973" s="5" t="str">
        <f>+IF('Data Pura Costos'!D2973="","",'Data Pura Costos'!D2973)</f>
        <v/>
      </c>
      <c r="E2973" s="65" t="str">
        <f>+IF('Data Pura Costos'!E2973="","",IF('Data Pura Costos'!E2973=0,MAX('Data Pura Costos'!$E$7:$E$3000)*1000,'Data Pura Costos'!E2973))</f>
        <v/>
      </c>
      <c r="F2973" s="5" t="str">
        <f>+IF('Data Pura Costos'!F2973="","",'Data Pura Costos'!F2973)</f>
        <v/>
      </c>
      <c r="G2973" s="5" t="str">
        <f>+IF('Data Pura Costos'!G2973="","",'Data Pura Costos'!G2973)</f>
        <v/>
      </c>
      <c r="H2973" s="52" t="str">
        <f>+IF('Data Pura Costos'!H2973="","",'Data Pura Costos'!H2973)</f>
        <v/>
      </c>
      <c r="I2973" s="71" t="str">
        <f>+IF('Data Pura Costos'!I2973="","",'Data Pura Costos'!I2973)</f>
        <v/>
      </c>
      <c r="J2973" s="52" t="str">
        <f>+IF('Data Pura Costos'!J2973="","",'Data Pura Costos'!J2973)</f>
        <v/>
      </c>
      <c r="K2973" s="82" t="str">
        <f t="shared" si="51"/>
        <v/>
      </c>
    </row>
    <row r="2974" spans="2:11" x14ac:dyDescent="0.35">
      <c r="B2974" s="4" t="str">
        <f>+IF('Data Pura Costos'!B2974="","",'Data Pura Costos'!B2974)</f>
        <v/>
      </c>
      <c r="C2974" s="4" t="str">
        <f>+IF('Data Pura Costos'!C2974="","",'Data Pura Costos'!C2974)</f>
        <v/>
      </c>
      <c r="D2974" s="5" t="str">
        <f>+IF('Data Pura Costos'!D2974="","",'Data Pura Costos'!D2974)</f>
        <v/>
      </c>
      <c r="E2974" s="65" t="str">
        <f>+IF('Data Pura Costos'!E2974="","",IF('Data Pura Costos'!E2974=0,MAX('Data Pura Costos'!$E$7:$E$3000)*1000,'Data Pura Costos'!E2974))</f>
        <v/>
      </c>
      <c r="F2974" s="5" t="str">
        <f>+IF('Data Pura Costos'!F2974="","",'Data Pura Costos'!F2974)</f>
        <v/>
      </c>
      <c r="G2974" s="5" t="str">
        <f>+IF('Data Pura Costos'!G2974="","",'Data Pura Costos'!G2974)</f>
        <v/>
      </c>
      <c r="H2974" s="52" t="str">
        <f>+IF('Data Pura Costos'!H2974="","",'Data Pura Costos'!H2974)</f>
        <v/>
      </c>
      <c r="I2974" s="71" t="str">
        <f>+IF('Data Pura Costos'!I2974="","",'Data Pura Costos'!I2974)</f>
        <v/>
      </c>
      <c r="J2974" s="52" t="str">
        <f>+IF('Data Pura Costos'!J2974="","",'Data Pura Costos'!J2974)</f>
        <v/>
      </c>
      <c r="K2974" s="82" t="str">
        <f t="shared" si="51"/>
        <v/>
      </c>
    </row>
    <row r="2975" spans="2:11" x14ac:dyDescent="0.35">
      <c r="B2975" s="4" t="str">
        <f>+IF('Data Pura Costos'!B2975="","",'Data Pura Costos'!B2975)</f>
        <v/>
      </c>
      <c r="C2975" s="4" t="str">
        <f>+IF('Data Pura Costos'!C2975="","",'Data Pura Costos'!C2975)</f>
        <v/>
      </c>
      <c r="D2975" s="5" t="str">
        <f>+IF('Data Pura Costos'!D2975="","",'Data Pura Costos'!D2975)</f>
        <v/>
      </c>
      <c r="E2975" s="65" t="str">
        <f>+IF('Data Pura Costos'!E2975="","",IF('Data Pura Costos'!E2975=0,MAX('Data Pura Costos'!$E$7:$E$3000)*1000,'Data Pura Costos'!E2975))</f>
        <v/>
      </c>
      <c r="F2975" s="5" t="str">
        <f>+IF('Data Pura Costos'!F2975="","",'Data Pura Costos'!F2975)</f>
        <v/>
      </c>
      <c r="G2975" s="5" t="str">
        <f>+IF('Data Pura Costos'!G2975="","",'Data Pura Costos'!G2975)</f>
        <v/>
      </c>
      <c r="H2975" s="52" t="str">
        <f>+IF('Data Pura Costos'!H2975="","",'Data Pura Costos'!H2975)</f>
        <v/>
      </c>
      <c r="I2975" s="71" t="str">
        <f>+IF('Data Pura Costos'!I2975="","",'Data Pura Costos'!I2975)</f>
        <v/>
      </c>
      <c r="J2975" s="52" t="str">
        <f>+IF('Data Pura Costos'!J2975="","",'Data Pura Costos'!J2975)</f>
        <v/>
      </c>
      <c r="K2975" s="82" t="str">
        <f t="shared" si="51"/>
        <v/>
      </c>
    </row>
    <row r="2976" spans="2:11" x14ac:dyDescent="0.35">
      <c r="B2976" s="4" t="str">
        <f>+IF('Data Pura Costos'!B2976="","",'Data Pura Costos'!B2976)</f>
        <v/>
      </c>
      <c r="C2976" s="4" t="str">
        <f>+IF('Data Pura Costos'!C2976="","",'Data Pura Costos'!C2976)</f>
        <v/>
      </c>
      <c r="D2976" s="5" t="str">
        <f>+IF('Data Pura Costos'!D2976="","",'Data Pura Costos'!D2976)</f>
        <v/>
      </c>
      <c r="E2976" s="65" t="str">
        <f>+IF('Data Pura Costos'!E2976="","",IF('Data Pura Costos'!E2976=0,MAX('Data Pura Costos'!$E$7:$E$3000)*1000,'Data Pura Costos'!E2976))</f>
        <v/>
      </c>
      <c r="F2976" s="5" t="str">
        <f>+IF('Data Pura Costos'!F2976="","",'Data Pura Costos'!F2976)</f>
        <v/>
      </c>
      <c r="G2976" s="5" t="str">
        <f>+IF('Data Pura Costos'!G2976="","",'Data Pura Costos'!G2976)</f>
        <v/>
      </c>
      <c r="H2976" s="52" t="str">
        <f>+IF('Data Pura Costos'!H2976="","",'Data Pura Costos'!H2976)</f>
        <v/>
      </c>
      <c r="I2976" s="71" t="str">
        <f>+IF('Data Pura Costos'!I2976="","",'Data Pura Costos'!I2976)</f>
        <v/>
      </c>
      <c r="J2976" s="52" t="str">
        <f>+IF('Data Pura Costos'!J2976="","",'Data Pura Costos'!J2976)</f>
        <v/>
      </c>
      <c r="K2976" s="82" t="str">
        <f t="shared" si="51"/>
        <v/>
      </c>
    </row>
    <row r="2977" spans="2:11" x14ac:dyDescent="0.35">
      <c r="B2977" s="4" t="str">
        <f>+IF('Data Pura Costos'!B2977="","",'Data Pura Costos'!B2977)</f>
        <v/>
      </c>
      <c r="C2977" s="4" t="str">
        <f>+IF('Data Pura Costos'!C2977="","",'Data Pura Costos'!C2977)</f>
        <v/>
      </c>
      <c r="D2977" s="5" t="str">
        <f>+IF('Data Pura Costos'!D2977="","",'Data Pura Costos'!D2977)</f>
        <v/>
      </c>
      <c r="E2977" s="65" t="str">
        <f>+IF('Data Pura Costos'!E2977="","",IF('Data Pura Costos'!E2977=0,MAX('Data Pura Costos'!$E$7:$E$3000)*1000,'Data Pura Costos'!E2977))</f>
        <v/>
      </c>
      <c r="F2977" s="5" t="str">
        <f>+IF('Data Pura Costos'!F2977="","",'Data Pura Costos'!F2977)</f>
        <v/>
      </c>
      <c r="G2977" s="5" t="str">
        <f>+IF('Data Pura Costos'!G2977="","",'Data Pura Costos'!G2977)</f>
        <v/>
      </c>
      <c r="H2977" s="52" t="str">
        <f>+IF('Data Pura Costos'!H2977="","",'Data Pura Costos'!H2977)</f>
        <v/>
      </c>
      <c r="I2977" s="71" t="str">
        <f>+IF('Data Pura Costos'!I2977="","",'Data Pura Costos'!I2977)</f>
        <v/>
      </c>
      <c r="J2977" s="52" t="str">
        <f>+IF('Data Pura Costos'!J2977="","",'Data Pura Costos'!J2977)</f>
        <v/>
      </c>
      <c r="K2977" s="82" t="str">
        <f t="shared" si="51"/>
        <v/>
      </c>
    </row>
    <row r="2978" spans="2:11" x14ac:dyDescent="0.35">
      <c r="B2978" s="4" t="str">
        <f>+IF('Data Pura Costos'!B2978="","",'Data Pura Costos'!B2978)</f>
        <v/>
      </c>
      <c r="C2978" s="4" t="str">
        <f>+IF('Data Pura Costos'!C2978="","",'Data Pura Costos'!C2978)</f>
        <v/>
      </c>
      <c r="D2978" s="5" t="str">
        <f>+IF('Data Pura Costos'!D2978="","",'Data Pura Costos'!D2978)</f>
        <v/>
      </c>
      <c r="E2978" s="65" t="str">
        <f>+IF('Data Pura Costos'!E2978="","",IF('Data Pura Costos'!E2978=0,MAX('Data Pura Costos'!$E$7:$E$3000)*1000,'Data Pura Costos'!E2978))</f>
        <v/>
      </c>
      <c r="F2978" s="5" t="str">
        <f>+IF('Data Pura Costos'!F2978="","",'Data Pura Costos'!F2978)</f>
        <v/>
      </c>
      <c r="G2978" s="5" t="str">
        <f>+IF('Data Pura Costos'!G2978="","",'Data Pura Costos'!G2978)</f>
        <v/>
      </c>
      <c r="H2978" s="52" t="str">
        <f>+IF('Data Pura Costos'!H2978="","",'Data Pura Costos'!H2978)</f>
        <v/>
      </c>
      <c r="I2978" s="71" t="str">
        <f>+IF('Data Pura Costos'!I2978="","",'Data Pura Costos'!I2978)</f>
        <v/>
      </c>
      <c r="J2978" s="52" t="str">
        <f>+IF('Data Pura Costos'!J2978="","",'Data Pura Costos'!J2978)</f>
        <v/>
      </c>
      <c r="K2978" s="82" t="str">
        <f t="shared" si="51"/>
        <v/>
      </c>
    </row>
    <row r="2979" spans="2:11" x14ac:dyDescent="0.35">
      <c r="B2979" s="4" t="str">
        <f>+IF('Data Pura Costos'!B2979="","",'Data Pura Costos'!B2979)</f>
        <v/>
      </c>
      <c r="C2979" s="4" t="str">
        <f>+IF('Data Pura Costos'!C2979="","",'Data Pura Costos'!C2979)</f>
        <v/>
      </c>
      <c r="D2979" s="5" t="str">
        <f>+IF('Data Pura Costos'!D2979="","",'Data Pura Costos'!D2979)</f>
        <v/>
      </c>
      <c r="E2979" s="65" t="str">
        <f>+IF('Data Pura Costos'!E2979="","",IF('Data Pura Costos'!E2979=0,MAX('Data Pura Costos'!$E$7:$E$3000)*1000,'Data Pura Costos'!E2979))</f>
        <v/>
      </c>
      <c r="F2979" s="5" t="str">
        <f>+IF('Data Pura Costos'!F2979="","",'Data Pura Costos'!F2979)</f>
        <v/>
      </c>
      <c r="G2979" s="5" t="str">
        <f>+IF('Data Pura Costos'!G2979="","",'Data Pura Costos'!G2979)</f>
        <v/>
      </c>
      <c r="H2979" s="52" t="str">
        <f>+IF('Data Pura Costos'!H2979="","",'Data Pura Costos'!H2979)</f>
        <v/>
      </c>
      <c r="I2979" s="71" t="str">
        <f>+IF('Data Pura Costos'!I2979="","",'Data Pura Costos'!I2979)</f>
        <v/>
      </c>
      <c r="J2979" s="52" t="str">
        <f>+IF('Data Pura Costos'!J2979="","",'Data Pura Costos'!J2979)</f>
        <v/>
      </c>
      <c r="K2979" s="82" t="str">
        <f t="shared" si="51"/>
        <v/>
      </c>
    </row>
    <row r="2980" spans="2:11" x14ac:dyDescent="0.35">
      <c r="B2980" s="4" t="str">
        <f>+IF('Data Pura Costos'!B2980="","",'Data Pura Costos'!B2980)</f>
        <v/>
      </c>
      <c r="C2980" s="4" t="str">
        <f>+IF('Data Pura Costos'!C2980="","",'Data Pura Costos'!C2980)</f>
        <v/>
      </c>
      <c r="D2980" s="5" t="str">
        <f>+IF('Data Pura Costos'!D2980="","",'Data Pura Costos'!D2980)</f>
        <v/>
      </c>
      <c r="E2980" s="65" t="str">
        <f>+IF('Data Pura Costos'!E2980="","",IF('Data Pura Costos'!E2980=0,MAX('Data Pura Costos'!$E$7:$E$3000)*1000,'Data Pura Costos'!E2980))</f>
        <v/>
      </c>
      <c r="F2980" s="5" t="str">
        <f>+IF('Data Pura Costos'!F2980="","",'Data Pura Costos'!F2980)</f>
        <v/>
      </c>
      <c r="G2980" s="5" t="str">
        <f>+IF('Data Pura Costos'!G2980="","",'Data Pura Costos'!G2980)</f>
        <v/>
      </c>
      <c r="H2980" s="52" t="str">
        <f>+IF('Data Pura Costos'!H2980="","",'Data Pura Costos'!H2980)</f>
        <v/>
      </c>
      <c r="I2980" s="71" t="str">
        <f>+IF('Data Pura Costos'!I2980="","",'Data Pura Costos'!I2980)</f>
        <v/>
      </c>
      <c r="J2980" s="52" t="str">
        <f>+IF('Data Pura Costos'!J2980="","",'Data Pura Costos'!J2980)</f>
        <v/>
      </c>
      <c r="K2980" s="82" t="str">
        <f t="shared" si="51"/>
        <v/>
      </c>
    </row>
    <row r="2981" spans="2:11" x14ac:dyDescent="0.35">
      <c r="B2981" s="4" t="str">
        <f>+IF('Data Pura Costos'!B2981="","",'Data Pura Costos'!B2981)</f>
        <v/>
      </c>
      <c r="C2981" s="4" t="str">
        <f>+IF('Data Pura Costos'!C2981="","",'Data Pura Costos'!C2981)</f>
        <v/>
      </c>
      <c r="D2981" s="5" t="str">
        <f>+IF('Data Pura Costos'!D2981="","",'Data Pura Costos'!D2981)</f>
        <v/>
      </c>
      <c r="E2981" s="65" t="str">
        <f>+IF('Data Pura Costos'!E2981="","",IF('Data Pura Costos'!E2981=0,MAX('Data Pura Costos'!$E$7:$E$3000)*1000,'Data Pura Costos'!E2981))</f>
        <v/>
      </c>
      <c r="F2981" s="5" t="str">
        <f>+IF('Data Pura Costos'!F2981="","",'Data Pura Costos'!F2981)</f>
        <v/>
      </c>
      <c r="G2981" s="5" t="str">
        <f>+IF('Data Pura Costos'!G2981="","",'Data Pura Costos'!G2981)</f>
        <v/>
      </c>
      <c r="H2981" s="52" t="str">
        <f>+IF('Data Pura Costos'!H2981="","",'Data Pura Costos'!H2981)</f>
        <v/>
      </c>
      <c r="I2981" s="71" t="str">
        <f>+IF('Data Pura Costos'!I2981="","",'Data Pura Costos'!I2981)</f>
        <v/>
      </c>
      <c r="J2981" s="52" t="str">
        <f>+IF('Data Pura Costos'!J2981="","",'Data Pura Costos'!J2981)</f>
        <v/>
      </c>
      <c r="K2981" s="82" t="str">
        <f t="shared" si="51"/>
        <v/>
      </c>
    </row>
    <row r="2982" spans="2:11" x14ac:dyDescent="0.35">
      <c r="B2982" s="4" t="str">
        <f>+IF('Data Pura Costos'!B2982="","",'Data Pura Costos'!B2982)</f>
        <v/>
      </c>
      <c r="C2982" s="4" t="str">
        <f>+IF('Data Pura Costos'!C2982="","",'Data Pura Costos'!C2982)</f>
        <v/>
      </c>
      <c r="D2982" s="5" t="str">
        <f>+IF('Data Pura Costos'!D2982="","",'Data Pura Costos'!D2982)</f>
        <v/>
      </c>
      <c r="E2982" s="65" t="str">
        <f>+IF('Data Pura Costos'!E2982="","",IF('Data Pura Costos'!E2982=0,MAX('Data Pura Costos'!$E$7:$E$3000)*1000,'Data Pura Costos'!E2982))</f>
        <v/>
      </c>
      <c r="F2982" s="5" t="str">
        <f>+IF('Data Pura Costos'!F2982="","",'Data Pura Costos'!F2982)</f>
        <v/>
      </c>
      <c r="G2982" s="5" t="str">
        <f>+IF('Data Pura Costos'!G2982="","",'Data Pura Costos'!G2982)</f>
        <v/>
      </c>
      <c r="H2982" s="52" t="str">
        <f>+IF('Data Pura Costos'!H2982="","",'Data Pura Costos'!H2982)</f>
        <v/>
      </c>
      <c r="I2982" s="71" t="str">
        <f>+IF('Data Pura Costos'!I2982="","",'Data Pura Costos'!I2982)</f>
        <v/>
      </c>
      <c r="J2982" s="52" t="str">
        <f>+IF('Data Pura Costos'!J2982="","",'Data Pura Costos'!J2982)</f>
        <v/>
      </c>
      <c r="K2982" s="82" t="str">
        <f t="shared" si="51"/>
        <v/>
      </c>
    </row>
    <row r="2983" spans="2:11" x14ac:dyDescent="0.35">
      <c r="B2983" s="4" t="str">
        <f>+IF('Data Pura Costos'!B2983="","",'Data Pura Costos'!B2983)</f>
        <v/>
      </c>
      <c r="C2983" s="4" t="str">
        <f>+IF('Data Pura Costos'!C2983="","",'Data Pura Costos'!C2983)</f>
        <v/>
      </c>
      <c r="D2983" s="5" t="str">
        <f>+IF('Data Pura Costos'!D2983="","",'Data Pura Costos'!D2983)</f>
        <v/>
      </c>
      <c r="E2983" s="65" t="str">
        <f>+IF('Data Pura Costos'!E2983="","",IF('Data Pura Costos'!E2983=0,MAX('Data Pura Costos'!$E$7:$E$3000)*1000,'Data Pura Costos'!E2983))</f>
        <v/>
      </c>
      <c r="F2983" s="5" t="str">
        <f>+IF('Data Pura Costos'!F2983="","",'Data Pura Costos'!F2983)</f>
        <v/>
      </c>
      <c r="G2983" s="5" t="str">
        <f>+IF('Data Pura Costos'!G2983="","",'Data Pura Costos'!G2983)</f>
        <v/>
      </c>
      <c r="H2983" s="52" t="str">
        <f>+IF('Data Pura Costos'!H2983="","",'Data Pura Costos'!H2983)</f>
        <v/>
      </c>
      <c r="I2983" s="71" t="str">
        <f>+IF('Data Pura Costos'!I2983="","",'Data Pura Costos'!I2983)</f>
        <v/>
      </c>
      <c r="J2983" s="52" t="str">
        <f>+IF('Data Pura Costos'!J2983="","",'Data Pura Costos'!J2983)</f>
        <v/>
      </c>
      <c r="K2983" s="82" t="str">
        <f t="shared" si="51"/>
        <v/>
      </c>
    </row>
    <row r="2984" spans="2:11" x14ac:dyDescent="0.35">
      <c r="B2984" s="4" t="str">
        <f>+IF('Data Pura Costos'!B2984="","",'Data Pura Costos'!B2984)</f>
        <v/>
      </c>
      <c r="C2984" s="4" t="str">
        <f>+IF('Data Pura Costos'!C2984="","",'Data Pura Costos'!C2984)</f>
        <v/>
      </c>
      <c r="D2984" s="5" t="str">
        <f>+IF('Data Pura Costos'!D2984="","",'Data Pura Costos'!D2984)</f>
        <v/>
      </c>
      <c r="E2984" s="65" t="str">
        <f>+IF('Data Pura Costos'!E2984="","",IF('Data Pura Costos'!E2984=0,MAX('Data Pura Costos'!$E$7:$E$3000)*1000,'Data Pura Costos'!E2984))</f>
        <v/>
      </c>
      <c r="F2984" s="5" t="str">
        <f>+IF('Data Pura Costos'!F2984="","",'Data Pura Costos'!F2984)</f>
        <v/>
      </c>
      <c r="G2984" s="5" t="str">
        <f>+IF('Data Pura Costos'!G2984="","",'Data Pura Costos'!G2984)</f>
        <v/>
      </c>
      <c r="H2984" s="52" t="str">
        <f>+IF('Data Pura Costos'!H2984="","",'Data Pura Costos'!H2984)</f>
        <v/>
      </c>
      <c r="I2984" s="71" t="str">
        <f>+IF('Data Pura Costos'!I2984="","",'Data Pura Costos'!I2984)</f>
        <v/>
      </c>
      <c r="J2984" s="52" t="str">
        <f>+IF('Data Pura Costos'!J2984="","",'Data Pura Costos'!J2984)</f>
        <v/>
      </c>
      <c r="K2984" s="82" t="str">
        <f t="shared" si="51"/>
        <v/>
      </c>
    </row>
    <row r="2985" spans="2:11" x14ac:dyDescent="0.35">
      <c r="B2985" s="4" t="str">
        <f>+IF('Data Pura Costos'!B2985="","",'Data Pura Costos'!B2985)</f>
        <v/>
      </c>
      <c r="C2985" s="4" t="str">
        <f>+IF('Data Pura Costos'!C2985="","",'Data Pura Costos'!C2985)</f>
        <v/>
      </c>
      <c r="D2985" s="5" t="str">
        <f>+IF('Data Pura Costos'!D2985="","",'Data Pura Costos'!D2985)</f>
        <v/>
      </c>
      <c r="E2985" s="65" t="str">
        <f>+IF('Data Pura Costos'!E2985="","",IF('Data Pura Costos'!E2985=0,MAX('Data Pura Costos'!$E$7:$E$3000)*1000,'Data Pura Costos'!E2985))</f>
        <v/>
      </c>
      <c r="F2985" s="5" t="str">
        <f>+IF('Data Pura Costos'!F2985="","",'Data Pura Costos'!F2985)</f>
        <v/>
      </c>
      <c r="G2985" s="5" t="str">
        <f>+IF('Data Pura Costos'!G2985="","",'Data Pura Costos'!G2985)</f>
        <v/>
      </c>
      <c r="H2985" s="52" t="str">
        <f>+IF('Data Pura Costos'!H2985="","",'Data Pura Costos'!H2985)</f>
        <v/>
      </c>
      <c r="I2985" s="71" t="str">
        <f>+IF('Data Pura Costos'!I2985="","",'Data Pura Costos'!I2985)</f>
        <v/>
      </c>
      <c r="J2985" s="52" t="str">
        <f>+IF('Data Pura Costos'!J2985="","",'Data Pura Costos'!J2985)</f>
        <v/>
      </c>
      <c r="K2985" s="82" t="str">
        <f t="shared" si="51"/>
        <v/>
      </c>
    </row>
    <row r="2986" spans="2:11" x14ac:dyDescent="0.35">
      <c r="B2986" s="4" t="str">
        <f>+IF('Data Pura Costos'!B2986="","",'Data Pura Costos'!B2986)</f>
        <v/>
      </c>
      <c r="C2986" s="4" t="str">
        <f>+IF('Data Pura Costos'!C2986="","",'Data Pura Costos'!C2986)</f>
        <v/>
      </c>
      <c r="D2986" s="5" t="str">
        <f>+IF('Data Pura Costos'!D2986="","",'Data Pura Costos'!D2986)</f>
        <v/>
      </c>
      <c r="E2986" s="65" t="str">
        <f>+IF('Data Pura Costos'!E2986="","",IF('Data Pura Costos'!E2986=0,MAX('Data Pura Costos'!$E$7:$E$3000)*1000,'Data Pura Costos'!E2986))</f>
        <v/>
      </c>
      <c r="F2986" s="5" t="str">
        <f>+IF('Data Pura Costos'!F2986="","",'Data Pura Costos'!F2986)</f>
        <v/>
      </c>
      <c r="G2986" s="5" t="str">
        <f>+IF('Data Pura Costos'!G2986="","",'Data Pura Costos'!G2986)</f>
        <v/>
      </c>
      <c r="H2986" s="52" t="str">
        <f>+IF('Data Pura Costos'!H2986="","",'Data Pura Costos'!H2986)</f>
        <v/>
      </c>
      <c r="I2986" s="71" t="str">
        <f>+IF('Data Pura Costos'!I2986="","",'Data Pura Costos'!I2986)</f>
        <v/>
      </c>
      <c r="J2986" s="52" t="str">
        <f>+IF('Data Pura Costos'!J2986="","",'Data Pura Costos'!J2986)</f>
        <v/>
      </c>
      <c r="K2986" s="82" t="str">
        <f t="shared" si="51"/>
        <v/>
      </c>
    </row>
    <row r="2987" spans="2:11" x14ac:dyDescent="0.35">
      <c r="B2987" s="4" t="str">
        <f>+IF('Data Pura Costos'!B2987="","",'Data Pura Costos'!B2987)</f>
        <v/>
      </c>
      <c r="C2987" s="4" t="str">
        <f>+IF('Data Pura Costos'!C2987="","",'Data Pura Costos'!C2987)</f>
        <v/>
      </c>
      <c r="D2987" s="5" t="str">
        <f>+IF('Data Pura Costos'!D2987="","",'Data Pura Costos'!D2987)</f>
        <v/>
      </c>
      <c r="E2987" s="65" t="str">
        <f>+IF('Data Pura Costos'!E2987="","",IF('Data Pura Costos'!E2987=0,MAX('Data Pura Costos'!$E$7:$E$3000)*1000,'Data Pura Costos'!E2987))</f>
        <v/>
      </c>
      <c r="F2987" s="5" t="str">
        <f>+IF('Data Pura Costos'!F2987="","",'Data Pura Costos'!F2987)</f>
        <v/>
      </c>
      <c r="G2987" s="5" t="str">
        <f>+IF('Data Pura Costos'!G2987="","",'Data Pura Costos'!G2987)</f>
        <v/>
      </c>
      <c r="H2987" s="52" t="str">
        <f>+IF('Data Pura Costos'!H2987="","",'Data Pura Costos'!H2987)</f>
        <v/>
      </c>
      <c r="I2987" s="71" t="str">
        <f>+IF('Data Pura Costos'!I2987="","",'Data Pura Costos'!I2987)</f>
        <v/>
      </c>
      <c r="J2987" s="52" t="str">
        <f>+IF('Data Pura Costos'!J2987="","",'Data Pura Costos'!J2987)</f>
        <v/>
      </c>
      <c r="K2987" s="82" t="str">
        <f t="shared" si="51"/>
        <v/>
      </c>
    </row>
    <row r="2988" spans="2:11" x14ac:dyDescent="0.35">
      <c r="B2988" s="4" t="str">
        <f>+IF('Data Pura Costos'!B2988="","",'Data Pura Costos'!B2988)</f>
        <v/>
      </c>
      <c r="C2988" s="4" t="str">
        <f>+IF('Data Pura Costos'!C2988="","",'Data Pura Costos'!C2988)</f>
        <v/>
      </c>
      <c r="D2988" s="5" t="str">
        <f>+IF('Data Pura Costos'!D2988="","",'Data Pura Costos'!D2988)</f>
        <v/>
      </c>
      <c r="E2988" s="65" t="str">
        <f>+IF('Data Pura Costos'!E2988="","",IF('Data Pura Costos'!E2988=0,MAX('Data Pura Costos'!$E$7:$E$3000)*1000,'Data Pura Costos'!E2988))</f>
        <v/>
      </c>
      <c r="F2988" s="5" t="str">
        <f>+IF('Data Pura Costos'!F2988="","",'Data Pura Costos'!F2988)</f>
        <v/>
      </c>
      <c r="G2988" s="5" t="str">
        <f>+IF('Data Pura Costos'!G2988="","",'Data Pura Costos'!G2988)</f>
        <v/>
      </c>
      <c r="H2988" s="52" t="str">
        <f>+IF('Data Pura Costos'!H2988="","",'Data Pura Costos'!H2988)</f>
        <v/>
      </c>
      <c r="I2988" s="71" t="str">
        <f>+IF('Data Pura Costos'!I2988="","",'Data Pura Costos'!I2988)</f>
        <v/>
      </c>
      <c r="J2988" s="52" t="str">
        <f>+IF('Data Pura Costos'!J2988="","",'Data Pura Costos'!J2988)</f>
        <v/>
      </c>
      <c r="K2988" s="82" t="str">
        <f t="shared" si="51"/>
        <v/>
      </c>
    </row>
    <row r="2989" spans="2:11" x14ac:dyDescent="0.35">
      <c r="B2989" s="4" t="str">
        <f>+IF('Data Pura Costos'!B2989="","",'Data Pura Costos'!B2989)</f>
        <v/>
      </c>
      <c r="C2989" s="4" t="str">
        <f>+IF('Data Pura Costos'!C2989="","",'Data Pura Costos'!C2989)</f>
        <v/>
      </c>
      <c r="D2989" s="5" t="str">
        <f>+IF('Data Pura Costos'!D2989="","",'Data Pura Costos'!D2989)</f>
        <v/>
      </c>
      <c r="E2989" s="65" t="str">
        <f>+IF('Data Pura Costos'!E2989="","",IF('Data Pura Costos'!E2989=0,MAX('Data Pura Costos'!$E$7:$E$3000)*1000,'Data Pura Costos'!E2989))</f>
        <v/>
      </c>
      <c r="F2989" s="5" t="str">
        <f>+IF('Data Pura Costos'!F2989="","",'Data Pura Costos'!F2989)</f>
        <v/>
      </c>
      <c r="G2989" s="5" t="str">
        <f>+IF('Data Pura Costos'!G2989="","",'Data Pura Costos'!G2989)</f>
        <v/>
      </c>
      <c r="H2989" s="52" t="str">
        <f>+IF('Data Pura Costos'!H2989="","",'Data Pura Costos'!H2989)</f>
        <v/>
      </c>
      <c r="I2989" s="71" t="str">
        <f>+IF('Data Pura Costos'!I2989="","",'Data Pura Costos'!I2989)</f>
        <v/>
      </c>
      <c r="J2989" s="52" t="str">
        <f>+IF('Data Pura Costos'!J2989="","",'Data Pura Costos'!J2989)</f>
        <v/>
      </c>
      <c r="K2989" s="82" t="str">
        <f t="shared" si="51"/>
        <v/>
      </c>
    </row>
    <row r="2990" spans="2:11" x14ac:dyDescent="0.35">
      <c r="B2990" s="4" t="str">
        <f>+IF('Data Pura Costos'!B2990="","",'Data Pura Costos'!B2990)</f>
        <v/>
      </c>
      <c r="C2990" s="4" t="str">
        <f>+IF('Data Pura Costos'!C2990="","",'Data Pura Costos'!C2990)</f>
        <v/>
      </c>
      <c r="D2990" s="5" t="str">
        <f>+IF('Data Pura Costos'!D2990="","",'Data Pura Costos'!D2990)</f>
        <v/>
      </c>
      <c r="E2990" s="65" t="str">
        <f>+IF('Data Pura Costos'!E2990="","",IF('Data Pura Costos'!E2990=0,MAX('Data Pura Costos'!$E$7:$E$3000)*1000,'Data Pura Costos'!E2990))</f>
        <v/>
      </c>
      <c r="F2990" s="5" t="str">
        <f>+IF('Data Pura Costos'!F2990="","",'Data Pura Costos'!F2990)</f>
        <v/>
      </c>
      <c r="G2990" s="5" t="str">
        <f>+IF('Data Pura Costos'!G2990="","",'Data Pura Costos'!G2990)</f>
        <v/>
      </c>
      <c r="H2990" s="52" t="str">
        <f>+IF('Data Pura Costos'!H2990="","",'Data Pura Costos'!H2990)</f>
        <v/>
      </c>
      <c r="I2990" s="71" t="str">
        <f>+IF('Data Pura Costos'!I2990="","",'Data Pura Costos'!I2990)</f>
        <v/>
      </c>
      <c r="J2990" s="52" t="str">
        <f>+IF('Data Pura Costos'!J2990="","",'Data Pura Costos'!J2990)</f>
        <v/>
      </c>
      <c r="K2990" s="82" t="str">
        <f t="shared" si="51"/>
        <v/>
      </c>
    </row>
    <row r="2991" spans="2:11" x14ac:dyDescent="0.35">
      <c r="B2991" s="4" t="str">
        <f>+IF('Data Pura Costos'!B2991="","",'Data Pura Costos'!B2991)</f>
        <v/>
      </c>
      <c r="C2991" s="4" t="str">
        <f>+IF('Data Pura Costos'!C2991="","",'Data Pura Costos'!C2991)</f>
        <v/>
      </c>
      <c r="D2991" s="5" t="str">
        <f>+IF('Data Pura Costos'!D2991="","",'Data Pura Costos'!D2991)</f>
        <v/>
      </c>
      <c r="E2991" s="65" t="str">
        <f>+IF('Data Pura Costos'!E2991="","",IF('Data Pura Costos'!E2991=0,MAX('Data Pura Costos'!$E$7:$E$3000)*1000,'Data Pura Costos'!E2991))</f>
        <v/>
      </c>
      <c r="F2991" s="5" t="str">
        <f>+IF('Data Pura Costos'!F2991="","",'Data Pura Costos'!F2991)</f>
        <v/>
      </c>
      <c r="G2991" s="5" t="str">
        <f>+IF('Data Pura Costos'!G2991="","",'Data Pura Costos'!G2991)</f>
        <v/>
      </c>
      <c r="H2991" s="52" t="str">
        <f>+IF('Data Pura Costos'!H2991="","",'Data Pura Costos'!H2991)</f>
        <v/>
      </c>
      <c r="I2991" s="71" t="str">
        <f>+IF('Data Pura Costos'!I2991="","",'Data Pura Costos'!I2991)</f>
        <v/>
      </c>
      <c r="J2991" s="52" t="str">
        <f>+IF('Data Pura Costos'!J2991="","",'Data Pura Costos'!J2991)</f>
        <v/>
      </c>
      <c r="K2991" s="82" t="str">
        <f t="shared" si="51"/>
        <v/>
      </c>
    </row>
    <row r="2992" spans="2:11" x14ac:dyDescent="0.35">
      <c r="B2992" s="4" t="str">
        <f>+IF('Data Pura Costos'!B2992="","",'Data Pura Costos'!B2992)</f>
        <v/>
      </c>
      <c r="C2992" s="4" t="str">
        <f>+IF('Data Pura Costos'!C2992="","",'Data Pura Costos'!C2992)</f>
        <v/>
      </c>
      <c r="D2992" s="5" t="str">
        <f>+IF('Data Pura Costos'!D2992="","",'Data Pura Costos'!D2992)</f>
        <v/>
      </c>
      <c r="E2992" s="65" t="str">
        <f>+IF('Data Pura Costos'!E2992="","",IF('Data Pura Costos'!E2992=0,MAX('Data Pura Costos'!$E$7:$E$3000)*1000,'Data Pura Costos'!E2992))</f>
        <v/>
      </c>
      <c r="F2992" s="5" t="str">
        <f>+IF('Data Pura Costos'!F2992="","",'Data Pura Costos'!F2992)</f>
        <v/>
      </c>
      <c r="G2992" s="5" t="str">
        <f>+IF('Data Pura Costos'!G2992="","",'Data Pura Costos'!G2992)</f>
        <v/>
      </c>
      <c r="H2992" s="52" t="str">
        <f>+IF('Data Pura Costos'!H2992="","",'Data Pura Costos'!H2992)</f>
        <v/>
      </c>
      <c r="I2992" s="71" t="str">
        <f>+IF('Data Pura Costos'!I2992="","",'Data Pura Costos'!I2992)</f>
        <v/>
      </c>
      <c r="J2992" s="52" t="str">
        <f>+IF('Data Pura Costos'!J2992="","",'Data Pura Costos'!J2992)</f>
        <v/>
      </c>
      <c r="K2992" s="82" t="str">
        <f t="shared" si="51"/>
        <v/>
      </c>
    </row>
    <row r="2993" spans="2:11" x14ac:dyDescent="0.35">
      <c r="B2993" s="4" t="str">
        <f>+IF('Data Pura Costos'!B2993="","",'Data Pura Costos'!B2993)</f>
        <v/>
      </c>
      <c r="C2993" s="4" t="str">
        <f>+IF('Data Pura Costos'!C2993="","",'Data Pura Costos'!C2993)</f>
        <v/>
      </c>
      <c r="D2993" s="5" t="str">
        <f>+IF('Data Pura Costos'!D2993="","",'Data Pura Costos'!D2993)</f>
        <v/>
      </c>
      <c r="E2993" s="65" t="str">
        <f>+IF('Data Pura Costos'!E2993="","",IF('Data Pura Costos'!E2993=0,MAX('Data Pura Costos'!$E$7:$E$3000)*1000,'Data Pura Costos'!E2993))</f>
        <v/>
      </c>
      <c r="F2993" s="5" t="str">
        <f>+IF('Data Pura Costos'!F2993="","",'Data Pura Costos'!F2993)</f>
        <v/>
      </c>
      <c r="G2993" s="5" t="str">
        <f>+IF('Data Pura Costos'!G2993="","",'Data Pura Costos'!G2993)</f>
        <v/>
      </c>
      <c r="H2993" s="52" t="str">
        <f>+IF('Data Pura Costos'!H2993="","",'Data Pura Costos'!H2993)</f>
        <v/>
      </c>
      <c r="I2993" s="71" t="str">
        <f>+IF('Data Pura Costos'!I2993="","",'Data Pura Costos'!I2993)</f>
        <v/>
      </c>
      <c r="J2993" s="52" t="str">
        <f>+IF('Data Pura Costos'!J2993="","",'Data Pura Costos'!J2993)</f>
        <v/>
      </c>
      <c r="K2993" s="82" t="str">
        <f t="shared" si="51"/>
        <v/>
      </c>
    </row>
    <row r="2994" spans="2:11" x14ac:dyDescent="0.35">
      <c r="B2994" s="4" t="str">
        <f>+IF('Data Pura Costos'!B2994="","",'Data Pura Costos'!B2994)</f>
        <v/>
      </c>
      <c r="C2994" s="4" t="str">
        <f>+IF('Data Pura Costos'!C2994="","",'Data Pura Costos'!C2994)</f>
        <v/>
      </c>
      <c r="D2994" s="5" t="str">
        <f>+IF('Data Pura Costos'!D2994="","",'Data Pura Costos'!D2994)</f>
        <v/>
      </c>
      <c r="E2994" s="65" t="str">
        <f>+IF('Data Pura Costos'!E2994="","",IF('Data Pura Costos'!E2994=0,MAX('Data Pura Costos'!$E$7:$E$3000)*1000,'Data Pura Costos'!E2994))</f>
        <v/>
      </c>
      <c r="F2994" s="5" t="str">
        <f>+IF('Data Pura Costos'!F2994="","",'Data Pura Costos'!F2994)</f>
        <v/>
      </c>
      <c r="G2994" s="5" t="str">
        <f>+IF('Data Pura Costos'!G2994="","",'Data Pura Costos'!G2994)</f>
        <v/>
      </c>
      <c r="H2994" s="52" t="str">
        <f>+IF('Data Pura Costos'!H2994="","",'Data Pura Costos'!H2994)</f>
        <v/>
      </c>
      <c r="I2994" s="71" t="str">
        <f>+IF('Data Pura Costos'!I2994="","",'Data Pura Costos'!I2994)</f>
        <v/>
      </c>
      <c r="J2994" s="52" t="str">
        <f>+IF('Data Pura Costos'!J2994="","",'Data Pura Costos'!J2994)</f>
        <v/>
      </c>
      <c r="K2994" s="82" t="str">
        <f t="shared" si="51"/>
        <v/>
      </c>
    </row>
    <row r="2995" spans="2:11" x14ac:dyDescent="0.35">
      <c r="B2995" s="4" t="str">
        <f>+IF('Data Pura Costos'!B2995="","",'Data Pura Costos'!B2995)</f>
        <v/>
      </c>
      <c r="C2995" s="4" t="str">
        <f>+IF('Data Pura Costos'!C2995="","",'Data Pura Costos'!C2995)</f>
        <v/>
      </c>
      <c r="D2995" s="5" t="str">
        <f>+IF('Data Pura Costos'!D2995="","",'Data Pura Costos'!D2995)</f>
        <v/>
      </c>
      <c r="E2995" s="65" t="str">
        <f>+IF('Data Pura Costos'!E2995="","",IF('Data Pura Costos'!E2995=0,MAX('Data Pura Costos'!$E$7:$E$3000)*1000,'Data Pura Costos'!E2995))</f>
        <v/>
      </c>
      <c r="F2995" s="5" t="str">
        <f>+IF('Data Pura Costos'!F2995="","",'Data Pura Costos'!F2995)</f>
        <v/>
      </c>
      <c r="G2995" s="5" t="str">
        <f>+IF('Data Pura Costos'!G2995="","",'Data Pura Costos'!G2995)</f>
        <v/>
      </c>
      <c r="H2995" s="52" t="str">
        <f>+IF('Data Pura Costos'!H2995="","",'Data Pura Costos'!H2995)</f>
        <v/>
      </c>
      <c r="I2995" s="71" t="str">
        <f>+IF('Data Pura Costos'!I2995="","",'Data Pura Costos'!I2995)</f>
        <v/>
      </c>
      <c r="J2995" s="52" t="str">
        <f>+IF('Data Pura Costos'!J2995="","",'Data Pura Costos'!J2995)</f>
        <v/>
      </c>
      <c r="K2995" s="82" t="str">
        <f t="shared" si="51"/>
        <v/>
      </c>
    </row>
    <row r="2996" spans="2:11" x14ac:dyDescent="0.35">
      <c r="B2996" s="4" t="str">
        <f>+IF('Data Pura Costos'!B2996="","",'Data Pura Costos'!B2996)</f>
        <v/>
      </c>
      <c r="C2996" s="4" t="str">
        <f>+IF('Data Pura Costos'!C2996="","",'Data Pura Costos'!C2996)</f>
        <v/>
      </c>
      <c r="D2996" s="5" t="str">
        <f>+IF('Data Pura Costos'!D2996="","",'Data Pura Costos'!D2996)</f>
        <v/>
      </c>
      <c r="E2996" s="65" t="str">
        <f>+IF('Data Pura Costos'!E2996="","",IF('Data Pura Costos'!E2996=0,MAX('Data Pura Costos'!$E$7:$E$3000)*1000,'Data Pura Costos'!E2996))</f>
        <v/>
      </c>
      <c r="F2996" s="5" t="str">
        <f>+IF('Data Pura Costos'!F2996="","",'Data Pura Costos'!F2996)</f>
        <v/>
      </c>
      <c r="G2996" s="5" t="str">
        <f>+IF('Data Pura Costos'!G2996="","",'Data Pura Costos'!G2996)</f>
        <v/>
      </c>
      <c r="H2996" s="52" t="str">
        <f>+IF('Data Pura Costos'!H2996="","",'Data Pura Costos'!H2996)</f>
        <v/>
      </c>
      <c r="I2996" s="71" t="str">
        <f>+IF('Data Pura Costos'!I2996="","",'Data Pura Costos'!I2996)</f>
        <v/>
      </c>
      <c r="J2996" s="52" t="str">
        <f>+IF('Data Pura Costos'!J2996="","",'Data Pura Costos'!J2996)</f>
        <v/>
      </c>
      <c r="K2996" s="82" t="str">
        <f t="shared" si="51"/>
        <v/>
      </c>
    </row>
    <row r="2997" spans="2:11" x14ac:dyDescent="0.35">
      <c r="B2997" s="4" t="str">
        <f>+IF('Data Pura Costos'!B2997="","",'Data Pura Costos'!B2997)</f>
        <v/>
      </c>
      <c r="C2997" s="4" t="str">
        <f>+IF('Data Pura Costos'!C2997="","",'Data Pura Costos'!C2997)</f>
        <v/>
      </c>
      <c r="D2997" s="5" t="str">
        <f>+IF('Data Pura Costos'!D2997="","",'Data Pura Costos'!D2997)</f>
        <v/>
      </c>
      <c r="E2997" s="65" t="str">
        <f>+IF('Data Pura Costos'!E2997="","",IF('Data Pura Costos'!E2997=0,MAX('Data Pura Costos'!$E$7:$E$3000)*1000,'Data Pura Costos'!E2997))</f>
        <v/>
      </c>
      <c r="F2997" s="5" t="str">
        <f>+IF('Data Pura Costos'!F2997="","",'Data Pura Costos'!F2997)</f>
        <v/>
      </c>
      <c r="G2997" s="5" t="str">
        <f>+IF('Data Pura Costos'!G2997="","",'Data Pura Costos'!G2997)</f>
        <v/>
      </c>
      <c r="H2997" s="52" t="str">
        <f>+IF('Data Pura Costos'!H2997="","",'Data Pura Costos'!H2997)</f>
        <v/>
      </c>
      <c r="I2997" s="71" t="str">
        <f>+IF('Data Pura Costos'!I2997="","",'Data Pura Costos'!I2997)</f>
        <v/>
      </c>
      <c r="J2997" s="52" t="str">
        <f>+IF('Data Pura Costos'!J2997="","",'Data Pura Costos'!J2997)</f>
        <v/>
      </c>
      <c r="K2997" s="82" t="str">
        <f t="shared" si="51"/>
        <v/>
      </c>
    </row>
    <row r="2998" spans="2:11" x14ac:dyDescent="0.35">
      <c r="B2998" s="4" t="str">
        <f>+IF('Data Pura Costos'!B2998="","",'Data Pura Costos'!B2998)</f>
        <v/>
      </c>
      <c r="C2998" s="4" t="str">
        <f>+IF('Data Pura Costos'!C2998="","",'Data Pura Costos'!C2998)</f>
        <v/>
      </c>
      <c r="D2998" s="5" t="str">
        <f>+IF('Data Pura Costos'!D2998="","",'Data Pura Costos'!D2998)</f>
        <v/>
      </c>
      <c r="E2998" s="65" t="str">
        <f>+IF('Data Pura Costos'!E2998="","",IF('Data Pura Costos'!E2998=0,MAX('Data Pura Costos'!$E$7:$E$3000)*1000,'Data Pura Costos'!E2998))</f>
        <v/>
      </c>
      <c r="F2998" s="5" t="str">
        <f>+IF('Data Pura Costos'!F2998="","",'Data Pura Costos'!F2998)</f>
        <v/>
      </c>
      <c r="G2998" s="5" t="str">
        <f>+IF('Data Pura Costos'!G2998="","",'Data Pura Costos'!G2998)</f>
        <v/>
      </c>
      <c r="H2998" s="52" t="str">
        <f>+IF('Data Pura Costos'!H2998="","",'Data Pura Costos'!H2998)</f>
        <v/>
      </c>
      <c r="I2998" s="71" t="str">
        <f>+IF('Data Pura Costos'!I2998="","",'Data Pura Costos'!I2998)</f>
        <v/>
      </c>
      <c r="J2998" s="52" t="str">
        <f>+IF('Data Pura Costos'!J2998="","",'Data Pura Costos'!J2998)</f>
        <v/>
      </c>
      <c r="K2998" s="82" t="str">
        <f t="shared" si="51"/>
        <v/>
      </c>
    </row>
    <row r="2999" spans="2:11" x14ac:dyDescent="0.35">
      <c r="B2999" s="4" t="str">
        <f>+IF('Data Pura Costos'!B2999="","",'Data Pura Costos'!B2999)</f>
        <v/>
      </c>
      <c r="C2999" s="4" t="str">
        <f>+IF('Data Pura Costos'!C2999="","",'Data Pura Costos'!C2999)</f>
        <v/>
      </c>
      <c r="D2999" s="5" t="str">
        <f>+IF('Data Pura Costos'!D2999="","",'Data Pura Costos'!D2999)</f>
        <v/>
      </c>
      <c r="E2999" s="65" t="str">
        <f>+IF('Data Pura Costos'!E2999="","",IF('Data Pura Costos'!E2999=0,MAX('Data Pura Costos'!$E$7:$E$3000)*1000,'Data Pura Costos'!E2999))</f>
        <v/>
      </c>
      <c r="F2999" s="5" t="str">
        <f>+IF('Data Pura Costos'!F2999="","",'Data Pura Costos'!F2999)</f>
        <v/>
      </c>
      <c r="G2999" s="5" t="str">
        <f>+IF('Data Pura Costos'!G2999="","",'Data Pura Costos'!G2999)</f>
        <v/>
      </c>
      <c r="H2999" s="52" t="str">
        <f>+IF('Data Pura Costos'!H2999="","",'Data Pura Costos'!H2999)</f>
        <v/>
      </c>
      <c r="I2999" s="71" t="str">
        <f>+IF('Data Pura Costos'!I2999="","",'Data Pura Costos'!I2999)</f>
        <v/>
      </c>
      <c r="J2999" s="52" t="str">
        <f>+IF('Data Pura Costos'!J2999="","",'Data Pura Costos'!J2999)</f>
        <v/>
      </c>
      <c r="K2999" s="82" t="str">
        <f t="shared" si="51"/>
        <v/>
      </c>
    </row>
    <row r="3000" spans="2:11" x14ac:dyDescent="0.35">
      <c r="B3000" s="4" t="str">
        <f>+IF('Data Pura Costos'!B3000="","",'Data Pura Costos'!B3000)</f>
        <v/>
      </c>
      <c r="C3000" s="4" t="str">
        <f>+IF('Data Pura Costos'!C3000="","",'Data Pura Costos'!C3000)</f>
        <v/>
      </c>
      <c r="D3000" s="5" t="str">
        <f>+IF('Data Pura Costos'!D3000="","",'Data Pura Costos'!D3000)</f>
        <v/>
      </c>
      <c r="E3000" s="65" t="str">
        <f>+IF('Data Pura Costos'!E3000="","",IF('Data Pura Costos'!E3000=0,MAX('Data Pura Costos'!$E$7:$E$3000)*1000,'Data Pura Costos'!E3000))</f>
        <v/>
      </c>
      <c r="F3000" s="5" t="str">
        <f>+IF('Data Pura Costos'!F3000="","",'Data Pura Costos'!F3000)</f>
        <v/>
      </c>
      <c r="G3000" s="5" t="str">
        <f>+IF('Data Pura Costos'!G3000="","",'Data Pura Costos'!G3000)</f>
        <v/>
      </c>
      <c r="H3000" s="52" t="str">
        <f>+IF('Data Pura Costos'!H3000="","",'Data Pura Costos'!H3000)</f>
        <v/>
      </c>
      <c r="I3000" s="71" t="str">
        <f>+IF('Data Pura Costos'!I3000="","",'Data Pura Costos'!I3000)</f>
        <v/>
      </c>
      <c r="J3000" s="52" t="str">
        <f>+IF('Data Pura Costos'!J3000="","",'Data Pura Costos'!J3000)</f>
        <v/>
      </c>
      <c r="K3000" s="82" t="str">
        <f t="shared" si="51"/>
        <v/>
      </c>
    </row>
  </sheetData>
  <autoFilter ref="B6:J891" xr:uid="{420E1836-E547-4E2A-A35B-1DD7E78D3328}"/>
  <phoneticPr fontId="10" type="noConversion"/>
  <conditionalFormatting sqref="S6:AM11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6:AN1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:AM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9FFE4B-C15F-4351-AB1F-B063B099A88D}">
          <x14:formula1>
            <xm:f>'Parámetros Auxiliares'!$D$6:$D$65</xm:f>
          </x14:formula1>
          <xm:sqref>O6:O58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6D68C-D9F7-49A3-8E49-461D0098C40B}">
  <sheetPr codeName="Sheet17">
    <tabColor rgb="FF0070C0"/>
  </sheetPr>
  <dimension ref="B1:CQ217"/>
  <sheetViews>
    <sheetView showGridLines="0" topLeftCell="F1" zoomScaleNormal="100" workbookViewId="0">
      <selection activeCell="J8" sqref="J8"/>
    </sheetView>
  </sheetViews>
  <sheetFormatPr baseColWidth="10" defaultColWidth="8.7265625" defaultRowHeight="14.5" x14ac:dyDescent="0.35"/>
  <cols>
    <col min="1" max="1" width="1.453125" customWidth="1"/>
    <col min="2" max="2" width="35" style="45" bestFit="1" customWidth="1"/>
    <col min="3" max="3" width="12.1796875" customWidth="1"/>
    <col min="4" max="4" width="10.7265625" bestFit="1" customWidth="1"/>
    <col min="5" max="5" width="6.1796875" customWidth="1"/>
    <col min="6" max="6" width="11.54296875" bestFit="1" customWidth="1"/>
    <col min="7" max="7" width="12.453125" customWidth="1"/>
    <col min="8" max="8" width="11.54296875" customWidth="1"/>
    <col min="9" max="10" width="11.26953125" customWidth="1"/>
    <col min="11" max="11" width="11.26953125" style="43" customWidth="1"/>
    <col min="12" max="12" width="11.26953125" customWidth="1"/>
    <col min="13" max="13" width="13.7265625" customWidth="1"/>
    <col min="14" max="22" width="11.26953125" customWidth="1"/>
    <col min="23" max="23" width="14.453125" bestFit="1" customWidth="1"/>
    <col min="24" max="24" width="10" bestFit="1" customWidth="1"/>
    <col min="25" max="25" width="12.54296875" bestFit="1" customWidth="1"/>
    <col min="26" max="26" width="35" bestFit="1" customWidth="1"/>
    <col min="27" max="27" width="10.54296875" style="43" bestFit="1" customWidth="1"/>
    <col min="28" max="31" width="10.453125" bestFit="1" customWidth="1"/>
    <col min="32" max="32" width="23" bestFit="1" customWidth="1"/>
    <col min="33" max="33" width="10.54296875" bestFit="1" customWidth="1"/>
    <col min="34" max="40" width="10.453125" bestFit="1" customWidth="1"/>
    <col min="41" max="44" width="10.7265625" bestFit="1" customWidth="1"/>
    <col min="45" max="45" width="10.54296875" style="43" bestFit="1" customWidth="1"/>
    <col min="46" max="46" width="10.453125" style="43" bestFit="1" customWidth="1"/>
    <col min="47" max="47" width="10.7265625" style="43" bestFit="1" customWidth="1"/>
    <col min="48" max="48" width="10.54296875" style="43" customWidth="1"/>
    <col min="49" max="50" width="5.54296875" customWidth="1"/>
    <col min="51" max="51" width="35" bestFit="1" customWidth="1"/>
    <col min="52" max="67" width="13.81640625" customWidth="1"/>
    <col min="68" max="68" width="32.453125" bestFit="1" customWidth="1"/>
    <col min="69" max="73" width="13.81640625" customWidth="1"/>
    <col min="74" max="78" width="13.81640625" bestFit="1" customWidth="1"/>
    <col min="79" max="79" width="23.1796875" bestFit="1" customWidth="1"/>
    <col min="80" max="85" width="13.81640625" bestFit="1" customWidth="1"/>
    <col min="86" max="93" width="13.81640625" customWidth="1"/>
    <col min="94" max="94" width="10.54296875" bestFit="1" customWidth="1"/>
  </cols>
  <sheetData>
    <row r="1" spans="2:95" ht="15" thickBot="1" x14ac:dyDescent="0.4"/>
    <row r="2" spans="2:95" ht="15" thickBot="1" x14ac:dyDescent="0.4">
      <c r="AF2" s="19" t="str" cm="1">
        <f t="array" ref="AF2:AU4">+_xlfn.CHOOSECOLS(_xlfn._xlws.FILTER('Data Consolidada'!P5:AH112,('Data Consolidada'!P5:P112&lt;&gt;"")*('Data Consolidada'!P5:P112&lt;&gt;"N/A")),1,3,6,7,8,9,10,11,12,13,14,15,16,17,18,19)</f>
        <v>Campo</v>
      </c>
      <c r="AG2" s="21" t="str">
        <v>Destino</v>
      </c>
      <c r="AH2" s="233">
        <v>45574</v>
      </c>
      <c r="AI2" s="234">
        <v>45575</v>
      </c>
      <c r="AJ2" s="234">
        <v>45576</v>
      </c>
      <c r="AK2" s="234">
        <v>45577</v>
      </c>
      <c r="AL2" s="234">
        <v>45578</v>
      </c>
      <c r="AM2" s="234">
        <v>45579</v>
      </c>
      <c r="AN2" s="234">
        <v>45580</v>
      </c>
      <c r="AO2" s="234">
        <v>45581</v>
      </c>
      <c r="AP2" s="234">
        <v>45582</v>
      </c>
      <c r="AQ2" s="234">
        <v>45583</v>
      </c>
      <c r="AR2" s="234">
        <v>45584</v>
      </c>
      <c r="AS2" s="234">
        <v>45585</v>
      </c>
      <c r="AT2" s="234">
        <v>45586</v>
      </c>
      <c r="AU2" s="235">
        <v>45587</v>
      </c>
      <c r="AW2" s="354" t="s">
        <v>165</v>
      </c>
      <c r="AX2" s="354"/>
      <c r="AY2" s="41" t="s">
        <v>15</v>
      </c>
    </row>
    <row r="3" spans="2:95" ht="15" thickBot="1" x14ac:dyDescent="0.4">
      <c r="AF3" s="28" t="str">
        <v>El Retorno</v>
      </c>
      <c r="AG3" s="58" t="str">
        <v>MOSTAZAL</v>
      </c>
      <c r="AH3" s="226" t="str">
        <v/>
      </c>
      <c r="AI3" s="197" t="str">
        <v/>
      </c>
      <c r="AJ3" s="197" t="str">
        <v/>
      </c>
      <c r="AK3" s="197" t="str">
        <v/>
      </c>
      <c r="AL3" s="197" t="str">
        <v/>
      </c>
      <c r="AM3" s="197" t="str">
        <v/>
      </c>
      <c r="AN3" s="197" t="str">
        <v/>
      </c>
      <c r="AO3" s="197" t="str">
        <v/>
      </c>
      <c r="AP3" s="197">
        <v>1000</v>
      </c>
      <c r="AQ3" s="197">
        <v>1000</v>
      </c>
      <c r="AR3" s="197">
        <v>1000</v>
      </c>
      <c r="AS3" s="197">
        <v>1000</v>
      </c>
      <c r="AT3" s="197">
        <v>3000</v>
      </c>
      <c r="AU3" s="227">
        <v>3200</v>
      </c>
      <c r="AW3" s="354"/>
      <c r="AX3" s="354"/>
      <c r="AY3" s="81" t="s">
        <v>11</v>
      </c>
      <c r="AZ3" s="190" t="str">
        <f t="shared" ref="AZ3:CO3" si="0">+IF(C71="","",C71)</f>
        <v>El Retorno</v>
      </c>
      <c r="BA3" s="190" t="str">
        <f t="shared" si="0"/>
        <v>Panquehue</v>
      </c>
      <c r="BB3" s="190" t="str">
        <f t="shared" si="0"/>
        <v/>
      </c>
      <c r="BC3" s="190" t="str">
        <f t="shared" si="0"/>
        <v/>
      </c>
      <c r="BD3" s="190" t="str">
        <f t="shared" si="0"/>
        <v/>
      </c>
      <c r="BE3" s="190" t="str">
        <f t="shared" si="0"/>
        <v/>
      </c>
      <c r="BF3" s="190" t="str">
        <f t="shared" si="0"/>
        <v/>
      </c>
      <c r="BG3" s="190" t="str">
        <f t="shared" si="0"/>
        <v/>
      </c>
      <c r="BH3" s="190" t="str">
        <f t="shared" si="0"/>
        <v/>
      </c>
      <c r="BI3" s="190" t="str">
        <f t="shared" si="0"/>
        <v/>
      </c>
      <c r="BJ3" s="190" t="str">
        <f t="shared" si="0"/>
        <v/>
      </c>
      <c r="BK3" s="190" t="str">
        <f t="shared" si="0"/>
        <v/>
      </c>
      <c r="BL3" s="190" t="str">
        <f t="shared" si="0"/>
        <v/>
      </c>
      <c r="BM3" s="190" t="str">
        <f t="shared" si="0"/>
        <v/>
      </c>
      <c r="BN3" s="190" t="str">
        <f t="shared" si="0"/>
        <v/>
      </c>
      <c r="BO3" s="190" t="str">
        <f t="shared" si="0"/>
        <v/>
      </c>
      <c r="BP3" s="190" t="str">
        <f t="shared" si="0"/>
        <v/>
      </c>
      <c r="BQ3" s="190" t="str">
        <f t="shared" si="0"/>
        <v/>
      </c>
      <c r="BR3" s="190" t="str">
        <f t="shared" si="0"/>
        <v/>
      </c>
      <c r="BS3" s="190" t="str">
        <f t="shared" si="0"/>
        <v/>
      </c>
      <c r="BT3" s="190" t="str">
        <f t="shared" si="0"/>
        <v/>
      </c>
      <c r="BU3" s="190" t="str">
        <f t="shared" si="0"/>
        <v/>
      </c>
      <c r="BV3" s="190" t="str">
        <f t="shared" si="0"/>
        <v/>
      </c>
      <c r="BW3" s="190" t="str">
        <f t="shared" si="0"/>
        <v/>
      </c>
      <c r="BX3" s="190" t="str">
        <f t="shared" si="0"/>
        <v/>
      </c>
      <c r="BY3" s="190" t="str">
        <f t="shared" si="0"/>
        <v/>
      </c>
      <c r="BZ3" s="190" t="str">
        <f t="shared" si="0"/>
        <v/>
      </c>
      <c r="CA3" s="190" t="str">
        <f t="shared" si="0"/>
        <v/>
      </c>
      <c r="CB3" s="190" t="str">
        <f t="shared" si="0"/>
        <v/>
      </c>
      <c r="CC3" s="190" t="str">
        <f t="shared" si="0"/>
        <v/>
      </c>
      <c r="CD3" s="190" t="str">
        <f t="shared" si="0"/>
        <v/>
      </c>
      <c r="CE3" s="190" t="str">
        <f t="shared" si="0"/>
        <v/>
      </c>
      <c r="CF3" s="190" t="str">
        <f t="shared" si="0"/>
        <v/>
      </c>
      <c r="CG3" s="190" t="str">
        <f t="shared" si="0"/>
        <v/>
      </c>
      <c r="CH3" s="190" t="str">
        <f t="shared" si="0"/>
        <v/>
      </c>
      <c r="CI3" s="190" t="str">
        <f t="shared" si="0"/>
        <v/>
      </c>
      <c r="CJ3" s="190" t="str">
        <f t="shared" si="0"/>
        <v/>
      </c>
      <c r="CK3" s="190" t="str">
        <f t="shared" si="0"/>
        <v/>
      </c>
      <c r="CL3" s="190" t="str">
        <f t="shared" si="0"/>
        <v/>
      </c>
      <c r="CM3" s="190" t="str">
        <f t="shared" si="0"/>
        <v/>
      </c>
      <c r="CN3" s="190" t="str">
        <f t="shared" si="0"/>
        <v/>
      </c>
      <c r="CO3" s="190" t="str">
        <f t="shared" si="0"/>
        <v/>
      </c>
      <c r="CP3" s="57" t="s">
        <v>16</v>
      </c>
    </row>
    <row r="4" spans="2:95" ht="15" customHeight="1" x14ac:dyDescent="0.35">
      <c r="AF4" s="14" t="str">
        <v>Panquehue</v>
      </c>
      <c r="AG4" s="204" t="str">
        <v>MOSTAZAL</v>
      </c>
      <c r="AH4" s="228" t="str">
        <v/>
      </c>
      <c r="AI4" s="196" t="str">
        <v/>
      </c>
      <c r="AJ4" s="196" t="str">
        <v/>
      </c>
      <c r="AK4" s="196" t="str">
        <v/>
      </c>
      <c r="AL4" s="196" t="str">
        <v/>
      </c>
      <c r="AM4" s="196" t="str">
        <v/>
      </c>
      <c r="AN4" s="196" t="str">
        <v/>
      </c>
      <c r="AO4" s="196" t="str">
        <v/>
      </c>
      <c r="AP4" s="196" t="str">
        <v/>
      </c>
      <c r="AQ4" s="196" t="str">
        <v/>
      </c>
      <c r="AR4" s="196" t="str">
        <v/>
      </c>
      <c r="AS4" s="196" t="str">
        <v/>
      </c>
      <c r="AT4" s="196">
        <v>1000</v>
      </c>
      <c r="AU4" s="229">
        <v>1000</v>
      </c>
      <c r="AW4" s="13">
        <v>1</v>
      </c>
      <c r="AX4" s="13">
        <v>1</v>
      </c>
      <c r="AY4" s="221" t="str">
        <f ca="1">+IF(AX4="","",OFFSET($B$9,AX4,0))</f>
        <v xml:space="preserve">  TRANS. MORROS LTDA.</v>
      </c>
      <c r="AZ4" s="33">
        <f ca="1">+IF(AZ$3="","",IF($AY4="","",IFERROR(INDEX('Data Consolidada'!$E$7:$E$891,MATCH(CONCATENATE(AZ$3,"-",$CP4,"-",$AY4),'Data Consolidada'!$K$7:$K$891,0)),MAX('Data Consolidada'!$E$7:$E$3000))))</f>
        <v>11000000</v>
      </c>
      <c r="BA4" s="34">
        <f ca="1">+IF(BA$3="","",IF($AY4="","",IFERROR(INDEX('Data Consolidada'!$E$7:$E$891,MATCH(CONCATENATE(BA$3,"-",$CP4,"-",$AY4),'Data Consolidada'!$K$7:$K$891,0)),MAX('Data Consolidada'!$E$7:$E$3000))))</f>
        <v>350000</v>
      </c>
      <c r="BB4" s="34" t="str">
        <f>+IF(BB$3="","",IF($AY4="","",IFERROR(INDEX('Data Consolidada'!$E$7:$E$891,MATCH(CONCATENATE(BB$3,"-",$CP4,"-",$AY4),'Data Consolidada'!$K$7:$K$891,0)),MAX('Data Consolidada'!$E$7:$E$3000))))</f>
        <v/>
      </c>
      <c r="BC4" s="34" t="str">
        <f>+IF(BC$3="","",IF($AY4="","",IFERROR(INDEX('Data Consolidada'!$E$7:$E$891,MATCH(CONCATENATE(BC$3,"-",$CP4,"-",$AY4),'Data Consolidada'!$K$7:$K$891,0)),MAX('Data Consolidada'!$E$7:$E$3000))))</f>
        <v/>
      </c>
      <c r="BD4" s="34" t="str">
        <f>+IF(BD$3="","",IF($AY4="","",IFERROR(INDEX('Data Consolidada'!$E$7:$E$891,MATCH(CONCATENATE(BD$3,"-",$CP4,"-",$AY4),'Data Consolidada'!$K$7:$K$891,0)),MAX('Data Consolidada'!$E$7:$E$3000))))</f>
        <v/>
      </c>
      <c r="BE4" s="34" t="str">
        <f>+IF(BE$3="","",IF($AY4="","",IFERROR(INDEX('Data Consolidada'!$E$7:$E$891,MATCH(CONCATENATE(BE$3,"-",$CP4,"-",$AY4),'Data Consolidada'!$K$7:$K$891,0)),MAX('Data Consolidada'!$E$7:$E$3000))))</f>
        <v/>
      </c>
      <c r="BF4" s="34" t="str">
        <f>+IF(BF$3="","",IF($AY4="","",IFERROR(INDEX('Data Consolidada'!$E$7:$E$891,MATCH(CONCATENATE(BF$3,"-",$CP4,"-",$AY4),'Data Consolidada'!$K$7:$K$891,0)),MAX('Data Consolidada'!$E$7:$E$3000))))</f>
        <v/>
      </c>
      <c r="BG4" s="34" t="str">
        <f>+IF(BG$3="","",IF($AY4="","",IFERROR(INDEX('Data Consolidada'!$E$7:$E$891,MATCH(CONCATENATE(BG$3,"-",$CP4,"-",$AY4),'Data Consolidada'!$K$7:$K$891,0)),MAX('Data Consolidada'!$E$7:$E$3000))))</f>
        <v/>
      </c>
      <c r="BH4" s="34" t="str">
        <f>+IF(BH$3="","",IF($AY4="","",IFERROR(INDEX('Data Consolidada'!$E$7:$E$891,MATCH(CONCATENATE(BH$3,"-",$CP4,"-",$AY4),'Data Consolidada'!$K$7:$K$891,0)),MAX('Data Consolidada'!$E$7:$E$3000))))</f>
        <v/>
      </c>
      <c r="BI4" s="34" t="str">
        <f>+IF(BI$3="","",IF($AY4="","",IFERROR(INDEX('Data Consolidada'!$E$7:$E$891,MATCH(CONCATENATE(BI$3,"-",$CP4,"-",$AY4),'Data Consolidada'!$K$7:$K$891,0)),MAX('Data Consolidada'!$E$7:$E$3000))))</f>
        <v/>
      </c>
      <c r="BJ4" s="34" t="str">
        <f>+IF(BJ$3="","",IF($AY4="","",IFERROR(INDEX('Data Consolidada'!$E$7:$E$891,MATCH(CONCATENATE(BJ$3,"-",$CP4,"-",$AY4),'Data Consolidada'!$K$7:$K$891,0)),MAX('Data Consolidada'!$E$7:$E$3000))))</f>
        <v/>
      </c>
      <c r="BK4" s="34" t="str">
        <f>+IF(BK$3="","",IF($AY4="","",IFERROR(INDEX('Data Consolidada'!$E$7:$E$891,MATCH(CONCATENATE(BK$3,"-",$CP4,"-",$AY4),'Data Consolidada'!$K$7:$K$891,0)),MAX('Data Consolidada'!$E$7:$E$3000))))</f>
        <v/>
      </c>
      <c r="BL4" s="34" t="str">
        <f>+IF(BL$3="","",IF($AY4="","",IFERROR(INDEX('Data Consolidada'!$E$7:$E$891,MATCH(CONCATENATE(BL$3,"-",$CP4,"-",$AY4),'Data Consolidada'!$K$7:$K$891,0)),MAX('Data Consolidada'!$E$7:$E$3000))))</f>
        <v/>
      </c>
      <c r="BM4" s="34" t="str">
        <f>+IF(BM$3="","",IF($AY4="","",IFERROR(INDEX('Data Consolidada'!$E$7:$E$891,MATCH(CONCATENATE(BM$3,"-",$CP4,"-",$AY4),'Data Consolidada'!$K$7:$K$891,0)),MAX('Data Consolidada'!$E$7:$E$3000))))</f>
        <v/>
      </c>
      <c r="BN4" s="34" t="str">
        <f>+IF(BN$3="","",IF($AY4="","",IFERROR(INDEX('Data Consolidada'!$E$7:$E$891,MATCH(CONCATENATE(BN$3,"-",$CP4,"-",$AY4),'Data Consolidada'!$K$7:$K$891,0)),MAX('Data Consolidada'!$E$7:$E$3000))))</f>
        <v/>
      </c>
      <c r="BO4" s="34" t="str">
        <f>+IF(BO$3="","",IF($AY4="","",IFERROR(INDEX('Data Consolidada'!$E$7:$E$891,MATCH(CONCATENATE(BO$3,"-",$CP4,"-",$AY4),'Data Consolidada'!$K$7:$K$891,0)),MAX('Data Consolidada'!$E$7:$E$3000))))</f>
        <v/>
      </c>
      <c r="BP4" s="34" t="str">
        <f>+IF(BP$3="","",IF($AY4="","",IFERROR(INDEX('Data Consolidada'!$E$7:$E$891,MATCH(CONCATENATE(BP$3,"-",$CP4,"-",$AY4),'Data Consolidada'!$K$7:$K$891,0)),MAX('Data Consolidada'!$E$7:$E$3000))))</f>
        <v/>
      </c>
      <c r="BQ4" s="34" t="str">
        <f>+IF(BQ$3="","",IF($AY4="","",IFERROR(INDEX('Data Consolidada'!$E$7:$E$891,MATCH(CONCATENATE(BQ$3,"-",$CP4,"-",$AY4),'Data Consolidada'!$K$7:$K$891,0)),MAX('Data Consolidada'!$E$7:$E$3000))))</f>
        <v/>
      </c>
      <c r="BR4" s="34" t="str">
        <f>+IF(BR$3="","",IF($AY4="","",IFERROR(INDEX('Data Consolidada'!$E$7:$E$891,MATCH(CONCATENATE(BR$3,"-",$CP4,"-",$AY4),'Data Consolidada'!$K$7:$K$891,0)),MAX('Data Consolidada'!$E$7:$E$3000))))</f>
        <v/>
      </c>
      <c r="BS4" s="34" t="str">
        <f>+IF(BS$3="","",IF($AY4="","",IFERROR(INDEX('Data Consolidada'!$E$7:$E$891,MATCH(CONCATENATE(BS$3,"-",$CP4,"-",$AY4),'Data Consolidada'!$K$7:$K$891,0)),MAX('Data Consolidada'!$E$7:$E$3000))))</f>
        <v/>
      </c>
      <c r="BT4" s="34" t="str">
        <f>+IF(BT$3="","",IF($AY4="","",IFERROR(INDEX('Data Consolidada'!$E$7:$E$891,MATCH(CONCATENATE(BT$3,"-",$CP4,"-",$AY4),'Data Consolidada'!$K$7:$K$891,0)),MAX('Data Consolidada'!$E$7:$E$3000))))</f>
        <v/>
      </c>
      <c r="BU4" s="34" t="str">
        <f>+IF(BU$3="","",IF($AY4="","",IFERROR(INDEX('Data Consolidada'!$E$7:$E$891,MATCH(CONCATENATE(BU$3,"-",$CP4,"-",$AY4),'Data Consolidada'!$K$7:$K$891,0)),MAX('Data Consolidada'!$E$7:$E$3000))))</f>
        <v/>
      </c>
      <c r="BV4" s="34" t="str">
        <f>+IF(BV$3="","",IF($AY4="","",IFERROR(INDEX('Data Consolidada'!$E$7:$E$891,MATCH(CONCATENATE(BV$3,"-",$CP4,"-",$AY4),'Data Consolidada'!$K$7:$K$891,0)),MAX('Data Consolidada'!$E$7:$E$3000))))</f>
        <v/>
      </c>
      <c r="BW4" s="34" t="str">
        <f>+IF(BW$3="","",IF($AY4="","",IFERROR(INDEX('Data Consolidada'!$E$7:$E$891,MATCH(CONCATENATE(BW$3,"-",$CP4,"-",$AY4),'Data Consolidada'!$K$7:$K$891,0)),MAX('Data Consolidada'!$E$7:$E$3000))))</f>
        <v/>
      </c>
      <c r="BX4" s="34" t="str">
        <f>+IF(BX$3="","",IF($AY4="","",IFERROR(INDEX('Data Consolidada'!$E$7:$E$891,MATCH(CONCATENATE(BX$3,"-",$CP4,"-",$AY4),'Data Consolidada'!$K$7:$K$891,0)),MAX('Data Consolidada'!$E$7:$E$3000))))</f>
        <v/>
      </c>
      <c r="BY4" s="34" t="str">
        <f>+IF(BY$3="","",IF($AY4="","",IFERROR(INDEX('Data Consolidada'!$E$7:$E$891,MATCH(CONCATENATE(BY$3,"-",$CP4,"-",$AY4),'Data Consolidada'!$K$7:$K$891,0)),MAX('Data Consolidada'!$E$7:$E$3000))))</f>
        <v/>
      </c>
      <c r="BZ4" s="34" t="str">
        <f>+IF(BZ$3="","",IF($AY4="","",IFERROR(INDEX('Data Consolidada'!$E$7:$E$891,MATCH(CONCATENATE(BZ$3,"-",$CP4,"-",$AY4),'Data Consolidada'!$K$7:$K$891,0)),MAX('Data Consolidada'!$E$7:$E$3000))))</f>
        <v/>
      </c>
      <c r="CA4" s="34" t="str">
        <f>+IF(CA$3="","",IF($AY4="","",IFERROR(INDEX('Data Consolidada'!$E$7:$E$891,MATCH(CONCATENATE(CA$3,"-",$CP4,"-",$AY4),'Data Consolidada'!$K$7:$K$891,0)),MAX('Data Consolidada'!$E$7:$E$3000))))</f>
        <v/>
      </c>
      <c r="CB4" s="34" t="str">
        <f>+IF(CB$3="","",IF($AY4="","",IFERROR(INDEX('Data Consolidada'!$E$7:$E$891,MATCH(CONCATENATE(CB$3,"-",$CP4,"-",$AY4),'Data Consolidada'!$K$7:$K$891,0)),MAX('Data Consolidada'!$E$7:$E$3000))))</f>
        <v/>
      </c>
      <c r="CC4" s="34" t="str">
        <f>+IF(CC$3="","",IF($AY4="","",IFERROR(INDEX('Data Consolidada'!$E$7:$E$891,MATCH(CONCATENATE(CC$3,"-",$CP4,"-",$AY4),'Data Consolidada'!$K$7:$K$891,0)),MAX('Data Consolidada'!$E$7:$E$3000))))</f>
        <v/>
      </c>
      <c r="CD4" s="34" t="str">
        <f>+IF(CD$3="","",IF($AY4="","",IFERROR(INDEX('Data Consolidada'!$E$7:$E$891,MATCH(CONCATENATE(CD$3,"-",$CP4,"-",$AY4),'Data Consolidada'!$K$7:$K$891,0)),MAX('Data Consolidada'!$E$7:$E$3000))))</f>
        <v/>
      </c>
      <c r="CE4" s="34" t="str">
        <f>+IF(CE$3="","",IF($AY4="","",IFERROR(INDEX('Data Consolidada'!$E$7:$E$891,MATCH(CONCATENATE(CE$3,"-",$CP4,"-",$AY4),'Data Consolidada'!$K$7:$K$891,0)),MAX('Data Consolidada'!$E$7:$E$3000))))</f>
        <v/>
      </c>
      <c r="CF4" s="34" t="str">
        <f>+IF(CF$3="","",IF($AY4="","",IFERROR(INDEX('Data Consolidada'!$E$7:$E$891,MATCH(CONCATENATE(CF$3,"-",$CP4,"-",$AY4),'Data Consolidada'!$K$7:$K$891,0)),MAX('Data Consolidada'!$E$7:$E$3000))))</f>
        <v/>
      </c>
      <c r="CG4" s="34" t="str">
        <f>+IF(CG$3="","",IF($AY4="","",IFERROR(INDEX('Data Consolidada'!$E$7:$E$891,MATCH(CONCATENATE(CG$3,"-",$CP4,"-",$AY4),'Data Consolidada'!$K$7:$K$891,0)),MAX('Data Consolidada'!$E$7:$E$3000))))</f>
        <v/>
      </c>
      <c r="CH4" s="34" t="str">
        <f>+IF(CH$3="","",IF($AY4="","",IFERROR(INDEX('Data Consolidada'!$E$7:$E$891,MATCH(CONCATENATE(CH$3,"-",$CP4,"-",$AY4),'Data Consolidada'!$K$7:$K$891,0)),MAX('Data Consolidada'!$E$7:$E$3000))))</f>
        <v/>
      </c>
      <c r="CI4" s="34" t="str">
        <f>+IF(CI$3="","",IF($AY4="","",IFERROR(INDEX('Data Consolidada'!$E$7:$E$891,MATCH(CONCATENATE(CI$3,"-",$CP4,"-",$AY4),'Data Consolidada'!$K$7:$K$891,0)),MAX('Data Consolidada'!$E$7:$E$3000))))</f>
        <v/>
      </c>
      <c r="CJ4" s="34" t="str">
        <f>+IF(CJ$3="","",IF($AY4="","",IFERROR(INDEX('Data Consolidada'!$E$7:$E$891,MATCH(CONCATENATE(CJ$3,"-",$CP4,"-",$AY4),'Data Consolidada'!$K$7:$K$891,0)),MAX('Data Consolidada'!$E$7:$E$3000))))</f>
        <v/>
      </c>
      <c r="CK4" s="34" t="str">
        <f>+IF(CK$3="","",IF($AY4="","",IFERROR(INDEX('Data Consolidada'!$E$7:$E$891,MATCH(CONCATENATE(CK$3,"-",$CP4,"-",$AY4),'Data Consolidada'!$K$7:$K$891,0)),MAX('Data Consolidada'!$E$7:$E$3000))))</f>
        <v/>
      </c>
      <c r="CL4" s="34" t="str">
        <f>+IF(CL$3="","",IF($AY4="","",IFERROR(INDEX('Data Consolidada'!$E$7:$E$891,MATCH(CONCATENATE(CL$3,"-",$CP4,"-",$AY4),'Data Consolidada'!$K$7:$K$891,0)),MAX('Data Consolidada'!$E$7:$E$3000))))</f>
        <v/>
      </c>
      <c r="CM4" s="34" t="str">
        <f>+IF(CM$3="","",IF($AY4="","",IFERROR(INDEX('Data Consolidada'!$E$7:$E$891,MATCH(CONCATENATE(CM$3,"-",$CP4,"-",$AY4),'Data Consolidada'!$K$7:$K$891,0)),MAX('Data Consolidada'!$E$7:$E$3000))))</f>
        <v/>
      </c>
      <c r="CN4" s="34" t="str">
        <f>+IF(CN$3="","",IF($AY4="","",IFERROR(INDEX('Data Consolidada'!$E$7:$E$891,MATCH(CONCATENATE(CN$3,"-",$CP4,"-",$AY4),'Data Consolidada'!$K$7:$K$891,0)),MAX('Data Consolidada'!$E$7:$E$3000))))</f>
        <v/>
      </c>
      <c r="CO4" s="35" t="str">
        <f>+IF(CO$3="","",IF($AY4="","",IFERROR(INDEX('Data Consolidada'!$E$7:$E$891,MATCH(CONCATENATE(CO$3,"-",$CP4,"-",$AY4),'Data Consolidada'!$K$7:$K$891,0)),MAX('Data Consolidada'!$E$7:$E$3000))))</f>
        <v/>
      </c>
      <c r="CP4" s="223" t="str">
        <f ca="1">+IF(AW4="","",OFFSET($D$9,AW4,0))</f>
        <v>MOSTAZAL</v>
      </c>
      <c r="CQ4" s="84" t="str">
        <f ca="1">+IF(CP4="","",CONCATENATE(AY4,CP4))</f>
        <v xml:space="preserve">  TRANS. MORROS LTDA.MOSTAZAL</v>
      </c>
    </row>
    <row r="5" spans="2:95" ht="15" customHeight="1" thickBot="1" x14ac:dyDescent="0.4">
      <c r="AF5" s="14"/>
      <c r="AG5" s="204"/>
      <c r="AH5" s="228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229"/>
      <c r="AW5" s="13">
        <f>+IF(AX5="","",IF(AX5&gt;AX4,AW4,IF(AW4&lt;$D$69,AW4+1,IF(COUNT(AW$4:AW4)&lt;$B$69*$E$54,1,""))))</f>
        <v>1</v>
      </c>
      <c r="AX5" s="13">
        <f>+IF(AX4&lt;$B$69,AX4+1,IF(COUNT(AX$4:AX4)&lt;$B$69*$D$69,1,""))</f>
        <v>2</v>
      </c>
      <c r="AY5" s="189" t="str">
        <f t="shared" ref="AY5:AY68" ca="1" si="1">+IF(AX5="","",OFFSET($B$9,AX5,0))</f>
        <v xml:space="preserve">CRISTIAN LÓPEZ </v>
      </c>
      <c r="AZ5" s="36">
        <f ca="1">+IF(AZ$3="","",IF($AY5="","",IFERROR(INDEX('Data Consolidada'!$E$7:$E$891,MATCH(CONCATENATE(AZ$3,"-",$CP5,"-",$AY5),'Data Consolidada'!$K$7:$K$891,0)),MAX('Data Consolidada'!$E$7:$E$3000))))</f>
        <v>11000000</v>
      </c>
      <c r="BA5" s="32">
        <f ca="1">+IF(BA$3="","",IF($AY5="","",IFERROR(INDEX('Data Consolidada'!$E$7:$E$891,MATCH(CONCATENATE(BA$3,"-",$CP5,"-",$AY5),'Data Consolidada'!$K$7:$K$891,0)),MAX('Data Consolidada'!$E$7:$E$3000))))</f>
        <v>550000</v>
      </c>
      <c r="BB5" s="32" t="str">
        <f>+IF(BB$3="","",IF($AY5="","",IFERROR(INDEX('Data Consolidada'!$E$7:$E$891,MATCH(CONCATENATE(BB$3,"-",$CP5,"-",$AY5),'Data Consolidada'!$K$7:$K$891,0)),MAX('Data Consolidada'!$E$7:$E$3000))))</f>
        <v/>
      </c>
      <c r="BC5" s="32" t="str">
        <f>+IF(BC$3="","",IF($AY5="","",IFERROR(INDEX('Data Consolidada'!$E$7:$E$891,MATCH(CONCATENATE(BC$3,"-",$CP5,"-",$AY5),'Data Consolidada'!$K$7:$K$891,0)),MAX('Data Consolidada'!$E$7:$E$3000))))</f>
        <v/>
      </c>
      <c r="BD5" s="32" t="str">
        <f>+IF(BD$3="","",IF($AY5="","",IFERROR(INDEX('Data Consolidada'!$E$7:$E$891,MATCH(CONCATENATE(BD$3,"-",$CP5,"-",$AY5),'Data Consolidada'!$K$7:$K$891,0)),MAX('Data Consolidada'!$E$7:$E$3000))))</f>
        <v/>
      </c>
      <c r="BE5" s="32" t="str">
        <f>+IF(BE$3="","",IF($AY5="","",IFERROR(INDEX('Data Consolidada'!$E$7:$E$891,MATCH(CONCATENATE(BE$3,"-",$CP5,"-",$AY5),'Data Consolidada'!$K$7:$K$891,0)),MAX('Data Consolidada'!$E$7:$E$3000))))</f>
        <v/>
      </c>
      <c r="BF5" s="32" t="str">
        <f>+IF(BF$3="","",IF($AY5="","",IFERROR(INDEX('Data Consolidada'!$E$7:$E$891,MATCH(CONCATENATE(BF$3,"-",$CP5,"-",$AY5),'Data Consolidada'!$K$7:$K$891,0)),MAX('Data Consolidada'!$E$7:$E$3000))))</f>
        <v/>
      </c>
      <c r="BG5" s="32" t="str">
        <f>+IF(BG$3="","",IF($AY5="","",IFERROR(INDEX('Data Consolidada'!$E$7:$E$891,MATCH(CONCATENATE(BG$3,"-",$CP5,"-",$AY5),'Data Consolidada'!$K$7:$K$891,0)),MAX('Data Consolidada'!$E$7:$E$3000))))</f>
        <v/>
      </c>
      <c r="BH5" s="32" t="str">
        <f>+IF(BH$3="","",IF($AY5="","",IFERROR(INDEX('Data Consolidada'!$E$7:$E$891,MATCH(CONCATENATE(BH$3,"-",$CP5,"-",$AY5),'Data Consolidada'!$K$7:$K$891,0)),MAX('Data Consolidada'!$E$7:$E$3000))))</f>
        <v/>
      </c>
      <c r="BI5" s="32" t="str">
        <f>+IF(BI$3="","",IF($AY5="","",IFERROR(INDEX('Data Consolidada'!$E$7:$E$891,MATCH(CONCATENATE(BI$3,"-",$CP5,"-",$AY5),'Data Consolidada'!$K$7:$K$891,0)),MAX('Data Consolidada'!$E$7:$E$3000))))</f>
        <v/>
      </c>
      <c r="BJ5" s="32" t="str">
        <f>+IF(BJ$3="","",IF($AY5="","",IFERROR(INDEX('Data Consolidada'!$E$7:$E$891,MATCH(CONCATENATE(BJ$3,"-",$CP5,"-",$AY5),'Data Consolidada'!$K$7:$K$891,0)),MAX('Data Consolidada'!$E$7:$E$3000))))</f>
        <v/>
      </c>
      <c r="BK5" s="32" t="str">
        <f>+IF(BK$3="","",IF($AY5="","",IFERROR(INDEX('Data Consolidada'!$E$7:$E$891,MATCH(CONCATENATE(BK$3,"-",$CP5,"-",$AY5),'Data Consolidada'!$K$7:$K$891,0)),MAX('Data Consolidada'!$E$7:$E$3000))))</f>
        <v/>
      </c>
      <c r="BL5" s="32" t="str">
        <f>+IF(BL$3="","",IF($AY5="","",IFERROR(INDEX('Data Consolidada'!$E$7:$E$891,MATCH(CONCATENATE(BL$3,"-",$CP5,"-",$AY5),'Data Consolidada'!$K$7:$K$891,0)),MAX('Data Consolidada'!$E$7:$E$3000))))</f>
        <v/>
      </c>
      <c r="BM5" s="32" t="str">
        <f>+IF(BM$3="","",IF($AY5="","",IFERROR(INDEX('Data Consolidada'!$E$7:$E$891,MATCH(CONCATENATE(BM$3,"-",$CP5,"-",$AY5),'Data Consolidada'!$K$7:$K$891,0)),MAX('Data Consolidada'!$E$7:$E$3000))))</f>
        <v/>
      </c>
      <c r="BN5" s="32" t="str">
        <f>+IF(BN$3="","",IF($AY5="","",IFERROR(INDEX('Data Consolidada'!$E$7:$E$891,MATCH(CONCATENATE(BN$3,"-",$CP5,"-",$AY5),'Data Consolidada'!$K$7:$K$891,0)),MAX('Data Consolidada'!$E$7:$E$3000))))</f>
        <v/>
      </c>
      <c r="BO5" s="32" t="str">
        <f>+IF(BO$3="","",IF($AY5="","",IFERROR(INDEX('Data Consolidada'!$E$7:$E$891,MATCH(CONCATENATE(BO$3,"-",$CP5,"-",$AY5),'Data Consolidada'!$K$7:$K$891,0)),MAX('Data Consolidada'!$E$7:$E$3000))))</f>
        <v/>
      </c>
      <c r="BP5" s="32" t="str">
        <f>+IF(BP$3="","",IF($AY5="","",IFERROR(INDEX('Data Consolidada'!$E$7:$E$891,MATCH(CONCATENATE(BP$3,"-",$CP5,"-",$AY5),'Data Consolidada'!$K$7:$K$891,0)),MAX('Data Consolidada'!$E$7:$E$3000))))</f>
        <v/>
      </c>
      <c r="BQ5" s="32" t="str">
        <f>+IF(BQ$3="","",IF($AY5="","",IFERROR(INDEX('Data Consolidada'!$E$7:$E$891,MATCH(CONCATENATE(BQ$3,"-",$CP5,"-",$AY5),'Data Consolidada'!$K$7:$K$891,0)),MAX('Data Consolidada'!$E$7:$E$3000))))</f>
        <v/>
      </c>
      <c r="BR5" s="32" t="str">
        <f>+IF(BR$3="","",IF($AY5="","",IFERROR(INDEX('Data Consolidada'!$E$7:$E$891,MATCH(CONCATENATE(BR$3,"-",$CP5,"-",$AY5),'Data Consolidada'!$K$7:$K$891,0)),MAX('Data Consolidada'!$E$7:$E$3000))))</f>
        <v/>
      </c>
      <c r="BS5" s="32" t="str">
        <f>+IF(BS$3="","",IF($AY5="","",IFERROR(INDEX('Data Consolidada'!$E$7:$E$891,MATCH(CONCATENATE(BS$3,"-",$CP5,"-",$AY5),'Data Consolidada'!$K$7:$K$891,0)),MAX('Data Consolidada'!$E$7:$E$3000))))</f>
        <v/>
      </c>
      <c r="BT5" s="32" t="str">
        <f>+IF(BT$3="","",IF($AY5="","",IFERROR(INDEX('Data Consolidada'!$E$7:$E$891,MATCH(CONCATENATE(BT$3,"-",$CP5,"-",$AY5),'Data Consolidada'!$K$7:$K$891,0)),MAX('Data Consolidada'!$E$7:$E$3000))))</f>
        <v/>
      </c>
      <c r="BU5" s="32" t="str">
        <f>+IF(BU$3="","",IF($AY5="","",IFERROR(INDEX('Data Consolidada'!$E$7:$E$891,MATCH(CONCATENATE(BU$3,"-",$CP5,"-",$AY5),'Data Consolidada'!$K$7:$K$891,0)),MAX('Data Consolidada'!$E$7:$E$3000))))</f>
        <v/>
      </c>
      <c r="BV5" s="32" t="str">
        <f>+IF(BV$3="","",IF($AY5="","",IFERROR(INDEX('Data Consolidada'!$E$7:$E$891,MATCH(CONCATENATE(BV$3,"-",$CP5,"-",$AY5),'Data Consolidada'!$K$7:$K$891,0)),MAX('Data Consolidada'!$E$7:$E$3000))))</f>
        <v/>
      </c>
      <c r="BW5" s="32" t="str">
        <f>+IF(BW$3="","",IF($AY5="","",IFERROR(INDEX('Data Consolidada'!$E$7:$E$891,MATCH(CONCATENATE(BW$3,"-",$CP5,"-",$AY5),'Data Consolidada'!$K$7:$K$891,0)),MAX('Data Consolidada'!$E$7:$E$3000))))</f>
        <v/>
      </c>
      <c r="BX5" s="32" t="str">
        <f>+IF(BX$3="","",IF($AY5="","",IFERROR(INDEX('Data Consolidada'!$E$7:$E$891,MATCH(CONCATENATE(BX$3,"-",$CP5,"-",$AY5),'Data Consolidada'!$K$7:$K$891,0)),MAX('Data Consolidada'!$E$7:$E$3000))))</f>
        <v/>
      </c>
      <c r="BY5" s="32" t="str">
        <f>+IF(BY$3="","",IF($AY5="","",IFERROR(INDEX('Data Consolidada'!$E$7:$E$891,MATCH(CONCATENATE(BY$3,"-",$CP5,"-",$AY5),'Data Consolidada'!$K$7:$K$891,0)),MAX('Data Consolidada'!$E$7:$E$3000))))</f>
        <v/>
      </c>
      <c r="BZ5" s="32" t="str">
        <f>+IF(BZ$3="","",IF($AY5="","",IFERROR(INDEX('Data Consolidada'!$E$7:$E$891,MATCH(CONCATENATE(BZ$3,"-",$CP5,"-",$AY5),'Data Consolidada'!$K$7:$K$891,0)),MAX('Data Consolidada'!$E$7:$E$3000))))</f>
        <v/>
      </c>
      <c r="CA5" s="32" t="str">
        <f>+IF(CA$3="","",IF($AY5="","",IFERROR(INDEX('Data Consolidada'!$E$7:$E$891,MATCH(CONCATENATE(CA$3,"-",$CP5,"-",$AY5),'Data Consolidada'!$K$7:$K$891,0)),MAX('Data Consolidada'!$E$7:$E$3000))))</f>
        <v/>
      </c>
      <c r="CB5" s="32" t="str">
        <f>+IF(CB$3="","",IF($AY5="","",IFERROR(INDEX('Data Consolidada'!$E$7:$E$891,MATCH(CONCATENATE(CB$3,"-",$CP5,"-",$AY5),'Data Consolidada'!$K$7:$K$891,0)),MAX('Data Consolidada'!$E$7:$E$3000))))</f>
        <v/>
      </c>
      <c r="CC5" s="32" t="str">
        <f>+IF(CC$3="","",IF($AY5="","",IFERROR(INDEX('Data Consolidada'!$E$7:$E$891,MATCH(CONCATENATE(CC$3,"-",$CP5,"-",$AY5),'Data Consolidada'!$K$7:$K$891,0)),MAX('Data Consolidada'!$E$7:$E$3000))))</f>
        <v/>
      </c>
      <c r="CD5" s="32" t="str">
        <f>+IF(CD$3="","",IF($AY5="","",IFERROR(INDEX('Data Consolidada'!$E$7:$E$891,MATCH(CONCATENATE(CD$3,"-",$CP5,"-",$AY5),'Data Consolidada'!$K$7:$K$891,0)),MAX('Data Consolidada'!$E$7:$E$3000))))</f>
        <v/>
      </c>
      <c r="CE5" s="32" t="str">
        <f>+IF(CE$3="","",IF($AY5="","",IFERROR(INDEX('Data Consolidada'!$E$7:$E$891,MATCH(CONCATENATE(CE$3,"-",$CP5,"-",$AY5),'Data Consolidada'!$K$7:$K$891,0)),MAX('Data Consolidada'!$E$7:$E$3000))))</f>
        <v/>
      </c>
      <c r="CF5" s="32" t="str">
        <f>+IF(CF$3="","",IF($AY5="","",IFERROR(INDEX('Data Consolidada'!$E$7:$E$891,MATCH(CONCATENATE(CF$3,"-",$CP5,"-",$AY5),'Data Consolidada'!$K$7:$K$891,0)),MAX('Data Consolidada'!$E$7:$E$3000))))</f>
        <v/>
      </c>
      <c r="CG5" s="32" t="str">
        <f>+IF(CG$3="","",IF($AY5="","",IFERROR(INDEX('Data Consolidada'!$E$7:$E$891,MATCH(CONCATENATE(CG$3,"-",$CP5,"-",$AY5),'Data Consolidada'!$K$7:$K$891,0)),MAX('Data Consolidada'!$E$7:$E$3000))))</f>
        <v/>
      </c>
      <c r="CH5" s="32" t="str">
        <f>+IF(CH$3="","",IF($AY5="","",IFERROR(INDEX('Data Consolidada'!$E$7:$E$891,MATCH(CONCATENATE(CH$3,"-",$CP5,"-",$AY5),'Data Consolidada'!$K$7:$K$891,0)),MAX('Data Consolidada'!$E$7:$E$3000))))</f>
        <v/>
      </c>
      <c r="CI5" s="32" t="str">
        <f>+IF(CI$3="","",IF($AY5="","",IFERROR(INDEX('Data Consolidada'!$E$7:$E$891,MATCH(CONCATENATE(CI$3,"-",$CP5,"-",$AY5),'Data Consolidada'!$K$7:$K$891,0)),MAX('Data Consolidada'!$E$7:$E$3000))))</f>
        <v/>
      </c>
      <c r="CJ5" s="32" t="str">
        <f>+IF(CJ$3="","",IF($AY5="","",IFERROR(INDEX('Data Consolidada'!$E$7:$E$891,MATCH(CONCATENATE(CJ$3,"-",$CP5,"-",$AY5),'Data Consolidada'!$K$7:$K$891,0)),MAX('Data Consolidada'!$E$7:$E$3000))))</f>
        <v/>
      </c>
      <c r="CK5" s="32" t="str">
        <f>+IF(CK$3="","",IF($AY5="","",IFERROR(INDEX('Data Consolidada'!$E$7:$E$891,MATCH(CONCATENATE(CK$3,"-",$CP5,"-",$AY5),'Data Consolidada'!$K$7:$K$891,0)),MAX('Data Consolidada'!$E$7:$E$3000))))</f>
        <v/>
      </c>
      <c r="CL5" s="32" t="str">
        <f>+IF(CL$3="","",IF($AY5="","",IFERROR(INDEX('Data Consolidada'!$E$7:$E$891,MATCH(CONCATENATE(CL$3,"-",$CP5,"-",$AY5),'Data Consolidada'!$K$7:$K$891,0)),MAX('Data Consolidada'!$E$7:$E$3000))))</f>
        <v/>
      </c>
      <c r="CM5" s="32" t="str">
        <f>+IF(CM$3="","",IF($AY5="","",IFERROR(INDEX('Data Consolidada'!$E$7:$E$891,MATCH(CONCATENATE(CM$3,"-",$CP5,"-",$AY5),'Data Consolidada'!$K$7:$K$891,0)),MAX('Data Consolidada'!$E$7:$E$3000))))</f>
        <v/>
      </c>
      <c r="CN5" s="32" t="str">
        <f>+IF(CN$3="","",IF($AY5="","",IFERROR(INDEX('Data Consolidada'!$E$7:$E$891,MATCH(CONCATENATE(CN$3,"-",$CP5,"-",$AY5),'Data Consolidada'!$K$7:$K$891,0)),MAX('Data Consolidada'!$E$7:$E$3000))))</f>
        <v/>
      </c>
      <c r="CO5" s="37" t="str">
        <f>+IF(CO$3="","",IF($AY5="","",IFERROR(INDEX('Data Consolidada'!$E$7:$E$891,MATCH(CONCATENATE(CO$3,"-",$CP5,"-",$AY5),'Data Consolidada'!$K$7:$K$891,0)),MAX('Data Consolidada'!$E$7:$E$3000))))</f>
        <v/>
      </c>
      <c r="CP5" s="224" t="str">
        <f t="shared" ref="CP5:CP68" ca="1" si="2">+IF(AW5="","",OFFSET($D$9,AW5,0))</f>
        <v>MOSTAZAL</v>
      </c>
      <c r="CQ5" s="84" t="str">
        <f t="shared" ref="CQ5:CQ68" ca="1" si="3">+IF(CP5="","",CONCATENATE(AY5,CP5))</f>
        <v>CRISTIAN LÓPEZ MOSTAZAL</v>
      </c>
    </row>
    <row r="6" spans="2:95" ht="15" customHeight="1" thickBot="1" x14ac:dyDescent="0.4">
      <c r="B6" s="48"/>
      <c r="C6" s="347"/>
      <c r="D6" s="347"/>
      <c r="E6" s="347"/>
      <c r="F6" s="347"/>
      <c r="G6" s="206">
        <v>66</v>
      </c>
      <c r="I6" s="200" t="s">
        <v>158</v>
      </c>
      <c r="J6" s="210">
        <v>16000</v>
      </c>
      <c r="L6" s="22" t="s">
        <v>174</v>
      </c>
      <c r="M6" s="261">
        <f ca="1">+SUMPRODUCT(C72:AR217,AZ4:CO149)</f>
        <v>0</v>
      </c>
      <c r="O6" s="27"/>
      <c r="P6" s="27"/>
      <c r="Q6" s="27"/>
      <c r="R6" s="27" t="s">
        <v>167</v>
      </c>
      <c r="S6" s="211">
        <f ca="1">+SUM(AC10:AC68)</f>
        <v>0</v>
      </c>
      <c r="T6" s="27"/>
      <c r="U6" s="27"/>
      <c r="V6" s="27"/>
      <c r="W6" s="27"/>
      <c r="X6" s="27"/>
      <c r="Y6" s="27"/>
      <c r="AF6" s="14"/>
      <c r="AG6" s="204"/>
      <c r="AH6" s="228"/>
      <c r="AI6" s="196"/>
      <c r="AJ6" s="196"/>
      <c r="AK6" s="196"/>
      <c r="AL6" s="196"/>
      <c r="AM6" s="196"/>
      <c r="AN6" s="196"/>
      <c r="AO6" s="196"/>
      <c r="AP6" s="196"/>
      <c r="AQ6" s="196"/>
      <c r="AR6" s="196"/>
      <c r="AS6" s="196"/>
      <c r="AT6" s="196"/>
      <c r="AU6" s="229"/>
      <c r="AV6" s="80"/>
      <c r="AW6" s="13">
        <f>+IF(AX6="","",IF(AX6&gt;AX5,AW5,IF(AW5&lt;$D$69,AW5+1,IF(COUNT(AW$4:AW5)&lt;$B$69*$E$54,1,""))))</f>
        <v>1</v>
      </c>
      <c r="AX6" s="13">
        <f>+IF(AX5&lt;$B$69,AX5+1,IF(COUNT(AX$4:AX5)&lt;$B$69*$D$69,1,""))</f>
        <v>3</v>
      </c>
      <c r="AY6" s="189" t="str">
        <f t="shared" ca="1" si="1"/>
        <v xml:space="preserve">GUSTAVO ZÚÑIGA </v>
      </c>
      <c r="AZ6" s="36">
        <f ca="1">+IF(AZ$3="","",IF($AY6="","",IFERROR(INDEX('Data Consolidada'!$E$7:$E$891,MATCH(CONCATENATE(AZ$3,"-",$CP6,"-",$AY6),'Data Consolidada'!$K$7:$K$891,0)),MAX('Data Consolidada'!$E$7:$E$3000))))</f>
        <v>11000000</v>
      </c>
      <c r="BA6" s="32">
        <f ca="1">+IF(BA$3="","",IF($AY6="","",IFERROR(INDEX('Data Consolidada'!$E$7:$E$891,MATCH(CONCATENATE(BA$3,"-",$CP6,"-",$AY6),'Data Consolidada'!$K$7:$K$891,0)),MAX('Data Consolidada'!$E$7:$E$3000))))</f>
        <v>480000</v>
      </c>
      <c r="BB6" s="32" t="str">
        <f>+IF(BB$3="","",IF($AY6="","",IFERROR(INDEX('Data Consolidada'!$E$7:$E$891,MATCH(CONCATENATE(BB$3,"-",$CP6,"-",$AY6),'Data Consolidada'!$K$7:$K$891,0)),MAX('Data Consolidada'!$E$7:$E$3000))))</f>
        <v/>
      </c>
      <c r="BC6" s="32" t="str">
        <f>+IF(BC$3="","",IF($AY6="","",IFERROR(INDEX('Data Consolidada'!$E$7:$E$891,MATCH(CONCATENATE(BC$3,"-",$CP6,"-",$AY6),'Data Consolidada'!$K$7:$K$891,0)),MAX('Data Consolidada'!$E$7:$E$3000))))</f>
        <v/>
      </c>
      <c r="BD6" s="32" t="str">
        <f>+IF(BD$3="","",IF($AY6="","",IFERROR(INDEX('Data Consolidada'!$E$7:$E$891,MATCH(CONCATENATE(BD$3,"-",$CP6,"-",$AY6),'Data Consolidada'!$K$7:$K$891,0)),MAX('Data Consolidada'!$E$7:$E$3000))))</f>
        <v/>
      </c>
      <c r="BE6" s="32" t="str">
        <f>+IF(BE$3="","",IF($AY6="","",IFERROR(INDEX('Data Consolidada'!$E$7:$E$891,MATCH(CONCATENATE(BE$3,"-",$CP6,"-",$AY6),'Data Consolidada'!$K$7:$K$891,0)),MAX('Data Consolidada'!$E$7:$E$3000))))</f>
        <v/>
      </c>
      <c r="BF6" s="32" t="str">
        <f>+IF(BF$3="","",IF($AY6="","",IFERROR(INDEX('Data Consolidada'!$E$7:$E$891,MATCH(CONCATENATE(BF$3,"-",$CP6,"-",$AY6),'Data Consolidada'!$K$7:$K$891,0)),MAX('Data Consolidada'!$E$7:$E$3000))))</f>
        <v/>
      </c>
      <c r="BG6" s="32" t="str">
        <f>+IF(BG$3="","",IF($AY6="","",IFERROR(INDEX('Data Consolidada'!$E$7:$E$891,MATCH(CONCATENATE(BG$3,"-",$CP6,"-",$AY6),'Data Consolidada'!$K$7:$K$891,0)),MAX('Data Consolidada'!$E$7:$E$3000))))</f>
        <v/>
      </c>
      <c r="BH6" s="32" t="str">
        <f>+IF(BH$3="","",IF($AY6="","",IFERROR(INDEX('Data Consolidada'!$E$7:$E$891,MATCH(CONCATENATE(BH$3,"-",$CP6,"-",$AY6),'Data Consolidada'!$K$7:$K$891,0)),MAX('Data Consolidada'!$E$7:$E$3000))))</f>
        <v/>
      </c>
      <c r="BI6" s="32" t="str">
        <f>+IF(BI$3="","",IF($AY6="","",IFERROR(INDEX('Data Consolidada'!$E$7:$E$891,MATCH(CONCATENATE(BI$3,"-",$CP6,"-",$AY6),'Data Consolidada'!$K$7:$K$891,0)),MAX('Data Consolidada'!$E$7:$E$3000))))</f>
        <v/>
      </c>
      <c r="BJ6" s="32" t="str">
        <f>+IF(BJ$3="","",IF($AY6="","",IFERROR(INDEX('Data Consolidada'!$E$7:$E$891,MATCH(CONCATENATE(BJ$3,"-",$CP6,"-",$AY6),'Data Consolidada'!$K$7:$K$891,0)),MAX('Data Consolidada'!$E$7:$E$3000))))</f>
        <v/>
      </c>
      <c r="BK6" s="32" t="str">
        <f>+IF(BK$3="","",IF($AY6="","",IFERROR(INDEX('Data Consolidada'!$E$7:$E$891,MATCH(CONCATENATE(BK$3,"-",$CP6,"-",$AY6),'Data Consolidada'!$K$7:$K$891,0)),MAX('Data Consolidada'!$E$7:$E$3000))))</f>
        <v/>
      </c>
      <c r="BL6" s="32" t="str">
        <f>+IF(BL$3="","",IF($AY6="","",IFERROR(INDEX('Data Consolidada'!$E$7:$E$891,MATCH(CONCATENATE(BL$3,"-",$CP6,"-",$AY6),'Data Consolidada'!$K$7:$K$891,0)),MAX('Data Consolidada'!$E$7:$E$3000))))</f>
        <v/>
      </c>
      <c r="BM6" s="32" t="str">
        <f>+IF(BM$3="","",IF($AY6="","",IFERROR(INDEX('Data Consolidada'!$E$7:$E$891,MATCH(CONCATENATE(BM$3,"-",$CP6,"-",$AY6),'Data Consolidada'!$K$7:$K$891,0)),MAX('Data Consolidada'!$E$7:$E$3000))))</f>
        <v/>
      </c>
      <c r="BN6" s="32" t="str">
        <f>+IF(BN$3="","",IF($AY6="","",IFERROR(INDEX('Data Consolidada'!$E$7:$E$891,MATCH(CONCATENATE(BN$3,"-",$CP6,"-",$AY6),'Data Consolidada'!$K$7:$K$891,0)),MAX('Data Consolidada'!$E$7:$E$3000))))</f>
        <v/>
      </c>
      <c r="BO6" s="32" t="str">
        <f>+IF(BO$3="","",IF($AY6="","",IFERROR(INDEX('Data Consolidada'!$E$7:$E$891,MATCH(CONCATENATE(BO$3,"-",$CP6,"-",$AY6),'Data Consolidada'!$K$7:$K$891,0)),MAX('Data Consolidada'!$E$7:$E$3000))))</f>
        <v/>
      </c>
      <c r="BP6" s="32" t="str">
        <f>+IF(BP$3="","",IF($AY6="","",IFERROR(INDEX('Data Consolidada'!$E$7:$E$891,MATCH(CONCATENATE(BP$3,"-",$CP6,"-",$AY6),'Data Consolidada'!$K$7:$K$891,0)),MAX('Data Consolidada'!$E$7:$E$3000))))</f>
        <v/>
      </c>
      <c r="BQ6" s="32" t="str">
        <f>+IF(BQ$3="","",IF($AY6="","",IFERROR(INDEX('Data Consolidada'!$E$7:$E$891,MATCH(CONCATENATE(BQ$3,"-",$CP6,"-",$AY6),'Data Consolidada'!$K$7:$K$891,0)),MAX('Data Consolidada'!$E$7:$E$3000))))</f>
        <v/>
      </c>
      <c r="BR6" s="32" t="str">
        <f>+IF(BR$3="","",IF($AY6="","",IFERROR(INDEX('Data Consolidada'!$E$7:$E$891,MATCH(CONCATENATE(BR$3,"-",$CP6,"-",$AY6),'Data Consolidada'!$K$7:$K$891,0)),MAX('Data Consolidada'!$E$7:$E$3000))))</f>
        <v/>
      </c>
      <c r="BS6" s="32" t="str">
        <f>+IF(BS$3="","",IF($AY6="","",IFERROR(INDEX('Data Consolidada'!$E$7:$E$891,MATCH(CONCATENATE(BS$3,"-",$CP6,"-",$AY6),'Data Consolidada'!$K$7:$K$891,0)),MAX('Data Consolidada'!$E$7:$E$3000))))</f>
        <v/>
      </c>
      <c r="BT6" s="32" t="str">
        <f>+IF(BT$3="","",IF($AY6="","",IFERROR(INDEX('Data Consolidada'!$E$7:$E$891,MATCH(CONCATENATE(BT$3,"-",$CP6,"-",$AY6),'Data Consolidada'!$K$7:$K$891,0)),MAX('Data Consolidada'!$E$7:$E$3000))))</f>
        <v/>
      </c>
      <c r="BU6" s="32" t="str">
        <f>+IF(BU$3="","",IF($AY6="","",IFERROR(INDEX('Data Consolidada'!$E$7:$E$891,MATCH(CONCATENATE(BU$3,"-",$CP6,"-",$AY6),'Data Consolidada'!$K$7:$K$891,0)),MAX('Data Consolidada'!$E$7:$E$3000))))</f>
        <v/>
      </c>
      <c r="BV6" s="32" t="str">
        <f>+IF(BV$3="","",IF($AY6="","",IFERROR(INDEX('Data Consolidada'!$E$7:$E$891,MATCH(CONCATENATE(BV$3,"-",$CP6,"-",$AY6),'Data Consolidada'!$K$7:$K$891,0)),MAX('Data Consolidada'!$E$7:$E$3000))))</f>
        <v/>
      </c>
      <c r="BW6" s="32" t="str">
        <f>+IF(BW$3="","",IF($AY6="","",IFERROR(INDEX('Data Consolidada'!$E$7:$E$891,MATCH(CONCATENATE(BW$3,"-",$CP6,"-",$AY6),'Data Consolidada'!$K$7:$K$891,0)),MAX('Data Consolidada'!$E$7:$E$3000))))</f>
        <v/>
      </c>
      <c r="BX6" s="32" t="str">
        <f>+IF(BX$3="","",IF($AY6="","",IFERROR(INDEX('Data Consolidada'!$E$7:$E$891,MATCH(CONCATENATE(BX$3,"-",$CP6,"-",$AY6),'Data Consolidada'!$K$7:$K$891,0)),MAX('Data Consolidada'!$E$7:$E$3000))))</f>
        <v/>
      </c>
      <c r="BY6" s="32" t="str">
        <f>+IF(BY$3="","",IF($AY6="","",IFERROR(INDEX('Data Consolidada'!$E$7:$E$891,MATCH(CONCATENATE(BY$3,"-",$CP6,"-",$AY6),'Data Consolidada'!$K$7:$K$891,0)),MAX('Data Consolidada'!$E$7:$E$3000))))</f>
        <v/>
      </c>
      <c r="BZ6" s="32" t="str">
        <f>+IF(BZ$3="","",IF($AY6="","",IFERROR(INDEX('Data Consolidada'!$E$7:$E$891,MATCH(CONCATENATE(BZ$3,"-",$CP6,"-",$AY6),'Data Consolidada'!$K$7:$K$891,0)),MAX('Data Consolidada'!$E$7:$E$3000))))</f>
        <v/>
      </c>
      <c r="CA6" s="32" t="str">
        <f>+IF(CA$3="","",IF($AY6="","",IFERROR(INDEX('Data Consolidada'!$E$7:$E$891,MATCH(CONCATENATE(CA$3,"-",$CP6,"-",$AY6),'Data Consolidada'!$K$7:$K$891,0)),MAX('Data Consolidada'!$E$7:$E$3000))))</f>
        <v/>
      </c>
      <c r="CB6" s="32" t="str">
        <f>+IF(CB$3="","",IF($AY6="","",IFERROR(INDEX('Data Consolidada'!$E$7:$E$891,MATCH(CONCATENATE(CB$3,"-",$CP6,"-",$AY6),'Data Consolidada'!$K$7:$K$891,0)),MAX('Data Consolidada'!$E$7:$E$3000))))</f>
        <v/>
      </c>
      <c r="CC6" s="32" t="str">
        <f>+IF(CC$3="","",IF($AY6="","",IFERROR(INDEX('Data Consolidada'!$E$7:$E$891,MATCH(CONCATENATE(CC$3,"-",$CP6,"-",$AY6),'Data Consolidada'!$K$7:$K$891,0)),MAX('Data Consolidada'!$E$7:$E$3000))))</f>
        <v/>
      </c>
      <c r="CD6" s="32" t="str">
        <f>+IF(CD$3="","",IF($AY6="","",IFERROR(INDEX('Data Consolidada'!$E$7:$E$891,MATCH(CONCATENATE(CD$3,"-",$CP6,"-",$AY6),'Data Consolidada'!$K$7:$K$891,0)),MAX('Data Consolidada'!$E$7:$E$3000))))</f>
        <v/>
      </c>
      <c r="CE6" s="32" t="str">
        <f>+IF(CE$3="","",IF($AY6="","",IFERROR(INDEX('Data Consolidada'!$E$7:$E$891,MATCH(CONCATENATE(CE$3,"-",$CP6,"-",$AY6),'Data Consolidada'!$K$7:$K$891,0)),MAX('Data Consolidada'!$E$7:$E$3000))))</f>
        <v/>
      </c>
      <c r="CF6" s="32" t="str">
        <f>+IF(CF$3="","",IF($AY6="","",IFERROR(INDEX('Data Consolidada'!$E$7:$E$891,MATCH(CONCATENATE(CF$3,"-",$CP6,"-",$AY6),'Data Consolidada'!$K$7:$K$891,0)),MAX('Data Consolidada'!$E$7:$E$3000))))</f>
        <v/>
      </c>
      <c r="CG6" s="32" t="str">
        <f>+IF(CG$3="","",IF($AY6="","",IFERROR(INDEX('Data Consolidada'!$E$7:$E$891,MATCH(CONCATENATE(CG$3,"-",$CP6,"-",$AY6),'Data Consolidada'!$K$7:$K$891,0)),MAX('Data Consolidada'!$E$7:$E$3000))))</f>
        <v/>
      </c>
      <c r="CH6" s="32" t="str">
        <f>+IF(CH$3="","",IF($AY6="","",IFERROR(INDEX('Data Consolidada'!$E$7:$E$891,MATCH(CONCATENATE(CH$3,"-",$CP6,"-",$AY6),'Data Consolidada'!$K$7:$K$891,0)),MAX('Data Consolidada'!$E$7:$E$3000))))</f>
        <v/>
      </c>
      <c r="CI6" s="32" t="str">
        <f>+IF(CI$3="","",IF($AY6="","",IFERROR(INDEX('Data Consolidada'!$E$7:$E$891,MATCH(CONCATENATE(CI$3,"-",$CP6,"-",$AY6),'Data Consolidada'!$K$7:$K$891,0)),MAX('Data Consolidada'!$E$7:$E$3000))))</f>
        <v/>
      </c>
      <c r="CJ6" s="32" t="str">
        <f>+IF(CJ$3="","",IF($AY6="","",IFERROR(INDEX('Data Consolidada'!$E$7:$E$891,MATCH(CONCATENATE(CJ$3,"-",$CP6,"-",$AY6),'Data Consolidada'!$K$7:$K$891,0)),MAX('Data Consolidada'!$E$7:$E$3000))))</f>
        <v/>
      </c>
      <c r="CK6" s="32" t="str">
        <f>+IF(CK$3="","",IF($AY6="","",IFERROR(INDEX('Data Consolidada'!$E$7:$E$891,MATCH(CONCATENATE(CK$3,"-",$CP6,"-",$AY6),'Data Consolidada'!$K$7:$K$891,0)),MAX('Data Consolidada'!$E$7:$E$3000))))</f>
        <v/>
      </c>
      <c r="CL6" s="32" t="str">
        <f>+IF(CL$3="","",IF($AY6="","",IFERROR(INDEX('Data Consolidada'!$E$7:$E$891,MATCH(CONCATENATE(CL$3,"-",$CP6,"-",$AY6),'Data Consolidada'!$K$7:$K$891,0)),MAX('Data Consolidada'!$E$7:$E$3000))))</f>
        <v/>
      </c>
      <c r="CM6" s="32" t="str">
        <f>+IF(CM$3="","",IF($AY6="","",IFERROR(INDEX('Data Consolidada'!$E$7:$E$891,MATCH(CONCATENATE(CM$3,"-",$CP6,"-",$AY6),'Data Consolidada'!$K$7:$K$891,0)),MAX('Data Consolidada'!$E$7:$E$3000))))</f>
        <v/>
      </c>
      <c r="CN6" s="32" t="str">
        <f>+IF(CN$3="","",IF($AY6="","",IFERROR(INDEX('Data Consolidada'!$E$7:$E$891,MATCH(CONCATENATE(CN$3,"-",$CP6,"-",$AY6),'Data Consolidada'!$K$7:$K$891,0)),MAX('Data Consolidada'!$E$7:$E$3000))))</f>
        <v/>
      </c>
      <c r="CO6" s="37" t="str">
        <f>+IF(CO$3="","",IF($AY6="","",IFERROR(INDEX('Data Consolidada'!$E$7:$E$891,MATCH(CONCATENATE(CO$3,"-",$CP6,"-",$AY6),'Data Consolidada'!$K$7:$K$891,0)),MAX('Data Consolidada'!$E$7:$E$3000))))</f>
        <v/>
      </c>
      <c r="CP6" s="224" t="str">
        <f t="shared" ca="1" si="2"/>
        <v>MOSTAZAL</v>
      </c>
      <c r="CQ6" s="84" t="str">
        <f t="shared" ca="1" si="3"/>
        <v>GUSTAVO ZÚÑIGA MOSTAZAL</v>
      </c>
    </row>
    <row r="7" spans="2:95" ht="15" customHeight="1" thickBot="1" x14ac:dyDescent="0.4">
      <c r="B7" s="209" t="s">
        <v>159</v>
      </c>
      <c r="G7" s="207">
        <v>24</v>
      </c>
      <c r="I7" s="27"/>
      <c r="L7" s="22" t="s">
        <v>172</v>
      </c>
      <c r="M7" s="262">
        <f ca="1">+SUM(AB10:AB68)</f>
        <v>0</v>
      </c>
      <c r="O7" s="348" t="s">
        <v>17</v>
      </c>
      <c r="P7" s="349"/>
      <c r="R7" t="s">
        <v>168</v>
      </c>
      <c r="S7" s="209">
        <v>8</v>
      </c>
      <c r="T7" s="27"/>
      <c r="U7" s="27"/>
      <c r="V7" s="27"/>
      <c r="W7" s="27"/>
      <c r="X7" s="27"/>
      <c r="Y7" s="27"/>
      <c r="AF7" s="14"/>
      <c r="AG7" s="204"/>
      <c r="AH7" s="228"/>
      <c r="AI7" s="196"/>
      <c r="AJ7" s="196"/>
      <c r="AK7" s="196"/>
      <c r="AL7" s="196"/>
      <c r="AM7" s="196"/>
      <c r="AN7" s="196"/>
      <c r="AO7" s="196"/>
      <c r="AP7" s="196"/>
      <c r="AQ7" s="196"/>
      <c r="AR7" s="196"/>
      <c r="AS7" s="196"/>
      <c r="AT7" s="196"/>
      <c r="AU7" s="229"/>
      <c r="AV7" s="80"/>
      <c r="AW7" s="13">
        <f>+IF(AX7="","",IF(AX7&gt;AX6,AW6,IF(AW6&lt;$D$69,AW6+1,IF(COUNT(AW$4:AW6)&lt;$B$69*$E$54,1,""))))</f>
        <v>1</v>
      </c>
      <c r="AX7" s="13">
        <f>+IF(AX6&lt;$B$69,AX6+1,IF(COUNT(AX$4:AX6)&lt;$B$69*$D$69,1,""))</f>
        <v>4</v>
      </c>
      <c r="AY7" s="189" t="str">
        <f t="shared" ca="1" si="1"/>
        <v>LAVALLE</v>
      </c>
      <c r="AZ7" s="36">
        <f ca="1">+IF(AZ$3="","",IF($AY7="","",IFERROR(INDEX('Data Consolidada'!$E$7:$E$891,MATCH(CONCATENATE(AZ$3,"-",$CP7,"-",$AY7),'Data Consolidada'!$K$7:$K$891,0)),MAX('Data Consolidada'!$E$7:$E$3000))))</f>
        <v>11000000</v>
      </c>
      <c r="BA7" s="32">
        <f ca="1">+IF(BA$3="","",IF($AY7="","",IFERROR(INDEX('Data Consolidada'!$E$7:$E$891,MATCH(CONCATENATE(BA$3,"-",$CP7,"-",$AY7),'Data Consolidada'!$K$7:$K$891,0)),MAX('Data Consolidada'!$E$7:$E$3000))))</f>
        <v>11000000</v>
      </c>
      <c r="BB7" s="32" t="str">
        <f>+IF(BB$3="","",IF($AY7="","",IFERROR(INDEX('Data Consolidada'!$E$7:$E$891,MATCH(CONCATENATE(BB$3,"-",$CP7,"-",$AY7),'Data Consolidada'!$K$7:$K$891,0)),MAX('Data Consolidada'!$E$7:$E$3000))))</f>
        <v/>
      </c>
      <c r="BC7" s="32" t="str">
        <f>+IF(BC$3="","",IF($AY7="","",IFERROR(INDEX('Data Consolidada'!$E$7:$E$891,MATCH(CONCATENATE(BC$3,"-",$CP7,"-",$AY7),'Data Consolidada'!$K$7:$K$891,0)),MAX('Data Consolidada'!$E$7:$E$3000))))</f>
        <v/>
      </c>
      <c r="BD7" s="32" t="str">
        <f>+IF(BD$3="","",IF($AY7="","",IFERROR(INDEX('Data Consolidada'!$E$7:$E$891,MATCH(CONCATENATE(BD$3,"-",$CP7,"-",$AY7),'Data Consolidada'!$K$7:$K$891,0)),MAX('Data Consolidada'!$E$7:$E$3000))))</f>
        <v/>
      </c>
      <c r="BE7" s="32" t="str">
        <f>+IF(BE$3="","",IF($AY7="","",IFERROR(INDEX('Data Consolidada'!$E$7:$E$891,MATCH(CONCATENATE(BE$3,"-",$CP7,"-",$AY7),'Data Consolidada'!$K$7:$K$891,0)),MAX('Data Consolidada'!$E$7:$E$3000))))</f>
        <v/>
      </c>
      <c r="BF7" s="32" t="str">
        <f>+IF(BF$3="","",IF($AY7="","",IFERROR(INDEX('Data Consolidada'!$E$7:$E$891,MATCH(CONCATENATE(BF$3,"-",$CP7,"-",$AY7),'Data Consolidada'!$K$7:$K$891,0)),MAX('Data Consolidada'!$E$7:$E$3000))))</f>
        <v/>
      </c>
      <c r="BG7" s="32" t="str">
        <f>+IF(BG$3="","",IF($AY7="","",IFERROR(INDEX('Data Consolidada'!$E$7:$E$891,MATCH(CONCATENATE(BG$3,"-",$CP7,"-",$AY7),'Data Consolidada'!$K$7:$K$891,0)),MAX('Data Consolidada'!$E$7:$E$3000))))</f>
        <v/>
      </c>
      <c r="BH7" s="32" t="str">
        <f>+IF(BH$3="","",IF($AY7="","",IFERROR(INDEX('Data Consolidada'!$E$7:$E$891,MATCH(CONCATENATE(BH$3,"-",$CP7,"-",$AY7),'Data Consolidada'!$K$7:$K$891,0)),MAX('Data Consolidada'!$E$7:$E$3000))))</f>
        <v/>
      </c>
      <c r="BI7" s="32" t="str">
        <f>+IF(BI$3="","",IF($AY7="","",IFERROR(INDEX('Data Consolidada'!$E$7:$E$891,MATCH(CONCATENATE(BI$3,"-",$CP7,"-",$AY7),'Data Consolidada'!$K$7:$K$891,0)),MAX('Data Consolidada'!$E$7:$E$3000))))</f>
        <v/>
      </c>
      <c r="BJ7" s="32" t="str">
        <f>+IF(BJ$3="","",IF($AY7="","",IFERROR(INDEX('Data Consolidada'!$E$7:$E$891,MATCH(CONCATENATE(BJ$3,"-",$CP7,"-",$AY7),'Data Consolidada'!$K$7:$K$891,0)),MAX('Data Consolidada'!$E$7:$E$3000))))</f>
        <v/>
      </c>
      <c r="BK7" s="32" t="str">
        <f>+IF(BK$3="","",IF($AY7="","",IFERROR(INDEX('Data Consolidada'!$E$7:$E$891,MATCH(CONCATENATE(BK$3,"-",$CP7,"-",$AY7),'Data Consolidada'!$K$7:$K$891,0)),MAX('Data Consolidada'!$E$7:$E$3000))))</f>
        <v/>
      </c>
      <c r="BL7" s="32" t="str">
        <f>+IF(BL$3="","",IF($AY7="","",IFERROR(INDEX('Data Consolidada'!$E$7:$E$891,MATCH(CONCATENATE(BL$3,"-",$CP7,"-",$AY7),'Data Consolidada'!$K$7:$K$891,0)),MAX('Data Consolidada'!$E$7:$E$3000))))</f>
        <v/>
      </c>
      <c r="BM7" s="32" t="str">
        <f>+IF(BM$3="","",IF($AY7="","",IFERROR(INDEX('Data Consolidada'!$E$7:$E$891,MATCH(CONCATENATE(BM$3,"-",$CP7,"-",$AY7),'Data Consolidada'!$K$7:$K$891,0)),MAX('Data Consolidada'!$E$7:$E$3000))))</f>
        <v/>
      </c>
      <c r="BN7" s="32" t="str">
        <f>+IF(BN$3="","",IF($AY7="","",IFERROR(INDEX('Data Consolidada'!$E$7:$E$891,MATCH(CONCATENATE(BN$3,"-",$CP7,"-",$AY7),'Data Consolidada'!$K$7:$K$891,0)),MAX('Data Consolidada'!$E$7:$E$3000))))</f>
        <v/>
      </c>
      <c r="BO7" s="32" t="str">
        <f>+IF(BO$3="","",IF($AY7="","",IFERROR(INDEX('Data Consolidada'!$E$7:$E$891,MATCH(CONCATENATE(BO$3,"-",$CP7,"-",$AY7),'Data Consolidada'!$K$7:$K$891,0)),MAX('Data Consolidada'!$E$7:$E$3000))))</f>
        <v/>
      </c>
      <c r="BP7" s="32" t="str">
        <f>+IF(BP$3="","",IF($AY7="","",IFERROR(INDEX('Data Consolidada'!$E$7:$E$891,MATCH(CONCATENATE(BP$3,"-",$CP7,"-",$AY7),'Data Consolidada'!$K$7:$K$891,0)),MAX('Data Consolidada'!$E$7:$E$3000))))</f>
        <v/>
      </c>
      <c r="BQ7" s="32" t="str">
        <f>+IF(BQ$3="","",IF($AY7="","",IFERROR(INDEX('Data Consolidada'!$E$7:$E$891,MATCH(CONCATENATE(BQ$3,"-",$CP7,"-",$AY7),'Data Consolidada'!$K$7:$K$891,0)),MAX('Data Consolidada'!$E$7:$E$3000))))</f>
        <v/>
      </c>
      <c r="BR7" s="32" t="str">
        <f>+IF(BR$3="","",IF($AY7="","",IFERROR(INDEX('Data Consolidada'!$E$7:$E$891,MATCH(CONCATENATE(BR$3,"-",$CP7,"-",$AY7),'Data Consolidada'!$K$7:$K$891,0)),MAX('Data Consolidada'!$E$7:$E$3000))))</f>
        <v/>
      </c>
      <c r="BS7" s="32" t="str">
        <f>+IF(BS$3="","",IF($AY7="","",IFERROR(INDEX('Data Consolidada'!$E$7:$E$891,MATCH(CONCATENATE(BS$3,"-",$CP7,"-",$AY7),'Data Consolidada'!$K$7:$K$891,0)),MAX('Data Consolidada'!$E$7:$E$3000))))</f>
        <v/>
      </c>
      <c r="BT7" s="32" t="str">
        <f>+IF(BT$3="","",IF($AY7="","",IFERROR(INDEX('Data Consolidada'!$E$7:$E$891,MATCH(CONCATENATE(BT$3,"-",$CP7,"-",$AY7),'Data Consolidada'!$K$7:$K$891,0)),MAX('Data Consolidada'!$E$7:$E$3000))))</f>
        <v/>
      </c>
      <c r="BU7" s="32" t="str">
        <f>+IF(BU$3="","",IF($AY7="","",IFERROR(INDEX('Data Consolidada'!$E$7:$E$891,MATCH(CONCATENATE(BU$3,"-",$CP7,"-",$AY7),'Data Consolidada'!$K$7:$K$891,0)),MAX('Data Consolidada'!$E$7:$E$3000))))</f>
        <v/>
      </c>
      <c r="BV7" s="32" t="str">
        <f>+IF(BV$3="","",IF($AY7="","",IFERROR(INDEX('Data Consolidada'!$E$7:$E$891,MATCH(CONCATENATE(BV$3,"-",$CP7,"-",$AY7),'Data Consolidada'!$K$7:$K$891,0)),MAX('Data Consolidada'!$E$7:$E$3000))))</f>
        <v/>
      </c>
      <c r="BW7" s="32" t="str">
        <f>+IF(BW$3="","",IF($AY7="","",IFERROR(INDEX('Data Consolidada'!$E$7:$E$891,MATCH(CONCATENATE(BW$3,"-",$CP7,"-",$AY7),'Data Consolidada'!$K$7:$K$891,0)),MAX('Data Consolidada'!$E$7:$E$3000))))</f>
        <v/>
      </c>
      <c r="BX7" s="32" t="str">
        <f>+IF(BX$3="","",IF($AY7="","",IFERROR(INDEX('Data Consolidada'!$E$7:$E$891,MATCH(CONCATENATE(BX$3,"-",$CP7,"-",$AY7),'Data Consolidada'!$K$7:$K$891,0)),MAX('Data Consolidada'!$E$7:$E$3000))))</f>
        <v/>
      </c>
      <c r="BY7" s="32" t="str">
        <f>+IF(BY$3="","",IF($AY7="","",IFERROR(INDEX('Data Consolidada'!$E$7:$E$891,MATCH(CONCATENATE(BY$3,"-",$CP7,"-",$AY7),'Data Consolidada'!$K$7:$K$891,0)),MAX('Data Consolidada'!$E$7:$E$3000))))</f>
        <v/>
      </c>
      <c r="BZ7" s="32" t="str">
        <f>+IF(BZ$3="","",IF($AY7="","",IFERROR(INDEX('Data Consolidada'!$E$7:$E$891,MATCH(CONCATENATE(BZ$3,"-",$CP7,"-",$AY7),'Data Consolidada'!$K$7:$K$891,0)),MAX('Data Consolidada'!$E$7:$E$3000))))</f>
        <v/>
      </c>
      <c r="CA7" s="32" t="str">
        <f>+IF(CA$3="","",IF($AY7="","",IFERROR(INDEX('Data Consolidada'!$E$7:$E$891,MATCH(CONCATENATE(CA$3,"-",$CP7,"-",$AY7),'Data Consolidada'!$K$7:$K$891,0)),MAX('Data Consolidada'!$E$7:$E$3000))))</f>
        <v/>
      </c>
      <c r="CB7" s="32" t="str">
        <f>+IF(CB$3="","",IF($AY7="","",IFERROR(INDEX('Data Consolidada'!$E$7:$E$891,MATCH(CONCATENATE(CB$3,"-",$CP7,"-",$AY7),'Data Consolidada'!$K$7:$K$891,0)),MAX('Data Consolidada'!$E$7:$E$3000))))</f>
        <v/>
      </c>
      <c r="CC7" s="32" t="str">
        <f>+IF(CC$3="","",IF($AY7="","",IFERROR(INDEX('Data Consolidada'!$E$7:$E$891,MATCH(CONCATENATE(CC$3,"-",$CP7,"-",$AY7),'Data Consolidada'!$K$7:$K$891,0)),MAX('Data Consolidada'!$E$7:$E$3000))))</f>
        <v/>
      </c>
      <c r="CD7" s="32" t="str">
        <f>+IF(CD$3="","",IF($AY7="","",IFERROR(INDEX('Data Consolidada'!$E$7:$E$891,MATCH(CONCATENATE(CD$3,"-",$CP7,"-",$AY7),'Data Consolidada'!$K$7:$K$891,0)),MAX('Data Consolidada'!$E$7:$E$3000))))</f>
        <v/>
      </c>
      <c r="CE7" s="32" t="str">
        <f>+IF(CE$3="","",IF($AY7="","",IFERROR(INDEX('Data Consolidada'!$E$7:$E$891,MATCH(CONCATENATE(CE$3,"-",$CP7,"-",$AY7),'Data Consolidada'!$K$7:$K$891,0)),MAX('Data Consolidada'!$E$7:$E$3000))))</f>
        <v/>
      </c>
      <c r="CF7" s="32" t="str">
        <f>+IF(CF$3="","",IF($AY7="","",IFERROR(INDEX('Data Consolidada'!$E$7:$E$891,MATCH(CONCATENATE(CF$3,"-",$CP7,"-",$AY7),'Data Consolidada'!$K$7:$K$891,0)),MAX('Data Consolidada'!$E$7:$E$3000))))</f>
        <v/>
      </c>
      <c r="CG7" s="32" t="str">
        <f>+IF(CG$3="","",IF($AY7="","",IFERROR(INDEX('Data Consolidada'!$E$7:$E$891,MATCH(CONCATENATE(CG$3,"-",$CP7,"-",$AY7),'Data Consolidada'!$K$7:$K$891,0)),MAX('Data Consolidada'!$E$7:$E$3000))))</f>
        <v/>
      </c>
      <c r="CH7" s="32" t="str">
        <f>+IF(CH$3="","",IF($AY7="","",IFERROR(INDEX('Data Consolidada'!$E$7:$E$891,MATCH(CONCATENATE(CH$3,"-",$CP7,"-",$AY7),'Data Consolidada'!$K$7:$K$891,0)),MAX('Data Consolidada'!$E$7:$E$3000))))</f>
        <v/>
      </c>
      <c r="CI7" s="32" t="str">
        <f>+IF(CI$3="","",IF($AY7="","",IFERROR(INDEX('Data Consolidada'!$E$7:$E$891,MATCH(CONCATENATE(CI$3,"-",$CP7,"-",$AY7),'Data Consolidada'!$K$7:$K$891,0)),MAX('Data Consolidada'!$E$7:$E$3000))))</f>
        <v/>
      </c>
      <c r="CJ7" s="32" t="str">
        <f>+IF(CJ$3="","",IF($AY7="","",IFERROR(INDEX('Data Consolidada'!$E$7:$E$891,MATCH(CONCATENATE(CJ$3,"-",$CP7,"-",$AY7),'Data Consolidada'!$K$7:$K$891,0)),MAX('Data Consolidada'!$E$7:$E$3000))))</f>
        <v/>
      </c>
      <c r="CK7" s="32" t="str">
        <f>+IF(CK$3="","",IF($AY7="","",IFERROR(INDEX('Data Consolidada'!$E$7:$E$891,MATCH(CONCATENATE(CK$3,"-",$CP7,"-",$AY7),'Data Consolidada'!$K$7:$K$891,0)),MAX('Data Consolidada'!$E$7:$E$3000))))</f>
        <v/>
      </c>
      <c r="CL7" s="32" t="str">
        <f>+IF(CL$3="","",IF($AY7="","",IFERROR(INDEX('Data Consolidada'!$E$7:$E$891,MATCH(CONCATENATE(CL$3,"-",$CP7,"-",$AY7),'Data Consolidada'!$K$7:$K$891,0)),MAX('Data Consolidada'!$E$7:$E$3000))))</f>
        <v/>
      </c>
      <c r="CM7" s="32" t="str">
        <f>+IF(CM$3="","",IF($AY7="","",IFERROR(INDEX('Data Consolidada'!$E$7:$E$891,MATCH(CONCATENATE(CM$3,"-",$CP7,"-",$AY7),'Data Consolidada'!$K$7:$K$891,0)),MAX('Data Consolidada'!$E$7:$E$3000))))</f>
        <v/>
      </c>
      <c r="CN7" s="32" t="str">
        <f>+IF(CN$3="","",IF($AY7="","",IFERROR(INDEX('Data Consolidada'!$E$7:$E$891,MATCH(CONCATENATE(CN$3,"-",$CP7,"-",$AY7),'Data Consolidada'!$K$7:$K$891,0)),MAX('Data Consolidada'!$E$7:$E$3000))))</f>
        <v/>
      </c>
      <c r="CO7" s="37" t="str">
        <f>+IF(CO$3="","",IF($AY7="","",IFERROR(INDEX('Data Consolidada'!$E$7:$E$891,MATCH(CONCATENATE(CO$3,"-",$CP7,"-",$AY7),'Data Consolidada'!$K$7:$K$891,0)),MAX('Data Consolidada'!$E$7:$E$3000))))</f>
        <v/>
      </c>
      <c r="CP7" s="224" t="str">
        <f t="shared" ca="1" si="2"/>
        <v>MOSTAZAL</v>
      </c>
      <c r="CQ7" s="84" t="str">
        <f t="shared" ca="1" si="3"/>
        <v>LAVALLEMOSTAZAL</v>
      </c>
    </row>
    <row r="8" spans="2:95" s="13" customFormat="1" ht="15" customHeight="1" thickBot="1" x14ac:dyDescent="0.4">
      <c r="B8" s="13" t="s">
        <v>12</v>
      </c>
      <c r="C8" s="13" t="s">
        <v>13</v>
      </c>
      <c r="D8" s="13" t="s">
        <v>14</v>
      </c>
      <c r="G8" s="208">
        <v>8.6999999999999993</v>
      </c>
      <c r="H8" s="27"/>
      <c r="I8" s="260" t="s">
        <v>18</v>
      </c>
      <c r="J8" s="191">
        <f ca="1">+SUMPRODUCT(C72:AR217,AZ4:CO149)+V9*MAX('Data Consolidada'!$E$7:$E$3000)/100</f>
        <v>880000</v>
      </c>
      <c r="K8" s="27"/>
      <c r="L8" s="200" t="s">
        <v>175</v>
      </c>
      <c r="M8" s="263" t="str">
        <f ca="1">+IFERROR(M6/M7,"")</f>
        <v/>
      </c>
      <c r="N8" s="27"/>
      <c r="O8" s="350" t="s">
        <v>10</v>
      </c>
      <c r="P8" s="351"/>
      <c r="AF8" s="14"/>
      <c r="AG8" s="204"/>
      <c r="AH8" s="228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  <c r="AT8" s="196"/>
      <c r="AU8" s="229"/>
      <c r="AW8" s="13">
        <f>+IF(AX8="","",IF(AX8&gt;AX7,AW7,IF(AW7&lt;$D$69,AW7+1,IF(COUNT(AW$4:AW7)&lt;$B$69*$E$54,1,""))))</f>
        <v>1</v>
      </c>
      <c r="AX8" s="13">
        <f>+IF(AX7&lt;$B$69,AX7+1,IF(COUNT(AX$4:AX7)&lt;$B$69*$D$69,1,""))</f>
        <v>5</v>
      </c>
      <c r="AY8" s="189" t="str">
        <f t="shared" ca="1" si="1"/>
        <v>MACEBE</v>
      </c>
      <c r="AZ8" s="36">
        <f ca="1">+IF(AZ$3="","",IF($AY8="","",IFERROR(INDEX('Data Consolidada'!$E$7:$E$891,MATCH(CONCATENATE(AZ$3,"-",$CP8,"-",$AY8),'Data Consolidada'!$K$7:$K$891,0)),MAX('Data Consolidada'!$E$7:$E$3000))))</f>
        <v>11000000</v>
      </c>
      <c r="BA8" s="32">
        <f ca="1">+IF(BA$3="","",IF($AY8="","",IFERROR(INDEX('Data Consolidada'!$E$7:$E$891,MATCH(CONCATENATE(BA$3,"-",$CP8,"-",$AY8),'Data Consolidada'!$K$7:$K$891,0)),MAX('Data Consolidada'!$E$7:$E$3000))))</f>
        <v>11000000</v>
      </c>
      <c r="BB8" s="32" t="str">
        <f>+IF(BB$3="","",IF($AY8="","",IFERROR(INDEX('Data Consolidada'!$E$7:$E$891,MATCH(CONCATENATE(BB$3,"-",$CP8,"-",$AY8),'Data Consolidada'!$K$7:$K$891,0)),MAX('Data Consolidada'!$E$7:$E$3000))))</f>
        <v/>
      </c>
      <c r="BC8" s="32" t="str">
        <f>+IF(BC$3="","",IF($AY8="","",IFERROR(INDEX('Data Consolidada'!$E$7:$E$891,MATCH(CONCATENATE(BC$3,"-",$CP8,"-",$AY8),'Data Consolidada'!$K$7:$K$891,0)),MAX('Data Consolidada'!$E$7:$E$3000))))</f>
        <v/>
      </c>
      <c r="BD8" s="32" t="str">
        <f>+IF(BD$3="","",IF($AY8="","",IFERROR(INDEX('Data Consolidada'!$E$7:$E$891,MATCH(CONCATENATE(BD$3,"-",$CP8,"-",$AY8),'Data Consolidada'!$K$7:$K$891,0)),MAX('Data Consolidada'!$E$7:$E$3000))))</f>
        <v/>
      </c>
      <c r="BE8" s="32" t="str">
        <f>+IF(BE$3="","",IF($AY8="","",IFERROR(INDEX('Data Consolidada'!$E$7:$E$891,MATCH(CONCATENATE(BE$3,"-",$CP8,"-",$AY8),'Data Consolidada'!$K$7:$K$891,0)),MAX('Data Consolidada'!$E$7:$E$3000))))</f>
        <v/>
      </c>
      <c r="BF8" s="32" t="str">
        <f>+IF(BF$3="","",IF($AY8="","",IFERROR(INDEX('Data Consolidada'!$E$7:$E$891,MATCH(CONCATENATE(BF$3,"-",$CP8,"-",$AY8),'Data Consolidada'!$K$7:$K$891,0)),MAX('Data Consolidada'!$E$7:$E$3000))))</f>
        <v/>
      </c>
      <c r="BG8" s="32" t="str">
        <f>+IF(BG$3="","",IF($AY8="","",IFERROR(INDEX('Data Consolidada'!$E$7:$E$891,MATCH(CONCATENATE(BG$3,"-",$CP8,"-",$AY8),'Data Consolidada'!$K$7:$K$891,0)),MAX('Data Consolidada'!$E$7:$E$3000))))</f>
        <v/>
      </c>
      <c r="BH8" s="32" t="str">
        <f>+IF(BH$3="","",IF($AY8="","",IFERROR(INDEX('Data Consolidada'!$E$7:$E$891,MATCH(CONCATENATE(BH$3,"-",$CP8,"-",$AY8),'Data Consolidada'!$K$7:$K$891,0)),MAX('Data Consolidada'!$E$7:$E$3000))))</f>
        <v/>
      </c>
      <c r="BI8" s="32" t="str">
        <f>+IF(BI$3="","",IF($AY8="","",IFERROR(INDEX('Data Consolidada'!$E$7:$E$891,MATCH(CONCATENATE(BI$3,"-",$CP8,"-",$AY8),'Data Consolidada'!$K$7:$K$891,0)),MAX('Data Consolidada'!$E$7:$E$3000))))</f>
        <v/>
      </c>
      <c r="BJ8" s="32" t="str">
        <f>+IF(BJ$3="","",IF($AY8="","",IFERROR(INDEX('Data Consolidada'!$E$7:$E$891,MATCH(CONCATENATE(BJ$3,"-",$CP8,"-",$AY8),'Data Consolidada'!$K$7:$K$891,0)),MAX('Data Consolidada'!$E$7:$E$3000))))</f>
        <v/>
      </c>
      <c r="BK8" s="32" t="str">
        <f>+IF(BK$3="","",IF($AY8="","",IFERROR(INDEX('Data Consolidada'!$E$7:$E$891,MATCH(CONCATENATE(BK$3,"-",$CP8,"-",$AY8),'Data Consolidada'!$K$7:$K$891,0)),MAX('Data Consolidada'!$E$7:$E$3000))))</f>
        <v/>
      </c>
      <c r="BL8" s="32" t="str">
        <f>+IF(BL$3="","",IF($AY8="","",IFERROR(INDEX('Data Consolidada'!$E$7:$E$891,MATCH(CONCATENATE(BL$3,"-",$CP8,"-",$AY8),'Data Consolidada'!$K$7:$K$891,0)),MAX('Data Consolidada'!$E$7:$E$3000))))</f>
        <v/>
      </c>
      <c r="BM8" s="32" t="str">
        <f>+IF(BM$3="","",IF($AY8="","",IFERROR(INDEX('Data Consolidada'!$E$7:$E$891,MATCH(CONCATENATE(BM$3,"-",$CP8,"-",$AY8),'Data Consolidada'!$K$7:$K$891,0)),MAX('Data Consolidada'!$E$7:$E$3000))))</f>
        <v/>
      </c>
      <c r="BN8" s="32" t="str">
        <f>+IF(BN$3="","",IF($AY8="","",IFERROR(INDEX('Data Consolidada'!$E$7:$E$891,MATCH(CONCATENATE(BN$3,"-",$CP8,"-",$AY8),'Data Consolidada'!$K$7:$K$891,0)),MAX('Data Consolidada'!$E$7:$E$3000))))</f>
        <v/>
      </c>
      <c r="BO8" s="32" t="str">
        <f>+IF(BO$3="","",IF($AY8="","",IFERROR(INDEX('Data Consolidada'!$E$7:$E$891,MATCH(CONCATENATE(BO$3,"-",$CP8,"-",$AY8),'Data Consolidada'!$K$7:$K$891,0)),MAX('Data Consolidada'!$E$7:$E$3000))))</f>
        <v/>
      </c>
      <c r="BP8" s="32" t="str">
        <f>+IF(BP$3="","",IF($AY8="","",IFERROR(INDEX('Data Consolidada'!$E$7:$E$891,MATCH(CONCATENATE(BP$3,"-",$CP8,"-",$AY8),'Data Consolidada'!$K$7:$K$891,0)),MAX('Data Consolidada'!$E$7:$E$3000))))</f>
        <v/>
      </c>
      <c r="BQ8" s="32" t="str">
        <f>+IF(BQ$3="","",IF($AY8="","",IFERROR(INDEX('Data Consolidada'!$E$7:$E$891,MATCH(CONCATENATE(BQ$3,"-",$CP8,"-",$AY8),'Data Consolidada'!$K$7:$K$891,0)),MAX('Data Consolidada'!$E$7:$E$3000))))</f>
        <v/>
      </c>
      <c r="BR8" s="32" t="str">
        <f>+IF(BR$3="","",IF($AY8="","",IFERROR(INDEX('Data Consolidada'!$E$7:$E$891,MATCH(CONCATENATE(BR$3,"-",$CP8,"-",$AY8),'Data Consolidada'!$K$7:$K$891,0)),MAX('Data Consolidada'!$E$7:$E$3000))))</f>
        <v/>
      </c>
      <c r="BS8" s="32" t="str">
        <f>+IF(BS$3="","",IF($AY8="","",IFERROR(INDEX('Data Consolidada'!$E$7:$E$891,MATCH(CONCATENATE(BS$3,"-",$CP8,"-",$AY8),'Data Consolidada'!$K$7:$K$891,0)),MAX('Data Consolidada'!$E$7:$E$3000))))</f>
        <v/>
      </c>
      <c r="BT8" s="32" t="str">
        <f>+IF(BT$3="","",IF($AY8="","",IFERROR(INDEX('Data Consolidada'!$E$7:$E$891,MATCH(CONCATENATE(BT$3,"-",$CP8,"-",$AY8),'Data Consolidada'!$K$7:$K$891,0)),MAX('Data Consolidada'!$E$7:$E$3000))))</f>
        <v/>
      </c>
      <c r="BU8" s="32" t="str">
        <f>+IF(BU$3="","",IF($AY8="","",IFERROR(INDEX('Data Consolidada'!$E$7:$E$891,MATCH(CONCATENATE(BU$3,"-",$CP8,"-",$AY8),'Data Consolidada'!$K$7:$K$891,0)),MAX('Data Consolidada'!$E$7:$E$3000))))</f>
        <v/>
      </c>
      <c r="BV8" s="32" t="str">
        <f>+IF(BV$3="","",IF($AY8="","",IFERROR(INDEX('Data Consolidada'!$E$7:$E$891,MATCH(CONCATENATE(BV$3,"-",$CP8,"-",$AY8),'Data Consolidada'!$K$7:$K$891,0)),MAX('Data Consolidada'!$E$7:$E$3000))))</f>
        <v/>
      </c>
      <c r="BW8" s="32" t="str">
        <f>+IF(BW$3="","",IF($AY8="","",IFERROR(INDEX('Data Consolidada'!$E$7:$E$891,MATCH(CONCATENATE(BW$3,"-",$CP8,"-",$AY8),'Data Consolidada'!$K$7:$K$891,0)),MAX('Data Consolidada'!$E$7:$E$3000))))</f>
        <v/>
      </c>
      <c r="BX8" s="32" t="str">
        <f>+IF(BX$3="","",IF($AY8="","",IFERROR(INDEX('Data Consolidada'!$E$7:$E$891,MATCH(CONCATENATE(BX$3,"-",$CP8,"-",$AY8),'Data Consolidada'!$K$7:$K$891,0)),MAX('Data Consolidada'!$E$7:$E$3000))))</f>
        <v/>
      </c>
      <c r="BY8" s="32" t="str">
        <f>+IF(BY$3="","",IF($AY8="","",IFERROR(INDEX('Data Consolidada'!$E$7:$E$891,MATCH(CONCATENATE(BY$3,"-",$CP8,"-",$AY8),'Data Consolidada'!$K$7:$K$891,0)),MAX('Data Consolidada'!$E$7:$E$3000))))</f>
        <v/>
      </c>
      <c r="BZ8" s="32" t="str">
        <f>+IF(BZ$3="","",IF($AY8="","",IFERROR(INDEX('Data Consolidada'!$E$7:$E$891,MATCH(CONCATENATE(BZ$3,"-",$CP8,"-",$AY8),'Data Consolidada'!$K$7:$K$891,0)),MAX('Data Consolidada'!$E$7:$E$3000))))</f>
        <v/>
      </c>
      <c r="CA8" s="32" t="str">
        <f>+IF(CA$3="","",IF($AY8="","",IFERROR(INDEX('Data Consolidada'!$E$7:$E$891,MATCH(CONCATENATE(CA$3,"-",$CP8,"-",$AY8),'Data Consolidada'!$K$7:$K$891,0)),MAX('Data Consolidada'!$E$7:$E$3000))))</f>
        <v/>
      </c>
      <c r="CB8" s="32" t="str">
        <f>+IF(CB$3="","",IF($AY8="","",IFERROR(INDEX('Data Consolidada'!$E$7:$E$891,MATCH(CONCATENATE(CB$3,"-",$CP8,"-",$AY8),'Data Consolidada'!$K$7:$K$891,0)),MAX('Data Consolidada'!$E$7:$E$3000))))</f>
        <v/>
      </c>
      <c r="CC8" s="32" t="str">
        <f>+IF(CC$3="","",IF($AY8="","",IFERROR(INDEX('Data Consolidada'!$E$7:$E$891,MATCH(CONCATENATE(CC$3,"-",$CP8,"-",$AY8),'Data Consolidada'!$K$7:$K$891,0)),MAX('Data Consolidada'!$E$7:$E$3000))))</f>
        <v/>
      </c>
      <c r="CD8" s="32" t="str">
        <f>+IF(CD$3="","",IF($AY8="","",IFERROR(INDEX('Data Consolidada'!$E$7:$E$891,MATCH(CONCATENATE(CD$3,"-",$CP8,"-",$AY8),'Data Consolidada'!$K$7:$K$891,0)),MAX('Data Consolidada'!$E$7:$E$3000))))</f>
        <v/>
      </c>
      <c r="CE8" s="32" t="str">
        <f>+IF(CE$3="","",IF($AY8="","",IFERROR(INDEX('Data Consolidada'!$E$7:$E$891,MATCH(CONCATENATE(CE$3,"-",$CP8,"-",$AY8),'Data Consolidada'!$K$7:$K$891,0)),MAX('Data Consolidada'!$E$7:$E$3000))))</f>
        <v/>
      </c>
      <c r="CF8" s="32" t="str">
        <f>+IF(CF$3="","",IF($AY8="","",IFERROR(INDEX('Data Consolidada'!$E$7:$E$891,MATCH(CONCATENATE(CF$3,"-",$CP8,"-",$AY8),'Data Consolidada'!$K$7:$K$891,0)),MAX('Data Consolidada'!$E$7:$E$3000))))</f>
        <v/>
      </c>
      <c r="CG8" s="32" t="str">
        <f>+IF(CG$3="","",IF($AY8="","",IFERROR(INDEX('Data Consolidada'!$E$7:$E$891,MATCH(CONCATENATE(CG$3,"-",$CP8,"-",$AY8),'Data Consolidada'!$K$7:$K$891,0)),MAX('Data Consolidada'!$E$7:$E$3000))))</f>
        <v/>
      </c>
      <c r="CH8" s="32" t="str">
        <f>+IF(CH$3="","",IF($AY8="","",IFERROR(INDEX('Data Consolidada'!$E$7:$E$891,MATCH(CONCATENATE(CH$3,"-",$CP8,"-",$AY8),'Data Consolidada'!$K$7:$K$891,0)),MAX('Data Consolidada'!$E$7:$E$3000))))</f>
        <v/>
      </c>
      <c r="CI8" s="32" t="str">
        <f>+IF(CI$3="","",IF($AY8="","",IFERROR(INDEX('Data Consolidada'!$E$7:$E$891,MATCH(CONCATENATE(CI$3,"-",$CP8,"-",$AY8),'Data Consolidada'!$K$7:$K$891,0)),MAX('Data Consolidada'!$E$7:$E$3000))))</f>
        <v/>
      </c>
      <c r="CJ8" s="32" t="str">
        <f>+IF(CJ$3="","",IF($AY8="","",IFERROR(INDEX('Data Consolidada'!$E$7:$E$891,MATCH(CONCATENATE(CJ$3,"-",$CP8,"-",$AY8),'Data Consolidada'!$K$7:$K$891,0)),MAX('Data Consolidada'!$E$7:$E$3000))))</f>
        <v/>
      </c>
      <c r="CK8" s="32" t="str">
        <f>+IF(CK$3="","",IF($AY8="","",IFERROR(INDEX('Data Consolidada'!$E$7:$E$891,MATCH(CONCATENATE(CK$3,"-",$CP8,"-",$AY8),'Data Consolidada'!$K$7:$K$891,0)),MAX('Data Consolidada'!$E$7:$E$3000))))</f>
        <v/>
      </c>
      <c r="CL8" s="32" t="str">
        <f>+IF(CL$3="","",IF($AY8="","",IFERROR(INDEX('Data Consolidada'!$E$7:$E$891,MATCH(CONCATENATE(CL$3,"-",$CP8,"-",$AY8),'Data Consolidada'!$K$7:$K$891,0)),MAX('Data Consolidada'!$E$7:$E$3000))))</f>
        <v/>
      </c>
      <c r="CM8" s="32" t="str">
        <f>+IF(CM$3="","",IF($AY8="","",IFERROR(INDEX('Data Consolidada'!$E$7:$E$891,MATCH(CONCATENATE(CM$3,"-",$CP8,"-",$AY8),'Data Consolidada'!$K$7:$K$891,0)),MAX('Data Consolidada'!$E$7:$E$3000))))</f>
        <v/>
      </c>
      <c r="CN8" s="32" t="str">
        <f>+IF(CN$3="","",IF($AY8="","",IFERROR(INDEX('Data Consolidada'!$E$7:$E$891,MATCH(CONCATENATE(CN$3,"-",$CP8,"-",$AY8),'Data Consolidada'!$K$7:$K$891,0)),MAX('Data Consolidada'!$E$7:$E$3000))))</f>
        <v/>
      </c>
      <c r="CO8" s="37" t="str">
        <f>+IF(CO$3="","",IF($AY8="","",IFERROR(INDEX('Data Consolidada'!$E$7:$E$891,MATCH(CONCATENATE(CO$3,"-",$CP8,"-",$AY8),'Data Consolidada'!$K$7:$K$891,0)),MAX('Data Consolidada'!$E$7:$E$3000))))</f>
        <v/>
      </c>
      <c r="CP8" s="224" t="str">
        <f t="shared" ca="1" si="2"/>
        <v>MOSTAZAL</v>
      </c>
      <c r="CQ8" s="84" t="str">
        <f t="shared" ca="1" si="3"/>
        <v>MACEBEMOSTAZAL</v>
      </c>
    </row>
    <row r="9" spans="2:95" s="12" customFormat="1" ht="15" customHeight="1" thickBot="1" x14ac:dyDescent="0.4">
      <c r="B9" s="49" t="s">
        <v>11</v>
      </c>
      <c r="C9" s="20" t="s">
        <v>21</v>
      </c>
      <c r="D9" s="21" t="s">
        <v>16</v>
      </c>
      <c r="F9" s="22" t="s">
        <v>104</v>
      </c>
      <c r="G9" s="85">
        <f>+G8*G7*G6</f>
        <v>13780.8</v>
      </c>
      <c r="J9" s="80"/>
      <c r="L9" s="22" t="s">
        <v>173</v>
      </c>
      <c r="M9" s="274">
        <f ca="1">+SUM(W13:W68)-M7</f>
        <v>8</v>
      </c>
      <c r="N9" s="27"/>
      <c r="O9" s="352" t="s">
        <v>18</v>
      </c>
      <c r="P9" s="353"/>
      <c r="Q9" s="42"/>
      <c r="R9" s="42"/>
      <c r="S9" s="42"/>
      <c r="T9" s="42"/>
      <c r="U9" s="22" t="s">
        <v>173</v>
      </c>
      <c r="V9" s="273">
        <v>8</v>
      </c>
      <c r="W9" s="42"/>
      <c r="X9" s="42"/>
      <c r="Y9" s="42"/>
      <c r="Z9" s="250" t="s">
        <v>25</v>
      </c>
      <c r="AA9" s="250" t="s">
        <v>166</v>
      </c>
      <c r="AC9" s="211" t="s">
        <v>169</v>
      </c>
      <c r="AF9" s="14"/>
      <c r="AG9" s="204"/>
      <c r="AH9" s="228"/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229"/>
      <c r="AV9" s="13"/>
      <c r="AW9" s="13">
        <f>+IF(AX9="","",IF(AX9&gt;AX8,AW8,IF(AW8&lt;$D$69,AW8+1,IF(COUNT(AW$4:AW8)&lt;$B$69*$E$54,1,""))))</f>
        <v>1</v>
      </c>
      <c r="AX9" s="13">
        <f>+IF(AX8&lt;$B$69,AX8+1,IF(COUNT(AX$4:AX8)&lt;$B$69*$D$69,1,""))</f>
        <v>6</v>
      </c>
      <c r="AY9" s="189" t="str">
        <f t="shared" ca="1" si="1"/>
        <v xml:space="preserve">Manuel Sepúlveda </v>
      </c>
      <c r="AZ9" s="36">
        <f ca="1">+IF(AZ$3="","",IF($AY9="","",IFERROR(INDEX('Data Consolidada'!$E$7:$E$891,MATCH(CONCATENATE(AZ$3,"-",$CP9,"-",$AY9),'Data Consolidada'!$K$7:$K$891,0)),MAX('Data Consolidada'!$E$7:$E$3000))))</f>
        <v>11000000</v>
      </c>
      <c r="BA9" s="32">
        <f ca="1">+IF(BA$3="","",IF($AY9="","",IFERROR(INDEX('Data Consolidada'!$E$7:$E$891,MATCH(CONCATENATE(BA$3,"-",$CP9,"-",$AY9),'Data Consolidada'!$K$7:$K$891,0)),MAX('Data Consolidada'!$E$7:$E$3000))))</f>
        <v>520000</v>
      </c>
      <c r="BB9" s="32" t="str">
        <f>+IF(BB$3="","",IF($AY9="","",IFERROR(INDEX('Data Consolidada'!$E$7:$E$891,MATCH(CONCATENATE(BB$3,"-",$CP9,"-",$AY9),'Data Consolidada'!$K$7:$K$891,0)),MAX('Data Consolidada'!$E$7:$E$3000))))</f>
        <v/>
      </c>
      <c r="BC9" s="32" t="str">
        <f>+IF(BC$3="","",IF($AY9="","",IFERROR(INDEX('Data Consolidada'!$E$7:$E$891,MATCH(CONCATENATE(BC$3,"-",$CP9,"-",$AY9),'Data Consolidada'!$K$7:$K$891,0)),MAX('Data Consolidada'!$E$7:$E$3000))))</f>
        <v/>
      </c>
      <c r="BD9" s="32" t="str">
        <f>+IF(BD$3="","",IF($AY9="","",IFERROR(INDEX('Data Consolidada'!$E$7:$E$891,MATCH(CONCATENATE(BD$3,"-",$CP9,"-",$AY9),'Data Consolidada'!$K$7:$K$891,0)),MAX('Data Consolidada'!$E$7:$E$3000))))</f>
        <v/>
      </c>
      <c r="BE9" s="32" t="str">
        <f>+IF(BE$3="","",IF($AY9="","",IFERROR(INDEX('Data Consolidada'!$E$7:$E$891,MATCH(CONCATENATE(BE$3,"-",$CP9,"-",$AY9),'Data Consolidada'!$K$7:$K$891,0)),MAX('Data Consolidada'!$E$7:$E$3000))))</f>
        <v/>
      </c>
      <c r="BF9" s="32" t="str">
        <f>+IF(BF$3="","",IF($AY9="","",IFERROR(INDEX('Data Consolidada'!$E$7:$E$891,MATCH(CONCATENATE(BF$3,"-",$CP9,"-",$AY9),'Data Consolidada'!$K$7:$K$891,0)),MAX('Data Consolidada'!$E$7:$E$3000))))</f>
        <v/>
      </c>
      <c r="BG9" s="32" t="str">
        <f>+IF(BG$3="","",IF($AY9="","",IFERROR(INDEX('Data Consolidada'!$E$7:$E$891,MATCH(CONCATENATE(BG$3,"-",$CP9,"-",$AY9),'Data Consolidada'!$K$7:$K$891,0)),MAX('Data Consolidada'!$E$7:$E$3000))))</f>
        <v/>
      </c>
      <c r="BH9" s="32" t="str">
        <f>+IF(BH$3="","",IF($AY9="","",IFERROR(INDEX('Data Consolidada'!$E$7:$E$891,MATCH(CONCATENATE(BH$3,"-",$CP9,"-",$AY9),'Data Consolidada'!$K$7:$K$891,0)),MAX('Data Consolidada'!$E$7:$E$3000))))</f>
        <v/>
      </c>
      <c r="BI9" s="32" t="str">
        <f>+IF(BI$3="","",IF($AY9="","",IFERROR(INDEX('Data Consolidada'!$E$7:$E$891,MATCH(CONCATENATE(BI$3,"-",$CP9,"-",$AY9),'Data Consolidada'!$K$7:$K$891,0)),MAX('Data Consolidada'!$E$7:$E$3000))))</f>
        <v/>
      </c>
      <c r="BJ9" s="32" t="str">
        <f>+IF(BJ$3="","",IF($AY9="","",IFERROR(INDEX('Data Consolidada'!$E$7:$E$891,MATCH(CONCATENATE(BJ$3,"-",$CP9,"-",$AY9),'Data Consolidada'!$K$7:$K$891,0)),MAX('Data Consolidada'!$E$7:$E$3000))))</f>
        <v/>
      </c>
      <c r="BK9" s="32" t="str">
        <f>+IF(BK$3="","",IF($AY9="","",IFERROR(INDEX('Data Consolidada'!$E$7:$E$891,MATCH(CONCATENATE(BK$3,"-",$CP9,"-",$AY9),'Data Consolidada'!$K$7:$K$891,0)),MAX('Data Consolidada'!$E$7:$E$3000))))</f>
        <v/>
      </c>
      <c r="BL9" s="32" t="str">
        <f>+IF(BL$3="","",IF($AY9="","",IFERROR(INDEX('Data Consolidada'!$E$7:$E$891,MATCH(CONCATENATE(BL$3,"-",$CP9,"-",$AY9),'Data Consolidada'!$K$7:$K$891,0)),MAX('Data Consolidada'!$E$7:$E$3000))))</f>
        <v/>
      </c>
      <c r="BM9" s="32" t="str">
        <f>+IF(BM$3="","",IF($AY9="","",IFERROR(INDEX('Data Consolidada'!$E$7:$E$891,MATCH(CONCATENATE(BM$3,"-",$CP9,"-",$AY9),'Data Consolidada'!$K$7:$K$891,0)),MAX('Data Consolidada'!$E$7:$E$3000))))</f>
        <v/>
      </c>
      <c r="BN9" s="32" t="str">
        <f>+IF(BN$3="","",IF($AY9="","",IFERROR(INDEX('Data Consolidada'!$E$7:$E$891,MATCH(CONCATENATE(BN$3,"-",$CP9,"-",$AY9),'Data Consolidada'!$K$7:$K$891,0)),MAX('Data Consolidada'!$E$7:$E$3000))))</f>
        <v/>
      </c>
      <c r="BO9" s="32" t="str">
        <f>+IF(BO$3="","",IF($AY9="","",IFERROR(INDEX('Data Consolidada'!$E$7:$E$891,MATCH(CONCATENATE(BO$3,"-",$CP9,"-",$AY9),'Data Consolidada'!$K$7:$K$891,0)),MAX('Data Consolidada'!$E$7:$E$3000))))</f>
        <v/>
      </c>
      <c r="BP9" s="32" t="str">
        <f>+IF(BP$3="","",IF($AY9="","",IFERROR(INDEX('Data Consolidada'!$E$7:$E$891,MATCH(CONCATENATE(BP$3,"-",$CP9,"-",$AY9),'Data Consolidada'!$K$7:$K$891,0)),MAX('Data Consolidada'!$E$7:$E$3000))))</f>
        <v/>
      </c>
      <c r="BQ9" s="32" t="str">
        <f>+IF(BQ$3="","",IF($AY9="","",IFERROR(INDEX('Data Consolidada'!$E$7:$E$891,MATCH(CONCATENATE(BQ$3,"-",$CP9,"-",$AY9),'Data Consolidada'!$K$7:$K$891,0)),MAX('Data Consolidada'!$E$7:$E$3000))))</f>
        <v/>
      </c>
      <c r="BR9" s="32" t="str">
        <f>+IF(BR$3="","",IF($AY9="","",IFERROR(INDEX('Data Consolidada'!$E$7:$E$891,MATCH(CONCATENATE(BR$3,"-",$CP9,"-",$AY9),'Data Consolidada'!$K$7:$K$891,0)),MAX('Data Consolidada'!$E$7:$E$3000))))</f>
        <v/>
      </c>
      <c r="BS9" s="32" t="str">
        <f>+IF(BS$3="","",IF($AY9="","",IFERROR(INDEX('Data Consolidada'!$E$7:$E$891,MATCH(CONCATENATE(BS$3,"-",$CP9,"-",$AY9),'Data Consolidada'!$K$7:$K$891,0)),MAX('Data Consolidada'!$E$7:$E$3000))))</f>
        <v/>
      </c>
      <c r="BT9" s="32" t="str">
        <f>+IF(BT$3="","",IF($AY9="","",IFERROR(INDEX('Data Consolidada'!$E$7:$E$891,MATCH(CONCATENATE(BT$3,"-",$CP9,"-",$AY9),'Data Consolidada'!$K$7:$K$891,0)),MAX('Data Consolidada'!$E$7:$E$3000))))</f>
        <v/>
      </c>
      <c r="BU9" s="32" t="str">
        <f>+IF(BU$3="","",IF($AY9="","",IFERROR(INDEX('Data Consolidada'!$E$7:$E$891,MATCH(CONCATENATE(BU$3,"-",$CP9,"-",$AY9),'Data Consolidada'!$K$7:$K$891,0)),MAX('Data Consolidada'!$E$7:$E$3000))))</f>
        <v/>
      </c>
      <c r="BV9" s="32" t="str">
        <f>+IF(BV$3="","",IF($AY9="","",IFERROR(INDEX('Data Consolidada'!$E$7:$E$891,MATCH(CONCATENATE(BV$3,"-",$CP9,"-",$AY9),'Data Consolidada'!$K$7:$K$891,0)),MAX('Data Consolidada'!$E$7:$E$3000))))</f>
        <v/>
      </c>
      <c r="BW9" s="32" t="str">
        <f>+IF(BW$3="","",IF($AY9="","",IFERROR(INDEX('Data Consolidada'!$E$7:$E$891,MATCH(CONCATENATE(BW$3,"-",$CP9,"-",$AY9),'Data Consolidada'!$K$7:$K$891,0)),MAX('Data Consolidada'!$E$7:$E$3000))))</f>
        <v/>
      </c>
      <c r="BX9" s="32" t="str">
        <f>+IF(BX$3="","",IF($AY9="","",IFERROR(INDEX('Data Consolidada'!$E$7:$E$891,MATCH(CONCATENATE(BX$3,"-",$CP9,"-",$AY9),'Data Consolidada'!$K$7:$K$891,0)),MAX('Data Consolidada'!$E$7:$E$3000))))</f>
        <v/>
      </c>
      <c r="BY9" s="32" t="str">
        <f>+IF(BY$3="","",IF($AY9="","",IFERROR(INDEX('Data Consolidada'!$E$7:$E$891,MATCH(CONCATENATE(BY$3,"-",$CP9,"-",$AY9),'Data Consolidada'!$K$7:$K$891,0)),MAX('Data Consolidada'!$E$7:$E$3000))))</f>
        <v/>
      </c>
      <c r="BZ9" s="32" t="str">
        <f>+IF(BZ$3="","",IF($AY9="","",IFERROR(INDEX('Data Consolidada'!$E$7:$E$891,MATCH(CONCATENATE(BZ$3,"-",$CP9,"-",$AY9),'Data Consolidada'!$K$7:$K$891,0)),MAX('Data Consolidada'!$E$7:$E$3000))))</f>
        <v/>
      </c>
      <c r="CA9" s="32" t="str">
        <f>+IF(CA$3="","",IF($AY9="","",IFERROR(INDEX('Data Consolidada'!$E$7:$E$891,MATCH(CONCATENATE(CA$3,"-",$CP9,"-",$AY9),'Data Consolidada'!$K$7:$K$891,0)),MAX('Data Consolidada'!$E$7:$E$3000))))</f>
        <v/>
      </c>
      <c r="CB9" s="32" t="str">
        <f>+IF(CB$3="","",IF($AY9="","",IFERROR(INDEX('Data Consolidada'!$E$7:$E$891,MATCH(CONCATENATE(CB$3,"-",$CP9,"-",$AY9),'Data Consolidada'!$K$7:$K$891,0)),MAX('Data Consolidada'!$E$7:$E$3000))))</f>
        <v/>
      </c>
      <c r="CC9" s="32" t="str">
        <f>+IF(CC$3="","",IF($AY9="","",IFERROR(INDEX('Data Consolidada'!$E$7:$E$891,MATCH(CONCATENATE(CC$3,"-",$CP9,"-",$AY9),'Data Consolidada'!$K$7:$K$891,0)),MAX('Data Consolidada'!$E$7:$E$3000))))</f>
        <v/>
      </c>
      <c r="CD9" s="32" t="str">
        <f>+IF(CD$3="","",IF($AY9="","",IFERROR(INDEX('Data Consolidada'!$E$7:$E$891,MATCH(CONCATENATE(CD$3,"-",$CP9,"-",$AY9),'Data Consolidada'!$K$7:$K$891,0)),MAX('Data Consolidada'!$E$7:$E$3000))))</f>
        <v/>
      </c>
      <c r="CE9" s="32" t="str">
        <f>+IF(CE$3="","",IF($AY9="","",IFERROR(INDEX('Data Consolidada'!$E$7:$E$891,MATCH(CONCATENATE(CE$3,"-",$CP9,"-",$AY9),'Data Consolidada'!$K$7:$K$891,0)),MAX('Data Consolidada'!$E$7:$E$3000))))</f>
        <v/>
      </c>
      <c r="CF9" s="32" t="str">
        <f>+IF(CF$3="","",IF($AY9="","",IFERROR(INDEX('Data Consolidada'!$E$7:$E$891,MATCH(CONCATENATE(CF$3,"-",$CP9,"-",$AY9),'Data Consolidada'!$K$7:$K$891,0)),MAX('Data Consolidada'!$E$7:$E$3000))))</f>
        <v/>
      </c>
      <c r="CG9" s="32" t="str">
        <f>+IF(CG$3="","",IF($AY9="","",IFERROR(INDEX('Data Consolidada'!$E$7:$E$891,MATCH(CONCATENATE(CG$3,"-",$CP9,"-",$AY9),'Data Consolidada'!$K$7:$K$891,0)),MAX('Data Consolidada'!$E$7:$E$3000))))</f>
        <v/>
      </c>
      <c r="CH9" s="32" t="str">
        <f>+IF(CH$3="","",IF($AY9="","",IFERROR(INDEX('Data Consolidada'!$E$7:$E$891,MATCH(CONCATENATE(CH$3,"-",$CP9,"-",$AY9),'Data Consolidada'!$K$7:$K$891,0)),MAX('Data Consolidada'!$E$7:$E$3000))))</f>
        <v/>
      </c>
      <c r="CI9" s="32" t="str">
        <f>+IF(CI$3="","",IF($AY9="","",IFERROR(INDEX('Data Consolidada'!$E$7:$E$891,MATCH(CONCATENATE(CI$3,"-",$CP9,"-",$AY9),'Data Consolidada'!$K$7:$K$891,0)),MAX('Data Consolidada'!$E$7:$E$3000))))</f>
        <v/>
      </c>
      <c r="CJ9" s="32" t="str">
        <f>+IF(CJ$3="","",IF($AY9="","",IFERROR(INDEX('Data Consolidada'!$E$7:$E$891,MATCH(CONCATENATE(CJ$3,"-",$CP9,"-",$AY9),'Data Consolidada'!$K$7:$K$891,0)),MAX('Data Consolidada'!$E$7:$E$3000))))</f>
        <v/>
      </c>
      <c r="CK9" s="32" t="str">
        <f>+IF(CK$3="","",IF($AY9="","",IFERROR(INDEX('Data Consolidada'!$E$7:$E$891,MATCH(CONCATENATE(CK$3,"-",$CP9,"-",$AY9),'Data Consolidada'!$K$7:$K$891,0)),MAX('Data Consolidada'!$E$7:$E$3000))))</f>
        <v/>
      </c>
      <c r="CL9" s="32" t="str">
        <f>+IF(CL$3="","",IF($AY9="","",IFERROR(INDEX('Data Consolidada'!$E$7:$E$891,MATCH(CONCATENATE(CL$3,"-",$CP9,"-",$AY9),'Data Consolidada'!$K$7:$K$891,0)),MAX('Data Consolidada'!$E$7:$E$3000))))</f>
        <v/>
      </c>
      <c r="CM9" s="32" t="str">
        <f>+IF(CM$3="","",IF($AY9="","",IFERROR(INDEX('Data Consolidada'!$E$7:$E$891,MATCH(CONCATENATE(CM$3,"-",$CP9,"-",$AY9),'Data Consolidada'!$K$7:$K$891,0)),MAX('Data Consolidada'!$E$7:$E$3000))))</f>
        <v/>
      </c>
      <c r="CN9" s="32" t="str">
        <f>+IF(CN$3="","",IF($AY9="","",IFERROR(INDEX('Data Consolidada'!$E$7:$E$891,MATCH(CONCATENATE(CN$3,"-",$CP9,"-",$AY9),'Data Consolidada'!$K$7:$K$891,0)),MAX('Data Consolidada'!$E$7:$E$3000))))</f>
        <v/>
      </c>
      <c r="CO9" s="37" t="str">
        <f>+IF(CO$3="","",IF($AY9="","",IFERROR(INDEX('Data Consolidada'!$E$7:$E$891,MATCH(CONCATENATE(CO$3,"-",$CP9,"-",$AY9),'Data Consolidada'!$K$7:$K$891,0)),MAX('Data Consolidada'!$E$7:$E$3000))))</f>
        <v/>
      </c>
      <c r="CP9" s="224" t="str">
        <f t="shared" ca="1" si="2"/>
        <v>MOSTAZAL</v>
      </c>
      <c r="CQ9" s="84" t="str">
        <f t="shared" ca="1" si="3"/>
        <v>Manuel Sepúlveda MOSTAZAL</v>
      </c>
    </row>
    <row r="10" spans="2:95" ht="15" customHeight="1" thickBot="1" x14ac:dyDescent="0.4">
      <c r="B10" s="47" t="str" cm="1">
        <f t="array" ref="B10:B22">+_xlfn._xlws.SORT(_xlfn._xlws.FILTER(_xlfn.UNIQUE('Data Consolidada'!G7:G891),_xlfn.UNIQUE('Data Consolidada'!G7:G891)&lt;&gt;""),1)</f>
        <v xml:space="preserve">  TRANS. MORROS LTDA.</v>
      </c>
      <c r="C10" s="25" t="str" cm="1">
        <f t="array" ref="C10:C11">+_xlfn._xlws.SORT(_xlfn._xlws.FILTER(_xlfn.UNIQUE(G13:G68),_xlfn.UNIQUE(G13:G68)&lt;&gt;""),1)</f>
        <v>El Retorno</v>
      </c>
      <c r="D10" s="75" t="str" cm="1">
        <f t="array" ref="D10">+_xlfn._xlws.SORT(_xlfn._xlws.FILTER(_xlfn.UNIQUE(H13:H68),_xlfn.UNIQUE(H13:H68)&lt;&gt;""),1)</f>
        <v>MOSTAZAL</v>
      </c>
      <c r="G10" s="26"/>
      <c r="H10" s="26"/>
      <c r="J10" s="43"/>
      <c r="K10"/>
      <c r="Q10" s="42"/>
      <c r="R10" s="42"/>
      <c r="S10" s="42"/>
      <c r="T10" s="42"/>
      <c r="U10" s="42"/>
      <c r="V10" s="42"/>
      <c r="W10" s="42"/>
      <c r="X10" s="42"/>
      <c r="Y10" s="42"/>
      <c r="Z10" s="244" t="str">
        <f>+IF(B10="","",B10)</f>
        <v xml:space="preserve">  TRANS. MORROS LTDA.</v>
      </c>
      <c r="AA10" s="249">
        <v>4</v>
      </c>
      <c r="AB10" s="254" cm="1">
        <f t="array" aca="1" ref="AB10" ca="1">+SUM(IF($B$72:$B$217=Z10,$C$72:$AR$217))</f>
        <v>0</v>
      </c>
      <c r="AC10" s="211">
        <f ca="1">+IFERROR(AB10/AB10,0)</f>
        <v>0</v>
      </c>
      <c r="AF10" s="14"/>
      <c r="AG10" s="204"/>
      <c r="AH10" s="228"/>
      <c r="AI10" s="196"/>
      <c r="AJ10" s="196"/>
      <c r="AK10" s="196"/>
      <c r="AL10" s="196"/>
      <c r="AM10" s="196"/>
      <c r="AN10" s="196"/>
      <c r="AO10" s="196"/>
      <c r="AP10" s="196"/>
      <c r="AQ10" s="196"/>
      <c r="AR10" s="196"/>
      <c r="AS10" s="196"/>
      <c r="AT10" s="196"/>
      <c r="AU10" s="229"/>
      <c r="AV10" s="13"/>
      <c r="AW10" s="13">
        <f>+IF(AX10="","",IF(AX10&gt;AX9,AW9,IF(AW9&lt;$D$69,AW9+1,IF(COUNT(AW$4:AW9)&lt;$B$69*$E$54,1,""))))</f>
        <v>1</v>
      </c>
      <c r="AX10" s="13">
        <f>+IF(AX9&lt;$B$69,AX9+1,IF(COUNT(AX$4:AX9)&lt;$B$69*$D$69,1,""))</f>
        <v>7</v>
      </c>
      <c r="AY10" s="189" t="str">
        <f t="shared" ca="1" si="1"/>
        <v>PARRAO</v>
      </c>
      <c r="AZ10" s="36">
        <f ca="1">+IF(AZ$3="","",IF($AY10="","",IFERROR(INDEX('Data Consolidada'!$E$7:$E$891,MATCH(CONCATENATE(AZ$3,"-",$CP10,"-",$AY10),'Data Consolidada'!$K$7:$K$891,0)),MAX('Data Consolidada'!$E$7:$E$3000))))</f>
        <v>11000000</v>
      </c>
      <c r="BA10" s="32">
        <f ca="1">+IF(BA$3="","",IF($AY10="","",IFERROR(INDEX('Data Consolidada'!$E$7:$E$891,MATCH(CONCATENATE(BA$3,"-",$CP10,"-",$AY10),'Data Consolidada'!$K$7:$K$891,0)),MAX('Data Consolidada'!$E$7:$E$3000))))</f>
        <v>450000</v>
      </c>
      <c r="BB10" s="32" t="str">
        <f>+IF(BB$3="","",IF($AY10="","",IFERROR(INDEX('Data Consolidada'!$E$7:$E$891,MATCH(CONCATENATE(BB$3,"-",$CP10,"-",$AY10),'Data Consolidada'!$K$7:$K$891,0)),MAX('Data Consolidada'!$E$7:$E$3000))))</f>
        <v/>
      </c>
      <c r="BC10" s="32" t="str">
        <f>+IF(BC$3="","",IF($AY10="","",IFERROR(INDEX('Data Consolidada'!$E$7:$E$891,MATCH(CONCATENATE(BC$3,"-",$CP10,"-",$AY10),'Data Consolidada'!$K$7:$K$891,0)),MAX('Data Consolidada'!$E$7:$E$3000))))</f>
        <v/>
      </c>
      <c r="BD10" s="32" t="str">
        <f>+IF(BD$3="","",IF($AY10="","",IFERROR(INDEX('Data Consolidada'!$E$7:$E$891,MATCH(CONCATENATE(BD$3,"-",$CP10,"-",$AY10),'Data Consolidada'!$K$7:$K$891,0)),MAX('Data Consolidada'!$E$7:$E$3000))))</f>
        <v/>
      </c>
      <c r="BE10" s="32" t="str">
        <f>+IF(BE$3="","",IF($AY10="","",IFERROR(INDEX('Data Consolidada'!$E$7:$E$891,MATCH(CONCATENATE(BE$3,"-",$CP10,"-",$AY10),'Data Consolidada'!$K$7:$K$891,0)),MAX('Data Consolidada'!$E$7:$E$3000))))</f>
        <v/>
      </c>
      <c r="BF10" s="32" t="str">
        <f>+IF(BF$3="","",IF($AY10="","",IFERROR(INDEX('Data Consolidada'!$E$7:$E$891,MATCH(CONCATENATE(BF$3,"-",$CP10,"-",$AY10),'Data Consolidada'!$K$7:$K$891,0)),MAX('Data Consolidada'!$E$7:$E$3000))))</f>
        <v/>
      </c>
      <c r="BG10" s="32" t="str">
        <f>+IF(BG$3="","",IF($AY10="","",IFERROR(INDEX('Data Consolidada'!$E$7:$E$891,MATCH(CONCATENATE(BG$3,"-",$CP10,"-",$AY10),'Data Consolidada'!$K$7:$K$891,0)),MAX('Data Consolidada'!$E$7:$E$3000))))</f>
        <v/>
      </c>
      <c r="BH10" s="32" t="str">
        <f>+IF(BH$3="","",IF($AY10="","",IFERROR(INDEX('Data Consolidada'!$E$7:$E$891,MATCH(CONCATENATE(BH$3,"-",$CP10,"-",$AY10),'Data Consolidada'!$K$7:$K$891,0)),MAX('Data Consolidada'!$E$7:$E$3000))))</f>
        <v/>
      </c>
      <c r="BI10" s="32" t="str">
        <f>+IF(BI$3="","",IF($AY10="","",IFERROR(INDEX('Data Consolidada'!$E$7:$E$891,MATCH(CONCATENATE(BI$3,"-",$CP10,"-",$AY10),'Data Consolidada'!$K$7:$K$891,0)),MAX('Data Consolidada'!$E$7:$E$3000))))</f>
        <v/>
      </c>
      <c r="BJ10" s="32" t="str">
        <f>+IF(BJ$3="","",IF($AY10="","",IFERROR(INDEX('Data Consolidada'!$E$7:$E$891,MATCH(CONCATENATE(BJ$3,"-",$CP10,"-",$AY10),'Data Consolidada'!$K$7:$K$891,0)),MAX('Data Consolidada'!$E$7:$E$3000))))</f>
        <v/>
      </c>
      <c r="BK10" s="32" t="str">
        <f>+IF(BK$3="","",IF($AY10="","",IFERROR(INDEX('Data Consolidada'!$E$7:$E$891,MATCH(CONCATENATE(BK$3,"-",$CP10,"-",$AY10),'Data Consolidada'!$K$7:$K$891,0)),MAX('Data Consolidada'!$E$7:$E$3000))))</f>
        <v/>
      </c>
      <c r="BL10" s="32" t="str">
        <f>+IF(BL$3="","",IF($AY10="","",IFERROR(INDEX('Data Consolidada'!$E$7:$E$891,MATCH(CONCATENATE(BL$3,"-",$CP10,"-",$AY10),'Data Consolidada'!$K$7:$K$891,0)),MAX('Data Consolidada'!$E$7:$E$3000))))</f>
        <v/>
      </c>
      <c r="BM10" s="32" t="str">
        <f>+IF(BM$3="","",IF($AY10="","",IFERROR(INDEX('Data Consolidada'!$E$7:$E$891,MATCH(CONCATENATE(BM$3,"-",$CP10,"-",$AY10),'Data Consolidada'!$K$7:$K$891,0)),MAX('Data Consolidada'!$E$7:$E$3000))))</f>
        <v/>
      </c>
      <c r="BN10" s="32" t="str">
        <f>+IF(BN$3="","",IF($AY10="","",IFERROR(INDEX('Data Consolidada'!$E$7:$E$891,MATCH(CONCATENATE(BN$3,"-",$CP10,"-",$AY10),'Data Consolidada'!$K$7:$K$891,0)),MAX('Data Consolidada'!$E$7:$E$3000))))</f>
        <v/>
      </c>
      <c r="BO10" s="32" t="str">
        <f>+IF(BO$3="","",IF($AY10="","",IFERROR(INDEX('Data Consolidada'!$E$7:$E$891,MATCH(CONCATENATE(BO$3,"-",$CP10,"-",$AY10),'Data Consolidada'!$K$7:$K$891,0)),MAX('Data Consolidada'!$E$7:$E$3000))))</f>
        <v/>
      </c>
      <c r="BP10" s="32" t="str">
        <f>+IF(BP$3="","",IF($AY10="","",IFERROR(INDEX('Data Consolidada'!$E$7:$E$891,MATCH(CONCATENATE(BP$3,"-",$CP10,"-",$AY10),'Data Consolidada'!$K$7:$K$891,0)),MAX('Data Consolidada'!$E$7:$E$3000))))</f>
        <v/>
      </c>
      <c r="BQ10" s="32" t="str">
        <f>+IF(BQ$3="","",IF($AY10="","",IFERROR(INDEX('Data Consolidada'!$E$7:$E$891,MATCH(CONCATENATE(BQ$3,"-",$CP10,"-",$AY10),'Data Consolidada'!$K$7:$K$891,0)),MAX('Data Consolidada'!$E$7:$E$3000))))</f>
        <v/>
      </c>
      <c r="BR10" s="32" t="str">
        <f>+IF(BR$3="","",IF($AY10="","",IFERROR(INDEX('Data Consolidada'!$E$7:$E$891,MATCH(CONCATENATE(BR$3,"-",$CP10,"-",$AY10),'Data Consolidada'!$K$7:$K$891,0)),MAX('Data Consolidada'!$E$7:$E$3000))))</f>
        <v/>
      </c>
      <c r="BS10" s="32" t="str">
        <f>+IF(BS$3="","",IF($AY10="","",IFERROR(INDEX('Data Consolidada'!$E$7:$E$891,MATCH(CONCATENATE(BS$3,"-",$CP10,"-",$AY10),'Data Consolidada'!$K$7:$K$891,0)),MAX('Data Consolidada'!$E$7:$E$3000))))</f>
        <v/>
      </c>
      <c r="BT10" s="32" t="str">
        <f>+IF(BT$3="","",IF($AY10="","",IFERROR(INDEX('Data Consolidada'!$E$7:$E$891,MATCH(CONCATENATE(BT$3,"-",$CP10,"-",$AY10),'Data Consolidada'!$K$7:$K$891,0)),MAX('Data Consolidada'!$E$7:$E$3000))))</f>
        <v/>
      </c>
      <c r="BU10" s="32" t="str">
        <f>+IF(BU$3="","",IF($AY10="","",IFERROR(INDEX('Data Consolidada'!$E$7:$E$891,MATCH(CONCATENATE(BU$3,"-",$CP10,"-",$AY10),'Data Consolidada'!$K$7:$K$891,0)),MAX('Data Consolidada'!$E$7:$E$3000))))</f>
        <v/>
      </c>
      <c r="BV10" s="32" t="str">
        <f>+IF(BV$3="","",IF($AY10="","",IFERROR(INDEX('Data Consolidada'!$E$7:$E$891,MATCH(CONCATENATE(BV$3,"-",$CP10,"-",$AY10),'Data Consolidada'!$K$7:$K$891,0)),MAX('Data Consolidada'!$E$7:$E$3000))))</f>
        <v/>
      </c>
      <c r="BW10" s="32" t="str">
        <f>+IF(BW$3="","",IF($AY10="","",IFERROR(INDEX('Data Consolidada'!$E$7:$E$891,MATCH(CONCATENATE(BW$3,"-",$CP10,"-",$AY10),'Data Consolidada'!$K$7:$K$891,0)),MAX('Data Consolidada'!$E$7:$E$3000))))</f>
        <v/>
      </c>
      <c r="BX10" s="32" t="str">
        <f>+IF(BX$3="","",IF($AY10="","",IFERROR(INDEX('Data Consolidada'!$E$7:$E$891,MATCH(CONCATENATE(BX$3,"-",$CP10,"-",$AY10),'Data Consolidada'!$K$7:$K$891,0)),MAX('Data Consolidada'!$E$7:$E$3000))))</f>
        <v/>
      </c>
      <c r="BY10" s="32" t="str">
        <f>+IF(BY$3="","",IF($AY10="","",IFERROR(INDEX('Data Consolidada'!$E$7:$E$891,MATCH(CONCATENATE(BY$3,"-",$CP10,"-",$AY10),'Data Consolidada'!$K$7:$K$891,0)),MAX('Data Consolidada'!$E$7:$E$3000))))</f>
        <v/>
      </c>
      <c r="BZ10" s="32" t="str">
        <f>+IF(BZ$3="","",IF($AY10="","",IFERROR(INDEX('Data Consolidada'!$E$7:$E$891,MATCH(CONCATENATE(BZ$3,"-",$CP10,"-",$AY10),'Data Consolidada'!$K$7:$K$891,0)),MAX('Data Consolidada'!$E$7:$E$3000))))</f>
        <v/>
      </c>
      <c r="CA10" s="32" t="str">
        <f>+IF(CA$3="","",IF($AY10="","",IFERROR(INDEX('Data Consolidada'!$E$7:$E$891,MATCH(CONCATENATE(CA$3,"-",$CP10,"-",$AY10),'Data Consolidada'!$K$7:$K$891,0)),MAX('Data Consolidada'!$E$7:$E$3000))))</f>
        <v/>
      </c>
      <c r="CB10" s="32" t="str">
        <f>+IF(CB$3="","",IF($AY10="","",IFERROR(INDEX('Data Consolidada'!$E$7:$E$891,MATCH(CONCATENATE(CB$3,"-",$CP10,"-",$AY10),'Data Consolidada'!$K$7:$K$891,0)),MAX('Data Consolidada'!$E$7:$E$3000))))</f>
        <v/>
      </c>
      <c r="CC10" s="32" t="str">
        <f>+IF(CC$3="","",IF($AY10="","",IFERROR(INDEX('Data Consolidada'!$E$7:$E$891,MATCH(CONCATENATE(CC$3,"-",$CP10,"-",$AY10),'Data Consolidada'!$K$7:$K$891,0)),MAX('Data Consolidada'!$E$7:$E$3000))))</f>
        <v/>
      </c>
      <c r="CD10" s="32" t="str">
        <f>+IF(CD$3="","",IF($AY10="","",IFERROR(INDEX('Data Consolidada'!$E$7:$E$891,MATCH(CONCATENATE(CD$3,"-",$CP10,"-",$AY10),'Data Consolidada'!$K$7:$K$891,0)),MAX('Data Consolidada'!$E$7:$E$3000))))</f>
        <v/>
      </c>
      <c r="CE10" s="32" t="str">
        <f>+IF(CE$3="","",IF($AY10="","",IFERROR(INDEX('Data Consolidada'!$E$7:$E$891,MATCH(CONCATENATE(CE$3,"-",$CP10,"-",$AY10),'Data Consolidada'!$K$7:$K$891,0)),MAX('Data Consolidada'!$E$7:$E$3000))))</f>
        <v/>
      </c>
      <c r="CF10" s="32" t="str">
        <f>+IF(CF$3="","",IF($AY10="","",IFERROR(INDEX('Data Consolidada'!$E$7:$E$891,MATCH(CONCATENATE(CF$3,"-",$CP10,"-",$AY10),'Data Consolidada'!$K$7:$K$891,0)),MAX('Data Consolidada'!$E$7:$E$3000))))</f>
        <v/>
      </c>
      <c r="CG10" s="32" t="str">
        <f>+IF(CG$3="","",IF($AY10="","",IFERROR(INDEX('Data Consolidada'!$E$7:$E$891,MATCH(CONCATENATE(CG$3,"-",$CP10,"-",$AY10),'Data Consolidada'!$K$7:$K$891,0)),MAX('Data Consolidada'!$E$7:$E$3000))))</f>
        <v/>
      </c>
      <c r="CH10" s="32" t="str">
        <f>+IF(CH$3="","",IF($AY10="","",IFERROR(INDEX('Data Consolidada'!$E$7:$E$891,MATCH(CONCATENATE(CH$3,"-",$CP10,"-",$AY10),'Data Consolidada'!$K$7:$K$891,0)),MAX('Data Consolidada'!$E$7:$E$3000))))</f>
        <v/>
      </c>
      <c r="CI10" s="32" t="str">
        <f>+IF(CI$3="","",IF($AY10="","",IFERROR(INDEX('Data Consolidada'!$E$7:$E$891,MATCH(CONCATENATE(CI$3,"-",$CP10,"-",$AY10),'Data Consolidada'!$K$7:$K$891,0)),MAX('Data Consolidada'!$E$7:$E$3000))))</f>
        <v/>
      </c>
      <c r="CJ10" s="32" t="str">
        <f>+IF(CJ$3="","",IF($AY10="","",IFERROR(INDEX('Data Consolidada'!$E$7:$E$891,MATCH(CONCATENATE(CJ$3,"-",$CP10,"-",$AY10),'Data Consolidada'!$K$7:$K$891,0)),MAX('Data Consolidada'!$E$7:$E$3000))))</f>
        <v/>
      </c>
      <c r="CK10" s="32" t="str">
        <f>+IF(CK$3="","",IF($AY10="","",IFERROR(INDEX('Data Consolidada'!$E$7:$E$891,MATCH(CONCATENATE(CK$3,"-",$CP10,"-",$AY10),'Data Consolidada'!$K$7:$K$891,0)),MAX('Data Consolidada'!$E$7:$E$3000))))</f>
        <v/>
      </c>
      <c r="CL10" s="32" t="str">
        <f>+IF(CL$3="","",IF($AY10="","",IFERROR(INDEX('Data Consolidada'!$E$7:$E$891,MATCH(CONCATENATE(CL$3,"-",$CP10,"-",$AY10),'Data Consolidada'!$K$7:$K$891,0)),MAX('Data Consolidada'!$E$7:$E$3000))))</f>
        <v/>
      </c>
      <c r="CM10" s="32" t="str">
        <f>+IF(CM$3="","",IF($AY10="","",IFERROR(INDEX('Data Consolidada'!$E$7:$E$891,MATCH(CONCATENATE(CM$3,"-",$CP10,"-",$AY10),'Data Consolidada'!$K$7:$K$891,0)),MAX('Data Consolidada'!$E$7:$E$3000))))</f>
        <v/>
      </c>
      <c r="CN10" s="32" t="str">
        <f>+IF(CN$3="","",IF($AY10="","",IFERROR(INDEX('Data Consolidada'!$E$7:$E$891,MATCH(CONCATENATE(CN$3,"-",$CP10,"-",$AY10),'Data Consolidada'!$K$7:$K$891,0)),MAX('Data Consolidada'!$E$7:$E$3000))))</f>
        <v/>
      </c>
      <c r="CO10" s="37" t="str">
        <f>+IF(CO$3="","",IF($AY10="","",IFERROR(INDEX('Data Consolidada'!$E$7:$E$891,MATCH(CONCATENATE(CO$3,"-",$CP10,"-",$AY10),'Data Consolidada'!$K$7:$K$891,0)),MAX('Data Consolidada'!$E$7:$E$3000))))</f>
        <v/>
      </c>
      <c r="CP10" s="224" t="str">
        <f t="shared" ca="1" si="2"/>
        <v>MOSTAZAL</v>
      </c>
      <c r="CQ10" s="84" t="str">
        <f t="shared" ca="1" si="3"/>
        <v>PARRAOMOSTAZAL</v>
      </c>
    </row>
    <row r="11" spans="2:95" ht="15" customHeight="1" thickBot="1" x14ac:dyDescent="0.4">
      <c r="B11" s="46" t="str">
        <v xml:space="preserve">CRISTIAN LÓPEZ </v>
      </c>
      <c r="C11" s="5" t="str">
        <v>Panquehue</v>
      </c>
      <c r="D11" s="75" t="str" cm="1">
        <f t="array" ref="D11">+_xlfn._xlws.SORT(_xlfn._xlws.FILTER(_xlfn.UNIQUE(H14:H69),_xlfn.UNIQUE(H14:H69)&lt;&gt;""),1)</f>
        <v>MOSTAZAL</v>
      </c>
      <c r="G11" s="44"/>
      <c r="H11" s="54" t="s">
        <v>161</v>
      </c>
      <c r="I11" s="213">
        <v>0</v>
      </c>
      <c r="J11" s="214">
        <v>0</v>
      </c>
      <c r="K11" s="214">
        <v>0</v>
      </c>
      <c r="L11" s="214">
        <v>0</v>
      </c>
      <c r="M11" s="214">
        <v>0</v>
      </c>
      <c r="N11" s="214">
        <v>0</v>
      </c>
      <c r="O11" s="214">
        <v>0</v>
      </c>
      <c r="P11" s="214">
        <v>0</v>
      </c>
      <c r="Q11" s="214">
        <v>1</v>
      </c>
      <c r="R11" s="214">
        <v>1</v>
      </c>
      <c r="S11" s="214">
        <v>1</v>
      </c>
      <c r="T11" s="214">
        <v>1</v>
      </c>
      <c r="U11" s="214">
        <v>1</v>
      </c>
      <c r="V11" s="215">
        <v>1</v>
      </c>
      <c r="X11" s="43"/>
      <c r="Z11" s="245" t="s">
        <v>92</v>
      </c>
      <c r="AA11" s="247">
        <v>4</v>
      </c>
      <c r="AB11" s="254" cm="1">
        <f t="array" aca="1" ref="AB11" ca="1">+SUM(IF($B$72:$B$217=Z11,$C$72:$AR$217))</f>
        <v>0</v>
      </c>
      <c r="AC11" s="211">
        <f t="shared" ref="AC11:AC68" ca="1" si="4">+IFERROR(AB11/AB11,0)</f>
        <v>0</v>
      </c>
      <c r="AF11" s="14"/>
      <c r="AG11" s="204"/>
      <c r="AH11" s="228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229"/>
      <c r="AV11"/>
      <c r="AW11" s="13">
        <f>+IF(AX11="","",IF(AX11&gt;AX10,AW10,IF(AW10&lt;$D$69,AW10+1,IF(COUNT(AW$4:AW10)&lt;$B$69*$E$54,1,""))))</f>
        <v>1</v>
      </c>
      <c r="AX11" s="13">
        <f>+IF(AX10&lt;$B$69,AX10+1,IF(COUNT(AX$4:AX10)&lt;$B$69*$D$69,1,""))</f>
        <v>8</v>
      </c>
      <c r="AY11" s="189" t="str">
        <f t="shared" ca="1" si="1"/>
        <v>PAULA</v>
      </c>
      <c r="AZ11" s="36">
        <f ca="1">+IF(AZ$3="","",IF($AY11="","",IFERROR(INDEX('Data Consolidada'!$E$7:$E$891,MATCH(CONCATENATE(AZ$3,"-",$CP11,"-",$AY11),'Data Consolidada'!$K$7:$K$891,0)),MAX('Data Consolidada'!$E$7:$E$3000))))</f>
        <v>11000000</v>
      </c>
      <c r="BA11" s="32">
        <f ca="1">+IF(BA$3="","",IF($AY11="","",IFERROR(INDEX('Data Consolidada'!$E$7:$E$891,MATCH(CONCATENATE(BA$3,"-",$CP11,"-",$AY11),'Data Consolidada'!$K$7:$K$891,0)),MAX('Data Consolidada'!$E$7:$E$3000))))</f>
        <v>500000</v>
      </c>
      <c r="BB11" s="32" t="str">
        <f>+IF(BB$3="","",IF($AY11="","",IFERROR(INDEX('Data Consolidada'!$E$7:$E$891,MATCH(CONCATENATE(BB$3,"-",$CP11,"-",$AY11),'Data Consolidada'!$K$7:$K$891,0)),MAX('Data Consolidada'!$E$7:$E$3000))))</f>
        <v/>
      </c>
      <c r="BC11" s="32" t="str">
        <f>+IF(BC$3="","",IF($AY11="","",IFERROR(INDEX('Data Consolidada'!$E$7:$E$891,MATCH(CONCATENATE(BC$3,"-",$CP11,"-",$AY11),'Data Consolidada'!$K$7:$K$891,0)),MAX('Data Consolidada'!$E$7:$E$3000))))</f>
        <v/>
      </c>
      <c r="BD11" s="32" t="str">
        <f>+IF(BD$3="","",IF($AY11="","",IFERROR(INDEX('Data Consolidada'!$E$7:$E$891,MATCH(CONCATENATE(BD$3,"-",$CP11,"-",$AY11),'Data Consolidada'!$K$7:$K$891,0)),MAX('Data Consolidada'!$E$7:$E$3000))))</f>
        <v/>
      </c>
      <c r="BE11" s="32" t="str">
        <f>+IF(BE$3="","",IF($AY11="","",IFERROR(INDEX('Data Consolidada'!$E$7:$E$891,MATCH(CONCATENATE(BE$3,"-",$CP11,"-",$AY11),'Data Consolidada'!$K$7:$K$891,0)),MAX('Data Consolidada'!$E$7:$E$3000))))</f>
        <v/>
      </c>
      <c r="BF11" s="32" t="str">
        <f>+IF(BF$3="","",IF($AY11="","",IFERROR(INDEX('Data Consolidada'!$E$7:$E$891,MATCH(CONCATENATE(BF$3,"-",$CP11,"-",$AY11),'Data Consolidada'!$K$7:$K$891,0)),MAX('Data Consolidada'!$E$7:$E$3000))))</f>
        <v/>
      </c>
      <c r="BG11" s="32" t="str">
        <f>+IF(BG$3="","",IF($AY11="","",IFERROR(INDEX('Data Consolidada'!$E$7:$E$891,MATCH(CONCATENATE(BG$3,"-",$CP11,"-",$AY11),'Data Consolidada'!$K$7:$K$891,0)),MAX('Data Consolidada'!$E$7:$E$3000))))</f>
        <v/>
      </c>
      <c r="BH11" s="32" t="str">
        <f>+IF(BH$3="","",IF($AY11="","",IFERROR(INDEX('Data Consolidada'!$E$7:$E$891,MATCH(CONCATENATE(BH$3,"-",$CP11,"-",$AY11),'Data Consolidada'!$K$7:$K$891,0)),MAX('Data Consolidada'!$E$7:$E$3000))))</f>
        <v/>
      </c>
      <c r="BI11" s="32" t="str">
        <f>+IF(BI$3="","",IF($AY11="","",IFERROR(INDEX('Data Consolidada'!$E$7:$E$891,MATCH(CONCATENATE(BI$3,"-",$CP11,"-",$AY11),'Data Consolidada'!$K$7:$K$891,0)),MAX('Data Consolidada'!$E$7:$E$3000))))</f>
        <v/>
      </c>
      <c r="BJ11" s="32" t="str">
        <f>+IF(BJ$3="","",IF($AY11="","",IFERROR(INDEX('Data Consolidada'!$E$7:$E$891,MATCH(CONCATENATE(BJ$3,"-",$CP11,"-",$AY11),'Data Consolidada'!$K$7:$K$891,0)),MAX('Data Consolidada'!$E$7:$E$3000))))</f>
        <v/>
      </c>
      <c r="BK11" s="32" t="str">
        <f>+IF(BK$3="","",IF($AY11="","",IFERROR(INDEX('Data Consolidada'!$E$7:$E$891,MATCH(CONCATENATE(BK$3,"-",$CP11,"-",$AY11),'Data Consolidada'!$K$7:$K$891,0)),MAX('Data Consolidada'!$E$7:$E$3000))))</f>
        <v/>
      </c>
      <c r="BL11" s="32" t="str">
        <f>+IF(BL$3="","",IF($AY11="","",IFERROR(INDEX('Data Consolidada'!$E$7:$E$891,MATCH(CONCATENATE(BL$3,"-",$CP11,"-",$AY11),'Data Consolidada'!$K$7:$K$891,0)),MAX('Data Consolidada'!$E$7:$E$3000))))</f>
        <v/>
      </c>
      <c r="BM11" s="32" t="str">
        <f>+IF(BM$3="","",IF($AY11="","",IFERROR(INDEX('Data Consolidada'!$E$7:$E$891,MATCH(CONCATENATE(BM$3,"-",$CP11,"-",$AY11),'Data Consolidada'!$K$7:$K$891,0)),MAX('Data Consolidada'!$E$7:$E$3000))))</f>
        <v/>
      </c>
      <c r="BN11" s="32" t="str">
        <f>+IF(BN$3="","",IF($AY11="","",IFERROR(INDEX('Data Consolidada'!$E$7:$E$891,MATCH(CONCATENATE(BN$3,"-",$CP11,"-",$AY11),'Data Consolidada'!$K$7:$K$891,0)),MAX('Data Consolidada'!$E$7:$E$3000))))</f>
        <v/>
      </c>
      <c r="BO11" s="32" t="str">
        <f>+IF(BO$3="","",IF($AY11="","",IFERROR(INDEX('Data Consolidada'!$E$7:$E$891,MATCH(CONCATENATE(BO$3,"-",$CP11,"-",$AY11),'Data Consolidada'!$K$7:$K$891,0)),MAX('Data Consolidada'!$E$7:$E$3000))))</f>
        <v/>
      </c>
      <c r="BP11" s="32" t="str">
        <f>+IF(BP$3="","",IF($AY11="","",IFERROR(INDEX('Data Consolidada'!$E$7:$E$891,MATCH(CONCATENATE(BP$3,"-",$CP11,"-",$AY11),'Data Consolidada'!$K$7:$K$891,0)),MAX('Data Consolidada'!$E$7:$E$3000))))</f>
        <v/>
      </c>
      <c r="BQ11" s="32" t="str">
        <f>+IF(BQ$3="","",IF($AY11="","",IFERROR(INDEX('Data Consolidada'!$E$7:$E$891,MATCH(CONCATENATE(BQ$3,"-",$CP11,"-",$AY11),'Data Consolidada'!$K$7:$K$891,0)),MAX('Data Consolidada'!$E$7:$E$3000))))</f>
        <v/>
      </c>
      <c r="BR11" s="32" t="str">
        <f>+IF(BR$3="","",IF($AY11="","",IFERROR(INDEX('Data Consolidada'!$E$7:$E$891,MATCH(CONCATENATE(BR$3,"-",$CP11,"-",$AY11),'Data Consolidada'!$K$7:$K$891,0)),MAX('Data Consolidada'!$E$7:$E$3000))))</f>
        <v/>
      </c>
      <c r="BS11" s="32" t="str">
        <f>+IF(BS$3="","",IF($AY11="","",IFERROR(INDEX('Data Consolidada'!$E$7:$E$891,MATCH(CONCATENATE(BS$3,"-",$CP11,"-",$AY11),'Data Consolidada'!$K$7:$K$891,0)),MAX('Data Consolidada'!$E$7:$E$3000))))</f>
        <v/>
      </c>
      <c r="BT11" s="32" t="str">
        <f>+IF(BT$3="","",IF($AY11="","",IFERROR(INDEX('Data Consolidada'!$E$7:$E$891,MATCH(CONCATENATE(BT$3,"-",$CP11,"-",$AY11),'Data Consolidada'!$K$7:$K$891,0)),MAX('Data Consolidada'!$E$7:$E$3000))))</f>
        <v/>
      </c>
      <c r="BU11" s="32" t="str">
        <f>+IF(BU$3="","",IF($AY11="","",IFERROR(INDEX('Data Consolidada'!$E$7:$E$891,MATCH(CONCATENATE(BU$3,"-",$CP11,"-",$AY11),'Data Consolidada'!$K$7:$K$891,0)),MAX('Data Consolidada'!$E$7:$E$3000))))</f>
        <v/>
      </c>
      <c r="BV11" s="32" t="str">
        <f>+IF(BV$3="","",IF($AY11="","",IFERROR(INDEX('Data Consolidada'!$E$7:$E$891,MATCH(CONCATENATE(BV$3,"-",$CP11,"-",$AY11),'Data Consolidada'!$K$7:$K$891,0)),MAX('Data Consolidada'!$E$7:$E$3000))))</f>
        <v/>
      </c>
      <c r="BW11" s="32" t="str">
        <f>+IF(BW$3="","",IF($AY11="","",IFERROR(INDEX('Data Consolidada'!$E$7:$E$891,MATCH(CONCATENATE(BW$3,"-",$CP11,"-",$AY11),'Data Consolidada'!$K$7:$K$891,0)),MAX('Data Consolidada'!$E$7:$E$3000))))</f>
        <v/>
      </c>
      <c r="BX11" s="32" t="str">
        <f>+IF(BX$3="","",IF($AY11="","",IFERROR(INDEX('Data Consolidada'!$E$7:$E$891,MATCH(CONCATENATE(BX$3,"-",$CP11,"-",$AY11),'Data Consolidada'!$K$7:$K$891,0)),MAX('Data Consolidada'!$E$7:$E$3000))))</f>
        <v/>
      </c>
      <c r="BY11" s="32" t="str">
        <f>+IF(BY$3="","",IF($AY11="","",IFERROR(INDEX('Data Consolidada'!$E$7:$E$891,MATCH(CONCATENATE(BY$3,"-",$CP11,"-",$AY11),'Data Consolidada'!$K$7:$K$891,0)),MAX('Data Consolidada'!$E$7:$E$3000))))</f>
        <v/>
      </c>
      <c r="BZ11" s="32" t="str">
        <f>+IF(BZ$3="","",IF($AY11="","",IFERROR(INDEX('Data Consolidada'!$E$7:$E$891,MATCH(CONCATENATE(BZ$3,"-",$CP11,"-",$AY11),'Data Consolidada'!$K$7:$K$891,0)),MAX('Data Consolidada'!$E$7:$E$3000))))</f>
        <v/>
      </c>
      <c r="CA11" s="32" t="str">
        <f>+IF(CA$3="","",IF($AY11="","",IFERROR(INDEX('Data Consolidada'!$E$7:$E$891,MATCH(CONCATENATE(CA$3,"-",$CP11,"-",$AY11),'Data Consolidada'!$K$7:$K$891,0)),MAX('Data Consolidada'!$E$7:$E$3000))))</f>
        <v/>
      </c>
      <c r="CB11" s="32" t="str">
        <f>+IF(CB$3="","",IF($AY11="","",IFERROR(INDEX('Data Consolidada'!$E$7:$E$891,MATCH(CONCATENATE(CB$3,"-",$CP11,"-",$AY11),'Data Consolidada'!$K$7:$K$891,0)),MAX('Data Consolidada'!$E$7:$E$3000))))</f>
        <v/>
      </c>
      <c r="CC11" s="32" t="str">
        <f>+IF(CC$3="","",IF($AY11="","",IFERROR(INDEX('Data Consolidada'!$E$7:$E$891,MATCH(CONCATENATE(CC$3,"-",$CP11,"-",$AY11),'Data Consolidada'!$K$7:$K$891,0)),MAX('Data Consolidada'!$E$7:$E$3000))))</f>
        <v/>
      </c>
      <c r="CD11" s="32" t="str">
        <f>+IF(CD$3="","",IF($AY11="","",IFERROR(INDEX('Data Consolidada'!$E$7:$E$891,MATCH(CONCATENATE(CD$3,"-",$CP11,"-",$AY11),'Data Consolidada'!$K$7:$K$891,0)),MAX('Data Consolidada'!$E$7:$E$3000))))</f>
        <v/>
      </c>
      <c r="CE11" s="32" t="str">
        <f>+IF(CE$3="","",IF($AY11="","",IFERROR(INDEX('Data Consolidada'!$E$7:$E$891,MATCH(CONCATENATE(CE$3,"-",$CP11,"-",$AY11),'Data Consolidada'!$K$7:$K$891,0)),MAX('Data Consolidada'!$E$7:$E$3000))))</f>
        <v/>
      </c>
      <c r="CF11" s="32" t="str">
        <f>+IF(CF$3="","",IF($AY11="","",IFERROR(INDEX('Data Consolidada'!$E$7:$E$891,MATCH(CONCATENATE(CF$3,"-",$CP11,"-",$AY11),'Data Consolidada'!$K$7:$K$891,0)),MAX('Data Consolidada'!$E$7:$E$3000))))</f>
        <v/>
      </c>
      <c r="CG11" s="32" t="str">
        <f>+IF(CG$3="","",IF($AY11="","",IFERROR(INDEX('Data Consolidada'!$E$7:$E$891,MATCH(CONCATENATE(CG$3,"-",$CP11,"-",$AY11),'Data Consolidada'!$K$7:$K$891,0)),MAX('Data Consolidada'!$E$7:$E$3000))))</f>
        <v/>
      </c>
      <c r="CH11" s="32" t="str">
        <f>+IF(CH$3="","",IF($AY11="","",IFERROR(INDEX('Data Consolidada'!$E$7:$E$891,MATCH(CONCATENATE(CH$3,"-",$CP11,"-",$AY11),'Data Consolidada'!$K$7:$K$891,0)),MAX('Data Consolidada'!$E$7:$E$3000))))</f>
        <v/>
      </c>
      <c r="CI11" s="32" t="str">
        <f>+IF(CI$3="","",IF($AY11="","",IFERROR(INDEX('Data Consolidada'!$E$7:$E$891,MATCH(CONCATENATE(CI$3,"-",$CP11,"-",$AY11),'Data Consolidada'!$K$7:$K$891,0)),MAX('Data Consolidada'!$E$7:$E$3000))))</f>
        <v/>
      </c>
      <c r="CJ11" s="32" t="str">
        <f>+IF(CJ$3="","",IF($AY11="","",IFERROR(INDEX('Data Consolidada'!$E$7:$E$891,MATCH(CONCATENATE(CJ$3,"-",$CP11,"-",$AY11),'Data Consolidada'!$K$7:$K$891,0)),MAX('Data Consolidada'!$E$7:$E$3000))))</f>
        <v/>
      </c>
      <c r="CK11" s="32" t="str">
        <f>+IF(CK$3="","",IF($AY11="","",IFERROR(INDEX('Data Consolidada'!$E$7:$E$891,MATCH(CONCATENATE(CK$3,"-",$CP11,"-",$AY11),'Data Consolidada'!$K$7:$K$891,0)),MAX('Data Consolidada'!$E$7:$E$3000))))</f>
        <v/>
      </c>
      <c r="CL11" s="32" t="str">
        <f>+IF(CL$3="","",IF($AY11="","",IFERROR(INDEX('Data Consolidada'!$E$7:$E$891,MATCH(CONCATENATE(CL$3,"-",$CP11,"-",$AY11),'Data Consolidada'!$K$7:$K$891,0)),MAX('Data Consolidada'!$E$7:$E$3000))))</f>
        <v/>
      </c>
      <c r="CM11" s="32" t="str">
        <f>+IF(CM$3="","",IF($AY11="","",IFERROR(INDEX('Data Consolidada'!$E$7:$E$891,MATCH(CONCATENATE(CM$3,"-",$CP11,"-",$AY11),'Data Consolidada'!$K$7:$K$891,0)),MAX('Data Consolidada'!$E$7:$E$3000))))</f>
        <v/>
      </c>
      <c r="CN11" s="32" t="str">
        <f>+IF(CN$3="","",IF($AY11="","",IFERROR(INDEX('Data Consolidada'!$E$7:$E$891,MATCH(CONCATENATE(CN$3,"-",$CP11,"-",$AY11),'Data Consolidada'!$K$7:$K$891,0)),MAX('Data Consolidada'!$E$7:$E$3000))))</f>
        <v/>
      </c>
      <c r="CO11" s="37" t="str">
        <f>+IF(CO$3="","",IF($AY11="","",IFERROR(INDEX('Data Consolidada'!$E$7:$E$891,MATCH(CONCATENATE(CO$3,"-",$CP11,"-",$AY11),'Data Consolidada'!$K$7:$K$891,0)),MAX('Data Consolidada'!$E$7:$E$3000))))</f>
        <v/>
      </c>
      <c r="CP11" s="224" t="str">
        <f t="shared" ca="1" si="2"/>
        <v>MOSTAZAL</v>
      </c>
      <c r="CQ11" s="84" t="str">
        <f t="shared" ca="1" si="3"/>
        <v>PAULAMOSTAZAL</v>
      </c>
    </row>
    <row r="12" spans="2:95" ht="15" customHeight="1" thickBot="1" x14ac:dyDescent="0.4">
      <c r="B12" s="46" t="str">
        <v xml:space="preserve">GUSTAVO ZÚÑIGA </v>
      </c>
      <c r="C12" s="5"/>
      <c r="D12" s="75" cm="1">
        <f t="array" ref="D12">+_xlfn._xlws.SORT(_xlfn._xlws.FILTER(_xlfn.UNIQUE(H15:H70),_xlfn.UNIQUE(H15:H70)&lt;&gt;""),1)</f>
        <v>0</v>
      </c>
      <c r="F12" s="201" t="s">
        <v>156</v>
      </c>
      <c r="G12" s="190" t="s">
        <v>101</v>
      </c>
      <c r="H12" s="232" t="s">
        <v>16</v>
      </c>
      <c r="I12" s="233">
        <f t="shared" ref="I12:V12" si="5">+AH2</f>
        <v>45574</v>
      </c>
      <c r="J12" s="234">
        <f t="shared" si="5"/>
        <v>45575</v>
      </c>
      <c r="K12" s="234">
        <f t="shared" si="5"/>
        <v>45576</v>
      </c>
      <c r="L12" s="234">
        <f t="shared" si="5"/>
        <v>45577</v>
      </c>
      <c r="M12" s="234">
        <f t="shared" si="5"/>
        <v>45578</v>
      </c>
      <c r="N12" s="234">
        <f t="shared" si="5"/>
        <v>45579</v>
      </c>
      <c r="O12" s="234">
        <f t="shared" si="5"/>
        <v>45580</v>
      </c>
      <c r="P12" s="234">
        <f t="shared" si="5"/>
        <v>45581</v>
      </c>
      <c r="Q12" s="234">
        <f t="shared" si="5"/>
        <v>45582</v>
      </c>
      <c r="R12" s="234">
        <f t="shared" si="5"/>
        <v>45583</v>
      </c>
      <c r="S12" s="234">
        <f t="shared" si="5"/>
        <v>45584</v>
      </c>
      <c r="T12" s="234">
        <f t="shared" si="5"/>
        <v>45585</v>
      </c>
      <c r="U12" s="234">
        <f t="shared" si="5"/>
        <v>45586</v>
      </c>
      <c r="V12" s="235">
        <f t="shared" si="5"/>
        <v>45587</v>
      </c>
      <c r="W12" s="203" t="s">
        <v>103</v>
      </c>
      <c r="X12" s="43"/>
      <c r="Y12" s="11"/>
      <c r="Z12" s="245" t="s">
        <v>83</v>
      </c>
      <c r="AA12" s="247">
        <v>4</v>
      </c>
      <c r="AB12" s="254" cm="1">
        <f t="array" aca="1" ref="AB12" ca="1">+SUM(IF($B$72:$B$217=Z12,$C$72:$AR$217))</f>
        <v>0</v>
      </c>
      <c r="AC12" s="211">
        <f t="shared" ca="1" si="4"/>
        <v>0</v>
      </c>
      <c r="AF12" s="14"/>
      <c r="AG12" s="204"/>
      <c r="AH12" s="228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229"/>
      <c r="AW12" s="13">
        <f>+IF(AX12="","",IF(AX12&gt;AX11,AW11,IF(AW11&lt;$D$69,AW11+1,IF(COUNT(AW$4:AW11)&lt;$B$69*$E$54,1,""))))</f>
        <v>1</v>
      </c>
      <c r="AX12" s="13">
        <f>+IF(AX11&lt;$B$69,AX11+1,IF(COUNT(AX$4:AX11)&lt;$B$69*$D$69,1,""))</f>
        <v>9</v>
      </c>
      <c r="AY12" s="189" t="str">
        <f t="shared" ca="1" si="1"/>
        <v>TH TRANSPORTES</v>
      </c>
      <c r="AZ12" s="36">
        <f ca="1">+IF(AZ$3="","",IF($AY12="","",IFERROR(INDEX('Data Consolidada'!$E$7:$E$891,MATCH(CONCATENATE(AZ$3,"-",$CP12,"-",$AY12),'Data Consolidada'!$K$7:$K$891,0)),MAX('Data Consolidada'!$E$7:$E$3000))))</f>
        <v>11000000</v>
      </c>
      <c r="BA12" s="32">
        <f ca="1">+IF(BA$3="","",IF($AY12="","",IFERROR(INDEX('Data Consolidada'!$E$7:$E$891,MATCH(CONCATENATE(BA$3,"-",$CP12,"-",$AY12),'Data Consolidada'!$K$7:$K$891,0)),MAX('Data Consolidada'!$E$7:$E$3000))))</f>
        <v>650000</v>
      </c>
      <c r="BB12" s="32" t="str">
        <f>+IF(BB$3="","",IF($AY12="","",IFERROR(INDEX('Data Consolidada'!$E$7:$E$891,MATCH(CONCATENATE(BB$3,"-",$CP12,"-",$AY12),'Data Consolidada'!$K$7:$K$891,0)),MAX('Data Consolidada'!$E$7:$E$3000))))</f>
        <v/>
      </c>
      <c r="BC12" s="32" t="str">
        <f>+IF(BC$3="","",IF($AY12="","",IFERROR(INDEX('Data Consolidada'!$E$7:$E$891,MATCH(CONCATENATE(BC$3,"-",$CP12,"-",$AY12),'Data Consolidada'!$K$7:$K$891,0)),MAX('Data Consolidada'!$E$7:$E$3000))))</f>
        <v/>
      </c>
      <c r="BD12" s="32" t="str">
        <f>+IF(BD$3="","",IF($AY12="","",IFERROR(INDEX('Data Consolidada'!$E$7:$E$891,MATCH(CONCATENATE(BD$3,"-",$CP12,"-",$AY12),'Data Consolidada'!$K$7:$K$891,0)),MAX('Data Consolidada'!$E$7:$E$3000))))</f>
        <v/>
      </c>
      <c r="BE12" s="32" t="str">
        <f>+IF(BE$3="","",IF($AY12="","",IFERROR(INDEX('Data Consolidada'!$E$7:$E$891,MATCH(CONCATENATE(BE$3,"-",$CP12,"-",$AY12),'Data Consolidada'!$K$7:$K$891,0)),MAX('Data Consolidada'!$E$7:$E$3000))))</f>
        <v/>
      </c>
      <c r="BF12" s="32" t="str">
        <f>+IF(BF$3="","",IF($AY12="","",IFERROR(INDEX('Data Consolidada'!$E$7:$E$891,MATCH(CONCATENATE(BF$3,"-",$CP12,"-",$AY12),'Data Consolidada'!$K$7:$K$891,0)),MAX('Data Consolidada'!$E$7:$E$3000))))</f>
        <v/>
      </c>
      <c r="BG12" s="32" t="str">
        <f>+IF(BG$3="","",IF($AY12="","",IFERROR(INDEX('Data Consolidada'!$E$7:$E$891,MATCH(CONCATENATE(BG$3,"-",$CP12,"-",$AY12),'Data Consolidada'!$K$7:$K$891,0)),MAX('Data Consolidada'!$E$7:$E$3000))))</f>
        <v/>
      </c>
      <c r="BH12" s="32" t="str">
        <f>+IF(BH$3="","",IF($AY12="","",IFERROR(INDEX('Data Consolidada'!$E$7:$E$891,MATCH(CONCATENATE(BH$3,"-",$CP12,"-",$AY12),'Data Consolidada'!$K$7:$K$891,0)),MAX('Data Consolidada'!$E$7:$E$3000))))</f>
        <v/>
      </c>
      <c r="BI12" s="32" t="str">
        <f>+IF(BI$3="","",IF($AY12="","",IFERROR(INDEX('Data Consolidada'!$E$7:$E$891,MATCH(CONCATENATE(BI$3,"-",$CP12,"-",$AY12),'Data Consolidada'!$K$7:$K$891,0)),MAX('Data Consolidada'!$E$7:$E$3000))))</f>
        <v/>
      </c>
      <c r="BJ12" s="32" t="str">
        <f>+IF(BJ$3="","",IF($AY12="","",IFERROR(INDEX('Data Consolidada'!$E$7:$E$891,MATCH(CONCATENATE(BJ$3,"-",$CP12,"-",$AY12),'Data Consolidada'!$K$7:$K$891,0)),MAX('Data Consolidada'!$E$7:$E$3000))))</f>
        <v/>
      </c>
      <c r="BK12" s="32" t="str">
        <f>+IF(BK$3="","",IF($AY12="","",IFERROR(INDEX('Data Consolidada'!$E$7:$E$891,MATCH(CONCATENATE(BK$3,"-",$CP12,"-",$AY12),'Data Consolidada'!$K$7:$K$891,0)),MAX('Data Consolidada'!$E$7:$E$3000))))</f>
        <v/>
      </c>
      <c r="BL12" s="32" t="str">
        <f>+IF(BL$3="","",IF($AY12="","",IFERROR(INDEX('Data Consolidada'!$E$7:$E$891,MATCH(CONCATENATE(BL$3,"-",$CP12,"-",$AY12),'Data Consolidada'!$K$7:$K$891,0)),MAX('Data Consolidada'!$E$7:$E$3000))))</f>
        <v/>
      </c>
      <c r="BM12" s="32" t="str">
        <f>+IF(BM$3="","",IF($AY12="","",IFERROR(INDEX('Data Consolidada'!$E$7:$E$891,MATCH(CONCATENATE(BM$3,"-",$CP12,"-",$AY12),'Data Consolidada'!$K$7:$K$891,0)),MAX('Data Consolidada'!$E$7:$E$3000))))</f>
        <v/>
      </c>
      <c r="BN12" s="32" t="str">
        <f>+IF(BN$3="","",IF($AY12="","",IFERROR(INDEX('Data Consolidada'!$E$7:$E$891,MATCH(CONCATENATE(BN$3,"-",$CP12,"-",$AY12),'Data Consolidada'!$K$7:$K$891,0)),MAX('Data Consolidada'!$E$7:$E$3000))))</f>
        <v/>
      </c>
      <c r="BO12" s="32" t="str">
        <f>+IF(BO$3="","",IF($AY12="","",IFERROR(INDEX('Data Consolidada'!$E$7:$E$891,MATCH(CONCATENATE(BO$3,"-",$CP12,"-",$AY12),'Data Consolidada'!$K$7:$K$891,0)),MAX('Data Consolidada'!$E$7:$E$3000))))</f>
        <v/>
      </c>
      <c r="BP12" s="32" t="str">
        <f>+IF(BP$3="","",IF($AY12="","",IFERROR(INDEX('Data Consolidada'!$E$7:$E$891,MATCH(CONCATENATE(BP$3,"-",$CP12,"-",$AY12),'Data Consolidada'!$K$7:$K$891,0)),MAX('Data Consolidada'!$E$7:$E$3000))))</f>
        <v/>
      </c>
      <c r="BQ12" s="32" t="str">
        <f>+IF(BQ$3="","",IF($AY12="","",IFERROR(INDEX('Data Consolidada'!$E$7:$E$891,MATCH(CONCATENATE(BQ$3,"-",$CP12,"-",$AY12),'Data Consolidada'!$K$7:$K$891,0)),MAX('Data Consolidada'!$E$7:$E$3000))))</f>
        <v/>
      </c>
      <c r="BR12" s="32" t="str">
        <f>+IF(BR$3="","",IF($AY12="","",IFERROR(INDEX('Data Consolidada'!$E$7:$E$891,MATCH(CONCATENATE(BR$3,"-",$CP12,"-",$AY12),'Data Consolidada'!$K$7:$K$891,0)),MAX('Data Consolidada'!$E$7:$E$3000))))</f>
        <v/>
      </c>
      <c r="BS12" s="32" t="str">
        <f>+IF(BS$3="","",IF($AY12="","",IFERROR(INDEX('Data Consolidada'!$E$7:$E$891,MATCH(CONCATENATE(BS$3,"-",$CP12,"-",$AY12),'Data Consolidada'!$K$7:$K$891,0)),MAX('Data Consolidada'!$E$7:$E$3000))))</f>
        <v/>
      </c>
      <c r="BT12" s="32" t="str">
        <f>+IF(BT$3="","",IF($AY12="","",IFERROR(INDEX('Data Consolidada'!$E$7:$E$891,MATCH(CONCATENATE(BT$3,"-",$CP12,"-",$AY12),'Data Consolidada'!$K$7:$K$891,0)),MAX('Data Consolidada'!$E$7:$E$3000))))</f>
        <v/>
      </c>
      <c r="BU12" s="32" t="str">
        <f>+IF(BU$3="","",IF($AY12="","",IFERROR(INDEX('Data Consolidada'!$E$7:$E$891,MATCH(CONCATENATE(BU$3,"-",$CP12,"-",$AY12),'Data Consolidada'!$K$7:$K$891,0)),MAX('Data Consolidada'!$E$7:$E$3000))))</f>
        <v/>
      </c>
      <c r="BV12" s="32" t="str">
        <f>+IF(BV$3="","",IF($AY12="","",IFERROR(INDEX('Data Consolidada'!$E$7:$E$891,MATCH(CONCATENATE(BV$3,"-",$CP12,"-",$AY12),'Data Consolidada'!$K$7:$K$891,0)),MAX('Data Consolidada'!$E$7:$E$3000))))</f>
        <v/>
      </c>
      <c r="BW12" s="32" t="str">
        <f>+IF(BW$3="","",IF($AY12="","",IFERROR(INDEX('Data Consolidada'!$E$7:$E$891,MATCH(CONCATENATE(BW$3,"-",$CP12,"-",$AY12),'Data Consolidada'!$K$7:$K$891,0)),MAX('Data Consolidada'!$E$7:$E$3000))))</f>
        <v/>
      </c>
      <c r="BX12" s="32" t="str">
        <f>+IF(BX$3="","",IF($AY12="","",IFERROR(INDEX('Data Consolidada'!$E$7:$E$891,MATCH(CONCATENATE(BX$3,"-",$CP12,"-",$AY12),'Data Consolidada'!$K$7:$K$891,0)),MAX('Data Consolidada'!$E$7:$E$3000))))</f>
        <v/>
      </c>
      <c r="BY12" s="32" t="str">
        <f>+IF(BY$3="","",IF($AY12="","",IFERROR(INDEX('Data Consolidada'!$E$7:$E$891,MATCH(CONCATENATE(BY$3,"-",$CP12,"-",$AY12),'Data Consolidada'!$K$7:$K$891,0)),MAX('Data Consolidada'!$E$7:$E$3000))))</f>
        <v/>
      </c>
      <c r="BZ12" s="32" t="str">
        <f>+IF(BZ$3="","",IF($AY12="","",IFERROR(INDEX('Data Consolidada'!$E$7:$E$891,MATCH(CONCATENATE(BZ$3,"-",$CP12,"-",$AY12),'Data Consolidada'!$K$7:$K$891,0)),MAX('Data Consolidada'!$E$7:$E$3000))))</f>
        <v/>
      </c>
      <c r="CA12" s="32" t="str">
        <f>+IF(CA$3="","",IF($AY12="","",IFERROR(INDEX('Data Consolidada'!$E$7:$E$891,MATCH(CONCATENATE(CA$3,"-",$CP12,"-",$AY12),'Data Consolidada'!$K$7:$K$891,0)),MAX('Data Consolidada'!$E$7:$E$3000))))</f>
        <v/>
      </c>
      <c r="CB12" s="32" t="str">
        <f>+IF(CB$3="","",IF($AY12="","",IFERROR(INDEX('Data Consolidada'!$E$7:$E$891,MATCH(CONCATENATE(CB$3,"-",$CP12,"-",$AY12),'Data Consolidada'!$K$7:$K$891,0)),MAX('Data Consolidada'!$E$7:$E$3000))))</f>
        <v/>
      </c>
      <c r="CC12" s="32" t="str">
        <f>+IF(CC$3="","",IF($AY12="","",IFERROR(INDEX('Data Consolidada'!$E$7:$E$891,MATCH(CONCATENATE(CC$3,"-",$CP12,"-",$AY12),'Data Consolidada'!$K$7:$K$891,0)),MAX('Data Consolidada'!$E$7:$E$3000))))</f>
        <v/>
      </c>
      <c r="CD12" s="32" t="str">
        <f>+IF(CD$3="","",IF($AY12="","",IFERROR(INDEX('Data Consolidada'!$E$7:$E$891,MATCH(CONCATENATE(CD$3,"-",$CP12,"-",$AY12),'Data Consolidada'!$K$7:$K$891,0)),MAX('Data Consolidada'!$E$7:$E$3000))))</f>
        <v/>
      </c>
      <c r="CE12" s="32" t="str">
        <f>+IF(CE$3="","",IF($AY12="","",IFERROR(INDEX('Data Consolidada'!$E$7:$E$891,MATCH(CONCATENATE(CE$3,"-",$CP12,"-",$AY12),'Data Consolidada'!$K$7:$K$891,0)),MAX('Data Consolidada'!$E$7:$E$3000))))</f>
        <v/>
      </c>
      <c r="CF12" s="32" t="str">
        <f>+IF(CF$3="","",IF($AY12="","",IFERROR(INDEX('Data Consolidada'!$E$7:$E$891,MATCH(CONCATENATE(CF$3,"-",$CP12,"-",$AY12),'Data Consolidada'!$K$7:$K$891,0)),MAX('Data Consolidada'!$E$7:$E$3000))))</f>
        <v/>
      </c>
      <c r="CG12" s="32" t="str">
        <f>+IF(CG$3="","",IF($AY12="","",IFERROR(INDEX('Data Consolidada'!$E$7:$E$891,MATCH(CONCATENATE(CG$3,"-",$CP12,"-",$AY12),'Data Consolidada'!$K$7:$K$891,0)),MAX('Data Consolidada'!$E$7:$E$3000))))</f>
        <v/>
      </c>
      <c r="CH12" s="32" t="str">
        <f>+IF(CH$3="","",IF($AY12="","",IFERROR(INDEX('Data Consolidada'!$E$7:$E$891,MATCH(CONCATENATE(CH$3,"-",$CP12,"-",$AY12),'Data Consolidada'!$K$7:$K$891,0)),MAX('Data Consolidada'!$E$7:$E$3000))))</f>
        <v/>
      </c>
      <c r="CI12" s="32" t="str">
        <f>+IF(CI$3="","",IF($AY12="","",IFERROR(INDEX('Data Consolidada'!$E$7:$E$891,MATCH(CONCATENATE(CI$3,"-",$CP12,"-",$AY12),'Data Consolidada'!$K$7:$K$891,0)),MAX('Data Consolidada'!$E$7:$E$3000))))</f>
        <v/>
      </c>
      <c r="CJ12" s="32" t="str">
        <f>+IF(CJ$3="","",IF($AY12="","",IFERROR(INDEX('Data Consolidada'!$E$7:$E$891,MATCH(CONCATENATE(CJ$3,"-",$CP12,"-",$AY12),'Data Consolidada'!$K$7:$K$891,0)),MAX('Data Consolidada'!$E$7:$E$3000))))</f>
        <v/>
      </c>
      <c r="CK12" s="32" t="str">
        <f>+IF(CK$3="","",IF($AY12="","",IFERROR(INDEX('Data Consolidada'!$E$7:$E$891,MATCH(CONCATENATE(CK$3,"-",$CP12,"-",$AY12),'Data Consolidada'!$K$7:$K$891,0)),MAX('Data Consolidada'!$E$7:$E$3000))))</f>
        <v/>
      </c>
      <c r="CL12" s="32" t="str">
        <f>+IF(CL$3="","",IF($AY12="","",IFERROR(INDEX('Data Consolidada'!$E$7:$E$891,MATCH(CONCATENATE(CL$3,"-",$CP12,"-",$AY12),'Data Consolidada'!$K$7:$K$891,0)),MAX('Data Consolidada'!$E$7:$E$3000))))</f>
        <v/>
      </c>
      <c r="CM12" s="32" t="str">
        <f>+IF(CM$3="","",IF($AY12="","",IFERROR(INDEX('Data Consolidada'!$E$7:$E$891,MATCH(CONCATENATE(CM$3,"-",$CP12,"-",$AY12),'Data Consolidada'!$K$7:$K$891,0)),MAX('Data Consolidada'!$E$7:$E$3000))))</f>
        <v/>
      </c>
      <c r="CN12" s="32" t="str">
        <f>+IF(CN$3="","",IF($AY12="","",IFERROR(INDEX('Data Consolidada'!$E$7:$E$891,MATCH(CONCATENATE(CN$3,"-",$CP12,"-",$AY12),'Data Consolidada'!$K$7:$K$891,0)),MAX('Data Consolidada'!$E$7:$E$3000))))</f>
        <v/>
      </c>
      <c r="CO12" s="37" t="str">
        <f>+IF(CO$3="","",IF($AY12="","",IFERROR(INDEX('Data Consolidada'!$E$7:$E$891,MATCH(CONCATENATE(CO$3,"-",$CP12,"-",$AY12),'Data Consolidada'!$K$7:$K$891,0)),MAX('Data Consolidada'!$E$7:$E$3000))))</f>
        <v/>
      </c>
      <c r="CP12" s="224" t="str">
        <f t="shared" ca="1" si="2"/>
        <v>MOSTAZAL</v>
      </c>
      <c r="CQ12" s="84" t="str">
        <f t="shared" ca="1" si="3"/>
        <v>TH TRANSPORTESMOSTAZAL</v>
      </c>
    </row>
    <row r="13" spans="2:95" ht="15" customHeight="1" thickBot="1" x14ac:dyDescent="0.4">
      <c r="B13" s="46" t="str">
        <v>LAVALLE</v>
      </c>
      <c r="C13" s="5"/>
      <c r="D13" s="75" cm="1">
        <f t="array" ref="D13">+_xlfn._xlws.SORT(_xlfn._xlws.FILTER(_xlfn.UNIQUE(H16:H71),_xlfn.UNIQUE(H16:H71)&lt;&gt;""),1)</f>
        <v>0</v>
      </c>
      <c r="F13" s="256" t="s">
        <v>157</v>
      </c>
      <c r="G13" s="28" t="str" cm="1">
        <f t="array" ref="G13:H14">+_xlfn.UNIQUE(_xlfn._xlws.FILTER(AF3:AG58,AG3:AG58&lt;&gt;""))</f>
        <v>El Retorno</v>
      </c>
      <c r="H13" s="58" t="str">
        <v>MOSTAZAL</v>
      </c>
      <c r="I13" s="264" t="str">
        <f t="shared" ref="I13:I44" si="6">+IF(SUMIFS(AH$3:AH$58,$AG$3:$AG$58,$H13,$AF$3:$AF$58,$G13)=0,"",SUMIFS(AH$3:AH$58,$AG$3:$AG$58,$H13,$AF$3:$AF$58,$G13))</f>
        <v/>
      </c>
      <c r="J13" s="265" t="str">
        <f t="shared" ref="J13:J44" si="7">+IF(SUMIFS(AI$3:AI$58,$AG$3:$AG$58,$H13,$AF$3:$AF$58,$G13)=0,"",SUMIFS(AI$3:AI$58,$AG$3:$AG$58,$H13,$AF$3:$AF$58,$G13))</f>
        <v/>
      </c>
      <c r="K13" s="265" t="str">
        <f t="shared" ref="K13:K44" si="8">+IF(SUMIFS(AJ$3:AJ$58,$AG$3:$AG$58,$H13,$AF$3:$AF$58,$G13)=0,"",SUMIFS(AJ$3:AJ$58,$AG$3:$AG$58,$H13,$AF$3:$AF$58,$G13))</f>
        <v/>
      </c>
      <c r="L13" s="265" t="str">
        <f t="shared" ref="L13:L44" si="9">+IF(SUMIFS(AK$3:AK$58,$AG$3:$AG$58,$H13,$AF$3:$AF$58,$G13)=0,"",SUMIFS(AK$3:AK$58,$AG$3:$AG$58,$H13,$AF$3:$AF$58,$G13))</f>
        <v/>
      </c>
      <c r="M13" s="265" t="str">
        <f t="shared" ref="M13:M44" si="10">+IF(SUMIFS(AL$3:AL$58,$AG$3:$AG$58,$H13,$AF$3:$AF$58,$G13)=0,"",SUMIFS(AL$3:AL$58,$AG$3:$AG$58,$H13,$AF$3:$AF$58,$G13))</f>
        <v/>
      </c>
      <c r="N13" s="265" t="str">
        <f t="shared" ref="N13:N44" si="11">+IF(SUMIFS(AM$3:AM$58,$AG$3:$AG$58,$H13,$AF$3:$AF$58,$G13)=0,"",SUMIFS(AM$3:AM$58,$AG$3:$AG$58,$H13,$AF$3:$AF$58,$G13))</f>
        <v/>
      </c>
      <c r="O13" s="265" t="str">
        <f t="shared" ref="O13:O44" si="12">+IF(SUMIFS(AN$3:AN$58,$AG$3:$AG$58,$H13,$AF$3:$AF$58,$G13)=0,"",SUMIFS(AN$3:AN$58,$AG$3:$AG$58,$H13,$AF$3:$AF$58,$G13))</f>
        <v/>
      </c>
      <c r="P13" s="265" t="str">
        <f t="shared" ref="P13:P44" si="13">+IF(SUMIFS(AO$3:AO$58,$AG$3:$AG$58,$H13,$AF$3:$AF$58,$G13)=0,"",SUMIFS(AO$3:AO$58,$AG$3:$AG$58,$H13,$AF$3:$AF$58,$G13))</f>
        <v/>
      </c>
      <c r="Q13" s="265">
        <f t="shared" ref="Q13:R44" si="14">+IF(SUMIFS(AP$3:AP$58,$AG$3:$AG$58,$H13,$AF$3:$AF$58,$G13)=0,"",SUMIFS(AP$3:AP$58,$AG$3:$AG$58,$H13,$AF$3:$AF$58,$G13))</f>
        <v>1000</v>
      </c>
      <c r="R13" s="265">
        <f t="shared" si="14"/>
        <v>1000</v>
      </c>
      <c r="S13" s="265">
        <f t="shared" ref="S13:S44" si="15">+IF(SUMIFS(AR$3:AR$58,$AG$3:$AG$58,$H13,$AF$3:$AF$58,$G13)=0,"",SUMIFS(AR$3:AR$58,$AG$3:$AG$58,$H13,$AF$3:$AF$58,$G13))</f>
        <v>1000</v>
      </c>
      <c r="T13" s="265">
        <f t="shared" ref="T13:T44" si="16">+IF(SUMIFS(AS$3:AS$58,$AG$3:$AG$58,$H13,$AF$3:$AF$58,$G13)=0,"",SUMIFS(AS$3:AS$58,$AG$3:$AG$58,$H13,$AF$3:$AF$58,$G13))</f>
        <v>1000</v>
      </c>
      <c r="U13" s="265">
        <f t="shared" ref="U13:U44" si="17">+IF(SUMIFS(AT$3:AT$58,$AG$3:$AG$58,$H13,$AF$3:$AF$58,$G13)=0,"",SUMIFS(AT$3:AT$58,$AG$3:$AG$58,$H13,$AF$3:$AF$58,$G13))</f>
        <v>3000</v>
      </c>
      <c r="V13" s="266">
        <f t="shared" ref="V13:V44" si="18">+IF(SUMIFS(AU$3:AU$58,$AG$3:$AG$58,$H13,$AF$3:$AF$58,$G13)=0,"",SUMIFS(AU$3:AU$58,$AG$3:$AG$58,$H13,$AF$3:$AF$58,$G13))</f>
        <v>3200</v>
      </c>
      <c r="W13" s="216" cm="1">
        <f t="array" ref="W13">+IFERROR(_xlfn.IFS(F13="Totes",IF(I13="",0,ROUNDUP(I13*$I$11/$G$9,0))+IF(J13="",0,ROUNDUP(J13*$J$11/$G$9,0))+IF(K13="",0,ROUNDUP(K13*$K$11/$G$9,0))+IF(L13="",0,ROUNDUP(L13*$L$11/$G$9,0))+IF(M13="",0,ROUNDUP(M13*$M$11/$G$9,0))+IF(N13="",0,ROUNDUP(N13*$N$11/$G$9,0))+IF(O13="",0,ROUNDUP(O13*$O$11/$G$9,0))+IF(P13="",0,ROUNDUP(P13*$P$11/$G$9,0))+IF(Q13="",0,ROUNDUP(Q13*$Q$11/$G$9,0))+IF(R13="",0,ROUNDUP(R13*$R$11/$G$9,0))+IF(S13="",0,ROUNDUP(S13*$S$11/$G$9,0))+IF(T13="",0,ROUNDUP(T13*$T$11/$G$9,0))+IF(U13="",0,ROUNDUP(U13*$U$11/$G$9,0))+IF(V13="",0,ROUNDUP(V13*$V$11/$G$9,0)),F13="Mini Bins",IF(I13="",0,ROUNDUP(I13*$I$11/$J$6,0))+IF(J13="",0,ROUNDUP(J13*$J$11/$J$6,0))+IF(K13="",0,ROUNDUP(K13*$K$11/$J$6,0))+IF(L13="",0,ROUNDUP(L13*$L$11/$J$6,0))+IF(M13="",0,ROUNDUP(M13*$M$11/$J$6,0))+IF(N13="",0,ROUNDUP(N13*$N$11/$J$6,0))+IF(O13="",0,ROUNDUP(O13*$O$11/$J$6,0))+IF(P13="",0,ROUNDUP(P13*$P$11/$J$6,0))+IF(Q13="",0,ROUNDUP(Q13*$Q$11/$J$6,0))+IF(R13="",0,ROUNDUP(R13*$R$11/$J$6,0))+IF(S13="",0,ROUNDUP(S13*$S$11/$J$6,0))+IF(T13="",0,ROUNDUP(T13*$T$11/$J$6,0))+IF(U13="",0,ROUNDUP(U13*$U$11/$J$6,0))+IF(V13="",0,ROUNDUP(V13*$V$11/$J$6,0))),0)</f>
        <v>6</v>
      </c>
      <c r="X13" s="254">
        <f t="shared" ref="X13:X46" ca="1" si="19">+IFERROR(SUMIF($AS$72:$AS$217,H13,INDEX($C$72:$AR$217,,MATCH(G13,$C$71:$AR$71,0))),0)+$V$9*W13/SUM($W$13:$W$68)</f>
        <v>6</v>
      </c>
      <c r="Z13" s="245" t="s">
        <v>91</v>
      </c>
      <c r="AA13" s="247">
        <v>4</v>
      </c>
      <c r="AB13" s="254" cm="1">
        <f t="array" aca="1" ref="AB13" ca="1">+SUM(IF($B$72:$B$217=Z13,$C$72:$AR$217))</f>
        <v>0</v>
      </c>
      <c r="AC13" s="211">
        <f t="shared" ca="1" si="4"/>
        <v>0</v>
      </c>
      <c r="AF13" s="14"/>
      <c r="AG13" s="204"/>
      <c r="AH13" s="228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229"/>
      <c r="AW13" s="13">
        <f>+IF(AX13="","",IF(AX13&gt;AX12,AW12,IF(AW12&lt;$D$69,AW12+1,IF(COUNT(AW$4:AW12)&lt;$B$69*$E$54,1,""))))</f>
        <v>1</v>
      </c>
      <c r="AX13" s="13">
        <f>+IF(AX12&lt;$B$69,AX12+1,IF(COUNT(AX$4:AX12)&lt;$B$69*$D$69,1,""))</f>
        <v>10</v>
      </c>
      <c r="AY13" s="189" t="str">
        <f t="shared" ca="1" si="1"/>
        <v>TRAIDILL</v>
      </c>
      <c r="AZ13" s="36">
        <f ca="1">+IF(AZ$3="","",IF($AY13="","",IFERROR(INDEX('Data Consolidada'!$E$7:$E$891,MATCH(CONCATENATE(AZ$3,"-",$CP13,"-",$AY13),'Data Consolidada'!$K$7:$K$891,0)),MAX('Data Consolidada'!$E$7:$E$3000))))</f>
        <v>11000000</v>
      </c>
      <c r="BA13" s="32">
        <f ca="1">+IF(BA$3="","",IF($AY13="","",IFERROR(INDEX('Data Consolidada'!$E$7:$E$891,MATCH(CONCATENATE(BA$3,"-",$CP13,"-",$AY13),'Data Consolidada'!$K$7:$K$891,0)),MAX('Data Consolidada'!$E$7:$E$3000))))</f>
        <v>550000</v>
      </c>
      <c r="BB13" s="32" t="str">
        <f>+IF(BB$3="","",IF($AY13="","",IFERROR(INDEX('Data Consolidada'!$E$7:$E$891,MATCH(CONCATENATE(BB$3,"-",$CP13,"-",$AY13),'Data Consolidada'!$K$7:$K$891,0)),MAX('Data Consolidada'!$E$7:$E$3000))))</f>
        <v/>
      </c>
      <c r="BC13" s="32" t="str">
        <f>+IF(BC$3="","",IF($AY13="","",IFERROR(INDEX('Data Consolidada'!$E$7:$E$891,MATCH(CONCATENATE(BC$3,"-",$CP13,"-",$AY13),'Data Consolidada'!$K$7:$K$891,0)),MAX('Data Consolidada'!$E$7:$E$3000))))</f>
        <v/>
      </c>
      <c r="BD13" s="32" t="str">
        <f>+IF(BD$3="","",IF($AY13="","",IFERROR(INDEX('Data Consolidada'!$E$7:$E$891,MATCH(CONCATENATE(BD$3,"-",$CP13,"-",$AY13),'Data Consolidada'!$K$7:$K$891,0)),MAX('Data Consolidada'!$E$7:$E$3000))))</f>
        <v/>
      </c>
      <c r="BE13" s="32" t="str">
        <f>+IF(BE$3="","",IF($AY13="","",IFERROR(INDEX('Data Consolidada'!$E$7:$E$891,MATCH(CONCATENATE(BE$3,"-",$CP13,"-",$AY13),'Data Consolidada'!$K$7:$K$891,0)),MAX('Data Consolidada'!$E$7:$E$3000))))</f>
        <v/>
      </c>
      <c r="BF13" s="32" t="str">
        <f>+IF(BF$3="","",IF($AY13="","",IFERROR(INDEX('Data Consolidada'!$E$7:$E$891,MATCH(CONCATENATE(BF$3,"-",$CP13,"-",$AY13),'Data Consolidada'!$K$7:$K$891,0)),MAX('Data Consolidada'!$E$7:$E$3000))))</f>
        <v/>
      </c>
      <c r="BG13" s="32" t="str">
        <f>+IF(BG$3="","",IF($AY13="","",IFERROR(INDEX('Data Consolidada'!$E$7:$E$891,MATCH(CONCATENATE(BG$3,"-",$CP13,"-",$AY13),'Data Consolidada'!$K$7:$K$891,0)),MAX('Data Consolidada'!$E$7:$E$3000))))</f>
        <v/>
      </c>
      <c r="BH13" s="32" t="str">
        <f>+IF(BH$3="","",IF($AY13="","",IFERROR(INDEX('Data Consolidada'!$E$7:$E$891,MATCH(CONCATENATE(BH$3,"-",$CP13,"-",$AY13),'Data Consolidada'!$K$7:$K$891,0)),MAX('Data Consolidada'!$E$7:$E$3000))))</f>
        <v/>
      </c>
      <c r="BI13" s="32" t="str">
        <f>+IF(BI$3="","",IF($AY13="","",IFERROR(INDEX('Data Consolidada'!$E$7:$E$891,MATCH(CONCATENATE(BI$3,"-",$CP13,"-",$AY13),'Data Consolidada'!$K$7:$K$891,0)),MAX('Data Consolidada'!$E$7:$E$3000))))</f>
        <v/>
      </c>
      <c r="BJ13" s="32" t="str">
        <f>+IF(BJ$3="","",IF($AY13="","",IFERROR(INDEX('Data Consolidada'!$E$7:$E$891,MATCH(CONCATENATE(BJ$3,"-",$CP13,"-",$AY13),'Data Consolidada'!$K$7:$K$891,0)),MAX('Data Consolidada'!$E$7:$E$3000))))</f>
        <v/>
      </c>
      <c r="BK13" s="32" t="str">
        <f>+IF(BK$3="","",IF($AY13="","",IFERROR(INDEX('Data Consolidada'!$E$7:$E$891,MATCH(CONCATENATE(BK$3,"-",$CP13,"-",$AY13),'Data Consolidada'!$K$7:$K$891,0)),MAX('Data Consolidada'!$E$7:$E$3000))))</f>
        <v/>
      </c>
      <c r="BL13" s="32" t="str">
        <f>+IF(BL$3="","",IF($AY13="","",IFERROR(INDEX('Data Consolidada'!$E$7:$E$891,MATCH(CONCATENATE(BL$3,"-",$CP13,"-",$AY13),'Data Consolidada'!$K$7:$K$891,0)),MAX('Data Consolidada'!$E$7:$E$3000))))</f>
        <v/>
      </c>
      <c r="BM13" s="32" t="str">
        <f>+IF(BM$3="","",IF($AY13="","",IFERROR(INDEX('Data Consolidada'!$E$7:$E$891,MATCH(CONCATENATE(BM$3,"-",$CP13,"-",$AY13),'Data Consolidada'!$K$7:$K$891,0)),MAX('Data Consolidada'!$E$7:$E$3000))))</f>
        <v/>
      </c>
      <c r="BN13" s="32" t="str">
        <f>+IF(BN$3="","",IF($AY13="","",IFERROR(INDEX('Data Consolidada'!$E$7:$E$891,MATCH(CONCATENATE(BN$3,"-",$CP13,"-",$AY13),'Data Consolidada'!$K$7:$K$891,0)),MAX('Data Consolidada'!$E$7:$E$3000))))</f>
        <v/>
      </c>
      <c r="BO13" s="32" t="str">
        <f>+IF(BO$3="","",IF($AY13="","",IFERROR(INDEX('Data Consolidada'!$E$7:$E$891,MATCH(CONCATENATE(BO$3,"-",$CP13,"-",$AY13),'Data Consolidada'!$K$7:$K$891,0)),MAX('Data Consolidada'!$E$7:$E$3000))))</f>
        <v/>
      </c>
      <c r="BP13" s="32" t="str">
        <f>+IF(BP$3="","",IF($AY13="","",IFERROR(INDEX('Data Consolidada'!$E$7:$E$891,MATCH(CONCATENATE(BP$3,"-",$CP13,"-",$AY13),'Data Consolidada'!$K$7:$K$891,0)),MAX('Data Consolidada'!$E$7:$E$3000))))</f>
        <v/>
      </c>
      <c r="BQ13" s="32" t="str">
        <f>+IF(BQ$3="","",IF($AY13="","",IFERROR(INDEX('Data Consolidada'!$E$7:$E$891,MATCH(CONCATENATE(BQ$3,"-",$CP13,"-",$AY13),'Data Consolidada'!$K$7:$K$891,0)),MAX('Data Consolidada'!$E$7:$E$3000))))</f>
        <v/>
      </c>
      <c r="BR13" s="32" t="str">
        <f>+IF(BR$3="","",IF($AY13="","",IFERROR(INDEX('Data Consolidada'!$E$7:$E$891,MATCH(CONCATENATE(BR$3,"-",$CP13,"-",$AY13),'Data Consolidada'!$K$7:$K$891,0)),MAX('Data Consolidada'!$E$7:$E$3000))))</f>
        <v/>
      </c>
      <c r="BS13" s="32" t="str">
        <f>+IF(BS$3="","",IF($AY13="","",IFERROR(INDEX('Data Consolidada'!$E$7:$E$891,MATCH(CONCATENATE(BS$3,"-",$CP13,"-",$AY13),'Data Consolidada'!$K$7:$K$891,0)),MAX('Data Consolidada'!$E$7:$E$3000))))</f>
        <v/>
      </c>
      <c r="BT13" s="32" t="str">
        <f>+IF(BT$3="","",IF($AY13="","",IFERROR(INDEX('Data Consolidada'!$E$7:$E$891,MATCH(CONCATENATE(BT$3,"-",$CP13,"-",$AY13),'Data Consolidada'!$K$7:$K$891,0)),MAX('Data Consolidada'!$E$7:$E$3000))))</f>
        <v/>
      </c>
      <c r="BU13" s="32" t="str">
        <f>+IF(BU$3="","",IF($AY13="","",IFERROR(INDEX('Data Consolidada'!$E$7:$E$891,MATCH(CONCATENATE(BU$3,"-",$CP13,"-",$AY13),'Data Consolidada'!$K$7:$K$891,0)),MAX('Data Consolidada'!$E$7:$E$3000))))</f>
        <v/>
      </c>
      <c r="BV13" s="32" t="str">
        <f>+IF(BV$3="","",IF($AY13="","",IFERROR(INDEX('Data Consolidada'!$E$7:$E$891,MATCH(CONCATENATE(BV$3,"-",$CP13,"-",$AY13),'Data Consolidada'!$K$7:$K$891,0)),MAX('Data Consolidada'!$E$7:$E$3000))))</f>
        <v/>
      </c>
      <c r="BW13" s="32" t="str">
        <f>+IF(BW$3="","",IF($AY13="","",IFERROR(INDEX('Data Consolidada'!$E$7:$E$891,MATCH(CONCATENATE(BW$3,"-",$CP13,"-",$AY13),'Data Consolidada'!$K$7:$K$891,0)),MAX('Data Consolidada'!$E$7:$E$3000))))</f>
        <v/>
      </c>
      <c r="BX13" s="32" t="str">
        <f>+IF(BX$3="","",IF($AY13="","",IFERROR(INDEX('Data Consolidada'!$E$7:$E$891,MATCH(CONCATENATE(BX$3,"-",$CP13,"-",$AY13),'Data Consolidada'!$K$7:$K$891,0)),MAX('Data Consolidada'!$E$7:$E$3000))))</f>
        <v/>
      </c>
      <c r="BY13" s="32" t="str">
        <f>+IF(BY$3="","",IF($AY13="","",IFERROR(INDEX('Data Consolidada'!$E$7:$E$891,MATCH(CONCATENATE(BY$3,"-",$CP13,"-",$AY13),'Data Consolidada'!$K$7:$K$891,0)),MAX('Data Consolidada'!$E$7:$E$3000))))</f>
        <v/>
      </c>
      <c r="BZ13" s="32" t="str">
        <f>+IF(BZ$3="","",IF($AY13="","",IFERROR(INDEX('Data Consolidada'!$E$7:$E$891,MATCH(CONCATENATE(BZ$3,"-",$CP13,"-",$AY13),'Data Consolidada'!$K$7:$K$891,0)),MAX('Data Consolidada'!$E$7:$E$3000))))</f>
        <v/>
      </c>
      <c r="CA13" s="32" t="str">
        <f>+IF(CA$3="","",IF($AY13="","",IFERROR(INDEX('Data Consolidada'!$E$7:$E$891,MATCH(CONCATENATE(CA$3,"-",$CP13,"-",$AY13),'Data Consolidada'!$K$7:$K$891,0)),MAX('Data Consolidada'!$E$7:$E$3000))))</f>
        <v/>
      </c>
      <c r="CB13" s="32" t="str">
        <f>+IF(CB$3="","",IF($AY13="","",IFERROR(INDEX('Data Consolidada'!$E$7:$E$891,MATCH(CONCATENATE(CB$3,"-",$CP13,"-",$AY13),'Data Consolidada'!$K$7:$K$891,0)),MAX('Data Consolidada'!$E$7:$E$3000))))</f>
        <v/>
      </c>
      <c r="CC13" s="32" t="str">
        <f>+IF(CC$3="","",IF($AY13="","",IFERROR(INDEX('Data Consolidada'!$E$7:$E$891,MATCH(CONCATENATE(CC$3,"-",$CP13,"-",$AY13),'Data Consolidada'!$K$7:$K$891,0)),MAX('Data Consolidada'!$E$7:$E$3000))))</f>
        <v/>
      </c>
      <c r="CD13" s="32" t="str">
        <f>+IF(CD$3="","",IF($AY13="","",IFERROR(INDEX('Data Consolidada'!$E$7:$E$891,MATCH(CONCATENATE(CD$3,"-",$CP13,"-",$AY13),'Data Consolidada'!$K$7:$K$891,0)),MAX('Data Consolidada'!$E$7:$E$3000))))</f>
        <v/>
      </c>
      <c r="CE13" s="32" t="str">
        <f>+IF(CE$3="","",IF($AY13="","",IFERROR(INDEX('Data Consolidada'!$E$7:$E$891,MATCH(CONCATENATE(CE$3,"-",$CP13,"-",$AY13),'Data Consolidada'!$K$7:$K$891,0)),MAX('Data Consolidada'!$E$7:$E$3000))))</f>
        <v/>
      </c>
      <c r="CF13" s="32" t="str">
        <f>+IF(CF$3="","",IF($AY13="","",IFERROR(INDEX('Data Consolidada'!$E$7:$E$891,MATCH(CONCATENATE(CF$3,"-",$CP13,"-",$AY13),'Data Consolidada'!$K$7:$K$891,0)),MAX('Data Consolidada'!$E$7:$E$3000))))</f>
        <v/>
      </c>
      <c r="CG13" s="32" t="str">
        <f>+IF(CG$3="","",IF($AY13="","",IFERROR(INDEX('Data Consolidada'!$E$7:$E$891,MATCH(CONCATENATE(CG$3,"-",$CP13,"-",$AY13),'Data Consolidada'!$K$7:$K$891,0)),MAX('Data Consolidada'!$E$7:$E$3000))))</f>
        <v/>
      </c>
      <c r="CH13" s="32" t="str">
        <f>+IF(CH$3="","",IF($AY13="","",IFERROR(INDEX('Data Consolidada'!$E$7:$E$891,MATCH(CONCATENATE(CH$3,"-",$CP13,"-",$AY13),'Data Consolidada'!$K$7:$K$891,0)),MAX('Data Consolidada'!$E$7:$E$3000))))</f>
        <v/>
      </c>
      <c r="CI13" s="32" t="str">
        <f>+IF(CI$3="","",IF($AY13="","",IFERROR(INDEX('Data Consolidada'!$E$7:$E$891,MATCH(CONCATENATE(CI$3,"-",$CP13,"-",$AY13),'Data Consolidada'!$K$7:$K$891,0)),MAX('Data Consolidada'!$E$7:$E$3000))))</f>
        <v/>
      </c>
      <c r="CJ13" s="32" t="str">
        <f>+IF(CJ$3="","",IF($AY13="","",IFERROR(INDEX('Data Consolidada'!$E$7:$E$891,MATCH(CONCATENATE(CJ$3,"-",$CP13,"-",$AY13),'Data Consolidada'!$K$7:$K$891,0)),MAX('Data Consolidada'!$E$7:$E$3000))))</f>
        <v/>
      </c>
      <c r="CK13" s="32" t="str">
        <f>+IF(CK$3="","",IF($AY13="","",IFERROR(INDEX('Data Consolidada'!$E$7:$E$891,MATCH(CONCATENATE(CK$3,"-",$CP13,"-",$AY13),'Data Consolidada'!$K$7:$K$891,0)),MAX('Data Consolidada'!$E$7:$E$3000))))</f>
        <v/>
      </c>
      <c r="CL13" s="32" t="str">
        <f>+IF(CL$3="","",IF($AY13="","",IFERROR(INDEX('Data Consolidada'!$E$7:$E$891,MATCH(CONCATENATE(CL$3,"-",$CP13,"-",$AY13),'Data Consolidada'!$K$7:$K$891,0)),MAX('Data Consolidada'!$E$7:$E$3000))))</f>
        <v/>
      </c>
      <c r="CM13" s="32" t="str">
        <f>+IF(CM$3="","",IF($AY13="","",IFERROR(INDEX('Data Consolidada'!$E$7:$E$891,MATCH(CONCATENATE(CM$3,"-",$CP13,"-",$AY13),'Data Consolidada'!$K$7:$K$891,0)),MAX('Data Consolidada'!$E$7:$E$3000))))</f>
        <v/>
      </c>
      <c r="CN13" s="32" t="str">
        <f>+IF(CN$3="","",IF($AY13="","",IFERROR(INDEX('Data Consolidada'!$E$7:$E$891,MATCH(CONCATENATE(CN$3,"-",$CP13,"-",$AY13),'Data Consolidada'!$K$7:$K$891,0)),MAX('Data Consolidada'!$E$7:$E$3000))))</f>
        <v/>
      </c>
      <c r="CO13" s="37" t="str">
        <f>+IF(CO$3="","",IF($AY13="","",IFERROR(INDEX('Data Consolidada'!$E$7:$E$891,MATCH(CONCATENATE(CO$3,"-",$CP13,"-",$AY13),'Data Consolidada'!$K$7:$K$891,0)),MAX('Data Consolidada'!$E$7:$E$3000))))</f>
        <v/>
      </c>
      <c r="CP13" s="224" t="str">
        <f t="shared" ca="1" si="2"/>
        <v>MOSTAZAL</v>
      </c>
      <c r="CQ13" s="84" t="str">
        <f t="shared" ca="1" si="3"/>
        <v>TRAIDILLMOSTAZAL</v>
      </c>
    </row>
    <row r="14" spans="2:95" ht="15" customHeight="1" thickBot="1" x14ac:dyDescent="0.4">
      <c r="B14" s="46" t="str">
        <v>MACEBE</v>
      </c>
      <c r="C14" s="5"/>
      <c r="D14" s="75" cm="1">
        <f t="array" ref="D14">+_xlfn._xlws.SORT(_xlfn._xlws.FILTER(_xlfn.UNIQUE(H17:H72),_xlfn.UNIQUE(H17:H72)&lt;&gt;""),1)</f>
        <v>0</v>
      </c>
      <c r="F14" s="257" t="s">
        <v>157</v>
      </c>
      <c r="G14" s="14" t="str">
        <v>Panquehue</v>
      </c>
      <c r="H14" s="204" t="str">
        <v>MOSTAZAL</v>
      </c>
      <c r="I14" s="267" t="str">
        <f>+IF(SUMIFS(AH$3:AH$58,$AG$3:$AG$58,$H14,$AF$3:$AF$58,$G14)=0,"",SUMIFS(AH$3:AH$58,$AG$3:$AG$58,$H14,$AF$3:$AF$58,$G14))</f>
        <v/>
      </c>
      <c r="J14" s="268" t="str">
        <f t="shared" si="7"/>
        <v/>
      </c>
      <c r="K14" s="268" t="str">
        <f t="shared" si="8"/>
        <v/>
      </c>
      <c r="L14" s="268" t="str">
        <f t="shared" si="9"/>
        <v/>
      </c>
      <c r="M14" s="268" t="str">
        <f t="shared" si="10"/>
        <v/>
      </c>
      <c r="N14" s="268" t="str">
        <f t="shared" si="11"/>
        <v/>
      </c>
      <c r="O14" s="268" t="str">
        <f t="shared" si="12"/>
        <v/>
      </c>
      <c r="P14" s="268" t="str">
        <f t="shared" si="13"/>
        <v/>
      </c>
      <c r="Q14" s="268" t="str">
        <f t="shared" ref="Q14:Q44" si="20">+IF(SUMIFS(AP$3:AP$58,$AG$3:$AG$58,$H14,$AF$3:$AF$58,$G14)=0,"",SUMIFS(AP$3:AP$58,$AG$3:$AG$58,$H14,$AF$3:$AF$58,$G14))</f>
        <v/>
      </c>
      <c r="R14" s="268" t="str">
        <f t="shared" si="14"/>
        <v/>
      </c>
      <c r="S14" s="268" t="str">
        <f t="shared" si="15"/>
        <v/>
      </c>
      <c r="T14" s="268" t="str">
        <f t="shared" si="16"/>
        <v/>
      </c>
      <c r="U14" s="268">
        <f t="shared" si="17"/>
        <v>1000</v>
      </c>
      <c r="V14" s="269">
        <f t="shared" si="18"/>
        <v>1000</v>
      </c>
      <c r="W14" s="55" cm="1">
        <f t="array" ref="W14">+IFERROR(_xlfn.IFS(F14="Totes",IF(I14="",0,ROUNDUP(I14*$I$11/$G$9,0))+IF(J14="",0,ROUNDUP(J14*$J$11/$G$9,0))+IF(K14="",0,ROUNDUP(K14*$K$11/$G$9,0))+IF(L14="",0,ROUNDUP(L14*$L$11/$G$9,0))+IF(M14="",0,ROUNDUP(M14*$M$11/$G$9,0))+IF(N14="",0,ROUNDUP(N14*$N$11/$G$9,0))+IF(O14="",0,ROUNDUP(O14*$O$11/$G$9,0))+IF(P14="",0,ROUNDUP(P14*$P$11/$G$9,0))+IF(Q14="",0,ROUNDUP(Q14*$Q$11/$G$9,0))+IF(R14="",0,ROUNDUP(R14*$R$11/$G$9,0))+IF(S14="",0,ROUNDUP(S14*$S$11/$G$9,0))+IF(T14="",0,ROUNDUP(T14*$T$11/$G$9,0))+IF(U14="",0,ROUNDUP(U14*$U$11/$G$9,0))+IF(V14="",0,ROUNDUP(V14*$V$11/$G$9,0)),F14="Mini Bins",IF(I14="",0,ROUNDUP(I14*$I$11/$J$6,0))+IF(J14="",0,ROUNDUP(J14*$J$11/$J$6,0))+IF(K14="",0,ROUNDUP(K14*$K$11/$J$6,0))+IF(L14="",0,ROUNDUP(L14*$L$11/$J$6,0))+IF(M14="",0,ROUNDUP(M14*$M$11/$J$6,0))+IF(N14="",0,ROUNDUP(N14*$N$11/$J$6,0))+IF(O14="",0,ROUNDUP(O14*$O$11/$J$6,0))+IF(P14="",0,ROUNDUP(P14*$P$11/$J$6,0))+IF(Q14="",0,ROUNDUP(Q14*$Q$11/$J$6,0))+IF(R14="",0,ROUNDUP(R14*$R$11/$J$6,0))+IF(S14="",0,ROUNDUP(S14*$S$11/$J$6,0))+IF(T14="",0,ROUNDUP(T14*$T$11/$J$6,0))+IF(U14="",0,ROUNDUP(U14*$U$11/$J$6,0))+IF(V14="",0,ROUNDUP(V14*$V$11/$J$6,0))),0)</f>
        <v>2</v>
      </c>
      <c r="X14" s="254">
        <f t="shared" ca="1" si="19"/>
        <v>2</v>
      </c>
      <c r="Z14" s="245" t="s">
        <v>78</v>
      </c>
      <c r="AA14" s="247">
        <v>4</v>
      </c>
      <c r="AB14" s="254" cm="1">
        <f t="array" aca="1" ref="AB14" ca="1">+SUM(IF($B$72:$B$217=Z14,$C$72:$AR$217))</f>
        <v>0</v>
      </c>
      <c r="AC14" s="211">
        <f t="shared" ca="1" si="4"/>
        <v>0</v>
      </c>
      <c r="AF14" s="14"/>
      <c r="AG14" s="204"/>
      <c r="AH14" s="228"/>
      <c r="AI14" s="196"/>
      <c r="AJ14" s="196"/>
      <c r="AK14" s="196"/>
      <c r="AL14" s="196"/>
      <c r="AM14" s="196"/>
      <c r="AN14" s="196"/>
      <c r="AO14" s="196"/>
      <c r="AP14" s="196"/>
      <c r="AQ14" s="196"/>
      <c r="AR14" s="196"/>
      <c r="AS14" s="196"/>
      <c r="AT14" s="196"/>
      <c r="AU14" s="229"/>
      <c r="AW14" s="13">
        <f>+IF(AX14="","",IF(AX14&gt;AX13,AW13,IF(AW13&lt;$D$69,AW13+1,IF(COUNT(AW$4:AW13)&lt;$B$69*$E$54,1,""))))</f>
        <v>1</v>
      </c>
      <c r="AX14" s="13">
        <f>+IF(AX13&lt;$B$69,AX13+1,IF(COUNT(AX$4:AX13)&lt;$B$69*$D$69,1,""))</f>
        <v>11</v>
      </c>
      <c r="AY14" s="189" t="str">
        <f t="shared" ca="1" si="1"/>
        <v>TRANS. ALMENDRAL</v>
      </c>
      <c r="AZ14" s="36">
        <f ca="1">+IF(AZ$3="","",IF($AY14="","",IFERROR(INDEX('Data Consolidada'!$E$7:$E$891,MATCH(CONCATENATE(AZ$3,"-",$CP14,"-",$AY14),'Data Consolidada'!$K$7:$K$891,0)),MAX('Data Consolidada'!$E$7:$E$3000))))</f>
        <v>11000000</v>
      </c>
      <c r="BA14" s="32">
        <f ca="1">+IF(BA$3="","",IF($AY14="","",IFERROR(INDEX('Data Consolidada'!$E$7:$E$891,MATCH(CONCATENATE(BA$3,"-",$CP14,"-",$AY14),'Data Consolidada'!$K$7:$K$891,0)),MAX('Data Consolidada'!$E$7:$E$3000))))</f>
        <v>640000</v>
      </c>
      <c r="BB14" s="32" t="str">
        <f>+IF(BB$3="","",IF($AY14="","",IFERROR(INDEX('Data Consolidada'!$E$7:$E$891,MATCH(CONCATENATE(BB$3,"-",$CP14,"-",$AY14),'Data Consolidada'!$K$7:$K$891,0)),MAX('Data Consolidada'!$E$7:$E$3000))))</f>
        <v/>
      </c>
      <c r="BC14" s="32" t="str">
        <f>+IF(BC$3="","",IF($AY14="","",IFERROR(INDEX('Data Consolidada'!$E$7:$E$891,MATCH(CONCATENATE(BC$3,"-",$CP14,"-",$AY14),'Data Consolidada'!$K$7:$K$891,0)),MAX('Data Consolidada'!$E$7:$E$3000))))</f>
        <v/>
      </c>
      <c r="BD14" s="32" t="str">
        <f>+IF(BD$3="","",IF($AY14="","",IFERROR(INDEX('Data Consolidada'!$E$7:$E$891,MATCH(CONCATENATE(BD$3,"-",$CP14,"-",$AY14),'Data Consolidada'!$K$7:$K$891,0)),MAX('Data Consolidada'!$E$7:$E$3000))))</f>
        <v/>
      </c>
      <c r="BE14" s="32" t="str">
        <f>+IF(BE$3="","",IF($AY14="","",IFERROR(INDEX('Data Consolidada'!$E$7:$E$891,MATCH(CONCATENATE(BE$3,"-",$CP14,"-",$AY14),'Data Consolidada'!$K$7:$K$891,0)),MAX('Data Consolidada'!$E$7:$E$3000))))</f>
        <v/>
      </c>
      <c r="BF14" s="32" t="str">
        <f>+IF(BF$3="","",IF($AY14="","",IFERROR(INDEX('Data Consolidada'!$E$7:$E$891,MATCH(CONCATENATE(BF$3,"-",$CP14,"-",$AY14),'Data Consolidada'!$K$7:$K$891,0)),MAX('Data Consolidada'!$E$7:$E$3000))))</f>
        <v/>
      </c>
      <c r="BG14" s="32" t="str">
        <f>+IF(BG$3="","",IF($AY14="","",IFERROR(INDEX('Data Consolidada'!$E$7:$E$891,MATCH(CONCATENATE(BG$3,"-",$CP14,"-",$AY14),'Data Consolidada'!$K$7:$K$891,0)),MAX('Data Consolidada'!$E$7:$E$3000))))</f>
        <v/>
      </c>
      <c r="BH14" s="32" t="str">
        <f>+IF(BH$3="","",IF($AY14="","",IFERROR(INDEX('Data Consolidada'!$E$7:$E$891,MATCH(CONCATENATE(BH$3,"-",$CP14,"-",$AY14),'Data Consolidada'!$K$7:$K$891,0)),MAX('Data Consolidada'!$E$7:$E$3000))))</f>
        <v/>
      </c>
      <c r="BI14" s="32" t="str">
        <f>+IF(BI$3="","",IF($AY14="","",IFERROR(INDEX('Data Consolidada'!$E$7:$E$891,MATCH(CONCATENATE(BI$3,"-",$CP14,"-",$AY14),'Data Consolidada'!$K$7:$K$891,0)),MAX('Data Consolidada'!$E$7:$E$3000))))</f>
        <v/>
      </c>
      <c r="BJ14" s="32" t="str">
        <f>+IF(BJ$3="","",IF($AY14="","",IFERROR(INDEX('Data Consolidada'!$E$7:$E$891,MATCH(CONCATENATE(BJ$3,"-",$CP14,"-",$AY14),'Data Consolidada'!$K$7:$K$891,0)),MAX('Data Consolidada'!$E$7:$E$3000))))</f>
        <v/>
      </c>
      <c r="BK14" s="32" t="str">
        <f>+IF(BK$3="","",IF($AY14="","",IFERROR(INDEX('Data Consolidada'!$E$7:$E$891,MATCH(CONCATENATE(BK$3,"-",$CP14,"-",$AY14),'Data Consolidada'!$K$7:$K$891,0)),MAX('Data Consolidada'!$E$7:$E$3000))))</f>
        <v/>
      </c>
      <c r="BL14" s="32" t="str">
        <f>+IF(BL$3="","",IF($AY14="","",IFERROR(INDEX('Data Consolidada'!$E$7:$E$891,MATCH(CONCATENATE(BL$3,"-",$CP14,"-",$AY14),'Data Consolidada'!$K$7:$K$891,0)),MAX('Data Consolidada'!$E$7:$E$3000))))</f>
        <v/>
      </c>
      <c r="BM14" s="32" t="str">
        <f>+IF(BM$3="","",IF($AY14="","",IFERROR(INDEX('Data Consolidada'!$E$7:$E$891,MATCH(CONCATENATE(BM$3,"-",$CP14,"-",$AY14),'Data Consolidada'!$K$7:$K$891,0)),MAX('Data Consolidada'!$E$7:$E$3000))))</f>
        <v/>
      </c>
      <c r="BN14" s="32" t="str">
        <f>+IF(BN$3="","",IF($AY14="","",IFERROR(INDEX('Data Consolidada'!$E$7:$E$891,MATCH(CONCATENATE(BN$3,"-",$CP14,"-",$AY14),'Data Consolidada'!$K$7:$K$891,0)),MAX('Data Consolidada'!$E$7:$E$3000))))</f>
        <v/>
      </c>
      <c r="BO14" s="32" t="str">
        <f>+IF(BO$3="","",IF($AY14="","",IFERROR(INDEX('Data Consolidada'!$E$7:$E$891,MATCH(CONCATENATE(BO$3,"-",$CP14,"-",$AY14),'Data Consolidada'!$K$7:$K$891,0)),MAX('Data Consolidada'!$E$7:$E$3000))))</f>
        <v/>
      </c>
      <c r="BP14" s="32" t="str">
        <f>+IF(BP$3="","",IF($AY14="","",IFERROR(INDEX('Data Consolidada'!$E$7:$E$891,MATCH(CONCATENATE(BP$3,"-",$CP14,"-",$AY14),'Data Consolidada'!$K$7:$K$891,0)),MAX('Data Consolidada'!$E$7:$E$3000))))</f>
        <v/>
      </c>
      <c r="BQ14" s="32" t="str">
        <f>+IF(BQ$3="","",IF($AY14="","",IFERROR(INDEX('Data Consolidada'!$E$7:$E$891,MATCH(CONCATENATE(BQ$3,"-",$CP14,"-",$AY14),'Data Consolidada'!$K$7:$K$891,0)),MAX('Data Consolidada'!$E$7:$E$3000))))</f>
        <v/>
      </c>
      <c r="BR14" s="32" t="str">
        <f>+IF(BR$3="","",IF($AY14="","",IFERROR(INDEX('Data Consolidada'!$E$7:$E$891,MATCH(CONCATENATE(BR$3,"-",$CP14,"-",$AY14),'Data Consolidada'!$K$7:$K$891,0)),MAX('Data Consolidada'!$E$7:$E$3000))))</f>
        <v/>
      </c>
      <c r="BS14" s="32" t="str">
        <f>+IF(BS$3="","",IF($AY14="","",IFERROR(INDEX('Data Consolidada'!$E$7:$E$891,MATCH(CONCATENATE(BS$3,"-",$CP14,"-",$AY14),'Data Consolidada'!$K$7:$K$891,0)),MAX('Data Consolidada'!$E$7:$E$3000))))</f>
        <v/>
      </c>
      <c r="BT14" s="32" t="str">
        <f>+IF(BT$3="","",IF($AY14="","",IFERROR(INDEX('Data Consolidada'!$E$7:$E$891,MATCH(CONCATENATE(BT$3,"-",$CP14,"-",$AY14),'Data Consolidada'!$K$7:$K$891,0)),MAX('Data Consolidada'!$E$7:$E$3000))))</f>
        <v/>
      </c>
      <c r="BU14" s="32" t="str">
        <f>+IF(BU$3="","",IF($AY14="","",IFERROR(INDEX('Data Consolidada'!$E$7:$E$891,MATCH(CONCATENATE(BU$3,"-",$CP14,"-",$AY14),'Data Consolidada'!$K$7:$K$891,0)),MAX('Data Consolidada'!$E$7:$E$3000))))</f>
        <v/>
      </c>
      <c r="BV14" s="32" t="str">
        <f>+IF(BV$3="","",IF($AY14="","",IFERROR(INDEX('Data Consolidada'!$E$7:$E$891,MATCH(CONCATENATE(BV$3,"-",$CP14,"-",$AY14),'Data Consolidada'!$K$7:$K$891,0)),MAX('Data Consolidada'!$E$7:$E$3000))))</f>
        <v/>
      </c>
      <c r="BW14" s="32" t="str">
        <f>+IF(BW$3="","",IF($AY14="","",IFERROR(INDEX('Data Consolidada'!$E$7:$E$891,MATCH(CONCATENATE(BW$3,"-",$CP14,"-",$AY14),'Data Consolidada'!$K$7:$K$891,0)),MAX('Data Consolidada'!$E$7:$E$3000))))</f>
        <v/>
      </c>
      <c r="BX14" s="32" t="str">
        <f>+IF(BX$3="","",IF($AY14="","",IFERROR(INDEX('Data Consolidada'!$E$7:$E$891,MATCH(CONCATENATE(BX$3,"-",$CP14,"-",$AY14),'Data Consolidada'!$K$7:$K$891,0)),MAX('Data Consolidada'!$E$7:$E$3000))))</f>
        <v/>
      </c>
      <c r="BY14" s="32" t="str">
        <f>+IF(BY$3="","",IF($AY14="","",IFERROR(INDEX('Data Consolidada'!$E$7:$E$891,MATCH(CONCATENATE(BY$3,"-",$CP14,"-",$AY14),'Data Consolidada'!$K$7:$K$891,0)),MAX('Data Consolidada'!$E$7:$E$3000))))</f>
        <v/>
      </c>
      <c r="BZ14" s="32" t="str">
        <f>+IF(BZ$3="","",IF($AY14="","",IFERROR(INDEX('Data Consolidada'!$E$7:$E$891,MATCH(CONCATENATE(BZ$3,"-",$CP14,"-",$AY14),'Data Consolidada'!$K$7:$K$891,0)),MAX('Data Consolidada'!$E$7:$E$3000))))</f>
        <v/>
      </c>
      <c r="CA14" s="32" t="str">
        <f>+IF(CA$3="","",IF($AY14="","",IFERROR(INDEX('Data Consolidada'!$E$7:$E$891,MATCH(CONCATENATE(CA$3,"-",$CP14,"-",$AY14),'Data Consolidada'!$K$7:$K$891,0)),MAX('Data Consolidada'!$E$7:$E$3000))))</f>
        <v/>
      </c>
      <c r="CB14" s="32" t="str">
        <f>+IF(CB$3="","",IF($AY14="","",IFERROR(INDEX('Data Consolidada'!$E$7:$E$891,MATCH(CONCATENATE(CB$3,"-",$CP14,"-",$AY14),'Data Consolidada'!$K$7:$K$891,0)),MAX('Data Consolidada'!$E$7:$E$3000))))</f>
        <v/>
      </c>
      <c r="CC14" s="32" t="str">
        <f>+IF(CC$3="","",IF($AY14="","",IFERROR(INDEX('Data Consolidada'!$E$7:$E$891,MATCH(CONCATENATE(CC$3,"-",$CP14,"-",$AY14),'Data Consolidada'!$K$7:$K$891,0)),MAX('Data Consolidada'!$E$7:$E$3000))))</f>
        <v/>
      </c>
      <c r="CD14" s="32" t="str">
        <f>+IF(CD$3="","",IF($AY14="","",IFERROR(INDEX('Data Consolidada'!$E$7:$E$891,MATCH(CONCATENATE(CD$3,"-",$CP14,"-",$AY14),'Data Consolidada'!$K$7:$K$891,0)),MAX('Data Consolidada'!$E$7:$E$3000))))</f>
        <v/>
      </c>
      <c r="CE14" s="32" t="str">
        <f>+IF(CE$3="","",IF($AY14="","",IFERROR(INDEX('Data Consolidada'!$E$7:$E$891,MATCH(CONCATENATE(CE$3,"-",$CP14,"-",$AY14),'Data Consolidada'!$K$7:$K$891,0)),MAX('Data Consolidada'!$E$7:$E$3000))))</f>
        <v/>
      </c>
      <c r="CF14" s="32" t="str">
        <f>+IF(CF$3="","",IF($AY14="","",IFERROR(INDEX('Data Consolidada'!$E$7:$E$891,MATCH(CONCATENATE(CF$3,"-",$CP14,"-",$AY14),'Data Consolidada'!$K$7:$K$891,0)),MAX('Data Consolidada'!$E$7:$E$3000))))</f>
        <v/>
      </c>
      <c r="CG14" s="32" t="str">
        <f>+IF(CG$3="","",IF($AY14="","",IFERROR(INDEX('Data Consolidada'!$E$7:$E$891,MATCH(CONCATENATE(CG$3,"-",$CP14,"-",$AY14),'Data Consolidada'!$K$7:$K$891,0)),MAX('Data Consolidada'!$E$7:$E$3000))))</f>
        <v/>
      </c>
      <c r="CH14" s="32" t="str">
        <f>+IF(CH$3="","",IF($AY14="","",IFERROR(INDEX('Data Consolidada'!$E$7:$E$891,MATCH(CONCATENATE(CH$3,"-",$CP14,"-",$AY14),'Data Consolidada'!$K$7:$K$891,0)),MAX('Data Consolidada'!$E$7:$E$3000))))</f>
        <v/>
      </c>
      <c r="CI14" s="32" t="str">
        <f>+IF(CI$3="","",IF($AY14="","",IFERROR(INDEX('Data Consolidada'!$E$7:$E$891,MATCH(CONCATENATE(CI$3,"-",$CP14,"-",$AY14),'Data Consolidada'!$K$7:$K$891,0)),MAX('Data Consolidada'!$E$7:$E$3000))))</f>
        <v/>
      </c>
      <c r="CJ14" s="32" t="str">
        <f>+IF(CJ$3="","",IF($AY14="","",IFERROR(INDEX('Data Consolidada'!$E$7:$E$891,MATCH(CONCATENATE(CJ$3,"-",$CP14,"-",$AY14),'Data Consolidada'!$K$7:$K$891,0)),MAX('Data Consolidada'!$E$7:$E$3000))))</f>
        <v/>
      </c>
      <c r="CK14" s="32" t="str">
        <f>+IF(CK$3="","",IF($AY14="","",IFERROR(INDEX('Data Consolidada'!$E$7:$E$891,MATCH(CONCATENATE(CK$3,"-",$CP14,"-",$AY14),'Data Consolidada'!$K$7:$K$891,0)),MAX('Data Consolidada'!$E$7:$E$3000))))</f>
        <v/>
      </c>
      <c r="CL14" s="32" t="str">
        <f>+IF(CL$3="","",IF($AY14="","",IFERROR(INDEX('Data Consolidada'!$E$7:$E$891,MATCH(CONCATENATE(CL$3,"-",$CP14,"-",$AY14),'Data Consolidada'!$K$7:$K$891,0)),MAX('Data Consolidada'!$E$7:$E$3000))))</f>
        <v/>
      </c>
      <c r="CM14" s="32" t="str">
        <f>+IF(CM$3="","",IF($AY14="","",IFERROR(INDEX('Data Consolidada'!$E$7:$E$891,MATCH(CONCATENATE(CM$3,"-",$CP14,"-",$AY14),'Data Consolidada'!$K$7:$K$891,0)),MAX('Data Consolidada'!$E$7:$E$3000))))</f>
        <v/>
      </c>
      <c r="CN14" s="32" t="str">
        <f>+IF(CN$3="","",IF($AY14="","",IFERROR(INDEX('Data Consolidada'!$E$7:$E$891,MATCH(CONCATENATE(CN$3,"-",$CP14,"-",$AY14),'Data Consolidada'!$K$7:$K$891,0)),MAX('Data Consolidada'!$E$7:$E$3000))))</f>
        <v/>
      </c>
      <c r="CO14" s="37" t="str">
        <f>+IF(CO$3="","",IF($AY14="","",IFERROR(INDEX('Data Consolidada'!$E$7:$E$891,MATCH(CONCATENATE(CO$3,"-",$CP14,"-",$AY14),'Data Consolidada'!$K$7:$K$891,0)),MAX('Data Consolidada'!$E$7:$E$3000))))</f>
        <v/>
      </c>
      <c r="CP14" s="224" t="str">
        <f t="shared" ca="1" si="2"/>
        <v>MOSTAZAL</v>
      </c>
      <c r="CQ14" s="84" t="str">
        <f t="shared" ca="1" si="3"/>
        <v>TRANS. ALMENDRALMOSTAZAL</v>
      </c>
    </row>
    <row r="15" spans="2:95" ht="15" customHeight="1" thickBot="1" x14ac:dyDescent="0.4">
      <c r="B15" s="46" t="str">
        <v xml:space="preserve">Manuel Sepúlveda </v>
      </c>
      <c r="C15" s="5"/>
      <c r="D15" s="75" cm="1">
        <f t="array" ref="D15">+_xlfn._xlws.SORT(_xlfn._xlws.FILTER(_xlfn.UNIQUE(H18:H73),_xlfn.UNIQUE(H18:H73)&lt;&gt;""),1)</f>
        <v>0</v>
      </c>
      <c r="F15" s="257" t="s">
        <v>157</v>
      </c>
      <c r="G15" s="14"/>
      <c r="H15" s="204"/>
      <c r="I15" s="267" t="str">
        <f t="shared" si="6"/>
        <v/>
      </c>
      <c r="J15" s="268" t="str">
        <f t="shared" si="7"/>
        <v/>
      </c>
      <c r="K15" s="268" t="str">
        <f t="shared" si="8"/>
        <v/>
      </c>
      <c r="L15" s="268" t="str">
        <f t="shared" si="9"/>
        <v/>
      </c>
      <c r="M15" s="268" t="str">
        <f t="shared" si="10"/>
        <v/>
      </c>
      <c r="N15" s="268" t="str">
        <f t="shared" si="11"/>
        <v/>
      </c>
      <c r="O15" s="268" t="str">
        <f t="shared" si="12"/>
        <v/>
      </c>
      <c r="P15" s="268" t="str">
        <f t="shared" si="13"/>
        <v/>
      </c>
      <c r="Q15" s="268" t="str">
        <f t="shared" si="20"/>
        <v/>
      </c>
      <c r="R15" s="268" t="str">
        <f t="shared" si="14"/>
        <v/>
      </c>
      <c r="S15" s="268" t="str">
        <f t="shared" si="15"/>
        <v/>
      </c>
      <c r="T15" s="268" t="str">
        <f t="shared" si="16"/>
        <v/>
      </c>
      <c r="U15" s="268" t="str">
        <f t="shared" si="17"/>
        <v/>
      </c>
      <c r="V15" s="269" t="str">
        <f t="shared" si="18"/>
        <v/>
      </c>
      <c r="W15" s="55" cm="1">
        <f t="array" ref="W15">+IFERROR(_xlfn.IFS(F15="Totes",IF(I15="",0,ROUNDUP(I15*$I$11/$G$9,0))+IF(J15="",0,ROUNDUP(J15*$J$11/$G$9,0))+IF(K15="",0,ROUNDUP(K15*$K$11/$G$9,0))+IF(L15="",0,ROUNDUP(L15*$L$11/$G$9,0))+IF(M15="",0,ROUNDUP(M15*$M$11/$G$9,0))+IF(N15="",0,ROUNDUP(N15*$N$11/$G$9,0))+IF(O15="",0,ROUNDUP(O15*$O$11/$G$9,0))+IF(P15="",0,ROUNDUP(P15*$P$11/$G$9,0))+IF(Q15="",0,ROUNDUP(Q15*$Q$11/$G$9,0))+IF(R15="",0,ROUNDUP(R15*$R$11/$G$9,0))+IF(S15="",0,ROUNDUP(S15*$S$11/$G$9,0))+IF(T15="",0,ROUNDUP(T15*$T$11/$G$9,0))+IF(U15="",0,ROUNDUP(U15*$U$11/$G$9,0))+IF(V15="",0,ROUNDUP(V15*$V$11/$G$9,0)),F15="Mini Bins",IF(I15="",0,ROUNDUP(I15*$I$11/$J$6,0))+IF(J15="",0,ROUNDUP(J15*$J$11/$J$6,0))+IF(K15="",0,ROUNDUP(K15*$K$11/$J$6,0))+IF(L15="",0,ROUNDUP(L15*$L$11/$J$6,0))+IF(M15="",0,ROUNDUP(M15*$M$11/$J$6,0))+IF(N15="",0,ROUNDUP(N15*$N$11/$J$6,0))+IF(O15="",0,ROUNDUP(O15*$O$11/$J$6,0))+IF(P15="",0,ROUNDUP(P15*$P$11/$J$6,0))+IF(Q15="",0,ROUNDUP(Q15*$Q$11/$J$6,0))+IF(R15="",0,ROUNDUP(R15*$R$11/$J$6,0))+IF(S15="",0,ROUNDUP(S15*$S$11/$J$6,0))+IF(T15="",0,ROUNDUP(T15*$T$11/$J$6,0))+IF(U15="",0,ROUNDUP(U15*$U$11/$J$6,0))+IF(V15="",0,ROUNDUP(V15*$V$11/$J$6,0))),0)</f>
        <v>0</v>
      </c>
      <c r="X15" s="254">
        <f t="shared" si="19"/>
        <v>0</v>
      </c>
      <c r="Z15" s="245" t="s">
        <v>82</v>
      </c>
      <c r="AA15" s="247">
        <v>4</v>
      </c>
      <c r="AB15" s="254" cm="1">
        <f t="array" aca="1" ref="AB15" ca="1">+SUM(IF($B$72:$B$217=Z15,$C$72:$AR$217))</f>
        <v>0</v>
      </c>
      <c r="AC15" s="211">
        <f t="shared" ca="1" si="4"/>
        <v>0</v>
      </c>
      <c r="AF15" s="14"/>
      <c r="AG15" s="204"/>
      <c r="AH15" s="228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229"/>
      <c r="AW15" s="13">
        <f>+IF(AX15="","",IF(AX15&gt;AX14,AW14,IF(AW14&lt;$D$69,AW14+1,IF(COUNT(AW$4:AW14)&lt;$B$69*$E$54,1,""))))</f>
        <v>1</v>
      </c>
      <c r="AX15" s="13">
        <f>+IF(AX14&lt;$B$69,AX14+1,IF(COUNT(AX$4:AX14)&lt;$B$69*$D$69,1,""))</f>
        <v>12</v>
      </c>
      <c r="AY15" s="189" t="str">
        <f t="shared" ca="1" si="1"/>
        <v>TRANS. MAX SOTO G. E.I.R.L.</v>
      </c>
      <c r="AZ15" s="36">
        <f ca="1">+IF(AZ$3="","",IF($AY15="","",IFERROR(INDEX('Data Consolidada'!$E$7:$E$891,MATCH(CONCATENATE(AZ$3,"-",$CP15,"-",$AY15),'Data Consolidada'!$K$7:$K$891,0)),MAX('Data Consolidada'!$E$7:$E$3000))))</f>
        <v>11000000</v>
      </c>
      <c r="BA15" s="32">
        <f ca="1">+IF(BA$3="","",IF($AY15="","",IFERROR(INDEX('Data Consolidada'!$E$7:$E$891,MATCH(CONCATENATE(BA$3,"-",$CP15,"-",$AY15),'Data Consolidada'!$K$7:$K$891,0)),MAX('Data Consolidada'!$E$7:$E$3000))))</f>
        <v>490000</v>
      </c>
      <c r="BB15" s="32" t="str">
        <f>+IF(BB$3="","",IF($AY15="","",IFERROR(INDEX('Data Consolidada'!$E$7:$E$891,MATCH(CONCATENATE(BB$3,"-",$CP15,"-",$AY15),'Data Consolidada'!$K$7:$K$891,0)),MAX('Data Consolidada'!$E$7:$E$3000))))</f>
        <v/>
      </c>
      <c r="BC15" s="32" t="str">
        <f>+IF(BC$3="","",IF($AY15="","",IFERROR(INDEX('Data Consolidada'!$E$7:$E$891,MATCH(CONCATENATE(BC$3,"-",$CP15,"-",$AY15),'Data Consolidada'!$K$7:$K$891,0)),MAX('Data Consolidada'!$E$7:$E$3000))))</f>
        <v/>
      </c>
      <c r="BD15" s="32" t="str">
        <f>+IF(BD$3="","",IF($AY15="","",IFERROR(INDEX('Data Consolidada'!$E$7:$E$891,MATCH(CONCATENATE(BD$3,"-",$CP15,"-",$AY15),'Data Consolidada'!$K$7:$K$891,0)),MAX('Data Consolidada'!$E$7:$E$3000))))</f>
        <v/>
      </c>
      <c r="BE15" s="32" t="str">
        <f>+IF(BE$3="","",IF($AY15="","",IFERROR(INDEX('Data Consolidada'!$E$7:$E$891,MATCH(CONCATENATE(BE$3,"-",$CP15,"-",$AY15),'Data Consolidada'!$K$7:$K$891,0)),MAX('Data Consolidada'!$E$7:$E$3000))))</f>
        <v/>
      </c>
      <c r="BF15" s="32" t="str">
        <f>+IF(BF$3="","",IF($AY15="","",IFERROR(INDEX('Data Consolidada'!$E$7:$E$891,MATCH(CONCATENATE(BF$3,"-",$CP15,"-",$AY15),'Data Consolidada'!$K$7:$K$891,0)),MAX('Data Consolidada'!$E$7:$E$3000))))</f>
        <v/>
      </c>
      <c r="BG15" s="32" t="str">
        <f>+IF(BG$3="","",IF($AY15="","",IFERROR(INDEX('Data Consolidada'!$E$7:$E$891,MATCH(CONCATENATE(BG$3,"-",$CP15,"-",$AY15),'Data Consolidada'!$K$7:$K$891,0)),MAX('Data Consolidada'!$E$7:$E$3000))))</f>
        <v/>
      </c>
      <c r="BH15" s="32" t="str">
        <f>+IF(BH$3="","",IF($AY15="","",IFERROR(INDEX('Data Consolidada'!$E$7:$E$891,MATCH(CONCATENATE(BH$3,"-",$CP15,"-",$AY15),'Data Consolidada'!$K$7:$K$891,0)),MAX('Data Consolidada'!$E$7:$E$3000))))</f>
        <v/>
      </c>
      <c r="BI15" s="32" t="str">
        <f>+IF(BI$3="","",IF($AY15="","",IFERROR(INDEX('Data Consolidada'!$E$7:$E$891,MATCH(CONCATENATE(BI$3,"-",$CP15,"-",$AY15),'Data Consolidada'!$K$7:$K$891,0)),MAX('Data Consolidada'!$E$7:$E$3000))))</f>
        <v/>
      </c>
      <c r="BJ15" s="32" t="str">
        <f>+IF(BJ$3="","",IF($AY15="","",IFERROR(INDEX('Data Consolidada'!$E$7:$E$891,MATCH(CONCATENATE(BJ$3,"-",$CP15,"-",$AY15),'Data Consolidada'!$K$7:$K$891,0)),MAX('Data Consolidada'!$E$7:$E$3000))))</f>
        <v/>
      </c>
      <c r="BK15" s="32" t="str">
        <f>+IF(BK$3="","",IF($AY15="","",IFERROR(INDEX('Data Consolidada'!$E$7:$E$891,MATCH(CONCATENATE(BK$3,"-",$CP15,"-",$AY15),'Data Consolidada'!$K$7:$K$891,0)),MAX('Data Consolidada'!$E$7:$E$3000))))</f>
        <v/>
      </c>
      <c r="BL15" s="32" t="str">
        <f>+IF(BL$3="","",IF($AY15="","",IFERROR(INDEX('Data Consolidada'!$E$7:$E$891,MATCH(CONCATENATE(BL$3,"-",$CP15,"-",$AY15),'Data Consolidada'!$K$7:$K$891,0)),MAX('Data Consolidada'!$E$7:$E$3000))))</f>
        <v/>
      </c>
      <c r="BM15" s="32" t="str">
        <f>+IF(BM$3="","",IF($AY15="","",IFERROR(INDEX('Data Consolidada'!$E$7:$E$891,MATCH(CONCATENATE(BM$3,"-",$CP15,"-",$AY15),'Data Consolidada'!$K$7:$K$891,0)),MAX('Data Consolidada'!$E$7:$E$3000))))</f>
        <v/>
      </c>
      <c r="BN15" s="32" t="str">
        <f>+IF(BN$3="","",IF($AY15="","",IFERROR(INDEX('Data Consolidada'!$E$7:$E$891,MATCH(CONCATENATE(BN$3,"-",$CP15,"-",$AY15),'Data Consolidada'!$K$7:$K$891,0)),MAX('Data Consolidada'!$E$7:$E$3000))))</f>
        <v/>
      </c>
      <c r="BO15" s="32" t="str">
        <f>+IF(BO$3="","",IF($AY15="","",IFERROR(INDEX('Data Consolidada'!$E$7:$E$891,MATCH(CONCATENATE(BO$3,"-",$CP15,"-",$AY15),'Data Consolidada'!$K$7:$K$891,0)),MAX('Data Consolidada'!$E$7:$E$3000))))</f>
        <v/>
      </c>
      <c r="BP15" s="32" t="str">
        <f>+IF(BP$3="","",IF($AY15="","",IFERROR(INDEX('Data Consolidada'!$E$7:$E$891,MATCH(CONCATENATE(BP$3,"-",$CP15,"-",$AY15),'Data Consolidada'!$K$7:$K$891,0)),MAX('Data Consolidada'!$E$7:$E$3000))))</f>
        <v/>
      </c>
      <c r="BQ15" s="32" t="str">
        <f>+IF(BQ$3="","",IF($AY15="","",IFERROR(INDEX('Data Consolidada'!$E$7:$E$891,MATCH(CONCATENATE(BQ$3,"-",$CP15,"-",$AY15),'Data Consolidada'!$K$7:$K$891,0)),MAX('Data Consolidada'!$E$7:$E$3000))))</f>
        <v/>
      </c>
      <c r="BR15" s="32" t="str">
        <f>+IF(BR$3="","",IF($AY15="","",IFERROR(INDEX('Data Consolidada'!$E$7:$E$891,MATCH(CONCATENATE(BR$3,"-",$CP15,"-",$AY15),'Data Consolidada'!$K$7:$K$891,0)),MAX('Data Consolidada'!$E$7:$E$3000))))</f>
        <v/>
      </c>
      <c r="BS15" s="32" t="str">
        <f>+IF(BS$3="","",IF($AY15="","",IFERROR(INDEX('Data Consolidada'!$E$7:$E$891,MATCH(CONCATENATE(BS$3,"-",$CP15,"-",$AY15),'Data Consolidada'!$K$7:$K$891,0)),MAX('Data Consolidada'!$E$7:$E$3000))))</f>
        <v/>
      </c>
      <c r="BT15" s="32" t="str">
        <f>+IF(BT$3="","",IF($AY15="","",IFERROR(INDEX('Data Consolidada'!$E$7:$E$891,MATCH(CONCATENATE(BT$3,"-",$CP15,"-",$AY15),'Data Consolidada'!$K$7:$K$891,0)),MAX('Data Consolidada'!$E$7:$E$3000))))</f>
        <v/>
      </c>
      <c r="BU15" s="32" t="str">
        <f>+IF(BU$3="","",IF($AY15="","",IFERROR(INDEX('Data Consolidada'!$E$7:$E$891,MATCH(CONCATENATE(BU$3,"-",$CP15,"-",$AY15),'Data Consolidada'!$K$7:$K$891,0)),MAX('Data Consolidada'!$E$7:$E$3000))))</f>
        <v/>
      </c>
      <c r="BV15" s="32" t="str">
        <f>+IF(BV$3="","",IF($AY15="","",IFERROR(INDEX('Data Consolidada'!$E$7:$E$891,MATCH(CONCATENATE(BV$3,"-",$CP15,"-",$AY15),'Data Consolidada'!$K$7:$K$891,0)),MAX('Data Consolidada'!$E$7:$E$3000))))</f>
        <v/>
      </c>
      <c r="BW15" s="32" t="str">
        <f>+IF(BW$3="","",IF($AY15="","",IFERROR(INDEX('Data Consolidada'!$E$7:$E$891,MATCH(CONCATENATE(BW$3,"-",$CP15,"-",$AY15),'Data Consolidada'!$K$7:$K$891,0)),MAX('Data Consolidada'!$E$7:$E$3000))))</f>
        <v/>
      </c>
      <c r="BX15" s="32" t="str">
        <f>+IF(BX$3="","",IF($AY15="","",IFERROR(INDEX('Data Consolidada'!$E$7:$E$891,MATCH(CONCATENATE(BX$3,"-",$CP15,"-",$AY15),'Data Consolidada'!$K$7:$K$891,0)),MAX('Data Consolidada'!$E$7:$E$3000))))</f>
        <v/>
      </c>
      <c r="BY15" s="32" t="str">
        <f>+IF(BY$3="","",IF($AY15="","",IFERROR(INDEX('Data Consolidada'!$E$7:$E$891,MATCH(CONCATENATE(BY$3,"-",$CP15,"-",$AY15),'Data Consolidada'!$K$7:$K$891,0)),MAX('Data Consolidada'!$E$7:$E$3000))))</f>
        <v/>
      </c>
      <c r="BZ15" s="32" t="str">
        <f>+IF(BZ$3="","",IF($AY15="","",IFERROR(INDEX('Data Consolidada'!$E$7:$E$891,MATCH(CONCATENATE(BZ$3,"-",$CP15,"-",$AY15),'Data Consolidada'!$K$7:$K$891,0)),MAX('Data Consolidada'!$E$7:$E$3000))))</f>
        <v/>
      </c>
      <c r="CA15" s="32" t="str">
        <f>+IF(CA$3="","",IF($AY15="","",IFERROR(INDEX('Data Consolidada'!$E$7:$E$891,MATCH(CONCATENATE(CA$3,"-",$CP15,"-",$AY15),'Data Consolidada'!$K$7:$K$891,0)),MAX('Data Consolidada'!$E$7:$E$3000))))</f>
        <v/>
      </c>
      <c r="CB15" s="32" t="str">
        <f>+IF(CB$3="","",IF($AY15="","",IFERROR(INDEX('Data Consolidada'!$E$7:$E$891,MATCH(CONCATENATE(CB$3,"-",$CP15,"-",$AY15),'Data Consolidada'!$K$7:$K$891,0)),MAX('Data Consolidada'!$E$7:$E$3000))))</f>
        <v/>
      </c>
      <c r="CC15" s="32" t="str">
        <f>+IF(CC$3="","",IF($AY15="","",IFERROR(INDEX('Data Consolidada'!$E$7:$E$891,MATCH(CONCATENATE(CC$3,"-",$CP15,"-",$AY15),'Data Consolidada'!$K$7:$K$891,0)),MAX('Data Consolidada'!$E$7:$E$3000))))</f>
        <v/>
      </c>
      <c r="CD15" s="32" t="str">
        <f>+IF(CD$3="","",IF($AY15="","",IFERROR(INDEX('Data Consolidada'!$E$7:$E$891,MATCH(CONCATENATE(CD$3,"-",$CP15,"-",$AY15),'Data Consolidada'!$K$7:$K$891,0)),MAX('Data Consolidada'!$E$7:$E$3000))))</f>
        <v/>
      </c>
      <c r="CE15" s="32" t="str">
        <f>+IF(CE$3="","",IF($AY15="","",IFERROR(INDEX('Data Consolidada'!$E$7:$E$891,MATCH(CONCATENATE(CE$3,"-",$CP15,"-",$AY15),'Data Consolidada'!$K$7:$K$891,0)),MAX('Data Consolidada'!$E$7:$E$3000))))</f>
        <v/>
      </c>
      <c r="CF15" s="32" t="str">
        <f>+IF(CF$3="","",IF($AY15="","",IFERROR(INDEX('Data Consolidada'!$E$7:$E$891,MATCH(CONCATENATE(CF$3,"-",$CP15,"-",$AY15),'Data Consolidada'!$K$7:$K$891,0)),MAX('Data Consolidada'!$E$7:$E$3000))))</f>
        <v/>
      </c>
      <c r="CG15" s="32" t="str">
        <f>+IF(CG$3="","",IF($AY15="","",IFERROR(INDEX('Data Consolidada'!$E$7:$E$891,MATCH(CONCATENATE(CG$3,"-",$CP15,"-",$AY15),'Data Consolidada'!$K$7:$K$891,0)),MAX('Data Consolidada'!$E$7:$E$3000))))</f>
        <v/>
      </c>
      <c r="CH15" s="32" t="str">
        <f>+IF(CH$3="","",IF($AY15="","",IFERROR(INDEX('Data Consolidada'!$E$7:$E$891,MATCH(CONCATENATE(CH$3,"-",$CP15,"-",$AY15),'Data Consolidada'!$K$7:$K$891,0)),MAX('Data Consolidada'!$E$7:$E$3000))))</f>
        <v/>
      </c>
      <c r="CI15" s="32" t="str">
        <f>+IF(CI$3="","",IF($AY15="","",IFERROR(INDEX('Data Consolidada'!$E$7:$E$891,MATCH(CONCATENATE(CI$3,"-",$CP15,"-",$AY15),'Data Consolidada'!$K$7:$K$891,0)),MAX('Data Consolidada'!$E$7:$E$3000))))</f>
        <v/>
      </c>
      <c r="CJ15" s="32" t="str">
        <f>+IF(CJ$3="","",IF($AY15="","",IFERROR(INDEX('Data Consolidada'!$E$7:$E$891,MATCH(CONCATENATE(CJ$3,"-",$CP15,"-",$AY15),'Data Consolidada'!$K$7:$K$891,0)),MAX('Data Consolidada'!$E$7:$E$3000))))</f>
        <v/>
      </c>
      <c r="CK15" s="32" t="str">
        <f>+IF(CK$3="","",IF($AY15="","",IFERROR(INDEX('Data Consolidada'!$E$7:$E$891,MATCH(CONCATENATE(CK$3,"-",$CP15,"-",$AY15),'Data Consolidada'!$K$7:$K$891,0)),MAX('Data Consolidada'!$E$7:$E$3000))))</f>
        <v/>
      </c>
      <c r="CL15" s="32" t="str">
        <f>+IF(CL$3="","",IF($AY15="","",IFERROR(INDEX('Data Consolidada'!$E$7:$E$891,MATCH(CONCATENATE(CL$3,"-",$CP15,"-",$AY15),'Data Consolidada'!$K$7:$K$891,0)),MAX('Data Consolidada'!$E$7:$E$3000))))</f>
        <v/>
      </c>
      <c r="CM15" s="32" t="str">
        <f>+IF(CM$3="","",IF($AY15="","",IFERROR(INDEX('Data Consolidada'!$E$7:$E$891,MATCH(CONCATENATE(CM$3,"-",$CP15,"-",$AY15),'Data Consolidada'!$K$7:$K$891,0)),MAX('Data Consolidada'!$E$7:$E$3000))))</f>
        <v/>
      </c>
      <c r="CN15" s="32" t="str">
        <f>+IF(CN$3="","",IF($AY15="","",IFERROR(INDEX('Data Consolidada'!$E$7:$E$891,MATCH(CONCATENATE(CN$3,"-",$CP15,"-",$AY15),'Data Consolidada'!$K$7:$K$891,0)),MAX('Data Consolidada'!$E$7:$E$3000))))</f>
        <v/>
      </c>
      <c r="CO15" s="37" t="str">
        <f>+IF(CO$3="","",IF($AY15="","",IFERROR(INDEX('Data Consolidada'!$E$7:$E$891,MATCH(CONCATENATE(CO$3,"-",$CP15,"-",$AY15),'Data Consolidada'!$K$7:$K$891,0)),MAX('Data Consolidada'!$E$7:$E$3000))))</f>
        <v/>
      </c>
      <c r="CP15" s="224" t="str">
        <f t="shared" ca="1" si="2"/>
        <v>MOSTAZAL</v>
      </c>
      <c r="CQ15" s="84" t="str">
        <f t="shared" ca="1" si="3"/>
        <v>TRANS. MAX SOTO G. E.I.R.L.MOSTAZAL</v>
      </c>
    </row>
    <row r="16" spans="2:95" ht="15" customHeight="1" thickBot="1" x14ac:dyDescent="0.4">
      <c r="B16" s="46" t="str">
        <v>PARRAO</v>
      </c>
      <c r="C16" s="5"/>
      <c r="D16" s="75" cm="1">
        <f t="array" ref="D16">+_xlfn._xlws.SORT(_xlfn._xlws.FILTER(_xlfn.UNIQUE(H19:H74),_xlfn.UNIQUE(H19:H74)&lt;&gt;""),1)</f>
        <v>0</v>
      </c>
      <c r="F16" s="257" t="s">
        <v>157</v>
      </c>
      <c r="G16" s="14"/>
      <c r="H16" s="204"/>
      <c r="I16" s="267" t="str">
        <f t="shared" si="6"/>
        <v/>
      </c>
      <c r="J16" s="268" t="str">
        <f t="shared" si="7"/>
        <v/>
      </c>
      <c r="K16" s="268" t="str">
        <f t="shared" si="8"/>
        <v/>
      </c>
      <c r="L16" s="268" t="str">
        <f t="shared" si="9"/>
        <v/>
      </c>
      <c r="M16" s="268" t="str">
        <f t="shared" si="10"/>
        <v/>
      </c>
      <c r="N16" s="268" t="str">
        <f t="shared" si="11"/>
        <v/>
      </c>
      <c r="O16" s="268" t="str">
        <f t="shared" si="12"/>
        <v/>
      </c>
      <c r="P16" s="268" t="str">
        <f t="shared" si="13"/>
        <v/>
      </c>
      <c r="Q16" s="268" t="str">
        <f t="shared" si="20"/>
        <v/>
      </c>
      <c r="R16" s="268" t="str">
        <f t="shared" si="14"/>
        <v/>
      </c>
      <c r="S16" s="268" t="str">
        <f t="shared" si="15"/>
        <v/>
      </c>
      <c r="T16" s="268" t="str">
        <f t="shared" si="16"/>
        <v/>
      </c>
      <c r="U16" s="268" t="str">
        <f t="shared" si="17"/>
        <v/>
      </c>
      <c r="V16" s="269" t="str">
        <f t="shared" si="18"/>
        <v/>
      </c>
      <c r="W16" s="55" cm="1">
        <f t="array" ref="W16">+IFERROR(_xlfn.IFS(F16="Totes",IF(I16="",0,ROUNDUP(I16*$I$11/$G$9,0))+IF(J16="",0,ROUNDUP(J16*$J$11/$G$9,0))+IF(K16="",0,ROUNDUP(K16*$K$11/$G$9,0))+IF(L16="",0,ROUNDUP(L16*$L$11/$G$9,0))+IF(M16="",0,ROUNDUP(M16*$M$11/$G$9,0))+IF(N16="",0,ROUNDUP(N16*$N$11/$G$9,0))+IF(O16="",0,ROUNDUP(O16*$O$11/$G$9,0))+IF(P16="",0,ROUNDUP(P16*$P$11/$G$9,0))+IF(Q16="",0,ROUNDUP(Q16*$Q$11/$G$9,0))+IF(R16="",0,ROUNDUP(R16*$R$11/$G$9,0))+IF(S16="",0,ROUNDUP(S16*$S$11/$G$9,0))+IF(T16="",0,ROUNDUP(T16*$T$11/$G$9,0))+IF(U16="",0,ROUNDUP(U16*$U$11/$G$9,0))+IF(V16="",0,ROUNDUP(V16*$V$11/$G$9,0)),F16="Mini Bins",IF(I16="",0,ROUNDUP(I16*$I$11/$J$6,0))+IF(J16="",0,ROUNDUP(J16*$J$11/$J$6,0))+IF(K16="",0,ROUNDUP(K16*$K$11/$J$6,0))+IF(L16="",0,ROUNDUP(L16*$L$11/$J$6,0))+IF(M16="",0,ROUNDUP(M16*$M$11/$J$6,0))+IF(N16="",0,ROUNDUP(N16*$N$11/$J$6,0))+IF(O16="",0,ROUNDUP(O16*$O$11/$J$6,0))+IF(P16="",0,ROUNDUP(P16*$P$11/$J$6,0))+IF(Q16="",0,ROUNDUP(Q16*$Q$11/$J$6,0))+IF(R16="",0,ROUNDUP(R16*$R$11/$J$6,0))+IF(S16="",0,ROUNDUP(S16*$S$11/$J$6,0))+IF(T16="",0,ROUNDUP(T16*$T$11/$J$6,0))+IF(U16="",0,ROUNDUP(U16*$U$11/$J$6,0))+IF(V16="",0,ROUNDUP(V16*$V$11/$J$6,0))),0)</f>
        <v>0</v>
      </c>
      <c r="X16" s="254">
        <f t="shared" si="19"/>
        <v>0</v>
      </c>
      <c r="Z16" s="245" t="s">
        <v>88</v>
      </c>
      <c r="AA16" s="247">
        <v>4</v>
      </c>
      <c r="AB16" s="254" cm="1">
        <f t="array" aca="1" ref="AB16" ca="1">+SUM(IF($B$72:$B$217=Z16,$C$72:$AR$217))</f>
        <v>0</v>
      </c>
      <c r="AC16" s="211">
        <f t="shared" ca="1" si="4"/>
        <v>0</v>
      </c>
      <c r="AF16" s="14"/>
      <c r="AG16" s="204"/>
      <c r="AH16" s="228"/>
      <c r="AI16" s="196"/>
      <c r="AJ16" s="196"/>
      <c r="AK16" s="196"/>
      <c r="AL16" s="196"/>
      <c r="AM16" s="196"/>
      <c r="AN16" s="196"/>
      <c r="AO16" s="196"/>
      <c r="AP16" s="196"/>
      <c r="AQ16" s="196"/>
      <c r="AR16" s="196"/>
      <c r="AS16" s="196"/>
      <c r="AT16" s="196"/>
      <c r="AU16" s="229"/>
      <c r="AW16" s="13">
        <f>+IF(AX16="","",IF(AX16&gt;AX15,AW15,IF(AW15&lt;$D$69,AW15+1,IF(COUNT(AW$4:AW15)&lt;$B$69*$E$54,1,""))))</f>
        <v>1</v>
      </c>
      <c r="AX16" s="13">
        <f>+IF(AX15&lt;$B$69,AX15+1,IF(COUNT(AX$4:AX15)&lt;$B$69*$D$69,1,""))</f>
        <v>13</v>
      </c>
      <c r="AY16" s="189" t="str">
        <f t="shared" ca="1" si="1"/>
        <v>TRANS. MITRE SPA.</v>
      </c>
      <c r="AZ16" s="36">
        <f ca="1">+IF(AZ$3="","",IF($AY16="","",IFERROR(INDEX('Data Consolidada'!$E$7:$E$891,MATCH(CONCATENATE(AZ$3,"-",$CP16,"-",$AY16),'Data Consolidada'!$K$7:$K$891,0)),MAX('Data Consolidada'!$E$7:$E$3000))))</f>
        <v>11000000</v>
      </c>
      <c r="BA16" s="32">
        <f ca="1">+IF(BA$3="","",IF($AY16="","",IFERROR(INDEX('Data Consolidada'!$E$7:$E$891,MATCH(CONCATENATE(BA$3,"-",$CP16,"-",$AY16),'Data Consolidada'!$K$7:$K$891,0)),MAX('Data Consolidada'!$E$7:$E$3000))))</f>
        <v>11000000</v>
      </c>
      <c r="BB16" s="32" t="str">
        <f>+IF(BB$3="","",IF($AY16="","",IFERROR(INDEX('Data Consolidada'!$E$7:$E$891,MATCH(CONCATENATE(BB$3,"-",$CP16,"-",$AY16),'Data Consolidada'!$K$7:$K$891,0)),MAX('Data Consolidada'!$E$7:$E$3000))))</f>
        <v/>
      </c>
      <c r="BC16" s="32" t="str">
        <f>+IF(BC$3="","",IF($AY16="","",IFERROR(INDEX('Data Consolidada'!$E$7:$E$891,MATCH(CONCATENATE(BC$3,"-",$CP16,"-",$AY16),'Data Consolidada'!$K$7:$K$891,0)),MAX('Data Consolidada'!$E$7:$E$3000))))</f>
        <v/>
      </c>
      <c r="BD16" s="32" t="str">
        <f>+IF(BD$3="","",IF($AY16="","",IFERROR(INDEX('Data Consolidada'!$E$7:$E$891,MATCH(CONCATENATE(BD$3,"-",$CP16,"-",$AY16),'Data Consolidada'!$K$7:$K$891,0)),MAX('Data Consolidada'!$E$7:$E$3000))))</f>
        <v/>
      </c>
      <c r="BE16" s="32" t="str">
        <f>+IF(BE$3="","",IF($AY16="","",IFERROR(INDEX('Data Consolidada'!$E$7:$E$891,MATCH(CONCATENATE(BE$3,"-",$CP16,"-",$AY16),'Data Consolidada'!$K$7:$K$891,0)),MAX('Data Consolidada'!$E$7:$E$3000))))</f>
        <v/>
      </c>
      <c r="BF16" s="32" t="str">
        <f>+IF(BF$3="","",IF($AY16="","",IFERROR(INDEX('Data Consolidada'!$E$7:$E$891,MATCH(CONCATENATE(BF$3,"-",$CP16,"-",$AY16),'Data Consolidada'!$K$7:$K$891,0)),MAX('Data Consolidada'!$E$7:$E$3000))))</f>
        <v/>
      </c>
      <c r="BG16" s="32" t="str">
        <f>+IF(BG$3="","",IF($AY16="","",IFERROR(INDEX('Data Consolidada'!$E$7:$E$891,MATCH(CONCATENATE(BG$3,"-",$CP16,"-",$AY16),'Data Consolidada'!$K$7:$K$891,0)),MAX('Data Consolidada'!$E$7:$E$3000))))</f>
        <v/>
      </c>
      <c r="BH16" s="32" t="str">
        <f>+IF(BH$3="","",IF($AY16="","",IFERROR(INDEX('Data Consolidada'!$E$7:$E$891,MATCH(CONCATENATE(BH$3,"-",$CP16,"-",$AY16),'Data Consolidada'!$K$7:$K$891,0)),MAX('Data Consolidada'!$E$7:$E$3000))))</f>
        <v/>
      </c>
      <c r="BI16" s="32" t="str">
        <f>+IF(BI$3="","",IF($AY16="","",IFERROR(INDEX('Data Consolidada'!$E$7:$E$891,MATCH(CONCATENATE(BI$3,"-",$CP16,"-",$AY16),'Data Consolidada'!$K$7:$K$891,0)),MAX('Data Consolidada'!$E$7:$E$3000))))</f>
        <v/>
      </c>
      <c r="BJ16" s="32" t="str">
        <f>+IF(BJ$3="","",IF($AY16="","",IFERROR(INDEX('Data Consolidada'!$E$7:$E$891,MATCH(CONCATENATE(BJ$3,"-",$CP16,"-",$AY16),'Data Consolidada'!$K$7:$K$891,0)),MAX('Data Consolidada'!$E$7:$E$3000))))</f>
        <v/>
      </c>
      <c r="BK16" s="32" t="str">
        <f>+IF(BK$3="","",IF($AY16="","",IFERROR(INDEX('Data Consolidada'!$E$7:$E$891,MATCH(CONCATENATE(BK$3,"-",$CP16,"-",$AY16),'Data Consolidada'!$K$7:$K$891,0)),MAX('Data Consolidada'!$E$7:$E$3000))))</f>
        <v/>
      </c>
      <c r="BL16" s="32" t="str">
        <f>+IF(BL$3="","",IF($AY16="","",IFERROR(INDEX('Data Consolidada'!$E$7:$E$891,MATCH(CONCATENATE(BL$3,"-",$CP16,"-",$AY16),'Data Consolidada'!$K$7:$K$891,0)),MAX('Data Consolidada'!$E$7:$E$3000))))</f>
        <v/>
      </c>
      <c r="BM16" s="32" t="str">
        <f>+IF(BM$3="","",IF($AY16="","",IFERROR(INDEX('Data Consolidada'!$E$7:$E$891,MATCH(CONCATENATE(BM$3,"-",$CP16,"-",$AY16),'Data Consolidada'!$K$7:$K$891,0)),MAX('Data Consolidada'!$E$7:$E$3000))))</f>
        <v/>
      </c>
      <c r="BN16" s="32" t="str">
        <f>+IF(BN$3="","",IF($AY16="","",IFERROR(INDEX('Data Consolidada'!$E$7:$E$891,MATCH(CONCATENATE(BN$3,"-",$CP16,"-",$AY16),'Data Consolidada'!$K$7:$K$891,0)),MAX('Data Consolidada'!$E$7:$E$3000))))</f>
        <v/>
      </c>
      <c r="BO16" s="32" t="str">
        <f>+IF(BO$3="","",IF($AY16="","",IFERROR(INDEX('Data Consolidada'!$E$7:$E$891,MATCH(CONCATENATE(BO$3,"-",$CP16,"-",$AY16),'Data Consolidada'!$K$7:$K$891,0)),MAX('Data Consolidada'!$E$7:$E$3000))))</f>
        <v/>
      </c>
      <c r="BP16" s="32" t="str">
        <f>+IF(BP$3="","",IF($AY16="","",IFERROR(INDEX('Data Consolidada'!$E$7:$E$891,MATCH(CONCATENATE(BP$3,"-",$CP16,"-",$AY16),'Data Consolidada'!$K$7:$K$891,0)),MAX('Data Consolidada'!$E$7:$E$3000))))</f>
        <v/>
      </c>
      <c r="BQ16" s="32" t="str">
        <f>+IF(BQ$3="","",IF($AY16="","",IFERROR(INDEX('Data Consolidada'!$E$7:$E$891,MATCH(CONCATENATE(BQ$3,"-",$CP16,"-",$AY16),'Data Consolidada'!$K$7:$K$891,0)),MAX('Data Consolidada'!$E$7:$E$3000))))</f>
        <v/>
      </c>
      <c r="BR16" s="32" t="str">
        <f>+IF(BR$3="","",IF($AY16="","",IFERROR(INDEX('Data Consolidada'!$E$7:$E$891,MATCH(CONCATENATE(BR$3,"-",$CP16,"-",$AY16),'Data Consolidada'!$K$7:$K$891,0)),MAX('Data Consolidada'!$E$7:$E$3000))))</f>
        <v/>
      </c>
      <c r="BS16" s="32" t="str">
        <f>+IF(BS$3="","",IF($AY16="","",IFERROR(INDEX('Data Consolidada'!$E$7:$E$891,MATCH(CONCATENATE(BS$3,"-",$CP16,"-",$AY16),'Data Consolidada'!$K$7:$K$891,0)),MAX('Data Consolidada'!$E$7:$E$3000))))</f>
        <v/>
      </c>
      <c r="BT16" s="32" t="str">
        <f>+IF(BT$3="","",IF($AY16="","",IFERROR(INDEX('Data Consolidada'!$E$7:$E$891,MATCH(CONCATENATE(BT$3,"-",$CP16,"-",$AY16),'Data Consolidada'!$K$7:$K$891,0)),MAX('Data Consolidada'!$E$7:$E$3000))))</f>
        <v/>
      </c>
      <c r="BU16" s="32" t="str">
        <f>+IF(BU$3="","",IF($AY16="","",IFERROR(INDEX('Data Consolidada'!$E$7:$E$891,MATCH(CONCATENATE(BU$3,"-",$CP16,"-",$AY16),'Data Consolidada'!$K$7:$K$891,0)),MAX('Data Consolidada'!$E$7:$E$3000))))</f>
        <v/>
      </c>
      <c r="BV16" s="32" t="str">
        <f>+IF(BV$3="","",IF($AY16="","",IFERROR(INDEX('Data Consolidada'!$E$7:$E$891,MATCH(CONCATENATE(BV$3,"-",$CP16,"-",$AY16),'Data Consolidada'!$K$7:$K$891,0)),MAX('Data Consolidada'!$E$7:$E$3000))))</f>
        <v/>
      </c>
      <c r="BW16" s="32" t="str">
        <f>+IF(BW$3="","",IF($AY16="","",IFERROR(INDEX('Data Consolidada'!$E$7:$E$891,MATCH(CONCATENATE(BW$3,"-",$CP16,"-",$AY16),'Data Consolidada'!$K$7:$K$891,0)),MAX('Data Consolidada'!$E$7:$E$3000))))</f>
        <v/>
      </c>
      <c r="BX16" s="32" t="str">
        <f>+IF(BX$3="","",IF($AY16="","",IFERROR(INDEX('Data Consolidada'!$E$7:$E$891,MATCH(CONCATENATE(BX$3,"-",$CP16,"-",$AY16),'Data Consolidada'!$K$7:$K$891,0)),MAX('Data Consolidada'!$E$7:$E$3000))))</f>
        <v/>
      </c>
      <c r="BY16" s="32" t="str">
        <f>+IF(BY$3="","",IF($AY16="","",IFERROR(INDEX('Data Consolidada'!$E$7:$E$891,MATCH(CONCATENATE(BY$3,"-",$CP16,"-",$AY16),'Data Consolidada'!$K$7:$K$891,0)),MAX('Data Consolidada'!$E$7:$E$3000))))</f>
        <v/>
      </c>
      <c r="BZ16" s="32" t="str">
        <f>+IF(BZ$3="","",IF($AY16="","",IFERROR(INDEX('Data Consolidada'!$E$7:$E$891,MATCH(CONCATENATE(BZ$3,"-",$CP16,"-",$AY16),'Data Consolidada'!$K$7:$K$891,0)),MAX('Data Consolidada'!$E$7:$E$3000))))</f>
        <v/>
      </c>
      <c r="CA16" s="32" t="str">
        <f>+IF(CA$3="","",IF($AY16="","",IFERROR(INDEX('Data Consolidada'!$E$7:$E$891,MATCH(CONCATENATE(CA$3,"-",$CP16,"-",$AY16),'Data Consolidada'!$K$7:$K$891,0)),MAX('Data Consolidada'!$E$7:$E$3000))))</f>
        <v/>
      </c>
      <c r="CB16" s="32" t="str">
        <f>+IF(CB$3="","",IF($AY16="","",IFERROR(INDEX('Data Consolidada'!$E$7:$E$891,MATCH(CONCATENATE(CB$3,"-",$CP16,"-",$AY16),'Data Consolidada'!$K$7:$K$891,0)),MAX('Data Consolidada'!$E$7:$E$3000))))</f>
        <v/>
      </c>
      <c r="CC16" s="32" t="str">
        <f>+IF(CC$3="","",IF($AY16="","",IFERROR(INDEX('Data Consolidada'!$E$7:$E$891,MATCH(CONCATENATE(CC$3,"-",$CP16,"-",$AY16),'Data Consolidada'!$K$7:$K$891,0)),MAX('Data Consolidada'!$E$7:$E$3000))))</f>
        <v/>
      </c>
      <c r="CD16" s="32" t="str">
        <f>+IF(CD$3="","",IF($AY16="","",IFERROR(INDEX('Data Consolidada'!$E$7:$E$891,MATCH(CONCATENATE(CD$3,"-",$CP16,"-",$AY16),'Data Consolidada'!$K$7:$K$891,0)),MAX('Data Consolidada'!$E$7:$E$3000))))</f>
        <v/>
      </c>
      <c r="CE16" s="32" t="str">
        <f>+IF(CE$3="","",IF($AY16="","",IFERROR(INDEX('Data Consolidada'!$E$7:$E$891,MATCH(CONCATENATE(CE$3,"-",$CP16,"-",$AY16),'Data Consolidada'!$K$7:$K$891,0)),MAX('Data Consolidada'!$E$7:$E$3000))))</f>
        <v/>
      </c>
      <c r="CF16" s="32" t="str">
        <f>+IF(CF$3="","",IF($AY16="","",IFERROR(INDEX('Data Consolidada'!$E$7:$E$891,MATCH(CONCATENATE(CF$3,"-",$CP16,"-",$AY16),'Data Consolidada'!$K$7:$K$891,0)),MAX('Data Consolidada'!$E$7:$E$3000))))</f>
        <v/>
      </c>
      <c r="CG16" s="32" t="str">
        <f>+IF(CG$3="","",IF($AY16="","",IFERROR(INDEX('Data Consolidada'!$E$7:$E$891,MATCH(CONCATENATE(CG$3,"-",$CP16,"-",$AY16),'Data Consolidada'!$K$7:$K$891,0)),MAX('Data Consolidada'!$E$7:$E$3000))))</f>
        <v/>
      </c>
      <c r="CH16" s="32" t="str">
        <f>+IF(CH$3="","",IF($AY16="","",IFERROR(INDEX('Data Consolidada'!$E$7:$E$891,MATCH(CONCATENATE(CH$3,"-",$CP16,"-",$AY16),'Data Consolidada'!$K$7:$K$891,0)),MAX('Data Consolidada'!$E$7:$E$3000))))</f>
        <v/>
      </c>
      <c r="CI16" s="32" t="str">
        <f>+IF(CI$3="","",IF($AY16="","",IFERROR(INDEX('Data Consolidada'!$E$7:$E$891,MATCH(CONCATENATE(CI$3,"-",$CP16,"-",$AY16),'Data Consolidada'!$K$7:$K$891,0)),MAX('Data Consolidada'!$E$7:$E$3000))))</f>
        <v/>
      </c>
      <c r="CJ16" s="32" t="str">
        <f>+IF(CJ$3="","",IF($AY16="","",IFERROR(INDEX('Data Consolidada'!$E$7:$E$891,MATCH(CONCATENATE(CJ$3,"-",$CP16,"-",$AY16),'Data Consolidada'!$K$7:$K$891,0)),MAX('Data Consolidada'!$E$7:$E$3000))))</f>
        <v/>
      </c>
      <c r="CK16" s="32" t="str">
        <f>+IF(CK$3="","",IF($AY16="","",IFERROR(INDEX('Data Consolidada'!$E$7:$E$891,MATCH(CONCATENATE(CK$3,"-",$CP16,"-",$AY16),'Data Consolidada'!$K$7:$K$891,0)),MAX('Data Consolidada'!$E$7:$E$3000))))</f>
        <v/>
      </c>
      <c r="CL16" s="32" t="str">
        <f>+IF(CL$3="","",IF($AY16="","",IFERROR(INDEX('Data Consolidada'!$E$7:$E$891,MATCH(CONCATENATE(CL$3,"-",$CP16,"-",$AY16),'Data Consolidada'!$K$7:$K$891,0)),MAX('Data Consolidada'!$E$7:$E$3000))))</f>
        <v/>
      </c>
      <c r="CM16" s="32" t="str">
        <f>+IF(CM$3="","",IF($AY16="","",IFERROR(INDEX('Data Consolidada'!$E$7:$E$891,MATCH(CONCATENATE(CM$3,"-",$CP16,"-",$AY16),'Data Consolidada'!$K$7:$K$891,0)),MAX('Data Consolidada'!$E$7:$E$3000))))</f>
        <v/>
      </c>
      <c r="CN16" s="32" t="str">
        <f>+IF(CN$3="","",IF($AY16="","",IFERROR(INDEX('Data Consolidada'!$E$7:$E$891,MATCH(CONCATENATE(CN$3,"-",$CP16,"-",$AY16),'Data Consolidada'!$K$7:$K$891,0)),MAX('Data Consolidada'!$E$7:$E$3000))))</f>
        <v/>
      </c>
      <c r="CO16" s="37" t="str">
        <f>+IF(CO$3="","",IF($AY16="","",IFERROR(INDEX('Data Consolidada'!$E$7:$E$891,MATCH(CONCATENATE(CO$3,"-",$CP16,"-",$AY16),'Data Consolidada'!$K$7:$K$891,0)),MAX('Data Consolidada'!$E$7:$E$3000))))</f>
        <v/>
      </c>
      <c r="CP16" s="224" t="str">
        <f t="shared" ca="1" si="2"/>
        <v>MOSTAZAL</v>
      </c>
      <c r="CQ16" s="84" t="str">
        <f t="shared" ca="1" si="3"/>
        <v>TRANS. MITRE SPA.MOSTAZAL</v>
      </c>
    </row>
    <row r="17" spans="2:95" ht="15" customHeight="1" thickBot="1" x14ac:dyDescent="0.4">
      <c r="B17" s="46" t="str">
        <v>PAULA</v>
      </c>
      <c r="C17" s="5"/>
      <c r="D17" s="75" cm="1">
        <f t="array" ref="D17">+_xlfn._xlws.SORT(_xlfn._xlws.FILTER(_xlfn.UNIQUE(H20:H75),_xlfn.UNIQUE(H20:H75)&lt;&gt;""),1)</f>
        <v>0</v>
      </c>
      <c r="F17" s="257" t="s">
        <v>157</v>
      </c>
      <c r="G17" s="14"/>
      <c r="H17" s="204"/>
      <c r="I17" s="267" t="str">
        <f t="shared" si="6"/>
        <v/>
      </c>
      <c r="J17" s="268" t="str">
        <f t="shared" si="7"/>
        <v/>
      </c>
      <c r="K17" s="268" t="str">
        <f t="shared" si="8"/>
        <v/>
      </c>
      <c r="L17" s="268" t="str">
        <f t="shared" si="9"/>
        <v/>
      </c>
      <c r="M17" s="268" t="str">
        <f t="shared" si="10"/>
        <v/>
      </c>
      <c r="N17" s="268" t="str">
        <f t="shared" si="11"/>
        <v/>
      </c>
      <c r="O17" s="268" t="str">
        <f t="shared" si="12"/>
        <v/>
      </c>
      <c r="P17" s="268" t="str">
        <f t="shared" si="13"/>
        <v/>
      </c>
      <c r="Q17" s="268" t="str">
        <f t="shared" si="20"/>
        <v/>
      </c>
      <c r="R17" s="268" t="str">
        <f t="shared" si="14"/>
        <v/>
      </c>
      <c r="S17" s="268" t="str">
        <f t="shared" si="15"/>
        <v/>
      </c>
      <c r="T17" s="268" t="str">
        <f t="shared" si="16"/>
        <v/>
      </c>
      <c r="U17" s="268" t="str">
        <f t="shared" si="17"/>
        <v/>
      </c>
      <c r="V17" s="269" t="str">
        <f t="shared" si="18"/>
        <v/>
      </c>
      <c r="W17" s="55" cm="1">
        <f t="array" ref="W17">+IFERROR(_xlfn.IFS(F17="Totes",IF(I17="",0,ROUNDUP(I17*$I$11/$G$9,0))+IF(J17="",0,ROUNDUP(J17*$J$11/$G$9,0))+IF(K17="",0,ROUNDUP(K17*$K$11/$G$9,0))+IF(L17="",0,ROUNDUP(L17*$L$11/$G$9,0))+IF(M17="",0,ROUNDUP(M17*$M$11/$G$9,0))+IF(N17="",0,ROUNDUP(N17*$N$11/$G$9,0))+IF(O17="",0,ROUNDUP(O17*$O$11/$G$9,0))+IF(P17="",0,ROUNDUP(P17*$P$11/$G$9,0))+IF(Q17="",0,ROUNDUP(Q17*$Q$11/$G$9,0))+IF(R17="",0,ROUNDUP(R17*$R$11/$G$9,0))+IF(S17="",0,ROUNDUP(S17*$S$11/$G$9,0))+IF(T17="",0,ROUNDUP(T17*$T$11/$G$9,0))+IF(U17="",0,ROUNDUP(U17*$U$11/$G$9,0))+IF(V17="",0,ROUNDUP(V17*$V$11/$G$9,0)),F17="Mini Bins",IF(I17="",0,ROUNDUP(I17*$I$11/$J$6,0))+IF(J17="",0,ROUNDUP(J17*$J$11/$J$6,0))+IF(K17="",0,ROUNDUP(K17*$K$11/$J$6,0))+IF(L17="",0,ROUNDUP(L17*$L$11/$J$6,0))+IF(M17="",0,ROUNDUP(M17*$M$11/$J$6,0))+IF(N17="",0,ROUNDUP(N17*$N$11/$J$6,0))+IF(O17="",0,ROUNDUP(O17*$O$11/$J$6,0))+IF(P17="",0,ROUNDUP(P17*$P$11/$J$6,0))+IF(Q17="",0,ROUNDUP(Q17*$Q$11/$J$6,0))+IF(R17="",0,ROUNDUP(R17*$R$11/$J$6,0))+IF(S17="",0,ROUNDUP(S17*$S$11/$J$6,0))+IF(T17="",0,ROUNDUP(T17*$T$11/$J$6,0))+IF(U17="",0,ROUNDUP(U17*$U$11/$J$6,0))+IF(V17="",0,ROUNDUP(V17*$V$11/$J$6,0))),0)</f>
        <v>0</v>
      </c>
      <c r="X17" s="254">
        <f t="shared" si="19"/>
        <v>0</v>
      </c>
      <c r="Y17" s="43"/>
      <c r="Z17" s="245" t="s">
        <v>87</v>
      </c>
      <c r="AA17" s="247">
        <v>4</v>
      </c>
      <c r="AB17" s="254" cm="1">
        <f t="array" aca="1" ref="AB17" ca="1">+SUM(IF($B$72:$B$217=Z17,$C$72:$AR$217))</f>
        <v>0</v>
      </c>
      <c r="AC17" s="211">
        <f t="shared" ca="1" si="4"/>
        <v>0</v>
      </c>
      <c r="AF17" s="14"/>
      <c r="AG17" s="204"/>
      <c r="AH17" s="228"/>
      <c r="AI17" s="196"/>
      <c r="AJ17" s="196"/>
      <c r="AK17" s="196"/>
      <c r="AL17" s="196"/>
      <c r="AM17" s="196"/>
      <c r="AN17" s="196"/>
      <c r="AO17" s="196"/>
      <c r="AP17" s="196"/>
      <c r="AQ17" s="196"/>
      <c r="AR17" s="196"/>
      <c r="AS17" s="196"/>
      <c r="AT17" s="196"/>
      <c r="AU17" s="229"/>
      <c r="AW17" s="13">
        <f>+IF(AX17="","",IF(AX17&gt;AX16,AW16,IF(AW16&lt;$D$69,AW16+1,IF(COUNT(AW$4:AW16)&lt;$B$69*$E$54,1,""))))</f>
        <v>2</v>
      </c>
      <c r="AX17" s="13">
        <f>+IF(AX16&lt;$B$69,AX16+1,IF(COUNT(AX$4:AX16)&lt;$B$69*$D$69,1,""))</f>
        <v>1</v>
      </c>
      <c r="AY17" s="189" t="str">
        <f t="shared" ca="1" si="1"/>
        <v xml:space="preserve">  TRANS. MORROS LTDA.</v>
      </c>
      <c r="AZ17" s="36">
        <f ca="1">+IF(AZ$3="","",IF($AY17="","",IFERROR(INDEX('Data Consolidada'!$E$7:$E$891,MATCH(CONCATENATE(AZ$3,"-",$CP17,"-",$AY17),'Data Consolidada'!$K$7:$K$891,0)),MAX('Data Consolidada'!$E$7:$E$3000))))</f>
        <v>11000000</v>
      </c>
      <c r="BA17" s="32">
        <f ca="1">+IF(BA$3="","",IF($AY17="","",IFERROR(INDEX('Data Consolidada'!$E$7:$E$891,MATCH(CONCATENATE(BA$3,"-",$CP17,"-",$AY17),'Data Consolidada'!$K$7:$K$891,0)),MAX('Data Consolidada'!$E$7:$E$3000))))</f>
        <v>350000</v>
      </c>
      <c r="BB17" s="32" t="str">
        <f>+IF(BB$3="","",IF($AY17="","",IFERROR(INDEX('Data Consolidada'!$E$7:$E$891,MATCH(CONCATENATE(BB$3,"-",$CP17,"-",$AY17),'Data Consolidada'!$K$7:$K$891,0)),MAX('Data Consolidada'!$E$7:$E$3000))))</f>
        <v/>
      </c>
      <c r="BC17" s="32" t="str">
        <f>+IF(BC$3="","",IF($AY17="","",IFERROR(INDEX('Data Consolidada'!$E$7:$E$891,MATCH(CONCATENATE(BC$3,"-",$CP17,"-",$AY17),'Data Consolidada'!$K$7:$K$891,0)),MAX('Data Consolidada'!$E$7:$E$3000))))</f>
        <v/>
      </c>
      <c r="BD17" s="32" t="str">
        <f>+IF(BD$3="","",IF($AY17="","",IFERROR(INDEX('Data Consolidada'!$E$7:$E$891,MATCH(CONCATENATE(BD$3,"-",$CP17,"-",$AY17),'Data Consolidada'!$K$7:$K$891,0)),MAX('Data Consolidada'!$E$7:$E$3000))))</f>
        <v/>
      </c>
      <c r="BE17" s="32" t="str">
        <f>+IF(BE$3="","",IF($AY17="","",IFERROR(INDEX('Data Consolidada'!$E$7:$E$891,MATCH(CONCATENATE(BE$3,"-",$CP17,"-",$AY17),'Data Consolidada'!$K$7:$K$891,0)),MAX('Data Consolidada'!$E$7:$E$3000))))</f>
        <v/>
      </c>
      <c r="BF17" s="32" t="str">
        <f>+IF(BF$3="","",IF($AY17="","",IFERROR(INDEX('Data Consolidada'!$E$7:$E$891,MATCH(CONCATENATE(BF$3,"-",$CP17,"-",$AY17),'Data Consolidada'!$K$7:$K$891,0)),MAX('Data Consolidada'!$E$7:$E$3000))))</f>
        <v/>
      </c>
      <c r="BG17" s="32" t="str">
        <f>+IF(BG$3="","",IF($AY17="","",IFERROR(INDEX('Data Consolidada'!$E$7:$E$891,MATCH(CONCATENATE(BG$3,"-",$CP17,"-",$AY17),'Data Consolidada'!$K$7:$K$891,0)),MAX('Data Consolidada'!$E$7:$E$3000))))</f>
        <v/>
      </c>
      <c r="BH17" s="32" t="str">
        <f>+IF(BH$3="","",IF($AY17="","",IFERROR(INDEX('Data Consolidada'!$E$7:$E$891,MATCH(CONCATENATE(BH$3,"-",$CP17,"-",$AY17),'Data Consolidada'!$K$7:$K$891,0)),MAX('Data Consolidada'!$E$7:$E$3000))))</f>
        <v/>
      </c>
      <c r="BI17" s="32" t="str">
        <f>+IF(BI$3="","",IF($AY17="","",IFERROR(INDEX('Data Consolidada'!$E$7:$E$891,MATCH(CONCATENATE(BI$3,"-",$CP17,"-",$AY17),'Data Consolidada'!$K$7:$K$891,0)),MAX('Data Consolidada'!$E$7:$E$3000))))</f>
        <v/>
      </c>
      <c r="BJ17" s="32" t="str">
        <f>+IF(BJ$3="","",IF($AY17="","",IFERROR(INDEX('Data Consolidada'!$E$7:$E$891,MATCH(CONCATENATE(BJ$3,"-",$CP17,"-",$AY17),'Data Consolidada'!$K$7:$K$891,0)),MAX('Data Consolidada'!$E$7:$E$3000))))</f>
        <v/>
      </c>
      <c r="BK17" s="32" t="str">
        <f>+IF(BK$3="","",IF($AY17="","",IFERROR(INDEX('Data Consolidada'!$E$7:$E$891,MATCH(CONCATENATE(BK$3,"-",$CP17,"-",$AY17),'Data Consolidada'!$K$7:$K$891,0)),MAX('Data Consolidada'!$E$7:$E$3000))))</f>
        <v/>
      </c>
      <c r="BL17" s="32" t="str">
        <f>+IF(BL$3="","",IF($AY17="","",IFERROR(INDEX('Data Consolidada'!$E$7:$E$891,MATCH(CONCATENATE(BL$3,"-",$CP17,"-",$AY17),'Data Consolidada'!$K$7:$K$891,0)),MAX('Data Consolidada'!$E$7:$E$3000))))</f>
        <v/>
      </c>
      <c r="BM17" s="32" t="str">
        <f>+IF(BM$3="","",IF($AY17="","",IFERROR(INDEX('Data Consolidada'!$E$7:$E$891,MATCH(CONCATENATE(BM$3,"-",$CP17,"-",$AY17),'Data Consolidada'!$K$7:$K$891,0)),MAX('Data Consolidada'!$E$7:$E$3000))))</f>
        <v/>
      </c>
      <c r="BN17" s="32" t="str">
        <f>+IF(BN$3="","",IF($AY17="","",IFERROR(INDEX('Data Consolidada'!$E$7:$E$891,MATCH(CONCATENATE(BN$3,"-",$CP17,"-",$AY17),'Data Consolidada'!$K$7:$K$891,0)),MAX('Data Consolidada'!$E$7:$E$3000))))</f>
        <v/>
      </c>
      <c r="BO17" s="32" t="str">
        <f>+IF(BO$3="","",IF($AY17="","",IFERROR(INDEX('Data Consolidada'!$E$7:$E$891,MATCH(CONCATENATE(BO$3,"-",$CP17,"-",$AY17),'Data Consolidada'!$K$7:$K$891,0)),MAX('Data Consolidada'!$E$7:$E$3000))))</f>
        <v/>
      </c>
      <c r="BP17" s="32" t="str">
        <f>+IF(BP$3="","",IF($AY17="","",IFERROR(INDEX('Data Consolidada'!$E$7:$E$891,MATCH(CONCATENATE(BP$3,"-",$CP17,"-",$AY17),'Data Consolidada'!$K$7:$K$891,0)),MAX('Data Consolidada'!$E$7:$E$3000))))</f>
        <v/>
      </c>
      <c r="BQ17" s="32" t="str">
        <f>+IF(BQ$3="","",IF($AY17="","",IFERROR(INDEX('Data Consolidada'!$E$7:$E$891,MATCH(CONCATENATE(BQ$3,"-",$CP17,"-",$AY17),'Data Consolidada'!$K$7:$K$891,0)),MAX('Data Consolidada'!$E$7:$E$3000))))</f>
        <v/>
      </c>
      <c r="BR17" s="32" t="str">
        <f>+IF(BR$3="","",IF($AY17="","",IFERROR(INDEX('Data Consolidada'!$E$7:$E$891,MATCH(CONCATENATE(BR$3,"-",$CP17,"-",$AY17),'Data Consolidada'!$K$7:$K$891,0)),MAX('Data Consolidada'!$E$7:$E$3000))))</f>
        <v/>
      </c>
      <c r="BS17" s="32" t="str">
        <f>+IF(BS$3="","",IF($AY17="","",IFERROR(INDEX('Data Consolidada'!$E$7:$E$891,MATCH(CONCATENATE(BS$3,"-",$CP17,"-",$AY17),'Data Consolidada'!$K$7:$K$891,0)),MAX('Data Consolidada'!$E$7:$E$3000))))</f>
        <v/>
      </c>
      <c r="BT17" s="32" t="str">
        <f>+IF(BT$3="","",IF($AY17="","",IFERROR(INDEX('Data Consolidada'!$E$7:$E$891,MATCH(CONCATENATE(BT$3,"-",$CP17,"-",$AY17),'Data Consolidada'!$K$7:$K$891,0)),MAX('Data Consolidada'!$E$7:$E$3000))))</f>
        <v/>
      </c>
      <c r="BU17" s="32" t="str">
        <f>+IF(BU$3="","",IF($AY17="","",IFERROR(INDEX('Data Consolidada'!$E$7:$E$891,MATCH(CONCATENATE(BU$3,"-",$CP17,"-",$AY17),'Data Consolidada'!$K$7:$K$891,0)),MAX('Data Consolidada'!$E$7:$E$3000))))</f>
        <v/>
      </c>
      <c r="BV17" s="32" t="str">
        <f>+IF(BV$3="","",IF($AY17="","",IFERROR(INDEX('Data Consolidada'!$E$7:$E$891,MATCH(CONCATENATE(BV$3,"-",$CP17,"-",$AY17),'Data Consolidada'!$K$7:$K$891,0)),MAX('Data Consolidada'!$E$7:$E$3000))))</f>
        <v/>
      </c>
      <c r="BW17" s="32" t="str">
        <f>+IF(BW$3="","",IF($AY17="","",IFERROR(INDEX('Data Consolidada'!$E$7:$E$891,MATCH(CONCATENATE(BW$3,"-",$CP17,"-",$AY17),'Data Consolidada'!$K$7:$K$891,0)),MAX('Data Consolidada'!$E$7:$E$3000))))</f>
        <v/>
      </c>
      <c r="BX17" s="32" t="str">
        <f>+IF(BX$3="","",IF($AY17="","",IFERROR(INDEX('Data Consolidada'!$E$7:$E$891,MATCH(CONCATENATE(BX$3,"-",$CP17,"-",$AY17),'Data Consolidada'!$K$7:$K$891,0)),MAX('Data Consolidada'!$E$7:$E$3000))))</f>
        <v/>
      </c>
      <c r="BY17" s="32" t="str">
        <f>+IF(BY$3="","",IF($AY17="","",IFERROR(INDEX('Data Consolidada'!$E$7:$E$891,MATCH(CONCATENATE(BY$3,"-",$CP17,"-",$AY17),'Data Consolidada'!$K$7:$K$891,0)),MAX('Data Consolidada'!$E$7:$E$3000))))</f>
        <v/>
      </c>
      <c r="BZ17" s="32" t="str">
        <f>+IF(BZ$3="","",IF($AY17="","",IFERROR(INDEX('Data Consolidada'!$E$7:$E$891,MATCH(CONCATENATE(BZ$3,"-",$CP17,"-",$AY17),'Data Consolidada'!$K$7:$K$891,0)),MAX('Data Consolidada'!$E$7:$E$3000))))</f>
        <v/>
      </c>
      <c r="CA17" s="32" t="str">
        <f>+IF(CA$3="","",IF($AY17="","",IFERROR(INDEX('Data Consolidada'!$E$7:$E$891,MATCH(CONCATENATE(CA$3,"-",$CP17,"-",$AY17),'Data Consolidada'!$K$7:$K$891,0)),MAX('Data Consolidada'!$E$7:$E$3000))))</f>
        <v/>
      </c>
      <c r="CB17" s="32" t="str">
        <f>+IF(CB$3="","",IF($AY17="","",IFERROR(INDEX('Data Consolidada'!$E$7:$E$891,MATCH(CONCATENATE(CB$3,"-",$CP17,"-",$AY17),'Data Consolidada'!$K$7:$K$891,0)),MAX('Data Consolidada'!$E$7:$E$3000))))</f>
        <v/>
      </c>
      <c r="CC17" s="32" t="str">
        <f>+IF(CC$3="","",IF($AY17="","",IFERROR(INDEX('Data Consolidada'!$E$7:$E$891,MATCH(CONCATENATE(CC$3,"-",$CP17,"-",$AY17),'Data Consolidada'!$K$7:$K$891,0)),MAX('Data Consolidada'!$E$7:$E$3000))))</f>
        <v/>
      </c>
      <c r="CD17" s="32" t="str">
        <f>+IF(CD$3="","",IF($AY17="","",IFERROR(INDEX('Data Consolidada'!$E$7:$E$891,MATCH(CONCATENATE(CD$3,"-",$CP17,"-",$AY17),'Data Consolidada'!$K$7:$K$891,0)),MAX('Data Consolidada'!$E$7:$E$3000))))</f>
        <v/>
      </c>
      <c r="CE17" s="32" t="str">
        <f>+IF(CE$3="","",IF($AY17="","",IFERROR(INDEX('Data Consolidada'!$E$7:$E$891,MATCH(CONCATENATE(CE$3,"-",$CP17,"-",$AY17),'Data Consolidada'!$K$7:$K$891,0)),MAX('Data Consolidada'!$E$7:$E$3000))))</f>
        <v/>
      </c>
      <c r="CF17" s="32" t="str">
        <f>+IF(CF$3="","",IF($AY17="","",IFERROR(INDEX('Data Consolidada'!$E$7:$E$891,MATCH(CONCATENATE(CF$3,"-",$CP17,"-",$AY17),'Data Consolidada'!$K$7:$K$891,0)),MAX('Data Consolidada'!$E$7:$E$3000))))</f>
        <v/>
      </c>
      <c r="CG17" s="32" t="str">
        <f>+IF(CG$3="","",IF($AY17="","",IFERROR(INDEX('Data Consolidada'!$E$7:$E$891,MATCH(CONCATENATE(CG$3,"-",$CP17,"-",$AY17),'Data Consolidada'!$K$7:$K$891,0)),MAX('Data Consolidada'!$E$7:$E$3000))))</f>
        <v/>
      </c>
      <c r="CH17" s="32" t="str">
        <f>+IF(CH$3="","",IF($AY17="","",IFERROR(INDEX('Data Consolidada'!$E$7:$E$891,MATCH(CONCATENATE(CH$3,"-",$CP17,"-",$AY17),'Data Consolidada'!$K$7:$K$891,0)),MAX('Data Consolidada'!$E$7:$E$3000))))</f>
        <v/>
      </c>
      <c r="CI17" s="32" t="str">
        <f>+IF(CI$3="","",IF($AY17="","",IFERROR(INDEX('Data Consolidada'!$E$7:$E$891,MATCH(CONCATENATE(CI$3,"-",$CP17,"-",$AY17),'Data Consolidada'!$K$7:$K$891,0)),MAX('Data Consolidada'!$E$7:$E$3000))))</f>
        <v/>
      </c>
      <c r="CJ17" s="32" t="str">
        <f>+IF(CJ$3="","",IF($AY17="","",IFERROR(INDEX('Data Consolidada'!$E$7:$E$891,MATCH(CONCATENATE(CJ$3,"-",$CP17,"-",$AY17),'Data Consolidada'!$K$7:$K$891,0)),MAX('Data Consolidada'!$E$7:$E$3000))))</f>
        <v/>
      </c>
      <c r="CK17" s="32" t="str">
        <f>+IF(CK$3="","",IF($AY17="","",IFERROR(INDEX('Data Consolidada'!$E$7:$E$891,MATCH(CONCATENATE(CK$3,"-",$CP17,"-",$AY17),'Data Consolidada'!$K$7:$K$891,0)),MAX('Data Consolidada'!$E$7:$E$3000))))</f>
        <v/>
      </c>
      <c r="CL17" s="32" t="str">
        <f>+IF(CL$3="","",IF($AY17="","",IFERROR(INDEX('Data Consolidada'!$E$7:$E$891,MATCH(CONCATENATE(CL$3,"-",$CP17,"-",$AY17),'Data Consolidada'!$K$7:$K$891,0)),MAX('Data Consolidada'!$E$7:$E$3000))))</f>
        <v/>
      </c>
      <c r="CM17" s="32" t="str">
        <f>+IF(CM$3="","",IF($AY17="","",IFERROR(INDEX('Data Consolidada'!$E$7:$E$891,MATCH(CONCATENATE(CM$3,"-",$CP17,"-",$AY17),'Data Consolidada'!$K$7:$K$891,0)),MAX('Data Consolidada'!$E$7:$E$3000))))</f>
        <v/>
      </c>
      <c r="CN17" s="32" t="str">
        <f>+IF(CN$3="","",IF($AY17="","",IFERROR(INDEX('Data Consolidada'!$E$7:$E$891,MATCH(CONCATENATE(CN$3,"-",$CP17,"-",$AY17),'Data Consolidada'!$K$7:$K$891,0)),MAX('Data Consolidada'!$E$7:$E$3000))))</f>
        <v/>
      </c>
      <c r="CO17" s="37" t="str">
        <f>+IF(CO$3="","",IF($AY17="","",IFERROR(INDEX('Data Consolidada'!$E$7:$E$891,MATCH(CONCATENATE(CO$3,"-",$CP17,"-",$AY17),'Data Consolidada'!$K$7:$K$891,0)),MAX('Data Consolidada'!$E$7:$E$3000))))</f>
        <v/>
      </c>
      <c r="CP17" s="224" t="str">
        <f t="shared" ca="1" si="2"/>
        <v>MOSTAZAL</v>
      </c>
      <c r="CQ17" s="84" t="str">
        <f t="shared" ca="1" si="3"/>
        <v xml:space="preserve">  TRANS. MORROS LTDA.MOSTAZAL</v>
      </c>
    </row>
    <row r="18" spans="2:95" ht="15" customHeight="1" thickBot="1" x14ac:dyDescent="0.4">
      <c r="B18" s="46" t="str">
        <v>TH TRANSPORTES</v>
      </c>
      <c r="C18" s="5"/>
      <c r="D18" s="75" cm="1">
        <f t="array" ref="D18">+_xlfn._xlws.SORT(_xlfn._xlws.FILTER(_xlfn.UNIQUE(H21:H76),_xlfn.UNIQUE(H21:H76)&lt;&gt;""),1)</f>
        <v>0</v>
      </c>
      <c r="F18" s="257" t="s">
        <v>158</v>
      </c>
      <c r="G18" s="14"/>
      <c r="H18" s="204"/>
      <c r="I18" s="267" t="str">
        <f t="shared" si="6"/>
        <v/>
      </c>
      <c r="J18" s="268" t="str">
        <f t="shared" si="7"/>
        <v/>
      </c>
      <c r="K18" s="268" t="str">
        <f t="shared" si="8"/>
        <v/>
      </c>
      <c r="L18" s="268" t="str">
        <f t="shared" si="9"/>
        <v/>
      </c>
      <c r="M18" s="268" t="str">
        <f t="shared" si="10"/>
        <v/>
      </c>
      <c r="N18" s="268" t="str">
        <f t="shared" si="11"/>
        <v/>
      </c>
      <c r="O18" s="268" t="str">
        <f t="shared" si="12"/>
        <v/>
      </c>
      <c r="P18" s="268" t="str">
        <f t="shared" si="13"/>
        <v/>
      </c>
      <c r="Q18" s="268" t="str">
        <f t="shared" si="20"/>
        <v/>
      </c>
      <c r="R18" s="268" t="str">
        <f t="shared" si="14"/>
        <v/>
      </c>
      <c r="S18" s="268" t="str">
        <f t="shared" si="15"/>
        <v/>
      </c>
      <c r="T18" s="268" t="str">
        <f t="shared" si="16"/>
        <v/>
      </c>
      <c r="U18" s="268" t="str">
        <f t="shared" si="17"/>
        <v/>
      </c>
      <c r="V18" s="269" t="str">
        <f t="shared" si="18"/>
        <v/>
      </c>
      <c r="W18" s="55" cm="1">
        <f t="array" ref="W18">+IFERROR(_xlfn.IFS(F18="Totes",IF(I18="",0,ROUNDUP(I18*$I$11/$G$9,0))+IF(J18="",0,ROUNDUP(J18*$J$11/$G$9,0))+IF(K18="",0,ROUNDUP(K18*$K$11/$G$9,0))+IF(L18="",0,ROUNDUP(L18*$L$11/$G$9,0))+IF(M18="",0,ROUNDUP(M18*$M$11/$G$9,0))+IF(N18="",0,ROUNDUP(N18*$N$11/$G$9,0))+IF(O18="",0,ROUNDUP(O18*$O$11/$G$9,0))+IF(P18="",0,ROUNDUP(P18*$P$11/$G$9,0))+IF(Q18="",0,ROUNDUP(Q18*$Q$11/$G$9,0))+IF(R18="",0,ROUNDUP(R18*$R$11/$G$9,0))+IF(S18="",0,ROUNDUP(S18*$S$11/$G$9,0))+IF(T18="",0,ROUNDUP(T18*$T$11/$G$9,0))+IF(U18="",0,ROUNDUP(U18*$U$11/$G$9,0))+IF(V18="",0,ROUNDUP(V18*$V$11/$G$9,0)),F18="Mini Bins",IF(I18="",0,ROUNDUP(I18*$I$11/$J$6,0))+IF(J18="",0,ROUNDUP(J18*$J$11/$J$6,0))+IF(K18="",0,ROUNDUP(K18*$K$11/$J$6,0))+IF(L18="",0,ROUNDUP(L18*$L$11/$J$6,0))+IF(M18="",0,ROUNDUP(M18*$M$11/$J$6,0))+IF(N18="",0,ROUNDUP(N18*$N$11/$J$6,0))+IF(O18="",0,ROUNDUP(O18*$O$11/$J$6,0))+IF(P18="",0,ROUNDUP(P18*$P$11/$J$6,0))+IF(Q18="",0,ROUNDUP(Q18*$Q$11/$J$6,0))+IF(R18="",0,ROUNDUP(R18*$R$11/$J$6,0))+IF(S18="",0,ROUNDUP(S18*$S$11/$J$6,0))+IF(T18="",0,ROUNDUP(T18*$T$11/$J$6,0))+IF(U18="",0,ROUNDUP(U18*$U$11/$J$6,0))+IF(V18="",0,ROUNDUP(V18*$V$11/$J$6,0))),0)</f>
        <v>0</v>
      </c>
      <c r="X18" s="254">
        <f t="shared" si="19"/>
        <v>0</v>
      </c>
      <c r="Y18" s="43"/>
      <c r="Z18" s="245" t="s">
        <v>99</v>
      </c>
      <c r="AA18" s="247">
        <v>4</v>
      </c>
      <c r="AB18" s="254" cm="1">
        <f t="array" aca="1" ref="AB18" ca="1">+SUM(IF($B$72:$B$217=Z18,$C$72:$AR$217))</f>
        <v>0</v>
      </c>
      <c r="AC18" s="211">
        <f t="shared" ca="1" si="4"/>
        <v>0</v>
      </c>
      <c r="AF18" s="14"/>
      <c r="AG18" s="204"/>
      <c r="AH18" s="228"/>
      <c r="AI18" s="196"/>
      <c r="AJ18" s="196"/>
      <c r="AK18" s="196"/>
      <c r="AL18" s="196"/>
      <c r="AM18" s="196"/>
      <c r="AN18" s="196"/>
      <c r="AO18" s="196"/>
      <c r="AP18" s="196"/>
      <c r="AQ18" s="196"/>
      <c r="AR18" s="196"/>
      <c r="AS18" s="196"/>
      <c r="AT18" s="196"/>
      <c r="AU18" s="229"/>
      <c r="AW18" s="13">
        <f>+IF(AX18="","",IF(AX18&gt;AX17,AW17,IF(AW17&lt;$D$69,AW17+1,IF(COUNT(AW$4:AW17)&lt;$B$69*$E$54,1,""))))</f>
        <v>2</v>
      </c>
      <c r="AX18" s="13">
        <f>+IF(AX17&lt;$B$69,AX17+1,IF(COUNT(AX$4:AX17)&lt;$B$69*$D$69,1,""))</f>
        <v>2</v>
      </c>
      <c r="AY18" s="189" t="str">
        <f t="shared" ca="1" si="1"/>
        <v xml:space="preserve">CRISTIAN LÓPEZ </v>
      </c>
      <c r="AZ18" s="36">
        <f ca="1">+IF(AZ$3="","",IF($AY18="","",IFERROR(INDEX('Data Consolidada'!$E$7:$E$891,MATCH(CONCATENATE(AZ$3,"-",$CP18,"-",$AY18),'Data Consolidada'!$K$7:$K$891,0)),MAX('Data Consolidada'!$E$7:$E$3000))))</f>
        <v>11000000</v>
      </c>
      <c r="BA18" s="32">
        <f ca="1">+IF(BA$3="","",IF($AY18="","",IFERROR(INDEX('Data Consolidada'!$E$7:$E$891,MATCH(CONCATENATE(BA$3,"-",$CP18,"-",$AY18),'Data Consolidada'!$K$7:$K$891,0)),MAX('Data Consolidada'!$E$7:$E$3000))))</f>
        <v>550000</v>
      </c>
      <c r="BB18" s="32" t="str">
        <f>+IF(BB$3="","",IF($AY18="","",IFERROR(INDEX('Data Consolidada'!$E$7:$E$891,MATCH(CONCATENATE(BB$3,"-",$CP18,"-",$AY18),'Data Consolidada'!$K$7:$K$891,0)),MAX('Data Consolidada'!$E$7:$E$3000))))</f>
        <v/>
      </c>
      <c r="BC18" s="32" t="str">
        <f>+IF(BC$3="","",IF($AY18="","",IFERROR(INDEX('Data Consolidada'!$E$7:$E$891,MATCH(CONCATENATE(BC$3,"-",$CP18,"-",$AY18),'Data Consolidada'!$K$7:$K$891,0)),MAX('Data Consolidada'!$E$7:$E$3000))))</f>
        <v/>
      </c>
      <c r="BD18" s="32" t="str">
        <f>+IF(BD$3="","",IF($AY18="","",IFERROR(INDEX('Data Consolidada'!$E$7:$E$891,MATCH(CONCATENATE(BD$3,"-",$CP18,"-",$AY18),'Data Consolidada'!$K$7:$K$891,0)),MAX('Data Consolidada'!$E$7:$E$3000))))</f>
        <v/>
      </c>
      <c r="BE18" s="32" t="str">
        <f>+IF(BE$3="","",IF($AY18="","",IFERROR(INDEX('Data Consolidada'!$E$7:$E$891,MATCH(CONCATENATE(BE$3,"-",$CP18,"-",$AY18),'Data Consolidada'!$K$7:$K$891,0)),MAX('Data Consolidada'!$E$7:$E$3000))))</f>
        <v/>
      </c>
      <c r="BF18" s="32" t="str">
        <f>+IF(BF$3="","",IF($AY18="","",IFERROR(INDEX('Data Consolidada'!$E$7:$E$891,MATCH(CONCATENATE(BF$3,"-",$CP18,"-",$AY18),'Data Consolidada'!$K$7:$K$891,0)),MAX('Data Consolidada'!$E$7:$E$3000))))</f>
        <v/>
      </c>
      <c r="BG18" s="32" t="str">
        <f>+IF(BG$3="","",IF($AY18="","",IFERROR(INDEX('Data Consolidada'!$E$7:$E$891,MATCH(CONCATENATE(BG$3,"-",$CP18,"-",$AY18),'Data Consolidada'!$K$7:$K$891,0)),MAX('Data Consolidada'!$E$7:$E$3000))))</f>
        <v/>
      </c>
      <c r="BH18" s="32" t="str">
        <f>+IF(BH$3="","",IF($AY18="","",IFERROR(INDEX('Data Consolidada'!$E$7:$E$891,MATCH(CONCATENATE(BH$3,"-",$CP18,"-",$AY18),'Data Consolidada'!$K$7:$K$891,0)),MAX('Data Consolidada'!$E$7:$E$3000))))</f>
        <v/>
      </c>
      <c r="BI18" s="32" t="str">
        <f>+IF(BI$3="","",IF($AY18="","",IFERROR(INDEX('Data Consolidada'!$E$7:$E$891,MATCH(CONCATENATE(BI$3,"-",$CP18,"-",$AY18),'Data Consolidada'!$K$7:$K$891,0)),MAX('Data Consolidada'!$E$7:$E$3000))))</f>
        <v/>
      </c>
      <c r="BJ18" s="32" t="str">
        <f>+IF(BJ$3="","",IF($AY18="","",IFERROR(INDEX('Data Consolidada'!$E$7:$E$891,MATCH(CONCATENATE(BJ$3,"-",$CP18,"-",$AY18),'Data Consolidada'!$K$7:$K$891,0)),MAX('Data Consolidada'!$E$7:$E$3000))))</f>
        <v/>
      </c>
      <c r="BK18" s="32" t="str">
        <f>+IF(BK$3="","",IF($AY18="","",IFERROR(INDEX('Data Consolidada'!$E$7:$E$891,MATCH(CONCATENATE(BK$3,"-",$CP18,"-",$AY18),'Data Consolidada'!$K$7:$K$891,0)),MAX('Data Consolidada'!$E$7:$E$3000))))</f>
        <v/>
      </c>
      <c r="BL18" s="32" t="str">
        <f>+IF(BL$3="","",IF($AY18="","",IFERROR(INDEX('Data Consolidada'!$E$7:$E$891,MATCH(CONCATENATE(BL$3,"-",$CP18,"-",$AY18),'Data Consolidada'!$K$7:$K$891,0)),MAX('Data Consolidada'!$E$7:$E$3000))))</f>
        <v/>
      </c>
      <c r="BM18" s="32" t="str">
        <f>+IF(BM$3="","",IF($AY18="","",IFERROR(INDEX('Data Consolidada'!$E$7:$E$891,MATCH(CONCATENATE(BM$3,"-",$CP18,"-",$AY18),'Data Consolidada'!$K$7:$K$891,0)),MAX('Data Consolidada'!$E$7:$E$3000))))</f>
        <v/>
      </c>
      <c r="BN18" s="32" t="str">
        <f>+IF(BN$3="","",IF($AY18="","",IFERROR(INDEX('Data Consolidada'!$E$7:$E$891,MATCH(CONCATENATE(BN$3,"-",$CP18,"-",$AY18),'Data Consolidada'!$K$7:$K$891,0)),MAX('Data Consolidada'!$E$7:$E$3000))))</f>
        <v/>
      </c>
      <c r="BO18" s="32" t="str">
        <f>+IF(BO$3="","",IF($AY18="","",IFERROR(INDEX('Data Consolidada'!$E$7:$E$891,MATCH(CONCATENATE(BO$3,"-",$CP18,"-",$AY18),'Data Consolidada'!$K$7:$K$891,0)),MAX('Data Consolidada'!$E$7:$E$3000))))</f>
        <v/>
      </c>
      <c r="BP18" s="32" t="str">
        <f>+IF(BP$3="","",IF($AY18="","",IFERROR(INDEX('Data Consolidada'!$E$7:$E$891,MATCH(CONCATENATE(BP$3,"-",$CP18,"-",$AY18),'Data Consolidada'!$K$7:$K$891,0)),MAX('Data Consolidada'!$E$7:$E$3000))))</f>
        <v/>
      </c>
      <c r="BQ18" s="32" t="str">
        <f>+IF(BQ$3="","",IF($AY18="","",IFERROR(INDEX('Data Consolidada'!$E$7:$E$891,MATCH(CONCATENATE(BQ$3,"-",$CP18,"-",$AY18),'Data Consolidada'!$K$7:$K$891,0)),MAX('Data Consolidada'!$E$7:$E$3000))))</f>
        <v/>
      </c>
      <c r="BR18" s="32" t="str">
        <f>+IF(BR$3="","",IF($AY18="","",IFERROR(INDEX('Data Consolidada'!$E$7:$E$891,MATCH(CONCATENATE(BR$3,"-",$CP18,"-",$AY18),'Data Consolidada'!$K$7:$K$891,0)),MAX('Data Consolidada'!$E$7:$E$3000))))</f>
        <v/>
      </c>
      <c r="BS18" s="32" t="str">
        <f>+IF(BS$3="","",IF($AY18="","",IFERROR(INDEX('Data Consolidada'!$E$7:$E$891,MATCH(CONCATENATE(BS$3,"-",$CP18,"-",$AY18),'Data Consolidada'!$K$7:$K$891,0)),MAX('Data Consolidada'!$E$7:$E$3000))))</f>
        <v/>
      </c>
      <c r="BT18" s="32" t="str">
        <f>+IF(BT$3="","",IF($AY18="","",IFERROR(INDEX('Data Consolidada'!$E$7:$E$891,MATCH(CONCATENATE(BT$3,"-",$CP18,"-",$AY18),'Data Consolidada'!$K$7:$K$891,0)),MAX('Data Consolidada'!$E$7:$E$3000))))</f>
        <v/>
      </c>
      <c r="BU18" s="32" t="str">
        <f>+IF(BU$3="","",IF($AY18="","",IFERROR(INDEX('Data Consolidada'!$E$7:$E$891,MATCH(CONCATENATE(BU$3,"-",$CP18,"-",$AY18),'Data Consolidada'!$K$7:$K$891,0)),MAX('Data Consolidada'!$E$7:$E$3000))))</f>
        <v/>
      </c>
      <c r="BV18" s="32" t="str">
        <f>+IF(BV$3="","",IF($AY18="","",IFERROR(INDEX('Data Consolidada'!$E$7:$E$891,MATCH(CONCATENATE(BV$3,"-",$CP18,"-",$AY18),'Data Consolidada'!$K$7:$K$891,0)),MAX('Data Consolidada'!$E$7:$E$3000))))</f>
        <v/>
      </c>
      <c r="BW18" s="32" t="str">
        <f>+IF(BW$3="","",IF($AY18="","",IFERROR(INDEX('Data Consolidada'!$E$7:$E$891,MATCH(CONCATENATE(BW$3,"-",$CP18,"-",$AY18),'Data Consolidada'!$K$7:$K$891,0)),MAX('Data Consolidada'!$E$7:$E$3000))))</f>
        <v/>
      </c>
      <c r="BX18" s="32" t="str">
        <f>+IF(BX$3="","",IF($AY18="","",IFERROR(INDEX('Data Consolidada'!$E$7:$E$891,MATCH(CONCATENATE(BX$3,"-",$CP18,"-",$AY18),'Data Consolidada'!$K$7:$K$891,0)),MAX('Data Consolidada'!$E$7:$E$3000))))</f>
        <v/>
      </c>
      <c r="BY18" s="32" t="str">
        <f>+IF(BY$3="","",IF($AY18="","",IFERROR(INDEX('Data Consolidada'!$E$7:$E$891,MATCH(CONCATENATE(BY$3,"-",$CP18,"-",$AY18),'Data Consolidada'!$K$7:$K$891,0)),MAX('Data Consolidada'!$E$7:$E$3000))))</f>
        <v/>
      </c>
      <c r="BZ18" s="32" t="str">
        <f>+IF(BZ$3="","",IF($AY18="","",IFERROR(INDEX('Data Consolidada'!$E$7:$E$891,MATCH(CONCATENATE(BZ$3,"-",$CP18,"-",$AY18),'Data Consolidada'!$K$7:$K$891,0)),MAX('Data Consolidada'!$E$7:$E$3000))))</f>
        <v/>
      </c>
      <c r="CA18" s="32" t="str">
        <f>+IF(CA$3="","",IF($AY18="","",IFERROR(INDEX('Data Consolidada'!$E$7:$E$891,MATCH(CONCATENATE(CA$3,"-",$CP18,"-",$AY18),'Data Consolidada'!$K$7:$K$891,0)),MAX('Data Consolidada'!$E$7:$E$3000))))</f>
        <v/>
      </c>
      <c r="CB18" s="32" t="str">
        <f>+IF(CB$3="","",IF($AY18="","",IFERROR(INDEX('Data Consolidada'!$E$7:$E$891,MATCH(CONCATENATE(CB$3,"-",$CP18,"-",$AY18),'Data Consolidada'!$K$7:$K$891,0)),MAX('Data Consolidada'!$E$7:$E$3000))))</f>
        <v/>
      </c>
      <c r="CC18" s="32" t="str">
        <f>+IF(CC$3="","",IF($AY18="","",IFERROR(INDEX('Data Consolidada'!$E$7:$E$891,MATCH(CONCATENATE(CC$3,"-",$CP18,"-",$AY18),'Data Consolidada'!$K$7:$K$891,0)),MAX('Data Consolidada'!$E$7:$E$3000))))</f>
        <v/>
      </c>
      <c r="CD18" s="32" t="str">
        <f>+IF(CD$3="","",IF($AY18="","",IFERROR(INDEX('Data Consolidada'!$E$7:$E$891,MATCH(CONCATENATE(CD$3,"-",$CP18,"-",$AY18),'Data Consolidada'!$K$7:$K$891,0)),MAX('Data Consolidada'!$E$7:$E$3000))))</f>
        <v/>
      </c>
      <c r="CE18" s="32" t="str">
        <f>+IF(CE$3="","",IF($AY18="","",IFERROR(INDEX('Data Consolidada'!$E$7:$E$891,MATCH(CONCATENATE(CE$3,"-",$CP18,"-",$AY18),'Data Consolidada'!$K$7:$K$891,0)),MAX('Data Consolidada'!$E$7:$E$3000))))</f>
        <v/>
      </c>
      <c r="CF18" s="32" t="str">
        <f>+IF(CF$3="","",IF($AY18="","",IFERROR(INDEX('Data Consolidada'!$E$7:$E$891,MATCH(CONCATENATE(CF$3,"-",$CP18,"-",$AY18),'Data Consolidada'!$K$7:$K$891,0)),MAX('Data Consolidada'!$E$7:$E$3000))))</f>
        <v/>
      </c>
      <c r="CG18" s="32" t="str">
        <f>+IF(CG$3="","",IF($AY18="","",IFERROR(INDEX('Data Consolidada'!$E$7:$E$891,MATCH(CONCATENATE(CG$3,"-",$CP18,"-",$AY18),'Data Consolidada'!$K$7:$K$891,0)),MAX('Data Consolidada'!$E$7:$E$3000))))</f>
        <v/>
      </c>
      <c r="CH18" s="32" t="str">
        <f>+IF(CH$3="","",IF($AY18="","",IFERROR(INDEX('Data Consolidada'!$E$7:$E$891,MATCH(CONCATENATE(CH$3,"-",$CP18,"-",$AY18),'Data Consolidada'!$K$7:$K$891,0)),MAX('Data Consolidada'!$E$7:$E$3000))))</f>
        <v/>
      </c>
      <c r="CI18" s="32" t="str">
        <f>+IF(CI$3="","",IF($AY18="","",IFERROR(INDEX('Data Consolidada'!$E$7:$E$891,MATCH(CONCATENATE(CI$3,"-",$CP18,"-",$AY18),'Data Consolidada'!$K$7:$K$891,0)),MAX('Data Consolidada'!$E$7:$E$3000))))</f>
        <v/>
      </c>
      <c r="CJ18" s="32" t="str">
        <f>+IF(CJ$3="","",IF($AY18="","",IFERROR(INDEX('Data Consolidada'!$E$7:$E$891,MATCH(CONCATENATE(CJ$3,"-",$CP18,"-",$AY18),'Data Consolidada'!$K$7:$K$891,0)),MAX('Data Consolidada'!$E$7:$E$3000))))</f>
        <v/>
      </c>
      <c r="CK18" s="32" t="str">
        <f>+IF(CK$3="","",IF($AY18="","",IFERROR(INDEX('Data Consolidada'!$E$7:$E$891,MATCH(CONCATENATE(CK$3,"-",$CP18,"-",$AY18),'Data Consolidada'!$K$7:$K$891,0)),MAX('Data Consolidada'!$E$7:$E$3000))))</f>
        <v/>
      </c>
      <c r="CL18" s="32" t="str">
        <f>+IF(CL$3="","",IF($AY18="","",IFERROR(INDEX('Data Consolidada'!$E$7:$E$891,MATCH(CONCATENATE(CL$3,"-",$CP18,"-",$AY18),'Data Consolidada'!$K$7:$K$891,0)),MAX('Data Consolidada'!$E$7:$E$3000))))</f>
        <v/>
      </c>
      <c r="CM18" s="32" t="str">
        <f>+IF(CM$3="","",IF($AY18="","",IFERROR(INDEX('Data Consolidada'!$E$7:$E$891,MATCH(CONCATENATE(CM$3,"-",$CP18,"-",$AY18),'Data Consolidada'!$K$7:$K$891,0)),MAX('Data Consolidada'!$E$7:$E$3000))))</f>
        <v/>
      </c>
      <c r="CN18" s="32" t="str">
        <f>+IF(CN$3="","",IF($AY18="","",IFERROR(INDEX('Data Consolidada'!$E$7:$E$891,MATCH(CONCATENATE(CN$3,"-",$CP18,"-",$AY18),'Data Consolidada'!$K$7:$K$891,0)),MAX('Data Consolidada'!$E$7:$E$3000))))</f>
        <v/>
      </c>
      <c r="CO18" s="37" t="str">
        <f>+IF(CO$3="","",IF($AY18="","",IFERROR(INDEX('Data Consolidada'!$E$7:$E$891,MATCH(CONCATENATE(CO$3,"-",$CP18,"-",$AY18),'Data Consolidada'!$K$7:$K$891,0)),MAX('Data Consolidada'!$E$7:$E$3000))))</f>
        <v/>
      </c>
      <c r="CP18" s="224" t="str">
        <f t="shared" ca="1" si="2"/>
        <v>MOSTAZAL</v>
      </c>
      <c r="CQ18" s="84" t="str">
        <f t="shared" ca="1" si="3"/>
        <v>CRISTIAN LÓPEZ MOSTAZAL</v>
      </c>
    </row>
    <row r="19" spans="2:95" ht="15" customHeight="1" thickBot="1" x14ac:dyDescent="0.4">
      <c r="B19" s="46" t="str">
        <v>TRAIDILL</v>
      </c>
      <c r="C19" s="5"/>
      <c r="D19" s="75" cm="1">
        <f t="array" ref="D19">+_xlfn._xlws.SORT(_xlfn._xlws.FILTER(_xlfn.UNIQUE(H22:H77),_xlfn.UNIQUE(H22:H77)&lt;&gt;""),1)</f>
        <v>0</v>
      </c>
      <c r="F19" s="257" t="s">
        <v>157</v>
      </c>
      <c r="G19" s="14"/>
      <c r="H19" s="204"/>
      <c r="I19" s="267" t="str">
        <f t="shared" si="6"/>
        <v/>
      </c>
      <c r="J19" s="268" t="str">
        <f t="shared" si="7"/>
        <v/>
      </c>
      <c r="K19" s="268" t="str">
        <f t="shared" si="8"/>
        <v/>
      </c>
      <c r="L19" s="268" t="str">
        <f t="shared" si="9"/>
        <v/>
      </c>
      <c r="M19" s="268" t="str">
        <f t="shared" si="10"/>
        <v/>
      </c>
      <c r="N19" s="268" t="str">
        <f t="shared" si="11"/>
        <v/>
      </c>
      <c r="O19" s="268" t="str">
        <f t="shared" si="12"/>
        <v/>
      </c>
      <c r="P19" s="268" t="str">
        <f t="shared" si="13"/>
        <v/>
      </c>
      <c r="Q19" s="268" t="str">
        <f t="shared" si="20"/>
        <v/>
      </c>
      <c r="R19" s="268" t="str">
        <f t="shared" si="14"/>
        <v/>
      </c>
      <c r="S19" s="268" t="str">
        <f t="shared" si="15"/>
        <v/>
      </c>
      <c r="T19" s="268" t="str">
        <f t="shared" si="16"/>
        <v/>
      </c>
      <c r="U19" s="268" t="str">
        <f t="shared" si="17"/>
        <v/>
      </c>
      <c r="V19" s="269" t="str">
        <f t="shared" si="18"/>
        <v/>
      </c>
      <c r="W19" s="55" cm="1">
        <f t="array" ref="W19">+IFERROR(_xlfn.IFS(F19="Totes",IF(I19="",0,ROUNDUP(I19*$I$11/$G$9,0))+IF(J19="",0,ROUNDUP(J19*$J$11/$G$9,0))+IF(K19="",0,ROUNDUP(K19*$K$11/$G$9,0))+IF(L19="",0,ROUNDUP(L19*$L$11/$G$9,0))+IF(M19="",0,ROUNDUP(M19*$M$11/$G$9,0))+IF(N19="",0,ROUNDUP(N19*$N$11/$G$9,0))+IF(O19="",0,ROUNDUP(O19*$O$11/$G$9,0))+IF(P19="",0,ROUNDUP(P19*$P$11/$G$9,0))+IF(Q19="",0,ROUNDUP(Q19*$Q$11/$G$9,0))+IF(R19="",0,ROUNDUP(R19*$R$11/$G$9,0))+IF(S19="",0,ROUNDUP(S19*$S$11/$G$9,0))+IF(T19="",0,ROUNDUP(T19*$T$11/$G$9,0))+IF(U19="",0,ROUNDUP(U19*$U$11/$G$9,0))+IF(V19="",0,ROUNDUP(V19*$V$11/$G$9,0)),F19="Mini Bins",IF(I19="",0,ROUNDUP(I19*$I$11/$J$6,0))+IF(J19="",0,ROUNDUP(J19*$J$11/$J$6,0))+IF(K19="",0,ROUNDUP(K19*$K$11/$J$6,0))+IF(L19="",0,ROUNDUP(L19*$L$11/$J$6,0))+IF(M19="",0,ROUNDUP(M19*$M$11/$J$6,0))+IF(N19="",0,ROUNDUP(N19*$N$11/$J$6,0))+IF(O19="",0,ROUNDUP(O19*$O$11/$J$6,0))+IF(P19="",0,ROUNDUP(P19*$P$11/$J$6,0))+IF(Q19="",0,ROUNDUP(Q19*$Q$11/$J$6,0))+IF(R19="",0,ROUNDUP(R19*$R$11/$J$6,0))+IF(S19="",0,ROUNDUP(S19*$S$11/$J$6,0))+IF(T19="",0,ROUNDUP(T19*$T$11/$J$6,0))+IF(U19="",0,ROUNDUP(U19*$U$11/$J$6,0))+IF(V19="",0,ROUNDUP(V19*$V$11/$J$6,0))),0)</f>
        <v>0</v>
      </c>
      <c r="X19" s="254">
        <f t="shared" si="19"/>
        <v>0</v>
      </c>
      <c r="Y19" s="43"/>
      <c r="Z19" s="245" t="s">
        <v>8</v>
      </c>
      <c r="AA19" s="247">
        <v>4</v>
      </c>
      <c r="AB19" s="254" cm="1">
        <f t="array" aca="1" ref="AB19" ca="1">+SUM(IF($B$72:$B$217=Z19,$C$72:$AR$217))</f>
        <v>0</v>
      </c>
      <c r="AC19" s="211">
        <f t="shared" ca="1" si="4"/>
        <v>0</v>
      </c>
      <c r="AF19" s="14"/>
      <c r="AG19" s="204"/>
      <c r="AH19" s="228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229"/>
      <c r="AW19" s="13">
        <f>+IF(AX19="","",IF(AX19&gt;AX18,AW18,IF(AW18&lt;$D$69,AW18+1,IF(COUNT(AW$4:AW18)&lt;$B$69*$E$54,1,""))))</f>
        <v>2</v>
      </c>
      <c r="AX19" s="13">
        <f>+IF(AX18&lt;$B$69,AX18+1,IF(COUNT(AX$4:AX18)&lt;$B$69*$D$69,1,""))</f>
        <v>3</v>
      </c>
      <c r="AY19" s="189" t="str">
        <f t="shared" ca="1" si="1"/>
        <v xml:space="preserve">GUSTAVO ZÚÑIGA </v>
      </c>
      <c r="AZ19" s="36">
        <f ca="1">+IF(AZ$3="","",IF($AY19="","",IFERROR(INDEX('Data Consolidada'!$E$7:$E$891,MATCH(CONCATENATE(AZ$3,"-",$CP19,"-",$AY19),'Data Consolidada'!$K$7:$K$891,0)),MAX('Data Consolidada'!$E$7:$E$3000))))</f>
        <v>11000000</v>
      </c>
      <c r="BA19" s="32">
        <f ca="1">+IF(BA$3="","",IF($AY19="","",IFERROR(INDEX('Data Consolidada'!$E$7:$E$891,MATCH(CONCATENATE(BA$3,"-",$CP19,"-",$AY19),'Data Consolidada'!$K$7:$K$891,0)),MAX('Data Consolidada'!$E$7:$E$3000))))</f>
        <v>480000</v>
      </c>
      <c r="BB19" s="32" t="str">
        <f>+IF(BB$3="","",IF($AY19="","",IFERROR(INDEX('Data Consolidada'!$E$7:$E$891,MATCH(CONCATENATE(BB$3,"-",$CP19,"-",$AY19),'Data Consolidada'!$K$7:$K$891,0)),MAX('Data Consolidada'!$E$7:$E$3000))))</f>
        <v/>
      </c>
      <c r="BC19" s="32" t="str">
        <f>+IF(BC$3="","",IF($AY19="","",IFERROR(INDEX('Data Consolidada'!$E$7:$E$891,MATCH(CONCATENATE(BC$3,"-",$CP19,"-",$AY19),'Data Consolidada'!$K$7:$K$891,0)),MAX('Data Consolidada'!$E$7:$E$3000))))</f>
        <v/>
      </c>
      <c r="BD19" s="32" t="str">
        <f>+IF(BD$3="","",IF($AY19="","",IFERROR(INDEX('Data Consolidada'!$E$7:$E$891,MATCH(CONCATENATE(BD$3,"-",$CP19,"-",$AY19),'Data Consolidada'!$K$7:$K$891,0)),MAX('Data Consolidada'!$E$7:$E$3000))))</f>
        <v/>
      </c>
      <c r="BE19" s="32" t="str">
        <f>+IF(BE$3="","",IF($AY19="","",IFERROR(INDEX('Data Consolidada'!$E$7:$E$891,MATCH(CONCATENATE(BE$3,"-",$CP19,"-",$AY19),'Data Consolidada'!$K$7:$K$891,0)),MAX('Data Consolidada'!$E$7:$E$3000))))</f>
        <v/>
      </c>
      <c r="BF19" s="32" t="str">
        <f>+IF(BF$3="","",IF($AY19="","",IFERROR(INDEX('Data Consolidada'!$E$7:$E$891,MATCH(CONCATENATE(BF$3,"-",$CP19,"-",$AY19),'Data Consolidada'!$K$7:$K$891,0)),MAX('Data Consolidada'!$E$7:$E$3000))))</f>
        <v/>
      </c>
      <c r="BG19" s="32" t="str">
        <f>+IF(BG$3="","",IF($AY19="","",IFERROR(INDEX('Data Consolidada'!$E$7:$E$891,MATCH(CONCATENATE(BG$3,"-",$CP19,"-",$AY19),'Data Consolidada'!$K$7:$K$891,0)),MAX('Data Consolidada'!$E$7:$E$3000))))</f>
        <v/>
      </c>
      <c r="BH19" s="32" t="str">
        <f>+IF(BH$3="","",IF($AY19="","",IFERROR(INDEX('Data Consolidada'!$E$7:$E$891,MATCH(CONCATENATE(BH$3,"-",$CP19,"-",$AY19),'Data Consolidada'!$K$7:$K$891,0)),MAX('Data Consolidada'!$E$7:$E$3000))))</f>
        <v/>
      </c>
      <c r="BI19" s="32" t="str">
        <f>+IF(BI$3="","",IF($AY19="","",IFERROR(INDEX('Data Consolidada'!$E$7:$E$891,MATCH(CONCATENATE(BI$3,"-",$CP19,"-",$AY19),'Data Consolidada'!$K$7:$K$891,0)),MAX('Data Consolidada'!$E$7:$E$3000))))</f>
        <v/>
      </c>
      <c r="BJ19" s="32" t="str">
        <f>+IF(BJ$3="","",IF($AY19="","",IFERROR(INDEX('Data Consolidada'!$E$7:$E$891,MATCH(CONCATENATE(BJ$3,"-",$CP19,"-",$AY19),'Data Consolidada'!$K$7:$K$891,0)),MAX('Data Consolidada'!$E$7:$E$3000))))</f>
        <v/>
      </c>
      <c r="BK19" s="32" t="str">
        <f>+IF(BK$3="","",IF($AY19="","",IFERROR(INDEX('Data Consolidada'!$E$7:$E$891,MATCH(CONCATENATE(BK$3,"-",$CP19,"-",$AY19),'Data Consolidada'!$K$7:$K$891,0)),MAX('Data Consolidada'!$E$7:$E$3000))))</f>
        <v/>
      </c>
      <c r="BL19" s="32" t="str">
        <f>+IF(BL$3="","",IF($AY19="","",IFERROR(INDEX('Data Consolidada'!$E$7:$E$891,MATCH(CONCATENATE(BL$3,"-",$CP19,"-",$AY19),'Data Consolidada'!$K$7:$K$891,0)),MAX('Data Consolidada'!$E$7:$E$3000))))</f>
        <v/>
      </c>
      <c r="BM19" s="32" t="str">
        <f>+IF(BM$3="","",IF($AY19="","",IFERROR(INDEX('Data Consolidada'!$E$7:$E$891,MATCH(CONCATENATE(BM$3,"-",$CP19,"-",$AY19),'Data Consolidada'!$K$7:$K$891,0)),MAX('Data Consolidada'!$E$7:$E$3000))))</f>
        <v/>
      </c>
      <c r="BN19" s="32" t="str">
        <f>+IF(BN$3="","",IF($AY19="","",IFERROR(INDEX('Data Consolidada'!$E$7:$E$891,MATCH(CONCATENATE(BN$3,"-",$CP19,"-",$AY19),'Data Consolidada'!$K$7:$K$891,0)),MAX('Data Consolidada'!$E$7:$E$3000))))</f>
        <v/>
      </c>
      <c r="BO19" s="32" t="str">
        <f>+IF(BO$3="","",IF($AY19="","",IFERROR(INDEX('Data Consolidada'!$E$7:$E$891,MATCH(CONCATENATE(BO$3,"-",$CP19,"-",$AY19),'Data Consolidada'!$K$7:$K$891,0)),MAX('Data Consolidada'!$E$7:$E$3000))))</f>
        <v/>
      </c>
      <c r="BP19" s="32" t="str">
        <f>+IF(BP$3="","",IF($AY19="","",IFERROR(INDEX('Data Consolidada'!$E$7:$E$891,MATCH(CONCATENATE(BP$3,"-",$CP19,"-",$AY19),'Data Consolidada'!$K$7:$K$891,0)),MAX('Data Consolidada'!$E$7:$E$3000))))</f>
        <v/>
      </c>
      <c r="BQ19" s="32" t="str">
        <f>+IF(BQ$3="","",IF($AY19="","",IFERROR(INDEX('Data Consolidada'!$E$7:$E$891,MATCH(CONCATENATE(BQ$3,"-",$CP19,"-",$AY19),'Data Consolidada'!$K$7:$K$891,0)),MAX('Data Consolidada'!$E$7:$E$3000))))</f>
        <v/>
      </c>
      <c r="BR19" s="32" t="str">
        <f>+IF(BR$3="","",IF($AY19="","",IFERROR(INDEX('Data Consolidada'!$E$7:$E$891,MATCH(CONCATENATE(BR$3,"-",$CP19,"-",$AY19),'Data Consolidada'!$K$7:$K$891,0)),MAX('Data Consolidada'!$E$7:$E$3000))))</f>
        <v/>
      </c>
      <c r="BS19" s="32" t="str">
        <f>+IF(BS$3="","",IF($AY19="","",IFERROR(INDEX('Data Consolidada'!$E$7:$E$891,MATCH(CONCATENATE(BS$3,"-",$CP19,"-",$AY19),'Data Consolidada'!$K$7:$K$891,0)),MAX('Data Consolidada'!$E$7:$E$3000))))</f>
        <v/>
      </c>
      <c r="BT19" s="32" t="str">
        <f>+IF(BT$3="","",IF($AY19="","",IFERROR(INDEX('Data Consolidada'!$E$7:$E$891,MATCH(CONCATENATE(BT$3,"-",$CP19,"-",$AY19),'Data Consolidada'!$K$7:$K$891,0)),MAX('Data Consolidada'!$E$7:$E$3000))))</f>
        <v/>
      </c>
      <c r="BU19" s="32" t="str">
        <f>+IF(BU$3="","",IF($AY19="","",IFERROR(INDEX('Data Consolidada'!$E$7:$E$891,MATCH(CONCATENATE(BU$3,"-",$CP19,"-",$AY19),'Data Consolidada'!$K$7:$K$891,0)),MAX('Data Consolidada'!$E$7:$E$3000))))</f>
        <v/>
      </c>
      <c r="BV19" s="32" t="str">
        <f>+IF(BV$3="","",IF($AY19="","",IFERROR(INDEX('Data Consolidada'!$E$7:$E$891,MATCH(CONCATENATE(BV$3,"-",$CP19,"-",$AY19),'Data Consolidada'!$K$7:$K$891,0)),MAX('Data Consolidada'!$E$7:$E$3000))))</f>
        <v/>
      </c>
      <c r="BW19" s="32" t="str">
        <f>+IF(BW$3="","",IF($AY19="","",IFERROR(INDEX('Data Consolidada'!$E$7:$E$891,MATCH(CONCATENATE(BW$3,"-",$CP19,"-",$AY19),'Data Consolidada'!$K$7:$K$891,0)),MAX('Data Consolidada'!$E$7:$E$3000))))</f>
        <v/>
      </c>
      <c r="BX19" s="32" t="str">
        <f>+IF(BX$3="","",IF($AY19="","",IFERROR(INDEX('Data Consolidada'!$E$7:$E$891,MATCH(CONCATENATE(BX$3,"-",$CP19,"-",$AY19),'Data Consolidada'!$K$7:$K$891,0)),MAX('Data Consolidada'!$E$7:$E$3000))))</f>
        <v/>
      </c>
      <c r="BY19" s="32" t="str">
        <f>+IF(BY$3="","",IF($AY19="","",IFERROR(INDEX('Data Consolidada'!$E$7:$E$891,MATCH(CONCATENATE(BY$3,"-",$CP19,"-",$AY19),'Data Consolidada'!$K$7:$K$891,0)),MAX('Data Consolidada'!$E$7:$E$3000))))</f>
        <v/>
      </c>
      <c r="BZ19" s="32" t="str">
        <f>+IF(BZ$3="","",IF($AY19="","",IFERROR(INDEX('Data Consolidada'!$E$7:$E$891,MATCH(CONCATENATE(BZ$3,"-",$CP19,"-",$AY19),'Data Consolidada'!$K$7:$K$891,0)),MAX('Data Consolidada'!$E$7:$E$3000))))</f>
        <v/>
      </c>
      <c r="CA19" s="32" t="str">
        <f>+IF(CA$3="","",IF($AY19="","",IFERROR(INDEX('Data Consolidada'!$E$7:$E$891,MATCH(CONCATENATE(CA$3,"-",$CP19,"-",$AY19),'Data Consolidada'!$K$7:$K$891,0)),MAX('Data Consolidada'!$E$7:$E$3000))))</f>
        <v/>
      </c>
      <c r="CB19" s="32" t="str">
        <f>+IF(CB$3="","",IF($AY19="","",IFERROR(INDEX('Data Consolidada'!$E$7:$E$891,MATCH(CONCATENATE(CB$3,"-",$CP19,"-",$AY19),'Data Consolidada'!$K$7:$K$891,0)),MAX('Data Consolidada'!$E$7:$E$3000))))</f>
        <v/>
      </c>
      <c r="CC19" s="32" t="str">
        <f>+IF(CC$3="","",IF($AY19="","",IFERROR(INDEX('Data Consolidada'!$E$7:$E$891,MATCH(CONCATENATE(CC$3,"-",$CP19,"-",$AY19),'Data Consolidada'!$K$7:$K$891,0)),MAX('Data Consolidada'!$E$7:$E$3000))))</f>
        <v/>
      </c>
      <c r="CD19" s="32" t="str">
        <f>+IF(CD$3="","",IF($AY19="","",IFERROR(INDEX('Data Consolidada'!$E$7:$E$891,MATCH(CONCATENATE(CD$3,"-",$CP19,"-",$AY19),'Data Consolidada'!$K$7:$K$891,0)),MAX('Data Consolidada'!$E$7:$E$3000))))</f>
        <v/>
      </c>
      <c r="CE19" s="32" t="str">
        <f>+IF(CE$3="","",IF($AY19="","",IFERROR(INDEX('Data Consolidada'!$E$7:$E$891,MATCH(CONCATENATE(CE$3,"-",$CP19,"-",$AY19),'Data Consolidada'!$K$7:$K$891,0)),MAX('Data Consolidada'!$E$7:$E$3000))))</f>
        <v/>
      </c>
      <c r="CF19" s="32" t="str">
        <f>+IF(CF$3="","",IF($AY19="","",IFERROR(INDEX('Data Consolidada'!$E$7:$E$891,MATCH(CONCATENATE(CF$3,"-",$CP19,"-",$AY19),'Data Consolidada'!$K$7:$K$891,0)),MAX('Data Consolidada'!$E$7:$E$3000))))</f>
        <v/>
      </c>
      <c r="CG19" s="32" t="str">
        <f>+IF(CG$3="","",IF($AY19="","",IFERROR(INDEX('Data Consolidada'!$E$7:$E$891,MATCH(CONCATENATE(CG$3,"-",$CP19,"-",$AY19),'Data Consolidada'!$K$7:$K$891,0)),MAX('Data Consolidada'!$E$7:$E$3000))))</f>
        <v/>
      </c>
      <c r="CH19" s="32" t="str">
        <f>+IF(CH$3="","",IF($AY19="","",IFERROR(INDEX('Data Consolidada'!$E$7:$E$891,MATCH(CONCATENATE(CH$3,"-",$CP19,"-",$AY19),'Data Consolidada'!$K$7:$K$891,0)),MAX('Data Consolidada'!$E$7:$E$3000))))</f>
        <v/>
      </c>
      <c r="CI19" s="32" t="str">
        <f>+IF(CI$3="","",IF($AY19="","",IFERROR(INDEX('Data Consolidada'!$E$7:$E$891,MATCH(CONCATENATE(CI$3,"-",$CP19,"-",$AY19),'Data Consolidada'!$K$7:$K$891,0)),MAX('Data Consolidada'!$E$7:$E$3000))))</f>
        <v/>
      </c>
      <c r="CJ19" s="32" t="str">
        <f>+IF(CJ$3="","",IF($AY19="","",IFERROR(INDEX('Data Consolidada'!$E$7:$E$891,MATCH(CONCATENATE(CJ$3,"-",$CP19,"-",$AY19),'Data Consolidada'!$K$7:$K$891,0)),MAX('Data Consolidada'!$E$7:$E$3000))))</f>
        <v/>
      </c>
      <c r="CK19" s="32" t="str">
        <f>+IF(CK$3="","",IF($AY19="","",IFERROR(INDEX('Data Consolidada'!$E$7:$E$891,MATCH(CONCATENATE(CK$3,"-",$CP19,"-",$AY19),'Data Consolidada'!$K$7:$K$891,0)),MAX('Data Consolidada'!$E$7:$E$3000))))</f>
        <v/>
      </c>
      <c r="CL19" s="32" t="str">
        <f>+IF(CL$3="","",IF($AY19="","",IFERROR(INDEX('Data Consolidada'!$E$7:$E$891,MATCH(CONCATENATE(CL$3,"-",$CP19,"-",$AY19),'Data Consolidada'!$K$7:$K$891,0)),MAX('Data Consolidada'!$E$7:$E$3000))))</f>
        <v/>
      </c>
      <c r="CM19" s="32" t="str">
        <f>+IF(CM$3="","",IF($AY19="","",IFERROR(INDEX('Data Consolidada'!$E$7:$E$891,MATCH(CONCATENATE(CM$3,"-",$CP19,"-",$AY19),'Data Consolidada'!$K$7:$K$891,0)),MAX('Data Consolidada'!$E$7:$E$3000))))</f>
        <v/>
      </c>
      <c r="CN19" s="32" t="str">
        <f>+IF(CN$3="","",IF($AY19="","",IFERROR(INDEX('Data Consolidada'!$E$7:$E$891,MATCH(CONCATENATE(CN$3,"-",$CP19,"-",$AY19),'Data Consolidada'!$K$7:$K$891,0)),MAX('Data Consolidada'!$E$7:$E$3000))))</f>
        <v/>
      </c>
      <c r="CO19" s="37" t="str">
        <f>+IF(CO$3="","",IF($AY19="","",IFERROR(INDEX('Data Consolidada'!$E$7:$E$891,MATCH(CONCATENATE(CO$3,"-",$CP19,"-",$AY19),'Data Consolidada'!$K$7:$K$891,0)),MAX('Data Consolidada'!$E$7:$E$3000))))</f>
        <v/>
      </c>
      <c r="CP19" s="224" t="str">
        <f t="shared" ca="1" si="2"/>
        <v>MOSTAZAL</v>
      </c>
      <c r="CQ19" s="84" t="str">
        <f t="shared" ca="1" si="3"/>
        <v>GUSTAVO ZÚÑIGA MOSTAZAL</v>
      </c>
    </row>
    <row r="20" spans="2:95" ht="15" customHeight="1" thickBot="1" x14ac:dyDescent="0.4">
      <c r="B20" s="46" t="str">
        <v>TRANS. ALMENDRAL</v>
      </c>
      <c r="C20" s="5"/>
      <c r="D20" s="75" cm="1">
        <f t="array" ref="D20">+_xlfn._xlws.SORT(_xlfn._xlws.FILTER(_xlfn.UNIQUE(H23:H78),_xlfn.UNIQUE(H23:H78)&lt;&gt;""),1)</f>
        <v>0</v>
      </c>
      <c r="F20" s="257" t="s">
        <v>157</v>
      </c>
      <c r="G20" s="14"/>
      <c r="H20" s="204"/>
      <c r="I20" s="267" t="str">
        <f t="shared" si="6"/>
        <v/>
      </c>
      <c r="J20" s="268" t="str">
        <f t="shared" si="7"/>
        <v/>
      </c>
      <c r="K20" s="268" t="str">
        <f t="shared" si="8"/>
        <v/>
      </c>
      <c r="L20" s="268" t="str">
        <f t="shared" si="9"/>
        <v/>
      </c>
      <c r="M20" s="268" t="str">
        <f t="shared" si="10"/>
        <v/>
      </c>
      <c r="N20" s="268" t="str">
        <f t="shared" si="11"/>
        <v/>
      </c>
      <c r="O20" s="268" t="str">
        <f t="shared" si="12"/>
        <v/>
      </c>
      <c r="P20" s="268" t="str">
        <f t="shared" si="13"/>
        <v/>
      </c>
      <c r="Q20" s="268" t="str">
        <f t="shared" si="20"/>
        <v/>
      </c>
      <c r="R20" s="268" t="str">
        <f t="shared" si="14"/>
        <v/>
      </c>
      <c r="S20" s="268" t="str">
        <f t="shared" si="15"/>
        <v/>
      </c>
      <c r="T20" s="268" t="str">
        <f t="shared" si="16"/>
        <v/>
      </c>
      <c r="U20" s="268" t="str">
        <f t="shared" si="17"/>
        <v/>
      </c>
      <c r="V20" s="269" t="str">
        <f t="shared" si="18"/>
        <v/>
      </c>
      <c r="W20" s="55" cm="1">
        <f t="array" ref="W20">+IFERROR(_xlfn.IFS(F20="Totes",IF(I20="",0,ROUNDUP(I20*$I$11/$G$9,0))+IF(J20="",0,ROUNDUP(J20*$J$11/$G$9,0))+IF(K20="",0,ROUNDUP(K20*$K$11/$G$9,0))+IF(L20="",0,ROUNDUP(L20*$L$11/$G$9,0))+IF(M20="",0,ROUNDUP(M20*$M$11/$G$9,0))+IF(N20="",0,ROUNDUP(N20*$N$11/$G$9,0))+IF(O20="",0,ROUNDUP(O20*$O$11/$G$9,0))+IF(P20="",0,ROUNDUP(P20*$P$11/$G$9,0))+IF(Q20="",0,ROUNDUP(Q20*$Q$11/$G$9,0))+IF(R20="",0,ROUNDUP(R20*$R$11/$G$9,0))+IF(S20="",0,ROUNDUP(S20*$S$11/$G$9,0))+IF(T20="",0,ROUNDUP(T20*$T$11/$G$9,0))+IF(U20="",0,ROUNDUP(U20*$U$11/$G$9,0))+IF(V20="",0,ROUNDUP(V20*$V$11/$G$9,0)),F20="Mini Bins",IF(I20="",0,ROUNDUP(I20*$I$11/$J$6,0))+IF(J20="",0,ROUNDUP(J20*$J$11/$J$6,0))+IF(K20="",0,ROUNDUP(K20*$K$11/$J$6,0))+IF(L20="",0,ROUNDUP(L20*$L$11/$J$6,0))+IF(M20="",0,ROUNDUP(M20*$M$11/$J$6,0))+IF(N20="",0,ROUNDUP(N20*$N$11/$J$6,0))+IF(O20="",0,ROUNDUP(O20*$O$11/$J$6,0))+IF(P20="",0,ROUNDUP(P20*$P$11/$J$6,0))+IF(Q20="",0,ROUNDUP(Q20*$Q$11/$J$6,0))+IF(R20="",0,ROUNDUP(R20*$R$11/$J$6,0))+IF(S20="",0,ROUNDUP(S20*$S$11/$J$6,0))+IF(T20="",0,ROUNDUP(T20*$T$11/$J$6,0))+IF(U20="",0,ROUNDUP(U20*$U$11/$J$6,0))+IF(V20="",0,ROUNDUP(V20*$V$11/$J$6,0))),0)</f>
        <v>0</v>
      </c>
      <c r="X20" s="254">
        <f t="shared" si="19"/>
        <v>0</v>
      </c>
      <c r="Y20" s="43"/>
      <c r="Z20" s="245" t="s">
        <v>9</v>
      </c>
      <c r="AA20" s="247">
        <v>4</v>
      </c>
      <c r="AB20" s="254" cm="1">
        <f t="array" aca="1" ref="AB20" ca="1">+SUM(IF($B$72:$B$217=Z20,$C$72:$AR$217))</f>
        <v>0</v>
      </c>
      <c r="AC20" s="211">
        <f t="shared" ca="1" si="4"/>
        <v>0</v>
      </c>
      <c r="AF20" s="14"/>
      <c r="AG20" s="204"/>
      <c r="AH20" s="228"/>
      <c r="AI20" s="196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6"/>
      <c r="AU20" s="229"/>
      <c r="AW20" s="13">
        <f>+IF(AX20="","",IF(AX20&gt;AX19,AW19,IF(AW19&lt;$D$69,AW19+1,IF(COUNT(AW$4:AW19)&lt;$B$69*$E$54,1,""))))</f>
        <v>2</v>
      </c>
      <c r="AX20" s="13">
        <f>+IF(AX19&lt;$B$69,AX19+1,IF(COUNT(AX$4:AX19)&lt;$B$69*$D$69,1,""))</f>
        <v>4</v>
      </c>
      <c r="AY20" s="189" t="str">
        <f t="shared" ca="1" si="1"/>
        <v>LAVALLE</v>
      </c>
      <c r="AZ20" s="36">
        <f ca="1">+IF(AZ$3="","",IF($AY20="","",IFERROR(INDEX('Data Consolidada'!$E$7:$E$891,MATCH(CONCATENATE(AZ$3,"-",$CP20,"-",$AY20),'Data Consolidada'!$K$7:$K$891,0)),MAX('Data Consolidada'!$E$7:$E$3000))))</f>
        <v>11000000</v>
      </c>
      <c r="BA20" s="32">
        <f ca="1">+IF(BA$3="","",IF($AY20="","",IFERROR(INDEX('Data Consolidada'!$E$7:$E$891,MATCH(CONCATENATE(BA$3,"-",$CP20,"-",$AY20),'Data Consolidada'!$K$7:$K$891,0)),MAX('Data Consolidada'!$E$7:$E$3000))))</f>
        <v>11000000</v>
      </c>
      <c r="BB20" s="32" t="str">
        <f>+IF(BB$3="","",IF($AY20="","",IFERROR(INDEX('Data Consolidada'!$E$7:$E$891,MATCH(CONCATENATE(BB$3,"-",$CP20,"-",$AY20),'Data Consolidada'!$K$7:$K$891,0)),MAX('Data Consolidada'!$E$7:$E$3000))))</f>
        <v/>
      </c>
      <c r="BC20" s="32" t="str">
        <f>+IF(BC$3="","",IF($AY20="","",IFERROR(INDEX('Data Consolidada'!$E$7:$E$891,MATCH(CONCATENATE(BC$3,"-",$CP20,"-",$AY20),'Data Consolidada'!$K$7:$K$891,0)),MAX('Data Consolidada'!$E$7:$E$3000))))</f>
        <v/>
      </c>
      <c r="BD20" s="32" t="str">
        <f>+IF(BD$3="","",IF($AY20="","",IFERROR(INDEX('Data Consolidada'!$E$7:$E$891,MATCH(CONCATENATE(BD$3,"-",$CP20,"-",$AY20),'Data Consolidada'!$K$7:$K$891,0)),MAX('Data Consolidada'!$E$7:$E$3000))))</f>
        <v/>
      </c>
      <c r="BE20" s="32" t="str">
        <f>+IF(BE$3="","",IF($AY20="","",IFERROR(INDEX('Data Consolidada'!$E$7:$E$891,MATCH(CONCATENATE(BE$3,"-",$CP20,"-",$AY20),'Data Consolidada'!$K$7:$K$891,0)),MAX('Data Consolidada'!$E$7:$E$3000))))</f>
        <v/>
      </c>
      <c r="BF20" s="32" t="str">
        <f>+IF(BF$3="","",IF($AY20="","",IFERROR(INDEX('Data Consolidada'!$E$7:$E$891,MATCH(CONCATENATE(BF$3,"-",$CP20,"-",$AY20),'Data Consolidada'!$K$7:$K$891,0)),MAX('Data Consolidada'!$E$7:$E$3000))))</f>
        <v/>
      </c>
      <c r="BG20" s="32" t="str">
        <f>+IF(BG$3="","",IF($AY20="","",IFERROR(INDEX('Data Consolidada'!$E$7:$E$891,MATCH(CONCATENATE(BG$3,"-",$CP20,"-",$AY20),'Data Consolidada'!$K$7:$K$891,0)),MAX('Data Consolidada'!$E$7:$E$3000))))</f>
        <v/>
      </c>
      <c r="BH20" s="32" t="str">
        <f>+IF(BH$3="","",IF($AY20="","",IFERROR(INDEX('Data Consolidada'!$E$7:$E$891,MATCH(CONCATENATE(BH$3,"-",$CP20,"-",$AY20),'Data Consolidada'!$K$7:$K$891,0)),MAX('Data Consolidada'!$E$7:$E$3000))))</f>
        <v/>
      </c>
      <c r="BI20" s="32" t="str">
        <f>+IF(BI$3="","",IF($AY20="","",IFERROR(INDEX('Data Consolidada'!$E$7:$E$891,MATCH(CONCATENATE(BI$3,"-",$CP20,"-",$AY20),'Data Consolidada'!$K$7:$K$891,0)),MAX('Data Consolidada'!$E$7:$E$3000))))</f>
        <v/>
      </c>
      <c r="BJ20" s="32" t="str">
        <f>+IF(BJ$3="","",IF($AY20="","",IFERROR(INDEX('Data Consolidada'!$E$7:$E$891,MATCH(CONCATENATE(BJ$3,"-",$CP20,"-",$AY20),'Data Consolidada'!$K$7:$K$891,0)),MAX('Data Consolidada'!$E$7:$E$3000))))</f>
        <v/>
      </c>
      <c r="BK20" s="32" t="str">
        <f>+IF(BK$3="","",IF($AY20="","",IFERROR(INDEX('Data Consolidada'!$E$7:$E$891,MATCH(CONCATENATE(BK$3,"-",$CP20,"-",$AY20),'Data Consolidada'!$K$7:$K$891,0)),MAX('Data Consolidada'!$E$7:$E$3000))))</f>
        <v/>
      </c>
      <c r="BL20" s="32" t="str">
        <f>+IF(BL$3="","",IF($AY20="","",IFERROR(INDEX('Data Consolidada'!$E$7:$E$891,MATCH(CONCATENATE(BL$3,"-",$CP20,"-",$AY20),'Data Consolidada'!$K$7:$K$891,0)),MAX('Data Consolidada'!$E$7:$E$3000))))</f>
        <v/>
      </c>
      <c r="BM20" s="32" t="str">
        <f>+IF(BM$3="","",IF($AY20="","",IFERROR(INDEX('Data Consolidada'!$E$7:$E$891,MATCH(CONCATENATE(BM$3,"-",$CP20,"-",$AY20),'Data Consolidada'!$K$7:$K$891,0)),MAX('Data Consolidada'!$E$7:$E$3000))))</f>
        <v/>
      </c>
      <c r="BN20" s="32" t="str">
        <f>+IF(BN$3="","",IF($AY20="","",IFERROR(INDEX('Data Consolidada'!$E$7:$E$891,MATCH(CONCATENATE(BN$3,"-",$CP20,"-",$AY20),'Data Consolidada'!$K$7:$K$891,0)),MAX('Data Consolidada'!$E$7:$E$3000))))</f>
        <v/>
      </c>
      <c r="BO20" s="32" t="str">
        <f>+IF(BO$3="","",IF($AY20="","",IFERROR(INDEX('Data Consolidada'!$E$7:$E$891,MATCH(CONCATENATE(BO$3,"-",$CP20,"-",$AY20),'Data Consolidada'!$K$7:$K$891,0)),MAX('Data Consolidada'!$E$7:$E$3000))))</f>
        <v/>
      </c>
      <c r="BP20" s="32" t="str">
        <f>+IF(BP$3="","",IF($AY20="","",IFERROR(INDEX('Data Consolidada'!$E$7:$E$891,MATCH(CONCATENATE(BP$3,"-",$CP20,"-",$AY20),'Data Consolidada'!$K$7:$K$891,0)),MAX('Data Consolidada'!$E$7:$E$3000))))</f>
        <v/>
      </c>
      <c r="BQ20" s="32" t="str">
        <f>+IF(BQ$3="","",IF($AY20="","",IFERROR(INDEX('Data Consolidada'!$E$7:$E$891,MATCH(CONCATENATE(BQ$3,"-",$CP20,"-",$AY20),'Data Consolidada'!$K$7:$K$891,0)),MAX('Data Consolidada'!$E$7:$E$3000))))</f>
        <v/>
      </c>
      <c r="BR20" s="32" t="str">
        <f>+IF(BR$3="","",IF($AY20="","",IFERROR(INDEX('Data Consolidada'!$E$7:$E$891,MATCH(CONCATENATE(BR$3,"-",$CP20,"-",$AY20),'Data Consolidada'!$K$7:$K$891,0)),MAX('Data Consolidada'!$E$7:$E$3000))))</f>
        <v/>
      </c>
      <c r="BS20" s="32" t="str">
        <f>+IF(BS$3="","",IF($AY20="","",IFERROR(INDEX('Data Consolidada'!$E$7:$E$891,MATCH(CONCATENATE(BS$3,"-",$CP20,"-",$AY20),'Data Consolidada'!$K$7:$K$891,0)),MAX('Data Consolidada'!$E$7:$E$3000))))</f>
        <v/>
      </c>
      <c r="BT20" s="32" t="str">
        <f>+IF(BT$3="","",IF($AY20="","",IFERROR(INDEX('Data Consolidada'!$E$7:$E$891,MATCH(CONCATENATE(BT$3,"-",$CP20,"-",$AY20),'Data Consolidada'!$K$7:$K$891,0)),MAX('Data Consolidada'!$E$7:$E$3000))))</f>
        <v/>
      </c>
      <c r="BU20" s="32" t="str">
        <f>+IF(BU$3="","",IF($AY20="","",IFERROR(INDEX('Data Consolidada'!$E$7:$E$891,MATCH(CONCATENATE(BU$3,"-",$CP20,"-",$AY20),'Data Consolidada'!$K$7:$K$891,0)),MAX('Data Consolidada'!$E$7:$E$3000))))</f>
        <v/>
      </c>
      <c r="BV20" s="32" t="str">
        <f>+IF(BV$3="","",IF($AY20="","",IFERROR(INDEX('Data Consolidada'!$E$7:$E$891,MATCH(CONCATENATE(BV$3,"-",$CP20,"-",$AY20),'Data Consolidada'!$K$7:$K$891,0)),MAX('Data Consolidada'!$E$7:$E$3000))))</f>
        <v/>
      </c>
      <c r="BW20" s="32" t="str">
        <f>+IF(BW$3="","",IF($AY20="","",IFERROR(INDEX('Data Consolidada'!$E$7:$E$891,MATCH(CONCATENATE(BW$3,"-",$CP20,"-",$AY20),'Data Consolidada'!$K$7:$K$891,0)),MAX('Data Consolidada'!$E$7:$E$3000))))</f>
        <v/>
      </c>
      <c r="BX20" s="32" t="str">
        <f>+IF(BX$3="","",IF($AY20="","",IFERROR(INDEX('Data Consolidada'!$E$7:$E$891,MATCH(CONCATENATE(BX$3,"-",$CP20,"-",$AY20),'Data Consolidada'!$K$7:$K$891,0)),MAX('Data Consolidada'!$E$7:$E$3000))))</f>
        <v/>
      </c>
      <c r="BY20" s="32" t="str">
        <f>+IF(BY$3="","",IF($AY20="","",IFERROR(INDEX('Data Consolidada'!$E$7:$E$891,MATCH(CONCATENATE(BY$3,"-",$CP20,"-",$AY20),'Data Consolidada'!$K$7:$K$891,0)),MAX('Data Consolidada'!$E$7:$E$3000))))</f>
        <v/>
      </c>
      <c r="BZ20" s="32" t="str">
        <f>+IF(BZ$3="","",IF($AY20="","",IFERROR(INDEX('Data Consolidada'!$E$7:$E$891,MATCH(CONCATENATE(BZ$3,"-",$CP20,"-",$AY20),'Data Consolidada'!$K$7:$K$891,0)),MAX('Data Consolidada'!$E$7:$E$3000))))</f>
        <v/>
      </c>
      <c r="CA20" s="32" t="str">
        <f>+IF(CA$3="","",IF($AY20="","",IFERROR(INDEX('Data Consolidada'!$E$7:$E$891,MATCH(CONCATENATE(CA$3,"-",$CP20,"-",$AY20),'Data Consolidada'!$K$7:$K$891,0)),MAX('Data Consolidada'!$E$7:$E$3000))))</f>
        <v/>
      </c>
      <c r="CB20" s="32" t="str">
        <f>+IF(CB$3="","",IF($AY20="","",IFERROR(INDEX('Data Consolidada'!$E$7:$E$891,MATCH(CONCATENATE(CB$3,"-",$CP20,"-",$AY20),'Data Consolidada'!$K$7:$K$891,0)),MAX('Data Consolidada'!$E$7:$E$3000))))</f>
        <v/>
      </c>
      <c r="CC20" s="32" t="str">
        <f>+IF(CC$3="","",IF($AY20="","",IFERROR(INDEX('Data Consolidada'!$E$7:$E$891,MATCH(CONCATENATE(CC$3,"-",$CP20,"-",$AY20),'Data Consolidada'!$K$7:$K$891,0)),MAX('Data Consolidada'!$E$7:$E$3000))))</f>
        <v/>
      </c>
      <c r="CD20" s="32" t="str">
        <f>+IF(CD$3="","",IF($AY20="","",IFERROR(INDEX('Data Consolidada'!$E$7:$E$891,MATCH(CONCATENATE(CD$3,"-",$CP20,"-",$AY20),'Data Consolidada'!$K$7:$K$891,0)),MAX('Data Consolidada'!$E$7:$E$3000))))</f>
        <v/>
      </c>
      <c r="CE20" s="32" t="str">
        <f>+IF(CE$3="","",IF($AY20="","",IFERROR(INDEX('Data Consolidada'!$E$7:$E$891,MATCH(CONCATENATE(CE$3,"-",$CP20,"-",$AY20),'Data Consolidada'!$K$7:$K$891,0)),MAX('Data Consolidada'!$E$7:$E$3000))))</f>
        <v/>
      </c>
      <c r="CF20" s="32" t="str">
        <f>+IF(CF$3="","",IF($AY20="","",IFERROR(INDEX('Data Consolidada'!$E$7:$E$891,MATCH(CONCATENATE(CF$3,"-",$CP20,"-",$AY20),'Data Consolidada'!$K$7:$K$891,0)),MAX('Data Consolidada'!$E$7:$E$3000))))</f>
        <v/>
      </c>
      <c r="CG20" s="32" t="str">
        <f>+IF(CG$3="","",IF($AY20="","",IFERROR(INDEX('Data Consolidada'!$E$7:$E$891,MATCH(CONCATENATE(CG$3,"-",$CP20,"-",$AY20),'Data Consolidada'!$K$7:$K$891,0)),MAX('Data Consolidada'!$E$7:$E$3000))))</f>
        <v/>
      </c>
      <c r="CH20" s="32" t="str">
        <f>+IF(CH$3="","",IF($AY20="","",IFERROR(INDEX('Data Consolidada'!$E$7:$E$891,MATCH(CONCATENATE(CH$3,"-",$CP20,"-",$AY20),'Data Consolidada'!$K$7:$K$891,0)),MAX('Data Consolidada'!$E$7:$E$3000))))</f>
        <v/>
      </c>
      <c r="CI20" s="32" t="str">
        <f>+IF(CI$3="","",IF($AY20="","",IFERROR(INDEX('Data Consolidada'!$E$7:$E$891,MATCH(CONCATENATE(CI$3,"-",$CP20,"-",$AY20),'Data Consolidada'!$K$7:$K$891,0)),MAX('Data Consolidada'!$E$7:$E$3000))))</f>
        <v/>
      </c>
      <c r="CJ20" s="32" t="str">
        <f>+IF(CJ$3="","",IF($AY20="","",IFERROR(INDEX('Data Consolidada'!$E$7:$E$891,MATCH(CONCATENATE(CJ$3,"-",$CP20,"-",$AY20),'Data Consolidada'!$K$7:$K$891,0)),MAX('Data Consolidada'!$E$7:$E$3000))))</f>
        <v/>
      </c>
      <c r="CK20" s="32" t="str">
        <f>+IF(CK$3="","",IF($AY20="","",IFERROR(INDEX('Data Consolidada'!$E$7:$E$891,MATCH(CONCATENATE(CK$3,"-",$CP20,"-",$AY20),'Data Consolidada'!$K$7:$K$891,0)),MAX('Data Consolidada'!$E$7:$E$3000))))</f>
        <v/>
      </c>
      <c r="CL20" s="32" t="str">
        <f>+IF(CL$3="","",IF($AY20="","",IFERROR(INDEX('Data Consolidada'!$E$7:$E$891,MATCH(CONCATENATE(CL$3,"-",$CP20,"-",$AY20),'Data Consolidada'!$K$7:$K$891,0)),MAX('Data Consolidada'!$E$7:$E$3000))))</f>
        <v/>
      </c>
      <c r="CM20" s="32" t="str">
        <f>+IF(CM$3="","",IF($AY20="","",IFERROR(INDEX('Data Consolidada'!$E$7:$E$891,MATCH(CONCATENATE(CM$3,"-",$CP20,"-",$AY20),'Data Consolidada'!$K$7:$K$891,0)),MAX('Data Consolidada'!$E$7:$E$3000))))</f>
        <v/>
      </c>
      <c r="CN20" s="32" t="str">
        <f>+IF(CN$3="","",IF($AY20="","",IFERROR(INDEX('Data Consolidada'!$E$7:$E$891,MATCH(CONCATENATE(CN$3,"-",$CP20,"-",$AY20),'Data Consolidada'!$K$7:$K$891,0)),MAX('Data Consolidada'!$E$7:$E$3000))))</f>
        <v/>
      </c>
      <c r="CO20" s="37" t="str">
        <f>+IF(CO$3="","",IF($AY20="","",IFERROR(INDEX('Data Consolidada'!$E$7:$E$891,MATCH(CONCATENATE(CO$3,"-",$CP20,"-",$AY20),'Data Consolidada'!$K$7:$K$891,0)),MAX('Data Consolidada'!$E$7:$E$3000))))</f>
        <v/>
      </c>
      <c r="CP20" s="224" t="str">
        <f t="shared" ca="1" si="2"/>
        <v>MOSTAZAL</v>
      </c>
      <c r="CQ20" s="84" t="str">
        <f t="shared" ca="1" si="3"/>
        <v>LAVALLEMOSTAZAL</v>
      </c>
    </row>
    <row r="21" spans="2:95" ht="15" customHeight="1" thickBot="1" x14ac:dyDescent="0.4">
      <c r="B21" s="46" t="str">
        <v>TRANS. MAX SOTO G. E.I.R.L.</v>
      </c>
      <c r="C21" s="5"/>
      <c r="D21" s="75" cm="1">
        <f t="array" ref="D21">+_xlfn._xlws.SORT(_xlfn._xlws.FILTER(_xlfn.UNIQUE(H24:H79),_xlfn.UNIQUE(H24:H79)&lt;&gt;""),1)</f>
        <v>0</v>
      </c>
      <c r="F21" s="257" t="s">
        <v>157</v>
      </c>
      <c r="G21" s="14"/>
      <c r="H21" s="204"/>
      <c r="I21" s="267" t="str">
        <f t="shared" si="6"/>
        <v/>
      </c>
      <c r="J21" s="268" t="str">
        <f t="shared" si="7"/>
        <v/>
      </c>
      <c r="K21" s="268" t="str">
        <f t="shared" si="8"/>
        <v/>
      </c>
      <c r="L21" s="268" t="str">
        <f t="shared" si="9"/>
        <v/>
      </c>
      <c r="M21" s="268" t="str">
        <f t="shared" si="10"/>
        <v/>
      </c>
      <c r="N21" s="268" t="str">
        <f t="shared" si="11"/>
        <v/>
      </c>
      <c r="O21" s="268" t="str">
        <f t="shared" si="12"/>
        <v/>
      </c>
      <c r="P21" s="268" t="str">
        <f t="shared" si="13"/>
        <v/>
      </c>
      <c r="Q21" s="268" t="str">
        <f t="shared" si="20"/>
        <v/>
      </c>
      <c r="R21" s="268" t="str">
        <f t="shared" si="14"/>
        <v/>
      </c>
      <c r="S21" s="268" t="str">
        <f t="shared" si="15"/>
        <v/>
      </c>
      <c r="T21" s="268" t="str">
        <f t="shared" si="16"/>
        <v/>
      </c>
      <c r="U21" s="268" t="str">
        <f t="shared" si="17"/>
        <v/>
      </c>
      <c r="V21" s="269" t="str">
        <f t="shared" si="18"/>
        <v/>
      </c>
      <c r="W21" s="55" cm="1">
        <f t="array" ref="W21">+IFERROR(_xlfn.IFS(F21="Totes",IF(I21="",0,ROUNDUP(I21*$I$11/$G$9,0))+IF(J21="",0,ROUNDUP(J21*$J$11/$G$9,0))+IF(K21="",0,ROUNDUP(K21*$K$11/$G$9,0))+IF(L21="",0,ROUNDUP(L21*$L$11/$G$9,0))+IF(M21="",0,ROUNDUP(M21*$M$11/$G$9,0))+IF(N21="",0,ROUNDUP(N21*$N$11/$G$9,0))+IF(O21="",0,ROUNDUP(O21*$O$11/$G$9,0))+IF(P21="",0,ROUNDUP(P21*$P$11/$G$9,0))+IF(Q21="",0,ROUNDUP(Q21*$Q$11/$G$9,0))+IF(R21="",0,ROUNDUP(R21*$R$11/$G$9,0))+IF(S21="",0,ROUNDUP(S21*$S$11/$G$9,0))+IF(T21="",0,ROUNDUP(T21*$T$11/$G$9,0))+IF(U21="",0,ROUNDUP(U21*$U$11/$G$9,0))+IF(V21="",0,ROUNDUP(V21*$V$11/$G$9,0)),F21="Mini Bins",IF(I21="",0,ROUNDUP(I21*$I$11/$J$6,0))+IF(J21="",0,ROUNDUP(J21*$J$11/$J$6,0))+IF(K21="",0,ROUNDUP(K21*$K$11/$J$6,0))+IF(L21="",0,ROUNDUP(L21*$L$11/$J$6,0))+IF(M21="",0,ROUNDUP(M21*$M$11/$J$6,0))+IF(N21="",0,ROUNDUP(N21*$N$11/$J$6,0))+IF(O21="",0,ROUNDUP(O21*$O$11/$J$6,0))+IF(P21="",0,ROUNDUP(P21*$P$11/$J$6,0))+IF(Q21="",0,ROUNDUP(Q21*$Q$11/$J$6,0))+IF(R21="",0,ROUNDUP(R21*$R$11/$J$6,0))+IF(S21="",0,ROUNDUP(S21*$S$11/$J$6,0))+IF(T21="",0,ROUNDUP(T21*$T$11/$J$6,0))+IF(U21="",0,ROUNDUP(U21*$U$11/$J$6,0))+IF(V21="",0,ROUNDUP(V21*$V$11/$J$6,0))),0)</f>
        <v>0</v>
      </c>
      <c r="X21" s="254">
        <f t="shared" si="19"/>
        <v>0</v>
      </c>
      <c r="Y21" s="43"/>
      <c r="Z21" s="245" t="s">
        <v>79</v>
      </c>
      <c r="AA21" s="247">
        <v>4</v>
      </c>
      <c r="AB21" s="254" cm="1">
        <f t="array" aca="1" ref="AB21" ca="1">+SUM(IF($B$72:$B$217=Z21,$C$72:$AR$217))</f>
        <v>0</v>
      </c>
      <c r="AC21" s="211">
        <f t="shared" ca="1" si="4"/>
        <v>0</v>
      </c>
      <c r="AF21" s="14"/>
      <c r="AG21" s="204"/>
      <c r="AH21" s="228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229"/>
      <c r="AW21" s="13">
        <f>+IF(AX21="","",IF(AX21&gt;AX20,AW20,IF(AW20&lt;$D$69,AW20+1,IF(COUNT(AW$4:AW20)&lt;$B$69*$E$54,1,""))))</f>
        <v>2</v>
      </c>
      <c r="AX21" s="13">
        <f>+IF(AX20&lt;$B$69,AX20+1,IF(COUNT(AX$4:AX20)&lt;$B$69*$D$69,1,""))</f>
        <v>5</v>
      </c>
      <c r="AY21" s="189" t="str">
        <f t="shared" ca="1" si="1"/>
        <v>MACEBE</v>
      </c>
      <c r="AZ21" s="36">
        <f ca="1">+IF(AZ$3="","",IF($AY21="","",IFERROR(INDEX('Data Consolidada'!$E$7:$E$891,MATCH(CONCATENATE(AZ$3,"-",$CP21,"-",$AY21),'Data Consolidada'!$K$7:$K$891,0)),MAX('Data Consolidada'!$E$7:$E$3000))))</f>
        <v>11000000</v>
      </c>
      <c r="BA21" s="32">
        <f ca="1">+IF(BA$3="","",IF($AY21="","",IFERROR(INDEX('Data Consolidada'!$E$7:$E$891,MATCH(CONCATENATE(BA$3,"-",$CP21,"-",$AY21),'Data Consolidada'!$K$7:$K$891,0)),MAX('Data Consolidada'!$E$7:$E$3000))))</f>
        <v>11000000</v>
      </c>
      <c r="BB21" s="32" t="str">
        <f>+IF(BB$3="","",IF($AY21="","",IFERROR(INDEX('Data Consolidada'!$E$7:$E$891,MATCH(CONCATENATE(BB$3,"-",$CP21,"-",$AY21),'Data Consolidada'!$K$7:$K$891,0)),MAX('Data Consolidada'!$E$7:$E$3000))))</f>
        <v/>
      </c>
      <c r="BC21" s="32" t="str">
        <f>+IF(BC$3="","",IF($AY21="","",IFERROR(INDEX('Data Consolidada'!$E$7:$E$891,MATCH(CONCATENATE(BC$3,"-",$CP21,"-",$AY21),'Data Consolidada'!$K$7:$K$891,0)),MAX('Data Consolidada'!$E$7:$E$3000))))</f>
        <v/>
      </c>
      <c r="BD21" s="32" t="str">
        <f>+IF(BD$3="","",IF($AY21="","",IFERROR(INDEX('Data Consolidada'!$E$7:$E$891,MATCH(CONCATENATE(BD$3,"-",$CP21,"-",$AY21),'Data Consolidada'!$K$7:$K$891,0)),MAX('Data Consolidada'!$E$7:$E$3000))))</f>
        <v/>
      </c>
      <c r="BE21" s="32" t="str">
        <f>+IF(BE$3="","",IF($AY21="","",IFERROR(INDEX('Data Consolidada'!$E$7:$E$891,MATCH(CONCATENATE(BE$3,"-",$CP21,"-",$AY21),'Data Consolidada'!$K$7:$K$891,0)),MAX('Data Consolidada'!$E$7:$E$3000))))</f>
        <v/>
      </c>
      <c r="BF21" s="32" t="str">
        <f>+IF(BF$3="","",IF($AY21="","",IFERROR(INDEX('Data Consolidada'!$E$7:$E$891,MATCH(CONCATENATE(BF$3,"-",$CP21,"-",$AY21),'Data Consolidada'!$K$7:$K$891,0)),MAX('Data Consolidada'!$E$7:$E$3000))))</f>
        <v/>
      </c>
      <c r="BG21" s="32" t="str">
        <f>+IF(BG$3="","",IF($AY21="","",IFERROR(INDEX('Data Consolidada'!$E$7:$E$891,MATCH(CONCATENATE(BG$3,"-",$CP21,"-",$AY21),'Data Consolidada'!$K$7:$K$891,0)),MAX('Data Consolidada'!$E$7:$E$3000))))</f>
        <v/>
      </c>
      <c r="BH21" s="32" t="str">
        <f>+IF(BH$3="","",IF($AY21="","",IFERROR(INDEX('Data Consolidada'!$E$7:$E$891,MATCH(CONCATENATE(BH$3,"-",$CP21,"-",$AY21),'Data Consolidada'!$K$7:$K$891,0)),MAX('Data Consolidada'!$E$7:$E$3000))))</f>
        <v/>
      </c>
      <c r="BI21" s="32" t="str">
        <f>+IF(BI$3="","",IF($AY21="","",IFERROR(INDEX('Data Consolidada'!$E$7:$E$891,MATCH(CONCATENATE(BI$3,"-",$CP21,"-",$AY21),'Data Consolidada'!$K$7:$K$891,0)),MAX('Data Consolidada'!$E$7:$E$3000))))</f>
        <v/>
      </c>
      <c r="BJ21" s="32" t="str">
        <f>+IF(BJ$3="","",IF($AY21="","",IFERROR(INDEX('Data Consolidada'!$E$7:$E$891,MATCH(CONCATENATE(BJ$3,"-",$CP21,"-",$AY21),'Data Consolidada'!$K$7:$K$891,0)),MAX('Data Consolidada'!$E$7:$E$3000))))</f>
        <v/>
      </c>
      <c r="BK21" s="32" t="str">
        <f>+IF(BK$3="","",IF($AY21="","",IFERROR(INDEX('Data Consolidada'!$E$7:$E$891,MATCH(CONCATENATE(BK$3,"-",$CP21,"-",$AY21),'Data Consolidada'!$K$7:$K$891,0)),MAX('Data Consolidada'!$E$7:$E$3000))))</f>
        <v/>
      </c>
      <c r="BL21" s="32" t="str">
        <f>+IF(BL$3="","",IF($AY21="","",IFERROR(INDEX('Data Consolidada'!$E$7:$E$891,MATCH(CONCATENATE(BL$3,"-",$CP21,"-",$AY21),'Data Consolidada'!$K$7:$K$891,0)),MAX('Data Consolidada'!$E$7:$E$3000))))</f>
        <v/>
      </c>
      <c r="BM21" s="32" t="str">
        <f>+IF(BM$3="","",IF($AY21="","",IFERROR(INDEX('Data Consolidada'!$E$7:$E$891,MATCH(CONCATENATE(BM$3,"-",$CP21,"-",$AY21),'Data Consolidada'!$K$7:$K$891,0)),MAX('Data Consolidada'!$E$7:$E$3000))))</f>
        <v/>
      </c>
      <c r="BN21" s="32" t="str">
        <f>+IF(BN$3="","",IF($AY21="","",IFERROR(INDEX('Data Consolidada'!$E$7:$E$891,MATCH(CONCATENATE(BN$3,"-",$CP21,"-",$AY21),'Data Consolidada'!$K$7:$K$891,0)),MAX('Data Consolidada'!$E$7:$E$3000))))</f>
        <v/>
      </c>
      <c r="BO21" s="32" t="str">
        <f>+IF(BO$3="","",IF($AY21="","",IFERROR(INDEX('Data Consolidada'!$E$7:$E$891,MATCH(CONCATENATE(BO$3,"-",$CP21,"-",$AY21),'Data Consolidada'!$K$7:$K$891,0)),MAX('Data Consolidada'!$E$7:$E$3000))))</f>
        <v/>
      </c>
      <c r="BP21" s="32" t="str">
        <f>+IF(BP$3="","",IF($AY21="","",IFERROR(INDEX('Data Consolidada'!$E$7:$E$891,MATCH(CONCATENATE(BP$3,"-",$CP21,"-",$AY21),'Data Consolidada'!$K$7:$K$891,0)),MAX('Data Consolidada'!$E$7:$E$3000))))</f>
        <v/>
      </c>
      <c r="BQ21" s="32" t="str">
        <f>+IF(BQ$3="","",IF($AY21="","",IFERROR(INDEX('Data Consolidada'!$E$7:$E$891,MATCH(CONCATENATE(BQ$3,"-",$CP21,"-",$AY21),'Data Consolidada'!$K$7:$K$891,0)),MAX('Data Consolidada'!$E$7:$E$3000))))</f>
        <v/>
      </c>
      <c r="BR21" s="32" t="str">
        <f>+IF(BR$3="","",IF($AY21="","",IFERROR(INDEX('Data Consolidada'!$E$7:$E$891,MATCH(CONCATENATE(BR$3,"-",$CP21,"-",$AY21),'Data Consolidada'!$K$7:$K$891,0)),MAX('Data Consolidada'!$E$7:$E$3000))))</f>
        <v/>
      </c>
      <c r="BS21" s="32" t="str">
        <f>+IF(BS$3="","",IF($AY21="","",IFERROR(INDEX('Data Consolidada'!$E$7:$E$891,MATCH(CONCATENATE(BS$3,"-",$CP21,"-",$AY21),'Data Consolidada'!$K$7:$K$891,0)),MAX('Data Consolidada'!$E$7:$E$3000))))</f>
        <v/>
      </c>
      <c r="BT21" s="32" t="str">
        <f>+IF(BT$3="","",IF($AY21="","",IFERROR(INDEX('Data Consolidada'!$E$7:$E$891,MATCH(CONCATENATE(BT$3,"-",$CP21,"-",$AY21),'Data Consolidada'!$K$7:$K$891,0)),MAX('Data Consolidada'!$E$7:$E$3000))))</f>
        <v/>
      </c>
      <c r="BU21" s="32" t="str">
        <f>+IF(BU$3="","",IF($AY21="","",IFERROR(INDEX('Data Consolidada'!$E$7:$E$891,MATCH(CONCATENATE(BU$3,"-",$CP21,"-",$AY21),'Data Consolidada'!$K$7:$K$891,0)),MAX('Data Consolidada'!$E$7:$E$3000))))</f>
        <v/>
      </c>
      <c r="BV21" s="32" t="str">
        <f>+IF(BV$3="","",IF($AY21="","",IFERROR(INDEX('Data Consolidada'!$E$7:$E$891,MATCH(CONCATENATE(BV$3,"-",$CP21,"-",$AY21),'Data Consolidada'!$K$7:$K$891,0)),MAX('Data Consolidada'!$E$7:$E$3000))))</f>
        <v/>
      </c>
      <c r="BW21" s="32" t="str">
        <f>+IF(BW$3="","",IF($AY21="","",IFERROR(INDEX('Data Consolidada'!$E$7:$E$891,MATCH(CONCATENATE(BW$3,"-",$CP21,"-",$AY21),'Data Consolidada'!$K$7:$K$891,0)),MAX('Data Consolidada'!$E$7:$E$3000))))</f>
        <v/>
      </c>
      <c r="BX21" s="32" t="str">
        <f>+IF(BX$3="","",IF($AY21="","",IFERROR(INDEX('Data Consolidada'!$E$7:$E$891,MATCH(CONCATENATE(BX$3,"-",$CP21,"-",$AY21),'Data Consolidada'!$K$7:$K$891,0)),MAX('Data Consolidada'!$E$7:$E$3000))))</f>
        <v/>
      </c>
      <c r="BY21" s="32" t="str">
        <f>+IF(BY$3="","",IF($AY21="","",IFERROR(INDEX('Data Consolidada'!$E$7:$E$891,MATCH(CONCATENATE(BY$3,"-",$CP21,"-",$AY21),'Data Consolidada'!$K$7:$K$891,0)),MAX('Data Consolidada'!$E$7:$E$3000))))</f>
        <v/>
      </c>
      <c r="BZ21" s="32" t="str">
        <f>+IF(BZ$3="","",IF($AY21="","",IFERROR(INDEX('Data Consolidada'!$E$7:$E$891,MATCH(CONCATENATE(BZ$3,"-",$CP21,"-",$AY21),'Data Consolidada'!$K$7:$K$891,0)),MAX('Data Consolidada'!$E$7:$E$3000))))</f>
        <v/>
      </c>
      <c r="CA21" s="32" t="str">
        <f>+IF(CA$3="","",IF($AY21="","",IFERROR(INDEX('Data Consolidada'!$E$7:$E$891,MATCH(CONCATENATE(CA$3,"-",$CP21,"-",$AY21),'Data Consolidada'!$K$7:$K$891,0)),MAX('Data Consolidada'!$E$7:$E$3000))))</f>
        <v/>
      </c>
      <c r="CB21" s="32" t="str">
        <f>+IF(CB$3="","",IF($AY21="","",IFERROR(INDEX('Data Consolidada'!$E$7:$E$891,MATCH(CONCATENATE(CB$3,"-",$CP21,"-",$AY21),'Data Consolidada'!$K$7:$K$891,0)),MAX('Data Consolidada'!$E$7:$E$3000))))</f>
        <v/>
      </c>
      <c r="CC21" s="32" t="str">
        <f>+IF(CC$3="","",IF($AY21="","",IFERROR(INDEX('Data Consolidada'!$E$7:$E$891,MATCH(CONCATENATE(CC$3,"-",$CP21,"-",$AY21),'Data Consolidada'!$K$7:$K$891,0)),MAX('Data Consolidada'!$E$7:$E$3000))))</f>
        <v/>
      </c>
      <c r="CD21" s="32" t="str">
        <f>+IF(CD$3="","",IF($AY21="","",IFERROR(INDEX('Data Consolidada'!$E$7:$E$891,MATCH(CONCATENATE(CD$3,"-",$CP21,"-",$AY21),'Data Consolidada'!$K$7:$K$891,0)),MAX('Data Consolidada'!$E$7:$E$3000))))</f>
        <v/>
      </c>
      <c r="CE21" s="32" t="str">
        <f>+IF(CE$3="","",IF($AY21="","",IFERROR(INDEX('Data Consolidada'!$E$7:$E$891,MATCH(CONCATENATE(CE$3,"-",$CP21,"-",$AY21),'Data Consolidada'!$K$7:$K$891,0)),MAX('Data Consolidada'!$E$7:$E$3000))))</f>
        <v/>
      </c>
      <c r="CF21" s="32" t="str">
        <f>+IF(CF$3="","",IF($AY21="","",IFERROR(INDEX('Data Consolidada'!$E$7:$E$891,MATCH(CONCATENATE(CF$3,"-",$CP21,"-",$AY21),'Data Consolidada'!$K$7:$K$891,0)),MAX('Data Consolidada'!$E$7:$E$3000))))</f>
        <v/>
      </c>
      <c r="CG21" s="32" t="str">
        <f>+IF(CG$3="","",IF($AY21="","",IFERROR(INDEX('Data Consolidada'!$E$7:$E$891,MATCH(CONCATENATE(CG$3,"-",$CP21,"-",$AY21),'Data Consolidada'!$K$7:$K$891,0)),MAX('Data Consolidada'!$E$7:$E$3000))))</f>
        <v/>
      </c>
      <c r="CH21" s="32" t="str">
        <f>+IF(CH$3="","",IF($AY21="","",IFERROR(INDEX('Data Consolidada'!$E$7:$E$891,MATCH(CONCATENATE(CH$3,"-",$CP21,"-",$AY21),'Data Consolidada'!$K$7:$K$891,0)),MAX('Data Consolidada'!$E$7:$E$3000))))</f>
        <v/>
      </c>
      <c r="CI21" s="32" t="str">
        <f>+IF(CI$3="","",IF($AY21="","",IFERROR(INDEX('Data Consolidada'!$E$7:$E$891,MATCH(CONCATENATE(CI$3,"-",$CP21,"-",$AY21),'Data Consolidada'!$K$7:$K$891,0)),MAX('Data Consolidada'!$E$7:$E$3000))))</f>
        <v/>
      </c>
      <c r="CJ21" s="32" t="str">
        <f>+IF(CJ$3="","",IF($AY21="","",IFERROR(INDEX('Data Consolidada'!$E$7:$E$891,MATCH(CONCATENATE(CJ$3,"-",$CP21,"-",$AY21),'Data Consolidada'!$K$7:$K$891,0)),MAX('Data Consolidada'!$E$7:$E$3000))))</f>
        <v/>
      </c>
      <c r="CK21" s="32" t="str">
        <f>+IF(CK$3="","",IF($AY21="","",IFERROR(INDEX('Data Consolidada'!$E$7:$E$891,MATCH(CONCATENATE(CK$3,"-",$CP21,"-",$AY21),'Data Consolidada'!$K$7:$K$891,0)),MAX('Data Consolidada'!$E$7:$E$3000))))</f>
        <v/>
      </c>
      <c r="CL21" s="32" t="str">
        <f>+IF(CL$3="","",IF($AY21="","",IFERROR(INDEX('Data Consolidada'!$E$7:$E$891,MATCH(CONCATENATE(CL$3,"-",$CP21,"-",$AY21),'Data Consolidada'!$K$7:$K$891,0)),MAX('Data Consolidada'!$E$7:$E$3000))))</f>
        <v/>
      </c>
      <c r="CM21" s="32" t="str">
        <f>+IF(CM$3="","",IF($AY21="","",IFERROR(INDEX('Data Consolidada'!$E$7:$E$891,MATCH(CONCATENATE(CM$3,"-",$CP21,"-",$AY21),'Data Consolidada'!$K$7:$K$891,0)),MAX('Data Consolidada'!$E$7:$E$3000))))</f>
        <v/>
      </c>
      <c r="CN21" s="32" t="str">
        <f>+IF(CN$3="","",IF($AY21="","",IFERROR(INDEX('Data Consolidada'!$E$7:$E$891,MATCH(CONCATENATE(CN$3,"-",$CP21,"-",$AY21),'Data Consolidada'!$K$7:$K$891,0)),MAX('Data Consolidada'!$E$7:$E$3000))))</f>
        <v/>
      </c>
      <c r="CO21" s="37" t="str">
        <f>+IF(CO$3="","",IF($AY21="","",IFERROR(INDEX('Data Consolidada'!$E$7:$E$891,MATCH(CONCATENATE(CO$3,"-",$CP21,"-",$AY21),'Data Consolidada'!$K$7:$K$891,0)),MAX('Data Consolidada'!$E$7:$E$3000))))</f>
        <v/>
      </c>
      <c r="CP21" s="224" t="str">
        <f t="shared" ca="1" si="2"/>
        <v>MOSTAZAL</v>
      </c>
      <c r="CQ21" s="84" t="str">
        <f t="shared" ca="1" si="3"/>
        <v>MACEBEMOSTAZAL</v>
      </c>
    </row>
    <row r="22" spans="2:95" ht="15" customHeight="1" x14ac:dyDescent="0.35">
      <c r="B22" s="46" t="str">
        <v>TRANS. MITRE SPA.</v>
      </c>
      <c r="C22" s="5"/>
      <c r="D22" s="75" cm="1">
        <f t="array" ref="D22">+_xlfn._xlws.SORT(_xlfn._xlws.FILTER(_xlfn.UNIQUE(H25:H80),_xlfn.UNIQUE(H25:H80)&lt;&gt;""),1)</f>
        <v>0</v>
      </c>
      <c r="F22" s="257" t="s">
        <v>157</v>
      </c>
      <c r="G22" s="14"/>
      <c r="H22" s="204"/>
      <c r="I22" s="267" t="str">
        <f t="shared" si="6"/>
        <v/>
      </c>
      <c r="J22" s="268" t="str">
        <f t="shared" si="7"/>
        <v/>
      </c>
      <c r="K22" s="268" t="str">
        <f t="shared" si="8"/>
        <v/>
      </c>
      <c r="L22" s="268" t="str">
        <f t="shared" si="9"/>
        <v/>
      </c>
      <c r="M22" s="268" t="str">
        <f t="shared" si="10"/>
        <v/>
      </c>
      <c r="N22" s="268" t="str">
        <f t="shared" si="11"/>
        <v/>
      </c>
      <c r="O22" s="268" t="str">
        <f t="shared" si="12"/>
        <v/>
      </c>
      <c r="P22" s="268" t="str">
        <f t="shared" si="13"/>
        <v/>
      </c>
      <c r="Q22" s="268" t="str">
        <f t="shared" si="20"/>
        <v/>
      </c>
      <c r="R22" s="268" t="str">
        <f t="shared" si="14"/>
        <v/>
      </c>
      <c r="S22" s="268" t="str">
        <f t="shared" si="15"/>
        <v/>
      </c>
      <c r="T22" s="268" t="str">
        <f t="shared" si="16"/>
        <v/>
      </c>
      <c r="U22" s="268" t="str">
        <f t="shared" si="17"/>
        <v/>
      </c>
      <c r="V22" s="269" t="str">
        <f t="shared" si="18"/>
        <v/>
      </c>
      <c r="W22" s="55" cm="1">
        <f t="array" ref="W22">+IFERROR(_xlfn.IFS(F22="Totes",IF(I22="",0,ROUNDUP(I22*$I$11/$G$9,0))+IF(J22="",0,ROUNDUP(J22*$J$11/$G$9,0))+IF(K22="",0,ROUNDUP(K22*$K$11/$G$9,0))+IF(L22="",0,ROUNDUP(L22*$L$11/$G$9,0))+IF(M22="",0,ROUNDUP(M22*$M$11/$G$9,0))+IF(N22="",0,ROUNDUP(N22*$N$11/$G$9,0))+IF(O22="",0,ROUNDUP(O22*$O$11/$G$9,0))+IF(P22="",0,ROUNDUP(P22*$P$11/$G$9,0))+IF(Q22="",0,ROUNDUP(Q22*$Q$11/$G$9,0))+IF(R22="",0,ROUNDUP(R22*$R$11/$G$9,0))+IF(S22="",0,ROUNDUP(S22*$S$11/$G$9,0))+IF(T22="",0,ROUNDUP(T22*$T$11/$G$9,0))+IF(U22="",0,ROUNDUP(U22*$U$11/$G$9,0))+IF(V22="",0,ROUNDUP(V22*$V$11/$G$9,0)),F22="Mini Bins",IF(I22="",0,ROUNDUP(I22*$I$11/$J$6,0))+IF(J22="",0,ROUNDUP(J22*$J$11/$J$6,0))+IF(K22="",0,ROUNDUP(K22*$K$11/$J$6,0))+IF(L22="",0,ROUNDUP(L22*$L$11/$J$6,0))+IF(M22="",0,ROUNDUP(M22*$M$11/$J$6,0))+IF(N22="",0,ROUNDUP(N22*$N$11/$J$6,0))+IF(O22="",0,ROUNDUP(O22*$O$11/$J$6,0))+IF(P22="",0,ROUNDUP(P22*$P$11/$J$6,0))+IF(Q22="",0,ROUNDUP(Q22*$Q$11/$J$6,0))+IF(R22="",0,ROUNDUP(R22*$R$11/$J$6,0))+IF(S22="",0,ROUNDUP(S22*$S$11/$J$6,0))+IF(T22="",0,ROUNDUP(T22*$T$11/$J$6,0))+IF(U22="",0,ROUNDUP(U22*$U$11/$J$6,0))+IF(V22="",0,ROUNDUP(V22*$V$11/$J$6,0))),0)</f>
        <v>0</v>
      </c>
      <c r="X22" s="254">
        <f t="shared" si="19"/>
        <v>0</v>
      </c>
      <c r="Z22" s="245" t="s">
        <v>89</v>
      </c>
      <c r="AA22" s="247">
        <v>4</v>
      </c>
      <c r="AB22" s="254" cm="1">
        <f t="array" aca="1" ref="AB22" ca="1">+SUM(IF($B$72:$B$217=Z22,$C$72:$AR$217))</f>
        <v>0</v>
      </c>
      <c r="AC22" s="211">
        <f t="shared" ca="1" si="4"/>
        <v>0</v>
      </c>
      <c r="AF22" s="14"/>
      <c r="AG22" s="204"/>
      <c r="AH22" s="228"/>
      <c r="AI22" s="196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6"/>
      <c r="AU22" s="229"/>
      <c r="AW22" s="13">
        <f>+IF(AX22="","",IF(AX22&gt;AX21,AW21,IF(AW21&lt;$D$69,AW21+1,IF(COUNT(AW$4:AW21)&lt;$B$69*$E$54,1,""))))</f>
        <v>2</v>
      </c>
      <c r="AX22" s="13">
        <f>+IF(AX21&lt;$B$69,AX21+1,IF(COUNT(AX$4:AX21)&lt;$B$69*$D$69,1,""))</f>
        <v>6</v>
      </c>
      <c r="AY22" s="189" t="str">
        <f t="shared" ca="1" si="1"/>
        <v xml:space="preserve">Manuel Sepúlveda </v>
      </c>
      <c r="AZ22" s="36">
        <f ca="1">+IF(AZ$3="","",IF($AY22="","",IFERROR(INDEX('Data Consolidada'!$E$7:$E$891,MATCH(CONCATENATE(AZ$3,"-",$CP22,"-",$AY22),'Data Consolidada'!$K$7:$K$891,0)),MAX('Data Consolidada'!$E$7:$E$3000))))</f>
        <v>11000000</v>
      </c>
      <c r="BA22" s="32">
        <f ca="1">+IF(BA$3="","",IF($AY22="","",IFERROR(INDEX('Data Consolidada'!$E$7:$E$891,MATCH(CONCATENATE(BA$3,"-",$CP22,"-",$AY22),'Data Consolidada'!$K$7:$K$891,0)),MAX('Data Consolidada'!$E$7:$E$3000))))</f>
        <v>520000</v>
      </c>
      <c r="BB22" s="32" t="str">
        <f>+IF(BB$3="","",IF($AY22="","",IFERROR(INDEX('Data Consolidada'!$E$7:$E$891,MATCH(CONCATENATE(BB$3,"-",$CP22,"-",$AY22),'Data Consolidada'!$K$7:$K$891,0)),MAX('Data Consolidada'!$E$7:$E$3000))))</f>
        <v/>
      </c>
      <c r="BC22" s="32" t="str">
        <f>+IF(BC$3="","",IF($AY22="","",IFERROR(INDEX('Data Consolidada'!$E$7:$E$891,MATCH(CONCATENATE(BC$3,"-",$CP22,"-",$AY22),'Data Consolidada'!$K$7:$K$891,0)),MAX('Data Consolidada'!$E$7:$E$3000))))</f>
        <v/>
      </c>
      <c r="BD22" s="32" t="str">
        <f>+IF(BD$3="","",IF($AY22="","",IFERROR(INDEX('Data Consolidada'!$E$7:$E$891,MATCH(CONCATENATE(BD$3,"-",$CP22,"-",$AY22),'Data Consolidada'!$K$7:$K$891,0)),MAX('Data Consolidada'!$E$7:$E$3000))))</f>
        <v/>
      </c>
      <c r="BE22" s="32" t="str">
        <f>+IF(BE$3="","",IF($AY22="","",IFERROR(INDEX('Data Consolidada'!$E$7:$E$891,MATCH(CONCATENATE(BE$3,"-",$CP22,"-",$AY22),'Data Consolidada'!$K$7:$K$891,0)),MAX('Data Consolidada'!$E$7:$E$3000))))</f>
        <v/>
      </c>
      <c r="BF22" s="32" t="str">
        <f>+IF(BF$3="","",IF($AY22="","",IFERROR(INDEX('Data Consolidada'!$E$7:$E$891,MATCH(CONCATENATE(BF$3,"-",$CP22,"-",$AY22),'Data Consolidada'!$K$7:$K$891,0)),MAX('Data Consolidada'!$E$7:$E$3000))))</f>
        <v/>
      </c>
      <c r="BG22" s="32" t="str">
        <f>+IF(BG$3="","",IF($AY22="","",IFERROR(INDEX('Data Consolidada'!$E$7:$E$891,MATCH(CONCATENATE(BG$3,"-",$CP22,"-",$AY22),'Data Consolidada'!$K$7:$K$891,0)),MAX('Data Consolidada'!$E$7:$E$3000))))</f>
        <v/>
      </c>
      <c r="BH22" s="32" t="str">
        <f>+IF(BH$3="","",IF($AY22="","",IFERROR(INDEX('Data Consolidada'!$E$7:$E$891,MATCH(CONCATENATE(BH$3,"-",$CP22,"-",$AY22),'Data Consolidada'!$K$7:$K$891,0)),MAX('Data Consolidada'!$E$7:$E$3000))))</f>
        <v/>
      </c>
      <c r="BI22" s="32" t="str">
        <f>+IF(BI$3="","",IF($AY22="","",IFERROR(INDEX('Data Consolidada'!$E$7:$E$891,MATCH(CONCATENATE(BI$3,"-",$CP22,"-",$AY22),'Data Consolidada'!$K$7:$K$891,0)),MAX('Data Consolidada'!$E$7:$E$3000))))</f>
        <v/>
      </c>
      <c r="BJ22" s="32" t="str">
        <f>+IF(BJ$3="","",IF($AY22="","",IFERROR(INDEX('Data Consolidada'!$E$7:$E$891,MATCH(CONCATENATE(BJ$3,"-",$CP22,"-",$AY22),'Data Consolidada'!$K$7:$K$891,0)),MAX('Data Consolidada'!$E$7:$E$3000))))</f>
        <v/>
      </c>
      <c r="BK22" s="32" t="str">
        <f>+IF(BK$3="","",IF($AY22="","",IFERROR(INDEX('Data Consolidada'!$E$7:$E$891,MATCH(CONCATENATE(BK$3,"-",$CP22,"-",$AY22),'Data Consolidada'!$K$7:$K$891,0)),MAX('Data Consolidada'!$E$7:$E$3000))))</f>
        <v/>
      </c>
      <c r="BL22" s="32" t="str">
        <f>+IF(BL$3="","",IF($AY22="","",IFERROR(INDEX('Data Consolidada'!$E$7:$E$891,MATCH(CONCATENATE(BL$3,"-",$CP22,"-",$AY22),'Data Consolidada'!$K$7:$K$891,0)),MAX('Data Consolidada'!$E$7:$E$3000))))</f>
        <v/>
      </c>
      <c r="BM22" s="32" t="str">
        <f>+IF(BM$3="","",IF($AY22="","",IFERROR(INDEX('Data Consolidada'!$E$7:$E$891,MATCH(CONCATENATE(BM$3,"-",$CP22,"-",$AY22),'Data Consolidada'!$K$7:$K$891,0)),MAX('Data Consolidada'!$E$7:$E$3000))))</f>
        <v/>
      </c>
      <c r="BN22" s="32" t="str">
        <f>+IF(BN$3="","",IF($AY22="","",IFERROR(INDEX('Data Consolidada'!$E$7:$E$891,MATCH(CONCATENATE(BN$3,"-",$CP22,"-",$AY22),'Data Consolidada'!$K$7:$K$891,0)),MAX('Data Consolidada'!$E$7:$E$3000))))</f>
        <v/>
      </c>
      <c r="BO22" s="32" t="str">
        <f>+IF(BO$3="","",IF($AY22="","",IFERROR(INDEX('Data Consolidada'!$E$7:$E$891,MATCH(CONCATENATE(BO$3,"-",$CP22,"-",$AY22),'Data Consolidada'!$K$7:$K$891,0)),MAX('Data Consolidada'!$E$7:$E$3000))))</f>
        <v/>
      </c>
      <c r="BP22" s="32" t="str">
        <f>+IF(BP$3="","",IF($AY22="","",IFERROR(INDEX('Data Consolidada'!$E$7:$E$891,MATCH(CONCATENATE(BP$3,"-",$CP22,"-",$AY22),'Data Consolidada'!$K$7:$K$891,0)),MAX('Data Consolidada'!$E$7:$E$3000))))</f>
        <v/>
      </c>
      <c r="BQ22" s="32" t="str">
        <f>+IF(BQ$3="","",IF($AY22="","",IFERROR(INDEX('Data Consolidada'!$E$7:$E$891,MATCH(CONCATENATE(BQ$3,"-",$CP22,"-",$AY22),'Data Consolidada'!$K$7:$K$891,0)),MAX('Data Consolidada'!$E$7:$E$3000))))</f>
        <v/>
      </c>
      <c r="BR22" s="32" t="str">
        <f>+IF(BR$3="","",IF($AY22="","",IFERROR(INDEX('Data Consolidada'!$E$7:$E$891,MATCH(CONCATENATE(BR$3,"-",$CP22,"-",$AY22),'Data Consolidada'!$K$7:$K$891,0)),MAX('Data Consolidada'!$E$7:$E$3000))))</f>
        <v/>
      </c>
      <c r="BS22" s="32" t="str">
        <f>+IF(BS$3="","",IF($AY22="","",IFERROR(INDEX('Data Consolidada'!$E$7:$E$891,MATCH(CONCATENATE(BS$3,"-",$CP22,"-",$AY22),'Data Consolidada'!$K$7:$K$891,0)),MAX('Data Consolidada'!$E$7:$E$3000))))</f>
        <v/>
      </c>
      <c r="BT22" s="32" t="str">
        <f>+IF(BT$3="","",IF($AY22="","",IFERROR(INDEX('Data Consolidada'!$E$7:$E$891,MATCH(CONCATENATE(BT$3,"-",$CP22,"-",$AY22),'Data Consolidada'!$K$7:$K$891,0)),MAX('Data Consolidada'!$E$7:$E$3000))))</f>
        <v/>
      </c>
      <c r="BU22" s="32" t="str">
        <f>+IF(BU$3="","",IF($AY22="","",IFERROR(INDEX('Data Consolidada'!$E$7:$E$891,MATCH(CONCATENATE(BU$3,"-",$CP22,"-",$AY22),'Data Consolidada'!$K$7:$K$891,0)),MAX('Data Consolidada'!$E$7:$E$3000))))</f>
        <v/>
      </c>
      <c r="BV22" s="32" t="str">
        <f>+IF(BV$3="","",IF($AY22="","",IFERROR(INDEX('Data Consolidada'!$E$7:$E$891,MATCH(CONCATENATE(BV$3,"-",$CP22,"-",$AY22),'Data Consolidada'!$K$7:$K$891,0)),MAX('Data Consolidada'!$E$7:$E$3000))))</f>
        <v/>
      </c>
      <c r="BW22" s="32" t="str">
        <f>+IF(BW$3="","",IF($AY22="","",IFERROR(INDEX('Data Consolidada'!$E$7:$E$891,MATCH(CONCATENATE(BW$3,"-",$CP22,"-",$AY22),'Data Consolidada'!$K$7:$K$891,0)),MAX('Data Consolidada'!$E$7:$E$3000))))</f>
        <v/>
      </c>
      <c r="BX22" s="32" t="str">
        <f>+IF(BX$3="","",IF($AY22="","",IFERROR(INDEX('Data Consolidada'!$E$7:$E$891,MATCH(CONCATENATE(BX$3,"-",$CP22,"-",$AY22),'Data Consolidada'!$K$7:$K$891,0)),MAX('Data Consolidada'!$E$7:$E$3000))))</f>
        <v/>
      </c>
      <c r="BY22" s="32" t="str">
        <f>+IF(BY$3="","",IF($AY22="","",IFERROR(INDEX('Data Consolidada'!$E$7:$E$891,MATCH(CONCATENATE(BY$3,"-",$CP22,"-",$AY22),'Data Consolidada'!$K$7:$K$891,0)),MAX('Data Consolidada'!$E$7:$E$3000))))</f>
        <v/>
      </c>
      <c r="BZ22" s="32" t="str">
        <f>+IF(BZ$3="","",IF($AY22="","",IFERROR(INDEX('Data Consolidada'!$E$7:$E$891,MATCH(CONCATENATE(BZ$3,"-",$CP22,"-",$AY22),'Data Consolidada'!$K$7:$K$891,0)),MAX('Data Consolidada'!$E$7:$E$3000))))</f>
        <v/>
      </c>
      <c r="CA22" s="32" t="str">
        <f>+IF(CA$3="","",IF($AY22="","",IFERROR(INDEX('Data Consolidada'!$E$7:$E$891,MATCH(CONCATENATE(CA$3,"-",$CP22,"-",$AY22),'Data Consolidada'!$K$7:$K$891,0)),MAX('Data Consolidada'!$E$7:$E$3000))))</f>
        <v/>
      </c>
      <c r="CB22" s="32" t="str">
        <f>+IF(CB$3="","",IF($AY22="","",IFERROR(INDEX('Data Consolidada'!$E$7:$E$891,MATCH(CONCATENATE(CB$3,"-",$CP22,"-",$AY22),'Data Consolidada'!$K$7:$K$891,0)),MAX('Data Consolidada'!$E$7:$E$3000))))</f>
        <v/>
      </c>
      <c r="CC22" s="32" t="str">
        <f>+IF(CC$3="","",IF($AY22="","",IFERROR(INDEX('Data Consolidada'!$E$7:$E$891,MATCH(CONCATENATE(CC$3,"-",$CP22,"-",$AY22),'Data Consolidada'!$K$7:$K$891,0)),MAX('Data Consolidada'!$E$7:$E$3000))))</f>
        <v/>
      </c>
      <c r="CD22" s="32" t="str">
        <f>+IF(CD$3="","",IF($AY22="","",IFERROR(INDEX('Data Consolidada'!$E$7:$E$891,MATCH(CONCATENATE(CD$3,"-",$CP22,"-",$AY22),'Data Consolidada'!$K$7:$K$891,0)),MAX('Data Consolidada'!$E$7:$E$3000))))</f>
        <v/>
      </c>
      <c r="CE22" s="32" t="str">
        <f>+IF(CE$3="","",IF($AY22="","",IFERROR(INDEX('Data Consolidada'!$E$7:$E$891,MATCH(CONCATENATE(CE$3,"-",$CP22,"-",$AY22),'Data Consolidada'!$K$7:$K$891,0)),MAX('Data Consolidada'!$E$7:$E$3000))))</f>
        <v/>
      </c>
      <c r="CF22" s="32" t="str">
        <f>+IF(CF$3="","",IF($AY22="","",IFERROR(INDEX('Data Consolidada'!$E$7:$E$891,MATCH(CONCATENATE(CF$3,"-",$CP22,"-",$AY22),'Data Consolidada'!$K$7:$K$891,0)),MAX('Data Consolidada'!$E$7:$E$3000))))</f>
        <v/>
      </c>
      <c r="CG22" s="32" t="str">
        <f>+IF(CG$3="","",IF($AY22="","",IFERROR(INDEX('Data Consolidada'!$E$7:$E$891,MATCH(CONCATENATE(CG$3,"-",$CP22,"-",$AY22),'Data Consolidada'!$K$7:$K$891,0)),MAX('Data Consolidada'!$E$7:$E$3000))))</f>
        <v/>
      </c>
      <c r="CH22" s="32" t="str">
        <f>+IF(CH$3="","",IF($AY22="","",IFERROR(INDEX('Data Consolidada'!$E$7:$E$891,MATCH(CONCATENATE(CH$3,"-",$CP22,"-",$AY22),'Data Consolidada'!$K$7:$K$891,0)),MAX('Data Consolidada'!$E$7:$E$3000))))</f>
        <v/>
      </c>
      <c r="CI22" s="32" t="str">
        <f>+IF(CI$3="","",IF($AY22="","",IFERROR(INDEX('Data Consolidada'!$E$7:$E$891,MATCH(CONCATENATE(CI$3,"-",$CP22,"-",$AY22),'Data Consolidada'!$K$7:$K$891,0)),MAX('Data Consolidada'!$E$7:$E$3000))))</f>
        <v/>
      </c>
      <c r="CJ22" s="32" t="str">
        <f>+IF(CJ$3="","",IF($AY22="","",IFERROR(INDEX('Data Consolidada'!$E$7:$E$891,MATCH(CONCATENATE(CJ$3,"-",$CP22,"-",$AY22),'Data Consolidada'!$K$7:$K$891,0)),MAX('Data Consolidada'!$E$7:$E$3000))))</f>
        <v/>
      </c>
      <c r="CK22" s="32" t="str">
        <f>+IF(CK$3="","",IF($AY22="","",IFERROR(INDEX('Data Consolidada'!$E$7:$E$891,MATCH(CONCATENATE(CK$3,"-",$CP22,"-",$AY22),'Data Consolidada'!$K$7:$K$891,0)),MAX('Data Consolidada'!$E$7:$E$3000))))</f>
        <v/>
      </c>
      <c r="CL22" s="32" t="str">
        <f>+IF(CL$3="","",IF($AY22="","",IFERROR(INDEX('Data Consolidada'!$E$7:$E$891,MATCH(CONCATENATE(CL$3,"-",$CP22,"-",$AY22),'Data Consolidada'!$K$7:$K$891,0)),MAX('Data Consolidada'!$E$7:$E$3000))))</f>
        <v/>
      </c>
      <c r="CM22" s="32" t="str">
        <f>+IF(CM$3="","",IF($AY22="","",IFERROR(INDEX('Data Consolidada'!$E$7:$E$891,MATCH(CONCATENATE(CM$3,"-",$CP22,"-",$AY22),'Data Consolidada'!$K$7:$K$891,0)),MAX('Data Consolidada'!$E$7:$E$3000))))</f>
        <v/>
      </c>
      <c r="CN22" s="32" t="str">
        <f>+IF(CN$3="","",IF($AY22="","",IFERROR(INDEX('Data Consolidada'!$E$7:$E$891,MATCH(CONCATENATE(CN$3,"-",$CP22,"-",$AY22),'Data Consolidada'!$K$7:$K$891,0)),MAX('Data Consolidada'!$E$7:$E$3000))))</f>
        <v/>
      </c>
      <c r="CO22" s="37" t="str">
        <f>+IF(CO$3="","",IF($AY22="","",IFERROR(INDEX('Data Consolidada'!$E$7:$E$891,MATCH(CONCATENATE(CO$3,"-",$CP22,"-",$AY22),'Data Consolidada'!$K$7:$K$891,0)),MAX('Data Consolidada'!$E$7:$E$3000))))</f>
        <v/>
      </c>
      <c r="CP22" s="224" t="str">
        <f t="shared" ca="1" si="2"/>
        <v>MOSTAZAL</v>
      </c>
      <c r="CQ22" s="84" t="str">
        <f t="shared" ca="1" si="3"/>
        <v>Manuel Sepúlveda MOSTAZAL</v>
      </c>
    </row>
    <row r="23" spans="2:95" ht="15" customHeight="1" x14ac:dyDescent="0.35">
      <c r="B23" s="46"/>
      <c r="C23" s="5"/>
      <c r="D23" s="15"/>
      <c r="F23" s="257" t="s">
        <v>157</v>
      </c>
      <c r="G23" s="14"/>
      <c r="H23" s="204"/>
      <c r="I23" s="267" t="str">
        <f t="shared" si="6"/>
        <v/>
      </c>
      <c r="J23" s="268" t="str">
        <f t="shared" si="7"/>
        <v/>
      </c>
      <c r="K23" s="268" t="str">
        <f t="shared" si="8"/>
        <v/>
      </c>
      <c r="L23" s="268" t="str">
        <f t="shared" si="9"/>
        <v/>
      </c>
      <c r="M23" s="268" t="str">
        <f t="shared" si="10"/>
        <v/>
      </c>
      <c r="N23" s="268" t="str">
        <f t="shared" si="11"/>
        <v/>
      </c>
      <c r="O23" s="268" t="str">
        <f t="shared" si="12"/>
        <v/>
      </c>
      <c r="P23" s="268" t="str">
        <f t="shared" si="13"/>
        <v/>
      </c>
      <c r="Q23" s="268" t="str">
        <f t="shared" si="20"/>
        <v/>
      </c>
      <c r="R23" s="268" t="str">
        <f t="shared" si="14"/>
        <v/>
      </c>
      <c r="S23" s="268" t="str">
        <f t="shared" si="15"/>
        <v/>
      </c>
      <c r="T23" s="268" t="str">
        <f t="shared" si="16"/>
        <v/>
      </c>
      <c r="U23" s="268" t="str">
        <f t="shared" si="17"/>
        <v/>
      </c>
      <c r="V23" s="269" t="str">
        <f t="shared" si="18"/>
        <v/>
      </c>
      <c r="W23" s="55" cm="1">
        <f t="array" ref="W23">+IFERROR(_xlfn.IFS(F23="Totes",IF(I23="",0,ROUNDUP(I23*$I$11/$G$9,0))+IF(J23="",0,ROUNDUP(J23*$J$11/$G$9,0))+IF(K23="",0,ROUNDUP(K23*$K$11/$G$9,0))+IF(L23="",0,ROUNDUP(L23*$L$11/$G$9,0))+IF(M23="",0,ROUNDUP(M23*$M$11/$G$9,0))+IF(N23="",0,ROUNDUP(N23*$N$11/$G$9,0))+IF(O23="",0,ROUNDUP(O23*$O$11/$G$9,0))+IF(P23="",0,ROUNDUP(P23*$P$11/$G$9,0))+IF(Q23="",0,ROUNDUP(Q23*$Q$11/$G$9,0))+IF(R23="",0,ROUNDUP(R23*$R$11/$G$9,0))+IF(S23="",0,ROUNDUP(S23*$S$11/$G$9,0))+IF(T23="",0,ROUNDUP(T23*$T$11/$G$9,0))+IF(U23="",0,ROUNDUP(U23*$U$11/$G$9,0))+IF(V23="",0,ROUNDUP(V23*$V$11/$G$9,0)),F23="Mini Bins",IF(I23="",0,ROUNDUP(I23*$I$11/$J$6,0))+IF(J23="",0,ROUNDUP(J23*$J$11/$J$6,0))+IF(K23="",0,ROUNDUP(K23*$K$11/$J$6,0))+IF(L23="",0,ROUNDUP(L23*$L$11/$J$6,0))+IF(M23="",0,ROUNDUP(M23*$M$11/$J$6,0))+IF(N23="",0,ROUNDUP(N23*$N$11/$J$6,0))+IF(O23="",0,ROUNDUP(O23*$O$11/$J$6,0))+IF(P23="",0,ROUNDUP(P23*$P$11/$J$6,0))+IF(Q23="",0,ROUNDUP(Q23*$Q$11/$J$6,0))+IF(R23="",0,ROUNDUP(R23*$R$11/$J$6,0))+IF(S23="",0,ROUNDUP(S23*$S$11/$J$6,0))+IF(T23="",0,ROUNDUP(T23*$T$11/$J$6,0))+IF(U23="",0,ROUNDUP(U23*$U$11/$J$6,0))+IF(V23="",0,ROUNDUP(V23*$V$11/$J$6,0))),0)</f>
        <v>0</v>
      </c>
      <c r="X23" s="254">
        <f t="shared" si="19"/>
        <v>0</v>
      </c>
      <c r="Z23" s="245" t="s">
        <v>94</v>
      </c>
      <c r="AA23" s="247">
        <v>4</v>
      </c>
      <c r="AB23" s="254" cm="1">
        <f t="array" aca="1" ref="AB23" ca="1">+SUM(IF($B$72:$B$217=Z23,$C$72:$AR$217))</f>
        <v>0</v>
      </c>
      <c r="AC23" s="211">
        <f t="shared" ca="1" si="4"/>
        <v>0</v>
      </c>
      <c r="AF23" s="14"/>
      <c r="AG23" s="204"/>
      <c r="AH23" s="228"/>
      <c r="AI23" s="196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6"/>
      <c r="AU23" s="229"/>
      <c r="AW23" s="13">
        <f>+IF(AX23="","",IF(AX23&gt;AX22,AW22,IF(AW22&lt;$D$69,AW22+1,IF(COUNT(AW$4:AW22)&lt;$B$69*$E$54,1,""))))</f>
        <v>2</v>
      </c>
      <c r="AX23" s="13">
        <f>+IF(AX22&lt;$B$69,AX22+1,IF(COUNT(AX$4:AX22)&lt;$B$69*$D$69,1,""))</f>
        <v>7</v>
      </c>
      <c r="AY23" s="189" t="str">
        <f t="shared" ca="1" si="1"/>
        <v>PARRAO</v>
      </c>
      <c r="AZ23" s="36">
        <f ca="1">+IF(AZ$3="","",IF($AY23="","",IFERROR(INDEX('Data Consolidada'!$E$7:$E$891,MATCH(CONCATENATE(AZ$3,"-",$CP23,"-",$AY23),'Data Consolidada'!$K$7:$K$891,0)),MAX('Data Consolidada'!$E$7:$E$3000))))</f>
        <v>11000000</v>
      </c>
      <c r="BA23" s="32">
        <f ca="1">+IF(BA$3="","",IF($AY23="","",IFERROR(INDEX('Data Consolidada'!$E$7:$E$891,MATCH(CONCATENATE(BA$3,"-",$CP23,"-",$AY23),'Data Consolidada'!$K$7:$K$891,0)),MAX('Data Consolidada'!$E$7:$E$3000))))</f>
        <v>450000</v>
      </c>
      <c r="BB23" s="32" t="str">
        <f>+IF(BB$3="","",IF($AY23="","",IFERROR(INDEX('Data Consolidada'!$E$7:$E$891,MATCH(CONCATENATE(BB$3,"-",$CP23,"-",$AY23),'Data Consolidada'!$K$7:$K$891,0)),MAX('Data Consolidada'!$E$7:$E$3000))))</f>
        <v/>
      </c>
      <c r="BC23" s="32" t="str">
        <f>+IF(BC$3="","",IF($AY23="","",IFERROR(INDEX('Data Consolidada'!$E$7:$E$891,MATCH(CONCATENATE(BC$3,"-",$CP23,"-",$AY23),'Data Consolidada'!$K$7:$K$891,0)),MAX('Data Consolidada'!$E$7:$E$3000))))</f>
        <v/>
      </c>
      <c r="BD23" s="32" t="str">
        <f>+IF(BD$3="","",IF($AY23="","",IFERROR(INDEX('Data Consolidada'!$E$7:$E$891,MATCH(CONCATENATE(BD$3,"-",$CP23,"-",$AY23),'Data Consolidada'!$K$7:$K$891,0)),MAX('Data Consolidada'!$E$7:$E$3000))))</f>
        <v/>
      </c>
      <c r="BE23" s="32" t="str">
        <f>+IF(BE$3="","",IF($AY23="","",IFERROR(INDEX('Data Consolidada'!$E$7:$E$891,MATCH(CONCATENATE(BE$3,"-",$CP23,"-",$AY23),'Data Consolidada'!$K$7:$K$891,0)),MAX('Data Consolidada'!$E$7:$E$3000))))</f>
        <v/>
      </c>
      <c r="BF23" s="32" t="str">
        <f>+IF(BF$3="","",IF($AY23="","",IFERROR(INDEX('Data Consolidada'!$E$7:$E$891,MATCH(CONCATENATE(BF$3,"-",$CP23,"-",$AY23),'Data Consolidada'!$K$7:$K$891,0)),MAX('Data Consolidada'!$E$7:$E$3000))))</f>
        <v/>
      </c>
      <c r="BG23" s="32" t="str">
        <f>+IF(BG$3="","",IF($AY23="","",IFERROR(INDEX('Data Consolidada'!$E$7:$E$891,MATCH(CONCATENATE(BG$3,"-",$CP23,"-",$AY23),'Data Consolidada'!$K$7:$K$891,0)),MAX('Data Consolidada'!$E$7:$E$3000))))</f>
        <v/>
      </c>
      <c r="BH23" s="32" t="str">
        <f>+IF(BH$3="","",IF($AY23="","",IFERROR(INDEX('Data Consolidada'!$E$7:$E$891,MATCH(CONCATENATE(BH$3,"-",$CP23,"-",$AY23),'Data Consolidada'!$K$7:$K$891,0)),MAX('Data Consolidada'!$E$7:$E$3000))))</f>
        <v/>
      </c>
      <c r="BI23" s="32" t="str">
        <f>+IF(BI$3="","",IF($AY23="","",IFERROR(INDEX('Data Consolidada'!$E$7:$E$891,MATCH(CONCATENATE(BI$3,"-",$CP23,"-",$AY23),'Data Consolidada'!$K$7:$K$891,0)),MAX('Data Consolidada'!$E$7:$E$3000))))</f>
        <v/>
      </c>
      <c r="BJ23" s="32" t="str">
        <f>+IF(BJ$3="","",IF($AY23="","",IFERROR(INDEX('Data Consolidada'!$E$7:$E$891,MATCH(CONCATENATE(BJ$3,"-",$CP23,"-",$AY23),'Data Consolidada'!$K$7:$K$891,0)),MAX('Data Consolidada'!$E$7:$E$3000))))</f>
        <v/>
      </c>
      <c r="BK23" s="32" t="str">
        <f>+IF(BK$3="","",IF($AY23="","",IFERROR(INDEX('Data Consolidada'!$E$7:$E$891,MATCH(CONCATENATE(BK$3,"-",$CP23,"-",$AY23),'Data Consolidada'!$K$7:$K$891,0)),MAX('Data Consolidada'!$E$7:$E$3000))))</f>
        <v/>
      </c>
      <c r="BL23" s="32" t="str">
        <f>+IF(BL$3="","",IF($AY23="","",IFERROR(INDEX('Data Consolidada'!$E$7:$E$891,MATCH(CONCATENATE(BL$3,"-",$CP23,"-",$AY23),'Data Consolidada'!$K$7:$K$891,0)),MAX('Data Consolidada'!$E$7:$E$3000))))</f>
        <v/>
      </c>
      <c r="BM23" s="32" t="str">
        <f>+IF(BM$3="","",IF($AY23="","",IFERROR(INDEX('Data Consolidada'!$E$7:$E$891,MATCH(CONCATENATE(BM$3,"-",$CP23,"-",$AY23),'Data Consolidada'!$K$7:$K$891,0)),MAX('Data Consolidada'!$E$7:$E$3000))))</f>
        <v/>
      </c>
      <c r="BN23" s="32" t="str">
        <f>+IF(BN$3="","",IF($AY23="","",IFERROR(INDEX('Data Consolidada'!$E$7:$E$891,MATCH(CONCATENATE(BN$3,"-",$CP23,"-",$AY23),'Data Consolidada'!$K$7:$K$891,0)),MAX('Data Consolidada'!$E$7:$E$3000))))</f>
        <v/>
      </c>
      <c r="BO23" s="32" t="str">
        <f>+IF(BO$3="","",IF($AY23="","",IFERROR(INDEX('Data Consolidada'!$E$7:$E$891,MATCH(CONCATENATE(BO$3,"-",$CP23,"-",$AY23),'Data Consolidada'!$K$7:$K$891,0)),MAX('Data Consolidada'!$E$7:$E$3000))))</f>
        <v/>
      </c>
      <c r="BP23" s="32" t="str">
        <f>+IF(BP$3="","",IF($AY23="","",IFERROR(INDEX('Data Consolidada'!$E$7:$E$891,MATCH(CONCATENATE(BP$3,"-",$CP23,"-",$AY23),'Data Consolidada'!$K$7:$K$891,0)),MAX('Data Consolidada'!$E$7:$E$3000))))</f>
        <v/>
      </c>
      <c r="BQ23" s="32" t="str">
        <f>+IF(BQ$3="","",IF($AY23="","",IFERROR(INDEX('Data Consolidada'!$E$7:$E$891,MATCH(CONCATENATE(BQ$3,"-",$CP23,"-",$AY23),'Data Consolidada'!$K$7:$K$891,0)),MAX('Data Consolidada'!$E$7:$E$3000))))</f>
        <v/>
      </c>
      <c r="BR23" s="32" t="str">
        <f>+IF(BR$3="","",IF($AY23="","",IFERROR(INDEX('Data Consolidada'!$E$7:$E$891,MATCH(CONCATENATE(BR$3,"-",$CP23,"-",$AY23),'Data Consolidada'!$K$7:$K$891,0)),MAX('Data Consolidada'!$E$7:$E$3000))))</f>
        <v/>
      </c>
      <c r="BS23" s="32" t="str">
        <f>+IF(BS$3="","",IF($AY23="","",IFERROR(INDEX('Data Consolidada'!$E$7:$E$891,MATCH(CONCATENATE(BS$3,"-",$CP23,"-",$AY23),'Data Consolidada'!$K$7:$K$891,0)),MAX('Data Consolidada'!$E$7:$E$3000))))</f>
        <v/>
      </c>
      <c r="BT23" s="32" t="str">
        <f>+IF(BT$3="","",IF($AY23="","",IFERROR(INDEX('Data Consolidada'!$E$7:$E$891,MATCH(CONCATENATE(BT$3,"-",$CP23,"-",$AY23),'Data Consolidada'!$K$7:$K$891,0)),MAX('Data Consolidada'!$E$7:$E$3000))))</f>
        <v/>
      </c>
      <c r="BU23" s="32" t="str">
        <f>+IF(BU$3="","",IF($AY23="","",IFERROR(INDEX('Data Consolidada'!$E$7:$E$891,MATCH(CONCATENATE(BU$3,"-",$CP23,"-",$AY23),'Data Consolidada'!$K$7:$K$891,0)),MAX('Data Consolidada'!$E$7:$E$3000))))</f>
        <v/>
      </c>
      <c r="BV23" s="32" t="str">
        <f>+IF(BV$3="","",IF($AY23="","",IFERROR(INDEX('Data Consolidada'!$E$7:$E$891,MATCH(CONCATENATE(BV$3,"-",$CP23,"-",$AY23),'Data Consolidada'!$K$7:$K$891,0)),MAX('Data Consolidada'!$E$7:$E$3000))))</f>
        <v/>
      </c>
      <c r="BW23" s="32" t="str">
        <f>+IF(BW$3="","",IF($AY23="","",IFERROR(INDEX('Data Consolidada'!$E$7:$E$891,MATCH(CONCATENATE(BW$3,"-",$CP23,"-",$AY23),'Data Consolidada'!$K$7:$K$891,0)),MAX('Data Consolidada'!$E$7:$E$3000))))</f>
        <v/>
      </c>
      <c r="BX23" s="32" t="str">
        <f>+IF(BX$3="","",IF($AY23="","",IFERROR(INDEX('Data Consolidada'!$E$7:$E$891,MATCH(CONCATENATE(BX$3,"-",$CP23,"-",$AY23),'Data Consolidada'!$K$7:$K$891,0)),MAX('Data Consolidada'!$E$7:$E$3000))))</f>
        <v/>
      </c>
      <c r="BY23" s="32" t="str">
        <f>+IF(BY$3="","",IF($AY23="","",IFERROR(INDEX('Data Consolidada'!$E$7:$E$891,MATCH(CONCATENATE(BY$3,"-",$CP23,"-",$AY23),'Data Consolidada'!$K$7:$K$891,0)),MAX('Data Consolidada'!$E$7:$E$3000))))</f>
        <v/>
      </c>
      <c r="BZ23" s="32" t="str">
        <f>+IF(BZ$3="","",IF($AY23="","",IFERROR(INDEX('Data Consolidada'!$E$7:$E$891,MATCH(CONCATENATE(BZ$3,"-",$CP23,"-",$AY23),'Data Consolidada'!$K$7:$K$891,0)),MAX('Data Consolidada'!$E$7:$E$3000))))</f>
        <v/>
      </c>
      <c r="CA23" s="32" t="str">
        <f>+IF(CA$3="","",IF($AY23="","",IFERROR(INDEX('Data Consolidada'!$E$7:$E$891,MATCH(CONCATENATE(CA$3,"-",$CP23,"-",$AY23),'Data Consolidada'!$K$7:$K$891,0)),MAX('Data Consolidada'!$E$7:$E$3000))))</f>
        <v/>
      </c>
      <c r="CB23" s="32" t="str">
        <f>+IF(CB$3="","",IF($AY23="","",IFERROR(INDEX('Data Consolidada'!$E$7:$E$891,MATCH(CONCATENATE(CB$3,"-",$CP23,"-",$AY23),'Data Consolidada'!$K$7:$K$891,0)),MAX('Data Consolidada'!$E$7:$E$3000))))</f>
        <v/>
      </c>
      <c r="CC23" s="32" t="str">
        <f>+IF(CC$3="","",IF($AY23="","",IFERROR(INDEX('Data Consolidada'!$E$7:$E$891,MATCH(CONCATENATE(CC$3,"-",$CP23,"-",$AY23),'Data Consolidada'!$K$7:$K$891,0)),MAX('Data Consolidada'!$E$7:$E$3000))))</f>
        <v/>
      </c>
      <c r="CD23" s="32" t="str">
        <f>+IF(CD$3="","",IF($AY23="","",IFERROR(INDEX('Data Consolidada'!$E$7:$E$891,MATCH(CONCATENATE(CD$3,"-",$CP23,"-",$AY23),'Data Consolidada'!$K$7:$K$891,0)),MAX('Data Consolidada'!$E$7:$E$3000))))</f>
        <v/>
      </c>
      <c r="CE23" s="32" t="str">
        <f>+IF(CE$3="","",IF($AY23="","",IFERROR(INDEX('Data Consolidada'!$E$7:$E$891,MATCH(CONCATENATE(CE$3,"-",$CP23,"-",$AY23),'Data Consolidada'!$K$7:$K$891,0)),MAX('Data Consolidada'!$E$7:$E$3000))))</f>
        <v/>
      </c>
      <c r="CF23" s="32" t="str">
        <f>+IF(CF$3="","",IF($AY23="","",IFERROR(INDEX('Data Consolidada'!$E$7:$E$891,MATCH(CONCATENATE(CF$3,"-",$CP23,"-",$AY23),'Data Consolidada'!$K$7:$K$891,0)),MAX('Data Consolidada'!$E$7:$E$3000))))</f>
        <v/>
      </c>
      <c r="CG23" s="32" t="str">
        <f>+IF(CG$3="","",IF($AY23="","",IFERROR(INDEX('Data Consolidada'!$E$7:$E$891,MATCH(CONCATENATE(CG$3,"-",$CP23,"-",$AY23),'Data Consolidada'!$K$7:$K$891,0)),MAX('Data Consolidada'!$E$7:$E$3000))))</f>
        <v/>
      </c>
      <c r="CH23" s="32" t="str">
        <f>+IF(CH$3="","",IF($AY23="","",IFERROR(INDEX('Data Consolidada'!$E$7:$E$891,MATCH(CONCATENATE(CH$3,"-",$CP23,"-",$AY23),'Data Consolidada'!$K$7:$K$891,0)),MAX('Data Consolidada'!$E$7:$E$3000))))</f>
        <v/>
      </c>
      <c r="CI23" s="32" t="str">
        <f>+IF(CI$3="","",IF($AY23="","",IFERROR(INDEX('Data Consolidada'!$E$7:$E$891,MATCH(CONCATENATE(CI$3,"-",$CP23,"-",$AY23),'Data Consolidada'!$K$7:$K$891,0)),MAX('Data Consolidada'!$E$7:$E$3000))))</f>
        <v/>
      </c>
      <c r="CJ23" s="32" t="str">
        <f>+IF(CJ$3="","",IF($AY23="","",IFERROR(INDEX('Data Consolidada'!$E$7:$E$891,MATCH(CONCATENATE(CJ$3,"-",$CP23,"-",$AY23),'Data Consolidada'!$K$7:$K$891,0)),MAX('Data Consolidada'!$E$7:$E$3000))))</f>
        <v/>
      </c>
      <c r="CK23" s="32" t="str">
        <f>+IF(CK$3="","",IF($AY23="","",IFERROR(INDEX('Data Consolidada'!$E$7:$E$891,MATCH(CONCATENATE(CK$3,"-",$CP23,"-",$AY23),'Data Consolidada'!$K$7:$K$891,0)),MAX('Data Consolidada'!$E$7:$E$3000))))</f>
        <v/>
      </c>
      <c r="CL23" s="32" t="str">
        <f>+IF(CL$3="","",IF($AY23="","",IFERROR(INDEX('Data Consolidada'!$E$7:$E$891,MATCH(CONCATENATE(CL$3,"-",$CP23,"-",$AY23),'Data Consolidada'!$K$7:$K$891,0)),MAX('Data Consolidada'!$E$7:$E$3000))))</f>
        <v/>
      </c>
      <c r="CM23" s="32" t="str">
        <f>+IF(CM$3="","",IF($AY23="","",IFERROR(INDEX('Data Consolidada'!$E$7:$E$891,MATCH(CONCATENATE(CM$3,"-",$CP23,"-",$AY23),'Data Consolidada'!$K$7:$K$891,0)),MAX('Data Consolidada'!$E$7:$E$3000))))</f>
        <v/>
      </c>
      <c r="CN23" s="32" t="str">
        <f>+IF(CN$3="","",IF($AY23="","",IFERROR(INDEX('Data Consolidada'!$E$7:$E$891,MATCH(CONCATENATE(CN$3,"-",$CP23,"-",$AY23),'Data Consolidada'!$K$7:$K$891,0)),MAX('Data Consolidada'!$E$7:$E$3000))))</f>
        <v/>
      </c>
      <c r="CO23" s="37" t="str">
        <f>+IF(CO$3="","",IF($AY23="","",IFERROR(INDEX('Data Consolidada'!$E$7:$E$891,MATCH(CONCATENATE(CO$3,"-",$CP23,"-",$AY23),'Data Consolidada'!$K$7:$K$891,0)),MAX('Data Consolidada'!$E$7:$E$3000))))</f>
        <v/>
      </c>
      <c r="CP23" s="224" t="str">
        <f t="shared" ca="1" si="2"/>
        <v>MOSTAZAL</v>
      </c>
      <c r="CQ23" s="84" t="str">
        <f t="shared" ca="1" si="3"/>
        <v>PARRAOMOSTAZAL</v>
      </c>
    </row>
    <row r="24" spans="2:95" ht="15" customHeight="1" x14ac:dyDescent="0.35">
      <c r="B24" s="46"/>
      <c r="C24" s="5"/>
      <c r="D24" s="15"/>
      <c r="F24" s="257" t="s">
        <v>157</v>
      </c>
      <c r="G24" s="14"/>
      <c r="H24" s="204"/>
      <c r="I24" s="267" t="str">
        <f t="shared" si="6"/>
        <v/>
      </c>
      <c r="J24" s="268" t="str">
        <f t="shared" si="7"/>
        <v/>
      </c>
      <c r="K24" s="268" t="str">
        <f t="shared" si="8"/>
        <v/>
      </c>
      <c r="L24" s="268" t="str">
        <f t="shared" si="9"/>
        <v/>
      </c>
      <c r="M24" s="268" t="str">
        <f t="shared" si="10"/>
        <v/>
      </c>
      <c r="N24" s="268" t="str">
        <f t="shared" si="11"/>
        <v/>
      </c>
      <c r="O24" s="268" t="str">
        <f t="shared" si="12"/>
        <v/>
      </c>
      <c r="P24" s="268" t="str">
        <f t="shared" si="13"/>
        <v/>
      </c>
      <c r="Q24" s="268" t="str">
        <f t="shared" si="20"/>
        <v/>
      </c>
      <c r="R24" s="268" t="str">
        <f t="shared" si="14"/>
        <v/>
      </c>
      <c r="S24" s="268" t="str">
        <f t="shared" si="15"/>
        <v/>
      </c>
      <c r="T24" s="268" t="str">
        <f t="shared" si="16"/>
        <v/>
      </c>
      <c r="U24" s="268" t="str">
        <f t="shared" si="17"/>
        <v/>
      </c>
      <c r="V24" s="269" t="str">
        <f t="shared" si="18"/>
        <v/>
      </c>
      <c r="W24" s="55" cm="1">
        <f t="array" ref="W24">+IFERROR(_xlfn.IFS(F24="Totes",IF(I24="",0,ROUNDUP(I24*$I$11/$G$9,0))+IF(J24="",0,ROUNDUP(J24*$J$11/$G$9,0))+IF(K24="",0,ROUNDUP(K24*$K$11/$G$9,0))+IF(L24="",0,ROUNDUP(L24*$L$11/$G$9,0))+IF(M24="",0,ROUNDUP(M24*$M$11/$G$9,0))+IF(N24="",0,ROUNDUP(N24*$N$11/$G$9,0))+IF(O24="",0,ROUNDUP(O24*$O$11/$G$9,0))+IF(P24="",0,ROUNDUP(P24*$P$11/$G$9,0))+IF(Q24="",0,ROUNDUP(Q24*$Q$11/$G$9,0))+IF(R24="",0,ROUNDUP(R24*$R$11/$G$9,0))+IF(S24="",0,ROUNDUP(S24*$S$11/$G$9,0))+IF(T24="",0,ROUNDUP(T24*$T$11/$G$9,0))+IF(U24="",0,ROUNDUP(U24*$U$11/$G$9,0))+IF(V24="",0,ROUNDUP(V24*$V$11/$G$9,0)),F24="Mini Bins",IF(I24="",0,ROUNDUP(I24*$I$11/$J$6,0))+IF(J24="",0,ROUNDUP(J24*$J$11/$J$6,0))+IF(K24="",0,ROUNDUP(K24*$K$11/$J$6,0))+IF(L24="",0,ROUNDUP(L24*$L$11/$J$6,0))+IF(M24="",0,ROUNDUP(M24*$M$11/$J$6,0))+IF(N24="",0,ROUNDUP(N24*$N$11/$J$6,0))+IF(O24="",0,ROUNDUP(O24*$O$11/$J$6,0))+IF(P24="",0,ROUNDUP(P24*$P$11/$J$6,0))+IF(Q24="",0,ROUNDUP(Q24*$Q$11/$J$6,0))+IF(R24="",0,ROUNDUP(R24*$R$11/$J$6,0))+IF(S24="",0,ROUNDUP(S24*$S$11/$J$6,0))+IF(T24="",0,ROUNDUP(T24*$T$11/$J$6,0))+IF(U24="",0,ROUNDUP(U24*$U$11/$J$6,0))+IF(V24="",0,ROUNDUP(V24*$V$11/$J$6,0))),0)</f>
        <v>0</v>
      </c>
      <c r="X24" s="254">
        <f t="shared" si="19"/>
        <v>0</v>
      </c>
      <c r="Z24" s="245" t="s">
        <v>90</v>
      </c>
      <c r="AA24" s="247">
        <v>4</v>
      </c>
      <c r="AB24" s="254" cm="1">
        <f t="array" aca="1" ref="AB24" ca="1">+SUM(IF($B$72:$B$217=Z24,$C$72:$AR$217))</f>
        <v>0</v>
      </c>
      <c r="AC24" s="211">
        <f t="shared" ca="1" si="4"/>
        <v>0</v>
      </c>
      <c r="AF24" s="14"/>
      <c r="AG24" s="204"/>
      <c r="AH24" s="228"/>
      <c r="AI24" s="196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6"/>
      <c r="AU24" s="229"/>
      <c r="AW24" s="13">
        <f>+IF(AX24="","",IF(AX24&gt;AX23,AW23,IF(AW23&lt;$D$69,AW23+1,IF(COUNT(AW$4:AW23)&lt;$B$69*$E$54,1,""))))</f>
        <v>2</v>
      </c>
      <c r="AX24" s="13">
        <f>+IF(AX23&lt;$B$69,AX23+1,IF(COUNT(AX$4:AX23)&lt;$B$69*$D$69,1,""))</f>
        <v>8</v>
      </c>
      <c r="AY24" s="189" t="str">
        <f t="shared" ca="1" si="1"/>
        <v>PAULA</v>
      </c>
      <c r="AZ24" s="36">
        <f ca="1">+IF(AZ$3="","",IF($AY24="","",IFERROR(INDEX('Data Consolidada'!$E$7:$E$891,MATCH(CONCATENATE(AZ$3,"-",$CP24,"-",$AY24),'Data Consolidada'!$K$7:$K$891,0)),MAX('Data Consolidada'!$E$7:$E$3000))))</f>
        <v>11000000</v>
      </c>
      <c r="BA24" s="32">
        <f ca="1">+IF(BA$3="","",IF($AY24="","",IFERROR(INDEX('Data Consolidada'!$E$7:$E$891,MATCH(CONCATENATE(BA$3,"-",$CP24,"-",$AY24),'Data Consolidada'!$K$7:$K$891,0)),MAX('Data Consolidada'!$E$7:$E$3000))))</f>
        <v>500000</v>
      </c>
      <c r="BB24" s="32" t="str">
        <f>+IF(BB$3="","",IF($AY24="","",IFERROR(INDEX('Data Consolidada'!$E$7:$E$891,MATCH(CONCATENATE(BB$3,"-",$CP24,"-",$AY24),'Data Consolidada'!$K$7:$K$891,0)),MAX('Data Consolidada'!$E$7:$E$3000))))</f>
        <v/>
      </c>
      <c r="BC24" s="32" t="str">
        <f>+IF(BC$3="","",IF($AY24="","",IFERROR(INDEX('Data Consolidada'!$E$7:$E$891,MATCH(CONCATENATE(BC$3,"-",$CP24,"-",$AY24),'Data Consolidada'!$K$7:$K$891,0)),MAX('Data Consolidada'!$E$7:$E$3000))))</f>
        <v/>
      </c>
      <c r="BD24" s="32" t="str">
        <f>+IF(BD$3="","",IF($AY24="","",IFERROR(INDEX('Data Consolidada'!$E$7:$E$891,MATCH(CONCATENATE(BD$3,"-",$CP24,"-",$AY24),'Data Consolidada'!$K$7:$K$891,0)),MAX('Data Consolidada'!$E$7:$E$3000))))</f>
        <v/>
      </c>
      <c r="BE24" s="32" t="str">
        <f>+IF(BE$3="","",IF($AY24="","",IFERROR(INDEX('Data Consolidada'!$E$7:$E$891,MATCH(CONCATENATE(BE$3,"-",$CP24,"-",$AY24),'Data Consolidada'!$K$7:$K$891,0)),MAX('Data Consolidada'!$E$7:$E$3000))))</f>
        <v/>
      </c>
      <c r="BF24" s="32" t="str">
        <f>+IF(BF$3="","",IF($AY24="","",IFERROR(INDEX('Data Consolidada'!$E$7:$E$891,MATCH(CONCATENATE(BF$3,"-",$CP24,"-",$AY24),'Data Consolidada'!$K$7:$K$891,0)),MAX('Data Consolidada'!$E$7:$E$3000))))</f>
        <v/>
      </c>
      <c r="BG24" s="32" t="str">
        <f>+IF(BG$3="","",IF($AY24="","",IFERROR(INDEX('Data Consolidada'!$E$7:$E$891,MATCH(CONCATENATE(BG$3,"-",$CP24,"-",$AY24),'Data Consolidada'!$K$7:$K$891,0)),MAX('Data Consolidada'!$E$7:$E$3000))))</f>
        <v/>
      </c>
      <c r="BH24" s="32" t="str">
        <f>+IF(BH$3="","",IF($AY24="","",IFERROR(INDEX('Data Consolidada'!$E$7:$E$891,MATCH(CONCATENATE(BH$3,"-",$CP24,"-",$AY24),'Data Consolidada'!$K$7:$K$891,0)),MAX('Data Consolidada'!$E$7:$E$3000))))</f>
        <v/>
      </c>
      <c r="BI24" s="32" t="str">
        <f>+IF(BI$3="","",IF($AY24="","",IFERROR(INDEX('Data Consolidada'!$E$7:$E$891,MATCH(CONCATENATE(BI$3,"-",$CP24,"-",$AY24),'Data Consolidada'!$K$7:$K$891,0)),MAX('Data Consolidada'!$E$7:$E$3000))))</f>
        <v/>
      </c>
      <c r="BJ24" s="32" t="str">
        <f>+IF(BJ$3="","",IF($AY24="","",IFERROR(INDEX('Data Consolidada'!$E$7:$E$891,MATCH(CONCATENATE(BJ$3,"-",$CP24,"-",$AY24),'Data Consolidada'!$K$7:$K$891,0)),MAX('Data Consolidada'!$E$7:$E$3000))))</f>
        <v/>
      </c>
      <c r="BK24" s="32" t="str">
        <f>+IF(BK$3="","",IF($AY24="","",IFERROR(INDEX('Data Consolidada'!$E$7:$E$891,MATCH(CONCATENATE(BK$3,"-",$CP24,"-",$AY24),'Data Consolidada'!$K$7:$K$891,0)),MAX('Data Consolidada'!$E$7:$E$3000))))</f>
        <v/>
      </c>
      <c r="BL24" s="32" t="str">
        <f>+IF(BL$3="","",IF($AY24="","",IFERROR(INDEX('Data Consolidada'!$E$7:$E$891,MATCH(CONCATENATE(BL$3,"-",$CP24,"-",$AY24),'Data Consolidada'!$K$7:$K$891,0)),MAX('Data Consolidada'!$E$7:$E$3000))))</f>
        <v/>
      </c>
      <c r="BM24" s="32" t="str">
        <f>+IF(BM$3="","",IF($AY24="","",IFERROR(INDEX('Data Consolidada'!$E$7:$E$891,MATCH(CONCATENATE(BM$3,"-",$CP24,"-",$AY24),'Data Consolidada'!$K$7:$K$891,0)),MAX('Data Consolidada'!$E$7:$E$3000))))</f>
        <v/>
      </c>
      <c r="BN24" s="32" t="str">
        <f>+IF(BN$3="","",IF($AY24="","",IFERROR(INDEX('Data Consolidada'!$E$7:$E$891,MATCH(CONCATENATE(BN$3,"-",$CP24,"-",$AY24),'Data Consolidada'!$K$7:$K$891,0)),MAX('Data Consolidada'!$E$7:$E$3000))))</f>
        <v/>
      </c>
      <c r="BO24" s="32" t="str">
        <f>+IF(BO$3="","",IF($AY24="","",IFERROR(INDEX('Data Consolidada'!$E$7:$E$891,MATCH(CONCATENATE(BO$3,"-",$CP24,"-",$AY24),'Data Consolidada'!$K$7:$K$891,0)),MAX('Data Consolidada'!$E$7:$E$3000))))</f>
        <v/>
      </c>
      <c r="BP24" s="32" t="str">
        <f>+IF(BP$3="","",IF($AY24="","",IFERROR(INDEX('Data Consolidada'!$E$7:$E$891,MATCH(CONCATENATE(BP$3,"-",$CP24,"-",$AY24),'Data Consolidada'!$K$7:$K$891,0)),MAX('Data Consolidada'!$E$7:$E$3000))))</f>
        <v/>
      </c>
      <c r="BQ24" s="32" t="str">
        <f>+IF(BQ$3="","",IF($AY24="","",IFERROR(INDEX('Data Consolidada'!$E$7:$E$891,MATCH(CONCATENATE(BQ$3,"-",$CP24,"-",$AY24),'Data Consolidada'!$K$7:$K$891,0)),MAX('Data Consolidada'!$E$7:$E$3000))))</f>
        <v/>
      </c>
      <c r="BR24" s="32" t="str">
        <f>+IF(BR$3="","",IF($AY24="","",IFERROR(INDEX('Data Consolidada'!$E$7:$E$891,MATCH(CONCATENATE(BR$3,"-",$CP24,"-",$AY24),'Data Consolidada'!$K$7:$K$891,0)),MAX('Data Consolidada'!$E$7:$E$3000))))</f>
        <v/>
      </c>
      <c r="BS24" s="32" t="str">
        <f>+IF(BS$3="","",IF($AY24="","",IFERROR(INDEX('Data Consolidada'!$E$7:$E$891,MATCH(CONCATENATE(BS$3,"-",$CP24,"-",$AY24),'Data Consolidada'!$K$7:$K$891,0)),MAX('Data Consolidada'!$E$7:$E$3000))))</f>
        <v/>
      </c>
      <c r="BT24" s="32" t="str">
        <f>+IF(BT$3="","",IF($AY24="","",IFERROR(INDEX('Data Consolidada'!$E$7:$E$891,MATCH(CONCATENATE(BT$3,"-",$CP24,"-",$AY24),'Data Consolidada'!$K$7:$K$891,0)),MAX('Data Consolidada'!$E$7:$E$3000))))</f>
        <v/>
      </c>
      <c r="BU24" s="32" t="str">
        <f>+IF(BU$3="","",IF($AY24="","",IFERROR(INDEX('Data Consolidada'!$E$7:$E$891,MATCH(CONCATENATE(BU$3,"-",$CP24,"-",$AY24),'Data Consolidada'!$K$7:$K$891,0)),MAX('Data Consolidada'!$E$7:$E$3000))))</f>
        <v/>
      </c>
      <c r="BV24" s="32" t="str">
        <f>+IF(BV$3="","",IF($AY24="","",IFERROR(INDEX('Data Consolidada'!$E$7:$E$891,MATCH(CONCATENATE(BV$3,"-",$CP24,"-",$AY24),'Data Consolidada'!$K$7:$K$891,0)),MAX('Data Consolidada'!$E$7:$E$3000))))</f>
        <v/>
      </c>
      <c r="BW24" s="32" t="str">
        <f>+IF(BW$3="","",IF($AY24="","",IFERROR(INDEX('Data Consolidada'!$E$7:$E$891,MATCH(CONCATENATE(BW$3,"-",$CP24,"-",$AY24),'Data Consolidada'!$K$7:$K$891,0)),MAX('Data Consolidada'!$E$7:$E$3000))))</f>
        <v/>
      </c>
      <c r="BX24" s="32" t="str">
        <f>+IF(BX$3="","",IF($AY24="","",IFERROR(INDEX('Data Consolidada'!$E$7:$E$891,MATCH(CONCATENATE(BX$3,"-",$CP24,"-",$AY24),'Data Consolidada'!$K$7:$K$891,0)),MAX('Data Consolidada'!$E$7:$E$3000))))</f>
        <v/>
      </c>
      <c r="BY24" s="32" t="str">
        <f>+IF(BY$3="","",IF($AY24="","",IFERROR(INDEX('Data Consolidada'!$E$7:$E$891,MATCH(CONCATENATE(BY$3,"-",$CP24,"-",$AY24),'Data Consolidada'!$K$7:$K$891,0)),MAX('Data Consolidada'!$E$7:$E$3000))))</f>
        <v/>
      </c>
      <c r="BZ24" s="32" t="str">
        <f>+IF(BZ$3="","",IF($AY24="","",IFERROR(INDEX('Data Consolidada'!$E$7:$E$891,MATCH(CONCATENATE(BZ$3,"-",$CP24,"-",$AY24),'Data Consolidada'!$K$7:$K$891,0)),MAX('Data Consolidada'!$E$7:$E$3000))))</f>
        <v/>
      </c>
      <c r="CA24" s="32" t="str">
        <f>+IF(CA$3="","",IF($AY24="","",IFERROR(INDEX('Data Consolidada'!$E$7:$E$891,MATCH(CONCATENATE(CA$3,"-",$CP24,"-",$AY24),'Data Consolidada'!$K$7:$K$891,0)),MAX('Data Consolidada'!$E$7:$E$3000))))</f>
        <v/>
      </c>
      <c r="CB24" s="32" t="str">
        <f>+IF(CB$3="","",IF($AY24="","",IFERROR(INDEX('Data Consolidada'!$E$7:$E$891,MATCH(CONCATENATE(CB$3,"-",$CP24,"-",$AY24),'Data Consolidada'!$K$7:$K$891,0)),MAX('Data Consolidada'!$E$7:$E$3000))))</f>
        <v/>
      </c>
      <c r="CC24" s="32" t="str">
        <f>+IF(CC$3="","",IF($AY24="","",IFERROR(INDEX('Data Consolidada'!$E$7:$E$891,MATCH(CONCATENATE(CC$3,"-",$CP24,"-",$AY24),'Data Consolidada'!$K$7:$K$891,0)),MAX('Data Consolidada'!$E$7:$E$3000))))</f>
        <v/>
      </c>
      <c r="CD24" s="32" t="str">
        <f>+IF(CD$3="","",IF($AY24="","",IFERROR(INDEX('Data Consolidada'!$E$7:$E$891,MATCH(CONCATENATE(CD$3,"-",$CP24,"-",$AY24),'Data Consolidada'!$K$7:$K$891,0)),MAX('Data Consolidada'!$E$7:$E$3000))))</f>
        <v/>
      </c>
      <c r="CE24" s="32" t="str">
        <f>+IF(CE$3="","",IF($AY24="","",IFERROR(INDEX('Data Consolidada'!$E$7:$E$891,MATCH(CONCATENATE(CE$3,"-",$CP24,"-",$AY24),'Data Consolidada'!$K$7:$K$891,0)),MAX('Data Consolidada'!$E$7:$E$3000))))</f>
        <v/>
      </c>
      <c r="CF24" s="32" t="str">
        <f>+IF(CF$3="","",IF($AY24="","",IFERROR(INDEX('Data Consolidada'!$E$7:$E$891,MATCH(CONCATENATE(CF$3,"-",$CP24,"-",$AY24),'Data Consolidada'!$K$7:$K$891,0)),MAX('Data Consolidada'!$E$7:$E$3000))))</f>
        <v/>
      </c>
      <c r="CG24" s="32" t="str">
        <f>+IF(CG$3="","",IF($AY24="","",IFERROR(INDEX('Data Consolidada'!$E$7:$E$891,MATCH(CONCATENATE(CG$3,"-",$CP24,"-",$AY24),'Data Consolidada'!$K$7:$K$891,0)),MAX('Data Consolidada'!$E$7:$E$3000))))</f>
        <v/>
      </c>
      <c r="CH24" s="32" t="str">
        <f>+IF(CH$3="","",IF($AY24="","",IFERROR(INDEX('Data Consolidada'!$E$7:$E$891,MATCH(CONCATENATE(CH$3,"-",$CP24,"-",$AY24),'Data Consolidada'!$K$7:$K$891,0)),MAX('Data Consolidada'!$E$7:$E$3000))))</f>
        <v/>
      </c>
      <c r="CI24" s="32" t="str">
        <f>+IF(CI$3="","",IF($AY24="","",IFERROR(INDEX('Data Consolidada'!$E$7:$E$891,MATCH(CONCATENATE(CI$3,"-",$CP24,"-",$AY24),'Data Consolidada'!$K$7:$K$891,0)),MAX('Data Consolidada'!$E$7:$E$3000))))</f>
        <v/>
      </c>
      <c r="CJ24" s="32" t="str">
        <f>+IF(CJ$3="","",IF($AY24="","",IFERROR(INDEX('Data Consolidada'!$E$7:$E$891,MATCH(CONCATENATE(CJ$3,"-",$CP24,"-",$AY24),'Data Consolidada'!$K$7:$K$891,0)),MAX('Data Consolidada'!$E$7:$E$3000))))</f>
        <v/>
      </c>
      <c r="CK24" s="32" t="str">
        <f>+IF(CK$3="","",IF($AY24="","",IFERROR(INDEX('Data Consolidada'!$E$7:$E$891,MATCH(CONCATENATE(CK$3,"-",$CP24,"-",$AY24),'Data Consolidada'!$K$7:$K$891,0)),MAX('Data Consolidada'!$E$7:$E$3000))))</f>
        <v/>
      </c>
      <c r="CL24" s="32" t="str">
        <f>+IF(CL$3="","",IF($AY24="","",IFERROR(INDEX('Data Consolidada'!$E$7:$E$891,MATCH(CONCATENATE(CL$3,"-",$CP24,"-",$AY24),'Data Consolidada'!$K$7:$K$891,0)),MAX('Data Consolidada'!$E$7:$E$3000))))</f>
        <v/>
      </c>
      <c r="CM24" s="32" t="str">
        <f>+IF(CM$3="","",IF($AY24="","",IFERROR(INDEX('Data Consolidada'!$E$7:$E$891,MATCH(CONCATENATE(CM$3,"-",$CP24,"-",$AY24),'Data Consolidada'!$K$7:$K$891,0)),MAX('Data Consolidada'!$E$7:$E$3000))))</f>
        <v/>
      </c>
      <c r="CN24" s="32" t="str">
        <f>+IF(CN$3="","",IF($AY24="","",IFERROR(INDEX('Data Consolidada'!$E$7:$E$891,MATCH(CONCATENATE(CN$3,"-",$CP24,"-",$AY24),'Data Consolidada'!$K$7:$K$891,0)),MAX('Data Consolidada'!$E$7:$E$3000))))</f>
        <v/>
      </c>
      <c r="CO24" s="37" t="str">
        <f>+IF(CO$3="","",IF($AY24="","",IFERROR(INDEX('Data Consolidada'!$E$7:$E$891,MATCH(CONCATENATE(CO$3,"-",$CP24,"-",$AY24),'Data Consolidada'!$K$7:$K$891,0)),MAX('Data Consolidada'!$E$7:$E$3000))))</f>
        <v/>
      </c>
      <c r="CP24" s="224" t="str">
        <f t="shared" ca="1" si="2"/>
        <v>MOSTAZAL</v>
      </c>
      <c r="CQ24" s="84" t="str">
        <f t="shared" ca="1" si="3"/>
        <v>PAULAMOSTAZAL</v>
      </c>
    </row>
    <row r="25" spans="2:95" ht="15" customHeight="1" x14ac:dyDescent="0.35">
      <c r="B25" s="46"/>
      <c r="C25" s="5"/>
      <c r="D25" s="15"/>
      <c r="F25" s="257" t="s">
        <v>157</v>
      </c>
      <c r="G25" s="14"/>
      <c r="H25" s="204"/>
      <c r="I25" s="267" t="str">
        <f t="shared" si="6"/>
        <v/>
      </c>
      <c r="J25" s="268" t="str">
        <f t="shared" si="7"/>
        <v/>
      </c>
      <c r="K25" s="268" t="str">
        <f t="shared" si="8"/>
        <v/>
      </c>
      <c r="L25" s="268" t="str">
        <f t="shared" si="9"/>
        <v/>
      </c>
      <c r="M25" s="268" t="str">
        <f t="shared" si="10"/>
        <v/>
      </c>
      <c r="N25" s="268" t="str">
        <f t="shared" si="11"/>
        <v/>
      </c>
      <c r="O25" s="268" t="str">
        <f t="shared" si="12"/>
        <v/>
      </c>
      <c r="P25" s="268" t="str">
        <f t="shared" si="13"/>
        <v/>
      </c>
      <c r="Q25" s="268" t="str">
        <f t="shared" si="20"/>
        <v/>
      </c>
      <c r="R25" s="268" t="str">
        <f t="shared" si="14"/>
        <v/>
      </c>
      <c r="S25" s="268" t="str">
        <f t="shared" si="15"/>
        <v/>
      </c>
      <c r="T25" s="268" t="str">
        <f t="shared" si="16"/>
        <v/>
      </c>
      <c r="U25" s="268" t="str">
        <f t="shared" si="17"/>
        <v/>
      </c>
      <c r="V25" s="269" t="str">
        <f t="shared" si="18"/>
        <v/>
      </c>
      <c r="W25" s="55" cm="1">
        <f t="array" ref="W25">+IFERROR(_xlfn.IFS(F25="Totes",IF(I25="",0,ROUNDUP(I25*$I$11/$G$9,0))+IF(J25="",0,ROUNDUP(J25*$J$11/$G$9,0))+IF(K25="",0,ROUNDUP(K25*$K$11/$G$9,0))+IF(L25="",0,ROUNDUP(L25*$L$11/$G$9,0))+IF(M25="",0,ROUNDUP(M25*$M$11/$G$9,0))+IF(N25="",0,ROUNDUP(N25*$N$11/$G$9,0))+IF(O25="",0,ROUNDUP(O25*$O$11/$G$9,0))+IF(P25="",0,ROUNDUP(P25*$P$11/$G$9,0))+IF(Q25="",0,ROUNDUP(Q25*$Q$11/$G$9,0))+IF(R25="",0,ROUNDUP(R25*$R$11/$G$9,0))+IF(S25="",0,ROUNDUP(S25*$S$11/$G$9,0))+IF(T25="",0,ROUNDUP(T25*$T$11/$G$9,0))+IF(U25="",0,ROUNDUP(U25*$U$11/$G$9,0))+IF(V25="",0,ROUNDUP(V25*$V$11/$G$9,0)),F25="Mini Bins",IF(I25="",0,ROUNDUP(I25*$I$11/$J$6,0))+IF(J25="",0,ROUNDUP(J25*$J$11/$J$6,0))+IF(K25="",0,ROUNDUP(K25*$K$11/$J$6,0))+IF(L25="",0,ROUNDUP(L25*$L$11/$J$6,0))+IF(M25="",0,ROUNDUP(M25*$M$11/$J$6,0))+IF(N25="",0,ROUNDUP(N25*$N$11/$J$6,0))+IF(O25="",0,ROUNDUP(O25*$O$11/$J$6,0))+IF(P25="",0,ROUNDUP(P25*$P$11/$J$6,0))+IF(Q25="",0,ROUNDUP(Q25*$Q$11/$J$6,0))+IF(R25="",0,ROUNDUP(R25*$R$11/$J$6,0))+IF(S25="",0,ROUNDUP(S25*$S$11/$J$6,0))+IF(T25="",0,ROUNDUP(T25*$T$11/$J$6,0))+IF(U25="",0,ROUNDUP(U25*$U$11/$J$6,0))+IF(V25="",0,ROUNDUP(V25*$V$11/$J$6,0))),0)</f>
        <v>0</v>
      </c>
      <c r="X25" s="254">
        <f t="shared" si="19"/>
        <v>0</v>
      </c>
      <c r="Z25" s="245" t="s">
        <v>39</v>
      </c>
      <c r="AA25" s="247">
        <v>4</v>
      </c>
      <c r="AB25" s="254" cm="1">
        <f t="array" aca="1" ref="AB25" ca="1">+SUM(IF($B$72:$B$217=Z25,$C$72:$AR$217))</f>
        <v>0</v>
      </c>
      <c r="AC25" s="211">
        <f t="shared" ca="1" si="4"/>
        <v>0</v>
      </c>
      <c r="AF25" s="14"/>
      <c r="AG25" s="204"/>
      <c r="AH25" s="228"/>
      <c r="AI25" s="196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6"/>
      <c r="AU25" s="229"/>
      <c r="AW25" s="13">
        <f>+IF(AX25="","",IF(AX25&gt;AX24,AW24,IF(AW24&lt;$D$69,AW24+1,IF(COUNT(AW$4:AW24)&lt;$B$69*$E$54,1,""))))</f>
        <v>2</v>
      </c>
      <c r="AX25" s="13">
        <f>+IF(AX24&lt;$B$69,AX24+1,IF(COUNT(AX$4:AX24)&lt;$B$69*$D$69,1,""))</f>
        <v>9</v>
      </c>
      <c r="AY25" s="189" t="str">
        <f t="shared" ca="1" si="1"/>
        <v>TH TRANSPORTES</v>
      </c>
      <c r="AZ25" s="36">
        <f ca="1">+IF(AZ$3="","",IF($AY25="","",IFERROR(INDEX('Data Consolidada'!$E$7:$E$891,MATCH(CONCATENATE(AZ$3,"-",$CP25,"-",$AY25),'Data Consolidada'!$K$7:$K$891,0)),MAX('Data Consolidada'!$E$7:$E$3000))))</f>
        <v>11000000</v>
      </c>
      <c r="BA25" s="32">
        <f ca="1">+IF(BA$3="","",IF($AY25="","",IFERROR(INDEX('Data Consolidada'!$E$7:$E$891,MATCH(CONCATENATE(BA$3,"-",$CP25,"-",$AY25),'Data Consolidada'!$K$7:$K$891,0)),MAX('Data Consolidada'!$E$7:$E$3000))))</f>
        <v>650000</v>
      </c>
      <c r="BB25" s="32" t="str">
        <f>+IF(BB$3="","",IF($AY25="","",IFERROR(INDEX('Data Consolidada'!$E$7:$E$891,MATCH(CONCATENATE(BB$3,"-",$CP25,"-",$AY25),'Data Consolidada'!$K$7:$K$891,0)),MAX('Data Consolidada'!$E$7:$E$3000))))</f>
        <v/>
      </c>
      <c r="BC25" s="32" t="str">
        <f>+IF(BC$3="","",IF($AY25="","",IFERROR(INDEX('Data Consolidada'!$E$7:$E$891,MATCH(CONCATENATE(BC$3,"-",$CP25,"-",$AY25),'Data Consolidada'!$K$7:$K$891,0)),MAX('Data Consolidada'!$E$7:$E$3000))))</f>
        <v/>
      </c>
      <c r="BD25" s="32" t="str">
        <f>+IF(BD$3="","",IF($AY25="","",IFERROR(INDEX('Data Consolidada'!$E$7:$E$891,MATCH(CONCATENATE(BD$3,"-",$CP25,"-",$AY25),'Data Consolidada'!$K$7:$K$891,0)),MAX('Data Consolidada'!$E$7:$E$3000))))</f>
        <v/>
      </c>
      <c r="BE25" s="32" t="str">
        <f>+IF(BE$3="","",IF($AY25="","",IFERROR(INDEX('Data Consolidada'!$E$7:$E$891,MATCH(CONCATENATE(BE$3,"-",$CP25,"-",$AY25),'Data Consolidada'!$K$7:$K$891,0)),MAX('Data Consolidada'!$E$7:$E$3000))))</f>
        <v/>
      </c>
      <c r="BF25" s="32" t="str">
        <f>+IF(BF$3="","",IF($AY25="","",IFERROR(INDEX('Data Consolidada'!$E$7:$E$891,MATCH(CONCATENATE(BF$3,"-",$CP25,"-",$AY25),'Data Consolidada'!$K$7:$K$891,0)),MAX('Data Consolidada'!$E$7:$E$3000))))</f>
        <v/>
      </c>
      <c r="BG25" s="32" t="str">
        <f>+IF(BG$3="","",IF($AY25="","",IFERROR(INDEX('Data Consolidada'!$E$7:$E$891,MATCH(CONCATENATE(BG$3,"-",$CP25,"-",$AY25),'Data Consolidada'!$K$7:$K$891,0)),MAX('Data Consolidada'!$E$7:$E$3000))))</f>
        <v/>
      </c>
      <c r="BH25" s="32" t="str">
        <f>+IF(BH$3="","",IF($AY25="","",IFERROR(INDEX('Data Consolidada'!$E$7:$E$891,MATCH(CONCATENATE(BH$3,"-",$CP25,"-",$AY25),'Data Consolidada'!$K$7:$K$891,0)),MAX('Data Consolidada'!$E$7:$E$3000))))</f>
        <v/>
      </c>
      <c r="BI25" s="32" t="str">
        <f>+IF(BI$3="","",IF($AY25="","",IFERROR(INDEX('Data Consolidada'!$E$7:$E$891,MATCH(CONCATENATE(BI$3,"-",$CP25,"-",$AY25),'Data Consolidada'!$K$7:$K$891,0)),MAX('Data Consolidada'!$E$7:$E$3000))))</f>
        <v/>
      </c>
      <c r="BJ25" s="32" t="str">
        <f>+IF(BJ$3="","",IF($AY25="","",IFERROR(INDEX('Data Consolidada'!$E$7:$E$891,MATCH(CONCATENATE(BJ$3,"-",$CP25,"-",$AY25),'Data Consolidada'!$K$7:$K$891,0)),MAX('Data Consolidada'!$E$7:$E$3000))))</f>
        <v/>
      </c>
      <c r="BK25" s="32" t="str">
        <f>+IF(BK$3="","",IF($AY25="","",IFERROR(INDEX('Data Consolidada'!$E$7:$E$891,MATCH(CONCATENATE(BK$3,"-",$CP25,"-",$AY25),'Data Consolidada'!$K$7:$K$891,0)),MAX('Data Consolidada'!$E$7:$E$3000))))</f>
        <v/>
      </c>
      <c r="BL25" s="32" t="str">
        <f>+IF(BL$3="","",IF($AY25="","",IFERROR(INDEX('Data Consolidada'!$E$7:$E$891,MATCH(CONCATENATE(BL$3,"-",$CP25,"-",$AY25),'Data Consolidada'!$K$7:$K$891,0)),MAX('Data Consolidada'!$E$7:$E$3000))))</f>
        <v/>
      </c>
      <c r="BM25" s="32" t="str">
        <f>+IF(BM$3="","",IF($AY25="","",IFERROR(INDEX('Data Consolidada'!$E$7:$E$891,MATCH(CONCATENATE(BM$3,"-",$CP25,"-",$AY25),'Data Consolidada'!$K$7:$K$891,0)),MAX('Data Consolidada'!$E$7:$E$3000))))</f>
        <v/>
      </c>
      <c r="BN25" s="32" t="str">
        <f>+IF(BN$3="","",IF($AY25="","",IFERROR(INDEX('Data Consolidada'!$E$7:$E$891,MATCH(CONCATENATE(BN$3,"-",$CP25,"-",$AY25),'Data Consolidada'!$K$7:$K$891,0)),MAX('Data Consolidada'!$E$7:$E$3000))))</f>
        <v/>
      </c>
      <c r="BO25" s="32" t="str">
        <f>+IF(BO$3="","",IF($AY25="","",IFERROR(INDEX('Data Consolidada'!$E$7:$E$891,MATCH(CONCATENATE(BO$3,"-",$CP25,"-",$AY25),'Data Consolidada'!$K$7:$K$891,0)),MAX('Data Consolidada'!$E$7:$E$3000))))</f>
        <v/>
      </c>
      <c r="BP25" s="32" t="str">
        <f>+IF(BP$3="","",IF($AY25="","",IFERROR(INDEX('Data Consolidada'!$E$7:$E$891,MATCH(CONCATENATE(BP$3,"-",$CP25,"-",$AY25),'Data Consolidada'!$K$7:$K$891,0)),MAX('Data Consolidada'!$E$7:$E$3000))))</f>
        <v/>
      </c>
      <c r="BQ25" s="32" t="str">
        <f>+IF(BQ$3="","",IF($AY25="","",IFERROR(INDEX('Data Consolidada'!$E$7:$E$891,MATCH(CONCATENATE(BQ$3,"-",$CP25,"-",$AY25),'Data Consolidada'!$K$7:$K$891,0)),MAX('Data Consolidada'!$E$7:$E$3000))))</f>
        <v/>
      </c>
      <c r="BR25" s="32" t="str">
        <f>+IF(BR$3="","",IF($AY25="","",IFERROR(INDEX('Data Consolidada'!$E$7:$E$891,MATCH(CONCATENATE(BR$3,"-",$CP25,"-",$AY25),'Data Consolidada'!$K$7:$K$891,0)),MAX('Data Consolidada'!$E$7:$E$3000))))</f>
        <v/>
      </c>
      <c r="BS25" s="32" t="str">
        <f>+IF(BS$3="","",IF($AY25="","",IFERROR(INDEX('Data Consolidada'!$E$7:$E$891,MATCH(CONCATENATE(BS$3,"-",$CP25,"-",$AY25),'Data Consolidada'!$K$7:$K$891,0)),MAX('Data Consolidada'!$E$7:$E$3000))))</f>
        <v/>
      </c>
      <c r="BT25" s="32" t="str">
        <f>+IF(BT$3="","",IF($AY25="","",IFERROR(INDEX('Data Consolidada'!$E$7:$E$891,MATCH(CONCATENATE(BT$3,"-",$CP25,"-",$AY25),'Data Consolidada'!$K$7:$K$891,0)),MAX('Data Consolidada'!$E$7:$E$3000))))</f>
        <v/>
      </c>
      <c r="BU25" s="32" t="str">
        <f>+IF(BU$3="","",IF($AY25="","",IFERROR(INDEX('Data Consolidada'!$E$7:$E$891,MATCH(CONCATENATE(BU$3,"-",$CP25,"-",$AY25),'Data Consolidada'!$K$7:$K$891,0)),MAX('Data Consolidada'!$E$7:$E$3000))))</f>
        <v/>
      </c>
      <c r="BV25" s="32" t="str">
        <f>+IF(BV$3="","",IF($AY25="","",IFERROR(INDEX('Data Consolidada'!$E$7:$E$891,MATCH(CONCATENATE(BV$3,"-",$CP25,"-",$AY25),'Data Consolidada'!$K$7:$K$891,0)),MAX('Data Consolidada'!$E$7:$E$3000))))</f>
        <v/>
      </c>
      <c r="BW25" s="32" t="str">
        <f>+IF(BW$3="","",IF($AY25="","",IFERROR(INDEX('Data Consolidada'!$E$7:$E$891,MATCH(CONCATENATE(BW$3,"-",$CP25,"-",$AY25),'Data Consolidada'!$K$7:$K$891,0)),MAX('Data Consolidada'!$E$7:$E$3000))))</f>
        <v/>
      </c>
      <c r="BX25" s="32" t="str">
        <f>+IF(BX$3="","",IF($AY25="","",IFERROR(INDEX('Data Consolidada'!$E$7:$E$891,MATCH(CONCATENATE(BX$3,"-",$CP25,"-",$AY25),'Data Consolidada'!$K$7:$K$891,0)),MAX('Data Consolidada'!$E$7:$E$3000))))</f>
        <v/>
      </c>
      <c r="BY25" s="32" t="str">
        <f>+IF(BY$3="","",IF($AY25="","",IFERROR(INDEX('Data Consolidada'!$E$7:$E$891,MATCH(CONCATENATE(BY$3,"-",$CP25,"-",$AY25),'Data Consolidada'!$K$7:$K$891,0)),MAX('Data Consolidada'!$E$7:$E$3000))))</f>
        <v/>
      </c>
      <c r="BZ25" s="32" t="str">
        <f>+IF(BZ$3="","",IF($AY25="","",IFERROR(INDEX('Data Consolidada'!$E$7:$E$891,MATCH(CONCATENATE(BZ$3,"-",$CP25,"-",$AY25),'Data Consolidada'!$K$7:$K$891,0)),MAX('Data Consolidada'!$E$7:$E$3000))))</f>
        <v/>
      </c>
      <c r="CA25" s="32" t="str">
        <f>+IF(CA$3="","",IF($AY25="","",IFERROR(INDEX('Data Consolidada'!$E$7:$E$891,MATCH(CONCATENATE(CA$3,"-",$CP25,"-",$AY25),'Data Consolidada'!$K$7:$K$891,0)),MAX('Data Consolidada'!$E$7:$E$3000))))</f>
        <v/>
      </c>
      <c r="CB25" s="32" t="str">
        <f>+IF(CB$3="","",IF($AY25="","",IFERROR(INDEX('Data Consolidada'!$E$7:$E$891,MATCH(CONCATENATE(CB$3,"-",$CP25,"-",$AY25),'Data Consolidada'!$K$7:$K$891,0)),MAX('Data Consolidada'!$E$7:$E$3000))))</f>
        <v/>
      </c>
      <c r="CC25" s="32" t="str">
        <f>+IF(CC$3="","",IF($AY25="","",IFERROR(INDEX('Data Consolidada'!$E$7:$E$891,MATCH(CONCATENATE(CC$3,"-",$CP25,"-",$AY25),'Data Consolidada'!$K$7:$K$891,0)),MAX('Data Consolidada'!$E$7:$E$3000))))</f>
        <v/>
      </c>
      <c r="CD25" s="32" t="str">
        <f>+IF(CD$3="","",IF($AY25="","",IFERROR(INDEX('Data Consolidada'!$E$7:$E$891,MATCH(CONCATENATE(CD$3,"-",$CP25,"-",$AY25),'Data Consolidada'!$K$7:$K$891,0)),MAX('Data Consolidada'!$E$7:$E$3000))))</f>
        <v/>
      </c>
      <c r="CE25" s="32" t="str">
        <f>+IF(CE$3="","",IF($AY25="","",IFERROR(INDEX('Data Consolidada'!$E$7:$E$891,MATCH(CONCATENATE(CE$3,"-",$CP25,"-",$AY25),'Data Consolidada'!$K$7:$K$891,0)),MAX('Data Consolidada'!$E$7:$E$3000))))</f>
        <v/>
      </c>
      <c r="CF25" s="32" t="str">
        <f>+IF(CF$3="","",IF($AY25="","",IFERROR(INDEX('Data Consolidada'!$E$7:$E$891,MATCH(CONCATENATE(CF$3,"-",$CP25,"-",$AY25),'Data Consolidada'!$K$7:$K$891,0)),MAX('Data Consolidada'!$E$7:$E$3000))))</f>
        <v/>
      </c>
      <c r="CG25" s="32" t="str">
        <f>+IF(CG$3="","",IF($AY25="","",IFERROR(INDEX('Data Consolidada'!$E$7:$E$891,MATCH(CONCATENATE(CG$3,"-",$CP25,"-",$AY25),'Data Consolidada'!$K$7:$K$891,0)),MAX('Data Consolidada'!$E$7:$E$3000))))</f>
        <v/>
      </c>
      <c r="CH25" s="32" t="str">
        <f>+IF(CH$3="","",IF($AY25="","",IFERROR(INDEX('Data Consolidada'!$E$7:$E$891,MATCH(CONCATENATE(CH$3,"-",$CP25,"-",$AY25),'Data Consolidada'!$K$7:$K$891,0)),MAX('Data Consolidada'!$E$7:$E$3000))))</f>
        <v/>
      </c>
      <c r="CI25" s="32" t="str">
        <f>+IF(CI$3="","",IF($AY25="","",IFERROR(INDEX('Data Consolidada'!$E$7:$E$891,MATCH(CONCATENATE(CI$3,"-",$CP25,"-",$AY25),'Data Consolidada'!$K$7:$K$891,0)),MAX('Data Consolidada'!$E$7:$E$3000))))</f>
        <v/>
      </c>
      <c r="CJ25" s="32" t="str">
        <f>+IF(CJ$3="","",IF($AY25="","",IFERROR(INDEX('Data Consolidada'!$E$7:$E$891,MATCH(CONCATENATE(CJ$3,"-",$CP25,"-",$AY25),'Data Consolidada'!$K$7:$K$891,0)),MAX('Data Consolidada'!$E$7:$E$3000))))</f>
        <v/>
      </c>
      <c r="CK25" s="32" t="str">
        <f>+IF(CK$3="","",IF($AY25="","",IFERROR(INDEX('Data Consolidada'!$E$7:$E$891,MATCH(CONCATENATE(CK$3,"-",$CP25,"-",$AY25),'Data Consolidada'!$K$7:$K$891,0)),MAX('Data Consolidada'!$E$7:$E$3000))))</f>
        <v/>
      </c>
      <c r="CL25" s="32" t="str">
        <f>+IF(CL$3="","",IF($AY25="","",IFERROR(INDEX('Data Consolidada'!$E$7:$E$891,MATCH(CONCATENATE(CL$3,"-",$CP25,"-",$AY25),'Data Consolidada'!$K$7:$K$891,0)),MAX('Data Consolidada'!$E$7:$E$3000))))</f>
        <v/>
      </c>
      <c r="CM25" s="32" t="str">
        <f>+IF(CM$3="","",IF($AY25="","",IFERROR(INDEX('Data Consolidada'!$E$7:$E$891,MATCH(CONCATENATE(CM$3,"-",$CP25,"-",$AY25),'Data Consolidada'!$K$7:$K$891,0)),MAX('Data Consolidada'!$E$7:$E$3000))))</f>
        <v/>
      </c>
      <c r="CN25" s="32" t="str">
        <f>+IF(CN$3="","",IF($AY25="","",IFERROR(INDEX('Data Consolidada'!$E$7:$E$891,MATCH(CONCATENATE(CN$3,"-",$CP25,"-",$AY25),'Data Consolidada'!$K$7:$K$891,0)),MAX('Data Consolidada'!$E$7:$E$3000))))</f>
        <v/>
      </c>
      <c r="CO25" s="37" t="str">
        <f>+IF(CO$3="","",IF($AY25="","",IFERROR(INDEX('Data Consolidada'!$E$7:$E$891,MATCH(CONCATENATE(CO$3,"-",$CP25,"-",$AY25),'Data Consolidada'!$K$7:$K$891,0)),MAX('Data Consolidada'!$E$7:$E$3000))))</f>
        <v/>
      </c>
      <c r="CP25" s="224" t="str">
        <f t="shared" ca="1" si="2"/>
        <v>MOSTAZAL</v>
      </c>
      <c r="CQ25" s="84" t="str">
        <f t="shared" ca="1" si="3"/>
        <v>TH TRANSPORTESMOSTAZAL</v>
      </c>
    </row>
    <row r="26" spans="2:95" ht="15" customHeight="1" x14ac:dyDescent="0.35">
      <c r="B26" s="46"/>
      <c r="C26" s="5"/>
      <c r="D26" s="15"/>
      <c r="F26" s="257" t="s">
        <v>157</v>
      </c>
      <c r="G26" s="14"/>
      <c r="H26" s="204"/>
      <c r="I26" s="267" t="str">
        <f t="shared" si="6"/>
        <v/>
      </c>
      <c r="J26" s="268" t="str">
        <f t="shared" si="7"/>
        <v/>
      </c>
      <c r="K26" s="268" t="str">
        <f t="shared" si="8"/>
        <v/>
      </c>
      <c r="L26" s="268" t="str">
        <f t="shared" si="9"/>
        <v/>
      </c>
      <c r="M26" s="268" t="str">
        <f t="shared" si="10"/>
        <v/>
      </c>
      <c r="N26" s="268" t="str">
        <f t="shared" si="11"/>
        <v/>
      </c>
      <c r="O26" s="268" t="str">
        <f t="shared" si="12"/>
        <v/>
      </c>
      <c r="P26" s="268" t="str">
        <f t="shared" si="13"/>
        <v/>
      </c>
      <c r="Q26" s="268" t="str">
        <f t="shared" si="20"/>
        <v/>
      </c>
      <c r="R26" s="268" t="str">
        <f t="shared" si="14"/>
        <v/>
      </c>
      <c r="S26" s="268" t="str">
        <f t="shared" si="15"/>
        <v/>
      </c>
      <c r="T26" s="268" t="str">
        <f t="shared" si="16"/>
        <v/>
      </c>
      <c r="U26" s="268" t="str">
        <f t="shared" si="17"/>
        <v/>
      </c>
      <c r="V26" s="269" t="str">
        <f t="shared" si="18"/>
        <v/>
      </c>
      <c r="W26" s="55" cm="1">
        <f t="array" ref="W26">+IFERROR(_xlfn.IFS(F26="Totes",IF(I26="",0,ROUNDUP(I26*$I$11/$G$9,0))+IF(J26="",0,ROUNDUP(J26*$J$11/$G$9,0))+IF(K26="",0,ROUNDUP(K26*$K$11/$G$9,0))+IF(L26="",0,ROUNDUP(L26*$L$11/$G$9,0))+IF(M26="",0,ROUNDUP(M26*$M$11/$G$9,0))+IF(N26="",0,ROUNDUP(N26*$N$11/$G$9,0))+IF(O26="",0,ROUNDUP(O26*$O$11/$G$9,0))+IF(P26="",0,ROUNDUP(P26*$P$11/$G$9,0))+IF(Q26="",0,ROUNDUP(Q26*$Q$11/$G$9,0))+IF(R26="",0,ROUNDUP(R26*$R$11/$G$9,0))+IF(S26="",0,ROUNDUP(S26*$S$11/$G$9,0))+IF(T26="",0,ROUNDUP(T26*$T$11/$G$9,0))+IF(U26="",0,ROUNDUP(U26*$U$11/$G$9,0))+IF(V26="",0,ROUNDUP(V26*$V$11/$G$9,0)),F26="Mini Bins",IF(I26="",0,ROUNDUP(I26*$I$11/$J$6,0))+IF(J26="",0,ROUNDUP(J26*$J$11/$J$6,0))+IF(K26="",0,ROUNDUP(K26*$K$11/$J$6,0))+IF(L26="",0,ROUNDUP(L26*$L$11/$J$6,0))+IF(M26="",0,ROUNDUP(M26*$M$11/$J$6,0))+IF(N26="",0,ROUNDUP(N26*$N$11/$J$6,0))+IF(O26="",0,ROUNDUP(O26*$O$11/$J$6,0))+IF(P26="",0,ROUNDUP(P26*$P$11/$J$6,0))+IF(Q26="",0,ROUNDUP(Q26*$Q$11/$J$6,0))+IF(R26="",0,ROUNDUP(R26*$R$11/$J$6,0))+IF(S26="",0,ROUNDUP(S26*$S$11/$J$6,0))+IF(T26="",0,ROUNDUP(T26*$T$11/$J$6,0))+IF(U26="",0,ROUNDUP(U26*$U$11/$J$6,0))+IF(V26="",0,ROUNDUP(V26*$V$11/$J$6,0))),0)</f>
        <v>0</v>
      </c>
      <c r="X26" s="254">
        <f t="shared" si="19"/>
        <v>0</v>
      </c>
      <c r="Z26" s="245" t="s">
        <v>93</v>
      </c>
      <c r="AA26" s="247">
        <v>4</v>
      </c>
      <c r="AB26" s="254" cm="1">
        <f t="array" aca="1" ref="AB26" ca="1">+SUM(IF($B$72:$B$217=Z26,$C$72:$AR$217))</f>
        <v>0</v>
      </c>
      <c r="AC26" s="211">
        <f t="shared" ca="1" si="4"/>
        <v>0</v>
      </c>
      <c r="AF26" s="14"/>
      <c r="AG26" s="204"/>
      <c r="AH26" s="228"/>
      <c r="AI26" s="196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6"/>
      <c r="AU26" s="229"/>
      <c r="AW26" s="13">
        <f>+IF(AX26="","",IF(AX26&gt;AX25,AW25,IF(AW25&lt;$D$69,AW25+1,IF(COUNT(AW$4:AW25)&lt;$B$69*$E$54,1,""))))</f>
        <v>2</v>
      </c>
      <c r="AX26" s="13">
        <f>+IF(AX25&lt;$B$69,AX25+1,IF(COUNT(AX$4:AX25)&lt;$B$69*$D$69,1,""))</f>
        <v>10</v>
      </c>
      <c r="AY26" s="189" t="str">
        <f t="shared" ca="1" si="1"/>
        <v>TRAIDILL</v>
      </c>
      <c r="AZ26" s="36">
        <f ca="1">+IF(AZ$3="","",IF($AY26="","",IFERROR(INDEX('Data Consolidada'!$E$7:$E$891,MATCH(CONCATENATE(AZ$3,"-",$CP26,"-",$AY26),'Data Consolidada'!$K$7:$K$891,0)),MAX('Data Consolidada'!$E$7:$E$3000))))</f>
        <v>11000000</v>
      </c>
      <c r="BA26" s="32">
        <f ca="1">+IF(BA$3="","",IF($AY26="","",IFERROR(INDEX('Data Consolidada'!$E$7:$E$891,MATCH(CONCATENATE(BA$3,"-",$CP26,"-",$AY26),'Data Consolidada'!$K$7:$K$891,0)),MAX('Data Consolidada'!$E$7:$E$3000))))</f>
        <v>550000</v>
      </c>
      <c r="BB26" s="32" t="str">
        <f>+IF(BB$3="","",IF($AY26="","",IFERROR(INDEX('Data Consolidada'!$E$7:$E$891,MATCH(CONCATENATE(BB$3,"-",$CP26,"-",$AY26),'Data Consolidada'!$K$7:$K$891,0)),MAX('Data Consolidada'!$E$7:$E$3000))))</f>
        <v/>
      </c>
      <c r="BC26" s="32" t="str">
        <f>+IF(BC$3="","",IF($AY26="","",IFERROR(INDEX('Data Consolidada'!$E$7:$E$891,MATCH(CONCATENATE(BC$3,"-",$CP26,"-",$AY26),'Data Consolidada'!$K$7:$K$891,0)),MAX('Data Consolidada'!$E$7:$E$3000))))</f>
        <v/>
      </c>
      <c r="BD26" s="32" t="str">
        <f>+IF(BD$3="","",IF($AY26="","",IFERROR(INDEX('Data Consolidada'!$E$7:$E$891,MATCH(CONCATENATE(BD$3,"-",$CP26,"-",$AY26),'Data Consolidada'!$K$7:$K$891,0)),MAX('Data Consolidada'!$E$7:$E$3000))))</f>
        <v/>
      </c>
      <c r="BE26" s="32" t="str">
        <f>+IF(BE$3="","",IF($AY26="","",IFERROR(INDEX('Data Consolidada'!$E$7:$E$891,MATCH(CONCATENATE(BE$3,"-",$CP26,"-",$AY26),'Data Consolidada'!$K$7:$K$891,0)),MAX('Data Consolidada'!$E$7:$E$3000))))</f>
        <v/>
      </c>
      <c r="BF26" s="32" t="str">
        <f>+IF(BF$3="","",IF($AY26="","",IFERROR(INDEX('Data Consolidada'!$E$7:$E$891,MATCH(CONCATENATE(BF$3,"-",$CP26,"-",$AY26),'Data Consolidada'!$K$7:$K$891,0)),MAX('Data Consolidada'!$E$7:$E$3000))))</f>
        <v/>
      </c>
      <c r="BG26" s="32" t="str">
        <f>+IF(BG$3="","",IF($AY26="","",IFERROR(INDEX('Data Consolidada'!$E$7:$E$891,MATCH(CONCATENATE(BG$3,"-",$CP26,"-",$AY26),'Data Consolidada'!$K$7:$K$891,0)),MAX('Data Consolidada'!$E$7:$E$3000))))</f>
        <v/>
      </c>
      <c r="BH26" s="32" t="str">
        <f>+IF(BH$3="","",IF($AY26="","",IFERROR(INDEX('Data Consolidada'!$E$7:$E$891,MATCH(CONCATENATE(BH$3,"-",$CP26,"-",$AY26),'Data Consolidada'!$K$7:$K$891,0)),MAX('Data Consolidada'!$E$7:$E$3000))))</f>
        <v/>
      </c>
      <c r="BI26" s="32" t="str">
        <f>+IF(BI$3="","",IF($AY26="","",IFERROR(INDEX('Data Consolidada'!$E$7:$E$891,MATCH(CONCATENATE(BI$3,"-",$CP26,"-",$AY26),'Data Consolidada'!$K$7:$K$891,0)),MAX('Data Consolidada'!$E$7:$E$3000))))</f>
        <v/>
      </c>
      <c r="BJ26" s="32" t="str">
        <f>+IF(BJ$3="","",IF($AY26="","",IFERROR(INDEX('Data Consolidada'!$E$7:$E$891,MATCH(CONCATENATE(BJ$3,"-",$CP26,"-",$AY26),'Data Consolidada'!$K$7:$K$891,0)),MAX('Data Consolidada'!$E$7:$E$3000))))</f>
        <v/>
      </c>
      <c r="BK26" s="32" t="str">
        <f>+IF(BK$3="","",IF($AY26="","",IFERROR(INDEX('Data Consolidada'!$E$7:$E$891,MATCH(CONCATENATE(BK$3,"-",$CP26,"-",$AY26),'Data Consolidada'!$K$7:$K$891,0)),MAX('Data Consolidada'!$E$7:$E$3000))))</f>
        <v/>
      </c>
      <c r="BL26" s="32" t="str">
        <f>+IF(BL$3="","",IF($AY26="","",IFERROR(INDEX('Data Consolidada'!$E$7:$E$891,MATCH(CONCATENATE(BL$3,"-",$CP26,"-",$AY26),'Data Consolidada'!$K$7:$K$891,0)),MAX('Data Consolidada'!$E$7:$E$3000))))</f>
        <v/>
      </c>
      <c r="BM26" s="32" t="str">
        <f>+IF(BM$3="","",IF($AY26="","",IFERROR(INDEX('Data Consolidada'!$E$7:$E$891,MATCH(CONCATENATE(BM$3,"-",$CP26,"-",$AY26),'Data Consolidada'!$K$7:$K$891,0)),MAX('Data Consolidada'!$E$7:$E$3000))))</f>
        <v/>
      </c>
      <c r="BN26" s="32" t="str">
        <f>+IF(BN$3="","",IF($AY26="","",IFERROR(INDEX('Data Consolidada'!$E$7:$E$891,MATCH(CONCATENATE(BN$3,"-",$CP26,"-",$AY26),'Data Consolidada'!$K$7:$K$891,0)),MAX('Data Consolidada'!$E$7:$E$3000))))</f>
        <v/>
      </c>
      <c r="BO26" s="32" t="str">
        <f>+IF(BO$3="","",IF($AY26="","",IFERROR(INDEX('Data Consolidada'!$E$7:$E$891,MATCH(CONCATENATE(BO$3,"-",$CP26,"-",$AY26),'Data Consolidada'!$K$7:$K$891,0)),MAX('Data Consolidada'!$E$7:$E$3000))))</f>
        <v/>
      </c>
      <c r="BP26" s="32" t="str">
        <f>+IF(BP$3="","",IF($AY26="","",IFERROR(INDEX('Data Consolidada'!$E$7:$E$891,MATCH(CONCATENATE(BP$3,"-",$CP26,"-",$AY26),'Data Consolidada'!$K$7:$K$891,0)),MAX('Data Consolidada'!$E$7:$E$3000))))</f>
        <v/>
      </c>
      <c r="BQ26" s="32" t="str">
        <f>+IF(BQ$3="","",IF($AY26="","",IFERROR(INDEX('Data Consolidada'!$E$7:$E$891,MATCH(CONCATENATE(BQ$3,"-",$CP26,"-",$AY26),'Data Consolidada'!$K$7:$K$891,0)),MAX('Data Consolidada'!$E$7:$E$3000))))</f>
        <v/>
      </c>
      <c r="BR26" s="32" t="str">
        <f>+IF(BR$3="","",IF($AY26="","",IFERROR(INDEX('Data Consolidada'!$E$7:$E$891,MATCH(CONCATENATE(BR$3,"-",$CP26,"-",$AY26),'Data Consolidada'!$K$7:$K$891,0)),MAX('Data Consolidada'!$E$7:$E$3000))))</f>
        <v/>
      </c>
      <c r="BS26" s="32" t="str">
        <f>+IF(BS$3="","",IF($AY26="","",IFERROR(INDEX('Data Consolidada'!$E$7:$E$891,MATCH(CONCATENATE(BS$3,"-",$CP26,"-",$AY26),'Data Consolidada'!$K$7:$K$891,0)),MAX('Data Consolidada'!$E$7:$E$3000))))</f>
        <v/>
      </c>
      <c r="BT26" s="32" t="str">
        <f>+IF(BT$3="","",IF($AY26="","",IFERROR(INDEX('Data Consolidada'!$E$7:$E$891,MATCH(CONCATENATE(BT$3,"-",$CP26,"-",$AY26),'Data Consolidada'!$K$7:$K$891,0)),MAX('Data Consolidada'!$E$7:$E$3000))))</f>
        <v/>
      </c>
      <c r="BU26" s="32" t="str">
        <f>+IF(BU$3="","",IF($AY26="","",IFERROR(INDEX('Data Consolidada'!$E$7:$E$891,MATCH(CONCATENATE(BU$3,"-",$CP26,"-",$AY26),'Data Consolidada'!$K$7:$K$891,0)),MAX('Data Consolidada'!$E$7:$E$3000))))</f>
        <v/>
      </c>
      <c r="BV26" s="32" t="str">
        <f>+IF(BV$3="","",IF($AY26="","",IFERROR(INDEX('Data Consolidada'!$E$7:$E$891,MATCH(CONCATENATE(BV$3,"-",$CP26,"-",$AY26),'Data Consolidada'!$K$7:$K$891,0)),MAX('Data Consolidada'!$E$7:$E$3000))))</f>
        <v/>
      </c>
      <c r="BW26" s="32" t="str">
        <f>+IF(BW$3="","",IF($AY26="","",IFERROR(INDEX('Data Consolidada'!$E$7:$E$891,MATCH(CONCATENATE(BW$3,"-",$CP26,"-",$AY26),'Data Consolidada'!$K$7:$K$891,0)),MAX('Data Consolidada'!$E$7:$E$3000))))</f>
        <v/>
      </c>
      <c r="BX26" s="32" t="str">
        <f>+IF(BX$3="","",IF($AY26="","",IFERROR(INDEX('Data Consolidada'!$E$7:$E$891,MATCH(CONCATENATE(BX$3,"-",$CP26,"-",$AY26),'Data Consolidada'!$K$7:$K$891,0)),MAX('Data Consolidada'!$E$7:$E$3000))))</f>
        <v/>
      </c>
      <c r="BY26" s="32" t="str">
        <f>+IF(BY$3="","",IF($AY26="","",IFERROR(INDEX('Data Consolidada'!$E$7:$E$891,MATCH(CONCATENATE(BY$3,"-",$CP26,"-",$AY26),'Data Consolidada'!$K$7:$K$891,0)),MAX('Data Consolidada'!$E$7:$E$3000))))</f>
        <v/>
      </c>
      <c r="BZ26" s="32" t="str">
        <f>+IF(BZ$3="","",IF($AY26="","",IFERROR(INDEX('Data Consolidada'!$E$7:$E$891,MATCH(CONCATENATE(BZ$3,"-",$CP26,"-",$AY26),'Data Consolidada'!$K$7:$K$891,0)),MAX('Data Consolidada'!$E$7:$E$3000))))</f>
        <v/>
      </c>
      <c r="CA26" s="32" t="str">
        <f>+IF(CA$3="","",IF($AY26="","",IFERROR(INDEX('Data Consolidada'!$E$7:$E$891,MATCH(CONCATENATE(CA$3,"-",$CP26,"-",$AY26),'Data Consolidada'!$K$7:$K$891,0)),MAX('Data Consolidada'!$E$7:$E$3000))))</f>
        <v/>
      </c>
      <c r="CB26" s="32" t="str">
        <f>+IF(CB$3="","",IF($AY26="","",IFERROR(INDEX('Data Consolidada'!$E$7:$E$891,MATCH(CONCATENATE(CB$3,"-",$CP26,"-",$AY26),'Data Consolidada'!$K$7:$K$891,0)),MAX('Data Consolidada'!$E$7:$E$3000))))</f>
        <v/>
      </c>
      <c r="CC26" s="32" t="str">
        <f>+IF(CC$3="","",IF($AY26="","",IFERROR(INDEX('Data Consolidada'!$E$7:$E$891,MATCH(CONCATENATE(CC$3,"-",$CP26,"-",$AY26),'Data Consolidada'!$K$7:$K$891,0)),MAX('Data Consolidada'!$E$7:$E$3000))))</f>
        <v/>
      </c>
      <c r="CD26" s="32" t="str">
        <f>+IF(CD$3="","",IF($AY26="","",IFERROR(INDEX('Data Consolidada'!$E$7:$E$891,MATCH(CONCATENATE(CD$3,"-",$CP26,"-",$AY26),'Data Consolidada'!$K$7:$K$891,0)),MAX('Data Consolidada'!$E$7:$E$3000))))</f>
        <v/>
      </c>
      <c r="CE26" s="32" t="str">
        <f>+IF(CE$3="","",IF($AY26="","",IFERROR(INDEX('Data Consolidada'!$E$7:$E$891,MATCH(CONCATENATE(CE$3,"-",$CP26,"-",$AY26),'Data Consolidada'!$K$7:$K$891,0)),MAX('Data Consolidada'!$E$7:$E$3000))))</f>
        <v/>
      </c>
      <c r="CF26" s="32" t="str">
        <f>+IF(CF$3="","",IF($AY26="","",IFERROR(INDEX('Data Consolidada'!$E$7:$E$891,MATCH(CONCATENATE(CF$3,"-",$CP26,"-",$AY26),'Data Consolidada'!$K$7:$K$891,0)),MAX('Data Consolidada'!$E$7:$E$3000))))</f>
        <v/>
      </c>
      <c r="CG26" s="32" t="str">
        <f>+IF(CG$3="","",IF($AY26="","",IFERROR(INDEX('Data Consolidada'!$E$7:$E$891,MATCH(CONCATENATE(CG$3,"-",$CP26,"-",$AY26),'Data Consolidada'!$K$7:$K$891,0)),MAX('Data Consolidada'!$E$7:$E$3000))))</f>
        <v/>
      </c>
      <c r="CH26" s="32" t="str">
        <f>+IF(CH$3="","",IF($AY26="","",IFERROR(INDEX('Data Consolidada'!$E$7:$E$891,MATCH(CONCATENATE(CH$3,"-",$CP26,"-",$AY26),'Data Consolidada'!$K$7:$K$891,0)),MAX('Data Consolidada'!$E$7:$E$3000))))</f>
        <v/>
      </c>
      <c r="CI26" s="32" t="str">
        <f>+IF(CI$3="","",IF($AY26="","",IFERROR(INDEX('Data Consolidada'!$E$7:$E$891,MATCH(CONCATENATE(CI$3,"-",$CP26,"-",$AY26),'Data Consolidada'!$K$7:$K$891,0)),MAX('Data Consolidada'!$E$7:$E$3000))))</f>
        <v/>
      </c>
      <c r="CJ26" s="32" t="str">
        <f>+IF(CJ$3="","",IF($AY26="","",IFERROR(INDEX('Data Consolidada'!$E$7:$E$891,MATCH(CONCATENATE(CJ$3,"-",$CP26,"-",$AY26),'Data Consolidada'!$K$7:$K$891,0)),MAX('Data Consolidada'!$E$7:$E$3000))))</f>
        <v/>
      </c>
      <c r="CK26" s="32" t="str">
        <f>+IF(CK$3="","",IF($AY26="","",IFERROR(INDEX('Data Consolidada'!$E$7:$E$891,MATCH(CONCATENATE(CK$3,"-",$CP26,"-",$AY26),'Data Consolidada'!$K$7:$K$891,0)),MAX('Data Consolidada'!$E$7:$E$3000))))</f>
        <v/>
      </c>
      <c r="CL26" s="32" t="str">
        <f>+IF(CL$3="","",IF($AY26="","",IFERROR(INDEX('Data Consolidada'!$E$7:$E$891,MATCH(CONCATENATE(CL$3,"-",$CP26,"-",$AY26),'Data Consolidada'!$K$7:$K$891,0)),MAX('Data Consolidada'!$E$7:$E$3000))))</f>
        <v/>
      </c>
      <c r="CM26" s="32" t="str">
        <f>+IF(CM$3="","",IF($AY26="","",IFERROR(INDEX('Data Consolidada'!$E$7:$E$891,MATCH(CONCATENATE(CM$3,"-",$CP26,"-",$AY26),'Data Consolidada'!$K$7:$K$891,0)),MAX('Data Consolidada'!$E$7:$E$3000))))</f>
        <v/>
      </c>
      <c r="CN26" s="32" t="str">
        <f>+IF(CN$3="","",IF($AY26="","",IFERROR(INDEX('Data Consolidada'!$E$7:$E$891,MATCH(CONCATENATE(CN$3,"-",$CP26,"-",$AY26),'Data Consolidada'!$K$7:$K$891,0)),MAX('Data Consolidada'!$E$7:$E$3000))))</f>
        <v/>
      </c>
      <c r="CO26" s="37" t="str">
        <f>+IF(CO$3="","",IF($AY26="","",IFERROR(INDEX('Data Consolidada'!$E$7:$E$891,MATCH(CONCATENATE(CO$3,"-",$CP26,"-",$AY26),'Data Consolidada'!$K$7:$K$891,0)),MAX('Data Consolidada'!$E$7:$E$3000))))</f>
        <v/>
      </c>
      <c r="CP26" s="224" t="str">
        <f t="shared" ca="1" si="2"/>
        <v>MOSTAZAL</v>
      </c>
      <c r="CQ26" s="84" t="str">
        <f t="shared" ca="1" si="3"/>
        <v>TRAIDILLMOSTAZAL</v>
      </c>
    </row>
    <row r="27" spans="2:95" ht="15" customHeight="1" x14ac:dyDescent="0.35">
      <c r="B27" s="46"/>
      <c r="C27" s="5"/>
      <c r="D27" s="15"/>
      <c r="F27" s="257" t="s">
        <v>157</v>
      </c>
      <c r="G27" s="14"/>
      <c r="H27" s="204"/>
      <c r="I27" s="267" t="str">
        <f t="shared" si="6"/>
        <v/>
      </c>
      <c r="J27" s="268" t="str">
        <f t="shared" si="7"/>
        <v/>
      </c>
      <c r="K27" s="268" t="str">
        <f t="shared" si="8"/>
        <v/>
      </c>
      <c r="L27" s="268" t="str">
        <f t="shared" si="9"/>
        <v/>
      </c>
      <c r="M27" s="268" t="str">
        <f t="shared" si="10"/>
        <v/>
      </c>
      <c r="N27" s="268" t="str">
        <f t="shared" si="11"/>
        <v/>
      </c>
      <c r="O27" s="268" t="str">
        <f t="shared" si="12"/>
        <v/>
      </c>
      <c r="P27" s="268" t="str">
        <f t="shared" si="13"/>
        <v/>
      </c>
      <c r="Q27" s="268" t="str">
        <f t="shared" si="20"/>
        <v/>
      </c>
      <c r="R27" s="268" t="str">
        <f t="shared" si="14"/>
        <v/>
      </c>
      <c r="S27" s="268" t="str">
        <f t="shared" si="15"/>
        <v/>
      </c>
      <c r="T27" s="268" t="str">
        <f t="shared" si="16"/>
        <v/>
      </c>
      <c r="U27" s="268" t="str">
        <f t="shared" si="17"/>
        <v/>
      </c>
      <c r="V27" s="269" t="str">
        <f t="shared" si="18"/>
        <v/>
      </c>
      <c r="W27" s="55" cm="1">
        <f t="array" ref="W27">+IFERROR(_xlfn.IFS(F27="Totes",IF(I27="",0,ROUNDUP(I27*$I$11/$G$9,0))+IF(J27="",0,ROUNDUP(J27*$J$11/$G$9,0))+IF(K27="",0,ROUNDUP(K27*$K$11/$G$9,0))+IF(L27="",0,ROUNDUP(L27*$L$11/$G$9,0))+IF(M27="",0,ROUNDUP(M27*$M$11/$G$9,0))+IF(N27="",0,ROUNDUP(N27*$N$11/$G$9,0))+IF(O27="",0,ROUNDUP(O27*$O$11/$G$9,0))+IF(P27="",0,ROUNDUP(P27*$P$11/$G$9,0))+IF(Q27="",0,ROUNDUP(Q27*$Q$11/$G$9,0))+IF(R27="",0,ROUNDUP(R27*$R$11/$G$9,0))+IF(S27="",0,ROUNDUP(S27*$S$11/$G$9,0))+IF(T27="",0,ROUNDUP(T27*$T$11/$G$9,0))+IF(U27="",0,ROUNDUP(U27*$U$11/$G$9,0))+IF(V27="",0,ROUNDUP(V27*$V$11/$G$9,0)),F27="Mini Bins",IF(I27="",0,ROUNDUP(I27*$I$11/$J$6,0))+IF(J27="",0,ROUNDUP(J27*$J$11/$J$6,0))+IF(K27="",0,ROUNDUP(K27*$K$11/$J$6,0))+IF(L27="",0,ROUNDUP(L27*$L$11/$J$6,0))+IF(M27="",0,ROUNDUP(M27*$M$11/$J$6,0))+IF(N27="",0,ROUNDUP(N27*$N$11/$J$6,0))+IF(O27="",0,ROUNDUP(O27*$O$11/$J$6,0))+IF(P27="",0,ROUNDUP(P27*$P$11/$J$6,0))+IF(Q27="",0,ROUNDUP(Q27*$Q$11/$J$6,0))+IF(R27="",0,ROUNDUP(R27*$R$11/$J$6,0))+IF(S27="",0,ROUNDUP(S27*$S$11/$J$6,0))+IF(T27="",0,ROUNDUP(T27*$T$11/$J$6,0))+IF(U27="",0,ROUNDUP(U27*$U$11/$J$6,0))+IF(V27="",0,ROUNDUP(V27*$V$11/$J$6,0))),0)</f>
        <v>0</v>
      </c>
      <c r="X27" s="254">
        <f t="shared" si="19"/>
        <v>0</v>
      </c>
      <c r="Z27" s="245" t="s">
        <v>32</v>
      </c>
      <c r="AA27" s="247">
        <v>4</v>
      </c>
      <c r="AB27" s="254" cm="1">
        <f t="array" aca="1" ref="AB27" ca="1">+SUM(IF($B$72:$B$217=Z27,$C$72:$AR$217))</f>
        <v>0</v>
      </c>
      <c r="AC27" s="211">
        <f t="shared" ca="1" si="4"/>
        <v>0</v>
      </c>
      <c r="AF27" s="14"/>
      <c r="AG27" s="204"/>
      <c r="AH27" s="228"/>
      <c r="AI27" s="196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6"/>
      <c r="AU27" s="229"/>
      <c r="AW27" s="13">
        <f>+IF(AX27="","",IF(AX27&gt;AX26,AW26,IF(AW26&lt;$D$69,AW26+1,IF(COUNT(AW$4:AW26)&lt;$B$69*$E$54,1,""))))</f>
        <v>2</v>
      </c>
      <c r="AX27" s="13">
        <f>+IF(AX26&lt;$B$69,AX26+1,IF(COUNT(AX$4:AX26)&lt;$B$69*$D$69,1,""))</f>
        <v>11</v>
      </c>
      <c r="AY27" s="189" t="str">
        <f t="shared" ca="1" si="1"/>
        <v>TRANS. ALMENDRAL</v>
      </c>
      <c r="AZ27" s="36">
        <f ca="1">+IF(AZ$3="","",IF($AY27="","",IFERROR(INDEX('Data Consolidada'!$E$7:$E$891,MATCH(CONCATENATE(AZ$3,"-",$CP27,"-",$AY27),'Data Consolidada'!$K$7:$K$891,0)),MAX('Data Consolidada'!$E$7:$E$3000))))</f>
        <v>11000000</v>
      </c>
      <c r="BA27" s="32">
        <f ca="1">+IF(BA$3="","",IF($AY27="","",IFERROR(INDEX('Data Consolidada'!$E$7:$E$891,MATCH(CONCATENATE(BA$3,"-",$CP27,"-",$AY27),'Data Consolidada'!$K$7:$K$891,0)),MAX('Data Consolidada'!$E$7:$E$3000))))</f>
        <v>640000</v>
      </c>
      <c r="BB27" s="32" t="str">
        <f>+IF(BB$3="","",IF($AY27="","",IFERROR(INDEX('Data Consolidada'!$E$7:$E$891,MATCH(CONCATENATE(BB$3,"-",$CP27,"-",$AY27),'Data Consolidada'!$K$7:$K$891,0)),MAX('Data Consolidada'!$E$7:$E$3000))))</f>
        <v/>
      </c>
      <c r="BC27" s="32" t="str">
        <f>+IF(BC$3="","",IF($AY27="","",IFERROR(INDEX('Data Consolidada'!$E$7:$E$891,MATCH(CONCATENATE(BC$3,"-",$CP27,"-",$AY27),'Data Consolidada'!$K$7:$K$891,0)),MAX('Data Consolidada'!$E$7:$E$3000))))</f>
        <v/>
      </c>
      <c r="BD27" s="32" t="str">
        <f>+IF(BD$3="","",IF($AY27="","",IFERROR(INDEX('Data Consolidada'!$E$7:$E$891,MATCH(CONCATENATE(BD$3,"-",$CP27,"-",$AY27),'Data Consolidada'!$K$7:$K$891,0)),MAX('Data Consolidada'!$E$7:$E$3000))))</f>
        <v/>
      </c>
      <c r="BE27" s="32" t="str">
        <f>+IF(BE$3="","",IF($AY27="","",IFERROR(INDEX('Data Consolidada'!$E$7:$E$891,MATCH(CONCATENATE(BE$3,"-",$CP27,"-",$AY27),'Data Consolidada'!$K$7:$K$891,0)),MAX('Data Consolidada'!$E$7:$E$3000))))</f>
        <v/>
      </c>
      <c r="BF27" s="32" t="str">
        <f>+IF(BF$3="","",IF($AY27="","",IFERROR(INDEX('Data Consolidada'!$E$7:$E$891,MATCH(CONCATENATE(BF$3,"-",$CP27,"-",$AY27),'Data Consolidada'!$K$7:$K$891,0)),MAX('Data Consolidada'!$E$7:$E$3000))))</f>
        <v/>
      </c>
      <c r="BG27" s="32" t="str">
        <f>+IF(BG$3="","",IF($AY27="","",IFERROR(INDEX('Data Consolidada'!$E$7:$E$891,MATCH(CONCATENATE(BG$3,"-",$CP27,"-",$AY27),'Data Consolidada'!$K$7:$K$891,0)),MAX('Data Consolidada'!$E$7:$E$3000))))</f>
        <v/>
      </c>
      <c r="BH27" s="32" t="str">
        <f>+IF(BH$3="","",IF($AY27="","",IFERROR(INDEX('Data Consolidada'!$E$7:$E$891,MATCH(CONCATENATE(BH$3,"-",$CP27,"-",$AY27),'Data Consolidada'!$K$7:$K$891,0)),MAX('Data Consolidada'!$E$7:$E$3000))))</f>
        <v/>
      </c>
      <c r="BI27" s="32" t="str">
        <f>+IF(BI$3="","",IF($AY27="","",IFERROR(INDEX('Data Consolidada'!$E$7:$E$891,MATCH(CONCATENATE(BI$3,"-",$CP27,"-",$AY27),'Data Consolidada'!$K$7:$K$891,0)),MAX('Data Consolidada'!$E$7:$E$3000))))</f>
        <v/>
      </c>
      <c r="BJ27" s="32" t="str">
        <f>+IF(BJ$3="","",IF($AY27="","",IFERROR(INDEX('Data Consolidada'!$E$7:$E$891,MATCH(CONCATENATE(BJ$3,"-",$CP27,"-",$AY27),'Data Consolidada'!$K$7:$K$891,0)),MAX('Data Consolidada'!$E$7:$E$3000))))</f>
        <v/>
      </c>
      <c r="BK27" s="32" t="str">
        <f>+IF(BK$3="","",IF($AY27="","",IFERROR(INDEX('Data Consolidada'!$E$7:$E$891,MATCH(CONCATENATE(BK$3,"-",$CP27,"-",$AY27),'Data Consolidada'!$K$7:$K$891,0)),MAX('Data Consolidada'!$E$7:$E$3000))))</f>
        <v/>
      </c>
      <c r="BL27" s="32" t="str">
        <f>+IF(BL$3="","",IF($AY27="","",IFERROR(INDEX('Data Consolidada'!$E$7:$E$891,MATCH(CONCATENATE(BL$3,"-",$CP27,"-",$AY27),'Data Consolidada'!$K$7:$K$891,0)),MAX('Data Consolidada'!$E$7:$E$3000))))</f>
        <v/>
      </c>
      <c r="BM27" s="32" t="str">
        <f>+IF(BM$3="","",IF($AY27="","",IFERROR(INDEX('Data Consolidada'!$E$7:$E$891,MATCH(CONCATENATE(BM$3,"-",$CP27,"-",$AY27),'Data Consolidada'!$K$7:$K$891,0)),MAX('Data Consolidada'!$E$7:$E$3000))))</f>
        <v/>
      </c>
      <c r="BN27" s="32" t="str">
        <f>+IF(BN$3="","",IF($AY27="","",IFERROR(INDEX('Data Consolidada'!$E$7:$E$891,MATCH(CONCATENATE(BN$3,"-",$CP27,"-",$AY27),'Data Consolidada'!$K$7:$K$891,0)),MAX('Data Consolidada'!$E$7:$E$3000))))</f>
        <v/>
      </c>
      <c r="BO27" s="32" t="str">
        <f>+IF(BO$3="","",IF($AY27="","",IFERROR(INDEX('Data Consolidada'!$E$7:$E$891,MATCH(CONCATENATE(BO$3,"-",$CP27,"-",$AY27),'Data Consolidada'!$K$7:$K$891,0)),MAX('Data Consolidada'!$E$7:$E$3000))))</f>
        <v/>
      </c>
      <c r="BP27" s="32" t="str">
        <f>+IF(BP$3="","",IF($AY27="","",IFERROR(INDEX('Data Consolidada'!$E$7:$E$891,MATCH(CONCATENATE(BP$3,"-",$CP27,"-",$AY27),'Data Consolidada'!$K$7:$K$891,0)),MAX('Data Consolidada'!$E$7:$E$3000))))</f>
        <v/>
      </c>
      <c r="BQ27" s="32" t="str">
        <f>+IF(BQ$3="","",IF($AY27="","",IFERROR(INDEX('Data Consolidada'!$E$7:$E$891,MATCH(CONCATENATE(BQ$3,"-",$CP27,"-",$AY27),'Data Consolidada'!$K$7:$K$891,0)),MAX('Data Consolidada'!$E$7:$E$3000))))</f>
        <v/>
      </c>
      <c r="BR27" s="32" t="str">
        <f>+IF(BR$3="","",IF($AY27="","",IFERROR(INDEX('Data Consolidada'!$E$7:$E$891,MATCH(CONCATENATE(BR$3,"-",$CP27,"-",$AY27),'Data Consolidada'!$K$7:$K$891,0)),MAX('Data Consolidada'!$E$7:$E$3000))))</f>
        <v/>
      </c>
      <c r="BS27" s="32" t="str">
        <f>+IF(BS$3="","",IF($AY27="","",IFERROR(INDEX('Data Consolidada'!$E$7:$E$891,MATCH(CONCATENATE(BS$3,"-",$CP27,"-",$AY27),'Data Consolidada'!$K$7:$K$891,0)),MAX('Data Consolidada'!$E$7:$E$3000))))</f>
        <v/>
      </c>
      <c r="BT27" s="32" t="str">
        <f>+IF(BT$3="","",IF($AY27="","",IFERROR(INDEX('Data Consolidada'!$E$7:$E$891,MATCH(CONCATENATE(BT$3,"-",$CP27,"-",$AY27),'Data Consolidada'!$K$7:$K$891,0)),MAX('Data Consolidada'!$E$7:$E$3000))))</f>
        <v/>
      </c>
      <c r="BU27" s="32" t="str">
        <f>+IF(BU$3="","",IF($AY27="","",IFERROR(INDEX('Data Consolidada'!$E$7:$E$891,MATCH(CONCATENATE(BU$3,"-",$CP27,"-",$AY27),'Data Consolidada'!$K$7:$K$891,0)),MAX('Data Consolidada'!$E$7:$E$3000))))</f>
        <v/>
      </c>
      <c r="BV27" s="32" t="str">
        <f>+IF(BV$3="","",IF($AY27="","",IFERROR(INDEX('Data Consolidada'!$E$7:$E$891,MATCH(CONCATENATE(BV$3,"-",$CP27,"-",$AY27),'Data Consolidada'!$K$7:$K$891,0)),MAX('Data Consolidada'!$E$7:$E$3000))))</f>
        <v/>
      </c>
      <c r="BW27" s="32" t="str">
        <f>+IF(BW$3="","",IF($AY27="","",IFERROR(INDEX('Data Consolidada'!$E$7:$E$891,MATCH(CONCATENATE(BW$3,"-",$CP27,"-",$AY27),'Data Consolidada'!$K$7:$K$891,0)),MAX('Data Consolidada'!$E$7:$E$3000))))</f>
        <v/>
      </c>
      <c r="BX27" s="32" t="str">
        <f>+IF(BX$3="","",IF($AY27="","",IFERROR(INDEX('Data Consolidada'!$E$7:$E$891,MATCH(CONCATENATE(BX$3,"-",$CP27,"-",$AY27),'Data Consolidada'!$K$7:$K$891,0)),MAX('Data Consolidada'!$E$7:$E$3000))))</f>
        <v/>
      </c>
      <c r="BY27" s="32" t="str">
        <f>+IF(BY$3="","",IF($AY27="","",IFERROR(INDEX('Data Consolidada'!$E$7:$E$891,MATCH(CONCATENATE(BY$3,"-",$CP27,"-",$AY27),'Data Consolidada'!$K$7:$K$891,0)),MAX('Data Consolidada'!$E$7:$E$3000))))</f>
        <v/>
      </c>
      <c r="BZ27" s="32" t="str">
        <f>+IF(BZ$3="","",IF($AY27="","",IFERROR(INDEX('Data Consolidada'!$E$7:$E$891,MATCH(CONCATENATE(BZ$3,"-",$CP27,"-",$AY27),'Data Consolidada'!$K$7:$K$891,0)),MAX('Data Consolidada'!$E$7:$E$3000))))</f>
        <v/>
      </c>
      <c r="CA27" s="32" t="str">
        <f>+IF(CA$3="","",IF($AY27="","",IFERROR(INDEX('Data Consolidada'!$E$7:$E$891,MATCH(CONCATENATE(CA$3,"-",$CP27,"-",$AY27),'Data Consolidada'!$K$7:$K$891,0)),MAX('Data Consolidada'!$E$7:$E$3000))))</f>
        <v/>
      </c>
      <c r="CB27" s="32" t="str">
        <f>+IF(CB$3="","",IF($AY27="","",IFERROR(INDEX('Data Consolidada'!$E$7:$E$891,MATCH(CONCATENATE(CB$3,"-",$CP27,"-",$AY27),'Data Consolidada'!$K$7:$K$891,0)),MAX('Data Consolidada'!$E$7:$E$3000))))</f>
        <v/>
      </c>
      <c r="CC27" s="32" t="str">
        <f>+IF(CC$3="","",IF($AY27="","",IFERROR(INDEX('Data Consolidada'!$E$7:$E$891,MATCH(CONCATENATE(CC$3,"-",$CP27,"-",$AY27),'Data Consolidada'!$K$7:$K$891,0)),MAX('Data Consolidada'!$E$7:$E$3000))))</f>
        <v/>
      </c>
      <c r="CD27" s="32" t="str">
        <f>+IF(CD$3="","",IF($AY27="","",IFERROR(INDEX('Data Consolidada'!$E$7:$E$891,MATCH(CONCATENATE(CD$3,"-",$CP27,"-",$AY27),'Data Consolidada'!$K$7:$K$891,0)),MAX('Data Consolidada'!$E$7:$E$3000))))</f>
        <v/>
      </c>
      <c r="CE27" s="32" t="str">
        <f>+IF(CE$3="","",IF($AY27="","",IFERROR(INDEX('Data Consolidada'!$E$7:$E$891,MATCH(CONCATENATE(CE$3,"-",$CP27,"-",$AY27),'Data Consolidada'!$K$7:$K$891,0)),MAX('Data Consolidada'!$E$7:$E$3000))))</f>
        <v/>
      </c>
      <c r="CF27" s="32" t="str">
        <f>+IF(CF$3="","",IF($AY27="","",IFERROR(INDEX('Data Consolidada'!$E$7:$E$891,MATCH(CONCATENATE(CF$3,"-",$CP27,"-",$AY27),'Data Consolidada'!$K$7:$K$891,0)),MAX('Data Consolidada'!$E$7:$E$3000))))</f>
        <v/>
      </c>
      <c r="CG27" s="32" t="str">
        <f>+IF(CG$3="","",IF($AY27="","",IFERROR(INDEX('Data Consolidada'!$E$7:$E$891,MATCH(CONCATENATE(CG$3,"-",$CP27,"-",$AY27),'Data Consolidada'!$K$7:$K$891,0)),MAX('Data Consolidada'!$E$7:$E$3000))))</f>
        <v/>
      </c>
      <c r="CH27" s="32" t="str">
        <f>+IF(CH$3="","",IF($AY27="","",IFERROR(INDEX('Data Consolidada'!$E$7:$E$891,MATCH(CONCATENATE(CH$3,"-",$CP27,"-",$AY27),'Data Consolidada'!$K$7:$K$891,0)),MAX('Data Consolidada'!$E$7:$E$3000))))</f>
        <v/>
      </c>
      <c r="CI27" s="32" t="str">
        <f>+IF(CI$3="","",IF($AY27="","",IFERROR(INDEX('Data Consolidada'!$E$7:$E$891,MATCH(CONCATENATE(CI$3,"-",$CP27,"-",$AY27),'Data Consolidada'!$K$7:$K$891,0)),MAX('Data Consolidada'!$E$7:$E$3000))))</f>
        <v/>
      </c>
      <c r="CJ27" s="32" t="str">
        <f>+IF(CJ$3="","",IF($AY27="","",IFERROR(INDEX('Data Consolidada'!$E$7:$E$891,MATCH(CONCATENATE(CJ$3,"-",$CP27,"-",$AY27),'Data Consolidada'!$K$7:$K$891,0)),MAX('Data Consolidada'!$E$7:$E$3000))))</f>
        <v/>
      </c>
      <c r="CK27" s="32" t="str">
        <f>+IF(CK$3="","",IF($AY27="","",IFERROR(INDEX('Data Consolidada'!$E$7:$E$891,MATCH(CONCATENATE(CK$3,"-",$CP27,"-",$AY27),'Data Consolidada'!$K$7:$K$891,0)),MAX('Data Consolidada'!$E$7:$E$3000))))</f>
        <v/>
      </c>
      <c r="CL27" s="32" t="str">
        <f>+IF(CL$3="","",IF($AY27="","",IFERROR(INDEX('Data Consolidada'!$E$7:$E$891,MATCH(CONCATENATE(CL$3,"-",$CP27,"-",$AY27),'Data Consolidada'!$K$7:$K$891,0)),MAX('Data Consolidada'!$E$7:$E$3000))))</f>
        <v/>
      </c>
      <c r="CM27" s="32" t="str">
        <f>+IF(CM$3="","",IF($AY27="","",IFERROR(INDEX('Data Consolidada'!$E$7:$E$891,MATCH(CONCATENATE(CM$3,"-",$CP27,"-",$AY27),'Data Consolidada'!$K$7:$K$891,0)),MAX('Data Consolidada'!$E$7:$E$3000))))</f>
        <v/>
      </c>
      <c r="CN27" s="32" t="str">
        <f>+IF(CN$3="","",IF($AY27="","",IFERROR(INDEX('Data Consolidada'!$E$7:$E$891,MATCH(CONCATENATE(CN$3,"-",$CP27,"-",$AY27),'Data Consolidada'!$K$7:$K$891,0)),MAX('Data Consolidada'!$E$7:$E$3000))))</f>
        <v/>
      </c>
      <c r="CO27" s="37" t="str">
        <f>+IF(CO$3="","",IF($AY27="","",IFERROR(INDEX('Data Consolidada'!$E$7:$E$891,MATCH(CONCATENATE(CO$3,"-",$CP27,"-",$AY27),'Data Consolidada'!$K$7:$K$891,0)),MAX('Data Consolidada'!$E$7:$E$3000))))</f>
        <v/>
      </c>
      <c r="CP27" s="224" t="str">
        <f t="shared" ca="1" si="2"/>
        <v>MOSTAZAL</v>
      </c>
      <c r="CQ27" s="84" t="str">
        <f t="shared" ca="1" si="3"/>
        <v>TRANS. ALMENDRALMOSTAZAL</v>
      </c>
    </row>
    <row r="28" spans="2:95" ht="15" customHeight="1" x14ac:dyDescent="0.35">
      <c r="B28" s="46"/>
      <c r="C28" s="5"/>
      <c r="D28" s="15"/>
      <c r="F28" s="257" t="s">
        <v>158</v>
      </c>
      <c r="G28" s="14"/>
      <c r="H28" s="204"/>
      <c r="I28" s="267" t="str">
        <f t="shared" si="6"/>
        <v/>
      </c>
      <c r="J28" s="268" t="str">
        <f t="shared" si="7"/>
        <v/>
      </c>
      <c r="K28" s="268" t="str">
        <f t="shared" si="8"/>
        <v/>
      </c>
      <c r="L28" s="268" t="str">
        <f t="shared" si="9"/>
        <v/>
      </c>
      <c r="M28" s="268" t="str">
        <f t="shared" si="10"/>
        <v/>
      </c>
      <c r="N28" s="268" t="str">
        <f t="shared" si="11"/>
        <v/>
      </c>
      <c r="O28" s="268" t="str">
        <f t="shared" si="12"/>
        <v/>
      </c>
      <c r="P28" s="268" t="str">
        <f t="shared" si="13"/>
        <v/>
      </c>
      <c r="Q28" s="268" t="str">
        <f t="shared" si="20"/>
        <v/>
      </c>
      <c r="R28" s="268" t="str">
        <f t="shared" si="14"/>
        <v/>
      </c>
      <c r="S28" s="268" t="str">
        <f t="shared" si="15"/>
        <v/>
      </c>
      <c r="T28" s="268" t="str">
        <f t="shared" si="16"/>
        <v/>
      </c>
      <c r="U28" s="268" t="str">
        <f t="shared" si="17"/>
        <v/>
      </c>
      <c r="V28" s="269" t="str">
        <f t="shared" si="18"/>
        <v/>
      </c>
      <c r="W28" s="55" cm="1">
        <f t="array" ref="W28">+IFERROR(_xlfn.IFS(F28="Totes",IF(I28="",0,ROUNDUP(I28*$I$11/$G$9,0))+IF(J28="",0,ROUNDUP(J28*$J$11/$G$9,0))+IF(K28="",0,ROUNDUP(K28*$K$11/$G$9,0))+IF(L28="",0,ROUNDUP(L28*$L$11/$G$9,0))+IF(M28="",0,ROUNDUP(M28*$M$11/$G$9,0))+IF(N28="",0,ROUNDUP(N28*$N$11/$G$9,0))+IF(O28="",0,ROUNDUP(O28*$O$11/$G$9,0))+IF(P28="",0,ROUNDUP(P28*$P$11/$G$9,0))+IF(Q28="",0,ROUNDUP(Q28*$Q$11/$G$9,0))+IF(R28="",0,ROUNDUP(R28*$R$11/$G$9,0))+IF(S28="",0,ROUNDUP(S28*$S$11/$G$9,0))+IF(T28="",0,ROUNDUP(T28*$T$11/$G$9,0))+IF(U28="",0,ROUNDUP(U28*$U$11/$G$9,0))+IF(V28="",0,ROUNDUP(V28*$V$11/$G$9,0)),F28="Mini Bins",IF(I28="",0,ROUNDUP(I28*$I$11/$J$6,0))+IF(J28="",0,ROUNDUP(J28*$J$11/$J$6,0))+IF(K28="",0,ROUNDUP(K28*$K$11/$J$6,0))+IF(L28="",0,ROUNDUP(L28*$L$11/$J$6,0))+IF(M28="",0,ROUNDUP(M28*$M$11/$J$6,0))+IF(N28="",0,ROUNDUP(N28*$N$11/$J$6,0))+IF(O28="",0,ROUNDUP(O28*$O$11/$J$6,0))+IF(P28="",0,ROUNDUP(P28*$P$11/$J$6,0))+IF(Q28="",0,ROUNDUP(Q28*$Q$11/$J$6,0))+IF(R28="",0,ROUNDUP(R28*$R$11/$J$6,0))+IF(S28="",0,ROUNDUP(S28*$S$11/$J$6,0))+IF(T28="",0,ROUNDUP(T28*$T$11/$J$6,0))+IF(U28="",0,ROUNDUP(U28*$U$11/$J$6,0))+IF(V28="",0,ROUNDUP(V28*$V$11/$J$6,0))),0)</f>
        <v>0</v>
      </c>
      <c r="X28" s="254">
        <f t="shared" si="19"/>
        <v>0</v>
      </c>
      <c r="Z28" s="245" t="s">
        <v>85</v>
      </c>
      <c r="AA28" s="247">
        <v>4</v>
      </c>
      <c r="AB28" s="254" cm="1">
        <f t="array" aca="1" ref="AB28" ca="1">+SUM(IF($B$72:$B$217=Z28,$C$72:$AR$217))</f>
        <v>0</v>
      </c>
      <c r="AC28" s="211">
        <f t="shared" ca="1" si="4"/>
        <v>0</v>
      </c>
      <c r="AF28" s="14"/>
      <c r="AG28" s="204"/>
      <c r="AH28" s="228"/>
      <c r="AI28" s="196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6"/>
      <c r="AU28" s="229"/>
      <c r="AW28" s="13">
        <f>+IF(AX28="","",IF(AX28&gt;AX27,AW27,IF(AW27&lt;$D$69,AW27+1,IF(COUNT(AW$4:AW27)&lt;$B$69*$E$54,1,""))))</f>
        <v>2</v>
      </c>
      <c r="AX28" s="13">
        <f>+IF(AX27&lt;$B$69,AX27+1,IF(COUNT(AX$4:AX27)&lt;$B$69*$D$69,1,""))</f>
        <v>12</v>
      </c>
      <c r="AY28" s="189" t="str">
        <f t="shared" ca="1" si="1"/>
        <v>TRANS. MAX SOTO G. E.I.R.L.</v>
      </c>
      <c r="AZ28" s="36">
        <f ca="1">+IF(AZ$3="","",IF($AY28="","",IFERROR(INDEX('Data Consolidada'!$E$7:$E$891,MATCH(CONCATENATE(AZ$3,"-",$CP28,"-",$AY28),'Data Consolidada'!$K$7:$K$891,0)),MAX('Data Consolidada'!$E$7:$E$3000))))</f>
        <v>11000000</v>
      </c>
      <c r="BA28" s="32">
        <f ca="1">+IF(BA$3="","",IF($AY28="","",IFERROR(INDEX('Data Consolidada'!$E$7:$E$891,MATCH(CONCATENATE(BA$3,"-",$CP28,"-",$AY28),'Data Consolidada'!$K$7:$K$891,0)),MAX('Data Consolidada'!$E$7:$E$3000))))</f>
        <v>490000</v>
      </c>
      <c r="BB28" s="32" t="str">
        <f>+IF(BB$3="","",IF($AY28="","",IFERROR(INDEX('Data Consolidada'!$E$7:$E$891,MATCH(CONCATENATE(BB$3,"-",$CP28,"-",$AY28),'Data Consolidada'!$K$7:$K$891,0)),MAX('Data Consolidada'!$E$7:$E$3000))))</f>
        <v/>
      </c>
      <c r="BC28" s="32" t="str">
        <f>+IF(BC$3="","",IF($AY28="","",IFERROR(INDEX('Data Consolidada'!$E$7:$E$891,MATCH(CONCATENATE(BC$3,"-",$CP28,"-",$AY28),'Data Consolidada'!$K$7:$K$891,0)),MAX('Data Consolidada'!$E$7:$E$3000))))</f>
        <v/>
      </c>
      <c r="BD28" s="32" t="str">
        <f>+IF(BD$3="","",IF($AY28="","",IFERROR(INDEX('Data Consolidada'!$E$7:$E$891,MATCH(CONCATENATE(BD$3,"-",$CP28,"-",$AY28),'Data Consolidada'!$K$7:$K$891,0)),MAX('Data Consolidada'!$E$7:$E$3000))))</f>
        <v/>
      </c>
      <c r="BE28" s="32" t="str">
        <f>+IF(BE$3="","",IF($AY28="","",IFERROR(INDEX('Data Consolidada'!$E$7:$E$891,MATCH(CONCATENATE(BE$3,"-",$CP28,"-",$AY28),'Data Consolidada'!$K$7:$K$891,0)),MAX('Data Consolidada'!$E$7:$E$3000))))</f>
        <v/>
      </c>
      <c r="BF28" s="32" t="str">
        <f>+IF(BF$3="","",IF($AY28="","",IFERROR(INDEX('Data Consolidada'!$E$7:$E$891,MATCH(CONCATENATE(BF$3,"-",$CP28,"-",$AY28),'Data Consolidada'!$K$7:$K$891,0)),MAX('Data Consolidada'!$E$7:$E$3000))))</f>
        <v/>
      </c>
      <c r="BG28" s="32" t="str">
        <f>+IF(BG$3="","",IF($AY28="","",IFERROR(INDEX('Data Consolidada'!$E$7:$E$891,MATCH(CONCATENATE(BG$3,"-",$CP28,"-",$AY28),'Data Consolidada'!$K$7:$K$891,0)),MAX('Data Consolidada'!$E$7:$E$3000))))</f>
        <v/>
      </c>
      <c r="BH28" s="32" t="str">
        <f>+IF(BH$3="","",IF($AY28="","",IFERROR(INDEX('Data Consolidada'!$E$7:$E$891,MATCH(CONCATENATE(BH$3,"-",$CP28,"-",$AY28),'Data Consolidada'!$K$7:$K$891,0)),MAX('Data Consolidada'!$E$7:$E$3000))))</f>
        <v/>
      </c>
      <c r="BI28" s="32" t="str">
        <f>+IF(BI$3="","",IF($AY28="","",IFERROR(INDEX('Data Consolidada'!$E$7:$E$891,MATCH(CONCATENATE(BI$3,"-",$CP28,"-",$AY28),'Data Consolidada'!$K$7:$K$891,0)),MAX('Data Consolidada'!$E$7:$E$3000))))</f>
        <v/>
      </c>
      <c r="BJ28" s="32" t="str">
        <f>+IF(BJ$3="","",IF($AY28="","",IFERROR(INDEX('Data Consolidada'!$E$7:$E$891,MATCH(CONCATENATE(BJ$3,"-",$CP28,"-",$AY28),'Data Consolidada'!$K$7:$K$891,0)),MAX('Data Consolidada'!$E$7:$E$3000))))</f>
        <v/>
      </c>
      <c r="BK28" s="32" t="str">
        <f>+IF(BK$3="","",IF($AY28="","",IFERROR(INDEX('Data Consolidada'!$E$7:$E$891,MATCH(CONCATENATE(BK$3,"-",$CP28,"-",$AY28),'Data Consolidada'!$K$7:$K$891,0)),MAX('Data Consolidada'!$E$7:$E$3000))))</f>
        <v/>
      </c>
      <c r="BL28" s="32" t="str">
        <f>+IF(BL$3="","",IF($AY28="","",IFERROR(INDEX('Data Consolidada'!$E$7:$E$891,MATCH(CONCATENATE(BL$3,"-",$CP28,"-",$AY28),'Data Consolidada'!$K$7:$K$891,0)),MAX('Data Consolidada'!$E$7:$E$3000))))</f>
        <v/>
      </c>
      <c r="BM28" s="32" t="str">
        <f>+IF(BM$3="","",IF($AY28="","",IFERROR(INDEX('Data Consolidada'!$E$7:$E$891,MATCH(CONCATENATE(BM$3,"-",$CP28,"-",$AY28),'Data Consolidada'!$K$7:$K$891,0)),MAX('Data Consolidada'!$E$7:$E$3000))))</f>
        <v/>
      </c>
      <c r="BN28" s="32" t="str">
        <f>+IF(BN$3="","",IF($AY28="","",IFERROR(INDEX('Data Consolidada'!$E$7:$E$891,MATCH(CONCATENATE(BN$3,"-",$CP28,"-",$AY28),'Data Consolidada'!$K$7:$K$891,0)),MAX('Data Consolidada'!$E$7:$E$3000))))</f>
        <v/>
      </c>
      <c r="BO28" s="32" t="str">
        <f>+IF(BO$3="","",IF($AY28="","",IFERROR(INDEX('Data Consolidada'!$E$7:$E$891,MATCH(CONCATENATE(BO$3,"-",$CP28,"-",$AY28),'Data Consolidada'!$K$7:$K$891,0)),MAX('Data Consolidada'!$E$7:$E$3000))))</f>
        <v/>
      </c>
      <c r="BP28" s="32" t="str">
        <f>+IF(BP$3="","",IF($AY28="","",IFERROR(INDEX('Data Consolidada'!$E$7:$E$891,MATCH(CONCATENATE(BP$3,"-",$CP28,"-",$AY28),'Data Consolidada'!$K$7:$K$891,0)),MAX('Data Consolidada'!$E$7:$E$3000))))</f>
        <v/>
      </c>
      <c r="BQ28" s="32" t="str">
        <f>+IF(BQ$3="","",IF($AY28="","",IFERROR(INDEX('Data Consolidada'!$E$7:$E$891,MATCH(CONCATENATE(BQ$3,"-",$CP28,"-",$AY28),'Data Consolidada'!$K$7:$K$891,0)),MAX('Data Consolidada'!$E$7:$E$3000))))</f>
        <v/>
      </c>
      <c r="BR28" s="32" t="str">
        <f>+IF(BR$3="","",IF($AY28="","",IFERROR(INDEX('Data Consolidada'!$E$7:$E$891,MATCH(CONCATENATE(BR$3,"-",$CP28,"-",$AY28),'Data Consolidada'!$K$7:$K$891,0)),MAX('Data Consolidada'!$E$7:$E$3000))))</f>
        <v/>
      </c>
      <c r="BS28" s="32" t="str">
        <f>+IF(BS$3="","",IF($AY28="","",IFERROR(INDEX('Data Consolidada'!$E$7:$E$891,MATCH(CONCATENATE(BS$3,"-",$CP28,"-",$AY28),'Data Consolidada'!$K$7:$K$891,0)),MAX('Data Consolidada'!$E$7:$E$3000))))</f>
        <v/>
      </c>
      <c r="BT28" s="32" t="str">
        <f>+IF(BT$3="","",IF($AY28="","",IFERROR(INDEX('Data Consolidada'!$E$7:$E$891,MATCH(CONCATENATE(BT$3,"-",$CP28,"-",$AY28),'Data Consolidada'!$K$7:$K$891,0)),MAX('Data Consolidada'!$E$7:$E$3000))))</f>
        <v/>
      </c>
      <c r="BU28" s="32" t="str">
        <f>+IF(BU$3="","",IF($AY28="","",IFERROR(INDEX('Data Consolidada'!$E$7:$E$891,MATCH(CONCATENATE(BU$3,"-",$CP28,"-",$AY28),'Data Consolidada'!$K$7:$K$891,0)),MAX('Data Consolidada'!$E$7:$E$3000))))</f>
        <v/>
      </c>
      <c r="BV28" s="32" t="str">
        <f>+IF(BV$3="","",IF($AY28="","",IFERROR(INDEX('Data Consolidada'!$E$7:$E$891,MATCH(CONCATENATE(BV$3,"-",$CP28,"-",$AY28),'Data Consolidada'!$K$7:$K$891,0)),MAX('Data Consolidada'!$E$7:$E$3000))))</f>
        <v/>
      </c>
      <c r="BW28" s="32" t="str">
        <f>+IF(BW$3="","",IF($AY28="","",IFERROR(INDEX('Data Consolidada'!$E$7:$E$891,MATCH(CONCATENATE(BW$3,"-",$CP28,"-",$AY28),'Data Consolidada'!$K$7:$K$891,0)),MAX('Data Consolidada'!$E$7:$E$3000))))</f>
        <v/>
      </c>
      <c r="BX28" s="32" t="str">
        <f>+IF(BX$3="","",IF($AY28="","",IFERROR(INDEX('Data Consolidada'!$E$7:$E$891,MATCH(CONCATENATE(BX$3,"-",$CP28,"-",$AY28),'Data Consolidada'!$K$7:$K$891,0)),MAX('Data Consolidada'!$E$7:$E$3000))))</f>
        <v/>
      </c>
      <c r="BY28" s="32" t="str">
        <f>+IF(BY$3="","",IF($AY28="","",IFERROR(INDEX('Data Consolidada'!$E$7:$E$891,MATCH(CONCATENATE(BY$3,"-",$CP28,"-",$AY28),'Data Consolidada'!$K$7:$K$891,0)),MAX('Data Consolidada'!$E$7:$E$3000))))</f>
        <v/>
      </c>
      <c r="BZ28" s="32" t="str">
        <f>+IF(BZ$3="","",IF($AY28="","",IFERROR(INDEX('Data Consolidada'!$E$7:$E$891,MATCH(CONCATENATE(BZ$3,"-",$CP28,"-",$AY28),'Data Consolidada'!$K$7:$K$891,0)),MAX('Data Consolidada'!$E$7:$E$3000))))</f>
        <v/>
      </c>
      <c r="CA28" s="32" t="str">
        <f>+IF(CA$3="","",IF($AY28="","",IFERROR(INDEX('Data Consolidada'!$E$7:$E$891,MATCH(CONCATENATE(CA$3,"-",$CP28,"-",$AY28),'Data Consolidada'!$K$7:$K$891,0)),MAX('Data Consolidada'!$E$7:$E$3000))))</f>
        <v/>
      </c>
      <c r="CB28" s="32" t="str">
        <f>+IF(CB$3="","",IF($AY28="","",IFERROR(INDEX('Data Consolidada'!$E$7:$E$891,MATCH(CONCATENATE(CB$3,"-",$CP28,"-",$AY28),'Data Consolidada'!$K$7:$K$891,0)),MAX('Data Consolidada'!$E$7:$E$3000))))</f>
        <v/>
      </c>
      <c r="CC28" s="32" t="str">
        <f>+IF(CC$3="","",IF($AY28="","",IFERROR(INDEX('Data Consolidada'!$E$7:$E$891,MATCH(CONCATENATE(CC$3,"-",$CP28,"-",$AY28),'Data Consolidada'!$K$7:$K$891,0)),MAX('Data Consolidada'!$E$7:$E$3000))))</f>
        <v/>
      </c>
      <c r="CD28" s="32" t="str">
        <f>+IF(CD$3="","",IF($AY28="","",IFERROR(INDEX('Data Consolidada'!$E$7:$E$891,MATCH(CONCATENATE(CD$3,"-",$CP28,"-",$AY28),'Data Consolidada'!$K$7:$K$891,0)),MAX('Data Consolidada'!$E$7:$E$3000))))</f>
        <v/>
      </c>
      <c r="CE28" s="32" t="str">
        <f>+IF(CE$3="","",IF($AY28="","",IFERROR(INDEX('Data Consolidada'!$E$7:$E$891,MATCH(CONCATENATE(CE$3,"-",$CP28,"-",$AY28),'Data Consolidada'!$K$7:$K$891,0)),MAX('Data Consolidada'!$E$7:$E$3000))))</f>
        <v/>
      </c>
      <c r="CF28" s="32" t="str">
        <f>+IF(CF$3="","",IF($AY28="","",IFERROR(INDEX('Data Consolidada'!$E$7:$E$891,MATCH(CONCATENATE(CF$3,"-",$CP28,"-",$AY28),'Data Consolidada'!$K$7:$K$891,0)),MAX('Data Consolidada'!$E$7:$E$3000))))</f>
        <v/>
      </c>
      <c r="CG28" s="32" t="str">
        <f>+IF(CG$3="","",IF($AY28="","",IFERROR(INDEX('Data Consolidada'!$E$7:$E$891,MATCH(CONCATENATE(CG$3,"-",$CP28,"-",$AY28),'Data Consolidada'!$K$7:$K$891,0)),MAX('Data Consolidada'!$E$7:$E$3000))))</f>
        <v/>
      </c>
      <c r="CH28" s="32" t="str">
        <f>+IF(CH$3="","",IF($AY28="","",IFERROR(INDEX('Data Consolidada'!$E$7:$E$891,MATCH(CONCATENATE(CH$3,"-",$CP28,"-",$AY28),'Data Consolidada'!$K$7:$K$891,0)),MAX('Data Consolidada'!$E$7:$E$3000))))</f>
        <v/>
      </c>
      <c r="CI28" s="32" t="str">
        <f>+IF(CI$3="","",IF($AY28="","",IFERROR(INDEX('Data Consolidada'!$E$7:$E$891,MATCH(CONCATENATE(CI$3,"-",$CP28,"-",$AY28),'Data Consolidada'!$K$7:$K$891,0)),MAX('Data Consolidada'!$E$7:$E$3000))))</f>
        <v/>
      </c>
      <c r="CJ28" s="32" t="str">
        <f>+IF(CJ$3="","",IF($AY28="","",IFERROR(INDEX('Data Consolidada'!$E$7:$E$891,MATCH(CONCATENATE(CJ$3,"-",$CP28,"-",$AY28),'Data Consolidada'!$K$7:$K$891,0)),MAX('Data Consolidada'!$E$7:$E$3000))))</f>
        <v/>
      </c>
      <c r="CK28" s="32" t="str">
        <f>+IF(CK$3="","",IF($AY28="","",IFERROR(INDEX('Data Consolidada'!$E$7:$E$891,MATCH(CONCATENATE(CK$3,"-",$CP28,"-",$AY28),'Data Consolidada'!$K$7:$K$891,0)),MAX('Data Consolidada'!$E$7:$E$3000))))</f>
        <v/>
      </c>
      <c r="CL28" s="32" t="str">
        <f>+IF(CL$3="","",IF($AY28="","",IFERROR(INDEX('Data Consolidada'!$E$7:$E$891,MATCH(CONCATENATE(CL$3,"-",$CP28,"-",$AY28),'Data Consolidada'!$K$7:$K$891,0)),MAX('Data Consolidada'!$E$7:$E$3000))))</f>
        <v/>
      </c>
      <c r="CM28" s="32" t="str">
        <f>+IF(CM$3="","",IF($AY28="","",IFERROR(INDEX('Data Consolidada'!$E$7:$E$891,MATCH(CONCATENATE(CM$3,"-",$CP28,"-",$AY28),'Data Consolidada'!$K$7:$K$891,0)),MAX('Data Consolidada'!$E$7:$E$3000))))</f>
        <v/>
      </c>
      <c r="CN28" s="32" t="str">
        <f>+IF(CN$3="","",IF($AY28="","",IFERROR(INDEX('Data Consolidada'!$E$7:$E$891,MATCH(CONCATENATE(CN$3,"-",$CP28,"-",$AY28),'Data Consolidada'!$K$7:$K$891,0)),MAX('Data Consolidada'!$E$7:$E$3000))))</f>
        <v/>
      </c>
      <c r="CO28" s="37" t="str">
        <f>+IF(CO$3="","",IF($AY28="","",IFERROR(INDEX('Data Consolidada'!$E$7:$E$891,MATCH(CONCATENATE(CO$3,"-",$CP28,"-",$AY28),'Data Consolidada'!$K$7:$K$891,0)),MAX('Data Consolidada'!$E$7:$E$3000))))</f>
        <v/>
      </c>
      <c r="CP28" s="224" t="str">
        <f t="shared" ca="1" si="2"/>
        <v>MOSTAZAL</v>
      </c>
      <c r="CQ28" s="84" t="str">
        <f t="shared" ca="1" si="3"/>
        <v>TRANS. MAX SOTO G. E.I.R.L.MOSTAZAL</v>
      </c>
    </row>
    <row r="29" spans="2:95" ht="15" customHeight="1" x14ac:dyDescent="0.35">
      <c r="B29" s="46"/>
      <c r="C29" s="5"/>
      <c r="D29" s="15"/>
      <c r="F29" s="257" t="s">
        <v>157</v>
      </c>
      <c r="G29" s="14"/>
      <c r="H29" s="204"/>
      <c r="I29" s="267" t="str">
        <f t="shared" si="6"/>
        <v/>
      </c>
      <c r="J29" s="268" t="str">
        <f t="shared" si="7"/>
        <v/>
      </c>
      <c r="K29" s="268" t="str">
        <f t="shared" si="8"/>
        <v/>
      </c>
      <c r="L29" s="268" t="str">
        <f t="shared" si="9"/>
        <v/>
      </c>
      <c r="M29" s="268" t="str">
        <f t="shared" si="10"/>
        <v/>
      </c>
      <c r="N29" s="268" t="str">
        <f t="shared" si="11"/>
        <v/>
      </c>
      <c r="O29" s="268" t="str">
        <f t="shared" si="12"/>
        <v/>
      </c>
      <c r="P29" s="268" t="str">
        <f t="shared" si="13"/>
        <v/>
      </c>
      <c r="Q29" s="268" t="str">
        <f t="shared" si="20"/>
        <v/>
      </c>
      <c r="R29" s="268" t="str">
        <f t="shared" si="14"/>
        <v/>
      </c>
      <c r="S29" s="268" t="str">
        <f t="shared" si="15"/>
        <v/>
      </c>
      <c r="T29" s="268" t="str">
        <f t="shared" si="16"/>
        <v/>
      </c>
      <c r="U29" s="268" t="str">
        <f t="shared" si="17"/>
        <v/>
      </c>
      <c r="V29" s="269" t="str">
        <f t="shared" si="18"/>
        <v/>
      </c>
      <c r="W29" s="55" cm="1">
        <f t="array" ref="W29">+IFERROR(_xlfn.IFS(F29="Totes",IF(I29="",0,ROUNDUP(I29*$I$11/$G$9,0))+IF(J29="",0,ROUNDUP(J29*$J$11/$G$9,0))+IF(K29="",0,ROUNDUP(K29*$K$11/$G$9,0))+IF(L29="",0,ROUNDUP(L29*$L$11/$G$9,0))+IF(M29="",0,ROUNDUP(M29*$M$11/$G$9,0))+IF(N29="",0,ROUNDUP(N29*$N$11/$G$9,0))+IF(O29="",0,ROUNDUP(O29*$O$11/$G$9,0))+IF(P29="",0,ROUNDUP(P29*$P$11/$G$9,0))+IF(Q29="",0,ROUNDUP(Q29*$Q$11/$G$9,0))+IF(R29="",0,ROUNDUP(R29*$R$11/$G$9,0))+IF(S29="",0,ROUNDUP(S29*$S$11/$G$9,0))+IF(T29="",0,ROUNDUP(T29*$T$11/$G$9,0))+IF(U29="",0,ROUNDUP(U29*$U$11/$G$9,0))+IF(V29="",0,ROUNDUP(V29*$V$11/$G$9,0)),F29="Mini Bins",IF(I29="",0,ROUNDUP(I29*$I$11/$J$6,0))+IF(J29="",0,ROUNDUP(J29*$J$11/$J$6,0))+IF(K29="",0,ROUNDUP(K29*$K$11/$J$6,0))+IF(L29="",0,ROUNDUP(L29*$L$11/$J$6,0))+IF(M29="",0,ROUNDUP(M29*$M$11/$J$6,0))+IF(N29="",0,ROUNDUP(N29*$N$11/$J$6,0))+IF(O29="",0,ROUNDUP(O29*$O$11/$J$6,0))+IF(P29="",0,ROUNDUP(P29*$P$11/$J$6,0))+IF(Q29="",0,ROUNDUP(Q29*$Q$11/$J$6,0))+IF(R29="",0,ROUNDUP(R29*$R$11/$J$6,0))+IF(S29="",0,ROUNDUP(S29*$S$11/$J$6,0))+IF(T29="",0,ROUNDUP(T29*$T$11/$J$6,0))+IF(U29="",0,ROUNDUP(U29*$U$11/$J$6,0))+IF(V29="",0,ROUNDUP(V29*$V$11/$J$6,0))),0)</f>
        <v>0</v>
      </c>
      <c r="X29" s="254">
        <f t="shared" si="19"/>
        <v>0</v>
      </c>
      <c r="Z29" s="245" t="s">
        <v>77</v>
      </c>
      <c r="AA29" s="247">
        <v>4</v>
      </c>
      <c r="AB29" s="254" cm="1">
        <f t="array" aca="1" ref="AB29" ca="1">+SUM(IF($B$72:$B$217=Z29,$C$72:$AR$217))</f>
        <v>0</v>
      </c>
      <c r="AC29" s="211">
        <f t="shared" ca="1" si="4"/>
        <v>0</v>
      </c>
      <c r="AF29" s="14"/>
      <c r="AG29" s="204"/>
      <c r="AH29" s="228"/>
      <c r="AI29" s="196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6"/>
      <c r="AU29" s="229"/>
      <c r="AW29" s="13">
        <f>+IF(AX29="","",IF(AX29&gt;AX28,AW28,IF(AW28&lt;$D$69,AW28+1,IF(COUNT(AW$4:AW28)&lt;$B$69*$E$54,1,""))))</f>
        <v>2</v>
      </c>
      <c r="AX29" s="13">
        <f>+IF(AX28&lt;$B$69,AX28+1,IF(COUNT(AX$4:AX28)&lt;$B$69*$D$69,1,""))</f>
        <v>13</v>
      </c>
      <c r="AY29" s="189" t="str">
        <f t="shared" ca="1" si="1"/>
        <v>TRANS. MITRE SPA.</v>
      </c>
      <c r="AZ29" s="36">
        <f ca="1">+IF(AZ$3="","",IF($AY29="","",IFERROR(INDEX('Data Consolidada'!$E$7:$E$891,MATCH(CONCATENATE(AZ$3,"-",$CP29,"-",$AY29),'Data Consolidada'!$K$7:$K$891,0)),MAX('Data Consolidada'!$E$7:$E$3000))))</f>
        <v>11000000</v>
      </c>
      <c r="BA29" s="32">
        <f ca="1">+IF(BA$3="","",IF($AY29="","",IFERROR(INDEX('Data Consolidada'!$E$7:$E$891,MATCH(CONCATENATE(BA$3,"-",$CP29,"-",$AY29),'Data Consolidada'!$K$7:$K$891,0)),MAX('Data Consolidada'!$E$7:$E$3000))))</f>
        <v>11000000</v>
      </c>
      <c r="BB29" s="32" t="str">
        <f>+IF(BB$3="","",IF($AY29="","",IFERROR(INDEX('Data Consolidada'!$E$7:$E$891,MATCH(CONCATENATE(BB$3,"-",$CP29,"-",$AY29),'Data Consolidada'!$K$7:$K$891,0)),MAX('Data Consolidada'!$E$7:$E$3000))))</f>
        <v/>
      </c>
      <c r="BC29" s="32" t="str">
        <f>+IF(BC$3="","",IF($AY29="","",IFERROR(INDEX('Data Consolidada'!$E$7:$E$891,MATCH(CONCATENATE(BC$3,"-",$CP29,"-",$AY29),'Data Consolidada'!$K$7:$K$891,0)),MAX('Data Consolidada'!$E$7:$E$3000))))</f>
        <v/>
      </c>
      <c r="BD29" s="32" t="str">
        <f>+IF(BD$3="","",IF($AY29="","",IFERROR(INDEX('Data Consolidada'!$E$7:$E$891,MATCH(CONCATENATE(BD$3,"-",$CP29,"-",$AY29),'Data Consolidada'!$K$7:$K$891,0)),MAX('Data Consolidada'!$E$7:$E$3000))))</f>
        <v/>
      </c>
      <c r="BE29" s="32" t="str">
        <f>+IF(BE$3="","",IF($AY29="","",IFERROR(INDEX('Data Consolidada'!$E$7:$E$891,MATCH(CONCATENATE(BE$3,"-",$CP29,"-",$AY29),'Data Consolidada'!$K$7:$K$891,0)),MAX('Data Consolidada'!$E$7:$E$3000))))</f>
        <v/>
      </c>
      <c r="BF29" s="32" t="str">
        <f>+IF(BF$3="","",IF($AY29="","",IFERROR(INDEX('Data Consolidada'!$E$7:$E$891,MATCH(CONCATENATE(BF$3,"-",$CP29,"-",$AY29),'Data Consolidada'!$K$7:$K$891,0)),MAX('Data Consolidada'!$E$7:$E$3000))))</f>
        <v/>
      </c>
      <c r="BG29" s="32" t="str">
        <f>+IF(BG$3="","",IF($AY29="","",IFERROR(INDEX('Data Consolidada'!$E$7:$E$891,MATCH(CONCATENATE(BG$3,"-",$CP29,"-",$AY29),'Data Consolidada'!$K$7:$K$891,0)),MAX('Data Consolidada'!$E$7:$E$3000))))</f>
        <v/>
      </c>
      <c r="BH29" s="32" t="str">
        <f>+IF(BH$3="","",IF($AY29="","",IFERROR(INDEX('Data Consolidada'!$E$7:$E$891,MATCH(CONCATENATE(BH$3,"-",$CP29,"-",$AY29),'Data Consolidada'!$K$7:$K$891,0)),MAX('Data Consolidada'!$E$7:$E$3000))))</f>
        <v/>
      </c>
      <c r="BI29" s="32" t="str">
        <f>+IF(BI$3="","",IF($AY29="","",IFERROR(INDEX('Data Consolidada'!$E$7:$E$891,MATCH(CONCATENATE(BI$3,"-",$CP29,"-",$AY29),'Data Consolidada'!$K$7:$K$891,0)),MAX('Data Consolidada'!$E$7:$E$3000))))</f>
        <v/>
      </c>
      <c r="BJ29" s="32" t="str">
        <f>+IF(BJ$3="","",IF($AY29="","",IFERROR(INDEX('Data Consolidada'!$E$7:$E$891,MATCH(CONCATENATE(BJ$3,"-",$CP29,"-",$AY29),'Data Consolidada'!$K$7:$K$891,0)),MAX('Data Consolidada'!$E$7:$E$3000))))</f>
        <v/>
      </c>
      <c r="BK29" s="32" t="str">
        <f>+IF(BK$3="","",IF($AY29="","",IFERROR(INDEX('Data Consolidada'!$E$7:$E$891,MATCH(CONCATENATE(BK$3,"-",$CP29,"-",$AY29),'Data Consolidada'!$K$7:$K$891,0)),MAX('Data Consolidada'!$E$7:$E$3000))))</f>
        <v/>
      </c>
      <c r="BL29" s="32" t="str">
        <f>+IF(BL$3="","",IF($AY29="","",IFERROR(INDEX('Data Consolidada'!$E$7:$E$891,MATCH(CONCATENATE(BL$3,"-",$CP29,"-",$AY29),'Data Consolidada'!$K$7:$K$891,0)),MAX('Data Consolidada'!$E$7:$E$3000))))</f>
        <v/>
      </c>
      <c r="BM29" s="32" t="str">
        <f>+IF(BM$3="","",IF($AY29="","",IFERROR(INDEX('Data Consolidada'!$E$7:$E$891,MATCH(CONCATENATE(BM$3,"-",$CP29,"-",$AY29),'Data Consolidada'!$K$7:$K$891,0)),MAX('Data Consolidada'!$E$7:$E$3000))))</f>
        <v/>
      </c>
      <c r="BN29" s="32" t="str">
        <f>+IF(BN$3="","",IF($AY29="","",IFERROR(INDEX('Data Consolidada'!$E$7:$E$891,MATCH(CONCATENATE(BN$3,"-",$CP29,"-",$AY29),'Data Consolidada'!$K$7:$K$891,0)),MAX('Data Consolidada'!$E$7:$E$3000))))</f>
        <v/>
      </c>
      <c r="BO29" s="32" t="str">
        <f>+IF(BO$3="","",IF($AY29="","",IFERROR(INDEX('Data Consolidada'!$E$7:$E$891,MATCH(CONCATENATE(BO$3,"-",$CP29,"-",$AY29),'Data Consolidada'!$K$7:$K$891,0)),MAX('Data Consolidada'!$E$7:$E$3000))))</f>
        <v/>
      </c>
      <c r="BP29" s="32" t="str">
        <f>+IF(BP$3="","",IF($AY29="","",IFERROR(INDEX('Data Consolidada'!$E$7:$E$891,MATCH(CONCATENATE(BP$3,"-",$CP29,"-",$AY29),'Data Consolidada'!$K$7:$K$891,0)),MAX('Data Consolidada'!$E$7:$E$3000))))</f>
        <v/>
      </c>
      <c r="BQ29" s="32" t="str">
        <f>+IF(BQ$3="","",IF($AY29="","",IFERROR(INDEX('Data Consolidada'!$E$7:$E$891,MATCH(CONCATENATE(BQ$3,"-",$CP29,"-",$AY29),'Data Consolidada'!$K$7:$K$891,0)),MAX('Data Consolidada'!$E$7:$E$3000))))</f>
        <v/>
      </c>
      <c r="BR29" s="32" t="str">
        <f>+IF(BR$3="","",IF($AY29="","",IFERROR(INDEX('Data Consolidada'!$E$7:$E$891,MATCH(CONCATENATE(BR$3,"-",$CP29,"-",$AY29),'Data Consolidada'!$K$7:$K$891,0)),MAX('Data Consolidada'!$E$7:$E$3000))))</f>
        <v/>
      </c>
      <c r="BS29" s="32" t="str">
        <f>+IF(BS$3="","",IF($AY29="","",IFERROR(INDEX('Data Consolidada'!$E$7:$E$891,MATCH(CONCATENATE(BS$3,"-",$CP29,"-",$AY29),'Data Consolidada'!$K$7:$K$891,0)),MAX('Data Consolidada'!$E$7:$E$3000))))</f>
        <v/>
      </c>
      <c r="BT29" s="32" t="str">
        <f>+IF(BT$3="","",IF($AY29="","",IFERROR(INDEX('Data Consolidada'!$E$7:$E$891,MATCH(CONCATENATE(BT$3,"-",$CP29,"-",$AY29),'Data Consolidada'!$K$7:$K$891,0)),MAX('Data Consolidada'!$E$7:$E$3000))))</f>
        <v/>
      </c>
      <c r="BU29" s="32" t="str">
        <f>+IF(BU$3="","",IF($AY29="","",IFERROR(INDEX('Data Consolidada'!$E$7:$E$891,MATCH(CONCATENATE(BU$3,"-",$CP29,"-",$AY29),'Data Consolidada'!$K$7:$K$891,0)),MAX('Data Consolidada'!$E$7:$E$3000))))</f>
        <v/>
      </c>
      <c r="BV29" s="32" t="str">
        <f>+IF(BV$3="","",IF($AY29="","",IFERROR(INDEX('Data Consolidada'!$E$7:$E$891,MATCH(CONCATENATE(BV$3,"-",$CP29,"-",$AY29),'Data Consolidada'!$K$7:$K$891,0)),MAX('Data Consolidada'!$E$7:$E$3000))))</f>
        <v/>
      </c>
      <c r="BW29" s="32" t="str">
        <f>+IF(BW$3="","",IF($AY29="","",IFERROR(INDEX('Data Consolidada'!$E$7:$E$891,MATCH(CONCATENATE(BW$3,"-",$CP29,"-",$AY29),'Data Consolidada'!$K$7:$K$891,0)),MAX('Data Consolidada'!$E$7:$E$3000))))</f>
        <v/>
      </c>
      <c r="BX29" s="32" t="str">
        <f>+IF(BX$3="","",IF($AY29="","",IFERROR(INDEX('Data Consolidada'!$E$7:$E$891,MATCH(CONCATENATE(BX$3,"-",$CP29,"-",$AY29),'Data Consolidada'!$K$7:$K$891,0)),MAX('Data Consolidada'!$E$7:$E$3000))))</f>
        <v/>
      </c>
      <c r="BY29" s="32" t="str">
        <f>+IF(BY$3="","",IF($AY29="","",IFERROR(INDEX('Data Consolidada'!$E$7:$E$891,MATCH(CONCATENATE(BY$3,"-",$CP29,"-",$AY29),'Data Consolidada'!$K$7:$K$891,0)),MAX('Data Consolidada'!$E$7:$E$3000))))</f>
        <v/>
      </c>
      <c r="BZ29" s="32" t="str">
        <f>+IF(BZ$3="","",IF($AY29="","",IFERROR(INDEX('Data Consolidada'!$E$7:$E$891,MATCH(CONCATENATE(BZ$3,"-",$CP29,"-",$AY29),'Data Consolidada'!$K$7:$K$891,0)),MAX('Data Consolidada'!$E$7:$E$3000))))</f>
        <v/>
      </c>
      <c r="CA29" s="32" t="str">
        <f>+IF(CA$3="","",IF($AY29="","",IFERROR(INDEX('Data Consolidada'!$E$7:$E$891,MATCH(CONCATENATE(CA$3,"-",$CP29,"-",$AY29),'Data Consolidada'!$K$7:$K$891,0)),MAX('Data Consolidada'!$E$7:$E$3000))))</f>
        <v/>
      </c>
      <c r="CB29" s="32" t="str">
        <f>+IF(CB$3="","",IF($AY29="","",IFERROR(INDEX('Data Consolidada'!$E$7:$E$891,MATCH(CONCATENATE(CB$3,"-",$CP29,"-",$AY29),'Data Consolidada'!$K$7:$K$891,0)),MAX('Data Consolidada'!$E$7:$E$3000))))</f>
        <v/>
      </c>
      <c r="CC29" s="32" t="str">
        <f>+IF(CC$3="","",IF($AY29="","",IFERROR(INDEX('Data Consolidada'!$E$7:$E$891,MATCH(CONCATENATE(CC$3,"-",$CP29,"-",$AY29),'Data Consolidada'!$K$7:$K$891,0)),MAX('Data Consolidada'!$E$7:$E$3000))))</f>
        <v/>
      </c>
      <c r="CD29" s="32" t="str">
        <f>+IF(CD$3="","",IF($AY29="","",IFERROR(INDEX('Data Consolidada'!$E$7:$E$891,MATCH(CONCATENATE(CD$3,"-",$CP29,"-",$AY29),'Data Consolidada'!$K$7:$K$891,0)),MAX('Data Consolidada'!$E$7:$E$3000))))</f>
        <v/>
      </c>
      <c r="CE29" s="32" t="str">
        <f>+IF(CE$3="","",IF($AY29="","",IFERROR(INDEX('Data Consolidada'!$E$7:$E$891,MATCH(CONCATENATE(CE$3,"-",$CP29,"-",$AY29),'Data Consolidada'!$K$7:$K$891,0)),MAX('Data Consolidada'!$E$7:$E$3000))))</f>
        <v/>
      </c>
      <c r="CF29" s="32" t="str">
        <f>+IF(CF$3="","",IF($AY29="","",IFERROR(INDEX('Data Consolidada'!$E$7:$E$891,MATCH(CONCATENATE(CF$3,"-",$CP29,"-",$AY29),'Data Consolidada'!$K$7:$K$891,0)),MAX('Data Consolidada'!$E$7:$E$3000))))</f>
        <v/>
      </c>
      <c r="CG29" s="32" t="str">
        <f>+IF(CG$3="","",IF($AY29="","",IFERROR(INDEX('Data Consolidada'!$E$7:$E$891,MATCH(CONCATENATE(CG$3,"-",$CP29,"-",$AY29),'Data Consolidada'!$K$7:$K$891,0)),MAX('Data Consolidada'!$E$7:$E$3000))))</f>
        <v/>
      </c>
      <c r="CH29" s="32" t="str">
        <f>+IF(CH$3="","",IF($AY29="","",IFERROR(INDEX('Data Consolidada'!$E$7:$E$891,MATCH(CONCATENATE(CH$3,"-",$CP29,"-",$AY29),'Data Consolidada'!$K$7:$K$891,0)),MAX('Data Consolidada'!$E$7:$E$3000))))</f>
        <v/>
      </c>
      <c r="CI29" s="32" t="str">
        <f>+IF(CI$3="","",IF($AY29="","",IFERROR(INDEX('Data Consolidada'!$E$7:$E$891,MATCH(CONCATENATE(CI$3,"-",$CP29,"-",$AY29),'Data Consolidada'!$K$7:$K$891,0)),MAX('Data Consolidada'!$E$7:$E$3000))))</f>
        <v/>
      </c>
      <c r="CJ29" s="32" t="str">
        <f>+IF(CJ$3="","",IF($AY29="","",IFERROR(INDEX('Data Consolidada'!$E$7:$E$891,MATCH(CONCATENATE(CJ$3,"-",$CP29,"-",$AY29),'Data Consolidada'!$K$7:$K$891,0)),MAX('Data Consolidada'!$E$7:$E$3000))))</f>
        <v/>
      </c>
      <c r="CK29" s="32" t="str">
        <f>+IF(CK$3="","",IF($AY29="","",IFERROR(INDEX('Data Consolidada'!$E$7:$E$891,MATCH(CONCATENATE(CK$3,"-",$CP29,"-",$AY29),'Data Consolidada'!$K$7:$K$891,0)),MAX('Data Consolidada'!$E$7:$E$3000))))</f>
        <v/>
      </c>
      <c r="CL29" s="32" t="str">
        <f>+IF(CL$3="","",IF($AY29="","",IFERROR(INDEX('Data Consolidada'!$E$7:$E$891,MATCH(CONCATENATE(CL$3,"-",$CP29,"-",$AY29),'Data Consolidada'!$K$7:$K$891,0)),MAX('Data Consolidada'!$E$7:$E$3000))))</f>
        <v/>
      </c>
      <c r="CM29" s="32" t="str">
        <f>+IF(CM$3="","",IF($AY29="","",IFERROR(INDEX('Data Consolidada'!$E$7:$E$891,MATCH(CONCATENATE(CM$3,"-",$CP29,"-",$AY29),'Data Consolidada'!$K$7:$K$891,0)),MAX('Data Consolidada'!$E$7:$E$3000))))</f>
        <v/>
      </c>
      <c r="CN29" s="32" t="str">
        <f>+IF(CN$3="","",IF($AY29="","",IFERROR(INDEX('Data Consolidada'!$E$7:$E$891,MATCH(CONCATENATE(CN$3,"-",$CP29,"-",$AY29),'Data Consolidada'!$K$7:$K$891,0)),MAX('Data Consolidada'!$E$7:$E$3000))))</f>
        <v/>
      </c>
      <c r="CO29" s="37" t="str">
        <f>+IF(CO$3="","",IF($AY29="","",IFERROR(INDEX('Data Consolidada'!$E$7:$E$891,MATCH(CONCATENATE(CO$3,"-",$CP29,"-",$AY29),'Data Consolidada'!$K$7:$K$891,0)),MAX('Data Consolidada'!$E$7:$E$3000))))</f>
        <v/>
      </c>
      <c r="CP29" s="224" t="str">
        <f t="shared" ca="1" si="2"/>
        <v>MOSTAZAL</v>
      </c>
      <c r="CQ29" s="84" t="str">
        <f t="shared" ca="1" si="3"/>
        <v>TRANS. MITRE SPA.MOSTAZAL</v>
      </c>
    </row>
    <row r="30" spans="2:95" ht="15" customHeight="1" x14ac:dyDescent="0.35">
      <c r="B30" s="46"/>
      <c r="C30" s="5"/>
      <c r="D30" s="15"/>
      <c r="F30" s="257" t="s">
        <v>158</v>
      </c>
      <c r="G30" s="14"/>
      <c r="H30" s="204"/>
      <c r="I30" s="267" t="str">
        <f t="shared" si="6"/>
        <v/>
      </c>
      <c r="J30" s="268" t="str">
        <f t="shared" si="7"/>
        <v/>
      </c>
      <c r="K30" s="268" t="str">
        <f t="shared" si="8"/>
        <v/>
      </c>
      <c r="L30" s="268" t="str">
        <f t="shared" si="9"/>
        <v/>
      </c>
      <c r="M30" s="268" t="str">
        <f t="shared" si="10"/>
        <v/>
      </c>
      <c r="N30" s="268" t="str">
        <f t="shared" si="11"/>
        <v/>
      </c>
      <c r="O30" s="268" t="str">
        <f t="shared" si="12"/>
        <v/>
      </c>
      <c r="P30" s="268" t="str">
        <f t="shared" si="13"/>
        <v/>
      </c>
      <c r="Q30" s="268" t="str">
        <f t="shared" si="20"/>
        <v/>
      </c>
      <c r="R30" s="268" t="str">
        <f t="shared" si="14"/>
        <v/>
      </c>
      <c r="S30" s="268" t="str">
        <f t="shared" si="15"/>
        <v/>
      </c>
      <c r="T30" s="268" t="str">
        <f t="shared" si="16"/>
        <v/>
      </c>
      <c r="U30" s="268" t="str">
        <f t="shared" si="17"/>
        <v/>
      </c>
      <c r="V30" s="269" t="str">
        <f t="shared" si="18"/>
        <v/>
      </c>
      <c r="W30" s="55" cm="1">
        <f t="array" ref="W30">+IFERROR(_xlfn.IFS(F30="Totes",IF(I30="",0,ROUNDUP(I30*$I$11/$G$9,0))+IF(J30="",0,ROUNDUP(J30*$J$11/$G$9,0))+IF(K30="",0,ROUNDUP(K30*$K$11/$G$9,0))+IF(L30="",0,ROUNDUP(L30*$L$11/$G$9,0))+IF(M30="",0,ROUNDUP(M30*$M$11/$G$9,0))+IF(N30="",0,ROUNDUP(N30*$N$11/$G$9,0))+IF(O30="",0,ROUNDUP(O30*$O$11/$G$9,0))+IF(P30="",0,ROUNDUP(P30*$P$11/$G$9,0))+IF(Q30="",0,ROUNDUP(Q30*$Q$11/$G$9,0))+IF(R30="",0,ROUNDUP(R30*$R$11/$G$9,0))+IF(S30="",0,ROUNDUP(S30*$S$11/$G$9,0))+IF(T30="",0,ROUNDUP(T30*$T$11/$G$9,0))+IF(U30="",0,ROUNDUP(U30*$U$11/$G$9,0))+IF(V30="",0,ROUNDUP(V30*$V$11/$G$9,0)),F30="Mini Bins",IF(I30="",0,ROUNDUP(I30*$I$11/$J$6,0))+IF(J30="",0,ROUNDUP(J30*$J$11/$J$6,0))+IF(K30="",0,ROUNDUP(K30*$K$11/$J$6,0))+IF(L30="",0,ROUNDUP(L30*$L$11/$J$6,0))+IF(M30="",0,ROUNDUP(M30*$M$11/$J$6,0))+IF(N30="",0,ROUNDUP(N30*$N$11/$J$6,0))+IF(O30="",0,ROUNDUP(O30*$O$11/$J$6,0))+IF(P30="",0,ROUNDUP(P30*$P$11/$J$6,0))+IF(Q30="",0,ROUNDUP(Q30*$Q$11/$J$6,0))+IF(R30="",0,ROUNDUP(R30*$R$11/$J$6,0))+IF(S30="",0,ROUNDUP(S30*$S$11/$J$6,0))+IF(T30="",0,ROUNDUP(T30*$T$11/$J$6,0))+IF(U30="",0,ROUNDUP(U30*$U$11/$J$6,0))+IF(V30="",0,ROUNDUP(V30*$V$11/$J$6,0))),0)</f>
        <v>0</v>
      </c>
      <c r="X30" s="254">
        <f t="shared" si="19"/>
        <v>0</v>
      </c>
      <c r="Z30" s="245" t="s">
        <v>81</v>
      </c>
      <c r="AA30" s="247">
        <v>4</v>
      </c>
      <c r="AB30" s="254" cm="1">
        <f t="array" aca="1" ref="AB30" ca="1">+SUM(IF($B$72:$B$217=Z30,$C$72:$AR$217))</f>
        <v>0</v>
      </c>
      <c r="AC30" s="211">
        <f t="shared" ca="1" si="4"/>
        <v>0</v>
      </c>
      <c r="AF30" s="14"/>
      <c r="AG30" s="204"/>
      <c r="AH30" s="228"/>
      <c r="AI30" s="196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6"/>
      <c r="AU30" s="229"/>
      <c r="AW30" s="13">
        <f>+IF(AX30="","",IF(AX30&gt;AX29,AW29,IF(AW29&lt;$D$69,AW29+1,IF(COUNT(AW$4:AW29)&lt;$B$69*$E$54,1,""))))</f>
        <v>3</v>
      </c>
      <c r="AX30" s="13">
        <f>+IF(AX29&lt;$B$69,AX29+1,IF(COUNT(AX$4:AX29)&lt;$B$69*$D$69,1,""))</f>
        <v>1</v>
      </c>
      <c r="AY30" s="189" t="str">
        <f t="shared" ca="1" si="1"/>
        <v xml:space="preserve">  TRANS. MORROS LTDA.</v>
      </c>
      <c r="AZ30" s="36">
        <f ca="1">+IF(AZ$3="","",IF($AY30="","",IFERROR(INDEX('Data Consolidada'!$E$7:$E$891,MATCH(CONCATENATE(AZ$3,"-",$CP30,"-",$AY30),'Data Consolidada'!$K$7:$K$891,0)),MAX('Data Consolidada'!$E$7:$E$3000))))</f>
        <v>11000000</v>
      </c>
      <c r="BA30" s="32">
        <f ca="1">+IF(BA$3="","",IF($AY30="","",IFERROR(INDEX('Data Consolidada'!$E$7:$E$891,MATCH(CONCATENATE(BA$3,"-",$CP30,"-",$AY30),'Data Consolidada'!$K$7:$K$891,0)),MAX('Data Consolidada'!$E$7:$E$3000))))</f>
        <v>11000000</v>
      </c>
      <c r="BB30" s="32" t="str">
        <f>+IF(BB$3="","",IF($AY30="","",IFERROR(INDEX('Data Consolidada'!$E$7:$E$891,MATCH(CONCATENATE(BB$3,"-",$CP30,"-",$AY30),'Data Consolidada'!$K$7:$K$891,0)),MAX('Data Consolidada'!$E$7:$E$3000))))</f>
        <v/>
      </c>
      <c r="BC30" s="32" t="str">
        <f>+IF(BC$3="","",IF($AY30="","",IFERROR(INDEX('Data Consolidada'!$E$7:$E$891,MATCH(CONCATENATE(BC$3,"-",$CP30,"-",$AY30),'Data Consolidada'!$K$7:$K$891,0)),MAX('Data Consolidada'!$E$7:$E$3000))))</f>
        <v/>
      </c>
      <c r="BD30" s="32" t="str">
        <f>+IF(BD$3="","",IF($AY30="","",IFERROR(INDEX('Data Consolidada'!$E$7:$E$891,MATCH(CONCATENATE(BD$3,"-",$CP30,"-",$AY30),'Data Consolidada'!$K$7:$K$891,0)),MAX('Data Consolidada'!$E$7:$E$3000))))</f>
        <v/>
      </c>
      <c r="BE30" s="32" t="str">
        <f>+IF(BE$3="","",IF($AY30="","",IFERROR(INDEX('Data Consolidada'!$E$7:$E$891,MATCH(CONCATENATE(BE$3,"-",$CP30,"-",$AY30),'Data Consolidada'!$K$7:$K$891,0)),MAX('Data Consolidada'!$E$7:$E$3000))))</f>
        <v/>
      </c>
      <c r="BF30" s="32" t="str">
        <f>+IF(BF$3="","",IF($AY30="","",IFERROR(INDEX('Data Consolidada'!$E$7:$E$891,MATCH(CONCATENATE(BF$3,"-",$CP30,"-",$AY30),'Data Consolidada'!$K$7:$K$891,0)),MAX('Data Consolidada'!$E$7:$E$3000))))</f>
        <v/>
      </c>
      <c r="BG30" s="32" t="str">
        <f>+IF(BG$3="","",IF($AY30="","",IFERROR(INDEX('Data Consolidada'!$E$7:$E$891,MATCH(CONCATENATE(BG$3,"-",$CP30,"-",$AY30),'Data Consolidada'!$K$7:$K$891,0)),MAX('Data Consolidada'!$E$7:$E$3000))))</f>
        <v/>
      </c>
      <c r="BH30" s="32" t="str">
        <f>+IF(BH$3="","",IF($AY30="","",IFERROR(INDEX('Data Consolidada'!$E$7:$E$891,MATCH(CONCATENATE(BH$3,"-",$CP30,"-",$AY30),'Data Consolidada'!$K$7:$K$891,0)),MAX('Data Consolidada'!$E$7:$E$3000))))</f>
        <v/>
      </c>
      <c r="BI30" s="32" t="str">
        <f>+IF(BI$3="","",IF($AY30="","",IFERROR(INDEX('Data Consolidada'!$E$7:$E$891,MATCH(CONCATENATE(BI$3,"-",$CP30,"-",$AY30),'Data Consolidada'!$K$7:$K$891,0)),MAX('Data Consolidada'!$E$7:$E$3000))))</f>
        <v/>
      </c>
      <c r="BJ30" s="32" t="str">
        <f>+IF(BJ$3="","",IF($AY30="","",IFERROR(INDEX('Data Consolidada'!$E$7:$E$891,MATCH(CONCATENATE(BJ$3,"-",$CP30,"-",$AY30),'Data Consolidada'!$K$7:$K$891,0)),MAX('Data Consolidada'!$E$7:$E$3000))))</f>
        <v/>
      </c>
      <c r="BK30" s="32" t="str">
        <f>+IF(BK$3="","",IF($AY30="","",IFERROR(INDEX('Data Consolidada'!$E$7:$E$891,MATCH(CONCATENATE(BK$3,"-",$CP30,"-",$AY30),'Data Consolidada'!$K$7:$K$891,0)),MAX('Data Consolidada'!$E$7:$E$3000))))</f>
        <v/>
      </c>
      <c r="BL30" s="32" t="str">
        <f>+IF(BL$3="","",IF($AY30="","",IFERROR(INDEX('Data Consolidada'!$E$7:$E$891,MATCH(CONCATENATE(BL$3,"-",$CP30,"-",$AY30),'Data Consolidada'!$K$7:$K$891,0)),MAX('Data Consolidada'!$E$7:$E$3000))))</f>
        <v/>
      </c>
      <c r="BM30" s="32" t="str">
        <f>+IF(BM$3="","",IF($AY30="","",IFERROR(INDEX('Data Consolidada'!$E$7:$E$891,MATCH(CONCATENATE(BM$3,"-",$CP30,"-",$AY30),'Data Consolidada'!$K$7:$K$891,0)),MAX('Data Consolidada'!$E$7:$E$3000))))</f>
        <v/>
      </c>
      <c r="BN30" s="32" t="str">
        <f>+IF(BN$3="","",IF($AY30="","",IFERROR(INDEX('Data Consolidada'!$E$7:$E$891,MATCH(CONCATENATE(BN$3,"-",$CP30,"-",$AY30),'Data Consolidada'!$K$7:$K$891,0)),MAX('Data Consolidada'!$E$7:$E$3000))))</f>
        <v/>
      </c>
      <c r="BO30" s="32" t="str">
        <f>+IF(BO$3="","",IF($AY30="","",IFERROR(INDEX('Data Consolidada'!$E$7:$E$891,MATCH(CONCATENATE(BO$3,"-",$CP30,"-",$AY30),'Data Consolidada'!$K$7:$K$891,0)),MAX('Data Consolidada'!$E$7:$E$3000))))</f>
        <v/>
      </c>
      <c r="BP30" s="32" t="str">
        <f>+IF(BP$3="","",IF($AY30="","",IFERROR(INDEX('Data Consolidada'!$E$7:$E$891,MATCH(CONCATENATE(BP$3,"-",$CP30,"-",$AY30),'Data Consolidada'!$K$7:$K$891,0)),MAX('Data Consolidada'!$E$7:$E$3000))))</f>
        <v/>
      </c>
      <c r="BQ30" s="32" t="str">
        <f>+IF(BQ$3="","",IF($AY30="","",IFERROR(INDEX('Data Consolidada'!$E$7:$E$891,MATCH(CONCATENATE(BQ$3,"-",$CP30,"-",$AY30),'Data Consolidada'!$K$7:$K$891,0)),MAX('Data Consolidada'!$E$7:$E$3000))))</f>
        <v/>
      </c>
      <c r="BR30" s="32" t="str">
        <f>+IF(BR$3="","",IF($AY30="","",IFERROR(INDEX('Data Consolidada'!$E$7:$E$891,MATCH(CONCATENATE(BR$3,"-",$CP30,"-",$AY30),'Data Consolidada'!$K$7:$K$891,0)),MAX('Data Consolidada'!$E$7:$E$3000))))</f>
        <v/>
      </c>
      <c r="BS30" s="32" t="str">
        <f>+IF(BS$3="","",IF($AY30="","",IFERROR(INDEX('Data Consolidada'!$E$7:$E$891,MATCH(CONCATENATE(BS$3,"-",$CP30,"-",$AY30),'Data Consolidada'!$K$7:$K$891,0)),MAX('Data Consolidada'!$E$7:$E$3000))))</f>
        <v/>
      </c>
      <c r="BT30" s="32" t="str">
        <f>+IF(BT$3="","",IF($AY30="","",IFERROR(INDEX('Data Consolidada'!$E$7:$E$891,MATCH(CONCATENATE(BT$3,"-",$CP30,"-",$AY30),'Data Consolidada'!$K$7:$K$891,0)),MAX('Data Consolidada'!$E$7:$E$3000))))</f>
        <v/>
      </c>
      <c r="BU30" s="32" t="str">
        <f>+IF(BU$3="","",IF($AY30="","",IFERROR(INDEX('Data Consolidada'!$E$7:$E$891,MATCH(CONCATENATE(BU$3,"-",$CP30,"-",$AY30),'Data Consolidada'!$K$7:$K$891,0)),MAX('Data Consolidada'!$E$7:$E$3000))))</f>
        <v/>
      </c>
      <c r="BV30" s="32" t="str">
        <f>+IF(BV$3="","",IF($AY30="","",IFERROR(INDEX('Data Consolidada'!$E$7:$E$891,MATCH(CONCATENATE(BV$3,"-",$CP30,"-",$AY30),'Data Consolidada'!$K$7:$K$891,0)),MAX('Data Consolidada'!$E$7:$E$3000))))</f>
        <v/>
      </c>
      <c r="BW30" s="32" t="str">
        <f>+IF(BW$3="","",IF($AY30="","",IFERROR(INDEX('Data Consolidada'!$E$7:$E$891,MATCH(CONCATENATE(BW$3,"-",$CP30,"-",$AY30),'Data Consolidada'!$K$7:$K$891,0)),MAX('Data Consolidada'!$E$7:$E$3000))))</f>
        <v/>
      </c>
      <c r="BX30" s="32" t="str">
        <f>+IF(BX$3="","",IF($AY30="","",IFERROR(INDEX('Data Consolidada'!$E$7:$E$891,MATCH(CONCATENATE(BX$3,"-",$CP30,"-",$AY30),'Data Consolidada'!$K$7:$K$891,0)),MAX('Data Consolidada'!$E$7:$E$3000))))</f>
        <v/>
      </c>
      <c r="BY30" s="32" t="str">
        <f>+IF(BY$3="","",IF($AY30="","",IFERROR(INDEX('Data Consolidada'!$E$7:$E$891,MATCH(CONCATENATE(BY$3,"-",$CP30,"-",$AY30),'Data Consolidada'!$K$7:$K$891,0)),MAX('Data Consolidada'!$E$7:$E$3000))))</f>
        <v/>
      </c>
      <c r="BZ30" s="32" t="str">
        <f>+IF(BZ$3="","",IF($AY30="","",IFERROR(INDEX('Data Consolidada'!$E$7:$E$891,MATCH(CONCATENATE(BZ$3,"-",$CP30,"-",$AY30),'Data Consolidada'!$K$7:$K$891,0)),MAX('Data Consolidada'!$E$7:$E$3000))))</f>
        <v/>
      </c>
      <c r="CA30" s="32" t="str">
        <f>+IF(CA$3="","",IF($AY30="","",IFERROR(INDEX('Data Consolidada'!$E$7:$E$891,MATCH(CONCATENATE(CA$3,"-",$CP30,"-",$AY30),'Data Consolidada'!$K$7:$K$891,0)),MAX('Data Consolidada'!$E$7:$E$3000))))</f>
        <v/>
      </c>
      <c r="CB30" s="32" t="str">
        <f>+IF(CB$3="","",IF($AY30="","",IFERROR(INDEX('Data Consolidada'!$E$7:$E$891,MATCH(CONCATENATE(CB$3,"-",$CP30,"-",$AY30),'Data Consolidada'!$K$7:$K$891,0)),MAX('Data Consolidada'!$E$7:$E$3000))))</f>
        <v/>
      </c>
      <c r="CC30" s="32" t="str">
        <f>+IF(CC$3="","",IF($AY30="","",IFERROR(INDEX('Data Consolidada'!$E$7:$E$891,MATCH(CONCATENATE(CC$3,"-",$CP30,"-",$AY30),'Data Consolidada'!$K$7:$K$891,0)),MAX('Data Consolidada'!$E$7:$E$3000))))</f>
        <v/>
      </c>
      <c r="CD30" s="32" t="str">
        <f>+IF(CD$3="","",IF($AY30="","",IFERROR(INDEX('Data Consolidada'!$E$7:$E$891,MATCH(CONCATENATE(CD$3,"-",$CP30,"-",$AY30),'Data Consolidada'!$K$7:$K$891,0)),MAX('Data Consolidada'!$E$7:$E$3000))))</f>
        <v/>
      </c>
      <c r="CE30" s="32" t="str">
        <f>+IF(CE$3="","",IF($AY30="","",IFERROR(INDEX('Data Consolidada'!$E$7:$E$891,MATCH(CONCATENATE(CE$3,"-",$CP30,"-",$AY30),'Data Consolidada'!$K$7:$K$891,0)),MAX('Data Consolidada'!$E$7:$E$3000))))</f>
        <v/>
      </c>
      <c r="CF30" s="32" t="str">
        <f>+IF(CF$3="","",IF($AY30="","",IFERROR(INDEX('Data Consolidada'!$E$7:$E$891,MATCH(CONCATENATE(CF$3,"-",$CP30,"-",$AY30),'Data Consolidada'!$K$7:$K$891,0)),MAX('Data Consolidada'!$E$7:$E$3000))))</f>
        <v/>
      </c>
      <c r="CG30" s="32" t="str">
        <f>+IF(CG$3="","",IF($AY30="","",IFERROR(INDEX('Data Consolidada'!$E$7:$E$891,MATCH(CONCATENATE(CG$3,"-",$CP30,"-",$AY30),'Data Consolidada'!$K$7:$K$891,0)),MAX('Data Consolidada'!$E$7:$E$3000))))</f>
        <v/>
      </c>
      <c r="CH30" s="32" t="str">
        <f>+IF(CH$3="","",IF($AY30="","",IFERROR(INDEX('Data Consolidada'!$E$7:$E$891,MATCH(CONCATENATE(CH$3,"-",$CP30,"-",$AY30),'Data Consolidada'!$K$7:$K$891,0)),MAX('Data Consolidada'!$E$7:$E$3000))))</f>
        <v/>
      </c>
      <c r="CI30" s="32" t="str">
        <f>+IF(CI$3="","",IF($AY30="","",IFERROR(INDEX('Data Consolidada'!$E$7:$E$891,MATCH(CONCATENATE(CI$3,"-",$CP30,"-",$AY30),'Data Consolidada'!$K$7:$K$891,0)),MAX('Data Consolidada'!$E$7:$E$3000))))</f>
        <v/>
      </c>
      <c r="CJ30" s="32" t="str">
        <f>+IF(CJ$3="","",IF($AY30="","",IFERROR(INDEX('Data Consolidada'!$E$7:$E$891,MATCH(CONCATENATE(CJ$3,"-",$CP30,"-",$AY30),'Data Consolidada'!$K$7:$K$891,0)),MAX('Data Consolidada'!$E$7:$E$3000))))</f>
        <v/>
      </c>
      <c r="CK30" s="32" t="str">
        <f>+IF(CK$3="","",IF($AY30="","",IFERROR(INDEX('Data Consolidada'!$E$7:$E$891,MATCH(CONCATENATE(CK$3,"-",$CP30,"-",$AY30),'Data Consolidada'!$K$7:$K$891,0)),MAX('Data Consolidada'!$E$7:$E$3000))))</f>
        <v/>
      </c>
      <c r="CL30" s="32" t="str">
        <f>+IF(CL$3="","",IF($AY30="","",IFERROR(INDEX('Data Consolidada'!$E$7:$E$891,MATCH(CONCATENATE(CL$3,"-",$CP30,"-",$AY30),'Data Consolidada'!$K$7:$K$891,0)),MAX('Data Consolidada'!$E$7:$E$3000))))</f>
        <v/>
      </c>
      <c r="CM30" s="32" t="str">
        <f>+IF(CM$3="","",IF($AY30="","",IFERROR(INDEX('Data Consolidada'!$E$7:$E$891,MATCH(CONCATENATE(CM$3,"-",$CP30,"-",$AY30),'Data Consolidada'!$K$7:$K$891,0)),MAX('Data Consolidada'!$E$7:$E$3000))))</f>
        <v/>
      </c>
      <c r="CN30" s="32" t="str">
        <f>+IF(CN$3="","",IF($AY30="","",IFERROR(INDEX('Data Consolidada'!$E$7:$E$891,MATCH(CONCATENATE(CN$3,"-",$CP30,"-",$AY30),'Data Consolidada'!$K$7:$K$891,0)),MAX('Data Consolidada'!$E$7:$E$3000))))</f>
        <v/>
      </c>
      <c r="CO30" s="37" t="str">
        <f>+IF(CO$3="","",IF($AY30="","",IFERROR(INDEX('Data Consolidada'!$E$7:$E$891,MATCH(CONCATENATE(CO$3,"-",$CP30,"-",$AY30),'Data Consolidada'!$K$7:$K$891,0)),MAX('Data Consolidada'!$E$7:$E$3000))))</f>
        <v/>
      </c>
      <c r="CP30" s="224">
        <f t="shared" ca="1" si="2"/>
        <v>0</v>
      </c>
      <c r="CQ30" s="84" t="str">
        <f t="shared" ca="1" si="3"/>
        <v xml:space="preserve">  TRANS. MORROS LTDA.0</v>
      </c>
    </row>
    <row r="31" spans="2:95" ht="15" customHeight="1" x14ac:dyDescent="0.35">
      <c r="B31" s="46"/>
      <c r="C31" s="5"/>
      <c r="D31" s="15"/>
      <c r="F31" s="257" t="s">
        <v>158</v>
      </c>
      <c r="G31" s="14"/>
      <c r="H31" s="204"/>
      <c r="I31" s="267" t="str">
        <f t="shared" si="6"/>
        <v/>
      </c>
      <c r="J31" s="268" t="str">
        <f t="shared" si="7"/>
        <v/>
      </c>
      <c r="K31" s="268" t="str">
        <f t="shared" si="8"/>
        <v/>
      </c>
      <c r="L31" s="268" t="str">
        <f t="shared" si="9"/>
        <v/>
      </c>
      <c r="M31" s="268" t="str">
        <f t="shared" si="10"/>
        <v/>
      </c>
      <c r="N31" s="268" t="str">
        <f t="shared" si="11"/>
        <v/>
      </c>
      <c r="O31" s="268" t="str">
        <f t="shared" si="12"/>
        <v/>
      </c>
      <c r="P31" s="268" t="str">
        <f t="shared" si="13"/>
        <v/>
      </c>
      <c r="Q31" s="268" t="str">
        <f t="shared" si="20"/>
        <v/>
      </c>
      <c r="R31" s="268" t="str">
        <f t="shared" si="14"/>
        <v/>
      </c>
      <c r="S31" s="268" t="str">
        <f t="shared" si="15"/>
        <v/>
      </c>
      <c r="T31" s="268" t="str">
        <f t="shared" si="16"/>
        <v/>
      </c>
      <c r="U31" s="268" t="str">
        <f t="shared" si="17"/>
        <v/>
      </c>
      <c r="V31" s="269" t="str">
        <f t="shared" si="18"/>
        <v/>
      </c>
      <c r="W31" s="55" cm="1">
        <f t="array" ref="W31">+IFERROR(_xlfn.IFS(F31="Totes",IF(I31="",0,ROUNDUP(I31*$I$11/$G$9,0))+IF(J31="",0,ROUNDUP(J31*$J$11/$G$9,0))+IF(K31="",0,ROUNDUP(K31*$K$11/$G$9,0))+IF(L31="",0,ROUNDUP(L31*$L$11/$G$9,0))+IF(M31="",0,ROUNDUP(M31*$M$11/$G$9,0))+IF(N31="",0,ROUNDUP(N31*$N$11/$G$9,0))+IF(O31="",0,ROUNDUP(O31*$O$11/$G$9,0))+IF(P31="",0,ROUNDUP(P31*$P$11/$G$9,0))+IF(Q31="",0,ROUNDUP(Q31*$Q$11/$G$9,0))+IF(R31="",0,ROUNDUP(R31*$R$11/$G$9,0))+IF(S31="",0,ROUNDUP(S31*$S$11/$G$9,0))+IF(T31="",0,ROUNDUP(T31*$T$11/$G$9,0))+IF(U31="",0,ROUNDUP(U31*$U$11/$G$9,0))+IF(V31="",0,ROUNDUP(V31*$V$11/$G$9,0)),F31="Mini Bins",IF(I31="",0,ROUNDUP(I31*$I$11/$J$6,0))+IF(J31="",0,ROUNDUP(J31*$J$11/$J$6,0))+IF(K31="",0,ROUNDUP(K31*$K$11/$J$6,0))+IF(L31="",0,ROUNDUP(L31*$L$11/$J$6,0))+IF(M31="",0,ROUNDUP(M31*$M$11/$J$6,0))+IF(N31="",0,ROUNDUP(N31*$N$11/$J$6,0))+IF(O31="",0,ROUNDUP(O31*$O$11/$J$6,0))+IF(P31="",0,ROUNDUP(P31*$P$11/$J$6,0))+IF(Q31="",0,ROUNDUP(Q31*$Q$11/$J$6,0))+IF(R31="",0,ROUNDUP(R31*$R$11/$J$6,0))+IF(S31="",0,ROUNDUP(S31*$S$11/$J$6,0))+IF(T31="",0,ROUNDUP(T31*$T$11/$J$6,0))+IF(U31="",0,ROUNDUP(U31*$U$11/$J$6,0))+IF(V31="",0,ROUNDUP(V31*$V$11/$J$6,0))),0)</f>
        <v>0</v>
      </c>
      <c r="X31" s="254">
        <f t="shared" si="19"/>
        <v>0</v>
      </c>
      <c r="Z31" s="245" t="s">
        <v>100</v>
      </c>
      <c r="AA31" s="247">
        <v>15</v>
      </c>
      <c r="AB31" s="254" cm="1">
        <f t="array" aca="1" ref="AB31" ca="1">+SUM(IF($B$72:$B$217=Z31,$C$72:$AR$217))</f>
        <v>0</v>
      </c>
      <c r="AC31" s="211">
        <f t="shared" ca="1" si="4"/>
        <v>0</v>
      </c>
      <c r="AF31" s="14"/>
      <c r="AG31" s="204"/>
      <c r="AH31" s="228"/>
      <c r="AI31" s="196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6"/>
      <c r="AU31" s="229"/>
      <c r="AW31" s="13">
        <f>+IF(AX31="","",IF(AX31&gt;AX30,AW30,IF(AW30&lt;$D$69,AW30+1,IF(COUNT(AW$4:AW30)&lt;$B$69*$E$54,1,""))))</f>
        <v>3</v>
      </c>
      <c r="AX31" s="13">
        <f>+IF(AX30&lt;$B$69,AX30+1,IF(COUNT(AX$4:AX30)&lt;$B$69*$D$69,1,""))</f>
        <v>2</v>
      </c>
      <c r="AY31" s="189" t="str">
        <f t="shared" ca="1" si="1"/>
        <v xml:space="preserve">CRISTIAN LÓPEZ </v>
      </c>
      <c r="AZ31" s="36">
        <f ca="1">+IF(AZ$3="","",IF($AY31="","",IFERROR(INDEX('Data Consolidada'!$E$7:$E$891,MATCH(CONCATENATE(AZ$3,"-",$CP31,"-",$AY31),'Data Consolidada'!$K$7:$K$891,0)),MAX('Data Consolidada'!$E$7:$E$3000))))</f>
        <v>11000000</v>
      </c>
      <c r="BA31" s="32">
        <f ca="1">+IF(BA$3="","",IF($AY31="","",IFERROR(INDEX('Data Consolidada'!$E$7:$E$891,MATCH(CONCATENATE(BA$3,"-",$CP31,"-",$AY31),'Data Consolidada'!$K$7:$K$891,0)),MAX('Data Consolidada'!$E$7:$E$3000))))</f>
        <v>11000000</v>
      </c>
      <c r="BB31" s="32" t="str">
        <f>+IF(BB$3="","",IF($AY31="","",IFERROR(INDEX('Data Consolidada'!$E$7:$E$891,MATCH(CONCATENATE(BB$3,"-",$CP31,"-",$AY31),'Data Consolidada'!$K$7:$K$891,0)),MAX('Data Consolidada'!$E$7:$E$3000))))</f>
        <v/>
      </c>
      <c r="BC31" s="32" t="str">
        <f>+IF(BC$3="","",IF($AY31="","",IFERROR(INDEX('Data Consolidada'!$E$7:$E$891,MATCH(CONCATENATE(BC$3,"-",$CP31,"-",$AY31),'Data Consolidada'!$K$7:$K$891,0)),MAX('Data Consolidada'!$E$7:$E$3000))))</f>
        <v/>
      </c>
      <c r="BD31" s="32" t="str">
        <f>+IF(BD$3="","",IF($AY31="","",IFERROR(INDEX('Data Consolidada'!$E$7:$E$891,MATCH(CONCATENATE(BD$3,"-",$CP31,"-",$AY31),'Data Consolidada'!$K$7:$K$891,0)),MAX('Data Consolidada'!$E$7:$E$3000))))</f>
        <v/>
      </c>
      <c r="BE31" s="32" t="str">
        <f>+IF(BE$3="","",IF($AY31="","",IFERROR(INDEX('Data Consolidada'!$E$7:$E$891,MATCH(CONCATENATE(BE$3,"-",$CP31,"-",$AY31),'Data Consolidada'!$K$7:$K$891,0)),MAX('Data Consolidada'!$E$7:$E$3000))))</f>
        <v/>
      </c>
      <c r="BF31" s="32" t="str">
        <f>+IF(BF$3="","",IF($AY31="","",IFERROR(INDEX('Data Consolidada'!$E$7:$E$891,MATCH(CONCATENATE(BF$3,"-",$CP31,"-",$AY31),'Data Consolidada'!$K$7:$K$891,0)),MAX('Data Consolidada'!$E$7:$E$3000))))</f>
        <v/>
      </c>
      <c r="BG31" s="32" t="str">
        <f>+IF(BG$3="","",IF($AY31="","",IFERROR(INDEX('Data Consolidada'!$E$7:$E$891,MATCH(CONCATENATE(BG$3,"-",$CP31,"-",$AY31),'Data Consolidada'!$K$7:$K$891,0)),MAX('Data Consolidada'!$E$7:$E$3000))))</f>
        <v/>
      </c>
      <c r="BH31" s="32" t="str">
        <f>+IF(BH$3="","",IF($AY31="","",IFERROR(INDEX('Data Consolidada'!$E$7:$E$891,MATCH(CONCATENATE(BH$3,"-",$CP31,"-",$AY31),'Data Consolidada'!$K$7:$K$891,0)),MAX('Data Consolidada'!$E$7:$E$3000))))</f>
        <v/>
      </c>
      <c r="BI31" s="32" t="str">
        <f>+IF(BI$3="","",IF($AY31="","",IFERROR(INDEX('Data Consolidada'!$E$7:$E$891,MATCH(CONCATENATE(BI$3,"-",$CP31,"-",$AY31),'Data Consolidada'!$K$7:$K$891,0)),MAX('Data Consolidada'!$E$7:$E$3000))))</f>
        <v/>
      </c>
      <c r="BJ31" s="32" t="str">
        <f>+IF(BJ$3="","",IF($AY31="","",IFERROR(INDEX('Data Consolidada'!$E$7:$E$891,MATCH(CONCATENATE(BJ$3,"-",$CP31,"-",$AY31),'Data Consolidada'!$K$7:$K$891,0)),MAX('Data Consolidada'!$E$7:$E$3000))))</f>
        <v/>
      </c>
      <c r="BK31" s="32" t="str">
        <f>+IF(BK$3="","",IF($AY31="","",IFERROR(INDEX('Data Consolidada'!$E$7:$E$891,MATCH(CONCATENATE(BK$3,"-",$CP31,"-",$AY31),'Data Consolidada'!$K$7:$K$891,0)),MAX('Data Consolidada'!$E$7:$E$3000))))</f>
        <v/>
      </c>
      <c r="BL31" s="32" t="str">
        <f>+IF(BL$3="","",IF($AY31="","",IFERROR(INDEX('Data Consolidada'!$E$7:$E$891,MATCH(CONCATENATE(BL$3,"-",$CP31,"-",$AY31),'Data Consolidada'!$K$7:$K$891,0)),MAX('Data Consolidada'!$E$7:$E$3000))))</f>
        <v/>
      </c>
      <c r="BM31" s="32" t="str">
        <f>+IF(BM$3="","",IF($AY31="","",IFERROR(INDEX('Data Consolidada'!$E$7:$E$891,MATCH(CONCATENATE(BM$3,"-",$CP31,"-",$AY31),'Data Consolidada'!$K$7:$K$891,0)),MAX('Data Consolidada'!$E$7:$E$3000))))</f>
        <v/>
      </c>
      <c r="BN31" s="32" t="str">
        <f>+IF(BN$3="","",IF($AY31="","",IFERROR(INDEX('Data Consolidada'!$E$7:$E$891,MATCH(CONCATENATE(BN$3,"-",$CP31,"-",$AY31),'Data Consolidada'!$K$7:$K$891,0)),MAX('Data Consolidada'!$E$7:$E$3000))))</f>
        <v/>
      </c>
      <c r="BO31" s="32" t="str">
        <f>+IF(BO$3="","",IF($AY31="","",IFERROR(INDEX('Data Consolidada'!$E$7:$E$891,MATCH(CONCATENATE(BO$3,"-",$CP31,"-",$AY31),'Data Consolidada'!$K$7:$K$891,0)),MAX('Data Consolidada'!$E$7:$E$3000))))</f>
        <v/>
      </c>
      <c r="BP31" s="32" t="str">
        <f>+IF(BP$3="","",IF($AY31="","",IFERROR(INDEX('Data Consolidada'!$E$7:$E$891,MATCH(CONCATENATE(BP$3,"-",$CP31,"-",$AY31),'Data Consolidada'!$K$7:$K$891,0)),MAX('Data Consolidada'!$E$7:$E$3000))))</f>
        <v/>
      </c>
      <c r="BQ31" s="32" t="str">
        <f>+IF(BQ$3="","",IF($AY31="","",IFERROR(INDEX('Data Consolidada'!$E$7:$E$891,MATCH(CONCATENATE(BQ$3,"-",$CP31,"-",$AY31),'Data Consolidada'!$K$7:$K$891,0)),MAX('Data Consolidada'!$E$7:$E$3000))))</f>
        <v/>
      </c>
      <c r="BR31" s="32" t="str">
        <f>+IF(BR$3="","",IF($AY31="","",IFERROR(INDEX('Data Consolidada'!$E$7:$E$891,MATCH(CONCATENATE(BR$3,"-",$CP31,"-",$AY31),'Data Consolidada'!$K$7:$K$891,0)),MAX('Data Consolidada'!$E$7:$E$3000))))</f>
        <v/>
      </c>
      <c r="BS31" s="32" t="str">
        <f>+IF(BS$3="","",IF($AY31="","",IFERROR(INDEX('Data Consolidada'!$E$7:$E$891,MATCH(CONCATENATE(BS$3,"-",$CP31,"-",$AY31),'Data Consolidada'!$K$7:$K$891,0)),MAX('Data Consolidada'!$E$7:$E$3000))))</f>
        <v/>
      </c>
      <c r="BT31" s="32" t="str">
        <f>+IF(BT$3="","",IF($AY31="","",IFERROR(INDEX('Data Consolidada'!$E$7:$E$891,MATCH(CONCATENATE(BT$3,"-",$CP31,"-",$AY31),'Data Consolidada'!$K$7:$K$891,0)),MAX('Data Consolidada'!$E$7:$E$3000))))</f>
        <v/>
      </c>
      <c r="BU31" s="32" t="str">
        <f>+IF(BU$3="","",IF($AY31="","",IFERROR(INDEX('Data Consolidada'!$E$7:$E$891,MATCH(CONCATENATE(BU$3,"-",$CP31,"-",$AY31),'Data Consolidada'!$K$7:$K$891,0)),MAX('Data Consolidada'!$E$7:$E$3000))))</f>
        <v/>
      </c>
      <c r="BV31" s="32" t="str">
        <f>+IF(BV$3="","",IF($AY31="","",IFERROR(INDEX('Data Consolidada'!$E$7:$E$891,MATCH(CONCATENATE(BV$3,"-",$CP31,"-",$AY31),'Data Consolidada'!$K$7:$K$891,0)),MAX('Data Consolidada'!$E$7:$E$3000))))</f>
        <v/>
      </c>
      <c r="BW31" s="32" t="str">
        <f>+IF(BW$3="","",IF($AY31="","",IFERROR(INDEX('Data Consolidada'!$E$7:$E$891,MATCH(CONCATENATE(BW$3,"-",$CP31,"-",$AY31),'Data Consolidada'!$K$7:$K$891,0)),MAX('Data Consolidada'!$E$7:$E$3000))))</f>
        <v/>
      </c>
      <c r="BX31" s="32" t="str">
        <f>+IF(BX$3="","",IF($AY31="","",IFERROR(INDEX('Data Consolidada'!$E$7:$E$891,MATCH(CONCATENATE(BX$3,"-",$CP31,"-",$AY31),'Data Consolidada'!$K$7:$K$891,0)),MAX('Data Consolidada'!$E$7:$E$3000))))</f>
        <v/>
      </c>
      <c r="BY31" s="32" t="str">
        <f>+IF(BY$3="","",IF($AY31="","",IFERROR(INDEX('Data Consolidada'!$E$7:$E$891,MATCH(CONCATENATE(BY$3,"-",$CP31,"-",$AY31),'Data Consolidada'!$K$7:$K$891,0)),MAX('Data Consolidada'!$E$7:$E$3000))))</f>
        <v/>
      </c>
      <c r="BZ31" s="32" t="str">
        <f>+IF(BZ$3="","",IF($AY31="","",IFERROR(INDEX('Data Consolidada'!$E$7:$E$891,MATCH(CONCATENATE(BZ$3,"-",$CP31,"-",$AY31),'Data Consolidada'!$K$7:$K$891,0)),MAX('Data Consolidada'!$E$7:$E$3000))))</f>
        <v/>
      </c>
      <c r="CA31" s="32" t="str">
        <f>+IF(CA$3="","",IF($AY31="","",IFERROR(INDEX('Data Consolidada'!$E$7:$E$891,MATCH(CONCATENATE(CA$3,"-",$CP31,"-",$AY31),'Data Consolidada'!$K$7:$K$891,0)),MAX('Data Consolidada'!$E$7:$E$3000))))</f>
        <v/>
      </c>
      <c r="CB31" s="32" t="str">
        <f>+IF(CB$3="","",IF($AY31="","",IFERROR(INDEX('Data Consolidada'!$E$7:$E$891,MATCH(CONCATENATE(CB$3,"-",$CP31,"-",$AY31),'Data Consolidada'!$K$7:$K$891,0)),MAX('Data Consolidada'!$E$7:$E$3000))))</f>
        <v/>
      </c>
      <c r="CC31" s="32" t="str">
        <f>+IF(CC$3="","",IF($AY31="","",IFERROR(INDEX('Data Consolidada'!$E$7:$E$891,MATCH(CONCATENATE(CC$3,"-",$CP31,"-",$AY31),'Data Consolidada'!$K$7:$K$891,0)),MAX('Data Consolidada'!$E$7:$E$3000))))</f>
        <v/>
      </c>
      <c r="CD31" s="32" t="str">
        <f>+IF(CD$3="","",IF($AY31="","",IFERROR(INDEX('Data Consolidada'!$E$7:$E$891,MATCH(CONCATENATE(CD$3,"-",$CP31,"-",$AY31),'Data Consolidada'!$K$7:$K$891,0)),MAX('Data Consolidada'!$E$7:$E$3000))))</f>
        <v/>
      </c>
      <c r="CE31" s="32" t="str">
        <f>+IF(CE$3="","",IF($AY31="","",IFERROR(INDEX('Data Consolidada'!$E$7:$E$891,MATCH(CONCATENATE(CE$3,"-",$CP31,"-",$AY31),'Data Consolidada'!$K$7:$K$891,0)),MAX('Data Consolidada'!$E$7:$E$3000))))</f>
        <v/>
      </c>
      <c r="CF31" s="32" t="str">
        <f>+IF(CF$3="","",IF($AY31="","",IFERROR(INDEX('Data Consolidada'!$E$7:$E$891,MATCH(CONCATENATE(CF$3,"-",$CP31,"-",$AY31),'Data Consolidada'!$K$7:$K$891,0)),MAX('Data Consolidada'!$E$7:$E$3000))))</f>
        <v/>
      </c>
      <c r="CG31" s="32" t="str">
        <f>+IF(CG$3="","",IF($AY31="","",IFERROR(INDEX('Data Consolidada'!$E$7:$E$891,MATCH(CONCATENATE(CG$3,"-",$CP31,"-",$AY31),'Data Consolidada'!$K$7:$K$891,0)),MAX('Data Consolidada'!$E$7:$E$3000))))</f>
        <v/>
      </c>
      <c r="CH31" s="32" t="str">
        <f>+IF(CH$3="","",IF($AY31="","",IFERROR(INDEX('Data Consolidada'!$E$7:$E$891,MATCH(CONCATENATE(CH$3,"-",$CP31,"-",$AY31),'Data Consolidada'!$K$7:$K$891,0)),MAX('Data Consolidada'!$E$7:$E$3000))))</f>
        <v/>
      </c>
      <c r="CI31" s="32" t="str">
        <f>+IF(CI$3="","",IF($AY31="","",IFERROR(INDEX('Data Consolidada'!$E$7:$E$891,MATCH(CONCATENATE(CI$3,"-",$CP31,"-",$AY31),'Data Consolidada'!$K$7:$K$891,0)),MAX('Data Consolidada'!$E$7:$E$3000))))</f>
        <v/>
      </c>
      <c r="CJ31" s="32" t="str">
        <f>+IF(CJ$3="","",IF($AY31="","",IFERROR(INDEX('Data Consolidada'!$E$7:$E$891,MATCH(CONCATENATE(CJ$3,"-",$CP31,"-",$AY31),'Data Consolidada'!$K$7:$K$891,0)),MAX('Data Consolidada'!$E$7:$E$3000))))</f>
        <v/>
      </c>
      <c r="CK31" s="32" t="str">
        <f>+IF(CK$3="","",IF($AY31="","",IFERROR(INDEX('Data Consolidada'!$E$7:$E$891,MATCH(CONCATENATE(CK$3,"-",$CP31,"-",$AY31),'Data Consolidada'!$K$7:$K$891,0)),MAX('Data Consolidada'!$E$7:$E$3000))))</f>
        <v/>
      </c>
      <c r="CL31" s="32" t="str">
        <f>+IF(CL$3="","",IF($AY31="","",IFERROR(INDEX('Data Consolidada'!$E$7:$E$891,MATCH(CONCATENATE(CL$3,"-",$CP31,"-",$AY31),'Data Consolidada'!$K$7:$K$891,0)),MAX('Data Consolidada'!$E$7:$E$3000))))</f>
        <v/>
      </c>
      <c r="CM31" s="32" t="str">
        <f>+IF(CM$3="","",IF($AY31="","",IFERROR(INDEX('Data Consolidada'!$E$7:$E$891,MATCH(CONCATENATE(CM$3,"-",$CP31,"-",$AY31),'Data Consolidada'!$K$7:$K$891,0)),MAX('Data Consolidada'!$E$7:$E$3000))))</f>
        <v/>
      </c>
      <c r="CN31" s="32" t="str">
        <f>+IF(CN$3="","",IF($AY31="","",IFERROR(INDEX('Data Consolidada'!$E$7:$E$891,MATCH(CONCATENATE(CN$3,"-",$CP31,"-",$AY31),'Data Consolidada'!$K$7:$K$891,0)),MAX('Data Consolidada'!$E$7:$E$3000))))</f>
        <v/>
      </c>
      <c r="CO31" s="37" t="str">
        <f>+IF(CO$3="","",IF($AY31="","",IFERROR(INDEX('Data Consolidada'!$E$7:$E$891,MATCH(CONCATENATE(CO$3,"-",$CP31,"-",$AY31),'Data Consolidada'!$K$7:$K$891,0)),MAX('Data Consolidada'!$E$7:$E$3000))))</f>
        <v/>
      </c>
      <c r="CP31" s="224">
        <f t="shared" ca="1" si="2"/>
        <v>0</v>
      </c>
      <c r="CQ31" s="84" t="str">
        <f t="shared" ca="1" si="3"/>
        <v>CRISTIAN LÓPEZ 0</v>
      </c>
    </row>
    <row r="32" spans="2:95" ht="15" customHeight="1" x14ac:dyDescent="0.35">
      <c r="B32" s="46"/>
      <c r="C32" s="5"/>
      <c r="D32" s="15"/>
      <c r="F32" s="257" t="s">
        <v>158</v>
      </c>
      <c r="G32" s="14"/>
      <c r="H32" s="204"/>
      <c r="I32" s="267" t="str">
        <f t="shared" si="6"/>
        <v/>
      </c>
      <c r="J32" s="268" t="str">
        <f t="shared" si="7"/>
        <v/>
      </c>
      <c r="K32" s="268" t="str">
        <f t="shared" si="8"/>
        <v/>
      </c>
      <c r="L32" s="268" t="str">
        <f t="shared" si="9"/>
        <v/>
      </c>
      <c r="M32" s="268" t="str">
        <f t="shared" si="10"/>
        <v/>
      </c>
      <c r="N32" s="268" t="str">
        <f t="shared" si="11"/>
        <v/>
      </c>
      <c r="O32" s="268" t="str">
        <f t="shared" si="12"/>
        <v/>
      </c>
      <c r="P32" s="268" t="str">
        <f t="shared" si="13"/>
        <v/>
      </c>
      <c r="Q32" s="268" t="str">
        <f t="shared" si="20"/>
        <v/>
      </c>
      <c r="R32" s="268" t="str">
        <f t="shared" si="14"/>
        <v/>
      </c>
      <c r="S32" s="268" t="str">
        <f t="shared" si="15"/>
        <v/>
      </c>
      <c r="T32" s="268" t="str">
        <f t="shared" si="16"/>
        <v/>
      </c>
      <c r="U32" s="268" t="str">
        <f t="shared" si="17"/>
        <v/>
      </c>
      <c r="V32" s="269" t="str">
        <f t="shared" si="18"/>
        <v/>
      </c>
      <c r="W32" s="55" cm="1">
        <f t="array" ref="W32">+IFERROR(_xlfn.IFS(F32="Totes",IF(I32="",0,ROUNDUP(I32*$I$11/$G$9,0))+IF(J32="",0,ROUNDUP(J32*$J$11/$G$9,0))+IF(K32="",0,ROUNDUP(K32*$K$11/$G$9,0))+IF(L32="",0,ROUNDUP(L32*$L$11/$G$9,0))+IF(M32="",0,ROUNDUP(M32*$M$11/$G$9,0))+IF(N32="",0,ROUNDUP(N32*$N$11/$G$9,0))+IF(O32="",0,ROUNDUP(O32*$O$11/$G$9,0))+IF(P32="",0,ROUNDUP(P32*$P$11/$G$9,0))+IF(Q32="",0,ROUNDUP(Q32*$Q$11/$G$9,0))+IF(R32="",0,ROUNDUP(R32*$R$11/$G$9,0))+IF(S32="",0,ROUNDUP(S32*$S$11/$G$9,0))+IF(T32="",0,ROUNDUP(T32*$T$11/$G$9,0))+IF(U32="",0,ROUNDUP(U32*$U$11/$G$9,0))+IF(V32="",0,ROUNDUP(V32*$V$11/$G$9,0)),F32="Mini Bins",IF(I32="",0,ROUNDUP(I32*$I$11/$J$6,0))+IF(J32="",0,ROUNDUP(J32*$J$11/$J$6,0))+IF(K32="",0,ROUNDUP(K32*$K$11/$J$6,0))+IF(L32="",0,ROUNDUP(L32*$L$11/$J$6,0))+IF(M32="",0,ROUNDUP(M32*$M$11/$J$6,0))+IF(N32="",0,ROUNDUP(N32*$N$11/$J$6,0))+IF(O32="",0,ROUNDUP(O32*$O$11/$J$6,0))+IF(P32="",0,ROUNDUP(P32*$P$11/$J$6,0))+IF(Q32="",0,ROUNDUP(Q32*$Q$11/$J$6,0))+IF(R32="",0,ROUNDUP(R32*$R$11/$J$6,0))+IF(S32="",0,ROUNDUP(S32*$S$11/$J$6,0))+IF(T32="",0,ROUNDUP(T32*$T$11/$J$6,0))+IF(U32="",0,ROUNDUP(U32*$U$11/$J$6,0))+IF(V32="",0,ROUNDUP(V32*$V$11/$J$6,0))),0)</f>
        <v>0</v>
      </c>
      <c r="X32" s="254">
        <f t="shared" si="19"/>
        <v>0</v>
      </c>
      <c r="Z32" s="245" t="s">
        <v>84</v>
      </c>
      <c r="AA32" s="247">
        <v>4</v>
      </c>
      <c r="AB32" s="254" cm="1">
        <f t="array" aca="1" ref="AB32" ca="1">+SUM(IF($B$72:$B$217=Z32,$C$72:$AR$217))</f>
        <v>0</v>
      </c>
      <c r="AC32" s="211">
        <f t="shared" ca="1" si="4"/>
        <v>0</v>
      </c>
      <c r="AF32" s="14"/>
      <c r="AG32" s="204"/>
      <c r="AH32" s="228"/>
      <c r="AI32" s="196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6"/>
      <c r="AU32" s="229"/>
      <c r="AW32" s="13">
        <f>+IF(AX32="","",IF(AX32&gt;AX31,AW31,IF(AW31&lt;$D$69,AW31+1,IF(COUNT(AW$4:AW31)&lt;$B$69*$E$54,1,""))))</f>
        <v>3</v>
      </c>
      <c r="AX32" s="13">
        <f>+IF(AX31&lt;$B$69,AX31+1,IF(COUNT(AX$4:AX31)&lt;$B$69*$D$69,1,""))</f>
        <v>3</v>
      </c>
      <c r="AY32" s="189" t="str">
        <f t="shared" ca="1" si="1"/>
        <v xml:space="preserve">GUSTAVO ZÚÑIGA </v>
      </c>
      <c r="AZ32" s="36">
        <f ca="1">+IF(AZ$3="","",IF($AY32="","",IFERROR(INDEX('Data Consolidada'!$E$7:$E$891,MATCH(CONCATENATE(AZ$3,"-",$CP32,"-",$AY32),'Data Consolidada'!$K$7:$K$891,0)),MAX('Data Consolidada'!$E$7:$E$3000))))</f>
        <v>11000000</v>
      </c>
      <c r="BA32" s="32">
        <f ca="1">+IF(BA$3="","",IF($AY32="","",IFERROR(INDEX('Data Consolidada'!$E$7:$E$891,MATCH(CONCATENATE(BA$3,"-",$CP32,"-",$AY32),'Data Consolidada'!$K$7:$K$891,0)),MAX('Data Consolidada'!$E$7:$E$3000))))</f>
        <v>11000000</v>
      </c>
      <c r="BB32" s="32" t="str">
        <f>+IF(BB$3="","",IF($AY32="","",IFERROR(INDEX('Data Consolidada'!$E$7:$E$891,MATCH(CONCATENATE(BB$3,"-",$CP32,"-",$AY32),'Data Consolidada'!$K$7:$K$891,0)),MAX('Data Consolidada'!$E$7:$E$3000))))</f>
        <v/>
      </c>
      <c r="BC32" s="32" t="str">
        <f>+IF(BC$3="","",IF($AY32="","",IFERROR(INDEX('Data Consolidada'!$E$7:$E$891,MATCH(CONCATENATE(BC$3,"-",$CP32,"-",$AY32),'Data Consolidada'!$K$7:$K$891,0)),MAX('Data Consolidada'!$E$7:$E$3000))))</f>
        <v/>
      </c>
      <c r="BD32" s="32" t="str">
        <f>+IF(BD$3="","",IF($AY32="","",IFERROR(INDEX('Data Consolidada'!$E$7:$E$891,MATCH(CONCATENATE(BD$3,"-",$CP32,"-",$AY32),'Data Consolidada'!$K$7:$K$891,0)),MAX('Data Consolidada'!$E$7:$E$3000))))</f>
        <v/>
      </c>
      <c r="BE32" s="32" t="str">
        <f>+IF(BE$3="","",IF($AY32="","",IFERROR(INDEX('Data Consolidada'!$E$7:$E$891,MATCH(CONCATENATE(BE$3,"-",$CP32,"-",$AY32),'Data Consolidada'!$K$7:$K$891,0)),MAX('Data Consolidada'!$E$7:$E$3000))))</f>
        <v/>
      </c>
      <c r="BF32" s="32" t="str">
        <f>+IF(BF$3="","",IF($AY32="","",IFERROR(INDEX('Data Consolidada'!$E$7:$E$891,MATCH(CONCATENATE(BF$3,"-",$CP32,"-",$AY32),'Data Consolidada'!$K$7:$K$891,0)),MAX('Data Consolidada'!$E$7:$E$3000))))</f>
        <v/>
      </c>
      <c r="BG32" s="32" t="str">
        <f>+IF(BG$3="","",IF($AY32="","",IFERROR(INDEX('Data Consolidada'!$E$7:$E$891,MATCH(CONCATENATE(BG$3,"-",$CP32,"-",$AY32),'Data Consolidada'!$K$7:$K$891,0)),MAX('Data Consolidada'!$E$7:$E$3000))))</f>
        <v/>
      </c>
      <c r="BH32" s="32" t="str">
        <f>+IF(BH$3="","",IF($AY32="","",IFERROR(INDEX('Data Consolidada'!$E$7:$E$891,MATCH(CONCATENATE(BH$3,"-",$CP32,"-",$AY32),'Data Consolidada'!$K$7:$K$891,0)),MAX('Data Consolidada'!$E$7:$E$3000))))</f>
        <v/>
      </c>
      <c r="BI32" s="32" t="str">
        <f>+IF(BI$3="","",IF($AY32="","",IFERROR(INDEX('Data Consolidada'!$E$7:$E$891,MATCH(CONCATENATE(BI$3,"-",$CP32,"-",$AY32),'Data Consolidada'!$K$7:$K$891,0)),MAX('Data Consolidada'!$E$7:$E$3000))))</f>
        <v/>
      </c>
      <c r="BJ32" s="32" t="str">
        <f>+IF(BJ$3="","",IF($AY32="","",IFERROR(INDEX('Data Consolidada'!$E$7:$E$891,MATCH(CONCATENATE(BJ$3,"-",$CP32,"-",$AY32),'Data Consolidada'!$K$7:$K$891,0)),MAX('Data Consolidada'!$E$7:$E$3000))))</f>
        <v/>
      </c>
      <c r="BK32" s="32" t="str">
        <f>+IF(BK$3="","",IF($AY32="","",IFERROR(INDEX('Data Consolidada'!$E$7:$E$891,MATCH(CONCATENATE(BK$3,"-",$CP32,"-",$AY32),'Data Consolidada'!$K$7:$K$891,0)),MAX('Data Consolidada'!$E$7:$E$3000))))</f>
        <v/>
      </c>
      <c r="BL32" s="32" t="str">
        <f>+IF(BL$3="","",IF($AY32="","",IFERROR(INDEX('Data Consolidada'!$E$7:$E$891,MATCH(CONCATENATE(BL$3,"-",$CP32,"-",$AY32),'Data Consolidada'!$K$7:$K$891,0)),MAX('Data Consolidada'!$E$7:$E$3000))))</f>
        <v/>
      </c>
      <c r="BM32" s="32" t="str">
        <f>+IF(BM$3="","",IF($AY32="","",IFERROR(INDEX('Data Consolidada'!$E$7:$E$891,MATCH(CONCATENATE(BM$3,"-",$CP32,"-",$AY32),'Data Consolidada'!$K$7:$K$891,0)),MAX('Data Consolidada'!$E$7:$E$3000))))</f>
        <v/>
      </c>
      <c r="BN32" s="32" t="str">
        <f>+IF(BN$3="","",IF($AY32="","",IFERROR(INDEX('Data Consolidada'!$E$7:$E$891,MATCH(CONCATENATE(BN$3,"-",$CP32,"-",$AY32),'Data Consolidada'!$K$7:$K$891,0)),MAX('Data Consolidada'!$E$7:$E$3000))))</f>
        <v/>
      </c>
      <c r="BO32" s="32" t="str">
        <f>+IF(BO$3="","",IF($AY32="","",IFERROR(INDEX('Data Consolidada'!$E$7:$E$891,MATCH(CONCATENATE(BO$3,"-",$CP32,"-",$AY32),'Data Consolidada'!$K$7:$K$891,0)),MAX('Data Consolidada'!$E$7:$E$3000))))</f>
        <v/>
      </c>
      <c r="BP32" s="32" t="str">
        <f>+IF(BP$3="","",IF($AY32="","",IFERROR(INDEX('Data Consolidada'!$E$7:$E$891,MATCH(CONCATENATE(BP$3,"-",$CP32,"-",$AY32),'Data Consolidada'!$K$7:$K$891,0)),MAX('Data Consolidada'!$E$7:$E$3000))))</f>
        <v/>
      </c>
      <c r="BQ32" s="32" t="str">
        <f>+IF(BQ$3="","",IF($AY32="","",IFERROR(INDEX('Data Consolidada'!$E$7:$E$891,MATCH(CONCATENATE(BQ$3,"-",$CP32,"-",$AY32),'Data Consolidada'!$K$7:$K$891,0)),MAX('Data Consolidada'!$E$7:$E$3000))))</f>
        <v/>
      </c>
      <c r="BR32" s="32" t="str">
        <f>+IF(BR$3="","",IF($AY32="","",IFERROR(INDEX('Data Consolidada'!$E$7:$E$891,MATCH(CONCATENATE(BR$3,"-",$CP32,"-",$AY32),'Data Consolidada'!$K$7:$K$891,0)),MAX('Data Consolidada'!$E$7:$E$3000))))</f>
        <v/>
      </c>
      <c r="BS32" s="32" t="str">
        <f>+IF(BS$3="","",IF($AY32="","",IFERROR(INDEX('Data Consolidada'!$E$7:$E$891,MATCH(CONCATENATE(BS$3,"-",$CP32,"-",$AY32),'Data Consolidada'!$K$7:$K$891,0)),MAX('Data Consolidada'!$E$7:$E$3000))))</f>
        <v/>
      </c>
      <c r="BT32" s="32" t="str">
        <f>+IF(BT$3="","",IF($AY32="","",IFERROR(INDEX('Data Consolidada'!$E$7:$E$891,MATCH(CONCATENATE(BT$3,"-",$CP32,"-",$AY32),'Data Consolidada'!$K$7:$K$891,0)),MAX('Data Consolidada'!$E$7:$E$3000))))</f>
        <v/>
      </c>
      <c r="BU32" s="32" t="str">
        <f>+IF(BU$3="","",IF($AY32="","",IFERROR(INDEX('Data Consolidada'!$E$7:$E$891,MATCH(CONCATENATE(BU$3,"-",$CP32,"-",$AY32),'Data Consolidada'!$K$7:$K$891,0)),MAX('Data Consolidada'!$E$7:$E$3000))))</f>
        <v/>
      </c>
      <c r="BV32" s="32" t="str">
        <f>+IF(BV$3="","",IF($AY32="","",IFERROR(INDEX('Data Consolidada'!$E$7:$E$891,MATCH(CONCATENATE(BV$3,"-",$CP32,"-",$AY32),'Data Consolidada'!$K$7:$K$891,0)),MAX('Data Consolidada'!$E$7:$E$3000))))</f>
        <v/>
      </c>
      <c r="BW32" s="32" t="str">
        <f>+IF(BW$3="","",IF($AY32="","",IFERROR(INDEX('Data Consolidada'!$E$7:$E$891,MATCH(CONCATENATE(BW$3,"-",$CP32,"-",$AY32),'Data Consolidada'!$K$7:$K$891,0)),MAX('Data Consolidada'!$E$7:$E$3000))))</f>
        <v/>
      </c>
      <c r="BX32" s="32" t="str">
        <f>+IF(BX$3="","",IF($AY32="","",IFERROR(INDEX('Data Consolidada'!$E$7:$E$891,MATCH(CONCATENATE(BX$3,"-",$CP32,"-",$AY32),'Data Consolidada'!$K$7:$K$891,0)),MAX('Data Consolidada'!$E$7:$E$3000))))</f>
        <v/>
      </c>
      <c r="BY32" s="32" t="str">
        <f>+IF(BY$3="","",IF($AY32="","",IFERROR(INDEX('Data Consolidada'!$E$7:$E$891,MATCH(CONCATENATE(BY$3,"-",$CP32,"-",$AY32),'Data Consolidada'!$K$7:$K$891,0)),MAX('Data Consolidada'!$E$7:$E$3000))))</f>
        <v/>
      </c>
      <c r="BZ32" s="32" t="str">
        <f>+IF(BZ$3="","",IF($AY32="","",IFERROR(INDEX('Data Consolidada'!$E$7:$E$891,MATCH(CONCATENATE(BZ$3,"-",$CP32,"-",$AY32),'Data Consolidada'!$K$7:$K$891,0)),MAX('Data Consolidada'!$E$7:$E$3000))))</f>
        <v/>
      </c>
      <c r="CA32" s="32" t="str">
        <f>+IF(CA$3="","",IF($AY32="","",IFERROR(INDEX('Data Consolidada'!$E$7:$E$891,MATCH(CONCATENATE(CA$3,"-",$CP32,"-",$AY32),'Data Consolidada'!$K$7:$K$891,0)),MAX('Data Consolidada'!$E$7:$E$3000))))</f>
        <v/>
      </c>
      <c r="CB32" s="32" t="str">
        <f>+IF(CB$3="","",IF($AY32="","",IFERROR(INDEX('Data Consolidada'!$E$7:$E$891,MATCH(CONCATENATE(CB$3,"-",$CP32,"-",$AY32),'Data Consolidada'!$K$7:$K$891,0)),MAX('Data Consolidada'!$E$7:$E$3000))))</f>
        <v/>
      </c>
      <c r="CC32" s="32" t="str">
        <f>+IF(CC$3="","",IF($AY32="","",IFERROR(INDEX('Data Consolidada'!$E$7:$E$891,MATCH(CONCATENATE(CC$3,"-",$CP32,"-",$AY32),'Data Consolidada'!$K$7:$K$891,0)),MAX('Data Consolidada'!$E$7:$E$3000))))</f>
        <v/>
      </c>
      <c r="CD32" s="32" t="str">
        <f>+IF(CD$3="","",IF($AY32="","",IFERROR(INDEX('Data Consolidada'!$E$7:$E$891,MATCH(CONCATENATE(CD$3,"-",$CP32,"-",$AY32),'Data Consolidada'!$K$7:$K$891,0)),MAX('Data Consolidada'!$E$7:$E$3000))))</f>
        <v/>
      </c>
      <c r="CE32" s="32" t="str">
        <f>+IF(CE$3="","",IF($AY32="","",IFERROR(INDEX('Data Consolidada'!$E$7:$E$891,MATCH(CONCATENATE(CE$3,"-",$CP32,"-",$AY32),'Data Consolidada'!$K$7:$K$891,0)),MAX('Data Consolidada'!$E$7:$E$3000))))</f>
        <v/>
      </c>
      <c r="CF32" s="32" t="str">
        <f>+IF(CF$3="","",IF($AY32="","",IFERROR(INDEX('Data Consolidada'!$E$7:$E$891,MATCH(CONCATENATE(CF$3,"-",$CP32,"-",$AY32),'Data Consolidada'!$K$7:$K$891,0)),MAX('Data Consolidada'!$E$7:$E$3000))))</f>
        <v/>
      </c>
      <c r="CG32" s="32" t="str">
        <f>+IF(CG$3="","",IF($AY32="","",IFERROR(INDEX('Data Consolidada'!$E$7:$E$891,MATCH(CONCATENATE(CG$3,"-",$CP32,"-",$AY32),'Data Consolidada'!$K$7:$K$891,0)),MAX('Data Consolidada'!$E$7:$E$3000))))</f>
        <v/>
      </c>
      <c r="CH32" s="32" t="str">
        <f>+IF(CH$3="","",IF($AY32="","",IFERROR(INDEX('Data Consolidada'!$E$7:$E$891,MATCH(CONCATENATE(CH$3,"-",$CP32,"-",$AY32),'Data Consolidada'!$K$7:$K$891,0)),MAX('Data Consolidada'!$E$7:$E$3000))))</f>
        <v/>
      </c>
      <c r="CI32" s="32" t="str">
        <f>+IF(CI$3="","",IF($AY32="","",IFERROR(INDEX('Data Consolidada'!$E$7:$E$891,MATCH(CONCATENATE(CI$3,"-",$CP32,"-",$AY32),'Data Consolidada'!$K$7:$K$891,0)),MAX('Data Consolidada'!$E$7:$E$3000))))</f>
        <v/>
      </c>
      <c r="CJ32" s="32" t="str">
        <f>+IF(CJ$3="","",IF($AY32="","",IFERROR(INDEX('Data Consolidada'!$E$7:$E$891,MATCH(CONCATENATE(CJ$3,"-",$CP32,"-",$AY32),'Data Consolidada'!$K$7:$K$891,0)),MAX('Data Consolidada'!$E$7:$E$3000))))</f>
        <v/>
      </c>
      <c r="CK32" s="32" t="str">
        <f>+IF(CK$3="","",IF($AY32="","",IFERROR(INDEX('Data Consolidada'!$E$7:$E$891,MATCH(CONCATENATE(CK$3,"-",$CP32,"-",$AY32),'Data Consolidada'!$K$7:$K$891,0)),MAX('Data Consolidada'!$E$7:$E$3000))))</f>
        <v/>
      </c>
      <c r="CL32" s="32" t="str">
        <f>+IF(CL$3="","",IF($AY32="","",IFERROR(INDEX('Data Consolidada'!$E$7:$E$891,MATCH(CONCATENATE(CL$3,"-",$CP32,"-",$AY32),'Data Consolidada'!$K$7:$K$891,0)),MAX('Data Consolidada'!$E$7:$E$3000))))</f>
        <v/>
      </c>
      <c r="CM32" s="32" t="str">
        <f>+IF(CM$3="","",IF($AY32="","",IFERROR(INDEX('Data Consolidada'!$E$7:$E$891,MATCH(CONCATENATE(CM$3,"-",$CP32,"-",$AY32),'Data Consolidada'!$K$7:$K$891,0)),MAX('Data Consolidada'!$E$7:$E$3000))))</f>
        <v/>
      </c>
      <c r="CN32" s="32" t="str">
        <f>+IF(CN$3="","",IF($AY32="","",IFERROR(INDEX('Data Consolidada'!$E$7:$E$891,MATCH(CONCATENATE(CN$3,"-",$CP32,"-",$AY32),'Data Consolidada'!$K$7:$K$891,0)),MAX('Data Consolidada'!$E$7:$E$3000))))</f>
        <v/>
      </c>
      <c r="CO32" s="37" t="str">
        <f>+IF(CO$3="","",IF($AY32="","",IFERROR(INDEX('Data Consolidada'!$E$7:$E$891,MATCH(CONCATENATE(CO$3,"-",$CP32,"-",$AY32),'Data Consolidada'!$K$7:$K$891,0)),MAX('Data Consolidada'!$E$7:$E$3000))))</f>
        <v/>
      </c>
      <c r="CP32" s="224">
        <f t="shared" ca="1" si="2"/>
        <v>0</v>
      </c>
      <c r="CQ32" s="84" t="str">
        <f t="shared" ca="1" si="3"/>
        <v>GUSTAVO ZÚÑIGA 0</v>
      </c>
    </row>
    <row r="33" spans="2:95" ht="15" customHeight="1" x14ac:dyDescent="0.35">
      <c r="B33" s="46"/>
      <c r="C33" s="5"/>
      <c r="D33" s="15"/>
      <c r="F33" s="257" t="s">
        <v>157</v>
      </c>
      <c r="G33" s="14"/>
      <c r="H33" s="204"/>
      <c r="I33" s="267" t="str">
        <f t="shared" si="6"/>
        <v/>
      </c>
      <c r="J33" s="268" t="str">
        <f t="shared" si="7"/>
        <v/>
      </c>
      <c r="K33" s="268" t="str">
        <f t="shared" si="8"/>
        <v/>
      </c>
      <c r="L33" s="268" t="str">
        <f t="shared" si="9"/>
        <v/>
      </c>
      <c r="M33" s="268" t="str">
        <f t="shared" si="10"/>
        <v/>
      </c>
      <c r="N33" s="268" t="str">
        <f t="shared" si="11"/>
        <v/>
      </c>
      <c r="O33" s="268" t="str">
        <f t="shared" si="12"/>
        <v/>
      </c>
      <c r="P33" s="268" t="str">
        <f t="shared" si="13"/>
        <v/>
      </c>
      <c r="Q33" s="268" t="str">
        <f t="shared" si="20"/>
        <v/>
      </c>
      <c r="R33" s="268" t="str">
        <f t="shared" si="14"/>
        <v/>
      </c>
      <c r="S33" s="268" t="str">
        <f t="shared" si="15"/>
        <v/>
      </c>
      <c r="T33" s="268" t="str">
        <f t="shared" si="16"/>
        <v/>
      </c>
      <c r="U33" s="268" t="str">
        <f t="shared" si="17"/>
        <v/>
      </c>
      <c r="V33" s="269" t="str">
        <f t="shared" si="18"/>
        <v/>
      </c>
      <c r="W33" s="55" cm="1">
        <f t="array" ref="W33">+IFERROR(_xlfn.IFS(F33="Totes",IF(I33="",0,ROUNDUP(I33*$I$11/$G$9,0))+IF(J33="",0,ROUNDUP(J33*$J$11/$G$9,0))+IF(K33="",0,ROUNDUP(K33*$K$11/$G$9,0))+IF(L33="",0,ROUNDUP(L33*$L$11/$G$9,0))+IF(M33="",0,ROUNDUP(M33*$M$11/$G$9,0))+IF(N33="",0,ROUNDUP(N33*$N$11/$G$9,0))+IF(O33="",0,ROUNDUP(O33*$O$11/$G$9,0))+IF(P33="",0,ROUNDUP(P33*$P$11/$G$9,0))+IF(Q33="",0,ROUNDUP(Q33*$Q$11/$G$9,0))+IF(R33="",0,ROUNDUP(R33*$R$11/$G$9,0))+IF(S33="",0,ROUNDUP(S33*$S$11/$G$9,0))+IF(T33="",0,ROUNDUP(T33*$T$11/$G$9,0))+IF(U33="",0,ROUNDUP(U33*$U$11/$G$9,0))+IF(V33="",0,ROUNDUP(V33*$V$11/$G$9,0)),F33="Mini Bins",IF(I33="",0,ROUNDUP(I33*$I$11/$J$6,0))+IF(J33="",0,ROUNDUP(J33*$J$11/$J$6,0))+IF(K33="",0,ROUNDUP(K33*$K$11/$J$6,0))+IF(L33="",0,ROUNDUP(L33*$L$11/$J$6,0))+IF(M33="",0,ROUNDUP(M33*$M$11/$J$6,0))+IF(N33="",0,ROUNDUP(N33*$N$11/$J$6,0))+IF(O33="",0,ROUNDUP(O33*$O$11/$J$6,0))+IF(P33="",0,ROUNDUP(P33*$P$11/$J$6,0))+IF(Q33="",0,ROUNDUP(Q33*$Q$11/$J$6,0))+IF(R33="",0,ROUNDUP(R33*$R$11/$J$6,0))+IF(S33="",0,ROUNDUP(S33*$S$11/$J$6,0))+IF(T33="",0,ROUNDUP(T33*$T$11/$J$6,0))+IF(U33="",0,ROUNDUP(U33*$U$11/$J$6,0))+IF(V33="",0,ROUNDUP(V33*$V$11/$J$6,0))),0)</f>
        <v>0</v>
      </c>
      <c r="X33" s="254">
        <f t="shared" si="19"/>
        <v>0</v>
      </c>
      <c r="Z33" s="245" t="s">
        <v>86</v>
      </c>
      <c r="AA33" s="247">
        <v>4</v>
      </c>
      <c r="AB33" s="254" cm="1">
        <f t="array" aca="1" ref="AB33" ca="1">+SUM(IF($B$72:$B$217=Z33,$C$72:$AR$217))</f>
        <v>0</v>
      </c>
      <c r="AC33" s="211">
        <f t="shared" ca="1" si="4"/>
        <v>0</v>
      </c>
      <c r="AF33" s="14"/>
      <c r="AG33" s="204"/>
      <c r="AH33" s="228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6"/>
      <c r="AU33" s="229"/>
      <c r="AW33" s="13">
        <f>+IF(AX33="","",IF(AX33&gt;AX32,AW32,IF(AW32&lt;$D$69,AW32+1,IF(COUNT(AW$4:AW32)&lt;$B$69*$E$54,1,""))))</f>
        <v>3</v>
      </c>
      <c r="AX33" s="13">
        <f>+IF(AX32&lt;$B$69,AX32+1,IF(COUNT(AX$4:AX32)&lt;$B$69*$D$69,1,""))</f>
        <v>4</v>
      </c>
      <c r="AY33" s="189" t="str">
        <f t="shared" ca="1" si="1"/>
        <v>LAVALLE</v>
      </c>
      <c r="AZ33" s="36">
        <f ca="1">+IF(AZ$3="","",IF($AY33="","",IFERROR(INDEX('Data Consolidada'!$E$7:$E$891,MATCH(CONCATENATE(AZ$3,"-",$CP33,"-",$AY33),'Data Consolidada'!$K$7:$K$891,0)),MAX('Data Consolidada'!$E$7:$E$3000))))</f>
        <v>11000000</v>
      </c>
      <c r="BA33" s="32">
        <f ca="1">+IF(BA$3="","",IF($AY33="","",IFERROR(INDEX('Data Consolidada'!$E$7:$E$891,MATCH(CONCATENATE(BA$3,"-",$CP33,"-",$AY33),'Data Consolidada'!$K$7:$K$891,0)),MAX('Data Consolidada'!$E$7:$E$3000))))</f>
        <v>11000000</v>
      </c>
      <c r="BB33" s="32" t="str">
        <f>+IF(BB$3="","",IF($AY33="","",IFERROR(INDEX('Data Consolidada'!$E$7:$E$891,MATCH(CONCATENATE(BB$3,"-",$CP33,"-",$AY33),'Data Consolidada'!$K$7:$K$891,0)),MAX('Data Consolidada'!$E$7:$E$3000))))</f>
        <v/>
      </c>
      <c r="BC33" s="32" t="str">
        <f>+IF(BC$3="","",IF($AY33="","",IFERROR(INDEX('Data Consolidada'!$E$7:$E$891,MATCH(CONCATENATE(BC$3,"-",$CP33,"-",$AY33),'Data Consolidada'!$K$7:$K$891,0)),MAX('Data Consolidada'!$E$7:$E$3000))))</f>
        <v/>
      </c>
      <c r="BD33" s="32" t="str">
        <f>+IF(BD$3="","",IF($AY33="","",IFERROR(INDEX('Data Consolidada'!$E$7:$E$891,MATCH(CONCATENATE(BD$3,"-",$CP33,"-",$AY33),'Data Consolidada'!$K$7:$K$891,0)),MAX('Data Consolidada'!$E$7:$E$3000))))</f>
        <v/>
      </c>
      <c r="BE33" s="32" t="str">
        <f>+IF(BE$3="","",IF($AY33="","",IFERROR(INDEX('Data Consolidada'!$E$7:$E$891,MATCH(CONCATENATE(BE$3,"-",$CP33,"-",$AY33),'Data Consolidada'!$K$7:$K$891,0)),MAX('Data Consolidada'!$E$7:$E$3000))))</f>
        <v/>
      </c>
      <c r="BF33" s="32" t="str">
        <f>+IF(BF$3="","",IF($AY33="","",IFERROR(INDEX('Data Consolidada'!$E$7:$E$891,MATCH(CONCATENATE(BF$3,"-",$CP33,"-",$AY33),'Data Consolidada'!$K$7:$K$891,0)),MAX('Data Consolidada'!$E$7:$E$3000))))</f>
        <v/>
      </c>
      <c r="BG33" s="32" t="str">
        <f>+IF(BG$3="","",IF($AY33="","",IFERROR(INDEX('Data Consolidada'!$E$7:$E$891,MATCH(CONCATENATE(BG$3,"-",$CP33,"-",$AY33),'Data Consolidada'!$K$7:$K$891,0)),MAX('Data Consolidada'!$E$7:$E$3000))))</f>
        <v/>
      </c>
      <c r="BH33" s="32" t="str">
        <f>+IF(BH$3="","",IF($AY33="","",IFERROR(INDEX('Data Consolidada'!$E$7:$E$891,MATCH(CONCATENATE(BH$3,"-",$CP33,"-",$AY33),'Data Consolidada'!$K$7:$K$891,0)),MAX('Data Consolidada'!$E$7:$E$3000))))</f>
        <v/>
      </c>
      <c r="BI33" s="32" t="str">
        <f>+IF(BI$3="","",IF($AY33="","",IFERROR(INDEX('Data Consolidada'!$E$7:$E$891,MATCH(CONCATENATE(BI$3,"-",$CP33,"-",$AY33),'Data Consolidada'!$K$7:$K$891,0)),MAX('Data Consolidada'!$E$7:$E$3000))))</f>
        <v/>
      </c>
      <c r="BJ33" s="32" t="str">
        <f>+IF(BJ$3="","",IF($AY33="","",IFERROR(INDEX('Data Consolidada'!$E$7:$E$891,MATCH(CONCATENATE(BJ$3,"-",$CP33,"-",$AY33),'Data Consolidada'!$K$7:$K$891,0)),MAX('Data Consolidada'!$E$7:$E$3000))))</f>
        <v/>
      </c>
      <c r="BK33" s="32" t="str">
        <f>+IF(BK$3="","",IF($AY33="","",IFERROR(INDEX('Data Consolidada'!$E$7:$E$891,MATCH(CONCATENATE(BK$3,"-",$CP33,"-",$AY33),'Data Consolidada'!$K$7:$K$891,0)),MAX('Data Consolidada'!$E$7:$E$3000))))</f>
        <v/>
      </c>
      <c r="BL33" s="32" t="str">
        <f>+IF(BL$3="","",IF($AY33="","",IFERROR(INDEX('Data Consolidada'!$E$7:$E$891,MATCH(CONCATENATE(BL$3,"-",$CP33,"-",$AY33),'Data Consolidada'!$K$7:$K$891,0)),MAX('Data Consolidada'!$E$7:$E$3000))))</f>
        <v/>
      </c>
      <c r="BM33" s="32" t="str">
        <f>+IF(BM$3="","",IF($AY33="","",IFERROR(INDEX('Data Consolidada'!$E$7:$E$891,MATCH(CONCATENATE(BM$3,"-",$CP33,"-",$AY33),'Data Consolidada'!$K$7:$K$891,0)),MAX('Data Consolidada'!$E$7:$E$3000))))</f>
        <v/>
      </c>
      <c r="BN33" s="32" t="str">
        <f>+IF(BN$3="","",IF($AY33="","",IFERROR(INDEX('Data Consolidada'!$E$7:$E$891,MATCH(CONCATENATE(BN$3,"-",$CP33,"-",$AY33),'Data Consolidada'!$K$7:$K$891,0)),MAX('Data Consolidada'!$E$7:$E$3000))))</f>
        <v/>
      </c>
      <c r="BO33" s="32" t="str">
        <f>+IF(BO$3="","",IF($AY33="","",IFERROR(INDEX('Data Consolidada'!$E$7:$E$891,MATCH(CONCATENATE(BO$3,"-",$CP33,"-",$AY33),'Data Consolidada'!$K$7:$K$891,0)),MAX('Data Consolidada'!$E$7:$E$3000))))</f>
        <v/>
      </c>
      <c r="BP33" s="32" t="str">
        <f>+IF(BP$3="","",IF($AY33="","",IFERROR(INDEX('Data Consolidada'!$E$7:$E$891,MATCH(CONCATENATE(BP$3,"-",$CP33,"-",$AY33),'Data Consolidada'!$K$7:$K$891,0)),MAX('Data Consolidada'!$E$7:$E$3000))))</f>
        <v/>
      </c>
      <c r="BQ33" s="32" t="str">
        <f>+IF(BQ$3="","",IF($AY33="","",IFERROR(INDEX('Data Consolidada'!$E$7:$E$891,MATCH(CONCATENATE(BQ$3,"-",$CP33,"-",$AY33),'Data Consolidada'!$K$7:$K$891,0)),MAX('Data Consolidada'!$E$7:$E$3000))))</f>
        <v/>
      </c>
      <c r="BR33" s="32" t="str">
        <f>+IF(BR$3="","",IF($AY33="","",IFERROR(INDEX('Data Consolidada'!$E$7:$E$891,MATCH(CONCATENATE(BR$3,"-",$CP33,"-",$AY33),'Data Consolidada'!$K$7:$K$891,0)),MAX('Data Consolidada'!$E$7:$E$3000))))</f>
        <v/>
      </c>
      <c r="BS33" s="32" t="str">
        <f>+IF(BS$3="","",IF($AY33="","",IFERROR(INDEX('Data Consolidada'!$E$7:$E$891,MATCH(CONCATENATE(BS$3,"-",$CP33,"-",$AY33),'Data Consolidada'!$K$7:$K$891,0)),MAX('Data Consolidada'!$E$7:$E$3000))))</f>
        <v/>
      </c>
      <c r="BT33" s="32" t="str">
        <f>+IF(BT$3="","",IF($AY33="","",IFERROR(INDEX('Data Consolidada'!$E$7:$E$891,MATCH(CONCATENATE(BT$3,"-",$CP33,"-",$AY33),'Data Consolidada'!$K$7:$K$891,0)),MAX('Data Consolidada'!$E$7:$E$3000))))</f>
        <v/>
      </c>
      <c r="BU33" s="32" t="str">
        <f>+IF(BU$3="","",IF($AY33="","",IFERROR(INDEX('Data Consolidada'!$E$7:$E$891,MATCH(CONCATENATE(BU$3,"-",$CP33,"-",$AY33),'Data Consolidada'!$K$7:$K$891,0)),MAX('Data Consolidada'!$E$7:$E$3000))))</f>
        <v/>
      </c>
      <c r="BV33" s="32" t="str">
        <f>+IF(BV$3="","",IF($AY33="","",IFERROR(INDEX('Data Consolidada'!$E$7:$E$891,MATCH(CONCATENATE(BV$3,"-",$CP33,"-",$AY33),'Data Consolidada'!$K$7:$K$891,0)),MAX('Data Consolidada'!$E$7:$E$3000))))</f>
        <v/>
      </c>
      <c r="BW33" s="32" t="str">
        <f>+IF(BW$3="","",IF($AY33="","",IFERROR(INDEX('Data Consolidada'!$E$7:$E$891,MATCH(CONCATENATE(BW$3,"-",$CP33,"-",$AY33),'Data Consolidada'!$K$7:$K$891,0)),MAX('Data Consolidada'!$E$7:$E$3000))))</f>
        <v/>
      </c>
      <c r="BX33" s="32" t="str">
        <f>+IF(BX$3="","",IF($AY33="","",IFERROR(INDEX('Data Consolidada'!$E$7:$E$891,MATCH(CONCATENATE(BX$3,"-",$CP33,"-",$AY33),'Data Consolidada'!$K$7:$K$891,0)),MAX('Data Consolidada'!$E$7:$E$3000))))</f>
        <v/>
      </c>
      <c r="BY33" s="32" t="str">
        <f>+IF(BY$3="","",IF($AY33="","",IFERROR(INDEX('Data Consolidada'!$E$7:$E$891,MATCH(CONCATENATE(BY$3,"-",$CP33,"-",$AY33),'Data Consolidada'!$K$7:$K$891,0)),MAX('Data Consolidada'!$E$7:$E$3000))))</f>
        <v/>
      </c>
      <c r="BZ33" s="32" t="str">
        <f>+IF(BZ$3="","",IF($AY33="","",IFERROR(INDEX('Data Consolidada'!$E$7:$E$891,MATCH(CONCATENATE(BZ$3,"-",$CP33,"-",$AY33),'Data Consolidada'!$K$7:$K$891,0)),MAX('Data Consolidada'!$E$7:$E$3000))))</f>
        <v/>
      </c>
      <c r="CA33" s="32" t="str">
        <f>+IF(CA$3="","",IF($AY33="","",IFERROR(INDEX('Data Consolidada'!$E$7:$E$891,MATCH(CONCATENATE(CA$3,"-",$CP33,"-",$AY33),'Data Consolidada'!$K$7:$K$891,0)),MAX('Data Consolidada'!$E$7:$E$3000))))</f>
        <v/>
      </c>
      <c r="CB33" s="32" t="str">
        <f>+IF(CB$3="","",IF($AY33="","",IFERROR(INDEX('Data Consolidada'!$E$7:$E$891,MATCH(CONCATENATE(CB$3,"-",$CP33,"-",$AY33),'Data Consolidada'!$K$7:$K$891,0)),MAX('Data Consolidada'!$E$7:$E$3000))))</f>
        <v/>
      </c>
      <c r="CC33" s="32" t="str">
        <f>+IF(CC$3="","",IF($AY33="","",IFERROR(INDEX('Data Consolidada'!$E$7:$E$891,MATCH(CONCATENATE(CC$3,"-",$CP33,"-",$AY33),'Data Consolidada'!$K$7:$K$891,0)),MAX('Data Consolidada'!$E$7:$E$3000))))</f>
        <v/>
      </c>
      <c r="CD33" s="32" t="str">
        <f>+IF(CD$3="","",IF($AY33="","",IFERROR(INDEX('Data Consolidada'!$E$7:$E$891,MATCH(CONCATENATE(CD$3,"-",$CP33,"-",$AY33),'Data Consolidada'!$K$7:$K$891,0)),MAX('Data Consolidada'!$E$7:$E$3000))))</f>
        <v/>
      </c>
      <c r="CE33" s="32" t="str">
        <f>+IF(CE$3="","",IF($AY33="","",IFERROR(INDEX('Data Consolidada'!$E$7:$E$891,MATCH(CONCATENATE(CE$3,"-",$CP33,"-",$AY33),'Data Consolidada'!$K$7:$K$891,0)),MAX('Data Consolidada'!$E$7:$E$3000))))</f>
        <v/>
      </c>
      <c r="CF33" s="32" t="str">
        <f>+IF(CF$3="","",IF($AY33="","",IFERROR(INDEX('Data Consolidada'!$E$7:$E$891,MATCH(CONCATENATE(CF$3,"-",$CP33,"-",$AY33),'Data Consolidada'!$K$7:$K$891,0)),MAX('Data Consolidada'!$E$7:$E$3000))))</f>
        <v/>
      </c>
      <c r="CG33" s="32" t="str">
        <f>+IF(CG$3="","",IF($AY33="","",IFERROR(INDEX('Data Consolidada'!$E$7:$E$891,MATCH(CONCATENATE(CG$3,"-",$CP33,"-",$AY33),'Data Consolidada'!$K$7:$K$891,0)),MAX('Data Consolidada'!$E$7:$E$3000))))</f>
        <v/>
      </c>
      <c r="CH33" s="32" t="str">
        <f>+IF(CH$3="","",IF($AY33="","",IFERROR(INDEX('Data Consolidada'!$E$7:$E$891,MATCH(CONCATENATE(CH$3,"-",$CP33,"-",$AY33),'Data Consolidada'!$K$7:$K$891,0)),MAX('Data Consolidada'!$E$7:$E$3000))))</f>
        <v/>
      </c>
      <c r="CI33" s="32" t="str">
        <f>+IF(CI$3="","",IF($AY33="","",IFERROR(INDEX('Data Consolidada'!$E$7:$E$891,MATCH(CONCATENATE(CI$3,"-",$CP33,"-",$AY33),'Data Consolidada'!$K$7:$K$891,0)),MAX('Data Consolidada'!$E$7:$E$3000))))</f>
        <v/>
      </c>
      <c r="CJ33" s="32" t="str">
        <f>+IF(CJ$3="","",IF($AY33="","",IFERROR(INDEX('Data Consolidada'!$E$7:$E$891,MATCH(CONCATENATE(CJ$3,"-",$CP33,"-",$AY33),'Data Consolidada'!$K$7:$K$891,0)),MAX('Data Consolidada'!$E$7:$E$3000))))</f>
        <v/>
      </c>
      <c r="CK33" s="32" t="str">
        <f>+IF(CK$3="","",IF($AY33="","",IFERROR(INDEX('Data Consolidada'!$E$7:$E$891,MATCH(CONCATENATE(CK$3,"-",$CP33,"-",$AY33),'Data Consolidada'!$K$7:$K$891,0)),MAX('Data Consolidada'!$E$7:$E$3000))))</f>
        <v/>
      </c>
      <c r="CL33" s="32" t="str">
        <f>+IF(CL$3="","",IF($AY33="","",IFERROR(INDEX('Data Consolidada'!$E$7:$E$891,MATCH(CONCATENATE(CL$3,"-",$CP33,"-",$AY33),'Data Consolidada'!$K$7:$K$891,0)),MAX('Data Consolidada'!$E$7:$E$3000))))</f>
        <v/>
      </c>
      <c r="CM33" s="32" t="str">
        <f>+IF(CM$3="","",IF($AY33="","",IFERROR(INDEX('Data Consolidada'!$E$7:$E$891,MATCH(CONCATENATE(CM$3,"-",$CP33,"-",$AY33),'Data Consolidada'!$K$7:$K$891,0)),MAX('Data Consolidada'!$E$7:$E$3000))))</f>
        <v/>
      </c>
      <c r="CN33" s="32" t="str">
        <f>+IF(CN$3="","",IF($AY33="","",IFERROR(INDEX('Data Consolidada'!$E$7:$E$891,MATCH(CONCATENATE(CN$3,"-",$CP33,"-",$AY33),'Data Consolidada'!$K$7:$K$891,0)),MAX('Data Consolidada'!$E$7:$E$3000))))</f>
        <v/>
      </c>
      <c r="CO33" s="37" t="str">
        <f>+IF(CO$3="","",IF($AY33="","",IFERROR(INDEX('Data Consolidada'!$E$7:$E$891,MATCH(CONCATENATE(CO$3,"-",$CP33,"-",$AY33),'Data Consolidada'!$K$7:$K$891,0)),MAX('Data Consolidada'!$E$7:$E$3000))))</f>
        <v/>
      </c>
      <c r="CP33" s="224">
        <f t="shared" ca="1" si="2"/>
        <v>0</v>
      </c>
      <c r="CQ33" s="84" t="str">
        <f t="shared" ca="1" si="3"/>
        <v>LAVALLE0</v>
      </c>
    </row>
    <row r="34" spans="2:95" ht="15" customHeight="1" x14ac:dyDescent="0.35">
      <c r="B34" s="46"/>
      <c r="C34" s="5"/>
      <c r="D34" s="15"/>
      <c r="F34" s="257" t="s">
        <v>158</v>
      </c>
      <c r="G34" s="14"/>
      <c r="H34" s="204"/>
      <c r="I34" s="267" t="str">
        <f t="shared" si="6"/>
        <v/>
      </c>
      <c r="J34" s="268" t="str">
        <f t="shared" si="7"/>
        <v/>
      </c>
      <c r="K34" s="268" t="str">
        <f t="shared" si="8"/>
        <v/>
      </c>
      <c r="L34" s="268" t="str">
        <f t="shared" si="9"/>
        <v/>
      </c>
      <c r="M34" s="268" t="str">
        <f t="shared" si="10"/>
        <v/>
      </c>
      <c r="N34" s="268" t="str">
        <f t="shared" si="11"/>
        <v/>
      </c>
      <c r="O34" s="268" t="str">
        <f t="shared" si="12"/>
        <v/>
      </c>
      <c r="P34" s="268" t="str">
        <f t="shared" si="13"/>
        <v/>
      </c>
      <c r="Q34" s="268" t="str">
        <f t="shared" si="20"/>
        <v/>
      </c>
      <c r="R34" s="268" t="str">
        <f t="shared" si="14"/>
        <v/>
      </c>
      <c r="S34" s="268" t="str">
        <f t="shared" si="15"/>
        <v/>
      </c>
      <c r="T34" s="268" t="str">
        <f t="shared" si="16"/>
        <v/>
      </c>
      <c r="U34" s="268" t="str">
        <f t="shared" si="17"/>
        <v/>
      </c>
      <c r="V34" s="269" t="str">
        <f t="shared" si="18"/>
        <v/>
      </c>
      <c r="W34" s="55" cm="1">
        <f t="array" ref="W34">+IFERROR(_xlfn.IFS(F34="Totes",IF(I34="",0,ROUNDUP(I34*$I$11/$G$9,0))+IF(J34="",0,ROUNDUP(J34*$J$11/$G$9,0))+IF(K34="",0,ROUNDUP(K34*$K$11/$G$9,0))+IF(L34="",0,ROUNDUP(L34*$L$11/$G$9,0))+IF(M34="",0,ROUNDUP(M34*$M$11/$G$9,0))+IF(N34="",0,ROUNDUP(N34*$N$11/$G$9,0))+IF(O34="",0,ROUNDUP(O34*$O$11/$G$9,0))+IF(P34="",0,ROUNDUP(P34*$P$11/$G$9,0))+IF(Q34="",0,ROUNDUP(Q34*$Q$11/$G$9,0))+IF(R34="",0,ROUNDUP(R34*$R$11/$G$9,0))+IF(S34="",0,ROUNDUP(S34*$S$11/$G$9,0))+IF(T34="",0,ROUNDUP(T34*$T$11/$G$9,0))+IF(U34="",0,ROUNDUP(U34*$U$11/$G$9,0))+IF(V34="",0,ROUNDUP(V34*$V$11/$G$9,0)),F34="Mini Bins",IF(I34="",0,ROUNDUP(I34*$I$11/$J$6,0))+IF(J34="",0,ROUNDUP(J34*$J$11/$J$6,0))+IF(K34="",0,ROUNDUP(K34*$K$11/$J$6,0))+IF(L34="",0,ROUNDUP(L34*$L$11/$J$6,0))+IF(M34="",0,ROUNDUP(M34*$M$11/$J$6,0))+IF(N34="",0,ROUNDUP(N34*$N$11/$J$6,0))+IF(O34="",0,ROUNDUP(O34*$O$11/$J$6,0))+IF(P34="",0,ROUNDUP(P34*$P$11/$J$6,0))+IF(Q34="",0,ROUNDUP(Q34*$Q$11/$J$6,0))+IF(R34="",0,ROUNDUP(R34*$R$11/$J$6,0))+IF(S34="",0,ROUNDUP(S34*$S$11/$J$6,0))+IF(T34="",0,ROUNDUP(T34*$T$11/$J$6,0))+IF(U34="",0,ROUNDUP(U34*$U$11/$J$6,0))+IF(V34="",0,ROUNDUP(V34*$V$11/$J$6,0))),0)</f>
        <v>0</v>
      </c>
      <c r="X34" s="254">
        <f t="shared" si="19"/>
        <v>0</v>
      </c>
      <c r="Z34" s="245" t="s">
        <v>80</v>
      </c>
      <c r="AA34" s="247">
        <v>4</v>
      </c>
      <c r="AB34" s="254" cm="1">
        <f t="array" aca="1" ref="AB34" ca="1">+SUM(IF($B$72:$B$217=Z34,$C$72:$AR$217))</f>
        <v>0</v>
      </c>
      <c r="AC34" s="211">
        <f t="shared" ca="1" si="4"/>
        <v>0</v>
      </c>
      <c r="AF34" s="14"/>
      <c r="AG34" s="204"/>
      <c r="AH34" s="228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6"/>
      <c r="AU34" s="229"/>
      <c r="AW34" s="13">
        <f>+IF(AX34="","",IF(AX34&gt;AX33,AW33,IF(AW33&lt;$D$69,AW33+1,IF(COUNT(AW$4:AW33)&lt;$B$69*$E$54,1,""))))</f>
        <v>3</v>
      </c>
      <c r="AX34" s="13">
        <f>+IF(AX33&lt;$B$69,AX33+1,IF(COUNT(AX$4:AX33)&lt;$B$69*$D$69,1,""))</f>
        <v>5</v>
      </c>
      <c r="AY34" s="189" t="str">
        <f t="shared" ca="1" si="1"/>
        <v>MACEBE</v>
      </c>
      <c r="AZ34" s="36">
        <f ca="1">+IF(AZ$3="","",IF($AY34="","",IFERROR(INDEX('Data Consolidada'!$E$7:$E$891,MATCH(CONCATENATE(AZ$3,"-",$CP34,"-",$AY34),'Data Consolidada'!$K$7:$K$891,0)),MAX('Data Consolidada'!$E$7:$E$3000))))</f>
        <v>11000000</v>
      </c>
      <c r="BA34" s="32">
        <f ca="1">+IF(BA$3="","",IF($AY34="","",IFERROR(INDEX('Data Consolidada'!$E$7:$E$891,MATCH(CONCATENATE(BA$3,"-",$CP34,"-",$AY34),'Data Consolidada'!$K$7:$K$891,0)),MAX('Data Consolidada'!$E$7:$E$3000))))</f>
        <v>11000000</v>
      </c>
      <c r="BB34" s="32" t="str">
        <f>+IF(BB$3="","",IF($AY34="","",IFERROR(INDEX('Data Consolidada'!$E$7:$E$891,MATCH(CONCATENATE(BB$3,"-",$CP34,"-",$AY34),'Data Consolidada'!$K$7:$K$891,0)),MAX('Data Consolidada'!$E$7:$E$3000))))</f>
        <v/>
      </c>
      <c r="BC34" s="32" t="str">
        <f>+IF(BC$3="","",IF($AY34="","",IFERROR(INDEX('Data Consolidada'!$E$7:$E$891,MATCH(CONCATENATE(BC$3,"-",$CP34,"-",$AY34),'Data Consolidada'!$K$7:$K$891,0)),MAX('Data Consolidada'!$E$7:$E$3000))))</f>
        <v/>
      </c>
      <c r="BD34" s="32" t="str">
        <f>+IF(BD$3="","",IF($AY34="","",IFERROR(INDEX('Data Consolidada'!$E$7:$E$891,MATCH(CONCATENATE(BD$3,"-",$CP34,"-",$AY34),'Data Consolidada'!$K$7:$K$891,0)),MAX('Data Consolidada'!$E$7:$E$3000))))</f>
        <v/>
      </c>
      <c r="BE34" s="32" t="str">
        <f>+IF(BE$3="","",IF($AY34="","",IFERROR(INDEX('Data Consolidada'!$E$7:$E$891,MATCH(CONCATENATE(BE$3,"-",$CP34,"-",$AY34),'Data Consolidada'!$K$7:$K$891,0)),MAX('Data Consolidada'!$E$7:$E$3000))))</f>
        <v/>
      </c>
      <c r="BF34" s="32" t="str">
        <f>+IF(BF$3="","",IF($AY34="","",IFERROR(INDEX('Data Consolidada'!$E$7:$E$891,MATCH(CONCATENATE(BF$3,"-",$CP34,"-",$AY34),'Data Consolidada'!$K$7:$K$891,0)),MAX('Data Consolidada'!$E$7:$E$3000))))</f>
        <v/>
      </c>
      <c r="BG34" s="32" t="str">
        <f>+IF(BG$3="","",IF($AY34="","",IFERROR(INDEX('Data Consolidada'!$E$7:$E$891,MATCH(CONCATENATE(BG$3,"-",$CP34,"-",$AY34),'Data Consolidada'!$K$7:$K$891,0)),MAX('Data Consolidada'!$E$7:$E$3000))))</f>
        <v/>
      </c>
      <c r="BH34" s="32" t="str">
        <f>+IF(BH$3="","",IF($AY34="","",IFERROR(INDEX('Data Consolidada'!$E$7:$E$891,MATCH(CONCATENATE(BH$3,"-",$CP34,"-",$AY34),'Data Consolidada'!$K$7:$K$891,0)),MAX('Data Consolidada'!$E$7:$E$3000))))</f>
        <v/>
      </c>
      <c r="BI34" s="32" t="str">
        <f>+IF(BI$3="","",IF($AY34="","",IFERROR(INDEX('Data Consolidada'!$E$7:$E$891,MATCH(CONCATENATE(BI$3,"-",$CP34,"-",$AY34),'Data Consolidada'!$K$7:$K$891,0)),MAX('Data Consolidada'!$E$7:$E$3000))))</f>
        <v/>
      </c>
      <c r="BJ34" s="32" t="str">
        <f>+IF(BJ$3="","",IF($AY34="","",IFERROR(INDEX('Data Consolidada'!$E$7:$E$891,MATCH(CONCATENATE(BJ$3,"-",$CP34,"-",$AY34),'Data Consolidada'!$K$7:$K$891,0)),MAX('Data Consolidada'!$E$7:$E$3000))))</f>
        <v/>
      </c>
      <c r="BK34" s="32" t="str">
        <f>+IF(BK$3="","",IF($AY34="","",IFERROR(INDEX('Data Consolidada'!$E$7:$E$891,MATCH(CONCATENATE(BK$3,"-",$CP34,"-",$AY34),'Data Consolidada'!$K$7:$K$891,0)),MAX('Data Consolidada'!$E$7:$E$3000))))</f>
        <v/>
      </c>
      <c r="BL34" s="32" t="str">
        <f>+IF(BL$3="","",IF($AY34="","",IFERROR(INDEX('Data Consolidada'!$E$7:$E$891,MATCH(CONCATENATE(BL$3,"-",$CP34,"-",$AY34),'Data Consolidada'!$K$7:$K$891,0)),MAX('Data Consolidada'!$E$7:$E$3000))))</f>
        <v/>
      </c>
      <c r="BM34" s="32" t="str">
        <f>+IF(BM$3="","",IF($AY34="","",IFERROR(INDEX('Data Consolidada'!$E$7:$E$891,MATCH(CONCATENATE(BM$3,"-",$CP34,"-",$AY34),'Data Consolidada'!$K$7:$K$891,0)),MAX('Data Consolidada'!$E$7:$E$3000))))</f>
        <v/>
      </c>
      <c r="BN34" s="32" t="str">
        <f>+IF(BN$3="","",IF($AY34="","",IFERROR(INDEX('Data Consolidada'!$E$7:$E$891,MATCH(CONCATENATE(BN$3,"-",$CP34,"-",$AY34),'Data Consolidada'!$K$7:$K$891,0)),MAX('Data Consolidada'!$E$7:$E$3000))))</f>
        <v/>
      </c>
      <c r="BO34" s="32" t="str">
        <f>+IF(BO$3="","",IF($AY34="","",IFERROR(INDEX('Data Consolidada'!$E$7:$E$891,MATCH(CONCATENATE(BO$3,"-",$CP34,"-",$AY34),'Data Consolidada'!$K$7:$K$891,0)),MAX('Data Consolidada'!$E$7:$E$3000))))</f>
        <v/>
      </c>
      <c r="BP34" s="32" t="str">
        <f>+IF(BP$3="","",IF($AY34="","",IFERROR(INDEX('Data Consolidada'!$E$7:$E$891,MATCH(CONCATENATE(BP$3,"-",$CP34,"-",$AY34),'Data Consolidada'!$K$7:$K$891,0)),MAX('Data Consolidada'!$E$7:$E$3000))))</f>
        <v/>
      </c>
      <c r="BQ34" s="32" t="str">
        <f>+IF(BQ$3="","",IF($AY34="","",IFERROR(INDEX('Data Consolidada'!$E$7:$E$891,MATCH(CONCATENATE(BQ$3,"-",$CP34,"-",$AY34),'Data Consolidada'!$K$7:$K$891,0)),MAX('Data Consolidada'!$E$7:$E$3000))))</f>
        <v/>
      </c>
      <c r="BR34" s="32" t="str">
        <f>+IF(BR$3="","",IF($AY34="","",IFERROR(INDEX('Data Consolidada'!$E$7:$E$891,MATCH(CONCATENATE(BR$3,"-",$CP34,"-",$AY34),'Data Consolidada'!$K$7:$K$891,0)),MAX('Data Consolidada'!$E$7:$E$3000))))</f>
        <v/>
      </c>
      <c r="BS34" s="32" t="str">
        <f>+IF(BS$3="","",IF($AY34="","",IFERROR(INDEX('Data Consolidada'!$E$7:$E$891,MATCH(CONCATENATE(BS$3,"-",$CP34,"-",$AY34),'Data Consolidada'!$K$7:$K$891,0)),MAX('Data Consolidada'!$E$7:$E$3000))))</f>
        <v/>
      </c>
      <c r="BT34" s="32" t="str">
        <f>+IF(BT$3="","",IF($AY34="","",IFERROR(INDEX('Data Consolidada'!$E$7:$E$891,MATCH(CONCATENATE(BT$3,"-",$CP34,"-",$AY34),'Data Consolidada'!$K$7:$K$891,0)),MAX('Data Consolidada'!$E$7:$E$3000))))</f>
        <v/>
      </c>
      <c r="BU34" s="32" t="str">
        <f>+IF(BU$3="","",IF($AY34="","",IFERROR(INDEX('Data Consolidada'!$E$7:$E$891,MATCH(CONCATENATE(BU$3,"-",$CP34,"-",$AY34),'Data Consolidada'!$K$7:$K$891,0)),MAX('Data Consolidada'!$E$7:$E$3000))))</f>
        <v/>
      </c>
      <c r="BV34" s="32" t="str">
        <f>+IF(BV$3="","",IF($AY34="","",IFERROR(INDEX('Data Consolidada'!$E$7:$E$891,MATCH(CONCATENATE(BV$3,"-",$CP34,"-",$AY34),'Data Consolidada'!$K$7:$K$891,0)),MAX('Data Consolidada'!$E$7:$E$3000))))</f>
        <v/>
      </c>
      <c r="BW34" s="32" t="str">
        <f>+IF(BW$3="","",IF($AY34="","",IFERROR(INDEX('Data Consolidada'!$E$7:$E$891,MATCH(CONCATENATE(BW$3,"-",$CP34,"-",$AY34),'Data Consolidada'!$K$7:$K$891,0)),MAX('Data Consolidada'!$E$7:$E$3000))))</f>
        <v/>
      </c>
      <c r="BX34" s="32" t="str">
        <f>+IF(BX$3="","",IF($AY34="","",IFERROR(INDEX('Data Consolidada'!$E$7:$E$891,MATCH(CONCATENATE(BX$3,"-",$CP34,"-",$AY34),'Data Consolidada'!$K$7:$K$891,0)),MAX('Data Consolidada'!$E$7:$E$3000))))</f>
        <v/>
      </c>
      <c r="BY34" s="32" t="str">
        <f>+IF(BY$3="","",IF($AY34="","",IFERROR(INDEX('Data Consolidada'!$E$7:$E$891,MATCH(CONCATENATE(BY$3,"-",$CP34,"-",$AY34),'Data Consolidada'!$K$7:$K$891,0)),MAX('Data Consolidada'!$E$7:$E$3000))))</f>
        <v/>
      </c>
      <c r="BZ34" s="32" t="str">
        <f>+IF(BZ$3="","",IF($AY34="","",IFERROR(INDEX('Data Consolidada'!$E$7:$E$891,MATCH(CONCATENATE(BZ$3,"-",$CP34,"-",$AY34),'Data Consolidada'!$K$7:$K$891,0)),MAX('Data Consolidada'!$E$7:$E$3000))))</f>
        <v/>
      </c>
      <c r="CA34" s="32" t="str">
        <f>+IF(CA$3="","",IF($AY34="","",IFERROR(INDEX('Data Consolidada'!$E$7:$E$891,MATCH(CONCATENATE(CA$3,"-",$CP34,"-",$AY34),'Data Consolidada'!$K$7:$K$891,0)),MAX('Data Consolidada'!$E$7:$E$3000))))</f>
        <v/>
      </c>
      <c r="CB34" s="32" t="str">
        <f>+IF(CB$3="","",IF($AY34="","",IFERROR(INDEX('Data Consolidada'!$E$7:$E$891,MATCH(CONCATENATE(CB$3,"-",$CP34,"-",$AY34),'Data Consolidada'!$K$7:$K$891,0)),MAX('Data Consolidada'!$E$7:$E$3000))))</f>
        <v/>
      </c>
      <c r="CC34" s="32" t="str">
        <f>+IF(CC$3="","",IF($AY34="","",IFERROR(INDEX('Data Consolidada'!$E$7:$E$891,MATCH(CONCATENATE(CC$3,"-",$CP34,"-",$AY34),'Data Consolidada'!$K$7:$K$891,0)),MAX('Data Consolidada'!$E$7:$E$3000))))</f>
        <v/>
      </c>
      <c r="CD34" s="32" t="str">
        <f>+IF(CD$3="","",IF($AY34="","",IFERROR(INDEX('Data Consolidada'!$E$7:$E$891,MATCH(CONCATENATE(CD$3,"-",$CP34,"-",$AY34),'Data Consolidada'!$K$7:$K$891,0)),MAX('Data Consolidada'!$E$7:$E$3000))))</f>
        <v/>
      </c>
      <c r="CE34" s="32" t="str">
        <f>+IF(CE$3="","",IF($AY34="","",IFERROR(INDEX('Data Consolidada'!$E$7:$E$891,MATCH(CONCATENATE(CE$3,"-",$CP34,"-",$AY34),'Data Consolidada'!$K$7:$K$891,0)),MAX('Data Consolidada'!$E$7:$E$3000))))</f>
        <v/>
      </c>
      <c r="CF34" s="32" t="str">
        <f>+IF(CF$3="","",IF($AY34="","",IFERROR(INDEX('Data Consolidada'!$E$7:$E$891,MATCH(CONCATENATE(CF$3,"-",$CP34,"-",$AY34),'Data Consolidada'!$K$7:$K$891,0)),MAX('Data Consolidada'!$E$7:$E$3000))))</f>
        <v/>
      </c>
      <c r="CG34" s="32" t="str">
        <f>+IF(CG$3="","",IF($AY34="","",IFERROR(INDEX('Data Consolidada'!$E$7:$E$891,MATCH(CONCATENATE(CG$3,"-",$CP34,"-",$AY34),'Data Consolidada'!$K$7:$K$891,0)),MAX('Data Consolidada'!$E$7:$E$3000))))</f>
        <v/>
      </c>
      <c r="CH34" s="32" t="str">
        <f>+IF(CH$3="","",IF($AY34="","",IFERROR(INDEX('Data Consolidada'!$E$7:$E$891,MATCH(CONCATENATE(CH$3,"-",$CP34,"-",$AY34),'Data Consolidada'!$K$7:$K$891,0)),MAX('Data Consolidada'!$E$7:$E$3000))))</f>
        <v/>
      </c>
      <c r="CI34" s="32" t="str">
        <f>+IF(CI$3="","",IF($AY34="","",IFERROR(INDEX('Data Consolidada'!$E$7:$E$891,MATCH(CONCATENATE(CI$3,"-",$CP34,"-",$AY34),'Data Consolidada'!$K$7:$K$891,0)),MAX('Data Consolidada'!$E$7:$E$3000))))</f>
        <v/>
      </c>
      <c r="CJ34" s="32" t="str">
        <f>+IF(CJ$3="","",IF($AY34="","",IFERROR(INDEX('Data Consolidada'!$E$7:$E$891,MATCH(CONCATENATE(CJ$3,"-",$CP34,"-",$AY34),'Data Consolidada'!$K$7:$K$891,0)),MAX('Data Consolidada'!$E$7:$E$3000))))</f>
        <v/>
      </c>
      <c r="CK34" s="32" t="str">
        <f>+IF(CK$3="","",IF($AY34="","",IFERROR(INDEX('Data Consolidada'!$E$7:$E$891,MATCH(CONCATENATE(CK$3,"-",$CP34,"-",$AY34),'Data Consolidada'!$K$7:$K$891,0)),MAX('Data Consolidada'!$E$7:$E$3000))))</f>
        <v/>
      </c>
      <c r="CL34" s="32" t="str">
        <f>+IF(CL$3="","",IF($AY34="","",IFERROR(INDEX('Data Consolidada'!$E$7:$E$891,MATCH(CONCATENATE(CL$3,"-",$CP34,"-",$AY34),'Data Consolidada'!$K$7:$K$891,0)),MAX('Data Consolidada'!$E$7:$E$3000))))</f>
        <v/>
      </c>
      <c r="CM34" s="32" t="str">
        <f>+IF(CM$3="","",IF($AY34="","",IFERROR(INDEX('Data Consolidada'!$E$7:$E$891,MATCH(CONCATENATE(CM$3,"-",$CP34,"-",$AY34),'Data Consolidada'!$K$7:$K$891,0)),MAX('Data Consolidada'!$E$7:$E$3000))))</f>
        <v/>
      </c>
      <c r="CN34" s="32" t="str">
        <f>+IF(CN$3="","",IF($AY34="","",IFERROR(INDEX('Data Consolidada'!$E$7:$E$891,MATCH(CONCATENATE(CN$3,"-",$CP34,"-",$AY34),'Data Consolidada'!$K$7:$K$891,0)),MAX('Data Consolidada'!$E$7:$E$3000))))</f>
        <v/>
      </c>
      <c r="CO34" s="37" t="str">
        <f>+IF(CO$3="","",IF($AY34="","",IFERROR(INDEX('Data Consolidada'!$E$7:$E$891,MATCH(CONCATENATE(CO$3,"-",$CP34,"-",$AY34),'Data Consolidada'!$K$7:$K$891,0)),MAX('Data Consolidada'!$E$7:$E$3000))))</f>
        <v/>
      </c>
      <c r="CP34" s="224">
        <f t="shared" ca="1" si="2"/>
        <v>0</v>
      </c>
      <c r="CQ34" s="84" t="str">
        <f t="shared" ca="1" si="3"/>
        <v>MACEBE0</v>
      </c>
    </row>
    <row r="35" spans="2:95" ht="15" customHeight="1" x14ac:dyDescent="0.35">
      <c r="B35" s="46"/>
      <c r="C35" s="5"/>
      <c r="D35" s="15"/>
      <c r="F35" s="257" t="s">
        <v>157</v>
      </c>
      <c r="G35" s="14"/>
      <c r="H35" s="204"/>
      <c r="I35" s="267" t="str">
        <f t="shared" si="6"/>
        <v/>
      </c>
      <c r="J35" s="268" t="str">
        <f t="shared" si="7"/>
        <v/>
      </c>
      <c r="K35" s="268" t="str">
        <f t="shared" si="8"/>
        <v/>
      </c>
      <c r="L35" s="268" t="str">
        <f t="shared" si="9"/>
        <v/>
      </c>
      <c r="M35" s="268" t="str">
        <f t="shared" si="10"/>
        <v/>
      </c>
      <c r="N35" s="268" t="str">
        <f t="shared" si="11"/>
        <v/>
      </c>
      <c r="O35" s="268" t="str">
        <f t="shared" si="12"/>
        <v/>
      </c>
      <c r="P35" s="268" t="str">
        <f t="shared" si="13"/>
        <v/>
      </c>
      <c r="Q35" s="268" t="str">
        <f t="shared" si="20"/>
        <v/>
      </c>
      <c r="R35" s="268" t="str">
        <f t="shared" si="14"/>
        <v/>
      </c>
      <c r="S35" s="268" t="str">
        <f t="shared" si="15"/>
        <v/>
      </c>
      <c r="T35" s="268" t="str">
        <f t="shared" si="16"/>
        <v/>
      </c>
      <c r="U35" s="268" t="str">
        <f t="shared" si="17"/>
        <v/>
      </c>
      <c r="V35" s="269" t="str">
        <f t="shared" si="18"/>
        <v/>
      </c>
      <c r="W35" s="55" cm="1">
        <f t="array" ref="W35">+IFERROR(_xlfn.IFS(F35="Totes",IF(I35="",0,ROUNDUP(I35*$I$11/$G$9,0))+IF(J35="",0,ROUNDUP(J35*$J$11/$G$9,0))+IF(K35="",0,ROUNDUP(K35*$K$11/$G$9,0))+IF(L35="",0,ROUNDUP(L35*$L$11/$G$9,0))+IF(M35="",0,ROUNDUP(M35*$M$11/$G$9,0))+IF(N35="",0,ROUNDUP(N35*$N$11/$G$9,0))+IF(O35="",0,ROUNDUP(O35*$O$11/$G$9,0))+IF(P35="",0,ROUNDUP(P35*$P$11/$G$9,0))+IF(Q35="",0,ROUNDUP(Q35*$Q$11/$G$9,0))+IF(R35="",0,ROUNDUP(R35*$R$11/$G$9,0))+IF(S35="",0,ROUNDUP(S35*$S$11/$G$9,0))+IF(T35="",0,ROUNDUP(T35*$T$11/$G$9,0))+IF(U35="",0,ROUNDUP(U35*$U$11/$G$9,0))+IF(V35="",0,ROUNDUP(V35*$V$11/$G$9,0)),F35="Mini Bins",IF(I35="",0,ROUNDUP(I35*$I$11/$J$6,0))+IF(J35="",0,ROUNDUP(J35*$J$11/$J$6,0))+IF(K35="",0,ROUNDUP(K35*$K$11/$J$6,0))+IF(L35="",0,ROUNDUP(L35*$L$11/$J$6,0))+IF(M35="",0,ROUNDUP(M35*$M$11/$J$6,0))+IF(N35="",0,ROUNDUP(N35*$N$11/$J$6,0))+IF(O35="",0,ROUNDUP(O35*$O$11/$J$6,0))+IF(P35="",0,ROUNDUP(P35*$P$11/$J$6,0))+IF(Q35="",0,ROUNDUP(Q35*$Q$11/$J$6,0))+IF(R35="",0,ROUNDUP(R35*$R$11/$J$6,0))+IF(S35="",0,ROUNDUP(S35*$S$11/$J$6,0))+IF(T35="",0,ROUNDUP(T35*$T$11/$J$6,0))+IF(U35="",0,ROUNDUP(U35*$U$11/$J$6,0))+IF(V35="",0,ROUNDUP(V35*$V$11/$J$6,0))),0)</f>
        <v>0</v>
      </c>
      <c r="X35" s="254">
        <f t="shared" si="19"/>
        <v>0</v>
      </c>
      <c r="Z35" s="245"/>
      <c r="AA35" s="247"/>
      <c r="AB35" s="254" cm="1">
        <f t="array" aca="1" ref="AB35" ca="1">+SUM(IF($B$72:$B$217=Z35,$C$72:$AR$217))</f>
        <v>0</v>
      </c>
      <c r="AC35" s="211">
        <f t="shared" ca="1" si="4"/>
        <v>0</v>
      </c>
      <c r="AF35" s="14"/>
      <c r="AG35" s="204"/>
      <c r="AH35" s="228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6"/>
      <c r="AU35" s="229"/>
      <c r="AW35" s="13">
        <f>+IF(AX35="","",IF(AX35&gt;AX34,AW34,IF(AW34&lt;$D$69,AW34+1,IF(COUNT(AW$4:AW34)&lt;$B$69*$E$54,1,""))))</f>
        <v>3</v>
      </c>
      <c r="AX35" s="13">
        <f>+IF(AX34&lt;$B$69,AX34+1,IF(COUNT(AX$4:AX34)&lt;$B$69*$D$69,1,""))</f>
        <v>6</v>
      </c>
      <c r="AY35" s="189" t="str">
        <f t="shared" ca="1" si="1"/>
        <v xml:space="preserve">Manuel Sepúlveda </v>
      </c>
      <c r="AZ35" s="36">
        <f ca="1">+IF(AZ$3="","",IF($AY35="","",IFERROR(INDEX('Data Consolidada'!$E$7:$E$891,MATCH(CONCATENATE(AZ$3,"-",$CP35,"-",$AY35),'Data Consolidada'!$K$7:$K$891,0)),MAX('Data Consolidada'!$E$7:$E$3000))))</f>
        <v>11000000</v>
      </c>
      <c r="BA35" s="32">
        <f ca="1">+IF(BA$3="","",IF($AY35="","",IFERROR(INDEX('Data Consolidada'!$E$7:$E$891,MATCH(CONCATENATE(BA$3,"-",$CP35,"-",$AY35),'Data Consolidada'!$K$7:$K$891,0)),MAX('Data Consolidada'!$E$7:$E$3000))))</f>
        <v>11000000</v>
      </c>
      <c r="BB35" s="32" t="str">
        <f>+IF(BB$3="","",IF($AY35="","",IFERROR(INDEX('Data Consolidada'!$E$7:$E$891,MATCH(CONCATENATE(BB$3,"-",$CP35,"-",$AY35),'Data Consolidada'!$K$7:$K$891,0)),MAX('Data Consolidada'!$E$7:$E$3000))))</f>
        <v/>
      </c>
      <c r="BC35" s="32" t="str">
        <f>+IF(BC$3="","",IF($AY35="","",IFERROR(INDEX('Data Consolidada'!$E$7:$E$891,MATCH(CONCATENATE(BC$3,"-",$CP35,"-",$AY35),'Data Consolidada'!$K$7:$K$891,0)),MAX('Data Consolidada'!$E$7:$E$3000))))</f>
        <v/>
      </c>
      <c r="BD35" s="32" t="str">
        <f>+IF(BD$3="","",IF($AY35="","",IFERROR(INDEX('Data Consolidada'!$E$7:$E$891,MATCH(CONCATENATE(BD$3,"-",$CP35,"-",$AY35),'Data Consolidada'!$K$7:$K$891,0)),MAX('Data Consolidada'!$E$7:$E$3000))))</f>
        <v/>
      </c>
      <c r="BE35" s="32" t="str">
        <f>+IF(BE$3="","",IF($AY35="","",IFERROR(INDEX('Data Consolidada'!$E$7:$E$891,MATCH(CONCATENATE(BE$3,"-",$CP35,"-",$AY35),'Data Consolidada'!$K$7:$K$891,0)),MAX('Data Consolidada'!$E$7:$E$3000))))</f>
        <v/>
      </c>
      <c r="BF35" s="32" t="str">
        <f>+IF(BF$3="","",IF($AY35="","",IFERROR(INDEX('Data Consolidada'!$E$7:$E$891,MATCH(CONCATENATE(BF$3,"-",$CP35,"-",$AY35),'Data Consolidada'!$K$7:$K$891,0)),MAX('Data Consolidada'!$E$7:$E$3000))))</f>
        <v/>
      </c>
      <c r="BG35" s="32" t="str">
        <f>+IF(BG$3="","",IF($AY35="","",IFERROR(INDEX('Data Consolidada'!$E$7:$E$891,MATCH(CONCATENATE(BG$3,"-",$CP35,"-",$AY35),'Data Consolidada'!$K$7:$K$891,0)),MAX('Data Consolidada'!$E$7:$E$3000))))</f>
        <v/>
      </c>
      <c r="BH35" s="32" t="str">
        <f>+IF(BH$3="","",IF($AY35="","",IFERROR(INDEX('Data Consolidada'!$E$7:$E$891,MATCH(CONCATENATE(BH$3,"-",$CP35,"-",$AY35),'Data Consolidada'!$K$7:$K$891,0)),MAX('Data Consolidada'!$E$7:$E$3000))))</f>
        <v/>
      </c>
      <c r="BI35" s="32" t="str">
        <f>+IF(BI$3="","",IF($AY35="","",IFERROR(INDEX('Data Consolidada'!$E$7:$E$891,MATCH(CONCATENATE(BI$3,"-",$CP35,"-",$AY35),'Data Consolidada'!$K$7:$K$891,0)),MAX('Data Consolidada'!$E$7:$E$3000))))</f>
        <v/>
      </c>
      <c r="BJ35" s="32" t="str">
        <f>+IF(BJ$3="","",IF($AY35="","",IFERROR(INDEX('Data Consolidada'!$E$7:$E$891,MATCH(CONCATENATE(BJ$3,"-",$CP35,"-",$AY35),'Data Consolidada'!$K$7:$K$891,0)),MAX('Data Consolidada'!$E$7:$E$3000))))</f>
        <v/>
      </c>
      <c r="BK35" s="32" t="str">
        <f>+IF(BK$3="","",IF($AY35="","",IFERROR(INDEX('Data Consolidada'!$E$7:$E$891,MATCH(CONCATENATE(BK$3,"-",$CP35,"-",$AY35),'Data Consolidada'!$K$7:$K$891,0)),MAX('Data Consolidada'!$E$7:$E$3000))))</f>
        <v/>
      </c>
      <c r="BL35" s="32" t="str">
        <f>+IF(BL$3="","",IF($AY35="","",IFERROR(INDEX('Data Consolidada'!$E$7:$E$891,MATCH(CONCATENATE(BL$3,"-",$CP35,"-",$AY35),'Data Consolidada'!$K$7:$K$891,0)),MAX('Data Consolidada'!$E$7:$E$3000))))</f>
        <v/>
      </c>
      <c r="BM35" s="32" t="str">
        <f>+IF(BM$3="","",IF($AY35="","",IFERROR(INDEX('Data Consolidada'!$E$7:$E$891,MATCH(CONCATENATE(BM$3,"-",$CP35,"-",$AY35),'Data Consolidada'!$K$7:$K$891,0)),MAX('Data Consolidada'!$E$7:$E$3000))))</f>
        <v/>
      </c>
      <c r="BN35" s="32" t="str">
        <f>+IF(BN$3="","",IF($AY35="","",IFERROR(INDEX('Data Consolidada'!$E$7:$E$891,MATCH(CONCATENATE(BN$3,"-",$CP35,"-",$AY35),'Data Consolidada'!$K$7:$K$891,0)),MAX('Data Consolidada'!$E$7:$E$3000))))</f>
        <v/>
      </c>
      <c r="BO35" s="32" t="str">
        <f>+IF(BO$3="","",IF($AY35="","",IFERROR(INDEX('Data Consolidada'!$E$7:$E$891,MATCH(CONCATENATE(BO$3,"-",$CP35,"-",$AY35),'Data Consolidada'!$K$7:$K$891,0)),MAX('Data Consolidada'!$E$7:$E$3000))))</f>
        <v/>
      </c>
      <c r="BP35" s="32" t="str">
        <f>+IF(BP$3="","",IF($AY35="","",IFERROR(INDEX('Data Consolidada'!$E$7:$E$891,MATCH(CONCATENATE(BP$3,"-",$CP35,"-",$AY35),'Data Consolidada'!$K$7:$K$891,0)),MAX('Data Consolidada'!$E$7:$E$3000))))</f>
        <v/>
      </c>
      <c r="BQ35" s="32" t="str">
        <f>+IF(BQ$3="","",IF($AY35="","",IFERROR(INDEX('Data Consolidada'!$E$7:$E$891,MATCH(CONCATENATE(BQ$3,"-",$CP35,"-",$AY35),'Data Consolidada'!$K$7:$K$891,0)),MAX('Data Consolidada'!$E$7:$E$3000))))</f>
        <v/>
      </c>
      <c r="BR35" s="32" t="str">
        <f>+IF(BR$3="","",IF($AY35="","",IFERROR(INDEX('Data Consolidada'!$E$7:$E$891,MATCH(CONCATENATE(BR$3,"-",$CP35,"-",$AY35),'Data Consolidada'!$K$7:$K$891,0)),MAX('Data Consolidada'!$E$7:$E$3000))))</f>
        <v/>
      </c>
      <c r="BS35" s="32" t="str">
        <f>+IF(BS$3="","",IF($AY35="","",IFERROR(INDEX('Data Consolidada'!$E$7:$E$891,MATCH(CONCATENATE(BS$3,"-",$CP35,"-",$AY35),'Data Consolidada'!$K$7:$K$891,0)),MAX('Data Consolidada'!$E$7:$E$3000))))</f>
        <v/>
      </c>
      <c r="BT35" s="32" t="str">
        <f>+IF(BT$3="","",IF($AY35="","",IFERROR(INDEX('Data Consolidada'!$E$7:$E$891,MATCH(CONCATENATE(BT$3,"-",$CP35,"-",$AY35),'Data Consolidada'!$K$7:$K$891,0)),MAX('Data Consolidada'!$E$7:$E$3000))))</f>
        <v/>
      </c>
      <c r="BU35" s="32" t="str">
        <f>+IF(BU$3="","",IF($AY35="","",IFERROR(INDEX('Data Consolidada'!$E$7:$E$891,MATCH(CONCATENATE(BU$3,"-",$CP35,"-",$AY35),'Data Consolidada'!$K$7:$K$891,0)),MAX('Data Consolidada'!$E$7:$E$3000))))</f>
        <v/>
      </c>
      <c r="BV35" s="32" t="str">
        <f>+IF(BV$3="","",IF($AY35="","",IFERROR(INDEX('Data Consolidada'!$E$7:$E$891,MATCH(CONCATENATE(BV$3,"-",$CP35,"-",$AY35),'Data Consolidada'!$K$7:$K$891,0)),MAX('Data Consolidada'!$E$7:$E$3000))))</f>
        <v/>
      </c>
      <c r="BW35" s="32" t="str">
        <f>+IF(BW$3="","",IF($AY35="","",IFERROR(INDEX('Data Consolidada'!$E$7:$E$891,MATCH(CONCATENATE(BW$3,"-",$CP35,"-",$AY35),'Data Consolidada'!$K$7:$K$891,0)),MAX('Data Consolidada'!$E$7:$E$3000))))</f>
        <v/>
      </c>
      <c r="BX35" s="32" t="str">
        <f>+IF(BX$3="","",IF($AY35="","",IFERROR(INDEX('Data Consolidada'!$E$7:$E$891,MATCH(CONCATENATE(BX$3,"-",$CP35,"-",$AY35),'Data Consolidada'!$K$7:$K$891,0)),MAX('Data Consolidada'!$E$7:$E$3000))))</f>
        <v/>
      </c>
      <c r="BY35" s="32" t="str">
        <f>+IF(BY$3="","",IF($AY35="","",IFERROR(INDEX('Data Consolidada'!$E$7:$E$891,MATCH(CONCATENATE(BY$3,"-",$CP35,"-",$AY35),'Data Consolidada'!$K$7:$K$891,0)),MAX('Data Consolidada'!$E$7:$E$3000))))</f>
        <v/>
      </c>
      <c r="BZ35" s="32" t="str">
        <f>+IF(BZ$3="","",IF($AY35="","",IFERROR(INDEX('Data Consolidada'!$E$7:$E$891,MATCH(CONCATENATE(BZ$3,"-",$CP35,"-",$AY35),'Data Consolidada'!$K$7:$K$891,0)),MAX('Data Consolidada'!$E$7:$E$3000))))</f>
        <v/>
      </c>
      <c r="CA35" s="32" t="str">
        <f>+IF(CA$3="","",IF($AY35="","",IFERROR(INDEX('Data Consolidada'!$E$7:$E$891,MATCH(CONCATENATE(CA$3,"-",$CP35,"-",$AY35),'Data Consolidada'!$K$7:$K$891,0)),MAX('Data Consolidada'!$E$7:$E$3000))))</f>
        <v/>
      </c>
      <c r="CB35" s="32" t="str">
        <f>+IF(CB$3="","",IF($AY35="","",IFERROR(INDEX('Data Consolidada'!$E$7:$E$891,MATCH(CONCATENATE(CB$3,"-",$CP35,"-",$AY35),'Data Consolidada'!$K$7:$K$891,0)),MAX('Data Consolidada'!$E$7:$E$3000))))</f>
        <v/>
      </c>
      <c r="CC35" s="32" t="str">
        <f>+IF(CC$3="","",IF($AY35="","",IFERROR(INDEX('Data Consolidada'!$E$7:$E$891,MATCH(CONCATENATE(CC$3,"-",$CP35,"-",$AY35),'Data Consolidada'!$K$7:$K$891,0)),MAX('Data Consolidada'!$E$7:$E$3000))))</f>
        <v/>
      </c>
      <c r="CD35" s="32" t="str">
        <f>+IF(CD$3="","",IF($AY35="","",IFERROR(INDEX('Data Consolidada'!$E$7:$E$891,MATCH(CONCATENATE(CD$3,"-",$CP35,"-",$AY35),'Data Consolidada'!$K$7:$K$891,0)),MAX('Data Consolidada'!$E$7:$E$3000))))</f>
        <v/>
      </c>
      <c r="CE35" s="32" t="str">
        <f>+IF(CE$3="","",IF($AY35="","",IFERROR(INDEX('Data Consolidada'!$E$7:$E$891,MATCH(CONCATENATE(CE$3,"-",$CP35,"-",$AY35),'Data Consolidada'!$K$7:$K$891,0)),MAX('Data Consolidada'!$E$7:$E$3000))))</f>
        <v/>
      </c>
      <c r="CF35" s="32" t="str">
        <f>+IF(CF$3="","",IF($AY35="","",IFERROR(INDEX('Data Consolidada'!$E$7:$E$891,MATCH(CONCATENATE(CF$3,"-",$CP35,"-",$AY35),'Data Consolidada'!$K$7:$K$891,0)),MAX('Data Consolidada'!$E$7:$E$3000))))</f>
        <v/>
      </c>
      <c r="CG35" s="32" t="str">
        <f>+IF(CG$3="","",IF($AY35="","",IFERROR(INDEX('Data Consolidada'!$E$7:$E$891,MATCH(CONCATENATE(CG$3,"-",$CP35,"-",$AY35),'Data Consolidada'!$K$7:$K$891,0)),MAX('Data Consolidada'!$E$7:$E$3000))))</f>
        <v/>
      </c>
      <c r="CH35" s="32" t="str">
        <f>+IF(CH$3="","",IF($AY35="","",IFERROR(INDEX('Data Consolidada'!$E$7:$E$891,MATCH(CONCATENATE(CH$3,"-",$CP35,"-",$AY35),'Data Consolidada'!$K$7:$K$891,0)),MAX('Data Consolidada'!$E$7:$E$3000))))</f>
        <v/>
      </c>
      <c r="CI35" s="32" t="str">
        <f>+IF(CI$3="","",IF($AY35="","",IFERROR(INDEX('Data Consolidada'!$E$7:$E$891,MATCH(CONCATENATE(CI$3,"-",$CP35,"-",$AY35),'Data Consolidada'!$K$7:$K$891,0)),MAX('Data Consolidada'!$E$7:$E$3000))))</f>
        <v/>
      </c>
      <c r="CJ35" s="32" t="str">
        <f>+IF(CJ$3="","",IF($AY35="","",IFERROR(INDEX('Data Consolidada'!$E$7:$E$891,MATCH(CONCATENATE(CJ$3,"-",$CP35,"-",$AY35),'Data Consolidada'!$K$7:$K$891,0)),MAX('Data Consolidada'!$E$7:$E$3000))))</f>
        <v/>
      </c>
      <c r="CK35" s="32" t="str">
        <f>+IF(CK$3="","",IF($AY35="","",IFERROR(INDEX('Data Consolidada'!$E$7:$E$891,MATCH(CONCATENATE(CK$3,"-",$CP35,"-",$AY35),'Data Consolidada'!$K$7:$K$891,0)),MAX('Data Consolidada'!$E$7:$E$3000))))</f>
        <v/>
      </c>
      <c r="CL35" s="32" t="str">
        <f>+IF(CL$3="","",IF($AY35="","",IFERROR(INDEX('Data Consolidada'!$E$7:$E$891,MATCH(CONCATENATE(CL$3,"-",$CP35,"-",$AY35),'Data Consolidada'!$K$7:$K$891,0)),MAX('Data Consolidada'!$E$7:$E$3000))))</f>
        <v/>
      </c>
      <c r="CM35" s="32" t="str">
        <f>+IF(CM$3="","",IF($AY35="","",IFERROR(INDEX('Data Consolidada'!$E$7:$E$891,MATCH(CONCATENATE(CM$3,"-",$CP35,"-",$AY35),'Data Consolidada'!$K$7:$K$891,0)),MAX('Data Consolidada'!$E$7:$E$3000))))</f>
        <v/>
      </c>
      <c r="CN35" s="32" t="str">
        <f>+IF(CN$3="","",IF($AY35="","",IFERROR(INDEX('Data Consolidada'!$E$7:$E$891,MATCH(CONCATENATE(CN$3,"-",$CP35,"-",$AY35),'Data Consolidada'!$K$7:$K$891,0)),MAX('Data Consolidada'!$E$7:$E$3000))))</f>
        <v/>
      </c>
      <c r="CO35" s="37" t="str">
        <f>+IF(CO$3="","",IF($AY35="","",IFERROR(INDEX('Data Consolidada'!$E$7:$E$891,MATCH(CONCATENATE(CO$3,"-",$CP35,"-",$AY35),'Data Consolidada'!$K$7:$K$891,0)),MAX('Data Consolidada'!$E$7:$E$3000))))</f>
        <v/>
      </c>
      <c r="CP35" s="224">
        <f t="shared" ca="1" si="2"/>
        <v>0</v>
      </c>
      <c r="CQ35" s="84" t="str">
        <f t="shared" ca="1" si="3"/>
        <v>Manuel Sepúlveda 0</v>
      </c>
    </row>
    <row r="36" spans="2:95" ht="15" customHeight="1" x14ac:dyDescent="0.35">
      <c r="B36" s="46"/>
      <c r="C36" s="5"/>
      <c r="D36" s="15"/>
      <c r="F36" s="257" t="s">
        <v>157</v>
      </c>
      <c r="G36" s="14"/>
      <c r="H36" s="204"/>
      <c r="I36" s="267" t="str">
        <f t="shared" si="6"/>
        <v/>
      </c>
      <c r="J36" s="268" t="str">
        <f t="shared" si="7"/>
        <v/>
      </c>
      <c r="K36" s="268" t="str">
        <f t="shared" si="8"/>
        <v/>
      </c>
      <c r="L36" s="268" t="str">
        <f t="shared" si="9"/>
        <v/>
      </c>
      <c r="M36" s="268" t="str">
        <f t="shared" si="10"/>
        <v/>
      </c>
      <c r="N36" s="268" t="str">
        <f t="shared" si="11"/>
        <v/>
      </c>
      <c r="O36" s="268" t="str">
        <f t="shared" si="12"/>
        <v/>
      </c>
      <c r="P36" s="268" t="str">
        <f t="shared" si="13"/>
        <v/>
      </c>
      <c r="Q36" s="268" t="str">
        <f t="shared" si="20"/>
        <v/>
      </c>
      <c r="R36" s="268" t="str">
        <f t="shared" si="14"/>
        <v/>
      </c>
      <c r="S36" s="268" t="str">
        <f t="shared" si="15"/>
        <v/>
      </c>
      <c r="T36" s="268" t="str">
        <f t="shared" si="16"/>
        <v/>
      </c>
      <c r="U36" s="268" t="str">
        <f t="shared" si="17"/>
        <v/>
      </c>
      <c r="V36" s="269" t="str">
        <f t="shared" si="18"/>
        <v/>
      </c>
      <c r="W36" s="55" cm="1">
        <f t="array" ref="W36">+IFERROR(_xlfn.IFS(F36="Totes",IF(I36="",0,ROUNDUP(I36*$I$11/$G$9,0))+IF(J36="",0,ROUNDUP(J36*$J$11/$G$9,0))+IF(K36="",0,ROUNDUP(K36*$K$11/$G$9,0))+IF(L36="",0,ROUNDUP(L36*$L$11/$G$9,0))+IF(M36="",0,ROUNDUP(M36*$M$11/$G$9,0))+IF(N36="",0,ROUNDUP(N36*$N$11/$G$9,0))+IF(O36="",0,ROUNDUP(O36*$O$11/$G$9,0))+IF(P36="",0,ROUNDUP(P36*$P$11/$G$9,0))+IF(Q36="",0,ROUNDUP(Q36*$Q$11/$G$9,0))+IF(R36="",0,ROUNDUP(R36*$R$11/$G$9,0))+IF(S36="",0,ROUNDUP(S36*$S$11/$G$9,0))+IF(T36="",0,ROUNDUP(T36*$T$11/$G$9,0))+IF(U36="",0,ROUNDUP(U36*$U$11/$G$9,0))+IF(V36="",0,ROUNDUP(V36*$V$11/$G$9,0)),F36="Mini Bins",IF(I36="",0,ROUNDUP(I36*$I$11/$J$6,0))+IF(J36="",0,ROUNDUP(J36*$J$11/$J$6,0))+IF(K36="",0,ROUNDUP(K36*$K$11/$J$6,0))+IF(L36="",0,ROUNDUP(L36*$L$11/$J$6,0))+IF(M36="",0,ROUNDUP(M36*$M$11/$J$6,0))+IF(N36="",0,ROUNDUP(N36*$N$11/$J$6,0))+IF(O36="",0,ROUNDUP(O36*$O$11/$J$6,0))+IF(P36="",0,ROUNDUP(P36*$P$11/$J$6,0))+IF(Q36="",0,ROUNDUP(Q36*$Q$11/$J$6,0))+IF(R36="",0,ROUNDUP(R36*$R$11/$J$6,0))+IF(S36="",0,ROUNDUP(S36*$S$11/$J$6,0))+IF(T36="",0,ROUNDUP(T36*$T$11/$J$6,0))+IF(U36="",0,ROUNDUP(U36*$U$11/$J$6,0))+IF(V36="",0,ROUNDUP(V36*$V$11/$J$6,0))),0)</f>
        <v>0</v>
      </c>
      <c r="X36" s="254">
        <f t="shared" si="19"/>
        <v>0</v>
      </c>
      <c r="Z36" s="245"/>
      <c r="AA36" s="247"/>
      <c r="AB36" s="254" cm="1">
        <f t="array" aca="1" ref="AB36" ca="1">+SUM(IF($B$72:$B$217=Z36,$C$72:$AR$217))</f>
        <v>0</v>
      </c>
      <c r="AC36" s="211">
        <f t="shared" ca="1" si="4"/>
        <v>0</v>
      </c>
      <c r="AF36" s="14"/>
      <c r="AG36" s="204"/>
      <c r="AH36" s="228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6"/>
      <c r="AU36" s="229"/>
      <c r="AW36" s="13">
        <f>+IF(AX36="","",IF(AX36&gt;AX35,AW35,IF(AW35&lt;$D$69,AW35+1,IF(COUNT(AW$4:AW35)&lt;$B$69*$E$54,1,""))))</f>
        <v>3</v>
      </c>
      <c r="AX36" s="13">
        <f>+IF(AX35&lt;$B$69,AX35+1,IF(COUNT(AX$4:AX35)&lt;$B$69*$D$69,1,""))</f>
        <v>7</v>
      </c>
      <c r="AY36" s="189" t="str">
        <f t="shared" ca="1" si="1"/>
        <v>PARRAO</v>
      </c>
      <c r="AZ36" s="36">
        <f ca="1">+IF(AZ$3="","",IF($AY36="","",IFERROR(INDEX('Data Consolidada'!$E$7:$E$891,MATCH(CONCATENATE(AZ$3,"-",$CP36,"-",$AY36),'Data Consolidada'!$K$7:$K$891,0)),MAX('Data Consolidada'!$E$7:$E$3000))))</f>
        <v>11000000</v>
      </c>
      <c r="BA36" s="32">
        <f ca="1">+IF(BA$3="","",IF($AY36="","",IFERROR(INDEX('Data Consolidada'!$E$7:$E$891,MATCH(CONCATENATE(BA$3,"-",$CP36,"-",$AY36),'Data Consolidada'!$K$7:$K$891,0)),MAX('Data Consolidada'!$E$7:$E$3000))))</f>
        <v>11000000</v>
      </c>
      <c r="BB36" s="32" t="str">
        <f>+IF(BB$3="","",IF($AY36="","",IFERROR(INDEX('Data Consolidada'!$E$7:$E$891,MATCH(CONCATENATE(BB$3,"-",$CP36,"-",$AY36),'Data Consolidada'!$K$7:$K$891,0)),MAX('Data Consolidada'!$E$7:$E$3000))))</f>
        <v/>
      </c>
      <c r="BC36" s="32" t="str">
        <f>+IF(BC$3="","",IF($AY36="","",IFERROR(INDEX('Data Consolidada'!$E$7:$E$891,MATCH(CONCATENATE(BC$3,"-",$CP36,"-",$AY36),'Data Consolidada'!$K$7:$K$891,0)),MAX('Data Consolidada'!$E$7:$E$3000))))</f>
        <v/>
      </c>
      <c r="BD36" s="32" t="str">
        <f>+IF(BD$3="","",IF($AY36="","",IFERROR(INDEX('Data Consolidada'!$E$7:$E$891,MATCH(CONCATENATE(BD$3,"-",$CP36,"-",$AY36),'Data Consolidada'!$K$7:$K$891,0)),MAX('Data Consolidada'!$E$7:$E$3000))))</f>
        <v/>
      </c>
      <c r="BE36" s="32" t="str">
        <f>+IF(BE$3="","",IF($AY36="","",IFERROR(INDEX('Data Consolidada'!$E$7:$E$891,MATCH(CONCATENATE(BE$3,"-",$CP36,"-",$AY36),'Data Consolidada'!$K$7:$K$891,0)),MAX('Data Consolidada'!$E$7:$E$3000))))</f>
        <v/>
      </c>
      <c r="BF36" s="32" t="str">
        <f>+IF(BF$3="","",IF($AY36="","",IFERROR(INDEX('Data Consolidada'!$E$7:$E$891,MATCH(CONCATENATE(BF$3,"-",$CP36,"-",$AY36),'Data Consolidada'!$K$7:$K$891,0)),MAX('Data Consolidada'!$E$7:$E$3000))))</f>
        <v/>
      </c>
      <c r="BG36" s="32" t="str">
        <f>+IF(BG$3="","",IF($AY36="","",IFERROR(INDEX('Data Consolidada'!$E$7:$E$891,MATCH(CONCATENATE(BG$3,"-",$CP36,"-",$AY36),'Data Consolidada'!$K$7:$K$891,0)),MAX('Data Consolidada'!$E$7:$E$3000))))</f>
        <v/>
      </c>
      <c r="BH36" s="32" t="str">
        <f>+IF(BH$3="","",IF($AY36="","",IFERROR(INDEX('Data Consolidada'!$E$7:$E$891,MATCH(CONCATENATE(BH$3,"-",$CP36,"-",$AY36),'Data Consolidada'!$K$7:$K$891,0)),MAX('Data Consolidada'!$E$7:$E$3000))))</f>
        <v/>
      </c>
      <c r="BI36" s="32" t="str">
        <f>+IF(BI$3="","",IF($AY36="","",IFERROR(INDEX('Data Consolidada'!$E$7:$E$891,MATCH(CONCATENATE(BI$3,"-",$CP36,"-",$AY36),'Data Consolidada'!$K$7:$K$891,0)),MAX('Data Consolidada'!$E$7:$E$3000))))</f>
        <v/>
      </c>
      <c r="BJ36" s="32" t="str">
        <f>+IF(BJ$3="","",IF($AY36="","",IFERROR(INDEX('Data Consolidada'!$E$7:$E$891,MATCH(CONCATENATE(BJ$3,"-",$CP36,"-",$AY36),'Data Consolidada'!$K$7:$K$891,0)),MAX('Data Consolidada'!$E$7:$E$3000))))</f>
        <v/>
      </c>
      <c r="BK36" s="32" t="str">
        <f>+IF(BK$3="","",IF($AY36="","",IFERROR(INDEX('Data Consolidada'!$E$7:$E$891,MATCH(CONCATENATE(BK$3,"-",$CP36,"-",$AY36),'Data Consolidada'!$K$7:$K$891,0)),MAX('Data Consolidada'!$E$7:$E$3000))))</f>
        <v/>
      </c>
      <c r="BL36" s="32" t="str">
        <f>+IF(BL$3="","",IF($AY36="","",IFERROR(INDEX('Data Consolidada'!$E$7:$E$891,MATCH(CONCATENATE(BL$3,"-",$CP36,"-",$AY36),'Data Consolidada'!$K$7:$K$891,0)),MAX('Data Consolidada'!$E$7:$E$3000))))</f>
        <v/>
      </c>
      <c r="BM36" s="32" t="str">
        <f>+IF(BM$3="","",IF($AY36="","",IFERROR(INDEX('Data Consolidada'!$E$7:$E$891,MATCH(CONCATENATE(BM$3,"-",$CP36,"-",$AY36),'Data Consolidada'!$K$7:$K$891,0)),MAX('Data Consolidada'!$E$7:$E$3000))))</f>
        <v/>
      </c>
      <c r="BN36" s="32" t="str">
        <f>+IF(BN$3="","",IF($AY36="","",IFERROR(INDEX('Data Consolidada'!$E$7:$E$891,MATCH(CONCATENATE(BN$3,"-",$CP36,"-",$AY36),'Data Consolidada'!$K$7:$K$891,0)),MAX('Data Consolidada'!$E$7:$E$3000))))</f>
        <v/>
      </c>
      <c r="BO36" s="32" t="str">
        <f>+IF(BO$3="","",IF($AY36="","",IFERROR(INDEX('Data Consolidada'!$E$7:$E$891,MATCH(CONCATENATE(BO$3,"-",$CP36,"-",$AY36),'Data Consolidada'!$K$7:$K$891,0)),MAX('Data Consolidada'!$E$7:$E$3000))))</f>
        <v/>
      </c>
      <c r="BP36" s="32" t="str">
        <f>+IF(BP$3="","",IF($AY36="","",IFERROR(INDEX('Data Consolidada'!$E$7:$E$891,MATCH(CONCATENATE(BP$3,"-",$CP36,"-",$AY36),'Data Consolidada'!$K$7:$K$891,0)),MAX('Data Consolidada'!$E$7:$E$3000))))</f>
        <v/>
      </c>
      <c r="BQ36" s="32" t="str">
        <f>+IF(BQ$3="","",IF($AY36="","",IFERROR(INDEX('Data Consolidada'!$E$7:$E$891,MATCH(CONCATENATE(BQ$3,"-",$CP36,"-",$AY36),'Data Consolidada'!$K$7:$K$891,0)),MAX('Data Consolidada'!$E$7:$E$3000))))</f>
        <v/>
      </c>
      <c r="BR36" s="32" t="str">
        <f>+IF(BR$3="","",IF($AY36="","",IFERROR(INDEX('Data Consolidada'!$E$7:$E$891,MATCH(CONCATENATE(BR$3,"-",$CP36,"-",$AY36),'Data Consolidada'!$K$7:$K$891,0)),MAX('Data Consolidada'!$E$7:$E$3000))))</f>
        <v/>
      </c>
      <c r="BS36" s="32" t="str">
        <f>+IF(BS$3="","",IF($AY36="","",IFERROR(INDEX('Data Consolidada'!$E$7:$E$891,MATCH(CONCATENATE(BS$3,"-",$CP36,"-",$AY36),'Data Consolidada'!$K$7:$K$891,0)),MAX('Data Consolidada'!$E$7:$E$3000))))</f>
        <v/>
      </c>
      <c r="BT36" s="32" t="str">
        <f>+IF(BT$3="","",IF($AY36="","",IFERROR(INDEX('Data Consolidada'!$E$7:$E$891,MATCH(CONCATENATE(BT$3,"-",$CP36,"-",$AY36),'Data Consolidada'!$K$7:$K$891,0)),MAX('Data Consolidada'!$E$7:$E$3000))))</f>
        <v/>
      </c>
      <c r="BU36" s="32" t="str">
        <f>+IF(BU$3="","",IF($AY36="","",IFERROR(INDEX('Data Consolidada'!$E$7:$E$891,MATCH(CONCATENATE(BU$3,"-",$CP36,"-",$AY36),'Data Consolidada'!$K$7:$K$891,0)),MAX('Data Consolidada'!$E$7:$E$3000))))</f>
        <v/>
      </c>
      <c r="BV36" s="32" t="str">
        <f>+IF(BV$3="","",IF($AY36="","",IFERROR(INDEX('Data Consolidada'!$E$7:$E$891,MATCH(CONCATENATE(BV$3,"-",$CP36,"-",$AY36),'Data Consolidada'!$K$7:$K$891,0)),MAX('Data Consolidada'!$E$7:$E$3000))))</f>
        <v/>
      </c>
      <c r="BW36" s="32" t="str">
        <f>+IF(BW$3="","",IF($AY36="","",IFERROR(INDEX('Data Consolidada'!$E$7:$E$891,MATCH(CONCATENATE(BW$3,"-",$CP36,"-",$AY36),'Data Consolidada'!$K$7:$K$891,0)),MAX('Data Consolidada'!$E$7:$E$3000))))</f>
        <v/>
      </c>
      <c r="BX36" s="32" t="str">
        <f>+IF(BX$3="","",IF($AY36="","",IFERROR(INDEX('Data Consolidada'!$E$7:$E$891,MATCH(CONCATENATE(BX$3,"-",$CP36,"-",$AY36),'Data Consolidada'!$K$7:$K$891,0)),MAX('Data Consolidada'!$E$7:$E$3000))))</f>
        <v/>
      </c>
      <c r="BY36" s="32" t="str">
        <f>+IF(BY$3="","",IF($AY36="","",IFERROR(INDEX('Data Consolidada'!$E$7:$E$891,MATCH(CONCATENATE(BY$3,"-",$CP36,"-",$AY36),'Data Consolidada'!$K$7:$K$891,0)),MAX('Data Consolidada'!$E$7:$E$3000))))</f>
        <v/>
      </c>
      <c r="BZ36" s="32" t="str">
        <f>+IF(BZ$3="","",IF($AY36="","",IFERROR(INDEX('Data Consolidada'!$E$7:$E$891,MATCH(CONCATENATE(BZ$3,"-",$CP36,"-",$AY36),'Data Consolidada'!$K$7:$K$891,0)),MAX('Data Consolidada'!$E$7:$E$3000))))</f>
        <v/>
      </c>
      <c r="CA36" s="32" t="str">
        <f>+IF(CA$3="","",IF($AY36="","",IFERROR(INDEX('Data Consolidada'!$E$7:$E$891,MATCH(CONCATENATE(CA$3,"-",$CP36,"-",$AY36),'Data Consolidada'!$K$7:$K$891,0)),MAX('Data Consolidada'!$E$7:$E$3000))))</f>
        <v/>
      </c>
      <c r="CB36" s="32" t="str">
        <f>+IF(CB$3="","",IF($AY36="","",IFERROR(INDEX('Data Consolidada'!$E$7:$E$891,MATCH(CONCATENATE(CB$3,"-",$CP36,"-",$AY36),'Data Consolidada'!$K$7:$K$891,0)),MAX('Data Consolidada'!$E$7:$E$3000))))</f>
        <v/>
      </c>
      <c r="CC36" s="32" t="str">
        <f>+IF(CC$3="","",IF($AY36="","",IFERROR(INDEX('Data Consolidada'!$E$7:$E$891,MATCH(CONCATENATE(CC$3,"-",$CP36,"-",$AY36),'Data Consolidada'!$K$7:$K$891,0)),MAX('Data Consolidada'!$E$7:$E$3000))))</f>
        <v/>
      </c>
      <c r="CD36" s="32" t="str">
        <f>+IF(CD$3="","",IF($AY36="","",IFERROR(INDEX('Data Consolidada'!$E$7:$E$891,MATCH(CONCATENATE(CD$3,"-",$CP36,"-",$AY36),'Data Consolidada'!$K$7:$K$891,0)),MAX('Data Consolidada'!$E$7:$E$3000))))</f>
        <v/>
      </c>
      <c r="CE36" s="32" t="str">
        <f>+IF(CE$3="","",IF($AY36="","",IFERROR(INDEX('Data Consolidada'!$E$7:$E$891,MATCH(CONCATENATE(CE$3,"-",$CP36,"-",$AY36),'Data Consolidada'!$K$7:$K$891,0)),MAX('Data Consolidada'!$E$7:$E$3000))))</f>
        <v/>
      </c>
      <c r="CF36" s="32" t="str">
        <f>+IF(CF$3="","",IF($AY36="","",IFERROR(INDEX('Data Consolidada'!$E$7:$E$891,MATCH(CONCATENATE(CF$3,"-",$CP36,"-",$AY36),'Data Consolidada'!$K$7:$K$891,0)),MAX('Data Consolidada'!$E$7:$E$3000))))</f>
        <v/>
      </c>
      <c r="CG36" s="32" t="str">
        <f>+IF(CG$3="","",IF($AY36="","",IFERROR(INDEX('Data Consolidada'!$E$7:$E$891,MATCH(CONCATENATE(CG$3,"-",$CP36,"-",$AY36),'Data Consolidada'!$K$7:$K$891,0)),MAX('Data Consolidada'!$E$7:$E$3000))))</f>
        <v/>
      </c>
      <c r="CH36" s="32" t="str">
        <f>+IF(CH$3="","",IF($AY36="","",IFERROR(INDEX('Data Consolidada'!$E$7:$E$891,MATCH(CONCATENATE(CH$3,"-",$CP36,"-",$AY36),'Data Consolidada'!$K$7:$K$891,0)),MAX('Data Consolidada'!$E$7:$E$3000))))</f>
        <v/>
      </c>
      <c r="CI36" s="32" t="str">
        <f>+IF(CI$3="","",IF($AY36="","",IFERROR(INDEX('Data Consolidada'!$E$7:$E$891,MATCH(CONCATENATE(CI$3,"-",$CP36,"-",$AY36),'Data Consolidada'!$K$7:$K$891,0)),MAX('Data Consolidada'!$E$7:$E$3000))))</f>
        <v/>
      </c>
      <c r="CJ36" s="32" t="str">
        <f>+IF(CJ$3="","",IF($AY36="","",IFERROR(INDEX('Data Consolidada'!$E$7:$E$891,MATCH(CONCATENATE(CJ$3,"-",$CP36,"-",$AY36),'Data Consolidada'!$K$7:$K$891,0)),MAX('Data Consolidada'!$E$7:$E$3000))))</f>
        <v/>
      </c>
      <c r="CK36" s="32" t="str">
        <f>+IF(CK$3="","",IF($AY36="","",IFERROR(INDEX('Data Consolidada'!$E$7:$E$891,MATCH(CONCATENATE(CK$3,"-",$CP36,"-",$AY36),'Data Consolidada'!$K$7:$K$891,0)),MAX('Data Consolidada'!$E$7:$E$3000))))</f>
        <v/>
      </c>
      <c r="CL36" s="32" t="str">
        <f>+IF(CL$3="","",IF($AY36="","",IFERROR(INDEX('Data Consolidada'!$E$7:$E$891,MATCH(CONCATENATE(CL$3,"-",$CP36,"-",$AY36),'Data Consolidada'!$K$7:$K$891,0)),MAX('Data Consolidada'!$E$7:$E$3000))))</f>
        <v/>
      </c>
      <c r="CM36" s="32" t="str">
        <f>+IF(CM$3="","",IF($AY36="","",IFERROR(INDEX('Data Consolidada'!$E$7:$E$891,MATCH(CONCATENATE(CM$3,"-",$CP36,"-",$AY36),'Data Consolidada'!$K$7:$K$891,0)),MAX('Data Consolidada'!$E$7:$E$3000))))</f>
        <v/>
      </c>
      <c r="CN36" s="32" t="str">
        <f>+IF(CN$3="","",IF($AY36="","",IFERROR(INDEX('Data Consolidada'!$E$7:$E$891,MATCH(CONCATENATE(CN$3,"-",$CP36,"-",$AY36),'Data Consolidada'!$K$7:$K$891,0)),MAX('Data Consolidada'!$E$7:$E$3000))))</f>
        <v/>
      </c>
      <c r="CO36" s="37" t="str">
        <f>+IF(CO$3="","",IF($AY36="","",IFERROR(INDEX('Data Consolidada'!$E$7:$E$891,MATCH(CONCATENATE(CO$3,"-",$CP36,"-",$AY36),'Data Consolidada'!$K$7:$K$891,0)),MAX('Data Consolidada'!$E$7:$E$3000))))</f>
        <v/>
      </c>
      <c r="CP36" s="224">
        <f t="shared" ca="1" si="2"/>
        <v>0</v>
      </c>
      <c r="CQ36" s="84" t="str">
        <f t="shared" ca="1" si="3"/>
        <v>PARRAO0</v>
      </c>
    </row>
    <row r="37" spans="2:95" ht="15" customHeight="1" x14ac:dyDescent="0.35">
      <c r="B37" s="46"/>
      <c r="C37" s="5"/>
      <c r="D37" s="76"/>
      <c r="E37" s="11"/>
      <c r="F37" s="257" t="s">
        <v>157</v>
      </c>
      <c r="G37" s="14"/>
      <c r="H37" s="204"/>
      <c r="I37" s="267" t="str">
        <f t="shared" si="6"/>
        <v/>
      </c>
      <c r="J37" s="268" t="str">
        <f t="shared" si="7"/>
        <v/>
      </c>
      <c r="K37" s="268" t="str">
        <f t="shared" si="8"/>
        <v/>
      </c>
      <c r="L37" s="268" t="str">
        <f t="shared" si="9"/>
        <v/>
      </c>
      <c r="M37" s="268" t="str">
        <f t="shared" si="10"/>
        <v/>
      </c>
      <c r="N37" s="268" t="str">
        <f t="shared" si="11"/>
        <v/>
      </c>
      <c r="O37" s="268" t="str">
        <f t="shared" si="12"/>
        <v/>
      </c>
      <c r="P37" s="268" t="str">
        <f t="shared" si="13"/>
        <v/>
      </c>
      <c r="Q37" s="268" t="str">
        <f t="shared" si="20"/>
        <v/>
      </c>
      <c r="R37" s="268" t="str">
        <f t="shared" si="14"/>
        <v/>
      </c>
      <c r="S37" s="268" t="str">
        <f t="shared" si="15"/>
        <v/>
      </c>
      <c r="T37" s="268" t="str">
        <f t="shared" si="16"/>
        <v/>
      </c>
      <c r="U37" s="268" t="str">
        <f t="shared" si="17"/>
        <v/>
      </c>
      <c r="V37" s="269" t="str">
        <f t="shared" si="18"/>
        <v/>
      </c>
      <c r="W37" s="55" cm="1">
        <f t="array" ref="W37">+IFERROR(_xlfn.IFS(F37="Totes",IF(I37="",0,ROUNDUP(I37*$I$11/$G$9,0))+IF(J37="",0,ROUNDUP(J37*$J$11/$G$9,0))+IF(K37="",0,ROUNDUP(K37*$K$11/$G$9,0))+IF(L37="",0,ROUNDUP(L37*$L$11/$G$9,0))+IF(M37="",0,ROUNDUP(M37*$M$11/$G$9,0))+IF(N37="",0,ROUNDUP(N37*$N$11/$G$9,0))+IF(O37="",0,ROUNDUP(O37*$O$11/$G$9,0))+IF(P37="",0,ROUNDUP(P37*$P$11/$G$9,0))+IF(Q37="",0,ROUNDUP(Q37*$Q$11/$G$9,0))+IF(R37="",0,ROUNDUP(R37*$R$11/$G$9,0))+IF(S37="",0,ROUNDUP(S37*$S$11/$G$9,0))+IF(T37="",0,ROUNDUP(T37*$T$11/$G$9,0))+IF(U37="",0,ROUNDUP(U37*$U$11/$G$9,0))+IF(V37="",0,ROUNDUP(V37*$V$11/$G$9,0)),F37="Mini Bins",IF(I37="",0,ROUNDUP(I37*$I$11/$J$6,0))+IF(J37="",0,ROUNDUP(J37*$J$11/$J$6,0))+IF(K37="",0,ROUNDUP(K37*$K$11/$J$6,0))+IF(L37="",0,ROUNDUP(L37*$L$11/$J$6,0))+IF(M37="",0,ROUNDUP(M37*$M$11/$J$6,0))+IF(N37="",0,ROUNDUP(N37*$N$11/$J$6,0))+IF(O37="",0,ROUNDUP(O37*$O$11/$J$6,0))+IF(P37="",0,ROUNDUP(P37*$P$11/$J$6,0))+IF(Q37="",0,ROUNDUP(Q37*$Q$11/$J$6,0))+IF(R37="",0,ROUNDUP(R37*$R$11/$J$6,0))+IF(S37="",0,ROUNDUP(S37*$S$11/$J$6,0))+IF(T37="",0,ROUNDUP(T37*$T$11/$J$6,0))+IF(U37="",0,ROUNDUP(U37*$U$11/$J$6,0))+IF(V37="",0,ROUNDUP(V37*$V$11/$J$6,0))),0)</f>
        <v>0</v>
      </c>
      <c r="X37" s="254">
        <f t="shared" si="19"/>
        <v>0</v>
      </c>
      <c r="Z37" s="245"/>
      <c r="AA37" s="247"/>
      <c r="AB37" s="254" cm="1">
        <f t="array" aca="1" ref="AB37" ca="1">+SUM(IF($B$72:$B$217=Z37,$C$72:$AR$217))</f>
        <v>0</v>
      </c>
      <c r="AC37" s="211">
        <f t="shared" ca="1" si="4"/>
        <v>0</v>
      </c>
      <c r="AF37" s="14"/>
      <c r="AG37" s="204"/>
      <c r="AH37" s="228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229"/>
      <c r="AW37" s="13">
        <f>+IF(AX37="","",IF(AX37&gt;AX36,AW36,IF(AW36&lt;$D$69,AW36+1,IF(COUNT(AW$4:AW36)&lt;$B$69*$E$54,1,""))))</f>
        <v>3</v>
      </c>
      <c r="AX37" s="13">
        <f>+IF(AX36&lt;$B$69,AX36+1,IF(COUNT(AX$4:AX36)&lt;$B$69*$D$69,1,""))</f>
        <v>8</v>
      </c>
      <c r="AY37" s="189" t="str">
        <f t="shared" ca="1" si="1"/>
        <v>PAULA</v>
      </c>
      <c r="AZ37" s="36">
        <f ca="1">+IF(AZ$3="","",IF($AY37="","",IFERROR(INDEX('Data Consolidada'!$E$7:$E$891,MATCH(CONCATENATE(AZ$3,"-",$CP37,"-",$AY37),'Data Consolidada'!$K$7:$K$891,0)),MAX('Data Consolidada'!$E$7:$E$3000))))</f>
        <v>11000000</v>
      </c>
      <c r="BA37" s="32">
        <f ca="1">+IF(BA$3="","",IF($AY37="","",IFERROR(INDEX('Data Consolidada'!$E$7:$E$891,MATCH(CONCATENATE(BA$3,"-",$CP37,"-",$AY37),'Data Consolidada'!$K$7:$K$891,0)),MAX('Data Consolidada'!$E$7:$E$3000))))</f>
        <v>11000000</v>
      </c>
      <c r="BB37" s="32" t="str">
        <f>+IF(BB$3="","",IF($AY37="","",IFERROR(INDEX('Data Consolidada'!$E$7:$E$891,MATCH(CONCATENATE(BB$3,"-",$CP37,"-",$AY37),'Data Consolidada'!$K$7:$K$891,0)),MAX('Data Consolidada'!$E$7:$E$3000))))</f>
        <v/>
      </c>
      <c r="BC37" s="32" t="str">
        <f>+IF(BC$3="","",IF($AY37="","",IFERROR(INDEX('Data Consolidada'!$E$7:$E$891,MATCH(CONCATENATE(BC$3,"-",$CP37,"-",$AY37),'Data Consolidada'!$K$7:$K$891,0)),MAX('Data Consolidada'!$E$7:$E$3000))))</f>
        <v/>
      </c>
      <c r="BD37" s="32" t="str">
        <f>+IF(BD$3="","",IF($AY37="","",IFERROR(INDEX('Data Consolidada'!$E$7:$E$891,MATCH(CONCATENATE(BD$3,"-",$CP37,"-",$AY37),'Data Consolidada'!$K$7:$K$891,0)),MAX('Data Consolidada'!$E$7:$E$3000))))</f>
        <v/>
      </c>
      <c r="BE37" s="32" t="str">
        <f>+IF(BE$3="","",IF($AY37="","",IFERROR(INDEX('Data Consolidada'!$E$7:$E$891,MATCH(CONCATENATE(BE$3,"-",$CP37,"-",$AY37),'Data Consolidada'!$K$7:$K$891,0)),MAX('Data Consolidada'!$E$7:$E$3000))))</f>
        <v/>
      </c>
      <c r="BF37" s="32" t="str">
        <f>+IF(BF$3="","",IF($AY37="","",IFERROR(INDEX('Data Consolidada'!$E$7:$E$891,MATCH(CONCATENATE(BF$3,"-",$CP37,"-",$AY37),'Data Consolidada'!$K$7:$K$891,0)),MAX('Data Consolidada'!$E$7:$E$3000))))</f>
        <v/>
      </c>
      <c r="BG37" s="32" t="str">
        <f>+IF(BG$3="","",IF($AY37="","",IFERROR(INDEX('Data Consolidada'!$E$7:$E$891,MATCH(CONCATENATE(BG$3,"-",$CP37,"-",$AY37),'Data Consolidada'!$K$7:$K$891,0)),MAX('Data Consolidada'!$E$7:$E$3000))))</f>
        <v/>
      </c>
      <c r="BH37" s="32" t="str">
        <f>+IF(BH$3="","",IF($AY37="","",IFERROR(INDEX('Data Consolidada'!$E$7:$E$891,MATCH(CONCATENATE(BH$3,"-",$CP37,"-",$AY37),'Data Consolidada'!$K$7:$K$891,0)),MAX('Data Consolidada'!$E$7:$E$3000))))</f>
        <v/>
      </c>
      <c r="BI37" s="32" t="str">
        <f>+IF(BI$3="","",IF($AY37="","",IFERROR(INDEX('Data Consolidada'!$E$7:$E$891,MATCH(CONCATENATE(BI$3,"-",$CP37,"-",$AY37),'Data Consolidada'!$K$7:$K$891,0)),MAX('Data Consolidada'!$E$7:$E$3000))))</f>
        <v/>
      </c>
      <c r="BJ37" s="32" t="str">
        <f>+IF(BJ$3="","",IF($AY37="","",IFERROR(INDEX('Data Consolidada'!$E$7:$E$891,MATCH(CONCATENATE(BJ$3,"-",$CP37,"-",$AY37),'Data Consolidada'!$K$7:$K$891,0)),MAX('Data Consolidada'!$E$7:$E$3000))))</f>
        <v/>
      </c>
      <c r="BK37" s="32" t="str">
        <f>+IF(BK$3="","",IF($AY37="","",IFERROR(INDEX('Data Consolidada'!$E$7:$E$891,MATCH(CONCATENATE(BK$3,"-",$CP37,"-",$AY37),'Data Consolidada'!$K$7:$K$891,0)),MAX('Data Consolidada'!$E$7:$E$3000))))</f>
        <v/>
      </c>
      <c r="BL37" s="32" t="str">
        <f>+IF(BL$3="","",IF($AY37="","",IFERROR(INDEX('Data Consolidada'!$E$7:$E$891,MATCH(CONCATENATE(BL$3,"-",$CP37,"-",$AY37),'Data Consolidada'!$K$7:$K$891,0)),MAX('Data Consolidada'!$E$7:$E$3000))))</f>
        <v/>
      </c>
      <c r="BM37" s="32" t="str">
        <f>+IF(BM$3="","",IF($AY37="","",IFERROR(INDEX('Data Consolidada'!$E$7:$E$891,MATCH(CONCATENATE(BM$3,"-",$CP37,"-",$AY37),'Data Consolidada'!$K$7:$K$891,0)),MAX('Data Consolidada'!$E$7:$E$3000))))</f>
        <v/>
      </c>
      <c r="BN37" s="32" t="str">
        <f>+IF(BN$3="","",IF($AY37="","",IFERROR(INDEX('Data Consolidada'!$E$7:$E$891,MATCH(CONCATENATE(BN$3,"-",$CP37,"-",$AY37),'Data Consolidada'!$K$7:$K$891,0)),MAX('Data Consolidada'!$E$7:$E$3000))))</f>
        <v/>
      </c>
      <c r="BO37" s="32" t="str">
        <f>+IF(BO$3="","",IF($AY37="","",IFERROR(INDEX('Data Consolidada'!$E$7:$E$891,MATCH(CONCATENATE(BO$3,"-",$CP37,"-",$AY37),'Data Consolidada'!$K$7:$K$891,0)),MAX('Data Consolidada'!$E$7:$E$3000))))</f>
        <v/>
      </c>
      <c r="BP37" s="32" t="str">
        <f>+IF(BP$3="","",IF($AY37="","",IFERROR(INDEX('Data Consolidada'!$E$7:$E$891,MATCH(CONCATENATE(BP$3,"-",$CP37,"-",$AY37),'Data Consolidada'!$K$7:$K$891,0)),MAX('Data Consolidada'!$E$7:$E$3000))))</f>
        <v/>
      </c>
      <c r="BQ37" s="32" t="str">
        <f>+IF(BQ$3="","",IF($AY37="","",IFERROR(INDEX('Data Consolidada'!$E$7:$E$891,MATCH(CONCATENATE(BQ$3,"-",$CP37,"-",$AY37),'Data Consolidada'!$K$7:$K$891,0)),MAX('Data Consolidada'!$E$7:$E$3000))))</f>
        <v/>
      </c>
      <c r="BR37" s="32" t="str">
        <f>+IF(BR$3="","",IF($AY37="","",IFERROR(INDEX('Data Consolidada'!$E$7:$E$891,MATCH(CONCATENATE(BR$3,"-",$CP37,"-",$AY37),'Data Consolidada'!$K$7:$K$891,0)),MAX('Data Consolidada'!$E$7:$E$3000))))</f>
        <v/>
      </c>
      <c r="BS37" s="32" t="str">
        <f>+IF(BS$3="","",IF($AY37="","",IFERROR(INDEX('Data Consolidada'!$E$7:$E$891,MATCH(CONCATENATE(BS$3,"-",$CP37,"-",$AY37),'Data Consolidada'!$K$7:$K$891,0)),MAX('Data Consolidada'!$E$7:$E$3000))))</f>
        <v/>
      </c>
      <c r="BT37" s="32" t="str">
        <f>+IF(BT$3="","",IF($AY37="","",IFERROR(INDEX('Data Consolidada'!$E$7:$E$891,MATCH(CONCATENATE(BT$3,"-",$CP37,"-",$AY37),'Data Consolidada'!$K$7:$K$891,0)),MAX('Data Consolidada'!$E$7:$E$3000))))</f>
        <v/>
      </c>
      <c r="BU37" s="32" t="str">
        <f>+IF(BU$3="","",IF($AY37="","",IFERROR(INDEX('Data Consolidada'!$E$7:$E$891,MATCH(CONCATENATE(BU$3,"-",$CP37,"-",$AY37),'Data Consolidada'!$K$7:$K$891,0)),MAX('Data Consolidada'!$E$7:$E$3000))))</f>
        <v/>
      </c>
      <c r="BV37" s="32" t="str">
        <f>+IF(BV$3="","",IF($AY37="","",IFERROR(INDEX('Data Consolidada'!$E$7:$E$891,MATCH(CONCATENATE(BV$3,"-",$CP37,"-",$AY37),'Data Consolidada'!$K$7:$K$891,0)),MAX('Data Consolidada'!$E$7:$E$3000))))</f>
        <v/>
      </c>
      <c r="BW37" s="32" t="str">
        <f>+IF(BW$3="","",IF($AY37="","",IFERROR(INDEX('Data Consolidada'!$E$7:$E$891,MATCH(CONCATENATE(BW$3,"-",$CP37,"-",$AY37),'Data Consolidada'!$K$7:$K$891,0)),MAX('Data Consolidada'!$E$7:$E$3000))))</f>
        <v/>
      </c>
      <c r="BX37" s="32" t="str">
        <f>+IF(BX$3="","",IF($AY37="","",IFERROR(INDEX('Data Consolidada'!$E$7:$E$891,MATCH(CONCATENATE(BX$3,"-",$CP37,"-",$AY37),'Data Consolidada'!$K$7:$K$891,0)),MAX('Data Consolidada'!$E$7:$E$3000))))</f>
        <v/>
      </c>
      <c r="BY37" s="32" t="str">
        <f>+IF(BY$3="","",IF($AY37="","",IFERROR(INDEX('Data Consolidada'!$E$7:$E$891,MATCH(CONCATENATE(BY$3,"-",$CP37,"-",$AY37),'Data Consolidada'!$K$7:$K$891,0)),MAX('Data Consolidada'!$E$7:$E$3000))))</f>
        <v/>
      </c>
      <c r="BZ37" s="32" t="str">
        <f>+IF(BZ$3="","",IF($AY37="","",IFERROR(INDEX('Data Consolidada'!$E$7:$E$891,MATCH(CONCATENATE(BZ$3,"-",$CP37,"-",$AY37),'Data Consolidada'!$K$7:$K$891,0)),MAX('Data Consolidada'!$E$7:$E$3000))))</f>
        <v/>
      </c>
      <c r="CA37" s="32" t="str">
        <f>+IF(CA$3="","",IF($AY37="","",IFERROR(INDEX('Data Consolidada'!$E$7:$E$891,MATCH(CONCATENATE(CA$3,"-",$CP37,"-",$AY37),'Data Consolidada'!$K$7:$K$891,0)),MAX('Data Consolidada'!$E$7:$E$3000))))</f>
        <v/>
      </c>
      <c r="CB37" s="32" t="str">
        <f>+IF(CB$3="","",IF($AY37="","",IFERROR(INDEX('Data Consolidada'!$E$7:$E$891,MATCH(CONCATENATE(CB$3,"-",$CP37,"-",$AY37),'Data Consolidada'!$K$7:$K$891,0)),MAX('Data Consolidada'!$E$7:$E$3000))))</f>
        <v/>
      </c>
      <c r="CC37" s="32" t="str">
        <f>+IF(CC$3="","",IF($AY37="","",IFERROR(INDEX('Data Consolidada'!$E$7:$E$891,MATCH(CONCATENATE(CC$3,"-",$CP37,"-",$AY37),'Data Consolidada'!$K$7:$K$891,0)),MAX('Data Consolidada'!$E$7:$E$3000))))</f>
        <v/>
      </c>
      <c r="CD37" s="32" t="str">
        <f>+IF(CD$3="","",IF($AY37="","",IFERROR(INDEX('Data Consolidada'!$E$7:$E$891,MATCH(CONCATENATE(CD$3,"-",$CP37,"-",$AY37),'Data Consolidada'!$K$7:$K$891,0)),MAX('Data Consolidada'!$E$7:$E$3000))))</f>
        <v/>
      </c>
      <c r="CE37" s="32" t="str">
        <f>+IF(CE$3="","",IF($AY37="","",IFERROR(INDEX('Data Consolidada'!$E$7:$E$891,MATCH(CONCATENATE(CE$3,"-",$CP37,"-",$AY37),'Data Consolidada'!$K$7:$K$891,0)),MAX('Data Consolidada'!$E$7:$E$3000))))</f>
        <v/>
      </c>
      <c r="CF37" s="32" t="str">
        <f>+IF(CF$3="","",IF($AY37="","",IFERROR(INDEX('Data Consolidada'!$E$7:$E$891,MATCH(CONCATENATE(CF$3,"-",$CP37,"-",$AY37),'Data Consolidada'!$K$7:$K$891,0)),MAX('Data Consolidada'!$E$7:$E$3000))))</f>
        <v/>
      </c>
      <c r="CG37" s="32" t="str">
        <f>+IF(CG$3="","",IF($AY37="","",IFERROR(INDEX('Data Consolidada'!$E$7:$E$891,MATCH(CONCATENATE(CG$3,"-",$CP37,"-",$AY37),'Data Consolidada'!$K$7:$K$891,0)),MAX('Data Consolidada'!$E$7:$E$3000))))</f>
        <v/>
      </c>
      <c r="CH37" s="32" t="str">
        <f>+IF(CH$3="","",IF($AY37="","",IFERROR(INDEX('Data Consolidada'!$E$7:$E$891,MATCH(CONCATENATE(CH$3,"-",$CP37,"-",$AY37),'Data Consolidada'!$K$7:$K$891,0)),MAX('Data Consolidada'!$E$7:$E$3000))))</f>
        <v/>
      </c>
      <c r="CI37" s="32" t="str">
        <f>+IF(CI$3="","",IF($AY37="","",IFERROR(INDEX('Data Consolidada'!$E$7:$E$891,MATCH(CONCATENATE(CI$3,"-",$CP37,"-",$AY37),'Data Consolidada'!$K$7:$K$891,0)),MAX('Data Consolidada'!$E$7:$E$3000))))</f>
        <v/>
      </c>
      <c r="CJ37" s="32" t="str">
        <f>+IF(CJ$3="","",IF($AY37="","",IFERROR(INDEX('Data Consolidada'!$E$7:$E$891,MATCH(CONCATENATE(CJ$3,"-",$CP37,"-",$AY37),'Data Consolidada'!$K$7:$K$891,0)),MAX('Data Consolidada'!$E$7:$E$3000))))</f>
        <v/>
      </c>
      <c r="CK37" s="32" t="str">
        <f>+IF(CK$3="","",IF($AY37="","",IFERROR(INDEX('Data Consolidada'!$E$7:$E$891,MATCH(CONCATENATE(CK$3,"-",$CP37,"-",$AY37),'Data Consolidada'!$K$7:$K$891,0)),MAX('Data Consolidada'!$E$7:$E$3000))))</f>
        <v/>
      </c>
      <c r="CL37" s="32" t="str">
        <f>+IF(CL$3="","",IF($AY37="","",IFERROR(INDEX('Data Consolidada'!$E$7:$E$891,MATCH(CONCATENATE(CL$3,"-",$CP37,"-",$AY37),'Data Consolidada'!$K$7:$K$891,0)),MAX('Data Consolidada'!$E$7:$E$3000))))</f>
        <v/>
      </c>
      <c r="CM37" s="32" t="str">
        <f>+IF(CM$3="","",IF($AY37="","",IFERROR(INDEX('Data Consolidada'!$E$7:$E$891,MATCH(CONCATENATE(CM$3,"-",$CP37,"-",$AY37),'Data Consolidada'!$K$7:$K$891,0)),MAX('Data Consolidada'!$E$7:$E$3000))))</f>
        <v/>
      </c>
      <c r="CN37" s="32" t="str">
        <f>+IF(CN$3="","",IF($AY37="","",IFERROR(INDEX('Data Consolidada'!$E$7:$E$891,MATCH(CONCATENATE(CN$3,"-",$CP37,"-",$AY37),'Data Consolidada'!$K$7:$K$891,0)),MAX('Data Consolidada'!$E$7:$E$3000))))</f>
        <v/>
      </c>
      <c r="CO37" s="37" t="str">
        <f>+IF(CO$3="","",IF($AY37="","",IFERROR(INDEX('Data Consolidada'!$E$7:$E$891,MATCH(CONCATENATE(CO$3,"-",$CP37,"-",$AY37),'Data Consolidada'!$K$7:$K$891,0)),MAX('Data Consolidada'!$E$7:$E$3000))))</f>
        <v/>
      </c>
      <c r="CP37" s="224">
        <f t="shared" ca="1" si="2"/>
        <v>0</v>
      </c>
      <c r="CQ37" s="84" t="str">
        <f t="shared" ca="1" si="3"/>
        <v>PAULA0</v>
      </c>
    </row>
    <row r="38" spans="2:95" ht="15" customHeight="1" x14ac:dyDescent="0.35">
      <c r="B38" s="46"/>
      <c r="C38" s="5"/>
      <c r="D38" s="76"/>
      <c r="E38" s="11"/>
      <c r="F38" s="257" t="s">
        <v>157</v>
      </c>
      <c r="G38" s="14"/>
      <c r="H38" s="204"/>
      <c r="I38" s="267" t="str">
        <f t="shared" si="6"/>
        <v/>
      </c>
      <c r="J38" s="268" t="str">
        <f t="shared" si="7"/>
        <v/>
      </c>
      <c r="K38" s="268" t="str">
        <f t="shared" si="8"/>
        <v/>
      </c>
      <c r="L38" s="268" t="str">
        <f t="shared" si="9"/>
        <v/>
      </c>
      <c r="M38" s="268" t="str">
        <f t="shared" si="10"/>
        <v/>
      </c>
      <c r="N38" s="268" t="str">
        <f t="shared" si="11"/>
        <v/>
      </c>
      <c r="O38" s="268" t="str">
        <f t="shared" si="12"/>
        <v/>
      </c>
      <c r="P38" s="268" t="str">
        <f t="shared" si="13"/>
        <v/>
      </c>
      <c r="Q38" s="268" t="str">
        <f t="shared" si="20"/>
        <v/>
      </c>
      <c r="R38" s="268" t="str">
        <f t="shared" si="14"/>
        <v/>
      </c>
      <c r="S38" s="268" t="str">
        <f t="shared" si="15"/>
        <v/>
      </c>
      <c r="T38" s="268" t="str">
        <f t="shared" si="16"/>
        <v/>
      </c>
      <c r="U38" s="268" t="str">
        <f t="shared" si="17"/>
        <v/>
      </c>
      <c r="V38" s="269" t="str">
        <f t="shared" si="18"/>
        <v/>
      </c>
      <c r="W38" s="55" cm="1">
        <f t="array" ref="W38">+IFERROR(_xlfn.IFS(F38="Totes",IF(I38="",0,ROUNDUP(I38*$I$11/$G$9,0))+IF(J38="",0,ROUNDUP(J38*$J$11/$G$9,0))+IF(K38="",0,ROUNDUP(K38*$K$11/$G$9,0))+IF(L38="",0,ROUNDUP(L38*$L$11/$G$9,0))+IF(M38="",0,ROUNDUP(M38*$M$11/$G$9,0))+IF(N38="",0,ROUNDUP(N38*$N$11/$G$9,0))+IF(O38="",0,ROUNDUP(O38*$O$11/$G$9,0))+IF(P38="",0,ROUNDUP(P38*$P$11/$G$9,0))+IF(Q38="",0,ROUNDUP(Q38*$Q$11/$G$9,0))+IF(R38="",0,ROUNDUP(R38*$R$11/$G$9,0))+IF(S38="",0,ROUNDUP(S38*$S$11/$G$9,0))+IF(T38="",0,ROUNDUP(T38*$T$11/$G$9,0))+IF(U38="",0,ROUNDUP(U38*$U$11/$G$9,0))+IF(V38="",0,ROUNDUP(V38*$V$11/$G$9,0)),F38="Mini Bins",IF(I38="",0,ROUNDUP(I38*$I$11/$J$6,0))+IF(J38="",0,ROUNDUP(J38*$J$11/$J$6,0))+IF(K38="",0,ROUNDUP(K38*$K$11/$J$6,0))+IF(L38="",0,ROUNDUP(L38*$L$11/$J$6,0))+IF(M38="",0,ROUNDUP(M38*$M$11/$J$6,0))+IF(N38="",0,ROUNDUP(N38*$N$11/$J$6,0))+IF(O38="",0,ROUNDUP(O38*$O$11/$J$6,0))+IF(P38="",0,ROUNDUP(P38*$P$11/$J$6,0))+IF(Q38="",0,ROUNDUP(Q38*$Q$11/$J$6,0))+IF(R38="",0,ROUNDUP(R38*$R$11/$J$6,0))+IF(S38="",0,ROUNDUP(S38*$S$11/$J$6,0))+IF(T38="",0,ROUNDUP(T38*$T$11/$J$6,0))+IF(U38="",0,ROUNDUP(U38*$U$11/$J$6,0))+IF(V38="",0,ROUNDUP(V38*$V$11/$J$6,0))),0)</f>
        <v>0</v>
      </c>
      <c r="X38" s="254">
        <f t="shared" si="19"/>
        <v>0</v>
      </c>
      <c r="Z38" s="245"/>
      <c r="AA38" s="247"/>
      <c r="AB38" s="254" cm="1">
        <f t="array" aca="1" ref="AB38" ca="1">+SUM(IF($B$72:$B$217=Z38,$C$72:$AR$217))</f>
        <v>0</v>
      </c>
      <c r="AC38" s="211">
        <f t="shared" ca="1" si="4"/>
        <v>0</v>
      </c>
      <c r="AF38" s="14"/>
      <c r="AG38" s="204"/>
      <c r="AH38" s="228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229"/>
      <c r="AW38" s="13">
        <f>+IF(AX38="","",IF(AX38&gt;AX37,AW37,IF(AW37&lt;$D$69,AW37+1,IF(COUNT(AW$4:AW37)&lt;$B$69*$E$54,1,""))))</f>
        <v>3</v>
      </c>
      <c r="AX38" s="13">
        <f>+IF(AX37&lt;$B$69,AX37+1,IF(COUNT(AX$4:AX37)&lt;$B$69*$D$69,1,""))</f>
        <v>9</v>
      </c>
      <c r="AY38" s="189" t="str">
        <f t="shared" ca="1" si="1"/>
        <v>TH TRANSPORTES</v>
      </c>
      <c r="AZ38" s="36">
        <f ca="1">+IF(AZ$3="","",IF($AY38="","",IFERROR(INDEX('Data Consolidada'!$E$7:$E$891,MATCH(CONCATENATE(AZ$3,"-",$CP38,"-",$AY38),'Data Consolidada'!$K$7:$K$891,0)),MAX('Data Consolidada'!$E$7:$E$3000))))</f>
        <v>11000000</v>
      </c>
      <c r="BA38" s="32">
        <f ca="1">+IF(BA$3="","",IF($AY38="","",IFERROR(INDEX('Data Consolidada'!$E$7:$E$891,MATCH(CONCATENATE(BA$3,"-",$CP38,"-",$AY38),'Data Consolidada'!$K$7:$K$891,0)),MAX('Data Consolidada'!$E$7:$E$3000))))</f>
        <v>11000000</v>
      </c>
      <c r="BB38" s="32" t="str">
        <f>+IF(BB$3="","",IF($AY38="","",IFERROR(INDEX('Data Consolidada'!$E$7:$E$891,MATCH(CONCATENATE(BB$3,"-",$CP38,"-",$AY38),'Data Consolidada'!$K$7:$K$891,0)),MAX('Data Consolidada'!$E$7:$E$3000))))</f>
        <v/>
      </c>
      <c r="BC38" s="32" t="str">
        <f>+IF(BC$3="","",IF($AY38="","",IFERROR(INDEX('Data Consolidada'!$E$7:$E$891,MATCH(CONCATENATE(BC$3,"-",$CP38,"-",$AY38),'Data Consolidada'!$K$7:$K$891,0)),MAX('Data Consolidada'!$E$7:$E$3000))))</f>
        <v/>
      </c>
      <c r="BD38" s="32" t="str">
        <f>+IF(BD$3="","",IF($AY38="","",IFERROR(INDEX('Data Consolidada'!$E$7:$E$891,MATCH(CONCATENATE(BD$3,"-",$CP38,"-",$AY38),'Data Consolidada'!$K$7:$K$891,0)),MAX('Data Consolidada'!$E$7:$E$3000))))</f>
        <v/>
      </c>
      <c r="BE38" s="32" t="str">
        <f>+IF(BE$3="","",IF($AY38="","",IFERROR(INDEX('Data Consolidada'!$E$7:$E$891,MATCH(CONCATENATE(BE$3,"-",$CP38,"-",$AY38),'Data Consolidada'!$K$7:$K$891,0)),MAX('Data Consolidada'!$E$7:$E$3000))))</f>
        <v/>
      </c>
      <c r="BF38" s="32" t="str">
        <f>+IF(BF$3="","",IF($AY38="","",IFERROR(INDEX('Data Consolidada'!$E$7:$E$891,MATCH(CONCATENATE(BF$3,"-",$CP38,"-",$AY38),'Data Consolidada'!$K$7:$K$891,0)),MAX('Data Consolidada'!$E$7:$E$3000))))</f>
        <v/>
      </c>
      <c r="BG38" s="32" t="str">
        <f>+IF(BG$3="","",IF($AY38="","",IFERROR(INDEX('Data Consolidada'!$E$7:$E$891,MATCH(CONCATENATE(BG$3,"-",$CP38,"-",$AY38),'Data Consolidada'!$K$7:$K$891,0)),MAX('Data Consolidada'!$E$7:$E$3000))))</f>
        <v/>
      </c>
      <c r="BH38" s="32" t="str">
        <f>+IF(BH$3="","",IF($AY38="","",IFERROR(INDEX('Data Consolidada'!$E$7:$E$891,MATCH(CONCATENATE(BH$3,"-",$CP38,"-",$AY38),'Data Consolidada'!$K$7:$K$891,0)),MAX('Data Consolidada'!$E$7:$E$3000))))</f>
        <v/>
      </c>
      <c r="BI38" s="32" t="str">
        <f>+IF(BI$3="","",IF($AY38="","",IFERROR(INDEX('Data Consolidada'!$E$7:$E$891,MATCH(CONCATENATE(BI$3,"-",$CP38,"-",$AY38),'Data Consolidada'!$K$7:$K$891,0)),MAX('Data Consolidada'!$E$7:$E$3000))))</f>
        <v/>
      </c>
      <c r="BJ38" s="32" t="str">
        <f>+IF(BJ$3="","",IF($AY38="","",IFERROR(INDEX('Data Consolidada'!$E$7:$E$891,MATCH(CONCATENATE(BJ$3,"-",$CP38,"-",$AY38),'Data Consolidada'!$K$7:$K$891,0)),MAX('Data Consolidada'!$E$7:$E$3000))))</f>
        <v/>
      </c>
      <c r="BK38" s="32" t="str">
        <f>+IF(BK$3="","",IF($AY38="","",IFERROR(INDEX('Data Consolidada'!$E$7:$E$891,MATCH(CONCATENATE(BK$3,"-",$CP38,"-",$AY38),'Data Consolidada'!$K$7:$K$891,0)),MAX('Data Consolidada'!$E$7:$E$3000))))</f>
        <v/>
      </c>
      <c r="BL38" s="32" t="str">
        <f>+IF(BL$3="","",IF($AY38="","",IFERROR(INDEX('Data Consolidada'!$E$7:$E$891,MATCH(CONCATENATE(BL$3,"-",$CP38,"-",$AY38),'Data Consolidada'!$K$7:$K$891,0)),MAX('Data Consolidada'!$E$7:$E$3000))))</f>
        <v/>
      </c>
      <c r="BM38" s="32" t="str">
        <f>+IF(BM$3="","",IF($AY38="","",IFERROR(INDEX('Data Consolidada'!$E$7:$E$891,MATCH(CONCATENATE(BM$3,"-",$CP38,"-",$AY38),'Data Consolidada'!$K$7:$K$891,0)),MAX('Data Consolidada'!$E$7:$E$3000))))</f>
        <v/>
      </c>
      <c r="BN38" s="32" t="str">
        <f>+IF(BN$3="","",IF($AY38="","",IFERROR(INDEX('Data Consolidada'!$E$7:$E$891,MATCH(CONCATENATE(BN$3,"-",$CP38,"-",$AY38),'Data Consolidada'!$K$7:$K$891,0)),MAX('Data Consolidada'!$E$7:$E$3000))))</f>
        <v/>
      </c>
      <c r="BO38" s="32" t="str">
        <f>+IF(BO$3="","",IF($AY38="","",IFERROR(INDEX('Data Consolidada'!$E$7:$E$891,MATCH(CONCATENATE(BO$3,"-",$CP38,"-",$AY38),'Data Consolidada'!$K$7:$K$891,0)),MAX('Data Consolidada'!$E$7:$E$3000))))</f>
        <v/>
      </c>
      <c r="BP38" s="32" t="str">
        <f>+IF(BP$3="","",IF($AY38="","",IFERROR(INDEX('Data Consolidada'!$E$7:$E$891,MATCH(CONCATENATE(BP$3,"-",$CP38,"-",$AY38),'Data Consolidada'!$K$7:$K$891,0)),MAX('Data Consolidada'!$E$7:$E$3000))))</f>
        <v/>
      </c>
      <c r="BQ38" s="32" t="str">
        <f>+IF(BQ$3="","",IF($AY38="","",IFERROR(INDEX('Data Consolidada'!$E$7:$E$891,MATCH(CONCATENATE(BQ$3,"-",$CP38,"-",$AY38),'Data Consolidada'!$K$7:$K$891,0)),MAX('Data Consolidada'!$E$7:$E$3000))))</f>
        <v/>
      </c>
      <c r="BR38" s="32" t="str">
        <f>+IF(BR$3="","",IF($AY38="","",IFERROR(INDEX('Data Consolidada'!$E$7:$E$891,MATCH(CONCATENATE(BR$3,"-",$CP38,"-",$AY38),'Data Consolidada'!$K$7:$K$891,0)),MAX('Data Consolidada'!$E$7:$E$3000))))</f>
        <v/>
      </c>
      <c r="BS38" s="32" t="str">
        <f>+IF(BS$3="","",IF($AY38="","",IFERROR(INDEX('Data Consolidada'!$E$7:$E$891,MATCH(CONCATENATE(BS$3,"-",$CP38,"-",$AY38),'Data Consolidada'!$K$7:$K$891,0)),MAX('Data Consolidada'!$E$7:$E$3000))))</f>
        <v/>
      </c>
      <c r="BT38" s="32" t="str">
        <f>+IF(BT$3="","",IF($AY38="","",IFERROR(INDEX('Data Consolidada'!$E$7:$E$891,MATCH(CONCATENATE(BT$3,"-",$CP38,"-",$AY38),'Data Consolidada'!$K$7:$K$891,0)),MAX('Data Consolidada'!$E$7:$E$3000))))</f>
        <v/>
      </c>
      <c r="BU38" s="32" t="str">
        <f>+IF(BU$3="","",IF($AY38="","",IFERROR(INDEX('Data Consolidada'!$E$7:$E$891,MATCH(CONCATENATE(BU$3,"-",$CP38,"-",$AY38),'Data Consolidada'!$K$7:$K$891,0)),MAX('Data Consolidada'!$E$7:$E$3000))))</f>
        <v/>
      </c>
      <c r="BV38" s="32" t="str">
        <f>+IF(BV$3="","",IF($AY38="","",IFERROR(INDEX('Data Consolidada'!$E$7:$E$891,MATCH(CONCATENATE(BV$3,"-",$CP38,"-",$AY38),'Data Consolidada'!$K$7:$K$891,0)),MAX('Data Consolidada'!$E$7:$E$3000))))</f>
        <v/>
      </c>
      <c r="BW38" s="32" t="str">
        <f>+IF(BW$3="","",IF($AY38="","",IFERROR(INDEX('Data Consolidada'!$E$7:$E$891,MATCH(CONCATENATE(BW$3,"-",$CP38,"-",$AY38),'Data Consolidada'!$K$7:$K$891,0)),MAX('Data Consolidada'!$E$7:$E$3000))))</f>
        <v/>
      </c>
      <c r="BX38" s="32" t="str">
        <f>+IF(BX$3="","",IF($AY38="","",IFERROR(INDEX('Data Consolidada'!$E$7:$E$891,MATCH(CONCATENATE(BX$3,"-",$CP38,"-",$AY38),'Data Consolidada'!$K$7:$K$891,0)),MAX('Data Consolidada'!$E$7:$E$3000))))</f>
        <v/>
      </c>
      <c r="BY38" s="32" t="str">
        <f>+IF(BY$3="","",IF($AY38="","",IFERROR(INDEX('Data Consolidada'!$E$7:$E$891,MATCH(CONCATENATE(BY$3,"-",$CP38,"-",$AY38),'Data Consolidada'!$K$7:$K$891,0)),MAX('Data Consolidada'!$E$7:$E$3000))))</f>
        <v/>
      </c>
      <c r="BZ38" s="32" t="str">
        <f>+IF(BZ$3="","",IF($AY38="","",IFERROR(INDEX('Data Consolidada'!$E$7:$E$891,MATCH(CONCATENATE(BZ$3,"-",$CP38,"-",$AY38),'Data Consolidada'!$K$7:$K$891,0)),MAX('Data Consolidada'!$E$7:$E$3000))))</f>
        <v/>
      </c>
      <c r="CA38" s="32" t="str">
        <f>+IF(CA$3="","",IF($AY38="","",IFERROR(INDEX('Data Consolidada'!$E$7:$E$891,MATCH(CONCATENATE(CA$3,"-",$CP38,"-",$AY38),'Data Consolidada'!$K$7:$K$891,0)),MAX('Data Consolidada'!$E$7:$E$3000))))</f>
        <v/>
      </c>
      <c r="CB38" s="32" t="str">
        <f>+IF(CB$3="","",IF($AY38="","",IFERROR(INDEX('Data Consolidada'!$E$7:$E$891,MATCH(CONCATENATE(CB$3,"-",$CP38,"-",$AY38),'Data Consolidada'!$K$7:$K$891,0)),MAX('Data Consolidada'!$E$7:$E$3000))))</f>
        <v/>
      </c>
      <c r="CC38" s="32" t="str">
        <f>+IF(CC$3="","",IF($AY38="","",IFERROR(INDEX('Data Consolidada'!$E$7:$E$891,MATCH(CONCATENATE(CC$3,"-",$CP38,"-",$AY38),'Data Consolidada'!$K$7:$K$891,0)),MAX('Data Consolidada'!$E$7:$E$3000))))</f>
        <v/>
      </c>
      <c r="CD38" s="32" t="str">
        <f>+IF(CD$3="","",IF($AY38="","",IFERROR(INDEX('Data Consolidada'!$E$7:$E$891,MATCH(CONCATENATE(CD$3,"-",$CP38,"-",$AY38),'Data Consolidada'!$K$7:$K$891,0)),MAX('Data Consolidada'!$E$7:$E$3000))))</f>
        <v/>
      </c>
      <c r="CE38" s="32" t="str">
        <f>+IF(CE$3="","",IF($AY38="","",IFERROR(INDEX('Data Consolidada'!$E$7:$E$891,MATCH(CONCATENATE(CE$3,"-",$CP38,"-",$AY38),'Data Consolidada'!$K$7:$K$891,0)),MAX('Data Consolidada'!$E$7:$E$3000))))</f>
        <v/>
      </c>
      <c r="CF38" s="32" t="str">
        <f>+IF(CF$3="","",IF($AY38="","",IFERROR(INDEX('Data Consolidada'!$E$7:$E$891,MATCH(CONCATENATE(CF$3,"-",$CP38,"-",$AY38),'Data Consolidada'!$K$7:$K$891,0)),MAX('Data Consolidada'!$E$7:$E$3000))))</f>
        <v/>
      </c>
      <c r="CG38" s="32" t="str">
        <f>+IF(CG$3="","",IF($AY38="","",IFERROR(INDEX('Data Consolidada'!$E$7:$E$891,MATCH(CONCATENATE(CG$3,"-",$CP38,"-",$AY38),'Data Consolidada'!$K$7:$K$891,0)),MAX('Data Consolidada'!$E$7:$E$3000))))</f>
        <v/>
      </c>
      <c r="CH38" s="32" t="str">
        <f>+IF(CH$3="","",IF($AY38="","",IFERROR(INDEX('Data Consolidada'!$E$7:$E$891,MATCH(CONCATENATE(CH$3,"-",$CP38,"-",$AY38),'Data Consolidada'!$K$7:$K$891,0)),MAX('Data Consolidada'!$E$7:$E$3000))))</f>
        <v/>
      </c>
      <c r="CI38" s="32" t="str">
        <f>+IF(CI$3="","",IF($AY38="","",IFERROR(INDEX('Data Consolidada'!$E$7:$E$891,MATCH(CONCATENATE(CI$3,"-",$CP38,"-",$AY38),'Data Consolidada'!$K$7:$K$891,0)),MAX('Data Consolidada'!$E$7:$E$3000))))</f>
        <v/>
      </c>
      <c r="CJ38" s="32" t="str">
        <f>+IF(CJ$3="","",IF($AY38="","",IFERROR(INDEX('Data Consolidada'!$E$7:$E$891,MATCH(CONCATENATE(CJ$3,"-",$CP38,"-",$AY38),'Data Consolidada'!$K$7:$K$891,0)),MAX('Data Consolidada'!$E$7:$E$3000))))</f>
        <v/>
      </c>
      <c r="CK38" s="32" t="str">
        <f>+IF(CK$3="","",IF($AY38="","",IFERROR(INDEX('Data Consolidada'!$E$7:$E$891,MATCH(CONCATENATE(CK$3,"-",$CP38,"-",$AY38),'Data Consolidada'!$K$7:$K$891,0)),MAX('Data Consolidada'!$E$7:$E$3000))))</f>
        <v/>
      </c>
      <c r="CL38" s="32" t="str">
        <f>+IF(CL$3="","",IF($AY38="","",IFERROR(INDEX('Data Consolidada'!$E$7:$E$891,MATCH(CONCATENATE(CL$3,"-",$CP38,"-",$AY38),'Data Consolidada'!$K$7:$K$891,0)),MAX('Data Consolidada'!$E$7:$E$3000))))</f>
        <v/>
      </c>
      <c r="CM38" s="32" t="str">
        <f>+IF(CM$3="","",IF($AY38="","",IFERROR(INDEX('Data Consolidada'!$E$7:$E$891,MATCH(CONCATENATE(CM$3,"-",$CP38,"-",$AY38),'Data Consolidada'!$K$7:$K$891,0)),MAX('Data Consolidada'!$E$7:$E$3000))))</f>
        <v/>
      </c>
      <c r="CN38" s="32" t="str">
        <f>+IF(CN$3="","",IF($AY38="","",IFERROR(INDEX('Data Consolidada'!$E$7:$E$891,MATCH(CONCATENATE(CN$3,"-",$CP38,"-",$AY38),'Data Consolidada'!$K$7:$K$891,0)),MAX('Data Consolidada'!$E$7:$E$3000))))</f>
        <v/>
      </c>
      <c r="CO38" s="37" t="str">
        <f>+IF(CO$3="","",IF($AY38="","",IFERROR(INDEX('Data Consolidada'!$E$7:$E$891,MATCH(CONCATENATE(CO$3,"-",$CP38,"-",$AY38),'Data Consolidada'!$K$7:$K$891,0)),MAX('Data Consolidada'!$E$7:$E$3000))))</f>
        <v/>
      </c>
      <c r="CP38" s="224">
        <f t="shared" ca="1" si="2"/>
        <v>0</v>
      </c>
      <c r="CQ38" s="84" t="str">
        <f t="shared" ca="1" si="3"/>
        <v>TH TRANSPORTES0</v>
      </c>
    </row>
    <row r="39" spans="2:95" ht="15" customHeight="1" x14ac:dyDescent="0.35">
      <c r="B39" s="46"/>
      <c r="C39" s="5"/>
      <c r="D39" s="76"/>
      <c r="E39" s="11"/>
      <c r="F39" s="257" t="s">
        <v>157</v>
      </c>
      <c r="G39" s="14"/>
      <c r="H39" s="204"/>
      <c r="I39" s="267" t="str">
        <f t="shared" si="6"/>
        <v/>
      </c>
      <c r="J39" s="268" t="str">
        <f t="shared" si="7"/>
        <v/>
      </c>
      <c r="K39" s="268" t="str">
        <f t="shared" si="8"/>
        <v/>
      </c>
      <c r="L39" s="268" t="str">
        <f t="shared" si="9"/>
        <v/>
      </c>
      <c r="M39" s="268" t="str">
        <f t="shared" si="10"/>
        <v/>
      </c>
      <c r="N39" s="268" t="str">
        <f t="shared" si="11"/>
        <v/>
      </c>
      <c r="O39" s="268" t="str">
        <f t="shared" si="12"/>
        <v/>
      </c>
      <c r="P39" s="268" t="str">
        <f t="shared" si="13"/>
        <v/>
      </c>
      <c r="Q39" s="268" t="str">
        <f t="shared" si="20"/>
        <v/>
      </c>
      <c r="R39" s="268" t="str">
        <f t="shared" si="14"/>
        <v/>
      </c>
      <c r="S39" s="268" t="str">
        <f t="shared" si="15"/>
        <v/>
      </c>
      <c r="T39" s="268" t="str">
        <f t="shared" si="16"/>
        <v/>
      </c>
      <c r="U39" s="268" t="str">
        <f t="shared" si="17"/>
        <v/>
      </c>
      <c r="V39" s="269" t="str">
        <f t="shared" si="18"/>
        <v/>
      </c>
      <c r="W39" s="55" cm="1">
        <f t="array" ref="W39">+IFERROR(_xlfn.IFS(F39="Totes",IF(I39="",0,ROUNDUP(I39*$I$11/$G$9,0))+IF(J39="",0,ROUNDUP(J39*$J$11/$G$9,0))+IF(K39="",0,ROUNDUP(K39*$K$11/$G$9,0))+IF(L39="",0,ROUNDUP(L39*$L$11/$G$9,0))+IF(M39="",0,ROUNDUP(M39*$M$11/$G$9,0))+IF(N39="",0,ROUNDUP(N39*$N$11/$G$9,0))+IF(O39="",0,ROUNDUP(O39*$O$11/$G$9,0))+IF(P39="",0,ROUNDUP(P39*$P$11/$G$9,0))+IF(Q39="",0,ROUNDUP(Q39*$Q$11/$G$9,0))+IF(R39="",0,ROUNDUP(R39*$R$11/$G$9,0))+IF(S39="",0,ROUNDUP(S39*$S$11/$G$9,0))+IF(T39="",0,ROUNDUP(T39*$T$11/$G$9,0))+IF(U39="",0,ROUNDUP(U39*$U$11/$G$9,0))+IF(V39="",0,ROUNDUP(V39*$V$11/$G$9,0)),F39="Mini Bins",IF(I39="",0,ROUNDUP(I39*$I$11/$J$6,0))+IF(J39="",0,ROUNDUP(J39*$J$11/$J$6,0))+IF(K39="",0,ROUNDUP(K39*$K$11/$J$6,0))+IF(L39="",0,ROUNDUP(L39*$L$11/$J$6,0))+IF(M39="",0,ROUNDUP(M39*$M$11/$J$6,0))+IF(N39="",0,ROUNDUP(N39*$N$11/$J$6,0))+IF(O39="",0,ROUNDUP(O39*$O$11/$J$6,0))+IF(P39="",0,ROUNDUP(P39*$P$11/$J$6,0))+IF(Q39="",0,ROUNDUP(Q39*$Q$11/$J$6,0))+IF(R39="",0,ROUNDUP(R39*$R$11/$J$6,0))+IF(S39="",0,ROUNDUP(S39*$S$11/$J$6,0))+IF(T39="",0,ROUNDUP(T39*$T$11/$J$6,0))+IF(U39="",0,ROUNDUP(U39*$U$11/$J$6,0))+IF(V39="",0,ROUNDUP(V39*$V$11/$J$6,0))),0)</f>
        <v>0</v>
      </c>
      <c r="X39" s="254">
        <f t="shared" si="19"/>
        <v>0</v>
      </c>
      <c r="Z39" s="245"/>
      <c r="AA39" s="247"/>
      <c r="AB39" s="254" cm="1">
        <f t="array" aca="1" ref="AB39" ca="1">+SUM(IF($B$72:$B$217=Z39,$C$72:$AR$217))</f>
        <v>0</v>
      </c>
      <c r="AC39" s="211">
        <f t="shared" ca="1" si="4"/>
        <v>0</v>
      </c>
      <c r="AF39" s="14"/>
      <c r="AG39" s="204"/>
      <c r="AH39" s="228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229"/>
      <c r="AW39" s="13">
        <f>+IF(AX39="","",IF(AX39&gt;AX38,AW38,IF(AW38&lt;$D$69,AW38+1,IF(COUNT(AW$4:AW38)&lt;$B$69*$E$54,1,""))))</f>
        <v>3</v>
      </c>
      <c r="AX39" s="13">
        <f>+IF(AX38&lt;$B$69,AX38+1,IF(COUNT(AX$4:AX38)&lt;$B$69*$D$69,1,""))</f>
        <v>10</v>
      </c>
      <c r="AY39" s="189" t="str">
        <f t="shared" ca="1" si="1"/>
        <v>TRAIDILL</v>
      </c>
      <c r="AZ39" s="36">
        <f ca="1">+IF(AZ$3="","",IF($AY39="","",IFERROR(INDEX('Data Consolidada'!$E$7:$E$891,MATCH(CONCATENATE(AZ$3,"-",$CP39,"-",$AY39),'Data Consolidada'!$K$7:$K$891,0)),MAX('Data Consolidada'!$E$7:$E$3000))))</f>
        <v>11000000</v>
      </c>
      <c r="BA39" s="32">
        <f ca="1">+IF(BA$3="","",IF($AY39="","",IFERROR(INDEX('Data Consolidada'!$E$7:$E$891,MATCH(CONCATENATE(BA$3,"-",$CP39,"-",$AY39),'Data Consolidada'!$K$7:$K$891,0)),MAX('Data Consolidada'!$E$7:$E$3000))))</f>
        <v>11000000</v>
      </c>
      <c r="BB39" s="32" t="str">
        <f>+IF(BB$3="","",IF($AY39="","",IFERROR(INDEX('Data Consolidada'!$E$7:$E$891,MATCH(CONCATENATE(BB$3,"-",$CP39,"-",$AY39),'Data Consolidada'!$K$7:$K$891,0)),MAX('Data Consolidada'!$E$7:$E$3000))))</f>
        <v/>
      </c>
      <c r="BC39" s="32" t="str">
        <f>+IF(BC$3="","",IF($AY39="","",IFERROR(INDEX('Data Consolidada'!$E$7:$E$891,MATCH(CONCATENATE(BC$3,"-",$CP39,"-",$AY39),'Data Consolidada'!$K$7:$K$891,0)),MAX('Data Consolidada'!$E$7:$E$3000))))</f>
        <v/>
      </c>
      <c r="BD39" s="32" t="str">
        <f>+IF(BD$3="","",IF($AY39="","",IFERROR(INDEX('Data Consolidada'!$E$7:$E$891,MATCH(CONCATENATE(BD$3,"-",$CP39,"-",$AY39),'Data Consolidada'!$K$7:$K$891,0)),MAX('Data Consolidada'!$E$7:$E$3000))))</f>
        <v/>
      </c>
      <c r="BE39" s="32" t="str">
        <f>+IF(BE$3="","",IF($AY39="","",IFERROR(INDEX('Data Consolidada'!$E$7:$E$891,MATCH(CONCATENATE(BE$3,"-",$CP39,"-",$AY39),'Data Consolidada'!$K$7:$K$891,0)),MAX('Data Consolidada'!$E$7:$E$3000))))</f>
        <v/>
      </c>
      <c r="BF39" s="32" t="str">
        <f>+IF(BF$3="","",IF($AY39="","",IFERROR(INDEX('Data Consolidada'!$E$7:$E$891,MATCH(CONCATENATE(BF$3,"-",$CP39,"-",$AY39),'Data Consolidada'!$K$7:$K$891,0)),MAX('Data Consolidada'!$E$7:$E$3000))))</f>
        <v/>
      </c>
      <c r="BG39" s="32" t="str">
        <f>+IF(BG$3="","",IF($AY39="","",IFERROR(INDEX('Data Consolidada'!$E$7:$E$891,MATCH(CONCATENATE(BG$3,"-",$CP39,"-",$AY39),'Data Consolidada'!$K$7:$K$891,0)),MAX('Data Consolidada'!$E$7:$E$3000))))</f>
        <v/>
      </c>
      <c r="BH39" s="32" t="str">
        <f>+IF(BH$3="","",IF($AY39="","",IFERROR(INDEX('Data Consolidada'!$E$7:$E$891,MATCH(CONCATENATE(BH$3,"-",$CP39,"-",$AY39),'Data Consolidada'!$K$7:$K$891,0)),MAX('Data Consolidada'!$E$7:$E$3000))))</f>
        <v/>
      </c>
      <c r="BI39" s="32" t="str">
        <f>+IF(BI$3="","",IF($AY39="","",IFERROR(INDEX('Data Consolidada'!$E$7:$E$891,MATCH(CONCATENATE(BI$3,"-",$CP39,"-",$AY39),'Data Consolidada'!$K$7:$K$891,0)),MAX('Data Consolidada'!$E$7:$E$3000))))</f>
        <v/>
      </c>
      <c r="BJ39" s="32" t="str">
        <f>+IF(BJ$3="","",IF($AY39="","",IFERROR(INDEX('Data Consolidada'!$E$7:$E$891,MATCH(CONCATENATE(BJ$3,"-",$CP39,"-",$AY39),'Data Consolidada'!$K$7:$K$891,0)),MAX('Data Consolidada'!$E$7:$E$3000))))</f>
        <v/>
      </c>
      <c r="BK39" s="32" t="str">
        <f>+IF(BK$3="","",IF($AY39="","",IFERROR(INDEX('Data Consolidada'!$E$7:$E$891,MATCH(CONCATENATE(BK$3,"-",$CP39,"-",$AY39),'Data Consolidada'!$K$7:$K$891,0)),MAX('Data Consolidada'!$E$7:$E$3000))))</f>
        <v/>
      </c>
      <c r="BL39" s="32" t="str">
        <f>+IF(BL$3="","",IF($AY39="","",IFERROR(INDEX('Data Consolidada'!$E$7:$E$891,MATCH(CONCATENATE(BL$3,"-",$CP39,"-",$AY39),'Data Consolidada'!$K$7:$K$891,0)),MAX('Data Consolidada'!$E$7:$E$3000))))</f>
        <v/>
      </c>
      <c r="BM39" s="32" t="str">
        <f>+IF(BM$3="","",IF($AY39="","",IFERROR(INDEX('Data Consolidada'!$E$7:$E$891,MATCH(CONCATENATE(BM$3,"-",$CP39,"-",$AY39),'Data Consolidada'!$K$7:$K$891,0)),MAX('Data Consolidada'!$E$7:$E$3000))))</f>
        <v/>
      </c>
      <c r="BN39" s="32" t="str">
        <f>+IF(BN$3="","",IF($AY39="","",IFERROR(INDEX('Data Consolidada'!$E$7:$E$891,MATCH(CONCATENATE(BN$3,"-",$CP39,"-",$AY39),'Data Consolidada'!$K$7:$K$891,0)),MAX('Data Consolidada'!$E$7:$E$3000))))</f>
        <v/>
      </c>
      <c r="BO39" s="32" t="str">
        <f>+IF(BO$3="","",IF($AY39="","",IFERROR(INDEX('Data Consolidada'!$E$7:$E$891,MATCH(CONCATENATE(BO$3,"-",$CP39,"-",$AY39),'Data Consolidada'!$K$7:$K$891,0)),MAX('Data Consolidada'!$E$7:$E$3000))))</f>
        <v/>
      </c>
      <c r="BP39" s="32" t="str">
        <f>+IF(BP$3="","",IF($AY39="","",IFERROR(INDEX('Data Consolidada'!$E$7:$E$891,MATCH(CONCATENATE(BP$3,"-",$CP39,"-",$AY39),'Data Consolidada'!$K$7:$K$891,0)),MAX('Data Consolidada'!$E$7:$E$3000))))</f>
        <v/>
      </c>
      <c r="BQ39" s="32" t="str">
        <f>+IF(BQ$3="","",IF($AY39="","",IFERROR(INDEX('Data Consolidada'!$E$7:$E$891,MATCH(CONCATENATE(BQ$3,"-",$CP39,"-",$AY39),'Data Consolidada'!$K$7:$K$891,0)),MAX('Data Consolidada'!$E$7:$E$3000))))</f>
        <v/>
      </c>
      <c r="BR39" s="32" t="str">
        <f>+IF(BR$3="","",IF($AY39="","",IFERROR(INDEX('Data Consolidada'!$E$7:$E$891,MATCH(CONCATENATE(BR$3,"-",$CP39,"-",$AY39),'Data Consolidada'!$K$7:$K$891,0)),MAX('Data Consolidada'!$E$7:$E$3000))))</f>
        <v/>
      </c>
      <c r="BS39" s="32" t="str">
        <f>+IF(BS$3="","",IF($AY39="","",IFERROR(INDEX('Data Consolidada'!$E$7:$E$891,MATCH(CONCATENATE(BS$3,"-",$CP39,"-",$AY39),'Data Consolidada'!$K$7:$K$891,0)),MAX('Data Consolidada'!$E$7:$E$3000))))</f>
        <v/>
      </c>
      <c r="BT39" s="32" t="str">
        <f>+IF(BT$3="","",IF($AY39="","",IFERROR(INDEX('Data Consolidada'!$E$7:$E$891,MATCH(CONCATENATE(BT$3,"-",$CP39,"-",$AY39),'Data Consolidada'!$K$7:$K$891,0)),MAX('Data Consolidada'!$E$7:$E$3000))))</f>
        <v/>
      </c>
      <c r="BU39" s="32" t="str">
        <f>+IF(BU$3="","",IF($AY39="","",IFERROR(INDEX('Data Consolidada'!$E$7:$E$891,MATCH(CONCATENATE(BU$3,"-",$CP39,"-",$AY39),'Data Consolidada'!$K$7:$K$891,0)),MAX('Data Consolidada'!$E$7:$E$3000))))</f>
        <v/>
      </c>
      <c r="BV39" s="32" t="str">
        <f>+IF(BV$3="","",IF($AY39="","",IFERROR(INDEX('Data Consolidada'!$E$7:$E$891,MATCH(CONCATENATE(BV$3,"-",$CP39,"-",$AY39),'Data Consolidada'!$K$7:$K$891,0)),MAX('Data Consolidada'!$E$7:$E$3000))))</f>
        <v/>
      </c>
      <c r="BW39" s="32" t="str">
        <f>+IF(BW$3="","",IF($AY39="","",IFERROR(INDEX('Data Consolidada'!$E$7:$E$891,MATCH(CONCATENATE(BW$3,"-",$CP39,"-",$AY39),'Data Consolidada'!$K$7:$K$891,0)),MAX('Data Consolidada'!$E$7:$E$3000))))</f>
        <v/>
      </c>
      <c r="BX39" s="32" t="str">
        <f>+IF(BX$3="","",IF($AY39="","",IFERROR(INDEX('Data Consolidada'!$E$7:$E$891,MATCH(CONCATENATE(BX$3,"-",$CP39,"-",$AY39),'Data Consolidada'!$K$7:$K$891,0)),MAX('Data Consolidada'!$E$7:$E$3000))))</f>
        <v/>
      </c>
      <c r="BY39" s="32" t="str">
        <f>+IF(BY$3="","",IF($AY39="","",IFERROR(INDEX('Data Consolidada'!$E$7:$E$891,MATCH(CONCATENATE(BY$3,"-",$CP39,"-",$AY39),'Data Consolidada'!$K$7:$K$891,0)),MAX('Data Consolidada'!$E$7:$E$3000))))</f>
        <v/>
      </c>
      <c r="BZ39" s="32" t="str">
        <f>+IF(BZ$3="","",IF($AY39="","",IFERROR(INDEX('Data Consolidada'!$E$7:$E$891,MATCH(CONCATENATE(BZ$3,"-",$CP39,"-",$AY39),'Data Consolidada'!$K$7:$K$891,0)),MAX('Data Consolidada'!$E$7:$E$3000))))</f>
        <v/>
      </c>
      <c r="CA39" s="32" t="str">
        <f>+IF(CA$3="","",IF($AY39="","",IFERROR(INDEX('Data Consolidada'!$E$7:$E$891,MATCH(CONCATENATE(CA$3,"-",$CP39,"-",$AY39),'Data Consolidada'!$K$7:$K$891,0)),MAX('Data Consolidada'!$E$7:$E$3000))))</f>
        <v/>
      </c>
      <c r="CB39" s="32" t="str">
        <f>+IF(CB$3="","",IF($AY39="","",IFERROR(INDEX('Data Consolidada'!$E$7:$E$891,MATCH(CONCATENATE(CB$3,"-",$CP39,"-",$AY39),'Data Consolidada'!$K$7:$K$891,0)),MAX('Data Consolidada'!$E$7:$E$3000))))</f>
        <v/>
      </c>
      <c r="CC39" s="32" t="str">
        <f>+IF(CC$3="","",IF($AY39="","",IFERROR(INDEX('Data Consolidada'!$E$7:$E$891,MATCH(CONCATENATE(CC$3,"-",$CP39,"-",$AY39),'Data Consolidada'!$K$7:$K$891,0)),MAX('Data Consolidada'!$E$7:$E$3000))))</f>
        <v/>
      </c>
      <c r="CD39" s="32" t="str">
        <f>+IF(CD$3="","",IF($AY39="","",IFERROR(INDEX('Data Consolidada'!$E$7:$E$891,MATCH(CONCATENATE(CD$3,"-",$CP39,"-",$AY39),'Data Consolidada'!$K$7:$K$891,0)),MAX('Data Consolidada'!$E$7:$E$3000))))</f>
        <v/>
      </c>
      <c r="CE39" s="32" t="str">
        <f>+IF(CE$3="","",IF($AY39="","",IFERROR(INDEX('Data Consolidada'!$E$7:$E$891,MATCH(CONCATENATE(CE$3,"-",$CP39,"-",$AY39),'Data Consolidada'!$K$7:$K$891,0)),MAX('Data Consolidada'!$E$7:$E$3000))))</f>
        <v/>
      </c>
      <c r="CF39" s="32" t="str">
        <f>+IF(CF$3="","",IF($AY39="","",IFERROR(INDEX('Data Consolidada'!$E$7:$E$891,MATCH(CONCATENATE(CF$3,"-",$CP39,"-",$AY39),'Data Consolidada'!$K$7:$K$891,0)),MAX('Data Consolidada'!$E$7:$E$3000))))</f>
        <v/>
      </c>
      <c r="CG39" s="32" t="str">
        <f>+IF(CG$3="","",IF($AY39="","",IFERROR(INDEX('Data Consolidada'!$E$7:$E$891,MATCH(CONCATENATE(CG$3,"-",$CP39,"-",$AY39),'Data Consolidada'!$K$7:$K$891,0)),MAX('Data Consolidada'!$E$7:$E$3000))))</f>
        <v/>
      </c>
      <c r="CH39" s="32" t="str">
        <f>+IF(CH$3="","",IF($AY39="","",IFERROR(INDEX('Data Consolidada'!$E$7:$E$891,MATCH(CONCATENATE(CH$3,"-",$CP39,"-",$AY39),'Data Consolidada'!$K$7:$K$891,0)),MAX('Data Consolidada'!$E$7:$E$3000))))</f>
        <v/>
      </c>
      <c r="CI39" s="32" t="str">
        <f>+IF(CI$3="","",IF($AY39="","",IFERROR(INDEX('Data Consolidada'!$E$7:$E$891,MATCH(CONCATENATE(CI$3,"-",$CP39,"-",$AY39),'Data Consolidada'!$K$7:$K$891,0)),MAX('Data Consolidada'!$E$7:$E$3000))))</f>
        <v/>
      </c>
      <c r="CJ39" s="32" t="str">
        <f>+IF(CJ$3="","",IF($AY39="","",IFERROR(INDEX('Data Consolidada'!$E$7:$E$891,MATCH(CONCATENATE(CJ$3,"-",$CP39,"-",$AY39),'Data Consolidada'!$K$7:$K$891,0)),MAX('Data Consolidada'!$E$7:$E$3000))))</f>
        <v/>
      </c>
      <c r="CK39" s="32" t="str">
        <f>+IF(CK$3="","",IF($AY39="","",IFERROR(INDEX('Data Consolidada'!$E$7:$E$891,MATCH(CONCATENATE(CK$3,"-",$CP39,"-",$AY39),'Data Consolidada'!$K$7:$K$891,0)),MAX('Data Consolidada'!$E$7:$E$3000))))</f>
        <v/>
      </c>
      <c r="CL39" s="32" t="str">
        <f>+IF(CL$3="","",IF($AY39="","",IFERROR(INDEX('Data Consolidada'!$E$7:$E$891,MATCH(CONCATENATE(CL$3,"-",$CP39,"-",$AY39),'Data Consolidada'!$K$7:$K$891,0)),MAX('Data Consolidada'!$E$7:$E$3000))))</f>
        <v/>
      </c>
      <c r="CM39" s="32" t="str">
        <f>+IF(CM$3="","",IF($AY39="","",IFERROR(INDEX('Data Consolidada'!$E$7:$E$891,MATCH(CONCATENATE(CM$3,"-",$CP39,"-",$AY39),'Data Consolidada'!$K$7:$K$891,0)),MAX('Data Consolidada'!$E$7:$E$3000))))</f>
        <v/>
      </c>
      <c r="CN39" s="32" t="str">
        <f>+IF(CN$3="","",IF($AY39="","",IFERROR(INDEX('Data Consolidada'!$E$7:$E$891,MATCH(CONCATENATE(CN$3,"-",$CP39,"-",$AY39),'Data Consolidada'!$K$7:$K$891,0)),MAX('Data Consolidada'!$E$7:$E$3000))))</f>
        <v/>
      </c>
      <c r="CO39" s="37" t="str">
        <f>+IF(CO$3="","",IF($AY39="","",IFERROR(INDEX('Data Consolidada'!$E$7:$E$891,MATCH(CONCATENATE(CO$3,"-",$CP39,"-",$AY39),'Data Consolidada'!$K$7:$K$891,0)),MAX('Data Consolidada'!$E$7:$E$3000))))</f>
        <v/>
      </c>
      <c r="CP39" s="224">
        <f t="shared" ca="1" si="2"/>
        <v>0</v>
      </c>
      <c r="CQ39" s="84" t="str">
        <f t="shared" ca="1" si="3"/>
        <v>TRAIDILL0</v>
      </c>
    </row>
    <row r="40" spans="2:95" ht="15" customHeight="1" x14ac:dyDescent="0.35">
      <c r="B40" s="46"/>
      <c r="C40" s="5"/>
      <c r="D40" s="76"/>
      <c r="E40" s="11"/>
      <c r="F40" s="257" t="s">
        <v>157</v>
      </c>
      <c r="G40" s="14"/>
      <c r="H40" s="204"/>
      <c r="I40" s="267" t="str">
        <f t="shared" si="6"/>
        <v/>
      </c>
      <c r="J40" s="268" t="str">
        <f t="shared" si="7"/>
        <v/>
      </c>
      <c r="K40" s="268" t="str">
        <f t="shared" si="8"/>
        <v/>
      </c>
      <c r="L40" s="268" t="str">
        <f t="shared" si="9"/>
        <v/>
      </c>
      <c r="M40" s="268" t="str">
        <f t="shared" si="10"/>
        <v/>
      </c>
      <c r="N40" s="268" t="str">
        <f t="shared" si="11"/>
        <v/>
      </c>
      <c r="O40" s="268" t="str">
        <f t="shared" si="12"/>
        <v/>
      </c>
      <c r="P40" s="268" t="str">
        <f t="shared" si="13"/>
        <v/>
      </c>
      <c r="Q40" s="268" t="str">
        <f t="shared" si="20"/>
        <v/>
      </c>
      <c r="R40" s="268" t="str">
        <f t="shared" si="14"/>
        <v/>
      </c>
      <c r="S40" s="268" t="str">
        <f t="shared" si="15"/>
        <v/>
      </c>
      <c r="T40" s="268" t="str">
        <f t="shared" si="16"/>
        <v/>
      </c>
      <c r="U40" s="268" t="str">
        <f t="shared" si="17"/>
        <v/>
      </c>
      <c r="V40" s="269" t="str">
        <f t="shared" si="18"/>
        <v/>
      </c>
      <c r="W40" s="55" cm="1">
        <f t="array" ref="W40">+IFERROR(_xlfn.IFS(F40="Totes",IF(I40="",0,ROUNDUP(I40*$I$11/$G$9,0))+IF(J40="",0,ROUNDUP(J40*$J$11/$G$9,0))+IF(K40="",0,ROUNDUP(K40*$K$11/$G$9,0))+IF(L40="",0,ROUNDUP(L40*$L$11/$G$9,0))+IF(M40="",0,ROUNDUP(M40*$M$11/$G$9,0))+IF(N40="",0,ROUNDUP(N40*$N$11/$G$9,0))+IF(O40="",0,ROUNDUP(O40*$O$11/$G$9,0))+IF(P40="",0,ROUNDUP(P40*$P$11/$G$9,0))+IF(Q40="",0,ROUNDUP(Q40*$Q$11/$G$9,0))+IF(R40="",0,ROUNDUP(R40*$R$11/$G$9,0))+IF(S40="",0,ROUNDUP(S40*$S$11/$G$9,0))+IF(T40="",0,ROUNDUP(T40*$T$11/$G$9,0))+IF(U40="",0,ROUNDUP(U40*$U$11/$G$9,0))+IF(V40="",0,ROUNDUP(V40*$V$11/$G$9,0)),F40="Mini Bins",IF(I40="",0,ROUNDUP(I40*$I$11/$J$6,0))+IF(J40="",0,ROUNDUP(J40*$J$11/$J$6,0))+IF(K40="",0,ROUNDUP(K40*$K$11/$J$6,0))+IF(L40="",0,ROUNDUP(L40*$L$11/$J$6,0))+IF(M40="",0,ROUNDUP(M40*$M$11/$J$6,0))+IF(N40="",0,ROUNDUP(N40*$N$11/$J$6,0))+IF(O40="",0,ROUNDUP(O40*$O$11/$J$6,0))+IF(P40="",0,ROUNDUP(P40*$P$11/$J$6,0))+IF(Q40="",0,ROUNDUP(Q40*$Q$11/$J$6,0))+IF(R40="",0,ROUNDUP(R40*$R$11/$J$6,0))+IF(S40="",0,ROUNDUP(S40*$S$11/$J$6,0))+IF(T40="",0,ROUNDUP(T40*$T$11/$J$6,0))+IF(U40="",0,ROUNDUP(U40*$U$11/$J$6,0))+IF(V40="",0,ROUNDUP(V40*$V$11/$J$6,0))),0)</f>
        <v>0</v>
      </c>
      <c r="X40" s="254">
        <f t="shared" si="19"/>
        <v>0</v>
      </c>
      <c r="Z40" s="245"/>
      <c r="AA40" s="247"/>
      <c r="AB40" s="254" cm="1">
        <f t="array" aca="1" ref="AB40" ca="1">+SUM(IF($B$72:$B$217=Z40,$C$72:$AR$217))</f>
        <v>0</v>
      </c>
      <c r="AC40" s="211">
        <f t="shared" ca="1" si="4"/>
        <v>0</v>
      </c>
      <c r="AF40" s="14"/>
      <c r="AG40" s="204"/>
      <c r="AH40" s="228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229"/>
      <c r="AW40" s="13">
        <f>+IF(AX40="","",IF(AX40&gt;AX39,AW39,IF(AW39&lt;$D$69,AW39+1,IF(COUNT(AW$4:AW39)&lt;$B$69*$E$54,1,""))))</f>
        <v>3</v>
      </c>
      <c r="AX40" s="13">
        <f>+IF(AX39&lt;$B$69,AX39+1,IF(COUNT(AX$4:AX39)&lt;$B$69*$D$69,1,""))</f>
        <v>11</v>
      </c>
      <c r="AY40" s="189" t="str">
        <f t="shared" ca="1" si="1"/>
        <v>TRANS. ALMENDRAL</v>
      </c>
      <c r="AZ40" s="36">
        <f ca="1">+IF(AZ$3="","",IF($AY40="","",IFERROR(INDEX('Data Consolidada'!$E$7:$E$891,MATCH(CONCATENATE(AZ$3,"-",$CP40,"-",$AY40),'Data Consolidada'!$K$7:$K$891,0)),MAX('Data Consolidada'!$E$7:$E$3000))))</f>
        <v>11000000</v>
      </c>
      <c r="BA40" s="32">
        <f ca="1">+IF(BA$3="","",IF($AY40="","",IFERROR(INDEX('Data Consolidada'!$E$7:$E$891,MATCH(CONCATENATE(BA$3,"-",$CP40,"-",$AY40),'Data Consolidada'!$K$7:$K$891,0)),MAX('Data Consolidada'!$E$7:$E$3000))))</f>
        <v>11000000</v>
      </c>
      <c r="BB40" s="32" t="str">
        <f>+IF(BB$3="","",IF($AY40="","",IFERROR(INDEX('Data Consolidada'!$E$7:$E$891,MATCH(CONCATENATE(BB$3,"-",$CP40,"-",$AY40),'Data Consolidada'!$K$7:$K$891,0)),MAX('Data Consolidada'!$E$7:$E$3000))))</f>
        <v/>
      </c>
      <c r="BC40" s="32" t="str">
        <f>+IF(BC$3="","",IF($AY40="","",IFERROR(INDEX('Data Consolidada'!$E$7:$E$891,MATCH(CONCATENATE(BC$3,"-",$CP40,"-",$AY40),'Data Consolidada'!$K$7:$K$891,0)),MAX('Data Consolidada'!$E$7:$E$3000))))</f>
        <v/>
      </c>
      <c r="BD40" s="32" t="str">
        <f>+IF(BD$3="","",IF($AY40="","",IFERROR(INDEX('Data Consolidada'!$E$7:$E$891,MATCH(CONCATENATE(BD$3,"-",$CP40,"-",$AY40),'Data Consolidada'!$K$7:$K$891,0)),MAX('Data Consolidada'!$E$7:$E$3000))))</f>
        <v/>
      </c>
      <c r="BE40" s="32" t="str">
        <f>+IF(BE$3="","",IF($AY40="","",IFERROR(INDEX('Data Consolidada'!$E$7:$E$891,MATCH(CONCATENATE(BE$3,"-",$CP40,"-",$AY40),'Data Consolidada'!$K$7:$K$891,0)),MAX('Data Consolidada'!$E$7:$E$3000))))</f>
        <v/>
      </c>
      <c r="BF40" s="32" t="str">
        <f>+IF(BF$3="","",IF($AY40="","",IFERROR(INDEX('Data Consolidada'!$E$7:$E$891,MATCH(CONCATENATE(BF$3,"-",$CP40,"-",$AY40),'Data Consolidada'!$K$7:$K$891,0)),MAX('Data Consolidada'!$E$7:$E$3000))))</f>
        <v/>
      </c>
      <c r="BG40" s="32" t="str">
        <f>+IF(BG$3="","",IF($AY40="","",IFERROR(INDEX('Data Consolidada'!$E$7:$E$891,MATCH(CONCATENATE(BG$3,"-",$CP40,"-",$AY40),'Data Consolidada'!$K$7:$K$891,0)),MAX('Data Consolidada'!$E$7:$E$3000))))</f>
        <v/>
      </c>
      <c r="BH40" s="32" t="str">
        <f>+IF(BH$3="","",IF($AY40="","",IFERROR(INDEX('Data Consolidada'!$E$7:$E$891,MATCH(CONCATENATE(BH$3,"-",$CP40,"-",$AY40),'Data Consolidada'!$K$7:$K$891,0)),MAX('Data Consolidada'!$E$7:$E$3000))))</f>
        <v/>
      </c>
      <c r="BI40" s="32" t="str">
        <f>+IF(BI$3="","",IF($AY40="","",IFERROR(INDEX('Data Consolidada'!$E$7:$E$891,MATCH(CONCATENATE(BI$3,"-",$CP40,"-",$AY40),'Data Consolidada'!$K$7:$K$891,0)),MAX('Data Consolidada'!$E$7:$E$3000))))</f>
        <v/>
      </c>
      <c r="BJ40" s="32" t="str">
        <f>+IF(BJ$3="","",IF($AY40="","",IFERROR(INDEX('Data Consolidada'!$E$7:$E$891,MATCH(CONCATENATE(BJ$3,"-",$CP40,"-",$AY40),'Data Consolidada'!$K$7:$K$891,0)),MAX('Data Consolidada'!$E$7:$E$3000))))</f>
        <v/>
      </c>
      <c r="BK40" s="32" t="str">
        <f>+IF(BK$3="","",IF($AY40="","",IFERROR(INDEX('Data Consolidada'!$E$7:$E$891,MATCH(CONCATENATE(BK$3,"-",$CP40,"-",$AY40),'Data Consolidada'!$K$7:$K$891,0)),MAX('Data Consolidada'!$E$7:$E$3000))))</f>
        <v/>
      </c>
      <c r="BL40" s="32" t="str">
        <f>+IF(BL$3="","",IF($AY40="","",IFERROR(INDEX('Data Consolidada'!$E$7:$E$891,MATCH(CONCATENATE(BL$3,"-",$CP40,"-",$AY40),'Data Consolidada'!$K$7:$K$891,0)),MAX('Data Consolidada'!$E$7:$E$3000))))</f>
        <v/>
      </c>
      <c r="BM40" s="32" t="str">
        <f>+IF(BM$3="","",IF($AY40="","",IFERROR(INDEX('Data Consolidada'!$E$7:$E$891,MATCH(CONCATENATE(BM$3,"-",$CP40,"-",$AY40),'Data Consolidada'!$K$7:$K$891,0)),MAX('Data Consolidada'!$E$7:$E$3000))))</f>
        <v/>
      </c>
      <c r="BN40" s="32" t="str">
        <f>+IF(BN$3="","",IF($AY40="","",IFERROR(INDEX('Data Consolidada'!$E$7:$E$891,MATCH(CONCATENATE(BN$3,"-",$CP40,"-",$AY40),'Data Consolidada'!$K$7:$K$891,0)),MAX('Data Consolidada'!$E$7:$E$3000))))</f>
        <v/>
      </c>
      <c r="BO40" s="32" t="str">
        <f>+IF(BO$3="","",IF($AY40="","",IFERROR(INDEX('Data Consolidada'!$E$7:$E$891,MATCH(CONCATENATE(BO$3,"-",$CP40,"-",$AY40),'Data Consolidada'!$K$7:$K$891,0)),MAX('Data Consolidada'!$E$7:$E$3000))))</f>
        <v/>
      </c>
      <c r="BP40" s="32" t="str">
        <f>+IF(BP$3="","",IF($AY40="","",IFERROR(INDEX('Data Consolidada'!$E$7:$E$891,MATCH(CONCATENATE(BP$3,"-",$CP40,"-",$AY40),'Data Consolidada'!$K$7:$K$891,0)),MAX('Data Consolidada'!$E$7:$E$3000))))</f>
        <v/>
      </c>
      <c r="BQ40" s="32" t="str">
        <f>+IF(BQ$3="","",IF($AY40="","",IFERROR(INDEX('Data Consolidada'!$E$7:$E$891,MATCH(CONCATENATE(BQ$3,"-",$CP40,"-",$AY40),'Data Consolidada'!$K$7:$K$891,0)),MAX('Data Consolidada'!$E$7:$E$3000))))</f>
        <v/>
      </c>
      <c r="BR40" s="32" t="str">
        <f>+IF(BR$3="","",IF($AY40="","",IFERROR(INDEX('Data Consolidada'!$E$7:$E$891,MATCH(CONCATENATE(BR$3,"-",$CP40,"-",$AY40),'Data Consolidada'!$K$7:$K$891,0)),MAX('Data Consolidada'!$E$7:$E$3000))))</f>
        <v/>
      </c>
      <c r="BS40" s="32" t="str">
        <f>+IF(BS$3="","",IF($AY40="","",IFERROR(INDEX('Data Consolidada'!$E$7:$E$891,MATCH(CONCATENATE(BS$3,"-",$CP40,"-",$AY40),'Data Consolidada'!$K$7:$K$891,0)),MAX('Data Consolidada'!$E$7:$E$3000))))</f>
        <v/>
      </c>
      <c r="BT40" s="32" t="str">
        <f>+IF(BT$3="","",IF($AY40="","",IFERROR(INDEX('Data Consolidada'!$E$7:$E$891,MATCH(CONCATENATE(BT$3,"-",$CP40,"-",$AY40),'Data Consolidada'!$K$7:$K$891,0)),MAX('Data Consolidada'!$E$7:$E$3000))))</f>
        <v/>
      </c>
      <c r="BU40" s="32" t="str">
        <f>+IF(BU$3="","",IF($AY40="","",IFERROR(INDEX('Data Consolidada'!$E$7:$E$891,MATCH(CONCATENATE(BU$3,"-",$CP40,"-",$AY40),'Data Consolidada'!$K$7:$K$891,0)),MAX('Data Consolidada'!$E$7:$E$3000))))</f>
        <v/>
      </c>
      <c r="BV40" s="32" t="str">
        <f>+IF(BV$3="","",IF($AY40="","",IFERROR(INDEX('Data Consolidada'!$E$7:$E$891,MATCH(CONCATENATE(BV$3,"-",$CP40,"-",$AY40),'Data Consolidada'!$K$7:$K$891,0)),MAX('Data Consolidada'!$E$7:$E$3000))))</f>
        <v/>
      </c>
      <c r="BW40" s="32" t="str">
        <f>+IF(BW$3="","",IF($AY40="","",IFERROR(INDEX('Data Consolidada'!$E$7:$E$891,MATCH(CONCATENATE(BW$3,"-",$CP40,"-",$AY40),'Data Consolidada'!$K$7:$K$891,0)),MAX('Data Consolidada'!$E$7:$E$3000))))</f>
        <v/>
      </c>
      <c r="BX40" s="32" t="str">
        <f>+IF(BX$3="","",IF($AY40="","",IFERROR(INDEX('Data Consolidada'!$E$7:$E$891,MATCH(CONCATENATE(BX$3,"-",$CP40,"-",$AY40),'Data Consolidada'!$K$7:$K$891,0)),MAX('Data Consolidada'!$E$7:$E$3000))))</f>
        <v/>
      </c>
      <c r="BY40" s="32" t="str">
        <f>+IF(BY$3="","",IF($AY40="","",IFERROR(INDEX('Data Consolidada'!$E$7:$E$891,MATCH(CONCATENATE(BY$3,"-",$CP40,"-",$AY40),'Data Consolidada'!$K$7:$K$891,0)),MAX('Data Consolidada'!$E$7:$E$3000))))</f>
        <v/>
      </c>
      <c r="BZ40" s="32" t="str">
        <f>+IF(BZ$3="","",IF($AY40="","",IFERROR(INDEX('Data Consolidada'!$E$7:$E$891,MATCH(CONCATENATE(BZ$3,"-",$CP40,"-",$AY40),'Data Consolidada'!$K$7:$K$891,0)),MAX('Data Consolidada'!$E$7:$E$3000))))</f>
        <v/>
      </c>
      <c r="CA40" s="32" t="str">
        <f>+IF(CA$3="","",IF($AY40="","",IFERROR(INDEX('Data Consolidada'!$E$7:$E$891,MATCH(CONCATENATE(CA$3,"-",$CP40,"-",$AY40),'Data Consolidada'!$K$7:$K$891,0)),MAX('Data Consolidada'!$E$7:$E$3000))))</f>
        <v/>
      </c>
      <c r="CB40" s="32" t="str">
        <f>+IF(CB$3="","",IF($AY40="","",IFERROR(INDEX('Data Consolidada'!$E$7:$E$891,MATCH(CONCATENATE(CB$3,"-",$CP40,"-",$AY40),'Data Consolidada'!$K$7:$K$891,0)),MAX('Data Consolidada'!$E$7:$E$3000))))</f>
        <v/>
      </c>
      <c r="CC40" s="32" t="str">
        <f>+IF(CC$3="","",IF($AY40="","",IFERROR(INDEX('Data Consolidada'!$E$7:$E$891,MATCH(CONCATENATE(CC$3,"-",$CP40,"-",$AY40),'Data Consolidada'!$K$7:$K$891,0)),MAX('Data Consolidada'!$E$7:$E$3000))))</f>
        <v/>
      </c>
      <c r="CD40" s="32" t="str">
        <f>+IF(CD$3="","",IF($AY40="","",IFERROR(INDEX('Data Consolidada'!$E$7:$E$891,MATCH(CONCATENATE(CD$3,"-",$CP40,"-",$AY40),'Data Consolidada'!$K$7:$K$891,0)),MAX('Data Consolidada'!$E$7:$E$3000))))</f>
        <v/>
      </c>
      <c r="CE40" s="32" t="str">
        <f>+IF(CE$3="","",IF($AY40="","",IFERROR(INDEX('Data Consolidada'!$E$7:$E$891,MATCH(CONCATENATE(CE$3,"-",$CP40,"-",$AY40),'Data Consolidada'!$K$7:$K$891,0)),MAX('Data Consolidada'!$E$7:$E$3000))))</f>
        <v/>
      </c>
      <c r="CF40" s="32" t="str">
        <f>+IF(CF$3="","",IF($AY40="","",IFERROR(INDEX('Data Consolidada'!$E$7:$E$891,MATCH(CONCATENATE(CF$3,"-",$CP40,"-",$AY40),'Data Consolidada'!$K$7:$K$891,0)),MAX('Data Consolidada'!$E$7:$E$3000))))</f>
        <v/>
      </c>
      <c r="CG40" s="32" t="str">
        <f>+IF(CG$3="","",IF($AY40="","",IFERROR(INDEX('Data Consolidada'!$E$7:$E$891,MATCH(CONCATENATE(CG$3,"-",$CP40,"-",$AY40),'Data Consolidada'!$K$7:$K$891,0)),MAX('Data Consolidada'!$E$7:$E$3000))))</f>
        <v/>
      </c>
      <c r="CH40" s="32" t="str">
        <f>+IF(CH$3="","",IF($AY40="","",IFERROR(INDEX('Data Consolidada'!$E$7:$E$891,MATCH(CONCATENATE(CH$3,"-",$CP40,"-",$AY40),'Data Consolidada'!$K$7:$K$891,0)),MAX('Data Consolidada'!$E$7:$E$3000))))</f>
        <v/>
      </c>
      <c r="CI40" s="32" t="str">
        <f>+IF(CI$3="","",IF($AY40="","",IFERROR(INDEX('Data Consolidada'!$E$7:$E$891,MATCH(CONCATENATE(CI$3,"-",$CP40,"-",$AY40),'Data Consolidada'!$K$7:$K$891,0)),MAX('Data Consolidada'!$E$7:$E$3000))))</f>
        <v/>
      </c>
      <c r="CJ40" s="32" t="str">
        <f>+IF(CJ$3="","",IF($AY40="","",IFERROR(INDEX('Data Consolidada'!$E$7:$E$891,MATCH(CONCATENATE(CJ$3,"-",$CP40,"-",$AY40),'Data Consolidada'!$K$7:$K$891,0)),MAX('Data Consolidada'!$E$7:$E$3000))))</f>
        <v/>
      </c>
      <c r="CK40" s="32" t="str">
        <f>+IF(CK$3="","",IF($AY40="","",IFERROR(INDEX('Data Consolidada'!$E$7:$E$891,MATCH(CONCATENATE(CK$3,"-",$CP40,"-",$AY40),'Data Consolidada'!$K$7:$K$891,0)),MAX('Data Consolidada'!$E$7:$E$3000))))</f>
        <v/>
      </c>
      <c r="CL40" s="32" t="str">
        <f>+IF(CL$3="","",IF($AY40="","",IFERROR(INDEX('Data Consolidada'!$E$7:$E$891,MATCH(CONCATENATE(CL$3,"-",$CP40,"-",$AY40),'Data Consolidada'!$K$7:$K$891,0)),MAX('Data Consolidada'!$E$7:$E$3000))))</f>
        <v/>
      </c>
      <c r="CM40" s="32" t="str">
        <f>+IF(CM$3="","",IF($AY40="","",IFERROR(INDEX('Data Consolidada'!$E$7:$E$891,MATCH(CONCATENATE(CM$3,"-",$CP40,"-",$AY40),'Data Consolidada'!$K$7:$K$891,0)),MAX('Data Consolidada'!$E$7:$E$3000))))</f>
        <v/>
      </c>
      <c r="CN40" s="32" t="str">
        <f>+IF(CN$3="","",IF($AY40="","",IFERROR(INDEX('Data Consolidada'!$E$7:$E$891,MATCH(CONCATENATE(CN$3,"-",$CP40,"-",$AY40),'Data Consolidada'!$K$7:$K$891,0)),MAX('Data Consolidada'!$E$7:$E$3000))))</f>
        <v/>
      </c>
      <c r="CO40" s="37" t="str">
        <f>+IF(CO$3="","",IF($AY40="","",IFERROR(INDEX('Data Consolidada'!$E$7:$E$891,MATCH(CONCATENATE(CO$3,"-",$CP40,"-",$AY40),'Data Consolidada'!$K$7:$K$891,0)),MAX('Data Consolidada'!$E$7:$E$3000))))</f>
        <v/>
      </c>
      <c r="CP40" s="224">
        <f t="shared" ca="1" si="2"/>
        <v>0</v>
      </c>
      <c r="CQ40" s="84" t="str">
        <f t="shared" ca="1" si="3"/>
        <v>TRANS. ALMENDRAL0</v>
      </c>
    </row>
    <row r="41" spans="2:95" ht="15" customHeight="1" x14ac:dyDescent="0.35">
      <c r="B41" s="46"/>
      <c r="C41" s="5"/>
      <c r="D41" s="76"/>
      <c r="E41" s="11"/>
      <c r="F41" s="257" t="s">
        <v>157</v>
      </c>
      <c r="G41" s="14"/>
      <c r="H41" s="204"/>
      <c r="I41" s="267" t="str">
        <f t="shared" si="6"/>
        <v/>
      </c>
      <c r="J41" s="268" t="str">
        <f t="shared" si="7"/>
        <v/>
      </c>
      <c r="K41" s="268" t="str">
        <f t="shared" si="8"/>
        <v/>
      </c>
      <c r="L41" s="268" t="str">
        <f t="shared" si="9"/>
        <v/>
      </c>
      <c r="M41" s="268" t="str">
        <f t="shared" si="10"/>
        <v/>
      </c>
      <c r="N41" s="268" t="str">
        <f t="shared" si="11"/>
        <v/>
      </c>
      <c r="O41" s="268" t="str">
        <f t="shared" si="12"/>
        <v/>
      </c>
      <c r="P41" s="268" t="str">
        <f t="shared" si="13"/>
        <v/>
      </c>
      <c r="Q41" s="268" t="str">
        <f t="shared" si="20"/>
        <v/>
      </c>
      <c r="R41" s="268" t="str">
        <f t="shared" si="14"/>
        <v/>
      </c>
      <c r="S41" s="268" t="str">
        <f t="shared" si="15"/>
        <v/>
      </c>
      <c r="T41" s="268" t="str">
        <f t="shared" si="16"/>
        <v/>
      </c>
      <c r="U41" s="268" t="str">
        <f t="shared" si="17"/>
        <v/>
      </c>
      <c r="V41" s="269" t="str">
        <f t="shared" si="18"/>
        <v/>
      </c>
      <c r="W41" s="55" cm="1">
        <f t="array" ref="W41">+IFERROR(_xlfn.IFS(F41="Totes",IF(I41="",0,ROUNDUP(I41*$I$11/$G$9,0))+IF(J41="",0,ROUNDUP(J41*$J$11/$G$9,0))+IF(K41="",0,ROUNDUP(K41*$K$11/$G$9,0))+IF(L41="",0,ROUNDUP(L41*$L$11/$G$9,0))+IF(M41="",0,ROUNDUP(M41*$M$11/$G$9,0))+IF(N41="",0,ROUNDUP(N41*$N$11/$G$9,0))+IF(O41="",0,ROUNDUP(O41*$O$11/$G$9,0))+IF(P41="",0,ROUNDUP(P41*$P$11/$G$9,0))+IF(Q41="",0,ROUNDUP(Q41*$Q$11/$G$9,0))+IF(R41="",0,ROUNDUP(R41*$R$11/$G$9,0))+IF(S41="",0,ROUNDUP(S41*$S$11/$G$9,0))+IF(T41="",0,ROUNDUP(T41*$T$11/$G$9,0))+IF(U41="",0,ROUNDUP(U41*$U$11/$G$9,0))+IF(V41="",0,ROUNDUP(V41*$V$11/$G$9,0)),F41="Mini Bins",IF(I41="",0,ROUNDUP(I41*$I$11/$J$6,0))+IF(J41="",0,ROUNDUP(J41*$J$11/$J$6,0))+IF(K41="",0,ROUNDUP(K41*$K$11/$J$6,0))+IF(L41="",0,ROUNDUP(L41*$L$11/$J$6,0))+IF(M41="",0,ROUNDUP(M41*$M$11/$J$6,0))+IF(N41="",0,ROUNDUP(N41*$N$11/$J$6,0))+IF(O41="",0,ROUNDUP(O41*$O$11/$J$6,0))+IF(P41="",0,ROUNDUP(P41*$P$11/$J$6,0))+IF(Q41="",0,ROUNDUP(Q41*$Q$11/$J$6,0))+IF(R41="",0,ROUNDUP(R41*$R$11/$J$6,0))+IF(S41="",0,ROUNDUP(S41*$S$11/$J$6,0))+IF(T41="",0,ROUNDUP(T41*$T$11/$J$6,0))+IF(U41="",0,ROUNDUP(U41*$U$11/$J$6,0))+IF(V41="",0,ROUNDUP(V41*$V$11/$J$6,0))),0)</f>
        <v>0</v>
      </c>
      <c r="X41" s="254">
        <f t="shared" si="19"/>
        <v>0</v>
      </c>
      <c r="Z41" s="245"/>
      <c r="AA41" s="247"/>
      <c r="AB41" s="254" cm="1">
        <f t="array" aca="1" ref="AB41" ca="1">+SUM(IF($B$72:$B$217=Z41,$C$72:$AR$217))</f>
        <v>0</v>
      </c>
      <c r="AC41" s="211">
        <f t="shared" ca="1" si="4"/>
        <v>0</v>
      </c>
      <c r="AF41" s="14"/>
      <c r="AG41" s="204"/>
      <c r="AH41" s="228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229"/>
      <c r="AW41" s="13">
        <f>+IF(AX41="","",IF(AX41&gt;AX40,AW40,IF(AW40&lt;$D$69,AW40+1,IF(COUNT(AW$4:AW40)&lt;$B$69*$E$54,1,""))))</f>
        <v>3</v>
      </c>
      <c r="AX41" s="13">
        <f>+IF(AX40&lt;$B$69,AX40+1,IF(COUNT(AX$4:AX40)&lt;$B$69*$D$69,1,""))</f>
        <v>12</v>
      </c>
      <c r="AY41" s="189" t="str">
        <f t="shared" ca="1" si="1"/>
        <v>TRANS. MAX SOTO G. E.I.R.L.</v>
      </c>
      <c r="AZ41" s="36">
        <f ca="1">+IF(AZ$3="","",IF($AY41="","",IFERROR(INDEX('Data Consolidada'!$E$7:$E$891,MATCH(CONCATENATE(AZ$3,"-",$CP41,"-",$AY41),'Data Consolidada'!$K$7:$K$891,0)),MAX('Data Consolidada'!$E$7:$E$3000))))</f>
        <v>11000000</v>
      </c>
      <c r="BA41" s="32">
        <f ca="1">+IF(BA$3="","",IF($AY41="","",IFERROR(INDEX('Data Consolidada'!$E$7:$E$891,MATCH(CONCATENATE(BA$3,"-",$CP41,"-",$AY41),'Data Consolidada'!$K$7:$K$891,0)),MAX('Data Consolidada'!$E$7:$E$3000))))</f>
        <v>11000000</v>
      </c>
      <c r="BB41" s="32" t="str">
        <f>+IF(BB$3="","",IF($AY41="","",IFERROR(INDEX('Data Consolidada'!$E$7:$E$891,MATCH(CONCATENATE(BB$3,"-",$CP41,"-",$AY41),'Data Consolidada'!$K$7:$K$891,0)),MAX('Data Consolidada'!$E$7:$E$3000))))</f>
        <v/>
      </c>
      <c r="BC41" s="32" t="str">
        <f>+IF(BC$3="","",IF($AY41="","",IFERROR(INDEX('Data Consolidada'!$E$7:$E$891,MATCH(CONCATENATE(BC$3,"-",$CP41,"-",$AY41),'Data Consolidada'!$K$7:$K$891,0)),MAX('Data Consolidada'!$E$7:$E$3000))))</f>
        <v/>
      </c>
      <c r="BD41" s="32" t="str">
        <f>+IF(BD$3="","",IF($AY41="","",IFERROR(INDEX('Data Consolidada'!$E$7:$E$891,MATCH(CONCATENATE(BD$3,"-",$CP41,"-",$AY41),'Data Consolidada'!$K$7:$K$891,0)),MAX('Data Consolidada'!$E$7:$E$3000))))</f>
        <v/>
      </c>
      <c r="BE41" s="32" t="str">
        <f>+IF(BE$3="","",IF($AY41="","",IFERROR(INDEX('Data Consolidada'!$E$7:$E$891,MATCH(CONCATENATE(BE$3,"-",$CP41,"-",$AY41),'Data Consolidada'!$K$7:$K$891,0)),MAX('Data Consolidada'!$E$7:$E$3000))))</f>
        <v/>
      </c>
      <c r="BF41" s="32" t="str">
        <f>+IF(BF$3="","",IF($AY41="","",IFERROR(INDEX('Data Consolidada'!$E$7:$E$891,MATCH(CONCATENATE(BF$3,"-",$CP41,"-",$AY41),'Data Consolidada'!$K$7:$K$891,0)),MAX('Data Consolidada'!$E$7:$E$3000))))</f>
        <v/>
      </c>
      <c r="BG41" s="32" t="str">
        <f>+IF(BG$3="","",IF($AY41="","",IFERROR(INDEX('Data Consolidada'!$E$7:$E$891,MATCH(CONCATENATE(BG$3,"-",$CP41,"-",$AY41),'Data Consolidada'!$K$7:$K$891,0)),MAX('Data Consolidada'!$E$7:$E$3000))))</f>
        <v/>
      </c>
      <c r="BH41" s="32" t="str">
        <f>+IF(BH$3="","",IF($AY41="","",IFERROR(INDEX('Data Consolidada'!$E$7:$E$891,MATCH(CONCATENATE(BH$3,"-",$CP41,"-",$AY41),'Data Consolidada'!$K$7:$K$891,0)),MAX('Data Consolidada'!$E$7:$E$3000))))</f>
        <v/>
      </c>
      <c r="BI41" s="32" t="str">
        <f>+IF(BI$3="","",IF($AY41="","",IFERROR(INDEX('Data Consolidada'!$E$7:$E$891,MATCH(CONCATENATE(BI$3,"-",$CP41,"-",$AY41),'Data Consolidada'!$K$7:$K$891,0)),MAX('Data Consolidada'!$E$7:$E$3000))))</f>
        <v/>
      </c>
      <c r="BJ41" s="32" t="str">
        <f>+IF(BJ$3="","",IF($AY41="","",IFERROR(INDEX('Data Consolidada'!$E$7:$E$891,MATCH(CONCATENATE(BJ$3,"-",$CP41,"-",$AY41),'Data Consolidada'!$K$7:$K$891,0)),MAX('Data Consolidada'!$E$7:$E$3000))))</f>
        <v/>
      </c>
      <c r="BK41" s="32" t="str">
        <f>+IF(BK$3="","",IF($AY41="","",IFERROR(INDEX('Data Consolidada'!$E$7:$E$891,MATCH(CONCATENATE(BK$3,"-",$CP41,"-",$AY41),'Data Consolidada'!$K$7:$K$891,0)),MAX('Data Consolidada'!$E$7:$E$3000))))</f>
        <v/>
      </c>
      <c r="BL41" s="32" t="str">
        <f>+IF(BL$3="","",IF($AY41="","",IFERROR(INDEX('Data Consolidada'!$E$7:$E$891,MATCH(CONCATENATE(BL$3,"-",$CP41,"-",$AY41),'Data Consolidada'!$K$7:$K$891,0)),MAX('Data Consolidada'!$E$7:$E$3000))))</f>
        <v/>
      </c>
      <c r="BM41" s="32" t="str">
        <f>+IF(BM$3="","",IF($AY41="","",IFERROR(INDEX('Data Consolidada'!$E$7:$E$891,MATCH(CONCATENATE(BM$3,"-",$CP41,"-",$AY41),'Data Consolidada'!$K$7:$K$891,0)),MAX('Data Consolidada'!$E$7:$E$3000))))</f>
        <v/>
      </c>
      <c r="BN41" s="32" t="str">
        <f>+IF(BN$3="","",IF($AY41="","",IFERROR(INDEX('Data Consolidada'!$E$7:$E$891,MATCH(CONCATENATE(BN$3,"-",$CP41,"-",$AY41),'Data Consolidada'!$K$7:$K$891,0)),MAX('Data Consolidada'!$E$7:$E$3000))))</f>
        <v/>
      </c>
      <c r="BO41" s="32" t="str">
        <f>+IF(BO$3="","",IF($AY41="","",IFERROR(INDEX('Data Consolidada'!$E$7:$E$891,MATCH(CONCATENATE(BO$3,"-",$CP41,"-",$AY41),'Data Consolidada'!$K$7:$K$891,0)),MAX('Data Consolidada'!$E$7:$E$3000))))</f>
        <v/>
      </c>
      <c r="BP41" s="32" t="str">
        <f>+IF(BP$3="","",IF($AY41="","",IFERROR(INDEX('Data Consolidada'!$E$7:$E$891,MATCH(CONCATENATE(BP$3,"-",$CP41,"-",$AY41),'Data Consolidada'!$K$7:$K$891,0)),MAX('Data Consolidada'!$E$7:$E$3000))))</f>
        <v/>
      </c>
      <c r="BQ41" s="32" t="str">
        <f>+IF(BQ$3="","",IF($AY41="","",IFERROR(INDEX('Data Consolidada'!$E$7:$E$891,MATCH(CONCATENATE(BQ$3,"-",$CP41,"-",$AY41),'Data Consolidada'!$K$7:$K$891,0)),MAX('Data Consolidada'!$E$7:$E$3000))))</f>
        <v/>
      </c>
      <c r="BR41" s="32" t="str">
        <f>+IF(BR$3="","",IF($AY41="","",IFERROR(INDEX('Data Consolidada'!$E$7:$E$891,MATCH(CONCATENATE(BR$3,"-",$CP41,"-",$AY41),'Data Consolidada'!$K$7:$K$891,0)),MAX('Data Consolidada'!$E$7:$E$3000))))</f>
        <v/>
      </c>
      <c r="BS41" s="32" t="str">
        <f>+IF(BS$3="","",IF($AY41="","",IFERROR(INDEX('Data Consolidada'!$E$7:$E$891,MATCH(CONCATENATE(BS$3,"-",$CP41,"-",$AY41),'Data Consolidada'!$K$7:$K$891,0)),MAX('Data Consolidada'!$E$7:$E$3000))))</f>
        <v/>
      </c>
      <c r="BT41" s="32" t="str">
        <f>+IF(BT$3="","",IF($AY41="","",IFERROR(INDEX('Data Consolidada'!$E$7:$E$891,MATCH(CONCATENATE(BT$3,"-",$CP41,"-",$AY41),'Data Consolidada'!$K$7:$K$891,0)),MAX('Data Consolidada'!$E$7:$E$3000))))</f>
        <v/>
      </c>
      <c r="BU41" s="32" t="str">
        <f>+IF(BU$3="","",IF($AY41="","",IFERROR(INDEX('Data Consolidada'!$E$7:$E$891,MATCH(CONCATENATE(BU$3,"-",$CP41,"-",$AY41),'Data Consolidada'!$K$7:$K$891,0)),MAX('Data Consolidada'!$E$7:$E$3000))))</f>
        <v/>
      </c>
      <c r="BV41" s="32" t="str">
        <f>+IF(BV$3="","",IF($AY41="","",IFERROR(INDEX('Data Consolidada'!$E$7:$E$891,MATCH(CONCATENATE(BV$3,"-",$CP41,"-",$AY41),'Data Consolidada'!$K$7:$K$891,0)),MAX('Data Consolidada'!$E$7:$E$3000))))</f>
        <v/>
      </c>
      <c r="BW41" s="32" t="str">
        <f>+IF(BW$3="","",IF($AY41="","",IFERROR(INDEX('Data Consolidada'!$E$7:$E$891,MATCH(CONCATENATE(BW$3,"-",$CP41,"-",$AY41),'Data Consolidada'!$K$7:$K$891,0)),MAX('Data Consolidada'!$E$7:$E$3000))))</f>
        <v/>
      </c>
      <c r="BX41" s="32" t="str">
        <f>+IF(BX$3="","",IF($AY41="","",IFERROR(INDEX('Data Consolidada'!$E$7:$E$891,MATCH(CONCATENATE(BX$3,"-",$CP41,"-",$AY41),'Data Consolidada'!$K$7:$K$891,0)),MAX('Data Consolidada'!$E$7:$E$3000))))</f>
        <v/>
      </c>
      <c r="BY41" s="32" t="str">
        <f>+IF(BY$3="","",IF($AY41="","",IFERROR(INDEX('Data Consolidada'!$E$7:$E$891,MATCH(CONCATENATE(BY$3,"-",$CP41,"-",$AY41),'Data Consolidada'!$K$7:$K$891,0)),MAX('Data Consolidada'!$E$7:$E$3000))))</f>
        <v/>
      </c>
      <c r="BZ41" s="32" t="str">
        <f>+IF(BZ$3="","",IF($AY41="","",IFERROR(INDEX('Data Consolidada'!$E$7:$E$891,MATCH(CONCATENATE(BZ$3,"-",$CP41,"-",$AY41),'Data Consolidada'!$K$7:$K$891,0)),MAX('Data Consolidada'!$E$7:$E$3000))))</f>
        <v/>
      </c>
      <c r="CA41" s="32" t="str">
        <f>+IF(CA$3="","",IF($AY41="","",IFERROR(INDEX('Data Consolidada'!$E$7:$E$891,MATCH(CONCATENATE(CA$3,"-",$CP41,"-",$AY41),'Data Consolidada'!$K$7:$K$891,0)),MAX('Data Consolidada'!$E$7:$E$3000))))</f>
        <v/>
      </c>
      <c r="CB41" s="32" t="str">
        <f>+IF(CB$3="","",IF($AY41="","",IFERROR(INDEX('Data Consolidada'!$E$7:$E$891,MATCH(CONCATENATE(CB$3,"-",$CP41,"-",$AY41),'Data Consolidada'!$K$7:$K$891,0)),MAX('Data Consolidada'!$E$7:$E$3000))))</f>
        <v/>
      </c>
      <c r="CC41" s="32" t="str">
        <f>+IF(CC$3="","",IF($AY41="","",IFERROR(INDEX('Data Consolidada'!$E$7:$E$891,MATCH(CONCATENATE(CC$3,"-",$CP41,"-",$AY41),'Data Consolidada'!$K$7:$K$891,0)),MAX('Data Consolidada'!$E$7:$E$3000))))</f>
        <v/>
      </c>
      <c r="CD41" s="32" t="str">
        <f>+IF(CD$3="","",IF($AY41="","",IFERROR(INDEX('Data Consolidada'!$E$7:$E$891,MATCH(CONCATENATE(CD$3,"-",$CP41,"-",$AY41),'Data Consolidada'!$K$7:$K$891,0)),MAX('Data Consolidada'!$E$7:$E$3000))))</f>
        <v/>
      </c>
      <c r="CE41" s="32" t="str">
        <f>+IF(CE$3="","",IF($AY41="","",IFERROR(INDEX('Data Consolidada'!$E$7:$E$891,MATCH(CONCATENATE(CE$3,"-",$CP41,"-",$AY41),'Data Consolidada'!$K$7:$K$891,0)),MAX('Data Consolidada'!$E$7:$E$3000))))</f>
        <v/>
      </c>
      <c r="CF41" s="32" t="str">
        <f>+IF(CF$3="","",IF($AY41="","",IFERROR(INDEX('Data Consolidada'!$E$7:$E$891,MATCH(CONCATENATE(CF$3,"-",$CP41,"-",$AY41),'Data Consolidada'!$K$7:$K$891,0)),MAX('Data Consolidada'!$E$7:$E$3000))))</f>
        <v/>
      </c>
      <c r="CG41" s="32" t="str">
        <f>+IF(CG$3="","",IF($AY41="","",IFERROR(INDEX('Data Consolidada'!$E$7:$E$891,MATCH(CONCATENATE(CG$3,"-",$CP41,"-",$AY41),'Data Consolidada'!$K$7:$K$891,0)),MAX('Data Consolidada'!$E$7:$E$3000))))</f>
        <v/>
      </c>
      <c r="CH41" s="32" t="str">
        <f>+IF(CH$3="","",IF($AY41="","",IFERROR(INDEX('Data Consolidada'!$E$7:$E$891,MATCH(CONCATENATE(CH$3,"-",$CP41,"-",$AY41),'Data Consolidada'!$K$7:$K$891,0)),MAX('Data Consolidada'!$E$7:$E$3000))))</f>
        <v/>
      </c>
      <c r="CI41" s="32" t="str">
        <f>+IF(CI$3="","",IF($AY41="","",IFERROR(INDEX('Data Consolidada'!$E$7:$E$891,MATCH(CONCATENATE(CI$3,"-",$CP41,"-",$AY41),'Data Consolidada'!$K$7:$K$891,0)),MAX('Data Consolidada'!$E$7:$E$3000))))</f>
        <v/>
      </c>
      <c r="CJ41" s="32" t="str">
        <f>+IF(CJ$3="","",IF($AY41="","",IFERROR(INDEX('Data Consolidada'!$E$7:$E$891,MATCH(CONCATENATE(CJ$3,"-",$CP41,"-",$AY41),'Data Consolidada'!$K$7:$K$891,0)),MAX('Data Consolidada'!$E$7:$E$3000))))</f>
        <v/>
      </c>
      <c r="CK41" s="32" t="str">
        <f>+IF(CK$3="","",IF($AY41="","",IFERROR(INDEX('Data Consolidada'!$E$7:$E$891,MATCH(CONCATENATE(CK$3,"-",$CP41,"-",$AY41),'Data Consolidada'!$K$7:$K$891,0)),MAX('Data Consolidada'!$E$7:$E$3000))))</f>
        <v/>
      </c>
      <c r="CL41" s="32" t="str">
        <f>+IF(CL$3="","",IF($AY41="","",IFERROR(INDEX('Data Consolidada'!$E$7:$E$891,MATCH(CONCATENATE(CL$3,"-",$CP41,"-",$AY41),'Data Consolidada'!$K$7:$K$891,0)),MAX('Data Consolidada'!$E$7:$E$3000))))</f>
        <v/>
      </c>
      <c r="CM41" s="32" t="str">
        <f>+IF(CM$3="","",IF($AY41="","",IFERROR(INDEX('Data Consolidada'!$E$7:$E$891,MATCH(CONCATENATE(CM$3,"-",$CP41,"-",$AY41),'Data Consolidada'!$K$7:$K$891,0)),MAX('Data Consolidada'!$E$7:$E$3000))))</f>
        <v/>
      </c>
      <c r="CN41" s="32" t="str">
        <f>+IF(CN$3="","",IF($AY41="","",IFERROR(INDEX('Data Consolidada'!$E$7:$E$891,MATCH(CONCATENATE(CN$3,"-",$CP41,"-",$AY41),'Data Consolidada'!$K$7:$K$891,0)),MAX('Data Consolidada'!$E$7:$E$3000))))</f>
        <v/>
      </c>
      <c r="CO41" s="37" t="str">
        <f>+IF(CO$3="","",IF($AY41="","",IFERROR(INDEX('Data Consolidada'!$E$7:$E$891,MATCH(CONCATENATE(CO$3,"-",$CP41,"-",$AY41),'Data Consolidada'!$K$7:$K$891,0)),MAX('Data Consolidada'!$E$7:$E$3000))))</f>
        <v/>
      </c>
      <c r="CP41" s="224">
        <f t="shared" ca="1" si="2"/>
        <v>0</v>
      </c>
      <c r="CQ41" s="84" t="str">
        <f t="shared" ca="1" si="3"/>
        <v>TRANS. MAX SOTO G. E.I.R.L.0</v>
      </c>
    </row>
    <row r="42" spans="2:95" ht="15" customHeight="1" x14ac:dyDescent="0.35">
      <c r="B42" s="46"/>
      <c r="C42" s="5"/>
      <c r="D42" s="15"/>
      <c r="F42" s="257" t="s">
        <v>157</v>
      </c>
      <c r="G42" s="14"/>
      <c r="H42" s="204"/>
      <c r="I42" s="267" t="str">
        <f t="shared" si="6"/>
        <v/>
      </c>
      <c r="J42" s="268" t="str">
        <f t="shared" si="7"/>
        <v/>
      </c>
      <c r="K42" s="268" t="str">
        <f t="shared" si="8"/>
        <v/>
      </c>
      <c r="L42" s="268" t="str">
        <f t="shared" si="9"/>
        <v/>
      </c>
      <c r="M42" s="268" t="str">
        <f t="shared" si="10"/>
        <v/>
      </c>
      <c r="N42" s="268" t="str">
        <f t="shared" si="11"/>
        <v/>
      </c>
      <c r="O42" s="268" t="str">
        <f t="shared" si="12"/>
        <v/>
      </c>
      <c r="P42" s="268" t="str">
        <f t="shared" si="13"/>
        <v/>
      </c>
      <c r="Q42" s="268" t="str">
        <f t="shared" si="20"/>
        <v/>
      </c>
      <c r="R42" s="268" t="str">
        <f t="shared" si="14"/>
        <v/>
      </c>
      <c r="S42" s="268" t="str">
        <f t="shared" si="15"/>
        <v/>
      </c>
      <c r="T42" s="268" t="str">
        <f t="shared" si="16"/>
        <v/>
      </c>
      <c r="U42" s="268" t="str">
        <f t="shared" si="17"/>
        <v/>
      </c>
      <c r="V42" s="269" t="str">
        <f t="shared" si="18"/>
        <v/>
      </c>
      <c r="W42" s="55" cm="1">
        <f t="array" ref="W42">+IFERROR(_xlfn.IFS(F42="Totes",IF(I42="",0,ROUNDUP(I42*$I$11/$G$9,0))+IF(J42="",0,ROUNDUP(J42*$J$11/$G$9,0))+IF(K42="",0,ROUNDUP(K42*$K$11/$G$9,0))+IF(L42="",0,ROUNDUP(L42*$L$11/$G$9,0))+IF(M42="",0,ROUNDUP(M42*$M$11/$G$9,0))+IF(N42="",0,ROUNDUP(N42*$N$11/$G$9,0))+IF(O42="",0,ROUNDUP(O42*$O$11/$G$9,0))+IF(P42="",0,ROUNDUP(P42*$P$11/$G$9,0))+IF(Q42="",0,ROUNDUP(Q42*$Q$11/$G$9,0))+IF(R42="",0,ROUNDUP(R42*$R$11/$G$9,0))+IF(S42="",0,ROUNDUP(S42*$S$11/$G$9,0))+IF(T42="",0,ROUNDUP(T42*$T$11/$G$9,0))+IF(U42="",0,ROUNDUP(U42*$U$11/$G$9,0))+IF(V42="",0,ROUNDUP(V42*$V$11/$G$9,0)),F42="Mini Bins",IF(I42="",0,ROUNDUP(I42*$I$11/$J$6,0))+IF(J42="",0,ROUNDUP(J42*$J$11/$J$6,0))+IF(K42="",0,ROUNDUP(K42*$K$11/$J$6,0))+IF(L42="",0,ROUNDUP(L42*$L$11/$J$6,0))+IF(M42="",0,ROUNDUP(M42*$M$11/$J$6,0))+IF(N42="",0,ROUNDUP(N42*$N$11/$J$6,0))+IF(O42="",0,ROUNDUP(O42*$O$11/$J$6,0))+IF(P42="",0,ROUNDUP(P42*$P$11/$J$6,0))+IF(Q42="",0,ROUNDUP(Q42*$Q$11/$J$6,0))+IF(R42="",0,ROUNDUP(R42*$R$11/$J$6,0))+IF(S42="",0,ROUNDUP(S42*$S$11/$J$6,0))+IF(T42="",0,ROUNDUP(T42*$T$11/$J$6,0))+IF(U42="",0,ROUNDUP(U42*$U$11/$J$6,0))+IF(V42="",0,ROUNDUP(V42*$V$11/$J$6,0))),0)</f>
        <v>0</v>
      </c>
      <c r="X42" s="254">
        <f t="shared" si="19"/>
        <v>0</v>
      </c>
      <c r="Z42" s="245"/>
      <c r="AA42" s="247"/>
      <c r="AB42" s="254" cm="1">
        <f t="array" aca="1" ref="AB42" ca="1">+SUM(IF($B$72:$B$217=Z42,$C$72:$AR$217))</f>
        <v>0</v>
      </c>
      <c r="AC42" s="211">
        <f t="shared" ca="1" si="4"/>
        <v>0</v>
      </c>
      <c r="AF42" s="14"/>
      <c r="AG42" s="204"/>
      <c r="AH42" s="228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6"/>
      <c r="AU42" s="229"/>
      <c r="AW42" s="13">
        <f>+IF(AX42="","",IF(AX42&gt;AX41,AW41,IF(AW41&lt;$D$69,AW41+1,IF(COUNT(AW$4:AW41)&lt;$B$69*$E$54,1,""))))</f>
        <v>3</v>
      </c>
      <c r="AX42" s="13">
        <f>+IF(AX41&lt;$B$69,AX41+1,IF(COUNT(AX$4:AX41)&lt;$B$69*$D$69,1,""))</f>
        <v>13</v>
      </c>
      <c r="AY42" s="189" t="str">
        <f t="shared" ca="1" si="1"/>
        <v>TRANS. MITRE SPA.</v>
      </c>
      <c r="AZ42" s="36">
        <f ca="1">+IF(AZ$3="","",IF($AY42="","",IFERROR(INDEX('Data Consolidada'!$E$7:$E$891,MATCH(CONCATENATE(AZ$3,"-",$CP42,"-",$AY42),'Data Consolidada'!$K$7:$K$891,0)),MAX('Data Consolidada'!$E$7:$E$3000))))</f>
        <v>11000000</v>
      </c>
      <c r="BA42" s="32">
        <f ca="1">+IF(BA$3="","",IF($AY42="","",IFERROR(INDEX('Data Consolidada'!$E$7:$E$891,MATCH(CONCATENATE(BA$3,"-",$CP42,"-",$AY42),'Data Consolidada'!$K$7:$K$891,0)),MAX('Data Consolidada'!$E$7:$E$3000))))</f>
        <v>11000000</v>
      </c>
      <c r="BB42" s="32" t="str">
        <f>+IF(BB$3="","",IF($AY42="","",IFERROR(INDEX('Data Consolidada'!$E$7:$E$891,MATCH(CONCATENATE(BB$3,"-",$CP42,"-",$AY42),'Data Consolidada'!$K$7:$K$891,0)),MAX('Data Consolidada'!$E$7:$E$3000))))</f>
        <v/>
      </c>
      <c r="BC42" s="32" t="str">
        <f>+IF(BC$3="","",IF($AY42="","",IFERROR(INDEX('Data Consolidada'!$E$7:$E$891,MATCH(CONCATENATE(BC$3,"-",$CP42,"-",$AY42),'Data Consolidada'!$K$7:$K$891,0)),MAX('Data Consolidada'!$E$7:$E$3000))))</f>
        <v/>
      </c>
      <c r="BD42" s="32" t="str">
        <f>+IF(BD$3="","",IF($AY42="","",IFERROR(INDEX('Data Consolidada'!$E$7:$E$891,MATCH(CONCATENATE(BD$3,"-",$CP42,"-",$AY42),'Data Consolidada'!$K$7:$K$891,0)),MAX('Data Consolidada'!$E$7:$E$3000))))</f>
        <v/>
      </c>
      <c r="BE42" s="32" t="str">
        <f>+IF(BE$3="","",IF($AY42="","",IFERROR(INDEX('Data Consolidada'!$E$7:$E$891,MATCH(CONCATENATE(BE$3,"-",$CP42,"-",$AY42),'Data Consolidada'!$K$7:$K$891,0)),MAX('Data Consolidada'!$E$7:$E$3000))))</f>
        <v/>
      </c>
      <c r="BF42" s="32" t="str">
        <f>+IF(BF$3="","",IF($AY42="","",IFERROR(INDEX('Data Consolidada'!$E$7:$E$891,MATCH(CONCATENATE(BF$3,"-",$CP42,"-",$AY42),'Data Consolidada'!$K$7:$K$891,0)),MAX('Data Consolidada'!$E$7:$E$3000))))</f>
        <v/>
      </c>
      <c r="BG42" s="32" t="str">
        <f>+IF(BG$3="","",IF($AY42="","",IFERROR(INDEX('Data Consolidada'!$E$7:$E$891,MATCH(CONCATENATE(BG$3,"-",$CP42,"-",$AY42),'Data Consolidada'!$K$7:$K$891,0)),MAX('Data Consolidada'!$E$7:$E$3000))))</f>
        <v/>
      </c>
      <c r="BH42" s="32" t="str">
        <f>+IF(BH$3="","",IF($AY42="","",IFERROR(INDEX('Data Consolidada'!$E$7:$E$891,MATCH(CONCATENATE(BH$3,"-",$CP42,"-",$AY42),'Data Consolidada'!$K$7:$K$891,0)),MAX('Data Consolidada'!$E$7:$E$3000))))</f>
        <v/>
      </c>
      <c r="BI42" s="32" t="str">
        <f>+IF(BI$3="","",IF($AY42="","",IFERROR(INDEX('Data Consolidada'!$E$7:$E$891,MATCH(CONCATENATE(BI$3,"-",$CP42,"-",$AY42),'Data Consolidada'!$K$7:$K$891,0)),MAX('Data Consolidada'!$E$7:$E$3000))))</f>
        <v/>
      </c>
      <c r="BJ42" s="32" t="str">
        <f>+IF(BJ$3="","",IF($AY42="","",IFERROR(INDEX('Data Consolidada'!$E$7:$E$891,MATCH(CONCATENATE(BJ$3,"-",$CP42,"-",$AY42),'Data Consolidada'!$K$7:$K$891,0)),MAX('Data Consolidada'!$E$7:$E$3000))))</f>
        <v/>
      </c>
      <c r="BK42" s="32" t="str">
        <f>+IF(BK$3="","",IF($AY42="","",IFERROR(INDEX('Data Consolidada'!$E$7:$E$891,MATCH(CONCATENATE(BK$3,"-",$CP42,"-",$AY42),'Data Consolidada'!$K$7:$K$891,0)),MAX('Data Consolidada'!$E$7:$E$3000))))</f>
        <v/>
      </c>
      <c r="BL42" s="32" t="str">
        <f>+IF(BL$3="","",IF($AY42="","",IFERROR(INDEX('Data Consolidada'!$E$7:$E$891,MATCH(CONCATENATE(BL$3,"-",$CP42,"-",$AY42),'Data Consolidada'!$K$7:$K$891,0)),MAX('Data Consolidada'!$E$7:$E$3000))))</f>
        <v/>
      </c>
      <c r="BM42" s="32" t="str">
        <f>+IF(BM$3="","",IF($AY42="","",IFERROR(INDEX('Data Consolidada'!$E$7:$E$891,MATCH(CONCATENATE(BM$3,"-",$CP42,"-",$AY42),'Data Consolidada'!$K$7:$K$891,0)),MAX('Data Consolidada'!$E$7:$E$3000))))</f>
        <v/>
      </c>
      <c r="BN42" s="32" t="str">
        <f>+IF(BN$3="","",IF($AY42="","",IFERROR(INDEX('Data Consolidada'!$E$7:$E$891,MATCH(CONCATENATE(BN$3,"-",$CP42,"-",$AY42),'Data Consolidada'!$K$7:$K$891,0)),MAX('Data Consolidada'!$E$7:$E$3000))))</f>
        <v/>
      </c>
      <c r="BO42" s="32" t="str">
        <f>+IF(BO$3="","",IF($AY42="","",IFERROR(INDEX('Data Consolidada'!$E$7:$E$891,MATCH(CONCATENATE(BO$3,"-",$CP42,"-",$AY42),'Data Consolidada'!$K$7:$K$891,0)),MAX('Data Consolidada'!$E$7:$E$3000))))</f>
        <v/>
      </c>
      <c r="BP42" s="32" t="str">
        <f>+IF(BP$3="","",IF($AY42="","",IFERROR(INDEX('Data Consolidada'!$E$7:$E$891,MATCH(CONCATENATE(BP$3,"-",$CP42,"-",$AY42),'Data Consolidada'!$K$7:$K$891,0)),MAX('Data Consolidada'!$E$7:$E$3000))))</f>
        <v/>
      </c>
      <c r="BQ42" s="32" t="str">
        <f>+IF(BQ$3="","",IF($AY42="","",IFERROR(INDEX('Data Consolidada'!$E$7:$E$891,MATCH(CONCATENATE(BQ$3,"-",$CP42,"-",$AY42),'Data Consolidada'!$K$7:$K$891,0)),MAX('Data Consolidada'!$E$7:$E$3000))))</f>
        <v/>
      </c>
      <c r="BR42" s="32" t="str">
        <f>+IF(BR$3="","",IF($AY42="","",IFERROR(INDEX('Data Consolidada'!$E$7:$E$891,MATCH(CONCATENATE(BR$3,"-",$CP42,"-",$AY42),'Data Consolidada'!$K$7:$K$891,0)),MAX('Data Consolidada'!$E$7:$E$3000))))</f>
        <v/>
      </c>
      <c r="BS42" s="32" t="str">
        <f>+IF(BS$3="","",IF($AY42="","",IFERROR(INDEX('Data Consolidada'!$E$7:$E$891,MATCH(CONCATENATE(BS$3,"-",$CP42,"-",$AY42),'Data Consolidada'!$K$7:$K$891,0)),MAX('Data Consolidada'!$E$7:$E$3000))))</f>
        <v/>
      </c>
      <c r="BT42" s="32" t="str">
        <f>+IF(BT$3="","",IF($AY42="","",IFERROR(INDEX('Data Consolidada'!$E$7:$E$891,MATCH(CONCATENATE(BT$3,"-",$CP42,"-",$AY42),'Data Consolidada'!$K$7:$K$891,0)),MAX('Data Consolidada'!$E$7:$E$3000))))</f>
        <v/>
      </c>
      <c r="BU42" s="32" t="str">
        <f>+IF(BU$3="","",IF($AY42="","",IFERROR(INDEX('Data Consolidada'!$E$7:$E$891,MATCH(CONCATENATE(BU$3,"-",$CP42,"-",$AY42),'Data Consolidada'!$K$7:$K$891,0)),MAX('Data Consolidada'!$E$7:$E$3000))))</f>
        <v/>
      </c>
      <c r="BV42" s="32" t="str">
        <f>+IF(BV$3="","",IF($AY42="","",IFERROR(INDEX('Data Consolidada'!$E$7:$E$891,MATCH(CONCATENATE(BV$3,"-",$CP42,"-",$AY42),'Data Consolidada'!$K$7:$K$891,0)),MAX('Data Consolidada'!$E$7:$E$3000))))</f>
        <v/>
      </c>
      <c r="BW42" s="32" t="str">
        <f>+IF(BW$3="","",IF($AY42="","",IFERROR(INDEX('Data Consolidada'!$E$7:$E$891,MATCH(CONCATENATE(BW$3,"-",$CP42,"-",$AY42),'Data Consolidada'!$K$7:$K$891,0)),MAX('Data Consolidada'!$E$7:$E$3000))))</f>
        <v/>
      </c>
      <c r="BX42" s="32" t="str">
        <f>+IF(BX$3="","",IF($AY42="","",IFERROR(INDEX('Data Consolidada'!$E$7:$E$891,MATCH(CONCATENATE(BX$3,"-",$CP42,"-",$AY42),'Data Consolidada'!$K$7:$K$891,0)),MAX('Data Consolidada'!$E$7:$E$3000))))</f>
        <v/>
      </c>
      <c r="BY42" s="32" t="str">
        <f>+IF(BY$3="","",IF($AY42="","",IFERROR(INDEX('Data Consolidada'!$E$7:$E$891,MATCH(CONCATENATE(BY$3,"-",$CP42,"-",$AY42),'Data Consolidada'!$K$7:$K$891,0)),MAX('Data Consolidada'!$E$7:$E$3000))))</f>
        <v/>
      </c>
      <c r="BZ42" s="32" t="str">
        <f>+IF(BZ$3="","",IF($AY42="","",IFERROR(INDEX('Data Consolidada'!$E$7:$E$891,MATCH(CONCATENATE(BZ$3,"-",$CP42,"-",$AY42),'Data Consolidada'!$K$7:$K$891,0)),MAX('Data Consolidada'!$E$7:$E$3000))))</f>
        <v/>
      </c>
      <c r="CA42" s="32" t="str">
        <f>+IF(CA$3="","",IF($AY42="","",IFERROR(INDEX('Data Consolidada'!$E$7:$E$891,MATCH(CONCATENATE(CA$3,"-",$CP42,"-",$AY42),'Data Consolidada'!$K$7:$K$891,0)),MAX('Data Consolidada'!$E$7:$E$3000))))</f>
        <v/>
      </c>
      <c r="CB42" s="32" t="str">
        <f>+IF(CB$3="","",IF($AY42="","",IFERROR(INDEX('Data Consolidada'!$E$7:$E$891,MATCH(CONCATENATE(CB$3,"-",$CP42,"-",$AY42),'Data Consolidada'!$K$7:$K$891,0)),MAX('Data Consolidada'!$E$7:$E$3000))))</f>
        <v/>
      </c>
      <c r="CC42" s="32" t="str">
        <f>+IF(CC$3="","",IF($AY42="","",IFERROR(INDEX('Data Consolidada'!$E$7:$E$891,MATCH(CONCATENATE(CC$3,"-",$CP42,"-",$AY42),'Data Consolidada'!$K$7:$K$891,0)),MAX('Data Consolidada'!$E$7:$E$3000))))</f>
        <v/>
      </c>
      <c r="CD42" s="32" t="str">
        <f>+IF(CD$3="","",IF($AY42="","",IFERROR(INDEX('Data Consolidada'!$E$7:$E$891,MATCH(CONCATENATE(CD$3,"-",$CP42,"-",$AY42),'Data Consolidada'!$K$7:$K$891,0)),MAX('Data Consolidada'!$E$7:$E$3000))))</f>
        <v/>
      </c>
      <c r="CE42" s="32" t="str">
        <f>+IF(CE$3="","",IF($AY42="","",IFERROR(INDEX('Data Consolidada'!$E$7:$E$891,MATCH(CONCATENATE(CE$3,"-",$CP42,"-",$AY42),'Data Consolidada'!$K$7:$K$891,0)),MAX('Data Consolidada'!$E$7:$E$3000))))</f>
        <v/>
      </c>
      <c r="CF42" s="32" t="str">
        <f>+IF(CF$3="","",IF($AY42="","",IFERROR(INDEX('Data Consolidada'!$E$7:$E$891,MATCH(CONCATENATE(CF$3,"-",$CP42,"-",$AY42),'Data Consolidada'!$K$7:$K$891,0)),MAX('Data Consolidada'!$E$7:$E$3000))))</f>
        <v/>
      </c>
      <c r="CG42" s="32" t="str">
        <f>+IF(CG$3="","",IF($AY42="","",IFERROR(INDEX('Data Consolidada'!$E$7:$E$891,MATCH(CONCATENATE(CG$3,"-",$CP42,"-",$AY42),'Data Consolidada'!$K$7:$K$891,0)),MAX('Data Consolidada'!$E$7:$E$3000))))</f>
        <v/>
      </c>
      <c r="CH42" s="32" t="str">
        <f>+IF(CH$3="","",IF($AY42="","",IFERROR(INDEX('Data Consolidada'!$E$7:$E$891,MATCH(CONCATENATE(CH$3,"-",$CP42,"-",$AY42),'Data Consolidada'!$K$7:$K$891,0)),MAX('Data Consolidada'!$E$7:$E$3000))))</f>
        <v/>
      </c>
      <c r="CI42" s="32" t="str">
        <f>+IF(CI$3="","",IF($AY42="","",IFERROR(INDEX('Data Consolidada'!$E$7:$E$891,MATCH(CONCATENATE(CI$3,"-",$CP42,"-",$AY42),'Data Consolidada'!$K$7:$K$891,0)),MAX('Data Consolidada'!$E$7:$E$3000))))</f>
        <v/>
      </c>
      <c r="CJ42" s="32" t="str">
        <f>+IF(CJ$3="","",IF($AY42="","",IFERROR(INDEX('Data Consolidada'!$E$7:$E$891,MATCH(CONCATENATE(CJ$3,"-",$CP42,"-",$AY42),'Data Consolidada'!$K$7:$K$891,0)),MAX('Data Consolidada'!$E$7:$E$3000))))</f>
        <v/>
      </c>
      <c r="CK42" s="32" t="str">
        <f>+IF(CK$3="","",IF($AY42="","",IFERROR(INDEX('Data Consolidada'!$E$7:$E$891,MATCH(CONCATENATE(CK$3,"-",$CP42,"-",$AY42),'Data Consolidada'!$K$7:$K$891,0)),MAX('Data Consolidada'!$E$7:$E$3000))))</f>
        <v/>
      </c>
      <c r="CL42" s="32" t="str">
        <f>+IF(CL$3="","",IF($AY42="","",IFERROR(INDEX('Data Consolidada'!$E$7:$E$891,MATCH(CONCATENATE(CL$3,"-",$CP42,"-",$AY42),'Data Consolidada'!$K$7:$K$891,0)),MAX('Data Consolidada'!$E$7:$E$3000))))</f>
        <v/>
      </c>
      <c r="CM42" s="32" t="str">
        <f>+IF(CM$3="","",IF($AY42="","",IFERROR(INDEX('Data Consolidada'!$E$7:$E$891,MATCH(CONCATENATE(CM$3,"-",$CP42,"-",$AY42),'Data Consolidada'!$K$7:$K$891,0)),MAX('Data Consolidada'!$E$7:$E$3000))))</f>
        <v/>
      </c>
      <c r="CN42" s="32" t="str">
        <f>+IF(CN$3="","",IF($AY42="","",IFERROR(INDEX('Data Consolidada'!$E$7:$E$891,MATCH(CONCATENATE(CN$3,"-",$CP42,"-",$AY42),'Data Consolidada'!$K$7:$K$891,0)),MAX('Data Consolidada'!$E$7:$E$3000))))</f>
        <v/>
      </c>
      <c r="CO42" s="37" t="str">
        <f>+IF(CO$3="","",IF($AY42="","",IFERROR(INDEX('Data Consolidada'!$E$7:$E$891,MATCH(CONCATENATE(CO$3,"-",$CP42,"-",$AY42),'Data Consolidada'!$K$7:$K$891,0)),MAX('Data Consolidada'!$E$7:$E$3000))))</f>
        <v/>
      </c>
      <c r="CP42" s="224">
        <f t="shared" ca="1" si="2"/>
        <v>0</v>
      </c>
      <c r="CQ42" s="84" t="str">
        <f t="shared" ca="1" si="3"/>
        <v>TRANS. MITRE SPA.0</v>
      </c>
    </row>
    <row r="43" spans="2:95" ht="15" customHeight="1" x14ac:dyDescent="0.35">
      <c r="B43" s="46"/>
      <c r="C43" s="5"/>
      <c r="D43" s="15"/>
      <c r="F43" s="257" t="s">
        <v>157</v>
      </c>
      <c r="G43" s="14"/>
      <c r="H43" s="204"/>
      <c r="I43" s="267" t="str">
        <f t="shared" si="6"/>
        <v/>
      </c>
      <c r="J43" s="268" t="str">
        <f t="shared" si="7"/>
        <v/>
      </c>
      <c r="K43" s="268" t="str">
        <f t="shared" si="8"/>
        <v/>
      </c>
      <c r="L43" s="268" t="str">
        <f t="shared" si="9"/>
        <v/>
      </c>
      <c r="M43" s="268" t="str">
        <f t="shared" si="10"/>
        <v/>
      </c>
      <c r="N43" s="268" t="str">
        <f t="shared" si="11"/>
        <v/>
      </c>
      <c r="O43" s="268" t="str">
        <f t="shared" si="12"/>
        <v/>
      </c>
      <c r="P43" s="268" t="str">
        <f t="shared" si="13"/>
        <v/>
      </c>
      <c r="Q43" s="268" t="str">
        <f t="shared" si="20"/>
        <v/>
      </c>
      <c r="R43" s="268" t="str">
        <f t="shared" si="14"/>
        <v/>
      </c>
      <c r="S43" s="268" t="str">
        <f t="shared" si="15"/>
        <v/>
      </c>
      <c r="T43" s="268" t="str">
        <f t="shared" si="16"/>
        <v/>
      </c>
      <c r="U43" s="268" t="str">
        <f t="shared" si="17"/>
        <v/>
      </c>
      <c r="V43" s="269" t="str">
        <f t="shared" si="18"/>
        <v/>
      </c>
      <c r="W43" s="55" cm="1">
        <f t="array" ref="W43">+IFERROR(_xlfn.IFS(F43="Totes",IF(I43="",0,ROUNDUP(I43*$I$11/$G$9,0))+IF(J43="",0,ROUNDUP(J43*$J$11/$G$9,0))+IF(K43="",0,ROUNDUP(K43*$K$11/$G$9,0))+IF(L43="",0,ROUNDUP(L43*$L$11/$G$9,0))+IF(M43="",0,ROUNDUP(M43*$M$11/$G$9,0))+IF(N43="",0,ROUNDUP(N43*$N$11/$G$9,0))+IF(O43="",0,ROUNDUP(O43*$O$11/$G$9,0))+IF(P43="",0,ROUNDUP(P43*$P$11/$G$9,0))+IF(Q43="",0,ROUNDUP(Q43*$Q$11/$G$9,0))+IF(R43="",0,ROUNDUP(R43*$R$11/$G$9,0))+IF(S43="",0,ROUNDUP(S43*$S$11/$G$9,0))+IF(T43="",0,ROUNDUP(T43*$T$11/$G$9,0))+IF(U43="",0,ROUNDUP(U43*$U$11/$G$9,0))+IF(V43="",0,ROUNDUP(V43*$V$11/$G$9,0)),F43="Mini Bins",IF(I43="",0,ROUNDUP(I43*$I$11/$J$6,0))+IF(J43="",0,ROUNDUP(J43*$J$11/$J$6,0))+IF(K43="",0,ROUNDUP(K43*$K$11/$J$6,0))+IF(L43="",0,ROUNDUP(L43*$L$11/$J$6,0))+IF(M43="",0,ROUNDUP(M43*$M$11/$J$6,0))+IF(N43="",0,ROUNDUP(N43*$N$11/$J$6,0))+IF(O43="",0,ROUNDUP(O43*$O$11/$J$6,0))+IF(P43="",0,ROUNDUP(P43*$P$11/$J$6,0))+IF(Q43="",0,ROUNDUP(Q43*$Q$11/$J$6,0))+IF(R43="",0,ROUNDUP(R43*$R$11/$J$6,0))+IF(S43="",0,ROUNDUP(S43*$S$11/$J$6,0))+IF(T43="",0,ROUNDUP(T43*$T$11/$J$6,0))+IF(U43="",0,ROUNDUP(U43*$U$11/$J$6,0))+IF(V43="",0,ROUNDUP(V43*$V$11/$J$6,0))),0)</f>
        <v>0</v>
      </c>
      <c r="X43" s="254">
        <f t="shared" si="19"/>
        <v>0</v>
      </c>
      <c r="Z43" s="245"/>
      <c r="AA43" s="247"/>
      <c r="AB43" s="254" cm="1">
        <f t="array" aca="1" ref="AB43" ca="1">+SUM(IF($B$72:$B$217=Z43,$C$72:$AR$217))</f>
        <v>0</v>
      </c>
      <c r="AC43" s="211">
        <f t="shared" ca="1" si="4"/>
        <v>0</v>
      </c>
      <c r="AF43" s="14"/>
      <c r="AG43" s="204"/>
      <c r="AH43" s="228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6"/>
      <c r="AU43" s="229"/>
      <c r="AW43" s="13">
        <f>+IF(AX43="","",IF(AX43&gt;AX42,AW42,IF(AW42&lt;$D$69,AW42+1,IF(COUNT(AW$4:AW42)&lt;$B$69*$E$54,1,""))))</f>
        <v>4</v>
      </c>
      <c r="AX43" s="13">
        <f>+IF(AX42&lt;$B$69,AX42+1,IF(COUNT(AX$4:AX42)&lt;$B$69*$D$69,1,""))</f>
        <v>1</v>
      </c>
      <c r="AY43" s="189" t="str">
        <f t="shared" ca="1" si="1"/>
        <v xml:space="preserve">  TRANS. MORROS LTDA.</v>
      </c>
      <c r="AZ43" s="36">
        <f ca="1">+IF(AZ$3="","",IF($AY43="","",IFERROR(INDEX('Data Consolidada'!$E$7:$E$891,MATCH(CONCATENATE(AZ$3,"-",$CP43,"-",$AY43),'Data Consolidada'!$K$7:$K$891,0)),MAX('Data Consolidada'!$E$7:$E$3000))))</f>
        <v>11000000</v>
      </c>
      <c r="BA43" s="32">
        <f ca="1">+IF(BA$3="","",IF($AY43="","",IFERROR(INDEX('Data Consolidada'!$E$7:$E$891,MATCH(CONCATENATE(BA$3,"-",$CP43,"-",$AY43),'Data Consolidada'!$K$7:$K$891,0)),MAX('Data Consolidada'!$E$7:$E$3000))))</f>
        <v>11000000</v>
      </c>
      <c r="BB43" s="32" t="str">
        <f>+IF(BB$3="","",IF($AY43="","",IFERROR(INDEX('Data Consolidada'!$E$7:$E$891,MATCH(CONCATENATE(BB$3,"-",$CP43,"-",$AY43),'Data Consolidada'!$K$7:$K$891,0)),MAX('Data Consolidada'!$E$7:$E$3000))))</f>
        <v/>
      </c>
      <c r="BC43" s="32" t="str">
        <f>+IF(BC$3="","",IF($AY43="","",IFERROR(INDEX('Data Consolidada'!$E$7:$E$891,MATCH(CONCATENATE(BC$3,"-",$CP43,"-",$AY43),'Data Consolidada'!$K$7:$K$891,0)),MAX('Data Consolidada'!$E$7:$E$3000))))</f>
        <v/>
      </c>
      <c r="BD43" s="32" t="str">
        <f>+IF(BD$3="","",IF($AY43="","",IFERROR(INDEX('Data Consolidada'!$E$7:$E$891,MATCH(CONCATENATE(BD$3,"-",$CP43,"-",$AY43),'Data Consolidada'!$K$7:$K$891,0)),MAX('Data Consolidada'!$E$7:$E$3000))))</f>
        <v/>
      </c>
      <c r="BE43" s="32" t="str">
        <f>+IF(BE$3="","",IF($AY43="","",IFERROR(INDEX('Data Consolidada'!$E$7:$E$891,MATCH(CONCATENATE(BE$3,"-",$CP43,"-",$AY43),'Data Consolidada'!$K$7:$K$891,0)),MAX('Data Consolidada'!$E$7:$E$3000))))</f>
        <v/>
      </c>
      <c r="BF43" s="32" t="str">
        <f>+IF(BF$3="","",IF($AY43="","",IFERROR(INDEX('Data Consolidada'!$E$7:$E$891,MATCH(CONCATENATE(BF$3,"-",$CP43,"-",$AY43),'Data Consolidada'!$K$7:$K$891,0)),MAX('Data Consolidada'!$E$7:$E$3000))))</f>
        <v/>
      </c>
      <c r="BG43" s="32" t="str">
        <f>+IF(BG$3="","",IF($AY43="","",IFERROR(INDEX('Data Consolidada'!$E$7:$E$891,MATCH(CONCATENATE(BG$3,"-",$CP43,"-",$AY43),'Data Consolidada'!$K$7:$K$891,0)),MAX('Data Consolidada'!$E$7:$E$3000))))</f>
        <v/>
      </c>
      <c r="BH43" s="32" t="str">
        <f>+IF(BH$3="","",IF($AY43="","",IFERROR(INDEX('Data Consolidada'!$E$7:$E$891,MATCH(CONCATENATE(BH$3,"-",$CP43,"-",$AY43),'Data Consolidada'!$K$7:$K$891,0)),MAX('Data Consolidada'!$E$7:$E$3000))))</f>
        <v/>
      </c>
      <c r="BI43" s="32" t="str">
        <f>+IF(BI$3="","",IF($AY43="","",IFERROR(INDEX('Data Consolidada'!$E$7:$E$891,MATCH(CONCATENATE(BI$3,"-",$CP43,"-",$AY43),'Data Consolidada'!$K$7:$K$891,0)),MAX('Data Consolidada'!$E$7:$E$3000))))</f>
        <v/>
      </c>
      <c r="BJ43" s="32" t="str">
        <f>+IF(BJ$3="","",IF($AY43="","",IFERROR(INDEX('Data Consolidada'!$E$7:$E$891,MATCH(CONCATENATE(BJ$3,"-",$CP43,"-",$AY43),'Data Consolidada'!$K$7:$K$891,0)),MAX('Data Consolidada'!$E$7:$E$3000))))</f>
        <v/>
      </c>
      <c r="BK43" s="32" t="str">
        <f>+IF(BK$3="","",IF($AY43="","",IFERROR(INDEX('Data Consolidada'!$E$7:$E$891,MATCH(CONCATENATE(BK$3,"-",$CP43,"-",$AY43),'Data Consolidada'!$K$7:$K$891,0)),MAX('Data Consolidada'!$E$7:$E$3000))))</f>
        <v/>
      </c>
      <c r="BL43" s="32" t="str">
        <f>+IF(BL$3="","",IF($AY43="","",IFERROR(INDEX('Data Consolidada'!$E$7:$E$891,MATCH(CONCATENATE(BL$3,"-",$CP43,"-",$AY43),'Data Consolidada'!$K$7:$K$891,0)),MAX('Data Consolidada'!$E$7:$E$3000))))</f>
        <v/>
      </c>
      <c r="BM43" s="32" t="str">
        <f>+IF(BM$3="","",IF($AY43="","",IFERROR(INDEX('Data Consolidada'!$E$7:$E$891,MATCH(CONCATENATE(BM$3,"-",$CP43,"-",$AY43),'Data Consolidada'!$K$7:$K$891,0)),MAX('Data Consolidada'!$E$7:$E$3000))))</f>
        <v/>
      </c>
      <c r="BN43" s="32" t="str">
        <f>+IF(BN$3="","",IF($AY43="","",IFERROR(INDEX('Data Consolidada'!$E$7:$E$891,MATCH(CONCATENATE(BN$3,"-",$CP43,"-",$AY43),'Data Consolidada'!$K$7:$K$891,0)),MAX('Data Consolidada'!$E$7:$E$3000))))</f>
        <v/>
      </c>
      <c r="BO43" s="32" t="str">
        <f>+IF(BO$3="","",IF($AY43="","",IFERROR(INDEX('Data Consolidada'!$E$7:$E$891,MATCH(CONCATENATE(BO$3,"-",$CP43,"-",$AY43),'Data Consolidada'!$K$7:$K$891,0)),MAX('Data Consolidada'!$E$7:$E$3000))))</f>
        <v/>
      </c>
      <c r="BP43" s="32" t="str">
        <f>+IF(BP$3="","",IF($AY43="","",IFERROR(INDEX('Data Consolidada'!$E$7:$E$891,MATCH(CONCATENATE(BP$3,"-",$CP43,"-",$AY43),'Data Consolidada'!$K$7:$K$891,0)),MAX('Data Consolidada'!$E$7:$E$3000))))</f>
        <v/>
      </c>
      <c r="BQ43" s="32" t="str">
        <f>+IF(BQ$3="","",IF($AY43="","",IFERROR(INDEX('Data Consolidada'!$E$7:$E$891,MATCH(CONCATENATE(BQ$3,"-",$CP43,"-",$AY43),'Data Consolidada'!$K$7:$K$891,0)),MAX('Data Consolidada'!$E$7:$E$3000))))</f>
        <v/>
      </c>
      <c r="BR43" s="32" t="str">
        <f>+IF(BR$3="","",IF($AY43="","",IFERROR(INDEX('Data Consolidada'!$E$7:$E$891,MATCH(CONCATENATE(BR$3,"-",$CP43,"-",$AY43),'Data Consolidada'!$K$7:$K$891,0)),MAX('Data Consolidada'!$E$7:$E$3000))))</f>
        <v/>
      </c>
      <c r="BS43" s="32" t="str">
        <f>+IF(BS$3="","",IF($AY43="","",IFERROR(INDEX('Data Consolidada'!$E$7:$E$891,MATCH(CONCATENATE(BS$3,"-",$CP43,"-",$AY43),'Data Consolidada'!$K$7:$K$891,0)),MAX('Data Consolidada'!$E$7:$E$3000))))</f>
        <v/>
      </c>
      <c r="BT43" s="32" t="str">
        <f>+IF(BT$3="","",IF($AY43="","",IFERROR(INDEX('Data Consolidada'!$E$7:$E$891,MATCH(CONCATENATE(BT$3,"-",$CP43,"-",$AY43),'Data Consolidada'!$K$7:$K$891,0)),MAX('Data Consolidada'!$E$7:$E$3000))))</f>
        <v/>
      </c>
      <c r="BU43" s="32" t="str">
        <f>+IF(BU$3="","",IF($AY43="","",IFERROR(INDEX('Data Consolidada'!$E$7:$E$891,MATCH(CONCATENATE(BU$3,"-",$CP43,"-",$AY43),'Data Consolidada'!$K$7:$K$891,0)),MAX('Data Consolidada'!$E$7:$E$3000))))</f>
        <v/>
      </c>
      <c r="BV43" s="32" t="str">
        <f>+IF(BV$3="","",IF($AY43="","",IFERROR(INDEX('Data Consolidada'!$E$7:$E$891,MATCH(CONCATENATE(BV$3,"-",$CP43,"-",$AY43),'Data Consolidada'!$K$7:$K$891,0)),MAX('Data Consolidada'!$E$7:$E$3000))))</f>
        <v/>
      </c>
      <c r="BW43" s="32" t="str">
        <f>+IF(BW$3="","",IF($AY43="","",IFERROR(INDEX('Data Consolidada'!$E$7:$E$891,MATCH(CONCATENATE(BW$3,"-",$CP43,"-",$AY43),'Data Consolidada'!$K$7:$K$891,0)),MAX('Data Consolidada'!$E$7:$E$3000))))</f>
        <v/>
      </c>
      <c r="BX43" s="32" t="str">
        <f>+IF(BX$3="","",IF($AY43="","",IFERROR(INDEX('Data Consolidada'!$E$7:$E$891,MATCH(CONCATENATE(BX$3,"-",$CP43,"-",$AY43),'Data Consolidada'!$K$7:$K$891,0)),MAX('Data Consolidada'!$E$7:$E$3000))))</f>
        <v/>
      </c>
      <c r="BY43" s="32" t="str">
        <f>+IF(BY$3="","",IF($AY43="","",IFERROR(INDEX('Data Consolidada'!$E$7:$E$891,MATCH(CONCATENATE(BY$3,"-",$CP43,"-",$AY43),'Data Consolidada'!$K$7:$K$891,0)),MAX('Data Consolidada'!$E$7:$E$3000))))</f>
        <v/>
      </c>
      <c r="BZ43" s="32" t="str">
        <f>+IF(BZ$3="","",IF($AY43="","",IFERROR(INDEX('Data Consolidada'!$E$7:$E$891,MATCH(CONCATENATE(BZ$3,"-",$CP43,"-",$AY43),'Data Consolidada'!$K$7:$K$891,0)),MAX('Data Consolidada'!$E$7:$E$3000))))</f>
        <v/>
      </c>
      <c r="CA43" s="32" t="str">
        <f>+IF(CA$3="","",IF($AY43="","",IFERROR(INDEX('Data Consolidada'!$E$7:$E$891,MATCH(CONCATENATE(CA$3,"-",$CP43,"-",$AY43),'Data Consolidada'!$K$7:$K$891,0)),MAX('Data Consolidada'!$E$7:$E$3000))))</f>
        <v/>
      </c>
      <c r="CB43" s="32" t="str">
        <f>+IF(CB$3="","",IF($AY43="","",IFERROR(INDEX('Data Consolidada'!$E$7:$E$891,MATCH(CONCATENATE(CB$3,"-",$CP43,"-",$AY43),'Data Consolidada'!$K$7:$K$891,0)),MAX('Data Consolidada'!$E$7:$E$3000))))</f>
        <v/>
      </c>
      <c r="CC43" s="32" t="str">
        <f>+IF(CC$3="","",IF($AY43="","",IFERROR(INDEX('Data Consolidada'!$E$7:$E$891,MATCH(CONCATENATE(CC$3,"-",$CP43,"-",$AY43),'Data Consolidada'!$K$7:$K$891,0)),MAX('Data Consolidada'!$E$7:$E$3000))))</f>
        <v/>
      </c>
      <c r="CD43" s="32" t="str">
        <f>+IF(CD$3="","",IF($AY43="","",IFERROR(INDEX('Data Consolidada'!$E$7:$E$891,MATCH(CONCATENATE(CD$3,"-",$CP43,"-",$AY43),'Data Consolidada'!$K$7:$K$891,0)),MAX('Data Consolidada'!$E$7:$E$3000))))</f>
        <v/>
      </c>
      <c r="CE43" s="32" t="str">
        <f>+IF(CE$3="","",IF($AY43="","",IFERROR(INDEX('Data Consolidada'!$E$7:$E$891,MATCH(CONCATENATE(CE$3,"-",$CP43,"-",$AY43),'Data Consolidada'!$K$7:$K$891,0)),MAX('Data Consolidada'!$E$7:$E$3000))))</f>
        <v/>
      </c>
      <c r="CF43" s="32" t="str">
        <f>+IF(CF$3="","",IF($AY43="","",IFERROR(INDEX('Data Consolidada'!$E$7:$E$891,MATCH(CONCATENATE(CF$3,"-",$CP43,"-",$AY43),'Data Consolidada'!$K$7:$K$891,0)),MAX('Data Consolidada'!$E$7:$E$3000))))</f>
        <v/>
      </c>
      <c r="CG43" s="32" t="str">
        <f>+IF(CG$3="","",IF($AY43="","",IFERROR(INDEX('Data Consolidada'!$E$7:$E$891,MATCH(CONCATENATE(CG$3,"-",$CP43,"-",$AY43),'Data Consolidada'!$K$7:$K$891,0)),MAX('Data Consolidada'!$E$7:$E$3000))))</f>
        <v/>
      </c>
      <c r="CH43" s="32" t="str">
        <f>+IF(CH$3="","",IF($AY43="","",IFERROR(INDEX('Data Consolidada'!$E$7:$E$891,MATCH(CONCATENATE(CH$3,"-",$CP43,"-",$AY43),'Data Consolidada'!$K$7:$K$891,0)),MAX('Data Consolidada'!$E$7:$E$3000))))</f>
        <v/>
      </c>
      <c r="CI43" s="32" t="str">
        <f>+IF(CI$3="","",IF($AY43="","",IFERROR(INDEX('Data Consolidada'!$E$7:$E$891,MATCH(CONCATENATE(CI$3,"-",$CP43,"-",$AY43),'Data Consolidada'!$K$7:$K$891,0)),MAX('Data Consolidada'!$E$7:$E$3000))))</f>
        <v/>
      </c>
      <c r="CJ43" s="32" t="str">
        <f>+IF(CJ$3="","",IF($AY43="","",IFERROR(INDEX('Data Consolidada'!$E$7:$E$891,MATCH(CONCATENATE(CJ$3,"-",$CP43,"-",$AY43),'Data Consolidada'!$K$7:$K$891,0)),MAX('Data Consolidada'!$E$7:$E$3000))))</f>
        <v/>
      </c>
      <c r="CK43" s="32" t="str">
        <f>+IF(CK$3="","",IF($AY43="","",IFERROR(INDEX('Data Consolidada'!$E$7:$E$891,MATCH(CONCATENATE(CK$3,"-",$CP43,"-",$AY43),'Data Consolidada'!$K$7:$K$891,0)),MAX('Data Consolidada'!$E$7:$E$3000))))</f>
        <v/>
      </c>
      <c r="CL43" s="32" t="str">
        <f>+IF(CL$3="","",IF($AY43="","",IFERROR(INDEX('Data Consolidada'!$E$7:$E$891,MATCH(CONCATENATE(CL$3,"-",$CP43,"-",$AY43),'Data Consolidada'!$K$7:$K$891,0)),MAX('Data Consolidada'!$E$7:$E$3000))))</f>
        <v/>
      </c>
      <c r="CM43" s="32" t="str">
        <f>+IF(CM$3="","",IF($AY43="","",IFERROR(INDEX('Data Consolidada'!$E$7:$E$891,MATCH(CONCATENATE(CM$3,"-",$CP43,"-",$AY43),'Data Consolidada'!$K$7:$K$891,0)),MAX('Data Consolidada'!$E$7:$E$3000))))</f>
        <v/>
      </c>
      <c r="CN43" s="32" t="str">
        <f>+IF(CN$3="","",IF($AY43="","",IFERROR(INDEX('Data Consolidada'!$E$7:$E$891,MATCH(CONCATENATE(CN$3,"-",$CP43,"-",$AY43),'Data Consolidada'!$K$7:$K$891,0)),MAX('Data Consolidada'!$E$7:$E$3000))))</f>
        <v/>
      </c>
      <c r="CO43" s="37" t="str">
        <f>+IF(CO$3="","",IF($AY43="","",IFERROR(INDEX('Data Consolidada'!$E$7:$E$891,MATCH(CONCATENATE(CO$3,"-",$CP43,"-",$AY43),'Data Consolidada'!$K$7:$K$891,0)),MAX('Data Consolidada'!$E$7:$E$3000))))</f>
        <v/>
      </c>
      <c r="CP43" s="224">
        <f t="shared" ca="1" si="2"/>
        <v>0</v>
      </c>
      <c r="CQ43" s="84" t="str">
        <f t="shared" ca="1" si="3"/>
        <v xml:space="preserve">  TRANS. MORROS LTDA.0</v>
      </c>
    </row>
    <row r="44" spans="2:95" ht="15" customHeight="1" x14ac:dyDescent="0.35">
      <c r="B44" s="46"/>
      <c r="C44" s="5"/>
      <c r="D44" s="15"/>
      <c r="F44" s="257" t="s">
        <v>157</v>
      </c>
      <c r="G44" s="14"/>
      <c r="H44" s="204"/>
      <c r="I44" s="267" t="str">
        <f t="shared" si="6"/>
        <v/>
      </c>
      <c r="J44" s="268" t="str">
        <f t="shared" si="7"/>
        <v/>
      </c>
      <c r="K44" s="268" t="str">
        <f t="shared" si="8"/>
        <v/>
      </c>
      <c r="L44" s="268" t="str">
        <f t="shared" si="9"/>
        <v/>
      </c>
      <c r="M44" s="268" t="str">
        <f t="shared" si="10"/>
        <v/>
      </c>
      <c r="N44" s="268" t="str">
        <f t="shared" si="11"/>
        <v/>
      </c>
      <c r="O44" s="268" t="str">
        <f t="shared" si="12"/>
        <v/>
      </c>
      <c r="P44" s="268" t="str">
        <f t="shared" si="13"/>
        <v/>
      </c>
      <c r="Q44" s="268" t="str">
        <f t="shared" si="20"/>
        <v/>
      </c>
      <c r="R44" s="268" t="str">
        <f t="shared" si="14"/>
        <v/>
      </c>
      <c r="S44" s="268" t="str">
        <f t="shared" si="15"/>
        <v/>
      </c>
      <c r="T44" s="268" t="str">
        <f t="shared" si="16"/>
        <v/>
      </c>
      <c r="U44" s="268" t="str">
        <f t="shared" si="17"/>
        <v/>
      </c>
      <c r="V44" s="269" t="str">
        <f t="shared" si="18"/>
        <v/>
      </c>
      <c r="W44" s="55" cm="1">
        <f t="array" ref="W44">+IFERROR(_xlfn.IFS(F44="Totes",IF(I44="",0,ROUNDUP(I44*$I$11/$G$9,0))+IF(J44="",0,ROUNDUP(J44*$J$11/$G$9,0))+IF(K44="",0,ROUNDUP(K44*$K$11/$G$9,0))+IF(L44="",0,ROUNDUP(L44*$L$11/$G$9,0))+IF(M44="",0,ROUNDUP(M44*$M$11/$G$9,0))+IF(N44="",0,ROUNDUP(N44*$N$11/$G$9,0))+IF(O44="",0,ROUNDUP(O44*$O$11/$G$9,0))+IF(P44="",0,ROUNDUP(P44*$P$11/$G$9,0))+IF(Q44="",0,ROUNDUP(Q44*$Q$11/$G$9,0))+IF(R44="",0,ROUNDUP(R44*$R$11/$G$9,0))+IF(S44="",0,ROUNDUP(S44*$S$11/$G$9,0))+IF(T44="",0,ROUNDUP(T44*$T$11/$G$9,0))+IF(U44="",0,ROUNDUP(U44*$U$11/$G$9,0))+IF(V44="",0,ROUNDUP(V44*$V$11/$G$9,0)),F44="Mini Bins",IF(I44="",0,ROUNDUP(I44*$I$11/$J$6,0))+IF(J44="",0,ROUNDUP(J44*$J$11/$J$6,0))+IF(K44="",0,ROUNDUP(K44*$K$11/$J$6,0))+IF(L44="",0,ROUNDUP(L44*$L$11/$J$6,0))+IF(M44="",0,ROUNDUP(M44*$M$11/$J$6,0))+IF(N44="",0,ROUNDUP(N44*$N$11/$J$6,0))+IF(O44="",0,ROUNDUP(O44*$O$11/$J$6,0))+IF(P44="",0,ROUNDUP(P44*$P$11/$J$6,0))+IF(Q44="",0,ROUNDUP(Q44*$Q$11/$J$6,0))+IF(R44="",0,ROUNDUP(R44*$R$11/$J$6,0))+IF(S44="",0,ROUNDUP(S44*$S$11/$J$6,0))+IF(T44="",0,ROUNDUP(T44*$T$11/$J$6,0))+IF(U44="",0,ROUNDUP(U44*$U$11/$J$6,0))+IF(V44="",0,ROUNDUP(V44*$V$11/$J$6,0))),0)</f>
        <v>0</v>
      </c>
      <c r="X44" s="254">
        <f t="shared" si="19"/>
        <v>0</v>
      </c>
      <c r="Z44" s="245"/>
      <c r="AA44" s="247"/>
      <c r="AB44" s="254" cm="1">
        <f t="array" aca="1" ref="AB44" ca="1">+SUM(IF($B$72:$B$217=Z44,$C$72:$AR$217))</f>
        <v>0</v>
      </c>
      <c r="AC44" s="211">
        <f t="shared" ca="1" si="4"/>
        <v>0</v>
      </c>
      <c r="AF44" s="14"/>
      <c r="AG44" s="204"/>
      <c r="AH44" s="228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6"/>
      <c r="AU44" s="229"/>
      <c r="AW44" s="13">
        <f>+IF(AX44="","",IF(AX44&gt;AX43,AW43,IF(AW43&lt;$D$69,AW43+1,IF(COUNT(AW$4:AW43)&lt;$B$69*$E$54,1,""))))</f>
        <v>4</v>
      </c>
      <c r="AX44" s="13">
        <f>+IF(AX43&lt;$B$69,AX43+1,IF(COUNT(AX$4:AX43)&lt;$B$69*$D$69,1,""))</f>
        <v>2</v>
      </c>
      <c r="AY44" s="189" t="str">
        <f t="shared" ca="1" si="1"/>
        <v xml:space="preserve">CRISTIAN LÓPEZ </v>
      </c>
      <c r="AZ44" s="36">
        <f ca="1">+IF(AZ$3="","",IF($AY44="","",IFERROR(INDEX('Data Consolidada'!$E$7:$E$891,MATCH(CONCATENATE(AZ$3,"-",$CP44,"-",$AY44),'Data Consolidada'!$K$7:$K$891,0)),MAX('Data Consolidada'!$E$7:$E$3000))))</f>
        <v>11000000</v>
      </c>
      <c r="BA44" s="32">
        <f ca="1">+IF(BA$3="","",IF($AY44="","",IFERROR(INDEX('Data Consolidada'!$E$7:$E$891,MATCH(CONCATENATE(BA$3,"-",$CP44,"-",$AY44),'Data Consolidada'!$K$7:$K$891,0)),MAX('Data Consolidada'!$E$7:$E$3000))))</f>
        <v>11000000</v>
      </c>
      <c r="BB44" s="32" t="str">
        <f>+IF(BB$3="","",IF($AY44="","",IFERROR(INDEX('Data Consolidada'!$E$7:$E$891,MATCH(CONCATENATE(BB$3,"-",$CP44,"-",$AY44),'Data Consolidada'!$K$7:$K$891,0)),MAX('Data Consolidada'!$E$7:$E$3000))))</f>
        <v/>
      </c>
      <c r="BC44" s="32" t="str">
        <f>+IF(BC$3="","",IF($AY44="","",IFERROR(INDEX('Data Consolidada'!$E$7:$E$891,MATCH(CONCATENATE(BC$3,"-",$CP44,"-",$AY44),'Data Consolidada'!$K$7:$K$891,0)),MAX('Data Consolidada'!$E$7:$E$3000))))</f>
        <v/>
      </c>
      <c r="BD44" s="32" t="str">
        <f>+IF(BD$3="","",IF($AY44="","",IFERROR(INDEX('Data Consolidada'!$E$7:$E$891,MATCH(CONCATENATE(BD$3,"-",$CP44,"-",$AY44),'Data Consolidada'!$K$7:$K$891,0)),MAX('Data Consolidada'!$E$7:$E$3000))))</f>
        <v/>
      </c>
      <c r="BE44" s="32" t="str">
        <f>+IF(BE$3="","",IF($AY44="","",IFERROR(INDEX('Data Consolidada'!$E$7:$E$891,MATCH(CONCATENATE(BE$3,"-",$CP44,"-",$AY44),'Data Consolidada'!$K$7:$K$891,0)),MAX('Data Consolidada'!$E$7:$E$3000))))</f>
        <v/>
      </c>
      <c r="BF44" s="32" t="str">
        <f>+IF(BF$3="","",IF($AY44="","",IFERROR(INDEX('Data Consolidada'!$E$7:$E$891,MATCH(CONCATENATE(BF$3,"-",$CP44,"-",$AY44),'Data Consolidada'!$K$7:$K$891,0)),MAX('Data Consolidada'!$E$7:$E$3000))))</f>
        <v/>
      </c>
      <c r="BG44" s="32" t="str">
        <f>+IF(BG$3="","",IF($AY44="","",IFERROR(INDEX('Data Consolidada'!$E$7:$E$891,MATCH(CONCATENATE(BG$3,"-",$CP44,"-",$AY44),'Data Consolidada'!$K$7:$K$891,0)),MAX('Data Consolidada'!$E$7:$E$3000))))</f>
        <v/>
      </c>
      <c r="BH44" s="32" t="str">
        <f>+IF(BH$3="","",IF($AY44="","",IFERROR(INDEX('Data Consolidada'!$E$7:$E$891,MATCH(CONCATENATE(BH$3,"-",$CP44,"-",$AY44),'Data Consolidada'!$K$7:$K$891,0)),MAX('Data Consolidada'!$E$7:$E$3000))))</f>
        <v/>
      </c>
      <c r="BI44" s="32" t="str">
        <f>+IF(BI$3="","",IF($AY44="","",IFERROR(INDEX('Data Consolidada'!$E$7:$E$891,MATCH(CONCATENATE(BI$3,"-",$CP44,"-",$AY44),'Data Consolidada'!$K$7:$K$891,0)),MAX('Data Consolidada'!$E$7:$E$3000))))</f>
        <v/>
      </c>
      <c r="BJ44" s="32" t="str">
        <f>+IF(BJ$3="","",IF($AY44="","",IFERROR(INDEX('Data Consolidada'!$E$7:$E$891,MATCH(CONCATENATE(BJ$3,"-",$CP44,"-",$AY44),'Data Consolidada'!$K$7:$K$891,0)),MAX('Data Consolidada'!$E$7:$E$3000))))</f>
        <v/>
      </c>
      <c r="BK44" s="32" t="str">
        <f>+IF(BK$3="","",IF($AY44="","",IFERROR(INDEX('Data Consolidada'!$E$7:$E$891,MATCH(CONCATENATE(BK$3,"-",$CP44,"-",$AY44),'Data Consolidada'!$K$7:$K$891,0)),MAX('Data Consolidada'!$E$7:$E$3000))))</f>
        <v/>
      </c>
      <c r="BL44" s="32" t="str">
        <f>+IF(BL$3="","",IF($AY44="","",IFERROR(INDEX('Data Consolidada'!$E$7:$E$891,MATCH(CONCATENATE(BL$3,"-",$CP44,"-",$AY44),'Data Consolidada'!$K$7:$K$891,0)),MAX('Data Consolidada'!$E$7:$E$3000))))</f>
        <v/>
      </c>
      <c r="BM44" s="32" t="str">
        <f>+IF(BM$3="","",IF($AY44="","",IFERROR(INDEX('Data Consolidada'!$E$7:$E$891,MATCH(CONCATENATE(BM$3,"-",$CP44,"-",$AY44),'Data Consolidada'!$K$7:$K$891,0)),MAX('Data Consolidada'!$E$7:$E$3000))))</f>
        <v/>
      </c>
      <c r="BN44" s="32" t="str">
        <f>+IF(BN$3="","",IF($AY44="","",IFERROR(INDEX('Data Consolidada'!$E$7:$E$891,MATCH(CONCATENATE(BN$3,"-",$CP44,"-",$AY44),'Data Consolidada'!$K$7:$K$891,0)),MAX('Data Consolidada'!$E$7:$E$3000))))</f>
        <v/>
      </c>
      <c r="BO44" s="32" t="str">
        <f>+IF(BO$3="","",IF($AY44="","",IFERROR(INDEX('Data Consolidada'!$E$7:$E$891,MATCH(CONCATENATE(BO$3,"-",$CP44,"-",$AY44),'Data Consolidada'!$K$7:$K$891,0)),MAX('Data Consolidada'!$E$7:$E$3000))))</f>
        <v/>
      </c>
      <c r="BP44" s="32" t="str">
        <f>+IF(BP$3="","",IF($AY44="","",IFERROR(INDEX('Data Consolidada'!$E$7:$E$891,MATCH(CONCATENATE(BP$3,"-",$CP44,"-",$AY44),'Data Consolidada'!$K$7:$K$891,0)),MAX('Data Consolidada'!$E$7:$E$3000))))</f>
        <v/>
      </c>
      <c r="BQ44" s="32" t="str">
        <f>+IF(BQ$3="","",IF($AY44="","",IFERROR(INDEX('Data Consolidada'!$E$7:$E$891,MATCH(CONCATENATE(BQ$3,"-",$CP44,"-",$AY44),'Data Consolidada'!$K$7:$K$891,0)),MAX('Data Consolidada'!$E$7:$E$3000))))</f>
        <v/>
      </c>
      <c r="BR44" s="32" t="str">
        <f>+IF(BR$3="","",IF($AY44="","",IFERROR(INDEX('Data Consolidada'!$E$7:$E$891,MATCH(CONCATENATE(BR$3,"-",$CP44,"-",$AY44),'Data Consolidada'!$K$7:$K$891,0)),MAX('Data Consolidada'!$E$7:$E$3000))))</f>
        <v/>
      </c>
      <c r="BS44" s="32" t="str">
        <f>+IF(BS$3="","",IF($AY44="","",IFERROR(INDEX('Data Consolidada'!$E$7:$E$891,MATCH(CONCATENATE(BS$3,"-",$CP44,"-",$AY44),'Data Consolidada'!$K$7:$K$891,0)),MAX('Data Consolidada'!$E$7:$E$3000))))</f>
        <v/>
      </c>
      <c r="BT44" s="32" t="str">
        <f>+IF(BT$3="","",IF($AY44="","",IFERROR(INDEX('Data Consolidada'!$E$7:$E$891,MATCH(CONCATENATE(BT$3,"-",$CP44,"-",$AY44),'Data Consolidada'!$K$7:$K$891,0)),MAX('Data Consolidada'!$E$7:$E$3000))))</f>
        <v/>
      </c>
      <c r="BU44" s="32" t="str">
        <f>+IF(BU$3="","",IF($AY44="","",IFERROR(INDEX('Data Consolidada'!$E$7:$E$891,MATCH(CONCATENATE(BU$3,"-",$CP44,"-",$AY44),'Data Consolidada'!$K$7:$K$891,0)),MAX('Data Consolidada'!$E$7:$E$3000))))</f>
        <v/>
      </c>
      <c r="BV44" s="32" t="str">
        <f>+IF(BV$3="","",IF($AY44="","",IFERROR(INDEX('Data Consolidada'!$E$7:$E$891,MATCH(CONCATENATE(BV$3,"-",$CP44,"-",$AY44),'Data Consolidada'!$K$7:$K$891,0)),MAX('Data Consolidada'!$E$7:$E$3000))))</f>
        <v/>
      </c>
      <c r="BW44" s="32" t="str">
        <f>+IF(BW$3="","",IF($AY44="","",IFERROR(INDEX('Data Consolidada'!$E$7:$E$891,MATCH(CONCATENATE(BW$3,"-",$CP44,"-",$AY44),'Data Consolidada'!$K$7:$K$891,0)),MAX('Data Consolidada'!$E$7:$E$3000))))</f>
        <v/>
      </c>
      <c r="BX44" s="32" t="str">
        <f>+IF(BX$3="","",IF($AY44="","",IFERROR(INDEX('Data Consolidada'!$E$7:$E$891,MATCH(CONCATENATE(BX$3,"-",$CP44,"-",$AY44),'Data Consolidada'!$K$7:$K$891,0)),MAX('Data Consolidada'!$E$7:$E$3000))))</f>
        <v/>
      </c>
      <c r="BY44" s="32" t="str">
        <f>+IF(BY$3="","",IF($AY44="","",IFERROR(INDEX('Data Consolidada'!$E$7:$E$891,MATCH(CONCATENATE(BY$3,"-",$CP44,"-",$AY44),'Data Consolidada'!$K$7:$K$891,0)),MAX('Data Consolidada'!$E$7:$E$3000))))</f>
        <v/>
      </c>
      <c r="BZ44" s="32" t="str">
        <f>+IF(BZ$3="","",IF($AY44="","",IFERROR(INDEX('Data Consolidada'!$E$7:$E$891,MATCH(CONCATENATE(BZ$3,"-",$CP44,"-",$AY44),'Data Consolidada'!$K$7:$K$891,0)),MAX('Data Consolidada'!$E$7:$E$3000))))</f>
        <v/>
      </c>
      <c r="CA44" s="32" t="str">
        <f>+IF(CA$3="","",IF($AY44="","",IFERROR(INDEX('Data Consolidada'!$E$7:$E$891,MATCH(CONCATENATE(CA$3,"-",$CP44,"-",$AY44),'Data Consolidada'!$K$7:$K$891,0)),MAX('Data Consolidada'!$E$7:$E$3000))))</f>
        <v/>
      </c>
      <c r="CB44" s="32" t="str">
        <f>+IF(CB$3="","",IF($AY44="","",IFERROR(INDEX('Data Consolidada'!$E$7:$E$891,MATCH(CONCATENATE(CB$3,"-",$CP44,"-",$AY44),'Data Consolidada'!$K$7:$K$891,0)),MAX('Data Consolidada'!$E$7:$E$3000))))</f>
        <v/>
      </c>
      <c r="CC44" s="32" t="str">
        <f>+IF(CC$3="","",IF($AY44="","",IFERROR(INDEX('Data Consolidada'!$E$7:$E$891,MATCH(CONCATENATE(CC$3,"-",$CP44,"-",$AY44),'Data Consolidada'!$K$7:$K$891,0)),MAX('Data Consolidada'!$E$7:$E$3000))))</f>
        <v/>
      </c>
      <c r="CD44" s="32" t="str">
        <f>+IF(CD$3="","",IF($AY44="","",IFERROR(INDEX('Data Consolidada'!$E$7:$E$891,MATCH(CONCATENATE(CD$3,"-",$CP44,"-",$AY44),'Data Consolidada'!$K$7:$K$891,0)),MAX('Data Consolidada'!$E$7:$E$3000))))</f>
        <v/>
      </c>
      <c r="CE44" s="32" t="str">
        <f>+IF(CE$3="","",IF($AY44="","",IFERROR(INDEX('Data Consolidada'!$E$7:$E$891,MATCH(CONCATENATE(CE$3,"-",$CP44,"-",$AY44),'Data Consolidada'!$K$7:$K$891,0)),MAX('Data Consolidada'!$E$7:$E$3000))))</f>
        <v/>
      </c>
      <c r="CF44" s="32" t="str">
        <f>+IF(CF$3="","",IF($AY44="","",IFERROR(INDEX('Data Consolidada'!$E$7:$E$891,MATCH(CONCATENATE(CF$3,"-",$CP44,"-",$AY44),'Data Consolidada'!$K$7:$K$891,0)),MAX('Data Consolidada'!$E$7:$E$3000))))</f>
        <v/>
      </c>
      <c r="CG44" s="32" t="str">
        <f>+IF(CG$3="","",IF($AY44="","",IFERROR(INDEX('Data Consolidada'!$E$7:$E$891,MATCH(CONCATENATE(CG$3,"-",$CP44,"-",$AY44),'Data Consolidada'!$K$7:$K$891,0)),MAX('Data Consolidada'!$E$7:$E$3000))))</f>
        <v/>
      </c>
      <c r="CH44" s="32" t="str">
        <f>+IF(CH$3="","",IF($AY44="","",IFERROR(INDEX('Data Consolidada'!$E$7:$E$891,MATCH(CONCATENATE(CH$3,"-",$CP44,"-",$AY44),'Data Consolidada'!$K$7:$K$891,0)),MAX('Data Consolidada'!$E$7:$E$3000))))</f>
        <v/>
      </c>
      <c r="CI44" s="32" t="str">
        <f>+IF(CI$3="","",IF($AY44="","",IFERROR(INDEX('Data Consolidada'!$E$7:$E$891,MATCH(CONCATENATE(CI$3,"-",$CP44,"-",$AY44),'Data Consolidada'!$K$7:$K$891,0)),MAX('Data Consolidada'!$E$7:$E$3000))))</f>
        <v/>
      </c>
      <c r="CJ44" s="32" t="str">
        <f>+IF(CJ$3="","",IF($AY44="","",IFERROR(INDEX('Data Consolidada'!$E$7:$E$891,MATCH(CONCATENATE(CJ$3,"-",$CP44,"-",$AY44),'Data Consolidada'!$K$7:$K$891,0)),MAX('Data Consolidada'!$E$7:$E$3000))))</f>
        <v/>
      </c>
      <c r="CK44" s="32" t="str">
        <f>+IF(CK$3="","",IF($AY44="","",IFERROR(INDEX('Data Consolidada'!$E$7:$E$891,MATCH(CONCATENATE(CK$3,"-",$CP44,"-",$AY44),'Data Consolidada'!$K$7:$K$891,0)),MAX('Data Consolidada'!$E$7:$E$3000))))</f>
        <v/>
      </c>
      <c r="CL44" s="32" t="str">
        <f>+IF(CL$3="","",IF($AY44="","",IFERROR(INDEX('Data Consolidada'!$E$7:$E$891,MATCH(CONCATENATE(CL$3,"-",$CP44,"-",$AY44),'Data Consolidada'!$K$7:$K$891,0)),MAX('Data Consolidada'!$E$7:$E$3000))))</f>
        <v/>
      </c>
      <c r="CM44" s="32" t="str">
        <f>+IF(CM$3="","",IF($AY44="","",IFERROR(INDEX('Data Consolidada'!$E$7:$E$891,MATCH(CONCATENATE(CM$3,"-",$CP44,"-",$AY44),'Data Consolidada'!$K$7:$K$891,0)),MAX('Data Consolidada'!$E$7:$E$3000))))</f>
        <v/>
      </c>
      <c r="CN44" s="32" t="str">
        <f>+IF(CN$3="","",IF($AY44="","",IFERROR(INDEX('Data Consolidada'!$E$7:$E$891,MATCH(CONCATENATE(CN$3,"-",$CP44,"-",$AY44),'Data Consolidada'!$K$7:$K$891,0)),MAX('Data Consolidada'!$E$7:$E$3000))))</f>
        <v/>
      </c>
      <c r="CO44" s="37" t="str">
        <f>+IF(CO$3="","",IF($AY44="","",IFERROR(INDEX('Data Consolidada'!$E$7:$E$891,MATCH(CONCATENATE(CO$3,"-",$CP44,"-",$AY44),'Data Consolidada'!$K$7:$K$891,0)),MAX('Data Consolidada'!$E$7:$E$3000))))</f>
        <v/>
      </c>
      <c r="CP44" s="224">
        <f t="shared" ca="1" si="2"/>
        <v>0</v>
      </c>
      <c r="CQ44" s="84" t="str">
        <f t="shared" ca="1" si="3"/>
        <v>CRISTIAN LÓPEZ 0</v>
      </c>
    </row>
    <row r="45" spans="2:95" ht="15" customHeight="1" x14ac:dyDescent="0.35">
      <c r="B45" s="46"/>
      <c r="C45" s="5"/>
      <c r="D45" s="15"/>
      <c r="F45" s="257" t="s">
        <v>157</v>
      </c>
      <c r="G45" s="14"/>
      <c r="H45" s="204"/>
      <c r="I45" s="267" t="str">
        <f t="shared" ref="I45:I68" si="21">+IF(SUMIFS(AH$3:AH$58,$AG$3:$AG$58,$H45,$AF$3:$AF$58,$G45)=0,"",SUMIFS(AH$3:AH$58,$AG$3:$AG$58,$H45,$AF$3:$AF$58,$G45))</f>
        <v/>
      </c>
      <c r="J45" s="268" t="str">
        <f t="shared" ref="J45:J68" si="22">+IF(SUMIFS(AI$3:AI$58,$AG$3:$AG$58,$H45,$AF$3:$AF$58,$G45)=0,"",SUMIFS(AI$3:AI$58,$AG$3:$AG$58,$H45,$AF$3:$AF$58,$G45))</f>
        <v/>
      </c>
      <c r="K45" s="268" t="str">
        <f t="shared" ref="K45:K68" si="23">+IF(SUMIFS(AJ$3:AJ$58,$AG$3:$AG$58,$H45,$AF$3:$AF$58,$G45)=0,"",SUMIFS(AJ$3:AJ$58,$AG$3:$AG$58,$H45,$AF$3:$AF$58,$G45))</f>
        <v/>
      </c>
      <c r="L45" s="268" t="str">
        <f t="shared" ref="L45:L68" si="24">+IF(SUMIFS(AK$3:AK$58,$AG$3:$AG$58,$H45,$AF$3:$AF$58,$G45)=0,"",SUMIFS(AK$3:AK$58,$AG$3:$AG$58,$H45,$AF$3:$AF$58,$G45))</f>
        <v/>
      </c>
      <c r="M45" s="268" t="str">
        <f t="shared" ref="M45:M68" si="25">+IF(SUMIFS(AL$3:AL$58,$AG$3:$AG$58,$H45,$AF$3:$AF$58,$G45)=0,"",SUMIFS(AL$3:AL$58,$AG$3:$AG$58,$H45,$AF$3:$AF$58,$G45))</f>
        <v/>
      </c>
      <c r="N45" s="268" t="str">
        <f t="shared" ref="N45:N68" si="26">+IF(SUMIFS(AM$3:AM$58,$AG$3:$AG$58,$H45,$AF$3:$AF$58,$G45)=0,"",SUMIFS(AM$3:AM$58,$AG$3:$AG$58,$H45,$AF$3:$AF$58,$G45))</f>
        <v/>
      </c>
      <c r="O45" s="268" t="str">
        <f t="shared" ref="O45:O68" si="27">+IF(SUMIFS(AN$3:AN$58,$AG$3:$AG$58,$H45,$AF$3:$AF$58,$G45)=0,"",SUMIFS(AN$3:AN$58,$AG$3:$AG$58,$H45,$AF$3:$AF$58,$G45))</f>
        <v/>
      </c>
      <c r="P45" s="268" t="str">
        <f t="shared" ref="P45:P68" si="28">+IF(SUMIFS(AO$3:AO$58,$AG$3:$AG$58,$H45,$AF$3:$AF$58,$G45)=0,"",SUMIFS(AO$3:AO$58,$AG$3:$AG$58,$H45,$AF$3:$AF$58,$G45))</f>
        <v/>
      </c>
      <c r="Q45" s="268" t="str">
        <f t="shared" ref="Q45:Q68" si="29">+IF(SUMIFS(AP$3:AP$58,$AG$3:$AG$58,$H45,$AF$3:$AF$58,$G45)=0,"",SUMIFS(AP$3:AP$58,$AG$3:$AG$58,$H45,$AF$3:$AF$58,$G45))</f>
        <v/>
      </c>
      <c r="R45" s="268" t="str">
        <f t="shared" ref="R45:R68" si="30">+IF(SUMIFS(AQ$3:AQ$58,$AG$3:$AG$58,$H45,$AF$3:$AF$58,$G45)=0,"",SUMIFS(AQ$3:AQ$58,$AG$3:$AG$58,$H45,$AF$3:$AF$58,$G45))</f>
        <v/>
      </c>
      <c r="S45" s="268" t="str">
        <f t="shared" ref="S45:S68" si="31">+IF(SUMIFS(AR$3:AR$58,$AG$3:$AG$58,$H45,$AF$3:$AF$58,$G45)=0,"",SUMIFS(AR$3:AR$58,$AG$3:$AG$58,$H45,$AF$3:$AF$58,$G45))</f>
        <v/>
      </c>
      <c r="T45" s="268" t="str">
        <f t="shared" ref="T45:T68" si="32">+IF(SUMIFS(AS$3:AS$58,$AG$3:$AG$58,$H45,$AF$3:$AF$58,$G45)=0,"",SUMIFS(AS$3:AS$58,$AG$3:$AG$58,$H45,$AF$3:$AF$58,$G45))</f>
        <v/>
      </c>
      <c r="U45" s="268" t="str">
        <f t="shared" ref="U45:U68" si="33">+IF(SUMIFS(AT$3:AT$58,$AG$3:$AG$58,$H45,$AF$3:$AF$58,$G45)=0,"",SUMIFS(AT$3:AT$58,$AG$3:$AG$58,$H45,$AF$3:$AF$58,$G45))</f>
        <v/>
      </c>
      <c r="V45" s="269" t="str">
        <f t="shared" ref="V45:V68" si="34">+IF(SUMIFS(AU$3:AU$58,$AG$3:$AG$58,$H45,$AF$3:$AF$58,$G45)=0,"",SUMIFS(AU$3:AU$58,$AG$3:$AG$58,$H45,$AF$3:$AF$58,$G45))</f>
        <v/>
      </c>
      <c r="W45" s="55" cm="1">
        <f t="array" ref="W45">+IFERROR(_xlfn.IFS(F45="Totes",IF(I45="",0,ROUNDUP(I45*$I$11/$G$9,0))+IF(J45="",0,ROUNDUP(J45*$J$11/$G$9,0))+IF(K45="",0,ROUNDUP(K45*$K$11/$G$9,0))+IF(L45="",0,ROUNDUP(L45*$L$11/$G$9,0))+IF(M45="",0,ROUNDUP(M45*$M$11/$G$9,0))+IF(N45="",0,ROUNDUP(N45*$N$11/$G$9,0))+IF(O45="",0,ROUNDUP(O45*$O$11/$G$9,0))+IF(P45="",0,ROUNDUP(P45*$P$11/$G$9,0))+IF(Q45="",0,ROUNDUP(Q45*$Q$11/$G$9,0))+IF(R45="",0,ROUNDUP(R45*$R$11/$G$9,0))+IF(S45="",0,ROUNDUP(S45*$S$11/$G$9,0))+IF(T45="",0,ROUNDUP(T45*$T$11/$G$9,0))+IF(U45="",0,ROUNDUP(U45*$U$11/$G$9,0))+IF(V45="",0,ROUNDUP(V45*$V$11/$G$9,0)),F45="Mini Bins",IF(I45="",0,ROUNDUP(I45*$I$11/$J$6,0))+IF(J45="",0,ROUNDUP(J45*$J$11/$J$6,0))+IF(K45="",0,ROUNDUP(K45*$K$11/$J$6,0))+IF(L45="",0,ROUNDUP(L45*$L$11/$J$6,0))+IF(M45="",0,ROUNDUP(M45*$M$11/$J$6,0))+IF(N45="",0,ROUNDUP(N45*$N$11/$J$6,0))+IF(O45="",0,ROUNDUP(O45*$O$11/$J$6,0))+IF(P45="",0,ROUNDUP(P45*$P$11/$J$6,0))+IF(Q45="",0,ROUNDUP(Q45*$Q$11/$J$6,0))+IF(R45="",0,ROUNDUP(R45*$R$11/$J$6,0))+IF(S45="",0,ROUNDUP(S45*$S$11/$J$6,0))+IF(T45="",0,ROUNDUP(T45*$T$11/$J$6,0))+IF(U45="",0,ROUNDUP(U45*$U$11/$J$6,0))+IF(V45="",0,ROUNDUP(V45*$V$11/$J$6,0))),0)</f>
        <v>0</v>
      </c>
      <c r="X45" s="254">
        <f t="shared" si="19"/>
        <v>0</v>
      </c>
      <c r="Z45" s="245"/>
      <c r="AA45" s="247"/>
      <c r="AB45" s="254" cm="1">
        <f t="array" aca="1" ref="AB45" ca="1">+SUM(IF($B$72:$B$217=Z45,$C$72:$AR$217))</f>
        <v>0</v>
      </c>
      <c r="AC45" s="211">
        <f t="shared" ca="1" si="4"/>
        <v>0</v>
      </c>
      <c r="AF45" s="14"/>
      <c r="AG45" s="204"/>
      <c r="AH45" s="228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6"/>
      <c r="AU45" s="229"/>
      <c r="AW45" s="13">
        <f>+IF(AX45="","",IF(AX45&gt;AX44,AW44,IF(AW44&lt;$D$69,AW44+1,IF(COUNT(AW$4:AW44)&lt;$B$69*$E$54,1,""))))</f>
        <v>4</v>
      </c>
      <c r="AX45" s="13">
        <f>+IF(AX44&lt;$B$69,AX44+1,IF(COUNT(AX$4:AX44)&lt;$B$69*$D$69,1,""))</f>
        <v>3</v>
      </c>
      <c r="AY45" s="189" t="str">
        <f t="shared" ca="1" si="1"/>
        <v xml:space="preserve">GUSTAVO ZÚÑIGA </v>
      </c>
      <c r="AZ45" s="36">
        <f ca="1">+IF(AZ$3="","",IF($AY45="","",IFERROR(INDEX('Data Consolidada'!$E$7:$E$891,MATCH(CONCATENATE(AZ$3,"-",$CP45,"-",$AY45),'Data Consolidada'!$K$7:$K$891,0)),MAX('Data Consolidada'!$E$7:$E$3000))))</f>
        <v>11000000</v>
      </c>
      <c r="BA45" s="32">
        <f ca="1">+IF(BA$3="","",IF($AY45="","",IFERROR(INDEX('Data Consolidada'!$E$7:$E$891,MATCH(CONCATENATE(BA$3,"-",$CP45,"-",$AY45),'Data Consolidada'!$K$7:$K$891,0)),MAX('Data Consolidada'!$E$7:$E$3000))))</f>
        <v>11000000</v>
      </c>
      <c r="BB45" s="32" t="str">
        <f>+IF(BB$3="","",IF($AY45="","",IFERROR(INDEX('Data Consolidada'!$E$7:$E$891,MATCH(CONCATENATE(BB$3,"-",$CP45,"-",$AY45),'Data Consolidada'!$K$7:$K$891,0)),MAX('Data Consolidada'!$E$7:$E$3000))))</f>
        <v/>
      </c>
      <c r="BC45" s="32" t="str">
        <f>+IF(BC$3="","",IF($AY45="","",IFERROR(INDEX('Data Consolidada'!$E$7:$E$891,MATCH(CONCATENATE(BC$3,"-",$CP45,"-",$AY45),'Data Consolidada'!$K$7:$K$891,0)),MAX('Data Consolidada'!$E$7:$E$3000))))</f>
        <v/>
      </c>
      <c r="BD45" s="32" t="str">
        <f>+IF(BD$3="","",IF($AY45="","",IFERROR(INDEX('Data Consolidada'!$E$7:$E$891,MATCH(CONCATENATE(BD$3,"-",$CP45,"-",$AY45),'Data Consolidada'!$K$7:$K$891,0)),MAX('Data Consolidada'!$E$7:$E$3000))))</f>
        <v/>
      </c>
      <c r="BE45" s="32" t="str">
        <f>+IF(BE$3="","",IF($AY45="","",IFERROR(INDEX('Data Consolidada'!$E$7:$E$891,MATCH(CONCATENATE(BE$3,"-",$CP45,"-",$AY45),'Data Consolidada'!$K$7:$K$891,0)),MAX('Data Consolidada'!$E$7:$E$3000))))</f>
        <v/>
      </c>
      <c r="BF45" s="32" t="str">
        <f>+IF(BF$3="","",IF($AY45="","",IFERROR(INDEX('Data Consolidada'!$E$7:$E$891,MATCH(CONCATENATE(BF$3,"-",$CP45,"-",$AY45),'Data Consolidada'!$K$7:$K$891,0)),MAX('Data Consolidada'!$E$7:$E$3000))))</f>
        <v/>
      </c>
      <c r="BG45" s="32" t="str">
        <f>+IF(BG$3="","",IF($AY45="","",IFERROR(INDEX('Data Consolidada'!$E$7:$E$891,MATCH(CONCATENATE(BG$3,"-",$CP45,"-",$AY45),'Data Consolidada'!$K$7:$K$891,0)),MAX('Data Consolidada'!$E$7:$E$3000))))</f>
        <v/>
      </c>
      <c r="BH45" s="32" t="str">
        <f>+IF(BH$3="","",IF($AY45="","",IFERROR(INDEX('Data Consolidada'!$E$7:$E$891,MATCH(CONCATENATE(BH$3,"-",$CP45,"-",$AY45),'Data Consolidada'!$K$7:$K$891,0)),MAX('Data Consolidada'!$E$7:$E$3000))))</f>
        <v/>
      </c>
      <c r="BI45" s="32" t="str">
        <f>+IF(BI$3="","",IF($AY45="","",IFERROR(INDEX('Data Consolidada'!$E$7:$E$891,MATCH(CONCATENATE(BI$3,"-",$CP45,"-",$AY45),'Data Consolidada'!$K$7:$K$891,0)),MAX('Data Consolidada'!$E$7:$E$3000))))</f>
        <v/>
      </c>
      <c r="BJ45" s="32" t="str">
        <f>+IF(BJ$3="","",IF($AY45="","",IFERROR(INDEX('Data Consolidada'!$E$7:$E$891,MATCH(CONCATENATE(BJ$3,"-",$CP45,"-",$AY45),'Data Consolidada'!$K$7:$K$891,0)),MAX('Data Consolidada'!$E$7:$E$3000))))</f>
        <v/>
      </c>
      <c r="BK45" s="32" t="str">
        <f>+IF(BK$3="","",IF($AY45="","",IFERROR(INDEX('Data Consolidada'!$E$7:$E$891,MATCH(CONCATENATE(BK$3,"-",$CP45,"-",$AY45),'Data Consolidada'!$K$7:$K$891,0)),MAX('Data Consolidada'!$E$7:$E$3000))))</f>
        <v/>
      </c>
      <c r="BL45" s="32" t="str">
        <f>+IF(BL$3="","",IF($AY45="","",IFERROR(INDEX('Data Consolidada'!$E$7:$E$891,MATCH(CONCATENATE(BL$3,"-",$CP45,"-",$AY45),'Data Consolidada'!$K$7:$K$891,0)),MAX('Data Consolidada'!$E$7:$E$3000))))</f>
        <v/>
      </c>
      <c r="BM45" s="32" t="str">
        <f>+IF(BM$3="","",IF($AY45="","",IFERROR(INDEX('Data Consolidada'!$E$7:$E$891,MATCH(CONCATENATE(BM$3,"-",$CP45,"-",$AY45),'Data Consolidada'!$K$7:$K$891,0)),MAX('Data Consolidada'!$E$7:$E$3000))))</f>
        <v/>
      </c>
      <c r="BN45" s="32" t="str">
        <f>+IF(BN$3="","",IF($AY45="","",IFERROR(INDEX('Data Consolidada'!$E$7:$E$891,MATCH(CONCATENATE(BN$3,"-",$CP45,"-",$AY45),'Data Consolidada'!$K$7:$K$891,0)),MAX('Data Consolidada'!$E$7:$E$3000))))</f>
        <v/>
      </c>
      <c r="BO45" s="32" t="str">
        <f>+IF(BO$3="","",IF($AY45="","",IFERROR(INDEX('Data Consolidada'!$E$7:$E$891,MATCH(CONCATENATE(BO$3,"-",$CP45,"-",$AY45),'Data Consolidada'!$K$7:$K$891,0)),MAX('Data Consolidada'!$E$7:$E$3000))))</f>
        <v/>
      </c>
      <c r="BP45" s="32" t="str">
        <f>+IF(BP$3="","",IF($AY45="","",IFERROR(INDEX('Data Consolidada'!$E$7:$E$891,MATCH(CONCATENATE(BP$3,"-",$CP45,"-",$AY45),'Data Consolidada'!$K$7:$K$891,0)),MAX('Data Consolidada'!$E$7:$E$3000))))</f>
        <v/>
      </c>
      <c r="BQ45" s="32" t="str">
        <f>+IF(BQ$3="","",IF($AY45="","",IFERROR(INDEX('Data Consolidada'!$E$7:$E$891,MATCH(CONCATENATE(BQ$3,"-",$CP45,"-",$AY45),'Data Consolidada'!$K$7:$K$891,0)),MAX('Data Consolidada'!$E$7:$E$3000))))</f>
        <v/>
      </c>
      <c r="BR45" s="32" t="str">
        <f>+IF(BR$3="","",IF($AY45="","",IFERROR(INDEX('Data Consolidada'!$E$7:$E$891,MATCH(CONCATENATE(BR$3,"-",$CP45,"-",$AY45),'Data Consolidada'!$K$7:$K$891,0)),MAX('Data Consolidada'!$E$7:$E$3000))))</f>
        <v/>
      </c>
      <c r="BS45" s="32" t="str">
        <f>+IF(BS$3="","",IF($AY45="","",IFERROR(INDEX('Data Consolidada'!$E$7:$E$891,MATCH(CONCATENATE(BS$3,"-",$CP45,"-",$AY45),'Data Consolidada'!$K$7:$K$891,0)),MAX('Data Consolidada'!$E$7:$E$3000))))</f>
        <v/>
      </c>
      <c r="BT45" s="32" t="str">
        <f>+IF(BT$3="","",IF($AY45="","",IFERROR(INDEX('Data Consolidada'!$E$7:$E$891,MATCH(CONCATENATE(BT$3,"-",$CP45,"-",$AY45),'Data Consolidada'!$K$7:$K$891,0)),MAX('Data Consolidada'!$E$7:$E$3000))))</f>
        <v/>
      </c>
      <c r="BU45" s="32" t="str">
        <f>+IF(BU$3="","",IF($AY45="","",IFERROR(INDEX('Data Consolidada'!$E$7:$E$891,MATCH(CONCATENATE(BU$3,"-",$CP45,"-",$AY45),'Data Consolidada'!$K$7:$K$891,0)),MAX('Data Consolidada'!$E$7:$E$3000))))</f>
        <v/>
      </c>
      <c r="BV45" s="32" t="str">
        <f>+IF(BV$3="","",IF($AY45="","",IFERROR(INDEX('Data Consolidada'!$E$7:$E$891,MATCH(CONCATENATE(BV$3,"-",$CP45,"-",$AY45),'Data Consolidada'!$K$7:$K$891,0)),MAX('Data Consolidada'!$E$7:$E$3000))))</f>
        <v/>
      </c>
      <c r="BW45" s="32" t="str">
        <f>+IF(BW$3="","",IF($AY45="","",IFERROR(INDEX('Data Consolidada'!$E$7:$E$891,MATCH(CONCATENATE(BW$3,"-",$CP45,"-",$AY45),'Data Consolidada'!$K$7:$K$891,0)),MAX('Data Consolidada'!$E$7:$E$3000))))</f>
        <v/>
      </c>
      <c r="BX45" s="32" t="str">
        <f>+IF(BX$3="","",IF($AY45="","",IFERROR(INDEX('Data Consolidada'!$E$7:$E$891,MATCH(CONCATENATE(BX$3,"-",$CP45,"-",$AY45),'Data Consolidada'!$K$7:$K$891,0)),MAX('Data Consolidada'!$E$7:$E$3000))))</f>
        <v/>
      </c>
      <c r="BY45" s="32" t="str">
        <f>+IF(BY$3="","",IF($AY45="","",IFERROR(INDEX('Data Consolidada'!$E$7:$E$891,MATCH(CONCATENATE(BY$3,"-",$CP45,"-",$AY45),'Data Consolidada'!$K$7:$K$891,0)),MAX('Data Consolidada'!$E$7:$E$3000))))</f>
        <v/>
      </c>
      <c r="BZ45" s="32" t="str">
        <f>+IF(BZ$3="","",IF($AY45="","",IFERROR(INDEX('Data Consolidada'!$E$7:$E$891,MATCH(CONCATENATE(BZ$3,"-",$CP45,"-",$AY45),'Data Consolidada'!$K$7:$K$891,0)),MAX('Data Consolidada'!$E$7:$E$3000))))</f>
        <v/>
      </c>
      <c r="CA45" s="32" t="str">
        <f>+IF(CA$3="","",IF($AY45="","",IFERROR(INDEX('Data Consolidada'!$E$7:$E$891,MATCH(CONCATENATE(CA$3,"-",$CP45,"-",$AY45),'Data Consolidada'!$K$7:$K$891,0)),MAX('Data Consolidada'!$E$7:$E$3000))))</f>
        <v/>
      </c>
      <c r="CB45" s="32" t="str">
        <f>+IF(CB$3="","",IF($AY45="","",IFERROR(INDEX('Data Consolidada'!$E$7:$E$891,MATCH(CONCATENATE(CB$3,"-",$CP45,"-",$AY45),'Data Consolidada'!$K$7:$K$891,0)),MAX('Data Consolidada'!$E$7:$E$3000))))</f>
        <v/>
      </c>
      <c r="CC45" s="32" t="str">
        <f>+IF(CC$3="","",IF($AY45="","",IFERROR(INDEX('Data Consolidada'!$E$7:$E$891,MATCH(CONCATENATE(CC$3,"-",$CP45,"-",$AY45),'Data Consolidada'!$K$7:$K$891,0)),MAX('Data Consolidada'!$E$7:$E$3000))))</f>
        <v/>
      </c>
      <c r="CD45" s="32" t="str">
        <f>+IF(CD$3="","",IF($AY45="","",IFERROR(INDEX('Data Consolidada'!$E$7:$E$891,MATCH(CONCATENATE(CD$3,"-",$CP45,"-",$AY45),'Data Consolidada'!$K$7:$K$891,0)),MAX('Data Consolidada'!$E$7:$E$3000))))</f>
        <v/>
      </c>
      <c r="CE45" s="32" t="str">
        <f>+IF(CE$3="","",IF($AY45="","",IFERROR(INDEX('Data Consolidada'!$E$7:$E$891,MATCH(CONCATENATE(CE$3,"-",$CP45,"-",$AY45),'Data Consolidada'!$K$7:$K$891,0)),MAX('Data Consolidada'!$E$7:$E$3000))))</f>
        <v/>
      </c>
      <c r="CF45" s="32" t="str">
        <f>+IF(CF$3="","",IF($AY45="","",IFERROR(INDEX('Data Consolidada'!$E$7:$E$891,MATCH(CONCATENATE(CF$3,"-",$CP45,"-",$AY45),'Data Consolidada'!$K$7:$K$891,0)),MAX('Data Consolidada'!$E$7:$E$3000))))</f>
        <v/>
      </c>
      <c r="CG45" s="32" t="str">
        <f>+IF(CG$3="","",IF($AY45="","",IFERROR(INDEX('Data Consolidada'!$E$7:$E$891,MATCH(CONCATENATE(CG$3,"-",$CP45,"-",$AY45),'Data Consolidada'!$K$7:$K$891,0)),MAX('Data Consolidada'!$E$7:$E$3000))))</f>
        <v/>
      </c>
      <c r="CH45" s="32" t="str">
        <f>+IF(CH$3="","",IF($AY45="","",IFERROR(INDEX('Data Consolidada'!$E$7:$E$891,MATCH(CONCATENATE(CH$3,"-",$CP45,"-",$AY45),'Data Consolidada'!$K$7:$K$891,0)),MAX('Data Consolidada'!$E$7:$E$3000))))</f>
        <v/>
      </c>
      <c r="CI45" s="32" t="str">
        <f>+IF(CI$3="","",IF($AY45="","",IFERROR(INDEX('Data Consolidada'!$E$7:$E$891,MATCH(CONCATENATE(CI$3,"-",$CP45,"-",$AY45),'Data Consolidada'!$K$7:$K$891,0)),MAX('Data Consolidada'!$E$7:$E$3000))))</f>
        <v/>
      </c>
      <c r="CJ45" s="32" t="str">
        <f>+IF(CJ$3="","",IF($AY45="","",IFERROR(INDEX('Data Consolidada'!$E$7:$E$891,MATCH(CONCATENATE(CJ$3,"-",$CP45,"-",$AY45),'Data Consolidada'!$K$7:$K$891,0)),MAX('Data Consolidada'!$E$7:$E$3000))))</f>
        <v/>
      </c>
      <c r="CK45" s="32" t="str">
        <f>+IF(CK$3="","",IF($AY45="","",IFERROR(INDEX('Data Consolidada'!$E$7:$E$891,MATCH(CONCATENATE(CK$3,"-",$CP45,"-",$AY45),'Data Consolidada'!$K$7:$K$891,0)),MAX('Data Consolidada'!$E$7:$E$3000))))</f>
        <v/>
      </c>
      <c r="CL45" s="32" t="str">
        <f>+IF(CL$3="","",IF($AY45="","",IFERROR(INDEX('Data Consolidada'!$E$7:$E$891,MATCH(CONCATENATE(CL$3,"-",$CP45,"-",$AY45),'Data Consolidada'!$K$7:$K$891,0)),MAX('Data Consolidada'!$E$7:$E$3000))))</f>
        <v/>
      </c>
      <c r="CM45" s="32" t="str">
        <f>+IF(CM$3="","",IF($AY45="","",IFERROR(INDEX('Data Consolidada'!$E$7:$E$891,MATCH(CONCATENATE(CM$3,"-",$CP45,"-",$AY45),'Data Consolidada'!$K$7:$K$891,0)),MAX('Data Consolidada'!$E$7:$E$3000))))</f>
        <v/>
      </c>
      <c r="CN45" s="32" t="str">
        <f>+IF(CN$3="","",IF($AY45="","",IFERROR(INDEX('Data Consolidada'!$E$7:$E$891,MATCH(CONCATENATE(CN$3,"-",$CP45,"-",$AY45),'Data Consolidada'!$K$7:$K$891,0)),MAX('Data Consolidada'!$E$7:$E$3000))))</f>
        <v/>
      </c>
      <c r="CO45" s="37" t="str">
        <f>+IF(CO$3="","",IF($AY45="","",IFERROR(INDEX('Data Consolidada'!$E$7:$E$891,MATCH(CONCATENATE(CO$3,"-",$CP45,"-",$AY45),'Data Consolidada'!$K$7:$K$891,0)),MAX('Data Consolidada'!$E$7:$E$3000))))</f>
        <v/>
      </c>
      <c r="CP45" s="224">
        <f t="shared" ca="1" si="2"/>
        <v>0</v>
      </c>
      <c r="CQ45" s="84" t="str">
        <f t="shared" ca="1" si="3"/>
        <v>GUSTAVO ZÚÑIGA 0</v>
      </c>
    </row>
    <row r="46" spans="2:95" ht="15" customHeight="1" x14ac:dyDescent="0.35">
      <c r="B46" s="46"/>
      <c r="C46" s="5"/>
      <c r="D46" s="15"/>
      <c r="F46" s="257" t="s">
        <v>157</v>
      </c>
      <c r="G46" s="14"/>
      <c r="H46" s="204"/>
      <c r="I46" s="267" t="str">
        <f t="shared" si="21"/>
        <v/>
      </c>
      <c r="J46" s="268" t="str">
        <f t="shared" si="22"/>
        <v/>
      </c>
      <c r="K46" s="268" t="str">
        <f t="shared" si="23"/>
        <v/>
      </c>
      <c r="L46" s="268" t="str">
        <f t="shared" si="24"/>
        <v/>
      </c>
      <c r="M46" s="268" t="str">
        <f t="shared" si="25"/>
        <v/>
      </c>
      <c r="N46" s="268" t="str">
        <f t="shared" si="26"/>
        <v/>
      </c>
      <c r="O46" s="268" t="str">
        <f t="shared" si="27"/>
        <v/>
      </c>
      <c r="P46" s="268" t="str">
        <f t="shared" si="28"/>
        <v/>
      </c>
      <c r="Q46" s="268" t="str">
        <f t="shared" si="29"/>
        <v/>
      </c>
      <c r="R46" s="268" t="str">
        <f t="shared" si="30"/>
        <v/>
      </c>
      <c r="S46" s="268" t="str">
        <f t="shared" si="31"/>
        <v/>
      </c>
      <c r="T46" s="268" t="str">
        <f t="shared" si="32"/>
        <v/>
      </c>
      <c r="U46" s="268" t="str">
        <f t="shared" si="33"/>
        <v/>
      </c>
      <c r="V46" s="269" t="str">
        <f t="shared" si="34"/>
        <v/>
      </c>
      <c r="W46" s="55" cm="1">
        <f t="array" ref="W46">+IFERROR(_xlfn.IFS(F46="Totes",IF(I46="",0,ROUNDUP(I46*$I$11/$G$9,0))+IF(J46="",0,ROUNDUP(J46*$J$11/$G$9,0))+IF(K46="",0,ROUNDUP(K46*$K$11/$G$9,0))+IF(L46="",0,ROUNDUP(L46*$L$11/$G$9,0))+IF(M46="",0,ROUNDUP(M46*$M$11/$G$9,0))+IF(N46="",0,ROUNDUP(N46*$N$11/$G$9,0))+IF(O46="",0,ROUNDUP(O46*$O$11/$G$9,0))+IF(P46="",0,ROUNDUP(P46*$P$11/$G$9,0))+IF(Q46="",0,ROUNDUP(Q46*$Q$11/$G$9,0))+IF(R46="",0,ROUNDUP(R46*$R$11/$G$9,0))+IF(S46="",0,ROUNDUP(S46*$S$11/$G$9,0))+IF(T46="",0,ROUNDUP(T46*$T$11/$G$9,0))+IF(U46="",0,ROUNDUP(U46*$U$11/$G$9,0))+IF(V46="",0,ROUNDUP(V46*$V$11/$G$9,0)),F46="Mini Bins",IF(I46="",0,ROUNDUP(I46*$I$11/$J$6,0))+IF(J46="",0,ROUNDUP(J46*$J$11/$J$6,0))+IF(K46="",0,ROUNDUP(K46*$K$11/$J$6,0))+IF(L46="",0,ROUNDUP(L46*$L$11/$J$6,0))+IF(M46="",0,ROUNDUP(M46*$M$11/$J$6,0))+IF(N46="",0,ROUNDUP(N46*$N$11/$J$6,0))+IF(O46="",0,ROUNDUP(O46*$O$11/$J$6,0))+IF(P46="",0,ROUNDUP(P46*$P$11/$J$6,0))+IF(Q46="",0,ROUNDUP(Q46*$Q$11/$J$6,0))+IF(R46="",0,ROUNDUP(R46*$R$11/$J$6,0))+IF(S46="",0,ROUNDUP(S46*$S$11/$J$6,0))+IF(T46="",0,ROUNDUP(T46*$T$11/$J$6,0))+IF(U46="",0,ROUNDUP(U46*$U$11/$J$6,0))+IF(V46="",0,ROUNDUP(V46*$V$11/$J$6,0))),0)</f>
        <v>0</v>
      </c>
      <c r="X46" s="254">
        <f t="shared" si="19"/>
        <v>0</v>
      </c>
      <c r="Z46" s="245"/>
      <c r="AA46" s="247"/>
      <c r="AB46" s="254" cm="1">
        <f t="array" aca="1" ref="AB46" ca="1">+SUM(IF($B$72:$B$217=Z46,$C$72:$AR$217))</f>
        <v>0</v>
      </c>
      <c r="AC46" s="211">
        <f t="shared" ca="1" si="4"/>
        <v>0</v>
      </c>
      <c r="AF46" s="14"/>
      <c r="AG46" s="204"/>
      <c r="AH46" s="228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6"/>
      <c r="AU46" s="229"/>
      <c r="AW46" s="13">
        <f>+IF(AX46="","",IF(AX46&gt;AX45,AW45,IF(AW45&lt;$D$69,AW45+1,IF(COUNT(AW$4:AW45)&lt;$B$69*$E$54,1,""))))</f>
        <v>4</v>
      </c>
      <c r="AX46" s="13">
        <f>+IF(AX45&lt;$B$69,AX45+1,IF(COUNT(AX$4:AX45)&lt;$B$69*$D$69,1,""))</f>
        <v>4</v>
      </c>
      <c r="AY46" s="189" t="str">
        <f t="shared" ca="1" si="1"/>
        <v>LAVALLE</v>
      </c>
      <c r="AZ46" s="36">
        <f ca="1">+IF(AZ$3="","",IF($AY46="","",IFERROR(INDEX('Data Consolidada'!$E$7:$E$891,MATCH(CONCATENATE(AZ$3,"-",$CP46,"-",$AY46),'Data Consolidada'!$K$7:$K$891,0)),MAX('Data Consolidada'!$E$7:$E$3000))))</f>
        <v>11000000</v>
      </c>
      <c r="BA46" s="32">
        <f ca="1">+IF(BA$3="","",IF($AY46="","",IFERROR(INDEX('Data Consolidada'!$E$7:$E$891,MATCH(CONCATENATE(BA$3,"-",$CP46,"-",$AY46),'Data Consolidada'!$K$7:$K$891,0)),MAX('Data Consolidada'!$E$7:$E$3000))))</f>
        <v>11000000</v>
      </c>
      <c r="BB46" s="32" t="str">
        <f>+IF(BB$3="","",IF($AY46="","",IFERROR(INDEX('Data Consolidada'!$E$7:$E$891,MATCH(CONCATENATE(BB$3,"-",$CP46,"-",$AY46),'Data Consolidada'!$K$7:$K$891,0)),MAX('Data Consolidada'!$E$7:$E$3000))))</f>
        <v/>
      </c>
      <c r="BC46" s="32" t="str">
        <f>+IF(BC$3="","",IF($AY46="","",IFERROR(INDEX('Data Consolidada'!$E$7:$E$891,MATCH(CONCATENATE(BC$3,"-",$CP46,"-",$AY46),'Data Consolidada'!$K$7:$K$891,0)),MAX('Data Consolidada'!$E$7:$E$3000))))</f>
        <v/>
      </c>
      <c r="BD46" s="32" t="str">
        <f>+IF(BD$3="","",IF($AY46="","",IFERROR(INDEX('Data Consolidada'!$E$7:$E$891,MATCH(CONCATENATE(BD$3,"-",$CP46,"-",$AY46),'Data Consolidada'!$K$7:$K$891,0)),MAX('Data Consolidada'!$E$7:$E$3000))))</f>
        <v/>
      </c>
      <c r="BE46" s="32" t="str">
        <f>+IF(BE$3="","",IF($AY46="","",IFERROR(INDEX('Data Consolidada'!$E$7:$E$891,MATCH(CONCATENATE(BE$3,"-",$CP46,"-",$AY46),'Data Consolidada'!$K$7:$K$891,0)),MAX('Data Consolidada'!$E$7:$E$3000))))</f>
        <v/>
      </c>
      <c r="BF46" s="32" t="str">
        <f>+IF(BF$3="","",IF($AY46="","",IFERROR(INDEX('Data Consolidada'!$E$7:$E$891,MATCH(CONCATENATE(BF$3,"-",$CP46,"-",$AY46),'Data Consolidada'!$K$7:$K$891,0)),MAX('Data Consolidada'!$E$7:$E$3000))))</f>
        <v/>
      </c>
      <c r="BG46" s="32" t="str">
        <f>+IF(BG$3="","",IF($AY46="","",IFERROR(INDEX('Data Consolidada'!$E$7:$E$891,MATCH(CONCATENATE(BG$3,"-",$CP46,"-",$AY46),'Data Consolidada'!$K$7:$K$891,0)),MAX('Data Consolidada'!$E$7:$E$3000))))</f>
        <v/>
      </c>
      <c r="BH46" s="32" t="str">
        <f>+IF(BH$3="","",IF($AY46="","",IFERROR(INDEX('Data Consolidada'!$E$7:$E$891,MATCH(CONCATENATE(BH$3,"-",$CP46,"-",$AY46),'Data Consolidada'!$K$7:$K$891,0)),MAX('Data Consolidada'!$E$7:$E$3000))))</f>
        <v/>
      </c>
      <c r="BI46" s="32" t="str">
        <f>+IF(BI$3="","",IF($AY46="","",IFERROR(INDEX('Data Consolidada'!$E$7:$E$891,MATCH(CONCATENATE(BI$3,"-",$CP46,"-",$AY46),'Data Consolidada'!$K$7:$K$891,0)),MAX('Data Consolidada'!$E$7:$E$3000))))</f>
        <v/>
      </c>
      <c r="BJ46" s="32" t="str">
        <f>+IF(BJ$3="","",IF($AY46="","",IFERROR(INDEX('Data Consolidada'!$E$7:$E$891,MATCH(CONCATENATE(BJ$3,"-",$CP46,"-",$AY46),'Data Consolidada'!$K$7:$K$891,0)),MAX('Data Consolidada'!$E$7:$E$3000))))</f>
        <v/>
      </c>
      <c r="BK46" s="32" t="str">
        <f>+IF(BK$3="","",IF($AY46="","",IFERROR(INDEX('Data Consolidada'!$E$7:$E$891,MATCH(CONCATENATE(BK$3,"-",$CP46,"-",$AY46),'Data Consolidada'!$K$7:$K$891,0)),MAX('Data Consolidada'!$E$7:$E$3000))))</f>
        <v/>
      </c>
      <c r="BL46" s="32" t="str">
        <f>+IF(BL$3="","",IF($AY46="","",IFERROR(INDEX('Data Consolidada'!$E$7:$E$891,MATCH(CONCATENATE(BL$3,"-",$CP46,"-",$AY46),'Data Consolidada'!$K$7:$K$891,0)),MAX('Data Consolidada'!$E$7:$E$3000))))</f>
        <v/>
      </c>
      <c r="BM46" s="32" t="str">
        <f>+IF(BM$3="","",IF($AY46="","",IFERROR(INDEX('Data Consolidada'!$E$7:$E$891,MATCH(CONCATENATE(BM$3,"-",$CP46,"-",$AY46),'Data Consolidada'!$K$7:$K$891,0)),MAX('Data Consolidada'!$E$7:$E$3000))))</f>
        <v/>
      </c>
      <c r="BN46" s="32" t="str">
        <f>+IF(BN$3="","",IF($AY46="","",IFERROR(INDEX('Data Consolidada'!$E$7:$E$891,MATCH(CONCATENATE(BN$3,"-",$CP46,"-",$AY46),'Data Consolidada'!$K$7:$K$891,0)),MAX('Data Consolidada'!$E$7:$E$3000))))</f>
        <v/>
      </c>
      <c r="BO46" s="32" t="str">
        <f>+IF(BO$3="","",IF($AY46="","",IFERROR(INDEX('Data Consolidada'!$E$7:$E$891,MATCH(CONCATENATE(BO$3,"-",$CP46,"-",$AY46),'Data Consolidada'!$K$7:$K$891,0)),MAX('Data Consolidada'!$E$7:$E$3000))))</f>
        <v/>
      </c>
      <c r="BP46" s="32" t="str">
        <f>+IF(BP$3="","",IF($AY46="","",IFERROR(INDEX('Data Consolidada'!$E$7:$E$891,MATCH(CONCATENATE(BP$3,"-",$CP46,"-",$AY46),'Data Consolidada'!$K$7:$K$891,0)),MAX('Data Consolidada'!$E$7:$E$3000))))</f>
        <v/>
      </c>
      <c r="BQ46" s="32" t="str">
        <f>+IF(BQ$3="","",IF($AY46="","",IFERROR(INDEX('Data Consolidada'!$E$7:$E$891,MATCH(CONCATENATE(BQ$3,"-",$CP46,"-",$AY46),'Data Consolidada'!$K$7:$K$891,0)),MAX('Data Consolidada'!$E$7:$E$3000))))</f>
        <v/>
      </c>
      <c r="BR46" s="32" t="str">
        <f>+IF(BR$3="","",IF($AY46="","",IFERROR(INDEX('Data Consolidada'!$E$7:$E$891,MATCH(CONCATENATE(BR$3,"-",$CP46,"-",$AY46),'Data Consolidada'!$K$7:$K$891,0)),MAX('Data Consolidada'!$E$7:$E$3000))))</f>
        <v/>
      </c>
      <c r="BS46" s="32" t="str">
        <f>+IF(BS$3="","",IF($AY46="","",IFERROR(INDEX('Data Consolidada'!$E$7:$E$891,MATCH(CONCATENATE(BS$3,"-",$CP46,"-",$AY46),'Data Consolidada'!$K$7:$K$891,0)),MAX('Data Consolidada'!$E$7:$E$3000))))</f>
        <v/>
      </c>
      <c r="BT46" s="32" t="str">
        <f>+IF(BT$3="","",IF($AY46="","",IFERROR(INDEX('Data Consolidada'!$E$7:$E$891,MATCH(CONCATENATE(BT$3,"-",$CP46,"-",$AY46),'Data Consolidada'!$K$7:$K$891,0)),MAX('Data Consolidada'!$E$7:$E$3000))))</f>
        <v/>
      </c>
      <c r="BU46" s="32" t="str">
        <f>+IF(BU$3="","",IF($AY46="","",IFERROR(INDEX('Data Consolidada'!$E$7:$E$891,MATCH(CONCATENATE(BU$3,"-",$CP46,"-",$AY46),'Data Consolidada'!$K$7:$K$891,0)),MAX('Data Consolidada'!$E$7:$E$3000))))</f>
        <v/>
      </c>
      <c r="BV46" s="32" t="str">
        <f>+IF(BV$3="","",IF($AY46="","",IFERROR(INDEX('Data Consolidada'!$E$7:$E$891,MATCH(CONCATENATE(BV$3,"-",$CP46,"-",$AY46),'Data Consolidada'!$K$7:$K$891,0)),MAX('Data Consolidada'!$E$7:$E$3000))))</f>
        <v/>
      </c>
      <c r="BW46" s="32" t="str">
        <f>+IF(BW$3="","",IF($AY46="","",IFERROR(INDEX('Data Consolidada'!$E$7:$E$891,MATCH(CONCATENATE(BW$3,"-",$CP46,"-",$AY46),'Data Consolidada'!$K$7:$K$891,0)),MAX('Data Consolidada'!$E$7:$E$3000))))</f>
        <v/>
      </c>
      <c r="BX46" s="32" t="str">
        <f>+IF(BX$3="","",IF($AY46="","",IFERROR(INDEX('Data Consolidada'!$E$7:$E$891,MATCH(CONCATENATE(BX$3,"-",$CP46,"-",$AY46),'Data Consolidada'!$K$7:$K$891,0)),MAX('Data Consolidada'!$E$7:$E$3000))))</f>
        <v/>
      </c>
      <c r="BY46" s="32" t="str">
        <f>+IF(BY$3="","",IF($AY46="","",IFERROR(INDEX('Data Consolidada'!$E$7:$E$891,MATCH(CONCATENATE(BY$3,"-",$CP46,"-",$AY46),'Data Consolidada'!$K$7:$K$891,0)),MAX('Data Consolidada'!$E$7:$E$3000))))</f>
        <v/>
      </c>
      <c r="BZ46" s="32" t="str">
        <f>+IF(BZ$3="","",IF($AY46="","",IFERROR(INDEX('Data Consolidada'!$E$7:$E$891,MATCH(CONCATENATE(BZ$3,"-",$CP46,"-",$AY46),'Data Consolidada'!$K$7:$K$891,0)),MAX('Data Consolidada'!$E$7:$E$3000))))</f>
        <v/>
      </c>
      <c r="CA46" s="32" t="str">
        <f>+IF(CA$3="","",IF($AY46="","",IFERROR(INDEX('Data Consolidada'!$E$7:$E$891,MATCH(CONCATENATE(CA$3,"-",$CP46,"-",$AY46),'Data Consolidada'!$K$7:$K$891,0)),MAX('Data Consolidada'!$E$7:$E$3000))))</f>
        <v/>
      </c>
      <c r="CB46" s="32" t="str">
        <f>+IF(CB$3="","",IF($AY46="","",IFERROR(INDEX('Data Consolidada'!$E$7:$E$891,MATCH(CONCATENATE(CB$3,"-",$CP46,"-",$AY46),'Data Consolidada'!$K$7:$K$891,0)),MAX('Data Consolidada'!$E$7:$E$3000))))</f>
        <v/>
      </c>
      <c r="CC46" s="32" t="str">
        <f>+IF(CC$3="","",IF($AY46="","",IFERROR(INDEX('Data Consolidada'!$E$7:$E$891,MATCH(CONCATENATE(CC$3,"-",$CP46,"-",$AY46),'Data Consolidada'!$K$7:$K$891,0)),MAX('Data Consolidada'!$E$7:$E$3000))))</f>
        <v/>
      </c>
      <c r="CD46" s="32" t="str">
        <f>+IF(CD$3="","",IF($AY46="","",IFERROR(INDEX('Data Consolidada'!$E$7:$E$891,MATCH(CONCATENATE(CD$3,"-",$CP46,"-",$AY46),'Data Consolidada'!$K$7:$K$891,0)),MAX('Data Consolidada'!$E$7:$E$3000))))</f>
        <v/>
      </c>
      <c r="CE46" s="32" t="str">
        <f>+IF(CE$3="","",IF($AY46="","",IFERROR(INDEX('Data Consolidada'!$E$7:$E$891,MATCH(CONCATENATE(CE$3,"-",$CP46,"-",$AY46),'Data Consolidada'!$K$7:$K$891,0)),MAX('Data Consolidada'!$E$7:$E$3000))))</f>
        <v/>
      </c>
      <c r="CF46" s="32" t="str">
        <f>+IF(CF$3="","",IF($AY46="","",IFERROR(INDEX('Data Consolidada'!$E$7:$E$891,MATCH(CONCATENATE(CF$3,"-",$CP46,"-",$AY46),'Data Consolidada'!$K$7:$K$891,0)),MAX('Data Consolidada'!$E$7:$E$3000))))</f>
        <v/>
      </c>
      <c r="CG46" s="32" t="str">
        <f>+IF(CG$3="","",IF($AY46="","",IFERROR(INDEX('Data Consolidada'!$E$7:$E$891,MATCH(CONCATENATE(CG$3,"-",$CP46,"-",$AY46),'Data Consolidada'!$K$7:$K$891,0)),MAX('Data Consolidada'!$E$7:$E$3000))))</f>
        <v/>
      </c>
      <c r="CH46" s="32" t="str">
        <f>+IF(CH$3="","",IF($AY46="","",IFERROR(INDEX('Data Consolidada'!$E$7:$E$891,MATCH(CONCATENATE(CH$3,"-",$CP46,"-",$AY46),'Data Consolidada'!$K$7:$K$891,0)),MAX('Data Consolidada'!$E$7:$E$3000))))</f>
        <v/>
      </c>
      <c r="CI46" s="32" t="str">
        <f>+IF(CI$3="","",IF($AY46="","",IFERROR(INDEX('Data Consolidada'!$E$7:$E$891,MATCH(CONCATENATE(CI$3,"-",$CP46,"-",$AY46),'Data Consolidada'!$K$7:$K$891,0)),MAX('Data Consolidada'!$E$7:$E$3000))))</f>
        <v/>
      </c>
      <c r="CJ46" s="32" t="str">
        <f>+IF(CJ$3="","",IF($AY46="","",IFERROR(INDEX('Data Consolidada'!$E$7:$E$891,MATCH(CONCATENATE(CJ$3,"-",$CP46,"-",$AY46),'Data Consolidada'!$K$7:$K$891,0)),MAX('Data Consolidada'!$E$7:$E$3000))))</f>
        <v/>
      </c>
      <c r="CK46" s="32" t="str">
        <f>+IF(CK$3="","",IF($AY46="","",IFERROR(INDEX('Data Consolidada'!$E$7:$E$891,MATCH(CONCATENATE(CK$3,"-",$CP46,"-",$AY46),'Data Consolidada'!$K$7:$K$891,0)),MAX('Data Consolidada'!$E$7:$E$3000))))</f>
        <v/>
      </c>
      <c r="CL46" s="32" t="str">
        <f>+IF(CL$3="","",IF($AY46="","",IFERROR(INDEX('Data Consolidada'!$E$7:$E$891,MATCH(CONCATENATE(CL$3,"-",$CP46,"-",$AY46),'Data Consolidada'!$K$7:$K$891,0)),MAX('Data Consolidada'!$E$7:$E$3000))))</f>
        <v/>
      </c>
      <c r="CM46" s="32" t="str">
        <f>+IF(CM$3="","",IF($AY46="","",IFERROR(INDEX('Data Consolidada'!$E$7:$E$891,MATCH(CONCATENATE(CM$3,"-",$CP46,"-",$AY46),'Data Consolidada'!$K$7:$K$891,0)),MAX('Data Consolidada'!$E$7:$E$3000))))</f>
        <v/>
      </c>
      <c r="CN46" s="32" t="str">
        <f>+IF(CN$3="","",IF($AY46="","",IFERROR(INDEX('Data Consolidada'!$E$7:$E$891,MATCH(CONCATENATE(CN$3,"-",$CP46,"-",$AY46),'Data Consolidada'!$K$7:$K$891,0)),MAX('Data Consolidada'!$E$7:$E$3000))))</f>
        <v/>
      </c>
      <c r="CO46" s="37" t="str">
        <f>+IF(CO$3="","",IF($AY46="","",IFERROR(INDEX('Data Consolidada'!$E$7:$E$891,MATCH(CONCATENATE(CO$3,"-",$CP46,"-",$AY46),'Data Consolidada'!$K$7:$K$891,0)),MAX('Data Consolidada'!$E$7:$E$3000))))</f>
        <v/>
      </c>
      <c r="CP46" s="224">
        <f t="shared" ca="1" si="2"/>
        <v>0</v>
      </c>
      <c r="CQ46" s="84" t="str">
        <f t="shared" ca="1" si="3"/>
        <v>LAVALLE0</v>
      </c>
    </row>
    <row r="47" spans="2:95" ht="15" customHeight="1" x14ac:dyDescent="0.35">
      <c r="B47" s="46"/>
      <c r="C47" s="5"/>
      <c r="D47" s="15"/>
      <c r="F47" s="257"/>
      <c r="G47" s="14"/>
      <c r="H47" s="204"/>
      <c r="I47" s="267" t="str">
        <f t="shared" si="21"/>
        <v/>
      </c>
      <c r="J47" s="268" t="str">
        <f t="shared" si="22"/>
        <v/>
      </c>
      <c r="K47" s="268" t="str">
        <f t="shared" si="23"/>
        <v/>
      </c>
      <c r="L47" s="268" t="str">
        <f t="shared" si="24"/>
        <v/>
      </c>
      <c r="M47" s="268" t="str">
        <f t="shared" si="25"/>
        <v/>
      </c>
      <c r="N47" s="268" t="str">
        <f t="shared" si="26"/>
        <v/>
      </c>
      <c r="O47" s="268" t="str">
        <f t="shared" si="27"/>
        <v/>
      </c>
      <c r="P47" s="268" t="str">
        <f t="shared" si="28"/>
        <v/>
      </c>
      <c r="Q47" s="268" t="str">
        <f t="shared" si="29"/>
        <v/>
      </c>
      <c r="R47" s="268" t="str">
        <f t="shared" si="30"/>
        <v/>
      </c>
      <c r="S47" s="268" t="str">
        <f t="shared" si="31"/>
        <v/>
      </c>
      <c r="T47" s="268" t="str">
        <f t="shared" si="32"/>
        <v/>
      </c>
      <c r="U47" s="268" t="str">
        <f t="shared" si="33"/>
        <v/>
      </c>
      <c r="V47" s="269" t="str">
        <f t="shared" si="34"/>
        <v/>
      </c>
      <c r="W47" s="55" cm="1">
        <f t="array" ref="W47">+IFERROR(_xlfn.IFS(F47="Totes",IF(I47="",0,ROUNDUP(I47*$I$11/$G$9,0))+IF(J47="",0,ROUNDUP(J47*$J$11/$G$9,0))+IF(K47="",0,ROUNDUP(K47*$K$11/$G$9,0))+IF(L47="",0,ROUNDUP(L47*$L$11/$G$9,0))+IF(M47="",0,ROUNDUP(M47*$M$11/$G$9,0))+IF(N47="",0,ROUNDUP(N47*$N$11/$G$9,0))+IF(O47="",0,ROUNDUP(O47*$O$11/$G$9,0))+IF(P47="",0,ROUNDUP(P47*$P$11/$G$9,0))+IF(Q47="",0,ROUNDUP(Q47*$Q$11/$G$9,0))+IF(R47="",0,ROUNDUP(R47*$R$11/$G$9,0))+IF(S47="",0,ROUNDUP(S47*$S$11/$G$9,0))+IF(T47="",0,ROUNDUP(T47*$T$11/$G$9,0))+IF(U47="",0,ROUNDUP(U47*$U$11/$G$9,0))+IF(V47="",0,ROUNDUP(V47*$V$11/$G$9,0)),F47="Mini Bins",IF(I47="",0,ROUNDUP(I47*$I$11/$J$6,0))+IF(J47="",0,ROUNDUP(J47*$J$11/$J$6,0))+IF(K47="",0,ROUNDUP(K47*$K$11/$J$6,0))+IF(L47="",0,ROUNDUP(L47*$L$11/$J$6,0))+IF(M47="",0,ROUNDUP(M47*$M$11/$J$6,0))+IF(N47="",0,ROUNDUP(N47*$N$11/$J$6,0))+IF(O47="",0,ROUNDUP(O47*$O$11/$J$6,0))+IF(P47="",0,ROUNDUP(P47*$P$11/$J$6,0))+IF(Q47="",0,ROUNDUP(Q47*$Q$11/$J$6,0))+IF(R47="",0,ROUNDUP(R47*$R$11/$J$6,0))+IF(S47="",0,ROUNDUP(S47*$S$11/$J$6,0))+IF(T47="",0,ROUNDUP(T47*$T$11/$J$6,0))+IF(U47="",0,ROUNDUP(U47*$U$11/$J$6,0))+IF(V47="",0,ROUNDUP(V47*$V$11/$J$6,0))),0)</f>
        <v>0</v>
      </c>
      <c r="X47" s="254">
        <f>+IFERROR(SUMIF($AS$72:$AS$217,H47,INDEX($C$72:$AR$217,,MATCH(G47,$C$71:$AR$71,0))),0)+$V$9*W47/SUM($W$13:$W$68)</f>
        <v>0</v>
      </c>
      <c r="Z47" s="245"/>
      <c r="AA47" s="247"/>
      <c r="AB47" s="254" cm="1">
        <f t="array" aca="1" ref="AB47" ca="1">+SUM(IF($B$72:$B$217=Z47,$C$72:$AR$217))</f>
        <v>0</v>
      </c>
      <c r="AC47" s="211">
        <f t="shared" ca="1" si="4"/>
        <v>0</v>
      </c>
      <c r="AF47" s="14"/>
      <c r="AG47" s="204"/>
      <c r="AH47" s="228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6"/>
      <c r="AU47" s="229"/>
      <c r="AW47" s="13">
        <f>+IF(AX47="","",IF(AX47&gt;AX46,AW46,IF(AW46&lt;$D$69,AW46+1,IF(COUNT(AW$4:AW46)&lt;$B$69*$E$54,1,""))))</f>
        <v>4</v>
      </c>
      <c r="AX47" s="13">
        <f>+IF(AX46&lt;$B$69,AX46+1,IF(COUNT(AX$4:AX46)&lt;$B$69*$D$69,1,""))</f>
        <v>5</v>
      </c>
      <c r="AY47" s="189" t="str">
        <f t="shared" ca="1" si="1"/>
        <v>MACEBE</v>
      </c>
      <c r="AZ47" s="36">
        <f ca="1">+IF(AZ$3="","",IF($AY47="","",IFERROR(INDEX('Data Consolidada'!$E$7:$E$891,MATCH(CONCATENATE(AZ$3,"-",$CP47,"-",$AY47),'Data Consolidada'!$K$7:$K$891,0)),MAX('Data Consolidada'!$E$7:$E$3000))))</f>
        <v>11000000</v>
      </c>
      <c r="BA47" s="32">
        <f ca="1">+IF(BA$3="","",IF($AY47="","",IFERROR(INDEX('Data Consolidada'!$E$7:$E$891,MATCH(CONCATENATE(BA$3,"-",$CP47,"-",$AY47),'Data Consolidada'!$K$7:$K$891,0)),MAX('Data Consolidada'!$E$7:$E$3000))))</f>
        <v>11000000</v>
      </c>
      <c r="BB47" s="32" t="str">
        <f>+IF(BB$3="","",IF($AY47="","",IFERROR(INDEX('Data Consolidada'!$E$7:$E$891,MATCH(CONCATENATE(BB$3,"-",$CP47,"-",$AY47),'Data Consolidada'!$K$7:$K$891,0)),MAX('Data Consolidada'!$E$7:$E$3000))))</f>
        <v/>
      </c>
      <c r="BC47" s="32" t="str">
        <f>+IF(BC$3="","",IF($AY47="","",IFERROR(INDEX('Data Consolidada'!$E$7:$E$891,MATCH(CONCATENATE(BC$3,"-",$CP47,"-",$AY47),'Data Consolidada'!$K$7:$K$891,0)),MAX('Data Consolidada'!$E$7:$E$3000))))</f>
        <v/>
      </c>
      <c r="BD47" s="32" t="str">
        <f>+IF(BD$3="","",IF($AY47="","",IFERROR(INDEX('Data Consolidada'!$E$7:$E$891,MATCH(CONCATENATE(BD$3,"-",$CP47,"-",$AY47),'Data Consolidada'!$K$7:$K$891,0)),MAX('Data Consolidada'!$E$7:$E$3000))))</f>
        <v/>
      </c>
      <c r="BE47" s="32" t="str">
        <f>+IF(BE$3="","",IF($AY47="","",IFERROR(INDEX('Data Consolidada'!$E$7:$E$891,MATCH(CONCATENATE(BE$3,"-",$CP47,"-",$AY47),'Data Consolidada'!$K$7:$K$891,0)),MAX('Data Consolidada'!$E$7:$E$3000))))</f>
        <v/>
      </c>
      <c r="BF47" s="32" t="str">
        <f>+IF(BF$3="","",IF($AY47="","",IFERROR(INDEX('Data Consolidada'!$E$7:$E$891,MATCH(CONCATENATE(BF$3,"-",$CP47,"-",$AY47),'Data Consolidada'!$K$7:$K$891,0)),MAX('Data Consolidada'!$E$7:$E$3000))))</f>
        <v/>
      </c>
      <c r="BG47" s="32" t="str">
        <f>+IF(BG$3="","",IF($AY47="","",IFERROR(INDEX('Data Consolidada'!$E$7:$E$891,MATCH(CONCATENATE(BG$3,"-",$CP47,"-",$AY47),'Data Consolidada'!$K$7:$K$891,0)),MAX('Data Consolidada'!$E$7:$E$3000))))</f>
        <v/>
      </c>
      <c r="BH47" s="32" t="str">
        <f>+IF(BH$3="","",IF($AY47="","",IFERROR(INDEX('Data Consolidada'!$E$7:$E$891,MATCH(CONCATENATE(BH$3,"-",$CP47,"-",$AY47),'Data Consolidada'!$K$7:$K$891,0)),MAX('Data Consolidada'!$E$7:$E$3000))))</f>
        <v/>
      </c>
      <c r="BI47" s="32" t="str">
        <f>+IF(BI$3="","",IF($AY47="","",IFERROR(INDEX('Data Consolidada'!$E$7:$E$891,MATCH(CONCATENATE(BI$3,"-",$CP47,"-",$AY47),'Data Consolidada'!$K$7:$K$891,0)),MAX('Data Consolidada'!$E$7:$E$3000))))</f>
        <v/>
      </c>
      <c r="BJ47" s="32" t="str">
        <f>+IF(BJ$3="","",IF($AY47="","",IFERROR(INDEX('Data Consolidada'!$E$7:$E$891,MATCH(CONCATENATE(BJ$3,"-",$CP47,"-",$AY47),'Data Consolidada'!$K$7:$K$891,0)),MAX('Data Consolidada'!$E$7:$E$3000))))</f>
        <v/>
      </c>
      <c r="BK47" s="32" t="str">
        <f>+IF(BK$3="","",IF($AY47="","",IFERROR(INDEX('Data Consolidada'!$E$7:$E$891,MATCH(CONCATENATE(BK$3,"-",$CP47,"-",$AY47),'Data Consolidada'!$K$7:$K$891,0)),MAX('Data Consolidada'!$E$7:$E$3000))))</f>
        <v/>
      </c>
      <c r="BL47" s="32" t="str">
        <f>+IF(BL$3="","",IF($AY47="","",IFERROR(INDEX('Data Consolidada'!$E$7:$E$891,MATCH(CONCATENATE(BL$3,"-",$CP47,"-",$AY47),'Data Consolidada'!$K$7:$K$891,0)),MAX('Data Consolidada'!$E$7:$E$3000))))</f>
        <v/>
      </c>
      <c r="BM47" s="32" t="str">
        <f>+IF(BM$3="","",IF($AY47="","",IFERROR(INDEX('Data Consolidada'!$E$7:$E$891,MATCH(CONCATENATE(BM$3,"-",$CP47,"-",$AY47),'Data Consolidada'!$K$7:$K$891,0)),MAX('Data Consolidada'!$E$7:$E$3000))))</f>
        <v/>
      </c>
      <c r="BN47" s="32" t="str">
        <f>+IF(BN$3="","",IF($AY47="","",IFERROR(INDEX('Data Consolidada'!$E$7:$E$891,MATCH(CONCATENATE(BN$3,"-",$CP47,"-",$AY47),'Data Consolidada'!$K$7:$K$891,0)),MAX('Data Consolidada'!$E$7:$E$3000))))</f>
        <v/>
      </c>
      <c r="BO47" s="32" t="str">
        <f>+IF(BO$3="","",IF($AY47="","",IFERROR(INDEX('Data Consolidada'!$E$7:$E$891,MATCH(CONCATENATE(BO$3,"-",$CP47,"-",$AY47),'Data Consolidada'!$K$7:$K$891,0)),MAX('Data Consolidada'!$E$7:$E$3000))))</f>
        <v/>
      </c>
      <c r="BP47" s="32" t="str">
        <f>+IF(BP$3="","",IF($AY47="","",IFERROR(INDEX('Data Consolidada'!$E$7:$E$891,MATCH(CONCATENATE(BP$3,"-",$CP47,"-",$AY47),'Data Consolidada'!$K$7:$K$891,0)),MAX('Data Consolidada'!$E$7:$E$3000))))</f>
        <v/>
      </c>
      <c r="BQ47" s="32" t="str">
        <f>+IF(BQ$3="","",IF($AY47="","",IFERROR(INDEX('Data Consolidada'!$E$7:$E$891,MATCH(CONCATENATE(BQ$3,"-",$CP47,"-",$AY47),'Data Consolidada'!$K$7:$K$891,0)),MAX('Data Consolidada'!$E$7:$E$3000))))</f>
        <v/>
      </c>
      <c r="BR47" s="32" t="str">
        <f>+IF(BR$3="","",IF($AY47="","",IFERROR(INDEX('Data Consolidada'!$E$7:$E$891,MATCH(CONCATENATE(BR$3,"-",$CP47,"-",$AY47),'Data Consolidada'!$K$7:$K$891,0)),MAX('Data Consolidada'!$E$7:$E$3000))))</f>
        <v/>
      </c>
      <c r="BS47" s="32" t="str">
        <f>+IF(BS$3="","",IF($AY47="","",IFERROR(INDEX('Data Consolidada'!$E$7:$E$891,MATCH(CONCATENATE(BS$3,"-",$CP47,"-",$AY47),'Data Consolidada'!$K$7:$K$891,0)),MAX('Data Consolidada'!$E$7:$E$3000))))</f>
        <v/>
      </c>
      <c r="BT47" s="32" t="str">
        <f>+IF(BT$3="","",IF($AY47="","",IFERROR(INDEX('Data Consolidada'!$E$7:$E$891,MATCH(CONCATENATE(BT$3,"-",$CP47,"-",$AY47),'Data Consolidada'!$K$7:$K$891,0)),MAX('Data Consolidada'!$E$7:$E$3000))))</f>
        <v/>
      </c>
      <c r="BU47" s="32" t="str">
        <f>+IF(BU$3="","",IF($AY47="","",IFERROR(INDEX('Data Consolidada'!$E$7:$E$891,MATCH(CONCATENATE(BU$3,"-",$CP47,"-",$AY47),'Data Consolidada'!$K$7:$K$891,0)),MAX('Data Consolidada'!$E$7:$E$3000))))</f>
        <v/>
      </c>
      <c r="BV47" s="32" t="str">
        <f>+IF(BV$3="","",IF($AY47="","",IFERROR(INDEX('Data Consolidada'!$E$7:$E$891,MATCH(CONCATENATE(BV$3,"-",$CP47,"-",$AY47),'Data Consolidada'!$K$7:$K$891,0)),MAX('Data Consolidada'!$E$7:$E$3000))))</f>
        <v/>
      </c>
      <c r="BW47" s="32" t="str">
        <f>+IF(BW$3="","",IF($AY47="","",IFERROR(INDEX('Data Consolidada'!$E$7:$E$891,MATCH(CONCATENATE(BW$3,"-",$CP47,"-",$AY47),'Data Consolidada'!$K$7:$K$891,0)),MAX('Data Consolidada'!$E$7:$E$3000))))</f>
        <v/>
      </c>
      <c r="BX47" s="32" t="str">
        <f>+IF(BX$3="","",IF($AY47="","",IFERROR(INDEX('Data Consolidada'!$E$7:$E$891,MATCH(CONCATENATE(BX$3,"-",$CP47,"-",$AY47),'Data Consolidada'!$K$7:$K$891,0)),MAX('Data Consolidada'!$E$7:$E$3000))))</f>
        <v/>
      </c>
      <c r="BY47" s="32" t="str">
        <f>+IF(BY$3="","",IF($AY47="","",IFERROR(INDEX('Data Consolidada'!$E$7:$E$891,MATCH(CONCATENATE(BY$3,"-",$CP47,"-",$AY47),'Data Consolidada'!$K$7:$K$891,0)),MAX('Data Consolidada'!$E$7:$E$3000))))</f>
        <v/>
      </c>
      <c r="BZ47" s="32" t="str">
        <f>+IF(BZ$3="","",IF($AY47="","",IFERROR(INDEX('Data Consolidada'!$E$7:$E$891,MATCH(CONCATENATE(BZ$3,"-",$CP47,"-",$AY47),'Data Consolidada'!$K$7:$K$891,0)),MAX('Data Consolidada'!$E$7:$E$3000))))</f>
        <v/>
      </c>
      <c r="CA47" s="32" t="str">
        <f>+IF(CA$3="","",IF($AY47="","",IFERROR(INDEX('Data Consolidada'!$E$7:$E$891,MATCH(CONCATENATE(CA$3,"-",$CP47,"-",$AY47),'Data Consolidada'!$K$7:$K$891,0)),MAX('Data Consolidada'!$E$7:$E$3000))))</f>
        <v/>
      </c>
      <c r="CB47" s="32" t="str">
        <f>+IF(CB$3="","",IF($AY47="","",IFERROR(INDEX('Data Consolidada'!$E$7:$E$891,MATCH(CONCATENATE(CB$3,"-",$CP47,"-",$AY47),'Data Consolidada'!$K$7:$K$891,0)),MAX('Data Consolidada'!$E$7:$E$3000))))</f>
        <v/>
      </c>
      <c r="CC47" s="32" t="str">
        <f>+IF(CC$3="","",IF($AY47="","",IFERROR(INDEX('Data Consolidada'!$E$7:$E$891,MATCH(CONCATENATE(CC$3,"-",$CP47,"-",$AY47),'Data Consolidada'!$K$7:$K$891,0)),MAX('Data Consolidada'!$E$7:$E$3000))))</f>
        <v/>
      </c>
      <c r="CD47" s="32" t="str">
        <f>+IF(CD$3="","",IF($AY47="","",IFERROR(INDEX('Data Consolidada'!$E$7:$E$891,MATCH(CONCATENATE(CD$3,"-",$CP47,"-",$AY47),'Data Consolidada'!$K$7:$K$891,0)),MAX('Data Consolidada'!$E$7:$E$3000))))</f>
        <v/>
      </c>
      <c r="CE47" s="32" t="str">
        <f>+IF(CE$3="","",IF($AY47="","",IFERROR(INDEX('Data Consolidada'!$E$7:$E$891,MATCH(CONCATENATE(CE$3,"-",$CP47,"-",$AY47),'Data Consolidada'!$K$7:$K$891,0)),MAX('Data Consolidada'!$E$7:$E$3000))))</f>
        <v/>
      </c>
      <c r="CF47" s="32" t="str">
        <f>+IF(CF$3="","",IF($AY47="","",IFERROR(INDEX('Data Consolidada'!$E$7:$E$891,MATCH(CONCATENATE(CF$3,"-",$CP47,"-",$AY47),'Data Consolidada'!$K$7:$K$891,0)),MAX('Data Consolidada'!$E$7:$E$3000))))</f>
        <v/>
      </c>
      <c r="CG47" s="32" t="str">
        <f>+IF(CG$3="","",IF($AY47="","",IFERROR(INDEX('Data Consolidada'!$E$7:$E$891,MATCH(CONCATENATE(CG$3,"-",$CP47,"-",$AY47),'Data Consolidada'!$K$7:$K$891,0)),MAX('Data Consolidada'!$E$7:$E$3000))))</f>
        <v/>
      </c>
      <c r="CH47" s="32" t="str">
        <f>+IF(CH$3="","",IF($AY47="","",IFERROR(INDEX('Data Consolidada'!$E$7:$E$891,MATCH(CONCATENATE(CH$3,"-",$CP47,"-",$AY47),'Data Consolidada'!$K$7:$K$891,0)),MAX('Data Consolidada'!$E$7:$E$3000))))</f>
        <v/>
      </c>
      <c r="CI47" s="32" t="str">
        <f>+IF(CI$3="","",IF($AY47="","",IFERROR(INDEX('Data Consolidada'!$E$7:$E$891,MATCH(CONCATENATE(CI$3,"-",$CP47,"-",$AY47),'Data Consolidada'!$K$7:$K$891,0)),MAX('Data Consolidada'!$E$7:$E$3000))))</f>
        <v/>
      </c>
      <c r="CJ47" s="32" t="str">
        <f>+IF(CJ$3="","",IF($AY47="","",IFERROR(INDEX('Data Consolidada'!$E$7:$E$891,MATCH(CONCATENATE(CJ$3,"-",$CP47,"-",$AY47),'Data Consolidada'!$K$7:$K$891,0)),MAX('Data Consolidada'!$E$7:$E$3000))))</f>
        <v/>
      </c>
      <c r="CK47" s="32" t="str">
        <f>+IF(CK$3="","",IF($AY47="","",IFERROR(INDEX('Data Consolidada'!$E$7:$E$891,MATCH(CONCATENATE(CK$3,"-",$CP47,"-",$AY47),'Data Consolidada'!$K$7:$K$891,0)),MAX('Data Consolidada'!$E$7:$E$3000))))</f>
        <v/>
      </c>
      <c r="CL47" s="32" t="str">
        <f>+IF(CL$3="","",IF($AY47="","",IFERROR(INDEX('Data Consolidada'!$E$7:$E$891,MATCH(CONCATENATE(CL$3,"-",$CP47,"-",$AY47),'Data Consolidada'!$K$7:$K$891,0)),MAX('Data Consolidada'!$E$7:$E$3000))))</f>
        <v/>
      </c>
      <c r="CM47" s="32" t="str">
        <f>+IF(CM$3="","",IF($AY47="","",IFERROR(INDEX('Data Consolidada'!$E$7:$E$891,MATCH(CONCATENATE(CM$3,"-",$CP47,"-",$AY47),'Data Consolidada'!$K$7:$K$891,0)),MAX('Data Consolidada'!$E$7:$E$3000))))</f>
        <v/>
      </c>
      <c r="CN47" s="32" t="str">
        <f>+IF(CN$3="","",IF($AY47="","",IFERROR(INDEX('Data Consolidada'!$E$7:$E$891,MATCH(CONCATENATE(CN$3,"-",$CP47,"-",$AY47),'Data Consolidada'!$K$7:$K$891,0)),MAX('Data Consolidada'!$E$7:$E$3000))))</f>
        <v/>
      </c>
      <c r="CO47" s="37" t="str">
        <f>+IF(CO$3="","",IF($AY47="","",IFERROR(INDEX('Data Consolidada'!$E$7:$E$891,MATCH(CONCATENATE(CO$3,"-",$CP47,"-",$AY47),'Data Consolidada'!$K$7:$K$891,0)),MAX('Data Consolidada'!$E$7:$E$3000))))</f>
        <v/>
      </c>
      <c r="CP47" s="224">
        <f t="shared" ca="1" si="2"/>
        <v>0</v>
      </c>
      <c r="CQ47" s="84" t="str">
        <f t="shared" ca="1" si="3"/>
        <v>MACEBE0</v>
      </c>
    </row>
    <row r="48" spans="2:95" ht="15" customHeight="1" x14ac:dyDescent="0.35">
      <c r="B48" s="46"/>
      <c r="C48" s="5"/>
      <c r="D48" s="15"/>
      <c r="F48" s="257"/>
      <c r="G48" s="14"/>
      <c r="H48" s="204"/>
      <c r="I48" s="267" t="str">
        <f t="shared" si="21"/>
        <v/>
      </c>
      <c r="J48" s="268" t="str">
        <f t="shared" si="22"/>
        <v/>
      </c>
      <c r="K48" s="268" t="str">
        <f t="shared" si="23"/>
        <v/>
      </c>
      <c r="L48" s="268" t="str">
        <f t="shared" si="24"/>
        <v/>
      </c>
      <c r="M48" s="268" t="str">
        <f t="shared" si="25"/>
        <v/>
      </c>
      <c r="N48" s="268" t="str">
        <f t="shared" si="26"/>
        <v/>
      </c>
      <c r="O48" s="268" t="str">
        <f t="shared" si="27"/>
        <v/>
      </c>
      <c r="P48" s="268" t="str">
        <f t="shared" si="28"/>
        <v/>
      </c>
      <c r="Q48" s="268" t="str">
        <f t="shared" si="29"/>
        <v/>
      </c>
      <c r="R48" s="268" t="str">
        <f t="shared" si="30"/>
        <v/>
      </c>
      <c r="S48" s="268" t="str">
        <f t="shared" si="31"/>
        <v/>
      </c>
      <c r="T48" s="268" t="str">
        <f t="shared" si="32"/>
        <v/>
      </c>
      <c r="U48" s="268" t="str">
        <f t="shared" si="33"/>
        <v/>
      </c>
      <c r="V48" s="269" t="str">
        <f t="shared" si="34"/>
        <v/>
      </c>
      <c r="W48" s="55" cm="1">
        <f t="array" ref="W48">+IFERROR(_xlfn.IFS(F48="Totes",IF(I48="",0,ROUNDUP(I48*$I$11/$G$9,0))+IF(J48="",0,ROUNDUP(J48*$J$11/$G$9,0))+IF(K48="",0,ROUNDUP(K48*$K$11/$G$9,0))+IF(L48="",0,ROUNDUP(L48*$L$11/$G$9,0))+IF(M48="",0,ROUNDUP(M48*$M$11/$G$9,0))+IF(N48="",0,ROUNDUP(N48*$N$11/$G$9,0))+IF(O48="",0,ROUNDUP(O48*$O$11/$G$9,0))+IF(P48="",0,ROUNDUP(P48*$P$11/$G$9,0))+IF(Q48="",0,ROUNDUP(Q48*$Q$11/$G$9,0))+IF(R48="",0,ROUNDUP(R48*$R$11/$G$9,0))+IF(S48="",0,ROUNDUP(S48*$S$11/$G$9,0))+IF(T48="",0,ROUNDUP(T48*$T$11/$G$9,0))+IF(U48="",0,ROUNDUP(U48*$U$11/$G$9,0))+IF(V48="",0,ROUNDUP(V48*$V$11/$G$9,0)),F48="Mini Bins",IF(I48="",0,ROUNDUP(I48*$I$11/$J$6,0))+IF(J48="",0,ROUNDUP(J48*$J$11/$J$6,0))+IF(K48="",0,ROUNDUP(K48*$K$11/$J$6,0))+IF(L48="",0,ROUNDUP(L48*$L$11/$J$6,0))+IF(M48="",0,ROUNDUP(M48*$M$11/$J$6,0))+IF(N48="",0,ROUNDUP(N48*$N$11/$J$6,0))+IF(O48="",0,ROUNDUP(O48*$O$11/$J$6,0))+IF(P48="",0,ROUNDUP(P48*$P$11/$J$6,0))+IF(Q48="",0,ROUNDUP(Q48*$Q$11/$J$6,0))+IF(R48="",0,ROUNDUP(R48*$R$11/$J$6,0))+IF(S48="",0,ROUNDUP(S48*$S$11/$J$6,0))+IF(T48="",0,ROUNDUP(T48*$T$11/$J$6,0))+IF(U48="",0,ROUNDUP(U48*$U$11/$J$6,0))+IF(V48="",0,ROUNDUP(V48*$V$11/$J$6,0))),0)</f>
        <v>0</v>
      </c>
      <c r="X48" s="254">
        <f t="shared" ref="X48:X68" si="35">+IFERROR(SUMIF($AS$72:$AS$217,H48,INDEX($C$72:$AR$217,,MATCH(G48,$C$71:$AR$71,0))),0)+$V$9*W48/SUM($W$13:$W$68)</f>
        <v>0</v>
      </c>
      <c r="Z48" s="245"/>
      <c r="AA48" s="247"/>
      <c r="AB48" s="254" cm="1">
        <f t="array" aca="1" ref="AB48" ca="1">+SUM(IF($B$72:$B$217=Z48,$C$72:$AR$217))</f>
        <v>0</v>
      </c>
      <c r="AC48" s="211">
        <f t="shared" ca="1" si="4"/>
        <v>0</v>
      </c>
      <c r="AF48" s="14"/>
      <c r="AG48" s="204"/>
      <c r="AH48" s="228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6"/>
      <c r="AU48" s="229"/>
      <c r="AW48" s="13">
        <f>+IF(AX48="","",IF(AX48&gt;AX47,AW47,IF(AW47&lt;$D$69,AW47+1,IF(COUNT(AW$4:AW47)&lt;$B$69*$E$54,1,""))))</f>
        <v>4</v>
      </c>
      <c r="AX48" s="13">
        <f>+IF(AX47&lt;$B$69,AX47+1,IF(COUNT(AX$4:AX47)&lt;$B$69*$D$69,1,""))</f>
        <v>6</v>
      </c>
      <c r="AY48" s="189" t="str">
        <f t="shared" ca="1" si="1"/>
        <v xml:space="preserve">Manuel Sepúlveda </v>
      </c>
      <c r="AZ48" s="36">
        <f ca="1">+IF(AZ$3="","",IF($AY48="","",IFERROR(INDEX('Data Consolidada'!$E$7:$E$891,MATCH(CONCATENATE(AZ$3,"-",$CP48,"-",$AY48),'Data Consolidada'!$K$7:$K$891,0)),MAX('Data Consolidada'!$E$7:$E$3000))))</f>
        <v>11000000</v>
      </c>
      <c r="BA48" s="32">
        <f ca="1">+IF(BA$3="","",IF($AY48="","",IFERROR(INDEX('Data Consolidada'!$E$7:$E$891,MATCH(CONCATENATE(BA$3,"-",$CP48,"-",$AY48),'Data Consolidada'!$K$7:$K$891,0)),MAX('Data Consolidada'!$E$7:$E$3000))))</f>
        <v>11000000</v>
      </c>
      <c r="BB48" s="32" t="str">
        <f>+IF(BB$3="","",IF($AY48="","",IFERROR(INDEX('Data Consolidada'!$E$7:$E$891,MATCH(CONCATENATE(BB$3,"-",$CP48,"-",$AY48),'Data Consolidada'!$K$7:$K$891,0)),MAX('Data Consolidada'!$E$7:$E$3000))))</f>
        <v/>
      </c>
      <c r="BC48" s="32" t="str">
        <f>+IF(BC$3="","",IF($AY48="","",IFERROR(INDEX('Data Consolidada'!$E$7:$E$891,MATCH(CONCATENATE(BC$3,"-",$CP48,"-",$AY48),'Data Consolidada'!$K$7:$K$891,0)),MAX('Data Consolidada'!$E$7:$E$3000))))</f>
        <v/>
      </c>
      <c r="BD48" s="32" t="str">
        <f>+IF(BD$3="","",IF($AY48="","",IFERROR(INDEX('Data Consolidada'!$E$7:$E$891,MATCH(CONCATENATE(BD$3,"-",$CP48,"-",$AY48),'Data Consolidada'!$K$7:$K$891,0)),MAX('Data Consolidada'!$E$7:$E$3000))))</f>
        <v/>
      </c>
      <c r="BE48" s="32" t="str">
        <f>+IF(BE$3="","",IF($AY48="","",IFERROR(INDEX('Data Consolidada'!$E$7:$E$891,MATCH(CONCATENATE(BE$3,"-",$CP48,"-",$AY48),'Data Consolidada'!$K$7:$K$891,0)),MAX('Data Consolidada'!$E$7:$E$3000))))</f>
        <v/>
      </c>
      <c r="BF48" s="32" t="str">
        <f>+IF(BF$3="","",IF($AY48="","",IFERROR(INDEX('Data Consolidada'!$E$7:$E$891,MATCH(CONCATENATE(BF$3,"-",$CP48,"-",$AY48),'Data Consolidada'!$K$7:$K$891,0)),MAX('Data Consolidada'!$E$7:$E$3000))))</f>
        <v/>
      </c>
      <c r="BG48" s="32" t="str">
        <f>+IF(BG$3="","",IF($AY48="","",IFERROR(INDEX('Data Consolidada'!$E$7:$E$891,MATCH(CONCATENATE(BG$3,"-",$CP48,"-",$AY48),'Data Consolidada'!$K$7:$K$891,0)),MAX('Data Consolidada'!$E$7:$E$3000))))</f>
        <v/>
      </c>
      <c r="BH48" s="32" t="str">
        <f>+IF(BH$3="","",IF($AY48="","",IFERROR(INDEX('Data Consolidada'!$E$7:$E$891,MATCH(CONCATENATE(BH$3,"-",$CP48,"-",$AY48),'Data Consolidada'!$K$7:$K$891,0)),MAX('Data Consolidada'!$E$7:$E$3000))))</f>
        <v/>
      </c>
      <c r="BI48" s="32" t="str">
        <f>+IF(BI$3="","",IF($AY48="","",IFERROR(INDEX('Data Consolidada'!$E$7:$E$891,MATCH(CONCATENATE(BI$3,"-",$CP48,"-",$AY48),'Data Consolidada'!$K$7:$K$891,0)),MAX('Data Consolidada'!$E$7:$E$3000))))</f>
        <v/>
      </c>
      <c r="BJ48" s="32" t="str">
        <f>+IF(BJ$3="","",IF($AY48="","",IFERROR(INDEX('Data Consolidada'!$E$7:$E$891,MATCH(CONCATENATE(BJ$3,"-",$CP48,"-",$AY48),'Data Consolidada'!$K$7:$K$891,0)),MAX('Data Consolidada'!$E$7:$E$3000))))</f>
        <v/>
      </c>
      <c r="BK48" s="32" t="str">
        <f>+IF(BK$3="","",IF($AY48="","",IFERROR(INDEX('Data Consolidada'!$E$7:$E$891,MATCH(CONCATENATE(BK$3,"-",$CP48,"-",$AY48),'Data Consolidada'!$K$7:$K$891,0)),MAX('Data Consolidada'!$E$7:$E$3000))))</f>
        <v/>
      </c>
      <c r="BL48" s="32" t="str">
        <f>+IF(BL$3="","",IF($AY48="","",IFERROR(INDEX('Data Consolidada'!$E$7:$E$891,MATCH(CONCATENATE(BL$3,"-",$CP48,"-",$AY48),'Data Consolidada'!$K$7:$K$891,0)),MAX('Data Consolidada'!$E$7:$E$3000))))</f>
        <v/>
      </c>
      <c r="BM48" s="32" t="str">
        <f>+IF(BM$3="","",IF($AY48="","",IFERROR(INDEX('Data Consolidada'!$E$7:$E$891,MATCH(CONCATENATE(BM$3,"-",$CP48,"-",$AY48),'Data Consolidada'!$K$7:$K$891,0)),MAX('Data Consolidada'!$E$7:$E$3000))))</f>
        <v/>
      </c>
      <c r="BN48" s="32" t="str">
        <f>+IF(BN$3="","",IF($AY48="","",IFERROR(INDEX('Data Consolidada'!$E$7:$E$891,MATCH(CONCATENATE(BN$3,"-",$CP48,"-",$AY48),'Data Consolidada'!$K$7:$K$891,0)),MAX('Data Consolidada'!$E$7:$E$3000))))</f>
        <v/>
      </c>
      <c r="BO48" s="32" t="str">
        <f>+IF(BO$3="","",IF($AY48="","",IFERROR(INDEX('Data Consolidada'!$E$7:$E$891,MATCH(CONCATENATE(BO$3,"-",$CP48,"-",$AY48),'Data Consolidada'!$K$7:$K$891,0)),MAX('Data Consolidada'!$E$7:$E$3000))))</f>
        <v/>
      </c>
      <c r="BP48" s="32" t="str">
        <f>+IF(BP$3="","",IF($AY48="","",IFERROR(INDEX('Data Consolidada'!$E$7:$E$891,MATCH(CONCATENATE(BP$3,"-",$CP48,"-",$AY48),'Data Consolidada'!$K$7:$K$891,0)),MAX('Data Consolidada'!$E$7:$E$3000))))</f>
        <v/>
      </c>
      <c r="BQ48" s="32" t="str">
        <f>+IF(BQ$3="","",IF($AY48="","",IFERROR(INDEX('Data Consolidada'!$E$7:$E$891,MATCH(CONCATENATE(BQ$3,"-",$CP48,"-",$AY48),'Data Consolidada'!$K$7:$K$891,0)),MAX('Data Consolidada'!$E$7:$E$3000))))</f>
        <v/>
      </c>
      <c r="BR48" s="32" t="str">
        <f>+IF(BR$3="","",IF($AY48="","",IFERROR(INDEX('Data Consolidada'!$E$7:$E$891,MATCH(CONCATENATE(BR$3,"-",$CP48,"-",$AY48),'Data Consolidada'!$K$7:$K$891,0)),MAX('Data Consolidada'!$E$7:$E$3000))))</f>
        <v/>
      </c>
      <c r="BS48" s="32" t="str">
        <f>+IF(BS$3="","",IF($AY48="","",IFERROR(INDEX('Data Consolidada'!$E$7:$E$891,MATCH(CONCATENATE(BS$3,"-",$CP48,"-",$AY48),'Data Consolidada'!$K$7:$K$891,0)),MAX('Data Consolidada'!$E$7:$E$3000))))</f>
        <v/>
      </c>
      <c r="BT48" s="32" t="str">
        <f>+IF(BT$3="","",IF($AY48="","",IFERROR(INDEX('Data Consolidada'!$E$7:$E$891,MATCH(CONCATENATE(BT$3,"-",$CP48,"-",$AY48),'Data Consolidada'!$K$7:$K$891,0)),MAX('Data Consolidada'!$E$7:$E$3000))))</f>
        <v/>
      </c>
      <c r="BU48" s="32" t="str">
        <f>+IF(BU$3="","",IF($AY48="","",IFERROR(INDEX('Data Consolidada'!$E$7:$E$891,MATCH(CONCATENATE(BU$3,"-",$CP48,"-",$AY48),'Data Consolidada'!$K$7:$K$891,0)),MAX('Data Consolidada'!$E$7:$E$3000))))</f>
        <v/>
      </c>
      <c r="BV48" s="32" t="str">
        <f>+IF(BV$3="","",IF($AY48="","",IFERROR(INDEX('Data Consolidada'!$E$7:$E$891,MATCH(CONCATENATE(BV$3,"-",$CP48,"-",$AY48),'Data Consolidada'!$K$7:$K$891,0)),MAX('Data Consolidada'!$E$7:$E$3000))))</f>
        <v/>
      </c>
      <c r="BW48" s="32" t="str">
        <f>+IF(BW$3="","",IF($AY48="","",IFERROR(INDEX('Data Consolidada'!$E$7:$E$891,MATCH(CONCATENATE(BW$3,"-",$CP48,"-",$AY48),'Data Consolidada'!$K$7:$K$891,0)),MAX('Data Consolidada'!$E$7:$E$3000))))</f>
        <v/>
      </c>
      <c r="BX48" s="32" t="str">
        <f>+IF(BX$3="","",IF($AY48="","",IFERROR(INDEX('Data Consolidada'!$E$7:$E$891,MATCH(CONCATENATE(BX$3,"-",$CP48,"-",$AY48),'Data Consolidada'!$K$7:$K$891,0)),MAX('Data Consolidada'!$E$7:$E$3000))))</f>
        <v/>
      </c>
      <c r="BY48" s="32" t="str">
        <f>+IF(BY$3="","",IF($AY48="","",IFERROR(INDEX('Data Consolidada'!$E$7:$E$891,MATCH(CONCATENATE(BY$3,"-",$CP48,"-",$AY48),'Data Consolidada'!$K$7:$K$891,0)),MAX('Data Consolidada'!$E$7:$E$3000))))</f>
        <v/>
      </c>
      <c r="BZ48" s="32" t="str">
        <f>+IF(BZ$3="","",IF($AY48="","",IFERROR(INDEX('Data Consolidada'!$E$7:$E$891,MATCH(CONCATENATE(BZ$3,"-",$CP48,"-",$AY48),'Data Consolidada'!$K$7:$K$891,0)),MAX('Data Consolidada'!$E$7:$E$3000))))</f>
        <v/>
      </c>
      <c r="CA48" s="32" t="str">
        <f>+IF(CA$3="","",IF($AY48="","",IFERROR(INDEX('Data Consolidada'!$E$7:$E$891,MATCH(CONCATENATE(CA$3,"-",$CP48,"-",$AY48),'Data Consolidada'!$K$7:$K$891,0)),MAX('Data Consolidada'!$E$7:$E$3000))))</f>
        <v/>
      </c>
      <c r="CB48" s="32" t="str">
        <f>+IF(CB$3="","",IF($AY48="","",IFERROR(INDEX('Data Consolidada'!$E$7:$E$891,MATCH(CONCATENATE(CB$3,"-",$CP48,"-",$AY48),'Data Consolidada'!$K$7:$K$891,0)),MAX('Data Consolidada'!$E$7:$E$3000))))</f>
        <v/>
      </c>
      <c r="CC48" s="32" t="str">
        <f>+IF(CC$3="","",IF($AY48="","",IFERROR(INDEX('Data Consolidada'!$E$7:$E$891,MATCH(CONCATENATE(CC$3,"-",$CP48,"-",$AY48),'Data Consolidada'!$K$7:$K$891,0)),MAX('Data Consolidada'!$E$7:$E$3000))))</f>
        <v/>
      </c>
      <c r="CD48" s="32" t="str">
        <f>+IF(CD$3="","",IF($AY48="","",IFERROR(INDEX('Data Consolidada'!$E$7:$E$891,MATCH(CONCATENATE(CD$3,"-",$CP48,"-",$AY48),'Data Consolidada'!$K$7:$K$891,0)),MAX('Data Consolidada'!$E$7:$E$3000))))</f>
        <v/>
      </c>
      <c r="CE48" s="32" t="str">
        <f>+IF(CE$3="","",IF($AY48="","",IFERROR(INDEX('Data Consolidada'!$E$7:$E$891,MATCH(CONCATENATE(CE$3,"-",$CP48,"-",$AY48),'Data Consolidada'!$K$7:$K$891,0)),MAX('Data Consolidada'!$E$7:$E$3000))))</f>
        <v/>
      </c>
      <c r="CF48" s="32" t="str">
        <f>+IF(CF$3="","",IF($AY48="","",IFERROR(INDEX('Data Consolidada'!$E$7:$E$891,MATCH(CONCATENATE(CF$3,"-",$CP48,"-",$AY48),'Data Consolidada'!$K$7:$K$891,0)),MAX('Data Consolidada'!$E$7:$E$3000))))</f>
        <v/>
      </c>
      <c r="CG48" s="32" t="str">
        <f>+IF(CG$3="","",IF($AY48="","",IFERROR(INDEX('Data Consolidada'!$E$7:$E$891,MATCH(CONCATENATE(CG$3,"-",$CP48,"-",$AY48),'Data Consolidada'!$K$7:$K$891,0)),MAX('Data Consolidada'!$E$7:$E$3000))))</f>
        <v/>
      </c>
      <c r="CH48" s="32" t="str">
        <f>+IF(CH$3="","",IF($AY48="","",IFERROR(INDEX('Data Consolidada'!$E$7:$E$891,MATCH(CONCATENATE(CH$3,"-",$CP48,"-",$AY48),'Data Consolidada'!$K$7:$K$891,0)),MAX('Data Consolidada'!$E$7:$E$3000))))</f>
        <v/>
      </c>
      <c r="CI48" s="32" t="str">
        <f>+IF(CI$3="","",IF($AY48="","",IFERROR(INDEX('Data Consolidada'!$E$7:$E$891,MATCH(CONCATENATE(CI$3,"-",$CP48,"-",$AY48),'Data Consolidada'!$K$7:$K$891,0)),MAX('Data Consolidada'!$E$7:$E$3000))))</f>
        <v/>
      </c>
      <c r="CJ48" s="32" t="str">
        <f>+IF(CJ$3="","",IF($AY48="","",IFERROR(INDEX('Data Consolidada'!$E$7:$E$891,MATCH(CONCATENATE(CJ$3,"-",$CP48,"-",$AY48),'Data Consolidada'!$K$7:$K$891,0)),MAX('Data Consolidada'!$E$7:$E$3000))))</f>
        <v/>
      </c>
      <c r="CK48" s="32" t="str">
        <f>+IF(CK$3="","",IF($AY48="","",IFERROR(INDEX('Data Consolidada'!$E$7:$E$891,MATCH(CONCATENATE(CK$3,"-",$CP48,"-",$AY48),'Data Consolidada'!$K$7:$K$891,0)),MAX('Data Consolidada'!$E$7:$E$3000))))</f>
        <v/>
      </c>
      <c r="CL48" s="32" t="str">
        <f>+IF(CL$3="","",IF($AY48="","",IFERROR(INDEX('Data Consolidada'!$E$7:$E$891,MATCH(CONCATENATE(CL$3,"-",$CP48,"-",$AY48),'Data Consolidada'!$K$7:$K$891,0)),MAX('Data Consolidada'!$E$7:$E$3000))))</f>
        <v/>
      </c>
      <c r="CM48" s="32" t="str">
        <f>+IF(CM$3="","",IF($AY48="","",IFERROR(INDEX('Data Consolidada'!$E$7:$E$891,MATCH(CONCATENATE(CM$3,"-",$CP48,"-",$AY48),'Data Consolidada'!$K$7:$K$891,0)),MAX('Data Consolidada'!$E$7:$E$3000))))</f>
        <v/>
      </c>
      <c r="CN48" s="32" t="str">
        <f>+IF(CN$3="","",IF($AY48="","",IFERROR(INDEX('Data Consolidada'!$E$7:$E$891,MATCH(CONCATENATE(CN$3,"-",$CP48,"-",$AY48),'Data Consolidada'!$K$7:$K$891,0)),MAX('Data Consolidada'!$E$7:$E$3000))))</f>
        <v/>
      </c>
      <c r="CO48" s="37" t="str">
        <f>+IF(CO$3="","",IF($AY48="","",IFERROR(INDEX('Data Consolidada'!$E$7:$E$891,MATCH(CONCATENATE(CO$3,"-",$CP48,"-",$AY48),'Data Consolidada'!$K$7:$K$891,0)),MAX('Data Consolidada'!$E$7:$E$3000))))</f>
        <v/>
      </c>
      <c r="CP48" s="224">
        <f t="shared" ca="1" si="2"/>
        <v>0</v>
      </c>
      <c r="CQ48" s="84" t="str">
        <f t="shared" ca="1" si="3"/>
        <v>Manuel Sepúlveda 0</v>
      </c>
    </row>
    <row r="49" spans="2:95" ht="15" customHeight="1" x14ac:dyDescent="0.35">
      <c r="B49" s="46"/>
      <c r="C49" s="5"/>
      <c r="D49" s="15"/>
      <c r="F49" s="257"/>
      <c r="G49" s="14"/>
      <c r="H49" s="204"/>
      <c r="I49" s="267" t="str">
        <f t="shared" si="21"/>
        <v/>
      </c>
      <c r="J49" s="268" t="str">
        <f t="shared" si="22"/>
        <v/>
      </c>
      <c r="K49" s="268" t="str">
        <f t="shared" si="23"/>
        <v/>
      </c>
      <c r="L49" s="268" t="str">
        <f t="shared" si="24"/>
        <v/>
      </c>
      <c r="M49" s="268" t="str">
        <f t="shared" si="25"/>
        <v/>
      </c>
      <c r="N49" s="268" t="str">
        <f t="shared" si="26"/>
        <v/>
      </c>
      <c r="O49" s="268" t="str">
        <f t="shared" si="27"/>
        <v/>
      </c>
      <c r="P49" s="268" t="str">
        <f t="shared" si="28"/>
        <v/>
      </c>
      <c r="Q49" s="268" t="str">
        <f t="shared" si="29"/>
        <v/>
      </c>
      <c r="R49" s="268" t="str">
        <f t="shared" si="30"/>
        <v/>
      </c>
      <c r="S49" s="268" t="str">
        <f t="shared" si="31"/>
        <v/>
      </c>
      <c r="T49" s="268" t="str">
        <f t="shared" si="32"/>
        <v/>
      </c>
      <c r="U49" s="268" t="str">
        <f t="shared" si="33"/>
        <v/>
      </c>
      <c r="V49" s="269" t="str">
        <f t="shared" si="34"/>
        <v/>
      </c>
      <c r="W49" s="55" cm="1">
        <f t="array" ref="W49">+IFERROR(_xlfn.IFS(F49="Totes",IF(I49="",0,ROUNDUP(I49*$I$11/$G$9,0))+IF(J49="",0,ROUNDUP(J49*$J$11/$G$9,0))+IF(K49="",0,ROUNDUP(K49*$K$11/$G$9,0))+IF(L49="",0,ROUNDUP(L49*$L$11/$G$9,0))+IF(M49="",0,ROUNDUP(M49*$M$11/$G$9,0))+IF(N49="",0,ROUNDUP(N49*$N$11/$G$9,0))+IF(O49="",0,ROUNDUP(O49*$O$11/$G$9,0))+IF(P49="",0,ROUNDUP(P49*$P$11/$G$9,0))+IF(Q49="",0,ROUNDUP(Q49*$Q$11/$G$9,0))+IF(R49="",0,ROUNDUP(R49*$R$11/$G$9,0))+IF(S49="",0,ROUNDUP(S49*$S$11/$G$9,0))+IF(T49="",0,ROUNDUP(T49*$T$11/$G$9,0))+IF(U49="",0,ROUNDUP(U49*$U$11/$G$9,0))+IF(V49="",0,ROUNDUP(V49*$V$11/$G$9,0)),F49="Mini Bins",IF(I49="",0,ROUNDUP(I49*$I$11/$J$6,0))+IF(J49="",0,ROUNDUP(J49*$J$11/$J$6,0))+IF(K49="",0,ROUNDUP(K49*$K$11/$J$6,0))+IF(L49="",0,ROUNDUP(L49*$L$11/$J$6,0))+IF(M49="",0,ROUNDUP(M49*$M$11/$J$6,0))+IF(N49="",0,ROUNDUP(N49*$N$11/$J$6,0))+IF(O49="",0,ROUNDUP(O49*$O$11/$J$6,0))+IF(P49="",0,ROUNDUP(P49*$P$11/$J$6,0))+IF(Q49="",0,ROUNDUP(Q49*$Q$11/$J$6,0))+IF(R49="",0,ROUNDUP(R49*$R$11/$J$6,0))+IF(S49="",0,ROUNDUP(S49*$S$11/$J$6,0))+IF(T49="",0,ROUNDUP(T49*$T$11/$J$6,0))+IF(U49="",0,ROUNDUP(U49*$U$11/$J$6,0))+IF(V49="",0,ROUNDUP(V49*$V$11/$J$6,0))),0)</f>
        <v>0</v>
      </c>
      <c r="X49" s="254">
        <f t="shared" si="35"/>
        <v>0</v>
      </c>
      <c r="Y49" s="192"/>
      <c r="Z49" s="245"/>
      <c r="AA49" s="247"/>
      <c r="AB49" s="254" cm="1">
        <f t="array" aca="1" ref="AB49" ca="1">+SUM(IF($B$72:$B$217=Z49,$C$72:$AR$217))</f>
        <v>0</v>
      </c>
      <c r="AC49" s="211">
        <f t="shared" ca="1" si="4"/>
        <v>0</v>
      </c>
      <c r="AF49" s="14"/>
      <c r="AG49" s="204"/>
      <c r="AH49" s="228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6"/>
      <c r="AU49" s="229"/>
      <c r="AW49" s="13">
        <f>+IF(AX49="","",IF(AX49&gt;AX48,AW48,IF(AW48&lt;$D$69,AW48+1,IF(COUNT(AW$4:AW48)&lt;$B$69*$E$54,1,""))))</f>
        <v>4</v>
      </c>
      <c r="AX49" s="13">
        <f>+IF(AX48&lt;$B$69,AX48+1,IF(COUNT(AX$4:AX48)&lt;$B$69*$D$69,1,""))</f>
        <v>7</v>
      </c>
      <c r="AY49" s="189" t="str">
        <f t="shared" ca="1" si="1"/>
        <v>PARRAO</v>
      </c>
      <c r="AZ49" s="36">
        <f ca="1">+IF(AZ$3="","",IF($AY49="","",IFERROR(INDEX('Data Consolidada'!$E$7:$E$891,MATCH(CONCATENATE(AZ$3,"-",$CP49,"-",$AY49),'Data Consolidada'!$K$7:$K$891,0)),MAX('Data Consolidada'!$E$7:$E$3000))))</f>
        <v>11000000</v>
      </c>
      <c r="BA49" s="32">
        <f ca="1">+IF(BA$3="","",IF($AY49="","",IFERROR(INDEX('Data Consolidada'!$E$7:$E$891,MATCH(CONCATENATE(BA$3,"-",$CP49,"-",$AY49),'Data Consolidada'!$K$7:$K$891,0)),MAX('Data Consolidada'!$E$7:$E$3000))))</f>
        <v>11000000</v>
      </c>
      <c r="BB49" s="32" t="str">
        <f>+IF(BB$3="","",IF($AY49="","",IFERROR(INDEX('Data Consolidada'!$E$7:$E$891,MATCH(CONCATENATE(BB$3,"-",$CP49,"-",$AY49),'Data Consolidada'!$K$7:$K$891,0)),MAX('Data Consolidada'!$E$7:$E$3000))))</f>
        <v/>
      </c>
      <c r="BC49" s="32" t="str">
        <f>+IF(BC$3="","",IF($AY49="","",IFERROR(INDEX('Data Consolidada'!$E$7:$E$891,MATCH(CONCATENATE(BC$3,"-",$CP49,"-",$AY49),'Data Consolidada'!$K$7:$K$891,0)),MAX('Data Consolidada'!$E$7:$E$3000))))</f>
        <v/>
      </c>
      <c r="BD49" s="32" t="str">
        <f>+IF(BD$3="","",IF($AY49="","",IFERROR(INDEX('Data Consolidada'!$E$7:$E$891,MATCH(CONCATENATE(BD$3,"-",$CP49,"-",$AY49),'Data Consolidada'!$K$7:$K$891,0)),MAX('Data Consolidada'!$E$7:$E$3000))))</f>
        <v/>
      </c>
      <c r="BE49" s="32" t="str">
        <f>+IF(BE$3="","",IF($AY49="","",IFERROR(INDEX('Data Consolidada'!$E$7:$E$891,MATCH(CONCATENATE(BE$3,"-",$CP49,"-",$AY49),'Data Consolidada'!$K$7:$K$891,0)),MAX('Data Consolidada'!$E$7:$E$3000))))</f>
        <v/>
      </c>
      <c r="BF49" s="32" t="str">
        <f>+IF(BF$3="","",IF($AY49="","",IFERROR(INDEX('Data Consolidada'!$E$7:$E$891,MATCH(CONCATENATE(BF$3,"-",$CP49,"-",$AY49),'Data Consolidada'!$K$7:$K$891,0)),MAX('Data Consolidada'!$E$7:$E$3000))))</f>
        <v/>
      </c>
      <c r="BG49" s="32" t="str">
        <f>+IF(BG$3="","",IF($AY49="","",IFERROR(INDEX('Data Consolidada'!$E$7:$E$891,MATCH(CONCATENATE(BG$3,"-",$CP49,"-",$AY49),'Data Consolidada'!$K$7:$K$891,0)),MAX('Data Consolidada'!$E$7:$E$3000))))</f>
        <v/>
      </c>
      <c r="BH49" s="32" t="str">
        <f>+IF(BH$3="","",IF($AY49="","",IFERROR(INDEX('Data Consolidada'!$E$7:$E$891,MATCH(CONCATENATE(BH$3,"-",$CP49,"-",$AY49),'Data Consolidada'!$K$7:$K$891,0)),MAX('Data Consolidada'!$E$7:$E$3000))))</f>
        <v/>
      </c>
      <c r="BI49" s="32" t="str">
        <f>+IF(BI$3="","",IF($AY49="","",IFERROR(INDEX('Data Consolidada'!$E$7:$E$891,MATCH(CONCATENATE(BI$3,"-",$CP49,"-",$AY49),'Data Consolidada'!$K$7:$K$891,0)),MAX('Data Consolidada'!$E$7:$E$3000))))</f>
        <v/>
      </c>
      <c r="BJ49" s="32" t="str">
        <f>+IF(BJ$3="","",IF($AY49="","",IFERROR(INDEX('Data Consolidada'!$E$7:$E$891,MATCH(CONCATENATE(BJ$3,"-",$CP49,"-",$AY49),'Data Consolidada'!$K$7:$K$891,0)),MAX('Data Consolidada'!$E$7:$E$3000))))</f>
        <v/>
      </c>
      <c r="BK49" s="32" t="str">
        <f>+IF(BK$3="","",IF($AY49="","",IFERROR(INDEX('Data Consolidada'!$E$7:$E$891,MATCH(CONCATENATE(BK$3,"-",$CP49,"-",$AY49),'Data Consolidada'!$K$7:$K$891,0)),MAX('Data Consolidada'!$E$7:$E$3000))))</f>
        <v/>
      </c>
      <c r="BL49" s="32" t="str">
        <f>+IF(BL$3="","",IF($AY49="","",IFERROR(INDEX('Data Consolidada'!$E$7:$E$891,MATCH(CONCATENATE(BL$3,"-",$CP49,"-",$AY49),'Data Consolidada'!$K$7:$K$891,0)),MAX('Data Consolidada'!$E$7:$E$3000))))</f>
        <v/>
      </c>
      <c r="BM49" s="32" t="str">
        <f>+IF(BM$3="","",IF($AY49="","",IFERROR(INDEX('Data Consolidada'!$E$7:$E$891,MATCH(CONCATENATE(BM$3,"-",$CP49,"-",$AY49),'Data Consolidada'!$K$7:$K$891,0)),MAX('Data Consolidada'!$E$7:$E$3000))))</f>
        <v/>
      </c>
      <c r="BN49" s="32" t="str">
        <f>+IF(BN$3="","",IF($AY49="","",IFERROR(INDEX('Data Consolidada'!$E$7:$E$891,MATCH(CONCATENATE(BN$3,"-",$CP49,"-",$AY49),'Data Consolidada'!$K$7:$K$891,0)),MAX('Data Consolidada'!$E$7:$E$3000))))</f>
        <v/>
      </c>
      <c r="BO49" s="32" t="str">
        <f>+IF(BO$3="","",IF($AY49="","",IFERROR(INDEX('Data Consolidada'!$E$7:$E$891,MATCH(CONCATENATE(BO$3,"-",$CP49,"-",$AY49),'Data Consolidada'!$K$7:$K$891,0)),MAX('Data Consolidada'!$E$7:$E$3000))))</f>
        <v/>
      </c>
      <c r="BP49" s="32" t="str">
        <f>+IF(BP$3="","",IF($AY49="","",IFERROR(INDEX('Data Consolidada'!$E$7:$E$891,MATCH(CONCATENATE(BP$3,"-",$CP49,"-",$AY49),'Data Consolidada'!$K$7:$K$891,0)),MAX('Data Consolidada'!$E$7:$E$3000))))</f>
        <v/>
      </c>
      <c r="BQ49" s="32" t="str">
        <f>+IF(BQ$3="","",IF($AY49="","",IFERROR(INDEX('Data Consolidada'!$E$7:$E$891,MATCH(CONCATENATE(BQ$3,"-",$CP49,"-",$AY49),'Data Consolidada'!$K$7:$K$891,0)),MAX('Data Consolidada'!$E$7:$E$3000))))</f>
        <v/>
      </c>
      <c r="BR49" s="32" t="str">
        <f>+IF(BR$3="","",IF($AY49="","",IFERROR(INDEX('Data Consolidada'!$E$7:$E$891,MATCH(CONCATENATE(BR$3,"-",$CP49,"-",$AY49),'Data Consolidada'!$K$7:$K$891,0)),MAX('Data Consolidada'!$E$7:$E$3000))))</f>
        <v/>
      </c>
      <c r="BS49" s="32" t="str">
        <f>+IF(BS$3="","",IF($AY49="","",IFERROR(INDEX('Data Consolidada'!$E$7:$E$891,MATCH(CONCATENATE(BS$3,"-",$CP49,"-",$AY49),'Data Consolidada'!$K$7:$K$891,0)),MAX('Data Consolidada'!$E$7:$E$3000))))</f>
        <v/>
      </c>
      <c r="BT49" s="32" t="str">
        <f>+IF(BT$3="","",IF($AY49="","",IFERROR(INDEX('Data Consolidada'!$E$7:$E$891,MATCH(CONCATENATE(BT$3,"-",$CP49,"-",$AY49),'Data Consolidada'!$K$7:$K$891,0)),MAX('Data Consolidada'!$E$7:$E$3000))))</f>
        <v/>
      </c>
      <c r="BU49" s="32" t="str">
        <f>+IF(BU$3="","",IF($AY49="","",IFERROR(INDEX('Data Consolidada'!$E$7:$E$891,MATCH(CONCATENATE(BU$3,"-",$CP49,"-",$AY49),'Data Consolidada'!$K$7:$K$891,0)),MAX('Data Consolidada'!$E$7:$E$3000))))</f>
        <v/>
      </c>
      <c r="BV49" s="32" t="str">
        <f>+IF(BV$3="","",IF($AY49="","",IFERROR(INDEX('Data Consolidada'!$E$7:$E$891,MATCH(CONCATENATE(BV$3,"-",$CP49,"-",$AY49),'Data Consolidada'!$K$7:$K$891,0)),MAX('Data Consolidada'!$E$7:$E$3000))))</f>
        <v/>
      </c>
      <c r="BW49" s="32" t="str">
        <f>+IF(BW$3="","",IF($AY49="","",IFERROR(INDEX('Data Consolidada'!$E$7:$E$891,MATCH(CONCATENATE(BW$3,"-",$CP49,"-",$AY49),'Data Consolidada'!$K$7:$K$891,0)),MAX('Data Consolidada'!$E$7:$E$3000))))</f>
        <v/>
      </c>
      <c r="BX49" s="32" t="str">
        <f>+IF(BX$3="","",IF($AY49="","",IFERROR(INDEX('Data Consolidada'!$E$7:$E$891,MATCH(CONCATENATE(BX$3,"-",$CP49,"-",$AY49),'Data Consolidada'!$K$7:$K$891,0)),MAX('Data Consolidada'!$E$7:$E$3000))))</f>
        <v/>
      </c>
      <c r="BY49" s="32" t="str">
        <f>+IF(BY$3="","",IF($AY49="","",IFERROR(INDEX('Data Consolidada'!$E$7:$E$891,MATCH(CONCATENATE(BY$3,"-",$CP49,"-",$AY49),'Data Consolidada'!$K$7:$K$891,0)),MAX('Data Consolidada'!$E$7:$E$3000))))</f>
        <v/>
      </c>
      <c r="BZ49" s="32" t="str">
        <f>+IF(BZ$3="","",IF($AY49="","",IFERROR(INDEX('Data Consolidada'!$E$7:$E$891,MATCH(CONCATENATE(BZ$3,"-",$CP49,"-",$AY49),'Data Consolidada'!$K$7:$K$891,0)),MAX('Data Consolidada'!$E$7:$E$3000))))</f>
        <v/>
      </c>
      <c r="CA49" s="32" t="str">
        <f>+IF(CA$3="","",IF($AY49="","",IFERROR(INDEX('Data Consolidada'!$E$7:$E$891,MATCH(CONCATENATE(CA$3,"-",$CP49,"-",$AY49),'Data Consolidada'!$K$7:$K$891,0)),MAX('Data Consolidada'!$E$7:$E$3000))))</f>
        <v/>
      </c>
      <c r="CB49" s="32" t="str">
        <f>+IF(CB$3="","",IF($AY49="","",IFERROR(INDEX('Data Consolidada'!$E$7:$E$891,MATCH(CONCATENATE(CB$3,"-",$CP49,"-",$AY49),'Data Consolidada'!$K$7:$K$891,0)),MAX('Data Consolidada'!$E$7:$E$3000))))</f>
        <v/>
      </c>
      <c r="CC49" s="32" t="str">
        <f>+IF(CC$3="","",IF($AY49="","",IFERROR(INDEX('Data Consolidada'!$E$7:$E$891,MATCH(CONCATENATE(CC$3,"-",$CP49,"-",$AY49),'Data Consolidada'!$K$7:$K$891,0)),MAX('Data Consolidada'!$E$7:$E$3000))))</f>
        <v/>
      </c>
      <c r="CD49" s="32" t="str">
        <f>+IF(CD$3="","",IF($AY49="","",IFERROR(INDEX('Data Consolidada'!$E$7:$E$891,MATCH(CONCATENATE(CD$3,"-",$CP49,"-",$AY49),'Data Consolidada'!$K$7:$K$891,0)),MAX('Data Consolidada'!$E$7:$E$3000))))</f>
        <v/>
      </c>
      <c r="CE49" s="32" t="str">
        <f>+IF(CE$3="","",IF($AY49="","",IFERROR(INDEX('Data Consolidada'!$E$7:$E$891,MATCH(CONCATENATE(CE$3,"-",$CP49,"-",$AY49),'Data Consolidada'!$K$7:$K$891,0)),MAX('Data Consolidada'!$E$7:$E$3000))))</f>
        <v/>
      </c>
      <c r="CF49" s="32" t="str">
        <f>+IF(CF$3="","",IF($AY49="","",IFERROR(INDEX('Data Consolidada'!$E$7:$E$891,MATCH(CONCATENATE(CF$3,"-",$CP49,"-",$AY49),'Data Consolidada'!$K$7:$K$891,0)),MAX('Data Consolidada'!$E$7:$E$3000))))</f>
        <v/>
      </c>
      <c r="CG49" s="32" t="str">
        <f>+IF(CG$3="","",IF($AY49="","",IFERROR(INDEX('Data Consolidada'!$E$7:$E$891,MATCH(CONCATENATE(CG$3,"-",$CP49,"-",$AY49),'Data Consolidada'!$K$7:$K$891,0)),MAX('Data Consolidada'!$E$7:$E$3000))))</f>
        <v/>
      </c>
      <c r="CH49" s="32" t="str">
        <f>+IF(CH$3="","",IF($AY49="","",IFERROR(INDEX('Data Consolidada'!$E$7:$E$891,MATCH(CONCATENATE(CH$3,"-",$CP49,"-",$AY49),'Data Consolidada'!$K$7:$K$891,0)),MAX('Data Consolidada'!$E$7:$E$3000))))</f>
        <v/>
      </c>
      <c r="CI49" s="32" t="str">
        <f>+IF(CI$3="","",IF($AY49="","",IFERROR(INDEX('Data Consolidada'!$E$7:$E$891,MATCH(CONCATENATE(CI$3,"-",$CP49,"-",$AY49),'Data Consolidada'!$K$7:$K$891,0)),MAX('Data Consolidada'!$E$7:$E$3000))))</f>
        <v/>
      </c>
      <c r="CJ49" s="32" t="str">
        <f>+IF(CJ$3="","",IF($AY49="","",IFERROR(INDEX('Data Consolidada'!$E$7:$E$891,MATCH(CONCATENATE(CJ$3,"-",$CP49,"-",$AY49),'Data Consolidada'!$K$7:$K$891,0)),MAX('Data Consolidada'!$E$7:$E$3000))))</f>
        <v/>
      </c>
      <c r="CK49" s="32" t="str">
        <f>+IF(CK$3="","",IF($AY49="","",IFERROR(INDEX('Data Consolidada'!$E$7:$E$891,MATCH(CONCATENATE(CK$3,"-",$CP49,"-",$AY49),'Data Consolidada'!$K$7:$K$891,0)),MAX('Data Consolidada'!$E$7:$E$3000))))</f>
        <v/>
      </c>
      <c r="CL49" s="32" t="str">
        <f>+IF(CL$3="","",IF($AY49="","",IFERROR(INDEX('Data Consolidada'!$E$7:$E$891,MATCH(CONCATENATE(CL$3,"-",$CP49,"-",$AY49),'Data Consolidada'!$K$7:$K$891,0)),MAX('Data Consolidada'!$E$7:$E$3000))))</f>
        <v/>
      </c>
      <c r="CM49" s="32" t="str">
        <f>+IF(CM$3="","",IF($AY49="","",IFERROR(INDEX('Data Consolidada'!$E$7:$E$891,MATCH(CONCATENATE(CM$3,"-",$CP49,"-",$AY49),'Data Consolidada'!$K$7:$K$891,0)),MAX('Data Consolidada'!$E$7:$E$3000))))</f>
        <v/>
      </c>
      <c r="CN49" s="32" t="str">
        <f>+IF(CN$3="","",IF($AY49="","",IFERROR(INDEX('Data Consolidada'!$E$7:$E$891,MATCH(CONCATENATE(CN$3,"-",$CP49,"-",$AY49),'Data Consolidada'!$K$7:$K$891,0)),MAX('Data Consolidada'!$E$7:$E$3000))))</f>
        <v/>
      </c>
      <c r="CO49" s="37" t="str">
        <f>+IF(CO$3="","",IF($AY49="","",IFERROR(INDEX('Data Consolidada'!$E$7:$E$891,MATCH(CONCATENATE(CO$3,"-",$CP49,"-",$AY49),'Data Consolidada'!$K$7:$K$891,0)),MAX('Data Consolidada'!$E$7:$E$3000))))</f>
        <v/>
      </c>
      <c r="CP49" s="224">
        <f t="shared" ca="1" si="2"/>
        <v>0</v>
      </c>
      <c r="CQ49" s="84" t="str">
        <f t="shared" ca="1" si="3"/>
        <v>PARRAO0</v>
      </c>
    </row>
    <row r="50" spans="2:95" ht="15" customHeight="1" x14ac:dyDescent="0.35">
      <c r="B50" s="46"/>
      <c r="C50" s="5"/>
      <c r="D50" s="15"/>
      <c r="F50" s="257"/>
      <c r="G50" s="14"/>
      <c r="H50" s="204"/>
      <c r="I50" s="267" t="str">
        <f t="shared" si="21"/>
        <v/>
      </c>
      <c r="J50" s="268" t="str">
        <f t="shared" si="22"/>
        <v/>
      </c>
      <c r="K50" s="268" t="str">
        <f t="shared" si="23"/>
        <v/>
      </c>
      <c r="L50" s="268" t="str">
        <f t="shared" si="24"/>
        <v/>
      </c>
      <c r="M50" s="268" t="str">
        <f t="shared" si="25"/>
        <v/>
      </c>
      <c r="N50" s="268" t="str">
        <f t="shared" si="26"/>
        <v/>
      </c>
      <c r="O50" s="268" t="str">
        <f t="shared" si="27"/>
        <v/>
      </c>
      <c r="P50" s="268" t="str">
        <f t="shared" si="28"/>
        <v/>
      </c>
      <c r="Q50" s="268" t="str">
        <f t="shared" si="29"/>
        <v/>
      </c>
      <c r="R50" s="268" t="str">
        <f t="shared" si="30"/>
        <v/>
      </c>
      <c r="S50" s="268" t="str">
        <f t="shared" si="31"/>
        <v/>
      </c>
      <c r="T50" s="268" t="str">
        <f t="shared" si="32"/>
        <v/>
      </c>
      <c r="U50" s="268" t="str">
        <f t="shared" si="33"/>
        <v/>
      </c>
      <c r="V50" s="269" t="str">
        <f t="shared" si="34"/>
        <v/>
      </c>
      <c r="W50" s="55" cm="1">
        <f t="array" ref="W50">+IFERROR(_xlfn.IFS(F50="Totes",IF(I50="",0,ROUNDUP(I50*$I$11/$G$9,0))+IF(J50="",0,ROUNDUP(J50*$J$11/$G$9,0))+IF(K50="",0,ROUNDUP(K50*$K$11/$G$9,0))+IF(L50="",0,ROUNDUP(L50*$L$11/$G$9,0))+IF(M50="",0,ROUNDUP(M50*$M$11/$G$9,0))+IF(N50="",0,ROUNDUP(N50*$N$11/$G$9,0))+IF(O50="",0,ROUNDUP(O50*$O$11/$G$9,0))+IF(P50="",0,ROUNDUP(P50*$P$11/$G$9,0))+IF(Q50="",0,ROUNDUP(Q50*$Q$11/$G$9,0))+IF(R50="",0,ROUNDUP(R50*$R$11/$G$9,0))+IF(S50="",0,ROUNDUP(S50*$S$11/$G$9,0))+IF(T50="",0,ROUNDUP(T50*$T$11/$G$9,0))+IF(U50="",0,ROUNDUP(U50*$U$11/$G$9,0))+IF(V50="",0,ROUNDUP(V50*$V$11/$G$9,0)),F50="Mini Bins",IF(I50="",0,ROUNDUP(I50*$I$11/$J$6,0))+IF(J50="",0,ROUNDUP(J50*$J$11/$J$6,0))+IF(K50="",0,ROUNDUP(K50*$K$11/$J$6,0))+IF(L50="",0,ROUNDUP(L50*$L$11/$J$6,0))+IF(M50="",0,ROUNDUP(M50*$M$11/$J$6,0))+IF(N50="",0,ROUNDUP(N50*$N$11/$J$6,0))+IF(O50="",0,ROUNDUP(O50*$O$11/$J$6,0))+IF(P50="",0,ROUNDUP(P50*$P$11/$J$6,0))+IF(Q50="",0,ROUNDUP(Q50*$Q$11/$J$6,0))+IF(R50="",0,ROUNDUP(R50*$R$11/$J$6,0))+IF(S50="",0,ROUNDUP(S50*$S$11/$J$6,0))+IF(T50="",0,ROUNDUP(T50*$T$11/$J$6,0))+IF(U50="",0,ROUNDUP(U50*$U$11/$J$6,0))+IF(V50="",0,ROUNDUP(V50*$V$11/$J$6,0))),0)</f>
        <v>0</v>
      </c>
      <c r="X50" s="254">
        <f t="shared" si="35"/>
        <v>0</v>
      </c>
      <c r="Y50" s="192"/>
      <c r="Z50" s="245"/>
      <c r="AA50" s="247"/>
      <c r="AB50" s="254" cm="1">
        <f t="array" aca="1" ref="AB50" ca="1">+SUM(IF($B$72:$B$217=Z50,$C$72:$AR$217))</f>
        <v>0</v>
      </c>
      <c r="AC50" s="211">
        <f t="shared" ca="1" si="4"/>
        <v>0</v>
      </c>
      <c r="AF50" s="14"/>
      <c r="AG50" s="204"/>
      <c r="AH50" s="228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6"/>
      <c r="AU50" s="229"/>
      <c r="AW50" s="13">
        <f>+IF(AX50="","",IF(AX50&gt;AX49,AW49,IF(AW49&lt;$D$69,AW49+1,IF(COUNT(AW$4:AW49)&lt;$B$69*$E$54,1,""))))</f>
        <v>4</v>
      </c>
      <c r="AX50" s="13">
        <f>+IF(AX49&lt;$B$69,AX49+1,IF(COUNT(AX$4:AX49)&lt;$B$69*$D$69,1,""))</f>
        <v>8</v>
      </c>
      <c r="AY50" s="189" t="str">
        <f t="shared" ca="1" si="1"/>
        <v>PAULA</v>
      </c>
      <c r="AZ50" s="36">
        <f ca="1">+IF(AZ$3="","",IF($AY50="","",IFERROR(INDEX('Data Consolidada'!$E$7:$E$891,MATCH(CONCATENATE(AZ$3,"-",$CP50,"-",$AY50),'Data Consolidada'!$K$7:$K$891,0)),MAX('Data Consolidada'!$E$7:$E$3000))))</f>
        <v>11000000</v>
      </c>
      <c r="BA50" s="32">
        <f ca="1">+IF(BA$3="","",IF($AY50="","",IFERROR(INDEX('Data Consolidada'!$E$7:$E$891,MATCH(CONCATENATE(BA$3,"-",$CP50,"-",$AY50),'Data Consolidada'!$K$7:$K$891,0)),MAX('Data Consolidada'!$E$7:$E$3000))))</f>
        <v>11000000</v>
      </c>
      <c r="BB50" s="32" t="str">
        <f>+IF(BB$3="","",IF($AY50="","",IFERROR(INDEX('Data Consolidada'!$E$7:$E$891,MATCH(CONCATENATE(BB$3,"-",$CP50,"-",$AY50),'Data Consolidada'!$K$7:$K$891,0)),MAX('Data Consolidada'!$E$7:$E$3000))))</f>
        <v/>
      </c>
      <c r="BC50" s="32" t="str">
        <f>+IF(BC$3="","",IF($AY50="","",IFERROR(INDEX('Data Consolidada'!$E$7:$E$891,MATCH(CONCATENATE(BC$3,"-",$CP50,"-",$AY50),'Data Consolidada'!$K$7:$K$891,0)),MAX('Data Consolidada'!$E$7:$E$3000))))</f>
        <v/>
      </c>
      <c r="BD50" s="32" t="str">
        <f>+IF(BD$3="","",IF($AY50="","",IFERROR(INDEX('Data Consolidada'!$E$7:$E$891,MATCH(CONCATENATE(BD$3,"-",$CP50,"-",$AY50),'Data Consolidada'!$K$7:$K$891,0)),MAX('Data Consolidada'!$E$7:$E$3000))))</f>
        <v/>
      </c>
      <c r="BE50" s="32" t="str">
        <f>+IF(BE$3="","",IF($AY50="","",IFERROR(INDEX('Data Consolidada'!$E$7:$E$891,MATCH(CONCATENATE(BE$3,"-",$CP50,"-",$AY50),'Data Consolidada'!$K$7:$K$891,0)),MAX('Data Consolidada'!$E$7:$E$3000))))</f>
        <v/>
      </c>
      <c r="BF50" s="32" t="str">
        <f>+IF(BF$3="","",IF($AY50="","",IFERROR(INDEX('Data Consolidada'!$E$7:$E$891,MATCH(CONCATENATE(BF$3,"-",$CP50,"-",$AY50),'Data Consolidada'!$K$7:$K$891,0)),MAX('Data Consolidada'!$E$7:$E$3000))))</f>
        <v/>
      </c>
      <c r="BG50" s="32" t="str">
        <f>+IF(BG$3="","",IF($AY50="","",IFERROR(INDEX('Data Consolidada'!$E$7:$E$891,MATCH(CONCATENATE(BG$3,"-",$CP50,"-",$AY50),'Data Consolidada'!$K$7:$K$891,0)),MAX('Data Consolidada'!$E$7:$E$3000))))</f>
        <v/>
      </c>
      <c r="BH50" s="32" t="str">
        <f>+IF(BH$3="","",IF($AY50="","",IFERROR(INDEX('Data Consolidada'!$E$7:$E$891,MATCH(CONCATENATE(BH$3,"-",$CP50,"-",$AY50),'Data Consolidada'!$K$7:$K$891,0)),MAX('Data Consolidada'!$E$7:$E$3000))))</f>
        <v/>
      </c>
      <c r="BI50" s="32" t="str">
        <f>+IF(BI$3="","",IF($AY50="","",IFERROR(INDEX('Data Consolidada'!$E$7:$E$891,MATCH(CONCATENATE(BI$3,"-",$CP50,"-",$AY50),'Data Consolidada'!$K$7:$K$891,0)),MAX('Data Consolidada'!$E$7:$E$3000))))</f>
        <v/>
      </c>
      <c r="BJ50" s="32" t="str">
        <f>+IF(BJ$3="","",IF($AY50="","",IFERROR(INDEX('Data Consolidada'!$E$7:$E$891,MATCH(CONCATENATE(BJ$3,"-",$CP50,"-",$AY50),'Data Consolidada'!$K$7:$K$891,0)),MAX('Data Consolidada'!$E$7:$E$3000))))</f>
        <v/>
      </c>
      <c r="BK50" s="32" t="str">
        <f>+IF(BK$3="","",IF($AY50="","",IFERROR(INDEX('Data Consolidada'!$E$7:$E$891,MATCH(CONCATENATE(BK$3,"-",$CP50,"-",$AY50),'Data Consolidada'!$K$7:$K$891,0)),MAX('Data Consolidada'!$E$7:$E$3000))))</f>
        <v/>
      </c>
      <c r="BL50" s="32" t="str">
        <f>+IF(BL$3="","",IF($AY50="","",IFERROR(INDEX('Data Consolidada'!$E$7:$E$891,MATCH(CONCATENATE(BL$3,"-",$CP50,"-",$AY50),'Data Consolidada'!$K$7:$K$891,0)),MAX('Data Consolidada'!$E$7:$E$3000))))</f>
        <v/>
      </c>
      <c r="BM50" s="32" t="str">
        <f>+IF(BM$3="","",IF($AY50="","",IFERROR(INDEX('Data Consolidada'!$E$7:$E$891,MATCH(CONCATENATE(BM$3,"-",$CP50,"-",$AY50),'Data Consolidada'!$K$7:$K$891,0)),MAX('Data Consolidada'!$E$7:$E$3000))))</f>
        <v/>
      </c>
      <c r="BN50" s="32" t="str">
        <f>+IF(BN$3="","",IF($AY50="","",IFERROR(INDEX('Data Consolidada'!$E$7:$E$891,MATCH(CONCATENATE(BN$3,"-",$CP50,"-",$AY50),'Data Consolidada'!$K$7:$K$891,0)),MAX('Data Consolidada'!$E$7:$E$3000))))</f>
        <v/>
      </c>
      <c r="BO50" s="32" t="str">
        <f>+IF(BO$3="","",IF($AY50="","",IFERROR(INDEX('Data Consolidada'!$E$7:$E$891,MATCH(CONCATENATE(BO$3,"-",$CP50,"-",$AY50),'Data Consolidada'!$K$7:$K$891,0)),MAX('Data Consolidada'!$E$7:$E$3000))))</f>
        <v/>
      </c>
      <c r="BP50" s="32" t="str">
        <f>+IF(BP$3="","",IF($AY50="","",IFERROR(INDEX('Data Consolidada'!$E$7:$E$891,MATCH(CONCATENATE(BP$3,"-",$CP50,"-",$AY50),'Data Consolidada'!$K$7:$K$891,0)),MAX('Data Consolidada'!$E$7:$E$3000))))</f>
        <v/>
      </c>
      <c r="BQ50" s="32" t="str">
        <f>+IF(BQ$3="","",IF($AY50="","",IFERROR(INDEX('Data Consolidada'!$E$7:$E$891,MATCH(CONCATENATE(BQ$3,"-",$CP50,"-",$AY50),'Data Consolidada'!$K$7:$K$891,0)),MAX('Data Consolidada'!$E$7:$E$3000))))</f>
        <v/>
      </c>
      <c r="BR50" s="32" t="str">
        <f>+IF(BR$3="","",IF($AY50="","",IFERROR(INDEX('Data Consolidada'!$E$7:$E$891,MATCH(CONCATENATE(BR$3,"-",$CP50,"-",$AY50),'Data Consolidada'!$K$7:$K$891,0)),MAX('Data Consolidada'!$E$7:$E$3000))))</f>
        <v/>
      </c>
      <c r="BS50" s="32" t="str">
        <f>+IF(BS$3="","",IF($AY50="","",IFERROR(INDEX('Data Consolidada'!$E$7:$E$891,MATCH(CONCATENATE(BS$3,"-",$CP50,"-",$AY50),'Data Consolidada'!$K$7:$K$891,0)),MAX('Data Consolidada'!$E$7:$E$3000))))</f>
        <v/>
      </c>
      <c r="BT50" s="32" t="str">
        <f>+IF(BT$3="","",IF($AY50="","",IFERROR(INDEX('Data Consolidada'!$E$7:$E$891,MATCH(CONCATENATE(BT$3,"-",$CP50,"-",$AY50),'Data Consolidada'!$K$7:$K$891,0)),MAX('Data Consolidada'!$E$7:$E$3000))))</f>
        <v/>
      </c>
      <c r="BU50" s="32" t="str">
        <f>+IF(BU$3="","",IF($AY50="","",IFERROR(INDEX('Data Consolidada'!$E$7:$E$891,MATCH(CONCATENATE(BU$3,"-",$CP50,"-",$AY50),'Data Consolidada'!$K$7:$K$891,0)),MAX('Data Consolidada'!$E$7:$E$3000))))</f>
        <v/>
      </c>
      <c r="BV50" s="32" t="str">
        <f>+IF(BV$3="","",IF($AY50="","",IFERROR(INDEX('Data Consolidada'!$E$7:$E$891,MATCH(CONCATENATE(BV$3,"-",$CP50,"-",$AY50),'Data Consolidada'!$K$7:$K$891,0)),MAX('Data Consolidada'!$E$7:$E$3000))))</f>
        <v/>
      </c>
      <c r="BW50" s="32" t="str">
        <f>+IF(BW$3="","",IF($AY50="","",IFERROR(INDEX('Data Consolidada'!$E$7:$E$891,MATCH(CONCATENATE(BW$3,"-",$CP50,"-",$AY50),'Data Consolidada'!$K$7:$K$891,0)),MAX('Data Consolidada'!$E$7:$E$3000))))</f>
        <v/>
      </c>
      <c r="BX50" s="32" t="str">
        <f>+IF(BX$3="","",IF($AY50="","",IFERROR(INDEX('Data Consolidada'!$E$7:$E$891,MATCH(CONCATENATE(BX$3,"-",$CP50,"-",$AY50),'Data Consolidada'!$K$7:$K$891,0)),MAX('Data Consolidada'!$E$7:$E$3000))))</f>
        <v/>
      </c>
      <c r="BY50" s="32" t="str">
        <f>+IF(BY$3="","",IF($AY50="","",IFERROR(INDEX('Data Consolidada'!$E$7:$E$891,MATCH(CONCATENATE(BY$3,"-",$CP50,"-",$AY50),'Data Consolidada'!$K$7:$K$891,0)),MAX('Data Consolidada'!$E$7:$E$3000))))</f>
        <v/>
      </c>
      <c r="BZ50" s="32" t="str">
        <f>+IF(BZ$3="","",IF($AY50="","",IFERROR(INDEX('Data Consolidada'!$E$7:$E$891,MATCH(CONCATENATE(BZ$3,"-",$CP50,"-",$AY50),'Data Consolidada'!$K$7:$K$891,0)),MAX('Data Consolidada'!$E$7:$E$3000))))</f>
        <v/>
      </c>
      <c r="CA50" s="32" t="str">
        <f>+IF(CA$3="","",IF($AY50="","",IFERROR(INDEX('Data Consolidada'!$E$7:$E$891,MATCH(CONCATENATE(CA$3,"-",$CP50,"-",$AY50),'Data Consolidada'!$K$7:$K$891,0)),MAX('Data Consolidada'!$E$7:$E$3000))))</f>
        <v/>
      </c>
      <c r="CB50" s="32" t="str">
        <f>+IF(CB$3="","",IF($AY50="","",IFERROR(INDEX('Data Consolidada'!$E$7:$E$891,MATCH(CONCATENATE(CB$3,"-",$CP50,"-",$AY50),'Data Consolidada'!$K$7:$K$891,0)),MAX('Data Consolidada'!$E$7:$E$3000))))</f>
        <v/>
      </c>
      <c r="CC50" s="32" t="str">
        <f>+IF(CC$3="","",IF($AY50="","",IFERROR(INDEX('Data Consolidada'!$E$7:$E$891,MATCH(CONCATENATE(CC$3,"-",$CP50,"-",$AY50),'Data Consolidada'!$K$7:$K$891,0)),MAX('Data Consolidada'!$E$7:$E$3000))))</f>
        <v/>
      </c>
      <c r="CD50" s="32" t="str">
        <f>+IF(CD$3="","",IF($AY50="","",IFERROR(INDEX('Data Consolidada'!$E$7:$E$891,MATCH(CONCATENATE(CD$3,"-",$CP50,"-",$AY50),'Data Consolidada'!$K$7:$K$891,0)),MAX('Data Consolidada'!$E$7:$E$3000))))</f>
        <v/>
      </c>
      <c r="CE50" s="32" t="str">
        <f>+IF(CE$3="","",IF($AY50="","",IFERROR(INDEX('Data Consolidada'!$E$7:$E$891,MATCH(CONCATENATE(CE$3,"-",$CP50,"-",$AY50),'Data Consolidada'!$K$7:$K$891,0)),MAX('Data Consolidada'!$E$7:$E$3000))))</f>
        <v/>
      </c>
      <c r="CF50" s="32" t="str">
        <f>+IF(CF$3="","",IF($AY50="","",IFERROR(INDEX('Data Consolidada'!$E$7:$E$891,MATCH(CONCATENATE(CF$3,"-",$CP50,"-",$AY50),'Data Consolidada'!$K$7:$K$891,0)),MAX('Data Consolidada'!$E$7:$E$3000))))</f>
        <v/>
      </c>
      <c r="CG50" s="32" t="str">
        <f>+IF(CG$3="","",IF($AY50="","",IFERROR(INDEX('Data Consolidada'!$E$7:$E$891,MATCH(CONCATENATE(CG$3,"-",$CP50,"-",$AY50),'Data Consolidada'!$K$7:$K$891,0)),MAX('Data Consolidada'!$E$7:$E$3000))))</f>
        <v/>
      </c>
      <c r="CH50" s="32" t="str">
        <f>+IF(CH$3="","",IF($AY50="","",IFERROR(INDEX('Data Consolidada'!$E$7:$E$891,MATCH(CONCATENATE(CH$3,"-",$CP50,"-",$AY50),'Data Consolidada'!$K$7:$K$891,0)),MAX('Data Consolidada'!$E$7:$E$3000))))</f>
        <v/>
      </c>
      <c r="CI50" s="32" t="str">
        <f>+IF(CI$3="","",IF($AY50="","",IFERROR(INDEX('Data Consolidada'!$E$7:$E$891,MATCH(CONCATENATE(CI$3,"-",$CP50,"-",$AY50),'Data Consolidada'!$K$7:$K$891,0)),MAX('Data Consolidada'!$E$7:$E$3000))))</f>
        <v/>
      </c>
      <c r="CJ50" s="32" t="str">
        <f>+IF(CJ$3="","",IF($AY50="","",IFERROR(INDEX('Data Consolidada'!$E$7:$E$891,MATCH(CONCATENATE(CJ$3,"-",$CP50,"-",$AY50),'Data Consolidada'!$K$7:$K$891,0)),MAX('Data Consolidada'!$E$7:$E$3000))))</f>
        <v/>
      </c>
      <c r="CK50" s="32" t="str">
        <f>+IF(CK$3="","",IF($AY50="","",IFERROR(INDEX('Data Consolidada'!$E$7:$E$891,MATCH(CONCATENATE(CK$3,"-",$CP50,"-",$AY50),'Data Consolidada'!$K$7:$K$891,0)),MAX('Data Consolidada'!$E$7:$E$3000))))</f>
        <v/>
      </c>
      <c r="CL50" s="32" t="str">
        <f>+IF(CL$3="","",IF($AY50="","",IFERROR(INDEX('Data Consolidada'!$E$7:$E$891,MATCH(CONCATENATE(CL$3,"-",$CP50,"-",$AY50),'Data Consolidada'!$K$7:$K$891,0)),MAX('Data Consolidada'!$E$7:$E$3000))))</f>
        <v/>
      </c>
      <c r="CM50" s="32" t="str">
        <f>+IF(CM$3="","",IF($AY50="","",IFERROR(INDEX('Data Consolidada'!$E$7:$E$891,MATCH(CONCATENATE(CM$3,"-",$CP50,"-",$AY50),'Data Consolidada'!$K$7:$K$891,0)),MAX('Data Consolidada'!$E$7:$E$3000))))</f>
        <v/>
      </c>
      <c r="CN50" s="32" t="str">
        <f>+IF(CN$3="","",IF($AY50="","",IFERROR(INDEX('Data Consolidada'!$E$7:$E$891,MATCH(CONCATENATE(CN$3,"-",$CP50,"-",$AY50),'Data Consolidada'!$K$7:$K$891,0)),MAX('Data Consolidada'!$E$7:$E$3000))))</f>
        <v/>
      </c>
      <c r="CO50" s="37" t="str">
        <f>+IF(CO$3="","",IF($AY50="","",IFERROR(INDEX('Data Consolidada'!$E$7:$E$891,MATCH(CONCATENATE(CO$3,"-",$CP50,"-",$AY50),'Data Consolidada'!$K$7:$K$891,0)),MAX('Data Consolidada'!$E$7:$E$3000))))</f>
        <v/>
      </c>
      <c r="CP50" s="224">
        <f t="shared" ca="1" si="2"/>
        <v>0</v>
      </c>
      <c r="CQ50" s="84" t="str">
        <f t="shared" ca="1" si="3"/>
        <v>PAULA0</v>
      </c>
    </row>
    <row r="51" spans="2:95" ht="15" customHeight="1" x14ac:dyDescent="0.35">
      <c r="B51" s="46"/>
      <c r="C51" s="5"/>
      <c r="D51" s="15"/>
      <c r="F51" s="257"/>
      <c r="G51" s="14"/>
      <c r="H51" s="204"/>
      <c r="I51" s="267" t="str">
        <f t="shared" si="21"/>
        <v/>
      </c>
      <c r="J51" s="268" t="str">
        <f t="shared" si="22"/>
        <v/>
      </c>
      <c r="K51" s="268" t="str">
        <f t="shared" si="23"/>
        <v/>
      </c>
      <c r="L51" s="268" t="str">
        <f t="shared" si="24"/>
        <v/>
      </c>
      <c r="M51" s="268" t="str">
        <f t="shared" si="25"/>
        <v/>
      </c>
      <c r="N51" s="268" t="str">
        <f t="shared" si="26"/>
        <v/>
      </c>
      <c r="O51" s="268" t="str">
        <f t="shared" si="27"/>
        <v/>
      </c>
      <c r="P51" s="268" t="str">
        <f t="shared" si="28"/>
        <v/>
      </c>
      <c r="Q51" s="268" t="str">
        <f t="shared" si="29"/>
        <v/>
      </c>
      <c r="R51" s="268" t="str">
        <f t="shared" si="30"/>
        <v/>
      </c>
      <c r="S51" s="268" t="str">
        <f t="shared" si="31"/>
        <v/>
      </c>
      <c r="T51" s="268" t="str">
        <f t="shared" si="32"/>
        <v/>
      </c>
      <c r="U51" s="268" t="str">
        <f t="shared" si="33"/>
        <v/>
      </c>
      <c r="V51" s="269" t="str">
        <f t="shared" si="34"/>
        <v/>
      </c>
      <c r="W51" s="55" cm="1">
        <f t="array" ref="W51">+IFERROR(_xlfn.IFS(F51="Totes",IF(I51="",0,ROUNDUP(I51*$I$11/$G$9,0))+IF(J51="",0,ROUNDUP(J51*$J$11/$G$9,0))+IF(K51="",0,ROUNDUP(K51*$K$11/$G$9,0))+IF(L51="",0,ROUNDUP(L51*$L$11/$G$9,0))+IF(M51="",0,ROUNDUP(M51*$M$11/$G$9,0))+IF(N51="",0,ROUNDUP(N51*$N$11/$G$9,0))+IF(O51="",0,ROUNDUP(O51*$O$11/$G$9,0))+IF(P51="",0,ROUNDUP(P51*$P$11/$G$9,0))+IF(Q51="",0,ROUNDUP(Q51*$Q$11/$G$9,0))+IF(R51="",0,ROUNDUP(R51*$R$11/$G$9,0))+IF(S51="",0,ROUNDUP(S51*$S$11/$G$9,0))+IF(T51="",0,ROUNDUP(T51*$T$11/$G$9,0))+IF(U51="",0,ROUNDUP(U51*$U$11/$G$9,0))+IF(V51="",0,ROUNDUP(V51*$V$11/$G$9,0)),F51="Mini Bins",IF(I51="",0,ROUNDUP(I51*$I$11/$J$6,0))+IF(J51="",0,ROUNDUP(J51*$J$11/$J$6,0))+IF(K51="",0,ROUNDUP(K51*$K$11/$J$6,0))+IF(L51="",0,ROUNDUP(L51*$L$11/$J$6,0))+IF(M51="",0,ROUNDUP(M51*$M$11/$J$6,0))+IF(N51="",0,ROUNDUP(N51*$N$11/$J$6,0))+IF(O51="",0,ROUNDUP(O51*$O$11/$J$6,0))+IF(P51="",0,ROUNDUP(P51*$P$11/$J$6,0))+IF(Q51="",0,ROUNDUP(Q51*$Q$11/$J$6,0))+IF(R51="",0,ROUNDUP(R51*$R$11/$J$6,0))+IF(S51="",0,ROUNDUP(S51*$S$11/$J$6,0))+IF(T51="",0,ROUNDUP(T51*$T$11/$J$6,0))+IF(U51="",0,ROUNDUP(U51*$U$11/$J$6,0))+IF(V51="",0,ROUNDUP(V51*$V$11/$J$6,0))),0)</f>
        <v>0</v>
      </c>
      <c r="X51" s="254">
        <f t="shared" si="35"/>
        <v>0</v>
      </c>
      <c r="Y51" s="192"/>
      <c r="Z51" s="245"/>
      <c r="AA51" s="247"/>
      <c r="AB51" s="254" cm="1">
        <f t="array" aca="1" ref="AB51" ca="1">+SUM(IF($B$72:$B$217=Z51,$C$72:$AR$217))</f>
        <v>0</v>
      </c>
      <c r="AC51" s="211">
        <f t="shared" ca="1" si="4"/>
        <v>0</v>
      </c>
      <c r="AF51" s="14"/>
      <c r="AG51" s="204"/>
      <c r="AH51" s="228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6"/>
      <c r="AU51" s="229"/>
      <c r="AW51" s="13">
        <f>+IF(AX51="","",IF(AX51&gt;AX50,AW50,IF(AW50&lt;$D$69,AW50+1,IF(COUNT(AW$4:AW50)&lt;$B$69*$E$54,1,""))))</f>
        <v>4</v>
      </c>
      <c r="AX51" s="13">
        <f>+IF(AX50&lt;$B$69,AX50+1,IF(COUNT(AX$4:AX50)&lt;$B$69*$D$69,1,""))</f>
        <v>9</v>
      </c>
      <c r="AY51" s="189" t="str">
        <f t="shared" ca="1" si="1"/>
        <v>TH TRANSPORTES</v>
      </c>
      <c r="AZ51" s="36">
        <f ca="1">+IF(AZ$3="","",IF($AY51="","",IFERROR(INDEX('Data Consolidada'!$E$7:$E$891,MATCH(CONCATENATE(AZ$3,"-",$CP51,"-",$AY51),'Data Consolidada'!$K$7:$K$891,0)),MAX('Data Consolidada'!$E$7:$E$3000))))</f>
        <v>11000000</v>
      </c>
      <c r="BA51" s="32">
        <f ca="1">+IF(BA$3="","",IF($AY51="","",IFERROR(INDEX('Data Consolidada'!$E$7:$E$891,MATCH(CONCATENATE(BA$3,"-",$CP51,"-",$AY51),'Data Consolidada'!$K$7:$K$891,0)),MAX('Data Consolidada'!$E$7:$E$3000))))</f>
        <v>11000000</v>
      </c>
      <c r="BB51" s="32" t="str">
        <f>+IF(BB$3="","",IF($AY51="","",IFERROR(INDEX('Data Consolidada'!$E$7:$E$891,MATCH(CONCATENATE(BB$3,"-",$CP51,"-",$AY51),'Data Consolidada'!$K$7:$K$891,0)),MAX('Data Consolidada'!$E$7:$E$3000))))</f>
        <v/>
      </c>
      <c r="BC51" s="32" t="str">
        <f>+IF(BC$3="","",IF($AY51="","",IFERROR(INDEX('Data Consolidada'!$E$7:$E$891,MATCH(CONCATENATE(BC$3,"-",$CP51,"-",$AY51),'Data Consolidada'!$K$7:$K$891,0)),MAX('Data Consolidada'!$E$7:$E$3000))))</f>
        <v/>
      </c>
      <c r="BD51" s="32" t="str">
        <f>+IF(BD$3="","",IF($AY51="","",IFERROR(INDEX('Data Consolidada'!$E$7:$E$891,MATCH(CONCATENATE(BD$3,"-",$CP51,"-",$AY51),'Data Consolidada'!$K$7:$K$891,0)),MAX('Data Consolidada'!$E$7:$E$3000))))</f>
        <v/>
      </c>
      <c r="BE51" s="32" t="str">
        <f>+IF(BE$3="","",IF($AY51="","",IFERROR(INDEX('Data Consolidada'!$E$7:$E$891,MATCH(CONCATENATE(BE$3,"-",$CP51,"-",$AY51),'Data Consolidada'!$K$7:$K$891,0)),MAX('Data Consolidada'!$E$7:$E$3000))))</f>
        <v/>
      </c>
      <c r="BF51" s="32" t="str">
        <f>+IF(BF$3="","",IF($AY51="","",IFERROR(INDEX('Data Consolidada'!$E$7:$E$891,MATCH(CONCATENATE(BF$3,"-",$CP51,"-",$AY51),'Data Consolidada'!$K$7:$K$891,0)),MAX('Data Consolidada'!$E$7:$E$3000))))</f>
        <v/>
      </c>
      <c r="BG51" s="32" t="str">
        <f>+IF(BG$3="","",IF($AY51="","",IFERROR(INDEX('Data Consolidada'!$E$7:$E$891,MATCH(CONCATENATE(BG$3,"-",$CP51,"-",$AY51),'Data Consolidada'!$K$7:$K$891,0)),MAX('Data Consolidada'!$E$7:$E$3000))))</f>
        <v/>
      </c>
      <c r="BH51" s="32" t="str">
        <f>+IF(BH$3="","",IF($AY51="","",IFERROR(INDEX('Data Consolidada'!$E$7:$E$891,MATCH(CONCATENATE(BH$3,"-",$CP51,"-",$AY51),'Data Consolidada'!$K$7:$K$891,0)),MAX('Data Consolidada'!$E$7:$E$3000))))</f>
        <v/>
      </c>
      <c r="BI51" s="32" t="str">
        <f>+IF(BI$3="","",IF($AY51="","",IFERROR(INDEX('Data Consolidada'!$E$7:$E$891,MATCH(CONCATENATE(BI$3,"-",$CP51,"-",$AY51),'Data Consolidada'!$K$7:$K$891,0)),MAX('Data Consolidada'!$E$7:$E$3000))))</f>
        <v/>
      </c>
      <c r="BJ51" s="32" t="str">
        <f>+IF(BJ$3="","",IF($AY51="","",IFERROR(INDEX('Data Consolidada'!$E$7:$E$891,MATCH(CONCATENATE(BJ$3,"-",$CP51,"-",$AY51),'Data Consolidada'!$K$7:$K$891,0)),MAX('Data Consolidada'!$E$7:$E$3000))))</f>
        <v/>
      </c>
      <c r="BK51" s="32" t="str">
        <f>+IF(BK$3="","",IF($AY51="","",IFERROR(INDEX('Data Consolidada'!$E$7:$E$891,MATCH(CONCATENATE(BK$3,"-",$CP51,"-",$AY51),'Data Consolidada'!$K$7:$K$891,0)),MAX('Data Consolidada'!$E$7:$E$3000))))</f>
        <v/>
      </c>
      <c r="BL51" s="32" t="str">
        <f>+IF(BL$3="","",IF($AY51="","",IFERROR(INDEX('Data Consolidada'!$E$7:$E$891,MATCH(CONCATENATE(BL$3,"-",$CP51,"-",$AY51),'Data Consolidada'!$K$7:$K$891,0)),MAX('Data Consolidada'!$E$7:$E$3000))))</f>
        <v/>
      </c>
      <c r="BM51" s="32" t="str">
        <f>+IF(BM$3="","",IF($AY51="","",IFERROR(INDEX('Data Consolidada'!$E$7:$E$891,MATCH(CONCATENATE(BM$3,"-",$CP51,"-",$AY51),'Data Consolidada'!$K$7:$K$891,0)),MAX('Data Consolidada'!$E$7:$E$3000))))</f>
        <v/>
      </c>
      <c r="BN51" s="32" t="str">
        <f>+IF(BN$3="","",IF($AY51="","",IFERROR(INDEX('Data Consolidada'!$E$7:$E$891,MATCH(CONCATENATE(BN$3,"-",$CP51,"-",$AY51),'Data Consolidada'!$K$7:$K$891,0)),MAX('Data Consolidada'!$E$7:$E$3000))))</f>
        <v/>
      </c>
      <c r="BO51" s="32" t="str">
        <f>+IF(BO$3="","",IF($AY51="","",IFERROR(INDEX('Data Consolidada'!$E$7:$E$891,MATCH(CONCATENATE(BO$3,"-",$CP51,"-",$AY51),'Data Consolidada'!$K$7:$K$891,0)),MAX('Data Consolidada'!$E$7:$E$3000))))</f>
        <v/>
      </c>
      <c r="BP51" s="32" t="str">
        <f>+IF(BP$3="","",IF($AY51="","",IFERROR(INDEX('Data Consolidada'!$E$7:$E$891,MATCH(CONCATENATE(BP$3,"-",$CP51,"-",$AY51),'Data Consolidada'!$K$7:$K$891,0)),MAX('Data Consolidada'!$E$7:$E$3000))))</f>
        <v/>
      </c>
      <c r="BQ51" s="32" t="str">
        <f>+IF(BQ$3="","",IF($AY51="","",IFERROR(INDEX('Data Consolidada'!$E$7:$E$891,MATCH(CONCATENATE(BQ$3,"-",$CP51,"-",$AY51),'Data Consolidada'!$K$7:$K$891,0)),MAX('Data Consolidada'!$E$7:$E$3000))))</f>
        <v/>
      </c>
      <c r="BR51" s="32" t="str">
        <f>+IF(BR$3="","",IF($AY51="","",IFERROR(INDEX('Data Consolidada'!$E$7:$E$891,MATCH(CONCATENATE(BR$3,"-",$CP51,"-",$AY51),'Data Consolidada'!$K$7:$K$891,0)),MAX('Data Consolidada'!$E$7:$E$3000))))</f>
        <v/>
      </c>
      <c r="BS51" s="32" t="str">
        <f>+IF(BS$3="","",IF($AY51="","",IFERROR(INDEX('Data Consolidada'!$E$7:$E$891,MATCH(CONCATENATE(BS$3,"-",$CP51,"-",$AY51),'Data Consolidada'!$K$7:$K$891,0)),MAX('Data Consolidada'!$E$7:$E$3000))))</f>
        <v/>
      </c>
      <c r="BT51" s="32" t="str">
        <f>+IF(BT$3="","",IF($AY51="","",IFERROR(INDEX('Data Consolidada'!$E$7:$E$891,MATCH(CONCATENATE(BT$3,"-",$CP51,"-",$AY51),'Data Consolidada'!$K$7:$K$891,0)),MAX('Data Consolidada'!$E$7:$E$3000))))</f>
        <v/>
      </c>
      <c r="BU51" s="32" t="str">
        <f>+IF(BU$3="","",IF($AY51="","",IFERROR(INDEX('Data Consolidada'!$E$7:$E$891,MATCH(CONCATENATE(BU$3,"-",$CP51,"-",$AY51),'Data Consolidada'!$K$7:$K$891,0)),MAX('Data Consolidada'!$E$7:$E$3000))))</f>
        <v/>
      </c>
      <c r="BV51" s="32" t="str">
        <f>+IF(BV$3="","",IF($AY51="","",IFERROR(INDEX('Data Consolidada'!$E$7:$E$891,MATCH(CONCATENATE(BV$3,"-",$CP51,"-",$AY51),'Data Consolidada'!$K$7:$K$891,0)),MAX('Data Consolidada'!$E$7:$E$3000))))</f>
        <v/>
      </c>
      <c r="BW51" s="32" t="str">
        <f>+IF(BW$3="","",IF($AY51="","",IFERROR(INDEX('Data Consolidada'!$E$7:$E$891,MATCH(CONCATENATE(BW$3,"-",$CP51,"-",$AY51),'Data Consolidada'!$K$7:$K$891,0)),MAX('Data Consolidada'!$E$7:$E$3000))))</f>
        <v/>
      </c>
      <c r="BX51" s="32" t="str">
        <f>+IF(BX$3="","",IF($AY51="","",IFERROR(INDEX('Data Consolidada'!$E$7:$E$891,MATCH(CONCATENATE(BX$3,"-",$CP51,"-",$AY51),'Data Consolidada'!$K$7:$K$891,0)),MAX('Data Consolidada'!$E$7:$E$3000))))</f>
        <v/>
      </c>
      <c r="BY51" s="32" t="str">
        <f>+IF(BY$3="","",IF($AY51="","",IFERROR(INDEX('Data Consolidada'!$E$7:$E$891,MATCH(CONCATENATE(BY$3,"-",$CP51,"-",$AY51),'Data Consolidada'!$K$7:$K$891,0)),MAX('Data Consolidada'!$E$7:$E$3000))))</f>
        <v/>
      </c>
      <c r="BZ51" s="32" t="str">
        <f>+IF(BZ$3="","",IF($AY51="","",IFERROR(INDEX('Data Consolidada'!$E$7:$E$891,MATCH(CONCATENATE(BZ$3,"-",$CP51,"-",$AY51),'Data Consolidada'!$K$7:$K$891,0)),MAX('Data Consolidada'!$E$7:$E$3000))))</f>
        <v/>
      </c>
      <c r="CA51" s="32" t="str">
        <f>+IF(CA$3="","",IF($AY51="","",IFERROR(INDEX('Data Consolidada'!$E$7:$E$891,MATCH(CONCATENATE(CA$3,"-",$CP51,"-",$AY51),'Data Consolidada'!$K$7:$K$891,0)),MAX('Data Consolidada'!$E$7:$E$3000))))</f>
        <v/>
      </c>
      <c r="CB51" s="32" t="str">
        <f>+IF(CB$3="","",IF($AY51="","",IFERROR(INDEX('Data Consolidada'!$E$7:$E$891,MATCH(CONCATENATE(CB$3,"-",$CP51,"-",$AY51),'Data Consolidada'!$K$7:$K$891,0)),MAX('Data Consolidada'!$E$7:$E$3000))))</f>
        <v/>
      </c>
      <c r="CC51" s="32" t="str">
        <f>+IF(CC$3="","",IF($AY51="","",IFERROR(INDEX('Data Consolidada'!$E$7:$E$891,MATCH(CONCATENATE(CC$3,"-",$CP51,"-",$AY51),'Data Consolidada'!$K$7:$K$891,0)),MAX('Data Consolidada'!$E$7:$E$3000))))</f>
        <v/>
      </c>
      <c r="CD51" s="32" t="str">
        <f>+IF(CD$3="","",IF($AY51="","",IFERROR(INDEX('Data Consolidada'!$E$7:$E$891,MATCH(CONCATENATE(CD$3,"-",$CP51,"-",$AY51),'Data Consolidada'!$K$7:$K$891,0)),MAX('Data Consolidada'!$E$7:$E$3000))))</f>
        <v/>
      </c>
      <c r="CE51" s="32" t="str">
        <f>+IF(CE$3="","",IF($AY51="","",IFERROR(INDEX('Data Consolidada'!$E$7:$E$891,MATCH(CONCATENATE(CE$3,"-",$CP51,"-",$AY51),'Data Consolidada'!$K$7:$K$891,0)),MAX('Data Consolidada'!$E$7:$E$3000))))</f>
        <v/>
      </c>
      <c r="CF51" s="32" t="str">
        <f>+IF(CF$3="","",IF($AY51="","",IFERROR(INDEX('Data Consolidada'!$E$7:$E$891,MATCH(CONCATENATE(CF$3,"-",$CP51,"-",$AY51),'Data Consolidada'!$K$7:$K$891,0)),MAX('Data Consolidada'!$E$7:$E$3000))))</f>
        <v/>
      </c>
      <c r="CG51" s="32" t="str">
        <f>+IF(CG$3="","",IF($AY51="","",IFERROR(INDEX('Data Consolidada'!$E$7:$E$891,MATCH(CONCATENATE(CG$3,"-",$CP51,"-",$AY51),'Data Consolidada'!$K$7:$K$891,0)),MAX('Data Consolidada'!$E$7:$E$3000))))</f>
        <v/>
      </c>
      <c r="CH51" s="32" t="str">
        <f>+IF(CH$3="","",IF($AY51="","",IFERROR(INDEX('Data Consolidada'!$E$7:$E$891,MATCH(CONCATENATE(CH$3,"-",$CP51,"-",$AY51),'Data Consolidada'!$K$7:$K$891,0)),MAX('Data Consolidada'!$E$7:$E$3000))))</f>
        <v/>
      </c>
      <c r="CI51" s="32" t="str">
        <f>+IF(CI$3="","",IF($AY51="","",IFERROR(INDEX('Data Consolidada'!$E$7:$E$891,MATCH(CONCATENATE(CI$3,"-",$CP51,"-",$AY51),'Data Consolidada'!$K$7:$K$891,0)),MAX('Data Consolidada'!$E$7:$E$3000))))</f>
        <v/>
      </c>
      <c r="CJ51" s="32" t="str">
        <f>+IF(CJ$3="","",IF($AY51="","",IFERROR(INDEX('Data Consolidada'!$E$7:$E$891,MATCH(CONCATENATE(CJ$3,"-",$CP51,"-",$AY51),'Data Consolidada'!$K$7:$K$891,0)),MAX('Data Consolidada'!$E$7:$E$3000))))</f>
        <v/>
      </c>
      <c r="CK51" s="32" t="str">
        <f>+IF(CK$3="","",IF($AY51="","",IFERROR(INDEX('Data Consolidada'!$E$7:$E$891,MATCH(CONCATENATE(CK$3,"-",$CP51,"-",$AY51),'Data Consolidada'!$K$7:$K$891,0)),MAX('Data Consolidada'!$E$7:$E$3000))))</f>
        <v/>
      </c>
      <c r="CL51" s="32" t="str">
        <f>+IF(CL$3="","",IF($AY51="","",IFERROR(INDEX('Data Consolidada'!$E$7:$E$891,MATCH(CONCATENATE(CL$3,"-",$CP51,"-",$AY51),'Data Consolidada'!$K$7:$K$891,0)),MAX('Data Consolidada'!$E$7:$E$3000))))</f>
        <v/>
      </c>
      <c r="CM51" s="32" t="str">
        <f>+IF(CM$3="","",IF($AY51="","",IFERROR(INDEX('Data Consolidada'!$E$7:$E$891,MATCH(CONCATENATE(CM$3,"-",$CP51,"-",$AY51),'Data Consolidada'!$K$7:$K$891,0)),MAX('Data Consolidada'!$E$7:$E$3000))))</f>
        <v/>
      </c>
      <c r="CN51" s="32" t="str">
        <f>+IF(CN$3="","",IF($AY51="","",IFERROR(INDEX('Data Consolidada'!$E$7:$E$891,MATCH(CONCATENATE(CN$3,"-",$CP51,"-",$AY51),'Data Consolidada'!$K$7:$K$891,0)),MAX('Data Consolidada'!$E$7:$E$3000))))</f>
        <v/>
      </c>
      <c r="CO51" s="37" t="str">
        <f>+IF(CO$3="","",IF($AY51="","",IFERROR(INDEX('Data Consolidada'!$E$7:$E$891,MATCH(CONCATENATE(CO$3,"-",$CP51,"-",$AY51),'Data Consolidada'!$K$7:$K$891,0)),MAX('Data Consolidada'!$E$7:$E$3000))))</f>
        <v/>
      </c>
      <c r="CP51" s="224">
        <f t="shared" ca="1" si="2"/>
        <v>0</v>
      </c>
      <c r="CQ51" s="84" t="str">
        <f t="shared" ca="1" si="3"/>
        <v>TH TRANSPORTES0</v>
      </c>
    </row>
    <row r="52" spans="2:95" ht="15" customHeight="1" x14ac:dyDescent="0.35">
      <c r="B52" s="46"/>
      <c r="C52" s="5"/>
      <c r="D52" s="15"/>
      <c r="F52" s="257"/>
      <c r="G52" s="14"/>
      <c r="H52" s="204"/>
      <c r="I52" s="267" t="str">
        <f t="shared" si="21"/>
        <v/>
      </c>
      <c r="J52" s="268" t="str">
        <f t="shared" si="22"/>
        <v/>
      </c>
      <c r="K52" s="268" t="str">
        <f t="shared" si="23"/>
        <v/>
      </c>
      <c r="L52" s="268" t="str">
        <f t="shared" si="24"/>
        <v/>
      </c>
      <c r="M52" s="268" t="str">
        <f t="shared" si="25"/>
        <v/>
      </c>
      <c r="N52" s="268" t="str">
        <f t="shared" si="26"/>
        <v/>
      </c>
      <c r="O52" s="268" t="str">
        <f t="shared" si="27"/>
        <v/>
      </c>
      <c r="P52" s="268" t="str">
        <f t="shared" si="28"/>
        <v/>
      </c>
      <c r="Q52" s="268" t="str">
        <f t="shared" si="29"/>
        <v/>
      </c>
      <c r="R52" s="268" t="str">
        <f t="shared" si="30"/>
        <v/>
      </c>
      <c r="S52" s="268" t="str">
        <f t="shared" si="31"/>
        <v/>
      </c>
      <c r="T52" s="268" t="str">
        <f t="shared" si="32"/>
        <v/>
      </c>
      <c r="U52" s="268" t="str">
        <f t="shared" si="33"/>
        <v/>
      </c>
      <c r="V52" s="269" t="str">
        <f t="shared" si="34"/>
        <v/>
      </c>
      <c r="W52" s="55" cm="1">
        <f t="array" ref="W52">+IFERROR(_xlfn.IFS(F52="Totes",IF(I52="",0,ROUNDUP(I52*$I$11/$G$9,0))+IF(J52="",0,ROUNDUP(J52*$J$11/$G$9,0))+IF(K52="",0,ROUNDUP(K52*$K$11/$G$9,0))+IF(L52="",0,ROUNDUP(L52*$L$11/$G$9,0))+IF(M52="",0,ROUNDUP(M52*$M$11/$G$9,0))+IF(N52="",0,ROUNDUP(N52*$N$11/$G$9,0))+IF(O52="",0,ROUNDUP(O52*$O$11/$G$9,0))+IF(P52="",0,ROUNDUP(P52*$P$11/$G$9,0))+IF(Q52="",0,ROUNDUP(Q52*$Q$11/$G$9,0))+IF(R52="",0,ROUNDUP(R52*$R$11/$G$9,0))+IF(S52="",0,ROUNDUP(S52*$S$11/$G$9,0))+IF(T52="",0,ROUNDUP(T52*$T$11/$G$9,0))+IF(U52="",0,ROUNDUP(U52*$U$11/$G$9,0))+IF(V52="",0,ROUNDUP(V52*$V$11/$G$9,0)),F52="Mini Bins",IF(I52="",0,ROUNDUP(I52*$I$11/$J$6,0))+IF(J52="",0,ROUNDUP(J52*$J$11/$J$6,0))+IF(K52="",0,ROUNDUP(K52*$K$11/$J$6,0))+IF(L52="",0,ROUNDUP(L52*$L$11/$J$6,0))+IF(M52="",0,ROUNDUP(M52*$M$11/$J$6,0))+IF(N52="",0,ROUNDUP(N52*$N$11/$J$6,0))+IF(O52="",0,ROUNDUP(O52*$O$11/$J$6,0))+IF(P52="",0,ROUNDUP(P52*$P$11/$J$6,0))+IF(Q52="",0,ROUNDUP(Q52*$Q$11/$J$6,0))+IF(R52="",0,ROUNDUP(R52*$R$11/$J$6,0))+IF(S52="",0,ROUNDUP(S52*$S$11/$J$6,0))+IF(T52="",0,ROUNDUP(T52*$T$11/$J$6,0))+IF(U52="",0,ROUNDUP(U52*$U$11/$J$6,0))+IF(V52="",0,ROUNDUP(V52*$V$11/$J$6,0))),0)</f>
        <v>0</v>
      </c>
      <c r="X52" s="254">
        <f t="shared" si="35"/>
        <v>0</v>
      </c>
      <c r="Y52" s="192"/>
      <c r="Z52" s="245"/>
      <c r="AA52" s="247"/>
      <c r="AB52" s="254" cm="1">
        <f t="array" aca="1" ref="AB52" ca="1">+SUM(IF($B$72:$B$217=Z52,$C$72:$AR$217))</f>
        <v>0</v>
      </c>
      <c r="AC52" s="211">
        <f t="shared" ca="1" si="4"/>
        <v>0</v>
      </c>
      <c r="AF52" s="14"/>
      <c r="AG52" s="204"/>
      <c r="AH52" s="228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6"/>
      <c r="AU52" s="229"/>
      <c r="AW52" s="13">
        <f>+IF(AX52="","",IF(AX52&gt;AX51,AW51,IF(AW51&lt;$D$69,AW51+1,IF(COUNT(AW$4:AW51)&lt;$B$69*$E$54,1,""))))</f>
        <v>4</v>
      </c>
      <c r="AX52" s="13">
        <f>+IF(AX51&lt;$B$69,AX51+1,IF(COUNT(AX$4:AX51)&lt;$B$69*$D$69,1,""))</f>
        <v>10</v>
      </c>
      <c r="AY52" s="189" t="str">
        <f t="shared" ca="1" si="1"/>
        <v>TRAIDILL</v>
      </c>
      <c r="AZ52" s="36">
        <f ca="1">+IF(AZ$3="","",IF($AY52="","",IFERROR(INDEX('Data Consolidada'!$E$7:$E$891,MATCH(CONCATENATE(AZ$3,"-",$CP52,"-",$AY52),'Data Consolidada'!$K$7:$K$891,0)),MAX('Data Consolidada'!$E$7:$E$3000))))</f>
        <v>11000000</v>
      </c>
      <c r="BA52" s="32">
        <f ca="1">+IF(BA$3="","",IF($AY52="","",IFERROR(INDEX('Data Consolidada'!$E$7:$E$891,MATCH(CONCATENATE(BA$3,"-",$CP52,"-",$AY52),'Data Consolidada'!$K$7:$K$891,0)),MAX('Data Consolidada'!$E$7:$E$3000))))</f>
        <v>11000000</v>
      </c>
      <c r="BB52" s="32" t="str">
        <f>+IF(BB$3="","",IF($AY52="","",IFERROR(INDEX('Data Consolidada'!$E$7:$E$891,MATCH(CONCATENATE(BB$3,"-",$CP52,"-",$AY52),'Data Consolidada'!$K$7:$K$891,0)),MAX('Data Consolidada'!$E$7:$E$3000))))</f>
        <v/>
      </c>
      <c r="BC52" s="32" t="str">
        <f>+IF(BC$3="","",IF($AY52="","",IFERROR(INDEX('Data Consolidada'!$E$7:$E$891,MATCH(CONCATENATE(BC$3,"-",$CP52,"-",$AY52),'Data Consolidada'!$K$7:$K$891,0)),MAX('Data Consolidada'!$E$7:$E$3000))))</f>
        <v/>
      </c>
      <c r="BD52" s="32" t="str">
        <f>+IF(BD$3="","",IF($AY52="","",IFERROR(INDEX('Data Consolidada'!$E$7:$E$891,MATCH(CONCATENATE(BD$3,"-",$CP52,"-",$AY52),'Data Consolidada'!$K$7:$K$891,0)),MAX('Data Consolidada'!$E$7:$E$3000))))</f>
        <v/>
      </c>
      <c r="BE52" s="32" t="str">
        <f>+IF(BE$3="","",IF($AY52="","",IFERROR(INDEX('Data Consolidada'!$E$7:$E$891,MATCH(CONCATENATE(BE$3,"-",$CP52,"-",$AY52),'Data Consolidada'!$K$7:$K$891,0)),MAX('Data Consolidada'!$E$7:$E$3000))))</f>
        <v/>
      </c>
      <c r="BF52" s="32" t="str">
        <f>+IF(BF$3="","",IF($AY52="","",IFERROR(INDEX('Data Consolidada'!$E$7:$E$891,MATCH(CONCATENATE(BF$3,"-",$CP52,"-",$AY52),'Data Consolidada'!$K$7:$K$891,0)),MAX('Data Consolidada'!$E$7:$E$3000))))</f>
        <v/>
      </c>
      <c r="BG52" s="32" t="str">
        <f>+IF(BG$3="","",IF($AY52="","",IFERROR(INDEX('Data Consolidada'!$E$7:$E$891,MATCH(CONCATENATE(BG$3,"-",$CP52,"-",$AY52),'Data Consolidada'!$K$7:$K$891,0)),MAX('Data Consolidada'!$E$7:$E$3000))))</f>
        <v/>
      </c>
      <c r="BH52" s="32" t="str">
        <f>+IF(BH$3="","",IF($AY52="","",IFERROR(INDEX('Data Consolidada'!$E$7:$E$891,MATCH(CONCATENATE(BH$3,"-",$CP52,"-",$AY52),'Data Consolidada'!$K$7:$K$891,0)),MAX('Data Consolidada'!$E$7:$E$3000))))</f>
        <v/>
      </c>
      <c r="BI52" s="32" t="str">
        <f>+IF(BI$3="","",IF($AY52="","",IFERROR(INDEX('Data Consolidada'!$E$7:$E$891,MATCH(CONCATENATE(BI$3,"-",$CP52,"-",$AY52),'Data Consolidada'!$K$7:$K$891,0)),MAX('Data Consolidada'!$E$7:$E$3000))))</f>
        <v/>
      </c>
      <c r="BJ52" s="32" t="str">
        <f>+IF(BJ$3="","",IF($AY52="","",IFERROR(INDEX('Data Consolidada'!$E$7:$E$891,MATCH(CONCATENATE(BJ$3,"-",$CP52,"-",$AY52),'Data Consolidada'!$K$7:$K$891,0)),MAX('Data Consolidada'!$E$7:$E$3000))))</f>
        <v/>
      </c>
      <c r="BK52" s="32" t="str">
        <f>+IF(BK$3="","",IF($AY52="","",IFERROR(INDEX('Data Consolidada'!$E$7:$E$891,MATCH(CONCATENATE(BK$3,"-",$CP52,"-",$AY52),'Data Consolidada'!$K$7:$K$891,0)),MAX('Data Consolidada'!$E$7:$E$3000))))</f>
        <v/>
      </c>
      <c r="BL52" s="32" t="str">
        <f>+IF(BL$3="","",IF($AY52="","",IFERROR(INDEX('Data Consolidada'!$E$7:$E$891,MATCH(CONCATENATE(BL$3,"-",$CP52,"-",$AY52),'Data Consolidada'!$K$7:$K$891,0)),MAX('Data Consolidada'!$E$7:$E$3000))))</f>
        <v/>
      </c>
      <c r="BM52" s="32" t="str">
        <f>+IF(BM$3="","",IF($AY52="","",IFERROR(INDEX('Data Consolidada'!$E$7:$E$891,MATCH(CONCATENATE(BM$3,"-",$CP52,"-",$AY52),'Data Consolidada'!$K$7:$K$891,0)),MAX('Data Consolidada'!$E$7:$E$3000))))</f>
        <v/>
      </c>
      <c r="BN52" s="32" t="str">
        <f>+IF(BN$3="","",IF($AY52="","",IFERROR(INDEX('Data Consolidada'!$E$7:$E$891,MATCH(CONCATENATE(BN$3,"-",$CP52,"-",$AY52),'Data Consolidada'!$K$7:$K$891,0)),MAX('Data Consolidada'!$E$7:$E$3000))))</f>
        <v/>
      </c>
      <c r="BO52" s="32" t="str">
        <f>+IF(BO$3="","",IF($AY52="","",IFERROR(INDEX('Data Consolidada'!$E$7:$E$891,MATCH(CONCATENATE(BO$3,"-",$CP52,"-",$AY52),'Data Consolidada'!$K$7:$K$891,0)),MAX('Data Consolidada'!$E$7:$E$3000))))</f>
        <v/>
      </c>
      <c r="BP52" s="32" t="str">
        <f>+IF(BP$3="","",IF($AY52="","",IFERROR(INDEX('Data Consolidada'!$E$7:$E$891,MATCH(CONCATENATE(BP$3,"-",$CP52,"-",$AY52),'Data Consolidada'!$K$7:$K$891,0)),MAX('Data Consolidada'!$E$7:$E$3000))))</f>
        <v/>
      </c>
      <c r="BQ52" s="32" t="str">
        <f>+IF(BQ$3="","",IF($AY52="","",IFERROR(INDEX('Data Consolidada'!$E$7:$E$891,MATCH(CONCATENATE(BQ$3,"-",$CP52,"-",$AY52),'Data Consolidada'!$K$7:$K$891,0)),MAX('Data Consolidada'!$E$7:$E$3000))))</f>
        <v/>
      </c>
      <c r="BR52" s="32" t="str">
        <f>+IF(BR$3="","",IF($AY52="","",IFERROR(INDEX('Data Consolidada'!$E$7:$E$891,MATCH(CONCATENATE(BR$3,"-",$CP52,"-",$AY52),'Data Consolidada'!$K$7:$K$891,0)),MAX('Data Consolidada'!$E$7:$E$3000))))</f>
        <v/>
      </c>
      <c r="BS52" s="32" t="str">
        <f>+IF(BS$3="","",IF($AY52="","",IFERROR(INDEX('Data Consolidada'!$E$7:$E$891,MATCH(CONCATENATE(BS$3,"-",$CP52,"-",$AY52),'Data Consolidada'!$K$7:$K$891,0)),MAX('Data Consolidada'!$E$7:$E$3000))))</f>
        <v/>
      </c>
      <c r="BT52" s="32" t="str">
        <f>+IF(BT$3="","",IF($AY52="","",IFERROR(INDEX('Data Consolidada'!$E$7:$E$891,MATCH(CONCATENATE(BT$3,"-",$CP52,"-",$AY52),'Data Consolidada'!$K$7:$K$891,0)),MAX('Data Consolidada'!$E$7:$E$3000))))</f>
        <v/>
      </c>
      <c r="BU52" s="32" t="str">
        <f>+IF(BU$3="","",IF($AY52="","",IFERROR(INDEX('Data Consolidada'!$E$7:$E$891,MATCH(CONCATENATE(BU$3,"-",$CP52,"-",$AY52),'Data Consolidada'!$K$7:$K$891,0)),MAX('Data Consolidada'!$E$7:$E$3000))))</f>
        <v/>
      </c>
      <c r="BV52" s="32" t="str">
        <f>+IF(BV$3="","",IF($AY52="","",IFERROR(INDEX('Data Consolidada'!$E$7:$E$891,MATCH(CONCATENATE(BV$3,"-",$CP52,"-",$AY52),'Data Consolidada'!$K$7:$K$891,0)),MAX('Data Consolidada'!$E$7:$E$3000))))</f>
        <v/>
      </c>
      <c r="BW52" s="32" t="str">
        <f>+IF(BW$3="","",IF($AY52="","",IFERROR(INDEX('Data Consolidada'!$E$7:$E$891,MATCH(CONCATENATE(BW$3,"-",$CP52,"-",$AY52),'Data Consolidada'!$K$7:$K$891,0)),MAX('Data Consolidada'!$E$7:$E$3000))))</f>
        <v/>
      </c>
      <c r="BX52" s="32" t="str">
        <f>+IF(BX$3="","",IF($AY52="","",IFERROR(INDEX('Data Consolidada'!$E$7:$E$891,MATCH(CONCATENATE(BX$3,"-",$CP52,"-",$AY52),'Data Consolidada'!$K$7:$K$891,0)),MAX('Data Consolidada'!$E$7:$E$3000))))</f>
        <v/>
      </c>
      <c r="BY52" s="32" t="str">
        <f>+IF(BY$3="","",IF($AY52="","",IFERROR(INDEX('Data Consolidada'!$E$7:$E$891,MATCH(CONCATENATE(BY$3,"-",$CP52,"-",$AY52),'Data Consolidada'!$K$7:$K$891,0)),MAX('Data Consolidada'!$E$7:$E$3000))))</f>
        <v/>
      </c>
      <c r="BZ52" s="32" t="str">
        <f>+IF(BZ$3="","",IF($AY52="","",IFERROR(INDEX('Data Consolidada'!$E$7:$E$891,MATCH(CONCATENATE(BZ$3,"-",$CP52,"-",$AY52),'Data Consolidada'!$K$7:$K$891,0)),MAX('Data Consolidada'!$E$7:$E$3000))))</f>
        <v/>
      </c>
      <c r="CA52" s="32" t="str">
        <f>+IF(CA$3="","",IF($AY52="","",IFERROR(INDEX('Data Consolidada'!$E$7:$E$891,MATCH(CONCATENATE(CA$3,"-",$CP52,"-",$AY52),'Data Consolidada'!$K$7:$K$891,0)),MAX('Data Consolidada'!$E$7:$E$3000))))</f>
        <v/>
      </c>
      <c r="CB52" s="32" t="str">
        <f>+IF(CB$3="","",IF($AY52="","",IFERROR(INDEX('Data Consolidada'!$E$7:$E$891,MATCH(CONCATENATE(CB$3,"-",$CP52,"-",$AY52),'Data Consolidada'!$K$7:$K$891,0)),MAX('Data Consolidada'!$E$7:$E$3000))))</f>
        <v/>
      </c>
      <c r="CC52" s="32" t="str">
        <f>+IF(CC$3="","",IF($AY52="","",IFERROR(INDEX('Data Consolidada'!$E$7:$E$891,MATCH(CONCATENATE(CC$3,"-",$CP52,"-",$AY52),'Data Consolidada'!$K$7:$K$891,0)),MAX('Data Consolidada'!$E$7:$E$3000))))</f>
        <v/>
      </c>
      <c r="CD52" s="32" t="str">
        <f>+IF(CD$3="","",IF($AY52="","",IFERROR(INDEX('Data Consolidada'!$E$7:$E$891,MATCH(CONCATENATE(CD$3,"-",$CP52,"-",$AY52),'Data Consolidada'!$K$7:$K$891,0)),MAX('Data Consolidada'!$E$7:$E$3000))))</f>
        <v/>
      </c>
      <c r="CE52" s="32" t="str">
        <f>+IF(CE$3="","",IF($AY52="","",IFERROR(INDEX('Data Consolidada'!$E$7:$E$891,MATCH(CONCATENATE(CE$3,"-",$CP52,"-",$AY52),'Data Consolidada'!$K$7:$K$891,0)),MAX('Data Consolidada'!$E$7:$E$3000))))</f>
        <v/>
      </c>
      <c r="CF52" s="32" t="str">
        <f>+IF(CF$3="","",IF($AY52="","",IFERROR(INDEX('Data Consolidada'!$E$7:$E$891,MATCH(CONCATENATE(CF$3,"-",$CP52,"-",$AY52),'Data Consolidada'!$K$7:$K$891,0)),MAX('Data Consolidada'!$E$7:$E$3000))))</f>
        <v/>
      </c>
      <c r="CG52" s="32" t="str">
        <f>+IF(CG$3="","",IF($AY52="","",IFERROR(INDEX('Data Consolidada'!$E$7:$E$891,MATCH(CONCATENATE(CG$3,"-",$CP52,"-",$AY52),'Data Consolidada'!$K$7:$K$891,0)),MAX('Data Consolidada'!$E$7:$E$3000))))</f>
        <v/>
      </c>
      <c r="CH52" s="32" t="str">
        <f>+IF(CH$3="","",IF($AY52="","",IFERROR(INDEX('Data Consolidada'!$E$7:$E$891,MATCH(CONCATENATE(CH$3,"-",$CP52,"-",$AY52),'Data Consolidada'!$K$7:$K$891,0)),MAX('Data Consolidada'!$E$7:$E$3000))))</f>
        <v/>
      </c>
      <c r="CI52" s="32" t="str">
        <f>+IF(CI$3="","",IF($AY52="","",IFERROR(INDEX('Data Consolidada'!$E$7:$E$891,MATCH(CONCATENATE(CI$3,"-",$CP52,"-",$AY52),'Data Consolidada'!$K$7:$K$891,0)),MAX('Data Consolidada'!$E$7:$E$3000))))</f>
        <v/>
      </c>
      <c r="CJ52" s="32" t="str">
        <f>+IF(CJ$3="","",IF($AY52="","",IFERROR(INDEX('Data Consolidada'!$E$7:$E$891,MATCH(CONCATENATE(CJ$3,"-",$CP52,"-",$AY52),'Data Consolidada'!$K$7:$K$891,0)),MAX('Data Consolidada'!$E$7:$E$3000))))</f>
        <v/>
      </c>
      <c r="CK52" s="32" t="str">
        <f>+IF(CK$3="","",IF($AY52="","",IFERROR(INDEX('Data Consolidada'!$E$7:$E$891,MATCH(CONCATENATE(CK$3,"-",$CP52,"-",$AY52),'Data Consolidada'!$K$7:$K$891,0)),MAX('Data Consolidada'!$E$7:$E$3000))))</f>
        <v/>
      </c>
      <c r="CL52" s="32" t="str">
        <f>+IF(CL$3="","",IF($AY52="","",IFERROR(INDEX('Data Consolidada'!$E$7:$E$891,MATCH(CONCATENATE(CL$3,"-",$CP52,"-",$AY52),'Data Consolidada'!$K$7:$K$891,0)),MAX('Data Consolidada'!$E$7:$E$3000))))</f>
        <v/>
      </c>
      <c r="CM52" s="32" t="str">
        <f>+IF(CM$3="","",IF($AY52="","",IFERROR(INDEX('Data Consolidada'!$E$7:$E$891,MATCH(CONCATENATE(CM$3,"-",$CP52,"-",$AY52),'Data Consolidada'!$K$7:$K$891,0)),MAX('Data Consolidada'!$E$7:$E$3000))))</f>
        <v/>
      </c>
      <c r="CN52" s="32" t="str">
        <f>+IF(CN$3="","",IF($AY52="","",IFERROR(INDEX('Data Consolidada'!$E$7:$E$891,MATCH(CONCATENATE(CN$3,"-",$CP52,"-",$AY52),'Data Consolidada'!$K$7:$K$891,0)),MAX('Data Consolidada'!$E$7:$E$3000))))</f>
        <v/>
      </c>
      <c r="CO52" s="37" t="str">
        <f>+IF(CO$3="","",IF($AY52="","",IFERROR(INDEX('Data Consolidada'!$E$7:$E$891,MATCH(CONCATENATE(CO$3,"-",$CP52,"-",$AY52),'Data Consolidada'!$K$7:$K$891,0)),MAX('Data Consolidada'!$E$7:$E$3000))))</f>
        <v/>
      </c>
      <c r="CP52" s="224">
        <f t="shared" ca="1" si="2"/>
        <v>0</v>
      </c>
      <c r="CQ52" s="84" t="str">
        <f t="shared" ca="1" si="3"/>
        <v>TRAIDILL0</v>
      </c>
    </row>
    <row r="53" spans="2:95" ht="15" customHeight="1" x14ac:dyDescent="0.35">
      <c r="B53" s="46"/>
      <c r="C53" s="5"/>
      <c r="D53" s="15"/>
      <c r="E53" s="53"/>
      <c r="F53" s="257"/>
      <c r="G53" s="14"/>
      <c r="H53" s="204"/>
      <c r="I53" s="267" t="str">
        <f t="shared" si="21"/>
        <v/>
      </c>
      <c r="J53" s="268" t="str">
        <f t="shared" si="22"/>
        <v/>
      </c>
      <c r="K53" s="268" t="str">
        <f t="shared" si="23"/>
        <v/>
      </c>
      <c r="L53" s="268" t="str">
        <f t="shared" si="24"/>
        <v/>
      </c>
      <c r="M53" s="268" t="str">
        <f t="shared" si="25"/>
        <v/>
      </c>
      <c r="N53" s="268" t="str">
        <f t="shared" si="26"/>
        <v/>
      </c>
      <c r="O53" s="268" t="str">
        <f t="shared" si="27"/>
        <v/>
      </c>
      <c r="P53" s="268" t="str">
        <f t="shared" si="28"/>
        <v/>
      </c>
      <c r="Q53" s="268" t="str">
        <f t="shared" si="29"/>
        <v/>
      </c>
      <c r="R53" s="268" t="str">
        <f t="shared" si="30"/>
        <v/>
      </c>
      <c r="S53" s="268" t="str">
        <f t="shared" si="31"/>
        <v/>
      </c>
      <c r="T53" s="268" t="str">
        <f t="shared" si="32"/>
        <v/>
      </c>
      <c r="U53" s="268" t="str">
        <f t="shared" si="33"/>
        <v/>
      </c>
      <c r="V53" s="269" t="str">
        <f t="shared" si="34"/>
        <v/>
      </c>
      <c r="W53" s="55" cm="1">
        <f t="array" ref="W53">+IFERROR(_xlfn.IFS(F53="Totes",IF(I53="",0,ROUNDUP(I53*$I$11/$G$9,0))+IF(J53="",0,ROUNDUP(J53*$J$11/$G$9,0))+IF(K53="",0,ROUNDUP(K53*$K$11/$G$9,0))+IF(L53="",0,ROUNDUP(L53*$L$11/$G$9,0))+IF(M53="",0,ROUNDUP(M53*$M$11/$G$9,0))+IF(N53="",0,ROUNDUP(N53*$N$11/$G$9,0))+IF(O53="",0,ROUNDUP(O53*$O$11/$G$9,0))+IF(P53="",0,ROUNDUP(P53*$P$11/$G$9,0))+IF(Q53="",0,ROUNDUP(Q53*$Q$11/$G$9,0))+IF(R53="",0,ROUNDUP(R53*$R$11/$G$9,0))+IF(S53="",0,ROUNDUP(S53*$S$11/$G$9,0))+IF(T53="",0,ROUNDUP(T53*$T$11/$G$9,0))+IF(U53="",0,ROUNDUP(U53*$U$11/$G$9,0))+IF(V53="",0,ROUNDUP(V53*$V$11/$G$9,0)),F53="Mini Bins",IF(I53="",0,ROUNDUP(I53*$I$11/$J$6,0))+IF(J53="",0,ROUNDUP(J53*$J$11/$J$6,0))+IF(K53="",0,ROUNDUP(K53*$K$11/$J$6,0))+IF(L53="",0,ROUNDUP(L53*$L$11/$J$6,0))+IF(M53="",0,ROUNDUP(M53*$M$11/$J$6,0))+IF(N53="",0,ROUNDUP(N53*$N$11/$J$6,0))+IF(O53="",0,ROUNDUP(O53*$O$11/$J$6,0))+IF(P53="",0,ROUNDUP(P53*$P$11/$J$6,0))+IF(Q53="",0,ROUNDUP(Q53*$Q$11/$J$6,0))+IF(R53="",0,ROUNDUP(R53*$R$11/$J$6,0))+IF(S53="",0,ROUNDUP(S53*$S$11/$J$6,0))+IF(T53="",0,ROUNDUP(T53*$T$11/$J$6,0))+IF(U53="",0,ROUNDUP(U53*$U$11/$J$6,0))+IF(V53="",0,ROUNDUP(V53*$V$11/$J$6,0))),0)</f>
        <v>0</v>
      </c>
      <c r="X53" s="254">
        <f t="shared" si="35"/>
        <v>0</v>
      </c>
      <c r="Y53" s="193"/>
      <c r="Z53" s="245"/>
      <c r="AA53" s="247"/>
      <c r="AB53" s="254" cm="1">
        <f t="array" aca="1" ref="AB53" ca="1">+SUM(IF($B$72:$B$217=Z53,$C$72:$AR$217))</f>
        <v>0</v>
      </c>
      <c r="AC53" s="211">
        <f t="shared" ca="1" si="4"/>
        <v>0</v>
      </c>
      <c r="AF53" s="14"/>
      <c r="AG53" s="204"/>
      <c r="AH53" s="228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6"/>
      <c r="AU53" s="229"/>
      <c r="AW53" s="13">
        <f>+IF(AX53="","",IF(AX53&gt;AX52,AW52,IF(AW52&lt;$D$69,AW52+1,IF(COUNT(AW$4:AW52)&lt;$B$69*$E$54,1,""))))</f>
        <v>4</v>
      </c>
      <c r="AX53" s="13">
        <f>+IF(AX52&lt;$B$69,AX52+1,IF(COUNT(AX$4:AX52)&lt;$B$69*$D$69,1,""))</f>
        <v>11</v>
      </c>
      <c r="AY53" s="189" t="str">
        <f t="shared" ca="1" si="1"/>
        <v>TRANS. ALMENDRAL</v>
      </c>
      <c r="AZ53" s="36">
        <f ca="1">+IF(AZ$3="","",IF($AY53="","",IFERROR(INDEX('Data Consolidada'!$E$7:$E$891,MATCH(CONCATENATE(AZ$3,"-",$CP53,"-",$AY53),'Data Consolidada'!$K$7:$K$891,0)),MAX('Data Consolidada'!$E$7:$E$3000))))</f>
        <v>11000000</v>
      </c>
      <c r="BA53" s="32">
        <f ca="1">+IF(BA$3="","",IF($AY53="","",IFERROR(INDEX('Data Consolidada'!$E$7:$E$891,MATCH(CONCATENATE(BA$3,"-",$CP53,"-",$AY53),'Data Consolidada'!$K$7:$K$891,0)),MAX('Data Consolidada'!$E$7:$E$3000))))</f>
        <v>11000000</v>
      </c>
      <c r="BB53" s="32" t="str">
        <f>+IF(BB$3="","",IF($AY53="","",IFERROR(INDEX('Data Consolidada'!$E$7:$E$891,MATCH(CONCATENATE(BB$3,"-",$CP53,"-",$AY53),'Data Consolidada'!$K$7:$K$891,0)),MAX('Data Consolidada'!$E$7:$E$3000))))</f>
        <v/>
      </c>
      <c r="BC53" s="32" t="str">
        <f>+IF(BC$3="","",IF($AY53="","",IFERROR(INDEX('Data Consolidada'!$E$7:$E$891,MATCH(CONCATENATE(BC$3,"-",$CP53,"-",$AY53),'Data Consolidada'!$K$7:$K$891,0)),MAX('Data Consolidada'!$E$7:$E$3000))))</f>
        <v/>
      </c>
      <c r="BD53" s="32" t="str">
        <f>+IF(BD$3="","",IF($AY53="","",IFERROR(INDEX('Data Consolidada'!$E$7:$E$891,MATCH(CONCATENATE(BD$3,"-",$CP53,"-",$AY53),'Data Consolidada'!$K$7:$K$891,0)),MAX('Data Consolidada'!$E$7:$E$3000))))</f>
        <v/>
      </c>
      <c r="BE53" s="32" t="str">
        <f>+IF(BE$3="","",IF($AY53="","",IFERROR(INDEX('Data Consolidada'!$E$7:$E$891,MATCH(CONCATENATE(BE$3,"-",$CP53,"-",$AY53),'Data Consolidada'!$K$7:$K$891,0)),MAX('Data Consolidada'!$E$7:$E$3000))))</f>
        <v/>
      </c>
      <c r="BF53" s="32" t="str">
        <f>+IF(BF$3="","",IF($AY53="","",IFERROR(INDEX('Data Consolidada'!$E$7:$E$891,MATCH(CONCATENATE(BF$3,"-",$CP53,"-",$AY53),'Data Consolidada'!$K$7:$K$891,0)),MAX('Data Consolidada'!$E$7:$E$3000))))</f>
        <v/>
      </c>
      <c r="BG53" s="32" t="str">
        <f>+IF(BG$3="","",IF($AY53="","",IFERROR(INDEX('Data Consolidada'!$E$7:$E$891,MATCH(CONCATENATE(BG$3,"-",$CP53,"-",$AY53),'Data Consolidada'!$K$7:$K$891,0)),MAX('Data Consolidada'!$E$7:$E$3000))))</f>
        <v/>
      </c>
      <c r="BH53" s="32" t="str">
        <f>+IF(BH$3="","",IF($AY53="","",IFERROR(INDEX('Data Consolidada'!$E$7:$E$891,MATCH(CONCATENATE(BH$3,"-",$CP53,"-",$AY53),'Data Consolidada'!$K$7:$K$891,0)),MAX('Data Consolidada'!$E$7:$E$3000))))</f>
        <v/>
      </c>
      <c r="BI53" s="32" t="str">
        <f>+IF(BI$3="","",IF($AY53="","",IFERROR(INDEX('Data Consolidada'!$E$7:$E$891,MATCH(CONCATENATE(BI$3,"-",$CP53,"-",$AY53),'Data Consolidada'!$K$7:$K$891,0)),MAX('Data Consolidada'!$E$7:$E$3000))))</f>
        <v/>
      </c>
      <c r="BJ53" s="32" t="str">
        <f>+IF(BJ$3="","",IF($AY53="","",IFERROR(INDEX('Data Consolidada'!$E$7:$E$891,MATCH(CONCATENATE(BJ$3,"-",$CP53,"-",$AY53),'Data Consolidada'!$K$7:$K$891,0)),MAX('Data Consolidada'!$E$7:$E$3000))))</f>
        <v/>
      </c>
      <c r="BK53" s="32" t="str">
        <f>+IF(BK$3="","",IF($AY53="","",IFERROR(INDEX('Data Consolidada'!$E$7:$E$891,MATCH(CONCATENATE(BK$3,"-",$CP53,"-",$AY53),'Data Consolidada'!$K$7:$K$891,0)),MAX('Data Consolidada'!$E$7:$E$3000))))</f>
        <v/>
      </c>
      <c r="BL53" s="32" t="str">
        <f>+IF(BL$3="","",IF($AY53="","",IFERROR(INDEX('Data Consolidada'!$E$7:$E$891,MATCH(CONCATENATE(BL$3,"-",$CP53,"-",$AY53),'Data Consolidada'!$K$7:$K$891,0)),MAX('Data Consolidada'!$E$7:$E$3000))))</f>
        <v/>
      </c>
      <c r="BM53" s="32" t="str">
        <f>+IF(BM$3="","",IF($AY53="","",IFERROR(INDEX('Data Consolidada'!$E$7:$E$891,MATCH(CONCATENATE(BM$3,"-",$CP53,"-",$AY53),'Data Consolidada'!$K$7:$K$891,0)),MAX('Data Consolidada'!$E$7:$E$3000))))</f>
        <v/>
      </c>
      <c r="BN53" s="32" t="str">
        <f>+IF(BN$3="","",IF($AY53="","",IFERROR(INDEX('Data Consolidada'!$E$7:$E$891,MATCH(CONCATENATE(BN$3,"-",$CP53,"-",$AY53),'Data Consolidada'!$K$7:$K$891,0)),MAX('Data Consolidada'!$E$7:$E$3000))))</f>
        <v/>
      </c>
      <c r="BO53" s="32" t="str">
        <f>+IF(BO$3="","",IF($AY53="","",IFERROR(INDEX('Data Consolidada'!$E$7:$E$891,MATCH(CONCATENATE(BO$3,"-",$CP53,"-",$AY53),'Data Consolidada'!$K$7:$K$891,0)),MAX('Data Consolidada'!$E$7:$E$3000))))</f>
        <v/>
      </c>
      <c r="BP53" s="32" t="str">
        <f>+IF(BP$3="","",IF($AY53="","",IFERROR(INDEX('Data Consolidada'!$E$7:$E$891,MATCH(CONCATENATE(BP$3,"-",$CP53,"-",$AY53),'Data Consolidada'!$K$7:$K$891,0)),MAX('Data Consolidada'!$E$7:$E$3000))))</f>
        <v/>
      </c>
      <c r="BQ53" s="32" t="str">
        <f>+IF(BQ$3="","",IF($AY53="","",IFERROR(INDEX('Data Consolidada'!$E$7:$E$891,MATCH(CONCATENATE(BQ$3,"-",$CP53,"-",$AY53),'Data Consolidada'!$K$7:$K$891,0)),MAX('Data Consolidada'!$E$7:$E$3000))))</f>
        <v/>
      </c>
      <c r="BR53" s="32" t="str">
        <f>+IF(BR$3="","",IF($AY53="","",IFERROR(INDEX('Data Consolidada'!$E$7:$E$891,MATCH(CONCATENATE(BR$3,"-",$CP53,"-",$AY53),'Data Consolidada'!$K$7:$K$891,0)),MAX('Data Consolidada'!$E$7:$E$3000))))</f>
        <v/>
      </c>
      <c r="BS53" s="32" t="str">
        <f>+IF(BS$3="","",IF($AY53="","",IFERROR(INDEX('Data Consolidada'!$E$7:$E$891,MATCH(CONCATENATE(BS$3,"-",$CP53,"-",$AY53),'Data Consolidada'!$K$7:$K$891,0)),MAX('Data Consolidada'!$E$7:$E$3000))))</f>
        <v/>
      </c>
      <c r="BT53" s="32" t="str">
        <f>+IF(BT$3="","",IF($AY53="","",IFERROR(INDEX('Data Consolidada'!$E$7:$E$891,MATCH(CONCATENATE(BT$3,"-",$CP53,"-",$AY53),'Data Consolidada'!$K$7:$K$891,0)),MAX('Data Consolidada'!$E$7:$E$3000))))</f>
        <v/>
      </c>
      <c r="BU53" s="32" t="str">
        <f>+IF(BU$3="","",IF($AY53="","",IFERROR(INDEX('Data Consolidada'!$E$7:$E$891,MATCH(CONCATENATE(BU$3,"-",$CP53,"-",$AY53),'Data Consolidada'!$K$7:$K$891,0)),MAX('Data Consolidada'!$E$7:$E$3000))))</f>
        <v/>
      </c>
      <c r="BV53" s="32" t="str">
        <f>+IF(BV$3="","",IF($AY53="","",IFERROR(INDEX('Data Consolidada'!$E$7:$E$891,MATCH(CONCATENATE(BV$3,"-",$CP53,"-",$AY53),'Data Consolidada'!$K$7:$K$891,0)),MAX('Data Consolidada'!$E$7:$E$3000))))</f>
        <v/>
      </c>
      <c r="BW53" s="32" t="str">
        <f>+IF(BW$3="","",IF($AY53="","",IFERROR(INDEX('Data Consolidada'!$E$7:$E$891,MATCH(CONCATENATE(BW$3,"-",$CP53,"-",$AY53),'Data Consolidada'!$K$7:$K$891,0)),MAX('Data Consolidada'!$E$7:$E$3000))))</f>
        <v/>
      </c>
      <c r="BX53" s="32" t="str">
        <f>+IF(BX$3="","",IF($AY53="","",IFERROR(INDEX('Data Consolidada'!$E$7:$E$891,MATCH(CONCATENATE(BX$3,"-",$CP53,"-",$AY53),'Data Consolidada'!$K$7:$K$891,0)),MAX('Data Consolidada'!$E$7:$E$3000))))</f>
        <v/>
      </c>
      <c r="BY53" s="32" t="str">
        <f>+IF(BY$3="","",IF($AY53="","",IFERROR(INDEX('Data Consolidada'!$E$7:$E$891,MATCH(CONCATENATE(BY$3,"-",$CP53,"-",$AY53),'Data Consolidada'!$K$7:$K$891,0)),MAX('Data Consolidada'!$E$7:$E$3000))))</f>
        <v/>
      </c>
      <c r="BZ53" s="32" t="str">
        <f>+IF(BZ$3="","",IF($AY53="","",IFERROR(INDEX('Data Consolidada'!$E$7:$E$891,MATCH(CONCATENATE(BZ$3,"-",$CP53,"-",$AY53),'Data Consolidada'!$K$7:$K$891,0)),MAX('Data Consolidada'!$E$7:$E$3000))))</f>
        <v/>
      </c>
      <c r="CA53" s="32" t="str">
        <f>+IF(CA$3="","",IF($AY53="","",IFERROR(INDEX('Data Consolidada'!$E$7:$E$891,MATCH(CONCATENATE(CA$3,"-",$CP53,"-",$AY53),'Data Consolidada'!$K$7:$K$891,0)),MAX('Data Consolidada'!$E$7:$E$3000))))</f>
        <v/>
      </c>
      <c r="CB53" s="32" t="str">
        <f>+IF(CB$3="","",IF($AY53="","",IFERROR(INDEX('Data Consolidada'!$E$7:$E$891,MATCH(CONCATENATE(CB$3,"-",$CP53,"-",$AY53),'Data Consolidada'!$K$7:$K$891,0)),MAX('Data Consolidada'!$E$7:$E$3000))))</f>
        <v/>
      </c>
      <c r="CC53" s="32" t="str">
        <f>+IF(CC$3="","",IF($AY53="","",IFERROR(INDEX('Data Consolidada'!$E$7:$E$891,MATCH(CONCATENATE(CC$3,"-",$CP53,"-",$AY53),'Data Consolidada'!$K$7:$K$891,0)),MAX('Data Consolidada'!$E$7:$E$3000))))</f>
        <v/>
      </c>
      <c r="CD53" s="32" t="str">
        <f>+IF(CD$3="","",IF($AY53="","",IFERROR(INDEX('Data Consolidada'!$E$7:$E$891,MATCH(CONCATENATE(CD$3,"-",$CP53,"-",$AY53),'Data Consolidada'!$K$7:$K$891,0)),MAX('Data Consolidada'!$E$7:$E$3000))))</f>
        <v/>
      </c>
      <c r="CE53" s="32" t="str">
        <f>+IF(CE$3="","",IF($AY53="","",IFERROR(INDEX('Data Consolidada'!$E$7:$E$891,MATCH(CONCATENATE(CE$3,"-",$CP53,"-",$AY53),'Data Consolidada'!$K$7:$K$891,0)),MAX('Data Consolidada'!$E$7:$E$3000))))</f>
        <v/>
      </c>
      <c r="CF53" s="32" t="str">
        <f>+IF(CF$3="","",IF($AY53="","",IFERROR(INDEX('Data Consolidada'!$E$7:$E$891,MATCH(CONCATENATE(CF$3,"-",$CP53,"-",$AY53),'Data Consolidada'!$K$7:$K$891,0)),MAX('Data Consolidada'!$E$7:$E$3000))))</f>
        <v/>
      </c>
      <c r="CG53" s="32" t="str">
        <f>+IF(CG$3="","",IF($AY53="","",IFERROR(INDEX('Data Consolidada'!$E$7:$E$891,MATCH(CONCATENATE(CG$3,"-",$CP53,"-",$AY53),'Data Consolidada'!$K$7:$K$891,0)),MAX('Data Consolidada'!$E$7:$E$3000))))</f>
        <v/>
      </c>
      <c r="CH53" s="32" t="str">
        <f>+IF(CH$3="","",IF($AY53="","",IFERROR(INDEX('Data Consolidada'!$E$7:$E$891,MATCH(CONCATENATE(CH$3,"-",$CP53,"-",$AY53),'Data Consolidada'!$K$7:$K$891,0)),MAX('Data Consolidada'!$E$7:$E$3000))))</f>
        <v/>
      </c>
      <c r="CI53" s="32" t="str">
        <f>+IF(CI$3="","",IF($AY53="","",IFERROR(INDEX('Data Consolidada'!$E$7:$E$891,MATCH(CONCATENATE(CI$3,"-",$CP53,"-",$AY53),'Data Consolidada'!$K$7:$K$891,0)),MAX('Data Consolidada'!$E$7:$E$3000))))</f>
        <v/>
      </c>
      <c r="CJ53" s="32" t="str">
        <f>+IF(CJ$3="","",IF($AY53="","",IFERROR(INDEX('Data Consolidada'!$E$7:$E$891,MATCH(CONCATENATE(CJ$3,"-",$CP53,"-",$AY53),'Data Consolidada'!$K$7:$K$891,0)),MAX('Data Consolidada'!$E$7:$E$3000))))</f>
        <v/>
      </c>
      <c r="CK53" s="32" t="str">
        <f>+IF(CK$3="","",IF($AY53="","",IFERROR(INDEX('Data Consolidada'!$E$7:$E$891,MATCH(CONCATENATE(CK$3,"-",$CP53,"-",$AY53),'Data Consolidada'!$K$7:$K$891,0)),MAX('Data Consolidada'!$E$7:$E$3000))))</f>
        <v/>
      </c>
      <c r="CL53" s="32" t="str">
        <f>+IF(CL$3="","",IF($AY53="","",IFERROR(INDEX('Data Consolidada'!$E$7:$E$891,MATCH(CONCATENATE(CL$3,"-",$CP53,"-",$AY53),'Data Consolidada'!$K$7:$K$891,0)),MAX('Data Consolidada'!$E$7:$E$3000))))</f>
        <v/>
      </c>
      <c r="CM53" s="32" t="str">
        <f>+IF(CM$3="","",IF($AY53="","",IFERROR(INDEX('Data Consolidada'!$E$7:$E$891,MATCH(CONCATENATE(CM$3,"-",$CP53,"-",$AY53),'Data Consolidada'!$K$7:$K$891,0)),MAX('Data Consolidada'!$E$7:$E$3000))))</f>
        <v/>
      </c>
      <c r="CN53" s="32" t="str">
        <f>+IF(CN$3="","",IF($AY53="","",IFERROR(INDEX('Data Consolidada'!$E$7:$E$891,MATCH(CONCATENATE(CN$3,"-",$CP53,"-",$AY53),'Data Consolidada'!$K$7:$K$891,0)),MAX('Data Consolidada'!$E$7:$E$3000))))</f>
        <v/>
      </c>
      <c r="CO53" s="37" t="str">
        <f>+IF(CO$3="","",IF($AY53="","",IFERROR(INDEX('Data Consolidada'!$E$7:$E$891,MATCH(CONCATENATE(CO$3,"-",$CP53,"-",$AY53),'Data Consolidada'!$K$7:$K$891,0)),MAX('Data Consolidada'!$E$7:$E$3000))))</f>
        <v/>
      </c>
      <c r="CP53" s="224">
        <f t="shared" ca="1" si="2"/>
        <v>0</v>
      </c>
      <c r="CQ53" s="84" t="str">
        <f t="shared" ca="1" si="3"/>
        <v>TRANS. ALMENDRAL0</v>
      </c>
    </row>
    <row r="54" spans="2:95" ht="15" customHeight="1" x14ac:dyDescent="0.35">
      <c r="B54" s="46"/>
      <c r="C54" s="5"/>
      <c r="D54" s="15"/>
      <c r="E54" s="53"/>
      <c r="F54" s="257"/>
      <c r="G54" s="14"/>
      <c r="H54" s="204"/>
      <c r="I54" s="267" t="str">
        <f t="shared" si="21"/>
        <v/>
      </c>
      <c r="J54" s="268" t="str">
        <f t="shared" si="22"/>
        <v/>
      </c>
      <c r="K54" s="268" t="str">
        <f t="shared" si="23"/>
        <v/>
      </c>
      <c r="L54" s="268" t="str">
        <f t="shared" si="24"/>
        <v/>
      </c>
      <c r="M54" s="268" t="str">
        <f t="shared" si="25"/>
        <v/>
      </c>
      <c r="N54" s="268" t="str">
        <f t="shared" si="26"/>
        <v/>
      </c>
      <c r="O54" s="268" t="str">
        <f t="shared" si="27"/>
        <v/>
      </c>
      <c r="P54" s="268" t="str">
        <f t="shared" si="28"/>
        <v/>
      </c>
      <c r="Q54" s="268" t="str">
        <f t="shared" si="29"/>
        <v/>
      </c>
      <c r="R54" s="268" t="str">
        <f t="shared" si="30"/>
        <v/>
      </c>
      <c r="S54" s="268" t="str">
        <f t="shared" si="31"/>
        <v/>
      </c>
      <c r="T54" s="268" t="str">
        <f t="shared" si="32"/>
        <v/>
      </c>
      <c r="U54" s="268" t="str">
        <f t="shared" si="33"/>
        <v/>
      </c>
      <c r="V54" s="269" t="str">
        <f t="shared" si="34"/>
        <v/>
      </c>
      <c r="W54" s="55" cm="1">
        <f t="array" ref="W54">+IFERROR(_xlfn.IFS(F54="Totes",IF(I54="",0,ROUNDUP(I54*$I$11/$G$9,0))+IF(J54="",0,ROUNDUP(J54*$J$11/$G$9,0))+IF(K54="",0,ROUNDUP(K54*$K$11/$G$9,0))+IF(L54="",0,ROUNDUP(L54*$L$11/$G$9,0))+IF(M54="",0,ROUNDUP(M54*$M$11/$G$9,0))+IF(N54="",0,ROUNDUP(N54*$N$11/$G$9,0))+IF(O54="",0,ROUNDUP(O54*$O$11/$G$9,0))+IF(P54="",0,ROUNDUP(P54*$P$11/$G$9,0))+IF(Q54="",0,ROUNDUP(Q54*$Q$11/$G$9,0))+IF(R54="",0,ROUNDUP(R54*$R$11/$G$9,0))+IF(S54="",0,ROUNDUP(S54*$S$11/$G$9,0))+IF(T54="",0,ROUNDUP(T54*$T$11/$G$9,0))+IF(U54="",0,ROUNDUP(U54*$U$11/$G$9,0))+IF(V54="",0,ROUNDUP(V54*$V$11/$G$9,0)),F54="Mini Bins",IF(I54="",0,ROUNDUP(I54*$I$11/$J$6,0))+IF(J54="",0,ROUNDUP(J54*$J$11/$J$6,0))+IF(K54="",0,ROUNDUP(K54*$K$11/$J$6,0))+IF(L54="",0,ROUNDUP(L54*$L$11/$J$6,0))+IF(M54="",0,ROUNDUP(M54*$M$11/$J$6,0))+IF(N54="",0,ROUNDUP(N54*$N$11/$J$6,0))+IF(O54="",0,ROUNDUP(O54*$O$11/$J$6,0))+IF(P54="",0,ROUNDUP(P54*$P$11/$J$6,0))+IF(Q54="",0,ROUNDUP(Q54*$Q$11/$J$6,0))+IF(R54="",0,ROUNDUP(R54*$R$11/$J$6,0))+IF(S54="",0,ROUNDUP(S54*$S$11/$J$6,0))+IF(T54="",0,ROUNDUP(T54*$T$11/$J$6,0))+IF(U54="",0,ROUNDUP(U54*$U$11/$J$6,0))+IF(V54="",0,ROUNDUP(V54*$V$11/$J$6,0))),0)</f>
        <v>0</v>
      </c>
      <c r="X54" s="254">
        <f t="shared" si="35"/>
        <v>0</v>
      </c>
      <c r="Z54" s="245"/>
      <c r="AA54" s="247"/>
      <c r="AB54" s="254" cm="1">
        <f t="array" aca="1" ref="AB54" ca="1">+SUM(IF($B$72:$B$217=Z54,$C$72:$AR$217))</f>
        <v>0</v>
      </c>
      <c r="AC54" s="211">
        <f t="shared" ca="1" si="4"/>
        <v>0</v>
      </c>
      <c r="AF54" s="14"/>
      <c r="AG54" s="204"/>
      <c r="AH54" s="228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6"/>
      <c r="AU54" s="229"/>
      <c r="AW54" s="13">
        <f>+IF(AX54="","",IF(AX54&gt;AX53,AW53,IF(AW53&lt;$D$69,AW53+1,IF(COUNT(AW$4:AW53)&lt;$B$69*$E$54,1,""))))</f>
        <v>4</v>
      </c>
      <c r="AX54" s="13">
        <f>+IF(AX53&lt;$B$69,AX53+1,IF(COUNT(AX$4:AX53)&lt;$B$69*$D$69,1,""))</f>
        <v>12</v>
      </c>
      <c r="AY54" s="189" t="str">
        <f t="shared" ca="1" si="1"/>
        <v>TRANS. MAX SOTO G. E.I.R.L.</v>
      </c>
      <c r="AZ54" s="36">
        <f ca="1">+IF(AZ$3="","",IF($AY54="","",IFERROR(INDEX('Data Consolidada'!$E$7:$E$891,MATCH(CONCATENATE(AZ$3,"-",$CP54,"-",$AY54),'Data Consolidada'!$K$7:$K$891,0)),MAX('Data Consolidada'!$E$7:$E$3000))))</f>
        <v>11000000</v>
      </c>
      <c r="BA54" s="32">
        <f ca="1">+IF(BA$3="","",IF($AY54="","",IFERROR(INDEX('Data Consolidada'!$E$7:$E$891,MATCH(CONCATENATE(BA$3,"-",$CP54,"-",$AY54),'Data Consolidada'!$K$7:$K$891,0)),MAX('Data Consolidada'!$E$7:$E$3000))))</f>
        <v>11000000</v>
      </c>
      <c r="BB54" s="32" t="str">
        <f>+IF(BB$3="","",IF($AY54="","",IFERROR(INDEX('Data Consolidada'!$E$7:$E$891,MATCH(CONCATENATE(BB$3,"-",$CP54,"-",$AY54),'Data Consolidada'!$K$7:$K$891,0)),MAX('Data Consolidada'!$E$7:$E$3000))))</f>
        <v/>
      </c>
      <c r="BC54" s="32" t="str">
        <f>+IF(BC$3="","",IF($AY54="","",IFERROR(INDEX('Data Consolidada'!$E$7:$E$891,MATCH(CONCATENATE(BC$3,"-",$CP54,"-",$AY54),'Data Consolidada'!$K$7:$K$891,0)),MAX('Data Consolidada'!$E$7:$E$3000))))</f>
        <v/>
      </c>
      <c r="BD54" s="32" t="str">
        <f>+IF(BD$3="","",IF($AY54="","",IFERROR(INDEX('Data Consolidada'!$E$7:$E$891,MATCH(CONCATENATE(BD$3,"-",$CP54,"-",$AY54),'Data Consolidada'!$K$7:$K$891,0)),MAX('Data Consolidada'!$E$7:$E$3000))))</f>
        <v/>
      </c>
      <c r="BE54" s="32" t="str">
        <f>+IF(BE$3="","",IF($AY54="","",IFERROR(INDEX('Data Consolidada'!$E$7:$E$891,MATCH(CONCATENATE(BE$3,"-",$CP54,"-",$AY54),'Data Consolidada'!$K$7:$K$891,0)),MAX('Data Consolidada'!$E$7:$E$3000))))</f>
        <v/>
      </c>
      <c r="BF54" s="32" t="str">
        <f>+IF(BF$3="","",IF($AY54="","",IFERROR(INDEX('Data Consolidada'!$E$7:$E$891,MATCH(CONCATENATE(BF$3,"-",$CP54,"-",$AY54),'Data Consolidada'!$K$7:$K$891,0)),MAX('Data Consolidada'!$E$7:$E$3000))))</f>
        <v/>
      </c>
      <c r="BG54" s="32" t="str">
        <f>+IF(BG$3="","",IF($AY54="","",IFERROR(INDEX('Data Consolidada'!$E$7:$E$891,MATCH(CONCATENATE(BG$3,"-",$CP54,"-",$AY54),'Data Consolidada'!$K$7:$K$891,0)),MAX('Data Consolidada'!$E$7:$E$3000))))</f>
        <v/>
      </c>
      <c r="BH54" s="32" t="str">
        <f>+IF(BH$3="","",IF($AY54="","",IFERROR(INDEX('Data Consolidada'!$E$7:$E$891,MATCH(CONCATENATE(BH$3,"-",$CP54,"-",$AY54),'Data Consolidada'!$K$7:$K$891,0)),MAX('Data Consolidada'!$E$7:$E$3000))))</f>
        <v/>
      </c>
      <c r="BI54" s="32" t="str">
        <f>+IF(BI$3="","",IF($AY54="","",IFERROR(INDEX('Data Consolidada'!$E$7:$E$891,MATCH(CONCATENATE(BI$3,"-",$CP54,"-",$AY54),'Data Consolidada'!$K$7:$K$891,0)),MAX('Data Consolidada'!$E$7:$E$3000))))</f>
        <v/>
      </c>
      <c r="BJ54" s="32" t="str">
        <f>+IF(BJ$3="","",IF($AY54="","",IFERROR(INDEX('Data Consolidada'!$E$7:$E$891,MATCH(CONCATENATE(BJ$3,"-",$CP54,"-",$AY54),'Data Consolidada'!$K$7:$K$891,0)),MAX('Data Consolidada'!$E$7:$E$3000))))</f>
        <v/>
      </c>
      <c r="BK54" s="32" t="str">
        <f>+IF(BK$3="","",IF($AY54="","",IFERROR(INDEX('Data Consolidada'!$E$7:$E$891,MATCH(CONCATENATE(BK$3,"-",$CP54,"-",$AY54),'Data Consolidada'!$K$7:$K$891,0)),MAX('Data Consolidada'!$E$7:$E$3000))))</f>
        <v/>
      </c>
      <c r="BL54" s="32" t="str">
        <f>+IF(BL$3="","",IF($AY54="","",IFERROR(INDEX('Data Consolidada'!$E$7:$E$891,MATCH(CONCATENATE(BL$3,"-",$CP54,"-",$AY54),'Data Consolidada'!$K$7:$K$891,0)),MAX('Data Consolidada'!$E$7:$E$3000))))</f>
        <v/>
      </c>
      <c r="BM54" s="32" t="str">
        <f>+IF(BM$3="","",IF($AY54="","",IFERROR(INDEX('Data Consolidada'!$E$7:$E$891,MATCH(CONCATENATE(BM$3,"-",$CP54,"-",$AY54),'Data Consolidada'!$K$7:$K$891,0)),MAX('Data Consolidada'!$E$7:$E$3000))))</f>
        <v/>
      </c>
      <c r="BN54" s="32" t="str">
        <f>+IF(BN$3="","",IF($AY54="","",IFERROR(INDEX('Data Consolidada'!$E$7:$E$891,MATCH(CONCATENATE(BN$3,"-",$CP54,"-",$AY54),'Data Consolidada'!$K$7:$K$891,0)),MAX('Data Consolidada'!$E$7:$E$3000))))</f>
        <v/>
      </c>
      <c r="BO54" s="32" t="str">
        <f>+IF(BO$3="","",IF($AY54="","",IFERROR(INDEX('Data Consolidada'!$E$7:$E$891,MATCH(CONCATENATE(BO$3,"-",$CP54,"-",$AY54),'Data Consolidada'!$K$7:$K$891,0)),MAX('Data Consolidada'!$E$7:$E$3000))))</f>
        <v/>
      </c>
      <c r="BP54" s="32" t="str">
        <f>+IF(BP$3="","",IF($AY54="","",IFERROR(INDEX('Data Consolidada'!$E$7:$E$891,MATCH(CONCATENATE(BP$3,"-",$CP54,"-",$AY54),'Data Consolidada'!$K$7:$K$891,0)),MAX('Data Consolidada'!$E$7:$E$3000))))</f>
        <v/>
      </c>
      <c r="BQ54" s="32" t="str">
        <f>+IF(BQ$3="","",IF($AY54="","",IFERROR(INDEX('Data Consolidada'!$E$7:$E$891,MATCH(CONCATENATE(BQ$3,"-",$CP54,"-",$AY54),'Data Consolidada'!$K$7:$K$891,0)),MAX('Data Consolidada'!$E$7:$E$3000))))</f>
        <v/>
      </c>
      <c r="BR54" s="32" t="str">
        <f>+IF(BR$3="","",IF($AY54="","",IFERROR(INDEX('Data Consolidada'!$E$7:$E$891,MATCH(CONCATENATE(BR$3,"-",$CP54,"-",$AY54),'Data Consolidada'!$K$7:$K$891,0)),MAX('Data Consolidada'!$E$7:$E$3000))))</f>
        <v/>
      </c>
      <c r="BS54" s="32" t="str">
        <f>+IF(BS$3="","",IF($AY54="","",IFERROR(INDEX('Data Consolidada'!$E$7:$E$891,MATCH(CONCATENATE(BS$3,"-",$CP54,"-",$AY54),'Data Consolidada'!$K$7:$K$891,0)),MAX('Data Consolidada'!$E$7:$E$3000))))</f>
        <v/>
      </c>
      <c r="BT54" s="32" t="str">
        <f>+IF(BT$3="","",IF($AY54="","",IFERROR(INDEX('Data Consolidada'!$E$7:$E$891,MATCH(CONCATENATE(BT$3,"-",$CP54,"-",$AY54),'Data Consolidada'!$K$7:$K$891,0)),MAX('Data Consolidada'!$E$7:$E$3000))))</f>
        <v/>
      </c>
      <c r="BU54" s="32" t="str">
        <f>+IF(BU$3="","",IF($AY54="","",IFERROR(INDEX('Data Consolidada'!$E$7:$E$891,MATCH(CONCATENATE(BU$3,"-",$CP54,"-",$AY54),'Data Consolidada'!$K$7:$K$891,0)),MAX('Data Consolidada'!$E$7:$E$3000))))</f>
        <v/>
      </c>
      <c r="BV54" s="32" t="str">
        <f>+IF(BV$3="","",IF($AY54="","",IFERROR(INDEX('Data Consolidada'!$E$7:$E$891,MATCH(CONCATENATE(BV$3,"-",$CP54,"-",$AY54),'Data Consolidada'!$K$7:$K$891,0)),MAX('Data Consolidada'!$E$7:$E$3000))))</f>
        <v/>
      </c>
      <c r="BW54" s="32" t="str">
        <f>+IF(BW$3="","",IF($AY54="","",IFERROR(INDEX('Data Consolidada'!$E$7:$E$891,MATCH(CONCATENATE(BW$3,"-",$CP54,"-",$AY54),'Data Consolidada'!$K$7:$K$891,0)),MAX('Data Consolidada'!$E$7:$E$3000))))</f>
        <v/>
      </c>
      <c r="BX54" s="32" t="str">
        <f>+IF(BX$3="","",IF($AY54="","",IFERROR(INDEX('Data Consolidada'!$E$7:$E$891,MATCH(CONCATENATE(BX$3,"-",$CP54,"-",$AY54),'Data Consolidada'!$K$7:$K$891,0)),MAX('Data Consolidada'!$E$7:$E$3000))))</f>
        <v/>
      </c>
      <c r="BY54" s="32" t="str">
        <f>+IF(BY$3="","",IF($AY54="","",IFERROR(INDEX('Data Consolidada'!$E$7:$E$891,MATCH(CONCATENATE(BY$3,"-",$CP54,"-",$AY54),'Data Consolidada'!$K$7:$K$891,0)),MAX('Data Consolidada'!$E$7:$E$3000))))</f>
        <v/>
      </c>
      <c r="BZ54" s="32" t="str">
        <f>+IF(BZ$3="","",IF($AY54="","",IFERROR(INDEX('Data Consolidada'!$E$7:$E$891,MATCH(CONCATENATE(BZ$3,"-",$CP54,"-",$AY54),'Data Consolidada'!$K$7:$K$891,0)),MAX('Data Consolidada'!$E$7:$E$3000))))</f>
        <v/>
      </c>
      <c r="CA54" s="32" t="str">
        <f>+IF(CA$3="","",IF($AY54="","",IFERROR(INDEX('Data Consolidada'!$E$7:$E$891,MATCH(CONCATENATE(CA$3,"-",$CP54,"-",$AY54),'Data Consolidada'!$K$7:$K$891,0)),MAX('Data Consolidada'!$E$7:$E$3000))))</f>
        <v/>
      </c>
      <c r="CB54" s="32" t="str">
        <f>+IF(CB$3="","",IF($AY54="","",IFERROR(INDEX('Data Consolidada'!$E$7:$E$891,MATCH(CONCATENATE(CB$3,"-",$CP54,"-",$AY54),'Data Consolidada'!$K$7:$K$891,0)),MAX('Data Consolidada'!$E$7:$E$3000))))</f>
        <v/>
      </c>
      <c r="CC54" s="32" t="str">
        <f>+IF(CC$3="","",IF($AY54="","",IFERROR(INDEX('Data Consolidada'!$E$7:$E$891,MATCH(CONCATENATE(CC$3,"-",$CP54,"-",$AY54),'Data Consolidada'!$K$7:$K$891,0)),MAX('Data Consolidada'!$E$7:$E$3000))))</f>
        <v/>
      </c>
      <c r="CD54" s="32" t="str">
        <f>+IF(CD$3="","",IF($AY54="","",IFERROR(INDEX('Data Consolidada'!$E$7:$E$891,MATCH(CONCATENATE(CD$3,"-",$CP54,"-",$AY54),'Data Consolidada'!$K$7:$K$891,0)),MAX('Data Consolidada'!$E$7:$E$3000))))</f>
        <v/>
      </c>
      <c r="CE54" s="32" t="str">
        <f>+IF(CE$3="","",IF($AY54="","",IFERROR(INDEX('Data Consolidada'!$E$7:$E$891,MATCH(CONCATENATE(CE$3,"-",$CP54,"-",$AY54),'Data Consolidada'!$K$7:$K$891,0)),MAX('Data Consolidada'!$E$7:$E$3000))))</f>
        <v/>
      </c>
      <c r="CF54" s="32" t="str">
        <f>+IF(CF$3="","",IF($AY54="","",IFERROR(INDEX('Data Consolidada'!$E$7:$E$891,MATCH(CONCATENATE(CF$3,"-",$CP54,"-",$AY54),'Data Consolidada'!$K$7:$K$891,0)),MAX('Data Consolidada'!$E$7:$E$3000))))</f>
        <v/>
      </c>
      <c r="CG54" s="32" t="str">
        <f>+IF(CG$3="","",IF($AY54="","",IFERROR(INDEX('Data Consolidada'!$E$7:$E$891,MATCH(CONCATENATE(CG$3,"-",$CP54,"-",$AY54),'Data Consolidada'!$K$7:$K$891,0)),MAX('Data Consolidada'!$E$7:$E$3000))))</f>
        <v/>
      </c>
      <c r="CH54" s="32" t="str">
        <f>+IF(CH$3="","",IF($AY54="","",IFERROR(INDEX('Data Consolidada'!$E$7:$E$891,MATCH(CONCATENATE(CH$3,"-",$CP54,"-",$AY54),'Data Consolidada'!$K$7:$K$891,0)),MAX('Data Consolidada'!$E$7:$E$3000))))</f>
        <v/>
      </c>
      <c r="CI54" s="32" t="str">
        <f>+IF(CI$3="","",IF($AY54="","",IFERROR(INDEX('Data Consolidada'!$E$7:$E$891,MATCH(CONCATENATE(CI$3,"-",$CP54,"-",$AY54),'Data Consolidada'!$K$7:$K$891,0)),MAX('Data Consolidada'!$E$7:$E$3000))))</f>
        <v/>
      </c>
      <c r="CJ54" s="32" t="str">
        <f>+IF(CJ$3="","",IF($AY54="","",IFERROR(INDEX('Data Consolidada'!$E$7:$E$891,MATCH(CONCATENATE(CJ$3,"-",$CP54,"-",$AY54),'Data Consolidada'!$K$7:$K$891,0)),MAX('Data Consolidada'!$E$7:$E$3000))))</f>
        <v/>
      </c>
      <c r="CK54" s="32" t="str">
        <f>+IF(CK$3="","",IF($AY54="","",IFERROR(INDEX('Data Consolidada'!$E$7:$E$891,MATCH(CONCATENATE(CK$3,"-",$CP54,"-",$AY54),'Data Consolidada'!$K$7:$K$891,0)),MAX('Data Consolidada'!$E$7:$E$3000))))</f>
        <v/>
      </c>
      <c r="CL54" s="32" t="str">
        <f>+IF(CL$3="","",IF($AY54="","",IFERROR(INDEX('Data Consolidada'!$E$7:$E$891,MATCH(CONCATENATE(CL$3,"-",$CP54,"-",$AY54),'Data Consolidada'!$K$7:$K$891,0)),MAX('Data Consolidada'!$E$7:$E$3000))))</f>
        <v/>
      </c>
      <c r="CM54" s="32" t="str">
        <f>+IF(CM$3="","",IF($AY54="","",IFERROR(INDEX('Data Consolidada'!$E$7:$E$891,MATCH(CONCATENATE(CM$3,"-",$CP54,"-",$AY54),'Data Consolidada'!$K$7:$K$891,0)),MAX('Data Consolidada'!$E$7:$E$3000))))</f>
        <v/>
      </c>
      <c r="CN54" s="32" t="str">
        <f>+IF(CN$3="","",IF($AY54="","",IFERROR(INDEX('Data Consolidada'!$E$7:$E$891,MATCH(CONCATENATE(CN$3,"-",$CP54,"-",$AY54),'Data Consolidada'!$K$7:$K$891,0)),MAX('Data Consolidada'!$E$7:$E$3000))))</f>
        <v/>
      </c>
      <c r="CO54" s="37" t="str">
        <f>+IF(CO$3="","",IF($AY54="","",IFERROR(INDEX('Data Consolidada'!$E$7:$E$891,MATCH(CONCATENATE(CO$3,"-",$CP54,"-",$AY54),'Data Consolidada'!$K$7:$K$891,0)),MAX('Data Consolidada'!$E$7:$E$3000))))</f>
        <v/>
      </c>
      <c r="CP54" s="224">
        <f t="shared" ca="1" si="2"/>
        <v>0</v>
      </c>
      <c r="CQ54" s="84" t="str">
        <f t="shared" ca="1" si="3"/>
        <v>TRANS. MAX SOTO G. E.I.R.L.0</v>
      </c>
    </row>
    <row r="55" spans="2:95" ht="15" customHeight="1" x14ac:dyDescent="0.35">
      <c r="B55" s="46"/>
      <c r="C55" s="5"/>
      <c r="D55" s="15"/>
      <c r="E55" s="53"/>
      <c r="F55" s="257"/>
      <c r="G55" s="14"/>
      <c r="H55" s="204"/>
      <c r="I55" s="267" t="str">
        <f t="shared" si="21"/>
        <v/>
      </c>
      <c r="J55" s="268" t="str">
        <f t="shared" si="22"/>
        <v/>
      </c>
      <c r="K55" s="268" t="str">
        <f t="shared" si="23"/>
        <v/>
      </c>
      <c r="L55" s="268" t="str">
        <f t="shared" si="24"/>
        <v/>
      </c>
      <c r="M55" s="268" t="str">
        <f t="shared" si="25"/>
        <v/>
      </c>
      <c r="N55" s="268" t="str">
        <f t="shared" si="26"/>
        <v/>
      </c>
      <c r="O55" s="268" t="str">
        <f t="shared" si="27"/>
        <v/>
      </c>
      <c r="P55" s="268" t="str">
        <f t="shared" si="28"/>
        <v/>
      </c>
      <c r="Q55" s="268" t="str">
        <f t="shared" si="29"/>
        <v/>
      </c>
      <c r="R55" s="268" t="str">
        <f t="shared" si="30"/>
        <v/>
      </c>
      <c r="S55" s="268" t="str">
        <f t="shared" si="31"/>
        <v/>
      </c>
      <c r="T55" s="268" t="str">
        <f t="shared" si="32"/>
        <v/>
      </c>
      <c r="U55" s="268" t="str">
        <f t="shared" si="33"/>
        <v/>
      </c>
      <c r="V55" s="269" t="str">
        <f t="shared" si="34"/>
        <v/>
      </c>
      <c r="W55" s="55" cm="1">
        <f t="array" ref="W55">+IFERROR(_xlfn.IFS(F55="Totes",IF(I55="",0,ROUNDUP(I55*$I$11/$G$9,0))+IF(J55="",0,ROUNDUP(J55*$J$11/$G$9,0))+IF(K55="",0,ROUNDUP(K55*$K$11/$G$9,0))+IF(L55="",0,ROUNDUP(L55*$L$11/$G$9,0))+IF(M55="",0,ROUNDUP(M55*$M$11/$G$9,0))+IF(N55="",0,ROUNDUP(N55*$N$11/$G$9,0))+IF(O55="",0,ROUNDUP(O55*$O$11/$G$9,0))+IF(P55="",0,ROUNDUP(P55*$P$11/$G$9,0))+IF(Q55="",0,ROUNDUP(Q55*$Q$11/$G$9,0))+IF(R55="",0,ROUNDUP(R55*$R$11/$G$9,0))+IF(S55="",0,ROUNDUP(S55*$S$11/$G$9,0))+IF(T55="",0,ROUNDUP(T55*$T$11/$G$9,0))+IF(U55="",0,ROUNDUP(U55*$U$11/$G$9,0))+IF(V55="",0,ROUNDUP(V55*$V$11/$G$9,0)),F55="Mini Bins",IF(I55="",0,ROUNDUP(I55*$I$11/$J$6,0))+IF(J55="",0,ROUNDUP(J55*$J$11/$J$6,0))+IF(K55="",0,ROUNDUP(K55*$K$11/$J$6,0))+IF(L55="",0,ROUNDUP(L55*$L$11/$J$6,0))+IF(M55="",0,ROUNDUP(M55*$M$11/$J$6,0))+IF(N55="",0,ROUNDUP(N55*$N$11/$J$6,0))+IF(O55="",0,ROUNDUP(O55*$O$11/$J$6,0))+IF(P55="",0,ROUNDUP(P55*$P$11/$J$6,0))+IF(Q55="",0,ROUNDUP(Q55*$Q$11/$J$6,0))+IF(R55="",0,ROUNDUP(R55*$R$11/$J$6,0))+IF(S55="",0,ROUNDUP(S55*$S$11/$J$6,0))+IF(T55="",0,ROUNDUP(T55*$T$11/$J$6,0))+IF(U55="",0,ROUNDUP(U55*$U$11/$J$6,0))+IF(V55="",0,ROUNDUP(V55*$V$11/$J$6,0))),0)</f>
        <v>0</v>
      </c>
      <c r="X55" s="254">
        <f t="shared" si="35"/>
        <v>0</v>
      </c>
      <c r="Y55" s="11"/>
      <c r="Z55" s="245"/>
      <c r="AA55" s="247"/>
      <c r="AB55" s="254" cm="1">
        <f t="array" aca="1" ref="AB55" ca="1">+SUM(IF($B$72:$B$217=Z55,$C$72:$AR$217))</f>
        <v>0</v>
      </c>
      <c r="AC55" s="211">
        <f t="shared" ca="1" si="4"/>
        <v>0</v>
      </c>
      <c r="AF55" s="14"/>
      <c r="AG55" s="204"/>
      <c r="AH55" s="228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6"/>
      <c r="AU55" s="229"/>
      <c r="AW55" s="13">
        <f>+IF(AX55="","",IF(AX55&gt;AX54,AW54,IF(AW54&lt;$D$69,AW54+1,IF(COUNT(AW$4:AW54)&lt;$B$69*$E$54,1,""))))</f>
        <v>4</v>
      </c>
      <c r="AX55" s="13">
        <f>+IF(AX54&lt;$B$69,AX54+1,IF(COUNT(AX$4:AX54)&lt;$B$69*$D$69,1,""))</f>
        <v>13</v>
      </c>
      <c r="AY55" s="189" t="str">
        <f t="shared" ca="1" si="1"/>
        <v>TRANS. MITRE SPA.</v>
      </c>
      <c r="AZ55" s="36">
        <f ca="1">+IF(AZ$3="","",IF($AY55="","",IFERROR(INDEX('Data Consolidada'!$E$7:$E$891,MATCH(CONCATENATE(AZ$3,"-",$CP55,"-",$AY55),'Data Consolidada'!$K$7:$K$891,0)),MAX('Data Consolidada'!$E$7:$E$3000))))</f>
        <v>11000000</v>
      </c>
      <c r="BA55" s="32">
        <f ca="1">+IF(BA$3="","",IF($AY55="","",IFERROR(INDEX('Data Consolidada'!$E$7:$E$891,MATCH(CONCATENATE(BA$3,"-",$CP55,"-",$AY55),'Data Consolidada'!$K$7:$K$891,0)),MAX('Data Consolidada'!$E$7:$E$3000))))</f>
        <v>11000000</v>
      </c>
      <c r="BB55" s="32" t="str">
        <f>+IF(BB$3="","",IF($AY55="","",IFERROR(INDEX('Data Consolidada'!$E$7:$E$891,MATCH(CONCATENATE(BB$3,"-",$CP55,"-",$AY55),'Data Consolidada'!$K$7:$K$891,0)),MAX('Data Consolidada'!$E$7:$E$3000))))</f>
        <v/>
      </c>
      <c r="BC55" s="32" t="str">
        <f>+IF(BC$3="","",IF($AY55="","",IFERROR(INDEX('Data Consolidada'!$E$7:$E$891,MATCH(CONCATENATE(BC$3,"-",$CP55,"-",$AY55),'Data Consolidada'!$K$7:$K$891,0)),MAX('Data Consolidada'!$E$7:$E$3000))))</f>
        <v/>
      </c>
      <c r="BD55" s="32" t="str">
        <f>+IF(BD$3="","",IF($AY55="","",IFERROR(INDEX('Data Consolidada'!$E$7:$E$891,MATCH(CONCATENATE(BD$3,"-",$CP55,"-",$AY55),'Data Consolidada'!$K$7:$K$891,0)),MAX('Data Consolidada'!$E$7:$E$3000))))</f>
        <v/>
      </c>
      <c r="BE55" s="32" t="str">
        <f>+IF(BE$3="","",IF($AY55="","",IFERROR(INDEX('Data Consolidada'!$E$7:$E$891,MATCH(CONCATENATE(BE$3,"-",$CP55,"-",$AY55),'Data Consolidada'!$K$7:$K$891,0)),MAX('Data Consolidada'!$E$7:$E$3000))))</f>
        <v/>
      </c>
      <c r="BF55" s="32" t="str">
        <f>+IF(BF$3="","",IF($AY55="","",IFERROR(INDEX('Data Consolidada'!$E$7:$E$891,MATCH(CONCATENATE(BF$3,"-",$CP55,"-",$AY55),'Data Consolidada'!$K$7:$K$891,0)),MAX('Data Consolidada'!$E$7:$E$3000))))</f>
        <v/>
      </c>
      <c r="BG55" s="32" t="str">
        <f>+IF(BG$3="","",IF($AY55="","",IFERROR(INDEX('Data Consolidada'!$E$7:$E$891,MATCH(CONCATENATE(BG$3,"-",$CP55,"-",$AY55),'Data Consolidada'!$K$7:$K$891,0)),MAX('Data Consolidada'!$E$7:$E$3000))))</f>
        <v/>
      </c>
      <c r="BH55" s="32" t="str">
        <f>+IF(BH$3="","",IF($AY55="","",IFERROR(INDEX('Data Consolidada'!$E$7:$E$891,MATCH(CONCATENATE(BH$3,"-",$CP55,"-",$AY55),'Data Consolidada'!$K$7:$K$891,0)),MAX('Data Consolidada'!$E$7:$E$3000))))</f>
        <v/>
      </c>
      <c r="BI55" s="32" t="str">
        <f>+IF(BI$3="","",IF($AY55="","",IFERROR(INDEX('Data Consolidada'!$E$7:$E$891,MATCH(CONCATENATE(BI$3,"-",$CP55,"-",$AY55),'Data Consolidada'!$K$7:$K$891,0)),MAX('Data Consolidada'!$E$7:$E$3000))))</f>
        <v/>
      </c>
      <c r="BJ55" s="32" t="str">
        <f>+IF(BJ$3="","",IF($AY55="","",IFERROR(INDEX('Data Consolidada'!$E$7:$E$891,MATCH(CONCATENATE(BJ$3,"-",$CP55,"-",$AY55),'Data Consolidada'!$K$7:$K$891,0)),MAX('Data Consolidada'!$E$7:$E$3000))))</f>
        <v/>
      </c>
      <c r="BK55" s="32" t="str">
        <f>+IF(BK$3="","",IF($AY55="","",IFERROR(INDEX('Data Consolidada'!$E$7:$E$891,MATCH(CONCATENATE(BK$3,"-",$CP55,"-",$AY55),'Data Consolidada'!$K$7:$K$891,0)),MAX('Data Consolidada'!$E$7:$E$3000))))</f>
        <v/>
      </c>
      <c r="BL55" s="32" t="str">
        <f>+IF(BL$3="","",IF($AY55="","",IFERROR(INDEX('Data Consolidada'!$E$7:$E$891,MATCH(CONCATENATE(BL$3,"-",$CP55,"-",$AY55),'Data Consolidada'!$K$7:$K$891,0)),MAX('Data Consolidada'!$E$7:$E$3000))))</f>
        <v/>
      </c>
      <c r="BM55" s="32" t="str">
        <f>+IF(BM$3="","",IF($AY55="","",IFERROR(INDEX('Data Consolidada'!$E$7:$E$891,MATCH(CONCATENATE(BM$3,"-",$CP55,"-",$AY55),'Data Consolidada'!$K$7:$K$891,0)),MAX('Data Consolidada'!$E$7:$E$3000))))</f>
        <v/>
      </c>
      <c r="BN55" s="32" t="str">
        <f>+IF(BN$3="","",IF($AY55="","",IFERROR(INDEX('Data Consolidada'!$E$7:$E$891,MATCH(CONCATENATE(BN$3,"-",$CP55,"-",$AY55),'Data Consolidada'!$K$7:$K$891,0)),MAX('Data Consolidada'!$E$7:$E$3000))))</f>
        <v/>
      </c>
      <c r="BO55" s="32" t="str">
        <f>+IF(BO$3="","",IF($AY55="","",IFERROR(INDEX('Data Consolidada'!$E$7:$E$891,MATCH(CONCATENATE(BO$3,"-",$CP55,"-",$AY55),'Data Consolidada'!$K$7:$K$891,0)),MAX('Data Consolidada'!$E$7:$E$3000))))</f>
        <v/>
      </c>
      <c r="BP55" s="32" t="str">
        <f>+IF(BP$3="","",IF($AY55="","",IFERROR(INDEX('Data Consolidada'!$E$7:$E$891,MATCH(CONCATENATE(BP$3,"-",$CP55,"-",$AY55),'Data Consolidada'!$K$7:$K$891,0)),MAX('Data Consolidada'!$E$7:$E$3000))))</f>
        <v/>
      </c>
      <c r="BQ55" s="32" t="str">
        <f>+IF(BQ$3="","",IF($AY55="","",IFERROR(INDEX('Data Consolidada'!$E$7:$E$891,MATCH(CONCATENATE(BQ$3,"-",$CP55,"-",$AY55),'Data Consolidada'!$K$7:$K$891,0)),MAX('Data Consolidada'!$E$7:$E$3000))))</f>
        <v/>
      </c>
      <c r="BR55" s="32" t="str">
        <f>+IF(BR$3="","",IF($AY55="","",IFERROR(INDEX('Data Consolidada'!$E$7:$E$891,MATCH(CONCATENATE(BR$3,"-",$CP55,"-",$AY55),'Data Consolidada'!$K$7:$K$891,0)),MAX('Data Consolidada'!$E$7:$E$3000))))</f>
        <v/>
      </c>
      <c r="BS55" s="32" t="str">
        <f>+IF(BS$3="","",IF($AY55="","",IFERROR(INDEX('Data Consolidada'!$E$7:$E$891,MATCH(CONCATENATE(BS$3,"-",$CP55,"-",$AY55),'Data Consolidada'!$K$7:$K$891,0)),MAX('Data Consolidada'!$E$7:$E$3000))))</f>
        <v/>
      </c>
      <c r="BT55" s="32" t="str">
        <f>+IF(BT$3="","",IF($AY55="","",IFERROR(INDEX('Data Consolidada'!$E$7:$E$891,MATCH(CONCATENATE(BT$3,"-",$CP55,"-",$AY55),'Data Consolidada'!$K$7:$K$891,0)),MAX('Data Consolidada'!$E$7:$E$3000))))</f>
        <v/>
      </c>
      <c r="BU55" s="32" t="str">
        <f>+IF(BU$3="","",IF($AY55="","",IFERROR(INDEX('Data Consolidada'!$E$7:$E$891,MATCH(CONCATENATE(BU$3,"-",$CP55,"-",$AY55),'Data Consolidada'!$K$7:$K$891,0)),MAX('Data Consolidada'!$E$7:$E$3000))))</f>
        <v/>
      </c>
      <c r="BV55" s="32" t="str">
        <f>+IF(BV$3="","",IF($AY55="","",IFERROR(INDEX('Data Consolidada'!$E$7:$E$891,MATCH(CONCATENATE(BV$3,"-",$CP55,"-",$AY55),'Data Consolidada'!$K$7:$K$891,0)),MAX('Data Consolidada'!$E$7:$E$3000))))</f>
        <v/>
      </c>
      <c r="BW55" s="32" t="str">
        <f>+IF(BW$3="","",IF($AY55="","",IFERROR(INDEX('Data Consolidada'!$E$7:$E$891,MATCH(CONCATENATE(BW$3,"-",$CP55,"-",$AY55),'Data Consolidada'!$K$7:$K$891,0)),MAX('Data Consolidada'!$E$7:$E$3000))))</f>
        <v/>
      </c>
      <c r="BX55" s="32" t="str">
        <f>+IF(BX$3="","",IF($AY55="","",IFERROR(INDEX('Data Consolidada'!$E$7:$E$891,MATCH(CONCATENATE(BX$3,"-",$CP55,"-",$AY55),'Data Consolidada'!$K$7:$K$891,0)),MAX('Data Consolidada'!$E$7:$E$3000))))</f>
        <v/>
      </c>
      <c r="BY55" s="32" t="str">
        <f>+IF(BY$3="","",IF($AY55="","",IFERROR(INDEX('Data Consolidada'!$E$7:$E$891,MATCH(CONCATENATE(BY$3,"-",$CP55,"-",$AY55),'Data Consolidada'!$K$7:$K$891,0)),MAX('Data Consolidada'!$E$7:$E$3000))))</f>
        <v/>
      </c>
      <c r="BZ55" s="32" t="str">
        <f>+IF(BZ$3="","",IF($AY55="","",IFERROR(INDEX('Data Consolidada'!$E$7:$E$891,MATCH(CONCATENATE(BZ$3,"-",$CP55,"-",$AY55),'Data Consolidada'!$K$7:$K$891,0)),MAX('Data Consolidada'!$E$7:$E$3000))))</f>
        <v/>
      </c>
      <c r="CA55" s="32" t="str">
        <f>+IF(CA$3="","",IF($AY55="","",IFERROR(INDEX('Data Consolidada'!$E$7:$E$891,MATCH(CONCATENATE(CA$3,"-",$CP55,"-",$AY55),'Data Consolidada'!$K$7:$K$891,0)),MAX('Data Consolidada'!$E$7:$E$3000))))</f>
        <v/>
      </c>
      <c r="CB55" s="32" t="str">
        <f>+IF(CB$3="","",IF($AY55="","",IFERROR(INDEX('Data Consolidada'!$E$7:$E$891,MATCH(CONCATENATE(CB$3,"-",$CP55,"-",$AY55),'Data Consolidada'!$K$7:$K$891,0)),MAX('Data Consolidada'!$E$7:$E$3000))))</f>
        <v/>
      </c>
      <c r="CC55" s="32" t="str">
        <f>+IF(CC$3="","",IF($AY55="","",IFERROR(INDEX('Data Consolidada'!$E$7:$E$891,MATCH(CONCATENATE(CC$3,"-",$CP55,"-",$AY55),'Data Consolidada'!$K$7:$K$891,0)),MAX('Data Consolidada'!$E$7:$E$3000))))</f>
        <v/>
      </c>
      <c r="CD55" s="32" t="str">
        <f>+IF(CD$3="","",IF($AY55="","",IFERROR(INDEX('Data Consolidada'!$E$7:$E$891,MATCH(CONCATENATE(CD$3,"-",$CP55,"-",$AY55),'Data Consolidada'!$K$7:$K$891,0)),MAX('Data Consolidada'!$E$7:$E$3000))))</f>
        <v/>
      </c>
      <c r="CE55" s="32" t="str">
        <f>+IF(CE$3="","",IF($AY55="","",IFERROR(INDEX('Data Consolidada'!$E$7:$E$891,MATCH(CONCATENATE(CE$3,"-",$CP55,"-",$AY55),'Data Consolidada'!$K$7:$K$891,0)),MAX('Data Consolidada'!$E$7:$E$3000))))</f>
        <v/>
      </c>
      <c r="CF55" s="32" t="str">
        <f>+IF(CF$3="","",IF($AY55="","",IFERROR(INDEX('Data Consolidada'!$E$7:$E$891,MATCH(CONCATENATE(CF$3,"-",$CP55,"-",$AY55),'Data Consolidada'!$K$7:$K$891,0)),MAX('Data Consolidada'!$E$7:$E$3000))))</f>
        <v/>
      </c>
      <c r="CG55" s="32" t="str">
        <f>+IF(CG$3="","",IF($AY55="","",IFERROR(INDEX('Data Consolidada'!$E$7:$E$891,MATCH(CONCATENATE(CG$3,"-",$CP55,"-",$AY55),'Data Consolidada'!$K$7:$K$891,0)),MAX('Data Consolidada'!$E$7:$E$3000))))</f>
        <v/>
      </c>
      <c r="CH55" s="32" t="str">
        <f>+IF(CH$3="","",IF($AY55="","",IFERROR(INDEX('Data Consolidada'!$E$7:$E$891,MATCH(CONCATENATE(CH$3,"-",$CP55,"-",$AY55),'Data Consolidada'!$K$7:$K$891,0)),MAX('Data Consolidada'!$E$7:$E$3000))))</f>
        <v/>
      </c>
      <c r="CI55" s="32" t="str">
        <f>+IF(CI$3="","",IF($AY55="","",IFERROR(INDEX('Data Consolidada'!$E$7:$E$891,MATCH(CONCATENATE(CI$3,"-",$CP55,"-",$AY55),'Data Consolidada'!$K$7:$K$891,0)),MAX('Data Consolidada'!$E$7:$E$3000))))</f>
        <v/>
      </c>
      <c r="CJ55" s="32" t="str">
        <f>+IF(CJ$3="","",IF($AY55="","",IFERROR(INDEX('Data Consolidada'!$E$7:$E$891,MATCH(CONCATENATE(CJ$3,"-",$CP55,"-",$AY55),'Data Consolidada'!$K$7:$K$891,0)),MAX('Data Consolidada'!$E$7:$E$3000))))</f>
        <v/>
      </c>
      <c r="CK55" s="32" t="str">
        <f>+IF(CK$3="","",IF($AY55="","",IFERROR(INDEX('Data Consolidada'!$E$7:$E$891,MATCH(CONCATENATE(CK$3,"-",$CP55,"-",$AY55),'Data Consolidada'!$K$7:$K$891,0)),MAX('Data Consolidada'!$E$7:$E$3000))))</f>
        <v/>
      </c>
      <c r="CL55" s="32" t="str">
        <f>+IF(CL$3="","",IF($AY55="","",IFERROR(INDEX('Data Consolidada'!$E$7:$E$891,MATCH(CONCATENATE(CL$3,"-",$CP55,"-",$AY55),'Data Consolidada'!$K$7:$K$891,0)),MAX('Data Consolidada'!$E$7:$E$3000))))</f>
        <v/>
      </c>
      <c r="CM55" s="32" t="str">
        <f>+IF(CM$3="","",IF($AY55="","",IFERROR(INDEX('Data Consolidada'!$E$7:$E$891,MATCH(CONCATENATE(CM$3,"-",$CP55,"-",$AY55),'Data Consolidada'!$K$7:$K$891,0)),MAX('Data Consolidada'!$E$7:$E$3000))))</f>
        <v/>
      </c>
      <c r="CN55" s="32" t="str">
        <f>+IF(CN$3="","",IF($AY55="","",IFERROR(INDEX('Data Consolidada'!$E$7:$E$891,MATCH(CONCATENATE(CN$3,"-",$CP55,"-",$AY55),'Data Consolidada'!$K$7:$K$891,0)),MAX('Data Consolidada'!$E$7:$E$3000))))</f>
        <v/>
      </c>
      <c r="CO55" s="37" t="str">
        <f>+IF(CO$3="","",IF($AY55="","",IFERROR(INDEX('Data Consolidada'!$E$7:$E$891,MATCH(CONCATENATE(CO$3,"-",$CP55,"-",$AY55),'Data Consolidada'!$K$7:$K$891,0)),MAX('Data Consolidada'!$E$7:$E$3000))))</f>
        <v/>
      </c>
      <c r="CP55" s="224">
        <f t="shared" ca="1" si="2"/>
        <v>0</v>
      </c>
      <c r="CQ55" s="84" t="str">
        <f t="shared" ca="1" si="3"/>
        <v>TRANS. MITRE SPA.0</v>
      </c>
    </row>
    <row r="56" spans="2:95" ht="15" customHeight="1" x14ac:dyDescent="0.35">
      <c r="B56" s="46"/>
      <c r="C56" s="5"/>
      <c r="D56" s="15"/>
      <c r="E56" s="53"/>
      <c r="F56" s="257"/>
      <c r="G56" s="14"/>
      <c r="H56" s="204"/>
      <c r="I56" s="267" t="str">
        <f t="shared" si="21"/>
        <v/>
      </c>
      <c r="J56" s="268" t="str">
        <f t="shared" si="22"/>
        <v/>
      </c>
      <c r="K56" s="268" t="str">
        <f t="shared" si="23"/>
        <v/>
      </c>
      <c r="L56" s="268" t="str">
        <f t="shared" si="24"/>
        <v/>
      </c>
      <c r="M56" s="268" t="str">
        <f t="shared" si="25"/>
        <v/>
      </c>
      <c r="N56" s="268" t="str">
        <f t="shared" si="26"/>
        <v/>
      </c>
      <c r="O56" s="268" t="str">
        <f t="shared" si="27"/>
        <v/>
      </c>
      <c r="P56" s="268" t="str">
        <f t="shared" si="28"/>
        <v/>
      </c>
      <c r="Q56" s="268" t="str">
        <f t="shared" si="29"/>
        <v/>
      </c>
      <c r="R56" s="268" t="str">
        <f t="shared" si="30"/>
        <v/>
      </c>
      <c r="S56" s="268" t="str">
        <f t="shared" si="31"/>
        <v/>
      </c>
      <c r="T56" s="268" t="str">
        <f t="shared" si="32"/>
        <v/>
      </c>
      <c r="U56" s="268" t="str">
        <f t="shared" si="33"/>
        <v/>
      </c>
      <c r="V56" s="269" t="str">
        <f t="shared" si="34"/>
        <v/>
      </c>
      <c r="W56" s="55" cm="1">
        <f t="array" ref="W56">+IFERROR(_xlfn.IFS(F56="Totes",IF(I56="",0,ROUNDUP(I56*$I$11/$G$9,0))+IF(J56="",0,ROUNDUP(J56*$J$11/$G$9,0))+IF(K56="",0,ROUNDUP(K56*$K$11/$G$9,0))+IF(L56="",0,ROUNDUP(L56*$L$11/$G$9,0))+IF(M56="",0,ROUNDUP(M56*$M$11/$G$9,0))+IF(N56="",0,ROUNDUP(N56*$N$11/$G$9,0))+IF(O56="",0,ROUNDUP(O56*$O$11/$G$9,0))+IF(P56="",0,ROUNDUP(P56*$P$11/$G$9,0))+IF(Q56="",0,ROUNDUP(Q56*$Q$11/$G$9,0))+IF(R56="",0,ROUNDUP(R56*$R$11/$G$9,0))+IF(S56="",0,ROUNDUP(S56*$S$11/$G$9,0))+IF(T56="",0,ROUNDUP(T56*$T$11/$G$9,0))+IF(U56="",0,ROUNDUP(U56*$U$11/$G$9,0))+IF(V56="",0,ROUNDUP(V56*$V$11/$G$9,0)),F56="Mini Bins",IF(I56="",0,ROUNDUP(I56*$I$11/$J$6,0))+IF(J56="",0,ROUNDUP(J56*$J$11/$J$6,0))+IF(K56="",0,ROUNDUP(K56*$K$11/$J$6,0))+IF(L56="",0,ROUNDUP(L56*$L$11/$J$6,0))+IF(M56="",0,ROUNDUP(M56*$M$11/$J$6,0))+IF(N56="",0,ROUNDUP(N56*$N$11/$J$6,0))+IF(O56="",0,ROUNDUP(O56*$O$11/$J$6,0))+IF(P56="",0,ROUNDUP(P56*$P$11/$J$6,0))+IF(Q56="",0,ROUNDUP(Q56*$Q$11/$J$6,0))+IF(R56="",0,ROUNDUP(R56*$R$11/$J$6,0))+IF(S56="",0,ROUNDUP(S56*$S$11/$J$6,0))+IF(T56="",0,ROUNDUP(T56*$T$11/$J$6,0))+IF(U56="",0,ROUNDUP(U56*$U$11/$J$6,0))+IF(V56="",0,ROUNDUP(V56*$V$11/$J$6,0))),0)</f>
        <v>0</v>
      </c>
      <c r="X56" s="254">
        <f t="shared" si="35"/>
        <v>0</v>
      </c>
      <c r="Z56" s="245"/>
      <c r="AA56" s="247"/>
      <c r="AB56" s="254" cm="1">
        <f t="array" aca="1" ref="AB56" ca="1">+SUM(IF($B$72:$B$217=Z56,$C$72:$AR$217))</f>
        <v>0</v>
      </c>
      <c r="AC56" s="211">
        <f t="shared" ca="1" si="4"/>
        <v>0</v>
      </c>
      <c r="AF56" s="14"/>
      <c r="AG56" s="204"/>
      <c r="AH56" s="228"/>
      <c r="AI56" s="196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6"/>
      <c r="AU56" s="229"/>
      <c r="AW56" s="13">
        <f>+IF(AX56="","",IF(AX56&gt;AX55,AW55,IF(AW55&lt;$D$69,AW55+1,IF(COUNT(AW$4:AW55)&lt;$B$69*$E$54,1,""))))</f>
        <v>5</v>
      </c>
      <c r="AX56" s="13">
        <f>+IF(AX55&lt;$B$69,AX55+1,IF(COUNT(AX$4:AX55)&lt;$B$69*$D$69,1,""))</f>
        <v>1</v>
      </c>
      <c r="AY56" s="189" t="str">
        <f t="shared" ca="1" si="1"/>
        <v xml:space="preserve">  TRANS. MORROS LTDA.</v>
      </c>
      <c r="AZ56" s="36">
        <f ca="1">+IF(AZ$3="","",IF($AY56="","",IFERROR(INDEX('Data Consolidada'!$E$7:$E$891,MATCH(CONCATENATE(AZ$3,"-",$CP56,"-",$AY56),'Data Consolidada'!$K$7:$K$891,0)),MAX('Data Consolidada'!$E$7:$E$3000))))</f>
        <v>11000000</v>
      </c>
      <c r="BA56" s="32">
        <f ca="1">+IF(BA$3="","",IF($AY56="","",IFERROR(INDEX('Data Consolidada'!$E$7:$E$891,MATCH(CONCATENATE(BA$3,"-",$CP56,"-",$AY56),'Data Consolidada'!$K$7:$K$891,0)),MAX('Data Consolidada'!$E$7:$E$3000))))</f>
        <v>11000000</v>
      </c>
      <c r="BB56" s="32" t="str">
        <f>+IF(BB$3="","",IF($AY56="","",IFERROR(INDEX('Data Consolidada'!$E$7:$E$891,MATCH(CONCATENATE(BB$3,"-",$CP56,"-",$AY56),'Data Consolidada'!$K$7:$K$891,0)),MAX('Data Consolidada'!$E$7:$E$3000))))</f>
        <v/>
      </c>
      <c r="BC56" s="32" t="str">
        <f>+IF(BC$3="","",IF($AY56="","",IFERROR(INDEX('Data Consolidada'!$E$7:$E$891,MATCH(CONCATENATE(BC$3,"-",$CP56,"-",$AY56),'Data Consolidada'!$K$7:$K$891,0)),MAX('Data Consolidada'!$E$7:$E$3000))))</f>
        <v/>
      </c>
      <c r="BD56" s="32" t="str">
        <f>+IF(BD$3="","",IF($AY56="","",IFERROR(INDEX('Data Consolidada'!$E$7:$E$891,MATCH(CONCATENATE(BD$3,"-",$CP56,"-",$AY56),'Data Consolidada'!$K$7:$K$891,0)),MAX('Data Consolidada'!$E$7:$E$3000))))</f>
        <v/>
      </c>
      <c r="BE56" s="32" t="str">
        <f>+IF(BE$3="","",IF($AY56="","",IFERROR(INDEX('Data Consolidada'!$E$7:$E$891,MATCH(CONCATENATE(BE$3,"-",$CP56,"-",$AY56),'Data Consolidada'!$K$7:$K$891,0)),MAX('Data Consolidada'!$E$7:$E$3000))))</f>
        <v/>
      </c>
      <c r="BF56" s="32" t="str">
        <f>+IF(BF$3="","",IF($AY56="","",IFERROR(INDEX('Data Consolidada'!$E$7:$E$891,MATCH(CONCATENATE(BF$3,"-",$CP56,"-",$AY56),'Data Consolidada'!$K$7:$K$891,0)),MAX('Data Consolidada'!$E$7:$E$3000))))</f>
        <v/>
      </c>
      <c r="BG56" s="32" t="str">
        <f>+IF(BG$3="","",IF($AY56="","",IFERROR(INDEX('Data Consolidada'!$E$7:$E$891,MATCH(CONCATENATE(BG$3,"-",$CP56,"-",$AY56),'Data Consolidada'!$K$7:$K$891,0)),MAX('Data Consolidada'!$E$7:$E$3000))))</f>
        <v/>
      </c>
      <c r="BH56" s="32" t="str">
        <f>+IF(BH$3="","",IF($AY56="","",IFERROR(INDEX('Data Consolidada'!$E$7:$E$891,MATCH(CONCATENATE(BH$3,"-",$CP56,"-",$AY56),'Data Consolidada'!$K$7:$K$891,0)),MAX('Data Consolidada'!$E$7:$E$3000))))</f>
        <v/>
      </c>
      <c r="BI56" s="32" t="str">
        <f>+IF(BI$3="","",IF($AY56="","",IFERROR(INDEX('Data Consolidada'!$E$7:$E$891,MATCH(CONCATENATE(BI$3,"-",$CP56,"-",$AY56),'Data Consolidada'!$K$7:$K$891,0)),MAX('Data Consolidada'!$E$7:$E$3000))))</f>
        <v/>
      </c>
      <c r="BJ56" s="32" t="str">
        <f>+IF(BJ$3="","",IF($AY56="","",IFERROR(INDEX('Data Consolidada'!$E$7:$E$891,MATCH(CONCATENATE(BJ$3,"-",$CP56,"-",$AY56),'Data Consolidada'!$K$7:$K$891,0)),MAX('Data Consolidada'!$E$7:$E$3000))))</f>
        <v/>
      </c>
      <c r="BK56" s="32" t="str">
        <f>+IF(BK$3="","",IF($AY56="","",IFERROR(INDEX('Data Consolidada'!$E$7:$E$891,MATCH(CONCATENATE(BK$3,"-",$CP56,"-",$AY56),'Data Consolidada'!$K$7:$K$891,0)),MAX('Data Consolidada'!$E$7:$E$3000))))</f>
        <v/>
      </c>
      <c r="BL56" s="32" t="str">
        <f>+IF(BL$3="","",IF($AY56="","",IFERROR(INDEX('Data Consolidada'!$E$7:$E$891,MATCH(CONCATENATE(BL$3,"-",$CP56,"-",$AY56),'Data Consolidada'!$K$7:$K$891,0)),MAX('Data Consolidada'!$E$7:$E$3000))))</f>
        <v/>
      </c>
      <c r="BM56" s="32" t="str">
        <f>+IF(BM$3="","",IF($AY56="","",IFERROR(INDEX('Data Consolidada'!$E$7:$E$891,MATCH(CONCATENATE(BM$3,"-",$CP56,"-",$AY56),'Data Consolidada'!$K$7:$K$891,0)),MAX('Data Consolidada'!$E$7:$E$3000))))</f>
        <v/>
      </c>
      <c r="BN56" s="32" t="str">
        <f>+IF(BN$3="","",IF($AY56="","",IFERROR(INDEX('Data Consolidada'!$E$7:$E$891,MATCH(CONCATENATE(BN$3,"-",$CP56,"-",$AY56),'Data Consolidada'!$K$7:$K$891,0)),MAX('Data Consolidada'!$E$7:$E$3000))))</f>
        <v/>
      </c>
      <c r="BO56" s="32" t="str">
        <f>+IF(BO$3="","",IF($AY56="","",IFERROR(INDEX('Data Consolidada'!$E$7:$E$891,MATCH(CONCATENATE(BO$3,"-",$CP56,"-",$AY56),'Data Consolidada'!$K$7:$K$891,0)),MAX('Data Consolidada'!$E$7:$E$3000))))</f>
        <v/>
      </c>
      <c r="BP56" s="32" t="str">
        <f>+IF(BP$3="","",IF($AY56="","",IFERROR(INDEX('Data Consolidada'!$E$7:$E$891,MATCH(CONCATENATE(BP$3,"-",$CP56,"-",$AY56),'Data Consolidada'!$K$7:$K$891,0)),MAX('Data Consolidada'!$E$7:$E$3000))))</f>
        <v/>
      </c>
      <c r="BQ56" s="32" t="str">
        <f>+IF(BQ$3="","",IF($AY56="","",IFERROR(INDEX('Data Consolidada'!$E$7:$E$891,MATCH(CONCATENATE(BQ$3,"-",$CP56,"-",$AY56),'Data Consolidada'!$K$7:$K$891,0)),MAX('Data Consolidada'!$E$7:$E$3000))))</f>
        <v/>
      </c>
      <c r="BR56" s="32" t="str">
        <f>+IF(BR$3="","",IF($AY56="","",IFERROR(INDEX('Data Consolidada'!$E$7:$E$891,MATCH(CONCATENATE(BR$3,"-",$CP56,"-",$AY56),'Data Consolidada'!$K$7:$K$891,0)),MAX('Data Consolidada'!$E$7:$E$3000))))</f>
        <v/>
      </c>
      <c r="BS56" s="32" t="str">
        <f>+IF(BS$3="","",IF($AY56="","",IFERROR(INDEX('Data Consolidada'!$E$7:$E$891,MATCH(CONCATENATE(BS$3,"-",$CP56,"-",$AY56),'Data Consolidada'!$K$7:$K$891,0)),MAX('Data Consolidada'!$E$7:$E$3000))))</f>
        <v/>
      </c>
      <c r="BT56" s="32" t="str">
        <f>+IF(BT$3="","",IF($AY56="","",IFERROR(INDEX('Data Consolidada'!$E$7:$E$891,MATCH(CONCATENATE(BT$3,"-",$CP56,"-",$AY56),'Data Consolidada'!$K$7:$K$891,0)),MAX('Data Consolidada'!$E$7:$E$3000))))</f>
        <v/>
      </c>
      <c r="BU56" s="32" t="str">
        <f>+IF(BU$3="","",IF($AY56="","",IFERROR(INDEX('Data Consolidada'!$E$7:$E$891,MATCH(CONCATENATE(BU$3,"-",$CP56,"-",$AY56),'Data Consolidada'!$K$7:$K$891,0)),MAX('Data Consolidada'!$E$7:$E$3000))))</f>
        <v/>
      </c>
      <c r="BV56" s="32" t="str">
        <f>+IF(BV$3="","",IF($AY56="","",IFERROR(INDEX('Data Consolidada'!$E$7:$E$891,MATCH(CONCATENATE(BV$3,"-",$CP56,"-",$AY56),'Data Consolidada'!$K$7:$K$891,0)),MAX('Data Consolidada'!$E$7:$E$3000))))</f>
        <v/>
      </c>
      <c r="BW56" s="32" t="str">
        <f>+IF(BW$3="","",IF($AY56="","",IFERROR(INDEX('Data Consolidada'!$E$7:$E$891,MATCH(CONCATENATE(BW$3,"-",$CP56,"-",$AY56),'Data Consolidada'!$K$7:$K$891,0)),MAX('Data Consolidada'!$E$7:$E$3000))))</f>
        <v/>
      </c>
      <c r="BX56" s="32" t="str">
        <f>+IF(BX$3="","",IF($AY56="","",IFERROR(INDEX('Data Consolidada'!$E$7:$E$891,MATCH(CONCATENATE(BX$3,"-",$CP56,"-",$AY56),'Data Consolidada'!$K$7:$K$891,0)),MAX('Data Consolidada'!$E$7:$E$3000))))</f>
        <v/>
      </c>
      <c r="BY56" s="32" t="str">
        <f>+IF(BY$3="","",IF($AY56="","",IFERROR(INDEX('Data Consolidada'!$E$7:$E$891,MATCH(CONCATENATE(BY$3,"-",$CP56,"-",$AY56),'Data Consolidada'!$K$7:$K$891,0)),MAX('Data Consolidada'!$E$7:$E$3000))))</f>
        <v/>
      </c>
      <c r="BZ56" s="32" t="str">
        <f>+IF(BZ$3="","",IF($AY56="","",IFERROR(INDEX('Data Consolidada'!$E$7:$E$891,MATCH(CONCATENATE(BZ$3,"-",$CP56,"-",$AY56),'Data Consolidada'!$K$7:$K$891,0)),MAX('Data Consolidada'!$E$7:$E$3000))))</f>
        <v/>
      </c>
      <c r="CA56" s="32" t="str">
        <f>+IF(CA$3="","",IF($AY56="","",IFERROR(INDEX('Data Consolidada'!$E$7:$E$891,MATCH(CONCATENATE(CA$3,"-",$CP56,"-",$AY56),'Data Consolidada'!$K$7:$K$891,0)),MAX('Data Consolidada'!$E$7:$E$3000))))</f>
        <v/>
      </c>
      <c r="CB56" s="32" t="str">
        <f>+IF(CB$3="","",IF($AY56="","",IFERROR(INDEX('Data Consolidada'!$E$7:$E$891,MATCH(CONCATENATE(CB$3,"-",$CP56,"-",$AY56),'Data Consolidada'!$K$7:$K$891,0)),MAX('Data Consolidada'!$E$7:$E$3000))))</f>
        <v/>
      </c>
      <c r="CC56" s="32" t="str">
        <f>+IF(CC$3="","",IF($AY56="","",IFERROR(INDEX('Data Consolidada'!$E$7:$E$891,MATCH(CONCATENATE(CC$3,"-",$CP56,"-",$AY56),'Data Consolidada'!$K$7:$K$891,0)),MAX('Data Consolidada'!$E$7:$E$3000))))</f>
        <v/>
      </c>
      <c r="CD56" s="32" t="str">
        <f>+IF(CD$3="","",IF($AY56="","",IFERROR(INDEX('Data Consolidada'!$E$7:$E$891,MATCH(CONCATENATE(CD$3,"-",$CP56,"-",$AY56),'Data Consolidada'!$K$7:$K$891,0)),MAX('Data Consolidada'!$E$7:$E$3000))))</f>
        <v/>
      </c>
      <c r="CE56" s="32" t="str">
        <f>+IF(CE$3="","",IF($AY56="","",IFERROR(INDEX('Data Consolidada'!$E$7:$E$891,MATCH(CONCATENATE(CE$3,"-",$CP56,"-",$AY56),'Data Consolidada'!$K$7:$K$891,0)),MAX('Data Consolidada'!$E$7:$E$3000))))</f>
        <v/>
      </c>
      <c r="CF56" s="32" t="str">
        <f>+IF(CF$3="","",IF($AY56="","",IFERROR(INDEX('Data Consolidada'!$E$7:$E$891,MATCH(CONCATENATE(CF$3,"-",$CP56,"-",$AY56),'Data Consolidada'!$K$7:$K$891,0)),MAX('Data Consolidada'!$E$7:$E$3000))))</f>
        <v/>
      </c>
      <c r="CG56" s="32" t="str">
        <f>+IF(CG$3="","",IF($AY56="","",IFERROR(INDEX('Data Consolidada'!$E$7:$E$891,MATCH(CONCATENATE(CG$3,"-",$CP56,"-",$AY56),'Data Consolidada'!$K$7:$K$891,0)),MAX('Data Consolidada'!$E$7:$E$3000))))</f>
        <v/>
      </c>
      <c r="CH56" s="32" t="str">
        <f>+IF(CH$3="","",IF($AY56="","",IFERROR(INDEX('Data Consolidada'!$E$7:$E$891,MATCH(CONCATENATE(CH$3,"-",$CP56,"-",$AY56),'Data Consolidada'!$K$7:$K$891,0)),MAX('Data Consolidada'!$E$7:$E$3000))))</f>
        <v/>
      </c>
      <c r="CI56" s="32" t="str">
        <f>+IF(CI$3="","",IF($AY56="","",IFERROR(INDEX('Data Consolidada'!$E$7:$E$891,MATCH(CONCATENATE(CI$3,"-",$CP56,"-",$AY56),'Data Consolidada'!$K$7:$K$891,0)),MAX('Data Consolidada'!$E$7:$E$3000))))</f>
        <v/>
      </c>
      <c r="CJ56" s="32" t="str">
        <f>+IF(CJ$3="","",IF($AY56="","",IFERROR(INDEX('Data Consolidada'!$E$7:$E$891,MATCH(CONCATENATE(CJ$3,"-",$CP56,"-",$AY56),'Data Consolidada'!$K$7:$K$891,0)),MAX('Data Consolidada'!$E$7:$E$3000))))</f>
        <v/>
      </c>
      <c r="CK56" s="32" t="str">
        <f>+IF(CK$3="","",IF($AY56="","",IFERROR(INDEX('Data Consolidada'!$E$7:$E$891,MATCH(CONCATENATE(CK$3,"-",$CP56,"-",$AY56),'Data Consolidada'!$K$7:$K$891,0)),MAX('Data Consolidada'!$E$7:$E$3000))))</f>
        <v/>
      </c>
      <c r="CL56" s="32" t="str">
        <f>+IF(CL$3="","",IF($AY56="","",IFERROR(INDEX('Data Consolidada'!$E$7:$E$891,MATCH(CONCATENATE(CL$3,"-",$CP56,"-",$AY56),'Data Consolidada'!$K$7:$K$891,0)),MAX('Data Consolidada'!$E$7:$E$3000))))</f>
        <v/>
      </c>
      <c r="CM56" s="32" t="str">
        <f>+IF(CM$3="","",IF($AY56="","",IFERROR(INDEX('Data Consolidada'!$E$7:$E$891,MATCH(CONCATENATE(CM$3,"-",$CP56,"-",$AY56),'Data Consolidada'!$K$7:$K$891,0)),MAX('Data Consolidada'!$E$7:$E$3000))))</f>
        <v/>
      </c>
      <c r="CN56" s="32" t="str">
        <f>+IF(CN$3="","",IF($AY56="","",IFERROR(INDEX('Data Consolidada'!$E$7:$E$891,MATCH(CONCATENATE(CN$3,"-",$CP56,"-",$AY56),'Data Consolidada'!$K$7:$K$891,0)),MAX('Data Consolidada'!$E$7:$E$3000))))</f>
        <v/>
      </c>
      <c r="CO56" s="37" t="str">
        <f>+IF(CO$3="","",IF($AY56="","",IFERROR(INDEX('Data Consolidada'!$E$7:$E$891,MATCH(CONCATENATE(CO$3,"-",$CP56,"-",$AY56),'Data Consolidada'!$K$7:$K$891,0)),MAX('Data Consolidada'!$E$7:$E$3000))))</f>
        <v/>
      </c>
      <c r="CP56" s="224">
        <f t="shared" ca="1" si="2"/>
        <v>0</v>
      </c>
      <c r="CQ56" s="84" t="str">
        <f t="shared" ca="1" si="3"/>
        <v xml:space="preserve">  TRANS. MORROS LTDA.0</v>
      </c>
    </row>
    <row r="57" spans="2:95" ht="15" customHeight="1" x14ac:dyDescent="0.35">
      <c r="B57" s="46"/>
      <c r="C57" s="5"/>
      <c r="D57" s="15"/>
      <c r="E57" s="53"/>
      <c r="F57" s="257"/>
      <c r="G57" s="14"/>
      <c r="H57" s="204"/>
      <c r="I57" s="267" t="str">
        <f t="shared" si="21"/>
        <v/>
      </c>
      <c r="J57" s="268" t="str">
        <f t="shared" si="22"/>
        <v/>
      </c>
      <c r="K57" s="268" t="str">
        <f t="shared" si="23"/>
        <v/>
      </c>
      <c r="L57" s="268" t="str">
        <f t="shared" si="24"/>
        <v/>
      </c>
      <c r="M57" s="268" t="str">
        <f t="shared" si="25"/>
        <v/>
      </c>
      <c r="N57" s="268" t="str">
        <f t="shared" si="26"/>
        <v/>
      </c>
      <c r="O57" s="268" t="str">
        <f t="shared" si="27"/>
        <v/>
      </c>
      <c r="P57" s="268" t="str">
        <f t="shared" si="28"/>
        <v/>
      </c>
      <c r="Q57" s="268" t="str">
        <f t="shared" si="29"/>
        <v/>
      </c>
      <c r="R57" s="268" t="str">
        <f t="shared" si="30"/>
        <v/>
      </c>
      <c r="S57" s="268" t="str">
        <f t="shared" si="31"/>
        <v/>
      </c>
      <c r="T57" s="268" t="str">
        <f t="shared" si="32"/>
        <v/>
      </c>
      <c r="U57" s="268" t="str">
        <f t="shared" si="33"/>
        <v/>
      </c>
      <c r="V57" s="269" t="str">
        <f t="shared" si="34"/>
        <v/>
      </c>
      <c r="W57" s="55" cm="1">
        <f t="array" ref="W57">+IFERROR(_xlfn.IFS(F57="Totes",IF(I57="",0,ROUNDUP(I57*$I$11/$G$9,0))+IF(J57="",0,ROUNDUP(J57*$J$11/$G$9,0))+IF(K57="",0,ROUNDUP(K57*$K$11/$G$9,0))+IF(L57="",0,ROUNDUP(L57*$L$11/$G$9,0))+IF(M57="",0,ROUNDUP(M57*$M$11/$G$9,0))+IF(N57="",0,ROUNDUP(N57*$N$11/$G$9,0))+IF(O57="",0,ROUNDUP(O57*$O$11/$G$9,0))+IF(P57="",0,ROUNDUP(P57*$P$11/$G$9,0))+IF(Q57="",0,ROUNDUP(Q57*$Q$11/$G$9,0))+IF(R57="",0,ROUNDUP(R57*$R$11/$G$9,0))+IF(S57="",0,ROUNDUP(S57*$S$11/$G$9,0))+IF(T57="",0,ROUNDUP(T57*$T$11/$G$9,0))+IF(U57="",0,ROUNDUP(U57*$U$11/$G$9,0))+IF(V57="",0,ROUNDUP(V57*$V$11/$G$9,0)),F57="Mini Bins",IF(I57="",0,ROUNDUP(I57*$I$11/$J$6,0))+IF(J57="",0,ROUNDUP(J57*$J$11/$J$6,0))+IF(K57="",0,ROUNDUP(K57*$K$11/$J$6,0))+IF(L57="",0,ROUNDUP(L57*$L$11/$J$6,0))+IF(M57="",0,ROUNDUP(M57*$M$11/$J$6,0))+IF(N57="",0,ROUNDUP(N57*$N$11/$J$6,0))+IF(O57="",0,ROUNDUP(O57*$O$11/$J$6,0))+IF(P57="",0,ROUNDUP(P57*$P$11/$J$6,0))+IF(Q57="",0,ROUNDUP(Q57*$Q$11/$J$6,0))+IF(R57="",0,ROUNDUP(R57*$R$11/$J$6,0))+IF(S57="",0,ROUNDUP(S57*$S$11/$J$6,0))+IF(T57="",0,ROUNDUP(T57*$T$11/$J$6,0))+IF(U57="",0,ROUNDUP(U57*$U$11/$J$6,0))+IF(V57="",0,ROUNDUP(V57*$V$11/$J$6,0))),0)</f>
        <v>0</v>
      </c>
      <c r="X57" s="254">
        <f t="shared" si="35"/>
        <v>0</v>
      </c>
      <c r="Z57" s="245"/>
      <c r="AA57" s="247"/>
      <c r="AB57" s="254" cm="1">
        <f t="array" aca="1" ref="AB57" ca="1">+SUM(IF($B$72:$B$217=Z57,$C$72:$AR$217))</f>
        <v>0</v>
      </c>
      <c r="AC57" s="211">
        <f t="shared" ca="1" si="4"/>
        <v>0</v>
      </c>
      <c r="AF57" s="14"/>
      <c r="AG57" s="204"/>
      <c r="AH57" s="228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6"/>
      <c r="AU57" s="229"/>
      <c r="AW57" s="13">
        <f>+IF(AX57="","",IF(AX57&gt;AX56,AW56,IF(AW56&lt;$D$69,AW56+1,IF(COUNT(AW$4:AW56)&lt;$B$69*$E$54,1,""))))</f>
        <v>5</v>
      </c>
      <c r="AX57" s="13">
        <f>+IF(AX56&lt;$B$69,AX56+1,IF(COUNT(AX$4:AX56)&lt;$B$69*$D$69,1,""))</f>
        <v>2</v>
      </c>
      <c r="AY57" s="189" t="str">
        <f t="shared" ca="1" si="1"/>
        <v xml:space="preserve">CRISTIAN LÓPEZ </v>
      </c>
      <c r="AZ57" s="36">
        <f ca="1">+IF(AZ$3="","",IF($AY57="","",IFERROR(INDEX('Data Consolidada'!$E$7:$E$891,MATCH(CONCATENATE(AZ$3,"-",$CP57,"-",$AY57),'Data Consolidada'!$K$7:$K$891,0)),MAX('Data Consolidada'!$E$7:$E$3000))))</f>
        <v>11000000</v>
      </c>
      <c r="BA57" s="32">
        <f ca="1">+IF(BA$3="","",IF($AY57="","",IFERROR(INDEX('Data Consolidada'!$E$7:$E$891,MATCH(CONCATENATE(BA$3,"-",$CP57,"-",$AY57),'Data Consolidada'!$K$7:$K$891,0)),MAX('Data Consolidada'!$E$7:$E$3000))))</f>
        <v>11000000</v>
      </c>
      <c r="BB57" s="32" t="str">
        <f>+IF(BB$3="","",IF($AY57="","",IFERROR(INDEX('Data Consolidada'!$E$7:$E$891,MATCH(CONCATENATE(BB$3,"-",$CP57,"-",$AY57),'Data Consolidada'!$K$7:$K$891,0)),MAX('Data Consolidada'!$E$7:$E$3000))))</f>
        <v/>
      </c>
      <c r="BC57" s="32" t="str">
        <f>+IF(BC$3="","",IF($AY57="","",IFERROR(INDEX('Data Consolidada'!$E$7:$E$891,MATCH(CONCATENATE(BC$3,"-",$CP57,"-",$AY57),'Data Consolidada'!$K$7:$K$891,0)),MAX('Data Consolidada'!$E$7:$E$3000))))</f>
        <v/>
      </c>
      <c r="BD57" s="32" t="str">
        <f>+IF(BD$3="","",IF($AY57="","",IFERROR(INDEX('Data Consolidada'!$E$7:$E$891,MATCH(CONCATENATE(BD$3,"-",$CP57,"-",$AY57),'Data Consolidada'!$K$7:$K$891,0)),MAX('Data Consolidada'!$E$7:$E$3000))))</f>
        <v/>
      </c>
      <c r="BE57" s="32" t="str">
        <f>+IF(BE$3="","",IF($AY57="","",IFERROR(INDEX('Data Consolidada'!$E$7:$E$891,MATCH(CONCATENATE(BE$3,"-",$CP57,"-",$AY57),'Data Consolidada'!$K$7:$K$891,0)),MAX('Data Consolidada'!$E$7:$E$3000))))</f>
        <v/>
      </c>
      <c r="BF57" s="32" t="str">
        <f>+IF(BF$3="","",IF($AY57="","",IFERROR(INDEX('Data Consolidada'!$E$7:$E$891,MATCH(CONCATENATE(BF$3,"-",$CP57,"-",$AY57),'Data Consolidada'!$K$7:$K$891,0)),MAX('Data Consolidada'!$E$7:$E$3000))))</f>
        <v/>
      </c>
      <c r="BG57" s="32" t="str">
        <f>+IF(BG$3="","",IF($AY57="","",IFERROR(INDEX('Data Consolidada'!$E$7:$E$891,MATCH(CONCATENATE(BG$3,"-",$CP57,"-",$AY57),'Data Consolidada'!$K$7:$K$891,0)),MAX('Data Consolidada'!$E$7:$E$3000))))</f>
        <v/>
      </c>
      <c r="BH57" s="32" t="str">
        <f>+IF(BH$3="","",IF($AY57="","",IFERROR(INDEX('Data Consolidada'!$E$7:$E$891,MATCH(CONCATENATE(BH$3,"-",$CP57,"-",$AY57),'Data Consolidada'!$K$7:$K$891,0)),MAX('Data Consolidada'!$E$7:$E$3000))))</f>
        <v/>
      </c>
      <c r="BI57" s="32" t="str">
        <f>+IF(BI$3="","",IF($AY57="","",IFERROR(INDEX('Data Consolidada'!$E$7:$E$891,MATCH(CONCATENATE(BI$3,"-",$CP57,"-",$AY57),'Data Consolidada'!$K$7:$K$891,0)),MAX('Data Consolidada'!$E$7:$E$3000))))</f>
        <v/>
      </c>
      <c r="BJ57" s="32" t="str">
        <f>+IF(BJ$3="","",IF($AY57="","",IFERROR(INDEX('Data Consolidada'!$E$7:$E$891,MATCH(CONCATENATE(BJ$3,"-",$CP57,"-",$AY57),'Data Consolidada'!$K$7:$K$891,0)),MAX('Data Consolidada'!$E$7:$E$3000))))</f>
        <v/>
      </c>
      <c r="BK57" s="32" t="str">
        <f>+IF(BK$3="","",IF($AY57="","",IFERROR(INDEX('Data Consolidada'!$E$7:$E$891,MATCH(CONCATENATE(BK$3,"-",$CP57,"-",$AY57),'Data Consolidada'!$K$7:$K$891,0)),MAX('Data Consolidada'!$E$7:$E$3000))))</f>
        <v/>
      </c>
      <c r="BL57" s="32" t="str">
        <f>+IF(BL$3="","",IF($AY57="","",IFERROR(INDEX('Data Consolidada'!$E$7:$E$891,MATCH(CONCATENATE(BL$3,"-",$CP57,"-",$AY57),'Data Consolidada'!$K$7:$K$891,0)),MAX('Data Consolidada'!$E$7:$E$3000))))</f>
        <v/>
      </c>
      <c r="BM57" s="32" t="str">
        <f>+IF(BM$3="","",IF($AY57="","",IFERROR(INDEX('Data Consolidada'!$E$7:$E$891,MATCH(CONCATENATE(BM$3,"-",$CP57,"-",$AY57),'Data Consolidada'!$K$7:$K$891,0)),MAX('Data Consolidada'!$E$7:$E$3000))))</f>
        <v/>
      </c>
      <c r="BN57" s="32" t="str">
        <f>+IF(BN$3="","",IF($AY57="","",IFERROR(INDEX('Data Consolidada'!$E$7:$E$891,MATCH(CONCATENATE(BN$3,"-",$CP57,"-",$AY57),'Data Consolidada'!$K$7:$K$891,0)),MAX('Data Consolidada'!$E$7:$E$3000))))</f>
        <v/>
      </c>
      <c r="BO57" s="32" t="str">
        <f>+IF(BO$3="","",IF($AY57="","",IFERROR(INDEX('Data Consolidada'!$E$7:$E$891,MATCH(CONCATENATE(BO$3,"-",$CP57,"-",$AY57),'Data Consolidada'!$K$7:$K$891,0)),MAX('Data Consolidada'!$E$7:$E$3000))))</f>
        <v/>
      </c>
      <c r="BP57" s="32" t="str">
        <f>+IF(BP$3="","",IF($AY57="","",IFERROR(INDEX('Data Consolidada'!$E$7:$E$891,MATCH(CONCATENATE(BP$3,"-",$CP57,"-",$AY57),'Data Consolidada'!$K$7:$K$891,0)),MAX('Data Consolidada'!$E$7:$E$3000))))</f>
        <v/>
      </c>
      <c r="BQ57" s="32" t="str">
        <f>+IF(BQ$3="","",IF($AY57="","",IFERROR(INDEX('Data Consolidada'!$E$7:$E$891,MATCH(CONCATENATE(BQ$3,"-",$CP57,"-",$AY57),'Data Consolidada'!$K$7:$K$891,0)),MAX('Data Consolidada'!$E$7:$E$3000))))</f>
        <v/>
      </c>
      <c r="BR57" s="32" t="str">
        <f>+IF(BR$3="","",IF($AY57="","",IFERROR(INDEX('Data Consolidada'!$E$7:$E$891,MATCH(CONCATENATE(BR$3,"-",$CP57,"-",$AY57),'Data Consolidada'!$K$7:$K$891,0)),MAX('Data Consolidada'!$E$7:$E$3000))))</f>
        <v/>
      </c>
      <c r="BS57" s="32" t="str">
        <f>+IF(BS$3="","",IF($AY57="","",IFERROR(INDEX('Data Consolidada'!$E$7:$E$891,MATCH(CONCATENATE(BS$3,"-",$CP57,"-",$AY57),'Data Consolidada'!$K$7:$K$891,0)),MAX('Data Consolidada'!$E$7:$E$3000))))</f>
        <v/>
      </c>
      <c r="BT57" s="32" t="str">
        <f>+IF(BT$3="","",IF($AY57="","",IFERROR(INDEX('Data Consolidada'!$E$7:$E$891,MATCH(CONCATENATE(BT$3,"-",$CP57,"-",$AY57),'Data Consolidada'!$K$7:$K$891,0)),MAX('Data Consolidada'!$E$7:$E$3000))))</f>
        <v/>
      </c>
      <c r="BU57" s="32" t="str">
        <f>+IF(BU$3="","",IF($AY57="","",IFERROR(INDEX('Data Consolidada'!$E$7:$E$891,MATCH(CONCATENATE(BU$3,"-",$CP57,"-",$AY57),'Data Consolidada'!$K$7:$K$891,0)),MAX('Data Consolidada'!$E$7:$E$3000))))</f>
        <v/>
      </c>
      <c r="BV57" s="32" t="str">
        <f>+IF(BV$3="","",IF($AY57="","",IFERROR(INDEX('Data Consolidada'!$E$7:$E$891,MATCH(CONCATENATE(BV$3,"-",$CP57,"-",$AY57),'Data Consolidada'!$K$7:$K$891,0)),MAX('Data Consolidada'!$E$7:$E$3000))))</f>
        <v/>
      </c>
      <c r="BW57" s="32" t="str">
        <f>+IF(BW$3="","",IF($AY57="","",IFERROR(INDEX('Data Consolidada'!$E$7:$E$891,MATCH(CONCATENATE(BW$3,"-",$CP57,"-",$AY57),'Data Consolidada'!$K$7:$K$891,0)),MAX('Data Consolidada'!$E$7:$E$3000))))</f>
        <v/>
      </c>
      <c r="BX57" s="32" t="str">
        <f>+IF(BX$3="","",IF($AY57="","",IFERROR(INDEX('Data Consolidada'!$E$7:$E$891,MATCH(CONCATENATE(BX$3,"-",$CP57,"-",$AY57),'Data Consolidada'!$K$7:$K$891,0)),MAX('Data Consolidada'!$E$7:$E$3000))))</f>
        <v/>
      </c>
      <c r="BY57" s="32" t="str">
        <f>+IF(BY$3="","",IF($AY57="","",IFERROR(INDEX('Data Consolidada'!$E$7:$E$891,MATCH(CONCATENATE(BY$3,"-",$CP57,"-",$AY57),'Data Consolidada'!$K$7:$K$891,0)),MAX('Data Consolidada'!$E$7:$E$3000))))</f>
        <v/>
      </c>
      <c r="BZ57" s="32" t="str">
        <f>+IF(BZ$3="","",IF($AY57="","",IFERROR(INDEX('Data Consolidada'!$E$7:$E$891,MATCH(CONCATENATE(BZ$3,"-",$CP57,"-",$AY57),'Data Consolidada'!$K$7:$K$891,0)),MAX('Data Consolidada'!$E$7:$E$3000))))</f>
        <v/>
      </c>
      <c r="CA57" s="32" t="str">
        <f>+IF(CA$3="","",IF($AY57="","",IFERROR(INDEX('Data Consolidada'!$E$7:$E$891,MATCH(CONCATENATE(CA$3,"-",$CP57,"-",$AY57),'Data Consolidada'!$K$7:$K$891,0)),MAX('Data Consolidada'!$E$7:$E$3000))))</f>
        <v/>
      </c>
      <c r="CB57" s="32" t="str">
        <f>+IF(CB$3="","",IF($AY57="","",IFERROR(INDEX('Data Consolidada'!$E$7:$E$891,MATCH(CONCATENATE(CB$3,"-",$CP57,"-",$AY57),'Data Consolidada'!$K$7:$K$891,0)),MAX('Data Consolidada'!$E$7:$E$3000))))</f>
        <v/>
      </c>
      <c r="CC57" s="32" t="str">
        <f>+IF(CC$3="","",IF($AY57="","",IFERROR(INDEX('Data Consolidada'!$E$7:$E$891,MATCH(CONCATENATE(CC$3,"-",$CP57,"-",$AY57),'Data Consolidada'!$K$7:$K$891,0)),MAX('Data Consolidada'!$E$7:$E$3000))))</f>
        <v/>
      </c>
      <c r="CD57" s="32" t="str">
        <f>+IF(CD$3="","",IF($AY57="","",IFERROR(INDEX('Data Consolidada'!$E$7:$E$891,MATCH(CONCATENATE(CD$3,"-",$CP57,"-",$AY57),'Data Consolidada'!$K$7:$K$891,0)),MAX('Data Consolidada'!$E$7:$E$3000))))</f>
        <v/>
      </c>
      <c r="CE57" s="32" t="str">
        <f>+IF(CE$3="","",IF($AY57="","",IFERROR(INDEX('Data Consolidada'!$E$7:$E$891,MATCH(CONCATENATE(CE$3,"-",$CP57,"-",$AY57),'Data Consolidada'!$K$7:$K$891,0)),MAX('Data Consolidada'!$E$7:$E$3000))))</f>
        <v/>
      </c>
      <c r="CF57" s="32" t="str">
        <f>+IF(CF$3="","",IF($AY57="","",IFERROR(INDEX('Data Consolidada'!$E$7:$E$891,MATCH(CONCATENATE(CF$3,"-",$CP57,"-",$AY57),'Data Consolidada'!$K$7:$K$891,0)),MAX('Data Consolidada'!$E$7:$E$3000))))</f>
        <v/>
      </c>
      <c r="CG57" s="32" t="str">
        <f>+IF(CG$3="","",IF($AY57="","",IFERROR(INDEX('Data Consolidada'!$E$7:$E$891,MATCH(CONCATENATE(CG$3,"-",$CP57,"-",$AY57),'Data Consolidada'!$K$7:$K$891,0)),MAX('Data Consolidada'!$E$7:$E$3000))))</f>
        <v/>
      </c>
      <c r="CH57" s="32" t="str">
        <f>+IF(CH$3="","",IF($AY57="","",IFERROR(INDEX('Data Consolidada'!$E$7:$E$891,MATCH(CONCATENATE(CH$3,"-",$CP57,"-",$AY57),'Data Consolidada'!$K$7:$K$891,0)),MAX('Data Consolidada'!$E$7:$E$3000))))</f>
        <v/>
      </c>
      <c r="CI57" s="32" t="str">
        <f>+IF(CI$3="","",IF($AY57="","",IFERROR(INDEX('Data Consolidada'!$E$7:$E$891,MATCH(CONCATENATE(CI$3,"-",$CP57,"-",$AY57),'Data Consolidada'!$K$7:$K$891,0)),MAX('Data Consolidada'!$E$7:$E$3000))))</f>
        <v/>
      </c>
      <c r="CJ57" s="32" t="str">
        <f>+IF(CJ$3="","",IF($AY57="","",IFERROR(INDEX('Data Consolidada'!$E$7:$E$891,MATCH(CONCATENATE(CJ$3,"-",$CP57,"-",$AY57),'Data Consolidada'!$K$7:$K$891,0)),MAX('Data Consolidada'!$E$7:$E$3000))))</f>
        <v/>
      </c>
      <c r="CK57" s="32" t="str">
        <f>+IF(CK$3="","",IF($AY57="","",IFERROR(INDEX('Data Consolidada'!$E$7:$E$891,MATCH(CONCATENATE(CK$3,"-",$CP57,"-",$AY57),'Data Consolidada'!$K$7:$K$891,0)),MAX('Data Consolidada'!$E$7:$E$3000))))</f>
        <v/>
      </c>
      <c r="CL57" s="32" t="str">
        <f>+IF(CL$3="","",IF($AY57="","",IFERROR(INDEX('Data Consolidada'!$E$7:$E$891,MATCH(CONCATENATE(CL$3,"-",$CP57,"-",$AY57),'Data Consolidada'!$K$7:$K$891,0)),MAX('Data Consolidada'!$E$7:$E$3000))))</f>
        <v/>
      </c>
      <c r="CM57" s="32" t="str">
        <f>+IF(CM$3="","",IF($AY57="","",IFERROR(INDEX('Data Consolidada'!$E$7:$E$891,MATCH(CONCATENATE(CM$3,"-",$CP57,"-",$AY57),'Data Consolidada'!$K$7:$K$891,0)),MAX('Data Consolidada'!$E$7:$E$3000))))</f>
        <v/>
      </c>
      <c r="CN57" s="32" t="str">
        <f>+IF(CN$3="","",IF($AY57="","",IFERROR(INDEX('Data Consolidada'!$E$7:$E$891,MATCH(CONCATENATE(CN$3,"-",$CP57,"-",$AY57),'Data Consolidada'!$K$7:$K$891,0)),MAX('Data Consolidada'!$E$7:$E$3000))))</f>
        <v/>
      </c>
      <c r="CO57" s="37" t="str">
        <f>+IF(CO$3="","",IF($AY57="","",IFERROR(INDEX('Data Consolidada'!$E$7:$E$891,MATCH(CONCATENATE(CO$3,"-",$CP57,"-",$AY57),'Data Consolidada'!$K$7:$K$891,0)),MAX('Data Consolidada'!$E$7:$E$3000))))</f>
        <v/>
      </c>
      <c r="CP57" s="224">
        <f t="shared" ca="1" si="2"/>
        <v>0</v>
      </c>
      <c r="CQ57" s="84" t="str">
        <f t="shared" ca="1" si="3"/>
        <v>CRISTIAN LÓPEZ 0</v>
      </c>
    </row>
    <row r="58" spans="2:95" ht="15" customHeight="1" thickBot="1" x14ac:dyDescent="0.4">
      <c r="B58" s="46"/>
      <c r="C58" s="5"/>
      <c r="D58" s="15"/>
      <c r="E58" s="53"/>
      <c r="F58" s="257"/>
      <c r="G58" s="14"/>
      <c r="H58" s="204"/>
      <c r="I58" s="267" t="str">
        <f t="shared" si="21"/>
        <v/>
      </c>
      <c r="J58" s="268" t="str">
        <f t="shared" si="22"/>
        <v/>
      </c>
      <c r="K58" s="268" t="str">
        <f t="shared" si="23"/>
        <v/>
      </c>
      <c r="L58" s="268" t="str">
        <f t="shared" si="24"/>
        <v/>
      </c>
      <c r="M58" s="268" t="str">
        <f t="shared" si="25"/>
        <v/>
      </c>
      <c r="N58" s="268" t="str">
        <f t="shared" si="26"/>
        <v/>
      </c>
      <c r="O58" s="268" t="str">
        <f t="shared" si="27"/>
        <v/>
      </c>
      <c r="P58" s="268" t="str">
        <f t="shared" si="28"/>
        <v/>
      </c>
      <c r="Q58" s="268" t="str">
        <f t="shared" si="29"/>
        <v/>
      </c>
      <c r="R58" s="268" t="str">
        <f t="shared" si="30"/>
        <v/>
      </c>
      <c r="S58" s="268" t="str">
        <f t="shared" si="31"/>
        <v/>
      </c>
      <c r="T58" s="268" t="str">
        <f t="shared" si="32"/>
        <v/>
      </c>
      <c r="U58" s="268" t="str">
        <f t="shared" si="33"/>
        <v/>
      </c>
      <c r="V58" s="269" t="str">
        <f t="shared" si="34"/>
        <v/>
      </c>
      <c r="W58" s="55" cm="1">
        <f t="array" ref="W58">+IFERROR(_xlfn.IFS(F58="Totes",IF(I58="",0,ROUNDUP(I58*$I$11/$G$9,0))+IF(J58="",0,ROUNDUP(J58*$J$11/$G$9,0))+IF(K58="",0,ROUNDUP(K58*$K$11/$G$9,0))+IF(L58="",0,ROUNDUP(L58*$L$11/$G$9,0))+IF(M58="",0,ROUNDUP(M58*$M$11/$G$9,0))+IF(N58="",0,ROUNDUP(N58*$N$11/$G$9,0))+IF(O58="",0,ROUNDUP(O58*$O$11/$G$9,0))+IF(P58="",0,ROUNDUP(P58*$P$11/$G$9,0))+IF(Q58="",0,ROUNDUP(Q58*$Q$11/$G$9,0))+IF(R58="",0,ROUNDUP(R58*$R$11/$G$9,0))+IF(S58="",0,ROUNDUP(S58*$S$11/$G$9,0))+IF(T58="",0,ROUNDUP(T58*$T$11/$G$9,0))+IF(U58="",0,ROUNDUP(U58*$U$11/$G$9,0))+IF(V58="",0,ROUNDUP(V58*$V$11/$G$9,0)),F58="Mini Bins",IF(I58="",0,ROUNDUP(I58*$I$11/$J$6,0))+IF(J58="",0,ROUNDUP(J58*$J$11/$J$6,0))+IF(K58="",0,ROUNDUP(K58*$K$11/$J$6,0))+IF(L58="",0,ROUNDUP(L58*$L$11/$J$6,0))+IF(M58="",0,ROUNDUP(M58*$M$11/$J$6,0))+IF(N58="",0,ROUNDUP(N58*$N$11/$J$6,0))+IF(O58="",0,ROUNDUP(O58*$O$11/$J$6,0))+IF(P58="",0,ROUNDUP(P58*$P$11/$J$6,0))+IF(Q58="",0,ROUNDUP(Q58*$Q$11/$J$6,0))+IF(R58="",0,ROUNDUP(R58*$R$11/$J$6,0))+IF(S58="",0,ROUNDUP(S58*$S$11/$J$6,0))+IF(T58="",0,ROUNDUP(T58*$T$11/$J$6,0))+IF(U58="",0,ROUNDUP(U58*$U$11/$J$6,0))+IF(V58="",0,ROUNDUP(V58*$V$11/$J$6,0))),0)</f>
        <v>0</v>
      </c>
      <c r="X58" s="254">
        <f t="shared" si="35"/>
        <v>0</v>
      </c>
      <c r="Z58" s="245"/>
      <c r="AA58" s="247"/>
      <c r="AB58" s="254" cm="1">
        <f t="array" aca="1" ref="AB58" ca="1">+SUM(IF($B$72:$B$217=Z58,$C$72:$AR$217))</f>
        <v>0</v>
      </c>
      <c r="AC58" s="211">
        <f t="shared" ca="1" si="4"/>
        <v>0</v>
      </c>
      <c r="AF58" s="16"/>
      <c r="AG58" s="205"/>
      <c r="AH58" s="230"/>
      <c r="AI58" s="198"/>
      <c r="AJ58" s="198"/>
      <c r="AK58" s="198"/>
      <c r="AL58" s="198"/>
      <c r="AM58" s="198"/>
      <c r="AN58" s="198"/>
      <c r="AO58" s="198"/>
      <c r="AP58" s="198"/>
      <c r="AQ58" s="198"/>
      <c r="AR58" s="198"/>
      <c r="AS58" s="198"/>
      <c r="AT58" s="198"/>
      <c r="AU58" s="231"/>
      <c r="AW58" s="13">
        <f>+IF(AX58="","",IF(AX58&gt;AX57,AW57,IF(AW57&lt;$D$69,AW57+1,IF(COUNT(AW$4:AW57)&lt;$B$69*$E$54,1,""))))</f>
        <v>5</v>
      </c>
      <c r="AX58" s="13">
        <f>+IF(AX57&lt;$B$69,AX57+1,IF(COUNT(AX$4:AX57)&lt;$B$69*$D$69,1,""))</f>
        <v>3</v>
      </c>
      <c r="AY58" s="189" t="str">
        <f t="shared" ca="1" si="1"/>
        <v xml:space="preserve">GUSTAVO ZÚÑIGA </v>
      </c>
      <c r="AZ58" s="36">
        <f ca="1">+IF(AZ$3="","",IF($AY58="","",IFERROR(INDEX('Data Consolidada'!$E$7:$E$891,MATCH(CONCATENATE(AZ$3,"-",$CP58,"-",$AY58),'Data Consolidada'!$K$7:$K$891,0)),MAX('Data Consolidada'!$E$7:$E$3000))))</f>
        <v>11000000</v>
      </c>
      <c r="BA58" s="32">
        <f ca="1">+IF(BA$3="","",IF($AY58="","",IFERROR(INDEX('Data Consolidada'!$E$7:$E$891,MATCH(CONCATENATE(BA$3,"-",$CP58,"-",$AY58),'Data Consolidada'!$K$7:$K$891,0)),MAX('Data Consolidada'!$E$7:$E$3000))))</f>
        <v>11000000</v>
      </c>
      <c r="BB58" s="32" t="str">
        <f>+IF(BB$3="","",IF($AY58="","",IFERROR(INDEX('Data Consolidada'!$E$7:$E$891,MATCH(CONCATENATE(BB$3,"-",$CP58,"-",$AY58),'Data Consolidada'!$K$7:$K$891,0)),MAX('Data Consolidada'!$E$7:$E$3000))))</f>
        <v/>
      </c>
      <c r="BC58" s="32" t="str">
        <f>+IF(BC$3="","",IF($AY58="","",IFERROR(INDEX('Data Consolidada'!$E$7:$E$891,MATCH(CONCATENATE(BC$3,"-",$CP58,"-",$AY58),'Data Consolidada'!$K$7:$K$891,0)),MAX('Data Consolidada'!$E$7:$E$3000))))</f>
        <v/>
      </c>
      <c r="BD58" s="32" t="str">
        <f>+IF(BD$3="","",IF($AY58="","",IFERROR(INDEX('Data Consolidada'!$E$7:$E$891,MATCH(CONCATENATE(BD$3,"-",$CP58,"-",$AY58),'Data Consolidada'!$K$7:$K$891,0)),MAX('Data Consolidada'!$E$7:$E$3000))))</f>
        <v/>
      </c>
      <c r="BE58" s="32" t="str">
        <f>+IF(BE$3="","",IF($AY58="","",IFERROR(INDEX('Data Consolidada'!$E$7:$E$891,MATCH(CONCATENATE(BE$3,"-",$CP58,"-",$AY58),'Data Consolidada'!$K$7:$K$891,0)),MAX('Data Consolidada'!$E$7:$E$3000))))</f>
        <v/>
      </c>
      <c r="BF58" s="32" t="str">
        <f>+IF(BF$3="","",IF($AY58="","",IFERROR(INDEX('Data Consolidada'!$E$7:$E$891,MATCH(CONCATENATE(BF$3,"-",$CP58,"-",$AY58),'Data Consolidada'!$K$7:$K$891,0)),MAX('Data Consolidada'!$E$7:$E$3000))))</f>
        <v/>
      </c>
      <c r="BG58" s="32" t="str">
        <f>+IF(BG$3="","",IF($AY58="","",IFERROR(INDEX('Data Consolidada'!$E$7:$E$891,MATCH(CONCATENATE(BG$3,"-",$CP58,"-",$AY58),'Data Consolidada'!$K$7:$K$891,0)),MAX('Data Consolidada'!$E$7:$E$3000))))</f>
        <v/>
      </c>
      <c r="BH58" s="32" t="str">
        <f>+IF(BH$3="","",IF($AY58="","",IFERROR(INDEX('Data Consolidada'!$E$7:$E$891,MATCH(CONCATENATE(BH$3,"-",$CP58,"-",$AY58),'Data Consolidada'!$K$7:$K$891,0)),MAX('Data Consolidada'!$E$7:$E$3000))))</f>
        <v/>
      </c>
      <c r="BI58" s="32" t="str">
        <f>+IF(BI$3="","",IF($AY58="","",IFERROR(INDEX('Data Consolidada'!$E$7:$E$891,MATCH(CONCATENATE(BI$3,"-",$CP58,"-",$AY58),'Data Consolidada'!$K$7:$K$891,0)),MAX('Data Consolidada'!$E$7:$E$3000))))</f>
        <v/>
      </c>
      <c r="BJ58" s="32" t="str">
        <f>+IF(BJ$3="","",IF($AY58="","",IFERROR(INDEX('Data Consolidada'!$E$7:$E$891,MATCH(CONCATENATE(BJ$3,"-",$CP58,"-",$AY58),'Data Consolidada'!$K$7:$K$891,0)),MAX('Data Consolidada'!$E$7:$E$3000))))</f>
        <v/>
      </c>
      <c r="BK58" s="32" t="str">
        <f>+IF(BK$3="","",IF($AY58="","",IFERROR(INDEX('Data Consolidada'!$E$7:$E$891,MATCH(CONCATENATE(BK$3,"-",$CP58,"-",$AY58),'Data Consolidada'!$K$7:$K$891,0)),MAX('Data Consolidada'!$E$7:$E$3000))))</f>
        <v/>
      </c>
      <c r="BL58" s="32" t="str">
        <f>+IF(BL$3="","",IF($AY58="","",IFERROR(INDEX('Data Consolidada'!$E$7:$E$891,MATCH(CONCATENATE(BL$3,"-",$CP58,"-",$AY58),'Data Consolidada'!$K$7:$K$891,0)),MAX('Data Consolidada'!$E$7:$E$3000))))</f>
        <v/>
      </c>
      <c r="BM58" s="32" t="str">
        <f>+IF(BM$3="","",IF($AY58="","",IFERROR(INDEX('Data Consolidada'!$E$7:$E$891,MATCH(CONCATENATE(BM$3,"-",$CP58,"-",$AY58),'Data Consolidada'!$K$7:$K$891,0)),MAX('Data Consolidada'!$E$7:$E$3000))))</f>
        <v/>
      </c>
      <c r="BN58" s="32" t="str">
        <f>+IF(BN$3="","",IF($AY58="","",IFERROR(INDEX('Data Consolidada'!$E$7:$E$891,MATCH(CONCATENATE(BN$3,"-",$CP58,"-",$AY58),'Data Consolidada'!$K$7:$K$891,0)),MAX('Data Consolidada'!$E$7:$E$3000))))</f>
        <v/>
      </c>
      <c r="BO58" s="32" t="str">
        <f>+IF(BO$3="","",IF($AY58="","",IFERROR(INDEX('Data Consolidada'!$E$7:$E$891,MATCH(CONCATENATE(BO$3,"-",$CP58,"-",$AY58),'Data Consolidada'!$K$7:$K$891,0)),MAX('Data Consolidada'!$E$7:$E$3000))))</f>
        <v/>
      </c>
      <c r="BP58" s="32" t="str">
        <f>+IF(BP$3="","",IF($AY58="","",IFERROR(INDEX('Data Consolidada'!$E$7:$E$891,MATCH(CONCATENATE(BP$3,"-",$CP58,"-",$AY58),'Data Consolidada'!$K$7:$K$891,0)),MAX('Data Consolidada'!$E$7:$E$3000))))</f>
        <v/>
      </c>
      <c r="BQ58" s="32" t="str">
        <f>+IF(BQ$3="","",IF($AY58="","",IFERROR(INDEX('Data Consolidada'!$E$7:$E$891,MATCH(CONCATENATE(BQ$3,"-",$CP58,"-",$AY58),'Data Consolidada'!$K$7:$K$891,0)),MAX('Data Consolidada'!$E$7:$E$3000))))</f>
        <v/>
      </c>
      <c r="BR58" s="32" t="str">
        <f>+IF(BR$3="","",IF($AY58="","",IFERROR(INDEX('Data Consolidada'!$E$7:$E$891,MATCH(CONCATENATE(BR$3,"-",$CP58,"-",$AY58),'Data Consolidada'!$K$7:$K$891,0)),MAX('Data Consolidada'!$E$7:$E$3000))))</f>
        <v/>
      </c>
      <c r="BS58" s="32" t="str">
        <f>+IF(BS$3="","",IF($AY58="","",IFERROR(INDEX('Data Consolidada'!$E$7:$E$891,MATCH(CONCATENATE(BS$3,"-",$CP58,"-",$AY58),'Data Consolidada'!$K$7:$K$891,0)),MAX('Data Consolidada'!$E$7:$E$3000))))</f>
        <v/>
      </c>
      <c r="BT58" s="32" t="str">
        <f>+IF(BT$3="","",IF($AY58="","",IFERROR(INDEX('Data Consolidada'!$E$7:$E$891,MATCH(CONCATENATE(BT$3,"-",$CP58,"-",$AY58),'Data Consolidada'!$K$7:$K$891,0)),MAX('Data Consolidada'!$E$7:$E$3000))))</f>
        <v/>
      </c>
      <c r="BU58" s="32" t="str">
        <f>+IF(BU$3="","",IF($AY58="","",IFERROR(INDEX('Data Consolidada'!$E$7:$E$891,MATCH(CONCATENATE(BU$3,"-",$CP58,"-",$AY58),'Data Consolidada'!$K$7:$K$891,0)),MAX('Data Consolidada'!$E$7:$E$3000))))</f>
        <v/>
      </c>
      <c r="BV58" s="32" t="str">
        <f>+IF(BV$3="","",IF($AY58="","",IFERROR(INDEX('Data Consolidada'!$E$7:$E$891,MATCH(CONCATENATE(BV$3,"-",$CP58,"-",$AY58),'Data Consolidada'!$K$7:$K$891,0)),MAX('Data Consolidada'!$E$7:$E$3000))))</f>
        <v/>
      </c>
      <c r="BW58" s="32" t="str">
        <f>+IF(BW$3="","",IF($AY58="","",IFERROR(INDEX('Data Consolidada'!$E$7:$E$891,MATCH(CONCATENATE(BW$3,"-",$CP58,"-",$AY58),'Data Consolidada'!$K$7:$K$891,0)),MAX('Data Consolidada'!$E$7:$E$3000))))</f>
        <v/>
      </c>
      <c r="BX58" s="32" t="str">
        <f>+IF(BX$3="","",IF($AY58="","",IFERROR(INDEX('Data Consolidada'!$E$7:$E$891,MATCH(CONCATENATE(BX$3,"-",$CP58,"-",$AY58),'Data Consolidada'!$K$7:$K$891,0)),MAX('Data Consolidada'!$E$7:$E$3000))))</f>
        <v/>
      </c>
      <c r="BY58" s="32" t="str">
        <f>+IF(BY$3="","",IF($AY58="","",IFERROR(INDEX('Data Consolidada'!$E$7:$E$891,MATCH(CONCATENATE(BY$3,"-",$CP58,"-",$AY58),'Data Consolidada'!$K$7:$K$891,0)),MAX('Data Consolidada'!$E$7:$E$3000))))</f>
        <v/>
      </c>
      <c r="BZ58" s="32" t="str">
        <f>+IF(BZ$3="","",IF($AY58="","",IFERROR(INDEX('Data Consolidada'!$E$7:$E$891,MATCH(CONCATENATE(BZ$3,"-",$CP58,"-",$AY58),'Data Consolidada'!$K$7:$K$891,0)),MAX('Data Consolidada'!$E$7:$E$3000))))</f>
        <v/>
      </c>
      <c r="CA58" s="32" t="str">
        <f>+IF(CA$3="","",IF($AY58="","",IFERROR(INDEX('Data Consolidada'!$E$7:$E$891,MATCH(CONCATENATE(CA$3,"-",$CP58,"-",$AY58),'Data Consolidada'!$K$7:$K$891,0)),MAX('Data Consolidada'!$E$7:$E$3000))))</f>
        <v/>
      </c>
      <c r="CB58" s="32" t="str">
        <f>+IF(CB$3="","",IF($AY58="","",IFERROR(INDEX('Data Consolidada'!$E$7:$E$891,MATCH(CONCATENATE(CB$3,"-",$CP58,"-",$AY58),'Data Consolidada'!$K$7:$K$891,0)),MAX('Data Consolidada'!$E$7:$E$3000))))</f>
        <v/>
      </c>
      <c r="CC58" s="32" t="str">
        <f>+IF(CC$3="","",IF($AY58="","",IFERROR(INDEX('Data Consolidada'!$E$7:$E$891,MATCH(CONCATENATE(CC$3,"-",$CP58,"-",$AY58),'Data Consolidada'!$K$7:$K$891,0)),MAX('Data Consolidada'!$E$7:$E$3000))))</f>
        <v/>
      </c>
      <c r="CD58" s="32" t="str">
        <f>+IF(CD$3="","",IF($AY58="","",IFERROR(INDEX('Data Consolidada'!$E$7:$E$891,MATCH(CONCATENATE(CD$3,"-",$CP58,"-",$AY58),'Data Consolidada'!$K$7:$K$891,0)),MAX('Data Consolidada'!$E$7:$E$3000))))</f>
        <v/>
      </c>
      <c r="CE58" s="32" t="str">
        <f>+IF(CE$3="","",IF($AY58="","",IFERROR(INDEX('Data Consolidada'!$E$7:$E$891,MATCH(CONCATENATE(CE$3,"-",$CP58,"-",$AY58),'Data Consolidada'!$K$7:$K$891,0)),MAX('Data Consolidada'!$E$7:$E$3000))))</f>
        <v/>
      </c>
      <c r="CF58" s="32" t="str">
        <f>+IF(CF$3="","",IF($AY58="","",IFERROR(INDEX('Data Consolidada'!$E$7:$E$891,MATCH(CONCATENATE(CF$3,"-",$CP58,"-",$AY58),'Data Consolidada'!$K$7:$K$891,0)),MAX('Data Consolidada'!$E$7:$E$3000))))</f>
        <v/>
      </c>
      <c r="CG58" s="32" t="str">
        <f>+IF(CG$3="","",IF($AY58="","",IFERROR(INDEX('Data Consolidada'!$E$7:$E$891,MATCH(CONCATENATE(CG$3,"-",$CP58,"-",$AY58),'Data Consolidada'!$K$7:$K$891,0)),MAX('Data Consolidada'!$E$7:$E$3000))))</f>
        <v/>
      </c>
      <c r="CH58" s="32" t="str">
        <f>+IF(CH$3="","",IF($AY58="","",IFERROR(INDEX('Data Consolidada'!$E$7:$E$891,MATCH(CONCATENATE(CH$3,"-",$CP58,"-",$AY58),'Data Consolidada'!$K$7:$K$891,0)),MAX('Data Consolidada'!$E$7:$E$3000))))</f>
        <v/>
      </c>
      <c r="CI58" s="32" t="str">
        <f>+IF(CI$3="","",IF($AY58="","",IFERROR(INDEX('Data Consolidada'!$E$7:$E$891,MATCH(CONCATENATE(CI$3,"-",$CP58,"-",$AY58),'Data Consolidada'!$K$7:$K$891,0)),MAX('Data Consolidada'!$E$7:$E$3000))))</f>
        <v/>
      </c>
      <c r="CJ58" s="32" t="str">
        <f>+IF(CJ$3="","",IF($AY58="","",IFERROR(INDEX('Data Consolidada'!$E$7:$E$891,MATCH(CONCATENATE(CJ$3,"-",$CP58,"-",$AY58),'Data Consolidada'!$K$7:$K$891,0)),MAX('Data Consolidada'!$E$7:$E$3000))))</f>
        <v/>
      </c>
      <c r="CK58" s="32" t="str">
        <f>+IF(CK$3="","",IF($AY58="","",IFERROR(INDEX('Data Consolidada'!$E$7:$E$891,MATCH(CONCATENATE(CK$3,"-",$CP58,"-",$AY58),'Data Consolidada'!$K$7:$K$891,0)),MAX('Data Consolidada'!$E$7:$E$3000))))</f>
        <v/>
      </c>
      <c r="CL58" s="32" t="str">
        <f>+IF(CL$3="","",IF($AY58="","",IFERROR(INDEX('Data Consolidada'!$E$7:$E$891,MATCH(CONCATENATE(CL$3,"-",$CP58,"-",$AY58),'Data Consolidada'!$K$7:$K$891,0)),MAX('Data Consolidada'!$E$7:$E$3000))))</f>
        <v/>
      </c>
      <c r="CM58" s="32" t="str">
        <f>+IF(CM$3="","",IF($AY58="","",IFERROR(INDEX('Data Consolidada'!$E$7:$E$891,MATCH(CONCATENATE(CM$3,"-",$CP58,"-",$AY58),'Data Consolidada'!$K$7:$K$891,0)),MAX('Data Consolidada'!$E$7:$E$3000))))</f>
        <v/>
      </c>
      <c r="CN58" s="32" t="str">
        <f>+IF(CN$3="","",IF($AY58="","",IFERROR(INDEX('Data Consolidada'!$E$7:$E$891,MATCH(CONCATENATE(CN$3,"-",$CP58,"-",$AY58),'Data Consolidada'!$K$7:$K$891,0)),MAX('Data Consolidada'!$E$7:$E$3000))))</f>
        <v/>
      </c>
      <c r="CO58" s="37" t="str">
        <f>+IF(CO$3="","",IF($AY58="","",IFERROR(INDEX('Data Consolidada'!$E$7:$E$891,MATCH(CONCATENATE(CO$3,"-",$CP58,"-",$AY58),'Data Consolidada'!$K$7:$K$891,0)),MAX('Data Consolidada'!$E$7:$E$3000))))</f>
        <v/>
      </c>
      <c r="CP58" s="224">
        <f t="shared" ca="1" si="2"/>
        <v>0</v>
      </c>
      <c r="CQ58" s="84" t="str">
        <f t="shared" ca="1" si="3"/>
        <v>GUSTAVO ZÚÑIGA 0</v>
      </c>
    </row>
    <row r="59" spans="2:95" ht="15" customHeight="1" x14ac:dyDescent="0.35">
      <c r="B59" s="46"/>
      <c r="C59" s="5"/>
      <c r="D59" s="15"/>
      <c r="E59" s="53"/>
      <c r="F59" s="257"/>
      <c r="G59" s="14"/>
      <c r="H59" s="204"/>
      <c r="I59" s="267" t="str">
        <f t="shared" si="21"/>
        <v/>
      </c>
      <c r="J59" s="268" t="str">
        <f t="shared" si="22"/>
        <v/>
      </c>
      <c r="K59" s="268" t="str">
        <f t="shared" si="23"/>
        <v/>
      </c>
      <c r="L59" s="268" t="str">
        <f t="shared" si="24"/>
        <v/>
      </c>
      <c r="M59" s="268" t="str">
        <f t="shared" si="25"/>
        <v/>
      </c>
      <c r="N59" s="268" t="str">
        <f t="shared" si="26"/>
        <v/>
      </c>
      <c r="O59" s="268" t="str">
        <f t="shared" si="27"/>
        <v/>
      </c>
      <c r="P59" s="268" t="str">
        <f t="shared" si="28"/>
        <v/>
      </c>
      <c r="Q59" s="268" t="str">
        <f t="shared" si="29"/>
        <v/>
      </c>
      <c r="R59" s="268" t="str">
        <f t="shared" si="30"/>
        <v/>
      </c>
      <c r="S59" s="268" t="str">
        <f t="shared" si="31"/>
        <v/>
      </c>
      <c r="T59" s="268" t="str">
        <f t="shared" si="32"/>
        <v/>
      </c>
      <c r="U59" s="268" t="str">
        <f t="shared" si="33"/>
        <v/>
      </c>
      <c r="V59" s="269" t="str">
        <f t="shared" si="34"/>
        <v/>
      </c>
      <c r="W59" s="55" cm="1">
        <f t="array" ref="W59">+IFERROR(_xlfn.IFS(F59="Totes",IF(I59="",0,ROUNDUP(I59*$I$11/$G$9,0))+IF(J59="",0,ROUNDUP(J59*$J$11/$G$9,0))+IF(K59="",0,ROUNDUP(K59*$K$11/$G$9,0))+IF(L59="",0,ROUNDUP(L59*$L$11/$G$9,0))+IF(M59="",0,ROUNDUP(M59*$M$11/$G$9,0))+IF(N59="",0,ROUNDUP(N59*$N$11/$G$9,0))+IF(O59="",0,ROUNDUP(O59*$O$11/$G$9,0))+IF(P59="",0,ROUNDUP(P59*$P$11/$G$9,0))+IF(Q59="",0,ROUNDUP(Q59*$Q$11/$G$9,0))+IF(R59="",0,ROUNDUP(R59*$R$11/$G$9,0))+IF(S59="",0,ROUNDUP(S59*$S$11/$G$9,0))+IF(T59="",0,ROUNDUP(T59*$T$11/$G$9,0))+IF(U59="",0,ROUNDUP(U59*$U$11/$G$9,0))+IF(V59="",0,ROUNDUP(V59*$V$11/$G$9,0)),F59="Mini Bins",IF(I59="",0,ROUNDUP(I59*$I$11/$J$6,0))+IF(J59="",0,ROUNDUP(J59*$J$11/$J$6,0))+IF(K59="",0,ROUNDUP(K59*$K$11/$J$6,0))+IF(L59="",0,ROUNDUP(L59*$L$11/$J$6,0))+IF(M59="",0,ROUNDUP(M59*$M$11/$J$6,0))+IF(N59="",0,ROUNDUP(N59*$N$11/$J$6,0))+IF(O59="",0,ROUNDUP(O59*$O$11/$J$6,0))+IF(P59="",0,ROUNDUP(P59*$P$11/$J$6,0))+IF(Q59="",0,ROUNDUP(Q59*$Q$11/$J$6,0))+IF(R59="",0,ROUNDUP(R59*$R$11/$J$6,0))+IF(S59="",0,ROUNDUP(S59*$S$11/$J$6,0))+IF(T59="",0,ROUNDUP(T59*$T$11/$J$6,0))+IF(U59="",0,ROUNDUP(U59*$U$11/$J$6,0))+IF(V59="",0,ROUNDUP(V59*$V$11/$J$6,0))),0)</f>
        <v>0</v>
      </c>
      <c r="X59" s="254">
        <f t="shared" si="35"/>
        <v>0</v>
      </c>
      <c r="Z59" s="245"/>
      <c r="AA59" s="247"/>
      <c r="AB59" s="254" cm="1">
        <f t="array" aca="1" ref="AB59" ca="1">+SUM(IF($B$72:$B$217=Z59,$C$72:$AR$217))</f>
        <v>0</v>
      </c>
      <c r="AC59" s="211">
        <f t="shared" ca="1" si="4"/>
        <v>0</v>
      </c>
      <c r="AW59" s="13">
        <f>+IF(AX59="","",IF(AX59&gt;AX58,AW58,IF(AW58&lt;$D$69,AW58+1,IF(COUNT(AW$4:AW58)&lt;$B$69*$E$54,1,""))))</f>
        <v>5</v>
      </c>
      <c r="AX59" s="13">
        <f>+IF(AX58&lt;$B$69,AX58+1,IF(COUNT(AX$4:AX58)&lt;$B$69*$D$69,1,""))</f>
        <v>4</v>
      </c>
      <c r="AY59" s="189" t="str">
        <f t="shared" ca="1" si="1"/>
        <v>LAVALLE</v>
      </c>
      <c r="AZ59" s="36">
        <f ca="1">+IF(AZ$3="","",IF($AY59="","",IFERROR(INDEX('Data Consolidada'!$E$7:$E$891,MATCH(CONCATENATE(AZ$3,"-",$CP59,"-",$AY59),'Data Consolidada'!$K$7:$K$891,0)),MAX('Data Consolidada'!$E$7:$E$3000))))</f>
        <v>11000000</v>
      </c>
      <c r="BA59" s="32">
        <f ca="1">+IF(BA$3="","",IF($AY59="","",IFERROR(INDEX('Data Consolidada'!$E$7:$E$891,MATCH(CONCATENATE(BA$3,"-",$CP59,"-",$AY59),'Data Consolidada'!$K$7:$K$891,0)),MAX('Data Consolidada'!$E$7:$E$3000))))</f>
        <v>11000000</v>
      </c>
      <c r="BB59" s="32" t="str">
        <f>+IF(BB$3="","",IF($AY59="","",IFERROR(INDEX('Data Consolidada'!$E$7:$E$891,MATCH(CONCATENATE(BB$3,"-",$CP59,"-",$AY59),'Data Consolidada'!$K$7:$K$891,0)),MAX('Data Consolidada'!$E$7:$E$3000))))</f>
        <v/>
      </c>
      <c r="BC59" s="32" t="str">
        <f>+IF(BC$3="","",IF($AY59="","",IFERROR(INDEX('Data Consolidada'!$E$7:$E$891,MATCH(CONCATENATE(BC$3,"-",$CP59,"-",$AY59),'Data Consolidada'!$K$7:$K$891,0)),MAX('Data Consolidada'!$E$7:$E$3000))))</f>
        <v/>
      </c>
      <c r="BD59" s="32" t="str">
        <f>+IF(BD$3="","",IF($AY59="","",IFERROR(INDEX('Data Consolidada'!$E$7:$E$891,MATCH(CONCATENATE(BD$3,"-",$CP59,"-",$AY59),'Data Consolidada'!$K$7:$K$891,0)),MAX('Data Consolidada'!$E$7:$E$3000))))</f>
        <v/>
      </c>
      <c r="BE59" s="32" t="str">
        <f>+IF(BE$3="","",IF($AY59="","",IFERROR(INDEX('Data Consolidada'!$E$7:$E$891,MATCH(CONCATENATE(BE$3,"-",$CP59,"-",$AY59),'Data Consolidada'!$K$7:$K$891,0)),MAX('Data Consolidada'!$E$7:$E$3000))))</f>
        <v/>
      </c>
      <c r="BF59" s="32" t="str">
        <f>+IF(BF$3="","",IF($AY59="","",IFERROR(INDEX('Data Consolidada'!$E$7:$E$891,MATCH(CONCATENATE(BF$3,"-",$CP59,"-",$AY59),'Data Consolidada'!$K$7:$K$891,0)),MAX('Data Consolidada'!$E$7:$E$3000))))</f>
        <v/>
      </c>
      <c r="BG59" s="32" t="str">
        <f>+IF(BG$3="","",IF($AY59="","",IFERROR(INDEX('Data Consolidada'!$E$7:$E$891,MATCH(CONCATENATE(BG$3,"-",$CP59,"-",$AY59),'Data Consolidada'!$K$7:$K$891,0)),MAX('Data Consolidada'!$E$7:$E$3000))))</f>
        <v/>
      </c>
      <c r="BH59" s="32" t="str">
        <f>+IF(BH$3="","",IF($AY59="","",IFERROR(INDEX('Data Consolidada'!$E$7:$E$891,MATCH(CONCATENATE(BH$3,"-",$CP59,"-",$AY59),'Data Consolidada'!$K$7:$K$891,0)),MAX('Data Consolidada'!$E$7:$E$3000))))</f>
        <v/>
      </c>
      <c r="BI59" s="32" t="str">
        <f>+IF(BI$3="","",IF($AY59="","",IFERROR(INDEX('Data Consolidada'!$E$7:$E$891,MATCH(CONCATENATE(BI$3,"-",$CP59,"-",$AY59),'Data Consolidada'!$K$7:$K$891,0)),MAX('Data Consolidada'!$E$7:$E$3000))))</f>
        <v/>
      </c>
      <c r="BJ59" s="32" t="str">
        <f>+IF(BJ$3="","",IF($AY59="","",IFERROR(INDEX('Data Consolidada'!$E$7:$E$891,MATCH(CONCATENATE(BJ$3,"-",$CP59,"-",$AY59),'Data Consolidada'!$K$7:$K$891,0)),MAX('Data Consolidada'!$E$7:$E$3000))))</f>
        <v/>
      </c>
      <c r="BK59" s="32" t="str">
        <f>+IF(BK$3="","",IF($AY59="","",IFERROR(INDEX('Data Consolidada'!$E$7:$E$891,MATCH(CONCATENATE(BK$3,"-",$CP59,"-",$AY59),'Data Consolidada'!$K$7:$K$891,0)),MAX('Data Consolidada'!$E$7:$E$3000))))</f>
        <v/>
      </c>
      <c r="BL59" s="32" t="str">
        <f>+IF(BL$3="","",IF($AY59="","",IFERROR(INDEX('Data Consolidada'!$E$7:$E$891,MATCH(CONCATENATE(BL$3,"-",$CP59,"-",$AY59),'Data Consolidada'!$K$7:$K$891,0)),MAX('Data Consolidada'!$E$7:$E$3000))))</f>
        <v/>
      </c>
      <c r="BM59" s="32" t="str">
        <f>+IF(BM$3="","",IF($AY59="","",IFERROR(INDEX('Data Consolidada'!$E$7:$E$891,MATCH(CONCATENATE(BM$3,"-",$CP59,"-",$AY59),'Data Consolidada'!$K$7:$K$891,0)),MAX('Data Consolidada'!$E$7:$E$3000))))</f>
        <v/>
      </c>
      <c r="BN59" s="32" t="str">
        <f>+IF(BN$3="","",IF($AY59="","",IFERROR(INDEX('Data Consolidada'!$E$7:$E$891,MATCH(CONCATENATE(BN$3,"-",$CP59,"-",$AY59),'Data Consolidada'!$K$7:$K$891,0)),MAX('Data Consolidada'!$E$7:$E$3000))))</f>
        <v/>
      </c>
      <c r="BO59" s="32" t="str">
        <f>+IF(BO$3="","",IF($AY59="","",IFERROR(INDEX('Data Consolidada'!$E$7:$E$891,MATCH(CONCATENATE(BO$3,"-",$CP59,"-",$AY59),'Data Consolidada'!$K$7:$K$891,0)),MAX('Data Consolidada'!$E$7:$E$3000))))</f>
        <v/>
      </c>
      <c r="BP59" s="32" t="str">
        <f>+IF(BP$3="","",IF($AY59="","",IFERROR(INDEX('Data Consolidada'!$E$7:$E$891,MATCH(CONCATENATE(BP$3,"-",$CP59,"-",$AY59),'Data Consolidada'!$K$7:$K$891,0)),MAX('Data Consolidada'!$E$7:$E$3000))))</f>
        <v/>
      </c>
      <c r="BQ59" s="32" t="str">
        <f>+IF(BQ$3="","",IF($AY59="","",IFERROR(INDEX('Data Consolidada'!$E$7:$E$891,MATCH(CONCATENATE(BQ$3,"-",$CP59,"-",$AY59),'Data Consolidada'!$K$7:$K$891,0)),MAX('Data Consolidada'!$E$7:$E$3000))))</f>
        <v/>
      </c>
      <c r="BR59" s="32" t="str">
        <f>+IF(BR$3="","",IF($AY59="","",IFERROR(INDEX('Data Consolidada'!$E$7:$E$891,MATCH(CONCATENATE(BR$3,"-",$CP59,"-",$AY59),'Data Consolidada'!$K$7:$K$891,0)),MAX('Data Consolidada'!$E$7:$E$3000))))</f>
        <v/>
      </c>
      <c r="BS59" s="32" t="str">
        <f>+IF(BS$3="","",IF($AY59="","",IFERROR(INDEX('Data Consolidada'!$E$7:$E$891,MATCH(CONCATENATE(BS$3,"-",$CP59,"-",$AY59),'Data Consolidada'!$K$7:$K$891,0)),MAX('Data Consolidada'!$E$7:$E$3000))))</f>
        <v/>
      </c>
      <c r="BT59" s="32" t="str">
        <f>+IF(BT$3="","",IF($AY59="","",IFERROR(INDEX('Data Consolidada'!$E$7:$E$891,MATCH(CONCATENATE(BT$3,"-",$CP59,"-",$AY59),'Data Consolidada'!$K$7:$K$891,0)),MAX('Data Consolidada'!$E$7:$E$3000))))</f>
        <v/>
      </c>
      <c r="BU59" s="32" t="str">
        <f>+IF(BU$3="","",IF($AY59="","",IFERROR(INDEX('Data Consolidada'!$E$7:$E$891,MATCH(CONCATENATE(BU$3,"-",$CP59,"-",$AY59),'Data Consolidada'!$K$7:$K$891,0)),MAX('Data Consolidada'!$E$7:$E$3000))))</f>
        <v/>
      </c>
      <c r="BV59" s="32" t="str">
        <f>+IF(BV$3="","",IF($AY59="","",IFERROR(INDEX('Data Consolidada'!$E$7:$E$891,MATCH(CONCATENATE(BV$3,"-",$CP59,"-",$AY59),'Data Consolidada'!$K$7:$K$891,0)),MAX('Data Consolidada'!$E$7:$E$3000))))</f>
        <v/>
      </c>
      <c r="BW59" s="32" t="str">
        <f>+IF(BW$3="","",IF($AY59="","",IFERROR(INDEX('Data Consolidada'!$E$7:$E$891,MATCH(CONCATENATE(BW$3,"-",$CP59,"-",$AY59),'Data Consolidada'!$K$7:$K$891,0)),MAX('Data Consolidada'!$E$7:$E$3000))))</f>
        <v/>
      </c>
      <c r="BX59" s="32" t="str">
        <f>+IF(BX$3="","",IF($AY59="","",IFERROR(INDEX('Data Consolidada'!$E$7:$E$891,MATCH(CONCATENATE(BX$3,"-",$CP59,"-",$AY59),'Data Consolidada'!$K$7:$K$891,0)),MAX('Data Consolidada'!$E$7:$E$3000))))</f>
        <v/>
      </c>
      <c r="BY59" s="32" t="str">
        <f>+IF(BY$3="","",IF($AY59="","",IFERROR(INDEX('Data Consolidada'!$E$7:$E$891,MATCH(CONCATENATE(BY$3,"-",$CP59,"-",$AY59),'Data Consolidada'!$K$7:$K$891,0)),MAX('Data Consolidada'!$E$7:$E$3000))))</f>
        <v/>
      </c>
      <c r="BZ59" s="32" t="str">
        <f>+IF(BZ$3="","",IF($AY59="","",IFERROR(INDEX('Data Consolidada'!$E$7:$E$891,MATCH(CONCATENATE(BZ$3,"-",$CP59,"-",$AY59),'Data Consolidada'!$K$7:$K$891,0)),MAX('Data Consolidada'!$E$7:$E$3000))))</f>
        <v/>
      </c>
      <c r="CA59" s="32" t="str">
        <f>+IF(CA$3="","",IF($AY59="","",IFERROR(INDEX('Data Consolidada'!$E$7:$E$891,MATCH(CONCATENATE(CA$3,"-",$CP59,"-",$AY59),'Data Consolidada'!$K$7:$K$891,0)),MAX('Data Consolidada'!$E$7:$E$3000))))</f>
        <v/>
      </c>
      <c r="CB59" s="32" t="str">
        <f>+IF(CB$3="","",IF($AY59="","",IFERROR(INDEX('Data Consolidada'!$E$7:$E$891,MATCH(CONCATENATE(CB$3,"-",$CP59,"-",$AY59),'Data Consolidada'!$K$7:$K$891,0)),MAX('Data Consolidada'!$E$7:$E$3000))))</f>
        <v/>
      </c>
      <c r="CC59" s="32" t="str">
        <f>+IF(CC$3="","",IF($AY59="","",IFERROR(INDEX('Data Consolidada'!$E$7:$E$891,MATCH(CONCATENATE(CC$3,"-",$CP59,"-",$AY59),'Data Consolidada'!$K$7:$K$891,0)),MAX('Data Consolidada'!$E$7:$E$3000))))</f>
        <v/>
      </c>
      <c r="CD59" s="32" t="str">
        <f>+IF(CD$3="","",IF($AY59="","",IFERROR(INDEX('Data Consolidada'!$E$7:$E$891,MATCH(CONCATENATE(CD$3,"-",$CP59,"-",$AY59),'Data Consolidada'!$K$7:$K$891,0)),MAX('Data Consolidada'!$E$7:$E$3000))))</f>
        <v/>
      </c>
      <c r="CE59" s="32" t="str">
        <f>+IF(CE$3="","",IF($AY59="","",IFERROR(INDEX('Data Consolidada'!$E$7:$E$891,MATCH(CONCATENATE(CE$3,"-",$CP59,"-",$AY59),'Data Consolidada'!$K$7:$K$891,0)),MAX('Data Consolidada'!$E$7:$E$3000))))</f>
        <v/>
      </c>
      <c r="CF59" s="32" t="str">
        <f>+IF(CF$3="","",IF($AY59="","",IFERROR(INDEX('Data Consolidada'!$E$7:$E$891,MATCH(CONCATENATE(CF$3,"-",$CP59,"-",$AY59),'Data Consolidada'!$K$7:$K$891,0)),MAX('Data Consolidada'!$E$7:$E$3000))))</f>
        <v/>
      </c>
      <c r="CG59" s="32" t="str">
        <f>+IF(CG$3="","",IF($AY59="","",IFERROR(INDEX('Data Consolidada'!$E$7:$E$891,MATCH(CONCATENATE(CG$3,"-",$CP59,"-",$AY59),'Data Consolidada'!$K$7:$K$891,0)),MAX('Data Consolidada'!$E$7:$E$3000))))</f>
        <v/>
      </c>
      <c r="CH59" s="32" t="str">
        <f>+IF(CH$3="","",IF($AY59="","",IFERROR(INDEX('Data Consolidada'!$E$7:$E$891,MATCH(CONCATENATE(CH$3,"-",$CP59,"-",$AY59),'Data Consolidada'!$K$7:$K$891,0)),MAX('Data Consolidada'!$E$7:$E$3000))))</f>
        <v/>
      </c>
      <c r="CI59" s="32" t="str">
        <f>+IF(CI$3="","",IF($AY59="","",IFERROR(INDEX('Data Consolidada'!$E$7:$E$891,MATCH(CONCATENATE(CI$3,"-",$CP59,"-",$AY59),'Data Consolidada'!$K$7:$K$891,0)),MAX('Data Consolidada'!$E$7:$E$3000))))</f>
        <v/>
      </c>
      <c r="CJ59" s="32" t="str">
        <f>+IF(CJ$3="","",IF($AY59="","",IFERROR(INDEX('Data Consolidada'!$E$7:$E$891,MATCH(CONCATENATE(CJ$3,"-",$CP59,"-",$AY59),'Data Consolidada'!$K$7:$K$891,0)),MAX('Data Consolidada'!$E$7:$E$3000))))</f>
        <v/>
      </c>
      <c r="CK59" s="32" t="str">
        <f>+IF(CK$3="","",IF($AY59="","",IFERROR(INDEX('Data Consolidada'!$E$7:$E$891,MATCH(CONCATENATE(CK$3,"-",$CP59,"-",$AY59),'Data Consolidada'!$K$7:$K$891,0)),MAX('Data Consolidada'!$E$7:$E$3000))))</f>
        <v/>
      </c>
      <c r="CL59" s="32" t="str">
        <f>+IF(CL$3="","",IF($AY59="","",IFERROR(INDEX('Data Consolidada'!$E$7:$E$891,MATCH(CONCATENATE(CL$3,"-",$CP59,"-",$AY59),'Data Consolidada'!$K$7:$K$891,0)),MAX('Data Consolidada'!$E$7:$E$3000))))</f>
        <v/>
      </c>
      <c r="CM59" s="32" t="str">
        <f>+IF(CM$3="","",IF($AY59="","",IFERROR(INDEX('Data Consolidada'!$E$7:$E$891,MATCH(CONCATENATE(CM$3,"-",$CP59,"-",$AY59),'Data Consolidada'!$K$7:$K$891,0)),MAX('Data Consolidada'!$E$7:$E$3000))))</f>
        <v/>
      </c>
      <c r="CN59" s="32" t="str">
        <f>+IF(CN$3="","",IF($AY59="","",IFERROR(INDEX('Data Consolidada'!$E$7:$E$891,MATCH(CONCATENATE(CN$3,"-",$CP59,"-",$AY59),'Data Consolidada'!$K$7:$K$891,0)),MAX('Data Consolidada'!$E$7:$E$3000))))</f>
        <v/>
      </c>
      <c r="CO59" s="37" t="str">
        <f>+IF(CO$3="","",IF($AY59="","",IFERROR(INDEX('Data Consolidada'!$E$7:$E$891,MATCH(CONCATENATE(CO$3,"-",$CP59,"-",$AY59),'Data Consolidada'!$K$7:$K$891,0)),MAX('Data Consolidada'!$E$7:$E$3000))))</f>
        <v/>
      </c>
      <c r="CP59" s="224">
        <f t="shared" ca="1" si="2"/>
        <v>0</v>
      </c>
      <c r="CQ59" s="84" t="str">
        <f t="shared" ca="1" si="3"/>
        <v>LAVALLE0</v>
      </c>
    </row>
    <row r="60" spans="2:95" ht="15" customHeight="1" x14ac:dyDescent="0.35">
      <c r="B60" s="46"/>
      <c r="C60" s="5"/>
      <c r="D60" s="15"/>
      <c r="E60" s="53"/>
      <c r="F60" s="257"/>
      <c r="G60" s="14"/>
      <c r="H60" s="204"/>
      <c r="I60" s="267" t="str">
        <f t="shared" si="21"/>
        <v/>
      </c>
      <c r="J60" s="268" t="str">
        <f t="shared" si="22"/>
        <v/>
      </c>
      <c r="K60" s="268" t="str">
        <f t="shared" si="23"/>
        <v/>
      </c>
      <c r="L60" s="268" t="str">
        <f t="shared" si="24"/>
        <v/>
      </c>
      <c r="M60" s="268" t="str">
        <f t="shared" si="25"/>
        <v/>
      </c>
      <c r="N60" s="268" t="str">
        <f t="shared" si="26"/>
        <v/>
      </c>
      <c r="O60" s="268" t="str">
        <f t="shared" si="27"/>
        <v/>
      </c>
      <c r="P60" s="268" t="str">
        <f t="shared" si="28"/>
        <v/>
      </c>
      <c r="Q60" s="268" t="str">
        <f t="shared" si="29"/>
        <v/>
      </c>
      <c r="R60" s="268" t="str">
        <f t="shared" si="30"/>
        <v/>
      </c>
      <c r="S60" s="268" t="str">
        <f t="shared" si="31"/>
        <v/>
      </c>
      <c r="T60" s="268" t="str">
        <f t="shared" si="32"/>
        <v/>
      </c>
      <c r="U60" s="268" t="str">
        <f t="shared" si="33"/>
        <v/>
      </c>
      <c r="V60" s="269" t="str">
        <f t="shared" si="34"/>
        <v/>
      </c>
      <c r="W60" s="55" cm="1">
        <f t="array" ref="W60">+IFERROR(_xlfn.IFS(F60="Totes",IF(I60="",0,ROUNDUP(I60*$I$11/$G$9,0))+IF(J60="",0,ROUNDUP(J60*$J$11/$G$9,0))+IF(K60="",0,ROUNDUP(K60*$K$11/$G$9,0))+IF(L60="",0,ROUNDUP(L60*$L$11/$G$9,0))+IF(M60="",0,ROUNDUP(M60*$M$11/$G$9,0))+IF(N60="",0,ROUNDUP(N60*$N$11/$G$9,0))+IF(O60="",0,ROUNDUP(O60*$O$11/$G$9,0))+IF(P60="",0,ROUNDUP(P60*$P$11/$G$9,0))+IF(Q60="",0,ROUNDUP(Q60*$Q$11/$G$9,0))+IF(R60="",0,ROUNDUP(R60*$R$11/$G$9,0))+IF(S60="",0,ROUNDUP(S60*$S$11/$G$9,0))+IF(T60="",0,ROUNDUP(T60*$T$11/$G$9,0))+IF(U60="",0,ROUNDUP(U60*$U$11/$G$9,0))+IF(V60="",0,ROUNDUP(V60*$V$11/$G$9,0)),F60="Mini Bins",IF(I60="",0,ROUNDUP(I60*$I$11/$J$6,0))+IF(J60="",0,ROUNDUP(J60*$J$11/$J$6,0))+IF(K60="",0,ROUNDUP(K60*$K$11/$J$6,0))+IF(L60="",0,ROUNDUP(L60*$L$11/$J$6,0))+IF(M60="",0,ROUNDUP(M60*$M$11/$J$6,0))+IF(N60="",0,ROUNDUP(N60*$N$11/$J$6,0))+IF(O60="",0,ROUNDUP(O60*$O$11/$J$6,0))+IF(P60="",0,ROUNDUP(P60*$P$11/$J$6,0))+IF(Q60="",0,ROUNDUP(Q60*$Q$11/$J$6,0))+IF(R60="",0,ROUNDUP(R60*$R$11/$J$6,0))+IF(S60="",0,ROUNDUP(S60*$S$11/$J$6,0))+IF(T60="",0,ROUNDUP(T60*$T$11/$J$6,0))+IF(U60="",0,ROUNDUP(U60*$U$11/$J$6,0))+IF(V60="",0,ROUNDUP(V60*$V$11/$J$6,0))),0)</f>
        <v>0</v>
      </c>
      <c r="X60" s="254">
        <f t="shared" si="35"/>
        <v>0</v>
      </c>
      <c r="Z60" s="245"/>
      <c r="AA60" s="247"/>
      <c r="AB60" s="254" cm="1">
        <f t="array" aca="1" ref="AB60" ca="1">+SUM(IF($B$72:$B$217=Z60,$C$72:$AR$217))</f>
        <v>0</v>
      </c>
      <c r="AC60" s="211">
        <f t="shared" ca="1" si="4"/>
        <v>0</v>
      </c>
      <c r="AW60" s="13">
        <f>+IF(AX60="","",IF(AX60&gt;AX59,AW59,IF(AW59&lt;$D$69,AW59+1,IF(COUNT(AW$4:AW59)&lt;$B$69*$E$54,1,""))))</f>
        <v>5</v>
      </c>
      <c r="AX60" s="13">
        <f>+IF(AX59&lt;$B$69,AX59+1,IF(COUNT(AX$4:AX59)&lt;$B$69*$D$69,1,""))</f>
        <v>5</v>
      </c>
      <c r="AY60" s="189" t="str">
        <f t="shared" ca="1" si="1"/>
        <v>MACEBE</v>
      </c>
      <c r="AZ60" s="36">
        <f ca="1">+IF(AZ$3="","",IF($AY60="","",IFERROR(INDEX('Data Consolidada'!$E$7:$E$891,MATCH(CONCATENATE(AZ$3,"-",$CP60,"-",$AY60),'Data Consolidada'!$K$7:$K$891,0)),MAX('Data Consolidada'!$E$7:$E$3000))))</f>
        <v>11000000</v>
      </c>
      <c r="BA60" s="32">
        <f ca="1">+IF(BA$3="","",IF($AY60="","",IFERROR(INDEX('Data Consolidada'!$E$7:$E$891,MATCH(CONCATENATE(BA$3,"-",$CP60,"-",$AY60),'Data Consolidada'!$K$7:$K$891,0)),MAX('Data Consolidada'!$E$7:$E$3000))))</f>
        <v>11000000</v>
      </c>
      <c r="BB60" s="32" t="str">
        <f>+IF(BB$3="","",IF($AY60="","",IFERROR(INDEX('Data Consolidada'!$E$7:$E$891,MATCH(CONCATENATE(BB$3,"-",$CP60,"-",$AY60),'Data Consolidada'!$K$7:$K$891,0)),MAX('Data Consolidada'!$E$7:$E$3000))))</f>
        <v/>
      </c>
      <c r="BC60" s="32" t="str">
        <f>+IF(BC$3="","",IF($AY60="","",IFERROR(INDEX('Data Consolidada'!$E$7:$E$891,MATCH(CONCATENATE(BC$3,"-",$CP60,"-",$AY60),'Data Consolidada'!$K$7:$K$891,0)),MAX('Data Consolidada'!$E$7:$E$3000))))</f>
        <v/>
      </c>
      <c r="BD60" s="32" t="str">
        <f>+IF(BD$3="","",IF($AY60="","",IFERROR(INDEX('Data Consolidada'!$E$7:$E$891,MATCH(CONCATENATE(BD$3,"-",$CP60,"-",$AY60),'Data Consolidada'!$K$7:$K$891,0)),MAX('Data Consolidada'!$E$7:$E$3000))))</f>
        <v/>
      </c>
      <c r="BE60" s="32" t="str">
        <f>+IF(BE$3="","",IF($AY60="","",IFERROR(INDEX('Data Consolidada'!$E$7:$E$891,MATCH(CONCATENATE(BE$3,"-",$CP60,"-",$AY60),'Data Consolidada'!$K$7:$K$891,0)),MAX('Data Consolidada'!$E$7:$E$3000))))</f>
        <v/>
      </c>
      <c r="BF60" s="32" t="str">
        <f>+IF(BF$3="","",IF($AY60="","",IFERROR(INDEX('Data Consolidada'!$E$7:$E$891,MATCH(CONCATENATE(BF$3,"-",$CP60,"-",$AY60),'Data Consolidada'!$K$7:$K$891,0)),MAX('Data Consolidada'!$E$7:$E$3000))))</f>
        <v/>
      </c>
      <c r="BG60" s="32" t="str">
        <f>+IF(BG$3="","",IF($AY60="","",IFERROR(INDEX('Data Consolidada'!$E$7:$E$891,MATCH(CONCATENATE(BG$3,"-",$CP60,"-",$AY60),'Data Consolidada'!$K$7:$K$891,0)),MAX('Data Consolidada'!$E$7:$E$3000))))</f>
        <v/>
      </c>
      <c r="BH60" s="32" t="str">
        <f>+IF(BH$3="","",IF($AY60="","",IFERROR(INDEX('Data Consolidada'!$E$7:$E$891,MATCH(CONCATENATE(BH$3,"-",$CP60,"-",$AY60),'Data Consolidada'!$K$7:$K$891,0)),MAX('Data Consolidada'!$E$7:$E$3000))))</f>
        <v/>
      </c>
      <c r="BI60" s="32" t="str">
        <f>+IF(BI$3="","",IF($AY60="","",IFERROR(INDEX('Data Consolidada'!$E$7:$E$891,MATCH(CONCATENATE(BI$3,"-",$CP60,"-",$AY60),'Data Consolidada'!$K$7:$K$891,0)),MAX('Data Consolidada'!$E$7:$E$3000))))</f>
        <v/>
      </c>
      <c r="BJ60" s="32" t="str">
        <f>+IF(BJ$3="","",IF($AY60="","",IFERROR(INDEX('Data Consolidada'!$E$7:$E$891,MATCH(CONCATENATE(BJ$3,"-",$CP60,"-",$AY60),'Data Consolidada'!$K$7:$K$891,0)),MAX('Data Consolidada'!$E$7:$E$3000))))</f>
        <v/>
      </c>
      <c r="BK60" s="32" t="str">
        <f>+IF(BK$3="","",IF($AY60="","",IFERROR(INDEX('Data Consolidada'!$E$7:$E$891,MATCH(CONCATENATE(BK$3,"-",$CP60,"-",$AY60),'Data Consolidada'!$K$7:$K$891,0)),MAX('Data Consolidada'!$E$7:$E$3000))))</f>
        <v/>
      </c>
      <c r="BL60" s="32" t="str">
        <f>+IF(BL$3="","",IF($AY60="","",IFERROR(INDEX('Data Consolidada'!$E$7:$E$891,MATCH(CONCATENATE(BL$3,"-",$CP60,"-",$AY60),'Data Consolidada'!$K$7:$K$891,0)),MAX('Data Consolidada'!$E$7:$E$3000))))</f>
        <v/>
      </c>
      <c r="BM60" s="32" t="str">
        <f>+IF(BM$3="","",IF($AY60="","",IFERROR(INDEX('Data Consolidada'!$E$7:$E$891,MATCH(CONCATENATE(BM$3,"-",$CP60,"-",$AY60),'Data Consolidada'!$K$7:$K$891,0)),MAX('Data Consolidada'!$E$7:$E$3000))))</f>
        <v/>
      </c>
      <c r="BN60" s="32" t="str">
        <f>+IF(BN$3="","",IF($AY60="","",IFERROR(INDEX('Data Consolidada'!$E$7:$E$891,MATCH(CONCATENATE(BN$3,"-",$CP60,"-",$AY60),'Data Consolidada'!$K$7:$K$891,0)),MAX('Data Consolidada'!$E$7:$E$3000))))</f>
        <v/>
      </c>
      <c r="BO60" s="32" t="str">
        <f>+IF(BO$3="","",IF($AY60="","",IFERROR(INDEX('Data Consolidada'!$E$7:$E$891,MATCH(CONCATENATE(BO$3,"-",$CP60,"-",$AY60),'Data Consolidada'!$K$7:$K$891,0)),MAX('Data Consolidada'!$E$7:$E$3000))))</f>
        <v/>
      </c>
      <c r="BP60" s="32" t="str">
        <f>+IF(BP$3="","",IF($AY60="","",IFERROR(INDEX('Data Consolidada'!$E$7:$E$891,MATCH(CONCATENATE(BP$3,"-",$CP60,"-",$AY60),'Data Consolidada'!$K$7:$K$891,0)),MAX('Data Consolidada'!$E$7:$E$3000))))</f>
        <v/>
      </c>
      <c r="BQ60" s="32" t="str">
        <f>+IF(BQ$3="","",IF($AY60="","",IFERROR(INDEX('Data Consolidada'!$E$7:$E$891,MATCH(CONCATENATE(BQ$3,"-",$CP60,"-",$AY60),'Data Consolidada'!$K$7:$K$891,0)),MAX('Data Consolidada'!$E$7:$E$3000))))</f>
        <v/>
      </c>
      <c r="BR60" s="32" t="str">
        <f>+IF(BR$3="","",IF($AY60="","",IFERROR(INDEX('Data Consolidada'!$E$7:$E$891,MATCH(CONCATENATE(BR$3,"-",$CP60,"-",$AY60),'Data Consolidada'!$K$7:$K$891,0)),MAX('Data Consolidada'!$E$7:$E$3000))))</f>
        <v/>
      </c>
      <c r="BS60" s="32" t="str">
        <f>+IF(BS$3="","",IF($AY60="","",IFERROR(INDEX('Data Consolidada'!$E$7:$E$891,MATCH(CONCATENATE(BS$3,"-",$CP60,"-",$AY60),'Data Consolidada'!$K$7:$K$891,0)),MAX('Data Consolidada'!$E$7:$E$3000))))</f>
        <v/>
      </c>
      <c r="BT60" s="32" t="str">
        <f>+IF(BT$3="","",IF($AY60="","",IFERROR(INDEX('Data Consolidada'!$E$7:$E$891,MATCH(CONCATENATE(BT$3,"-",$CP60,"-",$AY60),'Data Consolidada'!$K$7:$K$891,0)),MAX('Data Consolidada'!$E$7:$E$3000))))</f>
        <v/>
      </c>
      <c r="BU60" s="32" t="str">
        <f>+IF(BU$3="","",IF($AY60="","",IFERROR(INDEX('Data Consolidada'!$E$7:$E$891,MATCH(CONCATENATE(BU$3,"-",$CP60,"-",$AY60),'Data Consolidada'!$K$7:$K$891,0)),MAX('Data Consolidada'!$E$7:$E$3000))))</f>
        <v/>
      </c>
      <c r="BV60" s="32" t="str">
        <f>+IF(BV$3="","",IF($AY60="","",IFERROR(INDEX('Data Consolidada'!$E$7:$E$891,MATCH(CONCATENATE(BV$3,"-",$CP60,"-",$AY60),'Data Consolidada'!$K$7:$K$891,0)),MAX('Data Consolidada'!$E$7:$E$3000))))</f>
        <v/>
      </c>
      <c r="BW60" s="32" t="str">
        <f>+IF(BW$3="","",IF($AY60="","",IFERROR(INDEX('Data Consolidada'!$E$7:$E$891,MATCH(CONCATENATE(BW$3,"-",$CP60,"-",$AY60),'Data Consolidada'!$K$7:$K$891,0)),MAX('Data Consolidada'!$E$7:$E$3000))))</f>
        <v/>
      </c>
      <c r="BX60" s="32" t="str">
        <f>+IF(BX$3="","",IF($AY60="","",IFERROR(INDEX('Data Consolidada'!$E$7:$E$891,MATCH(CONCATENATE(BX$3,"-",$CP60,"-",$AY60),'Data Consolidada'!$K$7:$K$891,0)),MAX('Data Consolidada'!$E$7:$E$3000))))</f>
        <v/>
      </c>
      <c r="BY60" s="32" t="str">
        <f>+IF(BY$3="","",IF($AY60="","",IFERROR(INDEX('Data Consolidada'!$E$7:$E$891,MATCH(CONCATENATE(BY$3,"-",$CP60,"-",$AY60),'Data Consolidada'!$K$7:$K$891,0)),MAX('Data Consolidada'!$E$7:$E$3000))))</f>
        <v/>
      </c>
      <c r="BZ60" s="32" t="str">
        <f>+IF(BZ$3="","",IF($AY60="","",IFERROR(INDEX('Data Consolidada'!$E$7:$E$891,MATCH(CONCATENATE(BZ$3,"-",$CP60,"-",$AY60),'Data Consolidada'!$K$7:$K$891,0)),MAX('Data Consolidada'!$E$7:$E$3000))))</f>
        <v/>
      </c>
      <c r="CA60" s="32" t="str">
        <f>+IF(CA$3="","",IF($AY60="","",IFERROR(INDEX('Data Consolidada'!$E$7:$E$891,MATCH(CONCATENATE(CA$3,"-",$CP60,"-",$AY60),'Data Consolidada'!$K$7:$K$891,0)),MAX('Data Consolidada'!$E$7:$E$3000))))</f>
        <v/>
      </c>
      <c r="CB60" s="32" t="str">
        <f>+IF(CB$3="","",IF($AY60="","",IFERROR(INDEX('Data Consolidada'!$E$7:$E$891,MATCH(CONCATENATE(CB$3,"-",$CP60,"-",$AY60),'Data Consolidada'!$K$7:$K$891,0)),MAX('Data Consolidada'!$E$7:$E$3000))))</f>
        <v/>
      </c>
      <c r="CC60" s="32" t="str">
        <f>+IF(CC$3="","",IF($AY60="","",IFERROR(INDEX('Data Consolidada'!$E$7:$E$891,MATCH(CONCATENATE(CC$3,"-",$CP60,"-",$AY60),'Data Consolidada'!$K$7:$K$891,0)),MAX('Data Consolidada'!$E$7:$E$3000))))</f>
        <v/>
      </c>
      <c r="CD60" s="32" t="str">
        <f>+IF(CD$3="","",IF($AY60="","",IFERROR(INDEX('Data Consolidada'!$E$7:$E$891,MATCH(CONCATENATE(CD$3,"-",$CP60,"-",$AY60),'Data Consolidada'!$K$7:$K$891,0)),MAX('Data Consolidada'!$E$7:$E$3000))))</f>
        <v/>
      </c>
      <c r="CE60" s="32" t="str">
        <f>+IF(CE$3="","",IF($AY60="","",IFERROR(INDEX('Data Consolidada'!$E$7:$E$891,MATCH(CONCATENATE(CE$3,"-",$CP60,"-",$AY60),'Data Consolidada'!$K$7:$K$891,0)),MAX('Data Consolidada'!$E$7:$E$3000))))</f>
        <v/>
      </c>
      <c r="CF60" s="32" t="str">
        <f>+IF(CF$3="","",IF($AY60="","",IFERROR(INDEX('Data Consolidada'!$E$7:$E$891,MATCH(CONCATENATE(CF$3,"-",$CP60,"-",$AY60),'Data Consolidada'!$K$7:$K$891,0)),MAX('Data Consolidada'!$E$7:$E$3000))))</f>
        <v/>
      </c>
      <c r="CG60" s="32" t="str">
        <f>+IF(CG$3="","",IF($AY60="","",IFERROR(INDEX('Data Consolidada'!$E$7:$E$891,MATCH(CONCATENATE(CG$3,"-",$CP60,"-",$AY60),'Data Consolidada'!$K$7:$K$891,0)),MAX('Data Consolidada'!$E$7:$E$3000))))</f>
        <v/>
      </c>
      <c r="CH60" s="32" t="str">
        <f>+IF(CH$3="","",IF($AY60="","",IFERROR(INDEX('Data Consolidada'!$E$7:$E$891,MATCH(CONCATENATE(CH$3,"-",$CP60,"-",$AY60),'Data Consolidada'!$K$7:$K$891,0)),MAX('Data Consolidada'!$E$7:$E$3000))))</f>
        <v/>
      </c>
      <c r="CI60" s="32" t="str">
        <f>+IF(CI$3="","",IF($AY60="","",IFERROR(INDEX('Data Consolidada'!$E$7:$E$891,MATCH(CONCATENATE(CI$3,"-",$CP60,"-",$AY60),'Data Consolidada'!$K$7:$K$891,0)),MAX('Data Consolidada'!$E$7:$E$3000))))</f>
        <v/>
      </c>
      <c r="CJ60" s="32" t="str">
        <f>+IF(CJ$3="","",IF($AY60="","",IFERROR(INDEX('Data Consolidada'!$E$7:$E$891,MATCH(CONCATENATE(CJ$3,"-",$CP60,"-",$AY60),'Data Consolidada'!$K$7:$K$891,0)),MAX('Data Consolidada'!$E$7:$E$3000))))</f>
        <v/>
      </c>
      <c r="CK60" s="32" t="str">
        <f>+IF(CK$3="","",IF($AY60="","",IFERROR(INDEX('Data Consolidada'!$E$7:$E$891,MATCH(CONCATENATE(CK$3,"-",$CP60,"-",$AY60),'Data Consolidada'!$K$7:$K$891,0)),MAX('Data Consolidada'!$E$7:$E$3000))))</f>
        <v/>
      </c>
      <c r="CL60" s="32" t="str">
        <f>+IF(CL$3="","",IF($AY60="","",IFERROR(INDEX('Data Consolidada'!$E$7:$E$891,MATCH(CONCATENATE(CL$3,"-",$CP60,"-",$AY60),'Data Consolidada'!$K$7:$K$891,0)),MAX('Data Consolidada'!$E$7:$E$3000))))</f>
        <v/>
      </c>
      <c r="CM60" s="32" t="str">
        <f>+IF(CM$3="","",IF($AY60="","",IFERROR(INDEX('Data Consolidada'!$E$7:$E$891,MATCH(CONCATENATE(CM$3,"-",$CP60,"-",$AY60),'Data Consolidada'!$K$7:$K$891,0)),MAX('Data Consolidada'!$E$7:$E$3000))))</f>
        <v/>
      </c>
      <c r="CN60" s="32" t="str">
        <f>+IF(CN$3="","",IF($AY60="","",IFERROR(INDEX('Data Consolidada'!$E$7:$E$891,MATCH(CONCATENATE(CN$3,"-",$CP60,"-",$AY60),'Data Consolidada'!$K$7:$K$891,0)),MAX('Data Consolidada'!$E$7:$E$3000))))</f>
        <v/>
      </c>
      <c r="CO60" s="37" t="str">
        <f>+IF(CO$3="","",IF($AY60="","",IFERROR(INDEX('Data Consolidada'!$E$7:$E$891,MATCH(CONCATENATE(CO$3,"-",$CP60,"-",$AY60),'Data Consolidada'!$K$7:$K$891,0)),MAX('Data Consolidada'!$E$7:$E$3000))))</f>
        <v/>
      </c>
      <c r="CP60" s="224">
        <f t="shared" ca="1" si="2"/>
        <v>0</v>
      </c>
      <c r="CQ60" s="84" t="str">
        <f t="shared" ca="1" si="3"/>
        <v>MACEBE0</v>
      </c>
    </row>
    <row r="61" spans="2:95" ht="15" customHeight="1" x14ac:dyDescent="0.35">
      <c r="B61" s="46"/>
      <c r="C61" s="5"/>
      <c r="D61" s="15"/>
      <c r="E61" s="53"/>
      <c r="F61" s="257"/>
      <c r="G61" s="14"/>
      <c r="H61" s="204"/>
      <c r="I61" s="267" t="str">
        <f t="shared" si="21"/>
        <v/>
      </c>
      <c r="J61" s="268" t="str">
        <f t="shared" si="22"/>
        <v/>
      </c>
      <c r="K61" s="268" t="str">
        <f t="shared" si="23"/>
        <v/>
      </c>
      <c r="L61" s="268" t="str">
        <f t="shared" si="24"/>
        <v/>
      </c>
      <c r="M61" s="268" t="str">
        <f t="shared" si="25"/>
        <v/>
      </c>
      <c r="N61" s="268" t="str">
        <f t="shared" si="26"/>
        <v/>
      </c>
      <c r="O61" s="268" t="str">
        <f t="shared" si="27"/>
        <v/>
      </c>
      <c r="P61" s="268" t="str">
        <f t="shared" si="28"/>
        <v/>
      </c>
      <c r="Q61" s="268" t="str">
        <f t="shared" si="29"/>
        <v/>
      </c>
      <c r="R61" s="268" t="str">
        <f t="shared" si="30"/>
        <v/>
      </c>
      <c r="S61" s="268" t="str">
        <f t="shared" si="31"/>
        <v/>
      </c>
      <c r="T61" s="268" t="str">
        <f t="shared" si="32"/>
        <v/>
      </c>
      <c r="U61" s="268" t="str">
        <f t="shared" si="33"/>
        <v/>
      </c>
      <c r="V61" s="269" t="str">
        <f t="shared" si="34"/>
        <v/>
      </c>
      <c r="W61" s="55" cm="1">
        <f t="array" ref="W61">+IFERROR(_xlfn.IFS(F61="Totes",IF(I61="",0,ROUNDUP(I61*$I$11/$G$9,0))+IF(J61="",0,ROUNDUP(J61*$J$11/$G$9,0))+IF(K61="",0,ROUNDUP(K61*$K$11/$G$9,0))+IF(L61="",0,ROUNDUP(L61*$L$11/$G$9,0))+IF(M61="",0,ROUNDUP(M61*$M$11/$G$9,0))+IF(N61="",0,ROUNDUP(N61*$N$11/$G$9,0))+IF(O61="",0,ROUNDUP(O61*$O$11/$G$9,0))+IF(P61="",0,ROUNDUP(P61*$P$11/$G$9,0))+IF(Q61="",0,ROUNDUP(Q61*$Q$11/$G$9,0))+IF(R61="",0,ROUNDUP(R61*$R$11/$G$9,0))+IF(S61="",0,ROUNDUP(S61*$S$11/$G$9,0))+IF(T61="",0,ROUNDUP(T61*$T$11/$G$9,0))+IF(U61="",0,ROUNDUP(U61*$U$11/$G$9,0))+IF(V61="",0,ROUNDUP(V61*$V$11/$G$9,0)),F61="Mini Bins",IF(I61="",0,ROUNDUP(I61*$I$11/$J$6,0))+IF(J61="",0,ROUNDUP(J61*$J$11/$J$6,0))+IF(K61="",0,ROUNDUP(K61*$K$11/$J$6,0))+IF(L61="",0,ROUNDUP(L61*$L$11/$J$6,0))+IF(M61="",0,ROUNDUP(M61*$M$11/$J$6,0))+IF(N61="",0,ROUNDUP(N61*$N$11/$J$6,0))+IF(O61="",0,ROUNDUP(O61*$O$11/$J$6,0))+IF(P61="",0,ROUNDUP(P61*$P$11/$J$6,0))+IF(Q61="",0,ROUNDUP(Q61*$Q$11/$J$6,0))+IF(R61="",0,ROUNDUP(R61*$R$11/$J$6,0))+IF(S61="",0,ROUNDUP(S61*$S$11/$J$6,0))+IF(T61="",0,ROUNDUP(T61*$T$11/$J$6,0))+IF(U61="",0,ROUNDUP(U61*$U$11/$J$6,0))+IF(V61="",0,ROUNDUP(V61*$V$11/$J$6,0))),0)</f>
        <v>0</v>
      </c>
      <c r="X61" s="254">
        <f t="shared" si="35"/>
        <v>0</v>
      </c>
      <c r="Z61" s="245"/>
      <c r="AA61" s="247"/>
      <c r="AB61" s="254" cm="1">
        <f t="array" aca="1" ref="AB61" ca="1">+SUM(IF($B$72:$B$217=Z61,$C$72:$AR$217))</f>
        <v>0</v>
      </c>
      <c r="AC61" s="211">
        <f t="shared" ca="1" si="4"/>
        <v>0</v>
      </c>
      <c r="AD61" s="43"/>
      <c r="AE61" s="43"/>
      <c r="AF61" s="43"/>
      <c r="AG61" s="43"/>
      <c r="AW61" s="13">
        <f>+IF(AX61="","",IF(AX61&gt;AX60,AW60,IF(AW60&lt;$D$69,AW60+1,IF(COUNT(AW$4:AW60)&lt;$B$69*$E$54,1,""))))</f>
        <v>5</v>
      </c>
      <c r="AX61" s="13">
        <f>+IF(AX60&lt;$B$69,AX60+1,IF(COUNT(AX$4:AX60)&lt;$B$69*$D$69,1,""))</f>
        <v>6</v>
      </c>
      <c r="AY61" s="189" t="str">
        <f t="shared" ca="1" si="1"/>
        <v xml:space="preserve">Manuel Sepúlveda </v>
      </c>
      <c r="AZ61" s="36">
        <f ca="1">+IF(AZ$3="","",IF($AY61="","",IFERROR(INDEX('Data Consolidada'!$E$7:$E$891,MATCH(CONCATENATE(AZ$3,"-",$CP61,"-",$AY61),'Data Consolidada'!$K$7:$K$891,0)),MAX('Data Consolidada'!$E$7:$E$3000))))</f>
        <v>11000000</v>
      </c>
      <c r="BA61" s="32">
        <f ca="1">+IF(BA$3="","",IF($AY61="","",IFERROR(INDEX('Data Consolidada'!$E$7:$E$891,MATCH(CONCATENATE(BA$3,"-",$CP61,"-",$AY61),'Data Consolidada'!$K$7:$K$891,0)),MAX('Data Consolidada'!$E$7:$E$3000))))</f>
        <v>11000000</v>
      </c>
      <c r="BB61" s="32" t="str">
        <f>+IF(BB$3="","",IF($AY61="","",IFERROR(INDEX('Data Consolidada'!$E$7:$E$891,MATCH(CONCATENATE(BB$3,"-",$CP61,"-",$AY61),'Data Consolidada'!$K$7:$K$891,0)),MAX('Data Consolidada'!$E$7:$E$3000))))</f>
        <v/>
      </c>
      <c r="BC61" s="32" t="str">
        <f>+IF(BC$3="","",IF($AY61="","",IFERROR(INDEX('Data Consolidada'!$E$7:$E$891,MATCH(CONCATENATE(BC$3,"-",$CP61,"-",$AY61),'Data Consolidada'!$K$7:$K$891,0)),MAX('Data Consolidada'!$E$7:$E$3000))))</f>
        <v/>
      </c>
      <c r="BD61" s="32" t="str">
        <f>+IF(BD$3="","",IF($AY61="","",IFERROR(INDEX('Data Consolidada'!$E$7:$E$891,MATCH(CONCATENATE(BD$3,"-",$CP61,"-",$AY61),'Data Consolidada'!$K$7:$K$891,0)),MAX('Data Consolidada'!$E$7:$E$3000))))</f>
        <v/>
      </c>
      <c r="BE61" s="32" t="str">
        <f>+IF(BE$3="","",IF($AY61="","",IFERROR(INDEX('Data Consolidada'!$E$7:$E$891,MATCH(CONCATENATE(BE$3,"-",$CP61,"-",$AY61),'Data Consolidada'!$K$7:$K$891,0)),MAX('Data Consolidada'!$E$7:$E$3000))))</f>
        <v/>
      </c>
      <c r="BF61" s="32" t="str">
        <f>+IF(BF$3="","",IF($AY61="","",IFERROR(INDEX('Data Consolidada'!$E$7:$E$891,MATCH(CONCATENATE(BF$3,"-",$CP61,"-",$AY61),'Data Consolidada'!$K$7:$K$891,0)),MAX('Data Consolidada'!$E$7:$E$3000))))</f>
        <v/>
      </c>
      <c r="BG61" s="32" t="str">
        <f>+IF(BG$3="","",IF($AY61="","",IFERROR(INDEX('Data Consolidada'!$E$7:$E$891,MATCH(CONCATENATE(BG$3,"-",$CP61,"-",$AY61),'Data Consolidada'!$K$7:$K$891,0)),MAX('Data Consolidada'!$E$7:$E$3000))))</f>
        <v/>
      </c>
      <c r="BH61" s="32" t="str">
        <f>+IF(BH$3="","",IF($AY61="","",IFERROR(INDEX('Data Consolidada'!$E$7:$E$891,MATCH(CONCATENATE(BH$3,"-",$CP61,"-",$AY61),'Data Consolidada'!$K$7:$K$891,0)),MAX('Data Consolidada'!$E$7:$E$3000))))</f>
        <v/>
      </c>
      <c r="BI61" s="32" t="str">
        <f>+IF(BI$3="","",IF($AY61="","",IFERROR(INDEX('Data Consolidada'!$E$7:$E$891,MATCH(CONCATENATE(BI$3,"-",$CP61,"-",$AY61),'Data Consolidada'!$K$7:$K$891,0)),MAX('Data Consolidada'!$E$7:$E$3000))))</f>
        <v/>
      </c>
      <c r="BJ61" s="32" t="str">
        <f>+IF(BJ$3="","",IF($AY61="","",IFERROR(INDEX('Data Consolidada'!$E$7:$E$891,MATCH(CONCATENATE(BJ$3,"-",$CP61,"-",$AY61),'Data Consolidada'!$K$7:$K$891,0)),MAX('Data Consolidada'!$E$7:$E$3000))))</f>
        <v/>
      </c>
      <c r="BK61" s="32" t="str">
        <f>+IF(BK$3="","",IF($AY61="","",IFERROR(INDEX('Data Consolidada'!$E$7:$E$891,MATCH(CONCATENATE(BK$3,"-",$CP61,"-",$AY61),'Data Consolidada'!$K$7:$K$891,0)),MAX('Data Consolidada'!$E$7:$E$3000))))</f>
        <v/>
      </c>
      <c r="BL61" s="32" t="str">
        <f>+IF(BL$3="","",IF($AY61="","",IFERROR(INDEX('Data Consolidada'!$E$7:$E$891,MATCH(CONCATENATE(BL$3,"-",$CP61,"-",$AY61),'Data Consolidada'!$K$7:$K$891,0)),MAX('Data Consolidada'!$E$7:$E$3000))))</f>
        <v/>
      </c>
      <c r="BM61" s="32" t="str">
        <f>+IF(BM$3="","",IF($AY61="","",IFERROR(INDEX('Data Consolidada'!$E$7:$E$891,MATCH(CONCATENATE(BM$3,"-",$CP61,"-",$AY61),'Data Consolidada'!$K$7:$K$891,0)),MAX('Data Consolidada'!$E$7:$E$3000))))</f>
        <v/>
      </c>
      <c r="BN61" s="32" t="str">
        <f>+IF(BN$3="","",IF($AY61="","",IFERROR(INDEX('Data Consolidada'!$E$7:$E$891,MATCH(CONCATENATE(BN$3,"-",$CP61,"-",$AY61),'Data Consolidada'!$K$7:$K$891,0)),MAX('Data Consolidada'!$E$7:$E$3000))))</f>
        <v/>
      </c>
      <c r="BO61" s="32" t="str">
        <f>+IF(BO$3="","",IF($AY61="","",IFERROR(INDEX('Data Consolidada'!$E$7:$E$891,MATCH(CONCATENATE(BO$3,"-",$CP61,"-",$AY61),'Data Consolidada'!$K$7:$K$891,0)),MAX('Data Consolidada'!$E$7:$E$3000))))</f>
        <v/>
      </c>
      <c r="BP61" s="32" t="str">
        <f>+IF(BP$3="","",IF($AY61="","",IFERROR(INDEX('Data Consolidada'!$E$7:$E$891,MATCH(CONCATENATE(BP$3,"-",$CP61,"-",$AY61),'Data Consolidada'!$K$7:$K$891,0)),MAX('Data Consolidada'!$E$7:$E$3000))))</f>
        <v/>
      </c>
      <c r="BQ61" s="32" t="str">
        <f>+IF(BQ$3="","",IF($AY61="","",IFERROR(INDEX('Data Consolidada'!$E$7:$E$891,MATCH(CONCATENATE(BQ$3,"-",$CP61,"-",$AY61),'Data Consolidada'!$K$7:$K$891,0)),MAX('Data Consolidada'!$E$7:$E$3000))))</f>
        <v/>
      </c>
      <c r="BR61" s="32" t="str">
        <f>+IF(BR$3="","",IF($AY61="","",IFERROR(INDEX('Data Consolidada'!$E$7:$E$891,MATCH(CONCATENATE(BR$3,"-",$CP61,"-",$AY61),'Data Consolidada'!$K$7:$K$891,0)),MAX('Data Consolidada'!$E$7:$E$3000))))</f>
        <v/>
      </c>
      <c r="BS61" s="32" t="str">
        <f>+IF(BS$3="","",IF($AY61="","",IFERROR(INDEX('Data Consolidada'!$E$7:$E$891,MATCH(CONCATENATE(BS$3,"-",$CP61,"-",$AY61),'Data Consolidada'!$K$7:$K$891,0)),MAX('Data Consolidada'!$E$7:$E$3000))))</f>
        <v/>
      </c>
      <c r="BT61" s="32" t="str">
        <f>+IF(BT$3="","",IF($AY61="","",IFERROR(INDEX('Data Consolidada'!$E$7:$E$891,MATCH(CONCATENATE(BT$3,"-",$CP61,"-",$AY61),'Data Consolidada'!$K$7:$K$891,0)),MAX('Data Consolidada'!$E$7:$E$3000))))</f>
        <v/>
      </c>
      <c r="BU61" s="32" t="str">
        <f>+IF(BU$3="","",IF($AY61="","",IFERROR(INDEX('Data Consolidada'!$E$7:$E$891,MATCH(CONCATENATE(BU$3,"-",$CP61,"-",$AY61),'Data Consolidada'!$K$7:$K$891,0)),MAX('Data Consolidada'!$E$7:$E$3000))))</f>
        <v/>
      </c>
      <c r="BV61" s="32" t="str">
        <f>+IF(BV$3="","",IF($AY61="","",IFERROR(INDEX('Data Consolidada'!$E$7:$E$891,MATCH(CONCATENATE(BV$3,"-",$CP61,"-",$AY61),'Data Consolidada'!$K$7:$K$891,0)),MAX('Data Consolidada'!$E$7:$E$3000))))</f>
        <v/>
      </c>
      <c r="BW61" s="32" t="str">
        <f>+IF(BW$3="","",IF($AY61="","",IFERROR(INDEX('Data Consolidada'!$E$7:$E$891,MATCH(CONCATENATE(BW$3,"-",$CP61,"-",$AY61),'Data Consolidada'!$K$7:$K$891,0)),MAX('Data Consolidada'!$E$7:$E$3000))))</f>
        <v/>
      </c>
      <c r="BX61" s="32" t="str">
        <f>+IF(BX$3="","",IF($AY61="","",IFERROR(INDEX('Data Consolidada'!$E$7:$E$891,MATCH(CONCATENATE(BX$3,"-",$CP61,"-",$AY61),'Data Consolidada'!$K$7:$K$891,0)),MAX('Data Consolidada'!$E$7:$E$3000))))</f>
        <v/>
      </c>
      <c r="BY61" s="32" t="str">
        <f>+IF(BY$3="","",IF($AY61="","",IFERROR(INDEX('Data Consolidada'!$E$7:$E$891,MATCH(CONCATENATE(BY$3,"-",$CP61,"-",$AY61),'Data Consolidada'!$K$7:$K$891,0)),MAX('Data Consolidada'!$E$7:$E$3000))))</f>
        <v/>
      </c>
      <c r="BZ61" s="32" t="str">
        <f>+IF(BZ$3="","",IF($AY61="","",IFERROR(INDEX('Data Consolidada'!$E$7:$E$891,MATCH(CONCATENATE(BZ$3,"-",$CP61,"-",$AY61),'Data Consolidada'!$K$7:$K$891,0)),MAX('Data Consolidada'!$E$7:$E$3000))))</f>
        <v/>
      </c>
      <c r="CA61" s="32" t="str">
        <f>+IF(CA$3="","",IF($AY61="","",IFERROR(INDEX('Data Consolidada'!$E$7:$E$891,MATCH(CONCATENATE(CA$3,"-",$CP61,"-",$AY61),'Data Consolidada'!$K$7:$K$891,0)),MAX('Data Consolidada'!$E$7:$E$3000))))</f>
        <v/>
      </c>
      <c r="CB61" s="32" t="str">
        <f>+IF(CB$3="","",IF($AY61="","",IFERROR(INDEX('Data Consolidada'!$E$7:$E$891,MATCH(CONCATENATE(CB$3,"-",$CP61,"-",$AY61),'Data Consolidada'!$K$7:$K$891,0)),MAX('Data Consolidada'!$E$7:$E$3000))))</f>
        <v/>
      </c>
      <c r="CC61" s="32" t="str">
        <f>+IF(CC$3="","",IF($AY61="","",IFERROR(INDEX('Data Consolidada'!$E$7:$E$891,MATCH(CONCATENATE(CC$3,"-",$CP61,"-",$AY61),'Data Consolidada'!$K$7:$K$891,0)),MAX('Data Consolidada'!$E$7:$E$3000))))</f>
        <v/>
      </c>
      <c r="CD61" s="32" t="str">
        <f>+IF(CD$3="","",IF($AY61="","",IFERROR(INDEX('Data Consolidada'!$E$7:$E$891,MATCH(CONCATENATE(CD$3,"-",$CP61,"-",$AY61),'Data Consolidada'!$K$7:$K$891,0)),MAX('Data Consolidada'!$E$7:$E$3000))))</f>
        <v/>
      </c>
      <c r="CE61" s="32" t="str">
        <f>+IF(CE$3="","",IF($AY61="","",IFERROR(INDEX('Data Consolidada'!$E$7:$E$891,MATCH(CONCATENATE(CE$3,"-",$CP61,"-",$AY61),'Data Consolidada'!$K$7:$K$891,0)),MAX('Data Consolidada'!$E$7:$E$3000))))</f>
        <v/>
      </c>
      <c r="CF61" s="32" t="str">
        <f>+IF(CF$3="","",IF($AY61="","",IFERROR(INDEX('Data Consolidada'!$E$7:$E$891,MATCH(CONCATENATE(CF$3,"-",$CP61,"-",$AY61),'Data Consolidada'!$K$7:$K$891,0)),MAX('Data Consolidada'!$E$7:$E$3000))))</f>
        <v/>
      </c>
      <c r="CG61" s="32" t="str">
        <f>+IF(CG$3="","",IF($AY61="","",IFERROR(INDEX('Data Consolidada'!$E$7:$E$891,MATCH(CONCATENATE(CG$3,"-",$CP61,"-",$AY61),'Data Consolidada'!$K$7:$K$891,0)),MAX('Data Consolidada'!$E$7:$E$3000))))</f>
        <v/>
      </c>
      <c r="CH61" s="32" t="str">
        <f>+IF(CH$3="","",IF($AY61="","",IFERROR(INDEX('Data Consolidada'!$E$7:$E$891,MATCH(CONCATENATE(CH$3,"-",$CP61,"-",$AY61),'Data Consolidada'!$K$7:$K$891,0)),MAX('Data Consolidada'!$E$7:$E$3000))))</f>
        <v/>
      </c>
      <c r="CI61" s="32" t="str">
        <f>+IF(CI$3="","",IF($AY61="","",IFERROR(INDEX('Data Consolidada'!$E$7:$E$891,MATCH(CONCATENATE(CI$3,"-",$CP61,"-",$AY61),'Data Consolidada'!$K$7:$K$891,0)),MAX('Data Consolidada'!$E$7:$E$3000))))</f>
        <v/>
      </c>
      <c r="CJ61" s="32" t="str">
        <f>+IF(CJ$3="","",IF($AY61="","",IFERROR(INDEX('Data Consolidada'!$E$7:$E$891,MATCH(CONCATENATE(CJ$3,"-",$CP61,"-",$AY61),'Data Consolidada'!$K$7:$K$891,0)),MAX('Data Consolidada'!$E$7:$E$3000))))</f>
        <v/>
      </c>
      <c r="CK61" s="32" t="str">
        <f>+IF(CK$3="","",IF($AY61="","",IFERROR(INDEX('Data Consolidada'!$E$7:$E$891,MATCH(CONCATENATE(CK$3,"-",$CP61,"-",$AY61),'Data Consolidada'!$K$7:$K$891,0)),MAX('Data Consolidada'!$E$7:$E$3000))))</f>
        <v/>
      </c>
      <c r="CL61" s="32" t="str">
        <f>+IF(CL$3="","",IF($AY61="","",IFERROR(INDEX('Data Consolidada'!$E$7:$E$891,MATCH(CONCATENATE(CL$3,"-",$CP61,"-",$AY61),'Data Consolidada'!$K$7:$K$891,0)),MAX('Data Consolidada'!$E$7:$E$3000))))</f>
        <v/>
      </c>
      <c r="CM61" s="32" t="str">
        <f>+IF(CM$3="","",IF($AY61="","",IFERROR(INDEX('Data Consolidada'!$E$7:$E$891,MATCH(CONCATENATE(CM$3,"-",$CP61,"-",$AY61),'Data Consolidada'!$K$7:$K$891,0)),MAX('Data Consolidada'!$E$7:$E$3000))))</f>
        <v/>
      </c>
      <c r="CN61" s="32" t="str">
        <f>+IF(CN$3="","",IF($AY61="","",IFERROR(INDEX('Data Consolidada'!$E$7:$E$891,MATCH(CONCATENATE(CN$3,"-",$CP61,"-",$AY61),'Data Consolidada'!$K$7:$K$891,0)),MAX('Data Consolidada'!$E$7:$E$3000))))</f>
        <v/>
      </c>
      <c r="CO61" s="37" t="str">
        <f>+IF(CO$3="","",IF($AY61="","",IFERROR(INDEX('Data Consolidada'!$E$7:$E$891,MATCH(CONCATENATE(CO$3,"-",$CP61,"-",$AY61),'Data Consolidada'!$K$7:$K$891,0)),MAX('Data Consolidada'!$E$7:$E$3000))))</f>
        <v/>
      </c>
      <c r="CP61" s="224">
        <f t="shared" ca="1" si="2"/>
        <v>0</v>
      </c>
      <c r="CQ61" s="84" t="str">
        <f t="shared" ca="1" si="3"/>
        <v>Manuel Sepúlveda 0</v>
      </c>
    </row>
    <row r="62" spans="2:95" ht="15" customHeight="1" x14ac:dyDescent="0.35">
      <c r="B62" s="46"/>
      <c r="C62" s="5"/>
      <c r="D62" s="15"/>
      <c r="E62" s="53"/>
      <c r="F62" s="257"/>
      <c r="G62" s="14"/>
      <c r="H62" s="204"/>
      <c r="I62" s="267" t="str">
        <f t="shared" si="21"/>
        <v/>
      </c>
      <c r="J62" s="268" t="str">
        <f t="shared" si="22"/>
        <v/>
      </c>
      <c r="K62" s="268" t="str">
        <f t="shared" si="23"/>
        <v/>
      </c>
      <c r="L62" s="268" t="str">
        <f t="shared" si="24"/>
        <v/>
      </c>
      <c r="M62" s="268" t="str">
        <f t="shared" si="25"/>
        <v/>
      </c>
      <c r="N62" s="268" t="str">
        <f t="shared" si="26"/>
        <v/>
      </c>
      <c r="O62" s="268" t="str">
        <f t="shared" si="27"/>
        <v/>
      </c>
      <c r="P62" s="268" t="str">
        <f t="shared" si="28"/>
        <v/>
      </c>
      <c r="Q62" s="268" t="str">
        <f t="shared" si="29"/>
        <v/>
      </c>
      <c r="R62" s="268" t="str">
        <f t="shared" si="30"/>
        <v/>
      </c>
      <c r="S62" s="268" t="str">
        <f t="shared" si="31"/>
        <v/>
      </c>
      <c r="T62" s="268" t="str">
        <f t="shared" si="32"/>
        <v/>
      </c>
      <c r="U62" s="268" t="str">
        <f t="shared" si="33"/>
        <v/>
      </c>
      <c r="V62" s="269" t="str">
        <f t="shared" si="34"/>
        <v/>
      </c>
      <c r="W62" s="55" cm="1">
        <f t="array" ref="W62">+IFERROR(_xlfn.IFS(F62="Totes",IF(I62="",0,ROUNDUP(I62*$I$11/$G$9,0))+IF(J62="",0,ROUNDUP(J62*$J$11/$G$9,0))+IF(K62="",0,ROUNDUP(K62*$K$11/$G$9,0))+IF(L62="",0,ROUNDUP(L62*$L$11/$G$9,0))+IF(M62="",0,ROUNDUP(M62*$M$11/$G$9,0))+IF(N62="",0,ROUNDUP(N62*$N$11/$G$9,0))+IF(O62="",0,ROUNDUP(O62*$O$11/$G$9,0))+IF(P62="",0,ROUNDUP(P62*$P$11/$G$9,0))+IF(Q62="",0,ROUNDUP(Q62*$Q$11/$G$9,0))+IF(R62="",0,ROUNDUP(R62*$R$11/$G$9,0))+IF(S62="",0,ROUNDUP(S62*$S$11/$G$9,0))+IF(T62="",0,ROUNDUP(T62*$T$11/$G$9,0))+IF(U62="",0,ROUNDUP(U62*$U$11/$G$9,0))+IF(V62="",0,ROUNDUP(V62*$V$11/$G$9,0)),F62="Mini Bins",IF(I62="",0,ROUNDUP(I62*$I$11/$J$6,0))+IF(J62="",0,ROUNDUP(J62*$J$11/$J$6,0))+IF(K62="",0,ROUNDUP(K62*$K$11/$J$6,0))+IF(L62="",0,ROUNDUP(L62*$L$11/$J$6,0))+IF(M62="",0,ROUNDUP(M62*$M$11/$J$6,0))+IF(N62="",0,ROUNDUP(N62*$N$11/$J$6,0))+IF(O62="",0,ROUNDUP(O62*$O$11/$J$6,0))+IF(P62="",0,ROUNDUP(P62*$P$11/$J$6,0))+IF(Q62="",0,ROUNDUP(Q62*$Q$11/$J$6,0))+IF(R62="",0,ROUNDUP(R62*$R$11/$J$6,0))+IF(S62="",0,ROUNDUP(S62*$S$11/$J$6,0))+IF(T62="",0,ROUNDUP(T62*$T$11/$J$6,0))+IF(U62="",0,ROUNDUP(U62*$U$11/$J$6,0))+IF(V62="",0,ROUNDUP(V62*$V$11/$J$6,0))),0)</f>
        <v>0</v>
      </c>
      <c r="X62" s="254">
        <f t="shared" si="35"/>
        <v>0</v>
      </c>
      <c r="Z62" s="245"/>
      <c r="AA62" s="247"/>
      <c r="AB62" s="254" cm="1">
        <f t="array" aca="1" ref="AB62" ca="1">+SUM(IF($B$72:$B$217=Z62,$C$72:$AR$217))</f>
        <v>0</v>
      </c>
      <c r="AC62" s="211">
        <f t="shared" ca="1" si="4"/>
        <v>0</v>
      </c>
      <c r="AD62" s="43"/>
      <c r="AE62" s="43"/>
      <c r="AF62" s="43"/>
      <c r="AG62" s="43"/>
      <c r="AW62" s="13">
        <f>+IF(AX62="","",IF(AX62&gt;AX61,AW61,IF(AW61&lt;$D$69,AW61+1,IF(COUNT(AW$4:AW61)&lt;$B$69*$E$54,1,""))))</f>
        <v>5</v>
      </c>
      <c r="AX62" s="13">
        <f>+IF(AX61&lt;$B$69,AX61+1,IF(COUNT(AX$4:AX61)&lt;$B$69*$D$69,1,""))</f>
        <v>7</v>
      </c>
      <c r="AY62" s="189" t="str">
        <f t="shared" ca="1" si="1"/>
        <v>PARRAO</v>
      </c>
      <c r="AZ62" s="36">
        <f ca="1">+IF(AZ$3="","",IF($AY62="","",IFERROR(INDEX('Data Consolidada'!$E$7:$E$891,MATCH(CONCATENATE(AZ$3,"-",$CP62,"-",$AY62),'Data Consolidada'!$K$7:$K$891,0)),MAX('Data Consolidada'!$E$7:$E$3000))))</f>
        <v>11000000</v>
      </c>
      <c r="BA62" s="32">
        <f ca="1">+IF(BA$3="","",IF($AY62="","",IFERROR(INDEX('Data Consolidada'!$E$7:$E$891,MATCH(CONCATENATE(BA$3,"-",$CP62,"-",$AY62),'Data Consolidada'!$K$7:$K$891,0)),MAX('Data Consolidada'!$E$7:$E$3000))))</f>
        <v>11000000</v>
      </c>
      <c r="BB62" s="32" t="str">
        <f>+IF(BB$3="","",IF($AY62="","",IFERROR(INDEX('Data Consolidada'!$E$7:$E$891,MATCH(CONCATENATE(BB$3,"-",$CP62,"-",$AY62),'Data Consolidada'!$K$7:$K$891,0)),MAX('Data Consolidada'!$E$7:$E$3000))))</f>
        <v/>
      </c>
      <c r="BC62" s="32" t="str">
        <f>+IF(BC$3="","",IF($AY62="","",IFERROR(INDEX('Data Consolidada'!$E$7:$E$891,MATCH(CONCATENATE(BC$3,"-",$CP62,"-",$AY62),'Data Consolidada'!$K$7:$K$891,0)),MAX('Data Consolidada'!$E$7:$E$3000))))</f>
        <v/>
      </c>
      <c r="BD62" s="32" t="str">
        <f>+IF(BD$3="","",IF($AY62="","",IFERROR(INDEX('Data Consolidada'!$E$7:$E$891,MATCH(CONCATENATE(BD$3,"-",$CP62,"-",$AY62),'Data Consolidada'!$K$7:$K$891,0)),MAX('Data Consolidada'!$E$7:$E$3000))))</f>
        <v/>
      </c>
      <c r="BE62" s="32" t="str">
        <f>+IF(BE$3="","",IF($AY62="","",IFERROR(INDEX('Data Consolidada'!$E$7:$E$891,MATCH(CONCATENATE(BE$3,"-",$CP62,"-",$AY62),'Data Consolidada'!$K$7:$K$891,0)),MAX('Data Consolidada'!$E$7:$E$3000))))</f>
        <v/>
      </c>
      <c r="BF62" s="32" t="str">
        <f>+IF(BF$3="","",IF($AY62="","",IFERROR(INDEX('Data Consolidada'!$E$7:$E$891,MATCH(CONCATENATE(BF$3,"-",$CP62,"-",$AY62),'Data Consolidada'!$K$7:$K$891,0)),MAX('Data Consolidada'!$E$7:$E$3000))))</f>
        <v/>
      </c>
      <c r="BG62" s="32" t="str">
        <f>+IF(BG$3="","",IF($AY62="","",IFERROR(INDEX('Data Consolidada'!$E$7:$E$891,MATCH(CONCATENATE(BG$3,"-",$CP62,"-",$AY62),'Data Consolidada'!$K$7:$K$891,0)),MAX('Data Consolidada'!$E$7:$E$3000))))</f>
        <v/>
      </c>
      <c r="BH62" s="32" t="str">
        <f>+IF(BH$3="","",IF($AY62="","",IFERROR(INDEX('Data Consolidada'!$E$7:$E$891,MATCH(CONCATENATE(BH$3,"-",$CP62,"-",$AY62),'Data Consolidada'!$K$7:$K$891,0)),MAX('Data Consolidada'!$E$7:$E$3000))))</f>
        <v/>
      </c>
      <c r="BI62" s="32" t="str">
        <f>+IF(BI$3="","",IF($AY62="","",IFERROR(INDEX('Data Consolidada'!$E$7:$E$891,MATCH(CONCATENATE(BI$3,"-",$CP62,"-",$AY62),'Data Consolidada'!$K$7:$K$891,0)),MAX('Data Consolidada'!$E$7:$E$3000))))</f>
        <v/>
      </c>
      <c r="BJ62" s="32" t="str">
        <f>+IF(BJ$3="","",IF($AY62="","",IFERROR(INDEX('Data Consolidada'!$E$7:$E$891,MATCH(CONCATENATE(BJ$3,"-",$CP62,"-",$AY62),'Data Consolidada'!$K$7:$K$891,0)),MAX('Data Consolidada'!$E$7:$E$3000))))</f>
        <v/>
      </c>
      <c r="BK62" s="32" t="str">
        <f>+IF(BK$3="","",IF($AY62="","",IFERROR(INDEX('Data Consolidada'!$E$7:$E$891,MATCH(CONCATENATE(BK$3,"-",$CP62,"-",$AY62),'Data Consolidada'!$K$7:$K$891,0)),MAX('Data Consolidada'!$E$7:$E$3000))))</f>
        <v/>
      </c>
      <c r="BL62" s="32" t="str">
        <f>+IF(BL$3="","",IF($AY62="","",IFERROR(INDEX('Data Consolidada'!$E$7:$E$891,MATCH(CONCATENATE(BL$3,"-",$CP62,"-",$AY62),'Data Consolidada'!$K$7:$K$891,0)),MAX('Data Consolidada'!$E$7:$E$3000))))</f>
        <v/>
      </c>
      <c r="BM62" s="32" t="str">
        <f>+IF(BM$3="","",IF($AY62="","",IFERROR(INDEX('Data Consolidada'!$E$7:$E$891,MATCH(CONCATENATE(BM$3,"-",$CP62,"-",$AY62),'Data Consolidada'!$K$7:$K$891,0)),MAX('Data Consolidada'!$E$7:$E$3000))))</f>
        <v/>
      </c>
      <c r="BN62" s="32" t="str">
        <f>+IF(BN$3="","",IF($AY62="","",IFERROR(INDEX('Data Consolidada'!$E$7:$E$891,MATCH(CONCATENATE(BN$3,"-",$CP62,"-",$AY62),'Data Consolidada'!$K$7:$K$891,0)),MAX('Data Consolidada'!$E$7:$E$3000))))</f>
        <v/>
      </c>
      <c r="BO62" s="32" t="str">
        <f>+IF(BO$3="","",IF($AY62="","",IFERROR(INDEX('Data Consolidada'!$E$7:$E$891,MATCH(CONCATENATE(BO$3,"-",$CP62,"-",$AY62),'Data Consolidada'!$K$7:$K$891,0)),MAX('Data Consolidada'!$E$7:$E$3000))))</f>
        <v/>
      </c>
      <c r="BP62" s="32" t="str">
        <f>+IF(BP$3="","",IF($AY62="","",IFERROR(INDEX('Data Consolidada'!$E$7:$E$891,MATCH(CONCATENATE(BP$3,"-",$CP62,"-",$AY62),'Data Consolidada'!$K$7:$K$891,0)),MAX('Data Consolidada'!$E$7:$E$3000))))</f>
        <v/>
      </c>
      <c r="BQ62" s="32" t="str">
        <f>+IF(BQ$3="","",IF($AY62="","",IFERROR(INDEX('Data Consolidada'!$E$7:$E$891,MATCH(CONCATENATE(BQ$3,"-",$CP62,"-",$AY62),'Data Consolidada'!$K$7:$K$891,0)),MAX('Data Consolidada'!$E$7:$E$3000))))</f>
        <v/>
      </c>
      <c r="BR62" s="32" t="str">
        <f>+IF(BR$3="","",IF($AY62="","",IFERROR(INDEX('Data Consolidada'!$E$7:$E$891,MATCH(CONCATENATE(BR$3,"-",$CP62,"-",$AY62),'Data Consolidada'!$K$7:$K$891,0)),MAX('Data Consolidada'!$E$7:$E$3000))))</f>
        <v/>
      </c>
      <c r="BS62" s="32" t="str">
        <f>+IF(BS$3="","",IF($AY62="","",IFERROR(INDEX('Data Consolidada'!$E$7:$E$891,MATCH(CONCATENATE(BS$3,"-",$CP62,"-",$AY62),'Data Consolidada'!$K$7:$K$891,0)),MAX('Data Consolidada'!$E$7:$E$3000))))</f>
        <v/>
      </c>
      <c r="BT62" s="32" t="str">
        <f>+IF(BT$3="","",IF($AY62="","",IFERROR(INDEX('Data Consolidada'!$E$7:$E$891,MATCH(CONCATENATE(BT$3,"-",$CP62,"-",$AY62),'Data Consolidada'!$K$7:$K$891,0)),MAX('Data Consolidada'!$E$7:$E$3000))))</f>
        <v/>
      </c>
      <c r="BU62" s="32" t="str">
        <f>+IF(BU$3="","",IF($AY62="","",IFERROR(INDEX('Data Consolidada'!$E$7:$E$891,MATCH(CONCATENATE(BU$3,"-",$CP62,"-",$AY62),'Data Consolidada'!$K$7:$K$891,0)),MAX('Data Consolidada'!$E$7:$E$3000))))</f>
        <v/>
      </c>
      <c r="BV62" s="32" t="str">
        <f>+IF(BV$3="","",IF($AY62="","",IFERROR(INDEX('Data Consolidada'!$E$7:$E$891,MATCH(CONCATENATE(BV$3,"-",$CP62,"-",$AY62),'Data Consolidada'!$K$7:$K$891,0)),MAX('Data Consolidada'!$E$7:$E$3000))))</f>
        <v/>
      </c>
      <c r="BW62" s="32" t="str">
        <f>+IF(BW$3="","",IF($AY62="","",IFERROR(INDEX('Data Consolidada'!$E$7:$E$891,MATCH(CONCATENATE(BW$3,"-",$CP62,"-",$AY62),'Data Consolidada'!$K$7:$K$891,0)),MAX('Data Consolidada'!$E$7:$E$3000))))</f>
        <v/>
      </c>
      <c r="BX62" s="32" t="str">
        <f>+IF(BX$3="","",IF($AY62="","",IFERROR(INDEX('Data Consolidada'!$E$7:$E$891,MATCH(CONCATENATE(BX$3,"-",$CP62,"-",$AY62),'Data Consolidada'!$K$7:$K$891,0)),MAX('Data Consolidada'!$E$7:$E$3000))))</f>
        <v/>
      </c>
      <c r="BY62" s="32" t="str">
        <f>+IF(BY$3="","",IF($AY62="","",IFERROR(INDEX('Data Consolidada'!$E$7:$E$891,MATCH(CONCATENATE(BY$3,"-",$CP62,"-",$AY62),'Data Consolidada'!$K$7:$K$891,0)),MAX('Data Consolidada'!$E$7:$E$3000))))</f>
        <v/>
      </c>
      <c r="BZ62" s="32" t="str">
        <f>+IF(BZ$3="","",IF($AY62="","",IFERROR(INDEX('Data Consolidada'!$E$7:$E$891,MATCH(CONCATENATE(BZ$3,"-",$CP62,"-",$AY62),'Data Consolidada'!$K$7:$K$891,0)),MAX('Data Consolidada'!$E$7:$E$3000))))</f>
        <v/>
      </c>
      <c r="CA62" s="32" t="str">
        <f>+IF(CA$3="","",IF($AY62="","",IFERROR(INDEX('Data Consolidada'!$E$7:$E$891,MATCH(CONCATENATE(CA$3,"-",$CP62,"-",$AY62),'Data Consolidada'!$K$7:$K$891,0)),MAX('Data Consolidada'!$E$7:$E$3000))))</f>
        <v/>
      </c>
      <c r="CB62" s="32" t="str">
        <f>+IF(CB$3="","",IF($AY62="","",IFERROR(INDEX('Data Consolidada'!$E$7:$E$891,MATCH(CONCATENATE(CB$3,"-",$CP62,"-",$AY62),'Data Consolidada'!$K$7:$K$891,0)),MAX('Data Consolidada'!$E$7:$E$3000))))</f>
        <v/>
      </c>
      <c r="CC62" s="32" t="str">
        <f>+IF(CC$3="","",IF($AY62="","",IFERROR(INDEX('Data Consolidada'!$E$7:$E$891,MATCH(CONCATENATE(CC$3,"-",$CP62,"-",$AY62),'Data Consolidada'!$K$7:$K$891,0)),MAX('Data Consolidada'!$E$7:$E$3000))))</f>
        <v/>
      </c>
      <c r="CD62" s="32" t="str">
        <f>+IF(CD$3="","",IF($AY62="","",IFERROR(INDEX('Data Consolidada'!$E$7:$E$891,MATCH(CONCATENATE(CD$3,"-",$CP62,"-",$AY62),'Data Consolidada'!$K$7:$K$891,0)),MAX('Data Consolidada'!$E$7:$E$3000))))</f>
        <v/>
      </c>
      <c r="CE62" s="32" t="str">
        <f>+IF(CE$3="","",IF($AY62="","",IFERROR(INDEX('Data Consolidada'!$E$7:$E$891,MATCH(CONCATENATE(CE$3,"-",$CP62,"-",$AY62),'Data Consolidada'!$K$7:$K$891,0)),MAX('Data Consolidada'!$E$7:$E$3000))))</f>
        <v/>
      </c>
      <c r="CF62" s="32" t="str">
        <f>+IF(CF$3="","",IF($AY62="","",IFERROR(INDEX('Data Consolidada'!$E$7:$E$891,MATCH(CONCATENATE(CF$3,"-",$CP62,"-",$AY62),'Data Consolidada'!$K$7:$K$891,0)),MAX('Data Consolidada'!$E$7:$E$3000))))</f>
        <v/>
      </c>
      <c r="CG62" s="32" t="str">
        <f>+IF(CG$3="","",IF($AY62="","",IFERROR(INDEX('Data Consolidada'!$E$7:$E$891,MATCH(CONCATENATE(CG$3,"-",$CP62,"-",$AY62),'Data Consolidada'!$K$7:$K$891,0)),MAX('Data Consolidada'!$E$7:$E$3000))))</f>
        <v/>
      </c>
      <c r="CH62" s="32" t="str">
        <f>+IF(CH$3="","",IF($AY62="","",IFERROR(INDEX('Data Consolidada'!$E$7:$E$891,MATCH(CONCATENATE(CH$3,"-",$CP62,"-",$AY62),'Data Consolidada'!$K$7:$K$891,0)),MAX('Data Consolidada'!$E$7:$E$3000))))</f>
        <v/>
      </c>
      <c r="CI62" s="32" t="str">
        <f>+IF(CI$3="","",IF($AY62="","",IFERROR(INDEX('Data Consolidada'!$E$7:$E$891,MATCH(CONCATENATE(CI$3,"-",$CP62,"-",$AY62),'Data Consolidada'!$K$7:$K$891,0)),MAX('Data Consolidada'!$E$7:$E$3000))))</f>
        <v/>
      </c>
      <c r="CJ62" s="32" t="str">
        <f>+IF(CJ$3="","",IF($AY62="","",IFERROR(INDEX('Data Consolidada'!$E$7:$E$891,MATCH(CONCATENATE(CJ$3,"-",$CP62,"-",$AY62),'Data Consolidada'!$K$7:$K$891,0)),MAX('Data Consolidada'!$E$7:$E$3000))))</f>
        <v/>
      </c>
      <c r="CK62" s="32" t="str">
        <f>+IF(CK$3="","",IF($AY62="","",IFERROR(INDEX('Data Consolidada'!$E$7:$E$891,MATCH(CONCATENATE(CK$3,"-",$CP62,"-",$AY62),'Data Consolidada'!$K$7:$K$891,0)),MAX('Data Consolidada'!$E$7:$E$3000))))</f>
        <v/>
      </c>
      <c r="CL62" s="32" t="str">
        <f>+IF(CL$3="","",IF($AY62="","",IFERROR(INDEX('Data Consolidada'!$E$7:$E$891,MATCH(CONCATENATE(CL$3,"-",$CP62,"-",$AY62),'Data Consolidada'!$K$7:$K$891,0)),MAX('Data Consolidada'!$E$7:$E$3000))))</f>
        <v/>
      </c>
      <c r="CM62" s="32" t="str">
        <f>+IF(CM$3="","",IF($AY62="","",IFERROR(INDEX('Data Consolidada'!$E$7:$E$891,MATCH(CONCATENATE(CM$3,"-",$CP62,"-",$AY62),'Data Consolidada'!$K$7:$K$891,0)),MAX('Data Consolidada'!$E$7:$E$3000))))</f>
        <v/>
      </c>
      <c r="CN62" s="32" t="str">
        <f>+IF(CN$3="","",IF($AY62="","",IFERROR(INDEX('Data Consolidada'!$E$7:$E$891,MATCH(CONCATENATE(CN$3,"-",$CP62,"-",$AY62),'Data Consolidada'!$K$7:$K$891,0)),MAX('Data Consolidada'!$E$7:$E$3000))))</f>
        <v/>
      </c>
      <c r="CO62" s="37" t="str">
        <f>+IF(CO$3="","",IF($AY62="","",IFERROR(INDEX('Data Consolidada'!$E$7:$E$891,MATCH(CONCATENATE(CO$3,"-",$CP62,"-",$AY62),'Data Consolidada'!$K$7:$K$891,0)),MAX('Data Consolidada'!$E$7:$E$3000))))</f>
        <v/>
      </c>
      <c r="CP62" s="224">
        <f t="shared" ca="1" si="2"/>
        <v>0</v>
      </c>
      <c r="CQ62" s="84" t="str">
        <f t="shared" ca="1" si="3"/>
        <v>PARRAO0</v>
      </c>
    </row>
    <row r="63" spans="2:95" ht="15" customHeight="1" x14ac:dyDescent="0.35">
      <c r="B63" s="46"/>
      <c r="C63" s="5"/>
      <c r="D63" s="15"/>
      <c r="E63" s="53"/>
      <c r="F63" s="257"/>
      <c r="G63" s="14"/>
      <c r="H63" s="204"/>
      <c r="I63" s="267" t="str">
        <f t="shared" si="21"/>
        <v/>
      </c>
      <c r="J63" s="268" t="str">
        <f t="shared" si="22"/>
        <v/>
      </c>
      <c r="K63" s="268" t="str">
        <f t="shared" si="23"/>
        <v/>
      </c>
      <c r="L63" s="268" t="str">
        <f t="shared" si="24"/>
        <v/>
      </c>
      <c r="M63" s="268" t="str">
        <f t="shared" si="25"/>
        <v/>
      </c>
      <c r="N63" s="268" t="str">
        <f t="shared" si="26"/>
        <v/>
      </c>
      <c r="O63" s="268" t="str">
        <f t="shared" si="27"/>
        <v/>
      </c>
      <c r="P63" s="268" t="str">
        <f t="shared" si="28"/>
        <v/>
      </c>
      <c r="Q63" s="268" t="str">
        <f t="shared" si="29"/>
        <v/>
      </c>
      <c r="R63" s="268" t="str">
        <f t="shared" si="30"/>
        <v/>
      </c>
      <c r="S63" s="268" t="str">
        <f t="shared" si="31"/>
        <v/>
      </c>
      <c r="T63" s="268" t="str">
        <f t="shared" si="32"/>
        <v/>
      </c>
      <c r="U63" s="268" t="str">
        <f t="shared" si="33"/>
        <v/>
      </c>
      <c r="V63" s="269" t="str">
        <f t="shared" si="34"/>
        <v/>
      </c>
      <c r="W63" s="55" cm="1">
        <f t="array" ref="W63">+IFERROR(_xlfn.IFS(F63="Totes",IF(I63="",0,ROUNDUP(I63*$I$11/$G$9,0))+IF(J63="",0,ROUNDUP(J63*$J$11/$G$9,0))+IF(K63="",0,ROUNDUP(K63*$K$11/$G$9,0))+IF(L63="",0,ROUNDUP(L63*$L$11/$G$9,0))+IF(M63="",0,ROUNDUP(M63*$M$11/$G$9,0))+IF(N63="",0,ROUNDUP(N63*$N$11/$G$9,0))+IF(O63="",0,ROUNDUP(O63*$O$11/$G$9,0))+IF(P63="",0,ROUNDUP(P63*$P$11/$G$9,0))+IF(Q63="",0,ROUNDUP(Q63*$Q$11/$G$9,0))+IF(R63="",0,ROUNDUP(R63*$R$11/$G$9,0))+IF(S63="",0,ROUNDUP(S63*$S$11/$G$9,0))+IF(T63="",0,ROUNDUP(T63*$T$11/$G$9,0))+IF(U63="",0,ROUNDUP(U63*$U$11/$G$9,0))+IF(V63="",0,ROUNDUP(V63*$V$11/$G$9,0)),F63="Mini Bins",IF(I63="",0,ROUNDUP(I63*$I$11/$J$6,0))+IF(J63="",0,ROUNDUP(J63*$J$11/$J$6,0))+IF(K63="",0,ROUNDUP(K63*$K$11/$J$6,0))+IF(L63="",0,ROUNDUP(L63*$L$11/$J$6,0))+IF(M63="",0,ROUNDUP(M63*$M$11/$J$6,0))+IF(N63="",0,ROUNDUP(N63*$N$11/$J$6,0))+IF(O63="",0,ROUNDUP(O63*$O$11/$J$6,0))+IF(P63="",0,ROUNDUP(P63*$P$11/$J$6,0))+IF(Q63="",0,ROUNDUP(Q63*$Q$11/$J$6,0))+IF(R63="",0,ROUNDUP(R63*$R$11/$J$6,0))+IF(S63="",0,ROUNDUP(S63*$S$11/$J$6,0))+IF(T63="",0,ROUNDUP(T63*$T$11/$J$6,0))+IF(U63="",0,ROUNDUP(U63*$U$11/$J$6,0))+IF(V63="",0,ROUNDUP(V63*$V$11/$J$6,0))),0)</f>
        <v>0</v>
      </c>
      <c r="X63" s="254">
        <f t="shared" si="35"/>
        <v>0</v>
      </c>
      <c r="Z63" s="245"/>
      <c r="AA63" s="247"/>
      <c r="AB63" s="254" cm="1">
        <f t="array" aca="1" ref="AB63" ca="1">+SUM(IF($B$72:$B$217=Z63,$C$72:$AR$217))</f>
        <v>0</v>
      </c>
      <c r="AC63" s="211">
        <f t="shared" ca="1" si="4"/>
        <v>0</v>
      </c>
      <c r="AD63" s="43"/>
      <c r="AE63" s="43"/>
      <c r="AF63" s="43"/>
      <c r="AG63" s="43"/>
      <c r="AW63" s="13">
        <f>+IF(AX63="","",IF(AX63&gt;AX62,AW62,IF(AW62&lt;$D$69,AW62+1,IF(COUNT(AW$4:AW62)&lt;$B$69*$E$54,1,""))))</f>
        <v>5</v>
      </c>
      <c r="AX63" s="13">
        <f>+IF(AX62&lt;$B$69,AX62+1,IF(COUNT(AX$4:AX62)&lt;$B$69*$D$69,1,""))</f>
        <v>8</v>
      </c>
      <c r="AY63" s="189" t="str">
        <f t="shared" ca="1" si="1"/>
        <v>PAULA</v>
      </c>
      <c r="AZ63" s="36">
        <f ca="1">+IF(AZ$3="","",IF($AY63="","",IFERROR(INDEX('Data Consolidada'!$E$7:$E$891,MATCH(CONCATENATE(AZ$3,"-",$CP63,"-",$AY63),'Data Consolidada'!$K$7:$K$891,0)),MAX('Data Consolidada'!$E$7:$E$3000))))</f>
        <v>11000000</v>
      </c>
      <c r="BA63" s="32">
        <f ca="1">+IF(BA$3="","",IF($AY63="","",IFERROR(INDEX('Data Consolidada'!$E$7:$E$891,MATCH(CONCATENATE(BA$3,"-",$CP63,"-",$AY63),'Data Consolidada'!$K$7:$K$891,0)),MAX('Data Consolidada'!$E$7:$E$3000))))</f>
        <v>11000000</v>
      </c>
      <c r="BB63" s="32" t="str">
        <f>+IF(BB$3="","",IF($AY63="","",IFERROR(INDEX('Data Consolidada'!$E$7:$E$891,MATCH(CONCATENATE(BB$3,"-",$CP63,"-",$AY63),'Data Consolidada'!$K$7:$K$891,0)),MAX('Data Consolidada'!$E$7:$E$3000))))</f>
        <v/>
      </c>
      <c r="BC63" s="32" t="str">
        <f>+IF(BC$3="","",IF($AY63="","",IFERROR(INDEX('Data Consolidada'!$E$7:$E$891,MATCH(CONCATENATE(BC$3,"-",$CP63,"-",$AY63),'Data Consolidada'!$K$7:$K$891,0)),MAX('Data Consolidada'!$E$7:$E$3000))))</f>
        <v/>
      </c>
      <c r="BD63" s="32" t="str">
        <f>+IF(BD$3="","",IF($AY63="","",IFERROR(INDEX('Data Consolidada'!$E$7:$E$891,MATCH(CONCATENATE(BD$3,"-",$CP63,"-",$AY63),'Data Consolidada'!$K$7:$K$891,0)),MAX('Data Consolidada'!$E$7:$E$3000))))</f>
        <v/>
      </c>
      <c r="BE63" s="32" t="str">
        <f>+IF(BE$3="","",IF($AY63="","",IFERROR(INDEX('Data Consolidada'!$E$7:$E$891,MATCH(CONCATENATE(BE$3,"-",$CP63,"-",$AY63),'Data Consolidada'!$K$7:$K$891,0)),MAX('Data Consolidada'!$E$7:$E$3000))))</f>
        <v/>
      </c>
      <c r="BF63" s="32" t="str">
        <f>+IF(BF$3="","",IF($AY63="","",IFERROR(INDEX('Data Consolidada'!$E$7:$E$891,MATCH(CONCATENATE(BF$3,"-",$CP63,"-",$AY63),'Data Consolidada'!$K$7:$K$891,0)),MAX('Data Consolidada'!$E$7:$E$3000))))</f>
        <v/>
      </c>
      <c r="BG63" s="32" t="str">
        <f>+IF(BG$3="","",IF($AY63="","",IFERROR(INDEX('Data Consolidada'!$E$7:$E$891,MATCH(CONCATENATE(BG$3,"-",$CP63,"-",$AY63),'Data Consolidada'!$K$7:$K$891,0)),MAX('Data Consolidada'!$E$7:$E$3000))))</f>
        <v/>
      </c>
      <c r="BH63" s="32" t="str">
        <f>+IF(BH$3="","",IF($AY63="","",IFERROR(INDEX('Data Consolidada'!$E$7:$E$891,MATCH(CONCATENATE(BH$3,"-",$CP63,"-",$AY63),'Data Consolidada'!$K$7:$K$891,0)),MAX('Data Consolidada'!$E$7:$E$3000))))</f>
        <v/>
      </c>
      <c r="BI63" s="32" t="str">
        <f>+IF(BI$3="","",IF($AY63="","",IFERROR(INDEX('Data Consolidada'!$E$7:$E$891,MATCH(CONCATENATE(BI$3,"-",$CP63,"-",$AY63),'Data Consolidada'!$K$7:$K$891,0)),MAX('Data Consolidada'!$E$7:$E$3000))))</f>
        <v/>
      </c>
      <c r="BJ63" s="32" t="str">
        <f>+IF(BJ$3="","",IF($AY63="","",IFERROR(INDEX('Data Consolidada'!$E$7:$E$891,MATCH(CONCATENATE(BJ$3,"-",$CP63,"-",$AY63),'Data Consolidada'!$K$7:$K$891,0)),MAX('Data Consolidada'!$E$7:$E$3000))))</f>
        <v/>
      </c>
      <c r="BK63" s="32" t="str">
        <f>+IF(BK$3="","",IF($AY63="","",IFERROR(INDEX('Data Consolidada'!$E$7:$E$891,MATCH(CONCATENATE(BK$3,"-",$CP63,"-",$AY63),'Data Consolidada'!$K$7:$K$891,0)),MAX('Data Consolidada'!$E$7:$E$3000))))</f>
        <v/>
      </c>
      <c r="BL63" s="32" t="str">
        <f>+IF(BL$3="","",IF($AY63="","",IFERROR(INDEX('Data Consolidada'!$E$7:$E$891,MATCH(CONCATENATE(BL$3,"-",$CP63,"-",$AY63),'Data Consolidada'!$K$7:$K$891,0)),MAX('Data Consolidada'!$E$7:$E$3000))))</f>
        <v/>
      </c>
      <c r="BM63" s="32" t="str">
        <f>+IF(BM$3="","",IF($AY63="","",IFERROR(INDEX('Data Consolidada'!$E$7:$E$891,MATCH(CONCATENATE(BM$3,"-",$CP63,"-",$AY63),'Data Consolidada'!$K$7:$K$891,0)),MAX('Data Consolidada'!$E$7:$E$3000))))</f>
        <v/>
      </c>
      <c r="BN63" s="32" t="str">
        <f>+IF(BN$3="","",IF($AY63="","",IFERROR(INDEX('Data Consolidada'!$E$7:$E$891,MATCH(CONCATENATE(BN$3,"-",$CP63,"-",$AY63),'Data Consolidada'!$K$7:$K$891,0)),MAX('Data Consolidada'!$E$7:$E$3000))))</f>
        <v/>
      </c>
      <c r="BO63" s="32" t="str">
        <f>+IF(BO$3="","",IF($AY63="","",IFERROR(INDEX('Data Consolidada'!$E$7:$E$891,MATCH(CONCATENATE(BO$3,"-",$CP63,"-",$AY63),'Data Consolidada'!$K$7:$K$891,0)),MAX('Data Consolidada'!$E$7:$E$3000))))</f>
        <v/>
      </c>
      <c r="BP63" s="32" t="str">
        <f>+IF(BP$3="","",IF($AY63="","",IFERROR(INDEX('Data Consolidada'!$E$7:$E$891,MATCH(CONCATENATE(BP$3,"-",$CP63,"-",$AY63),'Data Consolidada'!$K$7:$K$891,0)),MAX('Data Consolidada'!$E$7:$E$3000))))</f>
        <v/>
      </c>
      <c r="BQ63" s="32" t="str">
        <f>+IF(BQ$3="","",IF($AY63="","",IFERROR(INDEX('Data Consolidada'!$E$7:$E$891,MATCH(CONCATENATE(BQ$3,"-",$CP63,"-",$AY63),'Data Consolidada'!$K$7:$K$891,0)),MAX('Data Consolidada'!$E$7:$E$3000))))</f>
        <v/>
      </c>
      <c r="BR63" s="32" t="str">
        <f>+IF(BR$3="","",IF($AY63="","",IFERROR(INDEX('Data Consolidada'!$E$7:$E$891,MATCH(CONCATENATE(BR$3,"-",$CP63,"-",$AY63),'Data Consolidada'!$K$7:$K$891,0)),MAX('Data Consolidada'!$E$7:$E$3000))))</f>
        <v/>
      </c>
      <c r="BS63" s="32" t="str">
        <f>+IF(BS$3="","",IF($AY63="","",IFERROR(INDEX('Data Consolidada'!$E$7:$E$891,MATCH(CONCATENATE(BS$3,"-",$CP63,"-",$AY63),'Data Consolidada'!$K$7:$K$891,0)),MAX('Data Consolidada'!$E$7:$E$3000))))</f>
        <v/>
      </c>
      <c r="BT63" s="32" t="str">
        <f>+IF(BT$3="","",IF($AY63="","",IFERROR(INDEX('Data Consolidada'!$E$7:$E$891,MATCH(CONCATENATE(BT$3,"-",$CP63,"-",$AY63),'Data Consolidada'!$K$7:$K$891,0)),MAX('Data Consolidada'!$E$7:$E$3000))))</f>
        <v/>
      </c>
      <c r="BU63" s="32" t="str">
        <f>+IF(BU$3="","",IF($AY63="","",IFERROR(INDEX('Data Consolidada'!$E$7:$E$891,MATCH(CONCATENATE(BU$3,"-",$CP63,"-",$AY63),'Data Consolidada'!$K$7:$K$891,0)),MAX('Data Consolidada'!$E$7:$E$3000))))</f>
        <v/>
      </c>
      <c r="BV63" s="32" t="str">
        <f>+IF(BV$3="","",IF($AY63="","",IFERROR(INDEX('Data Consolidada'!$E$7:$E$891,MATCH(CONCATENATE(BV$3,"-",$CP63,"-",$AY63),'Data Consolidada'!$K$7:$K$891,0)),MAX('Data Consolidada'!$E$7:$E$3000))))</f>
        <v/>
      </c>
      <c r="BW63" s="32" t="str">
        <f>+IF(BW$3="","",IF($AY63="","",IFERROR(INDEX('Data Consolidada'!$E$7:$E$891,MATCH(CONCATENATE(BW$3,"-",$CP63,"-",$AY63),'Data Consolidada'!$K$7:$K$891,0)),MAX('Data Consolidada'!$E$7:$E$3000))))</f>
        <v/>
      </c>
      <c r="BX63" s="32" t="str">
        <f>+IF(BX$3="","",IF($AY63="","",IFERROR(INDEX('Data Consolidada'!$E$7:$E$891,MATCH(CONCATENATE(BX$3,"-",$CP63,"-",$AY63),'Data Consolidada'!$K$7:$K$891,0)),MAX('Data Consolidada'!$E$7:$E$3000))))</f>
        <v/>
      </c>
      <c r="BY63" s="32" t="str">
        <f>+IF(BY$3="","",IF($AY63="","",IFERROR(INDEX('Data Consolidada'!$E$7:$E$891,MATCH(CONCATENATE(BY$3,"-",$CP63,"-",$AY63),'Data Consolidada'!$K$7:$K$891,0)),MAX('Data Consolidada'!$E$7:$E$3000))))</f>
        <v/>
      </c>
      <c r="BZ63" s="32" t="str">
        <f>+IF(BZ$3="","",IF($AY63="","",IFERROR(INDEX('Data Consolidada'!$E$7:$E$891,MATCH(CONCATENATE(BZ$3,"-",$CP63,"-",$AY63),'Data Consolidada'!$K$7:$K$891,0)),MAX('Data Consolidada'!$E$7:$E$3000))))</f>
        <v/>
      </c>
      <c r="CA63" s="32" t="str">
        <f>+IF(CA$3="","",IF($AY63="","",IFERROR(INDEX('Data Consolidada'!$E$7:$E$891,MATCH(CONCATENATE(CA$3,"-",$CP63,"-",$AY63),'Data Consolidada'!$K$7:$K$891,0)),MAX('Data Consolidada'!$E$7:$E$3000))))</f>
        <v/>
      </c>
      <c r="CB63" s="32" t="str">
        <f>+IF(CB$3="","",IF($AY63="","",IFERROR(INDEX('Data Consolidada'!$E$7:$E$891,MATCH(CONCATENATE(CB$3,"-",$CP63,"-",$AY63),'Data Consolidada'!$K$7:$K$891,0)),MAX('Data Consolidada'!$E$7:$E$3000))))</f>
        <v/>
      </c>
      <c r="CC63" s="32" t="str">
        <f>+IF(CC$3="","",IF($AY63="","",IFERROR(INDEX('Data Consolidada'!$E$7:$E$891,MATCH(CONCATENATE(CC$3,"-",$CP63,"-",$AY63),'Data Consolidada'!$K$7:$K$891,0)),MAX('Data Consolidada'!$E$7:$E$3000))))</f>
        <v/>
      </c>
      <c r="CD63" s="32" t="str">
        <f>+IF(CD$3="","",IF($AY63="","",IFERROR(INDEX('Data Consolidada'!$E$7:$E$891,MATCH(CONCATENATE(CD$3,"-",$CP63,"-",$AY63),'Data Consolidada'!$K$7:$K$891,0)),MAX('Data Consolidada'!$E$7:$E$3000))))</f>
        <v/>
      </c>
      <c r="CE63" s="32" t="str">
        <f>+IF(CE$3="","",IF($AY63="","",IFERROR(INDEX('Data Consolidada'!$E$7:$E$891,MATCH(CONCATENATE(CE$3,"-",$CP63,"-",$AY63),'Data Consolidada'!$K$7:$K$891,0)),MAX('Data Consolidada'!$E$7:$E$3000))))</f>
        <v/>
      </c>
      <c r="CF63" s="32" t="str">
        <f>+IF(CF$3="","",IF($AY63="","",IFERROR(INDEX('Data Consolidada'!$E$7:$E$891,MATCH(CONCATENATE(CF$3,"-",$CP63,"-",$AY63),'Data Consolidada'!$K$7:$K$891,0)),MAX('Data Consolidada'!$E$7:$E$3000))))</f>
        <v/>
      </c>
      <c r="CG63" s="32" t="str">
        <f>+IF(CG$3="","",IF($AY63="","",IFERROR(INDEX('Data Consolidada'!$E$7:$E$891,MATCH(CONCATENATE(CG$3,"-",$CP63,"-",$AY63),'Data Consolidada'!$K$7:$K$891,0)),MAX('Data Consolidada'!$E$7:$E$3000))))</f>
        <v/>
      </c>
      <c r="CH63" s="32" t="str">
        <f>+IF(CH$3="","",IF($AY63="","",IFERROR(INDEX('Data Consolidada'!$E$7:$E$891,MATCH(CONCATENATE(CH$3,"-",$CP63,"-",$AY63),'Data Consolidada'!$K$7:$K$891,0)),MAX('Data Consolidada'!$E$7:$E$3000))))</f>
        <v/>
      </c>
      <c r="CI63" s="32" t="str">
        <f>+IF(CI$3="","",IF($AY63="","",IFERROR(INDEX('Data Consolidada'!$E$7:$E$891,MATCH(CONCATENATE(CI$3,"-",$CP63,"-",$AY63),'Data Consolidada'!$K$7:$K$891,0)),MAX('Data Consolidada'!$E$7:$E$3000))))</f>
        <v/>
      </c>
      <c r="CJ63" s="32" t="str">
        <f>+IF(CJ$3="","",IF($AY63="","",IFERROR(INDEX('Data Consolidada'!$E$7:$E$891,MATCH(CONCATENATE(CJ$3,"-",$CP63,"-",$AY63),'Data Consolidada'!$K$7:$K$891,0)),MAX('Data Consolidada'!$E$7:$E$3000))))</f>
        <v/>
      </c>
      <c r="CK63" s="32" t="str">
        <f>+IF(CK$3="","",IF($AY63="","",IFERROR(INDEX('Data Consolidada'!$E$7:$E$891,MATCH(CONCATENATE(CK$3,"-",$CP63,"-",$AY63),'Data Consolidada'!$K$7:$K$891,0)),MAX('Data Consolidada'!$E$7:$E$3000))))</f>
        <v/>
      </c>
      <c r="CL63" s="32" t="str">
        <f>+IF(CL$3="","",IF($AY63="","",IFERROR(INDEX('Data Consolidada'!$E$7:$E$891,MATCH(CONCATENATE(CL$3,"-",$CP63,"-",$AY63),'Data Consolidada'!$K$7:$K$891,0)),MAX('Data Consolidada'!$E$7:$E$3000))))</f>
        <v/>
      </c>
      <c r="CM63" s="32" t="str">
        <f>+IF(CM$3="","",IF($AY63="","",IFERROR(INDEX('Data Consolidada'!$E$7:$E$891,MATCH(CONCATENATE(CM$3,"-",$CP63,"-",$AY63),'Data Consolidada'!$K$7:$K$891,0)),MAX('Data Consolidada'!$E$7:$E$3000))))</f>
        <v/>
      </c>
      <c r="CN63" s="32" t="str">
        <f>+IF(CN$3="","",IF($AY63="","",IFERROR(INDEX('Data Consolidada'!$E$7:$E$891,MATCH(CONCATENATE(CN$3,"-",$CP63,"-",$AY63),'Data Consolidada'!$K$7:$K$891,0)),MAX('Data Consolidada'!$E$7:$E$3000))))</f>
        <v/>
      </c>
      <c r="CO63" s="37" t="str">
        <f>+IF(CO$3="","",IF($AY63="","",IFERROR(INDEX('Data Consolidada'!$E$7:$E$891,MATCH(CONCATENATE(CO$3,"-",$CP63,"-",$AY63),'Data Consolidada'!$K$7:$K$891,0)),MAX('Data Consolidada'!$E$7:$E$3000))))</f>
        <v/>
      </c>
      <c r="CP63" s="224">
        <f t="shared" ca="1" si="2"/>
        <v>0</v>
      </c>
      <c r="CQ63" s="84" t="str">
        <f t="shared" ca="1" si="3"/>
        <v>PAULA0</v>
      </c>
    </row>
    <row r="64" spans="2:95" ht="15" customHeight="1" x14ac:dyDescent="0.35">
      <c r="B64" s="46"/>
      <c r="C64" s="5"/>
      <c r="D64" s="15"/>
      <c r="E64" s="53"/>
      <c r="F64" s="257"/>
      <c r="G64" s="14"/>
      <c r="H64" s="204"/>
      <c r="I64" s="267" t="str">
        <f t="shared" si="21"/>
        <v/>
      </c>
      <c r="J64" s="268" t="str">
        <f t="shared" si="22"/>
        <v/>
      </c>
      <c r="K64" s="268" t="str">
        <f t="shared" si="23"/>
        <v/>
      </c>
      <c r="L64" s="268" t="str">
        <f t="shared" si="24"/>
        <v/>
      </c>
      <c r="M64" s="268" t="str">
        <f t="shared" si="25"/>
        <v/>
      </c>
      <c r="N64" s="268" t="str">
        <f t="shared" si="26"/>
        <v/>
      </c>
      <c r="O64" s="268" t="str">
        <f t="shared" si="27"/>
        <v/>
      </c>
      <c r="P64" s="268" t="str">
        <f t="shared" si="28"/>
        <v/>
      </c>
      <c r="Q64" s="268" t="str">
        <f t="shared" si="29"/>
        <v/>
      </c>
      <c r="R64" s="268" t="str">
        <f t="shared" si="30"/>
        <v/>
      </c>
      <c r="S64" s="268" t="str">
        <f t="shared" si="31"/>
        <v/>
      </c>
      <c r="T64" s="268" t="str">
        <f t="shared" si="32"/>
        <v/>
      </c>
      <c r="U64" s="268" t="str">
        <f t="shared" si="33"/>
        <v/>
      </c>
      <c r="V64" s="269" t="str">
        <f t="shared" si="34"/>
        <v/>
      </c>
      <c r="W64" s="55" cm="1">
        <f t="array" ref="W64">+IFERROR(_xlfn.IFS(F64="Totes",IF(I64="",0,ROUNDUP(I64*$I$11/$G$9,0))+IF(J64="",0,ROUNDUP(J64*$J$11/$G$9,0))+IF(K64="",0,ROUNDUP(K64*$K$11/$G$9,0))+IF(L64="",0,ROUNDUP(L64*$L$11/$G$9,0))+IF(M64="",0,ROUNDUP(M64*$M$11/$G$9,0))+IF(N64="",0,ROUNDUP(N64*$N$11/$G$9,0))+IF(O64="",0,ROUNDUP(O64*$O$11/$G$9,0))+IF(P64="",0,ROUNDUP(P64*$P$11/$G$9,0))+IF(Q64="",0,ROUNDUP(Q64*$Q$11/$G$9,0))+IF(R64="",0,ROUNDUP(R64*$R$11/$G$9,0))+IF(S64="",0,ROUNDUP(S64*$S$11/$G$9,0))+IF(T64="",0,ROUNDUP(T64*$T$11/$G$9,0))+IF(U64="",0,ROUNDUP(U64*$U$11/$G$9,0))+IF(V64="",0,ROUNDUP(V64*$V$11/$G$9,0)),F64="Mini Bins",IF(I64="",0,ROUNDUP(I64*$I$11/$J$6,0))+IF(J64="",0,ROUNDUP(J64*$J$11/$J$6,0))+IF(K64="",0,ROUNDUP(K64*$K$11/$J$6,0))+IF(L64="",0,ROUNDUP(L64*$L$11/$J$6,0))+IF(M64="",0,ROUNDUP(M64*$M$11/$J$6,0))+IF(N64="",0,ROUNDUP(N64*$N$11/$J$6,0))+IF(O64="",0,ROUNDUP(O64*$O$11/$J$6,0))+IF(P64="",0,ROUNDUP(P64*$P$11/$J$6,0))+IF(Q64="",0,ROUNDUP(Q64*$Q$11/$J$6,0))+IF(R64="",0,ROUNDUP(R64*$R$11/$J$6,0))+IF(S64="",0,ROUNDUP(S64*$S$11/$J$6,0))+IF(T64="",0,ROUNDUP(T64*$T$11/$J$6,0))+IF(U64="",0,ROUNDUP(U64*$U$11/$J$6,0))+IF(V64="",0,ROUNDUP(V64*$V$11/$J$6,0))),0)</f>
        <v>0</v>
      </c>
      <c r="X64" s="254">
        <f t="shared" si="35"/>
        <v>0</v>
      </c>
      <c r="Z64" s="245"/>
      <c r="AA64" s="247"/>
      <c r="AB64" s="254" cm="1">
        <f t="array" aca="1" ref="AB64" ca="1">+SUM(IF($B$72:$B$217=Z64,$C$72:$AR$217))</f>
        <v>0</v>
      </c>
      <c r="AC64" s="211">
        <f t="shared" ca="1" si="4"/>
        <v>0</v>
      </c>
      <c r="AD64" s="43"/>
      <c r="AE64" s="43"/>
      <c r="AF64" s="43"/>
      <c r="AG64" s="43"/>
      <c r="AW64" s="13">
        <f>+IF(AX64="","",IF(AX64&gt;AX63,AW63,IF(AW63&lt;$D$69,AW63+1,IF(COUNT(AW$4:AW63)&lt;$B$69*$E$54,1,""))))</f>
        <v>5</v>
      </c>
      <c r="AX64" s="13">
        <f>+IF(AX63&lt;$B$69,AX63+1,IF(COUNT(AX$4:AX63)&lt;$B$69*$D$69,1,""))</f>
        <v>9</v>
      </c>
      <c r="AY64" s="189" t="str">
        <f t="shared" ca="1" si="1"/>
        <v>TH TRANSPORTES</v>
      </c>
      <c r="AZ64" s="36">
        <f ca="1">+IF(AZ$3="","",IF($AY64="","",IFERROR(INDEX('Data Consolidada'!$E$7:$E$891,MATCH(CONCATENATE(AZ$3,"-",$CP64,"-",$AY64),'Data Consolidada'!$K$7:$K$891,0)),MAX('Data Consolidada'!$E$7:$E$3000))))</f>
        <v>11000000</v>
      </c>
      <c r="BA64" s="32">
        <f ca="1">+IF(BA$3="","",IF($AY64="","",IFERROR(INDEX('Data Consolidada'!$E$7:$E$891,MATCH(CONCATENATE(BA$3,"-",$CP64,"-",$AY64),'Data Consolidada'!$K$7:$K$891,0)),MAX('Data Consolidada'!$E$7:$E$3000))))</f>
        <v>11000000</v>
      </c>
      <c r="BB64" s="32" t="str">
        <f>+IF(BB$3="","",IF($AY64="","",IFERROR(INDEX('Data Consolidada'!$E$7:$E$891,MATCH(CONCATENATE(BB$3,"-",$CP64,"-",$AY64),'Data Consolidada'!$K$7:$K$891,0)),MAX('Data Consolidada'!$E$7:$E$3000))))</f>
        <v/>
      </c>
      <c r="BC64" s="32" t="str">
        <f>+IF(BC$3="","",IF($AY64="","",IFERROR(INDEX('Data Consolidada'!$E$7:$E$891,MATCH(CONCATENATE(BC$3,"-",$CP64,"-",$AY64),'Data Consolidada'!$K$7:$K$891,0)),MAX('Data Consolidada'!$E$7:$E$3000))))</f>
        <v/>
      </c>
      <c r="BD64" s="32" t="str">
        <f>+IF(BD$3="","",IF($AY64="","",IFERROR(INDEX('Data Consolidada'!$E$7:$E$891,MATCH(CONCATENATE(BD$3,"-",$CP64,"-",$AY64),'Data Consolidada'!$K$7:$K$891,0)),MAX('Data Consolidada'!$E$7:$E$3000))))</f>
        <v/>
      </c>
      <c r="BE64" s="32" t="str">
        <f>+IF(BE$3="","",IF($AY64="","",IFERROR(INDEX('Data Consolidada'!$E$7:$E$891,MATCH(CONCATENATE(BE$3,"-",$CP64,"-",$AY64),'Data Consolidada'!$K$7:$K$891,0)),MAX('Data Consolidada'!$E$7:$E$3000))))</f>
        <v/>
      </c>
      <c r="BF64" s="32" t="str">
        <f>+IF(BF$3="","",IF($AY64="","",IFERROR(INDEX('Data Consolidada'!$E$7:$E$891,MATCH(CONCATENATE(BF$3,"-",$CP64,"-",$AY64),'Data Consolidada'!$K$7:$K$891,0)),MAX('Data Consolidada'!$E$7:$E$3000))))</f>
        <v/>
      </c>
      <c r="BG64" s="32" t="str">
        <f>+IF(BG$3="","",IF($AY64="","",IFERROR(INDEX('Data Consolidada'!$E$7:$E$891,MATCH(CONCATENATE(BG$3,"-",$CP64,"-",$AY64),'Data Consolidada'!$K$7:$K$891,0)),MAX('Data Consolidada'!$E$7:$E$3000))))</f>
        <v/>
      </c>
      <c r="BH64" s="32" t="str">
        <f>+IF(BH$3="","",IF($AY64="","",IFERROR(INDEX('Data Consolidada'!$E$7:$E$891,MATCH(CONCATENATE(BH$3,"-",$CP64,"-",$AY64),'Data Consolidada'!$K$7:$K$891,0)),MAX('Data Consolidada'!$E$7:$E$3000))))</f>
        <v/>
      </c>
      <c r="BI64" s="32" t="str">
        <f>+IF(BI$3="","",IF($AY64="","",IFERROR(INDEX('Data Consolidada'!$E$7:$E$891,MATCH(CONCATENATE(BI$3,"-",$CP64,"-",$AY64),'Data Consolidada'!$K$7:$K$891,0)),MAX('Data Consolidada'!$E$7:$E$3000))))</f>
        <v/>
      </c>
      <c r="BJ64" s="32" t="str">
        <f>+IF(BJ$3="","",IF($AY64="","",IFERROR(INDEX('Data Consolidada'!$E$7:$E$891,MATCH(CONCATENATE(BJ$3,"-",$CP64,"-",$AY64),'Data Consolidada'!$K$7:$K$891,0)),MAX('Data Consolidada'!$E$7:$E$3000))))</f>
        <v/>
      </c>
      <c r="BK64" s="32" t="str">
        <f>+IF(BK$3="","",IF($AY64="","",IFERROR(INDEX('Data Consolidada'!$E$7:$E$891,MATCH(CONCATENATE(BK$3,"-",$CP64,"-",$AY64),'Data Consolidada'!$K$7:$K$891,0)),MAX('Data Consolidada'!$E$7:$E$3000))))</f>
        <v/>
      </c>
      <c r="BL64" s="32" t="str">
        <f>+IF(BL$3="","",IF($AY64="","",IFERROR(INDEX('Data Consolidada'!$E$7:$E$891,MATCH(CONCATENATE(BL$3,"-",$CP64,"-",$AY64),'Data Consolidada'!$K$7:$K$891,0)),MAX('Data Consolidada'!$E$7:$E$3000))))</f>
        <v/>
      </c>
      <c r="BM64" s="32" t="str">
        <f>+IF(BM$3="","",IF($AY64="","",IFERROR(INDEX('Data Consolidada'!$E$7:$E$891,MATCH(CONCATENATE(BM$3,"-",$CP64,"-",$AY64),'Data Consolidada'!$K$7:$K$891,0)),MAX('Data Consolidada'!$E$7:$E$3000))))</f>
        <v/>
      </c>
      <c r="BN64" s="32" t="str">
        <f>+IF(BN$3="","",IF($AY64="","",IFERROR(INDEX('Data Consolidada'!$E$7:$E$891,MATCH(CONCATENATE(BN$3,"-",$CP64,"-",$AY64),'Data Consolidada'!$K$7:$K$891,0)),MAX('Data Consolidada'!$E$7:$E$3000))))</f>
        <v/>
      </c>
      <c r="BO64" s="32" t="str">
        <f>+IF(BO$3="","",IF($AY64="","",IFERROR(INDEX('Data Consolidada'!$E$7:$E$891,MATCH(CONCATENATE(BO$3,"-",$CP64,"-",$AY64),'Data Consolidada'!$K$7:$K$891,0)),MAX('Data Consolidada'!$E$7:$E$3000))))</f>
        <v/>
      </c>
      <c r="BP64" s="32" t="str">
        <f>+IF(BP$3="","",IF($AY64="","",IFERROR(INDEX('Data Consolidada'!$E$7:$E$891,MATCH(CONCATENATE(BP$3,"-",$CP64,"-",$AY64),'Data Consolidada'!$K$7:$K$891,0)),MAX('Data Consolidada'!$E$7:$E$3000))))</f>
        <v/>
      </c>
      <c r="BQ64" s="32" t="str">
        <f>+IF(BQ$3="","",IF($AY64="","",IFERROR(INDEX('Data Consolidada'!$E$7:$E$891,MATCH(CONCATENATE(BQ$3,"-",$CP64,"-",$AY64),'Data Consolidada'!$K$7:$K$891,0)),MAX('Data Consolidada'!$E$7:$E$3000))))</f>
        <v/>
      </c>
      <c r="BR64" s="32" t="str">
        <f>+IF(BR$3="","",IF($AY64="","",IFERROR(INDEX('Data Consolidada'!$E$7:$E$891,MATCH(CONCATENATE(BR$3,"-",$CP64,"-",$AY64),'Data Consolidada'!$K$7:$K$891,0)),MAX('Data Consolidada'!$E$7:$E$3000))))</f>
        <v/>
      </c>
      <c r="BS64" s="32" t="str">
        <f>+IF(BS$3="","",IF($AY64="","",IFERROR(INDEX('Data Consolidada'!$E$7:$E$891,MATCH(CONCATENATE(BS$3,"-",$CP64,"-",$AY64),'Data Consolidada'!$K$7:$K$891,0)),MAX('Data Consolidada'!$E$7:$E$3000))))</f>
        <v/>
      </c>
      <c r="BT64" s="32" t="str">
        <f>+IF(BT$3="","",IF($AY64="","",IFERROR(INDEX('Data Consolidada'!$E$7:$E$891,MATCH(CONCATENATE(BT$3,"-",$CP64,"-",$AY64),'Data Consolidada'!$K$7:$K$891,0)),MAX('Data Consolidada'!$E$7:$E$3000))))</f>
        <v/>
      </c>
      <c r="BU64" s="32" t="str">
        <f>+IF(BU$3="","",IF($AY64="","",IFERROR(INDEX('Data Consolidada'!$E$7:$E$891,MATCH(CONCATENATE(BU$3,"-",$CP64,"-",$AY64),'Data Consolidada'!$K$7:$K$891,0)),MAX('Data Consolidada'!$E$7:$E$3000))))</f>
        <v/>
      </c>
      <c r="BV64" s="32" t="str">
        <f>+IF(BV$3="","",IF($AY64="","",IFERROR(INDEX('Data Consolidada'!$E$7:$E$891,MATCH(CONCATENATE(BV$3,"-",$CP64,"-",$AY64),'Data Consolidada'!$K$7:$K$891,0)),MAX('Data Consolidada'!$E$7:$E$3000))))</f>
        <v/>
      </c>
      <c r="BW64" s="32" t="str">
        <f>+IF(BW$3="","",IF($AY64="","",IFERROR(INDEX('Data Consolidada'!$E$7:$E$891,MATCH(CONCATENATE(BW$3,"-",$CP64,"-",$AY64),'Data Consolidada'!$K$7:$K$891,0)),MAX('Data Consolidada'!$E$7:$E$3000))))</f>
        <v/>
      </c>
      <c r="BX64" s="32" t="str">
        <f>+IF(BX$3="","",IF($AY64="","",IFERROR(INDEX('Data Consolidada'!$E$7:$E$891,MATCH(CONCATENATE(BX$3,"-",$CP64,"-",$AY64),'Data Consolidada'!$K$7:$K$891,0)),MAX('Data Consolidada'!$E$7:$E$3000))))</f>
        <v/>
      </c>
      <c r="BY64" s="32" t="str">
        <f>+IF(BY$3="","",IF($AY64="","",IFERROR(INDEX('Data Consolidada'!$E$7:$E$891,MATCH(CONCATENATE(BY$3,"-",$CP64,"-",$AY64),'Data Consolidada'!$K$7:$K$891,0)),MAX('Data Consolidada'!$E$7:$E$3000))))</f>
        <v/>
      </c>
      <c r="BZ64" s="32" t="str">
        <f>+IF(BZ$3="","",IF($AY64="","",IFERROR(INDEX('Data Consolidada'!$E$7:$E$891,MATCH(CONCATENATE(BZ$3,"-",$CP64,"-",$AY64),'Data Consolidada'!$K$7:$K$891,0)),MAX('Data Consolidada'!$E$7:$E$3000))))</f>
        <v/>
      </c>
      <c r="CA64" s="32" t="str">
        <f>+IF(CA$3="","",IF($AY64="","",IFERROR(INDEX('Data Consolidada'!$E$7:$E$891,MATCH(CONCATENATE(CA$3,"-",$CP64,"-",$AY64),'Data Consolidada'!$K$7:$K$891,0)),MAX('Data Consolidada'!$E$7:$E$3000))))</f>
        <v/>
      </c>
      <c r="CB64" s="32" t="str">
        <f>+IF(CB$3="","",IF($AY64="","",IFERROR(INDEX('Data Consolidada'!$E$7:$E$891,MATCH(CONCATENATE(CB$3,"-",$CP64,"-",$AY64),'Data Consolidada'!$K$7:$K$891,0)),MAX('Data Consolidada'!$E$7:$E$3000))))</f>
        <v/>
      </c>
      <c r="CC64" s="32" t="str">
        <f>+IF(CC$3="","",IF($AY64="","",IFERROR(INDEX('Data Consolidada'!$E$7:$E$891,MATCH(CONCATENATE(CC$3,"-",$CP64,"-",$AY64),'Data Consolidada'!$K$7:$K$891,0)),MAX('Data Consolidada'!$E$7:$E$3000))))</f>
        <v/>
      </c>
      <c r="CD64" s="32" t="str">
        <f>+IF(CD$3="","",IF($AY64="","",IFERROR(INDEX('Data Consolidada'!$E$7:$E$891,MATCH(CONCATENATE(CD$3,"-",$CP64,"-",$AY64),'Data Consolidada'!$K$7:$K$891,0)),MAX('Data Consolidada'!$E$7:$E$3000))))</f>
        <v/>
      </c>
      <c r="CE64" s="32" t="str">
        <f>+IF(CE$3="","",IF($AY64="","",IFERROR(INDEX('Data Consolidada'!$E$7:$E$891,MATCH(CONCATENATE(CE$3,"-",$CP64,"-",$AY64),'Data Consolidada'!$K$7:$K$891,0)),MAX('Data Consolidada'!$E$7:$E$3000))))</f>
        <v/>
      </c>
      <c r="CF64" s="32" t="str">
        <f>+IF(CF$3="","",IF($AY64="","",IFERROR(INDEX('Data Consolidada'!$E$7:$E$891,MATCH(CONCATENATE(CF$3,"-",$CP64,"-",$AY64),'Data Consolidada'!$K$7:$K$891,0)),MAX('Data Consolidada'!$E$7:$E$3000))))</f>
        <v/>
      </c>
      <c r="CG64" s="32" t="str">
        <f>+IF(CG$3="","",IF($AY64="","",IFERROR(INDEX('Data Consolidada'!$E$7:$E$891,MATCH(CONCATENATE(CG$3,"-",$CP64,"-",$AY64),'Data Consolidada'!$K$7:$K$891,0)),MAX('Data Consolidada'!$E$7:$E$3000))))</f>
        <v/>
      </c>
      <c r="CH64" s="32" t="str">
        <f>+IF(CH$3="","",IF($AY64="","",IFERROR(INDEX('Data Consolidada'!$E$7:$E$891,MATCH(CONCATENATE(CH$3,"-",$CP64,"-",$AY64),'Data Consolidada'!$K$7:$K$891,0)),MAX('Data Consolidada'!$E$7:$E$3000))))</f>
        <v/>
      </c>
      <c r="CI64" s="32" t="str">
        <f>+IF(CI$3="","",IF($AY64="","",IFERROR(INDEX('Data Consolidada'!$E$7:$E$891,MATCH(CONCATENATE(CI$3,"-",$CP64,"-",$AY64),'Data Consolidada'!$K$7:$K$891,0)),MAX('Data Consolidada'!$E$7:$E$3000))))</f>
        <v/>
      </c>
      <c r="CJ64" s="32" t="str">
        <f>+IF(CJ$3="","",IF($AY64="","",IFERROR(INDEX('Data Consolidada'!$E$7:$E$891,MATCH(CONCATENATE(CJ$3,"-",$CP64,"-",$AY64),'Data Consolidada'!$K$7:$K$891,0)),MAX('Data Consolidada'!$E$7:$E$3000))))</f>
        <v/>
      </c>
      <c r="CK64" s="32" t="str">
        <f>+IF(CK$3="","",IF($AY64="","",IFERROR(INDEX('Data Consolidada'!$E$7:$E$891,MATCH(CONCATENATE(CK$3,"-",$CP64,"-",$AY64),'Data Consolidada'!$K$7:$K$891,0)),MAX('Data Consolidada'!$E$7:$E$3000))))</f>
        <v/>
      </c>
      <c r="CL64" s="32" t="str">
        <f>+IF(CL$3="","",IF($AY64="","",IFERROR(INDEX('Data Consolidada'!$E$7:$E$891,MATCH(CONCATENATE(CL$3,"-",$CP64,"-",$AY64),'Data Consolidada'!$K$7:$K$891,0)),MAX('Data Consolidada'!$E$7:$E$3000))))</f>
        <v/>
      </c>
      <c r="CM64" s="32" t="str">
        <f>+IF(CM$3="","",IF($AY64="","",IFERROR(INDEX('Data Consolidada'!$E$7:$E$891,MATCH(CONCATENATE(CM$3,"-",$CP64,"-",$AY64),'Data Consolidada'!$K$7:$K$891,0)),MAX('Data Consolidada'!$E$7:$E$3000))))</f>
        <v/>
      </c>
      <c r="CN64" s="32" t="str">
        <f>+IF(CN$3="","",IF($AY64="","",IFERROR(INDEX('Data Consolidada'!$E$7:$E$891,MATCH(CONCATENATE(CN$3,"-",$CP64,"-",$AY64),'Data Consolidada'!$K$7:$K$891,0)),MAX('Data Consolidada'!$E$7:$E$3000))))</f>
        <v/>
      </c>
      <c r="CO64" s="37" t="str">
        <f>+IF(CO$3="","",IF($AY64="","",IFERROR(INDEX('Data Consolidada'!$E$7:$E$891,MATCH(CONCATENATE(CO$3,"-",$CP64,"-",$AY64),'Data Consolidada'!$K$7:$K$891,0)),MAX('Data Consolidada'!$E$7:$E$3000))))</f>
        <v/>
      </c>
      <c r="CP64" s="224">
        <f t="shared" ca="1" si="2"/>
        <v>0</v>
      </c>
      <c r="CQ64" s="84" t="str">
        <f t="shared" ca="1" si="3"/>
        <v>TH TRANSPORTES0</v>
      </c>
    </row>
    <row r="65" spans="2:95" ht="15" customHeight="1" x14ac:dyDescent="0.35">
      <c r="B65" s="46"/>
      <c r="C65" s="5"/>
      <c r="D65" s="15"/>
      <c r="E65" s="53"/>
      <c r="F65" s="257"/>
      <c r="G65" s="14"/>
      <c r="H65" s="204"/>
      <c r="I65" s="267" t="str">
        <f t="shared" si="21"/>
        <v/>
      </c>
      <c r="J65" s="268" t="str">
        <f t="shared" si="22"/>
        <v/>
      </c>
      <c r="K65" s="268" t="str">
        <f t="shared" si="23"/>
        <v/>
      </c>
      <c r="L65" s="268" t="str">
        <f t="shared" si="24"/>
        <v/>
      </c>
      <c r="M65" s="268" t="str">
        <f t="shared" si="25"/>
        <v/>
      </c>
      <c r="N65" s="268" t="str">
        <f t="shared" si="26"/>
        <v/>
      </c>
      <c r="O65" s="268" t="str">
        <f t="shared" si="27"/>
        <v/>
      </c>
      <c r="P65" s="268" t="str">
        <f t="shared" si="28"/>
        <v/>
      </c>
      <c r="Q65" s="268" t="str">
        <f t="shared" si="29"/>
        <v/>
      </c>
      <c r="R65" s="268" t="str">
        <f t="shared" si="30"/>
        <v/>
      </c>
      <c r="S65" s="268" t="str">
        <f t="shared" si="31"/>
        <v/>
      </c>
      <c r="T65" s="268" t="str">
        <f t="shared" si="32"/>
        <v/>
      </c>
      <c r="U65" s="268" t="str">
        <f t="shared" si="33"/>
        <v/>
      </c>
      <c r="V65" s="269" t="str">
        <f t="shared" si="34"/>
        <v/>
      </c>
      <c r="W65" s="55" cm="1">
        <f t="array" ref="W65">+IFERROR(_xlfn.IFS(F65="Totes",IF(I65="",0,ROUNDUP(I65*$I$11/$G$9,0))+IF(J65="",0,ROUNDUP(J65*$J$11/$G$9,0))+IF(K65="",0,ROUNDUP(K65*$K$11/$G$9,0))+IF(L65="",0,ROUNDUP(L65*$L$11/$G$9,0))+IF(M65="",0,ROUNDUP(M65*$M$11/$G$9,0))+IF(N65="",0,ROUNDUP(N65*$N$11/$G$9,0))+IF(O65="",0,ROUNDUP(O65*$O$11/$G$9,0))+IF(P65="",0,ROUNDUP(P65*$P$11/$G$9,0))+IF(Q65="",0,ROUNDUP(Q65*$Q$11/$G$9,0))+IF(R65="",0,ROUNDUP(R65*$R$11/$G$9,0))+IF(S65="",0,ROUNDUP(S65*$S$11/$G$9,0))+IF(T65="",0,ROUNDUP(T65*$T$11/$G$9,0))+IF(U65="",0,ROUNDUP(U65*$U$11/$G$9,0))+IF(V65="",0,ROUNDUP(V65*$V$11/$G$9,0)),F65="Mini Bins",IF(I65="",0,ROUNDUP(I65*$I$11/$J$6,0))+IF(J65="",0,ROUNDUP(J65*$J$11/$J$6,0))+IF(K65="",0,ROUNDUP(K65*$K$11/$J$6,0))+IF(L65="",0,ROUNDUP(L65*$L$11/$J$6,0))+IF(M65="",0,ROUNDUP(M65*$M$11/$J$6,0))+IF(N65="",0,ROUNDUP(N65*$N$11/$J$6,0))+IF(O65="",0,ROUNDUP(O65*$O$11/$J$6,0))+IF(P65="",0,ROUNDUP(P65*$P$11/$J$6,0))+IF(Q65="",0,ROUNDUP(Q65*$Q$11/$J$6,0))+IF(R65="",0,ROUNDUP(R65*$R$11/$J$6,0))+IF(S65="",0,ROUNDUP(S65*$S$11/$J$6,0))+IF(T65="",0,ROUNDUP(T65*$T$11/$J$6,0))+IF(U65="",0,ROUNDUP(U65*$U$11/$J$6,0))+IF(V65="",0,ROUNDUP(V65*$V$11/$J$6,0))),0)</f>
        <v>0</v>
      </c>
      <c r="X65" s="254">
        <f t="shared" si="35"/>
        <v>0</v>
      </c>
      <c r="Z65" s="245"/>
      <c r="AA65" s="247"/>
      <c r="AB65" s="254" cm="1">
        <f t="array" aca="1" ref="AB65" ca="1">+SUM(IF($B$72:$B$217=Z65,$C$72:$AR$217))</f>
        <v>0</v>
      </c>
      <c r="AC65" s="211">
        <f t="shared" ca="1" si="4"/>
        <v>0</v>
      </c>
      <c r="AD65" s="43"/>
      <c r="AE65" s="43"/>
      <c r="AF65" s="43"/>
      <c r="AG65" s="43"/>
      <c r="AW65" s="13">
        <f>+IF(AX65="","",IF(AX65&gt;AX64,AW64,IF(AW64&lt;$D$69,AW64+1,IF(COUNT(AW$4:AW64)&lt;$B$69*$E$54,1,""))))</f>
        <v>5</v>
      </c>
      <c r="AX65" s="13">
        <f>+IF(AX64&lt;$B$69,AX64+1,IF(COUNT(AX$4:AX64)&lt;$B$69*$D$69,1,""))</f>
        <v>10</v>
      </c>
      <c r="AY65" s="189" t="str">
        <f t="shared" ca="1" si="1"/>
        <v>TRAIDILL</v>
      </c>
      <c r="AZ65" s="36">
        <f ca="1">+IF(AZ$3="","",IF($AY65="","",IFERROR(INDEX('Data Consolidada'!$E$7:$E$891,MATCH(CONCATENATE(AZ$3,"-",$CP65,"-",$AY65),'Data Consolidada'!$K$7:$K$891,0)),MAX('Data Consolidada'!$E$7:$E$3000))))</f>
        <v>11000000</v>
      </c>
      <c r="BA65" s="32">
        <f ca="1">+IF(BA$3="","",IF($AY65="","",IFERROR(INDEX('Data Consolidada'!$E$7:$E$891,MATCH(CONCATENATE(BA$3,"-",$CP65,"-",$AY65),'Data Consolidada'!$K$7:$K$891,0)),MAX('Data Consolidada'!$E$7:$E$3000))))</f>
        <v>11000000</v>
      </c>
      <c r="BB65" s="32" t="str">
        <f>+IF(BB$3="","",IF($AY65="","",IFERROR(INDEX('Data Consolidada'!$E$7:$E$891,MATCH(CONCATENATE(BB$3,"-",$CP65,"-",$AY65),'Data Consolidada'!$K$7:$K$891,0)),MAX('Data Consolidada'!$E$7:$E$3000))))</f>
        <v/>
      </c>
      <c r="BC65" s="32" t="str">
        <f>+IF(BC$3="","",IF($AY65="","",IFERROR(INDEX('Data Consolidada'!$E$7:$E$891,MATCH(CONCATENATE(BC$3,"-",$CP65,"-",$AY65),'Data Consolidada'!$K$7:$K$891,0)),MAX('Data Consolidada'!$E$7:$E$3000))))</f>
        <v/>
      </c>
      <c r="BD65" s="32" t="str">
        <f>+IF(BD$3="","",IF($AY65="","",IFERROR(INDEX('Data Consolidada'!$E$7:$E$891,MATCH(CONCATENATE(BD$3,"-",$CP65,"-",$AY65),'Data Consolidada'!$K$7:$K$891,0)),MAX('Data Consolidada'!$E$7:$E$3000))))</f>
        <v/>
      </c>
      <c r="BE65" s="32" t="str">
        <f>+IF(BE$3="","",IF($AY65="","",IFERROR(INDEX('Data Consolidada'!$E$7:$E$891,MATCH(CONCATENATE(BE$3,"-",$CP65,"-",$AY65),'Data Consolidada'!$K$7:$K$891,0)),MAX('Data Consolidada'!$E$7:$E$3000))))</f>
        <v/>
      </c>
      <c r="BF65" s="32" t="str">
        <f>+IF(BF$3="","",IF($AY65="","",IFERROR(INDEX('Data Consolidada'!$E$7:$E$891,MATCH(CONCATENATE(BF$3,"-",$CP65,"-",$AY65),'Data Consolidada'!$K$7:$K$891,0)),MAX('Data Consolidada'!$E$7:$E$3000))))</f>
        <v/>
      </c>
      <c r="BG65" s="32" t="str">
        <f>+IF(BG$3="","",IF($AY65="","",IFERROR(INDEX('Data Consolidada'!$E$7:$E$891,MATCH(CONCATENATE(BG$3,"-",$CP65,"-",$AY65),'Data Consolidada'!$K$7:$K$891,0)),MAX('Data Consolidada'!$E$7:$E$3000))))</f>
        <v/>
      </c>
      <c r="BH65" s="32" t="str">
        <f>+IF(BH$3="","",IF($AY65="","",IFERROR(INDEX('Data Consolidada'!$E$7:$E$891,MATCH(CONCATENATE(BH$3,"-",$CP65,"-",$AY65),'Data Consolidada'!$K$7:$K$891,0)),MAX('Data Consolidada'!$E$7:$E$3000))))</f>
        <v/>
      </c>
      <c r="BI65" s="32" t="str">
        <f>+IF(BI$3="","",IF($AY65="","",IFERROR(INDEX('Data Consolidada'!$E$7:$E$891,MATCH(CONCATENATE(BI$3,"-",$CP65,"-",$AY65),'Data Consolidada'!$K$7:$K$891,0)),MAX('Data Consolidada'!$E$7:$E$3000))))</f>
        <v/>
      </c>
      <c r="BJ65" s="32" t="str">
        <f>+IF(BJ$3="","",IF($AY65="","",IFERROR(INDEX('Data Consolidada'!$E$7:$E$891,MATCH(CONCATENATE(BJ$3,"-",$CP65,"-",$AY65),'Data Consolidada'!$K$7:$K$891,0)),MAX('Data Consolidada'!$E$7:$E$3000))))</f>
        <v/>
      </c>
      <c r="BK65" s="32" t="str">
        <f>+IF(BK$3="","",IF($AY65="","",IFERROR(INDEX('Data Consolidada'!$E$7:$E$891,MATCH(CONCATENATE(BK$3,"-",$CP65,"-",$AY65),'Data Consolidada'!$K$7:$K$891,0)),MAX('Data Consolidada'!$E$7:$E$3000))))</f>
        <v/>
      </c>
      <c r="BL65" s="32" t="str">
        <f>+IF(BL$3="","",IF($AY65="","",IFERROR(INDEX('Data Consolidada'!$E$7:$E$891,MATCH(CONCATENATE(BL$3,"-",$CP65,"-",$AY65),'Data Consolidada'!$K$7:$K$891,0)),MAX('Data Consolidada'!$E$7:$E$3000))))</f>
        <v/>
      </c>
      <c r="BM65" s="32" t="str">
        <f>+IF(BM$3="","",IF($AY65="","",IFERROR(INDEX('Data Consolidada'!$E$7:$E$891,MATCH(CONCATENATE(BM$3,"-",$CP65,"-",$AY65),'Data Consolidada'!$K$7:$K$891,0)),MAX('Data Consolidada'!$E$7:$E$3000))))</f>
        <v/>
      </c>
      <c r="BN65" s="32" t="str">
        <f>+IF(BN$3="","",IF($AY65="","",IFERROR(INDEX('Data Consolidada'!$E$7:$E$891,MATCH(CONCATENATE(BN$3,"-",$CP65,"-",$AY65),'Data Consolidada'!$K$7:$K$891,0)),MAX('Data Consolidada'!$E$7:$E$3000))))</f>
        <v/>
      </c>
      <c r="BO65" s="32" t="str">
        <f>+IF(BO$3="","",IF($AY65="","",IFERROR(INDEX('Data Consolidada'!$E$7:$E$891,MATCH(CONCATENATE(BO$3,"-",$CP65,"-",$AY65),'Data Consolidada'!$K$7:$K$891,0)),MAX('Data Consolidada'!$E$7:$E$3000))))</f>
        <v/>
      </c>
      <c r="BP65" s="32" t="str">
        <f>+IF(BP$3="","",IF($AY65="","",IFERROR(INDEX('Data Consolidada'!$E$7:$E$891,MATCH(CONCATENATE(BP$3,"-",$CP65,"-",$AY65),'Data Consolidada'!$K$7:$K$891,0)),MAX('Data Consolidada'!$E$7:$E$3000))))</f>
        <v/>
      </c>
      <c r="BQ65" s="32" t="str">
        <f>+IF(BQ$3="","",IF($AY65="","",IFERROR(INDEX('Data Consolidada'!$E$7:$E$891,MATCH(CONCATENATE(BQ$3,"-",$CP65,"-",$AY65),'Data Consolidada'!$K$7:$K$891,0)),MAX('Data Consolidada'!$E$7:$E$3000))))</f>
        <v/>
      </c>
      <c r="BR65" s="32" t="str">
        <f>+IF(BR$3="","",IF($AY65="","",IFERROR(INDEX('Data Consolidada'!$E$7:$E$891,MATCH(CONCATENATE(BR$3,"-",$CP65,"-",$AY65),'Data Consolidada'!$K$7:$K$891,0)),MAX('Data Consolidada'!$E$7:$E$3000))))</f>
        <v/>
      </c>
      <c r="BS65" s="32" t="str">
        <f>+IF(BS$3="","",IF($AY65="","",IFERROR(INDEX('Data Consolidada'!$E$7:$E$891,MATCH(CONCATENATE(BS$3,"-",$CP65,"-",$AY65),'Data Consolidada'!$K$7:$K$891,0)),MAX('Data Consolidada'!$E$7:$E$3000))))</f>
        <v/>
      </c>
      <c r="BT65" s="32" t="str">
        <f>+IF(BT$3="","",IF($AY65="","",IFERROR(INDEX('Data Consolidada'!$E$7:$E$891,MATCH(CONCATENATE(BT$3,"-",$CP65,"-",$AY65),'Data Consolidada'!$K$7:$K$891,0)),MAX('Data Consolidada'!$E$7:$E$3000))))</f>
        <v/>
      </c>
      <c r="BU65" s="32" t="str">
        <f>+IF(BU$3="","",IF($AY65="","",IFERROR(INDEX('Data Consolidada'!$E$7:$E$891,MATCH(CONCATENATE(BU$3,"-",$CP65,"-",$AY65),'Data Consolidada'!$K$7:$K$891,0)),MAX('Data Consolidada'!$E$7:$E$3000))))</f>
        <v/>
      </c>
      <c r="BV65" s="32" t="str">
        <f>+IF(BV$3="","",IF($AY65="","",IFERROR(INDEX('Data Consolidada'!$E$7:$E$891,MATCH(CONCATENATE(BV$3,"-",$CP65,"-",$AY65),'Data Consolidada'!$K$7:$K$891,0)),MAX('Data Consolidada'!$E$7:$E$3000))))</f>
        <v/>
      </c>
      <c r="BW65" s="32" t="str">
        <f>+IF(BW$3="","",IF($AY65="","",IFERROR(INDEX('Data Consolidada'!$E$7:$E$891,MATCH(CONCATENATE(BW$3,"-",$CP65,"-",$AY65),'Data Consolidada'!$K$7:$K$891,0)),MAX('Data Consolidada'!$E$7:$E$3000))))</f>
        <v/>
      </c>
      <c r="BX65" s="32" t="str">
        <f>+IF(BX$3="","",IF($AY65="","",IFERROR(INDEX('Data Consolidada'!$E$7:$E$891,MATCH(CONCATENATE(BX$3,"-",$CP65,"-",$AY65),'Data Consolidada'!$K$7:$K$891,0)),MAX('Data Consolidada'!$E$7:$E$3000))))</f>
        <v/>
      </c>
      <c r="BY65" s="32" t="str">
        <f>+IF(BY$3="","",IF($AY65="","",IFERROR(INDEX('Data Consolidada'!$E$7:$E$891,MATCH(CONCATENATE(BY$3,"-",$CP65,"-",$AY65),'Data Consolidada'!$K$7:$K$891,0)),MAX('Data Consolidada'!$E$7:$E$3000))))</f>
        <v/>
      </c>
      <c r="BZ65" s="32" t="str">
        <f>+IF(BZ$3="","",IF($AY65="","",IFERROR(INDEX('Data Consolidada'!$E$7:$E$891,MATCH(CONCATENATE(BZ$3,"-",$CP65,"-",$AY65),'Data Consolidada'!$K$7:$K$891,0)),MAX('Data Consolidada'!$E$7:$E$3000))))</f>
        <v/>
      </c>
      <c r="CA65" s="32" t="str">
        <f>+IF(CA$3="","",IF($AY65="","",IFERROR(INDEX('Data Consolidada'!$E$7:$E$891,MATCH(CONCATENATE(CA$3,"-",$CP65,"-",$AY65),'Data Consolidada'!$K$7:$K$891,0)),MAX('Data Consolidada'!$E$7:$E$3000))))</f>
        <v/>
      </c>
      <c r="CB65" s="32" t="str">
        <f>+IF(CB$3="","",IF($AY65="","",IFERROR(INDEX('Data Consolidada'!$E$7:$E$891,MATCH(CONCATENATE(CB$3,"-",$CP65,"-",$AY65),'Data Consolidada'!$K$7:$K$891,0)),MAX('Data Consolidada'!$E$7:$E$3000))))</f>
        <v/>
      </c>
      <c r="CC65" s="32" t="str">
        <f>+IF(CC$3="","",IF($AY65="","",IFERROR(INDEX('Data Consolidada'!$E$7:$E$891,MATCH(CONCATENATE(CC$3,"-",$CP65,"-",$AY65),'Data Consolidada'!$K$7:$K$891,0)),MAX('Data Consolidada'!$E$7:$E$3000))))</f>
        <v/>
      </c>
      <c r="CD65" s="32" t="str">
        <f>+IF(CD$3="","",IF($AY65="","",IFERROR(INDEX('Data Consolidada'!$E$7:$E$891,MATCH(CONCATENATE(CD$3,"-",$CP65,"-",$AY65),'Data Consolidada'!$K$7:$K$891,0)),MAX('Data Consolidada'!$E$7:$E$3000))))</f>
        <v/>
      </c>
      <c r="CE65" s="32" t="str">
        <f>+IF(CE$3="","",IF($AY65="","",IFERROR(INDEX('Data Consolidada'!$E$7:$E$891,MATCH(CONCATENATE(CE$3,"-",$CP65,"-",$AY65),'Data Consolidada'!$K$7:$K$891,0)),MAX('Data Consolidada'!$E$7:$E$3000))))</f>
        <v/>
      </c>
      <c r="CF65" s="32" t="str">
        <f>+IF(CF$3="","",IF($AY65="","",IFERROR(INDEX('Data Consolidada'!$E$7:$E$891,MATCH(CONCATENATE(CF$3,"-",$CP65,"-",$AY65),'Data Consolidada'!$K$7:$K$891,0)),MAX('Data Consolidada'!$E$7:$E$3000))))</f>
        <v/>
      </c>
      <c r="CG65" s="32" t="str">
        <f>+IF(CG$3="","",IF($AY65="","",IFERROR(INDEX('Data Consolidada'!$E$7:$E$891,MATCH(CONCATENATE(CG$3,"-",$CP65,"-",$AY65),'Data Consolidada'!$K$7:$K$891,0)),MAX('Data Consolidada'!$E$7:$E$3000))))</f>
        <v/>
      </c>
      <c r="CH65" s="32" t="str">
        <f>+IF(CH$3="","",IF($AY65="","",IFERROR(INDEX('Data Consolidada'!$E$7:$E$891,MATCH(CONCATENATE(CH$3,"-",$CP65,"-",$AY65),'Data Consolidada'!$K$7:$K$891,0)),MAX('Data Consolidada'!$E$7:$E$3000))))</f>
        <v/>
      </c>
      <c r="CI65" s="32" t="str">
        <f>+IF(CI$3="","",IF($AY65="","",IFERROR(INDEX('Data Consolidada'!$E$7:$E$891,MATCH(CONCATENATE(CI$3,"-",$CP65,"-",$AY65),'Data Consolidada'!$K$7:$K$891,0)),MAX('Data Consolidada'!$E$7:$E$3000))))</f>
        <v/>
      </c>
      <c r="CJ65" s="32" t="str">
        <f>+IF(CJ$3="","",IF($AY65="","",IFERROR(INDEX('Data Consolidada'!$E$7:$E$891,MATCH(CONCATENATE(CJ$3,"-",$CP65,"-",$AY65),'Data Consolidada'!$K$7:$K$891,0)),MAX('Data Consolidada'!$E$7:$E$3000))))</f>
        <v/>
      </c>
      <c r="CK65" s="32" t="str">
        <f>+IF(CK$3="","",IF($AY65="","",IFERROR(INDEX('Data Consolidada'!$E$7:$E$891,MATCH(CONCATENATE(CK$3,"-",$CP65,"-",$AY65),'Data Consolidada'!$K$7:$K$891,0)),MAX('Data Consolidada'!$E$7:$E$3000))))</f>
        <v/>
      </c>
      <c r="CL65" s="32" t="str">
        <f>+IF(CL$3="","",IF($AY65="","",IFERROR(INDEX('Data Consolidada'!$E$7:$E$891,MATCH(CONCATENATE(CL$3,"-",$CP65,"-",$AY65),'Data Consolidada'!$K$7:$K$891,0)),MAX('Data Consolidada'!$E$7:$E$3000))))</f>
        <v/>
      </c>
      <c r="CM65" s="32" t="str">
        <f>+IF(CM$3="","",IF($AY65="","",IFERROR(INDEX('Data Consolidada'!$E$7:$E$891,MATCH(CONCATENATE(CM$3,"-",$CP65,"-",$AY65),'Data Consolidada'!$K$7:$K$891,0)),MAX('Data Consolidada'!$E$7:$E$3000))))</f>
        <v/>
      </c>
      <c r="CN65" s="32" t="str">
        <f>+IF(CN$3="","",IF($AY65="","",IFERROR(INDEX('Data Consolidada'!$E$7:$E$891,MATCH(CONCATENATE(CN$3,"-",$CP65,"-",$AY65),'Data Consolidada'!$K$7:$K$891,0)),MAX('Data Consolidada'!$E$7:$E$3000))))</f>
        <v/>
      </c>
      <c r="CO65" s="37" t="str">
        <f>+IF(CO$3="","",IF($AY65="","",IFERROR(INDEX('Data Consolidada'!$E$7:$E$891,MATCH(CONCATENATE(CO$3,"-",$CP65,"-",$AY65),'Data Consolidada'!$K$7:$K$891,0)),MAX('Data Consolidada'!$E$7:$E$3000))))</f>
        <v/>
      </c>
      <c r="CP65" s="224">
        <f t="shared" ca="1" si="2"/>
        <v>0</v>
      </c>
      <c r="CQ65" s="84" t="str">
        <f t="shared" ca="1" si="3"/>
        <v>TRAIDILL0</v>
      </c>
    </row>
    <row r="66" spans="2:95" ht="15" customHeight="1" x14ac:dyDescent="0.35">
      <c r="B66" s="46"/>
      <c r="C66" s="5"/>
      <c r="D66" s="15"/>
      <c r="E66" s="53"/>
      <c r="F66" s="257"/>
      <c r="G66" s="14"/>
      <c r="H66" s="204"/>
      <c r="I66" s="267" t="str">
        <f t="shared" si="21"/>
        <v/>
      </c>
      <c r="J66" s="268" t="str">
        <f t="shared" si="22"/>
        <v/>
      </c>
      <c r="K66" s="268" t="str">
        <f t="shared" si="23"/>
        <v/>
      </c>
      <c r="L66" s="268" t="str">
        <f t="shared" si="24"/>
        <v/>
      </c>
      <c r="M66" s="268" t="str">
        <f t="shared" si="25"/>
        <v/>
      </c>
      <c r="N66" s="268" t="str">
        <f t="shared" si="26"/>
        <v/>
      </c>
      <c r="O66" s="268" t="str">
        <f t="shared" si="27"/>
        <v/>
      </c>
      <c r="P66" s="268" t="str">
        <f t="shared" si="28"/>
        <v/>
      </c>
      <c r="Q66" s="268" t="str">
        <f t="shared" si="29"/>
        <v/>
      </c>
      <c r="R66" s="268" t="str">
        <f t="shared" si="30"/>
        <v/>
      </c>
      <c r="S66" s="268" t="str">
        <f t="shared" si="31"/>
        <v/>
      </c>
      <c r="T66" s="268" t="str">
        <f t="shared" si="32"/>
        <v/>
      </c>
      <c r="U66" s="268" t="str">
        <f t="shared" si="33"/>
        <v/>
      </c>
      <c r="V66" s="269" t="str">
        <f t="shared" si="34"/>
        <v/>
      </c>
      <c r="W66" s="55" cm="1">
        <f t="array" ref="W66">+IFERROR(_xlfn.IFS(F66="Totes",IF(I66="",0,ROUNDUP(I66*$I$11/$G$9,0))+IF(J66="",0,ROUNDUP(J66*$J$11/$G$9,0))+IF(K66="",0,ROUNDUP(K66*$K$11/$G$9,0))+IF(L66="",0,ROUNDUP(L66*$L$11/$G$9,0))+IF(M66="",0,ROUNDUP(M66*$M$11/$G$9,0))+IF(N66="",0,ROUNDUP(N66*$N$11/$G$9,0))+IF(O66="",0,ROUNDUP(O66*$O$11/$G$9,0))+IF(P66="",0,ROUNDUP(P66*$P$11/$G$9,0))+IF(Q66="",0,ROUNDUP(Q66*$Q$11/$G$9,0))+IF(R66="",0,ROUNDUP(R66*$R$11/$G$9,0))+IF(S66="",0,ROUNDUP(S66*$S$11/$G$9,0))+IF(T66="",0,ROUNDUP(T66*$T$11/$G$9,0))+IF(U66="",0,ROUNDUP(U66*$U$11/$G$9,0))+IF(V66="",0,ROUNDUP(V66*$V$11/$G$9,0)),F66="Mini Bins",IF(I66="",0,ROUNDUP(I66*$I$11/$J$6,0))+IF(J66="",0,ROUNDUP(J66*$J$11/$J$6,0))+IF(K66="",0,ROUNDUP(K66*$K$11/$J$6,0))+IF(L66="",0,ROUNDUP(L66*$L$11/$J$6,0))+IF(M66="",0,ROUNDUP(M66*$M$11/$J$6,0))+IF(N66="",0,ROUNDUP(N66*$N$11/$J$6,0))+IF(O66="",0,ROUNDUP(O66*$O$11/$J$6,0))+IF(P66="",0,ROUNDUP(P66*$P$11/$J$6,0))+IF(Q66="",0,ROUNDUP(Q66*$Q$11/$J$6,0))+IF(R66="",0,ROUNDUP(R66*$R$11/$J$6,0))+IF(S66="",0,ROUNDUP(S66*$S$11/$J$6,0))+IF(T66="",0,ROUNDUP(T66*$T$11/$J$6,0))+IF(U66="",0,ROUNDUP(U66*$U$11/$J$6,0))+IF(V66="",0,ROUNDUP(V66*$V$11/$J$6,0))),0)</f>
        <v>0</v>
      </c>
      <c r="X66" s="254">
        <f t="shared" si="35"/>
        <v>0</v>
      </c>
      <c r="Z66" s="245"/>
      <c r="AA66" s="247"/>
      <c r="AB66" s="254" cm="1">
        <f t="array" aca="1" ref="AB66" ca="1">+SUM(IF($B$72:$B$217=Z66,$C$72:$AR$217))</f>
        <v>0</v>
      </c>
      <c r="AC66" s="211">
        <f t="shared" ca="1" si="4"/>
        <v>0</v>
      </c>
      <c r="AD66" s="43"/>
      <c r="AE66" s="43"/>
      <c r="AF66" s="43"/>
      <c r="AG66" s="43"/>
      <c r="AW66" s="13">
        <f>+IF(AX66="","",IF(AX66&gt;AX65,AW65,IF(AW65&lt;$D$69,AW65+1,IF(COUNT(AW$4:AW65)&lt;$B$69*$E$54,1,""))))</f>
        <v>5</v>
      </c>
      <c r="AX66" s="13">
        <f>+IF(AX65&lt;$B$69,AX65+1,IF(COUNT(AX$4:AX65)&lt;$B$69*$D$69,1,""))</f>
        <v>11</v>
      </c>
      <c r="AY66" s="189" t="str">
        <f t="shared" ca="1" si="1"/>
        <v>TRANS. ALMENDRAL</v>
      </c>
      <c r="AZ66" s="36">
        <f ca="1">+IF(AZ$3="","",IF($AY66="","",IFERROR(INDEX('Data Consolidada'!$E$7:$E$891,MATCH(CONCATENATE(AZ$3,"-",$CP66,"-",$AY66),'Data Consolidada'!$K$7:$K$891,0)),MAX('Data Consolidada'!$E$7:$E$3000))))</f>
        <v>11000000</v>
      </c>
      <c r="BA66" s="32">
        <f ca="1">+IF(BA$3="","",IF($AY66="","",IFERROR(INDEX('Data Consolidada'!$E$7:$E$891,MATCH(CONCATENATE(BA$3,"-",$CP66,"-",$AY66),'Data Consolidada'!$K$7:$K$891,0)),MAX('Data Consolidada'!$E$7:$E$3000))))</f>
        <v>11000000</v>
      </c>
      <c r="BB66" s="32" t="str">
        <f>+IF(BB$3="","",IF($AY66="","",IFERROR(INDEX('Data Consolidada'!$E$7:$E$891,MATCH(CONCATENATE(BB$3,"-",$CP66,"-",$AY66),'Data Consolidada'!$K$7:$K$891,0)),MAX('Data Consolidada'!$E$7:$E$3000))))</f>
        <v/>
      </c>
      <c r="BC66" s="32" t="str">
        <f>+IF(BC$3="","",IF($AY66="","",IFERROR(INDEX('Data Consolidada'!$E$7:$E$891,MATCH(CONCATENATE(BC$3,"-",$CP66,"-",$AY66),'Data Consolidada'!$K$7:$K$891,0)),MAX('Data Consolidada'!$E$7:$E$3000))))</f>
        <v/>
      </c>
      <c r="BD66" s="32" t="str">
        <f>+IF(BD$3="","",IF($AY66="","",IFERROR(INDEX('Data Consolidada'!$E$7:$E$891,MATCH(CONCATENATE(BD$3,"-",$CP66,"-",$AY66),'Data Consolidada'!$K$7:$K$891,0)),MAX('Data Consolidada'!$E$7:$E$3000))))</f>
        <v/>
      </c>
      <c r="BE66" s="32" t="str">
        <f>+IF(BE$3="","",IF($AY66="","",IFERROR(INDEX('Data Consolidada'!$E$7:$E$891,MATCH(CONCATENATE(BE$3,"-",$CP66,"-",$AY66),'Data Consolidada'!$K$7:$K$891,0)),MAX('Data Consolidada'!$E$7:$E$3000))))</f>
        <v/>
      </c>
      <c r="BF66" s="32" t="str">
        <f>+IF(BF$3="","",IF($AY66="","",IFERROR(INDEX('Data Consolidada'!$E$7:$E$891,MATCH(CONCATENATE(BF$3,"-",$CP66,"-",$AY66),'Data Consolidada'!$K$7:$K$891,0)),MAX('Data Consolidada'!$E$7:$E$3000))))</f>
        <v/>
      </c>
      <c r="BG66" s="32" t="str">
        <f>+IF(BG$3="","",IF($AY66="","",IFERROR(INDEX('Data Consolidada'!$E$7:$E$891,MATCH(CONCATENATE(BG$3,"-",$CP66,"-",$AY66),'Data Consolidada'!$K$7:$K$891,0)),MAX('Data Consolidada'!$E$7:$E$3000))))</f>
        <v/>
      </c>
      <c r="BH66" s="32" t="str">
        <f>+IF(BH$3="","",IF($AY66="","",IFERROR(INDEX('Data Consolidada'!$E$7:$E$891,MATCH(CONCATENATE(BH$3,"-",$CP66,"-",$AY66),'Data Consolidada'!$K$7:$K$891,0)),MAX('Data Consolidada'!$E$7:$E$3000))))</f>
        <v/>
      </c>
      <c r="BI66" s="32" t="str">
        <f>+IF(BI$3="","",IF($AY66="","",IFERROR(INDEX('Data Consolidada'!$E$7:$E$891,MATCH(CONCATENATE(BI$3,"-",$CP66,"-",$AY66),'Data Consolidada'!$K$7:$K$891,0)),MAX('Data Consolidada'!$E$7:$E$3000))))</f>
        <v/>
      </c>
      <c r="BJ66" s="32" t="str">
        <f>+IF(BJ$3="","",IF($AY66="","",IFERROR(INDEX('Data Consolidada'!$E$7:$E$891,MATCH(CONCATENATE(BJ$3,"-",$CP66,"-",$AY66),'Data Consolidada'!$K$7:$K$891,0)),MAX('Data Consolidada'!$E$7:$E$3000))))</f>
        <v/>
      </c>
      <c r="BK66" s="32" t="str">
        <f>+IF(BK$3="","",IF($AY66="","",IFERROR(INDEX('Data Consolidada'!$E$7:$E$891,MATCH(CONCATENATE(BK$3,"-",$CP66,"-",$AY66),'Data Consolidada'!$K$7:$K$891,0)),MAX('Data Consolidada'!$E$7:$E$3000))))</f>
        <v/>
      </c>
      <c r="BL66" s="32" t="str">
        <f>+IF(BL$3="","",IF($AY66="","",IFERROR(INDEX('Data Consolidada'!$E$7:$E$891,MATCH(CONCATENATE(BL$3,"-",$CP66,"-",$AY66),'Data Consolidada'!$K$7:$K$891,0)),MAX('Data Consolidada'!$E$7:$E$3000))))</f>
        <v/>
      </c>
      <c r="BM66" s="32" t="str">
        <f>+IF(BM$3="","",IF($AY66="","",IFERROR(INDEX('Data Consolidada'!$E$7:$E$891,MATCH(CONCATENATE(BM$3,"-",$CP66,"-",$AY66),'Data Consolidada'!$K$7:$K$891,0)),MAX('Data Consolidada'!$E$7:$E$3000))))</f>
        <v/>
      </c>
      <c r="BN66" s="32" t="str">
        <f>+IF(BN$3="","",IF($AY66="","",IFERROR(INDEX('Data Consolidada'!$E$7:$E$891,MATCH(CONCATENATE(BN$3,"-",$CP66,"-",$AY66),'Data Consolidada'!$K$7:$K$891,0)),MAX('Data Consolidada'!$E$7:$E$3000))))</f>
        <v/>
      </c>
      <c r="BO66" s="32" t="str">
        <f>+IF(BO$3="","",IF($AY66="","",IFERROR(INDEX('Data Consolidada'!$E$7:$E$891,MATCH(CONCATENATE(BO$3,"-",$CP66,"-",$AY66),'Data Consolidada'!$K$7:$K$891,0)),MAX('Data Consolidada'!$E$7:$E$3000))))</f>
        <v/>
      </c>
      <c r="BP66" s="32" t="str">
        <f>+IF(BP$3="","",IF($AY66="","",IFERROR(INDEX('Data Consolidada'!$E$7:$E$891,MATCH(CONCATENATE(BP$3,"-",$CP66,"-",$AY66),'Data Consolidada'!$K$7:$K$891,0)),MAX('Data Consolidada'!$E$7:$E$3000))))</f>
        <v/>
      </c>
      <c r="BQ66" s="32" t="str">
        <f>+IF(BQ$3="","",IF($AY66="","",IFERROR(INDEX('Data Consolidada'!$E$7:$E$891,MATCH(CONCATENATE(BQ$3,"-",$CP66,"-",$AY66),'Data Consolidada'!$K$7:$K$891,0)),MAX('Data Consolidada'!$E$7:$E$3000))))</f>
        <v/>
      </c>
      <c r="BR66" s="32" t="str">
        <f>+IF(BR$3="","",IF($AY66="","",IFERROR(INDEX('Data Consolidada'!$E$7:$E$891,MATCH(CONCATENATE(BR$3,"-",$CP66,"-",$AY66),'Data Consolidada'!$K$7:$K$891,0)),MAX('Data Consolidada'!$E$7:$E$3000))))</f>
        <v/>
      </c>
      <c r="BS66" s="32" t="str">
        <f>+IF(BS$3="","",IF($AY66="","",IFERROR(INDEX('Data Consolidada'!$E$7:$E$891,MATCH(CONCATENATE(BS$3,"-",$CP66,"-",$AY66),'Data Consolidada'!$K$7:$K$891,0)),MAX('Data Consolidada'!$E$7:$E$3000))))</f>
        <v/>
      </c>
      <c r="BT66" s="32" t="str">
        <f>+IF(BT$3="","",IF($AY66="","",IFERROR(INDEX('Data Consolidada'!$E$7:$E$891,MATCH(CONCATENATE(BT$3,"-",$CP66,"-",$AY66),'Data Consolidada'!$K$7:$K$891,0)),MAX('Data Consolidada'!$E$7:$E$3000))))</f>
        <v/>
      </c>
      <c r="BU66" s="32" t="str">
        <f>+IF(BU$3="","",IF($AY66="","",IFERROR(INDEX('Data Consolidada'!$E$7:$E$891,MATCH(CONCATENATE(BU$3,"-",$CP66,"-",$AY66),'Data Consolidada'!$K$7:$K$891,0)),MAX('Data Consolidada'!$E$7:$E$3000))))</f>
        <v/>
      </c>
      <c r="BV66" s="32" t="str">
        <f>+IF(BV$3="","",IF($AY66="","",IFERROR(INDEX('Data Consolidada'!$E$7:$E$891,MATCH(CONCATENATE(BV$3,"-",$CP66,"-",$AY66),'Data Consolidada'!$K$7:$K$891,0)),MAX('Data Consolidada'!$E$7:$E$3000))))</f>
        <v/>
      </c>
      <c r="BW66" s="32" t="str">
        <f>+IF(BW$3="","",IF($AY66="","",IFERROR(INDEX('Data Consolidada'!$E$7:$E$891,MATCH(CONCATENATE(BW$3,"-",$CP66,"-",$AY66),'Data Consolidada'!$K$7:$K$891,0)),MAX('Data Consolidada'!$E$7:$E$3000))))</f>
        <v/>
      </c>
      <c r="BX66" s="32" t="str">
        <f>+IF(BX$3="","",IF($AY66="","",IFERROR(INDEX('Data Consolidada'!$E$7:$E$891,MATCH(CONCATENATE(BX$3,"-",$CP66,"-",$AY66),'Data Consolidada'!$K$7:$K$891,0)),MAX('Data Consolidada'!$E$7:$E$3000))))</f>
        <v/>
      </c>
      <c r="BY66" s="32" t="str">
        <f>+IF(BY$3="","",IF($AY66="","",IFERROR(INDEX('Data Consolidada'!$E$7:$E$891,MATCH(CONCATENATE(BY$3,"-",$CP66,"-",$AY66),'Data Consolidada'!$K$7:$K$891,0)),MAX('Data Consolidada'!$E$7:$E$3000))))</f>
        <v/>
      </c>
      <c r="BZ66" s="32" t="str">
        <f>+IF(BZ$3="","",IF($AY66="","",IFERROR(INDEX('Data Consolidada'!$E$7:$E$891,MATCH(CONCATENATE(BZ$3,"-",$CP66,"-",$AY66),'Data Consolidada'!$K$7:$K$891,0)),MAX('Data Consolidada'!$E$7:$E$3000))))</f>
        <v/>
      </c>
      <c r="CA66" s="32" t="str">
        <f>+IF(CA$3="","",IF($AY66="","",IFERROR(INDEX('Data Consolidada'!$E$7:$E$891,MATCH(CONCATENATE(CA$3,"-",$CP66,"-",$AY66),'Data Consolidada'!$K$7:$K$891,0)),MAX('Data Consolidada'!$E$7:$E$3000))))</f>
        <v/>
      </c>
      <c r="CB66" s="32" t="str">
        <f>+IF(CB$3="","",IF($AY66="","",IFERROR(INDEX('Data Consolidada'!$E$7:$E$891,MATCH(CONCATENATE(CB$3,"-",$CP66,"-",$AY66),'Data Consolidada'!$K$7:$K$891,0)),MAX('Data Consolidada'!$E$7:$E$3000))))</f>
        <v/>
      </c>
      <c r="CC66" s="32" t="str">
        <f>+IF(CC$3="","",IF($AY66="","",IFERROR(INDEX('Data Consolidada'!$E$7:$E$891,MATCH(CONCATENATE(CC$3,"-",$CP66,"-",$AY66),'Data Consolidada'!$K$7:$K$891,0)),MAX('Data Consolidada'!$E$7:$E$3000))))</f>
        <v/>
      </c>
      <c r="CD66" s="32" t="str">
        <f>+IF(CD$3="","",IF($AY66="","",IFERROR(INDEX('Data Consolidada'!$E$7:$E$891,MATCH(CONCATENATE(CD$3,"-",$CP66,"-",$AY66),'Data Consolidada'!$K$7:$K$891,0)),MAX('Data Consolidada'!$E$7:$E$3000))))</f>
        <v/>
      </c>
      <c r="CE66" s="32" t="str">
        <f>+IF(CE$3="","",IF($AY66="","",IFERROR(INDEX('Data Consolidada'!$E$7:$E$891,MATCH(CONCATENATE(CE$3,"-",$CP66,"-",$AY66),'Data Consolidada'!$K$7:$K$891,0)),MAX('Data Consolidada'!$E$7:$E$3000))))</f>
        <v/>
      </c>
      <c r="CF66" s="32" t="str">
        <f>+IF(CF$3="","",IF($AY66="","",IFERROR(INDEX('Data Consolidada'!$E$7:$E$891,MATCH(CONCATENATE(CF$3,"-",$CP66,"-",$AY66),'Data Consolidada'!$K$7:$K$891,0)),MAX('Data Consolidada'!$E$7:$E$3000))))</f>
        <v/>
      </c>
      <c r="CG66" s="32" t="str">
        <f>+IF(CG$3="","",IF($AY66="","",IFERROR(INDEX('Data Consolidada'!$E$7:$E$891,MATCH(CONCATENATE(CG$3,"-",$CP66,"-",$AY66),'Data Consolidada'!$K$7:$K$891,0)),MAX('Data Consolidada'!$E$7:$E$3000))))</f>
        <v/>
      </c>
      <c r="CH66" s="32" t="str">
        <f>+IF(CH$3="","",IF($AY66="","",IFERROR(INDEX('Data Consolidada'!$E$7:$E$891,MATCH(CONCATENATE(CH$3,"-",$CP66,"-",$AY66),'Data Consolidada'!$K$7:$K$891,0)),MAX('Data Consolidada'!$E$7:$E$3000))))</f>
        <v/>
      </c>
      <c r="CI66" s="32" t="str">
        <f>+IF(CI$3="","",IF($AY66="","",IFERROR(INDEX('Data Consolidada'!$E$7:$E$891,MATCH(CONCATENATE(CI$3,"-",$CP66,"-",$AY66),'Data Consolidada'!$K$7:$K$891,0)),MAX('Data Consolidada'!$E$7:$E$3000))))</f>
        <v/>
      </c>
      <c r="CJ66" s="32" t="str">
        <f>+IF(CJ$3="","",IF($AY66="","",IFERROR(INDEX('Data Consolidada'!$E$7:$E$891,MATCH(CONCATENATE(CJ$3,"-",$CP66,"-",$AY66),'Data Consolidada'!$K$7:$K$891,0)),MAX('Data Consolidada'!$E$7:$E$3000))))</f>
        <v/>
      </c>
      <c r="CK66" s="32" t="str">
        <f>+IF(CK$3="","",IF($AY66="","",IFERROR(INDEX('Data Consolidada'!$E$7:$E$891,MATCH(CONCATENATE(CK$3,"-",$CP66,"-",$AY66),'Data Consolidada'!$K$7:$K$891,0)),MAX('Data Consolidada'!$E$7:$E$3000))))</f>
        <v/>
      </c>
      <c r="CL66" s="32" t="str">
        <f>+IF(CL$3="","",IF($AY66="","",IFERROR(INDEX('Data Consolidada'!$E$7:$E$891,MATCH(CONCATENATE(CL$3,"-",$CP66,"-",$AY66),'Data Consolidada'!$K$7:$K$891,0)),MAX('Data Consolidada'!$E$7:$E$3000))))</f>
        <v/>
      </c>
      <c r="CM66" s="32" t="str">
        <f>+IF(CM$3="","",IF($AY66="","",IFERROR(INDEX('Data Consolidada'!$E$7:$E$891,MATCH(CONCATENATE(CM$3,"-",$CP66,"-",$AY66),'Data Consolidada'!$K$7:$K$891,0)),MAX('Data Consolidada'!$E$7:$E$3000))))</f>
        <v/>
      </c>
      <c r="CN66" s="32" t="str">
        <f>+IF(CN$3="","",IF($AY66="","",IFERROR(INDEX('Data Consolidada'!$E$7:$E$891,MATCH(CONCATENATE(CN$3,"-",$CP66,"-",$AY66),'Data Consolidada'!$K$7:$K$891,0)),MAX('Data Consolidada'!$E$7:$E$3000))))</f>
        <v/>
      </c>
      <c r="CO66" s="37" t="str">
        <f>+IF(CO$3="","",IF($AY66="","",IFERROR(INDEX('Data Consolidada'!$E$7:$E$891,MATCH(CONCATENATE(CO$3,"-",$CP66,"-",$AY66),'Data Consolidada'!$K$7:$K$891,0)),MAX('Data Consolidada'!$E$7:$E$3000))))</f>
        <v/>
      </c>
      <c r="CP66" s="224">
        <f t="shared" ca="1" si="2"/>
        <v>0</v>
      </c>
      <c r="CQ66" s="84" t="str">
        <f t="shared" ca="1" si="3"/>
        <v>TRANS. ALMENDRAL0</v>
      </c>
    </row>
    <row r="67" spans="2:95" ht="15" customHeight="1" x14ac:dyDescent="0.35">
      <c r="B67" s="46"/>
      <c r="C67" s="5"/>
      <c r="D67" s="15"/>
      <c r="E67" s="53"/>
      <c r="F67" s="257"/>
      <c r="G67" s="14"/>
      <c r="H67" s="204"/>
      <c r="I67" s="267" t="str">
        <f t="shared" si="21"/>
        <v/>
      </c>
      <c r="J67" s="268" t="str">
        <f t="shared" si="22"/>
        <v/>
      </c>
      <c r="K67" s="268" t="str">
        <f t="shared" si="23"/>
        <v/>
      </c>
      <c r="L67" s="268" t="str">
        <f t="shared" si="24"/>
        <v/>
      </c>
      <c r="M67" s="268" t="str">
        <f t="shared" si="25"/>
        <v/>
      </c>
      <c r="N67" s="268" t="str">
        <f t="shared" si="26"/>
        <v/>
      </c>
      <c r="O67" s="268" t="str">
        <f t="shared" si="27"/>
        <v/>
      </c>
      <c r="P67" s="268" t="str">
        <f t="shared" si="28"/>
        <v/>
      </c>
      <c r="Q67" s="268" t="str">
        <f t="shared" si="29"/>
        <v/>
      </c>
      <c r="R67" s="268" t="str">
        <f t="shared" si="30"/>
        <v/>
      </c>
      <c r="S67" s="268" t="str">
        <f t="shared" si="31"/>
        <v/>
      </c>
      <c r="T67" s="268" t="str">
        <f t="shared" si="32"/>
        <v/>
      </c>
      <c r="U67" s="268" t="str">
        <f t="shared" si="33"/>
        <v/>
      </c>
      <c r="V67" s="269" t="str">
        <f t="shared" si="34"/>
        <v/>
      </c>
      <c r="W67" s="55" cm="1">
        <f t="array" ref="W67">+IFERROR(_xlfn.IFS(F67="Totes",IF(I67="",0,ROUNDUP(I67*$I$11/$G$9,0))+IF(J67="",0,ROUNDUP(J67*$J$11/$G$9,0))+IF(K67="",0,ROUNDUP(K67*$K$11/$G$9,0))+IF(L67="",0,ROUNDUP(L67*$L$11/$G$9,0))+IF(M67="",0,ROUNDUP(M67*$M$11/$G$9,0))+IF(N67="",0,ROUNDUP(N67*$N$11/$G$9,0))+IF(O67="",0,ROUNDUP(O67*$O$11/$G$9,0))+IF(P67="",0,ROUNDUP(P67*$P$11/$G$9,0))+IF(Q67="",0,ROUNDUP(Q67*$Q$11/$G$9,0))+IF(R67="",0,ROUNDUP(R67*$R$11/$G$9,0))+IF(S67="",0,ROUNDUP(S67*$S$11/$G$9,0))+IF(T67="",0,ROUNDUP(T67*$T$11/$G$9,0))+IF(U67="",0,ROUNDUP(U67*$U$11/$G$9,0))+IF(V67="",0,ROUNDUP(V67*$V$11/$G$9,0)),F67="Mini Bins",IF(I67="",0,ROUNDUP(I67*$I$11/$J$6,0))+IF(J67="",0,ROUNDUP(J67*$J$11/$J$6,0))+IF(K67="",0,ROUNDUP(K67*$K$11/$J$6,0))+IF(L67="",0,ROUNDUP(L67*$L$11/$J$6,0))+IF(M67="",0,ROUNDUP(M67*$M$11/$J$6,0))+IF(N67="",0,ROUNDUP(N67*$N$11/$J$6,0))+IF(O67="",0,ROUNDUP(O67*$O$11/$J$6,0))+IF(P67="",0,ROUNDUP(P67*$P$11/$J$6,0))+IF(Q67="",0,ROUNDUP(Q67*$Q$11/$J$6,0))+IF(R67="",0,ROUNDUP(R67*$R$11/$J$6,0))+IF(S67="",0,ROUNDUP(S67*$S$11/$J$6,0))+IF(T67="",0,ROUNDUP(T67*$T$11/$J$6,0))+IF(U67="",0,ROUNDUP(U67*$U$11/$J$6,0))+IF(V67="",0,ROUNDUP(V67*$V$11/$J$6,0))),0)</f>
        <v>0</v>
      </c>
      <c r="X67" s="254">
        <f t="shared" si="35"/>
        <v>0</v>
      </c>
      <c r="Z67" s="245"/>
      <c r="AA67" s="247"/>
      <c r="AB67" s="254" cm="1">
        <f t="array" aca="1" ref="AB67" ca="1">+SUM(IF($B$72:$B$217=Z67,$C$72:$AR$217))</f>
        <v>0</v>
      </c>
      <c r="AC67" s="211">
        <f t="shared" ca="1" si="4"/>
        <v>0</v>
      </c>
      <c r="AW67" s="13">
        <f>+IF(AX67="","",IF(AX67&gt;AX66,AW66,IF(AW66&lt;$D$69,AW66+1,IF(COUNT(AW$4:AW66)&lt;$B$69*$E$54,1,""))))</f>
        <v>5</v>
      </c>
      <c r="AX67" s="13">
        <f>+IF(AX66&lt;$B$69,AX66+1,IF(COUNT(AX$4:AX66)&lt;$B$69*$D$69,1,""))</f>
        <v>12</v>
      </c>
      <c r="AY67" s="189" t="str">
        <f t="shared" ca="1" si="1"/>
        <v>TRANS. MAX SOTO G. E.I.R.L.</v>
      </c>
      <c r="AZ67" s="36">
        <f ca="1">+IF(AZ$3="","",IF($AY67="","",IFERROR(INDEX('Data Consolidada'!$E$7:$E$891,MATCH(CONCATENATE(AZ$3,"-",$CP67,"-",$AY67),'Data Consolidada'!$K$7:$K$891,0)),MAX('Data Consolidada'!$E$7:$E$3000))))</f>
        <v>11000000</v>
      </c>
      <c r="BA67" s="32">
        <f ca="1">+IF(BA$3="","",IF($AY67="","",IFERROR(INDEX('Data Consolidada'!$E$7:$E$891,MATCH(CONCATENATE(BA$3,"-",$CP67,"-",$AY67),'Data Consolidada'!$K$7:$K$891,0)),MAX('Data Consolidada'!$E$7:$E$3000))))</f>
        <v>11000000</v>
      </c>
      <c r="BB67" s="32" t="str">
        <f>+IF(BB$3="","",IF($AY67="","",IFERROR(INDEX('Data Consolidada'!$E$7:$E$891,MATCH(CONCATENATE(BB$3,"-",$CP67,"-",$AY67),'Data Consolidada'!$K$7:$K$891,0)),MAX('Data Consolidada'!$E$7:$E$3000))))</f>
        <v/>
      </c>
      <c r="BC67" s="32" t="str">
        <f>+IF(BC$3="","",IF($AY67="","",IFERROR(INDEX('Data Consolidada'!$E$7:$E$891,MATCH(CONCATENATE(BC$3,"-",$CP67,"-",$AY67),'Data Consolidada'!$K$7:$K$891,0)),MAX('Data Consolidada'!$E$7:$E$3000))))</f>
        <v/>
      </c>
      <c r="BD67" s="32" t="str">
        <f>+IF(BD$3="","",IF($AY67="","",IFERROR(INDEX('Data Consolidada'!$E$7:$E$891,MATCH(CONCATENATE(BD$3,"-",$CP67,"-",$AY67),'Data Consolidada'!$K$7:$K$891,0)),MAX('Data Consolidada'!$E$7:$E$3000))))</f>
        <v/>
      </c>
      <c r="BE67" s="32" t="str">
        <f>+IF(BE$3="","",IF($AY67="","",IFERROR(INDEX('Data Consolidada'!$E$7:$E$891,MATCH(CONCATENATE(BE$3,"-",$CP67,"-",$AY67),'Data Consolidada'!$K$7:$K$891,0)),MAX('Data Consolidada'!$E$7:$E$3000))))</f>
        <v/>
      </c>
      <c r="BF67" s="32" t="str">
        <f>+IF(BF$3="","",IF($AY67="","",IFERROR(INDEX('Data Consolidada'!$E$7:$E$891,MATCH(CONCATENATE(BF$3,"-",$CP67,"-",$AY67),'Data Consolidada'!$K$7:$K$891,0)),MAX('Data Consolidada'!$E$7:$E$3000))))</f>
        <v/>
      </c>
      <c r="BG67" s="32" t="str">
        <f>+IF(BG$3="","",IF($AY67="","",IFERROR(INDEX('Data Consolidada'!$E$7:$E$891,MATCH(CONCATENATE(BG$3,"-",$CP67,"-",$AY67),'Data Consolidada'!$K$7:$K$891,0)),MAX('Data Consolidada'!$E$7:$E$3000))))</f>
        <v/>
      </c>
      <c r="BH67" s="32" t="str">
        <f>+IF(BH$3="","",IF($AY67="","",IFERROR(INDEX('Data Consolidada'!$E$7:$E$891,MATCH(CONCATENATE(BH$3,"-",$CP67,"-",$AY67),'Data Consolidada'!$K$7:$K$891,0)),MAX('Data Consolidada'!$E$7:$E$3000))))</f>
        <v/>
      </c>
      <c r="BI67" s="32" t="str">
        <f>+IF(BI$3="","",IF($AY67="","",IFERROR(INDEX('Data Consolidada'!$E$7:$E$891,MATCH(CONCATENATE(BI$3,"-",$CP67,"-",$AY67),'Data Consolidada'!$K$7:$K$891,0)),MAX('Data Consolidada'!$E$7:$E$3000))))</f>
        <v/>
      </c>
      <c r="BJ67" s="32" t="str">
        <f>+IF(BJ$3="","",IF($AY67="","",IFERROR(INDEX('Data Consolidada'!$E$7:$E$891,MATCH(CONCATENATE(BJ$3,"-",$CP67,"-",$AY67),'Data Consolidada'!$K$7:$K$891,0)),MAX('Data Consolidada'!$E$7:$E$3000))))</f>
        <v/>
      </c>
      <c r="BK67" s="32" t="str">
        <f>+IF(BK$3="","",IF($AY67="","",IFERROR(INDEX('Data Consolidada'!$E$7:$E$891,MATCH(CONCATENATE(BK$3,"-",$CP67,"-",$AY67),'Data Consolidada'!$K$7:$K$891,0)),MAX('Data Consolidada'!$E$7:$E$3000))))</f>
        <v/>
      </c>
      <c r="BL67" s="32" t="str">
        <f>+IF(BL$3="","",IF($AY67="","",IFERROR(INDEX('Data Consolidada'!$E$7:$E$891,MATCH(CONCATENATE(BL$3,"-",$CP67,"-",$AY67),'Data Consolidada'!$K$7:$K$891,0)),MAX('Data Consolidada'!$E$7:$E$3000))))</f>
        <v/>
      </c>
      <c r="BM67" s="32" t="str">
        <f>+IF(BM$3="","",IF($AY67="","",IFERROR(INDEX('Data Consolidada'!$E$7:$E$891,MATCH(CONCATENATE(BM$3,"-",$CP67,"-",$AY67),'Data Consolidada'!$K$7:$K$891,0)),MAX('Data Consolidada'!$E$7:$E$3000))))</f>
        <v/>
      </c>
      <c r="BN67" s="32" t="str">
        <f>+IF(BN$3="","",IF($AY67="","",IFERROR(INDEX('Data Consolidada'!$E$7:$E$891,MATCH(CONCATENATE(BN$3,"-",$CP67,"-",$AY67),'Data Consolidada'!$K$7:$K$891,0)),MAX('Data Consolidada'!$E$7:$E$3000))))</f>
        <v/>
      </c>
      <c r="BO67" s="32" t="str">
        <f>+IF(BO$3="","",IF($AY67="","",IFERROR(INDEX('Data Consolidada'!$E$7:$E$891,MATCH(CONCATENATE(BO$3,"-",$CP67,"-",$AY67),'Data Consolidada'!$K$7:$K$891,0)),MAX('Data Consolidada'!$E$7:$E$3000))))</f>
        <v/>
      </c>
      <c r="BP67" s="32" t="str">
        <f>+IF(BP$3="","",IF($AY67="","",IFERROR(INDEX('Data Consolidada'!$E$7:$E$891,MATCH(CONCATENATE(BP$3,"-",$CP67,"-",$AY67),'Data Consolidada'!$K$7:$K$891,0)),MAX('Data Consolidada'!$E$7:$E$3000))))</f>
        <v/>
      </c>
      <c r="BQ67" s="32" t="str">
        <f>+IF(BQ$3="","",IF($AY67="","",IFERROR(INDEX('Data Consolidada'!$E$7:$E$891,MATCH(CONCATENATE(BQ$3,"-",$CP67,"-",$AY67),'Data Consolidada'!$K$7:$K$891,0)),MAX('Data Consolidada'!$E$7:$E$3000))))</f>
        <v/>
      </c>
      <c r="BR67" s="32" t="str">
        <f>+IF(BR$3="","",IF($AY67="","",IFERROR(INDEX('Data Consolidada'!$E$7:$E$891,MATCH(CONCATENATE(BR$3,"-",$CP67,"-",$AY67),'Data Consolidada'!$K$7:$K$891,0)),MAX('Data Consolidada'!$E$7:$E$3000))))</f>
        <v/>
      </c>
      <c r="BS67" s="32" t="str">
        <f>+IF(BS$3="","",IF($AY67="","",IFERROR(INDEX('Data Consolidada'!$E$7:$E$891,MATCH(CONCATENATE(BS$3,"-",$CP67,"-",$AY67),'Data Consolidada'!$K$7:$K$891,0)),MAX('Data Consolidada'!$E$7:$E$3000))))</f>
        <v/>
      </c>
      <c r="BT67" s="32" t="str">
        <f>+IF(BT$3="","",IF($AY67="","",IFERROR(INDEX('Data Consolidada'!$E$7:$E$891,MATCH(CONCATENATE(BT$3,"-",$CP67,"-",$AY67),'Data Consolidada'!$K$7:$K$891,0)),MAX('Data Consolidada'!$E$7:$E$3000))))</f>
        <v/>
      </c>
      <c r="BU67" s="32" t="str">
        <f>+IF(BU$3="","",IF($AY67="","",IFERROR(INDEX('Data Consolidada'!$E$7:$E$891,MATCH(CONCATENATE(BU$3,"-",$CP67,"-",$AY67),'Data Consolidada'!$K$7:$K$891,0)),MAX('Data Consolidada'!$E$7:$E$3000))))</f>
        <v/>
      </c>
      <c r="BV67" s="32" t="str">
        <f>+IF(BV$3="","",IF($AY67="","",IFERROR(INDEX('Data Consolidada'!$E$7:$E$891,MATCH(CONCATENATE(BV$3,"-",$CP67,"-",$AY67),'Data Consolidada'!$K$7:$K$891,0)),MAX('Data Consolidada'!$E$7:$E$3000))))</f>
        <v/>
      </c>
      <c r="BW67" s="32" t="str">
        <f>+IF(BW$3="","",IF($AY67="","",IFERROR(INDEX('Data Consolidada'!$E$7:$E$891,MATCH(CONCATENATE(BW$3,"-",$CP67,"-",$AY67),'Data Consolidada'!$K$7:$K$891,0)),MAX('Data Consolidada'!$E$7:$E$3000))))</f>
        <v/>
      </c>
      <c r="BX67" s="32" t="str">
        <f>+IF(BX$3="","",IF($AY67="","",IFERROR(INDEX('Data Consolidada'!$E$7:$E$891,MATCH(CONCATENATE(BX$3,"-",$CP67,"-",$AY67),'Data Consolidada'!$K$7:$K$891,0)),MAX('Data Consolidada'!$E$7:$E$3000))))</f>
        <v/>
      </c>
      <c r="BY67" s="32" t="str">
        <f>+IF(BY$3="","",IF($AY67="","",IFERROR(INDEX('Data Consolidada'!$E$7:$E$891,MATCH(CONCATENATE(BY$3,"-",$CP67,"-",$AY67),'Data Consolidada'!$K$7:$K$891,0)),MAX('Data Consolidada'!$E$7:$E$3000))))</f>
        <v/>
      </c>
      <c r="BZ67" s="32" t="str">
        <f>+IF(BZ$3="","",IF($AY67="","",IFERROR(INDEX('Data Consolidada'!$E$7:$E$891,MATCH(CONCATENATE(BZ$3,"-",$CP67,"-",$AY67),'Data Consolidada'!$K$7:$K$891,0)),MAX('Data Consolidada'!$E$7:$E$3000))))</f>
        <v/>
      </c>
      <c r="CA67" s="32" t="str">
        <f>+IF(CA$3="","",IF($AY67="","",IFERROR(INDEX('Data Consolidada'!$E$7:$E$891,MATCH(CONCATENATE(CA$3,"-",$CP67,"-",$AY67),'Data Consolidada'!$K$7:$K$891,0)),MAX('Data Consolidada'!$E$7:$E$3000))))</f>
        <v/>
      </c>
      <c r="CB67" s="32" t="str">
        <f>+IF(CB$3="","",IF($AY67="","",IFERROR(INDEX('Data Consolidada'!$E$7:$E$891,MATCH(CONCATENATE(CB$3,"-",$CP67,"-",$AY67),'Data Consolidada'!$K$7:$K$891,0)),MAX('Data Consolidada'!$E$7:$E$3000))))</f>
        <v/>
      </c>
      <c r="CC67" s="32" t="str">
        <f>+IF(CC$3="","",IF($AY67="","",IFERROR(INDEX('Data Consolidada'!$E$7:$E$891,MATCH(CONCATENATE(CC$3,"-",$CP67,"-",$AY67),'Data Consolidada'!$K$7:$K$891,0)),MAX('Data Consolidada'!$E$7:$E$3000))))</f>
        <v/>
      </c>
      <c r="CD67" s="32" t="str">
        <f>+IF(CD$3="","",IF($AY67="","",IFERROR(INDEX('Data Consolidada'!$E$7:$E$891,MATCH(CONCATENATE(CD$3,"-",$CP67,"-",$AY67),'Data Consolidada'!$K$7:$K$891,0)),MAX('Data Consolidada'!$E$7:$E$3000))))</f>
        <v/>
      </c>
      <c r="CE67" s="32" t="str">
        <f>+IF(CE$3="","",IF($AY67="","",IFERROR(INDEX('Data Consolidada'!$E$7:$E$891,MATCH(CONCATENATE(CE$3,"-",$CP67,"-",$AY67),'Data Consolidada'!$K$7:$K$891,0)),MAX('Data Consolidada'!$E$7:$E$3000))))</f>
        <v/>
      </c>
      <c r="CF67" s="32" t="str">
        <f>+IF(CF$3="","",IF($AY67="","",IFERROR(INDEX('Data Consolidada'!$E$7:$E$891,MATCH(CONCATENATE(CF$3,"-",$CP67,"-",$AY67),'Data Consolidada'!$K$7:$K$891,0)),MAX('Data Consolidada'!$E$7:$E$3000))))</f>
        <v/>
      </c>
      <c r="CG67" s="32" t="str">
        <f>+IF(CG$3="","",IF($AY67="","",IFERROR(INDEX('Data Consolidada'!$E$7:$E$891,MATCH(CONCATENATE(CG$3,"-",$CP67,"-",$AY67),'Data Consolidada'!$K$7:$K$891,0)),MAX('Data Consolidada'!$E$7:$E$3000))))</f>
        <v/>
      </c>
      <c r="CH67" s="32" t="str">
        <f>+IF(CH$3="","",IF($AY67="","",IFERROR(INDEX('Data Consolidada'!$E$7:$E$891,MATCH(CONCATENATE(CH$3,"-",$CP67,"-",$AY67),'Data Consolidada'!$K$7:$K$891,0)),MAX('Data Consolidada'!$E$7:$E$3000))))</f>
        <v/>
      </c>
      <c r="CI67" s="32" t="str">
        <f>+IF(CI$3="","",IF($AY67="","",IFERROR(INDEX('Data Consolidada'!$E$7:$E$891,MATCH(CONCATENATE(CI$3,"-",$CP67,"-",$AY67),'Data Consolidada'!$K$7:$K$891,0)),MAX('Data Consolidada'!$E$7:$E$3000))))</f>
        <v/>
      </c>
      <c r="CJ67" s="32" t="str">
        <f>+IF(CJ$3="","",IF($AY67="","",IFERROR(INDEX('Data Consolidada'!$E$7:$E$891,MATCH(CONCATENATE(CJ$3,"-",$CP67,"-",$AY67),'Data Consolidada'!$K$7:$K$891,0)),MAX('Data Consolidada'!$E$7:$E$3000))))</f>
        <v/>
      </c>
      <c r="CK67" s="32" t="str">
        <f>+IF(CK$3="","",IF($AY67="","",IFERROR(INDEX('Data Consolidada'!$E$7:$E$891,MATCH(CONCATENATE(CK$3,"-",$CP67,"-",$AY67),'Data Consolidada'!$K$7:$K$891,0)),MAX('Data Consolidada'!$E$7:$E$3000))))</f>
        <v/>
      </c>
      <c r="CL67" s="32" t="str">
        <f>+IF(CL$3="","",IF($AY67="","",IFERROR(INDEX('Data Consolidada'!$E$7:$E$891,MATCH(CONCATENATE(CL$3,"-",$CP67,"-",$AY67),'Data Consolidada'!$K$7:$K$891,0)),MAX('Data Consolidada'!$E$7:$E$3000))))</f>
        <v/>
      </c>
      <c r="CM67" s="32" t="str">
        <f>+IF(CM$3="","",IF($AY67="","",IFERROR(INDEX('Data Consolidada'!$E$7:$E$891,MATCH(CONCATENATE(CM$3,"-",$CP67,"-",$AY67),'Data Consolidada'!$K$7:$K$891,0)),MAX('Data Consolidada'!$E$7:$E$3000))))</f>
        <v/>
      </c>
      <c r="CN67" s="32" t="str">
        <f>+IF(CN$3="","",IF($AY67="","",IFERROR(INDEX('Data Consolidada'!$E$7:$E$891,MATCH(CONCATENATE(CN$3,"-",$CP67,"-",$AY67),'Data Consolidada'!$K$7:$K$891,0)),MAX('Data Consolidada'!$E$7:$E$3000))))</f>
        <v/>
      </c>
      <c r="CO67" s="37" t="str">
        <f>+IF(CO$3="","",IF($AY67="","",IFERROR(INDEX('Data Consolidada'!$E$7:$E$891,MATCH(CONCATENATE(CO$3,"-",$CP67,"-",$AY67),'Data Consolidada'!$K$7:$K$891,0)),MAX('Data Consolidada'!$E$7:$E$3000))))</f>
        <v/>
      </c>
      <c r="CP67" s="224">
        <f t="shared" ca="1" si="2"/>
        <v>0</v>
      </c>
      <c r="CQ67" s="84" t="str">
        <f t="shared" ca="1" si="3"/>
        <v>TRANS. MAX SOTO G. E.I.R.L.0</v>
      </c>
    </row>
    <row r="68" spans="2:95" ht="15" customHeight="1" thickBot="1" x14ac:dyDescent="0.4">
      <c r="B68" s="50"/>
      <c r="C68" s="17"/>
      <c r="D68" s="18"/>
      <c r="E68" s="53"/>
      <c r="F68" s="258"/>
      <c r="G68" s="16"/>
      <c r="H68" s="205"/>
      <c r="I68" s="270" t="str">
        <f t="shared" si="21"/>
        <v/>
      </c>
      <c r="J68" s="271" t="str">
        <f t="shared" si="22"/>
        <v/>
      </c>
      <c r="K68" s="271" t="str">
        <f t="shared" si="23"/>
        <v/>
      </c>
      <c r="L68" s="271" t="str">
        <f t="shared" si="24"/>
        <v/>
      </c>
      <c r="M68" s="271" t="str">
        <f t="shared" si="25"/>
        <v/>
      </c>
      <c r="N68" s="271" t="str">
        <f t="shared" si="26"/>
        <v/>
      </c>
      <c r="O68" s="271" t="str">
        <f t="shared" si="27"/>
        <v/>
      </c>
      <c r="P68" s="271" t="str">
        <f t="shared" si="28"/>
        <v/>
      </c>
      <c r="Q68" s="271" t="str">
        <f t="shared" si="29"/>
        <v/>
      </c>
      <c r="R68" s="271" t="str">
        <f t="shared" si="30"/>
        <v/>
      </c>
      <c r="S68" s="271" t="str">
        <f t="shared" si="31"/>
        <v/>
      </c>
      <c r="T68" s="271" t="str">
        <f t="shared" si="32"/>
        <v/>
      </c>
      <c r="U68" s="271" t="str">
        <f t="shared" si="33"/>
        <v/>
      </c>
      <c r="V68" s="272" t="str">
        <f t="shared" si="34"/>
        <v/>
      </c>
      <c r="W68" s="56" cm="1">
        <f t="array" ref="W68">+IFERROR(_xlfn.IFS(F68="Totes",IF(I68="",0,ROUNDUP(I68*$I$11/$G$9,0))+IF(J68="",0,ROUNDUP(J68*$J$11/$G$9,0))+IF(K68="",0,ROUNDUP(K68*$K$11/$G$9,0))+IF(L68="",0,ROUNDUP(L68*$L$11/$G$9,0))+IF(M68="",0,ROUNDUP(M68*$M$11/$G$9,0))+IF(N68="",0,ROUNDUP(N68*$N$11/$G$9,0))+IF(O68="",0,ROUNDUP(O68*$O$11/$G$9,0))+IF(P68="",0,ROUNDUP(P68*$P$11/$G$9,0))+IF(Q68="",0,ROUNDUP(Q68*$Q$11/$G$9,0))+IF(R68="",0,ROUNDUP(R68*$R$11/$G$9,0))+IF(S68="",0,ROUNDUP(S68*$S$11/$G$9,0))+IF(T68="",0,ROUNDUP(T68*$T$11/$G$9,0))+IF(U68="",0,ROUNDUP(U68*$U$11/$G$9,0))+IF(V68="",0,ROUNDUP(V68*$V$11/$G$9,0)),F68="Mini Bins",IF(I68="",0,ROUNDUP(I68*$I$11/$J$6,0))+IF(J68="",0,ROUNDUP(J68*$J$11/$J$6,0))+IF(K68="",0,ROUNDUP(K68*$K$11/$J$6,0))+IF(L68="",0,ROUNDUP(L68*$L$11/$J$6,0))+IF(M68="",0,ROUNDUP(M68*$M$11/$J$6,0))+IF(N68="",0,ROUNDUP(N68*$N$11/$J$6,0))+IF(O68="",0,ROUNDUP(O68*$O$11/$J$6,0))+IF(P68="",0,ROUNDUP(P68*$P$11/$J$6,0))+IF(Q68="",0,ROUNDUP(Q68*$Q$11/$J$6,0))+IF(R68="",0,ROUNDUP(R68*$R$11/$J$6,0))+IF(S68="",0,ROUNDUP(S68*$S$11/$J$6,0))+IF(T68="",0,ROUNDUP(T68*$T$11/$J$6,0))+IF(U68="",0,ROUNDUP(U68*$U$11/$J$6,0))+IF(V68="",0,ROUNDUP(V68*$V$11/$J$6,0))),0)</f>
        <v>0</v>
      </c>
      <c r="X68" s="254">
        <f t="shared" si="35"/>
        <v>0</v>
      </c>
      <c r="Z68" s="246"/>
      <c r="AA68" s="248"/>
      <c r="AB68" s="254" cm="1">
        <f t="array" aca="1" ref="AB68" ca="1">+SUM(IF($B$72:$B$217=Z68,$C$72:$AR$217))</f>
        <v>0</v>
      </c>
      <c r="AC68" s="211">
        <f t="shared" ca="1" si="4"/>
        <v>0</v>
      </c>
      <c r="AW68" s="13">
        <f>+IF(AX68="","",IF(AX68&gt;AX67,AW67,IF(AW67&lt;$D$69,AW67+1,IF(COUNT(AW$4:AW67)&lt;$B$69*$E$54,1,""))))</f>
        <v>5</v>
      </c>
      <c r="AX68" s="13">
        <f>+IF(AX67&lt;$B$69,AX67+1,IF(COUNT(AX$4:AX67)&lt;$B$69*$D$69,1,""))</f>
        <v>13</v>
      </c>
      <c r="AY68" s="189" t="str">
        <f t="shared" ca="1" si="1"/>
        <v>TRANS. MITRE SPA.</v>
      </c>
      <c r="AZ68" s="36">
        <f ca="1">+IF(AZ$3="","",IF($AY68="","",IFERROR(INDEX('Data Consolidada'!$E$7:$E$891,MATCH(CONCATENATE(AZ$3,"-",$CP68,"-",$AY68),'Data Consolidada'!$K$7:$K$891,0)),MAX('Data Consolidada'!$E$7:$E$3000))))</f>
        <v>11000000</v>
      </c>
      <c r="BA68" s="32">
        <f ca="1">+IF(BA$3="","",IF($AY68="","",IFERROR(INDEX('Data Consolidada'!$E$7:$E$891,MATCH(CONCATENATE(BA$3,"-",$CP68,"-",$AY68),'Data Consolidada'!$K$7:$K$891,0)),MAX('Data Consolidada'!$E$7:$E$3000))))</f>
        <v>11000000</v>
      </c>
      <c r="BB68" s="32" t="str">
        <f>+IF(BB$3="","",IF($AY68="","",IFERROR(INDEX('Data Consolidada'!$E$7:$E$891,MATCH(CONCATENATE(BB$3,"-",$CP68,"-",$AY68),'Data Consolidada'!$K$7:$K$891,0)),MAX('Data Consolidada'!$E$7:$E$3000))))</f>
        <v/>
      </c>
      <c r="BC68" s="32" t="str">
        <f>+IF(BC$3="","",IF($AY68="","",IFERROR(INDEX('Data Consolidada'!$E$7:$E$891,MATCH(CONCATENATE(BC$3,"-",$CP68,"-",$AY68),'Data Consolidada'!$K$7:$K$891,0)),MAX('Data Consolidada'!$E$7:$E$3000))))</f>
        <v/>
      </c>
      <c r="BD68" s="32" t="str">
        <f>+IF(BD$3="","",IF($AY68="","",IFERROR(INDEX('Data Consolidada'!$E$7:$E$891,MATCH(CONCATENATE(BD$3,"-",$CP68,"-",$AY68),'Data Consolidada'!$K$7:$K$891,0)),MAX('Data Consolidada'!$E$7:$E$3000))))</f>
        <v/>
      </c>
      <c r="BE68" s="32" t="str">
        <f>+IF(BE$3="","",IF($AY68="","",IFERROR(INDEX('Data Consolidada'!$E$7:$E$891,MATCH(CONCATENATE(BE$3,"-",$CP68,"-",$AY68),'Data Consolidada'!$K$7:$K$891,0)),MAX('Data Consolidada'!$E$7:$E$3000))))</f>
        <v/>
      </c>
      <c r="BF68" s="32" t="str">
        <f>+IF(BF$3="","",IF($AY68="","",IFERROR(INDEX('Data Consolidada'!$E$7:$E$891,MATCH(CONCATENATE(BF$3,"-",$CP68,"-",$AY68),'Data Consolidada'!$K$7:$K$891,0)),MAX('Data Consolidada'!$E$7:$E$3000))))</f>
        <v/>
      </c>
      <c r="BG68" s="32" t="str">
        <f>+IF(BG$3="","",IF($AY68="","",IFERROR(INDEX('Data Consolidada'!$E$7:$E$891,MATCH(CONCATENATE(BG$3,"-",$CP68,"-",$AY68),'Data Consolidada'!$K$7:$K$891,0)),MAX('Data Consolidada'!$E$7:$E$3000))))</f>
        <v/>
      </c>
      <c r="BH68" s="32" t="str">
        <f>+IF(BH$3="","",IF($AY68="","",IFERROR(INDEX('Data Consolidada'!$E$7:$E$891,MATCH(CONCATENATE(BH$3,"-",$CP68,"-",$AY68),'Data Consolidada'!$K$7:$K$891,0)),MAX('Data Consolidada'!$E$7:$E$3000))))</f>
        <v/>
      </c>
      <c r="BI68" s="32" t="str">
        <f>+IF(BI$3="","",IF($AY68="","",IFERROR(INDEX('Data Consolidada'!$E$7:$E$891,MATCH(CONCATENATE(BI$3,"-",$CP68,"-",$AY68),'Data Consolidada'!$K$7:$K$891,0)),MAX('Data Consolidada'!$E$7:$E$3000))))</f>
        <v/>
      </c>
      <c r="BJ68" s="32" t="str">
        <f>+IF(BJ$3="","",IF($AY68="","",IFERROR(INDEX('Data Consolidada'!$E$7:$E$891,MATCH(CONCATENATE(BJ$3,"-",$CP68,"-",$AY68),'Data Consolidada'!$K$7:$K$891,0)),MAX('Data Consolidada'!$E$7:$E$3000))))</f>
        <v/>
      </c>
      <c r="BK68" s="32" t="str">
        <f>+IF(BK$3="","",IF($AY68="","",IFERROR(INDEX('Data Consolidada'!$E$7:$E$891,MATCH(CONCATENATE(BK$3,"-",$CP68,"-",$AY68),'Data Consolidada'!$K$7:$K$891,0)),MAX('Data Consolidada'!$E$7:$E$3000))))</f>
        <v/>
      </c>
      <c r="BL68" s="32" t="str">
        <f>+IF(BL$3="","",IF($AY68="","",IFERROR(INDEX('Data Consolidada'!$E$7:$E$891,MATCH(CONCATENATE(BL$3,"-",$CP68,"-",$AY68),'Data Consolidada'!$K$7:$K$891,0)),MAX('Data Consolidada'!$E$7:$E$3000))))</f>
        <v/>
      </c>
      <c r="BM68" s="32" t="str">
        <f>+IF(BM$3="","",IF($AY68="","",IFERROR(INDEX('Data Consolidada'!$E$7:$E$891,MATCH(CONCATENATE(BM$3,"-",$CP68,"-",$AY68),'Data Consolidada'!$K$7:$K$891,0)),MAX('Data Consolidada'!$E$7:$E$3000))))</f>
        <v/>
      </c>
      <c r="BN68" s="32" t="str">
        <f>+IF(BN$3="","",IF($AY68="","",IFERROR(INDEX('Data Consolidada'!$E$7:$E$891,MATCH(CONCATENATE(BN$3,"-",$CP68,"-",$AY68),'Data Consolidada'!$K$7:$K$891,0)),MAX('Data Consolidada'!$E$7:$E$3000))))</f>
        <v/>
      </c>
      <c r="BO68" s="32" t="str">
        <f>+IF(BO$3="","",IF($AY68="","",IFERROR(INDEX('Data Consolidada'!$E$7:$E$891,MATCH(CONCATENATE(BO$3,"-",$CP68,"-",$AY68),'Data Consolidada'!$K$7:$K$891,0)),MAX('Data Consolidada'!$E$7:$E$3000))))</f>
        <v/>
      </c>
      <c r="BP68" s="32" t="str">
        <f>+IF(BP$3="","",IF($AY68="","",IFERROR(INDEX('Data Consolidada'!$E$7:$E$891,MATCH(CONCATENATE(BP$3,"-",$CP68,"-",$AY68),'Data Consolidada'!$K$7:$K$891,0)),MAX('Data Consolidada'!$E$7:$E$3000))))</f>
        <v/>
      </c>
      <c r="BQ68" s="32" t="str">
        <f>+IF(BQ$3="","",IF($AY68="","",IFERROR(INDEX('Data Consolidada'!$E$7:$E$891,MATCH(CONCATENATE(BQ$3,"-",$CP68,"-",$AY68),'Data Consolidada'!$K$7:$K$891,0)),MAX('Data Consolidada'!$E$7:$E$3000))))</f>
        <v/>
      </c>
      <c r="BR68" s="32" t="str">
        <f>+IF(BR$3="","",IF($AY68="","",IFERROR(INDEX('Data Consolidada'!$E$7:$E$891,MATCH(CONCATENATE(BR$3,"-",$CP68,"-",$AY68),'Data Consolidada'!$K$7:$K$891,0)),MAX('Data Consolidada'!$E$7:$E$3000))))</f>
        <v/>
      </c>
      <c r="BS68" s="32" t="str">
        <f>+IF(BS$3="","",IF($AY68="","",IFERROR(INDEX('Data Consolidada'!$E$7:$E$891,MATCH(CONCATENATE(BS$3,"-",$CP68,"-",$AY68),'Data Consolidada'!$K$7:$K$891,0)),MAX('Data Consolidada'!$E$7:$E$3000))))</f>
        <v/>
      </c>
      <c r="BT68" s="32" t="str">
        <f>+IF(BT$3="","",IF($AY68="","",IFERROR(INDEX('Data Consolidada'!$E$7:$E$891,MATCH(CONCATENATE(BT$3,"-",$CP68,"-",$AY68),'Data Consolidada'!$K$7:$K$891,0)),MAX('Data Consolidada'!$E$7:$E$3000))))</f>
        <v/>
      </c>
      <c r="BU68" s="32" t="str">
        <f>+IF(BU$3="","",IF($AY68="","",IFERROR(INDEX('Data Consolidada'!$E$7:$E$891,MATCH(CONCATENATE(BU$3,"-",$CP68,"-",$AY68),'Data Consolidada'!$K$7:$K$891,0)),MAX('Data Consolidada'!$E$7:$E$3000))))</f>
        <v/>
      </c>
      <c r="BV68" s="32" t="str">
        <f>+IF(BV$3="","",IF($AY68="","",IFERROR(INDEX('Data Consolidada'!$E$7:$E$891,MATCH(CONCATENATE(BV$3,"-",$CP68,"-",$AY68),'Data Consolidada'!$K$7:$K$891,0)),MAX('Data Consolidada'!$E$7:$E$3000))))</f>
        <v/>
      </c>
      <c r="BW68" s="32" t="str">
        <f>+IF(BW$3="","",IF($AY68="","",IFERROR(INDEX('Data Consolidada'!$E$7:$E$891,MATCH(CONCATENATE(BW$3,"-",$CP68,"-",$AY68),'Data Consolidada'!$K$7:$K$891,0)),MAX('Data Consolidada'!$E$7:$E$3000))))</f>
        <v/>
      </c>
      <c r="BX68" s="32" t="str">
        <f>+IF(BX$3="","",IF($AY68="","",IFERROR(INDEX('Data Consolidada'!$E$7:$E$891,MATCH(CONCATENATE(BX$3,"-",$CP68,"-",$AY68),'Data Consolidada'!$K$7:$K$891,0)),MAX('Data Consolidada'!$E$7:$E$3000))))</f>
        <v/>
      </c>
      <c r="BY68" s="32" t="str">
        <f>+IF(BY$3="","",IF($AY68="","",IFERROR(INDEX('Data Consolidada'!$E$7:$E$891,MATCH(CONCATENATE(BY$3,"-",$CP68,"-",$AY68),'Data Consolidada'!$K$7:$K$891,0)),MAX('Data Consolidada'!$E$7:$E$3000))))</f>
        <v/>
      </c>
      <c r="BZ68" s="32" t="str">
        <f>+IF(BZ$3="","",IF($AY68="","",IFERROR(INDEX('Data Consolidada'!$E$7:$E$891,MATCH(CONCATENATE(BZ$3,"-",$CP68,"-",$AY68),'Data Consolidada'!$K$7:$K$891,0)),MAX('Data Consolidada'!$E$7:$E$3000))))</f>
        <v/>
      </c>
      <c r="CA68" s="32" t="str">
        <f>+IF(CA$3="","",IF($AY68="","",IFERROR(INDEX('Data Consolidada'!$E$7:$E$891,MATCH(CONCATENATE(CA$3,"-",$CP68,"-",$AY68),'Data Consolidada'!$K$7:$K$891,0)),MAX('Data Consolidada'!$E$7:$E$3000))))</f>
        <v/>
      </c>
      <c r="CB68" s="32" t="str">
        <f>+IF(CB$3="","",IF($AY68="","",IFERROR(INDEX('Data Consolidada'!$E$7:$E$891,MATCH(CONCATENATE(CB$3,"-",$CP68,"-",$AY68),'Data Consolidada'!$K$7:$K$891,0)),MAX('Data Consolidada'!$E$7:$E$3000))))</f>
        <v/>
      </c>
      <c r="CC68" s="32" t="str">
        <f>+IF(CC$3="","",IF($AY68="","",IFERROR(INDEX('Data Consolidada'!$E$7:$E$891,MATCH(CONCATENATE(CC$3,"-",$CP68,"-",$AY68),'Data Consolidada'!$K$7:$K$891,0)),MAX('Data Consolidada'!$E$7:$E$3000))))</f>
        <v/>
      </c>
      <c r="CD68" s="32" t="str">
        <f>+IF(CD$3="","",IF($AY68="","",IFERROR(INDEX('Data Consolidada'!$E$7:$E$891,MATCH(CONCATENATE(CD$3,"-",$CP68,"-",$AY68),'Data Consolidada'!$K$7:$K$891,0)),MAX('Data Consolidada'!$E$7:$E$3000))))</f>
        <v/>
      </c>
      <c r="CE68" s="32" t="str">
        <f>+IF(CE$3="","",IF($AY68="","",IFERROR(INDEX('Data Consolidada'!$E$7:$E$891,MATCH(CONCATENATE(CE$3,"-",$CP68,"-",$AY68),'Data Consolidada'!$K$7:$K$891,0)),MAX('Data Consolidada'!$E$7:$E$3000))))</f>
        <v/>
      </c>
      <c r="CF68" s="32" t="str">
        <f>+IF(CF$3="","",IF($AY68="","",IFERROR(INDEX('Data Consolidada'!$E$7:$E$891,MATCH(CONCATENATE(CF$3,"-",$CP68,"-",$AY68),'Data Consolidada'!$K$7:$K$891,0)),MAX('Data Consolidada'!$E$7:$E$3000))))</f>
        <v/>
      </c>
      <c r="CG68" s="32" t="str">
        <f>+IF(CG$3="","",IF($AY68="","",IFERROR(INDEX('Data Consolidada'!$E$7:$E$891,MATCH(CONCATENATE(CG$3,"-",$CP68,"-",$AY68),'Data Consolidada'!$K$7:$K$891,0)),MAX('Data Consolidada'!$E$7:$E$3000))))</f>
        <v/>
      </c>
      <c r="CH68" s="32" t="str">
        <f>+IF(CH$3="","",IF($AY68="","",IFERROR(INDEX('Data Consolidada'!$E$7:$E$891,MATCH(CONCATENATE(CH$3,"-",$CP68,"-",$AY68),'Data Consolidada'!$K$7:$K$891,0)),MAX('Data Consolidada'!$E$7:$E$3000))))</f>
        <v/>
      </c>
      <c r="CI68" s="32" t="str">
        <f>+IF(CI$3="","",IF($AY68="","",IFERROR(INDEX('Data Consolidada'!$E$7:$E$891,MATCH(CONCATENATE(CI$3,"-",$CP68,"-",$AY68),'Data Consolidada'!$K$7:$K$891,0)),MAX('Data Consolidada'!$E$7:$E$3000))))</f>
        <v/>
      </c>
      <c r="CJ68" s="32" t="str">
        <f>+IF(CJ$3="","",IF($AY68="","",IFERROR(INDEX('Data Consolidada'!$E$7:$E$891,MATCH(CONCATENATE(CJ$3,"-",$CP68,"-",$AY68),'Data Consolidada'!$K$7:$K$891,0)),MAX('Data Consolidada'!$E$7:$E$3000))))</f>
        <v/>
      </c>
      <c r="CK68" s="32" t="str">
        <f>+IF(CK$3="","",IF($AY68="","",IFERROR(INDEX('Data Consolidada'!$E$7:$E$891,MATCH(CONCATENATE(CK$3,"-",$CP68,"-",$AY68),'Data Consolidada'!$K$7:$K$891,0)),MAX('Data Consolidada'!$E$7:$E$3000))))</f>
        <v/>
      </c>
      <c r="CL68" s="32" t="str">
        <f>+IF(CL$3="","",IF($AY68="","",IFERROR(INDEX('Data Consolidada'!$E$7:$E$891,MATCH(CONCATENATE(CL$3,"-",$CP68,"-",$AY68),'Data Consolidada'!$K$7:$K$891,0)),MAX('Data Consolidada'!$E$7:$E$3000))))</f>
        <v/>
      </c>
      <c r="CM68" s="32" t="str">
        <f>+IF(CM$3="","",IF($AY68="","",IFERROR(INDEX('Data Consolidada'!$E$7:$E$891,MATCH(CONCATENATE(CM$3,"-",$CP68,"-",$AY68),'Data Consolidada'!$K$7:$K$891,0)),MAX('Data Consolidada'!$E$7:$E$3000))))</f>
        <v/>
      </c>
      <c r="CN68" s="32" t="str">
        <f>+IF(CN$3="","",IF($AY68="","",IFERROR(INDEX('Data Consolidada'!$E$7:$E$891,MATCH(CONCATENATE(CN$3,"-",$CP68,"-",$AY68),'Data Consolidada'!$K$7:$K$891,0)),MAX('Data Consolidada'!$E$7:$E$3000))))</f>
        <v/>
      </c>
      <c r="CO68" s="37" t="str">
        <f>+IF(CO$3="","",IF($AY68="","",IFERROR(INDEX('Data Consolidada'!$E$7:$E$891,MATCH(CONCATENATE(CO$3,"-",$CP68,"-",$AY68),'Data Consolidada'!$K$7:$K$891,0)),MAX('Data Consolidada'!$E$7:$E$3000))))</f>
        <v/>
      </c>
      <c r="CP68" s="224">
        <f t="shared" ca="1" si="2"/>
        <v>0</v>
      </c>
      <c r="CQ68" s="84" t="str">
        <f t="shared" ca="1" si="3"/>
        <v>TRANS. MITRE SPA.0</v>
      </c>
    </row>
    <row r="69" spans="2:95" ht="15" customHeight="1" x14ac:dyDescent="0.35">
      <c r="B69" s="211">
        <f>COUNTA(B10:B68)</f>
        <v>13</v>
      </c>
      <c r="C69" s="211">
        <f t="shared" ref="C69:D69" si="36">COUNTA(C10:C68)</f>
        <v>2</v>
      </c>
      <c r="D69" s="211">
        <f t="shared" si="36"/>
        <v>13</v>
      </c>
      <c r="E69" s="53"/>
      <c r="G69" s="51"/>
      <c r="H69" s="43"/>
      <c r="I69" s="43"/>
      <c r="J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192"/>
      <c r="Z69" s="51"/>
      <c r="AS69"/>
      <c r="AT69"/>
      <c r="AU69"/>
      <c r="AV69"/>
      <c r="AW69" s="13">
        <f>+IF(AX69="","",IF(AX69&gt;AX68,AW68,IF(AW68&lt;$D$69,AW68+1,IF(COUNT(AW$4:AW68)&lt;$B$69*$E$54,1,""))))</f>
        <v>6</v>
      </c>
      <c r="AX69" s="13">
        <f>+IF(AX68&lt;$B$69,AX68+1,IF(COUNT(AX$4:AX68)&lt;$B$69*$D$69,1,""))</f>
        <v>1</v>
      </c>
      <c r="AY69" s="189" t="str">
        <f t="shared" ref="AY69:AY81" ca="1" si="37">+IF(AX69="","",OFFSET($B$9,AX69,0))</f>
        <v xml:space="preserve">  TRANS. MORROS LTDA.</v>
      </c>
      <c r="AZ69" s="36">
        <f ca="1">+IF(AZ$3="","",IF($AY69="","",IFERROR(INDEX('Data Consolidada'!$E$7:$E$891,MATCH(CONCATENATE(AZ$3,"-",$CP69,"-",$AY69),'Data Consolidada'!$K$7:$K$891,0)),MAX('Data Consolidada'!$E$7:$E$3000))))</f>
        <v>11000000</v>
      </c>
      <c r="BA69" s="32">
        <f ca="1">+IF(BA$3="","",IF($AY69="","",IFERROR(INDEX('Data Consolidada'!$E$7:$E$891,MATCH(CONCATENATE(BA$3,"-",$CP69,"-",$AY69),'Data Consolidada'!$K$7:$K$891,0)),MAX('Data Consolidada'!$E$7:$E$3000))))</f>
        <v>11000000</v>
      </c>
      <c r="BB69" s="32" t="str">
        <f>+IF(BB$3="","",IF($AY69="","",IFERROR(INDEX('Data Consolidada'!$E$7:$E$891,MATCH(CONCATENATE(BB$3,"-",$CP69,"-",$AY69),'Data Consolidada'!$K$7:$K$891,0)),MAX('Data Consolidada'!$E$7:$E$3000))))</f>
        <v/>
      </c>
      <c r="BC69" s="32" t="str">
        <f>+IF(BC$3="","",IF($AY69="","",IFERROR(INDEX('Data Consolidada'!$E$7:$E$891,MATCH(CONCATENATE(BC$3,"-",$CP69,"-",$AY69),'Data Consolidada'!$K$7:$K$891,0)),MAX('Data Consolidada'!$E$7:$E$3000))))</f>
        <v/>
      </c>
      <c r="BD69" s="32" t="str">
        <f>+IF(BD$3="","",IF($AY69="","",IFERROR(INDEX('Data Consolidada'!$E$7:$E$891,MATCH(CONCATENATE(BD$3,"-",$CP69,"-",$AY69),'Data Consolidada'!$K$7:$K$891,0)),MAX('Data Consolidada'!$E$7:$E$3000))))</f>
        <v/>
      </c>
      <c r="BE69" s="32" t="str">
        <f>+IF(BE$3="","",IF($AY69="","",IFERROR(INDEX('Data Consolidada'!$E$7:$E$891,MATCH(CONCATENATE(BE$3,"-",$CP69,"-",$AY69),'Data Consolidada'!$K$7:$K$891,0)),MAX('Data Consolidada'!$E$7:$E$3000))))</f>
        <v/>
      </c>
      <c r="BF69" s="32" t="str">
        <f>+IF(BF$3="","",IF($AY69="","",IFERROR(INDEX('Data Consolidada'!$E$7:$E$891,MATCH(CONCATENATE(BF$3,"-",$CP69,"-",$AY69),'Data Consolidada'!$K$7:$K$891,0)),MAX('Data Consolidada'!$E$7:$E$3000))))</f>
        <v/>
      </c>
      <c r="BG69" s="32" t="str">
        <f>+IF(BG$3="","",IF($AY69="","",IFERROR(INDEX('Data Consolidada'!$E$7:$E$891,MATCH(CONCATENATE(BG$3,"-",$CP69,"-",$AY69),'Data Consolidada'!$K$7:$K$891,0)),MAX('Data Consolidada'!$E$7:$E$3000))))</f>
        <v/>
      </c>
      <c r="BH69" s="32" t="str">
        <f>+IF(BH$3="","",IF($AY69="","",IFERROR(INDEX('Data Consolidada'!$E$7:$E$891,MATCH(CONCATENATE(BH$3,"-",$CP69,"-",$AY69),'Data Consolidada'!$K$7:$K$891,0)),MAX('Data Consolidada'!$E$7:$E$3000))))</f>
        <v/>
      </c>
      <c r="BI69" s="32" t="str">
        <f>+IF(BI$3="","",IF($AY69="","",IFERROR(INDEX('Data Consolidada'!$E$7:$E$891,MATCH(CONCATENATE(BI$3,"-",$CP69,"-",$AY69),'Data Consolidada'!$K$7:$K$891,0)),MAX('Data Consolidada'!$E$7:$E$3000))))</f>
        <v/>
      </c>
      <c r="BJ69" s="32" t="str">
        <f>+IF(BJ$3="","",IF($AY69="","",IFERROR(INDEX('Data Consolidada'!$E$7:$E$891,MATCH(CONCATENATE(BJ$3,"-",$CP69,"-",$AY69),'Data Consolidada'!$K$7:$K$891,0)),MAX('Data Consolidada'!$E$7:$E$3000))))</f>
        <v/>
      </c>
      <c r="BK69" s="32" t="str">
        <f>+IF(BK$3="","",IF($AY69="","",IFERROR(INDEX('Data Consolidada'!$E$7:$E$891,MATCH(CONCATENATE(BK$3,"-",$CP69,"-",$AY69),'Data Consolidada'!$K$7:$K$891,0)),MAX('Data Consolidada'!$E$7:$E$3000))))</f>
        <v/>
      </c>
      <c r="BL69" s="32" t="str">
        <f>+IF(BL$3="","",IF($AY69="","",IFERROR(INDEX('Data Consolidada'!$E$7:$E$891,MATCH(CONCATENATE(BL$3,"-",$CP69,"-",$AY69),'Data Consolidada'!$K$7:$K$891,0)),MAX('Data Consolidada'!$E$7:$E$3000))))</f>
        <v/>
      </c>
      <c r="BM69" s="32" t="str">
        <f>+IF(BM$3="","",IF($AY69="","",IFERROR(INDEX('Data Consolidada'!$E$7:$E$891,MATCH(CONCATENATE(BM$3,"-",$CP69,"-",$AY69),'Data Consolidada'!$K$7:$K$891,0)),MAX('Data Consolidada'!$E$7:$E$3000))))</f>
        <v/>
      </c>
      <c r="BN69" s="32" t="str">
        <f>+IF(BN$3="","",IF($AY69="","",IFERROR(INDEX('Data Consolidada'!$E$7:$E$891,MATCH(CONCATENATE(BN$3,"-",$CP69,"-",$AY69),'Data Consolidada'!$K$7:$K$891,0)),MAX('Data Consolidada'!$E$7:$E$3000))))</f>
        <v/>
      </c>
      <c r="BO69" s="32" t="str">
        <f>+IF(BO$3="","",IF($AY69="","",IFERROR(INDEX('Data Consolidada'!$E$7:$E$891,MATCH(CONCATENATE(BO$3,"-",$CP69,"-",$AY69),'Data Consolidada'!$K$7:$K$891,0)),MAX('Data Consolidada'!$E$7:$E$3000))))</f>
        <v/>
      </c>
      <c r="BP69" s="32" t="str">
        <f>+IF(BP$3="","",IF($AY69="","",IFERROR(INDEX('Data Consolidada'!$E$7:$E$891,MATCH(CONCATENATE(BP$3,"-",$CP69,"-",$AY69),'Data Consolidada'!$K$7:$K$891,0)),MAX('Data Consolidada'!$E$7:$E$3000))))</f>
        <v/>
      </c>
      <c r="BQ69" s="32" t="str">
        <f>+IF(BQ$3="","",IF($AY69="","",IFERROR(INDEX('Data Consolidada'!$E$7:$E$891,MATCH(CONCATENATE(BQ$3,"-",$CP69,"-",$AY69),'Data Consolidada'!$K$7:$K$891,0)),MAX('Data Consolidada'!$E$7:$E$3000))))</f>
        <v/>
      </c>
      <c r="BR69" s="32" t="str">
        <f>+IF(BR$3="","",IF($AY69="","",IFERROR(INDEX('Data Consolidada'!$E$7:$E$891,MATCH(CONCATENATE(BR$3,"-",$CP69,"-",$AY69),'Data Consolidada'!$K$7:$K$891,0)),MAX('Data Consolidada'!$E$7:$E$3000))))</f>
        <v/>
      </c>
      <c r="BS69" s="32" t="str">
        <f>+IF(BS$3="","",IF($AY69="","",IFERROR(INDEX('Data Consolidada'!$E$7:$E$891,MATCH(CONCATENATE(BS$3,"-",$CP69,"-",$AY69),'Data Consolidada'!$K$7:$K$891,0)),MAX('Data Consolidada'!$E$7:$E$3000))))</f>
        <v/>
      </c>
      <c r="BT69" s="32" t="str">
        <f>+IF(BT$3="","",IF($AY69="","",IFERROR(INDEX('Data Consolidada'!$E$7:$E$891,MATCH(CONCATENATE(BT$3,"-",$CP69,"-",$AY69),'Data Consolidada'!$K$7:$K$891,0)),MAX('Data Consolidada'!$E$7:$E$3000))))</f>
        <v/>
      </c>
      <c r="BU69" s="32" t="str">
        <f>+IF(BU$3="","",IF($AY69="","",IFERROR(INDEX('Data Consolidada'!$E$7:$E$891,MATCH(CONCATENATE(BU$3,"-",$CP69,"-",$AY69),'Data Consolidada'!$K$7:$K$891,0)),MAX('Data Consolidada'!$E$7:$E$3000))))</f>
        <v/>
      </c>
      <c r="BV69" s="32" t="str">
        <f>+IF(BV$3="","",IF($AY69="","",IFERROR(INDEX('Data Consolidada'!$E$7:$E$891,MATCH(CONCATENATE(BV$3,"-",$CP69,"-",$AY69),'Data Consolidada'!$K$7:$K$891,0)),MAX('Data Consolidada'!$E$7:$E$3000))))</f>
        <v/>
      </c>
      <c r="BW69" s="32" t="str">
        <f>+IF(BW$3="","",IF($AY69="","",IFERROR(INDEX('Data Consolidada'!$E$7:$E$891,MATCH(CONCATENATE(BW$3,"-",$CP69,"-",$AY69),'Data Consolidada'!$K$7:$K$891,0)),MAX('Data Consolidada'!$E$7:$E$3000))))</f>
        <v/>
      </c>
      <c r="BX69" s="32" t="str">
        <f>+IF(BX$3="","",IF($AY69="","",IFERROR(INDEX('Data Consolidada'!$E$7:$E$891,MATCH(CONCATENATE(BX$3,"-",$CP69,"-",$AY69),'Data Consolidada'!$K$7:$K$891,0)),MAX('Data Consolidada'!$E$7:$E$3000))))</f>
        <v/>
      </c>
      <c r="BY69" s="32" t="str">
        <f>+IF(BY$3="","",IF($AY69="","",IFERROR(INDEX('Data Consolidada'!$E$7:$E$891,MATCH(CONCATENATE(BY$3,"-",$CP69,"-",$AY69),'Data Consolidada'!$K$7:$K$891,0)),MAX('Data Consolidada'!$E$7:$E$3000))))</f>
        <v/>
      </c>
      <c r="BZ69" s="32" t="str">
        <f>+IF(BZ$3="","",IF($AY69="","",IFERROR(INDEX('Data Consolidada'!$E$7:$E$891,MATCH(CONCATENATE(BZ$3,"-",$CP69,"-",$AY69),'Data Consolidada'!$K$7:$K$891,0)),MAX('Data Consolidada'!$E$7:$E$3000))))</f>
        <v/>
      </c>
      <c r="CA69" s="32" t="str">
        <f>+IF(CA$3="","",IF($AY69="","",IFERROR(INDEX('Data Consolidada'!$E$7:$E$891,MATCH(CONCATENATE(CA$3,"-",$CP69,"-",$AY69),'Data Consolidada'!$K$7:$K$891,0)),MAX('Data Consolidada'!$E$7:$E$3000))))</f>
        <v/>
      </c>
      <c r="CB69" s="32" t="str">
        <f>+IF(CB$3="","",IF($AY69="","",IFERROR(INDEX('Data Consolidada'!$E$7:$E$891,MATCH(CONCATENATE(CB$3,"-",$CP69,"-",$AY69),'Data Consolidada'!$K$7:$K$891,0)),MAX('Data Consolidada'!$E$7:$E$3000))))</f>
        <v/>
      </c>
      <c r="CC69" s="32" t="str">
        <f>+IF(CC$3="","",IF($AY69="","",IFERROR(INDEX('Data Consolidada'!$E$7:$E$891,MATCH(CONCATENATE(CC$3,"-",$CP69,"-",$AY69),'Data Consolidada'!$K$7:$K$891,0)),MAX('Data Consolidada'!$E$7:$E$3000))))</f>
        <v/>
      </c>
      <c r="CD69" s="32" t="str">
        <f>+IF(CD$3="","",IF($AY69="","",IFERROR(INDEX('Data Consolidada'!$E$7:$E$891,MATCH(CONCATENATE(CD$3,"-",$CP69,"-",$AY69),'Data Consolidada'!$K$7:$K$891,0)),MAX('Data Consolidada'!$E$7:$E$3000))))</f>
        <v/>
      </c>
      <c r="CE69" s="32" t="str">
        <f>+IF(CE$3="","",IF($AY69="","",IFERROR(INDEX('Data Consolidada'!$E$7:$E$891,MATCH(CONCATENATE(CE$3,"-",$CP69,"-",$AY69),'Data Consolidada'!$K$7:$K$891,0)),MAX('Data Consolidada'!$E$7:$E$3000))))</f>
        <v/>
      </c>
      <c r="CF69" s="32" t="str">
        <f>+IF(CF$3="","",IF($AY69="","",IFERROR(INDEX('Data Consolidada'!$E$7:$E$891,MATCH(CONCATENATE(CF$3,"-",$CP69,"-",$AY69),'Data Consolidada'!$K$7:$K$891,0)),MAX('Data Consolidada'!$E$7:$E$3000))))</f>
        <v/>
      </c>
      <c r="CG69" s="32" t="str">
        <f>+IF(CG$3="","",IF($AY69="","",IFERROR(INDEX('Data Consolidada'!$E$7:$E$891,MATCH(CONCATENATE(CG$3,"-",$CP69,"-",$AY69),'Data Consolidada'!$K$7:$K$891,0)),MAX('Data Consolidada'!$E$7:$E$3000))))</f>
        <v/>
      </c>
      <c r="CH69" s="32" t="str">
        <f>+IF(CH$3="","",IF($AY69="","",IFERROR(INDEX('Data Consolidada'!$E$7:$E$891,MATCH(CONCATENATE(CH$3,"-",$CP69,"-",$AY69),'Data Consolidada'!$K$7:$K$891,0)),MAX('Data Consolidada'!$E$7:$E$3000))))</f>
        <v/>
      </c>
      <c r="CI69" s="32" t="str">
        <f>+IF(CI$3="","",IF($AY69="","",IFERROR(INDEX('Data Consolidada'!$E$7:$E$891,MATCH(CONCATENATE(CI$3,"-",$CP69,"-",$AY69),'Data Consolidada'!$K$7:$K$891,0)),MAX('Data Consolidada'!$E$7:$E$3000))))</f>
        <v/>
      </c>
      <c r="CJ69" s="32" t="str">
        <f>+IF(CJ$3="","",IF($AY69="","",IFERROR(INDEX('Data Consolidada'!$E$7:$E$891,MATCH(CONCATENATE(CJ$3,"-",$CP69,"-",$AY69),'Data Consolidada'!$K$7:$K$891,0)),MAX('Data Consolidada'!$E$7:$E$3000))))</f>
        <v/>
      </c>
      <c r="CK69" s="32" t="str">
        <f>+IF(CK$3="","",IF($AY69="","",IFERROR(INDEX('Data Consolidada'!$E$7:$E$891,MATCH(CONCATENATE(CK$3,"-",$CP69,"-",$AY69),'Data Consolidada'!$K$7:$K$891,0)),MAX('Data Consolidada'!$E$7:$E$3000))))</f>
        <v/>
      </c>
      <c r="CL69" s="32" t="str">
        <f>+IF(CL$3="","",IF($AY69="","",IFERROR(INDEX('Data Consolidada'!$E$7:$E$891,MATCH(CONCATENATE(CL$3,"-",$CP69,"-",$AY69),'Data Consolidada'!$K$7:$K$891,0)),MAX('Data Consolidada'!$E$7:$E$3000))))</f>
        <v/>
      </c>
      <c r="CM69" s="32" t="str">
        <f>+IF(CM$3="","",IF($AY69="","",IFERROR(INDEX('Data Consolidada'!$E$7:$E$891,MATCH(CONCATENATE(CM$3,"-",$CP69,"-",$AY69),'Data Consolidada'!$K$7:$K$891,0)),MAX('Data Consolidada'!$E$7:$E$3000))))</f>
        <v/>
      </c>
      <c r="CN69" s="32" t="str">
        <f>+IF(CN$3="","",IF($AY69="","",IFERROR(INDEX('Data Consolidada'!$E$7:$E$891,MATCH(CONCATENATE(CN$3,"-",$CP69,"-",$AY69),'Data Consolidada'!$K$7:$K$891,0)),MAX('Data Consolidada'!$E$7:$E$3000))))</f>
        <v/>
      </c>
      <c r="CO69" s="37" t="str">
        <f>+IF(CO$3="","",IF($AY69="","",IFERROR(INDEX('Data Consolidada'!$E$7:$E$891,MATCH(CONCATENATE(CO$3,"-",$CP69,"-",$AY69),'Data Consolidada'!$K$7:$K$891,0)),MAX('Data Consolidada'!$E$7:$E$3000))))</f>
        <v/>
      </c>
      <c r="CP69" s="224">
        <f t="shared" ref="CP69:CP81" ca="1" si="38">+IF(AW69="","",OFFSET($D$9,AW69,0))</f>
        <v>0</v>
      </c>
      <c r="CQ69" s="84" t="str">
        <f t="shared" ref="CQ69:CQ132" ca="1" si="39">+IF(CP69="","",CONCATENATE(AY69,CP69))</f>
        <v xml:space="preserve">  TRANS. MORROS LTDA.0</v>
      </c>
    </row>
    <row r="70" spans="2:95" ht="15" customHeight="1" thickBot="1" x14ac:dyDescent="0.4">
      <c r="B70" s="51"/>
      <c r="C70" s="202">
        <f t="shared" ref="C70:AR70" ca="1" si="40">+SUMPRODUCT(C72:C217,AZ4:AZ149)</f>
        <v>0</v>
      </c>
      <c r="D70" s="202">
        <f t="shared" ca="1" si="40"/>
        <v>0</v>
      </c>
      <c r="E70" s="202">
        <f t="shared" si="40"/>
        <v>0</v>
      </c>
      <c r="F70" s="202">
        <f t="shared" si="40"/>
        <v>0</v>
      </c>
      <c r="G70" s="202">
        <f t="shared" si="40"/>
        <v>0</v>
      </c>
      <c r="H70" s="202">
        <f t="shared" si="40"/>
        <v>0</v>
      </c>
      <c r="I70" s="202">
        <f t="shared" si="40"/>
        <v>0</v>
      </c>
      <c r="J70" s="202">
        <f t="shared" si="40"/>
        <v>0</v>
      </c>
      <c r="K70" s="202">
        <f t="shared" si="40"/>
        <v>0</v>
      </c>
      <c r="L70" s="202">
        <f t="shared" si="40"/>
        <v>0</v>
      </c>
      <c r="M70" s="202">
        <f t="shared" si="40"/>
        <v>0</v>
      </c>
      <c r="N70" s="202">
        <f t="shared" si="40"/>
        <v>0</v>
      </c>
      <c r="O70" s="202">
        <f t="shared" si="40"/>
        <v>0</v>
      </c>
      <c r="P70" s="202">
        <f t="shared" si="40"/>
        <v>0</v>
      </c>
      <c r="Q70" s="202">
        <f t="shared" si="40"/>
        <v>0</v>
      </c>
      <c r="R70" s="202">
        <f t="shared" si="40"/>
        <v>0</v>
      </c>
      <c r="S70" s="202">
        <f t="shared" si="40"/>
        <v>0</v>
      </c>
      <c r="T70" s="202">
        <f t="shared" si="40"/>
        <v>0</v>
      </c>
      <c r="U70" s="202">
        <f t="shared" si="40"/>
        <v>0</v>
      </c>
      <c r="V70" s="202">
        <f t="shared" si="40"/>
        <v>0</v>
      </c>
      <c r="W70" s="202">
        <f t="shared" si="40"/>
        <v>0</v>
      </c>
      <c r="X70" s="202">
        <f t="shared" si="40"/>
        <v>0</v>
      </c>
      <c r="Y70" s="202">
        <f t="shared" si="40"/>
        <v>0</v>
      </c>
      <c r="Z70" s="202">
        <f t="shared" si="40"/>
        <v>0</v>
      </c>
      <c r="AA70" s="202">
        <f t="shared" si="40"/>
        <v>0</v>
      </c>
      <c r="AB70" s="202">
        <f t="shared" si="40"/>
        <v>0</v>
      </c>
      <c r="AC70" s="202">
        <f t="shared" si="40"/>
        <v>0</v>
      </c>
      <c r="AD70" s="202">
        <f t="shared" si="40"/>
        <v>0</v>
      </c>
      <c r="AE70" s="202">
        <f t="shared" si="40"/>
        <v>0</v>
      </c>
      <c r="AF70" s="202">
        <f t="shared" si="40"/>
        <v>0</v>
      </c>
      <c r="AG70" s="202">
        <f t="shared" si="40"/>
        <v>0</v>
      </c>
      <c r="AH70" s="202">
        <f t="shared" si="40"/>
        <v>0</v>
      </c>
      <c r="AI70" s="202">
        <f t="shared" si="40"/>
        <v>0</v>
      </c>
      <c r="AJ70" s="202">
        <f t="shared" si="40"/>
        <v>0</v>
      </c>
      <c r="AK70" s="202">
        <f t="shared" si="40"/>
        <v>0</v>
      </c>
      <c r="AL70" s="202">
        <f t="shared" si="40"/>
        <v>0</v>
      </c>
      <c r="AM70" s="202">
        <f t="shared" si="40"/>
        <v>0</v>
      </c>
      <c r="AN70" s="202">
        <f t="shared" si="40"/>
        <v>0</v>
      </c>
      <c r="AO70" s="202">
        <f t="shared" si="40"/>
        <v>0</v>
      </c>
      <c r="AP70" s="202">
        <f t="shared" si="40"/>
        <v>0</v>
      </c>
      <c r="AQ70" s="202">
        <f t="shared" si="40"/>
        <v>0</v>
      </c>
      <c r="AR70" s="202">
        <f t="shared" si="40"/>
        <v>0</v>
      </c>
      <c r="AW70" s="13">
        <f>+IF(AX70="","",IF(AX70&gt;AX69,AW69,IF(AW69&lt;$D$69,AW69+1,IF(COUNT(AW$4:AW69)&lt;$B$69*$E$54,1,""))))</f>
        <v>6</v>
      </c>
      <c r="AX70" s="13">
        <f>+IF(AX69&lt;$B$69,AX69+1,IF(COUNT(AX$4:AX69)&lt;$B$69*$D$69,1,""))</f>
        <v>2</v>
      </c>
      <c r="AY70" s="189" t="str">
        <f t="shared" ca="1" si="37"/>
        <v xml:space="preserve">CRISTIAN LÓPEZ </v>
      </c>
      <c r="AZ70" s="36">
        <f ca="1">+IF(AZ$3="","",IF($AY70="","",IFERROR(INDEX('Data Consolidada'!$E$7:$E$891,MATCH(CONCATENATE(AZ$3,"-",$CP70,"-",$AY70),'Data Consolidada'!$K$7:$K$891,0)),MAX('Data Consolidada'!$E$7:$E$3000))))</f>
        <v>11000000</v>
      </c>
      <c r="BA70" s="32">
        <f ca="1">+IF(BA$3="","",IF($AY70="","",IFERROR(INDEX('Data Consolidada'!$E$7:$E$891,MATCH(CONCATENATE(BA$3,"-",$CP70,"-",$AY70),'Data Consolidada'!$K$7:$K$891,0)),MAX('Data Consolidada'!$E$7:$E$3000))))</f>
        <v>11000000</v>
      </c>
      <c r="BB70" s="32" t="str">
        <f>+IF(BB$3="","",IF($AY70="","",IFERROR(INDEX('Data Consolidada'!$E$7:$E$891,MATCH(CONCATENATE(BB$3,"-",$CP70,"-",$AY70),'Data Consolidada'!$K$7:$K$891,0)),MAX('Data Consolidada'!$E$7:$E$3000))))</f>
        <v/>
      </c>
      <c r="BC70" s="32" t="str">
        <f>+IF(BC$3="","",IF($AY70="","",IFERROR(INDEX('Data Consolidada'!$E$7:$E$891,MATCH(CONCATENATE(BC$3,"-",$CP70,"-",$AY70),'Data Consolidada'!$K$7:$K$891,0)),MAX('Data Consolidada'!$E$7:$E$3000))))</f>
        <v/>
      </c>
      <c r="BD70" s="32" t="str">
        <f>+IF(BD$3="","",IF($AY70="","",IFERROR(INDEX('Data Consolidada'!$E$7:$E$891,MATCH(CONCATENATE(BD$3,"-",$CP70,"-",$AY70),'Data Consolidada'!$K$7:$K$891,0)),MAX('Data Consolidada'!$E$7:$E$3000))))</f>
        <v/>
      </c>
      <c r="BE70" s="32" t="str">
        <f>+IF(BE$3="","",IF($AY70="","",IFERROR(INDEX('Data Consolidada'!$E$7:$E$891,MATCH(CONCATENATE(BE$3,"-",$CP70,"-",$AY70),'Data Consolidada'!$K$7:$K$891,0)),MAX('Data Consolidada'!$E$7:$E$3000))))</f>
        <v/>
      </c>
      <c r="BF70" s="32" t="str">
        <f>+IF(BF$3="","",IF($AY70="","",IFERROR(INDEX('Data Consolidada'!$E$7:$E$891,MATCH(CONCATENATE(BF$3,"-",$CP70,"-",$AY70),'Data Consolidada'!$K$7:$K$891,0)),MAX('Data Consolidada'!$E$7:$E$3000))))</f>
        <v/>
      </c>
      <c r="BG70" s="32" t="str">
        <f>+IF(BG$3="","",IF($AY70="","",IFERROR(INDEX('Data Consolidada'!$E$7:$E$891,MATCH(CONCATENATE(BG$3,"-",$CP70,"-",$AY70),'Data Consolidada'!$K$7:$K$891,0)),MAX('Data Consolidada'!$E$7:$E$3000))))</f>
        <v/>
      </c>
      <c r="BH70" s="32" t="str">
        <f>+IF(BH$3="","",IF($AY70="","",IFERROR(INDEX('Data Consolidada'!$E$7:$E$891,MATCH(CONCATENATE(BH$3,"-",$CP70,"-",$AY70),'Data Consolidada'!$K$7:$K$891,0)),MAX('Data Consolidada'!$E$7:$E$3000))))</f>
        <v/>
      </c>
      <c r="BI70" s="32" t="str">
        <f>+IF(BI$3="","",IF($AY70="","",IFERROR(INDEX('Data Consolidada'!$E$7:$E$891,MATCH(CONCATENATE(BI$3,"-",$CP70,"-",$AY70),'Data Consolidada'!$K$7:$K$891,0)),MAX('Data Consolidada'!$E$7:$E$3000))))</f>
        <v/>
      </c>
      <c r="BJ70" s="32" t="str">
        <f>+IF(BJ$3="","",IF($AY70="","",IFERROR(INDEX('Data Consolidada'!$E$7:$E$891,MATCH(CONCATENATE(BJ$3,"-",$CP70,"-",$AY70),'Data Consolidada'!$K$7:$K$891,0)),MAX('Data Consolidada'!$E$7:$E$3000))))</f>
        <v/>
      </c>
      <c r="BK70" s="32" t="str">
        <f>+IF(BK$3="","",IF($AY70="","",IFERROR(INDEX('Data Consolidada'!$E$7:$E$891,MATCH(CONCATENATE(BK$3,"-",$CP70,"-",$AY70),'Data Consolidada'!$K$7:$K$891,0)),MAX('Data Consolidada'!$E$7:$E$3000))))</f>
        <v/>
      </c>
      <c r="BL70" s="32" t="str">
        <f>+IF(BL$3="","",IF($AY70="","",IFERROR(INDEX('Data Consolidada'!$E$7:$E$891,MATCH(CONCATENATE(BL$3,"-",$CP70,"-",$AY70),'Data Consolidada'!$K$7:$K$891,0)),MAX('Data Consolidada'!$E$7:$E$3000))))</f>
        <v/>
      </c>
      <c r="BM70" s="32" t="str">
        <f>+IF(BM$3="","",IF($AY70="","",IFERROR(INDEX('Data Consolidada'!$E$7:$E$891,MATCH(CONCATENATE(BM$3,"-",$CP70,"-",$AY70),'Data Consolidada'!$K$7:$K$891,0)),MAX('Data Consolidada'!$E$7:$E$3000))))</f>
        <v/>
      </c>
      <c r="BN70" s="32" t="str">
        <f>+IF(BN$3="","",IF($AY70="","",IFERROR(INDEX('Data Consolidada'!$E$7:$E$891,MATCH(CONCATENATE(BN$3,"-",$CP70,"-",$AY70),'Data Consolidada'!$K$7:$K$891,0)),MAX('Data Consolidada'!$E$7:$E$3000))))</f>
        <v/>
      </c>
      <c r="BO70" s="32" t="str">
        <f>+IF(BO$3="","",IF($AY70="","",IFERROR(INDEX('Data Consolidada'!$E$7:$E$891,MATCH(CONCATENATE(BO$3,"-",$CP70,"-",$AY70),'Data Consolidada'!$K$7:$K$891,0)),MAX('Data Consolidada'!$E$7:$E$3000))))</f>
        <v/>
      </c>
      <c r="BP70" s="32" t="str">
        <f>+IF(BP$3="","",IF($AY70="","",IFERROR(INDEX('Data Consolidada'!$E$7:$E$891,MATCH(CONCATENATE(BP$3,"-",$CP70,"-",$AY70),'Data Consolidada'!$K$7:$K$891,0)),MAX('Data Consolidada'!$E$7:$E$3000))))</f>
        <v/>
      </c>
      <c r="BQ70" s="32" t="str">
        <f>+IF(BQ$3="","",IF($AY70="","",IFERROR(INDEX('Data Consolidada'!$E$7:$E$891,MATCH(CONCATENATE(BQ$3,"-",$CP70,"-",$AY70),'Data Consolidada'!$K$7:$K$891,0)),MAX('Data Consolidada'!$E$7:$E$3000))))</f>
        <v/>
      </c>
      <c r="BR70" s="32" t="str">
        <f>+IF(BR$3="","",IF($AY70="","",IFERROR(INDEX('Data Consolidada'!$E$7:$E$891,MATCH(CONCATENATE(BR$3,"-",$CP70,"-",$AY70),'Data Consolidada'!$K$7:$K$891,0)),MAX('Data Consolidada'!$E$7:$E$3000))))</f>
        <v/>
      </c>
      <c r="BS70" s="32" t="str">
        <f>+IF(BS$3="","",IF($AY70="","",IFERROR(INDEX('Data Consolidada'!$E$7:$E$891,MATCH(CONCATENATE(BS$3,"-",$CP70,"-",$AY70),'Data Consolidada'!$K$7:$K$891,0)),MAX('Data Consolidada'!$E$7:$E$3000))))</f>
        <v/>
      </c>
      <c r="BT70" s="32" t="str">
        <f>+IF(BT$3="","",IF($AY70="","",IFERROR(INDEX('Data Consolidada'!$E$7:$E$891,MATCH(CONCATENATE(BT$3,"-",$CP70,"-",$AY70),'Data Consolidada'!$K$7:$K$891,0)),MAX('Data Consolidada'!$E$7:$E$3000))))</f>
        <v/>
      </c>
      <c r="BU70" s="32" t="str">
        <f>+IF(BU$3="","",IF($AY70="","",IFERROR(INDEX('Data Consolidada'!$E$7:$E$891,MATCH(CONCATENATE(BU$3,"-",$CP70,"-",$AY70),'Data Consolidada'!$K$7:$K$891,0)),MAX('Data Consolidada'!$E$7:$E$3000))))</f>
        <v/>
      </c>
      <c r="BV70" s="32" t="str">
        <f>+IF(BV$3="","",IF($AY70="","",IFERROR(INDEX('Data Consolidada'!$E$7:$E$891,MATCH(CONCATENATE(BV$3,"-",$CP70,"-",$AY70),'Data Consolidada'!$K$7:$K$891,0)),MAX('Data Consolidada'!$E$7:$E$3000))))</f>
        <v/>
      </c>
      <c r="BW70" s="32" t="str">
        <f>+IF(BW$3="","",IF($AY70="","",IFERROR(INDEX('Data Consolidada'!$E$7:$E$891,MATCH(CONCATENATE(BW$3,"-",$CP70,"-",$AY70),'Data Consolidada'!$K$7:$K$891,0)),MAX('Data Consolidada'!$E$7:$E$3000))))</f>
        <v/>
      </c>
      <c r="BX70" s="32" t="str">
        <f>+IF(BX$3="","",IF($AY70="","",IFERROR(INDEX('Data Consolidada'!$E$7:$E$891,MATCH(CONCATENATE(BX$3,"-",$CP70,"-",$AY70),'Data Consolidada'!$K$7:$K$891,0)),MAX('Data Consolidada'!$E$7:$E$3000))))</f>
        <v/>
      </c>
      <c r="BY70" s="32" t="str">
        <f>+IF(BY$3="","",IF($AY70="","",IFERROR(INDEX('Data Consolidada'!$E$7:$E$891,MATCH(CONCATENATE(BY$3,"-",$CP70,"-",$AY70),'Data Consolidada'!$K$7:$K$891,0)),MAX('Data Consolidada'!$E$7:$E$3000))))</f>
        <v/>
      </c>
      <c r="BZ70" s="32" t="str">
        <f>+IF(BZ$3="","",IF($AY70="","",IFERROR(INDEX('Data Consolidada'!$E$7:$E$891,MATCH(CONCATENATE(BZ$3,"-",$CP70,"-",$AY70),'Data Consolidada'!$K$7:$K$891,0)),MAX('Data Consolidada'!$E$7:$E$3000))))</f>
        <v/>
      </c>
      <c r="CA70" s="32" t="str">
        <f>+IF(CA$3="","",IF($AY70="","",IFERROR(INDEX('Data Consolidada'!$E$7:$E$891,MATCH(CONCATENATE(CA$3,"-",$CP70,"-",$AY70),'Data Consolidada'!$K$7:$K$891,0)),MAX('Data Consolidada'!$E$7:$E$3000))))</f>
        <v/>
      </c>
      <c r="CB70" s="32" t="str">
        <f>+IF(CB$3="","",IF($AY70="","",IFERROR(INDEX('Data Consolidada'!$E$7:$E$891,MATCH(CONCATENATE(CB$3,"-",$CP70,"-",$AY70),'Data Consolidada'!$K$7:$K$891,0)),MAX('Data Consolidada'!$E$7:$E$3000))))</f>
        <v/>
      </c>
      <c r="CC70" s="32" t="str">
        <f>+IF(CC$3="","",IF($AY70="","",IFERROR(INDEX('Data Consolidada'!$E$7:$E$891,MATCH(CONCATENATE(CC$3,"-",$CP70,"-",$AY70),'Data Consolidada'!$K$7:$K$891,0)),MAX('Data Consolidada'!$E$7:$E$3000))))</f>
        <v/>
      </c>
      <c r="CD70" s="32" t="str">
        <f>+IF(CD$3="","",IF($AY70="","",IFERROR(INDEX('Data Consolidada'!$E$7:$E$891,MATCH(CONCATENATE(CD$3,"-",$CP70,"-",$AY70),'Data Consolidada'!$K$7:$K$891,0)),MAX('Data Consolidada'!$E$7:$E$3000))))</f>
        <v/>
      </c>
      <c r="CE70" s="32" t="str">
        <f>+IF(CE$3="","",IF($AY70="","",IFERROR(INDEX('Data Consolidada'!$E$7:$E$891,MATCH(CONCATENATE(CE$3,"-",$CP70,"-",$AY70),'Data Consolidada'!$K$7:$K$891,0)),MAX('Data Consolidada'!$E$7:$E$3000))))</f>
        <v/>
      </c>
      <c r="CF70" s="32" t="str">
        <f>+IF(CF$3="","",IF($AY70="","",IFERROR(INDEX('Data Consolidada'!$E$7:$E$891,MATCH(CONCATENATE(CF$3,"-",$CP70,"-",$AY70),'Data Consolidada'!$K$7:$K$891,0)),MAX('Data Consolidada'!$E$7:$E$3000))))</f>
        <v/>
      </c>
      <c r="CG70" s="32" t="str">
        <f>+IF(CG$3="","",IF($AY70="","",IFERROR(INDEX('Data Consolidada'!$E$7:$E$891,MATCH(CONCATENATE(CG$3,"-",$CP70,"-",$AY70),'Data Consolidada'!$K$7:$K$891,0)),MAX('Data Consolidada'!$E$7:$E$3000))))</f>
        <v/>
      </c>
      <c r="CH70" s="32" t="str">
        <f>+IF(CH$3="","",IF($AY70="","",IFERROR(INDEX('Data Consolidada'!$E$7:$E$891,MATCH(CONCATENATE(CH$3,"-",$CP70,"-",$AY70),'Data Consolidada'!$K$7:$K$891,0)),MAX('Data Consolidada'!$E$7:$E$3000))))</f>
        <v/>
      </c>
      <c r="CI70" s="32" t="str">
        <f>+IF(CI$3="","",IF($AY70="","",IFERROR(INDEX('Data Consolidada'!$E$7:$E$891,MATCH(CONCATENATE(CI$3,"-",$CP70,"-",$AY70),'Data Consolidada'!$K$7:$K$891,0)),MAX('Data Consolidada'!$E$7:$E$3000))))</f>
        <v/>
      </c>
      <c r="CJ70" s="32" t="str">
        <f>+IF(CJ$3="","",IF($AY70="","",IFERROR(INDEX('Data Consolidada'!$E$7:$E$891,MATCH(CONCATENATE(CJ$3,"-",$CP70,"-",$AY70),'Data Consolidada'!$K$7:$K$891,0)),MAX('Data Consolidada'!$E$7:$E$3000))))</f>
        <v/>
      </c>
      <c r="CK70" s="32" t="str">
        <f>+IF(CK$3="","",IF($AY70="","",IFERROR(INDEX('Data Consolidada'!$E$7:$E$891,MATCH(CONCATENATE(CK$3,"-",$CP70,"-",$AY70),'Data Consolidada'!$K$7:$K$891,0)),MAX('Data Consolidada'!$E$7:$E$3000))))</f>
        <v/>
      </c>
      <c r="CL70" s="32" t="str">
        <f>+IF(CL$3="","",IF($AY70="","",IFERROR(INDEX('Data Consolidada'!$E$7:$E$891,MATCH(CONCATENATE(CL$3,"-",$CP70,"-",$AY70),'Data Consolidada'!$K$7:$K$891,0)),MAX('Data Consolidada'!$E$7:$E$3000))))</f>
        <v/>
      </c>
      <c r="CM70" s="32" t="str">
        <f>+IF(CM$3="","",IF($AY70="","",IFERROR(INDEX('Data Consolidada'!$E$7:$E$891,MATCH(CONCATENATE(CM$3,"-",$CP70,"-",$AY70),'Data Consolidada'!$K$7:$K$891,0)),MAX('Data Consolidada'!$E$7:$E$3000))))</f>
        <v/>
      </c>
      <c r="CN70" s="32" t="str">
        <f>+IF(CN$3="","",IF($AY70="","",IFERROR(INDEX('Data Consolidada'!$E$7:$E$891,MATCH(CONCATENATE(CN$3,"-",$CP70,"-",$AY70),'Data Consolidada'!$K$7:$K$891,0)),MAX('Data Consolidada'!$E$7:$E$3000))))</f>
        <v/>
      </c>
      <c r="CO70" s="37" t="str">
        <f>+IF(CO$3="","",IF($AY70="","",IFERROR(INDEX('Data Consolidada'!$E$7:$E$891,MATCH(CONCATENATE(CO$3,"-",$CP70,"-",$AY70),'Data Consolidada'!$K$7:$K$891,0)),MAX('Data Consolidada'!$E$7:$E$3000))))</f>
        <v/>
      </c>
      <c r="CP70" s="224">
        <f t="shared" ca="1" si="38"/>
        <v>0</v>
      </c>
      <c r="CQ70" s="84" t="str">
        <f t="shared" ca="1" si="39"/>
        <v>CRISTIAN LÓPEZ 0</v>
      </c>
    </row>
    <row r="71" spans="2:95" ht="15" customHeight="1" thickBot="1" x14ac:dyDescent="0.4">
      <c r="B71" s="79" t="s">
        <v>11</v>
      </c>
      <c r="C71" s="20" t="str" cm="1">
        <f t="array" ref="C71:D71">+TRANSPOSE(_xlfn._xlws.FILTER(C10:C51,C10:C51&lt;&gt;""))</f>
        <v>El Retorno</v>
      </c>
      <c r="D71" s="20" t="str">
        <v>Panquehue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1" t="s">
        <v>16</v>
      </c>
      <c r="AT71" s="12"/>
      <c r="AU71" s="12"/>
      <c r="AV71" s="12"/>
      <c r="AW71" s="13">
        <f>+IF(AX71="","",IF(AX71&gt;AX70,AW70,IF(AW70&lt;$D$69,AW70+1,IF(COUNT(AW$4:AW70)&lt;$B$69*$E$54,1,""))))</f>
        <v>6</v>
      </c>
      <c r="AX71" s="13">
        <f>+IF(AX70&lt;$B$69,AX70+1,IF(COUNT(AX$4:AX70)&lt;$B$69*$D$69,1,""))</f>
        <v>3</v>
      </c>
      <c r="AY71" s="189" t="str">
        <f t="shared" ca="1" si="37"/>
        <v xml:space="preserve">GUSTAVO ZÚÑIGA </v>
      </c>
      <c r="AZ71" s="36">
        <f ca="1">+IF(AZ$3="","",IF($AY71="","",IFERROR(INDEX('Data Consolidada'!$E$7:$E$891,MATCH(CONCATENATE(AZ$3,"-",$CP71,"-",$AY71),'Data Consolidada'!$K$7:$K$891,0)),MAX('Data Consolidada'!$E$7:$E$3000))))</f>
        <v>11000000</v>
      </c>
      <c r="BA71" s="32">
        <f ca="1">+IF(BA$3="","",IF($AY71="","",IFERROR(INDEX('Data Consolidada'!$E$7:$E$891,MATCH(CONCATENATE(BA$3,"-",$CP71,"-",$AY71),'Data Consolidada'!$K$7:$K$891,0)),MAX('Data Consolidada'!$E$7:$E$3000))))</f>
        <v>11000000</v>
      </c>
      <c r="BB71" s="32" t="str">
        <f>+IF(BB$3="","",IF($AY71="","",IFERROR(INDEX('Data Consolidada'!$E$7:$E$891,MATCH(CONCATENATE(BB$3,"-",$CP71,"-",$AY71),'Data Consolidada'!$K$7:$K$891,0)),MAX('Data Consolidada'!$E$7:$E$3000))))</f>
        <v/>
      </c>
      <c r="BC71" s="32" t="str">
        <f>+IF(BC$3="","",IF($AY71="","",IFERROR(INDEX('Data Consolidada'!$E$7:$E$891,MATCH(CONCATENATE(BC$3,"-",$CP71,"-",$AY71),'Data Consolidada'!$K$7:$K$891,0)),MAX('Data Consolidada'!$E$7:$E$3000))))</f>
        <v/>
      </c>
      <c r="BD71" s="32" t="str">
        <f>+IF(BD$3="","",IF($AY71="","",IFERROR(INDEX('Data Consolidada'!$E$7:$E$891,MATCH(CONCATENATE(BD$3,"-",$CP71,"-",$AY71),'Data Consolidada'!$K$7:$K$891,0)),MAX('Data Consolidada'!$E$7:$E$3000))))</f>
        <v/>
      </c>
      <c r="BE71" s="32" t="str">
        <f>+IF(BE$3="","",IF($AY71="","",IFERROR(INDEX('Data Consolidada'!$E$7:$E$891,MATCH(CONCATENATE(BE$3,"-",$CP71,"-",$AY71),'Data Consolidada'!$K$7:$K$891,0)),MAX('Data Consolidada'!$E$7:$E$3000))))</f>
        <v/>
      </c>
      <c r="BF71" s="32" t="str">
        <f>+IF(BF$3="","",IF($AY71="","",IFERROR(INDEX('Data Consolidada'!$E$7:$E$891,MATCH(CONCATENATE(BF$3,"-",$CP71,"-",$AY71),'Data Consolidada'!$K$7:$K$891,0)),MAX('Data Consolidada'!$E$7:$E$3000))))</f>
        <v/>
      </c>
      <c r="BG71" s="32" t="str">
        <f>+IF(BG$3="","",IF($AY71="","",IFERROR(INDEX('Data Consolidada'!$E$7:$E$891,MATCH(CONCATENATE(BG$3,"-",$CP71,"-",$AY71),'Data Consolidada'!$K$7:$K$891,0)),MAX('Data Consolidada'!$E$7:$E$3000))))</f>
        <v/>
      </c>
      <c r="BH71" s="32" t="str">
        <f>+IF(BH$3="","",IF($AY71="","",IFERROR(INDEX('Data Consolidada'!$E$7:$E$891,MATCH(CONCATENATE(BH$3,"-",$CP71,"-",$AY71),'Data Consolidada'!$K$7:$K$891,0)),MAX('Data Consolidada'!$E$7:$E$3000))))</f>
        <v/>
      </c>
      <c r="BI71" s="32" t="str">
        <f>+IF(BI$3="","",IF($AY71="","",IFERROR(INDEX('Data Consolidada'!$E$7:$E$891,MATCH(CONCATENATE(BI$3,"-",$CP71,"-",$AY71),'Data Consolidada'!$K$7:$K$891,0)),MAX('Data Consolidada'!$E$7:$E$3000))))</f>
        <v/>
      </c>
      <c r="BJ71" s="32" t="str">
        <f>+IF(BJ$3="","",IF($AY71="","",IFERROR(INDEX('Data Consolidada'!$E$7:$E$891,MATCH(CONCATENATE(BJ$3,"-",$CP71,"-",$AY71),'Data Consolidada'!$K$7:$K$891,0)),MAX('Data Consolidada'!$E$7:$E$3000))))</f>
        <v/>
      </c>
      <c r="BK71" s="32" t="str">
        <f>+IF(BK$3="","",IF($AY71="","",IFERROR(INDEX('Data Consolidada'!$E$7:$E$891,MATCH(CONCATENATE(BK$3,"-",$CP71,"-",$AY71),'Data Consolidada'!$K$7:$K$891,0)),MAX('Data Consolidada'!$E$7:$E$3000))))</f>
        <v/>
      </c>
      <c r="BL71" s="32" t="str">
        <f>+IF(BL$3="","",IF($AY71="","",IFERROR(INDEX('Data Consolidada'!$E$7:$E$891,MATCH(CONCATENATE(BL$3,"-",$CP71,"-",$AY71),'Data Consolidada'!$K$7:$K$891,0)),MAX('Data Consolidada'!$E$7:$E$3000))))</f>
        <v/>
      </c>
      <c r="BM71" s="32" t="str">
        <f>+IF(BM$3="","",IF($AY71="","",IFERROR(INDEX('Data Consolidada'!$E$7:$E$891,MATCH(CONCATENATE(BM$3,"-",$CP71,"-",$AY71),'Data Consolidada'!$K$7:$K$891,0)),MAX('Data Consolidada'!$E$7:$E$3000))))</f>
        <v/>
      </c>
      <c r="BN71" s="32" t="str">
        <f>+IF(BN$3="","",IF($AY71="","",IFERROR(INDEX('Data Consolidada'!$E$7:$E$891,MATCH(CONCATENATE(BN$3,"-",$CP71,"-",$AY71),'Data Consolidada'!$K$7:$K$891,0)),MAX('Data Consolidada'!$E$7:$E$3000))))</f>
        <v/>
      </c>
      <c r="BO71" s="32" t="str">
        <f>+IF(BO$3="","",IF($AY71="","",IFERROR(INDEX('Data Consolidada'!$E$7:$E$891,MATCH(CONCATENATE(BO$3,"-",$CP71,"-",$AY71),'Data Consolidada'!$K$7:$K$891,0)),MAX('Data Consolidada'!$E$7:$E$3000))))</f>
        <v/>
      </c>
      <c r="BP71" s="32" t="str">
        <f>+IF(BP$3="","",IF($AY71="","",IFERROR(INDEX('Data Consolidada'!$E$7:$E$891,MATCH(CONCATENATE(BP$3,"-",$CP71,"-",$AY71),'Data Consolidada'!$K$7:$K$891,0)),MAX('Data Consolidada'!$E$7:$E$3000))))</f>
        <v/>
      </c>
      <c r="BQ71" s="32" t="str">
        <f>+IF(BQ$3="","",IF($AY71="","",IFERROR(INDEX('Data Consolidada'!$E$7:$E$891,MATCH(CONCATENATE(BQ$3,"-",$CP71,"-",$AY71),'Data Consolidada'!$K$7:$K$891,0)),MAX('Data Consolidada'!$E$7:$E$3000))))</f>
        <v/>
      </c>
      <c r="BR71" s="32" t="str">
        <f>+IF(BR$3="","",IF($AY71="","",IFERROR(INDEX('Data Consolidada'!$E$7:$E$891,MATCH(CONCATENATE(BR$3,"-",$CP71,"-",$AY71),'Data Consolidada'!$K$7:$K$891,0)),MAX('Data Consolidada'!$E$7:$E$3000))))</f>
        <v/>
      </c>
      <c r="BS71" s="32" t="str">
        <f>+IF(BS$3="","",IF($AY71="","",IFERROR(INDEX('Data Consolidada'!$E$7:$E$891,MATCH(CONCATENATE(BS$3,"-",$CP71,"-",$AY71),'Data Consolidada'!$K$7:$K$891,0)),MAX('Data Consolidada'!$E$7:$E$3000))))</f>
        <v/>
      </c>
      <c r="BT71" s="32" t="str">
        <f>+IF(BT$3="","",IF($AY71="","",IFERROR(INDEX('Data Consolidada'!$E$7:$E$891,MATCH(CONCATENATE(BT$3,"-",$CP71,"-",$AY71),'Data Consolidada'!$K$7:$K$891,0)),MAX('Data Consolidada'!$E$7:$E$3000))))</f>
        <v/>
      </c>
      <c r="BU71" s="32" t="str">
        <f>+IF(BU$3="","",IF($AY71="","",IFERROR(INDEX('Data Consolidada'!$E$7:$E$891,MATCH(CONCATENATE(BU$3,"-",$CP71,"-",$AY71),'Data Consolidada'!$K$7:$K$891,0)),MAX('Data Consolidada'!$E$7:$E$3000))))</f>
        <v/>
      </c>
      <c r="BV71" s="32" t="str">
        <f>+IF(BV$3="","",IF($AY71="","",IFERROR(INDEX('Data Consolidada'!$E$7:$E$891,MATCH(CONCATENATE(BV$3,"-",$CP71,"-",$AY71),'Data Consolidada'!$K$7:$K$891,0)),MAX('Data Consolidada'!$E$7:$E$3000))))</f>
        <v/>
      </c>
      <c r="BW71" s="32" t="str">
        <f>+IF(BW$3="","",IF($AY71="","",IFERROR(INDEX('Data Consolidada'!$E$7:$E$891,MATCH(CONCATENATE(BW$3,"-",$CP71,"-",$AY71),'Data Consolidada'!$K$7:$K$891,0)),MAX('Data Consolidada'!$E$7:$E$3000))))</f>
        <v/>
      </c>
      <c r="BX71" s="32" t="str">
        <f>+IF(BX$3="","",IF($AY71="","",IFERROR(INDEX('Data Consolidada'!$E$7:$E$891,MATCH(CONCATENATE(BX$3,"-",$CP71,"-",$AY71),'Data Consolidada'!$K$7:$K$891,0)),MAX('Data Consolidada'!$E$7:$E$3000))))</f>
        <v/>
      </c>
      <c r="BY71" s="32" t="str">
        <f>+IF(BY$3="","",IF($AY71="","",IFERROR(INDEX('Data Consolidada'!$E$7:$E$891,MATCH(CONCATENATE(BY$3,"-",$CP71,"-",$AY71),'Data Consolidada'!$K$7:$K$891,0)),MAX('Data Consolidada'!$E$7:$E$3000))))</f>
        <v/>
      </c>
      <c r="BZ71" s="32" t="str">
        <f>+IF(BZ$3="","",IF($AY71="","",IFERROR(INDEX('Data Consolidada'!$E$7:$E$891,MATCH(CONCATENATE(BZ$3,"-",$CP71,"-",$AY71),'Data Consolidada'!$K$7:$K$891,0)),MAX('Data Consolidada'!$E$7:$E$3000))))</f>
        <v/>
      </c>
      <c r="CA71" s="32" t="str">
        <f>+IF(CA$3="","",IF($AY71="","",IFERROR(INDEX('Data Consolidada'!$E$7:$E$891,MATCH(CONCATENATE(CA$3,"-",$CP71,"-",$AY71),'Data Consolidada'!$K$7:$K$891,0)),MAX('Data Consolidada'!$E$7:$E$3000))))</f>
        <v/>
      </c>
      <c r="CB71" s="32" t="str">
        <f>+IF(CB$3="","",IF($AY71="","",IFERROR(INDEX('Data Consolidada'!$E$7:$E$891,MATCH(CONCATENATE(CB$3,"-",$CP71,"-",$AY71),'Data Consolidada'!$K$7:$K$891,0)),MAX('Data Consolidada'!$E$7:$E$3000))))</f>
        <v/>
      </c>
      <c r="CC71" s="32" t="str">
        <f>+IF(CC$3="","",IF($AY71="","",IFERROR(INDEX('Data Consolidada'!$E$7:$E$891,MATCH(CONCATENATE(CC$3,"-",$CP71,"-",$AY71),'Data Consolidada'!$K$7:$K$891,0)),MAX('Data Consolidada'!$E$7:$E$3000))))</f>
        <v/>
      </c>
      <c r="CD71" s="32" t="str">
        <f>+IF(CD$3="","",IF($AY71="","",IFERROR(INDEX('Data Consolidada'!$E$7:$E$891,MATCH(CONCATENATE(CD$3,"-",$CP71,"-",$AY71),'Data Consolidada'!$K$7:$K$891,0)),MAX('Data Consolidada'!$E$7:$E$3000))))</f>
        <v/>
      </c>
      <c r="CE71" s="32" t="str">
        <f>+IF(CE$3="","",IF($AY71="","",IFERROR(INDEX('Data Consolidada'!$E$7:$E$891,MATCH(CONCATENATE(CE$3,"-",$CP71,"-",$AY71),'Data Consolidada'!$K$7:$K$891,0)),MAX('Data Consolidada'!$E$7:$E$3000))))</f>
        <v/>
      </c>
      <c r="CF71" s="32" t="str">
        <f>+IF(CF$3="","",IF($AY71="","",IFERROR(INDEX('Data Consolidada'!$E$7:$E$891,MATCH(CONCATENATE(CF$3,"-",$CP71,"-",$AY71),'Data Consolidada'!$K$7:$K$891,0)),MAX('Data Consolidada'!$E$7:$E$3000))))</f>
        <v/>
      </c>
      <c r="CG71" s="32" t="str">
        <f>+IF(CG$3="","",IF($AY71="","",IFERROR(INDEX('Data Consolidada'!$E$7:$E$891,MATCH(CONCATENATE(CG$3,"-",$CP71,"-",$AY71),'Data Consolidada'!$K$7:$K$891,0)),MAX('Data Consolidada'!$E$7:$E$3000))))</f>
        <v/>
      </c>
      <c r="CH71" s="32" t="str">
        <f>+IF(CH$3="","",IF($AY71="","",IFERROR(INDEX('Data Consolidada'!$E$7:$E$891,MATCH(CONCATENATE(CH$3,"-",$CP71,"-",$AY71),'Data Consolidada'!$K$7:$K$891,0)),MAX('Data Consolidada'!$E$7:$E$3000))))</f>
        <v/>
      </c>
      <c r="CI71" s="32" t="str">
        <f>+IF(CI$3="","",IF($AY71="","",IFERROR(INDEX('Data Consolidada'!$E$7:$E$891,MATCH(CONCATENATE(CI$3,"-",$CP71,"-",$AY71),'Data Consolidada'!$K$7:$K$891,0)),MAX('Data Consolidada'!$E$7:$E$3000))))</f>
        <v/>
      </c>
      <c r="CJ71" s="32" t="str">
        <f>+IF(CJ$3="","",IF($AY71="","",IFERROR(INDEX('Data Consolidada'!$E$7:$E$891,MATCH(CONCATENATE(CJ$3,"-",$CP71,"-",$AY71),'Data Consolidada'!$K$7:$K$891,0)),MAX('Data Consolidada'!$E$7:$E$3000))))</f>
        <v/>
      </c>
      <c r="CK71" s="32" t="str">
        <f>+IF(CK$3="","",IF($AY71="","",IFERROR(INDEX('Data Consolidada'!$E$7:$E$891,MATCH(CONCATENATE(CK$3,"-",$CP71,"-",$AY71),'Data Consolidada'!$K$7:$K$891,0)),MAX('Data Consolidada'!$E$7:$E$3000))))</f>
        <v/>
      </c>
      <c r="CL71" s="32" t="str">
        <f>+IF(CL$3="","",IF($AY71="","",IFERROR(INDEX('Data Consolidada'!$E$7:$E$891,MATCH(CONCATENATE(CL$3,"-",$CP71,"-",$AY71),'Data Consolidada'!$K$7:$K$891,0)),MAX('Data Consolidada'!$E$7:$E$3000))))</f>
        <v/>
      </c>
      <c r="CM71" s="32" t="str">
        <f>+IF(CM$3="","",IF($AY71="","",IFERROR(INDEX('Data Consolidada'!$E$7:$E$891,MATCH(CONCATENATE(CM$3,"-",$CP71,"-",$AY71),'Data Consolidada'!$K$7:$K$891,0)),MAX('Data Consolidada'!$E$7:$E$3000))))</f>
        <v/>
      </c>
      <c r="CN71" s="32" t="str">
        <f>+IF(CN$3="","",IF($AY71="","",IFERROR(INDEX('Data Consolidada'!$E$7:$E$891,MATCH(CONCATENATE(CN$3,"-",$CP71,"-",$AY71),'Data Consolidada'!$K$7:$K$891,0)),MAX('Data Consolidada'!$E$7:$E$3000))))</f>
        <v/>
      </c>
      <c r="CO71" s="37" t="str">
        <f>+IF(CO$3="","",IF($AY71="","",IFERROR(INDEX('Data Consolidada'!$E$7:$E$891,MATCH(CONCATENATE(CO$3,"-",$CP71,"-",$AY71),'Data Consolidada'!$K$7:$K$891,0)),MAX('Data Consolidada'!$E$7:$E$3000))))</f>
        <v/>
      </c>
      <c r="CP71" s="224">
        <f t="shared" ca="1" si="38"/>
        <v>0</v>
      </c>
      <c r="CQ71" s="84" t="str">
        <f t="shared" ca="1" si="39"/>
        <v>GUSTAVO ZÚÑIGA 0</v>
      </c>
    </row>
    <row r="72" spans="2:95" ht="15" customHeight="1" x14ac:dyDescent="0.35">
      <c r="B72" s="217" t="str">
        <f ca="1">+IF(AY4="","",AY4)</f>
        <v xml:space="preserve">  TRANS. MORROS LTDA.</v>
      </c>
      <c r="C72" s="236">
        <v>0</v>
      </c>
      <c r="D72" s="237">
        <v>0</v>
      </c>
      <c r="E72" s="237">
        <v>0</v>
      </c>
      <c r="F72" s="237">
        <v>0</v>
      </c>
      <c r="G72" s="237">
        <v>0</v>
      </c>
      <c r="H72" s="237">
        <v>0</v>
      </c>
      <c r="I72" s="237">
        <v>0</v>
      </c>
      <c r="J72" s="237">
        <v>0</v>
      </c>
      <c r="K72" s="237">
        <v>0</v>
      </c>
      <c r="L72" s="237">
        <v>0</v>
      </c>
      <c r="M72" s="237">
        <v>0</v>
      </c>
      <c r="N72" s="237">
        <v>0</v>
      </c>
      <c r="O72" s="237">
        <v>0</v>
      </c>
      <c r="P72" s="237">
        <v>0</v>
      </c>
      <c r="Q72" s="237">
        <v>0</v>
      </c>
      <c r="R72" s="237">
        <v>0</v>
      </c>
      <c r="S72" s="237">
        <v>0</v>
      </c>
      <c r="T72" s="237">
        <v>0</v>
      </c>
      <c r="U72" s="237">
        <v>0</v>
      </c>
      <c r="V72" s="237">
        <v>0</v>
      </c>
      <c r="W72" s="237">
        <v>0</v>
      </c>
      <c r="X72" s="237">
        <v>0</v>
      </c>
      <c r="Y72" s="237">
        <v>0</v>
      </c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51"/>
      <c r="AS72" s="220" t="str">
        <f ca="1">+IF(CP4="","",CP4)</f>
        <v>MOSTAZAL</v>
      </c>
      <c r="AT72" s="255">
        <f>+SUM(C72:AR72)</f>
        <v>0</v>
      </c>
      <c r="AU72" s="51"/>
      <c r="AV72" s="51"/>
      <c r="AW72" s="13">
        <f>+IF(AX72="","",IF(AX72&gt;AX71,AW71,IF(AW71&lt;$D$69,AW71+1,IF(COUNT(AW$4:AW71)&lt;$B$69*$E$54,1,""))))</f>
        <v>6</v>
      </c>
      <c r="AX72" s="13">
        <f>+IF(AX71&lt;$B$69,AX71+1,IF(COUNT(AX$4:AX71)&lt;$B$69*$D$69,1,""))</f>
        <v>4</v>
      </c>
      <c r="AY72" s="189" t="str">
        <f t="shared" ca="1" si="37"/>
        <v>LAVALLE</v>
      </c>
      <c r="AZ72" s="36">
        <f ca="1">+IF(AZ$3="","",IF($AY72="","",IFERROR(INDEX('Data Consolidada'!$E$7:$E$891,MATCH(CONCATENATE(AZ$3,"-",$CP72,"-",$AY72),'Data Consolidada'!$K$7:$K$891,0)),MAX('Data Consolidada'!$E$7:$E$3000))))</f>
        <v>11000000</v>
      </c>
      <c r="BA72" s="32">
        <f ca="1">+IF(BA$3="","",IF($AY72="","",IFERROR(INDEX('Data Consolidada'!$E$7:$E$891,MATCH(CONCATENATE(BA$3,"-",$CP72,"-",$AY72),'Data Consolidada'!$K$7:$K$891,0)),MAX('Data Consolidada'!$E$7:$E$3000))))</f>
        <v>11000000</v>
      </c>
      <c r="BB72" s="32" t="str">
        <f>+IF(BB$3="","",IF($AY72="","",IFERROR(INDEX('Data Consolidada'!$E$7:$E$891,MATCH(CONCATENATE(BB$3,"-",$CP72,"-",$AY72),'Data Consolidada'!$K$7:$K$891,0)),MAX('Data Consolidada'!$E$7:$E$3000))))</f>
        <v/>
      </c>
      <c r="BC72" s="32" t="str">
        <f>+IF(BC$3="","",IF($AY72="","",IFERROR(INDEX('Data Consolidada'!$E$7:$E$891,MATCH(CONCATENATE(BC$3,"-",$CP72,"-",$AY72),'Data Consolidada'!$K$7:$K$891,0)),MAX('Data Consolidada'!$E$7:$E$3000))))</f>
        <v/>
      </c>
      <c r="BD72" s="32" t="str">
        <f>+IF(BD$3="","",IF($AY72="","",IFERROR(INDEX('Data Consolidada'!$E$7:$E$891,MATCH(CONCATENATE(BD$3,"-",$CP72,"-",$AY72),'Data Consolidada'!$K$7:$K$891,0)),MAX('Data Consolidada'!$E$7:$E$3000))))</f>
        <v/>
      </c>
      <c r="BE72" s="32" t="str">
        <f>+IF(BE$3="","",IF($AY72="","",IFERROR(INDEX('Data Consolidada'!$E$7:$E$891,MATCH(CONCATENATE(BE$3,"-",$CP72,"-",$AY72),'Data Consolidada'!$K$7:$K$891,0)),MAX('Data Consolidada'!$E$7:$E$3000))))</f>
        <v/>
      </c>
      <c r="BF72" s="32" t="str">
        <f>+IF(BF$3="","",IF($AY72="","",IFERROR(INDEX('Data Consolidada'!$E$7:$E$891,MATCH(CONCATENATE(BF$3,"-",$CP72,"-",$AY72),'Data Consolidada'!$K$7:$K$891,0)),MAX('Data Consolidada'!$E$7:$E$3000))))</f>
        <v/>
      </c>
      <c r="BG72" s="32" t="str">
        <f>+IF(BG$3="","",IF($AY72="","",IFERROR(INDEX('Data Consolidada'!$E$7:$E$891,MATCH(CONCATENATE(BG$3,"-",$CP72,"-",$AY72),'Data Consolidada'!$K$7:$K$891,0)),MAX('Data Consolidada'!$E$7:$E$3000))))</f>
        <v/>
      </c>
      <c r="BH72" s="32" t="str">
        <f>+IF(BH$3="","",IF($AY72="","",IFERROR(INDEX('Data Consolidada'!$E$7:$E$891,MATCH(CONCATENATE(BH$3,"-",$CP72,"-",$AY72),'Data Consolidada'!$K$7:$K$891,0)),MAX('Data Consolidada'!$E$7:$E$3000))))</f>
        <v/>
      </c>
      <c r="BI72" s="32" t="str">
        <f>+IF(BI$3="","",IF($AY72="","",IFERROR(INDEX('Data Consolidada'!$E$7:$E$891,MATCH(CONCATENATE(BI$3,"-",$CP72,"-",$AY72),'Data Consolidada'!$K$7:$K$891,0)),MAX('Data Consolidada'!$E$7:$E$3000))))</f>
        <v/>
      </c>
      <c r="BJ72" s="32" t="str">
        <f>+IF(BJ$3="","",IF($AY72="","",IFERROR(INDEX('Data Consolidada'!$E$7:$E$891,MATCH(CONCATENATE(BJ$3,"-",$CP72,"-",$AY72),'Data Consolidada'!$K$7:$K$891,0)),MAX('Data Consolidada'!$E$7:$E$3000))))</f>
        <v/>
      </c>
      <c r="BK72" s="32" t="str">
        <f>+IF(BK$3="","",IF($AY72="","",IFERROR(INDEX('Data Consolidada'!$E$7:$E$891,MATCH(CONCATENATE(BK$3,"-",$CP72,"-",$AY72),'Data Consolidada'!$K$7:$K$891,0)),MAX('Data Consolidada'!$E$7:$E$3000))))</f>
        <v/>
      </c>
      <c r="BL72" s="32" t="str">
        <f>+IF(BL$3="","",IF($AY72="","",IFERROR(INDEX('Data Consolidada'!$E$7:$E$891,MATCH(CONCATENATE(BL$3,"-",$CP72,"-",$AY72),'Data Consolidada'!$K$7:$K$891,0)),MAX('Data Consolidada'!$E$7:$E$3000))))</f>
        <v/>
      </c>
      <c r="BM72" s="32" t="str">
        <f>+IF(BM$3="","",IF($AY72="","",IFERROR(INDEX('Data Consolidada'!$E$7:$E$891,MATCH(CONCATENATE(BM$3,"-",$CP72,"-",$AY72),'Data Consolidada'!$K$7:$K$891,0)),MAX('Data Consolidada'!$E$7:$E$3000))))</f>
        <v/>
      </c>
      <c r="BN72" s="32" t="str">
        <f>+IF(BN$3="","",IF($AY72="","",IFERROR(INDEX('Data Consolidada'!$E$7:$E$891,MATCH(CONCATENATE(BN$3,"-",$CP72,"-",$AY72),'Data Consolidada'!$K$7:$K$891,0)),MAX('Data Consolidada'!$E$7:$E$3000))))</f>
        <v/>
      </c>
      <c r="BO72" s="32" t="str">
        <f>+IF(BO$3="","",IF($AY72="","",IFERROR(INDEX('Data Consolidada'!$E$7:$E$891,MATCH(CONCATENATE(BO$3,"-",$CP72,"-",$AY72),'Data Consolidada'!$K$7:$K$891,0)),MAX('Data Consolidada'!$E$7:$E$3000))))</f>
        <v/>
      </c>
      <c r="BP72" s="32" t="str">
        <f>+IF(BP$3="","",IF($AY72="","",IFERROR(INDEX('Data Consolidada'!$E$7:$E$891,MATCH(CONCATENATE(BP$3,"-",$CP72,"-",$AY72),'Data Consolidada'!$K$7:$K$891,0)),MAX('Data Consolidada'!$E$7:$E$3000))))</f>
        <v/>
      </c>
      <c r="BQ72" s="32" t="str">
        <f>+IF(BQ$3="","",IF($AY72="","",IFERROR(INDEX('Data Consolidada'!$E$7:$E$891,MATCH(CONCATENATE(BQ$3,"-",$CP72,"-",$AY72),'Data Consolidada'!$K$7:$K$891,0)),MAX('Data Consolidada'!$E$7:$E$3000))))</f>
        <v/>
      </c>
      <c r="BR72" s="32" t="str">
        <f>+IF(BR$3="","",IF($AY72="","",IFERROR(INDEX('Data Consolidada'!$E$7:$E$891,MATCH(CONCATENATE(BR$3,"-",$CP72,"-",$AY72),'Data Consolidada'!$K$7:$K$891,0)),MAX('Data Consolidada'!$E$7:$E$3000))))</f>
        <v/>
      </c>
      <c r="BS72" s="32" t="str">
        <f>+IF(BS$3="","",IF($AY72="","",IFERROR(INDEX('Data Consolidada'!$E$7:$E$891,MATCH(CONCATENATE(BS$3,"-",$CP72,"-",$AY72),'Data Consolidada'!$K$7:$K$891,0)),MAX('Data Consolidada'!$E$7:$E$3000))))</f>
        <v/>
      </c>
      <c r="BT72" s="32" t="str">
        <f>+IF(BT$3="","",IF($AY72="","",IFERROR(INDEX('Data Consolidada'!$E$7:$E$891,MATCH(CONCATENATE(BT$3,"-",$CP72,"-",$AY72),'Data Consolidada'!$K$7:$K$891,0)),MAX('Data Consolidada'!$E$7:$E$3000))))</f>
        <v/>
      </c>
      <c r="BU72" s="32" t="str">
        <f>+IF(BU$3="","",IF($AY72="","",IFERROR(INDEX('Data Consolidada'!$E$7:$E$891,MATCH(CONCATENATE(BU$3,"-",$CP72,"-",$AY72),'Data Consolidada'!$K$7:$K$891,0)),MAX('Data Consolidada'!$E$7:$E$3000))))</f>
        <v/>
      </c>
      <c r="BV72" s="32" t="str">
        <f>+IF(BV$3="","",IF($AY72="","",IFERROR(INDEX('Data Consolidada'!$E$7:$E$891,MATCH(CONCATENATE(BV$3,"-",$CP72,"-",$AY72),'Data Consolidada'!$K$7:$K$891,0)),MAX('Data Consolidada'!$E$7:$E$3000))))</f>
        <v/>
      </c>
      <c r="BW72" s="32" t="str">
        <f>+IF(BW$3="","",IF($AY72="","",IFERROR(INDEX('Data Consolidada'!$E$7:$E$891,MATCH(CONCATENATE(BW$3,"-",$CP72,"-",$AY72),'Data Consolidada'!$K$7:$K$891,0)),MAX('Data Consolidada'!$E$7:$E$3000))))</f>
        <v/>
      </c>
      <c r="BX72" s="32" t="str">
        <f>+IF(BX$3="","",IF($AY72="","",IFERROR(INDEX('Data Consolidada'!$E$7:$E$891,MATCH(CONCATENATE(BX$3,"-",$CP72,"-",$AY72),'Data Consolidada'!$K$7:$K$891,0)),MAX('Data Consolidada'!$E$7:$E$3000))))</f>
        <v/>
      </c>
      <c r="BY72" s="32" t="str">
        <f>+IF(BY$3="","",IF($AY72="","",IFERROR(INDEX('Data Consolidada'!$E$7:$E$891,MATCH(CONCATENATE(BY$3,"-",$CP72,"-",$AY72),'Data Consolidada'!$K$7:$K$891,0)),MAX('Data Consolidada'!$E$7:$E$3000))))</f>
        <v/>
      </c>
      <c r="BZ72" s="32" t="str">
        <f>+IF(BZ$3="","",IF($AY72="","",IFERROR(INDEX('Data Consolidada'!$E$7:$E$891,MATCH(CONCATENATE(BZ$3,"-",$CP72,"-",$AY72),'Data Consolidada'!$K$7:$K$891,0)),MAX('Data Consolidada'!$E$7:$E$3000))))</f>
        <v/>
      </c>
      <c r="CA72" s="32" t="str">
        <f>+IF(CA$3="","",IF($AY72="","",IFERROR(INDEX('Data Consolidada'!$E$7:$E$891,MATCH(CONCATENATE(CA$3,"-",$CP72,"-",$AY72),'Data Consolidada'!$K$7:$K$891,0)),MAX('Data Consolidada'!$E$7:$E$3000))))</f>
        <v/>
      </c>
      <c r="CB72" s="32" t="str">
        <f>+IF(CB$3="","",IF($AY72="","",IFERROR(INDEX('Data Consolidada'!$E$7:$E$891,MATCH(CONCATENATE(CB$3,"-",$CP72,"-",$AY72),'Data Consolidada'!$K$7:$K$891,0)),MAX('Data Consolidada'!$E$7:$E$3000))))</f>
        <v/>
      </c>
      <c r="CC72" s="32" t="str">
        <f>+IF(CC$3="","",IF($AY72="","",IFERROR(INDEX('Data Consolidada'!$E$7:$E$891,MATCH(CONCATENATE(CC$3,"-",$CP72,"-",$AY72),'Data Consolidada'!$K$7:$K$891,0)),MAX('Data Consolidada'!$E$7:$E$3000))))</f>
        <v/>
      </c>
      <c r="CD72" s="32" t="str">
        <f>+IF(CD$3="","",IF($AY72="","",IFERROR(INDEX('Data Consolidada'!$E$7:$E$891,MATCH(CONCATENATE(CD$3,"-",$CP72,"-",$AY72),'Data Consolidada'!$K$7:$K$891,0)),MAX('Data Consolidada'!$E$7:$E$3000))))</f>
        <v/>
      </c>
      <c r="CE72" s="32" t="str">
        <f>+IF(CE$3="","",IF($AY72="","",IFERROR(INDEX('Data Consolidada'!$E$7:$E$891,MATCH(CONCATENATE(CE$3,"-",$CP72,"-",$AY72),'Data Consolidada'!$K$7:$K$891,0)),MAX('Data Consolidada'!$E$7:$E$3000))))</f>
        <v/>
      </c>
      <c r="CF72" s="32" t="str">
        <f>+IF(CF$3="","",IF($AY72="","",IFERROR(INDEX('Data Consolidada'!$E$7:$E$891,MATCH(CONCATENATE(CF$3,"-",$CP72,"-",$AY72),'Data Consolidada'!$K$7:$K$891,0)),MAX('Data Consolidada'!$E$7:$E$3000))))</f>
        <v/>
      </c>
      <c r="CG72" s="32" t="str">
        <f>+IF(CG$3="","",IF($AY72="","",IFERROR(INDEX('Data Consolidada'!$E$7:$E$891,MATCH(CONCATENATE(CG$3,"-",$CP72,"-",$AY72),'Data Consolidada'!$K$7:$K$891,0)),MAX('Data Consolidada'!$E$7:$E$3000))))</f>
        <v/>
      </c>
      <c r="CH72" s="32" t="str">
        <f>+IF(CH$3="","",IF($AY72="","",IFERROR(INDEX('Data Consolidada'!$E$7:$E$891,MATCH(CONCATENATE(CH$3,"-",$CP72,"-",$AY72),'Data Consolidada'!$K$7:$K$891,0)),MAX('Data Consolidada'!$E$7:$E$3000))))</f>
        <v/>
      </c>
      <c r="CI72" s="32" t="str">
        <f>+IF(CI$3="","",IF($AY72="","",IFERROR(INDEX('Data Consolidada'!$E$7:$E$891,MATCH(CONCATENATE(CI$3,"-",$CP72,"-",$AY72),'Data Consolidada'!$K$7:$K$891,0)),MAX('Data Consolidada'!$E$7:$E$3000))))</f>
        <v/>
      </c>
      <c r="CJ72" s="32" t="str">
        <f>+IF(CJ$3="","",IF($AY72="","",IFERROR(INDEX('Data Consolidada'!$E$7:$E$891,MATCH(CONCATENATE(CJ$3,"-",$CP72,"-",$AY72),'Data Consolidada'!$K$7:$K$891,0)),MAX('Data Consolidada'!$E$7:$E$3000))))</f>
        <v/>
      </c>
      <c r="CK72" s="32" t="str">
        <f>+IF(CK$3="","",IF($AY72="","",IFERROR(INDEX('Data Consolidada'!$E$7:$E$891,MATCH(CONCATENATE(CK$3,"-",$CP72,"-",$AY72),'Data Consolidada'!$K$7:$K$891,0)),MAX('Data Consolidada'!$E$7:$E$3000))))</f>
        <v/>
      </c>
      <c r="CL72" s="32" t="str">
        <f>+IF(CL$3="","",IF($AY72="","",IFERROR(INDEX('Data Consolidada'!$E$7:$E$891,MATCH(CONCATENATE(CL$3,"-",$CP72,"-",$AY72),'Data Consolidada'!$K$7:$K$891,0)),MAX('Data Consolidada'!$E$7:$E$3000))))</f>
        <v/>
      </c>
      <c r="CM72" s="32" t="str">
        <f>+IF(CM$3="","",IF($AY72="","",IFERROR(INDEX('Data Consolidada'!$E$7:$E$891,MATCH(CONCATENATE(CM$3,"-",$CP72,"-",$AY72),'Data Consolidada'!$K$7:$K$891,0)),MAX('Data Consolidada'!$E$7:$E$3000))))</f>
        <v/>
      </c>
      <c r="CN72" s="32" t="str">
        <f>+IF(CN$3="","",IF($AY72="","",IFERROR(INDEX('Data Consolidada'!$E$7:$E$891,MATCH(CONCATENATE(CN$3,"-",$CP72,"-",$AY72),'Data Consolidada'!$K$7:$K$891,0)),MAX('Data Consolidada'!$E$7:$E$3000))))</f>
        <v/>
      </c>
      <c r="CO72" s="37" t="str">
        <f>+IF(CO$3="","",IF($AY72="","",IFERROR(INDEX('Data Consolidada'!$E$7:$E$891,MATCH(CONCATENATE(CO$3,"-",$CP72,"-",$AY72),'Data Consolidada'!$K$7:$K$891,0)),MAX('Data Consolidada'!$E$7:$E$3000))))</f>
        <v/>
      </c>
      <c r="CP72" s="224">
        <f t="shared" ca="1" si="38"/>
        <v>0</v>
      </c>
      <c r="CQ72" s="84" t="str">
        <f t="shared" ca="1" si="39"/>
        <v>LAVALLE0</v>
      </c>
    </row>
    <row r="73" spans="2:95" ht="15" customHeight="1" x14ac:dyDescent="0.35">
      <c r="B73" s="218" t="str">
        <f t="shared" ref="B73:B136" ca="1" si="41">+IF(AY5="","",AY5)</f>
        <v xml:space="preserve">CRISTIAN LÓPEZ </v>
      </c>
      <c r="C73" s="238">
        <v>0</v>
      </c>
      <c r="D73" s="239">
        <v>0</v>
      </c>
      <c r="E73" s="239">
        <v>0</v>
      </c>
      <c r="F73" s="239">
        <v>0</v>
      </c>
      <c r="G73" s="239">
        <v>0</v>
      </c>
      <c r="H73" s="239">
        <v>0</v>
      </c>
      <c r="I73" s="239">
        <v>0</v>
      </c>
      <c r="J73" s="239">
        <v>0</v>
      </c>
      <c r="K73" s="239">
        <v>0</v>
      </c>
      <c r="L73" s="239">
        <v>0</v>
      </c>
      <c r="M73" s="239">
        <v>0</v>
      </c>
      <c r="N73" s="239">
        <v>0</v>
      </c>
      <c r="O73" s="239">
        <v>0</v>
      </c>
      <c r="P73" s="239">
        <v>0</v>
      </c>
      <c r="Q73" s="239">
        <v>0</v>
      </c>
      <c r="R73" s="239">
        <v>0</v>
      </c>
      <c r="S73" s="239">
        <v>0</v>
      </c>
      <c r="T73" s="239">
        <v>0</v>
      </c>
      <c r="U73" s="239">
        <v>0</v>
      </c>
      <c r="V73" s="239">
        <v>0</v>
      </c>
      <c r="W73" s="239">
        <v>0</v>
      </c>
      <c r="X73" s="239">
        <v>0</v>
      </c>
      <c r="Y73" s="239">
        <v>0</v>
      </c>
      <c r="Z73" s="239"/>
      <c r="AA73" s="239"/>
      <c r="AB73" s="239"/>
      <c r="AC73" s="239"/>
      <c r="AD73" s="239"/>
      <c r="AE73" s="239"/>
      <c r="AF73" s="239"/>
      <c r="AG73" s="239"/>
      <c r="AH73" s="239"/>
      <c r="AI73" s="239"/>
      <c r="AJ73" s="239"/>
      <c r="AK73" s="239"/>
      <c r="AL73" s="239"/>
      <c r="AM73" s="239"/>
      <c r="AN73" s="239"/>
      <c r="AO73" s="239"/>
      <c r="AP73" s="239"/>
      <c r="AQ73" s="239"/>
      <c r="AR73" s="252"/>
      <c r="AS73" s="77" t="str">
        <f t="shared" ref="AS73:AS136" ca="1" si="42">+IF(CP5="","",CP5)</f>
        <v>MOSTAZAL</v>
      </c>
      <c r="AT73" s="255">
        <f t="shared" ref="AT73:AT136" si="43">+SUM(C73:AR73)</f>
        <v>0</v>
      </c>
      <c r="AU73" s="51"/>
      <c r="AV73" s="51"/>
      <c r="AW73" s="13">
        <f>+IF(AX73="","",IF(AX73&gt;AX72,AW72,IF(AW72&lt;$D$69,AW72+1,IF(COUNT(AW$4:AW72)&lt;$B$69*$E$54,1,""))))</f>
        <v>6</v>
      </c>
      <c r="AX73" s="13">
        <f>+IF(AX72&lt;$B$69,AX72+1,IF(COUNT(AX$4:AX72)&lt;$B$69*$D$69,1,""))</f>
        <v>5</v>
      </c>
      <c r="AY73" s="189" t="str">
        <f t="shared" ca="1" si="37"/>
        <v>MACEBE</v>
      </c>
      <c r="AZ73" s="36">
        <f ca="1">+IF(AZ$3="","",IF($AY73="","",IFERROR(INDEX('Data Consolidada'!$E$7:$E$891,MATCH(CONCATENATE(AZ$3,"-",$CP73,"-",$AY73),'Data Consolidada'!$K$7:$K$891,0)),MAX('Data Consolidada'!$E$7:$E$3000))))</f>
        <v>11000000</v>
      </c>
      <c r="BA73" s="32">
        <f ca="1">+IF(BA$3="","",IF($AY73="","",IFERROR(INDEX('Data Consolidada'!$E$7:$E$891,MATCH(CONCATENATE(BA$3,"-",$CP73,"-",$AY73),'Data Consolidada'!$K$7:$K$891,0)),MAX('Data Consolidada'!$E$7:$E$3000))))</f>
        <v>11000000</v>
      </c>
      <c r="BB73" s="32" t="str">
        <f>+IF(BB$3="","",IF($AY73="","",IFERROR(INDEX('Data Consolidada'!$E$7:$E$891,MATCH(CONCATENATE(BB$3,"-",$CP73,"-",$AY73),'Data Consolidada'!$K$7:$K$891,0)),MAX('Data Consolidada'!$E$7:$E$3000))))</f>
        <v/>
      </c>
      <c r="BC73" s="32" t="str">
        <f>+IF(BC$3="","",IF($AY73="","",IFERROR(INDEX('Data Consolidada'!$E$7:$E$891,MATCH(CONCATENATE(BC$3,"-",$CP73,"-",$AY73),'Data Consolidada'!$K$7:$K$891,0)),MAX('Data Consolidada'!$E$7:$E$3000))))</f>
        <v/>
      </c>
      <c r="BD73" s="32" t="str">
        <f>+IF(BD$3="","",IF($AY73="","",IFERROR(INDEX('Data Consolidada'!$E$7:$E$891,MATCH(CONCATENATE(BD$3,"-",$CP73,"-",$AY73),'Data Consolidada'!$K$7:$K$891,0)),MAX('Data Consolidada'!$E$7:$E$3000))))</f>
        <v/>
      </c>
      <c r="BE73" s="32" t="str">
        <f>+IF(BE$3="","",IF($AY73="","",IFERROR(INDEX('Data Consolidada'!$E$7:$E$891,MATCH(CONCATENATE(BE$3,"-",$CP73,"-",$AY73),'Data Consolidada'!$K$7:$K$891,0)),MAX('Data Consolidada'!$E$7:$E$3000))))</f>
        <v/>
      </c>
      <c r="BF73" s="32" t="str">
        <f>+IF(BF$3="","",IF($AY73="","",IFERROR(INDEX('Data Consolidada'!$E$7:$E$891,MATCH(CONCATENATE(BF$3,"-",$CP73,"-",$AY73),'Data Consolidada'!$K$7:$K$891,0)),MAX('Data Consolidada'!$E$7:$E$3000))))</f>
        <v/>
      </c>
      <c r="BG73" s="32" t="str">
        <f>+IF(BG$3="","",IF($AY73="","",IFERROR(INDEX('Data Consolidada'!$E$7:$E$891,MATCH(CONCATENATE(BG$3,"-",$CP73,"-",$AY73),'Data Consolidada'!$K$7:$K$891,0)),MAX('Data Consolidada'!$E$7:$E$3000))))</f>
        <v/>
      </c>
      <c r="BH73" s="32" t="str">
        <f>+IF(BH$3="","",IF($AY73="","",IFERROR(INDEX('Data Consolidada'!$E$7:$E$891,MATCH(CONCATENATE(BH$3,"-",$CP73,"-",$AY73),'Data Consolidada'!$K$7:$K$891,0)),MAX('Data Consolidada'!$E$7:$E$3000))))</f>
        <v/>
      </c>
      <c r="BI73" s="32" t="str">
        <f>+IF(BI$3="","",IF($AY73="","",IFERROR(INDEX('Data Consolidada'!$E$7:$E$891,MATCH(CONCATENATE(BI$3,"-",$CP73,"-",$AY73),'Data Consolidada'!$K$7:$K$891,0)),MAX('Data Consolidada'!$E$7:$E$3000))))</f>
        <v/>
      </c>
      <c r="BJ73" s="32" t="str">
        <f>+IF(BJ$3="","",IF($AY73="","",IFERROR(INDEX('Data Consolidada'!$E$7:$E$891,MATCH(CONCATENATE(BJ$3,"-",$CP73,"-",$AY73),'Data Consolidada'!$K$7:$K$891,0)),MAX('Data Consolidada'!$E$7:$E$3000))))</f>
        <v/>
      </c>
      <c r="BK73" s="32" t="str">
        <f>+IF(BK$3="","",IF($AY73="","",IFERROR(INDEX('Data Consolidada'!$E$7:$E$891,MATCH(CONCATENATE(BK$3,"-",$CP73,"-",$AY73),'Data Consolidada'!$K$7:$K$891,0)),MAX('Data Consolidada'!$E$7:$E$3000))))</f>
        <v/>
      </c>
      <c r="BL73" s="32" t="str">
        <f>+IF(BL$3="","",IF($AY73="","",IFERROR(INDEX('Data Consolidada'!$E$7:$E$891,MATCH(CONCATENATE(BL$3,"-",$CP73,"-",$AY73),'Data Consolidada'!$K$7:$K$891,0)),MAX('Data Consolidada'!$E$7:$E$3000))))</f>
        <v/>
      </c>
      <c r="BM73" s="32" t="str">
        <f>+IF(BM$3="","",IF($AY73="","",IFERROR(INDEX('Data Consolidada'!$E$7:$E$891,MATCH(CONCATENATE(BM$3,"-",$CP73,"-",$AY73),'Data Consolidada'!$K$7:$K$891,0)),MAX('Data Consolidada'!$E$7:$E$3000))))</f>
        <v/>
      </c>
      <c r="BN73" s="32" t="str">
        <f>+IF(BN$3="","",IF($AY73="","",IFERROR(INDEX('Data Consolidada'!$E$7:$E$891,MATCH(CONCATENATE(BN$3,"-",$CP73,"-",$AY73),'Data Consolidada'!$K$7:$K$891,0)),MAX('Data Consolidada'!$E$7:$E$3000))))</f>
        <v/>
      </c>
      <c r="BO73" s="32" t="str">
        <f>+IF(BO$3="","",IF($AY73="","",IFERROR(INDEX('Data Consolidada'!$E$7:$E$891,MATCH(CONCATENATE(BO$3,"-",$CP73,"-",$AY73),'Data Consolidada'!$K$7:$K$891,0)),MAX('Data Consolidada'!$E$7:$E$3000))))</f>
        <v/>
      </c>
      <c r="BP73" s="32" t="str">
        <f>+IF(BP$3="","",IF($AY73="","",IFERROR(INDEX('Data Consolidada'!$E$7:$E$891,MATCH(CONCATENATE(BP$3,"-",$CP73,"-",$AY73),'Data Consolidada'!$K$7:$K$891,0)),MAX('Data Consolidada'!$E$7:$E$3000))))</f>
        <v/>
      </c>
      <c r="BQ73" s="32" t="str">
        <f>+IF(BQ$3="","",IF($AY73="","",IFERROR(INDEX('Data Consolidada'!$E$7:$E$891,MATCH(CONCATENATE(BQ$3,"-",$CP73,"-",$AY73),'Data Consolidada'!$K$7:$K$891,0)),MAX('Data Consolidada'!$E$7:$E$3000))))</f>
        <v/>
      </c>
      <c r="BR73" s="32" t="str">
        <f>+IF(BR$3="","",IF($AY73="","",IFERROR(INDEX('Data Consolidada'!$E$7:$E$891,MATCH(CONCATENATE(BR$3,"-",$CP73,"-",$AY73),'Data Consolidada'!$K$7:$K$891,0)),MAX('Data Consolidada'!$E$7:$E$3000))))</f>
        <v/>
      </c>
      <c r="BS73" s="32" t="str">
        <f>+IF(BS$3="","",IF($AY73="","",IFERROR(INDEX('Data Consolidada'!$E$7:$E$891,MATCH(CONCATENATE(BS$3,"-",$CP73,"-",$AY73),'Data Consolidada'!$K$7:$K$891,0)),MAX('Data Consolidada'!$E$7:$E$3000))))</f>
        <v/>
      </c>
      <c r="BT73" s="32" t="str">
        <f>+IF(BT$3="","",IF($AY73="","",IFERROR(INDEX('Data Consolidada'!$E$7:$E$891,MATCH(CONCATENATE(BT$3,"-",$CP73,"-",$AY73),'Data Consolidada'!$K$7:$K$891,0)),MAX('Data Consolidada'!$E$7:$E$3000))))</f>
        <v/>
      </c>
      <c r="BU73" s="32" t="str">
        <f>+IF(BU$3="","",IF($AY73="","",IFERROR(INDEX('Data Consolidada'!$E$7:$E$891,MATCH(CONCATENATE(BU$3,"-",$CP73,"-",$AY73),'Data Consolidada'!$K$7:$K$891,0)),MAX('Data Consolidada'!$E$7:$E$3000))))</f>
        <v/>
      </c>
      <c r="BV73" s="32" t="str">
        <f>+IF(BV$3="","",IF($AY73="","",IFERROR(INDEX('Data Consolidada'!$E$7:$E$891,MATCH(CONCATENATE(BV$3,"-",$CP73,"-",$AY73),'Data Consolidada'!$K$7:$K$891,0)),MAX('Data Consolidada'!$E$7:$E$3000))))</f>
        <v/>
      </c>
      <c r="BW73" s="32" t="str">
        <f>+IF(BW$3="","",IF($AY73="","",IFERROR(INDEX('Data Consolidada'!$E$7:$E$891,MATCH(CONCATENATE(BW$3,"-",$CP73,"-",$AY73),'Data Consolidada'!$K$7:$K$891,0)),MAX('Data Consolidada'!$E$7:$E$3000))))</f>
        <v/>
      </c>
      <c r="BX73" s="32" t="str">
        <f>+IF(BX$3="","",IF($AY73="","",IFERROR(INDEX('Data Consolidada'!$E$7:$E$891,MATCH(CONCATENATE(BX$3,"-",$CP73,"-",$AY73),'Data Consolidada'!$K$7:$K$891,0)),MAX('Data Consolidada'!$E$7:$E$3000))))</f>
        <v/>
      </c>
      <c r="BY73" s="32" t="str">
        <f>+IF(BY$3="","",IF($AY73="","",IFERROR(INDEX('Data Consolidada'!$E$7:$E$891,MATCH(CONCATENATE(BY$3,"-",$CP73,"-",$AY73),'Data Consolidada'!$K$7:$K$891,0)),MAX('Data Consolidada'!$E$7:$E$3000))))</f>
        <v/>
      </c>
      <c r="BZ73" s="32" t="str">
        <f>+IF(BZ$3="","",IF($AY73="","",IFERROR(INDEX('Data Consolidada'!$E$7:$E$891,MATCH(CONCATENATE(BZ$3,"-",$CP73,"-",$AY73),'Data Consolidada'!$K$7:$K$891,0)),MAX('Data Consolidada'!$E$7:$E$3000))))</f>
        <v/>
      </c>
      <c r="CA73" s="32" t="str">
        <f>+IF(CA$3="","",IF($AY73="","",IFERROR(INDEX('Data Consolidada'!$E$7:$E$891,MATCH(CONCATENATE(CA$3,"-",$CP73,"-",$AY73),'Data Consolidada'!$K$7:$K$891,0)),MAX('Data Consolidada'!$E$7:$E$3000))))</f>
        <v/>
      </c>
      <c r="CB73" s="32" t="str">
        <f>+IF(CB$3="","",IF($AY73="","",IFERROR(INDEX('Data Consolidada'!$E$7:$E$891,MATCH(CONCATENATE(CB$3,"-",$CP73,"-",$AY73),'Data Consolidada'!$K$7:$K$891,0)),MAX('Data Consolidada'!$E$7:$E$3000))))</f>
        <v/>
      </c>
      <c r="CC73" s="32" t="str">
        <f>+IF(CC$3="","",IF($AY73="","",IFERROR(INDEX('Data Consolidada'!$E$7:$E$891,MATCH(CONCATENATE(CC$3,"-",$CP73,"-",$AY73),'Data Consolidada'!$K$7:$K$891,0)),MAX('Data Consolidada'!$E$7:$E$3000))))</f>
        <v/>
      </c>
      <c r="CD73" s="32" t="str">
        <f>+IF(CD$3="","",IF($AY73="","",IFERROR(INDEX('Data Consolidada'!$E$7:$E$891,MATCH(CONCATENATE(CD$3,"-",$CP73,"-",$AY73),'Data Consolidada'!$K$7:$K$891,0)),MAX('Data Consolidada'!$E$7:$E$3000))))</f>
        <v/>
      </c>
      <c r="CE73" s="32" t="str">
        <f>+IF(CE$3="","",IF($AY73="","",IFERROR(INDEX('Data Consolidada'!$E$7:$E$891,MATCH(CONCATENATE(CE$3,"-",$CP73,"-",$AY73),'Data Consolidada'!$K$7:$K$891,0)),MAX('Data Consolidada'!$E$7:$E$3000))))</f>
        <v/>
      </c>
      <c r="CF73" s="32" t="str">
        <f>+IF(CF$3="","",IF($AY73="","",IFERROR(INDEX('Data Consolidada'!$E$7:$E$891,MATCH(CONCATENATE(CF$3,"-",$CP73,"-",$AY73),'Data Consolidada'!$K$7:$K$891,0)),MAX('Data Consolidada'!$E$7:$E$3000))))</f>
        <v/>
      </c>
      <c r="CG73" s="32" t="str">
        <f>+IF(CG$3="","",IF($AY73="","",IFERROR(INDEX('Data Consolidada'!$E$7:$E$891,MATCH(CONCATENATE(CG$3,"-",$CP73,"-",$AY73),'Data Consolidada'!$K$7:$K$891,0)),MAX('Data Consolidada'!$E$7:$E$3000))))</f>
        <v/>
      </c>
      <c r="CH73" s="32" t="str">
        <f>+IF(CH$3="","",IF($AY73="","",IFERROR(INDEX('Data Consolidada'!$E$7:$E$891,MATCH(CONCATENATE(CH$3,"-",$CP73,"-",$AY73),'Data Consolidada'!$K$7:$K$891,0)),MAX('Data Consolidada'!$E$7:$E$3000))))</f>
        <v/>
      </c>
      <c r="CI73" s="32" t="str">
        <f>+IF(CI$3="","",IF($AY73="","",IFERROR(INDEX('Data Consolidada'!$E$7:$E$891,MATCH(CONCATENATE(CI$3,"-",$CP73,"-",$AY73),'Data Consolidada'!$K$7:$K$891,0)),MAX('Data Consolidada'!$E$7:$E$3000))))</f>
        <v/>
      </c>
      <c r="CJ73" s="32" t="str">
        <f>+IF(CJ$3="","",IF($AY73="","",IFERROR(INDEX('Data Consolidada'!$E$7:$E$891,MATCH(CONCATENATE(CJ$3,"-",$CP73,"-",$AY73),'Data Consolidada'!$K$7:$K$891,0)),MAX('Data Consolidada'!$E$7:$E$3000))))</f>
        <v/>
      </c>
      <c r="CK73" s="32" t="str">
        <f>+IF(CK$3="","",IF($AY73="","",IFERROR(INDEX('Data Consolidada'!$E$7:$E$891,MATCH(CONCATENATE(CK$3,"-",$CP73,"-",$AY73),'Data Consolidada'!$K$7:$K$891,0)),MAX('Data Consolidada'!$E$7:$E$3000))))</f>
        <v/>
      </c>
      <c r="CL73" s="32" t="str">
        <f>+IF(CL$3="","",IF($AY73="","",IFERROR(INDEX('Data Consolidada'!$E$7:$E$891,MATCH(CONCATENATE(CL$3,"-",$CP73,"-",$AY73),'Data Consolidada'!$K$7:$K$891,0)),MAX('Data Consolidada'!$E$7:$E$3000))))</f>
        <v/>
      </c>
      <c r="CM73" s="32" t="str">
        <f>+IF(CM$3="","",IF($AY73="","",IFERROR(INDEX('Data Consolidada'!$E$7:$E$891,MATCH(CONCATENATE(CM$3,"-",$CP73,"-",$AY73),'Data Consolidada'!$K$7:$K$891,0)),MAX('Data Consolidada'!$E$7:$E$3000))))</f>
        <v/>
      </c>
      <c r="CN73" s="32" t="str">
        <f>+IF(CN$3="","",IF($AY73="","",IFERROR(INDEX('Data Consolidada'!$E$7:$E$891,MATCH(CONCATENATE(CN$3,"-",$CP73,"-",$AY73),'Data Consolidada'!$K$7:$K$891,0)),MAX('Data Consolidada'!$E$7:$E$3000))))</f>
        <v/>
      </c>
      <c r="CO73" s="37" t="str">
        <f>+IF(CO$3="","",IF($AY73="","",IFERROR(INDEX('Data Consolidada'!$E$7:$E$891,MATCH(CONCATENATE(CO$3,"-",$CP73,"-",$AY73),'Data Consolidada'!$K$7:$K$891,0)),MAX('Data Consolidada'!$E$7:$E$3000))))</f>
        <v/>
      </c>
      <c r="CP73" s="224">
        <f t="shared" ca="1" si="38"/>
        <v>0</v>
      </c>
      <c r="CQ73" s="84" t="str">
        <f t="shared" ca="1" si="39"/>
        <v>MACEBE0</v>
      </c>
    </row>
    <row r="74" spans="2:95" ht="15" customHeight="1" x14ac:dyDescent="0.35">
      <c r="B74" s="218" t="str">
        <f t="shared" ca="1" si="41"/>
        <v xml:space="preserve">GUSTAVO ZÚÑIGA </v>
      </c>
      <c r="C74" s="238">
        <v>0</v>
      </c>
      <c r="D74" s="239">
        <v>0</v>
      </c>
      <c r="E74" s="239">
        <v>0</v>
      </c>
      <c r="F74" s="239">
        <v>0</v>
      </c>
      <c r="G74" s="239">
        <v>0</v>
      </c>
      <c r="H74" s="239">
        <v>0</v>
      </c>
      <c r="I74" s="239">
        <v>0</v>
      </c>
      <c r="J74" s="239">
        <v>0</v>
      </c>
      <c r="K74" s="239">
        <v>0</v>
      </c>
      <c r="L74" s="239">
        <v>0</v>
      </c>
      <c r="M74" s="239">
        <v>0</v>
      </c>
      <c r="N74" s="239">
        <v>0</v>
      </c>
      <c r="O74" s="239">
        <v>0</v>
      </c>
      <c r="P74" s="239">
        <v>0</v>
      </c>
      <c r="Q74" s="239">
        <v>0</v>
      </c>
      <c r="R74" s="239">
        <v>0</v>
      </c>
      <c r="S74" s="239">
        <v>0</v>
      </c>
      <c r="T74" s="239">
        <v>0</v>
      </c>
      <c r="U74" s="239">
        <v>0</v>
      </c>
      <c r="V74" s="239">
        <v>0</v>
      </c>
      <c r="W74" s="239">
        <v>0</v>
      </c>
      <c r="X74" s="239">
        <v>0</v>
      </c>
      <c r="Y74" s="239">
        <v>0</v>
      </c>
      <c r="Z74" s="239"/>
      <c r="AA74" s="239"/>
      <c r="AB74" s="239"/>
      <c r="AC74" s="239"/>
      <c r="AD74" s="239"/>
      <c r="AE74" s="239"/>
      <c r="AF74" s="239"/>
      <c r="AG74" s="239"/>
      <c r="AH74" s="239"/>
      <c r="AI74" s="239"/>
      <c r="AJ74" s="239"/>
      <c r="AK74" s="239"/>
      <c r="AL74" s="239"/>
      <c r="AM74" s="239"/>
      <c r="AN74" s="239"/>
      <c r="AO74" s="239"/>
      <c r="AP74" s="239"/>
      <c r="AQ74" s="239"/>
      <c r="AR74" s="252"/>
      <c r="AS74" s="77" t="str">
        <f t="shared" ca="1" si="42"/>
        <v>MOSTAZAL</v>
      </c>
      <c r="AT74" s="255">
        <f t="shared" si="43"/>
        <v>0</v>
      </c>
      <c r="AU74" s="51"/>
      <c r="AV74" s="51"/>
      <c r="AW74" s="13">
        <f>+IF(AX74="","",IF(AX74&gt;AX73,AW73,IF(AW73&lt;$D$69,AW73+1,IF(COUNT(AW$4:AW73)&lt;$B$69*$E$54,1,""))))</f>
        <v>6</v>
      </c>
      <c r="AX74" s="13">
        <f>+IF(AX73&lt;$B$69,AX73+1,IF(COUNT(AX$4:AX73)&lt;$B$69*$D$69,1,""))</f>
        <v>6</v>
      </c>
      <c r="AY74" s="189" t="str">
        <f t="shared" ca="1" si="37"/>
        <v xml:space="preserve">Manuel Sepúlveda </v>
      </c>
      <c r="AZ74" s="36">
        <f ca="1">+IF(AZ$3="","",IF($AY74="","",IFERROR(INDEX('Data Consolidada'!$E$7:$E$891,MATCH(CONCATENATE(AZ$3,"-",$CP74,"-",$AY74),'Data Consolidada'!$K$7:$K$891,0)),MAX('Data Consolidada'!$E$7:$E$3000))))</f>
        <v>11000000</v>
      </c>
      <c r="BA74" s="32">
        <f ca="1">+IF(BA$3="","",IF($AY74="","",IFERROR(INDEX('Data Consolidada'!$E$7:$E$891,MATCH(CONCATENATE(BA$3,"-",$CP74,"-",$AY74),'Data Consolidada'!$K$7:$K$891,0)),MAX('Data Consolidada'!$E$7:$E$3000))))</f>
        <v>11000000</v>
      </c>
      <c r="BB74" s="32" t="str">
        <f>+IF(BB$3="","",IF($AY74="","",IFERROR(INDEX('Data Consolidada'!$E$7:$E$891,MATCH(CONCATENATE(BB$3,"-",$CP74,"-",$AY74),'Data Consolidada'!$K$7:$K$891,0)),MAX('Data Consolidada'!$E$7:$E$3000))))</f>
        <v/>
      </c>
      <c r="BC74" s="32" t="str">
        <f>+IF(BC$3="","",IF($AY74="","",IFERROR(INDEX('Data Consolidada'!$E$7:$E$891,MATCH(CONCATENATE(BC$3,"-",$CP74,"-",$AY74),'Data Consolidada'!$K$7:$K$891,0)),MAX('Data Consolidada'!$E$7:$E$3000))))</f>
        <v/>
      </c>
      <c r="BD74" s="32" t="str">
        <f>+IF(BD$3="","",IF($AY74="","",IFERROR(INDEX('Data Consolidada'!$E$7:$E$891,MATCH(CONCATENATE(BD$3,"-",$CP74,"-",$AY74),'Data Consolidada'!$K$7:$K$891,0)),MAX('Data Consolidada'!$E$7:$E$3000))))</f>
        <v/>
      </c>
      <c r="BE74" s="32" t="str">
        <f>+IF(BE$3="","",IF($AY74="","",IFERROR(INDEX('Data Consolidada'!$E$7:$E$891,MATCH(CONCATENATE(BE$3,"-",$CP74,"-",$AY74),'Data Consolidada'!$K$7:$K$891,0)),MAX('Data Consolidada'!$E$7:$E$3000))))</f>
        <v/>
      </c>
      <c r="BF74" s="32" t="str">
        <f>+IF(BF$3="","",IF($AY74="","",IFERROR(INDEX('Data Consolidada'!$E$7:$E$891,MATCH(CONCATENATE(BF$3,"-",$CP74,"-",$AY74),'Data Consolidada'!$K$7:$K$891,0)),MAX('Data Consolidada'!$E$7:$E$3000))))</f>
        <v/>
      </c>
      <c r="BG74" s="32" t="str">
        <f>+IF(BG$3="","",IF($AY74="","",IFERROR(INDEX('Data Consolidada'!$E$7:$E$891,MATCH(CONCATENATE(BG$3,"-",$CP74,"-",$AY74),'Data Consolidada'!$K$7:$K$891,0)),MAX('Data Consolidada'!$E$7:$E$3000))))</f>
        <v/>
      </c>
      <c r="BH74" s="32" t="str">
        <f>+IF(BH$3="","",IF($AY74="","",IFERROR(INDEX('Data Consolidada'!$E$7:$E$891,MATCH(CONCATENATE(BH$3,"-",$CP74,"-",$AY74),'Data Consolidada'!$K$7:$K$891,0)),MAX('Data Consolidada'!$E$7:$E$3000))))</f>
        <v/>
      </c>
      <c r="BI74" s="32" t="str">
        <f>+IF(BI$3="","",IF($AY74="","",IFERROR(INDEX('Data Consolidada'!$E$7:$E$891,MATCH(CONCATENATE(BI$3,"-",$CP74,"-",$AY74),'Data Consolidada'!$K$7:$K$891,0)),MAX('Data Consolidada'!$E$7:$E$3000))))</f>
        <v/>
      </c>
      <c r="BJ74" s="32" t="str">
        <f>+IF(BJ$3="","",IF($AY74="","",IFERROR(INDEX('Data Consolidada'!$E$7:$E$891,MATCH(CONCATENATE(BJ$3,"-",$CP74,"-",$AY74),'Data Consolidada'!$K$7:$K$891,0)),MAX('Data Consolidada'!$E$7:$E$3000))))</f>
        <v/>
      </c>
      <c r="BK74" s="32" t="str">
        <f>+IF(BK$3="","",IF($AY74="","",IFERROR(INDEX('Data Consolidada'!$E$7:$E$891,MATCH(CONCATENATE(BK$3,"-",$CP74,"-",$AY74),'Data Consolidada'!$K$7:$K$891,0)),MAX('Data Consolidada'!$E$7:$E$3000))))</f>
        <v/>
      </c>
      <c r="BL74" s="32" t="str">
        <f>+IF(BL$3="","",IF($AY74="","",IFERROR(INDEX('Data Consolidada'!$E$7:$E$891,MATCH(CONCATENATE(BL$3,"-",$CP74,"-",$AY74),'Data Consolidada'!$K$7:$K$891,0)),MAX('Data Consolidada'!$E$7:$E$3000))))</f>
        <v/>
      </c>
      <c r="BM74" s="32" t="str">
        <f>+IF(BM$3="","",IF($AY74="","",IFERROR(INDEX('Data Consolidada'!$E$7:$E$891,MATCH(CONCATENATE(BM$3,"-",$CP74,"-",$AY74),'Data Consolidada'!$K$7:$K$891,0)),MAX('Data Consolidada'!$E$7:$E$3000))))</f>
        <v/>
      </c>
      <c r="BN74" s="32" t="str">
        <f>+IF(BN$3="","",IF($AY74="","",IFERROR(INDEX('Data Consolidada'!$E$7:$E$891,MATCH(CONCATENATE(BN$3,"-",$CP74,"-",$AY74),'Data Consolidada'!$K$7:$K$891,0)),MAX('Data Consolidada'!$E$7:$E$3000))))</f>
        <v/>
      </c>
      <c r="BO74" s="32" t="str">
        <f>+IF(BO$3="","",IF($AY74="","",IFERROR(INDEX('Data Consolidada'!$E$7:$E$891,MATCH(CONCATENATE(BO$3,"-",$CP74,"-",$AY74),'Data Consolidada'!$K$7:$K$891,0)),MAX('Data Consolidada'!$E$7:$E$3000))))</f>
        <v/>
      </c>
      <c r="BP74" s="32" t="str">
        <f>+IF(BP$3="","",IF($AY74="","",IFERROR(INDEX('Data Consolidada'!$E$7:$E$891,MATCH(CONCATENATE(BP$3,"-",$CP74,"-",$AY74),'Data Consolidada'!$K$7:$K$891,0)),MAX('Data Consolidada'!$E$7:$E$3000))))</f>
        <v/>
      </c>
      <c r="BQ74" s="32" t="str">
        <f>+IF(BQ$3="","",IF($AY74="","",IFERROR(INDEX('Data Consolidada'!$E$7:$E$891,MATCH(CONCATENATE(BQ$3,"-",$CP74,"-",$AY74),'Data Consolidada'!$K$7:$K$891,0)),MAX('Data Consolidada'!$E$7:$E$3000))))</f>
        <v/>
      </c>
      <c r="BR74" s="32" t="str">
        <f>+IF(BR$3="","",IF($AY74="","",IFERROR(INDEX('Data Consolidada'!$E$7:$E$891,MATCH(CONCATENATE(BR$3,"-",$CP74,"-",$AY74),'Data Consolidada'!$K$7:$K$891,0)),MAX('Data Consolidada'!$E$7:$E$3000))))</f>
        <v/>
      </c>
      <c r="BS74" s="32" t="str">
        <f>+IF(BS$3="","",IF($AY74="","",IFERROR(INDEX('Data Consolidada'!$E$7:$E$891,MATCH(CONCATENATE(BS$3,"-",$CP74,"-",$AY74),'Data Consolidada'!$K$7:$K$891,0)),MAX('Data Consolidada'!$E$7:$E$3000))))</f>
        <v/>
      </c>
      <c r="BT74" s="32" t="str">
        <f>+IF(BT$3="","",IF($AY74="","",IFERROR(INDEX('Data Consolidada'!$E$7:$E$891,MATCH(CONCATENATE(BT$3,"-",$CP74,"-",$AY74),'Data Consolidada'!$K$7:$K$891,0)),MAX('Data Consolidada'!$E$7:$E$3000))))</f>
        <v/>
      </c>
      <c r="BU74" s="32" t="str">
        <f>+IF(BU$3="","",IF($AY74="","",IFERROR(INDEX('Data Consolidada'!$E$7:$E$891,MATCH(CONCATENATE(BU$3,"-",$CP74,"-",$AY74),'Data Consolidada'!$K$7:$K$891,0)),MAX('Data Consolidada'!$E$7:$E$3000))))</f>
        <v/>
      </c>
      <c r="BV74" s="32" t="str">
        <f>+IF(BV$3="","",IF($AY74="","",IFERROR(INDEX('Data Consolidada'!$E$7:$E$891,MATCH(CONCATENATE(BV$3,"-",$CP74,"-",$AY74),'Data Consolidada'!$K$7:$K$891,0)),MAX('Data Consolidada'!$E$7:$E$3000))))</f>
        <v/>
      </c>
      <c r="BW74" s="32" t="str">
        <f>+IF(BW$3="","",IF($AY74="","",IFERROR(INDEX('Data Consolidada'!$E$7:$E$891,MATCH(CONCATENATE(BW$3,"-",$CP74,"-",$AY74),'Data Consolidada'!$K$7:$K$891,0)),MAX('Data Consolidada'!$E$7:$E$3000))))</f>
        <v/>
      </c>
      <c r="BX74" s="32" t="str">
        <f>+IF(BX$3="","",IF($AY74="","",IFERROR(INDEX('Data Consolidada'!$E$7:$E$891,MATCH(CONCATENATE(BX$3,"-",$CP74,"-",$AY74),'Data Consolidada'!$K$7:$K$891,0)),MAX('Data Consolidada'!$E$7:$E$3000))))</f>
        <v/>
      </c>
      <c r="BY74" s="32" t="str">
        <f>+IF(BY$3="","",IF($AY74="","",IFERROR(INDEX('Data Consolidada'!$E$7:$E$891,MATCH(CONCATENATE(BY$3,"-",$CP74,"-",$AY74),'Data Consolidada'!$K$7:$K$891,0)),MAX('Data Consolidada'!$E$7:$E$3000))))</f>
        <v/>
      </c>
      <c r="BZ74" s="32" t="str">
        <f>+IF(BZ$3="","",IF($AY74="","",IFERROR(INDEX('Data Consolidada'!$E$7:$E$891,MATCH(CONCATENATE(BZ$3,"-",$CP74,"-",$AY74),'Data Consolidada'!$K$7:$K$891,0)),MAX('Data Consolidada'!$E$7:$E$3000))))</f>
        <v/>
      </c>
      <c r="CA74" s="32" t="str">
        <f>+IF(CA$3="","",IF($AY74="","",IFERROR(INDEX('Data Consolidada'!$E$7:$E$891,MATCH(CONCATENATE(CA$3,"-",$CP74,"-",$AY74),'Data Consolidada'!$K$7:$K$891,0)),MAX('Data Consolidada'!$E$7:$E$3000))))</f>
        <v/>
      </c>
      <c r="CB74" s="32" t="str">
        <f>+IF(CB$3="","",IF($AY74="","",IFERROR(INDEX('Data Consolidada'!$E$7:$E$891,MATCH(CONCATENATE(CB$3,"-",$CP74,"-",$AY74),'Data Consolidada'!$K$7:$K$891,0)),MAX('Data Consolidada'!$E$7:$E$3000))))</f>
        <v/>
      </c>
      <c r="CC74" s="32" t="str">
        <f>+IF(CC$3="","",IF($AY74="","",IFERROR(INDEX('Data Consolidada'!$E$7:$E$891,MATCH(CONCATENATE(CC$3,"-",$CP74,"-",$AY74),'Data Consolidada'!$K$7:$K$891,0)),MAX('Data Consolidada'!$E$7:$E$3000))))</f>
        <v/>
      </c>
      <c r="CD74" s="32" t="str">
        <f>+IF(CD$3="","",IF($AY74="","",IFERROR(INDEX('Data Consolidada'!$E$7:$E$891,MATCH(CONCATENATE(CD$3,"-",$CP74,"-",$AY74),'Data Consolidada'!$K$7:$K$891,0)),MAX('Data Consolidada'!$E$7:$E$3000))))</f>
        <v/>
      </c>
      <c r="CE74" s="32" t="str">
        <f>+IF(CE$3="","",IF($AY74="","",IFERROR(INDEX('Data Consolidada'!$E$7:$E$891,MATCH(CONCATENATE(CE$3,"-",$CP74,"-",$AY74),'Data Consolidada'!$K$7:$K$891,0)),MAX('Data Consolidada'!$E$7:$E$3000))))</f>
        <v/>
      </c>
      <c r="CF74" s="32" t="str">
        <f>+IF(CF$3="","",IF($AY74="","",IFERROR(INDEX('Data Consolidada'!$E$7:$E$891,MATCH(CONCATENATE(CF$3,"-",$CP74,"-",$AY74),'Data Consolidada'!$K$7:$K$891,0)),MAX('Data Consolidada'!$E$7:$E$3000))))</f>
        <v/>
      </c>
      <c r="CG74" s="32" t="str">
        <f>+IF(CG$3="","",IF($AY74="","",IFERROR(INDEX('Data Consolidada'!$E$7:$E$891,MATCH(CONCATENATE(CG$3,"-",$CP74,"-",$AY74),'Data Consolidada'!$K$7:$K$891,0)),MAX('Data Consolidada'!$E$7:$E$3000))))</f>
        <v/>
      </c>
      <c r="CH74" s="32" t="str">
        <f>+IF(CH$3="","",IF($AY74="","",IFERROR(INDEX('Data Consolidada'!$E$7:$E$891,MATCH(CONCATENATE(CH$3,"-",$CP74,"-",$AY74),'Data Consolidada'!$K$7:$K$891,0)),MAX('Data Consolidada'!$E$7:$E$3000))))</f>
        <v/>
      </c>
      <c r="CI74" s="32" t="str">
        <f>+IF(CI$3="","",IF($AY74="","",IFERROR(INDEX('Data Consolidada'!$E$7:$E$891,MATCH(CONCATENATE(CI$3,"-",$CP74,"-",$AY74),'Data Consolidada'!$K$7:$K$891,0)),MAX('Data Consolidada'!$E$7:$E$3000))))</f>
        <v/>
      </c>
      <c r="CJ74" s="32" t="str">
        <f>+IF(CJ$3="","",IF($AY74="","",IFERROR(INDEX('Data Consolidada'!$E$7:$E$891,MATCH(CONCATENATE(CJ$3,"-",$CP74,"-",$AY74),'Data Consolidada'!$K$7:$K$891,0)),MAX('Data Consolidada'!$E$7:$E$3000))))</f>
        <v/>
      </c>
      <c r="CK74" s="32" t="str">
        <f>+IF(CK$3="","",IF($AY74="","",IFERROR(INDEX('Data Consolidada'!$E$7:$E$891,MATCH(CONCATENATE(CK$3,"-",$CP74,"-",$AY74),'Data Consolidada'!$K$7:$K$891,0)),MAX('Data Consolidada'!$E$7:$E$3000))))</f>
        <v/>
      </c>
      <c r="CL74" s="32" t="str">
        <f>+IF(CL$3="","",IF($AY74="","",IFERROR(INDEX('Data Consolidada'!$E$7:$E$891,MATCH(CONCATENATE(CL$3,"-",$CP74,"-",$AY74),'Data Consolidada'!$K$7:$K$891,0)),MAX('Data Consolidada'!$E$7:$E$3000))))</f>
        <v/>
      </c>
      <c r="CM74" s="32" t="str">
        <f>+IF(CM$3="","",IF($AY74="","",IFERROR(INDEX('Data Consolidada'!$E$7:$E$891,MATCH(CONCATENATE(CM$3,"-",$CP74,"-",$AY74),'Data Consolidada'!$K$7:$K$891,0)),MAX('Data Consolidada'!$E$7:$E$3000))))</f>
        <v/>
      </c>
      <c r="CN74" s="32" t="str">
        <f>+IF(CN$3="","",IF($AY74="","",IFERROR(INDEX('Data Consolidada'!$E$7:$E$891,MATCH(CONCATENATE(CN$3,"-",$CP74,"-",$AY74),'Data Consolidada'!$K$7:$K$891,0)),MAX('Data Consolidada'!$E$7:$E$3000))))</f>
        <v/>
      </c>
      <c r="CO74" s="37" t="str">
        <f>+IF(CO$3="","",IF($AY74="","",IFERROR(INDEX('Data Consolidada'!$E$7:$E$891,MATCH(CONCATENATE(CO$3,"-",$CP74,"-",$AY74),'Data Consolidada'!$K$7:$K$891,0)),MAX('Data Consolidada'!$E$7:$E$3000))))</f>
        <v/>
      </c>
      <c r="CP74" s="224">
        <f t="shared" ca="1" si="38"/>
        <v>0</v>
      </c>
      <c r="CQ74" s="84" t="str">
        <f t="shared" ca="1" si="39"/>
        <v>Manuel Sepúlveda 0</v>
      </c>
    </row>
    <row r="75" spans="2:95" ht="15" customHeight="1" x14ac:dyDescent="0.35">
      <c r="B75" s="218" t="str">
        <f t="shared" ca="1" si="41"/>
        <v>LAVALLE</v>
      </c>
      <c r="C75" s="238">
        <v>0</v>
      </c>
      <c r="D75" s="239">
        <v>0</v>
      </c>
      <c r="E75" s="239">
        <v>0</v>
      </c>
      <c r="F75" s="239">
        <v>0</v>
      </c>
      <c r="G75" s="239">
        <v>0</v>
      </c>
      <c r="H75" s="239">
        <v>0</v>
      </c>
      <c r="I75" s="239">
        <v>0</v>
      </c>
      <c r="J75" s="239">
        <v>0</v>
      </c>
      <c r="K75" s="239">
        <v>0</v>
      </c>
      <c r="L75" s="239">
        <v>0</v>
      </c>
      <c r="M75" s="239">
        <v>0</v>
      </c>
      <c r="N75" s="239">
        <v>0</v>
      </c>
      <c r="O75" s="239">
        <v>0</v>
      </c>
      <c r="P75" s="239">
        <v>0</v>
      </c>
      <c r="Q75" s="239">
        <v>0</v>
      </c>
      <c r="R75" s="239">
        <v>0</v>
      </c>
      <c r="S75" s="239">
        <v>0</v>
      </c>
      <c r="T75" s="239">
        <v>0</v>
      </c>
      <c r="U75" s="239">
        <v>0</v>
      </c>
      <c r="V75" s="239">
        <v>0</v>
      </c>
      <c r="W75" s="239">
        <v>0</v>
      </c>
      <c r="X75" s="239">
        <v>0</v>
      </c>
      <c r="Y75" s="239">
        <v>0</v>
      </c>
      <c r="Z75" s="239"/>
      <c r="AA75" s="239"/>
      <c r="AB75" s="239"/>
      <c r="AC75" s="239"/>
      <c r="AD75" s="239"/>
      <c r="AE75" s="239"/>
      <c r="AF75" s="239"/>
      <c r="AG75" s="239"/>
      <c r="AH75" s="239"/>
      <c r="AI75" s="239"/>
      <c r="AJ75" s="239"/>
      <c r="AK75" s="239"/>
      <c r="AL75" s="239"/>
      <c r="AM75" s="239"/>
      <c r="AN75" s="239"/>
      <c r="AO75" s="239"/>
      <c r="AP75" s="239"/>
      <c r="AQ75" s="239"/>
      <c r="AR75" s="252"/>
      <c r="AS75" s="77" t="str">
        <f t="shared" ca="1" si="42"/>
        <v>MOSTAZAL</v>
      </c>
      <c r="AT75" s="255">
        <f t="shared" si="43"/>
        <v>0</v>
      </c>
      <c r="AU75" s="51"/>
      <c r="AV75" s="51"/>
      <c r="AW75" s="13">
        <f>+IF(AX75="","",IF(AX75&gt;AX74,AW74,IF(AW74&lt;$D$69,AW74+1,IF(COUNT(AW$4:AW74)&lt;$B$69*$E$54,1,""))))</f>
        <v>6</v>
      </c>
      <c r="AX75" s="13">
        <f>+IF(AX74&lt;$B$69,AX74+1,IF(COUNT(AX$4:AX74)&lt;$B$69*$D$69,1,""))</f>
        <v>7</v>
      </c>
      <c r="AY75" s="189" t="str">
        <f t="shared" ca="1" si="37"/>
        <v>PARRAO</v>
      </c>
      <c r="AZ75" s="36">
        <f ca="1">+IF(AZ$3="","",IF($AY75="","",IFERROR(INDEX('Data Consolidada'!$E$7:$E$891,MATCH(CONCATENATE(AZ$3,"-",$CP75,"-",$AY75),'Data Consolidada'!$K$7:$K$891,0)),MAX('Data Consolidada'!$E$7:$E$3000))))</f>
        <v>11000000</v>
      </c>
      <c r="BA75" s="32">
        <f ca="1">+IF(BA$3="","",IF($AY75="","",IFERROR(INDEX('Data Consolidada'!$E$7:$E$891,MATCH(CONCATENATE(BA$3,"-",$CP75,"-",$AY75),'Data Consolidada'!$K$7:$K$891,0)),MAX('Data Consolidada'!$E$7:$E$3000))))</f>
        <v>11000000</v>
      </c>
      <c r="BB75" s="32" t="str">
        <f>+IF(BB$3="","",IF($AY75="","",IFERROR(INDEX('Data Consolidada'!$E$7:$E$891,MATCH(CONCATENATE(BB$3,"-",$CP75,"-",$AY75),'Data Consolidada'!$K$7:$K$891,0)),MAX('Data Consolidada'!$E$7:$E$3000))))</f>
        <v/>
      </c>
      <c r="BC75" s="32" t="str">
        <f>+IF(BC$3="","",IF($AY75="","",IFERROR(INDEX('Data Consolidada'!$E$7:$E$891,MATCH(CONCATENATE(BC$3,"-",$CP75,"-",$AY75),'Data Consolidada'!$K$7:$K$891,0)),MAX('Data Consolidada'!$E$7:$E$3000))))</f>
        <v/>
      </c>
      <c r="BD75" s="32" t="str">
        <f>+IF(BD$3="","",IF($AY75="","",IFERROR(INDEX('Data Consolidada'!$E$7:$E$891,MATCH(CONCATENATE(BD$3,"-",$CP75,"-",$AY75),'Data Consolidada'!$K$7:$K$891,0)),MAX('Data Consolidada'!$E$7:$E$3000))))</f>
        <v/>
      </c>
      <c r="BE75" s="32" t="str">
        <f>+IF(BE$3="","",IF($AY75="","",IFERROR(INDEX('Data Consolidada'!$E$7:$E$891,MATCH(CONCATENATE(BE$3,"-",$CP75,"-",$AY75),'Data Consolidada'!$K$7:$K$891,0)),MAX('Data Consolidada'!$E$7:$E$3000))))</f>
        <v/>
      </c>
      <c r="BF75" s="32" t="str">
        <f>+IF(BF$3="","",IF($AY75="","",IFERROR(INDEX('Data Consolidada'!$E$7:$E$891,MATCH(CONCATENATE(BF$3,"-",$CP75,"-",$AY75),'Data Consolidada'!$K$7:$K$891,0)),MAX('Data Consolidada'!$E$7:$E$3000))))</f>
        <v/>
      </c>
      <c r="BG75" s="32" t="str">
        <f>+IF(BG$3="","",IF($AY75="","",IFERROR(INDEX('Data Consolidada'!$E$7:$E$891,MATCH(CONCATENATE(BG$3,"-",$CP75,"-",$AY75),'Data Consolidada'!$K$7:$K$891,0)),MAX('Data Consolidada'!$E$7:$E$3000))))</f>
        <v/>
      </c>
      <c r="BH75" s="32" t="str">
        <f>+IF(BH$3="","",IF($AY75="","",IFERROR(INDEX('Data Consolidada'!$E$7:$E$891,MATCH(CONCATENATE(BH$3,"-",$CP75,"-",$AY75),'Data Consolidada'!$K$7:$K$891,0)),MAX('Data Consolidada'!$E$7:$E$3000))))</f>
        <v/>
      </c>
      <c r="BI75" s="32" t="str">
        <f>+IF(BI$3="","",IF($AY75="","",IFERROR(INDEX('Data Consolidada'!$E$7:$E$891,MATCH(CONCATENATE(BI$3,"-",$CP75,"-",$AY75),'Data Consolidada'!$K$7:$K$891,0)),MAX('Data Consolidada'!$E$7:$E$3000))))</f>
        <v/>
      </c>
      <c r="BJ75" s="32" t="str">
        <f>+IF(BJ$3="","",IF($AY75="","",IFERROR(INDEX('Data Consolidada'!$E$7:$E$891,MATCH(CONCATENATE(BJ$3,"-",$CP75,"-",$AY75),'Data Consolidada'!$K$7:$K$891,0)),MAX('Data Consolidada'!$E$7:$E$3000))))</f>
        <v/>
      </c>
      <c r="BK75" s="32" t="str">
        <f>+IF(BK$3="","",IF($AY75="","",IFERROR(INDEX('Data Consolidada'!$E$7:$E$891,MATCH(CONCATENATE(BK$3,"-",$CP75,"-",$AY75),'Data Consolidada'!$K$7:$K$891,0)),MAX('Data Consolidada'!$E$7:$E$3000))))</f>
        <v/>
      </c>
      <c r="BL75" s="32" t="str">
        <f>+IF(BL$3="","",IF($AY75="","",IFERROR(INDEX('Data Consolidada'!$E$7:$E$891,MATCH(CONCATENATE(BL$3,"-",$CP75,"-",$AY75),'Data Consolidada'!$K$7:$K$891,0)),MAX('Data Consolidada'!$E$7:$E$3000))))</f>
        <v/>
      </c>
      <c r="BM75" s="32" t="str">
        <f>+IF(BM$3="","",IF($AY75="","",IFERROR(INDEX('Data Consolidada'!$E$7:$E$891,MATCH(CONCATENATE(BM$3,"-",$CP75,"-",$AY75),'Data Consolidada'!$K$7:$K$891,0)),MAX('Data Consolidada'!$E$7:$E$3000))))</f>
        <v/>
      </c>
      <c r="BN75" s="32" t="str">
        <f>+IF(BN$3="","",IF($AY75="","",IFERROR(INDEX('Data Consolidada'!$E$7:$E$891,MATCH(CONCATENATE(BN$3,"-",$CP75,"-",$AY75),'Data Consolidada'!$K$7:$K$891,0)),MAX('Data Consolidada'!$E$7:$E$3000))))</f>
        <v/>
      </c>
      <c r="BO75" s="32" t="str">
        <f>+IF(BO$3="","",IF($AY75="","",IFERROR(INDEX('Data Consolidada'!$E$7:$E$891,MATCH(CONCATENATE(BO$3,"-",$CP75,"-",$AY75),'Data Consolidada'!$K$7:$K$891,0)),MAX('Data Consolidada'!$E$7:$E$3000))))</f>
        <v/>
      </c>
      <c r="BP75" s="32" t="str">
        <f>+IF(BP$3="","",IF($AY75="","",IFERROR(INDEX('Data Consolidada'!$E$7:$E$891,MATCH(CONCATENATE(BP$3,"-",$CP75,"-",$AY75),'Data Consolidada'!$K$7:$K$891,0)),MAX('Data Consolidada'!$E$7:$E$3000))))</f>
        <v/>
      </c>
      <c r="BQ75" s="32" t="str">
        <f>+IF(BQ$3="","",IF($AY75="","",IFERROR(INDEX('Data Consolidada'!$E$7:$E$891,MATCH(CONCATENATE(BQ$3,"-",$CP75,"-",$AY75),'Data Consolidada'!$K$7:$K$891,0)),MAX('Data Consolidada'!$E$7:$E$3000))))</f>
        <v/>
      </c>
      <c r="BR75" s="32" t="str">
        <f>+IF(BR$3="","",IF($AY75="","",IFERROR(INDEX('Data Consolidada'!$E$7:$E$891,MATCH(CONCATENATE(BR$3,"-",$CP75,"-",$AY75),'Data Consolidada'!$K$7:$K$891,0)),MAX('Data Consolidada'!$E$7:$E$3000))))</f>
        <v/>
      </c>
      <c r="BS75" s="32" t="str">
        <f>+IF(BS$3="","",IF($AY75="","",IFERROR(INDEX('Data Consolidada'!$E$7:$E$891,MATCH(CONCATENATE(BS$3,"-",$CP75,"-",$AY75),'Data Consolidada'!$K$7:$K$891,0)),MAX('Data Consolidada'!$E$7:$E$3000))))</f>
        <v/>
      </c>
      <c r="BT75" s="32" t="str">
        <f>+IF(BT$3="","",IF($AY75="","",IFERROR(INDEX('Data Consolidada'!$E$7:$E$891,MATCH(CONCATENATE(BT$3,"-",$CP75,"-",$AY75),'Data Consolidada'!$K$7:$K$891,0)),MAX('Data Consolidada'!$E$7:$E$3000))))</f>
        <v/>
      </c>
      <c r="BU75" s="32" t="str">
        <f>+IF(BU$3="","",IF($AY75="","",IFERROR(INDEX('Data Consolidada'!$E$7:$E$891,MATCH(CONCATENATE(BU$3,"-",$CP75,"-",$AY75),'Data Consolidada'!$K$7:$K$891,0)),MAX('Data Consolidada'!$E$7:$E$3000))))</f>
        <v/>
      </c>
      <c r="BV75" s="32" t="str">
        <f>+IF(BV$3="","",IF($AY75="","",IFERROR(INDEX('Data Consolidada'!$E$7:$E$891,MATCH(CONCATENATE(BV$3,"-",$CP75,"-",$AY75),'Data Consolidada'!$K$7:$K$891,0)),MAX('Data Consolidada'!$E$7:$E$3000))))</f>
        <v/>
      </c>
      <c r="BW75" s="32" t="str">
        <f>+IF(BW$3="","",IF($AY75="","",IFERROR(INDEX('Data Consolidada'!$E$7:$E$891,MATCH(CONCATENATE(BW$3,"-",$CP75,"-",$AY75),'Data Consolidada'!$K$7:$K$891,0)),MAX('Data Consolidada'!$E$7:$E$3000))))</f>
        <v/>
      </c>
      <c r="BX75" s="32" t="str">
        <f>+IF(BX$3="","",IF($AY75="","",IFERROR(INDEX('Data Consolidada'!$E$7:$E$891,MATCH(CONCATENATE(BX$3,"-",$CP75,"-",$AY75),'Data Consolidada'!$K$7:$K$891,0)),MAX('Data Consolidada'!$E$7:$E$3000))))</f>
        <v/>
      </c>
      <c r="BY75" s="32" t="str">
        <f>+IF(BY$3="","",IF($AY75="","",IFERROR(INDEX('Data Consolidada'!$E$7:$E$891,MATCH(CONCATENATE(BY$3,"-",$CP75,"-",$AY75),'Data Consolidada'!$K$7:$K$891,0)),MAX('Data Consolidada'!$E$7:$E$3000))))</f>
        <v/>
      </c>
      <c r="BZ75" s="32" t="str">
        <f>+IF(BZ$3="","",IF($AY75="","",IFERROR(INDEX('Data Consolidada'!$E$7:$E$891,MATCH(CONCATENATE(BZ$3,"-",$CP75,"-",$AY75),'Data Consolidada'!$K$7:$K$891,0)),MAX('Data Consolidada'!$E$7:$E$3000))))</f>
        <v/>
      </c>
      <c r="CA75" s="32" t="str">
        <f>+IF(CA$3="","",IF($AY75="","",IFERROR(INDEX('Data Consolidada'!$E$7:$E$891,MATCH(CONCATENATE(CA$3,"-",$CP75,"-",$AY75),'Data Consolidada'!$K$7:$K$891,0)),MAX('Data Consolidada'!$E$7:$E$3000))))</f>
        <v/>
      </c>
      <c r="CB75" s="32" t="str">
        <f>+IF(CB$3="","",IF($AY75="","",IFERROR(INDEX('Data Consolidada'!$E$7:$E$891,MATCH(CONCATENATE(CB$3,"-",$CP75,"-",$AY75),'Data Consolidada'!$K$7:$K$891,0)),MAX('Data Consolidada'!$E$7:$E$3000))))</f>
        <v/>
      </c>
      <c r="CC75" s="32" t="str">
        <f>+IF(CC$3="","",IF($AY75="","",IFERROR(INDEX('Data Consolidada'!$E$7:$E$891,MATCH(CONCATENATE(CC$3,"-",$CP75,"-",$AY75),'Data Consolidada'!$K$7:$K$891,0)),MAX('Data Consolidada'!$E$7:$E$3000))))</f>
        <v/>
      </c>
      <c r="CD75" s="32" t="str">
        <f>+IF(CD$3="","",IF($AY75="","",IFERROR(INDEX('Data Consolidada'!$E$7:$E$891,MATCH(CONCATENATE(CD$3,"-",$CP75,"-",$AY75),'Data Consolidada'!$K$7:$K$891,0)),MAX('Data Consolidada'!$E$7:$E$3000))))</f>
        <v/>
      </c>
      <c r="CE75" s="32" t="str">
        <f>+IF(CE$3="","",IF($AY75="","",IFERROR(INDEX('Data Consolidada'!$E$7:$E$891,MATCH(CONCATENATE(CE$3,"-",$CP75,"-",$AY75),'Data Consolidada'!$K$7:$K$891,0)),MAX('Data Consolidada'!$E$7:$E$3000))))</f>
        <v/>
      </c>
      <c r="CF75" s="32" t="str">
        <f>+IF(CF$3="","",IF($AY75="","",IFERROR(INDEX('Data Consolidada'!$E$7:$E$891,MATCH(CONCATENATE(CF$3,"-",$CP75,"-",$AY75),'Data Consolidada'!$K$7:$K$891,0)),MAX('Data Consolidada'!$E$7:$E$3000))))</f>
        <v/>
      </c>
      <c r="CG75" s="32" t="str">
        <f>+IF(CG$3="","",IF($AY75="","",IFERROR(INDEX('Data Consolidada'!$E$7:$E$891,MATCH(CONCATENATE(CG$3,"-",$CP75,"-",$AY75),'Data Consolidada'!$K$7:$K$891,0)),MAX('Data Consolidada'!$E$7:$E$3000))))</f>
        <v/>
      </c>
      <c r="CH75" s="32" t="str">
        <f>+IF(CH$3="","",IF($AY75="","",IFERROR(INDEX('Data Consolidada'!$E$7:$E$891,MATCH(CONCATENATE(CH$3,"-",$CP75,"-",$AY75),'Data Consolidada'!$K$7:$K$891,0)),MAX('Data Consolidada'!$E$7:$E$3000))))</f>
        <v/>
      </c>
      <c r="CI75" s="32" t="str">
        <f>+IF(CI$3="","",IF($AY75="","",IFERROR(INDEX('Data Consolidada'!$E$7:$E$891,MATCH(CONCATENATE(CI$3,"-",$CP75,"-",$AY75),'Data Consolidada'!$K$7:$K$891,0)),MAX('Data Consolidada'!$E$7:$E$3000))))</f>
        <v/>
      </c>
      <c r="CJ75" s="32" t="str">
        <f>+IF(CJ$3="","",IF($AY75="","",IFERROR(INDEX('Data Consolidada'!$E$7:$E$891,MATCH(CONCATENATE(CJ$3,"-",$CP75,"-",$AY75),'Data Consolidada'!$K$7:$K$891,0)),MAX('Data Consolidada'!$E$7:$E$3000))))</f>
        <v/>
      </c>
      <c r="CK75" s="32" t="str">
        <f>+IF(CK$3="","",IF($AY75="","",IFERROR(INDEX('Data Consolidada'!$E$7:$E$891,MATCH(CONCATENATE(CK$3,"-",$CP75,"-",$AY75),'Data Consolidada'!$K$7:$K$891,0)),MAX('Data Consolidada'!$E$7:$E$3000))))</f>
        <v/>
      </c>
      <c r="CL75" s="32" t="str">
        <f>+IF(CL$3="","",IF($AY75="","",IFERROR(INDEX('Data Consolidada'!$E$7:$E$891,MATCH(CONCATENATE(CL$3,"-",$CP75,"-",$AY75),'Data Consolidada'!$K$7:$K$891,0)),MAX('Data Consolidada'!$E$7:$E$3000))))</f>
        <v/>
      </c>
      <c r="CM75" s="32" t="str">
        <f>+IF(CM$3="","",IF($AY75="","",IFERROR(INDEX('Data Consolidada'!$E$7:$E$891,MATCH(CONCATENATE(CM$3,"-",$CP75,"-",$AY75),'Data Consolidada'!$K$7:$K$891,0)),MAX('Data Consolidada'!$E$7:$E$3000))))</f>
        <v/>
      </c>
      <c r="CN75" s="32" t="str">
        <f>+IF(CN$3="","",IF($AY75="","",IFERROR(INDEX('Data Consolidada'!$E$7:$E$891,MATCH(CONCATENATE(CN$3,"-",$CP75,"-",$AY75),'Data Consolidada'!$K$7:$K$891,0)),MAX('Data Consolidada'!$E$7:$E$3000))))</f>
        <v/>
      </c>
      <c r="CO75" s="37" t="str">
        <f>+IF(CO$3="","",IF($AY75="","",IFERROR(INDEX('Data Consolidada'!$E$7:$E$891,MATCH(CONCATENATE(CO$3,"-",$CP75,"-",$AY75),'Data Consolidada'!$K$7:$K$891,0)),MAX('Data Consolidada'!$E$7:$E$3000))))</f>
        <v/>
      </c>
      <c r="CP75" s="224">
        <f t="shared" ca="1" si="38"/>
        <v>0</v>
      </c>
      <c r="CQ75" s="84" t="str">
        <f t="shared" ca="1" si="39"/>
        <v>PARRAO0</v>
      </c>
    </row>
    <row r="76" spans="2:95" ht="15" customHeight="1" x14ac:dyDescent="0.35">
      <c r="B76" s="218" t="str">
        <f t="shared" ca="1" si="41"/>
        <v>MACEBE</v>
      </c>
      <c r="C76" s="238">
        <v>0</v>
      </c>
      <c r="D76" s="239">
        <v>0</v>
      </c>
      <c r="E76" s="239">
        <v>0</v>
      </c>
      <c r="F76" s="239">
        <v>0</v>
      </c>
      <c r="G76" s="239">
        <v>0</v>
      </c>
      <c r="H76" s="239">
        <v>0</v>
      </c>
      <c r="I76" s="239">
        <v>0</v>
      </c>
      <c r="J76" s="239">
        <v>0</v>
      </c>
      <c r="K76" s="239">
        <v>0</v>
      </c>
      <c r="L76" s="239">
        <v>0</v>
      </c>
      <c r="M76" s="239">
        <v>0</v>
      </c>
      <c r="N76" s="239">
        <v>0</v>
      </c>
      <c r="O76" s="239">
        <v>0</v>
      </c>
      <c r="P76" s="239">
        <v>0</v>
      </c>
      <c r="Q76" s="239">
        <v>0</v>
      </c>
      <c r="R76" s="239">
        <v>0</v>
      </c>
      <c r="S76" s="239">
        <v>0</v>
      </c>
      <c r="T76" s="239">
        <v>0</v>
      </c>
      <c r="U76" s="239">
        <v>0</v>
      </c>
      <c r="V76" s="239">
        <v>0</v>
      </c>
      <c r="W76" s="239">
        <v>0</v>
      </c>
      <c r="X76" s="239">
        <v>0</v>
      </c>
      <c r="Y76" s="239">
        <v>0</v>
      </c>
      <c r="Z76" s="239"/>
      <c r="AA76" s="239"/>
      <c r="AB76" s="239"/>
      <c r="AC76" s="239"/>
      <c r="AD76" s="239"/>
      <c r="AE76" s="239"/>
      <c r="AF76" s="239"/>
      <c r="AG76" s="239"/>
      <c r="AH76" s="239"/>
      <c r="AI76" s="239"/>
      <c r="AJ76" s="239"/>
      <c r="AK76" s="239"/>
      <c r="AL76" s="239"/>
      <c r="AM76" s="239"/>
      <c r="AN76" s="239"/>
      <c r="AO76" s="239"/>
      <c r="AP76" s="239"/>
      <c r="AQ76" s="239"/>
      <c r="AR76" s="252"/>
      <c r="AS76" s="77" t="str">
        <f t="shared" ca="1" si="42"/>
        <v>MOSTAZAL</v>
      </c>
      <c r="AT76" s="255">
        <f t="shared" si="43"/>
        <v>0</v>
      </c>
      <c r="AU76" s="51"/>
      <c r="AV76" s="51"/>
      <c r="AW76" s="13">
        <f>+IF(AX76="","",IF(AX76&gt;AX75,AW75,IF(AW75&lt;$D$69,AW75+1,IF(COUNT(AW$4:AW75)&lt;$B$69*$E$54,1,""))))</f>
        <v>6</v>
      </c>
      <c r="AX76" s="13">
        <f>+IF(AX75&lt;$B$69,AX75+1,IF(COUNT(AX$4:AX75)&lt;$B$69*$D$69,1,""))</f>
        <v>8</v>
      </c>
      <c r="AY76" s="189" t="str">
        <f t="shared" ca="1" si="37"/>
        <v>PAULA</v>
      </c>
      <c r="AZ76" s="36">
        <f ca="1">+IF(AZ$3="","",IF($AY76="","",IFERROR(INDEX('Data Consolidada'!$E$7:$E$891,MATCH(CONCATENATE(AZ$3,"-",$CP76,"-",$AY76),'Data Consolidada'!$K$7:$K$891,0)),MAX('Data Consolidada'!$E$7:$E$3000))))</f>
        <v>11000000</v>
      </c>
      <c r="BA76" s="32">
        <f ca="1">+IF(BA$3="","",IF($AY76="","",IFERROR(INDEX('Data Consolidada'!$E$7:$E$891,MATCH(CONCATENATE(BA$3,"-",$CP76,"-",$AY76),'Data Consolidada'!$K$7:$K$891,0)),MAX('Data Consolidada'!$E$7:$E$3000))))</f>
        <v>11000000</v>
      </c>
      <c r="BB76" s="32" t="str">
        <f>+IF(BB$3="","",IF($AY76="","",IFERROR(INDEX('Data Consolidada'!$E$7:$E$891,MATCH(CONCATENATE(BB$3,"-",$CP76,"-",$AY76),'Data Consolidada'!$K$7:$K$891,0)),MAX('Data Consolidada'!$E$7:$E$3000))))</f>
        <v/>
      </c>
      <c r="BC76" s="32" t="str">
        <f>+IF(BC$3="","",IF($AY76="","",IFERROR(INDEX('Data Consolidada'!$E$7:$E$891,MATCH(CONCATENATE(BC$3,"-",$CP76,"-",$AY76),'Data Consolidada'!$K$7:$K$891,0)),MAX('Data Consolidada'!$E$7:$E$3000))))</f>
        <v/>
      </c>
      <c r="BD76" s="32" t="str">
        <f>+IF(BD$3="","",IF($AY76="","",IFERROR(INDEX('Data Consolidada'!$E$7:$E$891,MATCH(CONCATENATE(BD$3,"-",$CP76,"-",$AY76),'Data Consolidada'!$K$7:$K$891,0)),MAX('Data Consolidada'!$E$7:$E$3000))))</f>
        <v/>
      </c>
      <c r="BE76" s="32" t="str">
        <f>+IF(BE$3="","",IF($AY76="","",IFERROR(INDEX('Data Consolidada'!$E$7:$E$891,MATCH(CONCATENATE(BE$3,"-",$CP76,"-",$AY76),'Data Consolidada'!$K$7:$K$891,0)),MAX('Data Consolidada'!$E$7:$E$3000))))</f>
        <v/>
      </c>
      <c r="BF76" s="32" t="str">
        <f>+IF(BF$3="","",IF($AY76="","",IFERROR(INDEX('Data Consolidada'!$E$7:$E$891,MATCH(CONCATENATE(BF$3,"-",$CP76,"-",$AY76),'Data Consolidada'!$K$7:$K$891,0)),MAX('Data Consolidada'!$E$7:$E$3000))))</f>
        <v/>
      </c>
      <c r="BG76" s="32" t="str">
        <f>+IF(BG$3="","",IF($AY76="","",IFERROR(INDEX('Data Consolidada'!$E$7:$E$891,MATCH(CONCATENATE(BG$3,"-",$CP76,"-",$AY76),'Data Consolidada'!$K$7:$K$891,0)),MAX('Data Consolidada'!$E$7:$E$3000))))</f>
        <v/>
      </c>
      <c r="BH76" s="32" t="str">
        <f>+IF(BH$3="","",IF($AY76="","",IFERROR(INDEX('Data Consolidada'!$E$7:$E$891,MATCH(CONCATENATE(BH$3,"-",$CP76,"-",$AY76),'Data Consolidada'!$K$7:$K$891,0)),MAX('Data Consolidada'!$E$7:$E$3000))))</f>
        <v/>
      </c>
      <c r="BI76" s="32" t="str">
        <f>+IF(BI$3="","",IF($AY76="","",IFERROR(INDEX('Data Consolidada'!$E$7:$E$891,MATCH(CONCATENATE(BI$3,"-",$CP76,"-",$AY76),'Data Consolidada'!$K$7:$K$891,0)),MAX('Data Consolidada'!$E$7:$E$3000))))</f>
        <v/>
      </c>
      <c r="BJ76" s="32" t="str">
        <f>+IF(BJ$3="","",IF($AY76="","",IFERROR(INDEX('Data Consolidada'!$E$7:$E$891,MATCH(CONCATENATE(BJ$3,"-",$CP76,"-",$AY76),'Data Consolidada'!$K$7:$K$891,0)),MAX('Data Consolidada'!$E$7:$E$3000))))</f>
        <v/>
      </c>
      <c r="BK76" s="32" t="str">
        <f>+IF(BK$3="","",IF($AY76="","",IFERROR(INDEX('Data Consolidada'!$E$7:$E$891,MATCH(CONCATENATE(BK$3,"-",$CP76,"-",$AY76),'Data Consolidada'!$K$7:$K$891,0)),MAX('Data Consolidada'!$E$7:$E$3000))))</f>
        <v/>
      </c>
      <c r="BL76" s="32" t="str">
        <f>+IF(BL$3="","",IF($AY76="","",IFERROR(INDEX('Data Consolidada'!$E$7:$E$891,MATCH(CONCATENATE(BL$3,"-",$CP76,"-",$AY76),'Data Consolidada'!$K$7:$K$891,0)),MAX('Data Consolidada'!$E$7:$E$3000))))</f>
        <v/>
      </c>
      <c r="BM76" s="32" t="str">
        <f>+IF(BM$3="","",IF($AY76="","",IFERROR(INDEX('Data Consolidada'!$E$7:$E$891,MATCH(CONCATENATE(BM$3,"-",$CP76,"-",$AY76),'Data Consolidada'!$K$7:$K$891,0)),MAX('Data Consolidada'!$E$7:$E$3000))))</f>
        <v/>
      </c>
      <c r="BN76" s="32" t="str">
        <f>+IF(BN$3="","",IF($AY76="","",IFERROR(INDEX('Data Consolidada'!$E$7:$E$891,MATCH(CONCATENATE(BN$3,"-",$CP76,"-",$AY76),'Data Consolidada'!$K$7:$K$891,0)),MAX('Data Consolidada'!$E$7:$E$3000))))</f>
        <v/>
      </c>
      <c r="BO76" s="32" t="str">
        <f>+IF(BO$3="","",IF($AY76="","",IFERROR(INDEX('Data Consolidada'!$E$7:$E$891,MATCH(CONCATENATE(BO$3,"-",$CP76,"-",$AY76),'Data Consolidada'!$K$7:$K$891,0)),MAX('Data Consolidada'!$E$7:$E$3000))))</f>
        <v/>
      </c>
      <c r="BP76" s="32" t="str">
        <f>+IF(BP$3="","",IF($AY76="","",IFERROR(INDEX('Data Consolidada'!$E$7:$E$891,MATCH(CONCATENATE(BP$3,"-",$CP76,"-",$AY76),'Data Consolidada'!$K$7:$K$891,0)),MAX('Data Consolidada'!$E$7:$E$3000))))</f>
        <v/>
      </c>
      <c r="BQ76" s="32" t="str">
        <f>+IF(BQ$3="","",IF($AY76="","",IFERROR(INDEX('Data Consolidada'!$E$7:$E$891,MATCH(CONCATENATE(BQ$3,"-",$CP76,"-",$AY76),'Data Consolidada'!$K$7:$K$891,0)),MAX('Data Consolidada'!$E$7:$E$3000))))</f>
        <v/>
      </c>
      <c r="BR76" s="32" t="str">
        <f>+IF(BR$3="","",IF($AY76="","",IFERROR(INDEX('Data Consolidada'!$E$7:$E$891,MATCH(CONCATENATE(BR$3,"-",$CP76,"-",$AY76),'Data Consolidada'!$K$7:$K$891,0)),MAX('Data Consolidada'!$E$7:$E$3000))))</f>
        <v/>
      </c>
      <c r="BS76" s="32" t="str">
        <f>+IF(BS$3="","",IF($AY76="","",IFERROR(INDEX('Data Consolidada'!$E$7:$E$891,MATCH(CONCATENATE(BS$3,"-",$CP76,"-",$AY76),'Data Consolidada'!$K$7:$K$891,0)),MAX('Data Consolidada'!$E$7:$E$3000))))</f>
        <v/>
      </c>
      <c r="BT76" s="32" t="str">
        <f>+IF(BT$3="","",IF($AY76="","",IFERROR(INDEX('Data Consolidada'!$E$7:$E$891,MATCH(CONCATENATE(BT$3,"-",$CP76,"-",$AY76),'Data Consolidada'!$K$7:$K$891,0)),MAX('Data Consolidada'!$E$7:$E$3000))))</f>
        <v/>
      </c>
      <c r="BU76" s="32" t="str">
        <f>+IF(BU$3="","",IF($AY76="","",IFERROR(INDEX('Data Consolidada'!$E$7:$E$891,MATCH(CONCATENATE(BU$3,"-",$CP76,"-",$AY76),'Data Consolidada'!$K$7:$K$891,0)),MAX('Data Consolidada'!$E$7:$E$3000))))</f>
        <v/>
      </c>
      <c r="BV76" s="32" t="str">
        <f>+IF(BV$3="","",IF($AY76="","",IFERROR(INDEX('Data Consolidada'!$E$7:$E$891,MATCH(CONCATENATE(BV$3,"-",$CP76,"-",$AY76),'Data Consolidada'!$K$7:$K$891,0)),MAX('Data Consolidada'!$E$7:$E$3000))))</f>
        <v/>
      </c>
      <c r="BW76" s="32" t="str">
        <f>+IF(BW$3="","",IF($AY76="","",IFERROR(INDEX('Data Consolidada'!$E$7:$E$891,MATCH(CONCATENATE(BW$3,"-",$CP76,"-",$AY76),'Data Consolidada'!$K$7:$K$891,0)),MAX('Data Consolidada'!$E$7:$E$3000))))</f>
        <v/>
      </c>
      <c r="BX76" s="32" t="str">
        <f>+IF(BX$3="","",IF($AY76="","",IFERROR(INDEX('Data Consolidada'!$E$7:$E$891,MATCH(CONCATENATE(BX$3,"-",$CP76,"-",$AY76),'Data Consolidada'!$K$7:$K$891,0)),MAX('Data Consolidada'!$E$7:$E$3000))))</f>
        <v/>
      </c>
      <c r="BY76" s="32" t="str">
        <f>+IF(BY$3="","",IF($AY76="","",IFERROR(INDEX('Data Consolidada'!$E$7:$E$891,MATCH(CONCATENATE(BY$3,"-",$CP76,"-",$AY76),'Data Consolidada'!$K$7:$K$891,0)),MAX('Data Consolidada'!$E$7:$E$3000))))</f>
        <v/>
      </c>
      <c r="BZ76" s="32" t="str">
        <f>+IF(BZ$3="","",IF($AY76="","",IFERROR(INDEX('Data Consolidada'!$E$7:$E$891,MATCH(CONCATENATE(BZ$3,"-",$CP76,"-",$AY76),'Data Consolidada'!$K$7:$K$891,0)),MAX('Data Consolidada'!$E$7:$E$3000))))</f>
        <v/>
      </c>
      <c r="CA76" s="32" t="str">
        <f>+IF(CA$3="","",IF($AY76="","",IFERROR(INDEX('Data Consolidada'!$E$7:$E$891,MATCH(CONCATENATE(CA$3,"-",$CP76,"-",$AY76),'Data Consolidada'!$K$7:$K$891,0)),MAX('Data Consolidada'!$E$7:$E$3000))))</f>
        <v/>
      </c>
      <c r="CB76" s="32" t="str">
        <f>+IF(CB$3="","",IF($AY76="","",IFERROR(INDEX('Data Consolidada'!$E$7:$E$891,MATCH(CONCATENATE(CB$3,"-",$CP76,"-",$AY76),'Data Consolidada'!$K$7:$K$891,0)),MAX('Data Consolidada'!$E$7:$E$3000))))</f>
        <v/>
      </c>
      <c r="CC76" s="32" t="str">
        <f>+IF(CC$3="","",IF($AY76="","",IFERROR(INDEX('Data Consolidada'!$E$7:$E$891,MATCH(CONCATENATE(CC$3,"-",$CP76,"-",$AY76),'Data Consolidada'!$K$7:$K$891,0)),MAX('Data Consolidada'!$E$7:$E$3000))))</f>
        <v/>
      </c>
      <c r="CD76" s="32" t="str">
        <f>+IF(CD$3="","",IF($AY76="","",IFERROR(INDEX('Data Consolidada'!$E$7:$E$891,MATCH(CONCATENATE(CD$3,"-",$CP76,"-",$AY76),'Data Consolidada'!$K$7:$K$891,0)),MAX('Data Consolidada'!$E$7:$E$3000))))</f>
        <v/>
      </c>
      <c r="CE76" s="32" t="str">
        <f>+IF(CE$3="","",IF($AY76="","",IFERROR(INDEX('Data Consolidada'!$E$7:$E$891,MATCH(CONCATENATE(CE$3,"-",$CP76,"-",$AY76),'Data Consolidada'!$K$7:$K$891,0)),MAX('Data Consolidada'!$E$7:$E$3000))))</f>
        <v/>
      </c>
      <c r="CF76" s="32" t="str">
        <f>+IF(CF$3="","",IF($AY76="","",IFERROR(INDEX('Data Consolidada'!$E$7:$E$891,MATCH(CONCATENATE(CF$3,"-",$CP76,"-",$AY76),'Data Consolidada'!$K$7:$K$891,0)),MAX('Data Consolidada'!$E$7:$E$3000))))</f>
        <v/>
      </c>
      <c r="CG76" s="32" t="str">
        <f>+IF(CG$3="","",IF($AY76="","",IFERROR(INDEX('Data Consolidada'!$E$7:$E$891,MATCH(CONCATENATE(CG$3,"-",$CP76,"-",$AY76),'Data Consolidada'!$K$7:$K$891,0)),MAX('Data Consolidada'!$E$7:$E$3000))))</f>
        <v/>
      </c>
      <c r="CH76" s="32" t="str">
        <f>+IF(CH$3="","",IF($AY76="","",IFERROR(INDEX('Data Consolidada'!$E$7:$E$891,MATCH(CONCATENATE(CH$3,"-",$CP76,"-",$AY76),'Data Consolidada'!$K$7:$K$891,0)),MAX('Data Consolidada'!$E$7:$E$3000))))</f>
        <v/>
      </c>
      <c r="CI76" s="32" t="str">
        <f>+IF(CI$3="","",IF($AY76="","",IFERROR(INDEX('Data Consolidada'!$E$7:$E$891,MATCH(CONCATENATE(CI$3,"-",$CP76,"-",$AY76),'Data Consolidada'!$K$7:$K$891,0)),MAX('Data Consolidada'!$E$7:$E$3000))))</f>
        <v/>
      </c>
      <c r="CJ76" s="32" t="str">
        <f>+IF(CJ$3="","",IF($AY76="","",IFERROR(INDEX('Data Consolidada'!$E$7:$E$891,MATCH(CONCATENATE(CJ$3,"-",$CP76,"-",$AY76),'Data Consolidada'!$K$7:$K$891,0)),MAX('Data Consolidada'!$E$7:$E$3000))))</f>
        <v/>
      </c>
      <c r="CK76" s="32" t="str">
        <f>+IF(CK$3="","",IF($AY76="","",IFERROR(INDEX('Data Consolidada'!$E$7:$E$891,MATCH(CONCATENATE(CK$3,"-",$CP76,"-",$AY76),'Data Consolidada'!$K$7:$K$891,0)),MAX('Data Consolidada'!$E$7:$E$3000))))</f>
        <v/>
      </c>
      <c r="CL76" s="32" t="str">
        <f>+IF(CL$3="","",IF($AY76="","",IFERROR(INDEX('Data Consolidada'!$E$7:$E$891,MATCH(CONCATENATE(CL$3,"-",$CP76,"-",$AY76),'Data Consolidada'!$K$7:$K$891,0)),MAX('Data Consolidada'!$E$7:$E$3000))))</f>
        <v/>
      </c>
      <c r="CM76" s="32" t="str">
        <f>+IF(CM$3="","",IF($AY76="","",IFERROR(INDEX('Data Consolidada'!$E$7:$E$891,MATCH(CONCATENATE(CM$3,"-",$CP76,"-",$AY76),'Data Consolidada'!$K$7:$K$891,0)),MAX('Data Consolidada'!$E$7:$E$3000))))</f>
        <v/>
      </c>
      <c r="CN76" s="32" t="str">
        <f>+IF(CN$3="","",IF($AY76="","",IFERROR(INDEX('Data Consolidada'!$E$7:$E$891,MATCH(CONCATENATE(CN$3,"-",$CP76,"-",$AY76),'Data Consolidada'!$K$7:$K$891,0)),MAX('Data Consolidada'!$E$7:$E$3000))))</f>
        <v/>
      </c>
      <c r="CO76" s="37" t="str">
        <f>+IF(CO$3="","",IF($AY76="","",IFERROR(INDEX('Data Consolidada'!$E$7:$E$891,MATCH(CONCATENATE(CO$3,"-",$CP76,"-",$AY76),'Data Consolidada'!$K$7:$K$891,0)),MAX('Data Consolidada'!$E$7:$E$3000))))</f>
        <v/>
      </c>
      <c r="CP76" s="224">
        <f t="shared" ca="1" si="38"/>
        <v>0</v>
      </c>
      <c r="CQ76" s="84" t="str">
        <f t="shared" ca="1" si="39"/>
        <v>PAULA0</v>
      </c>
    </row>
    <row r="77" spans="2:95" ht="15" customHeight="1" x14ac:dyDescent="0.35">
      <c r="B77" s="218" t="str">
        <f t="shared" ca="1" si="41"/>
        <v xml:space="preserve">Manuel Sepúlveda </v>
      </c>
      <c r="C77" s="238">
        <v>0</v>
      </c>
      <c r="D77" s="239">
        <v>0</v>
      </c>
      <c r="E77" s="239">
        <v>0</v>
      </c>
      <c r="F77" s="239">
        <v>0</v>
      </c>
      <c r="G77" s="239">
        <v>0</v>
      </c>
      <c r="H77" s="239">
        <v>0</v>
      </c>
      <c r="I77" s="239">
        <v>0</v>
      </c>
      <c r="J77" s="239">
        <v>0</v>
      </c>
      <c r="K77" s="239">
        <v>0</v>
      </c>
      <c r="L77" s="239">
        <v>0</v>
      </c>
      <c r="M77" s="239">
        <v>0</v>
      </c>
      <c r="N77" s="240">
        <v>0</v>
      </c>
      <c r="O77" s="239">
        <v>0</v>
      </c>
      <c r="P77" s="239">
        <v>0</v>
      </c>
      <c r="Q77" s="239">
        <v>0</v>
      </c>
      <c r="R77" s="239">
        <v>0</v>
      </c>
      <c r="S77" s="239">
        <v>0</v>
      </c>
      <c r="T77" s="239">
        <v>0</v>
      </c>
      <c r="U77" s="239">
        <v>0</v>
      </c>
      <c r="V77" s="239">
        <v>0</v>
      </c>
      <c r="W77" s="239">
        <v>0</v>
      </c>
      <c r="X77" s="239">
        <v>0</v>
      </c>
      <c r="Y77" s="239">
        <v>0</v>
      </c>
      <c r="Z77" s="239"/>
      <c r="AA77" s="239"/>
      <c r="AB77" s="239"/>
      <c r="AC77" s="239"/>
      <c r="AD77" s="239"/>
      <c r="AE77" s="239"/>
      <c r="AF77" s="239"/>
      <c r="AG77" s="239"/>
      <c r="AH77" s="239"/>
      <c r="AI77" s="239"/>
      <c r="AJ77" s="239"/>
      <c r="AK77" s="239"/>
      <c r="AL77" s="239"/>
      <c r="AM77" s="239"/>
      <c r="AN77" s="239"/>
      <c r="AO77" s="239"/>
      <c r="AP77" s="239"/>
      <c r="AQ77" s="239"/>
      <c r="AR77" s="252"/>
      <c r="AS77" s="77" t="str">
        <f t="shared" ca="1" si="42"/>
        <v>MOSTAZAL</v>
      </c>
      <c r="AT77" s="255">
        <f t="shared" si="43"/>
        <v>0</v>
      </c>
      <c r="AU77" s="51"/>
      <c r="AV77" s="51"/>
      <c r="AW77" s="13">
        <f>+IF(AX77="","",IF(AX77&gt;AX76,AW76,IF(AW76&lt;$D$69,AW76+1,IF(COUNT(AW$4:AW76)&lt;$B$69*$E$54,1,""))))</f>
        <v>6</v>
      </c>
      <c r="AX77" s="13">
        <f>+IF(AX76&lt;$B$69,AX76+1,IF(COUNT(AX$4:AX76)&lt;$B$69*$D$69,1,""))</f>
        <v>9</v>
      </c>
      <c r="AY77" s="189" t="str">
        <f t="shared" ca="1" si="37"/>
        <v>TH TRANSPORTES</v>
      </c>
      <c r="AZ77" s="36">
        <f ca="1">+IF(AZ$3="","",IF($AY77="","",IFERROR(INDEX('Data Consolidada'!$E$7:$E$891,MATCH(CONCATENATE(AZ$3,"-",$CP77,"-",$AY77),'Data Consolidada'!$K$7:$K$891,0)),MAX('Data Consolidada'!$E$7:$E$3000))))</f>
        <v>11000000</v>
      </c>
      <c r="BA77" s="32">
        <f ca="1">+IF(BA$3="","",IF($AY77="","",IFERROR(INDEX('Data Consolidada'!$E$7:$E$891,MATCH(CONCATENATE(BA$3,"-",$CP77,"-",$AY77),'Data Consolidada'!$K$7:$K$891,0)),MAX('Data Consolidada'!$E$7:$E$3000))))</f>
        <v>11000000</v>
      </c>
      <c r="BB77" s="32" t="str">
        <f>+IF(BB$3="","",IF($AY77="","",IFERROR(INDEX('Data Consolidada'!$E$7:$E$891,MATCH(CONCATENATE(BB$3,"-",$CP77,"-",$AY77),'Data Consolidada'!$K$7:$K$891,0)),MAX('Data Consolidada'!$E$7:$E$3000))))</f>
        <v/>
      </c>
      <c r="BC77" s="32" t="str">
        <f>+IF(BC$3="","",IF($AY77="","",IFERROR(INDEX('Data Consolidada'!$E$7:$E$891,MATCH(CONCATENATE(BC$3,"-",$CP77,"-",$AY77),'Data Consolidada'!$K$7:$K$891,0)),MAX('Data Consolidada'!$E$7:$E$3000))))</f>
        <v/>
      </c>
      <c r="BD77" s="32" t="str">
        <f>+IF(BD$3="","",IF($AY77="","",IFERROR(INDEX('Data Consolidada'!$E$7:$E$891,MATCH(CONCATENATE(BD$3,"-",$CP77,"-",$AY77),'Data Consolidada'!$K$7:$K$891,0)),MAX('Data Consolidada'!$E$7:$E$3000))))</f>
        <v/>
      </c>
      <c r="BE77" s="32" t="str">
        <f>+IF(BE$3="","",IF($AY77="","",IFERROR(INDEX('Data Consolidada'!$E$7:$E$891,MATCH(CONCATENATE(BE$3,"-",$CP77,"-",$AY77),'Data Consolidada'!$K$7:$K$891,0)),MAX('Data Consolidada'!$E$7:$E$3000))))</f>
        <v/>
      </c>
      <c r="BF77" s="32" t="str">
        <f>+IF(BF$3="","",IF($AY77="","",IFERROR(INDEX('Data Consolidada'!$E$7:$E$891,MATCH(CONCATENATE(BF$3,"-",$CP77,"-",$AY77),'Data Consolidada'!$K$7:$K$891,0)),MAX('Data Consolidada'!$E$7:$E$3000))))</f>
        <v/>
      </c>
      <c r="BG77" s="32" t="str">
        <f>+IF(BG$3="","",IF($AY77="","",IFERROR(INDEX('Data Consolidada'!$E$7:$E$891,MATCH(CONCATENATE(BG$3,"-",$CP77,"-",$AY77),'Data Consolidada'!$K$7:$K$891,0)),MAX('Data Consolidada'!$E$7:$E$3000))))</f>
        <v/>
      </c>
      <c r="BH77" s="32" t="str">
        <f>+IF(BH$3="","",IF($AY77="","",IFERROR(INDEX('Data Consolidada'!$E$7:$E$891,MATCH(CONCATENATE(BH$3,"-",$CP77,"-",$AY77),'Data Consolidada'!$K$7:$K$891,0)),MAX('Data Consolidada'!$E$7:$E$3000))))</f>
        <v/>
      </c>
      <c r="BI77" s="32" t="str">
        <f>+IF(BI$3="","",IF($AY77="","",IFERROR(INDEX('Data Consolidada'!$E$7:$E$891,MATCH(CONCATENATE(BI$3,"-",$CP77,"-",$AY77),'Data Consolidada'!$K$7:$K$891,0)),MAX('Data Consolidada'!$E$7:$E$3000))))</f>
        <v/>
      </c>
      <c r="BJ77" s="32" t="str">
        <f>+IF(BJ$3="","",IF($AY77="","",IFERROR(INDEX('Data Consolidada'!$E$7:$E$891,MATCH(CONCATENATE(BJ$3,"-",$CP77,"-",$AY77),'Data Consolidada'!$K$7:$K$891,0)),MAX('Data Consolidada'!$E$7:$E$3000))))</f>
        <v/>
      </c>
      <c r="BK77" s="32" t="str">
        <f>+IF(BK$3="","",IF($AY77="","",IFERROR(INDEX('Data Consolidada'!$E$7:$E$891,MATCH(CONCATENATE(BK$3,"-",$CP77,"-",$AY77),'Data Consolidada'!$K$7:$K$891,0)),MAX('Data Consolidada'!$E$7:$E$3000))))</f>
        <v/>
      </c>
      <c r="BL77" s="32" t="str">
        <f>+IF(BL$3="","",IF($AY77="","",IFERROR(INDEX('Data Consolidada'!$E$7:$E$891,MATCH(CONCATENATE(BL$3,"-",$CP77,"-",$AY77),'Data Consolidada'!$K$7:$K$891,0)),MAX('Data Consolidada'!$E$7:$E$3000))))</f>
        <v/>
      </c>
      <c r="BM77" s="32" t="str">
        <f>+IF(BM$3="","",IF($AY77="","",IFERROR(INDEX('Data Consolidada'!$E$7:$E$891,MATCH(CONCATENATE(BM$3,"-",$CP77,"-",$AY77),'Data Consolidada'!$K$7:$K$891,0)),MAX('Data Consolidada'!$E$7:$E$3000))))</f>
        <v/>
      </c>
      <c r="BN77" s="32" t="str">
        <f>+IF(BN$3="","",IF($AY77="","",IFERROR(INDEX('Data Consolidada'!$E$7:$E$891,MATCH(CONCATENATE(BN$3,"-",$CP77,"-",$AY77),'Data Consolidada'!$K$7:$K$891,0)),MAX('Data Consolidada'!$E$7:$E$3000))))</f>
        <v/>
      </c>
      <c r="BO77" s="32" t="str">
        <f>+IF(BO$3="","",IF($AY77="","",IFERROR(INDEX('Data Consolidada'!$E$7:$E$891,MATCH(CONCATENATE(BO$3,"-",$CP77,"-",$AY77),'Data Consolidada'!$K$7:$K$891,0)),MAX('Data Consolidada'!$E$7:$E$3000))))</f>
        <v/>
      </c>
      <c r="BP77" s="32" t="str">
        <f>+IF(BP$3="","",IF($AY77="","",IFERROR(INDEX('Data Consolidada'!$E$7:$E$891,MATCH(CONCATENATE(BP$3,"-",$CP77,"-",$AY77),'Data Consolidada'!$K$7:$K$891,0)),MAX('Data Consolidada'!$E$7:$E$3000))))</f>
        <v/>
      </c>
      <c r="BQ77" s="32" t="str">
        <f>+IF(BQ$3="","",IF($AY77="","",IFERROR(INDEX('Data Consolidada'!$E$7:$E$891,MATCH(CONCATENATE(BQ$3,"-",$CP77,"-",$AY77),'Data Consolidada'!$K$7:$K$891,0)),MAX('Data Consolidada'!$E$7:$E$3000))))</f>
        <v/>
      </c>
      <c r="BR77" s="32" t="str">
        <f>+IF(BR$3="","",IF($AY77="","",IFERROR(INDEX('Data Consolidada'!$E$7:$E$891,MATCH(CONCATENATE(BR$3,"-",$CP77,"-",$AY77),'Data Consolidada'!$K$7:$K$891,0)),MAX('Data Consolidada'!$E$7:$E$3000))))</f>
        <v/>
      </c>
      <c r="BS77" s="32" t="str">
        <f>+IF(BS$3="","",IF($AY77="","",IFERROR(INDEX('Data Consolidada'!$E$7:$E$891,MATCH(CONCATENATE(BS$3,"-",$CP77,"-",$AY77),'Data Consolidada'!$K$7:$K$891,0)),MAX('Data Consolidada'!$E$7:$E$3000))))</f>
        <v/>
      </c>
      <c r="BT77" s="32" t="str">
        <f>+IF(BT$3="","",IF($AY77="","",IFERROR(INDEX('Data Consolidada'!$E$7:$E$891,MATCH(CONCATENATE(BT$3,"-",$CP77,"-",$AY77),'Data Consolidada'!$K$7:$K$891,0)),MAX('Data Consolidada'!$E$7:$E$3000))))</f>
        <v/>
      </c>
      <c r="BU77" s="32" t="str">
        <f>+IF(BU$3="","",IF($AY77="","",IFERROR(INDEX('Data Consolidada'!$E$7:$E$891,MATCH(CONCATENATE(BU$3,"-",$CP77,"-",$AY77),'Data Consolidada'!$K$7:$K$891,0)),MAX('Data Consolidada'!$E$7:$E$3000))))</f>
        <v/>
      </c>
      <c r="BV77" s="32" t="str">
        <f>+IF(BV$3="","",IF($AY77="","",IFERROR(INDEX('Data Consolidada'!$E$7:$E$891,MATCH(CONCATENATE(BV$3,"-",$CP77,"-",$AY77),'Data Consolidada'!$K$7:$K$891,0)),MAX('Data Consolidada'!$E$7:$E$3000))))</f>
        <v/>
      </c>
      <c r="BW77" s="32" t="str">
        <f>+IF(BW$3="","",IF($AY77="","",IFERROR(INDEX('Data Consolidada'!$E$7:$E$891,MATCH(CONCATENATE(BW$3,"-",$CP77,"-",$AY77),'Data Consolidada'!$K$7:$K$891,0)),MAX('Data Consolidada'!$E$7:$E$3000))))</f>
        <v/>
      </c>
      <c r="BX77" s="32" t="str">
        <f>+IF(BX$3="","",IF($AY77="","",IFERROR(INDEX('Data Consolidada'!$E$7:$E$891,MATCH(CONCATENATE(BX$3,"-",$CP77,"-",$AY77),'Data Consolidada'!$K$7:$K$891,0)),MAX('Data Consolidada'!$E$7:$E$3000))))</f>
        <v/>
      </c>
      <c r="BY77" s="32" t="str">
        <f>+IF(BY$3="","",IF($AY77="","",IFERROR(INDEX('Data Consolidada'!$E$7:$E$891,MATCH(CONCATENATE(BY$3,"-",$CP77,"-",$AY77),'Data Consolidada'!$K$7:$K$891,0)),MAX('Data Consolidada'!$E$7:$E$3000))))</f>
        <v/>
      </c>
      <c r="BZ77" s="32" t="str">
        <f>+IF(BZ$3="","",IF($AY77="","",IFERROR(INDEX('Data Consolidada'!$E$7:$E$891,MATCH(CONCATENATE(BZ$3,"-",$CP77,"-",$AY77),'Data Consolidada'!$K$7:$K$891,0)),MAX('Data Consolidada'!$E$7:$E$3000))))</f>
        <v/>
      </c>
      <c r="CA77" s="32" t="str">
        <f>+IF(CA$3="","",IF($AY77="","",IFERROR(INDEX('Data Consolidada'!$E$7:$E$891,MATCH(CONCATENATE(CA$3,"-",$CP77,"-",$AY77),'Data Consolidada'!$K$7:$K$891,0)),MAX('Data Consolidada'!$E$7:$E$3000))))</f>
        <v/>
      </c>
      <c r="CB77" s="32" t="str">
        <f>+IF(CB$3="","",IF($AY77="","",IFERROR(INDEX('Data Consolidada'!$E$7:$E$891,MATCH(CONCATENATE(CB$3,"-",$CP77,"-",$AY77),'Data Consolidada'!$K$7:$K$891,0)),MAX('Data Consolidada'!$E$7:$E$3000))))</f>
        <v/>
      </c>
      <c r="CC77" s="32" t="str">
        <f>+IF(CC$3="","",IF($AY77="","",IFERROR(INDEX('Data Consolidada'!$E$7:$E$891,MATCH(CONCATENATE(CC$3,"-",$CP77,"-",$AY77),'Data Consolidada'!$K$7:$K$891,0)),MAX('Data Consolidada'!$E$7:$E$3000))))</f>
        <v/>
      </c>
      <c r="CD77" s="32" t="str">
        <f>+IF(CD$3="","",IF($AY77="","",IFERROR(INDEX('Data Consolidada'!$E$7:$E$891,MATCH(CONCATENATE(CD$3,"-",$CP77,"-",$AY77),'Data Consolidada'!$K$7:$K$891,0)),MAX('Data Consolidada'!$E$7:$E$3000))))</f>
        <v/>
      </c>
      <c r="CE77" s="32" t="str">
        <f>+IF(CE$3="","",IF($AY77="","",IFERROR(INDEX('Data Consolidada'!$E$7:$E$891,MATCH(CONCATENATE(CE$3,"-",$CP77,"-",$AY77),'Data Consolidada'!$K$7:$K$891,0)),MAX('Data Consolidada'!$E$7:$E$3000))))</f>
        <v/>
      </c>
      <c r="CF77" s="32" t="str">
        <f>+IF(CF$3="","",IF($AY77="","",IFERROR(INDEX('Data Consolidada'!$E$7:$E$891,MATCH(CONCATENATE(CF$3,"-",$CP77,"-",$AY77),'Data Consolidada'!$K$7:$K$891,0)),MAX('Data Consolidada'!$E$7:$E$3000))))</f>
        <v/>
      </c>
      <c r="CG77" s="32" t="str">
        <f>+IF(CG$3="","",IF($AY77="","",IFERROR(INDEX('Data Consolidada'!$E$7:$E$891,MATCH(CONCATENATE(CG$3,"-",$CP77,"-",$AY77),'Data Consolidada'!$K$7:$K$891,0)),MAX('Data Consolidada'!$E$7:$E$3000))))</f>
        <v/>
      </c>
      <c r="CH77" s="32" t="str">
        <f>+IF(CH$3="","",IF($AY77="","",IFERROR(INDEX('Data Consolidada'!$E$7:$E$891,MATCH(CONCATENATE(CH$3,"-",$CP77,"-",$AY77),'Data Consolidada'!$K$7:$K$891,0)),MAX('Data Consolidada'!$E$7:$E$3000))))</f>
        <v/>
      </c>
      <c r="CI77" s="32" t="str">
        <f>+IF(CI$3="","",IF($AY77="","",IFERROR(INDEX('Data Consolidada'!$E$7:$E$891,MATCH(CONCATENATE(CI$3,"-",$CP77,"-",$AY77),'Data Consolidada'!$K$7:$K$891,0)),MAX('Data Consolidada'!$E$7:$E$3000))))</f>
        <v/>
      </c>
      <c r="CJ77" s="32" t="str">
        <f>+IF(CJ$3="","",IF($AY77="","",IFERROR(INDEX('Data Consolidada'!$E$7:$E$891,MATCH(CONCATENATE(CJ$3,"-",$CP77,"-",$AY77),'Data Consolidada'!$K$7:$K$891,0)),MAX('Data Consolidada'!$E$7:$E$3000))))</f>
        <v/>
      </c>
      <c r="CK77" s="32" t="str">
        <f>+IF(CK$3="","",IF($AY77="","",IFERROR(INDEX('Data Consolidada'!$E$7:$E$891,MATCH(CONCATENATE(CK$3,"-",$CP77,"-",$AY77),'Data Consolidada'!$K$7:$K$891,0)),MAX('Data Consolidada'!$E$7:$E$3000))))</f>
        <v/>
      </c>
      <c r="CL77" s="32" t="str">
        <f>+IF(CL$3="","",IF($AY77="","",IFERROR(INDEX('Data Consolidada'!$E$7:$E$891,MATCH(CONCATENATE(CL$3,"-",$CP77,"-",$AY77),'Data Consolidada'!$K$7:$K$891,0)),MAX('Data Consolidada'!$E$7:$E$3000))))</f>
        <v/>
      </c>
      <c r="CM77" s="32" t="str">
        <f>+IF(CM$3="","",IF($AY77="","",IFERROR(INDEX('Data Consolidada'!$E$7:$E$891,MATCH(CONCATENATE(CM$3,"-",$CP77,"-",$AY77),'Data Consolidada'!$K$7:$K$891,0)),MAX('Data Consolidada'!$E$7:$E$3000))))</f>
        <v/>
      </c>
      <c r="CN77" s="32" t="str">
        <f>+IF(CN$3="","",IF($AY77="","",IFERROR(INDEX('Data Consolidada'!$E$7:$E$891,MATCH(CONCATENATE(CN$3,"-",$CP77,"-",$AY77),'Data Consolidada'!$K$7:$K$891,0)),MAX('Data Consolidada'!$E$7:$E$3000))))</f>
        <v/>
      </c>
      <c r="CO77" s="37" t="str">
        <f>+IF(CO$3="","",IF($AY77="","",IFERROR(INDEX('Data Consolidada'!$E$7:$E$891,MATCH(CONCATENATE(CO$3,"-",$CP77,"-",$AY77),'Data Consolidada'!$K$7:$K$891,0)),MAX('Data Consolidada'!$E$7:$E$3000))))</f>
        <v/>
      </c>
      <c r="CP77" s="224">
        <f t="shared" ca="1" si="38"/>
        <v>0</v>
      </c>
      <c r="CQ77" s="84" t="str">
        <f t="shared" ca="1" si="39"/>
        <v>TH TRANSPORTES0</v>
      </c>
    </row>
    <row r="78" spans="2:95" ht="15" customHeight="1" x14ac:dyDescent="0.35">
      <c r="B78" s="218" t="str">
        <f t="shared" ca="1" si="41"/>
        <v>PARRAO</v>
      </c>
      <c r="C78" s="238">
        <v>0</v>
      </c>
      <c r="D78" s="239">
        <v>0</v>
      </c>
      <c r="E78" s="239">
        <v>0</v>
      </c>
      <c r="F78" s="239">
        <v>0</v>
      </c>
      <c r="G78" s="239">
        <v>0</v>
      </c>
      <c r="H78" s="239">
        <v>0</v>
      </c>
      <c r="I78" s="239">
        <v>0</v>
      </c>
      <c r="J78" s="239">
        <v>0</v>
      </c>
      <c r="K78" s="239">
        <v>0</v>
      </c>
      <c r="L78" s="239">
        <v>0</v>
      </c>
      <c r="M78" s="239">
        <v>0</v>
      </c>
      <c r="N78" s="240">
        <v>0</v>
      </c>
      <c r="O78" s="239">
        <v>0</v>
      </c>
      <c r="P78" s="239">
        <v>0</v>
      </c>
      <c r="Q78" s="239">
        <v>0</v>
      </c>
      <c r="R78" s="239">
        <v>0</v>
      </c>
      <c r="S78" s="239">
        <v>0</v>
      </c>
      <c r="T78" s="239">
        <v>0</v>
      </c>
      <c r="U78" s="239">
        <v>0</v>
      </c>
      <c r="V78" s="239">
        <v>0</v>
      </c>
      <c r="W78" s="239">
        <v>0</v>
      </c>
      <c r="X78" s="239">
        <v>0</v>
      </c>
      <c r="Y78" s="239">
        <v>0</v>
      </c>
      <c r="Z78" s="239"/>
      <c r="AA78" s="239"/>
      <c r="AB78" s="239"/>
      <c r="AC78" s="239"/>
      <c r="AD78" s="239"/>
      <c r="AE78" s="239"/>
      <c r="AF78" s="239"/>
      <c r="AG78" s="239"/>
      <c r="AH78" s="239"/>
      <c r="AI78" s="239"/>
      <c r="AJ78" s="239"/>
      <c r="AK78" s="239"/>
      <c r="AL78" s="239"/>
      <c r="AM78" s="239"/>
      <c r="AN78" s="239"/>
      <c r="AO78" s="239"/>
      <c r="AP78" s="239"/>
      <c r="AQ78" s="239"/>
      <c r="AR78" s="252"/>
      <c r="AS78" s="77" t="str">
        <f t="shared" ca="1" si="42"/>
        <v>MOSTAZAL</v>
      </c>
      <c r="AT78" s="255">
        <f t="shared" si="43"/>
        <v>0</v>
      </c>
      <c r="AU78" s="51"/>
      <c r="AV78" s="51"/>
      <c r="AW78" s="13">
        <f>+IF(AX78="","",IF(AX78&gt;AX77,AW77,IF(AW77&lt;$D$69,AW77+1,IF(COUNT(AW$4:AW77)&lt;$B$69*$E$54,1,""))))</f>
        <v>6</v>
      </c>
      <c r="AX78" s="13">
        <f>+IF(AX77&lt;$B$69,AX77+1,IF(COUNT(AX$4:AX77)&lt;$B$69*$D$69,1,""))</f>
        <v>10</v>
      </c>
      <c r="AY78" s="189" t="str">
        <f t="shared" ca="1" si="37"/>
        <v>TRAIDILL</v>
      </c>
      <c r="AZ78" s="36">
        <f ca="1">+IF(AZ$3="","",IF($AY78="","",IFERROR(INDEX('Data Consolidada'!$E$7:$E$891,MATCH(CONCATENATE(AZ$3,"-",$CP78,"-",$AY78),'Data Consolidada'!$K$7:$K$891,0)),MAX('Data Consolidada'!$E$7:$E$3000))))</f>
        <v>11000000</v>
      </c>
      <c r="BA78" s="32">
        <f ca="1">+IF(BA$3="","",IF($AY78="","",IFERROR(INDEX('Data Consolidada'!$E$7:$E$891,MATCH(CONCATENATE(BA$3,"-",$CP78,"-",$AY78),'Data Consolidada'!$K$7:$K$891,0)),MAX('Data Consolidada'!$E$7:$E$3000))))</f>
        <v>11000000</v>
      </c>
      <c r="BB78" s="32" t="str">
        <f>+IF(BB$3="","",IF($AY78="","",IFERROR(INDEX('Data Consolidada'!$E$7:$E$891,MATCH(CONCATENATE(BB$3,"-",$CP78,"-",$AY78),'Data Consolidada'!$K$7:$K$891,0)),MAX('Data Consolidada'!$E$7:$E$3000))))</f>
        <v/>
      </c>
      <c r="BC78" s="32" t="str">
        <f>+IF(BC$3="","",IF($AY78="","",IFERROR(INDEX('Data Consolidada'!$E$7:$E$891,MATCH(CONCATENATE(BC$3,"-",$CP78,"-",$AY78),'Data Consolidada'!$K$7:$K$891,0)),MAX('Data Consolidada'!$E$7:$E$3000))))</f>
        <v/>
      </c>
      <c r="BD78" s="32" t="str">
        <f>+IF(BD$3="","",IF($AY78="","",IFERROR(INDEX('Data Consolidada'!$E$7:$E$891,MATCH(CONCATENATE(BD$3,"-",$CP78,"-",$AY78),'Data Consolidada'!$K$7:$K$891,0)),MAX('Data Consolidada'!$E$7:$E$3000))))</f>
        <v/>
      </c>
      <c r="BE78" s="32" t="str">
        <f>+IF(BE$3="","",IF($AY78="","",IFERROR(INDEX('Data Consolidada'!$E$7:$E$891,MATCH(CONCATENATE(BE$3,"-",$CP78,"-",$AY78),'Data Consolidada'!$K$7:$K$891,0)),MAX('Data Consolidada'!$E$7:$E$3000))))</f>
        <v/>
      </c>
      <c r="BF78" s="32" t="str">
        <f>+IF(BF$3="","",IF($AY78="","",IFERROR(INDEX('Data Consolidada'!$E$7:$E$891,MATCH(CONCATENATE(BF$3,"-",$CP78,"-",$AY78),'Data Consolidada'!$K$7:$K$891,0)),MAX('Data Consolidada'!$E$7:$E$3000))))</f>
        <v/>
      </c>
      <c r="BG78" s="32" t="str">
        <f>+IF(BG$3="","",IF($AY78="","",IFERROR(INDEX('Data Consolidada'!$E$7:$E$891,MATCH(CONCATENATE(BG$3,"-",$CP78,"-",$AY78),'Data Consolidada'!$K$7:$K$891,0)),MAX('Data Consolidada'!$E$7:$E$3000))))</f>
        <v/>
      </c>
      <c r="BH78" s="32" t="str">
        <f>+IF(BH$3="","",IF($AY78="","",IFERROR(INDEX('Data Consolidada'!$E$7:$E$891,MATCH(CONCATENATE(BH$3,"-",$CP78,"-",$AY78),'Data Consolidada'!$K$7:$K$891,0)),MAX('Data Consolidada'!$E$7:$E$3000))))</f>
        <v/>
      </c>
      <c r="BI78" s="32" t="str">
        <f>+IF(BI$3="","",IF($AY78="","",IFERROR(INDEX('Data Consolidada'!$E$7:$E$891,MATCH(CONCATENATE(BI$3,"-",$CP78,"-",$AY78),'Data Consolidada'!$K$7:$K$891,0)),MAX('Data Consolidada'!$E$7:$E$3000))))</f>
        <v/>
      </c>
      <c r="BJ78" s="32" t="str">
        <f>+IF(BJ$3="","",IF($AY78="","",IFERROR(INDEX('Data Consolidada'!$E$7:$E$891,MATCH(CONCATENATE(BJ$3,"-",$CP78,"-",$AY78),'Data Consolidada'!$K$7:$K$891,0)),MAX('Data Consolidada'!$E$7:$E$3000))))</f>
        <v/>
      </c>
      <c r="BK78" s="32" t="str">
        <f>+IF(BK$3="","",IF($AY78="","",IFERROR(INDEX('Data Consolidada'!$E$7:$E$891,MATCH(CONCATENATE(BK$3,"-",$CP78,"-",$AY78),'Data Consolidada'!$K$7:$K$891,0)),MAX('Data Consolidada'!$E$7:$E$3000))))</f>
        <v/>
      </c>
      <c r="BL78" s="32" t="str">
        <f>+IF(BL$3="","",IF($AY78="","",IFERROR(INDEX('Data Consolidada'!$E$7:$E$891,MATCH(CONCATENATE(BL$3,"-",$CP78,"-",$AY78),'Data Consolidada'!$K$7:$K$891,0)),MAX('Data Consolidada'!$E$7:$E$3000))))</f>
        <v/>
      </c>
      <c r="BM78" s="32" t="str">
        <f>+IF(BM$3="","",IF($AY78="","",IFERROR(INDEX('Data Consolidada'!$E$7:$E$891,MATCH(CONCATENATE(BM$3,"-",$CP78,"-",$AY78),'Data Consolidada'!$K$7:$K$891,0)),MAX('Data Consolidada'!$E$7:$E$3000))))</f>
        <v/>
      </c>
      <c r="BN78" s="32" t="str">
        <f>+IF(BN$3="","",IF($AY78="","",IFERROR(INDEX('Data Consolidada'!$E$7:$E$891,MATCH(CONCATENATE(BN$3,"-",$CP78,"-",$AY78),'Data Consolidada'!$K$7:$K$891,0)),MAX('Data Consolidada'!$E$7:$E$3000))))</f>
        <v/>
      </c>
      <c r="BO78" s="32" t="str">
        <f>+IF(BO$3="","",IF($AY78="","",IFERROR(INDEX('Data Consolidada'!$E$7:$E$891,MATCH(CONCATENATE(BO$3,"-",$CP78,"-",$AY78),'Data Consolidada'!$K$7:$K$891,0)),MAX('Data Consolidada'!$E$7:$E$3000))))</f>
        <v/>
      </c>
      <c r="BP78" s="32" t="str">
        <f>+IF(BP$3="","",IF($AY78="","",IFERROR(INDEX('Data Consolidada'!$E$7:$E$891,MATCH(CONCATENATE(BP$3,"-",$CP78,"-",$AY78),'Data Consolidada'!$K$7:$K$891,0)),MAX('Data Consolidada'!$E$7:$E$3000))))</f>
        <v/>
      </c>
      <c r="BQ78" s="32" t="str">
        <f>+IF(BQ$3="","",IF($AY78="","",IFERROR(INDEX('Data Consolidada'!$E$7:$E$891,MATCH(CONCATENATE(BQ$3,"-",$CP78,"-",$AY78),'Data Consolidada'!$K$7:$K$891,0)),MAX('Data Consolidada'!$E$7:$E$3000))))</f>
        <v/>
      </c>
      <c r="BR78" s="32" t="str">
        <f>+IF(BR$3="","",IF($AY78="","",IFERROR(INDEX('Data Consolidada'!$E$7:$E$891,MATCH(CONCATENATE(BR$3,"-",$CP78,"-",$AY78),'Data Consolidada'!$K$7:$K$891,0)),MAX('Data Consolidada'!$E$7:$E$3000))))</f>
        <v/>
      </c>
      <c r="BS78" s="32" t="str">
        <f>+IF(BS$3="","",IF($AY78="","",IFERROR(INDEX('Data Consolidada'!$E$7:$E$891,MATCH(CONCATENATE(BS$3,"-",$CP78,"-",$AY78),'Data Consolidada'!$K$7:$K$891,0)),MAX('Data Consolidada'!$E$7:$E$3000))))</f>
        <v/>
      </c>
      <c r="BT78" s="32" t="str">
        <f>+IF(BT$3="","",IF($AY78="","",IFERROR(INDEX('Data Consolidada'!$E$7:$E$891,MATCH(CONCATENATE(BT$3,"-",$CP78,"-",$AY78),'Data Consolidada'!$K$7:$K$891,0)),MAX('Data Consolidada'!$E$7:$E$3000))))</f>
        <v/>
      </c>
      <c r="BU78" s="32" t="str">
        <f>+IF(BU$3="","",IF($AY78="","",IFERROR(INDEX('Data Consolidada'!$E$7:$E$891,MATCH(CONCATENATE(BU$3,"-",$CP78,"-",$AY78),'Data Consolidada'!$K$7:$K$891,0)),MAX('Data Consolidada'!$E$7:$E$3000))))</f>
        <v/>
      </c>
      <c r="BV78" s="32" t="str">
        <f>+IF(BV$3="","",IF($AY78="","",IFERROR(INDEX('Data Consolidada'!$E$7:$E$891,MATCH(CONCATENATE(BV$3,"-",$CP78,"-",$AY78),'Data Consolidada'!$K$7:$K$891,0)),MAX('Data Consolidada'!$E$7:$E$3000))))</f>
        <v/>
      </c>
      <c r="BW78" s="32" t="str">
        <f>+IF(BW$3="","",IF($AY78="","",IFERROR(INDEX('Data Consolidada'!$E$7:$E$891,MATCH(CONCATENATE(BW$3,"-",$CP78,"-",$AY78),'Data Consolidada'!$K$7:$K$891,0)),MAX('Data Consolidada'!$E$7:$E$3000))))</f>
        <v/>
      </c>
      <c r="BX78" s="32" t="str">
        <f>+IF(BX$3="","",IF($AY78="","",IFERROR(INDEX('Data Consolidada'!$E$7:$E$891,MATCH(CONCATENATE(BX$3,"-",$CP78,"-",$AY78),'Data Consolidada'!$K$7:$K$891,0)),MAX('Data Consolidada'!$E$7:$E$3000))))</f>
        <v/>
      </c>
      <c r="BY78" s="32" t="str">
        <f>+IF(BY$3="","",IF($AY78="","",IFERROR(INDEX('Data Consolidada'!$E$7:$E$891,MATCH(CONCATENATE(BY$3,"-",$CP78,"-",$AY78),'Data Consolidada'!$K$7:$K$891,0)),MAX('Data Consolidada'!$E$7:$E$3000))))</f>
        <v/>
      </c>
      <c r="BZ78" s="32" t="str">
        <f>+IF(BZ$3="","",IF($AY78="","",IFERROR(INDEX('Data Consolidada'!$E$7:$E$891,MATCH(CONCATENATE(BZ$3,"-",$CP78,"-",$AY78),'Data Consolidada'!$K$7:$K$891,0)),MAX('Data Consolidada'!$E$7:$E$3000))))</f>
        <v/>
      </c>
      <c r="CA78" s="32" t="str">
        <f>+IF(CA$3="","",IF($AY78="","",IFERROR(INDEX('Data Consolidada'!$E$7:$E$891,MATCH(CONCATENATE(CA$3,"-",$CP78,"-",$AY78),'Data Consolidada'!$K$7:$K$891,0)),MAX('Data Consolidada'!$E$7:$E$3000))))</f>
        <v/>
      </c>
      <c r="CB78" s="32" t="str">
        <f>+IF(CB$3="","",IF($AY78="","",IFERROR(INDEX('Data Consolidada'!$E$7:$E$891,MATCH(CONCATENATE(CB$3,"-",$CP78,"-",$AY78),'Data Consolidada'!$K$7:$K$891,0)),MAX('Data Consolidada'!$E$7:$E$3000))))</f>
        <v/>
      </c>
      <c r="CC78" s="32" t="str">
        <f>+IF(CC$3="","",IF($AY78="","",IFERROR(INDEX('Data Consolidada'!$E$7:$E$891,MATCH(CONCATENATE(CC$3,"-",$CP78,"-",$AY78),'Data Consolidada'!$K$7:$K$891,0)),MAX('Data Consolidada'!$E$7:$E$3000))))</f>
        <v/>
      </c>
      <c r="CD78" s="32" t="str">
        <f>+IF(CD$3="","",IF($AY78="","",IFERROR(INDEX('Data Consolidada'!$E$7:$E$891,MATCH(CONCATENATE(CD$3,"-",$CP78,"-",$AY78),'Data Consolidada'!$K$7:$K$891,0)),MAX('Data Consolidada'!$E$7:$E$3000))))</f>
        <v/>
      </c>
      <c r="CE78" s="32" t="str">
        <f>+IF(CE$3="","",IF($AY78="","",IFERROR(INDEX('Data Consolidada'!$E$7:$E$891,MATCH(CONCATENATE(CE$3,"-",$CP78,"-",$AY78),'Data Consolidada'!$K$7:$K$891,0)),MAX('Data Consolidada'!$E$7:$E$3000))))</f>
        <v/>
      </c>
      <c r="CF78" s="32" t="str">
        <f>+IF(CF$3="","",IF($AY78="","",IFERROR(INDEX('Data Consolidada'!$E$7:$E$891,MATCH(CONCATENATE(CF$3,"-",$CP78,"-",$AY78),'Data Consolidada'!$K$7:$K$891,0)),MAX('Data Consolidada'!$E$7:$E$3000))))</f>
        <v/>
      </c>
      <c r="CG78" s="32" t="str">
        <f>+IF(CG$3="","",IF($AY78="","",IFERROR(INDEX('Data Consolidada'!$E$7:$E$891,MATCH(CONCATENATE(CG$3,"-",$CP78,"-",$AY78),'Data Consolidada'!$K$7:$K$891,0)),MAX('Data Consolidada'!$E$7:$E$3000))))</f>
        <v/>
      </c>
      <c r="CH78" s="32" t="str">
        <f>+IF(CH$3="","",IF($AY78="","",IFERROR(INDEX('Data Consolidada'!$E$7:$E$891,MATCH(CONCATENATE(CH$3,"-",$CP78,"-",$AY78),'Data Consolidada'!$K$7:$K$891,0)),MAX('Data Consolidada'!$E$7:$E$3000))))</f>
        <v/>
      </c>
      <c r="CI78" s="32" t="str">
        <f>+IF(CI$3="","",IF($AY78="","",IFERROR(INDEX('Data Consolidada'!$E$7:$E$891,MATCH(CONCATENATE(CI$3,"-",$CP78,"-",$AY78),'Data Consolidada'!$K$7:$K$891,0)),MAX('Data Consolidada'!$E$7:$E$3000))))</f>
        <v/>
      </c>
      <c r="CJ78" s="32" t="str">
        <f>+IF(CJ$3="","",IF($AY78="","",IFERROR(INDEX('Data Consolidada'!$E$7:$E$891,MATCH(CONCATENATE(CJ$3,"-",$CP78,"-",$AY78),'Data Consolidada'!$K$7:$K$891,0)),MAX('Data Consolidada'!$E$7:$E$3000))))</f>
        <v/>
      </c>
      <c r="CK78" s="32" t="str">
        <f>+IF(CK$3="","",IF($AY78="","",IFERROR(INDEX('Data Consolidada'!$E$7:$E$891,MATCH(CONCATENATE(CK$3,"-",$CP78,"-",$AY78),'Data Consolidada'!$K$7:$K$891,0)),MAX('Data Consolidada'!$E$7:$E$3000))))</f>
        <v/>
      </c>
      <c r="CL78" s="32" t="str">
        <f>+IF(CL$3="","",IF($AY78="","",IFERROR(INDEX('Data Consolidada'!$E$7:$E$891,MATCH(CONCATENATE(CL$3,"-",$CP78,"-",$AY78),'Data Consolidada'!$K$7:$K$891,0)),MAX('Data Consolidada'!$E$7:$E$3000))))</f>
        <v/>
      </c>
      <c r="CM78" s="32" t="str">
        <f>+IF(CM$3="","",IF($AY78="","",IFERROR(INDEX('Data Consolidada'!$E$7:$E$891,MATCH(CONCATENATE(CM$3,"-",$CP78,"-",$AY78),'Data Consolidada'!$K$7:$K$891,0)),MAX('Data Consolidada'!$E$7:$E$3000))))</f>
        <v/>
      </c>
      <c r="CN78" s="32" t="str">
        <f>+IF(CN$3="","",IF($AY78="","",IFERROR(INDEX('Data Consolidada'!$E$7:$E$891,MATCH(CONCATENATE(CN$3,"-",$CP78,"-",$AY78),'Data Consolidada'!$K$7:$K$891,0)),MAX('Data Consolidada'!$E$7:$E$3000))))</f>
        <v/>
      </c>
      <c r="CO78" s="37" t="str">
        <f>+IF(CO$3="","",IF($AY78="","",IFERROR(INDEX('Data Consolidada'!$E$7:$E$891,MATCH(CONCATENATE(CO$3,"-",$CP78,"-",$AY78),'Data Consolidada'!$K$7:$K$891,0)),MAX('Data Consolidada'!$E$7:$E$3000))))</f>
        <v/>
      </c>
      <c r="CP78" s="224">
        <f t="shared" ca="1" si="38"/>
        <v>0</v>
      </c>
      <c r="CQ78" s="84" t="str">
        <f t="shared" ca="1" si="39"/>
        <v>TRAIDILL0</v>
      </c>
    </row>
    <row r="79" spans="2:95" ht="15" customHeight="1" x14ac:dyDescent="0.35">
      <c r="B79" s="218" t="str">
        <f t="shared" ca="1" si="41"/>
        <v>PAULA</v>
      </c>
      <c r="C79" s="238">
        <v>0</v>
      </c>
      <c r="D79" s="239">
        <v>0</v>
      </c>
      <c r="E79" s="239">
        <v>0</v>
      </c>
      <c r="F79" s="239">
        <v>0</v>
      </c>
      <c r="G79" s="239">
        <v>0</v>
      </c>
      <c r="H79" s="239">
        <v>0</v>
      </c>
      <c r="I79" s="239">
        <v>0</v>
      </c>
      <c r="J79" s="239">
        <v>0</v>
      </c>
      <c r="K79" s="239">
        <v>0</v>
      </c>
      <c r="L79" s="239">
        <v>0</v>
      </c>
      <c r="M79" s="239">
        <v>0</v>
      </c>
      <c r="N79" s="240">
        <v>0</v>
      </c>
      <c r="O79" s="239">
        <v>0</v>
      </c>
      <c r="P79" s="239">
        <v>0</v>
      </c>
      <c r="Q79" s="239">
        <v>0</v>
      </c>
      <c r="R79" s="239">
        <v>0</v>
      </c>
      <c r="S79" s="239">
        <v>0</v>
      </c>
      <c r="T79" s="239">
        <v>0</v>
      </c>
      <c r="U79" s="239">
        <v>0</v>
      </c>
      <c r="V79" s="239">
        <v>0</v>
      </c>
      <c r="W79" s="239">
        <v>0</v>
      </c>
      <c r="X79" s="239">
        <v>0</v>
      </c>
      <c r="Y79" s="239">
        <v>0</v>
      </c>
      <c r="Z79" s="239"/>
      <c r="AA79" s="239"/>
      <c r="AB79" s="239"/>
      <c r="AC79" s="239"/>
      <c r="AD79" s="239"/>
      <c r="AE79" s="239"/>
      <c r="AF79" s="239"/>
      <c r="AG79" s="239"/>
      <c r="AH79" s="239"/>
      <c r="AI79" s="239"/>
      <c r="AJ79" s="239"/>
      <c r="AK79" s="239"/>
      <c r="AL79" s="239"/>
      <c r="AM79" s="239"/>
      <c r="AN79" s="239"/>
      <c r="AO79" s="239"/>
      <c r="AP79" s="239"/>
      <c r="AQ79" s="239"/>
      <c r="AR79" s="252"/>
      <c r="AS79" s="77" t="str">
        <f t="shared" ca="1" si="42"/>
        <v>MOSTAZAL</v>
      </c>
      <c r="AT79" s="255">
        <f t="shared" si="43"/>
        <v>0</v>
      </c>
      <c r="AU79" s="51"/>
      <c r="AV79" s="51"/>
      <c r="AW79" s="13">
        <f>+IF(AX79="","",IF(AX79&gt;AX78,AW78,IF(AW78&lt;$D$69,AW78+1,IF(COUNT(AW$4:AW78)&lt;$B$69*$E$54,1,""))))</f>
        <v>6</v>
      </c>
      <c r="AX79" s="13">
        <f>+IF(AX78&lt;$B$69,AX78+1,IF(COUNT(AX$4:AX78)&lt;$B$69*$D$69,1,""))</f>
        <v>11</v>
      </c>
      <c r="AY79" s="189" t="str">
        <f t="shared" ca="1" si="37"/>
        <v>TRANS. ALMENDRAL</v>
      </c>
      <c r="AZ79" s="36">
        <f ca="1">+IF(AZ$3="","",IF($AY79="","",IFERROR(INDEX('Data Consolidada'!$E$7:$E$891,MATCH(CONCATENATE(AZ$3,"-",$CP79,"-",$AY79),'Data Consolidada'!$K$7:$K$891,0)),MAX('Data Consolidada'!$E$7:$E$3000))))</f>
        <v>11000000</v>
      </c>
      <c r="BA79" s="32">
        <f ca="1">+IF(BA$3="","",IF($AY79="","",IFERROR(INDEX('Data Consolidada'!$E$7:$E$891,MATCH(CONCATENATE(BA$3,"-",$CP79,"-",$AY79),'Data Consolidada'!$K$7:$K$891,0)),MAX('Data Consolidada'!$E$7:$E$3000))))</f>
        <v>11000000</v>
      </c>
      <c r="BB79" s="32" t="str">
        <f>+IF(BB$3="","",IF($AY79="","",IFERROR(INDEX('Data Consolidada'!$E$7:$E$891,MATCH(CONCATENATE(BB$3,"-",$CP79,"-",$AY79),'Data Consolidada'!$K$7:$K$891,0)),MAX('Data Consolidada'!$E$7:$E$3000))))</f>
        <v/>
      </c>
      <c r="BC79" s="32" t="str">
        <f>+IF(BC$3="","",IF($AY79="","",IFERROR(INDEX('Data Consolidada'!$E$7:$E$891,MATCH(CONCATENATE(BC$3,"-",$CP79,"-",$AY79),'Data Consolidada'!$K$7:$K$891,0)),MAX('Data Consolidada'!$E$7:$E$3000))))</f>
        <v/>
      </c>
      <c r="BD79" s="32" t="str">
        <f>+IF(BD$3="","",IF($AY79="","",IFERROR(INDEX('Data Consolidada'!$E$7:$E$891,MATCH(CONCATENATE(BD$3,"-",$CP79,"-",$AY79),'Data Consolidada'!$K$7:$K$891,0)),MAX('Data Consolidada'!$E$7:$E$3000))))</f>
        <v/>
      </c>
      <c r="BE79" s="32" t="str">
        <f>+IF(BE$3="","",IF($AY79="","",IFERROR(INDEX('Data Consolidada'!$E$7:$E$891,MATCH(CONCATENATE(BE$3,"-",$CP79,"-",$AY79),'Data Consolidada'!$K$7:$K$891,0)),MAX('Data Consolidada'!$E$7:$E$3000))))</f>
        <v/>
      </c>
      <c r="BF79" s="32" t="str">
        <f>+IF(BF$3="","",IF($AY79="","",IFERROR(INDEX('Data Consolidada'!$E$7:$E$891,MATCH(CONCATENATE(BF$3,"-",$CP79,"-",$AY79),'Data Consolidada'!$K$7:$K$891,0)),MAX('Data Consolidada'!$E$7:$E$3000))))</f>
        <v/>
      </c>
      <c r="BG79" s="32" t="str">
        <f>+IF(BG$3="","",IF($AY79="","",IFERROR(INDEX('Data Consolidada'!$E$7:$E$891,MATCH(CONCATENATE(BG$3,"-",$CP79,"-",$AY79),'Data Consolidada'!$K$7:$K$891,0)),MAX('Data Consolidada'!$E$7:$E$3000))))</f>
        <v/>
      </c>
      <c r="BH79" s="32" t="str">
        <f>+IF(BH$3="","",IF($AY79="","",IFERROR(INDEX('Data Consolidada'!$E$7:$E$891,MATCH(CONCATENATE(BH$3,"-",$CP79,"-",$AY79),'Data Consolidada'!$K$7:$K$891,0)),MAX('Data Consolidada'!$E$7:$E$3000))))</f>
        <v/>
      </c>
      <c r="BI79" s="32" t="str">
        <f>+IF(BI$3="","",IF($AY79="","",IFERROR(INDEX('Data Consolidada'!$E$7:$E$891,MATCH(CONCATENATE(BI$3,"-",$CP79,"-",$AY79),'Data Consolidada'!$K$7:$K$891,0)),MAX('Data Consolidada'!$E$7:$E$3000))))</f>
        <v/>
      </c>
      <c r="BJ79" s="32" t="str">
        <f>+IF(BJ$3="","",IF($AY79="","",IFERROR(INDEX('Data Consolidada'!$E$7:$E$891,MATCH(CONCATENATE(BJ$3,"-",$CP79,"-",$AY79),'Data Consolidada'!$K$7:$K$891,0)),MAX('Data Consolidada'!$E$7:$E$3000))))</f>
        <v/>
      </c>
      <c r="BK79" s="32" t="str">
        <f>+IF(BK$3="","",IF($AY79="","",IFERROR(INDEX('Data Consolidada'!$E$7:$E$891,MATCH(CONCATENATE(BK$3,"-",$CP79,"-",$AY79),'Data Consolidada'!$K$7:$K$891,0)),MAX('Data Consolidada'!$E$7:$E$3000))))</f>
        <v/>
      </c>
      <c r="BL79" s="32" t="str">
        <f>+IF(BL$3="","",IF($AY79="","",IFERROR(INDEX('Data Consolidada'!$E$7:$E$891,MATCH(CONCATENATE(BL$3,"-",$CP79,"-",$AY79),'Data Consolidada'!$K$7:$K$891,0)),MAX('Data Consolidada'!$E$7:$E$3000))))</f>
        <v/>
      </c>
      <c r="BM79" s="32" t="str">
        <f>+IF(BM$3="","",IF($AY79="","",IFERROR(INDEX('Data Consolidada'!$E$7:$E$891,MATCH(CONCATENATE(BM$3,"-",$CP79,"-",$AY79),'Data Consolidada'!$K$7:$K$891,0)),MAX('Data Consolidada'!$E$7:$E$3000))))</f>
        <v/>
      </c>
      <c r="BN79" s="32" t="str">
        <f>+IF(BN$3="","",IF($AY79="","",IFERROR(INDEX('Data Consolidada'!$E$7:$E$891,MATCH(CONCATENATE(BN$3,"-",$CP79,"-",$AY79),'Data Consolidada'!$K$7:$K$891,0)),MAX('Data Consolidada'!$E$7:$E$3000))))</f>
        <v/>
      </c>
      <c r="BO79" s="32" t="str">
        <f>+IF(BO$3="","",IF($AY79="","",IFERROR(INDEX('Data Consolidada'!$E$7:$E$891,MATCH(CONCATENATE(BO$3,"-",$CP79,"-",$AY79),'Data Consolidada'!$K$7:$K$891,0)),MAX('Data Consolidada'!$E$7:$E$3000))))</f>
        <v/>
      </c>
      <c r="BP79" s="32" t="str">
        <f>+IF(BP$3="","",IF($AY79="","",IFERROR(INDEX('Data Consolidada'!$E$7:$E$891,MATCH(CONCATENATE(BP$3,"-",$CP79,"-",$AY79),'Data Consolidada'!$K$7:$K$891,0)),MAX('Data Consolidada'!$E$7:$E$3000))))</f>
        <v/>
      </c>
      <c r="BQ79" s="32" t="str">
        <f>+IF(BQ$3="","",IF($AY79="","",IFERROR(INDEX('Data Consolidada'!$E$7:$E$891,MATCH(CONCATENATE(BQ$3,"-",$CP79,"-",$AY79),'Data Consolidada'!$K$7:$K$891,0)),MAX('Data Consolidada'!$E$7:$E$3000))))</f>
        <v/>
      </c>
      <c r="BR79" s="32" t="str">
        <f>+IF(BR$3="","",IF($AY79="","",IFERROR(INDEX('Data Consolidada'!$E$7:$E$891,MATCH(CONCATENATE(BR$3,"-",$CP79,"-",$AY79),'Data Consolidada'!$K$7:$K$891,0)),MAX('Data Consolidada'!$E$7:$E$3000))))</f>
        <v/>
      </c>
      <c r="BS79" s="32" t="str">
        <f>+IF(BS$3="","",IF($AY79="","",IFERROR(INDEX('Data Consolidada'!$E$7:$E$891,MATCH(CONCATENATE(BS$3,"-",$CP79,"-",$AY79),'Data Consolidada'!$K$7:$K$891,0)),MAX('Data Consolidada'!$E$7:$E$3000))))</f>
        <v/>
      </c>
      <c r="BT79" s="32" t="str">
        <f>+IF(BT$3="","",IF($AY79="","",IFERROR(INDEX('Data Consolidada'!$E$7:$E$891,MATCH(CONCATENATE(BT$3,"-",$CP79,"-",$AY79),'Data Consolidada'!$K$7:$K$891,0)),MAX('Data Consolidada'!$E$7:$E$3000))))</f>
        <v/>
      </c>
      <c r="BU79" s="32" t="str">
        <f>+IF(BU$3="","",IF($AY79="","",IFERROR(INDEX('Data Consolidada'!$E$7:$E$891,MATCH(CONCATENATE(BU$3,"-",$CP79,"-",$AY79),'Data Consolidada'!$K$7:$K$891,0)),MAX('Data Consolidada'!$E$7:$E$3000))))</f>
        <v/>
      </c>
      <c r="BV79" s="32" t="str">
        <f>+IF(BV$3="","",IF($AY79="","",IFERROR(INDEX('Data Consolidada'!$E$7:$E$891,MATCH(CONCATENATE(BV$3,"-",$CP79,"-",$AY79),'Data Consolidada'!$K$7:$K$891,0)),MAX('Data Consolidada'!$E$7:$E$3000))))</f>
        <v/>
      </c>
      <c r="BW79" s="32" t="str">
        <f>+IF(BW$3="","",IF($AY79="","",IFERROR(INDEX('Data Consolidada'!$E$7:$E$891,MATCH(CONCATENATE(BW$3,"-",$CP79,"-",$AY79),'Data Consolidada'!$K$7:$K$891,0)),MAX('Data Consolidada'!$E$7:$E$3000))))</f>
        <v/>
      </c>
      <c r="BX79" s="32" t="str">
        <f>+IF(BX$3="","",IF($AY79="","",IFERROR(INDEX('Data Consolidada'!$E$7:$E$891,MATCH(CONCATENATE(BX$3,"-",$CP79,"-",$AY79),'Data Consolidada'!$K$7:$K$891,0)),MAX('Data Consolidada'!$E$7:$E$3000))))</f>
        <v/>
      </c>
      <c r="BY79" s="32" t="str">
        <f>+IF(BY$3="","",IF($AY79="","",IFERROR(INDEX('Data Consolidada'!$E$7:$E$891,MATCH(CONCATENATE(BY$3,"-",$CP79,"-",$AY79),'Data Consolidada'!$K$7:$K$891,0)),MAX('Data Consolidada'!$E$7:$E$3000))))</f>
        <v/>
      </c>
      <c r="BZ79" s="32" t="str">
        <f>+IF(BZ$3="","",IF($AY79="","",IFERROR(INDEX('Data Consolidada'!$E$7:$E$891,MATCH(CONCATENATE(BZ$3,"-",$CP79,"-",$AY79),'Data Consolidada'!$K$7:$K$891,0)),MAX('Data Consolidada'!$E$7:$E$3000))))</f>
        <v/>
      </c>
      <c r="CA79" s="32" t="str">
        <f>+IF(CA$3="","",IF($AY79="","",IFERROR(INDEX('Data Consolidada'!$E$7:$E$891,MATCH(CONCATENATE(CA$3,"-",$CP79,"-",$AY79),'Data Consolidada'!$K$7:$K$891,0)),MAX('Data Consolidada'!$E$7:$E$3000))))</f>
        <v/>
      </c>
      <c r="CB79" s="32" t="str">
        <f>+IF(CB$3="","",IF($AY79="","",IFERROR(INDEX('Data Consolidada'!$E$7:$E$891,MATCH(CONCATENATE(CB$3,"-",$CP79,"-",$AY79),'Data Consolidada'!$K$7:$K$891,0)),MAX('Data Consolidada'!$E$7:$E$3000))))</f>
        <v/>
      </c>
      <c r="CC79" s="32" t="str">
        <f>+IF(CC$3="","",IF($AY79="","",IFERROR(INDEX('Data Consolidada'!$E$7:$E$891,MATCH(CONCATENATE(CC$3,"-",$CP79,"-",$AY79),'Data Consolidada'!$K$7:$K$891,0)),MAX('Data Consolidada'!$E$7:$E$3000))))</f>
        <v/>
      </c>
      <c r="CD79" s="32" t="str">
        <f>+IF(CD$3="","",IF($AY79="","",IFERROR(INDEX('Data Consolidada'!$E$7:$E$891,MATCH(CONCATENATE(CD$3,"-",$CP79,"-",$AY79),'Data Consolidada'!$K$7:$K$891,0)),MAX('Data Consolidada'!$E$7:$E$3000))))</f>
        <v/>
      </c>
      <c r="CE79" s="32" t="str">
        <f>+IF(CE$3="","",IF($AY79="","",IFERROR(INDEX('Data Consolidada'!$E$7:$E$891,MATCH(CONCATENATE(CE$3,"-",$CP79,"-",$AY79),'Data Consolidada'!$K$7:$K$891,0)),MAX('Data Consolidada'!$E$7:$E$3000))))</f>
        <v/>
      </c>
      <c r="CF79" s="32" t="str">
        <f>+IF(CF$3="","",IF($AY79="","",IFERROR(INDEX('Data Consolidada'!$E$7:$E$891,MATCH(CONCATENATE(CF$3,"-",$CP79,"-",$AY79),'Data Consolidada'!$K$7:$K$891,0)),MAX('Data Consolidada'!$E$7:$E$3000))))</f>
        <v/>
      </c>
      <c r="CG79" s="32" t="str">
        <f>+IF(CG$3="","",IF($AY79="","",IFERROR(INDEX('Data Consolidada'!$E$7:$E$891,MATCH(CONCATENATE(CG$3,"-",$CP79,"-",$AY79),'Data Consolidada'!$K$7:$K$891,0)),MAX('Data Consolidada'!$E$7:$E$3000))))</f>
        <v/>
      </c>
      <c r="CH79" s="32" t="str">
        <f>+IF(CH$3="","",IF($AY79="","",IFERROR(INDEX('Data Consolidada'!$E$7:$E$891,MATCH(CONCATENATE(CH$3,"-",$CP79,"-",$AY79),'Data Consolidada'!$K$7:$K$891,0)),MAX('Data Consolidada'!$E$7:$E$3000))))</f>
        <v/>
      </c>
      <c r="CI79" s="32" t="str">
        <f>+IF(CI$3="","",IF($AY79="","",IFERROR(INDEX('Data Consolidada'!$E$7:$E$891,MATCH(CONCATENATE(CI$3,"-",$CP79,"-",$AY79),'Data Consolidada'!$K$7:$K$891,0)),MAX('Data Consolidada'!$E$7:$E$3000))))</f>
        <v/>
      </c>
      <c r="CJ79" s="32" t="str">
        <f>+IF(CJ$3="","",IF($AY79="","",IFERROR(INDEX('Data Consolidada'!$E$7:$E$891,MATCH(CONCATENATE(CJ$3,"-",$CP79,"-",$AY79),'Data Consolidada'!$K$7:$K$891,0)),MAX('Data Consolidada'!$E$7:$E$3000))))</f>
        <v/>
      </c>
      <c r="CK79" s="32" t="str">
        <f>+IF(CK$3="","",IF($AY79="","",IFERROR(INDEX('Data Consolidada'!$E$7:$E$891,MATCH(CONCATENATE(CK$3,"-",$CP79,"-",$AY79),'Data Consolidada'!$K$7:$K$891,0)),MAX('Data Consolidada'!$E$7:$E$3000))))</f>
        <v/>
      </c>
      <c r="CL79" s="32" t="str">
        <f>+IF(CL$3="","",IF($AY79="","",IFERROR(INDEX('Data Consolidada'!$E$7:$E$891,MATCH(CONCATENATE(CL$3,"-",$CP79,"-",$AY79),'Data Consolidada'!$K$7:$K$891,0)),MAX('Data Consolidada'!$E$7:$E$3000))))</f>
        <v/>
      </c>
      <c r="CM79" s="32" t="str">
        <f>+IF(CM$3="","",IF($AY79="","",IFERROR(INDEX('Data Consolidada'!$E$7:$E$891,MATCH(CONCATENATE(CM$3,"-",$CP79,"-",$AY79),'Data Consolidada'!$K$7:$K$891,0)),MAX('Data Consolidada'!$E$7:$E$3000))))</f>
        <v/>
      </c>
      <c r="CN79" s="32" t="str">
        <f>+IF(CN$3="","",IF($AY79="","",IFERROR(INDEX('Data Consolidada'!$E$7:$E$891,MATCH(CONCATENATE(CN$3,"-",$CP79,"-",$AY79),'Data Consolidada'!$K$7:$K$891,0)),MAX('Data Consolidada'!$E$7:$E$3000))))</f>
        <v/>
      </c>
      <c r="CO79" s="37" t="str">
        <f>+IF(CO$3="","",IF($AY79="","",IFERROR(INDEX('Data Consolidada'!$E$7:$E$891,MATCH(CONCATENATE(CO$3,"-",$CP79,"-",$AY79),'Data Consolidada'!$K$7:$K$891,0)),MAX('Data Consolidada'!$E$7:$E$3000))))</f>
        <v/>
      </c>
      <c r="CP79" s="224">
        <f t="shared" ca="1" si="38"/>
        <v>0</v>
      </c>
      <c r="CQ79" s="84" t="str">
        <f t="shared" ca="1" si="39"/>
        <v>TRANS. ALMENDRAL0</v>
      </c>
    </row>
    <row r="80" spans="2:95" ht="15" customHeight="1" x14ac:dyDescent="0.35">
      <c r="B80" s="218" t="str">
        <f t="shared" ca="1" si="41"/>
        <v>TH TRANSPORTES</v>
      </c>
      <c r="C80" s="238">
        <v>0</v>
      </c>
      <c r="D80" s="239">
        <v>0</v>
      </c>
      <c r="E80" s="239">
        <v>0</v>
      </c>
      <c r="F80" s="239">
        <v>0</v>
      </c>
      <c r="G80" s="239">
        <v>0</v>
      </c>
      <c r="H80" s="239">
        <v>0</v>
      </c>
      <c r="I80" s="239">
        <v>0</v>
      </c>
      <c r="J80" s="239">
        <v>0</v>
      </c>
      <c r="K80" s="239">
        <v>0</v>
      </c>
      <c r="L80" s="239">
        <v>0</v>
      </c>
      <c r="M80" s="239">
        <v>0</v>
      </c>
      <c r="N80" s="240">
        <v>0</v>
      </c>
      <c r="O80" s="239">
        <v>0</v>
      </c>
      <c r="P80" s="239">
        <v>0</v>
      </c>
      <c r="Q80" s="239">
        <v>0</v>
      </c>
      <c r="R80" s="239">
        <v>0</v>
      </c>
      <c r="S80" s="239">
        <v>0</v>
      </c>
      <c r="T80" s="239">
        <v>0</v>
      </c>
      <c r="U80" s="239">
        <v>0</v>
      </c>
      <c r="V80" s="239">
        <v>0</v>
      </c>
      <c r="W80" s="239">
        <v>0</v>
      </c>
      <c r="X80" s="239">
        <v>0</v>
      </c>
      <c r="Y80" s="239">
        <v>0</v>
      </c>
      <c r="Z80" s="239"/>
      <c r="AA80" s="239"/>
      <c r="AB80" s="239"/>
      <c r="AC80" s="239"/>
      <c r="AD80" s="239"/>
      <c r="AE80" s="239"/>
      <c r="AF80" s="239"/>
      <c r="AG80" s="239"/>
      <c r="AH80" s="239"/>
      <c r="AI80" s="239"/>
      <c r="AJ80" s="239"/>
      <c r="AK80" s="239"/>
      <c r="AL80" s="239"/>
      <c r="AM80" s="239"/>
      <c r="AN80" s="239"/>
      <c r="AO80" s="239"/>
      <c r="AP80" s="239"/>
      <c r="AQ80" s="239"/>
      <c r="AR80" s="252"/>
      <c r="AS80" s="77" t="str">
        <f t="shared" ca="1" si="42"/>
        <v>MOSTAZAL</v>
      </c>
      <c r="AT80" s="255">
        <f t="shared" si="43"/>
        <v>0</v>
      </c>
      <c r="AU80" s="51"/>
      <c r="AV80" s="51"/>
      <c r="AW80" s="13">
        <f>+IF(AX80="","",IF(AX80&gt;AX79,AW79,IF(AW79&lt;$D$69,AW79+1,IF(COUNT(AW$4:AW79)&lt;$B$69*$E$54,1,""))))</f>
        <v>6</v>
      </c>
      <c r="AX80" s="13">
        <f>+IF(AX79&lt;$B$69,AX79+1,IF(COUNT(AX$4:AX79)&lt;$B$69*$D$69,1,""))</f>
        <v>12</v>
      </c>
      <c r="AY80" s="189" t="str">
        <f t="shared" ca="1" si="37"/>
        <v>TRANS. MAX SOTO G. E.I.R.L.</v>
      </c>
      <c r="AZ80" s="36">
        <f ca="1">+IF(AZ$3="","",IF($AY80="","",IFERROR(INDEX('Data Consolidada'!$E$7:$E$891,MATCH(CONCATENATE(AZ$3,"-",$CP80,"-",$AY80),'Data Consolidada'!$K$7:$K$891,0)),MAX('Data Consolidada'!$E$7:$E$3000))))</f>
        <v>11000000</v>
      </c>
      <c r="BA80" s="32">
        <f ca="1">+IF(BA$3="","",IF($AY80="","",IFERROR(INDEX('Data Consolidada'!$E$7:$E$891,MATCH(CONCATENATE(BA$3,"-",$CP80,"-",$AY80),'Data Consolidada'!$K$7:$K$891,0)),MAX('Data Consolidada'!$E$7:$E$3000))))</f>
        <v>11000000</v>
      </c>
      <c r="BB80" s="32" t="str">
        <f>+IF(BB$3="","",IF($AY80="","",IFERROR(INDEX('Data Consolidada'!$E$7:$E$891,MATCH(CONCATENATE(BB$3,"-",$CP80,"-",$AY80),'Data Consolidada'!$K$7:$K$891,0)),MAX('Data Consolidada'!$E$7:$E$3000))))</f>
        <v/>
      </c>
      <c r="BC80" s="32" t="str">
        <f>+IF(BC$3="","",IF($AY80="","",IFERROR(INDEX('Data Consolidada'!$E$7:$E$891,MATCH(CONCATENATE(BC$3,"-",$CP80,"-",$AY80),'Data Consolidada'!$K$7:$K$891,0)),MAX('Data Consolidada'!$E$7:$E$3000))))</f>
        <v/>
      </c>
      <c r="BD80" s="32" t="str">
        <f>+IF(BD$3="","",IF($AY80="","",IFERROR(INDEX('Data Consolidada'!$E$7:$E$891,MATCH(CONCATENATE(BD$3,"-",$CP80,"-",$AY80),'Data Consolidada'!$K$7:$K$891,0)),MAX('Data Consolidada'!$E$7:$E$3000))))</f>
        <v/>
      </c>
      <c r="BE80" s="32" t="str">
        <f>+IF(BE$3="","",IF($AY80="","",IFERROR(INDEX('Data Consolidada'!$E$7:$E$891,MATCH(CONCATENATE(BE$3,"-",$CP80,"-",$AY80),'Data Consolidada'!$K$7:$K$891,0)),MAX('Data Consolidada'!$E$7:$E$3000))))</f>
        <v/>
      </c>
      <c r="BF80" s="32" t="str">
        <f>+IF(BF$3="","",IF($AY80="","",IFERROR(INDEX('Data Consolidada'!$E$7:$E$891,MATCH(CONCATENATE(BF$3,"-",$CP80,"-",$AY80),'Data Consolidada'!$K$7:$K$891,0)),MAX('Data Consolidada'!$E$7:$E$3000))))</f>
        <v/>
      </c>
      <c r="BG80" s="32" t="str">
        <f>+IF(BG$3="","",IF($AY80="","",IFERROR(INDEX('Data Consolidada'!$E$7:$E$891,MATCH(CONCATENATE(BG$3,"-",$CP80,"-",$AY80),'Data Consolidada'!$K$7:$K$891,0)),MAX('Data Consolidada'!$E$7:$E$3000))))</f>
        <v/>
      </c>
      <c r="BH80" s="32" t="str">
        <f>+IF(BH$3="","",IF($AY80="","",IFERROR(INDEX('Data Consolidada'!$E$7:$E$891,MATCH(CONCATENATE(BH$3,"-",$CP80,"-",$AY80),'Data Consolidada'!$K$7:$K$891,0)),MAX('Data Consolidada'!$E$7:$E$3000))))</f>
        <v/>
      </c>
      <c r="BI80" s="32" t="str">
        <f>+IF(BI$3="","",IF($AY80="","",IFERROR(INDEX('Data Consolidada'!$E$7:$E$891,MATCH(CONCATENATE(BI$3,"-",$CP80,"-",$AY80),'Data Consolidada'!$K$7:$K$891,0)),MAX('Data Consolidada'!$E$7:$E$3000))))</f>
        <v/>
      </c>
      <c r="BJ80" s="32" t="str">
        <f>+IF(BJ$3="","",IF($AY80="","",IFERROR(INDEX('Data Consolidada'!$E$7:$E$891,MATCH(CONCATENATE(BJ$3,"-",$CP80,"-",$AY80),'Data Consolidada'!$K$7:$K$891,0)),MAX('Data Consolidada'!$E$7:$E$3000))))</f>
        <v/>
      </c>
      <c r="BK80" s="32" t="str">
        <f>+IF(BK$3="","",IF($AY80="","",IFERROR(INDEX('Data Consolidada'!$E$7:$E$891,MATCH(CONCATENATE(BK$3,"-",$CP80,"-",$AY80),'Data Consolidada'!$K$7:$K$891,0)),MAX('Data Consolidada'!$E$7:$E$3000))))</f>
        <v/>
      </c>
      <c r="BL80" s="32" t="str">
        <f>+IF(BL$3="","",IF($AY80="","",IFERROR(INDEX('Data Consolidada'!$E$7:$E$891,MATCH(CONCATENATE(BL$3,"-",$CP80,"-",$AY80),'Data Consolidada'!$K$7:$K$891,0)),MAX('Data Consolidada'!$E$7:$E$3000))))</f>
        <v/>
      </c>
      <c r="BM80" s="32" t="str">
        <f>+IF(BM$3="","",IF($AY80="","",IFERROR(INDEX('Data Consolidada'!$E$7:$E$891,MATCH(CONCATENATE(BM$3,"-",$CP80,"-",$AY80),'Data Consolidada'!$K$7:$K$891,0)),MAX('Data Consolidada'!$E$7:$E$3000))))</f>
        <v/>
      </c>
      <c r="BN80" s="32" t="str">
        <f>+IF(BN$3="","",IF($AY80="","",IFERROR(INDEX('Data Consolidada'!$E$7:$E$891,MATCH(CONCATENATE(BN$3,"-",$CP80,"-",$AY80),'Data Consolidada'!$K$7:$K$891,0)),MAX('Data Consolidada'!$E$7:$E$3000))))</f>
        <v/>
      </c>
      <c r="BO80" s="32" t="str">
        <f>+IF(BO$3="","",IF($AY80="","",IFERROR(INDEX('Data Consolidada'!$E$7:$E$891,MATCH(CONCATENATE(BO$3,"-",$CP80,"-",$AY80),'Data Consolidada'!$K$7:$K$891,0)),MAX('Data Consolidada'!$E$7:$E$3000))))</f>
        <v/>
      </c>
      <c r="BP80" s="32" t="str">
        <f>+IF(BP$3="","",IF($AY80="","",IFERROR(INDEX('Data Consolidada'!$E$7:$E$891,MATCH(CONCATENATE(BP$3,"-",$CP80,"-",$AY80),'Data Consolidada'!$K$7:$K$891,0)),MAX('Data Consolidada'!$E$7:$E$3000))))</f>
        <v/>
      </c>
      <c r="BQ80" s="32" t="str">
        <f>+IF(BQ$3="","",IF($AY80="","",IFERROR(INDEX('Data Consolidada'!$E$7:$E$891,MATCH(CONCATENATE(BQ$3,"-",$CP80,"-",$AY80),'Data Consolidada'!$K$7:$K$891,0)),MAX('Data Consolidada'!$E$7:$E$3000))))</f>
        <v/>
      </c>
      <c r="BR80" s="32" t="str">
        <f>+IF(BR$3="","",IF($AY80="","",IFERROR(INDEX('Data Consolidada'!$E$7:$E$891,MATCH(CONCATENATE(BR$3,"-",$CP80,"-",$AY80),'Data Consolidada'!$K$7:$K$891,0)),MAX('Data Consolidada'!$E$7:$E$3000))))</f>
        <v/>
      </c>
      <c r="BS80" s="32" t="str">
        <f>+IF(BS$3="","",IF($AY80="","",IFERROR(INDEX('Data Consolidada'!$E$7:$E$891,MATCH(CONCATENATE(BS$3,"-",$CP80,"-",$AY80),'Data Consolidada'!$K$7:$K$891,0)),MAX('Data Consolidada'!$E$7:$E$3000))))</f>
        <v/>
      </c>
      <c r="BT80" s="32" t="str">
        <f>+IF(BT$3="","",IF($AY80="","",IFERROR(INDEX('Data Consolidada'!$E$7:$E$891,MATCH(CONCATENATE(BT$3,"-",$CP80,"-",$AY80),'Data Consolidada'!$K$7:$K$891,0)),MAX('Data Consolidada'!$E$7:$E$3000))))</f>
        <v/>
      </c>
      <c r="BU80" s="32" t="str">
        <f>+IF(BU$3="","",IF($AY80="","",IFERROR(INDEX('Data Consolidada'!$E$7:$E$891,MATCH(CONCATENATE(BU$3,"-",$CP80,"-",$AY80),'Data Consolidada'!$K$7:$K$891,0)),MAX('Data Consolidada'!$E$7:$E$3000))))</f>
        <v/>
      </c>
      <c r="BV80" s="32" t="str">
        <f>+IF(BV$3="","",IF($AY80="","",IFERROR(INDEX('Data Consolidada'!$E$7:$E$891,MATCH(CONCATENATE(BV$3,"-",$CP80,"-",$AY80),'Data Consolidada'!$K$7:$K$891,0)),MAX('Data Consolidada'!$E$7:$E$3000))))</f>
        <v/>
      </c>
      <c r="BW80" s="32" t="str">
        <f>+IF(BW$3="","",IF($AY80="","",IFERROR(INDEX('Data Consolidada'!$E$7:$E$891,MATCH(CONCATENATE(BW$3,"-",$CP80,"-",$AY80),'Data Consolidada'!$K$7:$K$891,0)),MAX('Data Consolidada'!$E$7:$E$3000))))</f>
        <v/>
      </c>
      <c r="BX80" s="32" t="str">
        <f>+IF(BX$3="","",IF($AY80="","",IFERROR(INDEX('Data Consolidada'!$E$7:$E$891,MATCH(CONCATENATE(BX$3,"-",$CP80,"-",$AY80),'Data Consolidada'!$K$7:$K$891,0)),MAX('Data Consolidada'!$E$7:$E$3000))))</f>
        <v/>
      </c>
      <c r="BY80" s="32" t="str">
        <f>+IF(BY$3="","",IF($AY80="","",IFERROR(INDEX('Data Consolidada'!$E$7:$E$891,MATCH(CONCATENATE(BY$3,"-",$CP80,"-",$AY80),'Data Consolidada'!$K$7:$K$891,0)),MAX('Data Consolidada'!$E$7:$E$3000))))</f>
        <v/>
      </c>
      <c r="BZ80" s="32" t="str">
        <f>+IF(BZ$3="","",IF($AY80="","",IFERROR(INDEX('Data Consolidada'!$E$7:$E$891,MATCH(CONCATENATE(BZ$3,"-",$CP80,"-",$AY80),'Data Consolidada'!$K$7:$K$891,0)),MAX('Data Consolidada'!$E$7:$E$3000))))</f>
        <v/>
      </c>
      <c r="CA80" s="32" t="str">
        <f>+IF(CA$3="","",IF($AY80="","",IFERROR(INDEX('Data Consolidada'!$E$7:$E$891,MATCH(CONCATENATE(CA$3,"-",$CP80,"-",$AY80),'Data Consolidada'!$K$7:$K$891,0)),MAX('Data Consolidada'!$E$7:$E$3000))))</f>
        <v/>
      </c>
      <c r="CB80" s="32" t="str">
        <f>+IF(CB$3="","",IF($AY80="","",IFERROR(INDEX('Data Consolidada'!$E$7:$E$891,MATCH(CONCATENATE(CB$3,"-",$CP80,"-",$AY80),'Data Consolidada'!$K$7:$K$891,0)),MAX('Data Consolidada'!$E$7:$E$3000))))</f>
        <v/>
      </c>
      <c r="CC80" s="32" t="str">
        <f>+IF(CC$3="","",IF($AY80="","",IFERROR(INDEX('Data Consolidada'!$E$7:$E$891,MATCH(CONCATENATE(CC$3,"-",$CP80,"-",$AY80),'Data Consolidada'!$K$7:$K$891,0)),MAX('Data Consolidada'!$E$7:$E$3000))))</f>
        <v/>
      </c>
      <c r="CD80" s="32" t="str">
        <f>+IF(CD$3="","",IF($AY80="","",IFERROR(INDEX('Data Consolidada'!$E$7:$E$891,MATCH(CONCATENATE(CD$3,"-",$CP80,"-",$AY80),'Data Consolidada'!$K$7:$K$891,0)),MAX('Data Consolidada'!$E$7:$E$3000))))</f>
        <v/>
      </c>
      <c r="CE80" s="32" t="str">
        <f>+IF(CE$3="","",IF($AY80="","",IFERROR(INDEX('Data Consolidada'!$E$7:$E$891,MATCH(CONCATENATE(CE$3,"-",$CP80,"-",$AY80),'Data Consolidada'!$K$7:$K$891,0)),MAX('Data Consolidada'!$E$7:$E$3000))))</f>
        <v/>
      </c>
      <c r="CF80" s="32" t="str">
        <f>+IF(CF$3="","",IF($AY80="","",IFERROR(INDEX('Data Consolidada'!$E$7:$E$891,MATCH(CONCATENATE(CF$3,"-",$CP80,"-",$AY80),'Data Consolidada'!$K$7:$K$891,0)),MAX('Data Consolidada'!$E$7:$E$3000))))</f>
        <v/>
      </c>
      <c r="CG80" s="32" t="str">
        <f>+IF(CG$3="","",IF($AY80="","",IFERROR(INDEX('Data Consolidada'!$E$7:$E$891,MATCH(CONCATENATE(CG$3,"-",$CP80,"-",$AY80),'Data Consolidada'!$K$7:$K$891,0)),MAX('Data Consolidada'!$E$7:$E$3000))))</f>
        <v/>
      </c>
      <c r="CH80" s="32" t="str">
        <f>+IF(CH$3="","",IF($AY80="","",IFERROR(INDEX('Data Consolidada'!$E$7:$E$891,MATCH(CONCATENATE(CH$3,"-",$CP80,"-",$AY80),'Data Consolidada'!$K$7:$K$891,0)),MAX('Data Consolidada'!$E$7:$E$3000))))</f>
        <v/>
      </c>
      <c r="CI80" s="32" t="str">
        <f>+IF(CI$3="","",IF($AY80="","",IFERROR(INDEX('Data Consolidada'!$E$7:$E$891,MATCH(CONCATENATE(CI$3,"-",$CP80,"-",$AY80),'Data Consolidada'!$K$7:$K$891,0)),MAX('Data Consolidada'!$E$7:$E$3000))))</f>
        <v/>
      </c>
      <c r="CJ80" s="32" t="str">
        <f>+IF(CJ$3="","",IF($AY80="","",IFERROR(INDEX('Data Consolidada'!$E$7:$E$891,MATCH(CONCATENATE(CJ$3,"-",$CP80,"-",$AY80),'Data Consolidada'!$K$7:$K$891,0)),MAX('Data Consolidada'!$E$7:$E$3000))))</f>
        <v/>
      </c>
      <c r="CK80" s="32" t="str">
        <f>+IF(CK$3="","",IF($AY80="","",IFERROR(INDEX('Data Consolidada'!$E$7:$E$891,MATCH(CONCATENATE(CK$3,"-",$CP80,"-",$AY80),'Data Consolidada'!$K$7:$K$891,0)),MAX('Data Consolidada'!$E$7:$E$3000))))</f>
        <v/>
      </c>
      <c r="CL80" s="32" t="str">
        <f>+IF(CL$3="","",IF($AY80="","",IFERROR(INDEX('Data Consolidada'!$E$7:$E$891,MATCH(CONCATENATE(CL$3,"-",$CP80,"-",$AY80),'Data Consolidada'!$K$7:$K$891,0)),MAX('Data Consolidada'!$E$7:$E$3000))))</f>
        <v/>
      </c>
      <c r="CM80" s="32" t="str">
        <f>+IF(CM$3="","",IF($AY80="","",IFERROR(INDEX('Data Consolidada'!$E$7:$E$891,MATCH(CONCATENATE(CM$3,"-",$CP80,"-",$AY80),'Data Consolidada'!$K$7:$K$891,0)),MAX('Data Consolidada'!$E$7:$E$3000))))</f>
        <v/>
      </c>
      <c r="CN80" s="32" t="str">
        <f>+IF(CN$3="","",IF($AY80="","",IFERROR(INDEX('Data Consolidada'!$E$7:$E$891,MATCH(CONCATENATE(CN$3,"-",$CP80,"-",$AY80),'Data Consolidada'!$K$7:$K$891,0)),MAX('Data Consolidada'!$E$7:$E$3000))))</f>
        <v/>
      </c>
      <c r="CO80" s="37" t="str">
        <f>+IF(CO$3="","",IF($AY80="","",IFERROR(INDEX('Data Consolidada'!$E$7:$E$891,MATCH(CONCATENATE(CO$3,"-",$CP80,"-",$AY80),'Data Consolidada'!$K$7:$K$891,0)),MAX('Data Consolidada'!$E$7:$E$3000))))</f>
        <v/>
      </c>
      <c r="CP80" s="224">
        <f t="shared" ca="1" si="38"/>
        <v>0</v>
      </c>
      <c r="CQ80" s="84" t="str">
        <f t="shared" ca="1" si="39"/>
        <v>TRANS. MAX SOTO G. E.I.R.L.0</v>
      </c>
    </row>
    <row r="81" spans="2:95" ht="15" customHeight="1" x14ac:dyDescent="0.35">
      <c r="B81" s="218" t="str">
        <f t="shared" ca="1" si="41"/>
        <v>TRAIDILL</v>
      </c>
      <c r="C81" s="238">
        <v>0</v>
      </c>
      <c r="D81" s="239">
        <v>0</v>
      </c>
      <c r="E81" s="239">
        <v>0</v>
      </c>
      <c r="F81" s="239">
        <v>0</v>
      </c>
      <c r="G81" s="239">
        <v>0</v>
      </c>
      <c r="H81" s="239">
        <v>0</v>
      </c>
      <c r="I81" s="239">
        <v>0</v>
      </c>
      <c r="J81" s="239">
        <v>0</v>
      </c>
      <c r="K81" s="239">
        <v>0</v>
      </c>
      <c r="L81" s="239">
        <v>0</v>
      </c>
      <c r="M81" s="239">
        <v>0</v>
      </c>
      <c r="N81" s="240">
        <v>0</v>
      </c>
      <c r="O81" s="239">
        <v>0</v>
      </c>
      <c r="P81" s="239">
        <v>0</v>
      </c>
      <c r="Q81" s="239">
        <v>0</v>
      </c>
      <c r="R81" s="239">
        <v>0</v>
      </c>
      <c r="S81" s="239">
        <v>0</v>
      </c>
      <c r="T81" s="239">
        <v>0</v>
      </c>
      <c r="U81" s="239">
        <v>0</v>
      </c>
      <c r="V81" s="239">
        <v>0</v>
      </c>
      <c r="W81" s="239">
        <v>0</v>
      </c>
      <c r="X81" s="239">
        <v>0</v>
      </c>
      <c r="Y81" s="239">
        <v>0</v>
      </c>
      <c r="Z81" s="239"/>
      <c r="AA81" s="239"/>
      <c r="AB81" s="239"/>
      <c r="AC81" s="239"/>
      <c r="AD81" s="239"/>
      <c r="AE81" s="239"/>
      <c r="AF81" s="239"/>
      <c r="AG81" s="239"/>
      <c r="AH81" s="239"/>
      <c r="AI81" s="239"/>
      <c r="AJ81" s="239"/>
      <c r="AK81" s="239"/>
      <c r="AL81" s="239"/>
      <c r="AM81" s="239"/>
      <c r="AN81" s="239"/>
      <c r="AO81" s="239"/>
      <c r="AP81" s="239"/>
      <c r="AQ81" s="239"/>
      <c r="AR81" s="252"/>
      <c r="AS81" s="77" t="str">
        <f t="shared" ca="1" si="42"/>
        <v>MOSTAZAL</v>
      </c>
      <c r="AT81" s="255">
        <f t="shared" si="43"/>
        <v>0</v>
      </c>
      <c r="AU81" s="51"/>
      <c r="AV81" s="51"/>
      <c r="AW81" s="13">
        <f>+IF(AX81="","",IF(AX81&gt;AX80,AW80,IF(AW80&lt;$D$69,AW80+1,IF(COUNT(AW$4:AW80)&lt;$B$69*$E$54,1,""))))</f>
        <v>6</v>
      </c>
      <c r="AX81" s="13">
        <f>+IF(AX80&lt;$B$69,AX80+1,IF(COUNT(AX$4:AX80)&lt;$B$69*$D$69,1,""))</f>
        <v>13</v>
      </c>
      <c r="AY81" s="189" t="str">
        <f t="shared" ca="1" si="37"/>
        <v>TRANS. MITRE SPA.</v>
      </c>
      <c r="AZ81" s="36">
        <f ca="1">+IF(AZ$3="","",IF($AY81="","",IFERROR(INDEX('Data Consolidada'!$E$7:$E$891,MATCH(CONCATENATE(AZ$3,"-",$CP81,"-",$AY81),'Data Consolidada'!$K$7:$K$891,0)),MAX('Data Consolidada'!$E$7:$E$3000))))</f>
        <v>11000000</v>
      </c>
      <c r="BA81" s="32">
        <f ca="1">+IF(BA$3="","",IF($AY81="","",IFERROR(INDEX('Data Consolidada'!$E$7:$E$891,MATCH(CONCATENATE(BA$3,"-",$CP81,"-",$AY81),'Data Consolidada'!$K$7:$K$891,0)),MAX('Data Consolidada'!$E$7:$E$3000))))</f>
        <v>11000000</v>
      </c>
      <c r="BB81" s="32" t="str">
        <f>+IF(BB$3="","",IF($AY81="","",IFERROR(INDEX('Data Consolidada'!$E$7:$E$891,MATCH(CONCATENATE(BB$3,"-",$CP81,"-",$AY81),'Data Consolidada'!$K$7:$K$891,0)),MAX('Data Consolidada'!$E$7:$E$3000))))</f>
        <v/>
      </c>
      <c r="BC81" s="32" t="str">
        <f>+IF(BC$3="","",IF($AY81="","",IFERROR(INDEX('Data Consolidada'!$E$7:$E$891,MATCH(CONCATENATE(BC$3,"-",$CP81,"-",$AY81),'Data Consolidada'!$K$7:$K$891,0)),MAX('Data Consolidada'!$E$7:$E$3000))))</f>
        <v/>
      </c>
      <c r="BD81" s="32" t="str">
        <f>+IF(BD$3="","",IF($AY81="","",IFERROR(INDEX('Data Consolidada'!$E$7:$E$891,MATCH(CONCATENATE(BD$3,"-",$CP81,"-",$AY81),'Data Consolidada'!$K$7:$K$891,0)),MAX('Data Consolidada'!$E$7:$E$3000))))</f>
        <v/>
      </c>
      <c r="BE81" s="32" t="str">
        <f>+IF(BE$3="","",IF($AY81="","",IFERROR(INDEX('Data Consolidada'!$E$7:$E$891,MATCH(CONCATENATE(BE$3,"-",$CP81,"-",$AY81),'Data Consolidada'!$K$7:$K$891,0)),MAX('Data Consolidada'!$E$7:$E$3000))))</f>
        <v/>
      </c>
      <c r="BF81" s="32" t="str">
        <f>+IF(BF$3="","",IF($AY81="","",IFERROR(INDEX('Data Consolidada'!$E$7:$E$891,MATCH(CONCATENATE(BF$3,"-",$CP81,"-",$AY81),'Data Consolidada'!$K$7:$K$891,0)),MAX('Data Consolidada'!$E$7:$E$3000))))</f>
        <v/>
      </c>
      <c r="BG81" s="32" t="str">
        <f>+IF(BG$3="","",IF($AY81="","",IFERROR(INDEX('Data Consolidada'!$E$7:$E$891,MATCH(CONCATENATE(BG$3,"-",$CP81,"-",$AY81),'Data Consolidada'!$K$7:$K$891,0)),MAX('Data Consolidada'!$E$7:$E$3000))))</f>
        <v/>
      </c>
      <c r="BH81" s="32" t="str">
        <f>+IF(BH$3="","",IF($AY81="","",IFERROR(INDEX('Data Consolidada'!$E$7:$E$891,MATCH(CONCATENATE(BH$3,"-",$CP81,"-",$AY81),'Data Consolidada'!$K$7:$K$891,0)),MAX('Data Consolidada'!$E$7:$E$3000))))</f>
        <v/>
      </c>
      <c r="BI81" s="32" t="str">
        <f>+IF(BI$3="","",IF($AY81="","",IFERROR(INDEX('Data Consolidada'!$E$7:$E$891,MATCH(CONCATENATE(BI$3,"-",$CP81,"-",$AY81),'Data Consolidada'!$K$7:$K$891,0)),MAX('Data Consolidada'!$E$7:$E$3000))))</f>
        <v/>
      </c>
      <c r="BJ81" s="32" t="str">
        <f>+IF(BJ$3="","",IF($AY81="","",IFERROR(INDEX('Data Consolidada'!$E$7:$E$891,MATCH(CONCATENATE(BJ$3,"-",$CP81,"-",$AY81),'Data Consolidada'!$K$7:$K$891,0)),MAX('Data Consolidada'!$E$7:$E$3000))))</f>
        <v/>
      </c>
      <c r="BK81" s="32" t="str">
        <f>+IF(BK$3="","",IF($AY81="","",IFERROR(INDEX('Data Consolidada'!$E$7:$E$891,MATCH(CONCATENATE(BK$3,"-",$CP81,"-",$AY81),'Data Consolidada'!$K$7:$K$891,0)),MAX('Data Consolidada'!$E$7:$E$3000))))</f>
        <v/>
      </c>
      <c r="BL81" s="32" t="str">
        <f>+IF(BL$3="","",IF($AY81="","",IFERROR(INDEX('Data Consolidada'!$E$7:$E$891,MATCH(CONCATENATE(BL$3,"-",$CP81,"-",$AY81),'Data Consolidada'!$K$7:$K$891,0)),MAX('Data Consolidada'!$E$7:$E$3000))))</f>
        <v/>
      </c>
      <c r="BM81" s="32" t="str">
        <f>+IF(BM$3="","",IF($AY81="","",IFERROR(INDEX('Data Consolidada'!$E$7:$E$891,MATCH(CONCATENATE(BM$3,"-",$CP81,"-",$AY81),'Data Consolidada'!$K$7:$K$891,0)),MAX('Data Consolidada'!$E$7:$E$3000))))</f>
        <v/>
      </c>
      <c r="BN81" s="32" t="str">
        <f>+IF(BN$3="","",IF($AY81="","",IFERROR(INDEX('Data Consolidada'!$E$7:$E$891,MATCH(CONCATENATE(BN$3,"-",$CP81,"-",$AY81),'Data Consolidada'!$K$7:$K$891,0)),MAX('Data Consolidada'!$E$7:$E$3000))))</f>
        <v/>
      </c>
      <c r="BO81" s="32" t="str">
        <f>+IF(BO$3="","",IF($AY81="","",IFERROR(INDEX('Data Consolidada'!$E$7:$E$891,MATCH(CONCATENATE(BO$3,"-",$CP81,"-",$AY81),'Data Consolidada'!$K$7:$K$891,0)),MAX('Data Consolidada'!$E$7:$E$3000))))</f>
        <v/>
      </c>
      <c r="BP81" s="32" t="str">
        <f>+IF(BP$3="","",IF($AY81="","",IFERROR(INDEX('Data Consolidada'!$E$7:$E$891,MATCH(CONCATENATE(BP$3,"-",$CP81,"-",$AY81),'Data Consolidada'!$K$7:$K$891,0)),MAX('Data Consolidada'!$E$7:$E$3000))))</f>
        <v/>
      </c>
      <c r="BQ81" s="32" t="str">
        <f>+IF(BQ$3="","",IF($AY81="","",IFERROR(INDEX('Data Consolidada'!$E$7:$E$891,MATCH(CONCATENATE(BQ$3,"-",$CP81,"-",$AY81),'Data Consolidada'!$K$7:$K$891,0)),MAX('Data Consolidada'!$E$7:$E$3000))))</f>
        <v/>
      </c>
      <c r="BR81" s="32" t="str">
        <f>+IF(BR$3="","",IF($AY81="","",IFERROR(INDEX('Data Consolidada'!$E$7:$E$891,MATCH(CONCATENATE(BR$3,"-",$CP81,"-",$AY81),'Data Consolidada'!$K$7:$K$891,0)),MAX('Data Consolidada'!$E$7:$E$3000))))</f>
        <v/>
      </c>
      <c r="BS81" s="32" t="str">
        <f>+IF(BS$3="","",IF($AY81="","",IFERROR(INDEX('Data Consolidada'!$E$7:$E$891,MATCH(CONCATENATE(BS$3,"-",$CP81,"-",$AY81),'Data Consolidada'!$K$7:$K$891,0)),MAX('Data Consolidada'!$E$7:$E$3000))))</f>
        <v/>
      </c>
      <c r="BT81" s="32" t="str">
        <f>+IF(BT$3="","",IF($AY81="","",IFERROR(INDEX('Data Consolidada'!$E$7:$E$891,MATCH(CONCATENATE(BT$3,"-",$CP81,"-",$AY81),'Data Consolidada'!$K$7:$K$891,0)),MAX('Data Consolidada'!$E$7:$E$3000))))</f>
        <v/>
      </c>
      <c r="BU81" s="32" t="str">
        <f>+IF(BU$3="","",IF($AY81="","",IFERROR(INDEX('Data Consolidada'!$E$7:$E$891,MATCH(CONCATENATE(BU$3,"-",$CP81,"-",$AY81),'Data Consolidada'!$K$7:$K$891,0)),MAX('Data Consolidada'!$E$7:$E$3000))))</f>
        <v/>
      </c>
      <c r="BV81" s="32" t="str">
        <f>+IF(BV$3="","",IF($AY81="","",IFERROR(INDEX('Data Consolidada'!$E$7:$E$891,MATCH(CONCATENATE(BV$3,"-",$CP81,"-",$AY81),'Data Consolidada'!$K$7:$K$891,0)),MAX('Data Consolidada'!$E$7:$E$3000))))</f>
        <v/>
      </c>
      <c r="BW81" s="32" t="str">
        <f>+IF(BW$3="","",IF($AY81="","",IFERROR(INDEX('Data Consolidada'!$E$7:$E$891,MATCH(CONCATENATE(BW$3,"-",$CP81,"-",$AY81),'Data Consolidada'!$K$7:$K$891,0)),MAX('Data Consolidada'!$E$7:$E$3000))))</f>
        <v/>
      </c>
      <c r="BX81" s="32" t="str">
        <f>+IF(BX$3="","",IF($AY81="","",IFERROR(INDEX('Data Consolidada'!$E$7:$E$891,MATCH(CONCATENATE(BX$3,"-",$CP81,"-",$AY81),'Data Consolidada'!$K$7:$K$891,0)),MAX('Data Consolidada'!$E$7:$E$3000))))</f>
        <v/>
      </c>
      <c r="BY81" s="32" t="str">
        <f>+IF(BY$3="","",IF($AY81="","",IFERROR(INDEX('Data Consolidada'!$E$7:$E$891,MATCH(CONCATENATE(BY$3,"-",$CP81,"-",$AY81),'Data Consolidada'!$K$7:$K$891,0)),MAX('Data Consolidada'!$E$7:$E$3000))))</f>
        <v/>
      </c>
      <c r="BZ81" s="32" t="str">
        <f>+IF(BZ$3="","",IF($AY81="","",IFERROR(INDEX('Data Consolidada'!$E$7:$E$891,MATCH(CONCATENATE(BZ$3,"-",$CP81,"-",$AY81),'Data Consolidada'!$K$7:$K$891,0)),MAX('Data Consolidada'!$E$7:$E$3000))))</f>
        <v/>
      </c>
      <c r="CA81" s="32" t="str">
        <f>+IF(CA$3="","",IF($AY81="","",IFERROR(INDEX('Data Consolidada'!$E$7:$E$891,MATCH(CONCATENATE(CA$3,"-",$CP81,"-",$AY81),'Data Consolidada'!$K$7:$K$891,0)),MAX('Data Consolidada'!$E$7:$E$3000))))</f>
        <v/>
      </c>
      <c r="CB81" s="32" t="str">
        <f>+IF(CB$3="","",IF($AY81="","",IFERROR(INDEX('Data Consolidada'!$E$7:$E$891,MATCH(CONCATENATE(CB$3,"-",$CP81,"-",$AY81),'Data Consolidada'!$K$7:$K$891,0)),MAX('Data Consolidada'!$E$7:$E$3000))))</f>
        <v/>
      </c>
      <c r="CC81" s="32" t="str">
        <f>+IF(CC$3="","",IF($AY81="","",IFERROR(INDEX('Data Consolidada'!$E$7:$E$891,MATCH(CONCATENATE(CC$3,"-",$CP81,"-",$AY81),'Data Consolidada'!$K$7:$K$891,0)),MAX('Data Consolidada'!$E$7:$E$3000))))</f>
        <v/>
      </c>
      <c r="CD81" s="32" t="str">
        <f>+IF(CD$3="","",IF($AY81="","",IFERROR(INDEX('Data Consolidada'!$E$7:$E$891,MATCH(CONCATENATE(CD$3,"-",$CP81,"-",$AY81),'Data Consolidada'!$K$7:$K$891,0)),MAX('Data Consolidada'!$E$7:$E$3000))))</f>
        <v/>
      </c>
      <c r="CE81" s="32" t="str">
        <f>+IF(CE$3="","",IF($AY81="","",IFERROR(INDEX('Data Consolidada'!$E$7:$E$891,MATCH(CONCATENATE(CE$3,"-",$CP81,"-",$AY81),'Data Consolidada'!$K$7:$K$891,0)),MAX('Data Consolidada'!$E$7:$E$3000))))</f>
        <v/>
      </c>
      <c r="CF81" s="32" t="str">
        <f>+IF(CF$3="","",IF($AY81="","",IFERROR(INDEX('Data Consolidada'!$E$7:$E$891,MATCH(CONCATENATE(CF$3,"-",$CP81,"-",$AY81),'Data Consolidada'!$K$7:$K$891,0)),MAX('Data Consolidada'!$E$7:$E$3000))))</f>
        <v/>
      </c>
      <c r="CG81" s="32" t="str">
        <f>+IF(CG$3="","",IF($AY81="","",IFERROR(INDEX('Data Consolidada'!$E$7:$E$891,MATCH(CONCATENATE(CG$3,"-",$CP81,"-",$AY81),'Data Consolidada'!$K$7:$K$891,0)),MAX('Data Consolidada'!$E$7:$E$3000))))</f>
        <v/>
      </c>
      <c r="CH81" s="32" t="str">
        <f>+IF(CH$3="","",IF($AY81="","",IFERROR(INDEX('Data Consolidada'!$E$7:$E$891,MATCH(CONCATENATE(CH$3,"-",$CP81,"-",$AY81),'Data Consolidada'!$K$7:$K$891,0)),MAX('Data Consolidada'!$E$7:$E$3000))))</f>
        <v/>
      </c>
      <c r="CI81" s="32" t="str">
        <f>+IF(CI$3="","",IF($AY81="","",IFERROR(INDEX('Data Consolidada'!$E$7:$E$891,MATCH(CONCATENATE(CI$3,"-",$CP81,"-",$AY81),'Data Consolidada'!$K$7:$K$891,0)),MAX('Data Consolidada'!$E$7:$E$3000))))</f>
        <v/>
      </c>
      <c r="CJ81" s="32" t="str">
        <f>+IF(CJ$3="","",IF($AY81="","",IFERROR(INDEX('Data Consolidada'!$E$7:$E$891,MATCH(CONCATENATE(CJ$3,"-",$CP81,"-",$AY81),'Data Consolidada'!$K$7:$K$891,0)),MAX('Data Consolidada'!$E$7:$E$3000))))</f>
        <v/>
      </c>
      <c r="CK81" s="32" t="str">
        <f>+IF(CK$3="","",IF($AY81="","",IFERROR(INDEX('Data Consolidada'!$E$7:$E$891,MATCH(CONCATENATE(CK$3,"-",$CP81,"-",$AY81),'Data Consolidada'!$K$7:$K$891,0)),MAX('Data Consolidada'!$E$7:$E$3000))))</f>
        <v/>
      </c>
      <c r="CL81" s="32" t="str">
        <f>+IF(CL$3="","",IF($AY81="","",IFERROR(INDEX('Data Consolidada'!$E$7:$E$891,MATCH(CONCATENATE(CL$3,"-",$CP81,"-",$AY81),'Data Consolidada'!$K$7:$K$891,0)),MAX('Data Consolidada'!$E$7:$E$3000))))</f>
        <v/>
      </c>
      <c r="CM81" s="32" t="str">
        <f>+IF(CM$3="","",IF($AY81="","",IFERROR(INDEX('Data Consolidada'!$E$7:$E$891,MATCH(CONCATENATE(CM$3,"-",$CP81,"-",$AY81),'Data Consolidada'!$K$7:$K$891,0)),MAX('Data Consolidada'!$E$7:$E$3000))))</f>
        <v/>
      </c>
      <c r="CN81" s="32" t="str">
        <f>+IF(CN$3="","",IF($AY81="","",IFERROR(INDEX('Data Consolidada'!$E$7:$E$891,MATCH(CONCATENATE(CN$3,"-",$CP81,"-",$AY81),'Data Consolidada'!$K$7:$K$891,0)),MAX('Data Consolidada'!$E$7:$E$3000))))</f>
        <v/>
      </c>
      <c r="CO81" s="37" t="str">
        <f>+IF(CO$3="","",IF($AY81="","",IFERROR(INDEX('Data Consolidada'!$E$7:$E$891,MATCH(CONCATENATE(CO$3,"-",$CP81,"-",$AY81),'Data Consolidada'!$K$7:$K$891,0)),MAX('Data Consolidada'!$E$7:$E$3000))))</f>
        <v/>
      </c>
      <c r="CP81" s="224">
        <f t="shared" ca="1" si="38"/>
        <v>0</v>
      </c>
      <c r="CQ81" s="84" t="str">
        <f t="shared" ca="1" si="39"/>
        <v>TRANS. MITRE SPA.0</v>
      </c>
    </row>
    <row r="82" spans="2:95" ht="15" customHeight="1" x14ac:dyDescent="0.35">
      <c r="B82" s="218" t="str">
        <f t="shared" ca="1" si="41"/>
        <v>TRANS. ALMENDRAL</v>
      </c>
      <c r="C82" s="238">
        <v>0</v>
      </c>
      <c r="D82" s="239">
        <v>0</v>
      </c>
      <c r="E82" s="239">
        <v>0</v>
      </c>
      <c r="F82" s="239">
        <v>0</v>
      </c>
      <c r="G82" s="239">
        <v>0</v>
      </c>
      <c r="H82" s="239">
        <v>0</v>
      </c>
      <c r="I82" s="239">
        <v>0</v>
      </c>
      <c r="J82" s="239">
        <v>0</v>
      </c>
      <c r="K82" s="239">
        <v>0</v>
      </c>
      <c r="L82" s="239">
        <v>0</v>
      </c>
      <c r="M82" s="239">
        <v>0</v>
      </c>
      <c r="N82" s="240">
        <v>0</v>
      </c>
      <c r="O82" s="239">
        <v>0</v>
      </c>
      <c r="P82" s="239">
        <v>0</v>
      </c>
      <c r="Q82" s="239">
        <v>0</v>
      </c>
      <c r="R82" s="239">
        <v>0</v>
      </c>
      <c r="S82" s="239">
        <v>0</v>
      </c>
      <c r="T82" s="239">
        <v>0</v>
      </c>
      <c r="U82" s="239">
        <v>0</v>
      </c>
      <c r="V82" s="239">
        <v>0</v>
      </c>
      <c r="W82" s="239">
        <v>0</v>
      </c>
      <c r="X82" s="239">
        <v>0</v>
      </c>
      <c r="Y82" s="239">
        <v>0</v>
      </c>
      <c r="Z82" s="239"/>
      <c r="AA82" s="239"/>
      <c r="AB82" s="239"/>
      <c r="AC82" s="239"/>
      <c r="AD82" s="239"/>
      <c r="AE82" s="239"/>
      <c r="AF82" s="239"/>
      <c r="AG82" s="239"/>
      <c r="AH82" s="239"/>
      <c r="AI82" s="239"/>
      <c r="AJ82" s="239"/>
      <c r="AK82" s="239"/>
      <c r="AL82" s="239"/>
      <c r="AM82" s="239"/>
      <c r="AN82" s="239"/>
      <c r="AO82" s="239"/>
      <c r="AP82" s="239"/>
      <c r="AQ82" s="239"/>
      <c r="AR82" s="252"/>
      <c r="AS82" s="77" t="str">
        <f t="shared" ca="1" si="42"/>
        <v>MOSTAZAL</v>
      </c>
      <c r="AT82" s="255">
        <f t="shared" si="43"/>
        <v>0</v>
      </c>
      <c r="AU82" s="51"/>
      <c r="AV82" s="51"/>
      <c r="AW82" s="13">
        <f>+IF(AX82="","",IF(AX82&gt;AX81,AW81,IF(AW81&lt;$D$69,AW81+1,IF(COUNT(AW$4:AW81)&lt;$B$69*$E$54,1,""))))</f>
        <v>7</v>
      </c>
      <c r="AX82" s="13">
        <f>+IF(AX81&lt;$B$69,AX81+1,IF(COUNT(AX$4:AX81)&lt;$B$69*$D$69,1,""))</f>
        <v>1</v>
      </c>
      <c r="AY82" s="189" t="str">
        <f ca="1">+IF(AX82="","",OFFSET($B$9,AX82,0))</f>
        <v xml:space="preserve">  TRANS. MORROS LTDA.</v>
      </c>
      <c r="AZ82" s="36">
        <f ca="1">+IF(AZ$3="","",IF($AY82="","",IFERROR(INDEX('Data Consolidada'!$E$7:$E$891,MATCH(CONCATENATE(AZ$3,"-",$CP82,"-",$AY82),'Data Consolidada'!$K$7:$K$891,0)),MAX('Data Consolidada'!$E$7:$E$3000))))</f>
        <v>11000000</v>
      </c>
      <c r="BA82" s="32">
        <f ca="1">+IF(BA$3="","",IF($AY82="","",IFERROR(INDEX('Data Consolidada'!$E$7:$E$891,MATCH(CONCATENATE(BA$3,"-",$CP82,"-",$AY82),'Data Consolidada'!$K$7:$K$891,0)),MAX('Data Consolidada'!$E$7:$E$3000))))</f>
        <v>11000000</v>
      </c>
      <c r="BB82" s="32" t="str">
        <f>+IF(BB$3="","",IF($AY82="","",IFERROR(INDEX('Data Consolidada'!$E$7:$E$891,MATCH(CONCATENATE(BB$3,"-",$CP82,"-",$AY82),'Data Consolidada'!$K$7:$K$891,0)),MAX('Data Consolidada'!$E$7:$E$3000))))</f>
        <v/>
      </c>
      <c r="BC82" s="32" t="str">
        <f>+IF(BC$3="","",IF($AY82="","",IFERROR(INDEX('Data Consolidada'!$E$7:$E$891,MATCH(CONCATENATE(BC$3,"-",$CP82,"-",$AY82),'Data Consolidada'!$K$7:$K$891,0)),MAX('Data Consolidada'!$E$7:$E$3000))))</f>
        <v/>
      </c>
      <c r="BD82" s="32" t="str">
        <f>+IF(BD$3="","",IF($AY82="","",IFERROR(INDEX('Data Consolidada'!$E$7:$E$891,MATCH(CONCATENATE(BD$3,"-",$CP82,"-",$AY82),'Data Consolidada'!$K$7:$K$891,0)),MAX('Data Consolidada'!$E$7:$E$3000))))</f>
        <v/>
      </c>
      <c r="BE82" s="32" t="str">
        <f>+IF(BE$3="","",IF($AY82="","",IFERROR(INDEX('Data Consolidada'!$E$7:$E$891,MATCH(CONCATENATE(BE$3,"-",$CP82,"-",$AY82),'Data Consolidada'!$K$7:$K$891,0)),MAX('Data Consolidada'!$E$7:$E$3000))))</f>
        <v/>
      </c>
      <c r="BF82" s="32" t="str">
        <f>+IF(BF$3="","",IF($AY82="","",IFERROR(INDEX('Data Consolidada'!$E$7:$E$891,MATCH(CONCATENATE(BF$3,"-",$CP82,"-",$AY82),'Data Consolidada'!$K$7:$K$891,0)),MAX('Data Consolidada'!$E$7:$E$3000))))</f>
        <v/>
      </c>
      <c r="BG82" s="32" t="str">
        <f>+IF(BG$3="","",IF($AY82="","",IFERROR(INDEX('Data Consolidada'!$E$7:$E$891,MATCH(CONCATENATE(BG$3,"-",$CP82,"-",$AY82),'Data Consolidada'!$K$7:$K$891,0)),MAX('Data Consolidada'!$E$7:$E$3000))))</f>
        <v/>
      </c>
      <c r="BH82" s="32" t="str">
        <f>+IF(BH$3="","",IF($AY82="","",IFERROR(INDEX('Data Consolidada'!$E$7:$E$891,MATCH(CONCATENATE(BH$3,"-",$CP82,"-",$AY82),'Data Consolidada'!$K$7:$K$891,0)),MAX('Data Consolidada'!$E$7:$E$3000))))</f>
        <v/>
      </c>
      <c r="BI82" s="32" t="str">
        <f>+IF(BI$3="","",IF($AY82="","",IFERROR(INDEX('Data Consolidada'!$E$7:$E$891,MATCH(CONCATENATE(BI$3,"-",$CP82,"-",$AY82),'Data Consolidada'!$K$7:$K$891,0)),MAX('Data Consolidada'!$E$7:$E$3000))))</f>
        <v/>
      </c>
      <c r="BJ82" s="32" t="str">
        <f>+IF(BJ$3="","",IF($AY82="","",IFERROR(INDEX('Data Consolidada'!$E$7:$E$891,MATCH(CONCATENATE(BJ$3,"-",$CP82,"-",$AY82),'Data Consolidada'!$K$7:$K$891,0)),MAX('Data Consolidada'!$E$7:$E$3000))))</f>
        <v/>
      </c>
      <c r="BK82" s="32" t="str">
        <f>+IF(BK$3="","",IF($AY82="","",IFERROR(INDEX('Data Consolidada'!$E$7:$E$891,MATCH(CONCATENATE(BK$3,"-",$CP82,"-",$AY82),'Data Consolidada'!$K$7:$K$891,0)),MAX('Data Consolidada'!$E$7:$E$3000))))</f>
        <v/>
      </c>
      <c r="BL82" s="32" t="str">
        <f>+IF(BL$3="","",IF($AY82="","",IFERROR(INDEX('Data Consolidada'!$E$7:$E$891,MATCH(CONCATENATE(BL$3,"-",$CP82,"-",$AY82),'Data Consolidada'!$K$7:$K$891,0)),MAX('Data Consolidada'!$E$7:$E$3000))))</f>
        <v/>
      </c>
      <c r="BM82" s="32" t="str">
        <f>+IF(BM$3="","",IF($AY82="","",IFERROR(INDEX('Data Consolidada'!$E$7:$E$891,MATCH(CONCATENATE(BM$3,"-",$CP82,"-",$AY82),'Data Consolidada'!$K$7:$K$891,0)),MAX('Data Consolidada'!$E$7:$E$3000))))</f>
        <v/>
      </c>
      <c r="BN82" s="32" t="str">
        <f>+IF(BN$3="","",IF($AY82="","",IFERROR(INDEX('Data Consolidada'!$E$7:$E$891,MATCH(CONCATENATE(BN$3,"-",$CP82,"-",$AY82),'Data Consolidada'!$K$7:$K$891,0)),MAX('Data Consolidada'!$E$7:$E$3000))))</f>
        <v/>
      </c>
      <c r="BO82" s="32" t="str">
        <f>+IF(BO$3="","",IF($AY82="","",IFERROR(INDEX('Data Consolidada'!$E$7:$E$891,MATCH(CONCATENATE(BO$3,"-",$CP82,"-",$AY82),'Data Consolidada'!$K$7:$K$891,0)),MAX('Data Consolidada'!$E$7:$E$3000))))</f>
        <v/>
      </c>
      <c r="BP82" s="32" t="str">
        <f>+IF(BP$3="","",IF($AY82="","",IFERROR(INDEX('Data Consolidada'!$E$7:$E$891,MATCH(CONCATENATE(BP$3,"-",$CP82,"-",$AY82),'Data Consolidada'!$K$7:$K$891,0)),MAX('Data Consolidada'!$E$7:$E$3000))))</f>
        <v/>
      </c>
      <c r="BQ82" s="32" t="str">
        <f>+IF(BQ$3="","",IF($AY82="","",IFERROR(INDEX('Data Consolidada'!$E$7:$E$891,MATCH(CONCATENATE(BQ$3,"-",$CP82,"-",$AY82),'Data Consolidada'!$K$7:$K$891,0)),MAX('Data Consolidada'!$E$7:$E$3000))))</f>
        <v/>
      </c>
      <c r="BR82" s="32" t="str">
        <f>+IF(BR$3="","",IF($AY82="","",IFERROR(INDEX('Data Consolidada'!$E$7:$E$891,MATCH(CONCATENATE(BR$3,"-",$CP82,"-",$AY82),'Data Consolidada'!$K$7:$K$891,0)),MAX('Data Consolidada'!$E$7:$E$3000))))</f>
        <v/>
      </c>
      <c r="BS82" s="32" t="str">
        <f>+IF(BS$3="","",IF($AY82="","",IFERROR(INDEX('Data Consolidada'!$E$7:$E$891,MATCH(CONCATENATE(BS$3,"-",$CP82,"-",$AY82),'Data Consolidada'!$K$7:$K$891,0)),MAX('Data Consolidada'!$E$7:$E$3000))))</f>
        <v/>
      </c>
      <c r="BT82" s="32" t="str">
        <f>+IF(BT$3="","",IF($AY82="","",IFERROR(INDEX('Data Consolidada'!$E$7:$E$891,MATCH(CONCATENATE(BT$3,"-",$CP82,"-",$AY82),'Data Consolidada'!$K$7:$K$891,0)),MAX('Data Consolidada'!$E$7:$E$3000))))</f>
        <v/>
      </c>
      <c r="BU82" s="32" t="str">
        <f>+IF(BU$3="","",IF($AY82="","",IFERROR(INDEX('Data Consolidada'!$E$7:$E$891,MATCH(CONCATENATE(BU$3,"-",$CP82,"-",$AY82),'Data Consolidada'!$K$7:$K$891,0)),MAX('Data Consolidada'!$E$7:$E$3000))))</f>
        <v/>
      </c>
      <c r="BV82" s="32" t="str">
        <f>+IF(BV$3="","",IF($AY82="","",IFERROR(INDEX('Data Consolidada'!$E$7:$E$891,MATCH(CONCATENATE(BV$3,"-",$CP82,"-",$AY82),'Data Consolidada'!$K$7:$K$891,0)),MAX('Data Consolidada'!$E$7:$E$3000))))</f>
        <v/>
      </c>
      <c r="BW82" s="32" t="str">
        <f>+IF(BW$3="","",IF($AY82="","",IFERROR(INDEX('Data Consolidada'!$E$7:$E$891,MATCH(CONCATENATE(BW$3,"-",$CP82,"-",$AY82),'Data Consolidada'!$K$7:$K$891,0)),MAX('Data Consolidada'!$E$7:$E$3000))))</f>
        <v/>
      </c>
      <c r="BX82" s="32" t="str">
        <f>+IF(BX$3="","",IF($AY82="","",IFERROR(INDEX('Data Consolidada'!$E$7:$E$891,MATCH(CONCATENATE(BX$3,"-",$CP82,"-",$AY82),'Data Consolidada'!$K$7:$K$891,0)),MAX('Data Consolidada'!$E$7:$E$3000))))</f>
        <v/>
      </c>
      <c r="BY82" s="32" t="str">
        <f>+IF(BY$3="","",IF($AY82="","",IFERROR(INDEX('Data Consolidada'!$E$7:$E$891,MATCH(CONCATENATE(BY$3,"-",$CP82,"-",$AY82),'Data Consolidada'!$K$7:$K$891,0)),MAX('Data Consolidada'!$E$7:$E$3000))))</f>
        <v/>
      </c>
      <c r="BZ82" s="32" t="str">
        <f>+IF(BZ$3="","",IF($AY82="","",IFERROR(INDEX('Data Consolidada'!$E$7:$E$891,MATCH(CONCATENATE(BZ$3,"-",$CP82,"-",$AY82),'Data Consolidada'!$K$7:$K$891,0)),MAX('Data Consolidada'!$E$7:$E$3000))))</f>
        <v/>
      </c>
      <c r="CA82" s="32" t="str">
        <f>+IF(CA$3="","",IF($AY82="","",IFERROR(INDEX('Data Consolidada'!$E$7:$E$891,MATCH(CONCATENATE(CA$3,"-",$CP82,"-",$AY82),'Data Consolidada'!$K$7:$K$891,0)),MAX('Data Consolidada'!$E$7:$E$3000))))</f>
        <v/>
      </c>
      <c r="CB82" s="32" t="str">
        <f>+IF(CB$3="","",IF($AY82="","",IFERROR(INDEX('Data Consolidada'!$E$7:$E$891,MATCH(CONCATENATE(CB$3,"-",$CP82,"-",$AY82),'Data Consolidada'!$K$7:$K$891,0)),MAX('Data Consolidada'!$E$7:$E$3000))))</f>
        <v/>
      </c>
      <c r="CC82" s="32" t="str">
        <f>+IF(CC$3="","",IF($AY82="","",IFERROR(INDEX('Data Consolidada'!$E$7:$E$891,MATCH(CONCATENATE(CC$3,"-",$CP82,"-",$AY82),'Data Consolidada'!$K$7:$K$891,0)),MAX('Data Consolidada'!$E$7:$E$3000))))</f>
        <v/>
      </c>
      <c r="CD82" s="32" t="str">
        <f>+IF(CD$3="","",IF($AY82="","",IFERROR(INDEX('Data Consolidada'!$E$7:$E$891,MATCH(CONCATENATE(CD$3,"-",$CP82,"-",$AY82),'Data Consolidada'!$K$7:$K$891,0)),MAX('Data Consolidada'!$E$7:$E$3000))))</f>
        <v/>
      </c>
      <c r="CE82" s="32" t="str">
        <f>+IF(CE$3="","",IF($AY82="","",IFERROR(INDEX('Data Consolidada'!$E$7:$E$891,MATCH(CONCATENATE(CE$3,"-",$CP82,"-",$AY82),'Data Consolidada'!$K$7:$K$891,0)),MAX('Data Consolidada'!$E$7:$E$3000))))</f>
        <v/>
      </c>
      <c r="CF82" s="32" t="str">
        <f>+IF(CF$3="","",IF($AY82="","",IFERROR(INDEX('Data Consolidada'!$E$7:$E$891,MATCH(CONCATENATE(CF$3,"-",$CP82,"-",$AY82),'Data Consolidada'!$K$7:$K$891,0)),MAX('Data Consolidada'!$E$7:$E$3000))))</f>
        <v/>
      </c>
      <c r="CG82" s="32" t="str">
        <f>+IF(CG$3="","",IF($AY82="","",IFERROR(INDEX('Data Consolidada'!$E$7:$E$891,MATCH(CONCATENATE(CG$3,"-",$CP82,"-",$AY82),'Data Consolidada'!$K$7:$K$891,0)),MAX('Data Consolidada'!$E$7:$E$3000))))</f>
        <v/>
      </c>
      <c r="CH82" s="32" t="str">
        <f>+IF(CH$3="","",IF($AY82="","",IFERROR(INDEX('Data Consolidada'!$E$7:$E$891,MATCH(CONCATENATE(CH$3,"-",$CP82,"-",$AY82),'Data Consolidada'!$K$7:$K$891,0)),MAX('Data Consolidada'!$E$7:$E$3000))))</f>
        <v/>
      </c>
      <c r="CI82" s="32" t="str">
        <f>+IF(CI$3="","",IF($AY82="","",IFERROR(INDEX('Data Consolidada'!$E$7:$E$891,MATCH(CONCATENATE(CI$3,"-",$CP82,"-",$AY82),'Data Consolidada'!$K$7:$K$891,0)),MAX('Data Consolidada'!$E$7:$E$3000))))</f>
        <v/>
      </c>
      <c r="CJ82" s="32" t="str">
        <f>+IF(CJ$3="","",IF($AY82="","",IFERROR(INDEX('Data Consolidada'!$E$7:$E$891,MATCH(CONCATENATE(CJ$3,"-",$CP82,"-",$AY82),'Data Consolidada'!$K$7:$K$891,0)),MAX('Data Consolidada'!$E$7:$E$3000))))</f>
        <v/>
      </c>
      <c r="CK82" s="32" t="str">
        <f>+IF(CK$3="","",IF($AY82="","",IFERROR(INDEX('Data Consolidada'!$E$7:$E$891,MATCH(CONCATENATE(CK$3,"-",$CP82,"-",$AY82),'Data Consolidada'!$K$7:$K$891,0)),MAX('Data Consolidada'!$E$7:$E$3000))))</f>
        <v/>
      </c>
      <c r="CL82" s="32" t="str">
        <f>+IF(CL$3="","",IF($AY82="","",IFERROR(INDEX('Data Consolidada'!$E$7:$E$891,MATCH(CONCATENATE(CL$3,"-",$CP82,"-",$AY82),'Data Consolidada'!$K$7:$K$891,0)),MAX('Data Consolidada'!$E$7:$E$3000))))</f>
        <v/>
      </c>
      <c r="CM82" s="32" t="str">
        <f>+IF(CM$3="","",IF($AY82="","",IFERROR(INDEX('Data Consolidada'!$E$7:$E$891,MATCH(CONCATENATE(CM$3,"-",$CP82,"-",$AY82),'Data Consolidada'!$K$7:$K$891,0)),MAX('Data Consolidada'!$E$7:$E$3000))))</f>
        <v/>
      </c>
      <c r="CN82" s="32" t="str">
        <f>+IF(CN$3="","",IF($AY82="","",IFERROR(INDEX('Data Consolidada'!$E$7:$E$891,MATCH(CONCATENATE(CN$3,"-",$CP82,"-",$AY82),'Data Consolidada'!$K$7:$K$891,0)),MAX('Data Consolidada'!$E$7:$E$3000))))</f>
        <v/>
      </c>
      <c r="CO82" s="37" t="str">
        <f>+IF(CO$3="","",IF($AY82="","",IFERROR(INDEX('Data Consolidada'!$E$7:$E$891,MATCH(CONCATENATE(CO$3,"-",$CP82,"-",$AY82),'Data Consolidada'!$K$7:$K$891,0)),MAX('Data Consolidada'!$E$7:$E$3000))))</f>
        <v/>
      </c>
      <c r="CP82" s="224">
        <f ca="1">+IF(AW82="","",OFFSET($D$9,AW82,0))</f>
        <v>0</v>
      </c>
      <c r="CQ82" s="84" t="str">
        <f t="shared" ca="1" si="39"/>
        <v xml:space="preserve">  TRANS. MORROS LTDA.0</v>
      </c>
    </row>
    <row r="83" spans="2:95" ht="15" customHeight="1" x14ac:dyDescent="0.35">
      <c r="B83" s="218" t="str">
        <f t="shared" ca="1" si="41"/>
        <v>TRANS. MAX SOTO G. E.I.R.L.</v>
      </c>
      <c r="C83" s="238">
        <v>0</v>
      </c>
      <c r="D83" s="239">
        <v>0</v>
      </c>
      <c r="E83" s="239">
        <v>0</v>
      </c>
      <c r="F83" s="239">
        <v>0</v>
      </c>
      <c r="G83" s="239">
        <v>0</v>
      </c>
      <c r="H83" s="239">
        <v>0</v>
      </c>
      <c r="I83" s="239">
        <v>0</v>
      </c>
      <c r="J83" s="239">
        <v>0</v>
      </c>
      <c r="K83" s="239">
        <v>0</v>
      </c>
      <c r="L83" s="239">
        <v>0</v>
      </c>
      <c r="M83" s="239">
        <v>0</v>
      </c>
      <c r="N83" s="240">
        <v>0</v>
      </c>
      <c r="O83" s="239">
        <v>0</v>
      </c>
      <c r="P83" s="239">
        <v>0</v>
      </c>
      <c r="Q83" s="239">
        <v>0</v>
      </c>
      <c r="R83" s="239">
        <v>0</v>
      </c>
      <c r="S83" s="239">
        <v>0</v>
      </c>
      <c r="T83" s="239">
        <v>0</v>
      </c>
      <c r="U83" s="239">
        <v>0</v>
      </c>
      <c r="V83" s="239">
        <v>0</v>
      </c>
      <c r="W83" s="239">
        <v>0</v>
      </c>
      <c r="X83" s="239">
        <v>0</v>
      </c>
      <c r="Y83" s="239">
        <v>0</v>
      </c>
      <c r="Z83" s="239"/>
      <c r="AA83" s="239"/>
      <c r="AB83" s="239"/>
      <c r="AC83" s="239"/>
      <c r="AD83" s="239"/>
      <c r="AE83" s="239"/>
      <c r="AF83" s="239"/>
      <c r="AG83" s="239"/>
      <c r="AH83" s="239"/>
      <c r="AI83" s="239"/>
      <c r="AJ83" s="239"/>
      <c r="AK83" s="239"/>
      <c r="AL83" s="239"/>
      <c r="AM83" s="239"/>
      <c r="AN83" s="239"/>
      <c r="AO83" s="239"/>
      <c r="AP83" s="239"/>
      <c r="AQ83" s="239"/>
      <c r="AR83" s="252"/>
      <c r="AS83" s="77" t="str">
        <f t="shared" ca="1" si="42"/>
        <v>MOSTAZAL</v>
      </c>
      <c r="AT83" s="255">
        <f t="shared" si="43"/>
        <v>0</v>
      </c>
      <c r="AU83" s="51"/>
      <c r="AV83" s="51"/>
      <c r="AW83" s="13">
        <f>+IF(AX83="","",IF(AX83&gt;AX82,AW82,IF(AW82&lt;$D$69,AW82+1,IF(COUNT(AW$4:AW82)&lt;$B$69*$E$54,1,""))))</f>
        <v>7</v>
      </c>
      <c r="AX83" s="13">
        <f>+IF(AX82&lt;$B$69,AX82+1,IF(COUNT(AX$4:AX82)&lt;$B$69*$D$69,1,""))</f>
        <v>2</v>
      </c>
      <c r="AY83" s="189" t="str">
        <f t="shared" ref="AY83:AY146" ca="1" si="44">+IF(AX83="","",OFFSET($B$9,AX83,0))</f>
        <v xml:space="preserve">CRISTIAN LÓPEZ </v>
      </c>
      <c r="AZ83" s="36">
        <f ca="1">+IF(AZ$3="","",IF($AY83="","",IFERROR(INDEX('Data Consolidada'!$E$7:$E$891,MATCH(CONCATENATE(AZ$3,"-",$CP83,"-",$AY83),'Data Consolidada'!$K$7:$K$891,0)),MAX('Data Consolidada'!$E$7:$E$3000))))</f>
        <v>11000000</v>
      </c>
      <c r="BA83" s="32">
        <f ca="1">+IF(BA$3="","",IF($AY83="","",IFERROR(INDEX('Data Consolidada'!$E$7:$E$891,MATCH(CONCATENATE(BA$3,"-",$CP83,"-",$AY83),'Data Consolidada'!$K$7:$K$891,0)),MAX('Data Consolidada'!$E$7:$E$3000))))</f>
        <v>11000000</v>
      </c>
      <c r="BB83" s="32" t="str">
        <f>+IF(BB$3="","",IF($AY83="","",IFERROR(INDEX('Data Consolidada'!$E$7:$E$891,MATCH(CONCATENATE(BB$3,"-",$CP83,"-",$AY83),'Data Consolidada'!$K$7:$K$891,0)),MAX('Data Consolidada'!$E$7:$E$3000))))</f>
        <v/>
      </c>
      <c r="BC83" s="32" t="str">
        <f>+IF(BC$3="","",IF($AY83="","",IFERROR(INDEX('Data Consolidada'!$E$7:$E$891,MATCH(CONCATENATE(BC$3,"-",$CP83,"-",$AY83),'Data Consolidada'!$K$7:$K$891,0)),MAX('Data Consolidada'!$E$7:$E$3000))))</f>
        <v/>
      </c>
      <c r="BD83" s="32" t="str">
        <f>+IF(BD$3="","",IF($AY83="","",IFERROR(INDEX('Data Consolidada'!$E$7:$E$891,MATCH(CONCATENATE(BD$3,"-",$CP83,"-",$AY83),'Data Consolidada'!$K$7:$K$891,0)),MAX('Data Consolidada'!$E$7:$E$3000))))</f>
        <v/>
      </c>
      <c r="BE83" s="32" t="str">
        <f>+IF(BE$3="","",IF($AY83="","",IFERROR(INDEX('Data Consolidada'!$E$7:$E$891,MATCH(CONCATENATE(BE$3,"-",$CP83,"-",$AY83),'Data Consolidada'!$K$7:$K$891,0)),MAX('Data Consolidada'!$E$7:$E$3000))))</f>
        <v/>
      </c>
      <c r="BF83" s="32" t="str">
        <f>+IF(BF$3="","",IF($AY83="","",IFERROR(INDEX('Data Consolidada'!$E$7:$E$891,MATCH(CONCATENATE(BF$3,"-",$CP83,"-",$AY83),'Data Consolidada'!$K$7:$K$891,0)),MAX('Data Consolidada'!$E$7:$E$3000))))</f>
        <v/>
      </c>
      <c r="BG83" s="32" t="str">
        <f>+IF(BG$3="","",IF($AY83="","",IFERROR(INDEX('Data Consolidada'!$E$7:$E$891,MATCH(CONCATENATE(BG$3,"-",$CP83,"-",$AY83),'Data Consolidada'!$K$7:$K$891,0)),MAX('Data Consolidada'!$E$7:$E$3000))))</f>
        <v/>
      </c>
      <c r="BH83" s="32" t="str">
        <f>+IF(BH$3="","",IF($AY83="","",IFERROR(INDEX('Data Consolidada'!$E$7:$E$891,MATCH(CONCATENATE(BH$3,"-",$CP83,"-",$AY83),'Data Consolidada'!$K$7:$K$891,0)),MAX('Data Consolidada'!$E$7:$E$3000))))</f>
        <v/>
      </c>
      <c r="BI83" s="32" t="str">
        <f>+IF(BI$3="","",IF($AY83="","",IFERROR(INDEX('Data Consolidada'!$E$7:$E$891,MATCH(CONCATENATE(BI$3,"-",$CP83,"-",$AY83),'Data Consolidada'!$K$7:$K$891,0)),MAX('Data Consolidada'!$E$7:$E$3000))))</f>
        <v/>
      </c>
      <c r="BJ83" s="32" t="str">
        <f>+IF(BJ$3="","",IF($AY83="","",IFERROR(INDEX('Data Consolidada'!$E$7:$E$891,MATCH(CONCATENATE(BJ$3,"-",$CP83,"-",$AY83),'Data Consolidada'!$K$7:$K$891,0)),MAX('Data Consolidada'!$E$7:$E$3000))))</f>
        <v/>
      </c>
      <c r="BK83" s="32" t="str">
        <f>+IF(BK$3="","",IF($AY83="","",IFERROR(INDEX('Data Consolidada'!$E$7:$E$891,MATCH(CONCATENATE(BK$3,"-",$CP83,"-",$AY83),'Data Consolidada'!$K$7:$K$891,0)),MAX('Data Consolidada'!$E$7:$E$3000))))</f>
        <v/>
      </c>
      <c r="BL83" s="32" t="str">
        <f>+IF(BL$3="","",IF($AY83="","",IFERROR(INDEX('Data Consolidada'!$E$7:$E$891,MATCH(CONCATENATE(BL$3,"-",$CP83,"-",$AY83),'Data Consolidada'!$K$7:$K$891,0)),MAX('Data Consolidada'!$E$7:$E$3000))))</f>
        <v/>
      </c>
      <c r="BM83" s="32" t="str">
        <f>+IF(BM$3="","",IF($AY83="","",IFERROR(INDEX('Data Consolidada'!$E$7:$E$891,MATCH(CONCATENATE(BM$3,"-",$CP83,"-",$AY83),'Data Consolidada'!$K$7:$K$891,0)),MAX('Data Consolidada'!$E$7:$E$3000))))</f>
        <v/>
      </c>
      <c r="BN83" s="32" t="str">
        <f>+IF(BN$3="","",IF($AY83="","",IFERROR(INDEX('Data Consolidada'!$E$7:$E$891,MATCH(CONCATENATE(BN$3,"-",$CP83,"-",$AY83),'Data Consolidada'!$K$7:$K$891,0)),MAX('Data Consolidada'!$E$7:$E$3000))))</f>
        <v/>
      </c>
      <c r="BO83" s="32" t="str">
        <f>+IF(BO$3="","",IF($AY83="","",IFERROR(INDEX('Data Consolidada'!$E$7:$E$891,MATCH(CONCATENATE(BO$3,"-",$CP83,"-",$AY83),'Data Consolidada'!$K$7:$K$891,0)),MAX('Data Consolidada'!$E$7:$E$3000))))</f>
        <v/>
      </c>
      <c r="BP83" s="32" t="str">
        <f>+IF(BP$3="","",IF($AY83="","",IFERROR(INDEX('Data Consolidada'!$E$7:$E$891,MATCH(CONCATENATE(BP$3,"-",$CP83,"-",$AY83),'Data Consolidada'!$K$7:$K$891,0)),MAX('Data Consolidada'!$E$7:$E$3000))))</f>
        <v/>
      </c>
      <c r="BQ83" s="32" t="str">
        <f>+IF(BQ$3="","",IF($AY83="","",IFERROR(INDEX('Data Consolidada'!$E$7:$E$891,MATCH(CONCATENATE(BQ$3,"-",$CP83,"-",$AY83),'Data Consolidada'!$K$7:$K$891,0)),MAX('Data Consolidada'!$E$7:$E$3000))))</f>
        <v/>
      </c>
      <c r="BR83" s="32" t="str">
        <f>+IF(BR$3="","",IF($AY83="","",IFERROR(INDEX('Data Consolidada'!$E$7:$E$891,MATCH(CONCATENATE(BR$3,"-",$CP83,"-",$AY83),'Data Consolidada'!$K$7:$K$891,0)),MAX('Data Consolidada'!$E$7:$E$3000))))</f>
        <v/>
      </c>
      <c r="BS83" s="32" t="str">
        <f>+IF(BS$3="","",IF($AY83="","",IFERROR(INDEX('Data Consolidada'!$E$7:$E$891,MATCH(CONCATENATE(BS$3,"-",$CP83,"-",$AY83),'Data Consolidada'!$K$7:$K$891,0)),MAX('Data Consolidada'!$E$7:$E$3000))))</f>
        <v/>
      </c>
      <c r="BT83" s="32" t="str">
        <f>+IF(BT$3="","",IF($AY83="","",IFERROR(INDEX('Data Consolidada'!$E$7:$E$891,MATCH(CONCATENATE(BT$3,"-",$CP83,"-",$AY83),'Data Consolidada'!$K$7:$K$891,0)),MAX('Data Consolidada'!$E$7:$E$3000))))</f>
        <v/>
      </c>
      <c r="BU83" s="32" t="str">
        <f>+IF(BU$3="","",IF($AY83="","",IFERROR(INDEX('Data Consolidada'!$E$7:$E$891,MATCH(CONCATENATE(BU$3,"-",$CP83,"-",$AY83),'Data Consolidada'!$K$7:$K$891,0)),MAX('Data Consolidada'!$E$7:$E$3000))))</f>
        <v/>
      </c>
      <c r="BV83" s="32" t="str">
        <f>+IF(BV$3="","",IF($AY83="","",IFERROR(INDEX('Data Consolidada'!$E$7:$E$891,MATCH(CONCATENATE(BV$3,"-",$CP83,"-",$AY83),'Data Consolidada'!$K$7:$K$891,0)),MAX('Data Consolidada'!$E$7:$E$3000))))</f>
        <v/>
      </c>
      <c r="BW83" s="32" t="str">
        <f>+IF(BW$3="","",IF($AY83="","",IFERROR(INDEX('Data Consolidada'!$E$7:$E$891,MATCH(CONCATENATE(BW$3,"-",$CP83,"-",$AY83),'Data Consolidada'!$K$7:$K$891,0)),MAX('Data Consolidada'!$E$7:$E$3000))))</f>
        <v/>
      </c>
      <c r="BX83" s="32" t="str">
        <f>+IF(BX$3="","",IF($AY83="","",IFERROR(INDEX('Data Consolidada'!$E$7:$E$891,MATCH(CONCATENATE(BX$3,"-",$CP83,"-",$AY83),'Data Consolidada'!$K$7:$K$891,0)),MAX('Data Consolidada'!$E$7:$E$3000))))</f>
        <v/>
      </c>
      <c r="BY83" s="32" t="str">
        <f>+IF(BY$3="","",IF($AY83="","",IFERROR(INDEX('Data Consolidada'!$E$7:$E$891,MATCH(CONCATENATE(BY$3,"-",$CP83,"-",$AY83),'Data Consolidada'!$K$7:$K$891,0)),MAX('Data Consolidada'!$E$7:$E$3000))))</f>
        <v/>
      </c>
      <c r="BZ83" s="32" t="str">
        <f>+IF(BZ$3="","",IF($AY83="","",IFERROR(INDEX('Data Consolidada'!$E$7:$E$891,MATCH(CONCATENATE(BZ$3,"-",$CP83,"-",$AY83),'Data Consolidada'!$K$7:$K$891,0)),MAX('Data Consolidada'!$E$7:$E$3000))))</f>
        <v/>
      </c>
      <c r="CA83" s="32" t="str">
        <f>+IF(CA$3="","",IF($AY83="","",IFERROR(INDEX('Data Consolidada'!$E$7:$E$891,MATCH(CONCATENATE(CA$3,"-",$CP83,"-",$AY83),'Data Consolidada'!$K$7:$K$891,0)),MAX('Data Consolidada'!$E$7:$E$3000))))</f>
        <v/>
      </c>
      <c r="CB83" s="32" t="str">
        <f>+IF(CB$3="","",IF($AY83="","",IFERROR(INDEX('Data Consolidada'!$E$7:$E$891,MATCH(CONCATENATE(CB$3,"-",$CP83,"-",$AY83),'Data Consolidada'!$K$7:$K$891,0)),MAX('Data Consolidada'!$E$7:$E$3000))))</f>
        <v/>
      </c>
      <c r="CC83" s="32" t="str">
        <f>+IF(CC$3="","",IF($AY83="","",IFERROR(INDEX('Data Consolidada'!$E$7:$E$891,MATCH(CONCATENATE(CC$3,"-",$CP83,"-",$AY83),'Data Consolidada'!$K$7:$K$891,0)),MAX('Data Consolidada'!$E$7:$E$3000))))</f>
        <v/>
      </c>
      <c r="CD83" s="32" t="str">
        <f>+IF(CD$3="","",IF($AY83="","",IFERROR(INDEX('Data Consolidada'!$E$7:$E$891,MATCH(CONCATENATE(CD$3,"-",$CP83,"-",$AY83),'Data Consolidada'!$K$7:$K$891,0)),MAX('Data Consolidada'!$E$7:$E$3000))))</f>
        <v/>
      </c>
      <c r="CE83" s="32" t="str">
        <f>+IF(CE$3="","",IF($AY83="","",IFERROR(INDEX('Data Consolidada'!$E$7:$E$891,MATCH(CONCATENATE(CE$3,"-",$CP83,"-",$AY83),'Data Consolidada'!$K$7:$K$891,0)),MAX('Data Consolidada'!$E$7:$E$3000))))</f>
        <v/>
      </c>
      <c r="CF83" s="32" t="str">
        <f>+IF(CF$3="","",IF($AY83="","",IFERROR(INDEX('Data Consolidada'!$E$7:$E$891,MATCH(CONCATENATE(CF$3,"-",$CP83,"-",$AY83),'Data Consolidada'!$K$7:$K$891,0)),MAX('Data Consolidada'!$E$7:$E$3000))))</f>
        <v/>
      </c>
      <c r="CG83" s="32" t="str">
        <f>+IF(CG$3="","",IF($AY83="","",IFERROR(INDEX('Data Consolidada'!$E$7:$E$891,MATCH(CONCATENATE(CG$3,"-",$CP83,"-",$AY83),'Data Consolidada'!$K$7:$K$891,0)),MAX('Data Consolidada'!$E$7:$E$3000))))</f>
        <v/>
      </c>
      <c r="CH83" s="32" t="str">
        <f>+IF(CH$3="","",IF($AY83="","",IFERROR(INDEX('Data Consolidada'!$E$7:$E$891,MATCH(CONCATENATE(CH$3,"-",$CP83,"-",$AY83),'Data Consolidada'!$K$7:$K$891,0)),MAX('Data Consolidada'!$E$7:$E$3000))))</f>
        <v/>
      </c>
      <c r="CI83" s="32" t="str">
        <f>+IF(CI$3="","",IF($AY83="","",IFERROR(INDEX('Data Consolidada'!$E$7:$E$891,MATCH(CONCATENATE(CI$3,"-",$CP83,"-",$AY83),'Data Consolidada'!$K$7:$K$891,0)),MAX('Data Consolidada'!$E$7:$E$3000))))</f>
        <v/>
      </c>
      <c r="CJ83" s="32" t="str">
        <f>+IF(CJ$3="","",IF($AY83="","",IFERROR(INDEX('Data Consolidada'!$E$7:$E$891,MATCH(CONCATENATE(CJ$3,"-",$CP83,"-",$AY83),'Data Consolidada'!$K$7:$K$891,0)),MAX('Data Consolidada'!$E$7:$E$3000))))</f>
        <v/>
      </c>
      <c r="CK83" s="32" t="str">
        <f>+IF(CK$3="","",IF($AY83="","",IFERROR(INDEX('Data Consolidada'!$E$7:$E$891,MATCH(CONCATENATE(CK$3,"-",$CP83,"-",$AY83),'Data Consolidada'!$K$7:$K$891,0)),MAX('Data Consolidada'!$E$7:$E$3000))))</f>
        <v/>
      </c>
      <c r="CL83" s="32" t="str">
        <f>+IF(CL$3="","",IF($AY83="","",IFERROR(INDEX('Data Consolidada'!$E$7:$E$891,MATCH(CONCATENATE(CL$3,"-",$CP83,"-",$AY83),'Data Consolidada'!$K$7:$K$891,0)),MAX('Data Consolidada'!$E$7:$E$3000))))</f>
        <v/>
      </c>
      <c r="CM83" s="32" t="str">
        <f>+IF(CM$3="","",IF($AY83="","",IFERROR(INDEX('Data Consolidada'!$E$7:$E$891,MATCH(CONCATENATE(CM$3,"-",$CP83,"-",$AY83),'Data Consolidada'!$K$7:$K$891,0)),MAX('Data Consolidada'!$E$7:$E$3000))))</f>
        <v/>
      </c>
      <c r="CN83" s="32" t="str">
        <f>+IF(CN$3="","",IF($AY83="","",IFERROR(INDEX('Data Consolidada'!$E$7:$E$891,MATCH(CONCATENATE(CN$3,"-",$CP83,"-",$AY83),'Data Consolidada'!$K$7:$K$891,0)),MAX('Data Consolidada'!$E$7:$E$3000))))</f>
        <v/>
      </c>
      <c r="CO83" s="37" t="str">
        <f>+IF(CO$3="","",IF($AY83="","",IFERROR(INDEX('Data Consolidada'!$E$7:$E$891,MATCH(CONCATENATE(CO$3,"-",$CP83,"-",$AY83),'Data Consolidada'!$K$7:$K$891,0)),MAX('Data Consolidada'!$E$7:$E$3000))))</f>
        <v/>
      </c>
      <c r="CP83" s="224">
        <f t="shared" ref="CP83:CP146" ca="1" si="45">+IF(AW83="","",OFFSET($D$9,AW83,0))</f>
        <v>0</v>
      </c>
      <c r="CQ83" s="84" t="str">
        <f t="shared" ca="1" si="39"/>
        <v>CRISTIAN LÓPEZ 0</v>
      </c>
    </row>
    <row r="84" spans="2:95" ht="15" customHeight="1" x14ac:dyDescent="0.35">
      <c r="B84" s="218" t="str">
        <f t="shared" ca="1" si="41"/>
        <v>TRANS. MITRE SPA.</v>
      </c>
      <c r="C84" s="238">
        <v>0</v>
      </c>
      <c r="D84" s="239">
        <v>0</v>
      </c>
      <c r="E84" s="239">
        <v>0</v>
      </c>
      <c r="F84" s="239">
        <v>0</v>
      </c>
      <c r="G84" s="239">
        <v>0</v>
      </c>
      <c r="H84" s="239">
        <v>0</v>
      </c>
      <c r="I84" s="239">
        <v>0</v>
      </c>
      <c r="J84" s="239">
        <v>0</v>
      </c>
      <c r="K84" s="239">
        <v>0</v>
      </c>
      <c r="L84" s="239">
        <v>0</v>
      </c>
      <c r="M84" s="239">
        <v>0</v>
      </c>
      <c r="N84" s="240">
        <v>0</v>
      </c>
      <c r="O84" s="239">
        <v>0</v>
      </c>
      <c r="P84" s="239">
        <v>0</v>
      </c>
      <c r="Q84" s="239">
        <v>0</v>
      </c>
      <c r="R84" s="239">
        <v>0</v>
      </c>
      <c r="S84" s="239">
        <v>0</v>
      </c>
      <c r="T84" s="239">
        <v>0</v>
      </c>
      <c r="U84" s="239">
        <v>0</v>
      </c>
      <c r="V84" s="239">
        <v>0</v>
      </c>
      <c r="W84" s="239">
        <v>0</v>
      </c>
      <c r="X84" s="239">
        <v>0</v>
      </c>
      <c r="Y84" s="239">
        <v>0</v>
      </c>
      <c r="Z84" s="239"/>
      <c r="AA84" s="239"/>
      <c r="AB84" s="239"/>
      <c r="AC84" s="239"/>
      <c r="AD84" s="239"/>
      <c r="AE84" s="239"/>
      <c r="AF84" s="239"/>
      <c r="AG84" s="239"/>
      <c r="AH84" s="239"/>
      <c r="AI84" s="239"/>
      <c r="AJ84" s="239"/>
      <c r="AK84" s="239"/>
      <c r="AL84" s="239"/>
      <c r="AM84" s="239"/>
      <c r="AN84" s="239"/>
      <c r="AO84" s="239"/>
      <c r="AP84" s="239"/>
      <c r="AQ84" s="239"/>
      <c r="AR84" s="252"/>
      <c r="AS84" s="77" t="str">
        <f t="shared" ca="1" si="42"/>
        <v>MOSTAZAL</v>
      </c>
      <c r="AT84" s="255">
        <f t="shared" si="43"/>
        <v>0</v>
      </c>
      <c r="AU84" s="51"/>
      <c r="AV84" s="51"/>
      <c r="AW84" s="13">
        <f>+IF(AX84="","",IF(AX84&gt;AX83,AW83,IF(AW83&lt;$D$69,AW83+1,IF(COUNT(AW$4:AW83)&lt;$B$69*$E$54,1,""))))</f>
        <v>7</v>
      </c>
      <c r="AX84" s="13">
        <f>+IF(AX83&lt;$B$69,AX83+1,IF(COUNT(AX$4:AX83)&lt;$B$69*$D$69,1,""))</f>
        <v>3</v>
      </c>
      <c r="AY84" s="189" t="str">
        <f t="shared" ca="1" si="44"/>
        <v xml:space="preserve">GUSTAVO ZÚÑIGA </v>
      </c>
      <c r="AZ84" s="36">
        <f ca="1">+IF(AZ$3="","",IF($AY84="","",IFERROR(INDEX('Data Consolidada'!$E$7:$E$891,MATCH(CONCATENATE(AZ$3,"-",$CP84,"-",$AY84),'Data Consolidada'!$K$7:$K$891,0)),MAX('Data Consolidada'!$E$7:$E$3000))))</f>
        <v>11000000</v>
      </c>
      <c r="BA84" s="32">
        <f ca="1">+IF(BA$3="","",IF($AY84="","",IFERROR(INDEX('Data Consolidada'!$E$7:$E$891,MATCH(CONCATENATE(BA$3,"-",$CP84,"-",$AY84),'Data Consolidada'!$K$7:$K$891,0)),MAX('Data Consolidada'!$E$7:$E$3000))))</f>
        <v>11000000</v>
      </c>
      <c r="BB84" s="32" t="str">
        <f>+IF(BB$3="","",IF($AY84="","",IFERROR(INDEX('Data Consolidada'!$E$7:$E$891,MATCH(CONCATENATE(BB$3,"-",$CP84,"-",$AY84),'Data Consolidada'!$K$7:$K$891,0)),MAX('Data Consolidada'!$E$7:$E$3000))))</f>
        <v/>
      </c>
      <c r="BC84" s="32" t="str">
        <f>+IF(BC$3="","",IF($AY84="","",IFERROR(INDEX('Data Consolidada'!$E$7:$E$891,MATCH(CONCATENATE(BC$3,"-",$CP84,"-",$AY84),'Data Consolidada'!$K$7:$K$891,0)),MAX('Data Consolidada'!$E$7:$E$3000))))</f>
        <v/>
      </c>
      <c r="BD84" s="32" t="str">
        <f>+IF(BD$3="","",IF($AY84="","",IFERROR(INDEX('Data Consolidada'!$E$7:$E$891,MATCH(CONCATENATE(BD$3,"-",$CP84,"-",$AY84),'Data Consolidada'!$K$7:$K$891,0)),MAX('Data Consolidada'!$E$7:$E$3000))))</f>
        <v/>
      </c>
      <c r="BE84" s="32" t="str">
        <f>+IF(BE$3="","",IF($AY84="","",IFERROR(INDEX('Data Consolidada'!$E$7:$E$891,MATCH(CONCATENATE(BE$3,"-",$CP84,"-",$AY84),'Data Consolidada'!$K$7:$K$891,0)),MAX('Data Consolidada'!$E$7:$E$3000))))</f>
        <v/>
      </c>
      <c r="BF84" s="32" t="str">
        <f>+IF(BF$3="","",IF($AY84="","",IFERROR(INDEX('Data Consolidada'!$E$7:$E$891,MATCH(CONCATENATE(BF$3,"-",$CP84,"-",$AY84),'Data Consolidada'!$K$7:$K$891,0)),MAX('Data Consolidada'!$E$7:$E$3000))))</f>
        <v/>
      </c>
      <c r="BG84" s="32" t="str">
        <f>+IF(BG$3="","",IF($AY84="","",IFERROR(INDEX('Data Consolidada'!$E$7:$E$891,MATCH(CONCATENATE(BG$3,"-",$CP84,"-",$AY84),'Data Consolidada'!$K$7:$K$891,0)),MAX('Data Consolidada'!$E$7:$E$3000))))</f>
        <v/>
      </c>
      <c r="BH84" s="32" t="str">
        <f>+IF(BH$3="","",IF($AY84="","",IFERROR(INDEX('Data Consolidada'!$E$7:$E$891,MATCH(CONCATENATE(BH$3,"-",$CP84,"-",$AY84),'Data Consolidada'!$K$7:$K$891,0)),MAX('Data Consolidada'!$E$7:$E$3000))))</f>
        <v/>
      </c>
      <c r="BI84" s="32" t="str">
        <f>+IF(BI$3="","",IF($AY84="","",IFERROR(INDEX('Data Consolidada'!$E$7:$E$891,MATCH(CONCATENATE(BI$3,"-",$CP84,"-",$AY84),'Data Consolidada'!$K$7:$K$891,0)),MAX('Data Consolidada'!$E$7:$E$3000))))</f>
        <v/>
      </c>
      <c r="BJ84" s="32" t="str">
        <f>+IF(BJ$3="","",IF($AY84="","",IFERROR(INDEX('Data Consolidada'!$E$7:$E$891,MATCH(CONCATENATE(BJ$3,"-",$CP84,"-",$AY84),'Data Consolidada'!$K$7:$K$891,0)),MAX('Data Consolidada'!$E$7:$E$3000))))</f>
        <v/>
      </c>
      <c r="BK84" s="32" t="str">
        <f>+IF(BK$3="","",IF($AY84="","",IFERROR(INDEX('Data Consolidada'!$E$7:$E$891,MATCH(CONCATENATE(BK$3,"-",$CP84,"-",$AY84),'Data Consolidada'!$K$7:$K$891,0)),MAX('Data Consolidada'!$E$7:$E$3000))))</f>
        <v/>
      </c>
      <c r="BL84" s="32" t="str">
        <f>+IF(BL$3="","",IF($AY84="","",IFERROR(INDEX('Data Consolidada'!$E$7:$E$891,MATCH(CONCATENATE(BL$3,"-",$CP84,"-",$AY84),'Data Consolidada'!$K$7:$K$891,0)),MAX('Data Consolidada'!$E$7:$E$3000))))</f>
        <v/>
      </c>
      <c r="BM84" s="32" t="str">
        <f>+IF(BM$3="","",IF($AY84="","",IFERROR(INDEX('Data Consolidada'!$E$7:$E$891,MATCH(CONCATENATE(BM$3,"-",$CP84,"-",$AY84),'Data Consolidada'!$K$7:$K$891,0)),MAX('Data Consolidada'!$E$7:$E$3000))))</f>
        <v/>
      </c>
      <c r="BN84" s="32" t="str">
        <f>+IF(BN$3="","",IF($AY84="","",IFERROR(INDEX('Data Consolidada'!$E$7:$E$891,MATCH(CONCATENATE(BN$3,"-",$CP84,"-",$AY84),'Data Consolidada'!$K$7:$K$891,0)),MAX('Data Consolidada'!$E$7:$E$3000))))</f>
        <v/>
      </c>
      <c r="BO84" s="32" t="str">
        <f>+IF(BO$3="","",IF($AY84="","",IFERROR(INDEX('Data Consolidada'!$E$7:$E$891,MATCH(CONCATENATE(BO$3,"-",$CP84,"-",$AY84),'Data Consolidada'!$K$7:$K$891,0)),MAX('Data Consolidada'!$E$7:$E$3000))))</f>
        <v/>
      </c>
      <c r="BP84" s="32" t="str">
        <f>+IF(BP$3="","",IF($AY84="","",IFERROR(INDEX('Data Consolidada'!$E$7:$E$891,MATCH(CONCATENATE(BP$3,"-",$CP84,"-",$AY84),'Data Consolidada'!$K$7:$K$891,0)),MAX('Data Consolidada'!$E$7:$E$3000))))</f>
        <v/>
      </c>
      <c r="BQ84" s="32" t="str">
        <f>+IF(BQ$3="","",IF($AY84="","",IFERROR(INDEX('Data Consolidada'!$E$7:$E$891,MATCH(CONCATENATE(BQ$3,"-",$CP84,"-",$AY84),'Data Consolidada'!$K$7:$K$891,0)),MAX('Data Consolidada'!$E$7:$E$3000))))</f>
        <v/>
      </c>
      <c r="BR84" s="32" t="str">
        <f>+IF(BR$3="","",IF($AY84="","",IFERROR(INDEX('Data Consolidada'!$E$7:$E$891,MATCH(CONCATENATE(BR$3,"-",$CP84,"-",$AY84),'Data Consolidada'!$K$7:$K$891,0)),MAX('Data Consolidada'!$E$7:$E$3000))))</f>
        <v/>
      </c>
      <c r="BS84" s="32" t="str">
        <f>+IF(BS$3="","",IF($AY84="","",IFERROR(INDEX('Data Consolidada'!$E$7:$E$891,MATCH(CONCATENATE(BS$3,"-",$CP84,"-",$AY84),'Data Consolidada'!$K$7:$K$891,0)),MAX('Data Consolidada'!$E$7:$E$3000))))</f>
        <v/>
      </c>
      <c r="BT84" s="32" t="str">
        <f>+IF(BT$3="","",IF($AY84="","",IFERROR(INDEX('Data Consolidada'!$E$7:$E$891,MATCH(CONCATENATE(BT$3,"-",$CP84,"-",$AY84),'Data Consolidada'!$K$7:$K$891,0)),MAX('Data Consolidada'!$E$7:$E$3000))))</f>
        <v/>
      </c>
      <c r="BU84" s="32" t="str">
        <f>+IF(BU$3="","",IF($AY84="","",IFERROR(INDEX('Data Consolidada'!$E$7:$E$891,MATCH(CONCATENATE(BU$3,"-",$CP84,"-",$AY84),'Data Consolidada'!$K$7:$K$891,0)),MAX('Data Consolidada'!$E$7:$E$3000))))</f>
        <v/>
      </c>
      <c r="BV84" s="32" t="str">
        <f>+IF(BV$3="","",IF($AY84="","",IFERROR(INDEX('Data Consolidada'!$E$7:$E$891,MATCH(CONCATENATE(BV$3,"-",$CP84,"-",$AY84),'Data Consolidada'!$K$7:$K$891,0)),MAX('Data Consolidada'!$E$7:$E$3000))))</f>
        <v/>
      </c>
      <c r="BW84" s="32" t="str">
        <f>+IF(BW$3="","",IF($AY84="","",IFERROR(INDEX('Data Consolidada'!$E$7:$E$891,MATCH(CONCATENATE(BW$3,"-",$CP84,"-",$AY84),'Data Consolidada'!$K$7:$K$891,0)),MAX('Data Consolidada'!$E$7:$E$3000))))</f>
        <v/>
      </c>
      <c r="BX84" s="32" t="str">
        <f>+IF(BX$3="","",IF($AY84="","",IFERROR(INDEX('Data Consolidada'!$E$7:$E$891,MATCH(CONCATENATE(BX$3,"-",$CP84,"-",$AY84),'Data Consolidada'!$K$7:$K$891,0)),MAX('Data Consolidada'!$E$7:$E$3000))))</f>
        <v/>
      </c>
      <c r="BY84" s="32" t="str">
        <f>+IF(BY$3="","",IF($AY84="","",IFERROR(INDEX('Data Consolidada'!$E$7:$E$891,MATCH(CONCATENATE(BY$3,"-",$CP84,"-",$AY84),'Data Consolidada'!$K$7:$K$891,0)),MAX('Data Consolidada'!$E$7:$E$3000))))</f>
        <v/>
      </c>
      <c r="BZ84" s="32" t="str">
        <f>+IF(BZ$3="","",IF($AY84="","",IFERROR(INDEX('Data Consolidada'!$E$7:$E$891,MATCH(CONCATENATE(BZ$3,"-",$CP84,"-",$AY84),'Data Consolidada'!$K$7:$K$891,0)),MAX('Data Consolidada'!$E$7:$E$3000))))</f>
        <v/>
      </c>
      <c r="CA84" s="32" t="str">
        <f>+IF(CA$3="","",IF($AY84="","",IFERROR(INDEX('Data Consolidada'!$E$7:$E$891,MATCH(CONCATENATE(CA$3,"-",$CP84,"-",$AY84),'Data Consolidada'!$K$7:$K$891,0)),MAX('Data Consolidada'!$E$7:$E$3000))))</f>
        <v/>
      </c>
      <c r="CB84" s="32" t="str">
        <f>+IF(CB$3="","",IF($AY84="","",IFERROR(INDEX('Data Consolidada'!$E$7:$E$891,MATCH(CONCATENATE(CB$3,"-",$CP84,"-",$AY84),'Data Consolidada'!$K$7:$K$891,0)),MAX('Data Consolidada'!$E$7:$E$3000))))</f>
        <v/>
      </c>
      <c r="CC84" s="32" t="str">
        <f>+IF(CC$3="","",IF($AY84="","",IFERROR(INDEX('Data Consolidada'!$E$7:$E$891,MATCH(CONCATENATE(CC$3,"-",$CP84,"-",$AY84),'Data Consolidada'!$K$7:$K$891,0)),MAX('Data Consolidada'!$E$7:$E$3000))))</f>
        <v/>
      </c>
      <c r="CD84" s="32" t="str">
        <f>+IF(CD$3="","",IF($AY84="","",IFERROR(INDEX('Data Consolidada'!$E$7:$E$891,MATCH(CONCATENATE(CD$3,"-",$CP84,"-",$AY84),'Data Consolidada'!$K$7:$K$891,0)),MAX('Data Consolidada'!$E$7:$E$3000))))</f>
        <v/>
      </c>
      <c r="CE84" s="32" t="str">
        <f>+IF(CE$3="","",IF($AY84="","",IFERROR(INDEX('Data Consolidada'!$E$7:$E$891,MATCH(CONCATENATE(CE$3,"-",$CP84,"-",$AY84),'Data Consolidada'!$K$7:$K$891,0)),MAX('Data Consolidada'!$E$7:$E$3000))))</f>
        <v/>
      </c>
      <c r="CF84" s="32" t="str">
        <f>+IF(CF$3="","",IF($AY84="","",IFERROR(INDEX('Data Consolidada'!$E$7:$E$891,MATCH(CONCATENATE(CF$3,"-",$CP84,"-",$AY84),'Data Consolidada'!$K$7:$K$891,0)),MAX('Data Consolidada'!$E$7:$E$3000))))</f>
        <v/>
      </c>
      <c r="CG84" s="32" t="str">
        <f>+IF(CG$3="","",IF($AY84="","",IFERROR(INDEX('Data Consolidada'!$E$7:$E$891,MATCH(CONCATENATE(CG$3,"-",$CP84,"-",$AY84),'Data Consolidada'!$K$7:$K$891,0)),MAX('Data Consolidada'!$E$7:$E$3000))))</f>
        <v/>
      </c>
      <c r="CH84" s="32" t="str">
        <f>+IF(CH$3="","",IF($AY84="","",IFERROR(INDEX('Data Consolidada'!$E$7:$E$891,MATCH(CONCATENATE(CH$3,"-",$CP84,"-",$AY84),'Data Consolidada'!$K$7:$K$891,0)),MAX('Data Consolidada'!$E$7:$E$3000))))</f>
        <v/>
      </c>
      <c r="CI84" s="32" t="str">
        <f>+IF(CI$3="","",IF($AY84="","",IFERROR(INDEX('Data Consolidada'!$E$7:$E$891,MATCH(CONCATENATE(CI$3,"-",$CP84,"-",$AY84),'Data Consolidada'!$K$7:$K$891,0)),MAX('Data Consolidada'!$E$7:$E$3000))))</f>
        <v/>
      </c>
      <c r="CJ84" s="32" t="str">
        <f>+IF(CJ$3="","",IF($AY84="","",IFERROR(INDEX('Data Consolidada'!$E$7:$E$891,MATCH(CONCATENATE(CJ$3,"-",$CP84,"-",$AY84),'Data Consolidada'!$K$7:$K$891,0)),MAX('Data Consolidada'!$E$7:$E$3000))))</f>
        <v/>
      </c>
      <c r="CK84" s="32" t="str">
        <f>+IF(CK$3="","",IF($AY84="","",IFERROR(INDEX('Data Consolidada'!$E$7:$E$891,MATCH(CONCATENATE(CK$3,"-",$CP84,"-",$AY84),'Data Consolidada'!$K$7:$K$891,0)),MAX('Data Consolidada'!$E$7:$E$3000))))</f>
        <v/>
      </c>
      <c r="CL84" s="32" t="str">
        <f>+IF(CL$3="","",IF($AY84="","",IFERROR(INDEX('Data Consolidada'!$E$7:$E$891,MATCH(CONCATENATE(CL$3,"-",$CP84,"-",$AY84),'Data Consolidada'!$K$7:$K$891,0)),MAX('Data Consolidada'!$E$7:$E$3000))))</f>
        <v/>
      </c>
      <c r="CM84" s="32" t="str">
        <f>+IF(CM$3="","",IF($AY84="","",IFERROR(INDEX('Data Consolidada'!$E$7:$E$891,MATCH(CONCATENATE(CM$3,"-",$CP84,"-",$AY84),'Data Consolidada'!$K$7:$K$891,0)),MAX('Data Consolidada'!$E$7:$E$3000))))</f>
        <v/>
      </c>
      <c r="CN84" s="32" t="str">
        <f>+IF(CN$3="","",IF($AY84="","",IFERROR(INDEX('Data Consolidada'!$E$7:$E$891,MATCH(CONCATENATE(CN$3,"-",$CP84,"-",$AY84),'Data Consolidada'!$K$7:$K$891,0)),MAX('Data Consolidada'!$E$7:$E$3000))))</f>
        <v/>
      </c>
      <c r="CO84" s="37" t="str">
        <f>+IF(CO$3="","",IF($AY84="","",IFERROR(INDEX('Data Consolidada'!$E$7:$E$891,MATCH(CONCATENATE(CO$3,"-",$CP84,"-",$AY84),'Data Consolidada'!$K$7:$K$891,0)),MAX('Data Consolidada'!$E$7:$E$3000))))</f>
        <v/>
      </c>
      <c r="CP84" s="224">
        <f t="shared" ca="1" si="45"/>
        <v>0</v>
      </c>
      <c r="CQ84" s="84" t="str">
        <f t="shared" ca="1" si="39"/>
        <v>GUSTAVO ZÚÑIGA 0</v>
      </c>
    </row>
    <row r="85" spans="2:95" ht="15" customHeight="1" x14ac:dyDescent="0.35">
      <c r="B85" s="218" t="str">
        <f t="shared" ca="1" si="41"/>
        <v xml:space="preserve">  TRANS. MORROS LTDA.</v>
      </c>
      <c r="C85" s="238">
        <v>0</v>
      </c>
      <c r="D85" s="239">
        <v>0</v>
      </c>
      <c r="E85" s="239">
        <v>0</v>
      </c>
      <c r="F85" s="239">
        <v>0</v>
      </c>
      <c r="G85" s="239">
        <v>0</v>
      </c>
      <c r="H85" s="239">
        <v>0</v>
      </c>
      <c r="I85" s="239">
        <v>0</v>
      </c>
      <c r="J85" s="239">
        <v>0</v>
      </c>
      <c r="K85" s="239">
        <v>0</v>
      </c>
      <c r="L85" s="239">
        <v>0</v>
      </c>
      <c r="M85" s="239">
        <v>0</v>
      </c>
      <c r="N85" s="240">
        <v>0</v>
      </c>
      <c r="O85" s="239">
        <v>0</v>
      </c>
      <c r="P85" s="239">
        <v>0</v>
      </c>
      <c r="Q85" s="239">
        <v>0</v>
      </c>
      <c r="R85" s="239">
        <v>0</v>
      </c>
      <c r="S85" s="239">
        <v>0</v>
      </c>
      <c r="T85" s="239">
        <v>0</v>
      </c>
      <c r="U85" s="239">
        <v>0</v>
      </c>
      <c r="V85" s="239">
        <v>0</v>
      </c>
      <c r="W85" s="239">
        <v>0</v>
      </c>
      <c r="X85" s="239">
        <v>0</v>
      </c>
      <c r="Y85" s="239">
        <v>0</v>
      </c>
      <c r="Z85" s="239"/>
      <c r="AA85" s="239"/>
      <c r="AB85" s="239"/>
      <c r="AC85" s="239"/>
      <c r="AD85" s="239"/>
      <c r="AE85" s="239"/>
      <c r="AF85" s="239"/>
      <c r="AG85" s="239"/>
      <c r="AH85" s="239"/>
      <c r="AI85" s="239"/>
      <c r="AJ85" s="239"/>
      <c r="AK85" s="239"/>
      <c r="AL85" s="239"/>
      <c r="AM85" s="239"/>
      <c r="AN85" s="239"/>
      <c r="AO85" s="239"/>
      <c r="AP85" s="239"/>
      <c r="AQ85" s="239"/>
      <c r="AR85" s="252"/>
      <c r="AS85" s="77" t="str">
        <f t="shared" ca="1" si="42"/>
        <v>MOSTAZAL</v>
      </c>
      <c r="AT85" s="255">
        <f t="shared" si="43"/>
        <v>0</v>
      </c>
      <c r="AU85" s="51"/>
      <c r="AV85" s="51"/>
      <c r="AW85" s="13">
        <f>+IF(AX85="","",IF(AX85&gt;AX84,AW84,IF(AW84&lt;$D$69,AW84+1,IF(COUNT(AW$4:AW84)&lt;$B$69*$E$54,1,""))))</f>
        <v>7</v>
      </c>
      <c r="AX85" s="13">
        <f>+IF(AX84&lt;$B$69,AX84+1,IF(COUNT(AX$4:AX84)&lt;$B$69*$D$69,1,""))</f>
        <v>4</v>
      </c>
      <c r="AY85" s="189" t="str">
        <f t="shared" ca="1" si="44"/>
        <v>LAVALLE</v>
      </c>
      <c r="AZ85" s="36">
        <f ca="1">+IF(AZ$3="","",IF($AY85="","",IFERROR(INDEX('Data Consolidada'!$E$7:$E$891,MATCH(CONCATENATE(AZ$3,"-",$CP85,"-",$AY85),'Data Consolidada'!$K$7:$K$891,0)),MAX('Data Consolidada'!$E$7:$E$3000))))</f>
        <v>11000000</v>
      </c>
      <c r="BA85" s="32">
        <f ca="1">+IF(BA$3="","",IF($AY85="","",IFERROR(INDEX('Data Consolidada'!$E$7:$E$891,MATCH(CONCATENATE(BA$3,"-",$CP85,"-",$AY85),'Data Consolidada'!$K$7:$K$891,0)),MAX('Data Consolidada'!$E$7:$E$3000))))</f>
        <v>11000000</v>
      </c>
      <c r="BB85" s="32" t="str">
        <f>+IF(BB$3="","",IF($AY85="","",IFERROR(INDEX('Data Consolidada'!$E$7:$E$891,MATCH(CONCATENATE(BB$3,"-",$CP85,"-",$AY85),'Data Consolidada'!$K$7:$K$891,0)),MAX('Data Consolidada'!$E$7:$E$3000))))</f>
        <v/>
      </c>
      <c r="BC85" s="32" t="str">
        <f>+IF(BC$3="","",IF($AY85="","",IFERROR(INDEX('Data Consolidada'!$E$7:$E$891,MATCH(CONCATENATE(BC$3,"-",$CP85,"-",$AY85),'Data Consolidada'!$K$7:$K$891,0)),MAX('Data Consolidada'!$E$7:$E$3000))))</f>
        <v/>
      </c>
      <c r="BD85" s="32" t="str">
        <f>+IF(BD$3="","",IF($AY85="","",IFERROR(INDEX('Data Consolidada'!$E$7:$E$891,MATCH(CONCATENATE(BD$3,"-",$CP85,"-",$AY85),'Data Consolidada'!$K$7:$K$891,0)),MAX('Data Consolidada'!$E$7:$E$3000))))</f>
        <v/>
      </c>
      <c r="BE85" s="32" t="str">
        <f>+IF(BE$3="","",IF($AY85="","",IFERROR(INDEX('Data Consolidada'!$E$7:$E$891,MATCH(CONCATENATE(BE$3,"-",$CP85,"-",$AY85),'Data Consolidada'!$K$7:$K$891,0)),MAX('Data Consolidada'!$E$7:$E$3000))))</f>
        <v/>
      </c>
      <c r="BF85" s="32" t="str">
        <f>+IF(BF$3="","",IF($AY85="","",IFERROR(INDEX('Data Consolidada'!$E$7:$E$891,MATCH(CONCATENATE(BF$3,"-",$CP85,"-",$AY85),'Data Consolidada'!$K$7:$K$891,0)),MAX('Data Consolidada'!$E$7:$E$3000))))</f>
        <v/>
      </c>
      <c r="BG85" s="32" t="str">
        <f>+IF(BG$3="","",IF($AY85="","",IFERROR(INDEX('Data Consolidada'!$E$7:$E$891,MATCH(CONCATENATE(BG$3,"-",$CP85,"-",$AY85),'Data Consolidada'!$K$7:$K$891,0)),MAX('Data Consolidada'!$E$7:$E$3000))))</f>
        <v/>
      </c>
      <c r="BH85" s="32" t="str">
        <f>+IF(BH$3="","",IF($AY85="","",IFERROR(INDEX('Data Consolidada'!$E$7:$E$891,MATCH(CONCATENATE(BH$3,"-",$CP85,"-",$AY85),'Data Consolidada'!$K$7:$K$891,0)),MAX('Data Consolidada'!$E$7:$E$3000))))</f>
        <v/>
      </c>
      <c r="BI85" s="32" t="str">
        <f>+IF(BI$3="","",IF($AY85="","",IFERROR(INDEX('Data Consolidada'!$E$7:$E$891,MATCH(CONCATENATE(BI$3,"-",$CP85,"-",$AY85),'Data Consolidada'!$K$7:$K$891,0)),MAX('Data Consolidada'!$E$7:$E$3000))))</f>
        <v/>
      </c>
      <c r="BJ85" s="32" t="str">
        <f>+IF(BJ$3="","",IF($AY85="","",IFERROR(INDEX('Data Consolidada'!$E$7:$E$891,MATCH(CONCATENATE(BJ$3,"-",$CP85,"-",$AY85),'Data Consolidada'!$K$7:$K$891,0)),MAX('Data Consolidada'!$E$7:$E$3000))))</f>
        <v/>
      </c>
      <c r="BK85" s="32" t="str">
        <f>+IF(BK$3="","",IF($AY85="","",IFERROR(INDEX('Data Consolidada'!$E$7:$E$891,MATCH(CONCATENATE(BK$3,"-",$CP85,"-",$AY85),'Data Consolidada'!$K$7:$K$891,0)),MAX('Data Consolidada'!$E$7:$E$3000))))</f>
        <v/>
      </c>
      <c r="BL85" s="32" t="str">
        <f>+IF(BL$3="","",IF($AY85="","",IFERROR(INDEX('Data Consolidada'!$E$7:$E$891,MATCH(CONCATENATE(BL$3,"-",$CP85,"-",$AY85),'Data Consolidada'!$K$7:$K$891,0)),MAX('Data Consolidada'!$E$7:$E$3000))))</f>
        <v/>
      </c>
      <c r="BM85" s="32" t="str">
        <f>+IF(BM$3="","",IF($AY85="","",IFERROR(INDEX('Data Consolidada'!$E$7:$E$891,MATCH(CONCATENATE(BM$3,"-",$CP85,"-",$AY85),'Data Consolidada'!$K$7:$K$891,0)),MAX('Data Consolidada'!$E$7:$E$3000))))</f>
        <v/>
      </c>
      <c r="BN85" s="32" t="str">
        <f>+IF(BN$3="","",IF($AY85="","",IFERROR(INDEX('Data Consolidada'!$E$7:$E$891,MATCH(CONCATENATE(BN$3,"-",$CP85,"-",$AY85),'Data Consolidada'!$K$7:$K$891,0)),MAX('Data Consolidada'!$E$7:$E$3000))))</f>
        <v/>
      </c>
      <c r="BO85" s="32" t="str">
        <f>+IF(BO$3="","",IF($AY85="","",IFERROR(INDEX('Data Consolidada'!$E$7:$E$891,MATCH(CONCATENATE(BO$3,"-",$CP85,"-",$AY85),'Data Consolidada'!$K$7:$K$891,0)),MAX('Data Consolidada'!$E$7:$E$3000))))</f>
        <v/>
      </c>
      <c r="BP85" s="32" t="str">
        <f>+IF(BP$3="","",IF($AY85="","",IFERROR(INDEX('Data Consolidada'!$E$7:$E$891,MATCH(CONCATENATE(BP$3,"-",$CP85,"-",$AY85),'Data Consolidada'!$K$7:$K$891,0)),MAX('Data Consolidada'!$E$7:$E$3000))))</f>
        <v/>
      </c>
      <c r="BQ85" s="32" t="str">
        <f>+IF(BQ$3="","",IF($AY85="","",IFERROR(INDEX('Data Consolidada'!$E$7:$E$891,MATCH(CONCATENATE(BQ$3,"-",$CP85,"-",$AY85),'Data Consolidada'!$K$7:$K$891,0)),MAX('Data Consolidada'!$E$7:$E$3000))))</f>
        <v/>
      </c>
      <c r="BR85" s="32" t="str">
        <f>+IF(BR$3="","",IF($AY85="","",IFERROR(INDEX('Data Consolidada'!$E$7:$E$891,MATCH(CONCATENATE(BR$3,"-",$CP85,"-",$AY85),'Data Consolidada'!$K$7:$K$891,0)),MAX('Data Consolidada'!$E$7:$E$3000))))</f>
        <v/>
      </c>
      <c r="BS85" s="32" t="str">
        <f>+IF(BS$3="","",IF($AY85="","",IFERROR(INDEX('Data Consolidada'!$E$7:$E$891,MATCH(CONCATENATE(BS$3,"-",$CP85,"-",$AY85),'Data Consolidada'!$K$7:$K$891,0)),MAX('Data Consolidada'!$E$7:$E$3000))))</f>
        <v/>
      </c>
      <c r="BT85" s="32" t="str">
        <f>+IF(BT$3="","",IF($AY85="","",IFERROR(INDEX('Data Consolidada'!$E$7:$E$891,MATCH(CONCATENATE(BT$3,"-",$CP85,"-",$AY85),'Data Consolidada'!$K$7:$K$891,0)),MAX('Data Consolidada'!$E$7:$E$3000))))</f>
        <v/>
      </c>
      <c r="BU85" s="32" t="str">
        <f>+IF(BU$3="","",IF($AY85="","",IFERROR(INDEX('Data Consolidada'!$E$7:$E$891,MATCH(CONCATENATE(BU$3,"-",$CP85,"-",$AY85),'Data Consolidada'!$K$7:$K$891,0)),MAX('Data Consolidada'!$E$7:$E$3000))))</f>
        <v/>
      </c>
      <c r="BV85" s="32" t="str">
        <f>+IF(BV$3="","",IF($AY85="","",IFERROR(INDEX('Data Consolidada'!$E$7:$E$891,MATCH(CONCATENATE(BV$3,"-",$CP85,"-",$AY85),'Data Consolidada'!$K$7:$K$891,0)),MAX('Data Consolidada'!$E$7:$E$3000))))</f>
        <v/>
      </c>
      <c r="BW85" s="32" t="str">
        <f>+IF(BW$3="","",IF($AY85="","",IFERROR(INDEX('Data Consolidada'!$E$7:$E$891,MATCH(CONCATENATE(BW$3,"-",$CP85,"-",$AY85),'Data Consolidada'!$K$7:$K$891,0)),MAX('Data Consolidada'!$E$7:$E$3000))))</f>
        <v/>
      </c>
      <c r="BX85" s="32" t="str">
        <f>+IF(BX$3="","",IF($AY85="","",IFERROR(INDEX('Data Consolidada'!$E$7:$E$891,MATCH(CONCATENATE(BX$3,"-",$CP85,"-",$AY85),'Data Consolidada'!$K$7:$K$891,0)),MAX('Data Consolidada'!$E$7:$E$3000))))</f>
        <v/>
      </c>
      <c r="BY85" s="32" t="str">
        <f>+IF(BY$3="","",IF($AY85="","",IFERROR(INDEX('Data Consolidada'!$E$7:$E$891,MATCH(CONCATENATE(BY$3,"-",$CP85,"-",$AY85),'Data Consolidada'!$K$7:$K$891,0)),MAX('Data Consolidada'!$E$7:$E$3000))))</f>
        <v/>
      </c>
      <c r="BZ85" s="32" t="str">
        <f>+IF(BZ$3="","",IF($AY85="","",IFERROR(INDEX('Data Consolidada'!$E$7:$E$891,MATCH(CONCATENATE(BZ$3,"-",$CP85,"-",$AY85),'Data Consolidada'!$K$7:$K$891,0)),MAX('Data Consolidada'!$E$7:$E$3000))))</f>
        <v/>
      </c>
      <c r="CA85" s="32" t="str">
        <f>+IF(CA$3="","",IF($AY85="","",IFERROR(INDEX('Data Consolidada'!$E$7:$E$891,MATCH(CONCATENATE(CA$3,"-",$CP85,"-",$AY85),'Data Consolidada'!$K$7:$K$891,0)),MAX('Data Consolidada'!$E$7:$E$3000))))</f>
        <v/>
      </c>
      <c r="CB85" s="32" t="str">
        <f>+IF(CB$3="","",IF($AY85="","",IFERROR(INDEX('Data Consolidada'!$E$7:$E$891,MATCH(CONCATENATE(CB$3,"-",$CP85,"-",$AY85),'Data Consolidada'!$K$7:$K$891,0)),MAX('Data Consolidada'!$E$7:$E$3000))))</f>
        <v/>
      </c>
      <c r="CC85" s="32" t="str">
        <f>+IF(CC$3="","",IF($AY85="","",IFERROR(INDEX('Data Consolidada'!$E$7:$E$891,MATCH(CONCATENATE(CC$3,"-",$CP85,"-",$AY85),'Data Consolidada'!$K$7:$K$891,0)),MAX('Data Consolidada'!$E$7:$E$3000))))</f>
        <v/>
      </c>
      <c r="CD85" s="32" t="str">
        <f>+IF(CD$3="","",IF($AY85="","",IFERROR(INDEX('Data Consolidada'!$E$7:$E$891,MATCH(CONCATENATE(CD$3,"-",$CP85,"-",$AY85),'Data Consolidada'!$K$7:$K$891,0)),MAX('Data Consolidada'!$E$7:$E$3000))))</f>
        <v/>
      </c>
      <c r="CE85" s="32" t="str">
        <f>+IF(CE$3="","",IF($AY85="","",IFERROR(INDEX('Data Consolidada'!$E$7:$E$891,MATCH(CONCATENATE(CE$3,"-",$CP85,"-",$AY85),'Data Consolidada'!$K$7:$K$891,0)),MAX('Data Consolidada'!$E$7:$E$3000))))</f>
        <v/>
      </c>
      <c r="CF85" s="32" t="str">
        <f>+IF(CF$3="","",IF($AY85="","",IFERROR(INDEX('Data Consolidada'!$E$7:$E$891,MATCH(CONCATENATE(CF$3,"-",$CP85,"-",$AY85),'Data Consolidada'!$K$7:$K$891,0)),MAX('Data Consolidada'!$E$7:$E$3000))))</f>
        <v/>
      </c>
      <c r="CG85" s="32" t="str">
        <f>+IF(CG$3="","",IF($AY85="","",IFERROR(INDEX('Data Consolidada'!$E$7:$E$891,MATCH(CONCATENATE(CG$3,"-",$CP85,"-",$AY85),'Data Consolidada'!$K$7:$K$891,0)),MAX('Data Consolidada'!$E$7:$E$3000))))</f>
        <v/>
      </c>
      <c r="CH85" s="32" t="str">
        <f>+IF(CH$3="","",IF($AY85="","",IFERROR(INDEX('Data Consolidada'!$E$7:$E$891,MATCH(CONCATENATE(CH$3,"-",$CP85,"-",$AY85),'Data Consolidada'!$K$7:$K$891,0)),MAX('Data Consolidada'!$E$7:$E$3000))))</f>
        <v/>
      </c>
      <c r="CI85" s="32" t="str">
        <f>+IF(CI$3="","",IF($AY85="","",IFERROR(INDEX('Data Consolidada'!$E$7:$E$891,MATCH(CONCATENATE(CI$3,"-",$CP85,"-",$AY85),'Data Consolidada'!$K$7:$K$891,0)),MAX('Data Consolidada'!$E$7:$E$3000))))</f>
        <v/>
      </c>
      <c r="CJ85" s="32" t="str">
        <f>+IF(CJ$3="","",IF($AY85="","",IFERROR(INDEX('Data Consolidada'!$E$7:$E$891,MATCH(CONCATENATE(CJ$3,"-",$CP85,"-",$AY85),'Data Consolidada'!$K$7:$K$891,0)),MAX('Data Consolidada'!$E$7:$E$3000))))</f>
        <v/>
      </c>
      <c r="CK85" s="32" t="str">
        <f>+IF(CK$3="","",IF($AY85="","",IFERROR(INDEX('Data Consolidada'!$E$7:$E$891,MATCH(CONCATENATE(CK$3,"-",$CP85,"-",$AY85),'Data Consolidada'!$K$7:$K$891,0)),MAX('Data Consolidada'!$E$7:$E$3000))))</f>
        <v/>
      </c>
      <c r="CL85" s="32" t="str">
        <f>+IF(CL$3="","",IF($AY85="","",IFERROR(INDEX('Data Consolidada'!$E$7:$E$891,MATCH(CONCATENATE(CL$3,"-",$CP85,"-",$AY85),'Data Consolidada'!$K$7:$K$891,0)),MAX('Data Consolidada'!$E$7:$E$3000))))</f>
        <v/>
      </c>
      <c r="CM85" s="32" t="str">
        <f>+IF(CM$3="","",IF($AY85="","",IFERROR(INDEX('Data Consolidada'!$E$7:$E$891,MATCH(CONCATENATE(CM$3,"-",$CP85,"-",$AY85),'Data Consolidada'!$K$7:$K$891,0)),MAX('Data Consolidada'!$E$7:$E$3000))))</f>
        <v/>
      </c>
      <c r="CN85" s="32" t="str">
        <f>+IF(CN$3="","",IF($AY85="","",IFERROR(INDEX('Data Consolidada'!$E$7:$E$891,MATCH(CONCATENATE(CN$3,"-",$CP85,"-",$AY85),'Data Consolidada'!$K$7:$K$891,0)),MAX('Data Consolidada'!$E$7:$E$3000))))</f>
        <v/>
      </c>
      <c r="CO85" s="37" t="str">
        <f>+IF(CO$3="","",IF($AY85="","",IFERROR(INDEX('Data Consolidada'!$E$7:$E$891,MATCH(CONCATENATE(CO$3,"-",$CP85,"-",$AY85),'Data Consolidada'!$K$7:$K$891,0)),MAX('Data Consolidada'!$E$7:$E$3000))))</f>
        <v/>
      </c>
      <c r="CP85" s="224">
        <f t="shared" ca="1" si="45"/>
        <v>0</v>
      </c>
      <c r="CQ85" s="84" t="str">
        <f t="shared" ca="1" si="39"/>
        <v>LAVALLE0</v>
      </c>
    </row>
    <row r="86" spans="2:95" ht="15" customHeight="1" x14ac:dyDescent="0.35">
      <c r="B86" s="218" t="str">
        <f t="shared" ca="1" si="41"/>
        <v xml:space="preserve">CRISTIAN LÓPEZ </v>
      </c>
      <c r="C86" s="238">
        <v>0</v>
      </c>
      <c r="D86" s="239">
        <v>0</v>
      </c>
      <c r="E86" s="239">
        <v>0</v>
      </c>
      <c r="F86" s="239">
        <v>0</v>
      </c>
      <c r="G86" s="239">
        <v>0</v>
      </c>
      <c r="H86" s="239">
        <v>0</v>
      </c>
      <c r="I86" s="239">
        <v>0</v>
      </c>
      <c r="J86" s="239">
        <v>0</v>
      </c>
      <c r="K86" s="239">
        <v>0</v>
      </c>
      <c r="L86" s="239">
        <v>0</v>
      </c>
      <c r="M86" s="239">
        <v>0</v>
      </c>
      <c r="N86" s="240">
        <v>0</v>
      </c>
      <c r="O86" s="239">
        <v>0</v>
      </c>
      <c r="P86" s="239">
        <v>0</v>
      </c>
      <c r="Q86" s="239">
        <v>0</v>
      </c>
      <c r="R86" s="239">
        <v>0</v>
      </c>
      <c r="S86" s="239">
        <v>0</v>
      </c>
      <c r="T86" s="239">
        <v>0</v>
      </c>
      <c r="U86" s="239">
        <v>0</v>
      </c>
      <c r="V86" s="239">
        <v>0</v>
      </c>
      <c r="W86" s="239">
        <v>0</v>
      </c>
      <c r="X86" s="239">
        <v>0</v>
      </c>
      <c r="Y86" s="239">
        <v>0</v>
      </c>
      <c r="Z86" s="239"/>
      <c r="AA86" s="239"/>
      <c r="AB86" s="239"/>
      <c r="AC86" s="239"/>
      <c r="AD86" s="239"/>
      <c r="AE86" s="239"/>
      <c r="AF86" s="239"/>
      <c r="AG86" s="239"/>
      <c r="AH86" s="239"/>
      <c r="AI86" s="239"/>
      <c r="AJ86" s="239"/>
      <c r="AK86" s="239"/>
      <c r="AL86" s="239"/>
      <c r="AM86" s="239"/>
      <c r="AN86" s="239"/>
      <c r="AO86" s="239"/>
      <c r="AP86" s="239"/>
      <c r="AQ86" s="239"/>
      <c r="AR86" s="252"/>
      <c r="AS86" s="77" t="str">
        <f t="shared" ca="1" si="42"/>
        <v>MOSTAZAL</v>
      </c>
      <c r="AT86" s="255">
        <f t="shared" si="43"/>
        <v>0</v>
      </c>
      <c r="AU86" s="51"/>
      <c r="AV86" s="51"/>
      <c r="AW86" s="13">
        <f>+IF(AX86="","",IF(AX86&gt;AX85,AW85,IF(AW85&lt;$D$69,AW85+1,IF(COUNT(AW$4:AW85)&lt;$B$69*$E$54,1,""))))</f>
        <v>7</v>
      </c>
      <c r="AX86" s="13">
        <f>+IF(AX85&lt;$B$69,AX85+1,IF(COUNT(AX$4:AX85)&lt;$B$69*$D$69,1,""))</f>
        <v>5</v>
      </c>
      <c r="AY86" s="189" t="str">
        <f t="shared" ca="1" si="44"/>
        <v>MACEBE</v>
      </c>
      <c r="AZ86" s="36">
        <f ca="1">+IF(AZ$3="","",IF($AY86="","",IFERROR(INDEX('Data Consolidada'!$E$7:$E$891,MATCH(CONCATENATE(AZ$3,"-",$CP86,"-",$AY86),'Data Consolidada'!$K$7:$K$891,0)),MAX('Data Consolidada'!$E$7:$E$3000))))</f>
        <v>11000000</v>
      </c>
      <c r="BA86" s="32">
        <f ca="1">+IF(BA$3="","",IF($AY86="","",IFERROR(INDEX('Data Consolidada'!$E$7:$E$891,MATCH(CONCATENATE(BA$3,"-",$CP86,"-",$AY86),'Data Consolidada'!$K$7:$K$891,0)),MAX('Data Consolidada'!$E$7:$E$3000))))</f>
        <v>11000000</v>
      </c>
      <c r="BB86" s="32" t="str">
        <f>+IF(BB$3="","",IF($AY86="","",IFERROR(INDEX('Data Consolidada'!$E$7:$E$891,MATCH(CONCATENATE(BB$3,"-",$CP86,"-",$AY86),'Data Consolidada'!$K$7:$K$891,0)),MAX('Data Consolidada'!$E$7:$E$3000))))</f>
        <v/>
      </c>
      <c r="BC86" s="32" t="str">
        <f>+IF(BC$3="","",IF($AY86="","",IFERROR(INDEX('Data Consolidada'!$E$7:$E$891,MATCH(CONCATENATE(BC$3,"-",$CP86,"-",$AY86),'Data Consolidada'!$K$7:$K$891,0)),MAX('Data Consolidada'!$E$7:$E$3000))))</f>
        <v/>
      </c>
      <c r="BD86" s="32" t="str">
        <f>+IF(BD$3="","",IF($AY86="","",IFERROR(INDEX('Data Consolidada'!$E$7:$E$891,MATCH(CONCATENATE(BD$3,"-",$CP86,"-",$AY86),'Data Consolidada'!$K$7:$K$891,0)),MAX('Data Consolidada'!$E$7:$E$3000))))</f>
        <v/>
      </c>
      <c r="BE86" s="32" t="str">
        <f>+IF(BE$3="","",IF($AY86="","",IFERROR(INDEX('Data Consolidada'!$E$7:$E$891,MATCH(CONCATENATE(BE$3,"-",$CP86,"-",$AY86),'Data Consolidada'!$K$7:$K$891,0)),MAX('Data Consolidada'!$E$7:$E$3000))))</f>
        <v/>
      </c>
      <c r="BF86" s="32" t="str">
        <f>+IF(BF$3="","",IF($AY86="","",IFERROR(INDEX('Data Consolidada'!$E$7:$E$891,MATCH(CONCATENATE(BF$3,"-",$CP86,"-",$AY86),'Data Consolidada'!$K$7:$K$891,0)),MAX('Data Consolidada'!$E$7:$E$3000))))</f>
        <v/>
      </c>
      <c r="BG86" s="32" t="str">
        <f>+IF(BG$3="","",IF($AY86="","",IFERROR(INDEX('Data Consolidada'!$E$7:$E$891,MATCH(CONCATENATE(BG$3,"-",$CP86,"-",$AY86),'Data Consolidada'!$K$7:$K$891,0)),MAX('Data Consolidada'!$E$7:$E$3000))))</f>
        <v/>
      </c>
      <c r="BH86" s="32" t="str">
        <f>+IF(BH$3="","",IF($AY86="","",IFERROR(INDEX('Data Consolidada'!$E$7:$E$891,MATCH(CONCATENATE(BH$3,"-",$CP86,"-",$AY86),'Data Consolidada'!$K$7:$K$891,0)),MAX('Data Consolidada'!$E$7:$E$3000))))</f>
        <v/>
      </c>
      <c r="BI86" s="32" t="str">
        <f>+IF(BI$3="","",IF($AY86="","",IFERROR(INDEX('Data Consolidada'!$E$7:$E$891,MATCH(CONCATENATE(BI$3,"-",$CP86,"-",$AY86),'Data Consolidada'!$K$7:$K$891,0)),MAX('Data Consolidada'!$E$7:$E$3000))))</f>
        <v/>
      </c>
      <c r="BJ86" s="32" t="str">
        <f>+IF(BJ$3="","",IF($AY86="","",IFERROR(INDEX('Data Consolidada'!$E$7:$E$891,MATCH(CONCATENATE(BJ$3,"-",$CP86,"-",$AY86),'Data Consolidada'!$K$7:$K$891,0)),MAX('Data Consolidada'!$E$7:$E$3000))))</f>
        <v/>
      </c>
      <c r="BK86" s="32" t="str">
        <f>+IF(BK$3="","",IF($AY86="","",IFERROR(INDEX('Data Consolidada'!$E$7:$E$891,MATCH(CONCATENATE(BK$3,"-",$CP86,"-",$AY86),'Data Consolidada'!$K$7:$K$891,0)),MAX('Data Consolidada'!$E$7:$E$3000))))</f>
        <v/>
      </c>
      <c r="BL86" s="32" t="str">
        <f>+IF(BL$3="","",IF($AY86="","",IFERROR(INDEX('Data Consolidada'!$E$7:$E$891,MATCH(CONCATENATE(BL$3,"-",$CP86,"-",$AY86),'Data Consolidada'!$K$7:$K$891,0)),MAX('Data Consolidada'!$E$7:$E$3000))))</f>
        <v/>
      </c>
      <c r="BM86" s="32" t="str">
        <f>+IF(BM$3="","",IF($AY86="","",IFERROR(INDEX('Data Consolidada'!$E$7:$E$891,MATCH(CONCATENATE(BM$3,"-",$CP86,"-",$AY86),'Data Consolidada'!$K$7:$K$891,0)),MAX('Data Consolidada'!$E$7:$E$3000))))</f>
        <v/>
      </c>
      <c r="BN86" s="32" t="str">
        <f>+IF(BN$3="","",IF($AY86="","",IFERROR(INDEX('Data Consolidada'!$E$7:$E$891,MATCH(CONCATENATE(BN$3,"-",$CP86,"-",$AY86),'Data Consolidada'!$K$7:$K$891,0)),MAX('Data Consolidada'!$E$7:$E$3000))))</f>
        <v/>
      </c>
      <c r="BO86" s="32" t="str">
        <f>+IF(BO$3="","",IF($AY86="","",IFERROR(INDEX('Data Consolidada'!$E$7:$E$891,MATCH(CONCATENATE(BO$3,"-",$CP86,"-",$AY86),'Data Consolidada'!$K$7:$K$891,0)),MAX('Data Consolidada'!$E$7:$E$3000))))</f>
        <v/>
      </c>
      <c r="BP86" s="32" t="str">
        <f>+IF(BP$3="","",IF($AY86="","",IFERROR(INDEX('Data Consolidada'!$E$7:$E$891,MATCH(CONCATENATE(BP$3,"-",$CP86,"-",$AY86),'Data Consolidada'!$K$7:$K$891,0)),MAX('Data Consolidada'!$E$7:$E$3000))))</f>
        <v/>
      </c>
      <c r="BQ86" s="32" t="str">
        <f>+IF(BQ$3="","",IF($AY86="","",IFERROR(INDEX('Data Consolidada'!$E$7:$E$891,MATCH(CONCATENATE(BQ$3,"-",$CP86,"-",$AY86),'Data Consolidada'!$K$7:$K$891,0)),MAX('Data Consolidada'!$E$7:$E$3000))))</f>
        <v/>
      </c>
      <c r="BR86" s="32" t="str">
        <f>+IF(BR$3="","",IF($AY86="","",IFERROR(INDEX('Data Consolidada'!$E$7:$E$891,MATCH(CONCATENATE(BR$3,"-",$CP86,"-",$AY86),'Data Consolidada'!$K$7:$K$891,0)),MAX('Data Consolidada'!$E$7:$E$3000))))</f>
        <v/>
      </c>
      <c r="BS86" s="32" t="str">
        <f>+IF(BS$3="","",IF($AY86="","",IFERROR(INDEX('Data Consolidada'!$E$7:$E$891,MATCH(CONCATENATE(BS$3,"-",$CP86,"-",$AY86),'Data Consolidada'!$K$7:$K$891,0)),MAX('Data Consolidada'!$E$7:$E$3000))))</f>
        <v/>
      </c>
      <c r="BT86" s="32" t="str">
        <f>+IF(BT$3="","",IF($AY86="","",IFERROR(INDEX('Data Consolidada'!$E$7:$E$891,MATCH(CONCATENATE(BT$3,"-",$CP86,"-",$AY86),'Data Consolidada'!$K$7:$K$891,0)),MAX('Data Consolidada'!$E$7:$E$3000))))</f>
        <v/>
      </c>
      <c r="BU86" s="32" t="str">
        <f>+IF(BU$3="","",IF($AY86="","",IFERROR(INDEX('Data Consolidada'!$E$7:$E$891,MATCH(CONCATENATE(BU$3,"-",$CP86,"-",$AY86),'Data Consolidada'!$K$7:$K$891,0)),MAX('Data Consolidada'!$E$7:$E$3000))))</f>
        <v/>
      </c>
      <c r="BV86" s="32" t="str">
        <f>+IF(BV$3="","",IF($AY86="","",IFERROR(INDEX('Data Consolidada'!$E$7:$E$891,MATCH(CONCATENATE(BV$3,"-",$CP86,"-",$AY86),'Data Consolidada'!$K$7:$K$891,0)),MAX('Data Consolidada'!$E$7:$E$3000))))</f>
        <v/>
      </c>
      <c r="BW86" s="32" t="str">
        <f>+IF(BW$3="","",IF($AY86="","",IFERROR(INDEX('Data Consolidada'!$E$7:$E$891,MATCH(CONCATENATE(BW$3,"-",$CP86,"-",$AY86),'Data Consolidada'!$K$7:$K$891,0)),MAX('Data Consolidada'!$E$7:$E$3000))))</f>
        <v/>
      </c>
      <c r="BX86" s="32" t="str">
        <f>+IF(BX$3="","",IF($AY86="","",IFERROR(INDEX('Data Consolidada'!$E$7:$E$891,MATCH(CONCATENATE(BX$3,"-",$CP86,"-",$AY86),'Data Consolidada'!$K$7:$K$891,0)),MAX('Data Consolidada'!$E$7:$E$3000))))</f>
        <v/>
      </c>
      <c r="BY86" s="32" t="str">
        <f>+IF(BY$3="","",IF($AY86="","",IFERROR(INDEX('Data Consolidada'!$E$7:$E$891,MATCH(CONCATENATE(BY$3,"-",$CP86,"-",$AY86),'Data Consolidada'!$K$7:$K$891,0)),MAX('Data Consolidada'!$E$7:$E$3000))))</f>
        <v/>
      </c>
      <c r="BZ86" s="32" t="str">
        <f>+IF(BZ$3="","",IF($AY86="","",IFERROR(INDEX('Data Consolidada'!$E$7:$E$891,MATCH(CONCATENATE(BZ$3,"-",$CP86,"-",$AY86),'Data Consolidada'!$K$7:$K$891,0)),MAX('Data Consolidada'!$E$7:$E$3000))))</f>
        <v/>
      </c>
      <c r="CA86" s="32" t="str">
        <f>+IF(CA$3="","",IF($AY86="","",IFERROR(INDEX('Data Consolidada'!$E$7:$E$891,MATCH(CONCATENATE(CA$3,"-",$CP86,"-",$AY86),'Data Consolidada'!$K$7:$K$891,0)),MAX('Data Consolidada'!$E$7:$E$3000))))</f>
        <v/>
      </c>
      <c r="CB86" s="32" t="str">
        <f>+IF(CB$3="","",IF($AY86="","",IFERROR(INDEX('Data Consolidada'!$E$7:$E$891,MATCH(CONCATENATE(CB$3,"-",$CP86,"-",$AY86),'Data Consolidada'!$K$7:$K$891,0)),MAX('Data Consolidada'!$E$7:$E$3000))))</f>
        <v/>
      </c>
      <c r="CC86" s="32" t="str">
        <f>+IF(CC$3="","",IF($AY86="","",IFERROR(INDEX('Data Consolidada'!$E$7:$E$891,MATCH(CONCATENATE(CC$3,"-",$CP86,"-",$AY86),'Data Consolidada'!$K$7:$K$891,0)),MAX('Data Consolidada'!$E$7:$E$3000))))</f>
        <v/>
      </c>
      <c r="CD86" s="32" t="str">
        <f>+IF(CD$3="","",IF($AY86="","",IFERROR(INDEX('Data Consolidada'!$E$7:$E$891,MATCH(CONCATENATE(CD$3,"-",$CP86,"-",$AY86),'Data Consolidada'!$K$7:$K$891,0)),MAX('Data Consolidada'!$E$7:$E$3000))))</f>
        <v/>
      </c>
      <c r="CE86" s="32" t="str">
        <f>+IF(CE$3="","",IF($AY86="","",IFERROR(INDEX('Data Consolidada'!$E$7:$E$891,MATCH(CONCATENATE(CE$3,"-",$CP86,"-",$AY86),'Data Consolidada'!$K$7:$K$891,0)),MAX('Data Consolidada'!$E$7:$E$3000))))</f>
        <v/>
      </c>
      <c r="CF86" s="32" t="str">
        <f>+IF(CF$3="","",IF($AY86="","",IFERROR(INDEX('Data Consolidada'!$E$7:$E$891,MATCH(CONCATENATE(CF$3,"-",$CP86,"-",$AY86),'Data Consolidada'!$K$7:$K$891,0)),MAX('Data Consolidada'!$E$7:$E$3000))))</f>
        <v/>
      </c>
      <c r="CG86" s="32" t="str">
        <f>+IF(CG$3="","",IF($AY86="","",IFERROR(INDEX('Data Consolidada'!$E$7:$E$891,MATCH(CONCATENATE(CG$3,"-",$CP86,"-",$AY86),'Data Consolidada'!$K$7:$K$891,0)),MAX('Data Consolidada'!$E$7:$E$3000))))</f>
        <v/>
      </c>
      <c r="CH86" s="32" t="str">
        <f>+IF(CH$3="","",IF($AY86="","",IFERROR(INDEX('Data Consolidada'!$E$7:$E$891,MATCH(CONCATENATE(CH$3,"-",$CP86,"-",$AY86),'Data Consolidada'!$K$7:$K$891,0)),MAX('Data Consolidada'!$E$7:$E$3000))))</f>
        <v/>
      </c>
      <c r="CI86" s="32" t="str">
        <f>+IF(CI$3="","",IF($AY86="","",IFERROR(INDEX('Data Consolidada'!$E$7:$E$891,MATCH(CONCATENATE(CI$3,"-",$CP86,"-",$AY86),'Data Consolidada'!$K$7:$K$891,0)),MAX('Data Consolidada'!$E$7:$E$3000))))</f>
        <v/>
      </c>
      <c r="CJ86" s="32" t="str">
        <f>+IF(CJ$3="","",IF($AY86="","",IFERROR(INDEX('Data Consolidada'!$E$7:$E$891,MATCH(CONCATENATE(CJ$3,"-",$CP86,"-",$AY86),'Data Consolidada'!$K$7:$K$891,0)),MAX('Data Consolidada'!$E$7:$E$3000))))</f>
        <v/>
      </c>
      <c r="CK86" s="32" t="str">
        <f>+IF(CK$3="","",IF($AY86="","",IFERROR(INDEX('Data Consolidada'!$E$7:$E$891,MATCH(CONCATENATE(CK$3,"-",$CP86,"-",$AY86),'Data Consolidada'!$K$7:$K$891,0)),MAX('Data Consolidada'!$E$7:$E$3000))))</f>
        <v/>
      </c>
      <c r="CL86" s="32" t="str">
        <f>+IF(CL$3="","",IF($AY86="","",IFERROR(INDEX('Data Consolidada'!$E$7:$E$891,MATCH(CONCATENATE(CL$3,"-",$CP86,"-",$AY86),'Data Consolidada'!$K$7:$K$891,0)),MAX('Data Consolidada'!$E$7:$E$3000))))</f>
        <v/>
      </c>
      <c r="CM86" s="32" t="str">
        <f>+IF(CM$3="","",IF($AY86="","",IFERROR(INDEX('Data Consolidada'!$E$7:$E$891,MATCH(CONCATENATE(CM$3,"-",$CP86,"-",$AY86),'Data Consolidada'!$K$7:$K$891,0)),MAX('Data Consolidada'!$E$7:$E$3000))))</f>
        <v/>
      </c>
      <c r="CN86" s="32" t="str">
        <f>+IF(CN$3="","",IF($AY86="","",IFERROR(INDEX('Data Consolidada'!$E$7:$E$891,MATCH(CONCATENATE(CN$3,"-",$CP86,"-",$AY86),'Data Consolidada'!$K$7:$K$891,0)),MAX('Data Consolidada'!$E$7:$E$3000))))</f>
        <v/>
      </c>
      <c r="CO86" s="37" t="str">
        <f>+IF(CO$3="","",IF($AY86="","",IFERROR(INDEX('Data Consolidada'!$E$7:$E$891,MATCH(CONCATENATE(CO$3,"-",$CP86,"-",$AY86),'Data Consolidada'!$K$7:$K$891,0)),MAX('Data Consolidada'!$E$7:$E$3000))))</f>
        <v/>
      </c>
      <c r="CP86" s="224">
        <f t="shared" ca="1" si="45"/>
        <v>0</v>
      </c>
      <c r="CQ86" s="84" t="str">
        <f t="shared" ca="1" si="39"/>
        <v>MACEBE0</v>
      </c>
    </row>
    <row r="87" spans="2:95" ht="15" customHeight="1" x14ac:dyDescent="0.35">
      <c r="B87" s="218" t="str">
        <f t="shared" ca="1" si="41"/>
        <v xml:space="preserve">GUSTAVO ZÚÑIGA </v>
      </c>
      <c r="C87" s="238">
        <v>0</v>
      </c>
      <c r="D87" s="239">
        <v>0</v>
      </c>
      <c r="E87" s="239">
        <v>0</v>
      </c>
      <c r="F87" s="239">
        <v>0</v>
      </c>
      <c r="G87" s="239">
        <v>0</v>
      </c>
      <c r="H87" s="239">
        <v>0</v>
      </c>
      <c r="I87" s="239">
        <v>0</v>
      </c>
      <c r="J87" s="239">
        <v>0</v>
      </c>
      <c r="K87" s="239">
        <v>0</v>
      </c>
      <c r="L87" s="239">
        <v>0</v>
      </c>
      <c r="M87" s="239">
        <v>0</v>
      </c>
      <c r="N87" s="240">
        <v>0</v>
      </c>
      <c r="O87" s="239">
        <v>0</v>
      </c>
      <c r="P87" s="239">
        <v>0</v>
      </c>
      <c r="Q87" s="239">
        <v>0</v>
      </c>
      <c r="R87" s="239">
        <v>0</v>
      </c>
      <c r="S87" s="239">
        <v>0</v>
      </c>
      <c r="T87" s="239">
        <v>0</v>
      </c>
      <c r="U87" s="239">
        <v>0</v>
      </c>
      <c r="V87" s="239">
        <v>0</v>
      </c>
      <c r="W87" s="239">
        <v>0</v>
      </c>
      <c r="X87" s="239">
        <v>0</v>
      </c>
      <c r="Y87" s="239">
        <v>0</v>
      </c>
      <c r="Z87" s="239"/>
      <c r="AA87" s="239"/>
      <c r="AB87" s="239"/>
      <c r="AC87" s="239"/>
      <c r="AD87" s="239"/>
      <c r="AE87" s="239"/>
      <c r="AF87" s="239"/>
      <c r="AG87" s="239"/>
      <c r="AH87" s="239"/>
      <c r="AI87" s="239"/>
      <c r="AJ87" s="239"/>
      <c r="AK87" s="239"/>
      <c r="AL87" s="239"/>
      <c r="AM87" s="239"/>
      <c r="AN87" s="239"/>
      <c r="AO87" s="239"/>
      <c r="AP87" s="239"/>
      <c r="AQ87" s="239"/>
      <c r="AR87" s="252"/>
      <c r="AS87" s="77" t="str">
        <f t="shared" ca="1" si="42"/>
        <v>MOSTAZAL</v>
      </c>
      <c r="AT87" s="255">
        <f t="shared" si="43"/>
        <v>0</v>
      </c>
      <c r="AU87" s="51"/>
      <c r="AV87" s="51"/>
      <c r="AW87" s="13">
        <f>+IF(AX87="","",IF(AX87&gt;AX86,AW86,IF(AW86&lt;$D$69,AW86+1,IF(COUNT(AW$4:AW86)&lt;$B$69*$E$54,1,""))))</f>
        <v>7</v>
      </c>
      <c r="AX87" s="13">
        <f>+IF(AX86&lt;$B$69,AX86+1,IF(COUNT(AX$4:AX86)&lt;$B$69*$D$69,1,""))</f>
        <v>6</v>
      </c>
      <c r="AY87" s="189" t="str">
        <f t="shared" ca="1" si="44"/>
        <v xml:space="preserve">Manuel Sepúlveda </v>
      </c>
      <c r="AZ87" s="36">
        <f ca="1">+IF(AZ$3="","",IF($AY87="","",IFERROR(INDEX('Data Consolidada'!$E$7:$E$891,MATCH(CONCATENATE(AZ$3,"-",$CP87,"-",$AY87),'Data Consolidada'!$K$7:$K$891,0)),MAX('Data Consolidada'!$E$7:$E$3000))))</f>
        <v>11000000</v>
      </c>
      <c r="BA87" s="32">
        <f ca="1">+IF(BA$3="","",IF($AY87="","",IFERROR(INDEX('Data Consolidada'!$E$7:$E$891,MATCH(CONCATENATE(BA$3,"-",$CP87,"-",$AY87),'Data Consolidada'!$K$7:$K$891,0)),MAX('Data Consolidada'!$E$7:$E$3000))))</f>
        <v>11000000</v>
      </c>
      <c r="BB87" s="32" t="str">
        <f>+IF(BB$3="","",IF($AY87="","",IFERROR(INDEX('Data Consolidada'!$E$7:$E$891,MATCH(CONCATENATE(BB$3,"-",$CP87,"-",$AY87),'Data Consolidada'!$K$7:$K$891,0)),MAX('Data Consolidada'!$E$7:$E$3000))))</f>
        <v/>
      </c>
      <c r="BC87" s="32" t="str">
        <f>+IF(BC$3="","",IF($AY87="","",IFERROR(INDEX('Data Consolidada'!$E$7:$E$891,MATCH(CONCATENATE(BC$3,"-",$CP87,"-",$AY87),'Data Consolidada'!$K$7:$K$891,0)),MAX('Data Consolidada'!$E$7:$E$3000))))</f>
        <v/>
      </c>
      <c r="BD87" s="32" t="str">
        <f>+IF(BD$3="","",IF($AY87="","",IFERROR(INDEX('Data Consolidada'!$E$7:$E$891,MATCH(CONCATENATE(BD$3,"-",$CP87,"-",$AY87),'Data Consolidada'!$K$7:$K$891,0)),MAX('Data Consolidada'!$E$7:$E$3000))))</f>
        <v/>
      </c>
      <c r="BE87" s="32" t="str">
        <f>+IF(BE$3="","",IF($AY87="","",IFERROR(INDEX('Data Consolidada'!$E$7:$E$891,MATCH(CONCATENATE(BE$3,"-",$CP87,"-",$AY87),'Data Consolidada'!$K$7:$K$891,0)),MAX('Data Consolidada'!$E$7:$E$3000))))</f>
        <v/>
      </c>
      <c r="BF87" s="32" t="str">
        <f>+IF(BF$3="","",IF($AY87="","",IFERROR(INDEX('Data Consolidada'!$E$7:$E$891,MATCH(CONCATENATE(BF$3,"-",$CP87,"-",$AY87),'Data Consolidada'!$K$7:$K$891,0)),MAX('Data Consolidada'!$E$7:$E$3000))))</f>
        <v/>
      </c>
      <c r="BG87" s="32" t="str">
        <f>+IF(BG$3="","",IF($AY87="","",IFERROR(INDEX('Data Consolidada'!$E$7:$E$891,MATCH(CONCATENATE(BG$3,"-",$CP87,"-",$AY87),'Data Consolidada'!$K$7:$K$891,0)),MAX('Data Consolidada'!$E$7:$E$3000))))</f>
        <v/>
      </c>
      <c r="BH87" s="32" t="str">
        <f>+IF(BH$3="","",IF($AY87="","",IFERROR(INDEX('Data Consolidada'!$E$7:$E$891,MATCH(CONCATENATE(BH$3,"-",$CP87,"-",$AY87),'Data Consolidada'!$K$7:$K$891,0)),MAX('Data Consolidada'!$E$7:$E$3000))))</f>
        <v/>
      </c>
      <c r="BI87" s="32" t="str">
        <f>+IF(BI$3="","",IF($AY87="","",IFERROR(INDEX('Data Consolidada'!$E$7:$E$891,MATCH(CONCATENATE(BI$3,"-",$CP87,"-",$AY87),'Data Consolidada'!$K$7:$K$891,0)),MAX('Data Consolidada'!$E$7:$E$3000))))</f>
        <v/>
      </c>
      <c r="BJ87" s="32" t="str">
        <f>+IF(BJ$3="","",IF($AY87="","",IFERROR(INDEX('Data Consolidada'!$E$7:$E$891,MATCH(CONCATENATE(BJ$3,"-",$CP87,"-",$AY87),'Data Consolidada'!$K$7:$K$891,0)),MAX('Data Consolidada'!$E$7:$E$3000))))</f>
        <v/>
      </c>
      <c r="BK87" s="32" t="str">
        <f>+IF(BK$3="","",IF($AY87="","",IFERROR(INDEX('Data Consolidada'!$E$7:$E$891,MATCH(CONCATENATE(BK$3,"-",$CP87,"-",$AY87),'Data Consolidada'!$K$7:$K$891,0)),MAX('Data Consolidada'!$E$7:$E$3000))))</f>
        <v/>
      </c>
      <c r="BL87" s="32" t="str">
        <f>+IF(BL$3="","",IF($AY87="","",IFERROR(INDEX('Data Consolidada'!$E$7:$E$891,MATCH(CONCATENATE(BL$3,"-",$CP87,"-",$AY87),'Data Consolidada'!$K$7:$K$891,0)),MAX('Data Consolidada'!$E$7:$E$3000))))</f>
        <v/>
      </c>
      <c r="BM87" s="32" t="str">
        <f>+IF(BM$3="","",IF($AY87="","",IFERROR(INDEX('Data Consolidada'!$E$7:$E$891,MATCH(CONCATENATE(BM$3,"-",$CP87,"-",$AY87),'Data Consolidada'!$K$7:$K$891,0)),MAX('Data Consolidada'!$E$7:$E$3000))))</f>
        <v/>
      </c>
      <c r="BN87" s="32" t="str">
        <f>+IF(BN$3="","",IF($AY87="","",IFERROR(INDEX('Data Consolidada'!$E$7:$E$891,MATCH(CONCATENATE(BN$3,"-",$CP87,"-",$AY87),'Data Consolidada'!$K$7:$K$891,0)),MAX('Data Consolidada'!$E$7:$E$3000))))</f>
        <v/>
      </c>
      <c r="BO87" s="32" t="str">
        <f>+IF(BO$3="","",IF($AY87="","",IFERROR(INDEX('Data Consolidada'!$E$7:$E$891,MATCH(CONCATENATE(BO$3,"-",$CP87,"-",$AY87),'Data Consolidada'!$K$7:$K$891,0)),MAX('Data Consolidada'!$E$7:$E$3000))))</f>
        <v/>
      </c>
      <c r="BP87" s="32" t="str">
        <f>+IF(BP$3="","",IF($AY87="","",IFERROR(INDEX('Data Consolidada'!$E$7:$E$891,MATCH(CONCATENATE(BP$3,"-",$CP87,"-",$AY87),'Data Consolidada'!$K$7:$K$891,0)),MAX('Data Consolidada'!$E$7:$E$3000))))</f>
        <v/>
      </c>
      <c r="BQ87" s="32" t="str">
        <f>+IF(BQ$3="","",IF($AY87="","",IFERROR(INDEX('Data Consolidada'!$E$7:$E$891,MATCH(CONCATENATE(BQ$3,"-",$CP87,"-",$AY87),'Data Consolidada'!$K$7:$K$891,0)),MAX('Data Consolidada'!$E$7:$E$3000))))</f>
        <v/>
      </c>
      <c r="BR87" s="32" t="str">
        <f>+IF(BR$3="","",IF($AY87="","",IFERROR(INDEX('Data Consolidada'!$E$7:$E$891,MATCH(CONCATENATE(BR$3,"-",$CP87,"-",$AY87),'Data Consolidada'!$K$7:$K$891,0)),MAX('Data Consolidada'!$E$7:$E$3000))))</f>
        <v/>
      </c>
      <c r="BS87" s="32" t="str">
        <f>+IF(BS$3="","",IF($AY87="","",IFERROR(INDEX('Data Consolidada'!$E$7:$E$891,MATCH(CONCATENATE(BS$3,"-",$CP87,"-",$AY87),'Data Consolidada'!$K$7:$K$891,0)),MAX('Data Consolidada'!$E$7:$E$3000))))</f>
        <v/>
      </c>
      <c r="BT87" s="32" t="str">
        <f>+IF(BT$3="","",IF($AY87="","",IFERROR(INDEX('Data Consolidada'!$E$7:$E$891,MATCH(CONCATENATE(BT$3,"-",$CP87,"-",$AY87),'Data Consolidada'!$K$7:$K$891,0)),MAX('Data Consolidada'!$E$7:$E$3000))))</f>
        <v/>
      </c>
      <c r="BU87" s="32" t="str">
        <f>+IF(BU$3="","",IF($AY87="","",IFERROR(INDEX('Data Consolidada'!$E$7:$E$891,MATCH(CONCATENATE(BU$3,"-",$CP87,"-",$AY87),'Data Consolidada'!$K$7:$K$891,0)),MAX('Data Consolidada'!$E$7:$E$3000))))</f>
        <v/>
      </c>
      <c r="BV87" s="32" t="str">
        <f>+IF(BV$3="","",IF($AY87="","",IFERROR(INDEX('Data Consolidada'!$E$7:$E$891,MATCH(CONCATENATE(BV$3,"-",$CP87,"-",$AY87),'Data Consolidada'!$K$7:$K$891,0)),MAX('Data Consolidada'!$E$7:$E$3000))))</f>
        <v/>
      </c>
      <c r="BW87" s="32" t="str">
        <f>+IF(BW$3="","",IF($AY87="","",IFERROR(INDEX('Data Consolidada'!$E$7:$E$891,MATCH(CONCATENATE(BW$3,"-",$CP87,"-",$AY87),'Data Consolidada'!$K$7:$K$891,0)),MAX('Data Consolidada'!$E$7:$E$3000))))</f>
        <v/>
      </c>
      <c r="BX87" s="32" t="str">
        <f>+IF(BX$3="","",IF($AY87="","",IFERROR(INDEX('Data Consolidada'!$E$7:$E$891,MATCH(CONCATENATE(BX$3,"-",$CP87,"-",$AY87),'Data Consolidada'!$K$7:$K$891,0)),MAX('Data Consolidada'!$E$7:$E$3000))))</f>
        <v/>
      </c>
      <c r="BY87" s="32" t="str">
        <f>+IF(BY$3="","",IF($AY87="","",IFERROR(INDEX('Data Consolidada'!$E$7:$E$891,MATCH(CONCATENATE(BY$3,"-",$CP87,"-",$AY87),'Data Consolidada'!$K$7:$K$891,0)),MAX('Data Consolidada'!$E$7:$E$3000))))</f>
        <v/>
      </c>
      <c r="BZ87" s="32" t="str">
        <f>+IF(BZ$3="","",IF($AY87="","",IFERROR(INDEX('Data Consolidada'!$E$7:$E$891,MATCH(CONCATENATE(BZ$3,"-",$CP87,"-",$AY87),'Data Consolidada'!$K$7:$K$891,0)),MAX('Data Consolidada'!$E$7:$E$3000))))</f>
        <v/>
      </c>
      <c r="CA87" s="32" t="str">
        <f>+IF(CA$3="","",IF($AY87="","",IFERROR(INDEX('Data Consolidada'!$E$7:$E$891,MATCH(CONCATENATE(CA$3,"-",$CP87,"-",$AY87),'Data Consolidada'!$K$7:$K$891,0)),MAX('Data Consolidada'!$E$7:$E$3000))))</f>
        <v/>
      </c>
      <c r="CB87" s="32" t="str">
        <f>+IF(CB$3="","",IF($AY87="","",IFERROR(INDEX('Data Consolidada'!$E$7:$E$891,MATCH(CONCATENATE(CB$3,"-",$CP87,"-",$AY87),'Data Consolidada'!$K$7:$K$891,0)),MAX('Data Consolidada'!$E$7:$E$3000))))</f>
        <v/>
      </c>
      <c r="CC87" s="32" t="str">
        <f>+IF(CC$3="","",IF($AY87="","",IFERROR(INDEX('Data Consolidada'!$E$7:$E$891,MATCH(CONCATENATE(CC$3,"-",$CP87,"-",$AY87),'Data Consolidada'!$K$7:$K$891,0)),MAX('Data Consolidada'!$E$7:$E$3000))))</f>
        <v/>
      </c>
      <c r="CD87" s="32" t="str">
        <f>+IF(CD$3="","",IF($AY87="","",IFERROR(INDEX('Data Consolidada'!$E$7:$E$891,MATCH(CONCATENATE(CD$3,"-",$CP87,"-",$AY87),'Data Consolidada'!$K$7:$K$891,0)),MAX('Data Consolidada'!$E$7:$E$3000))))</f>
        <v/>
      </c>
      <c r="CE87" s="32" t="str">
        <f>+IF(CE$3="","",IF($AY87="","",IFERROR(INDEX('Data Consolidada'!$E$7:$E$891,MATCH(CONCATENATE(CE$3,"-",$CP87,"-",$AY87),'Data Consolidada'!$K$7:$K$891,0)),MAX('Data Consolidada'!$E$7:$E$3000))))</f>
        <v/>
      </c>
      <c r="CF87" s="32" t="str">
        <f>+IF(CF$3="","",IF($AY87="","",IFERROR(INDEX('Data Consolidada'!$E$7:$E$891,MATCH(CONCATENATE(CF$3,"-",$CP87,"-",$AY87),'Data Consolidada'!$K$7:$K$891,0)),MAX('Data Consolidada'!$E$7:$E$3000))))</f>
        <v/>
      </c>
      <c r="CG87" s="32" t="str">
        <f>+IF(CG$3="","",IF($AY87="","",IFERROR(INDEX('Data Consolidada'!$E$7:$E$891,MATCH(CONCATENATE(CG$3,"-",$CP87,"-",$AY87),'Data Consolidada'!$K$7:$K$891,0)),MAX('Data Consolidada'!$E$7:$E$3000))))</f>
        <v/>
      </c>
      <c r="CH87" s="32" t="str">
        <f>+IF(CH$3="","",IF($AY87="","",IFERROR(INDEX('Data Consolidada'!$E$7:$E$891,MATCH(CONCATENATE(CH$3,"-",$CP87,"-",$AY87),'Data Consolidada'!$K$7:$K$891,0)),MAX('Data Consolidada'!$E$7:$E$3000))))</f>
        <v/>
      </c>
      <c r="CI87" s="32" t="str">
        <f>+IF(CI$3="","",IF($AY87="","",IFERROR(INDEX('Data Consolidada'!$E$7:$E$891,MATCH(CONCATENATE(CI$3,"-",$CP87,"-",$AY87),'Data Consolidada'!$K$7:$K$891,0)),MAX('Data Consolidada'!$E$7:$E$3000))))</f>
        <v/>
      </c>
      <c r="CJ87" s="32" t="str">
        <f>+IF(CJ$3="","",IF($AY87="","",IFERROR(INDEX('Data Consolidada'!$E$7:$E$891,MATCH(CONCATENATE(CJ$3,"-",$CP87,"-",$AY87),'Data Consolidada'!$K$7:$K$891,0)),MAX('Data Consolidada'!$E$7:$E$3000))))</f>
        <v/>
      </c>
      <c r="CK87" s="32" t="str">
        <f>+IF(CK$3="","",IF($AY87="","",IFERROR(INDEX('Data Consolidada'!$E$7:$E$891,MATCH(CONCATENATE(CK$3,"-",$CP87,"-",$AY87),'Data Consolidada'!$K$7:$K$891,0)),MAX('Data Consolidada'!$E$7:$E$3000))))</f>
        <v/>
      </c>
      <c r="CL87" s="32" t="str">
        <f>+IF(CL$3="","",IF($AY87="","",IFERROR(INDEX('Data Consolidada'!$E$7:$E$891,MATCH(CONCATENATE(CL$3,"-",$CP87,"-",$AY87),'Data Consolidada'!$K$7:$K$891,0)),MAX('Data Consolidada'!$E$7:$E$3000))))</f>
        <v/>
      </c>
      <c r="CM87" s="32" t="str">
        <f>+IF(CM$3="","",IF($AY87="","",IFERROR(INDEX('Data Consolidada'!$E$7:$E$891,MATCH(CONCATENATE(CM$3,"-",$CP87,"-",$AY87),'Data Consolidada'!$K$7:$K$891,0)),MAX('Data Consolidada'!$E$7:$E$3000))))</f>
        <v/>
      </c>
      <c r="CN87" s="32" t="str">
        <f>+IF(CN$3="","",IF($AY87="","",IFERROR(INDEX('Data Consolidada'!$E$7:$E$891,MATCH(CONCATENATE(CN$3,"-",$CP87,"-",$AY87),'Data Consolidada'!$K$7:$K$891,0)),MAX('Data Consolidada'!$E$7:$E$3000))))</f>
        <v/>
      </c>
      <c r="CO87" s="37" t="str">
        <f>+IF(CO$3="","",IF($AY87="","",IFERROR(INDEX('Data Consolidada'!$E$7:$E$891,MATCH(CONCATENATE(CO$3,"-",$CP87,"-",$AY87),'Data Consolidada'!$K$7:$K$891,0)),MAX('Data Consolidada'!$E$7:$E$3000))))</f>
        <v/>
      </c>
      <c r="CP87" s="224">
        <f t="shared" ca="1" si="45"/>
        <v>0</v>
      </c>
      <c r="CQ87" s="84" t="str">
        <f t="shared" ca="1" si="39"/>
        <v>Manuel Sepúlveda 0</v>
      </c>
    </row>
    <row r="88" spans="2:95" ht="15" customHeight="1" x14ac:dyDescent="0.35">
      <c r="B88" s="218" t="str">
        <f t="shared" ca="1" si="41"/>
        <v>LAVALLE</v>
      </c>
      <c r="C88" s="238">
        <v>0</v>
      </c>
      <c r="D88" s="239">
        <v>0</v>
      </c>
      <c r="E88" s="239">
        <v>0</v>
      </c>
      <c r="F88" s="239">
        <v>0</v>
      </c>
      <c r="G88" s="239">
        <v>0</v>
      </c>
      <c r="H88" s="239">
        <v>0</v>
      </c>
      <c r="I88" s="239">
        <v>0</v>
      </c>
      <c r="J88" s="239">
        <v>0</v>
      </c>
      <c r="K88" s="239">
        <v>0</v>
      </c>
      <c r="L88" s="239">
        <v>0</v>
      </c>
      <c r="M88" s="239">
        <v>0</v>
      </c>
      <c r="N88" s="240">
        <v>0</v>
      </c>
      <c r="O88" s="239">
        <v>0</v>
      </c>
      <c r="P88" s="239">
        <v>0</v>
      </c>
      <c r="Q88" s="239">
        <v>0</v>
      </c>
      <c r="R88" s="239">
        <v>0</v>
      </c>
      <c r="S88" s="239">
        <v>0</v>
      </c>
      <c r="T88" s="239">
        <v>0</v>
      </c>
      <c r="U88" s="239">
        <v>0</v>
      </c>
      <c r="V88" s="239">
        <v>0</v>
      </c>
      <c r="W88" s="239">
        <v>0</v>
      </c>
      <c r="X88" s="239">
        <v>0</v>
      </c>
      <c r="Y88" s="239">
        <v>0</v>
      </c>
      <c r="Z88" s="239"/>
      <c r="AA88" s="239"/>
      <c r="AB88" s="239"/>
      <c r="AC88" s="239"/>
      <c r="AD88" s="239"/>
      <c r="AE88" s="239"/>
      <c r="AF88" s="239"/>
      <c r="AG88" s="239"/>
      <c r="AH88" s="239"/>
      <c r="AI88" s="239"/>
      <c r="AJ88" s="239"/>
      <c r="AK88" s="239"/>
      <c r="AL88" s="239"/>
      <c r="AM88" s="239"/>
      <c r="AN88" s="239"/>
      <c r="AO88" s="239"/>
      <c r="AP88" s="239"/>
      <c r="AQ88" s="239"/>
      <c r="AR88" s="252"/>
      <c r="AS88" s="77" t="str">
        <f t="shared" ca="1" si="42"/>
        <v>MOSTAZAL</v>
      </c>
      <c r="AT88" s="255">
        <f t="shared" si="43"/>
        <v>0</v>
      </c>
      <c r="AU88" s="51"/>
      <c r="AV88" s="51"/>
      <c r="AW88" s="13">
        <f>+IF(AX88="","",IF(AX88&gt;AX87,AW87,IF(AW87&lt;$D$69,AW87+1,IF(COUNT(AW$4:AW87)&lt;$B$69*$E$54,1,""))))</f>
        <v>7</v>
      </c>
      <c r="AX88" s="13">
        <f>+IF(AX87&lt;$B$69,AX87+1,IF(COUNT(AX$4:AX87)&lt;$B$69*$D$69,1,""))</f>
        <v>7</v>
      </c>
      <c r="AY88" s="189" t="str">
        <f t="shared" ca="1" si="44"/>
        <v>PARRAO</v>
      </c>
      <c r="AZ88" s="36">
        <f ca="1">+IF(AZ$3="","",IF($AY88="","",IFERROR(INDEX('Data Consolidada'!$E$7:$E$891,MATCH(CONCATENATE(AZ$3,"-",$CP88,"-",$AY88),'Data Consolidada'!$K$7:$K$891,0)),MAX('Data Consolidada'!$E$7:$E$3000))))</f>
        <v>11000000</v>
      </c>
      <c r="BA88" s="32">
        <f ca="1">+IF(BA$3="","",IF($AY88="","",IFERROR(INDEX('Data Consolidada'!$E$7:$E$891,MATCH(CONCATENATE(BA$3,"-",$CP88,"-",$AY88),'Data Consolidada'!$K$7:$K$891,0)),MAX('Data Consolidada'!$E$7:$E$3000))))</f>
        <v>11000000</v>
      </c>
      <c r="BB88" s="32" t="str">
        <f>+IF(BB$3="","",IF($AY88="","",IFERROR(INDEX('Data Consolidada'!$E$7:$E$891,MATCH(CONCATENATE(BB$3,"-",$CP88,"-",$AY88),'Data Consolidada'!$K$7:$K$891,0)),MAX('Data Consolidada'!$E$7:$E$3000))))</f>
        <v/>
      </c>
      <c r="BC88" s="32" t="str">
        <f>+IF(BC$3="","",IF($AY88="","",IFERROR(INDEX('Data Consolidada'!$E$7:$E$891,MATCH(CONCATENATE(BC$3,"-",$CP88,"-",$AY88),'Data Consolidada'!$K$7:$K$891,0)),MAX('Data Consolidada'!$E$7:$E$3000))))</f>
        <v/>
      </c>
      <c r="BD88" s="32" t="str">
        <f>+IF(BD$3="","",IF($AY88="","",IFERROR(INDEX('Data Consolidada'!$E$7:$E$891,MATCH(CONCATENATE(BD$3,"-",$CP88,"-",$AY88),'Data Consolidada'!$K$7:$K$891,0)),MAX('Data Consolidada'!$E$7:$E$3000))))</f>
        <v/>
      </c>
      <c r="BE88" s="32" t="str">
        <f>+IF(BE$3="","",IF($AY88="","",IFERROR(INDEX('Data Consolidada'!$E$7:$E$891,MATCH(CONCATENATE(BE$3,"-",$CP88,"-",$AY88),'Data Consolidada'!$K$7:$K$891,0)),MAX('Data Consolidada'!$E$7:$E$3000))))</f>
        <v/>
      </c>
      <c r="BF88" s="32" t="str">
        <f>+IF(BF$3="","",IF($AY88="","",IFERROR(INDEX('Data Consolidada'!$E$7:$E$891,MATCH(CONCATENATE(BF$3,"-",$CP88,"-",$AY88),'Data Consolidada'!$K$7:$K$891,0)),MAX('Data Consolidada'!$E$7:$E$3000))))</f>
        <v/>
      </c>
      <c r="BG88" s="32" t="str">
        <f>+IF(BG$3="","",IF($AY88="","",IFERROR(INDEX('Data Consolidada'!$E$7:$E$891,MATCH(CONCATENATE(BG$3,"-",$CP88,"-",$AY88),'Data Consolidada'!$K$7:$K$891,0)),MAX('Data Consolidada'!$E$7:$E$3000))))</f>
        <v/>
      </c>
      <c r="BH88" s="32" t="str">
        <f>+IF(BH$3="","",IF($AY88="","",IFERROR(INDEX('Data Consolidada'!$E$7:$E$891,MATCH(CONCATENATE(BH$3,"-",$CP88,"-",$AY88),'Data Consolidada'!$K$7:$K$891,0)),MAX('Data Consolidada'!$E$7:$E$3000))))</f>
        <v/>
      </c>
      <c r="BI88" s="32" t="str">
        <f>+IF(BI$3="","",IF($AY88="","",IFERROR(INDEX('Data Consolidada'!$E$7:$E$891,MATCH(CONCATENATE(BI$3,"-",$CP88,"-",$AY88),'Data Consolidada'!$K$7:$K$891,0)),MAX('Data Consolidada'!$E$7:$E$3000))))</f>
        <v/>
      </c>
      <c r="BJ88" s="32" t="str">
        <f>+IF(BJ$3="","",IF($AY88="","",IFERROR(INDEX('Data Consolidada'!$E$7:$E$891,MATCH(CONCATENATE(BJ$3,"-",$CP88,"-",$AY88),'Data Consolidada'!$K$7:$K$891,0)),MAX('Data Consolidada'!$E$7:$E$3000))))</f>
        <v/>
      </c>
      <c r="BK88" s="32" t="str">
        <f>+IF(BK$3="","",IF($AY88="","",IFERROR(INDEX('Data Consolidada'!$E$7:$E$891,MATCH(CONCATENATE(BK$3,"-",$CP88,"-",$AY88),'Data Consolidada'!$K$7:$K$891,0)),MAX('Data Consolidada'!$E$7:$E$3000))))</f>
        <v/>
      </c>
      <c r="BL88" s="32" t="str">
        <f>+IF(BL$3="","",IF($AY88="","",IFERROR(INDEX('Data Consolidada'!$E$7:$E$891,MATCH(CONCATENATE(BL$3,"-",$CP88,"-",$AY88),'Data Consolidada'!$K$7:$K$891,0)),MAX('Data Consolidada'!$E$7:$E$3000))))</f>
        <v/>
      </c>
      <c r="BM88" s="32" t="str">
        <f>+IF(BM$3="","",IF($AY88="","",IFERROR(INDEX('Data Consolidada'!$E$7:$E$891,MATCH(CONCATENATE(BM$3,"-",$CP88,"-",$AY88),'Data Consolidada'!$K$7:$K$891,0)),MAX('Data Consolidada'!$E$7:$E$3000))))</f>
        <v/>
      </c>
      <c r="BN88" s="32" t="str">
        <f>+IF(BN$3="","",IF($AY88="","",IFERROR(INDEX('Data Consolidada'!$E$7:$E$891,MATCH(CONCATENATE(BN$3,"-",$CP88,"-",$AY88),'Data Consolidada'!$K$7:$K$891,0)),MAX('Data Consolidada'!$E$7:$E$3000))))</f>
        <v/>
      </c>
      <c r="BO88" s="32" t="str">
        <f>+IF(BO$3="","",IF($AY88="","",IFERROR(INDEX('Data Consolidada'!$E$7:$E$891,MATCH(CONCATENATE(BO$3,"-",$CP88,"-",$AY88),'Data Consolidada'!$K$7:$K$891,0)),MAX('Data Consolidada'!$E$7:$E$3000))))</f>
        <v/>
      </c>
      <c r="BP88" s="32" t="str">
        <f>+IF(BP$3="","",IF($AY88="","",IFERROR(INDEX('Data Consolidada'!$E$7:$E$891,MATCH(CONCATENATE(BP$3,"-",$CP88,"-",$AY88),'Data Consolidada'!$K$7:$K$891,0)),MAX('Data Consolidada'!$E$7:$E$3000))))</f>
        <v/>
      </c>
      <c r="BQ88" s="32" t="str">
        <f>+IF(BQ$3="","",IF($AY88="","",IFERROR(INDEX('Data Consolidada'!$E$7:$E$891,MATCH(CONCATENATE(BQ$3,"-",$CP88,"-",$AY88),'Data Consolidada'!$K$7:$K$891,0)),MAX('Data Consolidada'!$E$7:$E$3000))))</f>
        <v/>
      </c>
      <c r="BR88" s="32" t="str">
        <f>+IF(BR$3="","",IF($AY88="","",IFERROR(INDEX('Data Consolidada'!$E$7:$E$891,MATCH(CONCATENATE(BR$3,"-",$CP88,"-",$AY88),'Data Consolidada'!$K$7:$K$891,0)),MAX('Data Consolidada'!$E$7:$E$3000))))</f>
        <v/>
      </c>
      <c r="BS88" s="32" t="str">
        <f>+IF(BS$3="","",IF($AY88="","",IFERROR(INDEX('Data Consolidada'!$E$7:$E$891,MATCH(CONCATENATE(BS$3,"-",$CP88,"-",$AY88),'Data Consolidada'!$K$7:$K$891,0)),MAX('Data Consolidada'!$E$7:$E$3000))))</f>
        <v/>
      </c>
      <c r="BT88" s="32" t="str">
        <f>+IF(BT$3="","",IF($AY88="","",IFERROR(INDEX('Data Consolidada'!$E$7:$E$891,MATCH(CONCATENATE(BT$3,"-",$CP88,"-",$AY88),'Data Consolidada'!$K$7:$K$891,0)),MAX('Data Consolidada'!$E$7:$E$3000))))</f>
        <v/>
      </c>
      <c r="BU88" s="32" t="str">
        <f>+IF(BU$3="","",IF($AY88="","",IFERROR(INDEX('Data Consolidada'!$E$7:$E$891,MATCH(CONCATENATE(BU$3,"-",$CP88,"-",$AY88),'Data Consolidada'!$K$7:$K$891,0)),MAX('Data Consolidada'!$E$7:$E$3000))))</f>
        <v/>
      </c>
      <c r="BV88" s="32" t="str">
        <f>+IF(BV$3="","",IF($AY88="","",IFERROR(INDEX('Data Consolidada'!$E$7:$E$891,MATCH(CONCATENATE(BV$3,"-",$CP88,"-",$AY88),'Data Consolidada'!$K$7:$K$891,0)),MAX('Data Consolidada'!$E$7:$E$3000))))</f>
        <v/>
      </c>
      <c r="BW88" s="32" t="str">
        <f>+IF(BW$3="","",IF($AY88="","",IFERROR(INDEX('Data Consolidada'!$E$7:$E$891,MATCH(CONCATENATE(BW$3,"-",$CP88,"-",$AY88),'Data Consolidada'!$K$7:$K$891,0)),MAX('Data Consolidada'!$E$7:$E$3000))))</f>
        <v/>
      </c>
      <c r="BX88" s="32" t="str">
        <f>+IF(BX$3="","",IF($AY88="","",IFERROR(INDEX('Data Consolidada'!$E$7:$E$891,MATCH(CONCATENATE(BX$3,"-",$CP88,"-",$AY88),'Data Consolidada'!$K$7:$K$891,0)),MAX('Data Consolidada'!$E$7:$E$3000))))</f>
        <v/>
      </c>
      <c r="BY88" s="32" t="str">
        <f>+IF(BY$3="","",IF($AY88="","",IFERROR(INDEX('Data Consolidada'!$E$7:$E$891,MATCH(CONCATENATE(BY$3,"-",$CP88,"-",$AY88),'Data Consolidada'!$K$7:$K$891,0)),MAX('Data Consolidada'!$E$7:$E$3000))))</f>
        <v/>
      </c>
      <c r="BZ88" s="32" t="str">
        <f>+IF(BZ$3="","",IF($AY88="","",IFERROR(INDEX('Data Consolidada'!$E$7:$E$891,MATCH(CONCATENATE(BZ$3,"-",$CP88,"-",$AY88),'Data Consolidada'!$K$7:$K$891,0)),MAX('Data Consolidada'!$E$7:$E$3000))))</f>
        <v/>
      </c>
      <c r="CA88" s="32" t="str">
        <f>+IF(CA$3="","",IF($AY88="","",IFERROR(INDEX('Data Consolidada'!$E$7:$E$891,MATCH(CONCATENATE(CA$3,"-",$CP88,"-",$AY88),'Data Consolidada'!$K$7:$K$891,0)),MAX('Data Consolidada'!$E$7:$E$3000))))</f>
        <v/>
      </c>
      <c r="CB88" s="32" t="str">
        <f>+IF(CB$3="","",IF($AY88="","",IFERROR(INDEX('Data Consolidada'!$E$7:$E$891,MATCH(CONCATENATE(CB$3,"-",$CP88,"-",$AY88),'Data Consolidada'!$K$7:$K$891,0)),MAX('Data Consolidada'!$E$7:$E$3000))))</f>
        <v/>
      </c>
      <c r="CC88" s="32" t="str">
        <f>+IF(CC$3="","",IF($AY88="","",IFERROR(INDEX('Data Consolidada'!$E$7:$E$891,MATCH(CONCATENATE(CC$3,"-",$CP88,"-",$AY88),'Data Consolidada'!$K$7:$K$891,0)),MAX('Data Consolidada'!$E$7:$E$3000))))</f>
        <v/>
      </c>
      <c r="CD88" s="32" t="str">
        <f>+IF(CD$3="","",IF($AY88="","",IFERROR(INDEX('Data Consolidada'!$E$7:$E$891,MATCH(CONCATENATE(CD$3,"-",$CP88,"-",$AY88),'Data Consolidada'!$K$7:$K$891,0)),MAX('Data Consolidada'!$E$7:$E$3000))))</f>
        <v/>
      </c>
      <c r="CE88" s="32" t="str">
        <f>+IF(CE$3="","",IF($AY88="","",IFERROR(INDEX('Data Consolidada'!$E$7:$E$891,MATCH(CONCATENATE(CE$3,"-",$CP88,"-",$AY88),'Data Consolidada'!$K$7:$K$891,0)),MAX('Data Consolidada'!$E$7:$E$3000))))</f>
        <v/>
      </c>
      <c r="CF88" s="32" t="str">
        <f>+IF(CF$3="","",IF($AY88="","",IFERROR(INDEX('Data Consolidada'!$E$7:$E$891,MATCH(CONCATENATE(CF$3,"-",$CP88,"-",$AY88),'Data Consolidada'!$K$7:$K$891,0)),MAX('Data Consolidada'!$E$7:$E$3000))))</f>
        <v/>
      </c>
      <c r="CG88" s="32" t="str">
        <f>+IF(CG$3="","",IF($AY88="","",IFERROR(INDEX('Data Consolidada'!$E$7:$E$891,MATCH(CONCATENATE(CG$3,"-",$CP88,"-",$AY88),'Data Consolidada'!$K$7:$K$891,0)),MAX('Data Consolidada'!$E$7:$E$3000))))</f>
        <v/>
      </c>
      <c r="CH88" s="32" t="str">
        <f>+IF(CH$3="","",IF($AY88="","",IFERROR(INDEX('Data Consolidada'!$E$7:$E$891,MATCH(CONCATENATE(CH$3,"-",$CP88,"-",$AY88),'Data Consolidada'!$K$7:$K$891,0)),MAX('Data Consolidada'!$E$7:$E$3000))))</f>
        <v/>
      </c>
      <c r="CI88" s="32" t="str">
        <f>+IF(CI$3="","",IF($AY88="","",IFERROR(INDEX('Data Consolidada'!$E$7:$E$891,MATCH(CONCATENATE(CI$3,"-",$CP88,"-",$AY88),'Data Consolidada'!$K$7:$K$891,0)),MAX('Data Consolidada'!$E$7:$E$3000))))</f>
        <v/>
      </c>
      <c r="CJ88" s="32" t="str">
        <f>+IF(CJ$3="","",IF($AY88="","",IFERROR(INDEX('Data Consolidada'!$E$7:$E$891,MATCH(CONCATENATE(CJ$3,"-",$CP88,"-",$AY88),'Data Consolidada'!$K$7:$K$891,0)),MAX('Data Consolidada'!$E$7:$E$3000))))</f>
        <v/>
      </c>
      <c r="CK88" s="32" t="str">
        <f>+IF(CK$3="","",IF($AY88="","",IFERROR(INDEX('Data Consolidada'!$E$7:$E$891,MATCH(CONCATENATE(CK$3,"-",$CP88,"-",$AY88),'Data Consolidada'!$K$7:$K$891,0)),MAX('Data Consolidada'!$E$7:$E$3000))))</f>
        <v/>
      </c>
      <c r="CL88" s="32" t="str">
        <f>+IF(CL$3="","",IF($AY88="","",IFERROR(INDEX('Data Consolidada'!$E$7:$E$891,MATCH(CONCATENATE(CL$3,"-",$CP88,"-",$AY88),'Data Consolidada'!$K$7:$K$891,0)),MAX('Data Consolidada'!$E$7:$E$3000))))</f>
        <v/>
      </c>
      <c r="CM88" s="32" t="str">
        <f>+IF(CM$3="","",IF($AY88="","",IFERROR(INDEX('Data Consolidada'!$E$7:$E$891,MATCH(CONCATENATE(CM$3,"-",$CP88,"-",$AY88),'Data Consolidada'!$K$7:$K$891,0)),MAX('Data Consolidada'!$E$7:$E$3000))))</f>
        <v/>
      </c>
      <c r="CN88" s="32" t="str">
        <f>+IF(CN$3="","",IF($AY88="","",IFERROR(INDEX('Data Consolidada'!$E$7:$E$891,MATCH(CONCATENATE(CN$3,"-",$CP88,"-",$AY88),'Data Consolidada'!$K$7:$K$891,0)),MAX('Data Consolidada'!$E$7:$E$3000))))</f>
        <v/>
      </c>
      <c r="CO88" s="37" t="str">
        <f>+IF(CO$3="","",IF($AY88="","",IFERROR(INDEX('Data Consolidada'!$E$7:$E$891,MATCH(CONCATENATE(CO$3,"-",$CP88,"-",$AY88),'Data Consolidada'!$K$7:$K$891,0)),MAX('Data Consolidada'!$E$7:$E$3000))))</f>
        <v/>
      </c>
      <c r="CP88" s="224">
        <f t="shared" ca="1" si="45"/>
        <v>0</v>
      </c>
      <c r="CQ88" s="84" t="str">
        <f t="shared" ca="1" si="39"/>
        <v>PARRAO0</v>
      </c>
    </row>
    <row r="89" spans="2:95" ht="15" customHeight="1" x14ac:dyDescent="0.35">
      <c r="B89" s="218" t="str">
        <f t="shared" ca="1" si="41"/>
        <v>MACEBE</v>
      </c>
      <c r="C89" s="238">
        <v>0</v>
      </c>
      <c r="D89" s="239">
        <v>0</v>
      </c>
      <c r="E89" s="239">
        <v>0</v>
      </c>
      <c r="F89" s="239">
        <v>0</v>
      </c>
      <c r="G89" s="239">
        <v>0</v>
      </c>
      <c r="H89" s="239">
        <v>0</v>
      </c>
      <c r="I89" s="239">
        <v>0</v>
      </c>
      <c r="J89" s="239">
        <v>0</v>
      </c>
      <c r="K89" s="239">
        <v>0</v>
      </c>
      <c r="L89" s="239">
        <v>0</v>
      </c>
      <c r="M89" s="239">
        <v>0</v>
      </c>
      <c r="N89" s="240">
        <v>0</v>
      </c>
      <c r="O89" s="239">
        <v>0</v>
      </c>
      <c r="P89" s="239">
        <v>0</v>
      </c>
      <c r="Q89" s="239">
        <v>0</v>
      </c>
      <c r="R89" s="239">
        <v>0</v>
      </c>
      <c r="S89" s="239">
        <v>0</v>
      </c>
      <c r="T89" s="239">
        <v>0</v>
      </c>
      <c r="U89" s="239">
        <v>0</v>
      </c>
      <c r="V89" s="239">
        <v>0</v>
      </c>
      <c r="W89" s="239">
        <v>0</v>
      </c>
      <c r="X89" s="239">
        <v>0</v>
      </c>
      <c r="Y89" s="239">
        <v>0</v>
      </c>
      <c r="Z89" s="239"/>
      <c r="AA89" s="239"/>
      <c r="AB89" s="239"/>
      <c r="AC89" s="239"/>
      <c r="AD89" s="239"/>
      <c r="AE89" s="239"/>
      <c r="AF89" s="239"/>
      <c r="AG89" s="239"/>
      <c r="AH89" s="239"/>
      <c r="AI89" s="239"/>
      <c r="AJ89" s="239"/>
      <c r="AK89" s="239"/>
      <c r="AL89" s="239"/>
      <c r="AM89" s="239"/>
      <c r="AN89" s="239"/>
      <c r="AO89" s="239"/>
      <c r="AP89" s="239"/>
      <c r="AQ89" s="239"/>
      <c r="AR89" s="252"/>
      <c r="AS89" s="77" t="str">
        <f t="shared" ca="1" si="42"/>
        <v>MOSTAZAL</v>
      </c>
      <c r="AT89" s="255">
        <f t="shared" si="43"/>
        <v>0</v>
      </c>
      <c r="AU89" s="51"/>
      <c r="AV89" s="51"/>
      <c r="AW89" s="13">
        <f>+IF(AX89="","",IF(AX89&gt;AX88,AW88,IF(AW88&lt;$D$69,AW88+1,IF(COUNT(AW$4:AW88)&lt;$B$69*$E$54,1,""))))</f>
        <v>7</v>
      </c>
      <c r="AX89" s="13">
        <f>+IF(AX88&lt;$B$69,AX88+1,IF(COUNT(AX$4:AX88)&lt;$B$69*$D$69,1,""))</f>
        <v>8</v>
      </c>
      <c r="AY89" s="189" t="str">
        <f t="shared" ca="1" si="44"/>
        <v>PAULA</v>
      </c>
      <c r="AZ89" s="36">
        <f ca="1">+IF(AZ$3="","",IF($AY89="","",IFERROR(INDEX('Data Consolidada'!$E$7:$E$891,MATCH(CONCATENATE(AZ$3,"-",$CP89,"-",$AY89),'Data Consolidada'!$K$7:$K$891,0)),MAX('Data Consolidada'!$E$7:$E$3000))))</f>
        <v>11000000</v>
      </c>
      <c r="BA89" s="32">
        <f ca="1">+IF(BA$3="","",IF($AY89="","",IFERROR(INDEX('Data Consolidada'!$E$7:$E$891,MATCH(CONCATENATE(BA$3,"-",$CP89,"-",$AY89),'Data Consolidada'!$K$7:$K$891,0)),MAX('Data Consolidada'!$E$7:$E$3000))))</f>
        <v>11000000</v>
      </c>
      <c r="BB89" s="32" t="str">
        <f>+IF(BB$3="","",IF($AY89="","",IFERROR(INDEX('Data Consolidada'!$E$7:$E$891,MATCH(CONCATENATE(BB$3,"-",$CP89,"-",$AY89),'Data Consolidada'!$K$7:$K$891,0)),MAX('Data Consolidada'!$E$7:$E$3000))))</f>
        <v/>
      </c>
      <c r="BC89" s="32" t="str">
        <f>+IF(BC$3="","",IF($AY89="","",IFERROR(INDEX('Data Consolidada'!$E$7:$E$891,MATCH(CONCATENATE(BC$3,"-",$CP89,"-",$AY89),'Data Consolidada'!$K$7:$K$891,0)),MAX('Data Consolidada'!$E$7:$E$3000))))</f>
        <v/>
      </c>
      <c r="BD89" s="32" t="str">
        <f>+IF(BD$3="","",IF($AY89="","",IFERROR(INDEX('Data Consolidada'!$E$7:$E$891,MATCH(CONCATENATE(BD$3,"-",$CP89,"-",$AY89),'Data Consolidada'!$K$7:$K$891,0)),MAX('Data Consolidada'!$E$7:$E$3000))))</f>
        <v/>
      </c>
      <c r="BE89" s="32" t="str">
        <f>+IF(BE$3="","",IF($AY89="","",IFERROR(INDEX('Data Consolidada'!$E$7:$E$891,MATCH(CONCATENATE(BE$3,"-",$CP89,"-",$AY89),'Data Consolidada'!$K$7:$K$891,0)),MAX('Data Consolidada'!$E$7:$E$3000))))</f>
        <v/>
      </c>
      <c r="BF89" s="32" t="str">
        <f>+IF(BF$3="","",IF($AY89="","",IFERROR(INDEX('Data Consolidada'!$E$7:$E$891,MATCH(CONCATENATE(BF$3,"-",$CP89,"-",$AY89),'Data Consolidada'!$K$7:$K$891,0)),MAX('Data Consolidada'!$E$7:$E$3000))))</f>
        <v/>
      </c>
      <c r="BG89" s="32" t="str">
        <f>+IF(BG$3="","",IF($AY89="","",IFERROR(INDEX('Data Consolidada'!$E$7:$E$891,MATCH(CONCATENATE(BG$3,"-",$CP89,"-",$AY89),'Data Consolidada'!$K$7:$K$891,0)),MAX('Data Consolidada'!$E$7:$E$3000))))</f>
        <v/>
      </c>
      <c r="BH89" s="32" t="str">
        <f>+IF(BH$3="","",IF($AY89="","",IFERROR(INDEX('Data Consolidada'!$E$7:$E$891,MATCH(CONCATENATE(BH$3,"-",$CP89,"-",$AY89),'Data Consolidada'!$K$7:$K$891,0)),MAX('Data Consolidada'!$E$7:$E$3000))))</f>
        <v/>
      </c>
      <c r="BI89" s="32" t="str">
        <f>+IF(BI$3="","",IF($AY89="","",IFERROR(INDEX('Data Consolidada'!$E$7:$E$891,MATCH(CONCATENATE(BI$3,"-",$CP89,"-",$AY89),'Data Consolidada'!$K$7:$K$891,0)),MAX('Data Consolidada'!$E$7:$E$3000))))</f>
        <v/>
      </c>
      <c r="BJ89" s="32" t="str">
        <f>+IF(BJ$3="","",IF($AY89="","",IFERROR(INDEX('Data Consolidada'!$E$7:$E$891,MATCH(CONCATENATE(BJ$3,"-",$CP89,"-",$AY89),'Data Consolidada'!$K$7:$K$891,0)),MAX('Data Consolidada'!$E$7:$E$3000))))</f>
        <v/>
      </c>
      <c r="BK89" s="32" t="str">
        <f>+IF(BK$3="","",IF($AY89="","",IFERROR(INDEX('Data Consolidada'!$E$7:$E$891,MATCH(CONCATENATE(BK$3,"-",$CP89,"-",$AY89),'Data Consolidada'!$K$7:$K$891,0)),MAX('Data Consolidada'!$E$7:$E$3000))))</f>
        <v/>
      </c>
      <c r="BL89" s="32" t="str">
        <f>+IF(BL$3="","",IF($AY89="","",IFERROR(INDEX('Data Consolidada'!$E$7:$E$891,MATCH(CONCATENATE(BL$3,"-",$CP89,"-",$AY89),'Data Consolidada'!$K$7:$K$891,0)),MAX('Data Consolidada'!$E$7:$E$3000))))</f>
        <v/>
      </c>
      <c r="BM89" s="32" t="str">
        <f>+IF(BM$3="","",IF($AY89="","",IFERROR(INDEX('Data Consolidada'!$E$7:$E$891,MATCH(CONCATENATE(BM$3,"-",$CP89,"-",$AY89),'Data Consolidada'!$K$7:$K$891,0)),MAX('Data Consolidada'!$E$7:$E$3000))))</f>
        <v/>
      </c>
      <c r="BN89" s="32" t="str">
        <f>+IF(BN$3="","",IF($AY89="","",IFERROR(INDEX('Data Consolidada'!$E$7:$E$891,MATCH(CONCATENATE(BN$3,"-",$CP89,"-",$AY89),'Data Consolidada'!$K$7:$K$891,0)),MAX('Data Consolidada'!$E$7:$E$3000))))</f>
        <v/>
      </c>
      <c r="BO89" s="32" t="str">
        <f>+IF(BO$3="","",IF($AY89="","",IFERROR(INDEX('Data Consolidada'!$E$7:$E$891,MATCH(CONCATENATE(BO$3,"-",$CP89,"-",$AY89),'Data Consolidada'!$K$7:$K$891,0)),MAX('Data Consolidada'!$E$7:$E$3000))))</f>
        <v/>
      </c>
      <c r="BP89" s="32" t="str">
        <f>+IF(BP$3="","",IF($AY89="","",IFERROR(INDEX('Data Consolidada'!$E$7:$E$891,MATCH(CONCATENATE(BP$3,"-",$CP89,"-",$AY89),'Data Consolidada'!$K$7:$K$891,0)),MAX('Data Consolidada'!$E$7:$E$3000))))</f>
        <v/>
      </c>
      <c r="BQ89" s="32" t="str">
        <f>+IF(BQ$3="","",IF($AY89="","",IFERROR(INDEX('Data Consolidada'!$E$7:$E$891,MATCH(CONCATENATE(BQ$3,"-",$CP89,"-",$AY89),'Data Consolidada'!$K$7:$K$891,0)),MAX('Data Consolidada'!$E$7:$E$3000))))</f>
        <v/>
      </c>
      <c r="BR89" s="32" t="str">
        <f>+IF(BR$3="","",IF($AY89="","",IFERROR(INDEX('Data Consolidada'!$E$7:$E$891,MATCH(CONCATENATE(BR$3,"-",$CP89,"-",$AY89),'Data Consolidada'!$K$7:$K$891,0)),MAX('Data Consolidada'!$E$7:$E$3000))))</f>
        <v/>
      </c>
      <c r="BS89" s="32" t="str">
        <f>+IF(BS$3="","",IF($AY89="","",IFERROR(INDEX('Data Consolidada'!$E$7:$E$891,MATCH(CONCATENATE(BS$3,"-",$CP89,"-",$AY89),'Data Consolidada'!$K$7:$K$891,0)),MAX('Data Consolidada'!$E$7:$E$3000))))</f>
        <v/>
      </c>
      <c r="BT89" s="32" t="str">
        <f>+IF(BT$3="","",IF($AY89="","",IFERROR(INDEX('Data Consolidada'!$E$7:$E$891,MATCH(CONCATENATE(BT$3,"-",$CP89,"-",$AY89),'Data Consolidada'!$K$7:$K$891,0)),MAX('Data Consolidada'!$E$7:$E$3000))))</f>
        <v/>
      </c>
      <c r="BU89" s="32" t="str">
        <f>+IF(BU$3="","",IF($AY89="","",IFERROR(INDEX('Data Consolidada'!$E$7:$E$891,MATCH(CONCATENATE(BU$3,"-",$CP89,"-",$AY89),'Data Consolidada'!$K$7:$K$891,0)),MAX('Data Consolidada'!$E$7:$E$3000))))</f>
        <v/>
      </c>
      <c r="BV89" s="32" t="str">
        <f>+IF(BV$3="","",IF($AY89="","",IFERROR(INDEX('Data Consolidada'!$E$7:$E$891,MATCH(CONCATENATE(BV$3,"-",$CP89,"-",$AY89),'Data Consolidada'!$K$7:$K$891,0)),MAX('Data Consolidada'!$E$7:$E$3000))))</f>
        <v/>
      </c>
      <c r="BW89" s="32" t="str">
        <f>+IF(BW$3="","",IF($AY89="","",IFERROR(INDEX('Data Consolidada'!$E$7:$E$891,MATCH(CONCATENATE(BW$3,"-",$CP89,"-",$AY89),'Data Consolidada'!$K$7:$K$891,0)),MAX('Data Consolidada'!$E$7:$E$3000))))</f>
        <v/>
      </c>
      <c r="BX89" s="32" t="str">
        <f>+IF(BX$3="","",IF($AY89="","",IFERROR(INDEX('Data Consolidada'!$E$7:$E$891,MATCH(CONCATENATE(BX$3,"-",$CP89,"-",$AY89),'Data Consolidada'!$K$7:$K$891,0)),MAX('Data Consolidada'!$E$7:$E$3000))))</f>
        <v/>
      </c>
      <c r="BY89" s="32" t="str">
        <f>+IF(BY$3="","",IF($AY89="","",IFERROR(INDEX('Data Consolidada'!$E$7:$E$891,MATCH(CONCATENATE(BY$3,"-",$CP89,"-",$AY89),'Data Consolidada'!$K$7:$K$891,0)),MAX('Data Consolidada'!$E$7:$E$3000))))</f>
        <v/>
      </c>
      <c r="BZ89" s="32" t="str">
        <f>+IF(BZ$3="","",IF($AY89="","",IFERROR(INDEX('Data Consolidada'!$E$7:$E$891,MATCH(CONCATENATE(BZ$3,"-",$CP89,"-",$AY89),'Data Consolidada'!$K$7:$K$891,0)),MAX('Data Consolidada'!$E$7:$E$3000))))</f>
        <v/>
      </c>
      <c r="CA89" s="32" t="str">
        <f>+IF(CA$3="","",IF($AY89="","",IFERROR(INDEX('Data Consolidada'!$E$7:$E$891,MATCH(CONCATENATE(CA$3,"-",$CP89,"-",$AY89),'Data Consolidada'!$K$7:$K$891,0)),MAX('Data Consolidada'!$E$7:$E$3000))))</f>
        <v/>
      </c>
      <c r="CB89" s="32" t="str">
        <f>+IF(CB$3="","",IF($AY89="","",IFERROR(INDEX('Data Consolidada'!$E$7:$E$891,MATCH(CONCATENATE(CB$3,"-",$CP89,"-",$AY89),'Data Consolidada'!$K$7:$K$891,0)),MAX('Data Consolidada'!$E$7:$E$3000))))</f>
        <v/>
      </c>
      <c r="CC89" s="32" t="str">
        <f>+IF(CC$3="","",IF($AY89="","",IFERROR(INDEX('Data Consolidada'!$E$7:$E$891,MATCH(CONCATENATE(CC$3,"-",$CP89,"-",$AY89),'Data Consolidada'!$K$7:$K$891,0)),MAX('Data Consolidada'!$E$7:$E$3000))))</f>
        <v/>
      </c>
      <c r="CD89" s="32" t="str">
        <f>+IF(CD$3="","",IF($AY89="","",IFERROR(INDEX('Data Consolidada'!$E$7:$E$891,MATCH(CONCATENATE(CD$3,"-",$CP89,"-",$AY89),'Data Consolidada'!$K$7:$K$891,0)),MAX('Data Consolidada'!$E$7:$E$3000))))</f>
        <v/>
      </c>
      <c r="CE89" s="32" t="str">
        <f>+IF(CE$3="","",IF($AY89="","",IFERROR(INDEX('Data Consolidada'!$E$7:$E$891,MATCH(CONCATENATE(CE$3,"-",$CP89,"-",$AY89),'Data Consolidada'!$K$7:$K$891,0)),MAX('Data Consolidada'!$E$7:$E$3000))))</f>
        <v/>
      </c>
      <c r="CF89" s="32" t="str">
        <f>+IF(CF$3="","",IF($AY89="","",IFERROR(INDEX('Data Consolidada'!$E$7:$E$891,MATCH(CONCATENATE(CF$3,"-",$CP89,"-",$AY89),'Data Consolidada'!$K$7:$K$891,0)),MAX('Data Consolidada'!$E$7:$E$3000))))</f>
        <v/>
      </c>
      <c r="CG89" s="32" t="str">
        <f>+IF(CG$3="","",IF($AY89="","",IFERROR(INDEX('Data Consolidada'!$E$7:$E$891,MATCH(CONCATENATE(CG$3,"-",$CP89,"-",$AY89),'Data Consolidada'!$K$7:$K$891,0)),MAX('Data Consolidada'!$E$7:$E$3000))))</f>
        <v/>
      </c>
      <c r="CH89" s="32" t="str">
        <f>+IF(CH$3="","",IF($AY89="","",IFERROR(INDEX('Data Consolidada'!$E$7:$E$891,MATCH(CONCATENATE(CH$3,"-",$CP89,"-",$AY89),'Data Consolidada'!$K$7:$K$891,0)),MAX('Data Consolidada'!$E$7:$E$3000))))</f>
        <v/>
      </c>
      <c r="CI89" s="32" t="str">
        <f>+IF(CI$3="","",IF($AY89="","",IFERROR(INDEX('Data Consolidada'!$E$7:$E$891,MATCH(CONCATENATE(CI$3,"-",$CP89,"-",$AY89),'Data Consolidada'!$K$7:$K$891,0)),MAX('Data Consolidada'!$E$7:$E$3000))))</f>
        <v/>
      </c>
      <c r="CJ89" s="32" t="str">
        <f>+IF(CJ$3="","",IF($AY89="","",IFERROR(INDEX('Data Consolidada'!$E$7:$E$891,MATCH(CONCATENATE(CJ$3,"-",$CP89,"-",$AY89),'Data Consolidada'!$K$7:$K$891,0)),MAX('Data Consolidada'!$E$7:$E$3000))))</f>
        <v/>
      </c>
      <c r="CK89" s="32" t="str">
        <f>+IF(CK$3="","",IF($AY89="","",IFERROR(INDEX('Data Consolidada'!$E$7:$E$891,MATCH(CONCATENATE(CK$3,"-",$CP89,"-",$AY89),'Data Consolidada'!$K$7:$K$891,0)),MAX('Data Consolidada'!$E$7:$E$3000))))</f>
        <v/>
      </c>
      <c r="CL89" s="32" t="str">
        <f>+IF(CL$3="","",IF($AY89="","",IFERROR(INDEX('Data Consolidada'!$E$7:$E$891,MATCH(CONCATENATE(CL$3,"-",$CP89,"-",$AY89),'Data Consolidada'!$K$7:$K$891,0)),MAX('Data Consolidada'!$E$7:$E$3000))))</f>
        <v/>
      </c>
      <c r="CM89" s="32" t="str">
        <f>+IF(CM$3="","",IF($AY89="","",IFERROR(INDEX('Data Consolidada'!$E$7:$E$891,MATCH(CONCATENATE(CM$3,"-",$CP89,"-",$AY89),'Data Consolidada'!$K$7:$K$891,0)),MAX('Data Consolidada'!$E$7:$E$3000))))</f>
        <v/>
      </c>
      <c r="CN89" s="32" t="str">
        <f>+IF(CN$3="","",IF($AY89="","",IFERROR(INDEX('Data Consolidada'!$E$7:$E$891,MATCH(CONCATENATE(CN$3,"-",$CP89,"-",$AY89),'Data Consolidada'!$K$7:$K$891,0)),MAX('Data Consolidada'!$E$7:$E$3000))))</f>
        <v/>
      </c>
      <c r="CO89" s="37" t="str">
        <f>+IF(CO$3="","",IF($AY89="","",IFERROR(INDEX('Data Consolidada'!$E$7:$E$891,MATCH(CONCATENATE(CO$3,"-",$CP89,"-",$AY89),'Data Consolidada'!$K$7:$K$891,0)),MAX('Data Consolidada'!$E$7:$E$3000))))</f>
        <v/>
      </c>
      <c r="CP89" s="224">
        <f t="shared" ca="1" si="45"/>
        <v>0</v>
      </c>
      <c r="CQ89" s="84" t="str">
        <f t="shared" ca="1" si="39"/>
        <v>PAULA0</v>
      </c>
    </row>
    <row r="90" spans="2:95" ht="15" customHeight="1" x14ac:dyDescent="0.35">
      <c r="B90" s="218" t="str">
        <f t="shared" ca="1" si="41"/>
        <v xml:space="preserve">Manuel Sepúlveda </v>
      </c>
      <c r="C90" s="238">
        <v>0</v>
      </c>
      <c r="D90" s="239">
        <v>0</v>
      </c>
      <c r="E90" s="239">
        <v>0</v>
      </c>
      <c r="F90" s="239">
        <v>0</v>
      </c>
      <c r="G90" s="239">
        <v>0</v>
      </c>
      <c r="H90" s="239">
        <v>0</v>
      </c>
      <c r="I90" s="239">
        <v>0</v>
      </c>
      <c r="J90" s="239">
        <v>0</v>
      </c>
      <c r="K90" s="239">
        <v>0</v>
      </c>
      <c r="L90" s="239">
        <v>0</v>
      </c>
      <c r="M90" s="239">
        <v>0</v>
      </c>
      <c r="N90" s="240">
        <v>0</v>
      </c>
      <c r="O90" s="239">
        <v>0</v>
      </c>
      <c r="P90" s="239">
        <v>0</v>
      </c>
      <c r="Q90" s="239">
        <v>0</v>
      </c>
      <c r="R90" s="239">
        <v>0</v>
      </c>
      <c r="S90" s="239">
        <v>0</v>
      </c>
      <c r="T90" s="239">
        <v>0</v>
      </c>
      <c r="U90" s="239">
        <v>0</v>
      </c>
      <c r="V90" s="239">
        <v>0</v>
      </c>
      <c r="W90" s="239">
        <v>0</v>
      </c>
      <c r="X90" s="239">
        <v>0</v>
      </c>
      <c r="Y90" s="239">
        <v>0</v>
      </c>
      <c r="Z90" s="239"/>
      <c r="AA90" s="239"/>
      <c r="AB90" s="239"/>
      <c r="AC90" s="239"/>
      <c r="AD90" s="239"/>
      <c r="AE90" s="239"/>
      <c r="AF90" s="239"/>
      <c r="AG90" s="239"/>
      <c r="AH90" s="239"/>
      <c r="AI90" s="239"/>
      <c r="AJ90" s="239"/>
      <c r="AK90" s="239"/>
      <c r="AL90" s="239"/>
      <c r="AM90" s="239"/>
      <c r="AN90" s="239"/>
      <c r="AO90" s="239"/>
      <c r="AP90" s="239"/>
      <c r="AQ90" s="239"/>
      <c r="AR90" s="252"/>
      <c r="AS90" s="77" t="str">
        <f t="shared" ca="1" si="42"/>
        <v>MOSTAZAL</v>
      </c>
      <c r="AT90" s="255">
        <f t="shared" si="43"/>
        <v>0</v>
      </c>
      <c r="AU90" s="51"/>
      <c r="AV90" s="51"/>
      <c r="AW90" s="13">
        <f>+IF(AX90="","",IF(AX90&gt;AX89,AW89,IF(AW89&lt;$D$69,AW89+1,IF(COUNT(AW$4:AW89)&lt;$B$69*$E$54,1,""))))</f>
        <v>7</v>
      </c>
      <c r="AX90" s="13">
        <f>+IF(AX89&lt;$B$69,AX89+1,IF(COUNT(AX$4:AX89)&lt;$B$69*$D$69,1,""))</f>
        <v>9</v>
      </c>
      <c r="AY90" s="189" t="str">
        <f t="shared" ca="1" si="44"/>
        <v>TH TRANSPORTES</v>
      </c>
      <c r="AZ90" s="36">
        <f ca="1">+IF(AZ$3="","",IF($AY90="","",IFERROR(INDEX('Data Consolidada'!$E$7:$E$891,MATCH(CONCATENATE(AZ$3,"-",$CP90,"-",$AY90),'Data Consolidada'!$K$7:$K$891,0)),MAX('Data Consolidada'!$E$7:$E$3000))))</f>
        <v>11000000</v>
      </c>
      <c r="BA90" s="32">
        <f ca="1">+IF(BA$3="","",IF($AY90="","",IFERROR(INDEX('Data Consolidada'!$E$7:$E$891,MATCH(CONCATENATE(BA$3,"-",$CP90,"-",$AY90),'Data Consolidada'!$K$7:$K$891,0)),MAX('Data Consolidada'!$E$7:$E$3000))))</f>
        <v>11000000</v>
      </c>
      <c r="BB90" s="32" t="str">
        <f>+IF(BB$3="","",IF($AY90="","",IFERROR(INDEX('Data Consolidada'!$E$7:$E$891,MATCH(CONCATENATE(BB$3,"-",$CP90,"-",$AY90),'Data Consolidada'!$K$7:$K$891,0)),MAX('Data Consolidada'!$E$7:$E$3000))))</f>
        <v/>
      </c>
      <c r="BC90" s="32" t="str">
        <f>+IF(BC$3="","",IF($AY90="","",IFERROR(INDEX('Data Consolidada'!$E$7:$E$891,MATCH(CONCATENATE(BC$3,"-",$CP90,"-",$AY90),'Data Consolidada'!$K$7:$K$891,0)),MAX('Data Consolidada'!$E$7:$E$3000))))</f>
        <v/>
      </c>
      <c r="BD90" s="32" t="str">
        <f>+IF(BD$3="","",IF($AY90="","",IFERROR(INDEX('Data Consolidada'!$E$7:$E$891,MATCH(CONCATENATE(BD$3,"-",$CP90,"-",$AY90),'Data Consolidada'!$K$7:$K$891,0)),MAX('Data Consolidada'!$E$7:$E$3000))))</f>
        <v/>
      </c>
      <c r="BE90" s="32" t="str">
        <f>+IF(BE$3="","",IF($AY90="","",IFERROR(INDEX('Data Consolidada'!$E$7:$E$891,MATCH(CONCATENATE(BE$3,"-",$CP90,"-",$AY90),'Data Consolidada'!$K$7:$K$891,0)),MAX('Data Consolidada'!$E$7:$E$3000))))</f>
        <v/>
      </c>
      <c r="BF90" s="32" t="str">
        <f>+IF(BF$3="","",IF($AY90="","",IFERROR(INDEX('Data Consolidada'!$E$7:$E$891,MATCH(CONCATENATE(BF$3,"-",$CP90,"-",$AY90),'Data Consolidada'!$K$7:$K$891,0)),MAX('Data Consolidada'!$E$7:$E$3000))))</f>
        <v/>
      </c>
      <c r="BG90" s="32" t="str">
        <f>+IF(BG$3="","",IF($AY90="","",IFERROR(INDEX('Data Consolidada'!$E$7:$E$891,MATCH(CONCATENATE(BG$3,"-",$CP90,"-",$AY90),'Data Consolidada'!$K$7:$K$891,0)),MAX('Data Consolidada'!$E$7:$E$3000))))</f>
        <v/>
      </c>
      <c r="BH90" s="32" t="str">
        <f>+IF(BH$3="","",IF($AY90="","",IFERROR(INDEX('Data Consolidada'!$E$7:$E$891,MATCH(CONCATENATE(BH$3,"-",$CP90,"-",$AY90),'Data Consolidada'!$K$7:$K$891,0)),MAX('Data Consolidada'!$E$7:$E$3000))))</f>
        <v/>
      </c>
      <c r="BI90" s="32" t="str">
        <f>+IF(BI$3="","",IF($AY90="","",IFERROR(INDEX('Data Consolidada'!$E$7:$E$891,MATCH(CONCATENATE(BI$3,"-",$CP90,"-",$AY90),'Data Consolidada'!$K$7:$K$891,0)),MAX('Data Consolidada'!$E$7:$E$3000))))</f>
        <v/>
      </c>
      <c r="BJ90" s="32" t="str">
        <f>+IF(BJ$3="","",IF($AY90="","",IFERROR(INDEX('Data Consolidada'!$E$7:$E$891,MATCH(CONCATENATE(BJ$3,"-",$CP90,"-",$AY90),'Data Consolidada'!$K$7:$K$891,0)),MAX('Data Consolidada'!$E$7:$E$3000))))</f>
        <v/>
      </c>
      <c r="BK90" s="32" t="str">
        <f>+IF(BK$3="","",IF($AY90="","",IFERROR(INDEX('Data Consolidada'!$E$7:$E$891,MATCH(CONCATENATE(BK$3,"-",$CP90,"-",$AY90),'Data Consolidada'!$K$7:$K$891,0)),MAX('Data Consolidada'!$E$7:$E$3000))))</f>
        <v/>
      </c>
      <c r="BL90" s="32" t="str">
        <f>+IF(BL$3="","",IF($AY90="","",IFERROR(INDEX('Data Consolidada'!$E$7:$E$891,MATCH(CONCATENATE(BL$3,"-",$CP90,"-",$AY90),'Data Consolidada'!$K$7:$K$891,0)),MAX('Data Consolidada'!$E$7:$E$3000))))</f>
        <v/>
      </c>
      <c r="BM90" s="32" t="str">
        <f>+IF(BM$3="","",IF($AY90="","",IFERROR(INDEX('Data Consolidada'!$E$7:$E$891,MATCH(CONCATENATE(BM$3,"-",$CP90,"-",$AY90),'Data Consolidada'!$K$7:$K$891,0)),MAX('Data Consolidada'!$E$7:$E$3000))))</f>
        <v/>
      </c>
      <c r="BN90" s="32" t="str">
        <f>+IF(BN$3="","",IF($AY90="","",IFERROR(INDEX('Data Consolidada'!$E$7:$E$891,MATCH(CONCATENATE(BN$3,"-",$CP90,"-",$AY90),'Data Consolidada'!$K$7:$K$891,0)),MAX('Data Consolidada'!$E$7:$E$3000))))</f>
        <v/>
      </c>
      <c r="BO90" s="32" t="str">
        <f>+IF(BO$3="","",IF($AY90="","",IFERROR(INDEX('Data Consolidada'!$E$7:$E$891,MATCH(CONCATENATE(BO$3,"-",$CP90,"-",$AY90),'Data Consolidada'!$K$7:$K$891,0)),MAX('Data Consolidada'!$E$7:$E$3000))))</f>
        <v/>
      </c>
      <c r="BP90" s="32" t="str">
        <f>+IF(BP$3="","",IF($AY90="","",IFERROR(INDEX('Data Consolidada'!$E$7:$E$891,MATCH(CONCATENATE(BP$3,"-",$CP90,"-",$AY90),'Data Consolidada'!$K$7:$K$891,0)),MAX('Data Consolidada'!$E$7:$E$3000))))</f>
        <v/>
      </c>
      <c r="BQ90" s="32" t="str">
        <f>+IF(BQ$3="","",IF($AY90="","",IFERROR(INDEX('Data Consolidada'!$E$7:$E$891,MATCH(CONCATENATE(BQ$3,"-",$CP90,"-",$AY90),'Data Consolidada'!$K$7:$K$891,0)),MAX('Data Consolidada'!$E$7:$E$3000))))</f>
        <v/>
      </c>
      <c r="BR90" s="32" t="str">
        <f>+IF(BR$3="","",IF($AY90="","",IFERROR(INDEX('Data Consolidada'!$E$7:$E$891,MATCH(CONCATENATE(BR$3,"-",$CP90,"-",$AY90),'Data Consolidada'!$K$7:$K$891,0)),MAX('Data Consolidada'!$E$7:$E$3000))))</f>
        <v/>
      </c>
      <c r="BS90" s="32" t="str">
        <f>+IF(BS$3="","",IF($AY90="","",IFERROR(INDEX('Data Consolidada'!$E$7:$E$891,MATCH(CONCATENATE(BS$3,"-",$CP90,"-",$AY90),'Data Consolidada'!$K$7:$K$891,0)),MAX('Data Consolidada'!$E$7:$E$3000))))</f>
        <v/>
      </c>
      <c r="BT90" s="32" t="str">
        <f>+IF(BT$3="","",IF($AY90="","",IFERROR(INDEX('Data Consolidada'!$E$7:$E$891,MATCH(CONCATENATE(BT$3,"-",$CP90,"-",$AY90),'Data Consolidada'!$K$7:$K$891,0)),MAX('Data Consolidada'!$E$7:$E$3000))))</f>
        <v/>
      </c>
      <c r="BU90" s="32" t="str">
        <f>+IF(BU$3="","",IF($AY90="","",IFERROR(INDEX('Data Consolidada'!$E$7:$E$891,MATCH(CONCATENATE(BU$3,"-",$CP90,"-",$AY90),'Data Consolidada'!$K$7:$K$891,0)),MAX('Data Consolidada'!$E$7:$E$3000))))</f>
        <v/>
      </c>
      <c r="BV90" s="32" t="str">
        <f>+IF(BV$3="","",IF($AY90="","",IFERROR(INDEX('Data Consolidada'!$E$7:$E$891,MATCH(CONCATENATE(BV$3,"-",$CP90,"-",$AY90),'Data Consolidada'!$K$7:$K$891,0)),MAX('Data Consolidada'!$E$7:$E$3000))))</f>
        <v/>
      </c>
      <c r="BW90" s="32" t="str">
        <f>+IF(BW$3="","",IF($AY90="","",IFERROR(INDEX('Data Consolidada'!$E$7:$E$891,MATCH(CONCATENATE(BW$3,"-",$CP90,"-",$AY90),'Data Consolidada'!$K$7:$K$891,0)),MAX('Data Consolidada'!$E$7:$E$3000))))</f>
        <v/>
      </c>
      <c r="BX90" s="32" t="str">
        <f>+IF(BX$3="","",IF($AY90="","",IFERROR(INDEX('Data Consolidada'!$E$7:$E$891,MATCH(CONCATENATE(BX$3,"-",$CP90,"-",$AY90),'Data Consolidada'!$K$7:$K$891,0)),MAX('Data Consolidada'!$E$7:$E$3000))))</f>
        <v/>
      </c>
      <c r="BY90" s="32" t="str">
        <f>+IF(BY$3="","",IF($AY90="","",IFERROR(INDEX('Data Consolidada'!$E$7:$E$891,MATCH(CONCATENATE(BY$3,"-",$CP90,"-",$AY90),'Data Consolidada'!$K$7:$K$891,0)),MAX('Data Consolidada'!$E$7:$E$3000))))</f>
        <v/>
      </c>
      <c r="BZ90" s="32" t="str">
        <f>+IF(BZ$3="","",IF($AY90="","",IFERROR(INDEX('Data Consolidada'!$E$7:$E$891,MATCH(CONCATENATE(BZ$3,"-",$CP90,"-",$AY90),'Data Consolidada'!$K$7:$K$891,0)),MAX('Data Consolidada'!$E$7:$E$3000))))</f>
        <v/>
      </c>
      <c r="CA90" s="32" t="str">
        <f>+IF(CA$3="","",IF($AY90="","",IFERROR(INDEX('Data Consolidada'!$E$7:$E$891,MATCH(CONCATENATE(CA$3,"-",$CP90,"-",$AY90),'Data Consolidada'!$K$7:$K$891,0)),MAX('Data Consolidada'!$E$7:$E$3000))))</f>
        <v/>
      </c>
      <c r="CB90" s="32" t="str">
        <f>+IF(CB$3="","",IF($AY90="","",IFERROR(INDEX('Data Consolidada'!$E$7:$E$891,MATCH(CONCATENATE(CB$3,"-",$CP90,"-",$AY90),'Data Consolidada'!$K$7:$K$891,0)),MAX('Data Consolidada'!$E$7:$E$3000))))</f>
        <v/>
      </c>
      <c r="CC90" s="32" t="str">
        <f>+IF(CC$3="","",IF($AY90="","",IFERROR(INDEX('Data Consolidada'!$E$7:$E$891,MATCH(CONCATENATE(CC$3,"-",$CP90,"-",$AY90),'Data Consolidada'!$K$7:$K$891,0)),MAX('Data Consolidada'!$E$7:$E$3000))))</f>
        <v/>
      </c>
      <c r="CD90" s="32" t="str">
        <f>+IF(CD$3="","",IF($AY90="","",IFERROR(INDEX('Data Consolidada'!$E$7:$E$891,MATCH(CONCATENATE(CD$3,"-",$CP90,"-",$AY90),'Data Consolidada'!$K$7:$K$891,0)),MAX('Data Consolidada'!$E$7:$E$3000))))</f>
        <v/>
      </c>
      <c r="CE90" s="32" t="str">
        <f>+IF(CE$3="","",IF($AY90="","",IFERROR(INDEX('Data Consolidada'!$E$7:$E$891,MATCH(CONCATENATE(CE$3,"-",$CP90,"-",$AY90),'Data Consolidada'!$K$7:$K$891,0)),MAX('Data Consolidada'!$E$7:$E$3000))))</f>
        <v/>
      </c>
      <c r="CF90" s="32" t="str">
        <f>+IF(CF$3="","",IF($AY90="","",IFERROR(INDEX('Data Consolidada'!$E$7:$E$891,MATCH(CONCATENATE(CF$3,"-",$CP90,"-",$AY90),'Data Consolidada'!$K$7:$K$891,0)),MAX('Data Consolidada'!$E$7:$E$3000))))</f>
        <v/>
      </c>
      <c r="CG90" s="32" t="str">
        <f>+IF(CG$3="","",IF($AY90="","",IFERROR(INDEX('Data Consolidada'!$E$7:$E$891,MATCH(CONCATENATE(CG$3,"-",$CP90,"-",$AY90),'Data Consolidada'!$K$7:$K$891,0)),MAX('Data Consolidada'!$E$7:$E$3000))))</f>
        <v/>
      </c>
      <c r="CH90" s="32" t="str">
        <f>+IF(CH$3="","",IF($AY90="","",IFERROR(INDEX('Data Consolidada'!$E$7:$E$891,MATCH(CONCATENATE(CH$3,"-",$CP90,"-",$AY90),'Data Consolidada'!$K$7:$K$891,0)),MAX('Data Consolidada'!$E$7:$E$3000))))</f>
        <v/>
      </c>
      <c r="CI90" s="32" t="str">
        <f>+IF(CI$3="","",IF($AY90="","",IFERROR(INDEX('Data Consolidada'!$E$7:$E$891,MATCH(CONCATENATE(CI$3,"-",$CP90,"-",$AY90),'Data Consolidada'!$K$7:$K$891,0)),MAX('Data Consolidada'!$E$7:$E$3000))))</f>
        <v/>
      </c>
      <c r="CJ90" s="32" t="str">
        <f>+IF(CJ$3="","",IF($AY90="","",IFERROR(INDEX('Data Consolidada'!$E$7:$E$891,MATCH(CONCATENATE(CJ$3,"-",$CP90,"-",$AY90),'Data Consolidada'!$K$7:$K$891,0)),MAX('Data Consolidada'!$E$7:$E$3000))))</f>
        <v/>
      </c>
      <c r="CK90" s="32" t="str">
        <f>+IF(CK$3="","",IF($AY90="","",IFERROR(INDEX('Data Consolidada'!$E$7:$E$891,MATCH(CONCATENATE(CK$3,"-",$CP90,"-",$AY90),'Data Consolidada'!$K$7:$K$891,0)),MAX('Data Consolidada'!$E$7:$E$3000))))</f>
        <v/>
      </c>
      <c r="CL90" s="32" t="str">
        <f>+IF(CL$3="","",IF($AY90="","",IFERROR(INDEX('Data Consolidada'!$E$7:$E$891,MATCH(CONCATENATE(CL$3,"-",$CP90,"-",$AY90),'Data Consolidada'!$K$7:$K$891,0)),MAX('Data Consolidada'!$E$7:$E$3000))))</f>
        <v/>
      </c>
      <c r="CM90" s="32" t="str">
        <f>+IF(CM$3="","",IF($AY90="","",IFERROR(INDEX('Data Consolidada'!$E$7:$E$891,MATCH(CONCATENATE(CM$3,"-",$CP90,"-",$AY90),'Data Consolidada'!$K$7:$K$891,0)),MAX('Data Consolidada'!$E$7:$E$3000))))</f>
        <v/>
      </c>
      <c r="CN90" s="32" t="str">
        <f>+IF(CN$3="","",IF($AY90="","",IFERROR(INDEX('Data Consolidada'!$E$7:$E$891,MATCH(CONCATENATE(CN$3,"-",$CP90,"-",$AY90),'Data Consolidada'!$K$7:$K$891,0)),MAX('Data Consolidada'!$E$7:$E$3000))))</f>
        <v/>
      </c>
      <c r="CO90" s="37" t="str">
        <f>+IF(CO$3="","",IF($AY90="","",IFERROR(INDEX('Data Consolidada'!$E$7:$E$891,MATCH(CONCATENATE(CO$3,"-",$CP90,"-",$AY90),'Data Consolidada'!$K$7:$K$891,0)),MAX('Data Consolidada'!$E$7:$E$3000))))</f>
        <v/>
      </c>
      <c r="CP90" s="224">
        <f t="shared" ca="1" si="45"/>
        <v>0</v>
      </c>
      <c r="CQ90" s="84" t="str">
        <f t="shared" ca="1" si="39"/>
        <v>TH TRANSPORTES0</v>
      </c>
    </row>
    <row r="91" spans="2:95" ht="15" customHeight="1" x14ac:dyDescent="0.35">
      <c r="B91" s="218" t="str">
        <f t="shared" ca="1" si="41"/>
        <v>PARRAO</v>
      </c>
      <c r="C91" s="238">
        <v>0</v>
      </c>
      <c r="D91" s="239">
        <v>0</v>
      </c>
      <c r="E91" s="239">
        <v>0</v>
      </c>
      <c r="F91" s="239">
        <v>0</v>
      </c>
      <c r="G91" s="239">
        <v>0</v>
      </c>
      <c r="H91" s="239">
        <v>0</v>
      </c>
      <c r="I91" s="239">
        <v>0</v>
      </c>
      <c r="J91" s="239">
        <v>0</v>
      </c>
      <c r="K91" s="239">
        <v>0</v>
      </c>
      <c r="L91" s="239">
        <v>0</v>
      </c>
      <c r="M91" s="239">
        <v>0</v>
      </c>
      <c r="N91" s="240">
        <v>0</v>
      </c>
      <c r="O91" s="239">
        <v>0</v>
      </c>
      <c r="P91" s="239">
        <v>0</v>
      </c>
      <c r="Q91" s="239">
        <v>0</v>
      </c>
      <c r="R91" s="239">
        <v>0</v>
      </c>
      <c r="S91" s="239">
        <v>0</v>
      </c>
      <c r="T91" s="239">
        <v>0</v>
      </c>
      <c r="U91" s="239">
        <v>0</v>
      </c>
      <c r="V91" s="239">
        <v>0</v>
      </c>
      <c r="W91" s="239">
        <v>0</v>
      </c>
      <c r="X91" s="239">
        <v>0</v>
      </c>
      <c r="Y91" s="239">
        <v>0</v>
      </c>
      <c r="Z91" s="239"/>
      <c r="AA91" s="239"/>
      <c r="AB91" s="239"/>
      <c r="AC91" s="239"/>
      <c r="AD91" s="239"/>
      <c r="AE91" s="239"/>
      <c r="AF91" s="239"/>
      <c r="AG91" s="239"/>
      <c r="AH91" s="239"/>
      <c r="AI91" s="239"/>
      <c r="AJ91" s="239"/>
      <c r="AK91" s="239"/>
      <c r="AL91" s="239"/>
      <c r="AM91" s="239"/>
      <c r="AN91" s="239"/>
      <c r="AO91" s="239"/>
      <c r="AP91" s="239"/>
      <c r="AQ91" s="239"/>
      <c r="AR91" s="252"/>
      <c r="AS91" s="77" t="str">
        <f t="shared" ca="1" si="42"/>
        <v>MOSTAZAL</v>
      </c>
      <c r="AT91" s="255">
        <f t="shared" si="43"/>
        <v>0</v>
      </c>
      <c r="AU91" s="51"/>
      <c r="AV91" s="51"/>
      <c r="AW91" s="13">
        <f>+IF(AX91="","",IF(AX91&gt;AX90,AW90,IF(AW90&lt;$D$69,AW90+1,IF(COUNT(AW$4:AW90)&lt;$B$69*$E$54,1,""))))</f>
        <v>7</v>
      </c>
      <c r="AX91" s="13">
        <f>+IF(AX90&lt;$B$69,AX90+1,IF(COUNT(AX$4:AX90)&lt;$B$69*$D$69,1,""))</f>
        <v>10</v>
      </c>
      <c r="AY91" s="189" t="str">
        <f t="shared" ca="1" si="44"/>
        <v>TRAIDILL</v>
      </c>
      <c r="AZ91" s="36">
        <f ca="1">+IF(AZ$3="","",IF($AY91="","",IFERROR(INDEX('Data Consolidada'!$E$7:$E$891,MATCH(CONCATENATE(AZ$3,"-",$CP91,"-",$AY91),'Data Consolidada'!$K$7:$K$891,0)),MAX('Data Consolidada'!$E$7:$E$3000))))</f>
        <v>11000000</v>
      </c>
      <c r="BA91" s="32">
        <f ca="1">+IF(BA$3="","",IF($AY91="","",IFERROR(INDEX('Data Consolidada'!$E$7:$E$891,MATCH(CONCATENATE(BA$3,"-",$CP91,"-",$AY91),'Data Consolidada'!$K$7:$K$891,0)),MAX('Data Consolidada'!$E$7:$E$3000))))</f>
        <v>11000000</v>
      </c>
      <c r="BB91" s="32" t="str">
        <f>+IF(BB$3="","",IF($AY91="","",IFERROR(INDEX('Data Consolidada'!$E$7:$E$891,MATCH(CONCATENATE(BB$3,"-",$CP91,"-",$AY91),'Data Consolidada'!$K$7:$K$891,0)),MAX('Data Consolidada'!$E$7:$E$3000))))</f>
        <v/>
      </c>
      <c r="BC91" s="32" t="str">
        <f>+IF(BC$3="","",IF($AY91="","",IFERROR(INDEX('Data Consolidada'!$E$7:$E$891,MATCH(CONCATENATE(BC$3,"-",$CP91,"-",$AY91),'Data Consolidada'!$K$7:$K$891,0)),MAX('Data Consolidada'!$E$7:$E$3000))))</f>
        <v/>
      </c>
      <c r="BD91" s="32" t="str">
        <f>+IF(BD$3="","",IF($AY91="","",IFERROR(INDEX('Data Consolidada'!$E$7:$E$891,MATCH(CONCATENATE(BD$3,"-",$CP91,"-",$AY91),'Data Consolidada'!$K$7:$K$891,0)),MAX('Data Consolidada'!$E$7:$E$3000))))</f>
        <v/>
      </c>
      <c r="BE91" s="32" t="str">
        <f>+IF(BE$3="","",IF($AY91="","",IFERROR(INDEX('Data Consolidada'!$E$7:$E$891,MATCH(CONCATENATE(BE$3,"-",$CP91,"-",$AY91),'Data Consolidada'!$K$7:$K$891,0)),MAX('Data Consolidada'!$E$7:$E$3000))))</f>
        <v/>
      </c>
      <c r="BF91" s="32" t="str">
        <f>+IF(BF$3="","",IF($AY91="","",IFERROR(INDEX('Data Consolidada'!$E$7:$E$891,MATCH(CONCATENATE(BF$3,"-",$CP91,"-",$AY91),'Data Consolidada'!$K$7:$K$891,0)),MAX('Data Consolidada'!$E$7:$E$3000))))</f>
        <v/>
      </c>
      <c r="BG91" s="32" t="str">
        <f>+IF(BG$3="","",IF($AY91="","",IFERROR(INDEX('Data Consolidada'!$E$7:$E$891,MATCH(CONCATENATE(BG$3,"-",$CP91,"-",$AY91),'Data Consolidada'!$K$7:$K$891,0)),MAX('Data Consolidada'!$E$7:$E$3000))))</f>
        <v/>
      </c>
      <c r="BH91" s="32" t="str">
        <f>+IF(BH$3="","",IF($AY91="","",IFERROR(INDEX('Data Consolidada'!$E$7:$E$891,MATCH(CONCATENATE(BH$3,"-",$CP91,"-",$AY91),'Data Consolidada'!$K$7:$K$891,0)),MAX('Data Consolidada'!$E$7:$E$3000))))</f>
        <v/>
      </c>
      <c r="BI91" s="32" t="str">
        <f>+IF(BI$3="","",IF($AY91="","",IFERROR(INDEX('Data Consolidada'!$E$7:$E$891,MATCH(CONCATENATE(BI$3,"-",$CP91,"-",$AY91),'Data Consolidada'!$K$7:$K$891,0)),MAX('Data Consolidada'!$E$7:$E$3000))))</f>
        <v/>
      </c>
      <c r="BJ91" s="32" t="str">
        <f>+IF(BJ$3="","",IF($AY91="","",IFERROR(INDEX('Data Consolidada'!$E$7:$E$891,MATCH(CONCATENATE(BJ$3,"-",$CP91,"-",$AY91),'Data Consolidada'!$K$7:$K$891,0)),MAX('Data Consolidada'!$E$7:$E$3000))))</f>
        <v/>
      </c>
      <c r="BK91" s="32" t="str">
        <f>+IF(BK$3="","",IF($AY91="","",IFERROR(INDEX('Data Consolidada'!$E$7:$E$891,MATCH(CONCATENATE(BK$3,"-",$CP91,"-",$AY91),'Data Consolidada'!$K$7:$K$891,0)),MAX('Data Consolidada'!$E$7:$E$3000))))</f>
        <v/>
      </c>
      <c r="BL91" s="32" t="str">
        <f>+IF(BL$3="","",IF($AY91="","",IFERROR(INDEX('Data Consolidada'!$E$7:$E$891,MATCH(CONCATENATE(BL$3,"-",$CP91,"-",$AY91),'Data Consolidada'!$K$7:$K$891,0)),MAX('Data Consolidada'!$E$7:$E$3000))))</f>
        <v/>
      </c>
      <c r="BM91" s="32" t="str">
        <f>+IF(BM$3="","",IF($AY91="","",IFERROR(INDEX('Data Consolidada'!$E$7:$E$891,MATCH(CONCATENATE(BM$3,"-",$CP91,"-",$AY91),'Data Consolidada'!$K$7:$K$891,0)),MAX('Data Consolidada'!$E$7:$E$3000))))</f>
        <v/>
      </c>
      <c r="BN91" s="32" t="str">
        <f>+IF(BN$3="","",IF($AY91="","",IFERROR(INDEX('Data Consolidada'!$E$7:$E$891,MATCH(CONCATENATE(BN$3,"-",$CP91,"-",$AY91),'Data Consolidada'!$K$7:$K$891,0)),MAX('Data Consolidada'!$E$7:$E$3000))))</f>
        <v/>
      </c>
      <c r="BO91" s="32" t="str">
        <f>+IF(BO$3="","",IF($AY91="","",IFERROR(INDEX('Data Consolidada'!$E$7:$E$891,MATCH(CONCATENATE(BO$3,"-",$CP91,"-",$AY91),'Data Consolidada'!$K$7:$K$891,0)),MAX('Data Consolidada'!$E$7:$E$3000))))</f>
        <v/>
      </c>
      <c r="BP91" s="32" t="str">
        <f>+IF(BP$3="","",IF($AY91="","",IFERROR(INDEX('Data Consolidada'!$E$7:$E$891,MATCH(CONCATENATE(BP$3,"-",$CP91,"-",$AY91),'Data Consolidada'!$K$7:$K$891,0)),MAX('Data Consolidada'!$E$7:$E$3000))))</f>
        <v/>
      </c>
      <c r="BQ91" s="32" t="str">
        <f>+IF(BQ$3="","",IF($AY91="","",IFERROR(INDEX('Data Consolidada'!$E$7:$E$891,MATCH(CONCATENATE(BQ$3,"-",$CP91,"-",$AY91),'Data Consolidada'!$K$7:$K$891,0)),MAX('Data Consolidada'!$E$7:$E$3000))))</f>
        <v/>
      </c>
      <c r="BR91" s="32" t="str">
        <f>+IF(BR$3="","",IF($AY91="","",IFERROR(INDEX('Data Consolidada'!$E$7:$E$891,MATCH(CONCATENATE(BR$3,"-",$CP91,"-",$AY91),'Data Consolidada'!$K$7:$K$891,0)),MAX('Data Consolidada'!$E$7:$E$3000))))</f>
        <v/>
      </c>
      <c r="BS91" s="32" t="str">
        <f>+IF(BS$3="","",IF($AY91="","",IFERROR(INDEX('Data Consolidada'!$E$7:$E$891,MATCH(CONCATENATE(BS$3,"-",$CP91,"-",$AY91),'Data Consolidada'!$K$7:$K$891,0)),MAX('Data Consolidada'!$E$7:$E$3000))))</f>
        <v/>
      </c>
      <c r="BT91" s="32" t="str">
        <f>+IF(BT$3="","",IF($AY91="","",IFERROR(INDEX('Data Consolidada'!$E$7:$E$891,MATCH(CONCATENATE(BT$3,"-",$CP91,"-",$AY91),'Data Consolidada'!$K$7:$K$891,0)),MAX('Data Consolidada'!$E$7:$E$3000))))</f>
        <v/>
      </c>
      <c r="BU91" s="32" t="str">
        <f>+IF(BU$3="","",IF($AY91="","",IFERROR(INDEX('Data Consolidada'!$E$7:$E$891,MATCH(CONCATENATE(BU$3,"-",$CP91,"-",$AY91),'Data Consolidada'!$K$7:$K$891,0)),MAX('Data Consolidada'!$E$7:$E$3000))))</f>
        <v/>
      </c>
      <c r="BV91" s="32" t="str">
        <f>+IF(BV$3="","",IF($AY91="","",IFERROR(INDEX('Data Consolidada'!$E$7:$E$891,MATCH(CONCATENATE(BV$3,"-",$CP91,"-",$AY91),'Data Consolidada'!$K$7:$K$891,0)),MAX('Data Consolidada'!$E$7:$E$3000))))</f>
        <v/>
      </c>
      <c r="BW91" s="32" t="str">
        <f>+IF(BW$3="","",IF($AY91="","",IFERROR(INDEX('Data Consolidada'!$E$7:$E$891,MATCH(CONCATENATE(BW$3,"-",$CP91,"-",$AY91),'Data Consolidada'!$K$7:$K$891,0)),MAX('Data Consolidada'!$E$7:$E$3000))))</f>
        <v/>
      </c>
      <c r="BX91" s="32" t="str">
        <f>+IF(BX$3="","",IF($AY91="","",IFERROR(INDEX('Data Consolidada'!$E$7:$E$891,MATCH(CONCATENATE(BX$3,"-",$CP91,"-",$AY91),'Data Consolidada'!$K$7:$K$891,0)),MAX('Data Consolidada'!$E$7:$E$3000))))</f>
        <v/>
      </c>
      <c r="BY91" s="32" t="str">
        <f>+IF(BY$3="","",IF($AY91="","",IFERROR(INDEX('Data Consolidada'!$E$7:$E$891,MATCH(CONCATENATE(BY$3,"-",$CP91,"-",$AY91),'Data Consolidada'!$K$7:$K$891,0)),MAX('Data Consolidada'!$E$7:$E$3000))))</f>
        <v/>
      </c>
      <c r="BZ91" s="32" t="str">
        <f>+IF(BZ$3="","",IF($AY91="","",IFERROR(INDEX('Data Consolidada'!$E$7:$E$891,MATCH(CONCATENATE(BZ$3,"-",$CP91,"-",$AY91),'Data Consolidada'!$K$7:$K$891,0)),MAX('Data Consolidada'!$E$7:$E$3000))))</f>
        <v/>
      </c>
      <c r="CA91" s="32" t="str">
        <f>+IF(CA$3="","",IF($AY91="","",IFERROR(INDEX('Data Consolidada'!$E$7:$E$891,MATCH(CONCATENATE(CA$3,"-",$CP91,"-",$AY91),'Data Consolidada'!$K$7:$K$891,0)),MAX('Data Consolidada'!$E$7:$E$3000))))</f>
        <v/>
      </c>
      <c r="CB91" s="32" t="str">
        <f>+IF(CB$3="","",IF($AY91="","",IFERROR(INDEX('Data Consolidada'!$E$7:$E$891,MATCH(CONCATENATE(CB$3,"-",$CP91,"-",$AY91),'Data Consolidada'!$K$7:$K$891,0)),MAX('Data Consolidada'!$E$7:$E$3000))))</f>
        <v/>
      </c>
      <c r="CC91" s="32" t="str">
        <f>+IF(CC$3="","",IF($AY91="","",IFERROR(INDEX('Data Consolidada'!$E$7:$E$891,MATCH(CONCATENATE(CC$3,"-",$CP91,"-",$AY91),'Data Consolidada'!$K$7:$K$891,0)),MAX('Data Consolidada'!$E$7:$E$3000))))</f>
        <v/>
      </c>
      <c r="CD91" s="32" t="str">
        <f>+IF(CD$3="","",IF($AY91="","",IFERROR(INDEX('Data Consolidada'!$E$7:$E$891,MATCH(CONCATENATE(CD$3,"-",$CP91,"-",$AY91),'Data Consolidada'!$K$7:$K$891,0)),MAX('Data Consolidada'!$E$7:$E$3000))))</f>
        <v/>
      </c>
      <c r="CE91" s="32" t="str">
        <f>+IF(CE$3="","",IF($AY91="","",IFERROR(INDEX('Data Consolidada'!$E$7:$E$891,MATCH(CONCATENATE(CE$3,"-",$CP91,"-",$AY91),'Data Consolidada'!$K$7:$K$891,0)),MAX('Data Consolidada'!$E$7:$E$3000))))</f>
        <v/>
      </c>
      <c r="CF91" s="32" t="str">
        <f>+IF(CF$3="","",IF($AY91="","",IFERROR(INDEX('Data Consolidada'!$E$7:$E$891,MATCH(CONCATENATE(CF$3,"-",$CP91,"-",$AY91),'Data Consolidada'!$K$7:$K$891,0)),MAX('Data Consolidada'!$E$7:$E$3000))))</f>
        <v/>
      </c>
      <c r="CG91" s="32" t="str">
        <f>+IF(CG$3="","",IF($AY91="","",IFERROR(INDEX('Data Consolidada'!$E$7:$E$891,MATCH(CONCATENATE(CG$3,"-",$CP91,"-",$AY91),'Data Consolidada'!$K$7:$K$891,0)),MAX('Data Consolidada'!$E$7:$E$3000))))</f>
        <v/>
      </c>
      <c r="CH91" s="32" t="str">
        <f>+IF(CH$3="","",IF($AY91="","",IFERROR(INDEX('Data Consolidada'!$E$7:$E$891,MATCH(CONCATENATE(CH$3,"-",$CP91,"-",$AY91),'Data Consolidada'!$K$7:$K$891,0)),MAX('Data Consolidada'!$E$7:$E$3000))))</f>
        <v/>
      </c>
      <c r="CI91" s="32" t="str">
        <f>+IF(CI$3="","",IF($AY91="","",IFERROR(INDEX('Data Consolidada'!$E$7:$E$891,MATCH(CONCATENATE(CI$3,"-",$CP91,"-",$AY91),'Data Consolidada'!$K$7:$K$891,0)),MAX('Data Consolidada'!$E$7:$E$3000))))</f>
        <v/>
      </c>
      <c r="CJ91" s="32" t="str">
        <f>+IF(CJ$3="","",IF($AY91="","",IFERROR(INDEX('Data Consolidada'!$E$7:$E$891,MATCH(CONCATENATE(CJ$3,"-",$CP91,"-",$AY91),'Data Consolidada'!$K$7:$K$891,0)),MAX('Data Consolidada'!$E$7:$E$3000))))</f>
        <v/>
      </c>
      <c r="CK91" s="32" t="str">
        <f>+IF(CK$3="","",IF($AY91="","",IFERROR(INDEX('Data Consolidada'!$E$7:$E$891,MATCH(CONCATENATE(CK$3,"-",$CP91,"-",$AY91),'Data Consolidada'!$K$7:$K$891,0)),MAX('Data Consolidada'!$E$7:$E$3000))))</f>
        <v/>
      </c>
      <c r="CL91" s="32" t="str">
        <f>+IF(CL$3="","",IF($AY91="","",IFERROR(INDEX('Data Consolidada'!$E$7:$E$891,MATCH(CONCATENATE(CL$3,"-",$CP91,"-",$AY91),'Data Consolidada'!$K$7:$K$891,0)),MAX('Data Consolidada'!$E$7:$E$3000))))</f>
        <v/>
      </c>
      <c r="CM91" s="32" t="str">
        <f>+IF(CM$3="","",IF($AY91="","",IFERROR(INDEX('Data Consolidada'!$E$7:$E$891,MATCH(CONCATENATE(CM$3,"-",$CP91,"-",$AY91),'Data Consolidada'!$K$7:$K$891,0)),MAX('Data Consolidada'!$E$7:$E$3000))))</f>
        <v/>
      </c>
      <c r="CN91" s="32" t="str">
        <f>+IF(CN$3="","",IF($AY91="","",IFERROR(INDEX('Data Consolidada'!$E$7:$E$891,MATCH(CONCATENATE(CN$3,"-",$CP91,"-",$AY91),'Data Consolidada'!$K$7:$K$891,0)),MAX('Data Consolidada'!$E$7:$E$3000))))</f>
        <v/>
      </c>
      <c r="CO91" s="37" t="str">
        <f>+IF(CO$3="","",IF($AY91="","",IFERROR(INDEX('Data Consolidada'!$E$7:$E$891,MATCH(CONCATENATE(CO$3,"-",$CP91,"-",$AY91),'Data Consolidada'!$K$7:$K$891,0)),MAX('Data Consolidada'!$E$7:$E$3000))))</f>
        <v/>
      </c>
      <c r="CP91" s="224">
        <f t="shared" ca="1" si="45"/>
        <v>0</v>
      </c>
      <c r="CQ91" s="84" t="str">
        <f t="shared" ca="1" si="39"/>
        <v>TRAIDILL0</v>
      </c>
    </row>
    <row r="92" spans="2:95" ht="15" customHeight="1" x14ac:dyDescent="0.35">
      <c r="B92" s="218" t="str">
        <f t="shared" ca="1" si="41"/>
        <v>PAULA</v>
      </c>
      <c r="C92" s="238">
        <v>0</v>
      </c>
      <c r="D92" s="239">
        <v>0</v>
      </c>
      <c r="E92" s="239">
        <v>0</v>
      </c>
      <c r="F92" s="239">
        <v>0</v>
      </c>
      <c r="G92" s="239">
        <v>0</v>
      </c>
      <c r="H92" s="239">
        <v>0</v>
      </c>
      <c r="I92" s="239">
        <v>0</v>
      </c>
      <c r="J92" s="239">
        <v>0</v>
      </c>
      <c r="K92" s="239">
        <v>0</v>
      </c>
      <c r="L92" s="239">
        <v>0</v>
      </c>
      <c r="M92" s="239">
        <v>0</v>
      </c>
      <c r="N92" s="240">
        <v>0</v>
      </c>
      <c r="O92" s="239">
        <v>0</v>
      </c>
      <c r="P92" s="239">
        <v>0</v>
      </c>
      <c r="Q92" s="239">
        <v>0</v>
      </c>
      <c r="R92" s="239">
        <v>0</v>
      </c>
      <c r="S92" s="239">
        <v>0</v>
      </c>
      <c r="T92" s="239">
        <v>0</v>
      </c>
      <c r="U92" s="239">
        <v>0</v>
      </c>
      <c r="V92" s="239">
        <v>0</v>
      </c>
      <c r="W92" s="239">
        <v>0</v>
      </c>
      <c r="X92" s="239">
        <v>0</v>
      </c>
      <c r="Y92" s="239">
        <v>0</v>
      </c>
      <c r="Z92" s="239"/>
      <c r="AA92" s="239"/>
      <c r="AB92" s="239"/>
      <c r="AC92" s="239"/>
      <c r="AD92" s="239"/>
      <c r="AE92" s="239"/>
      <c r="AF92" s="239"/>
      <c r="AG92" s="239"/>
      <c r="AH92" s="239"/>
      <c r="AI92" s="239"/>
      <c r="AJ92" s="239"/>
      <c r="AK92" s="239"/>
      <c r="AL92" s="239"/>
      <c r="AM92" s="239"/>
      <c r="AN92" s="239"/>
      <c r="AO92" s="239"/>
      <c r="AP92" s="239"/>
      <c r="AQ92" s="239"/>
      <c r="AR92" s="252"/>
      <c r="AS92" s="77" t="str">
        <f t="shared" ca="1" si="42"/>
        <v>MOSTAZAL</v>
      </c>
      <c r="AT92" s="255">
        <f t="shared" si="43"/>
        <v>0</v>
      </c>
      <c r="AU92" s="51"/>
      <c r="AV92" s="51"/>
      <c r="AW92" s="13">
        <f>+IF(AX92="","",IF(AX92&gt;AX91,AW91,IF(AW91&lt;$D$69,AW91+1,IF(COUNT(AW$4:AW91)&lt;$B$69*$E$54,1,""))))</f>
        <v>7</v>
      </c>
      <c r="AX92" s="13">
        <f>+IF(AX91&lt;$B$69,AX91+1,IF(COUNT(AX$4:AX91)&lt;$B$69*$D$69,1,""))</f>
        <v>11</v>
      </c>
      <c r="AY92" s="189" t="str">
        <f t="shared" ca="1" si="44"/>
        <v>TRANS. ALMENDRAL</v>
      </c>
      <c r="AZ92" s="36">
        <f ca="1">+IF(AZ$3="","",IF($AY92="","",IFERROR(INDEX('Data Consolidada'!$E$7:$E$891,MATCH(CONCATENATE(AZ$3,"-",$CP92,"-",$AY92),'Data Consolidada'!$K$7:$K$891,0)),MAX('Data Consolidada'!$E$7:$E$3000))))</f>
        <v>11000000</v>
      </c>
      <c r="BA92" s="32">
        <f ca="1">+IF(BA$3="","",IF($AY92="","",IFERROR(INDEX('Data Consolidada'!$E$7:$E$891,MATCH(CONCATENATE(BA$3,"-",$CP92,"-",$AY92),'Data Consolidada'!$K$7:$K$891,0)),MAX('Data Consolidada'!$E$7:$E$3000))))</f>
        <v>11000000</v>
      </c>
      <c r="BB92" s="32" t="str">
        <f>+IF(BB$3="","",IF($AY92="","",IFERROR(INDEX('Data Consolidada'!$E$7:$E$891,MATCH(CONCATENATE(BB$3,"-",$CP92,"-",$AY92),'Data Consolidada'!$K$7:$K$891,0)),MAX('Data Consolidada'!$E$7:$E$3000))))</f>
        <v/>
      </c>
      <c r="BC92" s="32" t="str">
        <f>+IF(BC$3="","",IF($AY92="","",IFERROR(INDEX('Data Consolidada'!$E$7:$E$891,MATCH(CONCATENATE(BC$3,"-",$CP92,"-",$AY92),'Data Consolidada'!$K$7:$K$891,0)),MAX('Data Consolidada'!$E$7:$E$3000))))</f>
        <v/>
      </c>
      <c r="BD92" s="32" t="str">
        <f>+IF(BD$3="","",IF($AY92="","",IFERROR(INDEX('Data Consolidada'!$E$7:$E$891,MATCH(CONCATENATE(BD$3,"-",$CP92,"-",$AY92),'Data Consolidada'!$K$7:$K$891,0)),MAX('Data Consolidada'!$E$7:$E$3000))))</f>
        <v/>
      </c>
      <c r="BE92" s="32" t="str">
        <f>+IF(BE$3="","",IF($AY92="","",IFERROR(INDEX('Data Consolidada'!$E$7:$E$891,MATCH(CONCATENATE(BE$3,"-",$CP92,"-",$AY92),'Data Consolidada'!$K$7:$K$891,0)),MAX('Data Consolidada'!$E$7:$E$3000))))</f>
        <v/>
      </c>
      <c r="BF92" s="32" t="str">
        <f>+IF(BF$3="","",IF($AY92="","",IFERROR(INDEX('Data Consolidada'!$E$7:$E$891,MATCH(CONCATENATE(BF$3,"-",$CP92,"-",$AY92),'Data Consolidada'!$K$7:$K$891,0)),MAX('Data Consolidada'!$E$7:$E$3000))))</f>
        <v/>
      </c>
      <c r="BG92" s="32" t="str">
        <f>+IF(BG$3="","",IF($AY92="","",IFERROR(INDEX('Data Consolidada'!$E$7:$E$891,MATCH(CONCATENATE(BG$3,"-",$CP92,"-",$AY92),'Data Consolidada'!$K$7:$K$891,0)),MAX('Data Consolidada'!$E$7:$E$3000))))</f>
        <v/>
      </c>
      <c r="BH92" s="32" t="str">
        <f>+IF(BH$3="","",IF($AY92="","",IFERROR(INDEX('Data Consolidada'!$E$7:$E$891,MATCH(CONCATENATE(BH$3,"-",$CP92,"-",$AY92),'Data Consolidada'!$K$7:$K$891,0)),MAX('Data Consolidada'!$E$7:$E$3000))))</f>
        <v/>
      </c>
      <c r="BI92" s="32" t="str">
        <f>+IF(BI$3="","",IF($AY92="","",IFERROR(INDEX('Data Consolidada'!$E$7:$E$891,MATCH(CONCATENATE(BI$3,"-",$CP92,"-",$AY92),'Data Consolidada'!$K$7:$K$891,0)),MAX('Data Consolidada'!$E$7:$E$3000))))</f>
        <v/>
      </c>
      <c r="BJ92" s="32" t="str">
        <f>+IF(BJ$3="","",IF($AY92="","",IFERROR(INDEX('Data Consolidada'!$E$7:$E$891,MATCH(CONCATENATE(BJ$3,"-",$CP92,"-",$AY92),'Data Consolidada'!$K$7:$K$891,0)),MAX('Data Consolidada'!$E$7:$E$3000))))</f>
        <v/>
      </c>
      <c r="BK92" s="32" t="str">
        <f>+IF(BK$3="","",IF($AY92="","",IFERROR(INDEX('Data Consolidada'!$E$7:$E$891,MATCH(CONCATENATE(BK$3,"-",$CP92,"-",$AY92),'Data Consolidada'!$K$7:$K$891,0)),MAX('Data Consolidada'!$E$7:$E$3000))))</f>
        <v/>
      </c>
      <c r="BL92" s="32" t="str">
        <f>+IF(BL$3="","",IF($AY92="","",IFERROR(INDEX('Data Consolidada'!$E$7:$E$891,MATCH(CONCATENATE(BL$3,"-",$CP92,"-",$AY92),'Data Consolidada'!$K$7:$K$891,0)),MAX('Data Consolidada'!$E$7:$E$3000))))</f>
        <v/>
      </c>
      <c r="BM92" s="32" t="str">
        <f>+IF(BM$3="","",IF($AY92="","",IFERROR(INDEX('Data Consolidada'!$E$7:$E$891,MATCH(CONCATENATE(BM$3,"-",$CP92,"-",$AY92),'Data Consolidada'!$K$7:$K$891,0)),MAX('Data Consolidada'!$E$7:$E$3000))))</f>
        <v/>
      </c>
      <c r="BN92" s="32" t="str">
        <f>+IF(BN$3="","",IF($AY92="","",IFERROR(INDEX('Data Consolidada'!$E$7:$E$891,MATCH(CONCATENATE(BN$3,"-",$CP92,"-",$AY92),'Data Consolidada'!$K$7:$K$891,0)),MAX('Data Consolidada'!$E$7:$E$3000))))</f>
        <v/>
      </c>
      <c r="BO92" s="32" t="str">
        <f>+IF(BO$3="","",IF($AY92="","",IFERROR(INDEX('Data Consolidada'!$E$7:$E$891,MATCH(CONCATENATE(BO$3,"-",$CP92,"-",$AY92),'Data Consolidada'!$K$7:$K$891,0)),MAX('Data Consolidada'!$E$7:$E$3000))))</f>
        <v/>
      </c>
      <c r="BP92" s="32" t="str">
        <f>+IF(BP$3="","",IF($AY92="","",IFERROR(INDEX('Data Consolidada'!$E$7:$E$891,MATCH(CONCATENATE(BP$3,"-",$CP92,"-",$AY92),'Data Consolidada'!$K$7:$K$891,0)),MAX('Data Consolidada'!$E$7:$E$3000))))</f>
        <v/>
      </c>
      <c r="BQ92" s="32" t="str">
        <f>+IF(BQ$3="","",IF($AY92="","",IFERROR(INDEX('Data Consolidada'!$E$7:$E$891,MATCH(CONCATENATE(BQ$3,"-",$CP92,"-",$AY92),'Data Consolidada'!$K$7:$K$891,0)),MAX('Data Consolidada'!$E$7:$E$3000))))</f>
        <v/>
      </c>
      <c r="BR92" s="32" t="str">
        <f>+IF(BR$3="","",IF($AY92="","",IFERROR(INDEX('Data Consolidada'!$E$7:$E$891,MATCH(CONCATENATE(BR$3,"-",$CP92,"-",$AY92),'Data Consolidada'!$K$7:$K$891,0)),MAX('Data Consolidada'!$E$7:$E$3000))))</f>
        <v/>
      </c>
      <c r="BS92" s="32" t="str">
        <f>+IF(BS$3="","",IF($AY92="","",IFERROR(INDEX('Data Consolidada'!$E$7:$E$891,MATCH(CONCATENATE(BS$3,"-",$CP92,"-",$AY92),'Data Consolidada'!$K$7:$K$891,0)),MAX('Data Consolidada'!$E$7:$E$3000))))</f>
        <v/>
      </c>
      <c r="BT92" s="32" t="str">
        <f>+IF(BT$3="","",IF($AY92="","",IFERROR(INDEX('Data Consolidada'!$E$7:$E$891,MATCH(CONCATENATE(BT$3,"-",$CP92,"-",$AY92),'Data Consolidada'!$K$7:$K$891,0)),MAX('Data Consolidada'!$E$7:$E$3000))))</f>
        <v/>
      </c>
      <c r="BU92" s="32" t="str">
        <f>+IF(BU$3="","",IF($AY92="","",IFERROR(INDEX('Data Consolidada'!$E$7:$E$891,MATCH(CONCATENATE(BU$3,"-",$CP92,"-",$AY92),'Data Consolidada'!$K$7:$K$891,0)),MAX('Data Consolidada'!$E$7:$E$3000))))</f>
        <v/>
      </c>
      <c r="BV92" s="32" t="str">
        <f>+IF(BV$3="","",IF($AY92="","",IFERROR(INDEX('Data Consolidada'!$E$7:$E$891,MATCH(CONCATENATE(BV$3,"-",$CP92,"-",$AY92),'Data Consolidada'!$K$7:$K$891,0)),MAX('Data Consolidada'!$E$7:$E$3000))))</f>
        <v/>
      </c>
      <c r="BW92" s="32" t="str">
        <f>+IF(BW$3="","",IF($AY92="","",IFERROR(INDEX('Data Consolidada'!$E$7:$E$891,MATCH(CONCATENATE(BW$3,"-",$CP92,"-",$AY92),'Data Consolidada'!$K$7:$K$891,0)),MAX('Data Consolidada'!$E$7:$E$3000))))</f>
        <v/>
      </c>
      <c r="BX92" s="32" t="str">
        <f>+IF(BX$3="","",IF($AY92="","",IFERROR(INDEX('Data Consolidada'!$E$7:$E$891,MATCH(CONCATENATE(BX$3,"-",$CP92,"-",$AY92),'Data Consolidada'!$K$7:$K$891,0)),MAX('Data Consolidada'!$E$7:$E$3000))))</f>
        <v/>
      </c>
      <c r="BY92" s="32" t="str">
        <f>+IF(BY$3="","",IF($AY92="","",IFERROR(INDEX('Data Consolidada'!$E$7:$E$891,MATCH(CONCATENATE(BY$3,"-",$CP92,"-",$AY92),'Data Consolidada'!$K$7:$K$891,0)),MAX('Data Consolidada'!$E$7:$E$3000))))</f>
        <v/>
      </c>
      <c r="BZ92" s="32" t="str">
        <f>+IF(BZ$3="","",IF($AY92="","",IFERROR(INDEX('Data Consolidada'!$E$7:$E$891,MATCH(CONCATENATE(BZ$3,"-",$CP92,"-",$AY92),'Data Consolidada'!$K$7:$K$891,0)),MAX('Data Consolidada'!$E$7:$E$3000))))</f>
        <v/>
      </c>
      <c r="CA92" s="32" t="str">
        <f>+IF(CA$3="","",IF($AY92="","",IFERROR(INDEX('Data Consolidada'!$E$7:$E$891,MATCH(CONCATENATE(CA$3,"-",$CP92,"-",$AY92),'Data Consolidada'!$K$7:$K$891,0)),MAX('Data Consolidada'!$E$7:$E$3000))))</f>
        <v/>
      </c>
      <c r="CB92" s="32" t="str">
        <f>+IF(CB$3="","",IF($AY92="","",IFERROR(INDEX('Data Consolidada'!$E$7:$E$891,MATCH(CONCATENATE(CB$3,"-",$CP92,"-",$AY92),'Data Consolidada'!$K$7:$K$891,0)),MAX('Data Consolidada'!$E$7:$E$3000))))</f>
        <v/>
      </c>
      <c r="CC92" s="32" t="str">
        <f>+IF(CC$3="","",IF($AY92="","",IFERROR(INDEX('Data Consolidada'!$E$7:$E$891,MATCH(CONCATENATE(CC$3,"-",$CP92,"-",$AY92),'Data Consolidada'!$K$7:$K$891,0)),MAX('Data Consolidada'!$E$7:$E$3000))))</f>
        <v/>
      </c>
      <c r="CD92" s="32" t="str">
        <f>+IF(CD$3="","",IF($AY92="","",IFERROR(INDEX('Data Consolidada'!$E$7:$E$891,MATCH(CONCATENATE(CD$3,"-",$CP92,"-",$AY92),'Data Consolidada'!$K$7:$K$891,0)),MAX('Data Consolidada'!$E$7:$E$3000))))</f>
        <v/>
      </c>
      <c r="CE92" s="32" t="str">
        <f>+IF(CE$3="","",IF($AY92="","",IFERROR(INDEX('Data Consolidada'!$E$7:$E$891,MATCH(CONCATENATE(CE$3,"-",$CP92,"-",$AY92),'Data Consolidada'!$K$7:$K$891,0)),MAX('Data Consolidada'!$E$7:$E$3000))))</f>
        <v/>
      </c>
      <c r="CF92" s="32" t="str">
        <f>+IF(CF$3="","",IF($AY92="","",IFERROR(INDEX('Data Consolidada'!$E$7:$E$891,MATCH(CONCATENATE(CF$3,"-",$CP92,"-",$AY92),'Data Consolidada'!$K$7:$K$891,0)),MAX('Data Consolidada'!$E$7:$E$3000))))</f>
        <v/>
      </c>
      <c r="CG92" s="32" t="str">
        <f>+IF(CG$3="","",IF($AY92="","",IFERROR(INDEX('Data Consolidada'!$E$7:$E$891,MATCH(CONCATENATE(CG$3,"-",$CP92,"-",$AY92),'Data Consolidada'!$K$7:$K$891,0)),MAX('Data Consolidada'!$E$7:$E$3000))))</f>
        <v/>
      </c>
      <c r="CH92" s="32" t="str">
        <f>+IF(CH$3="","",IF($AY92="","",IFERROR(INDEX('Data Consolidada'!$E$7:$E$891,MATCH(CONCATENATE(CH$3,"-",$CP92,"-",$AY92),'Data Consolidada'!$K$7:$K$891,0)),MAX('Data Consolidada'!$E$7:$E$3000))))</f>
        <v/>
      </c>
      <c r="CI92" s="32" t="str">
        <f>+IF(CI$3="","",IF($AY92="","",IFERROR(INDEX('Data Consolidada'!$E$7:$E$891,MATCH(CONCATENATE(CI$3,"-",$CP92,"-",$AY92),'Data Consolidada'!$K$7:$K$891,0)),MAX('Data Consolidada'!$E$7:$E$3000))))</f>
        <v/>
      </c>
      <c r="CJ92" s="32" t="str">
        <f>+IF(CJ$3="","",IF($AY92="","",IFERROR(INDEX('Data Consolidada'!$E$7:$E$891,MATCH(CONCATENATE(CJ$3,"-",$CP92,"-",$AY92),'Data Consolidada'!$K$7:$K$891,0)),MAX('Data Consolidada'!$E$7:$E$3000))))</f>
        <v/>
      </c>
      <c r="CK92" s="32" t="str">
        <f>+IF(CK$3="","",IF($AY92="","",IFERROR(INDEX('Data Consolidada'!$E$7:$E$891,MATCH(CONCATENATE(CK$3,"-",$CP92,"-",$AY92),'Data Consolidada'!$K$7:$K$891,0)),MAX('Data Consolidada'!$E$7:$E$3000))))</f>
        <v/>
      </c>
      <c r="CL92" s="32" t="str">
        <f>+IF(CL$3="","",IF($AY92="","",IFERROR(INDEX('Data Consolidada'!$E$7:$E$891,MATCH(CONCATENATE(CL$3,"-",$CP92,"-",$AY92),'Data Consolidada'!$K$7:$K$891,0)),MAX('Data Consolidada'!$E$7:$E$3000))))</f>
        <v/>
      </c>
      <c r="CM92" s="32" t="str">
        <f>+IF(CM$3="","",IF($AY92="","",IFERROR(INDEX('Data Consolidada'!$E$7:$E$891,MATCH(CONCATENATE(CM$3,"-",$CP92,"-",$AY92),'Data Consolidada'!$K$7:$K$891,0)),MAX('Data Consolidada'!$E$7:$E$3000))))</f>
        <v/>
      </c>
      <c r="CN92" s="32" t="str">
        <f>+IF(CN$3="","",IF($AY92="","",IFERROR(INDEX('Data Consolidada'!$E$7:$E$891,MATCH(CONCATENATE(CN$3,"-",$CP92,"-",$AY92),'Data Consolidada'!$K$7:$K$891,0)),MAX('Data Consolidada'!$E$7:$E$3000))))</f>
        <v/>
      </c>
      <c r="CO92" s="37" t="str">
        <f>+IF(CO$3="","",IF($AY92="","",IFERROR(INDEX('Data Consolidada'!$E$7:$E$891,MATCH(CONCATENATE(CO$3,"-",$CP92,"-",$AY92),'Data Consolidada'!$K$7:$K$891,0)),MAX('Data Consolidada'!$E$7:$E$3000))))</f>
        <v/>
      </c>
      <c r="CP92" s="224">
        <f t="shared" ca="1" si="45"/>
        <v>0</v>
      </c>
      <c r="CQ92" s="84" t="str">
        <f t="shared" ca="1" si="39"/>
        <v>TRANS. ALMENDRAL0</v>
      </c>
    </row>
    <row r="93" spans="2:95" ht="15" customHeight="1" x14ac:dyDescent="0.35">
      <c r="B93" s="218" t="str">
        <f t="shared" ca="1" si="41"/>
        <v>TH TRANSPORTES</v>
      </c>
      <c r="C93" s="238">
        <v>0</v>
      </c>
      <c r="D93" s="239">
        <v>0</v>
      </c>
      <c r="E93" s="239">
        <v>0</v>
      </c>
      <c r="F93" s="239">
        <v>0</v>
      </c>
      <c r="G93" s="239">
        <v>0</v>
      </c>
      <c r="H93" s="239">
        <v>0</v>
      </c>
      <c r="I93" s="239">
        <v>0</v>
      </c>
      <c r="J93" s="239">
        <v>0</v>
      </c>
      <c r="K93" s="239">
        <v>0</v>
      </c>
      <c r="L93" s="239">
        <v>0</v>
      </c>
      <c r="M93" s="239">
        <v>0</v>
      </c>
      <c r="N93" s="240">
        <v>0</v>
      </c>
      <c r="O93" s="239">
        <v>0</v>
      </c>
      <c r="P93" s="239">
        <v>0</v>
      </c>
      <c r="Q93" s="239">
        <v>0</v>
      </c>
      <c r="R93" s="239">
        <v>0</v>
      </c>
      <c r="S93" s="239">
        <v>0</v>
      </c>
      <c r="T93" s="239">
        <v>0</v>
      </c>
      <c r="U93" s="239">
        <v>0</v>
      </c>
      <c r="V93" s="239">
        <v>0</v>
      </c>
      <c r="W93" s="239">
        <v>0</v>
      </c>
      <c r="X93" s="239">
        <v>0</v>
      </c>
      <c r="Y93" s="239">
        <v>0</v>
      </c>
      <c r="Z93" s="239"/>
      <c r="AA93" s="239"/>
      <c r="AB93" s="239"/>
      <c r="AC93" s="239"/>
      <c r="AD93" s="239"/>
      <c r="AE93" s="239"/>
      <c r="AF93" s="239"/>
      <c r="AG93" s="239"/>
      <c r="AH93" s="239"/>
      <c r="AI93" s="239"/>
      <c r="AJ93" s="239"/>
      <c r="AK93" s="239"/>
      <c r="AL93" s="239"/>
      <c r="AM93" s="239"/>
      <c r="AN93" s="239"/>
      <c r="AO93" s="239"/>
      <c r="AP93" s="239"/>
      <c r="AQ93" s="239"/>
      <c r="AR93" s="252"/>
      <c r="AS93" s="77" t="str">
        <f t="shared" ca="1" si="42"/>
        <v>MOSTAZAL</v>
      </c>
      <c r="AT93" s="255">
        <f t="shared" si="43"/>
        <v>0</v>
      </c>
      <c r="AU93" s="51"/>
      <c r="AV93" s="51"/>
      <c r="AW93" s="13">
        <f>+IF(AX93="","",IF(AX93&gt;AX92,AW92,IF(AW92&lt;$D$69,AW92+1,IF(COUNT(AW$4:AW92)&lt;$B$69*$E$54,1,""))))</f>
        <v>7</v>
      </c>
      <c r="AX93" s="13">
        <f>+IF(AX92&lt;$B$69,AX92+1,IF(COUNT(AX$4:AX92)&lt;$B$69*$D$69,1,""))</f>
        <v>12</v>
      </c>
      <c r="AY93" s="189" t="str">
        <f t="shared" ca="1" si="44"/>
        <v>TRANS. MAX SOTO G. E.I.R.L.</v>
      </c>
      <c r="AZ93" s="36">
        <f ca="1">+IF(AZ$3="","",IF($AY93="","",IFERROR(INDEX('Data Consolidada'!$E$7:$E$891,MATCH(CONCATENATE(AZ$3,"-",$CP93,"-",$AY93),'Data Consolidada'!$K$7:$K$891,0)),MAX('Data Consolidada'!$E$7:$E$3000))))</f>
        <v>11000000</v>
      </c>
      <c r="BA93" s="32">
        <f ca="1">+IF(BA$3="","",IF($AY93="","",IFERROR(INDEX('Data Consolidada'!$E$7:$E$891,MATCH(CONCATENATE(BA$3,"-",$CP93,"-",$AY93),'Data Consolidada'!$K$7:$K$891,0)),MAX('Data Consolidada'!$E$7:$E$3000))))</f>
        <v>11000000</v>
      </c>
      <c r="BB93" s="32" t="str">
        <f>+IF(BB$3="","",IF($AY93="","",IFERROR(INDEX('Data Consolidada'!$E$7:$E$891,MATCH(CONCATENATE(BB$3,"-",$CP93,"-",$AY93),'Data Consolidada'!$K$7:$K$891,0)),MAX('Data Consolidada'!$E$7:$E$3000))))</f>
        <v/>
      </c>
      <c r="BC93" s="32" t="str">
        <f>+IF(BC$3="","",IF($AY93="","",IFERROR(INDEX('Data Consolidada'!$E$7:$E$891,MATCH(CONCATENATE(BC$3,"-",$CP93,"-",$AY93),'Data Consolidada'!$K$7:$K$891,0)),MAX('Data Consolidada'!$E$7:$E$3000))))</f>
        <v/>
      </c>
      <c r="BD93" s="32" t="str">
        <f>+IF(BD$3="","",IF($AY93="","",IFERROR(INDEX('Data Consolidada'!$E$7:$E$891,MATCH(CONCATENATE(BD$3,"-",$CP93,"-",$AY93),'Data Consolidada'!$K$7:$K$891,0)),MAX('Data Consolidada'!$E$7:$E$3000))))</f>
        <v/>
      </c>
      <c r="BE93" s="32" t="str">
        <f>+IF(BE$3="","",IF($AY93="","",IFERROR(INDEX('Data Consolidada'!$E$7:$E$891,MATCH(CONCATENATE(BE$3,"-",$CP93,"-",$AY93),'Data Consolidada'!$K$7:$K$891,0)),MAX('Data Consolidada'!$E$7:$E$3000))))</f>
        <v/>
      </c>
      <c r="BF93" s="32" t="str">
        <f>+IF(BF$3="","",IF($AY93="","",IFERROR(INDEX('Data Consolidada'!$E$7:$E$891,MATCH(CONCATENATE(BF$3,"-",$CP93,"-",$AY93),'Data Consolidada'!$K$7:$K$891,0)),MAX('Data Consolidada'!$E$7:$E$3000))))</f>
        <v/>
      </c>
      <c r="BG93" s="32" t="str">
        <f>+IF(BG$3="","",IF($AY93="","",IFERROR(INDEX('Data Consolidada'!$E$7:$E$891,MATCH(CONCATENATE(BG$3,"-",$CP93,"-",$AY93),'Data Consolidada'!$K$7:$K$891,0)),MAX('Data Consolidada'!$E$7:$E$3000))))</f>
        <v/>
      </c>
      <c r="BH93" s="32" t="str">
        <f>+IF(BH$3="","",IF($AY93="","",IFERROR(INDEX('Data Consolidada'!$E$7:$E$891,MATCH(CONCATENATE(BH$3,"-",$CP93,"-",$AY93),'Data Consolidada'!$K$7:$K$891,0)),MAX('Data Consolidada'!$E$7:$E$3000))))</f>
        <v/>
      </c>
      <c r="BI93" s="32" t="str">
        <f>+IF(BI$3="","",IF($AY93="","",IFERROR(INDEX('Data Consolidada'!$E$7:$E$891,MATCH(CONCATENATE(BI$3,"-",$CP93,"-",$AY93),'Data Consolidada'!$K$7:$K$891,0)),MAX('Data Consolidada'!$E$7:$E$3000))))</f>
        <v/>
      </c>
      <c r="BJ93" s="32" t="str">
        <f>+IF(BJ$3="","",IF($AY93="","",IFERROR(INDEX('Data Consolidada'!$E$7:$E$891,MATCH(CONCATENATE(BJ$3,"-",$CP93,"-",$AY93),'Data Consolidada'!$K$7:$K$891,0)),MAX('Data Consolidada'!$E$7:$E$3000))))</f>
        <v/>
      </c>
      <c r="BK93" s="32" t="str">
        <f>+IF(BK$3="","",IF($AY93="","",IFERROR(INDEX('Data Consolidada'!$E$7:$E$891,MATCH(CONCATENATE(BK$3,"-",$CP93,"-",$AY93),'Data Consolidada'!$K$7:$K$891,0)),MAX('Data Consolidada'!$E$7:$E$3000))))</f>
        <v/>
      </c>
      <c r="BL93" s="32" t="str">
        <f>+IF(BL$3="","",IF($AY93="","",IFERROR(INDEX('Data Consolidada'!$E$7:$E$891,MATCH(CONCATENATE(BL$3,"-",$CP93,"-",$AY93),'Data Consolidada'!$K$7:$K$891,0)),MAX('Data Consolidada'!$E$7:$E$3000))))</f>
        <v/>
      </c>
      <c r="BM93" s="32" t="str">
        <f>+IF(BM$3="","",IF($AY93="","",IFERROR(INDEX('Data Consolidada'!$E$7:$E$891,MATCH(CONCATENATE(BM$3,"-",$CP93,"-",$AY93),'Data Consolidada'!$K$7:$K$891,0)),MAX('Data Consolidada'!$E$7:$E$3000))))</f>
        <v/>
      </c>
      <c r="BN93" s="32" t="str">
        <f>+IF(BN$3="","",IF($AY93="","",IFERROR(INDEX('Data Consolidada'!$E$7:$E$891,MATCH(CONCATENATE(BN$3,"-",$CP93,"-",$AY93),'Data Consolidada'!$K$7:$K$891,0)),MAX('Data Consolidada'!$E$7:$E$3000))))</f>
        <v/>
      </c>
      <c r="BO93" s="32" t="str">
        <f>+IF(BO$3="","",IF($AY93="","",IFERROR(INDEX('Data Consolidada'!$E$7:$E$891,MATCH(CONCATENATE(BO$3,"-",$CP93,"-",$AY93),'Data Consolidada'!$K$7:$K$891,0)),MAX('Data Consolidada'!$E$7:$E$3000))))</f>
        <v/>
      </c>
      <c r="BP93" s="32" t="str">
        <f>+IF(BP$3="","",IF($AY93="","",IFERROR(INDEX('Data Consolidada'!$E$7:$E$891,MATCH(CONCATENATE(BP$3,"-",$CP93,"-",$AY93),'Data Consolidada'!$K$7:$K$891,0)),MAX('Data Consolidada'!$E$7:$E$3000))))</f>
        <v/>
      </c>
      <c r="BQ93" s="32" t="str">
        <f>+IF(BQ$3="","",IF($AY93="","",IFERROR(INDEX('Data Consolidada'!$E$7:$E$891,MATCH(CONCATENATE(BQ$3,"-",$CP93,"-",$AY93),'Data Consolidada'!$K$7:$K$891,0)),MAX('Data Consolidada'!$E$7:$E$3000))))</f>
        <v/>
      </c>
      <c r="BR93" s="32" t="str">
        <f>+IF(BR$3="","",IF($AY93="","",IFERROR(INDEX('Data Consolidada'!$E$7:$E$891,MATCH(CONCATENATE(BR$3,"-",$CP93,"-",$AY93),'Data Consolidada'!$K$7:$K$891,0)),MAX('Data Consolidada'!$E$7:$E$3000))))</f>
        <v/>
      </c>
      <c r="BS93" s="32" t="str">
        <f>+IF(BS$3="","",IF($AY93="","",IFERROR(INDEX('Data Consolidada'!$E$7:$E$891,MATCH(CONCATENATE(BS$3,"-",$CP93,"-",$AY93),'Data Consolidada'!$K$7:$K$891,0)),MAX('Data Consolidada'!$E$7:$E$3000))))</f>
        <v/>
      </c>
      <c r="BT93" s="32" t="str">
        <f>+IF(BT$3="","",IF($AY93="","",IFERROR(INDEX('Data Consolidada'!$E$7:$E$891,MATCH(CONCATENATE(BT$3,"-",$CP93,"-",$AY93),'Data Consolidada'!$K$7:$K$891,0)),MAX('Data Consolidada'!$E$7:$E$3000))))</f>
        <v/>
      </c>
      <c r="BU93" s="32" t="str">
        <f>+IF(BU$3="","",IF($AY93="","",IFERROR(INDEX('Data Consolidada'!$E$7:$E$891,MATCH(CONCATENATE(BU$3,"-",$CP93,"-",$AY93),'Data Consolidada'!$K$7:$K$891,0)),MAX('Data Consolidada'!$E$7:$E$3000))))</f>
        <v/>
      </c>
      <c r="BV93" s="32" t="str">
        <f>+IF(BV$3="","",IF($AY93="","",IFERROR(INDEX('Data Consolidada'!$E$7:$E$891,MATCH(CONCATENATE(BV$3,"-",$CP93,"-",$AY93),'Data Consolidada'!$K$7:$K$891,0)),MAX('Data Consolidada'!$E$7:$E$3000))))</f>
        <v/>
      </c>
      <c r="BW93" s="32" t="str">
        <f>+IF(BW$3="","",IF($AY93="","",IFERROR(INDEX('Data Consolidada'!$E$7:$E$891,MATCH(CONCATENATE(BW$3,"-",$CP93,"-",$AY93),'Data Consolidada'!$K$7:$K$891,0)),MAX('Data Consolidada'!$E$7:$E$3000))))</f>
        <v/>
      </c>
      <c r="BX93" s="32" t="str">
        <f>+IF(BX$3="","",IF($AY93="","",IFERROR(INDEX('Data Consolidada'!$E$7:$E$891,MATCH(CONCATENATE(BX$3,"-",$CP93,"-",$AY93),'Data Consolidada'!$K$7:$K$891,0)),MAX('Data Consolidada'!$E$7:$E$3000))))</f>
        <v/>
      </c>
      <c r="BY93" s="32" t="str">
        <f>+IF(BY$3="","",IF($AY93="","",IFERROR(INDEX('Data Consolidada'!$E$7:$E$891,MATCH(CONCATENATE(BY$3,"-",$CP93,"-",$AY93),'Data Consolidada'!$K$7:$K$891,0)),MAX('Data Consolidada'!$E$7:$E$3000))))</f>
        <v/>
      </c>
      <c r="BZ93" s="32" t="str">
        <f>+IF(BZ$3="","",IF($AY93="","",IFERROR(INDEX('Data Consolidada'!$E$7:$E$891,MATCH(CONCATENATE(BZ$3,"-",$CP93,"-",$AY93),'Data Consolidada'!$K$7:$K$891,0)),MAX('Data Consolidada'!$E$7:$E$3000))))</f>
        <v/>
      </c>
      <c r="CA93" s="32" t="str">
        <f>+IF(CA$3="","",IF($AY93="","",IFERROR(INDEX('Data Consolidada'!$E$7:$E$891,MATCH(CONCATENATE(CA$3,"-",$CP93,"-",$AY93),'Data Consolidada'!$K$7:$K$891,0)),MAX('Data Consolidada'!$E$7:$E$3000))))</f>
        <v/>
      </c>
      <c r="CB93" s="32" t="str">
        <f>+IF(CB$3="","",IF($AY93="","",IFERROR(INDEX('Data Consolidada'!$E$7:$E$891,MATCH(CONCATENATE(CB$3,"-",$CP93,"-",$AY93),'Data Consolidada'!$K$7:$K$891,0)),MAX('Data Consolidada'!$E$7:$E$3000))))</f>
        <v/>
      </c>
      <c r="CC93" s="32" t="str">
        <f>+IF(CC$3="","",IF($AY93="","",IFERROR(INDEX('Data Consolidada'!$E$7:$E$891,MATCH(CONCATENATE(CC$3,"-",$CP93,"-",$AY93),'Data Consolidada'!$K$7:$K$891,0)),MAX('Data Consolidada'!$E$7:$E$3000))))</f>
        <v/>
      </c>
      <c r="CD93" s="32" t="str">
        <f>+IF(CD$3="","",IF($AY93="","",IFERROR(INDEX('Data Consolidada'!$E$7:$E$891,MATCH(CONCATENATE(CD$3,"-",$CP93,"-",$AY93),'Data Consolidada'!$K$7:$K$891,0)),MAX('Data Consolidada'!$E$7:$E$3000))))</f>
        <v/>
      </c>
      <c r="CE93" s="32" t="str">
        <f>+IF(CE$3="","",IF($AY93="","",IFERROR(INDEX('Data Consolidada'!$E$7:$E$891,MATCH(CONCATENATE(CE$3,"-",$CP93,"-",$AY93),'Data Consolidada'!$K$7:$K$891,0)),MAX('Data Consolidada'!$E$7:$E$3000))))</f>
        <v/>
      </c>
      <c r="CF93" s="32" t="str">
        <f>+IF(CF$3="","",IF($AY93="","",IFERROR(INDEX('Data Consolidada'!$E$7:$E$891,MATCH(CONCATENATE(CF$3,"-",$CP93,"-",$AY93),'Data Consolidada'!$K$7:$K$891,0)),MAX('Data Consolidada'!$E$7:$E$3000))))</f>
        <v/>
      </c>
      <c r="CG93" s="32" t="str">
        <f>+IF(CG$3="","",IF($AY93="","",IFERROR(INDEX('Data Consolidada'!$E$7:$E$891,MATCH(CONCATENATE(CG$3,"-",$CP93,"-",$AY93),'Data Consolidada'!$K$7:$K$891,0)),MAX('Data Consolidada'!$E$7:$E$3000))))</f>
        <v/>
      </c>
      <c r="CH93" s="32" t="str">
        <f>+IF(CH$3="","",IF($AY93="","",IFERROR(INDEX('Data Consolidada'!$E$7:$E$891,MATCH(CONCATENATE(CH$3,"-",$CP93,"-",$AY93),'Data Consolidada'!$K$7:$K$891,0)),MAX('Data Consolidada'!$E$7:$E$3000))))</f>
        <v/>
      </c>
      <c r="CI93" s="32" t="str">
        <f>+IF(CI$3="","",IF($AY93="","",IFERROR(INDEX('Data Consolidada'!$E$7:$E$891,MATCH(CONCATENATE(CI$3,"-",$CP93,"-",$AY93),'Data Consolidada'!$K$7:$K$891,0)),MAX('Data Consolidada'!$E$7:$E$3000))))</f>
        <v/>
      </c>
      <c r="CJ93" s="32" t="str">
        <f>+IF(CJ$3="","",IF($AY93="","",IFERROR(INDEX('Data Consolidada'!$E$7:$E$891,MATCH(CONCATENATE(CJ$3,"-",$CP93,"-",$AY93),'Data Consolidada'!$K$7:$K$891,0)),MAX('Data Consolidada'!$E$7:$E$3000))))</f>
        <v/>
      </c>
      <c r="CK93" s="32" t="str">
        <f>+IF(CK$3="","",IF($AY93="","",IFERROR(INDEX('Data Consolidada'!$E$7:$E$891,MATCH(CONCATENATE(CK$3,"-",$CP93,"-",$AY93),'Data Consolidada'!$K$7:$K$891,0)),MAX('Data Consolidada'!$E$7:$E$3000))))</f>
        <v/>
      </c>
      <c r="CL93" s="32" t="str">
        <f>+IF(CL$3="","",IF($AY93="","",IFERROR(INDEX('Data Consolidada'!$E$7:$E$891,MATCH(CONCATENATE(CL$3,"-",$CP93,"-",$AY93),'Data Consolidada'!$K$7:$K$891,0)),MAX('Data Consolidada'!$E$7:$E$3000))))</f>
        <v/>
      </c>
      <c r="CM93" s="32" t="str">
        <f>+IF(CM$3="","",IF($AY93="","",IFERROR(INDEX('Data Consolidada'!$E$7:$E$891,MATCH(CONCATENATE(CM$3,"-",$CP93,"-",$AY93),'Data Consolidada'!$K$7:$K$891,0)),MAX('Data Consolidada'!$E$7:$E$3000))))</f>
        <v/>
      </c>
      <c r="CN93" s="32" t="str">
        <f>+IF(CN$3="","",IF($AY93="","",IFERROR(INDEX('Data Consolidada'!$E$7:$E$891,MATCH(CONCATENATE(CN$3,"-",$CP93,"-",$AY93),'Data Consolidada'!$K$7:$K$891,0)),MAX('Data Consolidada'!$E$7:$E$3000))))</f>
        <v/>
      </c>
      <c r="CO93" s="37" t="str">
        <f>+IF(CO$3="","",IF($AY93="","",IFERROR(INDEX('Data Consolidada'!$E$7:$E$891,MATCH(CONCATENATE(CO$3,"-",$CP93,"-",$AY93),'Data Consolidada'!$K$7:$K$891,0)),MAX('Data Consolidada'!$E$7:$E$3000))))</f>
        <v/>
      </c>
      <c r="CP93" s="224">
        <f t="shared" ca="1" si="45"/>
        <v>0</v>
      </c>
      <c r="CQ93" s="84" t="str">
        <f t="shared" ca="1" si="39"/>
        <v>TRANS. MAX SOTO G. E.I.R.L.0</v>
      </c>
    </row>
    <row r="94" spans="2:95" ht="15" customHeight="1" x14ac:dyDescent="0.35">
      <c r="B94" s="218" t="str">
        <f t="shared" ca="1" si="41"/>
        <v>TRAIDILL</v>
      </c>
      <c r="C94" s="238">
        <v>0</v>
      </c>
      <c r="D94" s="239">
        <v>0</v>
      </c>
      <c r="E94" s="239">
        <v>0</v>
      </c>
      <c r="F94" s="239">
        <v>0</v>
      </c>
      <c r="G94" s="239">
        <v>0</v>
      </c>
      <c r="H94" s="239">
        <v>0</v>
      </c>
      <c r="I94" s="239">
        <v>0</v>
      </c>
      <c r="J94" s="239">
        <v>0</v>
      </c>
      <c r="K94" s="239">
        <v>0</v>
      </c>
      <c r="L94" s="239">
        <v>0</v>
      </c>
      <c r="M94" s="239">
        <v>0</v>
      </c>
      <c r="N94" s="240">
        <v>0</v>
      </c>
      <c r="O94" s="239">
        <v>0</v>
      </c>
      <c r="P94" s="239">
        <v>0</v>
      </c>
      <c r="Q94" s="239">
        <v>0</v>
      </c>
      <c r="R94" s="239">
        <v>0</v>
      </c>
      <c r="S94" s="239">
        <v>0</v>
      </c>
      <c r="T94" s="239">
        <v>0</v>
      </c>
      <c r="U94" s="239">
        <v>0</v>
      </c>
      <c r="V94" s="239">
        <v>0</v>
      </c>
      <c r="W94" s="239">
        <v>0</v>
      </c>
      <c r="X94" s="239">
        <v>0</v>
      </c>
      <c r="Y94" s="239">
        <v>0</v>
      </c>
      <c r="Z94" s="239"/>
      <c r="AA94" s="239"/>
      <c r="AB94" s="239"/>
      <c r="AC94" s="239"/>
      <c r="AD94" s="239"/>
      <c r="AE94" s="239"/>
      <c r="AF94" s="239"/>
      <c r="AG94" s="239"/>
      <c r="AH94" s="239"/>
      <c r="AI94" s="239"/>
      <c r="AJ94" s="239"/>
      <c r="AK94" s="239"/>
      <c r="AL94" s="239"/>
      <c r="AM94" s="239"/>
      <c r="AN94" s="239"/>
      <c r="AO94" s="239"/>
      <c r="AP94" s="239"/>
      <c r="AQ94" s="239"/>
      <c r="AR94" s="252"/>
      <c r="AS94" s="77" t="str">
        <f t="shared" ca="1" si="42"/>
        <v>MOSTAZAL</v>
      </c>
      <c r="AT94" s="255">
        <f t="shared" si="43"/>
        <v>0</v>
      </c>
      <c r="AU94" s="51"/>
      <c r="AV94" s="51"/>
      <c r="AW94" s="13">
        <f>+IF(AX94="","",IF(AX94&gt;AX93,AW93,IF(AW93&lt;$D$69,AW93+1,IF(COUNT(AW$4:AW93)&lt;$B$69*$E$54,1,""))))</f>
        <v>7</v>
      </c>
      <c r="AX94" s="13">
        <f>+IF(AX93&lt;$B$69,AX93+1,IF(COUNT(AX$4:AX93)&lt;$B$69*$D$69,1,""))</f>
        <v>13</v>
      </c>
      <c r="AY94" s="189" t="str">
        <f t="shared" ca="1" si="44"/>
        <v>TRANS. MITRE SPA.</v>
      </c>
      <c r="AZ94" s="36">
        <f ca="1">+IF(AZ$3="","",IF($AY94="","",IFERROR(INDEX('Data Consolidada'!$E$7:$E$891,MATCH(CONCATENATE(AZ$3,"-",$CP94,"-",$AY94),'Data Consolidada'!$K$7:$K$891,0)),MAX('Data Consolidada'!$E$7:$E$3000))))</f>
        <v>11000000</v>
      </c>
      <c r="BA94" s="32">
        <f ca="1">+IF(BA$3="","",IF($AY94="","",IFERROR(INDEX('Data Consolidada'!$E$7:$E$891,MATCH(CONCATENATE(BA$3,"-",$CP94,"-",$AY94),'Data Consolidada'!$K$7:$K$891,0)),MAX('Data Consolidada'!$E$7:$E$3000))))</f>
        <v>11000000</v>
      </c>
      <c r="BB94" s="32" t="str">
        <f>+IF(BB$3="","",IF($AY94="","",IFERROR(INDEX('Data Consolidada'!$E$7:$E$891,MATCH(CONCATENATE(BB$3,"-",$CP94,"-",$AY94),'Data Consolidada'!$K$7:$K$891,0)),MAX('Data Consolidada'!$E$7:$E$3000))))</f>
        <v/>
      </c>
      <c r="BC94" s="32" t="str">
        <f>+IF(BC$3="","",IF($AY94="","",IFERROR(INDEX('Data Consolidada'!$E$7:$E$891,MATCH(CONCATENATE(BC$3,"-",$CP94,"-",$AY94),'Data Consolidada'!$K$7:$K$891,0)),MAX('Data Consolidada'!$E$7:$E$3000))))</f>
        <v/>
      </c>
      <c r="BD94" s="32" t="str">
        <f>+IF(BD$3="","",IF($AY94="","",IFERROR(INDEX('Data Consolidada'!$E$7:$E$891,MATCH(CONCATENATE(BD$3,"-",$CP94,"-",$AY94),'Data Consolidada'!$K$7:$K$891,0)),MAX('Data Consolidada'!$E$7:$E$3000))))</f>
        <v/>
      </c>
      <c r="BE94" s="32" t="str">
        <f>+IF(BE$3="","",IF($AY94="","",IFERROR(INDEX('Data Consolidada'!$E$7:$E$891,MATCH(CONCATENATE(BE$3,"-",$CP94,"-",$AY94),'Data Consolidada'!$K$7:$K$891,0)),MAX('Data Consolidada'!$E$7:$E$3000))))</f>
        <v/>
      </c>
      <c r="BF94" s="32" t="str">
        <f>+IF(BF$3="","",IF($AY94="","",IFERROR(INDEX('Data Consolidada'!$E$7:$E$891,MATCH(CONCATENATE(BF$3,"-",$CP94,"-",$AY94),'Data Consolidada'!$K$7:$K$891,0)),MAX('Data Consolidada'!$E$7:$E$3000))))</f>
        <v/>
      </c>
      <c r="BG94" s="32" t="str">
        <f>+IF(BG$3="","",IF($AY94="","",IFERROR(INDEX('Data Consolidada'!$E$7:$E$891,MATCH(CONCATENATE(BG$3,"-",$CP94,"-",$AY94),'Data Consolidada'!$K$7:$K$891,0)),MAX('Data Consolidada'!$E$7:$E$3000))))</f>
        <v/>
      </c>
      <c r="BH94" s="32" t="str">
        <f>+IF(BH$3="","",IF($AY94="","",IFERROR(INDEX('Data Consolidada'!$E$7:$E$891,MATCH(CONCATENATE(BH$3,"-",$CP94,"-",$AY94),'Data Consolidada'!$K$7:$K$891,0)),MAX('Data Consolidada'!$E$7:$E$3000))))</f>
        <v/>
      </c>
      <c r="BI94" s="32" t="str">
        <f>+IF(BI$3="","",IF($AY94="","",IFERROR(INDEX('Data Consolidada'!$E$7:$E$891,MATCH(CONCATENATE(BI$3,"-",$CP94,"-",$AY94),'Data Consolidada'!$K$7:$K$891,0)),MAX('Data Consolidada'!$E$7:$E$3000))))</f>
        <v/>
      </c>
      <c r="BJ94" s="32" t="str">
        <f>+IF(BJ$3="","",IF($AY94="","",IFERROR(INDEX('Data Consolidada'!$E$7:$E$891,MATCH(CONCATENATE(BJ$3,"-",$CP94,"-",$AY94),'Data Consolidada'!$K$7:$K$891,0)),MAX('Data Consolidada'!$E$7:$E$3000))))</f>
        <v/>
      </c>
      <c r="BK94" s="32" t="str">
        <f>+IF(BK$3="","",IF($AY94="","",IFERROR(INDEX('Data Consolidada'!$E$7:$E$891,MATCH(CONCATENATE(BK$3,"-",$CP94,"-",$AY94),'Data Consolidada'!$K$7:$K$891,0)),MAX('Data Consolidada'!$E$7:$E$3000))))</f>
        <v/>
      </c>
      <c r="BL94" s="32" t="str">
        <f>+IF(BL$3="","",IF($AY94="","",IFERROR(INDEX('Data Consolidada'!$E$7:$E$891,MATCH(CONCATENATE(BL$3,"-",$CP94,"-",$AY94),'Data Consolidada'!$K$7:$K$891,0)),MAX('Data Consolidada'!$E$7:$E$3000))))</f>
        <v/>
      </c>
      <c r="BM94" s="32" t="str">
        <f>+IF(BM$3="","",IF($AY94="","",IFERROR(INDEX('Data Consolidada'!$E$7:$E$891,MATCH(CONCATENATE(BM$3,"-",$CP94,"-",$AY94),'Data Consolidada'!$K$7:$K$891,0)),MAX('Data Consolidada'!$E$7:$E$3000))))</f>
        <v/>
      </c>
      <c r="BN94" s="32" t="str">
        <f>+IF(BN$3="","",IF($AY94="","",IFERROR(INDEX('Data Consolidada'!$E$7:$E$891,MATCH(CONCATENATE(BN$3,"-",$CP94,"-",$AY94),'Data Consolidada'!$K$7:$K$891,0)),MAX('Data Consolidada'!$E$7:$E$3000))))</f>
        <v/>
      </c>
      <c r="BO94" s="32" t="str">
        <f>+IF(BO$3="","",IF($AY94="","",IFERROR(INDEX('Data Consolidada'!$E$7:$E$891,MATCH(CONCATENATE(BO$3,"-",$CP94,"-",$AY94),'Data Consolidada'!$K$7:$K$891,0)),MAX('Data Consolidada'!$E$7:$E$3000))))</f>
        <v/>
      </c>
      <c r="BP94" s="32" t="str">
        <f>+IF(BP$3="","",IF($AY94="","",IFERROR(INDEX('Data Consolidada'!$E$7:$E$891,MATCH(CONCATENATE(BP$3,"-",$CP94,"-",$AY94),'Data Consolidada'!$K$7:$K$891,0)),MAX('Data Consolidada'!$E$7:$E$3000))))</f>
        <v/>
      </c>
      <c r="BQ94" s="32" t="str">
        <f>+IF(BQ$3="","",IF($AY94="","",IFERROR(INDEX('Data Consolidada'!$E$7:$E$891,MATCH(CONCATENATE(BQ$3,"-",$CP94,"-",$AY94),'Data Consolidada'!$K$7:$K$891,0)),MAX('Data Consolidada'!$E$7:$E$3000))))</f>
        <v/>
      </c>
      <c r="BR94" s="32" t="str">
        <f>+IF(BR$3="","",IF($AY94="","",IFERROR(INDEX('Data Consolidada'!$E$7:$E$891,MATCH(CONCATENATE(BR$3,"-",$CP94,"-",$AY94),'Data Consolidada'!$K$7:$K$891,0)),MAX('Data Consolidada'!$E$7:$E$3000))))</f>
        <v/>
      </c>
      <c r="BS94" s="32" t="str">
        <f>+IF(BS$3="","",IF($AY94="","",IFERROR(INDEX('Data Consolidada'!$E$7:$E$891,MATCH(CONCATENATE(BS$3,"-",$CP94,"-",$AY94),'Data Consolidada'!$K$7:$K$891,0)),MAX('Data Consolidada'!$E$7:$E$3000))))</f>
        <v/>
      </c>
      <c r="BT94" s="32" t="str">
        <f>+IF(BT$3="","",IF($AY94="","",IFERROR(INDEX('Data Consolidada'!$E$7:$E$891,MATCH(CONCATENATE(BT$3,"-",$CP94,"-",$AY94),'Data Consolidada'!$K$7:$K$891,0)),MAX('Data Consolidada'!$E$7:$E$3000))))</f>
        <v/>
      </c>
      <c r="BU94" s="32" t="str">
        <f>+IF(BU$3="","",IF($AY94="","",IFERROR(INDEX('Data Consolidada'!$E$7:$E$891,MATCH(CONCATENATE(BU$3,"-",$CP94,"-",$AY94),'Data Consolidada'!$K$7:$K$891,0)),MAX('Data Consolidada'!$E$7:$E$3000))))</f>
        <v/>
      </c>
      <c r="BV94" s="32" t="str">
        <f>+IF(BV$3="","",IF($AY94="","",IFERROR(INDEX('Data Consolidada'!$E$7:$E$891,MATCH(CONCATENATE(BV$3,"-",$CP94,"-",$AY94),'Data Consolidada'!$K$7:$K$891,0)),MAX('Data Consolidada'!$E$7:$E$3000))))</f>
        <v/>
      </c>
      <c r="BW94" s="32" t="str">
        <f>+IF(BW$3="","",IF($AY94="","",IFERROR(INDEX('Data Consolidada'!$E$7:$E$891,MATCH(CONCATENATE(BW$3,"-",$CP94,"-",$AY94),'Data Consolidada'!$K$7:$K$891,0)),MAX('Data Consolidada'!$E$7:$E$3000))))</f>
        <v/>
      </c>
      <c r="BX94" s="32" t="str">
        <f>+IF(BX$3="","",IF($AY94="","",IFERROR(INDEX('Data Consolidada'!$E$7:$E$891,MATCH(CONCATENATE(BX$3,"-",$CP94,"-",$AY94),'Data Consolidada'!$K$7:$K$891,0)),MAX('Data Consolidada'!$E$7:$E$3000))))</f>
        <v/>
      </c>
      <c r="BY94" s="32" t="str">
        <f>+IF(BY$3="","",IF($AY94="","",IFERROR(INDEX('Data Consolidada'!$E$7:$E$891,MATCH(CONCATENATE(BY$3,"-",$CP94,"-",$AY94),'Data Consolidada'!$K$7:$K$891,0)),MAX('Data Consolidada'!$E$7:$E$3000))))</f>
        <v/>
      </c>
      <c r="BZ94" s="32" t="str">
        <f>+IF(BZ$3="","",IF($AY94="","",IFERROR(INDEX('Data Consolidada'!$E$7:$E$891,MATCH(CONCATENATE(BZ$3,"-",$CP94,"-",$AY94),'Data Consolidada'!$K$7:$K$891,0)),MAX('Data Consolidada'!$E$7:$E$3000))))</f>
        <v/>
      </c>
      <c r="CA94" s="32" t="str">
        <f>+IF(CA$3="","",IF($AY94="","",IFERROR(INDEX('Data Consolidada'!$E$7:$E$891,MATCH(CONCATENATE(CA$3,"-",$CP94,"-",$AY94),'Data Consolidada'!$K$7:$K$891,0)),MAX('Data Consolidada'!$E$7:$E$3000))))</f>
        <v/>
      </c>
      <c r="CB94" s="32" t="str">
        <f>+IF(CB$3="","",IF($AY94="","",IFERROR(INDEX('Data Consolidada'!$E$7:$E$891,MATCH(CONCATENATE(CB$3,"-",$CP94,"-",$AY94),'Data Consolidada'!$K$7:$K$891,0)),MAX('Data Consolidada'!$E$7:$E$3000))))</f>
        <v/>
      </c>
      <c r="CC94" s="32" t="str">
        <f>+IF(CC$3="","",IF($AY94="","",IFERROR(INDEX('Data Consolidada'!$E$7:$E$891,MATCH(CONCATENATE(CC$3,"-",$CP94,"-",$AY94),'Data Consolidada'!$K$7:$K$891,0)),MAX('Data Consolidada'!$E$7:$E$3000))))</f>
        <v/>
      </c>
      <c r="CD94" s="32" t="str">
        <f>+IF(CD$3="","",IF($AY94="","",IFERROR(INDEX('Data Consolidada'!$E$7:$E$891,MATCH(CONCATENATE(CD$3,"-",$CP94,"-",$AY94),'Data Consolidada'!$K$7:$K$891,0)),MAX('Data Consolidada'!$E$7:$E$3000))))</f>
        <v/>
      </c>
      <c r="CE94" s="32" t="str">
        <f>+IF(CE$3="","",IF($AY94="","",IFERROR(INDEX('Data Consolidada'!$E$7:$E$891,MATCH(CONCATENATE(CE$3,"-",$CP94,"-",$AY94),'Data Consolidada'!$K$7:$K$891,0)),MAX('Data Consolidada'!$E$7:$E$3000))))</f>
        <v/>
      </c>
      <c r="CF94" s="32" t="str">
        <f>+IF(CF$3="","",IF($AY94="","",IFERROR(INDEX('Data Consolidada'!$E$7:$E$891,MATCH(CONCATENATE(CF$3,"-",$CP94,"-",$AY94),'Data Consolidada'!$K$7:$K$891,0)),MAX('Data Consolidada'!$E$7:$E$3000))))</f>
        <v/>
      </c>
      <c r="CG94" s="32" t="str">
        <f>+IF(CG$3="","",IF($AY94="","",IFERROR(INDEX('Data Consolidada'!$E$7:$E$891,MATCH(CONCATENATE(CG$3,"-",$CP94,"-",$AY94),'Data Consolidada'!$K$7:$K$891,0)),MAX('Data Consolidada'!$E$7:$E$3000))))</f>
        <v/>
      </c>
      <c r="CH94" s="32" t="str">
        <f>+IF(CH$3="","",IF($AY94="","",IFERROR(INDEX('Data Consolidada'!$E$7:$E$891,MATCH(CONCATENATE(CH$3,"-",$CP94,"-",$AY94),'Data Consolidada'!$K$7:$K$891,0)),MAX('Data Consolidada'!$E$7:$E$3000))))</f>
        <v/>
      </c>
      <c r="CI94" s="32" t="str">
        <f>+IF(CI$3="","",IF($AY94="","",IFERROR(INDEX('Data Consolidada'!$E$7:$E$891,MATCH(CONCATENATE(CI$3,"-",$CP94,"-",$AY94),'Data Consolidada'!$K$7:$K$891,0)),MAX('Data Consolidada'!$E$7:$E$3000))))</f>
        <v/>
      </c>
      <c r="CJ94" s="32" t="str">
        <f>+IF(CJ$3="","",IF($AY94="","",IFERROR(INDEX('Data Consolidada'!$E$7:$E$891,MATCH(CONCATENATE(CJ$3,"-",$CP94,"-",$AY94),'Data Consolidada'!$K$7:$K$891,0)),MAX('Data Consolidada'!$E$7:$E$3000))))</f>
        <v/>
      </c>
      <c r="CK94" s="32" t="str">
        <f>+IF(CK$3="","",IF($AY94="","",IFERROR(INDEX('Data Consolidada'!$E$7:$E$891,MATCH(CONCATENATE(CK$3,"-",$CP94,"-",$AY94),'Data Consolidada'!$K$7:$K$891,0)),MAX('Data Consolidada'!$E$7:$E$3000))))</f>
        <v/>
      </c>
      <c r="CL94" s="32" t="str">
        <f>+IF(CL$3="","",IF($AY94="","",IFERROR(INDEX('Data Consolidada'!$E$7:$E$891,MATCH(CONCATENATE(CL$3,"-",$CP94,"-",$AY94),'Data Consolidada'!$K$7:$K$891,0)),MAX('Data Consolidada'!$E$7:$E$3000))))</f>
        <v/>
      </c>
      <c r="CM94" s="32" t="str">
        <f>+IF(CM$3="","",IF($AY94="","",IFERROR(INDEX('Data Consolidada'!$E$7:$E$891,MATCH(CONCATENATE(CM$3,"-",$CP94,"-",$AY94),'Data Consolidada'!$K$7:$K$891,0)),MAX('Data Consolidada'!$E$7:$E$3000))))</f>
        <v/>
      </c>
      <c r="CN94" s="32" t="str">
        <f>+IF(CN$3="","",IF($AY94="","",IFERROR(INDEX('Data Consolidada'!$E$7:$E$891,MATCH(CONCATENATE(CN$3,"-",$CP94,"-",$AY94),'Data Consolidada'!$K$7:$K$891,0)),MAX('Data Consolidada'!$E$7:$E$3000))))</f>
        <v/>
      </c>
      <c r="CO94" s="37" t="str">
        <f>+IF(CO$3="","",IF($AY94="","",IFERROR(INDEX('Data Consolidada'!$E$7:$E$891,MATCH(CONCATENATE(CO$3,"-",$CP94,"-",$AY94),'Data Consolidada'!$K$7:$K$891,0)),MAX('Data Consolidada'!$E$7:$E$3000))))</f>
        <v/>
      </c>
      <c r="CP94" s="224">
        <f t="shared" ca="1" si="45"/>
        <v>0</v>
      </c>
      <c r="CQ94" s="84" t="str">
        <f t="shared" ca="1" si="39"/>
        <v>TRANS. MITRE SPA.0</v>
      </c>
    </row>
    <row r="95" spans="2:95" ht="15" customHeight="1" x14ac:dyDescent="0.35">
      <c r="B95" s="218" t="str">
        <f t="shared" ca="1" si="41"/>
        <v>TRANS. ALMENDRAL</v>
      </c>
      <c r="C95" s="238">
        <v>0</v>
      </c>
      <c r="D95" s="239">
        <v>0</v>
      </c>
      <c r="E95" s="239">
        <v>0</v>
      </c>
      <c r="F95" s="239">
        <v>0</v>
      </c>
      <c r="G95" s="239">
        <v>0</v>
      </c>
      <c r="H95" s="239">
        <v>0</v>
      </c>
      <c r="I95" s="239">
        <v>0</v>
      </c>
      <c r="J95" s="239">
        <v>0</v>
      </c>
      <c r="K95" s="239">
        <v>0</v>
      </c>
      <c r="L95" s="239">
        <v>0</v>
      </c>
      <c r="M95" s="239">
        <v>0</v>
      </c>
      <c r="N95" s="240">
        <v>0</v>
      </c>
      <c r="O95" s="239">
        <v>0</v>
      </c>
      <c r="P95" s="239">
        <v>0</v>
      </c>
      <c r="Q95" s="239">
        <v>0</v>
      </c>
      <c r="R95" s="239">
        <v>0</v>
      </c>
      <c r="S95" s="239">
        <v>0</v>
      </c>
      <c r="T95" s="239">
        <v>0</v>
      </c>
      <c r="U95" s="239">
        <v>0</v>
      </c>
      <c r="V95" s="239">
        <v>0</v>
      </c>
      <c r="W95" s="239">
        <v>0</v>
      </c>
      <c r="X95" s="239">
        <v>0</v>
      </c>
      <c r="Y95" s="239">
        <v>0</v>
      </c>
      <c r="Z95" s="239"/>
      <c r="AA95" s="239"/>
      <c r="AB95" s="239"/>
      <c r="AC95" s="239"/>
      <c r="AD95" s="239"/>
      <c r="AE95" s="239"/>
      <c r="AF95" s="239"/>
      <c r="AG95" s="239"/>
      <c r="AH95" s="239"/>
      <c r="AI95" s="239"/>
      <c r="AJ95" s="239"/>
      <c r="AK95" s="239"/>
      <c r="AL95" s="239"/>
      <c r="AM95" s="239"/>
      <c r="AN95" s="239"/>
      <c r="AO95" s="239"/>
      <c r="AP95" s="239"/>
      <c r="AQ95" s="239"/>
      <c r="AR95" s="252"/>
      <c r="AS95" s="77" t="str">
        <f t="shared" ca="1" si="42"/>
        <v>MOSTAZAL</v>
      </c>
      <c r="AT95" s="255">
        <f t="shared" si="43"/>
        <v>0</v>
      </c>
      <c r="AU95" s="51"/>
      <c r="AV95" s="51"/>
      <c r="AW95" s="13">
        <f>+IF(AX95="","",IF(AX95&gt;AX94,AW94,IF(AW94&lt;$D$69,AW94+1,IF(COUNT(AW$4:AW94)&lt;$B$69*$E$54,1,""))))</f>
        <v>8</v>
      </c>
      <c r="AX95" s="13">
        <f>+IF(AX94&lt;$B$69,AX94+1,IF(COUNT(AX$4:AX94)&lt;$B$69*$D$69,1,""))</f>
        <v>1</v>
      </c>
      <c r="AY95" s="189" t="str">
        <f t="shared" ca="1" si="44"/>
        <v xml:space="preserve">  TRANS. MORROS LTDA.</v>
      </c>
      <c r="AZ95" s="36">
        <f ca="1">+IF(AZ$3="","",IF($AY95="","",IFERROR(INDEX('Data Consolidada'!$E$7:$E$891,MATCH(CONCATENATE(AZ$3,"-",$CP95,"-",$AY95),'Data Consolidada'!$K$7:$K$891,0)),MAX('Data Consolidada'!$E$7:$E$3000))))</f>
        <v>11000000</v>
      </c>
      <c r="BA95" s="32">
        <f ca="1">+IF(BA$3="","",IF($AY95="","",IFERROR(INDEX('Data Consolidada'!$E$7:$E$891,MATCH(CONCATENATE(BA$3,"-",$CP95,"-",$AY95),'Data Consolidada'!$K$7:$K$891,0)),MAX('Data Consolidada'!$E$7:$E$3000))))</f>
        <v>11000000</v>
      </c>
      <c r="BB95" s="32" t="str">
        <f>+IF(BB$3="","",IF($AY95="","",IFERROR(INDEX('Data Consolidada'!$E$7:$E$891,MATCH(CONCATENATE(BB$3,"-",$CP95,"-",$AY95),'Data Consolidada'!$K$7:$K$891,0)),MAX('Data Consolidada'!$E$7:$E$3000))))</f>
        <v/>
      </c>
      <c r="BC95" s="32" t="str">
        <f>+IF(BC$3="","",IF($AY95="","",IFERROR(INDEX('Data Consolidada'!$E$7:$E$891,MATCH(CONCATENATE(BC$3,"-",$CP95,"-",$AY95),'Data Consolidada'!$K$7:$K$891,0)),MAX('Data Consolidada'!$E$7:$E$3000))))</f>
        <v/>
      </c>
      <c r="BD95" s="32" t="str">
        <f>+IF(BD$3="","",IF($AY95="","",IFERROR(INDEX('Data Consolidada'!$E$7:$E$891,MATCH(CONCATENATE(BD$3,"-",$CP95,"-",$AY95),'Data Consolidada'!$K$7:$K$891,0)),MAX('Data Consolidada'!$E$7:$E$3000))))</f>
        <v/>
      </c>
      <c r="BE95" s="32" t="str">
        <f>+IF(BE$3="","",IF($AY95="","",IFERROR(INDEX('Data Consolidada'!$E$7:$E$891,MATCH(CONCATENATE(BE$3,"-",$CP95,"-",$AY95),'Data Consolidada'!$K$7:$K$891,0)),MAX('Data Consolidada'!$E$7:$E$3000))))</f>
        <v/>
      </c>
      <c r="BF95" s="32" t="str">
        <f>+IF(BF$3="","",IF($AY95="","",IFERROR(INDEX('Data Consolidada'!$E$7:$E$891,MATCH(CONCATENATE(BF$3,"-",$CP95,"-",$AY95),'Data Consolidada'!$K$7:$K$891,0)),MAX('Data Consolidada'!$E$7:$E$3000))))</f>
        <v/>
      </c>
      <c r="BG95" s="32" t="str">
        <f>+IF(BG$3="","",IF($AY95="","",IFERROR(INDEX('Data Consolidada'!$E$7:$E$891,MATCH(CONCATENATE(BG$3,"-",$CP95,"-",$AY95),'Data Consolidada'!$K$7:$K$891,0)),MAX('Data Consolidada'!$E$7:$E$3000))))</f>
        <v/>
      </c>
      <c r="BH95" s="32" t="str">
        <f>+IF(BH$3="","",IF($AY95="","",IFERROR(INDEX('Data Consolidada'!$E$7:$E$891,MATCH(CONCATENATE(BH$3,"-",$CP95,"-",$AY95),'Data Consolidada'!$K$7:$K$891,0)),MAX('Data Consolidada'!$E$7:$E$3000))))</f>
        <v/>
      </c>
      <c r="BI95" s="32" t="str">
        <f>+IF(BI$3="","",IF($AY95="","",IFERROR(INDEX('Data Consolidada'!$E$7:$E$891,MATCH(CONCATENATE(BI$3,"-",$CP95,"-",$AY95),'Data Consolidada'!$K$7:$K$891,0)),MAX('Data Consolidada'!$E$7:$E$3000))))</f>
        <v/>
      </c>
      <c r="BJ95" s="32" t="str">
        <f>+IF(BJ$3="","",IF($AY95="","",IFERROR(INDEX('Data Consolidada'!$E$7:$E$891,MATCH(CONCATENATE(BJ$3,"-",$CP95,"-",$AY95),'Data Consolidada'!$K$7:$K$891,0)),MAX('Data Consolidada'!$E$7:$E$3000))))</f>
        <v/>
      </c>
      <c r="BK95" s="32" t="str">
        <f>+IF(BK$3="","",IF($AY95="","",IFERROR(INDEX('Data Consolidada'!$E$7:$E$891,MATCH(CONCATENATE(BK$3,"-",$CP95,"-",$AY95),'Data Consolidada'!$K$7:$K$891,0)),MAX('Data Consolidada'!$E$7:$E$3000))))</f>
        <v/>
      </c>
      <c r="BL95" s="32" t="str">
        <f>+IF(BL$3="","",IF($AY95="","",IFERROR(INDEX('Data Consolidada'!$E$7:$E$891,MATCH(CONCATENATE(BL$3,"-",$CP95,"-",$AY95),'Data Consolidada'!$K$7:$K$891,0)),MAX('Data Consolidada'!$E$7:$E$3000))))</f>
        <v/>
      </c>
      <c r="BM95" s="32" t="str">
        <f>+IF(BM$3="","",IF($AY95="","",IFERROR(INDEX('Data Consolidada'!$E$7:$E$891,MATCH(CONCATENATE(BM$3,"-",$CP95,"-",$AY95),'Data Consolidada'!$K$7:$K$891,0)),MAX('Data Consolidada'!$E$7:$E$3000))))</f>
        <v/>
      </c>
      <c r="BN95" s="32" t="str">
        <f>+IF(BN$3="","",IF($AY95="","",IFERROR(INDEX('Data Consolidada'!$E$7:$E$891,MATCH(CONCATENATE(BN$3,"-",$CP95,"-",$AY95),'Data Consolidada'!$K$7:$K$891,0)),MAX('Data Consolidada'!$E$7:$E$3000))))</f>
        <v/>
      </c>
      <c r="BO95" s="32" t="str">
        <f>+IF(BO$3="","",IF($AY95="","",IFERROR(INDEX('Data Consolidada'!$E$7:$E$891,MATCH(CONCATENATE(BO$3,"-",$CP95,"-",$AY95),'Data Consolidada'!$K$7:$K$891,0)),MAX('Data Consolidada'!$E$7:$E$3000))))</f>
        <v/>
      </c>
      <c r="BP95" s="32" t="str">
        <f>+IF(BP$3="","",IF($AY95="","",IFERROR(INDEX('Data Consolidada'!$E$7:$E$891,MATCH(CONCATENATE(BP$3,"-",$CP95,"-",$AY95),'Data Consolidada'!$K$7:$K$891,0)),MAX('Data Consolidada'!$E$7:$E$3000))))</f>
        <v/>
      </c>
      <c r="BQ95" s="32" t="str">
        <f>+IF(BQ$3="","",IF($AY95="","",IFERROR(INDEX('Data Consolidada'!$E$7:$E$891,MATCH(CONCATENATE(BQ$3,"-",$CP95,"-",$AY95),'Data Consolidada'!$K$7:$K$891,0)),MAX('Data Consolidada'!$E$7:$E$3000))))</f>
        <v/>
      </c>
      <c r="BR95" s="32" t="str">
        <f>+IF(BR$3="","",IF($AY95="","",IFERROR(INDEX('Data Consolidada'!$E$7:$E$891,MATCH(CONCATENATE(BR$3,"-",$CP95,"-",$AY95),'Data Consolidada'!$K$7:$K$891,0)),MAX('Data Consolidada'!$E$7:$E$3000))))</f>
        <v/>
      </c>
      <c r="BS95" s="32" t="str">
        <f>+IF(BS$3="","",IF($AY95="","",IFERROR(INDEX('Data Consolidada'!$E$7:$E$891,MATCH(CONCATENATE(BS$3,"-",$CP95,"-",$AY95),'Data Consolidada'!$K$7:$K$891,0)),MAX('Data Consolidada'!$E$7:$E$3000))))</f>
        <v/>
      </c>
      <c r="BT95" s="32" t="str">
        <f>+IF(BT$3="","",IF($AY95="","",IFERROR(INDEX('Data Consolidada'!$E$7:$E$891,MATCH(CONCATENATE(BT$3,"-",$CP95,"-",$AY95),'Data Consolidada'!$K$7:$K$891,0)),MAX('Data Consolidada'!$E$7:$E$3000))))</f>
        <v/>
      </c>
      <c r="BU95" s="32" t="str">
        <f>+IF(BU$3="","",IF($AY95="","",IFERROR(INDEX('Data Consolidada'!$E$7:$E$891,MATCH(CONCATENATE(BU$3,"-",$CP95,"-",$AY95),'Data Consolidada'!$K$7:$K$891,0)),MAX('Data Consolidada'!$E$7:$E$3000))))</f>
        <v/>
      </c>
      <c r="BV95" s="32" t="str">
        <f>+IF(BV$3="","",IF($AY95="","",IFERROR(INDEX('Data Consolidada'!$E$7:$E$891,MATCH(CONCATENATE(BV$3,"-",$CP95,"-",$AY95),'Data Consolidada'!$K$7:$K$891,0)),MAX('Data Consolidada'!$E$7:$E$3000))))</f>
        <v/>
      </c>
      <c r="BW95" s="32" t="str">
        <f>+IF(BW$3="","",IF($AY95="","",IFERROR(INDEX('Data Consolidada'!$E$7:$E$891,MATCH(CONCATENATE(BW$3,"-",$CP95,"-",$AY95),'Data Consolidada'!$K$7:$K$891,0)),MAX('Data Consolidada'!$E$7:$E$3000))))</f>
        <v/>
      </c>
      <c r="BX95" s="32" t="str">
        <f>+IF(BX$3="","",IF($AY95="","",IFERROR(INDEX('Data Consolidada'!$E$7:$E$891,MATCH(CONCATENATE(BX$3,"-",$CP95,"-",$AY95),'Data Consolidada'!$K$7:$K$891,0)),MAX('Data Consolidada'!$E$7:$E$3000))))</f>
        <v/>
      </c>
      <c r="BY95" s="32" t="str">
        <f>+IF(BY$3="","",IF($AY95="","",IFERROR(INDEX('Data Consolidada'!$E$7:$E$891,MATCH(CONCATENATE(BY$3,"-",$CP95,"-",$AY95),'Data Consolidada'!$K$7:$K$891,0)),MAX('Data Consolidada'!$E$7:$E$3000))))</f>
        <v/>
      </c>
      <c r="BZ95" s="32" t="str">
        <f>+IF(BZ$3="","",IF($AY95="","",IFERROR(INDEX('Data Consolidada'!$E$7:$E$891,MATCH(CONCATENATE(BZ$3,"-",$CP95,"-",$AY95),'Data Consolidada'!$K$7:$K$891,0)),MAX('Data Consolidada'!$E$7:$E$3000))))</f>
        <v/>
      </c>
      <c r="CA95" s="32" t="str">
        <f>+IF(CA$3="","",IF($AY95="","",IFERROR(INDEX('Data Consolidada'!$E$7:$E$891,MATCH(CONCATENATE(CA$3,"-",$CP95,"-",$AY95),'Data Consolidada'!$K$7:$K$891,0)),MAX('Data Consolidada'!$E$7:$E$3000))))</f>
        <v/>
      </c>
      <c r="CB95" s="32" t="str">
        <f>+IF(CB$3="","",IF($AY95="","",IFERROR(INDEX('Data Consolidada'!$E$7:$E$891,MATCH(CONCATENATE(CB$3,"-",$CP95,"-",$AY95),'Data Consolidada'!$K$7:$K$891,0)),MAX('Data Consolidada'!$E$7:$E$3000))))</f>
        <v/>
      </c>
      <c r="CC95" s="32" t="str">
        <f>+IF(CC$3="","",IF($AY95="","",IFERROR(INDEX('Data Consolidada'!$E$7:$E$891,MATCH(CONCATENATE(CC$3,"-",$CP95,"-",$AY95),'Data Consolidada'!$K$7:$K$891,0)),MAX('Data Consolidada'!$E$7:$E$3000))))</f>
        <v/>
      </c>
      <c r="CD95" s="32" t="str">
        <f>+IF(CD$3="","",IF($AY95="","",IFERROR(INDEX('Data Consolidada'!$E$7:$E$891,MATCH(CONCATENATE(CD$3,"-",$CP95,"-",$AY95),'Data Consolidada'!$K$7:$K$891,0)),MAX('Data Consolidada'!$E$7:$E$3000))))</f>
        <v/>
      </c>
      <c r="CE95" s="32" t="str">
        <f>+IF(CE$3="","",IF($AY95="","",IFERROR(INDEX('Data Consolidada'!$E$7:$E$891,MATCH(CONCATENATE(CE$3,"-",$CP95,"-",$AY95),'Data Consolidada'!$K$7:$K$891,0)),MAX('Data Consolidada'!$E$7:$E$3000))))</f>
        <v/>
      </c>
      <c r="CF95" s="32" t="str">
        <f>+IF(CF$3="","",IF($AY95="","",IFERROR(INDEX('Data Consolidada'!$E$7:$E$891,MATCH(CONCATENATE(CF$3,"-",$CP95,"-",$AY95),'Data Consolidada'!$K$7:$K$891,0)),MAX('Data Consolidada'!$E$7:$E$3000))))</f>
        <v/>
      </c>
      <c r="CG95" s="32" t="str">
        <f>+IF(CG$3="","",IF($AY95="","",IFERROR(INDEX('Data Consolidada'!$E$7:$E$891,MATCH(CONCATENATE(CG$3,"-",$CP95,"-",$AY95),'Data Consolidada'!$K$7:$K$891,0)),MAX('Data Consolidada'!$E$7:$E$3000))))</f>
        <v/>
      </c>
      <c r="CH95" s="32" t="str">
        <f>+IF(CH$3="","",IF($AY95="","",IFERROR(INDEX('Data Consolidada'!$E$7:$E$891,MATCH(CONCATENATE(CH$3,"-",$CP95,"-",$AY95),'Data Consolidada'!$K$7:$K$891,0)),MAX('Data Consolidada'!$E$7:$E$3000))))</f>
        <v/>
      </c>
      <c r="CI95" s="32" t="str">
        <f>+IF(CI$3="","",IF($AY95="","",IFERROR(INDEX('Data Consolidada'!$E$7:$E$891,MATCH(CONCATENATE(CI$3,"-",$CP95,"-",$AY95),'Data Consolidada'!$K$7:$K$891,0)),MAX('Data Consolidada'!$E$7:$E$3000))))</f>
        <v/>
      </c>
      <c r="CJ95" s="32" t="str">
        <f>+IF(CJ$3="","",IF($AY95="","",IFERROR(INDEX('Data Consolidada'!$E$7:$E$891,MATCH(CONCATENATE(CJ$3,"-",$CP95,"-",$AY95),'Data Consolidada'!$K$7:$K$891,0)),MAX('Data Consolidada'!$E$7:$E$3000))))</f>
        <v/>
      </c>
      <c r="CK95" s="32" t="str">
        <f>+IF(CK$3="","",IF($AY95="","",IFERROR(INDEX('Data Consolidada'!$E$7:$E$891,MATCH(CONCATENATE(CK$3,"-",$CP95,"-",$AY95),'Data Consolidada'!$K$7:$K$891,0)),MAX('Data Consolidada'!$E$7:$E$3000))))</f>
        <v/>
      </c>
      <c r="CL95" s="32" t="str">
        <f>+IF(CL$3="","",IF($AY95="","",IFERROR(INDEX('Data Consolidada'!$E$7:$E$891,MATCH(CONCATENATE(CL$3,"-",$CP95,"-",$AY95),'Data Consolidada'!$K$7:$K$891,0)),MAX('Data Consolidada'!$E$7:$E$3000))))</f>
        <v/>
      </c>
      <c r="CM95" s="32" t="str">
        <f>+IF(CM$3="","",IF($AY95="","",IFERROR(INDEX('Data Consolidada'!$E$7:$E$891,MATCH(CONCATENATE(CM$3,"-",$CP95,"-",$AY95),'Data Consolidada'!$K$7:$K$891,0)),MAX('Data Consolidada'!$E$7:$E$3000))))</f>
        <v/>
      </c>
      <c r="CN95" s="32" t="str">
        <f>+IF(CN$3="","",IF($AY95="","",IFERROR(INDEX('Data Consolidada'!$E$7:$E$891,MATCH(CONCATENATE(CN$3,"-",$CP95,"-",$AY95),'Data Consolidada'!$K$7:$K$891,0)),MAX('Data Consolidada'!$E$7:$E$3000))))</f>
        <v/>
      </c>
      <c r="CO95" s="37" t="str">
        <f>+IF(CO$3="","",IF($AY95="","",IFERROR(INDEX('Data Consolidada'!$E$7:$E$891,MATCH(CONCATENATE(CO$3,"-",$CP95,"-",$AY95),'Data Consolidada'!$K$7:$K$891,0)),MAX('Data Consolidada'!$E$7:$E$3000))))</f>
        <v/>
      </c>
      <c r="CP95" s="224">
        <f t="shared" ca="1" si="45"/>
        <v>0</v>
      </c>
      <c r="CQ95" s="84" t="str">
        <f t="shared" ca="1" si="39"/>
        <v xml:space="preserve">  TRANS. MORROS LTDA.0</v>
      </c>
    </row>
    <row r="96" spans="2:95" ht="15" customHeight="1" x14ac:dyDescent="0.35">
      <c r="B96" s="218" t="str">
        <f t="shared" ca="1" si="41"/>
        <v>TRANS. MAX SOTO G. E.I.R.L.</v>
      </c>
      <c r="C96" s="238">
        <v>0</v>
      </c>
      <c r="D96" s="239">
        <v>0</v>
      </c>
      <c r="E96" s="239">
        <v>0</v>
      </c>
      <c r="F96" s="239">
        <v>0</v>
      </c>
      <c r="G96" s="239">
        <v>0</v>
      </c>
      <c r="H96" s="239">
        <v>0</v>
      </c>
      <c r="I96" s="239">
        <v>0</v>
      </c>
      <c r="J96" s="239">
        <v>0</v>
      </c>
      <c r="K96" s="239">
        <v>0</v>
      </c>
      <c r="L96" s="239">
        <v>0</v>
      </c>
      <c r="M96" s="239">
        <v>0</v>
      </c>
      <c r="N96" s="240">
        <v>0</v>
      </c>
      <c r="O96" s="239">
        <v>0</v>
      </c>
      <c r="P96" s="239">
        <v>0</v>
      </c>
      <c r="Q96" s="239">
        <v>0</v>
      </c>
      <c r="R96" s="239">
        <v>0</v>
      </c>
      <c r="S96" s="239">
        <v>0</v>
      </c>
      <c r="T96" s="239">
        <v>0</v>
      </c>
      <c r="U96" s="239">
        <v>0</v>
      </c>
      <c r="V96" s="239">
        <v>0</v>
      </c>
      <c r="W96" s="239">
        <v>0</v>
      </c>
      <c r="X96" s="239">
        <v>0</v>
      </c>
      <c r="Y96" s="239">
        <v>0</v>
      </c>
      <c r="Z96" s="239"/>
      <c r="AA96" s="239"/>
      <c r="AB96" s="239"/>
      <c r="AC96" s="239"/>
      <c r="AD96" s="239"/>
      <c r="AE96" s="239"/>
      <c r="AF96" s="239"/>
      <c r="AG96" s="239"/>
      <c r="AH96" s="239"/>
      <c r="AI96" s="239"/>
      <c r="AJ96" s="239"/>
      <c r="AK96" s="239"/>
      <c r="AL96" s="239"/>
      <c r="AM96" s="239"/>
      <c r="AN96" s="239"/>
      <c r="AO96" s="239"/>
      <c r="AP96" s="239"/>
      <c r="AQ96" s="239"/>
      <c r="AR96" s="252"/>
      <c r="AS96" s="77" t="str">
        <f t="shared" ca="1" si="42"/>
        <v>MOSTAZAL</v>
      </c>
      <c r="AT96" s="255">
        <f t="shared" si="43"/>
        <v>0</v>
      </c>
      <c r="AU96" s="51"/>
      <c r="AV96" s="51"/>
      <c r="AW96" s="13">
        <f>+IF(AX96="","",IF(AX96&gt;AX95,AW95,IF(AW95&lt;$D$69,AW95+1,IF(COUNT(AW$4:AW95)&lt;$B$69*$E$54,1,""))))</f>
        <v>8</v>
      </c>
      <c r="AX96" s="13">
        <f>+IF(AX95&lt;$B$69,AX95+1,IF(COUNT(AX$4:AX95)&lt;$B$69*$D$69,1,""))</f>
        <v>2</v>
      </c>
      <c r="AY96" s="189" t="str">
        <f t="shared" ca="1" si="44"/>
        <v xml:space="preserve">CRISTIAN LÓPEZ </v>
      </c>
      <c r="AZ96" s="36">
        <f ca="1">+IF(AZ$3="","",IF($AY96="","",IFERROR(INDEX('Data Consolidada'!$E$7:$E$891,MATCH(CONCATENATE(AZ$3,"-",$CP96,"-",$AY96),'Data Consolidada'!$K$7:$K$891,0)),MAX('Data Consolidada'!$E$7:$E$3000))))</f>
        <v>11000000</v>
      </c>
      <c r="BA96" s="32">
        <f ca="1">+IF(BA$3="","",IF($AY96="","",IFERROR(INDEX('Data Consolidada'!$E$7:$E$891,MATCH(CONCATENATE(BA$3,"-",$CP96,"-",$AY96),'Data Consolidada'!$K$7:$K$891,0)),MAX('Data Consolidada'!$E$7:$E$3000))))</f>
        <v>11000000</v>
      </c>
      <c r="BB96" s="32" t="str">
        <f>+IF(BB$3="","",IF($AY96="","",IFERROR(INDEX('Data Consolidada'!$E$7:$E$891,MATCH(CONCATENATE(BB$3,"-",$CP96,"-",$AY96),'Data Consolidada'!$K$7:$K$891,0)),MAX('Data Consolidada'!$E$7:$E$3000))))</f>
        <v/>
      </c>
      <c r="BC96" s="32" t="str">
        <f>+IF(BC$3="","",IF($AY96="","",IFERROR(INDEX('Data Consolidada'!$E$7:$E$891,MATCH(CONCATENATE(BC$3,"-",$CP96,"-",$AY96),'Data Consolidada'!$K$7:$K$891,0)),MAX('Data Consolidada'!$E$7:$E$3000))))</f>
        <v/>
      </c>
      <c r="BD96" s="32" t="str">
        <f>+IF(BD$3="","",IF($AY96="","",IFERROR(INDEX('Data Consolidada'!$E$7:$E$891,MATCH(CONCATENATE(BD$3,"-",$CP96,"-",$AY96),'Data Consolidada'!$K$7:$K$891,0)),MAX('Data Consolidada'!$E$7:$E$3000))))</f>
        <v/>
      </c>
      <c r="BE96" s="32" t="str">
        <f>+IF(BE$3="","",IF($AY96="","",IFERROR(INDEX('Data Consolidada'!$E$7:$E$891,MATCH(CONCATENATE(BE$3,"-",$CP96,"-",$AY96),'Data Consolidada'!$K$7:$K$891,0)),MAX('Data Consolidada'!$E$7:$E$3000))))</f>
        <v/>
      </c>
      <c r="BF96" s="32" t="str">
        <f>+IF(BF$3="","",IF($AY96="","",IFERROR(INDEX('Data Consolidada'!$E$7:$E$891,MATCH(CONCATENATE(BF$3,"-",$CP96,"-",$AY96),'Data Consolidada'!$K$7:$K$891,0)),MAX('Data Consolidada'!$E$7:$E$3000))))</f>
        <v/>
      </c>
      <c r="BG96" s="32" t="str">
        <f>+IF(BG$3="","",IF($AY96="","",IFERROR(INDEX('Data Consolidada'!$E$7:$E$891,MATCH(CONCATENATE(BG$3,"-",$CP96,"-",$AY96),'Data Consolidada'!$K$7:$K$891,0)),MAX('Data Consolidada'!$E$7:$E$3000))))</f>
        <v/>
      </c>
      <c r="BH96" s="32" t="str">
        <f>+IF(BH$3="","",IF($AY96="","",IFERROR(INDEX('Data Consolidada'!$E$7:$E$891,MATCH(CONCATENATE(BH$3,"-",$CP96,"-",$AY96),'Data Consolidada'!$K$7:$K$891,0)),MAX('Data Consolidada'!$E$7:$E$3000))))</f>
        <v/>
      </c>
      <c r="BI96" s="32" t="str">
        <f>+IF(BI$3="","",IF($AY96="","",IFERROR(INDEX('Data Consolidada'!$E$7:$E$891,MATCH(CONCATENATE(BI$3,"-",$CP96,"-",$AY96),'Data Consolidada'!$K$7:$K$891,0)),MAX('Data Consolidada'!$E$7:$E$3000))))</f>
        <v/>
      </c>
      <c r="BJ96" s="32" t="str">
        <f>+IF(BJ$3="","",IF($AY96="","",IFERROR(INDEX('Data Consolidada'!$E$7:$E$891,MATCH(CONCATENATE(BJ$3,"-",$CP96,"-",$AY96),'Data Consolidada'!$K$7:$K$891,0)),MAX('Data Consolidada'!$E$7:$E$3000))))</f>
        <v/>
      </c>
      <c r="BK96" s="32" t="str">
        <f>+IF(BK$3="","",IF($AY96="","",IFERROR(INDEX('Data Consolidada'!$E$7:$E$891,MATCH(CONCATENATE(BK$3,"-",$CP96,"-",$AY96),'Data Consolidada'!$K$7:$K$891,0)),MAX('Data Consolidada'!$E$7:$E$3000))))</f>
        <v/>
      </c>
      <c r="BL96" s="32" t="str">
        <f>+IF(BL$3="","",IF($AY96="","",IFERROR(INDEX('Data Consolidada'!$E$7:$E$891,MATCH(CONCATENATE(BL$3,"-",$CP96,"-",$AY96),'Data Consolidada'!$K$7:$K$891,0)),MAX('Data Consolidada'!$E$7:$E$3000))))</f>
        <v/>
      </c>
      <c r="BM96" s="32" t="str">
        <f>+IF(BM$3="","",IF($AY96="","",IFERROR(INDEX('Data Consolidada'!$E$7:$E$891,MATCH(CONCATENATE(BM$3,"-",$CP96,"-",$AY96),'Data Consolidada'!$K$7:$K$891,0)),MAX('Data Consolidada'!$E$7:$E$3000))))</f>
        <v/>
      </c>
      <c r="BN96" s="32" t="str">
        <f>+IF(BN$3="","",IF($AY96="","",IFERROR(INDEX('Data Consolidada'!$E$7:$E$891,MATCH(CONCATENATE(BN$3,"-",$CP96,"-",$AY96),'Data Consolidada'!$K$7:$K$891,0)),MAX('Data Consolidada'!$E$7:$E$3000))))</f>
        <v/>
      </c>
      <c r="BO96" s="32" t="str">
        <f>+IF(BO$3="","",IF($AY96="","",IFERROR(INDEX('Data Consolidada'!$E$7:$E$891,MATCH(CONCATENATE(BO$3,"-",$CP96,"-",$AY96),'Data Consolidada'!$K$7:$K$891,0)),MAX('Data Consolidada'!$E$7:$E$3000))))</f>
        <v/>
      </c>
      <c r="BP96" s="32" t="str">
        <f>+IF(BP$3="","",IF($AY96="","",IFERROR(INDEX('Data Consolidada'!$E$7:$E$891,MATCH(CONCATENATE(BP$3,"-",$CP96,"-",$AY96),'Data Consolidada'!$K$7:$K$891,0)),MAX('Data Consolidada'!$E$7:$E$3000))))</f>
        <v/>
      </c>
      <c r="BQ96" s="32" t="str">
        <f>+IF(BQ$3="","",IF($AY96="","",IFERROR(INDEX('Data Consolidada'!$E$7:$E$891,MATCH(CONCATENATE(BQ$3,"-",$CP96,"-",$AY96),'Data Consolidada'!$K$7:$K$891,0)),MAX('Data Consolidada'!$E$7:$E$3000))))</f>
        <v/>
      </c>
      <c r="BR96" s="32" t="str">
        <f>+IF(BR$3="","",IF($AY96="","",IFERROR(INDEX('Data Consolidada'!$E$7:$E$891,MATCH(CONCATENATE(BR$3,"-",$CP96,"-",$AY96),'Data Consolidada'!$K$7:$K$891,0)),MAX('Data Consolidada'!$E$7:$E$3000))))</f>
        <v/>
      </c>
      <c r="BS96" s="32" t="str">
        <f>+IF(BS$3="","",IF($AY96="","",IFERROR(INDEX('Data Consolidada'!$E$7:$E$891,MATCH(CONCATENATE(BS$3,"-",$CP96,"-",$AY96),'Data Consolidada'!$K$7:$K$891,0)),MAX('Data Consolidada'!$E$7:$E$3000))))</f>
        <v/>
      </c>
      <c r="BT96" s="32" t="str">
        <f>+IF(BT$3="","",IF($AY96="","",IFERROR(INDEX('Data Consolidada'!$E$7:$E$891,MATCH(CONCATENATE(BT$3,"-",$CP96,"-",$AY96),'Data Consolidada'!$K$7:$K$891,0)),MAX('Data Consolidada'!$E$7:$E$3000))))</f>
        <v/>
      </c>
      <c r="BU96" s="32" t="str">
        <f>+IF(BU$3="","",IF($AY96="","",IFERROR(INDEX('Data Consolidada'!$E$7:$E$891,MATCH(CONCATENATE(BU$3,"-",$CP96,"-",$AY96),'Data Consolidada'!$K$7:$K$891,0)),MAX('Data Consolidada'!$E$7:$E$3000))))</f>
        <v/>
      </c>
      <c r="BV96" s="32" t="str">
        <f>+IF(BV$3="","",IF($AY96="","",IFERROR(INDEX('Data Consolidada'!$E$7:$E$891,MATCH(CONCATENATE(BV$3,"-",$CP96,"-",$AY96),'Data Consolidada'!$K$7:$K$891,0)),MAX('Data Consolidada'!$E$7:$E$3000))))</f>
        <v/>
      </c>
      <c r="BW96" s="32" t="str">
        <f>+IF(BW$3="","",IF($AY96="","",IFERROR(INDEX('Data Consolidada'!$E$7:$E$891,MATCH(CONCATENATE(BW$3,"-",$CP96,"-",$AY96),'Data Consolidada'!$K$7:$K$891,0)),MAX('Data Consolidada'!$E$7:$E$3000))))</f>
        <v/>
      </c>
      <c r="BX96" s="32" t="str">
        <f>+IF(BX$3="","",IF($AY96="","",IFERROR(INDEX('Data Consolidada'!$E$7:$E$891,MATCH(CONCATENATE(BX$3,"-",$CP96,"-",$AY96),'Data Consolidada'!$K$7:$K$891,0)),MAX('Data Consolidada'!$E$7:$E$3000))))</f>
        <v/>
      </c>
      <c r="BY96" s="32" t="str">
        <f>+IF(BY$3="","",IF($AY96="","",IFERROR(INDEX('Data Consolidada'!$E$7:$E$891,MATCH(CONCATENATE(BY$3,"-",$CP96,"-",$AY96),'Data Consolidada'!$K$7:$K$891,0)),MAX('Data Consolidada'!$E$7:$E$3000))))</f>
        <v/>
      </c>
      <c r="BZ96" s="32" t="str">
        <f>+IF(BZ$3="","",IF($AY96="","",IFERROR(INDEX('Data Consolidada'!$E$7:$E$891,MATCH(CONCATENATE(BZ$3,"-",$CP96,"-",$AY96),'Data Consolidada'!$K$7:$K$891,0)),MAX('Data Consolidada'!$E$7:$E$3000))))</f>
        <v/>
      </c>
      <c r="CA96" s="32" t="str">
        <f>+IF(CA$3="","",IF($AY96="","",IFERROR(INDEX('Data Consolidada'!$E$7:$E$891,MATCH(CONCATENATE(CA$3,"-",$CP96,"-",$AY96),'Data Consolidada'!$K$7:$K$891,0)),MAX('Data Consolidada'!$E$7:$E$3000))))</f>
        <v/>
      </c>
      <c r="CB96" s="32" t="str">
        <f>+IF(CB$3="","",IF($AY96="","",IFERROR(INDEX('Data Consolidada'!$E$7:$E$891,MATCH(CONCATENATE(CB$3,"-",$CP96,"-",$AY96),'Data Consolidada'!$K$7:$K$891,0)),MAX('Data Consolidada'!$E$7:$E$3000))))</f>
        <v/>
      </c>
      <c r="CC96" s="32" t="str">
        <f>+IF(CC$3="","",IF($AY96="","",IFERROR(INDEX('Data Consolidada'!$E$7:$E$891,MATCH(CONCATENATE(CC$3,"-",$CP96,"-",$AY96),'Data Consolidada'!$K$7:$K$891,0)),MAX('Data Consolidada'!$E$7:$E$3000))))</f>
        <v/>
      </c>
      <c r="CD96" s="32" t="str">
        <f>+IF(CD$3="","",IF($AY96="","",IFERROR(INDEX('Data Consolidada'!$E$7:$E$891,MATCH(CONCATENATE(CD$3,"-",$CP96,"-",$AY96),'Data Consolidada'!$K$7:$K$891,0)),MAX('Data Consolidada'!$E$7:$E$3000))))</f>
        <v/>
      </c>
      <c r="CE96" s="32" t="str">
        <f>+IF(CE$3="","",IF($AY96="","",IFERROR(INDEX('Data Consolidada'!$E$7:$E$891,MATCH(CONCATENATE(CE$3,"-",$CP96,"-",$AY96),'Data Consolidada'!$K$7:$K$891,0)),MAX('Data Consolidada'!$E$7:$E$3000))))</f>
        <v/>
      </c>
      <c r="CF96" s="32" t="str">
        <f>+IF(CF$3="","",IF($AY96="","",IFERROR(INDEX('Data Consolidada'!$E$7:$E$891,MATCH(CONCATENATE(CF$3,"-",$CP96,"-",$AY96),'Data Consolidada'!$K$7:$K$891,0)),MAX('Data Consolidada'!$E$7:$E$3000))))</f>
        <v/>
      </c>
      <c r="CG96" s="32" t="str">
        <f>+IF(CG$3="","",IF($AY96="","",IFERROR(INDEX('Data Consolidada'!$E$7:$E$891,MATCH(CONCATENATE(CG$3,"-",$CP96,"-",$AY96),'Data Consolidada'!$K$7:$K$891,0)),MAX('Data Consolidada'!$E$7:$E$3000))))</f>
        <v/>
      </c>
      <c r="CH96" s="32" t="str">
        <f>+IF(CH$3="","",IF($AY96="","",IFERROR(INDEX('Data Consolidada'!$E$7:$E$891,MATCH(CONCATENATE(CH$3,"-",$CP96,"-",$AY96),'Data Consolidada'!$K$7:$K$891,0)),MAX('Data Consolidada'!$E$7:$E$3000))))</f>
        <v/>
      </c>
      <c r="CI96" s="32" t="str">
        <f>+IF(CI$3="","",IF($AY96="","",IFERROR(INDEX('Data Consolidada'!$E$7:$E$891,MATCH(CONCATENATE(CI$3,"-",$CP96,"-",$AY96),'Data Consolidada'!$K$7:$K$891,0)),MAX('Data Consolidada'!$E$7:$E$3000))))</f>
        <v/>
      </c>
      <c r="CJ96" s="32" t="str">
        <f>+IF(CJ$3="","",IF($AY96="","",IFERROR(INDEX('Data Consolidada'!$E$7:$E$891,MATCH(CONCATENATE(CJ$3,"-",$CP96,"-",$AY96),'Data Consolidada'!$K$7:$K$891,0)),MAX('Data Consolidada'!$E$7:$E$3000))))</f>
        <v/>
      </c>
      <c r="CK96" s="32" t="str">
        <f>+IF(CK$3="","",IF($AY96="","",IFERROR(INDEX('Data Consolidada'!$E$7:$E$891,MATCH(CONCATENATE(CK$3,"-",$CP96,"-",$AY96),'Data Consolidada'!$K$7:$K$891,0)),MAX('Data Consolidada'!$E$7:$E$3000))))</f>
        <v/>
      </c>
      <c r="CL96" s="32" t="str">
        <f>+IF(CL$3="","",IF($AY96="","",IFERROR(INDEX('Data Consolidada'!$E$7:$E$891,MATCH(CONCATENATE(CL$3,"-",$CP96,"-",$AY96),'Data Consolidada'!$K$7:$K$891,0)),MAX('Data Consolidada'!$E$7:$E$3000))))</f>
        <v/>
      </c>
      <c r="CM96" s="32" t="str">
        <f>+IF(CM$3="","",IF($AY96="","",IFERROR(INDEX('Data Consolidada'!$E$7:$E$891,MATCH(CONCATENATE(CM$3,"-",$CP96,"-",$AY96),'Data Consolidada'!$K$7:$K$891,0)),MAX('Data Consolidada'!$E$7:$E$3000))))</f>
        <v/>
      </c>
      <c r="CN96" s="32" t="str">
        <f>+IF(CN$3="","",IF($AY96="","",IFERROR(INDEX('Data Consolidada'!$E$7:$E$891,MATCH(CONCATENATE(CN$3,"-",$CP96,"-",$AY96),'Data Consolidada'!$K$7:$K$891,0)),MAX('Data Consolidada'!$E$7:$E$3000))))</f>
        <v/>
      </c>
      <c r="CO96" s="37" t="str">
        <f>+IF(CO$3="","",IF($AY96="","",IFERROR(INDEX('Data Consolidada'!$E$7:$E$891,MATCH(CONCATENATE(CO$3,"-",$CP96,"-",$AY96),'Data Consolidada'!$K$7:$K$891,0)),MAX('Data Consolidada'!$E$7:$E$3000))))</f>
        <v/>
      </c>
      <c r="CP96" s="224">
        <f t="shared" ca="1" si="45"/>
        <v>0</v>
      </c>
      <c r="CQ96" s="84" t="str">
        <f t="shared" ca="1" si="39"/>
        <v>CRISTIAN LÓPEZ 0</v>
      </c>
    </row>
    <row r="97" spans="2:95" ht="15" customHeight="1" x14ac:dyDescent="0.35">
      <c r="B97" s="218" t="str">
        <f t="shared" ca="1" si="41"/>
        <v>TRANS. MITRE SPA.</v>
      </c>
      <c r="C97" s="238">
        <v>0</v>
      </c>
      <c r="D97" s="239">
        <v>0</v>
      </c>
      <c r="E97" s="239">
        <v>0</v>
      </c>
      <c r="F97" s="239">
        <v>0</v>
      </c>
      <c r="G97" s="239">
        <v>0</v>
      </c>
      <c r="H97" s="239">
        <v>0</v>
      </c>
      <c r="I97" s="239">
        <v>0</v>
      </c>
      <c r="J97" s="239">
        <v>0</v>
      </c>
      <c r="K97" s="239">
        <v>0</v>
      </c>
      <c r="L97" s="239">
        <v>0</v>
      </c>
      <c r="M97" s="239">
        <v>0</v>
      </c>
      <c r="N97" s="240">
        <v>0</v>
      </c>
      <c r="O97" s="239">
        <v>0</v>
      </c>
      <c r="P97" s="239">
        <v>0</v>
      </c>
      <c r="Q97" s="239">
        <v>0</v>
      </c>
      <c r="R97" s="239">
        <v>0</v>
      </c>
      <c r="S97" s="239">
        <v>0</v>
      </c>
      <c r="T97" s="239">
        <v>0</v>
      </c>
      <c r="U97" s="239">
        <v>0</v>
      </c>
      <c r="V97" s="239">
        <v>0</v>
      </c>
      <c r="W97" s="239">
        <v>0</v>
      </c>
      <c r="X97" s="239">
        <v>0</v>
      </c>
      <c r="Y97" s="239">
        <v>0</v>
      </c>
      <c r="Z97" s="239"/>
      <c r="AA97" s="239"/>
      <c r="AB97" s="239"/>
      <c r="AC97" s="239"/>
      <c r="AD97" s="239"/>
      <c r="AE97" s="239"/>
      <c r="AF97" s="239"/>
      <c r="AG97" s="239"/>
      <c r="AH97" s="239"/>
      <c r="AI97" s="239"/>
      <c r="AJ97" s="239"/>
      <c r="AK97" s="239"/>
      <c r="AL97" s="239"/>
      <c r="AM97" s="239"/>
      <c r="AN97" s="239"/>
      <c r="AO97" s="239"/>
      <c r="AP97" s="239"/>
      <c r="AQ97" s="239"/>
      <c r="AR97" s="252"/>
      <c r="AS97" s="77" t="str">
        <f t="shared" ca="1" si="42"/>
        <v>MOSTAZAL</v>
      </c>
      <c r="AT97" s="255">
        <f t="shared" si="43"/>
        <v>0</v>
      </c>
      <c r="AU97" s="51"/>
      <c r="AV97" s="51"/>
      <c r="AW97" s="13">
        <f>+IF(AX97="","",IF(AX97&gt;AX96,AW96,IF(AW96&lt;$D$69,AW96+1,IF(COUNT(AW$4:AW96)&lt;$B$69*$E$54,1,""))))</f>
        <v>8</v>
      </c>
      <c r="AX97" s="13">
        <f>+IF(AX96&lt;$B$69,AX96+1,IF(COUNT(AX$4:AX96)&lt;$B$69*$D$69,1,""))</f>
        <v>3</v>
      </c>
      <c r="AY97" s="189" t="str">
        <f t="shared" ca="1" si="44"/>
        <v xml:space="preserve">GUSTAVO ZÚÑIGA </v>
      </c>
      <c r="AZ97" s="36">
        <f ca="1">+IF(AZ$3="","",IF($AY97="","",IFERROR(INDEX('Data Consolidada'!$E$7:$E$891,MATCH(CONCATENATE(AZ$3,"-",$CP97,"-",$AY97),'Data Consolidada'!$K$7:$K$891,0)),MAX('Data Consolidada'!$E$7:$E$3000))))</f>
        <v>11000000</v>
      </c>
      <c r="BA97" s="32">
        <f ca="1">+IF(BA$3="","",IF($AY97="","",IFERROR(INDEX('Data Consolidada'!$E$7:$E$891,MATCH(CONCATENATE(BA$3,"-",$CP97,"-",$AY97),'Data Consolidada'!$K$7:$K$891,0)),MAX('Data Consolidada'!$E$7:$E$3000))))</f>
        <v>11000000</v>
      </c>
      <c r="BB97" s="32" t="str">
        <f>+IF(BB$3="","",IF($AY97="","",IFERROR(INDEX('Data Consolidada'!$E$7:$E$891,MATCH(CONCATENATE(BB$3,"-",$CP97,"-",$AY97),'Data Consolidada'!$K$7:$K$891,0)),MAX('Data Consolidada'!$E$7:$E$3000))))</f>
        <v/>
      </c>
      <c r="BC97" s="32" t="str">
        <f>+IF(BC$3="","",IF($AY97="","",IFERROR(INDEX('Data Consolidada'!$E$7:$E$891,MATCH(CONCATENATE(BC$3,"-",$CP97,"-",$AY97),'Data Consolidada'!$K$7:$K$891,0)),MAX('Data Consolidada'!$E$7:$E$3000))))</f>
        <v/>
      </c>
      <c r="BD97" s="32" t="str">
        <f>+IF(BD$3="","",IF($AY97="","",IFERROR(INDEX('Data Consolidada'!$E$7:$E$891,MATCH(CONCATENATE(BD$3,"-",$CP97,"-",$AY97),'Data Consolidada'!$K$7:$K$891,0)),MAX('Data Consolidada'!$E$7:$E$3000))))</f>
        <v/>
      </c>
      <c r="BE97" s="32" t="str">
        <f>+IF(BE$3="","",IF($AY97="","",IFERROR(INDEX('Data Consolidada'!$E$7:$E$891,MATCH(CONCATENATE(BE$3,"-",$CP97,"-",$AY97),'Data Consolidada'!$K$7:$K$891,0)),MAX('Data Consolidada'!$E$7:$E$3000))))</f>
        <v/>
      </c>
      <c r="BF97" s="32" t="str">
        <f>+IF(BF$3="","",IF($AY97="","",IFERROR(INDEX('Data Consolidada'!$E$7:$E$891,MATCH(CONCATENATE(BF$3,"-",$CP97,"-",$AY97),'Data Consolidada'!$K$7:$K$891,0)),MAX('Data Consolidada'!$E$7:$E$3000))))</f>
        <v/>
      </c>
      <c r="BG97" s="32" t="str">
        <f>+IF(BG$3="","",IF($AY97="","",IFERROR(INDEX('Data Consolidada'!$E$7:$E$891,MATCH(CONCATENATE(BG$3,"-",$CP97,"-",$AY97),'Data Consolidada'!$K$7:$K$891,0)),MAX('Data Consolidada'!$E$7:$E$3000))))</f>
        <v/>
      </c>
      <c r="BH97" s="32" t="str">
        <f>+IF(BH$3="","",IF($AY97="","",IFERROR(INDEX('Data Consolidada'!$E$7:$E$891,MATCH(CONCATENATE(BH$3,"-",$CP97,"-",$AY97),'Data Consolidada'!$K$7:$K$891,0)),MAX('Data Consolidada'!$E$7:$E$3000))))</f>
        <v/>
      </c>
      <c r="BI97" s="32" t="str">
        <f>+IF(BI$3="","",IF($AY97="","",IFERROR(INDEX('Data Consolidada'!$E$7:$E$891,MATCH(CONCATENATE(BI$3,"-",$CP97,"-",$AY97),'Data Consolidada'!$K$7:$K$891,0)),MAX('Data Consolidada'!$E$7:$E$3000))))</f>
        <v/>
      </c>
      <c r="BJ97" s="32" t="str">
        <f>+IF(BJ$3="","",IF($AY97="","",IFERROR(INDEX('Data Consolidada'!$E$7:$E$891,MATCH(CONCATENATE(BJ$3,"-",$CP97,"-",$AY97),'Data Consolidada'!$K$7:$K$891,0)),MAX('Data Consolidada'!$E$7:$E$3000))))</f>
        <v/>
      </c>
      <c r="BK97" s="32" t="str">
        <f>+IF(BK$3="","",IF($AY97="","",IFERROR(INDEX('Data Consolidada'!$E$7:$E$891,MATCH(CONCATENATE(BK$3,"-",$CP97,"-",$AY97),'Data Consolidada'!$K$7:$K$891,0)),MAX('Data Consolidada'!$E$7:$E$3000))))</f>
        <v/>
      </c>
      <c r="BL97" s="32" t="str">
        <f>+IF(BL$3="","",IF($AY97="","",IFERROR(INDEX('Data Consolidada'!$E$7:$E$891,MATCH(CONCATENATE(BL$3,"-",$CP97,"-",$AY97),'Data Consolidada'!$K$7:$K$891,0)),MAX('Data Consolidada'!$E$7:$E$3000))))</f>
        <v/>
      </c>
      <c r="BM97" s="32" t="str">
        <f>+IF(BM$3="","",IF($AY97="","",IFERROR(INDEX('Data Consolidada'!$E$7:$E$891,MATCH(CONCATENATE(BM$3,"-",$CP97,"-",$AY97),'Data Consolidada'!$K$7:$K$891,0)),MAX('Data Consolidada'!$E$7:$E$3000))))</f>
        <v/>
      </c>
      <c r="BN97" s="32" t="str">
        <f>+IF(BN$3="","",IF($AY97="","",IFERROR(INDEX('Data Consolidada'!$E$7:$E$891,MATCH(CONCATENATE(BN$3,"-",$CP97,"-",$AY97),'Data Consolidada'!$K$7:$K$891,0)),MAX('Data Consolidada'!$E$7:$E$3000))))</f>
        <v/>
      </c>
      <c r="BO97" s="32" t="str">
        <f>+IF(BO$3="","",IF($AY97="","",IFERROR(INDEX('Data Consolidada'!$E$7:$E$891,MATCH(CONCATENATE(BO$3,"-",$CP97,"-",$AY97),'Data Consolidada'!$K$7:$K$891,0)),MAX('Data Consolidada'!$E$7:$E$3000))))</f>
        <v/>
      </c>
      <c r="BP97" s="32" t="str">
        <f>+IF(BP$3="","",IF($AY97="","",IFERROR(INDEX('Data Consolidada'!$E$7:$E$891,MATCH(CONCATENATE(BP$3,"-",$CP97,"-",$AY97),'Data Consolidada'!$K$7:$K$891,0)),MAX('Data Consolidada'!$E$7:$E$3000))))</f>
        <v/>
      </c>
      <c r="BQ97" s="32" t="str">
        <f>+IF(BQ$3="","",IF($AY97="","",IFERROR(INDEX('Data Consolidada'!$E$7:$E$891,MATCH(CONCATENATE(BQ$3,"-",$CP97,"-",$AY97),'Data Consolidada'!$K$7:$K$891,0)),MAX('Data Consolidada'!$E$7:$E$3000))))</f>
        <v/>
      </c>
      <c r="BR97" s="32" t="str">
        <f>+IF(BR$3="","",IF($AY97="","",IFERROR(INDEX('Data Consolidada'!$E$7:$E$891,MATCH(CONCATENATE(BR$3,"-",$CP97,"-",$AY97),'Data Consolidada'!$K$7:$K$891,0)),MAX('Data Consolidada'!$E$7:$E$3000))))</f>
        <v/>
      </c>
      <c r="BS97" s="32" t="str">
        <f>+IF(BS$3="","",IF($AY97="","",IFERROR(INDEX('Data Consolidada'!$E$7:$E$891,MATCH(CONCATENATE(BS$3,"-",$CP97,"-",$AY97),'Data Consolidada'!$K$7:$K$891,0)),MAX('Data Consolidada'!$E$7:$E$3000))))</f>
        <v/>
      </c>
      <c r="BT97" s="32" t="str">
        <f>+IF(BT$3="","",IF($AY97="","",IFERROR(INDEX('Data Consolidada'!$E$7:$E$891,MATCH(CONCATENATE(BT$3,"-",$CP97,"-",$AY97),'Data Consolidada'!$K$7:$K$891,0)),MAX('Data Consolidada'!$E$7:$E$3000))))</f>
        <v/>
      </c>
      <c r="BU97" s="32" t="str">
        <f>+IF(BU$3="","",IF($AY97="","",IFERROR(INDEX('Data Consolidada'!$E$7:$E$891,MATCH(CONCATENATE(BU$3,"-",$CP97,"-",$AY97),'Data Consolidada'!$K$7:$K$891,0)),MAX('Data Consolidada'!$E$7:$E$3000))))</f>
        <v/>
      </c>
      <c r="BV97" s="32" t="str">
        <f>+IF(BV$3="","",IF($AY97="","",IFERROR(INDEX('Data Consolidada'!$E$7:$E$891,MATCH(CONCATENATE(BV$3,"-",$CP97,"-",$AY97),'Data Consolidada'!$K$7:$K$891,0)),MAX('Data Consolidada'!$E$7:$E$3000))))</f>
        <v/>
      </c>
      <c r="BW97" s="32" t="str">
        <f>+IF(BW$3="","",IF($AY97="","",IFERROR(INDEX('Data Consolidada'!$E$7:$E$891,MATCH(CONCATENATE(BW$3,"-",$CP97,"-",$AY97),'Data Consolidada'!$K$7:$K$891,0)),MAX('Data Consolidada'!$E$7:$E$3000))))</f>
        <v/>
      </c>
      <c r="BX97" s="32" t="str">
        <f>+IF(BX$3="","",IF($AY97="","",IFERROR(INDEX('Data Consolidada'!$E$7:$E$891,MATCH(CONCATENATE(BX$3,"-",$CP97,"-",$AY97),'Data Consolidada'!$K$7:$K$891,0)),MAX('Data Consolidada'!$E$7:$E$3000))))</f>
        <v/>
      </c>
      <c r="BY97" s="32" t="str">
        <f>+IF(BY$3="","",IF($AY97="","",IFERROR(INDEX('Data Consolidada'!$E$7:$E$891,MATCH(CONCATENATE(BY$3,"-",$CP97,"-",$AY97),'Data Consolidada'!$K$7:$K$891,0)),MAX('Data Consolidada'!$E$7:$E$3000))))</f>
        <v/>
      </c>
      <c r="BZ97" s="32" t="str">
        <f>+IF(BZ$3="","",IF($AY97="","",IFERROR(INDEX('Data Consolidada'!$E$7:$E$891,MATCH(CONCATENATE(BZ$3,"-",$CP97,"-",$AY97),'Data Consolidada'!$K$7:$K$891,0)),MAX('Data Consolidada'!$E$7:$E$3000))))</f>
        <v/>
      </c>
      <c r="CA97" s="32" t="str">
        <f>+IF(CA$3="","",IF($AY97="","",IFERROR(INDEX('Data Consolidada'!$E$7:$E$891,MATCH(CONCATENATE(CA$3,"-",$CP97,"-",$AY97),'Data Consolidada'!$K$7:$K$891,0)),MAX('Data Consolidada'!$E$7:$E$3000))))</f>
        <v/>
      </c>
      <c r="CB97" s="32" t="str">
        <f>+IF(CB$3="","",IF($AY97="","",IFERROR(INDEX('Data Consolidada'!$E$7:$E$891,MATCH(CONCATENATE(CB$3,"-",$CP97,"-",$AY97),'Data Consolidada'!$K$7:$K$891,0)),MAX('Data Consolidada'!$E$7:$E$3000))))</f>
        <v/>
      </c>
      <c r="CC97" s="32" t="str">
        <f>+IF(CC$3="","",IF($AY97="","",IFERROR(INDEX('Data Consolidada'!$E$7:$E$891,MATCH(CONCATENATE(CC$3,"-",$CP97,"-",$AY97),'Data Consolidada'!$K$7:$K$891,0)),MAX('Data Consolidada'!$E$7:$E$3000))))</f>
        <v/>
      </c>
      <c r="CD97" s="32" t="str">
        <f>+IF(CD$3="","",IF($AY97="","",IFERROR(INDEX('Data Consolidada'!$E$7:$E$891,MATCH(CONCATENATE(CD$3,"-",$CP97,"-",$AY97),'Data Consolidada'!$K$7:$K$891,0)),MAX('Data Consolidada'!$E$7:$E$3000))))</f>
        <v/>
      </c>
      <c r="CE97" s="32" t="str">
        <f>+IF(CE$3="","",IF($AY97="","",IFERROR(INDEX('Data Consolidada'!$E$7:$E$891,MATCH(CONCATENATE(CE$3,"-",$CP97,"-",$AY97),'Data Consolidada'!$K$7:$K$891,0)),MAX('Data Consolidada'!$E$7:$E$3000))))</f>
        <v/>
      </c>
      <c r="CF97" s="32" t="str">
        <f>+IF(CF$3="","",IF($AY97="","",IFERROR(INDEX('Data Consolidada'!$E$7:$E$891,MATCH(CONCATENATE(CF$3,"-",$CP97,"-",$AY97),'Data Consolidada'!$K$7:$K$891,0)),MAX('Data Consolidada'!$E$7:$E$3000))))</f>
        <v/>
      </c>
      <c r="CG97" s="32" t="str">
        <f>+IF(CG$3="","",IF($AY97="","",IFERROR(INDEX('Data Consolidada'!$E$7:$E$891,MATCH(CONCATENATE(CG$3,"-",$CP97,"-",$AY97),'Data Consolidada'!$K$7:$K$891,0)),MAX('Data Consolidada'!$E$7:$E$3000))))</f>
        <v/>
      </c>
      <c r="CH97" s="32" t="str">
        <f>+IF(CH$3="","",IF($AY97="","",IFERROR(INDEX('Data Consolidada'!$E$7:$E$891,MATCH(CONCATENATE(CH$3,"-",$CP97,"-",$AY97),'Data Consolidada'!$K$7:$K$891,0)),MAX('Data Consolidada'!$E$7:$E$3000))))</f>
        <v/>
      </c>
      <c r="CI97" s="32" t="str">
        <f>+IF(CI$3="","",IF($AY97="","",IFERROR(INDEX('Data Consolidada'!$E$7:$E$891,MATCH(CONCATENATE(CI$3,"-",$CP97,"-",$AY97),'Data Consolidada'!$K$7:$K$891,0)),MAX('Data Consolidada'!$E$7:$E$3000))))</f>
        <v/>
      </c>
      <c r="CJ97" s="32" t="str">
        <f>+IF(CJ$3="","",IF($AY97="","",IFERROR(INDEX('Data Consolidada'!$E$7:$E$891,MATCH(CONCATENATE(CJ$3,"-",$CP97,"-",$AY97),'Data Consolidada'!$K$7:$K$891,0)),MAX('Data Consolidada'!$E$7:$E$3000))))</f>
        <v/>
      </c>
      <c r="CK97" s="32" t="str">
        <f>+IF(CK$3="","",IF($AY97="","",IFERROR(INDEX('Data Consolidada'!$E$7:$E$891,MATCH(CONCATENATE(CK$3,"-",$CP97,"-",$AY97),'Data Consolidada'!$K$7:$K$891,0)),MAX('Data Consolidada'!$E$7:$E$3000))))</f>
        <v/>
      </c>
      <c r="CL97" s="32" t="str">
        <f>+IF(CL$3="","",IF($AY97="","",IFERROR(INDEX('Data Consolidada'!$E$7:$E$891,MATCH(CONCATENATE(CL$3,"-",$CP97,"-",$AY97),'Data Consolidada'!$K$7:$K$891,0)),MAX('Data Consolidada'!$E$7:$E$3000))))</f>
        <v/>
      </c>
      <c r="CM97" s="32" t="str">
        <f>+IF(CM$3="","",IF($AY97="","",IFERROR(INDEX('Data Consolidada'!$E$7:$E$891,MATCH(CONCATENATE(CM$3,"-",$CP97,"-",$AY97),'Data Consolidada'!$K$7:$K$891,0)),MAX('Data Consolidada'!$E$7:$E$3000))))</f>
        <v/>
      </c>
      <c r="CN97" s="32" t="str">
        <f>+IF(CN$3="","",IF($AY97="","",IFERROR(INDEX('Data Consolidada'!$E$7:$E$891,MATCH(CONCATENATE(CN$3,"-",$CP97,"-",$AY97),'Data Consolidada'!$K$7:$K$891,0)),MAX('Data Consolidada'!$E$7:$E$3000))))</f>
        <v/>
      </c>
      <c r="CO97" s="37" t="str">
        <f>+IF(CO$3="","",IF($AY97="","",IFERROR(INDEX('Data Consolidada'!$E$7:$E$891,MATCH(CONCATENATE(CO$3,"-",$CP97,"-",$AY97),'Data Consolidada'!$K$7:$K$891,0)),MAX('Data Consolidada'!$E$7:$E$3000))))</f>
        <v/>
      </c>
      <c r="CP97" s="224">
        <f t="shared" ca="1" si="45"/>
        <v>0</v>
      </c>
      <c r="CQ97" s="84" t="str">
        <f t="shared" ca="1" si="39"/>
        <v>GUSTAVO ZÚÑIGA 0</v>
      </c>
    </row>
    <row r="98" spans="2:95" ht="15" customHeight="1" x14ac:dyDescent="0.35">
      <c r="B98" s="218" t="str">
        <f t="shared" ca="1" si="41"/>
        <v xml:space="preserve">  TRANS. MORROS LTDA.</v>
      </c>
      <c r="C98" s="238">
        <v>0</v>
      </c>
      <c r="D98" s="239">
        <v>0</v>
      </c>
      <c r="E98" s="239">
        <v>0</v>
      </c>
      <c r="F98" s="239">
        <v>0</v>
      </c>
      <c r="G98" s="239">
        <v>0</v>
      </c>
      <c r="H98" s="239">
        <v>0</v>
      </c>
      <c r="I98" s="239">
        <v>0</v>
      </c>
      <c r="J98" s="239">
        <v>0</v>
      </c>
      <c r="K98" s="239">
        <v>0</v>
      </c>
      <c r="L98" s="239">
        <v>0</v>
      </c>
      <c r="M98" s="239">
        <v>0</v>
      </c>
      <c r="N98" s="240">
        <v>0</v>
      </c>
      <c r="O98" s="239">
        <v>0</v>
      </c>
      <c r="P98" s="239">
        <v>0</v>
      </c>
      <c r="Q98" s="239">
        <v>0</v>
      </c>
      <c r="R98" s="239">
        <v>0</v>
      </c>
      <c r="S98" s="239">
        <v>0</v>
      </c>
      <c r="T98" s="239">
        <v>0</v>
      </c>
      <c r="U98" s="239">
        <v>0</v>
      </c>
      <c r="V98" s="239">
        <v>0</v>
      </c>
      <c r="W98" s="239">
        <v>0</v>
      </c>
      <c r="X98" s="239">
        <v>0</v>
      </c>
      <c r="Y98" s="239">
        <v>0</v>
      </c>
      <c r="Z98" s="239"/>
      <c r="AA98" s="239"/>
      <c r="AB98" s="239"/>
      <c r="AC98" s="239"/>
      <c r="AD98" s="239"/>
      <c r="AE98" s="239"/>
      <c r="AF98" s="239"/>
      <c r="AG98" s="239"/>
      <c r="AH98" s="239"/>
      <c r="AI98" s="239"/>
      <c r="AJ98" s="239"/>
      <c r="AK98" s="239"/>
      <c r="AL98" s="239"/>
      <c r="AM98" s="239"/>
      <c r="AN98" s="239"/>
      <c r="AO98" s="239"/>
      <c r="AP98" s="239"/>
      <c r="AQ98" s="239"/>
      <c r="AR98" s="252"/>
      <c r="AS98" s="77">
        <f t="shared" ca="1" si="42"/>
        <v>0</v>
      </c>
      <c r="AT98" s="255">
        <f t="shared" si="43"/>
        <v>0</v>
      </c>
      <c r="AU98" s="51"/>
      <c r="AV98" s="51"/>
      <c r="AW98" s="13">
        <f>+IF(AX98="","",IF(AX98&gt;AX97,AW97,IF(AW97&lt;$D$69,AW97+1,IF(COUNT(AW$4:AW97)&lt;$B$69*$E$54,1,""))))</f>
        <v>8</v>
      </c>
      <c r="AX98" s="13">
        <f>+IF(AX97&lt;$B$69,AX97+1,IF(COUNT(AX$4:AX97)&lt;$B$69*$D$69,1,""))</f>
        <v>4</v>
      </c>
      <c r="AY98" s="189" t="str">
        <f t="shared" ca="1" si="44"/>
        <v>LAVALLE</v>
      </c>
      <c r="AZ98" s="36">
        <f ca="1">+IF(AZ$3="","",IF($AY98="","",IFERROR(INDEX('Data Consolidada'!$E$7:$E$891,MATCH(CONCATENATE(AZ$3,"-",$CP98,"-",$AY98),'Data Consolidada'!$K$7:$K$891,0)),MAX('Data Consolidada'!$E$7:$E$3000))))</f>
        <v>11000000</v>
      </c>
      <c r="BA98" s="32">
        <f ca="1">+IF(BA$3="","",IF($AY98="","",IFERROR(INDEX('Data Consolidada'!$E$7:$E$891,MATCH(CONCATENATE(BA$3,"-",$CP98,"-",$AY98),'Data Consolidada'!$K$7:$K$891,0)),MAX('Data Consolidada'!$E$7:$E$3000))))</f>
        <v>11000000</v>
      </c>
      <c r="BB98" s="32" t="str">
        <f>+IF(BB$3="","",IF($AY98="","",IFERROR(INDEX('Data Consolidada'!$E$7:$E$891,MATCH(CONCATENATE(BB$3,"-",$CP98,"-",$AY98),'Data Consolidada'!$K$7:$K$891,0)),MAX('Data Consolidada'!$E$7:$E$3000))))</f>
        <v/>
      </c>
      <c r="BC98" s="32" t="str">
        <f>+IF(BC$3="","",IF($AY98="","",IFERROR(INDEX('Data Consolidada'!$E$7:$E$891,MATCH(CONCATENATE(BC$3,"-",$CP98,"-",$AY98),'Data Consolidada'!$K$7:$K$891,0)),MAX('Data Consolidada'!$E$7:$E$3000))))</f>
        <v/>
      </c>
      <c r="BD98" s="32" t="str">
        <f>+IF(BD$3="","",IF($AY98="","",IFERROR(INDEX('Data Consolidada'!$E$7:$E$891,MATCH(CONCATENATE(BD$3,"-",$CP98,"-",$AY98),'Data Consolidada'!$K$7:$K$891,0)),MAX('Data Consolidada'!$E$7:$E$3000))))</f>
        <v/>
      </c>
      <c r="BE98" s="32" t="str">
        <f>+IF(BE$3="","",IF($AY98="","",IFERROR(INDEX('Data Consolidada'!$E$7:$E$891,MATCH(CONCATENATE(BE$3,"-",$CP98,"-",$AY98),'Data Consolidada'!$K$7:$K$891,0)),MAX('Data Consolidada'!$E$7:$E$3000))))</f>
        <v/>
      </c>
      <c r="BF98" s="32" t="str">
        <f>+IF(BF$3="","",IF($AY98="","",IFERROR(INDEX('Data Consolidada'!$E$7:$E$891,MATCH(CONCATENATE(BF$3,"-",$CP98,"-",$AY98),'Data Consolidada'!$K$7:$K$891,0)),MAX('Data Consolidada'!$E$7:$E$3000))))</f>
        <v/>
      </c>
      <c r="BG98" s="32" t="str">
        <f>+IF(BG$3="","",IF($AY98="","",IFERROR(INDEX('Data Consolidada'!$E$7:$E$891,MATCH(CONCATENATE(BG$3,"-",$CP98,"-",$AY98),'Data Consolidada'!$K$7:$K$891,0)),MAX('Data Consolidada'!$E$7:$E$3000))))</f>
        <v/>
      </c>
      <c r="BH98" s="32" t="str">
        <f>+IF(BH$3="","",IF($AY98="","",IFERROR(INDEX('Data Consolidada'!$E$7:$E$891,MATCH(CONCATENATE(BH$3,"-",$CP98,"-",$AY98),'Data Consolidada'!$K$7:$K$891,0)),MAX('Data Consolidada'!$E$7:$E$3000))))</f>
        <v/>
      </c>
      <c r="BI98" s="32" t="str">
        <f>+IF(BI$3="","",IF($AY98="","",IFERROR(INDEX('Data Consolidada'!$E$7:$E$891,MATCH(CONCATENATE(BI$3,"-",$CP98,"-",$AY98),'Data Consolidada'!$K$7:$K$891,0)),MAX('Data Consolidada'!$E$7:$E$3000))))</f>
        <v/>
      </c>
      <c r="BJ98" s="32" t="str">
        <f>+IF(BJ$3="","",IF($AY98="","",IFERROR(INDEX('Data Consolidada'!$E$7:$E$891,MATCH(CONCATENATE(BJ$3,"-",$CP98,"-",$AY98),'Data Consolidada'!$K$7:$K$891,0)),MAX('Data Consolidada'!$E$7:$E$3000))))</f>
        <v/>
      </c>
      <c r="BK98" s="32" t="str">
        <f>+IF(BK$3="","",IF($AY98="","",IFERROR(INDEX('Data Consolidada'!$E$7:$E$891,MATCH(CONCATENATE(BK$3,"-",$CP98,"-",$AY98),'Data Consolidada'!$K$7:$K$891,0)),MAX('Data Consolidada'!$E$7:$E$3000))))</f>
        <v/>
      </c>
      <c r="BL98" s="32" t="str">
        <f>+IF(BL$3="","",IF($AY98="","",IFERROR(INDEX('Data Consolidada'!$E$7:$E$891,MATCH(CONCATENATE(BL$3,"-",$CP98,"-",$AY98),'Data Consolidada'!$K$7:$K$891,0)),MAX('Data Consolidada'!$E$7:$E$3000))))</f>
        <v/>
      </c>
      <c r="BM98" s="32" t="str">
        <f>+IF(BM$3="","",IF($AY98="","",IFERROR(INDEX('Data Consolidada'!$E$7:$E$891,MATCH(CONCATENATE(BM$3,"-",$CP98,"-",$AY98),'Data Consolidada'!$K$7:$K$891,0)),MAX('Data Consolidada'!$E$7:$E$3000))))</f>
        <v/>
      </c>
      <c r="BN98" s="32" t="str">
        <f>+IF(BN$3="","",IF($AY98="","",IFERROR(INDEX('Data Consolidada'!$E$7:$E$891,MATCH(CONCATENATE(BN$3,"-",$CP98,"-",$AY98),'Data Consolidada'!$K$7:$K$891,0)),MAX('Data Consolidada'!$E$7:$E$3000))))</f>
        <v/>
      </c>
      <c r="BO98" s="32" t="str">
        <f>+IF(BO$3="","",IF($AY98="","",IFERROR(INDEX('Data Consolidada'!$E$7:$E$891,MATCH(CONCATENATE(BO$3,"-",$CP98,"-",$AY98),'Data Consolidada'!$K$7:$K$891,0)),MAX('Data Consolidada'!$E$7:$E$3000))))</f>
        <v/>
      </c>
      <c r="BP98" s="32" t="str">
        <f>+IF(BP$3="","",IF($AY98="","",IFERROR(INDEX('Data Consolidada'!$E$7:$E$891,MATCH(CONCATENATE(BP$3,"-",$CP98,"-",$AY98),'Data Consolidada'!$K$7:$K$891,0)),MAX('Data Consolidada'!$E$7:$E$3000))))</f>
        <v/>
      </c>
      <c r="BQ98" s="32" t="str">
        <f>+IF(BQ$3="","",IF($AY98="","",IFERROR(INDEX('Data Consolidada'!$E$7:$E$891,MATCH(CONCATENATE(BQ$3,"-",$CP98,"-",$AY98),'Data Consolidada'!$K$7:$K$891,0)),MAX('Data Consolidada'!$E$7:$E$3000))))</f>
        <v/>
      </c>
      <c r="BR98" s="32" t="str">
        <f>+IF(BR$3="","",IF($AY98="","",IFERROR(INDEX('Data Consolidada'!$E$7:$E$891,MATCH(CONCATENATE(BR$3,"-",$CP98,"-",$AY98),'Data Consolidada'!$K$7:$K$891,0)),MAX('Data Consolidada'!$E$7:$E$3000))))</f>
        <v/>
      </c>
      <c r="BS98" s="32" t="str">
        <f>+IF(BS$3="","",IF($AY98="","",IFERROR(INDEX('Data Consolidada'!$E$7:$E$891,MATCH(CONCATENATE(BS$3,"-",$CP98,"-",$AY98),'Data Consolidada'!$K$7:$K$891,0)),MAX('Data Consolidada'!$E$7:$E$3000))))</f>
        <v/>
      </c>
      <c r="BT98" s="32" t="str">
        <f>+IF(BT$3="","",IF($AY98="","",IFERROR(INDEX('Data Consolidada'!$E$7:$E$891,MATCH(CONCATENATE(BT$3,"-",$CP98,"-",$AY98),'Data Consolidada'!$K$7:$K$891,0)),MAX('Data Consolidada'!$E$7:$E$3000))))</f>
        <v/>
      </c>
      <c r="BU98" s="32" t="str">
        <f>+IF(BU$3="","",IF($AY98="","",IFERROR(INDEX('Data Consolidada'!$E$7:$E$891,MATCH(CONCATENATE(BU$3,"-",$CP98,"-",$AY98),'Data Consolidada'!$K$7:$K$891,0)),MAX('Data Consolidada'!$E$7:$E$3000))))</f>
        <v/>
      </c>
      <c r="BV98" s="32" t="str">
        <f>+IF(BV$3="","",IF($AY98="","",IFERROR(INDEX('Data Consolidada'!$E$7:$E$891,MATCH(CONCATENATE(BV$3,"-",$CP98,"-",$AY98),'Data Consolidada'!$K$7:$K$891,0)),MAX('Data Consolidada'!$E$7:$E$3000))))</f>
        <v/>
      </c>
      <c r="BW98" s="32" t="str">
        <f>+IF(BW$3="","",IF($AY98="","",IFERROR(INDEX('Data Consolidada'!$E$7:$E$891,MATCH(CONCATENATE(BW$3,"-",$CP98,"-",$AY98),'Data Consolidada'!$K$7:$K$891,0)),MAX('Data Consolidada'!$E$7:$E$3000))))</f>
        <v/>
      </c>
      <c r="BX98" s="32" t="str">
        <f>+IF(BX$3="","",IF($AY98="","",IFERROR(INDEX('Data Consolidada'!$E$7:$E$891,MATCH(CONCATENATE(BX$3,"-",$CP98,"-",$AY98),'Data Consolidada'!$K$7:$K$891,0)),MAX('Data Consolidada'!$E$7:$E$3000))))</f>
        <v/>
      </c>
      <c r="BY98" s="32" t="str">
        <f>+IF(BY$3="","",IF($AY98="","",IFERROR(INDEX('Data Consolidada'!$E$7:$E$891,MATCH(CONCATENATE(BY$3,"-",$CP98,"-",$AY98),'Data Consolidada'!$K$7:$K$891,0)),MAX('Data Consolidada'!$E$7:$E$3000))))</f>
        <v/>
      </c>
      <c r="BZ98" s="32" t="str">
        <f>+IF(BZ$3="","",IF($AY98="","",IFERROR(INDEX('Data Consolidada'!$E$7:$E$891,MATCH(CONCATENATE(BZ$3,"-",$CP98,"-",$AY98),'Data Consolidada'!$K$7:$K$891,0)),MAX('Data Consolidada'!$E$7:$E$3000))))</f>
        <v/>
      </c>
      <c r="CA98" s="32" t="str">
        <f>+IF(CA$3="","",IF($AY98="","",IFERROR(INDEX('Data Consolidada'!$E$7:$E$891,MATCH(CONCATENATE(CA$3,"-",$CP98,"-",$AY98),'Data Consolidada'!$K$7:$K$891,0)),MAX('Data Consolidada'!$E$7:$E$3000))))</f>
        <v/>
      </c>
      <c r="CB98" s="32" t="str">
        <f>+IF(CB$3="","",IF($AY98="","",IFERROR(INDEX('Data Consolidada'!$E$7:$E$891,MATCH(CONCATENATE(CB$3,"-",$CP98,"-",$AY98),'Data Consolidada'!$K$7:$K$891,0)),MAX('Data Consolidada'!$E$7:$E$3000))))</f>
        <v/>
      </c>
      <c r="CC98" s="32" t="str">
        <f>+IF(CC$3="","",IF($AY98="","",IFERROR(INDEX('Data Consolidada'!$E$7:$E$891,MATCH(CONCATENATE(CC$3,"-",$CP98,"-",$AY98),'Data Consolidada'!$K$7:$K$891,0)),MAX('Data Consolidada'!$E$7:$E$3000))))</f>
        <v/>
      </c>
      <c r="CD98" s="32" t="str">
        <f>+IF(CD$3="","",IF($AY98="","",IFERROR(INDEX('Data Consolidada'!$E$7:$E$891,MATCH(CONCATENATE(CD$3,"-",$CP98,"-",$AY98),'Data Consolidada'!$K$7:$K$891,0)),MAX('Data Consolidada'!$E$7:$E$3000))))</f>
        <v/>
      </c>
      <c r="CE98" s="32" t="str">
        <f>+IF(CE$3="","",IF($AY98="","",IFERROR(INDEX('Data Consolidada'!$E$7:$E$891,MATCH(CONCATENATE(CE$3,"-",$CP98,"-",$AY98),'Data Consolidada'!$K$7:$K$891,0)),MAX('Data Consolidada'!$E$7:$E$3000))))</f>
        <v/>
      </c>
      <c r="CF98" s="32" t="str">
        <f>+IF(CF$3="","",IF($AY98="","",IFERROR(INDEX('Data Consolidada'!$E$7:$E$891,MATCH(CONCATENATE(CF$3,"-",$CP98,"-",$AY98),'Data Consolidada'!$K$7:$K$891,0)),MAX('Data Consolidada'!$E$7:$E$3000))))</f>
        <v/>
      </c>
      <c r="CG98" s="32" t="str">
        <f>+IF(CG$3="","",IF($AY98="","",IFERROR(INDEX('Data Consolidada'!$E$7:$E$891,MATCH(CONCATENATE(CG$3,"-",$CP98,"-",$AY98),'Data Consolidada'!$K$7:$K$891,0)),MAX('Data Consolidada'!$E$7:$E$3000))))</f>
        <v/>
      </c>
      <c r="CH98" s="32" t="str">
        <f>+IF(CH$3="","",IF($AY98="","",IFERROR(INDEX('Data Consolidada'!$E$7:$E$891,MATCH(CONCATENATE(CH$3,"-",$CP98,"-",$AY98),'Data Consolidada'!$K$7:$K$891,0)),MAX('Data Consolidada'!$E$7:$E$3000))))</f>
        <v/>
      </c>
      <c r="CI98" s="32" t="str">
        <f>+IF(CI$3="","",IF($AY98="","",IFERROR(INDEX('Data Consolidada'!$E$7:$E$891,MATCH(CONCATENATE(CI$3,"-",$CP98,"-",$AY98),'Data Consolidada'!$K$7:$K$891,0)),MAX('Data Consolidada'!$E$7:$E$3000))))</f>
        <v/>
      </c>
      <c r="CJ98" s="32" t="str">
        <f>+IF(CJ$3="","",IF($AY98="","",IFERROR(INDEX('Data Consolidada'!$E$7:$E$891,MATCH(CONCATENATE(CJ$3,"-",$CP98,"-",$AY98),'Data Consolidada'!$K$7:$K$891,0)),MAX('Data Consolidada'!$E$7:$E$3000))))</f>
        <v/>
      </c>
      <c r="CK98" s="32" t="str">
        <f>+IF(CK$3="","",IF($AY98="","",IFERROR(INDEX('Data Consolidada'!$E$7:$E$891,MATCH(CONCATENATE(CK$3,"-",$CP98,"-",$AY98),'Data Consolidada'!$K$7:$K$891,0)),MAX('Data Consolidada'!$E$7:$E$3000))))</f>
        <v/>
      </c>
      <c r="CL98" s="32" t="str">
        <f>+IF(CL$3="","",IF($AY98="","",IFERROR(INDEX('Data Consolidada'!$E$7:$E$891,MATCH(CONCATENATE(CL$3,"-",$CP98,"-",$AY98),'Data Consolidada'!$K$7:$K$891,0)),MAX('Data Consolidada'!$E$7:$E$3000))))</f>
        <v/>
      </c>
      <c r="CM98" s="32" t="str">
        <f>+IF(CM$3="","",IF($AY98="","",IFERROR(INDEX('Data Consolidada'!$E$7:$E$891,MATCH(CONCATENATE(CM$3,"-",$CP98,"-",$AY98),'Data Consolidada'!$K$7:$K$891,0)),MAX('Data Consolidada'!$E$7:$E$3000))))</f>
        <v/>
      </c>
      <c r="CN98" s="32" t="str">
        <f>+IF(CN$3="","",IF($AY98="","",IFERROR(INDEX('Data Consolidada'!$E$7:$E$891,MATCH(CONCATENATE(CN$3,"-",$CP98,"-",$AY98),'Data Consolidada'!$K$7:$K$891,0)),MAX('Data Consolidada'!$E$7:$E$3000))))</f>
        <v/>
      </c>
      <c r="CO98" s="37" t="str">
        <f>+IF(CO$3="","",IF($AY98="","",IFERROR(INDEX('Data Consolidada'!$E$7:$E$891,MATCH(CONCATENATE(CO$3,"-",$CP98,"-",$AY98),'Data Consolidada'!$K$7:$K$891,0)),MAX('Data Consolidada'!$E$7:$E$3000))))</f>
        <v/>
      </c>
      <c r="CP98" s="224">
        <f t="shared" ca="1" si="45"/>
        <v>0</v>
      </c>
      <c r="CQ98" s="84" t="str">
        <f t="shared" ca="1" si="39"/>
        <v>LAVALLE0</v>
      </c>
    </row>
    <row r="99" spans="2:95" ht="15" customHeight="1" x14ac:dyDescent="0.35">
      <c r="B99" s="218" t="str">
        <f t="shared" ca="1" si="41"/>
        <v xml:space="preserve">CRISTIAN LÓPEZ </v>
      </c>
      <c r="C99" s="238">
        <v>0</v>
      </c>
      <c r="D99" s="239">
        <v>0</v>
      </c>
      <c r="E99" s="239">
        <v>0</v>
      </c>
      <c r="F99" s="239">
        <v>0</v>
      </c>
      <c r="G99" s="239">
        <v>0</v>
      </c>
      <c r="H99" s="239">
        <v>0</v>
      </c>
      <c r="I99" s="239">
        <v>0</v>
      </c>
      <c r="J99" s="239">
        <v>0</v>
      </c>
      <c r="K99" s="239">
        <v>0</v>
      </c>
      <c r="L99" s="239">
        <v>0</v>
      </c>
      <c r="M99" s="239">
        <v>0</v>
      </c>
      <c r="N99" s="240">
        <v>0</v>
      </c>
      <c r="O99" s="239">
        <v>0</v>
      </c>
      <c r="P99" s="239">
        <v>0</v>
      </c>
      <c r="Q99" s="239">
        <v>0</v>
      </c>
      <c r="R99" s="239">
        <v>0</v>
      </c>
      <c r="S99" s="239">
        <v>0</v>
      </c>
      <c r="T99" s="239">
        <v>0</v>
      </c>
      <c r="U99" s="239">
        <v>0</v>
      </c>
      <c r="V99" s="239">
        <v>0</v>
      </c>
      <c r="W99" s="239">
        <v>0</v>
      </c>
      <c r="X99" s="239">
        <v>0</v>
      </c>
      <c r="Y99" s="239">
        <v>0</v>
      </c>
      <c r="Z99" s="239"/>
      <c r="AA99" s="239"/>
      <c r="AB99" s="239"/>
      <c r="AC99" s="239"/>
      <c r="AD99" s="239"/>
      <c r="AE99" s="239"/>
      <c r="AF99" s="239"/>
      <c r="AG99" s="239"/>
      <c r="AH99" s="239"/>
      <c r="AI99" s="239"/>
      <c r="AJ99" s="239"/>
      <c r="AK99" s="239"/>
      <c r="AL99" s="239"/>
      <c r="AM99" s="239"/>
      <c r="AN99" s="239"/>
      <c r="AO99" s="239"/>
      <c r="AP99" s="239"/>
      <c r="AQ99" s="239"/>
      <c r="AR99" s="252"/>
      <c r="AS99" s="77">
        <f t="shared" ca="1" si="42"/>
        <v>0</v>
      </c>
      <c r="AT99" s="255">
        <f t="shared" si="43"/>
        <v>0</v>
      </c>
      <c r="AU99" s="51"/>
      <c r="AV99" s="51"/>
      <c r="AW99" s="13">
        <f>+IF(AX99="","",IF(AX99&gt;AX98,AW98,IF(AW98&lt;$D$69,AW98+1,IF(COUNT(AW$4:AW98)&lt;$B$69*$E$54,1,""))))</f>
        <v>8</v>
      </c>
      <c r="AX99" s="13">
        <f>+IF(AX98&lt;$B$69,AX98+1,IF(COUNT(AX$4:AX98)&lt;$B$69*$D$69,1,""))</f>
        <v>5</v>
      </c>
      <c r="AY99" s="189" t="str">
        <f t="shared" ca="1" si="44"/>
        <v>MACEBE</v>
      </c>
      <c r="AZ99" s="36">
        <f ca="1">+IF(AZ$3="","",IF($AY99="","",IFERROR(INDEX('Data Consolidada'!$E$7:$E$891,MATCH(CONCATENATE(AZ$3,"-",$CP99,"-",$AY99),'Data Consolidada'!$K$7:$K$891,0)),MAX('Data Consolidada'!$E$7:$E$3000))))</f>
        <v>11000000</v>
      </c>
      <c r="BA99" s="32">
        <f ca="1">+IF(BA$3="","",IF($AY99="","",IFERROR(INDEX('Data Consolidada'!$E$7:$E$891,MATCH(CONCATENATE(BA$3,"-",$CP99,"-",$AY99),'Data Consolidada'!$K$7:$K$891,0)),MAX('Data Consolidada'!$E$7:$E$3000))))</f>
        <v>11000000</v>
      </c>
      <c r="BB99" s="32" t="str">
        <f>+IF(BB$3="","",IF($AY99="","",IFERROR(INDEX('Data Consolidada'!$E$7:$E$891,MATCH(CONCATENATE(BB$3,"-",$CP99,"-",$AY99),'Data Consolidada'!$K$7:$K$891,0)),MAX('Data Consolidada'!$E$7:$E$3000))))</f>
        <v/>
      </c>
      <c r="BC99" s="32" t="str">
        <f>+IF(BC$3="","",IF($AY99="","",IFERROR(INDEX('Data Consolidada'!$E$7:$E$891,MATCH(CONCATENATE(BC$3,"-",$CP99,"-",$AY99),'Data Consolidada'!$K$7:$K$891,0)),MAX('Data Consolidada'!$E$7:$E$3000))))</f>
        <v/>
      </c>
      <c r="BD99" s="32" t="str">
        <f>+IF(BD$3="","",IF($AY99="","",IFERROR(INDEX('Data Consolidada'!$E$7:$E$891,MATCH(CONCATENATE(BD$3,"-",$CP99,"-",$AY99),'Data Consolidada'!$K$7:$K$891,0)),MAX('Data Consolidada'!$E$7:$E$3000))))</f>
        <v/>
      </c>
      <c r="BE99" s="32" t="str">
        <f>+IF(BE$3="","",IF($AY99="","",IFERROR(INDEX('Data Consolidada'!$E$7:$E$891,MATCH(CONCATENATE(BE$3,"-",$CP99,"-",$AY99),'Data Consolidada'!$K$7:$K$891,0)),MAX('Data Consolidada'!$E$7:$E$3000))))</f>
        <v/>
      </c>
      <c r="BF99" s="32" t="str">
        <f>+IF(BF$3="","",IF($AY99="","",IFERROR(INDEX('Data Consolidada'!$E$7:$E$891,MATCH(CONCATENATE(BF$3,"-",$CP99,"-",$AY99),'Data Consolidada'!$K$7:$K$891,0)),MAX('Data Consolidada'!$E$7:$E$3000))))</f>
        <v/>
      </c>
      <c r="BG99" s="32" t="str">
        <f>+IF(BG$3="","",IF($AY99="","",IFERROR(INDEX('Data Consolidada'!$E$7:$E$891,MATCH(CONCATENATE(BG$3,"-",$CP99,"-",$AY99),'Data Consolidada'!$K$7:$K$891,0)),MAX('Data Consolidada'!$E$7:$E$3000))))</f>
        <v/>
      </c>
      <c r="BH99" s="32" t="str">
        <f>+IF(BH$3="","",IF($AY99="","",IFERROR(INDEX('Data Consolidada'!$E$7:$E$891,MATCH(CONCATENATE(BH$3,"-",$CP99,"-",$AY99),'Data Consolidada'!$K$7:$K$891,0)),MAX('Data Consolidada'!$E$7:$E$3000))))</f>
        <v/>
      </c>
      <c r="BI99" s="32" t="str">
        <f>+IF(BI$3="","",IF($AY99="","",IFERROR(INDEX('Data Consolidada'!$E$7:$E$891,MATCH(CONCATENATE(BI$3,"-",$CP99,"-",$AY99),'Data Consolidada'!$K$7:$K$891,0)),MAX('Data Consolidada'!$E$7:$E$3000))))</f>
        <v/>
      </c>
      <c r="BJ99" s="32" t="str">
        <f>+IF(BJ$3="","",IF($AY99="","",IFERROR(INDEX('Data Consolidada'!$E$7:$E$891,MATCH(CONCATENATE(BJ$3,"-",$CP99,"-",$AY99),'Data Consolidada'!$K$7:$K$891,0)),MAX('Data Consolidada'!$E$7:$E$3000))))</f>
        <v/>
      </c>
      <c r="BK99" s="32" t="str">
        <f>+IF(BK$3="","",IF($AY99="","",IFERROR(INDEX('Data Consolidada'!$E$7:$E$891,MATCH(CONCATENATE(BK$3,"-",$CP99,"-",$AY99),'Data Consolidada'!$K$7:$K$891,0)),MAX('Data Consolidada'!$E$7:$E$3000))))</f>
        <v/>
      </c>
      <c r="BL99" s="32" t="str">
        <f>+IF(BL$3="","",IF($AY99="","",IFERROR(INDEX('Data Consolidada'!$E$7:$E$891,MATCH(CONCATENATE(BL$3,"-",$CP99,"-",$AY99),'Data Consolidada'!$K$7:$K$891,0)),MAX('Data Consolidada'!$E$7:$E$3000))))</f>
        <v/>
      </c>
      <c r="BM99" s="32" t="str">
        <f>+IF(BM$3="","",IF($AY99="","",IFERROR(INDEX('Data Consolidada'!$E$7:$E$891,MATCH(CONCATENATE(BM$3,"-",$CP99,"-",$AY99),'Data Consolidada'!$K$7:$K$891,0)),MAX('Data Consolidada'!$E$7:$E$3000))))</f>
        <v/>
      </c>
      <c r="BN99" s="32" t="str">
        <f>+IF(BN$3="","",IF($AY99="","",IFERROR(INDEX('Data Consolidada'!$E$7:$E$891,MATCH(CONCATENATE(BN$3,"-",$CP99,"-",$AY99),'Data Consolidada'!$K$7:$K$891,0)),MAX('Data Consolidada'!$E$7:$E$3000))))</f>
        <v/>
      </c>
      <c r="BO99" s="32" t="str">
        <f>+IF(BO$3="","",IF($AY99="","",IFERROR(INDEX('Data Consolidada'!$E$7:$E$891,MATCH(CONCATENATE(BO$3,"-",$CP99,"-",$AY99),'Data Consolidada'!$K$7:$K$891,0)),MAX('Data Consolidada'!$E$7:$E$3000))))</f>
        <v/>
      </c>
      <c r="BP99" s="32" t="str">
        <f>+IF(BP$3="","",IF($AY99="","",IFERROR(INDEX('Data Consolidada'!$E$7:$E$891,MATCH(CONCATENATE(BP$3,"-",$CP99,"-",$AY99),'Data Consolidada'!$K$7:$K$891,0)),MAX('Data Consolidada'!$E$7:$E$3000))))</f>
        <v/>
      </c>
      <c r="BQ99" s="32" t="str">
        <f>+IF(BQ$3="","",IF($AY99="","",IFERROR(INDEX('Data Consolidada'!$E$7:$E$891,MATCH(CONCATENATE(BQ$3,"-",$CP99,"-",$AY99),'Data Consolidada'!$K$7:$K$891,0)),MAX('Data Consolidada'!$E$7:$E$3000))))</f>
        <v/>
      </c>
      <c r="BR99" s="32" t="str">
        <f>+IF(BR$3="","",IF($AY99="","",IFERROR(INDEX('Data Consolidada'!$E$7:$E$891,MATCH(CONCATENATE(BR$3,"-",$CP99,"-",$AY99),'Data Consolidada'!$K$7:$K$891,0)),MAX('Data Consolidada'!$E$7:$E$3000))))</f>
        <v/>
      </c>
      <c r="BS99" s="32" t="str">
        <f>+IF(BS$3="","",IF($AY99="","",IFERROR(INDEX('Data Consolidada'!$E$7:$E$891,MATCH(CONCATENATE(BS$3,"-",$CP99,"-",$AY99),'Data Consolidada'!$K$7:$K$891,0)),MAX('Data Consolidada'!$E$7:$E$3000))))</f>
        <v/>
      </c>
      <c r="BT99" s="32" t="str">
        <f>+IF(BT$3="","",IF($AY99="","",IFERROR(INDEX('Data Consolidada'!$E$7:$E$891,MATCH(CONCATENATE(BT$3,"-",$CP99,"-",$AY99),'Data Consolidada'!$K$7:$K$891,0)),MAX('Data Consolidada'!$E$7:$E$3000))))</f>
        <v/>
      </c>
      <c r="BU99" s="32" t="str">
        <f>+IF(BU$3="","",IF($AY99="","",IFERROR(INDEX('Data Consolidada'!$E$7:$E$891,MATCH(CONCATENATE(BU$3,"-",$CP99,"-",$AY99),'Data Consolidada'!$K$7:$K$891,0)),MAX('Data Consolidada'!$E$7:$E$3000))))</f>
        <v/>
      </c>
      <c r="BV99" s="32" t="str">
        <f>+IF(BV$3="","",IF($AY99="","",IFERROR(INDEX('Data Consolidada'!$E$7:$E$891,MATCH(CONCATENATE(BV$3,"-",$CP99,"-",$AY99),'Data Consolidada'!$K$7:$K$891,0)),MAX('Data Consolidada'!$E$7:$E$3000))))</f>
        <v/>
      </c>
      <c r="BW99" s="32" t="str">
        <f>+IF(BW$3="","",IF($AY99="","",IFERROR(INDEX('Data Consolidada'!$E$7:$E$891,MATCH(CONCATENATE(BW$3,"-",$CP99,"-",$AY99),'Data Consolidada'!$K$7:$K$891,0)),MAX('Data Consolidada'!$E$7:$E$3000))))</f>
        <v/>
      </c>
      <c r="BX99" s="32" t="str">
        <f>+IF(BX$3="","",IF($AY99="","",IFERROR(INDEX('Data Consolidada'!$E$7:$E$891,MATCH(CONCATENATE(BX$3,"-",$CP99,"-",$AY99),'Data Consolidada'!$K$7:$K$891,0)),MAX('Data Consolidada'!$E$7:$E$3000))))</f>
        <v/>
      </c>
      <c r="BY99" s="32" t="str">
        <f>+IF(BY$3="","",IF($AY99="","",IFERROR(INDEX('Data Consolidada'!$E$7:$E$891,MATCH(CONCATENATE(BY$3,"-",$CP99,"-",$AY99),'Data Consolidada'!$K$7:$K$891,0)),MAX('Data Consolidada'!$E$7:$E$3000))))</f>
        <v/>
      </c>
      <c r="BZ99" s="32" t="str">
        <f>+IF(BZ$3="","",IF($AY99="","",IFERROR(INDEX('Data Consolidada'!$E$7:$E$891,MATCH(CONCATENATE(BZ$3,"-",$CP99,"-",$AY99),'Data Consolidada'!$K$7:$K$891,0)),MAX('Data Consolidada'!$E$7:$E$3000))))</f>
        <v/>
      </c>
      <c r="CA99" s="32" t="str">
        <f>+IF(CA$3="","",IF($AY99="","",IFERROR(INDEX('Data Consolidada'!$E$7:$E$891,MATCH(CONCATENATE(CA$3,"-",$CP99,"-",$AY99),'Data Consolidada'!$K$7:$K$891,0)),MAX('Data Consolidada'!$E$7:$E$3000))))</f>
        <v/>
      </c>
      <c r="CB99" s="32" t="str">
        <f>+IF(CB$3="","",IF($AY99="","",IFERROR(INDEX('Data Consolidada'!$E$7:$E$891,MATCH(CONCATENATE(CB$3,"-",$CP99,"-",$AY99),'Data Consolidada'!$K$7:$K$891,0)),MAX('Data Consolidada'!$E$7:$E$3000))))</f>
        <v/>
      </c>
      <c r="CC99" s="32" t="str">
        <f>+IF(CC$3="","",IF($AY99="","",IFERROR(INDEX('Data Consolidada'!$E$7:$E$891,MATCH(CONCATENATE(CC$3,"-",$CP99,"-",$AY99),'Data Consolidada'!$K$7:$K$891,0)),MAX('Data Consolidada'!$E$7:$E$3000))))</f>
        <v/>
      </c>
      <c r="CD99" s="32" t="str">
        <f>+IF(CD$3="","",IF($AY99="","",IFERROR(INDEX('Data Consolidada'!$E$7:$E$891,MATCH(CONCATENATE(CD$3,"-",$CP99,"-",$AY99),'Data Consolidada'!$K$7:$K$891,0)),MAX('Data Consolidada'!$E$7:$E$3000))))</f>
        <v/>
      </c>
      <c r="CE99" s="32" t="str">
        <f>+IF(CE$3="","",IF($AY99="","",IFERROR(INDEX('Data Consolidada'!$E$7:$E$891,MATCH(CONCATENATE(CE$3,"-",$CP99,"-",$AY99),'Data Consolidada'!$K$7:$K$891,0)),MAX('Data Consolidada'!$E$7:$E$3000))))</f>
        <v/>
      </c>
      <c r="CF99" s="32" t="str">
        <f>+IF(CF$3="","",IF($AY99="","",IFERROR(INDEX('Data Consolidada'!$E$7:$E$891,MATCH(CONCATENATE(CF$3,"-",$CP99,"-",$AY99),'Data Consolidada'!$K$7:$K$891,0)),MAX('Data Consolidada'!$E$7:$E$3000))))</f>
        <v/>
      </c>
      <c r="CG99" s="32" t="str">
        <f>+IF(CG$3="","",IF($AY99="","",IFERROR(INDEX('Data Consolidada'!$E$7:$E$891,MATCH(CONCATENATE(CG$3,"-",$CP99,"-",$AY99),'Data Consolidada'!$K$7:$K$891,0)),MAX('Data Consolidada'!$E$7:$E$3000))))</f>
        <v/>
      </c>
      <c r="CH99" s="32" t="str">
        <f>+IF(CH$3="","",IF($AY99="","",IFERROR(INDEX('Data Consolidada'!$E$7:$E$891,MATCH(CONCATENATE(CH$3,"-",$CP99,"-",$AY99),'Data Consolidada'!$K$7:$K$891,0)),MAX('Data Consolidada'!$E$7:$E$3000))))</f>
        <v/>
      </c>
      <c r="CI99" s="32" t="str">
        <f>+IF(CI$3="","",IF($AY99="","",IFERROR(INDEX('Data Consolidada'!$E$7:$E$891,MATCH(CONCATENATE(CI$3,"-",$CP99,"-",$AY99),'Data Consolidada'!$K$7:$K$891,0)),MAX('Data Consolidada'!$E$7:$E$3000))))</f>
        <v/>
      </c>
      <c r="CJ99" s="32" t="str">
        <f>+IF(CJ$3="","",IF($AY99="","",IFERROR(INDEX('Data Consolidada'!$E$7:$E$891,MATCH(CONCATENATE(CJ$3,"-",$CP99,"-",$AY99),'Data Consolidada'!$K$7:$K$891,0)),MAX('Data Consolidada'!$E$7:$E$3000))))</f>
        <v/>
      </c>
      <c r="CK99" s="32" t="str">
        <f>+IF(CK$3="","",IF($AY99="","",IFERROR(INDEX('Data Consolidada'!$E$7:$E$891,MATCH(CONCATENATE(CK$3,"-",$CP99,"-",$AY99),'Data Consolidada'!$K$7:$K$891,0)),MAX('Data Consolidada'!$E$7:$E$3000))))</f>
        <v/>
      </c>
      <c r="CL99" s="32" t="str">
        <f>+IF(CL$3="","",IF($AY99="","",IFERROR(INDEX('Data Consolidada'!$E$7:$E$891,MATCH(CONCATENATE(CL$3,"-",$CP99,"-",$AY99),'Data Consolidada'!$K$7:$K$891,0)),MAX('Data Consolidada'!$E$7:$E$3000))))</f>
        <v/>
      </c>
      <c r="CM99" s="32" t="str">
        <f>+IF(CM$3="","",IF($AY99="","",IFERROR(INDEX('Data Consolidada'!$E$7:$E$891,MATCH(CONCATENATE(CM$3,"-",$CP99,"-",$AY99),'Data Consolidada'!$K$7:$K$891,0)),MAX('Data Consolidada'!$E$7:$E$3000))))</f>
        <v/>
      </c>
      <c r="CN99" s="32" t="str">
        <f>+IF(CN$3="","",IF($AY99="","",IFERROR(INDEX('Data Consolidada'!$E$7:$E$891,MATCH(CONCATENATE(CN$3,"-",$CP99,"-",$AY99),'Data Consolidada'!$K$7:$K$891,0)),MAX('Data Consolidada'!$E$7:$E$3000))))</f>
        <v/>
      </c>
      <c r="CO99" s="37" t="str">
        <f>+IF(CO$3="","",IF($AY99="","",IFERROR(INDEX('Data Consolidada'!$E$7:$E$891,MATCH(CONCATENATE(CO$3,"-",$CP99,"-",$AY99),'Data Consolidada'!$K$7:$K$891,0)),MAX('Data Consolidada'!$E$7:$E$3000))))</f>
        <v/>
      </c>
      <c r="CP99" s="224">
        <f t="shared" ca="1" si="45"/>
        <v>0</v>
      </c>
      <c r="CQ99" s="84" t="str">
        <f t="shared" ca="1" si="39"/>
        <v>MACEBE0</v>
      </c>
    </row>
    <row r="100" spans="2:95" ht="15" customHeight="1" x14ac:dyDescent="0.35">
      <c r="B100" s="218" t="str">
        <f t="shared" ca="1" si="41"/>
        <v xml:space="preserve">GUSTAVO ZÚÑIGA </v>
      </c>
      <c r="C100" s="238">
        <v>0</v>
      </c>
      <c r="D100" s="239">
        <v>0</v>
      </c>
      <c r="E100" s="239">
        <v>0</v>
      </c>
      <c r="F100" s="239">
        <v>0</v>
      </c>
      <c r="G100" s="239">
        <v>0</v>
      </c>
      <c r="H100" s="239">
        <v>0</v>
      </c>
      <c r="I100" s="239">
        <v>0</v>
      </c>
      <c r="J100" s="239">
        <v>0</v>
      </c>
      <c r="K100" s="239">
        <v>0</v>
      </c>
      <c r="L100" s="239">
        <v>0</v>
      </c>
      <c r="M100" s="239">
        <v>0</v>
      </c>
      <c r="N100" s="240">
        <v>0</v>
      </c>
      <c r="O100" s="239">
        <v>0</v>
      </c>
      <c r="P100" s="239">
        <v>0</v>
      </c>
      <c r="Q100" s="239">
        <v>0</v>
      </c>
      <c r="R100" s="239">
        <v>0</v>
      </c>
      <c r="S100" s="239">
        <v>0</v>
      </c>
      <c r="T100" s="239">
        <v>0</v>
      </c>
      <c r="U100" s="239">
        <v>0</v>
      </c>
      <c r="V100" s="239">
        <v>0</v>
      </c>
      <c r="W100" s="239">
        <v>0</v>
      </c>
      <c r="X100" s="239">
        <v>0</v>
      </c>
      <c r="Y100" s="239">
        <v>0</v>
      </c>
      <c r="Z100" s="239"/>
      <c r="AA100" s="239"/>
      <c r="AB100" s="239"/>
      <c r="AC100" s="239"/>
      <c r="AD100" s="239"/>
      <c r="AE100" s="239"/>
      <c r="AF100" s="239"/>
      <c r="AG100" s="239"/>
      <c r="AH100" s="239"/>
      <c r="AI100" s="239"/>
      <c r="AJ100" s="239"/>
      <c r="AK100" s="239"/>
      <c r="AL100" s="239"/>
      <c r="AM100" s="239"/>
      <c r="AN100" s="239"/>
      <c r="AO100" s="239"/>
      <c r="AP100" s="239"/>
      <c r="AQ100" s="239"/>
      <c r="AR100" s="252"/>
      <c r="AS100" s="77">
        <f t="shared" ca="1" si="42"/>
        <v>0</v>
      </c>
      <c r="AT100" s="255">
        <f t="shared" si="43"/>
        <v>0</v>
      </c>
      <c r="AU100" s="51"/>
      <c r="AV100" s="51"/>
      <c r="AW100" s="13">
        <f>+IF(AX100="","",IF(AX100&gt;AX99,AW99,IF(AW99&lt;$D$69,AW99+1,IF(COUNT(AW$4:AW99)&lt;$B$69*$E$54,1,""))))</f>
        <v>8</v>
      </c>
      <c r="AX100" s="13">
        <f>+IF(AX99&lt;$B$69,AX99+1,IF(COUNT(AX$4:AX99)&lt;$B$69*$D$69,1,""))</f>
        <v>6</v>
      </c>
      <c r="AY100" s="189" t="str">
        <f t="shared" ca="1" si="44"/>
        <v xml:space="preserve">Manuel Sepúlveda </v>
      </c>
      <c r="AZ100" s="36">
        <f ca="1">+IF(AZ$3="","",IF($AY100="","",IFERROR(INDEX('Data Consolidada'!$E$7:$E$891,MATCH(CONCATENATE(AZ$3,"-",$CP100,"-",$AY100),'Data Consolidada'!$K$7:$K$891,0)),MAX('Data Consolidada'!$E$7:$E$3000))))</f>
        <v>11000000</v>
      </c>
      <c r="BA100" s="32">
        <f ca="1">+IF(BA$3="","",IF($AY100="","",IFERROR(INDEX('Data Consolidada'!$E$7:$E$891,MATCH(CONCATENATE(BA$3,"-",$CP100,"-",$AY100),'Data Consolidada'!$K$7:$K$891,0)),MAX('Data Consolidada'!$E$7:$E$3000))))</f>
        <v>11000000</v>
      </c>
      <c r="BB100" s="32" t="str">
        <f>+IF(BB$3="","",IF($AY100="","",IFERROR(INDEX('Data Consolidada'!$E$7:$E$891,MATCH(CONCATENATE(BB$3,"-",$CP100,"-",$AY100),'Data Consolidada'!$K$7:$K$891,0)),MAX('Data Consolidada'!$E$7:$E$3000))))</f>
        <v/>
      </c>
      <c r="BC100" s="32" t="str">
        <f>+IF(BC$3="","",IF($AY100="","",IFERROR(INDEX('Data Consolidada'!$E$7:$E$891,MATCH(CONCATENATE(BC$3,"-",$CP100,"-",$AY100),'Data Consolidada'!$K$7:$K$891,0)),MAX('Data Consolidada'!$E$7:$E$3000))))</f>
        <v/>
      </c>
      <c r="BD100" s="32" t="str">
        <f>+IF(BD$3="","",IF($AY100="","",IFERROR(INDEX('Data Consolidada'!$E$7:$E$891,MATCH(CONCATENATE(BD$3,"-",$CP100,"-",$AY100),'Data Consolidada'!$K$7:$K$891,0)),MAX('Data Consolidada'!$E$7:$E$3000))))</f>
        <v/>
      </c>
      <c r="BE100" s="32" t="str">
        <f>+IF(BE$3="","",IF($AY100="","",IFERROR(INDEX('Data Consolidada'!$E$7:$E$891,MATCH(CONCATENATE(BE$3,"-",$CP100,"-",$AY100),'Data Consolidada'!$K$7:$K$891,0)),MAX('Data Consolidada'!$E$7:$E$3000))))</f>
        <v/>
      </c>
      <c r="BF100" s="32" t="str">
        <f>+IF(BF$3="","",IF($AY100="","",IFERROR(INDEX('Data Consolidada'!$E$7:$E$891,MATCH(CONCATENATE(BF$3,"-",$CP100,"-",$AY100),'Data Consolidada'!$K$7:$K$891,0)),MAX('Data Consolidada'!$E$7:$E$3000))))</f>
        <v/>
      </c>
      <c r="BG100" s="32" t="str">
        <f>+IF(BG$3="","",IF($AY100="","",IFERROR(INDEX('Data Consolidada'!$E$7:$E$891,MATCH(CONCATENATE(BG$3,"-",$CP100,"-",$AY100),'Data Consolidada'!$K$7:$K$891,0)),MAX('Data Consolidada'!$E$7:$E$3000))))</f>
        <v/>
      </c>
      <c r="BH100" s="32" t="str">
        <f>+IF(BH$3="","",IF($AY100="","",IFERROR(INDEX('Data Consolidada'!$E$7:$E$891,MATCH(CONCATENATE(BH$3,"-",$CP100,"-",$AY100),'Data Consolidada'!$K$7:$K$891,0)),MAX('Data Consolidada'!$E$7:$E$3000))))</f>
        <v/>
      </c>
      <c r="BI100" s="32" t="str">
        <f>+IF(BI$3="","",IF($AY100="","",IFERROR(INDEX('Data Consolidada'!$E$7:$E$891,MATCH(CONCATENATE(BI$3,"-",$CP100,"-",$AY100),'Data Consolidada'!$K$7:$K$891,0)),MAX('Data Consolidada'!$E$7:$E$3000))))</f>
        <v/>
      </c>
      <c r="BJ100" s="32" t="str">
        <f>+IF(BJ$3="","",IF($AY100="","",IFERROR(INDEX('Data Consolidada'!$E$7:$E$891,MATCH(CONCATENATE(BJ$3,"-",$CP100,"-",$AY100),'Data Consolidada'!$K$7:$K$891,0)),MAX('Data Consolidada'!$E$7:$E$3000))))</f>
        <v/>
      </c>
      <c r="BK100" s="32" t="str">
        <f>+IF(BK$3="","",IF($AY100="","",IFERROR(INDEX('Data Consolidada'!$E$7:$E$891,MATCH(CONCATENATE(BK$3,"-",$CP100,"-",$AY100),'Data Consolidada'!$K$7:$K$891,0)),MAX('Data Consolidada'!$E$7:$E$3000))))</f>
        <v/>
      </c>
      <c r="BL100" s="32" t="str">
        <f>+IF(BL$3="","",IF($AY100="","",IFERROR(INDEX('Data Consolidada'!$E$7:$E$891,MATCH(CONCATENATE(BL$3,"-",$CP100,"-",$AY100),'Data Consolidada'!$K$7:$K$891,0)),MAX('Data Consolidada'!$E$7:$E$3000))))</f>
        <v/>
      </c>
      <c r="BM100" s="32" t="str">
        <f>+IF(BM$3="","",IF($AY100="","",IFERROR(INDEX('Data Consolidada'!$E$7:$E$891,MATCH(CONCATENATE(BM$3,"-",$CP100,"-",$AY100),'Data Consolidada'!$K$7:$K$891,0)),MAX('Data Consolidada'!$E$7:$E$3000))))</f>
        <v/>
      </c>
      <c r="BN100" s="32" t="str">
        <f>+IF(BN$3="","",IF($AY100="","",IFERROR(INDEX('Data Consolidada'!$E$7:$E$891,MATCH(CONCATENATE(BN$3,"-",$CP100,"-",$AY100),'Data Consolidada'!$K$7:$K$891,0)),MAX('Data Consolidada'!$E$7:$E$3000))))</f>
        <v/>
      </c>
      <c r="BO100" s="32" t="str">
        <f>+IF(BO$3="","",IF($AY100="","",IFERROR(INDEX('Data Consolidada'!$E$7:$E$891,MATCH(CONCATENATE(BO$3,"-",$CP100,"-",$AY100),'Data Consolidada'!$K$7:$K$891,0)),MAX('Data Consolidada'!$E$7:$E$3000))))</f>
        <v/>
      </c>
      <c r="BP100" s="32" t="str">
        <f>+IF(BP$3="","",IF($AY100="","",IFERROR(INDEX('Data Consolidada'!$E$7:$E$891,MATCH(CONCATENATE(BP$3,"-",$CP100,"-",$AY100),'Data Consolidada'!$K$7:$K$891,0)),MAX('Data Consolidada'!$E$7:$E$3000))))</f>
        <v/>
      </c>
      <c r="BQ100" s="32" t="str">
        <f>+IF(BQ$3="","",IF($AY100="","",IFERROR(INDEX('Data Consolidada'!$E$7:$E$891,MATCH(CONCATENATE(BQ$3,"-",$CP100,"-",$AY100),'Data Consolidada'!$K$7:$K$891,0)),MAX('Data Consolidada'!$E$7:$E$3000))))</f>
        <v/>
      </c>
      <c r="BR100" s="32" t="str">
        <f>+IF(BR$3="","",IF($AY100="","",IFERROR(INDEX('Data Consolidada'!$E$7:$E$891,MATCH(CONCATENATE(BR$3,"-",$CP100,"-",$AY100),'Data Consolidada'!$K$7:$K$891,0)),MAX('Data Consolidada'!$E$7:$E$3000))))</f>
        <v/>
      </c>
      <c r="BS100" s="32" t="str">
        <f>+IF(BS$3="","",IF($AY100="","",IFERROR(INDEX('Data Consolidada'!$E$7:$E$891,MATCH(CONCATENATE(BS$3,"-",$CP100,"-",$AY100),'Data Consolidada'!$K$7:$K$891,0)),MAX('Data Consolidada'!$E$7:$E$3000))))</f>
        <v/>
      </c>
      <c r="BT100" s="32" t="str">
        <f>+IF(BT$3="","",IF($AY100="","",IFERROR(INDEX('Data Consolidada'!$E$7:$E$891,MATCH(CONCATENATE(BT$3,"-",$CP100,"-",$AY100),'Data Consolidada'!$K$7:$K$891,0)),MAX('Data Consolidada'!$E$7:$E$3000))))</f>
        <v/>
      </c>
      <c r="BU100" s="32" t="str">
        <f>+IF(BU$3="","",IF($AY100="","",IFERROR(INDEX('Data Consolidada'!$E$7:$E$891,MATCH(CONCATENATE(BU$3,"-",$CP100,"-",$AY100),'Data Consolidada'!$K$7:$K$891,0)),MAX('Data Consolidada'!$E$7:$E$3000))))</f>
        <v/>
      </c>
      <c r="BV100" s="32" t="str">
        <f>+IF(BV$3="","",IF($AY100="","",IFERROR(INDEX('Data Consolidada'!$E$7:$E$891,MATCH(CONCATENATE(BV$3,"-",$CP100,"-",$AY100),'Data Consolidada'!$K$7:$K$891,0)),MAX('Data Consolidada'!$E$7:$E$3000))))</f>
        <v/>
      </c>
      <c r="BW100" s="32" t="str">
        <f>+IF(BW$3="","",IF($AY100="","",IFERROR(INDEX('Data Consolidada'!$E$7:$E$891,MATCH(CONCATENATE(BW$3,"-",$CP100,"-",$AY100),'Data Consolidada'!$K$7:$K$891,0)),MAX('Data Consolidada'!$E$7:$E$3000))))</f>
        <v/>
      </c>
      <c r="BX100" s="32" t="str">
        <f>+IF(BX$3="","",IF($AY100="","",IFERROR(INDEX('Data Consolidada'!$E$7:$E$891,MATCH(CONCATENATE(BX$3,"-",$CP100,"-",$AY100),'Data Consolidada'!$K$7:$K$891,0)),MAX('Data Consolidada'!$E$7:$E$3000))))</f>
        <v/>
      </c>
      <c r="BY100" s="32" t="str">
        <f>+IF(BY$3="","",IF($AY100="","",IFERROR(INDEX('Data Consolidada'!$E$7:$E$891,MATCH(CONCATENATE(BY$3,"-",$CP100,"-",$AY100),'Data Consolidada'!$K$7:$K$891,0)),MAX('Data Consolidada'!$E$7:$E$3000))))</f>
        <v/>
      </c>
      <c r="BZ100" s="32" t="str">
        <f>+IF(BZ$3="","",IF($AY100="","",IFERROR(INDEX('Data Consolidada'!$E$7:$E$891,MATCH(CONCATENATE(BZ$3,"-",$CP100,"-",$AY100),'Data Consolidada'!$K$7:$K$891,0)),MAX('Data Consolidada'!$E$7:$E$3000))))</f>
        <v/>
      </c>
      <c r="CA100" s="32" t="str">
        <f>+IF(CA$3="","",IF($AY100="","",IFERROR(INDEX('Data Consolidada'!$E$7:$E$891,MATCH(CONCATENATE(CA$3,"-",$CP100,"-",$AY100),'Data Consolidada'!$K$7:$K$891,0)),MAX('Data Consolidada'!$E$7:$E$3000))))</f>
        <v/>
      </c>
      <c r="CB100" s="32" t="str">
        <f>+IF(CB$3="","",IF($AY100="","",IFERROR(INDEX('Data Consolidada'!$E$7:$E$891,MATCH(CONCATENATE(CB$3,"-",$CP100,"-",$AY100),'Data Consolidada'!$K$7:$K$891,0)),MAX('Data Consolidada'!$E$7:$E$3000))))</f>
        <v/>
      </c>
      <c r="CC100" s="32" t="str">
        <f>+IF(CC$3="","",IF($AY100="","",IFERROR(INDEX('Data Consolidada'!$E$7:$E$891,MATCH(CONCATENATE(CC$3,"-",$CP100,"-",$AY100),'Data Consolidada'!$K$7:$K$891,0)),MAX('Data Consolidada'!$E$7:$E$3000))))</f>
        <v/>
      </c>
      <c r="CD100" s="32" t="str">
        <f>+IF(CD$3="","",IF($AY100="","",IFERROR(INDEX('Data Consolidada'!$E$7:$E$891,MATCH(CONCATENATE(CD$3,"-",$CP100,"-",$AY100),'Data Consolidada'!$K$7:$K$891,0)),MAX('Data Consolidada'!$E$7:$E$3000))))</f>
        <v/>
      </c>
      <c r="CE100" s="32" t="str">
        <f>+IF(CE$3="","",IF($AY100="","",IFERROR(INDEX('Data Consolidada'!$E$7:$E$891,MATCH(CONCATENATE(CE$3,"-",$CP100,"-",$AY100),'Data Consolidada'!$K$7:$K$891,0)),MAX('Data Consolidada'!$E$7:$E$3000))))</f>
        <v/>
      </c>
      <c r="CF100" s="32" t="str">
        <f>+IF(CF$3="","",IF($AY100="","",IFERROR(INDEX('Data Consolidada'!$E$7:$E$891,MATCH(CONCATENATE(CF$3,"-",$CP100,"-",$AY100),'Data Consolidada'!$K$7:$K$891,0)),MAX('Data Consolidada'!$E$7:$E$3000))))</f>
        <v/>
      </c>
      <c r="CG100" s="32" t="str">
        <f>+IF(CG$3="","",IF($AY100="","",IFERROR(INDEX('Data Consolidada'!$E$7:$E$891,MATCH(CONCATENATE(CG$3,"-",$CP100,"-",$AY100),'Data Consolidada'!$K$7:$K$891,0)),MAX('Data Consolidada'!$E$7:$E$3000))))</f>
        <v/>
      </c>
      <c r="CH100" s="32" t="str">
        <f>+IF(CH$3="","",IF($AY100="","",IFERROR(INDEX('Data Consolidada'!$E$7:$E$891,MATCH(CONCATENATE(CH$3,"-",$CP100,"-",$AY100),'Data Consolidada'!$K$7:$K$891,0)),MAX('Data Consolidada'!$E$7:$E$3000))))</f>
        <v/>
      </c>
      <c r="CI100" s="32" t="str">
        <f>+IF(CI$3="","",IF($AY100="","",IFERROR(INDEX('Data Consolidada'!$E$7:$E$891,MATCH(CONCATENATE(CI$3,"-",$CP100,"-",$AY100),'Data Consolidada'!$K$7:$K$891,0)),MAX('Data Consolidada'!$E$7:$E$3000))))</f>
        <v/>
      </c>
      <c r="CJ100" s="32" t="str">
        <f>+IF(CJ$3="","",IF($AY100="","",IFERROR(INDEX('Data Consolidada'!$E$7:$E$891,MATCH(CONCATENATE(CJ$3,"-",$CP100,"-",$AY100),'Data Consolidada'!$K$7:$K$891,0)),MAX('Data Consolidada'!$E$7:$E$3000))))</f>
        <v/>
      </c>
      <c r="CK100" s="32" t="str">
        <f>+IF(CK$3="","",IF($AY100="","",IFERROR(INDEX('Data Consolidada'!$E$7:$E$891,MATCH(CONCATENATE(CK$3,"-",$CP100,"-",$AY100),'Data Consolidada'!$K$7:$K$891,0)),MAX('Data Consolidada'!$E$7:$E$3000))))</f>
        <v/>
      </c>
      <c r="CL100" s="32" t="str">
        <f>+IF(CL$3="","",IF($AY100="","",IFERROR(INDEX('Data Consolidada'!$E$7:$E$891,MATCH(CONCATENATE(CL$3,"-",$CP100,"-",$AY100),'Data Consolidada'!$K$7:$K$891,0)),MAX('Data Consolidada'!$E$7:$E$3000))))</f>
        <v/>
      </c>
      <c r="CM100" s="32" t="str">
        <f>+IF(CM$3="","",IF($AY100="","",IFERROR(INDEX('Data Consolidada'!$E$7:$E$891,MATCH(CONCATENATE(CM$3,"-",$CP100,"-",$AY100),'Data Consolidada'!$K$7:$K$891,0)),MAX('Data Consolidada'!$E$7:$E$3000))))</f>
        <v/>
      </c>
      <c r="CN100" s="32" t="str">
        <f>+IF(CN$3="","",IF($AY100="","",IFERROR(INDEX('Data Consolidada'!$E$7:$E$891,MATCH(CONCATENATE(CN$3,"-",$CP100,"-",$AY100),'Data Consolidada'!$K$7:$K$891,0)),MAX('Data Consolidada'!$E$7:$E$3000))))</f>
        <v/>
      </c>
      <c r="CO100" s="37" t="str">
        <f>+IF(CO$3="","",IF($AY100="","",IFERROR(INDEX('Data Consolidada'!$E$7:$E$891,MATCH(CONCATENATE(CO$3,"-",$CP100,"-",$AY100),'Data Consolidada'!$K$7:$K$891,0)),MAX('Data Consolidada'!$E$7:$E$3000))))</f>
        <v/>
      </c>
      <c r="CP100" s="224">
        <f t="shared" ca="1" si="45"/>
        <v>0</v>
      </c>
      <c r="CQ100" s="84" t="str">
        <f t="shared" ca="1" si="39"/>
        <v>Manuel Sepúlveda 0</v>
      </c>
    </row>
    <row r="101" spans="2:95" ht="15" customHeight="1" x14ac:dyDescent="0.35">
      <c r="B101" s="218" t="str">
        <f t="shared" ca="1" si="41"/>
        <v>LAVALLE</v>
      </c>
      <c r="C101" s="238">
        <v>0</v>
      </c>
      <c r="D101" s="239">
        <v>0</v>
      </c>
      <c r="E101" s="239">
        <v>0</v>
      </c>
      <c r="F101" s="239">
        <v>0</v>
      </c>
      <c r="G101" s="239">
        <v>0</v>
      </c>
      <c r="H101" s="239">
        <v>0</v>
      </c>
      <c r="I101" s="239">
        <v>0</v>
      </c>
      <c r="J101" s="239">
        <v>0</v>
      </c>
      <c r="K101" s="239">
        <v>0</v>
      </c>
      <c r="L101" s="239">
        <v>0</v>
      </c>
      <c r="M101" s="239">
        <v>0</v>
      </c>
      <c r="N101" s="240">
        <v>0</v>
      </c>
      <c r="O101" s="239">
        <v>0</v>
      </c>
      <c r="P101" s="239">
        <v>0</v>
      </c>
      <c r="Q101" s="239">
        <v>0</v>
      </c>
      <c r="R101" s="239">
        <v>0</v>
      </c>
      <c r="S101" s="239">
        <v>0</v>
      </c>
      <c r="T101" s="239">
        <v>0</v>
      </c>
      <c r="U101" s="239">
        <v>0</v>
      </c>
      <c r="V101" s="239">
        <v>0</v>
      </c>
      <c r="W101" s="239">
        <v>0</v>
      </c>
      <c r="X101" s="239">
        <v>0</v>
      </c>
      <c r="Y101" s="239">
        <v>0</v>
      </c>
      <c r="Z101" s="239"/>
      <c r="AA101" s="239"/>
      <c r="AB101" s="239"/>
      <c r="AC101" s="239"/>
      <c r="AD101" s="239"/>
      <c r="AE101" s="239"/>
      <c r="AF101" s="239"/>
      <c r="AG101" s="239"/>
      <c r="AH101" s="239"/>
      <c r="AI101" s="239"/>
      <c r="AJ101" s="239"/>
      <c r="AK101" s="239"/>
      <c r="AL101" s="239"/>
      <c r="AM101" s="239"/>
      <c r="AN101" s="239"/>
      <c r="AO101" s="239"/>
      <c r="AP101" s="239"/>
      <c r="AQ101" s="239"/>
      <c r="AR101" s="252"/>
      <c r="AS101" s="77">
        <f t="shared" ca="1" si="42"/>
        <v>0</v>
      </c>
      <c r="AT101" s="255">
        <f t="shared" si="43"/>
        <v>0</v>
      </c>
      <c r="AU101" s="51"/>
      <c r="AV101" s="51"/>
      <c r="AW101" s="13">
        <f>+IF(AX101="","",IF(AX101&gt;AX100,AW100,IF(AW100&lt;$D$69,AW100+1,IF(COUNT(AW$4:AW100)&lt;$B$69*$E$54,1,""))))</f>
        <v>8</v>
      </c>
      <c r="AX101" s="13">
        <f>+IF(AX100&lt;$B$69,AX100+1,IF(COUNT(AX$4:AX100)&lt;$B$69*$D$69,1,""))</f>
        <v>7</v>
      </c>
      <c r="AY101" s="189" t="str">
        <f t="shared" ca="1" si="44"/>
        <v>PARRAO</v>
      </c>
      <c r="AZ101" s="36">
        <f ca="1">+IF(AZ$3="","",IF($AY101="","",IFERROR(INDEX('Data Consolidada'!$E$7:$E$891,MATCH(CONCATENATE(AZ$3,"-",$CP101,"-",$AY101),'Data Consolidada'!$K$7:$K$891,0)),MAX('Data Consolidada'!$E$7:$E$3000))))</f>
        <v>11000000</v>
      </c>
      <c r="BA101" s="32">
        <f ca="1">+IF(BA$3="","",IF($AY101="","",IFERROR(INDEX('Data Consolidada'!$E$7:$E$891,MATCH(CONCATENATE(BA$3,"-",$CP101,"-",$AY101),'Data Consolidada'!$K$7:$K$891,0)),MAX('Data Consolidada'!$E$7:$E$3000))))</f>
        <v>11000000</v>
      </c>
      <c r="BB101" s="32" t="str">
        <f>+IF(BB$3="","",IF($AY101="","",IFERROR(INDEX('Data Consolidada'!$E$7:$E$891,MATCH(CONCATENATE(BB$3,"-",$CP101,"-",$AY101),'Data Consolidada'!$K$7:$K$891,0)),MAX('Data Consolidada'!$E$7:$E$3000))))</f>
        <v/>
      </c>
      <c r="BC101" s="32" t="str">
        <f>+IF(BC$3="","",IF($AY101="","",IFERROR(INDEX('Data Consolidada'!$E$7:$E$891,MATCH(CONCATENATE(BC$3,"-",$CP101,"-",$AY101),'Data Consolidada'!$K$7:$K$891,0)),MAX('Data Consolidada'!$E$7:$E$3000))))</f>
        <v/>
      </c>
      <c r="BD101" s="32" t="str">
        <f>+IF(BD$3="","",IF($AY101="","",IFERROR(INDEX('Data Consolidada'!$E$7:$E$891,MATCH(CONCATENATE(BD$3,"-",$CP101,"-",$AY101),'Data Consolidada'!$K$7:$K$891,0)),MAX('Data Consolidada'!$E$7:$E$3000))))</f>
        <v/>
      </c>
      <c r="BE101" s="32" t="str">
        <f>+IF(BE$3="","",IF($AY101="","",IFERROR(INDEX('Data Consolidada'!$E$7:$E$891,MATCH(CONCATENATE(BE$3,"-",$CP101,"-",$AY101),'Data Consolidada'!$K$7:$K$891,0)),MAX('Data Consolidada'!$E$7:$E$3000))))</f>
        <v/>
      </c>
      <c r="BF101" s="32" t="str">
        <f>+IF(BF$3="","",IF($AY101="","",IFERROR(INDEX('Data Consolidada'!$E$7:$E$891,MATCH(CONCATENATE(BF$3,"-",$CP101,"-",$AY101),'Data Consolidada'!$K$7:$K$891,0)),MAX('Data Consolidada'!$E$7:$E$3000))))</f>
        <v/>
      </c>
      <c r="BG101" s="32" t="str">
        <f>+IF(BG$3="","",IF($AY101="","",IFERROR(INDEX('Data Consolidada'!$E$7:$E$891,MATCH(CONCATENATE(BG$3,"-",$CP101,"-",$AY101),'Data Consolidada'!$K$7:$K$891,0)),MAX('Data Consolidada'!$E$7:$E$3000))))</f>
        <v/>
      </c>
      <c r="BH101" s="32" t="str">
        <f>+IF(BH$3="","",IF($AY101="","",IFERROR(INDEX('Data Consolidada'!$E$7:$E$891,MATCH(CONCATENATE(BH$3,"-",$CP101,"-",$AY101),'Data Consolidada'!$K$7:$K$891,0)),MAX('Data Consolidada'!$E$7:$E$3000))))</f>
        <v/>
      </c>
      <c r="BI101" s="32" t="str">
        <f>+IF(BI$3="","",IF($AY101="","",IFERROR(INDEX('Data Consolidada'!$E$7:$E$891,MATCH(CONCATENATE(BI$3,"-",$CP101,"-",$AY101),'Data Consolidada'!$K$7:$K$891,0)),MAX('Data Consolidada'!$E$7:$E$3000))))</f>
        <v/>
      </c>
      <c r="BJ101" s="32" t="str">
        <f>+IF(BJ$3="","",IF($AY101="","",IFERROR(INDEX('Data Consolidada'!$E$7:$E$891,MATCH(CONCATENATE(BJ$3,"-",$CP101,"-",$AY101),'Data Consolidada'!$K$7:$K$891,0)),MAX('Data Consolidada'!$E$7:$E$3000))))</f>
        <v/>
      </c>
      <c r="BK101" s="32" t="str">
        <f>+IF(BK$3="","",IF($AY101="","",IFERROR(INDEX('Data Consolidada'!$E$7:$E$891,MATCH(CONCATENATE(BK$3,"-",$CP101,"-",$AY101),'Data Consolidada'!$K$7:$K$891,0)),MAX('Data Consolidada'!$E$7:$E$3000))))</f>
        <v/>
      </c>
      <c r="BL101" s="32" t="str">
        <f>+IF(BL$3="","",IF($AY101="","",IFERROR(INDEX('Data Consolidada'!$E$7:$E$891,MATCH(CONCATENATE(BL$3,"-",$CP101,"-",$AY101),'Data Consolidada'!$K$7:$K$891,0)),MAX('Data Consolidada'!$E$7:$E$3000))))</f>
        <v/>
      </c>
      <c r="BM101" s="32" t="str">
        <f>+IF(BM$3="","",IF($AY101="","",IFERROR(INDEX('Data Consolidada'!$E$7:$E$891,MATCH(CONCATENATE(BM$3,"-",$CP101,"-",$AY101),'Data Consolidada'!$K$7:$K$891,0)),MAX('Data Consolidada'!$E$7:$E$3000))))</f>
        <v/>
      </c>
      <c r="BN101" s="32" t="str">
        <f>+IF(BN$3="","",IF($AY101="","",IFERROR(INDEX('Data Consolidada'!$E$7:$E$891,MATCH(CONCATENATE(BN$3,"-",$CP101,"-",$AY101),'Data Consolidada'!$K$7:$K$891,0)),MAX('Data Consolidada'!$E$7:$E$3000))))</f>
        <v/>
      </c>
      <c r="BO101" s="32" t="str">
        <f>+IF(BO$3="","",IF($AY101="","",IFERROR(INDEX('Data Consolidada'!$E$7:$E$891,MATCH(CONCATENATE(BO$3,"-",$CP101,"-",$AY101),'Data Consolidada'!$K$7:$K$891,0)),MAX('Data Consolidada'!$E$7:$E$3000))))</f>
        <v/>
      </c>
      <c r="BP101" s="32" t="str">
        <f>+IF(BP$3="","",IF($AY101="","",IFERROR(INDEX('Data Consolidada'!$E$7:$E$891,MATCH(CONCATENATE(BP$3,"-",$CP101,"-",$AY101),'Data Consolidada'!$K$7:$K$891,0)),MAX('Data Consolidada'!$E$7:$E$3000))))</f>
        <v/>
      </c>
      <c r="BQ101" s="32" t="str">
        <f>+IF(BQ$3="","",IF($AY101="","",IFERROR(INDEX('Data Consolidada'!$E$7:$E$891,MATCH(CONCATENATE(BQ$3,"-",$CP101,"-",$AY101),'Data Consolidada'!$K$7:$K$891,0)),MAX('Data Consolidada'!$E$7:$E$3000))))</f>
        <v/>
      </c>
      <c r="BR101" s="32" t="str">
        <f>+IF(BR$3="","",IF($AY101="","",IFERROR(INDEX('Data Consolidada'!$E$7:$E$891,MATCH(CONCATENATE(BR$3,"-",$CP101,"-",$AY101),'Data Consolidada'!$K$7:$K$891,0)),MAX('Data Consolidada'!$E$7:$E$3000))))</f>
        <v/>
      </c>
      <c r="BS101" s="32" t="str">
        <f>+IF(BS$3="","",IF($AY101="","",IFERROR(INDEX('Data Consolidada'!$E$7:$E$891,MATCH(CONCATENATE(BS$3,"-",$CP101,"-",$AY101),'Data Consolidada'!$K$7:$K$891,0)),MAX('Data Consolidada'!$E$7:$E$3000))))</f>
        <v/>
      </c>
      <c r="BT101" s="32" t="str">
        <f>+IF(BT$3="","",IF($AY101="","",IFERROR(INDEX('Data Consolidada'!$E$7:$E$891,MATCH(CONCATENATE(BT$3,"-",$CP101,"-",$AY101),'Data Consolidada'!$K$7:$K$891,0)),MAX('Data Consolidada'!$E$7:$E$3000))))</f>
        <v/>
      </c>
      <c r="BU101" s="32" t="str">
        <f>+IF(BU$3="","",IF($AY101="","",IFERROR(INDEX('Data Consolidada'!$E$7:$E$891,MATCH(CONCATENATE(BU$3,"-",$CP101,"-",$AY101),'Data Consolidada'!$K$7:$K$891,0)),MAX('Data Consolidada'!$E$7:$E$3000))))</f>
        <v/>
      </c>
      <c r="BV101" s="32" t="str">
        <f>+IF(BV$3="","",IF($AY101="","",IFERROR(INDEX('Data Consolidada'!$E$7:$E$891,MATCH(CONCATENATE(BV$3,"-",$CP101,"-",$AY101),'Data Consolidada'!$K$7:$K$891,0)),MAX('Data Consolidada'!$E$7:$E$3000))))</f>
        <v/>
      </c>
      <c r="BW101" s="32" t="str">
        <f>+IF(BW$3="","",IF($AY101="","",IFERROR(INDEX('Data Consolidada'!$E$7:$E$891,MATCH(CONCATENATE(BW$3,"-",$CP101,"-",$AY101),'Data Consolidada'!$K$7:$K$891,0)),MAX('Data Consolidada'!$E$7:$E$3000))))</f>
        <v/>
      </c>
      <c r="BX101" s="32" t="str">
        <f>+IF(BX$3="","",IF($AY101="","",IFERROR(INDEX('Data Consolidada'!$E$7:$E$891,MATCH(CONCATENATE(BX$3,"-",$CP101,"-",$AY101),'Data Consolidada'!$K$7:$K$891,0)),MAX('Data Consolidada'!$E$7:$E$3000))))</f>
        <v/>
      </c>
      <c r="BY101" s="32" t="str">
        <f>+IF(BY$3="","",IF($AY101="","",IFERROR(INDEX('Data Consolidada'!$E$7:$E$891,MATCH(CONCATENATE(BY$3,"-",$CP101,"-",$AY101),'Data Consolidada'!$K$7:$K$891,0)),MAX('Data Consolidada'!$E$7:$E$3000))))</f>
        <v/>
      </c>
      <c r="BZ101" s="32" t="str">
        <f>+IF(BZ$3="","",IF($AY101="","",IFERROR(INDEX('Data Consolidada'!$E$7:$E$891,MATCH(CONCATENATE(BZ$3,"-",$CP101,"-",$AY101),'Data Consolidada'!$K$7:$K$891,0)),MAX('Data Consolidada'!$E$7:$E$3000))))</f>
        <v/>
      </c>
      <c r="CA101" s="32" t="str">
        <f>+IF(CA$3="","",IF($AY101="","",IFERROR(INDEX('Data Consolidada'!$E$7:$E$891,MATCH(CONCATENATE(CA$3,"-",$CP101,"-",$AY101),'Data Consolidada'!$K$7:$K$891,0)),MAX('Data Consolidada'!$E$7:$E$3000))))</f>
        <v/>
      </c>
      <c r="CB101" s="32" t="str">
        <f>+IF(CB$3="","",IF($AY101="","",IFERROR(INDEX('Data Consolidada'!$E$7:$E$891,MATCH(CONCATENATE(CB$3,"-",$CP101,"-",$AY101),'Data Consolidada'!$K$7:$K$891,0)),MAX('Data Consolidada'!$E$7:$E$3000))))</f>
        <v/>
      </c>
      <c r="CC101" s="32" t="str">
        <f>+IF(CC$3="","",IF($AY101="","",IFERROR(INDEX('Data Consolidada'!$E$7:$E$891,MATCH(CONCATENATE(CC$3,"-",$CP101,"-",$AY101),'Data Consolidada'!$K$7:$K$891,0)),MAX('Data Consolidada'!$E$7:$E$3000))))</f>
        <v/>
      </c>
      <c r="CD101" s="32" t="str">
        <f>+IF(CD$3="","",IF($AY101="","",IFERROR(INDEX('Data Consolidada'!$E$7:$E$891,MATCH(CONCATENATE(CD$3,"-",$CP101,"-",$AY101),'Data Consolidada'!$K$7:$K$891,0)),MAX('Data Consolidada'!$E$7:$E$3000))))</f>
        <v/>
      </c>
      <c r="CE101" s="32" t="str">
        <f>+IF(CE$3="","",IF($AY101="","",IFERROR(INDEX('Data Consolidada'!$E$7:$E$891,MATCH(CONCATENATE(CE$3,"-",$CP101,"-",$AY101),'Data Consolidada'!$K$7:$K$891,0)),MAX('Data Consolidada'!$E$7:$E$3000))))</f>
        <v/>
      </c>
      <c r="CF101" s="32" t="str">
        <f>+IF(CF$3="","",IF($AY101="","",IFERROR(INDEX('Data Consolidada'!$E$7:$E$891,MATCH(CONCATENATE(CF$3,"-",$CP101,"-",$AY101),'Data Consolidada'!$K$7:$K$891,0)),MAX('Data Consolidada'!$E$7:$E$3000))))</f>
        <v/>
      </c>
      <c r="CG101" s="32" t="str">
        <f>+IF(CG$3="","",IF($AY101="","",IFERROR(INDEX('Data Consolidada'!$E$7:$E$891,MATCH(CONCATENATE(CG$3,"-",$CP101,"-",$AY101),'Data Consolidada'!$K$7:$K$891,0)),MAX('Data Consolidada'!$E$7:$E$3000))))</f>
        <v/>
      </c>
      <c r="CH101" s="32" t="str">
        <f>+IF(CH$3="","",IF($AY101="","",IFERROR(INDEX('Data Consolidada'!$E$7:$E$891,MATCH(CONCATENATE(CH$3,"-",$CP101,"-",$AY101),'Data Consolidada'!$K$7:$K$891,0)),MAX('Data Consolidada'!$E$7:$E$3000))))</f>
        <v/>
      </c>
      <c r="CI101" s="32" t="str">
        <f>+IF(CI$3="","",IF($AY101="","",IFERROR(INDEX('Data Consolidada'!$E$7:$E$891,MATCH(CONCATENATE(CI$3,"-",$CP101,"-",$AY101),'Data Consolidada'!$K$7:$K$891,0)),MAX('Data Consolidada'!$E$7:$E$3000))))</f>
        <v/>
      </c>
      <c r="CJ101" s="32" t="str">
        <f>+IF(CJ$3="","",IF($AY101="","",IFERROR(INDEX('Data Consolidada'!$E$7:$E$891,MATCH(CONCATENATE(CJ$3,"-",$CP101,"-",$AY101),'Data Consolidada'!$K$7:$K$891,0)),MAX('Data Consolidada'!$E$7:$E$3000))))</f>
        <v/>
      </c>
      <c r="CK101" s="32" t="str">
        <f>+IF(CK$3="","",IF($AY101="","",IFERROR(INDEX('Data Consolidada'!$E$7:$E$891,MATCH(CONCATENATE(CK$3,"-",$CP101,"-",$AY101),'Data Consolidada'!$K$7:$K$891,0)),MAX('Data Consolidada'!$E$7:$E$3000))))</f>
        <v/>
      </c>
      <c r="CL101" s="32" t="str">
        <f>+IF(CL$3="","",IF($AY101="","",IFERROR(INDEX('Data Consolidada'!$E$7:$E$891,MATCH(CONCATENATE(CL$3,"-",$CP101,"-",$AY101),'Data Consolidada'!$K$7:$K$891,0)),MAX('Data Consolidada'!$E$7:$E$3000))))</f>
        <v/>
      </c>
      <c r="CM101" s="32" t="str">
        <f>+IF(CM$3="","",IF($AY101="","",IFERROR(INDEX('Data Consolidada'!$E$7:$E$891,MATCH(CONCATENATE(CM$3,"-",$CP101,"-",$AY101),'Data Consolidada'!$K$7:$K$891,0)),MAX('Data Consolidada'!$E$7:$E$3000))))</f>
        <v/>
      </c>
      <c r="CN101" s="32" t="str">
        <f>+IF(CN$3="","",IF($AY101="","",IFERROR(INDEX('Data Consolidada'!$E$7:$E$891,MATCH(CONCATENATE(CN$3,"-",$CP101,"-",$AY101),'Data Consolidada'!$K$7:$K$891,0)),MAX('Data Consolidada'!$E$7:$E$3000))))</f>
        <v/>
      </c>
      <c r="CO101" s="37" t="str">
        <f>+IF(CO$3="","",IF($AY101="","",IFERROR(INDEX('Data Consolidada'!$E$7:$E$891,MATCH(CONCATENATE(CO$3,"-",$CP101,"-",$AY101),'Data Consolidada'!$K$7:$K$891,0)),MAX('Data Consolidada'!$E$7:$E$3000))))</f>
        <v/>
      </c>
      <c r="CP101" s="224">
        <f t="shared" ca="1" si="45"/>
        <v>0</v>
      </c>
      <c r="CQ101" s="84" t="str">
        <f t="shared" ca="1" si="39"/>
        <v>PARRAO0</v>
      </c>
    </row>
    <row r="102" spans="2:95" ht="15" customHeight="1" x14ac:dyDescent="0.35">
      <c r="B102" s="218" t="str">
        <f t="shared" ca="1" si="41"/>
        <v>MACEBE</v>
      </c>
      <c r="C102" s="238">
        <v>0</v>
      </c>
      <c r="D102" s="239">
        <v>0</v>
      </c>
      <c r="E102" s="239">
        <v>0</v>
      </c>
      <c r="F102" s="239">
        <v>0</v>
      </c>
      <c r="G102" s="239">
        <v>0</v>
      </c>
      <c r="H102" s="239">
        <v>0</v>
      </c>
      <c r="I102" s="239">
        <v>0</v>
      </c>
      <c r="J102" s="239">
        <v>0</v>
      </c>
      <c r="K102" s="239">
        <v>0</v>
      </c>
      <c r="L102" s="239">
        <v>0</v>
      </c>
      <c r="M102" s="239">
        <v>0</v>
      </c>
      <c r="N102" s="240">
        <v>0</v>
      </c>
      <c r="O102" s="239">
        <v>0</v>
      </c>
      <c r="P102" s="239">
        <v>0</v>
      </c>
      <c r="Q102" s="239">
        <v>0</v>
      </c>
      <c r="R102" s="239">
        <v>0</v>
      </c>
      <c r="S102" s="239">
        <v>0</v>
      </c>
      <c r="T102" s="239">
        <v>0</v>
      </c>
      <c r="U102" s="239">
        <v>0</v>
      </c>
      <c r="V102" s="239">
        <v>0</v>
      </c>
      <c r="W102" s="239">
        <v>0</v>
      </c>
      <c r="X102" s="239">
        <v>0</v>
      </c>
      <c r="Y102" s="239">
        <v>0</v>
      </c>
      <c r="Z102" s="239"/>
      <c r="AA102" s="239"/>
      <c r="AB102" s="239"/>
      <c r="AC102" s="239"/>
      <c r="AD102" s="239"/>
      <c r="AE102" s="239"/>
      <c r="AF102" s="239"/>
      <c r="AG102" s="239"/>
      <c r="AH102" s="239"/>
      <c r="AI102" s="239"/>
      <c r="AJ102" s="239"/>
      <c r="AK102" s="239"/>
      <c r="AL102" s="239"/>
      <c r="AM102" s="239"/>
      <c r="AN102" s="239"/>
      <c r="AO102" s="239"/>
      <c r="AP102" s="239"/>
      <c r="AQ102" s="239"/>
      <c r="AR102" s="252"/>
      <c r="AS102" s="77">
        <f t="shared" ca="1" si="42"/>
        <v>0</v>
      </c>
      <c r="AT102" s="255">
        <f t="shared" si="43"/>
        <v>0</v>
      </c>
      <c r="AU102" s="51"/>
      <c r="AV102" s="51"/>
      <c r="AW102" s="13">
        <f>+IF(AX102="","",IF(AX102&gt;AX101,AW101,IF(AW101&lt;$D$69,AW101+1,IF(COUNT(AW$4:AW101)&lt;$B$69*$E$54,1,""))))</f>
        <v>8</v>
      </c>
      <c r="AX102" s="13">
        <f>+IF(AX101&lt;$B$69,AX101+1,IF(COUNT(AX$4:AX101)&lt;$B$69*$D$69,1,""))</f>
        <v>8</v>
      </c>
      <c r="AY102" s="189" t="str">
        <f t="shared" ca="1" si="44"/>
        <v>PAULA</v>
      </c>
      <c r="AZ102" s="36">
        <f ca="1">+IF(AZ$3="","",IF($AY102="","",IFERROR(INDEX('Data Consolidada'!$E$7:$E$891,MATCH(CONCATENATE(AZ$3,"-",$CP102,"-",$AY102),'Data Consolidada'!$K$7:$K$891,0)),MAX('Data Consolidada'!$E$7:$E$3000))))</f>
        <v>11000000</v>
      </c>
      <c r="BA102" s="32">
        <f ca="1">+IF(BA$3="","",IF($AY102="","",IFERROR(INDEX('Data Consolidada'!$E$7:$E$891,MATCH(CONCATENATE(BA$3,"-",$CP102,"-",$AY102),'Data Consolidada'!$K$7:$K$891,0)),MAX('Data Consolidada'!$E$7:$E$3000))))</f>
        <v>11000000</v>
      </c>
      <c r="BB102" s="32" t="str">
        <f>+IF(BB$3="","",IF($AY102="","",IFERROR(INDEX('Data Consolidada'!$E$7:$E$891,MATCH(CONCATENATE(BB$3,"-",$CP102,"-",$AY102),'Data Consolidada'!$K$7:$K$891,0)),MAX('Data Consolidada'!$E$7:$E$3000))))</f>
        <v/>
      </c>
      <c r="BC102" s="32" t="str">
        <f>+IF(BC$3="","",IF($AY102="","",IFERROR(INDEX('Data Consolidada'!$E$7:$E$891,MATCH(CONCATENATE(BC$3,"-",$CP102,"-",$AY102),'Data Consolidada'!$K$7:$K$891,0)),MAX('Data Consolidada'!$E$7:$E$3000))))</f>
        <v/>
      </c>
      <c r="BD102" s="32" t="str">
        <f>+IF(BD$3="","",IF($AY102="","",IFERROR(INDEX('Data Consolidada'!$E$7:$E$891,MATCH(CONCATENATE(BD$3,"-",$CP102,"-",$AY102),'Data Consolidada'!$K$7:$K$891,0)),MAX('Data Consolidada'!$E$7:$E$3000))))</f>
        <v/>
      </c>
      <c r="BE102" s="32" t="str">
        <f>+IF(BE$3="","",IF($AY102="","",IFERROR(INDEX('Data Consolidada'!$E$7:$E$891,MATCH(CONCATENATE(BE$3,"-",$CP102,"-",$AY102),'Data Consolidada'!$K$7:$K$891,0)),MAX('Data Consolidada'!$E$7:$E$3000))))</f>
        <v/>
      </c>
      <c r="BF102" s="32" t="str">
        <f>+IF(BF$3="","",IF($AY102="","",IFERROR(INDEX('Data Consolidada'!$E$7:$E$891,MATCH(CONCATENATE(BF$3,"-",$CP102,"-",$AY102),'Data Consolidada'!$K$7:$K$891,0)),MAX('Data Consolidada'!$E$7:$E$3000))))</f>
        <v/>
      </c>
      <c r="BG102" s="32" t="str">
        <f>+IF(BG$3="","",IF($AY102="","",IFERROR(INDEX('Data Consolidada'!$E$7:$E$891,MATCH(CONCATENATE(BG$3,"-",$CP102,"-",$AY102),'Data Consolidada'!$K$7:$K$891,0)),MAX('Data Consolidada'!$E$7:$E$3000))))</f>
        <v/>
      </c>
      <c r="BH102" s="32" t="str">
        <f>+IF(BH$3="","",IF($AY102="","",IFERROR(INDEX('Data Consolidada'!$E$7:$E$891,MATCH(CONCATENATE(BH$3,"-",$CP102,"-",$AY102),'Data Consolidada'!$K$7:$K$891,0)),MAX('Data Consolidada'!$E$7:$E$3000))))</f>
        <v/>
      </c>
      <c r="BI102" s="32" t="str">
        <f>+IF(BI$3="","",IF($AY102="","",IFERROR(INDEX('Data Consolidada'!$E$7:$E$891,MATCH(CONCATENATE(BI$3,"-",$CP102,"-",$AY102),'Data Consolidada'!$K$7:$K$891,0)),MAX('Data Consolidada'!$E$7:$E$3000))))</f>
        <v/>
      </c>
      <c r="BJ102" s="32" t="str">
        <f>+IF(BJ$3="","",IF($AY102="","",IFERROR(INDEX('Data Consolidada'!$E$7:$E$891,MATCH(CONCATENATE(BJ$3,"-",$CP102,"-",$AY102),'Data Consolidada'!$K$7:$K$891,0)),MAX('Data Consolidada'!$E$7:$E$3000))))</f>
        <v/>
      </c>
      <c r="BK102" s="32" t="str">
        <f>+IF(BK$3="","",IF($AY102="","",IFERROR(INDEX('Data Consolidada'!$E$7:$E$891,MATCH(CONCATENATE(BK$3,"-",$CP102,"-",$AY102),'Data Consolidada'!$K$7:$K$891,0)),MAX('Data Consolidada'!$E$7:$E$3000))))</f>
        <v/>
      </c>
      <c r="BL102" s="32" t="str">
        <f>+IF(BL$3="","",IF($AY102="","",IFERROR(INDEX('Data Consolidada'!$E$7:$E$891,MATCH(CONCATENATE(BL$3,"-",$CP102,"-",$AY102),'Data Consolidada'!$K$7:$K$891,0)),MAX('Data Consolidada'!$E$7:$E$3000))))</f>
        <v/>
      </c>
      <c r="BM102" s="32" t="str">
        <f>+IF(BM$3="","",IF($AY102="","",IFERROR(INDEX('Data Consolidada'!$E$7:$E$891,MATCH(CONCATENATE(BM$3,"-",$CP102,"-",$AY102),'Data Consolidada'!$K$7:$K$891,0)),MAX('Data Consolidada'!$E$7:$E$3000))))</f>
        <v/>
      </c>
      <c r="BN102" s="32" t="str">
        <f>+IF(BN$3="","",IF($AY102="","",IFERROR(INDEX('Data Consolidada'!$E$7:$E$891,MATCH(CONCATENATE(BN$3,"-",$CP102,"-",$AY102),'Data Consolidada'!$K$7:$K$891,0)),MAX('Data Consolidada'!$E$7:$E$3000))))</f>
        <v/>
      </c>
      <c r="BO102" s="32" t="str">
        <f>+IF(BO$3="","",IF($AY102="","",IFERROR(INDEX('Data Consolidada'!$E$7:$E$891,MATCH(CONCATENATE(BO$3,"-",$CP102,"-",$AY102),'Data Consolidada'!$K$7:$K$891,0)),MAX('Data Consolidada'!$E$7:$E$3000))))</f>
        <v/>
      </c>
      <c r="BP102" s="32" t="str">
        <f>+IF(BP$3="","",IF($AY102="","",IFERROR(INDEX('Data Consolidada'!$E$7:$E$891,MATCH(CONCATENATE(BP$3,"-",$CP102,"-",$AY102),'Data Consolidada'!$K$7:$K$891,0)),MAX('Data Consolidada'!$E$7:$E$3000))))</f>
        <v/>
      </c>
      <c r="BQ102" s="32" t="str">
        <f>+IF(BQ$3="","",IF($AY102="","",IFERROR(INDEX('Data Consolidada'!$E$7:$E$891,MATCH(CONCATENATE(BQ$3,"-",$CP102,"-",$AY102),'Data Consolidada'!$K$7:$K$891,0)),MAX('Data Consolidada'!$E$7:$E$3000))))</f>
        <v/>
      </c>
      <c r="BR102" s="32" t="str">
        <f>+IF(BR$3="","",IF($AY102="","",IFERROR(INDEX('Data Consolidada'!$E$7:$E$891,MATCH(CONCATENATE(BR$3,"-",$CP102,"-",$AY102),'Data Consolidada'!$K$7:$K$891,0)),MAX('Data Consolidada'!$E$7:$E$3000))))</f>
        <v/>
      </c>
      <c r="BS102" s="32" t="str">
        <f>+IF(BS$3="","",IF($AY102="","",IFERROR(INDEX('Data Consolidada'!$E$7:$E$891,MATCH(CONCATENATE(BS$3,"-",$CP102,"-",$AY102),'Data Consolidada'!$K$7:$K$891,0)),MAX('Data Consolidada'!$E$7:$E$3000))))</f>
        <v/>
      </c>
      <c r="BT102" s="32" t="str">
        <f>+IF(BT$3="","",IF($AY102="","",IFERROR(INDEX('Data Consolidada'!$E$7:$E$891,MATCH(CONCATENATE(BT$3,"-",$CP102,"-",$AY102),'Data Consolidada'!$K$7:$K$891,0)),MAX('Data Consolidada'!$E$7:$E$3000))))</f>
        <v/>
      </c>
      <c r="BU102" s="32" t="str">
        <f>+IF(BU$3="","",IF($AY102="","",IFERROR(INDEX('Data Consolidada'!$E$7:$E$891,MATCH(CONCATENATE(BU$3,"-",$CP102,"-",$AY102),'Data Consolidada'!$K$7:$K$891,0)),MAX('Data Consolidada'!$E$7:$E$3000))))</f>
        <v/>
      </c>
      <c r="BV102" s="32" t="str">
        <f>+IF(BV$3="","",IF($AY102="","",IFERROR(INDEX('Data Consolidada'!$E$7:$E$891,MATCH(CONCATENATE(BV$3,"-",$CP102,"-",$AY102),'Data Consolidada'!$K$7:$K$891,0)),MAX('Data Consolidada'!$E$7:$E$3000))))</f>
        <v/>
      </c>
      <c r="BW102" s="32" t="str">
        <f>+IF(BW$3="","",IF($AY102="","",IFERROR(INDEX('Data Consolidada'!$E$7:$E$891,MATCH(CONCATENATE(BW$3,"-",$CP102,"-",$AY102),'Data Consolidada'!$K$7:$K$891,0)),MAX('Data Consolidada'!$E$7:$E$3000))))</f>
        <v/>
      </c>
      <c r="BX102" s="32" t="str">
        <f>+IF(BX$3="","",IF($AY102="","",IFERROR(INDEX('Data Consolidada'!$E$7:$E$891,MATCH(CONCATENATE(BX$3,"-",$CP102,"-",$AY102),'Data Consolidada'!$K$7:$K$891,0)),MAX('Data Consolidada'!$E$7:$E$3000))))</f>
        <v/>
      </c>
      <c r="BY102" s="32" t="str">
        <f>+IF(BY$3="","",IF($AY102="","",IFERROR(INDEX('Data Consolidada'!$E$7:$E$891,MATCH(CONCATENATE(BY$3,"-",$CP102,"-",$AY102),'Data Consolidada'!$K$7:$K$891,0)),MAX('Data Consolidada'!$E$7:$E$3000))))</f>
        <v/>
      </c>
      <c r="BZ102" s="32" t="str">
        <f>+IF(BZ$3="","",IF($AY102="","",IFERROR(INDEX('Data Consolidada'!$E$7:$E$891,MATCH(CONCATENATE(BZ$3,"-",$CP102,"-",$AY102),'Data Consolidada'!$K$7:$K$891,0)),MAX('Data Consolidada'!$E$7:$E$3000))))</f>
        <v/>
      </c>
      <c r="CA102" s="32" t="str">
        <f>+IF(CA$3="","",IF($AY102="","",IFERROR(INDEX('Data Consolidada'!$E$7:$E$891,MATCH(CONCATENATE(CA$3,"-",$CP102,"-",$AY102),'Data Consolidada'!$K$7:$K$891,0)),MAX('Data Consolidada'!$E$7:$E$3000))))</f>
        <v/>
      </c>
      <c r="CB102" s="32" t="str">
        <f>+IF(CB$3="","",IF($AY102="","",IFERROR(INDEX('Data Consolidada'!$E$7:$E$891,MATCH(CONCATENATE(CB$3,"-",$CP102,"-",$AY102),'Data Consolidada'!$K$7:$K$891,0)),MAX('Data Consolidada'!$E$7:$E$3000))))</f>
        <v/>
      </c>
      <c r="CC102" s="32" t="str">
        <f>+IF(CC$3="","",IF($AY102="","",IFERROR(INDEX('Data Consolidada'!$E$7:$E$891,MATCH(CONCATENATE(CC$3,"-",$CP102,"-",$AY102),'Data Consolidada'!$K$7:$K$891,0)),MAX('Data Consolidada'!$E$7:$E$3000))))</f>
        <v/>
      </c>
      <c r="CD102" s="32" t="str">
        <f>+IF(CD$3="","",IF($AY102="","",IFERROR(INDEX('Data Consolidada'!$E$7:$E$891,MATCH(CONCATENATE(CD$3,"-",$CP102,"-",$AY102),'Data Consolidada'!$K$7:$K$891,0)),MAX('Data Consolidada'!$E$7:$E$3000))))</f>
        <v/>
      </c>
      <c r="CE102" s="32" t="str">
        <f>+IF(CE$3="","",IF($AY102="","",IFERROR(INDEX('Data Consolidada'!$E$7:$E$891,MATCH(CONCATENATE(CE$3,"-",$CP102,"-",$AY102),'Data Consolidada'!$K$7:$K$891,0)),MAX('Data Consolidada'!$E$7:$E$3000))))</f>
        <v/>
      </c>
      <c r="CF102" s="32" t="str">
        <f>+IF(CF$3="","",IF($AY102="","",IFERROR(INDEX('Data Consolidada'!$E$7:$E$891,MATCH(CONCATENATE(CF$3,"-",$CP102,"-",$AY102),'Data Consolidada'!$K$7:$K$891,0)),MAX('Data Consolidada'!$E$7:$E$3000))))</f>
        <v/>
      </c>
      <c r="CG102" s="32" t="str">
        <f>+IF(CG$3="","",IF($AY102="","",IFERROR(INDEX('Data Consolidada'!$E$7:$E$891,MATCH(CONCATENATE(CG$3,"-",$CP102,"-",$AY102),'Data Consolidada'!$K$7:$K$891,0)),MAX('Data Consolidada'!$E$7:$E$3000))))</f>
        <v/>
      </c>
      <c r="CH102" s="32" t="str">
        <f>+IF(CH$3="","",IF($AY102="","",IFERROR(INDEX('Data Consolidada'!$E$7:$E$891,MATCH(CONCATENATE(CH$3,"-",$CP102,"-",$AY102),'Data Consolidada'!$K$7:$K$891,0)),MAX('Data Consolidada'!$E$7:$E$3000))))</f>
        <v/>
      </c>
      <c r="CI102" s="32" t="str">
        <f>+IF(CI$3="","",IF($AY102="","",IFERROR(INDEX('Data Consolidada'!$E$7:$E$891,MATCH(CONCATENATE(CI$3,"-",$CP102,"-",$AY102),'Data Consolidada'!$K$7:$K$891,0)),MAX('Data Consolidada'!$E$7:$E$3000))))</f>
        <v/>
      </c>
      <c r="CJ102" s="32" t="str">
        <f>+IF(CJ$3="","",IF($AY102="","",IFERROR(INDEX('Data Consolidada'!$E$7:$E$891,MATCH(CONCATENATE(CJ$3,"-",$CP102,"-",$AY102),'Data Consolidada'!$K$7:$K$891,0)),MAX('Data Consolidada'!$E$7:$E$3000))))</f>
        <v/>
      </c>
      <c r="CK102" s="32" t="str">
        <f>+IF(CK$3="","",IF($AY102="","",IFERROR(INDEX('Data Consolidada'!$E$7:$E$891,MATCH(CONCATENATE(CK$3,"-",$CP102,"-",$AY102),'Data Consolidada'!$K$7:$K$891,0)),MAX('Data Consolidada'!$E$7:$E$3000))))</f>
        <v/>
      </c>
      <c r="CL102" s="32" t="str">
        <f>+IF(CL$3="","",IF($AY102="","",IFERROR(INDEX('Data Consolidada'!$E$7:$E$891,MATCH(CONCATENATE(CL$3,"-",$CP102,"-",$AY102),'Data Consolidada'!$K$7:$K$891,0)),MAX('Data Consolidada'!$E$7:$E$3000))))</f>
        <v/>
      </c>
      <c r="CM102" s="32" t="str">
        <f>+IF(CM$3="","",IF($AY102="","",IFERROR(INDEX('Data Consolidada'!$E$7:$E$891,MATCH(CONCATENATE(CM$3,"-",$CP102,"-",$AY102),'Data Consolidada'!$K$7:$K$891,0)),MAX('Data Consolidada'!$E$7:$E$3000))))</f>
        <v/>
      </c>
      <c r="CN102" s="32" t="str">
        <f>+IF(CN$3="","",IF($AY102="","",IFERROR(INDEX('Data Consolidada'!$E$7:$E$891,MATCH(CONCATENATE(CN$3,"-",$CP102,"-",$AY102),'Data Consolidada'!$K$7:$K$891,0)),MAX('Data Consolidada'!$E$7:$E$3000))))</f>
        <v/>
      </c>
      <c r="CO102" s="37" t="str">
        <f>+IF(CO$3="","",IF($AY102="","",IFERROR(INDEX('Data Consolidada'!$E$7:$E$891,MATCH(CONCATENATE(CO$3,"-",$CP102,"-",$AY102),'Data Consolidada'!$K$7:$K$891,0)),MAX('Data Consolidada'!$E$7:$E$3000))))</f>
        <v/>
      </c>
      <c r="CP102" s="224">
        <f t="shared" ca="1" si="45"/>
        <v>0</v>
      </c>
      <c r="CQ102" s="84" t="str">
        <f t="shared" ca="1" si="39"/>
        <v>PAULA0</v>
      </c>
    </row>
    <row r="103" spans="2:95" ht="15" customHeight="1" x14ac:dyDescent="0.35">
      <c r="B103" s="218" t="str">
        <f t="shared" ca="1" si="41"/>
        <v xml:space="preserve">Manuel Sepúlveda </v>
      </c>
      <c r="C103" s="238">
        <v>0</v>
      </c>
      <c r="D103" s="239">
        <v>0</v>
      </c>
      <c r="E103" s="239">
        <v>0</v>
      </c>
      <c r="F103" s="239">
        <v>0</v>
      </c>
      <c r="G103" s="239">
        <v>0</v>
      </c>
      <c r="H103" s="239">
        <v>0</v>
      </c>
      <c r="I103" s="239">
        <v>0</v>
      </c>
      <c r="J103" s="239">
        <v>0</v>
      </c>
      <c r="K103" s="239">
        <v>0</v>
      </c>
      <c r="L103" s="239">
        <v>0</v>
      </c>
      <c r="M103" s="239">
        <v>0</v>
      </c>
      <c r="N103" s="240">
        <v>0</v>
      </c>
      <c r="O103" s="239">
        <v>0</v>
      </c>
      <c r="P103" s="239">
        <v>0</v>
      </c>
      <c r="Q103" s="239">
        <v>0</v>
      </c>
      <c r="R103" s="239">
        <v>0</v>
      </c>
      <c r="S103" s="239">
        <v>0</v>
      </c>
      <c r="T103" s="239">
        <v>0</v>
      </c>
      <c r="U103" s="239">
        <v>0</v>
      </c>
      <c r="V103" s="239">
        <v>0</v>
      </c>
      <c r="W103" s="239">
        <v>0</v>
      </c>
      <c r="X103" s="239">
        <v>0</v>
      </c>
      <c r="Y103" s="239">
        <v>0</v>
      </c>
      <c r="Z103" s="239"/>
      <c r="AA103" s="239"/>
      <c r="AB103" s="239"/>
      <c r="AC103" s="239"/>
      <c r="AD103" s="239"/>
      <c r="AE103" s="239"/>
      <c r="AF103" s="239"/>
      <c r="AG103" s="239"/>
      <c r="AH103" s="239"/>
      <c r="AI103" s="239"/>
      <c r="AJ103" s="239"/>
      <c r="AK103" s="239"/>
      <c r="AL103" s="239"/>
      <c r="AM103" s="239"/>
      <c r="AN103" s="239"/>
      <c r="AO103" s="239"/>
      <c r="AP103" s="239"/>
      <c r="AQ103" s="239"/>
      <c r="AR103" s="252"/>
      <c r="AS103" s="77">
        <f t="shared" ca="1" si="42"/>
        <v>0</v>
      </c>
      <c r="AT103" s="255">
        <f t="shared" si="43"/>
        <v>0</v>
      </c>
      <c r="AU103" s="51"/>
      <c r="AV103" s="51"/>
      <c r="AW103" s="13">
        <f>+IF(AX103="","",IF(AX103&gt;AX102,AW102,IF(AW102&lt;$D$69,AW102+1,IF(COUNT(AW$4:AW102)&lt;$B$69*$E$54,1,""))))</f>
        <v>8</v>
      </c>
      <c r="AX103" s="13">
        <f>+IF(AX102&lt;$B$69,AX102+1,IF(COUNT(AX$4:AX102)&lt;$B$69*$D$69,1,""))</f>
        <v>9</v>
      </c>
      <c r="AY103" s="189" t="str">
        <f t="shared" ca="1" si="44"/>
        <v>TH TRANSPORTES</v>
      </c>
      <c r="AZ103" s="36">
        <f ca="1">+IF(AZ$3="","",IF($AY103="","",IFERROR(INDEX('Data Consolidada'!$E$7:$E$891,MATCH(CONCATENATE(AZ$3,"-",$CP103,"-",$AY103),'Data Consolidada'!$K$7:$K$891,0)),MAX('Data Consolidada'!$E$7:$E$3000))))</f>
        <v>11000000</v>
      </c>
      <c r="BA103" s="32">
        <f ca="1">+IF(BA$3="","",IF($AY103="","",IFERROR(INDEX('Data Consolidada'!$E$7:$E$891,MATCH(CONCATENATE(BA$3,"-",$CP103,"-",$AY103),'Data Consolidada'!$K$7:$K$891,0)),MAX('Data Consolidada'!$E$7:$E$3000))))</f>
        <v>11000000</v>
      </c>
      <c r="BB103" s="32" t="str">
        <f>+IF(BB$3="","",IF($AY103="","",IFERROR(INDEX('Data Consolidada'!$E$7:$E$891,MATCH(CONCATENATE(BB$3,"-",$CP103,"-",$AY103),'Data Consolidada'!$K$7:$K$891,0)),MAX('Data Consolidada'!$E$7:$E$3000))))</f>
        <v/>
      </c>
      <c r="BC103" s="32" t="str">
        <f>+IF(BC$3="","",IF($AY103="","",IFERROR(INDEX('Data Consolidada'!$E$7:$E$891,MATCH(CONCATENATE(BC$3,"-",$CP103,"-",$AY103),'Data Consolidada'!$K$7:$K$891,0)),MAX('Data Consolidada'!$E$7:$E$3000))))</f>
        <v/>
      </c>
      <c r="BD103" s="32" t="str">
        <f>+IF(BD$3="","",IF($AY103="","",IFERROR(INDEX('Data Consolidada'!$E$7:$E$891,MATCH(CONCATENATE(BD$3,"-",$CP103,"-",$AY103),'Data Consolidada'!$K$7:$K$891,0)),MAX('Data Consolidada'!$E$7:$E$3000))))</f>
        <v/>
      </c>
      <c r="BE103" s="32" t="str">
        <f>+IF(BE$3="","",IF($AY103="","",IFERROR(INDEX('Data Consolidada'!$E$7:$E$891,MATCH(CONCATENATE(BE$3,"-",$CP103,"-",$AY103),'Data Consolidada'!$K$7:$K$891,0)),MAX('Data Consolidada'!$E$7:$E$3000))))</f>
        <v/>
      </c>
      <c r="BF103" s="32" t="str">
        <f>+IF(BF$3="","",IF($AY103="","",IFERROR(INDEX('Data Consolidada'!$E$7:$E$891,MATCH(CONCATENATE(BF$3,"-",$CP103,"-",$AY103),'Data Consolidada'!$K$7:$K$891,0)),MAX('Data Consolidada'!$E$7:$E$3000))))</f>
        <v/>
      </c>
      <c r="BG103" s="32" t="str">
        <f>+IF(BG$3="","",IF($AY103="","",IFERROR(INDEX('Data Consolidada'!$E$7:$E$891,MATCH(CONCATENATE(BG$3,"-",$CP103,"-",$AY103),'Data Consolidada'!$K$7:$K$891,0)),MAX('Data Consolidada'!$E$7:$E$3000))))</f>
        <v/>
      </c>
      <c r="BH103" s="32" t="str">
        <f>+IF(BH$3="","",IF($AY103="","",IFERROR(INDEX('Data Consolidada'!$E$7:$E$891,MATCH(CONCATENATE(BH$3,"-",$CP103,"-",$AY103),'Data Consolidada'!$K$7:$K$891,0)),MAX('Data Consolidada'!$E$7:$E$3000))))</f>
        <v/>
      </c>
      <c r="BI103" s="32" t="str">
        <f>+IF(BI$3="","",IF($AY103="","",IFERROR(INDEX('Data Consolidada'!$E$7:$E$891,MATCH(CONCATENATE(BI$3,"-",$CP103,"-",$AY103),'Data Consolidada'!$K$7:$K$891,0)),MAX('Data Consolidada'!$E$7:$E$3000))))</f>
        <v/>
      </c>
      <c r="BJ103" s="32" t="str">
        <f>+IF(BJ$3="","",IF($AY103="","",IFERROR(INDEX('Data Consolidada'!$E$7:$E$891,MATCH(CONCATENATE(BJ$3,"-",$CP103,"-",$AY103),'Data Consolidada'!$K$7:$K$891,0)),MAX('Data Consolidada'!$E$7:$E$3000))))</f>
        <v/>
      </c>
      <c r="BK103" s="32" t="str">
        <f>+IF(BK$3="","",IF($AY103="","",IFERROR(INDEX('Data Consolidada'!$E$7:$E$891,MATCH(CONCATENATE(BK$3,"-",$CP103,"-",$AY103),'Data Consolidada'!$K$7:$K$891,0)),MAX('Data Consolidada'!$E$7:$E$3000))))</f>
        <v/>
      </c>
      <c r="BL103" s="32" t="str">
        <f>+IF(BL$3="","",IF($AY103="","",IFERROR(INDEX('Data Consolidada'!$E$7:$E$891,MATCH(CONCATENATE(BL$3,"-",$CP103,"-",$AY103),'Data Consolidada'!$K$7:$K$891,0)),MAX('Data Consolidada'!$E$7:$E$3000))))</f>
        <v/>
      </c>
      <c r="BM103" s="32" t="str">
        <f>+IF(BM$3="","",IF($AY103="","",IFERROR(INDEX('Data Consolidada'!$E$7:$E$891,MATCH(CONCATENATE(BM$3,"-",$CP103,"-",$AY103),'Data Consolidada'!$K$7:$K$891,0)),MAX('Data Consolidada'!$E$7:$E$3000))))</f>
        <v/>
      </c>
      <c r="BN103" s="32" t="str">
        <f>+IF(BN$3="","",IF($AY103="","",IFERROR(INDEX('Data Consolidada'!$E$7:$E$891,MATCH(CONCATENATE(BN$3,"-",$CP103,"-",$AY103),'Data Consolidada'!$K$7:$K$891,0)),MAX('Data Consolidada'!$E$7:$E$3000))))</f>
        <v/>
      </c>
      <c r="BO103" s="32" t="str">
        <f>+IF(BO$3="","",IF($AY103="","",IFERROR(INDEX('Data Consolidada'!$E$7:$E$891,MATCH(CONCATENATE(BO$3,"-",$CP103,"-",$AY103),'Data Consolidada'!$K$7:$K$891,0)),MAX('Data Consolidada'!$E$7:$E$3000))))</f>
        <v/>
      </c>
      <c r="BP103" s="32" t="str">
        <f>+IF(BP$3="","",IF($AY103="","",IFERROR(INDEX('Data Consolidada'!$E$7:$E$891,MATCH(CONCATENATE(BP$3,"-",$CP103,"-",$AY103),'Data Consolidada'!$K$7:$K$891,0)),MAX('Data Consolidada'!$E$7:$E$3000))))</f>
        <v/>
      </c>
      <c r="BQ103" s="32" t="str">
        <f>+IF(BQ$3="","",IF($AY103="","",IFERROR(INDEX('Data Consolidada'!$E$7:$E$891,MATCH(CONCATENATE(BQ$3,"-",$CP103,"-",$AY103),'Data Consolidada'!$K$7:$K$891,0)),MAX('Data Consolidada'!$E$7:$E$3000))))</f>
        <v/>
      </c>
      <c r="BR103" s="32" t="str">
        <f>+IF(BR$3="","",IF($AY103="","",IFERROR(INDEX('Data Consolidada'!$E$7:$E$891,MATCH(CONCATENATE(BR$3,"-",$CP103,"-",$AY103),'Data Consolidada'!$K$7:$K$891,0)),MAX('Data Consolidada'!$E$7:$E$3000))))</f>
        <v/>
      </c>
      <c r="BS103" s="32" t="str">
        <f>+IF(BS$3="","",IF($AY103="","",IFERROR(INDEX('Data Consolidada'!$E$7:$E$891,MATCH(CONCATENATE(BS$3,"-",$CP103,"-",$AY103),'Data Consolidada'!$K$7:$K$891,0)),MAX('Data Consolidada'!$E$7:$E$3000))))</f>
        <v/>
      </c>
      <c r="BT103" s="32" t="str">
        <f>+IF(BT$3="","",IF($AY103="","",IFERROR(INDEX('Data Consolidada'!$E$7:$E$891,MATCH(CONCATENATE(BT$3,"-",$CP103,"-",$AY103),'Data Consolidada'!$K$7:$K$891,0)),MAX('Data Consolidada'!$E$7:$E$3000))))</f>
        <v/>
      </c>
      <c r="BU103" s="32" t="str">
        <f>+IF(BU$3="","",IF($AY103="","",IFERROR(INDEX('Data Consolidada'!$E$7:$E$891,MATCH(CONCATENATE(BU$3,"-",$CP103,"-",$AY103),'Data Consolidada'!$K$7:$K$891,0)),MAX('Data Consolidada'!$E$7:$E$3000))))</f>
        <v/>
      </c>
      <c r="BV103" s="32" t="str">
        <f>+IF(BV$3="","",IF($AY103="","",IFERROR(INDEX('Data Consolidada'!$E$7:$E$891,MATCH(CONCATENATE(BV$3,"-",$CP103,"-",$AY103),'Data Consolidada'!$K$7:$K$891,0)),MAX('Data Consolidada'!$E$7:$E$3000))))</f>
        <v/>
      </c>
      <c r="BW103" s="32" t="str">
        <f>+IF(BW$3="","",IF($AY103="","",IFERROR(INDEX('Data Consolidada'!$E$7:$E$891,MATCH(CONCATENATE(BW$3,"-",$CP103,"-",$AY103),'Data Consolidada'!$K$7:$K$891,0)),MAX('Data Consolidada'!$E$7:$E$3000))))</f>
        <v/>
      </c>
      <c r="BX103" s="32" t="str">
        <f>+IF(BX$3="","",IF($AY103="","",IFERROR(INDEX('Data Consolidada'!$E$7:$E$891,MATCH(CONCATENATE(BX$3,"-",$CP103,"-",$AY103),'Data Consolidada'!$K$7:$K$891,0)),MAX('Data Consolidada'!$E$7:$E$3000))))</f>
        <v/>
      </c>
      <c r="BY103" s="32" t="str">
        <f>+IF(BY$3="","",IF($AY103="","",IFERROR(INDEX('Data Consolidada'!$E$7:$E$891,MATCH(CONCATENATE(BY$3,"-",$CP103,"-",$AY103),'Data Consolidada'!$K$7:$K$891,0)),MAX('Data Consolidada'!$E$7:$E$3000))))</f>
        <v/>
      </c>
      <c r="BZ103" s="32" t="str">
        <f>+IF(BZ$3="","",IF($AY103="","",IFERROR(INDEX('Data Consolidada'!$E$7:$E$891,MATCH(CONCATENATE(BZ$3,"-",$CP103,"-",$AY103),'Data Consolidada'!$K$7:$K$891,0)),MAX('Data Consolidada'!$E$7:$E$3000))))</f>
        <v/>
      </c>
      <c r="CA103" s="32" t="str">
        <f>+IF(CA$3="","",IF($AY103="","",IFERROR(INDEX('Data Consolidada'!$E$7:$E$891,MATCH(CONCATENATE(CA$3,"-",$CP103,"-",$AY103),'Data Consolidada'!$K$7:$K$891,0)),MAX('Data Consolidada'!$E$7:$E$3000))))</f>
        <v/>
      </c>
      <c r="CB103" s="32" t="str">
        <f>+IF(CB$3="","",IF($AY103="","",IFERROR(INDEX('Data Consolidada'!$E$7:$E$891,MATCH(CONCATENATE(CB$3,"-",$CP103,"-",$AY103),'Data Consolidada'!$K$7:$K$891,0)),MAX('Data Consolidada'!$E$7:$E$3000))))</f>
        <v/>
      </c>
      <c r="CC103" s="32" t="str">
        <f>+IF(CC$3="","",IF($AY103="","",IFERROR(INDEX('Data Consolidada'!$E$7:$E$891,MATCH(CONCATENATE(CC$3,"-",$CP103,"-",$AY103),'Data Consolidada'!$K$7:$K$891,0)),MAX('Data Consolidada'!$E$7:$E$3000))))</f>
        <v/>
      </c>
      <c r="CD103" s="32" t="str">
        <f>+IF(CD$3="","",IF($AY103="","",IFERROR(INDEX('Data Consolidada'!$E$7:$E$891,MATCH(CONCATENATE(CD$3,"-",$CP103,"-",$AY103),'Data Consolidada'!$K$7:$K$891,0)),MAX('Data Consolidada'!$E$7:$E$3000))))</f>
        <v/>
      </c>
      <c r="CE103" s="32" t="str">
        <f>+IF(CE$3="","",IF($AY103="","",IFERROR(INDEX('Data Consolidada'!$E$7:$E$891,MATCH(CONCATENATE(CE$3,"-",$CP103,"-",$AY103),'Data Consolidada'!$K$7:$K$891,0)),MAX('Data Consolidada'!$E$7:$E$3000))))</f>
        <v/>
      </c>
      <c r="CF103" s="32" t="str">
        <f>+IF(CF$3="","",IF($AY103="","",IFERROR(INDEX('Data Consolidada'!$E$7:$E$891,MATCH(CONCATENATE(CF$3,"-",$CP103,"-",$AY103),'Data Consolidada'!$K$7:$K$891,0)),MAX('Data Consolidada'!$E$7:$E$3000))))</f>
        <v/>
      </c>
      <c r="CG103" s="32" t="str">
        <f>+IF(CG$3="","",IF($AY103="","",IFERROR(INDEX('Data Consolidada'!$E$7:$E$891,MATCH(CONCATENATE(CG$3,"-",$CP103,"-",$AY103),'Data Consolidada'!$K$7:$K$891,0)),MAX('Data Consolidada'!$E$7:$E$3000))))</f>
        <v/>
      </c>
      <c r="CH103" s="32" t="str">
        <f>+IF(CH$3="","",IF($AY103="","",IFERROR(INDEX('Data Consolidada'!$E$7:$E$891,MATCH(CONCATENATE(CH$3,"-",$CP103,"-",$AY103),'Data Consolidada'!$K$7:$K$891,0)),MAX('Data Consolidada'!$E$7:$E$3000))))</f>
        <v/>
      </c>
      <c r="CI103" s="32" t="str">
        <f>+IF(CI$3="","",IF($AY103="","",IFERROR(INDEX('Data Consolidada'!$E$7:$E$891,MATCH(CONCATENATE(CI$3,"-",$CP103,"-",$AY103),'Data Consolidada'!$K$7:$K$891,0)),MAX('Data Consolidada'!$E$7:$E$3000))))</f>
        <v/>
      </c>
      <c r="CJ103" s="32" t="str">
        <f>+IF(CJ$3="","",IF($AY103="","",IFERROR(INDEX('Data Consolidada'!$E$7:$E$891,MATCH(CONCATENATE(CJ$3,"-",$CP103,"-",$AY103),'Data Consolidada'!$K$7:$K$891,0)),MAX('Data Consolidada'!$E$7:$E$3000))))</f>
        <v/>
      </c>
      <c r="CK103" s="32" t="str">
        <f>+IF(CK$3="","",IF($AY103="","",IFERROR(INDEX('Data Consolidada'!$E$7:$E$891,MATCH(CONCATENATE(CK$3,"-",$CP103,"-",$AY103),'Data Consolidada'!$K$7:$K$891,0)),MAX('Data Consolidada'!$E$7:$E$3000))))</f>
        <v/>
      </c>
      <c r="CL103" s="32" t="str">
        <f>+IF(CL$3="","",IF($AY103="","",IFERROR(INDEX('Data Consolidada'!$E$7:$E$891,MATCH(CONCATENATE(CL$3,"-",$CP103,"-",$AY103),'Data Consolidada'!$K$7:$K$891,0)),MAX('Data Consolidada'!$E$7:$E$3000))))</f>
        <v/>
      </c>
      <c r="CM103" s="32" t="str">
        <f>+IF(CM$3="","",IF($AY103="","",IFERROR(INDEX('Data Consolidada'!$E$7:$E$891,MATCH(CONCATENATE(CM$3,"-",$CP103,"-",$AY103),'Data Consolidada'!$K$7:$K$891,0)),MAX('Data Consolidada'!$E$7:$E$3000))))</f>
        <v/>
      </c>
      <c r="CN103" s="32" t="str">
        <f>+IF(CN$3="","",IF($AY103="","",IFERROR(INDEX('Data Consolidada'!$E$7:$E$891,MATCH(CONCATENATE(CN$3,"-",$CP103,"-",$AY103),'Data Consolidada'!$K$7:$K$891,0)),MAX('Data Consolidada'!$E$7:$E$3000))))</f>
        <v/>
      </c>
      <c r="CO103" s="37" t="str">
        <f>+IF(CO$3="","",IF($AY103="","",IFERROR(INDEX('Data Consolidada'!$E$7:$E$891,MATCH(CONCATENATE(CO$3,"-",$CP103,"-",$AY103),'Data Consolidada'!$K$7:$K$891,0)),MAX('Data Consolidada'!$E$7:$E$3000))))</f>
        <v/>
      </c>
      <c r="CP103" s="224">
        <f t="shared" ca="1" si="45"/>
        <v>0</v>
      </c>
      <c r="CQ103" s="84" t="str">
        <f t="shared" ca="1" si="39"/>
        <v>TH TRANSPORTES0</v>
      </c>
    </row>
    <row r="104" spans="2:95" ht="15" customHeight="1" x14ac:dyDescent="0.35">
      <c r="B104" s="218" t="str">
        <f t="shared" ca="1" si="41"/>
        <v>PARRAO</v>
      </c>
      <c r="C104" s="238">
        <v>0</v>
      </c>
      <c r="D104" s="239">
        <v>0</v>
      </c>
      <c r="E104" s="239">
        <v>0</v>
      </c>
      <c r="F104" s="239">
        <v>0</v>
      </c>
      <c r="G104" s="239">
        <v>0</v>
      </c>
      <c r="H104" s="239">
        <v>0</v>
      </c>
      <c r="I104" s="239">
        <v>0</v>
      </c>
      <c r="J104" s="239">
        <v>0</v>
      </c>
      <c r="K104" s="239">
        <v>0</v>
      </c>
      <c r="L104" s="239">
        <v>0</v>
      </c>
      <c r="M104" s="239">
        <v>0</v>
      </c>
      <c r="N104" s="240">
        <v>0</v>
      </c>
      <c r="O104" s="239">
        <v>0</v>
      </c>
      <c r="P104" s="239">
        <v>0</v>
      </c>
      <c r="Q104" s="239">
        <v>0</v>
      </c>
      <c r="R104" s="239">
        <v>0</v>
      </c>
      <c r="S104" s="239">
        <v>0</v>
      </c>
      <c r="T104" s="239">
        <v>0</v>
      </c>
      <c r="U104" s="239">
        <v>0</v>
      </c>
      <c r="V104" s="239">
        <v>0</v>
      </c>
      <c r="W104" s="239">
        <v>0</v>
      </c>
      <c r="X104" s="239">
        <v>0</v>
      </c>
      <c r="Y104" s="239">
        <v>0</v>
      </c>
      <c r="Z104" s="239"/>
      <c r="AA104" s="239"/>
      <c r="AB104" s="239"/>
      <c r="AC104" s="239"/>
      <c r="AD104" s="239"/>
      <c r="AE104" s="239"/>
      <c r="AF104" s="239"/>
      <c r="AG104" s="239"/>
      <c r="AH104" s="239"/>
      <c r="AI104" s="239"/>
      <c r="AJ104" s="239"/>
      <c r="AK104" s="239"/>
      <c r="AL104" s="239"/>
      <c r="AM104" s="239"/>
      <c r="AN104" s="239"/>
      <c r="AO104" s="239"/>
      <c r="AP104" s="239"/>
      <c r="AQ104" s="239"/>
      <c r="AR104" s="252"/>
      <c r="AS104" s="77">
        <f t="shared" ca="1" si="42"/>
        <v>0</v>
      </c>
      <c r="AT104" s="255">
        <f t="shared" si="43"/>
        <v>0</v>
      </c>
      <c r="AU104" s="51"/>
      <c r="AV104" s="51"/>
      <c r="AW104" s="13">
        <f>+IF(AX104="","",IF(AX104&gt;AX103,AW103,IF(AW103&lt;$D$69,AW103+1,IF(COUNT(AW$4:AW103)&lt;$B$69*$E$54,1,""))))</f>
        <v>8</v>
      </c>
      <c r="AX104" s="13">
        <f>+IF(AX103&lt;$B$69,AX103+1,IF(COUNT(AX$4:AX103)&lt;$B$69*$D$69,1,""))</f>
        <v>10</v>
      </c>
      <c r="AY104" s="189" t="str">
        <f t="shared" ca="1" si="44"/>
        <v>TRAIDILL</v>
      </c>
      <c r="AZ104" s="36">
        <f ca="1">+IF(AZ$3="","",IF($AY104="","",IFERROR(INDEX('Data Consolidada'!$E$7:$E$891,MATCH(CONCATENATE(AZ$3,"-",$CP104,"-",$AY104),'Data Consolidada'!$K$7:$K$891,0)),MAX('Data Consolidada'!$E$7:$E$3000))))</f>
        <v>11000000</v>
      </c>
      <c r="BA104" s="32">
        <f ca="1">+IF(BA$3="","",IF($AY104="","",IFERROR(INDEX('Data Consolidada'!$E$7:$E$891,MATCH(CONCATENATE(BA$3,"-",$CP104,"-",$AY104),'Data Consolidada'!$K$7:$K$891,0)),MAX('Data Consolidada'!$E$7:$E$3000))))</f>
        <v>11000000</v>
      </c>
      <c r="BB104" s="32" t="str">
        <f>+IF(BB$3="","",IF($AY104="","",IFERROR(INDEX('Data Consolidada'!$E$7:$E$891,MATCH(CONCATENATE(BB$3,"-",$CP104,"-",$AY104),'Data Consolidada'!$K$7:$K$891,0)),MAX('Data Consolidada'!$E$7:$E$3000))))</f>
        <v/>
      </c>
      <c r="BC104" s="32" t="str">
        <f>+IF(BC$3="","",IF($AY104="","",IFERROR(INDEX('Data Consolidada'!$E$7:$E$891,MATCH(CONCATENATE(BC$3,"-",$CP104,"-",$AY104),'Data Consolidada'!$K$7:$K$891,0)),MAX('Data Consolidada'!$E$7:$E$3000))))</f>
        <v/>
      </c>
      <c r="BD104" s="32" t="str">
        <f>+IF(BD$3="","",IF($AY104="","",IFERROR(INDEX('Data Consolidada'!$E$7:$E$891,MATCH(CONCATENATE(BD$3,"-",$CP104,"-",$AY104),'Data Consolidada'!$K$7:$K$891,0)),MAX('Data Consolidada'!$E$7:$E$3000))))</f>
        <v/>
      </c>
      <c r="BE104" s="32" t="str">
        <f>+IF(BE$3="","",IF($AY104="","",IFERROR(INDEX('Data Consolidada'!$E$7:$E$891,MATCH(CONCATENATE(BE$3,"-",$CP104,"-",$AY104),'Data Consolidada'!$K$7:$K$891,0)),MAX('Data Consolidada'!$E$7:$E$3000))))</f>
        <v/>
      </c>
      <c r="BF104" s="32" t="str">
        <f>+IF(BF$3="","",IF($AY104="","",IFERROR(INDEX('Data Consolidada'!$E$7:$E$891,MATCH(CONCATENATE(BF$3,"-",$CP104,"-",$AY104),'Data Consolidada'!$K$7:$K$891,0)),MAX('Data Consolidada'!$E$7:$E$3000))))</f>
        <v/>
      </c>
      <c r="BG104" s="32" t="str">
        <f>+IF(BG$3="","",IF($AY104="","",IFERROR(INDEX('Data Consolidada'!$E$7:$E$891,MATCH(CONCATENATE(BG$3,"-",$CP104,"-",$AY104),'Data Consolidada'!$K$7:$K$891,0)),MAX('Data Consolidada'!$E$7:$E$3000))))</f>
        <v/>
      </c>
      <c r="BH104" s="32" t="str">
        <f>+IF(BH$3="","",IF($AY104="","",IFERROR(INDEX('Data Consolidada'!$E$7:$E$891,MATCH(CONCATENATE(BH$3,"-",$CP104,"-",$AY104),'Data Consolidada'!$K$7:$K$891,0)),MAX('Data Consolidada'!$E$7:$E$3000))))</f>
        <v/>
      </c>
      <c r="BI104" s="32" t="str">
        <f>+IF(BI$3="","",IF($AY104="","",IFERROR(INDEX('Data Consolidada'!$E$7:$E$891,MATCH(CONCATENATE(BI$3,"-",$CP104,"-",$AY104),'Data Consolidada'!$K$7:$K$891,0)),MAX('Data Consolidada'!$E$7:$E$3000))))</f>
        <v/>
      </c>
      <c r="BJ104" s="32" t="str">
        <f>+IF(BJ$3="","",IF($AY104="","",IFERROR(INDEX('Data Consolidada'!$E$7:$E$891,MATCH(CONCATENATE(BJ$3,"-",$CP104,"-",$AY104),'Data Consolidada'!$K$7:$K$891,0)),MAX('Data Consolidada'!$E$7:$E$3000))))</f>
        <v/>
      </c>
      <c r="BK104" s="32" t="str">
        <f>+IF(BK$3="","",IF($AY104="","",IFERROR(INDEX('Data Consolidada'!$E$7:$E$891,MATCH(CONCATENATE(BK$3,"-",$CP104,"-",$AY104),'Data Consolidada'!$K$7:$K$891,0)),MAX('Data Consolidada'!$E$7:$E$3000))))</f>
        <v/>
      </c>
      <c r="BL104" s="32" t="str">
        <f>+IF(BL$3="","",IF($AY104="","",IFERROR(INDEX('Data Consolidada'!$E$7:$E$891,MATCH(CONCATENATE(BL$3,"-",$CP104,"-",$AY104),'Data Consolidada'!$K$7:$K$891,0)),MAX('Data Consolidada'!$E$7:$E$3000))))</f>
        <v/>
      </c>
      <c r="BM104" s="32" t="str">
        <f>+IF(BM$3="","",IF($AY104="","",IFERROR(INDEX('Data Consolidada'!$E$7:$E$891,MATCH(CONCATENATE(BM$3,"-",$CP104,"-",$AY104),'Data Consolidada'!$K$7:$K$891,0)),MAX('Data Consolidada'!$E$7:$E$3000))))</f>
        <v/>
      </c>
      <c r="BN104" s="32" t="str">
        <f>+IF(BN$3="","",IF($AY104="","",IFERROR(INDEX('Data Consolidada'!$E$7:$E$891,MATCH(CONCATENATE(BN$3,"-",$CP104,"-",$AY104),'Data Consolidada'!$K$7:$K$891,0)),MAX('Data Consolidada'!$E$7:$E$3000))))</f>
        <v/>
      </c>
      <c r="BO104" s="32" t="str">
        <f>+IF(BO$3="","",IF($AY104="","",IFERROR(INDEX('Data Consolidada'!$E$7:$E$891,MATCH(CONCATENATE(BO$3,"-",$CP104,"-",$AY104),'Data Consolidada'!$K$7:$K$891,0)),MAX('Data Consolidada'!$E$7:$E$3000))))</f>
        <v/>
      </c>
      <c r="BP104" s="32" t="str">
        <f>+IF(BP$3="","",IF($AY104="","",IFERROR(INDEX('Data Consolidada'!$E$7:$E$891,MATCH(CONCATENATE(BP$3,"-",$CP104,"-",$AY104),'Data Consolidada'!$K$7:$K$891,0)),MAX('Data Consolidada'!$E$7:$E$3000))))</f>
        <v/>
      </c>
      <c r="BQ104" s="32" t="str">
        <f>+IF(BQ$3="","",IF($AY104="","",IFERROR(INDEX('Data Consolidada'!$E$7:$E$891,MATCH(CONCATENATE(BQ$3,"-",$CP104,"-",$AY104),'Data Consolidada'!$K$7:$K$891,0)),MAX('Data Consolidada'!$E$7:$E$3000))))</f>
        <v/>
      </c>
      <c r="BR104" s="32" t="str">
        <f>+IF(BR$3="","",IF($AY104="","",IFERROR(INDEX('Data Consolidada'!$E$7:$E$891,MATCH(CONCATENATE(BR$3,"-",$CP104,"-",$AY104),'Data Consolidada'!$K$7:$K$891,0)),MAX('Data Consolidada'!$E$7:$E$3000))))</f>
        <v/>
      </c>
      <c r="BS104" s="32" t="str">
        <f>+IF(BS$3="","",IF($AY104="","",IFERROR(INDEX('Data Consolidada'!$E$7:$E$891,MATCH(CONCATENATE(BS$3,"-",$CP104,"-",$AY104),'Data Consolidada'!$K$7:$K$891,0)),MAX('Data Consolidada'!$E$7:$E$3000))))</f>
        <v/>
      </c>
      <c r="BT104" s="32" t="str">
        <f>+IF(BT$3="","",IF($AY104="","",IFERROR(INDEX('Data Consolidada'!$E$7:$E$891,MATCH(CONCATENATE(BT$3,"-",$CP104,"-",$AY104),'Data Consolidada'!$K$7:$K$891,0)),MAX('Data Consolidada'!$E$7:$E$3000))))</f>
        <v/>
      </c>
      <c r="BU104" s="32" t="str">
        <f>+IF(BU$3="","",IF($AY104="","",IFERROR(INDEX('Data Consolidada'!$E$7:$E$891,MATCH(CONCATENATE(BU$3,"-",$CP104,"-",$AY104),'Data Consolidada'!$K$7:$K$891,0)),MAX('Data Consolidada'!$E$7:$E$3000))))</f>
        <v/>
      </c>
      <c r="BV104" s="32" t="str">
        <f>+IF(BV$3="","",IF($AY104="","",IFERROR(INDEX('Data Consolidada'!$E$7:$E$891,MATCH(CONCATENATE(BV$3,"-",$CP104,"-",$AY104),'Data Consolidada'!$K$7:$K$891,0)),MAX('Data Consolidada'!$E$7:$E$3000))))</f>
        <v/>
      </c>
      <c r="BW104" s="32" t="str">
        <f>+IF(BW$3="","",IF($AY104="","",IFERROR(INDEX('Data Consolidada'!$E$7:$E$891,MATCH(CONCATENATE(BW$3,"-",$CP104,"-",$AY104),'Data Consolidada'!$K$7:$K$891,0)),MAX('Data Consolidada'!$E$7:$E$3000))))</f>
        <v/>
      </c>
      <c r="BX104" s="32" t="str">
        <f>+IF(BX$3="","",IF($AY104="","",IFERROR(INDEX('Data Consolidada'!$E$7:$E$891,MATCH(CONCATENATE(BX$3,"-",$CP104,"-",$AY104),'Data Consolidada'!$K$7:$K$891,0)),MAX('Data Consolidada'!$E$7:$E$3000))))</f>
        <v/>
      </c>
      <c r="BY104" s="32" t="str">
        <f>+IF(BY$3="","",IF($AY104="","",IFERROR(INDEX('Data Consolidada'!$E$7:$E$891,MATCH(CONCATENATE(BY$3,"-",$CP104,"-",$AY104),'Data Consolidada'!$K$7:$K$891,0)),MAX('Data Consolidada'!$E$7:$E$3000))))</f>
        <v/>
      </c>
      <c r="BZ104" s="32" t="str">
        <f>+IF(BZ$3="","",IF($AY104="","",IFERROR(INDEX('Data Consolidada'!$E$7:$E$891,MATCH(CONCATENATE(BZ$3,"-",$CP104,"-",$AY104),'Data Consolidada'!$K$7:$K$891,0)),MAX('Data Consolidada'!$E$7:$E$3000))))</f>
        <v/>
      </c>
      <c r="CA104" s="32" t="str">
        <f>+IF(CA$3="","",IF($AY104="","",IFERROR(INDEX('Data Consolidada'!$E$7:$E$891,MATCH(CONCATENATE(CA$3,"-",$CP104,"-",$AY104),'Data Consolidada'!$K$7:$K$891,0)),MAX('Data Consolidada'!$E$7:$E$3000))))</f>
        <v/>
      </c>
      <c r="CB104" s="32" t="str">
        <f>+IF(CB$3="","",IF($AY104="","",IFERROR(INDEX('Data Consolidada'!$E$7:$E$891,MATCH(CONCATENATE(CB$3,"-",$CP104,"-",$AY104),'Data Consolidada'!$K$7:$K$891,0)),MAX('Data Consolidada'!$E$7:$E$3000))))</f>
        <v/>
      </c>
      <c r="CC104" s="32" t="str">
        <f>+IF(CC$3="","",IF($AY104="","",IFERROR(INDEX('Data Consolidada'!$E$7:$E$891,MATCH(CONCATENATE(CC$3,"-",$CP104,"-",$AY104),'Data Consolidada'!$K$7:$K$891,0)),MAX('Data Consolidada'!$E$7:$E$3000))))</f>
        <v/>
      </c>
      <c r="CD104" s="32" t="str">
        <f>+IF(CD$3="","",IF($AY104="","",IFERROR(INDEX('Data Consolidada'!$E$7:$E$891,MATCH(CONCATENATE(CD$3,"-",$CP104,"-",$AY104),'Data Consolidada'!$K$7:$K$891,0)),MAX('Data Consolidada'!$E$7:$E$3000))))</f>
        <v/>
      </c>
      <c r="CE104" s="32" t="str">
        <f>+IF(CE$3="","",IF($AY104="","",IFERROR(INDEX('Data Consolidada'!$E$7:$E$891,MATCH(CONCATENATE(CE$3,"-",$CP104,"-",$AY104),'Data Consolidada'!$K$7:$K$891,0)),MAX('Data Consolidada'!$E$7:$E$3000))))</f>
        <v/>
      </c>
      <c r="CF104" s="32" t="str">
        <f>+IF(CF$3="","",IF($AY104="","",IFERROR(INDEX('Data Consolidada'!$E$7:$E$891,MATCH(CONCATENATE(CF$3,"-",$CP104,"-",$AY104),'Data Consolidada'!$K$7:$K$891,0)),MAX('Data Consolidada'!$E$7:$E$3000))))</f>
        <v/>
      </c>
      <c r="CG104" s="32" t="str">
        <f>+IF(CG$3="","",IF($AY104="","",IFERROR(INDEX('Data Consolidada'!$E$7:$E$891,MATCH(CONCATENATE(CG$3,"-",$CP104,"-",$AY104),'Data Consolidada'!$K$7:$K$891,0)),MAX('Data Consolidada'!$E$7:$E$3000))))</f>
        <v/>
      </c>
      <c r="CH104" s="32" t="str">
        <f>+IF(CH$3="","",IF($AY104="","",IFERROR(INDEX('Data Consolidada'!$E$7:$E$891,MATCH(CONCATENATE(CH$3,"-",$CP104,"-",$AY104),'Data Consolidada'!$K$7:$K$891,0)),MAX('Data Consolidada'!$E$7:$E$3000))))</f>
        <v/>
      </c>
      <c r="CI104" s="32" t="str">
        <f>+IF(CI$3="","",IF($AY104="","",IFERROR(INDEX('Data Consolidada'!$E$7:$E$891,MATCH(CONCATENATE(CI$3,"-",$CP104,"-",$AY104),'Data Consolidada'!$K$7:$K$891,0)),MAX('Data Consolidada'!$E$7:$E$3000))))</f>
        <v/>
      </c>
      <c r="CJ104" s="32" t="str">
        <f>+IF(CJ$3="","",IF($AY104="","",IFERROR(INDEX('Data Consolidada'!$E$7:$E$891,MATCH(CONCATENATE(CJ$3,"-",$CP104,"-",$AY104),'Data Consolidada'!$K$7:$K$891,0)),MAX('Data Consolidada'!$E$7:$E$3000))))</f>
        <v/>
      </c>
      <c r="CK104" s="32" t="str">
        <f>+IF(CK$3="","",IF($AY104="","",IFERROR(INDEX('Data Consolidada'!$E$7:$E$891,MATCH(CONCATENATE(CK$3,"-",$CP104,"-",$AY104),'Data Consolidada'!$K$7:$K$891,0)),MAX('Data Consolidada'!$E$7:$E$3000))))</f>
        <v/>
      </c>
      <c r="CL104" s="32" t="str">
        <f>+IF(CL$3="","",IF($AY104="","",IFERROR(INDEX('Data Consolidada'!$E$7:$E$891,MATCH(CONCATENATE(CL$3,"-",$CP104,"-",$AY104),'Data Consolidada'!$K$7:$K$891,0)),MAX('Data Consolidada'!$E$7:$E$3000))))</f>
        <v/>
      </c>
      <c r="CM104" s="32" t="str">
        <f>+IF(CM$3="","",IF($AY104="","",IFERROR(INDEX('Data Consolidada'!$E$7:$E$891,MATCH(CONCATENATE(CM$3,"-",$CP104,"-",$AY104),'Data Consolidada'!$K$7:$K$891,0)),MAX('Data Consolidada'!$E$7:$E$3000))))</f>
        <v/>
      </c>
      <c r="CN104" s="32" t="str">
        <f>+IF(CN$3="","",IF($AY104="","",IFERROR(INDEX('Data Consolidada'!$E$7:$E$891,MATCH(CONCATENATE(CN$3,"-",$CP104,"-",$AY104),'Data Consolidada'!$K$7:$K$891,0)),MAX('Data Consolidada'!$E$7:$E$3000))))</f>
        <v/>
      </c>
      <c r="CO104" s="37" t="str">
        <f>+IF(CO$3="","",IF($AY104="","",IFERROR(INDEX('Data Consolidada'!$E$7:$E$891,MATCH(CONCATENATE(CO$3,"-",$CP104,"-",$AY104),'Data Consolidada'!$K$7:$K$891,0)),MAX('Data Consolidada'!$E$7:$E$3000))))</f>
        <v/>
      </c>
      <c r="CP104" s="224">
        <f t="shared" ca="1" si="45"/>
        <v>0</v>
      </c>
      <c r="CQ104" s="84" t="str">
        <f t="shared" ca="1" si="39"/>
        <v>TRAIDILL0</v>
      </c>
    </row>
    <row r="105" spans="2:95" ht="15" customHeight="1" x14ac:dyDescent="0.35">
      <c r="B105" s="218" t="str">
        <f t="shared" ca="1" si="41"/>
        <v>PAULA</v>
      </c>
      <c r="C105" s="238">
        <v>0</v>
      </c>
      <c r="D105" s="239">
        <v>0</v>
      </c>
      <c r="E105" s="239">
        <v>0</v>
      </c>
      <c r="F105" s="239">
        <v>0</v>
      </c>
      <c r="G105" s="239">
        <v>0</v>
      </c>
      <c r="H105" s="239">
        <v>0</v>
      </c>
      <c r="I105" s="239">
        <v>0</v>
      </c>
      <c r="J105" s="239">
        <v>0</v>
      </c>
      <c r="K105" s="239">
        <v>0</v>
      </c>
      <c r="L105" s="239">
        <v>0</v>
      </c>
      <c r="M105" s="239">
        <v>0</v>
      </c>
      <c r="N105" s="240">
        <v>0</v>
      </c>
      <c r="O105" s="239">
        <v>0</v>
      </c>
      <c r="P105" s="239">
        <v>0</v>
      </c>
      <c r="Q105" s="239">
        <v>0</v>
      </c>
      <c r="R105" s="239">
        <v>0</v>
      </c>
      <c r="S105" s="239">
        <v>0</v>
      </c>
      <c r="T105" s="239">
        <v>0</v>
      </c>
      <c r="U105" s="239">
        <v>0</v>
      </c>
      <c r="V105" s="239">
        <v>0</v>
      </c>
      <c r="W105" s="239">
        <v>0</v>
      </c>
      <c r="X105" s="239">
        <v>0</v>
      </c>
      <c r="Y105" s="239">
        <v>0</v>
      </c>
      <c r="Z105" s="239"/>
      <c r="AA105" s="239"/>
      <c r="AB105" s="239"/>
      <c r="AC105" s="239"/>
      <c r="AD105" s="239"/>
      <c r="AE105" s="239"/>
      <c r="AF105" s="239"/>
      <c r="AG105" s="239"/>
      <c r="AH105" s="239"/>
      <c r="AI105" s="239"/>
      <c r="AJ105" s="239"/>
      <c r="AK105" s="239"/>
      <c r="AL105" s="239"/>
      <c r="AM105" s="239"/>
      <c r="AN105" s="239"/>
      <c r="AO105" s="239"/>
      <c r="AP105" s="239"/>
      <c r="AQ105" s="239"/>
      <c r="AR105" s="252"/>
      <c r="AS105" s="77">
        <f t="shared" ca="1" si="42"/>
        <v>0</v>
      </c>
      <c r="AT105" s="255">
        <f t="shared" si="43"/>
        <v>0</v>
      </c>
      <c r="AU105" s="51"/>
      <c r="AV105" s="51"/>
      <c r="AW105" s="13">
        <f>+IF(AX105="","",IF(AX105&gt;AX104,AW104,IF(AW104&lt;$D$69,AW104+1,IF(COUNT(AW$4:AW104)&lt;$B$69*$E$54,1,""))))</f>
        <v>8</v>
      </c>
      <c r="AX105" s="13">
        <f>+IF(AX104&lt;$B$69,AX104+1,IF(COUNT(AX$4:AX104)&lt;$B$69*$D$69,1,""))</f>
        <v>11</v>
      </c>
      <c r="AY105" s="189" t="str">
        <f t="shared" ca="1" si="44"/>
        <v>TRANS. ALMENDRAL</v>
      </c>
      <c r="AZ105" s="36">
        <f ca="1">+IF(AZ$3="","",IF($AY105="","",IFERROR(INDEX('Data Consolidada'!$E$7:$E$891,MATCH(CONCATENATE(AZ$3,"-",$CP105,"-",$AY105),'Data Consolidada'!$K$7:$K$891,0)),MAX('Data Consolidada'!$E$7:$E$3000))))</f>
        <v>11000000</v>
      </c>
      <c r="BA105" s="32">
        <f ca="1">+IF(BA$3="","",IF($AY105="","",IFERROR(INDEX('Data Consolidada'!$E$7:$E$891,MATCH(CONCATENATE(BA$3,"-",$CP105,"-",$AY105),'Data Consolidada'!$K$7:$K$891,0)),MAX('Data Consolidada'!$E$7:$E$3000))))</f>
        <v>11000000</v>
      </c>
      <c r="BB105" s="32" t="str">
        <f>+IF(BB$3="","",IF($AY105="","",IFERROR(INDEX('Data Consolidada'!$E$7:$E$891,MATCH(CONCATENATE(BB$3,"-",$CP105,"-",$AY105),'Data Consolidada'!$K$7:$K$891,0)),MAX('Data Consolidada'!$E$7:$E$3000))))</f>
        <v/>
      </c>
      <c r="BC105" s="32" t="str">
        <f>+IF(BC$3="","",IF($AY105="","",IFERROR(INDEX('Data Consolidada'!$E$7:$E$891,MATCH(CONCATENATE(BC$3,"-",$CP105,"-",$AY105),'Data Consolidada'!$K$7:$K$891,0)),MAX('Data Consolidada'!$E$7:$E$3000))))</f>
        <v/>
      </c>
      <c r="BD105" s="32" t="str">
        <f>+IF(BD$3="","",IF($AY105="","",IFERROR(INDEX('Data Consolidada'!$E$7:$E$891,MATCH(CONCATENATE(BD$3,"-",$CP105,"-",$AY105),'Data Consolidada'!$K$7:$K$891,0)),MAX('Data Consolidada'!$E$7:$E$3000))))</f>
        <v/>
      </c>
      <c r="BE105" s="32" t="str">
        <f>+IF(BE$3="","",IF($AY105="","",IFERROR(INDEX('Data Consolidada'!$E$7:$E$891,MATCH(CONCATENATE(BE$3,"-",$CP105,"-",$AY105),'Data Consolidada'!$K$7:$K$891,0)),MAX('Data Consolidada'!$E$7:$E$3000))))</f>
        <v/>
      </c>
      <c r="BF105" s="32" t="str">
        <f>+IF(BF$3="","",IF($AY105="","",IFERROR(INDEX('Data Consolidada'!$E$7:$E$891,MATCH(CONCATENATE(BF$3,"-",$CP105,"-",$AY105),'Data Consolidada'!$K$7:$K$891,0)),MAX('Data Consolidada'!$E$7:$E$3000))))</f>
        <v/>
      </c>
      <c r="BG105" s="32" t="str">
        <f>+IF(BG$3="","",IF($AY105="","",IFERROR(INDEX('Data Consolidada'!$E$7:$E$891,MATCH(CONCATENATE(BG$3,"-",$CP105,"-",$AY105),'Data Consolidada'!$K$7:$K$891,0)),MAX('Data Consolidada'!$E$7:$E$3000))))</f>
        <v/>
      </c>
      <c r="BH105" s="32" t="str">
        <f>+IF(BH$3="","",IF($AY105="","",IFERROR(INDEX('Data Consolidada'!$E$7:$E$891,MATCH(CONCATENATE(BH$3,"-",$CP105,"-",$AY105),'Data Consolidada'!$K$7:$K$891,0)),MAX('Data Consolidada'!$E$7:$E$3000))))</f>
        <v/>
      </c>
      <c r="BI105" s="32" t="str">
        <f>+IF(BI$3="","",IF($AY105="","",IFERROR(INDEX('Data Consolidada'!$E$7:$E$891,MATCH(CONCATENATE(BI$3,"-",$CP105,"-",$AY105),'Data Consolidada'!$K$7:$K$891,0)),MAX('Data Consolidada'!$E$7:$E$3000))))</f>
        <v/>
      </c>
      <c r="BJ105" s="32" t="str">
        <f>+IF(BJ$3="","",IF($AY105="","",IFERROR(INDEX('Data Consolidada'!$E$7:$E$891,MATCH(CONCATENATE(BJ$3,"-",$CP105,"-",$AY105),'Data Consolidada'!$K$7:$K$891,0)),MAX('Data Consolidada'!$E$7:$E$3000))))</f>
        <v/>
      </c>
      <c r="BK105" s="32" t="str">
        <f>+IF(BK$3="","",IF($AY105="","",IFERROR(INDEX('Data Consolidada'!$E$7:$E$891,MATCH(CONCATENATE(BK$3,"-",$CP105,"-",$AY105),'Data Consolidada'!$K$7:$K$891,0)),MAX('Data Consolidada'!$E$7:$E$3000))))</f>
        <v/>
      </c>
      <c r="BL105" s="32" t="str">
        <f>+IF(BL$3="","",IF($AY105="","",IFERROR(INDEX('Data Consolidada'!$E$7:$E$891,MATCH(CONCATENATE(BL$3,"-",$CP105,"-",$AY105),'Data Consolidada'!$K$7:$K$891,0)),MAX('Data Consolidada'!$E$7:$E$3000))))</f>
        <v/>
      </c>
      <c r="BM105" s="32" t="str">
        <f>+IF(BM$3="","",IF($AY105="","",IFERROR(INDEX('Data Consolidada'!$E$7:$E$891,MATCH(CONCATENATE(BM$3,"-",$CP105,"-",$AY105),'Data Consolidada'!$K$7:$K$891,0)),MAX('Data Consolidada'!$E$7:$E$3000))))</f>
        <v/>
      </c>
      <c r="BN105" s="32" t="str">
        <f>+IF(BN$3="","",IF($AY105="","",IFERROR(INDEX('Data Consolidada'!$E$7:$E$891,MATCH(CONCATENATE(BN$3,"-",$CP105,"-",$AY105),'Data Consolidada'!$K$7:$K$891,0)),MAX('Data Consolidada'!$E$7:$E$3000))))</f>
        <v/>
      </c>
      <c r="BO105" s="32" t="str">
        <f>+IF(BO$3="","",IF($AY105="","",IFERROR(INDEX('Data Consolidada'!$E$7:$E$891,MATCH(CONCATENATE(BO$3,"-",$CP105,"-",$AY105),'Data Consolidada'!$K$7:$K$891,0)),MAX('Data Consolidada'!$E$7:$E$3000))))</f>
        <v/>
      </c>
      <c r="BP105" s="32" t="str">
        <f>+IF(BP$3="","",IF($AY105="","",IFERROR(INDEX('Data Consolidada'!$E$7:$E$891,MATCH(CONCATENATE(BP$3,"-",$CP105,"-",$AY105),'Data Consolidada'!$K$7:$K$891,0)),MAX('Data Consolidada'!$E$7:$E$3000))))</f>
        <v/>
      </c>
      <c r="BQ105" s="32" t="str">
        <f>+IF(BQ$3="","",IF($AY105="","",IFERROR(INDEX('Data Consolidada'!$E$7:$E$891,MATCH(CONCATENATE(BQ$3,"-",$CP105,"-",$AY105),'Data Consolidada'!$K$7:$K$891,0)),MAX('Data Consolidada'!$E$7:$E$3000))))</f>
        <v/>
      </c>
      <c r="BR105" s="32" t="str">
        <f>+IF(BR$3="","",IF($AY105="","",IFERROR(INDEX('Data Consolidada'!$E$7:$E$891,MATCH(CONCATENATE(BR$3,"-",$CP105,"-",$AY105),'Data Consolidada'!$K$7:$K$891,0)),MAX('Data Consolidada'!$E$7:$E$3000))))</f>
        <v/>
      </c>
      <c r="BS105" s="32" t="str">
        <f>+IF(BS$3="","",IF($AY105="","",IFERROR(INDEX('Data Consolidada'!$E$7:$E$891,MATCH(CONCATENATE(BS$3,"-",$CP105,"-",$AY105),'Data Consolidada'!$K$7:$K$891,0)),MAX('Data Consolidada'!$E$7:$E$3000))))</f>
        <v/>
      </c>
      <c r="BT105" s="32" t="str">
        <f>+IF(BT$3="","",IF($AY105="","",IFERROR(INDEX('Data Consolidada'!$E$7:$E$891,MATCH(CONCATENATE(BT$3,"-",$CP105,"-",$AY105),'Data Consolidada'!$K$7:$K$891,0)),MAX('Data Consolidada'!$E$7:$E$3000))))</f>
        <v/>
      </c>
      <c r="BU105" s="32" t="str">
        <f>+IF(BU$3="","",IF($AY105="","",IFERROR(INDEX('Data Consolidada'!$E$7:$E$891,MATCH(CONCATENATE(BU$3,"-",$CP105,"-",$AY105),'Data Consolidada'!$K$7:$K$891,0)),MAX('Data Consolidada'!$E$7:$E$3000))))</f>
        <v/>
      </c>
      <c r="BV105" s="32" t="str">
        <f>+IF(BV$3="","",IF($AY105="","",IFERROR(INDEX('Data Consolidada'!$E$7:$E$891,MATCH(CONCATENATE(BV$3,"-",$CP105,"-",$AY105),'Data Consolidada'!$K$7:$K$891,0)),MAX('Data Consolidada'!$E$7:$E$3000))))</f>
        <v/>
      </c>
      <c r="BW105" s="32" t="str">
        <f>+IF(BW$3="","",IF($AY105="","",IFERROR(INDEX('Data Consolidada'!$E$7:$E$891,MATCH(CONCATENATE(BW$3,"-",$CP105,"-",$AY105),'Data Consolidada'!$K$7:$K$891,0)),MAX('Data Consolidada'!$E$7:$E$3000))))</f>
        <v/>
      </c>
      <c r="BX105" s="32" t="str">
        <f>+IF(BX$3="","",IF($AY105="","",IFERROR(INDEX('Data Consolidada'!$E$7:$E$891,MATCH(CONCATENATE(BX$3,"-",$CP105,"-",$AY105),'Data Consolidada'!$K$7:$K$891,0)),MAX('Data Consolidada'!$E$7:$E$3000))))</f>
        <v/>
      </c>
      <c r="BY105" s="32" t="str">
        <f>+IF(BY$3="","",IF($AY105="","",IFERROR(INDEX('Data Consolidada'!$E$7:$E$891,MATCH(CONCATENATE(BY$3,"-",$CP105,"-",$AY105),'Data Consolidada'!$K$7:$K$891,0)),MAX('Data Consolidada'!$E$7:$E$3000))))</f>
        <v/>
      </c>
      <c r="BZ105" s="32" t="str">
        <f>+IF(BZ$3="","",IF($AY105="","",IFERROR(INDEX('Data Consolidada'!$E$7:$E$891,MATCH(CONCATENATE(BZ$3,"-",$CP105,"-",$AY105),'Data Consolidada'!$K$7:$K$891,0)),MAX('Data Consolidada'!$E$7:$E$3000))))</f>
        <v/>
      </c>
      <c r="CA105" s="32" t="str">
        <f>+IF(CA$3="","",IF($AY105="","",IFERROR(INDEX('Data Consolidada'!$E$7:$E$891,MATCH(CONCATENATE(CA$3,"-",$CP105,"-",$AY105),'Data Consolidada'!$K$7:$K$891,0)),MAX('Data Consolidada'!$E$7:$E$3000))))</f>
        <v/>
      </c>
      <c r="CB105" s="32" t="str">
        <f>+IF(CB$3="","",IF($AY105="","",IFERROR(INDEX('Data Consolidada'!$E$7:$E$891,MATCH(CONCATENATE(CB$3,"-",$CP105,"-",$AY105),'Data Consolidada'!$K$7:$K$891,0)),MAX('Data Consolidada'!$E$7:$E$3000))))</f>
        <v/>
      </c>
      <c r="CC105" s="32" t="str">
        <f>+IF(CC$3="","",IF($AY105="","",IFERROR(INDEX('Data Consolidada'!$E$7:$E$891,MATCH(CONCATENATE(CC$3,"-",$CP105,"-",$AY105),'Data Consolidada'!$K$7:$K$891,0)),MAX('Data Consolidada'!$E$7:$E$3000))))</f>
        <v/>
      </c>
      <c r="CD105" s="32" t="str">
        <f>+IF(CD$3="","",IF($AY105="","",IFERROR(INDEX('Data Consolidada'!$E$7:$E$891,MATCH(CONCATENATE(CD$3,"-",$CP105,"-",$AY105),'Data Consolidada'!$K$7:$K$891,0)),MAX('Data Consolidada'!$E$7:$E$3000))))</f>
        <v/>
      </c>
      <c r="CE105" s="32" t="str">
        <f>+IF(CE$3="","",IF($AY105="","",IFERROR(INDEX('Data Consolidada'!$E$7:$E$891,MATCH(CONCATENATE(CE$3,"-",$CP105,"-",$AY105),'Data Consolidada'!$K$7:$K$891,0)),MAX('Data Consolidada'!$E$7:$E$3000))))</f>
        <v/>
      </c>
      <c r="CF105" s="32" t="str">
        <f>+IF(CF$3="","",IF($AY105="","",IFERROR(INDEX('Data Consolidada'!$E$7:$E$891,MATCH(CONCATENATE(CF$3,"-",$CP105,"-",$AY105),'Data Consolidada'!$K$7:$K$891,0)),MAX('Data Consolidada'!$E$7:$E$3000))))</f>
        <v/>
      </c>
      <c r="CG105" s="32" t="str">
        <f>+IF(CG$3="","",IF($AY105="","",IFERROR(INDEX('Data Consolidada'!$E$7:$E$891,MATCH(CONCATENATE(CG$3,"-",$CP105,"-",$AY105),'Data Consolidada'!$K$7:$K$891,0)),MAX('Data Consolidada'!$E$7:$E$3000))))</f>
        <v/>
      </c>
      <c r="CH105" s="32" t="str">
        <f>+IF(CH$3="","",IF($AY105="","",IFERROR(INDEX('Data Consolidada'!$E$7:$E$891,MATCH(CONCATENATE(CH$3,"-",$CP105,"-",$AY105),'Data Consolidada'!$K$7:$K$891,0)),MAX('Data Consolidada'!$E$7:$E$3000))))</f>
        <v/>
      </c>
      <c r="CI105" s="32" t="str">
        <f>+IF(CI$3="","",IF($AY105="","",IFERROR(INDEX('Data Consolidada'!$E$7:$E$891,MATCH(CONCATENATE(CI$3,"-",$CP105,"-",$AY105),'Data Consolidada'!$K$7:$K$891,0)),MAX('Data Consolidada'!$E$7:$E$3000))))</f>
        <v/>
      </c>
      <c r="CJ105" s="32" t="str">
        <f>+IF(CJ$3="","",IF($AY105="","",IFERROR(INDEX('Data Consolidada'!$E$7:$E$891,MATCH(CONCATENATE(CJ$3,"-",$CP105,"-",$AY105),'Data Consolidada'!$K$7:$K$891,0)),MAX('Data Consolidada'!$E$7:$E$3000))))</f>
        <v/>
      </c>
      <c r="CK105" s="32" t="str">
        <f>+IF(CK$3="","",IF($AY105="","",IFERROR(INDEX('Data Consolidada'!$E$7:$E$891,MATCH(CONCATENATE(CK$3,"-",$CP105,"-",$AY105),'Data Consolidada'!$K$7:$K$891,0)),MAX('Data Consolidada'!$E$7:$E$3000))))</f>
        <v/>
      </c>
      <c r="CL105" s="32" t="str">
        <f>+IF(CL$3="","",IF($AY105="","",IFERROR(INDEX('Data Consolidada'!$E$7:$E$891,MATCH(CONCATENATE(CL$3,"-",$CP105,"-",$AY105),'Data Consolidada'!$K$7:$K$891,0)),MAX('Data Consolidada'!$E$7:$E$3000))))</f>
        <v/>
      </c>
      <c r="CM105" s="32" t="str">
        <f>+IF(CM$3="","",IF($AY105="","",IFERROR(INDEX('Data Consolidada'!$E$7:$E$891,MATCH(CONCATENATE(CM$3,"-",$CP105,"-",$AY105),'Data Consolidada'!$K$7:$K$891,0)),MAX('Data Consolidada'!$E$7:$E$3000))))</f>
        <v/>
      </c>
      <c r="CN105" s="32" t="str">
        <f>+IF(CN$3="","",IF($AY105="","",IFERROR(INDEX('Data Consolidada'!$E$7:$E$891,MATCH(CONCATENATE(CN$3,"-",$CP105,"-",$AY105),'Data Consolidada'!$K$7:$K$891,0)),MAX('Data Consolidada'!$E$7:$E$3000))))</f>
        <v/>
      </c>
      <c r="CO105" s="37" t="str">
        <f>+IF(CO$3="","",IF($AY105="","",IFERROR(INDEX('Data Consolidada'!$E$7:$E$891,MATCH(CONCATENATE(CO$3,"-",$CP105,"-",$AY105),'Data Consolidada'!$K$7:$K$891,0)),MAX('Data Consolidada'!$E$7:$E$3000))))</f>
        <v/>
      </c>
      <c r="CP105" s="224">
        <f t="shared" ca="1" si="45"/>
        <v>0</v>
      </c>
      <c r="CQ105" s="84" t="str">
        <f t="shared" ca="1" si="39"/>
        <v>TRANS. ALMENDRAL0</v>
      </c>
    </row>
    <row r="106" spans="2:95" ht="15" customHeight="1" x14ac:dyDescent="0.35">
      <c r="B106" s="218" t="str">
        <f t="shared" ca="1" si="41"/>
        <v>TH TRANSPORTES</v>
      </c>
      <c r="C106" s="238">
        <v>0</v>
      </c>
      <c r="D106" s="239">
        <v>0</v>
      </c>
      <c r="E106" s="239">
        <v>0</v>
      </c>
      <c r="F106" s="239">
        <v>0</v>
      </c>
      <c r="G106" s="239">
        <v>0</v>
      </c>
      <c r="H106" s="239">
        <v>0</v>
      </c>
      <c r="I106" s="239">
        <v>0</v>
      </c>
      <c r="J106" s="239">
        <v>0</v>
      </c>
      <c r="K106" s="239">
        <v>0</v>
      </c>
      <c r="L106" s="239">
        <v>0</v>
      </c>
      <c r="M106" s="239">
        <v>0</v>
      </c>
      <c r="N106" s="240">
        <v>0</v>
      </c>
      <c r="O106" s="239">
        <v>0</v>
      </c>
      <c r="P106" s="239">
        <v>0</v>
      </c>
      <c r="Q106" s="239">
        <v>0</v>
      </c>
      <c r="R106" s="239">
        <v>0</v>
      </c>
      <c r="S106" s="239">
        <v>0</v>
      </c>
      <c r="T106" s="239">
        <v>0</v>
      </c>
      <c r="U106" s="239">
        <v>0</v>
      </c>
      <c r="V106" s="239">
        <v>0</v>
      </c>
      <c r="W106" s="239">
        <v>0</v>
      </c>
      <c r="X106" s="239">
        <v>0</v>
      </c>
      <c r="Y106" s="239">
        <v>0</v>
      </c>
      <c r="Z106" s="239"/>
      <c r="AA106" s="239"/>
      <c r="AB106" s="239"/>
      <c r="AC106" s="239"/>
      <c r="AD106" s="239"/>
      <c r="AE106" s="239"/>
      <c r="AF106" s="239"/>
      <c r="AG106" s="239"/>
      <c r="AH106" s="239"/>
      <c r="AI106" s="239"/>
      <c r="AJ106" s="239"/>
      <c r="AK106" s="239"/>
      <c r="AL106" s="239"/>
      <c r="AM106" s="239"/>
      <c r="AN106" s="239"/>
      <c r="AO106" s="239"/>
      <c r="AP106" s="239"/>
      <c r="AQ106" s="239"/>
      <c r="AR106" s="252"/>
      <c r="AS106" s="77">
        <f t="shared" ca="1" si="42"/>
        <v>0</v>
      </c>
      <c r="AT106" s="255">
        <f t="shared" si="43"/>
        <v>0</v>
      </c>
      <c r="AU106" s="51"/>
      <c r="AV106" s="51"/>
      <c r="AW106" s="13">
        <f>+IF(AX106="","",IF(AX106&gt;AX105,AW105,IF(AW105&lt;$D$69,AW105+1,IF(COUNT(AW$4:AW105)&lt;$B$69*$E$54,1,""))))</f>
        <v>8</v>
      </c>
      <c r="AX106" s="13">
        <f>+IF(AX105&lt;$B$69,AX105+1,IF(COUNT(AX$4:AX105)&lt;$B$69*$D$69,1,""))</f>
        <v>12</v>
      </c>
      <c r="AY106" s="189" t="str">
        <f t="shared" ca="1" si="44"/>
        <v>TRANS. MAX SOTO G. E.I.R.L.</v>
      </c>
      <c r="AZ106" s="36">
        <f ca="1">+IF(AZ$3="","",IF($AY106="","",IFERROR(INDEX('Data Consolidada'!$E$7:$E$891,MATCH(CONCATENATE(AZ$3,"-",$CP106,"-",$AY106),'Data Consolidada'!$K$7:$K$891,0)),MAX('Data Consolidada'!$E$7:$E$3000))))</f>
        <v>11000000</v>
      </c>
      <c r="BA106" s="32">
        <f ca="1">+IF(BA$3="","",IF($AY106="","",IFERROR(INDEX('Data Consolidada'!$E$7:$E$891,MATCH(CONCATENATE(BA$3,"-",$CP106,"-",$AY106),'Data Consolidada'!$K$7:$K$891,0)),MAX('Data Consolidada'!$E$7:$E$3000))))</f>
        <v>11000000</v>
      </c>
      <c r="BB106" s="32" t="str">
        <f>+IF(BB$3="","",IF($AY106="","",IFERROR(INDEX('Data Consolidada'!$E$7:$E$891,MATCH(CONCATENATE(BB$3,"-",$CP106,"-",$AY106),'Data Consolidada'!$K$7:$K$891,0)),MAX('Data Consolidada'!$E$7:$E$3000))))</f>
        <v/>
      </c>
      <c r="BC106" s="32" t="str">
        <f>+IF(BC$3="","",IF($AY106="","",IFERROR(INDEX('Data Consolidada'!$E$7:$E$891,MATCH(CONCATENATE(BC$3,"-",$CP106,"-",$AY106),'Data Consolidada'!$K$7:$K$891,0)),MAX('Data Consolidada'!$E$7:$E$3000))))</f>
        <v/>
      </c>
      <c r="BD106" s="32" t="str">
        <f>+IF(BD$3="","",IF($AY106="","",IFERROR(INDEX('Data Consolidada'!$E$7:$E$891,MATCH(CONCATENATE(BD$3,"-",$CP106,"-",$AY106),'Data Consolidada'!$K$7:$K$891,0)),MAX('Data Consolidada'!$E$7:$E$3000))))</f>
        <v/>
      </c>
      <c r="BE106" s="32" t="str">
        <f>+IF(BE$3="","",IF($AY106="","",IFERROR(INDEX('Data Consolidada'!$E$7:$E$891,MATCH(CONCATENATE(BE$3,"-",$CP106,"-",$AY106),'Data Consolidada'!$K$7:$K$891,0)),MAX('Data Consolidada'!$E$7:$E$3000))))</f>
        <v/>
      </c>
      <c r="BF106" s="32" t="str">
        <f>+IF(BF$3="","",IF($AY106="","",IFERROR(INDEX('Data Consolidada'!$E$7:$E$891,MATCH(CONCATENATE(BF$3,"-",$CP106,"-",$AY106),'Data Consolidada'!$K$7:$K$891,0)),MAX('Data Consolidada'!$E$7:$E$3000))))</f>
        <v/>
      </c>
      <c r="BG106" s="32" t="str">
        <f>+IF(BG$3="","",IF($AY106="","",IFERROR(INDEX('Data Consolidada'!$E$7:$E$891,MATCH(CONCATENATE(BG$3,"-",$CP106,"-",$AY106),'Data Consolidada'!$K$7:$K$891,0)),MAX('Data Consolidada'!$E$7:$E$3000))))</f>
        <v/>
      </c>
      <c r="BH106" s="32" t="str">
        <f>+IF(BH$3="","",IF($AY106="","",IFERROR(INDEX('Data Consolidada'!$E$7:$E$891,MATCH(CONCATENATE(BH$3,"-",$CP106,"-",$AY106),'Data Consolidada'!$K$7:$K$891,0)),MAX('Data Consolidada'!$E$7:$E$3000))))</f>
        <v/>
      </c>
      <c r="BI106" s="32" t="str">
        <f>+IF(BI$3="","",IF($AY106="","",IFERROR(INDEX('Data Consolidada'!$E$7:$E$891,MATCH(CONCATENATE(BI$3,"-",$CP106,"-",$AY106),'Data Consolidada'!$K$7:$K$891,0)),MAX('Data Consolidada'!$E$7:$E$3000))))</f>
        <v/>
      </c>
      <c r="BJ106" s="32" t="str">
        <f>+IF(BJ$3="","",IF($AY106="","",IFERROR(INDEX('Data Consolidada'!$E$7:$E$891,MATCH(CONCATENATE(BJ$3,"-",$CP106,"-",$AY106),'Data Consolidada'!$K$7:$K$891,0)),MAX('Data Consolidada'!$E$7:$E$3000))))</f>
        <v/>
      </c>
      <c r="BK106" s="32" t="str">
        <f>+IF(BK$3="","",IF($AY106="","",IFERROR(INDEX('Data Consolidada'!$E$7:$E$891,MATCH(CONCATENATE(BK$3,"-",$CP106,"-",$AY106),'Data Consolidada'!$K$7:$K$891,0)),MAX('Data Consolidada'!$E$7:$E$3000))))</f>
        <v/>
      </c>
      <c r="BL106" s="32" t="str">
        <f>+IF(BL$3="","",IF($AY106="","",IFERROR(INDEX('Data Consolidada'!$E$7:$E$891,MATCH(CONCATENATE(BL$3,"-",$CP106,"-",$AY106),'Data Consolidada'!$K$7:$K$891,0)),MAX('Data Consolidada'!$E$7:$E$3000))))</f>
        <v/>
      </c>
      <c r="BM106" s="32" t="str">
        <f>+IF(BM$3="","",IF($AY106="","",IFERROR(INDEX('Data Consolidada'!$E$7:$E$891,MATCH(CONCATENATE(BM$3,"-",$CP106,"-",$AY106),'Data Consolidada'!$K$7:$K$891,0)),MAX('Data Consolidada'!$E$7:$E$3000))))</f>
        <v/>
      </c>
      <c r="BN106" s="32" t="str">
        <f>+IF(BN$3="","",IF($AY106="","",IFERROR(INDEX('Data Consolidada'!$E$7:$E$891,MATCH(CONCATENATE(BN$3,"-",$CP106,"-",$AY106),'Data Consolidada'!$K$7:$K$891,0)),MAX('Data Consolidada'!$E$7:$E$3000))))</f>
        <v/>
      </c>
      <c r="BO106" s="32" t="str">
        <f>+IF(BO$3="","",IF($AY106="","",IFERROR(INDEX('Data Consolidada'!$E$7:$E$891,MATCH(CONCATENATE(BO$3,"-",$CP106,"-",$AY106),'Data Consolidada'!$K$7:$K$891,0)),MAX('Data Consolidada'!$E$7:$E$3000))))</f>
        <v/>
      </c>
      <c r="BP106" s="32" t="str">
        <f>+IF(BP$3="","",IF($AY106="","",IFERROR(INDEX('Data Consolidada'!$E$7:$E$891,MATCH(CONCATENATE(BP$3,"-",$CP106,"-",$AY106),'Data Consolidada'!$K$7:$K$891,0)),MAX('Data Consolidada'!$E$7:$E$3000))))</f>
        <v/>
      </c>
      <c r="BQ106" s="32" t="str">
        <f>+IF(BQ$3="","",IF($AY106="","",IFERROR(INDEX('Data Consolidada'!$E$7:$E$891,MATCH(CONCATENATE(BQ$3,"-",$CP106,"-",$AY106),'Data Consolidada'!$K$7:$K$891,0)),MAX('Data Consolidada'!$E$7:$E$3000))))</f>
        <v/>
      </c>
      <c r="BR106" s="32" t="str">
        <f>+IF(BR$3="","",IF($AY106="","",IFERROR(INDEX('Data Consolidada'!$E$7:$E$891,MATCH(CONCATENATE(BR$3,"-",$CP106,"-",$AY106),'Data Consolidada'!$K$7:$K$891,0)),MAX('Data Consolidada'!$E$7:$E$3000))))</f>
        <v/>
      </c>
      <c r="BS106" s="32" t="str">
        <f>+IF(BS$3="","",IF($AY106="","",IFERROR(INDEX('Data Consolidada'!$E$7:$E$891,MATCH(CONCATENATE(BS$3,"-",$CP106,"-",$AY106),'Data Consolidada'!$K$7:$K$891,0)),MAX('Data Consolidada'!$E$7:$E$3000))))</f>
        <v/>
      </c>
      <c r="BT106" s="32" t="str">
        <f>+IF(BT$3="","",IF($AY106="","",IFERROR(INDEX('Data Consolidada'!$E$7:$E$891,MATCH(CONCATENATE(BT$3,"-",$CP106,"-",$AY106),'Data Consolidada'!$K$7:$K$891,0)),MAX('Data Consolidada'!$E$7:$E$3000))))</f>
        <v/>
      </c>
      <c r="BU106" s="32" t="str">
        <f>+IF(BU$3="","",IF($AY106="","",IFERROR(INDEX('Data Consolidada'!$E$7:$E$891,MATCH(CONCATENATE(BU$3,"-",$CP106,"-",$AY106),'Data Consolidada'!$K$7:$K$891,0)),MAX('Data Consolidada'!$E$7:$E$3000))))</f>
        <v/>
      </c>
      <c r="BV106" s="32" t="str">
        <f>+IF(BV$3="","",IF($AY106="","",IFERROR(INDEX('Data Consolidada'!$E$7:$E$891,MATCH(CONCATENATE(BV$3,"-",$CP106,"-",$AY106),'Data Consolidada'!$K$7:$K$891,0)),MAX('Data Consolidada'!$E$7:$E$3000))))</f>
        <v/>
      </c>
      <c r="BW106" s="32" t="str">
        <f>+IF(BW$3="","",IF($AY106="","",IFERROR(INDEX('Data Consolidada'!$E$7:$E$891,MATCH(CONCATENATE(BW$3,"-",$CP106,"-",$AY106),'Data Consolidada'!$K$7:$K$891,0)),MAX('Data Consolidada'!$E$7:$E$3000))))</f>
        <v/>
      </c>
      <c r="BX106" s="32" t="str">
        <f>+IF(BX$3="","",IF($AY106="","",IFERROR(INDEX('Data Consolidada'!$E$7:$E$891,MATCH(CONCATENATE(BX$3,"-",$CP106,"-",$AY106),'Data Consolidada'!$K$7:$K$891,0)),MAX('Data Consolidada'!$E$7:$E$3000))))</f>
        <v/>
      </c>
      <c r="BY106" s="32" t="str">
        <f>+IF(BY$3="","",IF($AY106="","",IFERROR(INDEX('Data Consolidada'!$E$7:$E$891,MATCH(CONCATENATE(BY$3,"-",$CP106,"-",$AY106),'Data Consolidada'!$K$7:$K$891,0)),MAX('Data Consolidada'!$E$7:$E$3000))))</f>
        <v/>
      </c>
      <c r="BZ106" s="32" t="str">
        <f>+IF(BZ$3="","",IF($AY106="","",IFERROR(INDEX('Data Consolidada'!$E$7:$E$891,MATCH(CONCATENATE(BZ$3,"-",$CP106,"-",$AY106),'Data Consolidada'!$K$7:$K$891,0)),MAX('Data Consolidada'!$E$7:$E$3000))))</f>
        <v/>
      </c>
      <c r="CA106" s="32" t="str">
        <f>+IF(CA$3="","",IF($AY106="","",IFERROR(INDEX('Data Consolidada'!$E$7:$E$891,MATCH(CONCATENATE(CA$3,"-",$CP106,"-",$AY106),'Data Consolidada'!$K$7:$K$891,0)),MAX('Data Consolidada'!$E$7:$E$3000))))</f>
        <v/>
      </c>
      <c r="CB106" s="32" t="str">
        <f>+IF(CB$3="","",IF($AY106="","",IFERROR(INDEX('Data Consolidada'!$E$7:$E$891,MATCH(CONCATENATE(CB$3,"-",$CP106,"-",$AY106),'Data Consolidada'!$K$7:$K$891,0)),MAX('Data Consolidada'!$E$7:$E$3000))))</f>
        <v/>
      </c>
      <c r="CC106" s="32" t="str">
        <f>+IF(CC$3="","",IF($AY106="","",IFERROR(INDEX('Data Consolidada'!$E$7:$E$891,MATCH(CONCATENATE(CC$3,"-",$CP106,"-",$AY106),'Data Consolidada'!$K$7:$K$891,0)),MAX('Data Consolidada'!$E$7:$E$3000))))</f>
        <v/>
      </c>
      <c r="CD106" s="32" t="str">
        <f>+IF(CD$3="","",IF($AY106="","",IFERROR(INDEX('Data Consolidada'!$E$7:$E$891,MATCH(CONCATENATE(CD$3,"-",$CP106,"-",$AY106),'Data Consolidada'!$K$7:$K$891,0)),MAX('Data Consolidada'!$E$7:$E$3000))))</f>
        <v/>
      </c>
      <c r="CE106" s="32" t="str">
        <f>+IF(CE$3="","",IF($AY106="","",IFERROR(INDEX('Data Consolidada'!$E$7:$E$891,MATCH(CONCATENATE(CE$3,"-",$CP106,"-",$AY106),'Data Consolidada'!$K$7:$K$891,0)),MAX('Data Consolidada'!$E$7:$E$3000))))</f>
        <v/>
      </c>
      <c r="CF106" s="32" t="str">
        <f>+IF(CF$3="","",IF($AY106="","",IFERROR(INDEX('Data Consolidada'!$E$7:$E$891,MATCH(CONCATENATE(CF$3,"-",$CP106,"-",$AY106),'Data Consolidada'!$K$7:$K$891,0)),MAX('Data Consolidada'!$E$7:$E$3000))))</f>
        <v/>
      </c>
      <c r="CG106" s="32" t="str">
        <f>+IF(CG$3="","",IF($AY106="","",IFERROR(INDEX('Data Consolidada'!$E$7:$E$891,MATCH(CONCATENATE(CG$3,"-",$CP106,"-",$AY106),'Data Consolidada'!$K$7:$K$891,0)),MAX('Data Consolidada'!$E$7:$E$3000))))</f>
        <v/>
      </c>
      <c r="CH106" s="32" t="str">
        <f>+IF(CH$3="","",IF($AY106="","",IFERROR(INDEX('Data Consolidada'!$E$7:$E$891,MATCH(CONCATENATE(CH$3,"-",$CP106,"-",$AY106),'Data Consolidada'!$K$7:$K$891,0)),MAX('Data Consolidada'!$E$7:$E$3000))))</f>
        <v/>
      </c>
      <c r="CI106" s="32" t="str">
        <f>+IF(CI$3="","",IF($AY106="","",IFERROR(INDEX('Data Consolidada'!$E$7:$E$891,MATCH(CONCATENATE(CI$3,"-",$CP106,"-",$AY106),'Data Consolidada'!$K$7:$K$891,0)),MAX('Data Consolidada'!$E$7:$E$3000))))</f>
        <v/>
      </c>
      <c r="CJ106" s="32" t="str">
        <f>+IF(CJ$3="","",IF($AY106="","",IFERROR(INDEX('Data Consolidada'!$E$7:$E$891,MATCH(CONCATENATE(CJ$3,"-",$CP106,"-",$AY106),'Data Consolidada'!$K$7:$K$891,0)),MAX('Data Consolidada'!$E$7:$E$3000))))</f>
        <v/>
      </c>
      <c r="CK106" s="32" t="str">
        <f>+IF(CK$3="","",IF($AY106="","",IFERROR(INDEX('Data Consolidada'!$E$7:$E$891,MATCH(CONCATENATE(CK$3,"-",$CP106,"-",$AY106),'Data Consolidada'!$K$7:$K$891,0)),MAX('Data Consolidada'!$E$7:$E$3000))))</f>
        <v/>
      </c>
      <c r="CL106" s="32" t="str">
        <f>+IF(CL$3="","",IF($AY106="","",IFERROR(INDEX('Data Consolidada'!$E$7:$E$891,MATCH(CONCATENATE(CL$3,"-",$CP106,"-",$AY106),'Data Consolidada'!$K$7:$K$891,0)),MAX('Data Consolidada'!$E$7:$E$3000))))</f>
        <v/>
      </c>
      <c r="CM106" s="32" t="str">
        <f>+IF(CM$3="","",IF($AY106="","",IFERROR(INDEX('Data Consolidada'!$E$7:$E$891,MATCH(CONCATENATE(CM$3,"-",$CP106,"-",$AY106),'Data Consolidada'!$K$7:$K$891,0)),MAX('Data Consolidada'!$E$7:$E$3000))))</f>
        <v/>
      </c>
      <c r="CN106" s="32" t="str">
        <f>+IF(CN$3="","",IF($AY106="","",IFERROR(INDEX('Data Consolidada'!$E$7:$E$891,MATCH(CONCATENATE(CN$3,"-",$CP106,"-",$AY106),'Data Consolidada'!$K$7:$K$891,0)),MAX('Data Consolidada'!$E$7:$E$3000))))</f>
        <v/>
      </c>
      <c r="CO106" s="37" t="str">
        <f>+IF(CO$3="","",IF($AY106="","",IFERROR(INDEX('Data Consolidada'!$E$7:$E$891,MATCH(CONCATENATE(CO$3,"-",$CP106,"-",$AY106),'Data Consolidada'!$K$7:$K$891,0)),MAX('Data Consolidada'!$E$7:$E$3000))))</f>
        <v/>
      </c>
      <c r="CP106" s="224">
        <f t="shared" ca="1" si="45"/>
        <v>0</v>
      </c>
      <c r="CQ106" s="84" t="str">
        <f t="shared" ca="1" si="39"/>
        <v>TRANS. MAX SOTO G. E.I.R.L.0</v>
      </c>
    </row>
    <row r="107" spans="2:95" ht="15" customHeight="1" x14ac:dyDescent="0.35">
      <c r="B107" s="218" t="str">
        <f t="shared" ca="1" si="41"/>
        <v>TRAIDILL</v>
      </c>
      <c r="C107" s="238">
        <v>0</v>
      </c>
      <c r="D107" s="239">
        <v>0</v>
      </c>
      <c r="E107" s="239">
        <v>0</v>
      </c>
      <c r="F107" s="239">
        <v>0</v>
      </c>
      <c r="G107" s="239">
        <v>0</v>
      </c>
      <c r="H107" s="239">
        <v>0</v>
      </c>
      <c r="I107" s="239">
        <v>0</v>
      </c>
      <c r="J107" s="239">
        <v>0</v>
      </c>
      <c r="K107" s="239">
        <v>0</v>
      </c>
      <c r="L107" s="239">
        <v>0</v>
      </c>
      <c r="M107" s="239">
        <v>0</v>
      </c>
      <c r="N107" s="240">
        <v>0</v>
      </c>
      <c r="O107" s="239">
        <v>0</v>
      </c>
      <c r="P107" s="239">
        <v>0</v>
      </c>
      <c r="Q107" s="239">
        <v>0</v>
      </c>
      <c r="R107" s="239">
        <v>0</v>
      </c>
      <c r="S107" s="239">
        <v>0</v>
      </c>
      <c r="T107" s="239">
        <v>0</v>
      </c>
      <c r="U107" s="239">
        <v>0</v>
      </c>
      <c r="V107" s="239">
        <v>0</v>
      </c>
      <c r="W107" s="239">
        <v>0</v>
      </c>
      <c r="X107" s="239">
        <v>0</v>
      </c>
      <c r="Y107" s="239">
        <v>0</v>
      </c>
      <c r="Z107" s="239"/>
      <c r="AA107" s="239"/>
      <c r="AB107" s="239"/>
      <c r="AC107" s="239"/>
      <c r="AD107" s="239"/>
      <c r="AE107" s="239"/>
      <c r="AF107" s="239"/>
      <c r="AG107" s="239"/>
      <c r="AH107" s="239"/>
      <c r="AI107" s="239"/>
      <c r="AJ107" s="239"/>
      <c r="AK107" s="239"/>
      <c r="AL107" s="239"/>
      <c r="AM107" s="239"/>
      <c r="AN107" s="239"/>
      <c r="AO107" s="239"/>
      <c r="AP107" s="239"/>
      <c r="AQ107" s="239"/>
      <c r="AR107" s="252"/>
      <c r="AS107" s="77">
        <f t="shared" ca="1" si="42"/>
        <v>0</v>
      </c>
      <c r="AT107" s="255">
        <f t="shared" si="43"/>
        <v>0</v>
      </c>
      <c r="AU107" s="51"/>
      <c r="AV107" s="51"/>
      <c r="AW107" s="13">
        <f>+IF(AX107="","",IF(AX107&gt;AX106,AW106,IF(AW106&lt;$D$69,AW106+1,IF(COUNT(AW$4:AW106)&lt;$B$69*$E$54,1,""))))</f>
        <v>8</v>
      </c>
      <c r="AX107" s="13">
        <f>+IF(AX106&lt;$B$69,AX106+1,IF(COUNT(AX$4:AX106)&lt;$B$69*$D$69,1,""))</f>
        <v>13</v>
      </c>
      <c r="AY107" s="189" t="str">
        <f t="shared" ca="1" si="44"/>
        <v>TRANS. MITRE SPA.</v>
      </c>
      <c r="AZ107" s="36">
        <f ca="1">+IF(AZ$3="","",IF($AY107="","",IFERROR(INDEX('Data Consolidada'!$E$7:$E$891,MATCH(CONCATENATE(AZ$3,"-",$CP107,"-",$AY107),'Data Consolidada'!$K$7:$K$891,0)),MAX('Data Consolidada'!$E$7:$E$3000))))</f>
        <v>11000000</v>
      </c>
      <c r="BA107" s="32">
        <f ca="1">+IF(BA$3="","",IF($AY107="","",IFERROR(INDEX('Data Consolidada'!$E$7:$E$891,MATCH(CONCATENATE(BA$3,"-",$CP107,"-",$AY107),'Data Consolidada'!$K$7:$K$891,0)),MAX('Data Consolidada'!$E$7:$E$3000))))</f>
        <v>11000000</v>
      </c>
      <c r="BB107" s="32" t="str">
        <f>+IF(BB$3="","",IF($AY107="","",IFERROR(INDEX('Data Consolidada'!$E$7:$E$891,MATCH(CONCATENATE(BB$3,"-",$CP107,"-",$AY107),'Data Consolidada'!$K$7:$K$891,0)),MAX('Data Consolidada'!$E$7:$E$3000))))</f>
        <v/>
      </c>
      <c r="BC107" s="32" t="str">
        <f>+IF(BC$3="","",IF($AY107="","",IFERROR(INDEX('Data Consolidada'!$E$7:$E$891,MATCH(CONCATENATE(BC$3,"-",$CP107,"-",$AY107),'Data Consolidada'!$K$7:$K$891,0)),MAX('Data Consolidada'!$E$7:$E$3000))))</f>
        <v/>
      </c>
      <c r="BD107" s="32" t="str">
        <f>+IF(BD$3="","",IF($AY107="","",IFERROR(INDEX('Data Consolidada'!$E$7:$E$891,MATCH(CONCATENATE(BD$3,"-",$CP107,"-",$AY107),'Data Consolidada'!$K$7:$K$891,0)),MAX('Data Consolidada'!$E$7:$E$3000))))</f>
        <v/>
      </c>
      <c r="BE107" s="32" t="str">
        <f>+IF(BE$3="","",IF($AY107="","",IFERROR(INDEX('Data Consolidada'!$E$7:$E$891,MATCH(CONCATENATE(BE$3,"-",$CP107,"-",$AY107),'Data Consolidada'!$K$7:$K$891,0)),MAX('Data Consolidada'!$E$7:$E$3000))))</f>
        <v/>
      </c>
      <c r="BF107" s="32" t="str">
        <f>+IF(BF$3="","",IF($AY107="","",IFERROR(INDEX('Data Consolidada'!$E$7:$E$891,MATCH(CONCATENATE(BF$3,"-",$CP107,"-",$AY107),'Data Consolidada'!$K$7:$K$891,0)),MAX('Data Consolidada'!$E$7:$E$3000))))</f>
        <v/>
      </c>
      <c r="BG107" s="32" t="str">
        <f>+IF(BG$3="","",IF($AY107="","",IFERROR(INDEX('Data Consolidada'!$E$7:$E$891,MATCH(CONCATENATE(BG$3,"-",$CP107,"-",$AY107),'Data Consolidada'!$K$7:$K$891,0)),MAX('Data Consolidada'!$E$7:$E$3000))))</f>
        <v/>
      </c>
      <c r="BH107" s="32" t="str">
        <f>+IF(BH$3="","",IF($AY107="","",IFERROR(INDEX('Data Consolidada'!$E$7:$E$891,MATCH(CONCATENATE(BH$3,"-",$CP107,"-",$AY107),'Data Consolidada'!$K$7:$K$891,0)),MAX('Data Consolidada'!$E$7:$E$3000))))</f>
        <v/>
      </c>
      <c r="BI107" s="32" t="str">
        <f>+IF(BI$3="","",IF($AY107="","",IFERROR(INDEX('Data Consolidada'!$E$7:$E$891,MATCH(CONCATENATE(BI$3,"-",$CP107,"-",$AY107),'Data Consolidada'!$K$7:$K$891,0)),MAX('Data Consolidada'!$E$7:$E$3000))))</f>
        <v/>
      </c>
      <c r="BJ107" s="32" t="str">
        <f>+IF(BJ$3="","",IF($AY107="","",IFERROR(INDEX('Data Consolidada'!$E$7:$E$891,MATCH(CONCATENATE(BJ$3,"-",$CP107,"-",$AY107),'Data Consolidada'!$K$7:$K$891,0)),MAX('Data Consolidada'!$E$7:$E$3000))))</f>
        <v/>
      </c>
      <c r="BK107" s="32" t="str">
        <f>+IF(BK$3="","",IF($AY107="","",IFERROR(INDEX('Data Consolidada'!$E$7:$E$891,MATCH(CONCATENATE(BK$3,"-",$CP107,"-",$AY107),'Data Consolidada'!$K$7:$K$891,0)),MAX('Data Consolidada'!$E$7:$E$3000))))</f>
        <v/>
      </c>
      <c r="BL107" s="32" t="str">
        <f>+IF(BL$3="","",IF($AY107="","",IFERROR(INDEX('Data Consolidada'!$E$7:$E$891,MATCH(CONCATENATE(BL$3,"-",$CP107,"-",$AY107),'Data Consolidada'!$K$7:$K$891,0)),MAX('Data Consolidada'!$E$7:$E$3000))))</f>
        <v/>
      </c>
      <c r="BM107" s="32" t="str">
        <f>+IF(BM$3="","",IF($AY107="","",IFERROR(INDEX('Data Consolidada'!$E$7:$E$891,MATCH(CONCATENATE(BM$3,"-",$CP107,"-",$AY107),'Data Consolidada'!$K$7:$K$891,0)),MAX('Data Consolidada'!$E$7:$E$3000))))</f>
        <v/>
      </c>
      <c r="BN107" s="32" t="str">
        <f>+IF(BN$3="","",IF($AY107="","",IFERROR(INDEX('Data Consolidada'!$E$7:$E$891,MATCH(CONCATENATE(BN$3,"-",$CP107,"-",$AY107),'Data Consolidada'!$K$7:$K$891,0)),MAX('Data Consolidada'!$E$7:$E$3000))))</f>
        <v/>
      </c>
      <c r="BO107" s="32" t="str">
        <f>+IF(BO$3="","",IF($AY107="","",IFERROR(INDEX('Data Consolidada'!$E$7:$E$891,MATCH(CONCATENATE(BO$3,"-",$CP107,"-",$AY107),'Data Consolidada'!$K$7:$K$891,0)),MAX('Data Consolidada'!$E$7:$E$3000))))</f>
        <v/>
      </c>
      <c r="BP107" s="32" t="str">
        <f>+IF(BP$3="","",IF($AY107="","",IFERROR(INDEX('Data Consolidada'!$E$7:$E$891,MATCH(CONCATENATE(BP$3,"-",$CP107,"-",$AY107),'Data Consolidada'!$K$7:$K$891,0)),MAX('Data Consolidada'!$E$7:$E$3000))))</f>
        <v/>
      </c>
      <c r="BQ107" s="32" t="str">
        <f>+IF(BQ$3="","",IF($AY107="","",IFERROR(INDEX('Data Consolidada'!$E$7:$E$891,MATCH(CONCATENATE(BQ$3,"-",$CP107,"-",$AY107),'Data Consolidada'!$K$7:$K$891,0)),MAX('Data Consolidada'!$E$7:$E$3000))))</f>
        <v/>
      </c>
      <c r="BR107" s="32" t="str">
        <f>+IF(BR$3="","",IF($AY107="","",IFERROR(INDEX('Data Consolidada'!$E$7:$E$891,MATCH(CONCATENATE(BR$3,"-",$CP107,"-",$AY107),'Data Consolidada'!$K$7:$K$891,0)),MAX('Data Consolidada'!$E$7:$E$3000))))</f>
        <v/>
      </c>
      <c r="BS107" s="32" t="str">
        <f>+IF(BS$3="","",IF($AY107="","",IFERROR(INDEX('Data Consolidada'!$E$7:$E$891,MATCH(CONCATENATE(BS$3,"-",$CP107,"-",$AY107),'Data Consolidada'!$K$7:$K$891,0)),MAX('Data Consolidada'!$E$7:$E$3000))))</f>
        <v/>
      </c>
      <c r="BT107" s="32" t="str">
        <f>+IF(BT$3="","",IF($AY107="","",IFERROR(INDEX('Data Consolidada'!$E$7:$E$891,MATCH(CONCATENATE(BT$3,"-",$CP107,"-",$AY107),'Data Consolidada'!$K$7:$K$891,0)),MAX('Data Consolidada'!$E$7:$E$3000))))</f>
        <v/>
      </c>
      <c r="BU107" s="32" t="str">
        <f>+IF(BU$3="","",IF($AY107="","",IFERROR(INDEX('Data Consolidada'!$E$7:$E$891,MATCH(CONCATENATE(BU$3,"-",$CP107,"-",$AY107),'Data Consolidada'!$K$7:$K$891,0)),MAX('Data Consolidada'!$E$7:$E$3000))))</f>
        <v/>
      </c>
      <c r="BV107" s="32" t="str">
        <f>+IF(BV$3="","",IF($AY107="","",IFERROR(INDEX('Data Consolidada'!$E$7:$E$891,MATCH(CONCATENATE(BV$3,"-",$CP107,"-",$AY107),'Data Consolidada'!$K$7:$K$891,0)),MAX('Data Consolidada'!$E$7:$E$3000))))</f>
        <v/>
      </c>
      <c r="BW107" s="32" t="str">
        <f>+IF(BW$3="","",IF($AY107="","",IFERROR(INDEX('Data Consolidada'!$E$7:$E$891,MATCH(CONCATENATE(BW$3,"-",$CP107,"-",$AY107),'Data Consolidada'!$K$7:$K$891,0)),MAX('Data Consolidada'!$E$7:$E$3000))))</f>
        <v/>
      </c>
      <c r="BX107" s="32" t="str">
        <f>+IF(BX$3="","",IF($AY107="","",IFERROR(INDEX('Data Consolidada'!$E$7:$E$891,MATCH(CONCATENATE(BX$3,"-",$CP107,"-",$AY107),'Data Consolidada'!$K$7:$K$891,0)),MAX('Data Consolidada'!$E$7:$E$3000))))</f>
        <v/>
      </c>
      <c r="BY107" s="32" t="str">
        <f>+IF(BY$3="","",IF($AY107="","",IFERROR(INDEX('Data Consolidada'!$E$7:$E$891,MATCH(CONCATENATE(BY$3,"-",$CP107,"-",$AY107),'Data Consolidada'!$K$7:$K$891,0)),MAX('Data Consolidada'!$E$7:$E$3000))))</f>
        <v/>
      </c>
      <c r="BZ107" s="32" t="str">
        <f>+IF(BZ$3="","",IF($AY107="","",IFERROR(INDEX('Data Consolidada'!$E$7:$E$891,MATCH(CONCATENATE(BZ$3,"-",$CP107,"-",$AY107),'Data Consolidada'!$K$7:$K$891,0)),MAX('Data Consolidada'!$E$7:$E$3000))))</f>
        <v/>
      </c>
      <c r="CA107" s="32" t="str">
        <f>+IF(CA$3="","",IF($AY107="","",IFERROR(INDEX('Data Consolidada'!$E$7:$E$891,MATCH(CONCATENATE(CA$3,"-",$CP107,"-",$AY107),'Data Consolidada'!$K$7:$K$891,0)),MAX('Data Consolidada'!$E$7:$E$3000))))</f>
        <v/>
      </c>
      <c r="CB107" s="32" t="str">
        <f>+IF(CB$3="","",IF($AY107="","",IFERROR(INDEX('Data Consolidada'!$E$7:$E$891,MATCH(CONCATENATE(CB$3,"-",$CP107,"-",$AY107),'Data Consolidada'!$K$7:$K$891,0)),MAX('Data Consolidada'!$E$7:$E$3000))))</f>
        <v/>
      </c>
      <c r="CC107" s="32" t="str">
        <f>+IF(CC$3="","",IF($AY107="","",IFERROR(INDEX('Data Consolidada'!$E$7:$E$891,MATCH(CONCATENATE(CC$3,"-",$CP107,"-",$AY107),'Data Consolidada'!$K$7:$K$891,0)),MAX('Data Consolidada'!$E$7:$E$3000))))</f>
        <v/>
      </c>
      <c r="CD107" s="32" t="str">
        <f>+IF(CD$3="","",IF($AY107="","",IFERROR(INDEX('Data Consolidada'!$E$7:$E$891,MATCH(CONCATENATE(CD$3,"-",$CP107,"-",$AY107),'Data Consolidada'!$K$7:$K$891,0)),MAX('Data Consolidada'!$E$7:$E$3000))))</f>
        <v/>
      </c>
      <c r="CE107" s="32" t="str">
        <f>+IF(CE$3="","",IF($AY107="","",IFERROR(INDEX('Data Consolidada'!$E$7:$E$891,MATCH(CONCATENATE(CE$3,"-",$CP107,"-",$AY107),'Data Consolidada'!$K$7:$K$891,0)),MAX('Data Consolidada'!$E$7:$E$3000))))</f>
        <v/>
      </c>
      <c r="CF107" s="32" t="str">
        <f>+IF(CF$3="","",IF($AY107="","",IFERROR(INDEX('Data Consolidada'!$E$7:$E$891,MATCH(CONCATENATE(CF$3,"-",$CP107,"-",$AY107),'Data Consolidada'!$K$7:$K$891,0)),MAX('Data Consolidada'!$E$7:$E$3000))))</f>
        <v/>
      </c>
      <c r="CG107" s="32" t="str">
        <f>+IF(CG$3="","",IF($AY107="","",IFERROR(INDEX('Data Consolidada'!$E$7:$E$891,MATCH(CONCATENATE(CG$3,"-",$CP107,"-",$AY107),'Data Consolidada'!$K$7:$K$891,0)),MAX('Data Consolidada'!$E$7:$E$3000))))</f>
        <v/>
      </c>
      <c r="CH107" s="32" t="str">
        <f>+IF(CH$3="","",IF($AY107="","",IFERROR(INDEX('Data Consolidada'!$E$7:$E$891,MATCH(CONCATENATE(CH$3,"-",$CP107,"-",$AY107),'Data Consolidada'!$K$7:$K$891,0)),MAX('Data Consolidada'!$E$7:$E$3000))))</f>
        <v/>
      </c>
      <c r="CI107" s="32" t="str">
        <f>+IF(CI$3="","",IF($AY107="","",IFERROR(INDEX('Data Consolidada'!$E$7:$E$891,MATCH(CONCATENATE(CI$3,"-",$CP107,"-",$AY107),'Data Consolidada'!$K$7:$K$891,0)),MAX('Data Consolidada'!$E$7:$E$3000))))</f>
        <v/>
      </c>
      <c r="CJ107" s="32" t="str">
        <f>+IF(CJ$3="","",IF($AY107="","",IFERROR(INDEX('Data Consolidada'!$E$7:$E$891,MATCH(CONCATENATE(CJ$3,"-",$CP107,"-",$AY107),'Data Consolidada'!$K$7:$K$891,0)),MAX('Data Consolidada'!$E$7:$E$3000))))</f>
        <v/>
      </c>
      <c r="CK107" s="32" t="str">
        <f>+IF(CK$3="","",IF($AY107="","",IFERROR(INDEX('Data Consolidada'!$E$7:$E$891,MATCH(CONCATENATE(CK$3,"-",$CP107,"-",$AY107),'Data Consolidada'!$K$7:$K$891,0)),MAX('Data Consolidada'!$E$7:$E$3000))))</f>
        <v/>
      </c>
      <c r="CL107" s="32" t="str">
        <f>+IF(CL$3="","",IF($AY107="","",IFERROR(INDEX('Data Consolidada'!$E$7:$E$891,MATCH(CONCATENATE(CL$3,"-",$CP107,"-",$AY107),'Data Consolidada'!$K$7:$K$891,0)),MAX('Data Consolidada'!$E$7:$E$3000))))</f>
        <v/>
      </c>
      <c r="CM107" s="32" t="str">
        <f>+IF(CM$3="","",IF($AY107="","",IFERROR(INDEX('Data Consolidada'!$E$7:$E$891,MATCH(CONCATENATE(CM$3,"-",$CP107,"-",$AY107),'Data Consolidada'!$K$7:$K$891,0)),MAX('Data Consolidada'!$E$7:$E$3000))))</f>
        <v/>
      </c>
      <c r="CN107" s="32" t="str">
        <f>+IF(CN$3="","",IF($AY107="","",IFERROR(INDEX('Data Consolidada'!$E$7:$E$891,MATCH(CONCATENATE(CN$3,"-",$CP107,"-",$AY107),'Data Consolidada'!$K$7:$K$891,0)),MAX('Data Consolidada'!$E$7:$E$3000))))</f>
        <v/>
      </c>
      <c r="CO107" s="37" t="str">
        <f>+IF(CO$3="","",IF($AY107="","",IFERROR(INDEX('Data Consolidada'!$E$7:$E$891,MATCH(CONCATENATE(CO$3,"-",$CP107,"-",$AY107),'Data Consolidada'!$K$7:$K$891,0)),MAX('Data Consolidada'!$E$7:$E$3000))))</f>
        <v/>
      </c>
      <c r="CP107" s="224">
        <f t="shared" ca="1" si="45"/>
        <v>0</v>
      </c>
      <c r="CQ107" s="84" t="str">
        <f t="shared" ca="1" si="39"/>
        <v>TRANS. MITRE SPA.0</v>
      </c>
    </row>
    <row r="108" spans="2:95" ht="15" customHeight="1" x14ac:dyDescent="0.35">
      <c r="B108" s="218" t="str">
        <f t="shared" ca="1" si="41"/>
        <v>TRANS. ALMENDRAL</v>
      </c>
      <c r="C108" s="238">
        <v>0</v>
      </c>
      <c r="D108" s="239">
        <v>0</v>
      </c>
      <c r="E108" s="239">
        <v>0</v>
      </c>
      <c r="F108" s="239">
        <v>0</v>
      </c>
      <c r="G108" s="239">
        <v>0</v>
      </c>
      <c r="H108" s="239">
        <v>0</v>
      </c>
      <c r="I108" s="239">
        <v>0</v>
      </c>
      <c r="J108" s="239">
        <v>0</v>
      </c>
      <c r="K108" s="239">
        <v>0</v>
      </c>
      <c r="L108" s="239">
        <v>0</v>
      </c>
      <c r="M108" s="239">
        <v>0</v>
      </c>
      <c r="N108" s="240">
        <v>0</v>
      </c>
      <c r="O108" s="239">
        <v>0</v>
      </c>
      <c r="P108" s="239">
        <v>0</v>
      </c>
      <c r="Q108" s="239">
        <v>0</v>
      </c>
      <c r="R108" s="239">
        <v>0</v>
      </c>
      <c r="S108" s="239">
        <v>0</v>
      </c>
      <c r="T108" s="239">
        <v>0</v>
      </c>
      <c r="U108" s="239">
        <v>0</v>
      </c>
      <c r="V108" s="239">
        <v>0</v>
      </c>
      <c r="W108" s="239">
        <v>0</v>
      </c>
      <c r="X108" s="239">
        <v>0</v>
      </c>
      <c r="Y108" s="239">
        <v>0</v>
      </c>
      <c r="Z108" s="239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  <c r="AK108" s="239"/>
      <c r="AL108" s="239"/>
      <c r="AM108" s="239"/>
      <c r="AN108" s="239"/>
      <c r="AO108" s="239"/>
      <c r="AP108" s="239"/>
      <c r="AQ108" s="239"/>
      <c r="AR108" s="252"/>
      <c r="AS108" s="77">
        <f t="shared" ca="1" si="42"/>
        <v>0</v>
      </c>
      <c r="AT108" s="255">
        <f t="shared" si="43"/>
        <v>0</v>
      </c>
      <c r="AU108" s="51"/>
      <c r="AV108" s="51"/>
      <c r="AW108" s="13">
        <f>+IF(AX108="","",IF(AX108&gt;AX107,AW107,IF(AW107&lt;$D$69,AW107+1,IF(COUNT(AW$4:AW107)&lt;$B$69*$E$54,1,""))))</f>
        <v>9</v>
      </c>
      <c r="AX108" s="13">
        <f>+IF(AX107&lt;$B$69,AX107+1,IF(COUNT(AX$4:AX107)&lt;$B$69*$D$69,1,""))</f>
        <v>1</v>
      </c>
      <c r="AY108" s="189" t="str">
        <f t="shared" ca="1" si="44"/>
        <v xml:space="preserve">  TRANS. MORROS LTDA.</v>
      </c>
      <c r="AZ108" s="36">
        <f ca="1">+IF(AZ$3="","",IF($AY108="","",IFERROR(INDEX('Data Consolidada'!$E$7:$E$891,MATCH(CONCATENATE(AZ$3,"-",$CP108,"-",$AY108),'Data Consolidada'!$K$7:$K$891,0)),MAX('Data Consolidada'!$E$7:$E$3000))))</f>
        <v>11000000</v>
      </c>
      <c r="BA108" s="32">
        <f ca="1">+IF(BA$3="","",IF($AY108="","",IFERROR(INDEX('Data Consolidada'!$E$7:$E$891,MATCH(CONCATENATE(BA$3,"-",$CP108,"-",$AY108),'Data Consolidada'!$K$7:$K$891,0)),MAX('Data Consolidada'!$E$7:$E$3000))))</f>
        <v>11000000</v>
      </c>
      <c r="BB108" s="32" t="str">
        <f>+IF(BB$3="","",IF($AY108="","",IFERROR(INDEX('Data Consolidada'!$E$7:$E$891,MATCH(CONCATENATE(BB$3,"-",$CP108,"-",$AY108),'Data Consolidada'!$K$7:$K$891,0)),MAX('Data Consolidada'!$E$7:$E$3000))))</f>
        <v/>
      </c>
      <c r="BC108" s="32" t="str">
        <f>+IF(BC$3="","",IF($AY108="","",IFERROR(INDEX('Data Consolidada'!$E$7:$E$891,MATCH(CONCATENATE(BC$3,"-",$CP108,"-",$AY108),'Data Consolidada'!$K$7:$K$891,0)),MAX('Data Consolidada'!$E$7:$E$3000))))</f>
        <v/>
      </c>
      <c r="BD108" s="32" t="str">
        <f>+IF(BD$3="","",IF($AY108="","",IFERROR(INDEX('Data Consolidada'!$E$7:$E$891,MATCH(CONCATENATE(BD$3,"-",$CP108,"-",$AY108),'Data Consolidada'!$K$7:$K$891,0)),MAX('Data Consolidada'!$E$7:$E$3000))))</f>
        <v/>
      </c>
      <c r="BE108" s="32" t="str">
        <f>+IF(BE$3="","",IF($AY108="","",IFERROR(INDEX('Data Consolidada'!$E$7:$E$891,MATCH(CONCATENATE(BE$3,"-",$CP108,"-",$AY108),'Data Consolidada'!$K$7:$K$891,0)),MAX('Data Consolidada'!$E$7:$E$3000))))</f>
        <v/>
      </c>
      <c r="BF108" s="32" t="str">
        <f>+IF(BF$3="","",IF($AY108="","",IFERROR(INDEX('Data Consolidada'!$E$7:$E$891,MATCH(CONCATENATE(BF$3,"-",$CP108,"-",$AY108),'Data Consolidada'!$K$7:$K$891,0)),MAX('Data Consolidada'!$E$7:$E$3000))))</f>
        <v/>
      </c>
      <c r="BG108" s="32" t="str">
        <f>+IF(BG$3="","",IF($AY108="","",IFERROR(INDEX('Data Consolidada'!$E$7:$E$891,MATCH(CONCATENATE(BG$3,"-",$CP108,"-",$AY108),'Data Consolidada'!$K$7:$K$891,0)),MAX('Data Consolidada'!$E$7:$E$3000))))</f>
        <v/>
      </c>
      <c r="BH108" s="32" t="str">
        <f>+IF(BH$3="","",IF($AY108="","",IFERROR(INDEX('Data Consolidada'!$E$7:$E$891,MATCH(CONCATENATE(BH$3,"-",$CP108,"-",$AY108),'Data Consolidada'!$K$7:$K$891,0)),MAX('Data Consolidada'!$E$7:$E$3000))))</f>
        <v/>
      </c>
      <c r="BI108" s="32" t="str">
        <f>+IF(BI$3="","",IF($AY108="","",IFERROR(INDEX('Data Consolidada'!$E$7:$E$891,MATCH(CONCATENATE(BI$3,"-",$CP108,"-",$AY108),'Data Consolidada'!$K$7:$K$891,0)),MAX('Data Consolidada'!$E$7:$E$3000))))</f>
        <v/>
      </c>
      <c r="BJ108" s="32" t="str">
        <f>+IF(BJ$3="","",IF($AY108="","",IFERROR(INDEX('Data Consolidada'!$E$7:$E$891,MATCH(CONCATENATE(BJ$3,"-",$CP108,"-",$AY108),'Data Consolidada'!$K$7:$K$891,0)),MAX('Data Consolidada'!$E$7:$E$3000))))</f>
        <v/>
      </c>
      <c r="BK108" s="32" t="str">
        <f>+IF(BK$3="","",IF($AY108="","",IFERROR(INDEX('Data Consolidada'!$E$7:$E$891,MATCH(CONCATENATE(BK$3,"-",$CP108,"-",$AY108),'Data Consolidada'!$K$7:$K$891,0)),MAX('Data Consolidada'!$E$7:$E$3000))))</f>
        <v/>
      </c>
      <c r="BL108" s="32" t="str">
        <f>+IF(BL$3="","",IF($AY108="","",IFERROR(INDEX('Data Consolidada'!$E$7:$E$891,MATCH(CONCATENATE(BL$3,"-",$CP108,"-",$AY108),'Data Consolidada'!$K$7:$K$891,0)),MAX('Data Consolidada'!$E$7:$E$3000))))</f>
        <v/>
      </c>
      <c r="BM108" s="32" t="str">
        <f>+IF(BM$3="","",IF($AY108="","",IFERROR(INDEX('Data Consolidada'!$E$7:$E$891,MATCH(CONCATENATE(BM$3,"-",$CP108,"-",$AY108),'Data Consolidada'!$K$7:$K$891,0)),MAX('Data Consolidada'!$E$7:$E$3000))))</f>
        <v/>
      </c>
      <c r="BN108" s="32" t="str">
        <f>+IF(BN$3="","",IF($AY108="","",IFERROR(INDEX('Data Consolidada'!$E$7:$E$891,MATCH(CONCATENATE(BN$3,"-",$CP108,"-",$AY108),'Data Consolidada'!$K$7:$K$891,0)),MAX('Data Consolidada'!$E$7:$E$3000))))</f>
        <v/>
      </c>
      <c r="BO108" s="32" t="str">
        <f>+IF(BO$3="","",IF($AY108="","",IFERROR(INDEX('Data Consolidada'!$E$7:$E$891,MATCH(CONCATENATE(BO$3,"-",$CP108,"-",$AY108),'Data Consolidada'!$K$7:$K$891,0)),MAX('Data Consolidada'!$E$7:$E$3000))))</f>
        <v/>
      </c>
      <c r="BP108" s="32" t="str">
        <f>+IF(BP$3="","",IF($AY108="","",IFERROR(INDEX('Data Consolidada'!$E$7:$E$891,MATCH(CONCATENATE(BP$3,"-",$CP108,"-",$AY108),'Data Consolidada'!$K$7:$K$891,0)),MAX('Data Consolidada'!$E$7:$E$3000))))</f>
        <v/>
      </c>
      <c r="BQ108" s="32" t="str">
        <f>+IF(BQ$3="","",IF($AY108="","",IFERROR(INDEX('Data Consolidada'!$E$7:$E$891,MATCH(CONCATENATE(BQ$3,"-",$CP108,"-",$AY108),'Data Consolidada'!$K$7:$K$891,0)),MAX('Data Consolidada'!$E$7:$E$3000))))</f>
        <v/>
      </c>
      <c r="BR108" s="32" t="str">
        <f>+IF(BR$3="","",IF($AY108="","",IFERROR(INDEX('Data Consolidada'!$E$7:$E$891,MATCH(CONCATENATE(BR$3,"-",$CP108,"-",$AY108),'Data Consolidada'!$K$7:$K$891,0)),MAX('Data Consolidada'!$E$7:$E$3000))))</f>
        <v/>
      </c>
      <c r="BS108" s="32" t="str">
        <f>+IF(BS$3="","",IF($AY108="","",IFERROR(INDEX('Data Consolidada'!$E$7:$E$891,MATCH(CONCATENATE(BS$3,"-",$CP108,"-",$AY108),'Data Consolidada'!$K$7:$K$891,0)),MAX('Data Consolidada'!$E$7:$E$3000))))</f>
        <v/>
      </c>
      <c r="BT108" s="32" t="str">
        <f>+IF(BT$3="","",IF($AY108="","",IFERROR(INDEX('Data Consolidada'!$E$7:$E$891,MATCH(CONCATENATE(BT$3,"-",$CP108,"-",$AY108),'Data Consolidada'!$K$7:$K$891,0)),MAX('Data Consolidada'!$E$7:$E$3000))))</f>
        <v/>
      </c>
      <c r="BU108" s="32" t="str">
        <f>+IF(BU$3="","",IF($AY108="","",IFERROR(INDEX('Data Consolidada'!$E$7:$E$891,MATCH(CONCATENATE(BU$3,"-",$CP108,"-",$AY108),'Data Consolidada'!$K$7:$K$891,0)),MAX('Data Consolidada'!$E$7:$E$3000))))</f>
        <v/>
      </c>
      <c r="BV108" s="32" t="str">
        <f>+IF(BV$3="","",IF($AY108="","",IFERROR(INDEX('Data Consolidada'!$E$7:$E$891,MATCH(CONCATENATE(BV$3,"-",$CP108,"-",$AY108),'Data Consolidada'!$K$7:$K$891,0)),MAX('Data Consolidada'!$E$7:$E$3000))))</f>
        <v/>
      </c>
      <c r="BW108" s="32" t="str">
        <f>+IF(BW$3="","",IF($AY108="","",IFERROR(INDEX('Data Consolidada'!$E$7:$E$891,MATCH(CONCATENATE(BW$3,"-",$CP108,"-",$AY108),'Data Consolidada'!$K$7:$K$891,0)),MAX('Data Consolidada'!$E$7:$E$3000))))</f>
        <v/>
      </c>
      <c r="BX108" s="32" t="str">
        <f>+IF(BX$3="","",IF($AY108="","",IFERROR(INDEX('Data Consolidada'!$E$7:$E$891,MATCH(CONCATENATE(BX$3,"-",$CP108,"-",$AY108),'Data Consolidada'!$K$7:$K$891,0)),MAX('Data Consolidada'!$E$7:$E$3000))))</f>
        <v/>
      </c>
      <c r="BY108" s="32" t="str">
        <f>+IF(BY$3="","",IF($AY108="","",IFERROR(INDEX('Data Consolidada'!$E$7:$E$891,MATCH(CONCATENATE(BY$3,"-",$CP108,"-",$AY108),'Data Consolidada'!$K$7:$K$891,0)),MAX('Data Consolidada'!$E$7:$E$3000))))</f>
        <v/>
      </c>
      <c r="BZ108" s="32" t="str">
        <f>+IF(BZ$3="","",IF($AY108="","",IFERROR(INDEX('Data Consolidada'!$E$7:$E$891,MATCH(CONCATENATE(BZ$3,"-",$CP108,"-",$AY108),'Data Consolidada'!$K$7:$K$891,0)),MAX('Data Consolidada'!$E$7:$E$3000))))</f>
        <v/>
      </c>
      <c r="CA108" s="32" t="str">
        <f>+IF(CA$3="","",IF($AY108="","",IFERROR(INDEX('Data Consolidada'!$E$7:$E$891,MATCH(CONCATENATE(CA$3,"-",$CP108,"-",$AY108),'Data Consolidada'!$K$7:$K$891,0)),MAX('Data Consolidada'!$E$7:$E$3000))))</f>
        <v/>
      </c>
      <c r="CB108" s="32" t="str">
        <f>+IF(CB$3="","",IF($AY108="","",IFERROR(INDEX('Data Consolidada'!$E$7:$E$891,MATCH(CONCATENATE(CB$3,"-",$CP108,"-",$AY108),'Data Consolidada'!$K$7:$K$891,0)),MAX('Data Consolidada'!$E$7:$E$3000))))</f>
        <v/>
      </c>
      <c r="CC108" s="32" t="str">
        <f>+IF(CC$3="","",IF($AY108="","",IFERROR(INDEX('Data Consolidada'!$E$7:$E$891,MATCH(CONCATENATE(CC$3,"-",$CP108,"-",$AY108),'Data Consolidada'!$K$7:$K$891,0)),MAX('Data Consolidada'!$E$7:$E$3000))))</f>
        <v/>
      </c>
      <c r="CD108" s="32" t="str">
        <f>+IF(CD$3="","",IF($AY108="","",IFERROR(INDEX('Data Consolidada'!$E$7:$E$891,MATCH(CONCATENATE(CD$3,"-",$CP108,"-",$AY108),'Data Consolidada'!$K$7:$K$891,0)),MAX('Data Consolidada'!$E$7:$E$3000))))</f>
        <v/>
      </c>
      <c r="CE108" s="32" t="str">
        <f>+IF(CE$3="","",IF($AY108="","",IFERROR(INDEX('Data Consolidada'!$E$7:$E$891,MATCH(CONCATENATE(CE$3,"-",$CP108,"-",$AY108),'Data Consolidada'!$K$7:$K$891,0)),MAX('Data Consolidada'!$E$7:$E$3000))))</f>
        <v/>
      </c>
      <c r="CF108" s="32" t="str">
        <f>+IF(CF$3="","",IF($AY108="","",IFERROR(INDEX('Data Consolidada'!$E$7:$E$891,MATCH(CONCATENATE(CF$3,"-",$CP108,"-",$AY108),'Data Consolidada'!$K$7:$K$891,0)),MAX('Data Consolidada'!$E$7:$E$3000))))</f>
        <v/>
      </c>
      <c r="CG108" s="32" t="str">
        <f>+IF(CG$3="","",IF($AY108="","",IFERROR(INDEX('Data Consolidada'!$E$7:$E$891,MATCH(CONCATENATE(CG$3,"-",$CP108,"-",$AY108),'Data Consolidada'!$K$7:$K$891,0)),MAX('Data Consolidada'!$E$7:$E$3000))))</f>
        <v/>
      </c>
      <c r="CH108" s="32" t="str">
        <f>+IF(CH$3="","",IF($AY108="","",IFERROR(INDEX('Data Consolidada'!$E$7:$E$891,MATCH(CONCATENATE(CH$3,"-",$CP108,"-",$AY108),'Data Consolidada'!$K$7:$K$891,0)),MAX('Data Consolidada'!$E$7:$E$3000))))</f>
        <v/>
      </c>
      <c r="CI108" s="32" t="str">
        <f>+IF(CI$3="","",IF($AY108="","",IFERROR(INDEX('Data Consolidada'!$E$7:$E$891,MATCH(CONCATENATE(CI$3,"-",$CP108,"-",$AY108),'Data Consolidada'!$K$7:$K$891,0)),MAX('Data Consolidada'!$E$7:$E$3000))))</f>
        <v/>
      </c>
      <c r="CJ108" s="32" t="str">
        <f>+IF(CJ$3="","",IF($AY108="","",IFERROR(INDEX('Data Consolidada'!$E$7:$E$891,MATCH(CONCATENATE(CJ$3,"-",$CP108,"-",$AY108),'Data Consolidada'!$K$7:$K$891,0)),MAX('Data Consolidada'!$E$7:$E$3000))))</f>
        <v/>
      </c>
      <c r="CK108" s="32" t="str">
        <f>+IF(CK$3="","",IF($AY108="","",IFERROR(INDEX('Data Consolidada'!$E$7:$E$891,MATCH(CONCATENATE(CK$3,"-",$CP108,"-",$AY108),'Data Consolidada'!$K$7:$K$891,0)),MAX('Data Consolidada'!$E$7:$E$3000))))</f>
        <v/>
      </c>
      <c r="CL108" s="32" t="str">
        <f>+IF(CL$3="","",IF($AY108="","",IFERROR(INDEX('Data Consolidada'!$E$7:$E$891,MATCH(CONCATENATE(CL$3,"-",$CP108,"-",$AY108),'Data Consolidada'!$K$7:$K$891,0)),MAX('Data Consolidada'!$E$7:$E$3000))))</f>
        <v/>
      </c>
      <c r="CM108" s="32" t="str">
        <f>+IF(CM$3="","",IF($AY108="","",IFERROR(INDEX('Data Consolidada'!$E$7:$E$891,MATCH(CONCATENATE(CM$3,"-",$CP108,"-",$AY108),'Data Consolidada'!$K$7:$K$891,0)),MAX('Data Consolidada'!$E$7:$E$3000))))</f>
        <v/>
      </c>
      <c r="CN108" s="32" t="str">
        <f>+IF(CN$3="","",IF($AY108="","",IFERROR(INDEX('Data Consolidada'!$E$7:$E$891,MATCH(CONCATENATE(CN$3,"-",$CP108,"-",$AY108),'Data Consolidada'!$K$7:$K$891,0)),MAX('Data Consolidada'!$E$7:$E$3000))))</f>
        <v/>
      </c>
      <c r="CO108" s="37" t="str">
        <f>+IF(CO$3="","",IF($AY108="","",IFERROR(INDEX('Data Consolidada'!$E$7:$E$891,MATCH(CONCATENATE(CO$3,"-",$CP108,"-",$AY108),'Data Consolidada'!$K$7:$K$891,0)),MAX('Data Consolidada'!$E$7:$E$3000))))</f>
        <v/>
      </c>
      <c r="CP108" s="224">
        <f t="shared" ca="1" si="45"/>
        <v>0</v>
      </c>
      <c r="CQ108" s="84" t="str">
        <f t="shared" ca="1" si="39"/>
        <v xml:space="preserve">  TRANS. MORROS LTDA.0</v>
      </c>
    </row>
    <row r="109" spans="2:95" ht="15" customHeight="1" x14ac:dyDescent="0.35">
      <c r="B109" s="218" t="str">
        <f t="shared" ca="1" si="41"/>
        <v>TRANS. MAX SOTO G. E.I.R.L.</v>
      </c>
      <c r="C109" s="238">
        <v>0</v>
      </c>
      <c r="D109" s="239">
        <v>0</v>
      </c>
      <c r="E109" s="239">
        <v>0</v>
      </c>
      <c r="F109" s="239">
        <v>0</v>
      </c>
      <c r="G109" s="239">
        <v>0</v>
      </c>
      <c r="H109" s="239">
        <v>0</v>
      </c>
      <c r="I109" s="239">
        <v>0</v>
      </c>
      <c r="J109" s="239">
        <v>0</v>
      </c>
      <c r="K109" s="239">
        <v>0</v>
      </c>
      <c r="L109" s="239">
        <v>0</v>
      </c>
      <c r="M109" s="239">
        <v>0</v>
      </c>
      <c r="N109" s="240">
        <v>0</v>
      </c>
      <c r="O109" s="239">
        <v>0</v>
      </c>
      <c r="P109" s="239">
        <v>0</v>
      </c>
      <c r="Q109" s="239">
        <v>0</v>
      </c>
      <c r="R109" s="239">
        <v>0</v>
      </c>
      <c r="S109" s="239">
        <v>0</v>
      </c>
      <c r="T109" s="239">
        <v>0</v>
      </c>
      <c r="U109" s="239">
        <v>0</v>
      </c>
      <c r="V109" s="239">
        <v>0</v>
      </c>
      <c r="W109" s="239">
        <v>0</v>
      </c>
      <c r="X109" s="239">
        <v>0</v>
      </c>
      <c r="Y109" s="239">
        <v>0</v>
      </c>
      <c r="Z109" s="239"/>
      <c r="AA109" s="239"/>
      <c r="AB109" s="239"/>
      <c r="AC109" s="239"/>
      <c r="AD109" s="239"/>
      <c r="AE109" s="239"/>
      <c r="AF109" s="239"/>
      <c r="AG109" s="239"/>
      <c r="AH109" s="239"/>
      <c r="AI109" s="239"/>
      <c r="AJ109" s="239"/>
      <c r="AK109" s="239"/>
      <c r="AL109" s="239"/>
      <c r="AM109" s="239"/>
      <c r="AN109" s="239"/>
      <c r="AO109" s="239"/>
      <c r="AP109" s="239"/>
      <c r="AQ109" s="239"/>
      <c r="AR109" s="252"/>
      <c r="AS109" s="77">
        <f t="shared" ca="1" si="42"/>
        <v>0</v>
      </c>
      <c r="AT109" s="255">
        <f t="shared" si="43"/>
        <v>0</v>
      </c>
      <c r="AU109" s="51"/>
      <c r="AV109" s="51"/>
      <c r="AW109" s="13">
        <f>+IF(AX109="","",IF(AX109&gt;AX108,AW108,IF(AW108&lt;$D$69,AW108+1,IF(COUNT(AW$4:AW108)&lt;$B$69*$E$54,1,""))))</f>
        <v>9</v>
      </c>
      <c r="AX109" s="13">
        <f>+IF(AX108&lt;$B$69,AX108+1,IF(COUNT(AX$4:AX108)&lt;$B$69*$D$69,1,""))</f>
        <v>2</v>
      </c>
      <c r="AY109" s="189" t="str">
        <f t="shared" ca="1" si="44"/>
        <v xml:space="preserve">CRISTIAN LÓPEZ </v>
      </c>
      <c r="AZ109" s="36">
        <f ca="1">+IF(AZ$3="","",IF($AY109="","",IFERROR(INDEX('Data Consolidada'!$E$7:$E$891,MATCH(CONCATENATE(AZ$3,"-",$CP109,"-",$AY109),'Data Consolidada'!$K$7:$K$891,0)),MAX('Data Consolidada'!$E$7:$E$3000))))</f>
        <v>11000000</v>
      </c>
      <c r="BA109" s="32">
        <f ca="1">+IF(BA$3="","",IF($AY109="","",IFERROR(INDEX('Data Consolidada'!$E$7:$E$891,MATCH(CONCATENATE(BA$3,"-",$CP109,"-",$AY109),'Data Consolidada'!$K$7:$K$891,0)),MAX('Data Consolidada'!$E$7:$E$3000))))</f>
        <v>11000000</v>
      </c>
      <c r="BB109" s="32" t="str">
        <f>+IF(BB$3="","",IF($AY109="","",IFERROR(INDEX('Data Consolidada'!$E$7:$E$891,MATCH(CONCATENATE(BB$3,"-",$CP109,"-",$AY109),'Data Consolidada'!$K$7:$K$891,0)),MAX('Data Consolidada'!$E$7:$E$3000))))</f>
        <v/>
      </c>
      <c r="BC109" s="32" t="str">
        <f>+IF(BC$3="","",IF($AY109="","",IFERROR(INDEX('Data Consolidada'!$E$7:$E$891,MATCH(CONCATENATE(BC$3,"-",$CP109,"-",$AY109),'Data Consolidada'!$K$7:$K$891,0)),MAX('Data Consolidada'!$E$7:$E$3000))))</f>
        <v/>
      </c>
      <c r="BD109" s="32" t="str">
        <f>+IF(BD$3="","",IF($AY109="","",IFERROR(INDEX('Data Consolidada'!$E$7:$E$891,MATCH(CONCATENATE(BD$3,"-",$CP109,"-",$AY109),'Data Consolidada'!$K$7:$K$891,0)),MAX('Data Consolidada'!$E$7:$E$3000))))</f>
        <v/>
      </c>
      <c r="BE109" s="32" t="str">
        <f>+IF(BE$3="","",IF($AY109="","",IFERROR(INDEX('Data Consolidada'!$E$7:$E$891,MATCH(CONCATENATE(BE$3,"-",$CP109,"-",$AY109),'Data Consolidada'!$K$7:$K$891,0)),MAX('Data Consolidada'!$E$7:$E$3000))))</f>
        <v/>
      </c>
      <c r="BF109" s="32" t="str">
        <f>+IF(BF$3="","",IF($AY109="","",IFERROR(INDEX('Data Consolidada'!$E$7:$E$891,MATCH(CONCATENATE(BF$3,"-",$CP109,"-",$AY109),'Data Consolidada'!$K$7:$K$891,0)),MAX('Data Consolidada'!$E$7:$E$3000))))</f>
        <v/>
      </c>
      <c r="BG109" s="32" t="str">
        <f>+IF(BG$3="","",IF($AY109="","",IFERROR(INDEX('Data Consolidada'!$E$7:$E$891,MATCH(CONCATENATE(BG$3,"-",$CP109,"-",$AY109),'Data Consolidada'!$K$7:$K$891,0)),MAX('Data Consolidada'!$E$7:$E$3000))))</f>
        <v/>
      </c>
      <c r="BH109" s="32" t="str">
        <f>+IF(BH$3="","",IF($AY109="","",IFERROR(INDEX('Data Consolidada'!$E$7:$E$891,MATCH(CONCATENATE(BH$3,"-",$CP109,"-",$AY109),'Data Consolidada'!$K$7:$K$891,0)),MAX('Data Consolidada'!$E$7:$E$3000))))</f>
        <v/>
      </c>
      <c r="BI109" s="32" t="str">
        <f>+IF(BI$3="","",IF($AY109="","",IFERROR(INDEX('Data Consolidada'!$E$7:$E$891,MATCH(CONCATENATE(BI$3,"-",$CP109,"-",$AY109),'Data Consolidada'!$K$7:$K$891,0)),MAX('Data Consolidada'!$E$7:$E$3000))))</f>
        <v/>
      </c>
      <c r="BJ109" s="32" t="str">
        <f>+IF(BJ$3="","",IF($AY109="","",IFERROR(INDEX('Data Consolidada'!$E$7:$E$891,MATCH(CONCATENATE(BJ$3,"-",$CP109,"-",$AY109),'Data Consolidada'!$K$7:$K$891,0)),MAX('Data Consolidada'!$E$7:$E$3000))))</f>
        <v/>
      </c>
      <c r="BK109" s="32" t="str">
        <f>+IF(BK$3="","",IF($AY109="","",IFERROR(INDEX('Data Consolidada'!$E$7:$E$891,MATCH(CONCATENATE(BK$3,"-",$CP109,"-",$AY109),'Data Consolidada'!$K$7:$K$891,0)),MAX('Data Consolidada'!$E$7:$E$3000))))</f>
        <v/>
      </c>
      <c r="BL109" s="32" t="str">
        <f>+IF(BL$3="","",IF($AY109="","",IFERROR(INDEX('Data Consolidada'!$E$7:$E$891,MATCH(CONCATENATE(BL$3,"-",$CP109,"-",$AY109),'Data Consolidada'!$K$7:$K$891,0)),MAX('Data Consolidada'!$E$7:$E$3000))))</f>
        <v/>
      </c>
      <c r="BM109" s="32" t="str">
        <f>+IF(BM$3="","",IF($AY109="","",IFERROR(INDEX('Data Consolidada'!$E$7:$E$891,MATCH(CONCATENATE(BM$3,"-",$CP109,"-",$AY109),'Data Consolidada'!$K$7:$K$891,0)),MAX('Data Consolidada'!$E$7:$E$3000))))</f>
        <v/>
      </c>
      <c r="BN109" s="32" t="str">
        <f>+IF(BN$3="","",IF($AY109="","",IFERROR(INDEX('Data Consolidada'!$E$7:$E$891,MATCH(CONCATENATE(BN$3,"-",$CP109,"-",$AY109),'Data Consolidada'!$K$7:$K$891,0)),MAX('Data Consolidada'!$E$7:$E$3000))))</f>
        <v/>
      </c>
      <c r="BO109" s="32" t="str">
        <f>+IF(BO$3="","",IF($AY109="","",IFERROR(INDEX('Data Consolidada'!$E$7:$E$891,MATCH(CONCATENATE(BO$3,"-",$CP109,"-",$AY109),'Data Consolidada'!$K$7:$K$891,0)),MAX('Data Consolidada'!$E$7:$E$3000))))</f>
        <v/>
      </c>
      <c r="BP109" s="32" t="str">
        <f>+IF(BP$3="","",IF($AY109="","",IFERROR(INDEX('Data Consolidada'!$E$7:$E$891,MATCH(CONCATENATE(BP$3,"-",$CP109,"-",$AY109),'Data Consolidada'!$K$7:$K$891,0)),MAX('Data Consolidada'!$E$7:$E$3000))))</f>
        <v/>
      </c>
      <c r="BQ109" s="32" t="str">
        <f>+IF(BQ$3="","",IF($AY109="","",IFERROR(INDEX('Data Consolidada'!$E$7:$E$891,MATCH(CONCATENATE(BQ$3,"-",$CP109,"-",$AY109),'Data Consolidada'!$K$7:$K$891,0)),MAX('Data Consolidada'!$E$7:$E$3000))))</f>
        <v/>
      </c>
      <c r="BR109" s="32" t="str">
        <f>+IF(BR$3="","",IF($AY109="","",IFERROR(INDEX('Data Consolidada'!$E$7:$E$891,MATCH(CONCATENATE(BR$3,"-",$CP109,"-",$AY109),'Data Consolidada'!$K$7:$K$891,0)),MAX('Data Consolidada'!$E$7:$E$3000))))</f>
        <v/>
      </c>
      <c r="BS109" s="32" t="str">
        <f>+IF(BS$3="","",IF($AY109="","",IFERROR(INDEX('Data Consolidada'!$E$7:$E$891,MATCH(CONCATENATE(BS$3,"-",$CP109,"-",$AY109),'Data Consolidada'!$K$7:$K$891,0)),MAX('Data Consolidada'!$E$7:$E$3000))))</f>
        <v/>
      </c>
      <c r="BT109" s="32" t="str">
        <f>+IF(BT$3="","",IF($AY109="","",IFERROR(INDEX('Data Consolidada'!$E$7:$E$891,MATCH(CONCATENATE(BT$3,"-",$CP109,"-",$AY109),'Data Consolidada'!$K$7:$K$891,0)),MAX('Data Consolidada'!$E$7:$E$3000))))</f>
        <v/>
      </c>
      <c r="BU109" s="32" t="str">
        <f>+IF(BU$3="","",IF($AY109="","",IFERROR(INDEX('Data Consolidada'!$E$7:$E$891,MATCH(CONCATENATE(BU$3,"-",$CP109,"-",$AY109),'Data Consolidada'!$K$7:$K$891,0)),MAX('Data Consolidada'!$E$7:$E$3000))))</f>
        <v/>
      </c>
      <c r="BV109" s="32" t="str">
        <f>+IF(BV$3="","",IF($AY109="","",IFERROR(INDEX('Data Consolidada'!$E$7:$E$891,MATCH(CONCATENATE(BV$3,"-",$CP109,"-",$AY109),'Data Consolidada'!$K$7:$K$891,0)),MAX('Data Consolidada'!$E$7:$E$3000))))</f>
        <v/>
      </c>
      <c r="BW109" s="32" t="str">
        <f>+IF(BW$3="","",IF($AY109="","",IFERROR(INDEX('Data Consolidada'!$E$7:$E$891,MATCH(CONCATENATE(BW$3,"-",$CP109,"-",$AY109),'Data Consolidada'!$K$7:$K$891,0)),MAX('Data Consolidada'!$E$7:$E$3000))))</f>
        <v/>
      </c>
      <c r="BX109" s="32" t="str">
        <f>+IF(BX$3="","",IF($AY109="","",IFERROR(INDEX('Data Consolidada'!$E$7:$E$891,MATCH(CONCATENATE(BX$3,"-",$CP109,"-",$AY109),'Data Consolidada'!$K$7:$K$891,0)),MAX('Data Consolidada'!$E$7:$E$3000))))</f>
        <v/>
      </c>
      <c r="BY109" s="32" t="str">
        <f>+IF(BY$3="","",IF($AY109="","",IFERROR(INDEX('Data Consolidada'!$E$7:$E$891,MATCH(CONCATENATE(BY$3,"-",$CP109,"-",$AY109),'Data Consolidada'!$K$7:$K$891,0)),MAX('Data Consolidada'!$E$7:$E$3000))))</f>
        <v/>
      </c>
      <c r="BZ109" s="32" t="str">
        <f>+IF(BZ$3="","",IF($AY109="","",IFERROR(INDEX('Data Consolidada'!$E$7:$E$891,MATCH(CONCATENATE(BZ$3,"-",$CP109,"-",$AY109),'Data Consolidada'!$K$7:$K$891,0)),MAX('Data Consolidada'!$E$7:$E$3000))))</f>
        <v/>
      </c>
      <c r="CA109" s="32" t="str">
        <f>+IF(CA$3="","",IF($AY109="","",IFERROR(INDEX('Data Consolidada'!$E$7:$E$891,MATCH(CONCATENATE(CA$3,"-",$CP109,"-",$AY109),'Data Consolidada'!$K$7:$K$891,0)),MAX('Data Consolidada'!$E$7:$E$3000))))</f>
        <v/>
      </c>
      <c r="CB109" s="32" t="str">
        <f>+IF(CB$3="","",IF($AY109="","",IFERROR(INDEX('Data Consolidada'!$E$7:$E$891,MATCH(CONCATENATE(CB$3,"-",$CP109,"-",$AY109),'Data Consolidada'!$K$7:$K$891,0)),MAX('Data Consolidada'!$E$7:$E$3000))))</f>
        <v/>
      </c>
      <c r="CC109" s="32" t="str">
        <f>+IF(CC$3="","",IF($AY109="","",IFERROR(INDEX('Data Consolidada'!$E$7:$E$891,MATCH(CONCATENATE(CC$3,"-",$CP109,"-",$AY109),'Data Consolidada'!$K$7:$K$891,0)),MAX('Data Consolidada'!$E$7:$E$3000))))</f>
        <v/>
      </c>
      <c r="CD109" s="32" t="str">
        <f>+IF(CD$3="","",IF($AY109="","",IFERROR(INDEX('Data Consolidada'!$E$7:$E$891,MATCH(CONCATENATE(CD$3,"-",$CP109,"-",$AY109),'Data Consolidada'!$K$7:$K$891,0)),MAX('Data Consolidada'!$E$7:$E$3000))))</f>
        <v/>
      </c>
      <c r="CE109" s="32" t="str">
        <f>+IF(CE$3="","",IF($AY109="","",IFERROR(INDEX('Data Consolidada'!$E$7:$E$891,MATCH(CONCATENATE(CE$3,"-",$CP109,"-",$AY109),'Data Consolidada'!$K$7:$K$891,0)),MAX('Data Consolidada'!$E$7:$E$3000))))</f>
        <v/>
      </c>
      <c r="CF109" s="32" t="str">
        <f>+IF(CF$3="","",IF($AY109="","",IFERROR(INDEX('Data Consolidada'!$E$7:$E$891,MATCH(CONCATENATE(CF$3,"-",$CP109,"-",$AY109),'Data Consolidada'!$K$7:$K$891,0)),MAX('Data Consolidada'!$E$7:$E$3000))))</f>
        <v/>
      </c>
      <c r="CG109" s="32" t="str">
        <f>+IF(CG$3="","",IF($AY109="","",IFERROR(INDEX('Data Consolidada'!$E$7:$E$891,MATCH(CONCATENATE(CG$3,"-",$CP109,"-",$AY109),'Data Consolidada'!$K$7:$K$891,0)),MAX('Data Consolidada'!$E$7:$E$3000))))</f>
        <v/>
      </c>
      <c r="CH109" s="32" t="str">
        <f>+IF(CH$3="","",IF($AY109="","",IFERROR(INDEX('Data Consolidada'!$E$7:$E$891,MATCH(CONCATENATE(CH$3,"-",$CP109,"-",$AY109),'Data Consolidada'!$K$7:$K$891,0)),MAX('Data Consolidada'!$E$7:$E$3000))))</f>
        <v/>
      </c>
      <c r="CI109" s="32" t="str">
        <f>+IF(CI$3="","",IF($AY109="","",IFERROR(INDEX('Data Consolidada'!$E$7:$E$891,MATCH(CONCATENATE(CI$3,"-",$CP109,"-",$AY109),'Data Consolidada'!$K$7:$K$891,0)),MAX('Data Consolidada'!$E$7:$E$3000))))</f>
        <v/>
      </c>
      <c r="CJ109" s="32" t="str">
        <f>+IF(CJ$3="","",IF($AY109="","",IFERROR(INDEX('Data Consolidada'!$E$7:$E$891,MATCH(CONCATENATE(CJ$3,"-",$CP109,"-",$AY109),'Data Consolidada'!$K$7:$K$891,0)),MAX('Data Consolidada'!$E$7:$E$3000))))</f>
        <v/>
      </c>
      <c r="CK109" s="32" t="str">
        <f>+IF(CK$3="","",IF($AY109="","",IFERROR(INDEX('Data Consolidada'!$E$7:$E$891,MATCH(CONCATENATE(CK$3,"-",$CP109,"-",$AY109),'Data Consolidada'!$K$7:$K$891,0)),MAX('Data Consolidada'!$E$7:$E$3000))))</f>
        <v/>
      </c>
      <c r="CL109" s="32" t="str">
        <f>+IF(CL$3="","",IF($AY109="","",IFERROR(INDEX('Data Consolidada'!$E$7:$E$891,MATCH(CONCATENATE(CL$3,"-",$CP109,"-",$AY109),'Data Consolidada'!$K$7:$K$891,0)),MAX('Data Consolidada'!$E$7:$E$3000))))</f>
        <v/>
      </c>
      <c r="CM109" s="32" t="str">
        <f>+IF(CM$3="","",IF($AY109="","",IFERROR(INDEX('Data Consolidada'!$E$7:$E$891,MATCH(CONCATENATE(CM$3,"-",$CP109,"-",$AY109),'Data Consolidada'!$K$7:$K$891,0)),MAX('Data Consolidada'!$E$7:$E$3000))))</f>
        <v/>
      </c>
      <c r="CN109" s="32" t="str">
        <f>+IF(CN$3="","",IF($AY109="","",IFERROR(INDEX('Data Consolidada'!$E$7:$E$891,MATCH(CONCATENATE(CN$3,"-",$CP109,"-",$AY109),'Data Consolidada'!$K$7:$K$891,0)),MAX('Data Consolidada'!$E$7:$E$3000))))</f>
        <v/>
      </c>
      <c r="CO109" s="37" t="str">
        <f>+IF(CO$3="","",IF($AY109="","",IFERROR(INDEX('Data Consolidada'!$E$7:$E$891,MATCH(CONCATENATE(CO$3,"-",$CP109,"-",$AY109),'Data Consolidada'!$K$7:$K$891,0)),MAX('Data Consolidada'!$E$7:$E$3000))))</f>
        <v/>
      </c>
      <c r="CP109" s="224">
        <f t="shared" ca="1" si="45"/>
        <v>0</v>
      </c>
      <c r="CQ109" s="84" t="str">
        <f t="shared" ca="1" si="39"/>
        <v>CRISTIAN LÓPEZ 0</v>
      </c>
    </row>
    <row r="110" spans="2:95" ht="15" customHeight="1" x14ac:dyDescent="0.35">
      <c r="B110" s="218" t="str">
        <f t="shared" ca="1" si="41"/>
        <v>TRANS. MITRE SPA.</v>
      </c>
      <c r="C110" s="238">
        <v>0</v>
      </c>
      <c r="D110" s="239">
        <v>0</v>
      </c>
      <c r="E110" s="239">
        <v>0</v>
      </c>
      <c r="F110" s="239">
        <v>0</v>
      </c>
      <c r="G110" s="239">
        <v>0</v>
      </c>
      <c r="H110" s="239">
        <v>0</v>
      </c>
      <c r="I110" s="239">
        <v>0</v>
      </c>
      <c r="J110" s="239">
        <v>0</v>
      </c>
      <c r="K110" s="239">
        <v>0</v>
      </c>
      <c r="L110" s="239">
        <v>0</v>
      </c>
      <c r="M110" s="239">
        <v>0</v>
      </c>
      <c r="N110" s="240">
        <v>0</v>
      </c>
      <c r="O110" s="239">
        <v>0</v>
      </c>
      <c r="P110" s="239">
        <v>0</v>
      </c>
      <c r="Q110" s="239">
        <v>0</v>
      </c>
      <c r="R110" s="239">
        <v>0</v>
      </c>
      <c r="S110" s="239">
        <v>0</v>
      </c>
      <c r="T110" s="239">
        <v>0</v>
      </c>
      <c r="U110" s="239">
        <v>0</v>
      </c>
      <c r="V110" s="239">
        <v>0</v>
      </c>
      <c r="W110" s="239">
        <v>0</v>
      </c>
      <c r="X110" s="239">
        <v>0</v>
      </c>
      <c r="Y110" s="239">
        <v>0</v>
      </c>
      <c r="Z110" s="239"/>
      <c r="AA110" s="239"/>
      <c r="AB110" s="239"/>
      <c r="AC110" s="239"/>
      <c r="AD110" s="239"/>
      <c r="AE110" s="239"/>
      <c r="AF110" s="239"/>
      <c r="AG110" s="239"/>
      <c r="AH110" s="239"/>
      <c r="AI110" s="239"/>
      <c r="AJ110" s="239"/>
      <c r="AK110" s="239"/>
      <c r="AL110" s="239"/>
      <c r="AM110" s="239"/>
      <c r="AN110" s="239"/>
      <c r="AO110" s="239"/>
      <c r="AP110" s="239"/>
      <c r="AQ110" s="239"/>
      <c r="AR110" s="252"/>
      <c r="AS110" s="77">
        <f t="shared" ca="1" si="42"/>
        <v>0</v>
      </c>
      <c r="AT110" s="255">
        <f t="shared" si="43"/>
        <v>0</v>
      </c>
      <c r="AU110" s="51"/>
      <c r="AV110" s="51"/>
      <c r="AW110" s="13">
        <f>+IF(AX110="","",IF(AX110&gt;AX109,AW109,IF(AW109&lt;$D$69,AW109+1,IF(COUNT(AW$4:AW109)&lt;$B$69*$E$54,1,""))))</f>
        <v>9</v>
      </c>
      <c r="AX110" s="13">
        <f>+IF(AX109&lt;$B$69,AX109+1,IF(COUNT(AX$4:AX109)&lt;$B$69*$D$69,1,""))</f>
        <v>3</v>
      </c>
      <c r="AY110" s="189" t="str">
        <f t="shared" ca="1" si="44"/>
        <v xml:space="preserve">GUSTAVO ZÚÑIGA </v>
      </c>
      <c r="AZ110" s="36">
        <f ca="1">+IF(AZ$3="","",IF($AY110="","",IFERROR(INDEX('Data Consolidada'!$E$7:$E$891,MATCH(CONCATENATE(AZ$3,"-",$CP110,"-",$AY110),'Data Consolidada'!$K$7:$K$891,0)),MAX('Data Consolidada'!$E$7:$E$3000))))</f>
        <v>11000000</v>
      </c>
      <c r="BA110" s="32">
        <f ca="1">+IF(BA$3="","",IF($AY110="","",IFERROR(INDEX('Data Consolidada'!$E$7:$E$891,MATCH(CONCATENATE(BA$3,"-",$CP110,"-",$AY110),'Data Consolidada'!$K$7:$K$891,0)),MAX('Data Consolidada'!$E$7:$E$3000))))</f>
        <v>11000000</v>
      </c>
      <c r="BB110" s="32" t="str">
        <f>+IF(BB$3="","",IF($AY110="","",IFERROR(INDEX('Data Consolidada'!$E$7:$E$891,MATCH(CONCATENATE(BB$3,"-",$CP110,"-",$AY110),'Data Consolidada'!$K$7:$K$891,0)),MAX('Data Consolidada'!$E$7:$E$3000))))</f>
        <v/>
      </c>
      <c r="BC110" s="32" t="str">
        <f>+IF(BC$3="","",IF($AY110="","",IFERROR(INDEX('Data Consolidada'!$E$7:$E$891,MATCH(CONCATENATE(BC$3,"-",$CP110,"-",$AY110),'Data Consolidada'!$K$7:$K$891,0)),MAX('Data Consolidada'!$E$7:$E$3000))))</f>
        <v/>
      </c>
      <c r="BD110" s="32" t="str">
        <f>+IF(BD$3="","",IF($AY110="","",IFERROR(INDEX('Data Consolidada'!$E$7:$E$891,MATCH(CONCATENATE(BD$3,"-",$CP110,"-",$AY110),'Data Consolidada'!$K$7:$K$891,0)),MAX('Data Consolidada'!$E$7:$E$3000))))</f>
        <v/>
      </c>
      <c r="BE110" s="32" t="str">
        <f>+IF(BE$3="","",IF($AY110="","",IFERROR(INDEX('Data Consolidada'!$E$7:$E$891,MATCH(CONCATENATE(BE$3,"-",$CP110,"-",$AY110),'Data Consolidada'!$K$7:$K$891,0)),MAX('Data Consolidada'!$E$7:$E$3000))))</f>
        <v/>
      </c>
      <c r="BF110" s="32" t="str">
        <f>+IF(BF$3="","",IF($AY110="","",IFERROR(INDEX('Data Consolidada'!$E$7:$E$891,MATCH(CONCATENATE(BF$3,"-",$CP110,"-",$AY110),'Data Consolidada'!$K$7:$K$891,0)),MAX('Data Consolidada'!$E$7:$E$3000))))</f>
        <v/>
      </c>
      <c r="BG110" s="32" t="str">
        <f>+IF(BG$3="","",IF($AY110="","",IFERROR(INDEX('Data Consolidada'!$E$7:$E$891,MATCH(CONCATENATE(BG$3,"-",$CP110,"-",$AY110),'Data Consolidada'!$K$7:$K$891,0)),MAX('Data Consolidada'!$E$7:$E$3000))))</f>
        <v/>
      </c>
      <c r="BH110" s="32" t="str">
        <f>+IF(BH$3="","",IF($AY110="","",IFERROR(INDEX('Data Consolidada'!$E$7:$E$891,MATCH(CONCATENATE(BH$3,"-",$CP110,"-",$AY110),'Data Consolidada'!$K$7:$K$891,0)),MAX('Data Consolidada'!$E$7:$E$3000))))</f>
        <v/>
      </c>
      <c r="BI110" s="32" t="str">
        <f>+IF(BI$3="","",IF($AY110="","",IFERROR(INDEX('Data Consolidada'!$E$7:$E$891,MATCH(CONCATENATE(BI$3,"-",$CP110,"-",$AY110),'Data Consolidada'!$K$7:$K$891,0)),MAX('Data Consolidada'!$E$7:$E$3000))))</f>
        <v/>
      </c>
      <c r="BJ110" s="32" t="str">
        <f>+IF(BJ$3="","",IF($AY110="","",IFERROR(INDEX('Data Consolidada'!$E$7:$E$891,MATCH(CONCATENATE(BJ$3,"-",$CP110,"-",$AY110),'Data Consolidada'!$K$7:$K$891,0)),MAX('Data Consolidada'!$E$7:$E$3000))))</f>
        <v/>
      </c>
      <c r="BK110" s="32" t="str">
        <f>+IF(BK$3="","",IF($AY110="","",IFERROR(INDEX('Data Consolidada'!$E$7:$E$891,MATCH(CONCATENATE(BK$3,"-",$CP110,"-",$AY110),'Data Consolidada'!$K$7:$K$891,0)),MAX('Data Consolidada'!$E$7:$E$3000))))</f>
        <v/>
      </c>
      <c r="BL110" s="32" t="str">
        <f>+IF(BL$3="","",IF($AY110="","",IFERROR(INDEX('Data Consolidada'!$E$7:$E$891,MATCH(CONCATENATE(BL$3,"-",$CP110,"-",$AY110),'Data Consolidada'!$K$7:$K$891,0)),MAX('Data Consolidada'!$E$7:$E$3000))))</f>
        <v/>
      </c>
      <c r="BM110" s="32" t="str">
        <f>+IF(BM$3="","",IF($AY110="","",IFERROR(INDEX('Data Consolidada'!$E$7:$E$891,MATCH(CONCATENATE(BM$3,"-",$CP110,"-",$AY110),'Data Consolidada'!$K$7:$K$891,0)),MAX('Data Consolidada'!$E$7:$E$3000))))</f>
        <v/>
      </c>
      <c r="BN110" s="32" t="str">
        <f>+IF(BN$3="","",IF($AY110="","",IFERROR(INDEX('Data Consolidada'!$E$7:$E$891,MATCH(CONCATENATE(BN$3,"-",$CP110,"-",$AY110),'Data Consolidada'!$K$7:$K$891,0)),MAX('Data Consolidada'!$E$7:$E$3000))))</f>
        <v/>
      </c>
      <c r="BO110" s="32" t="str">
        <f>+IF(BO$3="","",IF($AY110="","",IFERROR(INDEX('Data Consolidada'!$E$7:$E$891,MATCH(CONCATENATE(BO$3,"-",$CP110,"-",$AY110),'Data Consolidada'!$K$7:$K$891,0)),MAX('Data Consolidada'!$E$7:$E$3000))))</f>
        <v/>
      </c>
      <c r="BP110" s="32" t="str">
        <f>+IF(BP$3="","",IF($AY110="","",IFERROR(INDEX('Data Consolidada'!$E$7:$E$891,MATCH(CONCATENATE(BP$3,"-",$CP110,"-",$AY110),'Data Consolidada'!$K$7:$K$891,0)),MAX('Data Consolidada'!$E$7:$E$3000))))</f>
        <v/>
      </c>
      <c r="BQ110" s="32" t="str">
        <f>+IF(BQ$3="","",IF($AY110="","",IFERROR(INDEX('Data Consolidada'!$E$7:$E$891,MATCH(CONCATENATE(BQ$3,"-",$CP110,"-",$AY110),'Data Consolidada'!$K$7:$K$891,0)),MAX('Data Consolidada'!$E$7:$E$3000))))</f>
        <v/>
      </c>
      <c r="BR110" s="32" t="str">
        <f>+IF(BR$3="","",IF($AY110="","",IFERROR(INDEX('Data Consolidada'!$E$7:$E$891,MATCH(CONCATENATE(BR$3,"-",$CP110,"-",$AY110),'Data Consolidada'!$K$7:$K$891,0)),MAX('Data Consolidada'!$E$7:$E$3000))))</f>
        <v/>
      </c>
      <c r="BS110" s="32" t="str">
        <f>+IF(BS$3="","",IF($AY110="","",IFERROR(INDEX('Data Consolidada'!$E$7:$E$891,MATCH(CONCATENATE(BS$3,"-",$CP110,"-",$AY110),'Data Consolidada'!$K$7:$K$891,0)),MAX('Data Consolidada'!$E$7:$E$3000))))</f>
        <v/>
      </c>
      <c r="BT110" s="32" t="str">
        <f>+IF(BT$3="","",IF($AY110="","",IFERROR(INDEX('Data Consolidada'!$E$7:$E$891,MATCH(CONCATENATE(BT$3,"-",$CP110,"-",$AY110),'Data Consolidada'!$K$7:$K$891,0)),MAX('Data Consolidada'!$E$7:$E$3000))))</f>
        <v/>
      </c>
      <c r="BU110" s="32" t="str">
        <f>+IF(BU$3="","",IF($AY110="","",IFERROR(INDEX('Data Consolidada'!$E$7:$E$891,MATCH(CONCATENATE(BU$3,"-",$CP110,"-",$AY110),'Data Consolidada'!$K$7:$K$891,0)),MAX('Data Consolidada'!$E$7:$E$3000))))</f>
        <v/>
      </c>
      <c r="BV110" s="32" t="str">
        <f>+IF(BV$3="","",IF($AY110="","",IFERROR(INDEX('Data Consolidada'!$E$7:$E$891,MATCH(CONCATENATE(BV$3,"-",$CP110,"-",$AY110),'Data Consolidada'!$K$7:$K$891,0)),MAX('Data Consolidada'!$E$7:$E$3000))))</f>
        <v/>
      </c>
      <c r="BW110" s="32" t="str">
        <f>+IF(BW$3="","",IF($AY110="","",IFERROR(INDEX('Data Consolidada'!$E$7:$E$891,MATCH(CONCATENATE(BW$3,"-",$CP110,"-",$AY110),'Data Consolidada'!$K$7:$K$891,0)),MAX('Data Consolidada'!$E$7:$E$3000))))</f>
        <v/>
      </c>
      <c r="BX110" s="32" t="str">
        <f>+IF(BX$3="","",IF($AY110="","",IFERROR(INDEX('Data Consolidada'!$E$7:$E$891,MATCH(CONCATENATE(BX$3,"-",$CP110,"-",$AY110),'Data Consolidada'!$K$7:$K$891,0)),MAX('Data Consolidada'!$E$7:$E$3000))))</f>
        <v/>
      </c>
      <c r="BY110" s="32" t="str">
        <f>+IF(BY$3="","",IF($AY110="","",IFERROR(INDEX('Data Consolidada'!$E$7:$E$891,MATCH(CONCATENATE(BY$3,"-",$CP110,"-",$AY110),'Data Consolidada'!$K$7:$K$891,0)),MAX('Data Consolidada'!$E$7:$E$3000))))</f>
        <v/>
      </c>
      <c r="BZ110" s="32" t="str">
        <f>+IF(BZ$3="","",IF($AY110="","",IFERROR(INDEX('Data Consolidada'!$E$7:$E$891,MATCH(CONCATENATE(BZ$3,"-",$CP110,"-",$AY110),'Data Consolidada'!$K$7:$K$891,0)),MAX('Data Consolidada'!$E$7:$E$3000))))</f>
        <v/>
      </c>
      <c r="CA110" s="32" t="str">
        <f>+IF(CA$3="","",IF($AY110="","",IFERROR(INDEX('Data Consolidada'!$E$7:$E$891,MATCH(CONCATENATE(CA$3,"-",$CP110,"-",$AY110),'Data Consolidada'!$K$7:$K$891,0)),MAX('Data Consolidada'!$E$7:$E$3000))))</f>
        <v/>
      </c>
      <c r="CB110" s="32" t="str">
        <f>+IF(CB$3="","",IF($AY110="","",IFERROR(INDEX('Data Consolidada'!$E$7:$E$891,MATCH(CONCATENATE(CB$3,"-",$CP110,"-",$AY110),'Data Consolidada'!$K$7:$K$891,0)),MAX('Data Consolidada'!$E$7:$E$3000))))</f>
        <v/>
      </c>
      <c r="CC110" s="32" t="str">
        <f>+IF(CC$3="","",IF($AY110="","",IFERROR(INDEX('Data Consolidada'!$E$7:$E$891,MATCH(CONCATENATE(CC$3,"-",$CP110,"-",$AY110),'Data Consolidada'!$K$7:$K$891,0)),MAX('Data Consolidada'!$E$7:$E$3000))))</f>
        <v/>
      </c>
      <c r="CD110" s="32" t="str">
        <f>+IF(CD$3="","",IF($AY110="","",IFERROR(INDEX('Data Consolidada'!$E$7:$E$891,MATCH(CONCATENATE(CD$3,"-",$CP110,"-",$AY110),'Data Consolidada'!$K$7:$K$891,0)),MAX('Data Consolidada'!$E$7:$E$3000))))</f>
        <v/>
      </c>
      <c r="CE110" s="32" t="str">
        <f>+IF(CE$3="","",IF($AY110="","",IFERROR(INDEX('Data Consolidada'!$E$7:$E$891,MATCH(CONCATENATE(CE$3,"-",$CP110,"-",$AY110),'Data Consolidada'!$K$7:$K$891,0)),MAX('Data Consolidada'!$E$7:$E$3000))))</f>
        <v/>
      </c>
      <c r="CF110" s="32" t="str">
        <f>+IF(CF$3="","",IF($AY110="","",IFERROR(INDEX('Data Consolidada'!$E$7:$E$891,MATCH(CONCATENATE(CF$3,"-",$CP110,"-",$AY110),'Data Consolidada'!$K$7:$K$891,0)),MAX('Data Consolidada'!$E$7:$E$3000))))</f>
        <v/>
      </c>
      <c r="CG110" s="32" t="str">
        <f>+IF(CG$3="","",IF($AY110="","",IFERROR(INDEX('Data Consolidada'!$E$7:$E$891,MATCH(CONCATENATE(CG$3,"-",$CP110,"-",$AY110),'Data Consolidada'!$K$7:$K$891,0)),MAX('Data Consolidada'!$E$7:$E$3000))))</f>
        <v/>
      </c>
      <c r="CH110" s="32" t="str">
        <f>+IF(CH$3="","",IF($AY110="","",IFERROR(INDEX('Data Consolidada'!$E$7:$E$891,MATCH(CONCATENATE(CH$3,"-",$CP110,"-",$AY110),'Data Consolidada'!$K$7:$K$891,0)),MAX('Data Consolidada'!$E$7:$E$3000))))</f>
        <v/>
      </c>
      <c r="CI110" s="32" t="str">
        <f>+IF(CI$3="","",IF($AY110="","",IFERROR(INDEX('Data Consolidada'!$E$7:$E$891,MATCH(CONCATENATE(CI$3,"-",$CP110,"-",$AY110),'Data Consolidada'!$K$7:$K$891,0)),MAX('Data Consolidada'!$E$7:$E$3000))))</f>
        <v/>
      </c>
      <c r="CJ110" s="32" t="str">
        <f>+IF(CJ$3="","",IF($AY110="","",IFERROR(INDEX('Data Consolidada'!$E$7:$E$891,MATCH(CONCATENATE(CJ$3,"-",$CP110,"-",$AY110),'Data Consolidada'!$K$7:$K$891,0)),MAX('Data Consolidada'!$E$7:$E$3000))))</f>
        <v/>
      </c>
      <c r="CK110" s="32" t="str">
        <f>+IF(CK$3="","",IF($AY110="","",IFERROR(INDEX('Data Consolidada'!$E$7:$E$891,MATCH(CONCATENATE(CK$3,"-",$CP110,"-",$AY110),'Data Consolidada'!$K$7:$K$891,0)),MAX('Data Consolidada'!$E$7:$E$3000))))</f>
        <v/>
      </c>
      <c r="CL110" s="32" t="str">
        <f>+IF(CL$3="","",IF($AY110="","",IFERROR(INDEX('Data Consolidada'!$E$7:$E$891,MATCH(CONCATENATE(CL$3,"-",$CP110,"-",$AY110),'Data Consolidada'!$K$7:$K$891,0)),MAX('Data Consolidada'!$E$7:$E$3000))))</f>
        <v/>
      </c>
      <c r="CM110" s="32" t="str">
        <f>+IF(CM$3="","",IF($AY110="","",IFERROR(INDEX('Data Consolidada'!$E$7:$E$891,MATCH(CONCATENATE(CM$3,"-",$CP110,"-",$AY110),'Data Consolidada'!$K$7:$K$891,0)),MAX('Data Consolidada'!$E$7:$E$3000))))</f>
        <v/>
      </c>
      <c r="CN110" s="32" t="str">
        <f>+IF(CN$3="","",IF($AY110="","",IFERROR(INDEX('Data Consolidada'!$E$7:$E$891,MATCH(CONCATENATE(CN$3,"-",$CP110,"-",$AY110),'Data Consolidada'!$K$7:$K$891,0)),MAX('Data Consolidada'!$E$7:$E$3000))))</f>
        <v/>
      </c>
      <c r="CO110" s="37" t="str">
        <f>+IF(CO$3="","",IF($AY110="","",IFERROR(INDEX('Data Consolidada'!$E$7:$E$891,MATCH(CONCATENATE(CO$3,"-",$CP110,"-",$AY110),'Data Consolidada'!$K$7:$K$891,0)),MAX('Data Consolidada'!$E$7:$E$3000))))</f>
        <v/>
      </c>
      <c r="CP110" s="224">
        <f t="shared" ca="1" si="45"/>
        <v>0</v>
      </c>
      <c r="CQ110" s="84" t="str">
        <f t="shared" ca="1" si="39"/>
        <v>GUSTAVO ZÚÑIGA 0</v>
      </c>
    </row>
    <row r="111" spans="2:95" ht="15" customHeight="1" x14ac:dyDescent="0.35">
      <c r="B111" s="218" t="str">
        <f t="shared" ca="1" si="41"/>
        <v xml:space="preserve">  TRANS. MORROS LTDA.</v>
      </c>
      <c r="C111" s="238">
        <v>0</v>
      </c>
      <c r="D111" s="239">
        <v>0</v>
      </c>
      <c r="E111" s="239">
        <v>0</v>
      </c>
      <c r="F111" s="239">
        <v>0</v>
      </c>
      <c r="G111" s="239">
        <v>0</v>
      </c>
      <c r="H111" s="239">
        <v>0</v>
      </c>
      <c r="I111" s="239">
        <v>0</v>
      </c>
      <c r="J111" s="239">
        <v>0</v>
      </c>
      <c r="K111" s="239">
        <v>0</v>
      </c>
      <c r="L111" s="239">
        <v>0</v>
      </c>
      <c r="M111" s="239">
        <v>0</v>
      </c>
      <c r="N111" s="240">
        <v>0</v>
      </c>
      <c r="O111" s="239">
        <v>0</v>
      </c>
      <c r="P111" s="239">
        <v>0</v>
      </c>
      <c r="Q111" s="239">
        <v>0</v>
      </c>
      <c r="R111" s="239">
        <v>0</v>
      </c>
      <c r="S111" s="239">
        <v>0</v>
      </c>
      <c r="T111" s="239">
        <v>0</v>
      </c>
      <c r="U111" s="239">
        <v>0</v>
      </c>
      <c r="V111" s="239">
        <v>0</v>
      </c>
      <c r="W111" s="239">
        <v>0</v>
      </c>
      <c r="X111" s="239">
        <v>0</v>
      </c>
      <c r="Y111" s="239">
        <v>0</v>
      </c>
      <c r="Z111" s="239"/>
      <c r="AA111" s="239"/>
      <c r="AB111" s="239"/>
      <c r="AC111" s="239"/>
      <c r="AD111" s="239"/>
      <c r="AE111" s="239"/>
      <c r="AF111" s="239"/>
      <c r="AG111" s="239"/>
      <c r="AH111" s="239"/>
      <c r="AI111" s="239"/>
      <c r="AJ111" s="239"/>
      <c r="AK111" s="239"/>
      <c r="AL111" s="239"/>
      <c r="AM111" s="239"/>
      <c r="AN111" s="239"/>
      <c r="AO111" s="239"/>
      <c r="AP111" s="239"/>
      <c r="AQ111" s="239"/>
      <c r="AR111" s="252"/>
      <c r="AS111" s="77">
        <f t="shared" ca="1" si="42"/>
        <v>0</v>
      </c>
      <c r="AT111" s="255">
        <f t="shared" si="43"/>
        <v>0</v>
      </c>
      <c r="AU111" s="51"/>
      <c r="AV111" s="51"/>
      <c r="AW111" s="13">
        <f>+IF(AX111="","",IF(AX111&gt;AX110,AW110,IF(AW110&lt;$D$69,AW110+1,IF(COUNT(AW$4:AW110)&lt;$B$69*$E$54,1,""))))</f>
        <v>9</v>
      </c>
      <c r="AX111" s="13">
        <f>+IF(AX110&lt;$B$69,AX110+1,IF(COUNT(AX$4:AX110)&lt;$B$69*$D$69,1,""))</f>
        <v>4</v>
      </c>
      <c r="AY111" s="189" t="str">
        <f t="shared" ca="1" si="44"/>
        <v>LAVALLE</v>
      </c>
      <c r="AZ111" s="36">
        <f ca="1">+IF(AZ$3="","",IF($AY111="","",IFERROR(INDEX('Data Consolidada'!$E$7:$E$891,MATCH(CONCATENATE(AZ$3,"-",$CP111,"-",$AY111),'Data Consolidada'!$K$7:$K$891,0)),MAX('Data Consolidada'!$E$7:$E$3000))))</f>
        <v>11000000</v>
      </c>
      <c r="BA111" s="32">
        <f ca="1">+IF(BA$3="","",IF($AY111="","",IFERROR(INDEX('Data Consolidada'!$E$7:$E$891,MATCH(CONCATENATE(BA$3,"-",$CP111,"-",$AY111),'Data Consolidada'!$K$7:$K$891,0)),MAX('Data Consolidada'!$E$7:$E$3000))))</f>
        <v>11000000</v>
      </c>
      <c r="BB111" s="32" t="str">
        <f>+IF(BB$3="","",IF($AY111="","",IFERROR(INDEX('Data Consolidada'!$E$7:$E$891,MATCH(CONCATENATE(BB$3,"-",$CP111,"-",$AY111),'Data Consolidada'!$K$7:$K$891,0)),MAX('Data Consolidada'!$E$7:$E$3000))))</f>
        <v/>
      </c>
      <c r="BC111" s="32" t="str">
        <f>+IF(BC$3="","",IF($AY111="","",IFERROR(INDEX('Data Consolidada'!$E$7:$E$891,MATCH(CONCATENATE(BC$3,"-",$CP111,"-",$AY111),'Data Consolidada'!$K$7:$K$891,0)),MAX('Data Consolidada'!$E$7:$E$3000))))</f>
        <v/>
      </c>
      <c r="BD111" s="32" t="str">
        <f>+IF(BD$3="","",IF($AY111="","",IFERROR(INDEX('Data Consolidada'!$E$7:$E$891,MATCH(CONCATENATE(BD$3,"-",$CP111,"-",$AY111),'Data Consolidada'!$K$7:$K$891,0)),MAX('Data Consolidada'!$E$7:$E$3000))))</f>
        <v/>
      </c>
      <c r="BE111" s="32" t="str">
        <f>+IF(BE$3="","",IF($AY111="","",IFERROR(INDEX('Data Consolidada'!$E$7:$E$891,MATCH(CONCATENATE(BE$3,"-",$CP111,"-",$AY111),'Data Consolidada'!$K$7:$K$891,0)),MAX('Data Consolidada'!$E$7:$E$3000))))</f>
        <v/>
      </c>
      <c r="BF111" s="32" t="str">
        <f>+IF(BF$3="","",IF($AY111="","",IFERROR(INDEX('Data Consolidada'!$E$7:$E$891,MATCH(CONCATENATE(BF$3,"-",$CP111,"-",$AY111),'Data Consolidada'!$K$7:$K$891,0)),MAX('Data Consolidada'!$E$7:$E$3000))))</f>
        <v/>
      </c>
      <c r="BG111" s="32" t="str">
        <f>+IF(BG$3="","",IF($AY111="","",IFERROR(INDEX('Data Consolidada'!$E$7:$E$891,MATCH(CONCATENATE(BG$3,"-",$CP111,"-",$AY111),'Data Consolidada'!$K$7:$K$891,0)),MAX('Data Consolidada'!$E$7:$E$3000))))</f>
        <v/>
      </c>
      <c r="BH111" s="32" t="str">
        <f>+IF(BH$3="","",IF($AY111="","",IFERROR(INDEX('Data Consolidada'!$E$7:$E$891,MATCH(CONCATENATE(BH$3,"-",$CP111,"-",$AY111),'Data Consolidada'!$K$7:$K$891,0)),MAX('Data Consolidada'!$E$7:$E$3000))))</f>
        <v/>
      </c>
      <c r="BI111" s="32" t="str">
        <f>+IF(BI$3="","",IF($AY111="","",IFERROR(INDEX('Data Consolidada'!$E$7:$E$891,MATCH(CONCATENATE(BI$3,"-",$CP111,"-",$AY111),'Data Consolidada'!$K$7:$K$891,0)),MAX('Data Consolidada'!$E$7:$E$3000))))</f>
        <v/>
      </c>
      <c r="BJ111" s="32" t="str">
        <f>+IF(BJ$3="","",IF($AY111="","",IFERROR(INDEX('Data Consolidada'!$E$7:$E$891,MATCH(CONCATENATE(BJ$3,"-",$CP111,"-",$AY111),'Data Consolidada'!$K$7:$K$891,0)),MAX('Data Consolidada'!$E$7:$E$3000))))</f>
        <v/>
      </c>
      <c r="BK111" s="32" t="str">
        <f>+IF(BK$3="","",IF($AY111="","",IFERROR(INDEX('Data Consolidada'!$E$7:$E$891,MATCH(CONCATENATE(BK$3,"-",$CP111,"-",$AY111),'Data Consolidada'!$K$7:$K$891,0)),MAX('Data Consolidada'!$E$7:$E$3000))))</f>
        <v/>
      </c>
      <c r="BL111" s="32" t="str">
        <f>+IF(BL$3="","",IF($AY111="","",IFERROR(INDEX('Data Consolidada'!$E$7:$E$891,MATCH(CONCATENATE(BL$3,"-",$CP111,"-",$AY111),'Data Consolidada'!$K$7:$K$891,0)),MAX('Data Consolidada'!$E$7:$E$3000))))</f>
        <v/>
      </c>
      <c r="BM111" s="32" t="str">
        <f>+IF(BM$3="","",IF($AY111="","",IFERROR(INDEX('Data Consolidada'!$E$7:$E$891,MATCH(CONCATENATE(BM$3,"-",$CP111,"-",$AY111),'Data Consolidada'!$K$7:$K$891,0)),MAX('Data Consolidada'!$E$7:$E$3000))))</f>
        <v/>
      </c>
      <c r="BN111" s="32" t="str">
        <f>+IF(BN$3="","",IF($AY111="","",IFERROR(INDEX('Data Consolidada'!$E$7:$E$891,MATCH(CONCATENATE(BN$3,"-",$CP111,"-",$AY111),'Data Consolidada'!$K$7:$K$891,0)),MAX('Data Consolidada'!$E$7:$E$3000))))</f>
        <v/>
      </c>
      <c r="BO111" s="32" t="str">
        <f>+IF(BO$3="","",IF($AY111="","",IFERROR(INDEX('Data Consolidada'!$E$7:$E$891,MATCH(CONCATENATE(BO$3,"-",$CP111,"-",$AY111),'Data Consolidada'!$K$7:$K$891,0)),MAX('Data Consolidada'!$E$7:$E$3000))))</f>
        <v/>
      </c>
      <c r="BP111" s="32" t="str">
        <f>+IF(BP$3="","",IF($AY111="","",IFERROR(INDEX('Data Consolidada'!$E$7:$E$891,MATCH(CONCATENATE(BP$3,"-",$CP111,"-",$AY111),'Data Consolidada'!$K$7:$K$891,0)),MAX('Data Consolidada'!$E$7:$E$3000))))</f>
        <v/>
      </c>
      <c r="BQ111" s="32" t="str">
        <f>+IF(BQ$3="","",IF($AY111="","",IFERROR(INDEX('Data Consolidada'!$E$7:$E$891,MATCH(CONCATENATE(BQ$3,"-",$CP111,"-",$AY111),'Data Consolidada'!$K$7:$K$891,0)),MAX('Data Consolidada'!$E$7:$E$3000))))</f>
        <v/>
      </c>
      <c r="BR111" s="32" t="str">
        <f>+IF(BR$3="","",IF($AY111="","",IFERROR(INDEX('Data Consolidada'!$E$7:$E$891,MATCH(CONCATENATE(BR$3,"-",$CP111,"-",$AY111),'Data Consolidada'!$K$7:$K$891,0)),MAX('Data Consolidada'!$E$7:$E$3000))))</f>
        <v/>
      </c>
      <c r="BS111" s="32" t="str">
        <f>+IF(BS$3="","",IF($AY111="","",IFERROR(INDEX('Data Consolidada'!$E$7:$E$891,MATCH(CONCATENATE(BS$3,"-",$CP111,"-",$AY111),'Data Consolidada'!$K$7:$K$891,0)),MAX('Data Consolidada'!$E$7:$E$3000))))</f>
        <v/>
      </c>
      <c r="BT111" s="32" t="str">
        <f>+IF(BT$3="","",IF($AY111="","",IFERROR(INDEX('Data Consolidada'!$E$7:$E$891,MATCH(CONCATENATE(BT$3,"-",$CP111,"-",$AY111),'Data Consolidada'!$K$7:$K$891,0)),MAX('Data Consolidada'!$E$7:$E$3000))))</f>
        <v/>
      </c>
      <c r="BU111" s="32" t="str">
        <f>+IF(BU$3="","",IF($AY111="","",IFERROR(INDEX('Data Consolidada'!$E$7:$E$891,MATCH(CONCATENATE(BU$3,"-",$CP111,"-",$AY111),'Data Consolidada'!$K$7:$K$891,0)),MAX('Data Consolidada'!$E$7:$E$3000))))</f>
        <v/>
      </c>
      <c r="BV111" s="32" t="str">
        <f>+IF(BV$3="","",IF($AY111="","",IFERROR(INDEX('Data Consolidada'!$E$7:$E$891,MATCH(CONCATENATE(BV$3,"-",$CP111,"-",$AY111),'Data Consolidada'!$K$7:$K$891,0)),MAX('Data Consolidada'!$E$7:$E$3000))))</f>
        <v/>
      </c>
      <c r="BW111" s="32" t="str">
        <f>+IF(BW$3="","",IF($AY111="","",IFERROR(INDEX('Data Consolidada'!$E$7:$E$891,MATCH(CONCATENATE(BW$3,"-",$CP111,"-",$AY111),'Data Consolidada'!$K$7:$K$891,0)),MAX('Data Consolidada'!$E$7:$E$3000))))</f>
        <v/>
      </c>
      <c r="BX111" s="32" t="str">
        <f>+IF(BX$3="","",IF($AY111="","",IFERROR(INDEX('Data Consolidada'!$E$7:$E$891,MATCH(CONCATENATE(BX$3,"-",$CP111,"-",$AY111),'Data Consolidada'!$K$7:$K$891,0)),MAX('Data Consolidada'!$E$7:$E$3000))))</f>
        <v/>
      </c>
      <c r="BY111" s="32" t="str">
        <f>+IF(BY$3="","",IF($AY111="","",IFERROR(INDEX('Data Consolidada'!$E$7:$E$891,MATCH(CONCATENATE(BY$3,"-",$CP111,"-",$AY111),'Data Consolidada'!$K$7:$K$891,0)),MAX('Data Consolidada'!$E$7:$E$3000))))</f>
        <v/>
      </c>
      <c r="BZ111" s="32" t="str">
        <f>+IF(BZ$3="","",IF($AY111="","",IFERROR(INDEX('Data Consolidada'!$E$7:$E$891,MATCH(CONCATENATE(BZ$3,"-",$CP111,"-",$AY111),'Data Consolidada'!$K$7:$K$891,0)),MAX('Data Consolidada'!$E$7:$E$3000))))</f>
        <v/>
      </c>
      <c r="CA111" s="32" t="str">
        <f>+IF(CA$3="","",IF($AY111="","",IFERROR(INDEX('Data Consolidada'!$E$7:$E$891,MATCH(CONCATENATE(CA$3,"-",$CP111,"-",$AY111),'Data Consolidada'!$K$7:$K$891,0)),MAX('Data Consolidada'!$E$7:$E$3000))))</f>
        <v/>
      </c>
      <c r="CB111" s="32" t="str">
        <f>+IF(CB$3="","",IF($AY111="","",IFERROR(INDEX('Data Consolidada'!$E$7:$E$891,MATCH(CONCATENATE(CB$3,"-",$CP111,"-",$AY111),'Data Consolidada'!$K$7:$K$891,0)),MAX('Data Consolidada'!$E$7:$E$3000))))</f>
        <v/>
      </c>
      <c r="CC111" s="32" t="str">
        <f>+IF(CC$3="","",IF($AY111="","",IFERROR(INDEX('Data Consolidada'!$E$7:$E$891,MATCH(CONCATENATE(CC$3,"-",$CP111,"-",$AY111),'Data Consolidada'!$K$7:$K$891,0)),MAX('Data Consolidada'!$E$7:$E$3000))))</f>
        <v/>
      </c>
      <c r="CD111" s="32" t="str">
        <f>+IF(CD$3="","",IF($AY111="","",IFERROR(INDEX('Data Consolidada'!$E$7:$E$891,MATCH(CONCATENATE(CD$3,"-",$CP111,"-",$AY111),'Data Consolidada'!$K$7:$K$891,0)),MAX('Data Consolidada'!$E$7:$E$3000))))</f>
        <v/>
      </c>
      <c r="CE111" s="32" t="str">
        <f>+IF(CE$3="","",IF($AY111="","",IFERROR(INDEX('Data Consolidada'!$E$7:$E$891,MATCH(CONCATENATE(CE$3,"-",$CP111,"-",$AY111),'Data Consolidada'!$K$7:$K$891,0)),MAX('Data Consolidada'!$E$7:$E$3000))))</f>
        <v/>
      </c>
      <c r="CF111" s="32" t="str">
        <f>+IF(CF$3="","",IF($AY111="","",IFERROR(INDEX('Data Consolidada'!$E$7:$E$891,MATCH(CONCATENATE(CF$3,"-",$CP111,"-",$AY111),'Data Consolidada'!$K$7:$K$891,0)),MAX('Data Consolidada'!$E$7:$E$3000))))</f>
        <v/>
      </c>
      <c r="CG111" s="32" t="str">
        <f>+IF(CG$3="","",IF($AY111="","",IFERROR(INDEX('Data Consolidada'!$E$7:$E$891,MATCH(CONCATENATE(CG$3,"-",$CP111,"-",$AY111),'Data Consolidada'!$K$7:$K$891,0)),MAX('Data Consolidada'!$E$7:$E$3000))))</f>
        <v/>
      </c>
      <c r="CH111" s="32" t="str">
        <f>+IF(CH$3="","",IF($AY111="","",IFERROR(INDEX('Data Consolidada'!$E$7:$E$891,MATCH(CONCATENATE(CH$3,"-",$CP111,"-",$AY111),'Data Consolidada'!$K$7:$K$891,0)),MAX('Data Consolidada'!$E$7:$E$3000))))</f>
        <v/>
      </c>
      <c r="CI111" s="32" t="str">
        <f>+IF(CI$3="","",IF($AY111="","",IFERROR(INDEX('Data Consolidada'!$E$7:$E$891,MATCH(CONCATENATE(CI$3,"-",$CP111,"-",$AY111),'Data Consolidada'!$K$7:$K$891,0)),MAX('Data Consolidada'!$E$7:$E$3000))))</f>
        <v/>
      </c>
      <c r="CJ111" s="32" t="str">
        <f>+IF(CJ$3="","",IF($AY111="","",IFERROR(INDEX('Data Consolidada'!$E$7:$E$891,MATCH(CONCATENATE(CJ$3,"-",$CP111,"-",$AY111),'Data Consolidada'!$K$7:$K$891,0)),MAX('Data Consolidada'!$E$7:$E$3000))))</f>
        <v/>
      </c>
      <c r="CK111" s="32" t="str">
        <f>+IF(CK$3="","",IF($AY111="","",IFERROR(INDEX('Data Consolidada'!$E$7:$E$891,MATCH(CONCATENATE(CK$3,"-",$CP111,"-",$AY111),'Data Consolidada'!$K$7:$K$891,0)),MAX('Data Consolidada'!$E$7:$E$3000))))</f>
        <v/>
      </c>
      <c r="CL111" s="32" t="str">
        <f>+IF(CL$3="","",IF($AY111="","",IFERROR(INDEX('Data Consolidada'!$E$7:$E$891,MATCH(CONCATENATE(CL$3,"-",$CP111,"-",$AY111),'Data Consolidada'!$K$7:$K$891,0)),MAX('Data Consolidada'!$E$7:$E$3000))))</f>
        <v/>
      </c>
      <c r="CM111" s="32" t="str">
        <f>+IF(CM$3="","",IF($AY111="","",IFERROR(INDEX('Data Consolidada'!$E$7:$E$891,MATCH(CONCATENATE(CM$3,"-",$CP111,"-",$AY111),'Data Consolidada'!$K$7:$K$891,0)),MAX('Data Consolidada'!$E$7:$E$3000))))</f>
        <v/>
      </c>
      <c r="CN111" s="32" t="str">
        <f>+IF(CN$3="","",IF($AY111="","",IFERROR(INDEX('Data Consolidada'!$E$7:$E$891,MATCH(CONCATENATE(CN$3,"-",$CP111,"-",$AY111),'Data Consolidada'!$K$7:$K$891,0)),MAX('Data Consolidada'!$E$7:$E$3000))))</f>
        <v/>
      </c>
      <c r="CO111" s="37" t="str">
        <f>+IF(CO$3="","",IF($AY111="","",IFERROR(INDEX('Data Consolidada'!$E$7:$E$891,MATCH(CONCATENATE(CO$3,"-",$CP111,"-",$AY111),'Data Consolidada'!$K$7:$K$891,0)),MAX('Data Consolidada'!$E$7:$E$3000))))</f>
        <v/>
      </c>
      <c r="CP111" s="224">
        <f t="shared" ca="1" si="45"/>
        <v>0</v>
      </c>
      <c r="CQ111" s="84" t="str">
        <f t="shared" ca="1" si="39"/>
        <v>LAVALLE0</v>
      </c>
    </row>
    <row r="112" spans="2:95" ht="15" customHeight="1" x14ac:dyDescent="0.35">
      <c r="B112" s="218" t="str">
        <f t="shared" ca="1" si="41"/>
        <v xml:space="preserve">CRISTIAN LÓPEZ </v>
      </c>
      <c r="C112" s="238">
        <v>0</v>
      </c>
      <c r="D112" s="239">
        <v>0</v>
      </c>
      <c r="E112" s="239">
        <v>0</v>
      </c>
      <c r="F112" s="239">
        <v>0</v>
      </c>
      <c r="G112" s="239">
        <v>0</v>
      </c>
      <c r="H112" s="239">
        <v>0</v>
      </c>
      <c r="I112" s="239">
        <v>0</v>
      </c>
      <c r="J112" s="239">
        <v>0</v>
      </c>
      <c r="K112" s="239">
        <v>0</v>
      </c>
      <c r="L112" s="239">
        <v>0</v>
      </c>
      <c r="M112" s="239">
        <v>0</v>
      </c>
      <c r="N112" s="240">
        <v>0</v>
      </c>
      <c r="O112" s="239">
        <v>0</v>
      </c>
      <c r="P112" s="239">
        <v>0</v>
      </c>
      <c r="Q112" s="239">
        <v>0</v>
      </c>
      <c r="R112" s="239">
        <v>0</v>
      </c>
      <c r="S112" s="239">
        <v>0</v>
      </c>
      <c r="T112" s="239">
        <v>0</v>
      </c>
      <c r="U112" s="239">
        <v>0</v>
      </c>
      <c r="V112" s="239">
        <v>0</v>
      </c>
      <c r="W112" s="239">
        <v>0</v>
      </c>
      <c r="X112" s="239">
        <v>0</v>
      </c>
      <c r="Y112" s="239">
        <v>0</v>
      </c>
      <c r="Z112" s="239"/>
      <c r="AA112" s="239"/>
      <c r="AB112" s="239"/>
      <c r="AC112" s="239"/>
      <c r="AD112" s="239"/>
      <c r="AE112" s="239"/>
      <c r="AF112" s="239"/>
      <c r="AG112" s="239"/>
      <c r="AH112" s="239"/>
      <c r="AI112" s="239"/>
      <c r="AJ112" s="239"/>
      <c r="AK112" s="239"/>
      <c r="AL112" s="239"/>
      <c r="AM112" s="239"/>
      <c r="AN112" s="239"/>
      <c r="AO112" s="239"/>
      <c r="AP112" s="239"/>
      <c r="AQ112" s="239"/>
      <c r="AR112" s="252"/>
      <c r="AS112" s="77">
        <f t="shared" ca="1" si="42"/>
        <v>0</v>
      </c>
      <c r="AT112" s="255">
        <f t="shared" si="43"/>
        <v>0</v>
      </c>
      <c r="AU112" s="51"/>
      <c r="AV112" s="51"/>
      <c r="AW112" s="13">
        <f>+IF(AX112="","",IF(AX112&gt;AX111,AW111,IF(AW111&lt;$D$69,AW111+1,IF(COUNT(AW$4:AW111)&lt;$B$69*$E$54,1,""))))</f>
        <v>9</v>
      </c>
      <c r="AX112" s="13">
        <f>+IF(AX111&lt;$B$69,AX111+1,IF(COUNT(AX$4:AX111)&lt;$B$69*$D$69,1,""))</f>
        <v>5</v>
      </c>
      <c r="AY112" s="189" t="str">
        <f t="shared" ca="1" si="44"/>
        <v>MACEBE</v>
      </c>
      <c r="AZ112" s="36">
        <f ca="1">+IF(AZ$3="","",IF($AY112="","",IFERROR(INDEX('Data Consolidada'!$E$7:$E$891,MATCH(CONCATENATE(AZ$3,"-",$CP112,"-",$AY112),'Data Consolidada'!$K$7:$K$891,0)),MAX('Data Consolidada'!$E$7:$E$3000))))</f>
        <v>11000000</v>
      </c>
      <c r="BA112" s="32">
        <f ca="1">+IF(BA$3="","",IF($AY112="","",IFERROR(INDEX('Data Consolidada'!$E$7:$E$891,MATCH(CONCATENATE(BA$3,"-",$CP112,"-",$AY112),'Data Consolidada'!$K$7:$K$891,0)),MAX('Data Consolidada'!$E$7:$E$3000))))</f>
        <v>11000000</v>
      </c>
      <c r="BB112" s="32" t="str">
        <f>+IF(BB$3="","",IF($AY112="","",IFERROR(INDEX('Data Consolidada'!$E$7:$E$891,MATCH(CONCATENATE(BB$3,"-",$CP112,"-",$AY112),'Data Consolidada'!$K$7:$K$891,0)),MAX('Data Consolidada'!$E$7:$E$3000))))</f>
        <v/>
      </c>
      <c r="BC112" s="32" t="str">
        <f>+IF(BC$3="","",IF($AY112="","",IFERROR(INDEX('Data Consolidada'!$E$7:$E$891,MATCH(CONCATENATE(BC$3,"-",$CP112,"-",$AY112),'Data Consolidada'!$K$7:$K$891,0)),MAX('Data Consolidada'!$E$7:$E$3000))))</f>
        <v/>
      </c>
      <c r="BD112" s="32" t="str">
        <f>+IF(BD$3="","",IF($AY112="","",IFERROR(INDEX('Data Consolidada'!$E$7:$E$891,MATCH(CONCATENATE(BD$3,"-",$CP112,"-",$AY112),'Data Consolidada'!$K$7:$K$891,0)),MAX('Data Consolidada'!$E$7:$E$3000))))</f>
        <v/>
      </c>
      <c r="BE112" s="32" t="str">
        <f>+IF(BE$3="","",IF($AY112="","",IFERROR(INDEX('Data Consolidada'!$E$7:$E$891,MATCH(CONCATENATE(BE$3,"-",$CP112,"-",$AY112),'Data Consolidada'!$K$7:$K$891,0)),MAX('Data Consolidada'!$E$7:$E$3000))))</f>
        <v/>
      </c>
      <c r="BF112" s="32" t="str">
        <f>+IF(BF$3="","",IF($AY112="","",IFERROR(INDEX('Data Consolidada'!$E$7:$E$891,MATCH(CONCATENATE(BF$3,"-",$CP112,"-",$AY112),'Data Consolidada'!$K$7:$K$891,0)),MAX('Data Consolidada'!$E$7:$E$3000))))</f>
        <v/>
      </c>
      <c r="BG112" s="32" t="str">
        <f>+IF(BG$3="","",IF($AY112="","",IFERROR(INDEX('Data Consolidada'!$E$7:$E$891,MATCH(CONCATENATE(BG$3,"-",$CP112,"-",$AY112),'Data Consolidada'!$K$7:$K$891,0)),MAX('Data Consolidada'!$E$7:$E$3000))))</f>
        <v/>
      </c>
      <c r="BH112" s="32" t="str">
        <f>+IF(BH$3="","",IF($AY112="","",IFERROR(INDEX('Data Consolidada'!$E$7:$E$891,MATCH(CONCATENATE(BH$3,"-",$CP112,"-",$AY112),'Data Consolidada'!$K$7:$K$891,0)),MAX('Data Consolidada'!$E$7:$E$3000))))</f>
        <v/>
      </c>
      <c r="BI112" s="32" t="str">
        <f>+IF(BI$3="","",IF($AY112="","",IFERROR(INDEX('Data Consolidada'!$E$7:$E$891,MATCH(CONCATENATE(BI$3,"-",$CP112,"-",$AY112),'Data Consolidada'!$K$7:$K$891,0)),MAX('Data Consolidada'!$E$7:$E$3000))))</f>
        <v/>
      </c>
      <c r="BJ112" s="32" t="str">
        <f>+IF(BJ$3="","",IF($AY112="","",IFERROR(INDEX('Data Consolidada'!$E$7:$E$891,MATCH(CONCATENATE(BJ$3,"-",$CP112,"-",$AY112),'Data Consolidada'!$K$7:$K$891,0)),MAX('Data Consolidada'!$E$7:$E$3000))))</f>
        <v/>
      </c>
      <c r="BK112" s="32" t="str">
        <f>+IF(BK$3="","",IF($AY112="","",IFERROR(INDEX('Data Consolidada'!$E$7:$E$891,MATCH(CONCATENATE(BK$3,"-",$CP112,"-",$AY112),'Data Consolidada'!$K$7:$K$891,0)),MAX('Data Consolidada'!$E$7:$E$3000))))</f>
        <v/>
      </c>
      <c r="BL112" s="32" t="str">
        <f>+IF(BL$3="","",IF($AY112="","",IFERROR(INDEX('Data Consolidada'!$E$7:$E$891,MATCH(CONCATENATE(BL$3,"-",$CP112,"-",$AY112),'Data Consolidada'!$K$7:$K$891,0)),MAX('Data Consolidada'!$E$7:$E$3000))))</f>
        <v/>
      </c>
      <c r="BM112" s="32" t="str">
        <f>+IF(BM$3="","",IF($AY112="","",IFERROR(INDEX('Data Consolidada'!$E$7:$E$891,MATCH(CONCATENATE(BM$3,"-",$CP112,"-",$AY112),'Data Consolidada'!$K$7:$K$891,0)),MAX('Data Consolidada'!$E$7:$E$3000))))</f>
        <v/>
      </c>
      <c r="BN112" s="32" t="str">
        <f>+IF(BN$3="","",IF($AY112="","",IFERROR(INDEX('Data Consolidada'!$E$7:$E$891,MATCH(CONCATENATE(BN$3,"-",$CP112,"-",$AY112),'Data Consolidada'!$K$7:$K$891,0)),MAX('Data Consolidada'!$E$7:$E$3000))))</f>
        <v/>
      </c>
      <c r="BO112" s="32" t="str">
        <f>+IF(BO$3="","",IF($AY112="","",IFERROR(INDEX('Data Consolidada'!$E$7:$E$891,MATCH(CONCATENATE(BO$3,"-",$CP112,"-",$AY112),'Data Consolidada'!$K$7:$K$891,0)),MAX('Data Consolidada'!$E$7:$E$3000))))</f>
        <v/>
      </c>
      <c r="BP112" s="32" t="str">
        <f>+IF(BP$3="","",IF($AY112="","",IFERROR(INDEX('Data Consolidada'!$E$7:$E$891,MATCH(CONCATENATE(BP$3,"-",$CP112,"-",$AY112),'Data Consolidada'!$K$7:$K$891,0)),MAX('Data Consolidada'!$E$7:$E$3000))))</f>
        <v/>
      </c>
      <c r="BQ112" s="32" t="str">
        <f>+IF(BQ$3="","",IF($AY112="","",IFERROR(INDEX('Data Consolidada'!$E$7:$E$891,MATCH(CONCATENATE(BQ$3,"-",$CP112,"-",$AY112),'Data Consolidada'!$K$7:$K$891,0)),MAX('Data Consolidada'!$E$7:$E$3000))))</f>
        <v/>
      </c>
      <c r="BR112" s="32" t="str">
        <f>+IF(BR$3="","",IF($AY112="","",IFERROR(INDEX('Data Consolidada'!$E$7:$E$891,MATCH(CONCATENATE(BR$3,"-",$CP112,"-",$AY112),'Data Consolidada'!$K$7:$K$891,0)),MAX('Data Consolidada'!$E$7:$E$3000))))</f>
        <v/>
      </c>
      <c r="BS112" s="32" t="str">
        <f>+IF(BS$3="","",IF($AY112="","",IFERROR(INDEX('Data Consolidada'!$E$7:$E$891,MATCH(CONCATENATE(BS$3,"-",$CP112,"-",$AY112),'Data Consolidada'!$K$7:$K$891,0)),MAX('Data Consolidada'!$E$7:$E$3000))))</f>
        <v/>
      </c>
      <c r="BT112" s="32" t="str">
        <f>+IF(BT$3="","",IF($AY112="","",IFERROR(INDEX('Data Consolidada'!$E$7:$E$891,MATCH(CONCATENATE(BT$3,"-",$CP112,"-",$AY112),'Data Consolidada'!$K$7:$K$891,0)),MAX('Data Consolidada'!$E$7:$E$3000))))</f>
        <v/>
      </c>
      <c r="BU112" s="32" t="str">
        <f>+IF(BU$3="","",IF($AY112="","",IFERROR(INDEX('Data Consolidada'!$E$7:$E$891,MATCH(CONCATENATE(BU$3,"-",$CP112,"-",$AY112),'Data Consolidada'!$K$7:$K$891,0)),MAX('Data Consolidada'!$E$7:$E$3000))))</f>
        <v/>
      </c>
      <c r="BV112" s="32" t="str">
        <f>+IF(BV$3="","",IF($AY112="","",IFERROR(INDEX('Data Consolidada'!$E$7:$E$891,MATCH(CONCATENATE(BV$3,"-",$CP112,"-",$AY112),'Data Consolidada'!$K$7:$K$891,0)),MAX('Data Consolidada'!$E$7:$E$3000))))</f>
        <v/>
      </c>
      <c r="BW112" s="32" t="str">
        <f>+IF(BW$3="","",IF($AY112="","",IFERROR(INDEX('Data Consolidada'!$E$7:$E$891,MATCH(CONCATENATE(BW$3,"-",$CP112,"-",$AY112),'Data Consolidada'!$K$7:$K$891,0)),MAX('Data Consolidada'!$E$7:$E$3000))))</f>
        <v/>
      </c>
      <c r="BX112" s="32" t="str">
        <f>+IF(BX$3="","",IF($AY112="","",IFERROR(INDEX('Data Consolidada'!$E$7:$E$891,MATCH(CONCATENATE(BX$3,"-",$CP112,"-",$AY112),'Data Consolidada'!$K$7:$K$891,0)),MAX('Data Consolidada'!$E$7:$E$3000))))</f>
        <v/>
      </c>
      <c r="BY112" s="32" t="str">
        <f>+IF(BY$3="","",IF($AY112="","",IFERROR(INDEX('Data Consolidada'!$E$7:$E$891,MATCH(CONCATENATE(BY$3,"-",$CP112,"-",$AY112),'Data Consolidada'!$K$7:$K$891,0)),MAX('Data Consolidada'!$E$7:$E$3000))))</f>
        <v/>
      </c>
      <c r="BZ112" s="32" t="str">
        <f>+IF(BZ$3="","",IF($AY112="","",IFERROR(INDEX('Data Consolidada'!$E$7:$E$891,MATCH(CONCATENATE(BZ$3,"-",$CP112,"-",$AY112),'Data Consolidada'!$K$7:$K$891,0)),MAX('Data Consolidada'!$E$7:$E$3000))))</f>
        <v/>
      </c>
      <c r="CA112" s="32" t="str">
        <f>+IF(CA$3="","",IF($AY112="","",IFERROR(INDEX('Data Consolidada'!$E$7:$E$891,MATCH(CONCATENATE(CA$3,"-",$CP112,"-",$AY112),'Data Consolidada'!$K$7:$K$891,0)),MAX('Data Consolidada'!$E$7:$E$3000))))</f>
        <v/>
      </c>
      <c r="CB112" s="32" t="str">
        <f>+IF(CB$3="","",IF($AY112="","",IFERROR(INDEX('Data Consolidada'!$E$7:$E$891,MATCH(CONCATENATE(CB$3,"-",$CP112,"-",$AY112),'Data Consolidada'!$K$7:$K$891,0)),MAX('Data Consolidada'!$E$7:$E$3000))))</f>
        <v/>
      </c>
      <c r="CC112" s="32" t="str">
        <f>+IF(CC$3="","",IF($AY112="","",IFERROR(INDEX('Data Consolidada'!$E$7:$E$891,MATCH(CONCATENATE(CC$3,"-",$CP112,"-",$AY112),'Data Consolidada'!$K$7:$K$891,0)),MAX('Data Consolidada'!$E$7:$E$3000))))</f>
        <v/>
      </c>
      <c r="CD112" s="32" t="str">
        <f>+IF(CD$3="","",IF($AY112="","",IFERROR(INDEX('Data Consolidada'!$E$7:$E$891,MATCH(CONCATENATE(CD$3,"-",$CP112,"-",$AY112),'Data Consolidada'!$K$7:$K$891,0)),MAX('Data Consolidada'!$E$7:$E$3000))))</f>
        <v/>
      </c>
      <c r="CE112" s="32" t="str">
        <f>+IF(CE$3="","",IF($AY112="","",IFERROR(INDEX('Data Consolidada'!$E$7:$E$891,MATCH(CONCATENATE(CE$3,"-",$CP112,"-",$AY112),'Data Consolidada'!$K$7:$K$891,0)),MAX('Data Consolidada'!$E$7:$E$3000))))</f>
        <v/>
      </c>
      <c r="CF112" s="32" t="str">
        <f>+IF(CF$3="","",IF($AY112="","",IFERROR(INDEX('Data Consolidada'!$E$7:$E$891,MATCH(CONCATENATE(CF$3,"-",$CP112,"-",$AY112),'Data Consolidada'!$K$7:$K$891,0)),MAX('Data Consolidada'!$E$7:$E$3000))))</f>
        <v/>
      </c>
      <c r="CG112" s="32" t="str">
        <f>+IF(CG$3="","",IF($AY112="","",IFERROR(INDEX('Data Consolidada'!$E$7:$E$891,MATCH(CONCATENATE(CG$3,"-",$CP112,"-",$AY112),'Data Consolidada'!$K$7:$K$891,0)),MAX('Data Consolidada'!$E$7:$E$3000))))</f>
        <v/>
      </c>
      <c r="CH112" s="32" t="str">
        <f>+IF(CH$3="","",IF($AY112="","",IFERROR(INDEX('Data Consolidada'!$E$7:$E$891,MATCH(CONCATENATE(CH$3,"-",$CP112,"-",$AY112),'Data Consolidada'!$K$7:$K$891,0)),MAX('Data Consolidada'!$E$7:$E$3000))))</f>
        <v/>
      </c>
      <c r="CI112" s="32" t="str">
        <f>+IF(CI$3="","",IF($AY112="","",IFERROR(INDEX('Data Consolidada'!$E$7:$E$891,MATCH(CONCATENATE(CI$3,"-",$CP112,"-",$AY112),'Data Consolidada'!$K$7:$K$891,0)),MAX('Data Consolidada'!$E$7:$E$3000))))</f>
        <v/>
      </c>
      <c r="CJ112" s="32" t="str">
        <f>+IF(CJ$3="","",IF($AY112="","",IFERROR(INDEX('Data Consolidada'!$E$7:$E$891,MATCH(CONCATENATE(CJ$3,"-",$CP112,"-",$AY112),'Data Consolidada'!$K$7:$K$891,0)),MAX('Data Consolidada'!$E$7:$E$3000))))</f>
        <v/>
      </c>
      <c r="CK112" s="32" t="str">
        <f>+IF(CK$3="","",IF($AY112="","",IFERROR(INDEX('Data Consolidada'!$E$7:$E$891,MATCH(CONCATENATE(CK$3,"-",$CP112,"-",$AY112),'Data Consolidada'!$K$7:$K$891,0)),MAX('Data Consolidada'!$E$7:$E$3000))))</f>
        <v/>
      </c>
      <c r="CL112" s="32" t="str">
        <f>+IF(CL$3="","",IF($AY112="","",IFERROR(INDEX('Data Consolidada'!$E$7:$E$891,MATCH(CONCATENATE(CL$3,"-",$CP112,"-",$AY112),'Data Consolidada'!$K$7:$K$891,0)),MAX('Data Consolidada'!$E$7:$E$3000))))</f>
        <v/>
      </c>
      <c r="CM112" s="32" t="str">
        <f>+IF(CM$3="","",IF($AY112="","",IFERROR(INDEX('Data Consolidada'!$E$7:$E$891,MATCH(CONCATENATE(CM$3,"-",$CP112,"-",$AY112),'Data Consolidada'!$K$7:$K$891,0)),MAX('Data Consolidada'!$E$7:$E$3000))))</f>
        <v/>
      </c>
      <c r="CN112" s="32" t="str">
        <f>+IF(CN$3="","",IF($AY112="","",IFERROR(INDEX('Data Consolidada'!$E$7:$E$891,MATCH(CONCATENATE(CN$3,"-",$CP112,"-",$AY112),'Data Consolidada'!$K$7:$K$891,0)),MAX('Data Consolidada'!$E$7:$E$3000))))</f>
        <v/>
      </c>
      <c r="CO112" s="37" t="str">
        <f>+IF(CO$3="","",IF($AY112="","",IFERROR(INDEX('Data Consolidada'!$E$7:$E$891,MATCH(CONCATENATE(CO$3,"-",$CP112,"-",$AY112),'Data Consolidada'!$K$7:$K$891,0)),MAX('Data Consolidada'!$E$7:$E$3000))))</f>
        <v/>
      </c>
      <c r="CP112" s="224">
        <f t="shared" ca="1" si="45"/>
        <v>0</v>
      </c>
      <c r="CQ112" s="84" t="str">
        <f t="shared" ca="1" si="39"/>
        <v>MACEBE0</v>
      </c>
    </row>
    <row r="113" spans="2:95" ht="15" customHeight="1" x14ac:dyDescent="0.35">
      <c r="B113" s="218" t="str">
        <f t="shared" ca="1" si="41"/>
        <v xml:space="preserve">GUSTAVO ZÚÑIGA </v>
      </c>
      <c r="C113" s="238">
        <v>0</v>
      </c>
      <c r="D113" s="239">
        <v>0</v>
      </c>
      <c r="E113" s="239">
        <v>0</v>
      </c>
      <c r="F113" s="239">
        <v>0</v>
      </c>
      <c r="G113" s="239">
        <v>0</v>
      </c>
      <c r="H113" s="239">
        <v>0</v>
      </c>
      <c r="I113" s="239">
        <v>0</v>
      </c>
      <c r="J113" s="239">
        <v>0</v>
      </c>
      <c r="K113" s="239">
        <v>0</v>
      </c>
      <c r="L113" s="239">
        <v>0</v>
      </c>
      <c r="M113" s="239">
        <v>0</v>
      </c>
      <c r="N113" s="240">
        <v>0</v>
      </c>
      <c r="O113" s="239">
        <v>0</v>
      </c>
      <c r="P113" s="239">
        <v>0</v>
      </c>
      <c r="Q113" s="239">
        <v>0</v>
      </c>
      <c r="R113" s="239">
        <v>0</v>
      </c>
      <c r="S113" s="239">
        <v>0</v>
      </c>
      <c r="T113" s="239">
        <v>0</v>
      </c>
      <c r="U113" s="239">
        <v>0</v>
      </c>
      <c r="V113" s="239">
        <v>0</v>
      </c>
      <c r="W113" s="239">
        <v>0</v>
      </c>
      <c r="X113" s="239">
        <v>0</v>
      </c>
      <c r="Y113" s="239">
        <v>0</v>
      </c>
      <c r="Z113" s="239"/>
      <c r="AA113" s="239"/>
      <c r="AB113" s="239"/>
      <c r="AC113" s="239"/>
      <c r="AD113" s="239"/>
      <c r="AE113" s="239"/>
      <c r="AF113" s="239"/>
      <c r="AG113" s="239"/>
      <c r="AH113" s="239"/>
      <c r="AI113" s="239"/>
      <c r="AJ113" s="239"/>
      <c r="AK113" s="239"/>
      <c r="AL113" s="239"/>
      <c r="AM113" s="239"/>
      <c r="AN113" s="239"/>
      <c r="AO113" s="239"/>
      <c r="AP113" s="239"/>
      <c r="AQ113" s="239"/>
      <c r="AR113" s="252"/>
      <c r="AS113" s="77">
        <f t="shared" ca="1" si="42"/>
        <v>0</v>
      </c>
      <c r="AT113" s="255">
        <f t="shared" si="43"/>
        <v>0</v>
      </c>
      <c r="AU113" s="51"/>
      <c r="AV113" s="51"/>
      <c r="AW113" s="13">
        <f>+IF(AX113="","",IF(AX113&gt;AX112,AW112,IF(AW112&lt;$D$69,AW112+1,IF(COUNT(AW$4:AW112)&lt;$B$69*$E$54,1,""))))</f>
        <v>9</v>
      </c>
      <c r="AX113" s="13">
        <f>+IF(AX112&lt;$B$69,AX112+1,IF(COUNT(AX$4:AX112)&lt;$B$69*$D$69,1,""))</f>
        <v>6</v>
      </c>
      <c r="AY113" s="189" t="str">
        <f t="shared" ca="1" si="44"/>
        <v xml:space="preserve">Manuel Sepúlveda </v>
      </c>
      <c r="AZ113" s="36">
        <f ca="1">+IF(AZ$3="","",IF($AY113="","",IFERROR(INDEX('Data Consolidada'!$E$7:$E$891,MATCH(CONCATENATE(AZ$3,"-",$CP113,"-",$AY113),'Data Consolidada'!$K$7:$K$891,0)),MAX('Data Consolidada'!$E$7:$E$3000))))</f>
        <v>11000000</v>
      </c>
      <c r="BA113" s="32">
        <f ca="1">+IF(BA$3="","",IF($AY113="","",IFERROR(INDEX('Data Consolidada'!$E$7:$E$891,MATCH(CONCATENATE(BA$3,"-",$CP113,"-",$AY113),'Data Consolidada'!$K$7:$K$891,0)),MAX('Data Consolidada'!$E$7:$E$3000))))</f>
        <v>11000000</v>
      </c>
      <c r="BB113" s="32" t="str">
        <f>+IF(BB$3="","",IF($AY113="","",IFERROR(INDEX('Data Consolidada'!$E$7:$E$891,MATCH(CONCATENATE(BB$3,"-",$CP113,"-",$AY113),'Data Consolidada'!$K$7:$K$891,0)),MAX('Data Consolidada'!$E$7:$E$3000))))</f>
        <v/>
      </c>
      <c r="BC113" s="32" t="str">
        <f>+IF(BC$3="","",IF($AY113="","",IFERROR(INDEX('Data Consolidada'!$E$7:$E$891,MATCH(CONCATENATE(BC$3,"-",$CP113,"-",$AY113),'Data Consolidada'!$K$7:$K$891,0)),MAX('Data Consolidada'!$E$7:$E$3000))))</f>
        <v/>
      </c>
      <c r="BD113" s="32" t="str">
        <f>+IF(BD$3="","",IF($AY113="","",IFERROR(INDEX('Data Consolidada'!$E$7:$E$891,MATCH(CONCATENATE(BD$3,"-",$CP113,"-",$AY113),'Data Consolidada'!$K$7:$K$891,0)),MAX('Data Consolidada'!$E$7:$E$3000))))</f>
        <v/>
      </c>
      <c r="BE113" s="32" t="str">
        <f>+IF(BE$3="","",IF($AY113="","",IFERROR(INDEX('Data Consolidada'!$E$7:$E$891,MATCH(CONCATENATE(BE$3,"-",$CP113,"-",$AY113),'Data Consolidada'!$K$7:$K$891,0)),MAX('Data Consolidada'!$E$7:$E$3000))))</f>
        <v/>
      </c>
      <c r="BF113" s="32" t="str">
        <f>+IF(BF$3="","",IF($AY113="","",IFERROR(INDEX('Data Consolidada'!$E$7:$E$891,MATCH(CONCATENATE(BF$3,"-",$CP113,"-",$AY113),'Data Consolidada'!$K$7:$K$891,0)),MAX('Data Consolidada'!$E$7:$E$3000))))</f>
        <v/>
      </c>
      <c r="BG113" s="32" t="str">
        <f>+IF(BG$3="","",IF($AY113="","",IFERROR(INDEX('Data Consolidada'!$E$7:$E$891,MATCH(CONCATENATE(BG$3,"-",$CP113,"-",$AY113),'Data Consolidada'!$K$7:$K$891,0)),MAX('Data Consolidada'!$E$7:$E$3000))))</f>
        <v/>
      </c>
      <c r="BH113" s="32" t="str">
        <f>+IF(BH$3="","",IF($AY113="","",IFERROR(INDEX('Data Consolidada'!$E$7:$E$891,MATCH(CONCATENATE(BH$3,"-",$CP113,"-",$AY113),'Data Consolidada'!$K$7:$K$891,0)),MAX('Data Consolidada'!$E$7:$E$3000))))</f>
        <v/>
      </c>
      <c r="BI113" s="32" t="str">
        <f>+IF(BI$3="","",IF($AY113="","",IFERROR(INDEX('Data Consolidada'!$E$7:$E$891,MATCH(CONCATENATE(BI$3,"-",$CP113,"-",$AY113),'Data Consolidada'!$K$7:$K$891,0)),MAX('Data Consolidada'!$E$7:$E$3000))))</f>
        <v/>
      </c>
      <c r="BJ113" s="32" t="str">
        <f>+IF(BJ$3="","",IF($AY113="","",IFERROR(INDEX('Data Consolidada'!$E$7:$E$891,MATCH(CONCATENATE(BJ$3,"-",$CP113,"-",$AY113),'Data Consolidada'!$K$7:$K$891,0)),MAX('Data Consolidada'!$E$7:$E$3000))))</f>
        <v/>
      </c>
      <c r="BK113" s="32" t="str">
        <f>+IF(BK$3="","",IF($AY113="","",IFERROR(INDEX('Data Consolidada'!$E$7:$E$891,MATCH(CONCATENATE(BK$3,"-",$CP113,"-",$AY113),'Data Consolidada'!$K$7:$K$891,0)),MAX('Data Consolidada'!$E$7:$E$3000))))</f>
        <v/>
      </c>
      <c r="BL113" s="32" t="str">
        <f>+IF(BL$3="","",IF($AY113="","",IFERROR(INDEX('Data Consolidada'!$E$7:$E$891,MATCH(CONCATENATE(BL$3,"-",$CP113,"-",$AY113),'Data Consolidada'!$K$7:$K$891,0)),MAX('Data Consolidada'!$E$7:$E$3000))))</f>
        <v/>
      </c>
      <c r="BM113" s="32" t="str">
        <f>+IF(BM$3="","",IF($AY113="","",IFERROR(INDEX('Data Consolidada'!$E$7:$E$891,MATCH(CONCATENATE(BM$3,"-",$CP113,"-",$AY113),'Data Consolidada'!$K$7:$K$891,0)),MAX('Data Consolidada'!$E$7:$E$3000))))</f>
        <v/>
      </c>
      <c r="BN113" s="32" t="str">
        <f>+IF(BN$3="","",IF($AY113="","",IFERROR(INDEX('Data Consolidada'!$E$7:$E$891,MATCH(CONCATENATE(BN$3,"-",$CP113,"-",$AY113),'Data Consolidada'!$K$7:$K$891,0)),MAX('Data Consolidada'!$E$7:$E$3000))))</f>
        <v/>
      </c>
      <c r="BO113" s="32" t="str">
        <f>+IF(BO$3="","",IF($AY113="","",IFERROR(INDEX('Data Consolidada'!$E$7:$E$891,MATCH(CONCATENATE(BO$3,"-",$CP113,"-",$AY113),'Data Consolidada'!$K$7:$K$891,0)),MAX('Data Consolidada'!$E$7:$E$3000))))</f>
        <v/>
      </c>
      <c r="BP113" s="32" t="str">
        <f>+IF(BP$3="","",IF($AY113="","",IFERROR(INDEX('Data Consolidada'!$E$7:$E$891,MATCH(CONCATENATE(BP$3,"-",$CP113,"-",$AY113),'Data Consolidada'!$K$7:$K$891,0)),MAX('Data Consolidada'!$E$7:$E$3000))))</f>
        <v/>
      </c>
      <c r="BQ113" s="32" t="str">
        <f>+IF(BQ$3="","",IF($AY113="","",IFERROR(INDEX('Data Consolidada'!$E$7:$E$891,MATCH(CONCATENATE(BQ$3,"-",$CP113,"-",$AY113),'Data Consolidada'!$K$7:$K$891,0)),MAX('Data Consolidada'!$E$7:$E$3000))))</f>
        <v/>
      </c>
      <c r="BR113" s="32" t="str">
        <f>+IF(BR$3="","",IF($AY113="","",IFERROR(INDEX('Data Consolidada'!$E$7:$E$891,MATCH(CONCATENATE(BR$3,"-",$CP113,"-",$AY113),'Data Consolidada'!$K$7:$K$891,0)),MAX('Data Consolidada'!$E$7:$E$3000))))</f>
        <v/>
      </c>
      <c r="BS113" s="32" t="str">
        <f>+IF(BS$3="","",IF($AY113="","",IFERROR(INDEX('Data Consolidada'!$E$7:$E$891,MATCH(CONCATENATE(BS$3,"-",$CP113,"-",$AY113),'Data Consolidada'!$K$7:$K$891,0)),MAX('Data Consolidada'!$E$7:$E$3000))))</f>
        <v/>
      </c>
      <c r="BT113" s="32" t="str">
        <f>+IF(BT$3="","",IF($AY113="","",IFERROR(INDEX('Data Consolidada'!$E$7:$E$891,MATCH(CONCATENATE(BT$3,"-",$CP113,"-",$AY113),'Data Consolidada'!$K$7:$K$891,0)),MAX('Data Consolidada'!$E$7:$E$3000))))</f>
        <v/>
      </c>
      <c r="BU113" s="32" t="str">
        <f>+IF(BU$3="","",IF($AY113="","",IFERROR(INDEX('Data Consolidada'!$E$7:$E$891,MATCH(CONCATENATE(BU$3,"-",$CP113,"-",$AY113),'Data Consolidada'!$K$7:$K$891,0)),MAX('Data Consolidada'!$E$7:$E$3000))))</f>
        <v/>
      </c>
      <c r="BV113" s="32" t="str">
        <f>+IF(BV$3="","",IF($AY113="","",IFERROR(INDEX('Data Consolidada'!$E$7:$E$891,MATCH(CONCATENATE(BV$3,"-",$CP113,"-",$AY113),'Data Consolidada'!$K$7:$K$891,0)),MAX('Data Consolidada'!$E$7:$E$3000))))</f>
        <v/>
      </c>
      <c r="BW113" s="32" t="str">
        <f>+IF(BW$3="","",IF($AY113="","",IFERROR(INDEX('Data Consolidada'!$E$7:$E$891,MATCH(CONCATENATE(BW$3,"-",$CP113,"-",$AY113),'Data Consolidada'!$K$7:$K$891,0)),MAX('Data Consolidada'!$E$7:$E$3000))))</f>
        <v/>
      </c>
      <c r="BX113" s="32" t="str">
        <f>+IF(BX$3="","",IF($AY113="","",IFERROR(INDEX('Data Consolidada'!$E$7:$E$891,MATCH(CONCATENATE(BX$3,"-",$CP113,"-",$AY113),'Data Consolidada'!$K$7:$K$891,0)),MAX('Data Consolidada'!$E$7:$E$3000))))</f>
        <v/>
      </c>
      <c r="BY113" s="32" t="str">
        <f>+IF(BY$3="","",IF($AY113="","",IFERROR(INDEX('Data Consolidada'!$E$7:$E$891,MATCH(CONCATENATE(BY$3,"-",$CP113,"-",$AY113),'Data Consolidada'!$K$7:$K$891,0)),MAX('Data Consolidada'!$E$7:$E$3000))))</f>
        <v/>
      </c>
      <c r="BZ113" s="32" t="str">
        <f>+IF(BZ$3="","",IF($AY113="","",IFERROR(INDEX('Data Consolidada'!$E$7:$E$891,MATCH(CONCATENATE(BZ$3,"-",$CP113,"-",$AY113),'Data Consolidada'!$K$7:$K$891,0)),MAX('Data Consolidada'!$E$7:$E$3000))))</f>
        <v/>
      </c>
      <c r="CA113" s="32" t="str">
        <f>+IF(CA$3="","",IF($AY113="","",IFERROR(INDEX('Data Consolidada'!$E$7:$E$891,MATCH(CONCATENATE(CA$3,"-",$CP113,"-",$AY113),'Data Consolidada'!$K$7:$K$891,0)),MAX('Data Consolidada'!$E$7:$E$3000))))</f>
        <v/>
      </c>
      <c r="CB113" s="32" t="str">
        <f>+IF(CB$3="","",IF($AY113="","",IFERROR(INDEX('Data Consolidada'!$E$7:$E$891,MATCH(CONCATENATE(CB$3,"-",$CP113,"-",$AY113),'Data Consolidada'!$K$7:$K$891,0)),MAX('Data Consolidada'!$E$7:$E$3000))))</f>
        <v/>
      </c>
      <c r="CC113" s="32" t="str">
        <f>+IF(CC$3="","",IF($AY113="","",IFERROR(INDEX('Data Consolidada'!$E$7:$E$891,MATCH(CONCATENATE(CC$3,"-",$CP113,"-",$AY113),'Data Consolidada'!$K$7:$K$891,0)),MAX('Data Consolidada'!$E$7:$E$3000))))</f>
        <v/>
      </c>
      <c r="CD113" s="32" t="str">
        <f>+IF(CD$3="","",IF($AY113="","",IFERROR(INDEX('Data Consolidada'!$E$7:$E$891,MATCH(CONCATENATE(CD$3,"-",$CP113,"-",$AY113),'Data Consolidada'!$K$7:$K$891,0)),MAX('Data Consolidada'!$E$7:$E$3000))))</f>
        <v/>
      </c>
      <c r="CE113" s="32" t="str">
        <f>+IF(CE$3="","",IF($AY113="","",IFERROR(INDEX('Data Consolidada'!$E$7:$E$891,MATCH(CONCATENATE(CE$3,"-",$CP113,"-",$AY113),'Data Consolidada'!$K$7:$K$891,0)),MAX('Data Consolidada'!$E$7:$E$3000))))</f>
        <v/>
      </c>
      <c r="CF113" s="32" t="str">
        <f>+IF(CF$3="","",IF($AY113="","",IFERROR(INDEX('Data Consolidada'!$E$7:$E$891,MATCH(CONCATENATE(CF$3,"-",$CP113,"-",$AY113),'Data Consolidada'!$K$7:$K$891,0)),MAX('Data Consolidada'!$E$7:$E$3000))))</f>
        <v/>
      </c>
      <c r="CG113" s="32" t="str">
        <f>+IF(CG$3="","",IF($AY113="","",IFERROR(INDEX('Data Consolidada'!$E$7:$E$891,MATCH(CONCATENATE(CG$3,"-",$CP113,"-",$AY113),'Data Consolidada'!$K$7:$K$891,0)),MAX('Data Consolidada'!$E$7:$E$3000))))</f>
        <v/>
      </c>
      <c r="CH113" s="32" t="str">
        <f>+IF(CH$3="","",IF($AY113="","",IFERROR(INDEX('Data Consolidada'!$E$7:$E$891,MATCH(CONCATENATE(CH$3,"-",$CP113,"-",$AY113),'Data Consolidada'!$K$7:$K$891,0)),MAX('Data Consolidada'!$E$7:$E$3000))))</f>
        <v/>
      </c>
      <c r="CI113" s="32" t="str">
        <f>+IF(CI$3="","",IF($AY113="","",IFERROR(INDEX('Data Consolidada'!$E$7:$E$891,MATCH(CONCATENATE(CI$3,"-",$CP113,"-",$AY113),'Data Consolidada'!$K$7:$K$891,0)),MAX('Data Consolidada'!$E$7:$E$3000))))</f>
        <v/>
      </c>
      <c r="CJ113" s="32" t="str">
        <f>+IF(CJ$3="","",IF($AY113="","",IFERROR(INDEX('Data Consolidada'!$E$7:$E$891,MATCH(CONCATENATE(CJ$3,"-",$CP113,"-",$AY113),'Data Consolidada'!$K$7:$K$891,0)),MAX('Data Consolidada'!$E$7:$E$3000))))</f>
        <v/>
      </c>
      <c r="CK113" s="32" t="str">
        <f>+IF(CK$3="","",IF($AY113="","",IFERROR(INDEX('Data Consolidada'!$E$7:$E$891,MATCH(CONCATENATE(CK$3,"-",$CP113,"-",$AY113),'Data Consolidada'!$K$7:$K$891,0)),MAX('Data Consolidada'!$E$7:$E$3000))))</f>
        <v/>
      </c>
      <c r="CL113" s="32" t="str">
        <f>+IF(CL$3="","",IF($AY113="","",IFERROR(INDEX('Data Consolidada'!$E$7:$E$891,MATCH(CONCATENATE(CL$3,"-",$CP113,"-",$AY113),'Data Consolidada'!$K$7:$K$891,0)),MAX('Data Consolidada'!$E$7:$E$3000))))</f>
        <v/>
      </c>
      <c r="CM113" s="32" t="str">
        <f>+IF(CM$3="","",IF($AY113="","",IFERROR(INDEX('Data Consolidada'!$E$7:$E$891,MATCH(CONCATENATE(CM$3,"-",$CP113,"-",$AY113),'Data Consolidada'!$K$7:$K$891,0)),MAX('Data Consolidada'!$E$7:$E$3000))))</f>
        <v/>
      </c>
      <c r="CN113" s="32" t="str">
        <f>+IF(CN$3="","",IF($AY113="","",IFERROR(INDEX('Data Consolidada'!$E$7:$E$891,MATCH(CONCATENATE(CN$3,"-",$CP113,"-",$AY113),'Data Consolidada'!$K$7:$K$891,0)),MAX('Data Consolidada'!$E$7:$E$3000))))</f>
        <v/>
      </c>
      <c r="CO113" s="37" t="str">
        <f>+IF(CO$3="","",IF($AY113="","",IFERROR(INDEX('Data Consolidada'!$E$7:$E$891,MATCH(CONCATENATE(CO$3,"-",$CP113,"-",$AY113),'Data Consolidada'!$K$7:$K$891,0)),MAX('Data Consolidada'!$E$7:$E$3000))))</f>
        <v/>
      </c>
      <c r="CP113" s="224">
        <f t="shared" ca="1" si="45"/>
        <v>0</v>
      </c>
      <c r="CQ113" s="84" t="str">
        <f t="shared" ca="1" si="39"/>
        <v>Manuel Sepúlveda 0</v>
      </c>
    </row>
    <row r="114" spans="2:95" ht="15" customHeight="1" x14ac:dyDescent="0.35">
      <c r="B114" s="218" t="str">
        <f t="shared" ca="1" si="41"/>
        <v>LAVALLE</v>
      </c>
      <c r="C114" s="238">
        <v>0</v>
      </c>
      <c r="D114" s="239">
        <v>0</v>
      </c>
      <c r="E114" s="239">
        <v>0</v>
      </c>
      <c r="F114" s="239">
        <v>0</v>
      </c>
      <c r="G114" s="239">
        <v>0</v>
      </c>
      <c r="H114" s="239">
        <v>0</v>
      </c>
      <c r="I114" s="239">
        <v>0</v>
      </c>
      <c r="J114" s="239">
        <v>0</v>
      </c>
      <c r="K114" s="239">
        <v>0</v>
      </c>
      <c r="L114" s="239">
        <v>0</v>
      </c>
      <c r="M114" s="239">
        <v>0</v>
      </c>
      <c r="N114" s="240">
        <v>0</v>
      </c>
      <c r="O114" s="239">
        <v>0</v>
      </c>
      <c r="P114" s="239">
        <v>0</v>
      </c>
      <c r="Q114" s="239">
        <v>0</v>
      </c>
      <c r="R114" s="239">
        <v>0</v>
      </c>
      <c r="S114" s="239">
        <v>0</v>
      </c>
      <c r="T114" s="239">
        <v>0</v>
      </c>
      <c r="U114" s="239">
        <v>0</v>
      </c>
      <c r="V114" s="239">
        <v>0</v>
      </c>
      <c r="W114" s="239">
        <v>0</v>
      </c>
      <c r="X114" s="239">
        <v>0</v>
      </c>
      <c r="Y114" s="239">
        <v>0</v>
      </c>
      <c r="Z114" s="239"/>
      <c r="AA114" s="239"/>
      <c r="AB114" s="239"/>
      <c r="AC114" s="239"/>
      <c r="AD114" s="239"/>
      <c r="AE114" s="239"/>
      <c r="AF114" s="239"/>
      <c r="AG114" s="239"/>
      <c r="AH114" s="239"/>
      <c r="AI114" s="239"/>
      <c r="AJ114" s="239"/>
      <c r="AK114" s="239"/>
      <c r="AL114" s="239"/>
      <c r="AM114" s="239"/>
      <c r="AN114" s="239"/>
      <c r="AO114" s="239"/>
      <c r="AP114" s="239"/>
      <c r="AQ114" s="239"/>
      <c r="AR114" s="252"/>
      <c r="AS114" s="77">
        <f t="shared" ca="1" si="42"/>
        <v>0</v>
      </c>
      <c r="AT114" s="255">
        <f t="shared" si="43"/>
        <v>0</v>
      </c>
      <c r="AU114" s="51"/>
      <c r="AV114" s="51"/>
      <c r="AW114" s="13">
        <f>+IF(AX114="","",IF(AX114&gt;AX113,AW113,IF(AW113&lt;$D$69,AW113+1,IF(COUNT(AW$4:AW113)&lt;$B$69*$E$54,1,""))))</f>
        <v>9</v>
      </c>
      <c r="AX114" s="13">
        <f>+IF(AX113&lt;$B$69,AX113+1,IF(COUNT(AX$4:AX113)&lt;$B$69*$D$69,1,""))</f>
        <v>7</v>
      </c>
      <c r="AY114" s="189" t="str">
        <f t="shared" ca="1" si="44"/>
        <v>PARRAO</v>
      </c>
      <c r="AZ114" s="36">
        <f ca="1">+IF(AZ$3="","",IF($AY114="","",IFERROR(INDEX('Data Consolidada'!$E$7:$E$891,MATCH(CONCATENATE(AZ$3,"-",$CP114,"-",$AY114),'Data Consolidada'!$K$7:$K$891,0)),MAX('Data Consolidada'!$E$7:$E$3000))))</f>
        <v>11000000</v>
      </c>
      <c r="BA114" s="32">
        <f ca="1">+IF(BA$3="","",IF($AY114="","",IFERROR(INDEX('Data Consolidada'!$E$7:$E$891,MATCH(CONCATENATE(BA$3,"-",$CP114,"-",$AY114),'Data Consolidada'!$K$7:$K$891,0)),MAX('Data Consolidada'!$E$7:$E$3000))))</f>
        <v>11000000</v>
      </c>
      <c r="BB114" s="32" t="str">
        <f>+IF(BB$3="","",IF($AY114="","",IFERROR(INDEX('Data Consolidada'!$E$7:$E$891,MATCH(CONCATENATE(BB$3,"-",$CP114,"-",$AY114),'Data Consolidada'!$K$7:$K$891,0)),MAX('Data Consolidada'!$E$7:$E$3000))))</f>
        <v/>
      </c>
      <c r="BC114" s="32" t="str">
        <f>+IF(BC$3="","",IF($AY114="","",IFERROR(INDEX('Data Consolidada'!$E$7:$E$891,MATCH(CONCATENATE(BC$3,"-",$CP114,"-",$AY114),'Data Consolidada'!$K$7:$K$891,0)),MAX('Data Consolidada'!$E$7:$E$3000))))</f>
        <v/>
      </c>
      <c r="BD114" s="32" t="str">
        <f>+IF(BD$3="","",IF($AY114="","",IFERROR(INDEX('Data Consolidada'!$E$7:$E$891,MATCH(CONCATENATE(BD$3,"-",$CP114,"-",$AY114),'Data Consolidada'!$K$7:$K$891,0)),MAX('Data Consolidada'!$E$7:$E$3000))))</f>
        <v/>
      </c>
      <c r="BE114" s="32" t="str">
        <f>+IF(BE$3="","",IF($AY114="","",IFERROR(INDEX('Data Consolidada'!$E$7:$E$891,MATCH(CONCATENATE(BE$3,"-",$CP114,"-",$AY114),'Data Consolidada'!$K$7:$K$891,0)),MAX('Data Consolidada'!$E$7:$E$3000))))</f>
        <v/>
      </c>
      <c r="BF114" s="32" t="str">
        <f>+IF(BF$3="","",IF($AY114="","",IFERROR(INDEX('Data Consolidada'!$E$7:$E$891,MATCH(CONCATENATE(BF$3,"-",$CP114,"-",$AY114),'Data Consolidada'!$K$7:$K$891,0)),MAX('Data Consolidada'!$E$7:$E$3000))))</f>
        <v/>
      </c>
      <c r="BG114" s="32" t="str">
        <f>+IF(BG$3="","",IF($AY114="","",IFERROR(INDEX('Data Consolidada'!$E$7:$E$891,MATCH(CONCATENATE(BG$3,"-",$CP114,"-",$AY114),'Data Consolidada'!$K$7:$K$891,0)),MAX('Data Consolidada'!$E$7:$E$3000))))</f>
        <v/>
      </c>
      <c r="BH114" s="32" t="str">
        <f>+IF(BH$3="","",IF($AY114="","",IFERROR(INDEX('Data Consolidada'!$E$7:$E$891,MATCH(CONCATENATE(BH$3,"-",$CP114,"-",$AY114),'Data Consolidada'!$K$7:$K$891,0)),MAX('Data Consolidada'!$E$7:$E$3000))))</f>
        <v/>
      </c>
      <c r="BI114" s="32" t="str">
        <f>+IF(BI$3="","",IF($AY114="","",IFERROR(INDEX('Data Consolidada'!$E$7:$E$891,MATCH(CONCATENATE(BI$3,"-",$CP114,"-",$AY114),'Data Consolidada'!$K$7:$K$891,0)),MAX('Data Consolidada'!$E$7:$E$3000))))</f>
        <v/>
      </c>
      <c r="BJ114" s="32" t="str">
        <f>+IF(BJ$3="","",IF($AY114="","",IFERROR(INDEX('Data Consolidada'!$E$7:$E$891,MATCH(CONCATENATE(BJ$3,"-",$CP114,"-",$AY114),'Data Consolidada'!$K$7:$K$891,0)),MAX('Data Consolidada'!$E$7:$E$3000))))</f>
        <v/>
      </c>
      <c r="BK114" s="32" t="str">
        <f>+IF(BK$3="","",IF($AY114="","",IFERROR(INDEX('Data Consolidada'!$E$7:$E$891,MATCH(CONCATENATE(BK$3,"-",$CP114,"-",$AY114),'Data Consolidada'!$K$7:$K$891,0)),MAX('Data Consolidada'!$E$7:$E$3000))))</f>
        <v/>
      </c>
      <c r="BL114" s="32" t="str">
        <f>+IF(BL$3="","",IF($AY114="","",IFERROR(INDEX('Data Consolidada'!$E$7:$E$891,MATCH(CONCATENATE(BL$3,"-",$CP114,"-",$AY114),'Data Consolidada'!$K$7:$K$891,0)),MAX('Data Consolidada'!$E$7:$E$3000))))</f>
        <v/>
      </c>
      <c r="BM114" s="32" t="str">
        <f>+IF(BM$3="","",IF($AY114="","",IFERROR(INDEX('Data Consolidada'!$E$7:$E$891,MATCH(CONCATENATE(BM$3,"-",$CP114,"-",$AY114),'Data Consolidada'!$K$7:$K$891,0)),MAX('Data Consolidada'!$E$7:$E$3000))))</f>
        <v/>
      </c>
      <c r="BN114" s="32" t="str">
        <f>+IF(BN$3="","",IF($AY114="","",IFERROR(INDEX('Data Consolidada'!$E$7:$E$891,MATCH(CONCATENATE(BN$3,"-",$CP114,"-",$AY114),'Data Consolidada'!$K$7:$K$891,0)),MAX('Data Consolidada'!$E$7:$E$3000))))</f>
        <v/>
      </c>
      <c r="BO114" s="32" t="str">
        <f>+IF(BO$3="","",IF($AY114="","",IFERROR(INDEX('Data Consolidada'!$E$7:$E$891,MATCH(CONCATENATE(BO$3,"-",$CP114,"-",$AY114),'Data Consolidada'!$K$7:$K$891,0)),MAX('Data Consolidada'!$E$7:$E$3000))))</f>
        <v/>
      </c>
      <c r="BP114" s="32" t="str">
        <f>+IF(BP$3="","",IF($AY114="","",IFERROR(INDEX('Data Consolidada'!$E$7:$E$891,MATCH(CONCATENATE(BP$3,"-",$CP114,"-",$AY114),'Data Consolidada'!$K$7:$K$891,0)),MAX('Data Consolidada'!$E$7:$E$3000))))</f>
        <v/>
      </c>
      <c r="BQ114" s="32" t="str">
        <f>+IF(BQ$3="","",IF($AY114="","",IFERROR(INDEX('Data Consolidada'!$E$7:$E$891,MATCH(CONCATENATE(BQ$3,"-",$CP114,"-",$AY114),'Data Consolidada'!$K$7:$K$891,0)),MAX('Data Consolidada'!$E$7:$E$3000))))</f>
        <v/>
      </c>
      <c r="BR114" s="32" t="str">
        <f>+IF(BR$3="","",IF($AY114="","",IFERROR(INDEX('Data Consolidada'!$E$7:$E$891,MATCH(CONCATENATE(BR$3,"-",$CP114,"-",$AY114),'Data Consolidada'!$K$7:$K$891,0)),MAX('Data Consolidada'!$E$7:$E$3000))))</f>
        <v/>
      </c>
      <c r="BS114" s="32" t="str">
        <f>+IF(BS$3="","",IF($AY114="","",IFERROR(INDEX('Data Consolidada'!$E$7:$E$891,MATCH(CONCATENATE(BS$3,"-",$CP114,"-",$AY114),'Data Consolidada'!$K$7:$K$891,0)),MAX('Data Consolidada'!$E$7:$E$3000))))</f>
        <v/>
      </c>
      <c r="BT114" s="32" t="str">
        <f>+IF(BT$3="","",IF($AY114="","",IFERROR(INDEX('Data Consolidada'!$E$7:$E$891,MATCH(CONCATENATE(BT$3,"-",$CP114,"-",$AY114),'Data Consolidada'!$K$7:$K$891,0)),MAX('Data Consolidada'!$E$7:$E$3000))))</f>
        <v/>
      </c>
      <c r="BU114" s="32" t="str">
        <f>+IF(BU$3="","",IF($AY114="","",IFERROR(INDEX('Data Consolidada'!$E$7:$E$891,MATCH(CONCATENATE(BU$3,"-",$CP114,"-",$AY114),'Data Consolidada'!$K$7:$K$891,0)),MAX('Data Consolidada'!$E$7:$E$3000))))</f>
        <v/>
      </c>
      <c r="BV114" s="32" t="str">
        <f>+IF(BV$3="","",IF($AY114="","",IFERROR(INDEX('Data Consolidada'!$E$7:$E$891,MATCH(CONCATENATE(BV$3,"-",$CP114,"-",$AY114),'Data Consolidada'!$K$7:$K$891,0)),MAX('Data Consolidada'!$E$7:$E$3000))))</f>
        <v/>
      </c>
      <c r="BW114" s="32" t="str">
        <f>+IF(BW$3="","",IF($AY114="","",IFERROR(INDEX('Data Consolidada'!$E$7:$E$891,MATCH(CONCATENATE(BW$3,"-",$CP114,"-",$AY114),'Data Consolidada'!$K$7:$K$891,0)),MAX('Data Consolidada'!$E$7:$E$3000))))</f>
        <v/>
      </c>
      <c r="BX114" s="32" t="str">
        <f>+IF(BX$3="","",IF($AY114="","",IFERROR(INDEX('Data Consolidada'!$E$7:$E$891,MATCH(CONCATENATE(BX$3,"-",$CP114,"-",$AY114),'Data Consolidada'!$K$7:$K$891,0)),MAX('Data Consolidada'!$E$7:$E$3000))))</f>
        <v/>
      </c>
      <c r="BY114" s="32" t="str">
        <f>+IF(BY$3="","",IF($AY114="","",IFERROR(INDEX('Data Consolidada'!$E$7:$E$891,MATCH(CONCATENATE(BY$3,"-",$CP114,"-",$AY114),'Data Consolidada'!$K$7:$K$891,0)),MAX('Data Consolidada'!$E$7:$E$3000))))</f>
        <v/>
      </c>
      <c r="BZ114" s="32" t="str">
        <f>+IF(BZ$3="","",IF($AY114="","",IFERROR(INDEX('Data Consolidada'!$E$7:$E$891,MATCH(CONCATENATE(BZ$3,"-",$CP114,"-",$AY114),'Data Consolidada'!$K$7:$K$891,0)),MAX('Data Consolidada'!$E$7:$E$3000))))</f>
        <v/>
      </c>
      <c r="CA114" s="32" t="str">
        <f>+IF(CA$3="","",IF($AY114="","",IFERROR(INDEX('Data Consolidada'!$E$7:$E$891,MATCH(CONCATENATE(CA$3,"-",$CP114,"-",$AY114),'Data Consolidada'!$K$7:$K$891,0)),MAX('Data Consolidada'!$E$7:$E$3000))))</f>
        <v/>
      </c>
      <c r="CB114" s="32" t="str">
        <f>+IF(CB$3="","",IF($AY114="","",IFERROR(INDEX('Data Consolidada'!$E$7:$E$891,MATCH(CONCATENATE(CB$3,"-",$CP114,"-",$AY114),'Data Consolidada'!$K$7:$K$891,0)),MAX('Data Consolidada'!$E$7:$E$3000))))</f>
        <v/>
      </c>
      <c r="CC114" s="32" t="str">
        <f>+IF(CC$3="","",IF($AY114="","",IFERROR(INDEX('Data Consolidada'!$E$7:$E$891,MATCH(CONCATENATE(CC$3,"-",$CP114,"-",$AY114),'Data Consolidada'!$K$7:$K$891,0)),MAX('Data Consolidada'!$E$7:$E$3000))))</f>
        <v/>
      </c>
      <c r="CD114" s="32" t="str">
        <f>+IF(CD$3="","",IF($AY114="","",IFERROR(INDEX('Data Consolidada'!$E$7:$E$891,MATCH(CONCATENATE(CD$3,"-",$CP114,"-",$AY114),'Data Consolidada'!$K$7:$K$891,0)),MAX('Data Consolidada'!$E$7:$E$3000))))</f>
        <v/>
      </c>
      <c r="CE114" s="32" t="str">
        <f>+IF(CE$3="","",IF($AY114="","",IFERROR(INDEX('Data Consolidada'!$E$7:$E$891,MATCH(CONCATENATE(CE$3,"-",$CP114,"-",$AY114),'Data Consolidada'!$K$7:$K$891,0)),MAX('Data Consolidada'!$E$7:$E$3000))))</f>
        <v/>
      </c>
      <c r="CF114" s="32" t="str">
        <f>+IF(CF$3="","",IF($AY114="","",IFERROR(INDEX('Data Consolidada'!$E$7:$E$891,MATCH(CONCATENATE(CF$3,"-",$CP114,"-",$AY114),'Data Consolidada'!$K$7:$K$891,0)),MAX('Data Consolidada'!$E$7:$E$3000))))</f>
        <v/>
      </c>
      <c r="CG114" s="32" t="str">
        <f>+IF(CG$3="","",IF($AY114="","",IFERROR(INDEX('Data Consolidada'!$E$7:$E$891,MATCH(CONCATENATE(CG$3,"-",$CP114,"-",$AY114),'Data Consolidada'!$K$7:$K$891,0)),MAX('Data Consolidada'!$E$7:$E$3000))))</f>
        <v/>
      </c>
      <c r="CH114" s="32" t="str">
        <f>+IF(CH$3="","",IF($AY114="","",IFERROR(INDEX('Data Consolidada'!$E$7:$E$891,MATCH(CONCATENATE(CH$3,"-",$CP114,"-",$AY114),'Data Consolidada'!$K$7:$K$891,0)),MAX('Data Consolidada'!$E$7:$E$3000))))</f>
        <v/>
      </c>
      <c r="CI114" s="32" t="str">
        <f>+IF(CI$3="","",IF($AY114="","",IFERROR(INDEX('Data Consolidada'!$E$7:$E$891,MATCH(CONCATENATE(CI$3,"-",$CP114,"-",$AY114),'Data Consolidada'!$K$7:$K$891,0)),MAX('Data Consolidada'!$E$7:$E$3000))))</f>
        <v/>
      </c>
      <c r="CJ114" s="32" t="str">
        <f>+IF(CJ$3="","",IF($AY114="","",IFERROR(INDEX('Data Consolidada'!$E$7:$E$891,MATCH(CONCATENATE(CJ$3,"-",$CP114,"-",$AY114),'Data Consolidada'!$K$7:$K$891,0)),MAX('Data Consolidada'!$E$7:$E$3000))))</f>
        <v/>
      </c>
      <c r="CK114" s="32" t="str">
        <f>+IF(CK$3="","",IF($AY114="","",IFERROR(INDEX('Data Consolidada'!$E$7:$E$891,MATCH(CONCATENATE(CK$3,"-",$CP114,"-",$AY114),'Data Consolidada'!$K$7:$K$891,0)),MAX('Data Consolidada'!$E$7:$E$3000))))</f>
        <v/>
      </c>
      <c r="CL114" s="32" t="str">
        <f>+IF(CL$3="","",IF($AY114="","",IFERROR(INDEX('Data Consolidada'!$E$7:$E$891,MATCH(CONCATENATE(CL$3,"-",$CP114,"-",$AY114),'Data Consolidada'!$K$7:$K$891,0)),MAX('Data Consolidada'!$E$7:$E$3000))))</f>
        <v/>
      </c>
      <c r="CM114" s="32" t="str">
        <f>+IF(CM$3="","",IF($AY114="","",IFERROR(INDEX('Data Consolidada'!$E$7:$E$891,MATCH(CONCATENATE(CM$3,"-",$CP114,"-",$AY114),'Data Consolidada'!$K$7:$K$891,0)),MAX('Data Consolidada'!$E$7:$E$3000))))</f>
        <v/>
      </c>
      <c r="CN114" s="32" t="str">
        <f>+IF(CN$3="","",IF($AY114="","",IFERROR(INDEX('Data Consolidada'!$E$7:$E$891,MATCH(CONCATENATE(CN$3,"-",$CP114,"-",$AY114),'Data Consolidada'!$K$7:$K$891,0)),MAX('Data Consolidada'!$E$7:$E$3000))))</f>
        <v/>
      </c>
      <c r="CO114" s="37" t="str">
        <f>+IF(CO$3="","",IF($AY114="","",IFERROR(INDEX('Data Consolidada'!$E$7:$E$891,MATCH(CONCATENATE(CO$3,"-",$CP114,"-",$AY114),'Data Consolidada'!$K$7:$K$891,0)),MAX('Data Consolidada'!$E$7:$E$3000))))</f>
        <v/>
      </c>
      <c r="CP114" s="224">
        <f t="shared" ca="1" si="45"/>
        <v>0</v>
      </c>
      <c r="CQ114" s="84" t="str">
        <f t="shared" ca="1" si="39"/>
        <v>PARRAO0</v>
      </c>
    </row>
    <row r="115" spans="2:95" ht="15" customHeight="1" x14ac:dyDescent="0.35">
      <c r="B115" s="218" t="str">
        <f t="shared" ca="1" si="41"/>
        <v>MACEBE</v>
      </c>
      <c r="C115" s="238">
        <v>0</v>
      </c>
      <c r="D115" s="239">
        <v>0</v>
      </c>
      <c r="E115" s="239">
        <v>0</v>
      </c>
      <c r="F115" s="239">
        <v>0</v>
      </c>
      <c r="G115" s="239">
        <v>0</v>
      </c>
      <c r="H115" s="239">
        <v>0</v>
      </c>
      <c r="I115" s="239">
        <v>0</v>
      </c>
      <c r="J115" s="239">
        <v>0</v>
      </c>
      <c r="K115" s="239">
        <v>0</v>
      </c>
      <c r="L115" s="239">
        <v>0</v>
      </c>
      <c r="M115" s="239">
        <v>0</v>
      </c>
      <c r="N115" s="240">
        <v>0</v>
      </c>
      <c r="O115" s="239">
        <v>0</v>
      </c>
      <c r="P115" s="239">
        <v>0</v>
      </c>
      <c r="Q115" s="239">
        <v>0</v>
      </c>
      <c r="R115" s="239">
        <v>0</v>
      </c>
      <c r="S115" s="239">
        <v>0</v>
      </c>
      <c r="T115" s="239">
        <v>0</v>
      </c>
      <c r="U115" s="239">
        <v>0</v>
      </c>
      <c r="V115" s="239">
        <v>0</v>
      </c>
      <c r="W115" s="239">
        <v>0</v>
      </c>
      <c r="X115" s="239">
        <v>0</v>
      </c>
      <c r="Y115" s="239">
        <v>0</v>
      </c>
      <c r="Z115" s="239"/>
      <c r="AA115" s="239"/>
      <c r="AB115" s="239"/>
      <c r="AC115" s="239"/>
      <c r="AD115" s="239"/>
      <c r="AE115" s="239"/>
      <c r="AF115" s="239"/>
      <c r="AG115" s="239"/>
      <c r="AH115" s="239"/>
      <c r="AI115" s="239"/>
      <c r="AJ115" s="239"/>
      <c r="AK115" s="239"/>
      <c r="AL115" s="239"/>
      <c r="AM115" s="239"/>
      <c r="AN115" s="239"/>
      <c r="AO115" s="239"/>
      <c r="AP115" s="239"/>
      <c r="AQ115" s="239"/>
      <c r="AR115" s="252"/>
      <c r="AS115" s="77">
        <f t="shared" ca="1" si="42"/>
        <v>0</v>
      </c>
      <c r="AT115" s="255">
        <f t="shared" si="43"/>
        <v>0</v>
      </c>
      <c r="AU115" s="51"/>
      <c r="AV115" s="51"/>
      <c r="AW115" s="13">
        <f>+IF(AX115="","",IF(AX115&gt;AX114,AW114,IF(AW114&lt;$D$69,AW114+1,IF(COUNT(AW$4:AW114)&lt;$B$69*$E$54,1,""))))</f>
        <v>9</v>
      </c>
      <c r="AX115" s="13">
        <f>+IF(AX114&lt;$B$69,AX114+1,IF(COUNT(AX$4:AX114)&lt;$B$69*$D$69,1,""))</f>
        <v>8</v>
      </c>
      <c r="AY115" s="189" t="str">
        <f t="shared" ca="1" si="44"/>
        <v>PAULA</v>
      </c>
      <c r="AZ115" s="36">
        <f ca="1">+IF(AZ$3="","",IF($AY115="","",IFERROR(INDEX('Data Consolidada'!$E$7:$E$891,MATCH(CONCATENATE(AZ$3,"-",$CP115,"-",$AY115),'Data Consolidada'!$K$7:$K$891,0)),MAX('Data Consolidada'!$E$7:$E$3000))))</f>
        <v>11000000</v>
      </c>
      <c r="BA115" s="32">
        <f ca="1">+IF(BA$3="","",IF($AY115="","",IFERROR(INDEX('Data Consolidada'!$E$7:$E$891,MATCH(CONCATENATE(BA$3,"-",$CP115,"-",$AY115),'Data Consolidada'!$K$7:$K$891,0)),MAX('Data Consolidada'!$E$7:$E$3000))))</f>
        <v>11000000</v>
      </c>
      <c r="BB115" s="32" t="str">
        <f>+IF(BB$3="","",IF($AY115="","",IFERROR(INDEX('Data Consolidada'!$E$7:$E$891,MATCH(CONCATENATE(BB$3,"-",$CP115,"-",$AY115),'Data Consolidada'!$K$7:$K$891,0)),MAX('Data Consolidada'!$E$7:$E$3000))))</f>
        <v/>
      </c>
      <c r="BC115" s="32" t="str">
        <f>+IF(BC$3="","",IF($AY115="","",IFERROR(INDEX('Data Consolidada'!$E$7:$E$891,MATCH(CONCATENATE(BC$3,"-",$CP115,"-",$AY115),'Data Consolidada'!$K$7:$K$891,0)),MAX('Data Consolidada'!$E$7:$E$3000))))</f>
        <v/>
      </c>
      <c r="BD115" s="32" t="str">
        <f>+IF(BD$3="","",IF($AY115="","",IFERROR(INDEX('Data Consolidada'!$E$7:$E$891,MATCH(CONCATENATE(BD$3,"-",$CP115,"-",$AY115),'Data Consolidada'!$K$7:$K$891,0)),MAX('Data Consolidada'!$E$7:$E$3000))))</f>
        <v/>
      </c>
      <c r="BE115" s="32" t="str">
        <f>+IF(BE$3="","",IF($AY115="","",IFERROR(INDEX('Data Consolidada'!$E$7:$E$891,MATCH(CONCATENATE(BE$3,"-",$CP115,"-",$AY115),'Data Consolidada'!$K$7:$K$891,0)),MAX('Data Consolidada'!$E$7:$E$3000))))</f>
        <v/>
      </c>
      <c r="BF115" s="32" t="str">
        <f>+IF(BF$3="","",IF($AY115="","",IFERROR(INDEX('Data Consolidada'!$E$7:$E$891,MATCH(CONCATENATE(BF$3,"-",$CP115,"-",$AY115),'Data Consolidada'!$K$7:$K$891,0)),MAX('Data Consolidada'!$E$7:$E$3000))))</f>
        <v/>
      </c>
      <c r="BG115" s="32" t="str">
        <f>+IF(BG$3="","",IF($AY115="","",IFERROR(INDEX('Data Consolidada'!$E$7:$E$891,MATCH(CONCATENATE(BG$3,"-",$CP115,"-",$AY115),'Data Consolidada'!$K$7:$K$891,0)),MAX('Data Consolidada'!$E$7:$E$3000))))</f>
        <v/>
      </c>
      <c r="BH115" s="32" t="str">
        <f>+IF(BH$3="","",IF($AY115="","",IFERROR(INDEX('Data Consolidada'!$E$7:$E$891,MATCH(CONCATENATE(BH$3,"-",$CP115,"-",$AY115),'Data Consolidada'!$K$7:$K$891,0)),MAX('Data Consolidada'!$E$7:$E$3000))))</f>
        <v/>
      </c>
      <c r="BI115" s="32" t="str">
        <f>+IF(BI$3="","",IF($AY115="","",IFERROR(INDEX('Data Consolidada'!$E$7:$E$891,MATCH(CONCATENATE(BI$3,"-",$CP115,"-",$AY115),'Data Consolidada'!$K$7:$K$891,0)),MAX('Data Consolidada'!$E$7:$E$3000))))</f>
        <v/>
      </c>
      <c r="BJ115" s="32" t="str">
        <f>+IF(BJ$3="","",IF($AY115="","",IFERROR(INDEX('Data Consolidada'!$E$7:$E$891,MATCH(CONCATENATE(BJ$3,"-",$CP115,"-",$AY115),'Data Consolidada'!$K$7:$K$891,0)),MAX('Data Consolidada'!$E$7:$E$3000))))</f>
        <v/>
      </c>
      <c r="BK115" s="32" t="str">
        <f>+IF(BK$3="","",IF($AY115="","",IFERROR(INDEX('Data Consolidada'!$E$7:$E$891,MATCH(CONCATENATE(BK$3,"-",$CP115,"-",$AY115),'Data Consolidada'!$K$7:$K$891,0)),MAX('Data Consolidada'!$E$7:$E$3000))))</f>
        <v/>
      </c>
      <c r="BL115" s="32" t="str">
        <f>+IF(BL$3="","",IF($AY115="","",IFERROR(INDEX('Data Consolidada'!$E$7:$E$891,MATCH(CONCATENATE(BL$3,"-",$CP115,"-",$AY115),'Data Consolidada'!$K$7:$K$891,0)),MAX('Data Consolidada'!$E$7:$E$3000))))</f>
        <v/>
      </c>
      <c r="BM115" s="32" t="str">
        <f>+IF(BM$3="","",IF($AY115="","",IFERROR(INDEX('Data Consolidada'!$E$7:$E$891,MATCH(CONCATENATE(BM$3,"-",$CP115,"-",$AY115),'Data Consolidada'!$K$7:$K$891,0)),MAX('Data Consolidada'!$E$7:$E$3000))))</f>
        <v/>
      </c>
      <c r="BN115" s="32" t="str">
        <f>+IF(BN$3="","",IF($AY115="","",IFERROR(INDEX('Data Consolidada'!$E$7:$E$891,MATCH(CONCATENATE(BN$3,"-",$CP115,"-",$AY115),'Data Consolidada'!$K$7:$K$891,0)),MAX('Data Consolidada'!$E$7:$E$3000))))</f>
        <v/>
      </c>
      <c r="BO115" s="32" t="str">
        <f>+IF(BO$3="","",IF($AY115="","",IFERROR(INDEX('Data Consolidada'!$E$7:$E$891,MATCH(CONCATENATE(BO$3,"-",$CP115,"-",$AY115),'Data Consolidada'!$K$7:$K$891,0)),MAX('Data Consolidada'!$E$7:$E$3000))))</f>
        <v/>
      </c>
      <c r="BP115" s="32" t="str">
        <f>+IF(BP$3="","",IF($AY115="","",IFERROR(INDEX('Data Consolidada'!$E$7:$E$891,MATCH(CONCATENATE(BP$3,"-",$CP115,"-",$AY115),'Data Consolidada'!$K$7:$K$891,0)),MAX('Data Consolidada'!$E$7:$E$3000))))</f>
        <v/>
      </c>
      <c r="BQ115" s="32" t="str">
        <f>+IF(BQ$3="","",IF($AY115="","",IFERROR(INDEX('Data Consolidada'!$E$7:$E$891,MATCH(CONCATENATE(BQ$3,"-",$CP115,"-",$AY115),'Data Consolidada'!$K$7:$K$891,0)),MAX('Data Consolidada'!$E$7:$E$3000))))</f>
        <v/>
      </c>
      <c r="BR115" s="32" t="str">
        <f>+IF(BR$3="","",IF($AY115="","",IFERROR(INDEX('Data Consolidada'!$E$7:$E$891,MATCH(CONCATENATE(BR$3,"-",$CP115,"-",$AY115),'Data Consolidada'!$K$7:$K$891,0)),MAX('Data Consolidada'!$E$7:$E$3000))))</f>
        <v/>
      </c>
      <c r="BS115" s="32" t="str">
        <f>+IF(BS$3="","",IF($AY115="","",IFERROR(INDEX('Data Consolidada'!$E$7:$E$891,MATCH(CONCATENATE(BS$3,"-",$CP115,"-",$AY115),'Data Consolidada'!$K$7:$K$891,0)),MAX('Data Consolidada'!$E$7:$E$3000))))</f>
        <v/>
      </c>
      <c r="BT115" s="32" t="str">
        <f>+IF(BT$3="","",IF($AY115="","",IFERROR(INDEX('Data Consolidada'!$E$7:$E$891,MATCH(CONCATENATE(BT$3,"-",$CP115,"-",$AY115),'Data Consolidada'!$K$7:$K$891,0)),MAX('Data Consolidada'!$E$7:$E$3000))))</f>
        <v/>
      </c>
      <c r="BU115" s="32" t="str">
        <f>+IF(BU$3="","",IF($AY115="","",IFERROR(INDEX('Data Consolidada'!$E$7:$E$891,MATCH(CONCATENATE(BU$3,"-",$CP115,"-",$AY115),'Data Consolidada'!$K$7:$K$891,0)),MAX('Data Consolidada'!$E$7:$E$3000))))</f>
        <v/>
      </c>
      <c r="BV115" s="32" t="str">
        <f>+IF(BV$3="","",IF($AY115="","",IFERROR(INDEX('Data Consolidada'!$E$7:$E$891,MATCH(CONCATENATE(BV$3,"-",$CP115,"-",$AY115),'Data Consolidada'!$K$7:$K$891,0)),MAX('Data Consolidada'!$E$7:$E$3000))))</f>
        <v/>
      </c>
      <c r="BW115" s="32" t="str">
        <f>+IF(BW$3="","",IF($AY115="","",IFERROR(INDEX('Data Consolidada'!$E$7:$E$891,MATCH(CONCATENATE(BW$3,"-",$CP115,"-",$AY115),'Data Consolidada'!$K$7:$K$891,0)),MAX('Data Consolidada'!$E$7:$E$3000))))</f>
        <v/>
      </c>
      <c r="BX115" s="32" t="str">
        <f>+IF(BX$3="","",IF($AY115="","",IFERROR(INDEX('Data Consolidada'!$E$7:$E$891,MATCH(CONCATENATE(BX$3,"-",$CP115,"-",$AY115),'Data Consolidada'!$K$7:$K$891,0)),MAX('Data Consolidada'!$E$7:$E$3000))))</f>
        <v/>
      </c>
      <c r="BY115" s="32" t="str">
        <f>+IF(BY$3="","",IF($AY115="","",IFERROR(INDEX('Data Consolidada'!$E$7:$E$891,MATCH(CONCATENATE(BY$3,"-",$CP115,"-",$AY115),'Data Consolidada'!$K$7:$K$891,0)),MAX('Data Consolidada'!$E$7:$E$3000))))</f>
        <v/>
      </c>
      <c r="BZ115" s="32" t="str">
        <f>+IF(BZ$3="","",IF($AY115="","",IFERROR(INDEX('Data Consolidada'!$E$7:$E$891,MATCH(CONCATENATE(BZ$3,"-",$CP115,"-",$AY115),'Data Consolidada'!$K$7:$K$891,0)),MAX('Data Consolidada'!$E$7:$E$3000))))</f>
        <v/>
      </c>
      <c r="CA115" s="32" t="str">
        <f>+IF(CA$3="","",IF($AY115="","",IFERROR(INDEX('Data Consolidada'!$E$7:$E$891,MATCH(CONCATENATE(CA$3,"-",$CP115,"-",$AY115),'Data Consolidada'!$K$7:$K$891,0)),MAX('Data Consolidada'!$E$7:$E$3000))))</f>
        <v/>
      </c>
      <c r="CB115" s="32" t="str">
        <f>+IF(CB$3="","",IF($AY115="","",IFERROR(INDEX('Data Consolidada'!$E$7:$E$891,MATCH(CONCATENATE(CB$3,"-",$CP115,"-",$AY115),'Data Consolidada'!$K$7:$K$891,0)),MAX('Data Consolidada'!$E$7:$E$3000))))</f>
        <v/>
      </c>
      <c r="CC115" s="32" t="str">
        <f>+IF(CC$3="","",IF($AY115="","",IFERROR(INDEX('Data Consolidada'!$E$7:$E$891,MATCH(CONCATENATE(CC$3,"-",$CP115,"-",$AY115),'Data Consolidada'!$K$7:$K$891,0)),MAX('Data Consolidada'!$E$7:$E$3000))))</f>
        <v/>
      </c>
      <c r="CD115" s="32" t="str">
        <f>+IF(CD$3="","",IF($AY115="","",IFERROR(INDEX('Data Consolidada'!$E$7:$E$891,MATCH(CONCATENATE(CD$3,"-",$CP115,"-",$AY115),'Data Consolidada'!$K$7:$K$891,0)),MAX('Data Consolidada'!$E$7:$E$3000))))</f>
        <v/>
      </c>
      <c r="CE115" s="32" t="str">
        <f>+IF(CE$3="","",IF($AY115="","",IFERROR(INDEX('Data Consolidada'!$E$7:$E$891,MATCH(CONCATENATE(CE$3,"-",$CP115,"-",$AY115),'Data Consolidada'!$K$7:$K$891,0)),MAX('Data Consolidada'!$E$7:$E$3000))))</f>
        <v/>
      </c>
      <c r="CF115" s="32" t="str">
        <f>+IF(CF$3="","",IF($AY115="","",IFERROR(INDEX('Data Consolidada'!$E$7:$E$891,MATCH(CONCATENATE(CF$3,"-",$CP115,"-",$AY115),'Data Consolidada'!$K$7:$K$891,0)),MAX('Data Consolidada'!$E$7:$E$3000))))</f>
        <v/>
      </c>
      <c r="CG115" s="32" t="str">
        <f>+IF(CG$3="","",IF($AY115="","",IFERROR(INDEX('Data Consolidada'!$E$7:$E$891,MATCH(CONCATENATE(CG$3,"-",$CP115,"-",$AY115),'Data Consolidada'!$K$7:$K$891,0)),MAX('Data Consolidada'!$E$7:$E$3000))))</f>
        <v/>
      </c>
      <c r="CH115" s="32" t="str">
        <f>+IF(CH$3="","",IF($AY115="","",IFERROR(INDEX('Data Consolidada'!$E$7:$E$891,MATCH(CONCATENATE(CH$3,"-",$CP115,"-",$AY115),'Data Consolidada'!$K$7:$K$891,0)),MAX('Data Consolidada'!$E$7:$E$3000))))</f>
        <v/>
      </c>
      <c r="CI115" s="32" t="str">
        <f>+IF(CI$3="","",IF($AY115="","",IFERROR(INDEX('Data Consolidada'!$E$7:$E$891,MATCH(CONCATENATE(CI$3,"-",$CP115,"-",$AY115),'Data Consolidada'!$K$7:$K$891,0)),MAX('Data Consolidada'!$E$7:$E$3000))))</f>
        <v/>
      </c>
      <c r="CJ115" s="32" t="str">
        <f>+IF(CJ$3="","",IF($AY115="","",IFERROR(INDEX('Data Consolidada'!$E$7:$E$891,MATCH(CONCATENATE(CJ$3,"-",$CP115,"-",$AY115),'Data Consolidada'!$K$7:$K$891,0)),MAX('Data Consolidada'!$E$7:$E$3000))))</f>
        <v/>
      </c>
      <c r="CK115" s="32" t="str">
        <f>+IF(CK$3="","",IF($AY115="","",IFERROR(INDEX('Data Consolidada'!$E$7:$E$891,MATCH(CONCATENATE(CK$3,"-",$CP115,"-",$AY115),'Data Consolidada'!$K$7:$K$891,0)),MAX('Data Consolidada'!$E$7:$E$3000))))</f>
        <v/>
      </c>
      <c r="CL115" s="32" t="str">
        <f>+IF(CL$3="","",IF($AY115="","",IFERROR(INDEX('Data Consolidada'!$E$7:$E$891,MATCH(CONCATENATE(CL$3,"-",$CP115,"-",$AY115),'Data Consolidada'!$K$7:$K$891,0)),MAX('Data Consolidada'!$E$7:$E$3000))))</f>
        <v/>
      </c>
      <c r="CM115" s="32" t="str">
        <f>+IF(CM$3="","",IF($AY115="","",IFERROR(INDEX('Data Consolidada'!$E$7:$E$891,MATCH(CONCATENATE(CM$3,"-",$CP115,"-",$AY115),'Data Consolidada'!$K$7:$K$891,0)),MAX('Data Consolidada'!$E$7:$E$3000))))</f>
        <v/>
      </c>
      <c r="CN115" s="32" t="str">
        <f>+IF(CN$3="","",IF($AY115="","",IFERROR(INDEX('Data Consolidada'!$E$7:$E$891,MATCH(CONCATENATE(CN$3,"-",$CP115,"-",$AY115),'Data Consolidada'!$K$7:$K$891,0)),MAX('Data Consolidada'!$E$7:$E$3000))))</f>
        <v/>
      </c>
      <c r="CO115" s="37" t="str">
        <f>+IF(CO$3="","",IF($AY115="","",IFERROR(INDEX('Data Consolidada'!$E$7:$E$891,MATCH(CONCATENATE(CO$3,"-",$CP115,"-",$AY115),'Data Consolidada'!$K$7:$K$891,0)),MAX('Data Consolidada'!$E$7:$E$3000))))</f>
        <v/>
      </c>
      <c r="CP115" s="224">
        <f t="shared" ca="1" si="45"/>
        <v>0</v>
      </c>
      <c r="CQ115" s="84" t="str">
        <f t="shared" ca="1" si="39"/>
        <v>PAULA0</v>
      </c>
    </row>
    <row r="116" spans="2:95" ht="15" customHeight="1" x14ac:dyDescent="0.35">
      <c r="B116" s="218" t="str">
        <f t="shared" ca="1" si="41"/>
        <v xml:space="preserve">Manuel Sepúlveda </v>
      </c>
      <c r="C116" s="238">
        <v>0</v>
      </c>
      <c r="D116" s="239">
        <v>0</v>
      </c>
      <c r="E116" s="239">
        <v>0</v>
      </c>
      <c r="F116" s="239">
        <v>0</v>
      </c>
      <c r="G116" s="239">
        <v>0</v>
      </c>
      <c r="H116" s="239">
        <v>0</v>
      </c>
      <c r="I116" s="239">
        <v>0</v>
      </c>
      <c r="J116" s="239">
        <v>0</v>
      </c>
      <c r="K116" s="239">
        <v>0</v>
      </c>
      <c r="L116" s="239">
        <v>0</v>
      </c>
      <c r="M116" s="239">
        <v>0</v>
      </c>
      <c r="N116" s="240">
        <v>0</v>
      </c>
      <c r="O116" s="239">
        <v>0</v>
      </c>
      <c r="P116" s="239">
        <v>0</v>
      </c>
      <c r="Q116" s="239">
        <v>0</v>
      </c>
      <c r="R116" s="239">
        <v>0</v>
      </c>
      <c r="S116" s="239">
        <v>0</v>
      </c>
      <c r="T116" s="239">
        <v>0</v>
      </c>
      <c r="U116" s="239">
        <v>0</v>
      </c>
      <c r="V116" s="239">
        <v>0</v>
      </c>
      <c r="W116" s="239">
        <v>0</v>
      </c>
      <c r="X116" s="239">
        <v>0</v>
      </c>
      <c r="Y116" s="239">
        <v>0</v>
      </c>
      <c r="Z116" s="239"/>
      <c r="AA116" s="239"/>
      <c r="AB116" s="239"/>
      <c r="AC116" s="239"/>
      <c r="AD116" s="239"/>
      <c r="AE116" s="239"/>
      <c r="AF116" s="239"/>
      <c r="AG116" s="239"/>
      <c r="AH116" s="239"/>
      <c r="AI116" s="239"/>
      <c r="AJ116" s="239"/>
      <c r="AK116" s="239"/>
      <c r="AL116" s="239"/>
      <c r="AM116" s="239"/>
      <c r="AN116" s="239"/>
      <c r="AO116" s="239"/>
      <c r="AP116" s="239"/>
      <c r="AQ116" s="239"/>
      <c r="AR116" s="252"/>
      <c r="AS116" s="77">
        <f t="shared" ca="1" si="42"/>
        <v>0</v>
      </c>
      <c r="AT116" s="255">
        <f t="shared" si="43"/>
        <v>0</v>
      </c>
      <c r="AU116" s="51"/>
      <c r="AV116" s="51"/>
      <c r="AW116" s="13">
        <f>+IF(AX116="","",IF(AX116&gt;AX115,AW115,IF(AW115&lt;$D$69,AW115+1,IF(COUNT(AW$4:AW115)&lt;$B$69*$E$54,1,""))))</f>
        <v>9</v>
      </c>
      <c r="AX116" s="13">
        <f>+IF(AX115&lt;$B$69,AX115+1,IF(COUNT(AX$4:AX115)&lt;$B$69*$D$69,1,""))</f>
        <v>9</v>
      </c>
      <c r="AY116" s="189" t="str">
        <f t="shared" ca="1" si="44"/>
        <v>TH TRANSPORTES</v>
      </c>
      <c r="AZ116" s="36">
        <f ca="1">+IF(AZ$3="","",IF($AY116="","",IFERROR(INDEX('Data Consolidada'!$E$7:$E$891,MATCH(CONCATENATE(AZ$3,"-",$CP116,"-",$AY116),'Data Consolidada'!$K$7:$K$891,0)),MAX('Data Consolidada'!$E$7:$E$3000))))</f>
        <v>11000000</v>
      </c>
      <c r="BA116" s="32">
        <f ca="1">+IF(BA$3="","",IF($AY116="","",IFERROR(INDEX('Data Consolidada'!$E$7:$E$891,MATCH(CONCATENATE(BA$3,"-",$CP116,"-",$AY116),'Data Consolidada'!$K$7:$K$891,0)),MAX('Data Consolidada'!$E$7:$E$3000))))</f>
        <v>11000000</v>
      </c>
      <c r="BB116" s="32" t="str">
        <f>+IF(BB$3="","",IF($AY116="","",IFERROR(INDEX('Data Consolidada'!$E$7:$E$891,MATCH(CONCATENATE(BB$3,"-",$CP116,"-",$AY116),'Data Consolidada'!$K$7:$K$891,0)),MAX('Data Consolidada'!$E$7:$E$3000))))</f>
        <v/>
      </c>
      <c r="BC116" s="32" t="str">
        <f>+IF(BC$3="","",IF($AY116="","",IFERROR(INDEX('Data Consolidada'!$E$7:$E$891,MATCH(CONCATENATE(BC$3,"-",$CP116,"-",$AY116),'Data Consolidada'!$K$7:$K$891,0)),MAX('Data Consolidada'!$E$7:$E$3000))))</f>
        <v/>
      </c>
      <c r="BD116" s="32" t="str">
        <f>+IF(BD$3="","",IF($AY116="","",IFERROR(INDEX('Data Consolidada'!$E$7:$E$891,MATCH(CONCATENATE(BD$3,"-",$CP116,"-",$AY116),'Data Consolidada'!$K$7:$K$891,0)),MAX('Data Consolidada'!$E$7:$E$3000))))</f>
        <v/>
      </c>
      <c r="BE116" s="32" t="str">
        <f>+IF(BE$3="","",IF($AY116="","",IFERROR(INDEX('Data Consolidada'!$E$7:$E$891,MATCH(CONCATENATE(BE$3,"-",$CP116,"-",$AY116),'Data Consolidada'!$K$7:$K$891,0)),MAX('Data Consolidada'!$E$7:$E$3000))))</f>
        <v/>
      </c>
      <c r="BF116" s="32" t="str">
        <f>+IF(BF$3="","",IF($AY116="","",IFERROR(INDEX('Data Consolidada'!$E$7:$E$891,MATCH(CONCATENATE(BF$3,"-",$CP116,"-",$AY116),'Data Consolidada'!$K$7:$K$891,0)),MAX('Data Consolidada'!$E$7:$E$3000))))</f>
        <v/>
      </c>
      <c r="BG116" s="32" t="str">
        <f>+IF(BG$3="","",IF($AY116="","",IFERROR(INDEX('Data Consolidada'!$E$7:$E$891,MATCH(CONCATENATE(BG$3,"-",$CP116,"-",$AY116),'Data Consolidada'!$K$7:$K$891,0)),MAX('Data Consolidada'!$E$7:$E$3000))))</f>
        <v/>
      </c>
      <c r="BH116" s="32" t="str">
        <f>+IF(BH$3="","",IF($AY116="","",IFERROR(INDEX('Data Consolidada'!$E$7:$E$891,MATCH(CONCATENATE(BH$3,"-",$CP116,"-",$AY116),'Data Consolidada'!$K$7:$K$891,0)),MAX('Data Consolidada'!$E$7:$E$3000))))</f>
        <v/>
      </c>
      <c r="BI116" s="32" t="str">
        <f>+IF(BI$3="","",IF($AY116="","",IFERROR(INDEX('Data Consolidada'!$E$7:$E$891,MATCH(CONCATENATE(BI$3,"-",$CP116,"-",$AY116),'Data Consolidada'!$K$7:$K$891,0)),MAX('Data Consolidada'!$E$7:$E$3000))))</f>
        <v/>
      </c>
      <c r="BJ116" s="32" t="str">
        <f>+IF(BJ$3="","",IF($AY116="","",IFERROR(INDEX('Data Consolidada'!$E$7:$E$891,MATCH(CONCATENATE(BJ$3,"-",$CP116,"-",$AY116),'Data Consolidada'!$K$7:$K$891,0)),MAX('Data Consolidada'!$E$7:$E$3000))))</f>
        <v/>
      </c>
      <c r="BK116" s="32" t="str">
        <f>+IF(BK$3="","",IF($AY116="","",IFERROR(INDEX('Data Consolidada'!$E$7:$E$891,MATCH(CONCATENATE(BK$3,"-",$CP116,"-",$AY116),'Data Consolidada'!$K$7:$K$891,0)),MAX('Data Consolidada'!$E$7:$E$3000))))</f>
        <v/>
      </c>
      <c r="BL116" s="32" t="str">
        <f>+IF(BL$3="","",IF($AY116="","",IFERROR(INDEX('Data Consolidada'!$E$7:$E$891,MATCH(CONCATENATE(BL$3,"-",$CP116,"-",$AY116),'Data Consolidada'!$K$7:$K$891,0)),MAX('Data Consolidada'!$E$7:$E$3000))))</f>
        <v/>
      </c>
      <c r="BM116" s="32" t="str">
        <f>+IF(BM$3="","",IF($AY116="","",IFERROR(INDEX('Data Consolidada'!$E$7:$E$891,MATCH(CONCATENATE(BM$3,"-",$CP116,"-",$AY116),'Data Consolidada'!$K$7:$K$891,0)),MAX('Data Consolidada'!$E$7:$E$3000))))</f>
        <v/>
      </c>
      <c r="BN116" s="32" t="str">
        <f>+IF(BN$3="","",IF($AY116="","",IFERROR(INDEX('Data Consolidada'!$E$7:$E$891,MATCH(CONCATENATE(BN$3,"-",$CP116,"-",$AY116),'Data Consolidada'!$K$7:$K$891,0)),MAX('Data Consolidada'!$E$7:$E$3000))))</f>
        <v/>
      </c>
      <c r="BO116" s="32" t="str">
        <f>+IF(BO$3="","",IF($AY116="","",IFERROR(INDEX('Data Consolidada'!$E$7:$E$891,MATCH(CONCATENATE(BO$3,"-",$CP116,"-",$AY116),'Data Consolidada'!$K$7:$K$891,0)),MAX('Data Consolidada'!$E$7:$E$3000))))</f>
        <v/>
      </c>
      <c r="BP116" s="32" t="str">
        <f>+IF(BP$3="","",IF($AY116="","",IFERROR(INDEX('Data Consolidada'!$E$7:$E$891,MATCH(CONCATENATE(BP$3,"-",$CP116,"-",$AY116),'Data Consolidada'!$K$7:$K$891,0)),MAX('Data Consolidada'!$E$7:$E$3000))))</f>
        <v/>
      </c>
      <c r="BQ116" s="32" t="str">
        <f>+IF(BQ$3="","",IF($AY116="","",IFERROR(INDEX('Data Consolidada'!$E$7:$E$891,MATCH(CONCATENATE(BQ$3,"-",$CP116,"-",$AY116),'Data Consolidada'!$K$7:$K$891,0)),MAX('Data Consolidada'!$E$7:$E$3000))))</f>
        <v/>
      </c>
      <c r="BR116" s="32" t="str">
        <f>+IF(BR$3="","",IF($AY116="","",IFERROR(INDEX('Data Consolidada'!$E$7:$E$891,MATCH(CONCATENATE(BR$3,"-",$CP116,"-",$AY116),'Data Consolidada'!$K$7:$K$891,0)),MAX('Data Consolidada'!$E$7:$E$3000))))</f>
        <v/>
      </c>
      <c r="BS116" s="32" t="str">
        <f>+IF(BS$3="","",IF($AY116="","",IFERROR(INDEX('Data Consolidada'!$E$7:$E$891,MATCH(CONCATENATE(BS$3,"-",$CP116,"-",$AY116),'Data Consolidada'!$K$7:$K$891,0)),MAX('Data Consolidada'!$E$7:$E$3000))))</f>
        <v/>
      </c>
      <c r="BT116" s="32" t="str">
        <f>+IF(BT$3="","",IF($AY116="","",IFERROR(INDEX('Data Consolidada'!$E$7:$E$891,MATCH(CONCATENATE(BT$3,"-",$CP116,"-",$AY116),'Data Consolidada'!$K$7:$K$891,0)),MAX('Data Consolidada'!$E$7:$E$3000))))</f>
        <v/>
      </c>
      <c r="BU116" s="32" t="str">
        <f>+IF(BU$3="","",IF($AY116="","",IFERROR(INDEX('Data Consolidada'!$E$7:$E$891,MATCH(CONCATENATE(BU$3,"-",$CP116,"-",$AY116),'Data Consolidada'!$K$7:$K$891,0)),MAX('Data Consolidada'!$E$7:$E$3000))))</f>
        <v/>
      </c>
      <c r="BV116" s="32" t="str">
        <f>+IF(BV$3="","",IF($AY116="","",IFERROR(INDEX('Data Consolidada'!$E$7:$E$891,MATCH(CONCATENATE(BV$3,"-",$CP116,"-",$AY116),'Data Consolidada'!$K$7:$K$891,0)),MAX('Data Consolidada'!$E$7:$E$3000))))</f>
        <v/>
      </c>
      <c r="BW116" s="32" t="str">
        <f>+IF(BW$3="","",IF($AY116="","",IFERROR(INDEX('Data Consolidada'!$E$7:$E$891,MATCH(CONCATENATE(BW$3,"-",$CP116,"-",$AY116),'Data Consolidada'!$K$7:$K$891,0)),MAX('Data Consolidada'!$E$7:$E$3000))))</f>
        <v/>
      </c>
      <c r="BX116" s="32" t="str">
        <f>+IF(BX$3="","",IF($AY116="","",IFERROR(INDEX('Data Consolidada'!$E$7:$E$891,MATCH(CONCATENATE(BX$3,"-",$CP116,"-",$AY116),'Data Consolidada'!$K$7:$K$891,0)),MAX('Data Consolidada'!$E$7:$E$3000))))</f>
        <v/>
      </c>
      <c r="BY116" s="32" t="str">
        <f>+IF(BY$3="","",IF($AY116="","",IFERROR(INDEX('Data Consolidada'!$E$7:$E$891,MATCH(CONCATENATE(BY$3,"-",$CP116,"-",$AY116),'Data Consolidada'!$K$7:$K$891,0)),MAX('Data Consolidada'!$E$7:$E$3000))))</f>
        <v/>
      </c>
      <c r="BZ116" s="32" t="str">
        <f>+IF(BZ$3="","",IF($AY116="","",IFERROR(INDEX('Data Consolidada'!$E$7:$E$891,MATCH(CONCATENATE(BZ$3,"-",$CP116,"-",$AY116),'Data Consolidada'!$K$7:$K$891,0)),MAX('Data Consolidada'!$E$7:$E$3000))))</f>
        <v/>
      </c>
      <c r="CA116" s="32" t="str">
        <f>+IF(CA$3="","",IF($AY116="","",IFERROR(INDEX('Data Consolidada'!$E$7:$E$891,MATCH(CONCATENATE(CA$3,"-",$CP116,"-",$AY116),'Data Consolidada'!$K$7:$K$891,0)),MAX('Data Consolidada'!$E$7:$E$3000))))</f>
        <v/>
      </c>
      <c r="CB116" s="32" t="str">
        <f>+IF(CB$3="","",IF($AY116="","",IFERROR(INDEX('Data Consolidada'!$E$7:$E$891,MATCH(CONCATENATE(CB$3,"-",$CP116,"-",$AY116),'Data Consolidada'!$K$7:$K$891,0)),MAX('Data Consolidada'!$E$7:$E$3000))))</f>
        <v/>
      </c>
      <c r="CC116" s="32" t="str">
        <f>+IF(CC$3="","",IF($AY116="","",IFERROR(INDEX('Data Consolidada'!$E$7:$E$891,MATCH(CONCATENATE(CC$3,"-",$CP116,"-",$AY116),'Data Consolidada'!$K$7:$K$891,0)),MAX('Data Consolidada'!$E$7:$E$3000))))</f>
        <v/>
      </c>
      <c r="CD116" s="32" t="str">
        <f>+IF(CD$3="","",IF($AY116="","",IFERROR(INDEX('Data Consolidada'!$E$7:$E$891,MATCH(CONCATENATE(CD$3,"-",$CP116,"-",$AY116),'Data Consolidada'!$K$7:$K$891,0)),MAX('Data Consolidada'!$E$7:$E$3000))))</f>
        <v/>
      </c>
      <c r="CE116" s="32" t="str">
        <f>+IF(CE$3="","",IF($AY116="","",IFERROR(INDEX('Data Consolidada'!$E$7:$E$891,MATCH(CONCATENATE(CE$3,"-",$CP116,"-",$AY116),'Data Consolidada'!$K$7:$K$891,0)),MAX('Data Consolidada'!$E$7:$E$3000))))</f>
        <v/>
      </c>
      <c r="CF116" s="32" t="str">
        <f>+IF(CF$3="","",IF($AY116="","",IFERROR(INDEX('Data Consolidada'!$E$7:$E$891,MATCH(CONCATENATE(CF$3,"-",$CP116,"-",$AY116),'Data Consolidada'!$K$7:$K$891,0)),MAX('Data Consolidada'!$E$7:$E$3000))))</f>
        <v/>
      </c>
      <c r="CG116" s="32" t="str">
        <f>+IF(CG$3="","",IF($AY116="","",IFERROR(INDEX('Data Consolidada'!$E$7:$E$891,MATCH(CONCATENATE(CG$3,"-",$CP116,"-",$AY116),'Data Consolidada'!$K$7:$K$891,0)),MAX('Data Consolidada'!$E$7:$E$3000))))</f>
        <v/>
      </c>
      <c r="CH116" s="32" t="str">
        <f>+IF(CH$3="","",IF($AY116="","",IFERROR(INDEX('Data Consolidada'!$E$7:$E$891,MATCH(CONCATENATE(CH$3,"-",$CP116,"-",$AY116),'Data Consolidada'!$K$7:$K$891,0)),MAX('Data Consolidada'!$E$7:$E$3000))))</f>
        <v/>
      </c>
      <c r="CI116" s="32" t="str">
        <f>+IF(CI$3="","",IF($AY116="","",IFERROR(INDEX('Data Consolidada'!$E$7:$E$891,MATCH(CONCATENATE(CI$3,"-",$CP116,"-",$AY116),'Data Consolidada'!$K$7:$K$891,0)),MAX('Data Consolidada'!$E$7:$E$3000))))</f>
        <v/>
      </c>
      <c r="CJ116" s="32" t="str">
        <f>+IF(CJ$3="","",IF($AY116="","",IFERROR(INDEX('Data Consolidada'!$E$7:$E$891,MATCH(CONCATENATE(CJ$3,"-",$CP116,"-",$AY116),'Data Consolidada'!$K$7:$K$891,0)),MAX('Data Consolidada'!$E$7:$E$3000))))</f>
        <v/>
      </c>
      <c r="CK116" s="32" t="str">
        <f>+IF(CK$3="","",IF($AY116="","",IFERROR(INDEX('Data Consolidada'!$E$7:$E$891,MATCH(CONCATENATE(CK$3,"-",$CP116,"-",$AY116),'Data Consolidada'!$K$7:$K$891,0)),MAX('Data Consolidada'!$E$7:$E$3000))))</f>
        <v/>
      </c>
      <c r="CL116" s="32" t="str">
        <f>+IF(CL$3="","",IF($AY116="","",IFERROR(INDEX('Data Consolidada'!$E$7:$E$891,MATCH(CONCATENATE(CL$3,"-",$CP116,"-",$AY116),'Data Consolidada'!$K$7:$K$891,0)),MAX('Data Consolidada'!$E$7:$E$3000))))</f>
        <v/>
      </c>
      <c r="CM116" s="32" t="str">
        <f>+IF(CM$3="","",IF($AY116="","",IFERROR(INDEX('Data Consolidada'!$E$7:$E$891,MATCH(CONCATENATE(CM$3,"-",$CP116,"-",$AY116),'Data Consolidada'!$K$7:$K$891,0)),MAX('Data Consolidada'!$E$7:$E$3000))))</f>
        <v/>
      </c>
      <c r="CN116" s="32" t="str">
        <f>+IF(CN$3="","",IF($AY116="","",IFERROR(INDEX('Data Consolidada'!$E$7:$E$891,MATCH(CONCATENATE(CN$3,"-",$CP116,"-",$AY116),'Data Consolidada'!$K$7:$K$891,0)),MAX('Data Consolidada'!$E$7:$E$3000))))</f>
        <v/>
      </c>
      <c r="CO116" s="37" t="str">
        <f>+IF(CO$3="","",IF($AY116="","",IFERROR(INDEX('Data Consolidada'!$E$7:$E$891,MATCH(CONCATENATE(CO$3,"-",$CP116,"-",$AY116),'Data Consolidada'!$K$7:$K$891,0)),MAX('Data Consolidada'!$E$7:$E$3000))))</f>
        <v/>
      </c>
      <c r="CP116" s="224">
        <f t="shared" ca="1" si="45"/>
        <v>0</v>
      </c>
      <c r="CQ116" s="84" t="str">
        <f t="shared" ca="1" si="39"/>
        <v>TH TRANSPORTES0</v>
      </c>
    </row>
    <row r="117" spans="2:95" ht="15" customHeight="1" x14ac:dyDescent="0.35">
      <c r="B117" s="218" t="str">
        <f t="shared" ca="1" si="41"/>
        <v>PARRAO</v>
      </c>
      <c r="C117" s="238">
        <v>0</v>
      </c>
      <c r="D117" s="239">
        <v>0</v>
      </c>
      <c r="E117" s="239">
        <v>0</v>
      </c>
      <c r="F117" s="239">
        <v>0</v>
      </c>
      <c r="G117" s="239">
        <v>0</v>
      </c>
      <c r="H117" s="239">
        <v>0</v>
      </c>
      <c r="I117" s="239">
        <v>0</v>
      </c>
      <c r="J117" s="239">
        <v>0</v>
      </c>
      <c r="K117" s="239">
        <v>0</v>
      </c>
      <c r="L117" s="239">
        <v>0</v>
      </c>
      <c r="M117" s="239">
        <v>0</v>
      </c>
      <c r="N117" s="240">
        <v>0</v>
      </c>
      <c r="O117" s="239">
        <v>0</v>
      </c>
      <c r="P117" s="239">
        <v>0</v>
      </c>
      <c r="Q117" s="239">
        <v>0</v>
      </c>
      <c r="R117" s="239">
        <v>0</v>
      </c>
      <c r="S117" s="239">
        <v>0</v>
      </c>
      <c r="T117" s="239">
        <v>0</v>
      </c>
      <c r="U117" s="239">
        <v>0</v>
      </c>
      <c r="V117" s="239">
        <v>0</v>
      </c>
      <c r="W117" s="239">
        <v>0</v>
      </c>
      <c r="X117" s="239">
        <v>0</v>
      </c>
      <c r="Y117" s="239">
        <v>0</v>
      </c>
      <c r="Z117" s="239"/>
      <c r="AA117" s="239"/>
      <c r="AB117" s="239"/>
      <c r="AC117" s="239"/>
      <c r="AD117" s="239"/>
      <c r="AE117" s="239"/>
      <c r="AF117" s="239"/>
      <c r="AG117" s="239"/>
      <c r="AH117" s="239"/>
      <c r="AI117" s="239"/>
      <c r="AJ117" s="239"/>
      <c r="AK117" s="239"/>
      <c r="AL117" s="239"/>
      <c r="AM117" s="239"/>
      <c r="AN117" s="239"/>
      <c r="AO117" s="239"/>
      <c r="AP117" s="239"/>
      <c r="AQ117" s="239"/>
      <c r="AR117" s="252"/>
      <c r="AS117" s="77">
        <f t="shared" ca="1" si="42"/>
        <v>0</v>
      </c>
      <c r="AT117" s="255">
        <f t="shared" si="43"/>
        <v>0</v>
      </c>
      <c r="AU117" s="51"/>
      <c r="AV117" s="51"/>
      <c r="AW117" s="13">
        <f>+IF(AX117="","",IF(AX117&gt;AX116,AW116,IF(AW116&lt;$D$69,AW116+1,IF(COUNT(AW$4:AW116)&lt;$B$69*$E$54,1,""))))</f>
        <v>9</v>
      </c>
      <c r="AX117" s="13">
        <f>+IF(AX116&lt;$B$69,AX116+1,IF(COUNT(AX$4:AX116)&lt;$B$69*$D$69,1,""))</f>
        <v>10</v>
      </c>
      <c r="AY117" s="189" t="str">
        <f t="shared" ca="1" si="44"/>
        <v>TRAIDILL</v>
      </c>
      <c r="AZ117" s="36">
        <f ca="1">+IF(AZ$3="","",IF($AY117="","",IFERROR(INDEX('Data Consolidada'!$E$7:$E$891,MATCH(CONCATENATE(AZ$3,"-",$CP117,"-",$AY117),'Data Consolidada'!$K$7:$K$891,0)),MAX('Data Consolidada'!$E$7:$E$3000))))</f>
        <v>11000000</v>
      </c>
      <c r="BA117" s="32">
        <f ca="1">+IF(BA$3="","",IF($AY117="","",IFERROR(INDEX('Data Consolidada'!$E$7:$E$891,MATCH(CONCATENATE(BA$3,"-",$CP117,"-",$AY117),'Data Consolidada'!$K$7:$K$891,0)),MAX('Data Consolidada'!$E$7:$E$3000))))</f>
        <v>11000000</v>
      </c>
      <c r="BB117" s="32" t="str">
        <f>+IF(BB$3="","",IF($AY117="","",IFERROR(INDEX('Data Consolidada'!$E$7:$E$891,MATCH(CONCATENATE(BB$3,"-",$CP117,"-",$AY117),'Data Consolidada'!$K$7:$K$891,0)),MAX('Data Consolidada'!$E$7:$E$3000))))</f>
        <v/>
      </c>
      <c r="BC117" s="32" t="str">
        <f>+IF(BC$3="","",IF($AY117="","",IFERROR(INDEX('Data Consolidada'!$E$7:$E$891,MATCH(CONCATENATE(BC$3,"-",$CP117,"-",$AY117),'Data Consolidada'!$K$7:$K$891,0)),MAX('Data Consolidada'!$E$7:$E$3000))))</f>
        <v/>
      </c>
      <c r="BD117" s="32" t="str">
        <f>+IF(BD$3="","",IF($AY117="","",IFERROR(INDEX('Data Consolidada'!$E$7:$E$891,MATCH(CONCATENATE(BD$3,"-",$CP117,"-",$AY117),'Data Consolidada'!$K$7:$K$891,0)),MAX('Data Consolidada'!$E$7:$E$3000))))</f>
        <v/>
      </c>
      <c r="BE117" s="32" t="str">
        <f>+IF(BE$3="","",IF($AY117="","",IFERROR(INDEX('Data Consolidada'!$E$7:$E$891,MATCH(CONCATENATE(BE$3,"-",$CP117,"-",$AY117),'Data Consolidada'!$K$7:$K$891,0)),MAX('Data Consolidada'!$E$7:$E$3000))))</f>
        <v/>
      </c>
      <c r="BF117" s="32" t="str">
        <f>+IF(BF$3="","",IF($AY117="","",IFERROR(INDEX('Data Consolidada'!$E$7:$E$891,MATCH(CONCATENATE(BF$3,"-",$CP117,"-",$AY117),'Data Consolidada'!$K$7:$K$891,0)),MAX('Data Consolidada'!$E$7:$E$3000))))</f>
        <v/>
      </c>
      <c r="BG117" s="32" t="str">
        <f>+IF(BG$3="","",IF($AY117="","",IFERROR(INDEX('Data Consolidada'!$E$7:$E$891,MATCH(CONCATENATE(BG$3,"-",$CP117,"-",$AY117),'Data Consolidada'!$K$7:$K$891,0)),MAX('Data Consolidada'!$E$7:$E$3000))))</f>
        <v/>
      </c>
      <c r="BH117" s="32" t="str">
        <f>+IF(BH$3="","",IF($AY117="","",IFERROR(INDEX('Data Consolidada'!$E$7:$E$891,MATCH(CONCATENATE(BH$3,"-",$CP117,"-",$AY117),'Data Consolidada'!$K$7:$K$891,0)),MAX('Data Consolidada'!$E$7:$E$3000))))</f>
        <v/>
      </c>
      <c r="BI117" s="32" t="str">
        <f>+IF(BI$3="","",IF($AY117="","",IFERROR(INDEX('Data Consolidada'!$E$7:$E$891,MATCH(CONCATENATE(BI$3,"-",$CP117,"-",$AY117),'Data Consolidada'!$K$7:$K$891,0)),MAX('Data Consolidada'!$E$7:$E$3000))))</f>
        <v/>
      </c>
      <c r="BJ117" s="32" t="str">
        <f>+IF(BJ$3="","",IF($AY117="","",IFERROR(INDEX('Data Consolidada'!$E$7:$E$891,MATCH(CONCATENATE(BJ$3,"-",$CP117,"-",$AY117),'Data Consolidada'!$K$7:$K$891,0)),MAX('Data Consolidada'!$E$7:$E$3000))))</f>
        <v/>
      </c>
      <c r="BK117" s="32" t="str">
        <f>+IF(BK$3="","",IF($AY117="","",IFERROR(INDEX('Data Consolidada'!$E$7:$E$891,MATCH(CONCATENATE(BK$3,"-",$CP117,"-",$AY117),'Data Consolidada'!$K$7:$K$891,0)),MAX('Data Consolidada'!$E$7:$E$3000))))</f>
        <v/>
      </c>
      <c r="BL117" s="32" t="str">
        <f>+IF(BL$3="","",IF($AY117="","",IFERROR(INDEX('Data Consolidada'!$E$7:$E$891,MATCH(CONCATENATE(BL$3,"-",$CP117,"-",$AY117),'Data Consolidada'!$K$7:$K$891,0)),MAX('Data Consolidada'!$E$7:$E$3000))))</f>
        <v/>
      </c>
      <c r="BM117" s="32" t="str">
        <f>+IF(BM$3="","",IF($AY117="","",IFERROR(INDEX('Data Consolidada'!$E$7:$E$891,MATCH(CONCATENATE(BM$3,"-",$CP117,"-",$AY117),'Data Consolidada'!$K$7:$K$891,0)),MAX('Data Consolidada'!$E$7:$E$3000))))</f>
        <v/>
      </c>
      <c r="BN117" s="32" t="str">
        <f>+IF(BN$3="","",IF($AY117="","",IFERROR(INDEX('Data Consolidada'!$E$7:$E$891,MATCH(CONCATENATE(BN$3,"-",$CP117,"-",$AY117),'Data Consolidada'!$K$7:$K$891,0)),MAX('Data Consolidada'!$E$7:$E$3000))))</f>
        <v/>
      </c>
      <c r="BO117" s="32" t="str">
        <f>+IF(BO$3="","",IF($AY117="","",IFERROR(INDEX('Data Consolidada'!$E$7:$E$891,MATCH(CONCATENATE(BO$3,"-",$CP117,"-",$AY117),'Data Consolidada'!$K$7:$K$891,0)),MAX('Data Consolidada'!$E$7:$E$3000))))</f>
        <v/>
      </c>
      <c r="BP117" s="32" t="str">
        <f>+IF(BP$3="","",IF($AY117="","",IFERROR(INDEX('Data Consolidada'!$E$7:$E$891,MATCH(CONCATENATE(BP$3,"-",$CP117,"-",$AY117),'Data Consolidada'!$K$7:$K$891,0)),MAX('Data Consolidada'!$E$7:$E$3000))))</f>
        <v/>
      </c>
      <c r="BQ117" s="32" t="str">
        <f>+IF(BQ$3="","",IF($AY117="","",IFERROR(INDEX('Data Consolidada'!$E$7:$E$891,MATCH(CONCATENATE(BQ$3,"-",$CP117,"-",$AY117),'Data Consolidada'!$K$7:$K$891,0)),MAX('Data Consolidada'!$E$7:$E$3000))))</f>
        <v/>
      </c>
      <c r="BR117" s="32" t="str">
        <f>+IF(BR$3="","",IF($AY117="","",IFERROR(INDEX('Data Consolidada'!$E$7:$E$891,MATCH(CONCATENATE(BR$3,"-",$CP117,"-",$AY117),'Data Consolidada'!$K$7:$K$891,0)),MAX('Data Consolidada'!$E$7:$E$3000))))</f>
        <v/>
      </c>
      <c r="BS117" s="32" t="str">
        <f>+IF(BS$3="","",IF($AY117="","",IFERROR(INDEX('Data Consolidada'!$E$7:$E$891,MATCH(CONCATENATE(BS$3,"-",$CP117,"-",$AY117),'Data Consolidada'!$K$7:$K$891,0)),MAX('Data Consolidada'!$E$7:$E$3000))))</f>
        <v/>
      </c>
      <c r="BT117" s="32" t="str">
        <f>+IF(BT$3="","",IF($AY117="","",IFERROR(INDEX('Data Consolidada'!$E$7:$E$891,MATCH(CONCATENATE(BT$3,"-",$CP117,"-",$AY117),'Data Consolidada'!$K$7:$K$891,0)),MAX('Data Consolidada'!$E$7:$E$3000))))</f>
        <v/>
      </c>
      <c r="BU117" s="32" t="str">
        <f>+IF(BU$3="","",IF($AY117="","",IFERROR(INDEX('Data Consolidada'!$E$7:$E$891,MATCH(CONCATENATE(BU$3,"-",$CP117,"-",$AY117),'Data Consolidada'!$K$7:$K$891,0)),MAX('Data Consolidada'!$E$7:$E$3000))))</f>
        <v/>
      </c>
      <c r="BV117" s="32" t="str">
        <f>+IF(BV$3="","",IF($AY117="","",IFERROR(INDEX('Data Consolidada'!$E$7:$E$891,MATCH(CONCATENATE(BV$3,"-",$CP117,"-",$AY117),'Data Consolidada'!$K$7:$K$891,0)),MAX('Data Consolidada'!$E$7:$E$3000))))</f>
        <v/>
      </c>
      <c r="BW117" s="32" t="str">
        <f>+IF(BW$3="","",IF($AY117="","",IFERROR(INDEX('Data Consolidada'!$E$7:$E$891,MATCH(CONCATENATE(BW$3,"-",$CP117,"-",$AY117),'Data Consolidada'!$K$7:$K$891,0)),MAX('Data Consolidada'!$E$7:$E$3000))))</f>
        <v/>
      </c>
      <c r="BX117" s="32" t="str">
        <f>+IF(BX$3="","",IF($AY117="","",IFERROR(INDEX('Data Consolidada'!$E$7:$E$891,MATCH(CONCATENATE(BX$3,"-",$CP117,"-",$AY117),'Data Consolidada'!$K$7:$K$891,0)),MAX('Data Consolidada'!$E$7:$E$3000))))</f>
        <v/>
      </c>
      <c r="BY117" s="32" t="str">
        <f>+IF(BY$3="","",IF($AY117="","",IFERROR(INDEX('Data Consolidada'!$E$7:$E$891,MATCH(CONCATENATE(BY$3,"-",$CP117,"-",$AY117),'Data Consolidada'!$K$7:$K$891,0)),MAX('Data Consolidada'!$E$7:$E$3000))))</f>
        <v/>
      </c>
      <c r="BZ117" s="32" t="str">
        <f>+IF(BZ$3="","",IF($AY117="","",IFERROR(INDEX('Data Consolidada'!$E$7:$E$891,MATCH(CONCATENATE(BZ$3,"-",$CP117,"-",$AY117),'Data Consolidada'!$K$7:$K$891,0)),MAX('Data Consolidada'!$E$7:$E$3000))))</f>
        <v/>
      </c>
      <c r="CA117" s="32" t="str">
        <f>+IF(CA$3="","",IF($AY117="","",IFERROR(INDEX('Data Consolidada'!$E$7:$E$891,MATCH(CONCATENATE(CA$3,"-",$CP117,"-",$AY117),'Data Consolidada'!$K$7:$K$891,0)),MAX('Data Consolidada'!$E$7:$E$3000))))</f>
        <v/>
      </c>
      <c r="CB117" s="32" t="str">
        <f>+IF(CB$3="","",IF($AY117="","",IFERROR(INDEX('Data Consolidada'!$E$7:$E$891,MATCH(CONCATENATE(CB$3,"-",$CP117,"-",$AY117),'Data Consolidada'!$K$7:$K$891,0)),MAX('Data Consolidada'!$E$7:$E$3000))))</f>
        <v/>
      </c>
      <c r="CC117" s="32" t="str">
        <f>+IF(CC$3="","",IF($AY117="","",IFERROR(INDEX('Data Consolidada'!$E$7:$E$891,MATCH(CONCATENATE(CC$3,"-",$CP117,"-",$AY117),'Data Consolidada'!$K$7:$K$891,0)),MAX('Data Consolidada'!$E$7:$E$3000))))</f>
        <v/>
      </c>
      <c r="CD117" s="32" t="str">
        <f>+IF(CD$3="","",IF($AY117="","",IFERROR(INDEX('Data Consolidada'!$E$7:$E$891,MATCH(CONCATENATE(CD$3,"-",$CP117,"-",$AY117),'Data Consolidada'!$K$7:$K$891,0)),MAX('Data Consolidada'!$E$7:$E$3000))))</f>
        <v/>
      </c>
      <c r="CE117" s="32" t="str">
        <f>+IF(CE$3="","",IF($AY117="","",IFERROR(INDEX('Data Consolidada'!$E$7:$E$891,MATCH(CONCATENATE(CE$3,"-",$CP117,"-",$AY117),'Data Consolidada'!$K$7:$K$891,0)),MAX('Data Consolidada'!$E$7:$E$3000))))</f>
        <v/>
      </c>
      <c r="CF117" s="32" t="str">
        <f>+IF(CF$3="","",IF($AY117="","",IFERROR(INDEX('Data Consolidada'!$E$7:$E$891,MATCH(CONCATENATE(CF$3,"-",$CP117,"-",$AY117),'Data Consolidada'!$K$7:$K$891,0)),MAX('Data Consolidada'!$E$7:$E$3000))))</f>
        <v/>
      </c>
      <c r="CG117" s="32" t="str">
        <f>+IF(CG$3="","",IF($AY117="","",IFERROR(INDEX('Data Consolidada'!$E$7:$E$891,MATCH(CONCATENATE(CG$3,"-",$CP117,"-",$AY117),'Data Consolidada'!$K$7:$K$891,0)),MAX('Data Consolidada'!$E$7:$E$3000))))</f>
        <v/>
      </c>
      <c r="CH117" s="32" t="str">
        <f>+IF(CH$3="","",IF($AY117="","",IFERROR(INDEX('Data Consolidada'!$E$7:$E$891,MATCH(CONCATENATE(CH$3,"-",$CP117,"-",$AY117),'Data Consolidada'!$K$7:$K$891,0)),MAX('Data Consolidada'!$E$7:$E$3000))))</f>
        <v/>
      </c>
      <c r="CI117" s="32" t="str">
        <f>+IF(CI$3="","",IF($AY117="","",IFERROR(INDEX('Data Consolidada'!$E$7:$E$891,MATCH(CONCATENATE(CI$3,"-",$CP117,"-",$AY117),'Data Consolidada'!$K$7:$K$891,0)),MAX('Data Consolidada'!$E$7:$E$3000))))</f>
        <v/>
      </c>
      <c r="CJ117" s="32" t="str">
        <f>+IF(CJ$3="","",IF($AY117="","",IFERROR(INDEX('Data Consolidada'!$E$7:$E$891,MATCH(CONCATENATE(CJ$3,"-",$CP117,"-",$AY117),'Data Consolidada'!$K$7:$K$891,0)),MAX('Data Consolidada'!$E$7:$E$3000))))</f>
        <v/>
      </c>
      <c r="CK117" s="32" t="str">
        <f>+IF(CK$3="","",IF($AY117="","",IFERROR(INDEX('Data Consolidada'!$E$7:$E$891,MATCH(CONCATENATE(CK$3,"-",$CP117,"-",$AY117),'Data Consolidada'!$K$7:$K$891,0)),MAX('Data Consolidada'!$E$7:$E$3000))))</f>
        <v/>
      </c>
      <c r="CL117" s="32" t="str">
        <f>+IF(CL$3="","",IF($AY117="","",IFERROR(INDEX('Data Consolidada'!$E$7:$E$891,MATCH(CONCATENATE(CL$3,"-",$CP117,"-",$AY117),'Data Consolidada'!$K$7:$K$891,0)),MAX('Data Consolidada'!$E$7:$E$3000))))</f>
        <v/>
      </c>
      <c r="CM117" s="32" t="str">
        <f>+IF(CM$3="","",IF($AY117="","",IFERROR(INDEX('Data Consolidada'!$E$7:$E$891,MATCH(CONCATENATE(CM$3,"-",$CP117,"-",$AY117),'Data Consolidada'!$K$7:$K$891,0)),MAX('Data Consolidada'!$E$7:$E$3000))))</f>
        <v/>
      </c>
      <c r="CN117" s="32" t="str">
        <f>+IF(CN$3="","",IF($AY117="","",IFERROR(INDEX('Data Consolidada'!$E$7:$E$891,MATCH(CONCATENATE(CN$3,"-",$CP117,"-",$AY117),'Data Consolidada'!$K$7:$K$891,0)),MAX('Data Consolidada'!$E$7:$E$3000))))</f>
        <v/>
      </c>
      <c r="CO117" s="37" t="str">
        <f>+IF(CO$3="","",IF($AY117="","",IFERROR(INDEX('Data Consolidada'!$E$7:$E$891,MATCH(CONCATENATE(CO$3,"-",$CP117,"-",$AY117),'Data Consolidada'!$K$7:$K$891,0)),MAX('Data Consolidada'!$E$7:$E$3000))))</f>
        <v/>
      </c>
      <c r="CP117" s="224">
        <f t="shared" ca="1" si="45"/>
        <v>0</v>
      </c>
      <c r="CQ117" s="84" t="str">
        <f t="shared" ca="1" si="39"/>
        <v>TRAIDILL0</v>
      </c>
    </row>
    <row r="118" spans="2:95" ht="15" customHeight="1" x14ac:dyDescent="0.35">
      <c r="B118" s="218" t="str">
        <f t="shared" ca="1" si="41"/>
        <v>PAULA</v>
      </c>
      <c r="C118" s="238">
        <v>0</v>
      </c>
      <c r="D118" s="239">
        <v>0</v>
      </c>
      <c r="E118" s="239">
        <v>0</v>
      </c>
      <c r="F118" s="239">
        <v>0</v>
      </c>
      <c r="G118" s="239">
        <v>0</v>
      </c>
      <c r="H118" s="239">
        <v>0</v>
      </c>
      <c r="I118" s="239">
        <v>0</v>
      </c>
      <c r="J118" s="239">
        <v>0</v>
      </c>
      <c r="K118" s="239">
        <v>0</v>
      </c>
      <c r="L118" s="239">
        <v>0</v>
      </c>
      <c r="M118" s="239">
        <v>0</v>
      </c>
      <c r="N118" s="240">
        <v>0</v>
      </c>
      <c r="O118" s="239">
        <v>0</v>
      </c>
      <c r="P118" s="239">
        <v>0</v>
      </c>
      <c r="Q118" s="239">
        <v>0</v>
      </c>
      <c r="R118" s="239">
        <v>0</v>
      </c>
      <c r="S118" s="239">
        <v>0</v>
      </c>
      <c r="T118" s="239">
        <v>0</v>
      </c>
      <c r="U118" s="239">
        <v>0</v>
      </c>
      <c r="V118" s="239">
        <v>0</v>
      </c>
      <c r="W118" s="239">
        <v>0</v>
      </c>
      <c r="X118" s="239">
        <v>0</v>
      </c>
      <c r="Y118" s="239">
        <v>0</v>
      </c>
      <c r="Z118" s="239"/>
      <c r="AA118" s="239"/>
      <c r="AB118" s="239"/>
      <c r="AC118" s="239"/>
      <c r="AD118" s="239"/>
      <c r="AE118" s="239"/>
      <c r="AF118" s="239"/>
      <c r="AG118" s="239"/>
      <c r="AH118" s="239"/>
      <c r="AI118" s="239"/>
      <c r="AJ118" s="239"/>
      <c r="AK118" s="239"/>
      <c r="AL118" s="239"/>
      <c r="AM118" s="239"/>
      <c r="AN118" s="239"/>
      <c r="AO118" s="239"/>
      <c r="AP118" s="239"/>
      <c r="AQ118" s="239"/>
      <c r="AR118" s="252"/>
      <c r="AS118" s="77">
        <f t="shared" ca="1" si="42"/>
        <v>0</v>
      </c>
      <c r="AT118" s="255">
        <f t="shared" si="43"/>
        <v>0</v>
      </c>
      <c r="AU118" s="51"/>
      <c r="AV118" s="51"/>
      <c r="AW118" s="13">
        <f>+IF(AX118="","",IF(AX118&gt;AX117,AW117,IF(AW117&lt;$D$69,AW117+1,IF(COUNT(AW$4:AW117)&lt;$B$69*$E$54,1,""))))</f>
        <v>9</v>
      </c>
      <c r="AX118" s="13">
        <f>+IF(AX117&lt;$B$69,AX117+1,IF(COUNT(AX$4:AX117)&lt;$B$69*$D$69,1,""))</f>
        <v>11</v>
      </c>
      <c r="AY118" s="189" t="str">
        <f t="shared" ca="1" si="44"/>
        <v>TRANS. ALMENDRAL</v>
      </c>
      <c r="AZ118" s="36">
        <f ca="1">+IF(AZ$3="","",IF($AY118="","",IFERROR(INDEX('Data Consolidada'!$E$7:$E$891,MATCH(CONCATENATE(AZ$3,"-",$CP118,"-",$AY118),'Data Consolidada'!$K$7:$K$891,0)),MAX('Data Consolidada'!$E$7:$E$3000))))</f>
        <v>11000000</v>
      </c>
      <c r="BA118" s="32">
        <f ca="1">+IF(BA$3="","",IF($AY118="","",IFERROR(INDEX('Data Consolidada'!$E$7:$E$891,MATCH(CONCATENATE(BA$3,"-",$CP118,"-",$AY118),'Data Consolidada'!$K$7:$K$891,0)),MAX('Data Consolidada'!$E$7:$E$3000))))</f>
        <v>11000000</v>
      </c>
      <c r="BB118" s="32" t="str">
        <f>+IF(BB$3="","",IF($AY118="","",IFERROR(INDEX('Data Consolidada'!$E$7:$E$891,MATCH(CONCATENATE(BB$3,"-",$CP118,"-",$AY118),'Data Consolidada'!$K$7:$K$891,0)),MAX('Data Consolidada'!$E$7:$E$3000))))</f>
        <v/>
      </c>
      <c r="BC118" s="32" t="str">
        <f>+IF(BC$3="","",IF($AY118="","",IFERROR(INDEX('Data Consolidada'!$E$7:$E$891,MATCH(CONCATENATE(BC$3,"-",$CP118,"-",$AY118),'Data Consolidada'!$K$7:$K$891,0)),MAX('Data Consolidada'!$E$7:$E$3000))))</f>
        <v/>
      </c>
      <c r="BD118" s="32" t="str">
        <f>+IF(BD$3="","",IF($AY118="","",IFERROR(INDEX('Data Consolidada'!$E$7:$E$891,MATCH(CONCATENATE(BD$3,"-",$CP118,"-",$AY118),'Data Consolidada'!$K$7:$K$891,0)),MAX('Data Consolidada'!$E$7:$E$3000))))</f>
        <v/>
      </c>
      <c r="BE118" s="32" t="str">
        <f>+IF(BE$3="","",IF($AY118="","",IFERROR(INDEX('Data Consolidada'!$E$7:$E$891,MATCH(CONCATENATE(BE$3,"-",$CP118,"-",$AY118),'Data Consolidada'!$K$7:$K$891,0)),MAX('Data Consolidada'!$E$7:$E$3000))))</f>
        <v/>
      </c>
      <c r="BF118" s="32" t="str">
        <f>+IF(BF$3="","",IF($AY118="","",IFERROR(INDEX('Data Consolidada'!$E$7:$E$891,MATCH(CONCATENATE(BF$3,"-",$CP118,"-",$AY118),'Data Consolidada'!$K$7:$K$891,0)),MAX('Data Consolidada'!$E$7:$E$3000))))</f>
        <v/>
      </c>
      <c r="BG118" s="32" t="str">
        <f>+IF(BG$3="","",IF($AY118="","",IFERROR(INDEX('Data Consolidada'!$E$7:$E$891,MATCH(CONCATENATE(BG$3,"-",$CP118,"-",$AY118),'Data Consolidada'!$K$7:$K$891,0)),MAX('Data Consolidada'!$E$7:$E$3000))))</f>
        <v/>
      </c>
      <c r="BH118" s="32" t="str">
        <f>+IF(BH$3="","",IF($AY118="","",IFERROR(INDEX('Data Consolidada'!$E$7:$E$891,MATCH(CONCATENATE(BH$3,"-",$CP118,"-",$AY118),'Data Consolidada'!$K$7:$K$891,0)),MAX('Data Consolidada'!$E$7:$E$3000))))</f>
        <v/>
      </c>
      <c r="BI118" s="32" t="str">
        <f>+IF(BI$3="","",IF($AY118="","",IFERROR(INDEX('Data Consolidada'!$E$7:$E$891,MATCH(CONCATENATE(BI$3,"-",$CP118,"-",$AY118),'Data Consolidada'!$K$7:$K$891,0)),MAX('Data Consolidada'!$E$7:$E$3000))))</f>
        <v/>
      </c>
      <c r="BJ118" s="32" t="str">
        <f>+IF(BJ$3="","",IF($AY118="","",IFERROR(INDEX('Data Consolidada'!$E$7:$E$891,MATCH(CONCATENATE(BJ$3,"-",$CP118,"-",$AY118),'Data Consolidada'!$K$7:$K$891,0)),MAX('Data Consolidada'!$E$7:$E$3000))))</f>
        <v/>
      </c>
      <c r="BK118" s="32" t="str">
        <f>+IF(BK$3="","",IF($AY118="","",IFERROR(INDEX('Data Consolidada'!$E$7:$E$891,MATCH(CONCATENATE(BK$3,"-",$CP118,"-",$AY118),'Data Consolidada'!$K$7:$K$891,0)),MAX('Data Consolidada'!$E$7:$E$3000))))</f>
        <v/>
      </c>
      <c r="BL118" s="32" t="str">
        <f>+IF(BL$3="","",IF($AY118="","",IFERROR(INDEX('Data Consolidada'!$E$7:$E$891,MATCH(CONCATENATE(BL$3,"-",$CP118,"-",$AY118),'Data Consolidada'!$K$7:$K$891,0)),MAX('Data Consolidada'!$E$7:$E$3000))))</f>
        <v/>
      </c>
      <c r="BM118" s="32" t="str">
        <f>+IF(BM$3="","",IF($AY118="","",IFERROR(INDEX('Data Consolidada'!$E$7:$E$891,MATCH(CONCATENATE(BM$3,"-",$CP118,"-",$AY118),'Data Consolidada'!$K$7:$K$891,0)),MAX('Data Consolidada'!$E$7:$E$3000))))</f>
        <v/>
      </c>
      <c r="BN118" s="32" t="str">
        <f>+IF(BN$3="","",IF($AY118="","",IFERROR(INDEX('Data Consolidada'!$E$7:$E$891,MATCH(CONCATENATE(BN$3,"-",$CP118,"-",$AY118),'Data Consolidada'!$K$7:$K$891,0)),MAX('Data Consolidada'!$E$7:$E$3000))))</f>
        <v/>
      </c>
      <c r="BO118" s="32" t="str">
        <f>+IF(BO$3="","",IF($AY118="","",IFERROR(INDEX('Data Consolidada'!$E$7:$E$891,MATCH(CONCATENATE(BO$3,"-",$CP118,"-",$AY118),'Data Consolidada'!$K$7:$K$891,0)),MAX('Data Consolidada'!$E$7:$E$3000))))</f>
        <v/>
      </c>
      <c r="BP118" s="32" t="str">
        <f>+IF(BP$3="","",IF($AY118="","",IFERROR(INDEX('Data Consolidada'!$E$7:$E$891,MATCH(CONCATENATE(BP$3,"-",$CP118,"-",$AY118),'Data Consolidada'!$K$7:$K$891,0)),MAX('Data Consolidada'!$E$7:$E$3000))))</f>
        <v/>
      </c>
      <c r="BQ118" s="32" t="str">
        <f>+IF(BQ$3="","",IF($AY118="","",IFERROR(INDEX('Data Consolidada'!$E$7:$E$891,MATCH(CONCATENATE(BQ$3,"-",$CP118,"-",$AY118),'Data Consolidada'!$K$7:$K$891,0)),MAX('Data Consolidada'!$E$7:$E$3000))))</f>
        <v/>
      </c>
      <c r="BR118" s="32" t="str">
        <f>+IF(BR$3="","",IF($AY118="","",IFERROR(INDEX('Data Consolidada'!$E$7:$E$891,MATCH(CONCATENATE(BR$3,"-",$CP118,"-",$AY118),'Data Consolidada'!$K$7:$K$891,0)),MAX('Data Consolidada'!$E$7:$E$3000))))</f>
        <v/>
      </c>
      <c r="BS118" s="32" t="str">
        <f>+IF(BS$3="","",IF($AY118="","",IFERROR(INDEX('Data Consolidada'!$E$7:$E$891,MATCH(CONCATENATE(BS$3,"-",$CP118,"-",$AY118),'Data Consolidada'!$K$7:$K$891,0)),MAX('Data Consolidada'!$E$7:$E$3000))))</f>
        <v/>
      </c>
      <c r="BT118" s="32" t="str">
        <f>+IF(BT$3="","",IF($AY118="","",IFERROR(INDEX('Data Consolidada'!$E$7:$E$891,MATCH(CONCATENATE(BT$3,"-",$CP118,"-",$AY118),'Data Consolidada'!$K$7:$K$891,0)),MAX('Data Consolidada'!$E$7:$E$3000))))</f>
        <v/>
      </c>
      <c r="BU118" s="32" t="str">
        <f>+IF(BU$3="","",IF($AY118="","",IFERROR(INDEX('Data Consolidada'!$E$7:$E$891,MATCH(CONCATENATE(BU$3,"-",$CP118,"-",$AY118),'Data Consolidada'!$K$7:$K$891,0)),MAX('Data Consolidada'!$E$7:$E$3000))))</f>
        <v/>
      </c>
      <c r="BV118" s="32" t="str">
        <f>+IF(BV$3="","",IF($AY118="","",IFERROR(INDEX('Data Consolidada'!$E$7:$E$891,MATCH(CONCATENATE(BV$3,"-",$CP118,"-",$AY118),'Data Consolidada'!$K$7:$K$891,0)),MAX('Data Consolidada'!$E$7:$E$3000))))</f>
        <v/>
      </c>
      <c r="BW118" s="32" t="str">
        <f>+IF(BW$3="","",IF($AY118="","",IFERROR(INDEX('Data Consolidada'!$E$7:$E$891,MATCH(CONCATENATE(BW$3,"-",$CP118,"-",$AY118),'Data Consolidada'!$K$7:$K$891,0)),MAX('Data Consolidada'!$E$7:$E$3000))))</f>
        <v/>
      </c>
      <c r="BX118" s="32" t="str">
        <f>+IF(BX$3="","",IF($AY118="","",IFERROR(INDEX('Data Consolidada'!$E$7:$E$891,MATCH(CONCATENATE(BX$3,"-",$CP118,"-",$AY118),'Data Consolidada'!$K$7:$K$891,0)),MAX('Data Consolidada'!$E$7:$E$3000))))</f>
        <v/>
      </c>
      <c r="BY118" s="32" t="str">
        <f>+IF(BY$3="","",IF($AY118="","",IFERROR(INDEX('Data Consolidada'!$E$7:$E$891,MATCH(CONCATENATE(BY$3,"-",$CP118,"-",$AY118),'Data Consolidada'!$K$7:$K$891,0)),MAX('Data Consolidada'!$E$7:$E$3000))))</f>
        <v/>
      </c>
      <c r="BZ118" s="32" t="str">
        <f>+IF(BZ$3="","",IF($AY118="","",IFERROR(INDEX('Data Consolidada'!$E$7:$E$891,MATCH(CONCATENATE(BZ$3,"-",$CP118,"-",$AY118),'Data Consolidada'!$K$7:$K$891,0)),MAX('Data Consolidada'!$E$7:$E$3000))))</f>
        <v/>
      </c>
      <c r="CA118" s="32" t="str">
        <f>+IF(CA$3="","",IF($AY118="","",IFERROR(INDEX('Data Consolidada'!$E$7:$E$891,MATCH(CONCATENATE(CA$3,"-",$CP118,"-",$AY118),'Data Consolidada'!$K$7:$K$891,0)),MAX('Data Consolidada'!$E$7:$E$3000))))</f>
        <v/>
      </c>
      <c r="CB118" s="32" t="str">
        <f>+IF(CB$3="","",IF($AY118="","",IFERROR(INDEX('Data Consolidada'!$E$7:$E$891,MATCH(CONCATENATE(CB$3,"-",$CP118,"-",$AY118),'Data Consolidada'!$K$7:$K$891,0)),MAX('Data Consolidada'!$E$7:$E$3000))))</f>
        <v/>
      </c>
      <c r="CC118" s="32" t="str">
        <f>+IF(CC$3="","",IF($AY118="","",IFERROR(INDEX('Data Consolidada'!$E$7:$E$891,MATCH(CONCATENATE(CC$3,"-",$CP118,"-",$AY118),'Data Consolidada'!$K$7:$K$891,0)),MAX('Data Consolidada'!$E$7:$E$3000))))</f>
        <v/>
      </c>
      <c r="CD118" s="32" t="str">
        <f>+IF(CD$3="","",IF($AY118="","",IFERROR(INDEX('Data Consolidada'!$E$7:$E$891,MATCH(CONCATENATE(CD$3,"-",$CP118,"-",$AY118),'Data Consolidada'!$K$7:$K$891,0)),MAX('Data Consolidada'!$E$7:$E$3000))))</f>
        <v/>
      </c>
      <c r="CE118" s="32" t="str">
        <f>+IF(CE$3="","",IF($AY118="","",IFERROR(INDEX('Data Consolidada'!$E$7:$E$891,MATCH(CONCATENATE(CE$3,"-",$CP118,"-",$AY118),'Data Consolidada'!$K$7:$K$891,0)),MAX('Data Consolidada'!$E$7:$E$3000))))</f>
        <v/>
      </c>
      <c r="CF118" s="32" t="str">
        <f>+IF(CF$3="","",IF($AY118="","",IFERROR(INDEX('Data Consolidada'!$E$7:$E$891,MATCH(CONCATENATE(CF$3,"-",$CP118,"-",$AY118),'Data Consolidada'!$K$7:$K$891,0)),MAX('Data Consolidada'!$E$7:$E$3000))))</f>
        <v/>
      </c>
      <c r="CG118" s="32" t="str">
        <f>+IF(CG$3="","",IF($AY118="","",IFERROR(INDEX('Data Consolidada'!$E$7:$E$891,MATCH(CONCATENATE(CG$3,"-",$CP118,"-",$AY118),'Data Consolidada'!$K$7:$K$891,0)),MAX('Data Consolidada'!$E$7:$E$3000))))</f>
        <v/>
      </c>
      <c r="CH118" s="32" t="str">
        <f>+IF(CH$3="","",IF($AY118="","",IFERROR(INDEX('Data Consolidada'!$E$7:$E$891,MATCH(CONCATENATE(CH$3,"-",$CP118,"-",$AY118),'Data Consolidada'!$K$7:$K$891,0)),MAX('Data Consolidada'!$E$7:$E$3000))))</f>
        <v/>
      </c>
      <c r="CI118" s="32" t="str">
        <f>+IF(CI$3="","",IF($AY118="","",IFERROR(INDEX('Data Consolidada'!$E$7:$E$891,MATCH(CONCATENATE(CI$3,"-",$CP118,"-",$AY118),'Data Consolidada'!$K$7:$K$891,0)),MAX('Data Consolidada'!$E$7:$E$3000))))</f>
        <v/>
      </c>
      <c r="CJ118" s="32" t="str">
        <f>+IF(CJ$3="","",IF($AY118="","",IFERROR(INDEX('Data Consolidada'!$E$7:$E$891,MATCH(CONCATENATE(CJ$3,"-",$CP118,"-",$AY118),'Data Consolidada'!$K$7:$K$891,0)),MAX('Data Consolidada'!$E$7:$E$3000))))</f>
        <v/>
      </c>
      <c r="CK118" s="32" t="str">
        <f>+IF(CK$3="","",IF($AY118="","",IFERROR(INDEX('Data Consolidada'!$E$7:$E$891,MATCH(CONCATENATE(CK$3,"-",$CP118,"-",$AY118),'Data Consolidada'!$K$7:$K$891,0)),MAX('Data Consolidada'!$E$7:$E$3000))))</f>
        <v/>
      </c>
      <c r="CL118" s="32" t="str">
        <f>+IF(CL$3="","",IF($AY118="","",IFERROR(INDEX('Data Consolidada'!$E$7:$E$891,MATCH(CONCATENATE(CL$3,"-",$CP118,"-",$AY118),'Data Consolidada'!$K$7:$K$891,0)),MAX('Data Consolidada'!$E$7:$E$3000))))</f>
        <v/>
      </c>
      <c r="CM118" s="32" t="str">
        <f>+IF(CM$3="","",IF($AY118="","",IFERROR(INDEX('Data Consolidada'!$E$7:$E$891,MATCH(CONCATENATE(CM$3,"-",$CP118,"-",$AY118),'Data Consolidada'!$K$7:$K$891,0)),MAX('Data Consolidada'!$E$7:$E$3000))))</f>
        <v/>
      </c>
      <c r="CN118" s="32" t="str">
        <f>+IF(CN$3="","",IF($AY118="","",IFERROR(INDEX('Data Consolidada'!$E$7:$E$891,MATCH(CONCATENATE(CN$3,"-",$CP118,"-",$AY118),'Data Consolidada'!$K$7:$K$891,0)),MAX('Data Consolidada'!$E$7:$E$3000))))</f>
        <v/>
      </c>
      <c r="CO118" s="37" t="str">
        <f>+IF(CO$3="","",IF($AY118="","",IFERROR(INDEX('Data Consolidada'!$E$7:$E$891,MATCH(CONCATENATE(CO$3,"-",$CP118,"-",$AY118),'Data Consolidada'!$K$7:$K$891,0)),MAX('Data Consolidada'!$E$7:$E$3000))))</f>
        <v/>
      </c>
      <c r="CP118" s="224">
        <f t="shared" ca="1" si="45"/>
        <v>0</v>
      </c>
      <c r="CQ118" s="84" t="str">
        <f t="shared" ca="1" si="39"/>
        <v>TRANS. ALMENDRAL0</v>
      </c>
    </row>
    <row r="119" spans="2:95" ht="15" customHeight="1" x14ac:dyDescent="0.35">
      <c r="B119" s="218" t="str">
        <f t="shared" ca="1" si="41"/>
        <v>TH TRANSPORTES</v>
      </c>
      <c r="C119" s="238">
        <v>0</v>
      </c>
      <c r="D119" s="239">
        <v>0</v>
      </c>
      <c r="E119" s="239">
        <v>0</v>
      </c>
      <c r="F119" s="239">
        <v>0</v>
      </c>
      <c r="G119" s="239">
        <v>0</v>
      </c>
      <c r="H119" s="239">
        <v>0</v>
      </c>
      <c r="I119" s="239">
        <v>0</v>
      </c>
      <c r="J119" s="239">
        <v>0</v>
      </c>
      <c r="K119" s="239">
        <v>0</v>
      </c>
      <c r="L119" s="239">
        <v>0</v>
      </c>
      <c r="M119" s="239">
        <v>0</v>
      </c>
      <c r="N119" s="240">
        <v>0</v>
      </c>
      <c r="O119" s="239">
        <v>0</v>
      </c>
      <c r="P119" s="239">
        <v>0</v>
      </c>
      <c r="Q119" s="239">
        <v>0</v>
      </c>
      <c r="R119" s="239">
        <v>0</v>
      </c>
      <c r="S119" s="239">
        <v>0</v>
      </c>
      <c r="T119" s="239">
        <v>0</v>
      </c>
      <c r="U119" s="239">
        <v>0</v>
      </c>
      <c r="V119" s="239">
        <v>0</v>
      </c>
      <c r="W119" s="239">
        <v>0</v>
      </c>
      <c r="X119" s="239">
        <v>0</v>
      </c>
      <c r="Y119" s="239">
        <v>0</v>
      </c>
      <c r="Z119" s="239"/>
      <c r="AA119" s="239"/>
      <c r="AB119" s="239"/>
      <c r="AC119" s="239"/>
      <c r="AD119" s="239"/>
      <c r="AE119" s="239"/>
      <c r="AF119" s="239"/>
      <c r="AG119" s="239"/>
      <c r="AH119" s="239"/>
      <c r="AI119" s="239"/>
      <c r="AJ119" s="239"/>
      <c r="AK119" s="239"/>
      <c r="AL119" s="239"/>
      <c r="AM119" s="239"/>
      <c r="AN119" s="239"/>
      <c r="AO119" s="239"/>
      <c r="AP119" s="239"/>
      <c r="AQ119" s="239"/>
      <c r="AR119" s="252"/>
      <c r="AS119" s="77">
        <f t="shared" ca="1" si="42"/>
        <v>0</v>
      </c>
      <c r="AT119" s="255">
        <f t="shared" si="43"/>
        <v>0</v>
      </c>
      <c r="AU119" s="51"/>
      <c r="AV119" s="51"/>
      <c r="AW119" s="13">
        <f>+IF(AX119="","",IF(AX119&gt;AX118,AW118,IF(AW118&lt;$D$69,AW118+1,IF(COUNT(AW$4:AW118)&lt;$B$69*$E$54,1,""))))</f>
        <v>9</v>
      </c>
      <c r="AX119" s="13">
        <f>+IF(AX118&lt;$B$69,AX118+1,IF(COUNT(AX$4:AX118)&lt;$B$69*$D$69,1,""))</f>
        <v>12</v>
      </c>
      <c r="AY119" s="189" t="str">
        <f t="shared" ca="1" si="44"/>
        <v>TRANS. MAX SOTO G. E.I.R.L.</v>
      </c>
      <c r="AZ119" s="36">
        <f ca="1">+IF(AZ$3="","",IF($AY119="","",IFERROR(INDEX('Data Consolidada'!$E$7:$E$891,MATCH(CONCATENATE(AZ$3,"-",$CP119,"-",$AY119),'Data Consolidada'!$K$7:$K$891,0)),MAX('Data Consolidada'!$E$7:$E$3000))))</f>
        <v>11000000</v>
      </c>
      <c r="BA119" s="32">
        <f ca="1">+IF(BA$3="","",IF($AY119="","",IFERROR(INDEX('Data Consolidada'!$E$7:$E$891,MATCH(CONCATENATE(BA$3,"-",$CP119,"-",$AY119),'Data Consolidada'!$K$7:$K$891,0)),MAX('Data Consolidada'!$E$7:$E$3000))))</f>
        <v>11000000</v>
      </c>
      <c r="BB119" s="32" t="str">
        <f>+IF(BB$3="","",IF($AY119="","",IFERROR(INDEX('Data Consolidada'!$E$7:$E$891,MATCH(CONCATENATE(BB$3,"-",$CP119,"-",$AY119),'Data Consolidada'!$K$7:$K$891,0)),MAX('Data Consolidada'!$E$7:$E$3000))))</f>
        <v/>
      </c>
      <c r="BC119" s="32" t="str">
        <f>+IF(BC$3="","",IF($AY119="","",IFERROR(INDEX('Data Consolidada'!$E$7:$E$891,MATCH(CONCATENATE(BC$3,"-",$CP119,"-",$AY119),'Data Consolidada'!$K$7:$K$891,0)),MAX('Data Consolidada'!$E$7:$E$3000))))</f>
        <v/>
      </c>
      <c r="BD119" s="32" t="str">
        <f>+IF(BD$3="","",IF($AY119="","",IFERROR(INDEX('Data Consolidada'!$E$7:$E$891,MATCH(CONCATENATE(BD$3,"-",$CP119,"-",$AY119),'Data Consolidada'!$K$7:$K$891,0)),MAX('Data Consolidada'!$E$7:$E$3000))))</f>
        <v/>
      </c>
      <c r="BE119" s="32" t="str">
        <f>+IF(BE$3="","",IF($AY119="","",IFERROR(INDEX('Data Consolidada'!$E$7:$E$891,MATCH(CONCATENATE(BE$3,"-",$CP119,"-",$AY119),'Data Consolidada'!$K$7:$K$891,0)),MAX('Data Consolidada'!$E$7:$E$3000))))</f>
        <v/>
      </c>
      <c r="BF119" s="32" t="str">
        <f>+IF(BF$3="","",IF($AY119="","",IFERROR(INDEX('Data Consolidada'!$E$7:$E$891,MATCH(CONCATENATE(BF$3,"-",$CP119,"-",$AY119),'Data Consolidada'!$K$7:$K$891,0)),MAX('Data Consolidada'!$E$7:$E$3000))))</f>
        <v/>
      </c>
      <c r="BG119" s="32" t="str">
        <f>+IF(BG$3="","",IF($AY119="","",IFERROR(INDEX('Data Consolidada'!$E$7:$E$891,MATCH(CONCATENATE(BG$3,"-",$CP119,"-",$AY119),'Data Consolidada'!$K$7:$K$891,0)),MAX('Data Consolidada'!$E$7:$E$3000))))</f>
        <v/>
      </c>
      <c r="BH119" s="32" t="str">
        <f>+IF(BH$3="","",IF($AY119="","",IFERROR(INDEX('Data Consolidada'!$E$7:$E$891,MATCH(CONCATENATE(BH$3,"-",$CP119,"-",$AY119),'Data Consolidada'!$K$7:$K$891,0)),MAX('Data Consolidada'!$E$7:$E$3000))))</f>
        <v/>
      </c>
      <c r="BI119" s="32" t="str">
        <f>+IF(BI$3="","",IF($AY119="","",IFERROR(INDEX('Data Consolidada'!$E$7:$E$891,MATCH(CONCATENATE(BI$3,"-",$CP119,"-",$AY119),'Data Consolidada'!$K$7:$K$891,0)),MAX('Data Consolidada'!$E$7:$E$3000))))</f>
        <v/>
      </c>
      <c r="BJ119" s="32" t="str">
        <f>+IF(BJ$3="","",IF($AY119="","",IFERROR(INDEX('Data Consolidada'!$E$7:$E$891,MATCH(CONCATENATE(BJ$3,"-",$CP119,"-",$AY119),'Data Consolidada'!$K$7:$K$891,0)),MAX('Data Consolidada'!$E$7:$E$3000))))</f>
        <v/>
      </c>
      <c r="BK119" s="32" t="str">
        <f>+IF(BK$3="","",IF($AY119="","",IFERROR(INDEX('Data Consolidada'!$E$7:$E$891,MATCH(CONCATENATE(BK$3,"-",$CP119,"-",$AY119),'Data Consolidada'!$K$7:$K$891,0)),MAX('Data Consolidada'!$E$7:$E$3000))))</f>
        <v/>
      </c>
      <c r="BL119" s="32" t="str">
        <f>+IF(BL$3="","",IF($AY119="","",IFERROR(INDEX('Data Consolidada'!$E$7:$E$891,MATCH(CONCATENATE(BL$3,"-",$CP119,"-",$AY119),'Data Consolidada'!$K$7:$K$891,0)),MAX('Data Consolidada'!$E$7:$E$3000))))</f>
        <v/>
      </c>
      <c r="BM119" s="32" t="str">
        <f>+IF(BM$3="","",IF($AY119="","",IFERROR(INDEX('Data Consolidada'!$E$7:$E$891,MATCH(CONCATENATE(BM$3,"-",$CP119,"-",$AY119),'Data Consolidada'!$K$7:$K$891,0)),MAX('Data Consolidada'!$E$7:$E$3000))))</f>
        <v/>
      </c>
      <c r="BN119" s="32" t="str">
        <f>+IF(BN$3="","",IF($AY119="","",IFERROR(INDEX('Data Consolidada'!$E$7:$E$891,MATCH(CONCATENATE(BN$3,"-",$CP119,"-",$AY119),'Data Consolidada'!$K$7:$K$891,0)),MAX('Data Consolidada'!$E$7:$E$3000))))</f>
        <v/>
      </c>
      <c r="BO119" s="32" t="str">
        <f>+IF(BO$3="","",IF($AY119="","",IFERROR(INDEX('Data Consolidada'!$E$7:$E$891,MATCH(CONCATENATE(BO$3,"-",$CP119,"-",$AY119),'Data Consolidada'!$K$7:$K$891,0)),MAX('Data Consolidada'!$E$7:$E$3000))))</f>
        <v/>
      </c>
      <c r="BP119" s="32" t="str">
        <f>+IF(BP$3="","",IF($AY119="","",IFERROR(INDEX('Data Consolidada'!$E$7:$E$891,MATCH(CONCATENATE(BP$3,"-",$CP119,"-",$AY119),'Data Consolidada'!$K$7:$K$891,0)),MAX('Data Consolidada'!$E$7:$E$3000))))</f>
        <v/>
      </c>
      <c r="BQ119" s="32" t="str">
        <f>+IF(BQ$3="","",IF($AY119="","",IFERROR(INDEX('Data Consolidada'!$E$7:$E$891,MATCH(CONCATENATE(BQ$3,"-",$CP119,"-",$AY119),'Data Consolidada'!$K$7:$K$891,0)),MAX('Data Consolidada'!$E$7:$E$3000))))</f>
        <v/>
      </c>
      <c r="BR119" s="32" t="str">
        <f>+IF(BR$3="","",IF($AY119="","",IFERROR(INDEX('Data Consolidada'!$E$7:$E$891,MATCH(CONCATENATE(BR$3,"-",$CP119,"-",$AY119),'Data Consolidada'!$K$7:$K$891,0)),MAX('Data Consolidada'!$E$7:$E$3000))))</f>
        <v/>
      </c>
      <c r="BS119" s="32" t="str">
        <f>+IF(BS$3="","",IF($AY119="","",IFERROR(INDEX('Data Consolidada'!$E$7:$E$891,MATCH(CONCATENATE(BS$3,"-",$CP119,"-",$AY119),'Data Consolidada'!$K$7:$K$891,0)),MAX('Data Consolidada'!$E$7:$E$3000))))</f>
        <v/>
      </c>
      <c r="BT119" s="32" t="str">
        <f>+IF(BT$3="","",IF($AY119="","",IFERROR(INDEX('Data Consolidada'!$E$7:$E$891,MATCH(CONCATENATE(BT$3,"-",$CP119,"-",$AY119),'Data Consolidada'!$K$7:$K$891,0)),MAX('Data Consolidada'!$E$7:$E$3000))))</f>
        <v/>
      </c>
      <c r="BU119" s="32" t="str">
        <f>+IF(BU$3="","",IF($AY119="","",IFERROR(INDEX('Data Consolidada'!$E$7:$E$891,MATCH(CONCATENATE(BU$3,"-",$CP119,"-",$AY119),'Data Consolidada'!$K$7:$K$891,0)),MAX('Data Consolidada'!$E$7:$E$3000))))</f>
        <v/>
      </c>
      <c r="BV119" s="32" t="str">
        <f>+IF(BV$3="","",IF($AY119="","",IFERROR(INDEX('Data Consolidada'!$E$7:$E$891,MATCH(CONCATENATE(BV$3,"-",$CP119,"-",$AY119),'Data Consolidada'!$K$7:$K$891,0)),MAX('Data Consolidada'!$E$7:$E$3000))))</f>
        <v/>
      </c>
      <c r="BW119" s="32" t="str">
        <f>+IF(BW$3="","",IF($AY119="","",IFERROR(INDEX('Data Consolidada'!$E$7:$E$891,MATCH(CONCATENATE(BW$3,"-",$CP119,"-",$AY119),'Data Consolidada'!$K$7:$K$891,0)),MAX('Data Consolidada'!$E$7:$E$3000))))</f>
        <v/>
      </c>
      <c r="BX119" s="32" t="str">
        <f>+IF(BX$3="","",IF($AY119="","",IFERROR(INDEX('Data Consolidada'!$E$7:$E$891,MATCH(CONCATENATE(BX$3,"-",$CP119,"-",$AY119),'Data Consolidada'!$K$7:$K$891,0)),MAX('Data Consolidada'!$E$7:$E$3000))))</f>
        <v/>
      </c>
      <c r="BY119" s="32" t="str">
        <f>+IF(BY$3="","",IF($AY119="","",IFERROR(INDEX('Data Consolidada'!$E$7:$E$891,MATCH(CONCATENATE(BY$3,"-",$CP119,"-",$AY119),'Data Consolidada'!$K$7:$K$891,0)),MAX('Data Consolidada'!$E$7:$E$3000))))</f>
        <v/>
      </c>
      <c r="BZ119" s="32" t="str">
        <f>+IF(BZ$3="","",IF($AY119="","",IFERROR(INDEX('Data Consolidada'!$E$7:$E$891,MATCH(CONCATENATE(BZ$3,"-",$CP119,"-",$AY119),'Data Consolidada'!$K$7:$K$891,0)),MAX('Data Consolidada'!$E$7:$E$3000))))</f>
        <v/>
      </c>
      <c r="CA119" s="32" t="str">
        <f>+IF(CA$3="","",IF($AY119="","",IFERROR(INDEX('Data Consolidada'!$E$7:$E$891,MATCH(CONCATENATE(CA$3,"-",$CP119,"-",$AY119),'Data Consolidada'!$K$7:$K$891,0)),MAX('Data Consolidada'!$E$7:$E$3000))))</f>
        <v/>
      </c>
      <c r="CB119" s="32" t="str">
        <f>+IF(CB$3="","",IF($AY119="","",IFERROR(INDEX('Data Consolidada'!$E$7:$E$891,MATCH(CONCATENATE(CB$3,"-",$CP119,"-",$AY119),'Data Consolidada'!$K$7:$K$891,0)),MAX('Data Consolidada'!$E$7:$E$3000))))</f>
        <v/>
      </c>
      <c r="CC119" s="32" t="str">
        <f>+IF(CC$3="","",IF($AY119="","",IFERROR(INDEX('Data Consolidada'!$E$7:$E$891,MATCH(CONCATENATE(CC$3,"-",$CP119,"-",$AY119),'Data Consolidada'!$K$7:$K$891,0)),MAX('Data Consolidada'!$E$7:$E$3000))))</f>
        <v/>
      </c>
      <c r="CD119" s="32" t="str">
        <f>+IF(CD$3="","",IF($AY119="","",IFERROR(INDEX('Data Consolidada'!$E$7:$E$891,MATCH(CONCATENATE(CD$3,"-",$CP119,"-",$AY119),'Data Consolidada'!$K$7:$K$891,0)),MAX('Data Consolidada'!$E$7:$E$3000))))</f>
        <v/>
      </c>
      <c r="CE119" s="32" t="str">
        <f>+IF(CE$3="","",IF($AY119="","",IFERROR(INDEX('Data Consolidada'!$E$7:$E$891,MATCH(CONCATENATE(CE$3,"-",$CP119,"-",$AY119),'Data Consolidada'!$K$7:$K$891,0)),MAX('Data Consolidada'!$E$7:$E$3000))))</f>
        <v/>
      </c>
      <c r="CF119" s="32" t="str">
        <f>+IF(CF$3="","",IF($AY119="","",IFERROR(INDEX('Data Consolidada'!$E$7:$E$891,MATCH(CONCATENATE(CF$3,"-",$CP119,"-",$AY119),'Data Consolidada'!$K$7:$K$891,0)),MAX('Data Consolidada'!$E$7:$E$3000))))</f>
        <v/>
      </c>
      <c r="CG119" s="32" t="str">
        <f>+IF(CG$3="","",IF($AY119="","",IFERROR(INDEX('Data Consolidada'!$E$7:$E$891,MATCH(CONCATENATE(CG$3,"-",$CP119,"-",$AY119),'Data Consolidada'!$K$7:$K$891,0)),MAX('Data Consolidada'!$E$7:$E$3000))))</f>
        <v/>
      </c>
      <c r="CH119" s="32" t="str">
        <f>+IF(CH$3="","",IF($AY119="","",IFERROR(INDEX('Data Consolidada'!$E$7:$E$891,MATCH(CONCATENATE(CH$3,"-",$CP119,"-",$AY119),'Data Consolidada'!$K$7:$K$891,0)),MAX('Data Consolidada'!$E$7:$E$3000))))</f>
        <v/>
      </c>
      <c r="CI119" s="32" t="str">
        <f>+IF(CI$3="","",IF($AY119="","",IFERROR(INDEX('Data Consolidada'!$E$7:$E$891,MATCH(CONCATENATE(CI$3,"-",$CP119,"-",$AY119),'Data Consolidada'!$K$7:$K$891,0)),MAX('Data Consolidada'!$E$7:$E$3000))))</f>
        <v/>
      </c>
      <c r="CJ119" s="32" t="str">
        <f>+IF(CJ$3="","",IF($AY119="","",IFERROR(INDEX('Data Consolidada'!$E$7:$E$891,MATCH(CONCATENATE(CJ$3,"-",$CP119,"-",$AY119),'Data Consolidada'!$K$7:$K$891,0)),MAX('Data Consolidada'!$E$7:$E$3000))))</f>
        <v/>
      </c>
      <c r="CK119" s="32" t="str">
        <f>+IF(CK$3="","",IF($AY119="","",IFERROR(INDEX('Data Consolidada'!$E$7:$E$891,MATCH(CONCATENATE(CK$3,"-",$CP119,"-",$AY119),'Data Consolidada'!$K$7:$K$891,0)),MAX('Data Consolidada'!$E$7:$E$3000))))</f>
        <v/>
      </c>
      <c r="CL119" s="32" t="str">
        <f>+IF(CL$3="","",IF($AY119="","",IFERROR(INDEX('Data Consolidada'!$E$7:$E$891,MATCH(CONCATENATE(CL$3,"-",$CP119,"-",$AY119),'Data Consolidada'!$K$7:$K$891,0)),MAX('Data Consolidada'!$E$7:$E$3000))))</f>
        <v/>
      </c>
      <c r="CM119" s="32" t="str">
        <f>+IF(CM$3="","",IF($AY119="","",IFERROR(INDEX('Data Consolidada'!$E$7:$E$891,MATCH(CONCATENATE(CM$3,"-",$CP119,"-",$AY119),'Data Consolidada'!$K$7:$K$891,0)),MAX('Data Consolidada'!$E$7:$E$3000))))</f>
        <v/>
      </c>
      <c r="CN119" s="32" t="str">
        <f>+IF(CN$3="","",IF($AY119="","",IFERROR(INDEX('Data Consolidada'!$E$7:$E$891,MATCH(CONCATENATE(CN$3,"-",$CP119,"-",$AY119),'Data Consolidada'!$K$7:$K$891,0)),MAX('Data Consolidada'!$E$7:$E$3000))))</f>
        <v/>
      </c>
      <c r="CO119" s="37" t="str">
        <f>+IF(CO$3="","",IF($AY119="","",IFERROR(INDEX('Data Consolidada'!$E$7:$E$891,MATCH(CONCATENATE(CO$3,"-",$CP119,"-",$AY119),'Data Consolidada'!$K$7:$K$891,0)),MAX('Data Consolidada'!$E$7:$E$3000))))</f>
        <v/>
      </c>
      <c r="CP119" s="224">
        <f t="shared" ca="1" si="45"/>
        <v>0</v>
      </c>
      <c r="CQ119" s="84" t="str">
        <f t="shared" ca="1" si="39"/>
        <v>TRANS. MAX SOTO G. E.I.R.L.0</v>
      </c>
    </row>
    <row r="120" spans="2:95" ht="15" customHeight="1" x14ac:dyDescent="0.35">
      <c r="B120" s="218" t="str">
        <f t="shared" ca="1" si="41"/>
        <v>TRAIDILL</v>
      </c>
      <c r="C120" s="238">
        <v>0</v>
      </c>
      <c r="D120" s="239">
        <v>0</v>
      </c>
      <c r="E120" s="239">
        <v>0</v>
      </c>
      <c r="F120" s="239">
        <v>0</v>
      </c>
      <c r="G120" s="239">
        <v>0</v>
      </c>
      <c r="H120" s="239">
        <v>0</v>
      </c>
      <c r="I120" s="239">
        <v>0</v>
      </c>
      <c r="J120" s="239">
        <v>0</v>
      </c>
      <c r="K120" s="239">
        <v>0</v>
      </c>
      <c r="L120" s="239">
        <v>0</v>
      </c>
      <c r="M120" s="239">
        <v>0</v>
      </c>
      <c r="N120" s="240">
        <v>0</v>
      </c>
      <c r="O120" s="239">
        <v>0</v>
      </c>
      <c r="P120" s="239">
        <v>0</v>
      </c>
      <c r="Q120" s="239">
        <v>0</v>
      </c>
      <c r="R120" s="239">
        <v>0</v>
      </c>
      <c r="S120" s="239">
        <v>0</v>
      </c>
      <c r="T120" s="239">
        <v>0</v>
      </c>
      <c r="U120" s="239">
        <v>0</v>
      </c>
      <c r="V120" s="239">
        <v>0</v>
      </c>
      <c r="W120" s="239">
        <v>0</v>
      </c>
      <c r="X120" s="239">
        <v>0</v>
      </c>
      <c r="Y120" s="239">
        <v>0</v>
      </c>
      <c r="Z120" s="239"/>
      <c r="AA120" s="239"/>
      <c r="AB120" s="239"/>
      <c r="AC120" s="239"/>
      <c r="AD120" s="239"/>
      <c r="AE120" s="239"/>
      <c r="AF120" s="239"/>
      <c r="AG120" s="239"/>
      <c r="AH120" s="239"/>
      <c r="AI120" s="239"/>
      <c r="AJ120" s="239"/>
      <c r="AK120" s="239"/>
      <c r="AL120" s="239"/>
      <c r="AM120" s="239"/>
      <c r="AN120" s="239"/>
      <c r="AO120" s="239"/>
      <c r="AP120" s="239"/>
      <c r="AQ120" s="239"/>
      <c r="AR120" s="252"/>
      <c r="AS120" s="77">
        <f t="shared" ca="1" si="42"/>
        <v>0</v>
      </c>
      <c r="AT120" s="255">
        <f t="shared" si="43"/>
        <v>0</v>
      </c>
      <c r="AU120" s="51"/>
      <c r="AV120" s="51"/>
      <c r="AW120" s="13">
        <f>+IF(AX120="","",IF(AX120&gt;AX119,AW119,IF(AW119&lt;$D$69,AW119+1,IF(COUNT(AW$4:AW119)&lt;$B$69*$E$54,1,""))))</f>
        <v>9</v>
      </c>
      <c r="AX120" s="13">
        <f>+IF(AX119&lt;$B$69,AX119+1,IF(COUNT(AX$4:AX119)&lt;$B$69*$D$69,1,""))</f>
        <v>13</v>
      </c>
      <c r="AY120" s="189" t="str">
        <f t="shared" ca="1" si="44"/>
        <v>TRANS. MITRE SPA.</v>
      </c>
      <c r="AZ120" s="36">
        <f ca="1">+IF(AZ$3="","",IF($AY120="","",IFERROR(INDEX('Data Consolidada'!$E$7:$E$891,MATCH(CONCATENATE(AZ$3,"-",$CP120,"-",$AY120),'Data Consolidada'!$K$7:$K$891,0)),MAX('Data Consolidada'!$E$7:$E$3000))))</f>
        <v>11000000</v>
      </c>
      <c r="BA120" s="32">
        <f ca="1">+IF(BA$3="","",IF($AY120="","",IFERROR(INDEX('Data Consolidada'!$E$7:$E$891,MATCH(CONCATENATE(BA$3,"-",$CP120,"-",$AY120),'Data Consolidada'!$K$7:$K$891,0)),MAX('Data Consolidada'!$E$7:$E$3000))))</f>
        <v>11000000</v>
      </c>
      <c r="BB120" s="32" t="str">
        <f>+IF(BB$3="","",IF($AY120="","",IFERROR(INDEX('Data Consolidada'!$E$7:$E$891,MATCH(CONCATENATE(BB$3,"-",$CP120,"-",$AY120),'Data Consolidada'!$K$7:$K$891,0)),MAX('Data Consolidada'!$E$7:$E$3000))))</f>
        <v/>
      </c>
      <c r="BC120" s="32" t="str">
        <f>+IF(BC$3="","",IF($AY120="","",IFERROR(INDEX('Data Consolidada'!$E$7:$E$891,MATCH(CONCATENATE(BC$3,"-",$CP120,"-",$AY120),'Data Consolidada'!$K$7:$K$891,0)),MAX('Data Consolidada'!$E$7:$E$3000))))</f>
        <v/>
      </c>
      <c r="BD120" s="32" t="str">
        <f>+IF(BD$3="","",IF($AY120="","",IFERROR(INDEX('Data Consolidada'!$E$7:$E$891,MATCH(CONCATENATE(BD$3,"-",$CP120,"-",$AY120),'Data Consolidada'!$K$7:$K$891,0)),MAX('Data Consolidada'!$E$7:$E$3000))))</f>
        <v/>
      </c>
      <c r="BE120" s="32" t="str">
        <f>+IF(BE$3="","",IF($AY120="","",IFERROR(INDEX('Data Consolidada'!$E$7:$E$891,MATCH(CONCATENATE(BE$3,"-",$CP120,"-",$AY120),'Data Consolidada'!$K$7:$K$891,0)),MAX('Data Consolidada'!$E$7:$E$3000))))</f>
        <v/>
      </c>
      <c r="BF120" s="32" t="str">
        <f>+IF(BF$3="","",IF($AY120="","",IFERROR(INDEX('Data Consolidada'!$E$7:$E$891,MATCH(CONCATENATE(BF$3,"-",$CP120,"-",$AY120),'Data Consolidada'!$K$7:$K$891,0)),MAX('Data Consolidada'!$E$7:$E$3000))))</f>
        <v/>
      </c>
      <c r="BG120" s="32" t="str">
        <f>+IF(BG$3="","",IF($AY120="","",IFERROR(INDEX('Data Consolidada'!$E$7:$E$891,MATCH(CONCATENATE(BG$3,"-",$CP120,"-",$AY120),'Data Consolidada'!$K$7:$K$891,0)),MAX('Data Consolidada'!$E$7:$E$3000))))</f>
        <v/>
      </c>
      <c r="BH120" s="32" t="str">
        <f>+IF(BH$3="","",IF($AY120="","",IFERROR(INDEX('Data Consolidada'!$E$7:$E$891,MATCH(CONCATENATE(BH$3,"-",$CP120,"-",$AY120),'Data Consolidada'!$K$7:$K$891,0)),MAX('Data Consolidada'!$E$7:$E$3000))))</f>
        <v/>
      </c>
      <c r="BI120" s="32" t="str">
        <f>+IF(BI$3="","",IF($AY120="","",IFERROR(INDEX('Data Consolidada'!$E$7:$E$891,MATCH(CONCATENATE(BI$3,"-",$CP120,"-",$AY120),'Data Consolidada'!$K$7:$K$891,0)),MAX('Data Consolidada'!$E$7:$E$3000))))</f>
        <v/>
      </c>
      <c r="BJ120" s="32" t="str">
        <f>+IF(BJ$3="","",IF($AY120="","",IFERROR(INDEX('Data Consolidada'!$E$7:$E$891,MATCH(CONCATENATE(BJ$3,"-",$CP120,"-",$AY120),'Data Consolidada'!$K$7:$K$891,0)),MAX('Data Consolidada'!$E$7:$E$3000))))</f>
        <v/>
      </c>
      <c r="BK120" s="32" t="str">
        <f>+IF(BK$3="","",IF($AY120="","",IFERROR(INDEX('Data Consolidada'!$E$7:$E$891,MATCH(CONCATENATE(BK$3,"-",$CP120,"-",$AY120),'Data Consolidada'!$K$7:$K$891,0)),MAX('Data Consolidada'!$E$7:$E$3000))))</f>
        <v/>
      </c>
      <c r="BL120" s="32" t="str">
        <f>+IF(BL$3="","",IF($AY120="","",IFERROR(INDEX('Data Consolidada'!$E$7:$E$891,MATCH(CONCATENATE(BL$3,"-",$CP120,"-",$AY120),'Data Consolidada'!$K$7:$K$891,0)),MAX('Data Consolidada'!$E$7:$E$3000))))</f>
        <v/>
      </c>
      <c r="BM120" s="32" t="str">
        <f>+IF(BM$3="","",IF($AY120="","",IFERROR(INDEX('Data Consolidada'!$E$7:$E$891,MATCH(CONCATENATE(BM$3,"-",$CP120,"-",$AY120),'Data Consolidada'!$K$7:$K$891,0)),MAX('Data Consolidada'!$E$7:$E$3000))))</f>
        <v/>
      </c>
      <c r="BN120" s="32" t="str">
        <f>+IF(BN$3="","",IF($AY120="","",IFERROR(INDEX('Data Consolidada'!$E$7:$E$891,MATCH(CONCATENATE(BN$3,"-",$CP120,"-",$AY120),'Data Consolidada'!$K$7:$K$891,0)),MAX('Data Consolidada'!$E$7:$E$3000))))</f>
        <v/>
      </c>
      <c r="BO120" s="32" t="str">
        <f>+IF(BO$3="","",IF($AY120="","",IFERROR(INDEX('Data Consolidada'!$E$7:$E$891,MATCH(CONCATENATE(BO$3,"-",$CP120,"-",$AY120),'Data Consolidada'!$K$7:$K$891,0)),MAX('Data Consolidada'!$E$7:$E$3000))))</f>
        <v/>
      </c>
      <c r="BP120" s="32" t="str">
        <f>+IF(BP$3="","",IF($AY120="","",IFERROR(INDEX('Data Consolidada'!$E$7:$E$891,MATCH(CONCATENATE(BP$3,"-",$CP120,"-",$AY120),'Data Consolidada'!$K$7:$K$891,0)),MAX('Data Consolidada'!$E$7:$E$3000))))</f>
        <v/>
      </c>
      <c r="BQ120" s="32" t="str">
        <f>+IF(BQ$3="","",IF($AY120="","",IFERROR(INDEX('Data Consolidada'!$E$7:$E$891,MATCH(CONCATENATE(BQ$3,"-",$CP120,"-",$AY120),'Data Consolidada'!$K$7:$K$891,0)),MAX('Data Consolidada'!$E$7:$E$3000))))</f>
        <v/>
      </c>
      <c r="BR120" s="32" t="str">
        <f>+IF(BR$3="","",IF($AY120="","",IFERROR(INDEX('Data Consolidada'!$E$7:$E$891,MATCH(CONCATENATE(BR$3,"-",$CP120,"-",$AY120),'Data Consolidada'!$K$7:$K$891,0)),MAX('Data Consolidada'!$E$7:$E$3000))))</f>
        <v/>
      </c>
      <c r="BS120" s="32" t="str">
        <f>+IF(BS$3="","",IF($AY120="","",IFERROR(INDEX('Data Consolidada'!$E$7:$E$891,MATCH(CONCATENATE(BS$3,"-",$CP120,"-",$AY120),'Data Consolidada'!$K$7:$K$891,0)),MAX('Data Consolidada'!$E$7:$E$3000))))</f>
        <v/>
      </c>
      <c r="BT120" s="32" t="str">
        <f>+IF(BT$3="","",IF($AY120="","",IFERROR(INDEX('Data Consolidada'!$E$7:$E$891,MATCH(CONCATENATE(BT$3,"-",$CP120,"-",$AY120),'Data Consolidada'!$K$7:$K$891,0)),MAX('Data Consolidada'!$E$7:$E$3000))))</f>
        <v/>
      </c>
      <c r="BU120" s="32" t="str">
        <f>+IF(BU$3="","",IF($AY120="","",IFERROR(INDEX('Data Consolidada'!$E$7:$E$891,MATCH(CONCATENATE(BU$3,"-",$CP120,"-",$AY120),'Data Consolidada'!$K$7:$K$891,0)),MAX('Data Consolidada'!$E$7:$E$3000))))</f>
        <v/>
      </c>
      <c r="BV120" s="32" t="str">
        <f>+IF(BV$3="","",IF($AY120="","",IFERROR(INDEX('Data Consolidada'!$E$7:$E$891,MATCH(CONCATENATE(BV$3,"-",$CP120,"-",$AY120),'Data Consolidada'!$K$7:$K$891,0)),MAX('Data Consolidada'!$E$7:$E$3000))))</f>
        <v/>
      </c>
      <c r="BW120" s="32" t="str">
        <f>+IF(BW$3="","",IF($AY120="","",IFERROR(INDEX('Data Consolidada'!$E$7:$E$891,MATCH(CONCATENATE(BW$3,"-",$CP120,"-",$AY120),'Data Consolidada'!$K$7:$K$891,0)),MAX('Data Consolidada'!$E$7:$E$3000))))</f>
        <v/>
      </c>
      <c r="BX120" s="32" t="str">
        <f>+IF(BX$3="","",IF($AY120="","",IFERROR(INDEX('Data Consolidada'!$E$7:$E$891,MATCH(CONCATENATE(BX$3,"-",$CP120,"-",$AY120),'Data Consolidada'!$K$7:$K$891,0)),MAX('Data Consolidada'!$E$7:$E$3000))))</f>
        <v/>
      </c>
      <c r="BY120" s="32" t="str">
        <f>+IF(BY$3="","",IF($AY120="","",IFERROR(INDEX('Data Consolidada'!$E$7:$E$891,MATCH(CONCATENATE(BY$3,"-",$CP120,"-",$AY120),'Data Consolidada'!$K$7:$K$891,0)),MAX('Data Consolidada'!$E$7:$E$3000))))</f>
        <v/>
      </c>
      <c r="BZ120" s="32" t="str">
        <f>+IF(BZ$3="","",IF($AY120="","",IFERROR(INDEX('Data Consolidada'!$E$7:$E$891,MATCH(CONCATENATE(BZ$3,"-",$CP120,"-",$AY120),'Data Consolidada'!$K$7:$K$891,0)),MAX('Data Consolidada'!$E$7:$E$3000))))</f>
        <v/>
      </c>
      <c r="CA120" s="32" t="str">
        <f>+IF(CA$3="","",IF($AY120="","",IFERROR(INDEX('Data Consolidada'!$E$7:$E$891,MATCH(CONCATENATE(CA$3,"-",$CP120,"-",$AY120),'Data Consolidada'!$K$7:$K$891,0)),MAX('Data Consolidada'!$E$7:$E$3000))))</f>
        <v/>
      </c>
      <c r="CB120" s="32" t="str">
        <f>+IF(CB$3="","",IF($AY120="","",IFERROR(INDEX('Data Consolidada'!$E$7:$E$891,MATCH(CONCATENATE(CB$3,"-",$CP120,"-",$AY120),'Data Consolidada'!$K$7:$K$891,0)),MAX('Data Consolidada'!$E$7:$E$3000))))</f>
        <v/>
      </c>
      <c r="CC120" s="32" t="str">
        <f>+IF(CC$3="","",IF($AY120="","",IFERROR(INDEX('Data Consolidada'!$E$7:$E$891,MATCH(CONCATENATE(CC$3,"-",$CP120,"-",$AY120),'Data Consolidada'!$K$7:$K$891,0)),MAX('Data Consolidada'!$E$7:$E$3000))))</f>
        <v/>
      </c>
      <c r="CD120" s="32" t="str">
        <f>+IF(CD$3="","",IF($AY120="","",IFERROR(INDEX('Data Consolidada'!$E$7:$E$891,MATCH(CONCATENATE(CD$3,"-",$CP120,"-",$AY120),'Data Consolidada'!$K$7:$K$891,0)),MAX('Data Consolidada'!$E$7:$E$3000))))</f>
        <v/>
      </c>
      <c r="CE120" s="32" t="str">
        <f>+IF(CE$3="","",IF($AY120="","",IFERROR(INDEX('Data Consolidada'!$E$7:$E$891,MATCH(CONCATENATE(CE$3,"-",$CP120,"-",$AY120),'Data Consolidada'!$K$7:$K$891,0)),MAX('Data Consolidada'!$E$7:$E$3000))))</f>
        <v/>
      </c>
      <c r="CF120" s="32" t="str">
        <f>+IF(CF$3="","",IF($AY120="","",IFERROR(INDEX('Data Consolidada'!$E$7:$E$891,MATCH(CONCATENATE(CF$3,"-",$CP120,"-",$AY120),'Data Consolidada'!$K$7:$K$891,0)),MAX('Data Consolidada'!$E$7:$E$3000))))</f>
        <v/>
      </c>
      <c r="CG120" s="32" t="str">
        <f>+IF(CG$3="","",IF($AY120="","",IFERROR(INDEX('Data Consolidada'!$E$7:$E$891,MATCH(CONCATENATE(CG$3,"-",$CP120,"-",$AY120),'Data Consolidada'!$K$7:$K$891,0)),MAX('Data Consolidada'!$E$7:$E$3000))))</f>
        <v/>
      </c>
      <c r="CH120" s="32" t="str">
        <f>+IF(CH$3="","",IF($AY120="","",IFERROR(INDEX('Data Consolidada'!$E$7:$E$891,MATCH(CONCATENATE(CH$3,"-",$CP120,"-",$AY120),'Data Consolidada'!$K$7:$K$891,0)),MAX('Data Consolidada'!$E$7:$E$3000))))</f>
        <v/>
      </c>
      <c r="CI120" s="32" t="str">
        <f>+IF(CI$3="","",IF($AY120="","",IFERROR(INDEX('Data Consolidada'!$E$7:$E$891,MATCH(CONCATENATE(CI$3,"-",$CP120,"-",$AY120),'Data Consolidada'!$K$7:$K$891,0)),MAX('Data Consolidada'!$E$7:$E$3000))))</f>
        <v/>
      </c>
      <c r="CJ120" s="32" t="str">
        <f>+IF(CJ$3="","",IF($AY120="","",IFERROR(INDEX('Data Consolidada'!$E$7:$E$891,MATCH(CONCATENATE(CJ$3,"-",$CP120,"-",$AY120),'Data Consolidada'!$K$7:$K$891,0)),MAX('Data Consolidada'!$E$7:$E$3000))))</f>
        <v/>
      </c>
      <c r="CK120" s="32" t="str">
        <f>+IF(CK$3="","",IF($AY120="","",IFERROR(INDEX('Data Consolidada'!$E$7:$E$891,MATCH(CONCATENATE(CK$3,"-",$CP120,"-",$AY120),'Data Consolidada'!$K$7:$K$891,0)),MAX('Data Consolidada'!$E$7:$E$3000))))</f>
        <v/>
      </c>
      <c r="CL120" s="32" t="str">
        <f>+IF(CL$3="","",IF($AY120="","",IFERROR(INDEX('Data Consolidada'!$E$7:$E$891,MATCH(CONCATENATE(CL$3,"-",$CP120,"-",$AY120),'Data Consolidada'!$K$7:$K$891,0)),MAX('Data Consolidada'!$E$7:$E$3000))))</f>
        <v/>
      </c>
      <c r="CM120" s="32" t="str">
        <f>+IF(CM$3="","",IF($AY120="","",IFERROR(INDEX('Data Consolidada'!$E$7:$E$891,MATCH(CONCATENATE(CM$3,"-",$CP120,"-",$AY120),'Data Consolidada'!$K$7:$K$891,0)),MAX('Data Consolidada'!$E$7:$E$3000))))</f>
        <v/>
      </c>
      <c r="CN120" s="32" t="str">
        <f>+IF(CN$3="","",IF($AY120="","",IFERROR(INDEX('Data Consolidada'!$E$7:$E$891,MATCH(CONCATENATE(CN$3,"-",$CP120,"-",$AY120),'Data Consolidada'!$K$7:$K$891,0)),MAX('Data Consolidada'!$E$7:$E$3000))))</f>
        <v/>
      </c>
      <c r="CO120" s="37" t="str">
        <f>+IF(CO$3="","",IF($AY120="","",IFERROR(INDEX('Data Consolidada'!$E$7:$E$891,MATCH(CONCATENATE(CO$3,"-",$CP120,"-",$AY120),'Data Consolidada'!$K$7:$K$891,0)),MAX('Data Consolidada'!$E$7:$E$3000))))</f>
        <v/>
      </c>
      <c r="CP120" s="224">
        <f t="shared" ca="1" si="45"/>
        <v>0</v>
      </c>
      <c r="CQ120" s="84" t="str">
        <f t="shared" ca="1" si="39"/>
        <v>TRANS. MITRE SPA.0</v>
      </c>
    </row>
    <row r="121" spans="2:95" ht="15" customHeight="1" x14ac:dyDescent="0.35">
      <c r="B121" s="218" t="str">
        <f t="shared" ca="1" si="41"/>
        <v>TRANS. ALMENDRAL</v>
      </c>
      <c r="C121" s="238">
        <v>0</v>
      </c>
      <c r="D121" s="239">
        <v>0</v>
      </c>
      <c r="E121" s="239">
        <v>0</v>
      </c>
      <c r="F121" s="239">
        <v>0</v>
      </c>
      <c r="G121" s="239">
        <v>0</v>
      </c>
      <c r="H121" s="239">
        <v>0</v>
      </c>
      <c r="I121" s="239">
        <v>0</v>
      </c>
      <c r="J121" s="239">
        <v>0</v>
      </c>
      <c r="K121" s="239">
        <v>0</v>
      </c>
      <c r="L121" s="239">
        <v>0</v>
      </c>
      <c r="M121" s="239">
        <v>0</v>
      </c>
      <c r="N121" s="240">
        <v>0</v>
      </c>
      <c r="O121" s="239">
        <v>0</v>
      </c>
      <c r="P121" s="239">
        <v>0</v>
      </c>
      <c r="Q121" s="239">
        <v>0</v>
      </c>
      <c r="R121" s="239">
        <v>0</v>
      </c>
      <c r="S121" s="239">
        <v>0</v>
      </c>
      <c r="T121" s="239">
        <v>0</v>
      </c>
      <c r="U121" s="239">
        <v>0</v>
      </c>
      <c r="V121" s="239">
        <v>0</v>
      </c>
      <c r="W121" s="239">
        <v>0</v>
      </c>
      <c r="X121" s="239">
        <v>0</v>
      </c>
      <c r="Y121" s="239">
        <v>0</v>
      </c>
      <c r="Z121" s="239"/>
      <c r="AA121" s="239"/>
      <c r="AB121" s="239"/>
      <c r="AC121" s="239"/>
      <c r="AD121" s="239"/>
      <c r="AE121" s="239"/>
      <c r="AF121" s="239"/>
      <c r="AG121" s="239"/>
      <c r="AH121" s="239"/>
      <c r="AI121" s="239"/>
      <c r="AJ121" s="239"/>
      <c r="AK121" s="239"/>
      <c r="AL121" s="239"/>
      <c r="AM121" s="239"/>
      <c r="AN121" s="239"/>
      <c r="AO121" s="239"/>
      <c r="AP121" s="239"/>
      <c r="AQ121" s="239"/>
      <c r="AR121" s="252"/>
      <c r="AS121" s="77">
        <f t="shared" ca="1" si="42"/>
        <v>0</v>
      </c>
      <c r="AT121" s="255">
        <f t="shared" si="43"/>
        <v>0</v>
      </c>
      <c r="AU121" s="51"/>
      <c r="AV121" s="51"/>
      <c r="AW121" s="13">
        <f>+IF(AX121="","",IF(AX121&gt;AX120,AW120,IF(AW120&lt;$D$69,AW120+1,IF(COUNT(AW$4:AW120)&lt;$B$69*$E$54,1,""))))</f>
        <v>10</v>
      </c>
      <c r="AX121" s="13">
        <f>+IF(AX120&lt;$B$69,AX120+1,IF(COUNT(AX$4:AX120)&lt;$B$69*$D$69,1,""))</f>
        <v>1</v>
      </c>
      <c r="AY121" s="189" t="str">
        <f t="shared" ca="1" si="44"/>
        <v xml:space="preserve">  TRANS. MORROS LTDA.</v>
      </c>
      <c r="AZ121" s="36">
        <f ca="1">+IF(AZ$3="","",IF($AY121="","",IFERROR(INDEX('Data Consolidada'!$E$7:$E$891,MATCH(CONCATENATE(AZ$3,"-",$CP121,"-",$AY121),'Data Consolidada'!$K$7:$K$891,0)),MAX('Data Consolidada'!$E$7:$E$3000))))</f>
        <v>11000000</v>
      </c>
      <c r="BA121" s="32">
        <f ca="1">+IF(BA$3="","",IF($AY121="","",IFERROR(INDEX('Data Consolidada'!$E$7:$E$891,MATCH(CONCATENATE(BA$3,"-",$CP121,"-",$AY121),'Data Consolidada'!$K$7:$K$891,0)),MAX('Data Consolidada'!$E$7:$E$3000))))</f>
        <v>11000000</v>
      </c>
      <c r="BB121" s="32" t="str">
        <f>+IF(BB$3="","",IF($AY121="","",IFERROR(INDEX('Data Consolidada'!$E$7:$E$891,MATCH(CONCATENATE(BB$3,"-",$CP121,"-",$AY121),'Data Consolidada'!$K$7:$K$891,0)),MAX('Data Consolidada'!$E$7:$E$3000))))</f>
        <v/>
      </c>
      <c r="BC121" s="32" t="str">
        <f>+IF(BC$3="","",IF($AY121="","",IFERROR(INDEX('Data Consolidada'!$E$7:$E$891,MATCH(CONCATENATE(BC$3,"-",$CP121,"-",$AY121),'Data Consolidada'!$K$7:$K$891,0)),MAX('Data Consolidada'!$E$7:$E$3000))))</f>
        <v/>
      </c>
      <c r="BD121" s="32" t="str">
        <f>+IF(BD$3="","",IF($AY121="","",IFERROR(INDEX('Data Consolidada'!$E$7:$E$891,MATCH(CONCATENATE(BD$3,"-",$CP121,"-",$AY121),'Data Consolidada'!$K$7:$K$891,0)),MAX('Data Consolidada'!$E$7:$E$3000))))</f>
        <v/>
      </c>
      <c r="BE121" s="32" t="str">
        <f>+IF(BE$3="","",IF($AY121="","",IFERROR(INDEX('Data Consolidada'!$E$7:$E$891,MATCH(CONCATENATE(BE$3,"-",$CP121,"-",$AY121),'Data Consolidada'!$K$7:$K$891,0)),MAX('Data Consolidada'!$E$7:$E$3000))))</f>
        <v/>
      </c>
      <c r="BF121" s="32" t="str">
        <f>+IF(BF$3="","",IF($AY121="","",IFERROR(INDEX('Data Consolidada'!$E$7:$E$891,MATCH(CONCATENATE(BF$3,"-",$CP121,"-",$AY121),'Data Consolidada'!$K$7:$K$891,0)),MAX('Data Consolidada'!$E$7:$E$3000))))</f>
        <v/>
      </c>
      <c r="BG121" s="32" t="str">
        <f>+IF(BG$3="","",IF($AY121="","",IFERROR(INDEX('Data Consolidada'!$E$7:$E$891,MATCH(CONCATENATE(BG$3,"-",$CP121,"-",$AY121),'Data Consolidada'!$K$7:$K$891,0)),MAX('Data Consolidada'!$E$7:$E$3000))))</f>
        <v/>
      </c>
      <c r="BH121" s="32" t="str">
        <f>+IF(BH$3="","",IF($AY121="","",IFERROR(INDEX('Data Consolidada'!$E$7:$E$891,MATCH(CONCATENATE(BH$3,"-",$CP121,"-",$AY121),'Data Consolidada'!$K$7:$K$891,0)),MAX('Data Consolidada'!$E$7:$E$3000))))</f>
        <v/>
      </c>
      <c r="BI121" s="32" t="str">
        <f>+IF(BI$3="","",IF($AY121="","",IFERROR(INDEX('Data Consolidada'!$E$7:$E$891,MATCH(CONCATENATE(BI$3,"-",$CP121,"-",$AY121),'Data Consolidada'!$K$7:$K$891,0)),MAX('Data Consolidada'!$E$7:$E$3000))))</f>
        <v/>
      </c>
      <c r="BJ121" s="32" t="str">
        <f>+IF(BJ$3="","",IF($AY121="","",IFERROR(INDEX('Data Consolidada'!$E$7:$E$891,MATCH(CONCATENATE(BJ$3,"-",$CP121,"-",$AY121),'Data Consolidada'!$K$7:$K$891,0)),MAX('Data Consolidada'!$E$7:$E$3000))))</f>
        <v/>
      </c>
      <c r="BK121" s="32" t="str">
        <f>+IF(BK$3="","",IF($AY121="","",IFERROR(INDEX('Data Consolidada'!$E$7:$E$891,MATCH(CONCATENATE(BK$3,"-",$CP121,"-",$AY121),'Data Consolidada'!$K$7:$K$891,0)),MAX('Data Consolidada'!$E$7:$E$3000))))</f>
        <v/>
      </c>
      <c r="BL121" s="32" t="str">
        <f>+IF(BL$3="","",IF($AY121="","",IFERROR(INDEX('Data Consolidada'!$E$7:$E$891,MATCH(CONCATENATE(BL$3,"-",$CP121,"-",$AY121),'Data Consolidada'!$K$7:$K$891,0)),MAX('Data Consolidada'!$E$7:$E$3000))))</f>
        <v/>
      </c>
      <c r="BM121" s="32" t="str">
        <f>+IF(BM$3="","",IF($AY121="","",IFERROR(INDEX('Data Consolidada'!$E$7:$E$891,MATCH(CONCATENATE(BM$3,"-",$CP121,"-",$AY121),'Data Consolidada'!$K$7:$K$891,0)),MAX('Data Consolidada'!$E$7:$E$3000))))</f>
        <v/>
      </c>
      <c r="BN121" s="32" t="str">
        <f>+IF(BN$3="","",IF($AY121="","",IFERROR(INDEX('Data Consolidada'!$E$7:$E$891,MATCH(CONCATENATE(BN$3,"-",$CP121,"-",$AY121),'Data Consolidada'!$K$7:$K$891,0)),MAX('Data Consolidada'!$E$7:$E$3000))))</f>
        <v/>
      </c>
      <c r="BO121" s="32" t="str">
        <f>+IF(BO$3="","",IF($AY121="","",IFERROR(INDEX('Data Consolidada'!$E$7:$E$891,MATCH(CONCATENATE(BO$3,"-",$CP121,"-",$AY121),'Data Consolidada'!$K$7:$K$891,0)),MAX('Data Consolidada'!$E$7:$E$3000))))</f>
        <v/>
      </c>
      <c r="BP121" s="32" t="str">
        <f>+IF(BP$3="","",IF($AY121="","",IFERROR(INDEX('Data Consolidada'!$E$7:$E$891,MATCH(CONCATENATE(BP$3,"-",$CP121,"-",$AY121),'Data Consolidada'!$K$7:$K$891,0)),MAX('Data Consolidada'!$E$7:$E$3000))))</f>
        <v/>
      </c>
      <c r="BQ121" s="32" t="str">
        <f>+IF(BQ$3="","",IF($AY121="","",IFERROR(INDEX('Data Consolidada'!$E$7:$E$891,MATCH(CONCATENATE(BQ$3,"-",$CP121,"-",$AY121),'Data Consolidada'!$K$7:$K$891,0)),MAX('Data Consolidada'!$E$7:$E$3000))))</f>
        <v/>
      </c>
      <c r="BR121" s="32" t="str">
        <f>+IF(BR$3="","",IF($AY121="","",IFERROR(INDEX('Data Consolidada'!$E$7:$E$891,MATCH(CONCATENATE(BR$3,"-",$CP121,"-",$AY121),'Data Consolidada'!$K$7:$K$891,0)),MAX('Data Consolidada'!$E$7:$E$3000))))</f>
        <v/>
      </c>
      <c r="BS121" s="32" t="str">
        <f>+IF(BS$3="","",IF($AY121="","",IFERROR(INDEX('Data Consolidada'!$E$7:$E$891,MATCH(CONCATENATE(BS$3,"-",$CP121,"-",$AY121),'Data Consolidada'!$K$7:$K$891,0)),MAX('Data Consolidada'!$E$7:$E$3000))))</f>
        <v/>
      </c>
      <c r="BT121" s="32" t="str">
        <f>+IF(BT$3="","",IF($AY121="","",IFERROR(INDEX('Data Consolidada'!$E$7:$E$891,MATCH(CONCATENATE(BT$3,"-",$CP121,"-",$AY121),'Data Consolidada'!$K$7:$K$891,0)),MAX('Data Consolidada'!$E$7:$E$3000))))</f>
        <v/>
      </c>
      <c r="BU121" s="32" t="str">
        <f>+IF(BU$3="","",IF($AY121="","",IFERROR(INDEX('Data Consolidada'!$E$7:$E$891,MATCH(CONCATENATE(BU$3,"-",$CP121,"-",$AY121),'Data Consolidada'!$K$7:$K$891,0)),MAX('Data Consolidada'!$E$7:$E$3000))))</f>
        <v/>
      </c>
      <c r="BV121" s="32" t="str">
        <f>+IF(BV$3="","",IF($AY121="","",IFERROR(INDEX('Data Consolidada'!$E$7:$E$891,MATCH(CONCATENATE(BV$3,"-",$CP121,"-",$AY121),'Data Consolidada'!$K$7:$K$891,0)),MAX('Data Consolidada'!$E$7:$E$3000))))</f>
        <v/>
      </c>
      <c r="BW121" s="32" t="str">
        <f>+IF(BW$3="","",IF($AY121="","",IFERROR(INDEX('Data Consolidada'!$E$7:$E$891,MATCH(CONCATENATE(BW$3,"-",$CP121,"-",$AY121),'Data Consolidada'!$K$7:$K$891,0)),MAX('Data Consolidada'!$E$7:$E$3000))))</f>
        <v/>
      </c>
      <c r="BX121" s="32" t="str">
        <f>+IF(BX$3="","",IF($AY121="","",IFERROR(INDEX('Data Consolidada'!$E$7:$E$891,MATCH(CONCATENATE(BX$3,"-",$CP121,"-",$AY121),'Data Consolidada'!$K$7:$K$891,0)),MAX('Data Consolidada'!$E$7:$E$3000))))</f>
        <v/>
      </c>
      <c r="BY121" s="32" t="str">
        <f>+IF(BY$3="","",IF($AY121="","",IFERROR(INDEX('Data Consolidada'!$E$7:$E$891,MATCH(CONCATENATE(BY$3,"-",$CP121,"-",$AY121),'Data Consolidada'!$K$7:$K$891,0)),MAX('Data Consolidada'!$E$7:$E$3000))))</f>
        <v/>
      </c>
      <c r="BZ121" s="32" t="str">
        <f>+IF(BZ$3="","",IF($AY121="","",IFERROR(INDEX('Data Consolidada'!$E$7:$E$891,MATCH(CONCATENATE(BZ$3,"-",$CP121,"-",$AY121),'Data Consolidada'!$K$7:$K$891,0)),MAX('Data Consolidada'!$E$7:$E$3000))))</f>
        <v/>
      </c>
      <c r="CA121" s="32" t="str">
        <f>+IF(CA$3="","",IF($AY121="","",IFERROR(INDEX('Data Consolidada'!$E$7:$E$891,MATCH(CONCATENATE(CA$3,"-",$CP121,"-",$AY121),'Data Consolidada'!$K$7:$K$891,0)),MAX('Data Consolidada'!$E$7:$E$3000))))</f>
        <v/>
      </c>
      <c r="CB121" s="32" t="str">
        <f>+IF(CB$3="","",IF($AY121="","",IFERROR(INDEX('Data Consolidada'!$E$7:$E$891,MATCH(CONCATENATE(CB$3,"-",$CP121,"-",$AY121),'Data Consolidada'!$K$7:$K$891,0)),MAX('Data Consolidada'!$E$7:$E$3000))))</f>
        <v/>
      </c>
      <c r="CC121" s="32" t="str">
        <f>+IF(CC$3="","",IF($AY121="","",IFERROR(INDEX('Data Consolidada'!$E$7:$E$891,MATCH(CONCATENATE(CC$3,"-",$CP121,"-",$AY121),'Data Consolidada'!$K$7:$K$891,0)),MAX('Data Consolidada'!$E$7:$E$3000))))</f>
        <v/>
      </c>
      <c r="CD121" s="32" t="str">
        <f>+IF(CD$3="","",IF($AY121="","",IFERROR(INDEX('Data Consolidada'!$E$7:$E$891,MATCH(CONCATENATE(CD$3,"-",$CP121,"-",$AY121),'Data Consolidada'!$K$7:$K$891,0)),MAX('Data Consolidada'!$E$7:$E$3000))))</f>
        <v/>
      </c>
      <c r="CE121" s="32" t="str">
        <f>+IF(CE$3="","",IF($AY121="","",IFERROR(INDEX('Data Consolidada'!$E$7:$E$891,MATCH(CONCATENATE(CE$3,"-",$CP121,"-",$AY121),'Data Consolidada'!$K$7:$K$891,0)),MAX('Data Consolidada'!$E$7:$E$3000))))</f>
        <v/>
      </c>
      <c r="CF121" s="32" t="str">
        <f>+IF(CF$3="","",IF($AY121="","",IFERROR(INDEX('Data Consolidada'!$E$7:$E$891,MATCH(CONCATENATE(CF$3,"-",$CP121,"-",$AY121),'Data Consolidada'!$K$7:$K$891,0)),MAX('Data Consolidada'!$E$7:$E$3000))))</f>
        <v/>
      </c>
      <c r="CG121" s="32" t="str">
        <f>+IF(CG$3="","",IF($AY121="","",IFERROR(INDEX('Data Consolidada'!$E$7:$E$891,MATCH(CONCATENATE(CG$3,"-",$CP121,"-",$AY121),'Data Consolidada'!$K$7:$K$891,0)),MAX('Data Consolidada'!$E$7:$E$3000))))</f>
        <v/>
      </c>
      <c r="CH121" s="32" t="str">
        <f>+IF(CH$3="","",IF($AY121="","",IFERROR(INDEX('Data Consolidada'!$E$7:$E$891,MATCH(CONCATENATE(CH$3,"-",$CP121,"-",$AY121),'Data Consolidada'!$K$7:$K$891,0)),MAX('Data Consolidada'!$E$7:$E$3000))))</f>
        <v/>
      </c>
      <c r="CI121" s="32" t="str">
        <f>+IF(CI$3="","",IF($AY121="","",IFERROR(INDEX('Data Consolidada'!$E$7:$E$891,MATCH(CONCATENATE(CI$3,"-",$CP121,"-",$AY121),'Data Consolidada'!$K$7:$K$891,0)),MAX('Data Consolidada'!$E$7:$E$3000))))</f>
        <v/>
      </c>
      <c r="CJ121" s="32" t="str">
        <f>+IF(CJ$3="","",IF($AY121="","",IFERROR(INDEX('Data Consolidada'!$E$7:$E$891,MATCH(CONCATENATE(CJ$3,"-",$CP121,"-",$AY121),'Data Consolidada'!$K$7:$K$891,0)),MAX('Data Consolidada'!$E$7:$E$3000))))</f>
        <v/>
      </c>
      <c r="CK121" s="32" t="str">
        <f>+IF(CK$3="","",IF($AY121="","",IFERROR(INDEX('Data Consolidada'!$E$7:$E$891,MATCH(CONCATENATE(CK$3,"-",$CP121,"-",$AY121),'Data Consolidada'!$K$7:$K$891,0)),MAX('Data Consolidada'!$E$7:$E$3000))))</f>
        <v/>
      </c>
      <c r="CL121" s="32" t="str">
        <f>+IF(CL$3="","",IF($AY121="","",IFERROR(INDEX('Data Consolidada'!$E$7:$E$891,MATCH(CONCATENATE(CL$3,"-",$CP121,"-",$AY121),'Data Consolidada'!$K$7:$K$891,0)),MAX('Data Consolidada'!$E$7:$E$3000))))</f>
        <v/>
      </c>
      <c r="CM121" s="32" t="str">
        <f>+IF(CM$3="","",IF($AY121="","",IFERROR(INDEX('Data Consolidada'!$E$7:$E$891,MATCH(CONCATENATE(CM$3,"-",$CP121,"-",$AY121),'Data Consolidada'!$K$7:$K$891,0)),MAX('Data Consolidada'!$E$7:$E$3000))))</f>
        <v/>
      </c>
      <c r="CN121" s="32" t="str">
        <f>+IF(CN$3="","",IF($AY121="","",IFERROR(INDEX('Data Consolidada'!$E$7:$E$891,MATCH(CONCATENATE(CN$3,"-",$CP121,"-",$AY121),'Data Consolidada'!$K$7:$K$891,0)),MAX('Data Consolidada'!$E$7:$E$3000))))</f>
        <v/>
      </c>
      <c r="CO121" s="37" t="str">
        <f>+IF(CO$3="","",IF($AY121="","",IFERROR(INDEX('Data Consolidada'!$E$7:$E$891,MATCH(CONCATENATE(CO$3,"-",$CP121,"-",$AY121),'Data Consolidada'!$K$7:$K$891,0)),MAX('Data Consolidada'!$E$7:$E$3000))))</f>
        <v/>
      </c>
      <c r="CP121" s="224">
        <f t="shared" ca="1" si="45"/>
        <v>0</v>
      </c>
      <c r="CQ121" s="84" t="str">
        <f t="shared" ca="1" si="39"/>
        <v xml:space="preserve">  TRANS. MORROS LTDA.0</v>
      </c>
    </row>
    <row r="122" spans="2:95" ht="15" customHeight="1" x14ac:dyDescent="0.35">
      <c r="B122" s="218" t="str">
        <f t="shared" ca="1" si="41"/>
        <v>TRANS. MAX SOTO G. E.I.R.L.</v>
      </c>
      <c r="C122" s="238">
        <v>0</v>
      </c>
      <c r="D122" s="239">
        <v>0</v>
      </c>
      <c r="E122" s="239">
        <v>0</v>
      </c>
      <c r="F122" s="239">
        <v>0</v>
      </c>
      <c r="G122" s="239">
        <v>0</v>
      </c>
      <c r="H122" s="239">
        <v>0</v>
      </c>
      <c r="I122" s="239">
        <v>0</v>
      </c>
      <c r="J122" s="239">
        <v>0</v>
      </c>
      <c r="K122" s="239">
        <v>0</v>
      </c>
      <c r="L122" s="239">
        <v>0</v>
      </c>
      <c r="M122" s="239">
        <v>0</v>
      </c>
      <c r="N122" s="240">
        <v>0</v>
      </c>
      <c r="O122" s="239">
        <v>0</v>
      </c>
      <c r="P122" s="239">
        <v>0</v>
      </c>
      <c r="Q122" s="239">
        <v>0</v>
      </c>
      <c r="R122" s="239">
        <v>0</v>
      </c>
      <c r="S122" s="239">
        <v>0</v>
      </c>
      <c r="T122" s="239">
        <v>0</v>
      </c>
      <c r="U122" s="239">
        <v>0</v>
      </c>
      <c r="V122" s="239">
        <v>0</v>
      </c>
      <c r="W122" s="239">
        <v>0</v>
      </c>
      <c r="X122" s="239">
        <v>0</v>
      </c>
      <c r="Y122" s="239">
        <v>0</v>
      </c>
      <c r="Z122" s="239"/>
      <c r="AA122" s="239"/>
      <c r="AB122" s="239"/>
      <c r="AC122" s="239"/>
      <c r="AD122" s="239"/>
      <c r="AE122" s="239"/>
      <c r="AF122" s="239"/>
      <c r="AG122" s="239"/>
      <c r="AH122" s="239"/>
      <c r="AI122" s="239"/>
      <c r="AJ122" s="239"/>
      <c r="AK122" s="239"/>
      <c r="AL122" s="239"/>
      <c r="AM122" s="239"/>
      <c r="AN122" s="239"/>
      <c r="AO122" s="239"/>
      <c r="AP122" s="239"/>
      <c r="AQ122" s="239"/>
      <c r="AR122" s="252"/>
      <c r="AS122" s="77">
        <f t="shared" ca="1" si="42"/>
        <v>0</v>
      </c>
      <c r="AT122" s="255">
        <f t="shared" si="43"/>
        <v>0</v>
      </c>
      <c r="AU122" s="51"/>
      <c r="AV122" s="51"/>
      <c r="AW122" s="13">
        <f>+IF(AX122="","",IF(AX122&gt;AX121,AW121,IF(AW121&lt;$D$69,AW121+1,IF(COUNT(AW$4:AW121)&lt;$B$69*$E$54,1,""))))</f>
        <v>10</v>
      </c>
      <c r="AX122" s="13">
        <f>+IF(AX121&lt;$B$69,AX121+1,IF(COUNT(AX$4:AX121)&lt;$B$69*$D$69,1,""))</f>
        <v>2</v>
      </c>
      <c r="AY122" s="189" t="str">
        <f t="shared" ca="1" si="44"/>
        <v xml:space="preserve">CRISTIAN LÓPEZ </v>
      </c>
      <c r="AZ122" s="36">
        <f ca="1">+IF(AZ$3="","",IF($AY122="","",IFERROR(INDEX('Data Consolidada'!$E$7:$E$891,MATCH(CONCATENATE(AZ$3,"-",$CP122,"-",$AY122),'Data Consolidada'!$K$7:$K$891,0)),MAX('Data Consolidada'!$E$7:$E$3000))))</f>
        <v>11000000</v>
      </c>
      <c r="BA122" s="32">
        <f ca="1">+IF(BA$3="","",IF($AY122="","",IFERROR(INDEX('Data Consolidada'!$E$7:$E$891,MATCH(CONCATENATE(BA$3,"-",$CP122,"-",$AY122),'Data Consolidada'!$K$7:$K$891,0)),MAX('Data Consolidada'!$E$7:$E$3000))))</f>
        <v>11000000</v>
      </c>
      <c r="BB122" s="32" t="str">
        <f>+IF(BB$3="","",IF($AY122="","",IFERROR(INDEX('Data Consolidada'!$E$7:$E$891,MATCH(CONCATENATE(BB$3,"-",$CP122,"-",$AY122),'Data Consolidada'!$K$7:$K$891,0)),MAX('Data Consolidada'!$E$7:$E$3000))))</f>
        <v/>
      </c>
      <c r="BC122" s="32" t="str">
        <f>+IF(BC$3="","",IF($AY122="","",IFERROR(INDEX('Data Consolidada'!$E$7:$E$891,MATCH(CONCATENATE(BC$3,"-",$CP122,"-",$AY122),'Data Consolidada'!$K$7:$K$891,0)),MAX('Data Consolidada'!$E$7:$E$3000))))</f>
        <v/>
      </c>
      <c r="BD122" s="32" t="str">
        <f>+IF(BD$3="","",IF($AY122="","",IFERROR(INDEX('Data Consolidada'!$E$7:$E$891,MATCH(CONCATENATE(BD$3,"-",$CP122,"-",$AY122),'Data Consolidada'!$K$7:$K$891,0)),MAX('Data Consolidada'!$E$7:$E$3000))))</f>
        <v/>
      </c>
      <c r="BE122" s="32" t="str">
        <f>+IF(BE$3="","",IF($AY122="","",IFERROR(INDEX('Data Consolidada'!$E$7:$E$891,MATCH(CONCATENATE(BE$3,"-",$CP122,"-",$AY122),'Data Consolidada'!$K$7:$K$891,0)),MAX('Data Consolidada'!$E$7:$E$3000))))</f>
        <v/>
      </c>
      <c r="BF122" s="32" t="str">
        <f>+IF(BF$3="","",IF($AY122="","",IFERROR(INDEX('Data Consolidada'!$E$7:$E$891,MATCH(CONCATENATE(BF$3,"-",$CP122,"-",$AY122),'Data Consolidada'!$K$7:$K$891,0)),MAX('Data Consolidada'!$E$7:$E$3000))))</f>
        <v/>
      </c>
      <c r="BG122" s="32" t="str">
        <f>+IF(BG$3="","",IF($AY122="","",IFERROR(INDEX('Data Consolidada'!$E$7:$E$891,MATCH(CONCATENATE(BG$3,"-",$CP122,"-",$AY122),'Data Consolidada'!$K$7:$K$891,0)),MAX('Data Consolidada'!$E$7:$E$3000))))</f>
        <v/>
      </c>
      <c r="BH122" s="32" t="str">
        <f>+IF(BH$3="","",IF($AY122="","",IFERROR(INDEX('Data Consolidada'!$E$7:$E$891,MATCH(CONCATENATE(BH$3,"-",$CP122,"-",$AY122),'Data Consolidada'!$K$7:$K$891,0)),MAX('Data Consolidada'!$E$7:$E$3000))))</f>
        <v/>
      </c>
      <c r="BI122" s="32" t="str">
        <f>+IF(BI$3="","",IF($AY122="","",IFERROR(INDEX('Data Consolidada'!$E$7:$E$891,MATCH(CONCATENATE(BI$3,"-",$CP122,"-",$AY122),'Data Consolidada'!$K$7:$K$891,0)),MAX('Data Consolidada'!$E$7:$E$3000))))</f>
        <v/>
      </c>
      <c r="BJ122" s="32" t="str">
        <f>+IF(BJ$3="","",IF($AY122="","",IFERROR(INDEX('Data Consolidada'!$E$7:$E$891,MATCH(CONCATENATE(BJ$3,"-",$CP122,"-",$AY122),'Data Consolidada'!$K$7:$K$891,0)),MAX('Data Consolidada'!$E$7:$E$3000))))</f>
        <v/>
      </c>
      <c r="BK122" s="32" t="str">
        <f>+IF(BK$3="","",IF($AY122="","",IFERROR(INDEX('Data Consolidada'!$E$7:$E$891,MATCH(CONCATENATE(BK$3,"-",$CP122,"-",$AY122),'Data Consolidada'!$K$7:$K$891,0)),MAX('Data Consolidada'!$E$7:$E$3000))))</f>
        <v/>
      </c>
      <c r="BL122" s="32" t="str">
        <f>+IF(BL$3="","",IF($AY122="","",IFERROR(INDEX('Data Consolidada'!$E$7:$E$891,MATCH(CONCATENATE(BL$3,"-",$CP122,"-",$AY122),'Data Consolidada'!$K$7:$K$891,0)),MAX('Data Consolidada'!$E$7:$E$3000))))</f>
        <v/>
      </c>
      <c r="BM122" s="32" t="str">
        <f>+IF(BM$3="","",IF($AY122="","",IFERROR(INDEX('Data Consolidada'!$E$7:$E$891,MATCH(CONCATENATE(BM$3,"-",$CP122,"-",$AY122),'Data Consolidada'!$K$7:$K$891,0)),MAX('Data Consolidada'!$E$7:$E$3000))))</f>
        <v/>
      </c>
      <c r="BN122" s="32" t="str">
        <f>+IF(BN$3="","",IF($AY122="","",IFERROR(INDEX('Data Consolidada'!$E$7:$E$891,MATCH(CONCATENATE(BN$3,"-",$CP122,"-",$AY122),'Data Consolidada'!$K$7:$K$891,0)),MAX('Data Consolidada'!$E$7:$E$3000))))</f>
        <v/>
      </c>
      <c r="BO122" s="32" t="str">
        <f>+IF(BO$3="","",IF($AY122="","",IFERROR(INDEX('Data Consolidada'!$E$7:$E$891,MATCH(CONCATENATE(BO$3,"-",$CP122,"-",$AY122),'Data Consolidada'!$K$7:$K$891,0)),MAX('Data Consolidada'!$E$7:$E$3000))))</f>
        <v/>
      </c>
      <c r="BP122" s="32" t="str">
        <f>+IF(BP$3="","",IF($AY122="","",IFERROR(INDEX('Data Consolidada'!$E$7:$E$891,MATCH(CONCATENATE(BP$3,"-",$CP122,"-",$AY122),'Data Consolidada'!$K$7:$K$891,0)),MAX('Data Consolidada'!$E$7:$E$3000))))</f>
        <v/>
      </c>
      <c r="BQ122" s="32" t="str">
        <f>+IF(BQ$3="","",IF($AY122="","",IFERROR(INDEX('Data Consolidada'!$E$7:$E$891,MATCH(CONCATENATE(BQ$3,"-",$CP122,"-",$AY122),'Data Consolidada'!$K$7:$K$891,0)),MAX('Data Consolidada'!$E$7:$E$3000))))</f>
        <v/>
      </c>
      <c r="BR122" s="32" t="str">
        <f>+IF(BR$3="","",IF($AY122="","",IFERROR(INDEX('Data Consolidada'!$E$7:$E$891,MATCH(CONCATENATE(BR$3,"-",$CP122,"-",$AY122),'Data Consolidada'!$K$7:$K$891,0)),MAX('Data Consolidada'!$E$7:$E$3000))))</f>
        <v/>
      </c>
      <c r="BS122" s="32" t="str">
        <f>+IF(BS$3="","",IF($AY122="","",IFERROR(INDEX('Data Consolidada'!$E$7:$E$891,MATCH(CONCATENATE(BS$3,"-",$CP122,"-",$AY122),'Data Consolidada'!$K$7:$K$891,0)),MAX('Data Consolidada'!$E$7:$E$3000))))</f>
        <v/>
      </c>
      <c r="BT122" s="32" t="str">
        <f>+IF(BT$3="","",IF($AY122="","",IFERROR(INDEX('Data Consolidada'!$E$7:$E$891,MATCH(CONCATENATE(BT$3,"-",$CP122,"-",$AY122),'Data Consolidada'!$K$7:$K$891,0)),MAX('Data Consolidada'!$E$7:$E$3000))))</f>
        <v/>
      </c>
      <c r="BU122" s="32" t="str">
        <f>+IF(BU$3="","",IF($AY122="","",IFERROR(INDEX('Data Consolidada'!$E$7:$E$891,MATCH(CONCATENATE(BU$3,"-",$CP122,"-",$AY122),'Data Consolidada'!$K$7:$K$891,0)),MAX('Data Consolidada'!$E$7:$E$3000))))</f>
        <v/>
      </c>
      <c r="BV122" s="32" t="str">
        <f>+IF(BV$3="","",IF($AY122="","",IFERROR(INDEX('Data Consolidada'!$E$7:$E$891,MATCH(CONCATENATE(BV$3,"-",$CP122,"-",$AY122),'Data Consolidada'!$K$7:$K$891,0)),MAX('Data Consolidada'!$E$7:$E$3000))))</f>
        <v/>
      </c>
      <c r="BW122" s="32" t="str">
        <f>+IF(BW$3="","",IF($AY122="","",IFERROR(INDEX('Data Consolidada'!$E$7:$E$891,MATCH(CONCATENATE(BW$3,"-",$CP122,"-",$AY122),'Data Consolidada'!$K$7:$K$891,0)),MAX('Data Consolidada'!$E$7:$E$3000))))</f>
        <v/>
      </c>
      <c r="BX122" s="32" t="str">
        <f>+IF(BX$3="","",IF($AY122="","",IFERROR(INDEX('Data Consolidada'!$E$7:$E$891,MATCH(CONCATENATE(BX$3,"-",$CP122,"-",$AY122),'Data Consolidada'!$K$7:$K$891,0)),MAX('Data Consolidada'!$E$7:$E$3000))))</f>
        <v/>
      </c>
      <c r="BY122" s="32" t="str">
        <f>+IF(BY$3="","",IF($AY122="","",IFERROR(INDEX('Data Consolidada'!$E$7:$E$891,MATCH(CONCATENATE(BY$3,"-",$CP122,"-",$AY122),'Data Consolidada'!$K$7:$K$891,0)),MAX('Data Consolidada'!$E$7:$E$3000))))</f>
        <v/>
      </c>
      <c r="BZ122" s="32" t="str">
        <f>+IF(BZ$3="","",IF($AY122="","",IFERROR(INDEX('Data Consolidada'!$E$7:$E$891,MATCH(CONCATENATE(BZ$3,"-",$CP122,"-",$AY122),'Data Consolidada'!$K$7:$K$891,0)),MAX('Data Consolidada'!$E$7:$E$3000))))</f>
        <v/>
      </c>
      <c r="CA122" s="32" t="str">
        <f>+IF(CA$3="","",IF($AY122="","",IFERROR(INDEX('Data Consolidada'!$E$7:$E$891,MATCH(CONCATENATE(CA$3,"-",$CP122,"-",$AY122),'Data Consolidada'!$K$7:$K$891,0)),MAX('Data Consolidada'!$E$7:$E$3000))))</f>
        <v/>
      </c>
      <c r="CB122" s="32" t="str">
        <f>+IF(CB$3="","",IF($AY122="","",IFERROR(INDEX('Data Consolidada'!$E$7:$E$891,MATCH(CONCATENATE(CB$3,"-",$CP122,"-",$AY122),'Data Consolidada'!$K$7:$K$891,0)),MAX('Data Consolidada'!$E$7:$E$3000))))</f>
        <v/>
      </c>
      <c r="CC122" s="32" t="str">
        <f>+IF(CC$3="","",IF($AY122="","",IFERROR(INDEX('Data Consolidada'!$E$7:$E$891,MATCH(CONCATENATE(CC$3,"-",$CP122,"-",$AY122),'Data Consolidada'!$K$7:$K$891,0)),MAX('Data Consolidada'!$E$7:$E$3000))))</f>
        <v/>
      </c>
      <c r="CD122" s="32" t="str">
        <f>+IF(CD$3="","",IF($AY122="","",IFERROR(INDEX('Data Consolidada'!$E$7:$E$891,MATCH(CONCATENATE(CD$3,"-",$CP122,"-",$AY122),'Data Consolidada'!$K$7:$K$891,0)),MAX('Data Consolidada'!$E$7:$E$3000))))</f>
        <v/>
      </c>
      <c r="CE122" s="32" t="str">
        <f>+IF(CE$3="","",IF($AY122="","",IFERROR(INDEX('Data Consolidada'!$E$7:$E$891,MATCH(CONCATENATE(CE$3,"-",$CP122,"-",$AY122),'Data Consolidada'!$K$7:$K$891,0)),MAX('Data Consolidada'!$E$7:$E$3000))))</f>
        <v/>
      </c>
      <c r="CF122" s="32" t="str">
        <f>+IF(CF$3="","",IF($AY122="","",IFERROR(INDEX('Data Consolidada'!$E$7:$E$891,MATCH(CONCATENATE(CF$3,"-",$CP122,"-",$AY122),'Data Consolidada'!$K$7:$K$891,0)),MAX('Data Consolidada'!$E$7:$E$3000))))</f>
        <v/>
      </c>
      <c r="CG122" s="32" t="str">
        <f>+IF(CG$3="","",IF($AY122="","",IFERROR(INDEX('Data Consolidada'!$E$7:$E$891,MATCH(CONCATENATE(CG$3,"-",$CP122,"-",$AY122),'Data Consolidada'!$K$7:$K$891,0)),MAX('Data Consolidada'!$E$7:$E$3000))))</f>
        <v/>
      </c>
      <c r="CH122" s="32" t="str">
        <f>+IF(CH$3="","",IF($AY122="","",IFERROR(INDEX('Data Consolidada'!$E$7:$E$891,MATCH(CONCATENATE(CH$3,"-",$CP122,"-",$AY122),'Data Consolidada'!$K$7:$K$891,0)),MAX('Data Consolidada'!$E$7:$E$3000))))</f>
        <v/>
      </c>
      <c r="CI122" s="32" t="str">
        <f>+IF(CI$3="","",IF($AY122="","",IFERROR(INDEX('Data Consolidada'!$E$7:$E$891,MATCH(CONCATENATE(CI$3,"-",$CP122,"-",$AY122),'Data Consolidada'!$K$7:$K$891,0)),MAX('Data Consolidada'!$E$7:$E$3000))))</f>
        <v/>
      </c>
      <c r="CJ122" s="32" t="str">
        <f>+IF(CJ$3="","",IF($AY122="","",IFERROR(INDEX('Data Consolidada'!$E$7:$E$891,MATCH(CONCATENATE(CJ$3,"-",$CP122,"-",$AY122),'Data Consolidada'!$K$7:$K$891,0)),MAX('Data Consolidada'!$E$7:$E$3000))))</f>
        <v/>
      </c>
      <c r="CK122" s="32" t="str">
        <f>+IF(CK$3="","",IF($AY122="","",IFERROR(INDEX('Data Consolidada'!$E$7:$E$891,MATCH(CONCATENATE(CK$3,"-",$CP122,"-",$AY122),'Data Consolidada'!$K$7:$K$891,0)),MAX('Data Consolidada'!$E$7:$E$3000))))</f>
        <v/>
      </c>
      <c r="CL122" s="32" t="str">
        <f>+IF(CL$3="","",IF($AY122="","",IFERROR(INDEX('Data Consolidada'!$E$7:$E$891,MATCH(CONCATENATE(CL$3,"-",$CP122,"-",$AY122),'Data Consolidada'!$K$7:$K$891,0)),MAX('Data Consolidada'!$E$7:$E$3000))))</f>
        <v/>
      </c>
      <c r="CM122" s="32" t="str">
        <f>+IF(CM$3="","",IF($AY122="","",IFERROR(INDEX('Data Consolidada'!$E$7:$E$891,MATCH(CONCATENATE(CM$3,"-",$CP122,"-",$AY122),'Data Consolidada'!$K$7:$K$891,0)),MAX('Data Consolidada'!$E$7:$E$3000))))</f>
        <v/>
      </c>
      <c r="CN122" s="32" t="str">
        <f>+IF(CN$3="","",IF($AY122="","",IFERROR(INDEX('Data Consolidada'!$E$7:$E$891,MATCH(CONCATENATE(CN$3,"-",$CP122,"-",$AY122),'Data Consolidada'!$K$7:$K$891,0)),MAX('Data Consolidada'!$E$7:$E$3000))))</f>
        <v/>
      </c>
      <c r="CO122" s="37" t="str">
        <f>+IF(CO$3="","",IF($AY122="","",IFERROR(INDEX('Data Consolidada'!$E$7:$E$891,MATCH(CONCATENATE(CO$3,"-",$CP122,"-",$AY122),'Data Consolidada'!$K$7:$K$891,0)),MAX('Data Consolidada'!$E$7:$E$3000))))</f>
        <v/>
      </c>
      <c r="CP122" s="224">
        <f t="shared" ca="1" si="45"/>
        <v>0</v>
      </c>
      <c r="CQ122" s="84" t="str">
        <f t="shared" ca="1" si="39"/>
        <v>CRISTIAN LÓPEZ 0</v>
      </c>
    </row>
    <row r="123" spans="2:95" ht="15" customHeight="1" x14ac:dyDescent="0.35">
      <c r="B123" s="218" t="str">
        <f t="shared" ca="1" si="41"/>
        <v>TRANS. MITRE SPA.</v>
      </c>
      <c r="C123" s="238">
        <v>0</v>
      </c>
      <c r="D123" s="239">
        <v>0</v>
      </c>
      <c r="E123" s="239">
        <v>0</v>
      </c>
      <c r="F123" s="239">
        <v>0</v>
      </c>
      <c r="G123" s="239">
        <v>0</v>
      </c>
      <c r="H123" s="239">
        <v>0</v>
      </c>
      <c r="I123" s="239">
        <v>0</v>
      </c>
      <c r="J123" s="239">
        <v>0</v>
      </c>
      <c r="K123" s="239">
        <v>0</v>
      </c>
      <c r="L123" s="239">
        <v>0</v>
      </c>
      <c r="M123" s="239">
        <v>0</v>
      </c>
      <c r="N123" s="240">
        <v>0</v>
      </c>
      <c r="O123" s="239">
        <v>0</v>
      </c>
      <c r="P123" s="239">
        <v>0</v>
      </c>
      <c r="Q123" s="239">
        <v>0</v>
      </c>
      <c r="R123" s="239">
        <v>0</v>
      </c>
      <c r="S123" s="239">
        <v>0</v>
      </c>
      <c r="T123" s="239">
        <v>0</v>
      </c>
      <c r="U123" s="239">
        <v>0</v>
      </c>
      <c r="V123" s="239">
        <v>0</v>
      </c>
      <c r="W123" s="239">
        <v>0</v>
      </c>
      <c r="X123" s="239">
        <v>0</v>
      </c>
      <c r="Y123" s="239">
        <v>0</v>
      </c>
      <c r="Z123" s="239"/>
      <c r="AA123" s="239"/>
      <c r="AB123" s="239"/>
      <c r="AC123" s="239"/>
      <c r="AD123" s="239"/>
      <c r="AE123" s="239"/>
      <c r="AF123" s="239"/>
      <c r="AG123" s="239"/>
      <c r="AH123" s="239"/>
      <c r="AI123" s="239"/>
      <c r="AJ123" s="239"/>
      <c r="AK123" s="239"/>
      <c r="AL123" s="239"/>
      <c r="AM123" s="239"/>
      <c r="AN123" s="239"/>
      <c r="AO123" s="239"/>
      <c r="AP123" s="239"/>
      <c r="AQ123" s="239"/>
      <c r="AR123" s="252"/>
      <c r="AS123" s="77">
        <f t="shared" ca="1" si="42"/>
        <v>0</v>
      </c>
      <c r="AT123" s="255">
        <f t="shared" si="43"/>
        <v>0</v>
      </c>
      <c r="AU123" s="51"/>
      <c r="AV123" s="51"/>
      <c r="AW123" s="13">
        <f>+IF(AX123="","",IF(AX123&gt;AX122,AW122,IF(AW122&lt;$D$69,AW122+1,IF(COUNT(AW$4:AW122)&lt;$B$69*$E$54,1,""))))</f>
        <v>10</v>
      </c>
      <c r="AX123" s="13">
        <f>+IF(AX122&lt;$B$69,AX122+1,IF(COUNT(AX$4:AX122)&lt;$B$69*$D$69,1,""))</f>
        <v>3</v>
      </c>
      <c r="AY123" s="189" t="str">
        <f t="shared" ca="1" si="44"/>
        <v xml:space="preserve">GUSTAVO ZÚÑIGA </v>
      </c>
      <c r="AZ123" s="36">
        <f ca="1">+IF(AZ$3="","",IF($AY123="","",IFERROR(INDEX('Data Consolidada'!$E$7:$E$891,MATCH(CONCATENATE(AZ$3,"-",$CP123,"-",$AY123),'Data Consolidada'!$K$7:$K$891,0)),MAX('Data Consolidada'!$E$7:$E$3000))))</f>
        <v>11000000</v>
      </c>
      <c r="BA123" s="32">
        <f ca="1">+IF(BA$3="","",IF($AY123="","",IFERROR(INDEX('Data Consolidada'!$E$7:$E$891,MATCH(CONCATENATE(BA$3,"-",$CP123,"-",$AY123),'Data Consolidada'!$K$7:$K$891,0)),MAX('Data Consolidada'!$E$7:$E$3000))))</f>
        <v>11000000</v>
      </c>
      <c r="BB123" s="32" t="str">
        <f>+IF(BB$3="","",IF($AY123="","",IFERROR(INDEX('Data Consolidada'!$E$7:$E$891,MATCH(CONCATENATE(BB$3,"-",$CP123,"-",$AY123),'Data Consolidada'!$K$7:$K$891,0)),MAX('Data Consolidada'!$E$7:$E$3000))))</f>
        <v/>
      </c>
      <c r="BC123" s="32" t="str">
        <f>+IF(BC$3="","",IF($AY123="","",IFERROR(INDEX('Data Consolidada'!$E$7:$E$891,MATCH(CONCATENATE(BC$3,"-",$CP123,"-",$AY123),'Data Consolidada'!$K$7:$K$891,0)),MAX('Data Consolidada'!$E$7:$E$3000))))</f>
        <v/>
      </c>
      <c r="BD123" s="32" t="str">
        <f>+IF(BD$3="","",IF($AY123="","",IFERROR(INDEX('Data Consolidada'!$E$7:$E$891,MATCH(CONCATENATE(BD$3,"-",$CP123,"-",$AY123),'Data Consolidada'!$K$7:$K$891,0)),MAX('Data Consolidada'!$E$7:$E$3000))))</f>
        <v/>
      </c>
      <c r="BE123" s="32" t="str">
        <f>+IF(BE$3="","",IF($AY123="","",IFERROR(INDEX('Data Consolidada'!$E$7:$E$891,MATCH(CONCATENATE(BE$3,"-",$CP123,"-",$AY123),'Data Consolidada'!$K$7:$K$891,0)),MAX('Data Consolidada'!$E$7:$E$3000))))</f>
        <v/>
      </c>
      <c r="BF123" s="32" t="str">
        <f>+IF(BF$3="","",IF($AY123="","",IFERROR(INDEX('Data Consolidada'!$E$7:$E$891,MATCH(CONCATENATE(BF$3,"-",$CP123,"-",$AY123),'Data Consolidada'!$K$7:$K$891,0)),MAX('Data Consolidada'!$E$7:$E$3000))))</f>
        <v/>
      </c>
      <c r="BG123" s="32" t="str">
        <f>+IF(BG$3="","",IF($AY123="","",IFERROR(INDEX('Data Consolidada'!$E$7:$E$891,MATCH(CONCATENATE(BG$3,"-",$CP123,"-",$AY123),'Data Consolidada'!$K$7:$K$891,0)),MAX('Data Consolidada'!$E$7:$E$3000))))</f>
        <v/>
      </c>
      <c r="BH123" s="32" t="str">
        <f>+IF(BH$3="","",IF($AY123="","",IFERROR(INDEX('Data Consolidada'!$E$7:$E$891,MATCH(CONCATENATE(BH$3,"-",$CP123,"-",$AY123),'Data Consolidada'!$K$7:$K$891,0)),MAX('Data Consolidada'!$E$7:$E$3000))))</f>
        <v/>
      </c>
      <c r="BI123" s="32" t="str">
        <f>+IF(BI$3="","",IF($AY123="","",IFERROR(INDEX('Data Consolidada'!$E$7:$E$891,MATCH(CONCATENATE(BI$3,"-",$CP123,"-",$AY123),'Data Consolidada'!$K$7:$K$891,0)),MAX('Data Consolidada'!$E$7:$E$3000))))</f>
        <v/>
      </c>
      <c r="BJ123" s="32" t="str">
        <f>+IF(BJ$3="","",IF($AY123="","",IFERROR(INDEX('Data Consolidada'!$E$7:$E$891,MATCH(CONCATENATE(BJ$3,"-",$CP123,"-",$AY123),'Data Consolidada'!$K$7:$K$891,0)),MAX('Data Consolidada'!$E$7:$E$3000))))</f>
        <v/>
      </c>
      <c r="BK123" s="32" t="str">
        <f>+IF(BK$3="","",IF($AY123="","",IFERROR(INDEX('Data Consolidada'!$E$7:$E$891,MATCH(CONCATENATE(BK$3,"-",$CP123,"-",$AY123),'Data Consolidada'!$K$7:$K$891,0)),MAX('Data Consolidada'!$E$7:$E$3000))))</f>
        <v/>
      </c>
      <c r="BL123" s="32" t="str">
        <f>+IF(BL$3="","",IF($AY123="","",IFERROR(INDEX('Data Consolidada'!$E$7:$E$891,MATCH(CONCATENATE(BL$3,"-",$CP123,"-",$AY123),'Data Consolidada'!$K$7:$K$891,0)),MAX('Data Consolidada'!$E$7:$E$3000))))</f>
        <v/>
      </c>
      <c r="BM123" s="32" t="str">
        <f>+IF(BM$3="","",IF($AY123="","",IFERROR(INDEX('Data Consolidada'!$E$7:$E$891,MATCH(CONCATENATE(BM$3,"-",$CP123,"-",$AY123),'Data Consolidada'!$K$7:$K$891,0)),MAX('Data Consolidada'!$E$7:$E$3000))))</f>
        <v/>
      </c>
      <c r="BN123" s="32" t="str">
        <f>+IF(BN$3="","",IF($AY123="","",IFERROR(INDEX('Data Consolidada'!$E$7:$E$891,MATCH(CONCATENATE(BN$3,"-",$CP123,"-",$AY123),'Data Consolidada'!$K$7:$K$891,0)),MAX('Data Consolidada'!$E$7:$E$3000))))</f>
        <v/>
      </c>
      <c r="BO123" s="32" t="str">
        <f>+IF(BO$3="","",IF($AY123="","",IFERROR(INDEX('Data Consolidada'!$E$7:$E$891,MATCH(CONCATENATE(BO$3,"-",$CP123,"-",$AY123),'Data Consolidada'!$K$7:$K$891,0)),MAX('Data Consolidada'!$E$7:$E$3000))))</f>
        <v/>
      </c>
      <c r="BP123" s="32" t="str">
        <f>+IF(BP$3="","",IF($AY123="","",IFERROR(INDEX('Data Consolidada'!$E$7:$E$891,MATCH(CONCATENATE(BP$3,"-",$CP123,"-",$AY123),'Data Consolidada'!$K$7:$K$891,0)),MAX('Data Consolidada'!$E$7:$E$3000))))</f>
        <v/>
      </c>
      <c r="BQ123" s="32" t="str">
        <f>+IF(BQ$3="","",IF($AY123="","",IFERROR(INDEX('Data Consolidada'!$E$7:$E$891,MATCH(CONCATENATE(BQ$3,"-",$CP123,"-",$AY123),'Data Consolidada'!$K$7:$K$891,0)),MAX('Data Consolidada'!$E$7:$E$3000))))</f>
        <v/>
      </c>
      <c r="BR123" s="32" t="str">
        <f>+IF(BR$3="","",IF($AY123="","",IFERROR(INDEX('Data Consolidada'!$E$7:$E$891,MATCH(CONCATENATE(BR$3,"-",$CP123,"-",$AY123),'Data Consolidada'!$K$7:$K$891,0)),MAX('Data Consolidada'!$E$7:$E$3000))))</f>
        <v/>
      </c>
      <c r="BS123" s="32" t="str">
        <f>+IF(BS$3="","",IF($AY123="","",IFERROR(INDEX('Data Consolidada'!$E$7:$E$891,MATCH(CONCATENATE(BS$3,"-",$CP123,"-",$AY123),'Data Consolidada'!$K$7:$K$891,0)),MAX('Data Consolidada'!$E$7:$E$3000))))</f>
        <v/>
      </c>
      <c r="BT123" s="32" t="str">
        <f>+IF(BT$3="","",IF($AY123="","",IFERROR(INDEX('Data Consolidada'!$E$7:$E$891,MATCH(CONCATENATE(BT$3,"-",$CP123,"-",$AY123),'Data Consolidada'!$K$7:$K$891,0)),MAX('Data Consolidada'!$E$7:$E$3000))))</f>
        <v/>
      </c>
      <c r="BU123" s="32" t="str">
        <f>+IF(BU$3="","",IF($AY123="","",IFERROR(INDEX('Data Consolidada'!$E$7:$E$891,MATCH(CONCATENATE(BU$3,"-",$CP123,"-",$AY123),'Data Consolidada'!$K$7:$K$891,0)),MAX('Data Consolidada'!$E$7:$E$3000))))</f>
        <v/>
      </c>
      <c r="BV123" s="32" t="str">
        <f>+IF(BV$3="","",IF($AY123="","",IFERROR(INDEX('Data Consolidada'!$E$7:$E$891,MATCH(CONCATENATE(BV$3,"-",$CP123,"-",$AY123),'Data Consolidada'!$K$7:$K$891,0)),MAX('Data Consolidada'!$E$7:$E$3000))))</f>
        <v/>
      </c>
      <c r="BW123" s="32" t="str">
        <f>+IF(BW$3="","",IF($AY123="","",IFERROR(INDEX('Data Consolidada'!$E$7:$E$891,MATCH(CONCATENATE(BW$3,"-",$CP123,"-",$AY123),'Data Consolidada'!$K$7:$K$891,0)),MAX('Data Consolidada'!$E$7:$E$3000))))</f>
        <v/>
      </c>
      <c r="BX123" s="32" t="str">
        <f>+IF(BX$3="","",IF($AY123="","",IFERROR(INDEX('Data Consolidada'!$E$7:$E$891,MATCH(CONCATENATE(BX$3,"-",$CP123,"-",$AY123),'Data Consolidada'!$K$7:$K$891,0)),MAX('Data Consolidada'!$E$7:$E$3000))))</f>
        <v/>
      </c>
      <c r="BY123" s="32" t="str">
        <f>+IF(BY$3="","",IF($AY123="","",IFERROR(INDEX('Data Consolidada'!$E$7:$E$891,MATCH(CONCATENATE(BY$3,"-",$CP123,"-",$AY123),'Data Consolidada'!$K$7:$K$891,0)),MAX('Data Consolidada'!$E$7:$E$3000))))</f>
        <v/>
      </c>
      <c r="BZ123" s="32" t="str">
        <f>+IF(BZ$3="","",IF($AY123="","",IFERROR(INDEX('Data Consolidada'!$E$7:$E$891,MATCH(CONCATENATE(BZ$3,"-",$CP123,"-",$AY123),'Data Consolidada'!$K$7:$K$891,0)),MAX('Data Consolidada'!$E$7:$E$3000))))</f>
        <v/>
      </c>
      <c r="CA123" s="32" t="str">
        <f>+IF(CA$3="","",IF($AY123="","",IFERROR(INDEX('Data Consolidada'!$E$7:$E$891,MATCH(CONCATENATE(CA$3,"-",$CP123,"-",$AY123),'Data Consolidada'!$K$7:$K$891,0)),MAX('Data Consolidada'!$E$7:$E$3000))))</f>
        <v/>
      </c>
      <c r="CB123" s="32" t="str">
        <f>+IF(CB$3="","",IF($AY123="","",IFERROR(INDEX('Data Consolidada'!$E$7:$E$891,MATCH(CONCATENATE(CB$3,"-",$CP123,"-",$AY123),'Data Consolidada'!$K$7:$K$891,0)),MAX('Data Consolidada'!$E$7:$E$3000))))</f>
        <v/>
      </c>
      <c r="CC123" s="32" t="str">
        <f>+IF(CC$3="","",IF($AY123="","",IFERROR(INDEX('Data Consolidada'!$E$7:$E$891,MATCH(CONCATENATE(CC$3,"-",$CP123,"-",$AY123),'Data Consolidada'!$K$7:$K$891,0)),MAX('Data Consolidada'!$E$7:$E$3000))))</f>
        <v/>
      </c>
      <c r="CD123" s="32" t="str">
        <f>+IF(CD$3="","",IF($AY123="","",IFERROR(INDEX('Data Consolidada'!$E$7:$E$891,MATCH(CONCATENATE(CD$3,"-",$CP123,"-",$AY123),'Data Consolidada'!$K$7:$K$891,0)),MAX('Data Consolidada'!$E$7:$E$3000))))</f>
        <v/>
      </c>
      <c r="CE123" s="32" t="str">
        <f>+IF(CE$3="","",IF($AY123="","",IFERROR(INDEX('Data Consolidada'!$E$7:$E$891,MATCH(CONCATENATE(CE$3,"-",$CP123,"-",$AY123),'Data Consolidada'!$K$7:$K$891,0)),MAX('Data Consolidada'!$E$7:$E$3000))))</f>
        <v/>
      </c>
      <c r="CF123" s="32" t="str">
        <f>+IF(CF$3="","",IF($AY123="","",IFERROR(INDEX('Data Consolidada'!$E$7:$E$891,MATCH(CONCATENATE(CF$3,"-",$CP123,"-",$AY123),'Data Consolidada'!$K$7:$K$891,0)),MAX('Data Consolidada'!$E$7:$E$3000))))</f>
        <v/>
      </c>
      <c r="CG123" s="32" t="str">
        <f>+IF(CG$3="","",IF($AY123="","",IFERROR(INDEX('Data Consolidada'!$E$7:$E$891,MATCH(CONCATENATE(CG$3,"-",$CP123,"-",$AY123),'Data Consolidada'!$K$7:$K$891,0)),MAX('Data Consolidada'!$E$7:$E$3000))))</f>
        <v/>
      </c>
      <c r="CH123" s="32" t="str">
        <f>+IF(CH$3="","",IF($AY123="","",IFERROR(INDEX('Data Consolidada'!$E$7:$E$891,MATCH(CONCATENATE(CH$3,"-",$CP123,"-",$AY123),'Data Consolidada'!$K$7:$K$891,0)),MAX('Data Consolidada'!$E$7:$E$3000))))</f>
        <v/>
      </c>
      <c r="CI123" s="32" t="str">
        <f>+IF(CI$3="","",IF($AY123="","",IFERROR(INDEX('Data Consolidada'!$E$7:$E$891,MATCH(CONCATENATE(CI$3,"-",$CP123,"-",$AY123),'Data Consolidada'!$K$7:$K$891,0)),MAX('Data Consolidada'!$E$7:$E$3000))))</f>
        <v/>
      </c>
      <c r="CJ123" s="32" t="str">
        <f>+IF(CJ$3="","",IF($AY123="","",IFERROR(INDEX('Data Consolidada'!$E$7:$E$891,MATCH(CONCATENATE(CJ$3,"-",$CP123,"-",$AY123),'Data Consolidada'!$K$7:$K$891,0)),MAX('Data Consolidada'!$E$7:$E$3000))))</f>
        <v/>
      </c>
      <c r="CK123" s="32" t="str">
        <f>+IF(CK$3="","",IF($AY123="","",IFERROR(INDEX('Data Consolidada'!$E$7:$E$891,MATCH(CONCATENATE(CK$3,"-",$CP123,"-",$AY123),'Data Consolidada'!$K$7:$K$891,0)),MAX('Data Consolidada'!$E$7:$E$3000))))</f>
        <v/>
      </c>
      <c r="CL123" s="32" t="str">
        <f>+IF(CL$3="","",IF($AY123="","",IFERROR(INDEX('Data Consolidada'!$E$7:$E$891,MATCH(CONCATENATE(CL$3,"-",$CP123,"-",$AY123),'Data Consolidada'!$K$7:$K$891,0)),MAX('Data Consolidada'!$E$7:$E$3000))))</f>
        <v/>
      </c>
      <c r="CM123" s="32" t="str">
        <f>+IF(CM$3="","",IF($AY123="","",IFERROR(INDEX('Data Consolidada'!$E$7:$E$891,MATCH(CONCATENATE(CM$3,"-",$CP123,"-",$AY123),'Data Consolidada'!$K$7:$K$891,0)),MAX('Data Consolidada'!$E$7:$E$3000))))</f>
        <v/>
      </c>
      <c r="CN123" s="32" t="str">
        <f>+IF(CN$3="","",IF($AY123="","",IFERROR(INDEX('Data Consolidada'!$E$7:$E$891,MATCH(CONCATENATE(CN$3,"-",$CP123,"-",$AY123),'Data Consolidada'!$K$7:$K$891,0)),MAX('Data Consolidada'!$E$7:$E$3000))))</f>
        <v/>
      </c>
      <c r="CO123" s="37" t="str">
        <f>+IF(CO$3="","",IF($AY123="","",IFERROR(INDEX('Data Consolidada'!$E$7:$E$891,MATCH(CONCATENATE(CO$3,"-",$CP123,"-",$AY123),'Data Consolidada'!$K$7:$K$891,0)),MAX('Data Consolidada'!$E$7:$E$3000))))</f>
        <v/>
      </c>
      <c r="CP123" s="224">
        <f t="shared" ca="1" si="45"/>
        <v>0</v>
      </c>
      <c r="CQ123" s="84" t="str">
        <f t="shared" ca="1" si="39"/>
        <v>GUSTAVO ZÚÑIGA 0</v>
      </c>
    </row>
    <row r="124" spans="2:95" ht="15" customHeight="1" x14ac:dyDescent="0.35">
      <c r="B124" s="218" t="str">
        <f t="shared" ca="1" si="41"/>
        <v xml:space="preserve">  TRANS. MORROS LTDA.</v>
      </c>
      <c r="C124" s="238">
        <v>0</v>
      </c>
      <c r="D124" s="239">
        <v>0</v>
      </c>
      <c r="E124" s="239">
        <v>0</v>
      </c>
      <c r="F124" s="239">
        <v>0</v>
      </c>
      <c r="G124" s="239">
        <v>0</v>
      </c>
      <c r="H124" s="239">
        <v>0</v>
      </c>
      <c r="I124" s="239">
        <v>0</v>
      </c>
      <c r="J124" s="239">
        <v>0</v>
      </c>
      <c r="K124" s="239">
        <v>0</v>
      </c>
      <c r="L124" s="239">
        <v>0</v>
      </c>
      <c r="M124" s="239">
        <v>0</v>
      </c>
      <c r="N124" s="240">
        <v>0</v>
      </c>
      <c r="O124" s="239">
        <v>0</v>
      </c>
      <c r="P124" s="239">
        <v>0</v>
      </c>
      <c r="Q124" s="239">
        <v>0</v>
      </c>
      <c r="R124" s="239">
        <v>0</v>
      </c>
      <c r="S124" s="239">
        <v>0</v>
      </c>
      <c r="T124" s="239">
        <v>0</v>
      </c>
      <c r="U124" s="239">
        <v>0</v>
      </c>
      <c r="V124" s="239">
        <v>0</v>
      </c>
      <c r="W124" s="239">
        <v>0</v>
      </c>
      <c r="X124" s="239">
        <v>0</v>
      </c>
      <c r="Y124" s="239">
        <v>0</v>
      </c>
      <c r="Z124" s="239"/>
      <c r="AA124" s="239"/>
      <c r="AB124" s="239"/>
      <c r="AC124" s="239"/>
      <c r="AD124" s="239"/>
      <c r="AE124" s="239"/>
      <c r="AF124" s="239"/>
      <c r="AG124" s="239"/>
      <c r="AH124" s="239"/>
      <c r="AI124" s="239"/>
      <c r="AJ124" s="239"/>
      <c r="AK124" s="239"/>
      <c r="AL124" s="239"/>
      <c r="AM124" s="239"/>
      <c r="AN124" s="239"/>
      <c r="AO124" s="239"/>
      <c r="AP124" s="239"/>
      <c r="AQ124" s="239"/>
      <c r="AR124" s="252"/>
      <c r="AS124" s="77">
        <f t="shared" ca="1" si="42"/>
        <v>0</v>
      </c>
      <c r="AT124" s="255">
        <f t="shared" si="43"/>
        <v>0</v>
      </c>
      <c r="AU124" s="51"/>
      <c r="AV124" s="51"/>
      <c r="AW124" s="13">
        <f>+IF(AX124="","",IF(AX124&gt;AX123,AW123,IF(AW123&lt;$D$69,AW123+1,IF(COUNT(AW$4:AW123)&lt;$B$69*$E$54,1,""))))</f>
        <v>10</v>
      </c>
      <c r="AX124" s="13">
        <f>+IF(AX123&lt;$B$69,AX123+1,IF(COUNT(AX$4:AX123)&lt;$B$69*$D$69,1,""))</f>
        <v>4</v>
      </c>
      <c r="AY124" s="189" t="str">
        <f t="shared" ca="1" si="44"/>
        <v>LAVALLE</v>
      </c>
      <c r="AZ124" s="36">
        <f ca="1">+IF(AZ$3="","",IF($AY124="","",IFERROR(INDEX('Data Consolidada'!$E$7:$E$891,MATCH(CONCATENATE(AZ$3,"-",$CP124,"-",$AY124),'Data Consolidada'!$K$7:$K$891,0)),MAX('Data Consolidada'!$E$7:$E$3000))))</f>
        <v>11000000</v>
      </c>
      <c r="BA124" s="32">
        <f ca="1">+IF(BA$3="","",IF($AY124="","",IFERROR(INDEX('Data Consolidada'!$E$7:$E$891,MATCH(CONCATENATE(BA$3,"-",$CP124,"-",$AY124),'Data Consolidada'!$K$7:$K$891,0)),MAX('Data Consolidada'!$E$7:$E$3000))))</f>
        <v>11000000</v>
      </c>
      <c r="BB124" s="32" t="str">
        <f>+IF(BB$3="","",IF($AY124="","",IFERROR(INDEX('Data Consolidada'!$E$7:$E$891,MATCH(CONCATENATE(BB$3,"-",$CP124,"-",$AY124),'Data Consolidada'!$K$7:$K$891,0)),MAX('Data Consolidada'!$E$7:$E$3000))))</f>
        <v/>
      </c>
      <c r="BC124" s="32" t="str">
        <f>+IF(BC$3="","",IF($AY124="","",IFERROR(INDEX('Data Consolidada'!$E$7:$E$891,MATCH(CONCATENATE(BC$3,"-",$CP124,"-",$AY124),'Data Consolidada'!$K$7:$K$891,0)),MAX('Data Consolidada'!$E$7:$E$3000))))</f>
        <v/>
      </c>
      <c r="BD124" s="32" t="str">
        <f>+IF(BD$3="","",IF($AY124="","",IFERROR(INDEX('Data Consolidada'!$E$7:$E$891,MATCH(CONCATENATE(BD$3,"-",$CP124,"-",$AY124),'Data Consolidada'!$K$7:$K$891,0)),MAX('Data Consolidada'!$E$7:$E$3000))))</f>
        <v/>
      </c>
      <c r="BE124" s="32" t="str">
        <f>+IF(BE$3="","",IF($AY124="","",IFERROR(INDEX('Data Consolidada'!$E$7:$E$891,MATCH(CONCATENATE(BE$3,"-",$CP124,"-",$AY124),'Data Consolidada'!$K$7:$K$891,0)),MAX('Data Consolidada'!$E$7:$E$3000))))</f>
        <v/>
      </c>
      <c r="BF124" s="32" t="str">
        <f>+IF(BF$3="","",IF($AY124="","",IFERROR(INDEX('Data Consolidada'!$E$7:$E$891,MATCH(CONCATENATE(BF$3,"-",$CP124,"-",$AY124),'Data Consolidada'!$K$7:$K$891,0)),MAX('Data Consolidada'!$E$7:$E$3000))))</f>
        <v/>
      </c>
      <c r="BG124" s="32" t="str">
        <f>+IF(BG$3="","",IF($AY124="","",IFERROR(INDEX('Data Consolidada'!$E$7:$E$891,MATCH(CONCATENATE(BG$3,"-",$CP124,"-",$AY124),'Data Consolidada'!$K$7:$K$891,0)),MAX('Data Consolidada'!$E$7:$E$3000))))</f>
        <v/>
      </c>
      <c r="BH124" s="32" t="str">
        <f>+IF(BH$3="","",IF($AY124="","",IFERROR(INDEX('Data Consolidada'!$E$7:$E$891,MATCH(CONCATENATE(BH$3,"-",$CP124,"-",$AY124),'Data Consolidada'!$K$7:$K$891,0)),MAX('Data Consolidada'!$E$7:$E$3000))))</f>
        <v/>
      </c>
      <c r="BI124" s="32" t="str">
        <f>+IF(BI$3="","",IF($AY124="","",IFERROR(INDEX('Data Consolidada'!$E$7:$E$891,MATCH(CONCATENATE(BI$3,"-",$CP124,"-",$AY124),'Data Consolidada'!$K$7:$K$891,0)),MAX('Data Consolidada'!$E$7:$E$3000))))</f>
        <v/>
      </c>
      <c r="BJ124" s="32" t="str">
        <f>+IF(BJ$3="","",IF($AY124="","",IFERROR(INDEX('Data Consolidada'!$E$7:$E$891,MATCH(CONCATENATE(BJ$3,"-",$CP124,"-",$AY124),'Data Consolidada'!$K$7:$K$891,0)),MAX('Data Consolidada'!$E$7:$E$3000))))</f>
        <v/>
      </c>
      <c r="BK124" s="32" t="str">
        <f>+IF(BK$3="","",IF($AY124="","",IFERROR(INDEX('Data Consolidada'!$E$7:$E$891,MATCH(CONCATENATE(BK$3,"-",$CP124,"-",$AY124),'Data Consolidada'!$K$7:$K$891,0)),MAX('Data Consolidada'!$E$7:$E$3000))))</f>
        <v/>
      </c>
      <c r="BL124" s="32" t="str">
        <f>+IF(BL$3="","",IF($AY124="","",IFERROR(INDEX('Data Consolidada'!$E$7:$E$891,MATCH(CONCATENATE(BL$3,"-",$CP124,"-",$AY124),'Data Consolidada'!$K$7:$K$891,0)),MAX('Data Consolidada'!$E$7:$E$3000))))</f>
        <v/>
      </c>
      <c r="BM124" s="32" t="str">
        <f>+IF(BM$3="","",IF($AY124="","",IFERROR(INDEX('Data Consolidada'!$E$7:$E$891,MATCH(CONCATENATE(BM$3,"-",$CP124,"-",$AY124),'Data Consolidada'!$K$7:$K$891,0)),MAX('Data Consolidada'!$E$7:$E$3000))))</f>
        <v/>
      </c>
      <c r="BN124" s="32" t="str">
        <f>+IF(BN$3="","",IF($AY124="","",IFERROR(INDEX('Data Consolidada'!$E$7:$E$891,MATCH(CONCATENATE(BN$3,"-",$CP124,"-",$AY124),'Data Consolidada'!$K$7:$K$891,0)),MAX('Data Consolidada'!$E$7:$E$3000))))</f>
        <v/>
      </c>
      <c r="BO124" s="32" t="str">
        <f>+IF(BO$3="","",IF($AY124="","",IFERROR(INDEX('Data Consolidada'!$E$7:$E$891,MATCH(CONCATENATE(BO$3,"-",$CP124,"-",$AY124),'Data Consolidada'!$K$7:$K$891,0)),MAX('Data Consolidada'!$E$7:$E$3000))))</f>
        <v/>
      </c>
      <c r="BP124" s="32" t="str">
        <f>+IF(BP$3="","",IF($AY124="","",IFERROR(INDEX('Data Consolidada'!$E$7:$E$891,MATCH(CONCATENATE(BP$3,"-",$CP124,"-",$AY124),'Data Consolidada'!$K$7:$K$891,0)),MAX('Data Consolidada'!$E$7:$E$3000))))</f>
        <v/>
      </c>
      <c r="BQ124" s="32" t="str">
        <f>+IF(BQ$3="","",IF($AY124="","",IFERROR(INDEX('Data Consolidada'!$E$7:$E$891,MATCH(CONCATENATE(BQ$3,"-",$CP124,"-",$AY124),'Data Consolidada'!$K$7:$K$891,0)),MAX('Data Consolidada'!$E$7:$E$3000))))</f>
        <v/>
      </c>
      <c r="BR124" s="32" t="str">
        <f>+IF(BR$3="","",IF($AY124="","",IFERROR(INDEX('Data Consolidada'!$E$7:$E$891,MATCH(CONCATENATE(BR$3,"-",$CP124,"-",$AY124),'Data Consolidada'!$K$7:$K$891,0)),MAX('Data Consolidada'!$E$7:$E$3000))))</f>
        <v/>
      </c>
      <c r="BS124" s="32" t="str">
        <f>+IF(BS$3="","",IF($AY124="","",IFERROR(INDEX('Data Consolidada'!$E$7:$E$891,MATCH(CONCATENATE(BS$3,"-",$CP124,"-",$AY124),'Data Consolidada'!$K$7:$K$891,0)),MAX('Data Consolidada'!$E$7:$E$3000))))</f>
        <v/>
      </c>
      <c r="BT124" s="32" t="str">
        <f>+IF(BT$3="","",IF($AY124="","",IFERROR(INDEX('Data Consolidada'!$E$7:$E$891,MATCH(CONCATENATE(BT$3,"-",$CP124,"-",$AY124),'Data Consolidada'!$K$7:$K$891,0)),MAX('Data Consolidada'!$E$7:$E$3000))))</f>
        <v/>
      </c>
      <c r="BU124" s="32" t="str">
        <f>+IF(BU$3="","",IF($AY124="","",IFERROR(INDEX('Data Consolidada'!$E$7:$E$891,MATCH(CONCATENATE(BU$3,"-",$CP124,"-",$AY124),'Data Consolidada'!$K$7:$K$891,0)),MAX('Data Consolidada'!$E$7:$E$3000))))</f>
        <v/>
      </c>
      <c r="BV124" s="32" t="str">
        <f>+IF(BV$3="","",IF($AY124="","",IFERROR(INDEX('Data Consolidada'!$E$7:$E$891,MATCH(CONCATENATE(BV$3,"-",$CP124,"-",$AY124),'Data Consolidada'!$K$7:$K$891,0)),MAX('Data Consolidada'!$E$7:$E$3000))))</f>
        <v/>
      </c>
      <c r="BW124" s="32" t="str">
        <f>+IF(BW$3="","",IF($AY124="","",IFERROR(INDEX('Data Consolidada'!$E$7:$E$891,MATCH(CONCATENATE(BW$3,"-",$CP124,"-",$AY124),'Data Consolidada'!$K$7:$K$891,0)),MAX('Data Consolidada'!$E$7:$E$3000))))</f>
        <v/>
      </c>
      <c r="BX124" s="32" t="str">
        <f>+IF(BX$3="","",IF($AY124="","",IFERROR(INDEX('Data Consolidada'!$E$7:$E$891,MATCH(CONCATENATE(BX$3,"-",$CP124,"-",$AY124),'Data Consolidada'!$K$7:$K$891,0)),MAX('Data Consolidada'!$E$7:$E$3000))))</f>
        <v/>
      </c>
      <c r="BY124" s="32" t="str">
        <f>+IF(BY$3="","",IF($AY124="","",IFERROR(INDEX('Data Consolidada'!$E$7:$E$891,MATCH(CONCATENATE(BY$3,"-",$CP124,"-",$AY124),'Data Consolidada'!$K$7:$K$891,0)),MAX('Data Consolidada'!$E$7:$E$3000))))</f>
        <v/>
      </c>
      <c r="BZ124" s="32" t="str">
        <f>+IF(BZ$3="","",IF($AY124="","",IFERROR(INDEX('Data Consolidada'!$E$7:$E$891,MATCH(CONCATENATE(BZ$3,"-",$CP124,"-",$AY124),'Data Consolidada'!$K$7:$K$891,0)),MAX('Data Consolidada'!$E$7:$E$3000))))</f>
        <v/>
      </c>
      <c r="CA124" s="32" t="str">
        <f>+IF(CA$3="","",IF($AY124="","",IFERROR(INDEX('Data Consolidada'!$E$7:$E$891,MATCH(CONCATENATE(CA$3,"-",$CP124,"-",$AY124),'Data Consolidada'!$K$7:$K$891,0)),MAX('Data Consolidada'!$E$7:$E$3000))))</f>
        <v/>
      </c>
      <c r="CB124" s="32" t="str">
        <f>+IF(CB$3="","",IF($AY124="","",IFERROR(INDEX('Data Consolidada'!$E$7:$E$891,MATCH(CONCATENATE(CB$3,"-",$CP124,"-",$AY124),'Data Consolidada'!$K$7:$K$891,0)),MAX('Data Consolidada'!$E$7:$E$3000))))</f>
        <v/>
      </c>
      <c r="CC124" s="32" t="str">
        <f>+IF(CC$3="","",IF($AY124="","",IFERROR(INDEX('Data Consolidada'!$E$7:$E$891,MATCH(CONCATENATE(CC$3,"-",$CP124,"-",$AY124),'Data Consolidada'!$K$7:$K$891,0)),MAX('Data Consolidada'!$E$7:$E$3000))))</f>
        <v/>
      </c>
      <c r="CD124" s="32" t="str">
        <f>+IF(CD$3="","",IF($AY124="","",IFERROR(INDEX('Data Consolidada'!$E$7:$E$891,MATCH(CONCATENATE(CD$3,"-",$CP124,"-",$AY124),'Data Consolidada'!$K$7:$K$891,0)),MAX('Data Consolidada'!$E$7:$E$3000))))</f>
        <v/>
      </c>
      <c r="CE124" s="32" t="str">
        <f>+IF(CE$3="","",IF($AY124="","",IFERROR(INDEX('Data Consolidada'!$E$7:$E$891,MATCH(CONCATENATE(CE$3,"-",$CP124,"-",$AY124),'Data Consolidada'!$K$7:$K$891,0)),MAX('Data Consolidada'!$E$7:$E$3000))))</f>
        <v/>
      </c>
      <c r="CF124" s="32" t="str">
        <f>+IF(CF$3="","",IF($AY124="","",IFERROR(INDEX('Data Consolidada'!$E$7:$E$891,MATCH(CONCATENATE(CF$3,"-",$CP124,"-",$AY124),'Data Consolidada'!$K$7:$K$891,0)),MAX('Data Consolidada'!$E$7:$E$3000))))</f>
        <v/>
      </c>
      <c r="CG124" s="32" t="str">
        <f>+IF(CG$3="","",IF($AY124="","",IFERROR(INDEX('Data Consolidada'!$E$7:$E$891,MATCH(CONCATENATE(CG$3,"-",$CP124,"-",$AY124),'Data Consolidada'!$K$7:$K$891,0)),MAX('Data Consolidada'!$E$7:$E$3000))))</f>
        <v/>
      </c>
      <c r="CH124" s="32" t="str">
        <f>+IF(CH$3="","",IF($AY124="","",IFERROR(INDEX('Data Consolidada'!$E$7:$E$891,MATCH(CONCATENATE(CH$3,"-",$CP124,"-",$AY124),'Data Consolidada'!$K$7:$K$891,0)),MAX('Data Consolidada'!$E$7:$E$3000))))</f>
        <v/>
      </c>
      <c r="CI124" s="32" t="str">
        <f>+IF(CI$3="","",IF($AY124="","",IFERROR(INDEX('Data Consolidada'!$E$7:$E$891,MATCH(CONCATENATE(CI$3,"-",$CP124,"-",$AY124),'Data Consolidada'!$K$7:$K$891,0)),MAX('Data Consolidada'!$E$7:$E$3000))))</f>
        <v/>
      </c>
      <c r="CJ124" s="32" t="str">
        <f>+IF(CJ$3="","",IF($AY124="","",IFERROR(INDEX('Data Consolidada'!$E$7:$E$891,MATCH(CONCATENATE(CJ$3,"-",$CP124,"-",$AY124),'Data Consolidada'!$K$7:$K$891,0)),MAX('Data Consolidada'!$E$7:$E$3000))))</f>
        <v/>
      </c>
      <c r="CK124" s="32" t="str">
        <f>+IF(CK$3="","",IF($AY124="","",IFERROR(INDEX('Data Consolidada'!$E$7:$E$891,MATCH(CONCATENATE(CK$3,"-",$CP124,"-",$AY124),'Data Consolidada'!$K$7:$K$891,0)),MAX('Data Consolidada'!$E$7:$E$3000))))</f>
        <v/>
      </c>
      <c r="CL124" s="32" t="str">
        <f>+IF(CL$3="","",IF($AY124="","",IFERROR(INDEX('Data Consolidada'!$E$7:$E$891,MATCH(CONCATENATE(CL$3,"-",$CP124,"-",$AY124),'Data Consolidada'!$K$7:$K$891,0)),MAX('Data Consolidada'!$E$7:$E$3000))))</f>
        <v/>
      </c>
      <c r="CM124" s="32" t="str">
        <f>+IF(CM$3="","",IF($AY124="","",IFERROR(INDEX('Data Consolidada'!$E$7:$E$891,MATCH(CONCATENATE(CM$3,"-",$CP124,"-",$AY124),'Data Consolidada'!$K$7:$K$891,0)),MAX('Data Consolidada'!$E$7:$E$3000))))</f>
        <v/>
      </c>
      <c r="CN124" s="32" t="str">
        <f>+IF(CN$3="","",IF($AY124="","",IFERROR(INDEX('Data Consolidada'!$E$7:$E$891,MATCH(CONCATENATE(CN$3,"-",$CP124,"-",$AY124),'Data Consolidada'!$K$7:$K$891,0)),MAX('Data Consolidada'!$E$7:$E$3000))))</f>
        <v/>
      </c>
      <c r="CO124" s="37" t="str">
        <f>+IF(CO$3="","",IF($AY124="","",IFERROR(INDEX('Data Consolidada'!$E$7:$E$891,MATCH(CONCATENATE(CO$3,"-",$CP124,"-",$AY124),'Data Consolidada'!$K$7:$K$891,0)),MAX('Data Consolidada'!$E$7:$E$3000))))</f>
        <v/>
      </c>
      <c r="CP124" s="224">
        <f t="shared" ca="1" si="45"/>
        <v>0</v>
      </c>
      <c r="CQ124" s="84" t="str">
        <f t="shared" ca="1" si="39"/>
        <v>LAVALLE0</v>
      </c>
    </row>
    <row r="125" spans="2:95" ht="15" customHeight="1" x14ac:dyDescent="0.35">
      <c r="B125" s="218" t="str">
        <f t="shared" ca="1" si="41"/>
        <v xml:space="preserve">CRISTIAN LÓPEZ </v>
      </c>
      <c r="C125" s="238">
        <v>0</v>
      </c>
      <c r="D125" s="239">
        <v>0</v>
      </c>
      <c r="E125" s="239">
        <v>0</v>
      </c>
      <c r="F125" s="239">
        <v>0</v>
      </c>
      <c r="G125" s="239">
        <v>0</v>
      </c>
      <c r="H125" s="239">
        <v>0</v>
      </c>
      <c r="I125" s="239">
        <v>0</v>
      </c>
      <c r="J125" s="239">
        <v>0</v>
      </c>
      <c r="K125" s="239">
        <v>0</v>
      </c>
      <c r="L125" s="239">
        <v>0</v>
      </c>
      <c r="M125" s="239">
        <v>0</v>
      </c>
      <c r="N125" s="240">
        <v>0</v>
      </c>
      <c r="O125" s="239">
        <v>0</v>
      </c>
      <c r="P125" s="239">
        <v>0</v>
      </c>
      <c r="Q125" s="239">
        <v>0</v>
      </c>
      <c r="R125" s="239">
        <v>0</v>
      </c>
      <c r="S125" s="239">
        <v>0</v>
      </c>
      <c r="T125" s="239">
        <v>0</v>
      </c>
      <c r="U125" s="239">
        <v>0</v>
      </c>
      <c r="V125" s="239">
        <v>0</v>
      </c>
      <c r="W125" s="239">
        <v>0</v>
      </c>
      <c r="X125" s="239">
        <v>0</v>
      </c>
      <c r="Y125" s="239">
        <v>0</v>
      </c>
      <c r="Z125" s="239"/>
      <c r="AA125" s="239"/>
      <c r="AB125" s="239"/>
      <c r="AC125" s="239"/>
      <c r="AD125" s="239"/>
      <c r="AE125" s="239"/>
      <c r="AF125" s="239"/>
      <c r="AG125" s="239"/>
      <c r="AH125" s="239"/>
      <c r="AI125" s="239"/>
      <c r="AJ125" s="239"/>
      <c r="AK125" s="239"/>
      <c r="AL125" s="239"/>
      <c r="AM125" s="239"/>
      <c r="AN125" s="239"/>
      <c r="AO125" s="239"/>
      <c r="AP125" s="239"/>
      <c r="AQ125" s="239"/>
      <c r="AR125" s="252"/>
      <c r="AS125" s="77">
        <f t="shared" ca="1" si="42"/>
        <v>0</v>
      </c>
      <c r="AT125" s="255">
        <f t="shared" si="43"/>
        <v>0</v>
      </c>
      <c r="AU125" s="51"/>
      <c r="AV125" s="51"/>
      <c r="AW125" s="13">
        <f>+IF(AX125="","",IF(AX125&gt;AX124,AW124,IF(AW124&lt;$D$69,AW124+1,IF(COUNT(AW$4:AW124)&lt;$B$69*$E$54,1,""))))</f>
        <v>10</v>
      </c>
      <c r="AX125" s="13">
        <f>+IF(AX124&lt;$B$69,AX124+1,IF(COUNT(AX$4:AX124)&lt;$B$69*$D$69,1,""))</f>
        <v>5</v>
      </c>
      <c r="AY125" s="189" t="str">
        <f t="shared" ca="1" si="44"/>
        <v>MACEBE</v>
      </c>
      <c r="AZ125" s="36">
        <f ca="1">+IF(AZ$3="","",IF($AY125="","",IFERROR(INDEX('Data Consolidada'!$E$7:$E$891,MATCH(CONCATENATE(AZ$3,"-",$CP125,"-",$AY125),'Data Consolidada'!$K$7:$K$891,0)),MAX('Data Consolidada'!$E$7:$E$3000))))</f>
        <v>11000000</v>
      </c>
      <c r="BA125" s="32">
        <f ca="1">+IF(BA$3="","",IF($AY125="","",IFERROR(INDEX('Data Consolidada'!$E$7:$E$891,MATCH(CONCATENATE(BA$3,"-",$CP125,"-",$AY125),'Data Consolidada'!$K$7:$K$891,0)),MAX('Data Consolidada'!$E$7:$E$3000))))</f>
        <v>11000000</v>
      </c>
      <c r="BB125" s="32" t="str">
        <f>+IF(BB$3="","",IF($AY125="","",IFERROR(INDEX('Data Consolidada'!$E$7:$E$891,MATCH(CONCATENATE(BB$3,"-",$CP125,"-",$AY125),'Data Consolidada'!$K$7:$K$891,0)),MAX('Data Consolidada'!$E$7:$E$3000))))</f>
        <v/>
      </c>
      <c r="BC125" s="32" t="str">
        <f>+IF(BC$3="","",IF($AY125="","",IFERROR(INDEX('Data Consolidada'!$E$7:$E$891,MATCH(CONCATENATE(BC$3,"-",$CP125,"-",$AY125),'Data Consolidada'!$K$7:$K$891,0)),MAX('Data Consolidada'!$E$7:$E$3000))))</f>
        <v/>
      </c>
      <c r="BD125" s="32" t="str">
        <f>+IF(BD$3="","",IF($AY125="","",IFERROR(INDEX('Data Consolidada'!$E$7:$E$891,MATCH(CONCATENATE(BD$3,"-",$CP125,"-",$AY125),'Data Consolidada'!$K$7:$K$891,0)),MAX('Data Consolidada'!$E$7:$E$3000))))</f>
        <v/>
      </c>
      <c r="BE125" s="32" t="str">
        <f>+IF(BE$3="","",IF($AY125="","",IFERROR(INDEX('Data Consolidada'!$E$7:$E$891,MATCH(CONCATENATE(BE$3,"-",$CP125,"-",$AY125),'Data Consolidada'!$K$7:$K$891,0)),MAX('Data Consolidada'!$E$7:$E$3000))))</f>
        <v/>
      </c>
      <c r="BF125" s="32" t="str">
        <f>+IF(BF$3="","",IF($AY125="","",IFERROR(INDEX('Data Consolidada'!$E$7:$E$891,MATCH(CONCATENATE(BF$3,"-",$CP125,"-",$AY125),'Data Consolidada'!$K$7:$K$891,0)),MAX('Data Consolidada'!$E$7:$E$3000))))</f>
        <v/>
      </c>
      <c r="BG125" s="32" t="str">
        <f>+IF(BG$3="","",IF($AY125="","",IFERROR(INDEX('Data Consolidada'!$E$7:$E$891,MATCH(CONCATENATE(BG$3,"-",$CP125,"-",$AY125),'Data Consolidada'!$K$7:$K$891,0)),MAX('Data Consolidada'!$E$7:$E$3000))))</f>
        <v/>
      </c>
      <c r="BH125" s="32" t="str">
        <f>+IF(BH$3="","",IF($AY125="","",IFERROR(INDEX('Data Consolidada'!$E$7:$E$891,MATCH(CONCATENATE(BH$3,"-",$CP125,"-",$AY125),'Data Consolidada'!$K$7:$K$891,0)),MAX('Data Consolidada'!$E$7:$E$3000))))</f>
        <v/>
      </c>
      <c r="BI125" s="32" t="str">
        <f>+IF(BI$3="","",IF($AY125="","",IFERROR(INDEX('Data Consolidada'!$E$7:$E$891,MATCH(CONCATENATE(BI$3,"-",$CP125,"-",$AY125),'Data Consolidada'!$K$7:$K$891,0)),MAX('Data Consolidada'!$E$7:$E$3000))))</f>
        <v/>
      </c>
      <c r="BJ125" s="32" t="str">
        <f>+IF(BJ$3="","",IF($AY125="","",IFERROR(INDEX('Data Consolidada'!$E$7:$E$891,MATCH(CONCATENATE(BJ$3,"-",$CP125,"-",$AY125),'Data Consolidada'!$K$7:$K$891,0)),MAX('Data Consolidada'!$E$7:$E$3000))))</f>
        <v/>
      </c>
      <c r="BK125" s="32" t="str">
        <f>+IF(BK$3="","",IF($AY125="","",IFERROR(INDEX('Data Consolidada'!$E$7:$E$891,MATCH(CONCATENATE(BK$3,"-",$CP125,"-",$AY125),'Data Consolidada'!$K$7:$K$891,0)),MAX('Data Consolidada'!$E$7:$E$3000))))</f>
        <v/>
      </c>
      <c r="BL125" s="32" t="str">
        <f>+IF(BL$3="","",IF($AY125="","",IFERROR(INDEX('Data Consolidada'!$E$7:$E$891,MATCH(CONCATENATE(BL$3,"-",$CP125,"-",$AY125),'Data Consolidada'!$K$7:$K$891,0)),MAX('Data Consolidada'!$E$7:$E$3000))))</f>
        <v/>
      </c>
      <c r="BM125" s="32" t="str">
        <f>+IF(BM$3="","",IF($AY125="","",IFERROR(INDEX('Data Consolidada'!$E$7:$E$891,MATCH(CONCATENATE(BM$3,"-",$CP125,"-",$AY125),'Data Consolidada'!$K$7:$K$891,0)),MAX('Data Consolidada'!$E$7:$E$3000))))</f>
        <v/>
      </c>
      <c r="BN125" s="32" t="str">
        <f>+IF(BN$3="","",IF($AY125="","",IFERROR(INDEX('Data Consolidada'!$E$7:$E$891,MATCH(CONCATENATE(BN$3,"-",$CP125,"-",$AY125),'Data Consolidada'!$K$7:$K$891,0)),MAX('Data Consolidada'!$E$7:$E$3000))))</f>
        <v/>
      </c>
      <c r="BO125" s="32" t="str">
        <f>+IF(BO$3="","",IF($AY125="","",IFERROR(INDEX('Data Consolidada'!$E$7:$E$891,MATCH(CONCATENATE(BO$3,"-",$CP125,"-",$AY125),'Data Consolidada'!$K$7:$K$891,0)),MAX('Data Consolidada'!$E$7:$E$3000))))</f>
        <v/>
      </c>
      <c r="BP125" s="32" t="str">
        <f>+IF(BP$3="","",IF($AY125="","",IFERROR(INDEX('Data Consolidada'!$E$7:$E$891,MATCH(CONCATENATE(BP$3,"-",$CP125,"-",$AY125),'Data Consolidada'!$K$7:$K$891,0)),MAX('Data Consolidada'!$E$7:$E$3000))))</f>
        <v/>
      </c>
      <c r="BQ125" s="32" t="str">
        <f>+IF(BQ$3="","",IF($AY125="","",IFERROR(INDEX('Data Consolidada'!$E$7:$E$891,MATCH(CONCATENATE(BQ$3,"-",$CP125,"-",$AY125),'Data Consolidada'!$K$7:$K$891,0)),MAX('Data Consolidada'!$E$7:$E$3000))))</f>
        <v/>
      </c>
      <c r="BR125" s="32" t="str">
        <f>+IF(BR$3="","",IF($AY125="","",IFERROR(INDEX('Data Consolidada'!$E$7:$E$891,MATCH(CONCATENATE(BR$3,"-",$CP125,"-",$AY125),'Data Consolidada'!$K$7:$K$891,0)),MAX('Data Consolidada'!$E$7:$E$3000))))</f>
        <v/>
      </c>
      <c r="BS125" s="32" t="str">
        <f>+IF(BS$3="","",IF($AY125="","",IFERROR(INDEX('Data Consolidada'!$E$7:$E$891,MATCH(CONCATENATE(BS$3,"-",$CP125,"-",$AY125),'Data Consolidada'!$K$7:$K$891,0)),MAX('Data Consolidada'!$E$7:$E$3000))))</f>
        <v/>
      </c>
      <c r="BT125" s="32" t="str">
        <f>+IF(BT$3="","",IF($AY125="","",IFERROR(INDEX('Data Consolidada'!$E$7:$E$891,MATCH(CONCATENATE(BT$3,"-",$CP125,"-",$AY125),'Data Consolidada'!$K$7:$K$891,0)),MAX('Data Consolidada'!$E$7:$E$3000))))</f>
        <v/>
      </c>
      <c r="BU125" s="32" t="str">
        <f>+IF(BU$3="","",IF($AY125="","",IFERROR(INDEX('Data Consolidada'!$E$7:$E$891,MATCH(CONCATENATE(BU$3,"-",$CP125,"-",$AY125),'Data Consolidada'!$K$7:$K$891,0)),MAX('Data Consolidada'!$E$7:$E$3000))))</f>
        <v/>
      </c>
      <c r="BV125" s="32" t="str">
        <f>+IF(BV$3="","",IF($AY125="","",IFERROR(INDEX('Data Consolidada'!$E$7:$E$891,MATCH(CONCATENATE(BV$3,"-",$CP125,"-",$AY125),'Data Consolidada'!$K$7:$K$891,0)),MAX('Data Consolidada'!$E$7:$E$3000))))</f>
        <v/>
      </c>
      <c r="BW125" s="32" t="str">
        <f>+IF(BW$3="","",IF($AY125="","",IFERROR(INDEX('Data Consolidada'!$E$7:$E$891,MATCH(CONCATENATE(BW$3,"-",$CP125,"-",$AY125),'Data Consolidada'!$K$7:$K$891,0)),MAX('Data Consolidada'!$E$7:$E$3000))))</f>
        <v/>
      </c>
      <c r="BX125" s="32" t="str">
        <f>+IF(BX$3="","",IF($AY125="","",IFERROR(INDEX('Data Consolidada'!$E$7:$E$891,MATCH(CONCATENATE(BX$3,"-",$CP125,"-",$AY125),'Data Consolidada'!$K$7:$K$891,0)),MAX('Data Consolidada'!$E$7:$E$3000))))</f>
        <v/>
      </c>
      <c r="BY125" s="32" t="str">
        <f>+IF(BY$3="","",IF($AY125="","",IFERROR(INDEX('Data Consolidada'!$E$7:$E$891,MATCH(CONCATENATE(BY$3,"-",$CP125,"-",$AY125),'Data Consolidada'!$K$7:$K$891,0)),MAX('Data Consolidada'!$E$7:$E$3000))))</f>
        <v/>
      </c>
      <c r="BZ125" s="32" t="str">
        <f>+IF(BZ$3="","",IF($AY125="","",IFERROR(INDEX('Data Consolidada'!$E$7:$E$891,MATCH(CONCATENATE(BZ$3,"-",$CP125,"-",$AY125),'Data Consolidada'!$K$7:$K$891,0)),MAX('Data Consolidada'!$E$7:$E$3000))))</f>
        <v/>
      </c>
      <c r="CA125" s="32" t="str">
        <f>+IF(CA$3="","",IF($AY125="","",IFERROR(INDEX('Data Consolidada'!$E$7:$E$891,MATCH(CONCATENATE(CA$3,"-",$CP125,"-",$AY125),'Data Consolidada'!$K$7:$K$891,0)),MAX('Data Consolidada'!$E$7:$E$3000))))</f>
        <v/>
      </c>
      <c r="CB125" s="32" t="str">
        <f>+IF(CB$3="","",IF($AY125="","",IFERROR(INDEX('Data Consolidada'!$E$7:$E$891,MATCH(CONCATENATE(CB$3,"-",$CP125,"-",$AY125),'Data Consolidada'!$K$7:$K$891,0)),MAX('Data Consolidada'!$E$7:$E$3000))))</f>
        <v/>
      </c>
      <c r="CC125" s="32" t="str">
        <f>+IF(CC$3="","",IF($AY125="","",IFERROR(INDEX('Data Consolidada'!$E$7:$E$891,MATCH(CONCATENATE(CC$3,"-",$CP125,"-",$AY125),'Data Consolidada'!$K$7:$K$891,0)),MAX('Data Consolidada'!$E$7:$E$3000))))</f>
        <v/>
      </c>
      <c r="CD125" s="32" t="str">
        <f>+IF(CD$3="","",IF($AY125="","",IFERROR(INDEX('Data Consolidada'!$E$7:$E$891,MATCH(CONCATENATE(CD$3,"-",$CP125,"-",$AY125),'Data Consolidada'!$K$7:$K$891,0)),MAX('Data Consolidada'!$E$7:$E$3000))))</f>
        <v/>
      </c>
      <c r="CE125" s="32" t="str">
        <f>+IF(CE$3="","",IF($AY125="","",IFERROR(INDEX('Data Consolidada'!$E$7:$E$891,MATCH(CONCATENATE(CE$3,"-",$CP125,"-",$AY125),'Data Consolidada'!$K$7:$K$891,0)),MAX('Data Consolidada'!$E$7:$E$3000))))</f>
        <v/>
      </c>
      <c r="CF125" s="32" t="str">
        <f>+IF(CF$3="","",IF($AY125="","",IFERROR(INDEX('Data Consolidada'!$E$7:$E$891,MATCH(CONCATENATE(CF$3,"-",$CP125,"-",$AY125),'Data Consolidada'!$K$7:$K$891,0)),MAX('Data Consolidada'!$E$7:$E$3000))))</f>
        <v/>
      </c>
      <c r="CG125" s="32" t="str">
        <f>+IF(CG$3="","",IF($AY125="","",IFERROR(INDEX('Data Consolidada'!$E$7:$E$891,MATCH(CONCATENATE(CG$3,"-",$CP125,"-",$AY125),'Data Consolidada'!$K$7:$K$891,0)),MAX('Data Consolidada'!$E$7:$E$3000))))</f>
        <v/>
      </c>
      <c r="CH125" s="32" t="str">
        <f>+IF(CH$3="","",IF($AY125="","",IFERROR(INDEX('Data Consolidada'!$E$7:$E$891,MATCH(CONCATENATE(CH$3,"-",$CP125,"-",$AY125),'Data Consolidada'!$K$7:$K$891,0)),MAX('Data Consolidada'!$E$7:$E$3000))))</f>
        <v/>
      </c>
      <c r="CI125" s="32" t="str">
        <f>+IF(CI$3="","",IF($AY125="","",IFERROR(INDEX('Data Consolidada'!$E$7:$E$891,MATCH(CONCATENATE(CI$3,"-",$CP125,"-",$AY125),'Data Consolidada'!$K$7:$K$891,0)),MAX('Data Consolidada'!$E$7:$E$3000))))</f>
        <v/>
      </c>
      <c r="CJ125" s="32" t="str">
        <f>+IF(CJ$3="","",IF($AY125="","",IFERROR(INDEX('Data Consolidada'!$E$7:$E$891,MATCH(CONCATENATE(CJ$3,"-",$CP125,"-",$AY125),'Data Consolidada'!$K$7:$K$891,0)),MAX('Data Consolidada'!$E$7:$E$3000))))</f>
        <v/>
      </c>
      <c r="CK125" s="32" t="str">
        <f>+IF(CK$3="","",IF($AY125="","",IFERROR(INDEX('Data Consolidada'!$E$7:$E$891,MATCH(CONCATENATE(CK$3,"-",$CP125,"-",$AY125),'Data Consolidada'!$K$7:$K$891,0)),MAX('Data Consolidada'!$E$7:$E$3000))))</f>
        <v/>
      </c>
      <c r="CL125" s="32" t="str">
        <f>+IF(CL$3="","",IF($AY125="","",IFERROR(INDEX('Data Consolidada'!$E$7:$E$891,MATCH(CONCATENATE(CL$3,"-",$CP125,"-",$AY125),'Data Consolidada'!$K$7:$K$891,0)),MAX('Data Consolidada'!$E$7:$E$3000))))</f>
        <v/>
      </c>
      <c r="CM125" s="32" t="str">
        <f>+IF(CM$3="","",IF($AY125="","",IFERROR(INDEX('Data Consolidada'!$E$7:$E$891,MATCH(CONCATENATE(CM$3,"-",$CP125,"-",$AY125),'Data Consolidada'!$K$7:$K$891,0)),MAX('Data Consolidada'!$E$7:$E$3000))))</f>
        <v/>
      </c>
      <c r="CN125" s="32" t="str">
        <f>+IF(CN$3="","",IF($AY125="","",IFERROR(INDEX('Data Consolidada'!$E$7:$E$891,MATCH(CONCATENATE(CN$3,"-",$CP125,"-",$AY125),'Data Consolidada'!$K$7:$K$891,0)),MAX('Data Consolidada'!$E$7:$E$3000))))</f>
        <v/>
      </c>
      <c r="CO125" s="37" t="str">
        <f>+IF(CO$3="","",IF($AY125="","",IFERROR(INDEX('Data Consolidada'!$E$7:$E$891,MATCH(CONCATENATE(CO$3,"-",$CP125,"-",$AY125),'Data Consolidada'!$K$7:$K$891,0)),MAX('Data Consolidada'!$E$7:$E$3000))))</f>
        <v/>
      </c>
      <c r="CP125" s="224">
        <f t="shared" ca="1" si="45"/>
        <v>0</v>
      </c>
      <c r="CQ125" s="84" t="str">
        <f t="shared" ca="1" si="39"/>
        <v>MACEBE0</v>
      </c>
    </row>
    <row r="126" spans="2:95" ht="15" customHeight="1" x14ac:dyDescent="0.35">
      <c r="B126" s="218" t="str">
        <f t="shared" ca="1" si="41"/>
        <v xml:space="preserve">GUSTAVO ZÚÑIGA </v>
      </c>
      <c r="C126" s="238">
        <v>0</v>
      </c>
      <c r="D126" s="239">
        <v>0</v>
      </c>
      <c r="E126" s="239">
        <v>0</v>
      </c>
      <c r="F126" s="239">
        <v>0</v>
      </c>
      <c r="G126" s="239">
        <v>0</v>
      </c>
      <c r="H126" s="239">
        <v>0</v>
      </c>
      <c r="I126" s="239">
        <v>0</v>
      </c>
      <c r="J126" s="239">
        <v>0</v>
      </c>
      <c r="K126" s="239">
        <v>0</v>
      </c>
      <c r="L126" s="239">
        <v>0</v>
      </c>
      <c r="M126" s="239">
        <v>0</v>
      </c>
      <c r="N126" s="240">
        <v>0</v>
      </c>
      <c r="O126" s="239">
        <v>0</v>
      </c>
      <c r="P126" s="239">
        <v>0</v>
      </c>
      <c r="Q126" s="239">
        <v>0</v>
      </c>
      <c r="R126" s="239">
        <v>0</v>
      </c>
      <c r="S126" s="239">
        <v>0</v>
      </c>
      <c r="T126" s="239">
        <v>0</v>
      </c>
      <c r="U126" s="239">
        <v>0</v>
      </c>
      <c r="V126" s="239">
        <v>0</v>
      </c>
      <c r="W126" s="239">
        <v>0</v>
      </c>
      <c r="X126" s="239">
        <v>0</v>
      </c>
      <c r="Y126" s="239">
        <v>0</v>
      </c>
      <c r="Z126" s="239"/>
      <c r="AA126" s="239"/>
      <c r="AB126" s="239"/>
      <c r="AC126" s="239"/>
      <c r="AD126" s="239"/>
      <c r="AE126" s="239"/>
      <c r="AF126" s="239"/>
      <c r="AG126" s="239"/>
      <c r="AH126" s="239"/>
      <c r="AI126" s="239"/>
      <c r="AJ126" s="239"/>
      <c r="AK126" s="239"/>
      <c r="AL126" s="239"/>
      <c r="AM126" s="239"/>
      <c r="AN126" s="239"/>
      <c r="AO126" s="239"/>
      <c r="AP126" s="239"/>
      <c r="AQ126" s="239"/>
      <c r="AR126" s="252"/>
      <c r="AS126" s="77">
        <f t="shared" ca="1" si="42"/>
        <v>0</v>
      </c>
      <c r="AT126" s="255">
        <f t="shared" si="43"/>
        <v>0</v>
      </c>
      <c r="AU126" s="51"/>
      <c r="AV126" s="51"/>
      <c r="AW126" s="13">
        <f>+IF(AX126="","",IF(AX126&gt;AX125,AW125,IF(AW125&lt;$D$69,AW125+1,IF(COUNT(AW$4:AW125)&lt;$B$69*$E$54,1,""))))</f>
        <v>10</v>
      </c>
      <c r="AX126" s="13">
        <f>+IF(AX125&lt;$B$69,AX125+1,IF(COUNT(AX$4:AX125)&lt;$B$69*$D$69,1,""))</f>
        <v>6</v>
      </c>
      <c r="AY126" s="189" t="str">
        <f t="shared" ca="1" si="44"/>
        <v xml:space="preserve">Manuel Sepúlveda </v>
      </c>
      <c r="AZ126" s="36">
        <f ca="1">+IF(AZ$3="","",IF($AY126="","",IFERROR(INDEX('Data Consolidada'!$E$7:$E$891,MATCH(CONCATENATE(AZ$3,"-",$CP126,"-",$AY126),'Data Consolidada'!$K$7:$K$891,0)),MAX('Data Consolidada'!$E$7:$E$3000))))</f>
        <v>11000000</v>
      </c>
      <c r="BA126" s="32">
        <f ca="1">+IF(BA$3="","",IF($AY126="","",IFERROR(INDEX('Data Consolidada'!$E$7:$E$891,MATCH(CONCATENATE(BA$3,"-",$CP126,"-",$AY126),'Data Consolidada'!$K$7:$K$891,0)),MAX('Data Consolidada'!$E$7:$E$3000))))</f>
        <v>11000000</v>
      </c>
      <c r="BB126" s="32" t="str">
        <f>+IF(BB$3="","",IF($AY126="","",IFERROR(INDEX('Data Consolidada'!$E$7:$E$891,MATCH(CONCATENATE(BB$3,"-",$CP126,"-",$AY126),'Data Consolidada'!$K$7:$K$891,0)),MAX('Data Consolidada'!$E$7:$E$3000))))</f>
        <v/>
      </c>
      <c r="BC126" s="32" t="str">
        <f>+IF(BC$3="","",IF($AY126="","",IFERROR(INDEX('Data Consolidada'!$E$7:$E$891,MATCH(CONCATENATE(BC$3,"-",$CP126,"-",$AY126),'Data Consolidada'!$K$7:$K$891,0)),MAX('Data Consolidada'!$E$7:$E$3000))))</f>
        <v/>
      </c>
      <c r="BD126" s="32" t="str">
        <f>+IF(BD$3="","",IF($AY126="","",IFERROR(INDEX('Data Consolidada'!$E$7:$E$891,MATCH(CONCATENATE(BD$3,"-",$CP126,"-",$AY126),'Data Consolidada'!$K$7:$K$891,0)),MAX('Data Consolidada'!$E$7:$E$3000))))</f>
        <v/>
      </c>
      <c r="BE126" s="32" t="str">
        <f>+IF(BE$3="","",IF($AY126="","",IFERROR(INDEX('Data Consolidada'!$E$7:$E$891,MATCH(CONCATENATE(BE$3,"-",$CP126,"-",$AY126),'Data Consolidada'!$K$7:$K$891,0)),MAX('Data Consolidada'!$E$7:$E$3000))))</f>
        <v/>
      </c>
      <c r="BF126" s="32" t="str">
        <f>+IF(BF$3="","",IF($AY126="","",IFERROR(INDEX('Data Consolidada'!$E$7:$E$891,MATCH(CONCATENATE(BF$3,"-",$CP126,"-",$AY126),'Data Consolidada'!$K$7:$K$891,0)),MAX('Data Consolidada'!$E$7:$E$3000))))</f>
        <v/>
      </c>
      <c r="BG126" s="32" t="str">
        <f>+IF(BG$3="","",IF($AY126="","",IFERROR(INDEX('Data Consolidada'!$E$7:$E$891,MATCH(CONCATENATE(BG$3,"-",$CP126,"-",$AY126),'Data Consolidada'!$K$7:$K$891,0)),MAX('Data Consolidada'!$E$7:$E$3000))))</f>
        <v/>
      </c>
      <c r="BH126" s="32" t="str">
        <f>+IF(BH$3="","",IF($AY126="","",IFERROR(INDEX('Data Consolidada'!$E$7:$E$891,MATCH(CONCATENATE(BH$3,"-",$CP126,"-",$AY126),'Data Consolidada'!$K$7:$K$891,0)),MAX('Data Consolidada'!$E$7:$E$3000))))</f>
        <v/>
      </c>
      <c r="BI126" s="32" t="str">
        <f>+IF(BI$3="","",IF($AY126="","",IFERROR(INDEX('Data Consolidada'!$E$7:$E$891,MATCH(CONCATENATE(BI$3,"-",$CP126,"-",$AY126),'Data Consolidada'!$K$7:$K$891,0)),MAX('Data Consolidada'!$E$7:$E$3000))))</f>
        <v/>
      </c>
      <c r="BJ126" s="32" t="str">
        <f>+IF(BJ$3="","",IF($AY126="","",IFERROR(INDEX('Data Consolidada'!$E$7:$E$891,MATCH(CONCATENATE(BJ$3,"-",$CP126,"-",$AY126),'Data Consolidada'!$K$7:$K$891,0)),MAX('Data Consolidada'!$E$7:$E$3000))))</f>
        <v/>
      </c>
      <c r="BK126" s="32" t="str">
        <f>+IF(BK$3="","",IF($AY126="","",IFERROR(INDEX('Data Consolidada'!$E$7:$E$891,MATCH(CONCATENATE(BK$3,"-",$CP126,"-",$AY126),'Data Consolidada'!$K$7:$K$891,0)),MAX('Data Consolidada'!$E$7:$E$3000))))</f>
        <v/>
      </c>
      <c r="BL126" s="32" t="str">
        <f>+IF(BL$3="","",IF($AY126="","",IFERROR(INDEX('Data Consolidada'!$E$7:$E$891,MATCH(CONCATENATE(BL$3,"-",$CP126,"-",$AY126),'Data Consolidada'!$K$7:$K$891,0)),MAX('Data Consolidada'!$E$7:$E$3000))))</f>
        <v/>
      </c>
      <c r="BM126" s="32" t="str">
        <f>+IF(BM$3="","",IF($AY126="","",IFERROR(INDEX('Data Consolidada'!$E$7:$E$891,MATCH(CONCATENATE(BM$3,"-",$CP126,"-",$AY126),'Data Consolidada'!$K$7:$K$891,0)),MAX('Data Consolidada'!$E$7:$E$3000))))</f>
        <v/>
      </c>
      <c r="BN126" s="32" t="str">
        <f>+IF(BN$3="","",IF($AY126="","",IFERROR(INDEX('Data Consolidada'!$E$7:$E$891,MATCH(CONCATENATE(BN$3,"-",$CP126,"-",$AY126),'Data Consolidada'!$K$7:$K$891,0)),MAX('Data Consolidada'!$E$7:$E$3000))))</f>
        <v/>
      </c>
      <c r="BO126" s="32" t="str">
        <f>+IF(BO$3="","",IF($AY126="","",IFERROR(INDEX('Data Consolidada'!$E$7:$E$891,MATCH(CONCATENATE(BO$3,"-",$CP126,"-",$AY126),'Data Consolidada'!$K$7:$K$891,0)),MAX('Data Consolidada'!$E$7:$E$3000))))</f>
        <v/>
      </c>
      <c r="BP126" s="32" t="str">
        <f>+IF(BP$3="","",IF($AY126="","",IFERROR(INDEX('Data Consolidada'!$E$7:$E$891,MATCH(CONCATENATE(BP$3,"-",$CP126,"-",$AY126),'Data Consolidada'!$K$7:$K$891,0)),MAX('Data Consolidada'!$E$7:$E$3000))))</f>
        <v/>
      </c>
      <c r="BQ126" s="32" t="str">
        <f>+IF(BQ$3="","",IF($AY126="","",IFERROR(INDEX('Data Consolidada'!$E$7:$E$891,MATCH(CONCATENATE(BQ$3,"-",$CP126,"-",$AY126),'Data Consolidada'!$K$7:$K$891,0)),MAX('Data Consolidada'!$E$7:$E$3000))))</f>
        <v/>
      </c>
      <c r="BR126" s="32" t="str">
        <f>+IF(BR$3="","",IF($AY126="","",IFERROR(INDEX('Data Consolidada'!$E$7:$E$891,MATCH(CONCATENATE(BR$3,"-",$CP126,"-",$AY126),'Data Consolidada'!$K$7:$K$891,0)),MAX('Data Consolidada'!$E$7:$E$3000))))</f>
        <v/>
      </c>
      <c r="BS126" s="32" t="str">
        <f>+IF(BS$3="","",IF($AY126="","",IFERROR(INDEX('Data Consolidada'!$E$7:$E$891,MATCH(CONCATENATE(BS$3,"-",$CP126,"-",$AY126),'Data Consolidada'!$K$7:$K$891,0)),MAX('Data Consolidada'!$E$7:$E$3000))))</f>
        <v/>
      </c>
      <c r="BT126" s="32" t="str">
        <f>+IF(BT$3="","",IF($AY126="","",IFERROR(INDEX('Data Consolidada'!$E$7:$E$891,MATCH(CONCATENATE(BT$3,"-",$CP126,"-",$AY126),'Data Consolidada'!$K$7:$K$891,0)),MAX('Data Consolidada'!$E$7:$E$3000))))</f>
        <v/>
      </c>
      <c r="BU126" s="32" t="str">
        <f>+IF(BU$3="","",IF($AY126="","",IFERROR(INDEX('Data Consolidada'!$E$7:$E$891,MATCH(CONCATENATE(BU$3,"-",$CP126,"-",$AY126),'Data Consolidada'!$K$7:$K$891,0)),MAX('Data Consolidada'!$E$7:$E$3000))))</f>
        <v/>
      </c>
      <c r="BV126" s="32" t="str">
        <f>+IF(BV$3="","",IF($AY126="","",IFERROR(INDEX('Data Consolidada'!$E$7:$E$891,MATCH(CONCATENATE(BV$3,"-",$CP126,"-",$AY126),'Data Consolidada'!$K$7:$K$891,0)),MAX('Data Consolidada'!$E$7:$E$3000))))</f>
        <v/>
      </c>
      <c r="BW126" s="32" t="str">
        <f>+IF(BW$3="","",IF($AY126="","",IFERROR(INDEX('Data Consolidada'!$E$7:$E$891,MATCH(CONCATENATE(BW$3,"-",$CP126,"-",$AY126),'Data Consolidada'!$K$7:$K$891,0)),MAX('Data Consolidada'!$E$7:$E$3000))))</f>
        <v/>
      </c>
      <c r="BX126" s="32" t="str">
        <f>+IF(BX$3="","",IF($AY126="","",IFERROR(INDEX('Data Consolidada'!$E$7:$E$891,MATCH(CONCATENATE(BX$3,"-",$CP126,"-",$AY126),'Data Consolidada'!$K$7:$K$891,0)),MAX('Data Consolidada'!$E$7:$E$3000))))</f>
        <v/>
      </c>
      <c r="BY126" s="32" t="str">
        <f>+IF(BY$3="","",IF($AY126="","",IFERROR(INDEX('Data Consolidada'!$E$7:$E$891,MATCH(CONCATENATE(BY$3,"-",$CP126,"-",$AY126),'Data Consolidada'!$K$7:$K$891,0)),MAX('Data Consolidada'!$E$7:$E$3000))))</f>
        <v/>
      </c>
      <c r="BZ126" s="32" t="str">
        <f>+IF(BZ$3="","",IF($AY126="","",IFERROR(INDEX('Data Consolidada'!$E$7:$E$891,MATCH(CONCATENATE(BZ$3,"-",$CP126,"-",$AY126),'Data Consolidada'!$K$7:$K$891,0)),MAX('Data Consolidada'!$E$7:$E$3000))))</f>
        <v/>
      </c>
      <c r="CA126" s="32" t="str">
        <f>+IF(CA$3="","",IF($AY126="","",IFERROR(INDEX('Data Consolidada'!$E$7:$E$891,MATCH(CONCATENATE(CA$3,"-",$CP126,"-",$AY126),'Data Consolidada'!$K$7:$K$891,0)),MAX('Data Consolidada'!$E$7:$E$3000))))</f>
        <v/>
      </c>
      <c r="CB126" s="32" t="str">
        <f>+IF(CB$3="","",IF($AY126="","",IFERROR(INDEX('Data Consolidada'!$E$7:$E$891,MATCH(CONCATENATE(CB$3,"-",$CP126,"-",$AY126),'Data Consolidada'!$K$7:$K$891,0)),MAX('Data Consolidada'!$E$7:$E$3000))))</f>
        <v/>
      </c>
      <c r="CC126" s="32" t="str">
        <f>+IF(CC$3="","",IF($AY126="","",IFERROR(INDEX('Data Consolidada'!$E$7:$E$891,MATCH(CONCATENATE(CC$3,"-",$CP126,"-",$AY126),'Data Consolidada'!$K$7:$K$891,0)),MAX('Data Consolidada'!$E$7:$E$3000))))</f>
        <v/>
      </c>
      <c r="CD126" s="32" t="str">
        <f>+IF(CD$3="","",IF($AY126="","",IFERROR(INDEX('Data Consolidada'!$E$7:$E$891,MATCH(CONCATENATE(CD$3,"-",$CP126,"-",$AY126),'Data Consolidada'!$K$7:$K$891,0)),MAX('Data Consolidada'!$E$7:$E$3000))))</f>
        <v/>
      </c>
      <c r="CE126" s="32" t="str">
        <f>+IF(CE$3="","",IF($AY126="","",IFERROR(INDEX('Data Consolidada'!$E$7:$E$891,MATCH(CONCATENATE(CE$3,"-",$CP126,"-",$AY126),'Data Consolidada'!$K$7:$K$891,0)),MAX('Data Consolidada'!$E$7:$E$3000))))</f>
        <v/>
      </c>
      <c r="CF126" s="32" t="str">
        <f>+IF(CF$3="","",IF($AY126="","",IFERROR(INDEX('Data Consolidada'!$E$7:$E$891,MATCH(CONCATENATE(CF$3,"-",$CP126,"-",$AY126),'Data Consolidada'!$K$7:$K$891,0)),MAX('Data Consolidada'!$E$7:$E$3000))))</f>
        <v/>
      </c>
      <c r="CG126" s="32" t="str">
        <f>+IF(CG$3="","",IF($AY126="","",IFERROR(INDEX('Data Consolidada'!$E$7:$E$891,MATCH(CONCATENATE(CG$3,"-",$CP126,"-",$AY126),'Data Consolidada'!$K$7:$K$891,0)),MAX('Data Consolidada'!$E$7:$E$3000))))</f>
        <v/>
      </c>
      <c r="CH126" s="32" t="str">
        <f>+IF(CH$3="","",IF($AY126="","",IFERROR(INDEX('Data Consolidada'!$E$7:$E$891,MATCH(CONCATENATE(CH$3,"-",$CP126,"-",$AY126),'Data Consolidada'!$K$7:$K$891,0)),MAX('Data Consolidada'!$E$7:$E$3000))))</f>
        <v/>
      </c>
      <c r="CI126" s="32" t="str">
        <f>+IF(CI$3="","",IF($AY126="","",IFERROR(INDEX('Data Consolidada'!$E$7:$E$891,MATCH(CONCATENATE(CI$3,"-",$CP126,"-",$AY126),'Data Consolidada'!$K$7:$K$891,0)),MAX('Data Consolidada'!$E$7:$E$3000))))</f>
        <v/>
      </c>
      <c r="CJ126" s="32" t="str">
        <f>+IF(CJ$3="","",IF($AY126="","",IFERROR(INDEX('Data Consolidada'!$E$7:$E$891,MATCH(CONCATENATE(CJ$3,"-",$CP126,"-",$AY126),'Data Consolidada'!$K$7:$K$891,0)),MAX('Data Consolidada'!$E$7:$E$3000))))</f>
        <v/>
      </c>
      <c r="CK126" s="32" t="str">
        <f>+IF(CK$3="","",IF($AY126="","",IFERROR(INDEX('Data Consolidada'!$E$7:$E$891,MATCH(CONCATENATE(CK$3,"-",$CP126,"-",$AY126),'Data Consolidada'!$K$7:$K$891,0)),MAX('Data Consolidada'!$E$7:$E$3000))))</f>
        <v/>
      </c>
      <c r="CL126" s="32" t="str">
        <f>+IF(CL$3="","",IF($AY126="","",IFERROR(INDEX('Data Consolidada'!$E$7:$E$891,MATCH(CONCATENATE(CL$3,"-",$CP126,"-",$AY126),'Data Consolidada'!$K$7:$K$891,0)),MAX('Data Consolidada'!$E$7:$E$3000))))</f>
        <v/>
      </c>
      <c r="CM126" s="32" t="str">
        <f>+IF(CM$3="","",IF($AY126="","",IFERROR(INDEX('Data Consolidada'!$E$7:$E$891,MATCH(CONCATENATE(CM$3,"-",$CP126,"-",$AY126),'Data Consolidada'!$K$7:$K$891,0)),MAX('Data Consolidada'!$E$7:$E$3000))))</f>
        <v/>
      </c>
      <c r="CN126" s="32" t="str">
        <f>+IF(CN$3="","",IF($AY126="","",IFERROR(INDEX('Data Consolidada'!$E$7:$E$891,MATCH(CONCATENATE(CN$3,"-",$CP126,"-",$AY126),'Data Consolidada'!$K$7:$K$891,0)),MAX('Data Consolidada'!$E$7:$E$3000))))</f>
        <v/>
      </c>
      <c r="CO126" s="37" t="str">
        <f>+IF(CO$3="","",IF($AY126="","",IFERROR(INDEX('Data Consolidada'!$E$7:$E$891,MATCH(CONCATENATE(CO$3,"-",$CP126,"-",$AY126),'Data Consolidada'!$K$7:$K$891,0)),MAX('Data Consolidada'!$E$7:$E$3000))))</f>
        <v/>
      </c>
      <c r="CP126" s="224">
        <f t="shared" ca="1" si="45"/>
        <v>0</v>
      </c>
      <c r="CQ126" s="84" t="str">
        <f t="shared" ca="1" si="39"/>
        <v>Manuel Sepúlveda 0</v>
      </c>
    </row>
    <row r="127" spans="2:95" ht="15" customHeight="1" x14ac:dyDescent="0.35">
      <c r="B127" s="218" t="str">
        <f t="shared" ca="1" si="41"/>
        <v>LAVALLE</v>
      </c>
      <c r="C127" s="238">
        <v>0</v>
      </c>
      <c r="D127" s="239">
        <v>0</v>
      </c>
      <c r="E127" s="239">
        <v>0</v>
      </c>
      <c r="F127" s="239">
        <v>0</v>
      </c>
      <c r="G127" s="239">
        <v>0</v>
      </c>
      <c r="H127" s="239">
        <v>0</v>
      </c>
      <c r="I127" s="239">
        <v>0</v>
      </c>
      <c r="J127" s="239">
        <v>0</v>
      </c>
      <c r="K127" s="239">
        <v>0</v>
      </c>
      <c r="L127" s="239">
        <v>0</v>
      </c>
      <c r="M127" s="239">
        <v>0</v>
      </c>
      <c r="N127" s="240">
        <v>0</v>
      </c>
      <c r="O127" s="239">
        <v>0</v>
      </c>
      <c r="P127" s="239">
        <v>0</v>
      </c>
      <c r="Q127" s="239">
        <v>0</v>
      </c>
      <c r="R127" s="239">
        <v>0</v>
      </c>
      <c r="S127" s="239">
        <v>0</v>
      </c>
      <c r="T127" s="239">
        <v>0</v>
      </c>
      <c r="U127" s="239">
        <v>0</v>
      </c>
      <c r="V127" s="239">
        <v>0</v>
      </c>
      <c r="W127" s="239">
        <v>0</v>
      </c>
      <c r="X127" s="239">
        <v>0</v>
      </c>
      <c r="Y127" s="239">
        <v>0</v>
      </c>
      <c r="Z127" s="239"/>
      <c r="AA127" s="239"/>
      <c r="AB127" s="239"/>
      <c r="AC127" s="239"/>
      <c r="AD127" s="239"/>
      <c r="AE127" s="239"/>
      <c r="AF127" s="239"/>
      <c r="AG127" s="239"/>
      <c r="AH127" s="239"/>
      <c r="AI127" s="239"/>
      <c r="AJ127" s="239"/>
      <c r="AK127" s="239"/>
      <c r="AL127" s="239"/>
      <c r="AM127" s="239"/>
      <c r="AN127" s="239"/>
      <c r="AO127" s="239"/>
      <c r="AP127" s="239"/>
      <c r="AQ127" s="239"/>
      <c r="AR127" s="252"/>
      <c r="AS127" s="77">
        <f t="shared" ca="1" si="42"/>
        <v>0</v>
      </c>
      <c r="AT127" s="255">
        <f t="shared" si="43"/>
        <v>0</v>
      </c>
      <c r="AU127" s="51"/>
      <c r="AV127" s="51"/>
      <c r="AW127" s="13">
        <f>+IF(AX127="","",IF(AX127&gt;AX126,AW126,IF(AW126&lt;$D$69,AW126+1,IF(COUNT(AW$4:AW126)&lt;$B$69*$E$54,1,""))))</f>
        <v>10</v>
      </c>
      <c r="AX127" s="13">
        <f>+IF(AX126&lt;$B$69,AX126+1,IF(COUNT(AX$4:AX126)&lt;$B$69*$D$69,1,""))</f>
        <v>7</v>
      </c>
      <c r="AY127" s="189" t="str">
        <f t="shared" ca="1" si="44"/>
        <v>PARRAO</v>
      </c>
      <c r="AZ127" s="36">
        <f ca="1">+IF(AZ$3="","",IF($AY127="","",IFERROR(INDEX('Data Consolidada'!$E$7:$E$891,MATCH(CONCATENATE(AZ$3,"-",$CP127,"-",$AY127),'Data Consolidada'!$K$7:$K$891,0)),MAX('Data Consolidada'!$E$7:$E$3000))))</f>
        <v>11000000</v>
      </c>
      <c r="BA127" s="32">
        <f ca="1">+IF(BA$3="","",IF($AY127="","",IFERROR(INDEX('Data Consolidada'!$E$7:$E$891,MATCH(CONCATENATE(BA$3,"-",$CP127,"-",$AY127),'Data Consolidada'!$K$7:$K$891,0)),MAX('Data Consolidada'!$E$7:$E$3000))))</f>
        <v>11000000</v>
      </c>
      <c r="BB127" s="32" t="str">
        <f>+IF(BB$3="","",IF($AY127="","",IFERROR(INDEX('Data Consolidada'!$E$7:$E$891,MATCH(CONCATENATE(BB$3,"-",$CP127,"-",$AY127),'Data Consolidada'!$K$7:$K$891,0)),MAX('Data Consolidada'!$E$7:$E$3000))))</f>
        <v/>
      </c>
      <c r="BC127" s="32" t="str">
        <f>+IF(BC$3="","",IF($AY127="","",IFERROR(INDEX('Data Consolidada'!$E$7:$E$891,MATCH(CONCATENATE(BC$3,"-",$CP127,"-",$AY127),'Data Consolidada'!$K$7:$K$891,0)),MAX('Data Consolidada'!$E$7:$E$3000))))</f>
        <v/>
      </c>
      <c r="BD127" s="32" t="str">
        <f>+IF(BD$3="","",IF($AY127="","",IFERROR(INDEX('Data Consolidada'!$E$7:$E$891,MATCH(CONCATENATE(BD$3,"-",$CP127,"-",$AY127),'Data Consolidada'!$K$7:$K$891,0)),MAX('Data Consolidada'!$E$7:$E$3000))))</f>
        <v/>
      </c>
      <c r="BE127" s="32" t="str">
        <f>+IF(BE$3="","",IF($AY127="","",IFERROR(INDEX('Data Consolidada'!$E$7:$E$891,MATCH(CONCATENATE(BE$3,"-",$CP127,"-",$AY127),'Data Consolidada'!$K$7:$K$891,0)),MAX('Data Consolidada'!$E$7:$E$3000))))</f>
        <v/>
      </c>
      <c r="BF127" s="32" t="str">
        <f>+IF(BF$3="","",IF($AY127="","",IFERROR(INDEX('Data Consolidada'!$E$7:$E$891,MATCH(CONCATENATE(BF$3,"-",$CP127,"-",$AY127),'Data Consolidada'!$K$7:$K$891,0)),MAX('Data Consolidada'!$E$7:$E$3000))))</f>
        <v/>
      </c>
      <c r="BG127" s="32" t="str">
        <f>+IF(BG$3="","",IF($AY127="","",IFERROR(INDEX('Data Consolidada'!$E$7:$E$891,MATCH(CONCATENATE(BG$3,"-",$CP127,"-",$AY127),'Data Consolidada'!$K$7:$K$891,0)),MAX('Data Consolidada'!$E$7:$E$3000))))</f>
        <v/>
      </c>
      <c r="BH127" s="32" t="str">
        <f>+IF(BH$3="","",IF($AY127="","",IFERROR(INDEX('Data Consolidada'!$E$7:$E$891,MATCH(CONCATENATE(BH$3,"-",$CP127,"-",$AY127),'Data Consolidada'!$K$7:$K$891,0)),MAX('Data Consolidada'!$E$7:$E$3000))))</f>
        <v/>
      </c>
      <c r="BI127" s="32" t="str">
        <f>+IF(BI$3="","",IF($AY127="","",IFERROR(INDEX('Data Consolidada'!$E$7:$E$891,MATCH(CONCATENATE(BI$3,"-",$CP127,"-",$AY127),'Data Consolidada'!$K$7:$K$891,0)),MAX('Data Consolidada'!$E$7:$E$3000))))</f>
        <v/>
      </c>
      <c r="BJ127" s="32" t="str">
        <f>+IF(BJ$3="","",IF($AY127="","",IFERROR(INDEX('Data Consolidada'!$E$7:$E$891,MATCH(CONCATENATE(BJ$3,"-",$CP127,"-",$AY127),'Data Consolidada'!$K$7:$K$891,0)),MAX('Data Consolidada'!$E$7:$E$3000))))</f>
        <v/>
      </c>
      <c r="BK127" s="32" t="str">
        <f>+IF(BK$3="","",IF($AY127="","",IFERROR(INDEX('Data Consolidada'!$E$7:$E$891,MATCH(CONCATENATE(BK$3,"-",$CP127,"-",$AY127),'Data Consolidada'!$K$7:$K$891,0)),MAX('Data Consolidada'!$E$7:$E$3000))))</f>
        <v/>
      </c>
      <c r="BL127" s="32" t="str">
        <f>+IF(BL$3="","",IF($AY127="","",IFERROR(INDEX('Data Consolidada'!$E$7:$E$891,MATCH(CONCATENATE(BL$3,"-",$CP127,"-",$AY127),'Data Consolidada'!$K$7:$K$891,0)),MAX('Data Consolidada'!$E$7:$E$3000))))</f>
        <v/>
      </c>
      <c r="BM127" s="32" t="str">
        <f>+IF(BM$3="","",IF($AY127="","",IFERROR(INDEX('Data Consolidada'!$E$7:$E$891,MATCH(CONCATENATE(BM$3,"-",$CP127,"-",$AY127),'Data Consolidada'!$K$7:$K$891,0)),MAX('Data Consolidada'!$E$7:$E$3000))))</f>
        <v/>
      </c>
      <c r="BN127" s="32" t="str">
        <f>+IF(BN$3="","",IF($AY127="","",IFERROR(INDEX('Data Consolidada'!$E$7:$E$891,MATCH(CONCATENATE(BN$3,"-",$CP127,"-",$AY127),'Data Consolidada'!$K$7:$K$891,0)),MAX('Data Consolidada'!$E$7:$E$3000))))</f>
        <v/>
      </c>
      <c r="BO127" s="32" t="str">
        <f>+IF(BO$3="","",IF($AY127="","",IFERROR(INDEX('Data Consolidada'!$E$7:$E$891,MATCH(CONCATENATE(BO$3,"-",$CP127,"-",$AY127),'Data Consolidada'!$K$7:$K$891,0)),MAX('Data Consolidada'!$E$7:$E$3000))))</f>
        <v/>
      </c>
      <c r="BP127" s="32" t="str">
        <f>+IF(BP$3="","",IF($AY127="","",IFERROR(INDEX('Data Consolidada'!$E$7:$E$891,MATCH(CONCATENATE(BP$3,"-",$CP127,"-",$AY127),'Data Consolidada'!$K$7:$K$891,0)),MAX('Data Consolidada'!$E$7:$E$3000))))</f>
        <v/>
      </c>
      <c r="BQ127" s="32" t="str">
        <f>+IF(BQ$3="","",IF($AY127="","",IFERROR(INDEX('Data Consolidada'!$E$7:$E$891,MATCH(CONCATENATE(BQ$3,"-",$CP127,"-",$AY127),'Data Consolidada'!$K$7:$K$891,0)),MAX('Data Consolidada'!$E$7:$E$3000))))</f>
        <v/>
      </c>
      <c r="BR127" s="32" t="str">
        <f>+IF(BR$3="","",IF($AY127="","",IFERROR(INDEX('Data Consolidada'!$E$7:$E$891,MATCH(CONCATENATE(BR$3,"-",$CP127,"-",$AY127),'Data Consolidada'!$K$7:$K$891,0)),MAX('Data Consolidada'!$E$7:$E$3000))))</f>
        <v/>
      </c>
      <c r="BS127" s="32" t="str">
        <f>+IF(BS$3="","",IF($AY127="","",IFERROR(INDEX('Data Consolidada'!$E$7:$E$891,MATCH(CONCATENATE(BS$3,"-",$CP127,"-",$AY127),'Data Consolidada'!$K$7:$K$891,0)),MAX('Data Consolidada'!$E$7:$E$3000))))</f>
        <v/>
      </c>
      <c r="BT127" s="32" t="str">
        <f>+IF(BT$3="","",IF($AY127="","",IFERROR(INDEX('Data Consolidada'!$E$7:$E$891,MATCH(CONCATENATE(BT$3,"-",$CP127,"-",$AY127),'Data Consolidada'!$K$7:$K$891,0)),MAX('Data Consolidada'!$E$7:$E$3000))))</f>
        <v/>
      </c>
      <c r="BU127" s="32" t="str">
        <f>+IF(BU$3="","",IF($AY127="","",IFERROR(INDEX('Data Consolidada'!$E$7:$E$891,MATCH(CONCATENATE(BU$3,"-",$CP127,"-",$AY127),'Data Consolidada'!$K$7:$K$891,0)),MAX('Data Consolidada'!$E$7:$E$3000))))</f>
        <v/>
      </c>
      <c r="BV127" s="32" t="str">
        <f>+IF(BV$3="","",IF($AY127="","",IFERROR(INDEX('Data Consolidada'!$E$7:$E$891,MATCH(CONCATENATE(BV$3,"-",$CP127,"-",$AY127),'Data Consolidada'!$K$7:$K$891,0)),MAX('Data Consolidada'!$E$7:$E$3000))))</f>
        <v/>
      </c>
      <c r="BW127" s="32" t="str">
        <f>+IF(BW$3="","",IF($AY127="","",IFERROR(INDEX('Data Consolidada'!$E$7:$E$891,MATCH(CONCATENATE(BW$3,"-",$CP127,"-",$AY127),'Data Consolidada'!$K$7:$K$891,0)),MAX('Data Consolidada'!$E$7:$E$3000))))</f>
        <v/>
      </c>
      <c r="BX127" s="32" t="str">
        <f>+IF(BX$3="","",IF($AY127="","",IFERROR(INDEX('Data Consolidada'!$E$7:$E$891,MATCH(CONCATENATE(BX$3,"-",$CP127,"-",$AY127),'Data Consolidada'!$K$7:$K$891,0)),MAX('Data Consolidada'!$E$7:$E$3000))))</f>
        <v/>
      </c>
      <c r="BY127" s="32" t="str">
        <f>+IF(BY$3="","",IF($AY127="","",IFERROR(INDEX('Data Consolidada'!$E$7:$E$891,MATCH(CONCATENATE(BY$3,"-",$CP127,"-",$AY127),'Data Consolidada'!$K$7:$K$891,0)),MAX('Data Consolidada'!$E$7:$E$3000))))</f>
        <v/>
      </c>
      <c r="BZ127" s="32" t="str">
        <f>+IF(BZ$3="","",IF($AY127="","",IFERROR(INDEX('Data Consolidada'!$E$7:$E$891,MATCH(CONCATENATE(BZ$3,"-",$CP127,"-",$AY127),'Data Consolidada'!$K$7:$K$891,0)),MAX('Data Consolidada'!$E$7:$E$3000))))</f>
        <v/>
      </c>
      <c r="CA127" s="32" t="str">
        <f>+IF(CA$3="","",IF($AY127="","",IFERROR(INDEX('Data Consolidada'!$E$7:$E$891,MATCH(CONCATENATE(CA$3,"-",$CP127,"-",$AY127),'Data Consolidada'!$K$7:$K$891,0)),MAX('Data Consolidada'!$E$7:$E$3000))))</f>
        <v/>
      </c>
      <c r="CB127" s="32" t="str">
        <f>+IF(CB$3="","",IF($AY127="","",IFERROR(INDEX('Data Consolidada'!$E$7:$E$891,MATCH(CONCATENATE(CB$3,"-",$CP127,"-",$AY127),'Data Consolidada'!$K$7:$K$891,0)),MAX('Data Consolidada'!$E$7:$E$3000))))</f>
        <v/>
      </c>
      <c r="CC127" s="32" t="str">
        <f>+IF(CC$3="","",IF($AY127="","",IFERROR(INDEX('Data Consolidada'!$E$7:$E$891,MATCH(CONCATENATE(CC$3,"-",$CP127,"-",$AY127),'Data Consolidada'!$K$7:$K$891,0)),MAX('Data Consolidada'!$E$7:$E$3000))))</f>
        <v/>
      </c>
      <c r="CD127" s="32" t="str">
        <f>+IF(CD$3="","",IF($AY127="","",IFERROR(INDEX('Data Consolidada'!$E$7:$E$891,MATCH(CONCATENATE(CD$3,"-",$CP127,"-",$AY127),'Data Consolidada'!$K$7:$K$891,0)),MAX('Data Consolidada'!$E$7:$E$3000))))</f>
        <v/>
      </c>
      <c r="CE127" s="32" t="str">
        <f>+IF(CE$3="","",IF($AY127="","",IFERROR(INDEX('Data Consolidada'!$E$7:$E$891,MATCH(CONCATENATE(CE$3,"-",$CP127,"-",$AY127),'Data Consolidada'!$K$7:$K$891,0)),MAX('Data Consolidada'!$E$7:$E$3000))))</f>
        <v/>
      </c>
      <c r="CF127" s="32" t="str">
        <f>+IF(CF$3="","",IF($AY127="","",IFERROR(INDEX('Data Consolidada'!$E$7:$E$891,MATCH(CONCATENATE(CF$3,"-",$CP127,"-",$AY127),'Data Consolidada'!$K$7:$K$891,0)),MAX('Data Consolidada'!$E$7:$E$3000))))</f>
        <v/>
      </c>
      <c r="CG127" s="32" t="str">
        <f>+IF(CG$3="","",IF($AY127="","",IFERROR(INDEX('Data Consolidada'!$E$7:$E$891,MATCH(CONCATENATE(CG$3,"-",$CP127,"-",$AY127),'Data Consolidada'!$K$7:$K$891,0)),MAX('Data Consolidada'!$E$7:$E$3000))))</f>
        <v/>
      </c>
      <c r="CH127" s="32" t="str">
        <f>+IF(CH$3="","",IF($AY127="","",IFERROR(INDEX('Data Consolidada'!$E$7:$E$891,MATCH(CONCATENATE(CH$3,"-",$CP127,"-",$AY127),'Data Consolidada'!$K$7:$K$891,0)),MAX('Data Consolidada'!$E$7:$E$3000))))</f>
        <v/>
      </c>
      <c r="CI127" s="32" t="str">
        <f>+IF(CI$3="","",IF($AY127="","",IFERROR(INDEX('Data Consolidada'!$E$7:$E$891,MATCH(CONCATENATE(CI$3,"-",$CP127,"-",$AY127),'Data Consolidada'!$K$7:$K$891,0)),MAX('Data Consolidada'!$E$7:$E$3000))))</f>
        <v/>
      </c>
      <c r="CJ127" s="32" t="str">
        <f>+IF(CJ$3="","",IF($AY127="","",IFERROR(INDEX('Data Consolidada'!$E$7:$E$891,MATCH(CONCATENATE(CJ$3,"-",$CP127,"-",$AY127),'Data Consolidada'!$K$7:$K$891,0)),MAX('Data Consolidada'!$E$7:$E$3000))))</f>
        <v/>
      </c>
      <c r="CK127" s="32" t="str">
        <f>+IF(CK$3="","",IF($AY127="","",IFERROR(INDEX('Data Consolidada'!$E$7:$E$891,MATCH(CONCATENATE(CK$3,"-",$CP127,"-",$AY127),'Data Consolidada'!$K$7:$K$891,0)),MAX('Data Consolidada'!$E$7:$E$3000))))</f>
        <v/>
      </c>
      <c r="CL127" s="32" t="str">
        <f>+IF(CL$3="","",IF($AY127="","",IFERROR(INDEX('Data Consolidada'!$E$7:$E$891,MATCH(CONCATENATE(CL$3,"-",$CP127,"-",$AY127),'Data Consolidada'!$K$7:$K$891,0)),MAX('Data Consolidada'!$E$7:$E$3000))))</f>
        <v/>
      </c>
      <c r="CM127" s="32" t="str">
        <f>+IF(CM$3="","",IF($AY127="","",IFERROR(INDEX('Data Consolidada'!$E$7:$E$891,MATCH(CONCATENATE(CM$3,"-",$CP127,"-",$AY127),'Data Consolidada'!$K$7:$K$891,0)),MAX('Data Consolidada'!$E$7:$E$3000))))</f>
        <v/>
      </c>
      <c r="CN127" s="32" t="str">
        <f>+IF(CN$3="","",IF($AY127="","",IFERROR(INDEX('Data Consolidada'!$E$7:$E$891,MATCH(CONCATENATE(CN$3,"-",$CP127,"-",$AY127),'Data Consolidada'!$K$7:$K$891,0)),MAX('Data Consolidada'!$E$7:$E$3000))))</f>
        <v/>
      </c>
      <c r="CO127" s="37" t="str">
        <f>+IF(CO$3="","",IF($AY127="","",IFERROR(INDEX('Data Consolidada'!$E$7:$E$891,MATCH(CONCATENATE(CO$3,"-",$CP127,"-",$AY127),'Data Consolidada'!$K$7:$K$891,0)),MAX('Data Consolidada'!$E$7:$E$3000))))</f>
        <v/>
      </c>
      <c r="CP127" s="224">
        <f t="shared" ca="1" si="45"/>
        <v>0</v>
      </c>
      <c r="CQ127" s="84" t="str">
        <f t="shared" ca="1" si="39"/>
        <v>PARRAO0</v>
      </c>
    </row>
    <row r="128" spans="2:95" ht="15" customHeight="1" x14ac:dyDescent="0.35">
      <c r="B128" s="218" t="str">
        <f t="shared" ca="1" si="41"/>
        <v>MACEBE</v>
      </c>
      <c r="C128" s="238">
        <v>0</v>
      </c>
      <c r="D128" s="239">
        <v>0</v>
      </c>
      <c r="E128" s="239">
        <v>0</v>
      </c>
      <c r="F128" s="239">
        <v>0</v>
      </c>
      <c r="G128" s="239">
        <v>0</v>
      </c>
      <c r="H128" s="239">
        <v>0</v>
      </c>
      <c r="I128" s="239">
        <v>0</v>
      </c>
      <c r="J128" s="239">
        <v>0</v>
      </c>
      <c r="K128" s="239">
        <v>0</v>
      </c>
      <c r="L128" s="239">
        <v>0</v>
      </c>
      <c r="M128" s="239">
        <v>0</v>
      </c>
      <c r="N128" s="240">
        <v>0</v>
      </c>
      <c r="O128" s="239">
        <v>0</v>
      </c>
      <c r="P128" s="239">
        <v>0</v>
      </c>
      <c r="Q128" s="239">
        <v>0</v>
      </c>
      <c r="R128" s="239">
        <v>0</v>
      </c>
      <c r="S128" s="239">
        <v>0</v>
      </c>
      <c r="T128" s="239">
        <v>0</v>
      </c>
      <c r="U128" s="239">
        <v>0</v>
      </c>
      <c r="V128" s="239">
        <v>0</v>
      </c>
      <c r="W128" s="239">
        <v>0</v>
      </c>
      <c r="X128" s="239">
        <v>0</v>
      </c>
      <c r="Y128" s="239">
        <v>0</v>
      </c>
      <c r="Z128" s="239"/>
      <c r="AA128" s="239"/>
      <c r="AB128" s="239"/>
      <c r="AC128" s="239"/>
      <c r="AD128" s="239"/>
      <c r="AE128" s="239"/>
      <c r="AF128" s="239"/>
      <c r="AG128" s="239"/>
      <c r="AH128" s="239"/>
      <c r="AI128" s="239"/>
      <c r="AJ128" s="239"/>
      <c r="AK128" s="239"/>
      <c r="AL128" s="239"/>
      <c r="AM128" s="239"/>
      <c r="AN128" s="239"/>
      <c r="AO128" s="239"/>
      <c r="AP128" s="239"/>
      <c r="AQ128" s="239"/>
      <c r="AR128" s="252"/>
      <c r="AS128" s="77">
        <f t="shared" ca="1" si="42"/>
        <v>0</v>
      </c>
      <c r="AT128" s="255">
        <f t="shared" si="43"/>
        <v>0</v>
      </c>
      <c r="AU128" s="51"/>
      <c r="AV128" s="51"/>
      <c r="AW128" s="13">
        <f>+IF(AX128="","",IF(AX128&gt;AX127,AW127,IF(AW127&lt;$D$69,AW127+1,IF(COUNT(AW$4:AW127)&lt;$B$69*$E$54,1,""))))</f>
        <v>10</v>
      </c>
      <c r="AX128" s="13">
        <f>+IF(AX127&lt;$B$69,AX127+1,IF(COUNT(AX$4:AX127)&lt;$B$69*$D$69,1,""))</f>
        <v>8</v>
      </c>
      <c r="AY128" s="189" t="str">
        <f t="shared" ca="1" si="44"/>
        <v>PAULA</v>
      </c>
      <c r="AZ128" s="36">
        <f ca="1">+IF(AZ$3="","",IF($AY128="","",IFERROR(INDEX('Data Consolidada'!$E$7:$E$891,MATCH(CONCATENATE(AZ$3,"-",$CP128,"-",$AY128),'Data Consolidada'!$K$7:$K$891,0)),MAX('Data Consolidada'!$E$7:$E$3000))))</f>
        <v>11000000</v>
      </c>
      <c r="BA128" s="32">
        <f ca="1">+IF(BA$3="","",IF($AY128="","",IFERROR(INDEX('Data Consolidada'!$E$7:$E$891,MATCH(CONCATENATE(BA$3,"-",$CP128,"-",$AY128),'Data Consolidada'!$K$7:$K$891,0)),MAX('Data Consolidada'!$E$7:$E$3000))))</f>
        <v>11000000</v>
      </c>
      <c r="BB128" s="32" t="str">
        <f>+IF(BB$3="","",IF($AY128="","",IFERROR(INDEX('Data Consolidada'!$E$7:$E$891,MATCH(CONCATENATE(BB$3,"-",$CP128,"-",$AY128),'Data Consolidada'!$K$7:$K$891,0)),MAX('Data Consolidada'!$E$7:$E$3000))))</f>
        <v/>
      </c>
      <c r="BC128" s="32" t="str">
        <f>+IF(BC$3="","",IF($AY128="","",IFERROR(INDEX('Data Consolidada'!$E$7:$E$891,MATCH(CONCATENATE(BC$3,"-",$CP128,"-",$AY128),'Data Consolidada'!$K$7:$K$891,0)),MAX('Data Consolidada'!$E$7:$E$3000))))</f>
        <v/>
      </c>
      <c r="BD128" s="32" t="str">
        <f>+IF(BD$3="","",IF($AY128="","",IFERROR(INDEX('Data Consolidada'!$E$7:$E$891,MATCH(CONCATENATE(BD$3,"-",$CP128,"-",$AY128),'Data Consolidada'!$K$7:$K$891,0)),MAX('Data Consolidada'!$E$7:$E$3000))))</f>
        <v/>
      </c>
      <c r="BE128" s="32" t="str">
        <f>+IF(BE$3="","",IF($AY128="","",IFERROR(INDEX('Data Consolidada'!$E$7:$E$891,MATCH(CONCATENATE(BE$3,"-",$CP128,"-",$AY128),'Data Consolidada'!$K$7:$K$891,0)),MAX('Data Consolidada'!$E$7:$E$3000))))</f>
        <v/>
      </c>
      <c r="BF128" s="32" t="str">
        <f>+IF(BF$3="","",IF($AY128="","",IFERROR(INDEX('Data Consolidada'!$E$7:$E$891,MATCH(CONCATENATE(BF$3,"-",$CP128,"-",$AY128),'Data Consolidada'!$K$7:$K$891,0)),MAX('Data Consolidada'!$E$7:$E$3000))))</f>
        <v/>
      </c>
      <c r="BG128" s="32" t="str">
        <f>+IF(BG$3="","",IF($AY128="","",IFERROR(INDEX('Data Consolidada'!$E$7:$E$891,MATCH(CONCATENATE(BG$3,"-",$CP128,"-",$AY128),'Data Consolidada'!$K$7:$K$891,0)),MAX('Data Consolidada'!$E$7:$E$3000))))</f>
        <v/>
      </c>
      <c r="BH128" s="32" t="str">
        <f>+IF(BH$3="","",IF($AY128="","",IFERROR(INDEX('Data Consolidada'!$E$7:$E$891,MATCH(CONCATENATE(BH$3,"-",$CP128,"-",$AY128),'Data Consolidada'!$K$7:$K$891,0)),MAX('Data Consolidada'!$E$7:$E$3000))))</f>
        <v/>
      </c>
      <c r="BI128" s="32" t="str">
        <f>+IF(BI$3="","",IF($AY128="","",IFERROR(INDEX('Data Consolidada'!$E$7:$E$891,MATCH(CONCATENATE(BI$3,"-",$CP128,"-",$AY128),'Data Consolidada'!$K$7:$K$891,0)),MAX('Data Consolidada'!$E$7:$E$3000))))</f>
        <v/>
      </c>
      <c r="BJ128" s="32" t="str">
        <f>+IF(BJ$3="","",IF($AY128="","",IFERROR(INDEX('Data Consolidada'!$E$7:$E$891,MATCH(CONCATENATE(BJ$3,"-",$CP128,"-",$AY128),'Data Consolidada'!$K$7:$K$891,0)),MAX('Data Consolidada'!$E$7:$E$3000))))</f>
        <v/>
      </c>
      <c r="BK128" s="32" t="str">
        <f>+IF(BK$3="","",IF($AY128="","",IFERROR(INDEX('Data Consolidada'!$E$7:$E$891,MATCH(CONCATENATE(BK$3,"-",$CP128,"-",$AY128),'Data Consolidada'!$K$7:$K$891,0)),MAX('Data Consolidada'!$E$7:$E$3000))))</f>
        <v/>
      </c>
      <c r="BL128" s="32" t="str">
        <f>+IF(BL$3="","",IF($AY128="","",IFERROR(INDEX('Data Consolidada'!$E$7:$E$891,MATCH(CONCATENATE(BL$3,"-",$CP128,"-",$AY128),'Data Consolidada'!$K$7:$K$891,0)),MAX('Data Consolidada'!$E$7:$E$3000))))</f>
        <v/>
      </c>
      <c r="BM128" s="32" t="str">
        <f>+IF(BM$3="","",IF($AY128="","",IFERROR(INDEX('Data Consolidada'!$E$7:$E$891,MATCH(CONCATENATE(BM$3,"-",$CP128,"-",$AY128),'Data Consolidada'!$K$7:$K$891,0)),MAX('Data Consolidada'!$E$7:$E$3000))))</f>
        <v/>
      </c>
      <c r="BN128" s="32" t="str">
        <f>+IF(BN$3="","",IF($AY128="","",IFERROR(INDEX('Data Consolidada'!$E$7:$E$891,MATCH(CONCATENATE(BN$3,"-",$CP128,"-",$AY128),'Data Consolidada'!$K$7:$K$891,0)),MAX('Data Consolidada'!$E$7:$E$3000))))</f>
        <v/>
      </c>
      <c r="BO128" s="32" t="str">
        <f>+IF(BO$3="","",IF($AY128="","",IFERROR(INDEX('Data Consolidada'!$E$7:$E$891,MATCH(CONCATENATE(BO$3,"-",$CP128,"-",$AY128),'Data Consolidada'!$K$7:$K$891,0)),MAX('Data Consolidada'!$E$7:$E$3000))))</f>
        <v/>
      </c>
      <c r="BP128" s="32" t="str">
        <f>+IF(BP$3="","",IF($AY128="","",IFERROR(INDEX('Data Consolidada'!$E$7:$E$891,MATCH(CONCATENATE(BP$3,"-",$CP128,"-",$AY128),'Data Consolidada'!$K$7:$K$891,0)),MAX('Data Consolidada'!$E$7:$E$3000))))</f>
        <v/>
      </c>
      <c r="BQ128" s="32" t="str">
        <f>+IF(BQ$3="","",IF($AY128="","",IFERROR(INDEX('Data Consolidada'!$E$7:$E$891,MATCH(CONCATENATE(BQ$3,"-",$CP128,"-",$AY128),'Data Consolidada'!$K$7:$K$891,0)),MAX('Data Consolidada'!$E$7:$E$3000))))</f>
        <v/>
      </c>
      <c r="BR128" s="32" t="str">
        <f>+IF(BR$3="","",IF($AY128="","",IFERROR(INDEX('Data Consolidada'!$E$7:$E$891,MATCH(CONCATENATE(BR$3,"-",$CP128,"-",$AY128),'Data Consolidada'!$K$7:$K$891,0)),MAX('Data Consolidada'!$E$7:$E$3000))))</f>
        <v/>
      </c>
      <c r="BS128" s="32" t="str">
        <f>+IF(BS$3="","",IF($AY128="","",IFERROR(INDEX('Data Consolidada'!$E$7:$E$891,MATCH(CONCATENATE(BS$3,"-",$CP128,"-",$AY128),'Data Consolidada'!$K$7:$K$891,0)),MAX('Data Consolidada'!$E$7:$E$3000))))</f>
        <v/>
      </c>
      <c r="BT128" s="32" t="str">
        <f>+IF(BT$3="","",IF($AY128="","",IFERROR(INDEX('Data Consolidada'!$E$7:$E$891,MATCH(CONCATENATE(BT$3,"-",$CP128,"-",$AY128),'Data Consolidada'!$K$7:$K$891,0)),MAX('Data Consolidada'!$E$7:$E$3000))))</f>
        <v/>
      </c>
      <c r="BU128" s="32" t="str">
        <f>+IF(BU$3="","",IF($AY128="","",IFERROR(INDEX('Data Consolidada'!$E$7:$E$891,MATCH(CONCATENATE(BU$3,"-",$CP128,"-",$AY128),'Data Consolidada'!$K$7:$K$891,0)),MAX('Data Consolidada'!$E$7:$E$3000))))</f>
        <v/>
      </c>
      <c r="BV128" s="32" t="str">
        <f>+IF(BV$3="","",IF($AY128="","",IFERROR(INDEX('Data Consolidada'!$E$7:$E$891,MATCH(CONCATENATE(BV$3,"-",$CP128,"-",$AY128),'Data Consolidada'!$K$7:$K$891,0)),MAX('Data Consolidada'!$E$7:$E$3000))))</f>
        <v/>
      </c>
      <c r="BW128" s="32" t="str">
        <f>+IF(BW$3="","",IF($AY128="","",IFERROR(INDEX('Data Consolidada'!$E$7:$E$891,MATCH(CONCATENATE(BW$3,"-",$CP128,"-",$AY128),'Data Consolidada'!$K$7:$K$891,0)),MAX('Data Consolidada'!$E$7:$E$3000))))</f>
        <v/>
      </c>
      <c r="BX128" s="32" t="str">
        <f>+IF(BX$3="","",IF($AY128="","",IFERROR(INDEX('Data Consolidada'!$E$7:$E$891,MATCH(CONCATENATE(BX$3,"-",$CP128,"-",$AY128),'Data Consolidada'!$K$7:$K$891,0)),MAX('Data Consolidada'!$E$7:$E$3000))))</f>
        <v/>
      </c>
      <c r="BY128" s="32" t="str">
        <f>+IF(BY$3="","",IF($AY128="","",IFERROR(INDEX('Data Consolidada'!$E$7:$E$891,MATCH(CONCATENATE(BY$3,"-",$CP128,"-",$AY128),'Data Consolidada'!$K$7:$K$891,0)),MAX('Data Consolidada'!$E$7:$E$3000))))</f>
        <v/>
      </c>
      <c r="BZ128" s="32" t="str">
        <f>+IF(BZ$3="","",IF($AY128="","",IFERROR(INDEX('Data Consolidada'!$E$7:$E$891,MATCH(CONCATENATE(BZ$3,"-",$CP128,"-",$AY128),'Data Consolidada'!$K$7:$K$891,0)),MAX('Data Consolidada'!$E$7:$E$3000))))</f>
        <v/>
      </c>
      <c r="CA128" s="32" t="str">
        <f>+IF(CA$3="","",IF($AY128="","",IFERROR(INDEX('Data Consolidada'!$E$7:$E$891,MATCH(CONCATENATE(CA$3,"-",$CP128,"-",$AY128),'Data Consolidada'!$K$7:$K$891,0)),MAX('Data Consolidada'!$E$7:$E$3000))))</f>
        <v/>
      </c>
      <c r="CB128" s="32" t="str">
        <f>+IF(CB$3="","",IF($AY128="","",IFERROR(INDEX('Data Consolidada'!$E$7:$E$891,MATCH(CONCATENATE(CB$3,"-",$CP128,"-",$AY128),'Data Consolidada'!$K$7:$K$891,0)),MAX('Data Consolidada'!$E$7:$E$3000))))</f>
        <v/>
      </c>
      <c r="CC128" s="32" t="str">
        <f>+IF(CC$3="","",IF($AY128="","",IFERROR(INDEX('Data Consolidada'!$E$7:$E$891,MATCH(CONCATENATE(CC$3,"-",$CP128,"-",$AY128),'Data Consolidada'!$K$7:$K$891,0)),MAX('Data Consolidada'!$E$7:$E$3000))))</f>
        <v/>
      </c>
      <c r="CD128" s="32" t="str">
        <f>+IF(CD$3="","",IF($AY128="","",IFERROR(INDEX('Data Consolidada'!$E$7:$E$891,MATCH(CONCATENATE(CD$3,"-",$CP128,"-",$AY128),'Data Consolidada'!$K$7:$K$891,0)),MAX('Data Consolidada'!$E$7:$E$3000))))</f>
        <v/>
      </c>
      <c r="CE128" s="32" t="str">
        <f>+IF(CE$3="","",IF($AY128="","",IFERROR(INDEX('Data Consolidada'!$E$7:$E$891,MATCH(CONCATENATE(CE$3,"-",$CP128,"-",$AY128),'Data Consolidada'!$K$7:$K$891,0)),MAX('Data Consolidada'!$E$7:$E$3000))))</f>
        <v/>
      </c>
      <c r="CF128" s="32" t="str">
        <f>+IF(CF$3="","",IF($AY128="","",IFERROR(INDEX('Data Consolidada'!$E$7:$E$891,MATCH(CONCATENATE(CF$3,"-",$CP128,"-",$AY128),'Data Consolidada'!$K$7:$K$891,0)),MAX('Data Consolidada'!$E$7:$E$3000))))</f>
        <v/>
      </c>
      <c r="CG128" s="32" t="str">
        <f>+IF(CG$3="","",IF($AY128="","",IFERROR(INDEX('Data Consolidada'!$E$7:$E$891,MATCH(CONCATENATE(CG$3,"-",$CP128,"-",$AY128),'Data Consolidada'!$K$7:$K$891,0)),MAX('Data Consolidada'!$E$7:$E$3000))))</f>
        <v/>
      </c>
      <c r="CH128" s="32" t="str">
        <f>+IF(CH$3="","",IF($AY128="","",IFERROR(INDEX('Data Consolidada'!$E$7:$E$891,MATCH(CONCATENATE(CH$3,"-",$CP128,"-",$AY128),'Data Consolidada'!$K$7:$K$891,0)),MAX('Data Consolidada'!$E$7:$E$3000))))</f>
        <v/>
      </c>
      <c r="CI128" s="32" t="str">
        <f>+IF(CI$3="","",IF($AY128="","",IFERROR(INDEX('Data Consolidada'!$E$7:$E$891,MATCH(CONCATENATE(CI$3,"-",$CP128,"-",$AY128),'Data Consolidada'!$K$7:$K$891,0)),MAX('Data Consolidada'!$E$7:$E$3000))))</f>
        <v/>
      </c>
      <c r="CJ128" s="32" t="str">
        <f>+IF(CJ$3="","",IF($AY128="","",IFERROR(INDEX('Data Consolidada'!$E$7:$E$891,MATCH(CONCATENATE(CJ$3,"-",$CP128,"-",$AY128),'Data Consolidada'!$K$7:$K$891,0)),MAX('Data Consolidada'!$E$7:$E$3000))))</f>
        <v/>
      </c>
      <c r="CK128" s="32" t="str">
        <f>+IF(CK$3="","",IF($AY128="","",IFERROR(INDEX('Data Consolidada'!$E$7:$E$891,MATCH(CONCATENATE(CK$3,"-",$CP128,"-",$AY128),'Data Consolidada'!$K$7:$K$891,0)),MAX('Data Consolidada'!$E$7:$E$3000))))</f>
        <v/>
      </c>
      <c r="CL128" s="32" t="str">
        <f>+IF(CL$3="","",IF($AY128="","",IFERROR(INDEX('Data Consolidada'!$E$7:$E$891,MATCH(CONCATENATE(CL$3,"-",$CP128,"-",$AY128),'Data Consolidada'!$K$7:$K$891,0)),MAX('Data Consolidada'!$E$7:$E$3000))))</f>
        <v/>
      </c>
      <c r="CM128" s="32" t="str">
        <f>+IF(CM$3="","",IF($AY128="","",IFERROR(INDEX('Data Consolidada'!$E$7:$E$891,MATCH(CONCATENATE(CM$3,"-",$CP128,"-",$AY128),'Data Consolidada'!$K$7:$K$891,0)),MAX('Data Consolidada'!$E$7:$E$3000))))</f>
        <v/>
      </c>
      <c r="CN128" s="32" t="str">
        <f>+IF(CN$3="","",IF($AY128="","",IFERROR(INDEX('Data Consolidada'!$E$7:$E$891,MATCH(CONCATENATE(CN$3,"-",$CP128,"-",$AY128),'Data Consolidada'!$K$7:$K$891,0)),MAX('Data Consolidada'!$E$7:$E$3000))))</f>
        <v/>
      </c>
      <c r="CO128" s="37" t="str">
        <f>+IF(CO$3="","",IF($AY128="","",IFERROR(INDEX('Data Consolidada'!$E$7:$E$891,MATCH(CONCATENATE(CO$3,"-",$CP128,"-",$AY128),'Data Consolidada'!$K$7:$K$891,0)),MAX('Data Consolidada'!$E$7:$E$3000))))</f>
        <v/>
      </c>
      <c r="CP128" s="224">
        <f t="shared" ca="1" si="45"/>
        <v>0</v>
      </c>
      <c r="CQ128" s="84" t="str">
        <f t="shared" ca="1" si="39"/>
        <v>PAULA0</v>
      </c>
    </row>
    <row r="129" spans="2:95" ht="15" customHeight="1" x14ac:dyDescent="0.35">
      <c r="B129" s="218" t="str">
        <f t="shared" ca="1" si="41"/>
        <v xml:space="preserve">Manuel Sepúlveda </v>
      </c>
      <c r="C129" s="238">
        <v>0</v>
      </c>
      <c r="D129" s="239">
        <v>0</v>
      </c>
      <c r="E129" s="239">
        <v>0</v>
      </c>
      <c r="F129" s="239">
        <v>0</v>
      </c>
      <c r="G129" s="239">
        <v>0</v>
      </c>
      <c r="H129" s="239">
        <v>0</v>
      </c>
      <c r="I129" s="239">
        <v>0</v>
      </c>
      <c r="J129" s="239">
        <v>0</v>
      </c>
      <c r="K129" s="239">
        <v>0</v>
      </c>
      <c r="L129" s="239">
        <v>0</v>
      </c>
      <c r="M129" s="239">
        <v>0</v>
      </c>
      <c r="N129" s="240">
        <v>0</v>
      </c>
      <c r="O129" s="239">
        <v>0</v>
      </c>
      <c r="P129" s="239">
        <v>0</v>
      </c>
      <c r="Q129" s="239">
        <v>0</v>
      </c>
      <c r="R129" s="239">
        <v>0</v>
      </c>
      <c r="S129" s="239">
        <v>0</v>
      </c>
      <c r="T129" s="239">
        <v>0</v>
      </c>
      <c r="U129" s="239">
        <v>0</v>
      </c>
      <c r="V129" s="239">
        <v>0</v>
      </c>
      <c r="W129" s="239">
        <v>0</v>
      </c>
      <c r="X129" s="239">
        <v>0</v>
      </c>
      <c r="Y129" s="239">
        <v>0</v>
      </c>
      <c r="Z129" s="239"/>
      <c r="AA129" s="239"/>
      <c r="AB129" s="239"/>
      <c r="AC129" s="239"/>
      <c r="AD129" s="239"/>
      <c r="AE129" s="239"/>
      <c r="AF129" s="239"/>
      <c r="AG129" s="239"/>
      <c r="AH129" s="239"/>
      <c r="AI129" s="239"/>
      <c r="AJ129" s="239"/>
      <c r="AK129" s="239"/>
      <c r="AL129" s="239"/>
      <c r="AM129" s="239"/>
      <c r="AN129" s="239"/>
      <c r="AO129" s="239"/>
      <c r="AP129" s="239"/>
      <c r="AQ129" s="239"/>
      <c r="AR129" s="252"/>
      <c r="AS129" s="77">
        <f t="shared" ca="1" si="42"/>
        <v>0</v>
      </c>
      <c r="AT129" s="255">
        <f t="shared" si="43"/>
        <v>0</v>
      </c>
      <c r="AU129" s="51"/>
      <c r="AV129" s="51"/>
      <c r="AW129" s="13">
        <f>+IF(AX129="","",IF(AX129&gt;AX128,AW128,IF(AW128&lt;$D$69,AW128+1,IF(COUNT(AW$4:AW128)&lt;$B$69*$E$54,1,""))))</f>
        <v>10</v>
      </c>
      <c r="AX129" s="13">
        <f>+IF(AX128&lt;$B$69,AX128+1,IF(COUNT(AX$4:AX128)&lt;$B$69*$D$69,1,""))</f>
        <v>9</v>
      </c>
      <c r="AY129" s="189" t="str">
        <f t="shared" ca="1" si="44"/>
        <v>TH TRANSPORTES</v>
      </c>
      <c r="AZ129" s="36">
        <f ca="1">+IF(AZ$3="","",IF($AY129="","",IFERROR(INDEX('Data Consolidada'!$E$7:$E$891,MATCH(CONCATENATE(AZ$3,"-",$CP129,"-",$AY129),'Data Consolidada'!$K$7:$K$891,0)),MAX('Data Consolidada'!$E$7:$E$3000))))</f>
        <v>11000000</v>
      </c>
      <c r="BA129" s="32">
        <f ca="1">+IF(BA$3="","",IF($AY129="","",IFERROR(INDEX('Data Consolidada'!$E$7:$E$891,MATCH(CONCATENATE(BA$3,"-",$CP129,"-",$AY129),'Data Consolidada'!$K$7:$K$891,0)),MAX('Data Consolidada'!$E$7:$E$3000))))</f>
        <v>11000000</v>
      </c>
      <c r="BB129" s="32" t="str">
        <f>+IF(BB$3="","",IF($AY129="","",IFERROR(INDEX('Data Consolidada'!$E$7:$E$891,MATCH(CONCATENATE(BB$3,"-",$CP129,"-",$AY129),'Data Consolidada'!$K$7:$K$891,0)),MAX('Data Consolidada'!$E$7:$E$3000))))</f>
        <v/>
      </c>
      <c r="BC129" s="32" t="str">
        <f>+IF(BC$3="","",IF($AY129="","",IFERROR(INDEX('Data Consolidada'!$E$7:$E$891,MATCH(CONCATENATE(BC$3,"-",$CP129,"-",$AY129),'Data Consolidada'!$K$7:$K$891,0)),MAX('Data Consolidada'!$E$7:$E$3000))))</f>
        <v/>
      </c>
      <c r="BD129" s="32" t="str">
        <f>+IF(BD$3="","",IF($AY129="","",IFERROR(INDEX('Data Consolidada'!$E$7:$E$891,MATCH(CONCATENATE(BD$3,"-",$CP129,"-",$AY129),'Data Consolidada'!$K$7:$K$891,0)),MAX('Data Consolidada'!$E$7:$E$3000))))</f>
        <v/>
      </c>
      <c r="BE129" s="32" t="str">
        <f>+IF(BE$3="","",IF($AY129="","",IFERROR(INDEX('Data Consolidada'!$E$7:$E$891,MATCH(CONCATENATE(BE$3,"-",$CP129,"-",$AY129),'Data Consolidada'!$K$7:$K$891,0)),MAX('Data Consolidada'!$E$7:$E$3000))))</f>
        <v/>
      </c>
      <c r="BF129" s="32" t="str">
        <f>+IF(BF$3="","",IF($AY129="","",IFERROR(INDEX('Data Consolidada'!$E$7:$E$891,MATCH(CONCATENATE(BF$3,"-",$CP129,"-",$AY129),'Data Consolidada'!$K$7:$K$891,0)),MAX('Data Consolidada'!$E$7:$E$3000))))</f>
        <v/>
      </c>
      <c r="BG129" s="32" t="str">
        <f>+IF(BG$3="","",IF($AY129="","",IFERROR(INDEX('Data Consolidada'!$E$7:$E$891,MATCH(CONCATENATE(BG$3,"-",$CP129,"-",$AY129),'Data Consolidada'!$K$7:$K$891,0)),MAX('Data Consolidada'!$E$7:$E$3000))))</f>
        <v/>
      </c>
      <c r="BH129" s="32" t="str">
        <f>+IF(BH$3="","",IF($AY129="","",IFERROR(INDEX('Data Consolidada'!$E$7:$E$891,MATCH(CONCATENATE(BH$3,"-",$CP129,"-",$AY129),'Data Consolidada'!$K$7:$K$891,0)),MAX('Data Consolidada'!$E$7:$E$3000))))</f>
        <v/>
      </c>
      <c r="BI129" s="32" t="str">
        <f>+IF(BI$3="","",IF($AY129="","",IFERROR(INDEX('Data Consolidada'!$E$7:$E$891,MATCH(CONCATENATE(BI$3,"-",$CP129,"-",$AY129),'Data Consolidada'!$K$7:$K$891,0)),MAX('Data Consolidada'!$E$7:$E$3000))))</f>
        <v/>
      </c>
      <c r="BJ129" s="32" t="str">
        <f>+IF(BJ$3="","",IF($AY129="","",IFERROR(INDEX('Data Consolidada'!$E$7:$E$891,MATCH(CONCATENATE(BJ$3,"-",$CP129,"-",$AY129),'Data Consolidada'!$K$7:$K$891,0)),MAX('Data Consolidada'!$E$7:$E$3000))))</f>
        <v/>
      </c>
      <c r="BK129" s="32" t="str">
        <f>+IF(BK$3="","",IF($AY129="","",IFERROR(INDEX('Data Consolidada'!$E$7:$E$891,MATCH(CONCATENATE(BK$3,"-",$CP129,"-",$AY129),'Data Consolidada'!$K$7:$K$891,0)),MAX('Data Consolidada'!$E$7:$E$3000))))</f>
        <v/>
      </c>
      <c r="BL129" s="32" t="str">
        <f>+IF(BL$3="","",IF($AY129="","",IFERROR(INDEX('Data Consolidada'!$E$7:$E$891,MATCH(CONCATENATE(BL$3,"-",$CP129,"-",$AY129),'Data Consolidada'!$K$7:$K$891,0)),MAX('Data Consolidada'!$E$7:$E$3000))))</f>
        <v/>
      </c>
      <c r="BM129" s="32" t="str">
        <f>+IF(BM$3="","",IF($AY129="","",IFERROR(INDEX('Data Consolidada'!$E$7:$E$891,MATCH(CONCATENATE(BM$3,"-",$CP129,"-",$AY129),'Data Consolidada'!$K$7:$K$891,0)),MAX('Data Consolidada'!$E$7:$E$3000))))</f>
        <v/>
      </c>
      <c r="BN129" s="32" t="str">
        <f>+IF(BN$3="","",IF($AY129="","",IFERROR(INDEX('Data Consolidada'!$E$7:$E$891,MATCH(CONCATENATE(BN$3,"-",$CP129,"-",$AY129),'Data Consolidada'!$K$7:$K$891,0)),MAX('Data Consolidada'!$E$7:$E$3000))))</f>
        <v/>
      </c>
      <c r="BO129" s="32" t="str">
        <f>+IF(BO$3="","",IF($AY129="","",IFERROR(INDEX('Data Consolidada'!$E$7:$E$891,MATCH(CONCATENATE(BO$3,"-",$CP129,"-",$AY129),'Data Consolidada'!$K$7:$K$891,0)),MAX('Data Consolidada'!$E$7:$E$3000))))</f>
        <v/>
      </c>
      <c r="BP129" s="32" t="str">
        <f>+IF(BP$3="","",IF($AY129="","",IFERROR(INDEX('Data Consolidada'!$E$7:$E$891,MATCH(CONCATENATE(BP$3,"-",$CP129,"-",$AY129),'Data Consolidada'!$K$7:$K$891,0)),MAX('Data Consolidada'!$E$7:$E$3000))))</f>
        <v/>
      </c>
      <c r="BQ129" s="32" t="str">
        <f>+IF(BQ$3="","",IF($AY129="","",IFERROR(INDEX('Data Consolidada'!$E$7:$E$891,MATCH(CONCATENATE(BQ$3,"-",$CP129,"-",$AY129),'Data Consolidada'!$K$7:$K$891,0)),MAX('Data Consolidada'!$E$7:$E$3000))))</f>
        <v/>
      </c>
      <c r="BR129" s="32" t="str">
        <f>+IF(BR$3="","",IF($AY129="","",IFERROR(INDEX('Data Consolidada'!$E$7:$E$891,MATCH(CONCATENATE(BR$3,"-",$CP129,"-",$AY129),'Data Consolidada'!$K$7:$K$891,0)),MAX('Data Consolidada'!$E$7:$E$3000))))</f>
        <v/>
      </c>
      <c r="BS129" s="32" t="str">
        <f>+IF(BS$3="","",IF($AY129="","",IFERROR(INDEX('Data Consolidada'!$E$7:$E$891,MATCH(CONCATENATE(BS$3,"-",$CP129,"-",$AY129),'Data Consolidada'!$K$7:$K$891,0)),MAX('Data Consolidada'!$E$7:$E$3000))))</f>
        <v/>
      </c>
      <c r="BT129" s="32" t="str">
        <f>+IF(BT$3="","",IF($AY129="","",IFERROR(INDEX('Data Consolidada'!$E$7:$E$891,MATCH(CONCATENATE(BT$3,"-",$CP129,"-",$AY129),'Data Consolidada'!$K$7:$K$891,0)),MAX('Data Consolidada'!$E$7:$E$3000))))</f>
        <v/>
      </c>
      <c r="BU129" s="32" t="str">
        <f>+IF(BU$3="","",IF($AY129="","",IFERROR(INDEX('Data Consolidada'!$E$7:$E$891,MATCH(CONCATENATE(BU$3,"-",$CP129,"-",$AY129),'Data Consolidada'!$K$7:$K$891,0)),MAX('Data Consolidada'!$E$7:$E$3000))))</f>
        <v/>
      </c>
      <c r="BV129" s="32" t="str">
        <f>+IF(BV$3="","",IF($AY129="","",IFERROR(INDEX('Data Consolidada'!$E$7:$E$891,MATCH(CONCATENATE(BV$3,"-",$CP129,"-",$AY129),'Data Consolidada'!$K$7:$K$891,0)),MAX('Data Consolidada'!$E$7:$E$3000))))</f>
        <v/>
      </c>
      <c r="BW129" s="32" t="str">
        <f>+IF(BW$3="","",IF($AY129="","",IFERROR(INDEX('Data Consolidada'!$E$7:$E$891,MATCH(CONCATENATE(BW$3,"-",$CP129,"-",$AY129),'Data Consolidada'!$K$7:$K$891,0)),MAX('Data Consolidada'!$E$7:$E$3000))))</f>
        <v/>
      </c>
      <c r="BX129" s="32" t="str">
        <f>+IF(BX$3="","",IF($AY129="","",IFERROR(INDEX('Data Consolidada'!$E$7:$E$891,MATCH(CONCATENATE(BX$3,"-",$CP129,"-",$AY129),'Data Consolidada'!$K$7:$K$891,0)),MAX('Data Consolidada'!$E$7:$E$3000))))</f>
        <v/>
      </c>
      <c r="BY129" s="32" t="str">
        <f>+IF(BY$3="","",IF($AY129="","",IFERROR(INDEX('Data Consolidada'!$E$7:$E$891,MATCH(CONCATENATE(BY$3,"-",$CP129,"-",$AY129),'Data Consolidada'!$K$7:$K$891,0)),MAX('Data Consolidada'!$E$7:$E$3000))))</f>
        <v/>
      </c>
      <c r="BZ129" s="32" t="str">
        <f>+IF(BZ$3="","",IF($AY129="","",IFERROR(INDEX('Data Consolidada'!$E$7:$E$891,MATCH(CONCATENATE(BZ$3,"-",$CP129,"-",$AY129),'Data Consolidada'!$K$7:$K$891,0)),MAX('Data Consolidada'!$E$7:$E$3000))))</f>
        <v/>
      </c>
      <c r="CA129" s="32" t="str">
        <f>+IF(CA$3="","",IF($AY129="","",IFERROR(INDEX('Data Consolidada'!$E$7:$E$891,MATCH(CONCATENATE(CA$3,"-",$CP129,"-",$AY129),'Data Consolidada'!$K$7:$K$891,0)),MAX('Data Consolidada'!$E$7:$E$3000))))</f>
        <v/>
      </c>
      <c r="CB129" s="32" t="str">
        <f>+IF(CB$3="","",IF($AY129="","",IFERROR(INDEX('Data Consolidada'!$E$7:$E$891,MATCH(CONCATENATE(CB$3,"-",$CP129,"-",$AY129),'Data Consolidada'!$K$7:$K$891,0)),MAX('Data Consolidada'!$E$7:$E$3000))))</f>
        <v/>
      </c>
      <c r="CC129" s="32" t="str">
        <f>+IF(CC$3="","",IF($AY129="","",IFERROR(INDEX('Data Consolidada'!$E$7:$E$891,MATCH(CONCATENATE(CC$3,"-",$CP129,"-",$AY129),'Data Consolidada'!$K$7:$K$891,0)),MAX('Data Consolidada'!$E$7:$E$3000))))</f>
        <v/>
      </c>
      <c r="CD129" s="32" t="str">
        <f>+IF(CD$3="","",IF($AY129="","",IFERROR(INDEX('Data Consolidada'!$E$7:$E$891,MATCH(CONCATENATE(CD$3,"-",$CP129,"-",$AY129),'Data Consolidada'!$K$7:$K$891,0)),MAX('Data Consolidada'!$E$7:$E$3000))))</f>
        <v/>
      </c>
      <c r="CE129" s="32" t="str">
        <f>+IF(CE$3="","",IF($AY129="","",IFERROR(INDEX('Data Consolidada'!$E$7:$E$891,MATCH(CONCATENATE(CE$3,"-",$CP129,"-",$AY129),'Data Consolidada'!$K$7:$K$891,0)),MAX('Data Consolidada'!$E$7:$E$3000))))</f>
        <v/>
      </c>
      <c r="CF129" s="32" t="str">
        <f>+IF(CF$3="","",IF($AY129="","",IFERROR(INDEX('Data Consolidada'!$E$7:$E$891,MATCH(CONCATENATE(CF$3,"-",$CP129,"-",$AY129),'Data Consolidada'!$K$7:$K$891,0)),MAX('Data Consolidada'!$E$7:$E$3000))))</f>
        <v/>
      </c>
      <c r="CG129" s="32" t="str">
        <f>+IF(CG$3="","",IF($AY129="","",IFERROR(INDEX('Data Consolidada'!$E$7:$E$891,MATCH(CONCATENATE(CG$3,"-",$CP129,"-",$AY129),'Data Consolidada'!$K$7:$K$891,0)),MAX('Data Consolidada'!$E$7:$E$3000))))</f>
        <v/>
      </c>
      <c r="CH129" s="32" t="str">
        <f>+IF(CH$3="","",IF($AY129="","",IFERROR(INDEX('Data Consolidada'!$E$7:$E$891,MATCH(CONCATENATE(CH$3,"-",$CP129,"-",$AY129),'Data Consolidada'!$K$7:$K$891,0)),MAX('Data Consolidada'!$E$7:$E$3000))))</f>
        <v/>
      </c>
      <c r="CI129" s="32" t="str">
        <f>+IF(CI$3="","",IF($AY129="","",IFERROR(INDEX('Data Consolidada'!$E$7:$E$891,MATCH(CONCATENATE(CI$3,"-",$CP129,"-",$AY129),'Data Consolidada'!$K$7:$K$891,0)),MAX('Data Consolidada'!$E$7:$E$3000))))</f>
        <v/>
      </c>
      <c r="CJ129" s="32" t="str">
        <f>+IF(CJ$3="","",IF($AY129="","",IFERROR(INDEX('Data Consolidada'!$E$7:$E$891,MATCH(CONCATENATE(CJ$3,"-",$CP129,"-",$AY129),'Data Consolidada'!$K$7:$K$891,0)),MAX('Data Consolidada'!$E$7:$E$3000))))</f>
        <v/>
      </c>
      <c r="CK129" s="32" t="str">
        <f>+IF(CK$3="","",IF($AY129="","",IFERROR(INDEX('Data Consolidada'!$E$7:$E$891,MATCH(CONCATENATE(CK$3,"-",$CP129,"-",$AY129),'Data Consolidada'!$K$7:$K$891,0)),MAX('Data Consolidada'!$E$7:$E$3000))))</f>
        <v/>
      </c>
      <c r="CL129" s="32" t="str">
        <f>+IF(CL$3="","",IF($AY129="","",IFERROR(INDEX('Data Consolidada'!$E$7:$E$891,MATCH(CONCATENATE(CL$3,"-",$CP129,"-",$AY129),'Data Consolidada'!$K$7:$K$891,0)),MAX('Data Consolidada'!$E$7:$E$3000))))</f>
        <v/>
      </c>
      <c r="CM129" s="32" t="str">
        <f>+IF(CM$3="","",IF($AY129="","",IFERROR(INDEX('Data Consolidada'!$E$7:$E$891,MATCH(CONCATENATE(CM$3,"-",$CP129,"-",$AY129),'Data Consolidada'!$K$7:$K$891,0)),MAX('Data Consolidada'!$E$7:$E$3000))))</f>
        <v/>
      </c>
      <c r="CN129" s="32" t="str">
        <f>+IF(CN$3="","",IF($AY129="","",IFERROR(INDEX('Data Consolidada'!$E$7:$E$891,MATCH(CONCATENATE(CN$3,"-",$CP129,"-",$AY129),'Data Consolidada'!$K$7:$K$891,0)),MAX('Data Consolidada'!$E$7:$E$3000))))</f>
        <v/>
      </c>
      <c r="CO129" s="37" t="str">
        <f>+IF(CO$3="","",IF($AY129="","",IFERROR(INDEX('Data Consolidada'!$E$7:$E$891,MATCH(CONCATENATE(CO$3,"-",$CP129,"-",$AY129),'Data Consolidada'!$K$7:$K$891,0)),MAX('Data Consolidada'!$E$7:$E$3000))))</f>
        <v/>
      </c>
      <c r="CP129" s="224">
        <f t="shared" ca="1" si="45"/>
        <v>0</v>
      </c>
      <c r="CQ129" s="84" t="str">
        <f t="shared" ca="1" si="39"/>
        <v>TH TRANSPORTES0</v>
      </c>
    </row>
    <row r="130" spans="2:95" ht="15" customHeight="1" x14ac:dyDescent="0.35">
      <c r="B130" s="218" t="str">
        <f t="shared" ca="1" si="41"/>
        <v>PARRAO</v>
      </c>
      <c r="C130" s="238">
        <v>0</v>
      </c>
      <c r="D130" s="239">
        <v>0</v>
      </c>
      <c r="E130" s="239">
        <v>0</v>
      </c>
      <c r="F130" s="239">
        <v>0</v>
      </c>
      <c r="G130" s="239">
        <v>0</v>
      </c>
      <c r="H130" s="239">
        <v>0</v>
      </c>
      <c r="I130" s="239">
        <v>0</v>
      </c>
      <c r="J130" s="239">
        <v>0</v>
      </c>
      <c r="K130" s="239">
        <v>0</v>
      </c>
      <c r="L130" s="239">
        <v>0</v>
      </c>
      <c r="M130" s="239">
        <v>0</v>
      </c>
      <c r="N130" s="240">
        <v>0</v>
      </c>
      <c r="O130" s="239">
        <v>0</v>
      </c>
      <c r="P130" s="239">
        <v>0</v>
      </c>
      <c r="Q130" s="239">
        <v>0</v>
      </c>
      <c r="R130" s="239">
        <v>0</v>
      </c>
      <c r="S130" s="239">
        <v>0</v>
      </c>
      <c r="T130" s="239">
        <v>0</v>
      </c>
      <c r="U130" s="239">
        <v>0</v>
      </c>
      <c r="V130" s="239">
        <v>0</v>
      </c>
      <c r="W130" s="239">
        <v>0</v>
      </c>
      <c r="X130" s="239">
        <v>0</v>
      </c>
      <c r="Y130" s="239">
        <v>0</v>
      </c>
      <c r="Z130" s="239"/>
      <c r="AA130" s="239"/>
      <c r="AB130" s="239"/>
      <c r="AC130" s="239"/>
      <c r="AD130" s="239"/>
      <c r="AE130" s="239"/>
      <c r="AF130" s="239"/>
      <c r="AG130" s="239"/>
      <c r="AH130" s="239"/>
      <c r="AI130" s="239"/>
      <c r="AJ130" s="239"/>
      <c r="AK130" s="239"/>
      <c r="AL130" s="239"/>
      <c r="AM130" s="239"/>
      <c r="AN130" s="239"/>
      <c r="AO130" s="239"/>
      <c r="AP130" s="239"/>
      <c r="AQ130" s="239"/>
      <c r="AR130" s="252"/>
      <c r="AS130" s="77">
        <f t="shared" ca="1" si="42"/>
        <v>0</v>
      </c>
      <c r="AT130" s="255">
        <f t="shared" si="43"/>
        <v>0</v>
      </c>
      <c r="AU130" s="51"/>
      <c r="AV130" s="51"/>
      <c r="AW130" s="13">
        <f>+IF(AX130="","",IF(AX130&gt;AX129,AW129,IF(AW129&lt;$D$69,AW129+1,IF(COUNT(AW$4:AW129)&lt;$B$69*$E$54,1,""))))</f>
        <v>10</v>
      </c>
      <c r="AX130" s="13">
        <f>+IF(AX129&lt;$B$69,AX129+1,IF(COUNT(AX$4:AX129)&lt;$B$69*$D$69,1,""))</f>
        <v>10</v>
      </c>
      <c r="AY130" s="189" t="str">
        <f t="shared" ca="1" si="44"/>
        <v>TRAIDILL</v>
      </c>
      <c r="AZ130" s="36">
        <f ca="1">+IF(AZ$3="","",IF($AY130="","",IFERROR(INDEX('Data Consolidada'!$E$7:$E$891,MATCH(CONCATENATE(AZ$3,"-",$CP130,"-",$AY130),'Data Consolidada'!$K$7:$K$891,0)),MAX('Data Consolidada'!$E$7:$E$3000))))</f>
        <v>11000000</v>
      </c>
      <c r="BA130" s="32">
        <f ca="1">+IF(BA$3="","",IF($AY130="","",IFERROR(INDEX('Data Consolidada'!$E$7:$E$891,MATCH(CONCATENATE(BA$3,"-",$CP130,"-",$AY130),'Data Consolidada'!$K$7:$K$891,0)),MAX('Data Consolidada'!$E$7:$E$3000))))</f>
        <v>11000000</v>
      </c>
      <c r="BB130" s="32" t="str">
        <f>+IF(BB$3="","",IF($AY130="","",IFERROR(INDEX('Data Consolidada'!$E$7:$E$891,MATCH(CONCATENATE(BB$3,"-",$CP130,"-",$AY130),'Data Consolidada'!$K$7:$K$891,0)),MAX('Data Consolidada'!$E$7:$E$3000))))</f>
        <v/>
      </c>
      <c r="BC130" s="32" t="str">
        <f>+IF(BC$3="","",IF($AY130="","",IFERROR(INDEX('Data Consolidada'!$E$7:$E$891,MATCH(CONCATENATE(BC$3,"-",$CP130,"-",$AY130),'Data Consolidada'!$K$7:$K$891,0)),MAX('Data Consolidada'!$E$7:$E$3000))))</f>
        <v/>
      </c>
      <c r="BD130" s="32" t="str">
        <f>+IF(BD$3="","",IF($AY130="","",IFERROR(INDEX('Data Consolidada'!$E$7:$E$891,MATCH(CONCATENATE(BD$3,"-",$CP130,"-",$AY130),'Data Consolidada'!$K$7:$K$891,0)),MAX('Data Consolidada'!$E$7:$E$3000))))</f>
        <v/>
      </c>
      <c r="BE130" s="32" t="str">
        <f>+IF(BE$3="","",IF($AY130="","",IFERROR(INDEX('Data Consolidada'!$E$7:$E$891,MATCH(CONCATENATE(BE$3,"-",$CP130,"-",$AY130),'Data Consolidada'!$K$7:$K$891,0)),MAX('Data Consolidada'!$E$7:$E$3000))))</f>
        <v/>
      </c>
      <c r="BF130" s="32" t="str">
        <f>+IF(BF$3="","",IF($AY130="","",IFERROR(INDEX('Data Consolidada'!$E$7:$E$891,MATCH(CONCATENATE(BF$3,"-",$CP130,"-",$AY130),'Data Consolidada'!$K$7:$K$891,0)),MAX('Data Consolidada'!$E$7:$E$3000))))</f>
        <v/>
      </c>
      <c r="BG130" s="32" t="str">
        <f>+IF(BG$3="","",IF($AY130="","",IFERROR(INDEX('Data Consolidada'!$E$7:$E$891,MATCH(CONCATENATE(BG$3,"-",$CP130,"-",$AY130),'Data Consolidada'!$K$7:$K$891,0)),MAX('Data Consolidada'!$E$7:$E$3000))))</f>
        <v/>
      </c>
      <c r="BH130" s="32" t="str">
        <f>+IF(BH$3="","",IF($AY130="","",IFERROR(INDEX('Data Consolidada'!$E$7:$E$891,MATCH(CONCATENATE(BH$3,"-",$CP130,"-",$AY130),'Data Consolidada'!$K$7:$K$891,0)),MAX('Data Consolidada'!$E$7:$E$3000))))</f>
        <v/>
      </c>
      <c r="BI130" s="32" t="str">
        <f>+IF(BI$3="","",IF($AY130="","",IFERROR(INDEX('Data Consolidada'!$E$7:$E$891,MATCH(CONCATENATE(BI$3,"-",$CP130,"-",$AY130),'Data Consolidada'!$K$7:$K$891,0)),MAX('Data Consolidada'!$E$7:$E$3000))))</f>
        <v/>
      </c>
      <c r="BJ130" s="32" t="str">
        <f>+IF(BJ$3="","",IF($AY130="","",IFERROR(INDEX('Data Consolidada'!$E$7:$E$891,MATCH(CONCATENATE(BJ$3,"-",$CP130,"-",$AY130),'Data Consolidada'!$K$7:$K$891,0)),MAX('Data Consolidada'!$E$7:$E$3000))))</f>
        <v/>
      </c>
      <c r="BK130" s="32" t="str">
        <f>+IF(BK$3="","",IF($AY130="","",IFERROR(INDEX('Data Consolidada'!$E$7:$E$891,MATCH(CONCATENATE(BK$3,"-",$CP130,"-",$AY130),'Data Consolidada'!$K$7:$K$891,0)),MAX('Data Consolidada'!$E$7:$E$3000))))</f>
        <v/>
      </c>
      <c r="BL130" s="32" t="str">
        <f>+IF(BL$3="","",IF($AY130="","",IFERROR(INDEX('Data Consolidada'!$E$7:$E$891,MATCH(CONCATENATE(BL$3,"-",$CP130,"-",$AY130),'Data Consolidada'!$K$7:$K$891,0)),MAX('Data Consolidada'!$E$7:$E$3000))))</f>
        <v/>
      </c>
      <c r="BM130" s="32" t="str">
        <f>+IF(BM$3="","",IF($AY130="","",IFERROR(INDEX('Data Consolidada'!$E$7:$E$891,MATCH(CONCATENATE(BM$3,"-",$CP130,"-",$AY130),'Data Consolidada'!$K$7:$K$891,0)),MAX('Data Consolidada'!$E$7:$E$3000))))</f>
        <v/>
      </c>
      <c r="BN130" s="32" t="str">
        <f>+IF(BN$3="","",IF($AY130="","",IFERROR(INDEX('Data Consolidada'!$E$7:$E$891,MATCH(CONCATENATE(BN$3,"-",$CP130,"-",$AY130),'Data Consolidada'!$K$7:$K$891,0)),MAX('Data Consolidada'!$E$7:$E$3000))))</f>
        <v/>
      </c>
      <c r="BO130" s="32" t="str">
        <f>+IF(BO$3="","",IF($AY130="","",IFERROR(INDEX('Data Consolidada'!$E$7:$E$891,MATCH(CONCATENATE(BO$3,"-",$CP130,"-",$AY130),'Data Consolidada'!$K$7:$K$891,0)),MAX('Data Consolidada'!$E$7:$E$3000))))</f>
        <v/>
      </c>
      <c r="BP130" s="32" t="str">
        <f>+IF(BP$3="","",IF($AY130="","",IFERROR(INDEX('Data Consolidada'!$E$7:$E$891,MATCH(CONCATENATE(BP$3,"-",$CP130,"-",$AY130),'Data Consolidada'!$K$7:$K$891,0)),MAX('Data Consolidada'!$E$7:$E$3000))))</f>
        <v/>
      </c>
      <c r="BQ130" s="32" t="str">
        <f>+IF(BQ$3="","",IF($AY130="","",IFERROR(INDEX('Data Consolidada'!$E$7:$E$891,MATCH(CONCATENATE(BQ$3,"-",$CP130,"-",$AY130),'Data Consolidada'!$K$7:$K$891,0)),MAX('Data Consolidada'!$E$7:$E$3000))))</f>
        <v/>
      </c>
      <c r="BR130" s="32" t="str">
        <f>+IF(BR$3="","",IF($AY130="","",IFERROR(INDEX('Data Consolidada'!$E$7:$E$891,MATCH(CONCATENATE(BR$3,"-",$CP130,"-",$AY130),'Data Consolidada'!$K$7:$K$891,0)),MAX('Data Consolidada'!$E$7:$E$3000))))</f>
        <v/>
      </c>
      <c r="BS130" s="32" t="str">
        <f>+IF(BS$3="","",IF($AY130="","",IFERROR(INDEX('Data Consolidada'!$E$7:$E$891,MATCH(CONCATENATE(BS$3,"-",$CP130,"-",$AY130),'Data Consolidada'!$K$7:$K$891,0)),MAX('Data Consolidada'!$E$7:$E$3000))))</f>
        <v/>
      </c>
      <c r="BT130" s="32" t="str">
        <f>+IF(BT$3="","",IF($AY130="","",IFERROR(INDEX('Data Consolidada'!$E$7:$E$891,MATCH(CONCATENATE(BT$3,"-",$CP130,"-",$AY130),'Data Consolidada'!$K$7:$K$891,0)),MAX('Data Consolidada'!$E$7:$E$3000))))</f>
        <v/>
      </c>
      <c r="BU130" s="32" t="str">
        <f>+IF(BU$3="","",IF($AY130="","",IFERROR(INDEX('Data Consolidada'!$E$7:$E$891,MATCH(CONCATENATE(BU$3,"-",$CP130,"-",$AY130),'Data Consolidada'!$K$7:$K$891,0)),MAX('Data Consolidada'!$E$7:$E$3000))))</f>
        <v/>
      </c>
      <c r="BV130" s="32" t="str">
        <f>+IF(BV$3="","",IF($AY130="","",IFERROR(INDEX('Data Consolidada'!$E$7:$E$891,MATCH(CONCATENATE(BV$3,"-",$CP130,"-",$AY130),'Data Consolidada'!$K$7:$K$891,0)),MAX('Data Consolidada'!$E$7:$E$3000))))</f>
        <v/>
      </c>
      <c r="BW130" s="32" t="str">
        <f>+IF(BW$3="","",IF($AY130="","",IFERROR(INDEX('Data Consolidada'!$E$7:$E$891,MATCH(CONCATENATE(BW$3,"-",$CP130,"-",$AY130),'Data Consolidada'!$K$7:$K$891,0)),MAX('Data Consolidada'!$E$7:$E$3000))))</f>
        <v/>
      </c>
      <c r="BX130" s="32" t="str">
        <f>+IF(BX$3="","",IF($AY130="","",IFERROR(INDEX('Data Consolidada'!$E$7:$E$891,MATCH(CONCATENATE(BX$3,"-",$CP130,"-",$AY130),'Data Consolidada'!$K$7:$K$891,0)),MAX('Data Consolidada'!$E$7:$E$3000))))</f>
        <v/>
      </c>
      <c r="BY130" s="32" t="str">
        <f>+IF(BY$3="","",IF($AY130="","",IFERROR(INDEX('Data Consolidada'!$E$7:$E$891,MATCH(CONCATENATE(BY$3,"-",$CP130,"-",$AY130),'Data Consolidada'!$K$7:$K$891,0)),MAX('Data Consolidada'!$E$7:$E$3000))))</f>
        <v/>
      </c>
      <c r="BZ130" s="32" t="str">
        <f>+IF(BZ$3="","",IF($AY130="","",IFERROR(INDEX('Data Consolidada'!$E$7:$E$891,MATCH(CONCATENATE(BZ$3,"-",$CP130,"-",$AY130),'Data Consolidada'!$K$7:$K$891,0)),MAX('Data Consolidada'!$E$7:$E$3000))))</f>
        <v/>
      </c>
      <c r="CA130" s="32" t="str">
        <f>+IF(CA$3="","",IF($AY130="","",IFERROR(INDEX('Data Consolidada'!$E$7:$E$891,MATCH(CONCATENATE(CA$3,"-",$CP130,"-",$AY130),'Data Consolidada'!$K$7:$K$891,0)),MAX('Data Consolidada'!$E$7:$E$3000))))</f>
        <v/>
      </c>
      <c r="CB130" s="32" t="str">
        <f>+IF(CB$3="","",IF($AY130="","",IFERROR(INDEX('Data Consolidada'!$E$7:$E$891,MATCH(CONCATENATE(CB$3,"-",$CP130,"-",$AY130),'Data Consolidada'!$K$7:$K$891,0)),MAX('Data Consolidada'!$E$7:$E$3000))))</f>
        <v/>
      </c>
      <c r="CC130" s="32" t="str">
        <f>+IF(CC$3="","",IF($AY130="","",IFERROR(INDEX('Data Consolidada'!$E$7:$E$891,MATCH(CONCATENATE(CC$3,"-",$CP130,"-",$AY130),'Data Consolidada'!$K$7:$K$891,0)),MAX('Data Consolidada'!$E$7:$E$3000))))</f>
        <v/>
      </c>
      <c r="CD130" s="32" t="str">
        <f>+IF(CD$3="","",IF($AY130="","",IFERROR(INDEX('Data Consolidada'!$E$7:$E$891,MATCH(CONCATENATE(CD$3,"-",$CP130,"-",$AY130),'Data Consolidada'!$K$7:$K$891,0)),MAX('Data Consolidada'!$E$7:$E$3000))))</f>
        <v/>
      </c>
      <c r="CE130" s="32" t="str">
        <f>+IF(CE$3="","",IF($AY130="","",IFERROR(INDEX('Data Consolidada'!$E$7:$E$891,MATCH(CONCATENATE(CE$3,"-",$CP130,"-",$AY130),'Data Consolidada'!$K$7:$K$891,0)),MAX('Data Consolidada'!$E$7:$E$3000))))</f>
        <v/>
      </c>
      <c r="CF130" s="32" t="str">
        <f>+IF(CF$3="","",IF($AY130="","",IFERROR(INDEX('Data Consolidada'!$E$7:$E$891,MATCH(CONCATENATE(CF$3,"-",$CP130,"-",$AY130),'Data Consolidada'!$K$7:$K$891,0)),MAX('Data Consolidada'!$E$7:$E$3000))))</f>
        <v/>
      </c>
      <c r="CG130" s="32" t="str">
        <f>+IF(CG$3="","",IF($AY130="","",IFERROR(INDEX('Data Consolidada'!$E$7:$E$891,MATCH(CONCATENATE(CG$3,"-",$CP130,"-",$AY130),'Data Consolidada'!$K$7:$K$891,0)),MAX('Data Consolidada'!$E$7:$E$3000))))</f>
        <v/>
      </c>
      <c r="CH130" s="32" t="str">
        <f>+IF(CH$3="","",IF($AY130="","",IFERROR(INDEX('Data Consolidada'!$E$7:$E$891,MATCH(CONCATENATE(CH$3,"-",$CP130,"-",$AY130),'Data Consolidada'!$K$7:$K$891,0)),MAX('Data Consolidada'!$E$7:$E$3000))))</f>
        <v/>
      </c>
      <c r="CI130" s="32" t="str">
        <f>+IF(CI$3="","",IF($AY130="","",IFERROR(INDEX('Data Consolidada'!$E$7:$E$891,MATCH(CONCATENATE(CI$3,"-",$CP130,"-",$AY130),'Data Consolidada'!$K$7:$K$891,0)),MAX('Data Consolidada'!$E$7:$E$3000))))</f>
        <v/>
      </c>
      <c r="CJ130" s="32" t="str">
        <f>+IF(CJ$3="","",IF($AY130="","",IFERROR(INDEX('Data Consolidada'!$E$7:$E$891,MATCH(CONCATENATE(CJ$3,"-",$CP130,"-",$AY130),'Data Consolidada'!$K$7:$K$891,0)),MAX('Data Consolidada'!$E$7:$E$3000))))</f>
        <v/>
      </c>
      <c r="CK130" s="32" t="str">
        <f>+IF(CK$3="","",IF($AY130="","",IFERROR(INDEX('Data Consolidada'!$E$7:$E$891,MATCH(CONCATENATE(CK$3,"-",$CP130,"-",$AY130),'Data Consolidada'!$K$7:$K$891,0)),MAX('Data Consolidada'!$E$7:$E$3000))))</f>
        <v/>
      </c>
      <c r="CL130" s="32" t="str">
        <f>+IF(CL$3="","",IF($AY130="","",IFERROR(INDEX('Data Consolidada'!$E$7:$E$891,MATCH(CONCATENATE(CL$3,"-",$CP130,"-",$AY130),'Data Consolidada'!$K$7:$K$891,0)),MAX('Data Consolidada'!$E$7:$E$3000))))</f>
        <v/>
      </c>
      <c r="CM130" s="32" t="str">
        <f>+IF(CM$3="","",IF($AY130="","",IFERROR(INDEX('Data Consolidada'!$E$7:$E$891,MATCH(CONCATENATE(CM$3,"-",$CP130,"-",$AY130),'Data Consolidada'!$K$7:$K$891,0)),MAX('Data Consolidada'!$E$7:$E$3000))))</f>
        <v/>
      </c>
      <c r="CN130" s="32" t="str">
        <f>+IF(CN$3="","",IF($AY130="","",IFERROR(INDEX('Data Consolidada'!$E$7:$E$891,MATCH(CONCATENATE(CN$3,"-",$CP130,"-",$AY130),'Data Consolidada'!$K$7:$K$891,0)),MAX('Data Consolidada'!$E$7:$E$3000))))</f>
        <v/>
      </c>
      <c r="CO130" s="37" t="str">
        <f>+IF(CO$3="","",IF($AY130="","",IFERROR(INDEX('Data Consolidada'!$E$7:$E$891,MATCH(CONCATENATE(CO$3,"-",$CP130,"-",$AY130),'Data Consolidada'!$K$7:$K$891,0)),MAX('Data Consolidada'!$E$7:$E$3000))))</f>
        <v/>
      </c>
      <c r="CP130" s="224">
        <f t="shared" ca="1" si="45"/>
        <v>0</v>
      </c>
      <c r="CQ130" s="84" t="str">
        <f t="shared" ca="1" si="39"/>
        <v>TRAIDILL0</v>
      </c>
    </row>
    <row r="131" spans="2:95" ht="15" customHeight="1" x14ac:dyDescent="0.35">
      <c r="B131" s="218" t="str">
        <f t="shared" ca="1" si="41"/>
        <v>PAULA</v>
      </c>
      <c r="C131" s="238">
        <v>0</v>
      </c>
      <c r="D131" s="239">
        <v>0</v>
      </c>
      <c r="E131" s="239">
        <v>0</v>
      </c>
      <c r="F131" s="239">
        <v>0</v>
      </c>
      <c r="G131" s="239">
        <v>0</v>
      </c>
      <c r="H131" s="239">
        <v>0</v>
      </c>
      <c r="I131" s="239">
        <v>0</v>
      </c>
      <c r="J131" s="239">
        <v>0</v>
      </c>
      <c r="K131" s="239">
        <v>0</v>
      </c>
      <c r="L131" s="239">
        <v>0</v>
      </c>
      <c r="M131" s="239">
        <v>0</v>
      </c>
      <c r="N131" s="240">
        <v>0</v>
      </c>
      <c r="O131" s="239">
        <v>0</v>
      </c>
      <c r="P131" s="239">
        <v>0</v>
      </c>
      <c r="Q131" s="239">
        <v>0</v>
      </c>
      <c r="R131" s="239">
        <v>0</v>
      </c>
      <c r="S131" s="239">
        <v>0</v>
      </c>
      <c r="T131" s="239">
        <v>0</v>
      </c>
      <c r="U131" s="239">
        <v>0</v>
      </c>
      <c r="V131" s="239">
        <v>0</v>
      </c>
      <c r="W131" s="239">
        <v>0</v>
      </c>
      <c r="X131" s="239">
        <v>0</v>
      </c>
      <c r="Y131" s="239">
        <v>0</v>
      </c>
      <c r="Z131" s="239"/>
      <c r="AA131" s="239"/>
      <c r="AB131" s="239"/>
      <c r="AC131" s="239"/>
      <c r="AD131" s="239"/>
      <c r="AE131" s="239"/>
      <c r="AF131" s="239"/>
      <c r="AG131" s="239"/>
      <c r="AH131" s="239"/>
      <c r="AI131" s="239"/>
      <c r="AJ131" s="239"/>
      <c r="AK131" s="239"/>
      <c r="AL131" s="239"/>
      <c r="AM131" s="239"/>
      <c r="AN131" s="239"/>
      <c r="AO131" s="239"/>
      <c r="AP131" s="239"/>
      <c r="AQ131" s="239"/>
      <c r="AR131" s="252"/>
      <c r="AS131" s="77">
        <f t="shared" ca="1" si="42"/>
        <v>0</v>
      </c>
      <c r="AT131" s="255">
        <f t="shared" si="43"/>
        <v>0</v>
      </c>
      <c r="AU131" s="51"/>
      <c r="AV131" s="51"/>
      <c r="AW131" s="13">
        <f>+IF(AX131="","",IF(AX131&gt;AX130,AW130,IF(AW130&lt;$D$69,AW130+1,IF(COUNT(AW$4:AW130)&lt;$B$69*$E$54,1,""))))</f>
        <v>10</v>
      </c>
      <c r="AX131" s="13">
        <f>+IF(AX130&lt;$B$69,AX130+1,IF(COUNT(AX$4:AX130)&lt;$B$69*$D$69,1,""))</f>
        <v>11</v>
      </c>
      <c r="AY131" s="189" t="str">
        <f t="shared" ca="1" si="44"/>
        <v>TRANS. ALMENDRAL</v>
      </c>
      <c r="AZ131" s="36">
        <f ca="1">+IF(AZ$3="","",IF($AY131="","",IFERROR(INDEX('Data Consolidada'!$E$7:$E$891,MATCH(CONCATENATE(AZ$3,"-",$CP131,"-",$AY131),'Data Consolidada'!$K$7:$K$891,0)),MAX('Data Consolidada'!$E$7:$E$3000))))</f>
        <v>11000000</v>
      </c>
      <c r="BA131" s="32">
        <f ca="1">+IF(BA$3="","",IF($AY131="","",IFERROR(INDEX('Data Consolidada'!$E$7:$E$891,MATCH(CONCATENATE(BA$3,"-",$CP131,"-",$AY131),'Data Consolidada'!$K$7:$K$891,0)),MAX('Data Consolidada'!$E$7:$E$3000))))</f>
        <v>11000000</v>
      </c>
      <c r="BB131" s="32" t="str">
        <f>+IF(BB$3="","",IF($AY131="","",IFERROR(INDEX('Data Consolidada'!$E$7:$E$891,MATCH(CONCATENATE(BB$3,"-",$CP131,"-",$AY131),'Data Consolidada'!$K$7:$K$891,0)),MAX('Data Consolidada'!$E$7:$E$3000))))</f>
        <v/>
      </c>
      <c r="BC131" s="32" t="str">
        <f>+IF(BC$3="","",IF($AY131="","",IFERROR(INDEX('Data Consolidada'!$E$7:$E$891,MATCH(CONCATENATE(BC$3,"-",$CP131,"-",$AY131),'Data Consolidada'!$K$7:$K$891,0)),MAX('Data Consolidada'!$E$7:$E$3000))))</f>
        <v/>
      </c>
      <c r="BD131" s="32" t="str">
        <f>+IF(BD$3="","",IF($AY131="","",IFERROR(INDEX('Data Consolidada'!$E$7:$E$891,MATCH(CONCATENATE(BD$3,"-",$CP131,"-",$AY131),'Data Consolidada'!$K$7:$K$891,0)),MAX('Data Consolidada'!$E$7:$E$3000))))</f>
        <v/>
      </c>
      <c r="BE131" s="32" t="str">
        <f>+IF(BE$3="","",IF($AY131="","",IFERROR(INDEX('Data Consolidada'!$E$7:$E$891,MATCH(CONCATENATE(BE$3,"-",$CP131,"-",$AY131),'Data Consolidada'!$K$7:$K$891,0)),MAX('Data Consolidada'!$E$7:$E$3000))))</f>
        <v/>
      </c>
      <c r="BF131" s="32" t="str">
        <f>+IF(BF$3="","",IF($AY131="","",IFERROR(INDEX('Data Consolidada'!$E$7:$E$891,MATCH(CONCATENATE(BF$3,"-",$CP131,"-",$AY131),'Data Consolidada'!$K$7:$K$891,0)),MAX('Data Consolidada'!$E$7:$E$3000))))</f>
        <v/>
      </c>
      <c r="BG131" s="32" t="str">
        <f>+IF(BG$3="","",IF($AY131="","",IFERROR(INDEX('Data Consolidada'!$E$7:$E$891,MATCH(CONCATENATE(BG$3,"-",$CP131,"-",$AY131),'Data Consolidada'!$K$7:$K$891,0)),MAX('Data Consolidada'!$E$7:$E$3000))))</f>
        <v/>
      </c>
      <c r="BH131" s="32" t="str">
        <f>+IF(BH$3="","",IF($AY131="","",IFERROR(INDEX('Data Consolidada'!$E$7:$E$891,MATCH(CONCATENATE(BH$3,"-",$CP131,"-",$AY131),'Data Consolidada'!$K$7:$K$891,0)),MAX('Data Consolidada'!$E$7:$E$3000))))</f>
        <v/>
      </c>
      <c r="BI131" s="32" t="str">
        <f>+IF(BI$3="","",IF($AY131="","",IFERROR(INDEX('Data Consolidada'!$E$7:$E$891,MATCH(CONCATENATE(BI$3,"-",$CP131,"-",$AY131),'Data Consolidada'!$K$7:$K$891,0)),MAX('Data Consolidada'!$E$7:$E$3000))))</f>
        <v/>
      </c>
      <c r="BJ131" s="32" t="str">
        <f>+IF(BJ$3="","",IF($AY131="","",IFERROR(INDEX('Data Consolidada'!$E$7:$E$891,MATCH(CONCATENATE(BJ$3,"-",$CP131,"-",$AY131),'Data Consolidada'!$K$7:$K$891,0)),MAX('Data Consolidada'!$E$7:$E$3000))))</f>
        <v/>
      </c>
      <c r="BK131" s="32" t="str">
        <f>+IF(BK$3="","",IF($AY131="","",IFERROR(INDEX('Data Consolidada'!$E$7:$E$891,MATCH(CONCATENATE(BK$3,"-",$CP131,"-",$AY131),'Data Consolidada'!$K$7:$K$891,0)),MAX('Data Consolidada'!$E$7:$E$3000))))</f>
        <v/>
      </c>
      <c r="BL131" s="32" t="str">
        <f>+IF(BL$3="","",IF($AY131="","",IFERROR(INDEX('Data Consolidada'!$E$7:$E$891,MATCH(CONCATENATE(BL$3,"-",$CP131,"-",$AY131),'Data Consolidada'!$K$7:$K$891,0)),MAX('Data Consolidada'!$E$7:$E$3000))))</f>
        <v/>
      </c>
      <c r="BM131" s="32" t="str">
        <f>+IF(BM$3="","",IF($AY131="","",IFERROR(INDEX('Data Consolidada'!$E$7:$E$891,MATCH(CONCATENATE(BM$3,"-",$CP131,"-",$AY131),'Data Consolidada'!$K$7:$K$891,0)),MAX('Data Consolidada'!$E$7:$E$3000))))</f>
        <v/>
      </c>
      <c r="BN131" s="32" t="str">
        <f>+IF(BN$3="","",IF($AY131="","",IFERROR(INDEX('Data Consolidada'!$E$7:$E$891,MATCH(CONCATENATE(BN$3,"-",$CP131,"-",$AY131),'Data Consolidada'!$K$7:$K$891,0)),MAX('Data Consolidada'!$E$7:$E$3000))))</f>
        <v/>
      </c>
      <c r="BO131" s="32" t="str">
        <f>+IF(BO$3="","",IF($AY131="","",IFERROR(INDEX('Data Consolidada'!$E$7:$E$891,MATCH(CONCATENATE(BO$3,"-",$CP131,"-",$AY131),'Data Consolidada'!$K$7:$K$891,0)),MAX('Data Consolidada'!$E$7:$E$3000))))</f>
        <v/>
      </c>
      <c r="BP131" s="32" t="str">
        <f>+IF(BP$3="","",IF($AY131="","",IFERROR(INDEX('Data Consolidada'!$E$7:$E$891,MATCH(CONCATENATE(BP$3,"-",$CP131,"-",$AY131),'Data Consolidada'!$K$7:$K$891,0)),MAX('Data Consolidada'!$E$7:$E$3000))))</f>
        <v/>
      </c>
      <c r="BQ131" s="32" t="str">
        <f>+IF(BQ$3="","",IF($AY131="","",IFERROR(INDEX('Data Consolidada'!$E$7:$E$891,MATCH(CONCATENATE(BQ$3,"-",$CP131,"-",$AY131),'Data Consolidada'!$K$7:$K$891,0)),MAX('Data Consolidada'!$E$7:$E$3000))))</f>
        <v/>
      </c>
      <c r="BR131" s="32" t="str">
        <f>+IF(BR$3="","",IF($AY131="","",IFERROR(INDEX('Data Consolidada'!$E$7:$E$891,MATCH(CONCATENATE(BR$3,"-",$CP131,"-",$AY131),'Data Consolidada'!$K$7:$K$891,0)),MAX('Data Consolidada'!$E$7:$E$3000))))</f>
        <v/>
      </c>
      <c r="BS131" s="32" t="str">
        <f>+IF(BS$3="","",IF($AY131="","",IFERROR(INDEX('Data Consolidada'!$E$7:$E$891,MATCH(CONCATENATE(BS$3,"-",$CP131,"-",$AY131),'Data Consolidada'!$K$7:$K$891,0)),MAX('Data Consolidada'!$E$7:$E$3000))))</f>
        <v/>
      </c>
      <c r="BT131" s="32" t="str">
        <f>+IF(BT$3="","",IF($AY131="","",IFERROR(INDEX('Data Consolidada'!$E$7:$E$891,MATCH(CONCATENATE(BT$3,"-",$CP131,"-",$AY131),'Data Consolidada'!$K$7:$K$891,0)),MAX('Data Consolidada'!$E$7:$E$3000))))</f>
        <v/>
      </c>
      <c r="BU131" s="32" t="str">
        <f>+IF(BU$3="","",IF($AY131="","",IFERROR(INDEX('Data Consolidada'!$E$7:$E$891,MATCH(CONCATENATE(BU$3,"-",$CP131,"-",$AY131),'Data Consolidada'!$K$7:$K$891,0)),MAX('Data Consolidada'!$E$7:$E$3000))))</f>
        <v/>
      </c>
      <c r="BV131" s="32" t="str">
        <f>+IF(BV$3="","",IF($AY131="","",IFERROR(INDEX('Data Consolidada'!$E$7:$E$891,MATCH(CONCATENATE(BV$3,"-",$CP131,"-",$AY131),'Data Consolidada'!$K$7:$K$891,0)),MAX('Data Consolidada'!$E$7:$E$3000))))</f>
        <v/>
      </c>
      <c r="BW131" s="32" t="str">
        <f>+IF(BW$3="","",IF($AY131="","",IFERROR(INDEX('Data Consolidada'!$E$7:$E$891,MATCH(CONCATENATE(BW$3,"-",$CP131,"-",$AY131),'Data Consolidada'!$K$7:$K$891,0)),MAX('Data Consolidada'!$E$7:$E$3000))))</f>
        <v/>
      </c>
      <c r="BX131" s="32" t="str">
        <f>+IF(BX$3="","",IF($AY131="","",IFERROR(INDEX('Data Consolidada'!$E$7:$E$891,MATCH(CONCATENATE(BX$3,"-",$CP131,"-",$AY131),'Data Consolidada'!$K$7:$K$891,0)),MAX('Data Consolidada'!$E$7:$E$3000))))</f>
        <v/>
      </c>
      <c r="BY131" s="32" t="str">
        <f>+IF(BY$3="","",IF($AY131="","",IFERROR(INDEX('Data Consolidada'!$E$7:$E$891,MATCH(CONCATENATE(BY$3,"-",$CP131,"-",$AY131),'Data Consolidada'!$K$7:$K$891,0)),MAX('Data Consolidada'!$E$7:$E$3000))))</f>
        <v/>
      </c>
      <c r="BZ131" s="32" t="str">
        <f>+IF(BZ$3="","",IF($AY131="","",IFERROR(INDEX('Data Consolidada'!$E$7:$E$891,MATCH(CONCATENATE(BZ$3,"-",$CP131,"-",$AY131),'Data Consolidada'!$K$7:$K$891,0)),MAX('Data Consolidada'!$E$7:$E$3000))))</f>
        <v/>
      </c>
      <c r="CA131" s="32" t="str">
        <f>+IF(CA$3="","",IF($AY131="","",IFERROR(INDEX('Data Consolidada'!$E$7:$E$891,MATCH(CONCATENATE(CA$3,"-",$CP131,"-",$AY131),'Data Consolidada'!$K$7:$K$891,0)),MAX('Data Consolidada'!$E$7:$E$3000))))</f>
        <v/>
      </c>
      <c r="CB131" s="32" t="str">
        <f>+IF(CB$3="","",IF($AY131="","",IFERROR(INDEX('Data Consolidada'!$E$7:$E$891,MATCH(CONCATENATE(CB$3,"-",$CP131,"-",$AY131),'Data Consolidada'!$K$7:$K$891,0)),MAX('Data Consolidada'!$E$7:$E$3000))))</f>
        <v/>
      </c>
      <c r="CC131" s="32" t="str">
        <f>+IF(CC$3="","",IF($AY131="","",IFERROR(INDEX('Data Consolidada'!$E$7:$E$891,MATCH(CONCATENATE(CC$3,"-",$CP131,"-",$AY131),'Data Consolidada'!$K$7:$K$891,0)),MAX('Data Consolidada'!$E$7:$E$3000))))</f>
        <v/>
      </c>
      <c r="CD131" s="32" t="str">
        <f>+IF(CD$3="","",IF($AY131="","",IFERROR(INDEX('Data Consolidada'!$E$7:$E$891,MATCH(CONCATENATE(CD$3,"-",$CP131,"-",$AY131),'Data Consolidada'!$K$7:$K$891,0)),MAX('Data Consolidada'!$E$7:$E$3000))))</f>
        <v/>
      </c>
      <c r="CE131" s="32" t="str">
        <f>+IF(CE$3="","",IF($AY131="","",IFERROR(INDEX('Data Consolidada'!$E$7:$E$891,MATCH(CONCATENATE(CE$3,"-",$CP131,"-",$AY131),'Data Consolidada'!$K$7:$K$891,0)),MAX('Data Consolidada'!$E$7:$E$3000))))</f>
        <v/>
      </c>
      <c r="CF131" s="32" t="str">
        <f>+IF(CF$3="","",IF($AY131="","",IFERROR(INDEX('Data Consolidada'!$E$7:$E$891,MATCH(CONCATENATE(CF$3,"-",$CP131,"-",$AY131),'Data Consolidada'!$K$7:$K$891,0)),MAX('Data Consolidada'!$E$7:$E$3000))))</f>
        <v/>
      </c>
      <c r="CG131" s="32" t="str">
        <f>+IF(CG$3="","",IF($AY131="","",IFERROR(INDEX('Data Consolidada'!$E$7:$E$891,MATCH(CONCATENATE(CG$3,"-",$CP131,"-",$AY131),'Data Consolidada'!$K$7:$K$891,0)),MAX('Data Consolidada'!$E$7:$E$3000))))</f>
        <v/>
      </c>
      <c r="CH131" s="32" t="str">
        <f>+IF(CH$3="","",IF($AY131="","",IFERROR(INDEX('Data Consolidada'!$E$7:$E$891,MATCH(CONCATENATE(CH$3,"-",$CP131,"-",$AY131),'Data Consolidada'!$K$7:$K$891,0)),MAX('Data Consolidada'!$E$7:$E$3000))))</f>
        <v/>
      </c>
      <c r="CI131" s="32" t="str">
        <f>+IF(CI$3="","",IF($AY131="","",IFERROR(INDEX('Data Consolidada'!$E$7:$E$891,MATCH(CONCATENATE(CI$3,"-",$CP131,"-",$AY131),'Data Consolidada'!$K$7:$K$891,0)),MAX('Data Consolidada'!$E$7:$E$3000))))</f>
        <v/>
      </c>
      <c r="CJ131" s="32" t="str">
        <f>+IF(CJ$3="","",IF($AY131="","",IFERROR(INDEX('Data Consolidada'!$E$7:$E$891,MATCH(CONCATENATE(CJ$3,"-",$CP131,"-",$AY131),'Data Consolidada'!$K$7:$K$891,0)),MAX('Data Consolidada'!$E$7:$E$3000))))</f>
        <v/>
      </c>
      <c r="CK131" s="32" t="str">
        <f>+IF(CK$3="","",IF($AY131="","",IFERROR(INDEX('Data Consolidada'!$E$7:$E$891,MATCH(CONCATENATE(CK$3,"-",$CP131,"-",$AY131),'Data Consolidada'!$K$7:$K$891,0)),MAX('Data Consolidada'!$E$7:$E$3000))))</f>
        <v/>
      </c>
      <c r="CL131" s="32" t="str">
        <f>+IF(CL$3="","",IF($AY131="","",IFERROR(INDEX('Data Consolidada'!$E$7:$E$891,MATCH(CONCATENATE(CL$3,"-",$CP131,"-",$AY131),'Data Consolidada'!$K$7:$K$891,0)),MAX('Data Consolidada'!$E$7:$E$3000))))</f>
        <v/>
      </c>
      <c r="CM131" s="32" t="str">
        <f>+IF(CM$3="","",IF($AY131="","",IFERROR(INDEX('Data Consolidada'!$E$7:$E$891,MATCH(CONCATENATE(CM$3,"-",$CP131,"-",$AY131),'Data Consolidada'!$K$7:$K$891,0)),MAX('Data Consolidada'!$E$7:$E$3000))))</f>
        <v/>
      </c>
      <c r="CN131" s="32" t="str">
        <f>+IF(CN$3="","",IF($AY131="","",IFERROR(INDEX('Data Consolidada'!$E$7:$E$891,MATCH(CONCATENATE(CN$3,"-",$CP131,"-",$AY131),'Data Consolidada'!$K$7:$K$891,0)),MAX('Data Consolidada'!$E$7:$E$3000))))</f>
        <v/>
      </c>
      <c r="CO131" s="37" t="str">
        <f>+IF(CO$3="","",IF($AY131="","",IFERROR(INDEX('Data Consolidada'!$E$7:$E$891,MATCH(CONCATENATE(CO$3,"-",$CP131,"-",$AY131),'Data Consolidada'!$K$7:$K$891,0)),MAX('Data Consolidada'!$E$7:$E$3000))))</f>
        <v/>
      </c>
      <c r="CP131" s="224">
        <f t="shared" ca="1" si="45"/>
        <v>0</v>
      </c>
      <c r="CQ131" s="84" t="str">
        <f t="shared" ca="1" si="39"/>
        <v>TRANS. ALMENDRAL0</v>
      </c>
    </row>
    <row r="132" spans="2:95" ht="15" customHeight="1" x14ac:dyDescent="0.35">
      <c r="B132" s="218" t="str">
        <f t="shared" ca="1" si="41"/>
        <v>TH TRANSPORTES</v>
      </c>
      <c r="C132" s="238">
        <v>0</v>
      </c>
      <c r="D132" s="239">
        <v>0</v>
      </c>
      <c r="E132" s="239">
        <v>0</v>
      </c>
      <c r="F132" s="239">
        <v>0</v>
      </c>
      <c r="G132" s="239">
        <v>0</v>
      </c>
      <c r="H132" s="239">
        <v>0</v>
      </c>
      <c r="I132" s="239">
        <v>0</v>
      </c>
      <c r="J132" s="239">
        <v>0</v>
      </c>
      <c r="K132" s="239">
        <v>0</v>
      </c>
      <c r="L132" s="239">
        <v>0</v>
      </c>
      <c r="M132" s="239">
        <v>0</v>
      </c>
      <c r="N132" s="240">
        <v>0</v>
      </c>
      <c r="O132" s="239">
        <v>0</v>
      </c>
      <c r="P132" s="239">
        <v>0</v>
      </c>
      <c r="Q132" s="239">
        <v>0</v>
      </c>
      <c r="R132" s="239">
        <v>0</v>
      </c>
      <c r="S132" s="239">
        <v>0</v>
      </c>
      <c r="T132" s="239">
        <v>0</v>
      </c>
      <c r="U132" s="239">
        <v>0</v>
      </c>
      <c r="V132" s="239">
        <v>0</v>
      </c>
      <c r="W132" s="239">
        <v>0</v>
      </c>
      <c r="X132" s="239">
        <v>0</v>
      </c>
      <c r="Y132" s="239">
        <v>0</v>
      </c>
      <c r="Z132" s="239"/>
      <c r="AA132" s="239"/>
      <c r="AB132" s="239"/>
      <c r="AC132" s="239"/>
      <c r="AD132" s="239"/>
      <c r="AE132" s="239"/>
      <c r="AF132" s="239"/>
      <c r="AG132" s="239"/>
      <c r="AH132" s="239"/>
      <c r="AI132" s="239"/>
      <c r="AJ132" s="239"/>
      <c r="AK132" s="239"/>
      <c r="AL132" s="239"/>
      <c r="AM132" s="239"/>
      <c r="AN132" s="239"/>
      <c r="AO132" s="239"/>
      <c r="AP132" s="239"/>
      <c r="AQ132" s="239"/>
      <c r="AR132" s="252"/>
      <c r="AS132" s="77">
        <f t="shared" ca="1" si="42"/>
        <v>0</v>
      </c>
      <c r="AT132" s="255">
        <f t="shared" si="43"/>
        <v>0</v>
      </c>
      <c r="AU132" s="51"/>
      <c r="AV132" s="51"/>
      <c r="AW132" s="13">
        <f>+IF(AX132="","",IF(AX132&gt;AX131,AW131,IF(AW131&lt;$D$69,AW131+1,IF(COUNT(AW$4:AW131)&lt;$B$69*$E$54,1,""))))</f>
        <v>10</v>
      </c>
      <c r="AX132" s="13">
        <f>+IF(AX131&lt;$B$69,AX131+1,IF(COUNT(AX$4:AX131)&lt;$B$69*$D$69,1,""))</f>
        <v>12</v>
      </c>
      <c r="AY132" s="189" t="str">
        <f t="shared" ca="1" si="44"/>
        <v>TRANS. MAX SOTO G. E.I.R.L.</v>
      </c>
      <c r="AZ132" s="36">
        <f ca="1">+IF(AZ$3="","",IF($AY132="","",IFERROR(INDEX('Data Consolidada'!$E$7:$E$891,MATCH(CONCATENATE(AZ$3,"-",$CP132,"-",$AY132),'Data Consolidada'!$K$7:$K$891,0)),MAX('Data Consolidada'!$E$7:$E$3000))))</f>
        <v>11000000</v>
      </c>
      <c r="BA132" s="32">
        <f ca="1">+IF(BA$3="","",IF($AY132="","",IFERROR(INDEX('Data Consolidada'!$E$7:$E$891,MATCH(CONCATENATE(BA$3,"-",$CP132,"-",$AY132),'Data Consolidada'!$K$7:$K$891,0)),MAX('Data Consolidada'!$E$7:$E$3000))))</f>
        <v>11000000</v>
      </c>
      <c r="BB132" s="32" t="str">
        <f>+IF(BB$3="","",IF($AY132="","",IFERROR(INDEX('Data Consolidada'!$E$7:$E$891,MATCH(CONCATENATE(BB$3,"-",$CP132,"-",$AY132),'Data Consolidada'!$K$7:$K$891,0)),MAX('Data Consolidada'!$E$7:$E$3000))))</f>
        <v/>
      </c>
      <c r="BC132" s="32" t="str">
        <f>+IF(BC$3="","",IF($AY132="","",IFERROR(INDEX('Data Consolidada'!$E$7:$E$891,MATCH(CONCATENATE(BC$3,"-",$CP132,"-",$AY132),'Data Consolidada'!$K$7:$K$891,0)),MAX('Data Consolidada'!$E$7:$E$3000))))</f>
        <v/>
      </c>
      <c r="BD132" s="32" t="str">
        <f>+IF(BD$3="","",IF($AY132="","",IFERROR(INDEX('Data Consolidada'!$E$7:$E$891,MATCH(CONCATENATE(BD$3,"-",$CP132,"-",$AY132),'Data Consolidada'!$K$7:$K$891,0)),MAX('Data Consolidada'!$E$7:$E$3000))))</f>
        <v/>
      </c>
      <c r="BE132" s="32" t="str">
        <f>+IF(BE$3="","",IF($AY132="","",IFERROR(INDEX('Data Consolidada'!$E$7:$E$891,MATCH(CONCATENATE(BE$3,"-",$CP132,"-",$AY132),'Data Consolidada'!$K$7:$K$891,0)),MAX('Data Consolidada'!$E$7:$E$3000))))</f>
        <v/>
      </c>
      <c r="BF132" s="32" t="str">
        <f>+IF(BF$3="","",IF($AY132="","",IFERROR(INDEX('Data Consolidada'!$E$7:$E$891,MATCH(CONCATENATE(BF$3,"-",$CP132,"-",$AY132),'Data Consolidada'!$K$7:$K$891,0)),MAX('Data Consolidada'!$E$7:$E$3000))))</f>
        <v/>
      </c>
      <c r="BG132" s="32" t="str">
        <f>+IF(BG$3="","",IF($AY132="","",IFERROR(INDEX('Data Consolidada'!$E$7:$E$891,MATCH(CONCATENATE(BG$3,"-",$CP132,"-",$AY132),'Data Consolidada'!$K$7:$K$891,0)),MAX('Data Consolidada'!$E$7:$E$3000))))</f>
        <v/>
      </c>
      <c r="BH132" s="32" t="str">
        <f>+IF(BH$3="","",IF($AY132="","",IFERROR(INDEX('Data Consolidada'!$E$7:$E$891,MATCH(CONCATENATE(BH$3,"-",$CP132,"-",$AY132),'Data Consolidada'!$K$7:$K$891,0)),MAX('Data Consolidada'!$E$7:$E$3000))))</f>
        <v/>
      </c>
      <c r="BI132" s="32" t="str">
        <f>+IF(BI$3="","",IF($AY132="","",IFERROR(INDEX('Data Consolidada'!$E$7:$E$891,MATCH(CONCATENATE(BI$3,"-",$CP132,"-",$AY132),'Data Consolidada'!$K$7:$K$891,0)),MAX('Data Consolidada'!$E$7:$E$3000))))</f>
        <v/>
      </c>
      <c r="BJ132" s="32" t="str">
        <f>+IF(BJ$3="","",IF($AY132="","",IFERROR(INDEX('Data Consolidada'!$E$7:$E$891,MATCH(CONCATENATE(BJ$3,"-",$CP132,"-",$AY132),'Data Consolidada'!$K$7:$K$891,0)),MAX('Data Consolidada'!$E$7:$E$3000))))</f>
        <v/>
      </c>
      <c r="BK132" s="32" t="str">
        <f>+IF(BK$3="","",IF($AY132="","",IFERROR(INDEX('Data Consolidada'!$E$7:$E$891,MATCH(CONCATENATE(BK$3,"-",$CP132,"-",$AY132),'Data Consolidada'!$K$7:$K$891,0)),MAX('Data Consolidada'!$E$7:$E$3000))))</f>
        <v/>
      </c>
      <c r="BL132" s="32" t="str">
        <f>+IF(BL$3="","",IF($AY132="","",IFERROR(INDEX('Data Consolidada'!$E$7:$E$891,MATCH(CONCATENATE(BL$3,"-",$CP132,"-",$AY132),'Data Consolidada'!$K$7:$K$891,0)),MAX('Data Consolidada'!$E$7:$E$3000))))</f>
        <v/>
      </c>
      <c r="BM132" s="32" t="str">
        <f>+IF(BM$3="","",IF($AY132="","",IFERROR(INDEX('Data Consolidada'!$E$7:$E$891,MATCH(CONCATENATE(BM$3,"-",$CP132,"-",$AY132),'Data Consolidada'!$K$7:$K$891,0)),MAX('Data Consolidada'!$E$7:$E$3000))))</f>
        <v/>
      </c>
      <c r="BN132" s="32" t="str">
        <f>+IF(BN$3="","",IF($AY132="","",IFERROR(INDEX('Data Consolidada'!$E$7:$E$891,MATCH(CONCATENATE(BN$3,"-",$CP132,"-",$AY132),'Data Consolidada'!$K$7:$K$891,0)),MAX('Data Consolidada'!$E$7:$E$3000))))</f>
        <v/>
      </c>
      <c r="BO132" s="32" t="str">
        <f>+IF(BO$3="","",IF($AY132="","",IFERROR(INDEX('Data Consolidada'!$E$7:$E$891,MATCH(CONCATENATE(BO$3,"-",$CP132,"-",$AY132),'Data Consolidada'!$K$7:$K$891,0)),MAX('Data Consolidada'!$E$7:$E$3000))))</f>
        <v/>
      </c>
      <c r="BP132" s="32" t="str">
        <f>+IF(BP$3="","",IF($AY132="","",IFERROR(INDEX('Data Consolidada'!$E$7:$E$891,MATCH(CONCATENATE(BP$3,"-",$CP132,"-",$AY132),'Data Consolidada'!$K$7:$K$891,0)),MAX('Data Consolidada'!$E$7:$E$3000))))</f>
        <v/>
      </c>
      <c r="BQ132" s="32" t="str">
        <f>+IF(BQ$3="","",IF($AY132="","",IFERROR(INDEX('Data Consolidada'!$E$7:$E$891,MATCH(CONCATENATE(BQ$3,"-",$CP132,"-",$AY132),'Data Consolidada'!$K$7:$K$891,0)),MAX('Data Consolidada'!$E$7:$E$3000))))</f>
        <v/>
      </c>
      <c r="BR132" s="32" t="str">
        <f>+IF(BR$3="","",IF($AY132="","",IFERROR(INDEX('Data Consolidada'!$E$7:$E$891,MATCH(CONCATENATE(BR$3,"-",$CP132,"-",$AY132),'Data Consolidada'!$K$7:$K$891,0)),MAX('Data Consolidada'!$E$7:$E$3000))))</f>
        <v/>
      </c>
      <c r="BS132" s="32" t="str">
        <f>+IF(BS$3="","",IF($AY132="","",IFERROR(INDEX('Data Consolidada'!$E$7:$E$891,MATCH(CONCATENATE(BS$3,"-",$CP132,"-",$AY132),'Data Consolidada'!$K$7:$K$891,0)),MAX('Data Consolidada'!$E$7:$E$3000))))</f>
        <v/>
      </c>
      <c r="BT132" s="32" t="str">
        <f>+IF(BT$3="","",IF($AY132="","",IFERROR(INDEX('Data Consolidada'!$E$7:$E$891,MATCH(CONCATENATE(BT$3,"-",$CP132,"-",$AY132),'Data Consolidada'!$K$7:$K$891,0)),MAX('Data Consolidada'!$E$7:$E$3000))))</f>
        <v/>
      </c>
      <c r="BU132" s="32" t="str">
        <f>+IF(BU$3="","",IF($AY132="","",IFERROR(INDEX('Data Consolidada'!$E$7:$E$891,MATCH(CONCATENATE(BU$3,"-",$CP132,"-",$AY132),'Data Consolidada'!$K$7:$K$891,0)),MAX('Data Consolidada'!$E$7:$E$3000))))</f>
        <v/>
      </c>
      <c r="BV132" s="32" t="str">
        <f>+IF(BV$3="","",IF($AY132="","",IFERROR(INDEX('Data Consolidada'!$E$7:$E$891,MATCH(CONCATENATE(BV$3,"-",$CP132,"-",$AY132),'Data Consolidada'!$K$7:$K$891,0)),MAX('Data Consolidada'!$E$7:$E$3000))))</f>
        <v/>
      </c>
      <c r="BW132" s="32" t="str">
        <f>+IF(BW$3="","",IF($AY132="","",IFERROR(INDEX('Data Consolidada'!$E$7:$E$891,MATCH(CONCATENATE(BW$3,"-",$CP132,"-",$AY132),'Data Consolidada'!$K$7:$K$891,0)),MAX('Data Consolidada'!$E$7:$E$3000))))</f>
        <v/>
      </c>
      <c r="BX132" s="32" t="str">
        <f>+IF(BX$3="","",IF($AY132="","",IFERROR(INDEX('Data Consolidada'!$E$7:$E$891,MATCH(CONCATENATE(BX$3,"-",$CP132,"-",$AY132),'Data Consolidada'!$K$7:$K$891,0)),MAX('Data Consolidada'!$E$7:$E$3000))))</f>
        <v/>
      </c>
      <c r="BY132" s="32" t="str">
        <f>+IF(BY$3="","",IF($AY132="","",IFERROR(INDEX('Data Consolidada'!$E$7:$E$891,MATCH(CONCATENATE(BY$3,"-",$CP132,"-",$AY132),'Data Consolidada'!$K$7:$K$891,0)),MAX('Data Consolidada'!$E$7:$E$3000))))</f>
        <v/>
      </c>
      <c r="BZ132" s="32" t="str">
        <f>+IF(BZ$3="","",IF($AY132="","",IFERROR(INDEX('Data Consolidada'!$E$7:$E$891,MATCH(CONCATENATE(BZ$3,"-",$CP132,"-",$AY132),'Data Consolidada'!$K$7:$K$891,0)),MAX('Data Consolidada'!$E$7:$E$3000))))</f>
        <v/>
      </c>
      <c r="CA132" s="32" t="str">
        <f>+IF(CA$3="","",IF($AY132="","",IFERROR(INDEX('Data Consolidada'!$E$7:$E$891,MATCH(CONCATENATE(CA$3,"-",$CP132,"-",$AY132),'Data Consolidada'!$K$7:$K$891,0)),MAX('Data Consolidada'!$E$7:$E$3000))))</f>
        <v/>
      </c>
      <c r="CB132" s="32" t="str">
        <f>+IF(CB$3="","",IF($AY132="","",IFERROR(INDEX('Data Consolidada'!$E$7:$E$891,MATCH(CONCATENATE(CB$3,"-",$CP132,"-",$AY132),'Data Consolidada'!$K$7:$K$891,0)),MAX('Data Consolidada'!$E$7:$E$3000))))</f>
        <v/>
      </c>
      <c r="CC132" s="32" t="str">
        <f>+IF(CC$3="","",IF($AY132="","",IFERROR(INDEX('Data Consolidada'!$E$7:$E$891,MATCH(CONCATENATE(CC$3,"-",$CP132,"-",$AY132),'Data Consolidada'!$K$7:$K$891,0)),MAX('Data Consolidada'!$E$7:$E$3000))))</f>
        <v/>
      </c>
      <c r="CD132" s="32" t="str">
        <f>+IF(CD$3="","",IF($AY132="","",IFERROR(INDEX('Data Consolidada'!$E$7:$E$891,MATCH(CONCATENATE(CD$3,"-",$CP132,"-",$AY132),'Data Consolidada'!$K$7:$K$891,0)),MAX('Data Consolidada'!$E$7:$E$3000))))</f>
        <v/>
      </c>
      <c r="CE132" s="32" t="str">
        <f>+IF(CE$3="","",IF($AY132="","",IFERROR(INDEX('Data Consolidada'!$E$7:$E$891,MATCH(CONCATENATE(CE$3,"-",$CP132,"-",$AY132),'Data Consolidada'!$K$7:$K$891,0)),MAX('Data Consolidada'!$E$7:$E$3000))))</f>
        <v/>
      </c>
      <c r="CF132" s="32" t="str">
        <f>+IF(CF$3="","",IF($AY132="","",IFERROR(INDEX('Data Consolidada'!$E$7:$E$891,MATCH(CONCATENATE(CF$3,"-",$CP132,"-",$AY132),'Data Consolidada'!$K$7:$K$891,0)),MAX('Data Consolidada'!$E$7:$E$3000))))</f>
        <v/>
      </c>
      <c r="CG132" s="32" t="str">
        <f>+IF(CG$3="","",IF($AY132="","",IFERROR(INDEX('Data Consolidada'!$E$7:$E$891,MATCH(CONCATENATE(CG$3,"-",$CP132,"-",$AY132),'Data Consolidada'!$K$7:$K$891,0)),MAX('Data Consolidada'!$E$7:$E$3000))))</f>
        <v/>
      </c>
      <c r="CH132" s="32" t="str">
        <f>+IF(CH$3="","",IF($AY132="","",IFERROR(INDEX('Data Consolidada'!$E$7:$E$891,MATCH(CONCATENATE(CH$3,"-",$CP132,"-",$AY132),'Data Consolidada'!$K$7:$K$891,0)),MAX('Data Consolidada'!$E$7:$E$3000))))</f>
        <v/>
      </c>
      <c r="CI132" s="32" t="str">
        <f>+IF(CI$3="","",IF($AY132="","",IFERROR(INDEX('Data Consolidada'!$E$7:$E$891,MATCH(CONCATENATE(CI$3,"-",$CP132,"-",$AY132),'Data Consolidada'!$K$7:$K$891,0)),MAX('Data Consolidada'!$E$7:$E$3000))))</f>
        <v/>
      </c>
      <c r="CJ132" s="32" t="str">
        <f>+IF(CJ$3="","",IF($AY132="","",IFERROR(INDEX('Data Consolidada'!$E$7:$E$891,MATCH(CONCATENATE(CJ$3,"-",$CP132,"-",$AY132),'Data Consolidada'!$K$7:$K$891,0)),MAX('Data Consolidada'!$E$7:$E$3000))))</f>
        <v/>
      </c>
      <c r="CK132" s="32" t="str">
        <f>+IF(CK$3="","",IF($AY132="","",IFERROR(INDEX('Data Consolidada'!$E$7:$E$891,MATCH(CONCATENATE(CK$3,"-",$CP132,"-",$AY132),'Data Consolidada'!$K$7:$K$891,0)),MAX('Data Consolidada'!$E$7:$E$3000))))</f>
        <v/>
      </c>
      <c r="CL132" s="32" t="str">
        <f>+IF(CL$3="","",IF($AY132="","",IFERROR(INDEX('Data Consolidada'!$E$7:$E$891,MATCH(CONCATENATE(CL$3,"-",$CP132,"-",$AY132),'Data Consolidada'!$K$7:$K$891,0)),MAX('Data Consolidada'!$E$7:$E$3000))))</f>
        <v/>
      </c>
      <c r="CM132" s="32" t="str">
        <f>+IF(CM$3="","",IF($AY132="","",IFERROR(INDEX('Data Consolidada'!$E$7:$E$891,MATCH(CONCATENATE(CM$3,"-",$CP132,"-",$AY132),'Data Consolidada'!$K$7:$K$891,0)),MAX('Data Consolidada'!$E$7:$E$3000))))</f>
        <v/>
      </c>
      <c r="CN132" s="32" t="str">
        <f>+IF(CN$3="","",IF($AY132="","",IFERROR(INDEX('Data Consolidada'!$E$7:$E$891,MATCH(CONCATENATE(CN$3,"-",$CP132,"-",$AY132),'Data Consolidada'!$K$7:$K$891,0)),MAX('Data Consolidada'!$E$7:$E$3000))))</f>
        <v/>
      </c>
      <c r="CO132" s="37" t="str">
        <f>+IF(CO$3="","",IF($AY132="","",IFERROR(INDEX('Data Consolidada'!$E$7:$E$891,MATCH(CONCATENATE(CO$3,"-",$CP132,"-",$AY132),'Data Consolidada'!$K$7:$K$891,0)),MAX('Data Consolidada'!$E$7:$E$3000))))</f>
        <v/>
      </c>
      <c r="CP132" s="224">
        <f t="shared" ca="1" si="45"/>
        <v>0</v>
      </c>
      <c r="CQ132" s="84" t="str">
        <f t="shared" ca="1" si="39"/>
        <v>TRANS. MAX SOTO G. E.I.R.L.0</v>
      </c>
    </row>
    <row r="133" spans="2:95" ht="15" customHeight="1" x14ac:dyDescent="0.35">
      <c r="B133" s="218" t="str">
        <f t="shared" ca="1" si="41"/>
        <v>TRAIDILL</v>
      </c>
      <c r="C133" s="238">
        <v>0</v>
      </c>
      <c r="D133" s="239">
        <v>0</v>
      </c>
      <c r="E133" s="239">
        <v>0</v>
      </c>
      <c r="F133" s="239">
        <v>0</v>
      </c>
      <c r="G133" s="239">
        <v>0</v>
      </c>
      <c r="H133" s="239">
        <v>0</v>
      </c>
      <c r="I133" s="239">
        <v>0</v>
      </c>
      <c r="J133" s="239">
        <v>0</v>
      </c>
      <c r="K133" s="239">
        <v>0</v>
      </c>
      <c r="L133" s="239">
        <v>0</v>
      </c>
      <c r="M133" s="239">
        <v>0</v>
      </c>
      <c r="N133" s="240">
        <v>0</v>
      </c>
      <c r="O133" s="239">
        <v>0</v>
      </c>
      <c r="P133" s="239">
        <v>0</v>
      </c>
      <c r="Q133" s="239">
        <v>0</v>
      </c>
      <c r="R133" s="239">
        <v>0</v>
      </c>
      <c r="S133" s="239">
        <v>0</v>
      </c>
      <c r="T133" s="239">
        <v>0</v>
      </c>
      <c r="U133" s="239">
        <v>0</v>
      </c>
      <c r="V133" s="239">
        <v>0</v>
      </c>
      <c r="W133" s="239">
        <v>0</v>
      </c>
      <c r="X133" s="239">
        <v>0</v>
      </c>
      <c r="Y133" s="239">
        <v>0</v>
      </c>
      <c r="Z133" s="239"/>
      <c r="AA133" s="239"/>
      <c r="AB133" s="239"/>
      <c r="AC133" s="239"/>
      <c r="AD133" s="239"/>
      <c r="AE133" s="239"/>
      <c r="AF133" s="239"/>
      <c r="AG133" s="239"/>
      <c r="AH133" s="239"/>
      <c r="AI133" s="239"/>
      <c r="AJ133" s="239"/>
      <c r="AK133" s="239"/>
      <c r="AL133" s="239"/>
      <c r="AM133" s="239"/>
      <c r="AN133" s="239"/>
      <c r="AO133" s="239"/>
      <c r="AP133" s="239"/>
      <c r="AQ133" s="239"/>
      <c r="AR133" s="252"/>
      <c r="AS133" s="77">
        <f t="shared" ca="1" si="42"/>
        <v>0</v>
      </c>
      <c r="AT133" s="255">
        <f t="shared" si="43"/>
        <v>0</v>
      </c>
      <c r="AU133" s="51"/>
      <c r="AV133" s="51"/>
      <c r="AW133" s="13">
        <f>+IF(AX133="","",IF(AX133&gt;AX132,AW132,IF(AW132&lt;$D$69,AW132+1,IF(COUNT(AW$4:AW132)&lt;$B$69*$E$54,1,""))))</f>
        <v>10</v>
      </c>
      <c r="AX133" s="13">
        <f>+IF(AX132&lt;$B$69,AX132+1,IF(COUNT(AX$4:AX132)&lt;$B$69*$D$69,1,""))</f>
        <v>13</v>
      </c>
      <c r="AY133" s="189" t="str">
        <f t="shared" ca="1" si="44"/>
        <v>TRANS. MITRE SPA.</v>
      </c>
      <c r="AZ133" s="36">
        <f ca="1">+IF(AZ$3="","",IF($AY133="","",IFERROR(INDEX('Data Consolidada'!$E$7:$E$891,MATCH(CONCATENATE(AZ$3,"-",$CP133,"-",$AY133),'Data Consolidada'!$K$7:$K$891,0)),MAX('Data Consolidada'!$E$7:$E$3000))))</f>
        <v>11000000</v>
      </c>
      <c r="BA133" s="32">
        <f ca="1">+IF(BA$3="","",IF($AY133="","",IFERROR(INDEX('Data Consolidada'!$E$7:$E$891,MATCH(CONCATENATE(BA$3,"-",$CP133,"-",$AY133),'Data Consolidada'!$K$7:$K$891,0)),MAX('Data Consolidada'!$E$7:$E$3000))))</f>
        <v>11000000</v>
      </c>
      <c r="BB133" s="32" t="str">
        <f>+IF(BB$3="","",IF($AY133="","",IFERROR(INDEX('Data Consolidada'!$E$7:$E$891,MATCH(CONCATENATE(BB$3,"-",$CP133,"-",$AY133),'Data Consolidada'!$K$7:$K$891,0)),MAX('Data Consolidada'!$E$7:$E$3000))))</f>
        <v/>
      </c>
      <c r="BC133" s="32" t="str">
        <f>+IF(BC$3="","",IF($AY133="","",IFERROR(INDEX('Data Consolidada'!$E$7:$E$891,MATCH(CONCATENATE(BC$3,"-",$CP133,"-",$AY133),'Data Consolidada'!$K$7:$K$891,0)),MAX('Data Consolidada'!$E$7:$E$3000))))</f>
        <v/>
      </c>
      <c r="BD133" s="32" t="str">
        <f>+IF(BD$3="","",IF($AY133="","",IFERROR(INDEX('Data Consolidada'!$E$7:$E$891,MATCH(CONCATENATE(BD$3,"-",$CP133,"-",$AY133),'Data Consolidada'!$K$7:$K$891,0)),MAX('Data Consolidada'!$E$7:$E$3000))))</f>
        <v/>
      </c>
      <c r="BE133" s="32" t="str">
        <f>+IF(BE$3="","",IF($AY133="","",IFERROR(INDEX('Data Consolidada'!$E$7:$E$891,MATCH(CONCATENATE(BE$3,"-",$CP133,"-",$AY133),'Data Consolidada'!$K$7:$K$891,0)),MAX('Data Consolidada'!$E$7:$E$3000))))</f>
        <v/>
      </c>
      <c r="BF133" s="32" t="str">
        <f>+IF(BF$3="","",IF($AY133="","",IFERROR(INDEX('Data Consolidada'!$E$7:$E$891,MATCH(CONCATENATE(BF$3,"-",$CP133,"-",$AY133),'Data Consolidada'!$K$7:$K$891,0)),MAX('Data Consolidada'!$E$7:$E$3000))))</f>
        <v/>
      </c>
      <c r="BG133" s="32" t="str">
        <f>+IF(BG$3="","",IF($AY133="","",IFERROR(INDEX('Data Consolidada'!$E$7:$E$891,MATCH(CONCATENATE(BG$3,"-",$CP133,"-",$AY133),'Data Consolidada'!$K$7:$K$891,0)),MAX('Data Consolidada'!$E$7:$E$3000))))</f>
        <v/>
      </c>
      <c r="BH133" s="32" t="str">
        <f>+IF(BH$3="","",IF($AY133="","",IFERROR(INDEX('Data Consolidada'!$E$7:$E$891,MATCH(CONCATENATE(BH$3,"-",$CP133,"-",$AY133),'Data Consolidada'!$K$7:$K$891,0)),MAX('Data Consolidada'!$E$7:$E$3000))))</f>
        <v/>
      </c>
      <c r="BI133" s="32" t="str">
        <f>+IF(BI$3="","",IF($AY133="","",IFERROR(INDEX('Data Consolidada'!$E$7:$E$891,MATCH(CONCATENATE(BI$3,"-",$CP133,"-",$AY133),'Data Consolidada'!$K$7:$K$891,0)),MAX('Data Consolidada'!$E$7:$E$3000))))</f>
        <v/>
      </c>
      <c r="BJ133" s="32" t="str">
        <f>+IF(BJ$3="","",IF($AY133="","",IFERROR(INDEX('Data Consolidada'!$E$7:$E$891,MATCH(CONCATENATE(BJ$3,"-",$CP133,"-",$AY133),'Data Consolidada'!$K$7:$K$891,0)),MAX('Data Consolidada'!$E$7:$E$3000))))</f>
        <v/>
      </c>
      <c r="BK133" s="32" t="str">
        <f>+IF(BK$3="","",IF($AY133="","",IFERROR(INDEX('Data Consolidada'!$E$7:$E$891,MATCH(CONCATENATE(BK$3,"-",$CP133,"-",$AY133),'Data Consolidada'!$K$7:$K$891,0)),MAX('Data Consolidada'!$E$7:$E$3000))))</f>
        <v/>
      </c>
      <c r="BL133" s="32" t="str">
        <f>+IF(BL$3="","",IF($AY133="","",IFERROR(INDEX('Data Consolidada'!$E$7:$E$891,MATCH(CONCATENATE(BL$3,"-",$CP133,"-",$AY133),'Data Consolidada'!$K$7:$K$891,0)),MAX('Data Consolidada'!$E$7:$E$3000))))</f>
        <v/>
      </c>
      <c r="BM133" s="32" t="str">
        <f>+IF(BM$3="","",IF($AY133="","",IFERROR(INDEX('Data Consolidada'!$E$7:$E$891,MATCH(CONCATENATE(BM$3,"-",$CP133,"-",$AY133),'Data Consolidada'!$K$7:$K$891,0)),MAX('Data Consolidada'!$E$7:$E$3000))))</f>
        <v/>
      </c>
      <c r="BN133" s="32" t="str">
        <f>+IF(BN$3="","",IF($AY133="","",IFERROR(INDEX('Data Consolidada'!$E$7:$E$891,MATCH(CONCATENATE(BN$3,"-",$CP133,"-",$AY133),'Data Consolidada'!$K$7:$K$891,0)),MAX('Data Consolidada'!$E$7:$E$3000))))</f>
        <v/>
      </c>
      <c r="BO133" s="32" t="str">
        <f>+IF(BO$3="","",IF($AY133="","",IFERROR(INDEX('Data Consolidada'!$E$7:$E$891,MATCH(CONCATENATE(BO$3,"-",$CP133,"-",$AY133),'Data Consolidada'!$K$7:$K$891,0)),MAX('Data Consolidada'!$E$7:$E$3000))))</f>
        <v/>
      </c>
      <c r="BP133" s="32" t="str">
        <f>+IF(BP$3="","",IF($AY133="","",IFERROR(INDEX('Data Consolidada'!$E$7:$E$891,MATCH(CONCATENATE(BP$3,"-",$CP133,"-",$AY133),'Data Consolidada'!$K$7:$K$891,0)),MAX('Data Consolidada'!$E$7:$E$3000))))</f>
        <v/>
      </c>
      <c r="BQ133" s="32" t="str">
        <f>+IF(BQ$3="","",IF($AY133="","",IFERROR(INDEX('Data Consolidada'!$E$7:$E$891,MATCH(CONCATENATE(BQ$3,"-",$CP133,"-",$AY133),'Data Consolidada'!$K$7:$K$891,0)),MAX('Data Consolidada'!$E$7:$E$3000))))</f>
        <v/>
      </c>
      <c r="BR133" s="32" t="str">
        <f>+IF(BR$3="","",IF($AY133="","",IFERROR(INDEX('Data Consolidada'!$E$7:$E$891,MATCH(CONCATENATE(BR$3,"-",$CP133,"-",$AY133),'Data Consolidada'!$K$7:$K$891,0)),MAX('Data Consolidada'!$E$7:$E$3000))))</f>
        <v/>
      </c>
      <c r="BS133" s="32" t="str">
        <f>+IF(BS$3="","",IF($AY133="","",IFERROR(INDEX('Data Consolidada'!$E$7:$E$891,MATCH(CONCATENATE(BS$3,"-",$CP133,"-",$AY133),'Data Consolidada'!$K$7:$K$891,0)),MAX('Data Consolidada'!$E$7:$E$3000))))</f>
        <v/>
      </c>
      <c r="BT133" s="32" t="str">
        <f>+IF(BT$3="","",IF($AY133="","",IFERROR(INDEX('Data Consolidada'!$E$7:$E$891,MATCH(CONCATENATE(BT$3,"-",$CP133,"-",$AY133),'Data Consolidada'!$K$7:$K$891,0)),MAX('Data Consolidada'!$E$7:$E$3000))))</f>
        <v/>
      </c>
      <c r="BU133" s="32" t="str">
        <f>+IF(BU$3="","",IF($AY133="","",IFERROR(INDEX('Data Consolidada'!$E$7:$E$891,MATCH(CONCATENATE(BU$3,"-",$CP133,"-",$AY133),'Data Consolidada'!$K$7:$K$891,0)),MAX('Data Consolidada'!$E$7:$E$3000))))</f>
        <v/>
      </c>
      <c r="BV133" s="32" t="str">
        <f>+IF(BV$3="","",IF($AY133="","",IFERROR(INDEX('Data Consolidada'!$E$7:$E$891,MATCH(CONCATENATE(BV$3,"-",$CP133,"-",$AY133),'Data Consolidada'!$K$7:$K$891,0)),MAX('Data Consolidada'!$E$7:$E$3000))))</f>
        <v/>
      </c>
      <c r="BW133" s="32" t="str">
        <f>+IF(BW$3="","",IF($AY133="","",IFERROR(INDEX('Data Consolidada'!$E$7:$E$891,MATCH(CONCATENATE(BW$3,"-",$CP133,"-",$AY133),'Data Consolidada'!$K$7:$K$891,0)),MAX('Data Consolidada'!$E$7:$E$3000))))</f>
        <v/>
      </c>
      <c r="BX133" s="32" t="str">
        <f>+IF(BX$3="","",IF($AY133="","",IFERROR(INDEX('Data Consolidada'!$E$7:$E$891,MATCH(CONCATENATE(BX$3,"-",$CP133,"-",$AY133),'Data Consolidada'!$K$7:$K$891,0)),MAX('Data Consolidada'!$E$7:$E$3000))))</f>
        <v/>
      </c>
      <c r="BY133" s="32" t="str">
        <f>+IF(BY$3="","",IF($AY133="","",IFERROR(INDEX('Data Consolidada'!$E$7:$E$891,MATCH(CONCATENATE(BY$3,"-",$CP133,"-",$AY133),'Data Consolidada'!$K$7:$K$891,0)),MAX('Data Consolidada'!$E$7:$E$3000))))</f>
        <v/>
      </c>
      <c r="BZ133" s="32" t="str">
        <f>+IF(BZ$3="","",IF($AY133="","",IFERROR(INDEX('Data Consolidada'!$E$7:$E$891,MATCH(CONCATENATE(BZ$3,"-",$CP133,"-",$AY133),'Data Consolidada'!$K$7:$K$891,0)),MAX('Data Consolidada'!$E$7:$E$3000))))</f>
        <v/>
      </c>
      <c r="CA133" s="32" t="str">
        <f>+IF(CA$3="","",IF($AY133="","",IFERROR(INDEX('Data Consolidada'!$E$7:$E$891,MATCH(CONCATENATE(CA$3,"-",$CP133,"-",$AY133),'Data Consolidada'!$K$7:$K$891,0)),MAX('Data Consolidada'!$E$7:$E$3000))))</f>
        <v/>
      </c>
      <c r="CB133" s="32" t="str">
        <f>+IF(CB$3="","",IF($AY133="","",IFERROR(INDEX('Data Consolidada'!$E$7:$E$891,MATCH(CONCATENATE(CB$3,"-",$CP133,"-",$AY133),'Data Consolidada'!$K$7:$K$891,0)),MAX('Data Consolidada'!$E$7:$E$3000))))</f>
        <v/>
      </c>
      <c r="CC133" s="32" t="str">
        <f>+IF(CC$3="","",IF($AY133="","",IFERROR(INDEX('Data Consolidada'!$E$7:$E$891,MATCH(CONCATENATE(CC$3,"-",$CP133,"-",$AY133),'Data Consolidada'!$K$7:$K$891,0)),MAX('Data Consolidada'!$E$7:$E$3000))))</f>
        <v/>
      </c>
      <c r="CD133" s="32" t="str">
        <f>+IF(CD$3="","",IF($AY133="","",IFERROR(INDEX('Data Consolidada'!$E$7:$E$891,MATCH(CONCATENATE(CD$3,"-",$CP133,"-",$AY133),'Data Consolidada'!$K$7:$K$891,0)),MAX('Data Consolidada'!$E$7:$E$3000))))</f>
        <v/>
      </c>
      <c r="CE133" s="32" t="str">
        <f>+IF(CE$3="","",IF($AY133="","",IFERROR(INDEX('Data Consolidada'!$E$7:$E$891,MATCH(CONCATENATE(CE$3,"-",$CP133,"-",$AY133),'Data Consolidada'!$K$7:$K$891,0)),MAX('Data Consolidada'!$E$7:$E$3000))))</f>
        <v/>
      </c>
      <c r="CF133" s="32" t="str">
        <f>+IF(CF$3="","",IF($AY133="","",IFERROR(INDEX('Data Consolidada'!$E$7:$E$891,MATCH(CONCATENATE(CF$3,"-",$CP133,"-",$AY133),'Data Consolidada'!$K$7:$K$891,0)),MAX('Data Consolidada'!$E$7:$E$3000))))</f>
        <v/>
      </c>
      <c r="CG133" s="32" t="str">
        <f>+IF(CG$3="","",IF($AY133="","",IFERROR(INDEX('Data Consolidada'!$E$7:$E$891,MATCH(CONCATENATE(CG$3,"-",$CP133,"-",$AY133),'Data Consolidada'!$K$7:$K$891,0)),MAX('Data Consolidada'!$E$7:$E$3000))))</f>
        <v/>
      </c>
      <c r="CH133" s="32" t="str">
        <f>+IF(CH$3="","",IF($AY133="","",IFERROR(INDEX('Data Consolidada'!$E$7:$E$891,MATCH(CONCATENATE(CH$3,"-",$CP133,"-",$AY133),'Data Consolidada'!$K$7:$K$891,0)),MAX('Data Consolidada'!$E$7:$E$3000))))</f>
        <v/>
      </c>
      <c r="CI133" s="32" t="str">
        <f>+IF(CI$3="","",IF($AY133="","",IFERROR(INDEX('Data Consolidada'!$E$7:$E$891,MATCH(CONCATENATE(CI$3,"-",$CP133,"-",$AY133),'Data Consolidada'!$K$7:$K$891,0)),MAX('Data Consolidada'!$E$7:$E$3000))))</f>
        <v/>
      </c>
      <c r="CJ133" s="32" t="str">
        <f>+IF(CJ$3="","",IF($AY133="","",IFERROR(INDEX('Data Consolidada'!$E$7:$E$891,MATCH(CONCATENATE(CJ$3,"-",$CP133,"-",$AY133),'Data Consolidada'!$K$7:$K$891,0)),MAX('Data Consolidada'!$E$7:$E$3000))))</f>
        <v/>
      </c>
      <c r="CK133" s="32" t="str">
        <f>+IF(CK$3="","",IF($AY133="","",IFERROR(INDEX('Data Consolidada'!$E$7:$E$891,MATCH(CONCATENATE(CK$3,"-",$CP133,"-",$AY133),'Data Consolidada'!$K$7:$K$891,0)),MAX('Data Consolidada'!$E$7:$E$3000))))</f>
        <v/>
      </c>
      <c r="CL133" s="32" t="str">
        <f>+IF(CL$3="","",IF($AY133="","",IFERROR(INDEX('Data Consolidada'!$E$7:$E$891,MATCH(CONCATENATE(CL$3,"-",$CP133,"-",$AY133),'Data Consolidada'!$K$7:$K$891,0)),MAX('Data Consolidada'!$E$7:$E$3000))))</f>
        <v/>
      </c>
      <c r="CM133" s="32" t="str">
        <f>+IF(CM$3="","",IF($AY133="","",IFERROR(INDEX('Data Consolidada'!$E$7:$E$891,MATCH(CONCATENATE(CM$3,"-",$CP133,"-",$AY133),'Data Consolidada'!$K$7:$K$891,0)),MAX('Data Consolidada'!$E$7:$E$3000))))</f>
        <v/>
      </c>
      <c r="CN133" s="32" t="str">
        <f>+IF(CN$3="","",IF($AY133="","",IFERROR(INDEX('Data Consolidada'!$E$7:$E$891,MATCH(CONCATENATE(CN$3,"-",$CP133,"-",$AY133),'Data Consolidada'!$K$7:$K$891,0)),MAX('Data Consolidada'!$E$7:$E$3000))))</f>
        <v/>
      </c>
      <c r="CO133" s="37" t="str">
        <f>+IF(CO$3="","",IF($AY133="","",IFERROR(INDEX('Data Consolidada'!$E$7:$E$891,MATCH(CONCATENATE(CO$3,"-",$CP133,"-",$AY133),'Data Consolidada'!$K$7:$K$891,0)),MAX('Data Consolidada'!$E$7:$E$3000))))</f>
        <v/>
      </c>
      <c r="CP133" s="224">
        <f t="shared" ca="1" si="45"/>
        <v>0</v>
      </c>
      <c r="CQ133" s="84" t="str">
        <f t="shared" ref="CQ133:CQ149" ca="1" si="46">+IF(CP133="","",CONCATENATE(AY133,CP133))</f>
        <v>TRANS. MITRE SPA.0</v>
      </c>
    </row>
    <row r="134" spans="2:95" ht="15" customHeight="1" x14ac:dyDescent="0.35">
      <c r="B134" s="218" t="str">
        <f t="shared" ca="1" si="41"/>
        <v>TRANS. ALMENDRAL</v>
      </c>
      <c r="C134" s="238">
        <v>0</v>
      </c>
      <c r="D134" s="239">
        <v>0</v>
      </c>
      <c r="E134" s="239">
        <v>0</v>
      </c>
      <c r="F134" s="239">
        <v>0</v>
      </c>
      <c r="G134" s="239">
        <v>0</v>
      </c>
      <c r="H134" s="239">
        <v>0</v>
      </c>
      <c r="I134" s="239">
        <v>0</v>
      </c>
      <c r="J134" s="239">
        <v>0</v>
      </c>
      <c r="K134" s="239">
        <v>0</v>
      </c>
      <c r="L134" s="239">
        <v>0</v>
      </c>
      <c r="M134" s="239">
        <v>0</v>
      </c>
      <c r="N134" s="240">
        <v>0</v>
      </c>
      <c r="O134" s="239">
        <v>0</v>
      </c>
      <c r="P134" s="239">
        <v>0</v>
      </c>
      <c r="Q134" s="239">
        <v>0</v>
      </c>
      <c r="R134" s="239">
        <v>0</v>
      </c>
      <c r="S134" s="239">
        <v>0</v>
      </c>
      <c r="T134" s="239">
        <v>0</v>
      </c>
      <c r="U134" s="239">
        <v>0</v>
      </c>
      <c r="V134" s="239">
        <v>0</v>
      </c>
      <c r="W134" s="239">
        <v>0</v>
      </c>
      <c r="X134" s="239">
        <v>0</v>
      </c>
      <c r="Y134" s="239">
        <v>0</v>
      </c>
      <c r="Z134" s="239"/>
      <c r="AA134" s="239"/>
      <c r="AB134" s="239"/>
      <c r="AC134" s="239"/>
      <c r="AD134" s="239"/>
      <c r="AE134" s="239"/>
      <c r="AF134" s="239"/>
      <c r="AG134" s="239"/>
      <c r="AH134" s="239"/>
      <c r="AI134" s="239"/>
      <c r="AJ134" s="239"/>
      <c r="AK134" s="239"/>
      <c r="AL134" s="239"/>
      <c r="AM134" s="239"/>
      <c r="AN134" s="239"/>
      <c r="AO134" s="239"/>
      <c r="AP134" s="239"/>
      <c r="AQ134" s="239"/>
      <c r="AR134" s="252"/>
      <c r="AS134" s="77">
        <f t="shared" ca="1" si="42"/>
        <v>0</v>
      </c>
      <c r="AT134" s="255">
        <f t="shared" si="43"/>
        <v>0</v>
      </c>
      <c r="AU134" s="51"/>
      <c r="AV134" s="51"/>
      <c r="AW134" s="13">
        <f>+IF(AX134="","",IF(AX134&gt;AX133,AW133,IF(AW133&lt;$D$69,AW133+1,IF(COUNT(AW$4:AW133)&lt;$B$69*$E$54,1,""))))</f>
        <v>11</v>
      </c>
      <c r="AX134" s="13">
        <f>+IF(AX133&lt;$B$69,AX133+1,IF(COUNT(AX$4:AX133)&lt;$B$69*$D$69,1,""))</f>
        <v>1</v>
      </c>
      <c r="AY134" s="189" t="str">
        <f t="shared" ca="1" si="44"/>
        <v xml:space="preserve">  TRANS. MORROS LTDA.</v>
      </c>
      <c r="AZ134" s="36">
        <f ca="1">+IF(AZ$3="","",IF($AY134="","",IFERROR(INDEX('Data Consolidada'!$E$7:$E$891,MATCH(CONCATENATE(AZ$3,"-",$CP134,"-",$AY134),'Data Consolidada'!$K$7:$K$891,0)),MAX('Data Consolidada'!$E$7:$E$3000))))</f>
        <v>11000000</v>
      </c>
      <c r="BA134" s="32">
        <f ca="1">+IF(BA$3="","",IF($AY134="","",IFERROR(INDEX('Data Consolidada'!$E$7:$E$891,MATCH(CONCATENATE(BA$3,"-",$CP134,"-",$AY134),'Data Consolidada'!$K$7:$K$891,0)),MAX('Data Consolidada'!$E$7:$E$3000))))</f>
        <v>11000000</v>
      </c>
      <c r="BB134" s="32" t="str">
        <f>+IF(BB$3="","",IF($AY134="","",IFERROR(INDEX('Data Consolidada'!$E$7:$E$891,MATCH(CONCATENATE(BB$3,"-",$CP134,"-",$AY134),'Data Consolidada'!$K$7:$K$891,0)),MAX('Data Consolidada'!$E$7:$E$3000))))</f>
        <v/>
      </c>
      <c r="BC134" s="32" t="str">
        <f>+IF(BC$3="","",IF($AY134="","",IFERROR(INDEX('Data Consolidada'!$E$7:$E$891,MATCH(CONCATENATE(BC$3,"-",$CP134,"-",$AY134),'Data Consolidada'!$K$7:$K$891,0)),MAX('Data Consolidada'!$E$7:$E$3000))))</f>
        <v/>
      </c>
      <c r="BD134" s="32" t="str">
        <f>+IF(BD$3="","",IF($AY134="","",IFERROR(INDEX('Data Consolidada'!$E$7:$E$891,MATCH(CONCATENATE(BD$3,"-",$CP134,"-",$AY134),'Data Consolidada'!$K$7:$K$891,0)),MAX('Data Consolidada'!$E$7:$E$3000))))</f>
        <v/>
      </c>
      <c r="BE134" s="32" t="str">
        <f>+IF(BE$3="","",IF($AY134="","",IFERROR(INDEX('Data Consolidada'!$E$7:$E$891,MATCH(CONCATENATE(BE$3,"-",$CP134,"-",$AY134),'Data Consolidada'!$K$7:$K$891,0)),MAX('Data Consolidada'!$E$7:$E$3000))))</f>
        <v/>
      </c>
      <c r="BF134" s="32" t="str">
        <f>+IF(BF$3="","",IF($AY134="","",IFERROR(INDEX('Data Consolidada'!$E$7:$E$891,MATCH(CONCATENATE(BF$3,"-",$CP134,"-",$AY134),'Data Consolidada'!$K$7:$K$891,0)),MAX('Data Consolidada'!$E$7:$E$3000))))</f>
        <v/>
      </c>
      <c r="BG134" s="32" t="str">
        <f>+IF(BG$3="","",IF($AY134="","",IFERROR(INDEX('Data Consolidada'!$E$7:$E$891,MATCH(CONCATENATE(BG$3,"-",$CP134,"-",$AY134),'Data Consolidada'!$K$7:$K$891,0)),MAX('Data Consolidada'!$E$7:$E$3000))))</f>
        <v/>
      </c>
      <c r="BH134" s="32" t="str">
        <f>+IF(BH$3="","",IF($AY134="","",IFERROR(INDEX('Data Consolidada'!$E$7:$E$891,MATCH(CONCATENATE(BH$3,"-",$CP134,"-",$AY134),'Data Consolidada'!$K$7:$K$891,0)),MAX('Data Consolidada'!$E$7:$E$3000))))</f>
        <v/>
      </c>
      <c r="BI134" s="32" t="str">
        <f>+IF(BI$3="","",IF($AY134="","",IFERROR(INDEX('Data Consolidada'!$E$7:$E$891,MATCH(CONCATENATE(BI$3,"-",$CP134,"-",$AY134),'Data Consolidada'!$K$7:$K$891,0)),MAX('Data Consolidada'!$E$7:$E$3000))))</f>
        <v/>
      </c>
      <c r="BJ134" s="32" t="str">
        <f>+IF(BJ$3="","",IF($AY134="","",IFERROR(INDEX('Data Consolidada'!$E$7:$E$891,MATCH(CONCATENATE(BJ$3,"-",$CP134,"-",$AY134),'Data Consolidada'!$K$7:$K$891,0)),MAX('Data Consolidada'!$E$7:$E$3000))))</f>
        <v/>
      </c>
      <c r="BK134" s="32" t="str">
        <f>+IF(BK$3="","",IF($AY134="","",IFERROR(INDEX('Data Consolidada'!$E$7:$E$891,MATCH(CONCATENATE(BK$3,"-",$CP134,"-",$AY134),'Data Consolidada'!$K$7:$K$891,0)),MAX('Data Consolidada'!$E$7:$E$3000))))</f>
        <v/>
      </c>
      <c r="BL134" s="32" t="str">
        <f>+IF(BL$3="","",IF($AY134="","",IFERROR(INDEX('Data Consolidada'!$E$7:$E$891,MATCH(CONCATENATE(BL$3,"-",$CP134,"-",$AY134),'Data Consolidada'!$K$7:$K$891,0)),MAX('Data Consolidada'!$E$7:$E$3000))))</f>
        <v/>
      </c>
      <c r="BM134" s="32" t="str">
        <f>+IF(BM$3="","",IF($AY134="","",IFERROR(INDEX('Data Consolidada'!$E$7:$E$891,MATCH(CONCATENATE(BM$3,"-",$CP134,"-",$AY134),'Data Consolidada'!$K$7:$K$891,0)),MAX('Data Consolidada'!$E$7:$E$3000))))</f>
        <v/>
      </c>
      <c r="BN134" s="32" t="str">
        <f>+IF(BN$3="","",IF($AY134="","",IFERROR(INDEX('Data Consolidada'!$E$7:$E$891,MATCH(CONCATENATE(BN$3,"-",$CP134,"-",$AY134),'Data Consolidada'!$K$7:$K$891,0)),MAX('Data Consolidada'!$E$7:$E$3000))))</f>
        <v/>
      </c>
      <c r="BO134" s="32" t="str">
        <f>+IF(BO$3="","",IF($AY134="","",IFERROR(INDEX('Data Consolidada'!$E$7:$E$891,MATCH(CONCATENATE(BO$3,"-",$CP134,"-",$AY134),'Data Consolidada'!$K$7:$K$891,0)),MAX('Data Consolidada'!$E$7:$E$3000))))</f>
        <v/>
      </c>
      <c r="BP134" s="32" t="str">
        <f>+IF(BP$3="","",IF($AY134="","",IFERROR(INDEX('Data Consolidada'!$E$7:$E$891,MATCH(CONCATENATE(BP$3,"-",$CP134,"-",$AY134),'Data Consolidada'!$K$7:$K$891,0)),MAX('Data Consolidada'!$E$7:$E$3000))))</f>
        <v/>
      </c>
      <c r="BQ134" s="32" t="str">
        <f>+IF(BQ$3="","",IF($AY134="","",IFERROR(INDEX('Data Consolidada'!$E$7:$E$891,MATCH(CONCATENATE(BQ$3,"-",$CP134,"-",$AY134),'Data Consolidada'!$K$7:$K$891,0)),MAX('Data Consolidada'!$E$7:$E$3000))))</f>
        <v/>
      </c>
      <c r="BR134" s="32" t="str">
        <f>+IF(BR$3="","",IF($AY134="","",IFERROR(INDEX('Data Consolidada'!$E$7:$E$891,MATCH(CONCATENATE(BR$3,"-",$CP134,"-",$AY134),'Data Consolidada'!$K$7:$K$891,0)),MAX('Data Consolidada'!$E$7:$E$3000))))</f>
        <v/>
      </c>
      <c r="BS134" s="32" t="str">
        <f>+IF(BS$3="","",IF($AY134="","",IFERROR(INDEX('Data Consolidada'!$E$7:$E$891,MATCH(CONCATENATE(BS$3,"-",$CP134,"-",$AY134),'Data Consolidada'!$K$7:$K$891,0)),MAX('Data Consolidada'!$E$7:$E$3000))))</f>
        <v/>
      </c>
      <c r="BT134" s="32" t="str">
        <f>+IF(BT$3="","",IF($AY134="","",IFERROR(INDEX('Data Consolidada'!$E$7:$E$891,MATCH(CONCATENATE(BT$3,"-",$CP134,"-",$AY134),'Data Consolidada'!$K$7:$K$891,0)),MAX('Data Consolidada'!$E$7:$E$3000))))</f>
        <v/>
      </c>
      <c r="BU134" s="32" t="str">
        <f>+IF(BU$3="","",IF($AY134="","",IFERROR(INDEX('Data Consolidada'!$E$7:$E$891,MATCH(CONCATENATE(BU$3,"-",$CP134,"-",$AY134),'Data Consolidada'!$K$7:$K$891,0)),MAX('Data Consolidada'!$E$7:$E$3000))))</f>
        <v/>
      </c>
      <c r="BV134" s="32" t="str">
        <f>+IF(BV$3="","",IF($AY134="","",IFERROR(INDEX('Data Consolidada'!$E$7:$E$891,MATCH(CONCATENATE(BV$3,"-",$CP134,"-",$AY134),'Data Consolidada'!$K$7:$K$891,0)),MAX('Data Consolidada'!$E$7:$E$3000))))</f>
        <v/>
      </c>
      <c r="BW134" s="32" t="str">
        <f>+IF(BW$3="","",IF($AY134="","",IFERROR(INDEX('Data Consolidada'!$E$7:$E$891,MATCH(CONCATENATE(BW$3,"-",$CP134,"-",$AY134),'Data Consolidada'!$K$7:$K$891,0)),MAX('Data Consolidada'!$E$7:$E$3000))))</f>
        <v/>
      </c>
      <c r="BX134" s="32" t="str">
        <f>+IF(BX$3="","",IF($AY134="","",IFERROR(INDEX('Data Consolidada'!$E$7:$E$891,MATCH(CONCATENATE(BX$3,"-",$CP134,"-",$AY134),'Data Consolidada'!$K$7:$K$891,0)),MAX('Data Consolidada'!$E$7:$E$3000))))</f>
        <v/>
      </c>
      <c r="BY134" s="32" t="str">
        <f>+IF(BY$3="","",IF($AY134="","",IFERROR(INDEX('Data Consolidada'!$E$7:$E$891,MATCH(CONCATENATE(BY$3,"-",$CP134,"-",$AY134),'Data Consolidada'!$K$7:$K$891,0)),MAX('Data Consolidada'!$E$7:$E$3000))))</f>
        <v/>
      </c>
      <c r="BZ134" s="32" t="str">
        <f>+IF(BZ$3="","",IF($AY134="","",IFERROR(INDEX('Data Consolidada'!$E$7:$E$891,MATCH(CONCATENATE(BZ$3,"-",$CP134,"-",$AY134),'Data Consolidada'!$K$7:$K$891,0)),MAX('Data Consolidada'!$E$7:$E$3000))))</f>
        <v/>
      </c>
      <c r="CA134" s="32" t="str">
        <f>+IF(CA$3="","",IF($AY134="","",IFERROR(INDEX('Data Consolidada'!$E$7:$E$891,MATCH(CONCATENATE(CA$3,"-",$CP134,"-",$AY134),'Data Consolidada'!$K$7:$K$891,0)),MAX('Data Consolidada'!$E$7:$E$3000))))</f>
        <v/>
      </c>
      <c r="CB134" s="32" t="str">
        <f>+IF(CB$3="","",IF($AY134="","",IFERROR(INDEX('Data Consolidada'!$E$7:$E$891,MATCH(CONCATENATE(CB$3,"-",$CP134,"-",$AY134),'Data Consolidada'!$K$7:$K$891,0)),MAX('Data Consolidada'!$E$7:$E$3000))))</f>
        <v/>
      </c>
      <c r="CC134" s="32" t="str">
        <f>+IF(CC$3="","",IF($AY134="","",IFERROR(INDEX('Data Consolidada'!$E$7:$E$891,MATCH(CONCATENATE(CC$3,"-",$CP134,"-",$AY134),'Data Consolidada'!$K$7:$K$891,0)),MAX('Data Consolidada'!$E$7:$E$3000))))</f>
        <v/>
      </c>
      <c r="CD134" s="32" t="str">
        <f>+IF(CD$3="","",IF($AY134="","",IFERROR(INDEX('Data Consolidada'!$E$7:$E$891,MATCH(CONCATENATE(CD$3,"-",$CP134,"-",$AY134),'Data Consolidada'!$K$7:$K$891,0)),MAX('Data Consolidada'!$E$7:$E$3000))))</f>
        <v/>
      </c>
      <c r="CE134" s="32" t="str">
        <f>+IF(CE$3="","",IF($AY134="","",IFERROR(INDEX('Data Consolidada'!$E$7:$E$891,MATCH(CONCATENATE(CE$3,"-",$CP134,"-",$AY134),'Data Consolidada'!$K$7:$K$891,0)),MAX('Data Consolidada'!$E$7:$E$3000))))</f>
        <v/>
      </c>
      <c r="CF134" s="32" t="str">
        <f>+IF(CF$3="","",IF($AY134="","",IFERROR(INDEX('Data Consolidada'!$E$7:$E$891,MATCH(CONCATENATE(CF$3,"-",$CP134,"-",$AY134),'Data Consolidada'!$K$7:$K$891,0)),MAX('Data Consolidada'!$E$7:$E$3000))))</f>
        <v/>
      </c>
      <c r="CG134" s="32" t="str">
        <f>+IF(CG$3="","",IF($AY134="","",IFERROR(INDEX('Data Consolidada'!$E$7:$E$891,MATCH(CONCATENATE(CG$3,"-",$CP134,"-",$AY134),'Data Consolidada'!$K$7:$K$891,0)),MAX('Data Consolidada'!$E$7:$E$3000))))</f>
        <v/>
      </c>
      <c r="CH134" s="32" t="str">
        <f>+IF(CH$3="","",IF($AY134="","",IFERROR(INDEX('Data Consolidada'!$E$7:$E$891,MATCH(CONCATENATE(CH$3,"-",$CP134,"-",$AY134),'Data Consolidada'!$K$7:$K$891,0)),MAX('Data Consolidada'!$E$7:$E$3000))))</f>
        <v/>
      </c>
      <c r="CI134" s="32" t="str">
        <f>+IF(CI$3="","",IF($AY134="","",IFERROR(INDEX('Data Consolidada'!$E$7:$E$891,MATCH(CONCATENATE(CI$3,"-",$CP134,"-",$AY134),'Data Consolidada'!$K$7:$K$891,0)),MAX('Data Consolidada'!$E$7:$E$3000))))</f>
        <v/>
      </c>
      <c r="CJ134" s="32" t="str">
        <f>+IF(CJ$3="","",IF($AY134="","",IFERROR(INDEX('Data Consolidada'!$E$7:$E$891,MATCH(CONCATENATE(CJ$3,"-",$CP134,"-",$AY134),'Data Consolidada'!$K$7:$K$891,0)),MAX('Data Consolidada'!$E$7:$E$3000))))</f>
        <v/>
      </c>
      <c r="CK134" s="32" t="str">
        <f>+IF(CK$3="","",IF($AY134="","",IFERROR(INDEX('Data Consolidada'!$E$7:$E$891,MATCH(CONCATENATE(CK$3,"-",$CP134,"-",$AY134),'Data Consolidada'!$K$7:$K$891,0)),MAX('Data Consolidada'!$E$7:$E$3000))))</f>
        <v/>
      </c>
      <c r="CL134" s="32" t="str">
        <f>+IF(CL$3="","",IF($AY134="","",IFERROR(INDEX('Data Consolidada'!$E$7:$E$891,MATCH(CONCATENATE(CL$3,"-",$CP134,"-",$AY134),'Data Consolidada'!$K$7:$K$891,0)),MAX('Data Consolidada'!$E$7:$E$3000))))</f>
        <v/>
      </c>
      <c r="CM134" s="32" t="str">
        <f>+IF(CM$3="","",IF($AY134="","",IFERROR(INDEX('Data Consolidada'!$E$7:$E$891,MATCH(CONCATENATE(CM$3,"-",$CP134,"-",$AY134),'Data Consolidada'!$K$7:$K$891,0)),MAX('Data Consolidada'!$E$7:$E$3000))))</f>
        <v/>
      </c>
      <c r="CN134" s="32" t="str">
        <f>+IF(CN$3="","",IF($AY134="","",IFERROR(INDEX('Data Consolidada'!$E$7:$E$891,MATCH(CONCATENATE(CN$3,"-",$CP134,"-",$AY134),'Data Consolidada'!$K$7:$K$891,0)),MAX('Data Consolidada'!$E$7:$E$3000))))</f>
        <v/>
      </c>
      <c r="CO134" s="37" t="str">
        <f>+IF(CO$3="","",IF($AY134="","",IFERROR(INDEX('Data Consolidada'!$E$7:$E$891,MATCH(CONCATENATE(CO$3,"-",$CP134,"-",$AY134),'Data Consolidada'!$K$7:$K$891,0)),MAX('Data Consolidada'!$E$7:$E$3000))))</f>
        <v/>
      </c>
      <c r="CP134" s="224">
        <f t="shared" ca="1" si="45"/>
        <v>0</v>
      </c>
      <c r="CQ134" s="84" t="str">
        <f t="shared" ca="1" si="46"/>
        <v xml:space="preserve">  TRANS. MORROS LTDA.0</v>
      </c>
    </row>
    <row r="135" spans="2:95" ht="15" customHeight="1" x14ac:dyDescent="0.35">
      <c r="B135" s="218" t="str">
        <f t="shared" ca="1" si="41"/>
        <v>TRANS. MAX SOTO G. E.I.R.L.</v>
      </c>
      <c r="C135" s="238">
        <v>0</v>
      </c>
      <c r="D135" s="239">
        <v>0</v>
      </c>
      <c r="E135" s="239">
        <v>0</v>
      </c>
      <c r="F135" s="239">
        <v>0</v>
      </c>
      <c r="G135" s="239">
        <v>0</v>
      </c>
      <c r="H135" s="239">
        <v>0</v>
      </c>
      <c r="I135" s="239">
        <v>0</v>
      </c>
      <c r="J135" s="239">
        <v>0</v>
      </c>
      <c r="K135" s="239">
        <v>0</v>
      </c>
      <c r="L135" s="239">
        <v>0</v>
      </c>
      <c r="M135" s="239">
        <v>0</v>
      </c>
      <c r="N135" s="240">
        <v>0</v>
      </c>
      <c r="O135" s="239">
        <v>0</v>
      </c>
      <c r="P135" s="239">
        <v>0</v>
      </c>
      <c r="Q135" s="239">
        <v>0</v>
      </c>
      <c r="R135" s="239">
        <v>0</v>
      </c>
      <c r="S135" s="239">
        <v>0</v>
      </c>
      <c r="T135" s="239">
        <v>0</v>
      </c>
      <c r="U135" s="239">
        <v>0</v>
      </c>
      <c r="V135" s="239">
        <v>0</v>
      </c>
      <c r="W135" s="239">
        <v>0</v>
      </c>
      <c r="X135" s="239">
        <v>0</v>
      </c>
      <c r="Y135" s="239">
        <v>0</v>
      </c>
      <c r="Z135" s="239"/>
      <c r="AA135" s="239"/>
      <c r="AB135" s="239"/>
      <c r="AC135" s="239"/>
      <c r="AD135" s="239"/>
      <c r="AE135" s="239"/>
      <c r="AF135" s="239"/>
      <c r="AG135" s="239"/>
      <c r="AH135" s="239"/>
      <c r="AI135" s="239"/>
      <c r="AJ135" s="239"/>
      <c r="AK135" s="239"/>
      <c r="AL135" s="239"/>
      <c r="AM135" s="239"/>
      <c r="AN135" s="239"/>
      <c r="AO135" s="239"/>
      <c r="AP135" s="239"/>
      <c r="AQ135" s="239"/>
      <c r="AR135" s="252"/>
      <c r="AS135" s="77">
        <f t="shared" ca="1" si="42"/>
        <v>0</v>
      </c>
      <c r="AT135" s="255">
        <f t="shared" si="43"/>
        <v>0</v>
      </c>
      <c r="AU135" s="51"/>
      <c r="AV135" s="51"/>
      <c r="AW135" s="13">
        <f>+IF(AX135="","",IF(AX135&gt;AX134,AW134,IF(AW134&lt;$D$69,AW134+1,IF(COUNT(AW$4:AW134)&lt;$B$69*$E$54,1,""))))</f>
        <v>11</v>
      </c>
      <c r="AX135" s="13">
        <f>+IF(AX134&lt;$B$69,AX134+1,IF(COUNT(AX$4:AX134)&lt;$B$69*$D$69,1,""))</f>
        <v>2</v>
      </c>
      <c r="AY135" s="189" t="str">
        <f t="shared" ca="1" si="44"/>
        <v xml:space="preserve">CRISTIAN LÓPEZ </v>
      </c>
      <c r="AZ135" s="36">
        <f ca="1">+IF(AZ$3="","",IF($AY135="","",IFERROR(INDEX('Data Consolidada'!$E$7:$E$891,MATCH(CONCATENATE(AZ$3,"-",$CP135,"-",$AY135),'Data Consolidada'!$K$7:$K$891,0)),MAX('Data Consolidada'!$E$7:$E$3000))))</f>
        <v>11000000</v>
      </c>
      <c r="BA135" s="32">
        <f ca="1">+IF(BA$3="","",IF($AY135="","",IFERROR(INDEX('Data Consolidada'!$E$7:$E$891,MATCH(CONCATENATE(BA$3,"-",$CP135,"-",$AY135),'Data Consolidada'!$K$7:$K$891,0)),MAX('Data Consolidada'!$E$7:$E$3000))))</f>
        <v>11000000</v>
      </c>
      <c r="BB135" s="32" t="str">
        <f>+IF(BB$3="","",IF($AY135="","",IFERROR(INDEX('Data Consolidada'!$E$7:$E$891,MATCH(CONCATENATE(BB$3,"-",$CP135,"-",$AY135),'Data Consolidada'!$K$7:$K$891,0)),MAX('Data Consolidada'!$E$7:$E$3000))))</f>
        <v/>
      </c>
      <c r="BC135" s="32" t="str">
        <f>+IF(BC$3="","",IF($AY135="","",IFERROR(INDEX('Data Consolidada'!$E$7:$E$891,MATCH(CONCATENATE(BC$3,"-",$CP135,"-",$AY135),'Data Consolidada'!$K$7:$K$891,0)),MAX('Data Consolidada'!$E$7:$E$3000))))</f>
        <v/>
      </c>
      <c r="BD135" s="32" t="str">
        <f>+IF(BD$3="","",IF($AY135="","",IFERROR(INDEX('Data Consolidada'!$E$7:$E$891,MATCH(CONCATENATE(BD$3,"-",$CP135,"-",$AY135),'Data Consolidada'!$K$7:$K$891,0)),MAX('Data Consolidada'!$E$7:$E$3000))))</f>
        <v/>
      </c>
      <c r="BE135" s="32" t="str">
        <f>+IF(BE$3="","",IF($AY135="","",IFERROR(INDEX('Data Consolidada'!$E$7:$E$891,MATCH(CONCATENATE(BE$3,"-",$CP135,"-",$AY135),'Data Consolidada'!$K$7:$K$891,0)),MAX('Data Consolidada'!$E$7:$E$3000))))</f>
        <v/>
      </c>
      <c r="BF135" s="32" t="str">
        <f>+IF(BF$3="","",IF($AY135="","",IFERROR(INDEX('Data Consolidada'!$E$7:$E$891,MATCH(CONCATENATE(BF$3,"-",$CP135,"-",$AY135),'Data Consolidada'!$K$7:$K$891,0)),MAX('Data Consolidada'!$E$7:$E$3000))))</f>
        <v/>
      </c>
      <c r="BG135" s="32" t="str">
        <f>+IF(BG$3="","",IF($AY135="","",IFERROR(INDEX('Data Consolidada'!$E$7:$E$891,MATCH(CONCATENATE(BG$3,"-",$CP135,"-",$AY135),'Data Consolidada'!$K$7:$K$891,0)),MAX('Data Consolidada'!$E$7:$E$3000))))</f>
        <v/>
      </c>
      <c r="BH135" s="32" t="str">
        <f>+IF(BH$3="","",IF($AY135="","",IFERROR(INDEX('Data Consolidada'!$E$7:$E$891,MATCH(CONCATENATE(BH$3,"-",$CP135,"-",$AY135),'Data Consolidada'!$K$7:$K$891,0)),MAX('Data Consolidada'!$E$7:$E$3000))))</f>
        <v/>
      </c>
      <c r="BI135" s="32" t="str">
        <f>+IF(BI$3="","",IF($AY135="","",IFERROR(INDEX('Data Consolidada'!$E$7:$E$891,MATCH(CONCATENATE(BI$3,"-",$CP135,"-",$AY135),'Data Consolidada'!$K$7:$K$891,0)),MAX('Data Consolidada'!$E$7:$E$3000))))</f>
        <v/>
      </c>
      <c r="BJ135" s="32" t="str">
        <f>+IF(BJ$3="","",IF($AY135="","",IFERROR(INDEX('Data Consolidada'!$E$7:$E$891,MATCH(CONCATENATE(BJ$3,"-",$CP135,"-",$AY135),'Data Consolidada'!$K$7:$K$891,0)),MAX('Data Consolidada'!$E$7:$E$3000))))</f>
        <v/>
      </c>
      <c r="BK135" s="32" t="str">
        <f>+IF(BK$3="","",IF($AY135="","",IFERROR(INDEX('Data Consolidada'!$E$7:$E$891,MATCH(CONCATENATE(BK$3,"-",$CP135,"-",$AY135),'Data Consolidada'!$K$7:$K$891,0)),MAX('Data Consolidada'!$E$7:$E$3000))))</f>
        <v/>
      </c>
      <c r="BL135" s="32" t="str">
        <f>+IF(BL$3="","",IF($AY135="","",IFERROR(INDEX('Data Consolidada'!$E$7:$E$891,MATCH(CONCATENATE(BL$3,"-",$CP135,"-",$AY135),'Data Consolidada'!$K$7:$K$891,0)),MAX('Data Consolidada'!$E$7:$E$3000))))</f>
        <v/>
      </c>
      <c r="BM135" s="32" t="str">
        <f>+IF(BM$3="","",IF($AY135="","",IFERROR(INDEX('Data Consolidada'!$E$7:$E$891,MATCH(CONCATENATE(BM$3,"-",$CP135,"-",$AY135),'Data Consolidada'!$K$7:$K$891,0)),MAX('Data Consolidada'!$E$7:$E$3000))))</f>
        <v/>
      </c>
      <c r="BN135" s="32" t="str">
        <f>+IF(BN$3="","",IF($AY135="","",IFERROR(INDEX('Data Consolidada'!$E$7:$E$891,MATCH(CONCATENATE(BN$3,"-",$CP135,"-",$AY135),'Data Consolidada'!$K$7:$K$891,0)),MAX('Data Consolidada'!$E$7:$E$3000))))</f>
        <v/>
      </c>
      <c r="BO135" s="32" t="str">
        <f>+IF(BO$3="","",IF($AY135="","",IFERROR(INDEX('Data Consolidada'!$E$7:$E$891,MATCH(CONCATENATE(BO$3,"-",$CP135,"-",$AY135),'Data Consolidada'!$K$7:$K$891,0)),MAX('Data Consolidada'!$E$7:$E$3000))))</f>
        <v/>
      </c>
      <c r="BP135" s="32" t="str">
        <f>+IF(BP$3="","",IF($AY135="","",IFERROR(INDEX('Data Consolidada'!$E$7:$E$891,MATCH(CONCATENATE(BP$3,"-",$CP135,"-",$AY135),'Data Consolidada'!$K$7:$K$891,0)),MAX('Data Consolidada'!$E$7:$E$3000))))</f>
        <v/>
      </c>
      <c r="BQ135" s="32" t="str">
        <f>+IF(BQ$3="","",IF($AY135="","",IFERROR(INDEX('Data Consolidada'!$E$7:$E$891,MATCH(CONCATENATE(BQ$3,"-",$CP135,"-",$AY135),'Data Consolidada'!$K$7:$K$891,0)),MAX('Data Consolidada'!$E$7:$E$3000))))</f>
        <v/>
      </c>
      <c r="BR135" s="32" t="str">
        <f>+IF(BR$3="","",IF($AY135="","",IFERROR(INDEX('Data Consolidada'!$E$7:$E$891,MATCH(CONCATENATE(BR$3,"-",$CP135,"-",$AY135),'Data Consolidada'!$K$7:$K$891,0)),MAX('Data Consolidada'!$E$7:$E$3000))))</f>
        <v/>
      </c>
      <c r="BS135" s="32" t="str">
        <f>+IF(BS$3="","",IF($AY135="","",IFERROR(INDEX('Data Consolidada'!$E$7:$E$891,MATCH(CONCATENATE(BS$3,"-",$CP135,"-",$AY135),'Data Consolidada'!$K$7:$K$891,0)),MAX('Data Consolidada'!$E$7:$E$3000))))</f>
        <v/>
      </c>
      <c r="BT135" s="32" t="str">
        <f>+IF(BT$3="","",IF($AY135="","",IFERROR(INDEX('Data Consolidada'!$E$7:$E$891,MATCH(CONCATENATE(BT$3,"-",$CP135,"-",$AY135),'Data Consolidada'!$K$7:$K$891,0)),MAX('Data Consolidada'!$E$7:$E$3000))))</f>
        <v/>
      </c>
      <c r="BU135" s="32" t="str">
        <f>+IF(BU$3="","",IF($AY135="","",IFERROR(INDEX('Data Consolidada'!$E$7:$E$891,MATCH(CONCATENATE(BU$3,"-",$CP135,"-",$AY135),'Data Consolidada'!$K$7:$K$891,0)),MAX('Data Consolidada'!$E$7:$E$3000))))</f>
        <v/>
      </c>
      <c r="BV135" s="32" t="str">
        <f>+IF(BV$3="","",IF($AY135="","",IFERROR(INDEX('Data Consolidada'!$E$7:$E$891,MATCH(CONCATENATE(BV$3,"-",$CP135,"-",$AY135),'Data Consolidada'!$K$7:$K$891,0)),MAX('Data Consolidada'!$E$7:$E$3000))))</f>
        <v/>
      </c>
      <c r="BW135" s="32" t="str">
        <f>+IF(BW$3="","",IF($AY135="","",IFERROR(INDEX('Data Consolidada'!$E$7:$E$891,MATCH(CONCATENATE(BW$3,"-",$CP135,"-",$AY135),'Data Consolidada'!$K$7:$K$891,0)),MAX('Data Consolidada'!$E$7:$E$3000))))</f>
        <v/>
      </c>
      <c r="BX135" s="32" t="str">
        <f>+IF(BX$3="","",IF($AY135="","",IFERROR(INDEX('Data Consolidada'!$E$7:$E$891,MATCH(CONCATENATE(BX$3,"-",$CP135,"-",$AY135),'Data Consolidada'!$K$7:$K$891,0)),MAX('Data Consolidada'!$E$7:$E$3000))))</f>
        <v/>
      </c>
      <c r="BY135" s="32" t="str">
        <f>+IF(BY$3="","",IF($AY135="","",IFERROR(INDEX('Data Consolidada'!$E$7:$E$891,MATCH(CONCATENATE(BY$3,"-",$CP135,"-",$AY135),'Data Consolidada'!$K$7:$K$891,0)),MAX('Data Consolidada'!$E$7:$E$3000))))</f>
        <v/>
      </c>
      <c r="BZ135" s="32" t="str">
        <f>+IF(BZ$3="","",IF($AY135="","",IFERROR(INDEX('Data Consolidada'!$E$7:$E$891,MATCH(CONCATENATE(BZ$3,"-",$CP135,"-",$AY135),'Data Consolidada'!$K$7:$K$891,0)),MAX('Data Consolidada'!$E$7:$E$3000))))</f>
        <v/>
      </c>
      <c r="CA135" s="32" t="str">
        <f>+IF(CA$3="","",IF($AY135="","",IFERROR(INDEX('Data Consolidada'!$E$7:$E$891,MATCH(CONCATENATE(CA$3,"-",$CP135,"-",$AY135),'Data Consolidada'!$K$7:$K$891,0)),MAX('Data Consolidada'!$E$7:$E$3000))))</f>
        <v/>
      </c>
      <c r="CB135" s="32" t="str">
        <f>+IF(CB$3="","",IF($AY135="","",IFERROR(INDEX('Data Consolidada'!$E$7:$E$891,MATCH(CONCATENATE(CB$3,"-",$CP135,"-",$AY135),'Data Consolidada'!$K$7:$K$891,0)),MAX('Data Consolidada'!$E$7:$E$3000))))</f>
        <v/>
      </c>
      <c r="CC135" s="32" t="str">
        <f>+IF(CC$3="","",IF($AY135="","",IFERROR(INDEX('Data Consolidada'!$E$7:$E$891,MATCH(CONCATENATE(CC$3,"-",$CP135,"-",$AY135),'Data Consolidada'!$K$7:$K$891,0)),MAX('Data Consolidada'!$E$7:$E$3000))))</f>
        <v/>
      </c>
      <c r="CD135" s="32" t="str">
        <f>+IF(CD$3="","",IF($AY135="","",IFERROR(INDEX('Data Consolidada'!$E$7:$E$891,MATCH(CONCATENATE(CD$3,"-",$CP135,"-",$AY135),'Data Consolidada'!$K$7:$K$891,0)),MAX('Data Consolidada'!$E$7:$E$3000))))</f>
        <v/>
      </c>
      <c r="CE135" s="32" t="str">
        <f>+IF(CE$3="","",IF($AY135="","",IFERROR(INDEX('Data Consolidada'!$E$7:$E$891,MATCH(CONCATENATE(CE$3,"-",$CP135,"-",$AY135),'Data Consolidada'!$K$7:$K$891,0)),MAX('Data Consolidada'!$E$7:$E$3000))))</f>
        <v/>
      </c>
      <c r="CF135" s="32" t="str">
        <f>+IF(CF$3="","",IF($AY135="","",IFERROR(INDEX('Data Consolidada'!$E$7:$E$891,MATCH(CONCATENATE(CF$3,"-",$CP135,"-",$AY135),'Data Consolidada'!$K$7:$K$891,0)),MAX('Data Consolidada'!$E$7:$E$3000))))</f>
        <v/>
      </c>
      <c r="CG135" s="32" t="str">
        <f>+IF(CG$3="","",IF($AY135="","",IFERROR(INDEX('Data Consolidada'!$E$7:$E$891,MATCH(CONCATENATE(CG$3,"-",$CP135,"-",$AY135),'Data Consolidada'!$K$7:$K$891,0)),MAX('Data Consolidada'!$E$7:$E$3000))))</f>
        <v/>
      </c>
      <c r="CH135" s="32" t="str">
        <f>+IF(CH$3="","",IF($AY135="","",IFERROR(INDEX('Data Consolidada'!$E$7:$E$891,MATCH(CONCATENATE(CH$3,"-",$CP135,"-",$AY135),'Data Consolidada'!$K$7:$K$891,0)),MAX('Data Consolidada'!$E$7:$E$3000))))</f>
        <v/>
      </c>
      <c r="CI135" s="32" t="str">
        <f>+IF(CI$3="","",IF($AY135="","",IFERROR(INDEX('Data Consolidada'!$E$7:$E$891,MATCH(CONCATENATE(CI$3,"-",$CP135,"-",$AY135),'Data Consolidada'!$K$7:$K$891,0)),MAX('Data Consolidada'!$E$7:$E$3000))))</f>
        <v/>
      </c>
      <c r="CJ135" s="32" t="str">
        <f>+IF(CJ$3="","",IF($AY135="","",IFERROR(INDEX('Data Consolidada'!$E$7:$E$891,MATCH(CONCATENATE(CJ$3,"-",$CP135,"-",$AY135),'Data Consolidada'!$K$7:$K$891,0)),MAX('Data Consolidada'!$E$7:$E$3000))))</f>
        <v/>
      </c>
      <c r="CK135" s="32" t="str">
        <f>+IF(CK$3="","",IF($AY135="","",IFERROR(INDEX('Data Consolidada'!$E$7:$E$891,MATCH(CONCATENATE(CK$3,"-",$CP135,"-",$AY135),'Data Consolidada'!$K$7:$K$891,0)),MAX('Data Consolidada'!$E$7:$E$3000))))</f>
        <v/>
      </c>
      <c r="CL135" s="32" t="str">
        <f>+IF(CL$3="","",IF($AY135="","",IFERROR(INDEX('Data Consolidada'!$E$7:$E$891,MATCH(CONCATENATE(CL$3,"-",$CP135,"-",$AY135),'Data Consolidada'!$K$7:$K$891,0)),MAX('Data Consolidada'!$E$7:$E$3000))))</f>
        <v/>
      </c>
      <c r="CM135" s="32" t="str">
        <f>+IF(CM$3="","",IF($AY135="","",IFERROR(INDEX('Data Consolidada'!$E$7:$E$891,MATCH(CONCATENATE(CM$3,"-",$CP135,"-",$AY135),'Data Consolidada'!$K$7:$K$891,0)),MAX('Data Consolidada'!$E$7:$E$3000))))</f>
        <v/>
      </c>
      <c r="CN135" s="32" t="str">
        <f>+IF(CN$3="","",IF($AY135="","",IFERROR(INDEX('Data Consolidada'!$E$7:$E$891,MATCH(CONCATENATE(CN$3,"-",$CP135,"-",$AY135),'Data Consolidada'!$K$7:$K$891,0)),MAX('Data Consolidada'!$E$7:$E$3000))))</f>
        <v/>
      </c>
      <c r="CO135" s="37" t="str">
        <f>+IF(CO$3="","",IF($AY135="","",IFERROR(INDEX('Data Consolidada'!$E$7:$E$891,MATCH(CONCATENATE(CO$3,"-",$CP135,"-",$AY135),'Data Consolidada'!$K$7:$K$891,0)),MAX('Data Consolidada'!$E$7:$E$3000))))</f>
        <v/>
      </c>
      <c r="CP135" s="224">
        <f t="shared" ca="1" si="45"/>
        <v>0</v>
      </c>
      <c r="CQ135" s="84" t="str">
        <f t="shared" ca="1" si="46"/>
        <v>CRISTIAN LÓPEZ 0</v>
      </c>
    </row>
    <row r="136" spans="2:95" ht="15" customHeight="1" x14ac:dyDescent="0.35">
      <c r="B136" s="218" t="str">
        <f t="shared" ca="1" si="41"/>
        <v>TRANS. MITRE SPA.</v>
      </c>
      <c r="C136" s="238">
        <v>0</v>
      </c>
      <c r="D136" s="239">
        <v>0</v>
      </c>
      <c r="E136" s="239">
        <v>0</v>
      </c>
      <c r="F136" s="239">
        <v>0</v>
      </c>
      <c r="G136" s="239">
        <v>0</v>
      </c>
      <c r="H136" s="239">
        <v>0</v>
      </c>
      <c r="I136" s="239">
        <v>0</v>
      </c>
      <c r="J136" s="239">
        <v>0</v>
      </c>
      <c r="K136" s="239">
        <v>0</v>
      </c>
      <c r="L136" s="239">
        <v>0</v>
      </c>
      <c r="M136" s="239">
        <v>0</v>
      </c>
      <c r="N136" s="240">
        <v>0</v>
      </c>
      <c r="O136" s="239">
        <v>0</v>
      </c>
      <c r="P136" s="239">
        <v>0</v>
      </c>
      <c r="Q136" s="239">
        <v>0</v>
      </c>
      <c r="R136" s="239">
        <v>0</v>
      </c>
      <c r="S136" s="239">
        <v>0</v>
      </c>
      <c r="T136" s="239">
        <v>0</v>
      </c>
      <c r="U136" s="239">
        <v>0</v>
      </c>
      <c r="V136" s="239">
        <v>0</v>
      </c>
      <c r="W136" s="239">
        <v>0</v>
      </c>
      <c r="X136" s="239">
        <v>0</v>
      </c>
      <c r="Y136" s="239">
        <v>0</v>
      </c>
      <c r="Z136" s="239"/>
      <c r="AA136" s="239"/>
      <c r="AB136" s="239"/>
      <c r="AC136" s="239"/>
      <c r="AD136" s="239"/>
      <c r="AE136" s="239"/>
      <c r="AF136" s="239"/>
      <c r="AG136" s="239"/>
      <c r="AH136" s="239"/>
      <c r="AI136" s="239"/>
      <c r="AJ136" s="239"/>
      <c r="AK136" s="239"/>
      <c r="AL136" s="239"/>
      <c r="AM136" s="239"/>
      <c r="AN136" s="239"/>
      <c r="AO136" s="239"/>
      <c r="AP136" s="239"/>
      <c r="AQ136" s="239"/>
      <c r="AR136" s="252"/>
      <c r="AS136" s="77">
        <f t="shared" ca="1" si="42"/>
        <v>0</v>
      </c>
      <c r="AT136" s="255">
        <f t="shared" si="43"/>
        <v>0</v>
      </c>
      <c r="AU136" s="51"/>
      <c r="AV136" s="51"/>
      <c r="AW136" s="13">
        <f>+IF(AX136="","",IF(AX136&gt;AX135,AW135,IF(AW135&lt;$D$69,AW135+1,IF(COUNT(AW$4:AW135)&lt;$B$69*$E$54,1,""))))</f>
        <v>11</v>
      </c>
      <c r="AX136" s="13">
        <f>+IF(AX135&lt;$B$69,AX135+1,IF(COUNT(AX$4:AX135)&lt;$B$69*$D$69,1,""))</f>
        <v>3</v>
      </c>
      <c r="AY136" s="189" t="str">
        <f t="shared" ca="1" si="44"/>
        <v xml:space="preserve">GUSTAVO ZÚÑIGA </v>
      </c>
      <c r="AZ136" s="36">
        <f ca="1">+IF(AZ$3="","",IF($AY136="","",IFERROR(INDEX('Data Consolidada'!$E$7:$E$891,MATCH(CONCATENATE(AZ$3,"-",$CP136,"-",$AY136),'Data Consolidada'!$K$7:$K$891,0)),MAX('Data Consolidada'!$E$7:$E$3000))))</f>
        <v>11000000</v>
      </c>
      <c r="BA136" s="32">
        <f ca="1">+IF(BA$3="","",IF($AY136="","",IFERROR(INDEX('Data Consolidada'!$E$7:$E$891,MATCH(CONCATENATE(BA$3,"-",$CP136,"-",$AY136),'Data Consolidada'!$K$7:$K$891,0)),MAX('Data Consolidada'!$E$7:$E$3000))))</f>
        <v>11000000</v>
      </c>
      <c r="BB136" s="32" t="str">
        <f>+IF(BB$3="","",IF($AY136="","",IFERROR(INDEX('Data Consolidada'!$E$7:$E$891,MATCH(CONCATENATE(BB$3,"-",$CP136,"-",$AY136),'Data Consolidada'!$K$7:$K$891,0)),MAX('Data Consolidada'!$E$7:$E$3000))))</f>
        <v/>
      </c>
      <c r="BC136" s="32" t="str">
        <f>+IF(BC$3="","",IF($AY136="","",IFERROR(INDEX('Data Consolidada'!$E$7:$E$891,MATCH(CONCATENATE(BC$3,"-",$CP136,"-",$AY136),'Data Consolidada'!$K$7:$K$891,0)),MAX('Data Consolidada'!$E$7:$E$3000))))</f>
        <v/>
      </c>
      <c r="BD136" s="32" t="str">
        <f>+IF(BD$3="","",IF($AY136="","",IFERROR(INDEX('Data Consolidada'!$E$7:$E$891,MATCH(CONCATENATE(BD$3,"-",$CP136,"-",$AY136),'Data Consolidada'!$K$7:$K$891,0)),MAX('Data Consolidada'!$E$7:$E$3000))))</f>
        <v/>
      </c>
      <c r="BE136" s="32" t="str">
        <f>+IF(BE$3="","",IF($AY136="","",IFERROR(INDEX('Data Consolidada'!$E$7:$E$891,MATCH(CONCATENATE(BE$3,"-",$CP136,"-",$AY136),'Data Consolidada'!$K$7:$K$891,0)),MAX('Data Consolidada'!$E$7:$E$3000))))</f>
        <v/>
      </c>
      <c r="BF136" s="32" t="str">
        <f>+IF(BF$3="","",IF($AY136="","",IFERROR(INDEX('Data Consolidada'!$E$7:$E$891,MATCH(CONCATENATE(BF$3,"-",$CP136,"-",$AY136),'Data Consolidada'!$K$7:$K$891,0)),MAX('Data Consolidada'!$E$7:$E$3000))))</f>
        <v/>
      </c>
      <c r="BG136" s="32" t="str">
        <f>+IF(BG$3="","",IF($AY136="","",IFERROR(INDEX('Data Consolidada'!$E$7:$E$891,MATCH(CONCATENATE(BG$3,"-",$CP136,"-",$AY136),'Data Consolidada'!$K$7:$K$891,0)),MAX('Data Consolidada'!$E$7:$E$3000))))</f>
        <v/>
      </c>
      <c r="BH136" s="32" t="str">
        <f>+IF(BH$3="","",IF($AY136="","",IFERROR(INDEX('Data Consolidada'!$E$7:$E$891,MATCH(CONCATENATE(BH$3,"-",$CP136,"-",$AY136),'Data Consolidada'!$K$7:$K$891,0)),MAX('Data Consolidada'!$E$7:$E$3000))))</f>
        <v/>
      </c>
      <c r="BI136" s="32" t="str">
        <f>+IF(BI$3="","",IF($AY136="","",IFERROR(INDEX('Data Consolidada'!$E$7:$E$891,MATCH(CONCATENATE(BI$3,"-",$CP136,"-",$AY136),'Data Consolidada'!$K$7:$K$891,0)),MAX('Data Consolidada'!$E$7:$E$3000))))</f>
        <v/>
      </c>
      <c r="BJ136" s="32" t="str">
        <f>+IF(BJ$3="","",IF($AY136="","",IFERROR(INDEX('Data Consolidada'!$E$7:$E$891,MATCH(CONCATENATE(BJ$3,"-",$CP136,"-",$AY136),'Data Consolidada'!$K$7:$K$891,0)),MAX('Data Consolidada'!$E$7:$E$3000))))</f>
        <v/>
      </c>
      <c r="BK136" s="32" t="str">
        <f>+IF(BK$3="","",IF($AY136="","",IFERROR(INDEX('Data Consolidada'!$E$7:$E$891,MATCH(CONCATENATE(BK$3,"-",$CP136,"-",$AY136),'Data Consolidada'!$K$7:$K$891,0)),MAX('Data Consolidada'!$E$7:$E$3000))))</f>
        <v/>
      </c>
      <c r="BL136" s="32" t="str">
        <f>+IF(BL$3="","",IF($AY136="","",IFERROR(INDEX('Data Consolidada'!$E$7:$E$891,MATCH(CONCATENATE(BL$3,"-",$CP136,"-",$AY136),'Data Consolidada'!$K$7:$K$891,0)),MAX('Data Consolidada'!$E$7:$E$3000))))</f>
        <v/>
      </c>
      <c r="BM136" s="32" t="str">
        <f>+IF(BM$3="","",IF($AY136="","",IFERROR(INDEX('Data Consolidada'!$E$7:$E$891,MATCH(CONCATENATE(BM$3,"-",$CP136,"-",$AY136),'Data Consolidada'!$K$7:$K$891,0)),MAX('Data Consolidada'!$E$7:$E$3000))))</f>
        <v/>
      </c>
      <c r="BN136" s="32" t="str">
        <f>+IF(BN$3="","",IF($AY136="","",IFERROR(INDEX('Data Consolidada'!$E$7:$E$891,MATCH(CONCATENATE(BN$3,"-",$CP136,"-",$AY136),'Data Consolidada'!$K$7:$K$891,0)),MAX('Data Consolidada'!$E$7:$E$3000))))</f>
        <v/>
      </c>
      <c r="BO136" s="32" t="str">
        <f>+IF(BO$3="","",IF($AY136="","",IFERROR(INDEX('Data Consolidada'!$E$7:$E$891,MATCH(CONCATENATE(BO$3,"-",$CP136,"-",$AY136),'Data Consolidada'!$K$7:$K$891,0)),MAX('Data Consolidada'!$E$7:$E$3000))))</f>
        <v/>
      </c>
      <c r="BP136" s="32" t="str">
        <f>+IF(BP$3="","",IF($AY136="","",IFERROR(INDEX('Data Consolidada'!$E$7:$E$891,MATCH(CONCATENATE(BP$3,"-",$CP136,"-",$AY136),'Data Consolidada'!$K$7:$K$891,0)),MAX('Data Consolidada'!$E$7:$E$3000))))</f>
        <v/>
      </c>
      <c r="BQ136" s="32" t="str">
        <f>+IF(BQ$3="","",IF($AY136="","",IFERROR(INDEX('Data Consolidada'!$E$7:$E$891,MATCH(CONCATENATE(BQ$3,"-",$CP136,"-",$AY136),'Data Consolidada'!$K$7:$K$891,0)),MAX('Data Consolidada'!$E$7:$E$3000))))</f>
        <v/>
      </c>
      <c r="BR136" s="32" t="str">
        <f>+IF(BR$3="","",IF($AY136="","",IFERROR(INDEX('Data Consolidada'!$E$7:$E$891,MATCH(CONCATENATE(BR$3,"-",$CP136,"-",$AY136),'Data Consolidada'!$K$7:$K$891,0)),MAX('Data Consolidada'!$E$7:$E$3000))))</f>
        <v/>
      </c>
      <c r="BS136" s="32" t="str">
        <f>+IF(BS$3="","",IF($AY136="","",IFERROR(INDEX('Data Consolidada'!$E$7:$E$891,MATCH(CONCATENATE(BS$3,"-",$CP136,"-",$AY136),'Data Consolidada'!$K$7:$K$891,0)),MAX('Data Consolidada'!$E$7:$E$3000))))</f>
        <v/>
      </c>
      <c r="BT136" s="32" t="str">
        <f>+IF(BT$3="","",IF($AY136="","",IFERROR(INDEX('Data Consolidada'!$E$7:$E$891,MATCH(CONCATENATE(BT$3,"-",$CP136,"-",$AY136),'Data Consolidada'!$K$7:$K$891,0)),MAX('Data Consolidada'!$E$7:$E$3000))))</f>
        <v/>
      </c>
      <c r="BU136" s="32" t="str">
        <f>+IF(BU$3="","",IF($AY136="","",IFERROR(INDEX('Data Consolidada'!$E$7:$E$891,MATCH(CONCATENATE(BU$3,"-",$CP136,"-",$AY136),'Data Consolidada'!$K$7:$K$891,0)),MAX('Data Consolidada'!$E$7:$E$3000))))</f>
        <v/>
      </c>
      <c r="BV136" s="32" t="str">
        <f>+IF(BV$3="","",IF($AY136="","",IFERROR(INDEX('Data Consolidada'!$E$7:$E$891,MATCH(CONCATENATE(BV$3,"-",$CP136,"-",$AY136),'Data Consolidada'!$K$7:$K$891,0)),MAX('Data Consolidada'!$E$7:$E$3000))))</f>
        <v/>
      </c>
      <c r="BW136" s="32" t="str">
        <f>+IF(BW$3="","",IF($AY136="","",IFERROR(INDEX('Data Consolidada'!$E$7:$E$891,MATCH(CONCATENATE(BW$3,"-",$CP136,"-",$AY136),'Data Consolidada'!$K$7:$K$891,0)),MAX('Data Consolidada'!$E$7:$E$3000))))</f>
        <v/>
      </c>
      <c r="BX136" s="32" t="str">
        <f>+IF(BX$3="","",IF($AY136="","",IFERROR(INDEX('Data Consolidada'!$E$7:$E$891,MATCH(CONCATENATE(BX$3,"-",$CP136,"-",$AY136),'Data Consolidada'!$K$7:$K$891,0)),MAX('Data Consolidada'!$E$7:$E$3000))))</f>
        <v/>
      </c>
      <c r="BY136" s="32" t="str">
        <f>+IF(BY$3="","",IF($AY136="","",IFERROR(INDEX('Data Consolidada'!$E$7:$E$891,MATCH(CONCATENATE(BY$3,"-",$CP136,"-",$AY136),'Data Consolidada'!$K$7:$K$891,0)),MAX('Data Consolidada'!$E$7:$E$3000))))</f>
        <v/>
      </c>
      <c r="BZ136" s="32" t="str">
        <f>+IF(BZ$3="","",IF($AY136="","",IFERROR(INDEX('Data Consolidada'!$E$7:$E$891,MATCH(CONCATENATE(BZ$3,"-",$CP136,"-",$AY136),'Data Consolidada'!$K$7:$K$891,0)),MAX('Data Consolidada'!$E$7:$E$3000))))</f>
        <v/>
      </c>
      <c r="CA136" s="32" t="str">
        <f>+IF(CA$3="","",IF($AY136="","",IFERROR(INDEX('Data Consolidada'!$E$7:$E$891,MATCH(CONCATENATE(CA$3,"-",$CP136,"-",$AY136),'Data Consolidada'!$K$7:$K$891,0)),MAX('Data Consolidada'!$E$7:$E$3000))))</f>
        <v/>
      </c>
      <c r="CB136" s="32" t="str">
        <f>+IF(CB$3="","",IF($AY136="","",IFERROR(INDEX('Data Consolidada'!$E$7:$E$891,MATCH(CONCATENATE(CB$3,"-",$CP136,"-",$AY136),'Data Consolidada'!$K$7:$K$891,0)),MAX('Data Consolidada'!$E$7:$E$3000))))</f>
        <v/>
      </c>
      <c r="CC136" s="32" t="str">
        <f>+IF(CC$3="","",IF($AY136="","",IFERROR(INDEX('Data Consolidada'!$E$7:$E$891,MATCH(CONCATENATE(CC$3,"-",$CP136,"-",$AY136),'Data Consolidada'!$K$7:$K$891,0)),MAX('Data Consolidada'!$E$7:$E$3000))))</f>
        <v/>
      </c>
      <c r="CD136" s="32" t="str">
        <f>+IF(CD$3="","",IF($AY136="","",IFERROR(INDEX('Data Consolidada'!$E$7:$E$891,MATCH(CONCATENATE(CD$3,"-",$CP136,"-",$AY136),'Data Consolidada'!$K$7:$K$891,0)),MAX('Data Consolidada'!$E$7:$E$3000))))</f>
        <v/>
      </c>
      <c r="CE136" s="32" t="str">
        <f>+IF(CE$3="","",IF($AY136="","",IFERROR(INDEX('Data Consolidada'!$E$7:$E$891,MATCH(CONCATENATE(CE$3,"-",$CP136,"-",$AY136),'Data Consolidada'!$K$7:$K$891,0)),MAX('Data Consolidada'!$E$7:$E$3000))))</f>
        <v/>
      </c>
      <c r="CF136" s="32" t="str">
        <f>+IF(CF$3="","",IF($AY136="","",IFERROR(INDEX('Data Consolidada'!$E$7:$E$891,MATCH(CONCATENATE(CF$3,"-",$CP136,"-",$AY136),'Data Consolidada'!$K$7:$K$891,0)),MAX('Data Consolidada'!$E$7:$E$3000))))</f>
        <v/>
      </c>
      <c r="CG136" s="32" t="str">
        <f>+IF(CG$3="","",IF($AY136="","",IFERROR(INDEX('Data Consolidada'!$E$7:$E$891,MATCH(CONCATENATE(CG$3,"-",$CP136,"-",$AY136),'Data Consolidada'!$K$7:$K$891,0)),MAX('Data Consolidada'!$E$7:$E$3000))))</f>
        <v/>
      </c>
      <c r="CH136" s="32" t="str">
        <f>+IF(CH$3="","",IF($AY136="","",IFERROR(INDEX('Data Consolidada'!$E$7:$E$891,MATCH(CONCATENATE(CH$3,"-",$CP136,"-",$AY136),'Data Consolidada'!$K$7:$K$891,0)),MAX('Data Consolidada'!$E$7:$E$3000))))</f>
        <v/>
      </c>
      <c r="CI136" s="32" t="str">
        <f>+IF(CI$3="","",IF($AY136="","",IFERROR(INDEX('Data Consolidada'!$E$7:$E$891,MATCH(CONCATENATE(CI$3,"-",$CP136,"-",$AY136),'Data Consolidada'!$K$7:$K$891,0)),MAX('Data Consolidada'!$E$7:$E$3000))))</f>
        <v/>
      </c>
      <c r="CJ136" s="32" t="str">
        <f>+IF(CJ$3="","",IF($AY136="","",IFERROR(INDEX('Data Consolidada'!$E$7:$E$891,MATCH(CONCATENATE(CJ$3,"-",$CP136,"-",$AY136),'Data Consolidada'!$K$7:$K$891,0)),MAX('Data Consolidada'!$E$7:$E$3000))))</f>
        <v/>
      </c>
      <c r="CK136" s="32" t="str">
        <f>+IF(CK$3="","",IF($AY136="","",IFERROR(INDEX('Data Consolidada'!$E$7:$E$891,MATCH(CONCATENATE(CK$3,"-",$CP136,"-",$AY136),'Data Consolidada'!$K$7:$K$891,0)),MAX('Data Consolidada'!$E$7:$E$3000))))</f>
        <v/>
      </c>
      <c r="CL136" s="32" t="str">
        <f>+IF(CL$3="","",IF($AY136="","",IFERROR(INDEX('Data Consolidada'!$E$7:$E$891,MATCH(CONCATENATE(CL$3,"-",$CP136,"-",$AY136),'Data Consolidada'!$K$7:$K$891,0)),MAX('Data Consolidada'!$E$7:$E$3000))))</f>
        <v/>
      </c>
      <c r="CM136" s="32" t="str">
        <f>+IF(CM$3="","",IF($AY136="","",IFERROR(INDEX('Data Consolidada'!$E$7:$E$891,MATCH(CONCATENATE(CM$3,"-",$CP136,"-",$AY136),'Data Consolidada'!$K$7:$K$891,0)),MAX('Data Consolidada'!$E$7:$E$3000))))</f>
        <v/>
      </c>
      <c r="CN136" s="32" t="str">
        <f>+IF(CN$3="","",IF($AY136="","",IFERROR(INDEX('Data Consolidada'!$E$7:$E$891,MATCH(CONCATENATE(CN$3,"-",$CP136,"-",$AY136),'Data Consolidada'!$K$7:$K$891,0)),MAX('Data Consolidada'!$E$7:$E$3000))))</f>
        <v/>
      </c>
      <c r="CO136" s="37" t="str">
        <f>+IF(CO$3="","",IF($AY136="","",IFERROR(INDEX('Data Consolidada'!$E$7:$E$891,MATCH(CONCATENATE(CO$3,"-",$CP136,"-",$AY136),'Data Consolidada'!$K$7:$K$891,0)),MAX('Data Consolidada'!$E$7:$E$3000))))</f>
        <v/>
      </c>
      <c r="CP136" s="224">
        <f t="shared" ca="1" si="45"/>
        <v>0</v>
      </c>
      <c r="CQ136" s="84" t="str">
        <f t="shared" ca="1" si="46"/>
        <v>GUSTAVO ZÚÑIGA 0</v>
      </c>
    </row>
    <row r="137" spans="2:95" ht="15" customHeight="1" x14ac:dyDescent="0.35">
      <c r="B137" s="218" t="str">
        <f t="shared" ref="B137:B200" ca="1" si="47">+IF(AY69="","",AY69)</f>
        <v xml:space="preserve">  TRANS. MORROS LTDA.</v>
      </c>
      <c r="C137" s="238">
        <v>0</v>
      </c>
      <c r="D137" s="239">
        <v>0</v>
      </c>
      <c r="E137" s="239">
        <v>0</v>
      </c>
      <c r="F137" s="239">
        <v>0</v>
      </c>
      <c r="G137" s="239">
        <v>0</v>
      </c>
      <c r="H137" s="239">
        <v>0</v>
      </c>
      <c r="I137" s="239">
        <v>0</v>
      </c>
      <c r="J137" s="239">
        <v>0</v>
      </c>
      <c r="K137" s="239">
        <v>0</v>
      </c>
      <c r="L137" s="239">
        <v>0</v>
      </c>
      <c r="M137" s="239">
        <v>0</v>
      </c>
      <c r="N137" s="240">
        <v>0</v>
      </c>
      <c r="O137" s="239">
        <v>0</v>
      </c>
      <c r="P137" s="239">
        <v>0</v>
      </c>
      <c r="Q137" s="239">
        <v>0</v>
      </c>
      <c r="R137" s="239">
        <v>0</v>
      </c>
      <c r="S137" s="239">
        <v>0</v>
      </c>
      <c r="T137" s="239">
        <v>0</v>
      </c>
      <c r="U137" s="239">
        <v>0</v>
      </c>
      <c r="V137" s="239">
        <v>0</v>
      </c>
      <c r="W137" s="239">
        <v>0</v>
      </c>
      <c r="X137" s="239">
        <v>0</v>
      </c>
      <c r="Y137" s="239">
        <v>0</v>
      </c>
      <c r="Z137" s="239"/>
      <c r="AA137" s="239"/>
      <c r="AB137" s="239"/>
      <c r="AC137" s="239"/>
      <c r="AD137" s="239"/>
      <c r="AE137" s="239"/>
      <c r="AF137" s="239"/>
      <c r="AG137" s="239"/>
      <c r="AH137" s="239"/>
      <c r="AI137" s="239"/>
      <c r="AJ137" s="239"/>
      <c r="AK137" s="239"/>
      <c r="AL137" s="239"/>
      <c r="AM137" s="239"/>
      <c r="AN137" s="239"/>
      <c r="AO137" s="239"/>
      <c r="AP137" s="239"/>
      <c r="AQ137" s="239"/>
      <c r="AR137" s="252"/>
      <c r="AS137" s="77">
        <f t="shared" ref="AS137:AS200" ca="1" si="48">+IF(CP69="","",CP69)</f>
        <v>0</v>
      </c>
      <c r="AT137" s="255">
        <f t="shared" ref="AT137:AT200" si="49">+SUM(C137:AR137)</f>
        <v>0</v>
      </c>
      <c r="AU137" s="51"/>
      <c r="AV137" s="51"/>
      <c r="AW137" s="13">
        <f>+IF(AX137="","",IF(AX137&gt;AX136,AW136,IF(AW136&lt;$D$69,AW136+1,IF(COUNT(AW$4:AW136)&lt;$B$69*$E$54,1,""))))</f>
        <v>11</v>
      </c>
      <c r="AX137" s="13">
        <f>+IF(AX136&lt;$B$69,AX136+1,IF(COUNT(AX$4:AX136)&lt;$B$69*$D$69,1,""))</f>
        <v>4</v>
      </c>
      <c r="AY137" s="189" t="str">
        <f t="shared" ca="1" si="44"/>
        <v>LAVALLE</v>
      </c>
      <c r="AZ137" s="36">
        <f ca="1">+IF(AZ$3="","",IF($AY137="","",IFERROR(INDEX('Data Consolidada'!$E$7:$E$891,MATCH(CONCATENATE(AZ$3,"-",$CP137,"-",$AY137),'Data Consolidada'!$K$7:$K$891,0)),MAX('Data Consolidada'!$E$7:$E$3000))))</f>
        <v>11000000</v>
      </c>
      <c r="BA137" s="32">
        <f ca="1">+IF(BA$3="","",IF($AY137="","",IFERROR(INDEX('Data Consolidada'!$E$7:$E$891,MATCH(CONCATENATE(BA$3,"-",$CP137,"-",$AY137),'Data Consolidada'!$K$7:$K$891,0)),MAX('Data Consolidada'!$E$7:$E$3000))))</f>
        <v>11000000</v>
      </c>
      <c r="BB137" s="32" t="str">
        <f>+IF(BB$3="","",IF($AY137="","",IFERROR(INDEX('Data Consolidada'!$E$7:$E$891,MATCH(CONCATENATE(BB$3,"-",$CP137,"-",$AY137),'Data Consolidada'!$K$7:$K$891,0)),MAX('Data Consolidada'!$E$7:$E$3000))))</f>
        <v/>
      </c>
      <c r="BC137" s="32" t="str">
        <f>+IF(BC$3="","",IF($AY137="","",IFERROR(INDEX('Data Consolidada'!$E$7:$E$891,MATCH(CONCATENATE(BC$3,"-",$CP137,"-",$AY137),'Data Consolidada'!$K$7:$K$891,0)),MAX('Data Consolidada'!$E$7:$E$3000))))</f>
        <v/>
      </c>
      <c r="BD137" s="32" t="str">
        <f>+IF(BD$3="","",IF($AY137="","",IFERROR(INDEX('Data Consolidada'!$E$7:$E$891,MATCH(CONCATENATE(BD$3,"-",$CP137,"-",$AY137),'Data Consolidada'!$K$7:$K$891,0)),MAX('Data Consolidada'!$E$7:$E$3000))))</f>
        <v/>
      </c>
      <c r="BE137" s="32" t="str">
        <f>+IF(BE$3="","",IF($AY137="","",IFERROR(INDEX('Data Consolidada'!$E$7:$E$891,MATCH(CONCATENATE(BE$3,"-",$CP137,"-",$AY137),'Data Consolidada'!$K$7:$K$891,0)),MAX('Data Consolidada'!$E$7:$E$3000))))</f>
        <v/>
      </c>
      <c r="BF137" s="32" t="str">
        <f>+IF(BF$3="","",IF($AY137="","",IFERROR(INDEX('Data Consolidada'!$E$7:$E$891,MATCH(CONCATENATE(BF$3,"-",$CP137,"-",$AY137),'Data Consolidada'!$K$7:$K$891,0)),MAX('Data Consolidada'!$E$7:$E$3000))))</f>
        <v/>
      </c>
      <c r="BG137" s="32" t="str">
        <f>+IF(BG$3="","",IF($AY137="","",IFERROR(INDEX('Data Consolidada'!$E$7:$E$891,MATCH(CONCATENATE(BG$3,"-",$CP137,"-",$AY137),'Data Consolidada'!$K$7:$K$891,0)),MAX('Data Consolidada'!$E$7:$E$3000))))</f>
        <v/>
      </c>
      <c r="BH137" s="32" t="str">
        <f>+IF(BH$3="","",IF($AY137="","",IFERROR(INDEX('Data Consolidada'!$E$7:$E$891,MATCH(CONCATENATE(BH$3,"-",$CP137,"-",$AY137),'Data Consolidada'!$K$7:$K$891,0)),MAX('Data Consolidada'!$E$7:$E$3000))))</f>
        <v/>
      </c>
      <c r="BI137" s="32" t="str">
        <f>+IF(BI$3="","",IF($AY137="","",IFERROR(INDEX('Data Consolidada'!$E$7:$E$891,MATCH(CONCATENATE(BI$3,"-",$CP137,"-",$AY137),'Data Consolidada'!$K$7:$K$891,0)),MAX('Data Consolidada'!$E$7:$E$3000))))</f>
        <v/>
      </c>
      <c r="BJ137" s="32" t="str">
        <f>+IF(BJ$3="","",IF($AY137="","",IFERROR(INDEX('Data Consolidada'!$E$7:$E$891,MATCH(CONCATENATE(BJ$3,"-",$CP137,"-",$AY137),'Data Consolidada'!$K$7:$K$891,0)),MAX('Data Consolidada'!$E$7:$E$3000))))</f>
        <v/>
      </c>
      <c r="BK137" s="32" t="str">
        <f>+IF(BK$3="","",IF($AY137="","",IFERROR(INDEX('Data Consolidada'!$E$7:$E$891,MATCH(CONCATENATE(BK$3,"-",$CP137,"-",$AY137),'Data Consolidada'!$K$7:$K$891,0)),MAX('Data Consolidada'!$E$7:$E$3000))))</f>
        <v/>
      </c>
      <c r="BL137" s="32" t="str">
        <f>+IF(BL$3="","",IF($AY137="","",IFERROR(INDEX('Data Consolidada'!$E$7:$E$891,MATCH(CONCATENATE(BL$3,"-",$CP137,"-",$AY137),'Data Consolidada'!$K$7:$K$891,0)),MAX('Data Consolidada'!$E$7:$E$3000))))</f>
        <v/>
      </c>
      <c r="BM137" s="32" t="str">
        <f>+IF(BM$3="","",IF($AY137="","",IFERROR(INDEX('Data Consolidada'!$E$7:$E$891,MATCH(CONCATENATE(BM$3,"-",$CP137,"-",$AY137),'Data Consolidada'!$K$7:$K$891,0)),MAX('Data Consolidada'!$E$7:$E$3000))))</f>
        <v/>
      </c>
      <c r="BN137" s="32" t="str">
        <f>+IF(BN$3="","",IF($AY137="","",IFERROR(INDEX('Data Consolidada'!$E$7:$E$891,MATCH(CONCATENATE(BN$3,"-",$CP137,"-",$AY137),'Data Consolidada'!$K$7:$K$891,0)),MAX('Data Consolidada'!$E$7:$E$3000))))</f>
        <v/>
      </c>
      <c r="BO137" s="32" t="str">
        <f>+IF(BO$3="","",IF($AY137="","",IFERROR(INDEX('Data Consolidada'!$E$7:$E$891,MATCH(CONCATENATE(BO$3,"-",$CP137,"-",$AY137),'Data Consolidada'!$K$7:$K$891,0)),MAX('Data Consolidada'!$E$7:$E$3000))))</f>
        <v/>
      </c>
      <c r="BP137" s="32" t="str">
        <f>+IF(BP$3="","",IF($AY137="","",IFERROR(INDEX('Data Consolidada'!$E$7:$E$891,MATCH(CONCATENATE(BP$3,"-",$CP137,"-",$AY137),'Data Consolidada'!$K$7:$K$891,0)),MAX('Data Consolidada'!$E$7:$E$3000))))</f>
        <v/>
      </c>
      <c r="BQ137" s="32" t="str">
        <f>+IF(BQ$3="","",IF($AY137="","",IFERROR(INDEX('Data Consolidada'!$E$7:$E$891,MATCH(CONCATENATE(BQ$3,"-",$CP137,"-",$AY137),'Data Consolidada'!$K$7:$K$891,0)),MAX('Data Consolidada'!$E$7:$E$3000))))</f>
        <v/>
      </c>
      <c r="BR137" s="32" t="str">
        <f>+IF(BR$3="","",IF($AY137="","",IFERROR(INDEX('Data Consolidada'!$E$7:$E$891,MATCH(CONCATENATE(BR$3,"-",$CP137,"-",$AY137),'Data Consolidada'!$K$7:$K$891,0)),MAX('Data Consolidada'!$E$7:$E$3000))))</f>
        <v/>
      </c>
      <c r="BS137" s="32" t="str">
        <f>+IF(BS$3="","",IF($AY137="","",IFERROR(INDEX('Data Consolidada'!$E$7:$E$891,MATCH(CONCATENATE(BS$3,"-",$CP137,"-",$AY137),'Data Consolidada'!$K$7:$K$891,0)),MAX('Data Consolidada'!$E$7:$E$3000))))</f>
        <v/>
      </c>
      <c r="BT137" s="32" t="str">
        <f>+IF(BT$3="","",IF($AY137="","",IFERROR(INDEX('Data Consolidada'!$E$7:$E$891,MATCH(CONCATENATE(BT$3,"-",$CP137,"-",$AY137),'Data Consolidada'!$K$7:$K$891,0)),MAX('Data Consolidada'!$E$7:$E$3000))))</f>
        <v/>
      </c>
      <c r="BU137" s="32" t="str">
        <f>+IF(BU$3="","",IF($AY137="","",IFERROR(INDEX('Data Consolidada'!$E$7:$E$891,MATCH(CONCATENATE(BU$3,"-",$CP137,"-",$AY137),'Data Consolidada'!$K$7:$K$891,0)),MAX('Data Consolidada'!$E$7:$E$3000))))</f>
        <v/>
      </c>
      <c r="BV137" s="32" t="str">
        <f>+IF(BV$3="","",IF($AY137="","",IFERROR(INDEX('Data Consolidada'!$E$7:$E$891,MATCH(CONCATENATE(BV$3,"-",$CP137,"-",$AY137),'Data Consolidada'!$K$7:$K$891,0)),MAX('Data Consolidada'!$E$7:$E$3000))))</f>
        <v/>
      </c>
      <c r="BW137" s="32" t="str">
        <f>+IF(BW$3="","",IF($AY137="","",IFERROR(INDEX('Data Consolidada'!$E$7:$E$891,MATCH(CONCATENATE(BW$3,"-",$CP137,"-",$AY137),'Data Consolidada'!$K$7:$K$891,0)),MAX('Data Consolidada'!$E$7:$E$3000))))</f>
        <v/>
      </c>
      <c r="BX137" s="32" t="str">
        <f>+IF(BX$3="","",IF($AY137="","",IFERROR(INDEX('Data Consolidada'!$E$7:$E$891,MATCH(CONCATENATE(BX$3,"-",$CP137,"-",$AY137),'Data Consolidada'!$K$7:$K$891,0)),MAX('Data Consolidada'!$E$7:$E$3000))))</f>
        <v/>
      </c>
      <c r="BY137" s="32" t="str">
        <f>+IF(BY$3="","",IF($AY137="","",IFERROR(INDEX('Data Consolidada'!$E$7:$E$891,MATCH(CONCATENATE(BY$3,"-",$CP137,"-",$AY137),'Data Consolidada'!$K$7:$K$891,0)),MAX('Data Consolidada'!$E$7:$E$3000))))</f>
        <v/>
      </c>
      <c r="BZ137" s="32" t="str">
        <f>+IF(BZ$3="","",IF($AY137="","",IFERROR(INDEX('Data Consolidada'!$E$7:$E$891,MATCH(CONCATENATE(BZ$3,"-",$CP137,"-",$AY137),'Data Consolidada'!$K$7:$K$891,0)),MAX('Data Consolidada'!$E$7:$E$3000))))</f>
        <v/>
      </c>
      <c r="CA137" s="32" t="str">
        <f>+IF(CA$3="","",IF($AY137="","",IFERROR(INDEX('Data Consolidada'!$E$7:$E$891,MATCH(CONCATENATE(CA$3,"-",$CP137,"-",$AY137),'Data Consolidada'!$K$7:$K$891,0)),MAX('Data Consolidada'!$E$7:$E$3000))))</f>
        <v/>
      </c>
      <c r="CB137" s="32" t="str">
        <f>+IF(CB$3="","",IF($AY137="","",IFERROR(INDEX('Data Consolidada'!$E$7:$E$891,MATCH(CONCATENATE(CB$3,"-",$CP137,"-",$AY137),'Data Consolidada'!$K$7:$K$891,0)),MAX('Data Consolidada'!$E$7:$E$3000))))</f>
        <v/>
      </c>
      <c r="CC137" s="32" t="str">
        <f>+IF(CC$3="","",IF($AY137="","",IFERROR(INDEX('Data Consolidada'!$E$7:$E$891,MATCH(CONCATENATE(CC$3,"-",$CP137,"-",$AY137),'Data Consolidada'!$K$7:$K$891,0)),MAX('Data Consolidada'!$E$7:$E$3000))))</f>
        <v/>
      </c>
      <c r="CD137" s="32" t="str">
        <f>+IF(CD$3="","",IF($AY137="","",IFERROR(INDEX('Data Consolidada'!$E$7:$E$891,MATCH(CONCATENATE(CD$3,"-",$CP137,"-",$AY137),'Data Consolidada'!$K$7:$K$891,0)),MAX('Data Consolidada'!$E$7:$E$3000))))</f>
        <v/>
      </c>
      <c r="CE137" s="32" t="str">
        <f>+IF(CE$3="","",IF($AY137="","",IFERROR(INDEX('Data Consolidada'!$E$7:$E$891,MATCH(CONCATENATE(CE$3,"-",$CP137,"-",$AY137),'Data Consolidada'!$K$7:$K$891,0)),MAX('Data Consolidada'!$E$7:$E$3000))))</f>
        <v/>
      </c>
      <c r="CF137" s="32" t="str">
        <f>+IF(CF$3="","",IF($AY137="","",IFERROR(INDEX('Data Consolidada'!$E$7:$E$891,MATCH(CONCATENATE(CF$3,"-",$CP137,"-",$AY137),'Data Consolidada'!$K$7:$K$891,0)),MAX('Data Consolidada'!$E$7:$E$3000))))</f>
        <v/>
      </c>
      <c r="CG137" s="32" t="str">
        <f>+IF(CG$3="","",IF($AY137="","",IFERROR(INDEX('Data Consolidada'!$E$7:$E$891,MATCH(CONCATENATE(CG$3,"-",$CP137,"-",$AY137),'Data Consolidada'!$K$7:$K$891,0)),MAX('Data Consolidada'!$E$7:$E$3000))))</f>
        <v/>
      </c>
      <c r="CH137" s="32" t="str">
        <f>+IF(CH$3="","",IF($AY137="","",IFERROR(INDEX('Data Consolidada'!$E$7:$E$891,MATCH(CONCATENATE(CH$3,"-",$CP137,"-",$AY137),'Data Consolidada'!$K$7:$K$891,0)),MAX('Data Consolidada'!$E$7:$E$3000))))</f>
        <v/>
      </c>
      <c r="CI137" s="32" t="str">
        <f>+IF(CI$3="","",IF($AY137="","",IFERROR(INDEX('Data Consolidada'!$E$7:$E$891,MATCH(CONCATENATE(CI$3,"-",$CP137,"-",$AY137),'Data Consolidada'!$K$7:$K$891,0)),MAX('Data Consolidada'!$E$7:$E$3000))))</f>
        <v/>
      </c>
      <c r="CJ137" s="32" t="str">
        <f>+IF(CJ$3="","",IF($AY137="","",IFERROR(INDEX('Data Consolidada'!$E$7:$E$891,MATCH(CONCATENATE(CJ$3,"-",$CP137,"-",$AY137),'Data Consolidada'!$K$7:$K$891,0)),MAX('Data Consolidada'!$E$7:$E$3000))))</f>
        <v/>
      </c>
      <c r="CK137" s="32" t="str">
        <f>+IF(CK$3="","",IF($AY137="","",IFERROR(INDEX('Data Consolidada'!$E$7:$E$891,MATCH(CONCATENATE(CK$3,"-",$CP137,"-",$AY137),'Data Consolidada'!$K$7:$K$891,0)),MAX('Data Consolidada'!$E$7:$E$3000))))</f>
        <v/>
      </c>
      <c r="CL137" s="32" t="str">
        <f>+IF(CL$3="","",IF($AY137="","",IFERROR(INDEX('Data Consolidada'!$E$7:$E$891,MATCH(CONCATENATE(CL$3,"-",$CP137,"-",$AY137),'Data Consolidada'!$K$7:$K$891,0)),MAX('Data Consolidada'!$E$7:$E$3000))))</f>
        <v/>
      </c>
      <c r="CM137" s="32" t="str">
        <f>+IF(CM$3="","",IF($AY137="","",IFERROR(INDEX('Data Consolidada'!$E$7:$E$891,MATCH(CONCATENATE(CM$3,"-",$CP137,"-",$AY137),'Data Consolidada'!$K$7:$K$891,0)),MAX('Data Consolidada'!$E$7:$E$3000))))</f>
        <v/>
      </c>
      <c r="CN137" s="32" t="str">
        <f>+IF(CN$3="","",IF($AY137="","",IFERROR(INDEX('Data Consolidada'!$E$7:$E$891,MATCH(CONCATENATE(CN$3,"-",$CP137,"-",$AY137),'Data Consolidada'!$K$7:$K$891,0)),MAX('Data Consolidada'!$E$7:$E$3000))))</f>
        <v/>
      </c>
      <c r="CO137" s="37" t="str">
        <f>+IF(CO$3="","",IF($AY137="","",IFERROR(INDEX('Data Consolidada'!$E$7:$E$891,MATCH(CONCATENATE(CO$3,"-",$CP137,"-",$AY137),'Data Consolidada'!$K$7:$K$891,0)),MAX('Data Consolidada'!$E$7:$E$3000))))</f>
        <v/>
      </c>
      <c r="CP137" s="224">
        <f t="shared" ca="1" si="45"/>
        <v>0</v>
      </c>
      <c r="CQ137" s="84" t="str">
        <f t="shared" ca="1" si="46"/>
        <v>LAVALLE0</v>
      </c>
    </row>
    <row r="138" spans="2:95" ht="15" customHeight="1" x14ac:dyDescent="0.35">
      <c r="B138" s="218" t="str">
        <f t="shared" ca="1" si="47"/>
        <v xml:space="preserve">CRISTIAN LÓPEZ </v>
      </c>
      <c r="C138" s="238">
        <v>0</v>
      </c>
      <c r="D138" s="239">
        <v>0</v>
      </c>
      <c r="E138" s="239">
        <v>0</v>
      </c>
      <c r="F138" s="239">
        <v>0</v>
      </c>
      <c r="G138" s="239">
        <v>0</v>
      </c>
      <c r="H138" s="239">
        <v>0</v>
      </c>
      <c r="I138" s="239">
        <v>0</v>
      </c>
      <c r="J138" s="239">
        <v>0</v>
      </c>
      <c r="K138" s="239">
        <v>0</v>
      </c>
      <c r="L138" s="239">
        <v>0</v>
      </c>
      <c r="M138" s="239">
        <v>0</v>
      </c>
      <c r="N138" s="240">
        <v>0</v>
      </c>
      <c r="O138" s="239">
        <v>0</v>
      </c>
      <c r="P138" s="239">
        <v>0</v>
      </c>
      <c r="Q138" s="239">
        <v>0</v>
      </c>
      <c r="R138" s="239">
        <v>0</v>
      </c>
      <c r="S138" s="239">
        <v>0</v>
      </c>
      <c r="T138" s="239">
        <v>0</v>
      </c>
      <c r="U138" s="239">
        <v>0</v>
      </c>
      <c r="V138" s="239">
        <v>0</v>
      </c>
      <c r="W138" s="239">
        <v>0</v>
      </c>
      <c r="X138" s="239">
        <v>0</v>
      </c>
      <c r="Y138" s="239">
        <v>0</v>
      </c>
      <c r="Z138" s="239"/>
      <c r="AA138" s="239"/>
      <c r="AB138" s="239"/>
      <c r="AC138" s="239"/>
      <c r="AD138" s="239"/>
      <c r="AE138" s="239"/>
      <c r="AF138" s="239"/>
      <c r="AG138" s="239"/>
      <c r="AH138" s="239"/>
      <c r="AI138" s="239"/>
      <c r="AJ138" s="239"/>
      <c r="AK138" s="239"/>
      <c r="AL138" s="239"/>
      <c r="AM138" s="239"/>
      <c r="AN138" s="239"/>
      <c r="AO138" s="239"/>
      <c r="AP138" s="239"/>
      <c r="AQ138" s="239"/>
      <c r="AR138" s="252"/>
      <c r="AS138" s="77">
        <f t="shared" ca="1" si="48"/>
        <v>0</v>
      </c>
      <c r="AT138" s="255">
        <f t="shared" si="49"/>
        <v>0</v>
      </c>
      <c r="AU138" s="51"/>
      <c r="AV138" s="51"/>
      <c r="AW138" s="13">
        <f>+IF(AX138="","",IF(AX138&gt;AX137,AW137,IF(AW137&lt;$D$69,AW137+1,IF(COUNT(AW$4:AW137)&lt;$B$69*$E$54,1,""))))</f>
        <v>11</v>
      </c>
      <c r="AX138" s="13">
        <f>+IF(AX137&lt;$B$69,AX137+1,IF(COUNT(AX$4:AX137)&lt;$B$69*$D$69,1,""))</f>
        <v>5</v>
      </c>
      <c r="AY138" s="189" t="str">
        <f t="shared" ca="1" si="44"/>
        <v>MACEBE</v>
      </c>
      <c r="AZ138" s="36">
        <f ca="1">+IF(AZ$3="","",IF($AY138="","",IFERROR(INDEX('Data Consolidada'!$E$7:$E$891,MATCH(CONCATENATE(AZ$3,"-",$CP138,"-",$AY138),'Data Consolidada'!$K$7:$K$891,0)),MAX('Data Consolidada'!$E$7:$E$3000))))</f>
        <v>11000000</v>
      </c>
      <c r="BA138" s="32">
        <f ca="1">+IF(BA$3="","",IF($AY138="","",IFERROR(INDEX('Data Consolidada'!$E$7:$E$891,MATCH(CONCATENATE(BA$3,"-",$CP138,"-",$AY138),'Data Consolidada'!$K$7:$K$891,0)),MAX('Data Consolidada'!$E$7:$E$3000))))</f>
        <v>11000000</v>
      </c>
      <c r="BB138" s="32" t="str">
        <f>+IF(BB$3="","",IF($AY138="","",IFERROR(INDEX('Data Consolidada'!$E$7:$E$891,MATCH(CONCATENATE(BB$3,"-",$CP138,"-",$AY138),'Data Consolidada'!$K$7:$K$891,0)),MAX('Data Consolidada'!$E$7:$E$3000))))</f>
        <v/>
      </c>
      <c r="BC138" s="32" t="str">
        <f>+IF(BC$3="","",IF($AY138="","",IFERROR(INDEX('Data Consolidada'!$E$7:$E$891,MATCH(CONCATENATE(BC$3,"-",$CP138,"-",$AY138),'Data Consolidada'!$K$7:$K$891,0)),MAX('Data Consolidada'!$E$7:$E$3000))))</f>
        <v/>
      </c>
      <c r="BD138" s="32" t="str">
        <f>+IF(BD$3="","",IF($AY138="","",IFERROR(INDEX('Data Consolidada'!$E$7:$E$891,MATCH(CONCATENATE(BD$3,"-",$CP138,"-",$AY138),'Data Consolidada'!$K$7:$K$891,0)),MAX('Data Consolidada'!$E$7:$E$3000))))</f>
        <v/>
      </c>
      <c r="BE138" s="32" t="str">
        <f>+IF(BE$3="","",IF($AY138="","",IFERROR(INDEX('Data Consolidada'!$E$7:$E$891,MATCH(CONCATENATE(BE$3,"-",$CP138,"-",$AY138),'Data Consolidada'!$K$7:$K$891,0)),MAX('Data Consolidada'!$E$7:$E$3000))))</f>
        <v/>
      </c>
      <c r="BF138" s="32" t="str">
        <f>+IF(BF$3="","",IF($AY138="","",IFERROR(INDEX('Data Consolidada'!$E$7:$E$891,MATCH(CONCATENATE(BF$3,"-",$CP138,"-",$AY138),'Data Consolidada'!$K$7:$K$891,0)),MAX('Data Consolidada'!$E$7:$E$3000))))</f>
        <v/>
      </c>
      <c r="BG138" s="32" t="str">
        <f>+IF(BG$3="","",IF($AY138="","",IFERROR(INDEX('Data Consolidada'!$E$7:$E$891,MATCH(CONCATENATE(BG$3,"-",$CP138,"-",$AY138),'Data Consolidada'!$K$7:$K$891,0)),MAX('Data Consolidada'!$E$7:$E$3000))))</f>
        <v/>
      </c>
      <c r="BH138" s="32" t="str">
        <f>+IF(BH$3="","",IF($AY138="","",IFERROR(INDEX('Data Consolidada'!$E$7:$E$891,MATCH(CONCATENATE(BH$3,"-",$CP138,"-",$AY138),'Data Consolidada'!$K$7:$K$891,0)),MAX('Data Consolidada'!$E$7:$E$3000))))</f>
        <v/>
      </c>
      <c r="BI138" s="32" t="str">
        <f>+IF(BI$3="","",IF($AY138="","",IFERROR(INDEX('Data Consolidada'!$E$7:$E$891,MATCH(CONCATENATE(BI$3,"-",$CP138,"-",$AY138),'Data Consolidada'!$K$7:$K$891,0)),MAX('Data Consolidada'!$E$7:$E$3000))))</f>
        <v/>
      </c>
      <c r="BJ138" s="32" t="str">
        <f>+IF(BJ$3="","",IF($AY138="","",IFERROR(INDEX('Data Consolidada'!$E$7:$E$891,MATCH(CONCATENATE(BJ$3,"-",$CP138,"-",$AY138),'Data Consolidada'!$K$7:$K$891,0)),MAX('Data Consolidada'!$E$7:$E$3000))))</f>
        <v/>
      </c>
      <c r="BK138" s="32" t="str">
        <f>+IF(BK$3="","",IF($AY138="","",IFERROR(INDEX('Data Consolidada'!$E$7:$E$891,MATCH(CONCATENATE(BK$3,"-",$CP138,"-",$AY138),'Data Consolidada'!$K$7:$K$891,0)),MAX('Data Consolidada'!$E$7:$E$3000))))</f>
        <v/>
      </c>
      <c r="BL138" s="32" t="str">
        <f>+IF(BL$3="","",IF($AY138="","",IFERROR(INDEX('Data Consolidada'!$E$7:$E$891,MATCH(CONCATENATE(BL$3,"-",$CP138,"-",$AY138),'Data Consolidada'!$K$7:$K$891,0)),MAX('Data Consolidada'!$E$7:$E$3000))))</f>
        <v/>
      </c>
      <c r="BM138" s="32" t="str">
        <f>+IF(BM$3="","",IF($AY138="","",IFERROR(INDEX('Data Consolidada'!$E$7:$E$891,MATCH(CONCATENATE(BM$3,"-",$CP138,"-",$AY138),'Data Consolidada'!$K$7:$K$891,0)),MAX('Data Consolidada'!$E$7:$E$3000))))</f>
        <v/>
      </c>
      <c r="BN138" s="32" t="str">
        <f>+IF(BN$3="","",IF($AY138="","",IFERROR(INDEX('Data Consolidada'!$E$7:$E$891,MATCH(CONCATENATE(BN$3,"-",$CP138,"-",$AY138),'Data Consolidada'!$K$7:$K$891,0)),MAX('Data Consolidada'!$E$7:$E$3000))))</f>
        <v/>
      </c>
      <c r="BO138" s="32" t="str">
        <f>+IF(BO$3="","",IF($AY138="","",IFERROR(INDEX('Data Consolidada'!$E$7:$E$891,MATCH(CONCATENATE(BO$3,"-",$CP138,"-",$AY138),'Data Consolidada'!$K$7:$K$891,0)),MAX('Data Consolidada'!$E$7:$E$3000))))</f>
        <v/>
      </c>
      <c r="BP138" s="32" t="str">
        <f>+IF(BP$3="","",IF($AY138="","",IFERROR(INDEX('Data Consolidada'!$E$7:$E$891,MATCH(CONCATENATE(BP$3,"-",$CP138,"-",$AY138),'Data Consolidada'!$K$7:$K$891,0)),MAX('Data Consolidada'!$E$7:$E$3000))))</f>
        <v/>
      </c>
      <c r="BQ138" s="32" t="str">
        <f>+IF(BQ$3="","",IF($AY138="","",IFERROR(INDEX('Data Consolidada'!$E$7:$E$891,MATCH(CONCATENATE(BQ$3,"-",$CP138,"-",$AY138),'Data Consolidada'!$K$7:$K$891,0)),MAX('Data Consolidada'!$E$7:$E$3000))))</f>
        <v/>
      </c>
      <c r="BR138" s="32" t="str">
        <f>+IF(BR$3="","",IF($AY138="","",IFERROR(INDEX('Data Consolidada'!$E$7:$E$891,MATCH(CONCATENATE(BR$3,"-",$CP138,"-",$AY138),'Data Consolidada'!$K$7:$K$891,0)),MAX('Data Consolidada'!$E$7:$E$3000))))</f>
        <v/>
      </c>
      <c r="BS138" s="32" t="str">
        <f>+IF(BS$3="","",IF($AY138="","",IFERROR(INDEX('Data Consolidada'!$E$7:$E$891,MATCH(CONCATENATE(BS$3,"-",$CP138,"-",$AY138),'Data Consolidada'!$K$7:$K$891,0)),MAX('Data Consolidada'!$E$7:$E$3000))))</f>
        <v/>
      </c>
      <c r="BT138" s="32" t="str">
        <f>+IF(BT$3="","",IF($AY138="","",IFERROR(INDEX('Data Consolidada'!$E$7:$E$891,MATCH(CONCATENATE(BT$3,"-",$CP138,"-",$AY138),'Data Consolidada'!$K$7:$K$891,0)),MAX('Data Consolidada'!$E$7:$E$3000))))</f>
        <v/>
      </c>
      <c r="BU138" s="32" t="str">
        <f>+IF(BU$3="","",IF($AY138="","",IFERROR(INDEX('Data Consolidada'!$E$7:$E$891,MATCH(CONCATENATE(BU$3,"-",$CP138,"-",$AY138),'Data Consolidada'!$K$7:$K$891,0)),MAX('Data Consolidada'!$E$7:$E$3000))))</f>
        <v/>
      </c>
      <c r="BV138" s="32" t="str">
        <f>+IF(BV$3="","",IF($AY138="","",IFERROR(INDEX('Data Consolidada'!$E$7:$E$891,MATCH(CONCATENATE(BV$3,"-",$CP138,"-",$AY138),'Data Consolidada'!$K$7:$K$891,0)),MAX('Data Consolidada'!$E$7:$E$3000))))</f>
        <v/>
      </c>
      <c r="BW138" s="32" t="str">
        <f>+IF(BW$3="","",IF($AY138="","",IFERROR(INDEX('Data Consolidada'!$E$7:$E$891,MATCH(CONCATENATE(BW$3,"-",$CP138,"-",$AY138),'Data Consolidada'!$K$7:$K$891,0)),MAX('Data Consolidada'!$E$7:$E$3000))))</f>
        <v/>
      </c>
      <c r="BX138" s="32" t="str">
        <f>+IF(BX$3="","",IF($AY138="","",IFERROR(INDEX('Data Consolidada'!$E$7:$E$891,MATCH(CONCATENATE(BX$3,"-",$CP138,"-",$AY138),'Data Consolidada'!$K$7:$K$891,0)),MAX('Data Consolidada'!$E$7:$E$3000))))</f>
        <v/>
      </c>
      <c r="BY138" s="32" t="str">
        <f>+IF(BY$3="","",IF($AY138="","",IFERROR(INDEX('Data Consolidada'!$E$7:$E$891,MATCH(CONCATENATE(BY$3,"-",$CP138,"-",$AY138),'Data Consolidada'!$K$7:$K$891,0)),MAX('Data Consolidada'!$E$7:$E$3000))))</f>
        <v/>
      </c>
      <c r="BZ138" s="32" t="str">
        <f>+IF(BZ$3="","",IF($AY138="","",IFERROR(INDEX('Data Consolidada'!$E$7:$E$891,MATCH(CONCATENATE(BZ$3,"-",$CP138,"-",$AY138),'Data Consolidada'!$K$7:$K$891,0)),MAX('Data Consolidada'!$E$7:$E$3000))))</f>
        <v/>
      </c>
      <c r="CA138" s="32" t="str">
        <f>+IF(CA$3="","",IF($AY138="","",IFERROR(INDEX('Data Consolidada'!$E$7:$E$891,MATCH(CONCATENATE(CA$3,"-",$CP138,"-",$AY138),'Data Consolidada'!$K$7:$K$891,0)),MAX('Data Consolidada'!$E$7:$E$3000))))</f>
        <v/>
      </c>
      <c r="CB138" s="32" t="str">
        <f>+IF(CB$3="","",IF($AY138="","",IFERROR(INDEX('Data Consolidada'!$E$7:$E$891,MATCH(CONCATENATE(CB$3,"-",$CP138,"-",$AY138),'Data Consolidada'!$K$7:$K$891,0)),MAX('Data Consolidada'!$E$7:$E$3000))))</f>
        <v/>
      </c>
      <c r="CC138" s="32" t="str">
        <f>+IF(CC$3="","",IF($AY138="","",IFERROR(INDEX('Data Consolidada'!$E$7:$E$891,MATCH(CONCATENATE(CC$3,"-",$CP138,"-",$AY138),'Data Consolidada'!$K$7:$K$891,0)),MAX('Data Consolidada'!$E$7:$E$3000))))</f>
        <v/>
      </c>
      <c r="CD138" s="32" t="str">
        <f>+IF(CD$3="","",IF($AY138="","",IFERROR(INDEX('Data Consolidada'!$E$7:$E$891,MATCH(CONCATENATE(CD$3,"-",$CP138,"-",$AY138),'Data Consolidada'!$K$7:$K$891,0)),MAX('Data Consolidada'!$E$7:$E$3000))))</f>
        <v/>
      </c>
      <c r="CE138" s="32" t="str">
        <f>+IF(CE$3="","",IF($AY138="","",IFERROR(INDEX('Data Consolidada'!$E$7:$E$891,MATCH(CONCATENATE(CE$3,"-",$CP138,"-",$AY138),'Data Consolidada'!$K$7:$K$891,0)),MAX('Data Consolidada'!$E$7:$E$3000))))</f>
        <v/>
      </c>
      <c r="CF138" s="32" t="str">
        <f>+IF(CF$3="","",IF($AY138="","",IFERROR(INDEX('Data Consolidada'!$E$7:$E$891,MATCH(CONCATENATE(CF$3,"-",$CP138,"-",$AY138),'Data Consolidada'!$K$7:$K$891,0)),MAX('Data Consolidada'!$E$7:$E$3000))))</f>
        <v/>
      </c>
      <c r="CG138" s="32" t="str">
        <f>+IF(CG$3="","",IF($AY138="","",IFERROR(INDEX('Data Consolidada'!$E$7:$E$891,MATCH(CONCATENATE(CG$3,"-",$CP138,"-",$AY138),'Data Consolidada'!$K$7:$K$891,0)),MAX('Data Consolidada'!$E$7:$E$3000))))</f>
        <v/>
      </c>
      <c r="CH138" s="32" t="str">
        <f>+IF(CH$3="","",IF($AY138="","",IFERROR(INDEX('Data Consolidada'!$E$7:$E$891,MATCH(CONCATENATE(CH$3,"-",$CP138,"-",$AY138),'Data Consolidada'!$K$7:$K$891,0)),MAX('Data Consolidada'!$E$7:$E$3000))))</f>
        <v/>
      </c>
      <c r="CI138" s="32" t="str">
        <f>+IF(CI$3="","",IF($AY138="","",IFERROR(INDEX('Data Consolidada'!$E$7:$E$891,MATCH(CONCATENATE(CI$3,"-",$CP138,"-",$AY138),'Data Consolidada'!$K$7:$K$891,0)),MAX('Data Consolidada'!$E$7:$E$3000))))</f>
        <v/>
      </c>
      <c r="CJ138" s="32" t="str">
        <f>+IF(CJ$3="","",IF($AY138="","",IFERROR(INDEX('Data Consolidada'!$E$7:$E$891,MATCH(CONCATENATE(CJ$3,"-",$CP138,"-",$AY138),'Data Consolidada'!$K$7:$K$891,0)),MAX('Data Consolidada'!$E$7:$E$3000))))</f>
        <v/>
      </c>
      <c r="CK138" s="32" t="str">
        <f>+IF(CK$3="","",IF($AY138="","",IFERROR(INDEX('Data Consolidada'!$E$7:$E$891,MATCH(CONCATENATE(CK$3,"-",$CP138,"-",$AY138),'Data Consolidada'!$K$7:$K$891,0)),MAX('Data Consolidada'!$E$7:$E$3000))))</f>
        <v/>
      </c>
      <c r="CL138" s="32" t="str">
        <f>+IF(CL$3="","",IF($AY138="","",IFERROR(INDEX('Data Consolidada'!$E$7:$E$891,MATCH(CONCATENATE(CL$3,"-",$CP138,"-",$AY138),'Data Consolidada'!$K$7:$K$891,0)),MAX('Data Consolidada'!$E$7:$E$3000))))</f>
        <v/>
      </c>
      <c r="CM138" s="32" t="str">
        <f>+IF(CM$3="","",IF($AY138="","",IFERROR(INDEX('Data Consolidada'!$E$7:$E$891,MATCH(CONCATENATE(CM$3,"-",$CP138,"-",$AY138),'Data Consolidada'!$K$7:$K$891,0)),MAX('Data Consolidada'!$E$7:$E$3000))))</f>
        <v/>
      </c>
      <c r="CN138" s="32" t="str">
        <f>+IF(CN$3="","",IF($AY138="","",IFERROR(INDEX('Data Consolidada'!$E$7:$E$891,MATCH(CONCATENATE(CN$3,"-",$CP138,"-",$AY138),'Data Consolidada'!$K$7:$K$891,0)),MAX('Data Consolidada'!$E$7:$E$3000))))</f>
        <v/>
      </c>
      <c r="CO138" s="37" t="str">
        <f>+IF(CO$3="","",IF($AY138="","",IFERROR(INDEX('Data Consolidada'!$E$7:$E$891,MATCH(CONCATENATE(CO$3,"-",$CP138,"-",$AY138),'Data Consolidada'!$K$7:$K$891,0)),MAX('Data Consolidada'!$E$7:$E$3000))))</f>
        <v/>
      </c>
      <c r="CP138" s="224">
        <f t="shared" ca="1" si="45"/>
        <v>0</v>
      </c>
      <c r="CQ138" s="84" t="str">
        <f t="shared" ca="1" si="46"/>
        <v>MACEBE0</v>
      </c>
    </row>
    <row r="139" spans="2:95" ht="15" customHeight="1" x14ac:dyDescent="0.35">
      <c r="B139" s="218" t="str">
        <f t="shared" ca="1" si="47"/>
        <v xml:space="preserve">GUSTAVO ZÚÑIGA </v>
      </c>
      <c r="C139" s="238">
        <v>0</v>
      </c>
      <c r="D139" s="239">
        <v>0</v>
      </c>
      <c r="E139" s="239">
        <v>0</v>
      </c>
      <c r="F139" s="239">
        <v>0</v>
      </c>
      <c r="G139" s="239">
        <v>0</v>
      </c>
      <c r="H139" s="239">
        <v>0</v>
      </c>
      <c r="I139" s="239">
        <v>0</v>
      </c>
      <c r="J139" s="239">
        <v>0</v>
      </c>
      <c r="K139" s="239">
        <v>0</v>
      </c>
      <c r="L139" s="239">
        <v>0</v>
      </c>
      <c r="M139" s="239">
        <v>0</v>
      </c>
      <c r="N139" s="240">
        <v>0</v>
      </c>
      <c r="O139" s="239">
        <v>0</v>
      </c>
      <c r="P139" s="239">
        <v>0</v>
      </c>
      <c r="Q139" s="239">
        <v>0</v>
      </c>
      <c r="R139" s="239">
        <v>0</v>
      </c>
      <c r="S139" s="239">
        <v>0</v>
      </c>
      <c r="T139" s="239">
        <v>0</v>
      </c>
      <c r="U139" s="239">
        <v>0</v>
      </c>
      <c r="V139" s="239">
        <v>0</v>
      </c>
      <c r="W139" s="239">
        <v>0</v>
      </c>
      <c r="X139" s="239">
        <v>0</v>
      </c>
      <c r="Y139" s="239">
        <v>0</v>
      </c>
      <c r="Z139" s="239"/>
      <c r="AA139" s="239"/>
      <c r="AB139" s="239"/>
      <c r="AC139" s="239"/>
      <c r="AD139" s="239"/>
      <c r="AE139" s="239"/>
      <c r="AF139" s="239"/>
      <c r="AG139" s="239"/>
      <c r="AH139" s="239"/>
      <c r="AI139" s="239"/>
      <c r="AJ139" s="239"/>
      <c r="AK139" s="239"/>
      <c r="AL139" s="239"/>
      <c r="AM139" s="239"/>
      <c r="AN139" s="239"/>
      <c r="AO139" s="239"/>
      <c r="AP139" s="239"/>
      <c r="AQ139" s="239"/>
      <c r="AR139" s="252"/>
      <c r="AS139" s="77">
        <f t="shared" ca="1" si="48"/>
        <v>0</v>
      </c>
      <c r="AT139" s="255">
        <f t="shared" si="49"/>
        <v>0</v>
      </c>
      <c r="AU139" s="51"/>
      <c r="AV139" s="51"/>
      <c r="AW139" s="13">
        <f>+IF(AX139="","",IF(AX139&gt;AX138,AW138,IF(AW138&lt;$D$69,AW138+1,IF(COUNT(AW$4:AW138)&lt;$B$69*$E$54,1,""))))</f>
        <v>11</v>
      </c>
      <c r="AX139" s="13">
        <f>+IF(AX138&lt;$B$69,AX138+1,IF(COUNT(AX$4:AX138)&lt;$B$69*$D$69,1,""))</f>
        <v>6</v>
      </c>
      <c r="AY139" s="189" t="str">
        <f t="shared" ca="1" si="44"/>
        <v xml:space="preserve">Manuel Sepúlveda </v>
      </c>
      <c r="AZ139" s="36">
        <f ca="1">+IF(AZ$3="","",IF($AY139="","",IFERROR(INDEX('Data Consolidada'!$E$7:$E$891,MATCH(CONCATENATE(AZ$3,"-",$CP139,"-",$AY139),'Data Consolidada'!$K$7:$K$891,0)),MAX('Data Consolidada'!$E$7:$E$3000))))</f>
        <v>11000000</v>
      </c>
      <c r="BA139" s="32">
        <f ca="1">+IF(BA$3="","",IF($AY139="","",IFERROR(INDEX('Data Consolidada'!$E$7:$E$891,MATCH(CONCATENATE(BA$3,"-",$CP139,"-",$AY139),'Data Consolidada'!$K$7:$K$891,0)),MAX('Data Consolidada'!$E$7:$E$3000))))</f>
        <v>11000000</v>
      </c>
      <c r="BB139" s="32" t="str">
        <f>+IF(BB$3="","",IF($AY139="","",IFERROR(INDEX('Data Consolidada'!$E$7:$E$891,MATCH(CONCATENATE(BB$3,"-",$CP139,"-",$AY139),'Data Consolidada'!$K$7:$K$891,0)),MAX('Data Consolidada'!$E$7:$E$3000))))</f>
        <v/>
      </c>
      <c r="BC139" s="32" t="str">
        <f>+IF(BC$3="","",IF($AY139="","",IFERROR(INDEX('Data Consolidada'!$E$7:$E$891,MATCH(CONCATENATE(BC$3,"-",$CP139,"-",$AY139),'Data Consolidada'!$K$7:$K$891,0)),MAX('Data Consolidada'!$E$7:$E$3000))))</f>
        <v/>
      </c>
      <c r="BD139" s="32" t="str">
        <f>+IF(BD$3="","",IF($AY139="","",IFERROR(INDEX('Data Consolidada'!$E$7:$E$891,MATCH(CONCATENATE(BD$3,"-",$CP139,"-",$AY139),'Data Consolidada'!$K$7:$K$891,0)),MAX('Data Consolidada'!$E$7:$E$3000))))</f>
        <v/>
      </c>
      <c r="BE139" s="32" t="str">
        <f>+IF(BE$3="","",IF($AY139="","",IFERROR(INDEX('Data Consolidada'!$E$7:$E$891,MATCH(CONCATENATE(BE$3,"-",$CP139,"-",$AY139),'Data Consolidada'!$K$7:$K$891,0)),MAX('Data Consolidada'!$E$7:$E$3000))))</f>
        <v/>
      </c>
      <c r="BF139" s="32" t="str">
        <f>+IF(BF$3="","",IF($AY139="","",IFERROR(INDEX('Data Consolidada'!$E$7:$E$891,MATCH(CONCATENATE(BF$3,"-",$CP139,"-",$AY139),'Data Consolidada'!$K$7:$K$891,0)),MAX('Data Consolidada'!$E$7:$E$3000))))</f>
        <v/>
      </c>
      <c r="BG139" s="32" t="str">
        <f>+IF(BG$3="","",IF($AY139="","",IFERROR(INDEX('Data Consolidada'!$E$7:$E$891,MATCH(CONCATENATE(BG$3,"-",$CP139,"-",$AY139),'Data Consolidada'!$K$7:$K$891,0)),MAX('Data Consolidada'!$E$7:$E$3000))))</f>
        <v/>
      </c>
      <c r="BH139" s="32" t="str">
        <f>+IF(BH$3="","",IF($AY139="","",IFERROR(INDEX('Data Consolidada'!$E$7:$E$891,MATCH(CONCATENATE(BH$3,"-",$CP139,"-",$AY139),'Data Consolidada'!$K$7:$K$891,0)),MAX('Data Consolidada'!$E$7:$E$3000))))</f>
        <v/>
      </c>
      <c r="BI139" s="32" t="str">
        <f>+IF(BI$3="","",IF($AY139="","",IFERROR(INDEX('Data Consolidada'!$E$7:$E$891,MATCH(CONCATENATE(BI$3,"-",$CP139,"-",$AY139),'Data Consolidada'!$K$7:$K$891,0)),MAX('Data Consolidada'!$E$7:$E$3000))))</f>
        <v/>
      </c>
      <c r="BJ139" s="32" t="str">
        <f>+IF(BJ$3="","",IF($AY139="","",IFERROR(INDEX('Data Consolidada'!$E$7:$E$891,MATCH(CONCATENATE(BJ$3,"-",$CP139,"-",$AY139),'Data Consolidada'!$K$7:$K$891,0)),MAX('Data Consolidada'!$E$7:$E$3000))))</f>
        <v/>
      </c>
      <c r="BK139" s="32" t="str">
        <f>+IF(BK$3="","",IF($AY139="","",IFERROR(INDEX('Data Consolidada'!$E$7:$E$891,MATCH(CONCATENATE(BK$3,"-",$CP139,"-",$AY139),'Data Consolidada'!$K$7:$K$891,0)),MAX('Data Consolidada'!$E$7:$E$3000))))</f>
        <v/>
      </c>
      <c r="BL139" s="32" t="str">
        <f>+IF(BL$3="","",IF($AY139="","",IFERROR(INDEX('Data Consolidada'!$E$7:$E$891,MATCH(CONCATENATE(BL$3,"-",$CP139,"-",$AY139),'Data Consolidada'!$K$7:$K$891,0)),MAX('Data Consolidada'!$E$7:$E$3000))))</f>
        <v/>
      </c>
      <c r="BM139" s="32" t="str">
        <f>+IF(BM$3="","",IF($AY139="","",IFERROR(INDEX('Data Consolidada'!$E$7:$E$891,MATCH(CONCATENATE(BM$3,"-",$CP139,"-",$AY139),'Data Consolidada'!$K$7:$K$891,0)),MAX('Data Consolidada'!$E$7:$E$3000))))</f>
        <v/>
      </c>
      <c r="BN139" s="32" t="str">
        <f>+IF(BN$3="","",IF($AY139="","",IFERROR(INDEX('Data Consolidada'!$E$7:$E$891,MATCH(CONCATENATE(BN$3,"-",$CP139,"-",$AY139),'Data Consolidada'!$K$7:$K$891,0)),MAX('Data Consolidada'!$E$7:$E$3000))))</f>
        <v/>
      </c>
      <c r="BO139" s="32" t="str">
        <f>+IF(BO$3="","",IF($AY139="","",IFERROR(INDEX('Data Consolidada'!$E$7:$E$891,MATCH(CONCATENATE(BO$3,"-",$CP139,"-",$AY139),'Data Consolidada'!$K$7:$K$891,0)),MAX('Data Consolidada'!$E$7:$E$3000))))</f>
        <v/>
      </c>
      <c r="BP139" s="32" t="str">
        <f>+IF(BP$3="","",IF($AY139="","",IFERROR(INDEX('Data Consolidada'!$E$7:$E$891,MATCH(CONCATENATE(BP$3,"-",$CP139,"-",$AY139),'Data Consolidada'!$K$7:$K$891,0)),MAX('Data Consolidada'!$E$7:$E$3000))))</f>
        <v/>
      </c>
      <c r="BQ139" s="32" t="str">
        <f>+IF(BQ$3="","",IF($AY139="","",IFERROR(INDEX('Data Consolidada'!$E$7:$E$891,MATCH(CONCATENATE(BQ$3,"-",$CP139,"-",$AY139),'Data Consolidada'!$K$7:$K$891,0)),MAX('Data Consolidada'!$E$7:$E$3000))))</f>
        <v/>
      </c>
      <c r="BR139" s="32" t="str">
        <f>+IF(BR$3="","",IF($AY139="","",IFERROR(INDEX('Data Consolidada'!$E$7:$E$891,MATCH(CONCATENATE(BR$3,"-",$CP139,"-",$AY139),'Data Consolidada'!$K$7:$K$891,0)),MAX('Data Consolidada'!$E$7:$E$3000))))</f>
        <v/>
      </c>
      <c r="BS139" s="32" t="str">
        <f>+IF(BS$3="","",IF($AY139="","",IFERROR(INDEX('Data Consolidada'!$E$7:$E$891,MATCH(CONCATENATE(BS$3,"-",$CP139,"-",$AY139),'Data Consolidada'!$K$7:$K$891,0)),MAX('Data Consolidada'!$E$7:$E$3000))))</f>
        <v/>
      </c>
      <c r="BT139" s="32" t="str">
        <f>+IF(BT$3="","",IF($AY139="","",IFERROR(INDEX('Data Consolidada'!$E$7:$E$891,MATCH(CONCATENATE(BT$3,"-",$CP139,"-",$AY139),'Data Consolidada'!$K$7:$K$891,0)),MAX('Data Consolidada'!$E$7:$E$3000))))</f>
        <v/>
      </c>
      <c r="BU139" s="32" t="str">
        <f>+IF(BU$3="","",IF($AY139="","",IFERROR(INDEX('Data Consolidada'!$E$7:$E$891,MATCH(CONCATENATE(BU$3,"-",$CP139,"-",$AY139),'Data Consolidada'!$K$7:$K$891,0)),MAX('Data Consolidada'!$E$7:$E$3000))))</f>
        <v/>
      </c>
      <c r="BV139" s="32" t="str">
        <f>+IF(BV$3="","",IF($AY139="","",IFERROR(INDEX('Data Consolidada'!$E$7:$E$891,MATCH(CONCATENATE(BV$3,"-",$CP139,"-",$AY139),'Data Consolidada'!$K$7:$K$891,0)),MAX('Data Consolidada'!$E$7:$E$3000))))</f>
        <v/>
      </c>
      <c r="BW139" s="32" t="str">
        <f>+IF(BW$3="","",IF($AY139="","",IFERROR(INDEX('Data Consolidada'!$E$7:$E$891,MATCH(CONCATENATE(BW$3,"-",$CP139,"-",$AY139),'Data Consolidada'!$K$7:$K$891,0)),MAX('Data Consolidada'!$E$7:$E$3000))))</f>
        <v/>
      </c>
      <c r="BX139" s="32" t="str">
        <f>+IF(BX$3="","",IF($AY139="","",IFERROR(INDEX('Data Consolidada'!$E$7:$E$891,MATCH(CONCATENATE(BX$3,"-",$CP139,"-",$AY139),'Data Consolidada'!$K$7:$K$891,0)),MAX('Data Consolidada'!$E$7:$E$3000))))</f>
        <v/>
      </c>
      <c r="BY139" s="32" t="str">
        <f>+IF(BY$3="","",IF($AY139="","",IFERROR(INDEX('Data Consolidada'!$E$7:$E$891,MATCH(CONCATENATE(BY$3,"-",$CP139,"-",$AY139),'Data Consolidada'!$K$7:$K$891,0)),MAX('Data Consolidada'!$E$7:$E$3000))))</f>
        <v/>
      </c>
      <c r="BZ139" s="32" t="str">
        <f>+IF(BZ$3="","",IF($AY139="","",IFERROR(INDEX('Data Consolidada'!$E$7:$E$891,MATCH(CONCATENATE(BZ$3,"-",$CP139,"-",$AY139),'Data Consolidada'!$K$7:$K$891,0)),MAX('Data Consolidada'!$E$7:$E$3000))))</f>
        <v/>
      </c>
      <c r="CA139" s="32" t="str">
        <f>+IF(CA$3="","",IF($AY139="","",IFERROR(INDEX('Data Consolidada'!$E$7:$E$891,MATCH(CONCATENATE(CA$3,"-",$CP139,"-",$AY139),'Data Consolidada'!$K$7:$K$891,0)),MAX('Data Consolidada'!$E$7:$E$3000))))</f>
        <v/>
      </c>
      <c r="CB139" s="32" t="str">
        <f>+IF(CB$3="","",IF($AY139="","",IFERROR(INDEX('Data Consolidada'!$E$7:$E$891,MATCH(CONCATENATE(CB$3,"-",$CP139,"-",$AY139),'Data Consolidada'!$K$7:$K$891,0)),MAX('Data Consolidada'!$E$7:$E$3000))))</f>
        <v/>
      </c>
      <c r="CC139" s="32" t="str">
        <f>+IF(CC$3="","",IF($AY139="","",IFERROR(INDEX('Data Consolidada'!$E$7:$E$891,MATCH(CONCATENATE(CC$3,"-",$CP139,"-",$AY139),'Data Consolidada'!$K$7:$K$891,0)),MAX('Data Consolidada'!$E$7:$E$3000))))</f>
        <v/>
      </c>
      <c r="CD139" s="32" t="str">
        <f>+IF(CD$3="","",IF($AY139="","",IFERROR(INDEX('Data Consolidada'!$E$7:$E$891,MATCH(CONCATENATE(CD$3,"-",$CP139,"-",$AY139),'Data Consolidada'!$K$7:$K$891,0)),MAX('Data Consolidada'!$E$7:$E$3000))))</f>
        <v/>
      </c>
      <c r="CE139" s="32" t="str">
        <f>+IF(CE$3="","",IF($AY139="","",IFERROR(INDEX('Data Consolidada'!$E$7:$E$891,MATCH(CONCATENATE(CE$3,"-",$CP139,"-",$AY139),'Data Consolidada'!$K$7:$K$891,0)),MAX('Data Consolidada'!$E$7:$E$3000))))</f>
        <v/>
      </c>
      <c r="CF139" s="32" t="str">
        <f>+IF(CF$3="","",IF($AY139="","",IFERROR(INDEX('Data Consolidada'!$E$7:$E$891,MATCH(CONCATENATE(CF$3,"-",$CP139,"-",$AY139),'Data Consolidada'!$K$7:$K$891,0)),MAX('Data Consolidada'!$E$7:$E$3000))))</f>
        <v/>
      </c>
      <c r="CG139" s="32" t="str">
        <f>+IF(CG$3="","",IF($AY139="","",IFERROR(INDEX('Data Consolidada'!$E$7:$E$891,MATCH(CONCATENATE(CG$3,"-",$CP139,"-",$AY139),'Data Consolidada'!$K$7:$K$891,0)),MAX('Data Consolidada'!$E$7:$E$3000))))</f>
        <v/>
      </c>
      <c r="CH139" s="32" t="str">
        <f>+IF(CH$3="","",IF($AY139="","",IFERROR(INDEX('Data Consolidada'!$E$7:$E$891,MATCH(CONCATENATE(CH$3,"-",$CP139,"-",$AY139),'Data Consolidada'!$K$7:$K$891,0)),MAX('Data Consolidada'!$E$7:$E$3000))))</f>
        <v/>
      </c>
      <c r="CI139" s="32" t="str">
        <f>+IF(CI$3="","",IF($AY139="","",IFERROR(INDEX('Data Consolidada'!$E$7:$E$891,MATCH(CONCATENATE(CI$3,"-",$CP139,"-",$AY139),'Data Consolidada'!$K$7:$K$891,0)),MAX('Data Consolidada'!$E$7:$E$3000))))</f>
        <v/>
      </c>
      <c r="CJ139" s="32" t="str">
        <f>+IF(CJ$3="","",IF($AY139="","",IFERROR(INDEX('Data Consolidada'!$E$7:$E$891,MATCH(CONCATENATE(CJ$3,"-",$CP139,"-",$AY139),'Data Consolidada'!$K$7:$K$891,0)),MAX('Data Consolidada'!$E$7:$E$3000))))</f>
        <v/>
      </c>
      <c r="CK139" s="32" t="str">
        <f>+IF(CK$3="","",IF($AY139="","",IFERROR(INDEX('Data Consolidada'!$E$7:$E$891,MATCH(CONCATENATE(CK$3,"-",$CP139,"-",$AY139),'Data Consolidada'!$K$7:$K$891,0)),MAX('Data Consolidada'!$E$7:$E$3000))))</f>
        <v/>
      </c>
      <c r="CL139" s="32" t="str">
        <f>+IF(CL$3="","",IF($AY139="","",IFERROR(INDEX('Data Consolidada'!$E$7:$E$891,MATCH(CONCATENATE(CL$3,"-",$CP139,"-",$AY139),'Data Consolidada'!$K$7:$K$891,0)),MAX('Data Consolidada'!$E$7:$E$3000))))</f>
        <v/>
      </c>
      <c r="CM139" s="32" t="str">
        <f>+IF(CM$3="","",IF($AY139="","",IFERROR(INDEX('Data Consolidada'!$E$7:$E$891,MATCH(CONCATENATE(CM$3,"-",$CP139,"-",$AY139),'Data Consolidada'!$K$7:$K$891,0)),MAX('Data Consolidada'!$E$7:$E$3000))))</f>
        <v/>
      </c>
      <c r="CN139" s="32" t="str">
        <f>+IF(CN$3="","",IF($AY139="","",IFERROR(INDEX('Data Consolidada'!$E$7:$E$891,MATCH(CONCATENATE(CN$3,"-",$CP139,"-",$AY139),'Data Consolidada'!$K$7:$K$891,0)),MAX('Data Consolidada'!$E$7:$E$3000))))</f>
        <v/>
      </c>
      <c r="CO139" s="37" t="str">
        <f>+IF(CO$3="","",IF($AY139="","",IFERROR(INDEX('Data Consolidada'!$E$7:$E$891,MATCH(CONCATENATE(CO$3,"-",$CP139,"-",$AY139),'Data Consolidada'!$K$7:$K$891,0)),MAX('Data Consolidada'!$E$7:$E$3000))))</f>
        <v/>
      </c>
      <c r="CP139" s="224">
        <f t="shared" ca="1" si="45"/>
        <v>0</v>
      </c>
      <c r="CQ139" s="84" t="str">
        <f t="shared" ca="1" si="46"/>
        <v>Manuel Sepúlveda 0</v>
      </c>
    </row>
    <row r="140" spans="2:95" ht="15" customHeight="1" x14ac:dyDescent="0.35">
      <c r="B140" s="218" t="str">
        <f t="shared" ca="1" si="47"/>
        <v>LAVALLE</v>
      </c>
      <c r="C140" s="238">
        <v>0</v>
      </c>
      <c r="D140" s="239">
        <v>0</v>
      </c>
      <c r="E140" s="239">
        <v>0</v>
      </c>
      <c r="F140" s="239">
        <v>0</v>
      </c>
      <c r="G140" s="239">
        <v>0</v>
      </c>
      <c r="H140" s="239">
        <v>0</v>
      </c>
      <c r="I140" s="239">
        <v>0</v>
      </c>
      <c r="J140" s="239">
        <v>0</v>
      </c>
      <c r="K140" s="239">
        <v>0</v>
      </c>
      <c r="L140" s="239">
        <v>0</v>
      </c>
      <c r="M140" s="239">
        <v>0</v>
      </c>
      <c r="N140" s="240">
        <v>0</v>
      </c>
      <c r="O140" s="239">
        <v>0</v>
      </c>
      <c r="P140" s="239">
        <v>0</v>
      </c>
      <c r="Q140" s="239">
        <v>0</v>
      </c>
      <c r="R140" s="239">
        <v>0</v>
      </c>
      <c r="S140" s="239">
        <v>0</v>
      </c>
      <c r="T140" s="239">
        <v>0</v>
      </c>
      <c r="U140" s="239">
        <v>0</v>
      </c>
      <c r="V140" s="239">
        <v>0</v>
      </c>
      <c r="W140" s="239">
        <v>0</v>
      </c>
      <c r="X140" s="239">
        <v>0</v>
      </c>
      <c r="Y140" s="239">
        <v>0</v>
      </c>
      <c r="Z140" s="239"/>
      <c r="AA140" s="239"/>
      <c r="AB140" s="239"/>
      <c r="AC140" s="239"/>
      <c r="AD140" s="239"/>
      <c r="AE140" s="239"/>
      <c r="AF140" s="239"/>
      <c r="AG140" s="239"/>
      <c r="AH140" s="239"/>
      <c r="AI140" s="239"/>
      <c r="AJ140" s="239"/>
      <c r="AK140" s="239"/>
      <c r="AL140" s="239"/>
      <c r="AM140" s="239"/>
      <c r="AN140" s="239"/>
      <c r="AO140" s="239"/>
      <c r="AP140" s="239"/>
      <c r="AQ140" s="239"/>
      <c r="AR140" s="252"/>
      <c r="AS140" s="77">
        <f t="shared" ca="1" si="48"/>
        <v>0</v>
      </c>
      <c r="AT140" s="255">
        <f t="shared" si="49"/>
        <v>0</v>
      </c>
      <c r="AU140" s="51"/>
      <c r="AV140" s="51"/>
      <c r="AW140" s="13">
        <f>+IF(AX140="","",IF(AX140&gt;AX139,AW139,IF(AW139&lt;$D$69,AW139+1,IF(COUNT(AW$4:AW139)&lt;$B$69*$E$54,1,""))))</f>
        <v>11</v>
      </c>
      <c r="AX140" s="13">
        <f>+IF(AX139&lt;$B$69,AX139+1,IF(COUNT(AX$4:AX139)&lt;$B$69*$D$69,1,""))</f>
        <v>7</v>
      </c>
      <c r="AY140" s="189" t="str">
        <f t="shared" ca="1" si="44"/>
        <v>PARRAO</v>
      </c>
      <c r="AZ140" s="36">
        <f ca="1">+IF(AZ$3="","",IF($AY140="","",IFERROR(INDEX('Data Consolidada'!$E$7:$E$891,MATCH(CONCATENATE(AZ$3,"-",$CP140,"-",$AY140),'Data Consolidada'!$K$7:$K$891,0)),MAX('Data Consolidada'!$E$7:$E$3000))))</f>
        <v>11000000</v>
      </c>
      <c r="BA140" s="32">
        <f ca="1">+IF(BA$3="","",IF($AY140="","",IFERROR(INDEX('Data Consolidada'!$E$7:$E$891,MATCH(CONCATENATE(BA$3,"-",$CP140,"-",$AY140),'Data Consolidada'!$K$7:$K$891,0)),MAX('Data Consolidada'!$E$7:$E$3000))))</f>
        <v>11000000</v>
      </c>
      <c r="BB140" s="32" t="str">
        <f>+IF(BB$3="","",IF($AY140="","",IFERROR(INDEX('Data Consolidada'!$E$7:$E$891,MATCH(CONCATENATE(BB$3,"-",$CP140,"-",$AY140),'Data Consolidada'!$K$7:$K$891,0)),MAX('Data Consolidada'!$E$7:$E$3000))))</f>
        <v/>
      </c>
      <c r="BC140" s="32" t="str">
        <f>+IF(BC$3="","",IF($AY140="","",IFERROR(INDEX('Data Consolidada'!$E$7:$E$891,MATCH(CONCATENATE(BC$3,"-",$CP140,"-",$AY140),'Data Consolidada'!$K$7:$K$891,0)),MAX('Data Consolidada'!$E$7:$E$3000))))</f>
        <v/>
      </c>
      <c r="BD140" s="32" t="str">
        <f>+IF(BD$3="","",IF($AY140="","",IFERROR(INDEX('Data Consolidada'!$E$7:$E$891,MATCH(CONCATENATE(BD$3,"-",$CP140,"-",$AY140),'Data Consolidada'!$K$7:$K$891,0)),MAX('Data Consolidada'!$E$7:$E$3000))))</f>
        <v/>
      </c>
      <c r="BE140" s="32" t="str">
        <f>+IF(BE$3="","",IF($AY140="","",IFERROR(INDEX('Data Consolidada'!$E$7:$E$891,MATCH(CONCATENATE(BE$3,"-",$CP140,"-",$AY140),'Data Consolidada'!$K$7:$K$891,0)),MAX('Data Consolidada'!$E$7:$E$3000))))</f>
        <v/>
      </c>
      <c r="BF140" s="32" t="str">
        <f>+IF(BF$3="","",IF($AY140="","",IFERROR(INDEX('Data Consolidada'!$E$7:$E$891,MATCH(CONCATENATE(BF$3,"-",$CP140,"-",$AY140),'Data Consolidada'!$K$7:$K$891,0)),MAX('Data Consolidada'!$E$7:$E$3000))))</f>
        <v/>
      </c>
      <c r="BG140" s="32" t="str">
        <f>+IF(BG$3="","",IF($AY140="","",IFERROR(INDEX('Data Consolidada'!$E$7:$E$891,MATCH(CONCATENATE(BG$3,"-",$CP140,"-",$AY140),'Data Consolidada'!$K$7:$K$891,0)),MAX('Data Consolidada'!$E$7:$E$3000))))</f>
        <v/>
      </c>
      <c r="BH140" s="32" t="str">
        <f>+IF(BH$3="","",IF($AY140="","",IFERROR(INDEX('Data Consolidada'!$E$7:$E$891,MATCH(CONCATENATE(BH$3,"-",$CP140,"-",$AY140),'Data Consolidada'!$K$7:$K$891,0)),MAX('Data Consolidada'!$E$7:$E$3000))))</f>
        <v/>
      </c>
      <c r="BI140" s="32" t="str">
        <f>+IF(BI$3="","",IF($AY140="","",IFERROR(INDEX('Data Consolidada'!$E$7:$E$891,MATCH(CONCATENATE(BI$3,"-",$CP140,"-",$AY140),'Data Consolidada'!$K$7:$K$891,0)),MAX('Data Consolidada'!$E$7:$E$3000))))</f>
        <v/>
      </c>
      <c r="BJ140" s="32" t="str">
        <f>+IF(BJ$3="","",IF($AY140="","",IFERROR(INDEX('Data Consolidada'!$E$7:$E$891,MATCH(CONCATENATE(BJ$3,"-",$CP140,"-",$AY140),'Data Consolidada'!$K$7:$K$891,0)),MAX('Data Consolidada'!$E$7:$E$3000))))</f>
        <v/>
      </c>
      <c r="BK140" s="32" t="str">
        <f>+IF(BK$3="","",IF($AY140="","",IFERROR(INDEX('Data Consolidada'!$E$7:$E$891,MATCH(CONCATENATE(BK$3,"-",$CP140,"-",$AY140),'Data Consolidada'!$K$7:$K$891,0)),MAX('Data Consolidada'!$E$7:$E$3000))))</f>
        <v/>
      </c>
      <c r="BL140" s="32" t="str">
        <f>+IF(BL$3="","",IF($AY140="","",IFERROR(INDEX('Data Consolidada'!$E$7:$E$891,MATCH(CONCATENATE(BL$3,"-",$CP140,"-",$AY140),'Data Consolidada'!$K$7:$K$891,0)),MAX('Data Consolidada'!$E$7:$E$3000))))</f>
        <v/>
      </c>
      <c r="BM140" s="32" t="str">
        <f>+IF(BM$3="","",IF($AY140="","",IFERROR(INDEX('Data Consolidada'!$E$7:$E$891,MATCH(CONCATENATE(BM$3,"-",$CP140,"-",$AY140),'Data Consolidada'!$K$7:$K$891,0)),MAX('Data Consolidada'!$E$7:$E$3000))))</f>
        <v/>
      </c>
      <c r="BN140" s="32" t="str">
        <f>+IF(BN$3="","",IF($AY140="","",IFERROR(INDEX('Data Consolidada'!$E$7:$E$891,MATCH(CONCATENATE(BN$3,"-",$CP140,"-",$AY140),'Data Consolidada'!$K$7:$K$891,0)),MAX('Data Consolidada'!$E$7:$E$3000))))</f>
        <v/>
      </c>
      <c r="BO140" s="32" t="str">
        <f>+IF(BO$3="","",IF($AY140="","",IFERROR(INDEX('Data Consolidada'!$E$7:$E$891,MATCH(CONCATENATE(BO$3,"-",$CP140,"-",$AY140),'Data Consolidada'!$K$7:$K$891,0)),MAX('Data Consolidada'!$E$7:$E$3000))))</f>
        <v/>
      </c>
      <c r="BP140" s="32" t="str">
        <f>+IF(BP$3="","",IF($AY140="","",IFERROR(INDEX('Data Consolidada'!$E$7:$E$891,MATCH(CONCATENATE(BP$3,"-",$CP140,"-",$AY140),'Data Consolidada'!$K$7:$K$891,0)),MAX('Data Consolidada'!$E$7:$E$3000))))</f>
        <v/>
      </c>
      <c r="BQ140" s="32" t="str">
        <f>+IF(BQ$3="","",IF($AY140="","",IFERROR(INDEX('Data Consolidada'!$E$7:$E$891,MATCH(CONCATENATE(BQ$3,"-",$CP140,"-",$AY140),'Data Consolidada'!$K$7:$K$891,0)),MAX('Data Consolidada'!$E$7:$E$3000))))</f>
        <v/>
      </c>
      <c r="BR140" s="32" t="str">
        <f>+IF(BR$3="","",IF($AY140="","",IFERROR(INDEX('Data Consolidada'!$E$7:$E$891,MATCH(CONCATENATE(BR$3,"-",$CP140,"-",$AY140),'Data Consolidada'!$K$7:$K$891,0)),MAX('Data Consolidada'!$E$7:$E$3000))))</f>
        <v/>
      </c>
      <c r="BS140" s="32" t="str">
        <f>+IF(BS$3="","",IF($AY140="","",IFERROR(INDEX('Data Consolidada'!$E$7:$E$891,MATCH(CONCATENATE(BS$3,"-",$CP140,"-",$AY140),'Data Consolidada'!$K$7:$K$891,0)),MAX('Data Consolidada'!$E$7:$E$3000))))</f>
        <v/>
      </c>
      <c r="BT140" s="32" t="str">
        <f>+IF(BT$3="","",IF($AY140="","",IFERROR(INDEX('Data Consolidada'!$E$7:$E$891,MATCH(CONCATENATE(BT$3,"-",$CP140,"-",$AY140),'Data Consolidada'!$K$7:$K$891,0)),MAX('Data Consolidada'!$E$7:$E$3000))))</f>
        <v/>
      </c>
      <c r="BU140" s="32" t="str">
        <f>+IF(BU$3="","",IF($AY140="","",IFERROR(INDEX('Data Consolidada'!$E$7:$E$891,MATCH(CONCATENATE(BU$3,"-",$CP140,"-",$AY140),'Data Consolidada'!$K$7:$K$891,0)),MAX('Data Consolidada'!$E$7:$E$3000))))</f>
        <v/>
      </c>
      <c r="BV140" s="32" t="str">
        <f>+IF(BV$3="","",IF($AY140="","",IFERROR(INDEX('Data Consolidada'!$E$7:$E$891,MATCH(CONCATENATE(BV$3,"-",$CP140,"-",$AY140),'Data Consolidada'!$K$7:$K$891,0)),MAX('Data Consolidada'!$E$7:$E$3000))))</f>
        <v/>
      </c>
      <c r="BW140" s="32" t="str">
        <f>+IF(BW$3="","",IF($AY140="","",IFERROR(INDEX('Data Consolidada'!$E$7:$E$891,MATCH(CONCATENATE(BW$3,"-",$CP140,"-",$AY140),'Data Consolidada'!$K$7:$K$891,0)),MAX('Data Consolidada'!$E$7:$E$3000))))</f>
        <v/>
      </c>
      <c r="BX140" s="32" t="str">
        <f>+IF(BX$3="","",IF($AY140="","",IFERROR(INDEX('Data Consolidada'!$E$7:$E$891,MATCH(CONCATENATE(BX$3,"-",$CP140,"-",$AY140),'Data Consolidada'!$K$7:$K$891,0)),MAX('Data Consolidada'!$E$7:$E$3000))))</f>
        <v/>
      </c>
      <c r="BY140" s="32" t="str">
        <f>+IF(BY$3="","",IF($AY140="","",IFERROR(INDEX('Data Consolidada'!$E$7:$E$891,MATCH(CONCATENATE(BY$3,"-",$CP140,"-",$AY140),'Data Consolidada'!$K$7:$K$891,0)),MAX('Data Consolidada'!$E$7:$E$3000))))</f>
        <v/>
      </c>
      <c r="BZ140" s="32" t="str">
        <f>+IF(BZ$3="","",IF($AY140="","",IFERROR(INDEX('Data Consolidada'!$E$7:$E$891,MATCH(CONCATENATE(BZ$3,"-",$CP140,"-",$AY140),'Data Consolidada'!$K$7:$K$891,0)),MAX('Data Consolidada'!$E$7:$E$3000))))</f>
        <v/>
      </c>
      <c r="CA140" s="32" t="str">
        <f>+IF(CA$3="","",IF($AY140="","",IFERROR(INDEX('Data Consolidada'!$E$7:$E$891,MATCH(CONCATENATE(CA$3,"-",$CP140,"-",$AY140),'Data Consolidada'!$K$7:$K$891,0)),MAX('Data Consolidada'!$E$7:$E$3000))))</f>
        <v/>
      </c>
      <c r="CB140" s="32" t="str">
        <f>+IF(CB$3="","",IF($AY140="","",IFERROR(INDEX('Data Consolidada'!$E$7:$E$891,MATCH(CONCATENATE(CB$3,"-",$CP140,"-",$AY140),'Data Consolidada'!$K$7:$K$891,0)),MAX('Data Consolidada'!$E$7:$E$3000))))</f>
        <v/>
      </c>
      <c r="CC140" s="32" t="str">
        <f>+IF(CC$3="","",IF($AY140="","",IFERROR(INDEX('Data Consolidada'!$E$7:$E$891,MATCH(CONCATENATE(CC$3,"-",$CP140,"-",$AY140),'Data Consolidada'!$K$7:$K$891,0)),MAX('Data Consolidada'!$E$7:$E$3000))))</f>
        <v/>
      </c>
      <c r="CD140" s="32" t="str">
        <f>+IF(CD$3="","",IF($AY140="","",IFERROR(INDEX('Data Consolidada'!$E$7:$E$891,MATCH(CONCATENATE(CD$3,"-",$CP140,"-",$AY140),'Data Consolidada'!$K$7:$K$891,0)),MAX('Data Consolidada'!$E$7:$E$3000))))</f>
        <v/>
      </c>
      <c r="CE140" s="32" t="str">
        <f>+IF(CE$3="","",IF($AY140="","",IFERROR(INDEX('Data Consolidada'!$E$7:$E$891,MATCH(CONCATENATE(CE$3,"-",$CP140,"-",$AY140),'Data Consolidada'!$K$7:$K$891,0)),MAX('Data Consolidada'!$E$7:$E$3000))))</f>
        <v/>
      </c>
      <c r="CF140" s="32" t="str">
        <f>+IF(CF$3="","",IF($AY140="","",IFERROR(INDEX('Data Consolidada'!$E$7:$E$891,MATCH(CONCATENATE(CF$3,"-",$CP140,"-",$AY140),'Data Consolidada'!$K$7:$K$891,0)),MAX('Data Consolidada'!$E$7:$E$3000))))</f>
        <v/>
      </c>
      <c r="CG140" s="32" t="str">
        <f>+IF(CG$3="","",IF($AY140="","",IFERROR(INDEX('Data Consolidada'!$E$7:$E$891,MATCH(CONCATENATE(CG$3,"-",$CP140,"-",$AY140),'Data Consolidada'!$K$7:$K$891,0)),MAX('Data Consolidada'!$E$7:$E$3000))))</f>
        <v/>
      </c>
      <c r="CH140" s="32" t="str">
        <f>+IF(CH$3="","",IF($AY140="","",IFERROR(INDEX('Data Consolidada'!$E$7:$E$891,MATCH(CONCATENATE(CH$3,"-",$CP140,"-",$AY140),'Data Consolidada'!$K$7:$K$891,0)),MAX('Data Consolidada'!$E$7:$E$3000))))</f>
        <v/>
      </c>
      <c r="CI140" s="32" t="str">
        <f>+IF(CI$3="","",IF($AY140="","",IFERROR(INDEX('Data Consolidada'!$E$7:$E$891,MATCH(CONCATENATE(CI$3,"-",$CP140,"-",$AY140),'Data Consolidada'!$K$7:$K$891,0)),MAX('Data Consolidada'!$E$7:$E$3000))))</f>
        <v/>
      </c>
      <c r="CJ140" s="32" t="str">
        <f>+IF(CJ$3="","",IF($AY140="","",IFERROR(INDEX('Data Consolidada'!$E$7:$E$891,MATCH(CONCATENATE(CJ$3,"-",$CP140,"-",$AY140),'Data Consolidada'!$K$7:$K$891,0)),MAX('Data Consolidada'!$E$7:$E$3000))))</f>
        <v/>
      </c>
      <c r="CK140" s="32" t="str">
        <f>+IF(CK$3="","",IF($AY140="","",IFERROR(INDEX('Data Consolidada'!$E$7:$E$891,MATCH(CONCATENATE(CK$3,"-",$CP140,"-",$AY140),'Data Consolidada'!$K$7:$K$891,0)),MAX('Data Consolidada'!$E$7:$E$3000))))</f>
        <v/>
      </c>
      <c r="CL140" s="32" t="str">
        <f>+IF(CL$3="","",IF($AY140="","",IFERROR(INDEX('Data Consolidada'!$E$7:$E$891,MATCH(CONCATENATE(CL$3,"-",$CP140,"-",$AY140),'Data Consolidada'!$K$7:$K$891,0)),MAX('Data Consolidada'!$E$7:$E$3000))))</f>
        <v/>
      </c>
      <c r="CM140" s="32" t="str">
        <f>+IF(CM$3="","",IF($AY140="","",IFERROR(INDEX('Data Consolidada'!$E$7:$E$891,MATCH(CONCATENATE(CM$3,"-",$CP140,"-",$AY140),'Data Consolidada'!$K$7:$K$891,0)),MAX('Data Consolidada'!$E$7:$E$3000))))</f>
        <v/>
      </c>
      <c r="CN140" s="32" t="str">
        <f>+IF(CN$3="","",IF($AY140="","",IFERROR(INDEX('Data Consolidada'!$E$7:$E$891,MATCH(CONCATENATE(CN$3,"-",$CP140,"-",$AY140),'Data Consolidada'!$K$7:$K$891,0)),MAX('Data Consolidada'!$E$7:$E$3000))))</f>
        <v/>
      </c>
      <c r="CO140" s="37" t="str">
        <f>+IF(CO$3="","",IF($AY140="","",IFERROR(INDEX('Data Consolidada'!$E$7:$E$891,MATCH(CONCATENATE(CO$3,"-",$CP140,"-",$AY140),'Data Consolidada'!$K$7:$K$891,0)),MAX('Data Consolidada'!$E$7:$E$3000))))</f>
        <v/>
      </c>
      <c r="CP140" s="224">
        <f t="shared" ca="1" si="45"/>
        <v>0</v>
      </c>
      <c r="CQ140" s="84" t="str">
        <f t="shared" ca="1" si="46"/>
        <v>PARRAO0</v>
      </c>
    </row>
    <row r="141" spans="2:95" ht="15" customHeight="1" x14ac:dyDescent="0.35">
      <c r="B141" s="218" t="str">
        <f t="shared" ca="1" si="47"/>
        <v>MACEBE</v>
      </c>
      <c r="C141" s="238">
        <v>0</v>
      </c>
      <c r="D141" s="239">
        <v>0</v>
      </c>
      <c r="E141" s="239">
        <v>0</v>
      </c>
      <c r="F141" s="239">
        <v>0</v>
      </c>
      <c r="G141" s="239">
        <v>0</v>
      </c>
      <c r="H141" s="239">
        <v>0</v>
      </c>
      <c r="I141" s="239">
        <v>0</v>
      </c>
      <c r="J141" s="239">
        <v>0</v>
      </c>
      <c r="K141" s="239">
        <v>0</v>
      </c>
      <c r="L141" s="239">
        <v>0</v>
      </c>
      <c r="M141" s="239">
        <v>0</v>
      </c>
      <c r="N141" s="240">
        <v>0</v>
      </c>
      <c r="O141" s="239">
        <v>0</v>
      </c>
      <c r="P141" s="239">
        <v>0</v>
      </c>
      <c r="Q141" s="239">
        <v>0</v>
      </c>
      <c r="R141" s="239">
        <v>0</v>
      </c>
      <c r="S141" s="239">
        <v>0</v>
      </c>
      <c r="T141" s="239">
        <v>0</v>
      </c>
      <c r="U141" s="239">
        <v>0</v>
      </c>
      <c r="V141" s="239">
        <v>0</v>
      </c>
      <c r="W141" s="239">
        <v>0</v>
      </c>
      <c r="X141" s="239">
        <v>0</v>
      </c>
      <c r="Y141" s="239">
        <v>0</v>
      </c>
      <c r="Z141" s="239"/>
      <c r="AA141" s="239"/>
      <c r="AB141" s="239"/>
      <c r="AC141" s="239"/>
      <c r="AD141" s="239"/>
      <c r="AE141" s="239"/>
      <c r="AF141" s="239"/>
      <c r="AG141" s="239"/>
      <c r="AH141" s="239"/>
      <c r="AI141" s="239"/>
      <c r="AJ141" s="239"/>
      <c r="AK141" s="239"/>
      <c r="AL141" s="239"/>
      <c r="AM141" s="239"/>
      <c r="AN141" s="239"/>
      <c r="AO141" s="239"/>
      <c r="AP141" s="239"/>
      <c r="AQ141" s="239"/>
      <c r="AR141" s="252"/>
      <c r="AS141" s="77">
        <f t="shared" ca="1" si="48"/>
        <v>0</v>
      </c>
      <c r="AT141" s="255">
        <f t="shared" si="49"/>
        <v>0</v>
      </c>
      <c r="AU141" s="51"/>
      <c r="AV141" s="51"/>
      <c r="AW141" s="13">
        <f>+IF(AX141="","",IF(AX141&gt;AX140,AW140,IF(AW140&lt;$D$69,AW140+1,IF(COUNT(AW$4:AW140)&lt;$B$69*$E$54,1,""))))</f>
        <v>11</v>
      </c>
      <c r="AX141" s="13">
        <f>+IF(AX140&lt;$B$69,AX140+1,IF(COUNT(AX$4:AX140)&lt;$B$69*$D$69,1,""))</f>
        <v>8</v>
      </c>
      <c r="AY141" s="189" t="str">
        <f t="shared" ca="1" si="44"/>
        <v>PAULA</v>
      </c>
      <c r="AZ141" s="36">
        <f ca="1">+IF(AZ$3="","",IF($AY141="","",IFERROR(INDEX('Data Consolidada'!$E$7:$E$891,MATCH(CONCATENATE(AZ$3,"-",$CP141,"-",$AY141),'Data Consolidada'!$K$7:$K$891,0)),MAX('Data Consolidada'!$E$7:$E$3000))))</f>
        <v>11000000</v>
      </c>
      <c r="BA141" s="32">
        <f ca="1">+IF(BA$3="","",IF($AY141="","",IFERROR(INDEX('Data Consolidada'!$E$7:$E$891,MATCH(CONCATENATE(BA$3,"-",$CP141,"-",$AY141),'Data Consolidada'!$K$7:$K$891,0)),MAX('Data Consolidada'!$E$7:$E$3000))))</f>
        <v>11000000</v>
      </c>
      <c r="BB141" s="32" t="str">
        <f>+IF(BB$3="","",IF($AY141="","",IFERROR(INDEX('Data Consolidada'!$E$7:$E$891,MATCH(CONCATENATE(BB$3,"-",$CP141,"-",$AY141),'Data Consolidada'!$K$7:$K$891,0)),MAX('Data Consolidada'!$E$7:$E$3000))))</f>
        <v/>
      </c>
      <c r="BC141" s="32" t="str">
        <f>+IF(BC$3="","",IF($AY141="","",IFERROR(INDEX('Data Consolidada'!$E$7:$E$891,MATCH(CONCATENATE(BC$3,"-",$CP141,"-",$AY141),'Data Consolidada'!$K$7:$K$891,0)),MAX('Data Consolidada'!$E$7:$E$3000))))</f>
        <v/>
      </c>
      <c r="BD141" s="32" t="str">
        <f>+IF(BD$3="","",IF($AY141="","",IFERROR(INDEX('Data Consolidada'!$E$7:$E$891,MATCH(CONCATENATE(BD$3,"-",$CP141,"-",$AY141),'Data Consolidada'!$K$7:$K$891,0)),MAX('Data Consolidada'!$E$7:$E$3000))))</f>
        <v/>
      </c>
      <c r="BE141" s="32" t="str">
        <f>+IF(BE$3="","",IF($AY141="","",IFERROR(INDEX('Data Consolidada'!$E$7:$E$891,MATCH(CONCATENATE(BE$3,"-",$CP141,"-",$AY141),'Data Consolidada'!$K$7:$K$891,0)),MAX('Data Consolidada'!$E$7:$E$3000))))</f>
        <v/>
      </c>
      <c r="BF141" s="32" t="str">
        <f>+IF(BF$3="","",IF($AY141="","",IFERROR(INDEX('Data Consolidada'!$E$7:$E$891,MATCH(CONCATENATE(BF$3,"-",$CP141,"-",$AY141),'Data Consolidada'!$K$7:$K$891,0)),MAX('Data Consolidada'!$E$7:$E$3000))))</f>
        <v/>
      </c>
      <c r="BG141" s="32" t="str">
        <f>+IF(BG$3="","",IF($AY141="","",IFERROR(INDEX('Data Consolidada'!$E$7:$E$891,MATCH(CONCATENATE(BG$3,"-",$CP141,"-",$AY141),'Data Consolidada'!$K$7:$K$891,0)),MAX('Data Consolidada'!$E$7:$E$3000))))</f>
        <v/>
      </c>
      <c r="BH141" s="32" t="str">
        <f>+IF(BH$3="","",IF($AY141="","",IFERROR(INDEX('Data Consolidada'!$E$7:$E$891,MATCH(CONCATENATE(BH$3,"-",$CP141,"-",$AY141),'Data Consolidada'!$K$7:$K$891,0)),MAX('Data Consolidada'!$E$7:$E$3000))))</f>
        <v/>
      </c>
      <c r="BI141" s="32" t="str">
        <f>+IF(BI$3="","",IF($AY141="","",IFERROR(INDEX('Data Consolidada'!$E$7:$E$891,MATCH(CONCATENATE(BI$3,"-",$CP141,"-",$AY141),'Data Consolidada'!$K$7:$K$891,0)),MAX('Data Consolidada'!$E$7:$E$3000))))</f>
        <v/>
      </c>
      <c r="BJ141" s="32" t="str">
        <f>+IF(BJ$3="","",IF($AY141="","",IFERROR(INDEX('Data Consolidada'!$E$7:$E$891,MATCH(CONCATENATE(BJ$3,"-",$CP141,"-",$AY141),'Data Consolidada'!$K$7:$K$891,0)),MAX('Data Consolidada'!$E$7:$E$3000))))</f>
        <v/>
      </c>
      <c r="BK141" s="32" t="str">
        <f>+IF(BK$3="","",IF($AY141="","",IFERROR(INDEX('Data Consolidada'!$E$7:$E$891,MATCH(CONCATENATE(BK$3,"-",$CP141,"-",$AY141),'Data Consolidada'!$K$7:$K$891,0)),MAX('Data Consolidada'!$E$7:$E$3000))))</f>
        <v/>
      </c>
      <c r="BL141" s="32" t="str">
        <f>+IF(BL$3="","",IF($AY141="","",IFERROR(INDEX('Data Consolidada'!$E$7:$E$891,MATCH(CONCATENATE(BL$3,"-",$CP141,"-",$AY141),'Data Consolidada'!$K$7:$K$891,0)),MAX('Data Consolidada'!$E$7:$E$3000))))</f>
        <v/>
      </c>
      <c r="BM141" s="32" t="str">
        <f>+IF(BM$3="","",IF($AY141="","",IFERROR(INDEX('Data Consolidada'!$E$7:$E$891,MATCH(CONCATENATE(BM$3,"-",$CP141,"-",$AY141),'Data Consolidada'!$K$7:$K$891,0)),MAX('Data Consolidada'!$E$7:$E$3000))))</f>
        <v/>
      </c>
      <c r="BN141" s="32" t="str">
        <f>+IF(BN$3="","",IF($AY141="","",IFERROR(INDEX('Data Consolidada'!$E$7:$E$891,MATCH(CONCATENATE(BN$3,"-",$CP141,"-",$AY141),'Data Consolidada'!$K$7:$K$891,0)),MAX('Data Consolidada'!$E$7:$E$3000))))</f>
        <v/>
      </c>
      <c r="BO141" s="32" t="str">
        <f>+IF(BO$3="","",IF($AY141="","",IFERROR(INDEX('Data Consolidada'!$E$7:$E$891,MATCH(CONCATENATE(BO$3,"-",$CP141,"-",$AY141),'Data Consolidada'!$K$7:$K$891,0)),MAX('Data Consolidada'!$E$7:$E$3000))))</f>
        <v/>
      </c>
      <c r="BP141" s="32" t="str">
        <f>+IF(BP$3="","",IF($AY141="","",IFERROR(INDEX('Data Consolidada'!$E$7:$E$891,MATCH(CONCATENATE(BP$3,"-",$CP141,"-",$AY141),'Data Consolidada'!$K$7:$K$891,0)),MAX('Data Consolidada'!$E$7:$E$3000))))</f>
        <v/>
      </c>
      <c r="BQ141" s="32" t="str">
        <f>+IF(BQ$3="","",IF($AY141="","",IFERROR(INDEX('Data Consolidada'!$E$7:$E$891,MATCH(CONCATENATE(BQ$3,"-",$CP141,"-",$AY141),'Data Consolidada'!$K$7:$K$891,0)),MAX('Data Consolidada'!$E$7:$E$3000))))</f>
        <v/>
      </c>
      <c r="BR141" s="32" t="str">
        <f>+IF(BR$3="","",IF($AY141="","",IFERROR(INDEX('Data Consolidada'!$E$7:$E$891,MATCH(CONCATENATE(BR$3,"-",$CP141,"-",$AY141),'Data Consolidada'!$K$7:$K$891,0)),MAX('Data Consolidada'!$E$7:$E$3000))))</f>
        <v/>
      </c>
      <c r="BS141" s="32" t="str">
        <f>+IF(BS$3="","",IF($AY141="","",IFERROR(INDEX('Data Consolidada'!$E$7:$E$891,MATCH(CONCATENATE(BS$3,"-",$CP141,"-",$AY141),'Data Consolidada'!$K$7:$K$891,0)),MAX('Data Consolidada'!$E$7:$E$3000))))</f>
        <v/>
      </c>
      <c r="BT141" s="32" t="str">
        <f>+IF(BT$3="","",IF($AY141="","",IFERROR(INDEX('Data Consolidada'!$E$7:$E$891,MATCH(CONCATENATE(BT$3,"-",$CP141,"-",$AY141),'Data Consolidada'!$K$7:$K$891,0)),MAX('Data Consolidada'!$E$7:$E$3000))))</f>
        <v/>
      </c>
      <c r="BU141" s="32" t="str">
        <f>+IF(BU$3="","",IF($AY141="","",IFERROR(INDEX('Data Consolidada'!$E$7:$E$891,MATCH(CONCATENATE(BU$3,"-",$CP141,"-",$AY141),'Data Consolidada'!$K$7:$K$891,0)),MAX('Data Consolidada'!$E$7:$E$3000))))</f>
        <v/>
      </c>
      <c r="BV141" s="32" t="str">
        <f>+IF(BV$3="","",IF($AY141="","",IFERROR(INDEX('Data Consolidada'!$E$7:$E$891,MATCH(CONCATENATE(BV$3,"-",$CP141,"-",$AY141),'Data Consolidada'!$K$7:$K$891,0)),MAX('Data Consolidada'!$E$7:$E$3000))))</f>
        <v/>
      </c>
      <c r="BW141" s="32" t="str">
        <f>+IF(BW$3="","",IF($AY141="","",IFERROR(INDEX('Data Consolidada'!$E$7:$E$891,MATCH(CONCATENATE(BW$3,"-",$CP141,"-",$AY141),'Data Consolidada'!$K$7:$K$891,0)),MAX('Data Consolidada'!$E$7:$E$3000))))</f>
        <v/>
      </c>
      <c r="BX141" s="32" t="str">
        <f>+IF(BX$3="","",IF($AY141="","",IFERROR(INDEX('Data Consolidada'!$E$7:$E$891,MATCH(CONCATENATE(BX$3,"-",$CP141,"-",$AY141),'Data Consolidada'!$K$7:$K$891,0)),MAX('Data Consolidada'!$E$7:$E$3000))))</f>
        <v/>
      </c>
      <c r="BY141" s="32" t="str">
        <f>+IF(BY$3="","",IF($AY141="","",IFERROR(INDEX('Data Consolidada'!$E$7:$E$891,MATCH(CONCATENATE(BY$3,"-",$CP141,"-",$AY141),'Data Consolidada'!$K$7:$K$891,0)),MAX('Data Consolidada'!$E$7:$E$3000))))</f>
        <v/>
      </c>
      <c r="BZ141" s="32" t="str">
        <f>+IF(BZ$3="","",IF($AY141="","",IFERROR(INDEX('Data Consolidada'!$E$7:$E$891,MATCH(CONCATENATE(BZ$3,"-",$CP141,"-",$AY141),'Data Consolidada'!$K$7:$K$891,0)),MAX('Data Consolidada'!$E$7:$E$3000))))</f>
        <v/>
      </c>
      <c r="CA141" s="32" t="str">
        <f>+IF(CA$3="","",IF($AY141="","",IFERROR(INDEX('Data Consolidada'!$E$7:$E$891,MATCH(CONCATENATE(CA$3,"-",$CP141,"-",$AY141),'Data Consolidada'!$K$7:$K$891,0)),MAX('Data Consolidada'!$E$7:$E$3000))))</f>
        <v/>
      </c>
      <c r="CB141" s="32" t="str">
        <f>+IF(CB$3="","",IF($AY141="","",IFERROR(INDEX('Data Consolidada'!$E$7:$E$891,MATCH(CONCATENATE(CB$3,"-",$CP141,"-",$AY141),'Data Consolidada'!$K$7:$K$891,0)),MAX('Data Consolidada'!$E$7:$E$3000))))</f>
        <v/>
      </c>
      <c r="CC141" s="32" t="str">
        <f>+IF(CC$3="","",IF($AY141="","",IFERROR(INDEX('Data Consolidada'!$E$7:$E$891,MATCH(CONCATENATE(CC$3,"-",$CP141,"-",$AY141),'Data Consolidada'!$K$7:$K$891,0)),MAX('Data Consolidada'!$E$7:$E$3000))))</f>
        <v/>
      </c>
      <c r="CD141" s="32" t="str">
        <f>+IF(CD$3="","",IF($AY141="","",IFERROR(INDEX('Data Consolidada'!$E$7:$E$891,MATCH(CONCATENATE(CD$3,"-",$CP141,"-",$AY141),'Data Consolidada'!$K$7:$K$891,0)),MAX('Data Consolidada'!$E$7:$E$3000))))</f>
        <v/>
      </c>
      <c r="CE141" s="32" t="str">
        <f>+IF(CE$3="","",IF($AY141="","",IFERROR(INDEX('Data Consolidada'!$E$7:$E$891,MATCH(CONCATENATE(CE$3,"-",$CP141,"-",$AY141),'Data Consolidada'!$K$7:$K$891,0)),MAX('Data Consolidada'!$E$7:$E$3000))))</f>
        <v/>
      </c>
      <c r="CF141" s="32" t="str">
        <f>+IF(CF$3="","",IF($AY141="","",IFERROR(INDEX('Data Consolidada'!$E$7:$E$891,MATCH(CONCATENATE(CF$3,"-",$CP141,"-",$AY141),'Data Consolidada'!$K$7:$K$891,0)),MAX('Data Consolidada'!$E$7:$E$3000))))</f>
        <v/>
      </c>
      <c r="CG141" s="32" t="str">
        <f>+IF(CG$3="","",IF($AY141="","",IFERROR(INDEX('Data Consolidada'!$E$7:$E$891,MATCH(CONCATENATE(CG$3,"-",$CP141,"-",$AY141),'Data Consolidada'!$K$7:$K$891,0)),MAX('Data Consolidada'!$E$7:$E$3000))))</f>
        <v/>
      </c>
      <c r="CH141" s="32" t="str">
        <f>+IF(CH$3="","",IF($AY141="","",IFERROR(INDEX('Data Consolidada'!$E$7:$E$891,MATCH(CONCATENATE(CH$3,"-",$CP141,"-",$AY141),'Data Consolidada'!$K$7:$K$891,0)),MAX('Data Consolidada'!$E$7:$E$3000))))</f>
        <v/>
      </c>
      <c r="CI141" s="32" t="str">
        <f>+IF(CI$3="","",IF($AY141="","",IFERROR(INDEX('Data Consolidada'!$E$7:$E$891,MATCH(CONCATENATE(CI$3,"-",$CP141,"-",$AY141),'Data Consolidada'!$K$7:$K$891,0)),MAX('Data Consolidada'!$E$7:$E$3000))))</f>
        <v/>
      </c>
      <c r="CJ141" s="32" t="str">
        <f>+IF(CJ$3="","",IF($AY141="","",IFERROR(INDEX('Data Consolidada'!$E$7:$E$891,MATCH(CONCATENATE(CJ$3,"-",$CP141,"-",$AY141),'Data Consolidada'!$K$7:$K$891,0)),MAX('Data Consolidada'!$E$7:$E$3000))))</f>
        <v/>
      </c>
      <c r="CK141" s="32" t="str">
        <f>+IF(CK$3="","",IF($AY141="","",IFERROR(INDEX('Data Consolidada'!$E$7:$E$891,MATCH(CONCATENATE(CK$3,"-",$CP141,"-",$AY141),'Data Consolidada'!$K$7:$K$891,0)),MAX('Data Consolidada'!$E$7:$E$3000))))</f>
        <v/>
      </c>
      <c r="CL141" s="32" t="str">
        <f>+IF(CL$3="","",IF($AY141="","",IFERROR(INDEX('Data Consolidada'!$E$7:$E$891,MATCH(CONCATENATE(CL$3,"-",$CP141,"-",$AY141),'Data Consolidada'!$K$7:$K$891,0)),MAX('Data Consolidada'!$E$7:$E$3000))))</f>
        <v/>
      </c>
      <c r="CM141" s="32" t="str">
        <f>+IF(CM$3="","",IF($AY141="","",IFERROR(INDEX('Data Consolidada'!$E$7:$E$891,MATCH(CONCATENATE(CM$3,"-",$CP141,"-",$AY141),'Data Consolidada'!$K$7:$K$891,0)),MAX('Data Consolidada'!$E$7:$E$3000))))</f>
        <v/>
      </c>
      <c r="CN141" s="32" t="str">
        <f>+IF(CN$3="","",IF($AY141="","",IFERROR(INDEX('Data Consolidada'!$E$7:$E$891,MATCH(CONCATENATE(CN$3,"-",$CP141,"-",$AY141),'Data Consolidada'!$K$7:$K$891,0)),MAX('Data Consolidada'!$E$7:$E$3000))))</f>
        <v/>
      </c>
      <c r="CO141" s="37" t="str">
        <f>+IF(CO$3="","",IF($AY141="","",IFERROR(INDEX('Data Consolidada'!$E$7:$E$891,MATCH(CONCATENATE(CO$3,"-",$CP141,"-",$AY141),'Data Consolidada'!$K$7:$K$891,0)),MAX('Data Consolidada'!$E$7:$E$3000))))</f>
        <v/>
      </c>
      <c r="CP141" s="224">
        <f t="shared" ca="1" si="45"/>
        <v>0</v>
      </c>
      <c r="CQ141" s="84" t="str">
        <f t="shared" ca="1" si="46"/>
        <v>PAULA0</v>
      </c>
    </row>
    <row r="142" spans="2:95" ht="15" customHeight="1" x14ac:dyDescent="0.35">
      <c r="B142" s="218" t="str">
        <f t="shared" ca="1" si="47"/>
        <v xml:space="preserve">Manuel Sepúlveda </v>
      </c>
      <c r="C142" s="238">
        <v>0</v>
      </c>
      <c r="D142" s="239">
        <v>0</v>
      </c>
      <c r="E142" s="239">
        <v>0</v>
      </c>
      <c r="F142" s="239">
        <v>0</v>
      </c>
      <c r="G142" s="239">
        <v>0</v>
      </c>
      <c r="H142" s="239">
        <v>0</v>
      </c>
      <c r="I142" s="239">
        <v>0</v>
      </c>
      <c r="J142" s="239">
        <v>0</v>
      </c>
      <c r="K142" s="239">
        <v>0</v>
      </c>
      <c r="L142" s="239">
        <v>0</v>
      </c>
      <c r="M142" s="239">
        <v>0</v>
      </c>
      <c r="N142" s="240">
        <v>0</v>
      </c>
      <c r="O142" s="239">
        <v>0</v>
      </c>
      <c r="P142" s="239">
        <v>0</v>
      </c>
      <c r="Q142" s="239">
        <v>0</v>
      </c>
      <c r="R142" s="239">
        <v>0</v>
      </c>
      <c r="S142" s="239">
        <v>0</v>
      </c>
      <c r="T142" s="239">
        <v>0</v>
      </c>
      <c r="U142" s="239">
        <v>0</v>
      </c>
      <c r="V142" s="239">
        <v>0</v>
      </c>
      <c r="W142" s="239">
        <v>0</v>
      </c>
      <c r="X142" s="239">
        <v>0</v>
      </c>
      <c r="Y142" s="239">
        <v>0</v>
      </c>
      <c r="Z142" s="239"/>
      <c r="AA142" s="239"/>
      <c r="AB142" s="239"/>
      <c r="AC142" s="239"/>
      <c r="AD142" s="239"/>
      <c r="AE142" s="239"/>
      <c r="AF142" s="239"/>
      <c r="AG142" s="239"/>
      <c r="AH142" s="239"/>
      <c r="AI142" s="239"/>
      <c r="AJ142" s="239"/>
      <c r="AK142" s="239"/>
      <c r="AL142" s="239"/>
      <c r="AM142" s="239"/>
      <c r="AN142" s="239"/>
      <c r="AO142" s="239"/>
      <c r="AP142" s="239"/>
      <c r="AQ142" s="239"/>
      <c r="AR142" s="252"/>
      <c r="AS142" s="77">
        <f t="shared" ca="1" si="48"/>
        <v>0</v>
      </c>
      <c r="AT142" s="255">
        <f t="shared" si="49"/>
        <v>0</v>
      </c>
      <c r="AU142" s="51"/>
      <c r="AV142" s="51"/>
      <c r="AW142" s="13">
        <f>+IF(AX142="","",IF(AX142&gt;AX141,AW141,IF(AW141&lt;$D$69,AW141+1,IF(COUNT(AW$4:AW141)&lt;$B$69*$E$54,1,""))))</f>
        <v>11</v>
      </c>
      <c r="AX142" s="13">
        <f>+IF(AX141&lt;$B$69,AX141+1,IF(COUNT(AX$4:AX141)&lt;$B$69*$D$69,1,""))</f>
        <v>9</v>
      </c>
      <c r="AY142" s="189" t="str">
        <f t="shared" ca="1" si="44"/>
        <v>TH TRANSPORTES</v>
      </c>
      <c r="AZ142" s="36">
        <f ca="1">+IF(AZ$3="","",IF($AY142="","",IFERROR(INDEX('Data Consolidada'!$E$7:$E$891,MATCH(CONCATENATE(AZ$3,"-",$CP142,"-",$AY142),'Data Consolidada'!$K$7:$K$891,0)),MAX('Data Consolidada'!$E$7:$E$3000))))</f>
        <v>11000000</v>
      </c>
      <c r="BA142" s="32">
        <f ca="1">+IF(BA$3="","",IF($AY142="","",IFERROR(INDEX('Data Consolidada'!$E$7:$E$891,MATCH(CONCATENATE(BA$3,"-",$CP142,"-",$AY142),'Data Consolidada'!$K$7:$K$891,0)),MAX('Data Consolidada'!$E$7:$E$3000))))</f>
        <v>11000000</v>
      </c>
      <c r="BB142" s="32" t="str">
        <f>+IF(BB$3="","",IF($AY142="","",IFERROR(INDEX('Data Consolidada'!$E$7:$E$891,MATCH(CONCATENATE(BB$3,"-",$CP142,"-",$AY142),'Data Consolidada'!$K$7:$K$891,0)),MAX('Data Consolidada'!$E$7:$E$3000))))</f>
        <v/>
      </c>
      <c r="BC142" s="32" t="str">
        <f>+IF(BC$3="","",IF($AY142="","",IFERROR(INDEX('Data Consolidada'!$E$7:$E$891,MATCH(CONCATENATE(BC$3,"-",$CP142,"-",$AY142),'Data Consolidada'!$K$7:$K$891,0)),MAX('Data Consolidada'!$E$7:$E$3000))))</f>
        <v/>
      </c>
      <c r="BD142" s="32" t="str">
        <f>+IF(BD$3="","",IF($AY142="","",IFERROR(INDEX('Data Consolidada'!$E$7:$E$891,MATCH(CONCATENATE(BD$3,"-",$CP142,"-",$AY142),'Data Consolidada'!$K$7:$K$891,0)),MAX('Data Consolidada'!$E$7:$E$3000))))</f>
        <v/>
      </c>
      <c r="BE142" s="32" t="str">
        <f>+IF(BE$3="","",IF($AY142="","",IFERROR(INDEX('Data Consolidada'!$E$7:$E$891,MATCH(CONCATENATE(BE$3,"-",$CP142,"-",$AY142),'Data Consolidada'!$K$7:$K$891,0)),MAX('Data Consolidada'!$E$7:$E$3000))))</f>
        <v/>
      </c>
      <c r="BF142" s="32" t="str">
        <f>+IF(BF$3="","",IF($AY142="","",IFERROR(INDEX('Data Consolidada'!$E$7:$E$891,MATCH(CONCATENATE(BF$3,"-",$CP142,"-",$AY142),'Data Consolidada'!$K$7:$K$891,0)),MAX('Data Consolidada'!$E$7:$E$3000))))</f>
        <v/>
      </c>
      <c r="BG142" s="32" t="str">
        <f>+IF(BG$3="","",IF($AY142="","",IFERROR(INDEX('Data Consolidada'!$E$7:$E$891,MATCH(CONCATENATE(BG$3,"-",$CP142,"-",$AY142),'Data Consolidada'!$K$7:$K$891,0)),MAX('Data Consolidada'!$E$7:$E$3000))))</f>
        <v/>
      </c>
      <c r="BH142" s="32" t="str">
        <f>+IF(BH$3="","",IF($AY142="","",IFERROR(INDEX('Data Consolidada'!$E$7:$E$891,MATCH(CONCATENATE(BH$3,"-",$CP142,"-",$AY142),'Data Consolidada'!$K$7:$K$891,0)),MAX('Data Consolidada'!$E$7:$E$3000))))</f>
        <v/>
      </c>
      <c r="BI142" s="32" t="str">
        <f>+IF(BI$3="","",IF($AY142="","",IFERROR(INDEX('Data Consolidada'!$E$7:$E$891,MATCH(CONCATENATE(BI$3,"-",$CP142,"-",$AY142),'Data Consolidada'!$K$7:$K$891,0)),MAX('Data Consolidada'!$E$7:$E$3000))))</f>
        <v/>
      </c>
      <c r="BJ142" s="32" t="str">
        <f>+IF(BJ$3="","",IF($AY142="","",IFERROR(INDEX('Data Consolidada'!$E$7:$E$891,MATCH(CONCATENATE(BJ$3,"-",$CP142,"-",$AY142),'Data Consolidada'!$K$7:$K$891,0)),MAX('Data Consolidada'!$E$7:$E$3000))))</f>
        <v/>
      </c>
      <c r="BK142" s="32" t="str">
        <f>+IF(BK$3="","",IF($AY142="","",IFERROR(INDEX('Data Consolidada'!$E$7:$E$891,MATCH(CONCATENATE(BK$3,"-",$CP142,"-",$AY142),'Data Consolidada'!$K$7:$K$891,0)),MAX('Data Consolidada'!$E$7:$E$3000))))</f>
        <v/>
      </c>
      <c r="BL142" s="32" t="str">
        <f>+IF(BL$3="","",IF($AY142="","",IFERROR(INDEX('Data Consolidada'!$E$7:$E$891,MATCH(CONCATENATE(BL$3,"-",$CP142,"-",$AY142),'Data Consolidada'!$K$7:$K$891,0)),MAX('Data Consolidada'!$E$7:$E$3000))))</f>
        <v/>
      </c>
      <c r="BM142" s="32" t="str">
        <f>+IF(BM$3="","",IF($AY142="","",IFERROR(INDEX('Data Consolidada'!$E$7:$E$891,MATCH(CONCATENATE(BM$3,"-",$CP142,"-",$AY142),'Data Consolidada'!$K$7:$K$891,0)),MAX('Data Consolidada'!$E$7:$E$3000))))</f>
        <v/>
      </c>
      <c r="BN142" s="32" t="str">
        <f>+IF(BN$3="","",IF($AY142="","",IFERROR(INDEX('Data Consolidada'!$E$7:$E$891,MATCH(CONCATENATE(BN$3,"-",$CP142,"-",$AY142),'Data Consolidada'!$K$7:$K$891,0)),MAX('Data Consolidada'!$E$7:$E$3000))))</f>
        <v/>
      </c>
      <c r="BO142" s="32" t="str">
        <f>+IF(BO$3="","",IF($AY142="","",IFERROR(INDEX('Data Consolidada'!$E$7:$E$891,MATCH(CONCATENATE(BO$3,"-",$CP142,"-",$AY142),'Data Consolidada'!$K$7:$K$891,0)),MAX('Data Consolidada'!$E$7:$E$3000))))</f>
        <v/>
      </c>
      <c r="BP142" s="32" t="str">
        <f>+IF(BP$3="","",IF($AY142="","",IFERROR(INDEX('Data Consolidada'!$E$7:$E$891,MATCH(CONCATENATE(BP$3,"-",$CP142,"-",$AY142),'Data Consolidada'!$K$7:$K$891,0)),MAX('Data Consolidada'!$E$7:$E$3000))))</f>
        <v/>
      </c>
      <c r="BQ142" s="32" t="str">
        <f>+IF(BQ$3="","",IF($AY142="","",IFERROR(INDEX('Data Consolidada'!$E$7:$E$891,MATCH(CONCATENATE(BQ$3,"-",$CP142,"-",$AY142),'Data Consolidada'!$K$7:$K$891,0)),MAX('Data Consolidada'!$E$7:$E$3000))))</f>
        <v/>
      </c>
      <c r="BR142" s="32" t="str">
        <f>+IF(BR$3="","",IF($AY142="","",IFERROR(INDEX('Data Consolidada'!$E$7:$E$891,MATCH(CONCATENATE(BR$3,"-",$CP142,"-",$AY142),'Data Consolidada'!$K$7:$K$891,0)),MAX('Data Consolidada'!$E$7:$E$3000))))</f>
        <v/>
      </c>
      <c r="BS142" s="32" t="str">
        <f>+IF(BS$3="","",IF($AY142="","",IFERROR(INDEX('Data Consolidada'!$E$7:$E$891,MATCH(CONCATENATE(BS$3,"-",$CP142,"-",$AY142),'Data Consolidada'!$K$7:$K$891,0)),MAX('Data Consolidada'!$E$7:$E$3000))))</f>
        <v/>
      </c>
      <c r="BT142" s="32" t="str">
        <f>+IF(BT$3="","",IF($AY142="","",IFERROR(INDEX('Data Consolidada'!$E$7:$E$891,MATCH(CONCATENATE(BT$3,"-",$CP142,"-",$AY142),'Data Consolidada'!$K$7:$K$891,0)),MAX('Data Consolidada'!$E$7:$E$3000))))</f>
        <v/>
      </c>
      <c r="BU142" s="32" t="str">
        <f>+IF(BU$3="","",IF($AY142="","",IFERROR(INDEX('Data Consolidada'!$E$7:$E$891,MATCH(CONCATENATE(BU$3,"-",$CP142,"-",$AY142),'Data Consolidada'!$K$7:$K$891,0)),MAX('Data Consolidada'!$E$7:$E$3000))))</f>
        <v/>
      </c>
      <c r="BV142" s="32" t="str">
        <f>+IF(BV$3="","",IF($AY142="","",IFERROR(INDEX('Data Consolidada'!$E$7:$E$891,MATCH(CONCATENATE(BV$3,"-",$CP142,"-",$AY142),'Data Consolidada'!$K$7:$K$891,0)),MAX('Data Consolidada'!$E$7:$E$3000))))</f>
        <v/>
      </c>
      <c r="BW142" s="32" t="str">
        <f>+IF(BW$3="","",IF($AY142="","",IFERROR(INDEX('Data Consolidada'!$E$7:$E$891,MATCH(CONCATENATE(BW$3,"-",$CP142,"-",$AY142),'Data Consolidada'!$K$7:$K$891,0)),MAX('Data Consolidada'!$E$7:$E$3000))))</f>
        <v/>
      </c>
      <c r="BX142" s="32" t="str">
        <f>+IF(BX$3="","",IF($AY142="","",IFERROR(INDEX('Data Consolidada'!$E$7:$E$891,MATCH(CONCATENATE(BX$3,"-",$CP142,"-",$AY142),'Data Consolidada'!$K$7:$K$891,0)),MAX('Data Consolidada'!$E$7:$E$3000))))</f>
        <v/>
      </c>
      <c r="BY142" s="32" t="str">
        <f>+IF(BY$3="","",IF($AY142="","",IFERROR(INDEX('Data Consolidada'!$E$7:$E$891,MATCH(CONCATENATE(BY$3,"-",$CP142,"-",$AY142),'Data Consolidada'!$K$7:$K$891,0)),MAX('Data Consolidada'!$E$7:$E$3000))))</f>
        <v/>
      </c>
      <c r="BZ142" s="32" t="str">
        <f>+IF(BZ$3="","",IF($AY142="","",IFERROR(INDEX('Data Consolidada'!$E$7:$E$891,MATCH(CONCATENATE(BZ$3,"-",$CP142,"-",$AY142),'Data Consolidada'!$K$7:$K$891,0)),MAX('Data Consolidada'!$E$7:$E$3000))))</f>
        <v/>
      </c>
      <c r="CA142" s="32" t="str">
        <f>+IF(CA$3="","",IF($AY142="","",IFERROR(INDEX('Data Consolidada'!$E$7:$E$891,MATCH(CONCATENATE(CA$3,"-",$CP142,"-",$AY142),'Data Consolidada'!$K$7:$K$891,0)),MAX('Data Consolidada'!$E$7:$E$3000))))</f>
        <v/>
      </c>
      <c r="CB142" s="32" t="str">
        <f>+IF(CB$3="","",IF($AY142="","",IFERROR(INDEX('Data Consolidada'!$E$7:$E$891,MATCH(CONCATENATE(CB$3,"-",$CP142,"-",$AY142),'Data Consolidada'!$K$7:$K$891,0)),MAX('Data Consolidada'!$E$7:$E$3000))))</f>
        <v/>
      </c>
      <c r="CC142" s="32" t="str">
        <f>+IF(CC$3="","",IF($AY142="","",IFERROR(INDEX('Data Consolidada'!$E$7:$E$891,MATCH(CONCATENATE(CC$3,"-",$CP142,"-",$AY142),'Data Consolidada'!$K$7:$K$891,0)),MAX('Data Consolidada'!$E$7:$E$3000))))</f>
        <v/>
      </c>
      <c r="CD142" s="32" t="str">
        <f>+IF(CD$3="","",IF($AY142="","",IFERROR(INDEX('Data Consolidada'!$E$7:$E$891,MATCH(CONCATENATE(CD$3,"-",$CP142,"-",$AY142),'Data Consolidada'!$K$7:$K$891,0)),MAX('Data Consolidada'!$E$7:$E$3000))))</f>
        <v/>
      </c>
      <c r="CE142" s="32" t="str">
        <f>+IF(CE$3="","",IF($AY142="","",IFERROR(INDEX('Data Consolidada'!$E$7:$E$891,MATCH(CONCATENATE(CE$3,"-",$CP142,"-",$AY142),'Data Consolidada'!$K$7:$K$891,0)),MAX('Data Consolidada'!$E$7:$E$3000))))</f>
        <v/>
      </c>
      <c r="CF142" s="32" t="str">
        <f>+IF(CF$3="","",IF($AY142="","",IFERROR(INDEX('Data Consolidada'!$E$7:$E$891,MATCH(CONCATENATE(CF$3,"-",$CP142,"-",$AY142),'Data Consolidada'!$K$7:$K$891,0)),MAX('Data Consolidada'!$E$7:$E$3000))))</f>
        <v/>
      </c>
      <c r="CG142" s="32" t="str">
        <f>+IF(CG$3="","",IF($AY142="","",IFERROR(INDEX('Data Consolidada'!$E$7:$E$891,MATCH(CONCATENATE(CG$3,"-",$CP142,"-",$AY142),'Data Consolidada'!$K$7:$K$891,0)),MAX('Data Consolidada'!$E$7:$E$3000))))</f>
        <v/>
      </c>
      <c r="CH142" s="32" t="str">
        <f>+IF(CH$3="","",IF($AY142="","",IFERROR(INDEX('Data Consolidada'!$E$7:$E$891,MATCH(CONCATENATE(CH$3,"-",$CP142,"-",$AY142),'Data Consolidada'!$K$7:$K$891,0)),MAX('Data Consolidada'!$E$7:$E$3000))))</f>
        <v/>
      </c>
      <c r="CI142" s="32" t="str">
        <f>+IF(CI$3="","",IF($AY142="","",IFERROR(INDEX('Data Consolidada'!$E$7:$E$891,MATCH(CONCATENATE(CI$3,"-",$CP142,"-",$AY142),'Data Consolidada'!$K$7:$K$891,0)),MAX('Data Consolidada'!$E$7:$E$3000))))</f>
        <v/>
      </c>
      <c r="CJ142" s="32" t="str">
        <f>+IF(CJ$3="","",IF($AY142="","",IFERROR(INDEX('Data Consolidada'!$E$7:$E$891,MATCH(CONCATENATE(CJ$3,"-",$CP142,"-",$AY142),'Data Consolidada'!$K$7:$K$891,0)),MAX('Data Consolidada'!$E$7:$E$3000))))</f>
        <v/>
      </c>
      <c r="CK142" s="32" t="str">
        <f>+IF(CK$3="","",IF($AY142="","",IFERROR(INDEX('Data Consolidada'!$E$7:$E$891,MATCH(CONCATENATE(CK$3,"-",$CP142,"-",$AY142),'Data Consolidada'!$K$7:$K$891,0)),MAX('Data Consolidada'!$E$7:$E$3000))))</f>
        <v/>
      </c>
      <c r="CL142" s="32" t="str">
        <f>+IF(CL$3="","",IF($AY142="","",IFERROR(INDEX('Data Consolidada'!$E$7:$E$891,MATCH(CONCATENATE(CL$3,"-",$CP142,"-",$AY142),'Data Consolidada'!$K$7:$K$891,0)),MAX('Data Consolidada'!$E$7:$E$3000))))</f>
        <v/>
      </c>
      <c r="CM142" s="32" t="str">
        <f>+IF(CM$3="","",IF($AY142="","",IFERROR(INDEX('Data Consolidada'!$E$7:$E$891,MATCH(CONCATENATE(CM$3,"-",$CP142,"-",$AY142),'Data Consolidada'!$K$7:$K$891,0)),MAX('Data Consolidada'!$E$7:$E$3000))))</f>
        <v/>
      </c>
      <c r="CN142" s="32" t="str">
        <f>+IF(CN$3="","",IF($AY142="","",IFERROR(INDEX('Data Consolidada'!$E$7:$E$891,MATCH(CONCATENATE(CN$3,"-",$CP142,"-",$AY142),'Data Consolidada'!$K$7:$K$891,0)),MAX('Data Consolidada'!$E$7:$E$3000))))</f>
        <v/>
      </c>
      <c r="CO142" s="37" t="str">
        <f>+IF(CO$3="","",IF($AY142="","",IFERROR(INDEX('Data Consolidada'!$E$7:$E$891,MATCH(CONCATENATE(CO$3,"-",$CP142,"-",$AY142),'Data Consolidada'!$K$7:$K$891,0)),MAX('Data Consolidada'!$E$7:$E$3000))))</f>
        <v/>
      </c>
      <c r="CP142" s="224">
        <f t="shared" ca="1" si="45"/>
        <v>0</v>
      </c>
      <c r="CQ142" s="84" t="str">
        <f t="shared" ca="1" si="46"/>
        <v>TH TRANSPORTES0</v>
      </c>
    </row>
    <row r="143" spans="2:95" ht="15" customHeight="1" x14ac:dyDescent="0.35">
      <c r="B143" s="218" t="str">
        <f t="shared" ca="1" si="47"/>
        <v>PARRAO</v>
      </c>
      <c r="C143" s="238">
        <v>0</v>
      </c>
      <c r="D143" s="239">
        <v>0</v>
      </c>
      <c r="E143" s="239">
        <v>0</v>
      </c>
      <c r="F143" s="239">
        <v>0</v>
      </c>
      <c r="G143" s="239">
        <v>0</v>
      </c>
      <c r="H143" s="239">
        <v>0</v>
      </c>
      <c r="I143" s="239">
        <v>0</v>
      </c>
      <c r="J143" s="239">
        <v>0</v>
      </c>
      <c r="K143" s="239">
        <v>0</v>
      </c>
      <c r="L143" s="239">
        <v>0</v>
      </c>
      <c r="M143" s="239">
        <v>0</v>
      </c>
      <c r="N143" s="240">
        <v>0</v>
      </c>
      <c r="O143" s="239">
        <v>0</v>
      </c>
      <c r="P143" s="239">
        <v>0</v>
      </c>
      <c r="Q143" s="239">
        <v>0</v>
      </c>
      <c r="R143" s="239">
        <v>0</v>
      </c>
      <c r="S143" s="239">
        <v>0</v>
      </c>
      <c r="T143" s="239">
        <v>0</v>
      </c>
      <c r="U143" s="239">
        <v>0</v>
      </c>
      <c r="V143" s="239">
        <v>0</v>
      </c>
      <c r="W143" s="239">
        <v>0</v>
      </c>
      <c r="X143" s="239">
        <v>0</v>
      </c>
      <c r="Y143" s="239">
        <v>0</v>
      </c>
      <c r="Z143" s="239"/>
      <c r="AA143" s="239"/>
      <c r="AB143" s="239"/>
      <c r="AC143" s="239"/>
      <c r="AD143" s="239"/>
      <c r="AE143" s="239"/>
      <c r="AF143" s="239"/>
      <c r="AG143" s="239"/>
      <c r="AH143" s="239"/>
      <c r="AI143" s="239"/>
      <c r="AJ143" s="239"/>
      <c r="AK143" s="239"/>
      <c r="AL143" s="239"/>
      <c r="AM143" s="239"/>
      <c r="AN143" s="239"/>
      <c r="AO143" s="239"/>
      <c r="AP143" s="239"/>
      <c r="AQ143" s="239"/>
      <c r="AR143" s="252"/>
      <c r="AS143" s="77">
        <f t="shared" ca="1" si="48"/>
        <v>0</v>
      </c>
      <c r="AT143" s="255">
        <f t="shared" si="49"/>
        <v>0</v>
      </c>
      <c r="AU143" s="51"/>
      <c r="AV143" s="51"/>
      <c r="AW143" s="13">
        <f>+IF(AX143="","",IF(AX143&gt;AX142,AW142,IF(AW142&lt;$D$69,AW142+1,IF(COUNT(AW$4:AW142)&lt;$B$69*$E$54,1,""))))</f>
        <v>11</v>
      </c>
      <c r="AX143" s="13">
        <f>+IF(AX142&lt;$B$69,AX142+1,IF(COUNT(AX$4:AX142)&lt;$B$69*$D$69,1,""))</f>
        <v>10</v>
      </c>
      <c r="AY143" s="189" t="str">
        <f t="shared" ca="1" si="44"/>
        <v>TRAIDILL</v>
      </c>
      <c r="AZ143" s="36">
        <f ca="1">+IF(AZ$3="","",IF($AY143="","",IFERROR(INDEX('Data Consolidada'!$E$7:$E$891,MATCH(CONCATENATE(AZ$3,"-",$CP143,"-",$AY143),'Data Consolidada'!$K$7:$K$891,0)),MAX('Data Consolidada'!$E$7:$E$3000))))</f>
        <v>11000000</v>
      </c>
      <c r="BA143" s="32">
        <f ca="1">+IF(BA$3="","",IF($AY143="","",IFERROR(INDEX('Data Consolidada'!$E$7:$E$891,MATCH(CONCATENATE(BA$3,"-",$CP143,"-",$AY143),'Data Consolidada'!$K$7:$K$891,0)),MAX('Data Consolidada'!$E$7:$E$3000))))</f>
        <v>11000000</v>
      </c>
      <c r="BB143" s="32" t="str">
        <f>+IF(BB$3="","",IF($AY143="","",IFERROR(INDEX('Data Consolidada'!$E$7:$E$891,MATCH(CONCATENATE(BB$3,"-",$CP143,"-",$AY143),'Data Consolidada'!$K$7:$K$891,0)),MAX('Data Consolidada'!$E$7:$E$3000))))</f>
        <v/>
      </c>
      <c r="BC143" s="32" t="str">
        <f>+IF(BC$3="","",IF($AY143="","",IFERROR(INDEX('Data Consolidada'!$E$7:$E$891,MATCH(CONCATENATE(BC$3,"-",$CP143,"-",$AY143),'Data Consolidada'!$K$7:$K$891,0)),MAX('Data Consolidada'!$E$7:$E$3000))))</f>
        <v/>
      </c>
      <c r="BD143" s="32" t="str">
        <f>+IF(BD$3="","",IF($AY143="","",IFERROR(INDEX('Data Consolidada'!$E$7:$E$891,MATCH(CONCATENATE(BD$3,"-",$CP143,"-",$AY143),'Data Consolidada'!$K$7:$K$891,0)),MAX('Data Consolidada'!$E$7:$E$3000))))</f>
        <v/>
      </c>
      <c r="BE143" s="32" t="str">
        <f>+IF(BE$3="","",IF($AY143="","",IFERROR(INDEX('Data Consolidada'!$E$7:$E$891,MATCH(CONCATENATE(BE$3,"-",$CP143,"-",$AY143),'Data Consolidada'!$K$7:$K$891,0)),MAX('Data Consolidada'!$E$7:$E$3000))))</f>
        <v/>
      </c>
      <c r="BF143" s="32" t="str">
        <f>+IF(BF$3="","",IF($AY143="","",IFERROR(INDEX('Data Consolidada'!$E$7:$E$891,MATCH(CONCATENATE(BF$3,"-",$CP143,"-",$AY143),'Data Consolidada'!$K$7:$K$891,0)),MAX('Data Consolidada'!$E$7:$E$3000))))</f>
        <v/>
      </c>
      <c r="BG143" s="32" t="str">
        <f>+IF(BG$3="","",IF($AY143="","",IFERROR(INDEX('Data Consolidada'!$E$7:$E$891,MATCH(CONCATENATE(BG$3,"-",$CP143,"-",$AY143),'Data Consolidada'!$K$7:$K$891,0)),MAX('Data Consolidada'!$E$7:$E$3000))))</f>
        <v/>
      </c>
      <c r="BH143" s="32" t="str">
        <f>+IF(BH$3="","",IF($AY143="","",IFERROR(INDEX('Data Consolidada'!$E$7:$E$891,MATCH(CONCATENATE(BH$3,"-",$CP143,"-",$AY143),'Data Consolidada'!$K$7:$K$891,0)),MAX('Data Consolidada'!$E$7:$E$3000))))</f>
        <v/>
      </c>
      <c r="BI143" s="32" t="str">
        <f>+IF(BI$3="","",IF($AY143="","",IFERROR(INDEX('Data Consolidada'!$E$7:$E$891,MATCH(CONCATENATE(BI$3,"-",$CP143,"-",$AY143),'Data Consolidada'!$K$7:$K$891,0)),MAX('Data Consolidada'!$E$7:$E$3000))))</f>
        <v/>
      </c>
      <c r="BJ143" s="32" t="str">
        <f>+IF(BJ$3="","",IF($AY143="","",IFERROR(INDEX('Data Consolidada'!$E$7:$E$891,MATCH(CONCATENATE(BJ$3,"-",$CP143,"-",$AY143),'Data Consolidada'!$K$7:$K$891,0)),MAX('Data Consolidada'!$E$7:$E$3000))))</f>
        <v/>
      </c>
      <c r="BK143" s="32" t="str">
        <f>+IF(BK$3="","",IF($AY143="","",IFERROR(INDEX('Data Consolidada'!$E$7:$E$891,MATCH(CONCATENATE(BK$3,"-",$CP143,"-",$AY143),'Data Consolidada'!$K$7:$K$891,0)),MAX('Data Consolidada'!$E$7:$E$3000))))</f>
        <v/>
      </c>
      <c r="BL143" s="32" t="str">
        <f>+IF(BL$3="","",IF($AY143="","",IFERROR(INDEX('Data Consolidada'!$E$7:$E$891,MATCH(CONCATENATE(BL$3,"-",$CP143,"-",$AY143),'Data Consolidada'!$K$7:$K$891,0)),MAX('Data Consolidada'!$E$7:$E$3000))))</f>
        <v/>
      </c>
      <c r="BM143" s="32" t="str">
        <f>+IF(BM$3="","",IF($AY143="","",IFERROR(INDEX('Data Consolidada'!$E$7:$E$891,MATCH(CONCATENATE(BM$3,"-",$CP143,"-",$AY143),'Data Consolidada'!$K$7:$K$891,0)),MAX('Data Consolidada'!$E$7:$E$3000))))</f>
        <v/>
      </c>
      <c r="BN143" s="32" t="str">
        <f>+IF(BN$3="","",IF($AY143="","",IFERROR(INDEX('Data Consolidada'!$E$7:$E$891,MATCH(CONCATENATE(BN$3,"-",$CP143,"-",$AY143),'Data Consolidada'!$K$7:$K$891,0)),MAX('Data Consolidada'!$E$7:$E$3000))))</f>
        <v/>
      </c>
      <c r="BO143" s="32" t="str">
        <f>+IF(BO$3="","",IF($AY143="","",IFERROR(INDEX('Data Consolidada'!$E$7:$E$891,MATCH(CONCATENATE(BO$3,"-",$CP143,"-",$AY143),'Data Consolidada'!$K$7:$K$891,0)),MAX('Data Consolidada'!$E$7:$E$3000))))</f>
        <v/>
      </c>
      <c r="BP143" s="32" t="str">
        <f>+IF(BP$3="","",IF($AY143="","",IFERROR(INDEX('Data Consolidada'!$E$7:$E$891,MATCH(CONCATENATE(BP$3,"-",$CP143,"-",$AY143),'Data Consolidada'!$K$7:$K$891,0)),MAX('Data Consolidada'!$E$7:$E$3000))))</f>
        <v/>
      </c>
      <c r="BQ143" s="32" t="str">
        <f>+IF(BQ$3="","",IF($AY143="","",IFERROR(INDEX('Data Consolidada'!$E$7:$E$891,MATCH(CONCATENATE(BQ$3,"-",$CP143,"-",$AY143),'Data Consolidada'!$K$7:$K$891,0)),MAX('Data Consolidada'!$E$7:$E$3000))))</f>
        <v/>
      </c>
      <c r="BR143" s="32" t="str">
        <f>+IF(BR$3="","",IF($AY143="","",IFERROR(INDEX('Data Consolidada'!$E$7:$E$891,MATCH(CONCATENATE(BR$3,"-",$CP143,"-",$AY143),'Data Consolidada'!$K$7:$K$891,0)),MAX('Data Consolidada'!$E$7:$E$3000))))</f>
        <v/>
      </c>
      <c r="BS143" s="32" t="str">
        <f>+IF(BS$3="","",IF($AY143="","",IFERROR(INDEX('Data Consolidada'!$E$7:$E$891,MATCH(CONCATENATE(BS$3,"-",$CP143,"-",$AY143),'Data Consolidada'!$K$7:$K$891,0)),MAX('Data Consolidada'!$E$7:$E$3000))))</f>
        <v/>
      </c>
      <c r="BT143" s="32" t="str">
        <f>+IF(BT$3="","",IF($AY143="","",IFERROR(INDEX('Data Consolidada'!$E$7:$E$891,MATCH(CONCATENATE(BT$3,"-",$CP143,"-",$AY143),'Data Consolidada'!$K$7:$K$891,0)),MAX('Data Consolidada'!$E$7:$E$3000))))</f>
        <v/>
      </c>
      <c r="BU143" s="32" t="str">
        <f>+IF(BU$3="","",IF($AY143="","",IFERROR(INDEX('Data Consolidada'!$E$7:$E$891,MATCH(CONCATENATE(BU$3,"-",$CP143,"-",$AY143),'Data Consolidada'!$K$7:$K$891,0)),MAX('Data Consolidada'!$E$7:$E$3000))))</f>
        <v/>
      </c>
      <c r="BV143" s="32" t="str">
        <f>+IF(BV$3="","",IF($AY143="","",IFERROR(INDEX('Data Consolidada'!$E$7:$E$891,MATCH(CONCATENATE(BV$3,"-",$CP143,"-",$AY143),'Data Consolidada'!$K$7:$K$891,0)),MAX('Data Consolidada'!$E$7:$E$3000))))</f>
        <v/>
      </c>
      <c r="BW143" s="32" t="str">
        <f>+IF(BW$3="","",IF($AY143="","",IFERROR(INDEX('Data Consolidada'!$E$7:$E$891,MATCH(CONCATENATE(BW$3,"-",$CP143,"-",$AY143),'Data Consolidada'!$K$7:$K$891,0)),MAX('Data Consolidada'!$E$7:$E$3000))))</f>
        <v/>
      </c>
      <c r="BX143" s="32" t="str">
        <f>+IF(BX$3="","",IF($AY143="","",IFERROR(INDEX('Data Consolidada'!$E$7:$E$891,MATCH(CONCATENATE(BX$3,"-",$CP143,"-",$AY143),'Data Consolidada'!$K$7:$K$891,0)),MAX('Data Consolidada'!$E$7:$E$3000))))</f>
        <v/>
      </c>
      <c r="BY143" s="32" t="str">
        <f>+IF(BY$3="","",IF($AY143="","",IFERROR(INDEX('Data Consolidada'!$E$7:$E$891,MATCH(CONCATENATE(BY$3,"-",$CP143,"-",$AY143),'Data Consolidada'!$K$7:$K$891,0)),MAX('Data Consolidada'!$E$7:$E$3000))))</f>
        <v/>
      </c>
      <c r="BZ143" s="32" t="str">
        <f>+IF(BZ$3="","",IF($AY143="","",IFERROR(INDEX('Data Consolidada'!$E$7:$E$891,MATCH(CONCATENATE(BZ$3,"-",$CP143,"-",$AY143),'Data Consolidada'!$K$7:$K$891,0)),MAX('Data Consolidada'!$E$7:$E$3000))))</f>
        <v/>
      </c>
      <c r="CA143" s="32" t="str">
        <f>+IF(CA$3="","",IF($AY143="","",IFERROR(INDEX('Data Consolidada'!$E$7:$E$891,MATCH(CONCATENATE(CA$3,"-",$CP143,"-",$AY143),'Data Consolidada'!$K$7:$K$891,0)),MAX('Data Consolidada'!$E$7:$E$3000))))</f>
        <v/>
      </c>
      <c r="CB143" s="32" t="str">
        <f>+IF(CB$3="","",IF($AY143="","",IFERROR(INDEX('Data Consolidada'!$E$7:$E$891,MATCH(CONCATENATE(CB$3,"-",$CP143,"-",$AY143),'Data Consolidada'!$K$7:$K$891,0)),MAX('Data Consolidada'!$E$7:$E$3000))))</f>
        <v/>
      </c>
      <c r="CC143" s="32" t="str">
        <f>+IF(CC$3="","",IF($AY143="","",IFERROR(INDEX('Data Consolidada'!$E$7:$E$891,MATCH(CONCATENATE(CC$3,"-",$CP143,"-",$AY143),'Data Consolidada'!$K$7:$K$891,0)),MAX('Data Consolidada'!$E$7:$E$3000))))</f>
        <v/>
      </c>
      <c r="CD143" s="32" t="str">
        <f>+IF(CD$3="","",IF($AY143="","",IFERROR(INDEX('Data Consolidada'!$E$7:$E$891,MATCH(CONCATENATE(CD$3,"-",$CP143,"-",$AY143),'Data Consolidada'!$K$7:$K$891,0)),MAX('Data Consolidada'!$E$7:$E$3000))))</f>
        <v/>
      </c>
      <c r="CE143" s="32" t="str">
        <f>+IF(CE$3="","",IF($AY143="","",IFERROR(INDEX('Data Consolidada'!$E$7:$E$891,MATCH(CONCATENATE(CE$3,"-",$CP143,"-",$AY143),'Data Consolidada'!$K$7:$K$891,0)),MAX('Data Consolidada'!$E$7:$E$3000))))</f>
        <v/>
      </c>
      <c r="CF143" s="32" t="str">
        <f>+IF(CF$3="","",IF($AY143="","",IFERROR(INDEX('Data Consolidada'!$E$7:$E$891,MATCH(CONCATENATE(CF$3,"-",$CP143,"-",$AY143),'Data Consolidada'!$K$7:$K$891,0)),MAX('Data Consolidada'!$E$7:$E$3000))))</f>
        <v/>
      </c>
      <c r="CG143" s="32" t="str">
        <f>+IF(CG$3="","",IF($AY143="","",IFERROR(INDEX('Data Consolidada'!$E$7:$E$891,MATCH(CONCATENATE(CG$3,"-",$CP143,"-",$AY143),'Data Consolidada'!$K$7:$K$891,0)),MAX('Data Consolidada'!$E$7:$E$3000))))</f>
        <v/>
      </c>
      <c r="CH143" s="32" t="str">
        <f>+IF(CH$3="","",IF($AY143="","",IFERROR(INDEX('Data Consolidada'!$E$7:$E$891,MATCH(CONCATENATE(CH$3,"-",$CP143,"-",$AY143),'Data Consolidada'!$K$7:$K$891,0)),MAX('Data Consolidada'!$E$7:$E$3000))))</f>
        <v/>
      </c>
      <c r="CI143" s="32" t="str">
        <f>+IF(CI$3="","",IF($AY143="","",IFERROR(INDEX('Data Consolidada'!$E$7:$E$891,MATCH(CONCATENATE(CI$3,"-",$CP143,"-",$AY143),'Data Consolidada'!$K$7:$K$891,0)),MAX('Data Consolidada'!$E$7:$E$3000))))</f>
        <v/>
      </c>
      <c r="CJ143" s="32" t="str">
        <f>+IF(CJ$3="","",IF($AY143="","",IFERROR(INDEX('Data Consolidada'!$E$7:$E$891,MATCH(CONCATENATE(CJ$3,"-",$CP143,"-",$AY143),'Data Consolidada'!$K$7:$K$891,0)),MAX('Data Consolidada'!$E$7:$E$3000))))</f>
        <v/>
      </c>
      <c r="CK143" s="32" t="str">
        <f>+IF(CK$3="","",IF($AY143="","",IFERROR(INDEX('Data Consolidada'!$E$7:$E$891,MATCH(CONCATENATE(CK$3,"-",$CP143,"-",$AY143),'Data Consolidada'!$K$7:$K$891,0)),MAX('Data Consolidada'!$E$7:$E$3000))))</f>
        <v/>
      </c>
      <c r="CL143" s="32" t="str">
        <f>+IF(CL$3="","",IF($AY143="","",IFERROR(INDEX('Data Consolidada'!$E$7:$E$891,MATCH(CONCATENATE(CL$3,"-",$CP143,"-",$AY143),'Data Consolidada'!$K$7:$K$891,0)),MAX('Data Consolidada'!$E$7:$E$3000))))</f>
        <v/>
      </c>
      <c r="CM143" s="32" t="str">
        <f>+IF(CM$3="","",IF($AY143="","",IFERROR(INDEX('Data Consolidada'!$E$7:$E$891,MATCH(CONCATENATE(CM$3,"-",$CP143,"-",$AY143),'Data Consolidada'!$K$7:$K$891,0)),MAX('Data Consolidada'!$E$7:$E$3000))))</f>
        <v/>
      </c>
      <c r="CN143" s="32" t="str">
        <f>+IF(CN$3="","",IF($AY143="","",IFERROR(INDEX('Data Consolidada'!$E$7:$E$891,MATCH(CONCATENATE(CN$3,"-",$CP143,"-",$AY143),'Data Consolidada'!$K$7:$K$891,0)),MAX('Data Consolidada'!$E$7:$E$3000))))</f>
        <v/>
      </c>
      <c r="CO143" s="37" t="str">
        <f>+IF(CO$3="","",IF($AY143="","",IFERROR(INDEX('Data Consolidada'!$E$7:$E$891,MATCH(CONCATENATE(CO$3,"-",$CP143,"-",$AY143),'Data Consolidada'!$K$7:$K$891,0)),MAX('Data Consolidada'!$E$7:$E$3000))))</f>
        <v/>
      </c>
      <c r="CP143" s="224">
        <f t="shared" ca="1" si="45"/>
        <v>0</v>
      </c>
      <c r="CQ143" s="84" t="str">
        <f t="shared" ca="1" si="46"/>
        <v>TRAIDILL0</v>
      </c>
    </row>
    <row r="144" spans="2:95" ht="15" customHeight="1" x14ac:dyDescent="0.35">
      <c r="B144" s="218" t="str">
        <f t="shared" ca="1" si="47"/>
        <v>PAULA</v>
      </c>
      <c r="C144" s="238">
        <v>0</v>
      </c>
      <c r="D144" s="239">
        <v>0</v>
      </c>
      <c r="E144" s="239">
        <v>0</v>
      </c>
      <c r="F144" s="239">
        <v>0</v>
      </c>
      <c r="G144" s="239">
        <v>0</v>
      </c>
      <c r="H144" s="239">
        <v>0</v>
      </c>
      <c r="I144" s="239">
        <v>0</v>
      </c>
      <c r="J144" s="239">
        <v>0</v>
      </c>
      <c r="K144" s="239">
        <v>0</v>
      </c>
      <c r="L144" s="239">
        <v>0</v>
      </c>
      <c r="M144" s="239">
        <v>0</v>
      </c>
      <c r="N144" s="240">
        <v>0</v>
      </c>
      <c r="O144" s="239">
        <v>0</v>
      </c>
      <c r="P144" s="239">
        <v>0</v>
      </c>
      <c r="Q144" s="239">
        <v>0</v>
      </c>
      <c r="R144" s="239">
        <v>0</v>
      </c>
      <c r="S144" s="239">
        <v>0</v>
      </c>
      <c r="T144" s="239">
        <v>0</v>
      </c>
      <c r="U144" s="239">
        <v>0</v>
      </c>
      <c r="V144" s="239">
        <v>0</v>
      </c>
      <c r="W144" s="239">
        <v>0</v>
      </c>
      <c r="X144" s="239">
        <v>0</v>
      </c>
      <c r="Y144" s="239">
        <v>0</v>
      </c>
      <c r="Z144" s="239"/>
      <c r="AA144" s="239"/>
      <c r="AB144" s="239"/>
      <c r="AC144" s="239"/>
      <c r="AD144" s="239"/>
      <c r="AE144" s="239"/>
      <c r="AF144" s="239"/>
      <c r="AG144" s="239"/>
      <c r="AH144" s="239"/>
      <c r="AI144" s="239"/>
      <c r="AJ144" s="239"/>
      <c r="AK144" s="239"/>
      <c r="AL144" s="239"/>
      <c r="AM144" s="239"/>
      <c r="AN144" s="239"/>
      <c r="AO144" s="239"/>
      <c r="AP144" s="239"/>
      <c r="AQ144" s="239"/>
      <c r="AR144" s="252"/>
      <c r="AS144" s="77">
        <f t="shared" ca="1" si="48"/>
        <v>0</v>
      </c>
      <c r="AT144" s="255">
        <f t="shared" si="49"/>
        <v>0</v>
      </c>
      <c r="AU144" s="51"/>
      <c r="AV144" s="51"/>
      <c r="AW144" s="13">
        <f>+IF(AX144="","",IF(AX144&gt;AX143,AW143,IF(AW143&lt;$D$69,AW143+1,IF(COUNT(AW$4:AW143)&lt;$B$69*$E$54,1,""))))</f>
        <v>11</v>
      </c>
      <c r="AX144" s="13">
        <f>+IF(AX143&lt;$B$69,AX143+1,IF(COUNT(AX$4:AX143)&lt;$B$69*$D$69,1,""))</f>
        <v>11</v>
      </c>
      <c r="AY144" s="189" t="str">
        <f t="shared" ca="1" si="44"/>
        <v>TRANS. ALMENDRAL</v>
      </c>
      <c r="AZ144" s="36">
        <f ca="1">+IF(AZ$3="","",IF($AY144="","",IFERROR(INDEX('Data Consolidada'!$E$7:$E$891,MATCH(CONCATENATE(AZ$3,"-",$CP144,"-",$AY144),'Data Consolidada'!$K$7:$K$891,0)),MAX('Data Consolidada'!$E$7:$E$3000))))</f>
        <v>11000000</v>
      </c>
      <c r="BA144" s="32">
        <f ca="1">+IF(BA$3="","",IF($AY144="","",IFERROR(INDEX('Data Consolidada'!$E$7:$E$891,MATCH(CONCATENATE(BA$3,"-",$CP144,"-",$AY144),'Data Consolidada'!$K$7:$K$891,0)),MAX('Data Consolidada'!$E$7:$E$3000))))</f>
        <v>11000000</v>
      </c>
      <c r="BB144" s="32" t="str">
        <f>+IF(BB$3="","",IF($AY144="","",IFERROR(INDEX('Data Consolidada'!$E$7:$E$891,MATCH(CONCATENATE(BB$3,"-",$CP144,"-",$AY144),'Data Consolidada'!$K$7:$K$891,0)),MAX('Data Consolidada'!$E$7:$E$3000))))</f>
        <v/>
      </c>
      <c r="BC144" s="32" t="str">
        <f>+IF(BC$3="","",IF($AY144="","",IFERROR(INDEX('Data Consolidada'!$E$7:$E$891,MATCH(CONCATENATE(BC$3,"-",$CP144,"-",$AY144),'Data Consolidada'!$K$7:$K$891,0)),MAX('Data Consolidada'!$E$7:$E$3000))))</f>
        <v/>
      </c>
      <c r="BD144" s="32" t="str">
        <f>+IF(BD$3="","",IF($AY144="","",IFERROR(INDEX('Data Consolidada'!$E$7:$E$891,MATCH(CONCATENATE(BD$3,"-",$CP144,"-",$AY144),'Data Consolidada'!$K$7:$K$891,0)),MAX('Data Consolidada'!$E$7:$E$3000))))</f>
        <v/>
      </c>
      <c r="BE144" s="32" t="str">
        <f>+IF(BE$3="","",IF($AY144="","",IFERROR(INDEX('Data Consolidada'!$E$7:$E$891,MATCH(CONCATENATE(BE$3,"-",$CP144,"-",$AY144),'Data Consolidada'!$K$7:$K$891,0)),MAX('Data Consolidada'!$E$7:$E$3000))))</f>
        <v/>
      </c>
      <c r="BF144" s="32" t="str">
        <f>+IF(BF$3="","",IF($AY144="","",IFERROR(INDEX('Data Consolidada'!$E$7:$E$891,MATCH(CONCATENATE(BF$3,"-",$CP144,"-",$AY144),'Data Consolidada'!$K$7:$K$891,0)),MAX('Data Consolidada'!$E$7:$E$3000))))</f>
        <v/>
      </c>
      <c r="BG144" s="32" t="str">
        <f>+IF(BG$3="","",IF($AY144="","",IFERROR(INDEX('Data Consolidada'!$E$7:$E$891,MATCH(CONCATENATE(BG$3,"-",$CP144,"-",$AY144),'Data Consolidada'!$K$7:$K$891,0)),MAX('Data Consolidada'!$E$7:$E$3000))))</f>
        <v/>
      </c>
      <c r="BH144" s="32" t="str">
        <f>+IF(BH$3="","",IF($AY144="","",IFERROR(INDEX('Data Consolidada'!$E$7:$E$891,MATCH(CONCATENATE(BH$3,"-",$CP144,"-",$AY144),'Data Consolidada'!$K$7:$K$891,0)),MAX('Data Consolidada'!$E$7:$E$3000))))</f>
        <v/>
      </c>
      <c r="BI144" s="32" t="str">
        <f>+IF(BI$3="","",IF($AY144="","",IFERROR(INDEX('Data Consolidada'!$E$7:$E$891,MATCH(CONCATENATE(BI$3,"-",$CP144,"-",$AY144),'Data Consolidada'!$K$7:$K$891,0)),MAX('Data Consolidada'!$E$7:$E$3000))))</f>
        <v/>
      </c>
      <c r="BJ144" s="32" t="str">
        <f>+IF(BJ$3="","",IF($AY144="","",IFERROR(INDEX('Data Consolidada'!$E$7:$E$891,MATCH(CONCATENATE(BJ$3,"-",$CP144,"-",$AY144),'Data Consolidada'!$K$7:$K$891,0)),MAX('Data Consolidada'!$E$7:$E$3000))))</f>
        <v/>
      </c>
      <c r="BK144" s="32" t="str">
        <f>+IF(BK$3="","",IF($AY144="","",IFERROR(INDEX('Data Consolidada'!$E$7:$E$891,MATCH(CONCATENATE(BK$3,"-",$CP144,"-",$AY144),'Data Consolidada'!$K$7:$K$891,0)),MAX('Data Consolidada'!$E$7:$E$3000))))</f>
        <v/>
      </c>
      <c r="BL144" s="32" t="str">
        <f>+IF(BL$3="","",IF($AY144="","",IFERROR(INDEX('Data Consolidada'!$E$7:$E$891,MATCH(CONCATENATE(BL$3,"-",$CP144,"-",$AY144),'Data Consolidada'!$K$7:$K$891,0)),MAX('Data Consolidada'!$E$7:$E$3000))))</f>
        <v/>
      </c>
      <c r="BM144" s="32" t="str">
        <f>+IF(BM$3="","",IF($AY144="","",IFERROR(INDEX('Data Consolidada'!$E$7:$E$891,MATCH(CONCATENATE(BM$3,"-",$CP144,"-",$AY144),'Data Consolidada'!$K$7:$K$891,0)),MAX('Data Consolidada'!$E$7:$E$3000))))</f>
        <v/>
      </c>
      <c r="BN144" s="32" t="str">
        <f>+IF(BN$3="","",IF($AY144="","",IFERROR(INDEX('Data Consolidada'!$E$7:$E$891,MATCH(CONCATENATE(BN$3,"-",$CP144,"-",$AY144),'Data Consolidada'!$K$7:$K$891,0)),MAX('Data Consolidada'!$E$7:$E$3000))))</f>
        <v/>
      </c>
      <c r="BO144" s="32" t="str">
        <f>+IF(BO$3="","",IF($AY144="","",IFERROR(INDEX('Data Consolidada'!$E$7:$E$891,MATCH(CONCATENATE(BO$3,"-",$CP144,"-",$AY144),'Data Consolidada'!$K$7:$K$891,0)),MAX('Data Consolidada'!$E$7:$E$3000))))</f>
        <v/>
      </c>
      <c r="BP144" s="32" t="str">
        <f>+IF(BP$3="","",IF($AY144="","",IFERROR(INDEX('Data Consolidada'!$E$7:$E$891,MATCH(CONCATENATE(BP$3,"-",$CP144,"-",$AY144),'Data Consolidada'!$K$7:$K$891,0)),MAX('Data Consolidada'!$E$7:$E$3000))))</f>
        <v/>
      </c>
      <c r="BQ144" s="32" t="str">
        <f>+IF(BQ$3="","",IF($AY144="","",IFERROR(INDEX('Data Consolidada'!$E$7:$E$891,MATCH(CONCATENATE(BQ$3,"-",$CP144,"-",$AY144),'Data Consolidada'!$K$7:$K$891,0)),MAX('Data Consolidada'!$E$7:$E$3000))))</f>
        <v/>
      </c>
      <c r="BR144" s="32" t="str">
        <f>+IF(BR$3="","",IF($AY144="","",IFERROR(INDEX('Data Consolidada'!$E$7:$E$891,MATCH(CONCATENATE(BR$3,"-",$CP144,"-",$AY144),'Data Consolidada'!$K$7:$K$891,0)),MAX('Data Consolidada'!$E$7:$E$3000))))</f>
        <v/>
      </c>
      <c r="BS144" s="32" t="str">
        <f>+IF(BS$3="","",IF($AY144="","",IFERROR(INDEX('Data Consolidada'!$E$7:$E$891,MATCH(CONCATENATE(BS$3,"-",$CP144,"-",$AY144),'Data Consolidada'!$K$7:$K$891,0)),MAX('Data Consolidada'!$E$7:$E$3000))))</f>
        <v/>
      </c>
      <c r="BT144" s="32" t="str">
        <f>+IF(BT$3="","",IF($AY144="","",IFERROR(INDEX('Data Consolidada'!$E$7:$E$891,MATCH(CONCATENATE(BT$3,"-",$CP144,"-",$AY144),'Data Consolidada'!$K$7:$K$891,0)),MAX('Data Consolidada'!$E$7:$E$3000))))</f>
        <v/>
      </c>
      <c r="BU144" s="32" t="str">
        <f>+IF(BU$3="","",IF($AY144="","",IFERROR(INDEX('Data Consolidada'!$E$7:$E$891,MATCH(CONCATENATE(BU$3,"-",$CP144,"-",$AY144),'Data Consolidada'!$K$7:$K$891,0)),MAX('Data Consolidada'!$E$7:$E$3000))))</f>
        <v/>
      </c>
      <c r="BV144" s="32" t="str">
        <f>+IF(BV$3="","",IF($AY144="","",IFERROR(INDEX('Data Consolidada'!$E$7:$E$891,MATCH(CONCATENATE(BV$3,"-",$CP144,"-",$AY144),'Data Consolidada'!$K$7:$K$891,0)),MAX('Data Consolidada'!$E$7:$E$3000))))</f>
        <v/>
      </c>
      <c r="BW144" s="32" t="str">
        <f>+IF(BW$3="","",IF($AY144="","",IFERROR(INDEX('Data Consolidada'!$E$7:$E$891,MATCH(CONCATENATE(BW$3,"-",$CP144,"-",$AY144),'Data Consolidada'!$K$7:$K$891,0)),MAX('Data Consolidada'!$E$7:$E$3000))))</f>
        <v/>
      </c>
      <c r="BX144" s="32" t="str">
        <f>+IF(BX$3="","",IF($AY144="","",IFERROR(INDEX('Data Consolidada'!$E$7:$E$891,MATCH(CONCATENATE(BX$3,"-",$CP144,"-",$AY144),'Data Consolidada'!$K$7:$K$891,0)),MAX('Data Consolidada'!$E$7:$E$3000))))</f>
        <v/>
      </c>
      <c r="BY144" s="32" t="str">
        <f>+IF(BY$3="","",IF($AY144="","",IFERROR(INDEX('Data Consolidada'!$E$7:$E$891,MATCH(CONCATENATE(BY$3,"-",$CP144,"-",$AY144),'Data Consolidada'!$K$7:$K$891,0)),MAX('Data Consolidada'!$E$7:$E$3000))))</f>
        <v/>
      </c>
      <c r="BZ144" s="32" t="str">
        <f>+IF(BZ$3="","",IF($AY144="","",IFERROR(INDEX('Data Consolidada'!$E$7:$E$891,MATCH(CONCATENATE(BZ$3,"-",$CP144,"-",$AY144),'Data Consolidada'!$K$7:$K$891,0)),MAX('Data Consolidada'!$E$7:$E$3000))))</f>
        <v/>
      </c>
      <c r="CA144" s="32" t="str">
        <f>+IF(CA$3="","",IF($AY144="","",IFERROR(INDEX('Data Consolidada'!$E$7:$E$891,MATCH(CONCATENATE(CA$3,"-",$CP144,"-",$AY144),'Data Consolidada'!$K$7:$K$891,0)),MAX('Data Consolidada'!$E$7:$E$3000))))</f>
        <v/>
      </c>
      <c r="CB144" s="32" t="str">
        <f>+IF(CB$3="","",IF($AY144="","",IFERROR(INDEX('Data Consolidada'!$E$7:$E$891,MATCH(CONCATENATE(CB$3,"-",$CP144,"-",$AY144),'Data Consolidada'!$K$7:$K$891,0)),MAX('Data Consolidada'!$E$7:$E$3000))))</f>
        <v/>
      </c>
      <c r="CC144" s="32" t="str">
        <f>+IF(CC$3="","",IF($AY144="","",IFERROR(INDEX('Data Consolidada'!$E$7:$E$891,MATCH(CONCATENATE(CC$3,"-",$CP144,"-",$AY144),'Data Consolidada'!$K$7:$K$891,0)),MAX('Data Consolidada'!$E$7:$E$3000))))</f>
        <v/>
      </c>
      <c r="CD144" s="32" t="str">
        <f>+IF(CD$3="","",IF($AY144="","",IFERROR(INDEX('Data Consolidada'!$E$7:$E$891,MATCH(CONCATENATE(CD$3,"-",$CP144,"-",$AY144),'Data Consolidada'!$K$7:$K$891,0)),MAX('Data Consolidada'!$E$7:$E$3000))))</f>
        <v/>
      </c>
      <c r="CE144" s="32" t="str">
        <f>+IF(CE$3="","",IF($AY144="","",IFERROR(INDEX('Data Consolidada'!$E$7:$E$891,MATCH(CONCATENATE(CE$3,"-",$CP144,"-",$AY144),'Data Consolidada'!$K$7:$K$891,0)),MAX('Data Consolidada'!$E$7:$E$3000))))</f>
        <v/>
      </c>
      <c r="CF144" s="32" t="str">
        <f>+IF(CF$3="","",IF($AY144="","",IFERROR(INDEX('Data Consolidada'!$E$7:$E$891,MATCH(CONCATENATE(CF$3,"-",$CP144,"-",$AY144),'Data Consolidada'!$K$7:$K$891,0)),MAX('Data Consolidada'!$E$7:$E$3000))))</f>
        <v/>
      </c>
      <c r="CG144" s="32" t="str">
        <f>+IF(CG$3="","",IF($AY144="","",IFERROR(INDEX('Data Consolidada'!$E$7:$E$891,MATCH(CONCATENATE(CG$3,"-",$CP144,"-",$AY144),'Data Consolidada'!$K$7:$K$891,0)),MAX('Data Consolidada'!$E$7:$E$3000))))</f>
        <v/>
      </c>
      <c r="CH144" s="32" t="str">
        <f>+IF(CH$3="","",IF($AY144="","",IFERROR(INDEX('Data Consolidada'!$E$7:$E$891,MATCH(CONCATENATE(CH$3,"-",$CP144,"-",$AY144),'Data Consolidada'!$K$7:$K$891,0)),MAX('Data Consolidada'!$E$7:$E$3000))))</f>
        <v/>
      </c>
      <c r="CI144" s="32" t="str">
        <f>+IF(CI$3="","",IF($AY144="","",IFERROR(INDEX('Data Consolidada'!$E$7:$E$891,MATCH(CONCATENATE(CI$3,"-",$CP144,"-",$AY144),'Data Consolidada'!$K$7:$K$891,0)),MAX('Data Consolidada'!$E$7:$E$3000))))</f>
        <v/>
      </c>
      <c r="CJ144" s="32" t="str">
        <f>+IF(CJ$3="","",IF($AY144="","",IFERROR(INDEX('Data Consolidada'!$E$7:$E$891,MATCH(CONCATENATE(CJ$3,"-",$CP144,"-",$AY144),'Data Consolidada'!$K$7:$K$891,0)),MAX('Data Consolidada'!$E$7:$E$3000))))</f>
        <v/>
      </c>
      <c r="CK144" s="32" t="str">
        <f>+IF(CK$3="","",IF($AY144="","",IFERROR(INDEX('Data Consolidada'!$E$7:$E$891,MATCH(CONCATENATE(CK$3,"-",$CP144,"-",$AY144),'Data Consolidada'!$K$7:$K$891,0)),MAX('Data Consolidada'!$E$7:$E$3000))))</f>
        <v/>
      </c>
      <c r="CL144" s="32" t="str">
        <f>+IF(CL$3="","",IF($AY144="","",IFERROR(INDEX('Data Consolidada'!$E$7:$E$891,MATCH(CONCATENATE(CL$3,"-",$CP144,"-",$AY144),'Data Consolidada'!$K$7:$K$891,0)),MAX('Data Consolidada'!$E$7:$E$3000))))</f>
        <v/>
      </c>
      <c r="CM144" s="32" t="str">
        <f>+IF(CM$3="","",IF($AY144="","",IFERROR(INDEX('Data Consolidada'!$E$7:$E$891,MATCH(CONCATENATE(CM$3,"-",$CP144,"-",$AY144),'Data Consolidada'!$K$7:$K$891,0)),MAX('Data Consolidada'!$E$7:$E$3000))))</f>
        <v/>
      </c>
      <c r="CN144" s="32" t="str">
        <f>+IF(CN$3="","",IF($AY144="","",IFERROR(INDEX('Data Consolidada'!$E$7:$E$891,MATCH(CONCATENATE(CN$3,"-",$CP144,"-",$AY144),'Data Consolidada'!$K$7:$K$891,0)),MAX('Data Consolidada'!$E$7:$E$3000))))</f>
        <v/>
      </c>
      <c r="CO144" s="37" t="str">
        <f>+IF(CO$3="","",IF($AY144="","",IFERROR(INDEX('Data Consolidada'!$E$7:$E$891,MATCH(CONCATENATE(CO$3,"-",$CP144,"-",$AY144),'Data Consolidada'!$K$7:$K$891,0)),MAX('Data Consolidada'!$E$7:$E$3000))))</f>
        <v/>
      </c>
      <c r="CP144" s="224">
        <f t="shared" ca="1" si="45"/>
        <v>0</v>
      </c>
      <c r="CQ144" s="84" t="str">
        <f t="shared" ca="1" si="46"/>
        <v>TRANS. ALMENDRAL0</v>
      </c>
    </row>
    <row r="145" spans="2:95" ht="15" customHeight="1" x14ac:dyDescent="0.35">
      <c r="B145" s="218" t="str">
        <f t="shared" ca="1" si="47"/>
        <v>TH TRANSPORTES</v>
      </c>
      <c r="C145" s="238">
        <v>0</v>
      </c>
      <c r="D145" s="239">
        <v>0</v>
      </c>
      <c r="E145" s="239">
        <v>0</v>
      </c>
      <c r="F145" s="239">
        <v>0</v>
      </c>
      <c r="G145" s="239">
        <v>0</v>
      </c>
      <c r="H145" s="239">
        <v>0</v>
      </c>
      <c r="I145" s="239">
        <v>0</v>
      </c>
      <c r="J145" s="239">
        <v>0</v>
      </c>
      <c r="K145" s="239">
        <v>0</v>
      </c>
      <c r="L145" s="239">
        <v>0</v>
      </c>
      <c r="M145" s="239">
        <v>0</v>
      </c>
      <c r="N145" s="240">
        <v>0</v>
      </c>
      <c r="O145" s="239">
        <v>0</v>
      </c>
      <c r="P145" s="239">
        <v>0</v>
      </c>
      <c r="Q145" s="239">
        <v>0</v>
      </c>
      <c r="R145" s="239">
        <v>0</v>
      </c>
      <c r="S145" s="239">
        <v>0</v>
      </c>
      <c r="T145" s="239">
        <v>0</v>
      </c>
      <c r="U145" s="239">
        <v>0</v>
      </c>
      <c r="V145" s="239">
        <v>0</v>
      </c>
      <c r="W145" s="239">
        <v>0</v>
      </c>
      <c r="X145" s="239">
        <v>0</v>
      </c>
      <c r="Y145" s="239">
        <v>0</v>
      </c>
      <c r="Z145" s="239"/>
      <c r="AA145" s="239"/>
      <c r="AB145" s="239"/>
      <c r="AC145" s="239"/>
      <c r="AD145" s="239"/>
      <c r="AE145" s="239"/>
      <c r="AF145" s="239"/>
      <c r="AG145" s="239"/>
      <c r="AH145" s="239"/>
      <c r="AI145" s="239"/>
      <c r="AJ145" s="239"/>
      <c r="AK145" s="239"/>
      <c r="AL145" s="239"/>
      <c r="AM145" s="239"/>
      <c r="AN145" s="239"/>
      <c r="AO145" s="239"/>
      <c r="AP145" s="239"/>
      <c r="AQ145" s="239"/>
      <c r="AR145" s="252"/>
      <c r="AS145" s="77">
        <f t="shared" ca="1" si="48"/>
        <v>0</v>
      </c>
      <c r="AT145" s="255">
        <f t="shared" si="49"/>
        <v>0</v>
      </c>
      <c r="AU145" s="51"/>
      <c r="AV145" s="51"/>
      <c r="AW145" s="13">
        <f>+IF(AX145="","",IF(AX145&gt;AX144,AW144,IF(AW144&lt;$D$69,AW144+1,IF(COUNT(AW$4:AW144)&lt;$B$69*$E$54,1,""))))</f>
        <v>11</v>
      </c>
      <c r="AX145" s="13">
        <f>+IF(AX144&lt;$B$69,AX144+1,IF(COUNT(AX$4:AX144)&lt;$B$69*$D$69,1,""))</f>
        <v>12</v>
      </c>
      <c r="AY145" s="189" t="str">
        <f t="shared" ca="1" si="44"/>
        <v>TRANS. MAX SOTO G. E.I.R.L.</v>
      </c>
      <c r="AZ145" s="36">
        <f ca="1">+IF(AZ$3="","",IF($AY145="","",IFERROR(INDEX('Data Consolidada'!$E$7:$E$891,MATCH(CONCATENATE(AZ$3,"-",$CP145,"-",$AY145),'Data Consolidada'!$K$7:$K$891,0)),MAX('Data Consolidada'!$E$7:$E$3000))))</f>
        <v>11000000</v>
      </c>
      <c r="BA145" s="32">
        <f ca="1">+IF(BA$3="","",IF($AY145="","",IFERROR(INDEX('Data Consolidada'!$E$7:$E$891,MATCH(CONCATENATE(BA$3,"-",$CP145,"-",$AY145),'Data Consolidada'!$K$7:$K$891,0)),MAX('Data Consolidada'!$E$7:$E$3000))))</f>
        <v>11000000</v>
      </c>
      <c r="BB145" s="32" t="str">
        <f>+IF(BB$3="","",IF($AY145="","",IFERROR(INDEX('Data Consolidada'!$E$7:$E$891,MATCH(CONCATENATE(BB$3,"-",$CP145,"-",$AY145),'Data Consolidada'!$K$7:$K$891,0)),MAX('Data Consolidada'!$E$7:$E$3000))))</f>
        <v/>
      </c>
      <c r="BC145" s="32" t="str">
        <f>+IF(BC$3="","",IF($AY145="","",IFERROR(INDEX('Data Consolidada'!$E$7:$E$891,MATCH(CONCATENATE(BC$3,"-",$CP145,"-",$AY145),'Data Consolidada'!$K$7:$K$891,0)),MAX('Data Consolidada'!$E$7:$E$3000))))</f>
        <v/>
      </c>
      <c r="BD145" s="32" t="str">
        <f>+IF(BD$3="","",IF($AY145="","",IFERROR(INDEX('Data Consolidada'!$E$7:$E$891,MATCH(CONCATENATE(BD$3,"-",$CP145,"-",$AY145),'Data Consolidada'!$K$7:$K$891,0)),MAX('Data Consolidada'!$E$7:$E$3000))))</f>
        <v/>
      </c>
      <c r="BE145" s="32" t="str">
        <f>+IF(BE$3="","",IF($AY145="","",IFERROR(INDEX('Data Consolidada'!$E$7:$E$891,MATCH(CONCATENATE(BE$3,"-",$CP145,"-",$AY145),'Data Consolidada'!$K$7:$K$891,0)),MAX('Data Consolidada'!$E$7:$E$3000))))</f>
        <v/>
      </c>
      <c r="BF145" s="32" t="str">
        <f>+IF(BF$3="","",IF($AY145="","",IFERROR(INDEX('Data Consolidada'!$E$7:$E$891,MATCH(CONCATENATE(BF$3,"-",$CP145,"-",$AY145),'Data Consolidada'!$K$7:$K$891,0)),MAX('Data Consolidada'!$E$7:$E$3000))))</f>
        <v/>
      </c>
      <c r="BG145" s="32" t="str">
        <f>+IF(BG$3="","",IF($AY145="","",IFERROR(INDEX('Data Consolidada'!$E$7:$E$891,MATCH(CONCATENATE(BG$3,"-",$CP145,"-",$AY145),'Data Consolidada'!$K$7:$K$891,0)),MAX('Data Consolidada'!$E$7:$E$3000))))</f>
        <v/>
      </c>
      <c r="BH145" s="32" t="str">
        <f>+IF(BH$3="","",IF($AY145="","",IFERROR(INDEX('Data Consolidada'!$E$7:$E$891,MATCH(CONCATENATE(BH$3,"-",$CP145,"-",$AY145),'Data Consolidada'!$K$7:$K$891,0)),MAX('Data Consolidada'!$E$7:$E$3000))))</f>
        <v/>
      </c>
      <c r="BI145" s="32" t="str">
        <f>+IF(BI$3="","",IF($AY145="","",IFERROR(INDEX('Data Consolidada'!$E$7:$E$891,MATCH(CONCATENATE(BI$3,"-",$CP145,"-",$AY145),'Data Consolidada'!$K$7:$K$891,0)),MAX('Data Consolidada'!$E$7:$E$3000))))</f>
        <v/>
      </c>
      <c r="BJ145" s="32" t="str">
        <f>+IF(BJ$3="","",IF($AY145="","",IFERROR(INDEX('Data Consolidada'!$E$7:$E$891,MATCH(CONCATENATE(BJ$3,"-",$CP145,"-",$AY145),'Data Consolidada'!$K$7:$K$891,0)),MAX('Data Consolidada'!$E$7:$E$3000))))</f>
        <v/>
      </c>
      <c r="BK145" s="32" t="str">
        <f>+IF(BK$3="","",IF($AY145="","",IFERROR(INDEX('Data Consolidada'!$E$7:$E$891,MATCH(CONCATENATE(BK$3,"-",$CP145,"-",$AY145),'Data Consolidada'!$K$7:$K$891,0)),MAX('Data Consolidada'!$E$7:$E$3000))))</f>
        <v/>
      </c>
      <c r="BL145" s="32" t="str">
        <f>+IF(BL$3="","",IF($AY145="","",IFERROR(INDEX('Data Consolidada'!$E$7:$E$891,MATCH(CONCATENATE(BL$3,"-",$CP145,"-",$AY145),'Data Consolidada'!$K$7:$K$891,0)),MAX('Data Consolidada'!$E$7:$E$3000))))</f>
        <v/>
      </c>
      <c r="BM145" s="32" t="str">
        <f>+IF(BM$3="","",IF($AY145="","",IFERROR(INDEX('Data Consolidada'!$E$7:$E$891,MATCH(CONCATENATE(BM$3,"-",$CP145,"-",$AY145),'Data Consolidada'!$K$7:$K$891,0)),MAX('Data Consolidada'!$E$7:$E$3000))))</f>
        <v/>
      </c>
      <c r="BN145" s="32" t="str">
        <f>+IF(BN$3="","",IF($AY145="","",IFERROR(INDEX('Data Consolidada'!$E$7:$E$891,MATCH(CONCATENATE(BN$3,"-",$CP145,"-",$AY145),'Data Consolidada'!$K$7:$K$891,0)),MAX('Data Consolidada'!$E$7:$E$3000))))</f>
        <v/>
      </c>
      <c r="BO145" s="32" t="str">
        <f>+IF(BO$3="","",IF($AY145="","",IFERROR(INDEX('Data Consolidada'!$E$7:$E$891,MATCH(CONCATENATE(BO$3,"-",$CP145,"-",$AY145),'Data Consolidada'!$K$7:$K$891,0)),MAX('Data Consolidada'!$E$7:$E$3000))))</f>
        <v/>
      </c>
      <c r="BP145" s="32" t="str">
        <f>+IF(BP$3="","",IF($AY145="","",IFERROR(INDEX('Data Consolidada'!$E$7:$E$891,MATCH(CONCATENATE(BP$3,"-",$CP145,"-",$AY145),'Data Consolidada'!$K$7:$K$891,0)),MAX('Data Consolidada'!$E$7:$E$3000))))</f>
        <v/>
      </c>
      <c r="BQ145" s="32" t="str">
        <f>+IF(BQ$3="","",IF($AY145="","",IFERROR(INDEX('Data Consolidada'!$E$7:$E$891,MATCH(CONCATENATE(BQ$3,"-",$CP145,"-",$AY145),'Data Consolidada'!$K$7:$K$891,0)),MAX('Data Consolidada'!$E$7:$E$3000))))</f>
        <v/>
      </c>
      <c r="BR145" s="32" t="str">
        <f>+IF(BR$3="","",IF($AY145="","",IFERROR(INDEX('Data Consolidada'!$E$7:$E$891,MATCH(CONCATENATE(BR$3,"-",$CP145,"-",$AY145),'Data Consolidada'!$K$7:$K$891,0)),MAX('Data Consolidada'!$E$7:$E$3000))))</f>
        <v/>
      </c>
      <c r="BS145" s="32" t="str">
        <f>+IF(BS$3="","",IF($AY145="","",IFERROR(INDEX('Data Consolidada'!$E$7:$E$891,MATCH(CONCATENATE(BS$3,"-",$CP145,"-",$AY145),'Data Consolidada'!$K$7:$K$891,0)),MAX('Data Consolidada'!$E$7:$E$3000))))</f>
        <v/>
      </c>
      <c r="BT145" s="32" t="str">
        <f>+IF(BT$3="","",IF($AY145="","",IFERROR(INDEX('Data Consolidada'!$E$7:$E$891,MATCH(CONCATENATE(BT$3,"-",$CP145,"-",$AY145),'Data Consolidada'!$K$7:$K$891,0)),MAX('Data Consolidada'!$E$7:$E$3000))))</f>
        <v/>
      </c>
      <c r="BU145" s="32" t="str">
        <f>+IF(BU$3="","",IF($AY145="","",IFERROR(INDEX('Data Consolidada'!$E$7:$E$891,MATCH(CONCATENATE(BU$3,"-",$CP145,"-",$AY145),'Data Consolidada'!$K$7:$K$891,0)),MAX('Data Consolidada'!$E$7:$E$3000))))</f>
        <v/>
      </c>
      <c r="BV145" s="32" t="str">
        <f>+IF(BV$3="","",IF($AY145="","",IFERROR(INDEX('Data Consolidada'!$E$7:$E$891,MATCH(CONCATENATE(BV$3,"-",$CP145,"-",$AY145),'Data Consolidada'!$K$7:$K$891,0)),MAX('Data Consolidada'!$E$7:$E$3000))))</f>
        <v/>
      </c>
      <c r="BW145" s="32" t="str">
        <f>+IF(BW$3="","",IF($AY145="","",IFERROR(INDEX('Data Consolidada'!$E$7:$E$891,MATCH(CONCATENATE(BW$3,"-",$CP145,"-",$AY145),'Data Consolidada'!$K$7:$K$891,0)),MAX('Data Consolidada'!$E$7:$E$3000))))</f>
        <v/>
      </c>
      <c r="BX145" s="32" t="str">
        <f>+IF(BX$3="","",IF($AY145="","",IFERROR(INDEX('Data Consolidada'!$E$7:$E$891,MATCH(CONCATENATE(BX$3,"-",$CP145,"-",$AY145),'Data Consolidada'!$K$7:$K$891,0)),MAX('Data Consolidada'!$E$7:$E$3000))))</f>
        <v/>
      </c>
      <c r="BY145" s="32" t="str">
        <f>+IF(BY$3="","",IF($AY145="","",IFERROR(INDEX('Data Consolidada'!$E$7:$E$891,MATCH(CONCATENATE(BY$3,"-",$CP145,"-",$AY145),'Data Consolidada'!$K$7:$K$891,0)),MAX('Data Consolidada'!$E$7:$E$3000))))</f>
        <v/>
      </c>
      <c r="BZ145" s="32" t="str">
        <f>+IF(BZ$3="","",IF($AY145="","",IFERROR(INDEX('Data Consolidada'!$E$7:$E$891,MATCH(CONCATENATE(BZ$3,"-",$CP145,"-",$AY145),'Data Consolidada'!$K$7:$K$891,0)),MAX('Data Consolidada'!$E$7:$E$3000))))</f>
        <v/>
      </c>
      <c r="CA145" s="32" t="str">
        <f>+IF(CA$3="","",IF($AY145="","",IFERROR(INDEX('Data Consolidada'!$E$7:$E$891,MATCH(CONCATENATE(CA$3,"-",$CP145,"-",$AY145),'Data Consolidada'!$K$7:$K$891,0)),MAX('Data Consolidada'!$E$7:$E$3000))))</f>
        <v/>
      </c>
      <c r="CB145" s="32" t="str">
        <f>+IF(CB$3="","",IF($AY145="","",IFERROR(INDEX('Data Consolidada'!$E$7:$E$891,MATCH(CONCATENATE(CB$3,"-",$CP145,"-",$AY145),'Data Consolidada'!$K$7:$K$891,0)),MAX('Data Consolidada'!$E$7:$E$3000))))</f>
        <v/>
      </c>
      <c r="CC145" s="32" t="str">
        <f>+IF(CC$3="","",IF($AY145="","",IFERROR(INDEX('Data Consolidada'!$E$7:$E$891,MATCH(CONCATENATE(CC$3,"-",$CP145,"-",$AY145),'Data Consolidada'!$K$7:$K$891,0)),MAX('Data Consolidada'!$E$7:$E$3000))))</f>
        <v/>
      </c>
      <c r="CD145" s="32" t="str">
        <f>+IF(CD$3="","",IF($AY145="","",IFERROR(INDEX('Data Consolidada'!$E$7:$E$891,MATCH(CONCATENATE(CD$3,"-",$CP145,"-",$AY145),'Data Consolidada'!$K$7:$K$891,0)),MAX('Data Consolidada'!$E$7:$E$3000))))</f>
        <v/>
      </c>
      <c r="CE145" s="32" t="str">
        <f>+IF(CE$3="","",IF($AY145="","",IFERROR(INDEX('Data Consolidada'!$E$7:$E$891,MATCH(CONCATENATE(CE$3,"-",$CP145,"-",$AY145),'Data Consolidada'!$K$7:$K$891,0)),MAX('Data Consolidada'!$E$7:$E$3000))))</f>
        <v/>
      </c>
      <c r="CF145" s="32" t="str">
        <f>+IF(CF$3="","",IF($AY145="","",IFERROR(INDEX('Data Consolidada'!$E$7:$E$891,MATCH(CONCATENATE(CF$3,"-",$CP145,"-",$AY145),'Data Consolidada'!$K$7:$K$891,0)),MAX('Data Consolidada'!$E$7:$E$3000))))</f>
        <v/>
      </c>
      <c r="CG145" s="32" t="str">
        <f>+IF(CG$3="","",IF($AY145="","",IFERROR(INDEX('Data Consolidada'!$E$7:$E$891,MATCH(CONCATENATE(CG$3,"-",$CP145,"-",$AY145),'Data Consolidada'!$K$7:$K$891,0)),MAX('Data Consolidada'!$E$7:$E$3000))))</f>
        <v/>
      </c>
      <c r="CH145" s="32" t="str">
        <f>+IF(CH$3="","",IF($AY145="","",IFERROR(INDEX('Data Consolidada'!$E$7:$E$891,MATCH(CONCATENATE(CH$3,"-",$CP145,"-",$AY145),'Data Consolidada'!$K$7:$K$891,0)),MAX('Data Consolidada'!$E$7:$E$3000))))</f>
        <v/>
      </c>
      <c r="CI145" s="32" t="str">
        <f>+IF(CI$3="","",IF($AY145="","",IFERROR(INDEX('Data Consolidada'!$E$7:$E$891,MATCH(CONCATENATE(CI$3,"-",$CP145,"-",$AY145),'Data Consolidada'!$K$7:$K$891,0)),MAX('Data Consolidada'!$E$7:$E$3000))))</f>
        <v/>
      </c>
      <c r="CJ145" s="32" t="str">
        <f>+IF(CJ$3="","",IF($AY145="","",IFERROR(INDEX('Data Consolidada'!$E$7:$E$891,MATCH(CONCATENATE(CJ$3,"-",$CP145,"-",$AY145),'Data Consolidada'!$K$7:$K$891,0)),MAX('Data Consolidada'!$E$7:$E$3000))))</f>
        <v/>
      </c>
      <c r="CK145" s="32" t="str">
        <f>+IF(CK$3="","",IF($AY145="","",IFERROR(INDEX('Data Consolidada'!$E$7:$E$891,MATCH(CONCATENATE(CK$3,"-",$CP145,"-",$AY145),'Data Consolidada'!$K$7:$K$891,0)),MAX('Data Consolidada'!$E$7:$E$3000))))</f>
        <v/>
      </c>
      <c r="CL145" s="32" t="str">
        <f>+IF(CL$3="","",IF($AY145="","",IFERROR(INDEX('Data Consolidada'!$E$7:$E$891,MATCH(CONCATENATE(CL$3,"-",$CP145,"-",$AY145),'Data Consolidada'!$K$7:$K$891,0)),MAX('Data Consolidada'!$E$7:$E$3000))))</f>
        <v/>
      </c>
      <c r="CM145" s="32" t="str">
        <f>+IF(CM$3="","",IF($AY145="","",IFERROR(INDEX('Data Consolidada'!$E$7:$E$891,MATCH(CONCATENATE(CM$3,"-",$CP145,"-",$AY145),'Data Consolidada'!$K$7:$K$891,0)),MAX('Data Consolidada'!$E$7:$E$3000))))</f>
        <v/>
      </c>
      <c r="CN145" s="32" t="str">
        <f>+IF(CN$3="","",IF($AY145="","",IFERROR(INDEX('Data Consolidada'!$E$7:$E$891,MATCH(CONCATENATE(CN$3,"-",$CP145,"-",$AY145),'Data Consolidada'!$K$7:$K$891,0)),MAX('Data Consolidada'!$E$7:$E$3000))))</f>
        <v/>
      </c>
      <c r="CO145" s="37" t="str">
        <f>+IF(CO$3="","",IF($AY145="","",IFERROR(INDEX('Data Consolidada'!$E$7:$E$891,MATCH(CONCATENATE(CO$3,"-",$CP145,"-",$AY145),'Data Consolidada'!$K$7:$K$891,0)),MAX('Data Consolidada'!$E$7:$E$3000))))</f>
        <v/>
      </c>
      <c r="CP145" s="224">
        <f t="shared" ca="1" si="45"/>
        <v>0</v>
      </c>
      <c r="CQ145" s="84" t="str">
        <f t="shared" ca="1" si="46"/>
        <v>TRANS. MAX SOTO G. E.I.R.L.0</v>
      </c>
    </row>
    <row r="146" spans="2:95" ht="15" customHeight="1" x14ac:dyDescent="0.35">
      <c r="B146" s="218" t="str">
        <f t="shared" ca="1" si="47"/>
        <v>TRAIDILL</v>
      </c>
      <c r="C146" s="238">
        <v>0</v>
      </c>
      <c r="D146" s="239">
        <v>0</v>
      </c>
      <c r="E146" s="239">
        <v>0</v>
      </c>
      <c r="F146" s="239">
        <v>0</v>
      </c>
      <c r="G146" s="239">
        <v>0</v>
      </c>
      <c r="H146" s="239">
        <v>0</v>
      </c>
      <c r="I146" s="239">
        <v>0</v>
      </c>
      <c r="J146" s="239">
        <v>0</v>
      </c>
      <c r="K146" s="239">
        <v>0</v>
      </c>
      <c r="L146" s="239">
        <v>0</v>
      </c>
      <c r="M146" s="239">
        <v>0</v>
      </c>
      <c r="N146" s="240">
        <v>0</v>
      </c>
      <c r="O146" s="239">
        <v>0</v>
      </c>
      <c r="P146" s="239">
        <v>0</v>
      </c>
      <c r="Q146" s="239">
        <v>0</v>
      </c>
      <c r="R146" s="239">
        <v>0</v>
      </c>
      <c r="S146" s="239">
        <v>0</v>
      </c>
      <c r="T146" s="239">
        <v>0</v>
      </c>
      <c r="U146" s="239">
        <v>0</v>
      </c>
      <c r="V146" s="239">
        <v>0</v>
      </c>
      <c r="W146" s="239">
        <v>0</v>
      </c>
      <c r="X146" s="239">
        <v>0</v>
      </c>
      <c r="Y146" s="239">
        <v>0</v>
      </c>
      <c r="Z146" s="239"/>
      <c r="AA146" s="239"/>
      <c r="AB146" s="239"/>
      <c r="AC146" s="239"/>
      <c r="AD146" s="239"/>
      <c r="AE146" s="239"/>
      <c r="AF146" s="239"/>
      <c r="AG146" s="239"/>
      <c r="AH146" s="239"/>
      <c r="AI146" s="239"/>
      <c r="AJ146" s="239"/>
      <c r="AK146" s="239"/>
      <c r="AL146" s="239"/>
      <c r="AM146" s="239"/>
      <c r="AN146" s="239"/>
      <c r="AO146" s="239"/>
      <c r="AP146" s="239"/>
      <c r="AQ146" s="239"/>
      <c r="AR146" s="252"/>
      <c r="AS146" s="77">
        <f t="shared" ca="1" si="48"/>
        <v>0</v>
      </c>
      <c r="AT146" s="255">
        <f t="shared" si="49"/>
        <v>0</v>
      </c>
      <c r="AU146" s="51"/>
      <c r="AV146" s="51"/>
      <c r="AW146" s="13">
        <f>+IF(AX146="","",IF(AX146&gt;AX145,AW145,IF(AW145&lt;$D$69,AW145+1,IF(COUNT(AW$4:AW145)&lt;$B$69*$E$54,1,""))))</f>
        <v>11</v>
      </c>
      <c r="AX146" s="13">
        <f>+IF(AX145&lt;$B$69,AX145+1,IF(COUNT(AX$4:AX145)&lt;$B$69*$D$69,1,""))</f>
        <v>13</v>
      </c>
      <c r="AY146" s="189" t="str">
        <f t="shared" ca="1" si="44"/>
        <v>TRANS. MITRE SPA.</v>
      </c>
      <c r="AZ146" s="36">
        <f ca="1">+IF(AZ$3="","",IF($AY146="","",IFERROR(INDEX('Data Consolidada'!$E$7:$E$891,MATCH(CONCATENATE(AZ$3,"-",$CP146,"-",$AY146),'Data Consolidada'!$K$7:$K$891,0)),MAX('Data Consolidada'!$E$7:$E$3000))))</f>
        <v>11000000</v>
      </c>
      <c r="BA146" s="32">
        <f ca="1">+IF(BA$3="","",IF($AY146="","",IFERROR(INDEX('Data Consolidada'!$E$7:$E$891,MATCH(CONCATENATE(BA$3,"-",$CP146,"-",$AY146),'Data Consolidada'!$K$7:$K$891,0)),MAX('Data Consolidada'!$E$7:$E$3000))))</f>
        <v>11000000</v>
      </c>
      <c r="BB146" s="32" t="str">
        <f>+IF(BB$3="","",IF($AY146="","",IFERROR(INDEX('Data Consolidada'!$E$7:$E$891,MATCH(CONCATENATE(BB$3,"-",$CP146,"-",$AY146),'Data Consolidada'!$K$7:$K$891,0)),MAX('Data Consolidada'!$E$7:$E$3000))))</f>
        <v/>
      </c>
      <c r="BC146" s="32" t="str">
        <f>+IF(BC$3="","",IF($AY146="","",IFERROR(INDEX('Data Consolidada'!$E$7:$E$891,MATCH(CONCATENATE(BC$3,"-",$CP146,"-",$AY146),'Data Consolidada'!$K$7:$K$891,0)),MAX('Data Consolidada'!$E$7:$E$3000))))</f>
        <v/>
      </c>
      <c r="BD146" s="32" t="str">
        <f>+IF(BD$3="","",IF($AY146="","",IFERROR(INDEX('Data Consolidada'!$E$7:$E$891,MATCH(CONCATENATE(BD$3,"-",$CP146,"-",$AY146),'Data Consolidada'!$K$7:$K$891,0)),MAX('Data Consolidada'!$E$7:$E$3000))))</f>
        <v/>
      </c>
      <c r="BE146" s="32" t="str">
        <f>+IF(BE$3="","",IF($AY146="","",IFERROR(INDEX('Data Consolidada'!$E$7:$E$891,MATCH(CONCATENATE(BE$3,"-",$CP146,"-",$AY146),'Data Consolidada'!$K$7:$K$891,0)),MAX('Data Consolidada'!$E$7:$E$3000))))</f>
        <v/>
      </c>
      <c r="BF146" s="32" t="str">
        <f>+IF(BF$3="","",IF($AY146="","",IFERROR(INDEX('Data Consolidada'!$E$7:$E$891,MATCH(CONCATENATE(BF$3,"-",$CP146,"-",$AY146),'Data Consolidada'!$K$7:$K$891,0)),MAX('Data Consolidada'!$E$7:$E$3000))))</f>
        <v/>
      </c>
      <c r="BG146" s="32" t="str">
        <f>+IF(BG$3="","",IF($AY146="","",IFERROR(INDEX('Data Consolidada'!$E$7:$E$891,MATCH(CONCATENATE(BG$3,"-",$CP146,"-",$AY146),'Data Consolidada'!$K$7:$K$891,0)),MAX('Data Consolidada'!$E$7:$E$3000))))</f>
        <v/>
      </c>
      <c r="BH146" s="32" t="str">
        <f>+IF(BH$3="","",IF($AY146="","",IFERROR(INDEX('Data Consolidada'!$E$7:$E$891,MATCH(CONCATENATE(BH$3,"-",$CP146,"-",$AY146),'Data Consolidada'!$K$7:$K$891,0)),MAX('Data Consolidada'!$E$7:$E$3000))))</f>
        <v/>
      </c>
      <c r="BI146" s="32" t="str">
        <f>+IF(BI$3="","",IF($AY146="","",IFERROR(INDEX('Data Consolidada'!$E$7:$E$891,MATCH(CONCATENATE(BI$3,"-",$CP146,"-",$AY146),'Data Consolidada'!$K$7:$K$891,0)),MAX('Data Consolidada'!$E$7:$E$3000))))</f>
        <v/>
      </c>
      <c r="BJ146" s="32" t="str">
        <f>+IF(BJ$3="","",IF($AY146="","",IFERROR(INDEX('Data Consolidada'!$E$7:$E$891,MATCH(CONCATENATE(BJ$3,"-",$CP146,"-",$AY146),'Data Consolidada'!$K$7:$K$891,0)),MAX('Data Consolidada'!$E$7:$E$3000))))</f>
        <v/>
      </c>
      <c r="BK146" s="32" t="str">
        <f>+IF(BK$3="","",IF($AY146="","",IFERROR(INDEX('Data Consolidada'!$E$7:$E$891,MATCH(CONCATENATE(BK$3,"-",$CP146,"-",$AY146),'Data Consolidada'!$K$7:$K$891,0)),MAX('Data Consolidada'!$E$7:$E$3000))))</f>
        <v/>
      </c>
      <c r="BL146" s="32" t="str">
        <f>+IF(BL$3="","",IF($AY146="","",IFERROR(INDEX('Data Consolidada'!$E$7:$E$891,MATCH(CONCATENATE(BL$3,"-",$CP146,"-",$AY146),'Data Consolidada'!$K$7:$K$891,0)),MAX('Data Consolidada'!$E$7:$E$3000))))</f>
        <v/>
      </c>
      <c r="BM146" s="32" t="str">
        <f>+IF(BM$3="","",IF($AY146="","",IFERROR(INDEX('Data Consolidada'!$E$7:$E$891,MATCH(CONCATENATE(BM$3,"-",$CP146,"-",$AY146),'Data Consolidada'!$K$7:$K$891,0)),MAX('Data Consolidada'!$E$7:$E$3000))))</f>
        <v/>
      </c>
      <c r="BN146" s="32" t="str">
        <f>+IF(BN$3="","",IF($AY146="","",IFERROR(INDEX('Data Consolidada'!$E$7:$E$891,MATCH(CONCATENATE(BN$3,"-",$CP146,"-",$AY146),'Data Consolidada'!$K$7:$K$891,0)),MAX('Data Consolidada'!$E$7:$E$3000))))</f>
        <v/>
      </c>
      <c r="BO146" s="32" t="str">
        <f>+IF(BO$3="","",IF($AY146="","",IFERROR(INDEX('Data Consolidada'!$E$7:$E$891,MATCH(CONCATENATE(BO$3,"-",$CP146,"-",$AY146),'Data Consolidada'!$K$7:$K$891,0)),MAX('Data Consolidada'!$E$7:$E$3000))))</f>
        <v/>
      </c>
      <c r="BP146" s="32" t="str">
        <f>+IF(BP$3="","",IF($AY146="","",IFERROR(INDEX('Data Consolidada'!$E$7:$E$891,MATCH(CONCATENATE(BP$3,"-",$CP146,"-",$AY146),'Data Consolidada'!$K$7:$K$891,0)),MAX('Data Consolidada'!$E$7:$E$3000))))</f>
        <v/>
      </c>
      <c r="BQ146" s="32" t="str">
        <f>+IF(BQ$3="","",IF($AY146="","",IFERROR(INDEX('Data Consolidada'!$E$7:$E$891,MATCH(CONCATENATE(BQ$3,"-",$CP146,"-",$AY146),'Data Consolidada'!$K$7:$K$891,0)),MAX('Data Consolidada'!$E$7:$E$3000))))</f>
        <v/>
      </c>
      <c r="BR146" s="32" t="str">
        <f>+IF(BR$3="","",IF($AY146="","",IFERROR(INDEX('Data Consolidada'!$E$7:$E$891,MATCH(CONCATENATE(BR$3,"-",$CP146,"-",$AY146),'Data Consolidada'!$K$7:$K$891,0)),MAX('Data Consolidada'!$E$7:$E$3000))))</f>
        <v/>
      </c>
      <c r="BS146" s="32" t="str">
        <f>+IF(BS$3="","",IF($AY146="","",IFERROR(INDEX('Data Consolidada'!$E$7:$E$891,MATCH(CONCATENATE(BS$3,"-",$CP146,"-",$AY146),'Data Consolidada'!$K$7:$K$891,0)),MAX('Data Consolidada'!$E$7:$E$3000))))</f>
        <v/>
      </c>
      <c r="BT146" s="32" t="str">
        <f>+IF(BT$3="","",IF($AY146="","",IFERROR(INDEX('Data Consolidada'!$E$7:$E$891,MATCH(CONCATENATE(BT$3,"-",$CP146,"-",$AY146),'Data Consolidada'!$K$7:$K$891,0)),MAX('Data Consolidada'!$E$7:$E$3000))))</f>
        <v/>
      </c>
      <c r="BU146" s="32" t="str">
        <f>+IF(BU$3="","",IF($AY146="","",IFERROR(INDEX('Data Consolidada'!$E$7:$E$891,MATCH(CONCATENATE(BU$3,"-",$CP146,"-",$AY146),'Data Consolidada'!$K$7:$K$891,0)),MAX('Data Consolidada'!$E$7:$E$3000))))</f>
        <v/>
      </c>
      <c r="BV146" s="32" t="str">
        <f>+IF(BV$3="","",IF($AY146="","",IFERROR(INDEX('Data Consolidada'!$E$7:$E$891,MATCH(CONCATENATE(BV$3,"-",$CP146,"-",$AY146),'Data Consolidada'!$K$7:$K$891,0)),MAX('Data Consolidada'!$E$7:$E$3000))))</f>
        <v/>
      </c>
      <c r="BW146" s="32" t="str">
        <f>+IF(BW$3="","",IF($AY146="","",IFERROR(INDEX('Data Consolidada'!$E$7:$E$891,MATCH(CONCATENATE(BW$3,"-",$CP146,"-",$AY146),'Data Consolidada'!$K$7:$K$891,0)),MAX('Data Consolidada'!$E$7:$E$3000))))</f>
        <v/>
      </c>
      <c r="BX146" s="32" t="str">
        <f>+IF(BX$3="","",IF($AY146="","",IFERROR(INDEX('Data Consolidada'!$E$7:$E$891,MATCH(CONCATENATE(BX$3,"-",$CP146,"-",$AY146),'Data Consolidada'!$K$7:$K$891,0)),MAX('Data Consolidada'!$E$7:$E$3000))))</f>
        <v/>
      </c>
      <c r="BY146" s="32" t="str">
        <f>+IF(BY$3="","",IF($AY146="","",IFERROR(INDEX('Data Consolidada'!$E$7:$E$891,MATCH(CONCATENATE(BY$3,"-",$CP146,"-",$AY146),'Data Consolidada'!$K$7:$K$891,0)),MAX('Data Consolidada'!$E$7:$E$3000))))</f>
        <v/>
      </c>
      <c r="BZ146" s="32" t="str">
        <f>+IF(BZ$3="","",IF($AY146="","",IFERROR(INDEX('Data Consolidada'!$E$7:$E$891,MATCH(CONCATENATE(BZ$3,"-",$CP146,"-",$AY146),'Data Consolidada'!$K$7:$K$891,0)),MAX('Data Consolidada'!$E$7:$E$3000))))</f>
        <v/>
      </c>
      <c r="CA146" s="32" t="str">
        <f>+IF(CA$3="","",IF($AY146="","",IFERROR(INDEX('Data Consolidada'!$E$7:$E$891,MATCH(CONCATENATE(CA$3,"-",$CP146,"-",$AY146),'Data Consolidada'!$K$7:$K$891,0)),MAX('Data Consolidada'!$E$7:$E$3000))))</f>
        <v/>
      </c>
      <c r="CB146" s="32" t="str">
        <f>+IF(CB$3="","",IF($AY146="","",IFERROR(INDEX('Data Consolidada'!$E$7:$E$891,MATCH(CONCATENATE(CB$3,"-",$CP146,"-",$AY146),'Data Consolidada'!$K$7:$K$891,0)),MAX('Data Consolidada'!$E$7:$E$3000))))</f>
        <v/>
      </c>
      <c r="CC146" s="32" t="str">
        <f>+IF(CC$3="","",IF($AY146="","",IFERROR(INDEX('Data Consolidada'!$E$7:$E$891,MATCH(CONCATENATE(CC$3,"-",$CP146,"-",$AY146),'Data Consolidada'!$K$7:$K$891,0)),MAX('Data Consolidada'!$E$7:$E$3000))))</f>
        <v/>
      </c>
      <c r="CD146" s="32" t="str">
        <f>+IF(CD$3="","",IF($AY146="","",IFERROR(INDEX('Data Consolidada'!$E$7:$E$891,MATCH(CONCATENATE(CD$3,"-",$CP146,"-",$AY146),'Data Consolidada'!$K$7:$K$891,0)),MAX('Data Consolidada'!$E$7:$E$3000))))</f>
        <v/>
      </c>
      <c r="CE146" s="32" t="str">
        <f>+IF(CE$3="","",IF($AY146="","",IFERROR(INDEX('Data Consolidada'!$E$7:$E$891,MATCH(CONCATENATE(CE$3,"-",$CP146,"-",$AY146),'Data Consolidada'!$K$7:$K$891,0)),MAX('Data Consolidada'!$E$7:$E$3000))))</f>
        <v/>
      </c>
      <c r="CF146" s="32" t="str">
        <f>+IF(CF$3="","",IF($AY146="","",IFERROR(INDEX('Data Consolidada'!$E$7:$E$891,MATCH(CONCATENATE(CF$3,"-",$CP146,"-",$AY146),'Data Consolidada'!$K$7:$K$891,0)),MAX('Data Consolidada'!$E$7:$E$3000))))</f>
        <v/>
      </c>
      <c r="CG146" s="32" t="str">
        <f>+IF(CG$3="","",IF($AY146="","",IFERROR(INDEX('Data Consolidada'!$E$7:$E$891,MATCH(CONCATENATE(CG$3,"-",$CP146,"-",$AY146),'Data Consolidada'!$K$7:$K$891,0)),MAX('Data Consolidada'!$E$7:$E$3000))))</f>
        <v/>
      </c>
      <c r="CH146" s="32" t="str">
        <f>+IF(CH$3="","",IF($AY146="","",IFERROR(INDEX('Data Consolidada'!$E$7:$E$891,MATCH(CONCATENATE(CH$3,"-",$CP146,"-",$AY146),'Data Consolidada'!$K$7:$K$891,0)),MAX('Data Consolidada'!$E$7:$E$3000))))</f>
        <v/>
      </c>
      <c r="CI146" s="32" t="str">
        <f>+IF(CI$3="","",IF($AY146="","",IFERROR(INDEX('Data Consolidada'!$E$7:$E$891,MATCH(CONCATENATE(CI$3,"-",$CP146,"-",$AY146),'Data Consolidada'!$K$7:$K$891,0)),MAX('Data Consolidada'!$E$7:$E$3000))))</f>
        <v/>
      </c>
      <c r="CJ146" s="32" t="str">
        <f>+IF(CJ$3="","",IF($AY146="","",IFERROR(INDEX('Data Consolidada'!$E$7:$E$891,MATCH(CONCATENATE(CJ$3,"-",$CP146,"-",$AY146),'Data Consolidada'!$K$7:$K$891,0)),MAX('Data Consolidada'!$E$7:$E$3000))))</f>
        <v/>
      </c>
      <c r="CK146" s="32" t="str">
        <f>+IF(CK$3="","",IF($AY146="","",IFERROR(INDEX('Data Consolidada'!$E$7:$E$891,MATCH(CONCATENATE(CK$3,"-",$CP146,"-",$AY146),'Data Consolidada'!$K$7:$K$891,0)),MAX('Data Consolidada'!$E$7:$E$3000))))</f>
        <v/>
      </c>
      <c r="CL146" s="32" t="str">
        <f>+IF(CL$3="","",IF($AY146="","",IFERROR(INDEX('Data Consolidada'!$E$7:$E$891,MATCH(CONCATENATE(CL$3,"-",$CP146,"-",$AY146),'Data Consolidada'!$K$7:$K$891,0)),MAX('Data Consolidada'!$E$7:$E$3000))))</f>
        <v/>
      </c>
      <c r="CM146" s="32" t="str">
        <f>+IF(CM$3="","",IF($AY146="","",IFERROR(INDEX('Data Consolidada'!$E$7:$E$891,MATCH(CONCATENATE(CM$3,"-",$CP146,"-",$AY146),'Data Consolidada'!$K$7:$K$891,0)),MAX('Data Consolidada'!$E$7:$E$3000))))</f>
        <v/>
      </c>
      <c r="CN146" s="32" t="str">
        <f>+IF(CN$3="","",IF($AY146="","",IFERROR(INDEX('Data Consolidada'!$E$7:$E$891,MATCH(CONCATENATE(CN$3,"-",$CP146,"-",$AY146),'Data Consolidada'!$K$7:$K$891,0)),MAX('Data Consolidada'!$E$7:$E$3000))))</f>
        <v/>
      </c>
      <c r="CO146" s="37" t="str">
        <f>+IF(CO$3="","",IF($AY146="","",IFERROR(INDEX('Data Consolidada'!$E$7:$E$891,MATCH(CONCATENATE(CO$3,"-",$CP146,"-",$AY146),'Data Consolidada'!$K$7:$K$891,0)),MAX('Data Consolidada'!$E$7:$E$3000))))</f>
        <v/>
      </c>
      <c r="CP146" s="224">
        <f t="shared" ca="1" si="45"/>
        <v>0</v>
      </c>
      <c r="CQ146" s="84" t="str">
        <f t="shared" ca="1" si="46"/>
        <v>TRANS. MITRE SPA.0</v>
      </c>
    </row>
    <row r="147" spans="2:95" ht="15" customHeight="1" x14ac:dyDescent="0.35">
      <c r="B147" s="218" t="str">
        <f t="shared" ca="1" si="47"/>
        <v>TRANS. ALMENDRAL</v>
      </c>
      <c r="C147" s="238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40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239"/>
      <c r="Z147" s="239"/>
      <c r="AA147" s="239"/>
      <c r="AB147" s="239"/>
      <c r="AC147" s="239"/>
      <c r="AD147" s="239"/>
      <c r="AE147" s="239"/>
      <c r="AF147" s="239"/>
      <c r="AG147" s="239"/>
      <c r="AH147" s="239"/>
      <c r="AI147" s="239"/>
      <c r="AJ147" s="239"/>
      <c r="AK147" s="239"/>
      <c r="AL147" s="239"/>
      <c r="AM147" s="239"/>
      <c r="AN147" s="239"/>
      <c r="AO147" s="239"/>
      <c r="AP147" s="239"/>
      <c r="AQ147" s="239"/>
      <c r="AR147" s="252"/>
      <c r="AS147" s="77">
        <f t="shared" ca="1" si="48"/>
        <v>0</v>
      </c>
      <c r="AT147" s="255">
        <f t="shared" si="49"/>
        <v>0</v>
      </c>
      <c r="AU147" s="51"/>
      <c r="AV147" s="51"/>
      <c r="AW147" s="13">
        <f>+IF(AX147="","",IF(AX147&gt;AX146,AW146,IF(AW146&lt;$D$69,AW146+1,IF(COUNT(AW$4:AW146)&lt;$B$69*$E$54,1,""))))</f>
        <v>12</v>
      </c>
      <c r="AX147" s="13">
        <f>+IF(AX146&lt;$B$69,AX146+1,IF(COUNT(AX$4:AX146)&lt;$B$69*$D$69,1,""))</f>
        <v>1</v>
      </c>
      <c r="AY147" s="189" t="str">
        <f t="shared" ref="AY147:AY149" ca="1" si="50">+IF(AX147="","",OFFSET($B$9,AX147,0))</f>
        <v xml:space="preserve">  TRANS. MORROS LTDA.</v>
      </c>
      <c r="AZ147" s="36">
        <f ca="1">+IF(AZ$3="","",IF($AY147="","",IFERROR(INDEX('Data Consolidada'!$E$7:$E$891,MATCH(CONCATENATE(AZ$3,"-",$CP147,"-",$AY147),'Data Consolidada'!$K$7:$K$891,0)),MAX('Data Consolidada'!$E$7:$E$3000))))</f>
        <v>11000000</v>
      </c>
      <c r="BA147" s="32">
        <f ca="1">+IF(BA$3="","",IF($AY147="","",IFERROR(INDEX('Data Consolidada'!$E$7:$E$891,MATCH(CONCATENATE(BA$3,"-",$CP147,"-",$AY147),'Data Consolidada'!$K$7:$K$891,0)),MAX('Data Consolidada'!$E$7:$E$3000))))</f>
        <v>11000000</v>
      </c>
      <c r="BB147" s="32" t="str">
        <f>+IF(BB$3="","",IF($AY147="","",IFERROR(INDEX('Data Consolidada'!$E$7:$E$891,MATCH(CONCATENATE(BB$3,"-",$CP147,"-",$AY147),'Data Consolidada'!$K$7:$K$891,0)),MAX('Data Consolidada'!$E$7:$E$3000))))</f>
        <v/>
      </c>
      <c r="BC147" s="32" t="str">
        <f>+IF(BC$3="","",IF($AY147="","",IFERROR(INDEX('Data Consolidada'!$E$7:$E$891,MATCH(CONCATENATE(BC$3,"-",$CP147,"-",$AY147),'Data Consolidada'!$K$7:$K$891,0)),MAX('Data Consolidada'!$E$7:$E$3000))))</f>
        <v/>
      </c>
      <c r="BD147" s="32" t="str">
        <f>+IF(BD$3="","",IF($AY147="","",IFERROR(INDEX('Data Consolidada'!$E$7:$E$891,MATCH(CONCATENATE(BD$3,"-",$CP147,"-",$AY147),'Data Consolidada'!$K$7:$K$891,0)),MAX('Data Consolidada'!$E$7:$E$3000))))</f>
        <v/>
      </c>
      <c r="BE147" s="32" t="str">
        <f>+IF(BE$3="","",IF($AY147="","",IFERROR(INDEX('Data Consolidada'!$E$7:$E$891,MATCH(CONCATENATE(BE$3,"-",$CP147,"-",$AY147),'Data Consolidada'!$K$7:$K$891,0)),MAX('Data Consolidada'!$E$7:$E$3000))))</f>
        <v/>
      </c>
      <c r="BF147" s="32" t="str">
        <f>+IF(BF$3="","",IF($AY147="","",IFERROR(INDEX('Data Consolidada'!$E$7:$E$891,MATCH(CONCATENATE(BF$3,"-",$CP147,"-",$AY147),'Data Consolidada'!$K$7:$K$891,0)),MAX('Data Consolidada'!$E$7:$E$3000))))</f>
        <v/>
      </c>
      <c r="BG147" s="32" t="str">
        <f>+IF(BG$3="","",IF($AY147="","",IFERROR(INDEX('Data Consolidada'!$E$7:$E$891,MATCH(CONCATENATE(BG$3,"-",$CP147,"-",$AY147),'Data Consolidada'!$K$7:$K$891,0)),MAX('Data Consolidada'!$E$7:$E$3000))))</f>
        <v/>
      </c>
      <c r="BH147" s="32" t="str">
        <f>+IF(BH$3="","",IF($AY147="","",IFERROR(INDEX('Data Consolidada'!$E$7:$E$891,MATCH(CONCATENATE(BH$3,"-",$CP147,"-",$AY147),'Data Consolidada'!$K$7:$K$891,0)),MAX('Data Consolidada'!$E$7:$E$3000))))</f>
        <v/>
      </c>
      <c r="BI147" s="32" t="str">
        <f>+IF(BI$3="","",IF($AY147="","",IFERROR(INDEX('Data Consolidada'!$E$7:$E$891,MATCH(CONCATENATE(BI$3,"-",$CP147,"-",$AY147),'Data Consolidada'!$K$7:$K$891,0)),MAX('Data Consolidada'!$E$7:$E$3000))))</f>
        <v/>
      </c>
      <c r="BJ147" s="32" t="str">
        <f>+IF(BJ$3="","",IF($AY147="","",IFERROR(INDEX('Data Consolidada'!$E$7:$E$891,MATCH(CONCATENATE(BJ$3,"-",$CP147,"-",$AY147),'Data Consolidada'!$K$7:$K$891,0)),MAX('Data Consolidada'!$E$7:$E$3000))))</f>
        <v/>
      </c>
      <c r="BK147" s="32" t="str">
        <f>+IF(BK$3="","",IF($AY147="","",IFERROR(INDEX('Data Consolidada'!$E$7:$E$891,MATCH(CONCATENATE(BK$3,"-",$CP147,"-",$AY147),'Data Consolidada'!$K$7:$K$891,0)),MAX('Data Consolidada'!$E$7:$E$3000))))</f>
        <v/>
      </c>
      <c r="BL147" s="32" t="str">
        <f>+IF(BL$3="","",IF($AY147="","",IFERROR(INDEX('Data Consolidada'!$E$7:$E$891,MATCH(CONCATENATE(BL$3,"-",$CP147,"-",$AY147),'Data Consolidada'!$K$7:$K$891,0)),MAX('Data Consolidada'!$E$7:$E$3000))))</f>
        <v/>
      </c>
      <c r="BM147" s="32" t="str">
        <f>+IF(BM$3="","",IF($AY147="","",IFERROR(INDEX('Data Consolidada'!$E$7:$E$891,MATCH(CONCATENATE(BM$3,"-",$CP147,"-",$AY147),'Data Consolidada'!$K$7:$K$891,0)),MAX('Data Consolidada'!$E$7:$E$3000))))</f>
        <v/>
      </c>
      <c r="BN147" s="32" t="str">
        <f>+IF(BN$3="","",IF($AY147="","",IFERROR(INDEX('Data Consolidada'!$E$7:$E$891,MATCH(CONCATENATE(BN$3,"-",$CP147,"-",$AY147),'Data Consolidada'!$K$7:$K$891,0)),MAX('Data Consolidada'!$E$7:$E$3000))))</f>
        <v/>
      </c>
      <c r="BO147" s="32" t="str">
        <f>+IF(BO$3="","",IF($AY147="","",IFERROR(INDEX('Data Consolidada'!$E$7:$E$891,MATCH(CONCATENATE(BO$3,"-",$CP147,"-",$AY147),'Data Consolidada'!$K$7:$K$891,0)),MAX('Data Consolidada'!$E$7:$E$3000))))</f>
        <v/>
      </c>
      <c r="BP147" s="32" t="str">
        <f>+IF(BP$3="","",IF($AY147="","",IFERROR(INDEX('Data Consolidada'!$E$7:$E$891,MATCH(CONCATENATE(BP$3,"-",$CP147,"-",$AY147),'Data Consolidada'!$K$7:$K$891,0)),MAX('Data Consolidada'!$E$7:$E$3000))))</f>
        <v/>
      </c>
      <c r="BQ147" s="32" t="str">
        <f>+IF(BQ$3="","",IF($AY147="","",IFERROR(INDEX('Data Consolidada'!$E$7:$E$891,MATCH(CONCATENATE(BQ$3,"-",$CP147,"-",$AY147),'Data Consolidada'!$K$7:$K$891,0)),MAX('Data Consolidada'!$E$7:$E$3000))))</f>
        <v/>
      </c>
      <c r="BR147" s="32" t="str">
        <f>+IF(BR$3="","",IF($AY147="","",IFERROR(INDEX('Data Consolidada'!$E$7:$E$891,MATCH(CONCATENATE(BR$3,"-",$CP147,"-",$AY147),'Data Consolidada'!$K$7:$K$891,0)),MAX('Data Consolidada'!$E$7:$E$3000))))</f>
        <v/>
      </c>
      <c r="BS147" s="32" t="str">
        <f>+IF(BS$3="","",IF($AY147="","",IFERROR(INDEX('Data Consolidada'!$E$7:$E$891,MATCH(CONCATENATE(BS$3,"-",$CP147,"-",$AY147),'Data Consolidada'!$K$7:$K$891,0)),MAX('Data Consolidada'!$E$7:$E$3000))))</f>
        <v/>
      </c>
      <c r="BT147" s="32" t="str">
        <f>+IF(BT$3="","",IF($AY147="","",IFERROR(INDEX('Data Consolidada'!$E$7:$E$891,MATCH(CONCATENATE(BT$3,"-",$CP147,"-",$AY147),'Data Consolidada'!$K$7:$K$891,0)),MAX('Data Consolidada'!$E$7:$E$3000))))</f>
        <v/>
      </c>
      <c r="BU147" s="32" t="str">
        <f>+IF(BU$3="","",IF($AY147="","",IFERROR(INDEX('Data Consolidada'!$E$7:$E$891,MATCH(CONCATENATE(BU$3,"-",$CP147,"-",$AY147),'Data Consolidada'!$K$7:$K$891,0)),MAX('Data Consolidada'!$E$7:$E$3000))))</f>
        <v/>
      </c>
      <c r="BV147" s="32" t="str">
        <f>+IF(BV$3="","",IF($AY147="","",IFERROR(INDEX('Data Consolidada'!$E$7:$E$891,MATCH(CONCATENATE(BV$3,"-",$CP147,"-",$AY147),'Data Consolidada'!$K$7:$K$891,0)),MAX('Data Consolidada'!$E$7:$E$3000))))</f>
        <v/>
      </c>
      <c r="BW147" s="32" t="str">
        <f>+IF(BW$3="","",IF($AY147="","",IFERROR(INDEX('Data Consolidada'!$E$7:$E$891,MATCH(CONCATENATE(BW$3,"-",$CP147,"-",$AY147),'Data Consolidada'!$K$7:$K$891,0)),MAX('Data Consolidada'!$E$7:$E$3000))))</f>
        <v/>
      </c>
      <c r="BX147" s="32" t="str">
        <f>+IF(BX$3="","",IF($AY147="","",IFERROR(INDEX('Data Consolidada'!$E$7:$E$891,MATCH(CONCATENATE(BX$3,"-",$CP147,"-",$AY147),'Data Consolidada'!$K$7:$K$891,0)),MAX('Data Consolidada'!$E$7:$E$3000))))</f>
        <v/>
      </c>
      <c r="BY147" s="32" t="str">
        <f>+IF(BY$3="","",IF($AY147="","",IFERROR(INDEX('Data Consolidada'!$E$7:$E$891,MATCH(CONCATENATE(BY$3,"-",$CP147,"-",$AY147),'Data Consolidada'!$K$7:$K$891,0)),MAX('Data Consolidada'!$E$7:$E$3000))))</f>
        <v/>
      </c>
      <c r="BZ147" s="32" t="str">
        <f>+IF(BZ$3="","",IF($AY147="","",IFERROR(INDEX('Data Consolidada'!$E$7:$E$891,MATCH(CONCATENATE(BZ$3,"-",$CP147,"-",$AY147),'Data Consolidada'!$K$7:$K$891,0)),MAX('Data Consolidada'!$E$7:$E$3000))))</f>
        <v/>
      </c>
      <c r="CA147" s="32" t="str">
        <f>+IF(CA$3="","",IF($AY147="","",IFERROR(INDEX('Data Consolidada'!$E$7:$E$891,MATCH(CONCATENATE(CA$3,"-",$CP147,"-",$AY147),'Data Consolidada'!$K$7:$K$891,0)),MAX('Data Consolidada'!$E$7:$E$3000))))</f>
        <v/>
      </c>
      <c r="CB147" s="32" t="str">
        <f>+IF(CB$3="","",IF($AY147="","",IFERROR(INDEX('Data Consolidada'!$E$7:$E$891,MATCH(CONCATENATE(CB$3,"-",$CP147,"-",$AY147),'Data Consolidada'!$K$7:$K$891,0)),MAX('Data Consolidada'!$E$7:$E$3000))))</f>
        <v/>
      </c>
      <c r="CC147" s="32" t="str">
        <f>+IF(CC$3="","",IF($AY147="","",IFERROR(INDEX('Data Consolidada'!$E$7:$E$891,MATCH(CONCATENATE(CC$3,"-",$CP147,"-",$AY147),'Data Consolidada'!$K$7:$K$891,0)),MAX('Data Consolidada'!$E$7:$E$3000))))</f>
        <v/>
      </c>
      <c r="CD147" s="32" t="str">
        <f>+IF(CD$3="","",IF($AY147="","",IFERROR(INDEX('Data Consolidada'!$E$7:$E$891,MATCH(CONCATENATE(CD$3,"-",$CP147,"-",$AY147),'Data Consolidada'!$K$7:$K$891,0)),MAX('Data Consolidada'!$E$7:$E$3000))))</f>
        <v/>
      </c>
      <c r="CE147" s="32" t="str">
        <f>+IF(CE$3="","",IF($AY147="","",IFERROR(INDEX('Data Consolidada'!$E$7:$E$891,MATCH(CONCATENATE(CE$3,"-",$CP147,"-",$AY147),'Data Consolidada'!$K$7:$K$891,0)),MAX('Data Consolidada'!$E$7:$E$3000))))</f>
        <v/>
      </c>
      <c r="CF147" s="32" t="str">
        <f>+IF(CF$3="","",IF($AY147="","",IFERROR(INDEX('Data Consolidada'!$E$7:$E$891,MATCH(CONCATENATE(CF$3,"-",$CP147,"-",$AY147),'Data Consolidada'!$K$7:$K$891,0)),MAX('Data Consolidada'!$E$7:$E$3000))))</f>
        <v/>
      </c>
      <c r="CG147" s="32" t="str">
        <f>+IF(CG$3="","",IF($AY147="","",IFERROR(INDEX('Data Consolidada'!$E$7:$E$891,MATCH(CONCATENATE(CG$3,"-",$CP147,"-",$AY147),'Data Consolidada'!$K$7:$K$891,0)),MAX('Data Consolidada'!$E$7:$E$3000))))</f>
        <v/>
      </c>
      <c r="CH147" s="32" t="str">
        <f>+IF(CH$3="","",IF($AY147="","",IFERROR(INDEX('Data Consolidada'!$E$7:$E$891,MATCH(CONCATENATE(CH$3,"-",$CP147,"-",$AY147),'Data Consolidada'!$K$7:$K$891,0)),MAX('Data Consolidada'!$E$7:$E$3000))))</f>
        <v/>
      </c>
      <c r="CI147" s="32" t="str">
        <f>+IF(CI$3="","",IF($AY147="","",IFERROR(INDEX('Data Consolidada'!$E$7:$E$891,MATCH(CONCATENATE(CI$3,"-",$CP147,"-",$AY147),'Data Consolidada'!$K$7:$K$891,0)),MAX('Data Consolidada'!$E$7:$E$3000))))</f>
        <v/>
      </c>
      <c r="CJ147" s="32" t="str">
        <f>+IF(CJ$3="","",IF($AY147="","",IFERROR(INDEX('Data Consolidada'!$E$7:$E$891,MATCH(CONCATENATE(CJ$3,"-",$CP147,"-",$AY147),'Data Consolidada'!$K$7:$K$891,0)),MAX('Data Consolidada'!$E$7:$E$3000))))</f>
        <v/>
      </c>
      <c r="CK147" s="32" t="str">
        <f>+IF(CK$3="","",IF($AY147="","",IFERROR(INDEX('Data Consolidada'!$E$7:$E$891,MATCH(CONCATENATE(CK$3,"-",$CP147,"-",$AY147),'Data Consolidada'!$K$7:$K$891,0)),MAX('Data Consolidada'!$E$7:$E$3000))))</f>
        <v/>
      </c>
      <c r="CL147" s="32" t="str">
        <f>+IF(CL$3="","",IF($AY147="","",IFERROR(INDEX('Data Consolidada'!$E$7:$E$891,MATCH(CONCATENATE(CL$3,"-",$CP147,"-",$AY147),'Data Consolidada'!$K$7:$K$891,0)),MAX('Data Consolidada'!$E$7:$E$3000))))</f>
        <v/>
      </c>
      <c r="CM147" s="32" t="str">
        <f>+IF(CM$3="","",IF($AY147="","",IFERROR(INDEX('Data Consolidada'!$E$7:$E$891,MATCH(CONCATENATE(CM$3,"-",$CP147,"-",$AY147),'Data Consolidada'!$K$7:$K$891,0)),MAX('Data Consolidada'!$E$7:$E$3000))))</f>
        <v/>
      </c>
      <c r="CN147" s="32" t="str">
        <f>+IF(CN$3="","",IF($AY147="","",IFERROR(INDEX('Data Consolidada'!$E$7:$E$891,MATCH(CONCATENATE(CN$3,"-",$CP147,"-",$AY147),'Data Consolidada'!$K$7:$K$891,0)),MAX('Data Consolidada'!$E$7:$E$3000))))</f>
        <v/>
      </c>
      <c r="CO147" s="37" t="str">
        <f>+IF(CO$3="","",IF($AY147="","",IFERROR(INDEX('Data Consolidada'!$E$7:$E$891,MATCH(CONCATENATE(CO$3,"-",$CP147,"-",$AY147),'Data Consolidada'!$K$7:$K$891,0)),MAX('Data Consolidada'!$E$7:$E$3000))))</f>
        <v/>
      </c>
      <c r="CP147" s="224">
        <f t="shared" ref="CP147:CP149" ca="1" si="51">+IF(AW147="","",OFFSET($D$9,AW147,0))</f>
        <v>0</v>
      </c>
      <c r="CQ147" s="84" t="str">
        <f t="shared" ca="1" si="46"/>
        <v xml:space="preserve">  TRANS. MORROS LTDA.0</v>
      </c>
    </row>
    <row r="148" spans="2:95" ht="15" customHeight="1" x14ac:dyDescent="0.35">
      <c r="B148" s="218" t="str">
        <f t="shared" ca="1" si="47"/>
        <v>TRANS. MAX SOTO G. E.I.R.L.</v>
      </c>
      <c r="C148" s="238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40"/>
      <c r="O148" s="239"/>
      <c r="P148" s="239"/>
      <c r="Q148" s="239"/>
      <c r="R148" s="239"/>
      <c r="S148" s="239"/>
      <c r="T148" s="239"/>
      <c r="U148" s="239"/>
      <c r="V148" s="239"/>
      <c r="W148" s="239"/>
      <c r="X148" s="239"/>
      <c r="Y148" s="239"/>
      <c r="Z148" s="239"/>
      <c r="AA148" s="239"/>
      <c r="AB148" s="239"/>
      <c r="AC148" s="239"/>
      <c r="AD148" s="239"/>
      <c r="AE148" s="239"/>
      <c r="AF148" s="239"/>
      <c r="AG148" s="239"/>
      <c r="AH148" s="239"/>
      <c r="AI148" s="239"/>
      <c r="AJ148" s="239"/>
      <c r="AK148" s="239"/>
      <c r="AL148" s="239"/>
      <c r="AM148" s="239"/>
      <c r="AN148" s="239"/>
      <c r="AO148" s="239"/>
      <c r="AP148" s="239"/>
      <c r="AQ148" s="239"/>
      <c r="AR148" s="252"/>
      <c r="AS148" s="77">
        <f t="shared" ca="1" si="48"/>
        <v>0</v>
      </c>
      <c r="AT148" s="255">
        <f t="shared" si="49"/>
        <v>0</v>
      </c>
      <c r="AU148" s="51"/>
      <c r="AV148" s="51"/>
      <c r="AW148" s="13">
        <f>+IF(AX148="","",IF(AX148&gt;AX147,AW147,IF(AW147&lt;$D$69,AW147+1,IF(COUNT(AW$4:AW147)&lt;$B$69*$E$54,1,""))))</f>
        <v>12</v>
      </c>
      <c r="AX148" s="13">
        <f>+IF(AX147&lt;$B$69,AX147+1,IF(COUNT(AX$4:AX147)&lt;$B$69*$D$69,1,""))</f>
        <v>2</v>
      </c>
      <c r="AY148" s="189" t="str">
        <f t="shared" ca="1" si="50"/>
        <v xml:space="preserve">CRISTIAN LÓPEZ </v>
      </c>
      <c r="AZ148" s="36">
        <f ca="1">+IF(AZ$3="","",IF($AY148="","",IFERROR(INDEX('Data Consolidada'!$E$7:$E$891,MATCH(CONCATENATE(AZ$3,"-",$CP148,"-",$AY148),'Data Consolidada'!$K$7:$K$891,0)),MAX('Data Consolidada'!$E$7:$E$3000))))</f>
        <v>11000000</v>
      </c>
      <c r="BA148" s="32">
        <f ca="1">+IF(BA$3="","",IF($AY148="","",IFERROR(INDEX('Data Consolidada'!$E$7:$E$891,MATCH(CONCATENATE(BA$3,"-",$CP148,"-",$AY148),'Data Consolidada'!$K$7:$K$891,0)),MAX('Data Consolidada'!$E$7:$E$3000))))</f>
        <v>11000000</v>
      </c>
      <c r="BB148" s="32" t="str">
        <f>+IF(BB$3="","",IF($AY148="","",IFERROR(INDEX('Data Consolidada'!$E$7:$E$891,MATCH(CONCATENATE(BB$3,"-",$CP148,"-",$AY148),'Data Consolidada'!$K$7:$K$891,0)),MAX('Data Consolidada'!$E$7:$E$3000))))</f>
        <v/>
      </c>
      <c r="BC148" s="32" t="str">
        <f>+IF(BC$3="","",IF($AY148="","",IFERROR(INDEX('Data Consolidada'!$E$7:$E$891,MATCH(CONCATENATE(BC$3,"-",$CP148,"-",$AY148),'Data Consolidada'!$K$7:$K$891,0)),MAX('Data Consolidada'!$E$7:$E$3000))))</f>
        <v/>
      </c>
      <c r="BD148" s="32" t="str">
        <f>+IF(BD$3="","",IF($AY148="","",IFERROR(INDEX('Data Consolidada'!$E$7:$E$891,MATCH(CONCATENATE(BD$3,"-",$CP148,"-",$AY148),'Data Consolidada'!$K$7:$K$891,0)),MAX('Data Consolidada'!$E$7:$E$3000))))</f>
        <v/>
      </c>
      <c r="BE148" s="32" t="str">
        <f>+IF(BE$3="","",IF($AY148="","",IFERROR(INDEX('Data Consolidada'!$E$7:$E$891,MATCH(CONCATENATE(BE$3,"-",$CP148,"-",$AY148),'Data Consolidada'!$K$7:$K$891,0)),MAX('Data Consolidada'!$E$7:$E$3000))))</f>
        <v/>
      </c>
      <c r="BF148" s="32" t="str">
        <f>+IF(BF$3="","",IF($AY148="","",IFERROR(INDEX('Data Consolidada'!$E$7:$E$891,MATCH(CONCATENATE(BF$3,"-",$CP148,"-",$AY148),'Data Consolidada'!$K$7:$K$891,0)),MAX('Data Consolidada'!$E$7:$E$3000))))</f>
        <v/>
      </c>
      <c r="BG148" s="32" t="str">
        <f>+IF(BG$3="","",IF($AY148="","",IFERROR(INDEX('Data Consolidada'!$E$7:$E$891,MATCH(CONCATENATE(BG$3,"-",$CP148,"-",$AY148),'Data Consolidada'!$K$7:$K$891,0)),MAX('Data Consolidada'!$E$7:$E$3000))))</f>
        <v/>
      </c>
      <c r="BH148" s="32" t="str">
        <f>+IF(BH$3="","",IF($AY148="","",IFERROR(INDEX('Data Consolidada'!$E$7:$E$891,MATCH(CONCATENATE(BH$3,"-",$CP148,"-",$AY148),'Data Consolidada'!$K$7:$K$891,0)),MAX('Data Consolidada'!$E$7:$E$3000))))</f>
        <v/>
      </c>
      <c r="BI148" s="32" t="str">
        <f>+IF(BI$3="","",IF($AY148="","",IFERROR(INDEX('Data Consolidada'!$E$7:$E$891,MATCH(CONCATENATE(BI$3,"-",$CP148,"-",$AY148),'Data Consolidada'!$K$7:$K$891,0)),MAX('Data Consolidada'!$E$7:$E$3000))))</f>
        <v/>
      </c>
      <c r="BJ148" s="32" t="str">
        <f>+IF(BJ$3="","",IF($AY148="","",IFERROR(INDEX('Data Consolidada'!$E$7:$E$891,MATCH(CONCATENATE(BJ$3,"-",$CP148,"-",$AY148),'Data Consolidada'!$K$7:$K$891,0)),MAX('Data Consolidada'!$E$7:$E$3000))))</f>
        <v/>
      </c>
      <c r="BK148" s="32" t="str">
        <f>+IF(BK$3="","",IF($AY148="","",IFERROR(INDEX('Data Consolidada'!$E$7:$E$891,MATCH(CONCATENATE(BK$3,"-",$CP148,"-",$AY148),'Data Consolidada'!$K$7:$K$891,0)),MAX('Data Consolidada'!$E$7:$E$3000))))</f>
        <v/>
      </c>
      <c r="BL148" s="32" t="str">
        <f>+IF(BL$3="","",IF($AY148="","",IFERROR(INDEX('Data Consolidada'!$E$7:$E$891,MATCH(CONCATENATE(BL$3,"-",$CP148,"-",$AY148),'Data Consolidada'!$K$7:$K$891,0)),MAX('Data Consolidada'!$E$7:$E$3000))))</f>
        <v/>
      </c>
      <c r="BM148" s="32" t="str">
        <f>+IF(BM$3="","",IF($AY148="","",IFERROR(INDEX('Data Consolidada'!$E$7:$E$891,MATCH(CONCATENATE(BM$3,"-",$CP148,"-",$AY148),'Data Consolidada'!$K$7:$K$891,0)),MAX('Data Consolidada'!$E$7:$E$3000))))</f>
        <v/>
      </c>
      <c r="BN148" s="32" t="str">
        <f>+IF(BN$3="","",IF($AY148="","",IFERROR(INDEX('Data Consolidada'!$E$7:$E$891,MATCH(CONCATENATE(BN$3,"-",$CP148,"-",$AY148),'Data Consolidada'!$K$7:$K$891,0)),MAX('Data Consolidada'!$E$7:$E$3000))))</f>
        <v/>
      </c>
      <c r="BO148" s="32" t="str">
        <f>+IF(BO$3="","",IF($AY148="","",IFERROR(INDEX('Data Consolidada'!$E$7:$E$891,MATCH(CONCATENATE(BO$3,"-",$CP148,"-",$AY148),'Data Consolidada'!$K$7:$K$891,0)),MAX('Data Consolidada'!$E$7:$E$3000))))</f>
        <v/>
      </c>
      <c r="BP148" s="32" t="str">
        <f>+IF(BP$3="","",IF($AY148="","",IFERROR(INDEX('Data Consolidada'!$E$7:$E$891,MATCH(CONCATENATE(BP$3,"-",$CP148,"-",$AY148),'Data Consolidada'!$K$7:$K$891,0)),MAX('Data Consolidada'!$E$7:$E$3000))))</f>
        <v/>
      </c>
      <c r="BQ148" s="32" t="str">
        <f>+IF(BQ$3="","",IF($AY148="","",IFERROR(INDEX('Data Consolidada'!$E$7:$E$891,MATCH(CONCATENATE(BQ$3,"-",$CP148,"-",$AY148),'Data Consolidada'!$K$7:$K$891,0)),MAX('Data Consolidada'!$E$7:$E$3000))))</f>
        <v/>
      </c>
      <c r="BR148" s="32" t="str">
        <f>+IF(BR$3="","",IF($AY148="","",IFERROR(INDEX('Data Consolidada'!$E$7:$E$891,MATCH(CONCATENATE(BR$3,"-",$CP148,"-",$AY148),'Data Consolidada'!$K$7:$K$891,0)),MAX('Data Consolidada'!$E$7:$E$3000))))</f>
        <v/>
      </c>
      <c r="BS148" s="32" t="str">
        <f>+IF(BS$3="","",IF($AY148="","",IFERROR(INDEX('Data Consolidada'!$E$7:$E$891,MATCH(CONCATENATE(BS$3,"-",$CP148,"-",$AY148),'Data Consolidada'!$K$7:$K$891,0)),MAX('Data Consolidada'!$E$7:$E$3000))))</f>
        <v/>
      </c>
      <c r="BT148" s="32" t="str">
        <f>+IF(BT$3="","",IF($AY148="","",IFERROR(INDEX('Data Consolidada'!$E$7:$E$891,MATCH(CONCATENATE(BT$3,"-",$CP148,"-",$AY148),'Data Consolidada'!$K$7:$K$891,0)),MAX('Data Consolidada'!$E$7:$E$3000))))</f>
        <v/>
      </c>
      <c r="BU148" s="32" t="str">
        <f>+IF(BU$3="","",IF($AY148="","",IFERROR(INDEX('Data Consolidada'!$E$7:$E$891,MATCH(CONCATENATE(BU$3,"-",$CP148,"-",$AY148),'Data Consolidada'!$K$7:$K$891,0)),MAX('Data Consolidada'!$E$7:$E$3000))))</f>
        <v/>
      </c>
      <c r="BV148" s="32" t="str">
        <f>+IF(BV$3="","",IF($AY148="","",IFERROR(INDEX('Data Consolidada'!$E$7:$E$891,MATCH(CONCATENATE(BV$3,"-",$CP148,"-",$AY148),'Data Consolidada'!$K$7:$K$891,0)),MAX('Data Consolidada'!$E$7:$E$3000))))</f>
        <v/>
      </c>
      <c r="BW148" s="32" t="str">
        <f>+IF(BW$3="","",IF($AY148="","",IFERROR(INDEX('Data Consolidada'!$E$7:$E$891,MATCH(CONCATENATE(BW$3,"-",$CP148,"-",$AY148),'Data Consolidada'!$K$7:$K$891,0)),MAX('Data Consolidada'!$E$7:$E$3000))))</f>
        <v/>
      </c>
      <c r="BX148" s="32" t="str">
        <f>+IF(BX$3="","",IF($AY148="","",IFERROR(INDEX('Data Consolidada'!$E$7:$E$891,MATCH(CONCATENATE(BX$3,"-",$CP148,"-",$AY148),'Data Consolidada'!$K$7:$K$891,0)),MAX('Data Consolidada'!$E$7:$E$3000))))</f>
        <v/>
      </c>
      <c r="BY148" s="32" t="str">
        <f>+IF(BY$3="","",IF($AY148="","",IFERROR(INDEX('Data Consolidada'!$E$7:$E$891,MATCH(CONCATENATE(BY$3,"-",$CP148,"-",$AY148),'Data Consolidada'!$K$7:$K$891,0)),MAX('Data Consolidada'!$E$7:$E$3000))))</f>
        <v/>
      </c>
      <c r="BZ148" s="32" t="str">
        <f>+IF(BZ$3="","",IF($AY148="","",IFERROR(INDEX('Data Consolidada'!$E$7:$E$891,MATCH(CONCATENATE(BZ$3,"-",$CP148,"-",$AY148),'Data Consolidada'!$K$7:$K$891,0)),MAX('Data Consolidada'!$E$7:$E$3000))))</f>
        <v/>
      </c>
      <c r="CA148" s="32" t="str">
        <f>+IF(CA$3="","",IF($AY148="","",IFERROR(INDEX('Data Consolidada'!$E$7:$E$891,MATCH(CONCATENATE(CA$3,"-",$CP148,"-",$AY148),'Data Consolidada'!$K$7:$K$891,0)),MAX('Data Consolidada'!$E$7:$E$3000))))</f>
        <v/>
      </c>
      <c r="CB148" s="32" t="str">
        <f>+IF(CB$3="","",IF($AY148="","",IFERROR(INDEX('Data Consolidada'!$E$7:$E$891,MATCH(CONCATENATE(CB$3,"-",$CP148,"-",$AY148),'Data Consolidada'!$K$7:$K$891,0)),MAX('Data Consolidada'!$E$7:$E$3000))))</f>
        <v/>
      </c>
      <c r="CC148" s="32" t="str">
        <f>+IF(CC$3="","",IF($AY148="","",IFERROR(INDEX('Data Consolidada'!$E$7:$E$891,MATCH(CONCATENATE(CC$3,"-",$CP148,"-",$AY148),'Data Consolidada'!$K$7:$K$891,0)),MAX('Data Consolidada'!$E$7:$E$3000))))</f>
        <v/>
      </c>
      <c r="CD148" s="32" t="str">
        <f>+IF(CD$3="","",IF($AY148="","",IFERROR(INDEX('Data Consolidada'!$E$7:$E$891,MATCH(CONCATENATE(CD$3,"-",$CP148,"-",$AY148),'Data Consolidada'!$K$7:$K$891,0)),MAX('Data Consolidada'!$E$7:$E$3000))))</f>
        <v/>
      </c>
      <c r="CE148" s="32" t="str">
        <f>+IF(CE$3="","",IF($AY148="","",IFERROR(INDEX('Data Consolidada'!$E$7:$E$891,MATCH(CONCATENATE(CE$3,"-",$CP148,"-",$AY148),'Data Consolidada'!$K$7:$K$891,0)),MAX('Data Consolidada'!$E$7:$E$3000))))</f>
        <v/>
      </c>
      <c r="CF148" s="32" t="str">
        <f>+IF(CF$3="","",IF($AY148="","",IFERROR(INDEX('Data Consolidada'!$E$7:$E$891,MATCH(CONCATENATE(CF$3,"-",$CP148,"-",$AY148),'Data Consolidada'!$K$7:$K$891,0)),MAX('Data Consolidada'!$E$7:$E$3000))))</f>
        <v/>
      </c>
      <c r="CG148" s="32" t="str">
        <f>+IF(CG$3="","",IF($AY148="","",IFERROR(INDEX('Data Consolidada'!$E$7:$E$891,MATCH(CONCATENATE(CG$3,"-",$CP148,"-",$AY148),'Data Consolidada'!$K$7:$K$891,0)),MAX('Data Consolidada'!$E$7:$E$3000))))</f>
        <v/>
      </c>
      <c r="CH148" s="32" t="str">
        <f>+IF(CH$3="","",IF($AY148="","",IFERROR(INDEX('Data Consolidada'!$E$7:$E$891,MATCH(CONCATENATE(CH$3,"-",$CP148,"-",$AY148),'Data Consolidada'!$K$7:$K$891,0)),MAX('Data Consolidada'!$E$7:$E$3000))))</f>
        <v/>
      </c>
      <c r="CI148" s="32" t="str">
        <f>+IF(CI$3="","",IF($AY148="","",IFERROR(INDEX('Data Consolidada'!$E$7:$E$891,MATCH(CONCATENATE(CI$3,"-",$CP148,"-",$AY148),'Data Consolidada'!$K$7:$K$891,0)),MAX('Data Consolidada'!$E$7:$E$3000))))</f>
        <v/>
      </c>
      <c r="CJ148" s="32" t="str">
        <f>+IF(CJ$3="","",IF($AY148="","",IFERROR(INDEX('Data Consolidada'!$E$7:$E$891,MATCH(CONCATENATE(CJ$3,"-",$CP148,"-",$AY148),'Data Consolidada'!$K$7:$K$891,0)),MAX('Data Consolidada'!$E$7:$E$3000))))</f>
        <v/>
      </c>
      <c r="CK148" s="32" t="str">
        <f>+IF(CK$3="","",IF($AY148="","",IFERROR(INDEX('Data Consolidada'!$E$7:$E$891,MATCH(CONCATENATE(CK$3,"-",$CP148,"-",$AY148),'Data Consolidada'!$K$7:$K$891,0)),MAX('Data Consolidada'!$E$7:$E$3000))))</f>
        <v/>
      </c>
      <c r="CL148" s="32" t="str">
        <f>+IF(CL$3="","",IF($AY148="","",IFERROR(INDEX('Data Consolidada'!$E$7:$E$891,MATCH(CONCATENATE(CL$3,"-",$CP148,"-",$AY148),'Data Consolidada'!$K$7:$K$891,0)),MAX('Data Consolidada'!$E$7:$E$3000))))</f>
        <v/>
      </c>
      <c r="CM148" s="32" t="str">
        <f>+IF(CM$3="","",IF($AY148="","",IFERROR(INDEX('Data Consolidada'!$E$7:$E$891,MATCH(CONCATENATE(CM$3,"-",$CP148,"-",$AY148),'Data Consolidada'!$K$7:$K$891,0)),MAX('Data Consolidada'!$E$7:$E$3000))))</f>
        <v/>
      </c>
      <c r="CN148" s="32" t="str">
        <f>+IF(CN$3="","",IF($AY148="","",IFERROR(INDEX('Data Consolidada'!$E$7:$E$891,MATCH(CONCATENATE(CN$3,"-",$CP148,"-",$AY148),'Data Consolidada'!$K$7:$K$891,0)),MAX('Data Consolidada'!$E$7:$E$3000))))</f>
        <v/>
      </c>
      <c r="CO148" s="37" t="str">
        <f>+IF(CO$3="","",IF($AY148="","",IFERROR(INDEX('Data Consolidada'!$E$7:$E$891,MATCH(CONCATENATE(CO$3,"-",$CP148,"-",$AY148),'Data Consolidada'!$K$7:$K$891,0)),MAX('Data Consolidada'!$E$7:$E$3000))))</f>
        <v/>
      </c>
      <c r="CP148" s="224">
        <f t="shared" ca="1" si="51"/>
        <v>0</v>
      </c>
      <c r="CQ148" s="84" t="str">
        <f t="shared" ca="1" si="46"/>
        <v>CRISTIAN LÓPEZ 0</v>
      </c>
    </row>
    <row r="149" spans="2:95" ht="15" customHeight="1" thickBot="1" x14ac:dyDescent="0.4">
      <c r="B149" s="218" t="str">
        <f t="shared" ca="1" si="47"/>
        <v>TRANS. MITRE SPA.</v>
      </c>
      <c r="C149" s="238"/>
      <c r="D149" s="239"/>
      <c r="E149" s="239"/>
      <c r="F149" s="239"/>
      <c r="G149" s="239"/>
      <c r="H149" s="239"/>
      <c r="I149" s="239"/>
      <c r="J149" s="239"/>
      <c r="K149" s="239"/>
      <c r="L149" s="239"/>
      <c r="M149" s="239"/>
      <c r="N149" s="240"/>
      <c r="O149" s="239"/>
      <c r="P149" s="239"/>
      <c r="Q149" s="239"/>
      <c r="R149" s="239"/>
      <c r="S149" s="239"/>
      <c r="T149" s="239"/>
      <c r="U149" s="239"/>
      <c r="V149" s="239"/>
      <c r="W149" s="239"/>
      <c r="X149" s="239"/>
      <c r="Y149" s="239"/>
      <c r="Z149" s="239"/>
      <c r="AA149" s="239"/>
      <c r="AB149" s="239"/>
      <c r="AC149" s="239"/>
      <c r="AD149" s="239"/>
      <c r="AE149" s="239"/>
      <c r="AF149" s="239"/>
      <c r="AG149" s="239"/>
      <c r="AH149" s="239"/>
      <c r="AI149" s="239"/>
      <c r="AJ149" s="239"/>
      <c r="AK149" s="239"/>
      <c r="AL149" s="239"/>
      <c r="AM149" s="239"/>
      <c r="AN149" s="239"/>
      <c r="AO149" s="239"/>
      <c r="AP149" s="239"/>
      <c r="AQ149" s="239"/>
      <c r="AR149" s="252"/>
      <c r="AS149" s="77">
        <f t="shared" ca="1" si="48"/>
        <v>0</v>
      </c>
      <c r="AT149" s="255">
        <f t="shared" si="49"/>
        <v>0</v>
      </c>
      <c r="AU149" s="51"/>
      <c r="AV149" s="51"/>
      <c r="AW149" s="13">
        <f>+IF(AX149="","",IF(AX149&gt;AX148,AW148,IF(AW148&lt;$D$69,AW148+1,IF(COUNT(AW$4:AW148)&lt;$B$69*$E$54,1,""))))</f>
        <v>12</v>
      </c>
      <c r="AX149" s="13">
        <f>+IF(AX148&lt;$B$69,AX148+1,IF(COUNT(AX$4:AX148)&lt;$B$69*$D$69,1,""))</f>
        <v>3</v>
      </c>
      <c r="AY149" s="222" t="str">
        <f t="shared" ca="1" si="50"/>
        <v xml:space="preserve">GUSTAVO ZÚÑIGA </v>
      </c>
      <c r="AZ149" s="38">
        <f ca="1">+IF(AZ$3="","",IF($AY149="","",IFERROR(INDEX('Data Consolidada'!$E$7:$E$891,MATCH(CONCATENATE(AZ$3,"-",$CP149,"-",$AY149),'Data Consolidada'!$K$7:$K$891,0)),MAX('Data Consolidada'!$E$7:$E$3000))))</f>
        <v>11000000</v>
      </c>
      <c r="BA149" s="39">
        <f ca="1">+IF(BA$3="","",IF($AY149="","",IFERROR(INDEX('Data Consolidada'!$E$7:$E$891,MATCH(CONCATENATE(BA$3,"-",$CP149,"-",$AY149),'Data Consolidada'!$K$7:$K$891,0)),MAX('Data Consolidada'!$E$7:$E$3000))))</f>
        <v>11000000</v>
      </c>
      <c r="BB149" s="39" t="str">
        <f>+IF(BB$3="","",IF($AY149="","",IFERROR(INDEX('Data Consolidada'!$E$7:$E$891,MATCH(CONCATENATE(BB$3,"-",$CP149,"-",$AY149),'Data Consolidada'!$K$7:$K$891,0)),MAX('Data Consolidada'!$E$7:$E$3000))))</f>
        <v/>
      </c>
      <c r="BC149" s="39" t="str">
        <f>+IF(BC$3="","",IF($AY149="","",IFERROR(INDEX('Data Consolidada'!$E$7:$E$891,MATCH(CONCATENATE(BC$3,"-",$CP149,"-",$AY149),'Data Consolidada'!$K$7:$K$891,0)),MAX('Data Consolidada'!$E$7:$E$3000))))</f>
        <v/>
      </c>
      <c r="BD149" s="39" t="str">
        <f>+IF(BD$3="","",IF($AY149="","",IFERROR(INDEX('Data Consolidada'!$E$7:$E$891,MATCH(CONCATENATE(BD$3,"-",$CP149,"-",$AY149),'Data Consolidada'!$K$7:$K$891,0)),MAX('Data Consolidada'!$E$7:$E$3000))))</f>
        <v/>
      </c>
      <c r="BE149" s="39" t="str">
        <f>+IF(BE$3="","",IF($AY149="","",IFERROR(INDEX('Data Consolidada'!$E$7:$E$891,MATCH(CONCATENATE(BE$3,"-",$CP149,"-",$AY149),'Data Consolidada'!$K$7:$K$891,0)),MAX('Data Consolidada'!$E$7:$E$3000))))</f>
        <v/>
      </c>
      <c r="BF149" s="39" t="str">
        <f>+IF(BF$3="","",IF($AY149="","",IFERROR(INDEX('Data Consolidada'!$E$7:$E$891,MATCH(CONCATENATE(BF$3,"-",$CP149,"-",$AY149),'Data Consolidada'!$K$7:$K$891,0)),MAX('Data Consolidada'!$E$7:$E$3000))))</f>
        <v/>
      </c>
      <c r="BG149" s="39" t="str">
        <f>+IF(BG$3="","",IF($AY149="","",IFERROR(INDEX('Data Consolidada'!$E$7:$E$891,MATCH(CONCATENATE(BG$3,"-",$CP149,"-",$AY149),'Data Consolidada'!$K$7:$K$891,0)),MAX('Data Consolidada'!$E$7:$E$3000))))</f>
        <v/>
      </c>
      <c r="BH149" s="39" t="str">
        <f>+IF(BH$3="","",IF($AY149="","",IFERROR(INDEX('Data Consolidada'!$E$7:$E$891,MATCH(CONCATENATE(BH$3,"-",$CP149,"-",$AY149),'Data Consolidada'!$K$7:$K$891,0)),MAX('Data Consolidada'!$E$7:$E$3000))))</f>
        <v/>
      </c>
      <c r="BI149" s="39" t="str">
        <f>+IF(BI$3="","",IF($AY149="","",IFERROR(INDEX('Data Consolidada'!$E$7:$E$891,MATCH(CONCATENATE(BI$3,"-",$CP149,"-",$AY149),'Data Consolidada'!$K$7:$K$891,0)),MAX('Data Consolidada'!$E$7:$E$3000))))</f>
        <v/>
      </c>
      <c r="BJ149" s="39" t="str">
        <f>+IF(BJ$3="","",IF($AY149="","",IFERROR(INDEX('Data Consolidada'!$E$7:$E$891,MATCH(CONCATENATE(BJ$3,"-",$CP149,"-",$AY149),'Data Consolidada'!$K$7:$K$891,0)),MAX('Data Consolidada'!$E$7:$E$3000))))</f>
        <v/>
      </c>
      <c r="BK149" s="39" t="str">
        <f>+IF(BK$3="","",IF($AY149="","",IFERROR(INDEX('Data Consolidada'!$E$7:$E$891,MATCH(CONCATENATE(BK$3,"-",$CP149,"-",$AY149),'Data Consolidada'!$K$7:$K$891,0)),MAX('Data Consolidada'!$E$7:$E$3000))))</f>
        <v/>
      </c>
      <c r="BL149" s="39" t="str">
        <f>+IF(BL$3="","",IF($AY149="","",IFERROR(INDEX('Data Consolidada'!$E$7:$E$891,MATCH(CONCATENATE(BL$3,"-",$CP149,"-",$AY149),'Data Consolidada'!$K$7:$K$891,0)),MAX('Data Consolidada'!$E$7:$E$3000))))</f>
        <v/>
      </c>
      <c r="BM149" s="39" t="str">
        <f>+IF(BM$3="","",IF($AY149="","",IFERROR(INDEX('Data Consolidada'!$E$7:$E$891,MATCH(CONCATENATE(BM$3,"-",$CP149,"-",$AY149),'Data Consolidada'!$K$7:$K$891,0)),MAX('Data Consolidada'!$E$7:$E$3000))))</f>
        <v/>
      </c>
      <c r="BN149" s="39" t="str">
        <f>+IF(BN$3="","",IF($AY149="","",IFERROR(INDEX('Data Consolidada'!$E$7:$E$891,MATCH(CONCATENATE(BN$3,"-",$CP149,"-",$AY149),'Data Consolidada'!$K$7:$K$891,0)),MAX('Data Consolidada'!$E$7:$E$3000))))</f>
        <v/>
      </c>
      <c r="BO149" s="39" t="str">
        <f>+IF(BO$3="","",IF($AY149="","",IFERROR(INDEX('Data Consolidada'!$E$7:$E$891,MATCH(CONCATENATE(BO$3,"-",$CP149,"-",$AY149),'Data Consolidada'!$K$7:$K$891,0)),MAX('Data Consolidada'!$E$7:$E$3000))))</f>
        <v/>
      </c>
      <c r="BP149" s="39" t="str">
        <f>+IF(BP$3="","",IF($AY149="","",IFERROR(INDEX('Data Consolidada'!$E$7:$E$891,MATCH(CONCATENATE(BP$3,"-",$CP149,"-",$AY149),'Data Consolidada'!$K$7:$K$891,0)),MAX('Data Consolidada'!$E$7:$E$3000))))</f>
        <v/>
      </c>
      <c r="BQ149" s="39" t="str">
        <f>+IF(BQ$3="","",IF($AY149="","",IFERROR(INDEX('Data Consolidada'!$E$7:$E$891,MATCH(CONCATENATE(BQ$3,"-",$CP149,"-",$AY149),'Data Consolidada'!$K$7:$K$891,0)),MAX('Data Consolidada'!$E$7:$E$3000))))</f>
        <v/>
      </c>
      <c r="BR149" s="39" t="str">
        <f>+IF(BR$3="","",IF($AY149="","",IFERROR(INDEX('Data Consolidada'!$E$7:$E$891,MATCH(CONCATENATE(BR$3,"-",$CP149,"-",$AY149),'Data Consolidada'!$K$7:$K$891,0)),MAX('Data Consolidada'!$E$7:$E$3000))))</f>
        <v/>
      </c>
      <c r="BS149" s="39" t="str">
        <f>+IF(BS$3="","",IF($AY149="","",IFERROR(INDEX('Data Consolidada'!$E$7:$E$891,MATCH(CONCATENATE(BS$3,"-",$CP149,"-",$AY149),'Data Consolidada'!$K$7:$K$891,0)),MAX('Data Consolidada'!$E$7:$E$3000))))</f>
        <v/>
      </c>
      <c r="BT149" s="39" t="str">
        <f>+IF(BT$3="","",IF($AY149="","",IFERROR(INDEX('Data Consolidada'!$E$7:$E$891,MATCH(CONCATENATE(BT$3,"-",$CP149,"-",$AY149),'Data Consolidada'!$K$7:$K$891,0)),MAX('Data Consolidada'!$E$7:$E$3000))))</f>
        <v/>
      </c>
      <c r="BU149" s="39" t="str">
        <f>+IF(BU$3="","",IF($AY149="","",IFERROR(INDEX('Data Consolidada'!$E$7:$E$891,MATCH(CONCATENATE(BU$3,"-",$CP149,"-",$AY149),'Data Consolidada'!$K$7:$K$891,0)),MAX('Data Consolidada'!$E$7:$E$3000))))</f>
        <v/>
      </c>
      <c r="BV149" s="39" t="str">
        <f>+IF(BV$3="","",IF($AY149="","",IFERROR(INDEX('Data Consolidada'!$E$7:$E$891,MATCH(CONCATENATE(BV$3,"-",$CP149,"-",$AY149),'Data Consolidada'!$K$7:$K$891,0)),MAX('Data Consolidada'!$E$7:$E$3000))))</f>
        <v/>
      </c>
      <c r="BW149" s="39" t="str">
        <f>+IF(BW$3="","",IF($AY149="","",IFERROR(INDEX('Data Consolidada'!$E$7:$E$891,MATCH(CONCATENATE(BW$3,"-",$CP149,"-",$AY149),'Data Consolidada'!$K$7:$K$891,0)),MAX('Data Consolidada'!$E$7:$E$3000))))</f>
        <v/>
      </c>
      <c r="BX149" s="39" t="str">
        <f>+IF(BX$3="","",IF($AY149="","",IFERROR(INDEX('Data Consolidada'!$E$7:$E$891,MATCH(CONCATENATE(BX$3,"-",$CP149,"-",$AY149),'Data Consolidada'!$K$7:$K$891,0)),MAX('Data Consolidada'!$E$7:$E$3000))))</f>
        <v/>
      </c>
      <c r="BY149" s="39" t="str">
        <f>+IF(BY$3="","",IF($AY149="","",IFERROR(INDEX('Data Consolidada'!$E$7:$E$891,MATCH(CONCATENATE(BY$3,"-",$CP149,"-",$AY149),'Data Consolidada'!$K$7:$K$891,0)),MAX('Data Consolidada'!$E$7:$E$3000))))</f>
        <v/>
      </c>
      <c r="BZ149" s="39" t="str">
        <f>+IF(BZ$3="","",IF($AY149="","",IFERROR(INDEX('Data Consolidada'!$E$7:$E$891,MATCH(CONCATENATE(BZ$3,"-",$CP149,"-",$AY149),'Data Consolidada'!$K$7:$K$891,0)),MAX('Data Consolidada'!$E$7:$E$3000))))</f>
        <v/>
      </c>
      <c r="CA149" s="39" t="str">
        <f>+IF(CA$3="","",IF($AY149="","",IFERROR(INDEX('Data Consolidada'!$E$7:$E$891,MATCH(CONCATENATE(CA$3,"-",$CP149,"-",$AY149),'Data Consolidada'!$K$7:$K$891,0)),MAX('Data Consolidada'!$E$7:$E$3000))))</f>
        <v/>
      </c>
      <c r="CB149" s="39" t="str">
        <f>+IF(CB$3="","",IF($AY149="","",IFERROR(INDEX('Data Consolidada'!$E$7:$E$891,MATCH(CONCATENATE(CB$3,"-",$CP149,"-",$AY149),'Data Consolidada'!$K$7:$K$891,0)),MAX('Data Consolidada'!$E$7:$E$3000))))</f>
        <v/>
      </c>
      <c r="CC149" s="39" t="str">
        <f>+IF(CC$3="","",IF($AY149="","",IFERROR(INDEX('Data Consolidada'!$E$7:$E$891,MATCH(CONCATENATE(CC$3,"-",$CP149,"-",$AY149),'Data Consolidada'!$K$7:$K$891,0)),MAX('Data Consolidada'!$E$7:$E$3000))))</f>
        <v/>
      </c>
      <c r="CD149" s="39" t="str">
        <f>+IF(CD$3="","",IF($AY149="","",IFERROR(INDEX('Data Consolidada'!$E$7:$E$891,MATCH(CONCATENATE(CD$3,"-",$CP149,"-",$AY149),'Data Consolidada'!$K$7:$K$891,0)),MAX('Data Consolidada'!$E$7:$E$3000))))</f>
        <v/>
      </c>
      <c r="CE149" s="39" t="str">
        <f>+IF(CE$3="","",IF($AY149="","",IFERROR(INDEX('Data Consolidada'!$E$7:$E$891,MATCH(CONCATENATE(CE$3,"-",$CP149,"-",$AY149),'Data Consolidada'!$K$7:$K$891,0)),MAX('Data Consolidada'!$E$7:$E$3000))))</f>
        <v/>
      </c>
      <c r="CF149" s="39" t="str">
        <f>+IF(CF$3="","",IF($AY149="","",IFERROR(INDEX('Data Consolidada'!$E$7:$E$891,MATCH(CONCATENATE(CF$3,"-",$CP149,"-",$AY149),'Data Consolidada'!$K$7:$K$891,0)),MAX('Data Consolidada'!$E$7:$E$3000))))</f>
        <v/>
      </c>
      <c r="CG149" s="39" t="str">
        <f>+IF(CG$3="","",IF($AY149="","",IFERROR(INDEX('Data Consolidada'!$E$7:$E$891,MATCH(CONCATENATE(CG$3,"-",$CP149,"-",$AY149),'Data Consolidada'!$K$7:$K$891,0)),MAX('Data Consolidada'!$E$7:$E$3000))))</f>
        <v/>
      </c>
      <c r="CH149" s="39" t="str">
        <f>+IF(CH$3="","",IF($AY149="","",IFERROR(INDEX('Data Consolidada'!$E$7:$E$891,MATCH(CONCATENATE(CH$3,"-",$CP149,"-",$AY149),'Data Consolidada'!$K$7:$K$891,0)),MAX('Data Consolidada'!$E$7:$E$3000))))</f>
        <v/>
      </c>
      <c r="CI149" s="39" t="str">
        <f>+IF(CI$3="","",IF($AY149="","",IFERROR(INDEX('Data Consolidada'!$E$7:$E$891,MATCH(CONCATENATE(CI$3,"-",$CP149,"-",$AY149),'Data Consolidada'!$K$7:$K$891,0)),MAX('Data Consolidada'!$E$7:$E$3000))))</f>
        <v/>
      </c>
      <c r="CJ149" s="39" t="str">
        <f>+IF(CJ$3="","",IF($AY149="","",IFERROR(INDEX('Data Consolidada'!$E$7:$E$891,MATCH(CONCATENATE(CJ$3,"-",$CP149,"-",$AY149),'Data Consolidada'!$K$7:$K$891,0)),MAX('Data Consolidada'!$E$7:$E$3000))))</f>
        <v/>
      </c>
      <c r="CK149" s="39" t="str">
        <f>+IF(CK$3="","",IF($AY149="","",IFERROR(INDEX('Data Consolidada'!$E$7:$E$891,MATCH(CONCATENATE(CK$3,"-",$CP149,"-",$AY149),'Data Consolidada'!$K$7:$K$891,0)),MAX('Data Consolidada'!$E$7:$E$3000))))</f>
        <v/>
      </c>
      <c r="CL149" s="39" t="str">
        <f>+IF(CL$3="","",IF($AY149="","",IFERROR(INDEX('Data Consolidada'!$E$7:$E$891,MATCH(CONCATENATE(CL$3,"-",$CP149,"-",$AY149),'Data Consolidada'!$K$7:$K$891,0)),MAX('Data Consolidada'!$E$7:$E$3000))))</f>
        <v/>
      </c>
      <c r="CM149" s="39" t="str">
        <f>+IF(CM$3="","",IF($AY149="","",IFERROR(INDEX('Data Consolidada'!$E$7:$E$891,MATCH(CONCATENATE(CM$3,"-",$CP149,"-",$AY149),'Data Consolidada'!$K$7:$K$891,0)),MAX('Data Consolidada'!$E$7:$E$3000))))</f>
        <v/>
      </c>
      <c r="CN149" s="39" t="str">
        <f>+IF(CN$3="","",IF($AY149="","",IFERROR(INDEX('Data Consolidada'!$E$7:$E$891,MATCH(CONCATENATE(CN$3,"-",$CP149,"-",$AY149),'Data Consolidada'!$K$7:$K$891,0)),MAX('Data Consolidada'!$E$7:$E$3000))))</f>
        <v/>
      </c>
      <c r="CO149" s="40" t="str">
        <f>+IF(CO$3="","",IF($AY149="","",IFERROR(INDEX('Data Consolidada'!$E$7:$E$891,MATCH(CONCATENATE(CO$3,"-",$CP149,"-",$AY149),'Data Consolidada'!$K$7:$K$891,0)),MAX('Data Consolidada'!$E$7:$E$3000))))</f>
        <v/>
      </c>
      <c r="CP149" s="225">
        <f t="shared" ca="1" si="51"/>
        <v>0</v>
      </c>
      <c r="CQ149" s="84" t="str">
        <f t="shared" ca="1" si="46"/>
        <v>GUSTAVO ZÚÑIGA 0</v>
      </c>
    </row>
    <row r="150" spans="2:95" x14ac:dyDescent="0.35">
      <c r="B150" s="218" t="str">
        <f t="shared" ca="1" si="47"/>
        <v xml:space="preserve">  TRANS. MORROS LTDA.</v>
      </c>
      <c r="C150" s="238"/>
      <c r="D150" s="239"/>
      <c r="E150" s="239"/>
      <c r="F150" s="239"/>
      <c r="G150" s="239"/>
      <c r="H150" s="239"/>
      <c r="I150" s="239"/>
      <c r="J150" s="239"/>
      <c r="K150" s="239"/>
      <c r="L150" s="239"/>
      <c r="M150" s="239"/>
      <c r="N150" s="240"/>
      <c r="O150" s="239"/>
      <c r="P150" s="239"/>
      <c r="Q150" s="239"/>
      <c r="R150" s="239"/>
      <c r="S150" s="239"/>
      <c r="T150" s="239"/>
      <c r="U150" s="239"/>
      <c r="V150" s="239"/>
      <c r="W150" s="239"/>
      <c r="X150" s="239"/>
      <c r="Y150" s="239"/>
      <c r="Z150" s="239"/>
      <c r="AA150" s="239"/>
      <c r="AB150" s="239"/>
      <c r="AC150" s="239"/>
      <c r="AD150" s="239"/>
      <c r="AE150" s="239"/>
      <c r="AF150" s="239"/>
      <c r="AG150" s="239"/>
      <c r="AH150" s="239"/>
      <c r="AI150" s="239"/>
      <c r="AJ150" s="239"/>
      <c r="AK150" s="239"/>
      <c r="AL150" s="239"/>
      <c r="AM150" s="239"/>
      <c r="AN150" s="239"/>
      <c r="AO150" s="239"/>
      <c r="AP150" s="239"/>
      <c r="AQ150" s="239"/>
      <c r="AR150" s="252"/>
      <c r="AS150" s="77">
        <f t="shared" ca="1" si="48"/>
        <v>0</v>
      </c>
      <c r="AT150" s="255">
        <f t="shared" si="49"/>
        <v>0</v>
      </c>
      <c r="AU150" s="51"/>
      <c r="AV150" s="51"/>
      <c r="AW150" s="13"/>
      <c r="AX150" s="13"/>
    </row>
    <row r="151" spans="2:95" x14ac:dyDescent="0.35">
      <c r="B151" s="218" t="str">
        <f t="shared" ca="1" si="47"/>
        <v xml:space="preserve">CRISTIAN LÓPEZ </v>
      </c>
      <c r="C151" s="238"/>
      <c r="D151" s="239"/>
      <c r="E151" s="239"/>
      <c r="F151" s="239"/>
      <c r="G151" s="239"/>
      <c r="H151" s="239"/>
      <c r="I151" s="239"/>
      <c r="J151" s="239"/>
      <c r="K151" s="239"/>
      <c r="L151" s="239"/>
      <c r="M151" s="239"/>
      <c r="N151" s="240"/>
      <c r="O151" s="239"/>
      <c r="P151" s="239"/>
      <c r="Q151" s="239"/>
      <c r="R151" s="239"/>
      <c r="S151" s="239"/>
      <c r="T151" s="239"/>
      <c r="U151" s="239"/>
      <c r="V151" s="239"/>
      <c r="W151" s="239"/>
      <c r="X151" s="239"/>
      <c r="Y151" s="239"/>
      <c r="Z151" s="239"/>
      <c r="AA151" s="239"/>
      <c r="AB151" s="239"/>
      <c r="AC151" s="239"/>
      <c r="AD151" s="239"/>
      <c r="AE151" s="239"/>
      <c r="AF151" s="239"/>
      <c r="AG151" s="239"/>
      <c r="AH151" s="239"/>
      <c r="AI151" s="239"/>
      <c r="AJ151" s="239"/>
      <c r="AK151" s="239"/>
      <c r="AL151" s="239"/>
      <c r="AM151" s="239"/>
      <c r="AN151" s="239"/>
      <c r="AO151" s="239"/>
      <c r="AP151" s="239"/>
      <c r="AQ151" s="239"/>
      <c r="AR151" s="252"/>
      <c r="AS151" s="77">
        <f t="shared" ca="1" si="48"/>
        <v>0</v>
      </c>
      <c r="AT151" s="255">
        <f t="shared" si="49"/>
        <v>0</v>
      </c>
      <c r="AU151" s="51"/>
      <c r="AV151" s="51"/>
    </row>
    <row r="152" spans="2:95" x14ac:dyDescent="0.35">
      <c r="B152" s="218" t="str">
        <f t="shared" ca="1" si="47"/>
        <v xml:space="preserve">GUSTAVO ZÚÑIGA </v>
      </c>
      <c r="C152" s="238"/>
      <c r="D152" s="239"/>
      <c r="E152" s="239"/>
      <c r="F152" s="239"/>
      <c r="G152" s="239"/>
      <c r="H152" s="239"/>
      <c r="I152" s="239"/>
      <c r="J152" s="239"/>
      <c r="K152" s="239"/>
      <c r="L152" s="239"/>
      <c r="M152" s="239"/>
      <c r="N152" s="240"/>
      <c r="O152" s="239"/>
      <c r="P152" s="239"/>
      <c r="Q152" s="239"/>
      <c r="R152" s="239"/>
      <c r="S152" s="239"/>
      <c r="T152" s="239"/>
      <c r="U152" s="239"/>
      <c r="V152" s="239"/>
      <c r="W152" s="239"/>
      <c r="X152" s="239"/>
      <c r="Y152" s="239"/>
      <c r="Z152" s="239"/>
      <c r="AA152" s="239"/>
      <c r="AB152" s="239"/>
      <c r="AC152" s="239"/>
      <c r="AD152" s="239"/>
      <c r="AE152" s="239"/>
      <c r="AF152" s="239"/>
      <c r="AG152" s="239"/>
      <c r="AH152" s="239"/>
      <c r="AI152" s="239"/>
      <c r="AJ152" s="239"/>
      <c r="AK152" s="239"/>
      <c r="AL152" s="239"/>
      <c r="AM152" s="239"/>
      <c r="AN152" s="239"/>
      <c r="AO152" s="239"/>
      <c r="AP152" s="239"/>
      <c r="AQ152" s="239"/>
      <c r="AR152" s="252"/>
      <c r="AS152" s="77">
        <f t="shared" ca="1" si="48"/>
        <v>0</v>
      </c>
      <c r="AT152" s="255">
        <f t="shared" si="49"/>
        <v>0</v>
      </c>
      <c r="AU152" s="51"/>
      <c r="AV152" s="51"/>
    </row>
    <row r="153" spans="2:95" x14ac:dyDescent="0.35">
      <c r="B153" s="218" t="str">
        <f t="shared" ca="1" si="47"/>
        <v>LAVALLE</v>
      </c>
      <c r="C153" s="238"/>
      <c r="D153" s="239"/>
      <c r="E153" s="239"/>
      <c r="F153" s="239"/>
      <c r="G153" s="239"/>
      <c r="H153" s="239"/>
      <c r="I153" s="239"/>
      <c r="J153" s="239"/>
      <c r="K153" s="239"/>
      <c r="L153" s="239"/>
      <c r="M153" s="239"/>
      <c r="N153" s="240"/>
      <c r="O153" s="239"/>
      <c r="P153" s="239"/>
      <c r="Q153" s="239"/>
      <c r="R153" s="239"/>
      <c r="S153" s="239"/>
      <c r="T153" s="239"/>
      <c r="U153" s="239"/>
      <c r="V153" s="239"/>
      <c r="W153" s="239"/>
      <c r="X153" s="239"/>
      <c r="Y153" s="239"/>
      <c r="Z153" s="239"/>
      <c r="AA153" s="239"/>
      <c r="AB153" s="239"/>
      <c r="AC153" s="239"/>
      <c r="AD153" s="239"/>
      <c r="AE153" s="239"/>
      <c r="AF153" s="239"/>
      <c r="AG153" s="239"/>
      <c r="AH153" s="239"/>
      <c r="AI153" s="239"/>
      <c r="AJ153" s="239"/>
      <c r="AK153" s="239"/>
      <c r="AL153" s="239"/>
      <c r="AM153" s="239"/>
      <c r="AN153" s="239"/>
      <c r="AO153" s="239"/>
      <c r="AP153" s="239"/>
      <c r="AQ153" s="239"/>
      <c r="AR153" s="252"/>
      <c r="AS153" s="77">
        <f t="shared" ca="1" si="48"/>
        <v>0</v>
      </c>
      <c r="AT153" s="255">
        <f t="shared" si="49"/>
        <v>0</v>
      </c>
      <c r="AU153" s="51"/>
      <c r="AV153" s="51"/>
    </row>
    <row r="154" spans="2:95" x14ac:dyDescent="0.35">
      <c r="B154" s="218" t="str">
        <f t="shared" ca="1" si="47"/>
        <v>MACEBE</v>
      </c>
      <c r="C154" s="238"/>
      <c r="D154" s="239"/>
      <c r="E154" s="239"/>
      <c r="F154" s="239"/>
      <c r="G154" s="239"/>
      <c r="H154" s="239"/>
      <c r="I154" s="239"/>
      <c r="J154" s="239"/>
      <c r="K154" s="239"/>
      <c r="L154" s="239"/>
      <c r="M154" s="239"/>
      <c r="N154" s="240"/>
      <c r="O154" s="239"/>
      <c r="P154" s="239"/>
      <c r="Q154" s="239"/>
      <c r="R154" s="239"/>
      <c r="S154" s="239"/>
      <c r="T154" s="239"/>
      <c r="U154" s="239"/>
      <c r="V154" s="239"/>
      <c r="W154" s="239"/>
      <c r="X154" s="239"/>
      <c r="Y154" s="239"/>
      <c r="Z154" s="239"/>
      <c r="AA154" s="239"/>
      <c r="AB154" s="239"/>
      <c r="AC154" s="239"/>
      <c r="AD154" s="239"/>
      <c r="AE154" s="239"/>
      <c r="AF154" s="239"/>
      <c r="AG154" s="239"/>
      <c r="AH154" s="239"/>
      <c r="AI154" s="239"/>
      <c r="AJ154" s="239"/>
      <c r="AK154" s="239"/>
      <c r="AL154" s="239"/>
      <c r="AM154" s="239"/>
      <c r="AN154" s="239"/>
      <c r="AO154" s="239"/>
      <c r="AP154" s="239"/>
      <c r="AQ154" s="239"/>
      <c r="AR154" s="252"/>
      <c r="AS154" s="77">
        <f t="shared" ca="1" si="48"/>
        <v>0</v>
      </c>
      <c r="AT154" s="255">
        <f t="shared" si="49"/>
        <v>0</v>
      </c>
      <c r="AU154" s="51"/>
      <c r="AV154" s="51"/>
    </row>
    <row r="155" spans="2:95" x14ac:dyDescent="0.35">
      <c r="B155" s="218" t="str">
        <f t="shared" ca="1" si="47"/>
        <v xml:space="preserve">Manuel Sepúlveda </v>
      </c>
      <c r="C155" s="238"/>
      <c r="D155" s="239"/>
      <c r="E155" s="239"/>
      <c r="F155" s="239"/>
      <c r="G155" s="239"/>
      <c r="H155" s="239"/>
      <c r="I155" s="239"/>
      <c r="J155" s="239"/>
      <c r="K155" s="239"/>
      <c r="L155" s="239"/>
      <c r="M155" s="239"/>
      <c r="N155" s="240"/>
      <c r="O155" s="239"/>
      <c r="P155" s="239"/>
      <c r="Q155" s="239"/>
      <c r="R155" s="239"/>
      <c r="S155" s="239"/>
      <c r="T155" s="239"/>
      <c r="U155" s="239"/>
      <c r="V155" s="239"/>
      <c r="W155" s="239"/>
      <c r="X155" s="239"/>
      <c r="Y155" s="239"/>
      <c r="Z155" s="239"/>
      <c r="AA155" s="239"/>
      <c r="AB155" s="239"/>
      <c r="AC155" s="239"/>
      <c r="AD155" s="239"/>
      <c r="AE155" s="239"/>
      <c r="AF155" s="239"/>
      <c r="AG155" s="239"/>
      <c r="AH155" s="239"/>
      <c r="AI155" s="239"/>
      <c r="AJ155" s="239"/>
      <c r="AK155" s="239"/>
      <c r="AL155" s="239"/>
      <c r="AM155" s="239"/>
      <c r="AN155" s="239"/>
      <c r="AO155" s="239"/>
      <c r="AP155" s="239"/>
      <c r="AQ155" s="239"/>
      <c r="AR155" s="252"/>
      <c r="AS155" s="77">
        <f t="shared" ca="1" si="48"/>
        <v>0</v>
      </c>
      <c r="AT155" s="255">
        <f t="shared" si="49"/>
        <v>0</v>
      </c>
      <c r="AU155" s="51"/>
      <c r="AV155" s="51"/>
    </row>
    <row r="156" spans="2:95" x14ac:dyDescent="0.35">
      <c r="B156" s="218" t="str">
        <f t="shared" ca="1" si="47"/>
        <v>PARRAO</v>
      </c>
      <c r="C156" s="238"/>
      <c r="D156" s="239"/>
      <c r="E156" s="239"/>
      <c r="F156" s="239"/>
      <c r="G156" s="239"/>
      <c r="H156" s="239"/>
      <c r="I156" s="239"/>
      <c r="J156" s="239"/>
      <c r="K156" s="239"/>
      <c r="L156" s="239"/>
      <c r="M156" s="239"/>
      <c r="N156" s="240"/>
      <c r="O156" s="239"/>
      <c r="P156" s="239"/>
      <c r="Q156" s="239"/>
      <c r="R156" s="239"/>
      <c r="S156" s="239"/>
      <c r="T156" s="239"/>
      <c r="U156" s="239"/>
      <c r="V156" s="239"/>
      <c r="W156" s="239"/>
      <c r="X156" s="239"/>
      <c r="Y156" s="239"/>
      <c r="Z156" s="239"/>
      <c r="AA156" s="239"/>
      <c r="AB156" s="239"/>
      <c r="AC156" s="239"/>
      <c r="AD156" s="239"/>
      <c r="AE156" s="239"/>
      <c r="AF156" s="239"/>
      <c r="AG156" s="239"/>
      <c r="AH156" s="239"/>
      <c r="AI156" s="239"/>
      <c r="AJ156" s="239"/>
      <c r="AK156" s="239"/>
      <c r="AL156" s="239"/>
      <c r="AM156" s="239"/>
      <c r="AN156" s="239"/>
      <c r="AO156" s="239"/>
      <c r="AP156" s="239"/>
      <c r="AQ156" s="239"/>
      <c r="AR156" s="252"/>
      <c r="AS156" s="77">
        <f t="shared" ca="1" si="48"/>
        <v>0</v>
      </c>
      <c r="AT156" s="255">
        <f t="shared" si="49"/>
        <v>0</v>
      </c>
      <c r="AU156" s="51"/>
      <c r="AV156" s="51"/>
    </row>
    <row r="157" spans="2:95" x14ac:dyDescent="0.35">
      <c r="B157" s="218" t="str">
        <f t="shared" ca="1" si="47"/>
        <v>PAULA</v>
      </c>
      <c r="C157" s="238"/>
      <c r="D157" s="239"/>
      <c r="E157" s="239"/>
      <c r="F157" s="239"/>
      <c r="G157" s="239"/>
      <c r="H157" s="239"/>
      <c r="I157" s="239"/>
      <c r="J157" s="239"/>
      <c r="K157" s="239"/>
      <c r="L157" s="239"/>
      <c r="M157" s="239"/>
      <c r="N157" s="240"/>
      <c r="O157" s="239"/>
      <c r="P157" s="239"/>
      <c r="Q157" s="239"/>
      <c r="R157" s="239"/>
      <c r="S157" s="239"/>
      <c r="T157" s="239"/>
      <c r="U157" s="239"/>
      <c r="V157" s="239"/>
      <c r="W157" s="239"/>
      <c r="X157" s="239"/>
      <c r="Y157" s="239"/>
      <c r="Z157" s="239"/>
      <c r="AA157" s="239"/>
      <c r="AB157" s="239"/>
      <c r="AC157" s="239"/>
      <c r="AD157" s="239"/>
      <c r="AE157" s="239"/>
      <c r="AF157" s="239"/>
      <c r="AG157" s="239"/>
      <c r="AH157" s="239"/>
      <c r="AI157" s="239"/>
      <c r="AJ157" s="239"/>
      <c r="AK157" s="239"/>
      <c r="AL157" s="239"/>
      <c r="AM157" s="239"/>
      <c r="AN157" s="239"/>
      <c r="AO157" s="239"/>
      <c r="AP157" s="239"/>
      <c r="AQ157" s="239"/>
      <c r="AR157" s="252"/>
      <c r="AS157" s="77">
        <f t="shared" ca="1" si="48"/>
        <v>0</v>
      </c>
      <c r="AT157" s="255">
        <f t="shared" si="49"/>
        <v>0</v>
      </c>
      <c r="AU157" s="51"/>
      <c r="AV157" s="51"/>
    </row>
    <row r="158" spans="2:95" x14ac:dyDescent="0.35">
      <c r="B158" s="218" t="str">
        <f t="shared" ca="1" si="47"/>
        <v>TH TRANSPORTES</v>
      </c>
      <c r="C158" s="238"/>
      <c r="D158" s="239"/>
      <c r="E158" s="239"/>
      <c r="F158" s="239"/>
      <c r="G158" s="239"/>
      <c r="H158" s="239"/>
      <c r="I158" s="239"/>
      <c r="J158" s="239"/>
      <c r="K158" s="239"/>
      <c r="L158" s="239"/>
      <c r="M158" s="239"/>
      <c r="N158" s="240"/>
      <c r="O158" s="239"/>
      <c r="P158" s="239"/>
      <c r="Q158" s="239"/>
      <c r="R158" s="239"/>
      <c r="S158" s="239"/>
      <c r="T158" s="239"/>
      <c r="U158" s="239"/>
      <c r="V158" s="239"/>
      <c r="W158" s="239"/>
      <c r="X158" s="239"/>
      <c r="Y158" s="239"/>
      <c r="Z158" s="239"/>
      <c r="AA158" s="239"/>
      <c r="AB158" s="239"/>
      <c r="AC158" s="239"/>
      <c r="AD158" s="239"/>
      <c r="AE158" s="239"/>
      <c r="AF158" s="239"/>
      <c r="AG158" s="239"/>
      <c r="AH158" s="239"/>
      <c r="AI158" s="239"/>
      <c r="AJ158" s="239"/>
      <c r="AK158" s="239"/>
      <c r="AL158" s="239"/>
      <c r="AM158" s="239"/>
      <c r="AN158" s="239"/>
      <c r="AO158" s="239"/>
      <c r="AP158" s="239"/>
      <c r="AQ158" s="239"/>
      <c r="AR158" s="252"/>
      <c r="AS158" s="77">
        <f t="shared" ca="1" si="48"/>
        <v>0</v>
      </c>
      <c r="AT158" s="255">
        <f t="shared" si="49"/>
        <v>0</v>
      </c>
      <c r="AU158" s="51"/>
      <c r="AV158" s="51"/>
    </row>
    <row r="159" spans="2:95" x14ac:dyDescent="0.35">
      <c r="B159" s="218" t="str">
        <f t="shared" ca="1" si="47"/>
        <v>TRAIDILL</v>
      </c>
      <c r="C159" s="238"/>
      <c r="D159" s="239"/>
      <c r="E159" s="239"/>
      <c r="F159" s="239"/>
      <c r="G159" s="239"/>
      <c r="H159" s="239"/>
      <c r="I159" s="239"/>
      <c r="J159" s="239"/>
      <c r="K159" s="239"/>
      <c r="L159" s="239"/>
      <c r="M159" s="239"/>
      <c r="N159" s="240"/>
      <c r="O159" s="239"/>
      <c r="P159" s="239"/>
      <c r="Q159" s="239"/>
      <c r="R159" s="239"/>
      <c r="S159" s="239"/>
      <c r="T159" s="239"/>
      <c r="U159" s="239"/>
      <c r="V159" s="239"/>
      <c r="W159" s="239"/>
      <c r="X159" s="239"/>
      <c r="Y159" s="239"/>
      <c r="Z159" s="239"/>
      <c r="AA159" s="239"/>
      <c r="AB159" s="239"/>
      <c r="AC159" s="239"/>
      <c r="AD159" s="239"/>
      <c r="AE159" s="239"/>
      <c r="AF159" s="239"/>
      <c r="AG159" s="239"/>
      <c r="AH159" s="239"/>
      <c r="AI159" s="239"/>
      <c r="AJ159" s="239"/>
      <c r="AK159" s="239"/>
      <c r="AL159" s="239"/>
      <c r="AM159" s="239"/>
      <c r="AN159" s="239"/>
      <c r="AO159" s="239"/>
      <c r="AP159" s="239"/>
      <c r="AQ159" s="239"/>
      <c r="AR159" s="252"/>
      <c r="AS159" s="77">
        <f t="shared" ca="1" si="48"/>
        <v>0</v>
      </c>
      <c r="AT159" s="255">
        <f t="shared" si="49"/>
        <v>0</v>
      </c>
      <c r="AU159" s="51"/>
      <c r="AV159" s="51"/>
    </row>
    <row r="160" spans="2:95" x14ac:dyDescent="0.35">
      <c r="B160" s="218" t="str">
        <f t="shared" ca="1" si="47"/>
        <v>TRANS. ALMENDRAL</v>
      </c>
      <c r="C160" s="238"/>
      <c r="D160" s="239"/>
      <c r="E160" s="239"/>
      <c r="F160" s="239"/>
      <c r="G160" s="239"/>
      <c r="H160" s="239"/>
      <c r="I160" s="239"/>
      <c r="J160" s="239"/>
      <c r="K160" s="239"/>
      <c r="L160" s="239"/>
      <c r="M160" s="239"/>
      <c r="N160" s="240"/>
      <c r="O160" s="239"/>
      <c r="P160" s="239"/>
      <c r="Q160" s="239"/>
      <c r="R160" s="239"/>
      <c r="S160" s="239"/>
      <c r="T160" s="239"/>
      <c r="U160" s="239"/>
      <c r="V160" s="239"/>
      <c r="W160" s="239"/>
      <c r="X160" s="239"/>
      <c r="Y160" s="239"/>
      <c r="Z160" s="239"/>
      <c r="AA160" s="239"/>
      <c r="AB160" s="239"/>
      <c r="AC160" s="239"/>
      <c r="AD160" s="239"/>
      <c r="AE160" s="239"/>
      <c r="AF160" s="239"/>
      <c r="AG160" s="239"/>
      <c r="AH160" s="239"/>
      <c r="AI160" s="239"/>
      <c r="AJ160" s="239"/>
      <c r="AK160" s="239"/>
      <c r="AL160" s="239"/>
      <c r="AM160" s="239"/>
      <c r="AN160" s="239"/>
      <c r="AO160" s="239"/>
      <c r="AP160" s="239"/>
      <c r="AQ160" s="239"/>
      <c r="AR160" s="252"/>
      <c r="AS160" s="77">
        <f t="shared" ca="1" si="48"/>
        <v>0</v>
      </c>
      <c r="AT160" s="255">
        <f t="shared" si="49"/>
        <v>0</v>
      </c>
      <c r="AU160" s="51"/>
      <c r="AV160" s="51"/>
    </row>
    <row r="161" spans="2:48" x14ac:dyDescent="0.35">
      <c r="B161" s="218" t="str">
        <f t="shared" ca="1" si="47"/>
        <v>TRANS. MAX SOTO G. E.I.R.L.</v>
      </c>
      <c r="C161" s="238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40"/>
      <c r="O161" s="239"/>
      <c r="P161" s="239"/>
      <c r="Q161" s="239"/>
      <c r="R161" s="239"/>
      <c r="S161" s="239"/>
      <c r="T161" s="239"/>
      <c r="U161" s="239"/>
      <c r="V161" s="239"/>
      <c r="W161" s="239"/>
      <c r="X161" s="239"/>
      <c r="Y161" s="239"/>
      <c r="Z161" s="239"/>
      <c r="AA161" s="239"/>
      <c r="AB161" s="239"/>
      <c r="AC161" s="239"/>
      <c r="AD161" s="239"/>
      <c r="AE161" s="239"/>
      <c r="AF161" s="239"/>
      <c r="AG161" s="239"/>
      <c r="AH161" s="239"/>
      <c r="AI161" s="239"/>
      <c r="AJ161" s="239"/>
      <c r="AK161" s="239"/>
      <c r="AL161" s="239"/>
      <c r="AM161" s="239"/>
      <c r="AN161" s="239"/>
      <c r="AO161" s="239"/>
      <c r="AP161" s="239"/>
      <c r="AQ161" s="239"/>
      <c r="AR161" s="252"/>
      <c r="AS161" s="77">
        <f t="shared" ca="1" si="48"/>
        <v>0</v>
      </c>
      <c r="AT161" s="255">
        <f t="shared" si="49"/>
        <v>0</v>
      </c>
      <c r="AU161" s="51"/>
      <c r="AV161" s="51"/>
    </row>
    <row r="162" spans="2:48" x14ac:dyDescent="0.35">
      <c r="B162" s="218" t="str">
        <f t="shared" ca="1" si="47"/>
        <v>TRANS. MITRE SPA.</v>
      </c>
      <c r="C162" s="238"/>
      <c r="D162" s="239"/>
      <c r="E162" s="239"/>
      <c r="F162" s="239"/>
      <c r="G162" s="239"/>
      <c r="H162" s="239"/>
      <c r="I162" s="239"/>
      <c r="J162" s="239"/>
      <c r="K162" s="239"/>
      <c r="L162" s="239"/>
      <c r="M162" s="239"/>
      <c r="N162" s="240"/>
      <c r="O162" s="239"/>
      <c r="P162" s="239"/>
      <c r="Q162" s="239"/>
      <c r="R162" s="239"/>
      <c r="S162" s="239"/>
      <c r="T162" s="239"/>
      <c r="U162" s="239"/>
      <c r="V162" s="239"/>
      <c r="W162" s="239"/>
      <c r="X162" s="239"/>
      <c r="Y162" s="239"/>
      <c r="Z162" s="239"/>
      <c r="AA162" s="239"/>
      <c r="AB162" s="239"/>
      <c r="AC162" s="239"/>
      <c r="AD162" s="239"/>
      <c r="AE162" s="239"/>
      <c r="AF162" s="239"/>
      <c r="AG162" s="239"/>
      <c r="AH162" s="239"/>
      <c r="AI162" s="239"/>
      <c r="AJ162" s="239"/>
      <c r="AK162" s="239"/>
      <c r="AL162" s="239"/>
      <c r="AM162" s="239"/>
      <c r="AN162" s="239"/>
      <c r="AO162" s="239"/>
      <c r="AP162" s="239"/>
      <c r="AQ162" s="239"/>
      <c r="AR162" s="252"/>
      <c r="AS162" s="77">
        <f t="shared" ca="1" si="48"/>
        <v>0</v>
      </c>
      <c r="AT162" s="255">
        <f t="shared" si="49"/>
        <v>0</v>
      </c>
      <c r="AU162" s="51"/>
      <c r="AV162" s="51"/>
    </row>
    <row r="163" spans="2:48" x14ac:dyDescent="0.35">
      <c r="B163" s="218" t="str">
        <f t="shared" ca="1" si="47"/>
        <v xml:space="preserve">  TRANS. MORROS LTDA.</v>
      </c>
      <c r="C163" s="238"/>
      <c r="D163" s="239"/>
      <c r="E163" s="239"/>
      <c r="F163" s="239"/>
      <c r="G163" s="239"/>
      <c r="H163" s="239"/>
      <c r="I163" s="239"/>
      <c r="J163" s="239"/>
      <c r="K163" s="239"/>
      <c r="L163" s="239"/>
      <c r="M163" s="239"/>
      <c r="N163" s="240"/>
      <c r="O163" s="239"/>
      <c r="P163" s="239"/>
      <c r="Q163" s="239"/>
      <c r="R163" s="239"/>
      <c r="S163" s="239"/>
      <c r="T163" s="239"/>
      <c r="U163" s="239"/>
      <c r="V163" s="239"/>
      <c r="W163" s="239"/>
      <c r="X163" s="239"/>
      <c r="Y163" s="239"/>
      <c r="Z163" s="239"/>
      <c r="AA163" s="239"/>
      <c r="AB163" s="239"/>
      <c r="AC163" s="239"/>
      <c r="AD163" s="239"/>
      <c r="AE163" s="239"/>
      <c r="AF163" s="239"/>
      <c r="AG163" s="239"/>
      <c r="AH163" s="239"/>
      <c r="AI163" s="239"/>
      <c r="AJ163" s="239"/>
      <c r="AK163" s="239"/>
      <c r="AL163" s="239"/>
      <c r="AM163" s="239"/>
      <c r="AN163" s="239"/>
      <c r="AO163" s="239"/>
      <c r="AP163" s="239"/>
      <c r="AQ163" s="239"/>
      <c r="AR163" s="252"/>
      <c r="AS163" s="77">
        <f t="shared" ca="1" si="48"/>
        <v>0</v>
      </c>
      <c r="AT163" s="255">
        <f t="shared" si="49"/>
        <v>0</v>
      </c>
      <c r="AU163" s="51"/>
      <c r="AV163" s="51"/>
    </row>
    <row r="164" spans="2:48" x14ac:dyDescent="0.35">
      <c r="B164" s="218" t="str">
        <f t="shared" ca="1" si="47"/>
        <v xml:space="preserve">CRISTIAN LÓPEZ </v>
      </c>
      <c r="C164" s="238"/>
      <c r="D164" s="239"/>
      <c r="E164" s="239"/>
      <c r="F164" s="239"/>
      <c r="G164" s="239"/>
      <c r="H164" s="239"/>
      <c r="I164" s="239"/>
      <c r="J164" s="239"/>
      <c r="K164" s="239"/>
      <c r="L164" s="239"/>
      <c r="M164" s="239"/>
      <c r="N164" s="240"/>
      <c r="O164" s="239"/>
      <c r="P164" s="239"/>
      <c r="Q164" s="239"/>
      <c r="R164" s="239"/>
      <c r="S164" s="239"/>
      <c r="T164" s="239"/>
      <c r="U164" s="239"/>
      <c r="V164" s="239"/>
      <c r="W164" s="239"/>
      <c r="X164" s="239"/>
      <c r="Y164" s="239"/>
      <c r="Z164" s="239"/>
      <c r="AA164" s="239"/>
      <c r="AB164" s="239"/>
      <c r="AC164" s="239"/>
      <c r="AD164" s="239"/>
      <c r="AE164" s="239"/>
      <c r="AF164" s="239"/>
      <c r="AG164" s="239"/>
      <c r="AH164" s="239"/>
      <c r="AI164" s="239"/>
      <c r="AJ164" s="239"/>
      <c r="AK164" s="239"/>
      <c r="AL164" s="239"/>
      <c r="AM164" s="239"/>
      <c r="AN164" s="239"/>
      <c r="AO164" s="239"/>
      <c r="AP164" s="239"/>
      <c r="AQ164" s="239"/>
      <c r="AR164" s="252"/>
      <c r="AS164" s="77">
        <f t="shared" ca="1" si="48"/>
        <v>0</v>
      </c>
      <c r="AT164" s="255">
        <f t="shared" si="49"/>
        <v>0</v>
      </c>
      <c r="AU164" s="51"/>
      <c r="AV164" s="51"/>
    </row>
    <row r="165" spans="2:48" x14ac:dyDescent="0.35">
      <c r="B165" s="218" t="str">
        <f t="shared" ca="1" si="47"/>
        <v xml:space="preserve">GUSTAVO ZÚÑIGA </v>
      </c>
      <c r="C165" s="238"/>
      <c r="D165" s="239"/>
      <c r="E165" s="239"/>
      <c r="F165" s="239"/>
      <c r="G165" s="239"/>
      <c r="H165" s="239"/>
      <c r="I165" s="239"/>
      <c r="J165" s="239"/>
      <c r="K165" s="239"/>
      <c r="L165" s="239"/>
      <c r="M165" s="239"/>
      <c r="N165" s="240"/>
      <c r="O165" s="239"/>
      <c r="P165" s="239"/>
      <c r="Q165" s="239"/>
      <c r="R165" s="239"/>
      <c r="S165" s="239"/>
      <c r="T165" s="239"/>
      <c r="U165" s="239"/>
      <c r="V165" s="239"/>
      <c r="W165" s="239"/>
      <c r="X165" s="239"/>
      <c r="Y165" s="239"/>
      <c r="Z165" s="239"/>
      <c r="AA165" s="239"/>
      <c r="AB165" s="239"/>
      <c r="AC165" s="239"/>
      <c r="AD165" s="239"/>
      <c r="AE165" s="239"/>
      <c r="AF165" s="239"/>
      <c r="AG165" s="239"/>
      <c r="AH165" s="239"/>
      <c r="AI165" s="239"/>
      <c r="AJ165" s="239"/>
      <c r="AK165" s="239"/>
      <c r="AL165" s="239"/>
      <c r="AM165" s="239"/>
      <c r="AN165" s="239"/>
      <c r="AO165" s="239"/>
      <c r="AP165" s="239"/>
      <c r="AQ165" s="239"/>
      <c r="AR165" s="252"/>
      <c r="AS165" s="77">
        <f t="shared" ca="1" si="48"/>
        <v>0</v>
      </c>
      <c r="AT165" s="255">
        <f t="shared" si="49"/>
        <v>0</v>
      </c>
      <c r="AU165" s="51"/>
      <c r="AV165" s="51"/>
    </row>
    <row r="166" spans="2:48" x14ac:dyDescent="0.35">
      <c r="B166" s="218" t="str">
        <f t="shared" ca="1" si="47"/>
        <v>LAVALLE</v>
      </c>
      <c r="C166" s="238"/>
      <c r="D166" s="239"/>
      <c r="E166" s="239"/>
      <c r="F166" s="239"/>
      <c r="G166" s="239"/>
      <c r="H166" s="239"/>
      <c r="I166" s="239"/>
      <c r="J166" s="239"/>
      <c r="K166" s="239"/>
      <c r="L166" s="239"/>
      <c r="M166" s="239"/>
      <c r="N166" s="240"/>
      <c r="O166" s="239"/>
      <c r="P166" s="239"/>
      <c r="Q166" s="239"/>
      <c r="R166" s="239"/>
      <c r="S166" s="239"/>
      <c r="T166" s="239"/>
      <c r="U166" s="239"/>
      <c r="V166" s="239"/>
      <c r="W166" s="239"/>
      <c r="X166" s="239"/>
      <c r="Y166" s="239"/>
      <c r="Z166" s="239"/>
      <c r="AA166" s="239"/>
      <c r="AB166" s="239"/>
      <c r="AC166" s="239"/>
      <c r="AD166" s="239"/>
      <c r="AE166" s="239"/>
      <c r="AF166" s="239"/>
      <c r="AG166" s="239"/>
      <c r="AH166" s="239"/>
      <c r="AI166" s="239"/>
      <c r="AJ166" s="239"/>
      <c r="AK166" s="239"/>
      <c r="AL166" s="239"/>
      <c r="AM166" s="239"/>
      <c r="AN166" s="239"/>
      <c r="AO166" s="239"/>
      <c r="AP166" s="239"/>
      <c r="AQ166" s="239"/>
      <c r="AR166" s="252"/>
      <c r="AS166" s="77">
        <f t="shared" ca="1" si="48"/>
        <v>0</v>
      </c>
      <c r="AT166" s="255">
        <f t="shared" si="49"/>
        <v>0</v>
      </c>
      <c r="AU166" s="51"/>
      <c r="AV166" s="51"/>
    </row>
    <row r="167" spans="2:48" x14ac:dyDescent="0.35">
      <c r="B167" s="218" t="str">
        <f t="shared" ca="1" si="47"/>
        <v>MACEBE</v>
      </c>
      <c r="C167" s="238"/>
      <c r="D167" s="239"/>
      <c r="E167" s="239"/>
      <c r="F167" s="239"/>
      <c r="G167" s="239"/>
      <c r="H167" s="239"/>
      <c r="I167" s="239"/>
      <c r="J167" s="239"/>
      <c r="K167" s="239"/>
      <c r="L167" s="239"/>
      <c r="M167" s="239"/>
      <c r="N167" s="240"/>
      <c r="O167" s="239"/>
      <c r="P167" s="239"/>
      <c r="Q167" s="239"/>
      <c r="R167" s="239"/>
      <c r="S167" s="239"/>
      <c r="T167" s="239"/>
      <c r="U167" s="239"/>
      <c r="V167" s="239"/>
      <c r="W167" s="239"/>
      <c r="X167" s="239"/>
      <c r="Y167" s="239"/>
      <c r="Z167" s="239"/>
      <c r="AA167" s="239"/>
      <c r="AB167" s="239"/>
      <c r="AC167" s="239"/>
      <c r="AD167" s="239"/>
      <c r="AE167" s="239"/>
      <c r="AF167" s="239"/>
      <c r="AG167" s="239"/>
      <c r="AH167" s="239"/>
      <c r="AI167" s="239"/>
      <c r="AJ167" s="239"/>
      <c r="AK167" s="239"/>
      <c r="AL167" s="239"/>
      <c r="AM167" s="239"/>
      <c r="AN167" s="239"/>
      <c r="AO167" s="239"/>
      <c r="AP167" s="239"/>
      <c r="AQ167" s="239"/>
      <c r="AR167" s="252"/>
      <c r="AS167" s="77">
        <f t="shared" ca="1" si="48"/>
        <v>0</v>
      </c>
      <c r="AT167" s="255">
        <f t="shared" si="49"/>
        <v>0</v>
      </c>
      <c r="AU167" s="51"/>
      <c r="AV167" s="51"/>
    </row>
    <row r="168" spans="2:48" x14ac:dyDescent="0.35">
      <c r="B168" s="218" t="str">
        <f t="shared" ca="1" si="47"/>
        <v xml:space="preserve">Manuel Sepúlveda </v>
      </c>
      <c r="C168" s="238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40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239"/>
      <c r="Z168" s="239"/>
      <c r="AA168" s="239"/>
      <c r="AB168" s="239"/>
      <c r="AC168" s="239"/>
      <c r="AD168" s="239"/>
      <c r="AE168" s="239"/>
      <c r="AF168" s="239"/>
      <c r="AG168" s="239"/>
      <c r="AH168" s="239"/>
      <c r="AI168" s="239"/>
      <c r="AJ168" s="239"/>
      <c r="AK168" s="239"/>
      <c r="AL168" s="239"/>
      <c r="AM168" s="239"/>
      <c r="AN168" s="239"/>
      <c r="AO168" s="239"/>
      <c r="AP168" s="239"/>
      <c r="AQ168" s="239"/>
      <c r="AR168" s="252"/>
      <c r="AS168" s="77">
        <f t="shared" ca="1" si="48"/>
        <v>0</v>
      </c>
      <c r="AT168" s="255">
        <f t="shared" si="49"/>
        <v>0</v>
      </c>
      <c r="AU168" s="51"/>
      <c r="AV168" s="51"/>
    </row>
    <row r="169" spans="2:48" x14ac:dyDescent="0.35">
      <c r="B169" s="218" t="str">
        <f t="shared" ca="1" si="47"/>
        <v>PARRAO</v>
      </c>
      <c r="C169" s="238"/>
      <c r="D169" s="239"/>
      <c r="E169" s="239"/>
      <c r="F169" s="239"/>
      <c r="G169" s="239"/>
      <c r="H169" s="239"/>
      <c r="I169" s="239"/>
      <c r="J169" s="239"/>
      <c r="K169" s="239"/>
      <c r="L169" s="239"/>
      <c r="M169" s="239"/>
      <c r="N169" s="240"/>
      <c r="O169" s="239"/>
      <c r="P169" s="239"/>
      <c r="Q169" s="239"/>
      <c r="R169" s="239"/>
      <c r="S169" s="239"/>
      <c r="T169" s="239"/>
      <c r="U169" s="239"/>
      <c r="V169" s="239"/>
      <c r="W169" s="239"/>
      <c r="X169" s="239"/>
      <c r="Y169" s="239"/>
      <c r="Z169" s="239"/>
      <c r="AA169" s="239"/>
      <c r="AB169" s="239"/>
      <c r="AC169" s="239"/>
      <c r="AD169" s="239"/>
      <c r="AE169" s="239"/>
      <c r="AF169" s="239"/>
      <c r="AG169" s="239"/>
      <c r="AH169" s="239"/>
      <c r="AI169" s="239"/>
      <c r="AJ169" s="239"/>
      <c r="AK169" s="239"/>
      <c r="AL169" s="239"/>
      <c r="AM169" s="239"/>
      <c r="AN169" s="239"/>
      <c r="AO169" s="239"/>
      <c r="AP169" s="239"/>
      <c r="AQ169" s="239"/>
      <c r="AR169" s="252"/>
      <c r="AS169" s="77">
        <f t="shared" ca="1" si="48"/>
        <v>0</v>
      </c>
      <c r="AT169" s="255">
        <f t="shared" si="49"/>
        <v>0</v>
      </c>
      <c r="AU169" s="51"/>
      <c r="AV169" s="51"/>
    </row>
    <row r="170" spans="2:48" x14ac:dyDescent="0.35">
      <c r="B170" s="218" t="str">
        <f t="shared" ca="1" si="47"/>
        <v>PAULA</v>
      </c>
      <c r="C170" s="238"/>
      <c r="D170" s="239"/>
      <c r="E170" s="239"/>
      <c r="F170" s="239"/>
      <c r="G170" s="239"/>
      <c r="H170" s="239"/>
      <c r="I170" s="239"/>
      <c r="J170" s="239"/>
      <c r="K170" s="239"/>
      <c r="L170" s="239"/>
      <c r="M170" s="239"/>
      <c r="N170" s="240"/>
      <c r="O170" s="239"/>
      <c r="P170" s="239"/>
      <c r="Q170" s="239"/>
      <c r="R170" s="239"/>
      <c r="S170" s="239"/>
      <c r="T170" s="239"/>
      <c r="U170" s="239"/>
      <c r="V170" s="239"/>
      <c r="W170" s="239"/>
      <c r="X170" s="239"/>
      <c r="Y170" s="239"/>
      <c r="Z170" s="239"/>
      <c r="AA170" s="239"/>
      <c r="AB170" s="239"/>
      <c r="AC170" s="239"/>
      <c r="AD170" s="239"/>
      <c r="AE170" s="239"/>
      <c r="AF170" s="239"/>
      <c r="AG170" s="239"/>
      <c r="AH170" s="239"/>
      <c r="AI170" s="239"/>
      <c r="AJ170" s="239"/>
      <c r="AK170" s="239"/>
      <c r="AL170" s="239"/>
      <c r="AM170" s="239"/>
      <c r="AN170" s="239"/>
      <c r="AO170" s="239"/>
      <c r="AP170" s="239"/>
      <c r="AQ170" s="239"/>
      <c r="AR170" s="252"/>
      <c r="AS170" s="77">
        <f t="shared" ca="1" si="48"/>
        <v>0</v>
      </c>
      <c r="AT170" s="255">
        <f t="shared" si="49"/>
        <v>0</v>
      </c>
      <c r="AU170" s="51"/>
      <c r="AV170" s="51"/>
    </row>
    <row r="171" spans="2:48" x14ac:dyDescent="0.35">
      <c r="B171" s="218" t="str">
        <f t="shared" ca="1" si="47"/>
        <v>TH TRANSPORTES</v>
      </c>
      <c r="C171" s="238"/>
      <c r="D171" s="239"/>
      <c r="E171" s="239"/>
      <c r="F171" s="239"/>
      <c r="G171" s="239"/>
      <c r="H171" s="239"/>
      <c r="I171" s="239"/>
      <c r="J171" s="239"/>
      <c r="K171" s="239"/>
      <c r="L171" s="239"/>
      <c r="M171" s="239"/>
      <c r="N171" s="240"/>
      <c r="O171" s="239"/>
      <c r="P171" s="239"/>
      <c r="Q171" s="239"/>
      <c r="R171" s="239"/>
      <c r="S171" s="239"/>
      <c r="T171" s="239"/>
      <c r="U171" s="239"/>
      <c r="V171" s="239"/>
      <c r="W171" s="239"/>
      <c r="X171" s="239"/>
      <c r="Y171" s="239"/>
      <c r="Z171" s="239"/>
      <c r="AA171" s="239"/>
      <c r="AB171" s="239"/>
      <c r="AC171" s="239"/>
      <c r="AD171" s="239"/>
      <c r="AE171" s="239"/>
      <c r="AF171" s="239"/>
      <c r="AG171" s="239"/>
      <c r="AH171" s="239"/>
      <c r="AI171" s="239"/>
      <c r="AJ171" s="239"/>
      <c r="AK171" s="239"/>
      <c r="AL171" s="239"/>
      <c r="AM171" s="239"/>
      <c r="AN171" s="239"/>
      <c r="AO171" s="239"/>
      <c r="AP171" s="239"/>
      <c r="AQ171" s="239"/>
      <c r="AR171" s="252"/>
      <c r="AS171" s="77">
        <f t="shared" ca="1" si="48"/>
        <v>0</v>
      </c>
      <c r="AT171" s="255">
        <f t="shared" si="49"/>
        <v>0</v>
      </c>
      <c r="AU171" s="51"/>
      <c r="AV171" s="51"/>
    </row>
    <row r="172" spans="2:48" x14ac:dyDescent="0.35">
      <c r="B172" s="218" t="str">
        <f t="shared" ca="1" si="47"/>
        <v>TRAIDILL</v>
      </c>
      <c r="C172" s="238"/>
      <c r="D172" s="239"/>
      <c r="E172" s="239"/>
      <c r="F172" s="239"/>
      <c r="G172" s="239"/>
      <c r="H172" s="239"/>
      <c r="I172" s="239"/>
      <c r="J172" s="239"/>
      <c r="K172" s="239"/>
      <c r="L172" s="239"/>
      <c r="M172" s="239"/>
      <c r="N172" s="240"/>
      <c r="O172" s="239"/>
      <c r="P172" s="239"/>
      <c r="Q172" s="239"/>
      <c r="R172" s="239"/>
      <c r="S172" s="239"/>
      <c r="T172" s="239"/>
      <c r="U172" s="239"/>
      <c r="V172" s="239"/>
      <c r="W172" s="239"/>
      <c r="X172" s="239"/>
      <c r="Y172" s="239"/>
      <c r="Z172" s="239"/>
      <c r="AA172" s="239"/>
      <c r="AB172" s="239"/>
      <c r="AC172" s="239"/>
      <c r="AD172" s="239"/>
      <c r="AE172" s="239"/>
      <c r="AF172" s="239"/>
      <c r="AG172" s="239"/>
      <c r="AH172" s="239"/>
      <c r="AI172" s="239"/>
      <c r="AJ172" s="239"/>
      <c r="AK172" s="239"/>
      <c r="AL172" s="239"/>
      <c r="AM172" s="239"/>
      <c r="AN172" s="239"/>
      <c r="AO172" s="239"/>
      <c r="AP172" s="239"/>
      <c r="AQ172" s="239"/>
      <c r="AR172" s="252"/>
      <c r="AS172" s="77">
        <f t="shared" ca="1" si="48"/>
        <v>0</v>
      </c>
      <c r="AT172" s="255">
        <f t="shared" si="49"/>
        <v>0</v>
      </c>
      <c r="AU172" s="51"/>
      <c r="AV172" s="51"/>
    </row>
    <row r="173" spans="2:48" x14ac:dyDescent="0.35">
      <c r="B173" s="218" t="str">
        <f t="shared" ca="1" si="47"/>
        <v>TRANS. ALMENDRAL</v>
      </c>
      <c r="C173" s="238"/>
      <c r="D173" s="239"/>
      <c r="E173" s="239"/>
      <c r="F173" s="239"/>
      <c r="G173" s="239"/>
      <c r="H173" s="239"/>
      <c r="I173" s="239"/>
      <c r="J173" s="239"/>
      <c r="K173" s="239"/>
      <c r="L173" s="239"/>
      <c r="M173" s="239"/>
      <c r="N173" s="240"/>
      <c r="O173" s="239"/>
      <c r="P173" s="239"/>
      <c r="Q173" s="239"/>
      <c r="R173" s="239"/>
      <c r="S173" s="239"/>
      <c r="T173" s="239"/>
      <c r="U173" s="239"/>
      <c r="V173" s="239"/>
      <c r="W173" s="239"/>
      <c r="X173" s="239"/>
      <c r="Y173" s="239"/>
      <c r="Z173" s="239"/>
      <c r="AA173" s="239"/>
      <c r="AB173" s="239"/>
      <c r="AC173" s="239"/>
      <c r="AD173" s="239"/>
      <c r="AE173" s="239"/>
      <c r="AF173" s="239"/>
      <c r="AG173" s="239"/>
      <c r="AH173" s="239"/>
      <c r="AI173" s="239"/>
      <c r="AJ173" s="239"/>
      <c r="AK173" s="239"/>
      <c r="AL173" s="239"/>
      <c r="AM173" s="239"/>
      <c r="AN173" s="239"/>
      <c r="AO173" s="239"/>
      <c r="AP173" s="239"/>
      <c r="AQ173" s="239"/>
      <c r="AR173" s="252"/>
      <c r="AS173" s="77">
        <f t="shared" ca="1" si="48"/>
        <v>0</v>
      </c>
      <c r="AT173" s="255">
        <f t="shared" si="49"/>
        <v>0</v>
      </c>
      <c r="AU173" s="51"/>
      <c r="AV173" s="51"/>
    </row>
    <row r="174" spans="2:48" x14ac:dyDescent="0.35">
      <c r="B174" s="218" t="str">
        <f t="shared" ca="1" si="47"/>
        <v>TRANS. MAX SOTO G. E.I.R.L.</v>
      </c>
      <c r="C174" s="238"/>
      <c r="D174" s="239"/>
      <c r="E174" s="239"/>
      <c r="F174" s="239"/>
      <c r="G174" s="239"/>
      <c r="H174" s="239"/>
      <c r="I174" s="239"/>
      <c r="J174" s="239"/>
      <c r="K174" s="239"/>
      <c r="L174" s="239"/>
      <c r="M174" s="239"/>
      <c r="N174" s="240"/>
      <c r="O174" s="239"/>
      <c r="P174" s="239"/>
      <c r="Q174" s="239"/>
      <c r="R174" s="239"/>
      <c r="S174" s="239"/>
      <c r="T174" s="239"/>
      <c r="U174" s="239"/>
      <c r="V174" s="239"/>
      <c r="W174" s="239"/>
      <c r="X174" s="239"/>
      <c r="Y174" s="239"/>
      <c r="Z174" s="239"/>
      <c r="AA174" s="239"/>
      <c r="AB174" s="239"/>
      <c r="AC174" s="239"/>
      <c r="AD174" s="239"/>
      <c r="AE174" s="239"/>
      <c r="AF174" s="239"/>
      <c r="AG174" s="239"/>
      <c r="AH174" s="239"/>
      <c r="AI174" s="239"/>
      <c r="AJ174" s="239"/>
      <c r="AK174" s="239"/>
      <c r="AL174" s="239"/>
      <c r="AM174" s="239"/>
      <c r="AN174" s="239"/>
      <c r="AO174" s="239"/>
      <c r="AP174" s="239"/>
      <c r="AQ174" s="239"/>
      <c r="AR174" s="252"/>
      <c r="AS174" s="77">
        <f t="shared" ca="1" si="48"/>
        <v>0</v>
      </c>
      <c r="AT174" s="255">
        <f t="shared" si="49"/>
        <v>0</v>
      </c>
      <c r="AU174" s="51"/>
      <c r="AV174" s="51"/>
    </row>
    <row r="175" spans="2:48" x14ac:dyDescent="0.35">
      <c r="B175" s="218" t="str">
        <f t="shared" ca="1" si="47"/>
        <v>TRANS. MITRE SPA.</v>
      </c>
      <c r="C175" s="238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40"/>
      <c r="O175" s="239"/>
      <c r="P175" s="239"/>
      <c r="Q175" s="239"/>
      <c r="R175" s="239"/>
      <c r="S175" s="239"/>
      <c r="T175" s="239"/>
      <c r="U175" s="239"/>
      <c r="V175" s="239"/>
      <c r="W175" s="239"/>
      <c r="X175" s="239"/>
      <c r="Y175" s="239"/>
      <c r="Z175" s="239"/>
      <c r="AA175" s="239"/>
      <c r="AB175" s="239"/>
      <c r="AC175" s="239"/>
      <c r="AD175" s="239"/>
      <c r="AE175" s="239"/>
      <c r="AF175" s="239"/>
      <c r="AG175" s="239"/>
      <c r="AH175" s="239"/>
      <c r="AI175" s="239"/>
      <c r="AJ175" s="239"/>
      <c r="AK175" s="239"/>
      <c r="AL175" s="239"/>
      <c r="AM175" s="239"/>
      <c r="AN175" s="239"/>
      <c r="AO175" s="239"/>
      <c r="AP175" s="239"/>
      <c r="AQ175" s="239"/>
      <c r="AR175" s="252"/>
      <c r="AS175" s="77">
        <f t="shared" ca="1" si="48"/>
        <v>0</v>
      </c>
      <c r="AT175" s="255">
        <f t="shared" si="49"/>
        <v>0</v>
      </c>
      <c r="AU175" s="51"/>
      <c r="AV175" s="51"/>
    </row>
    <row r="176" spans="2:48" x14ac:dyDescent="0.35">
      <c r="B176" s="218" t="str">
        <f t="shared" ca="1" si="47"/>
        <v xml:space="preserve">  TRANS. MORROS LTDA.</v>
      </c>
      <c r="C176" s="238"/>
      <c r="D176" s="239"/>
      <c r="E176" s="239"/>
      <c r="F176" s="239"/>
      <c r="G176" s="239"/>
      <c r="H176" s="239"/>
      <c r="I176" s="239"/>
      <c r="J176" s="239"/>
      <c r="K176" s="239"/>
      <c r="L176" s="239"/>
      <c r="M176" s="239"/>
      <c r="N176" s="240"/>
      <c r="O176" s="239"/>
      <c r="P176" s="239"/>
      <c r="Q176" s="239"/>
      <c r="R176" s="239"/>
      <c r="S176" s="239"/>
      <c r="T176" s="239"/>
      <c r="U176" s="239"/>
      <c r="V176" s="239"/>
      <c r="W176" s="239"/>
      <c r="X176" s="239"/>
      <c r="Y176" s="239"/>
      <c r="Z176" s="239"/>
      <c r="AA176" s="239"/>
      <c r="AB176" s="239"/>
      <c r="AC176" s="239"/>
      <c r="AD176" s="239"/>
      <c r="AE176" s="239"/>
      <c r="AF176" s="239"/>
      <c r="AG176" s="239"/>
      <c r="AH176" s="239"/>
      <c r="AI176" s="239"/>
      <c r="AJ176" s="239"/>
      <c r="AK176" s="239"/>
      <c r="AL176" s="239"/>
      <c r="AM176" s="239"/>
      <c r="AN176" s="239"/>
      <c r="AO176" s="239"/>
      <c r="AP176" s="239"/>
      <c r="AQ176" s="239"/>
      <c r="AR176" s="252"/>
      <c r="AS176" s="77">
        <f t="shared" ca="1" si="48"/>
        <v>0</v>
      </c>
      <c r="AT176" s="255">
        <f t="shared" si="49"/>
        <v>0</v>
      </c>
      <c r="AU176" s="51"/>
      <c r="AV176" s="51"/>
    </row>
    <row r="177" spans="2:48" x14ac:dyDescent="0.35">
      <c r="B177" s="218" t="str">
        <f t="shared" ca="1" si="47"/>
        <v xml:space="preserve">CRISTIAN LÓPEZ </v>
      </c>
      <c r="C177" s="238"/>
      <c r="D177" s="239"/>
      <c r="E177" s="239"/>
      <c r="F177" s="239"/>
      <c r="G177" s="239"/>
      <c r="H177" s="239"/>
      <c r="I177" s="239"/>
      <c r="J177" s="239"/>
      <c r="K177" s="239"/>
      <c r="L177" s="239"/>
      <c r="M177" s="239"/>
      <c r="N177" s="240"/>
      <c r="O177" s="239"/>
      <c r="P177" s="239"/>
      <c r="Q177" s="239"/>
      <c r="R177" s="239"/>
      <c r="S177" s="239"/>
      <c r="T177" s="239"/>
      <c r="U177" s="239"/>
      <c r="V177" s="239"/>
      <c r="W177" s="239"/>
      <c r="X177" s="239"/>
      <c r="Y177" s="239"/>
      <c r="Z177" s="239"/>
      <c r="AA177" s="239"/>
      <c r="AB177" s="239"/>
      <c r="AC177" s="239"/>
      <c r="AD177" s="239"/>
      <c r="AE177" s="239"/>
      <c r="AF177" s="239"/>
      <c r="AG177" s="239"/>
      <c r="AH177" s="239"/>
      <c r="AI177" s="239"/>
      <c r="AJ177" s="239"/>
      <c r="AK177" s="239"/>
      <c r="AL177" s="239"/>
      <c r="AM177" s="239"/>
      <c r="AN177" s="239"/>
      <c r="AO177" s="239"/>
      <c r="AP177" s="239"/>
      <c r="AQ177" s="239"/>
      <c r="AR177" s="252"/>
      <c r="AS177" s="77">
        <f t="shared" ca="1" si="48"/>
        <v>0</v>
      </c>
      <c r="AT177" s="255">
        <f t="shared" si="49"/>
        <v>0</v>
      </c>
      <c r="AU177" s="51"/>
      <c r="AV177" s="51"/>
    </row>
    <row r="178" spans="2:48" x14ac:dyDescent="0.35">
      <c r="B178" s="218" t="str">
        <f t="shared" ca="1" si="47"/>
        <v xml:space="preserve">GUSTAVO ZÚÑIGA </v>
      </c>
      <c r="C178" s="238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40"/>
      <c r="O178" s="239"/>
      <c r="P178" s="239"/>
      <c r="Q178" s="239"/>
      <c r="R178" s="239"/>
      <c r="S178" s="239"/>
      <c r="T178" s="239"/>
      <c r="U178" s="239"/>
      <c r="V178" s="239"/>
      <c r="W178" s="239"/>
      <c r="X178" s="239"/>
      <c r="Y178" s="239"/>
      <c r="Z178" s="239"/>
      <c r="AA178" s="239"/>
      <c r="AB178" s="239"/>
      <c r="AC178" s="239"/>
      <c r="AD178" s="239"/>
      <c r="AE178" s="239"/>
      <c r="AF178" s="239"/>
      <c r="AG178" s="239"/>
      <c r="AH178" s="239"/>
      <c r="AI178" s="239"/>
      <c r="AJ178" s="239"/>
      <c r="AK178" s="239"/>
      <c r="AL178" s="239"/>
      <c r="AM178" s="239"/>
      <c r="AN178" s="239"/>
      <c r="AO178" s="239"/>
      <c r="AP178" s="239"/>
      <c r="AQ178" s="239"/>
      <c r="AR178" s="252"/>
      <c r="AS178" s="77">
        <f t="shared" ca="1" si="48"/>
        <v>0</v>
      </c>
      <c r="AT178" s="255">
        <f t="shared" si="49"/>
        <v>0</v>
      </c>
      <c r="AU178" s="51"/>
      <c r="AV178" s="51"/>
    </row>
    <row r="179" spans="2:48" x14ac:dyDescent="0.35">
      <c r="B179" s="218" t="str">
        <f t="shared" ca="1" si="47"/>
        <v>LAVALLE</v>
      </c>
      <c r="C179" s="238"/>
      <c r="D179" s="239"/>
      <c r="E179" s="239"/>
      <c r="F179" s="239"/>
      <c r="G179" s="239"/>
      <c r="H179" s="239"/>
      <c r="I179" s="239"/>
      <c r="J179" s="239"/>
      <c r="K179" s="239"/>
      <c r="L179" s="239"/>
      <c r="M179" s="239"/>
      <c r="N179" s="240"/>
      <c r="O179" s="239"/>
      <c r="P179" s="239"/>
      <c r="Q179" s="239"/>
      <c r="R179" s="239"/>
      <c r="S179" s="239"/>
      <c r="T179" s="239"/>
      <c r="U179" s="239"/>
      <c r="V179" s="239"/>
      <c r="W179" s="239"/>
      <c r="X179" s="239"/>
      <c r="Y179" s="239"/>
      <c r="Z179" s="239"/>
      <c r="AA179" s="239"/>
      <c r="AB179" s="239"/>
      <c r="AC179" s="239"/>
      <c r="AD179" s="239"/>
      <c r="AE179" s="239"/>
      <c r="AF179" s="239"/>
      <c r="AG179" s="239"/>
      <c r="AH179" s="239"/>
      <c r="AI179" s="239"/>
      <c r="AJ179" s="239"/>
      <c r="AK179" s="239"/>
      <c r="AL179" s="239"/>
      <c r="AM179" s="239"/>
      <c r="AN179" s="239"/>
      <c r="AO179" s="239"/>
      <c r="AP179" s="239"/>
      <c r="AQ179" s="239"/>
      <c r="AR179" s="252"/>
      <c r="AS179" s="77">
        <f t="shared" ca="1" si="48"/>
        <v>0</v>
      </c>
      <c r="AT179" s="255">
        <f t="shared" si="49"/>
        <v>0</v>
      </c>
      <c r="AU179" s="51"/>
      <c r="AV179" s="51"/>
    </row>
    <row r="180" spans="2:48" x14ac:dyDescent="0.35">
      <c r="B180" s="218" t="str">
        <f t="shared" ca="1" si="47"/>
        <v>MACEBE</v>
      </c>
      <c r="C180" s="238"/>
      <c r="D180" s="239"/>
      <c r="E180" s="239"/>
      <c r="F180" s="239"/>
      <c r="G180" s="239"/>
      <c r="H180" s="239"/>
      <c r="I180" s="239"/>
      <c r="J180" s="239"/>
      <c r="K180" s="239"/>
      <c r="L180" s="239"/>
      <c r="M180" s="239"/>
      <c r="N180" s="240"/>
      <c r="O180" s="239"/>
      <c r="P180" s="239"/>
      <c r="Q180" s="239"/>
      <c r="R180" s="239"/>
      <c r="S180" s="239"/>
      <c r="T180" s="239"/>
      <c r="U180" s="239"/>
      <c r="V180" s="239"/>
      <c r="W180" s="239"/>
      <c r="X180" s="239"/>
      <c r="Y180" s="239"/>
      <c r="Z180" s="239"/>
      <c r="AA180" s="239"/>
      <c r="AB180" s="239"/>
      <c r="AC180" s="239"/>
      <c r="AD180" s="239"/>
      <c r="AE180" s="239"/>
      <c r="AF180" s="239"/>
      <c r="AG180" s="239"/>
      <c r="AH180" s="239"/>
      <c r="AI180" s="239"/>
      <c r="AJ180" s="239"/>
      <c r="AK180" s="239"/>
      <c r="AL180" s="239"/>
      <c r="AM180" s="239"/>
      <c r="AN180" s="239"/>
      <c r="AO180" s="239"/>
      <c r="AP180" s="239"/>
      <c r="AQ180" s="239"/>
      <c r="AR180" s="252"/>
      <c r="AS180" s="77">
        <f t="shared" ca="1" si="48"/>
        <v>0</v>
      </c>
      <c r="AT180" s="255">
        <f t="shared" si="49"/>
        <v>0</v>
      </c>
      <c r="AU180" s="51"/>
      <c r="AV180" s="51"/>
    </row>
    <row r="181" spans="2:48" x14ac:dyDescent="0.35">
      <c r="B181" s="218" t="str">
        <f t="shared" ca="1" si="47"/>
        <v xml:space="preserve">Manuel Sepúlveda </v>
      </c>
      <c r="C181" s="238"/>
      <c r="D181" s="239"/>
      <c r="E181" s="239"/>
      <c r="F181" s="239"/>
      <c r="G181" s="239"/>
      <c r="H181" s="239"/>
      <c r="I181" s="239"/>
      <c r="J181" s="239"/>
      <c r="K181" s="239"/>
      <c r="L181" s="239"/>
      <c r="M181" s="239"/>
      <c r="N181" s="240"/>
      <c r="O181" s="239"/>
      <c r="P181" s="239"/>
      <c r="Q181" s="239"/>
      <c r="R181" s="239"/>
      <c r="S181" s="239"/>
      <c r="T181" s="239"/>
      <c r="U181" s="239"/>
      <c r="V181" s="239"/>
      <c r="W181" s="239"/>
      <c r="X181" s="239"/>
      <c r="Y181" s="239"/>
      <c r="Z181" s="239"/>
      <c r="AA181" s="239"/>
      <c r="AB181" s="239"/>
      <c r="AC181" s="239"/>
      <c r="AD181" s="239"/>
      <c r="AE181" s="239"/>
      <c r="AF181" s="239"/>
      <c r="AG181" s="239"/>
      <c r="AH181" s="239"/>
      <c r="AI181" s="239"/>
      <c r="AJ181" s="239"/>
      <c r="AK181" s="239"/>
      <c r="AL181" s="239"/>
      <c r="AM181" s="239"/>
      <c r="AN181" s="239"/>
      <c r="AO181" s="239"/>
      <c r="AP181" s="239"/>
      <c r="AQ181" s="239"/>
      <c r="AR181" s="252"/>
      <c r="AS181" s="77">
        <f t="shared" ca="1" si="48"/>
        <v>0</v>
      </c>
      <c r="AT181" s="255">
        <f t="shared" si="49"/>
        <v>0</v>
      </c>
      <c r="AU181" s="51"/>
      <c r="AV181" s="51"/>
    </row>
    <row r="182" spans="2:48" x14ac:dyDescent="0.35">
      <c r="B182" s="218" t="str">
        <f t="shared" ca="1" si="47"/>
        <v>PARRAO</v>
      </c>
      <c r="C182" s="238"/>
      <c r="D182" s="239"/>
      <c r="E182" s="239"/>
      <c r="F182" s="239"/>
      <c r="G182" s="239"/>
      <c r="H182" s="239"/>
      <c r="I182" s="239"/>
      <c r="J182" s="239"/>
      <c r="K182" s="239"/>
      <c r="L182" s="239"/>
      <c r="M182" s="239"/>
      <c r="N182" s="240"/>
      <c r="O182" s="239"/>
      <c r="P182" s="239"/>
      <c r="Q182" s="239"/>
      <c r="R182" s="239"/>
      <c r="S182" s="239"/>
      <c r="T182" s="239"/>
      <c r="U182" s="239"/>
      <c r="V182" s="239"/>
      <c r="W182" s="239"/>
      <c r="X182" s="239"/>
      <c r="Y182" s="239"/>
      <c r="Z182" s="239"/>
      <c r="AA182" s="239"/>
      <c r="AB182" s="239"/>
      <c r="AC182" s="239"/>
      <c r="AD182" s="239"/>
      <c r="AE182" s="239"/>
      <c r="AF182" s="239"/>
      <c r="AG182" s="239"/>
      <c r="AH182" s="239"/>
      <c r="AI182" s="239"/>
      <c r="AJ182" s="239"/>
      <c r="AK182" s="239"/>
      <c r="AL182" s="239"/>
      <c r="AM182" s="239"/>
      <c r="AN182" s="239"/>
      <c r="AO182" s="239"/>
      <c r="AP182" s="239"/>
      <c r="AQ182" s="239"/>
      <c r="AR182" s="252"/>
      <c r="AS182" s="77">
        <f t="shared" ca="1" si="48"/>
        <v>0</v>
      </c>
      <c r="AT182" s="255">
        <f t="shared" si="49"/>
        <v>0</v>
      </c>
      <c r="AU182" s="51"/>
      <c r="AV182" s="51"/>
    </row>
    <row r="183" spans="2:48" x14ac:dyDescent="0.35">
      <c r="B183" s="218" t="str">
        <f t="shared" ca="1" si="47"/>
        <v>PAULA</v>
      </c>
      <c r="C183" s="238"/>
      <c r="D183" s="239"/>
      <c r="E183" s="239"/>
      <c r="F183" s="239"/>
      <c r="G183" s="239"/>
      <c r="H183" s="239"/>
      <c r="I183" s="239"/>
      <c r="J183" s="239"/>
      <c r="K183" s="239"/>
      <c r="L183" s="239"/>
      <c r="M183" s="239"/>
      <c r="N183" s="240"/>
      <c r="O183" s="239"/>
      <c r="P183" s="239"/>
      <c r="Q183" s="239"/>
      <c r="R183" s="239"/>
      <c r="S183" s="239"/>
      <c r="T183" s="239"/>
      <c r="U183" s="239"/>
      <c r="V183" s="239"/>
      <c r="W183" s="239"/>
      <c r="X183" s="239"/>
      <c r="Y183" s="239"/>
      <c r="Z183" s="239"/>
      <c r="AA183" s="239"/>
      <c r="AB183" s="239"/>
      <c r="AC183" s="239"/>
      <c r="AD183" s="239"/>
      <c r="AE183" s="239"/>
      <c r="AF183" s="239"/>
      <c r="AG183" s="239"/>
      <c r="AH183" s="239"/>
      <c r="AI183" s="239"/>
      <c r="AJ183" s="239"/>
      <c r="AK183" s="239"/>
      <c r="AL183" s="239"/>
      <c r="AM183" s="239"/>
      <c r="AN183" s="239"/>
      <c r="AO183" s="239"/>
      <c r="AP183" s="239"/>
      <c r="AQ183" s="239"/>
      <c r="AR183" s="252"/>
      <c r="AS183" s="77">
        <f t="shared" ca="1" si="48"/>
        <v>0</v>
      </c>
      <c r="AT183" s="255">
        <f t="shared" si="49"/>
        <v>0</v>
      </c>
      <c r="AU183" s="51"/>
      <c r="AV183" s="51"/>
    </row>
    <row r="184" spans="2:48" x14ac:dyDescent="0.35">
      <c r="B184" s="218" t="str">
        <f t="shared" ca="1" si="47"/>
        <v>TH TRANSPORTES</v>
      </c>
      <c r="C184" s="238"/>
      <c r="D184" s="239"/>
      <c r="E184" s="239"/>
      <c r="F184" s="239"/>
      <c r="G184" s="239"/>
      <c r="H184" s="239"/>
      <c r="I184" s="239"/>
      <c r="J184" s="239"/>
      <c r="K184" s="239"/>
      <c r="L184" s="239"/>
      <c r="M184" s="239"/>
      <c r="N184" s="240"/>
      <c r="O184" s="239"/>
      <c r="P184" s="239"/>
      <c r="Q184" s="239"/>
      <c r="R184" s="239"/>
      <c r="S184" s="239"/>
      <c r="T184" s="239"/>
      <c r="U184" s="239"/>
      <c r="V184" s="239"/>
      <c r="W184" s="239"/>
      <c r="X184" s="239"/>
      <c r="Y184" s="239"/>
      <c r="Z184" s="239"/>
      <c r="AA184" s="239"/>
      <c r="AB184" s="239"/>
      <c r="AC184" s="239"/>
      <c r="AD184" s="239"/>
      <c r="AE184" s="239"/>
      <c r="AF184" s="239"/>
      <c r="AG184" s="239"/>
      <c r="AH184" s="239"/>
      <c r="AI184" s="239"/>
      <c r="AJ184" s="239"/>
      <c r="AK184" s="239"/>
      <c r="AL184" s="239"/>
      <c r="AM184" s="239"/>
      <c r="AN184" s="239"/>
      <c r="AO184" s="239"/>
      <c r="AP184" s="239"/>
      <c r="AQ184" s="239"/>
      <c r="AR184" s="252"/>
      <c r="AS184" s="77">
        <f t="shared" ca="1" si="48"/>
        <v>0</v>
      </c>
      <c r="AT184" s="255">
        <f t="shared" si="49"/>
        <v>0</v>
      </c>
      <c r="AU184" s="51"/>
      <c r="AV184" s="51"/>
    </row>
    <row r="185" spans="2:48" x14ac:dyDescent="0.35">
      <c r="B185" s="218" t="str">
        <f t="shared" ca="1" si="47"/>
        <v>TRAIDILL</v>
      </c>
      <c r="C185" s="238"/>
      <c r="D185" s="239"/>
      <c r="E185" s="239"/>
      <c r="F185" s="239"/>
      <c r="G185" s="239"/>
      <c r="H185" s="239"/>
      <c r="I185" s="239"/>
      <c r="J185" s="239"/>
      <c r="K185" s="239"/>
      <c r="L185" s="239"/>
      <c r="M185" s="239"/>
      <c r="N185" s="240"/>
      <c r="O185" s="239"/>
      <c r="P185" s="239"/>
      <c r="Q185" s="239"/>
      <c r="R185" s="239"/>
      <c r="S185" s="239"/>
      <c r="T185" s="239"/>
      <c r="U185" s="239"/>
      <c r="V185" s="239"/>
      <c r="W185" s="239"/>
      <c r="X185" s="239"/>
      <c r="Y185" s="239"/>
      <c r="Z185" s="239"/>
      <c r="AA185" s="239"/>
      <c r="AB185" s="239"/>
      <c r="AC185" s="239"/>
      <c r="AD185" s="239"/>
      <c r="AE185" s="239"/>
      <c r="AF185" s="239"/>
      <c r="AG185" s="239"/>
      <c r="AH185" s="239"/>
      <c r="AI185" s="239"/>
      <c r="AJ185" s="239"/>
      <c r="AK185" s="239"/>
      <c r="AL185" s="239"/>
      <c r="AM185" s="239"/>
      <c r="AN185" s="239"/>
      <c r="AO185" s="239"/>
      <c r="AP185" s="239"/>
      <c r="AQ185" s="239"/>
      <c r="AR185" s="252"/>
      <c r="AS185" s="77">
        <f t="shared" ca="1" si="48"/>
        <v>0</v>
      </c>
      <c r="AT185" s="255">
        <f t="shared" si="49"/>
        <v>0</v>
      </c>
      <c r="AU185" s="51"/>
      <c r="AV185" s="51"/>
    </row>
    <row r="186" spans="2:48" x14ac:dyDescent="0.35">
      <c r="B186" s="218" t="str">
        <f t="shared" ca="1" si="47"/>
        <v>TRANS. ALMENDRAL</v>
      </c>
      <c r="C186" s="238"/>
      <c r="D186" s="239"/>
      <c r="E186" s="239"/>
      <c r="F186" s="239"/>
      <c r="G186" s="239"/>
      <c r="H186" s="239"/>
      <c r="I186" s="239"/>
      <c r="J186" s="239"/>
      <c r="K186" s="239"/>
      <c r="L186" s="239"/>
      <c r="M186" s="239"/>
      <c r="N186" s="240"/>
      <c r="O186" s="239"/>
      <c r="P186" s="239"/>
      <c r="Q186" s="239"/>
      <c r="R186" s="239"/>
      <c r="S186" s="239"/>
      <c r="T186" s="239"/>
      <c r="U186" s="239"/>
      <c r="V186" s="239"/>
      <c r="W186" s="239"/>
      <c r="X186" s="239"/>
      <c r="Y186" s="239"/>
      <c r="Z186" s="239"/>
      <c r="AA186" s="239"/>
      <c r="AB186" s="239"/>
      <c r="AC186" s="239"/>
      <c r="AD186" s="239"/>
      <c r="AE186" s="239"/>
      <c r="AF186" s="239"/>
      <c r="AG186" s="239"/>
      <c r="AH186" s="239"/>
      <c r="AI186" s="239"/>
      <c r="AJ186" s="239"/>
      <c r="AK186" s="239"/>
      <c r="AL186" s="239"/>
      <c r="AM186" s="239"/>
      <c r="AN186" s="239"/>
      <c r="AO186" s="239"/>
      <c r="AP186" s="239"/>
      <c r="AQ186" s="239"/>
      <c r="AR186" s="252"/>
      <c r="AS186" s="77">
        <f t="shared" ca="1" si="48"/>
        <v>0</v>
      </c>
      <c r="AT186" s="255">
        <f t="shared" si="49"/>
        <v>0</v>
      </c>
      <c r="AU186" s="51"/>
      <c r="AV186" s="51"/>
    </row>
    <row r="187" spans="2:48" x14ac:dyDescent="0.35">
      <c r="B187" s="218" t="str">
        <f t="shared" ca="1" si="47"/>
        <v>TRANS. MAX SOTO G. E.I.R.L.</v>
      </c>
      <c r="C187" s="238"/>
      <c r="D187" s="239"/>
      <c r="E187" s="239"/>
      <c r="F187" s="239"/>
      <c r="G187" s="239"/>
      <c r="H187" s="239"/>
      <c r="I187" s="239"/>
      <c r="J187" s="239"/>
      <c r="K187" s="239"/>
      <c r="L187" s="239"/>
      <c r="M187" s="239"/>
      <c r="N187" s="240"/>
      <c r="O187" s="239"/>
      <c r="P187" s="239"/>
      <c r="Q187" s="239"/>
      <c r="R187" s="239"/>
      <c r="S187" s="239"/>
      <c r="T187" s="239"/>
      <c r="U187" s="239"/>
      <c r="V187" s="239"/>
      <c r="W187" s="239"/>
      <c r="X187" s="239"/>
      <c r="Y187" s="239"/>
      <c r="Z187" s="239"/>
      <c r="AA187" s="239"/>
      <c r="AB187" s="239"/>
      <c r="AC187" s="239"/>
      <c r="AD187" s="239"/>
      <c r="AE187" s="239"/>
      <c r="AF187" s="239"/>
      <c r="AG187" s="239"/>
      <c r="AH187" s="239"/>
      <c r="AI187" s="239"/>
      <c r="AJ187" s="239"/>
      <c r="AK187" s="239"/>
      <c r="AL187" s="239"/>
      <c r="AM187" s="239"/>
      <c r="AN187" s="239"/>
      <c r="AO187" s="239"/>
      <c r="AP187" s="239"/>
      <c r="AQ187" s="239"/>
      <c r="AR187" s="252"/>
      <c r="AS187" s="77">
        <f t="shared" ca="1" si="48"/>
        <v>0</v>
      </c>
      <c r="AT187" s="255">
        <f t="shared" si="49"/>
        <v>0</v>
      </c>
      <c r="AU187" s="51"/>
      <c r="AV187" s="51"/>
    </row>
    <row r="188" spans="2:48" x14ac:dyDescent="0.35">
      <c r="B188" s="218" t="str">
        <f t="shared" ca="1" si="47"/>
        <v>TRANS. MITRE SPA.</v>
      </c>
      <c r="C188" s="238"/>
      <c r="D188" s="239"/>
      <c r="E188" s="239"/>
      <c r="F188" s="239"/>
      <c r="G188" s="239"/>
      <c r="H188" s="239"/>
      <c r="I188" s="239"/>
      <c r="J188" s="239"/>
      <c r="K188" s="239"/>
      <c r="L188" s="239"/>
      <c r="M188" s="239"/>
      <c r="N188" s="240"/>
      <c r="O188" s="239"/>
      <c r="P188" s="239"/>
      <c r="Q188" s="239"/>
      <c r="R188" s="239"/>
      <c r="S188" s="239"/>
      <c r="T188" s="239"/>
      <c r="U188" s="239"/>
      <c r="V188" s="239"/>
      <c r="W188" s="239"/>
      <c r="X188" s="239"/>
      <c r="Y188" s="239"/>
      <c r="Z188" s="239"/>
      <c r="AA188" s="239"/>
      <c r="AB188" s="239"/>
      <c r="AC188" s="239"/>
      <c r="AD188" s="239"/>
      <c r="AE188" s="239"/>
      <c r="AF188" s="239"/>
      <c r="AG188" s="239"/>
      <c r="AH188" s="239"/>
      <c r="AI188" s="239"/>
      <c r="AJ188" s="239"/>
      <c r="AK188" s="239"/>
      <c r="AL188" s="239"/>
      <c r="AM188" s="239"/>
      <c r="AN188" s="239"/>
      <c r="AO188" s="239"/>
      <c r="AP188" s="239"/>
      <c r="AQ188" s="239"/>
      <c r="AR188" s="252"/>
      <c r="AS188" s="77">
        <f t="shared" ca="1" si="48"/>
        <v>0</v>
      </c>
      <c r="AT188" s="255">
        <f t="shared" si="49"/>
        <v>0</v>
      </c>
      <c r="AU188" s="51"/>
      <c r="AV188" s="51"/>
    </row>
    <row r="189" spans="2:48" x14ac:dyDescent="0.35">
      <c r="B189" s="218" t="str">
        <f t="shared" ca="1" si="47"/>
        <v xml:space="preserve">  TRANS. MORROS LTDA.</v>
      </c>
      <c r="C189" s="238"/>
      <c r="D189" s="239"/>
      <c r="E189" s="239"/>
      <c r="F189" s="239"/>
      <c r="G189" s="239"/>
      <c r="H189" s="239"/>
      <c r="I189" s="239"/>
      <c r="J189" s="239"/>
      <c r="K189" s="239"/>
      <c r="L189" s="239"/>
      <c r="M189" s="239"/>
      <c r="N189" s="240"/>
      <c r="O189" s="239"/>
      <c r="P189" s="239"/>
      <c r="Q189" s="239"/>
      <c r="R189" s="239"/>
      <c r="S189" s="239"/>
      <c r="T189" s="239"/>
      <c r="U189" s="239"/>
      <c r="V189" s="239"/>
      <c r="W189" s="239"/>
      <c r="X189" s="239"/>
      <c r="Y189" s="239"/>
      <c r="Z189" s="239"/>
      <c r="AA189" s="239"/>
      <c r="AB189" s="239"/>
      <c r="AC189" s="239"/>
      <c r="AD189" s="239"/>
      <c r="AE189" s="239"/>
      <c r="AF189" s="239"/>
      <c r="AG189" s="239"/>
      <c r="AH189" s="239"/>
      <c r="AI189" s="239"/>
      <c r="AJ189" s="239"/>
      <c r="AK189" s="239"/>
      <c r="AL189" s="239"/>
      <c r="AM189" s="239"/>
      <c r="AN189" s="239"/>
      <c r="AO189" s="239"/>
      <c r="AP189" s="239"/>
      <c r="AQ189" s="239"/>
      <c r="AR189" s="252"/>
      <c r="AS189" s="77">
        <f t="shared" ca="1" si="48"/>
        <v>0</v>
      </c>
      <c r="AT189" s="255">
        <f t="shared" si="49"/>
        <v>0</v>
      </c>
      <c r="AU189" s="51"/>
      <c r="AV189" s="51"/>
    </row>
    <row r="190" spans="2:48" x14ac:dyDescent="0.35">
      <c r="B190" s="218" t="str">
        <f t="shared" ca="1" si="47"/>
        <v xml:space="preserve">CRISTIAN LÓPEZ </v>
      </c>
      <c r="C190" s="238"/>
      <c r="D190" s="239"/>
      <c r="E190" s="239"/>
      <c r="F190" s="239"/>
      <c r="G190" s="239"/>
      <c r="H190" s="239"/>
      <c r="I190" s="239"/>
      <c r="J190" s="239"/>
      <c r="K190" s="239"/>
      <c r="L190" s="239"/>
      <c r="M190" s="239"/>
      <c r="N190" s="240"/>
      <c r="O190" s="239"/>
      <c r="P190" s="239"/>
      <c r="Q190" s="239"/>
      <c r="R190" s="239"/>
      <c r="S190" s="239"/>
      <c r="T190" s="239"/>
      <c r="U190" s="239"/>
      <c r="V190" s="239"/>
      <c r="W190" s="239"/>
      <c r="X190" s="239"/>
      <c r="Y190" s="239"/>
      <c r="Z190" s="239"/>
      <c r="AA190" s="239"/>
      <c r="AB190" s="239"/>
      <c r="AC190" s="239"/>
      <c r="AD190" s="239"/>
      <c r="AE190" s="239"/>
      <c r="AF190" s="239"/>
      <c r="AG190" s="239"/>
      <c r="AH190" s="239"/>
      <c r="AI190" s="239"/>
      <c r="AJ190" s="239"/>
      <c r="AK190" s="239"/>
      <c r="AL190" s="239"/>
      <c r="AM190" s="239"/>
      <c r="AN190" s="239"/>
      <c r="AO190" s="239"/>
      <c r="AP190" s="239"/>
      <c r="AQ190" s="239"/>
      <c r="AR190" s="252"/>
      <c r="AS190" s="77">
        <f t="shared" ca="1" si="48"/>
        <v>0</v>
      </c>
      <c r="AT190" s="255">
        <f t="shared" si="49"/>
        <v>0</v>
      </c>
      <c r="AU190" s="51"/>
      <c r="AV190" s="51"/>
    </row>
    <row r="191" spans="2:48" x14ac:dyDescent="0.35">
      <c r="B191" s="218" t="str">
        <f t="shared" ca="1" si="47"/>
        <v xml:space="preserve">GUSTAVO ZÚÑIGA </v>
      </c>
      <c r="C191" s="238"/>
      <c r="D191" s="239"/>
      <c r="E191" s="239"/>
      <c r="F191" s="239"/>
      <c r="G191" s="239"/>
      <c r="H191" s="239"/>
      <c r="I191" s="239"/>
      <c r="J191" s="239"/>
      <c r="K191" s="239"/>
      <c r="L191" s="239"/>
      <c r="M191" s="239"/>
      <c r="N191" s="240"/>
      <c r="O191" s="239"/>
      <c r="P191" s="239"/>
      <c r="Q191" s="239"/>
      <c r="R191" s="239"/>
      <c r="S191" s="239"/>
      <c r="T191" s="239"/>
      <c r="U191" s="239"/>
      <c r="V191" s="239"/>
      <c r="W191" s="239"/>
      <c r="X191" s="239"/>
      <c r="Y191" s="239"/>
      <c r="Z191" s="239"/>
      <c r="AA191" s="239"/>
      <c r="AB191" s="239"/>
      <c r="AC191" s="239"/>
      <c r="AD191" s="239"/>
      <c r="AE191" s="239"/>
      <c r="AF191" s="239"/>
      <c r="AG191" s="239"/>
      <c r="AH191" s="239"/>
      <c r="AI191" s="239"/>
      <c r="AJ191" s="239"/>
      <c r="AK191" s="239"/>
      <c r="AL191" s="239"/>
      <c r="AM191" s="239"/>
      <c r="AN191" s="239"/>
      <c r="AO191" s="239"/>
      <c r="AP191" s="239"/>
      <c r="AQ191" s="239"/>
      <c r="AR191" s="252"/>
      <c r="AS191" s="77">
        <f t="shared" ca="1" si="48"/>
        <v>0</v>
      </c>
      <c r="AT191" s="255">
        <f t="shared" si="49"/>
        <v>0</v>
      </c>
      <c r="AU191" s="51"/>
      <c r="AV191" s="51"/>
    </row>
    <row r="192" spans="2:48" x14ac:dyDescent="0.35">
      <c r="B192" s="218" t="str">
        <f t="shared" ca="1" si="47"/>
        <v>LAVALLE</v>
      </c>
      <c r="C192" s="238"/>
      <c r="D192" s="239"/>
      <c r="E192" s="239"/>
      <c r="F192" s="239"/>
      <c r="G192" s="239"/>
      <c r="H192" s="239"/>
      <c r="I192" s="239"/>
      <c r="J192" s="239"/>
      <c r="K192" s="239"/>
      <c r="L192" s="239"/>
      <c r="M192" s="239"/>
      <c r="N192" s="240"/>
      <c r="O192" s="239"/>
      <c r="P192" s="239"/>
      <c r="Q192" s="239"/>
      <c r="R192" s="239"/>
      <c r="S192" s="239"/>
      <c r="T192" s="239"/>
      <c r="U192" s="239"/>
      <c r="V192" s="239"/>
      <c r="W192" s="239"/>
      <c r="X192" s="239"/>
      <c r="Y192" s="239"/>
      <c r="Z192" s="239"/>
      <c r="AA192" s="239"/>
      <c r="AB192" s="239"/>
      <c r="AC192" s="239"/>
      <c r="AD192" s="239"/>
      <c r="AE192" s="239"/>
      <c r="AF192" s="239"/>
      <c r="AG192" s="239"/>
      <c r="AH192" s="239"/>
      <c r="AI192" s="239"/>
      <c r="AJ192" s="239"/>
      <c r="AK192" s="239"/>
      <c r="AL192" s="239"/>
      <c r="AM192" s="239"/>
      <c r="AN192" s="239"/>
      <c r="AO192" s="239"/>
      <c r="AP192" s="239"/>
      <c r="AQ192" s="239"/>
      <c r="AR192" s="252"/>
      <c r="AS192" s="77">
        <f t="shared" ca="1" si="48"/>
        <v>0</v>
      </c>
      <c r="AT192" s="255">
        <f t="shared" si="49"/>
        <v>0</v>
      </c>
      <c r="AU192" s="51"/>
      <c r="AV192" s="51"/>
    </row>
    <row r="193" spans="2:48" x14ac:dyDescent="0.35">
      <c r="B193" s="218" t="str">
        <f t="shared" ca="1" si="47"/>
        <v>MACEBE</v>
      </c>
      <c r="C193" s="238"/>
      <c r="D193" s="239"/>
      <c r="E193" s="239"/>
      <c r="F193" s="239"/>
      <c r="G193" s="239"/>
      <c r="H193" s="239"/>
      <c r="I193" s="239"/>
      <c r="J193" s="239"/>
      <c r="K193" s="239"/>
      <c r="L193" s="239"/>
      <c r="M193" s="239"/>
      <c r="N193" s="240"/>
      <c r="O193" s="239"/>
      <c r="P193" s="239"/>
      <c r="Q193" s="239"/>
      <c r="R193" s="239"/>
      <c r="S193" s="239"/>
      <c r="T193" s="239"/>
      <c r="U193" s="239"/>
      <c r="V193" s="239"/>
      <c r="W193" s="239"/>
      <c r="X193" s="239"/>
      <c r="Y193" s="239"/>
      <c r="Z193" s="239"/>
      <c r="AA193" s="239"/>
      <c r="AB193" s="239"/>
      <c r="AC193" s="239"/>
      <c r="AD193" s="239"/>
      <c r="AE193" s="239"/>
      <c r="AF193" s="239"/>
      <c r="AG193" s="239"/>
      <c r="AH193" s="239"/>
      <c r="AI193" s="239"/>
      <c r="AJ193" s="239"/>
      <c r="AK193" s="239"/>
      <c r="AL193" s="239"/>
      <c r="AM193" s="239"/>
      <c r="AN193" s="239"/>
      <c r="AO193" s="239"/>
      <c r="AP193" s="239"/>
      <c r="AQ193" s="239"/>
      <c r="AR193" s="252"/>
      <c r="AS193" s="77">
        <f t="shared" ca="1" si="48"/>
        <v>0</v>
      </c>
      <c r="AT193" s="255">
        <f t="shared" si="49"/>
        <v>0</v>
      </c>
      <c r="AU193" s="51"/>
      <c r="AV193" s="51"/>
    </row>
    <row r="194" spans="2:48" x14ac:dyDescent="0.35">
      <c r="B194" s="218" t="str">
        <f t="shared" ca="1" si="47"/>
        <v xml:space="preserve">Manuel Sepúlveda </v>
      </c>
      <c r="C194" s="238"/>
      <c r="D194" s="239"/>
      <c r="E194" s="239"/>
      <c r="F194" s="239"/>
      <c r="G194" s="239"/>
      <c r="H194" s="239"/>
      <c r="I194" s="239"/>
      <c r="J194" s="239"/>
      <c r="K194" s="239"/>
      <c r="L194" s="239"/>
      <c r="M194" s="239"/>
      <c r="N194" s="240"/>
      <c r="O194" s="239"/>
      <c r="P194" s="239"/>
      <c r="Q194" s="239"/>
      <c r="R194" s="239"/>
      <c r="S194" s="239"/>
      <c r="T194" s="239"/>
      <c r="U194" s="239"/>
      <c r="V194" s="239"/>
      <c r="W194" s="239"/>
      <c r="X194" s="239"/>
      <c r="Y194" s="239"/>
      <c r="Z194" s="239"/>
      <c r="AA194" s="239"/>
      <c r="AB194" s="239"/>
      <c r="AC194" s="239"/>
      <c r="AD194" s="239"/>
      <c r="AE194" s="239"/>
      <c r="AF194" s="239"/>
      <c r="AG194" s="239"/>
      <c r="AH194" s="239"/>
      <c r="AI194" s="239"/>
      <c r="AJ194" s="239"/>
      <c r="AK194" s="239"/>
      <c r="AL194" s="239"/>
      <c r="AM194" s="239"/>
      <c r="AN194" s="239"/>
      <c r="AO194" s="239"/>
      <c r="AP194" s="239"/>
      <c r="AQ194" s="239"/>
      <c r="AR194" s="252"/>
      <c r="AS194" s="77">
        <f t="shared" ca="1" si="48"/>
        <v>0</v>
      </c>
      <c r="AT194" s="255">
        <f t="shared" si="49"/>
        <v>0</v>
      </c>
      <c r="AU194" s="51"/>
      <c r="AV194" s="51"/>
    </row>
    <row r="195" spans="2:48" x14ac:dyDescent="0.35">
      <c r="B195" s="218" t="str">
        <f t="shared" ca="1" si="47"/>
        <v>PARRAO</v>
      </c>
      <c r="C195" s="238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40"/>
      <c r="O195" s="239"/>
      <c r="P195" s="239"/>
      <c r="Q195" s="239"/>
      <c r="R195" s="239"/>
      <c r="S195" s="239"/>
      <c r="T195" s="239"/>
      <c r="U195" s="239"/>
      <c r="V195" s="239"/>
      <c r="W195" s="239"/>
      <c r="X195" s="239"/>
      <c r="Y195" s="239"/>
      <c r="Z195" s="239"/>
      <c r="AA195" s="239"/>
      <c r="AB195" s="239"/>
      <c r="AC195" s="239"/>
      <c r="AD195" s="239"/>
      <c r="AE195" s="239"/>
      <c r="AF195" s="239"/>
      <c r="AG195" s="239"/>
      <c r="AH195" s="239"/>
      <c r="AI195" s="239"/>
      <c r="AJ195" s="239"/>
      <c r="AK195" s="239"/>
      <c r="AL195" s="239"/>
      <c r="AM195" s="239"/>
      <c r="AN195" s="239"/>
      <c r="AO195" s="239"/>
      <c r="AP195" s="239"/>
      <c r="AQ195" s="239"/>
      <c r="AR195" s="252"/>
      <c r="AS195" s="77">
        <f t="shared" ca="1" si="48"/>
        <v>0</v>
      </c>
      <c r="AT195" s="255">
        <f t="shared" si="49"/>
        <v>0</v>
      </c>
      <c r="AU195" s="51"/>
      <c r="AV195" s="51"/>
    </row>
    <row r="196" spans="2:48" x14ac:dyDescent="0.35">
      <c r="B196" s="218" t="str">
        <f t="shared" ca="1" si="47"/>
        <v>PAULA</v>
      </c>
      <c r="C196" s="238"/>
      <c r="D196" s="239"/>
      <c r="E196" s="239"/>
      <c r="F196" s="239"/>
      <c r="G196" s="239"/>
      <c r="H196" s="239"/>
      <c r="I196" s="239"/>
      <c r="J196" s="239"/>
      <c r="K196" s="239"/>
      <c r="L196" s="239"/>
      <c r="M196" s="239"/>
      <c r="N196" s="240"/>
      <c r="O196" s="239"/>
      <c r="P196" s="239"/>
      <c r="Q196" s="239"/>
      <c r="R196" s="239"/>
      <c r="S196" s="239"/>
      <c r="T196" s="239"/>
      <c r="U196" s="239"/>
      <c r="V196" s="239"/>
      <c r="W196" s="239"/>
      <c r="X196" s="239"/>
      <c r="Y196" s="239"/>
      <c r="Z196" s="239"/>
      <c r="AA196" s="239"/>
      <c r="AB196" s="239"/>
      <c r="AC196" s="239"/>
      <c r="AD196" s="239"/>
      <c r="AE196" s="239"/>
      <c r="AF196" s="239"/>
      <c r="AG196" s="239"/>
      <c r="AH196" s="239"/>
      <c r="AI196" s="239"/>
      <c r="AJ196" s="239"/>
      <c r="AK196" s="239"/>
      <c r="AL196" s="239"/>
      <c r="AM196" s="239"/>
      <c r="AN196" s="239"/>
      <c r="AO196" s="239"/>
      <c r="AP196" s="239"/>
      <c r="AQ196" s="239"/>
      <c r="AR196" s="252"/>
      <c r="AS196" s="77">
        <f t="shared" ca="1" si="48"/>
        <v>0</v>
      </c>
      <c r="AT196" s="255">
        <f t="shared" si="49"/>
        <v>0</v>
      </c>
      <c r="AU196" s="51"/>
      <c r="AV196" s="51"/>
    </row>
    <row r="197" spans="2:48" x14ac:dyDescent="0.35">
      <c r="B197" s="218" t="str">
        <f t="shared" ca="1" si="47"/>
        <v>TH TRANSPORTES</v>
      </c>
      <c r="C197" s="238"/>
      <c r="D197" s="239"/>
      <c r="E197" s="239"/>
      <c r="F197" s="239"/>
      <c r="G197" s="239"/>
      <c r="H197" s="239"/>
      <c r="I197" s="239"/>
      <c r="J197" s="239"/>
      <c r="K197" s="239"/>
      <c r="L197" s="239"/>
      <c r="M197" s="239"/>
      <c r="N197" s="240"/>
      <c r="O197" s="239"/>
      <c r="P197" s="239"/>
      <c r="Q197" s="239"/>
      <c r="R197" s="239"/>
      <c r="S197" s="239"/>
      <c r="T197" s="239"/>
      <c r="U197" s="239"/>
      <c r="V197" s="239"/>
      <c r="W197" s="239"/>
      <c r="X197" s="239"/>
      <c r="Y197" s="239"/>
      <c r="Z197" s="239"/>
      <c r="AA197" s="239"/>
      <c r="AB197" s="239"/>
      <c r="AC197" s="239"/>
      <c r="AD197" s="239"/>
      <c r="AE197" s="239"/>
      <c r="AF197" s="239"/>
      <c r="AG197" s="239"/>
      <c r="AH197" s="239"/>
      <c r="AI197" s="239"/>
      <c r="AJ197" s="239"/>
      <c r="AK197" s="239"/>
      <c r="AL197" s="239"/>
      <c r="AM197" s="239"/>
      <c r="AN197" s="239"/>
      <c r="AO197" s="239"/>
      <c r="AP197" s="239"/>
      <c r="AQ197" s="239"/>
      <c r="AR197" s="252"/>
      <c r="AS197" s="77">
        <f t="shared" ca="1" si="48"/>
        <v>0</v>
      </c>
      <c r="AT197" s="255">
        <f t="shared" si="49"/>
        <v>0</v>
      </c>
      <c r="AU197" s="51"/>
      <c r="AV197" s="51"/>
    </row>
    <row r="198" spans="2:48" x14ac:dyDescent="0.35">
      <c r="B198" s="218" t="str">
        <f t="shared" ca="1" si="47"/>
        <v>TRAIDILL</v>
      </c>
      <c r="C198" s="238"/>
      <c r="D198" s="239"/>
      <c r="E198" s="239"/>
      <c r="F198" s="239"/>
      <c r="G198" s="239"/>
      <c r="H198" s="239"/>
      <c r="I198" s="239"/>
      <c r="J198" s="239"/>
      <c r="K198" s="239"/>
      <c r="L198" s="239"/>
      <c r="M198" s="239"/>
      <c r="N198" s="240"/>
      <c r="O198" s="239"/>
      <c r="P198" s="239"/>
      <c r="Q198" s="239"/>
      <c r="R198" s="239"/>
      <c r="S198" s="239"/>
      <c r="T198" s="239"/>
      <c r="U198" s="239"/>
      <c r="V198" s="239"/>
      <c r="W198" s="239"/>
      <c r="X198" s="239"/>
      <c r="Y198" s="239"/>
      <c r="Z198" s="239"/>
      <c r="AA198" s="239"/>
      <c r="AB198" s="239"/>
      <c r="AC198" s="239"/>
      <c r="AD198" s="239"/>
      <c r="AE198" s="239"/>
      <c r="AF198" s="239"/>
      <c r="AG198" s="239"/>
      <c r="AH198" s="239"/>
      <c r="AI198" s="239"/>
      <c r="AJ198" s="239"/>
      <c r="AK198" s="239"/>
      <c r="AL198" s="239"/>
      <c r="AM198" s="239"/>
      <c r="AN198" s="239"/>
      <c r="AO198" s="239"/>
      <c r="AP198" s="239"/>
      <c r="AQ198" s="239"/>
      <c r="AR198" s="252"/>
      <c r="AS198" s="77">
        <f t="shared" ca="1" si="48"/>
        <v>0</v>
      </c>
      <c r="AT198" s="255">
        <f t="shared" si="49"/>
        <v>0</v>
      </c>
      <c r="AU198" s="51"/>
      <c r="AV198" s="51"/>
    </row>
    <row r="199" spans="2:48" x14ac:dyDescent="0.35">
      <c r="B199" s="218" t="str">
        <f t="shared" ca="1" si="47"/>
        <v>TRANS. ALMENDRAL</v>
      </c>
      <c r="C199" s="238"/>
      <c r="D199" s="239"/>
      <c r="E199" s="239"/>
      <c r="F199" s="239"/>
      <c r="G199" s="239"/>
      <c r="H199" s="239"/>
      <c r="I199" s="239"/>
      <c r="J199" s="239"/>
      <c r="K199" s="239"/>
      <c r="L199" s="239"/>
      <c r="M199" s="239"/>
      <c r="N199" s="240"/>
      <c r="O199" s="239"/>
      <c r="P199" s="239"/>
      <c r="Q199" s="239"/>
      <c r="R199" s="239"/>
      <c r="S199" s="239"/>
      <c r="T199" s="239"/>
      <c r="U199" s="239"/>
      <c r="V199" s="239"/>
      <c r="W199" s="239"/>
      <c r="X199" s="239"/>
      <c r="Y199" s="239"/>
      <c r="Z199" s="239"/>
      <c r="AA199" s="239"/>
      <c r="AB199" s="239"/>
      <c r="AC199" s="239"/>
      <c r="AD199" s="239"/>
      <c r="AE199" s="239"/>
      <c r="AF199" s="239"/>
      <c r="AG199" s="239"/>
      <c r="AH199" s="239"/>
      <c r="AI199" s="239"/>
      <c r="AJ199" s="239"/>
      <c r="AK199" s="239"/>
      <c r="AL199" s="239"/>
      <c r="AM199" s="239"/>
      <c r="AN199" s="239"/>
      <c r="AO199" s="239"/>
      <c r="AP199" s="239"/>
      <c r="AQ199" s="239"/>
      <c r="AR199" s="252"/>
      <c r="AS199" s="77">
        <f t="shared" ca="1" si="48"/>
        <v>0</v>
      </c>
      <c r="AT199" s="255">
        <f t="shared" si="49"/>
        <v>0</v>
      </c>
      <c r="AU199" s="51"/>
      <c r="AV199" s="51"/>
    </row>
    <row r="200" spans="2:48" x14ac:dyDescent="0.35">
      <c r="B200" s="218" t="str">
        <f t="shared" ca="1" si="47"/>
        <v>TRANS. MAX SOTO G. E.I.R.L.</v>
      </c>
      <c r="C200" s="238"/>
      <c r="D200" s="239"/>
      <c r="E200" s="239"/>
      <c r="F200" s="239"/>
      <c r="G200" s="239"/>
      <c r="H200" s="239"/>
      <c r="I200" s="239"/>
      <c r="J200" s="239"/>
      <c r="K200" s="239"/>
      <c r="L200" s="239"/>
      <c r="M200" s="239"/>
      <c r="N200" s="240"/>
      <c r="O200" s="239"/>
      <c r="P200" s="239"/>
      <c r="Q200" s="239"/>
      <c r="R200" s="239"/>
      <c r="S200" s="239"/>
      <c r="T200" s="239"/>
      <c r="U200" s="239"/>
      <c r="V200" s="239"/>
      <c r="W200" s="239"/>
      <c r="X200" s="239"/>
      <c r="Y200" s="239"/>
      <c r="Z200" s="239"/>
      <c r="AA200" s="239"/>
      <c r="AB200" s="239"/>
      <c r="AC200" s="239"/>
      <c r="AD200" s="239"/>
      <c r="AE200" s="239"/>
      <c r="AF200" s="239"/>
      <c r="AG200" s="239"/>
      <c r="AH200" s="239"/>
      <c r="AI200" s="239"/>
      <c r="AJ200" s="239"/>
      <c r="AK200" s="239"/>
      <c r="AL200" s="239"/>
      <c r="AM200" s="239"/>
      <c r="AN200" s="239"/>
      <c r="AO200" s="239"/>
      <c r="AP200" s="239"/>
      <c r="AQ200" s="239"/>
      <c r="AR200" s="252"/>
      <c r="AS200" s="77">
        <f t="shared" ca="1" si="48"/>
        <v>0</v>
      </c>
      <c r="AT200" s="255">
        <f t="shared" si="49"/>
        <v>0</v>
      </c>
      <c r="AU200" s="51"/>
      <c r="AV200" s="51"/>
    </row>
    <row r="201" spans="2:48" x14ac:dyDescent="0.35">
      <c r="B201" s="218" t="str">
        <f t="shared" ref="B201:B217" ca="1" si="52">+IF(AY133="","",AY133)</f>
        <v>TRANS. MITRE SPA.</v>
      </c>
      <c r="C201" s="238"/>
      <c r="D201" s="239"/>
      <c r="E201" s="239"/>
      <c r="F201" s="239"/>
      <c r="G201" s="239"/>
      <c r="H201" s="239"/>
      <c r="I201" s="239"/>
      <c r="J201" s="239"/>
      <c r="K201" s="239"/>
      <c r="L201" s="239"/>
      <c r="M201" s="239"/>
      <c r="N201" s="240"/>
      <c r="O201" s="239"/>
      <c r="P201" s="239"/>
      <c r="Q201" s="239"/>
      <c r="R201" s="239"/>
      <c r="S201" s="239"/>
      <c r="T201" s="239"/>
      <c r="U201" s="239"/>
      <c r="V201" s="239"/>
      <c r="W201" s="239"/>
      <c r="X201" s="239"/>
      <c r="Y201" s="239"/>
      <c r="Z201" s="239"/>
      <c r="AA201" s="239"/>
      <c r="AB201" s="239"/>
      <c r="AC201" s="239"/>
      <c r="AD201" s="239"/>
      <c r="AE201" s="239"/>
      <c r="AF201" s="239"/>
      <c r="AG201" s="239"/>
      <c r="AH201" s="239"/>
      <c r="AI201" s="239"/>
      <c r="AJ201" s="239"/>
      <c r="AK201" s="239"/>
      <c r="AL201" s="239"/>
      <c r="AM201" s="239"/>
      <c r="AN201" s="239"/>
      <c r="AO201" s="239"/>
      <c r="AP201" s="239"/>
      <c r="AQ201" s="239"/>
      <c r="AR201" s="252"/>
      <c r="AS201" s="77">
        <f t="shared" ref="AS201:AS217" ca="1" si="53">+IF(CP133="","",CP133)</f>
        <v>0</v>
      </c>
      <c r="AT201" s="255">
        <f t="shared" ref="AT201:AT217" si="54">+SUM(C201:AR201)</f>
        <v>0</v>
      </c>
      <c r="AU201" s="51"/>
      <c r="AV201" s="51"/>
    </row>
    <row r="202" spans="2:48" x14ac:dyDescent="0.35">
      <c r="B202" s="218" t="str">
        <f t="shared" ca="1" si="52"/>
        <v xml:space="preserve">  TRANS. MORROS LTDA.</v>
      </c>
      <c r="C202" s="238"/>
      <c r="D202" s="239"/>
      <c r="E202" s="239"/>
      <c r="F202" s="239"/>
      <c r="G202" s="239"/>
      <c r="H202" s="239"/>
      <c r="I202" s="239"/>
      <c r="J202" s="239"/>
      <c r="K202" s="239"/>
      <c r="L202" s="239"/>
      <c r="M202" s="239"/>
      <c r="N202" s="240"/>
      <c r="O202" s="239"/>
      <c r="P202" s="239"/>
      <c r="Q202" s="239"/>
      <c r="R202" s="239"/>
      <c r="S202" s="239"/>
      <c r="T202" s="239"/>
      <c r="U202" s="239"/>
      <c r="V202" s="239"/>
      <c r="W202" s="239"/>
      <c r="X202" s="239"/>
      <c r="Y202" s="239"/>
      <c r="Z202" s="239"/>
      <c r="AA202" s="239"/>
      <c r="AB202" s="239"/>
      <c r="AC202" s="239"/>
      <c r="AD202" s="239"/>
      <c r="AE202" s="239"/>
      <c r="AF202" s="239"/>
      <c r="AG202" s="239"/>
      <c r="AH202" s="239"/>
      <c r="AI202" s="239"/>
      <c r="AJ202" s="239"/>
      <c r="AK202" s="239"/>
      <c r="AL202" s="239"/>
      <c r="AM202" s="239"/>
      <c r="AN202" s="239"/>
      <c r="AO202" s="239"/>
      <c r="AP202" s="239"/>
      <c r="AQ202" s="239"/>
      <c r="AR202" s="252"/>
      <c r="AS202" s="77">
        <f t="shared" ca="1" si="53"/>
        <v>0</v>
      </c>
      <c r="AT202" s="255">
        <f t="shared" si="54"/>
        <v>0</v>
      </c>
      <c r="AU202" s="51"/>
      <c r="AV202" s="51"/>
    </row>
    <row r="203" spans="2:48" x14ac:dyDescent="0.35">
      <c r="B203" s="218" t="str">
        <f t="shared" ca="1" si="52"/>
        <v xml:space="preserve">CRISTIAN LÓPEZ </v>
      </c>
      <c r="C203" s="238"/>
      <c r="D203" s="239"/>
      <c r="E203" s="239"/>
      <c r="F203" s="239"/>
      <c r="G203" s="239"/>
      <c r="H203" s="239"/>
      <c r="I203" s="239"/>
      <c r="J203" s="239"/>
      <c r="K203" s="239"/>
      <c r="L203" s="239"/>
      <c r="M203" s="239"/>
      <c r="N203" s="240"/>
      <c r="O203" s="239"/>
      <c r="P203" s="239"/>
      <c r="Q203" s="239"/>
      <c r="R203" s="239"/>
      <c r="S203" s="239"/>
      <c r="T203" s="239"/>
      <c r="U203" s="239"/>
      <c r="V203" s="239"/>
      <c r="W203" s="239"/>
      <c r="X203" s="239"/>
      <c r="Y203" s="239"/>
      <c r="Z203" s="239"/>
      <c r="AA203" s="239"/>
      <c r="AB203" s="239"/>
      <c r="AC203" s="239"/>
      <c r="AD203" s="239"/>
      <c r="AE203" s="239"/>
      <c r="AF203" s="239"/>
      <c r="AG203" s="239"/>
      <c r="AH203" s="239"/>
      <c r="AI203" s="239"/>
      <c r="AJ203" s="239"/>
      <c r="AK203" s="239"/>
      <c r="AL203" s="239"/>
      <c r="AM203" s="239"/>
      <c r="AN203" s="239"/>
      <c r="AO203" s="239"/>
      <c r="AP203" s="239"/>
      <c r="AQ203" s="239"/>
      <c r="AR203" s="252"/>
      <c r="AS203" s="77">
        <f t="shared" ca="1" si="53"/>
        <v>0</v>
      </c>
      <c r="AT203" s="255">
        <f t="shared" si="54"/>
        <v>0</v>
      </c>
      <c r="AU203" s="51"/>
      <c r="AV203" s="51"/>
    </row>
    <row r="204" spans="2:48" x14ac:dyDescent="0.35">
      <c r="B204" s="218" t="str">
        <f t="shared" ca="1" si="52"/>
        <v xml:space="preserve">GUSTAVO ZÚÑIGA </v>
      </c>
      <c r="C204" s="238"/>
      <c r="D204" s="239"/>
      <c r="E204" s="239"/>
      <c r="F204" s="239"/>
      <c r="G204" s="239"/>
      <c r="H204" s="239"/>
      <c r="I204" s="239"/>
      <c r="J204" s="239"/>
      <c r="K204" s="239"/>
      <c r="L204" s="239"/>
      <c r="M204" s="239"/>
      <c r="N204" s="240"/>
      <c r="O204" s="239"/>
      <c r="P204" s="239"/>
      <c r="Q204" s="239"/>
      <c r="R204" s="239"/>
      <c r="S204" s="239"/>
      <c r="T204" s="239"/>
      <c r="U204" s="239"/>
      <c r="V204" s="239"/>
      <c r="W204" s="239"/>
      <c r="X204" s="239"/>
      <c r="Y204" s="239"/>
      <c r="Z204" s="239"/>
      <c r="AA204" s="239"/>
      <c r="AB204" s="239"/>
      <c r="AC204" s="239"/>
      <c r="AD204" s="239"/>
      <c r="AE204" s="239"/>
      <c r="AF204" s="239"/>
      <c r="AG204" s="239"/>
      <c r="AH204" s="239"/>
      <c r="AI204" s="239"/>
      <c r="AJ204" s="239"/>
      <c r="AK204" s="239"/>
      <c r="AL204" s="239"/>
      <c r="AM204" s="239"/>
      <c r="AN204" s="239"/>
      <c r="AO204" s="239"/>
      <c r="AP204" s="239"/>
      <c r="AQ204" s="239"/>
      <c r="AR204" s="252"/>
      <c r="AS204" s="77">
        <f t="shared" ca="1" si="53"/>
        <v>0</v>
      </c>
      <c r="AT204" s="255">
        <f t="shared" si="54"/>
        <v>0</v>
      </c>
      <c r="AU204" s="51"/>
      <c r="AV204" s="51"/>
    </row>
    <row r="205" spans="2:48" x14ac:dyDescent="0.35">
      <c r="B205" s="218" t="str">
        <f t="shared" ca="1" si="52"/>
        <v>LAVALLE</v>
      </c>
      <c r="C205" s="238"/>
      <c r="D205" s="239"/>
      <c r="E205" s="239"/>
      <c r="F205" s="239"/>
      <c r="G205" s="239"/>
      <c r="H205" s="239"/>
      <c r="I205" s="239"/>
      <c r="J205" s="239"/>
      <c r="K205" s="239"/>
      <c r="L205" s="239"/>
      <c r="M205" s="239"/>
      <c r="N205" s="240"/>
      <c r="O205" s="239"/>
      <c r="P205" s="239"/>
      <c r="Q205" s="239"/>
      <c r="R205" s="239"/>
      <c r="S205" s="239"/>
      <c r="T205" s="239"/>
      <c r="U205" s="239"/>
      <c r="V205" s="239"/>
      <c r="W205" s="239"/>
      <c r="X205" s="239"/>
      <c r="Y205" s="239"/>
      <c r="Z205" s="239"/>
      <c r="AA205" s="239"/>
      <c r="AB205" s="239"/>
      <c r="AC205" s="239"/>
      <c r="AD205" s="239"/>
      <c r="AE205" s="239"/>
      <c r="AF205" s="239"/>
      <c r="AG205" s="239"/>
      <c r="AH205" s="239"/>
      <c r="AI205" s="239"/>
      <c r="AJ205" s="239"/>
      <c r="AK205" s="239"/>
      <c r="AL205" s="239"/>
      <c r="AM205" s="239"/>
      <c r="AN205" s="239"/>
      <c r="AO205" s="239"/>
      <c r="AP205" s="239"/>
      <c r="AQ205" s="239"/>
      <c r="AR205" s="252"/>
      <c r="AS205" s="77">
        <f t="shared" ca="1" si="53"/>
        <v>0</v>
      </c>
      <c r="AT205" s="255">
        <f t="shared" si="54"/>
        <v>0</v>
      </c>
      <c r="AU205" s="51"/>
      <c r="AV205" s="51"/>
    </row>
    <row r="206" spans="2:48" x14ac:dyDescent="0.35">
      <c r="B206" s="218" t="str">
        <f t="shared" ca="1" si="52"/>
        <v>MACEBE</v>
      </c>
      <c r="C206" s="238"/>
      <c r="D206" s="239"/>
      <c r="E206" s="239"/>
      <c r="F206" s="239"/>
      <c r="G206" s="239"/>
      <c r="H206" s="239"/>
      <c r="I206" s="239"/>
      <c r="J206" s="239"/>
      <c r="K206" s="239"/>
      <c r="L206" s="239"/>
      <c r="M206" s="239"/>
      <c r="N206" s="240"/>
      <c r="O206" s="239"/>
      <c r="P206" s="239"/>
      <c r="Q206" s="239"/>
      <c r="R206" s="239"/>
      <c r="S206" s="239"/>
      <c r="T206" s="239"/>
      <c r="U206" s="239"/>
      <c r="V206" s="239"/>
      <c r="W206" s="239"/>
      <c r="X206" s="239"/>
      <c r="Y206" s="239"/>
      <c r="Z206" s="239"/>
      <c r="AA206" s="239"/>
      <c r="AB206" s="239"/>
      <c r="AC206" s="239"/>
      <c r="AD206" s="239"/>
      <c r="AE206" s="239"/>
      <c r="AF206" s="239"/>
      <c r="AG206" s="239"/>
      <c r="AH206" s="239"/>
      <c r="AI206" s="239"/>
      <c r="AJ206" s="239"/>
      <c r="AK206" s="239"/>
      <c r="AL206" s="239"/>
      <c r="AM206" s="239"/>
      <c r="AN206" s="239"/>
      <c r="AO206" s="239"/>
      <c r="AP206" s="239"/>
      <c r="AQ206" s="239"/>
      <c r="AR206" s="252"/>
      <c r="AS206" s="77">
        <f t="shared" ca="1" si="53"/>
        <v>0</v>
      </c>
      <c r="AT206" s="255">
        <f t="shared" si="54"/>
        <v>0</v>
      </c>
      <c r="AU206" s="51"/>
      <c r="AV206" s="51"/>
    </row>
    <row r="207" spans="2:48" x14ac:dyDescent="0.35">
      <c r="B207" s="218" t="str">
        <f t="shared" ca="1" si="52"/>
        <v xml:space="preserve">Manuel Sepúlveda </v>
      </c>
      <c r="C207" s="238"/>
      <c r="D207" s="239"/>
      <c r="E207" s="239"/>
      <c r="F207" s="239"/>
      <c r="G207" s="239"/>
      <c r="H207" s="239"/>
      <c r="I207" s="239"/>
      <c r="J207" s="239"/>
      <c r="K207" s="239"/>
      <c r="L207" s="239"/>
      <c r="M207" s="239"/>
      <c r="N207" s="240"/>
      <c r="O207" s="239"/>
      <c r="P207" s="239"/>
      <c r="Q207" s="239"/>
      <c r="R207" s="239"/>
      <c r="S207" s="239"/>
      <c r="T207" s="239"/>
      <c r="U207" s="239"/>
      <c r="V207" s="239"/>
      <c r="W207" s="239"/>
      <c r="X207" s="239"/>
      <c r="Y207" s="239"/>
      <c r="Z207" s="239"/>
      <c r="AA207" s="239"/>
      <c r="AB207" s="239"/>
      <c r="AC207" s="239"/>
      <c r="AD207" s="239"/>
      <c r="AE207" s="239"/>
      <c r="AF207" s="239"/>
      <c r="AG207" s="239"/>
      <c r="AH207" s="239"/>
      <c r="AI207" s="239"/>
      <c r="AJ207" s="239"/>
      <c r="AK207" s="239"/>
      <c r="AL207" s="239"/>
      <c r="AM207" s="239"/>
      <c r="AN207" s="239"/>
      <c r="AO207" s="239"/>
      <c r="AP207" s="239"/>
      <c r="AQ207" s="239"/>
      <c r="AR207" s="252"/>
      <c r="AS207" s="77">
        <f t="shared" ca="1" si="53"/>
        <v>0</v>
      </c>
      <c r="AT207" s="255">
        <f t="shared" si="54"/>
        <v>0</v>
      </c>
      <c r="AU207" s="51"/>
      <c r="AV207" s="51"/>
    </row>
    <row r="208" spans="2:48" x14ac:dyDescent="0.35">
      <c r="B208" s="218" t="str">
        <f t="shared" ca="1" si="52"/>
        <v>PARRAO</v>
      </c>
      <c r="C208" s="238"/>
      <c r="D208" s="239"/>
      <c r="E208" s="239"/>
      <c r="F208" s="239"/>
      <c r="G208" s="239"/>
      <c r="H208" s="239"/>
      <c r="I208" s="239"/>
      <c r="J208" s="239"/>
      <c r="K208" s="239"/>
      <c r="L208" s="239"/>
      <c r="M208" s="239"/>
      <c r="N208" s="240"/>
      <c r="O208" s="239"/>
      <c r="P208" s="239"/>
      <c r="Q208" s="239"/>
      <c r="R208" s="239"/>
      <c r="S208" s="239"/>
      <c r="T208" s="239"/>
      <c r="U208" s="239"/>
      <c r="V208" s="239"/>
      <c r="W208" s="239"/>
      <c r="X208" s="239"/>
      <c r="Y208" s="239"/>
      <c r="Z208" s="239"/>
      <c r="AA208" s="239"/>
      <c r="AB208" s="239"/>
      <c r="AC208" s="239"/>
      <c r="AD208" s="239"/>
      <c r="AE208" s="239"/>
      <c r="AF208" s="239"/>
      <c r="AG208" s="239"/>
      <c r="AH208" s="239"/>
      <c r="AI208" s="239"/>
      <c r="AJ208" s="239"/>
      <c r="AK208" s="239"/>
      <c r="AL208" s="239"/>
      <c r="AM208" s="239"/>
      <c r="AN208" s="239"/>
      <c r="AO208" s="239"/>
      <c r="AP208" s="239"/>
      <c r="AQ208" s="239"/>
      <c r="AR208" s="252"/>
      <c r="AS208" s="77">
        <f t="shared" ca="1" si="53"/>
        <v>0</v>
      </c>
      <c r="AT208" s="255">
        <f t="shared" si="54"/>
        <v>0</v>
      </c>
      <c r="AU208" s="51"/>
      <c r="AV208" s="51"/>
    </row>
    <row r="209" spans="2:48" x14ac:dyDescent="0.35">
      <c r="B209" s="218" t="str">
        <f t="shared" ca="1" si="52"/>
        <v>PAULA</v>
      </c>
      <c r="C209" s="238"/>
      <c r="D209" s="239"/>
      <c r="E209" s="239"/>
      <c r="F209" s="239"/>
      <c r="G209" s="239"/>
      <c r="H209" s="239"/>
      <c r="I209" s="239"/>
      <c r="J209" s="239"/>
      <c r="K209" s="239"/>
      <c r="L209" s="239"/>
      <c r="M209" s="239"/>
      <c r="N209" s="240"/>
      <c r="O209" s="239"/>
      <c r="P209" s="239"/>
      <c r="Q209" s="239"/>
      <c r="R209" s="239"/>
      <c r="S209" s="239"/>
      <c r="T209" s="239"/>
      <c r="U209" s="239"/>
      <c r="V209" s="239"/>
      <c r="W209" s="239"/>
      <c r="X209" s="239"/>
      <c r="Y209" s="239"/>
      <c r="Z209" s="239"/>
      <c r="AA209" s="239"/>
      <c r="AB209" s="239"/>
      <c r="AC209" s="239"/>
      <c r="AD209" s="239"/>
      <c r="AE209" s="239"/>
      <c r="AF209" s="239"/>
      <c r="AG209" s="239"/>
      <c r="AH209" s="239"/>
      <c r="AI209" s="239"/>
      <c r="AJ209" s="239"/>
      <c r="AK209" s="239"/>
      <c r="AL209" s="239"/>
      <c r="AM209" s="239"/>
      <c r="AN209" s="239"/>
      <c r="AO209" s="239"/>
      <c r="AP209" s="239"/>
      <c r="AQ209" s="239"/>
      <c r="AR209" s="252"/>
      <c r="AS209" s="77">
        <f t="shared" ca="1" si="53"/>
        <v>0</v>
      </c>
      <c r="AT209" s="255">
        <f t="shared" si="54"/>
        <v>0</v>
      </c>
      <c r="AU209" s="51"/>
      <c r="AV209" s="51"/>
    </row>
    <row r="210" spans="2:48" x14ac:dyDescent="0.35">
      <c r="B210" s="218" t="str">
        <f t="shared" ca="1" si="52"/>
        <v>TH TRANSPORTES</v>
      </c>
      <c r="C210" s="238"/>
      <c r="D210" s="239"/>
      <c r="E210" s="239"/>
      <c r="F210" s="239"/>
      <c r="G210" s="239"/>
      <c r="H210" s="239"/>
      <c r="I210" s="239"/>
      <c r="J210" s="239"/>
      <c r="K210" s="239"/>
      <c r="L210" s="239"/>
      <c r="M210" s="239"/>
      <c r="N210" s="240"/>
      <c r="O210" s="239"/>
      <c r="P210" s="239"/>
      <c r="Q210" s="239"/>
      <c r="R210" s="239"/>
      <c r="S210" s="239"/>
      <c r="T210" s="239"/>
      <c r="U210" s="239"/>
      <c r="V210" s="239"/>
      <c r="W210" s="239"/>
      <c r="X210" s="239"/>
      <c r="Y210" s="239"/>
      <c r="Z210" s="239"/>
      <c r="AA210" s="239"/>
      <c r="AB210" s="239"/>
      <c r="AC210" s="239"/>
      <c r="AD210" s="239"/>
      <c r="AE210" s="239"/>
      <c r="AF210" s="239"/>
      <c r="AG210" s="239"/>
      <c r="AH210" s="239"/>
      <c r="AI210" s="239"/>
      <c r="AJ210" s="239"/>
      <c r="AK210" s="239"/>
      <c r="AL210" s="239"/>
      <c r="AM210" s="239"/>
      <c r="AN210" s="239"/>
      <c r="AO210" s="239"/>
      <c r="AP210" s="239"/>
      <c r="AQ210" s="239"/>
      <c r="AR210" s="252"/>
      <c r="AS210" s="77">
        <f t="shared" ca="1" si="53"/>
        <v>0</v>
      </c>
      <c r="AT210" s="255">
        <f t="shared" si="54"/>
        <v>0</v>
      </c>
      <c r="AU210" s="51"/>
      <c r="AV210" s="51"/>
    </row>
    <row r="211" spans="2:48" x14ac:dyDescent="0.35">
      <c r="B211" s="218" t="str">
        <f t="shared" ca="1" si="52"/>
        <v>TRAIDILL</v>
      </c>
      <c r="C211" s="238"/>
      <c r="D211" s="239"/>
      <c r="E211" s="239"/>
      <c r="F211" s="239"/>
      <c r="G211" s="239"/>
      <c r="H211" s="239"/>
      <c r="I211" s="239"/>
      <c r="J211" s="239"/>
      <c r="K211" s="239"/>
      <c r="L211" s="239"/>
      <c r="M211" s="239"/>
      <c r="N211" s="240"/>
      <c r="O211" s="239"/>
      <c r="P211" s="239"/>
      <c r="Q211" s="239"/>
      <c r="R211" s="239"/>
      <c r="S211" s="239"/>
      <c r="T211" s="239"/>
      <c r="U211" s="239"/>
      <c r="V211" s="239"/>
      <c r="W211" s="239"/>
      <c r="X211" s="239"/>
      <c r="Y211" s="239"/>
      <c r="Z211" s="239"/>
      <c r="AA211" s="239"/>
      <c r="AB211" s="239"/>
      <c r="AC211" s="239"/>
      <c r="AD211" s="239"/>
      <c r="AE211" s="239"/>
      <c r="AF211" s="239"/>
      <c r="AG211" s="239"/>
      <c r="AH211" s="239"/>
      <c r="AI211" s="239"/>
      <c r="AJ211" s="239"/>
      <c r="AK211" s="239"/>
      <c r="AL211" s="239"/>
      <c r="AM211" s="239"/>
      <c r="AN211" s="239"/>
      <c r="AO211" s="239"/>
      <c r="AP211" s="239"/>
      <c r="AQ211" s="239"/>
      <c r="AR211" s="252"/>
      <c r="AS211" s="77">
        <f t="shared" ca="1" si="53"/>
        <v>0</v>
      </c>
      <c r="AT211" s="255">
        <f t="shared" si="54"/>
        <v>0</v>
      </c>
      <c r="AU211" s="51"/>
      <c r="AV211" s="51"/>
    </row>
    <row r="212" spans="2:48" x14ac:dyDescent="0.35">
      <c r="B212" s="218" t="str">
        <f t="shared" ca="1" si="52"/>
        <v>TRANS. ALMENDRAL</v>
      </c>
      <c r="C212" s="238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40"/>
      <c r="O212" s="239"/>
      <c r="P212" s="239"/>
      <c r="Q212" s="239"/>
      <c r="R212" s="239"/>
      <c r="S212" s="239"/>
      <c r="T212" s="239"/>
      <c r="U212" s="239"/>
      <c r="V212" s="239"/>
      <c r="W212" s="239"/>
      <c r="X212" s="239"/>
      <c r="Y212" s="239"/>
      <c r="Z212" s="239"/>
      <c r="AA212" s="239"/>
      <c r="AB212" s="239"/>
      <c r="AC212" s="239"/>
      <c r="AD212" s="239"/>
      <c r="AE212" s="239"/>
      <c r="AF212" s="239"/>
      <c r="AG212" s="239"/>
      <c r="AH212" s="239"/>
      <c r="AI212" s="239"/>
      <c r="AJ212" s="239"/>
      <c r="AK212" s="239"/>
      <c r="AL212" s="239"/>
      <c r="AM212" s="239"/>
      <c r="AN212" s="239"/>
      <c r="AO212" s="239"/>
      <c r="AP212" s="239"/>
      <c r="AQ212" s="239"/>
      <c r="AR212" s="252"/>
      <c r="AS212" s="77">
        <f t="shared" ca="1" si="53"/>
        <v>0</v>
      </c>
      <c r="AT212" s="255">
        <f t="shared" si="54"/>
        <v>0</v>
      </c>
      <c r="AU212" s="51"/>
      <c r="AV212" s="51"/>
    </row>
    <row r="213" spans="2:48" x14ac:dyDescent="0.35">
      <c r="B213" s="218" t="str">
        <f t="shared" ca="1" si="52"/>
        <v>TRANS. MAX SOTO G. E.I.R.L.</v>
      </c>
      <c r="C213" s="238"/>
      <c r="D213" s="239"/>
      <c r="E213" s="239"/>
      <c r="F213" s="239"/>
      <c r="G213" s="239"/>
      <c r="H213" s="239"/>
      <c r="I213" s="239"/>
      <c r="J213" s="239"/>
      <c r="K213" s="239"/>
      <c r="L213" s="239"/>
      <c r="M213" s="239"/>
      <c r="N213" s="240"/>
      <c r="O213" s="239"/>
      <c r="P213" s="239"/>
      <c r="Q213" s="239"/>
      <c r="R213" s="239"/>
      <c r="S213" s="239"/>
      <c r="T213" s="239"/>
      <c r="U213" s="239"/>
      <c r="V213" s="239"/>
      <c r="W213" s="239"/>
      <c r="X213" s="239"/>
      <c r="Y213" s="239"/>
      <c r="Z213" s="239"/>
      <c r="AA213" s="239"/>
      <c r="AB213" s="239"/>
      <c r="AC213" s="239"/>
      <c r="AD213" s="239"/>
      <c r="AE213" s="239"/>
      <c r="AF213" s="239"/>
      <c r="AG213" s="239"/>
      <c r="AH213" s="239"/>
      <c r="AI213" s="239"/>
      <c r="AJ213" s="239"/>
      <c r="AK213" s="239"/>
      <c r="AL213" s="239"/>
      <c r="AM213" s="239"/>
      <c r="AN213" s="239"/>
      <c r="AO213" s="239"/>
      <c r="AP213" s="239"/>
      <c r="AQ213" s="239"/>
      <c r="AR213" s="252"/>
      <c r="AS213" s="77">
        <f t="shared" ca="1" si="53"/>
        <v>0</v>
      </c>
      <c r="AT213" s="255">
        <f t="shared" si="54"/>
        <v>0</v>
      </c>
      <c r="AU213" s="51"/>
      <c r="AV213" s="51"/>
    </row>
    <row r="214" spans="2:48" x14ac:dyDescent="0.35">
      <c r="B214" s="218" t="str">
        <f t="shared" ca="1" si="52"/>
        <v>TRANS. MITRE SPA.</v>
      </c>
      <c r="C214" s="238"/>
      <c r="D214" s="239"/>
      <c r="E214" s="239"/>
      <c r="F214" s="239"/>
      <c r="G214" s="239"/>
      <c r="H214" s="239"/>
      <c r="I214" s="239"/>
      <c r="J214" s="239"/>
      <c r="K214" s="239"/>
      <c r="L214" s="239"/>
      <c r="M214" s="239"/>
      <c r="N214" s="240"/>
      <c r="O214" s="239"/>
      <c r="P214" s="239"/>
      <c r="Q214" s="239"/>
      <c r="R214" s="239"/>
      <c r="S214" s="239"/>
      <c r="T214" s="239"/>
      <c r="U214" s="239"/>
      <c r="V214" s="239"/>
      <c r="W214" s="239"/>
      <c r="X214" s="239"/>
      <c r="Y214" s="239"/>
      <c r="Z214" s="239"/>
      <c r="AA214" s="239"/>
      <c r="AB214" s="239"/>
      <c r="AC214" s="239"/>
      <c r="AD214" s="239"/>
      <c r="AE214" s="239"/>
      <c r="AF214" s="239"/>
      <c r="AG214" s="239"/>
      <c r="AH214" s="239"/>
      <c r="AI214" s="239"/>
      <c r="AJ214" s="239"/>
      <c r="AK214" s="239"/>
      <c r="AL214" s="239"/>
      <c r="AM214" s="239"/>
      <c r="AN214" s="239"/>
      <c r="AO214" s="239"/>
      <c r="AP214" s="239"/>
      <c r="AQ214" s="239"/>
      <c r="AR214" s="252"/>
      <c r="AS214" s="77">
        <f t="shared" ca="1" si="53"/>
        <v>0</v>
      </c>
      <c r="AT214" s="255">
        <f t="shared" si="54"/>
        <v>0</v>
      </c>
      <c r="AU214" s="51"/>
      <c r="AV214" s="51"/>
    </row>
    <row r="215" spans="2:48" x14ac:dyDescent="0.35">
      <c r="B215" s="218" t="str">
        <f t="shared" ca="1" si="52"/>
        <v xml:space="preserve">  TRANS. MORROS LTDA.</v>
      </c>
      <c r="C215" s="238"/>
      <c r="D215" s="239"/>
      <c r="E215" s="239"/>
      <c r="F215" s="239"/>
      <c r="G215" s="239"/>
      <c r="H215" s="239"/>
      <c r="I215" s="239"/>
      <c r="J215" s="239"/>
      <c r="K215" s="239"/>
      <c r="L215" s="239"/>
      <c r="M215" s="239"/>
      <c r="N215" s="240"/>
      <c r="O215" s="239"/>
      <c r="P215" s="239"/>
      <c r="Q215" s="239"/>
      <c r="R215" s="239"/>
      <c r="S215" s="239"/>
      <c r="T215" s="239"/>
      <c r="U215" s="239"/>
      <c r="V215" s="239"/>
      <c r="W215" s="239"/>
      <c r="X215" s="239"/>
      <c r="Y215" s="239"/>
      <c r="Z215" s="239"/>
      <c r="AA215" s="239"/>
      <c r="AB215" s="239"/>
      <c r="AC215" s="239"/>
      <c r="AD215" s="239"/>
      <c r="AE215" s="239"/>
      <c r="AF215" s="239"/>
      <c r="AG215" s="239"/>
      <c r="AH215" s="239"/>
      <c r="AI215" s="239"/>
      <c r="AJ215" s="239"/>
      <c r="AK215" s="239"/>
      <c r="AL215" s="239"/>
      <c r="AM215" s="239"/>
      <c r="AN215" s="239"/>
      <c r="AO215" s="239"/>
      <c r="AP215" s="239"/>
      <c r="AQ215" s="239"/>
      <c r="AR215" s="252"/>
      <c r="AS215" s="77">
        <f t="shared" ca="1" si="53"/>
        <v>0</v>
      </c>
      <c r="AT215" s="255">
        <f t="shared" si="54"/>
        <v>0</v>
      </c>
      <c r="AU215" s="51"/>
      <c r="AV215" s="51"/>
    </row>
    <row r="216" spans="2:48" x14ac:dyDescent="0.35">
      <c r="B216" s="218" t="str">
        <f t="shared" ca="1" si="52"/>
        <v xml:space="preserve">CRISTIAN LÓPEZ </v>
      </c>
      <c r="C216" s="238"/>
      <c r="D216" s="239"/>
      <c r="E216" s="239"/>
      <c r="F216" s="239"/>
      <c r="G216" s="239"/>
      <c r="H216" s="239"/>
      <c r="I216" s="239"/>
      <c r="J216" s="239"/>
      <c r="K216" s="239"/>
      <c r="L216" s="239"/>
      <c r="M216" s="239"/>
      <c r="N216" s="240"/>
      <c r="O216" s="239"/>
      <c r="P216" s="239"/>
      <c r="Q216" s="239"/>
      <c r="R216" s="239"/>
      <c r="S216" s="239"/>
      <c r="T216" s="239"/>
      <c r="U216" s="239"/>
      <c r="V216" s="239"/>
      <c r="W216" s="239"/>
      <c r="X216" s="239"/>
      <c r="Y216" s="239"/>
      <c r="Z216" s="239"/>
      <c r="AA216" s="239"/>
      <c r="AB216" s="239"/>
      <c r="AC216" s="239"/>
      <c r="AD216" s="239"/>
      <c r="AE216" s="239"/>
      <c r="AF216" s="239"/>
      <c r="AG216" s="239"/>
      <c r="AH216" s="239"/>
      <c r="AI216" s="239"/>
      <c r="AJ216" s="239"/>
      <c r="AK216" s="239"/>
      <c r="AL216" s="239"/>
      <c r="AM216" s="239"/>
      <c r="AN216" s="239"/>
      <c r="AO216" s="239"/>
      <c r="AP216" s="239"/>
      <c r="AQ216" s="239"/>
      <c r="AR216" s="252"/>
      <c r="AS216" s="77">
        <f t="shared" ca="1" si="53"/>
        <v>0</v>
      </c>
      <c r="AT216" s="255">
        <f t="shared" si="54"/>
        <v>0</v>
      </c>
      <c r="AU216" s="51"/>
      <c r="AV216" s="51"/>
    </row>
    <row r="217" spans="2:48" ht="15" thickBot="1" x14ac:dyDescent="0.4">
      <c r="B217" s="219" t="str">
        <f t="shared" ca="1" si="52"/>
        <v xml:space="preserve">GUSTAVO ZÚÑIGA </v>
      </c>
      <c r="C217" s="241"/>
      <c r="D217" s="242"/>
      <c r="E217" s="242"/>
      <c r="F217" s="242"/>
      <c r="G217" s="242"/>
      <c r="H217" s="242"/>
      <c r="I217" s="242"/>
      <c r="J217" s="242"/>
      <c r="K217" s="242"/>
      <c r="L217" s="242"/>
      <c r="M217" s="242"/>
      <c r="N217" s="243"/>
      <c r="O217" s="242"/>
      <c r="P217" s="242"/>
      <c r="Q217" s="242"/>
      <c r="R217" s="242"/>
      <c r="S217" s="242"/>
      <c r="T217" s="242"/>
      <c r="U217" s="242"/>
      <c r="V217" s="242"/>
      <c r="W217" s="242"/>
      <c r="X217" s="242"/>
      <c r="Y217" s="242"/>
      <c r="Z217" s="242"/>
      <c r="AA217" s="242"/>
      <c r="AB217" s="242"/>
      <c r="AC217" s="242"/>
      <c r="AD217" s="242"/>
      <c r="AE217" s="242"/>
      <c r="AF217" s="242"/>
      <c r="AG217" s="242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53"/>
      <c r="AS217" s="78">
        <f t="shared" ca="1" si="53"/>
        <v>0</v>
      </c>
      <c r="AT217" s="255">
        <f t="shared" si="54"/>
        <v>0</v>
      </c>
      <c r="AU217" s="51"/>
      <c r="AV217" s="51"/>
    </row>
  </sheetData>
  <mergeCells count="5">
    <mergeCell ref="C6:F6"/>
    <mergeCell ref="O7:P7"/>
    <mergeCell ref="O8:P8"/>
    <mergeCell ref="O9:P9"/>
    <mergeCell ref="AW2:AX3"/>
  </mergeCells>
  <conditionalFormatting sqref="I13:V6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1:V11">
    <cfRule type="cellIs" dxfId="0" priority="2" operator="equal">
      <formula>0</formula>
    </cfRule>
  </conditionalFormatting>
  <conditionalFormatting sqref="AH3:AU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F13:F68" xr:uid="{C0D3D2CD-F9AA-464D-BC12-620BB1CF28FE}">
      <formula1>"Totes,Mini Bins"</formula1>
    </dataValidation>
    <dataValidation type="list" allowBlank="1" showInputMessage="1" showErrorMessage="1" sqref="I11:V11" xr:uid="{1A1EB692-EFF2-47C1-A008-4ACF5EC5AA97}">
      <formula1>"0,1"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E6DD1-11A7-4222-9622-3D157B273492}">
  <sheetPr codeName="Sheet8">
    <tabColor rgb="FF00B050"/>
  </sheetPr>
  <dimension ref="B5:DT103"/>
  <sheetViews>
    <sheetView showGridLines="0" zoomScaleNormal="100" workbookViewId="0">
      <selection activeCell="G7" sqref="G7"/>
    </sheetView>
  </sheetViews>
  <sheetFormatPr baseColWidth="10" defaultColWidth="8.7265625" defaultRowHeight="14.5" x14ac:dyDescent="0.35"/>
  <cols>
    <col min="1" max="1" width="9" customWidth="1"/>
    <col min="2" max="2" width="35" style="43" bestFit="1" customWidth="1"/>
    <col min="3" max="3" width="10.54296875" style="43" bestFit="1" customWidth="1"/>
    <col min="4" max="4" width="12.26953125" style="43" bestFit="1" customWidth="1"/>
    <col min="5" max="6" width="12.26953125" style="43" customWidth="1"/>
    <col min="7" max="7" width="17.26953125" style="43" bestFit="1" customWidth="1"/>
    <col min="8" max="8" width="21.7265625" style="43" bestFit="1" customWidth="1"/>
    <col min="9" max="9" width="10.7265625" style="43" customWidth="1"/>
    <col min="10" max="10" width="12.81640625" style="43" customWidth="1"/>
    <col min="11" max="11" width="10.7265625" style="43" customWidth="1"/>
    <col min="12" max="12" width="13.453125" style="43" customWidth="1"/>
    <col min="13" max="43" width="10.7265625" customWidth="1"/>
    <col min="45" max="45" width="23" style="45" bestFit="1" customWidth="1"/>
    <col min="46" max="46" width="10.54296875" style="45" bestFit="1" customWidth="1"/>
    <col min="47" max="47" width="17.26953125" bestFit="1" customWidth="1"/>
    <col min="48" max="48" width="21.7265625" bestFit="1" customWidth="1"/>
    <col min="85" max="85" width="13" customWidth="1"/>
    <col min="86" max="86" width="23" bestFit="1" customWidth="1"/>
    <col min="87" max="87" width="10.54296875" bestFit="1" customWidth="1"/>
    <col min="88" max="124" width="12.26953125" customWidth="1"/>
  </cols>
  <sheetData>
    <row r="5" spans="2:124" ht="15" thickBot="1" x14ac:dyDescent="0.4"/>
    <row r="6" spans="2:124" ht="15" thickBot="1" x14ac:dyDescent="0.4">
      <c r="B6" s="287" t="s">
        <v>179</v>
      </c>
      <c r="G6" s="19" t="str">
        <f>+IF(SUM(G8:G63)=0,"",SUM(G8:G63))</f>
        <v/>
      </c>
      <c r="H6" s="20" t="str">
        <f t="shared" ref="H6:AQ6" si="0">+IF(SUM(H8:H63)=0,"",SUM(H8:H63))</f>
        <v/>
      </c>
      <c r="I6" s="20" t="str">
        <f t="shared" si="0"/>
        <v/>
      </c>
      <c r="J6" s="20" t="str">
        <f t="shared" si="0"/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0" t="str">
        <f t="shared" si="0"/>
        <v/>
      </c>
      <c r="R6" s="20" t="str">
        <f t="shared" si="0"/>
        <v/>
      </c>
      <c r="S6" s="20" t="str">
        <f t="shared" si="0"/>
        <v/>
      </c>
      <c r="T6" s="20" t="str">
        <f t="shared" si="0"/>
        <v/>
      </c>
      <c r="U6" s="20" t="str">
        <f t="shared" si="0"/>
        <v/>
      </c>
      <c r="V6" s="20" t="str">
        <f t="shared" si="0"/>
        <v/>
      </c>
      <c r="W6" s="20" t="str">
        <f t="shared" si="0"/>
        <v/>
      </c>
      <c r="X6" s="20" t="str">
        <f t="shared" si="0"/>
        <v/>
      </c>
      <c r="Y6" s="20" t="str">
        <f t="shared" si="0"/>
        <v/>
      </c>
      <c r="Z6" s="20" t="str">
        <f t="shared" si="0"/>
        <v/>
      </c>
      <c r="AA6" s="20" t="str">
        <f t="shared" si="0"/>
        <v/>
      </c>
      <c r="AB6" s="20" t="str">
        <f t="shared" si="0"/>
        <v/>
      </c>
      <c r="AC6" s="20" t="str">
        <f t="shared" si="0"/>
        <v/>
      </c>
      <c r="AD6" s="20" t="str">
        <f t="shared" si="0"/>
        <v/>
      </c>
      <c r="AE6" s="20" t="str">
        <f t="shared" si="0"/>
        <v/>
      </c>
      <c r="AF6" s="20" t="str">
        <f t="shared" si="0"/>
        <v/>
      </c>
      <c r="AG6" s="20" t="str">
        <f t="shared" si="0"/>
        <v/>
      </c>
      <c r="AH6" s="20" t="str">
        <f t="shared" si="0"/>
        <v/>
      </c>
      <c r="AI6" s="20" t="str">
        <f t="shared" si="0"/>
        <v/>
      </c>
      <c r="AJ6" s="20" t="str">
        <f t="shared" si="0"/>
        <v/>
      </c>
      <c r="AK6" s="20" t="str">
        <f t="shared" si="0"/>
        <v/>
      </c>
      <c r="AL6" s="20" t="str">
        <f t="shared" si="0"/>
        <v/>
      </c>
      <c r="AM6" s="20" t="str">
        <f t="shared" si="0"/>
        <v/>
      </c>
      <c r="AN6" s="20" t="str">
        <f t="shared" si="0"/>
        <v/>
      </c>
      <c r="AO6" s="20" t="str">
        <f t="shared" si="0"/>
        <v/>
      </c>
      <c r="AP6" s="20" t="str">
        <f t="shared" si="0"/>
        <v/>
      </c>
      <c r="AQ6" s="21" t="str">
        <f t="shared" si="0"/>
        <v/>
      </c>
      <c r="AS6" s="287" t="s">
        <v>175</v>
      </c>
      <c r="CG6" s="306">
        <f>+SUM(CG8:CG63)</f>
        <v>0</v>
      </c>
      <c r="CH6" s="287" t="s">
        <v>174</v>
      </c>
      <c r="CI6" s="45"/>
      <c r="CJ6" s="298" t="str">
        <f>+IF(SUM(CJ8:CJ63)=0,"",SUM(CJ8:CJ63))</f>
        <v/>
      </c>
      <c r="CK6" s="299" t="str">
        <f t="shared" ref="CK6:DT6" si="1">+IF(SUM(CK8:CK63)=0,"",SUM(CK8:CK63))</f>
        <v/>
      </c>
      <c r="CL6" s="299" t="str">
        <f t="shared" si="1"/>
        <v/>
      </c>
      <c r="CM6" s="299" t="str">
        <f t="shared" si="1"/>
        <v/>
      </c>
      <c r="CN6" s="299" t="str">
        <f t="shared" si="1"/>
        <v/>
      </c>
      <c r="CO6" s="299" t="str">
        <f t="shared" si="1"/>
        <v/>
      </c>
      <c r="CP6" s="299" t="str">
        <f t="shared" si="1"/>
        <v/>
      </c>
      <c r="CQ6" s="299" t="str">
        <f t="shared" si="1"/>
        <v/>
      </c>
      <c r="CR6" s="299" t="str">
        <f t="shared" si="1"/>
        <v/>
      </c>
      <c r="CS6" s="299" t="str">
        <f t="shared" si="1"/>
        <v/>
      </c>
      <c r="CT6" s="299" t="str">
        <f t="shared" si="1"/>
        <v/>
      </c>
      <c r="CU6" s="299" t="str">
        <f t="shared" si="1"/>
        <v/>
      </c>
      <c r="CV6" s="299" t="str">
        <f t="shared" si="1"/>
        <v/>
      </c>
      <c r="CW6" s="299" t="str">
        <f t="shared" si="1"/>
        <v/>
      </c>
      <c r="CX6" s="299" t="str">
        <f t="shared" si="1"/>
        <v/>
      </c>
      <c r="CY6" s="299" t="str">
        <f t="shared" si="1"/>
        <v/>
      </c>
      <c r="CZ6" s="299" t="str">
        <f t="shared" si="1"/>
        <v/>
      </c>
      <c r="DA6" s="299" t="str">
        <f t="shared" si="1"/>
        <v/>
      </c>
      <c r="DB6" s="299" t="str">
        <f t="shared" si="1"/>
        <v/>
      </c>
      <c r="DC6" s="299" t="str">
        <f t="shared" si="1"/>
        <v/>
      </c>
      <c r="DD6" s="299" t="str">
        <f t="shared" si="1"/>
        <v/>
      </c>
      <c r="DE6" s="299" t="str">
        <f t="shared" si="1"/>
        <v/>
      </c>
      <c r="DF6" s="299" t="str">
        <f t="shared" si="1"/>
        <v/>
      </c>
      <c r="DG6" s="299" t="str">
        <f t="shared" si="1"/>
        <v/>
      </c>
      <c r="DH6" s="299" t="str">
        <f t="shared" si="1"/>
        <v/>
      </c>
      <c r="DI6" s="299" t="str">
        <f t="shared" si="1"/>
        <v/>
      </c>
      <c r="DJ6" s="299" t="str">
        <f t="shared" si="1"/>
        <v/>
      </c>
      <c r="DK6" s="299" t="str">
        <f t="shared" si="1"/>
        <v/>
      </c>
      <c r="DL6" s="299" t="str">
        <f t="shared" si="1"/>
        <v/>
      </c>
      <c r="DM6" s="299" t="str">
        <f t="shared" si="1"/>
        <v/>
      </c>
      <c r="DN6" s="299" t="str">
        <f t="shared" si="1"/>
        <v/>
      </c>
      <c r="DO6" s="299" t="str">
        <f t="shared" si="1"/>
        <v/>
      </c>
      <c r="DP6" s="299" t="str">
        <f t="shared" si="1"/>
        <v/>
      </c>
      <c r="DQ6" s="299" t="str">
        <f t="shared" si="1"/>
        <v/>
      </c>
      <c r="DR6" s="299" t="str">
        <f t="shared" si="1"/>
        <v/>
      </c>
      <c r="DS6" s="299" t="str">
        <f t="shared" si="1"/>
        <v/>
      </c>
      <c r="DT6" s="300" t="str">
        <f t="shared" si="1"/>
        <v/>
      </c>
    </row>
    <row r="7" spans="2:124" ht="15" thickBot="1" x14ac:dyDescent="0.4">
      <c r="B7" s="29" t="s">
        <v>101</v>
      </c>
      <c r="C7" s="31" t="s">
        <v>16</v>
      </c>
      <c r="D7" s="31" t="s">
        <v>177</v>
      </c>
      <c r="E7" s="31" t="s">
        <v>176</v>
      </c>
      <c r="F7" s="30" t="s">
        <v>178</v>
      </c>
      <c r="G7" s="307" t="e" cm="1" vm="1">
        <f t="array" ref="G7">+TRANSPOSE(_xlfn.UNIQUE(TRANSPOSE(_xlfn._xlws.FILTER('Auxiliar Resultados'!C8:AM8,'Auxiliar Resultados'!C8:AM8&lt;&gt;""))))</f>
        <v>#VALUE!</v>
      </c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6"/>
      <c r="AI7" s="296"/>
      <c r="AJ7" s="296"/>
      <c r="AK7" s="296"/>
      <c r="AL7" s="296"/>
      <c r="AM7" s="296"/>
      <c r="AN7" s="296"/>
      <c r="AO7" s="296"/>
      <c r="AP7" s="296"/>
      <c r="AQ7" s="297"/>
      <c r="AS7" s="19" t="str">
        <f>+IF(B7="","",B7)</f>
        <v>Campo</v>
      </c>
      <c r="AT7" s="21" t="str">
        <f t="shared" ref="AT7" si="2">+IF(C7="","",C7)</f>
        <v>Destino</v>
      </c>
      <c r="AU7" s="190" t="e" vm="1">
        <f t="shared" ref="AU7:CE7" si="3">+IF(G7="","",G7)</f>
        <v>#VALUE!</v>
      </c>
      <c r="AV7" s="31" t="str">
        <f t="shared" si="3"/>
        <v/>
      </c>
      <c r="AW7" s="31" t="str">
        <f t="shared" si="3"/>
        <v/>
      </c>
      <c r="AX7" s="31" t="str">
        <f t="shared" si="3"/>
        <v/>
      </c>
      <c r="AY7" s="31" t="str">
        <f t="shared" si="3"/>
        <v/>
      </c>
      <c r="AZ7" s="31" t="str">
        <f t="shared" si="3"/>
        <v/>
      </c>
      <c r="BA7" s="31" t="str">
        <f t="shared" si="3"/>
        <v/>
      </c>
      <c r="BB7" s="31" t="str">
        <f t="shared" si="3"/>
        <v/>
      </c>
      <c r="BC7" s="31" t="str">
        <f t="shared" si="3"/>
        <v/>
      </c>
      <c r="BD7" s="31" t="str">
        <f t="shared" si="3"/>
        <v/>
      </c>
      <c r="BE7" s="31" t="str">
        <f t="shared" si="3"/>
        <v/>
      </c>
      <c r="BF7" s="31" t="str">
        <f t="shared" si="3"/>
        <v/>
      </c>
      <c r="BG7" s="31" t="str">
        <f t="shared" si="3"/>
        <v/>
      </c>
      <c r="BH7" s="31" t="str">
        <f t="shared" si="3"/>
        <v/>
      </c>
      <c r="BI7" s="31" t="str">
        <f t="shared" si="3"/>
        <v/>
      </c>
      <c r="BJ7" s="31" t="str">
        <f t="shared" si="3"/>
        <v/>
      </c>
      <c r="BK7" s="31" t="str">
        <f t="shared" si="3"/>
        <v/>
      </c>
      <c r="BL7" s="31" t="str">
        <f t="shared" si="3"/>
        <v/>
      </c>
      <c r="BM7" s="31" t="str">
        <f t="shared" si="3"/>
        <v/>
      </c>
      <c r="BN7" s="31" t="str">
        <f t="shared" si="3"/>
        <v/>
      </c>
      <c r="BO7" s="31" t="str">
        <f t="shared" si="3"/>
        <v/>
      </c>
      <c r="BP7" s="31" t="str">
        <f t="shared" si="3"/>
        <v/>
      </c>
      <c r="BQ7" s="31" t="str">
        <f t="shared" si="3"/>
        <v/>
      </c>
      <c r="BR7" s="31" t="str">
        <f t="shared" si="3"/>
        <v/>
      </c>
      <c r="BS7" s="31" t="str">
        <f t="shared" si="3"/>
        <v/>
      </c>
      <c r="BT7" s="31" t="str">
        <f t="shared" si="3"/>
        <v/>
      </c>
      <c r="BU7" s="31" t="str">
        <f t="shared" si="3"/>
        <v/>
      </c>
      <c r="BV7" s="31" t="str">
        <f t="shared" si="3"/>
        <v/>
      </c>
      <c r="BW7" s="31" t="str">
        <f t="shared" si="3"/>
        <v/>
      </c>
      <c r="BX7" s="31" t="str">
        <f t="shared" si="3"/>
        <v/>
      </c>
      <c r="BY7" s="31" t="str">
        <f t="shared" si="3"/>
        <v/>
      </c>
      <c r="BZ7" s="31" t="str">
        <f t="shared" si="3"/>
        <v/>
      </c>
      <c r="CA7" s="31" t="str">
        <f t="shared" si="3"/>
        <v/>
      </c>
      <c r="CB7" s="31" t="str">
        <f t="shared" si="3"/>
        <v/>
      </c>
      <c r="CC7" s="31" t="str">
        <f t="shared" si="3"/>
        <v/>
      </c>
      <c r="CD7" s="31" t="str">
        <f t="shared" si="3"/>
        <v/>
      </c>
      <c r="CE7" s="30" t="str">
        <f t="shared" si="3"/>
        <v/>
      </c>
      <c r="CF7" s="12"/>
      <c r="CG7" s="57" t="s">
        <v>19</v>
      </c>
      <c r="CH7" s="19" t="str">
        <f>+IF(AS7="","",AS7)</f>
        <v>Campo</v>
      </c>
      <c r="CI7" s="21" t="str">
        <f t="shared" ref="CI7:DT7" si="4">+IF(AT7="","",AT7)</f>
        <v>Destino</v>
      </c>
      <c r="CJ7" s="295" t="e" vm="1">
        <f t="shared" si="4"/>
        <v>#VALUE!</v>
      </c>
      <c r="CK7" s="296" t="str">
        <f t="shared" si="4"/>
        <v/>
      </c>
      <c r="CL7" s="296" t="str">
        <f t="shared" si="4"/>
        <v/>
      </c>
      <c r="CM7" s="296" t="str">
        <f t="shared" si="4"/>
        <v/>
      </c>
      <c r="CN7" s="296" t="str">
        <f t="shared" si="4"/>
        <v/>
      </c>
      <c r="CO7" s="296" t="str">
        <f t="shared" si="4"/>
        <v/>
      </c>
      <c r="CP7" s="296" t="str">
        <f t="shared" si="4"/>
        <v/>
      </c>
      <c r="CQ7" s="296" t="str">
        <f t="shared" si="4"/>
        <v/>
      </c>
      <c r="CR7" s="296" t="str">
        <f t="shared" si="4"/>
        <v/>
      </c>
      <c r="CS7" s="296" t="str">
        <f t="shared" si="4"/>
        <v/>
      </c>
      <c r="CT7" s="296" t="str">
        <f t="shared" si="4"/>
        <v/>
      </c>
      <c r="CU7" s="296" t="str">
        <f t="shared" si="4"/>
        <v/>
      </c>
      <c r="CV7" s="296" t="str">
        <f t="shared" si="4"/>
        <v/>
      </c>
      <c r="CW7" s="296" t="str">
        <f t="shared" si="4"/>
        <v/>
      </c>
      <c r="CX7" s="296" t="str">
        <f t="shared" si="4"/>
        <v/>
      </c>
      <c r="CY7" s="296" t="str">
        <f t="shared" si="4"/>
        <v/>
      </c>
      <c r="CZ7" s="296" t="str">
        <f t="shared" si="4"/>
        <v/>
      </c>
      <c r="DA7" s="296" t="str">
        <f t="shared" si="4"/>
        <v/>
      </c>
      <c r="DB7" s="296" t="str">
        <f t="shared" si="4"/>
        <v/>
      </c>
      <c r="DC7" s="296" t="str">
        <f t="shared" si="4"/>
        <v/>
      </c>
      <c r="DD7" s="296" t="str">
        <f t="shared" si="4"/>
        <v/>
      </c>
      <c r="DE7" s="296" t="str">
        <f t="shared" si="4"/>
        <v/>
      </c>
      <c r="DF7" s="296" t="str">
        <f t="shared" si="4"/>
        <v/>
      </c>
      <c r="DG7" s="296" t="str">
        <f t="shared" si="4"/>
        <v/>
      </c>
      <c r="DH7" s="296" t="str">
        <f t="shared" si="4"/>
        <v/>
      </c>
      <c r="DI7" s="296" t="str">
        <f t="shared" si="4"/>
        <v/>
      </c>
      <c r="DJ7" s="296" t="str">
        <f t="shared" si="4"/>
        <v/>
      </c>
      <c r="DK7" s="296" t="str">
        <f t="shared" si="4"/>
        <v/>
      </c>
      <c r="DL7" s="296" t="str">
        <f t="shared" si="4"/>
        <v/>
      </c>
      <c r="DM7" s="296" t="str">
        <f t="shared" si="4"/>
        <v/>
      </c>
      <c r="DN7" s="296" t="str">
        <f t="shared" si="4"/>
        <v/>
      </c>
      <c r="DO7" s="296" t="str">
        <f t="shared" si="4"/>
        <v/>
      </c>
      <c r="DP7" s="296" t="str">
        <f t="shared" si="4"/>
        <v/>
      </c>
      <c r="DQ7" s="296" t="str">
        <f t="shared" si="4"/>
        <v/>
      </c>
      <c r="DR7" s="296" t="str">
        <f t="shared" si="4"/>
        <v/>
      </c>
      <c r="DS7" s="296" t="str">
        <f t="shared" si="4"/>
        <v/>
      </c>
      <c r="DT7" s="297" t="str">
        <f t="shared" si="4"/>
        <v/>
      </c>
    </row>
    <row r="8" spans="2:124" x14ac:dyDescent="0.35">
      <c r="B8" s="47" t="str" cm="1">
        <f t="array" ref="B8:D9">+_xlfn.CHOOSECOLS(_xlfn._xlws.FILTER('Modelo Optimización'!G13:W68,'Modelo Optimización'!W13:W68&gt;0),1,2,17)</f>
        <v>El Retorno</v>
      </c>
      <c r="C8" s="289" t="str">
        <v>MOSTAZAL</v>
      </c>
      <c r="D8" s="279">
        <v>6</v>
      </c>
      <c r="E8" s="279">
        <f ca="1">+IF(B8="","",IFERROR(SUMIF('Modelo Optimización'!$AS$72:$AS$217,C8,INDEX('Modelo Optimización'!$C$72:$AR$217,,MATCH(B8,'Modelo Optimización'!$C$71:$AR$71,0))),0))</f>
        <v>0</v>
      </c>
      <c r="F8" s="275">
        <f ca="1">+IF(E8="","",D8-E8)</f>
        <v>6</v>
      </c>
      <c r="G8" s="278" t="str">
        <f>+IF(IF($B8="","",IFERROR(INDEX('Auxiliar Resultados'!$C$9:$BO$50,MATCH($B8,'Auxiliar Resultados'!$B$9:$B$50,0),MATCH(CONCATENATE($C8,G$7),'Auxiliar Resultados'!$C$6:$BO$6,0)),""))=0,"",IF($B8="","",IFERROR(INDEX('Auxiliar Resultados'!$C$9:$BO$50,MATCH($B8,'Auxiliar Resultados'!$B$9:$B$50,0),MATCH(CONCATENATE($C8,G$7),'Auxiliar Resultados'!$C$6:$BO$6,0)),"")))</f>
        <v/>
      </c>
      <c r="H8" s="279" t="str">
        <f>+IF(IF($B8="","",IFERROR(INDEX('Auxiliar Resultados'!$C$9:$BO$50,MATCH($B8,'Auxiliar Resultados'!$B$9:$B$50,0),MATCH(CONCATENATE($C8,H$7),'Auxiliar Resultados'!$C$6:$BO$6,0)),""))=0,"",IF($B8="","",IFERROR(INDEX('Auxiliar Resultados'!$C$9:$BO$50,MATCH($B8,'Auxiliar Resultados'!$B$9:$B$50,0),MATCH(CONCATENATE($C8,H$7),'Auxiliar Resultados'!$C$6:$BO$6,0)),"")))</f>
        <v/>
      </c>
      <c r="I8" s="279" t="str">
        <f>+IF(IF($B8="","",IFERROR(INDEX('Auxiliar Resultados'!$C$9:$BO$50,MATCH($B8,'Auxiliar Resultados'!$B$9:$B$50,0),MATCH(CONCATENATE($C8,I$7),'Auxiliar Resultados'!$C$6:$BO$6,0)),""))=0,"",IF($B8="","",IFERROR(INDEX('Auxiliar Resultados'!$C$9:$BO$50,MATCH($B8,'Auxiliar Resultados'!$B$9:$B$50,0),MATCH(CONCATENATE($C8,I$7),'Auxiliar Resultados'!$C$6:$BO$6,0)),"")))</f>
        <v/>
      </c>
      <c r="J8" s="279" t="str">
        <f>+IF(IF($B8="","",IFERROR(INDEX('Auxiliar Resultados'!$C$9:$BO$50,MATCH($B8,'Auxiliar Resultados'!$B$9:$B$50,0),MATCH(CONCATENATE($C8,J$7),'Auxiliar Resultados'!$C$6:$BO$6,0)),""))=0,"",IF($B8="","",IFERROR(INDEX('Auxiliar Resultados'!$C$9:$BO$50,MATCH($B8,'Auxiliar Resultados'!$B$9:$B$50,0),MATCH(CONCATENATE($C8,J$7),'Auxiliar Resultados'!$C$6:$BO$6,0)),"")))</f>
        <v/>
      </c>
      <c r="K8" s="279" t="str">
        <f>+IF(IF($B8="","",IFERROR(INDEX('Auxiliar Resultados'!$C$9:$BO$50,MATCH($B8,'Auxiliar Resultados'!$B$9:$B$50,0),MATCH(CONCATENATE($C8,K$7),'Auxiliar Resultados'!$C$6:$BO$6,0)),""))=0,"",IF($B8="","",IFERROR(INDEX('Auxiliar Resultados'!$C$9:$BO$50,MATCH($B8,'Auxiliar Resultados'!$B$9:$B$50,0),MATCH(CONCATENATE($C8,K$7),'Auxiliar Resultados'!$C$6:$BO$6,0)),"")))</f>
        <v/>
      </c>
      <c r="L8" s="279" t="str">
        <f>+IF(IF($B8="","",IFERROR(INDEX('Auxiliar Resultados'!$C$9:$BO$50,MATCH($B8,'Auxiliar Resultados'!$B$9:$B$50,0),MATCH(CONCATENATE($C8,L$7),'Auxiliar Resultados'!$C$6:$BO$6,0)),""))=0,"",IF($B8="","",IFERROR(INDEX('Auxiliar Resultados'!$C$9:$BO$50,MATCH($B8,'Auxiliar Resultados'!$B$9:$B$50,0),MATCH(CONCATENATE($C8,L$7),'Auxiliar Resultados'!$C$6:$BO$6,0)),"")))</f>
        <v/>
      </c>
      <c r="M8" s="279" t="str">
        <f>+IF(IF($B8="","",IFERROR(INDEX('Auxiliar Resultados'!$C$9:$BO$50,MATCH($B8,'Auxiliar Resultados'!$B$9:$B$50,0),MATCH(CONCATENATE($C8,M$7),'Auxiliar Resultados'!$C$6:$BO$6,0)),""))=0,"",IF($B8="","",IFERROR(INDEX('Auxiliar Resultados'!$C$9:$BO$50,MATCH($B8,'Auxiliar Resultados'!$B$9:$B$50,0),MATCH(CONCATENATE($C8,M$7),'Auxiliar Resultados'!$C$6:$BO$6,0)),"")))</f>
        <v/>
      </c>
      <c r="N8" s="279" t="str">
        <f>+IF(IF($B8="","",IFERROR(INDEX('Auxiliar Resultados'!$C$9:$BO$50,MATCH($B8,'Auxiliar Resultados'!$B$9:$B$50,0),MATCH(CONCATENATE($C8,N$7),'Auxiliar Resultados'!$C$6:$BO$6,0)),""))=0,"",IF($B8="","",IFERROR(INDEX('Auxiliar Resultados'!$C$9:$BO$50,MATCH($B8,'Auxiliar Resultados'!$B$9:$B$50,0),MATCH(CONCATENATE($C8,N$7),'Auxiliar Resultados'!$C$6:$BO$6,0)),"")))</f>
        <v/>
      </c>
      <c r="O8" s="279" t="str">
        <f>+IF(IF($B8="","",IFERROR(INDEX('Auxiliar Resultados'!$C$9:$BO$50,MATCH($B8,'Auxiliar Resultados'!$B$9:$B$50,0),MATCH(CONCATENATE($C8,O$7),'Auxiliar Resultados'!$C$6:$BO$6,0)),""))=0,"",IF($B8="","",IFERROR(INDEX('Auxiliar Resultados'!$C$9:$BO$50,MATCH($B8,'Auxiliar Resultados'!$B$9:$B$50,0),MATCH(CONCATENATE($C8,O$7),'Auxiliar Resultados'!$C$6:$BO$6,0)),"")))</f>
        <v/>
      </c>
      <c r="P8" s="279" t="str">
        <f>+IF(IF($B8="","",IFERROR(INDEX('Auxiliar Resultados'!$C$9:$BO$50,MATCH($B8,'Auxiliar Resultados'!$B$9:$B$50,0),MATCH(CONCATENATE($C8,P$7),'Auxiliar Resultados'!$C$6:$BO$6,0)),""))=0,"",IF($B8="","",IFERROR(INDEX('Auxiliar Resultados'!$C$9:$BO$50,MATCH($B8,'Auxiliar Resultados'!$B$9:$B$50,0),MATCH(CONCATENATE($C8,P$7),'Auxiliar Resultados'!$C$6:$BO$6,0)),"")))</f>
        <v/>
      </c>
      <c r="Q8" s="279" t="str">
        <f>+IF(IF($B8="","",IFERROR(INDEX('Auxiliar Resultados'!$C$9:$BO$50,MATCH($B8,'Auxiliar Resultados'!$B$9:$B$50,0),MATCH(CONCATENATE($C8,Q$7),'Auxiliar Resultados'!$C$6:$BO$6,0)),""))=0,"",IF($B8="","",IFERROR(INDEX('Auxiliar Resultados'!$C$9:$BO$50,MATCH($B8,'Auxiliar Resultados'!$B$9:$B$50,0),MATCH(CONCATENATE($C8,Q$7),'Auxiliar Resultados'!$C$6:$BO$6,0)),"")))</f>
        <v/>
      </c>
      <c r="R8" s="279" t="str">
        <f>+IF(IF($B8="","",IFERROR(INDEX('Auxiliar Resultados'!$C$9:$BO$50,MATCH($B8,'Auxiliar Resultados'!$B$9:$B$50,0),MATCH(CONCATENATE($C8,R$7),'Auxiliar Resultados'!$C$6:$BO$6,0)),""))=0,"",IF($B8="","",IFERROR(INDEX('Auxiliar Resultados'!$C$9:$BO$50,MATCH($B8,'Auxiliar Resultados'!$B$9:$B$50,0),MATCH(CONCATENATE($C8,R$7),'Auxiliar Resultados'!$C$6:$BO$6,0)),"")))</f>
        <v/>
      </c>
      <c r="S8" s="279" t="str">
        <f>+IF(IF($B8="","",IFERROR(INDEX('Auxiliar Resultados'!$C$9:$BO$50,MATCH($B8,'Auxiliar Resultados'!$B$9:$B$50,0),MATCH(CONCATENATE($C8,S$7),'Auxiliar Resultados'!$C$6:$BO$6,0)),""))=0,"",IF($B8="","",IFERROR(INDEX('Auxiliar Resultados'!$C$9:$BO$50,MATCH($B8,'Auxiliar Resultados'!$B$9:$B$50,0),MATCH(CONCATENATE($C8,S$7),'Auxiliar Resultados'!$C$6:$BO$6,0)),"")))</f>
        <v/>
      </c>
      <c r="T8" s="279" t="str">
        <f>+IF(IF($B8="","",IFERROR(INDEX('Auxiliar Resultados'!$C$9:$BO$50,MATCH($B8,'Auxiliar Resultados'!$B$9:$B$50,0),MATCH(CONCATENATE($C8,T$7),'Auxiliar Resultados'!$C$6:$BO$6,0)),""))=0,"",IF($B8="","",IFERROR(INDEX('Auxiliar Resultados'!$C$9:$BO$50,MATCH($B8,'Auxiliar Resultados'!$B$9:$B$50,0),MATCH(CONCATENATE($C8,T$7),'Auxiliar Resultados'!$C$6:$BO$6,0)),"")))</f>
        <v/>
      </c>
      <c r="U8" s="279" t="str">
        <f>+IF(IF($B8="","",IFERROR(INDEX('Auxiliar Resultados'!$C$9:$BO$50,MATCH($B8,'Auxiliar Resultados'!$B$9:$B$50,0),MATCH(CONCATENATE($C8,U$7),'Auxiliar Resultados'!$C$6:$BO$6,0)),""))=0,"",IF($B8="","",IFERROR(INDEX('Auxiliar Resultados'!$C$9:$BO$50,MATCH($B8,'Auxiliar Resultados'!$B$9:$B$50,0),MATCH(CONCATENATE($C8,U$7),'Auxiliar Resultados'!$C$6:$BO$6,0)),"")))</f>
        <v/>
      </c>
      <c r="V8" s="279" t="str">
        <f>+IF(IF($B8="","",IFERROR(INDEX('Auxiliar Resultados'!$C$9:$BO$50,MATCH($B8,'Auxiliar Resultados'!$B$9:$B$50,0),MATCH(CONCATENATE($C8,V$7),'Auxiliar Resultados'!$C$6:$BO$6,0)),""))=0,"",IF($B8="","",IFERROR(INDEX('Auxiliar Resultados'!$C$9:$BO$50,MATCH($B8,'Auxiliar Resultados'!$B$9:$B$50,0),MATCH(CONCATENATE($C8,V$7),'Auxiliar Resultados'!$C$6:$BO$6,0)),"")))</f>
        <v/>
      </c>
      <c r="W8" s="279" t="str">
        <f>+IF(IF($B8="","",IFERROR(INDEX('Auxiliar Resultados'!$C$9:$BO$50,MATCH($B8,'Auxiliar Resultados'!$B$9:$B$50,0),MATCH(CONCATENATE($C8,W$7),'Auxiliar Resultados'!$C$6:$BO$6,0)),""))=0,"",IF($B8="","",IFERROR(INDEX('Auxiliar Resultados'!$C$9:$BO$50,MATCH($B8,'Auxiliar Resultados'!$B$9:$B$50,0),MATCH(CONCATENATE($C8,W$7),'Auxiliar Resultados'!$C$6:$BO$6,0)),"")))</f>
        <v/>
      </c>
      <c r="X8" s="279" t="str">
        <f>+IF(IF($B8="","",IFERROR(INDEX('Auxiliar Resultados'!$C$9:$BO$50,MATCH($B8,'Auxiliar Resultados'!$B$9:$B$50,0),MATCH(CONCATENATE($C8,X$7),'Auxiliar Resultados'!$C$6:$BO$6,0)),""))=0,"",IF($B8="","",IFERROR(INDEX('Auxiliar Resultados'!$C$9:$BO$50,MATCH($B8,'Auxiliar Resultados'!$B$9:$B$50,0),MATCH(CONCATENATE($C8,X$7),'Auxiliar Resultados'!$C$6:$BO$6,0)),"")))</f>
        <v/>
      </c>
      <c r="Y8" s="279" t="str">
        <f>+IF(IF($B8="","",IFERROR(INDEX('Auxiliar Resultados'!$C$9:$BO$50,MATCH($B8,'Auxiliar Resultados'!$B$9:$B$50,0),MATCH(CONCATENATE($C8,Y$7),'Auxiliar Resultados'!$C$6:$BO$6,0)),""))=0,"",IF($B8="","",IFERROR(INDEX('Auxiliar Resultados'!$C$9:$BO$50,MATCH($B8,'Auxiliar Resultados'!$B$9:$B$50,0),MATCH(CONCATENATE($C8,Y$7),'Auxiliar Resultados'!$C$6:$BO$6,0)),"")))</f>
        <v/>
      </c>
      <c r="Z8" s="279" t="str">
        <f>+IF(IF($B8="","",IFERROR(INDEX('Auxiliar Resultados'!$C$9:$BO$50,MATCH($B8,'Auxiliar Resultados'!$B$9:$B$50,0),MATCH(CONCATENATE($C8,Z$7),'Auxiliar Resultados'!$C$6:$BO$6,0)),""))=0,"",IF($B8="","",IFERROR(INDEX('Auxiliar Resultados'!$C$9:$BO$50,MATCH($B8,'Auxiliar Resultados'!$B$9:$B$50,0),MATCH(CONCATENATE($C8,Z$7),'Auxiliar Resultados'!$C$6:$BO$6,0)),"")))</f>
        <v/>
      </c>
      <c r="AA8" s="279" t="str">
        <f>+IF(IF($B8="","",IFERROR(INDEX('Auxiliar Resultados'!$C$9:$BO$50,MATCH($B8,'Auxiliar Resultados'!$B$9:$B$50,0),MATCH(CONCATENATE($C8,AA$7),'Auxiliar Resultados'!$C$6:$BO$6,0)),""))=0,"",IF($B8="","",IFERROR(INDEX('Auxiliar Resultados'!$C$9:$BO$50,MATCH($B8,'Auxiliar Resultados'!$B$9:$B$50,0),MATCH(CONCATENATE($C8,AA$7),'Auxiliar Resultados'!$C$6:$BO$6,0)),"")))</f>
        <v/>
      </c>
      <c r="AB8" s="279" t="str">
        <f>+IF(IF($B8="","",IFERROR(INDEX('Auxiliar Resultados'!$C$9:$BO$50,MATCH($B8,'Auxiliar Resultados'!$B$9:$B$50,0),MATCH(CONCATENATE($C8,AB$7),'Auxiliar Resultados'!$C$6:$BO$6,0)),""))=0,"",IF($B8="","",IFERROR(INDEX('Auxiliar Resultados'!$C$9:$BO$50,MATCH($B8,'Auxiliar Resultados'!$B$9:$B$50,0),MATCH(CONCATENATE($C8,AB$7),'Auxiliar Resultados'!$C$6:$BO$6,0)),"")))</f>
        <v/>
      </c>
      <c r="AC8" s="279" t="str">
        <f>+IF(IF($B8="","",IFERROR(INDEX('Auxiliar Resultados'!$C$9:$BO$50,MATCH($B8,'Auxiliar Resultados'!$B$9:$B$50,0),MATCH(CONCATENATE($C8,AC$7),'Auxiliar Resultados'!$C$6:$BO$6,0)),""))=0,"",IF($B8="","",IFERROR(INDEX('Auxiliar Resultados'!$C$9:$BO$50,MATCH($B8,'Auxiliar Resultados'!$B$9:$B$50,0),MATCH(CONCATENATE($C8,AC$7),'Auxiliar Resultados'!$C$6:$BO$6,0)),"")))</f>
        <v/>
      </c>
      <c r="AD8" s="279" t="str">
        <f>+IF(IF($B8="","",IFERROR(INDEX('Auxiliar Resultados'!$C$9:$BO$50,MATCH($B8,'Auxiliar Resultados'!$B$9:$B$50,0),MATCH(CONCATENATE($C8,AD$7),'Auxiliar Resultados'!$C$6:$BO$6,0)),""))=0,"",IF($B8="","",IFERROR(INDEX('Auxiliar Resultados'!$C$9:$BO$50,MATCH($B8,'Auxiliar Resultados'!$B$9:$B$50,0),MATCH(CONCATENATE($C8,AD$7),'Auxiliar Resultados'!$C$6:$BO$6,0)),"")))</f>
        <v/>
      </c>
      <c r="AE8" s="279" t="str">
        <f>+IF(IF($B8="","",IFERROR(INDEX('Auxiliar Resultados'!$C$9:$BO$50,MATCH($B8,'Auxiliar Resultados'!$B$9:$B$50,0),MATCH(CONCATENATE($C8,AE$7),'Auxiliar Resultados'!$C$6:$BO$6,0)),""))=0,"",IF($B8="","",IFERROR(INDEX('Auxiliar Resultados'!$C$9:$BO$50,MATCH($B8,'Auxiliar Resultados'!$B$9:$B$50,0),MATCH(CONCATENATE($C8,AE$7),'Auxiliar Resultados'!$C$6:$BO$6,0)),"")))</f>
        <v/>
      </c>
      <c r="AF8" s="279" t="str">
        <f>+IF(IF($B8="","",IFERROR(INDEX('Auxiliar Resultados'!$C$9:$BO$50,MATCH($B8,'Auxiliar Resultados'!$B$9:$B$50,0),MATCH(CONCATENATE($C8,AF$7),'Auxiliar Resultados'!$C$6:$BO$6,0)),""))=0,"",IF($B8="","",IFERROR(INDEX('Auxiliar Resultados'!$C$9:$BO$50,MATCH($B8,'Auxiliar Resultados'!$B$9:$B$50,0),MATCH(CONCATENATE($C8,AF$7),'Auxiliar Resultados'!$C$6:$BO$6,0)),"")))</f>
        <v/>
      </c>
      <c r="AG8" s="279" t="str">
        <f>+IF(IF($B8="","",IFERROR(INDEX('Auxiliar Resultados'!$C$9:$BO$50,MATCH($B8,'Auxiliar Resultados'!$B$9:$B$50,0),MATCH(CONCATENATE($C8,AG$7),'Auxiliar Resultados'!$C$6:$BO$6,0)),""))=0,"",IF($B8="","",IFERROR(INDEX('Auxiliar Resultados'!$C$9:$BO$50,MATCH($B8,'Auxiliar Resultados'!$B$9:$B$50,0),MATCH(CONCATENATE($C8,AG$7),'Auxiliar Resultados'!$C$6:$BO$6,0)),"")))</f>
        <v/>
      </c>
      <c r="AH8" s="279" t="str">
        <f>+IF(IF($B8="","",IFERROR(INDEX('Auxiliar Resultados'!$C$9:$BO$50,MATCH($B8,'Auxiliar Resultados'!$B$9:$B$50,0),MATCH(CONCATENATE($C8,AH$7),'Auxiliar Resultados'!$C$6:$BO$6,0)),""))=0,"",IF($B8="","",IFERROR(INDEX('Auxiliar Resultados'!$C$9:$BO$50,MATCH($B8,'Auxiliar Resultados'!$B$9:$B$50,0),MATCH(CONCATENATE($C8,AH$7),'Auxiliar Resultados'!$C$6:$BO$6,0)),"")))</f>
        <v/>
      </c>
      <c r="AI8" s="279" t="str">
        <f>+IF(IF($B8="","",IFERROR(INDEX('Auxiliar Resultados'!$C$9:$BO$50,MATCH($B8,'Auxiliar Resultados'!$B$9:$B$50,0),MATCH(CONCATENATE($C8,AI$7),'Auxiliar Resultados'!$C$6:$BO$6,0)),""))=0,"",IF($B8="","",IFERROR(INDEX('Auxiliar Resultados'!$C$9:$BO$50,MATCH($B8,'Auxiliar Resultados'!$B$9:$B$50,0),MATCH(CONCATENATE($C8,AI$7),'Auxiliar Resultados'!$C$6:$BO$6,0)),"")))</f>
        <v/>
      </c>
      <c r="AJ8" s="279" t="str">
        <f>+IF(IF($B8="","",IFERROR(INDEX('Auxiliar Resultados'!$C$9:$BO$50,MATCH($B8,'Auxiliar Resultados'!$B$9:$B$50,0),MATCH(CONCATENATE($C8,AJ$7),'Auxiliar Resultados'!$C$6:$BO$6,0)),""))=0,"",IF($B8="","",IFERROR(INDEX('Auxiliar Resultados'!$C$9:$BO$50,MATCH($B8,'Auxiliar Resultados'!$B$9:$B$50,0),MATCH(CONCATENATE($C8,AJ$7),'Auxiliar Resultados'!$C$6:$BO$6,0)),"")))</f>
        <v/>
      </c>
      <c r="AK8" s="279" t="str">
        <f>+IF(IF($B8="","",IFERROR(INDEX('Auxiliar Resultados'!$C$9:$BO$50,MATCH($B8,'Auxiliar Resultados'!$B$9:$B$50,0),MATCH(CONCATENATE($C8,AK$7),'Auxiliar Resultados'!$C$6:$BO$6,0)),""))=0,"",IF($B8="","",IFERROR(INDEX('Auxiliar Resultados'!$C$9:$BO$50,MATCH($B8,'Auxiliar Resultados'!$B$9:$B$50,0),MATCH(CONCATENATE($C8,AK$7),'Auxiliar Resultados'!$C$6:$BO$6,0)),"")))</f>
        <v/>
      </c>
      <c r="AL8" s="279" t="str">
        <f>+IF(IF($B8="","",IFERROR(INDEX('Auxiliar Resultados'!$C$9:$BO$50,MATCH($B8,'Auxiliar Resultados'!$B$9:$B$50,0),MATCH(CONCATENATE($C8,AL$7),'Auxiliar Resultados'!$C$6:$BO$6,0)),""))=0,"",IF($B8="","",IFERROR(INDEX('Auxiliar Resultados'!$C$9:$BO$50,MATCH($B8,'Auxiliar Resultados'!$B$9:$B$50,0),MATCH(CONCATENATE($C8,AL$7),'Auxiliar Resultados'!$C$6:$BO$6,0)),"")))</f>
        <v/>
      </c>
      <c r="AM8" s="279" t="str">
        <f>+IF(IF($B8="","",IFERROR(INDEX('Auxiliar Resultados'!$C$9:$BO$50,MATCH($B8,'Auxiliar Resultados'!$B$9:$B$50,0),MATCH(CONCATENATE($C8,AM$7),'Auxiliar Resultados'!$C$6:$BO$6,0)),""))=0,"",IF($B8="","",IFERROR(INDEX('Auxiliar Resultados'!$C$9:$BO$50,MATCH($B8,'Auxiliar Resultados'!$B$9:$B$50,0),MATCH(CONCATENATE($C8,AM$7),'Auxiliar Resultados'!$C$6:$BO$6,0)),"")))</f>
        <v/>
      </c>
      <c r="AN8" s="279" t="str">
        <f>+IF(IF($B8="","",IFERROR(INDEX('Auxiliar Resultados'!$C$9:$BO$50,MATCH($B8,'Auxiliar Resultados'!$B$9:$B$50,0),MATCH(CONCATENATE($C8,AN$7),'Auxiliar Resultados'!$C$6:$BO$6,0)),""))=0,"",IF($B8="","",IFERROR(INDEX('Auxiliar Resultados'!$C$9:$BO$50,MATCH($B8,'Auxiliar Resultados'!$B$9:$B$50,0),MATCH(CONCATENATE($C8,AN$7),'Auxiliar Resultados'!$C$6:$BO$6,0)),"")))</f>
        <v/>
      </c>
      <c r="AO8" s="279" t="str">
        <f>+IF(IF($B8="","",IFERROR(INDEX('Auxiliar Resultados'!$C$9:$BO$50,MATCH($B8,'Auxiliar Resultados'!$B$9:$B$50,0),MATCH(CONCATENATE($C8,AO$7),'Auxiliar Resultados'!$C$6:$BO$6,0)),""))=0,"",IF($B8="","",IFERROR(INDEX('Auxiliar Resultados'!$C$9:$BO$50,MATCH($B8,'Auxiliar Resultados'!$B$9:$B$50,0),MATCH(CONCATENATE($C8,AO$7),'Auxiliar Resultados'!$C$6:$BO$6,0)),"")))</f>
        <v/>
      </c>
      <c r="AP8" s="279" t="str">
        <f>+IF(IF($B8="","",IFERROR(INDEX('Auxiliar Resultados'!$C$9:$BO$50,MATCH($B8,'Auxiliar Resultados'!$B$9:$B$50,0),MATCH(CONCATENATE($C8,AP$7),'Auxiliar Resultados'!$C$6:$BO$6,0)),""))=0,"",IF($B8="","",IFERROR(INDEX('Auxiliar Resultados'!$C$9:$BO$50,MATCH($B8,'Auxiliar Resultados'!$B$9:$B$50,0),MATCH(CONCATENATE($C8,AP$7),'Auxiliar Resultados'!$C$6:$BO$6,0)),"")))</f>
        <v/>
      </c>
      <c r="AQ8" s="275" t="str">
        <f>+IF(IF($B8="","",IFERROR(INDEX('Auxiliar Resultados'!$C$9:$BO$50,MATCH($B8,'Auxiliar Resultados'!$B$9:$B$50,0),MATCH(CONCATENATE($C8,AQ$7),'Auxiliar Resultados'!$C$6:$BO$6,0)),""))=0,"",IF($B8="","",IFERROR(INDEX('Auxiliar Resultados'!$C$9:$BO$50,MATCH($B8,'Auxiliar Resultados'!$B$9:$B$50,0),MATCH(CONCATENATE($C8,AQ$7),'Auxiliar Resultados'!$C$6:$BO$6,0)),"")))</f>
        <v/>
      </c>
      <c r="AS8" s="288" t="str">
        <f t="shared" ref="AS8:AS63" si="5">+IF(B8="","",B8)</f>
        <v>El Retorno</v>
      </c>
      <c r="AT8" s="291" t="str">
        <f t="shared" ref="AT8:AT63" si="6">+IF(C8="","",C8)</f>
        <v>MOSTAZAL</v>
      </c>
      <c r="AU8" s="33" t="str">
        <f>+IF(G8="","",INDEX('Modelo Optimización'!$AZ$4:$CO$149,MATCH(CONCATENATE(AU$7,$AT8),'Modelo Optimización'!$CQ$4:$CQ$149,0),MATCH($AS8,'Modelo Optimización'!$AZ$3:$CO$3,0)))</f>
        <v/>
      </c>
      <c r="AV8" s="34" t="str">
        <f>+IF(H8="","",INDEX('Modelo Optimización'!$AZ$4:$CO$149,MATCH(CONCATENATE(AV$7,$AT8),'Modelo Optimización'!$CQ$4:$CQ$149,0),MATCH($AS8,'Modelo Optimización'!$AZ$3:$CO$3,0)))</f>
        <v/>
      </c>
      <c r="AW8" s="34" t="str">
        <f>+IF(I8="","",INDEX('Modelo Optimización'!$AZ$4:$CO$149,MATCH(CONCATENATE(AW$7,$AT8),'Modelo Optimización'!$CQ$4:$CQ$149,0),MATCH($AS8,'Modelo Optimización'!$AZ$3:$CO$3,0)))</f>
        <v/>
      </c>
      <c r="AX8" s="34" t="str">
        <f>+IF(J8="","",INDEX('Modelo Optimización'!$AZ$4:$CO$149,MATCH(CONCATENATE(AX$7,$AT8),'Modelo Optimización'!$CQ$4:$CQ$149,0),MATCH($AS8,'Modelo Optimización'!$AZ$3:$CO$3,0)))</f>
        <v/>
      </c>
      <c r="AY8" s="34" t="str">
        <f>+IF(K8="","",INDEX('Modelo Optimización'!$AZ$4:$CO$149,MATCH(CONCATENATE(AY$7,$AT8),'Modelo Optimización'!$CQ$4:$CQ$149,0),MATCH($AS8,'Modelo Optimización'!$AZ$3:$CO$3,0)))</f>
        <v/>
      </c>
      <c r="AZ8" s="34" t="str">
        <f>+IF(L8="","",INDEX('Modelo Optimización'!$AZ$4:$CO$149,MATCH(CONCATENATE(AZ$7,$AT8),'Modelo Optimización'!$CQ$4:$CQ$149,0),MATCH($AS8,'Modelo Optimización'!$AZ$3:$CO$3,0)))</f>
        <v/>
      </c>
      <c r="BA8" s="34" t="str">
        <f>+IF(M8="","",INDEX('Modelo Optimización'!$AZ$4:$CO$149,MATCH(CONCATENATE(BA$7,$AT8),'Modelo Optimización'!$CQ$4:$CQ$149,0),MATCH($AS8,'Modelo Optimización'!$AZ$3:$CO$3,0)))</f>
        <v/>
      </c>
      <c r="BB8" s="34" t="str">
        <f>+IF(N8="","",INDEX('Modelo Optimización'!$AZ$4:$CO$149,MATCH(CONCATENATE(BB$7,$AT8),'Modelo Optimización'!$CQ$4:$CQ$149,0),MATCH($AS8,'Modelo Optimización'!$AZ$3:$CO$3,0)))</f>
        <v/>
      </c>
      <c r="BC8" s="34" t="str">
        <f>+IF(O8="","",INDEX('Modelo Optimización'!$AZ$4:$CO$149,MATCH(CONCATENATE(BC$7,$AT8),'Modelo Optimización'!$CQ$4:$CQ$149,0),MATCH($AS8,'Modelo Optimización'!$AZ$3:$CO$3,0)))</f>
        <v/>
      </c>
      <c r="BD8" s="34" t="str">
        <f>+IF(P8="","",INDEX('Modelo Optimización'!$AZ$4:$CO$149,MATCH(CONCATENATE(BD$7,$AT8),'Modelo Optimización'!$CQ$4:$CQ$149,0),MATCH($AS8,'Modelo Optimización'!$AZ$3:$CO$3,0)))</f>
        <v/>
      </c>
      <c r="BE8" s="34" t="str">
        <f>+IF(Q8="","",INDEX('Modelo Optimización'!$AZ$4:$CO$149,MATCH(CONCATENATE(BE$7,$AT8),'Modelo Optimización'!$CQ$4:$CQ$149,0),MATCH($AS8,'Modelo Optimización'!$AZ$3:$CO$3,0)))</f>
        <v/>
      </c>
      <c r="BF8" s="34" t="str">
        <f>+IF(R8="","",INDEX('Modelo Optimización'!$AZ$4:$CO$149,MATCH(CONCATENATE(BF$7,$AT8),'Modelo Optimización'!$CQ$4:$CQ$149,0),MATCH($AS8,'Modelo Optimización'!$AZ$3:$CO$3,0)))</f>
        <v/>
      </c>
      <c r="BG8" s="34" t="str">
        <f>+IF(S8="","",INDEX('Modelo Optimización'!$AZ$4:$CO$149,MATCH(CONCATENATE(BG$7,$AT8),'Modelo Optimización'!$CQ$4:$CQ$149,0),MATCH($AS8,'Modelo Optimización'!$AZ$3:$CO$3,0)))</f>
        <v/>
      </c>
      <c r="BH8" s="34" t="str">
        <f>+IF(T8="","",INDEX('Modelo Optimización'!$AZ$4:$CO$149,MATCH(CONCATENATE(BH$7,$AT8),'Modelo Optimización'!$CQ$4:$CQ$149,0),MATCH($AS8,'Modelo Optimización'!$AZ$3:$CO$3,0)))</f>
        <v/>
      </c>
      <c r="BI8" s="34" t="str">
        <f>+IF(U8="","",INDEX('Modelo Optimización'!$AZ$4:$CO$149,MATCH(CONCATENATE(BI$7,$AT8),'Modelo Optimización'!$CQ$4:$CQ$149,0),MATCH($AS8,'Modelo Optimización'!$AZ$3:$CO$3,0)))</f>
        <v/>
      </c>
      <c r="BJ8" s="34" t="str">
        <f>+IF(V8="","",INDEX('Modelo Optimización'!$AZ$4:$CO$149,MATCH(CONCATENATE(BJ$7,$AT8),'Modelo Optimización'!$CQ$4:$CQ$149,0),MATCH($AS8,'Modelo Optimización'!$AZ$3:$CO$3,0)))</f>
        <v/>
      </c>
      <c r="BK8" s="34" t="str">
        <f>+IF(W8="","",INDEX('Modelo Optimización'!$AZ$4:$CO$149,MATCH(CONCATENATE(BK$7,$AT8),'Modelo Optimización'!$CQ$4:$CQ$149,0),MATCH($AS8,'Modelo Optimización'!$AZ$3:$CO$3,0)))</f>
        <v/>
      </c>
      <c r="BL8" s="34" t="str">
        <f>+IF(X8="","",INDEX('Modelo Optimización'!$AZ$4:$CO$149,MATCH(CONCATENATE(BL$7,$AT8),'Modelo Optimización'!$CQ$4:$CQ$149,0),MATCH($AS8,'Modelo Optimización'!$AZ$3:$CO$3,0)))</f>
        <v/>
      </c>
      <c r="BM8" s="34" t="str">
        <f>+IF(Y8="","",INDEX('Modelo Optimización'!$AZ$4:$CO$149,MATCH(CONCATENATE(BM$7,$AT8),'Modelo Optimización'!$CQ$4:$CQ$149,0),MATCH($AS8,'Modelo Optimización'!$AZ$3:$CO$3,0)))</f>
        <v/>
      </c>
      <c r="BN8" s="34" t="str">
        <f>+IF(Z8="","",INDEX('Modelo Optimización'!$AZ$4:$CO$149,MATCH(CONCATENATE(BN$7,$AT8),'Modelo Optimización'!$CQ$4:$CQ$149,0),MATCH($AS8,'Modelo Optimización'!$AZ$3:$CO$3,0)))</f>
        <v/>
      </c>
      <c r="BO8" s="34" t="str">
        <f>+IF(AA8="","",INDEX('Modelo Optimización'!$AZ$4:$CO$149,MATCH(CONCATENATE(BO$7,$AT8),'Modelo Optimización'!$CQ$4:$CQ$149,0),MATCH($AS8,'Modelo Optimización'!$AZ$3:$CO$3,0)))</f>
        <v/>
      </c>
      <c r="BP8" s="34" t="str">
        <f>+IF(AB8="","",INDEX('Modelo Optimización'!$AZ$4:$CO$149,MATCH(CONCATENATE(BP$7,$AT8),'Modelo Optimización'!$CQ$4:$CQ$149,0),MATCH($AS8,'Modelo Optimización'!$AZ$3:$CO$3,0)))</f>
        <v/>
      </c>
      <c r="BQ8" s="34" t="str">
        <f>+IF(AC8="","",INDEX('Modelo Optimización'!$AZ$4:$CO$149,MATCH(CONCATENATE(BQ$7,$AT8),'Modelo Optimización'!$CQ$4:$CQ$149,0),MATCH($AS8,'Modelo Optimización'!$AZ$3:$CO$3,0)))</f>
        <v/>
      </c>
      <c r="BR8" s="34" t="str">
        <f>+IF(AD8="","",INDEX('Modelo Optimización'!$AZ$4:$CO$149,MATCH(CONCATENATE(BR$7,$AT8),'Modelo Optimización'!$CQ$4:$CQ$149,0),MATCH($AS8,'Modelo Optimización'!$AZ$3:$CO$3,0)))</f>
        <v/>
      </c>
      <c r="BS8" s="34" t="str">
        <f>+IF(AE8="","",INDEX('Modelo Optimización'!$AZ$4:$CO$149,MATCH(CONCATENATE(BS$7,$AT8),'Modelo Optimización'!$CQ$4:$CQ$149,0),MATCH($AS8,'Modelo Optimización'!$AZ$3:$CO$3,0)))</f>
        <v/>
      </c>
      <c r="BT8" s="34" t="str">
        <f>+IF(AF8="","",INDEX('Modelo Optimización'!$AZ$4:$CO$149,MATCH(CONCATENATE(BT$7,$AT8),'Modelo Optimización'!$CQ$4:$CQ$149,0),MATCH($AS8,'Modelo Optimización'!$AZ$3:$CO$3,0)))</f>
        <v/>
      </c>
      <c r="BU8" s="34" t="str">
        <f>+IF(AG8="","",INDEX('Modelo Optimización'!$AZ$4:$CO$149,MATCH(CONCATENATE(BU$7,$AT8),'Modelo Optimización'!$CQ$4:$CQ$149,0),MATCH($AS8,'Modelo Optimización'!$AZ$3:$CO$3,0)))</f>
        <v/>
      </c>
      <c r="BV8" s="34" t="str">
        <f>+IF(AH8="","",INDEX('Modelo Optimización'!$AZ$4:$CO$149,MATCH(CONCATENATE(BV$7,$AT8),'Modelo Optimización'!$CQ$4:$CQ$149,0),MATCH($AS8,'Modelo Optimización'!$AZ$3:$CO$3,0)))</f>
        <v/>
      </c>
      <c r="BW8" s="34" t="str">
        <f>+IF(AI8="","",INDEX('Modelo Optimización'!$AZ$4:$CO$149,MATCH(CONCATENATE(BW$7,$AT8),'Modelo Optimización'!$CQ$4:$CQ$149,0),MATCH($AS8,'Modelo Optimización'!$AZ$3:$CO$3,0)))</f>
        <v/>
      </c>
      <c r="BX8" s="34" t="str">
        <f>+IF(AJ8="","",INDEX('Modelo Optimización'!$AZ$4:$CO$149,MATCH(CONCATENATE(BX$7,$AT8),'Modelo Optimización'!$CQ$4:$CQ$149,0),MATCH($AS8,'Modelo Optimización'!$AZ$3:$CO$3,0)))</f>
        <v/>
      </c>
      <c r="BY8" s="34" t="str">
        <f>+IF(AK8="","",INDEX('Modelo Optimización'!$AZ$4:$CO$149,MATCH(CONCATENATE(BY$7,$AT8),'Modelo Optimización'!$CQ$4:$CQ$149,0),MATCH($AS8,'Modelo Optimización'!$AZ$3:$CO$3,0)))</f>
        <v/>
      </c>
      <c r="BZ8" s="34" t="str">
        <f>+IF(AL8="","",INDEX('Modelo Optimización'!$AZ$4:$CO$149,MATCH(CONCATENATE(BZ$7,$AT8),'Modelo Optimización'!$CQ$4:$CQ$149,0),MATCH($AS8,'Modelo Optimización'!$AZ$3:$CO$3,0)))</f>
        <v/>
      </c>
      <c r="CA8" s="34" t="str">
        <f>+IF(AM8="","",INDEX('Modelo Optimización'!$AZ$4:$CO$149,MATCH(CONCATENATE(CA$7,$AT8),'Modelo Optimización'!$CQ$4:$CQ$149,0),MATCH($AS8,'Modelo Optimización'!$AZ$3:$CO$3,0)))</f>
        <v/>
      </c>
      <c r="CB8" s="34" t="str">
        <f>+IF(AN8="","",INDEX('Modelo Optimización'!$AZ$4:$CO$149,MATCH(CONCATENATE(CB$7,$AT8),'Modelo Optimización'!$CQ$4:$CQ$149,0),MATCH($AS8,'Modelo Optimización'!$AZ$3:$CO$3,0)))</f>
        <v/>
      </c>
      <c r="CC8" s="34" t="str">
        <f>+IF(AO8="","",INDEX('Modelo Optimización'!$AZ$4:$CO$149,MATCH(CONCATENATE(CC$7,$AT8),'Modelo Optimización'!$CQ$4:$CQ$149,0),MATCH($AS8,'Modelo Optimización'!$AZ$3:$CO$3,0)))</f>
        <v/>
      </c>
      <c r="CD8" s="34" t="str">
        <f>+IF(AP8="","",INDEX('Modelo Optimización'!$AZ$4:$CO$149,MATCH(CONCATENATE(CD$7,$AT8),'Modelo Optimización'!$CQ$4:$CQ$149,0),MATCH($AS8,'Modelo Optimización'!$AZ$3:$CO$3,0)))</f>
        <v/>
      </c>
      <c r="CE8" s="35" t="str">
        <f>+IF(AQ8="","",INDEX('Modelo Optimización'!$AZ$4:$CO$149,MATCH(CONCATENATE(CE$7,$AT8),'Modelo Optimización'!$CQ$4:$CQ$149,0),MATCH($AS8,'Modelo Optimización'!$AZ$3:$CO$3,0)))</f>
        <v/>
      </c>
      <c r="CF8" s="301"/>
      <c r="CG8" s="261" t="str">
        <f>+IF(SUM(CJ8:DT8)=0,"",SUM(CJ8:DT8))</f>
        <v/>
      </c>
      <c r="CH8" s="302" t="str">
        <f t="shared" ref="CH8:CH63" si="7">+IF(AS8="","",AS8)</f>
        <v>El Retorno</v>
      </c>
      <c r="CI8" s="291" t="str">
        <f t="shared" ref="CI8:CI63" si="8">+IF(AT8="","",AT8)</f>
        <v>MOSTAZAL</v>
      </c>
      <c r="CJ8" s="33" t="str">
        <f>+IF(AU8="","",AU8*G8)</f>
        <v/>
      </c>
      <c r="CK8" s="34" t="str">
        <f t="shared" ref="CK8:DT8" si="9">+IF(AV8="","",AV8*H8)</f>
        <v/>
      </c>
      <c r="CL8" s="34" t="str">
        <f t="shared" si="9"/>
        <v/>
      </c>
      <c r="CM8" s="34" t="str">
        <f t="shared" si="9"/>
        <v/>
      </c>
      <c r="CN8" s="34" t="str">
        <f t="shared" si="9"/>
        <v/>
      </c>
      <c r="CO8" s="34" t="str">
        <f t="shared" si="9"/>
        <v/>
      </c>
      <c r="CP8" s="34" t="str">
        <f t="shared" si="9"/>
        <v/>
      </c>
      <c r="CQ8" s="34" t="str">
        <f t="shared" si="9"/>
        <v/>
      </c>
      <c r="CR8" s="34" t="str">
        <f t="shared" si="9"/>
        <v/>
      </c>
      <c r="CS8" s="34" t="str">
        <f t="shared" si="9"/>
        <v/>
      </c>
      <c r="CT8" s="34" t="str">
        <f t="shared" si="9"/>
        <v/>
      </c>
      <c r="CU8" s="34" t="str">
        <f t="shared" si="9"/>
        <v/>
      </c>
      <c r="CV8" s="34" t="str">
        <f t="shared" si="9"/>
        <v/>
      </c>
      <c r="CW8" s="34" t="str">
        <f t="shared" si="9"/>
        <v/>
      </c>
      <c r="CX8" s="34" t="str">
        <f t="shared" si="9"/>
        <v/>
      </c>
      <c r="CY8" s="34" t="str">
        <f t="shared" si="9"/>
        <v/>
      </c>
      <c r="CZ8" s="34" t="str">
        <f t="shared" si="9"/>
        <v/>
      </c>
      <c r="DA8" s="34" t="str">
        <f t="shared" si="9"/>
        <v/>
      </c>
      <c r="DB8" s="34" t="str">
        <f t="shared" si="9"/>
        <v/>
      </c>
      <c r="DC8" s="34" t="str">
        <f t="shared" si="9"/>
        <v/>
      </c>
      <c r="DD8" s="34" t="str">
        <f t="shared" si="9"/>
        <v/>
      </c>
      <c r="DE8" s="34" t="str">
        <f t="shared" si="9"/>
        <v/>
      </c>
      <c r="DF8" s="34" t="str">
        <f t="shared" si="9"/>
        <v/>
      </c>
      <c r="DG8" s="34" t="str">
        <f t="shared" si="9"/>
        <v/>
      </c>
      <c r="DH8" s="34" t="str">
        <f t="shared" si="9"/>
        <v/>
      </c>
      <c r="DI8" s="34" t="str">
        <f t="shared" si="9"/>
        <v/>
      </c>
      <c r="DJ8" s="34" t="str">
        <f t="shared" si="9"/>
        <v/>
      </c>
      <c r="DK8" s="34" t="str">
        <f t="shared" si="9"/>
        <v/>
      </c>
      <c r="DL8" s="34" t="str">
        <f t="shared" si="9"/>
        <v/>
      </c>
      <c r="DM8" s="34" t="str">
        <f t="shared" si="9"/>
        <v/>
      </c>
      <c r="DN8" s="34" t="str">
        <f t="shared" si="9"/>
        <v/>
      </c>
      <c r="DO8" s="34" t="str">
        <f t="shared" si="9"/>
        <v/>
      </c>
      <c r="DP8" s="34" t="str">
        <f t="shared" si="9"/>
        <v/>
      </c>
      <c r="DQ8" s="34" t="str">
        <f t="shared" si="9"/>
        <v/>
      </c>
      <c r="DR8" s="34" t="str">
        <f t="shared" si="9"/>
        <v/>
      </c>
      <c r="DS8" s="34" t="str">
        <f t="shared" si="9"/>
        <v/>
      </c>
      <c r="DT8" s="35" t="str">
        <f t="shared" si="9"/>
        <v/>
      </c>
    </row>
    <row r="9" spans="2:124" x14ac:dyDescent="0.35">
      <c r="B9" s="46" t="str">
        <v>Panquehue</v>
      </c>
      <c r="C9" s="212" t="str">
        <v>MOSTAZAL</v>
      </c>
      <c r="D9" s="52">
        <v>2</v>
      </c>
      <c r="E9" s="52">
        <f ca="1">+IF(B9="","",IFERROR(SUMIF('Modelo Optimización'!$AS$72:$AS$217,C9,INDEX('Modelo Optimización'!$C$72:$AR$217,,MATCH(B9,'Modelo Optimización'!$C$71:$AR$71,0))),0))</f>
        <v>0</v>
      </c>
      <c r="F9" s="281">
        <f t="shared" ref="F9:F63" ca="1" si="10">+IF(E9="","",D9-E9)</f>
        <v>2</v>
      </c>
      <c r="G9" s="280" t="str">
        <f>+IF(IF($B9="","",IFERROR(INDEX('Auxiliar Resultados'!$C$9:$BO$50,MATCH($B9,'Auxiliar Resultados'!$B$9:$B$50,0),MATCH(CONCATENATE($C9,G$7),'Auxiliar Resultados'!$C$6:$BO$6,0)),""))=0,"",IF($B9="","",IFERROR(INDEX('Auxiliar Resultados'!$C$9:$BO$50,MATCH($B9,'Auxiliar Resultados'!$B$9:$B$50,0),MATCH(CONCATENATE($C9,G$7),'Auxiliar Resultados'!$C$6:$BO$6,0)),"")))</f>
        <v/>
      </c>
      <c r="H9" s="52" t="str">
        <f>+IF(IF($B9="","",IFERROR(INDEX('Auxiliar Resultados'!$C$9:$BO$50,MATCH($B9,'Auxiliar Resultados'!$B$9:$B$50,0),MATCH(CONCATENATE($C9,H$7),'Auxiliar Resultados'!$C$6:$BO$6,0)),""))=0,"",IF($B9="","",IFERROR(INDEX('Auxiliar Resultados'!$C$9:$BO$50,MATCH($B9,'Auxiliar Resultados'!$B$9:$B$50,0),MATCH(CONCATENATE($C9,H$7),'Auxiliar Resultados'!$C$6:$BO$6,0)),"")))</f>
        <v/>
      </c>
      <c r="I9" s="52" t="str">
        <f>+IF(IF($B9="","",IFERROR(INDEX('Auxiliar Resultados'!$C$9:$BO$50,MATCH($B9,'Auxiliar Resultados'!$B$9:$B$50,0),MATCH(CONCATENATE($C9,I$7),'Auxiliar Resultados'!$C$6:$BO$6,0)),""))=0,"",IF($B9="","",IFERROR(INDEX('Auxiliar Resultados'!$C$9:$BO$50,MATCH($B9,'Auxiliar Resultados'!$B$9:$B$50,0),MATCH(CONCATENATE($C9,I$7),'Auxiliar Resultados'!$C$6:$BO$6,0)),"")))</f>
        <v/>
      </c>
      <c r="J9" s="52" t="str">
        <f>+IF(IF($B9="","",IFERROR(INDEX('Auxiliar Resultados'!$C$9:$BO$50,MATCH($B9,'Auxiliar Resultados'!$B$9:$B$50,0),MATCH(CONCATENATE($C9,J$7),'Auxiliar Resultados'!$C$6:$BO$6,0)),""))=0,"",IF($B9="","",IFERROR(INDEX('Auxiliar Resultados'!$C$9:$BO$50,MATCH($B9,'Auxiliar Resultados'!$B$9:$B$50,0),MATCH(CONCATENATE($C9,J$7),'Auxiliar Resultados'!$C$6:$BO$6,0)),"")))</f>
        <v/>
      </c>
      <c r="K9" s="52" t="str">
        <f>+IF(IF($B9="","",IFERROR(INDEX('Auxiliar Resultados'!$C$9:$BO$50,MATCH($B9,'Auxiliar Resultados'!$B$9:$B$50,0),MATCH(CONCATENATE($C9,K$7),'Auxiliar Resultados'!$C$6:$BO$6,0)),""))=0,"",IF($B9="","",IFERROR(INDEX('Auxiliar Resultados'!$C$9:$BO$50,MATCH($B9,'Auxiliar Resultados'!$B$9:$B$50,0),MATCH(CONCATENATE($C9,K$7),'Auxiliar Resultados'!$C$6:$BO$6,0)),"")))</f>
        <v/>
      </c>
      <c r="L9" s="52" t="str">
        <f>+IF(IF($B9="","",IFERROR(INDEX('Auxiliar Resultados'!$C$9:$BO$50,MATCH($B9,'Auxiliar Resultados'!$B$9:$B$50,0),MATCH(CONCATENATE($C9,L$7),'Auxiliar Resultados'!$C$6:$BO$6,0)),""))=0,"",IF($B9="","",IFERROR(INDEX('Auxiliar Resultados'!$C$9:$BO$50,MATCH($B9,'Auxiliar Resultados'!$B$9:$B$50,0),MATCH(CONCATENATE($C9,L$7),'Auxiliar Resultados'!$C$6:$BO$6,0)),"")))</f>
        <v/>
      </c>
      <c r="M9" s="52" t="str">
        <f>+IF(IF($B9="","",IFERROR(INDEX('Auxiliar Resultados'!$C$9:$BO$50,MATCH($B9,'Auxiliar Resultados'!$B$9:$B$50,0),MATCH(CONCATENATE($C9,M$7),'Auxiliar Resultados'!$C$6:$BO$6,0)),""))=0,"",IF($B9="","",IFERROR(INDEX('Auxiliar Resultados'!$C$9:$BO$50,MATCH($B9,'Auxiliar Resultados'!$B$9:$B$50,0),MATCH(CONCATENATE($C9,M$7),'Auxiliar Resultados'!$C$6:$BO$6,0)),"")))</f>
        <v/>
      </c>
      <c r="N9" s="52" t="str">
        <f>+IF(IF($B9="","",IFERROR(INDEX('Auxiliar Resultados'!$C$9:$BO$50,MATCH($B9,'Auxiliar Resultados'!$B$9:$B$50,0),MATCH(CONCATENATE($C9,N$7),'Auxiliar Resultados'!$C$6:$BO$6,0)),""))=0,"",IF($B9="","",IFERROR(INDEX('Auxiliar Resultados'!$C$9:$BO$50,MATCH($B9,'Auxiliar Resultados'!$B$9:$B$50,0),MATCH(CONCATENATE($C9,N$7),'Auxiliar Resultados'!$C$6:$BO$6,0)),"")))</f>
        <v/>
      </c>
      <c r="O9" s="52" t="str">
        <f>+IF(IF($B9="","",IFERROR(INDEX('Auxiliar Resultados'!$C$9:$BO$50,MATCH($B9,'Auxiliar Resultados'!$B$9:$B$50,0),MATCH(CONCATENATE($C9,O$7),'Auxiliar Resultados'!$C$6:$BO$6,0)),""))=0,"",IF($B9="","",IFERROR(INDEX('Auxiliar Resultados'!$C$9:$BO$50,MATCH($B9,'Auxiliar Resultados'!$B$9:$B$50,0),MATCH(CONCATENATE($C9,O$7),'Auxiliar Resultados'!$C$6:$BO$6,0)),"")))</f>
        <v/>
      </c>
      <c r="P9" s="52" t="str">
        <f>+IF(IF($B9="","",IFERROR(INDEX('Auxiliar Resultados'!$C$9:$BO$50,MATCH($B9,'Auxiliar Resultados'!$B$9:$B$50,0),MATCH(CONCATENATE($C9,P$7),'Auxiliar Resultados'!$C$6:$BO$6,0)),""))=0,"",IF($B9="","",IFERROR(INDEX('Auxiliar Resultados'!$C$9:$BO$50,MATCH($B9,'Auxiliar Resultados'!$B$9:$B$50,0),MATCH(CONCATENATE($C9,P$7),'Auxiliar Resultados'!$C$6:$BO$6,0)),"")))</f>
        <v/>
      </c>
      <c r="Q9" s="52" t="str">
        <f>+IF(IF($B9="","",IFERROR(INDEX('Auxiliar Resultados'!$C$9:$BO$50,MATCH($B9,'Auxiliar Resultados'!$B$9:$B$50,0),MATCH(CONCATENATE($C9,Q$7),'Auxiliar Resultados'!$C$6:$BO$6,0)),""))=0,"",IF($B9="","",IFERROR(INDEX('Auxiliar Resultados'!$C$9:$BO$50,MATCH($B9,'Auxiliar Resultados'!$B$9:$B$50,0),MATCH(CONCATENATE($C9,Q$7),'Auxiliar Resultados'!$C$6:$BO$6,0)),"")))</f>
        <v/>
      </c>
      <c r="R9" s="52" t="str">
        <f>+IF(IF($B9="","",IFERROR(INDEX('Auxiliar Resultados'!$C$9:$BO$50,MATCH($B9,'Auxiliar Resultados'!$B$9:$B$50,0),MATCH(CONCATENATE($C9,R$7),'Auxiliar Resultados'!$C$6:$BO$6,0)),""))=0,"",IF($B9="","",IFERROR(INDEX('Auxiliar Resultados'!$C$9:$BO$50,MATCH($B9,'Auxiliar Resultados'!$B$9:$B$50,0),MATCH(CONCATENATE($C9,R$7),'Auxiliar Resultados'!$C$6:$BO$6,0)),"")))</f>
        <v/>
      </c>
      <c r="S9" s="52" t="str">
        <f>+IF(IF($B9="","",IFERROR(INDEX('Auxiliar Resultados'!$C$9:$BO$50,MATCH($B9,'Auxiliar Resultados'!$B$9:$B$50,0),MATCH(CONCATENATE($C9,S$7),'Auxiliar Resultados'!$C$6:$BO$6,0)),""))=0,"",IF($B9="","",IFERROR(INDEX('Auxiliar Resultados'!$C$9:$BO$50,MATCH($B9,'Auxiliar Resultados'!$B$9:$B$50,0),MATCH(CONCATENATE($C9,S$7),'Auxiliar Resultados'!$C$6:$BO$6,0)),"")))</f>
        <v/>
      </c>
      <c r="T9" s="52" t="str">
        <f>+IF(IF($B9="","",IFERROR(INDEX('Auxiliar Resultados'!$C$9:$BO$50,MATCH($B9,'Auxiliar Resultados'!$B$9:$B$50,0),MATCH(CONCATENATE($C9,T$7),'Auxiliar Resultados'!$C$6:$BO$6,0)),""))=0,"",IF($B9="","",IFERROR(INDEX('Auxiliar Resultados'!$C$9:$BO$50,MATCH($B9,'Auxiliar Resultados'!$B$9:$B$50,0),MATCH(CONCATENATE($C9,T$7),'Auxiliar Resultados'!$C$6:$BO$6,0)),"")))</f>
        <v/>
      </c>
      <c r="U9" s="52" t="str">
        <f>+IF(IF($B9="","",IFERROR(INDEX('Auxiliar Resultados'!$C$9:$BO$50,MATCH($B9,'Auxiliar Resultados'!$B$9:$B$50,0),MATCH(CONCATENATE($C9,U$7),'Auxiliar Resultados'!$C$6:$BO$6,0)),""))=0,"",IF($B9="","",IFERROR(INDEX('Auxiliar Resultados'!$C$9:$BO$50,MATCH($B9,'Auxiliar Resultados'!$B$9:$B$50,0),MATCH(CONCATENATE($C9,U$7),'Auxiliar Resultados'!$C$6:$BO$6,0)),"")))</f>
        <v/>
      </c>
      <c r="V9" s="52" t="str">
        <f>+IF(IF($B9="","",IFERROR(INDEX('Auxiliar Resultados'!$C$9:$BO$50,MATCH($B9,'Auxiliar Resultados'!$B$9:$B$50,0),MATCH(CONCATENATE($C9,V$7),'Auxiliar Resultados'!$C$6:$BO$6,0)),""))=0,"",IF($B9="","",IFERROR(INDEX('Auxiliar Resultados'!$C$9:$BO$50,MATCH($B9,'Auxiliar Resultados'!$B$9:$B$50,0),MATCH(CONCATENATE($C9,V$7),'Auxiliar Resultados'!$C$6:$BO$6,0)),"")))</f>
        <v/>
      </c>
      <c r="W9" s="52" t="str">
        <f>+IF(IF($B9="","",IFERROR(INDEX('Auxiliar Resultados'!$C$9:$BO$50,MATCH($B9,'Auxiliar Resultados'!$B$9:$B$50,0),MATCH(CONCATENATE($C9,W$7),'Auxiliar Resultados'!$C$6:$BO$6,0)),""))=0,"",IF($B9="","",IFERROR(INDEX('Auxiliar Resultados'!$C$9:$BO$50,MATCH($B9,'Auxiliar Resultados'!$B$9:$B$50,0),MATCH(CONCATENATE($C9,W$7),'Auxiliar Resultados'!$C$6:$BO$6,0)),"")))</f>
        <v/>
      </c>
      <c r="X9" s="52" t="str">
        <f>+IF(IF($B9="","",IFERROR(INDEX('Auxiliar Resultados'!$C$9:$BO$50,MATCH($B9,'Auxiliar Resultados'!$B$9:$B$50,0),MATCH(CONCATENATE($C9,X$7),'Auxiliar Resultados'!$C$6:$BO$6,0)),""))=0,"",IF($B9="","",IFERROR(INDEX('Auxiliar Resultados'!$C$9:$BO$50,MATCH($B9,'Auxiliar Resultados'!$B$9:$B$50,0),MATCH(CONCATENATE($C9,X$7),'Auxiliar Resultados'!$C$6:$BO$6,0)),"")))</f>
        <v/>
      </c>
      <c r="Y9" s="52" t="str">
        <f>+IF(IF($B9="","",IFERROR(INDEX('Auxiliar Resultados'!$C$9:$BO$50,MATCH($B9,'Auxiliar Resultados'!$B$9:$B$50,0),MATCH(CONCATENATE($C9,Y$7),'Auxiliar Resultados'!$C$6:$BO$6,0)),""))=0,"",IF($B9="","",IFERROR(INDEX('Auxiliar Resultados'!$C$9:$BO$50,MATCH($B9,'Auxiliar Resultados'!$B$9:$B$50,0),MATCH(CONCATENATE($C9,Y$7),'Auxiliar Resultados'!$C$6:$BO$6,0)),"")))</f>
        <v/>
      </c>
      <c r="Z9" s="52" t="str">
        <f>+IF(IF($B9="","",IFERROR(INDEX('Auxiliar Resultados'!$C$9:$BO$50,MATCH($B9,'Auxiliar Resultados'!$B$9:$B$50,0),MATCH(CONCATENATE($C9,Z$7),'Auxiliar Resultados'!$C$6:$BO$6,0)),""))=0,"",IF($B9="","",IFERROR(INDEX('Auxiliar Resultados'!$C$9:$BO$50,MATCH($B9,'Auxiliar Resultados'!$B$9:$B$50,0),MATCH(CONCATENATE($C9,Z$7),'Auxiliar Resultados'!$C$6:$BO$6,0)),"")))</f>
        <v/>
      </c>
      <c r="AA9" s="52" t="str">
        <f>+IF(IF($B9="","",IFERROR(INDEX('Auxiliar Resultados'!$C$9:$BO$50,MATCH($B9,'Auxiliar Resultados'!$B$9:$B$50,0),MATCH(CONCATENATE($C9,AA$7),'Auxiliar Resultados'!$C$6:$BO$6,0)),""))=0,"",IF($B9="","",IFERROR(INDEX('Auxiliar Resultados'!$C$9:$BO$50,MATCH($B9,'Auxiliar Resultados'!$B$9:$B$50,0),MATCH(CONCATENATE($C9,AA$7),'Auxiliar Resultados'!$C$6:$BO$6,0)),"")))</f>
        <v/>
      </c>
      <c r="AB9" s="52" t="str">
        <f>+IF(IF($B9="","",IFERROR(INDEX('Auxiliar Resultados'!$C$9:$BO$50,MATCH($B9,'Auxiliar Resultados'!$B$9:$B$50,0),MATCH(CONCATENATE($C9,AB$7),'Auxiliar Resultados'!$C$6:$BO$6,0)),""))=0,"",IF($B9="","",IFERROR(INDEX('Auxiliar Resultados'!$C$9:$BO$50,MATCH($B9,'Auxiliar Resultados'!$B$9:$B$50,0),MATCH(CONCATENATE($C9,AB$7),'Auxiliar Resultados'!$C$6:$BO$6,0)),"")))</f>
        <v/>
      </c>
      <c r="AC9" s="52" t="str">
        <f>+IF(IF($B9="","",IFERROR(INDEX('Auxiliar Resultados'!$C$9:$BO$50,MATCH($B9,'Auxiliar Resultados'!$B$9:$B$50,0),MATCH(CONCATENATE($C9,AC$7),'Auxiliar Resultados'!$C$6:$BO$6,0)),""))=0,"",IF($B9="","",IFERROR(INDEX('Auxiliar Resultados'!$C$9:$BO$50,MATCH($B9,'Auxiliar Resultados'!$B$9:$B$50,0),MATCH(CONCATENATE($C9,AC$7),'Auxiliar Resultados'!$C$6:$BO$6,0)),"")))</f>
        <v/>
      </c>
      <c r="AD9" s="52" t="str">
        <f>+IF(IF($B9="","",IFERROR(INDEX('Auxiliar Resultados'!$C$9:$BO$50,MATCH($B9,'Auxiliar Resultados'!$B$9:$B$50,0),MATCH(CONCATENATE($C9,AD$7),'Auxiliar Resultados'!$C$6:$BO$6,0)),""))=0,"",IF($B9="","",IFERROR(INDEX('Auxiliar Resultados'!$C$9:$BO$50,MATCH($B9,'Auxiliar Resultados'!$B$9:$B$50,0),MATCH(CONCATENATE($C9,AD$7),'Auxiliar Resultados'!$C$6:$BO$6,0)),"")))</f>
        <v/>
      </c>
      <c r="AE9" s="52" t="str">
        <f>+IF(IF($B9="","",IFERROR(INDEX('Auxiliar Resultados'!$C$9:$BO$50,MATCH($B9,'Auxiliar Resultados'!$B$9:$B$50,0),MATCH(CONCATENATE($C9,AE$7),'Auxiliar Resultados'!$C$6:$BO$6,0)),""))=0,"",IF($B9="","",IFERROR(INDEX('Auxiliar Resultados'!$C$9:$BO$50,MATCH($B9,'Auxiliar Resultados'!$B$9:$B$50,0),MATCH(CONCATENATE($C9,AE$7),'Auxiliar Resultados'!$C$6:$BO$6,0)),"")))</f>
        <v/>
      </c>
      <c r="AF9" s="52" t="str">
        <f>+IF(IF($B9="","",IFERROR(INDEX('Auxiliar Resultados'!$C$9:$BO$50,MATCH($B9,'Auxiliar Resultados'!$B$9:$B$50,0),MATCH(CONCATENATE($C9,AF$7),'Auxiliar Resultados'!$C$6:$BO$6,0)),""))=0,"",IF($B9="","",IFERROR(INDEX('Auxiliar Resultados'!$C$9:$BO$50,MATCH($B9,'Auxiliar Resultados'!$B$9:$B$50,0),MATCH(CONCATENATE($C9,AF$7),'Auxiliar Resultados'!$C$6:$BO$6,0)),"")))</f>
        <v/>
      </c>
      <c r="AG9" s="52" t="str">
        <f>+IF(IF($B9="","",IFERROR(INDEX('Auxiliar Resultados'!$C$9:$BO$50,MATCH($B9,'Auxiliar Resultados'!$B$9:$B$50,0),MATCH(CONCATENATE($C9,AG$7),'Auxiliar Resultados'!$C$6:$BO$6,0)),""))=0,"",IF($B9="","",IFERROR(INDEX('Auxiliar Resultados'!$C$9:$BO$50,MATCH($B9,'Auxiliar Resultados'!$B$9:$B$50,0),MATCH(CONCATENATE($C9,AG$7),'Auxiliar Resultados'!$C$6:$BO$6,0)),"")))</f>
        <v/>
      </c>
      <c r="AH9" s="52" t="str">
        <f>+IF(IF($B9="","",IFERROR(INDEX('Auxiliar Resultados'!$C$9:$BO$50,MATCH($B9,'Auxiliar Resultados'!$B$9:$B$50,0),MATCH(CONCATENATE($C9,AH$7),'Auxiliar Resultados'!$C$6:$BO$6,0)),""))=0,"",IF($B9="","",IFERROR(INDEX('Auxiliar Resultados'!$C$9:$BO$50,MATCH($B9,'Auxiliar Resultados'!$B$9:$B$50,0),MATCH(CONCATENATE($C9,AH$7),'Auxiliar Resultados'!$C$6:$BO$6,0)),"")))</f>
        <v/>
      </c>
      <c r="AI9" s="52" t="str">
        <f>+IF(IF($B9="","",IFERROR(INDEX('Auxiliar Resultados'!$C$9:$BO$50,MATCH($B9,'Auxiliar Resultados'!$B$9:$B$50,0),MATCH(CONCATENATE($C9,AI$7),'Auxiliar Resultados'!$C$6:$BO$6,0)),""))=0,"",IF($B9="","",IFERROR(INDEX('Auxiliar Resultados'!$C$9:$BO$50,MATCH($B9,'Auxiliar Resultados'!$B$9:$B$50,0),MATCH(CONCATENATE($C9,AI$7),'Auxiliar Resultados'!$C$6:$BO$6,0)),"")))</f>
        <v/>
      </c>
      <c r="AJ9" s="52" t="str">
        <f>+IF(IF($B9="","",IFERROR(INDEX('Auxiliar Resultados'!$C$9:$BO$50,MATCH($B9,'Auxiliar Resultados'!$B$9:$B$50,0),MATCH(CONCATENATE($C9,AJ$7),'Auxiliar Resultados'!$C$6:$BO$6,0)),""))=0,"",IF($B9="","",IFERROR(INDEX('Auxiliar Resultados'!$C$9:$BO$50,MATCH($B9,'Auxiliar Resultados'!$B$9:$B$50,0),MATCH(CONCATENATE($C9,AJ$7),'Auxiliar Resultados'!$C$6:$BO$6,0)),"")))</f>
        <v/>
      </c>
      <c r="AK9" s="52" t="str">
        <f>+IF(IF($B9="","",IFERROR(INDEX('Auxiliar Resultados'!$C$9:$BO$50,MATCH($B9,'Auxiliar Resultados'!$B$9:$B$50,0),MATCH(CONCATENATE($C9,AK$7),'Auxiliar Resultados'!$C$6:$BO$6,0)),""))=0,"",IF($B9="","",IFERROR(INDEX('Auxiliar Resultados'!$C$9:$BO$50,MATCH($B9,'Auxiliar Resultados'!$B$9:$B$50,0),MATCH(CONCATENATE($C9,AK$7),'Auxiliar Resultados'!$C$6:$BO$6,0)),"")))</f>
        <v/>
      </c>
      <c r="AL9" s="52" t="str">
        <f>+IF(IF($B9="","",IFERROR(INDEX('Auxiliar Resultados'!$C$9:$BO$50,MATCH($B9,'Auxiliar Resultados'!$B$9:$B$50,0),MATCH(CONCATENATE($C9,AL$7),'Auxiliar Resultados'!$C$6:$BO$6,0)),""))=0,"",IF($B9="","",IFERROR(INDEX('Auxiliar Resultados'!$C$9:$BO$50,MATCH($B9,'Auxiliar Resultados'!$B$9:$B$50,0),MATCH(CONCATENATE($C9,AL$7),'Auxiliar Resultados'!$C$6:$BO$6,0)),"")))</f>
        <v/>
      </c>
      <c r="AM9" s="52" t="str">
        <f>+IF(IF($B9="","",IFERROR(INDEX('Auxiliar Resultados'!$C$9:$BO$50,MATCH($B9,'Auxiliar Resultados'!$B$9:$B$50,0),MATCH(CONCATENATE($C9,AM$7),'Auxiliar Resultados'!$C$6:$BO$6,0)),""))=0,"",IF($B9="","",IFERROR(INDEX('Auxiliar Resultados'!$C$9:$BO$50,MATCH($B9,'Auxiliar Resultados'!$B$9:$B$50,0),MATCH(CONCATENATE($C9,AM$7),'Auxiliar Resultados'!$C$6:$BO$6,0)),"")))</f>
        <v/>
      </c>
      <c r="AN9" s="52" t="str">
        <f>+IF(IF($B9="","",IFERROR(INDEX('Auxiliar Resultados'!$C$9:$BO$50,MATCH($B9,'Auxiliar Resultados'!$B$9:$B$50,0),MATCH(CONCATENATE($C9,AN$7),'Auxiliar Resultados'!$C$6:$BO$6,0)),""))=0,"",IF($B9="","",IFERROR(INDEX('Auxiliar Resultados'!$C$9:$BO$50,MATCH($B9,'Auxiliar Resultados'!$B$9:$B$50,0),MATCH(CONCATENATE($C9,AN$7),'Auxiliar Resultados'!$C$6:$BO$6,0)),"")))</f>
        <v/>
      </c>
      <c r="AO9" s="52" t="str">
        <f>+IF(IF($B9="","",IFERROR(INDEX('Auxiliar Resultados'!$C$9:$BO$50,MATCH($B9,'Auxiliar Resultados'!$B$9:$B$50,0),MATCH(CONCATENATE($C9,AO$7),'Auxiliar Resultados'!$C$6:$BO$6,0)),""))=0,"",IF($B9="","",IFERROR(INDEX('Auxiliar Resultados'!$C$9:$BO$50,MATCH($B9,'Auxiliar Resultados'!$B$9:$B$50,0),MATCH(CONCATENATE($C9,AO$7),'Auxiliar Resultados'!$C$6:$BO$6,0)),"")))</f>
        <v/>
      </c>
      <c r="AP9" s="52" t="str">
        <f>+IF(IF($B9="","",IFERROR(INDEX('Auxiliar Resultados'!$C$9:$BO$50,MATCH($B9,'Auxiliar Resultados'!$B$9:$B$50,0),MATCH(CONCATENATE($C9,AP$7),'Auxiliar Resultados'!$C$6:$BO$6,0)),""))=0,"",IF($B9="","",IFERROR(INDEX('Auxiliar Resultados'!$C$9:$BO$50,MATCH($B9,'Auxiliar Resultados'!$B$9:$B$50,0),MATCH(CONCATENATE($C9,AP$7),'Auxiliar Resultados'!$C$6:$BO$6,0)),"")))</f>
        <v/>
      </c>
      <c r="AQ9" s="276" t="str">
        <f>+IF(IF($B9="","",IFERROR(INDEX('Auxiliar Resultados'!$C$9:$BO$50,MATCH($B9,'Auxiliar Resultados'!$B$9:$B$50,0),MATCH(CONCATENATE($C9,AQ$7),'Auxiliar Resultados'!$C$6:$BO$6,0)),""))=0,"",IF($B9="","",IFERROR(INDEX('Auxiliar Resultados'!$C$9:$BO$50,MATCH($B9,'Auxiliar Resultados'!$B$9:$B$50,0),MATCH(CONCATENATE($C9,AQ$7),'Auxiliar Resultados'!$C$6:$BO$6,0)),"")))</f>
        <v/>
      </c>
      <c r="AS9" s="46" t="str">
        <f t="shared" si="5"/>
        <v>Panquehue</v>
      </c>
      <c r="AT9" s="292" t="str">
        <f t="shared" si="6"/>
        <v>MOSTAZAL</v>
      </c>
      <c r="AU9" s="36" t="str">
        <f>+IF(G9="","",INDEX('Modelo Optimización'!$AZ$4:$CO$149,MATCH(CONCATENATE(AU$7,$AT9),'Modelo Optimización'!$CQ$4:$CQ$149,0),MATCH($AS9,'Modelo Optimización'!$AZ$3:$CO$3,0)))</f>
        <v/>
      </c>
      <c r="AV9" s="32" t="str">
        <f>+IF(H9="","",INDEX('Modelo Optimización'!$AZ$4:$CO$149,MATCH(CONCATENATE(AV$7,$AT9),'Modelo Optimización'!$CQ$4:$CQ$149,0),MATCH($AS9,'Modelo Optimización'!$AZ$3:$CO$3,0)))</f>
        <v/>
      </c>
      <c r="AW9" s="32" t="str">
        <f>+IF(I9="","",INDEX('Modelo Optimización'!$AZ$4:$CO$149,MATCH(CONCATENATE(AW$7,$AT9),'Modelo Optimización'!$CQ$4:$CQ$149,0),MATCH($AS9,'Modelo Optimización'!$AZ$3:$CO$3,0)))</f>
        <v/>
      </c>
      <c r="AX9" s="32" t="str">
        <f>+IF(J9="","",INDEX('Modelo Optimización'!$AZ$4:$CO$149,MATCH(CONCATENATE(AX$7,$AT9),'Modelo Optimización'!$CQ$4:$CQ$149,0),MATCH($AS9,'Modelo Optimización'!$AZ$3:$CO$3,0)))</f>
        <v/>
      </c>
      <c r="AY9" s="32" t="str">
        <f>+IF(K9="","",INDEX('Modelo Optimización'!$AZ$4:$CO$149,MATCH(CONCATENATE(AY$7,$AT9),'Modelo Optimización'!$CQ$4:$CQ$149,0),MATCH($AS9,'Modelo Optimización'!$AZ$3:$CO$3,0)))</f>
        <v/>
      </c>
      <c r="AZ9" s="32" t="str">
        <f>+IF(L9="","",INDEX('Modelo Optimización'!$AZ$4:$CO$149,MATCH(CONCATENATE(AZ$7,$AT9),'Modelo Optimización'!$CQ$4:$CQ$149,0),MATCH($AS9,'Modelo Optimización'!$AZ$3:$CO$3,0)))</f>
        <v/>
      </c>
      <c r="BA9" s="32" t="str">
        <f>+IF(M9="","",INDEX('Modelo Optimización'!$AZ$4:$CO$149,MATCH(CONCATENATE(BA$7,$AT9),'Modelo Optimización'!$CQ$4:$CQ$149,0),MATCH($AS9,'Modelo Optimización'!$AZ$3:$CO$3,0)))</f>
        <v/>
      </c>
      <c r="BB9" s="32" t="str">
        <f>+IF(N9="","",INDEX('Modelo Optimización'!$AZ$4:$CO$149,MATCH(CONCATENATE(BB$7,$AT9),'Modelo Optimización'!$CQ$4:$CQ$149,0),MATCH($AS9,'Modelo Optimización'!$AZ$3:$CO$3,0)))</f>
        <v/>
      </c>
      <c r="BC9" s="32" t="str">
        <f>+IF(O9="","",INDEX('Modelo Optimización'!$AZ$4:$CO$149,MATCH(CONCATENATE(BC$7,$AT9),'Modelo Optimización'!$CQ$4:$CQ$149,0),MATCH($AS9,'Modelo Optimización'!$AZ$3:$CO$3,0)))</f>
        <v/>
      </c>
      <c r="BD9" s="32" t="str">
        <f>+IF(P9="","",INDEX('Modelo Optimización'!$AZ$4:$CO$149,MATCH(CONCATENATE(BD$7,$AT9),'Modelo Optimización'!$CQ$4:$CQ$149,0),MATCH($AS9,'Modelo Optimización'!$AZ$3:$CO$3,0)))</f>
        <v/>
      </c>
      <c r="BE9" s="32" t="str">
        <f>+IF(Q9="","",INDEX('Modelo Optimización'!$AZ$4:$CO$149,MATCH(CONCATENATE(BE$7,$AT9),'Modelo Optimización'!$CQ$4:$CQ$149,0),MATCH($AS9,'Modelo Optimización'!$AZ$3:$CO$3,0)))</f>
        <v/>
      </c>
      <c r="BF9" s="32" t="str">
        <f>+IF(R9="","",INDEX('Modelo Optimización'!$AZ$4:$CO$149,MATCH(CONCATENATE(BF$7,$AT9),'Modelo Optimización'!$CQ$4:$CQ$149,0),MATCH($AS9,'Modelo Optimización'!$AZ$3:$CO$3,0)))</f>
        <v/>
      </c>
      <c r="BG9" s="32" t="str">
        <f>+IF(S9="","",INDEX('Modelo Optimización'!$AZ$4:$CO$149,MATCH(CONCATENATE(BG$7,$AT9),'Modelo Optimización'!$CQ$4:$CQ$149,0),MATCH($AS9,'Modelo Optimización'!$AZ$3:$CO$3,0)))</f>
        <v/>
      </c>
      <c r="BH9" s="32" t="str">
        <f>+IF(T9="","",INDEX('Modelo Optimización'!$AZ$4:$CO$149,MATCH(CONCATENATE(BH$7,$AT9),'Modelo Optimización'!$CQ$4:$CQ$149,0),MATCH($AS9,'Modelo Optimización'!$AZ$3:$CO$3,0)))</f>
        <v/>
      </c>
      <c r="BI9" s="32" t="str">
        <f>+IF(U9="","",INDEX('Modelo Optimización'!$AZ$4:$CO$149,MATCH(CONCATENATE(BI$7,$AT9),'Modelo Optimización'!$CQ$4:$CQ$149,0),MATCH($AS9,'Modelo Optimización'!$AZ$3:$CO$3,0)))</f>
        <v/>
      </c>
      <c r="BJ9" s="32" t="str">
        <f>+IF(V9="","",INDEX('Modelo Optimización'!$AZ$4:$CO$149,MATCH(CONCATENATE(BJ$7,$AT9),'Modelo Optimización'!$CQ$4:$CQ$149,0),MATCH($AS9,'Modelo Optimización'!$AZ$3:$CO$3,0)))</f>
        <v/>
      </c>
      <c r="BK9" s="32" t="str">
        <f>+IF(W9="","",INDEX('Modelo Optimización'!$AZ$4:$CO$149,MATCH(CONCATENATE(BK$7,$AT9),'Modelo Optimización'!$CQ$4:$CQ$149,0),MATCH($AS9,'Modelo Optimización'!$AZ$3:$CO$3,0)))</f>
        <v/>
      </c>
      <c r="BL9" s="32" t="str">
        <f>+IF(X9="","",INDEX('Modelo Optimización'!$AZ$4:$CO$149,MATCH(CONCATENATE(BL$7,$AT9),'Modelo Optimización'!$CQ$4:$CQ$149,0),MATCH($AS9,'Modelo Optimización'!$AZ$3:$CO$3,0)))</f>
        <v/>
      </c>
      <c r="BM9" s="32" t="str">
        <f>+IF(Y9="","",INDEX('Modelo Optimización'!$AZ$4:$CO$149,MATCH(CONCATENATE(BM$7,$AT9),'Modelo Optimización'!$CQ$4:$CQ$149,0),MATCH($AS9,'Modelo Optimización'!$AZ$3:$CO$3,0)))</f>
        <v/>
      </c>
      <c r="BN9" s="32" t="str">
        <f>+IF(Z9="","",INDEX('Modelo Optimización'!$AZ$4:$CO$149,MATCH(CONCATENATE(BN$7,$AT9),'Modelo Optimización'!$CQ$4:$CQ$149,0),MATCH($AS9,'Modelo Optimización'!$AZ$3:$CO$3,0)))</f>
        <v/>
      </c>
      <c r="BO9" s="32" t="str">
        <f>+IF(AA9="","",INDEX('Modelo Optimización'!$AZ$4:$CO$149,MATCH(CONCATENATE(BO$7,$AT9),'Modelo Optimización'!$CQ$4:$CQ$149,0),MATCH($AS9,'Modelo Optimización'!$AZ$3:$CO$3,0)))</f>
        <v/>
      </c>
      <c r="BP9" s="32" t="str">
        <f>+IF(AB9="","",INDEX('Modelo Optimización'!$AZ$4:$CO$149,MATCH(CONCATENATE(BP$7,$AT9),'Modelo Optimización'!$CQ$4:$CQ$149,0),MATCH($AS9,'Modelo Optimización'!$AZ$3:$CO$3,0)))</f>
        <v/>
      </c>
      <c r="BQ9" s="32" t="str">
        <f>+IF(AC9="","",INDEX('Modelo Optimización'!$AZ$4:$CO$149,MATCH(CONCATENATE(BQ$7,$AT9),'Modelo Optimización'!$CQ$4:$CQ$149,0),MATCH($AS9,'Modelo Optimización'!$AZ$3:$CO$3,0)))</f>
        <v/>
      </c>
      <c r="BR9" s="32" t="str">
        <f>+IF(AD9="","",INDEX('Modelo Optimización'!$AZ$4:$CO$149,MATCH(CONCATENATE(BR$7,$AT9),'Modelo Optimización'!$CQ$4:$CQ$149,0),MATCH($AS9,'Modelo Optimización'!$AZ$3:$CO$3,0)))</f>
        <v/>
      </c>
      <c r="BS9" s="32" t="str">
        <f>+IF(AE9="","",INDEX('Modelo Optimización'!$AZ$4:$CO$149,MATCH(CONCATENATE(BS$7,$AT9),'Modelo Optimización'!$CQ$4:$CQ$149,0),MATCH($AS9,'Modelo Optimización'!$AZ$3:$CO$3,0)))</f>
        <v/>
      </c>
      <c r="BT9" s="32" t="str">
        <f>+IF(AF9="","",INDEX('Modelo Optimización'!$AZ$4:$CO$149,MATCH(CONCATENATE(BT$7,$AT9),'Modelo Optimización'!$CQ$4:$CQ$149,0),MATCH($AS9,'Modelo Optimización'!$AZ$3:$CO$3,0)))</f>
        <v/>
      </c>
      <c r="BU9" s="32" t="str">
        <f>+IF(AG9="","",INDEX('Modelo Optimización'!$AZ$4:$CO$149,MATCH(CONCATENATE(BU$7,$AT9),'Modelo Optimización'!$CQ$4:$CQ$149,0),MATCH($AS9,'Modelo Optimización'!$AZ$3:$CO$3,0)))</f>
        <v/>
      </c>
      <c r="BV9" s="32" t="str">
        <f>+IF(AH9="","",INDEX('Modelo Optimización'!$AZ$4:$CO$149,MATCH(CONCATENATE(BV$7,$AT9),'Modelo Optimización'!$CQ$4:$CQ$149,0),MATCH($AS9,'Modelo Optimización'!$AZ$3:$CO$3,0)))</f>
        <v/>
      </c>
      <c r="BW9" s="32" t="str">
        <f>+IF(AI9="","",INDEX('Modelo Optimización'!$AZ$4:$CO$149,MATCH(CONCATENATE(BW$7,$AT9),'Modelo Optimización'!$CQ$4:$CQ$149,0),MATCH($AS9,'Modelo Optimización'!$AZ$3:$CO$3,0)))</f>
        <v/>
      </c>
      <c r="BX9" s="32" t="str">
        <f>+IF(AJ9="","",INDEX('Modelo Optimización'!$AZ$4:$CO$149,MATCH(CONCATENATE(BX$7,$AT9),'Modelo Optimización'!$CQ$4:$CQ$149,0),MATCH($AS9,'Modelo Optimización'!$AZ$3:$CO$3,0)))</f>
        <v/>
      </c>
      <c r="BY9" s="32" t="str">
        <f>+IF(AK9="","",INDEX('Modelo Optimización'!$AZ$4:$CO$149,MATCH(CONCATENATE(BY$7,$AT9),'Modelo Optimización'!$CQ$4:$CQ$149,0),MATCH($AS9,'Modelo Optimización'!$AZ$3:$CO$3,0)))</f>
        <v/>
      </c>
      <c r="BZ9" s="32" t="str">
        <f>+IF(AL9="","",INDEX('Modelo Optimización'!$AZ$4:$CO$149,MATCH(CONCATENATE(BZ$7,$AT9),'Modelo Optimización'!$CQ$4:$CQ$149,0),MATCH($AS9,'Modelo Optimización'!$AZ$3:$CO$3,0)))</f>
        <v/>
      </c>
      <c r="CA9" s="32" t="str">
        <f>+IF(AM9="","",INDEX('Modelo Optimización'!$AZ$4:$CO$149,MATCH(CONCATENATE(CA$7,$AT9),'Modelo Optimización'!$CQ$4:$CQ$149,0),MATCH($AS9,'Modelo Optimización'!$AZ$3:$CO$3,0)))</f>
        <v/>
      </c>
      <c r="CB9" s="32" t="str">
        <f>+IF(AN9="","",INDEX('Modelo Optimización'!$AZ$4:$CO$149,MATCH(CONCATENATE(CB$7,$AT9),'Modelo Optimización'!$CQ$4:$CQ$149,0),MATCH($AS9,'Modelo Optimización'!$AZ$3:$CO$3,0)))</f>
        <v/>
      </c>
      <c r="CC9" s="32" t="str">
        <f>+IF(AO9="","",INDEX('Modelo Optimización'!$AZ$4:$CO$149,MATCH(CONCATENATE(CC$7,$AT9),'Modelo Optimización'!$CQ$4:$CQ$149,0),MATCH($AS9,'Modelo Optimización'!$AZ$3:$CO$3,0)))</f>
        <v/>
      </c>
      <c r="CD9" s="32" t="str">
        <f>+IF(AP9="","",INDEX('Modelo Optimización'!$AZ$4:$CO$149,MATCH(CONCATENATE(CD$7,$AT9),'Modelo Optimización'!$CQ$4:$CQ$149,0),MATCH($AS9,'Modelo Optimización'!$AZ$3:$CO$3,0)))</f>
        <v/>
      </c>
      <c r="CE9" s="37" t="str">
        <f>+IF(AQ9="","",INDEX('Modelo Optimización'!$AZ$4:$CO$149,MATCH(CONCATENATE(CE$7,$AT9),'Modelo Optimización'!$CQ$4:$CQ$149,0),MATCH($AS9,'Modelo Optimización'!$AZ$3:$CO$3,0)))</f>
        <v/>
      </c>
      <c r="CF9" s="301"/>
      <c r="CG9" s="305" t="str">
        <f t="shared" ref="CG9:CG63" si="11">+IF(SUM(CJ9:DT9)=0,"",SUM(CJ9:DT9))</f>
        <v/>
      </c>
      <c r="CH9" s="303" t="str">
        <f t="shared" si="7"/>
        <v>Panquehue</v>
      </c>
      <c r="CI9" s="292" t="str">
        <f t="shared" si="8"/>
        <v>MOSTAZAL</v>
      </c>
      <c r="CJ9" s="36" t="str">
        <f t="shared" ref="CJ9:CJ63" si="12">+IF(AU9="","",AU9*G9)</f>
        <v/>
      </c>
      <c r="CK9" s="32" t="str">
        <f t="shared" ref="CK9:CK63" si="13">+IF(AV9="","",AV9*H9)</f>
        <v/>
      </c>
      <c r="CL9" s="32" t="str">
        <f t="shared" ref="CL9:CL63" si="14">+IF(AW9="","",AW9*I9)</f>
        <v/>
      </c>
      <c r="CM9" s="32" t="str">
        <f t="shared" ref="CM9:CM63" si="15">+IF(AX9="","",AX9*J9)</f>
        <v/>
      </c>
      <c r="CN9" s="32" t="str">
        <f t="shared" ref="CN9:CN63" si="16">+IF(AY9="","",AY9*K9)</f>
        <v/>
      </c>
      <c r="CO9" s="32" t="str">
        <f t="shared" ref="CO9:CO63" si="17">+IF(AZ9="","",AZ9*L9)</f>
        <v/>
      </c>
      <c r="CP9" s="32" t="str">
        <f t="shared" ref="CP9:CP63" si="18">+IF(BA9="","",BA9*M9)</f>
        <v/>
      </c>
      <c r="CQ9" s="32" t="str">
        <f t="shared" ref="CQ9:CQ63" si="19">+IF(BB9="","",BB9*N9)</f>
        <v/>
      </c>
      <c r="CR9" s="32" t="str">
        <f t="shared" ref="CR9:CR63" si="20">+IF(BC9="","",BC9*O9)</f>
        <v/>
      </c>
      <c r="CS9" s="32" t="str">
        <f t="shared" ref="CS9:CS63" si="21">+IF(BD9="","",BD9*P9)</f>
        <v/>
      </c>
      <c r="CT9" s="32" t="str">
        <f t="shared" ref="CT9:CT63" si="22">+IF(BE9="","",BE9*Q9)</f>
        <v/>
      </c>
      <c r="CU9" s="32" t="str">
        <f t="shared" ref="CU9:CU63" si="23">+IF(BF9="","",BF9*R9)</f>
        <v/>
      </c>
      <c r="CV9" s="32" t="str">
        <f t="shared" ref="CV9:CV63" si="24">+IF(BG9="","",BG9*S9)</f>
        <v/>
      </c>
      <c r="CW9" s="32" t="str">
        <f t="shared" ref="CW9:CW63" si="25">+IF(BH9="","",BH9*T9)</f>
        <v/>
      </c>
      <c r="CX9" s="32" t="str">
        <f t="shared" ref="CX9:CX63" si="26">+IF(BI9="","",BI9*U9)</f>
        <v/>
      </c>
      <c r="CY9" s="32" t="str">
        <f t="shared" ref="CY9:CY63" si="27">+IF(BJ9="","",BJ9*V9)</f>
        <v/>
      </c>
      <c r="CZ9" s="32" t="str">
        <f t="shared" ref="CZ9:CZ63" si="28">+IF(BK9="","",BK9*W9)</f>
        <v/>
      </c>
      <c r="DA9" s="32" t="str">
        <f t="shared" ref="DA9:DA63" si="29">+IF(BL9="","",BL9*X9)</f>
        <v/>
      </c>
      <c r="DB9" s="32" t="str">
        <f t="shared" ref="DB9:DB63" si="30">+IF(BM9="","",BM9*Y9)</f>
        <v/>
      </c>
      <c r="DC9" s="32" t="str">
        <f t="shared" ref="DC9:DC63" si="31">+IF(BN9="","",BN9*Z9)</f>
        <v/>
      </c>
      <c r="DD9" s="32" t="str">
        <f t="shared" ref="DD9:DD63" si="32">+IF(BO9="","",BO9*AA9)</f>
        <v/>
      </c>
      <c r="DE9" s="32" t="str">
        <f t="shared" ref="DE9:DE63" si="33">+IF(BP9="","",BP9*AB9)</f>
        <v/>
      </c>
      <c r="DF9" s="32" t="str">
        <f t="shared" ref="DF9:DF63" si="34">+IF(BQ9="","",BQ9*AC9)</f>
        <v/>
      </c>
      <c r="DG9" s="32" t="str">
        <f t="shared" ref="DG9:DG63" si="35">+IF(BR9="","",BR9*AD9)</f>
        <v/>
      </c>
      <c r="DH9" s="32" t="str">
        <f t="shared" ref="DH9:DH63" si="36">+IF(BS9="","",BS9*AE9)</f>
        <v/>
      </c>
      <c r="DI9" s="32" t="str">
        <f t="shared" ref="DI9:DI63" si="37">+IF(BT9="","",BT9*AF9)</f>
        <v/>
      </c>
      <c r="DJ9" s="32" t="str">
        <f t="shared" ref="DJ9:DJ63" si="38">+IF(BU9="","",BU9*AG9)</f>
        <v/>
      </c>
      <c r="DK9" s="32" t="str">
        <f t="shared" ref="DK9:DK63" si="39">+IF(BV9="","",BV9*AH9)</f>
        <v/>
      </c>
      <c r="DL9" s="32" t="str">
        <f t="shared" ref="DL9:DL63" si="40">+IF(BW9="","",BW9*AI9)</f>
        <v/>
      </c>
      <c r="DM9" s="32" t="str">
        <f t="shared" ref="DM9:DM63" si="41">+IF(BX9="","",BX9*AJ9)</f>
        <v/>
      </c>
      <c r="DN9" s="32" t="str">
        <f t="shared" ref="DN9:DN63" si="42">+IF(BY9="","",BY9*AK9)</f>
        <v/>
      </c>
      <c r="DO9" s="32" t="str">
        <f t="shared" ref="DO9:DO63" si="43">+IF(BZ9="","",BZ9*AL9)</f>
        <v/>
      </c>
      <c r="DP9" s="32" t="str">
        <f t="shared" ref="DP9:DP63" si="44">+IF(CA9="","",CA9*AM9)</f>
        <v/>
      </c>
      <c r="DQ9" s="32" t="str">
        <f t="shared" ref="DQ9:DQ63" si="45">+IF(CB9="","",CB9*AN9)</f>
        <v/>
      </c>
      <c r="DR9" s="32" t="str">
        <f t="shared" ref="DR9:DR63" si="46">+IF(CC9="","",CC9*AO9)</f>
        <v/>
      </c>
      <c r="DS9" s="32" t="str">
        <f t="shared" ref="DS9:DS63" si="47">+IF(CD9="","",CD9*AP9)</f>
        <v/>
      </c>
      <c r="DT9" s="37" t="str">
        <f t="shared" ref="DT9:DT63" si="48">+IF(CE9="","",CE9*AQ9)</f>
        <v/>
      </c>
    </row>
    <row r="10" spans="2:124" x14ac:dyDescent="0.35">
      <c r="B10" s="46"/>
      <c r="C10" s="212"/>
      <c r="D10" s="52"/>
      <c r="E10" s="52" t="str">
        <f>+IF(B10="","",IFERROR(SUMIF('Modelo Optimización'!$AS$72:$AS$217,C10,INDEX('Modelo Optimización'!$C$72:$AR$217,,MATCH(B10,'Modelo Optimización'!$C$71:$AR$71,0))),0))</f>
        <v/>
      </c>
      <c r="F10" s="281" t="str">
        <f t="shared" si="10"/>
        <v/>
      </c>
      <c r="G10" s="280" t="str">
        <f>+IF(IF($B10="","",IFERROR(INDEX('Auxiliar Resultados'!$C$9:$BO$50,MATCH($B10,'Auxiliar Resultados'!$B$9:$B$50,0),MATCH(CONCATENATE($C10,G$7),'Auxiliar Resultados'!$C$6:$BO$6,0)),""))=0,"",IF($B10="","",IFERROR(INDEX('Auxiliar Resultados'!$C$9:$BO$50,MATCH($B10,'Auxiliar Resultados'!$B$9:$B$50,0),MATCH(CONCATENATE($C10,G$7),'Auxiliar Resultados'!$C$6:$BO$6,0)),"")))</f>
        <v/>
      </c>
      <c r="H10" s="52" t="str">
        <f>+IF(IF($B10="","",IFERROR(INDEX('Auxiliar Resultados'!$C$9:$BO$50,MATCH($B10,'Auxiliar Resultados'!$B$9:$B$50,0),MATCH(CONCATENATE($C10,H$7),'Auxiliar Resultados'!$C$6:$BO$6,0)),""))=0,"",IF($B10="","",IFERROR(INDEX('Auxiliar Resultados'!$C$9:$BO$50,MATCH($B10,'Auxiliar Resultados'!$B$9:$B$50,0),MATCH(CONCATENATE($C10,H$7),'Auxiliar Resultados'!$C$6:$BO$6,0)),"")))</f>
        <v/>
      </c>
      <c r="I10" s="52" t="str">
        <f>+IF(IF($B10="","",IFERROR(INDEX('Auxiliar Resultados'!$C$9:$BO$50,MATCH($B10,'Auxiliar Resultados'!$B$9:$B$50,0),MATCH(CONCATENATE($C10,I$7),'Auxiliar Resultados'!$C$6:$BO$6,0)),""))=0,"",IF($B10="","",IFERROR(INDEX('Auxiliar Resultados'!$C$9:$BO$50,MATCH($B10,'Auxiliar Resultados'!$B$9:$B$50,0),MATCH(CONCATENATE($C10,I$7),'Auxiliar Resultados'!$C$6:$BO$6,0)),"")))</f>
        <v/>
      </c>
      <c r="J10" s="52" t="str">
        <f>+IF(IF($B10="","",IFERROR(INDEX('Auxiliar Resultados'!$C$9:$BO$50,MATCH($B10,'Auxiliar Resultados'!$B$9:$B$50,0),MATCH(CONCATENATE($C10,J$7),'Auxiliar Resultados'!$C$6:$BO$6,0)),""))=0,"",IF($B10="","",IFERROR(INDEX('Auxiliar Resultados'!$C$9:$BO$50,MATCH($B10,'Auxiliar Resultados'!$B$9:$B$50,0),MATCH(CONCATENATE($C10,J$7),'Auxiliar Resultados'!$C$6:$BO$6,0)),"")))</f>
        <v/>
      </c>
      <c r="K10" s="52" t="str">
        <f>+IF(IF($B10="","",IFERROR(INDEX('Auxiliar Resultados'!$C$9:$BO$50,MATCH($B10,'Auxiliar Resultados'!$B$9:$B$50,0),MATCH(CONCATENATE($C10,K$7),'Auxiliar Resultados'!$C$6:$BO$6,0)),""))=0,"",IF($B10="","",IFERROR(INDEX('Auxiliar Resultados'!$C$9:$BO$50,MATCH($B10,'Auxiliar Resultados'!$B$9:$B$50,0),MATCH(CONCATENATE($C10,K$7),'Auxiliar Resultados'!$C$6:$BO$6,0)),"")))</f>
        <v/>
      </c>
      <c r="L10" s="52" t="str">
        <f>+IF(IF($B10="","",IFERROR(INDEX('Auxiliar Resultados'!$C$9:$BO$50,MATCH($B10,'Auxiliar Resultados'!$B$9:$B$50,0),MATCH(CONCATENATE($C10,L$7),'Auxiliar Resultados'!$C$6:$BO$6,0)),""))=0,"",IF($B10="","",IFERROR(INDEX('Auxiliar Resultados'!$C$9:$BO$50,MATCH($B10,'Auxiliar Resultados'!$B$9:$B$50,0),MATCH(CONCATENATE($C10,L$7),'Auxiliar Resultados'!$C$6:$BO$6,0)),"")))</f>
        <v/>
      </c>
      <c r="M10" s="52" t="str">
        <f>+IF(IF($B10="","",IFERROR(INDEX('Auxiliar Resultados'!$C$9:$BO$50,MATCH($B10,'Auxiliar Resultados'!$B$9:$B$50,0),MATCH(CONCATENATE($C10,M$7),'Auxiliar Resultados'!$C$6:$BO$6,0)),""))=0,"",IF($B10="","",IFERROR(INDEX('Auxiliar Resultados'!$C$9:$BO$50,MATCH($B10,'Auxiliar Resultados'!$B$9:$B$50,0),MATCH(CONCATENATE($C10,M$7),'Auxiliar Resultados'!$C$6:$BO$6,0)),"")))</f>
        <v/>
      </c>
      <c r="N10" s="52" t="str">
        <f>+IF(IF($B10="","",IFERROR(INDEX('Auxiliar Resultados'!$C$9:$BO$50,MATCH($B10,'Auxiliar Resultados'!$B$9:$B$50,0),MATCH(CONCATENATE($C10,N$7),'Auxiliar Resultados'!$C$6:$BO$6,0)),""))=0,"",IF($B10="","",IFERROR(INDEX('Auxiliar Resultados'!$C$9:$BO$50,MATCH($B10,'Auxiliar Resultados'!$B$9:$B$50,0),MATCH(CONCATENATE($C10,N$7),'Auxiliar Resultados'!$C$6:$BO$6,0)),"")))</f>
        <v/>
      </c>
      <c r="O10" s="52" t="str">
        <f>+IF(IF($B10="","",IFERROR(INDEX('Auxiliar Resultados'!$C$9:$BO$50,MATCH($B10,'Auxiliar Resultados'!$B$9:$B$50,0),MATCH(CONCATENATE($C10,O$7),'Auxiliar Resultados'!$C$6:$BO$6,0)),""))=0,"",IF($B10="","",IFERROR(INDEX('Auxiliar Resultados'!$C$9:$BO$50,MATCH($B10,'Auxiliar Resultados'!$B$9:$B$50,0),MATCH(CONCATENATE($C10,O$7),'Auxiliar Resultados'!$C$6:$BO$6,0)),"")))</f>
        <v/>
      </c>
      <c r="P10" s="52" t="str">
        <f>+IF(IF($B10="","",IFERROR(INDEX('Auxiliar Resultados'!$C$9:$BO$50,MATCH($B10,'Auxiliar Resultados'!$B$9:$B$50,0),MATCH(CONCATENATE($C10,P$7),'Auxiliar Resultados'!$C$6:$BO$6,0)),""))=0,"",IF($B10="","",IFERROR(INDEX('Auxiliar Resultados'!$C$9:$BO$50,MATCH($B10,'Auxiliar Resultados'!$B$9:$B$50,0),MATCH(CONCATENATE($C10,P$7),'Auxiliar Resultados'!$C$6:$BO$6,0)),"")))</f>
        <v/>
      </c>
      <c r="Q10" s="52" t="str">
        <f>+IF(IF($B10="","",IFERROR(INDEX('Auxiliar Resultados'!$C$9:$BO$50,MATCH($B10,'Auxiliar Resultados'!$B$9:$B$50,0),MATCH(CONCATENATE($C10,Q$7),'Auxiliar Resultados'!$C$6:$BO$6,0)),""))=0,"",IF($B10="","",IFERROR(INDEX('Auxiliar Resultados'!$C$9:$BO$50,MATCH($B10,'Auxiliar Resultados'!$B$9:$B$50,0),MATCH(CONCATENATE($C10,Q$7),'Auxiliar Resultados'!$C$6:$BO$6,0)),"")))</f>
        <v/>
      </c>
      <c r="R10" s="52" t="str">
        <f>+IF(IF($B10="","",IFERROR(INDEX('Auxiliar Resultados'!$C$9:$BO$50,MATCH($B10,'Auxiliar Resultados'!$B$9:$B$50,0),MATCH(CONCATENATE($C10,R$7),'Auxiliar Resultados'!$C$6:$BO$6,0)),""))=0,"",IF($B10="","",IFERROR(INDEX('Auxiliar Resultados'!$C$9:$BO$50,MATCH($B10,'Auxiliar Resultados'!$B$9:$B$50,0),MATCH(CONCATENATE($C10,R$7),'Auxiliar Resultados'!$C$6:$BO$6,0)),"")))</f>
        <v/>
      </c>
      <c r="S10" s="52" t="str">
        <f>+IF(IF($B10="","",IFERROR(INDEX('Auxiliar Resultados'!$C$9:$BO$50,MATCH($B10,'Auxiliar Resultados'!$B$9:$B$50,0),MATCH(CONCATENATE($C10,S$7),'Auxiliar Resultados'!$C$6:$BO$6,0)),""))=0,"",IF($B10="","",IFERROR(INDEX('Auxiliar Resultados'!$C$9:$BO$50,MATCH($B10,'Auxiliar Resultados'!$B$9:$B$50,0),MATCH(CONCATENATE($C10,S$7),'Auxiliar Resultados'!$C$6:$BO$6,0)),"")))</f>
        <v/>
      </c>
      <c r="T10" s="52" t="str">
        <f>+IF(IF($B10="","",IFERROR(INDEX('Auxiliar Resultados'!$C$9:$BO$50,MATCH($B10,'Auxiliar Resultados'!$B$9:$B$50,0),MATCH(CONCATENATE($C10,T$7),'Auxiliar Resultados'!$C$6:$BO$6,0)),""))=0,"",IF($B10="","",IFERROR(INDEX('Auxiliar Resultados'!$C$9:$BO$50,MATCH($B10,'Auxiliar Resultados'!$B$9:$B$50,0),MATCH(CONCATENATE($C10,T$7),'Auxiliar Resultados'!$C$6:$BO$6,0)),"")))</f>
        <v/>
      </c>
      <c r="U10" s="52" t="str">
        <f>+IF(IF($B10="","",IFERROR(INDEX('Auxiliar Resultados'!$C$9:$BO$50,MATCH($B10,'Auxiliar Resultados'!$B$9:$B$50,0),MATCH(CONCATENATE($C10,U$7),'Auxiliar Resultados'!$C$6:$BO$6,0)),""))=0,"",IF($B10="","",IFERROR(INDEX('Auxiliar Resultados'!$C$9:$BO$50,MATCH($B10,'Auxiliar Resultados'!$B$9:$B$50,0),MATCH(CONCATENATE($C10,U$7),'Auxiliar Resultados'!$C$6:$BO$6,0)),"")))</f>
        <v/>
      </c>
      <c r="V10" s="52" t="str">
        <f>+IF(IF($B10="","",IFERROR(INDEX('Auxiliar Resultados'!$C$9:$BO$50,MATCH($B10,'Auxiliar Resultados'!$B$9:$B$50,0),MATCH(CONCATENATE($C10,V$7),'Auxiliar Resultados'!$C$6:$BO$6,0)),""))=0,"",IF($B10="","",IFERROR(INDEX('Auxiliar Resultados'!$C$9:$BO$50,MATCH($B10,'Auxiliar Resultados'!$B$9:$B$50,0),MATCH(CONCATENATE($C10,V$7),'Auxiliar Resultados'!$C$6:$BO$6,0)),"")))</f>
        <v/>
      </c>
      <c r="W10" s="52" t="str">
        <f>+IF(IF($B10="","",IFERROR(INDEX('Auxiliar Resultados'!$C$9:$BO$50,MATCH($B10,'Auxiliar Resultados'!$B$9:$B$50,0),MATCH(CONCATENATE($C10,W$7),'Auxiliar Resultados'!$C$6:$BO$6,0)),""))=0,"",IF($B10="","",IFERROR(INDEX('Auxiliar Resultados'!$C$9:$BO$50,MATCH($B10,'Auxiliar Resultados'!$B$9:$B$50,0),MATCH(CONCATENATE($C10,W$7),'Auxiliar Resultados'!$C$6:$BO$6,0)),"")))</f>
        <v/>
      </c>
      <c r="X10" s="52" t="str">
        <f>+IF(IF($B10="","",IFERROR(INDEX('Auxiliar Resultados'!$C$9:$BO$50,MATCH($B10,'Auxiliar Resultados'!$B$9:$B$50,0),MATCH(CONCATENATE($C10,X$7),'Auxiliar Resultados'!$C$6:$BO$6,0)),""))=0,"",IF($B10="","",IFERROR(INDEX('Auxiliar Resultados'!$C$9:$BO$50,MATCH($B10,'Auxiliar Resultados'!$B$9:$B$50,0),MATCH(CONCATENATE($C10,X$7),'Auxiliar Resultados'!$C$6:$BO$6,0)),"")))</f>
        <v/>
      </c>
      <c r="Y10" s="52" t="str">
        <f>+IF(IF($B10="","",IFERROR(INDEX('Auxiliar Resultados'!$C$9:$BO$50,MATCH($B10,'Auxiliar Resultados'!$B$9:$B$50,0),MATCH(CONCATENATE($C10,Y$7),'Auxiliar Resultados'!$C$6:$BO$6,0)),""))=0,"",IF($B10="","",IFERROR(INDEX('Auxiliar Resultados'!$C$9:$BO$50,MATCH($B10,'Auxiliar Resultados'!$B$9:$B$50,0),MATCH(CONCATENATE($C10,Y$7),'Auxiliar Resultados'!$C$6:$BO$6,0)),"")))</f>
        <v/>
      </c>
      <c r="Z10" s="52" t="str">
        <f>+IF(IF($B10="","",IFERROR(INDEX('Auxiliar Resultados'!$C$9:$BO$50,MATCH($B10,'Auxiliar Resultados'!$B$9:$B$50,0),MATCH(CONCATENATE($C10,Z$7),'Auxiliar Resultados'!$C$6:$BO$6,0)),""))=0,"",IF($B10="","",IFERROR(INDEX('Auxiliar Resultados'!$C$9:$BO$50,MATCH($B10,'Auxiliar Resultados'!$B$9:$B$50,0),MATCH(CONCATENATE($C10,Z$7),'Auxiliar Resultados'!$C$6:$BO$6,0)),"")))</f>
        <v/>
      </c>
      <c r="AA10" s="52" t="str">
        <f>+IF(IF($B10="","",IFERROR(INDEX('Auxiliar Resultados'!$C$9:$BO$50,MATCH($B10,'Auxiliar Resultados'!$B$9:$B$50,0),MATCH(CONCATENATE($C10,AA$7),'Auxiliar Resultados'!$C$6:$BO$6,0)),""))=0,"",IF($B10="","",IFERROR(INDEX('Auxiliar Resultados'!$C$9:$BO$50,MATCH($B10,'Auxiliar Resultados'!$B$9:$B$50,0),MATCH(CONCATENATE($C10,AA$7),'Auxiliar Resultados'!$C$6:$BO$6,0)),"")))</f>
        <v/>
      </c>
      <c r="AB10" s="52" t="str">
        <f>+IF(IF($B10="","",IFERROR(INDEX('Auxiliar Resultados'!$C$9:$BO$50,MATCH($B10,'Auxiliar Resultados'!$B$9:$B$50,0),MATCH(CONCATENATE($C10,AB$7),'Auxiliar Resultados'!$C$6:$BO$6,0)),""))=0,"",IF($B10="","",IFERROR(INDEX('Auxiliar Resultados'!$C$9:$BO$50,MATCH($B10,'Auxiliar Resultados'!$B$9:$B$50,0),MATCH(CONCATENATE($C10,AB$7),'Auxiliar Resultados'!$C$6:$BO$6,0)),"")))</f>
        <v/>
      </c>
      <c r="AC10" s="52" t="str">
        <f>+IF(IF($B10="","",IFERROR(INDEX('Auxiliar Resultados'!$C$9:$BO$50,MATCH($B10,'Auxiliar Resultados'!$B$9:$B$50,0),MATCH(CONCATENATE($C10,AC$7),'Auxiliar Resultados'!$C$6:$BO$6,0)),""))=0,"",IF($B10="","",IFERROR(INDEX('Auxiliar Resultados'!$C$9:$BO$50,MATCH($B10,'Auxiliar Resultados'!$B$9:$B$50,0),MATCH(CONCATENATE($C10,AC$7),'Auxiliar Resultados'!$C$6:$BO$6,0)),"")))</f>
        <v/>
      </c>
      <c r="AD10" s="52" t="str">
        <f>+IF(IF($B10="","",IFERROR(INDEX('Auxiliar Resultados'!$C$9:$BO$50,MATCH($B10,'Auxiliar Resultados'!$B$9:$B$50,0),MATCH(CONCATENATE($C10,AD$7),'Auxiliar Resultados'!$C$6:$BO$6,0)),""))=0,"",IF($B10="","",IFERROR(INDEX('Auxiliar Resultados'!$C$9:$BO$50,MATCH($B10,'Auxiliar Resultados'!$B$9:$B$50,0),MATCH(CONCATENATE($C10,AD$7),'Auxiliar Resultados'!$C$6:$BO$6,0)),"")))</f>
        <v/>
      </c>
      <c r="AE10" s="52" t="str">
        <f>+IF(IF($B10="","",IFERROR(INDEX('Auxiliar Resultados'!$C$9:$BO$50,MATCH($B10,'Auxiliar Resultados'!$B$9:$B$50,0),MATCH(CONCATENATE($C10,AE$7),'Auxiliar Resultados'!$C$6:$BO$6,0)),""))=0,"",IF($B10="","",IFERROR(INDEX('Auxiliar Resultados'!$C$9:$BO$50,MATCH($B10,'Auxiliar Resultados'!$B$9:$B$50,0),MATCH(CONCATENATE($C10,AE$7),'Auxiliar Resultados'!$C$6:$BO$6,0)),"")))</f>
        <v/>
      </c>
      <c r="AF10" s="52" t="str">
        <f>+IF(IF($B10="","",IFERROR(INDEX('Auxiliar Resultados'!$C$9:$BO$50,MATCH($B10,'Auxiliar Resultados'!$B$9:$B$50,0),MATCH(CONCATENATE($C10,AF$7),'Auxiliar Resultados'!$C$6:$BO$6,0)),""))=0,"",IF($B10="","",IFERROR(INDEX('Auxiliar Resultados'!$C$9:$BO$50,MATCH($B10,'Auxiliar Resultados'!$B$9:$B$50,0),MATCH(CONCATENATE($C10,AF$7),'Auxiliar Resultados'!$C$6:$BO$6,0)),"")))</f>
        <v/>
      </c>
      <c r="AG10" s="52" t="str">
        <f>+IF(IF($B10="","",IFERROR(INDEX('Auxiliar Resultados'!$C$9:$BO$50,MATCH($B10,'Auxiliar Resultados'!$B$9:$B$50,0),MATCH(CONCATENATE($C10,AG$7),'Auxiliar Resultados'!$C$6:$BO$6,0)),""))=0,"",IF($B10="","",IFERROR(INDEX('Auxiliar Resultados'!$C$9:$BO$50,MATCH($B10,'Auxiliar Resultados'!$B$9:$B$50,0),MATCH(CONCATENATE($C10,AG$7),'Auxiliar Resultados'!$C$6:$BO$6,0)),"")))</f>
        <v/>
      </c>
      <c r="AH10" s="52" t="str">
        <f>+IF(IF($B10="","",IFERROR(INDEX('Auxiliar Resultados'!$C$9:$BO$50,MATCH($B10,'Auxiliar Resultados'!$B$9:$B$50,0),MATCH(CONCATENATE($C10,AH$7),'Auxiliar Resultados'!$C$6:$BO$6,0)),""))=0,"",IF($B10="","",IFERROR(INDEX('Auxiliar Resultados'!$C$9:$BO$50,MATCH($B10,'Auxiliar Resultados'!$B$9:$B$50,0),MATCH(CONCATENATE($C10,AH$7),'Auxiliar Resultados'!$C$6:$BO$6,0)),"")))</f>
        <v/>
      </c>
      <c r="AI10" s="52" t="str">
        <f>+IF(IF($B10="","",IFERROR(INDEX('Auxiliar Resultados'!$C$9:$BO$50,MATCH($B10,'Auxiliar Resultados'!$B$9:$B$50,0),MATCH(CONCATENATE($C10,AI$7),'Auxiliar Resultados'!$C$6:$BO$6,0)),""))=0,"",IF($B10="","",IFERROR(INDEX('Auxiliar Resultados'!$C$9:$BO$50,MATCH($B10,'Auxiliar Resultados'!$B$9:$B$50,0),MATCH(CONCATENATE($C10,AI$7),'Auxiliar Resultados'!$C$6:$BO$6,0)),"")))</f>
        <v/>
      </c>
      <c r="AJ10" s="52" t="str">
        <f>+IF(IF($B10="","",IFERROR(INDEX('Auxiliar Resultados'!$C$9:$BO$50,MATCH($B10,'Auxiliar Resultados'!$B$9:$B$50,0),MATCH(CONCATENATE($C10,AJ$7),'Auxiliar Resultados'!$C$6:$BO$6,0)),""))=0,"",IF($B10="","",IFERROR(INDEX('Auxiliar Resultados'!$C$9:$BO$50,MATCH($B10,'Auxiliar Resultados'!$B$9:$B$50,0),MATCH(CONCATENATE($C10,AJ$7),'Auxiliar Resultados'!$C$6:$BO$6,0)),"")))</f>
        <v/>
      </c>
      <c r="AK10" s="52" t="str">
        <f>+IF(IF($B10="","",IFERROR(INDEX('Auxiliar Resultados'!$C$9:$BO$50,MATCH($B10,'Auxiliar Resultados'!$B$9:$B$50,0),MATCH(CONCATENATE($C10,AK$7),'Auxiliar Resultados'!$C$6:$BO$6,0)),""))=0,"",IF($B10="","",IFERROR(INDEX('Auxiliar Resultados'!$C$9:$BO$50,MATCH($B10,'Auxiliar Resultados'!$B$9:$B$50,0),MATCH(CONCATENATE($C10,AK$7),'Auxiliar Resultados'!$C$6:$BO$6,0)),"")))</f>
        <v/>
      </c>
      <c r="AL10" s="52" t="str">
        <f>+IF(IF($B10="","",IFERROR(INDEX('Auxiliar Resultados'!$C$9:$BO$50,MATCH($B10,'Auxiliar Resultados'!$B$9:$B$50,0),MATCH(CONCATENATE($C10,AL$7),'Auxiliar Resultados'!$C$6:$BO$6,0)),""))=0,"",IF($B10="","",IFERROR(INDEX('Auxiliar Resultados'!$C$9:$BO$50,MATCH($B10,'Auxiliar Resultados'!$B$9:$B$50,0),MATCH(CONCATENATE($C10,AL$7),'Auxiliar Resultados'!$C$6:$BO$6,0)),"")))</f>
        <v/>
      </c>
      <c r="AM10" s="52" t="str">
        <f>+IF(IF($B10="","",IFERROR(INDEX('Auxiliar Resultados'!$C$9:$BO$50,MATCH($B10,'Auxiliar Resultados'!$B$9:$B$50,0),MATCH(CONCATENATE($C10,AM$7),'Auxiliar Resultados'!$C$6:$BO$6,0)),""))=0,"",IF($B10="","",IFERROR(INDEX('Auxiliar Resultados'!$C$9:$BO$50,MATCH($B10,'Auxiliar Resultados'!$B$9:$B$50,0),MATCH(CONCATENATE($C10,AM$7),'Auxiliar Resultados'!$C$6:$BO$6,0)),"")))</f>
        <v/>
      </c>
      <c r="AN10" s="52" t="str">
        <f>+IF(IF($B10="","",IFERROR(INDEX('Auxiliar Resultados'!$C$9:$BO$50,MATCH($B10,'Auxiliar Resultados'!$B$9:$B$50,0),MATCH(CONCATENATE($C10,AN$7),'Auxiliar Resultados'!$C$6:$BO$6,0)),""))=0,"",IF($B10="","",IFERROR(INDEX('Auxiliar Resultados'!$C$9:$BO$50,MATCH($B10,'Auxiliar Resultados'!$B$9:$B$50,0),MATCH(CONCATENATE($C10,AN$7),'Auxiliar Resultados'!$C$6:$BO$6,0)),"")))</f>
        <v/>
      </c>
      <c r="AO10" s="52" t="str">
        <f>+IF(IF($B10="","",IFERROR(INDEX('Auxiliar Resultados'!$C$9:$BO$50,MATCH($B10,'Auxiliar Resultados'!$B$9:$B$50,0),MATCH(CONCATENATE($C10,AO$7),'Auxiliar Resultados'!$C$6:$BO$6,0)),""))=0,"",IF($B10="","",IFERROR(INDEX('Auxiliar Resultados'!$C$9:$BO$50,MATCH($B10,'Auxiliar Resultados'!$B$9:$B$50,0),MATCH(CONCATENATE($C10,AO$7),'Auxiliar Resultados'!$C$6:$BO$6,0)),"")))</f>
        <v/>
      </c>
      <c r="AP10" s="52" t="str">
        <f>+IF(IF($B10="","",IFERROR(INDEX('Auxiliar Resultados'!$C$9:$BO$50,MATCH($B10,'Auxiliar Resultados'!$B$9:$B$50,0),MATCH(CONCATENATE($C10,AP$7),'Auxiliar Resultados'!$C$6:$BO$6,0)),""))=0,"",IF($B10="","",IFERROR(INDEX('Auxiliar Resultados'!$C$9:$BO$50,MATCH($B10,'Auxiliar Resultados'!$B$9:$B$50,0),MATCH(CONCATENATE($C10,AP$7),'Auxiliar Resultados'!$C$6:$BO$6,0)),"")))</f>
        <v/>
      </c>
      <c r="AQ10" s="276" t="str">
        <f>+IF(IF($B10="","",IFERROR(INDEX('Auxiliar Resultados'!$C$9:$BO$50,MATCH($B10,'Auxiliar Resultados'!$B$9:$B$50,0),MATCH(CONCATENATE($C10,AQ$7),'Auxiliar Resultados'!$C$6:$BO$6,0)),""))=0,"",IF($B10="","",IFERROR(INDEX('Auxiliar Resultados'!$C$9:$BO$50,MATCH($B10,'Auxiliar Resultados'!$B$9:$B$50,0),MATCH(CONCATENATE($C10,AQ$7),'Auxiliar Resultados'!$C$6:$BO$6,0)),"")))</f>
        <v/>
      </c>
      <c r="AS10" s="46" t="str">
        <f t="shared" si="5"/>
        <v/>
      </c>
      <c r="AT10" s="292" t="str">
        <f t="shared" si="6"/>
        <v/>
      </c>
      <c r="AU10" s="36" t="str">
        <f>+IF(G10="","",INDEX('Modelo Optimización'!$AZ$4:$CO$149,MATCH(CONCATENATE(AU$7,$AT10),'Modelo Optimización'!$CQ$4:$CQ$149,0),MATCH($AS10,'Modelo Optimización'!$AZ$3:$CO$3,0)))</f>
        <v/>
      </c>
      <c r="AV10" s="32" t="str">
        <f>+IF(H10="","",INDEX('Modelo Optimización'!$AZ$4:$CO$149,MATCH(CONCATENATE(AV$7,$AT10),'Modelo Optimización'!$CQ$4:$CQ$149,0),MATCH($AS10,'Modelo Optimización'!$AZ$3:$CO$3,0)))</f>
        <v/>
      </c>
      <c r="AW10" s="32" t="str">
        <f>+IF(I10="","",INDEX('Modelo Optimización'!$AZ$4:$CO$149,MATCH(CONCATENATE(AW$7,$AT10),'Modelo Optimización'!$CQ$4:$CQ$149,0),MATCH($AS10,'Modelo Optimización'!$AZ$3:$CO$3,0)))</f>
        <v/>
      </c>
      <c r="AX10" s="32" t="str">
        <f>+IF(J10="","",INDEX('Modelo Optimización'!$AZ$4:$CO$149,MATCH(CONCATENATE(AX$7,$AT10),'Modelo Optimización'!$CQ$4:$CQ$149,0),MATCH($AS10,'Modelo Optimización'!$AZ$3:$CO$3,0)))</f>
        <v/>
      </c>
      <c r="AY10" s="32" t="str">
        <f>+IF(K10="","",INDEX('Modelo Optimización'!$AZ$4:$CO$149,MATCH(CONCATENATE(AY$7,$AT10),'Modelo Optimización'!$CQ$4:$CQ$149,0),MATCH($AS10,'Modelo Optimización'!$AZ$3:$CO$3,0)))</f>
        <v/>
      </c>
      <c r="AZ10" s="32" t="str">
        <f>+IF(L10="","",INDEX('Modelo Optimización'!$AZ$4:$CO$149,MATCH(CONCATENATE(AZ$7,$AT10),'Modelo Optimización'!$CQ$4:$CQ$149,0),MATCH($AS10,'Modelo Optimización'!$AZ$3:$CO$3,0)))</f>
        <v/>
      </c>
      <c r="BA10" s="32" t="str">
        <f>+IF(M10="","",INDEX('Modelo Optimización'!$AZ$4:$CO$149,MATCH(CONCATENATE(BA$7,$AT10),'Modelo Optimización'!$CQ$4:$CQ$149,0),MATCH($AS10,'Modelo Optimización'!$AZ$3:$CO$3,0)))</f>
        <v/>
      </c>
      <c r="BB10" s="32" t="str">
        <f>+IF(N10="","",INDEX('Modelo Optimización'!$AZ$4:$CO$149,MATCH(CONCATENATE(BB$7,$AT10),'Modelo Optimización'!$CQ$4:$CQ$149,0),MATCH($AS10,'Modelo Optimización'!$AZ$3:$CO$3,0)))</f>
        <v/>
      </c>
      <c r="BC10" s="32" t="str">
        <f>+IF(O10="","",INDEX('Modelo Optimización'!$AZ$4:$CO$149,MATCH(CONCATENATE(BC$7,$AT10),'Modelo Optimización'!$CQ$4:$CQ$149,0),MATCH($AS10,'Modelo Optimización'!$AZ$3:$CO$3,0)))</f>
        <v/>
      </c>
      <c r="BD10" s="32" t="str">
        <f>+IF(P10="","",INDEX('Modelo Optimización'!$AZ$4:$CO$149,MATCH(CONCATENATE(BD$7,$AT10),'Modelo Optimización'!$CQ$4:$CQ$149,0),MATCH($AS10,'Modelo Optimización'!$AZ$3:$CO$3,0)))</f>
        <v/>
      </c>
      <c r="BE10" s="32" t="str">
        <f>+IF(Q10="","",INDEX('Modelo Optimización'!$AZ$4:$CO$149,MATCH(CONCATENATE(BE$7,$AT10),'Modelo Optimización'!$CQ$4:$CQ$149,0),MATCH($AS10,'Modelo Optimización'!$AZ$3:$CO$3,0)))</f>
        <v/>
      </c>
      <c r="BF10" s="32" t="str">
        <f>+IF(R10="","",INDEX('Modelo Optimización'!$AZ$4:$CO$149,MATCH(CONCATENATE(BF$7,$AT10),'Modelo Optimización'!$CQ$4:$CQ$149,0),MATCH($AS10,'Modelo Optimización'!$AZ$3:$CO$3,0)))</f>
        <v/>
      </c>
      <c r="BG10" s="32" t="str">
        <f>+IF(S10="","",INDEX('Modelo Optimización'!$AZ$4:$CO$149,MATCH(CONCATENATE(BG$7,$AT10),'Modelo Optimización'!$CQ$4:$CQ$149,0),MATCH($AS10,'Modelo Optimización'!$AZ$3:$CO$3,0)))</f>
        <v/>
      </c>
      <c r="BH10" s="32" t="str">
        <f>+IF(T10="","",INDEX('Modelo Optimización'!$AZ$4:$CO$149,MATCH(CONCATENATE(BH$7,$AT10),'Modelo Optimización'!$CQ$4:$CQ$149,0),MATCH($AS10,'Modelo Optimización'!$AZ$3:$CO$3,0)))</f>
        <v/>
      </c>
      <c r="BI10" s="32" t="str">
        <f>+IF(U10="","",INDEX('Modelo Optimización'!$AZ$4:$CO$149,MATCH(CONCATENATE(BI$7,$AT10),'Modelo Optimización'!$CQ$4:$CQ$149,0),MATCH($AS10,'Modelo Optimización'!$AZ$3:$CO$3,0)))</f>
        <v/>
      </c>
      <c r="BJ10" s="32" t="str">
        <f>+IF(V10="","",INDEX('Modelo Optimización'!$AZ$4:$CO$149,MATCH(CONCATENATE(BJ$7,$AT10),'Modelo Optimización'!$CQ$4:$CQ$149,0),MATCH($AS10,'Modelo Optimización'!$AZ$3:$CO$3,0)))</f>
        <v/>
      </c>
      <c r="BK10" s="32" t="str">
        <f>+IF(W10="","",INDEX('Modelo Optimización'!$AZ$4:$CO$149,MATCH(CONCATENATE(BK$7,$AT10),'Modelo Optimización'!$CQ$4:$CQ$149,0),MATCH($AS10,'Modelo Optimización'!$AZ$3:$CO$3,0)))</f>
        <v/>
      </c>
      <c r="BL10" s="32" t="str">
        <f>+IF(X10="","",INDEX('Modelo Optimización'!$AZ$4:$CO$149,MATCH(CONCATENATE(BL$7,$AT10),'Modelo Optimización'!$CQ$4:$CQ$149,0),MATCH($AS10,'Modelo Optimización'!$AZ$3:$CO$3,0)))</f>
        <v/>
      </c>
      <c r="BM10" s="32" t="str">
        <f>+IF(Y10="","",INDEX('Modelo Optimización'!$AZ$4:$CO$149,MATCH(CONCATENATE(BM$7,$AT10),'Modelo Optimización'!$CQ$4:$CQ$149,0),MATCH($AS10,'Modelo Optimización'!$AZ$3:$CO$3,0)))</f>
        <v/>
      </c>
      <c r="BN10" s="32" t="str">
        <f>+IF(Z10="","",INDEX('Modelo Optimización'!$AZ$4:$CO$149,MATCH(CONCATENATE(BN$7,$AT10),'Modelo Optimización'!$CQ$4:$CQ$149,0),MATCH($AS10,'Modelo Optimización'!$AZ$3:$CO$3,0)))</f>
        <v/>
      </c>
      <c r="BO10" s="32" t="str">
        <f>+IF(AA10="","",INDEX('Modelo Optimización'!$AZ$4:$CO$149,MATCH(CONCATENATE(BO$7,$AT10),'Modelo Optimización'!$CQ$4:$CQ$149,0),MATCH($AS10,'Modelo Optimización'!$AZ$3:$CO$3,0)))</f>
        <v/>
      </c>
      <c r="BP10" s="32" t="str">
        <f>+IF(AB10="","",INDEX('Modelo Optimización'!$AZ$4:$CO$149,MATCH(CONCATENATE(BP$7,$AT10),'Modelo Optimización'!$CQ$4:$CQ$149,0),MATCH($AS10,'Modelo Optimización'!$AZ$3:$CO$3,0)))</f>
        <v/>
      </c>
      <c r="BQ10" s="32" t="str">
        <f>+IF(AC10="","",INDEX('Modelo Optimización'!$AZ$4:$CO$149,MATCH(CONCATENATE(BQ$7,$AT10),'Modelo Optimización'!$CQ$4:$CQ$149,0),MATCH($AS10,'Modelo Optimización'!$AZ$3:$CO$3,0)))</f>
        <v/>
      </c>
      <c r="BR10" s="32" t="str">
        <f>+IF(AD10="","",INDEX('Modelo Optimización'!$AZ$4:$CO$149,MATCH(CONCATENATE(BR$7,$AT10),'Modelo Optimización'!$CQ$4:$CQ$149,0),MATCH($AS10,'Modelo Optimización'!$AZ$3:$CO$3,0)))</f>
        <v/>
      </c>
      <c r="BS10" s="32" t="str">
        <f>+IF(AE10="","",INDEX('Modelo Optimización'!$AZ$4:$CO$149,MATCH(CONCATENATE(BS$7,$AT10),'Modelo Optimización'!$CQ$4:$CQ$149,0),MATCH($AS10,'Modelo Optimización'!$AZ$3:$CO$3,0)))</f>
        <v/>
      </c>
      <c r="BT10" s="32" t="str">
        <f>+IF(AF10="","",INDEX('Modelo Optimización'!$AZ$4:$CO$149,MATCH(CONCATENATE(BT$7,$AT10),'Modelo Optimización'!$CQ$4:$CQ$149,0),MATCH($AS10,'Modelo Optimización'!$AZ$3:$CO$3,0)))</f>
        <v/>
      </c>
      <c r="BU10" s="32" t="str">
        <f>+IF(AG10="","",INDEX('Modelo Optimización'!$AZ$4:$CO$149,MATCH(CONCATENATE(BU$7,$AT10),'Modelo Optimización'!$CQ$4:$CQ$149,0),MATCH($AS10,'Modelo Optimización'!$AZ$3:$CO$3,0)))</f>
        <v/>
      </c>
      <c r="BV10" s="32" t="str">
        <f>+IF(AH10="","",INDEX('Modelo Optimización'!$AZ$4:$CO$149,MATCH(CONCATENATE(BV$7,$AT10),'Modelo Optimización'!$CQ$4:$CQ$149,0),MATCH($AS10,'Modelo Optimización'!$AZ$3:$CO$3,0)))</f>
        <v/>
      </c>
      <c r="BW10" s="32" t="str">
        <f>+IF(AI10="","",INDEX('Modelo Optimización'!$AZ$4:$CO$149,MATCH(CONCATENATE(BW$7,$AT10),'Modelo Optimización'!$CQ$4:$CQ$149,0),MATCH($AS10,'Modelo Optimización'!$AZ$3:$CO$3,0)))</f>
        <v/>
      </c>
      <c r="BX10" s="32" t="str">
        <f>+IF(AJ10="","",INDEX('Modelo Optimización'!$AZ$4:$CO$149,MATCH(CONCATENATE(BX$7,$AT10),'Modelo Optimización'!$CQ$4:$CQ$149,0),MATCH($AS10,'Modelo Optimización'!$AZ$3:$CO$3,0)))</f>
        <v/>
      </c>
      <c r="BY10" s="32" t="str">
        <f>+IF(AK10="","",INDEX('Modelo Optimización'!$AZ$4:$CO$149,MATCH(CONCATENATE(BY$7,$AT10),'Modelo Optimización'!$CQ$4:$CQ$149,0),MATCH($AS10,'Modelo Optimización'!$AZ$3:$CO$3,0)))</f>
        <v/>
      </c>
      <c r="BZ10" s="32" t="str">
        <f>+IF(AL10="","",INDEX('Modelo Optimización'!$AZ$4:$CO$149,MATCH(CONCATENATE(BZ$7,$AT10),'Modelo Optimización'!$CQ$4:$CQ$149,0),MATCH($AS10,'Modelo Optimización'!$AZ$3:$CO$3,0)))</f>
        <v/>
      </c>
      <c r="CA10" s="32" t="str">
        <f>+IF(AM10="","",INDEX('Modelo Optimización'!$AZ$4:$CO$149,MATCH(CONCATENATE(CA$7,$AT10),'Modelo Optimización'!$CQ$4:$CQ$149,0),MATCH($AS10,'Modelo Optimización'!$AZ$3:$CO$3,0)))</f>
        <v/>
      </c>
      <c r="CB10" s="32" t="str">
        <f>+IF(AN10="","",INDEX('Modelo Optimización'!$AZ$4:$CO$149,MATCH(CONCATENATE(CB$7,$AT10),'Modelo Optimización'!$CQ$4:$CQ$149,0),MATCH($AS10,'Modelo Optimización'!$AZ$3:$CO$3,0)))</f>
        <v/>
      </c>
      <c r="CC10" s="32" t="str">
        <f>+IF(AO10="","",INDEX('Modelo Optimización'!$AZ$4:$CO$149,MATCH(CONCATENATE(CC$7,$AT10),'Modelo Optimización'!$CQ$4:$CQ$149,0),MATCH($AS10,'Modelo Optimización'!$AZ$3:$CO$3,0)))</f>
        <v/>
      </c>
      <c r="CD10" s="32" t="str">
        <f>+IF(AP10="","",INDEX('Modelo Optimización'!$AZ$4:$CO$149,MATCH(CONCATENATE(CD$7,$AT10),'Modelo Optimización'!$CQ$4:$CQ$149,0),MATCH($AS10,'Modelo Optimización'!$AZ$3:$CO$3,0)))</f>
        <v/>
      </c>
      <c r="CE10" s="37" t="str">
        <f>+IF(AQ10="","",INDEX('Modelo Optimización'!$AZ$4:$CO$149,MATCH(CONCATENATE(CE$7,$AT10),'Modelo Optimización'!$CQ$4:$CQ$149,0),MATCH($AS10,'Modelo Optimización'!$AZ$3:$CO$3,0)))</f>
        <v/>
      </c>
      <c r="CF10" s="301"/>
      <c r="CG10" s="305" t="str">
        <f t="shared" si="11"/>
        <v/>
      </c>
      <c r="CH10" s="303" t="str">
        <f t="shared" si="7"/>
        <v/>
      </c>
      <c r="CI10" s="292" t="str">
        <f t="shared" si="8"/>
        <v/>
      </c>
      <c r="CJ10" s="36" t="str">
        <f t="shared" si="12"/>
        <v/>
      </c>
      <c r="CK10" s="32" t="str">
        <f t="shared" si="13"/>
        <v/>
      </c>
      <c r="CL10" s="32" t="str">
        <f t="shared" si="14"/>
        <v/>
      </c>
      <c r="CM10" s="32" t="str">
        <f t="shared" si="15"/>
        <v/>
      </c>
      <c r="CN10" s="32" t="str">
        <f t="shared" si="16"/>
        <v/>
      </c>
      <c r="CO10" s="32" t="str">
        <f t="shared" si="17"/>
        <v/>
      </c>
      <c r="CP10" s="32" t="str">
        <f t="shared" si="18"/>
        <v/>
      </c>
      <c r="CQ10" s="32" t="str">
        <f t="shared" si="19"/>
        <v/>
      </c>
      <c r="CR10" s="32" t="str">
        <f t="shared" si="20"/>
        <v/>
      </c>
      <c r="CS10" s="32" t="str">
        <f t="shared" si="21"/>
        <v/>
      </c>
      <c r="CT10" s="32" t="str">
        <f t="shared" si="22"/>
        <v/>
      </c>
      <c r="CU10" s="32" t="str">
        <f t="shared" si="23"/>
        <v/>
      </c>
      <c r="CV10" s="32" t="str">
        <f t="shared" si="24"/>
        <v/>
      </c>
      <c r="CW10" s="32" t="str">
        <f t="shared" si="25"/>
        <v/>
      </c>
      <c r="CX10" s="32" t="str">
        <f t="shared" si="26"/>
        <v/>
      </c>
      <c r="CY10" s="32" t="str">
        <f t="shared" si="27"/>
        <v/>
      </c>
      <c r="CZ10" s="32" t="str">
        <f t="shared" si="28"/>
        <v/>
      </c>
      <c r="DA10" s="32" t="str">
        <f t="shared" si="29"/>
        <v/>
      </c>
      <c r="DB10" s="32" t="str">
        <f t="shared" si="30"/>
        <v/>
      </c>
      <c r="DC10" s="32" t="str">
        <f t="shared" si="31"/>
        <v/>
      </c>
      <c r="DD10" s="32" t="str">
        <f t="shared" si="32"/>
        <v/>
      </c>
      <c r="DE10" s="32" t="str">
        <f t="shared" si="33"/>
        <v/>
      </c>
      <c r="DF10" s="32" t="str">
        <f t="shared" si="34"/>
        <v/>
      </c>
      <c r="DG10" s="32" t="str">
        <f t="shared" si="35"/>
        <v/>
      </c>
      <c r="DH10" s="32" t="str">
        <f t="shared" si="36"/>
        <v/>
      </c>
      <c r="DI10" s="32" t="str">
        <f t="shared" si="37"/>
        <v/>
      </c>
      <c r="DJ10" s="32" t="str">
        <f t="shared" si="38"/>
        <v/>
      </c>
      <c r="DK10" s="32" t="str">
        <f t="shared" si="39"/>
        <v/>
      </c>
      <c r="DL10" s="32" t="str">
        <f t="shared" si="40"/>
        <v/>
      </c>
      <c r="DM10" s="32" t="str">
        <f t="shared" si="41"/>
        <v/>
      </c>
      <c r="DN10" s="32" t="str">
        <f t="shared" si="42"/>
        <v/>
      </c>
      <c r="DO10" s="32" t="str">
        <f t="shared" si="43"/>
        <v/>
      </c>
      <c r="DP10" s="32" t="str">
        <f t="shared" si="44"/>
        <v/>
      </c>
      <c r="DQ10" s="32" t="str">
        <f t="shared" si="45"/>
        <v/>
      </c>
      <c r="DR10" s="32" t="str">
        <f t="shared" si="46"/>
        <v/>
      </c>
      <c r="DS10" s="32" t="str">
        <f t="shared" si="47"/>
        <v/>
      </c>
      <c r="DT10" s="37" t="str">
        <f t="shared" si="48"/>
        <v/>
      </c>
    </row>
    <row r="11" spans="2:124" x14ac:dyDescent="0.35">
      <c r="B11" s="46"/>
      <c r="C11" s="212"/>
      <c r="D11" s="52"/>
      <c r="E11" s="52" t="str">
        <f>+IF(B11="","",IFERROR(SUMIF('Modelo Optimización'!$AS$72:$AS$217,C11,INDEX('Modelo Optimización'!$C$72:$AR$217,,MATCH(B11,'Modelo Optimización'!$C$71:$AR$71,0))),0))</f>
        <v/>
      </c>
      <c r="F11" s="281" t="str">
        <f t="shared" si="10"/>
        <v/>
      </c>
      <c r="G11" s="280" t="str">
        <f>+IF(IF($B11="","",IFERROR(INDEX('Auxiliar Resultados'!$C$9:$BO$50,MATCH($B11,'Auxiliar Resultados'!$B$9:$B$50,0),MATCH(CONCATENATE($C11,G$7),'Auxiliar Resultados'!$C$6:$BO$6,0)),""))=0,"",IF($B11="","",IFERROR(INDEX('Auxiliar Resultados'!$C$9:$BO$50,MATCH($B11,'Auxiliar Resultados'!$B$9:$B$50,0),MATCH(CONCATENATE($C11,G$7),'Auxiliar Resultados'!$C$6:$BO$6,0)),"")))</f>
        <v/>
      </c>
      <c r="H11" s="52" t="str">
        <f>+IF(IF($B11="","",IFERROR(INDEX('Auxiliar Resultados'!$C$9:$BO$50,MATCH($B11,'Auxiliar Resultados'!$B$9:$B$50,0),MATCH(CONCATENATE($C11,H$7),'Auxiliar Resultados'!$C$6:$BO$6,0)),""))=0,"",IF($B11="","",IFERROR(INDEX('Auxiliar Resultados'!$C$9:$BO$50,MATCH($B11,'Auxiliar Resultados'!$B$9:$B$50,0),MATCH(CONCATENATE($C11,H$7),'Auxiliar Resultados'!$C$6:$BO$6,0)),"")))</f>
        <v/>
      </c>
      <c r="I11" s="52" t="str">
        <f>+IF(IF($B11="","",IFERROR(INDEX('Auxiliar Resultados'!$C$9:$BO$50,MATCH($B11,'Auxiliar Resultados'!$B$9:$B$50,0),MATCH(CONCATENATE($C11,I$7),'Auxiliar Resultados'!$C$6:$BO$6,0)),""))=0,"",IF($B11="","",IFERROR(INDEX('Auxiliar Resultados'!$C$9:$BO$50,MATCH($B11,'Auxiliar Resultados'!$B$9:$B$50,0),MATCH(CONCATENATE($C11,I$7),'Auxiliar Resultados'!$C$6:$BO$6,0)),"")))</f>
        <v/>
      </c>
      <c r="J11" s="52" t="str">
        <f>+IF(IF($B11="","",IFERROR(INDEX('Auxiliar Resultados'!$C$9:$BO$50,MATCH($B11,'Auxiliar Resultados'!$B$9:$B$50,0),MATCH(CONCATENATE($C11,J$7),'Auxiliar Resultados'!$C$6:$BO$6,0)),""))=0,"",IF($B11="","",IFERROR(INDEX('Auxiliar Resultados'!$C$9:$BO$50,MATCH($B11,'Auxiliar Resultados'!$B$9:$B$50,0),MATCH(CONCATENATE($C11,J$7),'Auxiliar Resultados'!$C$6:$BO$6,0)),"")))</f>
        <v/>
      </c>
      <c r="K11" s="52" t="str">
        <f>+IF(IF($B11="","",IFERROR(INDEX('Auxiliar Resultados'!$C$9:$BO$50,MATCH($B11,'Auxiliar Resultados'!$B$9:$B$50,0),MATCH(CONCATENATE($C11,K$7),'Auxiliar Resultados'!$C$6:$BO$6,0)),""))=0,"",IF($B11="","",IFERROR(INDEX('Auxiliar Resultados'!$C$9:$BO$50,MATCH($B11,'Auxiliar Resultados'!$B$9:$B$50,0),MATCH(CONCATENATE($C11,K$7),'Auxiliar Resultados'!$C$6:$BO$6,0)),"")))</f>
        <v/>
      </c>
      <c r="L11" s="52" t="str">
        <f>+IF(IF($B11="","",IFERROR(INDEX('Auxiliar Resultados'!$C$9:$BO$50,MATCH($B11,'Auxiliar Resultados'!$B$9:$B$50,0),MATCH(CONCATENATE($C11,L$7),'Auxiliar Resultados'!$C$6:$BO$6,0)),""))=0,"",IF($B11="","",IFERROR(INDEX('Auxiliar Resultados'!$C$9:$BO$50,MATCH($B11,'Auxiliar Resultados'!$B$9:$B$50,0),MATCH(CONCATENATE($C11,L$7),'Auxiliar Resultados'!$C$6:$BO$6,0)),"")))</f>
        <v/>
      </c>
      <c r="M11" s="52" t="str">
        <f>+IF(IF($B11="","",IFERROR(INDEX('Auxiliar Resultados'!$C$9:$BO$50,MATCH($B11,'Auxiliar Resultados'!$B$9:$B$50,0),MATCH(CONCATENATE($C11,M$7),'Auxiliar Resultados'!$C$6:$BO$6,0)),""))=0,"",IF($B11="","",IFERROR(INDEX('Auxiliar Resultados'!$C$9:$BO$50,MATCH($B11,'Auxiliar Resultados'!$B$9:$B$50,0),MATCH(CONCATENATE($C11,M$7),'Auxiliar Resultados'!$C$6:$BO$6,0)),"")))</f>
        <v/>
      </c>
      <c r="N11" s="52" t="str">
        <f>+IF(IF($B11="","",IFERROR(INDEX('Auxiliar Resultados'!$C$9:$BO$50,MATCH($B11,'Auxiliar Resultados'!$B$9:$B$50,0),MATCH(CONCATENATE($C11,N$7),'Auxiliar Resultados'!$C$6:$BO$6,0)),""))=0,"",IF($B11="","",IFERROR(INDEX('Auxiliar Resultados'!$C$9:$BO$50,MATCH($B11,'Auxiliar Resultados'!$B$9:$B$50,0),MATCH(CONCATENATE($C11,N$7),'Auxiliar Resultados'!$C$6:$BO$6,0)),"")))</f>
        <v/>
      </c>
      <c r="O11" s="52" t="str">
        <f>+IF(IF($B11="","",IFERROR(INDEX('Auxiliar Resultados'!$C$9:$BO$50,MATCH($B11,'Auxiliar Resultados'!$B$9:$B$50,0),MATCH(CONCATENATE($C11,O$7),'Auxiliar Resultados'!$C$6:$BO$6,0)),""))=0,"",IF($B11="","",IFERROR(INDEX('Auxiliar Resultados'!$C$9:$BO$50,MATCH($B11,'Auxiliar Resultados'!$B$9:$B$50,0),MATCH(CONCATENATE($C11,O$7),'Auxiliar Resultados'!$C$6:$BO$6,0)),"")))</f>
        <v/>
      </c>
      <c r="P11" s="52" t="str">
        <f>+IF(IF($B11="","",IFERROR(INDEX('Auxiliar Resultados'!$C$9:$BO$50,MATCH($B11,'Auxiliar Resultados'!$B$9:$B$50,0),MATCH(CONCATENATE($C11,P$7),'Auxiliar Resultados'!$C$6:$BO$6,0)),""))=0,"",IF($B11="","",IFERROR(INDEX('Auxiliar Resultados'!$C$9:$BO$50,MATCH($B11,'Auxiliar Resultados'!$B$9:$B$50,0),MATCH(CONCATENATE($C11,P$7),'Auxiliar Resultados'!$C$6:$BO$6,0)),"")))</f>
        <v/>
      </c>
      <c r="Q11" s="52" t="str">
        <f>+IF(IF($B11="","",IFERROR(INDEX('Auxiliar Resultados'!$C$9:$BO$50,MATCH($B11,'Auxiliar Resultados'!$B$9:$B$50,0),MATCH(CONCATENATE($C11,Q$7),'Auxiliar Resultados'!$C$6:$BO$6,0)),""))=0,"",IF($B11="","",IFERROR(INDEX('Auxiliar Resultados'!$C$9:$BO$50,MATCH($B11,'Auxiliar Resultados'!$B$9:$B$50,0),MATCH(CONCATENATE($C11,Q$7),'Auxiliar Resultados'!$C$6:$BO$6,0)),"")))</f>
        <v/>
      </c>
      <c r="R11" s="52" t="str">
        <f>+IF(IF($B11="","",IFERROR(INDEX('Auxiliar Resultados'!$C$9:$BO$50,MATCH($B11,'Auxiliar Resultados'!$B$9:$B$50,0),MATCH(CONCATENATE($C11,R$7),'Auxiliar Resultados'!$C$6:$BO$6,0)),""))=0,"",IF($B11="","",IFERROR(INDEX('Auxiliar Resultados'!$C$9:$BO$50,MATCH($B11,'Auxiliar Resultados'!$B$9:$B$50,0),MATCH(CONCATENATE($C11,R$7),'Auxiliar Resultados'!$C$6:$BO$6,0)),"")))</f>
        <v/>
      </c>
      <c r="S11" s="52" t="str">
        <f>+IF(IF($B11="","",IFERROR(INDEX('Auxiliar Resultados'!$C$9:$BO$50,MATCH($B11,'Auxiliar Resultados'!$B$9:$B$50,0),MATCH(CONCATENATE($C11,S$7),'Auxiliar Resultados'!$C$6:$BO$6,0)),""))=0,"",IF($B11="","",IFERROR(INDEX('Auxiliar Resultados'!$C$9:$BO$50,MATCH($B11,'Auxiliar Resultados'!$B$9:$B$50,0),MATCH(CONCATENATE($C11,S$7),'Auxiliar Resultados'!$C$6:$BO$6,0)),"")))</f>
        <v/>
      </c>
      <c r="T11" s="52" t="str">
        <f>+IF(IF($B11="","",IFERROR(INDEX('Auxiliar Resultados'!$C$9:$BO$50,MATCH($B11,'Auxiliar Resultados'!$B$9:$B$50,0),MATCH(CONCATENATE($C11,T$7),'Auxiliar Resultados'!$C$6:$BO$6,0)),""))=0,"",IF($B11="","",IFERROR(INDEX('Auxiliar Resultados'!$C$9:$BO$50,MATCH($B11,'Auxiliar Resultados'!$B$9:$B$50,0),MATCH(CONCATENATE($C11,T$7),'Auxiliar Resultados'!$C$6:$BO$6,0)),"")))</f>
        <v/>
      </c>
      <c r="U11" s="52" t="str">
        <f>+IF(IF($B11="","",IFERROR(INDEX('Auxiliar Resultados'!$C$9:$BO$50,MATCH($B11,'Auxiliar Resultados'!$B$9:$B$50,0),MATCH(CONCATENATE($C11,U$7),'Auxiliar Resultados'!$C$6:$BO$6,0)),""))=0,"",IF($B11="","",IFERROR(INDEX('Auxiliar Resultados'!$C$9:$BO$50,MATCH($B11,'Auxiliar Resultados'!$B$9:$B$50,0),MATCH(CONCATENATE($C11,U$7),'Auxiliar Resultados'!$C$6:$BO$6,0)),"")))</f>
        <v/>
      </c>
      <c r="V11" s="52" t="str">
        <f>+IF(IF($B11="","",IFERROR(INDEX('Auxiliar Resultados'!$C$9:$BO$50,MATCH($B11,'Auxiliar Resultados'!$B$9:$B$50,0),MATCH(CONCATENATE($C11,V$7),'Auxiliar Resultados'!$C$6:$BO$6,0)),""))=0,"",IF($B11="","",IFERROR(INDEX('Auxiliar Resultados'!$C$9:$BO$50,MATCH($B11,'Auxiliar Resultados'!$B$9:$B$50,0),MATCH(CONCATENATE($C11,V$7),'Auxiliar Resultados'!$C$6:$BO$6,0)),"")))</f>
        <v/>
      </c>
      <c r="W11" s="52" t="str">
        <f>+IF(IF($B11="","",IFERROR(INDEX('Auxiliar Resultados'!$C$9:$BO$50,MATCH($B11,'Auxiliar Resultados'!$B$9:$B$50,0),MATCH(CONCATENATE($C11,W$7),'Auxiliar Resultados'!$C$6:$BO$6,0)),""))=0,"",IF($B11="","",IFERROR(INDEX('Auxiliar Resultados'!$C$9:$BO$50,MATCH($B11,'Auxiliar Resultados'!$B$9:$B$50,0),MATCH(CONCATENATE($C11,W$7),'Auxiliar Resultados'!$C$6:$BO$6,0)),"")))</f>
        <v/>
      </c>
      <c r="X11" s="52" t="str">
        <f>+IF(IF($B11="","",IFERROR(INDEX('Auxiliar Resultados'!$C$9:$BO$50,MATCH($B11,'Auxiliar Resultados'!$B$9:$B$50,0),MATCH(CONCATENATE($C11,X$7),'Auxiliar Resultados'!$C$6:$BO$6,0)),""))=0,"",IF($B11="","",IFERROR(INDEX('Auxiliar Resultados'!$C$9:$BO$50,MATCH($B11,'Auxiliar Resultados'!$B$9:$B$50,0),MATCH(CONCATENATE($C11,X$7),'Auxiliar Resultados'!$C$6:$BO$6,0)),"")))</f>
        <v/>
      </c>
      <c r="Y11" s="52" t="str">
        <f>+IF(IF($B11="","",IFERROR(INDEX('Auxiliar Resultados'!$C$9:$BO$50,MATCH($B11,'Auxiliar Resultados'!$B$9:$B$50,0),MATCH(CONCATENATE($C11,Y$7),'Auxiliar Resultados'!$C$6:$BO$6,0)),""))=0,"",IF($B11="","",IFERROR(INDEX('Auxiliar Resultados'!$C$9:$BO$50,MATCH($B11,'Auxiliar Resultados'!$B$9:$B$50,0),MATCH(CONCATENATE($C11,Y$7),'Auxiliar Resultados'!$C$6:$BO$6,0)),"")))</f>
        <v/>
      </c>
      <c r="Z11" s="52" t="str">
        <f>+IF(IF($B11="","",IFERROR(INDEX('Auxiliar Resultados'!$C$9:$BO$50,MATCH($B11,'Auxiliar Resultados'!$B$9:$B$50,0),MATCH(CONCATENATE($C11,Z$7),'Auxiliar Resultados'!$C$6:$BO$6,0)),""))=0,"",IF($B11="","",IFERROR(INDEX('Auxiliar Resultados'!$C$9:$BO$50,MATCH($B11,'Auxiliar Resultados'!$B$9:$B$50,0),MATCH(CONCATENATE($C11,Z$7),'Auxiliar Resultados'!$C$6:$BO$6,0)),"")))</f>
        <v/>
      </c>
      <c r="AA11" s="52" t="str">
        <f>+IF(IF($B11="","",IFERROR(INDEX('Auxiliar Resultados'!$C$9:$BO$50,MATCH($B11,'Auxiliar Resultados'!$B$9:$B$50,0),MATCH(CONCATENATE($C11,AA$7),'Auxiliar Resultados'!$C$6:$BO$6,0)),""))=0,"",IF($B11="","",IFERROR(INDEX('Auxiliar Resultados'!$C$9:$BO$50,MATCH($B11,'Auxiliar Resultados'!$B$9:$B$50,0),MATCH(CONCATENATE($C11,AA$7),'Auxiliar Resultados'!$C$6:$BO$6,0)),"")))</f>
        <v/>
      </c>
      <c r="AB11" s="52" t="str">
        <f>+IF(IF($B11="","",IFERROR(INDEX('Auxiliar Resultados'!$C$9:$BO$50,MATCH($B11,'Auxiliar Resultados'!$B$9:$B$50,0),MATCH(CONCATENATE($C11,AB$7),'Auxiliar Resultados'!$C$6:$BO$6,0)),""))=0,"",IF($B11="","",IFERROR(INDEX('Auxiliar Resultados'!$C$9:$BO$50,MATCH($B11,'Auxiliar Resultados'!$B$9:$B$50,0),MATCH(CONCATENATE($C11,AB$7),'Auxiliar Resultados'!$C$6:$BO$6,0)),"")))</f>
        <v/>
      </c>
      <c r="AC11" s="52" t="str">
        <f>+IF(IF($B11="","",IFERROR(INDEX('Auxiliar Resultados'!$C$9:$BO$50,MATCH($B11,'Auxiliar Resultados'!$B$9:$B$50,0),MATCH(CONCATENATE($C11,AC$7),'Auxiliar Resultados'!$C$6:$BO$6,0)),""))=0,"",IF($B11="","",IFERROR(INDEX('Auxiliar Resultados'!$C$9:$BO$50,MATCH($B11,'Auxiliar Resultados'!$B$9:$B$50,0),MATCH(CONCATENATE($C11,AC$7),'Auxiliar Resultados'!$C$6:$BO$6,0)),"")))</f>
        <v/>
      </c>
      <c r="AD11" s="52" t="str">
        <f>+IF(IF($B11="","",IFERROR(INDEX('Auxiliar Resultados'!$C$9:$BO$50,MATCH($B11,'Auxiliar Resultados'!$B$9:$B$50,0),MATCH(CONCATENATE($C11,AD$7),'Auxiliar Resultados'!$C$6:$BO$6,0)),""))=0,"",IF($B11="","",IFERROR(INDEX('Auxiliar Resultados'!$C$9:$BO$50,MATCH($B11,'Auxiliar Resultados'!$B$9:$B$50,0),MATCH(CONCATENATE($C11,AD$7),'Auxiliar Resultados'!$C$6:$BO$6,0)),"")))</f>
        <v/>
      </c>
      <c r="AE11" s="52" t="str">
        <f>+IF(IF($B11="","",IFERROR(INDEX('Auxiliar Resultados'!$C$9:$BO$50,MATCH($B11,'Auxiliar Resultados'!$B$9:$B$50,0),MATCH(CONCATENATE($C11,AE$7),'Auxiliar Resultados'!$C$6:$BO$6,0)),""))=0,"",IF($B11="","",IFERROR(INDEX('Auxiliar Resultados'!$C$9:$BO$50,MATCH($B11,'Auxiliar Resultados'!$B$9:$B$50,0),MATCH(CONCATENATE($C11,AE$7),'Auxiliar Resultados'!$C$6:$BO$6,0)),"")))</f>
        <v/>
      </c>
      <c r="AF11" s="52" t="str">
        <f>+IF(IF($B11="","",IFERROR(INDEX('Auxiliar Resultados'!$C$9:$BO$50,MATCH($B11,'Auxiliar Resultados'!$B$9:$B$50,0),MATCH(CONCATENATE($C11,AF$7),'Auxiliar Resultados'!$C$6:$BO$6,0)),""))=0,"",IF($B11="","",IFERROR(INDEX('Auxiliar Resultados'!$C$9:$BO$50,MATCH($B11,'Auxiliar Resultados'!$B$9:$B$50,0),MATCH(CONCATENATE($C11,AF$7),'Auxiliar Resultados'!$C$6:$BO$6,0)),"")))</f>
        <v/>
      </c>
      <c r="AG11" s="52" t="str">
        <f>+IF(IF($B11="","",IFERROR(INDEX('Auxiliar Resultados'!$C$9:$BO$50,MATCH($B11,'Auxiliar Resultados'!$B$9:$B$50,0),MATCH(CONCATENATE($C11,AG$7),'Auxiliar Resultados'!$C$6:$BO$6,0)),""))=0,"",IF($B11="","",IFERROR(INDEX('Auxiliar Resultados'!$C$9:$BO$50,MATCH($B11,'Auxiliar Resultados'!$B$9:$B$50,0),MATCH(CONCATENATE($C11,AG$7),'Auxiliar Resultados'!$C$6:$BO$6,0)),"")))</f>
        <v/>
      </c>
      <c r="AH11" s="52" t="str">
        <f>+IF(IF($B11="","",IFERROR(INDEX('Auxiliar Resultados'!$C$9:$BO$50,MATCH($B11,'Auxiliar Resultados'!$B$9:$B$50,0),MATCH(CONCATENATE($C11,AH$7),'Auxiliar Resultados'!$C$6:$BO$6,0)),""))=0,"",IF($B11="","",IFERROR(INDEX('Auxiliar Resultados'!$C$9:$BO$50,MATCH($B11,'Auxiliar Resultados'!$B$9:$B$50,0),MATCH(CONCATENATE($C11,AH$7),'Auxiliar Resultados'!$C$6:$BO$6,0)),"")))</f>
        <v/>
      </c>
      <c r="AI11" s="52" t="str">
        <f>+IF(IF($B11="","",IFERROR(INDEX('Auxiliar Resultados'!$C$9:$BO$50,MATCH($B11,'Auxiliar Resultados'!$B$9:$B$50,0),MATCH(CONCATENATE($C11,AI$7),'Auxiliar Resultados'!$C$6:$BO$6,0)),""))=0,"",IF($B11="","",IFERROR(INDEX('Auxiliar Resultados'!$C$9:$BO$50,MATCH($B11,'Auxiliar Resultados'!$B$9:$B$50,0),MATCH(CONCATENATE($C11,AI$7),'Auxiliar Resultados'!$C$6:$BO$6,0)),"")))</f>
        <v/>
      </c>
      <c r="AJ11" s="52" t="str">
        <f>+IF(IF($B11="","",IFERROR(INDEX('Auxiliar Resultados'!$C$9:$BO$50,MATCH($B11,'Auxiliar Resultados'!$B$9:$B$50,0),MATCH(CONCATENATE($C11,AJ$7),'Auxiliar Resultados'!$C$6:$BO$6,0)),""))=0,"",IF($B11="","",IFERROR(INDEX('Auxiliar Resultados'!$C$9:$BO$50,MATCH($B11,'Auxiliar Resultados'!$B$9:$B$50,0),MATCH(CONCATENATE($C11,AJ$7),'Auxiliar Resultados'!$C$6:$BO$6,0)),"")))</f>
        <v/>
      </c>
      <c r="AK11" s="52" t="str">
        <f>+IF(IF($B11="","",IFERROR(INDEX('Auxiliar Resultados'!$C$9:$BO$50,MATCH($B11,'Auxiliar Resultados'!$B$9:$B$50,0),MATCH(CONCATENATE($C11,AK$7),'Auxiliar Resultados'!$C$6:$BO$6,0)),""))=0,"",IF($B11="","",IFERROR(INDEX('Auxiliar Resultados'!$C$9:$BO$50,MATCH($B11,'Auxiliar Resultados'!$B$9:$B$50,0),MATCH(CONCATENATE($C11,AK$7),'Auxiliar Resultados'!$C$6:$BO$6,0)),"")))</f>
        <v/>
      </c>
      <c r="AL11" s="52" t="str">
        <f>+IF(IF($B11="","",IFERROR(INDEX('Auxiliar Resultados'!$C$9:$BO$50,MATCH($B11,'Auxiliar Resultados'!$B$9:$B$50,0),MATCH(CONCATENATE($C11,AL$7),'Auxiliar Resultados'!$C$6:$BO$6,0)),""))=0,"",IF($B11="","",IFERROR(INDEX('Auxiliar Resultados'!$C$9:$BO$50,MATCH($B11,'Auxiliar Resultados'!$B$9:$B$50,0),MATCH(CONCATENATE($C11,AL$7),'Auxiliar Resultados'!$C$6:$BO$6,0)),"")))</f>
        <v/>
      </c>
      <c r="AM11" s="52" t="str">
        <f>+IF(IF($B11="","",IFERROR(INDEX('Auxiliar Resultados'!$C$9:$BO$50,MATCH($B11,'Auxiliar Resultados'!$B$9:$B$50,0),MATCH(CONCATENATE($C11,AM$7),'Auxiliar Resultados'!$C$6:$BO$6,0)),""))=0,"",IF($B11="","",IFERROR(INDEX('Auxiliar Resultados'!$C$9:$BO$50,MATCH($B11,'Auxiliar Resultados'!$B$9:$B$50,0),MATCH(CONCATENATE($C11,AM$7),'Auxiliar Resultados'!$C$6:$BO$6,0)),"")))</f>
        <v/>
      </c>
      <c r="AN11" s="52" t="str">
        <f>+IF(IF($B11="","",IFERROR(INDEX('Auxiliar Resultados'!$C$9:$BO$50,MATCH($B11,'Auxiliar Resultados'!$B$9:$B$50,0),MATCH(CONCATENATE($C11,AN$7),'Auxiliar Resultados'!$C$6:$BO$6,0)),""))=0,"",IF($B11="","",IFERROR(INDEX('Auxiliar Resultados'!$C$9:$BO$50,MATCH($B11,'Auxiliar Resultados'!$B$9:$B$50,0),MATCH(CONCATENATE($C11,AN$7),'Auxiliar Resultados'!$C$6:$BO$6,0)),"")))</f>
        <v/>
      </c>
      <c r="AO11" s="52" t="str">
        <f>+IF(IF($B11="","",IFERROR(INDEX('Auxiliar Resultados'!$C$9:$BO$50,MATCH($B11,'Auxiliar Resultados'!$B$9:$B$50,0),MATCH(CONCATENATE($C11,AO$7),'Auxiliar Resultados'!$C$6:$BO$6,0)),""))=0,"",IF($B11="","",IFERROR(INDEX('Auxiliar Resultados'!$C$9:$BO$50,MATCH($B11,'Auxiliar Resultados'!$B$9:$B$50,0),MATCH(CONCATENATE($C11,AO$7),'Auxiliar Resultados'!$C$6:$BO$6,0)),"")))</f>
        <v/>
      </c>
      <c r="AP11" s="52" t="str">
        <f>+IF(IF($B11="","",IFERROR(INDEX('Auxiliar Resultados'!$C$9:$BO$50,MATCH($B11,'Auxiliar Resultados'!$B$9:$B$50,0),MATCH(CONCATENATE($C11,AP$7),'Auxiliar Resultados'!$C$6:$BO$6,0)),""))=0,"",IF($B11="","",IFERROR(INDEX('Auxiliar Resultados'!$C$9:$BO$50,MATCH($B11,'Auxiliar Resultados'!$B$9:$B$50,0),MATCH(CONCATENATE($C11,AP$7),'Auxiliar Resultados'!$C$6:$BO$6,0)),"")))</f>
        <v/>
      </c>
      <c r="AQ11" s="276" t="str">
        <f>+IF(IF($B11="","",IFERROR(INDEX('Auxiliar Resultados'!$C$9:$BO$50,MATCH($B11,'Auxiliar Resultados'!$B$9:$B$50,0),MATCH(CONCATENATE($C11,AQ$7),'Auxiliar Resultados'!$C$6:$BO$6,0)),""))=0,"",IF($B11="","",IFERROR(INDEX('Auxiliar Resultados'!$C$9:$BO$50,MATCH($B11,'Auxiliar Resultados'!$B$9:$B$50,0),MATCH(CONCATENATE($C11,AQ$7),'Auxiliar Resultados'!$C$6:$BO$6,0)),"")))</f>
        <v/>
      </c>
      <c r="AS11" s="46" t="str">
        <f t="shared" si="5"/>
        <v/>
      </c>
      <c r="AT11" s="292" t="str">
        <f t="shared" si="6"/>
        <v/>
      </c>
      <c r="AU11" s="36" t="str">
        <f>+IF(G11="","",INDEX('Modelo Optimización'!$AZ$4:$CO$149,MATCH(CONCATENATE(AU$7,$AT11),'Modelo Optimización'!$CQ$4:$CQ$149,0),MATCH($AS11,'Modelo Optimización'!$AZ$3:$CO$3,0)))</f>
        <v/>
      </c>
      <c r="AV11" s="32" t="str">
        <f>+IF(H11="","",INDEX('Modelo Optimización'!$AZ$4:$CO$149,MATCH(CONCATENATE(AV$7,$AT11),'Modelo Optimización'!$CQ$4:$CQ$149,0),MATCH($AS11,'Modelo Optimización'!$AZ$3:$CO$3,0)))</f>
        <v/>
      </c>
      <c r="AW11" s="32" t="str">
        <f>+IF(I11="","",INDEX('Modelo Optimización'!$AZ$4:$CO$149,MATCH(CONCATENATE(AW$7,$AT11),'Modelo Optimización'!$CQ$4:$CQ$149,0),MATCH($AS11,'Modelo Optimización'!$AZ$3:$CO$3,0)))</f>
        <v/>
      </c>
      <c r="AX11" s="32" t="str">
        <f>+IF(J11="","",INDEX('Modelo Optimización'!$AZ$4:$CO$149,MATCH(CONCATENATE(AX$7,$AT11),'Modelo Optimización'!$CQ$4:$CQ$149,0),MATCH($AS11,'Modelo Optimización'!$AZ$3:$CO$3,0)))</f>
        <v/>
      </c>
      <c r="AY11" s="32" t="str">
        <f>+IF(K11="","",INDEX('Modelo Optimización'!$AZ$4:$CO$149,MATCH(CONCATENATE(AY$7,$AT11),'Modelo Optimización'!$CQ$4:$CQ$149,0),MATCH($AS11,'Modelo Optimización'!$AZ$3:$CO$3,0)))</f>
        <v/>
      </c>
      <c r="AZ11" s="32" t="str">
        <f>+IF(L11="","",INDEX('Modelo Optimización'!$AZ$4:$CO$149,MATCH(CONCATENATE(AZ$7,$AT11),'Modelo Optimización'!$CQ$4:$CQ$149,0),MATCH($AS11,'Modelo Optimización'!$AZ$3:$CO$3,0)))</f>
        <v/>
      </c>
      <c r="BA11" s="32" t="str">
        <f>+IF(M11="","",INDEX('Modelo Optimización'!$AZ$4:$CO$149,MATCH(CONCATENATE(BA$7,$AT11),'Modelo Optimización'!$CQ$4:$CQ$149,0),MATCH($AS11,'Modelo Optimización'!$AZ$3:$CO$3,0)))</f>
        <v/>
      </c>
      <c r="BB11" s="32" t="str">
        <f>+IF(N11="","",INDEX('Modelo Optimización'!$AZ$4:$CO$149,MATCH(CONCATENATE(BB$7,$AT11),'Modelo Optimización'!$CQ$4:$CQ$149,0),MATCH($AS11,'Modelo Optimización'!$AZ$3:$CO$3,0)))</f>
        <v/>
      </c>
      <c r="BC11" s="32" t="str">
        <f>+IF(O11="","",INDEX('Modelo Optimización'!$AZ$4:$CO$149,MATCH(CONCATENATE(BC$7,$AT11),'Modelo Optimización'!$CQ$4:$CQ$149,0),MATCH($AS11,'Modelo Optimización'!$AZ$3:$CO$3,0)))</f>
        <v/>
      </c>
      <c r="BD11" s="32" t="str">
        <f>+IF(P11="","",INDEX('Modelo Optimización'!$AZ$4:$CO$149,MATCH(CONCATENATE(BD$7,$AT11),'Modelo Optimización'!$CQ$4:$CQ$149,0),MATCH($AS11,'Modelo Optimización'!$AZ$3:$CO$3,0)))</f>
        <v/>
      </c>
      <c r="BE11" s="32" t="str">
        <f>+IF(Q11="","",INDEX('Modelo Optimización'!$AZ$4:$CO$149,MATCH(CONCATENATE(BE$7,$AT11),'Modelo Optimización'!$CQ$4:$CQ$149,0),MATCH($AS11,'Modelo Optimización'!$AZ$3:$CO$3,0)))</f>
        <v/>
      </c>
      <c r="BF11" s="32" t="str">
        <f>+IF(R11="","",INDEX('Modelo Optimización'!$AZ$4:$CO$149,MATCH(CONCATENATE(BF$7,$AT11),'Modelo Optimización'!$CQ$4:$CQ$149,0),MATCH($AS11,'Modelo Optimización'!$AZ$3:$CO$3,0)))</f>
        <v/>
      </c>
      <c r="BG11" s="32" t="str">
        <f>+IF(S11="","",INDEX('Modelo Optimización'!$AZ$4:$CO$149,MATCH(CONCATENATE(BG$7,$AT11),'Modelo Optimización'!$CQ$4:$CQ$149,0),MATCH($AS11,'Modelo Optimización'!$AZ$3:$CO$3,0)))</f>
        <v/>
      </c>
      <c r="BH11" s="32" t="str">
        <f>+IF(T11="","",INDEX('Modelo Optimización'!$AZ$4:$CO$149,MATCH(CONCATENATE(BH$7,$AT11),'Modelo Optimización'!$CQ$4:$CQ$149,0),MATCH($AS11,'Modelo Optimización'!$AZ$3:$CO$3,0)))</f>
        <v/>
      </c>
      <c r="BI11" s="32" t="str">
        <f>+IF(U11="","",INDEX('Modelo Optimización'!$AZ$4:$CO$149,MATCH(CONCATENATE(BI$7,$AT11),'Modelo Optimización'!$CQ$4:$CQ$149,0),MATCH($AS11,'Modelo Optimización'!$AZ$3:$CO$3,0)))</f>
        <v/>
      </c>
      <c r="BJ11" s="32" t="str">
        <f>+IF(V11="","",INDEX('Modelo Optimización'!$AZ$4:$CO$149,MATCH(CONCATENATE(BJ$7,$AT11),'Modelo Optimización'!$CQ$4:$CQ$149,0),MATCH($AS11,'Modelo Optimización'!$AZ$3:$CO$3,0)))</f>
        <v/>
      </c>
      <c r="BK11" s="32" t="str">
        <f>+IF(W11="","",INDEX('Modelo Optimización'!$AZ$4:$CO$149,MATCH(CONCATENATE(BK$7,$AT11),'Modelo Optimización'!$CQ$4:$CQ$149,0),MATCH($AS11,'Modelo Optimización'!$AZ$3:$CO$3,0)))</f>
        <v/>
      </c>
      <c r="BL11" s="32" t="str">
        <f>+IF(X11="","",INDEX('Modelo Optimización'!$AZ$4:$CO$149,MATCH(CONCATENATE(BL$7,$AT11),'Modelo Optimización'!$CQ$4:$CQ$149,0),MATCH($AS11,'Modelo Optimización'!$AZ$3:$CO$3,0)))</f>
        <v/>
      </c>
      <c r="BM11" s="32" t="str">
        <f>+IF(Y11="","",INDEX('Modelo Optimización'!$AZ$4:$CO$149,MATCH(CONCATENATE(BM$7,$AT11),'Modelo Optimización'!$CQ$4:$CQ$149,0),MATCH($AS11,'Modelo Optimización'!$AZ$3:$CO$3,0)))</f>
        <v/>
      </c>
      <c r="BN11" s="32" t="str">
        <f>+IF(Z11="","",INDEX('Modelo Optimización'!$AZ$4:$CO$149,MATCH(CONCATENATE(BN$7,$AT11),'Modelo Optimización'!$CQ$4:$CQ$149,0),MATCH($AS11,'Modelo Optimización'!$AZ$3:$CO$3,0)))</f>
        <v/>
      </c>
      <c r="BO11" s="32" t="str">
        <f>+IF(AA11="","",INDEX('Modelo Optimización'!$AZ$4:$CO$149,MATCH(CONCATENATE(BO$7,$AT11),'Modelo Optimización'!$CQ$4:$CQ$149,0),MATCH($AS11,'Modelo Optimización'!$AZ$3:$CO$3,0)))</f>
        <v/>
      </c>
      <c r="BP11" s="32" t="str">
        <f>+IF(AB11="","",INDEX('Modelo Optimización'!$AZ$4:$CO$149,MATCH(CONCATENATE(BP$7,$AT11),'Modelo Optimización'!$CQ$4:$CQ$149,0),MATCH($AS11,'Modelo Optimización'!$AZ$3:$CO$3,0)))</f>
        <v/>
      </c>
      <c r="BQ11" s="32" t="str">
        <f>+IF(AC11="","",INDEX('Modelo Optimización'!$AZ$4:$CO$149,MATCH(CONCATENATE(BQ$7,$AT11),'Modelo Optimización'!$CQ$4:$CQ$149,0),MATCH($AS11,'Modelo Optimización'!$AZ$3:$CO$3,0)))</f>
        <v/>
      </c>
      <c r="BR11" s="32" t="str">
        <f>+IF(AD11="","",INDEX('Modelo Optimización'!$AZ$4:$CO$149,MATCH(CONCATENATE(BR$7,$AT11),'Modelo Optimización'!$CQ$4:$CQ$149,0),MATCH($AS11,'Modelo Optimización'!$AZ$3:$CO$3,0)))</f>
        <v/>
      </c>
      <c r="BS11" s="32" t="str">
        <f>+IF(AE11="","",INDEX('Modelo Optimización'!$AZ$4:$CO$149,MATCH(CONCATENATE(BS$7,$AT11),'Modelo Optimización'!$CQ$4:$CQ$149,0),MATCH($AS11,'Modelo Optimización'!$AZ$3:$CO$3,0)))</f>
        <v/>
      </c>
      <c r="BT11" s="32" t="str">
        <f>+IF(AF11="","",INDEX('Modelo Optimización'!$AZ$4:$CO$149,MATCH(CONCATENATE(BT$7,$AT11),'Modelo Optimización'!$CQ$4:$CQ$149,0),MATCH($AS11,'Modelo Optimización'!$AZ$3:$CO$3,0)))</f>
        <v/>
      </c>
      <c r="BU11" s="32" t="str">
        <f>+IF(AG11="","",INDEX('Modelo Optimización'!$AZ$4:$CO$149,MATCH(CONCATENATE(BU$7,$AT11),'Modelo Optimización'!$CQ$4:$CQ$149,0),MATCH($AS11,'Modelo Optimización'!$AZ$3:$CO$3,0)))</f>
        <v/>
      </c>
      <c r="BV11" s="32" t="str">
        <f>+IF(AH11="","",INDEX('Modelo Optimización'!$AZ$4:$CO$149,MATCH(CONCATENATE(BV$7,$AT11),'Modelo Optimización'!$CQ$4:$CQ$149,0),MATCH($AS11,'Modelo Optimización'!$AZ$3:$CO$3,0)))</f>
        <v/>
      </c>
      <c r="BW11" s="32" t="str">
        <f>+IF(AI11="","",INDEX('Modelo Optimización'!$AZ$4:$CO$149,MATCH(CONCATENATE(BW$7,$AT11),'Modelo Optimización'!$CQ$4:$CQ$149,0),MATCH($AS11,'Modelo Optimización'!$AZ$3:$CO$3,0)))</f>
        <v/>
      </c>
      <c r="BX11" s="32" t="str">
        <f>+IF(AJ11="","",INDEX('Modelo Optimización'!$AZ$4:$CO$149,MATCH(CONCATENATE(BX$7,$AT11),'Modelo Optimización'!$CQ$4:$CQ$149,0),MATCH($AS11,'Modelo Optimización'!$AZ$3:$CO$3,0)))</f>
        <v/>
      </c>
      <c r="BY11" s="32" t="str">
        <f>+IF(AK11="","",INDEX('Modelo Optimización'!$AZ$4:$CO$149,MATCH(CONCATENATE(BY$7,$AT11),'Modelo Optimización'!$CQ$4:$CQ$149,0),MATCH($AS11,'Modelo Optimización'!$AZ$3:$CO$3,0)))</f>
        <v/>
      </c>
      <c r="BZ11" s="32" t="str">
        <f>+IF(AL11="","",INDEX('Modelo Optimización'!$AZ$4:$CO$149,MATCH(CONCATENATE(BZ$7,$AT11),'Modelo Optimización'!$CQ$4:$CQ$149,0),MATCH($AS11,'Modelo Optimización'!$AZ$3:$CO$3,0)))</f>
        <v/>
      </c>
      <c r="CA11" s="32" t="str">
        <f>+IF(AM11="","",INDEX('Modelo Optimización'!$AZ$4:$CO$149,MATCH(CONCATENATE(CA$7,$AT11),'Modelo Optimización'!$CQ$4:$CQ$149,0),MATCH($AS11,'Modelo Optimización'!$AZ$3:$CO$3,0)))</f>
        <v/>
      </c>
      <c r="CB11" s="32" t="str">
        <f>+IF(AN11="","",INDEX('Modelo Optimización'!$AZ$4:$CO$149,MATCH(CONCATENATE(CB$7,$AT11),'Modelo Optimización'!$CQ$4:$CQ$149,0),MATCH($AS11,'Modelo Optimización'!$AZ$3:$CO$3,0)))</f>
        <v/>
      </c>
      <c r="CC11" s="32" t="str">
        <f>+IF(AO11="","",INDEX('Modelo Optimización'!$AZ$4:$CO$149,MATCH(CONCATENATE(CC$7,$AT11),'Modelo Optimización'!$CQ$4:$CQ$149,0),MATCH($AS11,'Modelo Optimización'!$AZ$3:$CO$3,0)))</f>
        <v/>
      </c>
      <c r="CD11" s="32" t="str">
        <f>+IF(AP11="","",INDEX('Modelo Optimización'!$AZ$4:$CO$149,MATCH(CONCATENATE(CD$7,$AT11),'Modelo Optimización'!$CQ$4:$CQ$149,0),MATCH($AS11,'Modelo Optimización'!$AZ$3:$CO$3,0)))</f>
        <v/>
      </c>
      <c r="CE11" s="37" t="str">
        <f>+IF(AQ11="","",INDEX('Modelo Optimización'!$AZ$4:$CO$149,MATCH(CONCATENATE(CE$7,$AT11),'Modelo Optimización'!$CQ$4:$CQ$149,0),MATCH($AS11,'Modelo Optimización'!$AZ$3:$CO$3,0)))</f>
        <v/>
      </c>
      <c r="CF11" s="301"/>
      <c r="CG11" s="305" t="str">
        <f t="shared" si="11"/>
        <v/>
      </c>
      <c r="CH11" s="303" t="str">
        <f t="shared" si="7"/>
        <v/>
      </c>
      <c r="CI11" s="292" t="str">
        <f t="shared" si="8"/>
        <v/>
      </c>
      <c r="CJ11" s="36" t="str">
        <f t="shared" si="12"/>
        <v/>
      </c>
      <c r="CK11" s="32" t="str">
        <f t="shared" si="13"/>
        <v/>
      </c>
      <c r="CL11" s="32" t="str">
        <f t="shared" si="14"/>
        <v/>
      </c>
      <c r="CM11" s="32" t="str">
        <f t="shared" si="15"/>
        <v/>
      </c>
      <c r="CN11" s="32" t="str">
        <f t="shared" si="16"/>
        <v/>
      </c>
      <c r="CO11" s="32" t="str">
        <f t="shared" si="17"/>
        <v/>
      </c>
      <c r="CP11" s="32" t="str">
        <f t="shared" si="18"/>
        <v/>
      </c>
      <c r="CQ11" s="32" t="str">
        <f t="shared" si="19"/>
        <v/>
      </c>
      <c r="CR11" s="32" t="str">
        <f t="shared" si="20"/>
        <v/>
      </c>
      <c r="CS11" s="32" t="str">
        <f t="shared" si="21"/>
        <v/>
      </c>
      <c r="CT11" s="32" t="str">
        <f t="shared" si="22"/>
        <v/>
      </c>
      <c r="CU11" s="32" t="str">
        <f t="shared" si="23"/>
        <v/>
      </c>
      <c r="CV11" s="32" t="str">
        <f t="shared" si="24"/>
        <v/>
      </c>
      <c r="CW11" s="32" t="str">
        <f t="shared" si="25"/>
        <v/>
      </c>
      <c r="CX11" s="32" t="str">
        <f t="shared" si="26"/>
        <v/>
      </c>
      <c r="CY11" s="32" t="str">
        <f t="shared" si="27"/>
        <v/>
      </c>
      <c r="CZ11" s="32" t="str">
        <f t="shared" si="28"/>
        <v/>
      </c>
      <c r="DA11" s="32" t="str">
        <f t="shared" si="29"/>
        <v/>
      </c>
      <c r="DB11" s="32" t="str">
        <f t="shared" si="30"/>
        <v/>
      </c>
      <c r="DC11" s="32" t="str">
        <f t="shared" si="31"/>
        <v/>
      </c>
      <c r="DD11" s="32" t="str">
        <f t="shared" si="32"/>
        <v/>
      </c>
      <c r="DE11" s="32" t="str">
        <f t="shared" si="33"/>
        <v/>
      </c>
      <c r="DF11" s="32" t="str">
        <f t="shared" si="34"/>
        <v/>
      </c>
      <c r="DG11" s="32" t="str">
        <f t="shared" si="35"/>
        <v/>
      </c>
      <c r="DH11" s="32" t="str">
        <f t="shared" si="36"/>
        <v/>
      </c>
      <c r="DI11" s="32" t="str">
        <f t="shared" si="37"/>
        <v/>
      </c>
      <c r="DJ11" s="32" t="str">
        <f t="shared" si="38"/>
        <v/>
      </c>
      <c r="DK11" s="32" t="str">
        <f t="shared" si="39"/>
        <v/>
      </c>
      <c r="DL11" s="32" t="str">
        <f t="shared" si="40"/>
        <v/>
      </c>
      <c r="DM11" s="32" t="str">
        <f t="shared" si="41"/>
        <v/>
      </c>
      <c r="DN11" s="32" t="str">
        <f t="shared" si="42"/>
        <v/>
      </c>
      <c r="DO11" s="32" t="str">
        <f t="shared" si="43"/>
        <v/>
      </c>
      <c r="DP11" s="32" t="str">
        <f t="shared" si="44"/>
        <v/>
      </c>
      <c r="DQ11" s="32" t="str">
        <f t="shared" si="45"/>
        <v/>
      </c>
      <c r="DR11" s="32" t="str">
        <f t="shared" si="46"/>
        <v/>
      </c>
      <c r="DS11" s="32" t="str">
        <f t="shared" si="47"/>
        <v/>
      </c>
      <c r="DT11" s="37" t="str">
        <f t="shared" si="48"/>
        <v/>
      </c>
    </row>
    <row r="12" spans="2:124" x14ac:dyDescent="0.35">
      <c r="B12" s="46"/>
      <c r="C12" s="212"/>
      <c r="D12" s="52"/>
      <c r="E12" s="52" t="str">
        <f>+IF(B12="","",IFERROR(SUMIF('Modelo Optimización'!$AS$72:$AS$217,C12,INDEX('Modelo Optimización'!$C$72:$AR$217,,MATCH(B12,'Modelo Optimización'!$C$71:$AR$71,0))),0))</f>
        <v/>
      </c>
      <c r="F12" s="281" t="str">
        <f t="shared" si="10"/>
        <v/>
      </c>
      <c r="G12" s="280" t="str">
        <f>+IF(IF($B12="","",IFERROR(INDEX('Auxiliar Resultados'!$C$9:$BO$50,MATCH($B12,'Auxiliar Resultados'!$B$9:$B$50,0),MATCH(CONCATENATE($C12,G$7),'Auxiliar Resultados'!$C$6:$BO$6,0)),""))=0,"",IF($B12="","",IFERROR(INDEX('Auxiliar Resultados'!$C$9:$BO$50,MATCH($B12,'Auxiliar Resultados'!$B$9:$B$50,0),MATCH(CONCATENATE($C12,G$7),'Auxiliar Resultados'!$C$6:$BO$6,0)),"")))</f>
        <v/>
      </c>
      <c r="H12" s="52" t="str">
        <f>+IF(IF($B12="","",IFERROR(INDEX('Auxiliar Resultados'!$C$9:$BO$50,MATCH($B12,'Auxiliar Resultados'!$B$9:$B$50,0),MATCH(CONCATENATE($C12,H$7),'Auxiliar Resultados'!$C$6:$BO$6,0)),""))=0,"",IF($B12="","",IFERROR(INDEX('Auxiliar Resultados'!$C$9:$BO$50,MATCH($B12,'Auxiliar Resultados'!$B$9:$B$50,0),MATCH(CONCATENATE($C12,H$7),'Auxiliar Resultados'!$C$6:$BO$6,0)),"")))</f>
        <v/>
      </c>
      <c r="I12" s="52" t="str">
        <f>+IF(IF($B12="","",IFERROR(INDEX('Auxiliar Resultados'!$C$9:$BO$50,MATCH($B12,'Auxiliar Resultados'!$B$9:$B$50,0),MATCH(CONCATENATE($C12,I$7),'Auxiliar Resultados'!$C$6:$BO$6,0)),""))=0,"",IF($B12="","",IFERROR(INDEX('Auxiliar Resultados'!$C$9:$BO$50,MATCH($B12,'Auxiliar Resultados'!$B$9:$B$50,0),MATCH(CONCATENATE($C12,I$7),'Auxiliar Resultados'!$C$6:$BO$6,0)),"")))</f>
        <v/>
      </c>
      <c r="J12" s="52" t="str">
        <f>+IF(IF($B12="","",IFERROR(INDEX('Auxiliar Resultados'!$C$9:$BO$50,MATCH($B12,'Auxiliar Resultados'!$B$9:$B$50,0),MATCH(CONCATENATE($C12,J$7),'Auxiliar Resultados'!$C$6:$BO$6,0)),""))=0,"",IF($B12="","",IFERROR(INDEX('Auxiliar Resultados'!$C$9:$BO$50,MATCH($B12,'Auxiliar Resultados'!$B$9:$B$50,0),MATCH(CONCATENATE($C12,J$7),'Auxiliar Resultados'!$C$6:$BO$6,0)),"")))</f>
        <v/>
      </c>
      <c r="K12" s="52" t="str">
        <f>+IF(IF($B12="","",IFERROR(INDEX('Auxiliar Resultados'!$C$9:$BO$50,MATCH($B12,'Auxiliar Resultados'!$B$9:$B$50,0),MATCH(CONCATENATE($C12,K$7),'Auxiliar Resultados'!$C$6:$BO$6,0)),""))=0,"",IF($B12="","",IFERROR(INDEX('Auxiliar Resultados'!$C$9:$BO$50,MATCH($B12,'Auxiliar Resultados'!$B$9:$B$50,0),MATCH(CONCATENATE($C12,K$7),'Auxiliar Resultados'!$C$6:$BO$6,0)),"")))</f>
        <v/>
      </c>
      <c r="L12" s="52" t="str">
        <f>+IF(IF($B12="","",IFERROR(INDEX('Auxiliar Resultados'!$C$9:$BO$50,MATCH($B12,'Auxiliar Resultados'!$B$9:$B$50,0),MATCH(CONCATENATE($C12,L$7),'Auxiliar Resultados'!$C$6:$BO$6,0)),""))=0,"",IF($B12="","",IFERROR(INDEX('Auxiliar Resultados'!$C$9:$BO$50,MATCH($B12,'Auxiliar Resultados'!$B$9:$B$50,0),MATCH(CONCATENATE($C12,L$7),'Auxiliar Resultados'!$C$6:$BO$6,0)),"")))</f>
        <v/>
      </c>
      <c r="M12" s="52" t="str">
        <f>+IF(IF($B12="","",IFERROR(INDEX('Auxiliar Resultados'!$C$9:$BO$50,MATCH($B12,'Auxiliar Resultados'!$B$9:$B$50,0),MATCH(CONCATENATE($C12,M$7),'Auxiliar Resultados'!$C$6:$BO$6,0)),""))=0,"",IF($B12="","",IFERROR(INDEX('Auxiliar Resultados'!$C$9:$BO$50,MATCH($B12,'Auxiliar Resultados'!$B$9:$B$50,0),MATCH(CONCATENATE($C12,M$7),'Auxiliar Resultados'!$C$6:$BO$6,0)),"")))</f>
        <v/>
      </c>
      <c r="N12" s="52" t="str">
        <f>+IF(IF($B12="","",IFERROR(INDEX('Auxiliar Resultados'!$C$9:$BO$50,MATCH($B12,'Auxiliar Resultados'!$B$9:$B$50,0),MATCH(CONCATENATE($C12,N$7),'Auxiliar Resultados'!$C$6:$BO$6,0)),""))=0,"",IF($B12="","",IFERROR(INDEX('Auxiliar Resultados'!$C$9:$BO$50,MATCH($B12,'Auxiliar Resultados'!$B$9:$B$50,0),MATCH(CONCATENATE($C12,N$7),'Auxiliar Resultados'!$C$6:$BO$6,0)),"")))</f>
        <v/>
      </c>
      <c r="O12" s="52" t="str">
        <f>+IF(IF($B12="","",IFERROR(INDEX('Auxiliar Resultados'!$C$9:$BO$50,MATCH($B12,'Auxiliar Resultados'!$B$9:$B$50,0),MATCH(CONCATENATE($C12,O$7),'Auxiliar Resultados'!$C$6:$BO$6,0)),""))=0,"",IF($B12="","",IFERROR(INDEX('Auxiliar Resultados'!$C$9:$BO$50,MATCH($B12,'Auxiliar Resultados'!$B$9:$B$50,0),MATCH(CONCATENATE($C12,O$7),'Auxiliar Resultados'!$C$6:$BO$6,0)),"")))</f>
        <v/>
      </c>
      <c r="P12" s="52" t="str">
        <f>+IF(IF($B12="","",IFERROR(INDEX('Auxiliar Resultados'!$C$9:$BO$50,MATCH($B12,'Auxiliar Resultados'!$B$9:$B$50,0),MATCH(CONCATENATE($C12,P$7),'Auxiliar Resultados'!$C$6:$BO$6,0)),""))=0,"",IF($B12="","",IFERROR(INDEX('Auxiliar Resultados'!$C$9:$BO$50,MATCH($B12,'Auxiliar Resultados'!$B$9:$B$50,0),MATCH(CONCATENATE($C12,P$7),'Auxiliar Resultados'!$C$6:$BO$6,0)),"")))</f>
        <v/>
      </c>
      <c r="Q12" s="52" t="str">
        <f>+IF(IF($B12="","",IFERROR(INDEX('Auxiliar Resultados'!$C$9:$BO$50,MATCH($B12,'Auxiliar Resultados'!$B$9:$B$50,0),MATCH(CONCATENATE($C12,Q$7),'Auxiliar Resultados'!$C$6:$BO$6,0)),""))=0,"",IF($B12="","",IFERROR(INDEX('Auxiliar Resultados'!$C$9:$BO$50,MATCH($B12,'Auxiliar Resultados'!$B$9:$B$50,0),MATCH(CONCATENATE($C12,Q$7),'Auxiliar Resultados'!$C$6:$BO$6,0)),"")))</f>
        <v/>
      </c>
      <c r="R12" s="52" t="str">
        <f>+IF(IF($B12="","",IFERROR(INDEX('Auxiliar Resultados'!$C$9:$BO$50,MATCH($B12,'Auxiliar Resultados'!$B$9:$B$50,0),MATCH(CONCATENATE($C12,R$7),'Auxiliar Resultados'!$C$6:$BO$6,0)),""))=0,"",IF($B12="","",IFERROR(INDEX('Auxiliar Resultados'!$C$9:$BO$50,MATCH($B12,'Auxiliar Resultados'!$B$9:$B$50,0),MATCH(CONCATENATE($C12,R$7),'Auxiliar Resultados'!$C$6:$BO$6,0)),"")))</f>
        <v/>
      </c>
      <c r="S12" s="52" t="str">
        <f>+IF(IF($B12="","",IFERROR(INDEX('Auxiliar Resultados'!$C$9:$BO$50,MATCH($B12,'Auxiliar Resultados'!$B$9:$B$50,0),MATCH(CONCATENATE($C12,S$7),'Auxiliar Resultados'!$C$6:$BO$6,0)),""))=0,"",IF($B12="","",IFERROR(INDEX('Auxiliar Resultados'!$C$9:$BO$50,MATCH($B12,'Auxiliar Resultados'!$B$9:$B$50,0),MATCH(CONCATENATE($C12,S$7),'Auxiliar Resultados'!$C$6:$BO$6,0)),"")))</f>
        <v/>
      </c>
      <c r="T12" s="52" t="str">
        <f>+IF(IF($B12="","",IFERROR(INDEX('Auxiliar Resultados'!$C$9:$BO$50,MATCH($B12,'Auxiliar Resultados'!$B$9:$B$50,0),MATCH(CONCATENATE($C12,T$7),'Auxiliar Resultados'!$C$6:$BO$6,0)),""))=0,"",IF($B12="","",IFERROR(INDEX('Auxiliar Resultados'!$C$9:$BO$50,MATCH($B12,'Auxiliar Resultados'!$B$9:$B$50,0),MATCH(CONCATENATE($C12,T$7),'Auxiliar Resultados'!$C$6:$BO$6,0)),"")))</f>
        <v/>
      </c>
      <c r="U12" s="52" t="str">
        <f>+IF(IF($B12="","",IFERROR(INDEX('Auxiliar Resultados'!$C$9:$BO$50,MATCH($B12,'Auxiliar Resultados'!$B$9:$B$50,0),MATCH(CONCATENATE($C12,U$7),'Auxiliar Resultados'!$C$6:$BO$6,0)),""))=0,"",IF($B12="","",IFERROR(INDEX('Auxiliar Resultados'!$C$9:$BO$50,MATCH($B12,'Auxiliar Resultados'!$B$9:$B$50,0),MATCH(CONCATENATE($C12,U$7),'Auxiliar Resultados'!$C$6:$BO$6,0)),"")))</f>
        <v/>
      </c>
      <c r="V12" s="52" t="str">
        <f>+IF(IF($B12="","",IFERROR(INDEX('Auxiliar Resultados'!$C$9:$BO$50,MATCH($B12,'Auxiliar Resultados'!$B$9:$B$50,0),MATCH(CONCATENATE($C12,V$7),'Auxiliar Resultados'!$C$6:$BO$6,0)),""))=0,"",IF($B12="","",IFERROR(INDEX('Auxiliar Resultados'!$C$9:$BO$50,MATCH($B12,'Auxiliar Resultados'!$B$9:$B$50,0),MATCH(CONCATENATE($C12,V$7),'Auxiliar Resultados'!$C$6:$BO$6,0)),"")))</f>
        <v/>
      </c>
      <c r="W12" s="52" t="str">
        <f>+IF(IF($B12="","",IFERROR(INDEX('Auxiliar Resultados'!$C$9:$BO$50,MATCH($B12,'Auxiliar Resultados'!$B$9:$B$50,0),MATCH(CONCATENATE($C12,W$7),'Auxiliar Resultados'!$C$6:$BO$6,0)),""))=0,"",IF($B12="","",IFERROR(INDEX('Auxiliar Resultados'!$C$9:$BO$50,MATCH($B12,'Auxiliar Resultados'!$B$9:$B$50,0),MATCH(CONCATENATE($C12,W$7),'Auxiliar Resultados'!$C$6:$BO$6,0)),"")))</f>
        <v/>
      </c>
      <c r="X12" s="52" t="str">
        <f>+IF(IF($B12="","",IFERROR(INDEX('Auxiliar Resultados'!$C$9:$BO$50,MATCH($B12,'Auxiliar Resultados'!$B$9:$B$50,0),MATCH(CONCATENATE($C12,X$7),'Auxiliar Resultados'!$C$6:$BO$6,0)),""))=0,"",IF($B12="","",IFERROR(INDEX('Auxiliar Resultados'!$C$9:$BO$50,MATCH($B12,'Auxiliar Resultados'!$B$9:$B$50,0),MATCH(CONCATENATE($C12,X$7),'Auxiliar Resultados'!$C$6:$BO$6,0)),"")))</f>
        <v/>
      </c>
      <c r="Y12" s="52" t="str">
        <f>+IF(IF($B12="","",IFERROR(INDEX('Auxiliar Resultados'!$C$9:$BO$50,MATCH($B12,'Auxiliar Resultados'!$B$9:$B$50,0),MATCH(CONCATENATE($C12,Y$7),'Auxiliar Resultados'!$C$6:$BO$6,0)),""))=0,"",IF($B12="","",IFERROR(INDEX('Auxiliar Resultados'!$C$9:$BO$50,MATCH($B12,'Auxiliar Resultados'!$B$9:$B$50,0),MATCH(CONCATENATE($C12,Y$7),'Auxiliar Resultados'!$C$6:$BO$6,0)),"")))</f>
        <v/>
      </c>
      <c r="Z12" s="52" t="str">
        <f>+IF(IF($B12="","",IFERROR(INDEX('Auxiliar Resultados'!$C$9:$BO$50,MATCH($B12,'Auxiliar Resultados'!$B$9:$B$50,0),MATCH(CONCATENATE($C12,Z$7),'Auxiliar Resultados'!$C$6:$BO$6,0)),""))=0,"",IF($B12="","",IFERROR(INDEX('Auxiliar Resultados'!$C$9:$BO$50,MATCH($B12,'Auxiliar Resultados'!$B$9:$B$50,0),MATCH(CONCATENATE($C12,Z$7),'Auxiliar Resultados'!$C$6:$BO$6,0)),"")))</f>
        <v/>
      </c>
      <c r="AA12" s="52" t="str">
        <f>+IF(IF($B12="","",IFERROR(INDEX('Auxiliar Resultados'!$C$9:$BO$50,MATCH($B12,'Auxiliar Resultados'!$B$9:$B$50,0),MATCH(CONCATENATE($C12,AA$7),'Auxiliar Resultados'!$C$6:$BO$6,0)),""))=0,"",IF($B12="","",IFERROR(INDEX('Auxiliar Resultados'!$C$9:$BO$50,MATCH($B12,'Auxiliar Resultados'!$B$9:$B$50,0),MATCH(CONCATENATE($C12,AA$7),'Auxiliar Resultados'!$C$6:$BO$6,0)),"")))</f>
        <v/>
      </c>
      <c r="AB12" s="52" t="str">
        <f>+IF(IF($B12="","",IFERROR(INDEX('Auxiliar Resultados'!$C$9:$BO$50,MATCH($B12,'Auxiliar Resultados'!$B$9:$B$50,0),MATCH(CONCATENATE($C12,AB$7),'Auxiliar Resultados'!$C$6:$BO$6,0)),""))=0,"",IF($B12="","",IFERROR(INDEX('Auxiliar Resultados'!$C$9:$BO$50,MATCH($B12,'Auxiliar Resultados'!$B$9:$B$50,0),MATCH(CONCATENATE($C12,AB$7),'Auxiliar Resultados'!$C$6:$BO$6,0)),"")))</f>
        <v/>
      </c>
      <c r="AC12" s="52" t="str">
        <f>+IF(IF($B12="","",IFERROR(INDEX('Auxiliar Resultados'!$C$9:$BO$50,MATCH($B12,'Auxiliar Resultados'!$B$9:$B$50,0),MATCH(CONCATENATE($C12,AC$7),'Auxiliar Resultados'!$C$6:$BO$6,0)),""))=0,"",IF($B12="","",IFERROR(INDEX('Auxiliar Resultados'!$C$9:$BO$50,MATCH($B12,'Auxiliar Resultados'!$B$9:$B$50,0),MATCH(CONCATENATE($C12,AC$7),'Auxiliar Resultados'!$C$6:$BO$6,0)),"")))</f>
        <v/>
      </c>
      <c r="AD12" s="52" t="str">
        <f>+IF(IF($B12="","",IFERROR(INDEX('Auxiliar Resultados'!$C$9:$BO$50,MATCH($B12,'Auxiliar Resultados'!$B$9:$B$50,0),MATCH(CONCATENATE($C12,AD$7),'Auxiliar Resultados'!$C$6:$BO$6,0)),""))=0,"",IF($B12="","",IFERROR(INDEX('Auxiliar Resultados'!$C$9:$BO$50,MATCH($B12,'Auxiliar Resultados'!$B$9:$B$50,0),MATCH(CONCATENATE($C12,AD$7),'Auxiliar Resultados'!$C$6:$BO$6,0)),"")))</f>
        <v/>
      </c>
      <c r="AE12" s="52" t="str">
        <f>+IF(IF($B12="","",IFERROR(INDEX('Auxiliar Resultados'!$C$9:$BO$50,MATCH($B12,'Auxiliar Resultados'!$B$9:$B$50,0),MATCH(CONCATENATE($C12,AE$7),'Auxiliar Resultados'!$C$6:$BO$6,0)),""))=0,"",IF($B12="","",IFERROR(INDEX('Auxiliar Resultados'!$C$9:$BO$50,MATCH($B12,'Auxiliar Resultados'!$B$9:$B$50,0),MATCH(CONCATENATE($C12,AE$7),'Auxiliar Resultados'!$C$6:$BO$6,0)),"")))</f>
        <v/>
      </c>
      <c r="AF12" s="52" t="str">
        <f>+IF(IF($B12="","",IFERROR(INDEX('Auxiliar Resultados'!$C$9:$BO$50,MATCH($B12,'Auxiliar Resultados'!$B$9:$B$50,0),MATCH(CONCATENATE($C12,AF$7),'Auxiliar Resultados'!$C$6:$BO$6,0)),""))=0,"",IF($B12="","",IFERROR(INDEX('Auxiliar Resultados'!$C$9:$BO$50,MATCH($B12,'Auxiliar Resultados'!$B$9:$B$50,0),MATCH(CONCATENATE($C12,AF$7),'Auxiliar Resultados'!$C$6:$BO$6,0)),"")))</f>
        <v/>
      </c>
      <c r="AG12" s="52" t="str">
        <f>+IF(IF($B12="","",IFERROR(INDEX('Auxiliar Resultados'!$C$9:$BO$50,MATCH($B12,'Auxiliar Resultados'!$B$9:$B$50,0),MATCH(CONCATENATE($C12,AG$7),'Auxiliar Resultados'!$C$6:$BO$6,0)),""))=0,"",IF($B12="","",IFERROR(INDEX('Auxiliar Resultados'!$C$9:$BO$50,MATCH($B12,'Auxiliar Resultados'!$B$9:$B$50,0),MATCH(CONCATENATE($C12,AG$7),'Auxiliar Resultados'!$C$6:$BO$6,0)),"")))</f>
        <v/>
      </c>
      <c r="AH12" s="52" t="str">
        <f>+IF(IF($B12="","",IFERROR(INDEX('Auxiliar Resultados'!$C$9:$BO$50,MATCH($B12,'Auxiliar Resultados'!$B$9:$B$50,0),MATCH(CONCATENATE($C12,AH$7),'Auxiliar Resultados'!$C$6:$BO$6,0)),""))=0,"",IF($B12="","",IFERROR(INDEX('Auxiliar Resultados'!$C$9:$BO$50,MATCH($B12,'Auxiliar Resultados'!$B$9:$B$50,0),MATCH(CONCATENATE($C12,AH$7),'Auxiliar Resultados'!$C$6:$BO$6,0)),"")))</f>
        <v/>
      </c>
      <c r="AI12" s="52" t="str">
        <f>+IF(IF($B12="","",IFERROR(INDEX('Auxiliar Resultados'!$C$9:$BO$50,MATCH($B12,'Auxiliar Resultados'!$B$9:$B$50,0),MATCH(CONCATENATE($C12,AI$7),'Auxiliar Resultados'!$C$6:$BO$6,0)),""))=0,"",IF($B12="","",IFERROR(INDEX('Auxiliar Resultados'!$C$9:$BO$50,MATCH($B12,'Auxiliar Resultados'!$B$9:$B$50,0),MATCH(CONCATENATE($C12,AI$7),'Auxiliar Resultados'!$C$6:$BO$6,0)),"")))</f>
        <v/>
      </c>
      <c r="AJ12" s="52" t="str">
        <f>+IF(IF($B12="","",IFERROR(INDEX('Auxiliar Resultados'!$C$9:$BO$50,MATCH($B12,'Auxiliar Resultados'!$B$9:$B$50,0),MATCH(CONCATENATE($C12,AJ$7),'Auxiliar Resultados'!$C$6:$BO$6,0)),""))=0,"",IF($B12="","",IFERROR(INDEX('Auxiliar Resultados'!$C$9:$BO$50,MATCH($B12,'Auxiliar Resultados'!$B$9:$B$50,0),MATCH(CONCATENATE($C12,AJ$7),'Auxiliar Resultados'!$C$6:$BO$6,0)),"")))</f>
        <v/>
      </c>
      <c r="AK12" s="52" t="str">
        <f>+IF(IF($B12="","",IFERROR(INDEX('Auxiliar Resultados'!$C$9:$BO$50,MATCH($B12,'Auxiliar Resultados'!$B$9:$B$50,0),MATCH(CONCATENATE($C12,AK$7),'Auxiliar Resultados'!$C$6:$BO$6,0)),""))=0,"",IF($B12="","",IFERROR(INDEX('Auxiliar Resultados'!$C$9:$BO$50,MATCH($B12,'Auxiliar Resultados'!$B$9:$B$50,0),MATCH(CONCATENATE($C12,AK$7),'Auxiliar Resultados'!$C$6:$BO$6,0)),"")))</f>
        <v/>
      </c>
      <c r="AL12" s="52" t="str">
        <f>+IF(IF($B12="","",IFERROR(INDEX('Auxiliar Resultados'!$C$9:$BO$50,MATCH($B12,'Auxiliar Resultados'!$B$9:$B$50,0),MATCH(CONCATENATE($C12,AL$7),'Auxiliar Resultados'!$C$6:$BO$6,0)),""))=0,"",IF($B12="","",IFERROR(INDEX('Auxiliar Resultados'!$C$9:$BO$50,MATCH($B12,'Auxiliar Resultados'!$B$9:$B$50,0),MATCH(CONCATENATE($C12,AL$7),'Auxiliar Resultados'!$C$6:$BO$6,0)),"")))</f>
        <v/>
      </c>
      <c r="AM12" s="52" t="str">
        <f>+IF(IF($B12="","",IFERROR(INDEX('Auxiliar Resultados'!$C$9:$BO$50,MATCH($B12,'Auxiliar Resultados'!$B$9:$B$50,0),MATCH(CONCATENATE($C12,AM$7),'Auxiliar Resultados'!$C$6:$BO$6,0)),""))=0,"",IF($B12="","",IFERROR(INDEX('Auxiliar Resultados'!$C$9:$BO$50,MATCH($B12,'Auxiliar Resultados'!$B$9:$B$50,0),MATCH(CONCATENATE($C12,AM$7),'Auxiliar Resultados'!$C$6:$BO$6,0)),"")))</f>
        <v/>
      </c>
      <c r="AN12" s="52" t="str">
        <f>+IF(IF($B12="","",IFERROR(INDEX('Auxiliar Resultados'!$C$9:$BO$50,MATCH($B12,'Auxiliar Resultados'!$B$9:$B$50,0),MATCH(CONCATENATE($C12,AN$7),'Auxiliar Resultados'!$C$6:$BO$6,0)),""))=0,"",IF($B12="","",IFERROR(INDEX('Auxiliar Resultados'!$C$9:$BO$50,MATCH($B12,'Auxiliar Resultados'!$B$9:$B$50,0),MATCH(CONCATENATE($C12,AN$7),'Auxiliar Resultados'!$C$6:$BO$6,0)),"")))</f>
        <v/>
      </c>
      <c r="AO12" s="52" t="str">
        <f>+IF(IF($B12="","",IFERROR(INDEX('Auxiliar Resultados'!$C$9:$BO$50,MATCH($B12,'Auxiliar Resultados'!$B$9:$B$50,0),MATCH(CONCATENATE($C12,AO$7),'Auxiliar Resultados'!$C$6:$BO$6,0)),""))=0,"",IF($B12="","",IFERROR(INDEX('Auxiliar Resultados'!$C$9:$BO$50,MATCH($B12,'Auxiliar Resultados'!$B$9:$B$50,0),MATCH(CONCATENATE($C12,AO$7),'Auxiliar Resultados'!$C$6:$BO$6,0)),"")))</f>
        <v/>
      </c>
      <c r="AP12" s="52" t="str">
        <f>+IF(IF($B12="","",IFERROR(INDEX('Auxiliar Resultados'!$C$9:$BO$50,MATCH($B12,'Auxiliar Resultados'!$B$9:$B$50,0),MATCH(CONCATENATE($C12,AP$7),'Auxiliar Resultados'!$C$6:$BO$6,0)),""))=0,"",IF($B12="","",IFERROR(INDEX('Auxiliar Resultados'!$C$9:$BO$50,MATCH($B12,'Auxiliar Resultados'!$B$9:$B$50,0),MATCH(CONCATENATE($C12,AP$7),'Auxiliar Resultados'!$C$6:$BO$6,0)),"")))</f>
        <v/>
      </c>
      <c r="AQ12" s="276" t="str">
        <f>+IF(IF($B12="","",IFERROR(INDEX('Auxiliar Resultados'!$C$9:$BO$50,MATCH($B12,'Auxiliar Resultados'!$B$9:$B$50,0),MATCH(CONCATENATE($C12,AQ$7),'Auxiliar Resultados'!$C$6:$BO$6,0)),""))=0,"",IF($B12="","",IFERROR(INDEX('Auxiliar Resultados'!$C$9:$BO$50,MATCH($B12,'Auxiliar Resultados'!$B$9:$B$50,0),MATCH(CONCATENATE($C12,AQ$7),'Auxiliar Resultados'!$C$6:$BO$6,0)),"")))</f>
        <v/>
      </c>
      <c r="AS12" s="46" t="str">
        <f t="shared" si="5"/>
        <v/>
      </c>
      <c r="AT12" s="292" t="str">
        <f t="shared" si="6"/>
        <v/>
      </c>
      <c r="AU12" s="36" t="str">
        <f>+IF(G12="","",INDEX('Modelo Optimización'!$AZ$4:$CO$149,MATCH(CONCATENATE(AU$7,$AT12),'Modelo Optimización'!$CQ$4:$CQ$149,0),MATCH($AS12,'Modelo Optimización'!$AZ$3:$CO$3,0)))</f>
        <v/>
      </c>
      <c r="AV12" s="32" t="str">
        <f>+IF(H12="","",INDEX('Modelo Optimización'!$AZ$4:$CO$149,MATCH(CONCATENATE(AV$7,$AT12),'Modelo Optimización'!$CQ$4:$CQ$149,0),MATCH($AS12,'Modelo Optimización'!$AZ$3:$CO$3,0)))</f>
        <v/>
      </c>
      <c r="AW12" s="32" t="str">
        <f>+IF(I12="","",INDEX('Modelo Optimización'!$AZ$4:$CO$149,MATCH(CONCATENATE(AW$7,$AT12),'Modelo Optimización'!$CQ$4:$CQ$149,0),MATCH($AS12,'Modelo Optimización'!$AZ$3:$CO$3,0)))</f>
        <v/>
      </c>
      <c r="AX12" s="32" t="str">
        <f>+IF(J12="","",INDEX('Modelo Optimización'!$AZ$4:$CO$149,MATCH(CONCATENATE(AX$7,$AT12),'Modelo Optimización'!$CQ$4:$CQ$149,0),MATCH($AS12,'Modelo Optimización'!$AZ$3:$CO$3,0)))</f>
        <v/>
      </c>
      <c r="AY12" s="32" t="str">
        <f>+IF(K12="","",INDEX('Modelo Optimización'!$AZ$4:$CO$149,MATCH(CONCATENATE(AY$7,$AT12),'Modelo Optimización'!$CQ$4:$CQ$149,0),MATCH($AS12,'Modelo Optimización'!$AZ$3:$CO$3,0)))</f>
        <v/>
      </c>
      <c r="AZ12" s="32" t="str">
        <f>+IF(L12="","",INDEX('Modelo Optimización'!$AZ$4:$CO$149,MATCH(CONCATENATE(AZ$7,$AT12),'Modelo Optimización'!$CQ$4:$CQ$149,0),MATCH($AS12,'Modelo Optimización'!$AZ$3:$CO$3,0)))</f>
        <v/>
      </c>
      <c r="BA12" s="32" t="str">
        <f>+IF(M12="","",INDEX('Modelo Optimización'!$AZ$4:$CO$149,MATCH(CONCATENATE(BA$7,$AT12),'Modelo Optimización'!$CQ$4:$CQ$149,0),MATCH($AS12,'Modelo Optimización'!$AZ$3:$CO$3,0)))</f>
        <v/>
      </c>
      <c r="BB12" s="32" t="str">
        <f>+IF(N12="","",INDEX('Modelo Optimización'!$AZ$4:$CO$149,MATCH(CONCATENATE(BB$7,$AT12),'Modelo Optimización'!$CQ$4:$CQ$149,0),MATCH($AS12,'Modelo Optimización'!$AZ$3:$CO$3,0)))</f>
        <v/>
      </c>
      <c r="BC12" s="32" t="str">
        <f>+IF(O12="","",INDEX('Modelo Optimización'!$AZ$4:$CO$149,MATCH(CONCATENATE(BC$7,$AT12),'Modelo Optimización'!$CQ$4:$CQ$149,0),MATCH($AS12,'Modelo Optimización'!$AZ$3:$CO$3,0)))</f>
        <v/>
      </c>
      <c r="BD12" s="32" t="str">
        <f>+IF(P12="","",INDEX('Modelo Optimización'!$AZ$4:$CO$149,MATCH(CONCATENATE(BD$7,$AT12),'Modelo Optimización'!$CQ$4:$CQ$149,0),MATCH($AS12,'Modelo Optimización'!$AZ$3:$CO$3,0)))</f>
        <v/>
      </c>
      <c r="BE12" s="32" t="str">
        <f>+IF(Q12="","",INDEX('Modelo Optimización'!$AZ$4:$CO$149,MATCH(CONCATENATE(BE$7,$AT12),'Modelo Optimización'!$CQ$4:$CQ$149,0),MATCH($AS12,'Modelo Optimización'!$AZ$3:$CO$3,0)))</f>
        <v/>
      </c>
      <c r="BF12" s="32" t="str">
        <f>+IF(R12="","",INDEX('Modelo Optimización'!$AZ$4:$CO$149,MATCH(CONCATENATE(BF$7,$AT12),'Modelo Optimización'!$CQ$4:$CQ$149,0),MATCH($AS12,'Modelo Optimización'!$AZ$3:$CO$3,0)))</f>
        <v/>
      </c>
      <c r="BG12" s="32" t="str">
        <f>+IF(S12="","",INDEX('Modelo Optimización'!$AZ$4:$CO$149,MATCH(CONCATENATE(BG$7,$AT12),'Modelo Optimización'!$CQ$4:$CQ$149,0),MATCH($AS12,'Modelo Optimización'!$AZ$3:$CO$3,0)))</f>
        <v/>
      </c>
      <c r="BH12" s="32" t="str">
        <f>+IF(T12="","",INDEX('Modelo Optimización'!$AZ$4:$CO$149,MATCH(CONCATENATE(BH$7,$AT12),'Modelo Optimización'!$CQ$4:$CQ$149,0),MATCH($AS12,'Modelo Optimización'!$AZ$3:$CO$3,0)))</f>
        <v/>
      </c>
      <c r="BI12" s="32" t="str">
        <f>+IF(U12="","",INDEX('Modelo Optimización'!$AZ$4:$CO$149,MATCH(CONCATENATE(BI$7,$AT12),'Modelo Optimización'!$CQ$4:$CQ$149,0),MATCH($AS12,'Modelo Optimización'!$AZ$3:$CO$3,0)))</f>
        <v/>
      </c>
      <c r="BJ12" s="32" t="str">
        <f>+IF(V12="","",INDEX('Modelo Optimización'!$AZ$4:$CO$149,MATCH(CONCATENATE(BJ$7,$AT12),'Modelo Optimización'!$CQ$4:$CQ$149,0),MATCH($AS12,'Modelo Optimización'!$AZ$3:$CO$3,0)))</f>
        <v/>
      </c>
      <c r="BK12" s="32" t="str">
        <f>+IF(W12="","",INDEX('Modelo Optimización'!$AZ$4:$CO$149,MATCH(CONCATENATE(BK$7,$AT12),'Modelo Optimización'!$CQ$4:$CQ$149,0),MATCH($AS12,'Modelo Optimización'!$AZ$3:$CO$3,0)))</f>
        <v/>
      </c>
      <c r="BL12" s="32" t="str">
        <f>+IF(X12="","",INDEX('Modelo Optimización'!$AZ$4:$CO$149,MATCH(CONCATENATE(BL$7,$AT12),'Modelo Optimización'!$CQ$4:$CQ$149,0),MATCH($AS12,'Modelo Optimización'!$AZ$3:$CO$3,0)))</f>
        <v/>
      </c>
      <c r="BM12" s="32" t="str">
        <f>+IF(Y12="","",INDEX('Modelo Optimización'!$AZ$4:$CO$149,MATCH(CONCATENATE(BM$7,$AT12),'Modelo Optimización'!$CQ$4:$CQ$149,0),MATCH($AS12,'Modelo Optimización'!$AZ$3:$CO$3,0)))</f>
        <v/>
      </c>
      <c r="BN12" s="32" t="str">
        <f>+IF(Z12="","",INDEX('Modelo Optimización'!$AZ$4:$CO$149,MATCH(CONCATENATE(BN$7,$AT12),'Modelo Optimización'!$CQ$4:$CQ$149,0),MATCH($AS12,'Modelo Optimización'!$AZ$3:$CO$3,0)))</f>
        <v/>
      </c>
      <c r="BO12" s="32" t="str">
        <f>+IF(AA12="","",INDEX('Modelo Optimización'!$AZ$4:$CO$149,MATCH(CONCATENATE(BO$7,$AT12),'Modelo Optimización'!$CQ$4:$CQ$149,0),MATCH($AS12,'Modelo Optimización'!$AZ$3:$CO$3,0)))</f>
        <v/>
      </c>
      <c r="BP12" s="32" t="str">
        <f>+IF(AB12="","",INDEX('Modelo Optimización'!$AZ$4:$CO$149,MATCH(CONCATENATE(BP$7,$AT12),'Modelo Optimización'!$CQ$4:$CQ$149,0),MATCH($AS12,'Modelo Optimización'!$AZ$3:$CO$3,0)))</f>
        <v/>
      </c>
      <c r="BQ12" s="32" t="str">
        <f>+IF(AC12="","",INDEX('Modelo Optimización'!$AZ$4:$CO$149,MATCH(CONCATENATE(BQ$7,$AT12),'Modelo Optimización'!$CQ$4:$CQ$149,0),MATCH($AS12,'Modelo Optimización'!$AZ$3:$CO$3,0)))</f>
        <v/>
      </c>
      <c r="BR12" s="32" t="str">
        <f>+IF(AD12="","",INDEX('Modelo Optimización'!$AZ$4:$CO$149,MATCH(CONCATENATE(BR$7,$AT12),'Modelo Optimización'!$CQ$4:$CQ$149,0),MATCH($AS12,'Modelo Optimización'!$AZ$3:$CO$3,0)))</f>
        <v/>
      </c>
      <c r="BS12" s="32" t="str">
        <f>+IF(AE12="","",INDEX('Modelo Optimización'!$AZ$4:$CO$149,MATCH(CONCATENATE(BS$7,$AT12),'Modelo Optimización'!$CQ$4:$CQ$149,0),MATCH($AS12,'Modelo Optimización'!$AZ$3:$CO$3,0)))</f>
        <v/>
      </c>
      <c r="BT12" s="32" t="str">
        <f>+IF(AF12="","",INDEX('Modelo Optimización'!$AZ$4:$CO$149,MATCH(CONCATENATE(BT$7,$AT12),'Modelo Optimización'!$CQ$4:$CQ$149,0),MATCH($AS12,'Modelo Optimización'!$AZ$3:$CO$3,0)))</f>
        <v/>
      </c>
      <c r="BU12" s="32" t="str">
        <f>+IF(AG12="","",INDEX('Modelo Optimización'!$AZ$4:$CO$149,MATCH(CONCATENATE(BU$7,$AT12),'Modelo Optimización'!$CQ$4:$CQ$149,0),MATCH($AS12,'Modelo Optimización'!$AZ$3:$CO$3,0)))</f>
        <v/>
      </c>
      <c r="BV12" s="32" t="str">
        <f>+IF(AH12="","",INDEX('Modelo Optimización'!$AZ$4:$CO$149,MATCH(CONCATENATE(BV$7,$AT12),'Modelo Optimización'!$CQ$4:$CQ$149,0),MATCH($AS12,'Modelo Optimización'!$AZ$3:$CO$3,0)))</f>
        <v/>
      </c>
      <c r="BW12" s="32" t="str">
        <f>+IF(AI12="","",INDEX('Modelo Optimización'!$AZ$4:$CO$149,MATCH(CONCATENATE(BW$7,$AT12),'Modelo Optimización'!$CQ$4:$CQ$149,0),MATCH($AS12,'Modelo Optimización'!$AZ$3:$CO$3,0)))</f>
        <v/>
      </c>
      <c r="BX12" s="32" t="str">
        <f>+IF(AJ12="","",INDEX('Modelo Optimización'!$AZ$4:$CO$149,MATCH(CONCATENATE(BX$7,$AT12),'Modelo Optimización'!$CQ$4:$CQ$149,0),MATCH($AS12,'Modelo Optimización'!$AZ$3:$CO$3,0)))</f>
        <v/>
      </c>
      <c r="BY12" s="32" t="str">
        <f>+IF(AK12="","",INDEX('Modelo Optimización'!$AZ$4:$CO$149,MATCH(CONCATENATE(BY$7,$AT12),'Modelo Optimización'!$CQ$4:$CQ$149,0),MATCH($AS12,'Modelo Optimización'!$AZ$3:$CO$3,0)))</f>
        <v/>
      </c>
      <c r="BZ12" s="32" t="str">
        <f>+IF(AL12="","",INDEX('Modelo Optimización'!$AZ$4:$CO$149,MATCH(CONCATENATE(BZ$7,$AT12),'Modelo Optimización'!$CQ$4:$CQ$149,0),MATCH($AS12,'Modelo Optimización'!$AZ$3:$CO$3,0)))</f>
        <v/>
      </c>
      <c r="CA12" s="32" t="str">
        <f>+IF(AM12="","",INDEX('Modelo Optimización'!$AZ$4:$CO$149,MATCH(CONCATENATE(CA$7,$AT12),'Modelo Optimización'!$CQ$4:$CQ$149,0),MATCH($AS12,'Modelo Optimización'!$AZ$3:$CO$3,0)))</f>
        <v/>
      </c>
      <c r="CB12" s="32" t="str">
        <f>+IF(AN12="","",INDEX('Modelo Optimización'!$AZ$4:$CO$149,MATCH(CONCATENATE(CB$7,$AT12),'Modelo Optimización'!$CQ$4:$CQ$149,0),MATCH($AS12,'Modelo Optimización'!$AZ$3:$CO$3,0)))</f>
        <v/>
      </c>
      <c r="CC12" s="32" t="str">
        <f>+IF(AO12="","",INDEX('Modelo Optimización'!$AZ$4:$CO$149,MATCH(CONCATENATE(CC$7,$AT12),'Modelo Optimización'!$CQ$4:$CQ$149,0),MATCH($AS12,'Modelo Optimización'!$AZ$3:$CO$3,0)))</f>
        <v/>
      </c>
      <c r="CD12" s="32" t="str">
        <f>+IF(AP12="","",INDEX('Modelo Optimización'!$AZ$4:$CO$149,MATCH(CONCATENATE(CD$7,$AT12),'Modelo Optimización'!$CQ$4:$CQ$149,0),MATCH($AS12,'Modelo Optimización'!$AZ$3:$CO$3,0)))</f>
        <v/>
      </c>
      <c r="CE12" s="37" t="str">
        <f>+IF(AQ12="","",INDEX('Modelo Optimización'!$AZ$4:$CO$149,MATCH(CONCATENATE(CE$7,$AT12),'Modelo Optimización'!$CQ$4:$CQ$149,0),MATCH($AS12,'Modelo Optimización'!$AZ$3:$CO$3,0)))</f>
        <v/>
      </c>
      <c r="CF12" s="301"/>
      <c r="CG12" s="305" t="str">
        <f t="shared" si="11"/>
        <v/>
      </c>
      <c r="CH12" s="303" t="str">
        <f t="shared" si="7"/>
        <v/>
      </c>
      <c r="CI12" s="292" t="str">
        <f t="shared" si="8"/>
        <v/>
      </c>
      <c r="CJ12" s="36" t="str">
        <f t="shared" si="12"/>
        <v/>
      </c>
      <c r="CK12" s="32" t="str">
        <f t="shared" si="13"/>
        <v/>
      </c>
      <c r="CL12" s="32" t="str">
        <f t="shared" si="14"/>
        <v/>
      </c>
      <c r="CM12" s="32" t="str">
        <f t="shared" si="15"/>
        <v/>
      </c>
      <c r="CN12" s="32" t="str">
        <f t="shared" si="16"/>
        <v/>
      </c>
      <c r="CO12" s="32" t="str">
        <f t="shared" si="17"/>
        <v/>
      </c>
      <c r="CP12" s="32" t="str">
        <f t="shared" si="18"/>
        <v/>
      </c>
      <c r="CQ12" s="32" t="str">
        <f t="shared" si="19"/>
        <v/>
      </c>
      <c r="CR12" s="32" t="str">
        <f t="shared" si="20"/>
        <v/>
      </c>
      <c r="CS12" s="32" t="str">
        <f t="shared" si="21"/>
        <v/>
      </c>
      <c r="CT12" s="32" t="str">
        <f t="shared" si="22"/>
        <v/>
      </c>
      <c r="CU12" s="32" t="str">
        <f t="shared" si="23"/>
        <v/>
      </c>
      <c r="CV12" s="32" t="str">
        <f t="shared" si="24"/>
        <v/>
      </c>
      <c r="CW12" s="32" t="str">
        <f t="shared" si="25"/>
        <v/>
      </c>
      <c r="CX12" s="32" t="str">
        <f t="shared" si="26"/>
        <v/>
      </c>
      <c r="CY12" s="32" t="str">
        <f t="shared" si="27"/>
        <v/>
      </c>
      <c r="CZ12" s="32" t="str">
        <f t="shared" si="28"/>
        <v/>
      </c>
      <c r="DA12" s="32" t="str">
        <f t="shared" si="29"/>
        <v/>
      </c>
      <c r="DB12" s="32" t="str">
        <f t="shared" si="30"/>
        <v/>
      </c>
      <c r="DC12" s="32" t="str">
        <f t="shared" si="31"/>
        <v/>
      </c>
      <c r="DD12" s="32" t="str">
        <f t="shared" si="32"/>
        <v/>
      </c>
      <c r="DE12" s="32" t="str">
        <f t="shared" si="33"/>
        <v/>
      </c>
      <c r="DF12" s="32" t="str">
        <f t="shared" si="34"/>
        <v/>
      </c>
      <c r="DG12" s="32" t="str">
        <f t="shared" si="35"/>
        <v/>
      </c>
      <c r="DH12" s="32" t="str">
        <f t="shared" si="36"/>
        <v/>
      </c>
      <c r="DI12" s="32" t="str">
        <f t="shared" si="37"/>
        <v/>
      </c>
      <c r="DJ12" s="32" t="str">
        <f t="shared" si="38"/>
        <v/>
      </c>
      <c r="DK12" s="32" t="str">
        <f t="shared" si="39"/>
        <v/>
      </c>
      <c r="DL12" s="32" t="str">
        <f t="shared" si="40"/>
        <v/>
      </c>
      <c r="DM12" s="32" t="str">
        <f t="shared" si="41"/>
        <v/>
      </c>
      <c r="DN12" s="32" t="str">
        <f t="shared" si="42"/>
        <v/>
      </c>
      <c r="DO12" s="32" t="str">
        <f t="shared" si="43"/>
        <v/>
      </c>
      <c r="DP12" s="32" t="str">
        <f t="shared" si="44"/>
        <v/>
      </c>
      <c r="DQ12" s="32" t="str">
        <f t="shared" si="45"/>
        <v/>
      </c>
      <c r="DR12" s="32" t="str">
        <f t="shared" si="46"/>
        <v/>
      </c>
      <c r="DS12" s="32" t="str">
        <f t="shared" si="47"/>
        <v/>
      </c>
      <c r="DT12" s="37" t="str">
        <f t="shared" si="48"/>
        <v/>
      </c>
    </row>
    <row r="13" spans="2:124" x14ac:dyDescent="0.35">
      <c r="B13" s="46"/>
      <c r="C13" s="212"/>
      <c r="D13" s="52"/>
      <c r="E13" s="52" t="str">
        <f>+IF(B13="","",IFERROR(SUMIF('Modelo Optimización'!$AS$72:$AS$217,C13,INDEX('Modelo Optimización'!$C$72:$AR$217,,MATCH(B13,'Modelo Optimización'!$C$71:$AR$71,0))),0))</f>
        <v/>
      </c>
      <c r="F13" s="281" t="str">
        <f t="shared" si="10"/>
        <v/>
      </c>
      <c r="G13" s="280" t="str">
        <f>+IF(IF($B13="","",IFERROR(INDEX('Auxiliar Resultados'!$C$9:$BO$50,MATCH($B13,'Auxiliar Resultados'!$B$9:$B$50,0),MATCH(CONCATENATE($C13,G$7),'Auxiliar Resultados'!$C$6:$BO$6,0)),""))=0,"",IF($B13="","",IFERROR(INDEX('Auxiliar Resultados'!$C$9:$BO$50,MATCH($B13,'Auxiliar Resultados'!$B$9:$B$50,0),MATCH(CONCATENATE($C13,G$7),'Auxiliar Resultados'!$C$6:$BO$6,0)),"")))</f>
        <v/>
      </c>
      <c r="H13" s="52" t="str">
        <f>+IF(IF($B13="","",IFERROR(INDEX('Auxiliar Resultados'!$C$9:$BO$50,MATCH($B13,'Auxiliar Resultados'!$B$9:$B$50,0),MATCH(CONCATENATE($C13,H$7),'Auxiliar Resultados'!$C$6:$BO$6,0)),""))=0,"",IF($B13="","",IFERROR(INDEX('Auxiliar Resultados'!$C$9:$BO$50,MATCH($B13,'Auxiliar Resultados'!$B$9:$B$50,0),MATCH(CONCATENATE($C13,H$7),'Auxiliar Resultados'!$C$6:$BO$6,0)),"")))</f>
        <v/>
      </c>
      <c r="I13" s="52" t="str">
        <f>+IF(IF($B13="","",IFERROR(INDEX('Auxiliar Resultados'!$C$9:$BO$50,MATCH($B13,'Auxiliar Resultados'!$B$9:$B$50,0),MATCH(CONCATENATE($C13,I$7),'Auxiliar Resultados'!$C$6:$BO$6,0)),""))=0,"",IF($B13="","",IFERROR(INDEX('Auxiliar Resultados'!$C$9:$BO$50,MATCH($B13,'Auxiliar Resultados'!$B$9:$B$50,0),MATCH(CONCATENATE($C13,I$7),'Auxiliar Resultados'!$C$6:$BO$6,0)),"")))</f>
        <v/>
      </c>
      <c r="J13" s="52" t="str">
        <f>+IF(IF($B13="","",IFERROR(INDEX('Auxiliar Resultados'!$C$9:$BO$50,MATCH($B13,'Auxiliar Resultados'!$B$9:$B$50,0),MATCH(CONCATENATE($C13,J$7),'Auxiliar Resultados'!$C$6:$BO$6,0)),""))=0,"",IF($B13="","",IFERROR(INDEX('Auxiliar Resultados'!$C$9:$BO$50,MATCH($B13,'Auxiliar Resultados'!$B$9:$B$50,0),MATCH(CONCATENATE($C13,J$7),'Auxiliar Resultados'!$C$6:$BO$6,0)),"")))</f>
        <v/>
      </c>
      <c r="K13" s="52" t="str">
        <f>+IF(IF($B13="","",IFERROR(INDEX('Auxiliar Resultados'!$C$9:$BO$50,MATCH($B13,'Auxiliar Resultados'!$B$9:$B$50,0),MATCH(CONCATENATE($C13,K$7),'Auxiliar Resultados'!$C$6:$BO$6,0)),""))=0,"",IF($B13="","",IFERROR(INDEX('Auxiliar Resultados'!$C$9:$BO$50,MATCH($B13,'Auxiliar Resultados'!$B$9:$B$50,0),MATCH(CONCATENATE($C13,K$7),'Auxiliar Resultados'!$C$6:$BO$6,0)),"")))</f>
        <v/>
      </c>
      <c r="L13" s="52" t="str">
        <f>+IF(IF($B13="","",IFERROR(INDEX('Auxiliar Resultados'!$C$9:$BO$50,MATCH($B13,'Auxiliar Resultados'!$B$9:$B$50,0),MATCH(CONCATENATE($C13,L$7),'Auxiliar Resultados'!$C$6:$BO$6,0)),""))=0,"",IF($B13="","",IFERROR(INDEX('Auxiliar Resultados'!$C$9:$BO$50,MATCH($B13,'Auxiliar Resultados'!$B$9:$B$50,0),MATCH(CONCATENATE($C13,L$7),'Auxiliar Resultados'!$C$6:$BO$6,0)),"")))</f>
        <v/>
      </c>
      <c r="M13" s="52" t="str">
        <f>+IF(IF($B13="","",IFERROR(INDEX('Auxiliar Resultados'!$C$9:$BO$50,MATCH($B13,'Auxiliar Resultados'!$B$9:$B$50,0),MATCH(CONCATENATE($C13,M$7),'Auxiliar Resultados'!$C$6:$BO$6,0)),""))=0,"",IF($B13="","",IFERROR(INDEX('Auxiliar Resultados'!$C$9:$BO$50,MATCH($B13,'Auxiliar Resultados'!$B$9:$B$50,0),MATCH(CONCATENATE($C13,M$7),'Auxiliar Resultados'!$C$6:$BO$6,0)),"")))</f>
        <v/>
      </c>
      <c r="N13" s="52" t="str">
        <f>+IF(IF($B13="","",IFERROR(INDEX('Auxiliar Resultados'!$C$9:$BO$50,MATCH($B13,'Auxiliar Resultados'!$B$9:$B$50,0),MATCH(CONCATENATE($C13,N$7),'Auxiliar Resultados'!$C$6:$BO$6,0)),""))=0,"",IF($B13="","",IFERROR(INDEX('Auxiliar Resultados'!$C$9:$BO$50,MATCH($B13,'Auxiliar Resultados'!$B$9:$B$50,0),MATCH(CONCATENATE($C13,N$7),'Auxiliar Resultados'!$C$6:$BO$6,0)),"")))</f>
        <v/>
      </c>
      <c r="O13" s="52" t="str">
        <f>+IF(IF($B13="","",IFERROR(INDEX('Auxiliar Resultados'!$C$9:$BO$50,MATCH($B13,'Auxiliar Resultados'!$B$9:$B$50,0),MATCH(CONCATENATE($C13,O$7),'Auxiliar Resultados'!$C$6:$BO$6,0)),""))=0,"",IF($B13="","",IFERROR(INDEX('Auxiliar Resultados'!$C$9:$BO$50,MATCH($B13,'Auxiliar Resultados'!$B$9:$B$50,0),MATCH(CONCATENATE($C13,O$7),'Auxiliar Resultados'!$C$6:$BO$6,0)),"")))</f>
        <v/>
      </c>
      <c r="P13" s="52" t="str">
        <f>+IF(IF($B13="","",IFERROR(INDEX('Auxiliar Resultados'!$C$9:$BO$50,MATCH($B13,'Auxiliar Resultados'!$B$9:$B$50,0),MATCH(CONCATENATE($C13,P$7),'Auxiliar Resultados'!$C$6:$BO$6,0)),""))=0,"",IF($B13="","",IFERROR(INDEX('Auxiliar Resultados'!$C$9:$BO$50,MATCH($B13,'Auxiliar Resultados'!$B$9:$B$50,0),MATCH(CONCATENATE($C13,P$7),'Auxiliar Resultados'!$C$6:$BO$6,0)),"")))</f>
        <v/>
      </c>
      <c r="Q13" s="52" t="str">
        <f>+IF(IF($B13="","",IFERROR(INDEX('Auxiliar Resultados'!$C$9:$BO$50,MATCH($B13,'Auxiliar Resultados'!$B$9:$B$50,0),MATCH(CONCATENATE($C13,Q$7),'Auxiliar Resultados'!$C$6:$BO$6,0)),""))=0,"",IF($B13="","",IFERROR(INDEX('Auxiliar Resultados'!$C$9:$BO$50,MATCH($B13,'Auxiliar Resultados'!$B$9:$B$50,0),MATCH(CONCATENATE($C13,Q$7),'Auxiliar Resultados'!$C$6:$BO$6,0)),"")))</f>
        <v/>
      </c>
      <c r="R13" s="52" t="str">
        <f>+IF(IF($B13="","",IFERROR(INDEX('Auxiliar Resultados'!$C$9:$BO$50,MATCH($B13,'Auxiliar Resultados'!$B$9:$B$50,0),MATCH(CONCATENATE($C13,R$7),'Auxiliar Resultados'!$C$6:$BO$6,0)),""))=0,"",IF($B13="","",IFERROR(INDEX('Auxiliar Resultados'!$C$9:$BO$50,MATCH($B13,'Auxiliar Resultados'!$B$9:$B$50,0),MATCH(CONCATENATE($C13,R$7),'Auxiliar Resultados'!$C$6:$BO$6,0)),"")))</f>
        <v/>
      </c>
      <c r="S13" s="52" t="str">
        <f>+IF(IF($B13="","",IFERROR(INDEX('Auxiliar Resultados'!$C$9:$BO$50,MATCH($B13,'Auxiliar Resultados'!$B$9:$B$50,0),MATCH(CONCATENATE($C13,S$7),'Auxiliar Resultados'!$C$6:$BO$6,0)),""))=0,"",IF($B13="","",IFERROR(INDEX('Auxiliar Resultados'!$C$9:$BO$50,MATCH($B13,'Auxiliar Resultados'!$B$9:$B$50,0),MATCH(CONCATENATE($C13,S$7),'Auxiliar Resultados'!$C$6:$BO$6,0)),"")))</f>
        <v/>
      </c>
      <c r="T13" s="52" t="str">
        <f>+IF(IF($B13="","",IFERROR(INDEX('Auxiliar Resultados'!$C$9:$BO$50,MATCH($B13,'Auxiliar Resultados'!$B$9:$B$50,0),MATCH(CONCATENATE($C13,T$7),'Auxiliar Resultados'!$C$6:$BO$6,0)),""))=0,"",IF($B13="","",IFERROR(INDEX('Auxiliar Resultados'!$C$9:$BO$50,MATCH($B13,'Auxiliar Resultados'!$B$9:$B$50,0),MATCH(CONCATENATE($C13,T$7),'Auxiliar Resultados'!$C$6:$BO$6,0)),"")))</f>
        <v/>
      </c>
      <c r="U13" s="52" t="str">
        <f>+IF(IF($B13="","",IFERROR(INDEX('Auxiliar Resultados'!$C$9:$BO$50,MATCH($B13,'Auxiliar Resultados'!$B$9:$B$50,0),MATCH(CONCATENATE($C13,U$7),'Auxiliar Resultados'!$C$6:$BO$6,0)),""))=0,"",IF($B13="","",IFERROR(INDEX('Auxiliar Resultados'!$C$9:$BO$50,MATCH($B13,'Auxiliar Resultados'!$B$9:$B$50,0),MATCH(CONCATENATE($C13,U$7),'Auxiliar Resultados'!$C$6:$BO$6,0)),"")))</f>
        <v/>
      </c>
      <c r="V13" s="52" t="str">
        <f>+IF(IF($B13="","",IFERROR(INDEX('Auxiliar Resultados'!$C$9:$BO$50,MATCH($B13,'Auxiliar Resultados'!$B$9:$B$50,0),MATCH(CONCATENATE($C13,V$7),'Auxiliar Resultados'!$C$6:$BO$6,0)),""))=0,"",IF($B13="","",IFERROR(INDEX('Auxiliar Resultados'!$C$9:$BO$50,MATCH($B13,'Auxiliar Resultados'!$B$9:$B$50,0),MATCH(CONCATENATE($C13,V$7),'Auxiliar Resultados'!$C$6:$BO$6,0)),"")))</f>
        <v/>
      </c>
      <c r="W13" s="52" t="str">
        <f>+IF(IF($B13="","",IFERROR(INDEX('Auxiliar Resultados'!$C$9:$BO$50,MATCH($B13,'Auxiliar Resultados'!$B$9:$B$50,0),MATCH(CONCATENATE($C13,W$7),'Auxiliar Resultados'!$C$6:$BO$6,0)),""))=0,"",IF($B13="","",IFERROR(INDEX('Auxiliar Resultados'!$C$9:$BO$50,MATCH($B13,'Auxiliar Resultados'!$B$9:$B$50,0),MATCH(CONCATENATE($C13,W$7),'Auxiliar Resultados'!$C$6:$BO$6,0)),"")))</f>
        <v/>
      </c>
      <c r="X13" s="52" t="str">
        <f>+IF(IF($B13="","",IFERROR(INDEX('Auxiliar Resultados'!$C$9:$BO$50,MATCH($B13,'Auxiliar Resultados'!$B$9:$B$50,0),MATCH(CONCATENATE($C13,X$7),'Auxiliar Resultados'!$C$6:$BO$6,0)),""))=0,"",IF($B13="","",IFERROR(INDEX('Auxiliar Resultados'!$C$9:$BO$50,MATCH($B13,'Auxiliar Resultados'!$B$9:$B$50,0),MATCH(CONCATENATE($C13,X$7),'Auxiliar Resultados'!$C$6:$BO$6,0)),"")))</f>
        <v/>
      </c>
      <c r="Y13" s="52" t="str">
        <f>+IF(IF($B13="","",IFERROR(INDEX('Auxiliar Resultados'!$C$9:$BO$50,MATCH($B13,'Auxiliar Resultados'!$B$9:$B$50,0),MATCH(CONCATENATE($C13,Y$7),'Auxiliar Resultados'!$C$6:$BO$6,0)),""))=0,"",IF($B13="","",IFERROR(INDEX('Auxiliar Resultados'!$C$9:$BO$50,MATCH($B13,'Auxiliar Resultados'!$B$9:$B$50,0),MATCH(CONCATENATE($C13,Y$7),'Auxiliar Resultados'!$C$6:$BO$6,0)),"")))</f>
        <v/>
      </c>
      <c r="Z13" s="52" t="str">
        <f>+IF(IF($B13="","",IFERROR(INDEX('Auxiliar Resultados'!$C$9:$BO$50,MATCH($B13,'Auxiliar Resultados'!$B$9:$B$50,0),MATCH(CONCATENATE($C13,Z$7),'Auxiliar Resultados'!$C$6:$BO$6,0)),""))=0,"",IF($B13="","",IFERROR(INDEX('Auxiliar Resultados'!$C$9:$BO$50,MATCH($B13,'Auxiliar Resultados'!$B$9:$B$50,0),MATCH(CONCATENATE($C13,Z$7),'Auxiliar Resultados'!$C$6:$BO$6,0)),"")))</f>
        <v/>
      </c>
      <c r="AA13" s="52" t="str">
        <f>+IF(IF($B13="","",IFERROR(INDEX('Auxiliar Resultados'!$C$9:$BO$50,MATCH($B13,'Auxiliar Resultados'!$B$9:$B$50,0),MATCH(CONCATENATE($C13,AA$7),'Auxiliar Resultados'!$C$6:$BO$6,0)),""))=0,"",IF($B13="","",IFERROR(INDEX('Auxiliar Resultados'!$C$9:$BO$50,MATCH($B13,'Auxiliar Resultados'!$B$9:$B$50,0),MATCH(CONCATENATE($C13,AA$7),'Auxiliar Resultados'!$C$6:$BO$6,0)),"")))</f>
        <v/>
      </c>
      <c r="AB13" s="52" t="str">
        <f>+IF(IF($B13="","",IFERROR(INDEX('Auxiliar Resultados'!$C$9:$BO$50,MATCH($B13,'Auxiliar Resultados'!$B$9:$B$50,0),MATCH(CONCATENATE($C13,AB$7),'Auxiliar Resultados'!$C$6:$BO$6,0)),""))=0,"",IF($B13="","",IFERROR(INDEX('Auxiliar Resultados'!$C$9:$BO$50,MATCH($B13,'Auxiliar Resultados'!$B$9:$B$50,0),MATCH(CONCATENATE($C13,AB$7),'Auxiliar Resultados'!$C$6:$BO$6,0)),"")))</f>
        <v/>
      </c>
      <c r="AC13" s="52" t="str">
        <f>+IF(IF($B13="","",IFERROR(INDEX('Auxiliar Resultados'!$C$9:$BO$50,MATCH($B13,'Auxiliar Resultados'!$B$9:$B$50,0),MATCH(CONCATENATE($C13,AC$7),'Auxiliar Resultados'!$C$6:$BO$6,0)),""))=0,"",IF($B13="","",IFERROR(INDEX('Auxiliar Resultados'!$C$9:$BO$50,MATCH($B13,'Auxiliar Resultados'!$B$9:$B$50,0),MATCH(CONCATENATE($C13,AC$7),'Auxiliar Resultados'!$C$6:$BO$6,0)),"")))</f>
        <v/>
      </c>
      <c r="AD13" s="52" t="str">
        <f>+IF(IF($B13="","",IFERROR(INDEX('Auxiliar Resultados'!$C$9:$BO$50,MATCH($B13,'Auxiliar Resultados'!$B$9:$B$50,0),MATCH(CONCATENATE($C13,AD$7),'Auxiliar Resultados'!$C$6:$BO$6,0)),""))=0,"",IF($B13="","",IFERROR(INDEX('Auxiliar Resultados'!$C$9:$BO$50,MATCH($B13,'Auxiliar Resultados'!$B$9:$B$50,0),MATCH(CONCATENATE($C13,AD$7),'Auxiliar Resultados'!$C$6:$BO$6,0)),"")))</f>
        <v/>
      </c>
      <c r="AE13" s="52" t="str">
        <f>+IF(IF($B13="","",IFERROR(INDEX('Auxiliar Resultados'!$C$9:$BO$50,MATCH($B13,'Auxiliar Resultados'!$B$9:$B$50,0),MATCH(CONCATENATE($C13,AE$7),'Auxiliar Resultados'!$C$6:$BO$6,0)),""))=0,"",IF($B13="","",IFERROR(INDEX('Auxiliar Resultados'!$C$9:$BO$50,MATCH($B13,'Auxiliar Resultados'!$B$9:$B$50,0),MATCH(CONCATENATE($C13,AE$7),'Auxiliar Resultados'!$C$6:$BO$6,0)),"")))</f>
        <v/>
      </c>
      <c r="AF13" s="52" t="str">
        <f>+IF(IF($B13="","",IFERROR(INDEX('Auxiliar Resultados'!$C$9:$BO$50,MATCH($B13,'Auxiliar Resultados'!$B$9:$B$50,0),MATCH(CONCATENATE($C13,AF$7),'Auxiliar Resultados'!$C$6:$BO$6,0)),""))=0,"",IF($B13="","",IFERROR(INDEX('Auxiliar Resultados'!$C$9:$BO$50,MATCH($B13,'Auxiliar Resultados'!$B$9:$B$50,0),MATCH(CONCATENATE($C13,AF$7),'Auxiliar Resultados'!$C$6:$BO$6,0)),"")))</f>
        <v/>
      </c>
      <c r="AG13" s="52" t="str">
        <f>+IF(IF($B13="","",IFERROR(INDEX('Auxiliar Resultados'!$C$9:$BO$50,MATCH($B13,'Auxiliar Resultados'!$B$9:$B$50,0),MATCH(CONCATENATE($C13,AG$7),'Auxiliar Resultados'!$C$6:$BO$6,0)),""))=0,"",IF($B13="","",IFERROR(INDEX('Auxiliar Resultados'!$C$9:$BO$50,MATCH($B13,'Auxiliar Resultados'!$B$9:$B$50,0),MATCH(CONCATENATE($C13,AG$7),'Auxiliar Resultados'!$C$6:$BO$6,0)),"")))</f>
        <v/>
      </c>
      <c r="AH13" s="52" t="str">
        <f>+IF(IF($B13="","",IFERROR(INDEX('Auxiliar Resultados'!$C$9:$BO$50,MATCH($B13,'Auxiliar Resultados'!$B$9:$B$50,0),MATCH(CONCATENATE($C13,AH$7),'Auxiliar Resultados'!$C$6:$BO$6,0)),""))=0,"",IF($B13="","",IFERROR(INDEX('Auxiliar Resultados'!$C$9:$BO$50,MATCH($B13,'Auxiliar Resultados'!$B$9:$B$50,0),MATCH(CONCATENATE($C13,AH$7),'Auxiliar Resultados'!$C$6:$BO$6,0)),"")))</f>
        <v/>
      </c>
      <c r="AI13" s="52" t="str">
        <f>+IF(IF($B13="","",IFERROR(INDEX('Auxiliar Resultados'!$C$9:$BO$50,MATCH($B13,'Auxiliar Resultados'!$B$9:$B$50,0),MATCH(CONCATENATE($C13,AI$7),'Auxiliar Resultados'!$C$6:$BO$6,0)),""))=0,"",IF($B13="","",IFERROR(INDEX('Auxiliar Resultados'!$C$9:$BO$50,MATCH($B13,'Auxiliar Resultados'!$B$9:$B$50,0),MATCH(CONCATENATE($C13,AI$7),'Auxiliar Resultados'!$C$6:$BO$6,0)),"")))</f>
        <v/>
      </c>
      <c r="AJ13" s="52" t="str">
        <f>+IF(IF($B13="","",IFERROR(INDEX('Auxiliar Resultados'!$C$9:$BO$50,MATCH($B13,'Auxiliar Resultados'!$B$9:$B$50,0),MATCH(CONCATENATE($C13,AJ$7),'Auxiliar Resultados'!$C$6:$BO$6,0)),""))=0,"",IF($B13="","",IFERROR(INDEX('Auxiliar Resultados'!$C$9:$BO$50,MATCH($B13,'Auxiliar Resultados'!$B$9:$B$50,0),MATCH(CONCATENATE($C13,AJ$7),'Auxiliar Resultados'!$C$6:$BO$6,0)),"")))</f>
        <v/>
      </c>
      <c r="AK13" s="52" t="str">
        <f>+IF(IF($B13="","",IFERROR(INDEX('Auxiliar Resultados'!$C$9:$BO$50,MATCH($B13,'Auxiliar Resultados'!$B$9:$B$50,0),MATCH(CONCATENATE($C13,AK$7),'Auxiliar Resultados'!$C$6:$BO$6,0)),""))=0,"",IF($B13="","",IFERROR(INDEX('Auxiliar Resultados'!$C$9:$BO$50,MATCH($B13,'Auxiliar Resultados'!$B$9:$B$50,0),MATCH(CONCATENATE($C13,AK$7),'Auxiliar Resultados'!$C$6:$BO$6,0)),"")))</f>
        <v/>
      </c>
      <c r="AL13" s="52" t="str">
        <f>+IF(IF($B13="","",IFERROR(INDEX('Auxiliar Resultados'!$C$9:$BO$50,MATCH($B13,'Auxiliar Resultados'!$B$9:$B$50,0),MATCH(CONCATENATE($C13,AL$7),'Auxiliar Resultados'!$C$6:$BO$6,0)),""))=0,"",IF($B13="","",IFERROR(INDEX('Auxiliar Resultados'!$C$9:$BO$50,MATCH($B13,'Auxiliar Resultados'!$B$9:$B$50,0),MATCH(CONCATENATE($C13,AL$7),'Auxiliar Resultados'!$C$6:$BO$6,0)),"")))</f>
        <v/>
      </c>
      <c r="AM13" s="52" t="str">
        <f>+IF(IF($B13="","",IFERROR(INDEX('Auxiliar Resultados'!$C$9:$BO$50,MATCH($B13,'Auxiliar Resultados'!$B$9:$B$50,0),MATCH(CONCATENATE($C13,AM$7),'Auxiliar Resultados'!$C$6:$BO$6,0)),""))=0,"",IF($B13="","",IFERROR(INDEX('Auxiliar Resultados'!$C$9:$BO$50,MATCH($B13,'Auxiliar Resultados'!$B$9:$B$50,0),MATCH(CONCATENATE($C13,AM$7),'Auxiliar Resultados'!$C$6:$BO$6,0)),"")))</f>
        <v/>
      </c>
      <c r="AN13" s="52" t="str">
        <f>+IF(IF($B13="","",IFERROR(INDEX('Auxiliar Resultados'!$C$9:$BO$50,MATCH($B13,'Auxiliar Resultados'!$B$9:$B$50,0),MATCH(CONCATENATE($C13,AN$7),'Auxiliar Resultados'!$C$6:$BO$6,0)),""))=0,"",IF($B13="","",IFERROR(INDEX('Auxiliar Resultados'!$C$9:$BO$50,MATCH($B13,'Auxiliar Resultados'!$B$9:$B$50,0),MATCH(CONCATENATE($C13,AN$7),'Auxiliar Resultados'!$C$6:$BO$6,0)),"")))</f>
        <v/>
      </c>
      <c r="AO13" s="52" t="str">
        <f>+IF(IF($B13="","",IFERROR(INDEX('Auxiliar Resultados'!$C$9:$BO$50,MATCH($B13,'Auxiliar Resultados'!$B$9:$B$50,0),MATCH(CONCATENATE($C13,AO$7),'Auxiliar Resultados'!$C$6:$BO$6,0)),""))=0,"",IF($B13="","",IFERROR(INDEX('Auxiliar Resultados'!$C$9:$BO$50,MATCH($B13,'Auxiliar Resultados'!$B$9:$B$50,0),MATCH(CONCATENATE($C13,AO$7),'Auxiliar Resultados'!$C$6:$BO$6,0)),"")))</f>
        <v/>
      </c>
      <c r="AP13" s="52" t="str">
        <f>+IF(IF($B13="","",IFERROR(INDEX('Auxiliar Resultados'!$C$9:$BO$50,MATCH($B13,'Auxiliar Resultados'!$B$9:$B$50,0),MATCH(CONCATENATE($C13,AP$7),'Auxiliar Resultados'!$C$6:$BO$6,0)),""))=0,"",IF($B13="","",IFERROR(INDEX('Auxiliar Resultados'!$C$9:$BO$50,MATCH($B13,'Auxiliar Resultados'!$B$9:$B$50,0),MATCH(CONCATENATE($C13,AP$7),'Auxiliar Resultados'!$C$6:$BO$6,0)),"")))</f>
        <v/>
      </c>
      <c r="AQ13" s="276" t="str">
        <f>+IF(IF($B13="","",IFERROR(INDEX('Auxiliar Resultados'!$C$9:$BO$50,MATCH($B13,'Auxiliar Resultados'!$B$9:$B$50,0),MATCH(CONCATENATE($C13,AQ$7),'Auxiliar Resultados'!$C$6:$BO$6,0)),""))=0,"",IF($B13="","",IFERROR(INDEX('Auxiliar Resultados'!$C$9:$BO$50,MATCH($B13,'Auxiliar Resultados'!$B$9:$B$50,0),MATCH(CONCATENATE($C13,AQ$7),'Auxiliar Resultados'!$C$6:$BO$6,0)),"")))</f>
        <v/>
      </c>
      <c r="AS13" s="46" t="str">
        <f t="shared" si="5"/>
        <v/>
      </c>
      <c r="AT13" s="292" t="str">
        <f t="shared" si="6"/>
        <v/>
      </c>
      <c r="AU13" s="36" t="str">
        <f>+IF(G13="","",INDEX('Modelo Optimización'!$AZ$4:$CO$149,MATCH(CONCATENATE(AU$7,$AT13),'Modelo Optimización'!$CQ$4:$CQ$149,0),MATCH($AS13,'Modelo Optimización'!$AZ$3:$CO$3,0)))</f>
        <v/>
      </c>
      <c r="AV13" s="32" t="str">
        <f>+IF(H13="","",INDEX('Modelo Optimización'!$AZ$4:$CO$149,MATCH(CONCATENATE(AV$7,$AT13),'Modelo Optimización'!$CQ$4:$CQ$149,0),MATCH($AS13,'Modelo Optimización'!$AZ$3:$CO$3,0)))</f>
        <v/>
      </c>
      <c r="AW13" s="32" t="str">
        <f>+IF(I13="","",INDEX('Modelo Optimización'!$AZ$4:$CO$149,MATCH(CONCATENATE(AW$7,$AT13),'Modelo Optimización'!$CQ$4:$CQ$149,0),MATCH($AS13,'Modelo Optimización'!$AZ$3:$CO$3,0)))</f>
        <v/>
      </c>
      <c r="AX13" s="32" t="str">
        <f>+IF(J13="","",INDEX('Modelo Optimización'!$AZ$4:$CO$149,MATCH(CONCATENATE(AX$7,$AT13),'Modelo Optimización'!$CQ$4:$CQ$149,0),MATCH($AS13,'Modelo Optimización'!$AZ$3:$CO$3,0)))</f>
        <v/>
      </c>
      <c r="AY13" s="32" t="str">
        <f>+IF(K13="","",INDEX('Modelo Optimización'!$AZ$4:$CO$149,MATCH(CONCATENATE(AY$7,$AT13),'Modelo Optimización'!$CQ$4:$CQ$149,0),MATCH($AS13,'Modelo Optimización'!$AZ$3:$CO$3,0)))</f>
        <v/>
      </c>
      <c r="AZ13" s="32" t="str">
        <f>+IF(L13="","",INDEX('Modelo Optimización'!$AZ$4:$CO$149,MATCH(CONCATENATE(AZ$7,$AT13),'Modelo Optimización'!$CQ$4:$CQ$149,0),MATCH($AS13,'Modelo Optimización'!$AZ$3:$CO$3,0)))</f>
        <v/>
      </c>
      <c r="BA13" s="32" t="str">
        <f>+IF(M13="","",INDEX('Modelo Optimización'!$AZ$4:$CO$149,MATCH(CONCATENATE(BA$7,$AT13),'Modelo Optimización'!$CQ$4:$CQ$149,0),MATCH($AS13,'Modelo Optimización'!$AZ$3:$CO$3,0)))</f>
        <v/>
      </c>
      <c r="BB13" s="32" t="str">
        <f>+IF(N13="","",INDEX('Modelo Optimización'!$AZ$4:$CO$149,MATCH(CONCATENATE(BB$7,$AT13),'Modelo Optimización'!$CQ$4:$CQ$149,0),MATCH($AS13,'Modelo Optimización'!$AZ$3:$CO$3,0)))</f>
        <v/>
      </c>
      <c r="BC13" s="32" t="str">
        <f>+IF(O13="","",INDEX('Modelo Optimización'!$AZ$4:$CO$149,MATCH(CONCATENATE(BC$7,$AT13),'Modelo Optimización'!$CQ$4:$CQ$149,0),MATCH($AS13,'Modelo Optimización'!$AZ$3:$CO$3,0)))</f>
        <v/>
      </c>
      <c r="BD13" s="32" t="str">
        <f>+IF(P13="","",INDEX('Modelo Optimización'!$AZ$4:$CO$149,MATCH(CONCATENATE(BD$7,$AT13),'Modelo Optimización'!$CQ$4:$CQ$149,0),MATCH($AS13,'Modelo Optimización'!$AZ$3:$CO$3,0)))</f>
        <v/>
      </c>
      <c r="BE13" s="32" t="str">
        <f>+IF(Q13="","",INDEX('Modelo Optimización'!$AZ$4:$CO$149,MATCH(CONCATENATE(BE$7,$AT13),'Modelo Optimización'!$CQ$4:$CQ$149,0),MATCH($AS13,'Modelo Optimización'!$AZ$3:$CO$3,0)))</f>
        <v/>
      </c>
      <c r="BF13" s="32" t="str">
        <f>+IF(R13="","",INDEX('Modelo Optimización'!$AZ$4:$CO$149,MATCH(CONCATENATE(BF$7,$AT13),'Modelo Optimización'!$CQ$4:$CQ$149,0),MATCH($AS13,'Modelo Optimización'!$AZ$3:$CO$3,0)))</f>
        <v/>
      </c>
      <c r="BG13" s="32" t="str">
        <f>+IF(S13="","",INDEX('Modelo Optimización'!$AZ$4:$CO$149,MATCH(CONCATENATE(BG$7,$AT13),'Modelo Optimización'!$CQ$4:$CQ$149,0),MATCH($AS13,'Modelo Optimización'!$AZ$3:$CO$3,0)))</f>
        <v/>
      </c>
      <c r="BH13" s="32" t="str">
        <f>+IF(T13="","",INDEX('Modelo Optimización'!$AZ$4:$CO$149,MATCH(CONCATENATE(BH$7,$AT13),'Modelo Optimización'!$CQ$4:$CQ$149,0),MATCH($AS13,'Modelo Optimización'!$AZ$3:$CO$3,0)))</f>
        <v/>
      </c>
      <c r="BI13" s="32" t="str">
        <f>+IF(U13="","",INDEX('Modelo Optimización'!$AZ$4:$CO$149,MATCH(CONCATENATE(BI$7,$AT13),'Modelo Optimización'!$CQ$4:$CQ$149,0),MATCH($AS13,'Modelo Optimización'!$AZ$3:$CO$3,0)))</f>
        <v/>
      </c>
      <c r="BJ13" s="32" t="str">
        <f>+IF(V13="","",INDEX('Modelo Optimización'!$AZ$4:$CO$149,MATCH(CONCATENATE(BJ$7,$AT13),'Modelo Optimización'!$CQ$4:$CQ$149,0),MATCH($AS13,'Modelo Optimización'!$AZ$3:$CO$3,0)))</f>
        <v/>
      </c>
      <c r="BK13" s="32" t="str">
        <f>+IF(W13="","",INDEX('Modelo Optimización'!$AZ$4:$CO$149,MATCH(CONCATENATE(BK$7,$AT13),'Modelo Optimización'!$CQ$4:$CQ$149,0),MATCH($AS13,'Modelo Optimización'!$AZ$3:$CO$3,0)))</f>
        <v/>
      </c>
      <c r="BL13" s="32" t="str">
        <f>+IF(X13="","",INDEX('Modelo Optimización'!$AZ$4:$CO$149,MATCH(CONCATENATE(BL$7,$AT13),'Modelo Optimización'!$CQ$4:$CQ$149,0),MATCH($AS13,'Modelo Optimización'!$AZ$3:$CO$3,0)))</f>
        <v/>
      </c>
      <c r="BM13" s="32" t="str">
        <f>+IF(Y13="","",INDEX('Modelo Optimización'!$AZ$4:$CO$149,MATCH(CONCATENATE(BM$7,$AT13),'Modelo Optimización'!$CQ$4:$CQ$149,0),MATCH($AS13,'Modelo Optimización'!$AZ$3:$CO$3,0)))</f>
        <v/>
      </c>
      <c r="BN13" s="32" t="str">
        <f>+IF(Z13="","",INDEX('Modelo Optimización'!$AZ$4:$CO$149,MATCH(CONCATENATE(BN$7,$AT13),'Modelo Optimización'!$CQ$4:$CQ$149,0),MATCH($AS13,'Modelo Optimización'!$AZ$3:$CO$3,0)))</f>
        <v/>
      </c>
      <c r="BO13" s="32" t="str">
        <f>+IF(AA13="","",INDEX('Modelo Optimización'!$AZ$4:$CO$149,MATCH(CONCATENATE(BO$7,$AT13),'Modelo Optimización'!$CQ$4:$CQ$149,0),MATCH($AS13,'Modelo Optimización'!$AZ$3:$CO$3,0)))</f>
        <v/>
      </c>
      <c r="BP13" s="32" t="str">
        <f>+IF(AB13="","",INDEX('Modelo Optimización'!$AZ$4:$CO$149,MATCH(CONCATENATE(BP$7,$AT13),'Modelo Optimización'!$CQ$4:$CQ$149,0),MATCH($AS13,'Modelo Optimización'!$AZ$3:$CO$3,0)))</f>
        <v/>
      </c>
      <c r="BQ13" s="32" t="str">
        <f>+IF(AC13="","",INDEX('Modelo Optimización'!$AZ$4:$CO$149,MATCH(CONCATENATE(BQ$7,$AT13),'Modelo Optimización'!$CQ$4:$CQ$149,0),MATCH($AS13,'Modelo Optimización'!$AZ$3:$CO$3,0)))</f>
        <v/>
      </c>
      <c r="BR13" s="32" t="str">
        <f>+IF(AD13="","",INDEX('Modelo Optimización'!$AZ$4:$CO$149,MATCH(CONCATENATE(BR$7,$AT13),'Modelo Optimización'!$CQ$4:$CQ$149,0),MATCH($AS13,'Modelo Optimización'!$AZ$3:$CO$3,0)))</f>
        <v/>
      </c>
      <c r="BS13" s="32" t="str">
        <f>+IF(AE13="","",INDEX('Modelo Optimización'!$AZ$4:$CO$149,MATCH(CONCATENATE(BS$7,$AT13),'Modelo Optimización'!$CQ$4:$CQ$149,0),MATCH($AS13,'Modelo Optimización'!$AZ$3:$CO$3,0)))</f>
        <v/>
      </c>
      <c r="BT13" s="32" t="str">
        <f>+IF(AF13="","",INDEX('Modelo Optimización'!$AZ$4:$CO$149,MATCH(CONCATENATE(BT$7,$AT13),'Modelo Optimización'!$CQ$4:$CQ$149,0),MATCH($AS13,'Modelo Optimización'!$AZ$3:$CO$3,0)))</f>
        <v/>
      </c>
      <c r="BU13" s="32" t="str">
        <f>+IF(AG13="","",INDEX('Modelo Optimización'!$AZ$4:$CO$149,MATCH(CONCATENATE(BU$7,$AT13),'Modelo Optimización'!$CQ$4:$CQ$149,0),MATCH($AS13,'Modelo Optimización'!$AZ$3:$CO$3,0)))</f>
        <v/>
      </c>
      <c r="BV13" s="32" t="str">
        <f>+IF(AH13="","",INDEX('Modelo Optimización'!$AZ$4:$CO$149,MATCH(CONCATENATE(BV$7,$AT13),'Modelo Optimización'!$CQ$4:$CQ$149,0),MATCH($AS13,'Modelo Optimización'!$AZ$3:$CO$3,0)))</f>
        <v/>
      </c>
      <c r="BW13" s="32" t="str">
        <f>+IF(AI13="","",INDEX('Modelo Optimización'!$AZ$4:$CO$149,MATCH(CONCATENATE(BW$7,$AT13),'Modelo Optimización'!$CQ$4:$CQ$149,0),MATCH($AS13,'Modelo Optimización'!$AZ$3:$CO$3,0)))</f>
        <v/>
      </c>
      <c r="BX13" s="32" t="str">
        <f>+IF(AJ13="","",INDEX('Modelo Optimización'!$AZ$4:$CO$149,MATCH(CONCATENATE(BX$7,$AT13),'Modelo Optimización'!$CQ$4:$CQ$149,0),MATCH($AS13,'Modelo Optimización'!$AZ$3:$CO$3,0)))</f>
        <v/>
      </c>
      <c r="BY13" s="32" t="str">
        <f>+IF(AK13="","",INDEX('Modelo Optimización'!$AZ$4:$CO$149,MATCH(CONCATENATE(BY$7,$AT13),'Modelo Optimización'!$CQ$4:$CQ$149,0),MATCH($AS13,'Modelo Optimización'!$AZ$3:$CO$3,0)))</f>
        <v/>
      </c>
      <c r="BZ13" s="32" t="str">
        <f>+IF(AL13="","",INDEX('Modelo Optimización'!$AZ$4:$CO$149,MATCH(CONCATENATE(BZ$7,$AT13),'Modelo Optimización'!$CQ$4:$CQ$149,0),MATCH($AS13,'Modelo Optimización'!$AZ$3:$CO$3,0)))</f>
        <v/>
      </c>
      <c r="CA13" s="32" t="str">
        <f>+IF(AM13="","",INDEX('Modelo Optimización'!$AZ$4:$CO$149,MATCH(CONCATENATE(CA$7,$AT13),'Modelo Optimización'!$CQ$4:$CQ$149,0),MATCH($AS13,'Modelo Optimización'!$AZ$3:$CO$3,0)))</f>
        <v/>
      </c>
      <c r="CB13" s="32" t="str">
        <f>+IF(AN13="","",INDEX('Modelo Optimización'!$AZ$4:$CO$149,MATCH(CONCATENATE(CB$7,$AT13),'Modelo Optimización'!$CQ$4:$CQ$149,0),MATCH($AS13,'Modelo Optimización'!$AZ$3:$CO$3,0)))</f>
        <v/>
      </c>
      <c r="CC13" s="32" t="str">
        <f>+IF(AO13="","",INDEX('Modelo Optimización'!$AZ$4:$CO$149,MATCH(CONCATENATE(CC$7,$AT13),'Modelo Optimización'!$CQ$4:$CQ$149,0),MATCH($AS13,'Modelo Optimización'!$AZ$3:$CO$3,0)))</f>
        <v/>
      </c>
      <c r="CD13" s="32" t="str">
        <f>+IF(AP13="","",INDEX('Modelo Optimización'!$AZ$4:$CO$149,MATCH(CONCATENATE(CD$7,$AT13),'Modelo Optimización'!$CQ$4:$CQ$149,0),MATCH($AS13,'Modelo Optimización'!$AZ$3:$CO$3,0)))</f>
        <v/>
      </c>
      <c r="CE13" s="37" t="str">
        <f>+IF(AQ13="","",INDEX('Modelo Optimización'!$AZ$4:$CO$149,MATCH(CONCATENATE(CE$7,$AT13),'Modelo Optimización'!$CQ$4:$CQ$149,0),MATCH($AS13,'Modelo Optimización'!$AZ$3:$CO$3,0)))</f>
        <v/>
      </c>
      <c r="CF13" s="301"/>
      <c r="CG13" s="305" t="str">
        <f t="shared" si="11"/>
        <v/>
      </c>
      <c r="CH13" s="303" t="str">
        <f t="shared" si="7"/>
        <v/>
      </c>
      <c r="CI13" s="292" t="str">
        <f t="shared" si="8"/>
        <v/>
      </c>
      <c r="CJ13" s="36" t="str">
        <f t="shared" si="12"/>
        <v/>
      </c>
      <c r="CK13" s="32" t="str">
        <f t="shared" si="13"/>
        <v/>
      </c>
      <c r="CL13" s="32" t="str">
        <f t="shared" si="14"/>
        <v/>
      </c>
      <c r="CM13" s="32" t="str">
        <f t="shared" si="15"/>
        <v/>
      </c>
      <c r="CN13" s="32" t="str">
        <f t="shared" si="16"/>
        <v/>
      </c>
      <c r="CO13" s="32" t="str">
        <f t="shared" si="17"/>
        <v/>
      </c>
      <c r="CP13" s="32" t="str">
        <f t="shared" si="18"/>
        <v/>
      </c>
      <c r="CQ13" s="32" t="str">
        <f t="shared" si="19"/>
        <v/>
      </c>
      <c r="CR13" s="32" t="str">
        <f t="shared" si="20"/>
        <v/>
      </c>
      <c r="CS13" s="32" t="str">
        <f t="shared" si="21"/>
        <v/>
      </c>
      <c r="CT13" s="32" t="str">
        <f t="shared" si="22"/>
        <v/>
      </c>
      <c r="CU13" s="32" t="str">
        <f t="shared" si="23"/>
        <v/>
      </c>
      <c r="CV13" s="32" t="str">
        <f t="shared" si="24"/>
        <v/>
      </c>
      <c r="CW13" s="32" t="str">
        <f t="shared" si="25"/>
        <v/>
      </c>
      <c r="CX13" s="32" t="str">
        <f t="shared" si="26"/>
        <v/>
      </c>
      <c r="CY13" s="32" t="str">
        <f t="shared" si="27"/>
        <v/>
      </c>
      <c r="CZ13" s="32" t="str">
        <f t="shared" si="28"/>
        <v/>
      </c>
      <c r="DA13" s="32" t="str">
        <f t="shared" si="29"/>
        <v/>
      </c>
      <c r="DB13" s="32" t="str">
        <f t="shared" si="30"/>
        <v/>
      </c>
      <c r="DC13" s="32" t="str">
        <f t="shared" si="31"/>
        <v/>
      </c>
      <c r="DD13" s="32" t="str">
        <f t="shared" si="32"/>
        <v/>
      </c>
      <c r="DE13" s="32" t="str">
        <f t="shared" si="33"/>
        <v/>
      </c>
      <c r="DF13" s="32" t="str">
        <f t="shared" si="34"/>
        <v/>
      </c>
      <c r="DG13" s="32" t="str">
        <f t="shared" si="35"/>
        <v/>
      </c>
      <c r="DH13" s="32" t="str">
        <f t="shared" si="36"/>
        <v/>
      </c>
      <c r="DI13" s="32" t="str">
        <f t="shared" si="37"/>
        <v/>
      </c>
      <c r="DJ13" s="32" t="str">
        <f t="shared" si="38"/>
        <v/>
      </c>
      <c r="DK13" s="32" t="str">
        <f t="shared" si="39"/>
        <v/>
      </c>
      <c r="DL13" s="32" t="str">
        <f t="shared" si="40"/>
        <v/>
      </c>
      <c r="DM13" s="32" t="str">
        <f t="shared" si="41"/>
        <v/>
      </c>
      <c r="DN13" s="32" t="str">
        <f t="shared" si="42"/>
        <v/>
      </c>
      <c r="DO13" s="32" t="str">
        <f t="shared" si="43"/>
        <v/>
      </c>
      <c r="DP13" s="32" t="str">
        <f t="shared" si="44"/>
        <v/>
      </c>
      <c r="DQ13" s="32" t="str">
        <f t="shared" si="45"/>
        <v/>
      </c>
      <c r="DR13" s="32" t="str">
        <f t="shared" si="46"/>
        <v/>
      </c>
      <c r="DS13" s="32" t="str">
        <f t="shared" si="47"/>
        <v/>
      </c>
      <c r="DT13" s="37" t="str">
        <f t="shared" si="48"/>
        <v/>
      </c>
    </row>
    <row r="14" spans="2:124" x14ac:dyDescent="0.35">
      <c r="B14" s="46"/>
      <c r="C14" s="212"/>
      <c r="D14" s="52"/>
      <c r="E14" s="52" t="str">
        <f>+IF(B14="","",IFERROR(SUMIF('Modelo Optimización'!$AS$72:$AS$217,C14,INDEX('Modelo Optimización'!$C$72:$AR$217,,MATCH(B14,'Modelo Optimización'!$C$71:$AR$71,0))),0))</f>
        <v/>
      </c>
      <c r="F14" s="281" t="str">
        <f t="shared" si="10"/>
        <v/>
      </c>
      <c r="G14" s="280" t="str">
        <f>+IF(IF($B14="","",IFERROR(INDEX('Auxiliar Resultados'!$C$9:$BO$50,MATCH($B14,'Auxiliar Resultados'!$B$9:$B$50,0),MATCH(CONCATENATE($C14,G$7),'Auxiliar Resultados'!$C$6:$BO$6,0)),""))=0,"",IF($B14="","",IFERROR(INDEX('Auxiliar Resultados'!$C$9:$BO$50,MATCH($B14,'Auxiliar Resultados'!$B$9:$B$50,0),MATCH(CONCATENATE($C14,G$7),'Auxiliar Resultados'!$C$6:$BO$6,0)),"")))</f>
        <v/>
      </c>
      <c r="H14" s="52" t="str">
        <f>+IF(IF($B14="","",IFERROR(INDEX('Auxiliar Resultados'!$C$9:$BO$50,MATCH($B14,'Auxiliar Resultados'!$B$9:$B$50,0),MATCH(CONCATENATE($C14,H$7),'Auxiliar Resultados'!$C$6:$BO$6,0)),""))=0,"",IF($B14="","",IFERROR(INDEX('Auxiliar Resultados'!$C$9:$BO$50,MATCH($B14,'Auxiliar Resultados'!$B$9:$B$50,0),MATCH(CONCATENATE($C14,H$7),'Auxiliar Resultados'!$C$6:$BO$6,0)),"")))</f>
        <v/>
      </c>
      <c r="I14" s="52" t="str">
        <f>+IF(IF($B14="","",IFERROR(INDEX('Auxiliar Resultados'!$C$9:$BO$50,MATCH($B14,'Auxiliar Resultados'!$B$9:$B$50,0),MATCH(CONCATENATE($C14,I$7),'Auxiliar Resultados'!$C$6:$BO$6,0)),""))=0,"",IF($B14="","",IFERROR(INDEX('Auxiliar Resultados'!$C$9:$BO$50,MATCH($B14,'Auxiliar Resultados'!$B$9:$B$50,0),MATCH(CONCATENATE($C14,I$7),'Auxiliar Resultados'!$C$6:$BO$6,0)),"")))</f>
        <v/>
      </c>
      <c r="J14" s="52" t="str">
        <f>+IF(IF($B14="","",IFERROR(INDEX('Auxiliar Resultados'!$C$9:$BO$50,MATCH($B14,'Auxiliar Resultados'!$B$9:$B$50,0),MATCH(CONCATENATE($C14,J$7),'Auxiliar Resultados'!$C$6:$BO$6,0)),""))=0,"",IF($B14="","",IFERROR(INDEX('Auxiliar Resultados'!$C$9:$BO$50,MATCH($B14,'Auxiliar Resultados'!$B$9:$B$50,0),MATCH(CONCATENATE($C14,J$7),'Auxiliar Resultados'!$C$6:$BO$6,0)),"")))</f>
        <v/>
      </c>
      <c r="K14" s="52" t="str">
        <f>+IF(IF($B14="","",IFERROR(INDEX('Auxiliar Resultados'!$C$9:$BO$50,MATCH($B14,'Auxiliar Resultados'!$B$9:$B$50,0),MATCH(CONCATENATE($C14,K$7),'Auxiliar Resultados'!$C$6:$BO$6,0)),""))=0,"",IF($B14="","",IFERROR(INDEX('Auxiliar Resultados'!$C$9:$BO$50,MATCH($B14,'Auxiliar Resultados'!$B$9:$B$50,0),MATCH(CONCATENATE($C14,K$7),'Auxiliar Resultados'!$C$6:$BO$6,0)),"")))</f>
        <v/>
      </c>
      <c r="L14" s="52" t="str">
        <f>+IF(IF($B14="","",IFERROR(INDEX('Auxiliar Resultados'!$C$9:$BO$50,MATCH($B14,'Auxiliar Resultados'!$B$9:$B$50,0),MATCH(CONCATENATE($C14,L$7),'Auxiliar Resultados'!$C$6:$BO$6,0)),""))=0,"",IF($B14="","",IFERROR(INDEX('Auxiliar Resultados'!$C$9:$BO$50,MATCH($B14,'Auxiliar Resultados'!$B$9:$B$50,0),MATCH(CONCATENATE($C14,L$7),'Auxiliar Resultados'!$C$6:$BO$6,0)),"")))</f>
        <v/>
      </c>
      <c r="M14" s="52" t="str">
        <f>+IF(IF($B14="","",IFERROR(INDEX('Auxiliar Resultados'!$C$9:$BO$50,MATCH($B14,'Auxiliar Resultados'!$B$9:$B$50,0),MATCH(CONCATENATE($C14,M$7),'Auxiliar Resultados'!$C$6:$BO$6,0)),""))=0,"",IF($B14="","",IFERROR(INDEX('Auxiliar Resultados'!$C$9:$BO$50,MATCH($B14,'Auxiliar Resultados'!$B$9:$B$50,0),MATCH(CONCATENATE($C14,M$7),'Auxiliar Resultados'!$C$6:$BO$6,0)),"")))</f>
        <v/>
      </c>
      <c r="N14" s="52" t="str">
        <f>+IF(IF($B14="","",IFERROR(INDEX('Auxiliar Resultados'!$C$9:$BO$50,MATCH($B14,'Auxiliar Resultados'!$B$9:$B$50,0),MATCH(CONCATENATE($C14,N$7),'Auxiliar Resultados'!$C$6:$BO$6,0)),""))=0,"",IF($B14="","",IFERROR(INDEX('Auxiliar Resultados'!$C$9:$BO$50,MATCH($B14,'Auxiliar Resultados'!$B$9:$B$50,0),MATCH(CONCATENATE($C14,N$7),'Auxiliar Resultados'!$C$6:$BO$6,0)),"")))</f>
        <v/>
      </c>
      <c r="O14" s="52" t="str">
        <f>+IF(IF($B14="","",IFERROR(INDEX('Auxiliar Resultados'!$C$9:$BO$50,MATCH($B14,'Auxiliar Resultados'!$B$9:$B$50,0),MATCH(CONCATENATE($C14,O$7),'Auxiliar Resultados'!$C$6:$BO$6,0)),""))=0,"",IF($B14="","",IFERROR(INDEX('Auxiliar Resultados'!$C$9:$BO$50,MATCH($B14,'Auxiliar Resultados'!$B$9:$B$50,0),MATCH(CONCATENATE($C14,O$7),'Auxiliar Resultados'!$C$6:$BO$6,0)),"")))</f>
        <v/>
      </c>
      <c r="P14" s="52" t="str">
        <f>+IF(IF($B14="","",IFERROR(INDEX('Auxiliar Resultados'!$C$9:$BO$50,MATCH($B14,'Auxiliar Resultados'!$B$9:$B$50,0),MATCH(CONCATENATE($C14,P$7),'Auxiliar Resultados'!$C$6:$BO$6,0)),""))=0,"",IF($B14="","",IFERROR(INDEX('Auxiliar Resultados'!$C$9:$BO$50,MATCH($B14,'Auxiliar Resultados'!$B$9:$B$50,0),MATCH(CONCATENATE($C14,P$7),'Auxiliar Resultados'!$C$6:$BO$6,0)),"")))</f>
        <v/>
      </c>
      <c r="Q14" s="52" t="str">
        <f>+IF(IF($B14="","",IFERROR(INDEX('Auxiliar Resultados'!$C$9:$BO$50,MATCH($B14,'Auxiliar Resultados'!$B$9:$B$50,0),MATCH(CONCATENATE($C14,Q$7),'Auxiliar Resultados'!$C$6:$BO$6,0)),""))=0,"",IF($B14="","",IFERROR(INDEX('Auxiliar Resultados'!$C$9:$BO$50,MATCH($B14,'Auxiliar Resultados'!$B$9:$B$50,0),MATCH(CONCATENATE($C14,Q$7),'Auxiliar Resultados'!$C$6:$BO$6,0)),"")))</f>
        <v/>
      </c>
      <c r="R14" s="52" t="str">
        <f>+IF(IF($B14="","",IFERROR(INDEX('Auxiliar Resultados'!$C$9:$BO$50,MATCH($B14,'Auxiliar Resultados'!$B$9:$B$50,0),MATCH(CONCATENATE($C14,R$7),'Auxiliar Resultados'!$C$6:$BO$6,0)),""))=0,"",IF($B14="","",IFERROR(INDEX('Auxiliar Resultados'!$C$9:$BO$50,MATCH($B14,'Auxiliar Resultados'!$B$9:$B$50,0),MATCH(CONCATENATE($C14,R$7),'Auxiliar Resultados'!$C$6:$BO$6,0)),"")))</f>
        <v/>
      </c>
      <c r="S14" s="52" t="str">
        <f>+IF(IF($B14="","",IFERROR(INDEX('Auxiliar Resultados'!$C$9:$BO$50,MATCH($B14,'Auxiliar Resultados'!$B$9:$B$50,0),MATCH(CONCATENATE($C14,S$7),'Auxiliar Resultados'!$C$6:$BO$6,0)),""))=0,"",IF($B14="","",IFERROR(INDEX('Auxiliar Resultados'!$C$9:$BO$50,MATCH($B14,'Auxiliar Resultados'!$B$9:$B$50,0),MATCH(CONCATENATE($C14,S$7),'Auxiliar Resultados'!$C$6:$BO$6,0)),"")))</f>
        <v/>
      </c>
      <c r="T14" s="52" t="str">
        <f>+IF(IF($B14="","",IFERROR(INDEX('Auxiliar Resultados'!$C$9:$BO$50,MATCH($B14,'Auxiliar Resultados'!$B$9:$B$50,0),MATCH(CONCATENATE($C14,T$7),'Auxiliar Resultados'!$C$6:$BO$6,0)),""))=0,"",IF($B14="","",IFERROR(INDEX('Auxiliar Resultados'!$C$9:$BO$50,MATCH($B14,'Auxiliar Resultados'!$B$9:$B$50,0),MATCH(CONCATENATE($C14,T$7),'Auxiliar Resultados'!$C$6:$BO$6,0)),"")))</f>
        <v/>
      </c>
      <c r="U14" s="52" t="str">
        <f>+IF(IF($B14="","",IFERROR(INDEX('Auxiliar Resultados'!$C$9:$BO$50,MATCH($B14,'Auxiliar Resultados'!$B$9:$B$50,0),MATCH(CONCATENATE($C14,U$7),'Auxiliar Resultados'!$C$6:$BO$6,0)),""))=0,"",IF($B14="","",IFERROR(INDEX('Auxiliar Resultados'!$C$9:$BO$50,MATCH($B14,'Auxiliar Resultados'!$B$9:$B$50,0),MATCH(CONCATENATE($C14,U$7),'Auxiliar Resultados'!$C$6:$BO$6,0)),"")))</f>
        <v/>
      </c>
      <c r="V14" s="52" t="str">
        <f>+IF(IF($B14="","",IFERROR(INDEX('Auxiliar Resultados'!$C$9:$BO$50,MATCH($B14,'Auxiliar Resultados'!$B$9:$B$50,0),MATCH(CONCATENATE($C14,V$7),'Auxiliar Resultados'!$C$6:$BO$6,0)),""))=0,"",IF($B14="","",IFERROR(INDEX('Auxiliar Resultados'!$C$9:$BO$50,MATCH($B14,'Auxiliar Resultados'!$B$9:$B$50,0),MATCH(CONCATENATE($C14,V$7),'Auxiliar Resultados'!$C$6:$BO$6,0)),"")))</f>
        <v/>
      </c>
      <c r="W14" s="52" t="str">
        <f>+IF(IF($B14="","",IFERROR(INDEX('Auxiliar Resultados'!$C$9:$BO$50,MATCH($B14,'Auxiliar Resultados'!$B$9:$B$50,0),MATCH(CONCATENATE($C14,W$7),'Auxiliar Resultados'!$C$6:$BO$6,0)),""))=0,"",IF($B14="","",IFERROR(INDEX('Auxiliar Resultados'!$C$9:$BO$50,MATCH($B14,'Auxiliar Resultados'!$B$9:$B$50,0),MATCH(CONCATENATE($C14,W$7),'Auxiliar Resultados'!$C$6:$BO$6,0)),"")))</f>
        <v/>
      </c>
      <c r="X14" s="52" t="str">
        <f>+IF(IF($B14="","",IFERROR(INDEX('Auxiliar Resultados'!$C$9:$BO$50,MATCH($B14,'Auxiliar Resultados'!$B$9:$B$50,0),MATCH(CONCATENATE($C14,X$7),'Auxiliar Resultados'!$C$6:$BO$6,0)),""))=0,"",IF($B14="","",IFERROR(INDEX('Auxiliar Resultados'!$C$9:$BO$50,MATCH($B14,'Auxiliar Resultados'!$B$9:$B$50,0),MATCH(CONCATENATE($C14,X$7),'Auxiliar Resultados'!$C$6:$BO$6,0)),"")))</f>
        <v/>
      </c>
      <c r="Y14" s="52" t="str">
        <f>+IF(IF($B14="","",IFERROR(INDEX('Auxiliar Resultados'!$C$9:$BO$50,MATCH($B14,'Auxiliar Resultados'!$B$9:$B$50,0),MATCH(CONCATENATE($C14,Y$7),'Auxiliar Resultados'!$C$6:$BO$6,0)),""))=0,"",IF($B14="","",IFERROR(INDEX('Auxiliar Resultados'!$C$9:$BO$50,MATCH($B14,'Auxiliar Resultados'!$B$9:$B$50,0),MATCH(CONCATENATE($C14,Y$7),'Auxiliar Resultados'!$C$6:$BO$6,0)),"")))</f>
        <v/>
      </c>
      <c r="Z14" s="52" t="str">
        <f>+IF(IF($B14="","",IFERROR(INDEX('Auxiliar Resultados'!$C$9:$BO$50,MATCH($B14,'Auxiliar Resultados'!$B$9:$B$50,0),MATCH(CONCATENATE($C14,Z$7),'Auxiliar Resultados'!$C$6:$BO$6,0)),""))=0,"",IF($B14="","",IFERROR(INDEX('Auxiliar Resultados'!$C$9:$BO$50,MATCH($B14,'Auxiliar Resultados'!$B$9:$B$50,0),MATCH(CONCATENATE($C14,Z$7),'Auxiliar Resultados'!$C$6:$BO$6,0)),"")))</f>
        <v/>
      </c>
      <c r="AA14" s="52" t="str">
        <f>+IF(IF($B14="","",IFERROR(INDEX('Auxiliar Resultados'!$C$9:$BO$50,MATCH($B14,'Auxiliar Resultados'!$B$9:$B$50,0),MATCH(CONCATENATE($C14,AA$7),'Auxiliar Resultados'!$C$6:$BO$6,0)),""))=0,"",IF($B14="","",IFERROR(INDEX('Auxiliar Resultados'!$C$9:$BO$50,MATCH($B14,'Auxiliar Resultados'!$B$9:$B$50,0),MATCH(CONCATENATE($C14,AA$7),'Auxiliar Resultados'!$C$6:$BO$6,0)),"")))</f>
        <v/>
      </c>
      <c r="AB14" s="52" t="str">
        <f>+IF(IF($B14="","",IFERROR(INDEX('Auxiliar Resultados'!$C$9:$BO$50,MATCH($B14,'Auxiliar Resultados'!$B$9:$B$50,0),MATCH(CONCATENATE($C14,AB$7),'Auxiliar Resultados'!$C$6:$BO$6,0)),""))=0,"",IF($B14="","",IFERROR(INDEX('Auxiliar Resultados'!$C$9:$BO$50,MATCH($B14,'Auxiliar Resultados'!$B$9:$B$50,0),MATCH(CONCATENATE($C14,AB$7),'Auxiliar Resultados'!$C$6:$BO$6,0)),"")))</f>
        <v/>
      </c>
      <c r="AC14" s="52" t="str">
        <f>+IF(IF($B14="","",IFERROR(INDEX('Auxiliar Resultados'!$C$9:$BO$50,MATCH($B14,'Auxiliar Resultados'!$B$9:$B$50,0),MATCH(CONCATENATE($C14,AC$7),'Auxiliar Resultados'!$C$6:$BO$6,0)),""))=0,"",IF($B14="","",IFERROR(INDEX('Auxiliar Resultados'!$C$9:$BO$50,MATCH($B14,'Auxiliar Resultados'!$B$9:$B$50,0),MATCH(CONCATENATE($C14,AC$7),'Auxiliar Resultados'!$C$6:$BO$6,0)),"")))</f>
        <v/>
      </c>
      <c r="AD14" s="52" t="str">
        <f>+IF(IF($B14="","",IFERROR(INDEX('Auxiliar Resultados'!$C$9:$BO$50,MATCH($B14,'Auxiliar Resultados'!$B$9:$B$50,0),MATCH(CONCATENATE($C14,AD$7),'Auxiliar Resultados'!$C$6:$BO$6,0)),""))=0,"",IF($B14="","",IFERROR(INDEX('Auxiliar Resultados'!$C$9:$BO$50,MATCH($B14,'Auxiliar Resultados'!$B$9:$B$50,0),MATCH(CONCATENATE($C14,AD$7),'Auxiliar Resultados'!$C$6:$BO$6,0)),"")))</f>
        <v/>
      </c>
      <c r="AE14" s="52" t="str">
        <f>+IF(IF($B14="","",IFERROR(INDEX('Auxiliar Resultados'!$C$9:$BO$50,MATCH($B14,'Auxiliar Resultados'!$B$9:$B$50,0),MATCH(CONCATENATE($C14,AE$7),'Auxiliar Resultados'!$C$6:$BO$6,0)),""))=0,"",IF($B14="","",IFERROR(INDEX('Auxiliar Resultados'!$C$9:$BO$50,MATCH($B14,'Auxiliar Resultados'!$B$9:$B$50,0),MATCH(CONCATENATE($C14,AE$7),'Auxiliar Resultados'!$C$6:$BO$6,0)),"")))</f>
        <v/>
      </c>
      <c r="AF14" s="52" t="str">
        <f>+IF(IF($B14="","",IFERROR(INDEX('Auxiliar Resultados'!$C$9:$BO$50,MATCH($B14,'Auxiliar Resultados'!$B$9:$B$50,0),MATCH(CONCATENATE($C14,AF$7),'Auxiliar Resultados'!$C$6:$BO$6,0)),""))=0,"",IF($B14="","",IFERROR(INDEX('Auxiliar Resultados'!$C$9:$BO$50,MATCH($B14,'Auxiliar Resultados'!$B$9:$B$50,0),MATCH(CONCATENATE($C14,AF$7),'Auxiliar Resultados'!$C$6:$BO$6,0)),"")))</f>
        <v/>
      </c>
      <c r="AG14" s="52" t="str">
        <f>+IF(IF($B14="","",IFERROR(INDEX('Auxiliar Resultados'!$C$9:$BO$50,MATCH($B14,'Auxiliar Resultados'!$B$9:$B$50,0),MATCH(CONCATENATE($C14,AG$7),'Auxiliar Resultados'!$C$6:$BO$6,0)),""))=0,"",IF($B14="","",IFERROR(INDEX('Auxiliar Resultados'!$C$9:$BO$50,MATCH($B14,'Auxiliar Resultados'!$B$9:$B$50,0),MATCH(CONCATENATE($C14,AG$7),'Auxiliar Resultados'!$C$6:$BO$6,0)),"")))</f>
        <v/>
      </c>
      <c r="AH14" s="52" t="str">
        <f>+IF(IF($B14="","",IFERROR(INDEX('Auxiliar Resultados'!$C$9:$BO$50,MATCH($B14,'Auxiliar Resultados'!$B$9:$B$50,0),MATCH(CONCATENATE($C14,AH$7),'Auxiliar Resultados'!$C$6:$BO$6,0)),""))=0,"",IF($B14="","",IFERROR(INDEX('Auxiliar Resultados'!$C$9:$BO$50,MATCH($B14,'Auxiliar Resultados'!$B$9:$B$50,0),MATCH(CONCATENATE($C14,AH$7),'Auxiliar Resultados'!$C$6:$BO$6,0)),"")))</f>
        <v/>
      </c>
      <c r="AI14" s="52" t="str">
        <f>+IF(IF($B14="","",IFERROR(INDEX('Auxiliar Resultados'!$C$9:$BO$50,MATCH($B14,'Auxiliar Resultados'!$B$9:$B$50,0),MATCH(CONCATENATE($C14,AI$7),'Auxiliar Resultados'!$C$6:$BO$6,0)),""))=0,"",IF($B14="","",IFERROR(INDEX('Auxiliar Resultados'!$C$9:$BO$50,MATCH($B14,'Auxiliar Resultados'!$B$9:$B$50,0),MATCH(CONCATENATE($C14,AI$7),'Auxiliar Resultados'!$C$6:$BO$6,0)),"")))</f>
        <v/>
      </c>
      <c r="AJ14" s="52" t="str">
        <f>+IF(IF($B14="","",IFERROR(INDEX('Auxiliar Resultados'!$C$9:$BO$50,MATCH($B14,'Auxiliar Resultados'!$B$9:$B$50,0),MATCH(CONCATENATE($C14,AJ$7),'Auxiliar Resultados'!$C$6:$BO$6,0)),""))=0,"",IF($B14="","",IFERROR(INDEX('Auxiliar Resultados'!$C$9:$BO$50,MATCH($B14,'Auxiliar Resultados'!$B$9:$B$50,0),MATCH(CONCATENATE($C14,AJ$7),'Auxiliar Resultados'!$C$6:$BO$6,0)),"")))</f>
        <v/>
      </c>
      <c r="AK14" s="52" t="str">
        <f>+IF(IF($B14="","",IFERROR(INDEX('Auxiliar Resultados'!$C$9:$BO$50,MATCH($B14,'Auxiliar Resultados'!$B$9:$B$50,0),MATCH(CONCATENATE($C14,AK$7),'Auxiliar Resultados'!$C$6:$BO$6,0)),""))=0,"",IF($B14="","",IFERROR(INDEX('Auxiliar Resultados'!$C$9:$BO$50,MATCH($B14,'Auxiliar Resultados'!$B$9:$B$50,0),MATCH(CONCATENATE($C14,AK$7),'Auxiliar Resultados'!$C$6:$BO$6,0)),"")))</f>
        <v/>
      </c>
      <c r="AL14" s="52" t="str">
        <f>+IF(IF($B14="","",IFERROR(INDEX('Auxiliar Resultados'!$C$9:$BO$50,MATCH($B14,'Auxiliar Resultados'!$B$9:$B$50,0),MATCH(CONCATENATE($C14,AL$7),'Auxiliar Resultados'!$C$6:$BO$6,0)),""))=0,"",IF($B14="","",IFERROR(INDEX('Auxiliar Resultados'!$C$9:$BO$50,MATCH($B14,'Auxiliar Resultados'!$B$9:$B$50,0),MATCH(CONCATENATE($C14,AL$7),'Auxiliar Resultados'!$C$6:$BO$6,0)),"")))</f>
        <v/>
      </c>
      <c r="AM14" s="52" t="str">
        <f>+IF(IF($B14="","",IFERROR(INDEX('Auxiliar Resultados'!$C$9:$BO$50,MATCH($B14,'Auxiliar Resultados'!$B$9:$B$50,0),MATCH(CONCATENATE($C14,AM$7),'Auxiliar Resultados'!$C$6:$BO$6,0)),""))=0,"",IF($B14="","",IFERROR(INDEX('Auxiliar Resultados'!$C$9:$BO$50,MATCH($B14,'Auxiliar Resultados'!$B$9:$B$50,0),MATCH(CONCATENATE($C14,AM$7),'Auxiliar Resultados'!$C$6:$BO$6,0)),"")))</f>
        <v/>
      </c>
      <c r="AN14" s="52" t="str">
        <f>+IF(IF($B14="","",IFERROR(INDEX('Auxiliar Resultados'!$C$9:$BO$50,MATCH($B14,'Auxiliar Resultados'!$B$9:$B$50,0),MATCH(CONCATENATE($C14,AN$7),'Auxiliar Resultados'!$C$6:$BO$6,0)),""))=0,"",IF($B14="","",IFERROR(INDEX('Auxiliar Resultados'!$C$9:$BO$50,MATCH($B14,'Auxiliar Resultados'!$B$9:$B$50,0),MATCH(CONCATENATE($C14,AN$7),'Auxiliar Resultados'!$C$6:$BO$6,0)),"")))</f>
        <v/>
      </c>
      <c r="AO14" s="52" t="str">
        <f>+IF(IF($B14="","",IFERROR(INDEX('Auxiliar Resultados'!$C$9:$BO$50,MATCH($B14,'Auxiliar Resultados'!$B$9:$B$50,0),MATCH(CONCATENATE($C14,AO$7),'Auxiliar Resultados'!$C$6:$BO$6,0)),""))=0,"",IF($B14="","",IFERROR(INDEX('Auxiliar Resultados'!$C$9:$BO$50,MATCH($B14,'Auxiliar Resultados'!$B$9:$B$50,0),MATCH(CONCATENATE($C14,AO$7),'Auxiliar Resultados'!$C$6:$BO$6,0)),"")))</f>
        <v/>
      </c>
      <c r="AP14" s="52" t="str">
        <f>+IF(IF($B14="","",IFERROR(INDEX('Auxiliar Resultados'!$C$9:$BO$50,MATCH($B14,'Auxiliar Resultados'!$B$9:$B$50,0),MATCH(CONCATENATE($C14,AP$7),'Auxiliar Resultados'!$C$6:$BO$6,0)),""))=0,"",IF($B14="","",IFERROR(INDEX('Auxiliar Resultados'!$C$9:$BO$50,MATCH($B14,'Auxiliar Resultados'!$B$9:$B$50,0),MATCH(CONCATENATE($C14,AP$7),'Auxiliar Resultados'!$C$6:$BO$6,0)),"")))</f>
        <v/>
      </c>
      <c r="AQ14" s="276" t="str">
        <f>+IF(IF($B14="","",IFERROR(INDEX('Auxiliar Resultados'!$C$9:$BO$50,MATCH($B14,'Auxiliar Resultados'!$B$9:$B$50,0),MATCH(CONCATENATE($C14,AQ$7),'Auxiliar Resultados'!$C$6:$BO$6,0)),""))=0,"",IF($B14="","",IFERROR(INDEX('Auxiliar Resultados'!$C$9:$BO$50,MATCH($B14,'Auxiliar Resultados'!$B$9:$B$50,0),MATCH(CONCATENATE($C14,AQ$7),'Auxiliar Resultados'!$C$6:$BO$6,0)),"")))</f>
        <v/>
      </c>
      <c r="AS14" s="46" t="str">
        <f t="shared" si="5"/>
        <v/>
      </c>
      <c r="AT14" s="292" t="str">
        <f t="shared" si="6"/>
        <v/>
      </c>
      <c r="AU14" s="36" t="str">
        <f>+IF(G14="","",INDEX('Modelo Optimización'!$AZ$4:$CO$149,MATCH(CONCATENATE(AU$7,$AT14),'Modelo Optimización'!$CQ$4:$CQ$149,0),MATCH($AS14,'Modelo Optimización'!$AZ$3:$CO$3,0)))</f>
        <v/>
      </c>
      <c r="AV14" s="32" t="str">
        <f>+IF(H14="","",INDEX('Modelo Optimización'!$AZ$4:$CO$149,MATCH(CONCATENATE(AV$7,$AT14),'Modelo Optimización'!$CQ$4:$CQ$149,0),MATCH($AS14,'Modelo Optimización'!$AZ$3:$CO$3,0)))</f>
        <v/>
      </c>
      <c r="AW14" s="32" t="str">
        <f>+IF(I14="","",INDEX('Modelo Optimización'!$AZ$4:$CO$149,MATCH(CONCATENATE(AW$7,$AT14),'Modelo Optimización'!$CQ$4:$CQ$149,0),MATCH($AS14,'Modelo Optimización'!$AZ$3:$CO$3,0)))</f>
        <v/>
      </c>
      <c r="AX14" s="32" t="str">
        <f>+IF(J14="","",INDEX('Modelo Optimización'!$AZ$4:$CO$149,MATCH(CONCATENATE(AX$7,$AT14),'Modelo Optimización'!$CQ$4:$CQ$149,0),MATCH($AS14,'Modelo Optimización'!$AZ$3:$CO$3,0)))</f>
        <v/>
      </c>
      <c r="AY14" s="32" t="str">
        <f>+IF(K14="","",INDEX('Modelo Optimización'!$AZ$4:$CO$149,MATCH(CONCATENATE(AY$7,$AT14),'Modelo Optimización'!$CQ$4:$CQ$149,0),MATCH($AS14,'Modelo Optimización'!$AZ$3:$CO$3,0)))</f>
        <v/>
      </c>
      <c r="AZ14" s="32" t="str">
        <f>+IF(L14="","",INDEX('Modelo Optimización'!$AZ$4:$CO$149,MATCH(CONCATENATE(AZ$7,$AT14),'Modelo Optimización'!$CQ$4:$CQ$149,0),MATCH($AS14,'Modelo Optimización'!$AZ$3:$CO$3,0)))</f>
        <v/>
      </c>
      <c r="BA14" s="32" t="str">
        <f>+IF(M14="","",INDEX('Modelo Optimización'!$AZ$4:$CO$149,MATCH(CONCATENATE(BA$7,$AT14),'Modelo Optimización'!$CQ$4:$CQ$149,0),MATCH($AS14,'Modelo Optimización'!$AZ$3:$CO$3,0)))</f>
        <v/>
      </c>
      <c r="BB14" s="32" t="str">
        <f>+IF(N14="","",INDEX('Modelo Optimización'!$AZ$4:$CO$149,MATCH(CONCATENATE(BB$7,$AT14),'Modelo Optimización'!$CQ$4:$CQ$149,0),MATCH($AS14,'Modelo Optimización'!$AZ$3:$CO$3,0)))</f>
        <v/>
      </c>
      <c r="BC14" s="32" t="str">
        <f>+IF(O14="","",INDEX('Modelo Optimización'!$AZ$4:$CO$149,MATCH(CONCATENATE(BC$7,$AT14),'Modelo Optimización'!$CQ$4:$CQ$149,0),MATCH($AS14,'Modelo Optimización'!$AZ$3:$CO$3,0)))</f>
        <v/>
      </c>
      <c r="BD14" s="32" t="str">
        <f>+IF(P14="","",INDEX('Modelo Optimización'!$AZ$4:$CO$149,MATCH(CONCATENATE(BD$7,$AT14),'Modelo Optimización'!$CQ$4:$CQ$149,0),MATCH($AS14,'Modelo Optimización'!$AZ$3:$CO$3,0)))</f>
        <v/>
      </c>
      <c r="BE14" s="32" t="str">
        <f>+IF(Q14="","",INDEX('Modelo Optimización'!$AZ$4:$CO$149,MATCH(CONCATENATE(BE$7,$AT14),'Modelo Optimización'!$CQ$4:$CQ$149,0),MATCH($AS14,'Modelo Optimización'!$AZ$3:$CO$3,0)))</f>
        <v/>
      </c>
      <c r="BF14" s="32" t="str">
        <f>+IF(R14="","",INDEX('Modelo Optimización'!$AZ$4:$CO$149,MATCH(CONCATENATE(BF$7,$AT14),'Modelo Optimización'!$CQ$4:$CQ$149,0),MATCH($AS14,'Modelo Optimización'!$AZ$3:$CO$3,0)))</f>
        <v/>
      </c>
      <c r="BG14" s="32" t="str">
        <f>+IF(S14="","",INDEX('Modelo Optimización'!$AZ$4:$CO$149,MATCH(CONCATENATE(BG$7,$AT14),'Modelo Optimización'!$CQ$4:$CQ$149,0),MATCH($AS14,'Modelo Optimización'!$AZ$3:$CO$3,0)))</f>
        <v/>
      </c>
      <c r="BH14" s="32" t="str">
        <f>+IF(T14="","",INDEX('Modelo Optimización'!$AZ$4:$CO$149,MATCH(CONCATENATE(BH$7,$AT14),'Modelo Optimización'!$CQ$4:$CQ$149,0),MATCH($AS14,'Modelo Optimización'!$AZ$3:$CO$3,0)))</f>
        <v/>
      </c>
      <c r="BI14" s="32" t="str">
        <f>+IF(U14="","",INDEX('Modelo Optimización'!$AZ$4:$CO$149,MATCH(CONCATENATE(BI$7,$AT14),'Modelo Optimización'!$CQ$4:$CQ$149,0),MATCH($AS14,'Modelo Optimización'!$AZ$3:$CO$3,0)))</f>
        <v/>
      </c>
      <c r="BJ14" s="32" t="str">
        <f>+IF(V14="","",INDEX('Modelo Optimización'!$AZ$4:$CO$149,MATCH(CONCATENATE(BJ$7,$AT14),'Modelo Optimización'!$CQ$4:$CQ$149,0),MATCH($AS14,'Modelo Optimización'!$AZ$3:$CO$3,0)))</f>
        <v/>
      </c>
      <c r="BK14" s="32" t="str">
        <f>+IF(W14="","",INDEX('Modelo Optimización'!$AZ$4:$CO$149,MATCH(CONCATENATE(BK$7,$AT14),'Modelo Optimización'!$CQ$4:$CQ$149,0),MATCH($AS14,'Modelo Optimización'!$AZ$3:$CO$3,0)))</f>
        <v/>
      </c>
      <c r="BL14" s="32" t="str">
        <f>+IF(X14="","",INDEX('Modelo Optimización'!$AZ$4:$CO$149,MATCH(CONCATENATE(BL$7,$AT14),'Modelo Optimización'!$CQ$4:$CQ$149,0),MATCH($AS14,'Modelo Optimización'!$AZ$3:$CO$3,0)))</f>
        <v/>
      </c>
      <c r="BM14" s="32" t="str">
        <f>+IF(Y14="","",INDEX('Modelo Optimización'!$AZ$4:$CO$149,MATCH(CONCATENATE(BM$7,$AT14),'Modelo Optimización'!$CQ$4:$CQ$149,0),MATCH($AS14,'Modelo Optimización'!$AZ$3:$CO$3,0)))</f>
        <v/>
      </c>
      <c r="BN14" s="32" t="str">
        <f>+IF(Z14="","",INDEX('Modelo Optimización'!$AZ$4:$CO$149,MATCH(CONCATENATE(BN$7,$AT14),'Modelo Optimización'!$CQ$4:$CQ$149,0),MATCH($AS14,'Modelo Optimización'!$AZ$3:$CO$3,0)))</f>
        <v/>
      </c>
      <c r="BO14" s="32" t="str">
        <f>+IF(AA14="","",INDEX('Modelo Optimización'!$AZ$4:$CO$149,MATCH(CONCATENATE(BO$7,$AT14),'Modelo Optimización'!$CQ$4:$CQ$149,0),MATCH($AS14,'Modelo Optimización'!$AZ$3:$CO$3,0)))</f>
        <v/>
      </c>
      <c r="BP14" s="32" t="str">
        <f>+IF(AB14="","",INDEX('Modelo Optimización'!$AZ$4:$CO$149,MATCH(CONCATENATE(BP$7,$AT14),'Modelo Optimización'!$CQ$4:$CQ$149,0),MATCH($AS14,'Modelo Optimización'!$AZ$3:$CO$3,0)))</f>
        <v/>
      </c>
      <c r="BQ14" s="32" t="str">
        <f>+IF(AC14="","",INDEX('Modelo Optimización'!$AZ$4:$CO$149,MATCH(CONCATENATE(BQ$7,$AT14),'Modelo Optimización'!$CQ$4:$CQ$149,0),MATCH($AS14,'Modelo Optimización'!$AZ$3:$CO$3,0)))</f>
        <v/>
      </c>
      <c r="BR14" s="32" t="str">
        <f>+IF(AD14="","",INDEX('Modelo Optimización'!$AZ$4:$CO$149,MATCH(CONCATENATE(BR$7,$AT14),'Modelo Optimización'!$CQ$4:$CQ$149,0),MATCH($AS14,'Modelo Optimización'!$AZ$3:$CO$3,0)))</f>
        <v/>
      </c>
      <c r="BS14" s="32" t="str">
        <f>+IF(AE14="","",INDEX('Modelo Optimización'!$AZ$4:$CO$149,MATCH(CONCATENATE(BS$7,$AT14),'Modelo Optimización'!$CQ$4:$CQ$149,0),MATCH($AS14,'Modelo Optimización'!$AZ$3:$CO$3,0)))</f>
        <v/>
      </c>
      <c r="BT14" s="32" t="str">
        <f>+IF(AF14="","",INDEX('Modelo Optimización'!$AZ$4:$CO$149,MATCH(CONCATENATE(BT$7,$AT14),'Modelo Optimización'!$CQ$4:$CQ$149,0),MATCH($AS14,'Modelo Optimización'!$AZ$3:$CO$3,0)))</f>
        <v/>
      </c>
      <c r="BU14" s="32" t="str">
        <f>+IF(AG14="","",INDEX('Modelo Optimización'!$AZ$4:$CO$149,MATCH(CONCATENATE(BU$7,$AT14),'Modelo Optimización'!$CQ$4:$CQ$149,0),MATCH($AS14,'Modelo Optimización'!$AZ$3:$CO$3,0)))</f>
        <v/>
      </c>
      <c r="BV14" s="32" t="str">
        <f>+IF(AH14="","",INDEX('Modelo Optimización'!$AZ$4:$CO$149,MATCH(CONCATENATE(BV$7,$AT14),'Modelo Optimización'!$CQ$4:$CQ$149,0),MATCH($AS14,'Modelo Optimización'!$AZ$3:$CO$3,0)))</f>
        <v/>
      </c>
      <c r="BW14" s="32" t="str">
        <f>+IF(AI14="","",INDEX('Modelo Optimización'!$AZ$4:$CO$149,MATCH(CONCATENATE(BW$7,$AT14),'Modelo Optimización'!$CQ$4:$CQ$149,0),MATCH($AS14,'Modelo Optimización'!$AZ$3:$CO$3,0)))</f>
        <v/>
      </c>
      <c r="BX14" s="32" t="str">
        <f>+IF(AJ14="","",INDEX('Modelo Optimización'!$AZ$4:$CO$149,MATCH(CONCATENATE(BX$7,$AT14),'Modelo Optimización'!$CQ$4:$CQ$149,0),MATCH($AS14,'Modelo Optimización'!$AZ$3:$CO$3,0)))</f>
        <v/>
      </c>
      <c r="BY14" s="32" t="str">
        <f>+IF(AK14="","",INDEX('Modelo Optimización'!$AZ$4:$CO$149,MATCH(CONCATENATE(BY$7,$AT14),'Modelo Optimización'!$CQ$4:$CQ$149,0),MATCH($AS14,'Modelo Optimización'!$AZ$3:$CO$3,0)))</f>
        <v/>
      </c>
      <c r="BZ14" s="32" t="str">
        <f>+IF(AL14="","",INDEX('Modelo Optimización'!$AZ$4:$CO$149,MATCH(CONCATENATE(BZ$7,$AT14),'Modelo Optimización'!$CQ$4:$CQ$149,0),MATCH($AS14,'Modelo Optimización'!$AZ$3:$CO$3,0)))</f>
        <v/>
      </c>
      <c r="CA14" s="32" t="str">
        <f>+IF(AM14="","",INDEX('Modelo Optimización'!$AZ$4:$CO$149,MATCH(CONCATENATE(CA$7,$AT14),'Modelo Optimización'!$CQ$4:$CQ$149,0),MATCH($AS14,'Modelo Optimización'!$AZ$3:$CO$3,0)))</f>
        <v/>
      </c>
      <c r="CB14" s="32" t="str">
        <f>+IF(AN14="","",INDEX('Modelo Optimización'!$AZ$4:$CO$149,MATCH(CONCATENATE(CB$7,$AT14),'Modelo Optimización'!$CQ$4:$CQ$149,0),MATCH($AS14,'Modelo Optimización'!$AZ$3:$CO$3,0)))</f>
        <v/>
      </c>
      <c r="CC14" s="32" t="str">
        <f>+IF(AO14="","",INDEX('Modelo Optimización'!$AZ$4:$CO$149,MATCH(CONCATENATE(CC$7,$AT14),'Modelo Optimización'!$CQ$4:$CQ$149,0),MATCH($AS14,'Modelo Optimización'!$AZ$3:$CO$3,0)))</f>
        <v/>
      </c>
      <c r="CD14" s="32" t="str">
        <f>+IF(AP14="","",INDEX('Modelo Optimización'!$AZ$4:$CO$149,MATCH(CONCATENATE(CD$7,$AT14),'Modelo Optimización'!$CQ$4:$CQ$149,0),MATCH($AS14,'Modelo Optimización'!$AZ$3:$CO$3,0)))</f>
        <v/>
      </c>
      <c r="CE14" s="37" t="str">
        <f>+IF(AQ14="","",INDEX('Modelo Optimización'!$AZ$4:$CO$149,MATCH(CONCATENATE(CE$7,$AT14),'Modelo Optimización'!$CQ$4:$CQ$149,0),MATCH($AS14,'Modelo Optimización'!$AZ$3:$CO$3,0)))</f>
        <v/>
      </c>
      <c r="CF14" s="301"/>
      <c r="CG14" s="305" t="str">
        <f t="shared" si="11"/>
        <v/>
      </c>
      <c r="CH14" s="303" t="str">
        <f t="shared" si="7"/>
        <v/>
      </c>
      <c r="CI14" s="292" t="str">
        <f t="shared" si="8"/>
        <v/>
      </c>
      <c r="CJ14" s="36" t="str">
        <f t="shared" si="12"/>
        <v/>
      </c>
      <c r="CK14" s="32" t="str">
        <f t="shared" si="13"/>
        <v/>
      </c>
      <c r="CL14" s="32" t="str">
        <f t="shared" si="14"/>
        <v/>
      </c>
      <c r="CM14" s="32" t="str">
        <f t="shared" si="15"/>
        <v/>
      </c>
      <c r="CN14" s="32" t="str">
        <f t="shared" si="16"/>
        <v/>
      </c>
      <c r="CO14" s="32" t="str">
        <f t="shared" si="17"/>
        <v/>
      </c>
      <c r="CP14" s="32" t="str">
        <f t="shared" si="18"/>
        <v/>
      </c>
      <c r="CQ14" s="32" t="str">
        <f t="shared" si="19"/>
        <v/>
      </c>
      <c r="CR14" s="32" t="str">
        <f t="shared" si="20"/>
        <v/>
      </c>
      <c r="CS14" s="32" t="str">
        <f t="shared" si="21"/>
        <v/>
      </c>
      <c r="CT14" s="32" t="str">
        <f t="shared" si="22"/>
        <v/>
      </c>
      <c r="CU14" s="32" t="str">
        <f t="shared" si="23"/>
        <v/>
      </c>
      <c r="CV14" s="32" t="str">
        <f t="shared" si="24"/>
        <v/>
      </c>
      <c r="CW14" s="32" t="str">
        <f t="shared" si="25"/>
        <v/>
      </c>
      <c r="CX14" s="32" t="str">
        <f t="shared" si="26"/>
        <v/>
      </c>
      <c r="CY14" s="32" t="str">
        <f t="shared" si="27"/>
        <v/>
      </c>
      <c r="CZ14" s="32" t="str">
        <f t="shared" si="28"/>
        <v/>
      </c>
      <c r="DA14" s="32" t="str">
        <f t="shared" si="29"/>
        <v/>
      </c>
      <c r="DB14" s="32" t="str">
        <f t="shared" si="30"/>
        <v/>
      </c>
      <c r="DC14" s="32" t="str">
        <f t="shared" si="31"/>
        <v/>
      </c>
      <c r="DD14" s="32" t="str">
        <f t="shared" si="32"/>
        <v/>
      </c>
      <c r="DE14" s="32" t="str">
        <f t="shared" si="33"/>
        <v/>
      </c>
      <c r="DF14" s="32" t="str">
        <f t="shared" si="34"/>
        <v/>
      </c>
      <c r="DG14" s="32" t="str">
        <f t="shared" si="35"/>
        <v/>
      </c>
      <c r="DH14" s="32" t="str">
        <f t="shared" si="36"/>
        <v/>
      </c>
      <c r="DI14" s="32" t="str">
        <f t="shared" si="37"/>
        <v/>
      </c>
      <c r="DJ14" s="32" t="str">
        <f t="shared" si="38"/>
        <v/>
      </c>
      <c r="DK14" s="32" t="str">
        <f t="shared" si="39"/>
        <v/>
      </c>
      <c r="DL14" s="32" t="str">
        <f t="shared" si="40"/>
        <v/>
      </c>
      <c r="DM14" s="32" t="str">
        <f t="shared" si="41"/>
        <v/>
      </c>
      <c r="DN14" s="32" t="str">
        <f t="shared" si="42"/>
        <v/>
      </c>
      <c r="DO14" s="32" t="str">
        <f t="shared" si="43"/>
        <v/>
      </c>
      <c r="DP14" s="32" t="str">
        <f t="shared" si="44"/>
        <v/>
      </c>
      <c r="DQ14" s="32" t="str">
        <f t="shared" si="45"/>
        <v/>
      </c>
      <c r="DR14" s="32" t="str">
        <f t="shared" si="46"/>
        <v/>
      </c>
      <c r="DS14" s="32" t="str">
        <f t="shared" si="47"/>
        <v/>
      </c>
      <c r="DT14" s="37" t="str">
        <f t="shared" si="48"/>
        <v/>
      </c>
    </row>
    <row r="15" spans="2:124" x14ac:dyDescent="0.35">
      <c r="B15" s="46"/>
      <c r="C15" s="212"/>
      <c r="D15" s="52"/>
      <c r="E15" s="52" t="str">
        <f>+IF(B15="","",IFERROR(SUMIF('Modelo Optimización'!$AS$72:$AS$217,C15,INDEX('Modelo Optimización'!$C$72:$AR$217,,MATCH(B15,'Modelo Optimización'!$C$71:$AR$71,0))),0))</f>
        <v/>
      </c>
      <c r="F15" s="281" t="str">
        <f t="shared" si="10"/>
        <v/>
      </c>
      <c r="G15" s="280" t="str">
        <f>+IF(IF($B15="","",IFERROR(INDEX('Auxiliar Resultados'!$C$9:$BO$50,MATCH($B15,'Auxiliar Resultados'!$B$9:$B$50,0),MATCH(CONCATENATE($C15,G$7),'Auxiliar Resultados'!$C$6:$BO$6,0)),""))=0,"",IF($B15="","",IFERROR(INDEX('Auxiliar Resultados'!$C$9:$BO$50,MATCH($B15,'Auxiliar Resultados'!$B$9:$B$50,0),MATCH(CONCATENATE($C15,G$7),'Auxiliar Resultados'!$C$6:$BO$6,0)),"")))</f>
        <v/>
      </c>
      <c r="H15" s="52" t="str">
        <f>+IF(IF($B15="","",IFERROR(INDEX('Auxiliar Resultados'!$C$9:$BO$50,MATCH($B15,'Auxiliar Resultados'!$B$9:$B$50,0),MATCH(CONCATENATE($C15,H$7),'Auxiliar Resultados'!$C$6:$BO$6,0)),""))=0,"",IF($B15="","",IFERROR(INDEX('Auxiliar Resultados'!$C$9:$BO$50,MATCH($B15,'Auxiliar Resultados'!$B$9:$B$50,0),MATCH(CONCATENATE($C15,H$7),'Auxiliar Resultados'!$C$6:$BO$6,0)),"")))</f>
        <v/>
      </c>
      <c r="I15" s="52" t="str">
        <f>+IF(IF($B15="","",IFERROR(INDEX('Auxiliar Resultados'!$C$9:$BO$50,MATCH($B15,'Auxiliar Resultados'!$B$9:$B$50,0),MATCH(CONCATENATE($C15,I$7),'Auxiliar Resultados'!$C$6:$BO$6,0)),""))=0,"",IF($B15="","",IFERROR(INDEX('Auxiliar Resultados'!$C$9:$BO$50,MATCH($B15,'Auxiliar Resultados'!$B$9:$B$50,0),MATCH(CONCATENATE($C15,I$7),'Auxiliar Resultados'!$C$6:$BO$6,0)),"")))</f>
        <v/>
      </c>
      <c r="J15" s="52" t="str">
        <f>+IF(IF($B15="","",IFERROR(INDEX('Auxiliar Resultados'!$C$9:$BO$50,MATCH($B15,'Auxiliar Resultados'!$B$9:$B$50,0),MATCH(CONCATENATE($C15,J$7),'Auxiliar Resultados'!$C$6:$BO$6,0)),""))=0,"",IF($B15="","",IFERROR(INDEX('Auxiliar Resultados'!$C$9:$BO$50,MATCH($B15,'Auxiliar Resultados'!$B$9:$B$50,0),MATCH(CONCATENATE($C15,J$7),'Auxiliar Resultados'!$C$6:$BO$6,0)),"")))</f>
        <v/>
      </c>
      <c r="K15" s="52" t="str">
        <f>+IF(IF($B15="","",IFERROR(INDEX('Auxiliar Resultados'!$C$9:$BO$50,MATCH($B15,'Auxiliar Resultados'!$B$9:$B$50,0),MATCH(CONCATENATE($C15,K$7),'Auxiliar Resultados'!$C$6:$BO$6,0)),""))=0,"",IF($B15="","",IFERROR(INDEX('Auxiliar Resultados'!$C$9:$BO$50,MATCH($B15,'Auxiliar Resultados'!$B$9:$B$50,0),MATCH(CONCATENATE($C15,K$7),'Auxiliar Resultados'!$C$6:$BO$6,0)),"")))</f>
        <v/>
      </c>
      <c r="L15" s="52" t="str">
        <f>+IF(IF($B15="","",IFERROR(INDEX('Auxiliar Resultados'!$C$9:$BO$50,MATCH($B15,'Auxiliar Resultados'!$B$9:$B$50,0),MATCH(CONCATENATE($C15,L$7),'Auxiliar Resultados'!$C$6:$BO$6,0)),""))=0,"",IF($B15="","",IFERROR(INDEX('Auxiliar Resultados'!$C$9:$BO$50,MATCH($B15,'Auxiliar Resultados'!$B$9:$B$50,0),MATCH(CONCATENATE($C15,L$7),'Auxiliar Resultados'!$C$6:$BO$6,0)),"")))</f>
        <v/>
      </c>
      <c r="M15" s="52" t="str">
        <f>+IF(IF($B15="","",IFERROR(INDEX('Auxiliar Resultados'!$C$9:$BO$50,MATCH($B15,'Auxiliar Resultados'!$B$9:$B$50,0),MATCH(CONCATENATE($C15,M$7),'Auxiliar Resultados'!$C$6:$BO$6,0)),""))=0,"",IF($B15="","",IFERROR(INDEX('Auxiliar Resultados'!$C$9:$BO$50,MATCH($B15,'Auxiliar Resultados'!$B$9:$B$50,0),MATCH(CONCATENATE($C15,M$7),'Auxiliar Resultados'!$C$6:$BO$6,0)),"")))</f>
        <v/>
      </c>
      <c r="N15" s="52" t="str">
        <f>+IF(IF($B15="","",IFERROR(INDEX('Auxiliar Resultados'!$C$9:$BO$50,MATCH($B15,'Auxiliar Resultados'!$B$9:$B$50,0),MATCH(CONCATENATE($C15,N$7),'Auxiliar Resultados'!$C$6:$BO$6,0)),""))=0,"",IF($B15="","",IFERROR(INDEX('Auxiliar Resultados'!$C$9:$BO$50,MATCH($B15,'Auxiliar Resultados'!$B$9:$B$50,0),MATCH(CONCATENATE($C15,N$7),'Auxiliar Resultados'!$C$6:$BO$6,0)),"")))</f>
        <v/>
      </c>
      <c r="O15" s="52" t="str">
        <f>+IF(IF($B15="","",IFERROR(INDEX('Auxiliar Resultados'!$C$9:$BO$50,MATCH($B15,'Auxiliar Resultados'!$B$9:$B$50,0),MATCH(CONCATENATE($C15,O$7),'Auxiliar Resultados'!$C$6:$BO$6,0)),""))=0,"",IF($B15="","",IFERROR(INDEX('Auxiliar Resultados'!$C$9:$BO$50,MATCH($B15,'Auxiliar Resultados'!$B$9:$B$50,0),MATCH(CONCATENATE($C15,O$7),'Auxiliar Resultados'!$C$6:$BO$6,0)),"")))</f>
        <v/>
      </c>
      <c r="P15" s="52" t="str">
        <f>+IF(IF($B15="","",IFERROR(INDEX('Auxiliar Resultados'!$C$9:$BO$50,MATCH($B15,'Auxiliar Resultados'!$B$9:$B$50,0),MATCH(CONCATENATE($C15,P$7),'Auxiliar Resultados'!$C$6:$BO$6,0)),""))=0,"",IF($B15="","",IFERROR(INDEX('Auxiliar Resultados'!$C$9:$BO$50,MATCH($B15,'Auxiliar Resultados'!$B$9:$B$50,0),MATCH(CONCATENATE($C15,P$7),'Auxiliar Resultados'!$C$6:$BO$6,0)),"")))</f>
        <v/>
      </c>
      <c r="Q15" s="52" t="str">
        <f>+IF(IF($B15="","",IFERROR(INDEX('Auxiliar Resultados'!$C$9:$BO$50,MATCH($B15,'Auxiliar Resultados'!$B$9:$B$50,0),MATCH(CONCATENATE($C15,Q$7),'Auxiliar Resultados'!$C$6:$BO$6,0)),""))=0,"",IF($B15="","",IFERROR(INDEX('Auxiliar Resultados'!$C$9:$BO$50,MATCH($B15,'Auxiliar Resultados'!$B$9:$B$50,0),MATCH(CONCATENATE($C15,Q$7),'Auxiliar Resultados'!$C$6:$BO$6,0)),"")))</f>
        <v/>
      </c>
      <c r="R15" s="52" t="str">
        <f>+IF(IF($B15="","",IFERROR(INDEX('Auxiliar Resultados'!$C$9:$BO$50,MATCH($B15,'Auxiliar Resultados'!$B$9:$B$50,0),MATCH(CONCATENATE($C15,R$7),'Auxiliar Resultados'!$C$6:$BO$6,0)),""))=0,"",IF($B15="","",IFERROR(INDEX('Auxiliar Resultados'!$C$9:$BO$50,MATCH($B15,'Auxiliar Resultados'!$B$9:$B$50,0),MATCH(CONCATENATE($C15,R$7),'Auxiliar Resultados'!$C$6:$BO$6,0)),"")))</f>
        <v/>
      </c>
      <c r="S15" s="52" t="str">
        <f>+IF(IF($B15="","",IFERROR(INDEX('Auxiliar Resultados'!$C$9:$BO$50,MATCH($B15,'Auxiliar Resultados'!$B$9:$B$50,0),MATCH(CONCATENATE($C15,S$7),'Auxiliar Resultados'!$C$6:$BO$6,0)),""))=0,"",IF($B15="","",IFERROR(INDEX('Auxiliar Resultados'!$C$9:$BO$50,MATCH($B15,'Auxiliar Resultados'!$B$9:$B$50,0),MATCH(CONCATENATE($C15,S$7),'Auxiliar Resultados'!$C$6:$BO$6,0)),"")))</f>
        <v/>
      </c>
      <c r="T15" s="52" t="str">
        <f>+IF(IF($B15="","",IFERROR(INDEX('Auxiliar Resultados'!$C$9:$BO$50,MATCH($B15,'Auxiliar Resultados'!$B$9:$B$50,0),MATCH(CONCATENATE($C15,T$7),'Auxiliar Resultados'!$C$6:$BO$6,0)),""))=0,"",IF($B15="","",IFERROR(INDEX('Auxiliar Resultados'!$C$9:$BO$50,MATCH($B15,'Auxiliar Resultados'!$B$9:$B$50,0),MATCH(CONCATENATE($C15,T$7),'Auxiliar Resultados'!$C$6:$BO$6,0)),"")))</f>
        <v/>
      </c>
      <c r="U15" s="52" t="str">
        <f>+IF(IF($B15="","",IFERROR(INDEX('Auxiliar Resultados'!$C$9:$BO$50,MATCH($B15,'Auxiliar Resultados'!$B$9:$B$50,0),MATCH(CONCATENATE($C15,U$7),'Auxiliar Resultados'!$C$6:$BO$6,0)),""))=0,"",IF($B15="","",IFERROR(INDEX('Auxiliar Resultados'!$C$9:$BO$50,MATCH($B15,'Auxiliar Resultados'!$B$9:$B$50,0),MATCH(CONCATENATE($C15,U$7),'Auxiliar Resultados'!$C$6:$BO$6,0)),"")))</f>
        <v/>
      </c>
      <c r="V15" s="52" t="str">
        <f>+IF(IF($B15="","",IFERROR(INDEX('Auxiliar Resultados'!$C$9:$BO$50,MATCH($B15,'Auxiliar Resultados'!$B$9:$B$50,0),MATCH(CONCATENATE($C15,V$7),'Auxiliar Resultados'!$C$6:$BO$6,0)),""))=0,"",IF($B15="","",IFERROR(INDEX('Auxiliar Resultados'!$C$9:$BO$50,MATCH($B15,'Auxiliar Resultados'!$B$9:$B$50,0),MATCH(CONCATENATE($C15,V$7),'Auxiliar Resultados'!$C$6:$BO$6,0)),"")))</f>
        <v/>
      </c>
      <c r="W15" s="52" t="str">
        <f>+IF(IF($B15="","",IFERROR(INDEX('Auxiliar Resultados'!$C$9:$BO$50,MATCH($B15,'Auxiliar Resultados'!$B$9:$B$50,0),MATCH(CONCATENATE($C15,W$7),'Auxiliar Resultados'!$C$6:$BO$6,0)),""))=0,"",IF($B15="","",IFERROR(INDEX('Auxiliar Resultados'!$C$9:$BO$50,MATCH($B15,'Auxiliar Resultados'!$B$9:$B$50,0),MATCH(CONCATENATE($C15,W$7),'Auxiliar Resultados'!$C$6:$BO$6,0)),"")))</f>
        <v/>
      </c>
      <c r="X15" s="52" t="str">
        <f>+IF(IF($B15="","",IFERROR(INDEX('Auxiliar Resultados'!$C$9:$BO$50,MATCH($B15,'Auxiliar Resultados'!$B$9:$B$50,0),MATCH(CONCATENATE($C15,X$7),'Auxiliar Resultados'!$C$6:$BO$6,0)),""))=0,"",IF($B15="","",IFERROR(INDEX('Auxiliar Resultados'!$C$9:$BO$50,MATCH($B15,'Auxiliar Resultados'!$B$9:$B$50,0),MATCH(CONCATENATE($C15,X$7),'Auxiliar Resultados'!$C$6:$BO$6,0)),"")))</f>
        <v/>
      </c>
      <c r="Y15" s="52" t="str">
        <f>+IF(IF($B15="","",IFERROR(INDEX('Auxiliar Resultados'!$C$9:$BO$50,MATCH($B15,'Auxiliar Resultados'!$B$9:$B$50,0),MATCH(CONCATENATE($C15,Y$7),'Auxiliar Resultados'!$C$6:$BO$6,0)),""))=0,"",IF($B15="","",IFERROR(INDEX('Auxiliar Resultados'!$C$9:$BO$50,MATCH($B15,'Auxiliar Resultados'!$B$9:$B$50,0),MATCH(CONCATENATE($C15,Y$7),'Auxiliar Resultados'!$C$6:$BO$6,0)),"")))</f>
        <v/>
      </c>
      <c r="Z15" s="52" t="str">
        <f>+IF(IF($B15="","",IFERROR(INDEX('Auxiliar Resultados'!$C$9:$BO$50,MATCH($B15,'Auxiliar Resultados'!$B$9:$B$50,0),MATCH(CONCATENATE($C15,Z$7),'Auxiliar Resultados'!$C$6:$BO$6,0)),""))=0,"",IF($B15="","",IFERROR(INDEX('Auxiliar Resultados'!$C$9:$BO$50,MATCH($B15,'Auxiliar Resultados'!$B$9:$B$50,0),MATCH(CONCATENATE($C15,Z$7),'Auxiliar Resultados'!$C$6:$BO$6,0)),"")))</f>
        <v/>
      </c>
      <c r="AA15" s="52" t="str">
        <f>+IF(IF($B15="","",IFERROR(INDEX('Auxiliar Resultados'!$C$9:$BO$50,MATCH($B15,'Auxiliar Resultados'!$B$9:$B$50,0),MATCH(CONCATENATE($C15,AA$7),'Auxiliar Resultados'!$C$6:$BO$6,0)),""))=0,"",IF($B15="","",IFERROR(INDEX('Auxiliar Resultados'!$C$9:$BO$50,MATCH($B15,'Auxiliar Resultados'!$B$9:$B$50,0),MATCH(CONCATENATE($C15,AA$7),'Auxiliar Resultados'!$C$6:$BO$6,0)),"")))</f>
        <v/>
      </c>
      <c r="AB15" s="52" t="str">
        <f>+IF(IF($B15="","",IFERROR(INDEX('Auxiliar Resultados'!$C$9:$BO$50,MATCH($B15,'Auxiliar Resultados'!$B$9:$B$50,0),MATCH(CONCATENATE($C15,AB$7),'Auxiliar Resultados'!$C$6:$BO$6,0)),""))=0,"",IF($B15="","",IFERROR(INDEX('Auxiliar Resultados'!$C$9:$BO$50,MATCH($B15,'Auxiliar Resultados'!$B$9:$B$50,0),MATCH(CONCATENATE($C15,AB$7),'Auxiliar Resultados'!$C$6:$BO$6,0)),"")))</f>
        <v/>
      </c>
      <c r="AC15" s="52" t="str">
        <f>+IF(IF($B15="","",IFERROR(INDEX('Auxiliar Resultados'!$C$9:$BO$50,MATCH($B15,'Auxiliar Resultados'!$B$9:$B$50,0),MATCH(CONCATENATE($C15,AC$7),'Auxiliar Resultados'!$C$6:$BO$6,0)),""))=0,"",IF($B15="","",IFERROR(INDEX('Auxiliar Resultados'!$C$9:$BO$50,MATCH($B15,'Auxiliar Resultados'!$B$9:$B$50,0),MATCH(CONCATENATE($C15,AC$7),'Auxiliar Resultados'!$C$6:$BO$6,0)),"")))</f>
        <v/>
      </c>
      <c r="AD15" s="52" t="str">
        <f>+IF(IF($B15="","",IFERROR(INDEX('Auxiliar Resultados'!$C$9:$BO$50,MATCH($B15,'Auxiliar Resultados'!$B$9:$B$50,0),MATCH(CONCATENATE($C15,AD$7),'Auxiliar Resultados'!$C$6:$BO$6,0)),""))=0,"",IF($B15="","",IFERROR(INDEX('Auxiliar Resultados'!$C$9:$BO$50,MATCH($B15,'Auxiliar Resultados'!$B$9:$B$50,0),MATCH(CONCATENATE($C15,AD$7),'Auxiliar Resultados'!$C$6:$BO$6,0)),"")))</f>
        <v/>
      </c>
      <c r="AE15" s="52" t="str">
        <f>+IF(IF($B15="","",IFERROR(INDEX('Auxiliar Resultados'!$C$9:$BO$50,MATCH($B15,'Auxiliar Resultados'!$B$9:$B$50,0),MATCH(CONCATENATE($C15,AE$7),'Auxiliar Resultados'!$C$6:$BO$6,0)),""))=0,"",IF($B15="","",IFERROR(INDEX('Auxiliar Resultados'!$C$9:$BO$50,MATCH($B15,'Auxiliar Resultados'!$B$9:$B$50,0),MATCH(CONCATENATE($C15,AE$7),'Auxiliar Resultados'!$C$6:$BO$6,0)),"")))</f>
        <v/>
      </c>
      <c r="AF15" s="52" t="str">
        <f>+IF(IF($B15="","",IFERROR(INDEX('Auxiliar Resultados'!$C$9:$BO$50,MATCH($B15,'Auxiliar Resultados'!$B$9:$B$50,0),MATCH(CONCATENATE($C15,AF$7),'Auxiliar Resultados'!$C$6:$BO$6,0)),""))=0,"",IF($B15="","",IFERROR(INDEX('Auxiliar Resultados'!$C$9:$BO$50,MATCH($B15,'Auxiliar Resultados'!$B$9:$B$50,0),MATCH(CONCATENATE($C15,AF$7),'Auxiliar Resultados'!$C$6:$BO$6,0)),"")))</f>
        <v/>
      </c>
      <c r="AG15" s="52" t="str">
        <f>+IF(IF($B15="","",IFERROR(INDEX('Auxiliar Resultados'!$C$9:$BO$50,MATCH($B15,'Auxiliar Resultados'!$B$9:$B$50,0),MATCH(CONCATENATE($C15,AG$7),'Auxiliar Resultados'!$C$6:$BO$6,0)),""))=0,"",IF($B15="","",IFERROR(INDEX('Auxiliar Resultados'!$C$9:$BO$50,MATCH($B15,'Auxiliar Resultados'!$B$9:$B$50,0),MATCH(CONCATENATE($C15,AG$7),'Auxiliar Resultados'!$C$6:$BO$6,0)),"")))</f>
        <v/>
      </c>
      <c r="AH15" s="52" t="str">
        <f>+IF(IF($B15="","",IFERROR(INDEX('Auxiliar Resultados'!$C$9:$BO$50,MATCH($B15,'Auxiliar Resultados'!$B$9:$B$50,0),MATCH(CONCATENATE($C15,AH$7),'Auxiliar Resultados'!$C$6:$BO$6,0)),""))=0,"",IF($B15="","",IFERROR(INDEX('Auxiliar Resultados'!$C$9:$BO$50,MATCH($B15,'Auxiliar Resultados'!$B$9:$B$50,0),MATCH(CONCATENATE($C15,AH$7),'Auxiliar Resultados'!$C$6:$BO$6,0)),"")))</f>
        <v/>
      </c>
      <c r="AI15" s="52" t="str">
        <f>+IF(IF($B15="","",IFERROR(INDEX('Auxiliar Resultados'!$C$9:$BO$50,MATCH($B15,'Auxiliar Resultados'!$B$9:$B$50,0),MATCH(CONCATENATE($C15,AI$7),'Auxiliar Resultados'!$C$6:$BO$6,0)),""))=0,"",IF($B15="","",IFERROR(INDEX('Auxiliar Resultados'!$C$9:$BO$50,MATCH($B15,'Auxiliar Resultados'!$B$9:$B$50,0),MATCH(CONCATENATE($C15,AI$7),'Auxiliar Resultados'!$C$6:$BO$6,0)),"")))</f>
        <v/>
      </c>
      <c r="AJ15" s="52" t="str">
        <f>+IF(IF($B15="","",IFERROR(INDEX('Auxiliar Resultados'!$C$9:$BO$50,MATCH($B15,'Auxiliar Resultados'!$B$9:$B$50,0),MATCH(CONCATENATE($C15,AJ$7),'Auxiliar Resultados'!$C$6:$BO$6,0)),""))=0,"",IF($B15="","",IFERROR(INDEX('Auxiliar Resultados'!$C$9:$BO$50,MATCH($B15,'Auxiliar Resultados'!$B$9:$B$50,0),MATCH(CONCATENATE($C15,AJ$7),'Auxiliar Resultados'!$C$6:$BO$6,0)),"")))</f>
        <v/>
      </c>
      <c r="AK15" s="52" t="str">
        <f>+IF(IF($B15="","",IFERROR(INDEX('Auxiliar Resultados'!$C$9:$BO$50,MATCH($B15,'Auxiliar Resultados'!$B$9:$B$50,0),MATCH(CONCATENATE($C15,AK$7),'Auxiliar Resultados'!$C$6:$BO$6,0)),""))=0,"",IF($B15="","",IFERROR(INDEX('Auxiliar Resultados'!$C$9:$BO$50,MATCH($B15,'Auxiliar Resultados'!$B$9:$B$50,0),MATCH(CONCATENATE($C15,AK$7),'Auxiliar Resultados'!$C$6:$BO$6,0)),"")))</f>
        <v/>
      </c>
      <c r="AL15" s="52" t="str">
        <f>+IF(IF($B15="","",IFERROR(INDEX('Auxiliar Resultados'!$C$9:$BO$50,MATCH($B15,'Auxiliar Resultados'!$B$9:$B$50,0),MATCH(CONCATENATE($C15,AL$7),'Auxiliar Resultados'!$C$6:$BO$6,0)),""))=0,"",IF($B15="","",IFERROR(INDEX('Auxiliar Resultados'!$C$9:$BO$50,MATCH($B15,'Auxiliar Resultados'!$B$9:$B$50,0),MATCH(CONCATENATE($C15,AL$7),'Auxiliar Resultados'!$C$6:$BO$6,0)),"")))</f>
        <v/>
      </c>
      <c r="AM15" s="52" t="str">
        <f>+IF(IF($B15="","",IFERROR(INDEX('Auxiliar Resultados'!$C$9:$BO$50,MATCH($B15,'Auxiliar Resultados'!$B$9:$B$50,0),MATCH(CONCATENATE($C15,AM$7),'Auxiliar Resultados'!$C$6:$BO$6,0)),""))=0,"",IF($B15="","",IFERROR(INDEX('Auxiliar Resultados'!$C$9:$BO$50,MATCH($B15,'Auxiliar Resultados'!$B$9:$B$50,0),MATCH(CONCATENATE($C15,AM$7),'Auxiliar Resultados'!$C$6:$BO$6,0)),"")))</f>
        <v/>
      </c>
      <c r="AN15" s="52" t="str">
        <f>+IF(IF($B15="","",IFERROR(INDEX('Auxiliar Resultados'!$C$9:$BO$50,MATCH($B15,'Auxiliar Resultados'!$B$9:$B$50,0),MATCH(CONCATENATE($C15,AN$7),'Auxiliar Resultados'!$C$6:$BO$6,0)),""))=0,"",IF($B15="","",IFERROR(INDEX('Auxiliar Resultados'!$C$9:$BO$50,MATCH($B15,'Auxiliar Resultados'!$B$9:$B$50,0),MATCH(CONCATENATE($C15,AN$7),'Auxiliar Resultados'!$C$6:$BO$6,0)),"")))</f>
        <v/>
      </c>
      <c r="AO15" s="52" t="str">
        <f>+IF(IF($B15="","",IFERROR(INDEX('Auxiliar Resultados'!$C$9:$BO$50,MATCH($B15,'Auxiliar Resultados'!$B$9:$B$50,0),MATCH(CONCATENATE($C15,AO$7),'Auxiliar Resultados'!$C$6:$BO$6,0)),""))=0,"",IF($B15="","",IFERROR(INDEX('Auxiliar Resultados'!$C$9:$BO$50,MATCH($B15,'Auxiliar Resultados'!$B$9:$B$50,0),MATCH(CONCATENATE($C15,AO$7),'Auxiliar Resultados'!$C$6:$BO$6,0)),"")))</f>
        <v/>
      </c>
      <c r="AP15" s="52" t="str">
        <f>+IF(IF($B15="","",IFERROR(INDEX('Auxiliar Resultados'!$C$9:$BO$50,MATCH($B15,'Auxiliar Resultados'!$B$9:$B$50,0),MATCH(CONCATENATE($C15,AP$7),'Auxiliar Resultados'!$C$6:$BO$6,0)),""))=0,"",IF($B15="","",IFERROR(INDEX('Auxiliar Resultados'!$C$9:$BO$50,MATCH($B15,'Auxiliar Resultados'!$B$9:$B$50,0),MATCH(CONCATENATE($C15,AP$7),'Auxiliar Resultados'!$C$6:$BO$6,0)),"")))</f>
        <v/>
      </c>
      <c r="AQ15" s="276" t="str">
        <f>+IF(IF($B15="","",IFERROR(INDEX('Auxiliar Resultados'!$C$9:$BO$50,MATCH($B15,'Auxiliar Resultados'!$B$9:$B$50,0),MATCH(CONCATENATE($C15,AQ$7),'Auxiliar Resultados'!$C$6:$BO$6,0)),""))=0,"",IF($B15="","",IFERROR(INDEX('Auxiliar Resultados'!$C$9:$BO$50,MATCH($B15,'Auxiliar Resultados'!$B$9:$B$50,0),MATCH(CONCATENATE($C15,AQ$7),'Auxiliar Resultados'!$C$6:$BO$6,0)),"")))</f>
        <v/>
      </c>
      <c r="AS15" s="46" t="str">
        <f t="shared" si="5"/>
        <v/>
      </c>
      <c r="AT15" s="292" t="str">
        <f t="shared" si="6"/>
        <v/>
      </c>
      <c r="AU15" s="36" t="str">
        <f>+IF(G15="","",INDEX('Modelo Optimización'!$AZ$4:$CO$149,MATCH(CONCATENATE(AU$7,$AT15),'Modelo Optimización'!$CQ$4:$CQ$149,0),MATCH($AS15,'Modelo Optimización'!$AZ$3:$CO$3,0)))</f>
        <v/>
      </c>
      <c r="AV15" s="32" t="str">
        <f>+IF(H15="","",INDEX('Modelo Optimización'!$AZ$4:$CO$149,MATCH(CONCATENATE(AV$7,$AT15),'Modelo Optimización'!$CQ$4:$CQ$149,0),MATCH($AS15,'Modelo Optimización'!$AZ$3:$CO$3,0)))</f>
        <v/>
      </c>
      <c r="AW15" s="32" t="str">
        <f>+IF(I15="","",INDEX('Modelo Optimización'!$AZ$4:$CO$149,MATCH(CONCATENATE(AW$7,$AT15),'Modelo Optimización'!$CQ$4:$CQ$149,0),MATCH($AS15,'Modelo Optimización'!$AZ$3:$CO$3,0)))</f>
        <v/>
      </c>
      <c r="AX15" s="32" t="str">
        <f>+IF(J15="","",INDEX('Modelo Optimización'!$AZ$4:$CO$149,MATCH(CONCATENATE(AX$7,$AT15),'Modelo Optimización'!$CQ$4:$CQ$149,0),MATCH($AS15,'Modelo Optimización'!$AZ$3:$CO$3,0)))</f>
        <v/>
      </c>
      <c r="AY15" s="32" t="str">
        <f>+IF(K15="","",INDEX('Modelo Optimización'!$AZ$4:$CO$149,MATCH(CONCATENATE(AY$7,$AT15),'Modelo Optimización'!$CQ$4:$CQ$149,0),MATCH($AS15,'Modelo Optimización'!$AZ$3:$CO$3,0)))</f>
        <v/>
      </c>
      <c r="AZ15" s="32" t="str">
        <f>+IF(L15="","",INDEX('Modelo Optimización'!$AZ$4:$CO$149,MATCH(CONCATENATE(AZ$7,$AT15),'Modelo Optimización'!$CQ$4:$CQ$149,0),MATCH($AS15,'Modelo Optimización'!$AZ$3:$CO$3,0)))</f>
        <v/>
      </c>
      <c r="BA15" s="32" t="str">
        <f>+IF(M15="","",INDEX('Modelo Optimización'!$AZ$4:$CO$149,MATCH(CONCATENATE(BA$7,$AT15),'Modelo Optimización'!$CQ$4:$CQ$149,0),MATCH($AS15,'Modelo Optimización'!$AZ$3:$CO$3,0)))</f>
        <v/>
      </c>
      <c r="BB15" s="32" t="str">
        <f>+IF(N15="","",INDEX('Modelo Optimización'!$AZ$4:$CO$149,MATCH(CONCATENATE(BB$7,$AT15),'Modelo Optimización'!$CQ$4:$CQ$149,0),MATCH($AS15,'Modelo Optimización'!$AZ$3:$CO$3,0)))</f>
        <v/>
      </c>
      <c r="BC15" s="32" t="str">
        <f>+IF(O15="","",INDEX('Modelo Optimización'!$AZ$4:$CO$149,MATCH(CONCATENATE(BC$7,$AT15),'Modelo Optimización'!$CQ$4:$CQ$149,0),MATCH($AS15,'Modelo Optimización'!$AZ$3:$CO$3,0)))</f>
        <v/>
      </c>
      <c r="BD15" s="32" t="str">
        <f>+IF(P15="","",INDEX('Modelo Optimización'!$AZ$4:$CO$149,MATCH(CONCATENATE(BD$7,$AT15),'Modelo Optimización'!$CQ$4:$CQ$149,0),MATCH($AS15,'Modelo Optimización'!$AZ$3:$CO$3,0)))</f>
        <v/>
      </c>
      <c r="BE15" s="32" t="str">
        <f>+IF(Q15="","",INDEX('Modelo Optimización'!$AZ$4:$CO$149,MATCH(CONCATENATE(BE$7,$AT15),'Modelo Optimización'!$CQ$4:$CQ$149,0),MATCH($AS15,'Modelo Optimización'!$AZ$3:$CO$3,0)))</f>
        <v/>
      </c>
      <c r="BF15" s="32" t="str">
        <f>+IF(R15="","",INDEX('Modelo Optimización'!$AZ$4:$CO$149,MATCH(CONCATENATE(BF$7,$AT15),'Modelo Optimización'!$CQ$4:$CQ$149,0),MATCH($AS15,'Modelo Optimización'!$AZ$3:$CO$3,0)))</f>
        <v/>
      </c>
      <c r="BG15" s="32" t="str">
        <f>+IF(S15="","",INDEX('Modelo Optimización'!$AZ$4:$CO$149,MATCH(CONCATENATE(BG$7,$AT15),'Modelo Optimización'!$CQ$4:$CQ$149,0),MATCH($AS15,'Modelo Optimización'!$AZ$3:$CO$3,0)))</f>
        <v/>
      </c>
      <c r="BH15" s="32" t="str">
        <f>+IF(T15="","",INDEX('Modelo Optimización'!$AZ$4:$CO$149,MATCH(CONCATENATE(BH$7,$AT15),'Modelo Optimización'!$CQ$4:$CQ$149,0),MATCH($AS15,'Modelo Optimización'!$AZ$3:$CO$3,0)))</f>
        <v/>
      </c>
      <c r="BI15" s="32" t="str">
        <f>+IF(U15="","",INDEX('Modelo Optimización'!$AZ$4:$CO$149,MATCH(CONCATENATE(BI$7,$AT15),'Modelo Optimización'!$CQ$4:$CQ$149,0),MATCH($AS15,'Modelo Optimización'!$AZ$3:$CO$3,0)))</f>
        <v/>
      </c>
      <c r="BJ15" s="32" t="str">
        <f>+IF(V15="","",INDEX('Modelo Optimización'!$AZ$4:$CO$149,MATCH(CONCATENATE(BJ$7,$AT15),'Modelo Optimización'!$CQ$4:$CQ$149,0),MATCH($AS15,'Modelo Optimización'!$AZ$3:$CO$3,0)))</f>
        <v/>
      </c>
      <c r="BK15" s="32" t="str">
        <f>+IF(W15="","",INDEX('Modelo Optimización'!$AZ$4:$CO$149,MATCH(CONCATENATE(BK$7,$AT15),'Modelo Optimización'!$CQ$4:$CQ$149,0),MATCH($AS15,'Modelo Optimización'!$AZ$3:$CO$3,0)))</f>
        <v/>
      </c>
      <c r="BL15" s="32" t="str">
        <f>+IF(X15="","",INDEX('Modelo Optimización'!$AZ$4:$CO$149,MATCH(CONCATENATE(BL$7,$AT15),'Modelo Optimización'!$CQ$4:$CQ$149,0),MATCH($AS15,'Modelo Optimización'!$AZ$3:$CO$3,0)))</f>
        <v/>
      </c>
      <c r="BM15" s="32" t="str">
        <f>+IF(Y15="","",INDEX('Modelo Optimización'!$AZ$4:$CO$149,MATCH(CONCATENATE(BM$7,$AT15),'Modelo Optimización'!$CQ$4:$CQ$149,0),MATCH($AS15,'Modelo Optimización'!$AZ$3:$CO$3,0)))</f>
        <v/>
      </c>
      <c r="BN15" s="32" t="str">
        <f>+IF(Z15="","",INDEX('Modelo Optimización'!$AZ$4:$CO$149,MATCH(CONCATENATE(BN$7,$AT15),'Modelo Optimización'!$CQ$4:$CQ$149,0),MATCH($AS15,'Modelo Optimización'!$AZ$3:$CO$3,0)))</f>
        <v/>
      </c>
      <c r="BO15" s="32" t="str">
        <f>+IF(AA15="","",INDEX('Modelo Optimización'!$AZ$4:$CO$149,MATCH(CONCATENATE(BO$7,$AT15),'Modelo Optimización'!$CQ$4:$CQ$149,0),MATCH($AS15,'Modelo Optimización'!$AZ$3:$CO$3,0)))</f>
        <v/>
      </c>
      <c r="BP15" s="32" t="str">
        <f>+IF(AB15="","",INDEX('Modelo Optimización'!$AZ$4:$CO$149,MATCH(CONCATENATE(BP$7,$AT15),'Modelo Optimización'!$CQ$4:$CQ$149,0),MATCH($AS15,'Modelo Optimización'!$AZ$3:$CO$3,0)))</f>
        <v/>
      </c>
      <c r="BQ15" s="32" t="str">
        <f>+IF(AC15="","",INDEX('Modelo Optimización'!$AZ$4:$CO$149,MATCH(CONCATENATE(BQ$7,$AT15),'Modelo Optimización'!$CQ$4:$CQ$149,0),MATCH($AS15,'Modelo Optimización'!$AZ$3:$CO$3,0)))</f>
        <v/>
      </c>
      <c r="BR15" s="32" t="str">
        <f>+IF(AD15="","",INDEX('Modelo Optimización'!$AZ$4:$CO$149,MATCH(CONCATENATE(BR$7,$AT15),'Modelo Optimización'!$CQ$4:$CQ$149,0),MATCH($AS15,'Modelo Optimización'!$AZ$3:$CO$3,0)))</f>
        <v/>
      </c>
      <c r="BS15" s="32" t="str">
        <f>+IF(AE15="","",INDEX('Modelo Optimización'!$AZ$4:$CO$149,MATCH(CONCATENATE(BS$7,$AT15),'Modelo Optimización'!$CQ$4:$CQ$149,0),MATCH($AS15,'Modelo Optimización'!$AZ$3:$CO$3,0)))</f>
        <v/>
      </c>
      <c r="BT15" s="32" t="str">
        <f>+IF(AF15="","",INDEX('Modelo Optimización'!$AZ$4:$CO$149,MATCH(CONCATENATE(BT$7,$AT15),'Modelo Optimización'!$CQ$4:$CQ$149,0),MATCH($AS15,'Modelo Optimización'!$AZ$3:$CO$3,0)))</f>
        <v/>
      </c>
      <c r="BU15" s="32" t="str">
        <f>+IF(AG15="","",INDEX('Modelo Optimización'!$AZ$4:$CO$149,MATCH(CONCATENATE(BU$7,$AT15),'Modelo Optimización'!$CQ$4:$CQ$149,0),MATCH($AS15,'Modelo Optimización'!$AZ$3:$CO$3,0)))</f>
        <v/>
      </c>
      <c r="BV15" s="32" t="str">
        <f>+IF(AH15="","",INDEX('Modelo Optimización'!$AZ$4:$CO$149,MATCH(CONCATENATE(BV$7,$AT15),'Modelo Optimización'!$CQ$4:$CQ$149,0),MATCH($AS15,'Modelo Optimización'!$AZ$3:$CO$3,0)))</f>
        <v/>
      </c>
      <c r="BW15" s="32" t="str">
        <f>+IF(AI15="","",INDEX('Modelo Optimización'!$AZ$4:$CO$149,MATCH(CONCATENATE(BW$7,$AT15),'Modelo Optimización'!$CQ$4:$CQ$149,0),MATCH($AS15,'Modelo Optimización'!$AZ$3:$CO$3,0)))</f>
        <v/>
      </c>
      <c r="BX15" s="32" t="str">
        <f>+IF(AJ15="","",INDEX('Modelo Optimización'!$AZ$4:$CO$149,MATCH(CONCATENATE(BX$7,$AT15),'Modelo Optimización'!$CQ$4:$CQ$149,0),MATCH($AS15,'Modelo Optimización'!$AZ$3:$CO$3,0)))</f>
        <v/>
      </c>
      <c r="BY15" s="32" t="str">
        <f>+IF(AK15="","",INDEX('Modelo Optimización'!$AZ$4:$CO$149,MATCH(CONCATENATE(BY$7,$AT15),'Modelo Optimización'!$CQ$4:$CQ$149,0),MATCH($AS15,'Modelo Optimización'!$AZ$3:$CO$3,0)))</f>
        <v/>
      </c>
      <c r="BZ15" s="32" t="str">
        <f>+IF(AL15="","",INDEX('Modelo Optimización'!$AZ$4:$CO$149,MATCH(CONCATENATE(BZ$7,$AT15),'Modelo Optimización'!$CQ$4:$CQ$149,0),MATCH($AS15,'Modelo Optimización'!$AZ$3:$CO$3,0)))</f>
        <v/>
      </c>
      <c r="CA15" s="32" t="str">
        <f>+IF(AM15="","",INDEX('Modelo Optimización'!$AZ$4:$CO$149,MATCH(CONCATENATE(CA$7,$AT15),'Modelo Optimización'!$CQ$4:$CQ$149,0),MATCH($AS15,'Modelo Optimización'!$AZ$3:$CO$3,0)))</f>
        <v/>
      </c>
      <c r="CB15" s="32" t="str">
        <f>+IF(AN15="","",INDEX('Modelo Optimización'!$AZ$4:$CO$149,MATCH(CONCATENATE(CB$7,$AT15),'Modelo Optimización'!$CQ$4:$CQ$149,0),MATCH($AS15,'Modelo Optimización'!$AZ$3:$CO$3,0)))</f>
        <v/>
      </c>
      <c r="CC15" s="32" t="str">
        <f>+IF(AO15="","",INDEX('Modelo Optimización'!$AZ$4:$CO$149,MATCH(CONCATENATE(CC$7,$AT15),'Modelo Optimización'!$CQ$4:$CQ$149,0),MATCH($AS15,'Modelo Optimización'!$AZ$3:$CO$3,0)))</f>
        <v/>
      </c>
      <c r="CD15" s="32" t="str">
        <f>+IF(AP15="","",INDEX('Modelo Optimización'!$AZ$4:$CO$149,MATCH(CONCATENATE(CD$7,$AT15),'Modelo Optimización'!$CQ$4:$CQ$149,0),MATCH($AS15,'Modelo Optimización'!$AZ$3:$CO$3,0)))</f>
        <v/>
      </c>
      <c r="CE15" s="37" t="str">
        <f>+IF(AQ15="","",INDEX('Modelo Optimización'!$AZ$4:$CO$149,MATCH(CONCATENATE(CE$7,$AT15),'Modelo Optimización'!$CQ$4:$CQ$149,0),MATCH($AS15,'Modelo Optimización'!$AZ$3:$CO$3,0)))</f>
        <v/>
      </c>
      <c r="CF15" s="301"/>
      <c r="CG15" s="305" t="str">
        <f t="shared" si="11"/>
        <v/>
      </c>
      <c r="CH15" s="303" t="str">
        <f t="shared" si="7"/>
        <v/>
      </c>
      <c r="CI15" s="292" t="str">
        <f t="shared" si="8"/>
        <v/>
      </c>
      <c r="CJ15" s="36" t="str">
        <f t="shared" si="12"/>
        <v/>
      </c>
      <c r="CK15" s="32" t="str">
        <f t="shared" si="13"/>
        <v/>
      </c>
      <c r="CL15" s="32" t="str">
        <f t="shared" si="14"/>
        <v/>
      </c>
      <c r="CM15" s="32" t="str">
        <f t="shared" si="15"/>
        <v/>
      </c>
      <c r="CN15" s="32" t="str">
        <f t="shared" si="16"/>
        <v/>
      </c>
      <c r="CO15" s="32" t="str">
        <f t="shared" si="17"/>
        <v/>
      </c>
      <c r="CP15" s="32" t="str">
        <f t="shared" si="18"/>
        <v/>
      </c>
      <c r="CQ15" s="32" t="str">
        <f t="shared" si="19"/>
        <v/>
      </c>
      <c r="CR15" s="32" t="str">
        <f t="shared" si="20"/>
        <v/>
      </c>
      <c r="CS15" s="32" t="str">
        <f t="shared" si="21"/>
        <v/>
      </c>
      <c r="CT15" s="32" t="str">
        <f t="shared" si="22"/>
        <v/>
      </c>
      <c r="CU15" s="32" t="str">
        <f t="shared" si="23"/>
        <v/>
      </c>
      <c r="CV15" s="32" t="str">
        <f t="shared" si="24"/>
        <v/>
      </c>
      <c r="CW15" s="32" t="str">
        <f t="shared" si="25"/>
        <v/>
      </c>
      <c r="CX15" s="32" t="str">
        <f t="shared" si="26"/>
        <v/>
      </c>
      <c r="CY15" s="32" t="str">
        <f t="shared" si="27"/>
        <v/>
      </c>
      <c r="CZ15" s="32" t="str">
        <f t="shared" si="28"/>
        <v/>
      </c>
      <c r="DA15" s="32" t="str">
        <f t="shared" si="29"/>
        <v/>
      </c>
      <c r="DB15" s="32" t="str">
        <f t="shared" si="30"/>
        <v/>
      </c>
      <c r="DC15" s="32" t="str">
        <f t="shared" si="31"/>
        <v/>
      </c>
      <c r="DD15" s="32" t="str">
        <f t="shared" si="32"/>
        <v/>
      </c>
      <c r="DE15" s="32" t="str">
        <f t="shared" si="33"/>
        <v/>
      </c>
      <c r="DF15" s="32" t="str">
        <f t="shared" si="34"/>
        <v/>
      </c>
      <c r="DG15" s="32" t="str">
        <f t="shared" si="35"/>
        <v/>
      </c>
      <c r="DH15" s="32" t="str">
        <f t="shared" si="36"/>
        <v/>
      </c>
      <c r="DI15" s="32" t="str">
        <f t="shared" si="37"/>
        <v/>
      </c>
      <c r="DJ15" s="32" t="str">
        <f t="shared" si="38"/>
        <v/>
      </c>
      <c r="DK15" s="32" t="str">
        <f t="shared" si="39"/>
        <v/>
      </c>
      <c r="DL15" s="32" t="str">
        <f t="shared" si="40"/>
        <v/>
      </c>
      <c r="DM15" s="32" t="str">
        <f t="shared" si="41"/>
        <v/>
      </c>
      <c r="DN15" s="32" t="str">
        <f t="shared" si="42"/>
        <v/>
      </c>
      <c r="DO15" s="32" t="str">
        <f t="shared" si="43"/>
        <v/>
      </c>
      <c r="DP15" s="32" t="str">
        <f t="shared" si="44"/>
        <v/>
      </c>
      <c r="DQ15" s="32" t="str">
        <f t="shared" si="45"/>
        <v/>
      </c>
      <c r="DR15" s="32" t="str">
        <f t="shared" si="46"/>
        <v/>
      </c>
      <c r="DS15" s="32" t="str">
        <f t="shared" si="47"/>
        <v/>
      </c>
      <c r="DT15" s="37" t="str">
        <f t="shared" si="48"/>
        <v/>
      </c>
    </row>
    <row r="16" spans="2:124" x14ac:dyDescent="0.35">
      <c r="B16" s="46"/>
      <c r="C16" s="212"/>
      <c r="D16" s="52"/>
      <c r="E16" s="52" t="str">
        <f>+IF(B16="","",IFERROR(SUMIF('Modelo Optimización'!$AS$72:$AS$217,C16,INDEX('Modelo Optimización'!$C$72:$AR$217,,MATCH(B16,'Modelo Optimización'!$C$71:$AR$71,0))),0))</f>
        <v/>
      </c>
      <c r="F16" s="281" t="str">
        <f t="shared" si="10"/>
        <v/>
      </c>
      <c r="G16" s="280" t="str">
        <f>+IF(IF($B16="","",IFERROR(INDEX('Auxiliar Resultados'!$C$9:$BO$50,MATCH($B16,'Auxiliar Resultados'!$B$9:$B$50,0),MATCH(CONCATENATE($C16,G$7),'Auxiliar Resultados'!$C$6:$BO$6,0)),""))=0,"",IF($B16="","",IFERROR(INDEX('Auxiliar Resultados'!$C$9:$BO$50,MATCH($B16,'Auxiliar Resultados'!$B$9:$B$50,0),MATCH(CONCATENATE($C16,G$7),'Auxiliar Resultados'!$C$6:$BO$6,0)),"")))</f>
        <v/>
      </c>
      <c r="H16" s="52" t="str">
        <f>+IF(IF($B16="","",IFERROR(INDEX('Auxiliar Resultados'!$C$9:$BO$50,MATCH($B16,'Auxiliar Resultados'!$B$9:$B$50,0),MATCH(CONCATENATE($C16,H$7),'Auxiliar Resultados'!$C$6:$BO$6,0)),""))=0,"",IF($B16="","",IFERROR(INDEX('Auxiliar Resultados'!$C$9:$BO$50,MATCH($B16,'Auxiliar Resultados'!$B$9:$B$50,0),MATCH(CONCATENATE($C16,H$7),'Auxiliar Resultados'!$C$6:$BO$6,0)),"")))</f>
        <v/>
      </c>
      <c r="I16" s="52" t="str">
        <f>+IF(IF($B16="","",IFERROR(INDEX('Auxiliar Resultados'!$C$9:$BO$50,MATCH($B16,'Auxiliar Resultados'!$B$9:$B$50,0),MATCH(CONCATENATE($C16,I$7),'Auxiliar Resultados'!$C$6:$BO$6,0)),""))=0,"",IF($B16="","",IFERROR(INDEX('Auxiliar Resultados'!$C$9:$BO$50,MATCH($B16,'Auxiliar Resultados'!$B$9:$B$50,0),MATCH(CONCATENATE($C16,I$7),'Auxiliar Resultados'!$C$6:$BO$6,0)),"")))</f>
        <v/>
      </c>
      <c r="J16" s="52" t="str">
        <f>+IF(IF($B16="","",IFERROR(INDEX('Auxiliar Resultados'!$C$9:$BO$50,MATCH($B16,'Auxiliar Resultados'!$B$9:$B$50,0),MATCH(CONCATENATE($C16,J$7),'Auxiliar Resultados'!$C$6:$BO$6,0)),""))=0,"",IF($B16="","",IFERROR(INDEX('Auxiliar Resultados'!$C$9:$BO$50,MATCH($B16,'Auxiliar Resultados'!$B$9:$B$50,0),MATCH(CONCATENATE($C16,J$7),'Auxiliar Resultados'!$C$6:$BO$6,0)),"")))</f>
        <v/>
      </c>
      <c r="K16" s="52" t="str">
        <f>+IF(IF($B16="","",IFERROR(INDEX('Auxiliar Resultados'!$C$9:$BO$50,MATCH($B16,'Auxiliar Resultados'!$B$9:$B$50,0),MATCH(CONCATENATE($C16,K$7),'Auxiliar Resultados'!$C$6:$BO$6,0)),""))=0,"",IF($B16="","",IFERROR(INDEX('Auxiliar Resultados'!$C$9:$BO$50,MATCH($B16,'Auxiliar Resultados'!$B$9:$B$50,0),MATCH(CONCATENATE($C16,K$7),'Auxiliar Resultados'!$C$6:$BO$6,0)),"")))</f>
        <v/>
      </c>
      <c r="L16" s="52" t="str">
        <f>+IF(IF($B16="","",IFERROR(INDEX('Auxiliar Resultados'!$C$9:$BO$50,MATCH($B16,'Auxiliar Resultados'!$B$9:$B$50,0),MATCH(CONCATENATE($C16,L$7),'Auxiliar Resultados'!$C$6:$BO$6,0)),""))=0,"",IF($B16="","",IFERROR(INDEX('Auxiliar Resultados'!$C$9:$BO$50,MATCH($B16,'Auxiliar Resultados'!$B$9:$B$50,0),MATCH(CONCATENATE($C16,L$7),'Auxiliar Resultados'!$C$6:$BO$6,0)),"")))</f>
        <v/>
      </c>
      <c r="M16" s="52" t="str">
        <f>+IF(IF($B16="","",IFERROR(INDEX('Auxiliar Resultados'!$C$9:$BO$50,MATCH($B16,'Auxiliar Resultados'!$B$9:$B$50,0),MATCH(CONCATENATE($C16,M$7),'Auxiliar Resultados'!$C$6:$BO$6,0)),""))=0,"",IF($B16="","",IFERROR(INDEX('Auxiliar Resultados'!$C$9:$BO$50,MATCH($B16,'Auxiliar Resultados'!$B$9:$B$50,0),MATCH(CONCATENATE($C16,M$7),'Auxiliar Resultados'!$C$6:$BO$6,0)),"")))</f>
        <v/>
      </c>
      <c r="N16" s="52" t="str">
        <f>+IF(IF($B16="","",IFERROR(INDEX('Auxiliar Resultados'!$C$9:$BO$50,MATCH($B16,'Auxiliar Resultados'!$B$9:$B$50,0),MATCH(CONCATENATE($C16,N$7),'Auxiliar Resultados'!$C$6:$BO$6,0)),""))=0,"",IF($B16="","",IFERROR(INDEX('Auxiliar Resultados'!$C$9:$BO$50,MATCH($B16,'Auxiliar Resultados'!$B$9:$B$50,0),MATCH(CONCATENATE($C16,N$7),'Auxiliar Resultados'!$C$6:$BO$6,0)),"")))</f>
        <v/>
      </c>
      <c r="O16" s="52" t="str">
        <f>+IF(IF($B16="","",IFERROR(INDEX('Auxiliar Resultados'!$C$9:$BO$50,MATCH($B16,'Auxiliar Resultados'!$B$9:$B$50,0),MATCH(CONCATENATE($C16,O$7),'Auxiliar Resultados'!$C$6:$BO$6,0)),""))=0,"",IF($B16="","",IFERROR(INDEX('Auxiliar Resultados'!$C$9:$BO$50,MATCH($B16,'Auxiliar Resultados'!$B$9:$B$50,0),MATCH(CONCATENATE($C16,O$7),'Auxiliar Resultados'!$C$6:$BO$6,0)),"")))</f>
        <v/>
      </c>
      <c r="P16" s="52" t="str">
        <f>+IF(IF($B16="","",IFERROR(INDEX('Auxiliar Resultados'!$C$9:$BO$50,MATCH($B16,'Auxiliar Resultados'!$B$9:$B$50,0),MATCH(CONCATENATE($C16,P$7),'Auxiliar Resultados'!$C$6:$BO$6,0)),""))=0,"",IF($B16="","",IFERROR(INDEX('Auxiliar Resultados'!$C$9:$BO$50,MATCH($B16,'Auxiliar Resultados'!$B$9:$B$50,0),MATCH(CONCATENATE($C16,P$7),'Auxiliar Resultados'!$C$6:$BO$6,0)),"")))</f>
        <v/>
      </c>
      <c r="Q16" s="52" t="str">
        <f>+IF(IF($B16="","",IFERROR(INDEX('Auxiliar Resultados'!$C$9:$BO$50,MATCH($B16,'Auxiliar Resultados'!$B$9:$B$50,0),MATCH(CONCATENATE($C16,Q$7),'Auxiliar Resultados'!$C$6:$BO$6,0)),""))=0,"",IF($B16="","",IFERROR(INDEX('Auxiliar Resultados'!$C$9:$BO$50,MATCH($B16,'Auxiliar Resultados'!$B$9:$B$50,0),MATCH(CONCATENATE($C16,Q$7),'Auxiliar Resultados'!$C$6:$BO$6,0)),"")))</f>
        <v/>
      </c>
      <c r="R16" s="52" t="str">
        <f>+IF(IF($B16="","",IFERROR(INDEX('Auxiliar Resultados'!$C$9:$BO$50,MATCH($B16,'Auxiliar Resultados'!$B$9:$B$50,0),MATCH(CONCATENATE($C16,R$7),'Auxiliar Resultados'!$C$6:$BO$6,0)),""))=0,"",IF($B16="","",IFERROR(INDEX('Auxiliar Resultados'!$C$9:$BO$50,MATCH($B16,'Auxiliar Resultados'!$B$9:$B$50,0),MATCH(CONCATENATE($C16,R$7),'Auxiliar Resultados'!$C$6:$BO$6,0)),"")))</f>
        <v/>
      </c>
      <c r="S16" s="52" t="str">
        <f>+IF(IF($B16="","",IFERROR(INDEX('Auxiliar Resultados'!$C$9:$BO$50,MATCH($B16,'Auxiliar Resultados'!$B$9:$B$50,0),MATCH(CONCATENATE($C16,S$7),'Auxiliar Resultados'!$C$6:$BO$6,0)),""))=0,"",IF($B16="","",IFERROR(INDEX('Auxiliar Resultados'!$C$9:$BO$50,MATCH($B16,'Auxiliar Resultados'!$B$9:$B$50,0),MATCH(CONCATENATE($C16,S$7),'Auxiliar Resultados'!$C$6:$BO$6,0)),"")))</f>
        <v/>
      </c>
      <c r="T16" s="52" t="str">
        <f>+IF(IF($B16="","",IFERROR(INDEX('Auxiliar Resultados'!$C$9:$BO$50,MATCH($B16,'Auxiliar Resultados'!$B$9:$B$50,0),MATCH(CONCATENATE($C16,T$7),'Auxiliar Resultados'!$C$6:$BO$6,0)),""))=0,"",IF($B16="","",IFERROR(INDEX('Auxiliar Resultados'!$C$9:$BO$50,MATCH($B16,'Auxiliar Resultados'!$B$9:$B$50,0),MATCH(CONCATENATE($C16,T$7),'Auxiliar Resultados'!$C$6:$BO$6,0)),"")))</f>
        <v/>
      </c>
      <c r="U16" s="52" t="str">
        <f>+IF(IF($B16="","",IFERROR(INDEX('Auxiliar Resultados'!$C$9:$BO$50,MATCH($B16,'Auxiliar Resultados'!$B$9:$B$50,0),MATCH(CONCATENATE($C16,U$7),'Auxiliar Resultados'!$C$6:$BO$6,0)),""))=0,"",IF($B16="","",IFERROR(INDEX('Auxiliar Resultados'!$C$9:$BO$50,MATCH($B16,'Auxiliar Resultados'!$B$9:$B$50,0),MATCH(CONCATENATE($C16,U$7),'Auxiliar Resultados'!$C$6:$BO$6,0)),"")))</f>
        <v/>
      </c>
      <c r="V16" s="52" t="str">
        <f>+IF(IF($B16="","",IFERROR(INDEX('Auxiliar Resultados'!$C$9:$BO$50,MATCH($B16,'Auxiliar Resultados'!$B$9:$B$50,0),MATCH(CONCATENATE($C16,V$7),'Auxiliar Resultados'!$C$6:$BO$6,0)),""))=0,"",IF($B16="","",IFERROR(INDEX('Auxiliar Resultados'!$C$9:$BO$50,MATCH($B16,'Auxiliar Resultados'!$B$9:$B$50,0),MATCH(CONCATENATE($C16,V$7),'Auxiliar Resultados'!$C$6:$BO$6,0)),"")))</f>
        <v/>
      </c>
      <c r="W16" s="52" t="str">
        <f>+IF(IF($B16="","",IFERROR(INDEX('Auxiliar Resultados'!$C$9:$BO$50,MATCH($B16,'Auxiliar Resultados'!$B$9:$B$50,0),MATCH(CONCATENATE($C16,W$7),'Auxiliar Resultados'!$C$6:$BO$6,0)),""))=0,"",IF($B16="","",IFERROR(INDEX('Auxiliar Resultados'!$C$9:$BO$50,MATCH($B16,'Auxiliar Resultados'!$B$9:$B$50,0),MATCH(CONCATENATE($C16,W$7),'Auxiliar Resultados'!$C$6:$BO$6,0)),"")))</f>
        <v/>
      </c>
      <c r="X16" s="52" t="str">
        <f>+IF(IF($B16="","",IFERROR(INDEX('Auxiliar Resultados'!$C$9:$BO$50,MATCH($B16,'Auxiliar Resultados'!$B$9:$B$50,0),MATCH(CONCATENATE($C16,X$7),'Auxiliar Resultados'!$C$6:$BO$6,0)),""))=0,"",IF($B16="","",IFERROR(INDEX('Auxiliar Resultados'!$C$9:$BO$50,MATCH($B16,'Auxiliar Resultados'!$B$9:$B$50,0),MATCH(CONCATENATE($C16,X$7),'Auxiliar Resultados'!$C$6:$BO$6,0)),"")))</f>
        <v/>
      </c>
      <c r="Y16" s="52" t="str">
        <f>+IF(IF($B16="","",IFERROR(INDEX('Auxiliar Resultados'!$C$9:$BO$50,MATCH($B16,'Auxiliar Resultados'!$B$9:$B$50,0),MATCH(CONCATENATE($C16,Y$7),'Auxiliar Resultados'!$C$6:$BO$6,0)),""))=0,"",IF($B16="","",IFERROR(INDEX('Auxiliar Resultados'!$C$9:$BO$50,MATCH($B16,'Auxiliar Resultados'!$B$9:$B$50,0),MATCH(CONCATENATE($C16,Y$7),'Auxiliar Resultados'!$C$6:$BO$6,0)),"")))</f>
        <v/>
      </c>
      <c r="Z16" s="52" t="str">
        <f>+IF(IF($B16="","",IFERROR(INDEX('Auxiliar Resultados'!$C$9:$BO$50,MATCH($B16,'Auxiliar Resultados'!$B$9:$B$50,0),MATCH(CONCATENATE($C16,Z$7),'Auxiliar Resultados'!$C$6:$BO$6,0)),""))=0,"",IF($B16="","",IFERROR(INDEX('Auxiliar Resultados'!$C$9:$BO$50,MATCH($B16,'Auxiliar Resultados'!$B$9:$B$50,0),MATCH(CONCATENATE($C16,Z$7),'Auxiliar Resultados'!$C$6:$BO$6,0)),"")))</f>
        <v/>
      </c>
      <c r="AA16" s="52" t="str">
        <f>+IF(IF($B16="","",IFERROR(INDEX('Auxiliar Resultados'!$C$9:$BO$50,MATCH($B16,'Auxiliar Resultados'!$B$9:$B$50,0),MATCH(CONCATENATE($C16,AA$7),'Auxiliar Resultados'!$C$6:$BO$6,0)),""))=0,"",IF($B16="","",IFERROR(INDEX('Auxiliar Resultados'!$C$9:$BO$50,MATCH($B16,'Auxiliar Resultados'!$B$9:$B$50,0),MATCH(CONCATENATE($C16,AA$7),'Auxiliar Resultados'!$C$6:$BO$6,0)),"")))</f>
        <v/>
      </c>
      <c r="AB16" s="52" t="str">
        <f>+IF(IF($B16="","",IFERROR(INDEX('Auxiliar Resultados'!$C$9:$BO$50,MATCH($B16,'Auxiliar Resultados'!$B$9:$B$50,0),MATCH(CONCATENATE($C16,AB$7),'Auxiliar Resultados'!$C$6:$BO$6,0)),""))=0,"",IF($B16="","",IFERROR(INDEX('Auxiliar Resultados'!$C$9:$BO$50,MATCH($B16,'Auxiliar Resultados'!$B$9:$B$50,0),MATCH(CONCATENATE($C16,AB$7),'Auxiliar Resultados'!$C$6:$BO$6,0)),"")))</f>
        <v/>
      </c>
      <c r="AC16" s="52" t="str">
        <f>+IF(IF($B16="","",IFERROR(INDEX('Auxiliar Resultados'!$C$9:$BO$50,MATCH($B16,'Auxiliar Resultados'!$B$9:$B$50,0),MATCH(CONCATENATE($C16,AC$7),'Auxiliar Resultados'!$C$6:$BO$6,0)),""))=0,"",IF($B16="","",IFERROR(INDEX('Auxiliar Resultados'!$C$9:$BO$50,MATCH($B16,'Auxiliar Resultados'!$B$9:$B$50,0),MATCH(CONCATENATE($C16,AC$7),'Auxiliar Resultados'!$C$6:$BO$6,0)),"")))</f>
        <v/>
      </c>
      <c r="AD16" s="52" t="str">
        <f>+IF(IF($B16="","",IFERROR(INDEX('Auxiliar Resultados'!$C$9:$BO$50,MATCH($B16,'Auxiliar Resultados'!$B$9:$B$50,0),MATCH(CONCATENATE($C16,AD$7),'Auxiliar Resultados'!$C$6:$BO$6,0)),""))=0,"",IF($B16="","",IFERROR(INDEX('Auxiliar Resultados'!$C$9:$BO$50,MATCH($B16,'Auxiliar Resultados'!$B$9:$B$50,0),MATCH(CONCATENATE($C16,AD$7),'Auxiliar Resultados'!$C$6:$BO$6,0)),"")))</f>
        <v/>
      </c>
      <c r="AE16" s="52" t="str">
        <f>+IF(IF($B16="","",IFERROR(INDEX('Auxiliar Resultados'!$C$9:$BO$50,MATCH($B16,'Auxiliar Resultados'!$B$9:$B$50,0),MATCH(CONCATENATE($C16,AE$7),'Auxiliar Resultados'!$C$6:$BO$6,0)),""))=0,"",IF($B16="","",IFERROR(INDEX('Auxiliar Resultados'!$C$9:$BO$50,MATCH($B16,'Auxiliar Resultados'!$B$9:$B$50,0),MATCH(CONCATENATE($C16,AE$7),'Auxiliar Resultados'!$C$6:$BO$6,0)),"")))</f>
        <v/>
      </c>
      <c r="AF16" s="52" t="str">
        <f>+IF(IF($B16="","",IFERROR(INDEX('Auxiliar Resultados'!$C$9:$BO$50,MATCH($B16,'Auxiliar Resultados'!$B$9:$B$50,0),MATCH(CONCATENATE($C16,AF$7),'Auxiliar Resultados'!$C$6:$BO$6,0)),""))=0,"",IF($B16="","",IFERROR(INDEX('Auxiliar Resultados'!$C$9:$BO$50,MATCH($B16,'Auxiliar Resultados'!$B$9:$B$50,0),MATCH(CONCATENATE($C16,AF$7),'Auxiliar Resultados'!$C$6:$BO$6,0)),"")))</f>
        <v/>
      </c>
      <c r="AG16" s="52" t="str">
        <f>+IF(IF($B16="","",IFERROR(INDEX('Auxiliar Resultados'!$C$9:$BO$50,MATCH($B16,'Auxiliar Resultados'!$B$9:$B$50,0),MATCH(CONCATENATE($C16,AG$7),'Auxiliar Resultados'!$C$6:$BO$6,0)),""))=0,"",IF($B16="","",IFERROR(INDEX('Auxiliar Resultados'!$C$9:$BO$50,MATCH($B16,'Auxiliar Resultados'!$B$9:$B$50,0),MATCH(CONCATENATE($C16,AG$7),'Auxiliar Resultados'!$C$6:$BO$6,0)),"")))</f>
        <v/>
      </c>
      <c r="AH16" s="52" t="str">
        <f>+IF(IF($B16="","",IFERROR(INDEX('Auxiliar Resultados'!$C$9:$BO$50,MATCH($B16,'Auxiliar Resultados'!$B$9:$B$50,0),MATCH(CONCATENATE($C16,AH$7),'Auxiliar Resultados'!$C$6:$BO$6,0)),""))=0,"",IF($B16="","",IFERROR(INDEX('Auxiliar Resultados'!$C$9:$BO$50,MATCH($B16,'Auxiliar Resultados'!$B$9:$B$50,0),MATCH(CONCATENATE($C16,AH$7),'Auxiliar Resultados'!$C$6:$BO$6,0)),"")))</f>
        <v/>
      </c>
      <c r="AI16" s="52" t="str">
        <f>+IF(IF($B16="","",IFERROR(INDEX('Auxiliar Resultados'!$C$9:$BO$50,MATCH($B16,'Auxiliar Resultados'!$B$9:$B$50,0),MATCH(CONCATENATE($C16,AI$7),'Auxiliar Resultados'!$C$6:$BO$6,0)),""))=0,"",IF($B16="","",IFERROR(INDEX('Auxiliar Resultados'!$C$9:$BO$50,MATCH($B16,'Auxiliar Resultados'!$B$9:$B$50,0),MATCH(CONCATENATE($C16,AI$7),'Auxiliar Resultados'!$C$6:$BO$6,0)),"")))</f>
        <v/>
      </c>
      <c r="AJ16" s="52" t="str">
        <f>+IF(IF($B16="","",IFERROR(INDEX('Auxiliar Resultados'!$C$9:$BO$50,MATCH($B16,'Auxiliar Resultados'!$B$9:$B$50,0),MATCH(CONCATENATE($C16,AJ$7),'Auxiliar Resultados'!$C$6:$BO$6,0)),""))=0,"",IF($B16="","",IFERROR(INDEX('Auxiliar Resultados'!$C$9:$BO$50,MATCH($B16,'Auxiliar Resultados'!$B$9:$B$50,0),MATCH(CONCATENATE($C16,AJ$7),'Auxiliar Resultados'!$C$6:$BO$6,0)),"")))</f>
        <v/>
      </c>
      <c r="AK16" s="52" t="str">
        <f>+IF(IF($B16="","",IFERROR(INDEX('Auxiliar Resultados'!$C$9:$BO$50,MATCH($B16,'Auxiliar Resultados'!$B$9:$B$50,0),MATCH(CONCATENATE($C16,AK$7),'Auxiliar Resultados'!$C$6:$BO$6,0)),""))=0,"",IF($B16="","",IFERROR(INDEX('Auxiliar Resultados'!$C$9:$BO$50,MATCH($B16,'Auxiliar Resultados'!$B$9:$B$50,0),MATCH(CONCATENATE($C16,AK$7),'Auxiliar Resultados'!$C$6:$BO$6,0)),"")))</f>
        <v/>
      </c>
      <c r="AL16" s="52" t="str">
        <f>+IF(IF($B16="","",IFERROR(INDEX('Auxiliar Resultados'!$C$9:$BO$50,MATCH($B16,'Auxiliar Resultados'!$B$9:$B$50,0),MATCH(CONCATENATE($C16,AL$7),'Auxiliar Resultados'!$C$6:$BO$6,0)),""))=0,"",IF($B16="","",IFERROR(INDEX('Auxiliar Resultados'!$C$9:$BO$50,MATCH($B16,'Auxiliar Resultados'!$B$9:$B$50,0),MATCH(CONCATENATE($C16,AL$7),'Auxiliar Resultados'!$C$6:$BO$6,0)),"")))</f>
        <v/>
      </c>
      <c r="AM16" s="52" t="str">
        <f>+IF(IF($B16="","",IFERROR(INDEX('Auxiliar Resultados'!$C$9:$BO$50,MATCH($B16,'Auxiliar Resultados'!$B$9:$B$50,0),MATCH(CONCATENATE($C16,AM$7),'Auxiliar Resultados'!$C$6:$BO$6,0)),""))=0,"",IF($B16="","",IFERROR(INDEX('Auxiliar Resultados'!$C$9:$BO$50,MATCH($B16,'Auxiliar Resultados'!$B$9:$B$50,0),MATCH(CONCATENATE($C16,AM$7),'Auxiliar Resultados'!$C$6:$BO$6,0)),"")))</f>
        <v/>
      </c>
      <c r="AN16" s="52" t="str">
        <f>+IF(IF($B16="","",IFERROR(INDEX('Auxiliar Resultados'!$C$9:$BO$50,MATCH($B16,'Auxiliar Resultados'!$B$9:$B$50,0),MATCH(CONCATENATE($C16,AN$7),'Auxiliar Resultados'!$C$6:$BO$6,0)),""))=0,"",IF($B16="","",IFERROR(INDEX('Auxiliar Resultados'!$C$9:$BO$50,MATCH($B16,'Auxiliar Resultados'!$B$9:$B$50,0),MATCH(CONCATENATE($C16,AN$7),'Auxiliar Resultados'!$C$6:$BO$6,0)),"")))</f>
        <v/>
      </c>
      <c r="AO16" s="52" t="str">
        <f>+IF(IF($B16="","",IFERROR(INDEX('Auxiliar Resultados'!$C$9:$BO$50,MATCH($B16,'Auxiliar Resultados'!$B$9:$B$50,0),MATCH(CONCATENATE($C16,AO$7),'Auxiliar Resultados'!$C$6:$BO$6,0)),""))=0,"",IF($B16="","",IFERROR(INDEX('Auxiliar Resultados'!$C$9:$BO$50,MATCH($B16,'Auxiliar Resultados'!$B$9:$B$50,0),MATCH(CONCATENATE($C16,AO$7),'Auxiliar Resultados'!$C$6:$BO$6,0)),"")))</f>
        <v/>
      </c>
      <c r="AP16" s="52" t="str">
        <f>+IF(IF($B16="","",IFERROR(INDEX('Auxiliar Resultados'!$C$9:$BO$50,MATCH($B16,'Auxiliar Resultados'!$B$9:$B$50,0),MATCH(CONCATENATE($C16,AP$7),'Auxiliar Resultados'!$C$6:$BO$6,0)),""))=0,"",IF($B16="","",IFERROR(INDEX('Auxiliar Resultados'!$C$9:$BO$50,MATCH($B16,'Auxiliar Resultados'!$B$9:$B$50,0),MATCH(CONCATENATE($C16,AP$7),'Auxiliar Resultados'!$C$6:$BO$6,0)),"")))</f>
        <v/>
      </c>
      <c r="AQ16" s="276" t="str">
        <f>+IF(IF($B16="","",IFERROR(INDEX('Auxiliar Resultados'!$C$9:$BO$50,MATCH($B16,'Auxiliar Resultados'!$B$9:$B$50,0),MATCH(CONCATENATE($C16,AQ$7),'Auxiliar Resultados'!$C$6:$BO$6,0)),""))=0,"",IF($B16="","",IFERROR(INDEX('Auxiliar Resultados'!$C$9:$BO$50,MATCH($B16,'Auxiliar Resultados'!$B$9:$B$50,0),MATCH(CONCATENATE($C16,AQ$7),'Auxiliar Resultados'!$C$6:$BO$6,0)),"")))</f>
        <v/>
      </c>
      <c r="AS16" s="46" t="str">
        <f t="shared" si="5"/>
        <v/>
      </c>
      <c r="AT16" s="292" t="str">
        <f t="shared" si="6"/>
        <v/>
      </c>
      <c r="AU16" s="36" t="str">
        <f>+IF(G16="","",INDEX('Modelo Optimización'!$AZ$4:$CO$149,MATCH(CONCATENATE(AU$7,$AT16),'Modelo Optimización'!$CQ$4:$CQ$149,0),MATCH($AS16,'Modelo Optimización'!$AZ$3:$CO$3,0)))</f>
        <v/>
      </c>
      <c r="AV16" s="32" t="str">
        <f>+IF(H16="","",INDEX('Modelo Optimización'!$AZ$4:$CO$149,MATCH(CONCATENATE(AV$7,$AT16),'Modelo Optimización'!$CQ$4:$CQ$149,0),MATCH($AS16,'Modelo Optimización'!$AZ$3:$CO$3,0)))</f>
        <v/>
      </c>
      <c r="AW16" s="32" t="str">
        <f>+IF(I16="","",INDEX('Modelo Optimización'!$AZ$4:$CO$149,MATCH(CONCATENATE(AW$7,$AT16),'Modelo Optimización'!$CQ$4:$CQ$149,0),MATCH($AS16,'Modelo Optimización'!$AZ$3:$CO$3,0)))</f>
        <v/>
      </c>
      <c r="AX16" s="32" t="str">
        <f>+IF(J16="","",INDEX('Modelo Optimización'!$AZ$4:$CO$149,MATCH(CONCATENATE(AX$7,$AT16),'Modelo Optimización'!$CQ$4:$CQ$149,0),MATCH($AS16,'Modelo Optimización'!$AZ$3:$CO$3,0)))</f>
        <v/>
      </c>
      <c r="AY16" s="32" t="str">
        <f>+IF(K16="","",INDEX('Modelo Optimización'!$AZ$4:$CO$149,MATCH(CONCATENATE(AY$7,$AT16),'Modelo Optimización'!$CQ$4:$CQ$149,0),MATCH($AS16,'Modelo Optimización'!$AZ$3:$CO$3,0)))</f>
        <v/>
      </c>
      <c r="AZ16" s="32" t="str">
        <f>+IF(L16="","",INDEX('Modelo Optimización'!$AZ$4:$CO$149,MATCH(CONCATENATE(AZ$7,$AT16),'Modelo Optimización'!$CQ$4:$CQ$149,0),MATCH($AS16,'Modelo Optimización'!$AZ$3:$CO$3,0)))</f>
        <v/>
      </c>
      <c r="BA16" s="32" t="str">
        <f>+IF(M16="","",INDEX('Modelo Optimización'!$AZ$4:$CO$149,MATCH(CONCATENATE(BA$7,$AT16),'Modelo Optimización'!$CQ$4:$CQ$149,0),MATCH($AS16,'Modelo Optimización'!$AZ$3:$CO$3,0)))</f>
        <v/>
      </c>
      <c r="BB16" s="32" t="str">
        <f>+IF(N16="","",INDEX('Modelo Optimización'!$AZ$4:$CO$149,MATCH(CONCATENATE(BB$7,$AT16),'Modelo Optimización'!$CQ$4:$CQ$149,0),MATCH($AS16,'Modelo Optimización'!$AZ$3:$CO$3,0)))</f>
        <v/>
      </c>
      <c r="BC16" s="32" t="str">
        <f>+IF(O16="","",INDEX('Modelo Optimización'!$AZ$4:$CO$149,MATCH(CONCATENATE(BC$7,$AT16),'Modelo Optimización'!$CQ$4:$CQ$149,0),MATCH($AS16,'Modelo Optimización'!$AZ$3:$CO$3,0)))</f>
        <v/>
      </c>
      <c r="BD16" s="32" t="str">
        <f>+IF(P16="","",INDEX('Modelo Optimización'!$AZ$4:$CO$149,MATCH(CONCATENATE(BD$7,$AT16),'Modelo Optimización'!$CQ$4:$CQ$149,0),MATCH($AS16,'Modelo Optimización'!$AZ$3:$CO$3,0)))</f>
        <v/>
      </c>
      <c r="BE16" s="32" t="str">
        <f>+IF(Q16="","",INDEX('Modelo Optimización'!$AZ$4:$CO$149,MATCH(CONCATENATE(BE$7,$AT16),'Modelo Optimización'!$CQ$4:$CQ$149,0),MATCH($AS16,'Modelo Optimización'!$AZ$3:$CO$3,0)))</f>
        <v/>
      </c>
      <c r="BF16" s="32" t="str">
        <f>+IF(R16="","",INDEX('Modelo Optimización'!$AZ$4:$CO$149,MATCH(CONCATENATE(BF$7,$AT16),'Modelo Optimización'!$CQ$4:$CQ$149,0),MATCH($AS16,'Modelo Optimización'!$AZ$3:$CO$3,0)))</f>
        <v/>
      </c>
      <c r="BG16" s="32" t="str">
        <f>+IF(S16="","",INDEX('Modelo Optimización'!$AZ$4:$CO$149,MATCH(CONCATENATE(BG$7,$AT16),'Modelo Optimización'!$CQ$4:$CQ$149,0),MATCH($AS16,'Modelo Optimización'!$AZ$3:$CO$3,0)))</f>
        <v/>
      </c>
      <c r="BH16" s="32" t="str">
        <f>+IF(T16="","",INDEX('Modelo Optimización'!$AZ$4:$CO$149,MATCH(CONCATENATE(BH$7,$AT16),'Modelo Optimización'!$CQ$4:$CQ$149,0),MATCH($AS16,'Modelo Optimización'!$AZ$3:$CO$3,0)))</f>
        <v/>
      </c>
      <c r="BI16" s="32" t="str">
        <f>+IF(U16="","",INDEX('Modelo Optimización'!$AZ$4:$CO$149,MATCH(CONCATENATE(BI$7,$AT16),'Modelo Optimización'!$CQ$4:$CQ$149,0),MATCH($AS16,'Modelo Optimización'!$AZ$3:$CO$3,0)))</f>
        <v/>
      </c>
      <c r="BJ16" s="32" t="str">
        <f>+IF(V16="","",INDEX('Modelo Optimización'!$AZ$4:$CO$149,MATCH(CONCATENATE(BJ$7,$AT16),'Modelo Optimización'!$CQ$4:$CQ$149,0),MATCH($AS16,'Modelo Optimización'!$AZ$3:$CO$3,0)))</f>
        <v/>
      </c>
      <c r="BK16" s="32" t="str">
        <f>+IF(W16="","",INDEX('Modelo Optimización'!$AZ$4:$CO$149,MATCH(CONCATENATE(BK$7,$AT16),'Modelo Optimización'!$CQ$4:$CQ$149,0),MATCH($AS16,'Modelo Optimización'!$AZ$3:$CO$3,0)))</f>
        <v/>
      </c>
      <c r="BL16" s="32" t="str">
        <f>+IF(X16="","",INDEX('Modelo Optimización'!$AZ$4:$CO$149,MATCH(CONCATENATE(BL$7,$AT16),'Modelo Optimización'!$CQ$4:$CQ$149,0),MATCH($AS16,'Modelo Optimización'!$AZ$3:$CO$3,0)))</f>
        <v/>
      </c>
      <c r="BM16" s="32" t="str">
        <f>+IF(Y16="","",INDEX('Modelo Optimización'!$AZ$4:$CO$149,MATCH(CONCATENATE(BM$7,$AT16),'Modelo Optimización'!$CQ$4:$CQ$149,0),MATCH($AS16,'Modelo Optimización'!$AZ$3:$CO$3,0)))</f>
        <v/>
      </c>
      <c r="BN16" s="32" t="str">
        <f>+IF(Z16="","",INDEX('Modelo Optimización'!$AZ$4:$CO$149,MATCH(CONCATENATE(BN$7,$AT16),'Modelo Optimización'!$CQ$4:$CQ$149,0),MATCH($AS16,'Modelo Optimización'!$AZ$3:$CO$3,0)))</f>
        <v/>
      </c>
      <c r="BO16" s="32" t="str">
        <f>+IF(AA16="","",INDEX('Modelo Optimización'!$AZ$4:$CO$149,MATCH(CONCATENATE(BO$7,$AT16),'Modelo Optimización'!$CQ$4:$CQ$149,0),MATCH($AS16,'Modelo Optimización'!$AZ$3:$CO$3,0)))</f>
        <v/>
      </c>
      <c r="BP16" s="32" t="str">
        <f>+IF(AB16="","",INDEX('Modelo Optimización'!$AZ$4:$CO$149,MATCH(CONCATENATE(BP$7,$AT16),'Modelo Optimización'!$CQ$4:$CQ$149,0),MATCH($AS16,'Modelo Optimización'!$AZ$3:$CO$3,0)))</f>
        <v/>
      </c>
      <c r="BQ16" s="32" t="str">
        <f>+IF(AC16="","",INDEX('Modelo Optimización'!$AZ$4:$CO$149,MATCH(CONCATENATE(BQ$7,$AT16),'Modelo Optimización'!$CQ$4:$CQ$149,0),MATCH($AS16,'Modelo Optimización'!$AZ$3:$CO$3,0)))</f>
        <v/>
      </c>
      <c r="BR16" s="32" t="str">
        <f>+IF(AD16="","",INDEX('Modelo Optimización'!$AZ$4:$CO$149,MATCH(CONCATENATE(BR$7,$AT16),'Modelo Optimización'!$CQ$4:$CQ$149,0),MATCH($AS16,'Modelo Optimización'!$AZ$3:$CO$3,0)))</f>
        <v/>
      </c>
      <c r="BS16" s="32" t="str">
        <f>+IF(AE16="","",INDEX('Modelo Optimización'!$AZ$4:$CO$149,MATCH(CONCATENATE(BS$7,$AT16),'Modelo Optimización'!$CQ$4:$CQ$149,0),MATCH($AS16,'Modelo Optimización'!$AZ$3:$CO$3,0)))</f>
        <v/>
      </c>
      <c r="BT16" s="32" t="str">
        <f>+IF(AF16="","",INDEX('Modelo Optimización'!$AZ$4:$CO$149,MATCH(CONCATENATE(BT$7,$AT16),'Modelo Optimización'!$CQ$4:$CQ$149,0),MATCH($AS16,'Modelo Optimización'!$AZ$3:$CO$3,0)))</f>
        <v/>
      </c>
      <c r="BU16" s="32" t="str">
        <f>+IF(AG16="","",INDEX('Modelo Optimización'!$AZ$4:$CO$149,MATCH(CONCATENATE(BU$7,$AT16),'Modelo Optimización'!$CQ$4:$CQ$149,0),MATCH($AS16,'Modelo Optimización'!$AZ$3:$CO$3,0)))</f>
        <v/>
      </c>
      <c r="BV16" s="32" t="str">
        <f>+IF(AH16="","",INDEX('Modelo Optimización'!$AZ$4:$CO$149,MATCH(CONCATENATE(BV$7,$AT16),'Modelo Optimización'!$CQ$4:$CQ$149,0),MATCH($AS16,'Modelo Optimización'!$AZ$3:$CO$3,0)))</f>
        <v/>
      </c>
      <c r="BW16" s="32" t="str">
        <f>+IF(AI16="","",INDEX('Modelo Optimización'!$AZ$4:$CO$149,MATCH(CONCATENATE(BW$7,$AT16),'Modelo Optimización'!$CQ$4:$CQ$149,0),MATCH($AS16,'Modelo Optimización'!$AZ$3:$CO$3,0)))</f>
        <v/>
      </c>
      <c r="BX16" s="32" t="str">
        <f>+IF(AJ16="","",INDEX('Modelo Optimización'!$AZ$4:$CO$149,MATCH(CONCATENATE(BX$7,$AT16),'Modelo Optimización'!$CQ$4:$CQ$149,0),MATCH($AS16,'Modelo Optimización'!$AZ$3:$CO$3,0)))</f>
        <v/>
      </c>
      <c r="BY16" s="32" t="str">
        <f>+IF(AK16="","",INDEX('Modelo Optimización'!$AZ$4:$CO$149,MATCH(CONCATENATE(BY$7,$AT16),'Modelo Optimización'!$CQ$4:$CQ$149,0),MATCH($AS16,'Modelo Optimización'!$AZ$3:$CO$3,0)))</f>
        <v/>
      </c>
      <c r="BZ16" s="32" t="str">
        <f>+IF(AL16="","",INDEX('Modelo Optimización'!$AZ$4:$CO$149,MATCH(CONCATENATE(BZ$7,$AT16),'Modelo Optimización'!$CQ$4:$CQ$149,0),MATCH($AS16,'Modelo Optimización'!$AZ$3:$CO$3,0)))</f>
        <v/>
      </c>
      <c r="CA16" s="32" t="str">
        <f>+IF(AM16="","",INDEX('Modelo Optimización'!$AZ$4:$CO$149,MATCH(CONCATENATE(CA$7,$AT16),'Modelo Optimización'!$CQ$4:$CQ$149,0),MATCH($AS16,'Modelo Optimización'!$AZ$3:$CO$3,0)))</f>
        <v/>
      </c>
      <c r="CB16" s="32" t="str">
        <f>+IF(AN16="","",INDEX('Modelo Optimización'!$AZ$4:$CO$149,MATCH(CONCATENATE(CB$7,$AT16),'Modelo Optimización'!$CQ$4:$CQ$149,0),MATCH($AS16,'Modelo Optimización'!$AZ$3:$CO$3,0)))</f>
        <v/>
      </c>
      <c r="CC16" s="32" t="str">
        <f>+IF(AO16="","",INDEX('Modelo Optimización'!$AZ$4:$CO$149,MATCH(CONCATENATE(CC$7,$AT16),'Modelo Optimización'!$CQ$4:$CQ$149,0),MATCH($AS16,'Modelo Optimización'!$AZ$3:$CO$3,0)))</f>
        <v/>
      </c>
      <c r="CD16" s="32" t="str">
        <f>+IF(AP16="","",INDEX('Modelo Optimización'!$AZ$4:$CO$149,MATCH(CONCATENATE(CD$7,$AT16),'Modelo Optimización'!$CQ$4:$CQ$149,0),MATCH($AS16,'Modelo Optimización'!$AZ$3:$CO$3,0)))</f>
        <v/>
      </c>
      <c r="CE16" s="37" t="str">
        <f>+IF(AQ16="","",INDEX('Modelo Optimización'!$AZ$4:$CO$149,MATCH(CONCATENATE(CE$7,$AT16),'Modelo Optimización'!$CQ$4:$CQ$149,0),MATCH($AS16,'Modelo Optimización'!$AZ$3:$CO$3,0)))</f>
        <v/>
      </c>
      <c r="CF16" s="301"/>
      <c r="CG16" s="305" t="str">
        <f t="shared" si="11"/>
        <v/>
      </c>
      <c r="CH16" s="303" t="str">
        <f t="shared" si="7"/>
        <v/>
      </c>
      <c r="CI16" s="292" t="str">
        <f t="shared" si="8"/>
        <v/>
      </c>
      <c r="CJ16" s="36" t="str">
        <f t="shared" si="12"/>
        <v/>
      </c>
      <c r="CK16" s="32" t="str">
        <f t="shared" si="13"/>
        <v/>
      </c>
      <c r="CL16" s="32" t="str">
        <f t="shared" si="14"/>
        <v/>
      </c>
      <c r="CM16" s="32" t="str">
        <f t="shared" si="15"/>
        <v/>
      </c>
      <c r="CN16" s="32" t="str">
        <f t="shared" si="16"/>
        <v/>
      </c>
      <c r="CO16" s="32" t="str">
        <f t="shared" si="17"/>
        <v/>
      </c>
      <c r="CP16" s="32" t="str">
        <f t="shared" si="18"/>
        <v/>
      </c>
      <c r="CQ16" s="32" t="str">
        <f t="shared" si="19"/>
        <v/>
      </c>
      <c r="CR16" s="32" t="str">
        <f t="shared" si="20"/>
        <v/>
      </c>
      <c r="CS16" s="32" t="str">
        <f t="shared" si="21"/>
        <v/>
      </c>
      <c r="CT16" s="32" t="str">
        <f t="shared" si="22"/>
        <v/>
      </c>
      <c r="CU16" s="32" t="str">
        <f t="shared" si="23"/>
        <v/>
      </c>
      <c r="CV16" s="32" t="str">
        <f t="shared" si="24"/>
        <v/>
      </c>
      <c r="CW16" s="32" t="str">
        <f t="shared" si="25"/>
        <v/>
      </c>
      <c r="CX16" s="32" t="str">
        <f t="shared" si="26"/>
        <v/>
      </c>
      <c r="CY16" s="32" t="str">
        <f t="shared" si="27"/>
        <v/>
      </c>
      <c r="CZ16" s="32" t="str">
        <f t="shared" si="28"/>
        <v/>
      </c>
      <c r="DA16" s="32" t="str">
        <f t="shared" si="29"/>
        <v/>
      </c>
      <c r="DB16" s="32" t="str">
        <f t="shared" si="30"/>
        <v/>
      </c>
      <c r="DC16" s="32" t="str">
        <f t="shared" si="31"/>
        <v/>
      </c>
      <c r="DD16" s="32" t="str">
        <f t="shared" si="32"/>
        <v/>
      </c>
      <c r="DE16" s="32" t="str">
        <f t="shared" si="33"/>
        <v/>
      </c>
      <c r="DF16" s="32" t="str">
        <f t="shared" si="34"/>
        <v/>
      </c>
      <c r="DG16" s="32" t="str">
        <f t="shared" si="35"/>
        <v/>
      </c>
      <c r="DH16" s="32" t="str">
        <f t="shared" si="36"/>
        <v/>
      </c>
      <c r="DI16" s="32" t="str">
        <f t="shared" si="37"/>
        <v/>
      </c>
      <c r="DJ16" s="32" t="str">
        <f t="shared" si="38"/>
        <v/>
      </c>
      <c r="DK16" s="32" t="str">
        <f t="shared" si="39"/>
        <v/>
      </c>
      <c r="DL16" s="32" t="str">
        <f t="shared" si="40"/>
        <v/>
      </c>
      <c r="DM16" s="32" t="str">
        <f t="shared" si="41"/>
        <v/>
      </c>
      <c r="DN16" s="32" t="str">
        <f t="shared" si="42"/>
        <v/>
      </c>
      <c r="DO16" s="32" t="str">
        <f t="shared" si="43"/>
        <v/>
      </c>
      <c r="DP16" s="32" t="str">
        <f t="shared" si="44"/>
        <v/>
      </c>
      <c r="DQ16" s="32" t="str">
        <f t="shared" si="45"/>
        <v/>
      </c>
      <c r="DR16" s="32" t="str">
        <f t="shared" si="46"/>
        <v/>
      </c>
      <c r="DS16" s="32" t="str">
        <f t="shared" si="47"/>
        <v/>
      </c>
      <c r="DT16" s="37" t="str">
        <f t="shared" si="48"/>
        <v/>
      </c>
    </row>
    <row r="17" spans="2:124" x14ac:dyDescent="0.35">
      <c r="B17" s="46"/>
      <c r="C17" s="212"/>
      <c r="D17" s="52"/>
      <c r="E17" s="52" t="str">
        <f>+IF(B17="","",IFERROR(SUMIF('Modelo Optimización'!$AS$72:$AS$217,C17,INDEX('Modelo Optimización'!$C$72:$AR$217,,MATCH(B17,'Modelo Optimización'!$C$71:$AR$71,0))),0))</f>
        <v/>
      </c>
      <c r="F17" s="281" t="str">
        <f t="shared" si="10"/>
        <v/>
      </c>
      <c r="G17" s="280" t="str">
        <f>+IF(IF($B17="","",IFERROR(INDEX('Auxiliar Resultados'!$C$9:$BO$50,MATCH($B17,'Auxiliar Resultados'!$B$9:$B$50,0),MATCH(CONCATENATE($C17,G$7),'Auxiliar Resultados'!$C$6:$BO$6,0)),""))=0,"",IF($B17="","",IFERROR(INDEX('Auxiliar Resultados'!$C$9:$BO$50,MATCH($B17,'Auxiliar Resultados'!$B$9:$B$50,0),MATCH(CONCATENATE($C17,G$7),'Auxiliar Resultados'!$C$6:$BO$6,0)),"")))</f>
        <v/>
      </c>
      <c r="H17" s="52" t="str">
        <f>+IF(IF($B17="","",IFERROR(INDEX('Auxiliar Resultados'!$C$9:$BO$50,MATCH($B17,'Auxiliar Resultados'!$B$9:$B$50,0),MATCH(CONCATENATE($C17,H$7),'Auxiliar Resultados'!$C$6:$BO$6,0)),""))=0,"",IF($B17="","",IFERROR(INDEX('Auxiliar Resultados'!$C$9:$BO$50,MATCH($B17,'Auxiliar Resultados'!$B$9:$B$50,0),MATCH(CONCATENATE($C17,H$7),'Auxiliar Resultados'!$C$6:$BO$6,0)),"")))</f>
        <v/>
      </c>
      <c r="I17" s="52" t="str">
        <f>+IF(IF($B17="","",IFERROR(INDEX('Auxiliar Resultados'!$C$9:$BO$50,MATCH($B17,'Auxiliar Resultados'!$B$9:$B$50,0),MATCH(CONCATENATE($C17,I$7),'Auxiliar Resultados'!$C$6:$BO$6,0)),""))=0,"",IF($B17="","",IFERROR(INDEX('Auxiliar Resultados'!$C$9:$BO$50,MATCH($B17,'Auxiliar Resultados'!$B$9:$B$50,0),MATCH(CONCATENATE($C17,I$7),'Auxiliar Resultados'!$C$6:$BO$6,0)),"")))</f>
        <v/>
      </c>
      <c r="J17" s="52" t="str">
        <f>+IF(IF($B17="","",IFERROR(INDEX('Auxiliar Resultados'!$C$9:$BO$50,MATCH($B17,'Auxiliar Resultados'!$B$9:$B$50,0),MATCH(CONCATENATE($C17,J$7),'Auxiliar Resultados'!$C$6:$BO$6,0)),""))=0,"",IF($B17="","",IFERROR(INDEX('Auxiliar Resultados'!$C$9:$BO$50,MATCH($B17,'Auxiliar Resultados'!$B$9:$B$50,0),MATCH(CONCATENATE($C17,J$7),'Auxiliar Resultados'!$C$6:$BO$6,0)),"")))</f>
        <v/>
      </c>
      <c r="K17" s="52" t="str">
        <f>+IF(IF($B17="","",IFERROR(INDEX('Auxiliar Resultados'!$C$9:$BO$50,MATCH($B17,'Auxiliar Resultados'!$B$9:$B$50,0),MATCH(CONCATENATE($C17,K$7),'Auxiliar Resultados'!$C$6:$BO$6,0)),""))=0,"",IF($B17="","",IFERROR(INDEX('Auxiliar Resultados'!$C$9:$BO$50,MATCH($B17,'Auxiliar Resultados'!$B$9:$B$50,0),MATCH(CONCATENATE($C17,K$7),'Auxiliar Resultados'!$C$6:$BO$6,0)),"")))</f>
        <v/>
      </c>
      <c r="L17" s="52" t="str">
        <f>+IF(IF($B17="","",IFERROR(INDEX('Auxiliar Resultados'!$C$9:$BO$50,MATCH($B17,'Auxiliar Resultados'!$B$9:$B$50,0),MATCH(CONCATENATE($C17,L$7),'Auxiliar Resultados'!$C$6:$BO$6,0)),""))=0,"",IF($B17="","",IFERROR(INDEX('Auxiliar Resultados'!$C$9:$BO$50,MATCH($B17,'Auxiliar Resultados'!$B$9:$B$50,0),MATCH(CONCATENATE($C17,L$7),'Auxiliar Resultados'!$C$6:$BO$6,0)),"")))</f>
        <v/>
      </c>
      <c r="M17" s="52" t="str">
        <f>+IF(IF($B17="","",IFERROR(INDEX('Auxiliar Resultados'!$C$9:$BO$50,MATCH($B17,'Auxiliar Resultados'!$B$9:$B$50,0),MATCH(CONCATENATE($C17,M$7),'Auxiliar Resultados'!$C$6:$BO$6,0)),""))=0,"",IF($B17="","",IFERROR(INDEX('Auxiliar Resultados'!$C$9:$BO$50,MATCH($B17,'Auxiliar Resultados'!$B$9:$B$50,0),MATCH(CONCATENATE($C17,M$7),'Auxiliar Resultados'!$C$6:$BO$6,0)),"")))</f>
        <v/>
      </c>
      <c r="N17" s="52" t="str">
        <f>+IF(IF($B17="","",IFERROR(INDEX('Auxiliar Resultados'!$C$9:$BO$50,MATCH($B17,'Auxiliar Resultados'!$B$9:$B$50,0),MATCH(CONCATENATE($C17,N$7),'Auxiliar Resultados'!$C$6:$BO$6,0)),""))=0,"",IF($B17="","",IFERROR(INDEX('Auxiliar Resultados'!$C$9:$BO$50,MATCH($B17,'Auxiliar Resultados'!$B$9:$B$50,0),MATCH(CONCATENATE($C17,N$7),'Auxiliar Resultados'!$C$6:$BO$6,0)),"")))</f>
        <v/>
      </c>
      <c r="O17" s="52" t="str">
        <f>+IF(IF($B17="","",IFERROR(INDEX('Auxiliar Resultados'!$C$9:$BO$50,MATCH($B17,'Auxiliar Resultados'!$B$9:$B$50,0),MATCH(CONCATENATE($C17,O$7),'Auxiliar Resultados'!$C$6:$BO$6,0)),""))=0,"",IF($B17="","",IFERROR(INDEX('Auxiliar Resultados'!$C$9:$BO$50,MATCH($B17,'Auxiliar Resultados'!$B$9:$B$50,0),MATCH(CONCATENATE($C17,O$7),'Auxiliar Resultados'!$C$6:$BO$6,0)),"")))</f>
        <v/>
      </c>
      <c r="P17" s="52" t="str">
        <f>+IF(IF($B17="","",IFERROR(INDEX('Auxiliar Resultados'!$C$9:$BO$50,MATCH($B17,'Auxiliar Resultados'!$B$9:$B$50,0),MATCH(CONCATENATE($C17,P$7),'Auxiliar Resultados'!$C$6:$BO$6,0)),""))=0,"",IF($B17="","",IFERROR(INDEX('Auxiliar Resultados'!$C$9:$BO$50,MATCH($B17,'Auxiliar Resultados'!$B$9:$B$50,0),MATCH(CONCATENATE($C17,P$7),'Auxiliar Resultados'!$C$6:$BO$6,0)),"")))</f>
        <v/>
      </c>
      <c r="Q17" s="52" t="str">
        <f>+IF(IF($B17="","",IFERROR(INDEX('Auxiliar Resultados'!$C$9:$BO$50,MATCH($B17,'Auxiliar Resultados'!$B$9:$B$50,0),MATCH(CONCATENATE($C17,Q$7),'Auxiliar Resultados'!$C$6:$BO$6,0)),""))=0,"",IF($B17="","",IFERROR(INDEX('Auxiliar Resultados'!$C$9:$BO$50,MATCH($B17,'Auxiliar Resultados'!$B$9:$B$50,0),MATCH(CONCATENATE($C17,Q$7),'Auxiliar Resultados'!$C$6:$BO$6,0)),"")))</f>
        <v/>
      </c>
      <c r="R17" s="52" t="str">
        <f>+IF(IF($B17="","",IFERROR(INDEX('Auxiliar Resultados'!$C$9:$BO$50,MATCH($B17,'Auxiliar Resultados'!$B$9:$B$50,0),MATCH(CONCATENATE($C17,R$7),'Auxiliar Resultados'!$C$6:$BO$6,0)),""))=0,"",IF($B17="","",IFERROR(INDEX('Auxiliar Resultados'!$C$9:$BO$50,MATCH($B17,'Auxiliar Resultados'!$B$9:$B$50,0),MATCH(CONCATENATE($C17,R$7),'Auxiliar Resultados'!$C$6:$BO$6,0)),"")))</f>
        <v/>
      </c>
      <c r="S17" s="52" t="str">
        <f>+IF(IF($B17="","",IFERROR(INDEX('Auxiliar Resultados'!$C$9:$BO$50,MATCH($B17,'Auxiliar Resultados'!$B$9:$B$50,0),MATCH(CONCATENATE($C17,S$7),'Auxiliar Resultados'!$C$6:$BO$6,0)),""))=0,"",IF($B17="","",IFERROR(INDEX('Auxiliar Resultados'!$C$9:$BO$50,MATCH($B17,'Auxiliar Resultados'!$B$9:$B$50,0),MATCH(CONCATENATE($C17,S$7),'Auxiliar Resultados'!$C$6:$BO$6,0)),"")))</f>
        <v/>
      </c>
      <c r="T17" s="52" t="str">
        <f>+IF(IF($B17="","",IFERROR(INDEX('Auxiliar Resultados'!$C$9:$BO$50,MATCH($B17,'Auxiliar Resultados'!$B$9:$B$50,0),MATCH(CONCATENATE($C17,T$7),'Auxiliar Resultados'!$C$6:$BO$6,0)),""))=0,"",IF($B17="","",IFERROR(INDEX('Auxiliar Resultados'!$C$9:$BO$50,MATCH($B17,'Auxiliar Resultados'!$B$9:$B$50,0),MATCH(CONCATENATE($C17,T$7),'Auxiliar Resultados'!$C$6:$BO$6,0)),"")))</f>
        <v/>
      </c>
      <c r="U17" s="52" t="str">
        <f>+IF(IF($B17="","",IFERROR(INDEX('Auxiliar Resultados'!$C$9:$BO$50,MATCH($B17,'Auxiliar Resultados'!$B$9:$B$50,0),MATCH(CONCATENATE($C17,U$7),'Auxiliar Resultados'!$C$6:$BO$6,0)),""))=0,"",IF($B17="","",IFERROR(INDEX('Auxiliar Resultados'!$C$9:$BO$50,MATCH($B17,'Auxiliar Resultados'!$B$9:$B$50,0),MATCH(CONCATENATE($C17,U$7),'Auxiliar Resultados'!$C$6:$BO$6,0)),"")))</f>
        <v/>
      </c>
      <c r="V17" s="52" t="str">
        <f>+IF(IF($B17="","",IFERROR(INDEX('Auxiliar Resultados'!$C$9:$BO$50,MATCH($B17,'Auxiliar Resultados'!$B$9:$B$50,0),MATCH(CONCATENATE($C17,V$7),'Auxiliar Resultados'!$C$6:$BO$6,0)),""))=0,"",IF($B17="","",IFERROR(INDEX('Auxiliar Resultados'!$C$9:$BO$50,MATCH($B17,'Auxiliar Resultados'!$B$9:$B$50,0),MATCH(CONCATENATE($C17,V$7),'Auxiliar Resultados'!$C$6:$BO$6,0)),"")))</f>
        <v/>
      </c>
      <c r="W17" s="52" t="str">
        <f>+IF(IF($B17="","",IFERROR(INDEX('Auxiliar Resultados'!$C$9:$BO$50,MATCH($B17,'Auxiliar Resultados'!$B$9:$B$50,0),MATCH(CONCATENATE($C17,W$7),'Auxiliar Resultados'!$C$6:$BO$6,0)),""))=0,"",IF($B17="","",IFERROR(INDEX('Auxiliar Resultados'!$C$9:$BO$50,MATCH($B17,'Auxiliar Resultados'!$B$9:$B$50,0),MATCH(CONCATENATE($C17,W$7),'Auxiliar Resultados'!$C$6:$BO$6,0)),"")))</f>
        <v/>
      </c>
      <c r="X17" s="52" t="str">
        <f>+IF(IF($B17="","",IFERROR(INDEX('Auxiliar Resultados'!$C$9:$BO$50,MATCH($B17,'Auxiliar Resultados'!$B$9:$B$50,0),MATCH(CONCATENATE($C17,X$7),'Auxiliar Resultados'!$C$6:$BO$6,0)),""))=0,"",IF($B17="","",IFERROR(INDEX('Auxiliar Resultados'!$C$9:$BO$50,MATCH($B17,'Auxiliar Resultados'!$B$9:$B$50,0),MATCH(CONCATENATE($C17,X$7),'Auxiliar Resultados'!$C$6:$BO$6,0)),"")))</f>
        <v/>
      </c>
      <c r="Y17" s="52" t="str">
        <f>+IF(IF($B17="","",IFERROR(INDEX('Auxiliar Resultados'!$C$9:$BO$50,MATCH($B17,'Auxiliar Resultados'!$B$9:$B$50,0),MATCH(CONCATENATE($C17,Y$7),'Auxiliar Resultados'!$C$6:$BO$6,0)),""))=0,"",IF($B17="","",IFERROR(INDEX('Auxiliar Resultados'!$C$9:$BO$50,MATCH($B17,'Auxiliar Resultados'!$B$9:$B$50,0),MATCH(CONCATENATE($C17,Y$7),'Auxiliar Resultados'!$C$6:$BO$6,0)),"")))</f>
        <v/>
      </c>
      <c r="Z17" s="52" t="str">
        <f>+IF(IF($B17="","",IFERROR(INDEX('Auxiliar Resultados'!$C$9:$BO$50,MATCH($B17,'Auxiliar Resultados'!$B$9:$B$50,0),MATCH(CONCATENATE($C17,Z$7),'Auxiliar Resultados'!$C$6:$BO$6,0)),""))=0,"",IF($B17="","",IFERROR(INDEX('Auxiliar Resultados'!$C$9:$BO$50,MATCH($B17,'Auxiliar Resultados'!$B$9:$B$50,0),MATCH(CONCATENATE($C17,Z$7),'Auxiliar Resultados'!$C$6:$BO$6,0)),"")))</f>
        <v/>
      </c>
      <c r="AA17" s="52" t="str">
        <f>+IF(IF($B17="","",IFERROR(INDEX('Auxiliar Resultados'!$C$9:$BO$50,MATCH($B17,'Auxiliar Resultados'!$B$9:$B$50,0),MATCH(CONCATENATE($C17,AA$7),'Auxiliar Resultados'!$C$6:$BO$6,0)),""))=0,"",IF($B17="","",IFERROR(INDEX('Auxiliar Resultados'!$C$9:$BO$50,MATCH($B17,'Auxiliar Resultados'!$B$9:$B$50,0),MATCH(CONCATENATE($C17,AA$7),'Auxiliar Resultados'!$C$6:$BO$6,0)),"")))</f>
        <v/>
      </c>
      <c r="AB17" s="52" t="str">
        <f>+IF(IF($B17="","",IFERROR(INDEX('Auxiliar Resultados'!$C$9:$BO$50,MATCH($B17,'Auxiliar Resultados'!$B$9:$B$50,0),MATCH(CONCATENATE($C17,AB$7),'Auxiliar Resultados'!$C$6:$BO$6,0)),""))=0,"",IF($B17="","",IFERROR(INDEX('Auxiliar Resultados'!$C$9:$BO$50,MATCH($B17,'Auxiliar Resultados'!$B$9:$B$50,0),MATCH(CONCATENATE($C17,AB$7),'Auxiliar Resultados'!$C$6:$BO$6,0)),"")))</f>
        <v/>
      </c>
      <c r="AC17" s="52" t="str">
        <f>+IF(IF($B17="","",IFERROR(INDEX('Auxiliar Resultados'!$C$9:$BO$50,MATCH($B17,'Auxiliar Resultados'!$B$9:$B$50,0),MATCH(CONCATENATE($C17,AC$7),'Auxiliar Resultados'!$C$6:$BO$6,0)),""))=0,"",IF($B17="","",IFERROR(INDEX('Auxiliar Resultados'!$C$9:$BO$50,MATCH($B17,'Auxiliar Resultados'!$B$9:$B$50,0),MATCH(CONCATENATE($C17,AC$7),'Auxiliar Resultados'!$C$6:$BO$6,0)),"")))</f>
        <v/>
      </c>
      <c r="AD17" s="52" t="str">
        <f>+IF(IF($B17="","",IFERROR(INDEX('Auxiliar Resultados'!$C$9:$BO$50,MATCH($B17,'Auxiliar Resultados'!$B$9:$B$50,0),MATCH(CONCATENATE($C17,AD$7),'Auxiliar Resultados'!$C$6:$BO$6,0)),""))=0,"",IF($B17="","",IFERROR(INDEX('Auxiliar Resultados'!$C$9:$BO$50,MATCH($B17,'Auxiliar Resultados'!$B$9:$B$50,0),MATCH(CONCATENATE($C17,AD$7),'Auxiliar Resultados'!$C$6:$BO$6,0)),"")))</f>
        <v/>
      </c>
      <c r="AE17" s="52" t="str">
        <f>+IF(IF($B17="","",IFERROR(INDEX('Auxiliar Resultados'!$C$9:$BO$50,MATCH($B17,'Auxiliar Resultados'!$B$9:$B$50,0),MATCH(CONCATENATE($C17,AE$7),'Auxiliar Resultados'!$C$6:$BO$6,0)),""))=0,"",IF($B17="","",IFERROR(INDEX('Auxiliar Resultados'!$C$9:$BO$50,MATCH($B17,'Auxiliar Resultados'!$B$9:$B$50,0),MATCH(CONCATENATE($C17,AE$7),'Auxiliar Resultados'!$C$6:$BO$6,0)),"")))</f>
        <v/>
      </c>
      <c r="AF17" s="52" t="str">
        <f>+IF(IF($B17="","",IFERROR(INDEX('Auxiliar Resultados'!$C$9:$BO$50,MATCH($B17,'Auxiliar Resultados'!$B$9:$B$50,0),MATCH(CONCATENATE($C17,AF$7),'Auxiliar Resultados'!$C$6:$BO$6,0)),""))=0,"",IF($B17="","",IFERROR(INDEX('Auxiliar Resultados'!$C$9:$BO$50,MATCH($B17,'Auxiliar Resultados'!$B$9:$B$50,0),MATCH(CONCATENATE($C17,AF$7),'Auxiliar Resultados'!$C$6:$BO$6,0)),"")))</f>
        <v/>
      </c>
      <c r="AG17" s="52" t="str">
        <f>+IF(IF($B17="","",IFERROR(INDEX('Auxiliar Resultados'!$C$9:$BO$50,MATCH($B17,'Auxiliar Resultados'!$B$9:$B$50,0),MATCH(CONCATENATE($C17,AG$7),'Auxiliar Resultados'!$C$6:$BO$6,0)),""))=0,"",IF($B17="","",IFERROR(INDEX('Auxiliar Resultados'!$C$9:$BO$50,MATCH($B17,'Auxiliar Resultados'!$B$9:$B$50,0),MATCH(CONCATENATE($C17,AG$7),'Auxiliar Resultados'!$C$6:$BO$6,0)),"")))</f>
        <v/>
      </c>
      <c r="AH17" s="52" t="str">
        <f>+IF(IF($B17="","",IFERROR(INDEX('Auxiliar Resultados'!$C$9:$BO$50,MATCH($B17,'Auxiliar Resultados'!$B$9:$B$50,0),MATCH(CONCATENATE($C17,AH$7),'Auxiliar Resultados'!$C$6:$BO$6,0)),""))=0,"",IF($B17="","",IFERROR(INDEX('Auxiliar Resultados'!$C$9:$BO$50,MATCH($B17,'Auxiliar Resultados'!$B$9:$B$50,0),MATCH(CONCATENATE($C17,AH$7),'Auxiliar Resultados'!$C$6:$BO$6,0)),"")))</f>
        <v/>
      </c>
      <c r="AI17" s="52" t="str">
        <f>+IF(IF($B17="","",IFERROR(INDEX('Auxiliar Resultados'!$C$9:$BO$50,MATCH($B17,'Auxiliar Resultados'!$B$9:$B$50,0),MATCH(CONCATENATE($C17,AI$7),'Auxiliar Resultados'!$C$6:$BO$6,0)),""))=0,"",IF($B17="","",IFERROR(INDEX('Auxiliar Resultados'!$C$9:$BO$50,MATCH($B17,'Auxiliar Resultados'!$B$9:$B$50,0),MATCH(CONCATENATE($C17,AI$7),'Auxiliar Resultados'!$C$6:$BO$6,0)),"")))</f>
        <v/>
      </c>
      <c r="AJ17" s="52" t="str">
        <f>+IF(IF($B17="","",IFERROR(INDEX('Auxiliar Resultados'!$C$9:$BO$50,MATCH($B17,'Auxiliar Resultados'!$B$9:$B$50,0),MATCH(CONCATENATE($C17,AJ$7),'Auxiliar Resultados'!$C$6:$BO$6,0)),""))=0,"",IF($B17="","",IFERROR(INDEX('Auxiliar Resultados'!$C$9:$BO$50,MATCH($B17,'Auxiliar Resultados'!$B$9:$B$50,0),MATCH(CONCATENATE($C17,AJ$7),'Auxiliar Resultados'!$C$6:$BO$6,0)),"")))</f>
        <v/>
      </c>
      <c r="AK17" s="52" t="str">
        <f>+IF(IF($B17="","",IFERROR(INDEX('Auxiliar Resultados'!$C$9:$BO$50,MATCH($B17,'Auxiliar Resultados'!$B$9:$B$50,0),MATCH(CONCATENATE($C17,AK$7),'Auxiliar Resultados'!$C$6:$BO$6,0)),""))=0,"",IF($B17="","",IFERROR(INDEX('Auxiliar Resultados'!$C$9:$BO$50,MATCH($B17,'Auxiliar Resultados'!$B$9:$B$50,0),MATCH(CONCATENATE($C17,AK$7),'Auxiliar Resultados'!$C$6:$BO$6,0)),"")))</f>
        <v/>
      </c>
      <c r="AL17" s="52" t="str">
        <f>+IF(IF($B17="","",IFERROR(INDEX('Auxiliar Resultados'!$C$9:$BO$50,MATCH($B17,'Auxiliar Resultados'!$B$9:$B$50,0),MATCH(CONCATENATE($C17,AL$7),'Auxiliar Resultados'!$C$6:$BO$6,0)),""))=0,"",IF($B17="","",IFERROR(INDEX('Auxiliar Resultados'!$C$9:$BO$50,MATCH($B17,'Auxiliar Resultados'!$B$9:$B$50,0),MATCH(CONCATENATE($C17,AL$7),'Auxiliar Resultados'!$C$6:$BO$6,0)),"")))</f>
        <v/>
      </c>
      <c r="AM17" s="52" t="str">
        <f>+IF(IF($B17="","",IFERROR(INDEX('Auxiliar Resultados'!$C$9:$BO$50,MATCH($B17,'Auxiliar Resultados'!$B$9:$B$50,0),MATCH(CONCATENATE($C17,AM$7),'Auxiliar Resultados'!$C$6:$BO$6,0)),""))=0,"",IF($B17="","",IFERROR(INDEX('Auxiliar Resultados'!$C$9:$BO$50,MATCH($B17,'Auxiliar Resultados'!$B$9:$B$50,0),MATCH(CONCATENATE($C17,AM$7),'Auxiliar Resultados'!$C$6:$BO$6,0)),"")))</f>
        <v/>
      </c>
      <c r="AN17" s="52" t="str">
        <f>+IF(IF($B17="","",IFERROR(INDEX('Auxiliar Resultados'!$C$9:$BO$50,MATCH($B17,'Auxiliar Resultados'!$B$9:$B$50,0),MATCH(CONCATENATE($C17,AN$7),'Auxiliar Resultados'!$C$6:$BO$6,0)),""))=0,"",IF($B17="","",IFERROR(INDEX('Auxiliar Resultados'!$C$9:$BO$50,MATCH($B17,'Auxiliar Resultados'!$B$9:$B$50,0),MATCH(CONCATENATE($C17,AN$7),'Auxiliar Resultados'!$C$6:$BO$6,0)),"")))</f>
        <v/>
      </c>
      <c r="AO17" s="52" t="str">
        <f>+IF(IF($B17="","",IFERROR(INDEX('Auxiliar Resultados'!$C$9:$BO$50,MATCH($B17,'Auxiliar Resultados'!$B$9:$B$50,0),MATCH(CONCATENATE($C17,AO$7),'Auxiliar Resultados'!$C$6:$BO$6,0)),""))=0,"",IF($B17="","",IFERROR(INDEX('Auxiliar Resultados'!$C$9:$BO$50,MATCH($B17,'Auxiliar Resultados'!$B$9:$B$50,0),MATCH(CONCATENATE($C17,AO$7),'Auxiliar Resultados'!$C$6:$BO$6,0)),"")))</f>
        <v/>
      </c>
      <c r="AP17" s="52" t="str">
        <f>+IF(IF($B17="","",IFERROR(INDEX('Auxiliar Resultados'!$C$9:$BO$50,MATCH($B17,'Auxiliar Resultados'!$B$9:$B$50,0),MATCH(CONCATENATE($C17,AP$7),'Auxiliar Resultados'!$C$6:$BO$6,0)),""))=0,"",IF($B17="","",IFERROR(INDEX('Auxiliar Resultados'!$C$9:$BO$50,MATCH($B17,'Auxiliar Resultados'!$B$9:$B$50,0),MATCH(CONCATENATE($C17,AP$7),'Auxiliar Resultados'!$C$6:$BO$6,0)),"")))</f>
        <v/>
      </c>
      <c r="AQ17" s="276" t="str">
        <f>+IF(IF($B17="","",IFERROR(INDEX('Auxiliar Resultados'!$C$9:$BO$50,MATCH($B17,'Auxiliar Resultados'!$B$9:$B$50,0),MATCH(CONCATENATE($C17,AQ$7),'Auxiliar Resultados'!$C$6:$BO$6,0)),""))=0,"",IF($B17="","",IFERROR(INDEX('Auxiliar Resultados'!$C$9:$BO$50,MATCH($B17,'Auxiliar Resultados'!$B$9:$B$50,0),MATCH(CONCATENATE($C17,AQ$7),'Auxiliar Resultados'!$C$6:$BO$6,0)),"")))</f>
        <v/>
      </c>
      <c r="AS17" s="46" t="str">
        <f t="shared" si="5"/>
        <v/>
      </c>
      <c r="AT17" s="292" t="str">
        <f t="shared" si="6"/>
        <v/>
      </c>
      <c r="AU17" s="36" t="str">
        <f>+IF(G17="","",INDEX('Modelo Optimización'!$AZ$4:$CO$149,MATCH(CONCATENATE(AU$7,$AT17),'Modelo Optimización'!$CQ$4:$CQ$149,0),MATCH($AS17,'Modelo Optimización'!$AZ$3:$CO$3,0)))</f>
        <v/>
      </c>
      <c r="AV17" s="32" t="str">
        <f>+IF(H17="","",INDEX('Modelo Optimización'!$AZ$4:$CO$149,MATCH(CONCATENATE(AV$7,$AT17),'Modelo Optimización'!$CQ$4:$CQ$149,0),MATCH($AS17,'Modelo Optimización'!$AZ$3:$CO$3,0)))</f>
        <v/>
      </c>
      <c r="AW17" s="32" t="str">
        <f>+IF(I17="","",INDEX('Modelo Optimización'!$AZ$4:$CO$149,MATCH(CONCATENATE(AW$7,$AT17),'Modelo Optimización'!$CQ$4:$CQ$149,0),MATCH($AS17,'Modelo Optimización'!$AZ$3:$CO$3,0)))</f>
        <v/>
      </c>
      <c r="AX17" s="32" t="str">
        <f>+IF(J17="","",INDEX('Modelo Optimización'!$AZ$4:$CO$149,MATCH(CONCATENATE(AX$7,$AT17),'Modelo Optimización'!$CQ$4:$CQ$149,0),MATCH($AS17,'Modelo Optimización'!$AZ$3:$CO$3,0)))</f>
        <v/>
      </c>
      <c r="AY17" s="32" t="str">
        <f>+IF(K17="","",INDEX('Modelo Optimización'!$AZ$4:$CO$149,MATCH(CONCATENATE(AY$7,$AT17),'Modelo Optimización'!$CQ$4:$CQ$149,0),MATCH($AS17,'Modelo Optimización'!$AZ$3:$CO$3,0)))</f>
        <v/>
      </c>
      <c r="AZ17" s="32" t="str">
        <f>+IF(L17="","",INDEX('Modelo Optimización'!$AZ$4:$CO$149,MATCH(CONCATENATE(AZ$7,$AT17),'Modelo Optimización'!$CQ$4:$CQ$149,0),MATCH($AS17,'Modelo Optimización'!$AZ$3:$CO$3,0)))</f>
        <v/>
      </c>
      <c r="BA17" s="32" t="str">
        <f>+IF(M17="","",INDEX('Modelo Optimización'!$AZ$4:$CO$149,MATCH(CONCATENATE(BA$7,$AT17),'Modelo Optimización'!$CQ$4:$CQ$149,0),MATCH($AS17,'Modelo Optimización'!$AZ$3:$CO$3,0)))</f>
        <v/>
      </c>
      <c r="BB17" s="32" t="str">
        <f>+IF(N17="","",INDEX('Modelo Optimización'!$AZ$4:$CO$149,MATCH(CONCATENATE(BB$7,$AT17),'Modelo Optimización'!$CQ$4:$CQ$149,0),MATCH($AS17,'Modelo Optimización'!$AZ$3:$CO$3,0)))</f>
        <v/>
      </c>
      <c r="BC17" s="32" t="str">
        <f>+IF(O17="","",INDEX('Modelo Optimización'!$AZ$4:$CO$149,MATCH(CONCATENATE(BC$7,$AT17),'Modelo Optimización'!$CQ$4:$CQ$149,0),MATCH($AS17,'Modelo Optimización'!$AZ$3:$CO$3,0)))</f>
        <v/>
      </c>
      <c r="BD17" s="32" t="str">
        <f>+IF(P17="","",INDEX('Modelo Optimización'!$AZ$4:$CO$149,MATCH(CONCATENATE(BD$7,$AT17),'Modelo Optimización'!$CQ$4:$CQ$149,0),MATCH($AS17,'Modelo Optimización'!$AZ$3:$CO$3,0)))</f>
        <v/>
      </c>
      <c r="BE17" s="32" t="str">
        <f>+IF(Q17="","",INDEX('Modelo Optimización'!$AZ$4:$CO$149,MATCH(CONCATENATE(BE$7,$AT17),'Modelo Optimización'!$CQ$4:$CQ$149,0),MATCH($AS17,'Modelo Optimización'!$AZ$3:$CO$3,0)))</f>
        <v/>
      </c>
      <c r="BF17" s="32" t="str">
        <f>+IF(R17="","",INDEX('Modelo Optimización'!$AZ$4:$CO$149,MATCH(CONCATENATE(BF$7,$AT17),'Modelo Optimización'!$CQ$4:$CQ$149,0),MATCH($AS17,'Modelo Optimización'!$AZ$3:$CO$3,0)))</f>
        <v/>
      </c>
      <c r="BG17" s="32" t="str">
        <f>+IF(S17="","",INDEX('Modelo Optimización'!$AZ$4:$CO$149,MATCH(CONCATENATE(BG$7,$AT17),'Modelo Optimización'!$CQ$4:$CQ$149,0),MATCH($AS17,'Modelo Optimización'!$AZ$3:$CO$3,0)))</f>
        <v/>
      </c>
      <c r="BH17" s="32" t="str">
        <f>+IF(T17="","",INDEX('Modelo Optimización'!$AZ$4:$CO$149,MATCH(CONCATENATE(BH$7,$AT17),'Modelo Optimización'!$CQ$4:$CQ$149,0),MATCH($AS17,'Modelo Optimización'!$AZ$3:$CO$3,0)))</f>
        <v/>
      </c>
      <c r="BI17" s="32" t="str">
        <f>+IF(U17="","",INDEX('Modelo Optimización'!$AZ$4:$CO$149,MATCH(CONCATENATE(BI$7,$AT17),'Modelo Optimización'!$CQ$4:$CQ$149,0),MATCH($AS17,'Modelo Optimización'!$AZ$3:$CO$3,0)))</f>
        <v/>
      </c>
      <c r="BJ17" s="32" t="str">
        <f>+IF(V17="","",INDEX('Modelo Optimización'!$AZ$4:$CO$149,MATCH(CONCATENATE(BJ$7,$AT17),'Modelo Optimización'!$CQ$4:$CQ$149,0),MATCH($AS17,'Modelo Optimización'!$AZ$3:$CO$3,0)))</f>
        <v/>
      </c>
      <c r="BK17" s="32" t="str">
        <f>+IF(W17="","",INDEX('Modelo Optimización'!$AZ$4:$CO$149,MATCH(CONCATENATE(BK$7,$AT17),'Modelo Optimización'!$CQ$4:$CQ$149,0),MATCH($AS17,'Modelo Optimización'!$AZ$3:$CO$3,0)))</f>
        <v/>
      </c>
      <c r="BL17" s="32" t="str">
        <f>+IF(X17="","",INDEX('Modelo Optimización'!$AZ$4:$CO$149,MATCH(CONCATENATE(BL$7,$AT17),'Modelo Optimización'!$CQ$4:$CQ$149,0),MATCH($AS17,'Modelo Optimización'!$AZ$3:$CO$3,0)))</f>
        <v/>
      </c>
      <c r="BM17" s="32" t="str">
        <f>+IF(Y17="","",INDEX('Modelo Optimización'!$AZ$4:$CO$149,MATCH(CONCATENATE(BM$7,$AT17),'Modelo Optimización'!$CQ$4:$CQ$149,0),MATCH($AS17,'Modelo Optimización'!$AZ$3:$CO$3,0)))</f>
        <v/>
      </c>
      <c r="BN17" s="32" t="str">
        <f>+IF(Z17="","",INDEX('Modelo Optimización'!$AZ$4:$CO$149,MATCH(CONCATENATE(BN$7,$AT17),'Modelo Optimización'!$CQ$4:$CQ$149,0),MATCH($AS17,'Modelo Optimización'!$AZ$3:$CO$3,0)))</f>
        <v/>
      </c>
      <c r="BO17" s="32" t="str">
        <f>+IF(AA17="","",INDEX('Modelo Optimización'!$AZ$4:$CO$149,MATCH(CONCATENATE(BO$7,$AT17),'Modelo Optimización'!$CQ$4:$CQ$149,0),MATCH($AS17,'Modelo Optimización'!$AZ$3:$CO$3,0)))</f>
        <v/>
      </c>
      <c r="BP17" s="32" t="str">
        <f>+IF(AB17="","",INDEX('Modelo Optimización'!$AZ$4:$CO$149,MATCH(CONCATENATE(BP$7,$AT17),'Modelo Optimización'!$CQ$4:$CQ$149,0),MATCH($AS17,'Modelo Optimización'!$AZ$3:$CO$3,0)))</f>
        <v/>
      </c>
      <c r="BQ17" s="32" t="str">
        <f>+IF(AC17="","",INDEX('Modelo Optimización'!$AZ$4:$CO$149,MATCH(CONCATENATE(BQ$7,$AT17),'Modelo Optimización'!$CQ$4:$CQ$149,0),MATCH($AS17,'Modelo Optimización'!$AZ$3:$CO$3,0)))</f>
        <v/>
      </c>
      <c r="BR17" s="32" t="str">
        <f>+IF(AD17="","",INDEX('Modelo Optimización'!$AZ$4:$CO$149,MATCH(CONCATENATE(BR$7,$AT17),'Modelo Optimización'!$CQ$4:$CQ$149,0),MATCH($AS17,'Modelo Optimización'!$AZ$3:$CO$3,0)))</f>
        <v/>
      </c>
      <c r="BS17" s="32" t="str">
        <f>+IF(AE17="","",INDEX('Modelo Optimización'!$AZ$4:$CO$149,MATCH(CONCATENATE(BS$7,$AT17),'Modelo Optimización'!$CQ$4:$CQ$149,0),MATCH($AS17,'Modelo Optimización'!$AZ$3:$CO$3,0)))</f>
        <v/>
      </c>
      <c r="BT17" s="32" t="str">
        <f>+IF(AF17="","",INDEX('Modelo Optimización'!$AZ$4:$CO$149,MATCH(CONCATENATE(BT$7,$AT17),'Modelo Optimización'!$CQ$4:$CQ$149,0),MATCH($AS17,'Modelo Optimización'!$AZ$3:$CO$3,0)))</f>
        <v/>
      </c>
      <c r="BU17" s="32" t="str">
        <f>+IF(AG17="","",INDEX('Modelo Optimización'!$AZ$4:$CO$149,MATCH(CONCATENATE(BU$7,$AT17),'Modelo Optimización'!$CQ$4:$CQ$149,0),MATCH($AS17,'Modelo Optimización'!$AZ$3:$CO$3,0)))</f>
        <v/>
      </c>
      <c r="BV17" s="32" t="str">
        <f>+IF(AH17="","",INDEX('Modelo Optimización'!$AZ$4:$CO$149,MATCH(CONCATENATE(BV$7,$AT17),'Modelo Optimización'!$CQ$4:$CQ$149,0),MATCH($AS17,'Modelo Optimización'!$AZ$3:$CO$3,0)))</f>
        <v/>
      </c>
      <c r="BW17" s="32" t="str">
        <f>+IF(AI17="","",INDEX('Modelo Optimización'!$AZ$4:$CO$149,MATCH(CONCATENATE(BW$7,$AT17),'Modelo Optimización'!$CQ$4:$CQ$149,0),MATCH($AS17,'Modelo Optimización'!$AZ$3:$CO$3,0)))</f>
        <v/>
      </c>
      <c r="BX17" s="32" t="str">
        <f>+IF(AJ17="","",INDEX('Modelo Optimización'!$AZ$4:$CO$149,MATCH(CONCATENATE(BX$7,$AT17),'Modelo Optimización'!$CQ$4:$CQ$149,0),MATCH($AS17,'Modelo Optimización'!$AZ$3:$CO$3,0)))</f>
        <v/>
      </c>
      <c r="BY17" s="32" t="str">
        <f>+IF(AK17="","",INDEX('Modelo Optimización'!$AZ$4:$CO$149,MATCH(CONCATENATE(BY$7,$AT17),'Modelo Optimización'!$CQ$4:$CQ$149,0),MATCH($AS17,'Modelo Optimización'!$AZ$3:$CO$3,0)))</f>
        <v/>
      </c>
      <c r="BZ17" s="32" t="str">
        <f>+IF(AL17="","",INDEX('Modelo Optimización'!$AZ$4:$CO$149,MATCH(CONCATENATE(BZ$7,$AT17),'Modelo Optimización'!$CQ$4:$CQ$149,0),MATCH($AS17,'Modelo Optimización'!$AZ$3:$CO$3,0)))</f>
        <v/>
      </c>
      <c r="CA17" s="32" t="str">
        <f>+IF(AM17="","",INDEX('Modelo Optimización'!$AZ$4:$CO$149,MATCH(CONCATENATE(CA$7,$AT17),'Modelo Optimización'!$CQ$4:$CQ$149,0),MATCH($AS17,'Modelo Optimización'!$AZ$3:$CO$3,0)))</f>
        <v/>
      </c>
      <c r="CB17" s="32" t="str">
        <f>+IF(AN17="","",INDEX('Modelo Optimización'!$AZ$4:$CO$149,MATCH(CONCATENATE(CB$7,$AT17),'Modelo Optimización'!$CQ$4:$CQ$149,0),MATCH($AS17,'Modelo Optimización'!$AZ$3:$CO$3,0)))</f>
        <v/>
      </c>
      <c r="CC17" s="32" t="str">
        <f>+IF(AO17="","",INDEX('Modelo Optimización'!$AZ$4:$CO$149,MATCH(CONCATENATE(CC$7,$AT17),'Modelo Optimización'!$CQ$4:$CQ$149,0),MATCH($AS17,'Modelo Optimización'!$AZ$3:$CO$3,0)))</f>
        <v/>
      </c>
      <c r="CD17" s="32" t="str">
        <f>+IF(AP17="","",INDEX('Modelo Optimización'!$AZ$4:$CO$149,MATCH(CONCATENATE(CD$7,$AT17),'Modelo Optimización'!$CQ$4:$CQ$149,0),MATCH($AS17,'Modelo Optimización'!$AZ$3:$CO$3,0)))</f>
        <v/>
      </c>
      <c r="CE17" s="37" t="str">
        <f>+IF(AQ17="","",INDEX('Modelo Optimización'!$AZ$4:$CO$149,MATCH(CONCATENATE(CE$7,$AT17),'Modelo Optimización'!$CQ$4:$CQ$149,0),MATCH($AS17,'Modelo Optimización'!$AZ$3:$CO$3,0)))</f>
        <v/>
      </c>
      <c r="CF17" s="301"/>
      <c r="CG17" s="305" t="str">
        <f t="shared" si="11"/>
        <v/>
      </c>
      <c r="CH17" s="303" t="str">
        <f t="shared" si="7"/>
        <v/>
      </c>
      <c r="CI17" s="292" t="str">
        <f t="shared" si="8"/>
        <v/>
      </c>
      <c r="CJ17" s="36" t="str">
        <f t="shared" si="12"/>
        <v/>
      </c>
      <c r="CK17" s="32" t="str">
        <f t="shared" si="13"/>
        <v/>
      </c>
      <c r="CL17" s="32" t="str">
        <f t="shared" si="14"/>
        <v/>
      </c>
      <c r="CM17" s="32" t="str">
        <f t="shared" si="15"/>
        <v/>
      </c>
      <c r="CN17" s="32" t="str">
        <f t="shared" si="16"/>
        <v/>
      </c>
      <c r="CO17" s="32" t="str">
        <f t="shared" si="17"/>
        <v/>
      </c>
      <c r="CP17" s="32" t="str">
        <f t="shared" si="18"/>
        <v/>
      </c>
      <c r="CQ17" s="32" t="str">
        <f t="shared" si="19"/>
        <v/>
      </c>
      <c r="CR17" s="32" t="str">
        <f t="shared" si="20"/>
        <v/>
      </c>
      <c r="CS17" s="32" t="str">
        <f t="shared" si="21"/>
        <v/>
      </c>
      <c r="CT17" s="32" t="str">
        <f t="shared" si="22"/>
        <v/>
      </c>
      <c r="CU17" s="32" t="str">
        <f t="shared" si="23"/>
        <v/>
      </c>
      <c r="CV17" s="32" t="str">
        <f t="shared" si="24"/>
        <v/>
      </c>
      <c r="CW17" s="32" t="str">
        <f t="shared" si="25"/>
        <v/>
      </c>
      <c r="CX17" s="32" t="str">
        <f t="shared" si="26"/>
        <v/>
      </c>
      <c r="CY17" s="32" t="str">
        <f t="shared" si="27"/>
        <v/>
      </c>
      <c r="CZ17" s="32" t="str">
        <f t="shared" si="28"/>
        <v/>
      </c>
      <c r="DA17" s="32" t="str">
        <f t="shared" si="29"/>
        <v/>
      </c>
      <c r="DB17" s="32" t="str">
        <f t="shared" si="30"/>
        <v/>
      </c>
      <c r="DC17" s="32" t="str">
        <f t="shared" si="31"/>
        <v/>
      </c>
      <c r="DD17" s="32" t="str">
        <f t="shared" si="32"/>
        <v/>
      </c>
      <c r="DE17" s="32" t="str">
        <f t="shared" si="33"/>
        <v/>
      </c>
      <c r="DF17" s="32" t="str">
        <f t="shared" si="34"/>
        <v/>
      </c>
      <c r="DG17" s="32" t="str">
        <f t="shared" si="35"/>
        <v/>
      </c>
      <c r="DH17" s="32" t="str">
        <f t="shared" si="36"/>
        <v/>
      </c>
      <c r="DI17" s="32" t="str">
        <f t="shared" si="37"/>
        <v/>
      </c>
      <c r="DJ17" s="32" t="str">
        <f t="shared" si="38"/>
        <v/>
      </c>
      <c r="DK17" s="32" t="str">
        <f t="shared" si="39"/>
        <v/>
      </c>
      <c r="DL17" s="32" t="str">
        <f t="shared" si="40"/>
        <v/>
      </c>
      <c r="DM17" s="32" t="str">
        <f t="shared" si="41"/>
        <v/>
      </c>
      <c r="DN17" s="32" t="str">
        <f t="shared" si="42"/>
        <v/>
      </c>
      <c r="DO17" s="32" t="str">
        <f t="shared" si="43"/>
        <v/>
      </c>
      <c r="DP17" s="32" t="str">
        <f t="shared" si="44"/>
        <v/>
      </c>
      <c r="DQ17" s="32" t="str">
        <f t="shared" si="45"/>
        <v/>
      </c>
      <c r="DR17" s="32" t="str">
        <f t="shared" si="46"/>
        <v/>
      </c>
      <c r="DS17" s="32" t="str">
        <f t="shared" si="47"/>
        <v/>
      </c>
      <c r="DT17" s="37" t="str">
        <f t="shared" si="48"/>
        <v/>
      </c>
    </row>
    <row r="18" spans="2:124" x14ac:dyDescent="0.35">
      <c r="B18" s="46"/>
      <c r="C18" s="212"/>
      <c r="D18" s="52"/>
      <c r="E18" s="52" t="str">
        <f>+IF(B18="","",IFERROR(SUMIF('Modelo Optimización'!$AS$72:$AS$217,C18,INDEX('Modelo Optimización'!$C$72:$AR$217,,MATCH(B18,'Modelo Optimización'!$C$71:$AR$71,0))),0))</f>
        <v/>
      </c>
      <c r="F18" s="281" t="str">
        <f t="shared" si="10"/>
        <v/>
      </c>
      <c r="G18" s="280" t="str">
        <f>+IF(IF($B18="","",IFERROR(INDEX('Auxiliar Resultados'!$C$9:$BO$50,MATCH($B18,'Auxiliar Resultados'!$B$9:$B$50,0),MATCH(CONCATENATE($C18,G$7),'Auxiliar Resultados'!$C$6:$BO$6,0)),""))=0,"",IF($B18="","",IFERROR(INDEX('Auxiliar Resultados'!$C$9:$BO$50,MATCH($B18,'Auxiliar Resultados'!$B$9:$B$50,0),MATCH(CONCATENATE($C18,G$7),'Auxiliar Resultados'!$C$6:$BO$6,0)),"")))</f>
        <v/>
      </c>
      <c r="H18" s="52" t="str">
        <f>+IF(IF($B18="","",IFERROR(INDEX('Auxiliar Resultados'!$C$9:$BO$50,MATCH($B18,'Auxiliar Resultados'!$B$9:$B$50,0),MATCH(CONCATENATE($C18,H$7),'Auxiliar Resultados'!$C$6:$BO$6,0)),""))=0,"",IF($B18="","",IFERROR(INDEX('Auxiliar Resultados'!$C$9:$BO$50,MATCH($B18,'Auxiliar Resultados'!$B$9:$B$50,0),MATCH(CONCATENATE($C18,H$7),'Auxiliar Resultados'!$C$6:$BO$6,0)),"")))</f>
        <v/>
      </c>
      <c r="I18" s="52" t="str">
        <f>+IF(IF($B18="","",IFERROR(INDEX('Auxiliar Resultados'!$C$9:$BO$50,MATCH($B18,'Auxiliar Resultados'!$B$9:$B$50,0),MATCH(CONCATENATE($C18,I$7),'Auxiliar Resultados'!$C$6:$BO$6,0)),""))=0,"",IF($B18="","",IFERROR(INDEX('Auxiliar Resultados'!$C$9:$BO$50,MATCH($B18,'Auxiliar Resultados'!$B$9:$B$50,0),MATCH(CONCATENATE($C18,I$7),'Auxiliar Resultados'!$C$6:$BO$6,0)),"")))</f>
        <v/>
      </c>
      <c r="J18" s="52" t="str">
        <f>+IF(IF($B18="","",IFERROR(INDEX('Auxiliar Resultados'!$C$9:$BO$50,MATCH($B18,'Auxiliar Resultados'!$B$9:$B$50,0),MATCH(CONCATENATE($C18,J$7),'Auxiliar Resultados'!$C$6:$BO$6,0)),""))=0,"",IF($B18="","",IFERROR(INDEX('Auxiliar Resultados'!$C$9:$BO$50,MATCH($B18,'Auxiliar Resultados'!$B$9:$B$50,0),MATCH(CONCATENATE($C18,J$7),'Auxiliar Resultados'!$C$6:$BO$6,0)),"")))</f>
        <v/>
      </c>
      <c r="K18" s="52" t="str">
        <f>+IF(IF($B18="","",IFERROR(INDEX('Auxiliar Resultados'!$C$9:$BO$50,MATCH($B18,'Auxiliar Resultados'!$B$9:$B$50,0),MATCH(CONCATENATE($C18,K$7),'Auxiliar Resultados'!$C$6:$BO$6,0)),""))=0,"",IF($B18="","",IFERROR(INDEX('Auxiliar Resultados'!$C$9:$BO$50,MATCH($B18,'Auxiliar Resultados'!$B$9:$B$50,0),MATCH(CONCATENATE($C18,K$7),'Auxiliar Resultados'!$C$6:$BO$6,0)),"")))</f>
        <v/>
      </c>
      <c r="L18" s="52" t="str">
        <f>+IF(IF($B18="","",IFERROR(INDEX('Auxiliar Resultados'!$C$9:$BO$50,MATCH($B18,'Auxiliar Resultados'!$B$9:$B$50,0),MATCH(CONCATENATE($C18,L$7),'Auxiliar Resultados'!$C$6:$BO$6,0)),""))=0,"",IF($B18="","",IFERROR(INDEX('Auxiliar Resultados'!$C$9:$BO$50,MATCH($B18,'Auxiliar Resultados'!$B$9:$B$50,0),MATCH(CONCATENATE($C18,L$7),'Auxiliar Resultados'!$C$6:$BO$6,0)),"")))</f>
        <v/>
      </c>
      <c r="M18" s="52" t="str">
        <f>+IF(IF($B18="","",IFERROR(INDEX('Auxiliar Resultados'!$C$9:$BO$50,MATCH($B18,'Auxiliar Resultados'!$B$9:$B$50,0),MATCH(CONCATENATE($C18,M$7),'Auxiliar Resultados'!$C$6:$BO$6,0)),""))=0,"",IF($B18="","",IFERROR(INDEX('Auxiliar Resultados'!$C$9:$BO$50,MATCH($B18,'Auxiliar Resultados'!$B$9:$B$50,0),MATCH(CONCATENATE($C18,M$7),'Auxiliar Resultados'!$C$6:$BO$6,0)),"")))</f>
        <v/>
      </c>
      <c r="N18" s="52" t="str">
        <f>+IF(IF($B18="","",IFERROR(INDEX('Auxiliar Resultados'!$C$9:$BO$50,MATCH($B18,'Auxiliar Resultados'!$B$9:$B$50,0),MATCH(CONCATENATE($C18,N$7),'Auxiliar Resultados'!$C$6:$BO$6,0)),""))=0,"",IF($B18="","",IFERROR(INDEX('Auxiliar Resultados'!$C$9:$BO$50,MATCH($B18,'Auxiliar Resultados'!$B$9:$B$50,0),MATCH(CONCATENATE($C18,N$7),'Auxiliar Resultados'!$C$6:$BO$6,0)),"")))</f>
        <v/>
      </c>
      <c r="O18" s="52" t="str">
        <f>+IF(IF($B18="","",IFERROR(INDEX('Auxiliar Resultados'!$C$9:$BO$50,MATCH($B18,'Auxiliar Resultados'!$B$9:$B$50,0),MATCH(CONCATENATE($C18,O$7),'Auxiliar Resultados'!$C$6:$BO$6,0)),""))=0,"",IF($B18="","",IFERROR(INDEX('Auxiliar Resultados'!$C$9:$BO$50,MATCH($B18,'Auxiliar Resultados'!$B$9:$B$50,0),MATCH(CONCATENATE($C18,O$7),'Auxiliar Resultados'!$C$6:$BO$6,0)),"")))</f>
        <v/>
      </c>
      <c r="P18" s="52" t="str">
        <f>+IF(IF($B18="","",IFERROR(INDEX('Auxiliar Resultados'!$C$9:$BO$50,MATCH($B18,'Auxiliar Resultados'!$B$9:$B$50,0),MATCH(CONCATENATE($C18,P$7),'Auxiliar Resultados'!$C$6:$BO$6,0)),""))=0,"",IF($B18="","",IFERROR(INDEX('Auxiliar Resultados'!$C$9:$BO$50,MATCH($B18,'Auxiliar Resultados'!$B$9:$B$50,0),MATCH(CONCATENATE($C18,P$7),'Auxiliar Resultados'!$C$6:$BO$6,0)),"")))</f>
        <v/>
      </c>
      <c r="Q18" s="52" t="str">
        <f>+IF(IF($B18="","",IFERROR(INDEX('Auxiliar Resultados'!$C$9:$BO$50,MATCH($B18,'Auxiliar Resultados'!$B$9:$B$50,0),MATCH(CONCATENATE($C18,Q$7),'Auxiliar Resultados'!$C$6:$BO$6,0)),""))=0,"",IF($B18="","",IFERROR(INDEX('Auxiliar Resultados'!$C$9:$BO$50,MATCH($B18,'Auxiliar Resultados'!$B$9:$B$50,0),MATCH(CONCATENATE($C18,Q$7),'Auxiliar Resultados'!$C$6:$BO$6,0)),"")))</f>
        <v/>
      </c>
      <c r="R18" s="52" t="str">
        <f>+IF(IF($B18="","",IFERROR(INDEX('Auxiliar Resultados'!$C$9:$BO$50,MATCH($B18,'Auxiliar Resultados'!$B$9:$B$50,0),MATCH(CONCATENATE($C18,R$7),'Auxiliar Resultados'!$C$6:$BO$6,0)),""))=0,"",IF($B18="","",IFERROR(INDEX('Auxiliar Resultados'!$C$9:$BO$50,MATCH($B18,'Auxiliar Resultados'!$B$9:$B$50,0),MATCH(CONCATENATE($C18,R$7),'Auxiliar Resultados'!$C$6:$BO$6,0)),"")))</f>
        <v/>
      </c>
      <c r="S18" s="52" t="str">
        <f>+IF(IF($B18="","",IFERROR(INDEX('Auxiliar Resultados'!$C$9:$BO$50,MATCH($B18,'Auxiliar Resultados'!$B$9:$B$50,0),MATCH(CONCATENATE($C18,S$7),'Auxiliar Resultados'!$C$6:$BO$6,0)),""))=0,"",IF($B18="","",IFERROR(INDEX('Auxiliar Resultados'!$C$9:$BO$50,MATCH($B18,'Auxiliar Resultados'!$B$9:$B$50,0),MATCH(CONCATENATE($C18,S$7),'Auxiliar Resultados'!$C$6:$BO$6,0)),"")))</f>
        <v/>
      </c>
      <c r="T18" s="52" t="str">
        <f>+IF(IF($B18="","",IFERROR(INDEX('Auxiliar Resultados'!$C$9:$BO$50,MATCH($B18,'Auxiliar Resultados'!$B$9:$B$50,0),MATCH(CONCATENATE($C18,T$7),'Auxiliar Resultados'!$C$6:$BO$6,0)),""))=0,"",IF($B18="","",IFERROR(INDEX('Auxiliar Resultados'!$C$9:$BO$50,MATCH($B18,'Auxiliar Resultados'!$B$9:$B$50,0),MATCH(CONCATENATE($C18,T$7),'Auxiliar Resultados'!$C$6:$BO$6,0)),"")))</f>
        <v/>
      </c>
      <c r="U18" s="52" t="str">
        <f>+IF(IF($B18="","",IFERROR(INDEX('Auxiliar Resultados'!$C$9:$BO$50,MATCH($B18,'Auxiliar Resultados'!$B$9:$B$50,0),MATCH(CONCATENATE($C18,U$7),'Auxiliar Resultados'!$C$6:$BO$6,0)),""))=0,"",IF($B18="","",IFERROR(INDEX('Auxiliar Resultados'!$C$9:$BO$50,MATCH($B18,'Auxiliar Resultados'!$B$9:$B$50,0),MATCH(CONCATENATE($C18,U$7),'Auxiliar Resultados'!$C$6:$BO$6,0)),"")))</f>
        <v/>
      </c>
      <c r="V18" s="52" t="str">
        <f>+IF(IF($B18="","",IFERROR(INDEX('Auxiliar Resultados'!$C$9:$BO$50,MATCH($B18,'Auxiliar Resultados'!$B$9:$B$50,0),MATCH(CONCATENATE($C18,V$7),'Auxiliar Resultados'!$C$6:$BO$6,0)),""))=0,"",IF($B18="","",IFERROR(INDEX('Auxiliar Resultados'!$C$9:$BO$50,MATCH($B18,'Auxiliar Resultados'!$B$9:$B$50,0),MATCH(CONCATENATE($C18,V$7),'Auxiliar Resultados'!$C$6:$BO$6,0)),"")))</f>
        <v/>
      </c>
      <c r="W18" s="52" t="str">
        <f>+IF(IF($B18="","",IFERROR(INDEX('Auxiliar Resultados'!$C$9:$BO$50,MATCH($B18,'Auxiliar Resultados'!$B$9:$B$50,0),MATCH(CONCATENATE($C18,W$7),'Auxiliar Resultados'!$C$6:$BO$6,0)),""))=0,"",IF($B18="","",IFERROR(INDEX('Auxiliar Resultados'!$C$9:$BO$50,MATCH($B18,'Auxiliar Resultados'!$B$9:$B$50,0),MATCH(CONCATENATE($C18,W$7),'Auxiliar Resultados'!$C$6:$BO$6,0)),"")))</f>
        <v/>
      </c>
      <c r="X18" s="52" t="str">
        <f>+IF(IF($B18="","",IFERROR(INDEX('Auxiliar Resultados'!$C$9:$BO$50,MATCH($B18,'Auxiliar Resultados'!$B$9:$B$50,0),MATCH(CONCATENATE($C18,X$7),'Auxiliar Resultados'!$C$6:$BO$6,0)),""))=0,"",IF($B18="","",IFERROR(INDEX('Auxiliar Resultados'!$C$9:$BO$50,MATCH($B18,'Auxiliar Resultados'!$B$9:$B$50,0),MATCH(CONCATENATE($C18,X$7),'Auxiliar Resultados'!$C$6:$BO$6,0)),"")))</f>
        <v/>
      </c>
      <c r="Y18" s="52" t="str">
        <f>+IF(IF($B18="","",IFERROR(INDEX('Auxiliar Resultados'!$C$9:$BO$50,MATCH($B18,'Auxiliar Resultados'!$B$9:$B$50,0),MATCH(CONCATENATE($C18,Y$7),'Auxiliar Resultados'!$C$6:$BO$6,0)),""))=0,"",IF($B18="","",IFERROR(INDEX('Auxiliar Resultados'!$C$9:$BO$50,MATCH($B18,'Auxiliar Resultados'!$B$9:$B$50,0),MATCH(CONCATENATE($C18,Y$7),'Auxiliar Resultados'!$C$6:$BO$6,0)),"")))</f>
        <v/>
      </c>
      <c r="Z18" s="52" t="str">
        <f>+IF(IF($B18="","",IFERROR(INDEX('Auxiliar Resultados'!$C$9:$BO$50,MATCH($B18,'Auxiliar Resultados'!$B$9:$B$50,0),MATCH(CONCATENATE($C18,Z$7),'Auxiliar Resultados'!$C$6:$BO$6,0)),""))=0,"",IF($B18="","",IFERROR(INDEX('Auxiliar Resultados'!$C$9:$BO$50,MATCH($B18,'Auxiliar Resultados'!$B$9:$B$50,0),MATCH(CONCATENATE($C18,Z$7),'Auxiliar Resultados'!$C$6:$BO$6,0)),"")))</f>
        <v/>
      </c>
      <c r="AA18" s="52" t="str">
        <f>+IF(IF($B18="","",IFERROR(INDEX('Auxiliar Resultados'!$C$9:$BO$50,MATCH($B18,'Auxiliar Resultados'!$B$9:$B$50,0),MATCH(CONCATENATE($C18,AA$7),'Auxiliar Resultados'!$C$6:$BO$6,0)),""))=0,"",IF($B18="","",IFERROR(INDEX('Auxiliar Resultados'!$C$9:$BO$50,MATCH($B18,'Auxiliar Resultados'!$B$9:$B$50,0),MATCH(CONCATENATE($C18,AA$7),'Auxiliar Resultados'!$C$6:$BO$6,0)),"")))</f>
        <v/>
      </c>
      <c r="AB18" s="52" t="str">
        <f>+IF(IF($B18="","",IFERROR(INDEX('Auxiliar Resultados'!$C$9:$BO$50,MATCH($B18,'Auxiliar Resultados'!$B$9:$B$50,0),MATCH(CONCATENATE($C18,AB$7),'Auxiliar Resultados'!$C$6:$BO$6,0)),""))=0,"",IF($B18="","",IFERROR(INDEX('Auxiliar Resultados'!$C$9:$BO$50,MATCH($B18,'Auxiliar Resultados'!$B$9:$B$50,0),MATCH(CONCATENATE($C18,AB$7),'Auxiliar Resultados'!$C$6:$BO$6,0)),"")))</f>
        <v/>
      </c>
      <c r="AC18" s="52" t="str">
        <f>+IF(IF($B18="","",IFERROR(INDEX('Auxiliar Resultados'!$C$9:$BO$50,MATCH($B18,'Auxiliar Resultados'!$B$9:$B$50,0),MATCH(CONCATENATE($C18,AC$7),'Auxiliar Resultados'!$C$6:$BO$6,0)),""))=0,"",IF($B18="","",IFERROR(INDEX('Auxiliar Resultados'!$C$9:$BO$50,MATCH($B18,'Auxiliar Resultados'!$B$9:$B$50,0),MATCH(CONCATENATE($C18,AC$7),'Auxiliar Resultados'!$C$6:$BO$6,0)),"")))</f>
        <v/>
      </c>
      <c r="AD18" s="52" t="str">
        <f>+IF(IF($B18="","",IFERROR(INDEX('Auxiliar Resultados'!$C$9:$BO$50,MATCH($B18,'Auxiliar Resultados'!$B$9:$B$50,0),MATCH(CONCATENATE($C18,AD$7),'Auxiliar Resultados'!$C$6:$BO$6,0)),""))=0,"",IF($B18="","",IFERROR(INDEX('Auxiliar Resultados'!$C$9:$BO$50,MATCH($B18,'Auxiliar Resultados'!$B$9:$B$50,0),MATCH(CONCATENATE($C18,AD$7),'Auxiliar Resultados'!$C$6:$BO$6,0)),"")))</f>
        <v/>
      </c>
      <c r="AE18" s="52" t="str">
        <f>+IF(IF($B18="","",IFERROR(INDEX('Auxiliar Resultados'!$C$9:$BO$50,MATCH($B18,'Auxiliar Resultados'!$B$9:$B$50,0),MATCH(CONCATENATE($C18,AE$7),'Auxiliar Resultados'!$C$6:$BO$6,0)),""))=0,"",IF($B18="","",IFERROR(INDEX('Auxiliar Resultados'!$C$9:$BO$50,MATCH($B18,'Auxiliar Resultados'!$B$9:$B$50,0),MATCH(CONCATENATE($C18,AE$7),'Auxiliar Resultados'!$C$6:$BO$6,0)),"")))</f>
        <v/>
      </c>
      <c r="AF18" s="52" t="str">
        <f>+IF(IF($B18="","",IFERROR(INDEX('Auxiliar Resultados'!$C$9:$BO$50,MATCH($B18,'Auxiliar Resultados'!$B$9:$B$50,0),MATCH(CONCATENATE($C18,AF$7),'Auxiliar Resultados'!$C$6:$BO$6,0)),""))=0,"",IF($B18="","",IFERROR(INDEX('Auxiliar Resultados'!$C$9:$BO$50,MATCH($B18,'Auxiliar Resultados'!$B$9:$B$50,0),MATCH(CONCATENATE($C18,AF$7),'Auxiliar Resultados'!$C$6:$BO$6,0)),"")))</f>
        <v/>
      </c>
      <c r="AG18" s="52" t="str">
        <f>+IF(IF($B18="","",IFERROR(INDEX('Auxiliar Resultados'!$C$9:$BO$50,MATCH($B18,'Auxiliar Resultados'!$B$9:$B$50,0),MATCH(CONCATENATE($C18,AG$7),'Auxiliar Resultados'!$C$6:$BO$6,0)),""))=0,"",IF($B18="","",IFERROR(INDEX('Auxiliar Resultados'!$C$9:$BO$50,MATCH($B18,'Auxiliar Resultados'!$B$9:$B$50,0),MATCH(CONCATENATE($C18,AG$7),'Auxiliar Resultados'!$C$6:$BO$6,0)),"")))</f>
        <v/>
      </c>
      <c r="AH18" s="52" t="str">
        <f>+IF(IF($B18="","",IFERROR(INDEX('Auxiliar Resultados'!$C$9:$BO$50,MATCH($B18,'Auxiliar Resultados'!$B$9:$B$50,0),MATCH(CONCATENATE($C18,AH$7),'Auxiliar Resultados'!$C$6:$BO$6,0)),""))=0,"",IF($B18="","",IFERROR(INDEX('Auxiliar Resultados'!$C$9:$BO$50,MATCH($B18,'Auxiliar Resultados'!$B$9:$B$50,0),MATCH(CONCATENATE($C18,AH$7),'Auxiliar Resultados'!$C$6:$BO$6,0)),"")))</f>
        <v/>
      </c>
      <c r="AI18" s="52" t="str">
        <f>+IF(IF($B18="","",IFERROR(INDEX('Auxiliar Resultados'!$C$9:$BO$50,MATCH($B18,'Auxiliar Resultados'!$B$9:$B$50,0),MATCH(CONCATENATE($C18,AI$7),'Auxiliar Resultados'!$C$6:$BO$6,0)),""))=0,"",IF($B18="","",IFERROR(INDEX('Auxiliar Resultados'!$C$9:$BO$50,MATCH($B18,'Auxiliar Resultados'!$B$9:$B$50,0),MATCH(CONCATENATE($C18,AI$7),'Auxiliar Resultados'!$C$6:$BO$6,0)),"")))</f>
        <v/>
      </c>
      <c r="AJ18" s="52" t="str">
        <f>+IF(IF($B18="","",IFERROR(INDEX('Auxiliar Resultados'!$C$9:$BO$50,MATCH($B18,'Auxiliar Resultados'!$B$9:$B$50,0),MATCH(CONCATENATE($C18,AJ$7),'Auxiliar Resultados'!$C$6:$BO$6,0)),""))=0,"",IF($B18="","",IFERROR(INDEX('Auxiliar Resultados'!$C$9:$BO$50,MATCH($B18,'Auxiliar Resultados'!$B$9:$B$50,0),MATCH(CONCATENATE($C18,AJ$7),'Auxiliar Resultados'!$C$6:$BO$6,0)),"")))</f>
        <v/>
      </c>
      <c r="AK18" s="52" t="str">
        <f>+IF(IF($B18="","",IFERROR(INDEX('Auxiliar Resultados'!$C$9:$BO$50,MATCH($B18,'Auxiliar Resultados'!$B$9:$B$50,0),MATCH(CONCATENATE($C18,AK$7),'Auxiliar Resultados'!$C$6:$BO$6,0)),""))=0,"",IF($B18="","",IFERROR(INDEX('Auxiliar Resultados'!$C$9:$BO$50,MATCH($B18,'Auxiliar Resultados'!$B$9:$B$50,0),MATCH(CONCATENATE($C18,AK$7),'Auxiliar Resultados'!$C$6:$BO$6,0)),"")))</f>
        <v/>
      </c>
      <c r="AL18" s="52" t="str">
        <f>+IF(IF($B18="","",IFERROR(INDEX('Auxiliar Resultados'!$C$9:$BO$50,MATCH($B18,'Auxiliar Resultados'!$B$9:$B$50,0),MATCH(CONCATENATE($C18,AL$7),'Auxiliar Resultados'!$C$6:$BO$6,0)),""))=0,"",IF($B18="","",IFERROR(INDEX('Auxiliar Resultados'!$C$9:$BO$50,MATCH($B18,'Auxiliar Resultados'!$B$9:$B$50,0),MATCH(CONCATENATE($C18,AL$7),'Auxiliar Resultados'!$C$6:$BO$6,0)),"")))</f>
        <v/>
      </c>
      <c r="AM18" s="52" t="str">
        <f>+IF(IF($B18="","",IFERROR(INDEX('Auxiliar Resultados'!$C$9:$BO$50,MATCH($B18,'Auxiliar Resultados'!$B$9:$B$50,0),MATCH(CONCATENATE($C18,AM$7),'Auxiliar Resultados'!$C$6:$BO$6,0)),""))=0,"",IF($B18="","",IFERROR(INDEX('Auxiliar Resultados'!$C$9:$BO$50,MATCH($B18,'Auxiliar Resultados'!$B$9:$B$50,0),MATCH(CONCATENATE($C18,AM$7),'Auxiliar Resultados'!$C$6:$BO$6,0)),"")))</f>
        <v/>
      </c>
      <c r="AN18" s="52" t="str">
        <f>+IF(IF($B18="","",IFERROR(INDEX('Auxiliar Resultados'!$C$9:$BO$50,MATCH($B18,'Auxiliar Resultados'!$B$9:$B$50,0),MATCH(CONCATENATE($C18,AN$7),'Auxiliar Resultados'!$C$6:$BO$6,0)),""))=0,"",IF($B18="","",IFERROR(INDEX('Auxiliar Resultados'!$C$9:$BO$50,MATCH($B18,'Auxiliar Resultados'!$B$9:$B$50,0),MATCH(CONCATENATE($C18,AN$7),'Auxiliar Resultados'!$C$6:$BO$6,0)),"")))</f>
        <v/>
      </c>
      <c r="AO18" s="52" t="str">
        <f>+IF(IF($B18="","",IFERROR(INDEX('Auxiliar Resultados'!$C$9:$BO$50,MATCH($B18,'Auxiliar Resultados'!$B$9:$B$50,0),MATCH(CONCATENATE($C18,AO$7),'Auxiliar Resultados'!$C$6:$BO$6,0)),""))=0,"",IF($B18="","",IFERROR(INDEX('Auxiliar Resultados'!$C$9:$BO$50,MATCH($B18,'Auxiliar Resultados'!$B$9:$B$50,0),MATCH(CONCATENATE($C18,AO$7),'Auxiliar Resultados'!$C$6:$BO$6,0)),"")))</f>
        <v/>
      </c>
      <c r="AP18" s="52" t="str">
        <f>+IF(IF($B18="","",IFERROR(INDEX('Auxiliar Resultados'!$C$9:$BO$50,MATCH($B18,'Auxiliar Resultados'!$B$9:$B$50,0),MATCH(CONCATENATE($C18,AP$7),'Auxiliar Resultados'!$C$6:$BO$6,0)),""))=0,"",IF($B18="","",IFERROR(INDEX('Auxiliar Resultados'!$C$9:$BO$50,MATCH($B18,'Auxiliar Resultados'!$B$9:$B$50,0),MATCH(CONCATENATE($C18,AP$7),'Auxiliar Resultados'!$C$6:$BO$6,0)),"")))</f>
        <v/>
      </c>
      <c r="AQ18" s="276" t="str">
        <f>+IF(IF($B18="","",IFERROR(INDEX('Auxiliar Resultados'!$C$9:$BO$50,MATCH($B18,'Auxiliar Resultados'!$B$9:$B$50,0),MATCH(CONCATENATE($C18,AQ$7),'Auxiliar Resultados'!$C$6:$BO$6,0)),""))=0,"",IF($B18="","",IFERROR(INDEX('Auxiliar Resultados'!$C$9:$BO$50,MATCH($B18,'Auxiliar Resultados'!$B$9:$B$50,0),MATCH(CONCATENATE($C18,AQ$7),'Auxiliar Resultados'!$C$6:$BO$6,0)),"")))</f>
        <v/>
      </c>
      <c r="AS18" s="46" t="str">
        <f t="shared" si="5"/>
        <v/>
      </c>
      <c r="AT18" s="292" t="str">
        <f t="shared" si="6"/>
        <v/>
      </c>
      <c r="AU18" s="36" t="str">
        <f>+IF(G18="","",INDEX('Modelo Optimización'!$AZ$4:$CO$149,MATCH(CONCATENATE(AU$7,$AT18),'Modelo Optimización'!$CQ$4:$CQ$149,0),MATCH($AS18,'Modelo Optimización'!$AZ$3:$CO$3,0)))</f>
        <v/>
      </c>
      <c r="AV18" s="32" t="str">
        <f>+IF(H18="","",INDEX('Modelo Optimización'!$AZ$4:$CO$149,MATCH(CONCATENATE(AV$7,$AT18),'Modelo Optimización'!$CQ$4:$CQ$149,0),MATCH($AS18,'Modelo Optimización'!$AZ$3:$CO$3,0)))</f>
        <v/>
      </c>
      <c r="AW18" s="32" t="str">
        <f>+IF(I18="","",INDEX('Modelo Optimización'!$AZ$4:$CO$149,MATCH(CONCATENATE(AW$7,$AT18),'Modelo Optimización'!$CQ$4:$CQ$149,0),MATCH($AS18,'Modelo Optimización'!$AZ$3:$CO$3,0)))</f>
        <v/>
      </c>
      <c r="AX18" s="32" t="str">
        <f>+IF(J18="","",INDEX('Modelo Optimización'!$AZ$4:$CO$149,MATCH(CONCATENATE(AX$7,$AT18),'Modelo Optimización'!$CQ$4:$CQ$149,0),MATCH($AS18,'Modelo Optimización'!$AZ$3:$CO$3,0)))</f>
        <v/>
      </c>
      <c r="AY18" s="32" t="str">
        <f>+IF(K18="","",INDEX('Modelo Optimización'!$AZ$4:$CO$149,MATCH(CONCATENATE(AY$7,$AT18),'Modelo Optimización'!$CQ$4:$CQ$149,0),MATCH($AS18,'Modelo Optimización'!$AZ$3:$CO$3,0)))</f>
        <v/>
      </c>
      <c r="AZ18" s="32" t="str">
        <f>+IF(L18="","",INDEX('Modelo Optimización'!$AZ$4:$CO$149,MATCH(CONCATENATE(AZ$7,$AT18),'Modelo Optimización'!$CQ$4:$CQ$149,0),MATCH($AS18,'Modelo Optimización'!$AZ$3:$CO$3,0)))</f>
        <v/>
      </c>
      <c r="BA18" s="32" t="str">
        <f>+IF(M18="","",INDEX('Modelo Optimización'!$AZ$4:$CO$149,MATCH(CONCATENATE(BA$7,$AT18),'Modelo Optimización'!$CQ$4:$CQ$149,0),MATCH($AS18,'Modelo Optimización'!$AZ$3:$CO$3,0)))</f>
        <v/>
      </c>
      <c r="BB18" s="32" t="str">
        <f>+IF(N18="","",INDEX('Modelo Optimización'!$AZ$4:$CO$149,MATCH(CONCATENATE(BB$7,$AT18),'Modelo Optimización'!$CQ$4:$CQ$149,0),MATCH($AS18,'Modelo Optimización'!$AZ$3:$CO$3,0)))</f>
        <v/>
      </c>
      <c r="BC18" s="32" t="str">
        <f>+IF(O18="","",INDEX('Modelo Optimización'!$AZ$4:$CO$149,MATCH(CONCATENATE(BC$7,$AT18),'Modelo Optimización'!$CQ$4:$CQ$149,0),MATCH($AS18,'Modelo Optimización'!$AZ$3:$CO$3,0)))</f>
        <v/>
      </c>
      <c r="BD18" s="32" t="str">
        <f>+IF(P18="","",INDEX('Modelo Optimización'!$AZ$4:$CO$149,MATCH(CONCATENATE(BD$7,$AT18),'Modelo Optimización'!$CQ$4:$CQ$149,0),MATCH($AS18,'Modelo Optimización'!$AZ$3:$CO$3,0)))</f>
        <v/>
      </c>
      <c r="BE18" s="32" t="str">
        <f>+IF(Q18="","",INDEX('Modelo Optimización'!$AZ$4:$CO$149,MATCH(CONCATENATE(BE$7,$AT18),'Modelo Optimización'!$CQ$4:$CQ$149,0),MATCH($AS18,'Modelo Optimización'!$AZ$3:$CO$3,0)))</f>
        <v/>
      </c>
      <c r="BF18" s="32" t="str">
        <f>+IF(R18="","",INDEX('Modelo Optimización'!$AZ$4:$CO$149,MATCH(CONCATENATE(BF$7,$AT18),'Modelo Optimización'!$CQ$4:$CQ$149,0),MATCH($AS18,'Modelo Optimización'!$AZ$3:$CO$3,0)))</f>
        <v/>
      </c>
      <c r="BG18" s="32" t="str">
        <f>+IF(S18="","",INDEX('Modelo Optimización'!$AZ$4:$CO$149,MATCH(CONCATENATE(BG$7,$AT18),'Modelo Optimización'!$CQ$4:$CQ$149,0),MATCH($AS18,'Modelo Optimización'!$AZ$3:$CO$3,0)))</f>
        <v/>
      </c>
      <c r="BH18" s="32" t="str">
        <f>+IF(T18="","",INDEX('Modelo Optimización'!$AZ$4:$CO$149,MATCH(CONCATENATE(BH$7,$AT18),'Modelo Optimización'!$CQ$4:$CQ$149,0),MATCH($AS18,'Modelo Optimización'!$AZ$3:$CO$3,0)))</f>
        <v/>
      </c>
      <c r="BI18" s="32" t="str">
        <f>+IF(U18="","",INDEX('Modelo Optimización'!$AZ$4:$CO$149,MATCH(CONCATENATE(BI$7,$AT18),'Modelo Optimización'!$CQ$4:$CQ$149,0),MATCH($AS18,'Modelo Optimización'!$AZ$3:$CO$3,0)))</f>
        <v/>
      </c>
      <c r="BJ18" s="32" t="str">
        <f>+IF(V18="","",INDEX('Modelo Optimización'!$AZ$4:$CO$149,MATCH(CONCATENATE(BJ$7,$AT18),'Modelo Optimización'!$CQ$4:$CQ$149,0),MATCH($AS18,'Modelo Optimización'!$AZ$3:$CO$3,0)))</f>
        <v/>
      </c>
      <c r="BK18" s="32" t="str">
        <f>+IF(W18="","",INDEX('Modelo Optimización'!$AZ$4:$CO$149,MATCH(CONCATENATE(BK$7,$AT18),'Modelo Optimización'!$CQ$4:$CQ$149,0),MATCH($AS18,'Modelo Optimización'!$AZ$3:$CO$3,0)))</f>
        <v/>
      </c>
      <c r="BL18" s="32" t="str">
        <f>+IF(X18="","",INDEX('Modelo Optimización'!$AZ$4:$CO$149,MATCH(CONCATENATE(BL$7,$AT18),'Modelo Optimización'!$CQ$4:$CQ$149,0),MATCH($AS18,'Modelo Optimización'!$AZ$3:$CO$3,0)))</f>
        <v/>
      </c>
      <c r="BM18" s="32" t="str">
        <f>+IF(Y18="","",INDEX('Modelo Optimización'!$AZ$4:$CO$149,MATCH(CONCATENATE(BM$7,$AT18),'Modelo Optimización'!$CQ$4:$CQ$149,0),MATCH($AS18,'Modelo Optimización'!$AZ$3:$CO$3,0)))</f>
        <v/>
      </c>
      <c r="BN18" s="32" t="str">
        <f>+IF(Z18="","",INDEX('Modelo Optimización'!$AZ$4:$CO$149,MATCH(CONCATENATE(BN$7,$AT18),'Modelo Optimización'!$CQ$4:$CQ$149,0),MATCH($AS18,'Modelo Optimización'!$AZ$3:$CO$3,0)))</f>
        <v/>
      </c>
      <c r="BO18" s="32" t="str">
        <f>+IF(AA18="","",INDEX('Modelo Optimización'!$AZ$4:$CO$149,MATCH(CONCATENATE(BO$7,$AT18),'Modelo Optimización'!$CQ$4:$CQ$149,0),MATCH($AS18,'Modelo Optimización'!$AZ$3:$CO$3,0)))</f>
        <v/>
      </c>
      <c r="BP18" s="32" t="str">
        <f>+IF(AB18="","",INDEX('Modelo Optimización'!$AZ$4:$CO$149,MATCH(CONCATENATE(BP$7,$AT18),'Modelo Optimización'!$CQ$4:$CQ$149,0),MATCH($AS18,'Modelo Optimización'!$AZ$3:$CO$3,0)))</f>
        <v/>
      </c>
      <c r="BQ18" s="32" t="str">
        <f>+IF(AC18="","",INDEX('Modelo Optimización'!$AZ$4:$CO$149,MATCH(CONCATENATE(BQ$7,$AT18),'Modelo Optimización'!$CQ$4:$CQ$149,0),MATCH($AS18,'Modelo Optimización'!$AZ$3:$CO$3,0)))</f>
        <v/>
      </c>
      <c r="BR18" s="32" t="str">
        <f>+IF(AD18="","",INDEX('Modelo Optimización'!$AZ$4:$CO$149,MATCH(CONCATENATE(BR$7,$AT18),'Modelo Optimización'!$CQ$4:$CQ$149,0),MATCH($AS18,'Modelo Optimización'!$AZ$3:$CO$3,0)))</f>
        <v/>
      </c>
      <c r="BS18" s="32" t="str">
        <f>+IF(AE18="","",INDEX('Modelo Optimización'!$AZ$4:$CO$149,MATCH(CONCATENATE(BS$7,$AT18),'Modelo Optimización'!$CQ$4:$CQ$149,0),MATCH($AS18,'Modelo Optimización'!$AZ$3:$CO$3,0)))</f>
        <v/>
      </c>
      <c r="BT18" s="32" t="str">
        <f>+IF(AF18="","",INDEX('Modelo Optimización'!$AZ$4:$CO$149,MATCH(CONCATENATE(BT$7,$AT18),'Modelo Optimización'!$CQ$4:$CQ$149,0),MATCH($AS18,'Modelo Optimización'!$AZ$3:$CO$3,0)))</f>
        <v/>
      </c>
      <c r="BU18" s="32" t="str">
        <f>+IF(AG18="","",INDEX('Modelo Optimización'!$AZ$4:$CO$149,MATCH(CONCATENATE(BU$7,$AT18),'Modelo Optimización'!$CQ$4:$CQ$149,0),MATCH($AS18,'Modelo Optimización'!$AZ$3:$CO$3,0)))</f>
        <v/>
      </c>
      <c r="BV18" s="32" t="str">
        <f>+IF(AH18="","",INDEX('Modelo Optimización'!$AZ$4:$CO$149,MATCH(CONCATENATE(BV$7,$AT18),'Modelo Optimización'!$CQ$4:$CQ$149,0),MATCH($AS18,'Modelo Optimización'!$AZ$3:$CO$3,0)))</f>
        <v/>
      </c>
      <c r="BW18" s="32" t="str">
        <f>+IF(AI18="","",INDEX('Modelo Optimización'!$AZ$4:$CO$149,MATCH(CONCATENATE(BW$7,$AT18),'Modelo Optimización'!$CQ$4:$CQ$149,0),MATCH($AS18,'Modelo Optimización'!$AZ$3:$CO$3,0)))</f>
        <v/>
      </c>
      <c r="BX18" s="32" t="str">
        <f>+IF(AJ18="","",INDEX('Modelo Optimización'!$AZ$4:$CO$149,MATCH(CONCATENATE(BX$7,$AT18),'Modelo Optimización'!$CQ$4:$CQ$149,0),MATCH($AS18,'Modelo Optimización'!$AZ$3:$CO$3,0)))</f>
        <v/>
      </c>
      <c r="BY18" s="32" t="str">
        <f>+IF(AK18="","",INDEX('Modelo Optimización'!$AZ$4:$CO$149,MATCH(CONCATENATE(BY$7,$AT18),'Modelo Optimización'!$CQ$4:$CQ$149,0),MATCH($AS18,'Modelo Optimización'!$AZ$3:$CO$3,0)))</f>
        <v/>
      </c>
      <c r="BZ18" s="32" t="str">
        <f>+IF(AL18="","",INDEX('Modelo Optimización'!$AZ$4:$CO$149,MATCH(CONCATENATE(BZ$7,$AT18),'Modelo Optimización'!$CQ$4:$CQ$149,0),MATCH($AS18,'Modelo Optimización'!$AZ$3:$CO$3,0)))</f>
        <v/>
      </c>
      <c r="CA18" s="32" t="str">
        <f>+IF(AM18="","",INDEX('Modelo Optimización'!$AZ$4:$CO$149,MATCH(CONCATENATE(CA$7,$AT18),'Modelo Optimización'!$CQ$4:$CQ$149,0),MATCH($AS18,'Modelo Optimización'!$AZ$3:$CO$3,0)))</f>
        <v/>
      </c>
      <c r="CB18" s="32" t="str">
        <f>+IF(AN18="","",INDEX('Modelo Optimización'!$AZ$4:$CO$149,MATCH(CONCATENATE(CB$7,$AT18),'Modelo Optimización'!$CQ$4:$CQ$149,0),MATCH($AS18,'Modelo Optimización'!$AZ$3:$CO$3,0)))</f>
        <v/>
      </c>
      <c r="CC18" s="32" t="str">
        <f>+IF(AO18="","",INDEX('Modelo Optimización'!$AZ$4:$CO$149,MATCH(CONCATENATE(CC$7,$AT18),'Modelo Optimización'!$CQ$4:$CQ$149,0),MATCH($AS18,'Modelo Optimización'!$AZ$3:$CO$3,0)))</f>
        <v/>
      </c>
      <c r="CD18" s="32" t="str">
        <f>+IF(AP18="","",INDEX('Modelo Optimización'!$AZ$4:$CO$149,MATCH(CONCATENATE(CD$7,$AT18),'Modelo Optimización'!$CQ$4:$CQ$149,0),MATCH($AS18,'Modelo Optimización'!$AZ$3:$CO$3,0)))</f>
        <v/>
      </c>
      <c r="CE18" s="37" t="str">
        <f>+IF(AQ18="","",INDEX('Modelo Optimización'!$AZ$4:$CO$149,MATCH(CONCATENATE(CE$7,$AT18),'Modelo Optimización'!$CQ$4:$CQ$149,0),MATCH($AS18,'Modelo Optimización'!$AZ$3:$CO$3,0)))</f>
        <v/>
      </c>
      <c r="CF18" s="301"/>
      <c r="CG18" s="305" t="str">
        <f t="shared" si="11"/>
        <v/>
      </c>
      <c r="CH18" s="303" t="str">
        <f t="shared" si="7"/>
        <v/>
      </c>
      <c r="CI18" s="292" t="str">
        <f t="shared" si="8"/>
        <v/>
      </c>
      <c r="CJ18" s="36" t="str">
        <f t="shared" si="12"/>
        <v/>
      </c>
      <c r="CK18" s="32" t="str">
        <f t="shared" si="13"/>
        <v/>
      </c>
      <c r="CL18" s="32" t="str">
        <f t="shared" si="14"/>
        <v/>
      </c>
      <c r="CM18" s="32" t="str">
        <f t="shared" si="15"/>
        <v/>
      </c>
      <c r="CN18" s="32" t="str">
        <f t="shared" si="16"/>
        <v/>
      </c>
      <c r="CO18" s="32" t="str">
        <f t="shared" si="17"/>
        <v/>
      </c>
      <c r="CP18" s="32" t="str">
        <f t="shared" si="18"/>
        <v/>
      </c>
      <c r="CQ18" s="32" t="str">
        <f t="shared" si="19"/>
        <v/>
      </c>
      <c r="CR18" s="32" t="str">
        <f t="shared" si="20"/>
        <v/>
      </c>
      <c r="CS18" s="32" t="str">
        <f t="shared" si="21"/>
        <v/>
      </c>
      <c r="CT18" s="32" t="str">
        <f t="shared" si="22"/>
        <v/>
      </c>
      <c r="CU18" s="32" t="str">
        <f t="shared" si="23"/>
        <v/>
      </c>
      <c r="CV18" s="32" t="str">
        <f t="shared" si="24"/>
        <v/>
      </c>
      <c r="CW18" s="32" t="str">
        <f t="shared" si="25"/>
        <v/>
      </c>
      <c r="CX18" s="32" t="str">
        <f t="shared" si="26"/>
        <v/>
      </c>
      <c r="CY18" s="32" t="str">
        <f t="shared" si="27"/>
        <v/>
      </c>
      <c r="CZ18" s="32" t="str">
        <f t="shared" si="28"/>
        <v/>
      </c>
      <c r="DA18" s="32" t="str">
        <f t="shared" si="29"/>
        <v/>
      </c>
      <c r="DB18" s="32" t="str">
        <f t="shared" si="30"/>
        <v/>
      </c>
      <c r="DC18" s="32" t="str">
        <f t="shared" si="31"/>
        <v/>
      </c>
      <c r="DD18" s="32" t="str">
        <f t="shared" si="32"/>
        <v/>
      </c>
      <c r="DE18" s="32" t="str">
        <f t="shared" si="33"/>
        <v/>
      </c>
      <c r="DF18" s="32" t="str">
        <f t="shared" si="34"/>
        <v/>
      </c>
      <c r="DG18" s="32" t="str">
        <f t="shared" si="35"/>
        <v/>
      </c>
      <c r="DH18" s="32" t="str">
        <f t="shared" si="36"/>
        <v/>
      </c>
      <c r="DI18" s="32" t="str">
        <f t="shared" si="37"/>
        <v/>
      </c>
      <c r="DJ18" s="32" t="str">
        <f t="shared" si="38"/>
        <v/>
      </c>
      <c r="DK18" s="32" t="str">
        <f t="shared" si="39"/>
        <v/>
      </c>
      <c r="DL18" s="32" t="str">
        <f t="shared" si="40"/>
        <v/>
      </c>
      <c r="DM18" s="32" t="str">
        <f t="shared" si="41"/>
        <v/>
      </c>
      <c r="DN18" s="32" t="str">
        <f t="shared" si="42"/>
        <v/>
      </c>
      <c r="DO18" s="32" t="str">
        <f t="shared" si="43"/>
        <v/>
      </c>
      <c r="DP18" s="32" t="str">
        <f t="shared" si="44"/>
        <v/>
      </c>
      <c r="DQ18" s="32" t="str">
        <f t="shared" si="45"/>
        <v/>
      </c>
      <c r="DR18" s="32" t="str">
        <f t="shared" si="46"/>
        <v/>
      </c>
      <c r="DS18" s="32" t="str">
        <f t="shared" si="47"/>
        <v/>
      </c>
      <c r="DT18" s="37" t="str">
        <f t="shared" si="48"/>
        <v/>
      </c>
    </row>
    <row r="19" spans="2:124" x14ac:dyDescent="0.35">
      <c r="B19" s="46"/>
      <c r="C19" s="212"/>
      <c r="D19" s="52"/>
      <c r="E19" s="52" t="str">
        <f>+IF(B19="","",IFERROR(SUMIF('Modelo Optimización'!$AS$72:$AS$217,C19,INDEX('Modelo Optimización'!$C$72:$AR$217,,MATCH(B19,'Modelo Optimización'!$C$71:$AR$71,0))),0))</f>
        <v/>
      </c>
      <c r="F19" s="281" t="str">
        <f t="shared" si="10"/>
        <v/>
      </c>
      <c r="G19" s="280" t="str">
        <f>+IF(IF($B19="","",IFERROR(INDEX('Auxiliar Resultados'!$C$9:$BO$50,MATCH($B19,'Auxiliar Resultados'!$B$9:$B$50,0),MATCH(CONCATENATE($C19,G$7),'Auxiliar Resultados'!$C$6:$BO$6,0)),""))=0,"",IF($B19="","",IFERROR(INDEX('Auxiliar Resultados'!$C$9:$BO$50,MATCH($B19,'Auxiliar Resultados'!$B$9:$B$50,0),MATCH(CONCATENATE($C19,G$7),'Auxiliar Resultados'!$C$6:$BO$6,0)),"")))</f>
        <v/>
      </c>
      <c r="H19" s="52" t="str">
        <f>+IF(IF($B19="","",IFERROR(INDEX('Auxiliar Resultados'!$C$9:$BO$50,MATCH($B19,'Auxiliar Resultados'!$B$9:$B$50,0),MATCH(CONCATENATE($C19,H$7),'Auxiliar Resultados'!$C$6:$BO$6,0)),""))=0,"",IF($B19="","",IFERROR(INDEX('Auxiliar Resultados'!$C$9:$BO$50,MATCH($B19,'Auxiliar Resultados'!$B$9:$B$50,0),MATCH(CONCATENATE($C19,H$7),'Auxiliar Resultados'!$C$6:$BO$6,0)),"")))</f>
        <v/>
      </c>
      <c r="I19" s="52" t="str">
        <f>+IF(IF($B19="","",IFERROR(INDEX('Auxiliar Resultados'!$C$9:$BO$50,MATCH($B19,'Auxiliar Resultados'!$B$9:$B$50,0),MATCH(CONCATENATE($C19,I$7),'Auxiliar Resultados'!$C$6:$BO$6,0)),""))=0,"",IF($B19="","",IFERROR(INDEX('Auxiliar Resultados'!$C$9:$BO$50,MATCH($B19,'Auxiliar Resultados'!$B$9:$B$50,0),MATCH(CONCATENATE($C19,I$7),'Auxiliar Resultados'!$C$6:$BO$6,0)),"")))</f>
        <v/>
      </c>
      <c r="J19" s="52" t="str">
        <f>+IF(IF($B19="","",IFERROR(INDEX('Auxiliar Resultados'!$C$9:$BO$50,MATCH($B19,'Auxiliar Resultados'!$B$9:$B$50,0),MATCH(CONCATENATE($C19,J$7),'Auxiliar Resultados'!$C$6:$BO$6,0)),""))=0,"",IF($B19="","",IFERROR(INDEX('Auxiliar Resultados'!$C$9:$BO$50,MATCH($B19,'Auxiliar Resultados'!$B$9:$B$50,0),MATCH(CONCATENATE($C19,J$7),'Auxiliar Resultados'!$C$6:$BO$6,0)),"")))</f>
        <v/>
      </c>
      <c r="K19" s="52" t="str">
        <f>+IF(IF($B19="","",IFERROR(INDEX('Auxiliar Resultados'!$C$9:$BO$50,MATCH($B19,'Auxiliar Resultados'!$B$9:$B$50,0),MATCH(CONCATENATE($C19,K$7),'Auxiliar Resultados'!$C$6:$BO$6,0)),""))=0,"",IF($B19="","",IFERROR(INDEX('Auxiliar Resultados'!$C$9:$BO$50,MATCH($B19,'Auxiliar Resultados'!$B$9:$B$50,0),MATCH(CONCATENATE($C19,K$7),'Auxiliar Resultados'!$C$6:$BO$6,0)),"")))</f>
        <v/>
      </c>
      <c r="L19" s="52" t="str">
        <f>+IF(IF($B19="","",IFERROR(INDEX('Auxiliar Resultados'!$C$9:$BO$50,MATCH($B19,'Auxiliar Resultados'!$B$9:$B$50,0),MATCH(CONCATENATE($C19,L$7),'Auxiliar Resultados'!$C$6:$BO$6,0)),""))=0,"",IF($B19="","",IFERROR(INDEX('Auxiliar Resultados'!$C$9:$BO$50,MATCH($B19,'Auxiliar Resultados'!$B$9:$B$50,0),MATCH(CONCATENATE($C19,L$7),'Auxiliar Resultados'!$C$6:$BO$6,0)),"")))</f>
        <v/>
      </c>
      <c r="M19" s="52" t="str">
        <f>+IF(IF($B19="","",IFERROR(INDEX('Auxiliar Resultados'!$C$9:$BO$50,MATCH($B19,'Auxiliar Resultados'!$B$9:$B$50,0),MATCH(CONCATENATE($C19,M$7),'Auxiliar Resultados'!$C$6:$BO$6,0)),""))=0,"",IF($B19="","",IFERROR(INDEX('Auxiliar Resultados'!$C$9:$BO$50,MATCH($B19,'Auxiliar Resultados'!$B$9:$B$50,0),MATCH(CONCATENATE($C19,M$7),'Auxiliar Resultados'!$C$6:$BO$6,0)),"")))</f>
        <v/>
      </c>
      <c r="N19" s="52" t="str">
        <f>+IF(IF($B19="","",IFERROR(INDEX('Auxiliar Resultados'!$C$9:$BO$50,MATCH($B19,'Auxiliar Resultados'!$B$9:$B$50,0),MATCH(CONCATENATE($C19,N$7),'Auxiliar Resultados'!$C$6:$BO$6,0)),""))=0,"",IF($B19="","",IFERROR(INDEX('Auxiliar Resultados'!$C$9:$BO$50,MATCH($B19,'Auxiliar Resultados'!$B$9:$B$50,0),MATCH(CONCATENATE($C19,N$7),'Auxiliar Resultados'!$C$6:$BO$6,0)),"")))</f>
        <v/>
      </c>
      <c r="O19" s="52" t="str">
        <f>+IF(IF($B19="","",IFERROR(INDEX('Auxiliar Resultados'!$C$9:$BO$50,MATCH($B19,'Auxiliar Resultados'!$B$9:$B$50,0),MATCH(CONCATENATE($C19,O$7),'Auxiliar Resultados'!$C$6:$BO$6,0)),""))=0,"",IF($B19="","",IFERROR(INDEX('Auxiliar Resultados'!$C$9:$BO$50,MATCH($B19,'Auxiliar Resultados'!$B$9:$B$50,0),MATCH(CONCATENATE($C19,O$7),'Auxiliar Resultados'!$C$6:$BO$6,0)),"")))</f>
        <v/>
      </c>
      <c r="P19" s="52" t="str">
        <f>+IF(IF($B19="","",IFERROR(INDEX('Auxiliar Resultados'!$C$9:$BO$50,MATCH($B19,'Auxiliar Resultados'!$B$9:$B$50,0),MATCH(CONCATENATE($C19,P$7),'Auxiliar Resultados'!$C$6:$BO$6,0)),""))=0,"",IF($B19="","",IFERROR(INDEX('Auxiliar Resultados'!$C$9:$BO$50,MATCH($B19,'Auxiliar Resultados'!$B$9:$B$50,0),MATCH(CONCATENATE($C19,P$7),'Auxiliar Resultados'!$C$6:$BO$6,0)),"")))</f>
        <v/>
      </c>
      <c r="Q19" s="52" t="str">
        <f>+IF(IF($B19="","",IFERROR(INDEX('Auxiliar Resultados'!$C$9:$BO$50,MATCH($B19,'Auxiliar Resultados'!$B$9:$B$50,0),MATCH(CONCATENATE($C19,Q$7),'Auxiliar Resultados'!$C$6:$BO$6,0)),""))=0,"",IF($B19="","",IFERROR(INDEX('Auxiliar Resultados'!$C$9:$BO$50,MATCH($B19,'Auxiliar Resultados'!$B$9:$B$50,0),MATCH(CONCATENATE($C19,Q$7),'Auxiliar Resultados'!$C$6:$BO$6,0)),"")))</f>
        <v/>
      </c>
      <c r="R19" s="52" t="str">
        <f>+IF(IF($B19="","",IFERROR(INDEX('Auxiliar Resultados'!$C$9:$BO$50,MATCH($B19,'Auxiliar Resultados'!$B$9:$B$50,0),MATCH(CONCATENATE($C19,R$7),'Auxiliar Resultados'!$C$6:$BO$6,0)),""))=0,"",IF($B19="","",IFERROR(INDEX('Auxiliar Resultados'!$C$9:$BO$50,MATCH($B19,'Auxiliar Resultados'!$B$9:$B$50,0),MATCH(CONCATENATE($C19,R$7),'Auxiliar Resultados'!$C$6:$BO$6,0)),"")))</f>
        <v/>
      </c>
      <c r="S19" s="52" t="str">
        <f>+IF(IF($B19="","",IFERROR(INDEX('Auxiliar Resultados'!$C$9:$BO$50,MATCH($B19,'Auxiliar Resultados'!$B$9:$B$50,0),MATCH(CONCATENATE($C19,S$7),'Auxiliar Resultados'!$C$6:$BO$6,0)),""))=0,"",IF($B19="","",IFERROR(INDEX('Auxiliar Resultados'!$C$9:$BO$50,MATCH($B19,'Auxiliar Resultados'!$B$9:$B$50,0),MATCH(CONCATENATE($C19,S$7),'Auxiliar Resultados'!$C$6:$BO$6,0)),"")))</f>
        <v/>
      </c>
      <c r="T19" s="52" t="str">
        <f>+IF(IF($B19="","",IFERROR(INDEX('Auxiliar Resultados'!$C$9:$BO$50,MATCH($B19,'Auxiliar Resultados'!$B$9:$B$50,0),MATCH(CONCATENATE($C19,T$7),'Auxiliar Resultados'!$C$6:$BO$6,0)),""))=0,"",IF($B19="","",IFERROR(INDEX('Auxiliar Resultados'!$C$9:$BO$50,MATCH($B19,'Auxiliar Resultados'!$B$9:$B$50,0),MATCH(CONCATENATE($C19,T$7),'Auxiliar Resultados'!$C$6:$BO$6,0)),"")))</f>
        <v/>
      </c>
      <c r="U19" s="52" t="str">
        <f>+IF(IF($B19="","",IFERROR(INDEX('Auxiliar Resultados'!$C$9:$BO$50,MATCH($B19,'Auxiliar Resultados'!$B$9:$B$50,0),MATCH(CONCATENATE($C19,U$7),'Auxiliar Resultados'!$C$6:$BO$6,0)),""))=0,"",IF($B19="","",IFERROR(INDEX('Auxiliar Resultados'!$C$9:$BO$50,MATCH($B19,'Auxiliar Resultados'!$B$9:$B$50,0),MATCH(CONCATENATE($C19,U$7),'Auxiliar Resultados'!$C$6:$BO$6,0)),"")))</f>
        <v/>
      </c>
      <c r="V19" s="52" t="str">
        <f>+IF(IF($B19="","",IFERROR(INDEX('Auxiliar Resultados'!$C$9:$BO$50,MATCH($B19,'Auxiliar Resultados'!$B$9:$B$50,0),MATCH(CONCATENATE($C19,V$7),'Auxiliar Resultados'!$C$6:$BO$6,0)),""))=0,"",IF($B19="","",IFERROR(INDEX('Auxiliar Resultados'!$C$9:$BO$50,MATCH($B19,'Auxiliar Resultados'!$B$9:$B$50,0),MATCH(CONCATENATE($C19,V$7),'Auxiliar Resultados'!$C$6:$BO$6,0)),"")))</f>
        <v/>
      </c>
      <c r="W19" s="52" t="str">
        <f>+IF(IF($B19="","",IFERROR(INDEX('Auxiliar Resultados'!$C$9:$BO$50,MATCH($B19,'Auxiliar Resultados'!$B$9:$B$50,0),MATCH(CONCATENATE($C19,W$7),'Auxiliar Resultados'!$C$6:$BO$6,0)),""))=0,"",IF($B19="","",IFERROR(INDEX('Auxiliar Resultados'!$C$9:$BO$50,MATCH($B19,'Auxiliar Resultados'!$B$9:$B$50,0),MATCH(CONCATENATE($C19,W$7),'Auxiliar Resultados'!$C$6:$BO$6,0)),"")))</f>
        <v/>
      </c>
      <c r="X19" s="52" t="str">
        <f>+IF(IF($B19="","",IFERROR(INDEX('Auxiliar Resultados'!$C$9:$BO$50,MATCH($B19,'Auxiliar Resultados'!$B$9:$B$50,0),MATCH(CONCATENATE($C19,X$7),'Auxiliar Resultados'!$C$6:$BO$6,0)),""))=0,"",IF($B19="","",IFERROR(INDEX('Auxiliar Resultados'!$C$9:$BO$50,MATCH($B19,'Auxiliar Resultados'!$B$9:$B$50,0),MATCH(CONCATENATE($C19,X$7),'Auxiliar Resultados'!$C$6:$BO$6,0)),"")))</f>
        <v/>
      </c>
      <c r="Y19" s="52" t="str">
        <f>+IF(IF($B19="","",IFERROR(INDEX('Auxiliar Resultados'!$C$9:$BO$50,MATCH($B19,'Auxiliar Resultados'!$B$9:$B$50,0),MATCH(CONCATENATE($C19,Y$7),'Auxiliar Resultados'!$C$6:$BO$6,0)),""))=0,"",IF($B19="","",IFERROR(INDEX('Auxiliar Resultados'!$C$9:$BO$50,MATCH($B19,'Auxiliar Resultados'!$B$9:$B$50,0),MATCH(CONCATENATE($C19,Y$7),'Auxiliar Resultados'!$C$6:$BO$6,0)),"")))</f>
        <v/>
      </c>
      <c r="Z19" s="52" t="str">
        <f>+IF(IF($B19="","",IFERROR(INDEX('Auxiliar Resultados'!$C$9:$BO$50,MATCH($B19,'Auxiliar Resultados'!$B$9:$B$50,0),MATCH(CONCATENATE($C19,Z$7),'Auxiliar Resultados'!$C$6:$BO$6,0)),""))=0,"",IF($B19="","",IFERROR(INDEX('Auxiliar Resultados'!$C$9:$BO$50,MATCH($B19,'Auxiliar Resultados'!$B$9:$B$50,0),MATCH(CONCATENATE($C19,Z$7),'Auxiliar Resultados'!$C$6:$BO$6,0)),"")))</f>
        <v/>
      </c>
      <c r="AA19" s="52" t="str">
        <f>+IF(IF($B19="","",IFERROR(INDEX('Auxiliar Resultados'!$C$9:$BO$50,MATCH($B19,'Auxiliar Resultados'!$B$9:$B$50,0),MATCH(CONCATENATE($C19,AA$7),'Auxiliar Resultados'!$C$6:$BO$6,0)),""))=0,"",IF($B19="","",IFERROR(INDEX('Auxiliar Resultados'!$C$9:$BO$50,MATCH($B19,'Auxiliar Resultados'!$B$9:$B$50,0),MATCH(CONCATENATE($C19,AA$7),'Auxiliar Resultados'!$C$6:$BO$6,0)),"")))</f>
        <v/>
      </c>
      <c r="AB19" s="52" t="str">
        <f>+IF(IF($B19="","",IFERROR(INDEX('Auxiliar Resultados'!$C$9:$BO$50,MATCH($B19,'Auxiliar Resultados'!$B$9:$B$50,0),MATCH(CONCATENATE($C19,AB$7),'Auxiliar Resultados'!$C$6:$BO$6,0)),""))=0,"",IF($B19="","",IFERROR(INDEX('Auxiliar Resultados'!$C$9:$BO$50,MATCH($B19,'Auxiliar Resultados'!$B$9:$B$50,0),MATCH(CONCATENATE($C19,AB$7),'Auxiliar Resultados'!$C$6:$BO$6,0)),"")))</f>
        <v/>
      </c>
      <c r="AC19" s="52" t="str">
        <f>+IF(IF($B19="","",IFERROR(INDEX('Auxiliar Resultados'!$C$9:$BO$50,MATCH($B19,'Auxiliar Resultados'!$B$9:$B$50,0),MATCH(CONCATENATE($C19,AC$7),'Auxiliar Resultados'!$C$6:$BO$6,0)),""))=0,"",IF($B19="","",IFERROR(INDEX('Auxiliar Resultados'!$C$9:$BO$50,MATCH($B19,'Auxiliar Resultados'!$B$9:$B$50,0),MATCH(CONCATENATE($C19,AC$7),'Auxiliar Resultados'!$C$6:$BO$6,0)),"")))</f>
        <v/>
      </c>
      <c r="AD19" s="52" t="str">
        <f>+IF(IF($B19="","",IFERROR(INDEX('Auxiliar Resultados'!$C$9:$BO$50,MATCH($B19,'Auxiliar Resultados'!$B$9:$B$50,0),MATCH(CONCATENATE($C19,AD$7),'Auxiliar Resultados'!$C$6:$BO$6,0)),""))=0,"",IF($B19="","",IFERROR(INDEX('Auxiliar Resultados'!$C$9:$BO$50,MATCH($B19,'Auxiliar Resultados'!$B$9:$B$50,0),MATCH(CONCATENATE($C19,AD$7),'Auxiliar Resultados'!$C$6:$BO$6,0)),"")))</f>
        <v/>
      </c>
      <c r="AE19" s="52" t="str">
        <f>+IF(IF($B19="","",IFERROR(INDEX('Auxiliar Resultados'!$C$9:$BO$50,MATCH($B19,'Auxiliar Resultados'!$B$9:$B$50,0),MATCH(CONCATENATE($C19,AE$7),'Auxiliar Resultados'!$C$6:$BO$6,0)),""))=0,"",IF($B19="","",IFERROR(INDEX('Auxiliar Resultados'!$C$9:$BO$50,MATCH($B19,'Auxiliar Resultados'!$B$9:$B$50,0),MATCH(CONCATENATE($C19,AE$7),'Auxiliar Resultados'!$C$6:$BO$6,0)),"")))</f>
        <v/>
      </c>
      <c r="AF19" s="52" t="str">
        <f>+IF(IF($B19="","",IFERROR(INDEX('Auxiliar Resultados'!$C$9:$BO$50,MATCH($B19,'Auxiliar Resultados'!$B$9:$B$50,0),MATCH(CONCATENATE($C19,AF$7),'Auxiliar Resultados'!$C$6:$BO$6,0)),""))=0,"",IF($B19="","",IFERROR(INDEX('Auxiliar Resultados'!$C$9:$BO$50,MATCH($B19,'Auxiliar Resultados'!$B$9:$B$50,0),MATCH(CONCATENATE($C19,AF$7),'Auxiliar Resultados'!$C$6:$BO$6,0)),"")))</f>
        <v/>
      </c>
      <c r="AG19" s="52" t="str">
        <f>+IF(IF($B19="","",IFERROR(INDEX('Auxiliar Resultados'!$C$9:$BO$50,MATCH($B19,'Auxiliar Resultados'!$B$9:$B$50,0),MATCH(CONCATENATE($C19,AG$7),'Auxiliar Resultados'!$C$6:$BO$6,0)),""))=0,"",IF($B19="","",IFERROR(INDEX('Auxiliar Resultados'!$C$9:$BO$50,MATCH($B19,'Auxiliar Resultados'!$B$9:$B$50,0),MATCH(CONCATENATE($C19,AG$7),'Auxiliar Resultados'!$C$6:$BO$6,0)),"")))</f>
        <v/>
      </c>
      <c r="AH19" s="52" t="str">
        <f>+IF(IF($B19="","",IFERROR(INDEX('Auxiliar Resultados'!$C$9:$BO$50,MATCH($B19,'Auxiliar Resultados'!$B$9:$B$50,0),MATCH(CONCATENATE($C19,AH$7),'Auxiliar Resultados'!$C$6:$BO$6,0)),""))=0,"",IF($B19="","",IFERROR(INDEX('Auxiliar Resultados'!$C$9:$BO$50,MATCH($B19,'Auxiliar Resultados'!$B$9:$B$50,0),MATCH(CONCATENATE($C19,AH$7),'Auxiliar Resultados'!$C$6:$BO$6,0)),"")))</f>
        <v/>
      </c>
      <c r="AI19" s="52" t="str">
        <f>+IF(IF($B19="","",IFERROR(INDEX('Auxiliar Resultados'!$C$9:$BO$50,MATCH($B19,'Auxiliar Resultados'!$B$9:$B$50,0),MATCH(CONCATENATE($C19,AI$7),'Auxiliar Resultados'!$C$6:$BO$6,0)),""))=0,"",IF($B19="","",IFERROR(INDEX('Auxiliar Resultados'!$C$9:$BO$50,MATCH($B19,'Auxiliar Resultados'!$B$9:$B$50,0),MATCH(CONCATENATE($C19,AI$7),'Auxiliar Resultados'!$C$6:$BO$6,0)),"")))</f>
        <v/>
      </c>
      <c r="AJ19" s="52" t="str">
        <f>+IF(IF($B19="","",IFERROR(INDEX('Auxiliar Resultados'!$C$9:$BO$50,MATCH($B19,'Auxiliar Resultados'!$B$9:$B$50,0),MATCH(CONCATENATE($C19,AJ$7),'Auxiliar Resultados'!$C$6:$BO$6,0)),""))=0,"",IF($B19="","",IFERROR(INDEX('Auxiliar Resultados'!$C$9:$BO$50,MATCH($B19,'Auxiliar Resultados'!$B$9:$B$50,0),MATCH(CONCATENATE($C19,AJ$7),'Auxiliar Resultados'!$C$6:$BO$6,0)),"")))</f>
        <v/>
      </c>
      <c r="AK19" s="52" t="str">
        <f>+IF(IF($B19="","",IFERROR(INDEX('Auxiliar Resultados'!$C$9:$BO$50,MATCH($B19,'Auxiliar Resultados'!$B$9:$B$50,0),MATCH(CONCATENATE($C19,AK$7),'Auxiliar Resultados'!$C$6:$BO$6,0)),""))=0,"",IF($B19="","",IFERROR(INDEX('Auxiliar Resultados'!$C$9:$BO$50,MATCH($B19,'Auxiliar Resultados'!$B$9:$B$50,0),MATCH(CONCATENATE($C19,AK$7),'Auxiliar Resultados'!$C$6:$BO$6,0)),"")))</f>
        <v/>
      </c>
      <c r="AL19" s="52" t="str">
        <f>+IF(IF($B19="","",IFERROR(INDEX('Auxiliar Resultados'!$C$9:$BO$50,MATCH($B19,'Auxiliar Resultados'!$B$9:$B$50,0),MATCH(CONCATENATE($C19,AL$7),'Auxiliar Resultados'!$C$6:$BO$6,0)),""))=0,"",IF($B19="","",IFERROR(INDEX('Auxiliar Resultados'!$C$9:$BO$50,MATCH($B19,'Auxiliar Resultados'!$B$9:$B$50,0),MATCH(CONCATENATE($C19,AL$7),'Auxiliar Resultados'!$C$6:$BO$6,0)),"")))</f>
        <v/>
      </c>
      <c r="AM19" s="52" t="str">
        <f>+IF(IF($B19="","",IFERROR(INDEX('Auxiliar Resultados'!$C$9:$BO$50,MATCH($B19,'Auxiliar Resultados'!$B$9:$B$50,0),MATCH(CONCATENATE($C19,AM$7),'Auxiliar Resultados'!$C$6:$BO$6,0)),""))=0,"",IF($B19="","",IFERROR(INDEX('Auxiliar Resultados'!$C$9:$BO$50,MATCH($B19,'Auxiliar Resultados'!$B$9:$B$50,0),MATCH(CONCATENATE($C19,AM$7),'Auxiliar Resultados'!$C$6:$BO$6,0)),"")))</f>
        <v/>
      </c>
      <c r="AN19" s="52" t="str">
        <f>+IF(IF($B19="","",IFERROR(INDEX('Auxiliar Resultados'!$C$9:$BO$50,MATCH($B19,'Auxiliar Resultados'!$B$9:$B$50,0),MATCH(CONCATENATE($C19,AN$7),'Auxiliar Resultados'!$C$6:$BO$6,0)),""))=0,"",IF($B19="","",IFERROR(INDEX('Auxiliar Resultados'!$C$9:$BO$50,MATCH($B19,'Auxiliar Resultados'!$B$9:$B$50,0),MATCH(CONCATENATE($C19,AN$7),'Auxiliar Resultados'!$C$6:$BO$6,0)),"")))</f>
        <v/>
      </c>
      <c r="AO19" s="52" t="str">
        <f>+IF(IF($B19="","",IFERROR(INDEX('Auxiliar Resultados'!$C$9:$BO$50,MATCH($B19,'Auxiliar Resultados'!$B$9:$B$50,0),MATCH(CONCATENATE($C19,AO$7),'Auxiliar Resultados'!$C$6:$BO$6,0)),""))=0,"",IF($B19="","",IFERROR(INDEX('Auxiliar Resultados'!$C$9:$BO$50,MATCH($B19,'Auxiliar Resultados'!$B$9:$B$50,0),MATCH(CONCATENATE($C19,AO$7),'Auxiliar Resultados'!$C$6:$BO$6,0)),"")))</f>
        <v/>
      </c>
      <c r="AP19" s="52" t="str">
        <f>+IF(IF($B19="","",IFERROR(INDEX('Auxiliar Resultados'!$C$9:$BO$50,MATCH($B19,'Auxiliar Resultados'!$B$9:$B$50,0),MATCH(CONCATENATE($C19,AP$7),'Auxiliar Resultados'!$C$6:$BO$6,0)),""))=0,"",IF($B19="","",IFERROR(INDEX('Auxiliar Resultados'!$C$9:$BO$50,MATCH($B19,'Auxiliar Resultados'!$B$9:$B$50,0),MATCH(CONCATENATE($C19,AP$7),'Auxiliar Resultados'!$C$6:$BO$6,0)),"")))</f>
        <v/>
      </c>
      <c r="AQ19" s="276" t="str">
        <f>+IF(IF($B19="","",IFERROR(INDEX('Auxiliar Resultados'!$C$9:$BO$50,MATCH($B19,'Auxiliar Resultados'!$B$9:$B$50,0),MATCH(CONCATENATE($C19,AQ$7),'Auxiliar Resultados'!$C$6:$BO$6,0)),""))=0,"",IF($B19="","",IFERROR(INDEX('Auxiliar Resultados'!$C$9:$BO$50,MATCH($B19,'Auxiliar Resultados'!$B$9:$B$50,0),MATCH(CONCATENATE($C19,AQ$7),'Auxiliar Resultados'!$C$6:$BO$6,0)),"")))</f>
        <v/>
      </c>
      <c r="AS19" s="46" t="str">
        <f t="shared" si="5"/>
        <v/>
      </c>
      <c r="AT19" s="292" t="str">
        <f t="shared" si="6"/>
        <v/>
      </c>
      <c r="AU19" s="36" t="str">
        <f>+IF(G19="","",INDEX('Modelo Optimización'!$AZ$4:$CO$149,MATCH(CONCATENATE(AU$7,$AT19),'Modelo Optimización'!$CQ$4:$CQ$149,0),MATCH($AS19,'Modelo Optimización'!$AZ$3:$CO$3,0)))</f>
        <v/>
      </c>
      <c r="AV19" s="32" t="str">
        <f>+IF(H19="","",INDEX('Modelo Optimización'!$AZ$4:$CO$149,MATCH(CONCATENATE(AV$7,$AT19),'Modelo Optimización'!$CQ$4:$CQ$149,0),MATCH($AS19,'Modelo Optimización'!$AZ$3:$CO$3,0)))</f>
        <v/>
      </c>
      <c r="AW19" s="32" t="str">
        <f>+IF(I19="","",INDEX('Modelo Optimización'!$AZ$4:$CO$149,MATCH(CONCATENATE(AW$7,$AT19),'Modelo Optimización'!$CQ$4:$CQ$149,0),MATCH($AS19,'Modelo Optimización'!$AZ$3:$CO$3,0)))</f>
        <v/>
      </c>
      <c r="AX19" s="32" t="str">
        <f>+IF(J19="","",INDEX('Modelo Optimización'!$AZ$4:$CO$149,MATCH(CONCATENATE(AX$7,$AT19),'Modelo Optimización'!$CQ$4:$CQ$149,0),MATCH($AS19,'Modelo Optimización'!$AZ$3:$CO$3,0)))</f>
        <v/>
      </c>
      <c r="AY19" s="32" t="str">
        <f>+IF(K19="","",INDEX('Modelo Optimización'!$AZ$4:$CO$149,MATCH(CONCATENATE(AY$7,$AT19),'Modelo Optimización'!$CQ$4:$CQ$149,0),MATCH($AS19,'Modelo Optimización'!$AZ$3:$CO$3,0)))</f>
        <v/>
      </c>
      <c r="AZ19" s="32" t="str">
        <f>+IF(L19="","",INDEX('Modelo Optimización'!$AZ$4:$CO$149,MATCH(CONCATENATE(AZ$7,$AT19),'Modelo Optimización'!$CQ$4:$CQ$149,0),MATCH($AS19,'Modelo Optimización'!$AZ$3:$CO$3,0)))</f>
        <v/>
      </c>
      <c r="BA19" s="32" t="str">
        <f>+IF(M19="","",INDEX('Modelo Optimización'!$AZ$4:$CO$149,MATCH(CONCATENATE(BA$7,$AT19),'Modelo Optimización'!$CQ$4:$CQ$149,0),MATCH($AS19,'Modelo Optimización'!$AZ$3:$CO$3,0)))</f>
        <v/>
      </c>
      <c r="BB19" s="32" t="str">
        <f>+IF(N19="","",INDEX('Modelo Optimización'!$AZ$4:$CO$149,MATCH(CONCATENATE(BB$7,$AT19),'Modelo Optimización'!$CQ$4:$CQ$149,0),MATCH($AS19,'Modelo Optimización'!$AZ$3:$CO$3,0)))</f>
        <v/>
      </c>
      <c r="BC19" s="32" t="str">
        <f>+IF(O19="","",INDEX('Modelo Optimización'!$AZ$4:$CO$149,MATCH(CONCATENATE(BC$7,$AT19),'Modelo Optimización'!$CQ$4:$CQ$149,0),MATCH($AS19,'Modelo Optimización'!$AZ$3:$CO$3,0)))</f>
        <v/>
      </c>
      <c r="BD19" s="32" t="str">
        <f>+IF(P19="","",INDEX('Modelo Optimización'!$AZ$4:$CO$149,MATCH(CONCATENATE(BD$7,$AT19),'Modelo Optimización'!$CQ$4:$CQ$149,0),MATCH($AS19,'Modelo Optimización'!$AZ$3:$CO$3,0)))</f>
        <v/>
      </c>
      <c r="BE19" s="32" t="str">
        <f>+IF(Q19="","",INDEX('Modelo Optimización'!$AZ$4:$CO$149,MATCH(CONCATENATE(BE$7,$AT19),'Modelo Optimización'!$CQ$4:$CQ$149,0),MATCH($AS19,'Modelo Optimización'!$AZ$3:$CO$3,0)))</f>
        <v/>
      </c>
      <c r="BF19" s="32" t="str">
        <f>+IF(R19="","",INDEX('Modelo Optimización'!$AZ$4:$CO$149,MATCH(CONCATENATE(BF$7,$AT19),'Modelo Optimización'!$CQ$4:$CQ$149,0),MATCH($AS19,'Modelo Optimización'!$AZ$3:$CO$3,0)))</f>
        <v/>
      </c>
      <c r="BG19" s="32" t="str">
        <f>+IF(S19="","",INDEX('Modelo Optimización'!$AZ$4:$CO$149,MATCH(CONCATENATE(BG$7,$AT19),'Modelo Optimización'!$CQ$4:$CQ$149,0),MATCH($AS19,'Modelo Optimización'!$AZ$3:$CO$3,0)))</f>
        <v/>
      </c>
      <c r="BH19" s="32" t="str">
        <f>+IF(T19="","",INDEX('Modelo Optimización'!$AZ$4:$CO$149,MATCH(CONCATENATE(BH$7,$AT19),'Modelo Optimización'!$CQ$4:$CQ$149,0),MATCH($AS19,'Modelo Optimización'!$AZ$3:$CO$3,0)))</f>
        <v/>
      </c>
      <c r="BI19" s="32" t="str">
        <f>+IF(U19="","",INDEX('Modelo Optimización'!$AZ$4:$CO$149,MATCH(CONCATENATE(BI$7,$AT19),'Modelo Optimización'!$CQ$4:$CQ$149,0),MATCH($AS19,'Modelo Optimización'!$AZ$3:$CO$3,0)))</f>
        <v/>
      </c>
      <c r="BJ19" s="32" t="str">
        <f>+IF(V19="","",INDEX('Modelo Optimización'!$AZ$4:$CO$149,MATCH(CONCATENATE(BJ$7,$AT19),'Modelo Optimización'!$CQ$4:$CQ$149,0),MATCH($AS19,'Modelo Optimización'!$AZ$3:$CO$3,0)))</f>
        <v/>
      </c>
      <c r="BK19" s="32" t="str">
        <f>+IF(W19="","",INDEX('Modelo Optimización'!$AZ$4:$CO$149,MATCH(CONCATENATE(BK$7,$AT19),'Modelo Optimización'!$CQ$4:$CQ$149,0),MATCH($AS19,'Modelo Optimización'!$AZ$3:$CO$3,0)))</f>
        <v/>
      </c>
      <c r="BL19" s="32" t="str">
        <f>+IF(X19="","",INDEX('Modelo Optimización'!$AZ$4:$CO$149,MATCH(CONCATENATE(BL$7,$AT19),'Modelo Optimización'!$CQ$4:$CQ$149,0),MATCH($AS19,'Modelo Optimización'!$AZ$3:$CO$3,0)))</f>
        <v/>
      </c>
      <c r="BM19" s="32" t="str">
        <f>+IF(Y19="","",INDEX('Modelo Optimización'!$AZ$4:$CO$149,MATCH(CONCATENATE(BM$7,$AT19),'Modelo Optimización'!$CQ$4:$CQ$149,0),MATCH($AS19,'Modelo Optimización'!$AZ$3:$CO$3,0)))</f>
        <v/>
      </c>
      <c r="BN19" s="32" t="str">
        <f>+IF(Z19="","",INDEX('Modelo Optimización'!$AZ$4:$CO$149,MATCH(CONCATENATE(BN$7,$AT19),'Modelo Optimización'!$CQ$4:$CQ$149,0),MATCH($AS19,'Modelo Optimización'!$AZ$3:$CO$3,0)))</f>
        <v/>
      </c>
      <c r="BO19" s="32" t="str">
        <f>+IF(AA19="","",INDEX('Modelo Optimización'!$AZ$4:$CO$149,MATCH(CONCATENATE(BO$7,$AT19),'Modelo Optimización'!$CQ$4:$CQ$149,0),MATCH($AS19,'Modelo Optimización'!$AZ$3:$CO$3,0)))</f>
        <v/>
      </c>
      <c r="BP19" s="32" t="str">
        <f>+IF(AB19="","",INDEX('Modelo Optimización'!$AZ$4:$CO$149,MATCH(CONCATENATE(BP$7,$AT19),'Modelo Optimización'!$CQ$4:$CQ$149,0),MATCH($AS19,'Modelo Optimización'!$AZ$3:$CO$3,0)))</f>
        <v/>
      </c>
      <c r="BQ19" s="32" t="str">
        <f>+IF(AC19="","",INDEX('Modelo Optimización'!$AZ$4:$CO$149,MATCH(CONCATENATE(BQ$7,$AT19),'Modelo Optimización'!$CQ$4:$CQ$149,0),MATCH($AS19,'Modelo Optimización'!$AZ$3:$CO$3,0)))</f>
        <v/>
      </c>
      <c r="BR19" s="32" t="str">
        <f>+IF(AD19="","",INDEX('Modelo Optimización'!$AZ$4:$CO$149,MATCH(CONCATENATE(BR$7,$AT19),'Modelo Optimización'!$CQ$4:$CQ$149,0),MATCH($AS19,'Modelo Optimización'!$AZ$3:$CO$3,0)))</f>
        <v/>
      </c>
      <c r="BS19" s="32" t="str">
        <f>+IF(AE19="","",INDEX('Modelo Optimización'!$AZ$4:$CO$149,MATCH(CONCATENATE(BS$7,$AT19),'Modelo Optimización'!$CQ$4:$CQ$149,0),MATCH($AS19,'Modelo Optimización'!$AZ$3:$CO$3,0)))</f>
        <v/>
      </c>
      <c r="BT19" s="32" t="str">
        <f>+IF(AF19="","",INDEX('Modelo Optimización'!$AZ$4:$CO$149,MATCH(CONCATENATE(BT$7,$AT19),'Modelo Optimización'!$CQ$4:$CQ$149,0),MATCH($AS19,'Modelo Optimización'!$AZ$3:$CO$3,0)))</f>
        <v/>
      </c>
      <c r="BU19" s="32" t="str">
        <f>+IF(AG19="","",INDEX('Modelo Optimización'!$AZ$4:$CO$149,MATCH(CONCATENATE(BU$7,$AT19),'Modelo Optimización'!$CQ$4:$CQ$149,0),MATCH($AS19,'Modelo Optimización'!$AZ$3:$CO$3,0)))</f>
        <v/>
      </c>
      <c r="BV19" s="32" t="str">
        <f>+IF(AH19="","",INDEX('Modelo Optimización'!$AZ$4:$CO$149,MATCH(CONCATENATE(BV$7,$AT19),'Modelo Optimización'!$CQ$4:$CQ$149,0),MATCH($AS19,'Modelo Optimización'!$AZ$3:$CO$3,0)))</f>
        <v/>
      </c>
      <c r="BW19" s="32" t="str">
        <f>+IF(AI19="","",INDEX('Modelo Optimización'!$AZ$4:$CO$149,MATCH(CONCATENATE(BW$7,$AT19),'Modelo Optimización'!$CQ$4:$CQ$149,0),MATCH($AS19,'Modelo Optimización'!$AZ$3:$CO$3,0)))</f>
        <v/>
      </c>
      <c r="BX19" s="32" t="str">
        <f>+IF(AJ19="","",INDEX('Modelo Optimización'!$AZ$4:$CO$149,MATCH(CONCATENATE(BX$7,$AT19),'Modelo Optimización'!$CQ$4:$CQ$149,0),MATCH($AS19,'Modelo Optimización'!$AZ$3:$CO$3,0)))</f>
        <v/>
      </c>
      <c r="BY19" s="32" t="str">
        <f>+IF(AK19="","",INDEX('Modelo Optimización'!$AZ$4:$CO$149,MATCH(CONCATENATE(BY$7,$AT19),'Modelo Optimización'!$CQ$4:$CQ$149,0),MATCH($AS19,'Modelo Optimización'!$AZ$3:$CO$3,0)))</f>
        <v/>
      </c>
      <c r="BZ19" s="32" t="str">
        <f>+IF(AL19="","",INDEX('Modelo Optimización'!$AZ$4:$CO$149,MATCH(CONCATENATE(BZ$7,$AT19),'Modelo Optimización'!$CQ$4:$CQ$149,0),MATCH($AS19,'Modelo Optimización'!$AZ$3:$CO$3,0)))</f>
        <v/>
      </c>
      <c r="CA19" s="32" t="str">
        <f>+IF(AM19="","",INDEX('Modelo Optimización'!$AZ$4:$CO$149,MATCH(CONCATENATE(CA$7,$AT19),'Modelo Optimización'!$CQ$4:$CQ$149,0),MATCH($AS19,'Modelo Optimización'!$AZ$3:$CO$3,0)))</f>
        <v/>
      </c>
      <c r="CB19" s="32" t="str">
        <f>+IF(AN19="","",INDEX('Modelo Optimización'!$AZ$4:$CO$149,MATCH(CONCATENATE(CB$7,$AT19),'Modelo Optimización'!$CQ$4:$CQ$149,0),MATCH($AS19,'Modelo Optimización'!$AZ$3:$CO$3,0)))</f>
        <v/>
      </c>
      <c r="CC19" s="32" t="str">
        <f>+IF(AO19="","",INDEX('Modelo Optimización'!$AZ$4:$CO$149,MATCH(CONCATENATE(CC$7,$AT19),'Modelo Optimización'!$CQ$4:$CQ$149,0),MATCH($AS19,'Modelo Optimización'!$AZ$3:$CO$3,0)))</f>
        <v/>
      </c>
      <c r="CD19" s="32" t="str">
        <f>+IF(AP19="","",INDEX('Modelo Optimización'!$AZ$4:$CO$149,MATCH(CONCATENATE(CD$7,$AT19),'Modelo Optimización'!$CQ$4:$CQ$149,0),MATCH($AS19,'Modelo Optimización'!$AZ$3:$CO$3,0)))</f>
        <v/>
      </c>
      <c r="CE19" s="37" t="str">
        <f>+IF(AQ19="","",INDEX('Modelo Optimización'!$AZ$4:$CO$149,MATCH(CONCATENATE(CE$7,$AT19),'Modelo Optimización'!$CQ$4:$CQ$149,0),MATCH($AS19,'Modelo Optimización'!$AZ$3:$CO$3,0)))</f>
        <v/>
      </c>
      <c r="CF19" s="301"/>
      <c r="CG19" s="305" t="str">
        <f t="shared" si="11"/>
        <v/>
      </c>
      <c r="CH19" s="303" t="str">
        <f t="shared" si="7"/>
        <v/>
      </c>
      <c r="CI19" s="292" t="str">
        <f t="shared" si="8"/>
        <v/>
      </c>
      <c r="CJ19" s="36" t="str">
        <f t="shared" si="12"/>
        <v/>
      </c>
      <c r="CK19" s="32" t="str">
        <f t="shared" si="13"/>
        <v/>
      </c>
      <c r="CL19" s="32" t="str">
        <f t="shared" si="14"/>
        <v/>
      </c>
      <c r="CM19" s="32" t="str">
        <f t="shared" si="15"/>
        <v/>
      </c>
      <c r="CN19" s="32" t="str">
        <f t="shared" si="16"/>
        <v/>
      </c>
      <c r="CO19" s="32" t="str">
        <f t="shared" si="17"/>
        <v/>
      </c>
      <c r="CP19" s="32" t="str">
        <f t="shared" si="18"/>
        <v/>
      </c>
      <c r="CQ19" s="32" t="str">
        <f t="shared" si="19"/>
        <v/>
      </c>
      <c r="CR19" s="32" t="str">
        <f t="shared" si="20"/>
        <v/>
      </c>
      <c r="CS19" s="32" t="str">
        <f t="shared" si="21"/>
        <v/>
      </c>
      <c r="CT19" s="32" t="str">
        <f t="shared" si="22"/>
        <v/>
      </c>
      <c r="CU19" s="32" t="str">
        <f t="shared" si="23"/>
        <v/>
      </c>
      <c r="CV19" s="32" t="str">
        <f t="shared" si="24"/>
        <v/>
      </c>
      <c r="CW19" s="32" t="str">
        <f t="shared" si="25"/>
        <v/>
      </c>
      <c r="CX19" s="32" t="str">
        <f t="shared" si="26"/>
        <v/>
      </c>
      <c r="CY19" s="32" t="str">
        <f t="shared" si="27"/>
        <v/>
      </c>
      <c r="CZ19" s="32" t="str">
        <f t="shared" si="28"/>
        <v/>
      </c>
      <c r="DA19" s="32" t="str">
        <f t="shared" si="29"/>
        <v/>
      </c>
      <c r="DB19" s="32" t="str">
        <f t="shared" si="30"/>
        <v/>
      </c>
      <c r="DC19" s="32" t="str">
        <f t="shared" si="31"/>
        <v/>
      </c>
      <c r="DD19" s="32" t="str">
        <f t="shared" si="32"/>
        <v/>
      </c>
      <c r="DE19" s="32" t="str">
        <f t="shared" si="33"/>
        <v/>
      </c>
      <c r="DF19" s="32" t="str">
        <f t="shared" si="34"/>
        <v/>
      </c>
      <c r="DG19" s="32" t="str">
        <f t="shared" si="35"/>
        <v/>
      </c>
      <c r="DH19" s="32" t="str">
        <f t="shared" si="36"/>
        <v/>
      </c>
      <c r="DI19" s="32" t="str">
        <f t="shared" si="37"/>
        <v/>
      </c>
      <c r="DJ19" s="32" t="str">
        <f t="shared" si="38"/>
        <v/>
      </c>
      <c r="DK19" s="32" t="str">
        <f t="shared" si="39"/>
        <v/>
      </c>
      <c r="DL19" s="32" t="str">
        <f t="shared" si="40"/>
        <v/>
      </c>
      <c r="DM19" s="32" t="str">
        <f t="shared" si="41"/>
        <v/>
      </c>
      <c r="DN19" s="32" t="str">
        <f t="shared" si="42"/>
        <v/>
      </c>
      <c r="DO19" s="32" t="str">
        <f t="shared" si="43"/>
        <v/>
      </c>
      <c r="DP19" s="32" t="str">
        <f t="shared" si="44"/>
        <v/>
      </c>
      <c r="DQ19" s="32" t="str">
        <f t="shared" si="45"/>
        <v/>
      </c>
      <c r="DR19" s="32" t="str">
        <f t="shared" si="46"/>
        <v/>
      </c>
      <c r="DS19" s="32" t="str">
        <f t="shared" si="47"/>
        <v/>
      </c>
      <c r="DT19" s="37" t="str">
        <f t="shared" si="48"/>
        <v/>
      </c>
    </row>
    <row r="20" spans="2:124" x14ac:dyDescent="0.35">
      <c r="B20" s="46"/>
      <c r="C20" s="212"/>
      <c r="D20" s="52"/>
      <c r="E20" s="52" t="str">
        <f>+IF(B20="","",IFERROR(SUMIF('Modelo Optimización'!$AS$72:$AS$217,C20,INDEX('Modelo Optimización'!$C$72:$AR$217,,MATCH(B20,'Modelo Optimización'!$C$71:$AR$71,0))),0))</f>
        <v/>
      </c>
      <c r="F20" s="281" t="str">
        <f t="shared" si="10"/>
        <v/>
      </c>
      <c r="G20" s="280" t="str">
        <f>+IF(IF($B20="","",IFERROR(INDEX('Auxiliar Resultados'!$C$9:$BO$50,MATCH($B20,'Auxiliar Resultados'!$B$9:$B$50,0),MATCH(CONCATENATE($C20,G$7),'Auxiliar Resultados'!$C$6:$BO$6,0)),""))=0,"",IF($B20="","",IFERROR(INDEX('Auxiliar Resultados'!$C$9:$BO$50,MATCH($B20,'Auxiliar Resultados'!$B$9:$B$50,0),MATCH(CONCATENATE($C20,G$7),'Auxiliar Resultados'!$C$6:$BO$6,0)),"")))</f>
        <v/>
      </c>
      <c r="H20" s="52" t="str">
        <f>+IF(IF($B20="","",IFERROR(INDEX('Auxiliar Resultados'!$C$9:$BO$50,MATCH($B20,'Auxiliar Resultados'!$B$9:$B$50,0),MATCH(CONCATENATE($C20,H$7),'Auxiliar Resultados'!$C$6:$BO$6,0)),""))=0,"",IF($B20="","",IFERROR(INDEX('Auxiliar Resultados'!$C$9:$BO$50,MATCH($B20,'Auxiliar Resultados'!$B$9:$B$50,0),MATCH(CONCATENATE($C20,H$7),'Auxiliar Resultados'!$C$6:$BO$6,0)),"")))</f>
        <v/>
      </c>
      <c r="I20" s="52" t="str">
        <f>+IF(IF($B20="","",IFERROR(INDEX('Auxiliar Resultados'!$C$9:$BO$50,MATCH($B20,'Auxiliar Resultados'!$B$9:$B$50,0),MATCH(CONCATENATE($C20,I$7),'Auxiliar Resultados'!$C$6:$BO$6,0)),""))=0,"",IF($B20="","",IFERROR(INDEX('Auxiliar Resultados'!$C$9:$BO$50,MATCH($B20,'Auxiliar Resultados'!$B$9:$B$50,0),MATCH(CONCATENATE($C20,I$7),'Auxiliar Resultados'!$C$6:$BO$6,0)),"")))</f>
        <v/>
      </c>
      <c r="J20" s="52" t="str">
        <f>+IF(IF($B20="","",IFERROR(INDEX('Auxiliar Resultados'!$C$9:$BO$50,MATCH($B20,'Auxiliar Resultados'!$B$9:$B$50,0),MATCH(CONCATENATE($C20,J$7),'Auxiliar Resultados'!$C$6:$BO$6,0)),""))=0,"",IF($B20="","",IFERROR(INDEX('Auxiliar Resultados'!$C$9:$BO$50,MATCH($B20,'Auxiliar Resultados'!$B$9:$B$50,0),MATCH(CONCATENATE($C20,J$7),'Auxiliar Resultados'!$C$6:$BO$6,0)),"")))</f>
        <v/>
      </c>
      <c r="K20" s="52" t="str">
        <f>+IF(IF($B20="","",IFERROR(INDEX('Auxiliar Resultados'!$C$9:$BO$50,MATCH($B20,'Auxiliar Resultados'!$B$9:$B$50,0),MATCH(CONCATENATE($C20,K$7),'Auxiliar Resultados'!$C$6:$BO$6,0)),""))=0,"",IF($B20="","",IFERROR(INDEX('Auxiliar Resultados'!$C$9:$BO$50,MATCH($B20,'Auxiliar Resultados'!$B$9:$B$50,0),MATCH(CONCATENATE($C20,K$7),'Auxiliar Resultados'!$C$6:$BO$6,0)),"")))</f>
        <v/>
      </c>
      <c r="L20" s="52" t="str">
        <f>+IF(IF($B20="","",IFERROR(INDEX('Auxiliar Resultados'!$C$9:$BO$50,MATCH($B20,'Auxiliar Resultados'!$B$9:$B$50,0),MATCH(CONCATENATE($C20,L$7),'Auxiliar Resultados'!$C$6:$BO$6,0)),""))=0,"",IF($B20="","",IFERROR(INDEX('Auxiliar Resultados'!$C$9:$BO$50,MATCH($B20,'Auxiliar Resultados'!$B$9:$B$50,0),MATCH(CONCATENATE($C20,L$7),'Auxiliar Resultados'!$C$6:$BO$6,0)),"")))</f>
        <v/>
      </c>
      <c r="M20" s="52" t="str">
        <f>+IF(IF($B20="","",IFERROR(INDEX('Auxiliar Resultados'!$C$9:$BO$50,MATCH($B20,'Auxiliar Resultados'!$B$9:$B$50,0),MATCH(CONCATENATE($C20,M$7),'Auxiliar Resultados'!$C$6:$BO$6,0)),""))=0,"",IF($B20="","",IFERROR(INDEX('Auxiliar Resultados'!$C$9:$BO$50,MATCH($B20,'Auxiliar Resultados'!$B$9:$B$50,0),MATCH(CONCATENATE($C20,M$7),'Auxiliar Resultados'!$C$6:$BO$6,0)),"")))</f>
        <v/>
      </c>
      <c r="N20" s="52" t="str">
        <f>+IF(IF($B20="","",IFERROR(INDEX('Auxiliar Resultados'!$C$9:$BO$50,MATCH($B20,'Auxiliar Resultados'!$B$9:$B$50,0),MATCH(CONCATENATE($C20,N$7),'Auxiliar Resultados'!$C$6:$BO$6,0)),""))=0,"",IF($B20="","",IFERROR(INDEX('Auxiliar Resultados'!$C$9:$BO$50,MATCH($B20,'Auxiliar Resultados'!$B$9:$B$50,0),MATCH(CONCATENATE($C20,N$7),'Auxiliar Resultados'!$C$6:$BO$6,0)),"")))</f>
        <v/>
      </c>
      <c r="O20" s="52" t="str">
        <f>+IF(IF($B20="","",IFERROR(INDEX('Auxiliar Resultados'!$C$9:$BO$50,MATCH($B20,'Auxiliar Resultados'!$B$9:$B$50,0),MATCH(CONCATENATE($C20,O$7),'Auxiliar Resultados'!$C$6:$BO$6,0)),""))=0,"",IF($B20="","",IFERROR(INDEX('Auxiliar Resultados'!$C$9:$BO$50,MATCH($B20,'Auxiliar Resultados'!$B$9:$B$50,0),MATCH(CONCATENATE($C20,O$7),'Auxiliar Resultados'!$C$6:$BO$6,0)),"")))</f>
        <v/>
      </c>
      <c r="P20" s="52" t="str">
        <f>+IF(IF($B20="","",IFERROR(INDEX('Auxiliar Resultados'!$C$9:$BO$50,MATCH($B20,'Auxiliar Resultados'!$B$9:$B$50,0),MATCH(CONCATENATE($C20,P$7),'Auxiliar Resultados'!$C$6:$BO$6,0)),""))=0,"",IF($B20="","",IFERROR(INDEX('Auxiliar Resultados'!$C$9:$BO$50,MATCH($B20,'Auxiliar Resultados'!$B$9:$B$50,0),MATCH(CONCATENATE($C20,P$7),'Auxiliar Resultados'!$C$6:$BO$6,0)),"")))</f>
        <v/>
      </c>
      <c r="Q20" s="52" t="str">
        <f>+IF(IF($B20="","",IFERROR(INDEX('Auxiliar Resultados'!$C$9:$BO$50,MATCH($B20,'Auxiliar Resultados'!$B$9:$B$50,0),MATCH(CONCATENATE($C20,Q$7),'Auxiliar Resultados'!$C$6:$BO$6,0)),""))=0,"",IF($B20="","",IFERROR(INDEX('Auxiliar Resultados'!$C$9:$BO$50,MATCH($B20,'Auxiliar Resultados'!$B$9:$B$50,0),MATCH(CONCATENATE($C20,Q$7),'Auxiliar Resultados'!$C$6:$BO$6,0)),"")))</f>
        <v/>
      </c>
      <c r="R20" s="52" t="str">
        <f>+IF(IF($B20="","",IFERROR(INDEX('Auxiliar Resultados'!$C$9:$BO$50,MATCH($B20,'Auxiliar Resultados'!$B$9:$B$50,0),MATCH(CONCATENATE($C20,R$7),'Auxiliar Resultados'!$C$6:$BO$6,0)),""))=0,"",IF($B20="","",IFERROR(INDEX('Auxiliar Resultados'!$C$9:$BO$50,MATCH($B20,'Auxiliar Resultados'!$B$9:$B$50,0),MATCH(CONCATENATE($C20,R$7),'Auxiliar Resultados'!$C$6:$BO$6,0)),"")))</f>
        <v/>
      </c>
      <c r="S20" s="52" t="str">
        <f>+IF(IF($B20="","",IFERROR(INDEX('Auxiliar Resultados'!$C$9:$BO$50,MATCH($B20,'Auxiliar Resultados'!$B$9:$B$50,0),MATCH(CONCATENATE($C20,S$7),'Auxiliar Resultados'!$C$6:$BO$6,0)),""))=0,"",IF($B20="","",IFERROR(INDEX('Auxiliar Resultados'!$C$9:$BO$50,MATCH($B20,'Auxiliar Resultados'!$B$9:$B$50,0),MATCH(CONCATENATE($C20,S$7),'Auxiliar Resultados'!$C$6:$BO$6,0)),"")))</f>
        <v/>
      </c>
      <c r="T20" s="52" t="str">
        <f>+IF(IF($B20="","",IFERROR(INDEX('Auxiliar Resultados'!$C$9:$BO$50,MATCH($B20,'Auxiliar Resultados'!$B$9:$B$50,0),MATCH(CONCATENATE($C20,T$7),'Auxiliar Resultados'!$C$6:$BO$6,0)),""))=0,"",IF($B20="","",IFERROR(INDEX('Auxiliar Resultados'!$C$9:$BO$50,MATCH($B20,'Auxiliar Resultados'!$B$9:$B$50,0),MATCH(CONCATENATE($C20,T$7),'Auxiliar Resultados'!$C$6:$BO$6,0)),"")))</f>
        <v/>
      </c>
      <c r="U20" s="52" t="str">
        <f>+IF(IF($B20="","",IFERROR(INDEX('Auxiliar Resultados'!$C$9:$BO$50,MATCH($B20,'Auxiliar Resultados'!$B$9:$B$50,0),MATCH(CONCATENATE($C20,U$7),'Auxiliar Resultados'!$C$6:$BO$6,0)),""))=0,"",IF($B20="","",IFERROR(INDEX('Auxiliar Resultados'!$C$9:$BO$50,MATCH($B20,'Auxiliar Resultados'!$B$9:$B$50,0),MATCH(CONCATENATE($C20,U$7),'Auxiliar Resultados'!$C$6:$BO$6,0)),"")))</f>
        <v/>
      </c>
      <c r="V20" s="52" t="str">
        <f>+IF(IF($B20="","",IFERROR(INDEX('Auxiliar Resultados'!$C$9:$BO$50,MATCH($B20,'Auxiliar Resultados'!$B$9:$B$50,0),MATCH(CONCATENATE($C20,V$7),'Auxiliar Resultados'!$C$6:$BO$6,0)),""))=0,"",IF($B20="","",IFERROR(INDEX('Auxiliar Resultados'!$C$9:$BO$50,MATCH($B20,'Auxiliar Resultados'!$B$9:$B$50,0),MATCH(CONCATENATE($C20,V$7),'Auxiliar Resultados'!$C$6:$BO$6,0)),"")))</f>
        <v/>
      </c>
      <c r="W20" s="52" t="str">
        <f>+IF(IF($B20="","",IFERROR(INDEX('Auxiliar Resultados'!$C$9:$BO$50,MATCH($B20,'Auxiliar Resultados'!$B$9:$B$50,0),MATCH(CONCATENATE($C20,W$7),'Auxiliar Resultados'!$C$6:$BO$6,0)),""))=0,"",IF($B20="","",IFERROR(INDEX('Auxiliar Resultados'!$C$9:$BO$50,MATCH($B20,'Auxiliar Resultados'!$B$9:$B$50,0),MATCH(CONCATENATE($C20,W$7),'Auxiliar Resultados'!$C$6:$BO$6,0)),"")))</f>
        <v/>
      </c>
      <c r="X20" s="52" t="str">
        <f>+IF(IF($B20="","",IFERROR(INDEX('Auxiliar Resultados'!$C$9:$BO$50,MATCH($B20,'Auxiliar Resultados'!$B$9:$B$50,0),MATCH(CONCATENATE($C20,X$7),'Auxiliar Resultados'!$C$6:$BO$6,0)),""))=0,"",IF($B20="","",IFERROR(INDEX('Auxiliar Resultados'!$C$9:$BO$50,MATCH($B20,'Auxiliar Resultados'!$B$9:$B$50,0),MATCH(CONCATENATE($C20,X$7),'Auxiliar Resultados'!$C$6:$BO$6,0)),"")))</f>
        <v/>
      </c>
      <c r="Y20" s="52" t="str">
        <f>+IF(IF($B20="","",IFERROR(INDEX('Auxiliar Resultados'!$C$9:$BO$50,MATCH($B20,'Auxiliar Resultados'!$B$9:$B$50,0),MATCH(CONCATENATE($C20,Y$7),'Auxiliar Resultados'!$C$6:$BO$6,0)),""))=0,"",IF($B20="","",IFERROR(INDEX('Auxiliar Resultados'!$C$9:$BO$50,MATCH($B20,'Auxiliar Resultados'!$B$9:$B$50,0),MATCH(CONCATENATE($C20,Y$7),'Auxiliar Resultados'!$C$6:$BO$6,0)),"")))</f>
        <v/>
      </c>
      <c r="Z20" s="52" t="str">
        <f>+IF(IF($B20="","",IFERROR(INDEX('Auxiliar Resultados'!$C$9:$BO$50,MATCH($B20,'Auxiliar Resultados'!$B$9:$B$50,0),MATCH(CONCATENATE($C20,Z$7),'Auxiliar Resultados'!$C$6:$BO$6,0)),""))=0,"",IF($B20="","",IFERROR(INDEX('Auxiliar Resultados'!$C$9:$BO$50,MATCH($B20,'Auxiliar Resultados'!$B$9:$B$50,0),MATCH(CONCATENATE($C20,Z$7),'Auxiliar Resultados'!$C$6:$BO$6,0)),"")))</f>
        <v/>
      </c>
      <c r="AA20" s="52" t="str">
        <f>+IF(IF($B20="","",IFERROR(INDEX('Auxiliar Resultados'!$C$9:$BO$50,MATCH($B20,'Auxiliar Resultados'!$B$9:$B$50,0),MATCH(CONCATENATE($C20,AA$7),'Auxiliar Resultados'!$C$6:$BO$6,0)),""))=0,"",IF($B20="","",IFERROR(INDEX('Auxiliar Resultados'!$C$9:$BO$50,MATCH($B20,'Auxiliar Resultados'!$B$9:$B$50,0),MATCH(CONCATENATE($C20,AA$7),'Auxiliar Resultados'!$C$6:$BO$6,0)),"")))</f>
        <v/>
      </c>
      <c r="AB20" s="52" t="str">
        <f>+IF(IF($B20="","",IFERROR(INDEX('Auxiliar Resultados'!$C$9:$BO$50,MATCH($B20,'Auxiliar Resultados'!$B$9:$B$50,0),MATCH(CONCATENATE($C20,AB$7),'Auxiliar Resultados'!$C$6:$BO$6,0)),""))=0,"",IF($B20="","",IFERROR(INDEX('Auxiliar Resultados'!$C$9:$BO$50,MATCH($B20,'Auxiliar Resultados'!$B$9:$B$50,0),MATCH(CONCATENATE($C20,AB$7),'Auxiliar Resultados'!$C$6:$BO$6,0)),"")))</f>
        <v/>
      </c>
      <c r="AC20" s="52" t="str">
        <f>+IF(IF($B20="","",IFERROR(INDEX('Auxiliar Resultados'!$C$9:$BO$50,MATCH($B20,'Auxiliar Resultados'!$B$9:$B$50,0),MATCH(CONCATENATE($C20,AC$7),'Auxiliar Resultados'!$C$6:$BO$6,0)),""))=0,"",IF($B20="","",IFERROR(INDEX('Auxiliar Resultados'!$C$9:$BO$50,MATCH($B20,'Auxiliar Resultados'!$B$9:$B$50,0),MATCH(CONCATENATE($C20,AC$7),'Auxiliar Resultados'!$C$6:$BO$6,0)),"")))</f>
        <v/>
      </c>
      <c r="AD20" s="52" t="str">
        <f>+IF(IF($B20="","",IFERROR(INDEX('Auxiliar Resultados'!$C$9:$BO$50,MATCH($B20,'Auxiliar Resultados'!$B$9:$B$50,0),MATCH(CONCATENATE($C20,AD$7),'Auxiliar Resultados'!$C$6:$BO$6,0)),""))=0,"",IF($B20="","",IFERROR(INDEX('Auxiliar Resultados'!$C$9:$BO$50,MATCH($B20,'Auxiliar Resultados'!$B$9:$B$50,0),MATCH(CONCATENATE($C20,AD$7),'Auxiliar Resultados'!$C$6:$BO$6,0)),"")))</f>
        <v/>
      </c>
      <c r="AE20" s="52" t="str">
        <f>+IF(IF($B20="","",IFERROR(INDEX('Auxiliar Resultados'!$C$9:$BO$50,MATCH($B20,'Auxiliar Resultados'!$B$9:$B$50,0),MATCH(CONCATENATE($C20,AE$7),'Auxiliar Resultados'!$C$6:$BO$6,0)),""))=0,"",IF($B20="","",IFERROR(INDEX('Auxiliar Resultados'!$C$9:$BO$50,MATCH($B20,'Auxiliar Resultados'!$B$9:$B$50,0),MATCH(CONCATENATE($C20,AE$7),'Auxiliar Resultados'!$C$6:$BO$6,0)),"")))</f>
        <v/>
      </c>
      <c r="AF20" s="52" t="str">
        <f>+IF(IF($B20="","",IFERROR(INDEX('Auxiliar Resultados'!$C$9:$BO$50,MATCH($B20,'Auxiliar Resultados'!$B$9:$B$50,0),MATCH(CONCATENATE($C20,AF$7),'Auxiliar Resultados'!$C$6:$BO$6,0)),""))=0,"",IF($B20="","",IFERROR(INDEX('Auxiliar Resultados'!$C$9:$BO$50,MATCH($B20,'Auxiliar Resultados'!$B$9:$B$50,0),MATCH(CONCATENATE($C20,AF$7),'Auxiliar Resultados'!$C$6:$BO$6,0)),"")))</f>
        <v/>
      </c>
      <c r="AG20" s="52" t="str">
        <f>+IF(IF($B20="","",IFERROR(INDEX('Auxiliar Resultados'!$C$9:$BO$50,MATCH($B20,'Auxiliar Resultados'!$B$9:$B$50,0),MATCH(CONCATENATE($C20,AG$7),'Auxiliar Resultados'!$C$6:$BO$6,0)),""))=0,"",IF($B20="","",IFERROR(INDEX('Auxiliar Resultados'!$C$9:$BO$50,MATCH($B20,'Auxiliar Resultados'!$B$9:$B$50,0),MATCH(CONCATENATE($C20,AG$7),'Auxiliar Resultados'!$C$6:$BO$6,0)),"")))</f>
        <v/>
      </c>
      <c r="AH20" s="52" t="str">
        <f>+IF(IF($B20="","",IFERROR(INDEX('Auxiliar Resultados'!$C$9:$BO$50,MATCH($B20,'Auxiliar Resultados'!$B$9:$B$50,0),MATCH(CONCATENATE($C20,AH$7),'Auxiliar Resultados'!$C$6:$BO$6,0)),""))=0,"",IF($B20="","",IFERROR(INDEX('Auxiliar Resultados'!$C$9:$BO$50,MATCH($B20,'Auxiliar Resultados'!$B$9:$B$50,0),MATCH(CONCATENATE($C20,AH$7),'Auxiliar Resultados'!$C$6:$BO$6,0)),"")))</f>
        <v/>
      </c>
      <c r="AI20" s="52" t="str">
        <f>+IF(IF($B20="","",IFERROR(INDEX('Auxiliar Resultados'!$C$9:$BO$50,MATCH($B20,'Auxiliar Resultados'!$B$9:$B$50,0),MATCH(CONCATENATE($C20,AI$7),'Auxiliar Resultados'!$C$6:$BO$6,0)),""))=0,"",IF($B20="","",IFERROR(INDEX('Auxiliar Resultados'!$C$9:$BO$50,MATCH($B20,'Auxiliar Resultados'!$B$9:$B$50,0),MATCH(CONCATENATE($C20,AI$7),'Auxiliar Resultados'!$C$6:$BO$6,0)),"")))</f>
        <v/>
      </c>
      <c r="AJ20" s="52" t="str">
        <f>+IF(IF($B20="","",IFERROR(INDEX('Auxiliar Resultados'!$C$9:$BO$50,MATCH($B20,'Auxiliar Resultados'!$B$9:$B$50,0),MATCH(CONCATENATE($C20,AJ$7),'Auxiliar Resultados'!$C$6:$BO$6,0)),""))=0,"",IF($B20="","",IFERROR(INDEX('Auxiliar Resultados'!$C$9:$BO$50,MATCH($B20,'Auxiliar Resultados'!$B$9:$B$50,0),MATCH(CONCATENATE($C20,AJ$7),'Auxiliar Resultados'!$C$6:$BO$6,0)),"")))</f>
        <v/>
      </c>
      <c r="AK20" s="52" t="str">
        <f>+IF(IF($B20="","",IFERROR(INDEX('Auxiliar Resultados'!$C$9:$BO$50,MATCH($B20,'Auxiliar Resultados'!$B$9:$B$50,0),MATCH(CONCATENATE($C20,AK$7),'Auxiliar Resultados'!$C$6:$BO$6,0)),""))=0,"",IF($B20="","",IFERROR(INDEX('Auxiliar Resultados'!$C$9:$BO$50,MATCH($B20,'Auxiliar Resultados'!$B$9:$B$50,0),MATCH(CONCATENATE($C20,AK$7),'Auxiliar Resultados'!$C$6:$BO$6,0)),"")))</f>
        <v/>
      </c>
      <c r="AL20" s="52" t="str">
        <f>+IF(IF($B20="","",IFERROR(INDEX('Auxiliar Resultados'!$C$9:$BO$50,MATCH($B20,'Auxiliar Resultados'!$B$9:$B$50,0),MATCH(CONCATENATE($C20,AL$7),'Auxiliar Resultados'!$C$6:$BO$6,0)),""))=0,"",IF($B20="","",IFERROR(INDEX('Auxiliar Resultados'!$C$9:$BO$50,MATCH($B20,'Auxiliar Resultados'!$B$9:$B$50,0),MATCH(CONCATENATE($C20,AL$7),'Auxiliar Resultados'!$C$6:$BO$6,0)),"")))</f>
        <v/>
      </c>
      <c r="AM20" s="52" t="str">
        <f>+IF(IF($B20="","",IFERROR(INDEX('Auxiliar Resultados'!$C$9:$BO$50,MATCH($B20,'Auxiliar Resultados'!$B$9:$B$50,0),MATCH(CONCATENATE($C20,AM$7),'Auxiliar Resultados'!$C$6:$BO$6,0)),""))=0,"",IF($B20="","",IFERROR(INDEX('Auxiliar Resultados'!$C$9:$BO$50,MATCH($B20,'Auxiliar Resultados'!$B$9:$B$50,0),MATCH(CONCATENATE($C20,AM$7),'Auxiliar Resultados'!$C$6:$BO$6,0)),"")))</f>
        <v/>
      </c>
      <c r="AN20" s="52" t="str">
        <f>+IF(IF($B20="","",IFERROR(INDEX('Auxiliar Resultados'!$C$9:$BO$50,MATCH($B20,'Auxiliar Resultados'!$B$9:$B$50,0),MATCH(CONCATENATE($C20,AN$7),'Auxiliar Resultados'!$C$6:$BO$6,0)),""))=0,"",IF($B20="","",IFERROR(INDEX('Auxiliar Resultados'!$C$9:$BO$50,MATCH($B20,'Auxiliar Resultados'!$B$9:$B$50,0),MATCH(CONCATENATE($C20,AN$7),'Auxiliar Resultados'!$C$6:$BO$6,0)),"")))</f>
        <v/>
      </c>
      <c r="AO20" s="52" t="str">
        <f>+IF(IF($B20="","",IFERROR(INDEX('Auxiliar Resultados'!$C$9:$BO$50,MATCH($B20,'Auxiliar Resultados'!$B$9:$B$50,0),MATCH(CONCATENATE($C20,AO$7),'Auxiliar Resultados'!$C$6:$BO$6,0)),""))=0,"",IF($B20="","",IFERROR(INDEX('Auxiliar Resultados'!$C$9:$BO$50,MATCH($B20,'Auxiliar Resultados'!$B$9:$B$50,0),MATCH(CONCATENATE($C20,AO$7),'Auxiliar Resultados'!$C$6:$BO$6,0)),"")))</f>
        <v/>
      </c>
      <c r="AP20" s="52" t="str">
        <f>+IF(IF($B20="","",IFERROR(INDEX('Auxiliar Resultados'!$C$9:$BO$50,MATCH($B20,'Auxiliar Resultados'!$B$9:$B$50,0),MATCH(CONCATENATE($C20,AP$7),'Auxiliar Resultados'!$C$6:$BO$6,0)),""))=0,"",IF($B20="","",IFERROR(INDEX('Auxiliar Resultados'!$C$9:$BO$50,MATCH($B20,'Auxiliar Resultados'!$B$9:$B$50,0),MATCH(CONCATENATE($C20,AP$7),'Auxiliar Resultados'!$C$6:$BO$6,0)),"")))</f>
        <v/>
      </c>
      <c r="AQ20" s="276" t="str">
        <f>+IF(IF($B20="","",IFERROR(INDEX('Auxiliar Resultados'!$C$9:$BO$50,MATCH($B20,'Auxiliar Resultados'!$B$9:$B$50,0),MATCH(CONCATENATE($C20,AQ$7),'Auxiliar Resultados'!$C$6:$BO$6,0)),""))=0,"",IF($B20="","",IFERROR(INDEX('Auxiliar Resultados'!$C$9:$BO$50,MATCH($B20,'Auxiliar Resultados'!$B$9:$B$50,0),MATCH(CONCATENATE($C20,AQ$7),'Auxiliar Resultados'!$C$6:$BO$6,0)),"")))</f>
        <v/>
      </c>
      <c r="AS20" s="46" t="str">
        <f t="shared" si="5"/>
        <v/>
      </c>
      <c r="AT20" s="292" t="str">
        <f t="shared" si="6"/>
        <v/>
      </c>
      <c r="AU20" s="36" t="str">
        <f>+IF(G20="","",INDEX('Modelo Optimización'!$AZ$4:$CO$149,MATCH(CONCATENATE(AU$7,$AT20),'Modelo Optimización'!$CQ$4:$CQ$149,0),MATCH($AS20,'Modelo Optimización'!$AZ$3:$CO$3,0)))</f>
        <v/>
      </c>
      <c r="AV20" s="32" t="str">
        <f>+IF(H20="","",INDEX('Modelo Optimización'!$AZ$4:$CO$149,MATCH(CONCATENATE(AV$7,$AT20),'Modelo Optimización'!$CQ$4:$CQ$149,0),MATCH($AS20,'Modelo Optimización'!$AZ$3:$CO$3,0)))</f>
        <v/>
      </c>
      <c r="AW20" s="32" t="str">
        <f>+IF(I20="","",INDEX('Modelo Optimización'!$AZ$4:$CO$149,MATCH(CONCATENATE(AW$7,$AT20),'Modelo Optimización'!$CQ$4:$CQ$149,0),MATCH($AS20,'Modelo Optimización'!$AZ$3:$CO$3,0)))</f>
        <v/>
      </c>
      <c r="AX20" s="32" t="str">
        <f>+IF(J20="","",INDEX('Modelo Optimización'!$AZ$4:$CO$149,MATCH(CONCATENATE(AX$7,$AT20),'Modelo Optimización'!$CQ$4:$CQ$149,0),MATCH($AS20,'Modelo Optimización'!$AZ$3:$CO$3,0)))</f>
        <v/>
      </c>
      <c r="AY20" s="32" t="str">
        <f>+IF(K20="","",INDEX('Modelo Optimización'!$AZ$4:$CO$149,MATCH(CONCATENATE(AY$7,$AT20),'Modelo Optimización'!$CQ$4:$CQ$149,0),MATCH($AS20,'Modelo Optimización'!$AZ$3:$CO$3,0)))</f>
        <v/>
      </c>
      <c r="AZ20" s="32" t="str">
        <f>+IF(L20="","",INDEX('Modelo Optimización'!$AZ$4:$CO$149,MATCH(CONCATENATE(AZ$7,$AT20),'Modelo Optimización'!$CQ$4:$CQ$149,0),MATCH($AS20,'Modelo Optimización'!$AZ$3:$CO$3,0)))</f>
        <v/>
      </c>
      <c r="BA20" s="32" t="str">
        <f>+IF(M20="","",INDEX('Modelo Optimización'!$AZ$4:$CO$149,MATCH(CONCATENATE(BA$7,$AT20),'Modelo Optimización'!$CQ$4:$CQ$149,0),MATCH($AS20,'Modelo Optimización'!$AZ$3:$CO$3,0)))</f>
        <v/>
      </c>
      <c r="BB20" s="32" t="str">
        <f>+IF(N20="","",INDEX('Modelo Optimización'!$AZ$4:$CO$149,MATCH(CONCATENATE(BB$7,$AT20),'Modelo Optimización'!$CQ$4:$CQ$149,0),MATCH($AS20,'Modelo Optimización'!$AZ$3:$CO$3,0)))</f>
        <v/>
      </c>
      <c r="BC20" s="32" t="str">
        <f>+IF(O20="","",INDEX('Modelo Optimización'!$AZ$4:$CO$149,MATCH(CONCATENATE(BC$7,$AT20),'Modelo Optimización'!$CQ$4:$CQ$149,0),MATCH($AS20,'Modelo Optimización'!$AZ$3:$CO$3,0)))</f>
        <v/>
      </c>
      <c r="BD20" s="32" t="str">
        <f>+IF(P20="","",INDEX('Modelo Optimización'!$AZ$4:$CO$149,MATCH(CONCATENATE(BD$7,$AT20),'Modelo Optimización'!$CQ$4:$CQ$149,0),MATCH($AS20,'Modelo Optimización'!$AZ$3:$CO$3,0)))</f>
        <v/>
      </c>
      <c r="BE20" s="32" t="str">
        <f>+IF(Q20="","",INDEX('Modelo Optimización'!$AZ$4:$CO$149,MATCH(CONCATENATE(BE$7,$AT20),'Modelo Optimización'!$CQ$4:$CQ$149,0),MATCH($AS20,'Modelo Optimización'!$AZ$3:$CO$3,0)))</f>
        <v/>
      </c>
      <c r="BF20" s="32" t="str">
        <f>+IF(R20="","",INDEX('Modelo Optimización'!$AZ$4:$CO$149,MATCH(CONCATENATE(BF$7,$AT20),'Modelo Optimización'!$CQ$4:$CQ$149,0),MATCH($AS20,'Modelo Optimización'!$AZ$3:$CO$3,0)))</f>
        <v/>
      </c>
      <c r="BG20" s="32" t="str">
        <f>+IF(S20="","",INDEX('Modelo Optimización'!$AZ$4:$CO$149,MATCH(CONCATENATE(BG$7,$AT20),'Modelo Optimización'!$CQ$4:$CQ$149,0),MATCH($AS20,'Modelo Optimización'!$AZ$3:$CO$3,0)))</f>
        <v/>
      </c>
      <c r="BH20" s="32" t="str">
        <f>+IF(T20="","",INDEX('Modelo Optimización'!$AZ$4:$CO$149,MATCH(CONCATENATE(BH$7,$AT20),'Modelo Optimización'!$CQ$4:$CQ$149,0),MATCH($AS20,'Modelo Optimización'!$AZ$3:$CO$3,0)))</f>
        <v/>
      </c>
      <c r="BI20" s="32" t="str">
        <f>+IF(U20="","",INDEX('Modelo Optimización'!$AZ$4:$CO$149,MATCH(CONCATENATE(BI$7,$AT20),'Modelo Optimización'!$CQ$4:$CQ$149,0),MATCH($AS20,'Modelo Optimización'!$AZ$3:$CO$3,0)))</f>
        <v/>
      </c>
      <c r="BJ20" s="32" t="str">
        <f>+IF(V20="","",INDEX('Modelo Optimización'!$AZ$4:$CO$149,MATCH(CONCATENATE(BJ$7,$AT20),'Modelo Optimización'!$CQ$4:$CQ$149,0),MATCH($AS20,'Modelo Optimización'!$AZ$3:$CO$3,0)))</f>
        <v/>
      </c>
      <c r="BK20" s="32" t="str">
        <f>+IF(W20="","",INDEX('Modelo Optimización'!$AZ$4:$CO$149,MATCH(CONCATENATE(BK$7,$AT20),'Modelo Optimización'!$CQ$4:$CQ$149,0),MATCH($AS20,'Modelo Optimización'!$AZ$3:$CO$3,0)))</f>
        <v/>
      </c>
      <c r="BL20" s="32" t="str">
        <f>+IF(X20="","",INDEX('Modelo Optimización'!$AZ$4:$CO$149,MATCH(CONCATENATE(BL$7,$AT20),'Modelo Optimización'!$CQ$4:$CQ$149,0),MATCH($AS20,'Modelo Optimización'!$AZ$3:$CO$3,0)))</f>
        <v/>
      </c>
      <c r="BM20" s="32" t="str">
        <f>+IF(Y20="","",INDEX('Modelo Optimización'!$AZ$4:$CO$149,MATCH(CONCATENATE(BM$7,$AT20),'Modelo Optimización'!$CQ$4:$CQ$149,0),MATCH($AS20,'Modelo Optimización'!$AZ$3:$CO$3,0)))</f>
        <v/>
      </c>
      <c r="BN20" s="32" t="str">
        <f>+IF(Z20="","",INDEX('Modelo Optimización'!$AZ$4:$CO$149,MATCH(CONCATENATE(BN$7,$AT20),'Modelo Optimización'!$CQ$4:$CQ$149,0),MATCH($AS20,'Modelo Optimización'!$AZ$3:$CO$3,0)))</f>
        <v/>
      </c>
      <c r="BO20" s="32" t="str">
        <f>+IF(AA20="","",INDEX('Modelo Optimización'!$AZ$4:$CO$149,MATCH(CONCATENATE(BO$7,$AT20),'Modelo Optimización'!$CQ$4:$CQ$149,0),MATCH($AS20,'Modelo Optimización'!$AZ$3:$CO$3,0)))</f>
        <v/>
      </c>
      <c r="BP20" s="32" t="str">
        <f>+IF(AB20="","",INDEX('Modelo Optimización'!$AZ$4:$CO$149,MATCH(CONCATENATE(BP$7,$AT20),'Modelo Optimización'!$CQ$4:$CQ$149,0),MATCH($AS20,'Modelo Optimización'!$AZ$3:$CO$3,0)))</f>
        <v/>
      </c>
      <c r="BQ20" s="32" t="str">
        <f>+IF(AC20="","",INDEX('Modelo Optimización'!$AZ$4:$CO$149,MATCH(CONCATENATE(BQ$7,$AT20),'Modelo Optimización'!$CQ$4:$CQ$149,0),MATCH($AS20,'Modelo Optimización'!$AZ$3:$CO$3,0)))</f>
        <v/>
      </c>
      <c r="BR20" s="32" t="str">
        <f>+IF(AD20="","",INDEX('Modelo Optimización'!$AZ$4:$CO$149,MATCH(CONCATENATE(BR$7,$AT20),'Modelo Optimización'!$CQ$4:$CQ$149,0),MATCH($AS20,'Modelo Optimización'!$AZ$3:$CO$3,0)))</f>
        <v/>
      </c>
      <c r="BS20" s="32" t="str">
        <f>+IF(AE20="","",INDEX('Modelo Optimización'!$AZ$4:$CO$149,MATCH(CONCATENATE(BS$7,$AT20),'Modelo Optimización'!$CQ$4:$CQ$149,0),MATCH($AS20,'Modelo Optimización'!$AZ$3:$CO$3,0)))</f>
        <v/>
      </c>
      <c r="BT20" s="32" t="str">
        <f>+IF(AF20="","",INDEX('Modelo Optimización'!$AZ$4:$CO$149,MATCH(CONCATENATE(BT$7,$AT20),'Modelo Optimización'!$CQ$4:$CQ$149,0),MATCH($AS20,'Modelo Optimización'!$AZ$3:$CO$3,0)))</f>
        <v/>
      </c>
      <c r="BU20" s="32" t="str">
        <f>+IF(AG20="","",INDEX('Modelo Optimización'!$AZ$4:$CO$149,MATCH(CONCATENATE(BU$7,$AT20),'Modelo Optimización'!$CQ$4:$CQ$149,0),MATCH($AS20,'Modelo Optimización'!$AZ$3:$CO$3,0)))</f>
        <v/>
      </c>
      <c r="BV20" s="32" t="str">
        <f>+IF(AH20="","",INDEX('Modelo Optimización'!$AZ$4:$CO$149,MATCH(CONCATENATE(BV$7,$AT20),'Modelo Optimización'!$CQ$4:$CQ$149,0),MATCH($AS20,'Modelo Optimización'!$AZ$3:$CO$3,0)))</f>
        <v/>
      </c>
      <c r="BW20" s="32" t="str">
        <f>+IF(AI20="","",INDEX('Modelo Optimización'!$AZ$4:$CO$149,MATCH(CONCATENATE(BW$7,$AT20),'Modelo Optimización'!$CQ$4:$CQ$149,0),MATCH($AS20,'Modelo Optimización'!$AZ$3:$CO$3,0)))</f>
        <v/>
      </c>
      <c r="BX20" s="32" t="str">
        <f>+IF(AJ20="","",INDEX('Modelo Optimización'!$AZ$4:$CO$149,MATCH(CONCATENATE(BX$7,$AT20),'Modelo Optimización'!$CQ$4:$CQ$149,0),MATCH($AS20,'Modelo Optimización'!$AZ$3:$CO$3,0)))</f>
        <v/>
      </c>
      <c r="BY20" s="32" t="str">
        <f>+IF(AK20="","",INDEX('Modelo Optimización'!$AZ$4:$CO$149,MATCH(CONCATENATE(BY$7,$AT20),'Modelo Optimización'!$CQ$4:$CQ$149,0),MATCH($AS20,'Modelo Optimización'!$AZ$3:$CO$3,0)))</f>
        <v/>
      </c>
      <c r="BZ20" s="32" t="str">
        <f>+IF(AL20="","",INDEX('Modelo Optimización'!$AZ$4:$CO$149,MATCH(CONCATENATE(BZ$7,$AT20),'Modelo Optimización'!$CQ$4:$CQ$149,0),MATCH($AS20,'Modelo Optimización'!$AZ$3:$CO$3,0)))</f>
        <v/>
      </c>
      <c r="CA20" s="32" t="str">
        <f>+IF(AM20="","",INDEX('Modelo Optimización'!$AZ$4:$CO$149,MATCH(CONCATENATE(CA$7,$AT20),'Modelo Optimización'!$CQ$4:$CQ$149,0),MATCH($AS20,'Modelo Optimización'!$AZ$3:$CO$3,0)))</f>
        <v/>
      </c>
      <c r="CB20" s="32" t="str">
        <f>+IF(AN20="","",INDEX('Modelo Optimización'!$AZ$4:$CO$149,MATCH(CONCATENATE(CB$7,$AT20),'Modelo Optimización'!$CQ$4:$CQ$149,0),MATCH($AS20,'Modelo Optimización'!$AZ$3:$CO$3,0)))</f>
        <v/>
      </c>
      <c r="CC20" s="32" t="str">
        <f>+IF(AO20="","",INDEX('Modelo Optimización'!$AZ$4:$CO$149,MATCH(CONCATENATE(CC$7,$AT20),'Modelo Optimización'!$CQ$4:$CQ$149,0),MATCH($AS20,'Modelo Optimización'!$AZ$3:$CO$3,0)))</f>
        <v/>
      </c>
      <c r="CD20" s="32" t="str">
        <f>+IF(AP20="","",INDEX('Modelo Optimización'!$AZ$4:$CO$149,MATCH(CONCATENATE(CD$7,$AT20),'Modelo Optimización'!$CQ$4:$CQ$149,0),MATCH($AS20,'Modelo Optimización'!$AZ$3:$CO$3,0)))</f>
        <v/>
      </c>
      <c r="CE20" s="37" t="str">
        <f>+IF(AQ20="","",INDEX('Modelo Optimización'!$AZ$4:$CO$149,MATCH(CONCATENATE(CE$7,$AT20),'Modelo Optimización'!$CQ$4:$CQ$149,0),MATCH($AS20,'Modelo Optimización'!$AZ$3:$CO$3,0)))</f>
        <v/>
      </c>
      <c r="CF20" s="301"/>
      <c r="CG20" s="305" t="str">
        <f t="shared" si="11"/>
        <v/>
      </c>
      <c r="CH20" s="303" t="str">
        <f t="shared" si="7"/>
        <v/>
      </c>
      <c r="CI20" s="292" t="str">
        <f t="shared" si="8"/>
        <v/>
      </c>
      <c r="CJ20" s="36" t="str">
        <f t="shared" si="12"/>
        <v/>
      </c>
      <c r="CK20" s="32" t="str">
        <f t="shared" si="13"/>
        <v/>
      </c>
      <c r="CL20" s="32" t="str">
        <f t="shared" si="14"/>
        <v/>
      </c>
      <c r="CM20" s="32" t="str">
        <f t="shared" si="15"/>
        <v/>
      </c>
      <c r="CN20" s="32" t="str">
        <f t="shared" si="16"/>
        <v/>
      </c>
      <c r="CO20" s="32" t="str">
        <f t="shared" si="17"/>
        <v/>
      </c>
      <c r="CP20" s="32" t="str">
        <f t="shared" si="18"/>
        <v/>
      </c>
      <c r="CQ20" s="32" t="str">
        <f t="shared" si="19"/>
        <v/>
      </c>
      <c r="CR20" s="32" t="str">
        <f t="shared" si="20"/>
        <v/>
      </c>
      <c r="CS20" s="32" t="str">
        <f t="shared" si="21"/>
        <v/>
      </c>
      <c r="CT20" s="32" t="str">
        <f t="shared" si="22"/>
        <v/>
      </c>
      <c r="CU20" s="32" t="str">
        <f t="shared" si="23"/>
        <v/>
      </c>
      <c r="CV20" s="32" t="str">
        <f t="shared" si="24"/>
        <v/>
      </c>
      <c r="CW20" s="32" t="str">
        <f t="shared" si="25"/>
        <v/>
      </c>
      <c r="CX20" s="32" t="str">
        <f t="shared" si="26"/>
        <v/>
      </c>
      <c r="CY20" s="32" t="str">
        <f t="shared" si="27"/>
        <v/>
      </c>
      <c r="CZ20" s="32" t="str">
        <f t="shared" si="28"/>
        <v/>
      </c>
      <c r="DA20" s="32" t="str">
        <f t="shared" si="29"/>
        <v/>
      </c>
      <c r="DB20" s="32" t="str">
        <f t="shared" si="30"/>
        <v/>
      </c>
      <c r="DC20" s="32" t="str">
        <f t="shared" si="31"/>
        <v/>
      </c>
      <c r="DD20" s="32" t="str">
        <f t="shared" si="32"/>
        <v/>
      </c>
      <c r="DE20" s="32" t="str">
        <f t="shared" si="33"/>
        <v/>
      </c>
      <c r="DF20" s="32" t="str">
        <f t="shared" si="34"/>
        <v/>
      </c>
      <c r="DG20" s="32" t="str">
        <f t="shared" si="35"/>
        <v/>
      </c>
      <c r="DH20" s="32" t="str">
        <f t="shared" si="36"/>
        <v/>
      </c>
      <c r="DI20" s="32" t="str">
        <f t="shared" si="37"/>
        <v/>
      </c>
      <c r="DJ20" s="32" t="str">
        <f t="shared" si="38"/>
        <v/>
      </c>
      <c r="DK20" s="32" t="str">
        <f t="shared" si="39"/>
        <v/>
      </c>
      <c r="DL20" s="32" t="str">
        <f t="shared" si="40"/>
        <v/>
      </c>
      <c r="DM20" s="32" t="str">
        <f t="shared" si="41"/>
        <v/>
      </c>
      <c r="DN20" s="32" t="str">
        <f t="shared" si="42"/>
        <v/>
      </c>
      <c r="DO20" s="32" t="str">
        <f t="shared" si="43"/>
        <v/>
      </c>
      <c r="DP20" s="32" t="str">
        <f t="shared" si="44"/>
        <v/>
      </c>
      <c r="DQ20" s="32" t="str">
        <f t="shared" si="45"/>
        <v/>
      </c>
      <c r="DR20" s="32" t="str">
        <f t="shared" si="46"/>
        <v/>
      </c>
      <c r="DS20" s="32" t="str">
        <f t="shared" si="47"/>
        <v/>
      </c>
      <c r="DT20" s="37" t="str">
        <f t="shared" si="48"/>
        <v/>
      </c>
    </row>
    <row r="21" spans="2:124" x14ac:dyDescent="0.35">
      <c r="B21" s="46"/>
      <c r="C21" s="212"/>
      <c r="D21" s="52"/>
      <c r="E21" s="52" t="str">
        <f>+IF(B21="","",IFERROR(SUMIF('Modelo Optimización'!$AS$72:$AS$217,C21,INDEX('Modelo Optimización'!$C$72:$AR$217,,MATCH(B21,'Modelo Optimización'!$C$71:$AR$71,0))),0))</f>
        <v/>
      </c>
      <c r="F21" s="281" t="str">
        <f t="shared" si="10"/>
        <v/>
      </c>
      <c r="G21" s="280" t="str">
        <f>+IF(IF($B21="","",IFERROR(INDEX('Auxiliar Resultados'!$C$9:$BO$50,MATCH($B21,'Auxiliar Resultados'!$B$9:$B$50,0),MATCH(CONCATENATE($C21,G$7),'Auxiliar Resultados'!$C$6:$BO$6,0)),""))=0,"",IF($B21="","",IFERROR(INDEX('Auxiliar Resultados'!$C$9:$BO$50,MATCH($B21,'Auxiliar Resultados'!$B$9:$B$50,0),MATCH(CONCATENATE($C21,G$7),'Auxiliar Resultados'!$C$6:$BO$6,0)),"")))</f>
        <v/>
      </c>
      <c r="H21" s="52" t="str">
        <f>+IF(IF($B21="","",IFERROR(INDEX('Auxiliar Resultados'!$C$9:$BO$50,MATCH($B21,'Auxiliar Resultados'!$B$9:$B$50,0),MATCH(CONCATENATE($C21,H$7),'Auxiliar Resultados'!$C$6:$BO$6,0)),""))=0,"",IF($B21="","",IFERROR(INDEX('Auxiliar Resultados'!$C$9:$BO$50,MATCH($B21,'Auxiliar Resultados'!$B$9:$B$50,0),MATCH(CONCATENATE($C21,H$7),'Auxiliar Resultados'!$C$6:$BO$6,0)),"")))</f>
        <v/>
      </c>
      <c r="I21" s="52" t="str">
        <f>+IF(IF($B21="","",IFERROR(INDEX('Auxiliar Resultados'!$C$9:$BO$50,MATCH($B21,'Auxiliar Resultados'!$B$9:$B$50,0),MATCH(CONCATENATE($C21,I$7),'Auxiliar Resultados'!$C$6:$BO$6,0)),""))=0,"",IF($B21="","",IFERROR(INDEX('Auxiliar Resultados'!$C$9:$BO$50,MATCH($B21,'Auxiliar Resultados'!$B$9:$B$50,0),MATCH(CONCATENATE($C21,I$7),'Auxiliar Resultados'!$C$6:$BO$6,0)),"")))</f>
        <v/>
      </c>
      <c r="J21" s="52" t="str">
        <f>+IF(IF($B21="","",IFERROR(INDEX('Auxiliar Resultados'!$C$9:$BO$50,MATCH($B21,'Auxiliar Resultados'!$B$9:$B$50,0),MATCH(CONCATENATE($C21,J$7),'Auxiliar Resultados'!$C$6:$BO$6,0)),""))=0,"",IF($B21="","",IFERROR(INDEX('Auxiliar Resultados'!$C$9:$BO$50,MATCH($B21,'Auxiliar Resultados'!$B$9:$B$50,0),MATCH(CONCATENATE($C21,J$7),'Auxiliar Resultados'!$C$6:$BO$6,0)),"")))</f>
        <v/>
      </c>
      <c r="K21" s="52" t="str">
        <f>+IF(IF($B21="","",IFERROR(INDEX('Auxiliar Resultados'!$C$9:$BO$50,MATCH($B21,'Auxiliar Resultados'!$B$9:$B$50,0),MATCH(CONCATENATE($C21,K$7),'Auxiliar Resultados'!$C$6:$BO$6,0)),""))=0,"",IF($B21="","",IFERROR(INDEX('Auxiliar Resultados'!$C$9:$BO$50,MATCH($B21,'Auxiliar Resultados'!$B$9:$B$50,0),MATCH(CONCATENATE($C21,K$7),'Auxiliar Resultados'!$C$6:$BO$6,0)),"")))</f>
        <v/>
      </c>
      <c r="L21" s="52" t="str">
        <f>+IF(IF($B21="","",IFERROR(INDEX('Auxiliar Resultados'!$C$9:$BO$50,MATCH($B21,'Auxiliar Resultados'!$B$9:$B$50,0),MATCH(CONCATENATE($C21,L$7),'Auxiliar Resultados'!$C$6:$BO$6,0)),""))=0,"",IF($B21="","",IFERROR(INDEX('Auxiliar Resultados'!$C$9:$BO$50,MATCH($B21,'Auxiliar Resultados'!$B$9:$B$50,0),MATCH(CONCATENATE($C21,L$7),'Auxiliar Resultados'!$C$6:$BO$6,0)),"")))</f>
        <v/>
      </c>
      <c r="M21" s="52" t="str">
        <f>+IF(IF($B21="","",IFERROR(INDEX('Auxiliar Resultados'!$C$9:$BO$50,MATCH($B21,'Auxiliar Resultados'!$B$9:$B$50,0),MATCH(CONCATENATE($C21,M$7),'Auxiliar Resultados'!$C$6:$BO$6,0)),""))=0,"",IF($B21="","",IFERROR(INDEX('Auxiliar Resultados'!$C$9:$BO$50,MATCH($B21,'Auxiliar Resultados'!$B$9:$B$50,0),MATCH(CONCATENATE($C21,M$7),'Auxiliar Resultados'!$C$6:$BO$6,0)),"")))</f>
        <v/>
      </c>
      <c r="N21" s="52" t="str">
        <f>+IF(IF($B21="","",IFERROR(INDEX('Auxiliar Resultados'!$C$9:$BO$50,MATCH($B21,'Auxiliar Resultados'!$B$9:$B$50,0),MATCH(CONCATENATE($C21,N$7),'Auxiliar Resultados'!$C$6:$BO$6,0)),""))=0,"",IF($B21="","",IFERROR(INDEX('Auxiliar Resultados'!$C$9:$BO$50,MATCH($B21,'Auxiliar Resultados'!$B$9:$B$50,0),MATCH(CONCATENATE($C21,N$7),'Auxiliar Resultados'!$C$6:$BO$6,0)),"")))</f>
        <v/>
      </c>
      <c r="O21" s="52" t="str">
        <f>+IF(IF($B21="","",IFERROR(INDEX('Auxiliar Resultados'!$C$9:$BO$50,MATCH($B21,'Auxiliar Resultados'!$B$9:$B$50,0),MATCH(CONCATENATE($C21,O$7),'Auxiliar Resultados'!$C$6:$BO$6,0)),""))=0,"",IF($B21="","",IFERROR(INDEX('Auxiliar Resultados'!$C$9:$BO$50,MATCH($B21,'Auxiliar Resultados'!$B$9:$B$50,0),MATCH(CONCATENATE($C21,O$7),'Auxiliar Resultados'!$C$6:$BO$6,0)),"")))</f>
        <v/>
      </c>
      <c r="P21" s="52" t="str">
        <f>+IF(IF($B21="","",IFERROR(INDEX('Auxiliar Resultados'!$C$9:$BO$50,MATCH($B21,'Auxiliar Resultados'!$B$9:$B$50,0),MATCH(CONCATENATE($C21,P$7),'Auxiliar Resultados'!$C$6:$BO$6,0)),""))=0,"",IF($B21="","",IFERROR(INDEX('Auxiliar Resultados'!$C$9:$BO$50,MATCH($B21,'Auxiliar Resultados'!$B$9:$B$50,0),MATCH(CONCATENATE($C21,P$7),'Auxiliar Resultados'!$C$6:$BO$6,0)),"")))</f>
        <v/>
      </c>
      <c r="Q21" s="52" t="str">
        <f>+IF(IF($B21="","",IFERROR(INDEX('Auxiliar Resultados'!$C$9:$BO$50,MATCH($B21,'Auxiliar Resultados'!$B$9:$B$50,0),MATCH(CONCATENATE($C21,Q$7),'Auxiliar Resultados'!$C$6:$BO$6,0)),""))=0,"",IF($B21="","",IFERROR(INDEX('Auxiliar Resultados'!$C$9:$BO$50,MATCH($B21,'Auxiliar Resultados'!$B$9:$B$50,0),MATCH(CONCATENATE($C21,Q$7),'Auxiliar Resultados'!$C$6:$BO$6,0)),"")))</f>
        <v/>
      </c>
      <c r="R21" s="52" t="str">
        <f>+IF(IF($B21="","",IFERROR(INDEX('Auxiliar Resultados'!$C$9:$BO$50,MATCH($B21,'Auxiliar Resultados'!$B$9:$B$50,0),MATCH(CONCATENATE($C21,R$7),'Auxiliar Resultados'!$C$6:$BO$6,0)),""))=0,"",IF($B21="","",IFERROR(INDEX('Auxiliar Resultados'!$C$9:$BO$50,MATCH($B21,'Auxiliar Resultados'!$B$9:$B$50,0),MATCH(CONCATENATE($C21,R$7),'Auxiliar Resultados'!$C$6:$BO$6,0)),"")))</f>
        <v/>
      </c>
      <c r="S21" s="52" t="str">
        <f>+IF(IF($B21="","",IFERROR(INDEX('Auxiliar Resultados'!$C$9:$BO$50,MATCH($B21,'Auxiliar Resultados'!$B$9:$B$50,0),MATCH(CONCATENATE($C21,S$7),'Auxiliar Resultados'!$C$6:$BO$6,0)),""))=0,"",IF($B21="","",IFERROR(INDEX('Auxiliar Resultados'!$C$9:$BO$50,MATCH($B21,'Auxiliar Resultados'!$B$9:$B$50,0),MATCH(CONCATENATE($C21,S$7),'Auxiliar Resultados'!$C$6:$BO$6,0)),"")))</f>
        <v/>
      </c>
      <c r="T21" s="52" t="str">
        <f>+IF(IF($B21="","",IFERROR(INDEX('Auxiliar Resultados'!$C$9:$BO$50,MATCH($B21,'Auxiliar Resultados'!$B$9:$B$50,0),MATCH(CONCATENATE($C21,T$7),'Auxiliar Resultados'!$C$6:$BO$6,0)),""))=0,"",IF($B21="","",IFERROR(INDEX('Auxiliar Resultados'!$C$9:$BO$50,MATCH($B21,'Auxiliar Resultados'!$B$9:$B$50,0),MATCH(CONCATENATE($C21,T$7),'Auxiliar Resultados'!$C$6:$BO$6,0)),"")))</f>
        <v/>
      </c>
      <c r="U21" s="52" t="str">
        <f>+IF(IF($B21="","",IFERROR(INDEX('Auxiliar Resultados'!$C$9:$BO$50,MATCH($B21,'Auxiliar Resultados'!$B$9:$B$50,0),MATCH(CONCATENATE($C21,U$7),'Auxiliar Resultados'!$C$6:$BO$6,0)),""))=0,"",IF($B21="","",IFERROR(INDEX('Auxiliar Resultados'!$C$9:$BO$50,MATCH($B21,'Auxiliar Resultados'!$B$9:$B$50,0),MATCH(CONCATENATE($C21,U$7),'Auxiliar Resultados'!$C$6:$BO$6,0)),"")))</f>
        <v/>
      </c>
      <c r="V21" s="52" t="str">
        <f>+IF(IF($B21="","",IFERROR(INDEX('Auxiliar Resultados'!$C$9:$BO$50,MATCH($B21,'Auxiliar Resultados'!$B$9:$B$50,0),MATCH(CONCATENATE($C21,V$7),'Auxiliar Resultados'!$C$6:$BO$6,0)),""))=0,"",IF($B21="","",IFERROR(INDEX('Auxiliar Resultados'!$C$9:$BO$50,MATCH($B21,'Auxiliar Resultados'!$B$9:$B$50,0),MATCH(CONCATENATE($C21,V$7),'Auxiliar Resultados'!$C$6:$BO$6,0)),"")))</f>
        <v/>
      </c>
      <c r="W21" s="52" t="str">
        <f>+IF(IF($B21="","",IFERROR(INDEX('Auxiliar Resultados'!$C$9:$BO$50,MATCH($B21,'Auxiliar Resultados'!$B$9:$B$50,0),MATCH(CONCATENATE($C21,W$7),'Auxiliar Resultados'!$C$6:$BO$6,0)),""))=0,"",IF($B21="","",IFERROR(INDEX('Auxiliar Resultados'!$C$9:$BO$50,MATCH($B21,'Auxiliar Resultados'!$B$9:$B$50,0),MATCH(CONCATENATE($C21,W$7),'Auxiliar Resultados'!$C$6:$BO$6,0)),"")))</f>
        <v/>
      </c>
      <c r="X21" s="52" t="str">
        <f>+IF(IF($B21="","",IFERROR(INDEX('Auxiliar Resultados'!$C$9:$BO$50,MATCH($B21,'Auxiliar Resultados'!$B$9:$B$50,0),MATCH(CONCATENATE($C21,X$7),'Auxiliar Resultados'!$C$6:$BO$6,0)),""))=0,"",IF($B21="","",IFERROR(INDEX('Auxiliar Resultados'!$C$9:$BO$50,MATCH($B21,'Auxiliar Resultados'!$B$9:$B$50,0),MATCH(CONCATENATE($C21,X$7),'Auxiliar Resultados'!$C$6:$BO$6,0)),"")))</f>
        <v/>
      </c>
      <c r="Y21" s="52" t="str">
        <f>+IF(IF($B21="","",IFERROR(INDEX('Auxiliar Resultados'!$C$9:$BO$50,MATCH($B21,'Auxiliar Resultados'!$B$9:$B$50,0),MATCH(CONCATENATE($C21,Y$7),'Auxiliar Resultados'!$C$6:$BO$6,0)),""))=0,"",IF($B21="","",IFERROR(INDEX('Auxiliar Resultados'!$C$9:$BO$50,MATCH($B21,'Auxiliar Resultados'!$B$9:$B$50,0),MATCH(CONCATENATE($C21,Y$7),'Auxiliar Resultados'!$C$6:$BO$6,0)),"")))</f>
        <v/>
      </c>
      <c r="Z21" s="52" t="str">
        <f>+IF(IF($B21="","",IFERROR(INDEX('Auxiliar Resultados'!$C$9:$BO$50,MATCH($B21,'Auxiliar Resultados'!$B$9:$B$50,0),MATCH(CONCATENATE($C21,Z$7),'Auxiliar Resultados'!$C$6:$BO$6,0)),""))=0,"",IF($B21="","",IFERROR(INDEX('Auxiliar Resultados'!$C$9:$BO$50,MATCH($B21,'Auxiliar Resultados'!$B$9:$B$50,0),MATCH(CONCATENATE($C21,Z$7),'Auxiliar Resultados'!$C$6:$BO$6,0)),"")))</f>
        <v/>
      </c>
      <c r="AA21" s="52" t="str">
        <f>+IF(IF($B21="","",IFERROR(INDEX('Auxiliar Resultados'!$C$9:$BO$50,MATCH($B21,'Auxiliar Resultados'!$B$9:$B$50,0),MATCH(CONCATENATE($C21,AA$7),'Auxiliar Resultados'!$C$6:$BO$6,0)),""))=0,"",IF($B21="","",IFERROR(INDEX('Auxiliar Resultados'!$C$9:$BO$50,MATCH($B21,'Auxiliar Resultados'!$B$9:$B$50,0),MATCH(CONCATENATE($C21,AA$7),'Auxiliar Resultados'!$C$6:$BO$6,0)),"")))</f>
        <v/>
      </c>
      <c r="AB21" s="52" t="str">
        <f>+IF(IF($B21="","",IFERROR(INDEX('Auxiliar Resultados'!$C$9:$BO$50,MATCH($B21,'Auxiliar Resultados'!$B$9:$B$50,0),MATCH(CONCATENATE($C21,AB$7),'Auxiliar Resultados'!$C$6:$BO$6,0)),""))=0,"",IF($B21="","",IFERROR(INDEX('Auxiliar Resultados'!$C$9:$BO$50,MATCH($B21,'Auxiliar Resultados'!$B$9:$B$50,0),MATCH(CONCATENATE($C21,AB$7),'Auxiliar Resultados'!$C$6:$BO$6,0)),"")))</f>
        <v/>
      </c>
      <c r="AC21" s="52" t="str">
        <f>+IF(IF($B21="","",IFERROR(INDEX('Auxiliar Resultados'!$C$9:$BO$50,MATCH($B21,'Auxiliar Resultados'!$B$9:$B$50,0),MATCH(CONCATENATE($C21,AC$7),'Auxiliar Resultados'!$C$6:$BO$6,0)),""))=0,"",IF($B21="","",IFERROR(INDEX('Auxiliar Resultados'!$C$9:$BO$50,MATCH($B21,'Auxiliar Resultados'!$B$9:$B$50,0),MATCH(CONCATENATE($C21,AC$7),'Auxiliar Resultados'!$C$6:$BO$6,0)),"")))</f>
        <v/>
      </c>
      <c r="AD21" s="52" t="str">
        <f>+IF(IF($B21="","",IFERROR(INDEX('Auxiliar Resultados'!$C$9:$BO$50,MATCH($B21,'Auxiliar Resultados'!$B$9:$B$50,0),MATCH(CONCATENATE($C21,AD$7),'Auxiliar Resultados'!$C$6:$BO$6,0)),""))=0,"",IF($B21="","",IFERROR(INDEX('Auxiliar Resultados'!$C$9:$BO$50,MATCH($B21,'Auxiliar Resultados'!$B$9:$B$50,0),MATCH(CONCATENATE($C21,AD$7),'Auxiliar Resultados'!$C$6:$BO$6,0)),"")))</f>
        <v/>
      </c>
      <c r="AE21" s="52" t="str">
        <f>+IF(IF($B21="","",IFERROR(INDEX('Auxiliar Resultados'!$C$9:$BO$50,MATCH($B21,'Auxiliar Resultados'!$B$9:$B$50,0),MATCH(CONCATENATE($C21,AE$7),'Auxiliar Resultados'!$C$6:$BO$6,0)),""))=0,"",IF($B21="","",IFERROR(INDEX('Auxiliar Resultados'!$C$9:$BO$50,MATCH($B21,'Auxiliar Resultados'!$B$9:$B$50,0),MATCH(CONCATENATE($C21,AE$7),'Auxiliar Resultados'!$C$6:$BO$6,0)),"")))</f>
        <v/>
      </c>
      <c r="AF21" s="52" t="str">
        <f>+IF(IF($B21="","",IFERROR(INDEX('Auxiliar Resultados'!$C$9:$BO$50,MATCH($B21,'Auxiliar Resultados'!$B$9:$B$50,0),MATCH(CONCATENATE($C21,AF$7),'Auxiliar Resultados'!$C$6:$BO$6,0)),""))=0,"",IF($B21="","",IFERROR(INDEX('Auxiliar Resultados'!$C$9:$BO$50,MATCH($B21,'Auxiliar Resultados'!$B$9:$B$50,0),MATCH(CONCATENATE($C21,AF$7),'Auxiliar Resultados'!$C$6:$BO$6,0)),"")))</f>
        <v/>
      </c>
      <c r="AG21" s="52" t="str">
        <f>+IF(IF($B21="","",IFERROR(INDEX('Auxiliar Resultados'!$C$9:$BO$50,MATCH($B21,'Auxiliar Resultados'!$B$9:$B$50,0),MATCH(CONCATENATE($C21,AG$7),'Auxiliar Resultados'!$C$6:$BO$6,0)),""))=0,"",IF($B21="","",IFERROR(INDEX('Auxiliar Resultados'!$C$9:$BO$50,MATCH($B21,'Auxiliar Resultados'!$B$9:$B$50,0),MATCH(CONCATENATE($C21,AG$7),'Auxiliar Resultados'!$C$6:$BO$6,0)),"")))</f>
        <v/>
      </c>
      <c r="AH21" s="52" t="str">
        <f>+IF(IF($B21="","",IFERROR(INDEX('Auxiliar Resultados'!$C$9:$BO$50,MATCH($B21,'Auxiliar Resultados'!$B$9:$B$50,0),MATCH(CONCATENATE($C21,AH$7),'Auxiliar Resultados'!$C$6:$BO$6,0)),""))=0,"",IF($B21="","",IFERROR(INDEX('Auxiliar Resultados'!$C$9:$BO$50,MATCH($B21,'Auxiliar Resultados'!$B$9:$B$50,0),MATCH(CONCATENATE($C21,AH$7),'Auxiliar Resultados'!$C$6:$BO$6,0)),"")))</f>
        <v/>
      </c>
      <c r="AI21" s="52" t="str">
        <f>+IF(IF($B21="","",IFERROR(INDEX('Auxiliar Resultados'!$C$9:$BO$50,MATCH($B21,'Auxiliar Resultados'!$B$9:$B$50,0),MATCH(CONCATENATE($C21,AI$7),'Auxiliar Resultados'!$C$6:$BO$6,0)),""))=0,"",IF($B21="","",IFERROR(INDEX('Auxiliar Resultados'!$C$9:$BO$50,MATCH($B21,'Auxiliar Resultados'!$B$9:$B$50,0),MATCH(CONCATENATE($C21,AI$7),'Auxiliar Resultados'!$C$6:$BO$6,0)),"")))</f>
        <v/>
      </c>
      <c r="AJ21" s="52" t="str">
        <f>+IF(IF($B21="","",IFERROR(INDEX('Auxiliar Resultados'!$C$9:$BO$50,MATCH($B21,'Auxiliar Resultados'!$B$9:$B$50,0),MATCH(CONCATENATE($C21,AJ$7),'Auxiliar Resultados'!$C$6:$BO$6,0)),""))=0,"",IF($B21="","",IFERROR(INDEX('Auxiliar Resultados'!$C$9:$BO$50,MATCH($B21,'Auxiliar Resultados'!$B$9:$B$50,0),MATCH(CONCATENATE($C21,AJ$7),'Auxiliar Resultados'!$C$6:$BO$6,0)),"")))</f>
        <v/>
      </c>
      <c r="AK21" s="52" t="str">
        <f>+IF(IF($B21="","",IFERROR(INDEX('Auxiliar Resultados'!$C$9:$BO$50,MATCH($B21,'Auxiliar Resultados'!$B$9:$B$50,0),MATCH(CONCATENATE($C21,AK$7),'Auxiliar Resultados'!$C$6:$BO$6,0)),""))=0,"",IF($B21="","",IFERROR(INDEX('Auxiliar Resultados'!$C$9:$BO$50,MATCH($B21,'Auxiliar Resultados'!$B$9:$B$50,0),MATCH(CONCATENATE($C21,AK$7),'Auxiliar Resultados'!$C$6:$BO$6,0)),"")))</f>
        <v/>
      </c>
      <c r="AL21" s="52" t="str">
        <f>+IF(IF($B21="","",IFERROR(INDEX('Auxiliar Resultados'!$C$9:$BO$50,MATCH($B21,'Auxiliar Resultados'!$B$9:$B$50,0),MATCH(CONCATENATE($C21,AL$7),'Auxiliar Resultados'!$C$6:$BO$6,0)),""))=0,"",IF($B21="","",IFERROR(INDEX('Auxiliar Resultados'!$C$9:$BO$50,MATCH($B21,'Auxiliar Resultados'!$B$9:$B$50,0),MATCH(CONCATENATE($C21,AL$7),'Auxiliar Resultados'!$C$6:$BO$6,0)),"")))</f>
        <v/>
      </c>
      <c r="AM21" s="52" t="str">
        <f>+IF(IF($B21="","",IFERROR(INDEX('Auxiliar Resultados'!$C$9:$BO$50,MATCH($B21,'Auxiliar Resultados'!$B$9:$B$50,0),MATCH(CONCATENATE($C21,AM$7),'Auxiliar Resultados'!$C$6:$BO$6,0)),""))=0,"",IF($B21="","",IFERROR(INDEX('Auxiliar Resultados'!$C$9:$BO$50,MATCH($B21,'Auxiliar Resultados'!$B$9:$B$50,0),MATCH(CONCATENATE($C21,AM$7),'Auxiliar Resultados'!$C$6:$BO$6,0)),"")))</f>
        <v/>
      </c>
      <c r="AN21" s="52" t="str">
        <f>+IF(IF($B21="","",IFERROR(INDEX('Auxiliar Resultados'!$C$9:$BO$50,MATCH($B21,'Auxiliar Resultados'!$B$9:$B$50,0),MATCH(CONCATENATE($C21,AN$7),'Auxiliar Resultados'!$C$6:$BO$6,0)),""))=0,"",IF($B21="","",IFERROR(INDEX('Auxiliar Resultados'!$C$9:$BO$50,MATCH($B21,'Auxiliar Resultados'!$B$9:$B$50,0),MATCH(CONCATENATE($C21,AN$7),'Auxiliar Resultados'!$C$6:$BO$6,0)),"")))</f>
        <v/>
      </c>
      <c r="AO21" s="52" t="str">
        <f>+IF(IF($B21="","",IFERROR(INDEX('Auxiliar Resultados'!$C$9:$BO$50,MATCH($B21,'Auxiliar Resultados'!$B$9:$B$50,0),MATCH(CONCATENATE($C21,AO$7),'Auxiliar Resultados'!$C$6:$BO$6,0)),""))=0,"",IF($B21="","",IFERROR(INDEX('Auxiliar Resultados'!$C$9:$BO$50,MATCH($B21,'Auxiliar Resultados'!$B$9:$B$50,0),MATCH(CONCATENATE($C21,AO$7),'Auxiliar Resultados'!$C$6:$BO$6,0)),"")))</f>
        <v/>
      </c>
      <c r="AP21" s="52" t="str">
        <f>+IF(IF($B21="","",IFERROR(INDEX('Auxiliar Resultados'!$C$9:$BO$50,MATCH($B21,'Auxiliar Resultados'!$B$9:$B$50,0),MATCH(CONCATENATE($C21,AP$7),'Auxiliar Resultados'!$C$6:$BO$6,0)),""))=0,"",IF($B21="","",IFERROR(INDEX('Auxiliar Resultados'!$C$9:$BO$50,MATCH($B21,'Auxiliar Resultados'!$B$9:$B$50,0),MATCH(CONCATENATE($C21,AP$7),'Auxiliar Resultados'!$C$6:$BO$6,0)),"")))</f>
        <v/>
      </c>
      <c r="AQ21" s="276" t="str">
        <f>+IF(IF($B21="","",IFERROR(INDEX('Auxiliar Resultados'!$C$9:$BO$50,MATCH($B21,'Auxiliar Resultados'!$B$9:$B$50,0),MATCH(CONCATENATE($C21,AQ$7),'Auxiliar Resultados'!$C$6:$BO$6,0)),""))=0,"",IF($B21="","",IFERROR(INDEX('Auxiliar Resultados'!$C$9:$BO$50,MATCH($B21,'Auxiliar Resultados'!$B$9:$B$50,0),MATCH(CONCATENATE($C21,AQ$7),'Auxiliar Resultados'!$C$6:$BO$6,0)),"")))</f>
        <v/>
      </c>
      <c r="AS21" s="46" t="str">
        <f t="shared" si="5"/>
        <v/>
      </c>
      <c r="AT21" s="292" t="str">
        <f t="shared" si="6"/>
        <v/>
      </c>
      <c r="AU21" s="36" t="str">
        <f>+IF(G21="","",INDEX('Modelo Optimización'!$AZ$4:$CO$149,MATCH(CONCATENATE(AU$7,$AT21),'Modelo Optimización'!$CQ$4:$CQ$149,0),MATCH($AS21,'Modelo Optimización'!$AZ$3:$CO$3,0)))</f>
        <v/>
      </c>
      <c r="AV21" s="32" t="str">
        <f>+IF(H21="","",INDEX('Modelo Optimización'!$AZ$4:$CO$149,MATCH(CONCATENATE(AV$7,$AT21),'Modelo Optimización'!$CQ$4:$CQ$149,0),MATCH($AS21,'Modelo Optimización'!$AZ$3:$CO$3,0)))</f>
        <v/>
      </c>
      <c r="AW21" s="32" t="str">
        <f>+IF(I21="","",INDEX('Modelo Optimización'!$AZ$4:$CO$149,MATCH(CONCATENATE(AW$7,$AT21),'Modelo Optimización'!$CQ$4:$CQ$149,0),MATCH($AS21,'Modelo Optimización'!$AZ$3:$CO$3,0)))</f>
        <v/>
      </c>
      <c r="AX21" s="32" t="str">
        <f>+IF(J21="","",INDEX('Modelo Optimización'!$AZ$4:$CO$149,MATCH(CONCATENATE(AX$7,$AT21),'Modelo Optimización'!$CQ$4:$CQ$149,0),MATCH($AS21,'Modelo Optimización'!$AZ$3:$CO$3,0)))</f>
        <v/>
      </c>
      <c r="AY21" s="32" t="str">
        <f>+IF(K21="","",INDEX('Modelo Optimización'!$AZ$4:$CO$149,MATCH(CONCATENATE(AY$7,$AT21),'Modelo Optimización'!$CQ$4:$CQ$149,0),MATCH($AS21,'Modelo Optimización'!$AZ$3:$CO$3,0)))</f>
        <v/>
      </c>
      <c r="AZ21" s="32" t="str">
        <f>+IF(L21="","",INDEX('Modelo Optimización'!$AZ$4:$CO$149,MATCH(CONCATENATE(AZ$7,$AT21),'Modelo Optimización'!$CQ$4:$CQ$149,0),MATCH($AS21,'Modelo Optimización'!$AZ$3:$CO$3,0)))</f>
        <v/>
      </c>
      <c r="BA21" s="32" t="str">
        <f>+IF(M21="","",INDEX('Modelo Optimización'!$AZ$4:$CO$149,MATCH(CONCATENATE(BA$7,$AT21),'Modelo Optimización'!$CQ$4:$CQ$149,0),MATCH($AS21,'Modelo Optimización'!$AZ$3:$CO$3,0)))</f>
        <v/>
      </c>
      <c r="BB21" s="32" t="str">
        <f>+IF(N21="","",INDEX('Modelo Optimización'!$AZ$4:$CO$149,MATCH(CONCATENATE(BB$7,$AT21),'Modelo Optimización'!$CQ$4:$CQ$149,0),MATCH($AS21,'Modelo Optimización'!$AZ$3:$CO$3,0)))</f>
        <v/>
      </c>
      <c r="BC21" s="32" t="str">
        <f>+IF(O21="","",INDEX('Modelo Optimización'!$AZ$4:$CO$149,MATCH(CONCATENATE(BC$7,$AT21),'Modelo Optimización'!$CQ$4:$CQ$149,0),MATCH($AS21,'Modelo Optimización'!$AZ$3:$CO$3,0)))</f>
        <v/>
      </c>
      <c r="BD21" s="32" t="str">
        <f>+IF(P21="","",INDEX('Modelo Optimización'!$AZ$4:$CO$149,MATCH(CONCATENATE(BD$7,$AT21),'Modelo Optimización'!$CQ$4:$CQ$149,0),MATCH($AS21,'Modelo Optimización'!$AZ$3:$CO$3,0)))</f>
        <v/>
      </c>
      <c r="BE21" s="32" t="str">
        <f>+IF(Q21="","",INDEX('Modelo Optimización'!$AZ$4:$CO$149,MATCH(CONCATENATE(BE$7,$AT21),'Modelo Optimización'!$CQ$4:$CQ$149,0),MATCH($AS21,'Modelo Optimización'!$AZ$3:$CO$3,0)))</f>
        <v/>
      </c>
      <c r="BF21" s="32" t="str">
        <f>+IF(R21="","",INDEX('Modelo Optimización'!$AZ$4:$CO$149,MATCH(CONCATENATE(BF$7,$AT21),'Modelo Optimización'!$CQ$4:$CQ$149,0),MATCH($AS21,'Modelo Optimización'!$AZ$3:$CO$3,0)))</f>
        <v/>
      </c>
      <c r="BG21" s="32" t="str">
        <f>+IF(S21="","",INDEX('Modelo Optimización'!$AZ$4:$CO$149,MATCH(CONCATENATE(BG$7,$AT21),'Modelo Optimización'!$CQ$4:$CQ$149,0),MATCH($AS21,'Modelo Optimización'!$AZ$3:$CO$3,0)))</f>
        <v/>
      </c>
      <c r="BH21" s="32" t="str">
        <f>+IF(T21="","",INDEX('Modelo Optimización'!$AZ$4:$CO$149,MATCH(CONCATENATE(BH$7,$AT21),'Modelo Optimización'!$CQ$4:$CQ$149,0),MATCH($AS21,'Modelo Optimización'!$AZ$3:$CO$3,0)))</f>
        <v/>
      </c>
      <c r="BI21" s="32" t="str">
        <f>+IF(U21="","",INDEX('Modelo Optimización'!$AZ$4:$CO$149,MATCH(CONCATENATE(BI$7,$AT21),'Modelo Optimización'!$CQ$4:$CQ$149,0),MATCH($AS21,'Modelo Optimización'!$AZ$3:$CO$3,0)))</f>
        <v/>
      </c>
      <c r="BJ21" s="32" t="str">
        <f>+IF(V21="","",INDEX('Modelo Optimización'!$AZ$4:$CO$149,MATCH(CONCATENATE(BJ$7,$AT21),'Modelo Optimización'!$CQ$4:$CQ$149,0),MATCH($AS21,'Modelo Optimización'!$AZ$3:$CO$3,0)))</f>
        <v/>
      </c>
      <c r="BK21" s="32" t="str">
        <f>+IF(W21="","",INDEX('Modelo Optimización'!$AZ$4:$CO$149,MATCH(CONCATENATE(BK$7,$AT21),'Modelo Optimización'!$CQ$4:$CQ$149,0),MATCH($AS21,'Modelo Optimización'!$AZ$3:$CO$3,0)))</f>
        <v/>
      </c>
      <c r="BL21" s="32" t="str">
        <f>+IF(X21="","",INDEX('Modelo Optimización'!$AZ$4:$CO$149,MATCH(CONCATENATE(BL$7,$AT21),'Modelo Optimización'!$CQ$4:$CQ$149,0),MATCH($AS21,'Modelo Optimización'!$AZ$3:$CO$3,0)))</f>
        <v/>
      </c>
      <c r="BM21" s="32" t="str">
        <f>+IF(Y21="","",INDEX('Modelo Optimización'!$AZ$4:$CO$149,MATCH(CONCATENATE(BM$7,$AT21),'Modelo Optimización'!$CQ$4:$CQ$149,0),MATCH($AS21,'Modelo Optimización'!$AZ$3:$CO$3,0)))</f>
        <v/>
      </c>
      <c r="BN21" s="32" t="str">
        <f>+IF(Z21="","",INDEX('Modelo Optimización'!$AZ$4:$CO$149,MATCH(CONCATENATE(BN$7,$AT21),'Modelo Optimización'!$CQ$4:$CQ$149,0),MATCH($AS21,'Modelo Optimización'!$AZ$3:$CO$3,0)))</f>
        <v/>
      </c>
      <c r="BO21" s="32" t="str">
        <f>+IF(AA21="","",INDEX('Modelo Optimización'!$AZ$4:$CO$149,MATCH(CONCATENATE(BO$7,$AT21),'Modelo Optimización'!$CQ$4:$CQ$149,0),MATCH($AS21,'Modelo Optimización'!$AZ$3:$CO$3,0)))</f>
        <v/>
      </c>
      <c r="BP21" s="32" t="str">
        <f>+IF(AB21="","",INDEX('Modelo Optimización'!$AZ$4:$CO$149,MATCH(CONCATENATE(BP$7,$AT21),'Modelo Optimización'!$CQ$4:$CQ$149,0),MATCH($AS21,'Modelo Optimización'!$AZ$3:$CO$3,0)))</f>
        <v/>
      </c>
      <c r="BQ21" s="32" t="str">
        <f>+IF(AC21="","",INDEX('Modelo Optimización'!$AZ$4:$CO$149,MATCH(CONCATENATE(BQ$7,$AT21),'Modelo Optimización'!$CQ$4:$CQ$149,0),MATCH($AS21,'Modelo Optimización'!$AZ$3:$CO$3,0)))</f>
        <v/>
      </c>
      <c r="BR21" s="32" t="str">
        <f>+IF(AD21="","",INDEX('Modelo Optimización'!$AZ$4:$CO$149,MATCH(CONCATENATE(BR$7,$AT21),'Modelo Optimización'!$CQ$4:$CQ$149,0),MATCH($AS21,'Modelo Optimización'!$AZ$3:$CO$3,0)))</f>
        <v/>
      </c>
      <c r="BS21" s="32" t="str">
        <f>+IF(AE21="","",INDEX('Modelo Optimización'!$AZ$4:$CO$149,MATCH(CONCATENATE(BS$7,$AT21),'Modelo Optimización'!$CQ$4:$CQ$149,0),MATCH($AS21,'Modelo Optimización'!$AZ$3:$CO$3,0)))</f>
        <v/>
      </c>
      <c r="BT21" s="32" t="str">
        <f>+IF(AF21="","",INDEX('Modelo Optimización'!$AZ$4:$CO$149,MATCH(CONCATENATE(BT$7,$AT21),'Modelo Optimización'!$CQ$4:$CQ$149,0),MATCH($AS21,'Modelo Optimización'!$AZ$3:$CO$3,0)))</f>
        <v/>
      </c>
      <c r="BU21" s="32" t="str">
        <f>+IF(AG21="","",INDEX('Modelo Optimización'!$AZ$4:$CO$149,MATCH(CONCATENATE(BU$7,$AT21),'Modelo Optimización'!$CQ$4:$CQ$149,0),MATCH($AS21,'Modelo Optimización'!$AZ$3:$CO$3,0)))</f>
        <v/>
      </c>
      <c r="BV21" s="32" t="str">
        <f>+IF(AH21="","",INDEX('Modelo Optimización'!$AZ$4:$CO$149,MATCH(CONCATENATE(BV$7,$AT21),'Modelo Optimización'!$CQ$4:$CQ$149,0),MATCH($AS21,'Modelo Optimización'!$AZ$3:$CO$3,0)))</f>
        <v/>
      </c>
      <c r="BW21" s="32" t="str">
        <f>+IF(AI21="","",INDEX('Modelo Optimización'!$AZ$4:$CO$149,MATCH(CONCATENATE(BW$7,$AT21),'Modelo Optimización'!$CQ$4:$CQ$149,0),MATCH($AS21,'Modelo Optimización'!$AZ$3:$CO$3,0)))</f>
        <v/>
      </c>
      <c r="BX21" s="32" t="str">
        <f>+IF(AJ21="","",INDEX('Modelo Optimización'!$AZ$4:$CO$149,MATCH(CONCATENATE(BX$7,$AT21),'Modelo Optimización'!$CQ$4:$CQ$149,0),MATCH($AS21,'Modelo Optimización'!$AZ$3:$CO$3,0)))</f>
        <v/>
      </c>
      <c r="BY21" s="32" t="str">
        <f>+IF(AK21="","",INDEX('Modelo Optimización'!$AZ$4:$CO$149,MATCH(CONCATENATE(BY$7,$AT21),'Modelo Optimización'!$CQ$4:$CQ$149,0),MATCH($AS21,'Modelo Optimización'!$AZ$3:$CO$3,0)))</f>
        <v/>
      </c>
      <c r="BZ21" s="32" t="str">
        <f>+IF(AL21="","",INDEX('Modelo Optimización'!$AZ$4:$CO$149,MATCH(CONCATENATE(BZ$7,$AT21),'Modelo Optimización'!$CQ$4:$CQ$149,0),MATCH($AS21,'Modelo Optimización'!$AZ$3:$CO$3,0)))</f>
        <v/>
      </c>
      <c r="CA21" s="32" t="str">
        <f>+IF(AM21="","",INDEX('Modelo Optimización'!$AZ$4:$CO$149,MATCH(CONCATENATE(CA$7,$AT21),'Modelo Optimización'!$CQ$4:$CQ$149,0),MATCH($AS21,'Modelo Optimización'!$AZ$3:$CO$3,0)))</f>
        <v/>
      </c>
      <c r="CB21" s="32" t="str">
        <f>+IF(AN21="","",INDEX('Modelo Optimización'!$AZ$4:$CO$149,MATCH(CONCATENATE(CB$7,$AT21),'Modelo Optimización'!$CQ$4:$CQ$149,0),MATCH($AS21,'Modelo Optimización'!$AZ$3:$CO$3,0)))</f>
        <v/>
      </c>
      <c r="CC21" s="32" t="str">
        <f>+IF(AO21="","",INDEX('Modelo Optimización'!$AZ$4:$CO$149,MATCH(CONCATENATE(CC$7,$AT21),'Modelo Optimización'!$CQ$4:$CQ$149,0),MATCH($AS21,'Modelo Optimización'!$AZ$3:$CO$3,0)))</f>
        <v/>
      </c>
      <c r="CD21" s="32" t="str">
        <f>+IF(AP21="","",INDEX('Modelo Optimización'!$AZ$4:$CO$149,MATCH(CONCATENATE(CD$7,$AT21),'Modelo Optimización'!$CQ$4:$CQ$149,0),MATCH($AS21,'Modelo Optimización'!$AZ$3:$CO$3,0)))</f>
        <v/>
      </c>
      <c r="CE21" s="37" t="str">
        <f>+IF(AQ21="","",INDEX('Modelo Optimización'!$AZ$4:$CO$149,MATCH(CONCATENATE(CE$7,$AT21),'Modelo Optimización'!$CQ$4:$CQ$149,0),MATCH($AS21,'Modelo Optimización'!$AZ$3:$CO$3,0)))</f>
        <v/>
      </c>
      <c r="CF21" s="301"/>
      <c r="CG21" s="305" t="str">
        <f t="shared" si="11"/>
        <v/>
      </c>
      <c r="CH21" s="303" t="str">
        <f t="shared" si="7"/>
        <v/>
      </c>
      <c r="CI21" s="292" t="str">
        <f t="shared" si="8"/>
        <v/>
      </c>
      <c r="CJ21" s="36" t="str">
        <f t="shared" si="12"/>
        <v/>
      </c>
      <c r="CK21" s="32" t="str">
        <f t="shared" si="13"/>
        <v/>
      </c>
      <c r="CL21" s="32" t="str">
        <f t="shared" si="14"/>
        <v/>
      </c>
      <c r="CM21" s="32" t="str">
        <f t="shared" si="15"/>
        <v/>
      </c>
      <c r="CN21" s="32" t="str">
        <f t="shared" si="16"/>
        <v/>
      </c>
      <c r="CO21" s="32" t="str">
        <f t="shared" si="17"/>
        <v/>
      </c>
      <c r="CP21" s="32" t="str">
        <f t="shared" si="18"/>
        <v/>
      </c>
      <c r="CQ21" s="32" t="str">
        <f t="shared" si="19"/>
        <v/>
      </c>
      <c r="CR21" s="32" t="str">
        <f t="shared" si="20"/>
        <v/>
      </c>
      <c r="CS21" s="32" t="str">
        <f t="shared" si="21"/>
        <v/>
      </c>
      <c r="CT21" s="32" t="str">
        <f t="shared" si="22"/>
        <v/>
      </c>
      <c r="CU21" s="32" t="str">
        <f t="shared" si="23"/>
        <v/>
      </c>
      <c r="CV21" s="32" t="str">
        <f t="shared" si="24"/>
        <v/>
      </c>
      <c r="CW21" s="32" t="str">
        <f t="shared" si="25"/>
        <v/>
      </c>
      <c r="CX21" s="32" t="str">
        <f t="shared" si="26"/>
        <v/>
      </c>
      <c r="CY21" s="32" t="str">
        <f t="shared" si="27"/>
        <v/>
      </c>
      <c r="CZ21" s="32" t="str">
        <f t="shared" si="28"/>
        <v/>
      </c>
      <c r="DA21" s="32" t="str">
        <f t="shared" si="29"/>
        <v/>
      </c>
      <c r="DB21" s="32" t="str">
        <f t="shared" si="30"/>
        <v/>
      </c>
      <c r="DC21" s="32" t="str">
        <f t="shared" si="31"/>
        <v/>
      </c>
      <c r="DD21" s="32" t="str">
        <f t="shared" si="32"/>
        <v/>
      </c>
      <c r="DE21" s="32" t="str">
        <f t="shared" si="33"/>
        <v/>
      </c>
      <c r="DF21" s="32" t="str">
        <f t="shared" si="34"/>
        <v/>
      </c>
      <c r="DG21" s="32" t="str">
        <f t="shared" si="35"/>
        <v/>
      </c>
      <c r="DH21" s="32" t="str">
        <f t="shared" si="36"/>
        <v/>
      </c>
      <c r="DI21" s="32" t="str">
        <f t="shared" si="37"/>
        <v/>
      </c>
      <c r="DJ21" s="32" t="str">
        <f t="shared" si="38"/>
        <v/>
      </c>
      <c r="DK21" s="32" t="str">
        <f t="shared" si="39"/>
        <v/>
      </c>
      <c r="DL21" s="32" t="str">
        <f t="shared" si="40"/>
        <v/>
      </c>
      <c r="DM21" s="32" t="str">
        <f t="shared" si="41"/>
        <v/>
      </c>
      <c r="DN21" s="32" t="str">
        <f t="shared" si="42"/>
        <v/>
      </c>
      <c r="DO21" s="32" t="str">
        <f t="shared" si="43"/>
        <v/>
      </c>
      <c r="DP21" s="32" t="str">
        <f t="shared" si="44"/>
        <v/>
      </c>
      <c r="DQ21" s="32" t="str">
        <f t="shared" si="45"/>
        <v/>
      </c>
      <c r="DR21" s="32" t="str">
        <f t="shared" si="46"/>
        <v/>
      </c>
      <c r="DS21" s="32" t="str">
        <f t="shared" si="47"/>
        <v/>
      </c>
      <c r="DT21" s="37" t="str">
        <f t="shared" si="48"/>
        <v/>
      </c>
    </row>
    <row r="22" spans="2:124" x14ac:dyDescent="0.35">
      <c r="B22" s="46"/>
      <c r="C22" s="212"/>
      <c r="D22" s="52"/>
      <c r="E22" s="52" t="str">
        <f>+IF(B22="","",IFERROR(SUMIF('Modelo Optimización'!$AS$72:$AS$217,C22,INDEX('Modelo Optimización'!$C$72:$AR$217,,MATCH(B22,'Modelo Optimización'!$C$71:$AR$71,0))),0))</f>
        <v/>
      </c>
      <c r="F22" s="281" t="str">
        <f t="shared" si="10"/>
        <v/>
      </c>
      <c r="G22" s="280" t="str">
        <f>+IF(IF($B22="","",IFERROR(INDEX('Auxiliar Resultados'!$C$9:$BO$50,MATCH($B22,'Auxiliar Resultados'!$B$9:$B$50,0),MATCH(CONCATENATE($C22,G$7),'Auxiliar Resultados'!$C$6:$BO$6,0)),""))=0,"",IF($B22="","",IFERROR(INDEX('Auxiliar Resultados'!$C$9:$BO$50,MATCH($B22,'Auxiliar Resultados'!$B$9:$B$50,0),MATCH(CONCATENATE($C22,G$7),'Auxiliar Resultados'!$C$6:$BO$6,0)),"")))</f>
        <v/>
      </c>
      <c r="H22" s="52" t="str">
        <f>+IF(IF($B22="","",IFERROR(INDEX('Auxiliar Resultados'!$C$9:$BO$50,MATCH($B22,'Auxiliar Resultados'!$B$9:$B$50,0),MATCH(CONCATENATE($C22,H$7),'Auxiliar Resultados'!$C$6:$BO$6,0)),""))=0,"",IF($B22="","",IFERROR(INDEX('Auxiliar Resultados'!$C$9:$BO$50,MATCH($B22,'Auxiliar Resultados'!$B$9:$B$50,0),MATCH(CONCATENATE($C22,H$7),'Auxiliar Resultados'!$C$6:$BO$6,0)),"")))</f>
        <v/>
      </c>
      <c r="I22" s="52" t="str">
        <f>+IF(IF($B22="","",IFERROR(INDEX('Auxiliar Resultados'!$C$9:$BO$50,MATCH($B22,'Auxiliar Resultados'!$B$9:$B$50,0),MATCH(CONCATENATE($C22,I$7),'Auxiliar Resultados'!$C$6:$BO$6,0)),""))=0,"",IF($B22="","",IFERROR(INDEX('Auxiliar Resultados'!$C$9:$BO$50,MATCH($B22,'Auxiliar Resultados'!$B$9:$B$50,0),MATCH(CONCATENATE($C22,I$7),'Auxiliar Resultados'!$C$6:$BO$6,0)),"")))</f>
        <v/>
      </c>
      <c r="J22" s="52" t="str">
        <f>+IF(IF($B22="","",IFERROR(INDEX('Auxiliar Resultados'!$C$9:$BO$50,MATCH($B22,'Auxiliar Resultados'!$B$9:$B$50,0),MATCH(CONCATENATE($C22,J$7),'Auxiliar Resultados'!$C$6:$BO$6,0)),""))=0,"",IF($B22="","",IFERROR(INDEX('Auxiliar Resultados'!$C$9:$BO$50,MATCH($B22,'Auxiliar Resultados'!$B$9:$B$50,0),MATCH(CONCATENATE($C22,J$7),'Auxiliar Resultados'!$C$6:$BO$6,0)),"")))</f>
        <v/>
      </c>
      <c r="K22" s="52" t="str">
        <f>+IF(IF($B22="","",IFERROR(INDEX('Auxiliar Resultados'!$C$9:$BO$50,MATCH($B22,'Auxiliar Resultados'!$B$9:$B$50,0),MATCH(CONCATENATE($C22,K$7),'Auxiliar Resultados'!$C$6:$BO$6,0)),""))=0,"",IF($B22="","",IFERROR(INDEX('Auxiliar Resultados'!$C$9:$BO$50,MATCH($B22,'Auxiliar Resultados'!$B$9:$B$50,0),MATCH(CONCATENATE($C22,K$7),'Auxiliar Resultados'!$C$6:$BO$6,0)),"")))</f>
        <v/>
      </c>
      <c r="L22" s="52" t="str">
        <f>+IF(IF($B22="","",IFERROR(INDEX('Auxiliar Resultados'!$C$9:$BO$50,MATCH($B22,'Auxiliar Resultados'!$B$9:$B$50,0),MATCH(CONCATENATE($C22,L$7),'Auxiliar Resultados'!$C$6:$BO$6,0)),""))=0,"",IF($B22="","",IFERROR(INDEX('Auxiliar Resultados'!$C$9:$BO$50,MATCH($B22,'Auxiliar Resultados'!$B$9:$B$50,0),MATCH(CONCATENATE($C22,L$7),'Auxiliar Resultados'!$C$6:$BO$6,0)),"")))</f>
        <v/>
      </c>
      <c r="M22" s="52" t="str">
        <f>+IF(IF($B22="","",IFERROR(INDEX('Auxiliar Resultados'!$C$9:$BO$50,MATCH($B22,'Auxiliar Resultados'!$B$9:$B$50,0),MATCH(CONCATENATE($C22,M$7),'Auxiliar Resultados'!$C$6:$BO$6,0)),""))=0,"",IF($B22="","",IFERROR(INDEX('Auxiliar Resultados'!$C$9:$BO$50,MATCH($B22,'Auxiliar Resultados'!$B$9:$B$50,0),MATCH(CONCATENATE($C22,M$7),'Auxiliar Resultados'!$C$6:$BO$6,0)),"")))</f>
        <v/>
      </c>
      <c r="N22" s="52" t="str">
        <f>+IF(IF($B22="","",IFERROR(INDEX('Auxiliar Resultados'!$C$9:$BO$50,MATCH($B22,'Auxiliar Resultados'!$B$9:$B$50,0),MATCH(CONCATENATE($C22,N$7),'Auxiliar Resultados'!$C$6:$BO$6,0)),""))=0,"",IF($B22="","",IFERROR(INDEX('Auxiliar Resultados'!$C$9:$BO$50,MATCH($B22,'Auxiliar Resultados'!$B$9:$B$50,0),MATCH(CONCATENATE($C22,N$7),'Auxiliar Resultados'!$C$6:$BO$6,0)),"")))</f>
        <v/>
      </c>
      <c r="O22" s="52" t="str">
        <f>+IF(IF($B22="","",IFERROR(INDEX('Auxiliar Resultados'!$C$9:$BO$50,MATCH($B22,'Auxiliar Resultados'!$B$9:$B$50,0),MATCH(CONCATENATE($C22,O$7),'Auxiliar Resultados'!$C$6:$BO$6,0)),""))=0,"",IF($B22="","",IFERROR(INDEX('Auxiliar Resultados'!$C$9:$BO$50,MATCH($B22,'Auxiliar Resultados'!$B$9:$B$50,0),MATCH(CONCATENATE($C22,O$7),'Auxiliar Resultados'!$C$6:$BO$6,0)),"")))</f>
        <v/>
      </c>
      <c r="P22" s="52" t="str">
        <f>+IF(IF($B22="","",IFERROR(INDEX('Auxiliar Resultados'!$C$9:$BO$50,MATCH($B22,'Auxiliar Resultados'!$B$9:$B$50,0),MATCH(CONCATENATE($C22,P$7),'Auxiliar Resultados'!$C$6:$BO$6,0)),""))=0,"",IF($B22="","",IFERROR(INDEX('Auxiliar Resultados'!$C$9:$BO$50,MATCH($B22,'Auxiliar Resultados'!$B$9:$B$50,0),MATCH(CONCATENATE($C22,P$7),'Auxiliar Resultados'!$C$6:$BO$6,0)),"")))</f>
        <v/>
      </c>
      <c r="Q22" s="52" t="str">
        <f>+IF(IF($B22="","",IFERROR(INDEX('Auxiliar Resultados'!$C$9:$BO$50,MATCH($B22,'Auxiliar Resultados'!$B$9:$B$50,0),MATCH(CONCATENATE($C22,Q$7),'Auxiliar Resultados'!$C$6:$BO$6,0)),""))=0,"",IF($B22="","",IFERROR(INDEX('Auxiliar Resultados'!$C$9:$BO$50,MATCH($B22,'Auxiliar Resultados'!$B$9:$B$50,0),MATCH(CONCATENATE($C22,Q$7),'Auxiliar Resultados'!$C$6:$BO$6,0)),"")))</f>
        <v/>
      </c>
      <c r="R22" s="52" t="str">
        <f>+IF(IF($B22="","",IFERROR(INDEX('Auxiliar Resultados'!$C$9:$BO$50,MATCH($B22,'Auxiliar Resultados'!$B$9:$B$50,0),MATCH(CONCATENATE($C22,R$7),'Auxiliar Resultados'!$C$6:$BO$6,0)),""))=0,"",IF($B22="","",IFERROR(INDEX('Auxiliar Resultados'!$C$9:$BO$50,MATCH($B22,'Auxiliar Resultados'!$B$9:$B$50,0),MATCH(CONCATENATE($C22,R$7),'Auxiliar Resultados'!$C$6:$BO$6,0)),"")))</f>
        <v/>
      </c>
      <c r="S22" s="52" t="str">
        <f>+IF(IF($B22="","",IFERROR(INDEX('Auxiliar Resultados'!$C$9:$BO$50,MATCH($B22,'Auxiliar Resultados'!$B$9:$B$50,0),MATCH(CONCATENATE($C22,S$7),'Auxiliar Resultados'!$C$6:$BO$6,0)),""))=0,"",IF($B22="","",IFERROR(INDEX('Auxiliar Resultados'!$C$9:$BO$50,MATCH($B22,'Auxiliar Resultados'!$B$9:$B$50,0),MATCH(CONCATENATE($C22,S$7),'Auxiliar Resultados'!$C$6:$BO$6,0)),"")))</f>
        <v/>
      </c>
      <c r="T22" s="52" t="str">
        <f>+IF(IF($B22="","",IFERROR(INDEX('Auxiliar Resultados'!$C$9:$BO$50,MATCH($B22,'Auxiliar Resultados'!$B$9:$B$50,0),MATCH(CONCATENATE($C22,T$7),'Auxiliar Resultados'!$C$6:$BO$6,0)),""))=0,"",IF($B22="","",IFERROR(INDEX('Auxiliar Resultados'!$C$9:$BO$50,MATCH($B22,'Auxiliar Resultados'!$B$9:$B$50,0),MATCH(CONCATENATE($C22,T$7),'Auxiliar Resultados'!$C$6:$BO$6,0)),"")))</f>
        <v/>
      </c>
      <c r="U22" s="52" t="str">
        <f>+IF(IF($B22="","",IFERROR(INDEX('Auxiliar Resultados'!$C$9:$BO$50,MATCH($B22,'Auxiliar Resultados'!$B$9:$B$50,0),MATCH(CONCATENATE($C22,U$7),'Auxiliar Resultados'!$C$6:$BO$6,0)),""))=0,"",IF($B22="","",IFERROR(INDEX('Auxiliar Resultados'!$C$9:$BO$50,MATCH($B22,'Auxiliar Resultados'!$B$9:$B$50,0),MATCH(CONCATENATE($C22,U$7),'Auxiliar Resultados'!$C$6:$BO$6,0)),"")))</f>
        <v/>
      </c>
      <c r="V22" s="52" t="str">
        <f>+IF(IF($B22="","",IFERROR(INDEX('Auxiliar Resultados'!$C$9:$BO$50,MATCH($B22,'Auxiliar Resultados'!$B$9:$B$50,0),MATCH(CONCATENATE($C22,V$7),'Auxiliar Resultados'!$C$6:$BO$6,0)),""))=0,"",IF($B22="","",IFERROR(INDEX('Auxiliar Resultados'!$C$9:$BO$50,MATCH($B22,'Auxiliar Resultados'!$B$9:$B$50,0),MATCH(CONCATENATE($C22,V$7),'Auxiliar Resultados'!$C$6:$BO$6,0)),"")))</f>
        <v/>
      </c>
      <c r="W22" s="52" t="str">
        <f>+IF(IF($B22="","",IFERROR(INDEX('Auxiliar Resultados'!$C$9:$BO$50,MATCH($B22,'Auxiliar Resultados'!$B$9:$B$50,0),MATCH(CONCATENATE($C22,W$7),'Auxiliar Resultados'!$C$6:$BO$6,0)),""))=0,"",IF($B22="","",IFERROR(INDEX('Auxiliar Resultados'!$C$9:$BO$50,MATCH($B22,'Auxiliar Resultados'!$B$9:$B$50,0),MATCH(CONCATENATE($C22,W$7),'Auxiliar Resultados'!$C$6:$BO$6,0)),"")))</f>
        <v/>
      </c>
      <c r="X22" s="52" t="str">
        <f>+IF(IF($B22="","",IFERROR(INDEX('Auxiliar Resultados'!$C$9:$BO$50,MATCH($B22,'Auxiliar Resultados'!$B$9:$B$50,0),MATCH(CONCATENATE($C22,X$7),'Auxiliar Resultados'!$C$6:$BO$6,0)),""))=0,"",IF($B22="","",IFERROR(INDEX('Auxiliar Resultados'!$C$9:$BO$50,MATCH($B22,'Auxiliar Resultados'!$B$9:$B$50,0),MATCH(CONCATENATE($C22,X$7),'Auxiliar Resultados'!$C$6:$BO$6,0)),"")))</f>
        <v/>
      </c>
      <c r="Y22" s="52" t="str">
        <f>+IF(IF($B22="","",IFERROR(INDEX('Auxiliar Resultados'!$C$9:$BO$50,MATCH($B22,'Auxiliar Resultados'!$B$9:$B$50,0),MATCH(CONCATENATE($C22,Y$7),'Auxiliar Resultados'!$C$6:$BO$6,0)),""))=0,"",IF($B22="","",IFERROR(INDEX('Auxiliar Resultados'!$C$9:$BO$50,MATCH($B22,'Auxiliar Resultados'!$B$9:$B$50,0),MATCH(CONCATENATE($C22,Y$7),'Auxiliar Resultados'!$C$6:$BO$6,0)),"")))</f>
        <v/>
      </c>
      <c r="Z22" s="52" t="str">
        <f>+IF(IF($B22="","",IFERROR(INDEX('Auxiliar Resultados'!$C$9:$BO$50,MATCH($B22,'Auxiliar Resultados'!$B$9:$B$50,0),MATCH(CONCATENATE($C22,Z$7),'Auxiliar Resultados'!$C$6:$BO$6,0)),""))=0,"",IF($B22="","",IFERROR(INDEX('Auxiliar Resultados'!$C$9:$BO$50,MATCH($B22,'Auxiliar Resultados'!$B$9:$B$50,0),MATCH(CONCATENATE($C22,Z$7),'Auxiliar Resultados'!$C$6:$BO$6,0)),"")))</f>
        <v/>
      </c>
      <c r="AA22" s="52" t="str">
        <f>+IF(IF($B22="","",IFERROR(INDEX('Auxiliar Resultados'!$C$9:$BO$50,MATCH($B22,'Auxiliar Resultados'!$B$9:$B$50,0),MATCH(CONCATENATE($C22,AA$7),'Auxiliar Resultados'!$C$6:$BO$6,0)),""))=0,"",IF($B22="","",IFERROR(INDEX('Auxiliar Resultados'!$C$9:$BO$50,MATCH($B22,'Auxiliar Resultados'!$B$9:$B$50,0),MATCH(CONCATENATE($C22,AA$7),'Auxiliar Resultados'!$C$6:$BO$6,0)),"")))</f>
        <v/>
      </c>
      <c r="AB22" s="52" t="str">
        <f>+IF(IF($B22="","",IFERROR(INDEX('Auxiliar Resultados'!$C$9:$BO$50,MATCH($B22,'Auxiliar Resultados'!$B$9:$B$50,0),MATCH(CONCATENATE($C22,AB$7),'Auxiliar Resultados'!$C$6:$BO$6,0)),""))=0,"",IF($B22="","",IFERROR(INDEX('Auxiliar Resultados'!$C$9:$BO$50,MATCH($B22,'Auxiliar Resultados'!$B$9:$B$50,0),MATCH(CONCATENATE($C22,AB$7),'Auxiliar Resultados'!$C$6:$BO$6,0)),"")))</f>
        <v/>
      </c>
      <c r="AC22" s="52" t="str">
        <f>+IF(IF($B22="","",IFERROR(INDEX('Auxiliar Resultados'!$C$9:$BO$50,MATCH($B22,'Auxiliar Resultados'!$B$9:$B$50,0),MATCH(CONCATENATE($C22,AC$7),'Auxiliar Resultados'!$C$6:$BO$6,0)),""))=0,"",IF($B22="","",IFERROR(INDEX('Auxiliar Resultados'!$C$9:$BO$50,MATCH($B22,'Auxiliar Resultados'!$B$9:$B$50,0),MATCH(CONCATENATE($C22,AC$7),'Auxiliar Resultados'!$C$6:$BO$6,0)),"")))</f>
        <v/>
      </c>
      <c r="AD22" s="52" t="str">
        <f>+IF(IF($B22="","",IFERROR(INDEX('Auxiliar Resultados'!$C$9:$BO$50,MATCH($B22,'Auxiliar Resultados'!$B$9:$B$50,0),MATCH(CONCATENATE($C22,AD$7),'Auxiliar Resultados'!$C$6:$BO$6,0)),""))=0,"",IF($B22="","",IFERROR(INDEX('Auxiliar Resultados'!$C$9:$BO$50,MATCH($B22,'Auxiliar Resultados'!$B$9:$B$50,0),MATCH(CONCATENATE($C22,AD$7),'Auxiliar Resultados'!$C$6:$BO$6,0)),"")))</f>
        <v/>
      </c>
      <c r="AE22" s="52" t="str">
        <f>+IF(IF($B22="","",IFERROR(INDEX('Auxiliar Resultados'!$C$9:$BO$50,MATCH($B22,'Auxiliar Resultados'!$B$9:$B$50,0),MATCH(CONCATENATE($C22,AE$7),'Auxiliar Resultados'!$C$6:$BO$6,0)),""))=0,"",IF($B22="","",IFERROR(INDEX('Auxiliar Resultados'!$C$9:$BO$50,MATCH($B22,'Auxiliar Resultados'!$B$9:$B$50,0),MATCH(CONCATENATE($C22,AE$7),'Auxiliar Resultados'!$C$6:$BO$6,0)),"")))</f>
        <v/>
      </c>
      <c r="AF22" s="52" t="str">
        <f>+IF(IF($B22="","",IFERROR(INDEX('Auxiliar Resultados'!$C$9:$BO$50,MATCH($B22,'Auxiliar Resultados'!$B$9:$B$50,0),MATCH(CONCATENATE($C22,AF$7),'Auxiliar Resultados'!$C$6:$BO$6,0)),""))=0,"",IF($B22="","",IFERROR(INDEX('Auxiliar Resultados'!$C$9:$BO$50,MATCH($B22,'Auxiliar Resultados'!$B$9:$B$50,0),MATCH(CONCATENATE($C22,AF$7),'Auxiliar Resultados'!$C$6:$BO$6,0)),"")))</f>
        <v/>
      </c>
      <c r="AG22" s="52" t="str">
        <f>+IF(IF($B22="","",IFERROR(INDEX('Auxiliar Resultados'!$C$9:$BO$50,MATCH($B22,'Auxiliar Resultados'!$B$9:$B$50,0),MATCH(CONCATENATE($C22,AG$7),'Auxiliar Resultados'!$C$6:$BO$6,0)),""))=0,"",IF($B22="","",IFERROR(INDEX('Auxiliar Resultados'!$C$9:$BO$50,MATCH($B22,'Auxiliar Resultados'!$B$9:$B$50,0),MATCH(CONCATENATE($C22,AG$7),'Auxiliar Resultados'!$C$6:$BO$6,0)),"")))</f>
        <v/>
      </c>
      <c r="AH22" s="52" t="str">
        <f>+IF(IF($B22="","",IFERROR(INDEX('Auxiliar Resultados'!$C$9:$BO$50,MATCH($B22,'Auxiliar Resultados'!$B$9:$B$50,0),MATCH(CONCATENATE($C22,AH$7),'Auxiliar Resultados'!$C$6:$BO$6,0)),""))=0,"",IF($B22="","",IFERROR(INDEX('Auxiliar Resultados'!$C$9:$BO$50,MATCH($B22,'Auxiliar Resultados'!$B$9:$B$50,0),MATCH(CONCATENATE($C22,AH$7),'Auxiliar Resultados'!$C$6:$BO$6,0)),"")))</f>
        <v/>
      </c>
      <c r="AI22" s="52" t="str">
        <f>+IF(IF($B22="","",IFERROR(INDEX('Auxiliar Resultados'!$C$9:$BO$50,MATCH($B22,'Auxiliar Resultados'!$B$9:$B$50,0),MATCH(CONCATENATE($C22,AI$7),'Auxiliar Resultados'!$C$6:$BO$6,0)),""))=0,"",IF($B22="","",IFERROR(INDEX('Auxiliar Resultados'!$C$9:$BO$50,MATCH($B22,'Auxiliar Resultados'!$B$9:$B$50,0),MATCH(CONCATENATE($C22,AI$7),'Auxiliar Resultados'!$C$6:$BO$6,0)),"")))</f>
        <v/>
      </c>
      <c r="AJ22" s="52" t="str">
        <f>+IF(IF($B22="","",IFERROR(INDEX('Auxiliar Resultados'!$C$9:$BO$50,MATCH($B22,'Auxiliar Resultados'!$B$9:$B$50,0),MATCH(CONCATENATE($C22,AJ$7),'Auxiliar Resultados'!$C$6:$BO$6,0)),""))=0,"",IF($B22="","",IFERROR(INDEX('Auxiliar Resultados'!$C$9:$BO$50,MATCH($B22,'Auxiliar Resultados'!$B$9:$B$50,0),MATCH(CONCATENATE($C22,AJ$7),'Auxiliar Resultados'!$C$6:$BO$6,0)),"")))</f>
        <v/>
      </c>
      <c r="AK22" s="52" t="str">
        <f>+IF(IF($B22="","",IFERROR(INDEX('Auxiliar Resultados'!$C$9:$BO$50,MATCH($B22,'Auxiliar Resultados'!$B$9:$B$50,0),MATCH(CONCATENATE($C22,AK$7),'Auxiliar Resultados'!$C$6:$BO$6,0)),""))=0,"",IF($B22="","",IFERROR(INDEX('Auxiliar Resultados'!$C$9:$BO$50,MATCH($B22,'Auxiliar Resultados'!$B$9:$B$50,0),MATCH(CONCATENATE($C22,AK$7),'Auxiliar Resultados'!$C$6:$BO$6,0)),"")))</f>
        <v/>
      </c>
      <c r="AL22" s="52" t="str">
        <f>+IF(IF($B22="","",IFERROR(INDEX('Auxiliar Resultados'!$C$9:$BO$50,MATCH($B22,'Auxiliar Resultados'!$B$9:$B$50,0),MATCH(CONCATENATE($C22,AL$7),'Auxiliar Resultados'!$C$6:$BO$6,0)),""))=0,"",IF($B22="","",IFERROR(INDEX('Auxiliar Resultados'!$C$9:$BO$50,MATCH($B22,'Auxiliar Resultados'!$B$9:$B$50,0),MATCH(CONCATENATE($C22,AL$7),'Auxiliar Resultados'!$C$6:$BO$6,0)),"")))</f>
        <v/>
      </c>
      <c r="AM22" s="52" t="str">
        <f>+IF(IF($B22="","",IFERROR(INDEX('Auxiliar Resultados'!$C$9:$BO$50,MATCH($B22,'Auxiliar Resultados'!$B$9:$B$50,0),MATCH(CONCATENATE($C22,AM$7),'Auxiliar Resultados'!$C$6:$BO$6,0)),""))=0,"",IF($B22="","",IFERROR(INDEX('Auxiliar Resultados'!$C$9:$BO$50,MATCH($B22,'Auxiliar Resultados'!$B$9:$B$50,0),MATCH(CONCATENATE($C22,AM$7),'Auxiliar Resultados'!$C$6:$BO$6,0)),"")))</f>
        <v/>
      </c>
      <c r="AN22" s="52" t="str">
        <f>+IF(IF($B22="","",IFERROR(INDEX('Auxiliar Resultados'!$C$9:$BO$50,MATCH($B22,'Auxiliar Resultados'!$B$9:$B$50,0),MATCH(CONCATENATE($C22,AN$7),'Auxiliar Resultados'!$C$6:$BO$6,0)),""))=0,"",IF($B22="","",IFERROR(INDEX('Auxiliar Resultados'!$C$9:$BO$50,MATCH($B22,'Auxiliar Resultados'!$B$9:$B$50,0),MATCH(CONCATENATE($C22,AN$7),'Auxiliar Resultados'!$C$6:$BO$6,0)),"")))</f>
        <v/>
      </c>
      <c r="AO22" s="52" t="str">
        <f>+IF(IF($B22="","",IFERROR(INDEX('Auxiliar Resultados'!$C$9:$BO$50,MATCH($B22,'Auxiliar Resultados'!$B$9:$B$50,0),MATCH(CONCATENATE($C22,AO$7),'Auxiliar Resultados'!$C$6:$BO$6,0)),""))=0,"",IF($B22="","",IFERROR(INDEX('Auxiliar Resultados'!$C$9:$BO$50,MATCH($B22,'Auxiliar Resultados'!$B$9:$B$50,0),MATCH(CONCATENATE($C22,AO$7),'Auxiliar Resultados'!$C$6:$BO$6,0)),"")))</f>
        <v/>
      </c>
      <c r="AP22" s="52" t="str">
        <f>+IF(IF($B22="","",IFERROR(INDEX('Auxiliar Resultados'!$C$9:$BO$50,MATCH($B22,'Auxiliar Resultados'!$B$9:$B$50,0),MATCH(CONCATENATE($C22,AP$7),'Auxiliar Resultados'!$C$6:$BO$6,0)),""))=0,"",IF($B22="","",IFERROR(INDEX('Auxiliar Resultados'!$C$9:$BO$50,MATCH($B22,'Auxiliar Resultados'!$B$9:$B$50,0),MATCH(CONCATENATE($C22,AP$7),'Auxiliar Resultados'!$C$6:$BO$6,0)),"")))</f>
        <v/>
      </c>
      <c r="AQ22" s="276" t="str">
        <f>+IF(IF($B22="","",IFERROR(INDEX('Auxiliar Resultados'!$C$9:$BO$50,MATCH($B22,'Auxiliar Resultados'!$B$9:$B$50,0),MATCH(CONCATENATE($C22,AQ$7),'Auxiliar Resultados'!$C$6:$BO$6,0)),""))=0,"",IF($B22="","",IFERROR(INDEX('Auxiliar Resultados'!$C$9:$BO$50,MATCH($B22,'Auxiliar Resultados'!$B$9:$B$50,0),MATCH(CONCATENATE($C22,AQ$7),'Auxiliar Resultados'!$C$6:$BO$6,0)),"")))</f>
        <v/>
      </c>
      <c r="AS22" s="46" t="str">
        <f t="shared" si="5"/>
        <v/>
      </c>
      <c r="AT22" s="292" t="str">
        <f t="shared" si="6"/>
        <v/>
      </c>
      <c r="AU22" s="36" t="str">
        <f>+IF(G22="","",INDEX('Modelo Optimización'!$AZ$4:$CO$149,MATCH(CONCATENATE(AU$7,$AT22),'Modelo Optimización'!$CQ$4:$CQ$149,0),MATCH($AS22,'Modelo Optimización'!$AZ$3:$CO$3,0)))</f>
        <v/>
      </c>
      <c r="AV22" s="32" t="str">
        <f>+IF(H22="","",INDEX('Modelo Optimización'!$AZ$4:$CO$149,MATCH(CONCATENATE(AV$7,$AT22),'Modelo Optimización'!$CQ$4:$CQ$149,0),MATCH($AS22,'Modelo Optimización'!$AZ$3:$CO$3,0)))</f>
        <v/>
      </c>
      <c r="AW22" s="32" t="str">
        <f>+IF(I22="","",INDEX('Modelo Optimización'!$AZ$4:$CO$149,MATCH(CONCATENATE(AW$7,$AT22),'Modelo Optimización'!$CQ$4:$CQ$149,0),MATCH($AS22,'Modelo Optimización'!$AZ$3:$CO$3,0)))</f>
        <v/>
      </c>
      <c r="AX22" s="32" t="str">
        <f>+IF(J22="","",INDEX('Modelo Optimización'!$AZ$4:$CO$149,MATCH(CONCATENATE(AX$7,$AT22),'Modelo Optimización'!$CQ$4:$CQ$149,0),MATCH($AS22,'Modelo Optimización'!$AZ$3:$CO$3,0)))</f>
        <v/>
      </c>
      <c r="AY22" s="32" t="str">
        <f>+IF(K22="","",INDEX('Modelo Optimización'!$AZ$4:$CO$149,MATCH(CONCATENATE(AY$7,$AT22),'Modelo Optimización'!$CQ$4:$CQ$149,0),MATCH($AS22,'Modelo Optimización'!$AZ$3:$CO$3,0)))</f>
        <v/>
      </c>
      <c r="AZ22" s="32" t="str">
        <f>+IF(L22="","",INDEX('Modelo Optimización'!$AZ$4:$CO$149,MATCH(CONCATENATE(AZ$7,$AT22),'Modelo Optimización'!$CQ$4:$CQ$149,0),MATCH($AS22,'Modelo Optimización'!$AZ$3:$CO$3,0)))</f>
        <v/>
      </c>
      <c r="BA22" s="32" t="str">
        <f>+IF(M22="","",INDEX('Modelo Optimización'!$AZ$4:$CO$149,MATCH(CONCATENATE(BA$7,$AT22),'Modelo Optimización'!$CQ$4:$CQ$149,0),MATCH($AS22,'Modelo Optimización'!$AZ$3:$CO$3,0)))</f>
        <v/>
      </c>
      <c r="BB22" s="32" t="str">
        <f>+IF(N22="","",INDEX('Modelo Optimización'!$AZ$4:$CO$149,MATCH(CONCATENATE(BB$7,$AT22),'Modelo Optimización'!$CQ$4:$CQ$149,0),MATCH($AS22,'Modelo Optimización'!$AZ$3:$CO$3,0)))</f>
        <v/>
      </c>
      <c r="BC22" s="32" t="str">
        <f>+IF(O22="","",INDEX('Modelo Optimización'!$AZ$4:$CO$149,MATCH(CONCATENATE(BC$7,$AT22),'Modelo Optimización'!$CQ$4:$CQ$149,0),MATCH($AS22,'Modelo Optimización'!$AZ$3:$CO$3,0)))</f>
        <v/>
      </c>
      <c r="BD22" s="32" t="str">
        <f>+IF(P22="","",INDEX('Modelo Optimización'!$AZ$4:$CO$149,MATCH(CONCATENATE(BD$7,$AT22),'Modelo Optimización'!$CQ$4:$CQ$149,0),MATCH($AS22,'Modelo Optimización'!$AZ$3:$CO$3,0)))</f>
        <v/>
      </c>
      <c r="BE22" s="32" t="str">
        <f>+IF(Q22="","",INDEX('Modelo Optimización'!$AZ$4:$CO$149,MATCH(CONCATENATE(BE$7,$AT22),'Modelo Optimización'!$CQ$4:$CQ$149,0),MATCH($AS22,'Modelo Optimización'!$AZ$3:$CO$3,0)))</f>
        <v/>
      </c>
      <c r="BF22" s="32" t="str">
        <f>+IF(R22="","",INDEX('Modelo Optimización'!$AZ$4:$CO$149,MATCH(CONCATENATE(BF$7,$AT22),'Modelo Optimización'!$CQ$4:$CQ$149,0),MATCH($AS22,'Modelo Optimización'!$AZ$3:$CO$3,0)))</f>
        <v/>
      </c>
      <c r="BG22" s="32" t="str">
        <f>+IF(S22="","",INDEX('Modelo Optimización'!$AZ$4:$CO$149,MATCH(CONCATENATE(BG$7,$AT22),'Modelo Optimización'!$CQ$4:$CQ$149,0),MATCH($AS22,'Modelo Optimización'!$AZ$3:$CO$3,0)))</f>
        <v/>
      </c>
      <c r="BH22" s="32" t="str">
        <f>+IF(T22="","",INDEX('Modelo Optimización'!$AZ$4:$CO$149,MATCH(CONCATENATE(BH$7,$AT22),'Modelo Optimización'!$CQ$4:$CQ$149,0),MATCH($AS22,'Modelo Optimización'!$AZ$3:$CO$3,0)))</f>
        <v/>
      </c>
      <c r="BI22" s="32" t="str">
        <f>+IF(U22="","",INDEX('Modelo Optimización'!$AZ$4:$CO$149,MATCH(CONCATENATE(BI$7,$AT22),'Modelo Optimización'!$CQ$4:$CQ$149,0),MATCH($AS22,'Modelo Optimización'!$AZ$3:$CO$3,0)))</f>
        <v/>
      </c>
      <c r="BJ22" s="32" t="str">
        <f>+IF(V22="","",INDEX('Modelo Optimización'!$AZ$4:$CO$149,MATCH(CONCATENATE(BJ$7,$AT22),'Modelo Optimización'!$CQ$4:$CQ$149,0),MATCH($AS22,'Modelo Optimización'!$AZ$3:$CO$3,0)))</f>
        <v/>
      </c>
      <c r="BK22" s="32" t="str">
        <f>+IF(W22="","",INDEX('Modelo Optimización'!$AZ$4:$CO$149,MATCH(CONCATENATE(BK$7,$AT22),'Modelo Optimización'!$CQ$4:$CQ$149,0),MATCH($AS22,'Modelo Optimización'!$AZ$3:$CO$3,0)))</f>
        <v/>
      </c>
      <c r="BL22" s="32" t="str">
        <f>+IF(X22="","",INDEX('Modelo Optimización'!$AZ$4:$CO$149,MATCH(CONCATENATE(BL$7,$AT22),'Modelo Optimización'!$CQ$4:$CQ$149,0),MATCH($AS22,'Modelo Optimización'!$AZ$3:$CO$3,0)))</f>
        <v/>
      </c>
      <c r="BM22" s="32" t="str">
        <f>+IF(Y22="","",INDEX('Modelo Optimización'!$AZ$4:$CO$149,MATCH(CONCATENATE(BM$7,$AT22),'Modelo Optimización'!$CQ$4:$CQ$149,0),MATCH($AS22,'Modelo Optimización'!$AZ$3:$CO$3,0)))</f>
        <v/>
      </c>
      <c r="BN22" s="32" t="str">
        <f>+IF(Z22="","",INDEX('Modelo Optimización'!$AZ$4:$CO$149,MATCH(CONCATENATE(BN$7,$AT22),'Modelo Optimización'!$CQ$4:$CQ$149,0),MATCH($AS22,'Modelo Optimización'!$AZ$3:$CO$3,0)))</f>
        <v/>
      </c>
      <c r="BO22" s="32" t="str">
        <f>+IF(AA22="","",INDEX('Modelo Optimización'!$AZ$4:$CO$149,MATCH(CONCATENATE(BO$7,$AT22),'Modelo Optimización'!$CQ$4:$CQ$149,0),MATCH($AS22,'Modelo Optimización'!$AZ$3:$CO$3,0)))</f>
        <v/>
      </c>
      <c r="BP22" s="32" t="str">
        <f>+IF(AB22="","",INDEX('Modelo Optimización'!$AZ$4:$CO$149,MATCH(CONCATENATE(BP$7,$AT22),'Modelo Optimización'!$CQ$4:$CQ$149,0),MATCH($AS22,'Modelo Optimización'!$AZ$3:$CO$3,0)))</f>
        <v/>
      </c>
      <c r="BQ22" s="32" t="str">
        <f>+IF(AC22="","",INDEX('Modelo Optimización'!$AZ$4:$CO$149,MATCH(CONCATENATE(BQ$7,$AT22),'Modelo Optimización'!$CQ$4:$CQ$149,0),MATCH($AS22,'Modelo Optimización'!$AZ$3:$CO$3,0)))</f>
        <v/>
      </c>
      <c r="BR22" s="32" t="str">
        <f>+IF(AD22="","",INDEX('Modelo Optimización'!$AZ$4:$CO$149,MATCH(CONCATENATE(BR$7,$AT22),'Modelo Optimización'!$CQ$4:$CQ$149,0),MATCH($AS22,'Modelo Optimización'!$AZ$3:$CO$3,0)))</f>
        <v/>
      </c>
      <c r="BS22" s="32" t="str">
        <f>+IF(AE22="","",INDEX('Modelo Optimización'!$AZ$4:$CO$149,MATCH(CONCATENATE(BS$7,$AT22),'Modelo Optimización'!$CQ$4:$CQ$149,0),MATCH($AS22,'Modelo Optimización'!$AZ$3:$CO$3,0)))</f>
        <v/>
      </c>
      <c r="BT22" s="32" t="str">
        <f>+IF(AF22="","",INDEX('Modelo Optimización'!$AZ$4:$CO$149,MATCH(CONCATENATE(BT$7,$AT22),'Modelo Optimización'!$CQ$4:$CQ$149,0),MATCH($AS22,'Modelo Optimización'!$AZ$3:$CO$3,0)))</f>
        <v/>
      </c>
      <c r="BU22" s="32" t="str">
        <f>+IF(AG22="","",INDEX('Modelo Optimización'!$AZ$4:$CO$149,MATCH(CONCATENATE(BU$7,$AT22),'Modelo Optimización'!$CQ$4:$CQ$149,0),MATCH($AS22,'Modelo Optimización'!$AZ$3:$CO$3,0)))</f>
        <v/>
      </c>
      <c r="BV22" s="32" t="str">
        <f>+IF(AH22="","",INDEX('Modelo Optimización'!$AZ$4:$CO$149,MATCH(CONCATENATE(BV$7,$AT22),'Modelo Optimización'!$CQ$4:$CQ$149,0),MATCH($AS22,'Modelo Optimización'!$AZ$3:$CO$3,0)))</f>
        <v/>
      </c>
      <c r="BW22" s="32" t="str">
        <f>+IF(AI22="","",INDEX('Modelo Optimización'!$AZ$4:$CO$149,MATCH(CONCATENATE(BW$7,$AT22),'Modelo Optimización'!$CQ$4:$CQ$149,0),MATCH($AS22,'Modelo Optimización'!$AZ$3:$CO$3,0)))</f>
        <v/>
      </c>
      <c r="BX22" s="32" t="str">
        <f>+IF(AJ22="","",INDEX('Modelo Optimización'!$AZ$4:$CO$149,MATCH(CONCATENATE(BX$7,$AT22),'Modelo Optimización'!$CQ$4:$CQ$149,0),MATCH($AS22,'Modelo Optimización'!$AZ$3:$CO$3,0)))</f>
        <v/>
      </c>
      <c r="BY22" s="32" t="str">
        <f>+IF(AK22="","",INDEX('Modelo Optimización'!$AZ$4:$CO$149,MATCH(CONCATENATE(BY$7,$AT22),'Modelo Optimización'!$CQ$4:$CQ$149,0),MATCH($AS22,'Modelo Optimización'!$AZ$3:$CO$3,0)))</f>
        <v/>
      </c>
      <c r="BZ22" s="32" t="str">
        <f>+IF(AL22="","",INDEX('Modelo Optimización'!$AZ$4:$CO$149,MATCH(CONCATENATE(BZ$7,$AT22),'Modelo Optimización'!$CQ$4:$CQ$149,0),MATCH($AS22,'Modelo Optimización'!$AZ$3:$CO$3,0)))</f>
        <v/>
      </c>
      <c r="CA22" s="32" t="str">
        <f>+IF(AM22="","",INDEX('Modelo Optimización'!$AZ$4:$CO$149,MATCH(CONCATENATE(CA$7,$AT22),'Modelo Optimización'!$CQ$4:$CQ$149,0),MATCH($AS22,'Modelo Optimización'!$AZ$3:$CO$3,0)))</f>
        <v/>
      </c>
      <c r="CB22" s="32" t="str">
        <f>+IF(AN22="","",INDEX('Modelo Optimización'!$AZ$4:$CO$149,MATCH(CONCATENATE(CB$7,$AT22),'Modelo Optimización'!$CQ$4:$CQ$149,0),MATCH($AS22,'Modelo Optimización'!$AZ$3:$CO$3,0)))</f>
        <v/>
      </c>
      <c r="CC22" s="32" t="str">
        <f>+IF(AO22="","",INDEX('Modelo Optimización'!$AZ$4:$CO$149,MATCH(CONCATENATE(CC$7,$AT22),'Modelo Optimización'!$CQ$4:$CQ$149,0),MATCH($AS22,'Modelo Optimización'!$AZ$3:$CO$3,0)))</f>
        <v/>
      </c>
      <c r="CD22" s="32" t="str">
        <f>+IF(AP22="","",INDEX('Modelo Optimización'!$AZ$4:$CO$149,MATCH(CONCATENATE(CD$7,$AT22),'Modelo Optimización'!$CQ$4:$CQ$149,0),MATCH($AS22,'Modelo Optimización'!$AZ$3:$CO$3,0)))</f>
        <v/>
      </c>
      <c r="CE22" s="37" t="str">
        <f>+IF(AQ22="","",INDEX('Modelo Optimización'!$AZ$4:$CO$149,MATCH(CONCATENATE(CE$7,$AT22),'Modelo Optimización'!$CQ$4:$CQ$149,0),MATCH($AS22,'Modelo Optimización'!$AZ$3:$CO$3,0)))</f>
        <v/>
      </c>
      <c r="CF22" s="301"/>
      <c r="CG22" s="305" t="str">
        <f t="shared" si="11"/>
        <v/>
      </c>
      <c r="CH22" s="303" t="str">
        <f t="shared" si="7"/>
        <v/>
      </c>
      <c r="CI22" s="292" t="str">
        <f t="shared" si="8"/>
        <v/>
      </c>
      <c r="CJ22" s="36" t="str">
        <f t="shared" si="12"/>
        <v/>
      </c>
      <c r="CK22" s="32" t="str">
        <f t="shared" si="13"/>
        <v/>
      </c>
      <c r="CL22" s="32" t="str">
        <f t="shared" si="14"/>
        <v/>
      </c>
      <c r="CM22" s="32" t="str">
        <f t="shared" si="15"/>
        <v/>
      </c>
      <c r="CN22" s="32" t="str">
        <f t="shared" si="16"/>
        <v/>
      </c>
      <c r="CO22" s="32" t="str">
        <f t="shared" si="17"/>
        <v/>
      </c>
      <c r="CP22" s="32" t="str">
        <f t="shared" si="18"/>
        <v/>
      </c>
      <c r="CQ22" s="32" t="str">
        <f t="shared" si="19"/>
        <v/>
      </c>
      <c r="CR22" s="32" t="str">
        <f t="shared" si="20"/>
        <v/>
      </c>
      <c r="CS22" s="32" t="str">
        <f t="shared" si="21"/>
        <v/>
      </c>
      <c r="CT22" s="32" t="str">
        <f t="shared" si="22"/>
        <v/>
      </c>
      <c r="CU22" s="32" t="str">
        <f t="shared" si="23"/>
        <v/>
      </c>
      <c r="CV22" s="32" t="str">
        <f t="shared" si="24"/>
        <v/>
      </c>
      <c r="CW22" s="32" t="str">
        <f t="shared" si="25"/>
        <v/>
      </c>
      <c r="CX22" s="32" t="str">
        <f t="shared" si="26"/>
        <v/>
      </c>
      <c r="CY22" s="32" t="str">
        <f t="shared" si="27"/>
        <v/>
      </c>
      <c r="CZ22" s="32" t="str">
        <f t="shared" si="28"/>
        <v/>
      </c>
      <c r="DA22" s="32" t="str">
        <f t="shared" si="29"/>
        <v/>
      </c>
      <c r="DB22" s="32" t="str">
        <f t="shared" si="30"/>
        <v/>
      </c>
      <c r="DC22" s="32" t="str">
        <f t="shared" si="31"/>
        <v/>
      </c>
      <c r="DD22" s="32" t="str">
        <f t="shared" si="32"/>
        <v/>
      </c>
      <c r="DE22" s="32" t="str">
        <f t="shared" si="33"/>
        <v/>
      </c>
      <c r="DF22" s="32" t="str">
        <f t="shared" si="34"/>
        <v/>
      </c>
      <c r="DG22" s="32" t="str">
        <f t="shared" si="35"/>
        <v/>
      </c>
      <c r="DH22" s="32" t="str">
        <f t="shared" si="36"/>
        <v/>
      </c>
      <c r="DI22" s="32" t="str">
        <f t="shared" si="37"/>
        <v/>
      </c>
      <c r="DJ22" s="32" t="str">
        <f t="shared" si="38"/>
        <v/>
      </c>
      <c r="DK22" s="32" t="str">
        <f t="shared" si="39"/>
        <v/>
      </c>
      <c r="DL22" s="32" t="str">
        <f t="shared" si="40"/>
        <v/>
      </c>
      <c r="DM22" s="32" t="str">
        <f t="shared" si="41"/>
        <v/>
      </c>
      <c r="DN22" s="32" t="str">
        <f t="shared" si="42"/>
        <v/>
      </c>
      <c r="DO22" s="32" t="str">
        <f t="shared" si="43"/>
        <v/>
      </c>
      <c r="DP22" s="32" t="str">
        <f t="shared" si="44"/>
        <v/>
      </c>
      <c r="DQ22" s="32" t="str">
        <f t="shared" si="45"/>
        <v/>
      </c>
      <c r="DR22" s="32" t="str">
        <f t="shared" si="46"/>
        <v/>
      </c>
      <c r="DS22" s="32" t="str">
        <f t="shared" si="47"/>
        <v/>
      </c>
      <c r="DT22" s="37" t="str">
        <f t="shared" si="48"/>
        <v/>
      </c>
    </row>
    <row r="23" spans="2:124" x14ac:dyDescent="0.35">
      <c r="B23" s="46"/>
      <c r="C23" s="212"/>
      <c r="D23" s="52"/>
      <c r="E23" s="52" t="str">
        <f>+IF(B23="","",IFERROR(SUMIF('Modelo Optimización'!$AS$72:$AS$217,C23,INDEX('Modelo Optimización'!$C$72:$AR$217,,MATCH(B23,'Modelo Optimización'!$C$71:$AR$71,0))),0))</f>
        <v/>
      </c>
      <c r="F23" s="281" t="str">
        <f t="shared" si="10"/>
        <v/>
      </c>
      <c r="G23" s="280" t="str">
        <f>+IF(IF($B23="","",IFERROR(INDEX('Auxiliar Resultados'!$C$9:$BO$50,MATCH($B23,'Auxiliar Resultados'!$B$9:$B$50,0),MATCH(CONCATENATE($C23,G$7),'Auxiliar Resultados'!$C$6:$BO$6,0)),""))=0,"",IF($B23="","",IFERROR(INDEX('Auxiliar Resultados'!$C$9:$BO$50,MATCH($B23,'Auxiliar Resultados'!$B$9:$B$50,0),MATCH(CONCATENATE($C23,G$7),'Auxiliar Resultados'!$C$6:$BO$6,0)),"")))</f>
        <v/>
      </c>
      <c r="H23" s="52" t="str">
        <f>+IF(IF($B23="","",IFERROR(INDEX('Auxiliar Resultados'!$C$9:$BO$50,MATCH($B23,'Auxiliar Resultados'!$B$9:$B$50,0),MATCH(CONCATENATE($C23,H$7),'Auxiliar Resultados'!$C$6:$BO$6,0)),""))=0,"",IF($B23="","",IFERROR(INDEX('Auxiliar Resultados'!$C$9:$BO$50,MATCH($B23,'Auxiliar Resultados'!$B$9:$B$50,0),MATCH(CONCATENATE($C23,H$7),'Auxiliar Resultados'!$C$6:$BO$6,0)),"")))</f>
        <v/>
      </c>
      <c r="I23" s="52" t="str">
        <f>+IF(IF($B23="","",IFERROR(INDEX('Auxiliar Resultados'!$C$9:$BO$50,MATCH($B23,'Auxiliar Resultados'!$B$9:$B$50,0),MATCH(CONCATENATE($C23,I$7),'Auxiliar Resultados'!$C$6:$BO$6,0)),""))=0,"",IF($B23="","",IFERROR(INDEX('Auxiliar Resultados'!$C$9:$BO$50,MATCH($B23,'Auxiliar Resultados'!$B$9:$B$50,0),MATCH(CONCATENATE($C23,I$7),'Auxiliar Resultados'!$C$6:$BO$6,0)),"")))</f>
        <v/>
      </c>
      <c r="J23" s="52" t="str">
        <f>+IF(IF($B23="","",IFERROR(INDEX('Auxiliar Resultados'!$C$9:$BO$50,MATCH($B23,'Auxiliar Resultados'!$B$9:$B$50,0),MATCH(CONCATENATE($C23,J$7),'Auxiliar Resultados'!$C$6:$BO$6,0)),""))=0,"",IF($B23="","",IFERROR(INDEX('Auxiliar Resultados'!$C$9:$BO$50,MATCH($B23,'Auxiliar Resultados'!$B$9:$B$50,0),MATCH(CONCATENATE($C23,J$7),'Auxiliar Resultados'!$C$6:$BO$6,0)),"")))</f>
        <v/>
      </c>
      <c r="K23" s="52" t="str">
        <f>+IF(IF($B23="","",IFERROR(INDEX('Auxiliar Resultados'!$C$9:$BO$50,MATCH($B23,'Auxiliar Resultados'!$B$9:$B$50,0),MATCH(CONCATENATE($C23,K$7),'Auxiliar Resultados'!$C$6:$BO$6,0)),""))=0,"",IF($B23="","",IFERROR(INDEX('Auxiliar Resultados'!$C$9:$BO$50,MATCH($B23,'Auxiliar Resultados'!$B$9:$B$50,0),MATCH(CONCATENATE($C23,K$7),'Auxiliar Resultados'!$C$6:$BO$6,0)),"")))</f>
        <v/>
      </c>
      <c r="L23" s="52" t="str">
        <f>+IF(IF($B23="","",IFERROR(INDEX('Auxiliar Resultados'!$C$9:$BO$50,MATCH($B23,'Auxiliar Resultados'!$B$9:$B$50,0),MATCH(CONCATENATE($C23,L$7),'Auxiliar Resultados'!$C$6:$BO$6,0)),""))=0,"",IF($B23="","",IFERROR(INDEX('Auxiliar Resultados'!$C$9:$BO$50,MATCH($B23,'Auxiliar Resultados'!$B$9:$B$50,0),MATCH(CONCATENATE($C23,L$7),'Auxiliar Resultados'!$C$6:$BO$6,0)),"")))</f>
        <v/>
      </c>
      <c r="M23" s="52" t="str">
        <f>+IF(IF($B23="","",IFERROR(INDEX('Auxiliar Resultados'!$C$9:$BO$50,MATCH($B23,'Auxiliar Resultados'!$B$9:$B$50,0),MATCH(CONCATENATE($C23,M$7),'Auxiliar Resultados'!$C$6:$BO$6,0)),""))=0,"",IF($B23="","",IFERROR(INDEX('Auxiliar Resultados'!$C$9:$BO$50,MATCH($B23,'Auxiliar Resultados'!$B$9:$B$50,0),MATCH(CONCATENATE($C23,M$7),'Auxiliar Resultados'!$C$6:$BO$6,0)),"")))</f>
        <v/>
      </c>
      <c r="N23" s="52" t="str">
        <f>+IF(IF($B23="","",IFERROR(INDEX('Auxiliar Resultados'!$C$9:$BO$50,MATCH($B23,'Auxiliar Resultados'!$B$9:$B$50,0),MATCH(CONCATENATE($C23,N$7),'Auxiliar Resultados'!$C$6:$BO$6,0)),""))=0,"",IF($B23="","",IFERROR(INDEX('Auxiliar Resultados'!$C$9:$BO$50,MATCH($B23,'Auxiliar Resultados'!$B$9:$B$50,0),MATCH(CONCATENATE($C23,N$7),'Auxiliar Resultados'!$C$6:$BO$6,0)),"")))</f>
        <v/>
      </c>
      <c r="O23" s="52" t="str">
        <f>+IF(IF($B23="","",IFERROR(INDEX('Auxiliar Resultados'!$C$9:$BO$50,MATCH($B23,'Auxiliar Resultados'!$B$9:$B$50,0),MATCH(CONCATENATE($C23,O$7),'Auxiliar Resultados'!$C$6:$BO$6,0)),""))=0,"",IF($B23="","",IFERROR(INDEX('Auxiliar Resultados'!$C$9:$BO$50,MATCH($B23,'Auxiliar Resultados'!$B$9:$B$50,0),MATCH(CONCATENATE($C23,O$7),'Auxiliar Resultados'!$C$6:$BO$6,0)),"")))</f>
        <v/>
      </c>
      <c r="P23" s="52" t="str">
        <f>+IF(IF($B23="","",IFERROR(INDEX('Auxiliar Resultados'!$C$9:$BO$50,MATCH($B23,'Auxiliar Resultados'!$B$9:$B$50,0),MATCH(CONCATENATE($C23,P$7),'Auxiliar Resultados'!$C$6:$BO$6,0)),""))=0,"",IF($B23="","",IFERROR(INDEX('Auxiliar Resultados'!$C$9:$BO$50,MATCH($B23,'Auxiliar Resultados'!$B$9:$B$50,0),MATCH(CONCATENATE($C23,P$7),'Auxiliar Resultados'!$C$6:$BO$6,0)),"")))</f>
        <v/>
      </c>
      <c r="Q23" s="52" t="str">
        <f>+IF(IF($B23="","",IFERROR(INDEX('Auxiliar Resultados'!$C$9:$BO$50,MATCH($B23,'Auxiliar Resultados'!$B$9:$B$50,0),MATCH(CONCATENATE($C23,Q$7),'Auxiliar Resultados'!$C$6:$BO$6,0)),""))=0,"",IF($B23="","",IFERROR(INDEX('Auxiliar Resultados'!$C$9:$BO$50,MATCH($B23,'Auxiliar Resultados'!$B$9:$B$50,0),MATCH(CONCATENATE($C23,Q$7),'Auxiliar Resultados'!$C$6:$BO$6,0)),"")))</f>
        <v/>
      </c>
      <c r="R23" s="52" t="str">
        <f>+IF(IF($B23="","",IFERROR(INDEX('Auxiliar Resultados'!$C$9:$BO$50,MATCH($B23,'Auxiliar Resultados'!$B$9:$B$50,0),MATCH(CONCATENATE($C23,R$7),'Auxiliar Resultados'!$C$6:$BO$6,0)),""))=0,"",IF($B23="","",IFERROR(INDEX('Auxiliar Resultados'!$C$9:$BO$50,MATCH($B23,'Auxiliar Resultados'!$B$9:$B$50,0),MATCH(CONCATENATE($C23,R$7),'Auxiliar Resultados'!$C$6:$BO$6,0)),"")))</f>
        <v/>
      </c>
      <c r="S23" s="52" t="str">
        <f>+IF(IF($B23="","",IFERROR(INDEX('Auxiliar Resultados'!$C$9:$BO$50,MATCH($B23,'Auxiliar Resultados'!$B$9:$B$50,0),MATCH(CONCATENATE($C23,S$7),'Auxiliar Resultados'!$C$6:$BO$6,0)),""))=0,"",IF($B23="","",IFERROR(INDEX('Auxiliar Resultados'!$C$9:$BO$50,MATCH($B23,'Auxiliar Resultados'!$B$9:$B$50,0),MATCH(CONCATENATE($C23,S$7),'Auxiliar Resultados'!$C$6:$BO$6,0)),"")))</f>
        <v/>
      </c>
      <c r="T23" s="52" t="str">
        <f>+IF(IF($B23="","",IFERROR(INDEX('Auxiliar Resultados'!$C$9:$BO$50,MATCH($B23,'Auxiliar Resultados'!$B$9:$B$50,0),MATCH(CONCATENATE($C23,T$7),'Auxiliar Resultados'!$C$6:$BO$6,0)),""))=0,"",IF($B23="","",IFERROR(INDEX('Auxiliar Resultados'!$C$9:$BO$50,MATCH($B23,'Auxiliar Resultados'!$B$9:$B$50,0),MATCH(CONCATENATE($C23,T$7),'Auxiliar Resultados'!$C$6:$BO$6,0)),"")))</f>
        <v/>
      </c>
      <c r="U23" s="52" t="str">
        <f>+IF(IF($B23="","",IFERROR(INDEX('Auxiliar Resultados'!$C$9:$BO$50,MATCH($B23,'Auxiliar Resultados'!$B$9:$B$50,0),MATCH(CONCATENATE($C23,U$7),'Auxiliar Resultados'!$C$6:$BO$6,0)),""))=0,"",IF($B23="","",IFERROR(INDEX('Auxiliar Resultados'!$C$9:$BO$50,MATCH($B23,'Auxiliar Resultados'!$B$9:$B$50,0),MATCH(CONCATENATE($C23,U$7),'Auxiliar Resultados'!$C$6:$BO$6,0)),"")))</f>
        <v/>
      </c>
      <c r="V23" s="52" t="str">
        <f>+IF(IF($B23="","",IFERROR(INDEX('Auxiliar Resultados'!$C$9:$BO$50,MATCH($B23,'Auxiliar Resultados'!$B$9:$B$50,0),MATCH(CONCATENATE($C23,V$7),'Auxiliar Resultados'!$C$6:$BO$6,0)),""))=0,"",IF($B23="","",IFERROR(INDEX('Auxiliar Resultados'!$C$9:$BO$50,MATCH($B23,'Auxiliar Resultados'!$B$9:$B$50,0),MATCH(CONCATENATE($C23,V$7),'Auxiliar Resultados'!$C$6:$BO$6,0)),"")))</f>
        <v/>
      </c>
      <c r="W23" s="52" t="str">
        <f>+IF(IF($B23="","",IFERROR(INDEX('Auxiliar Resultados'!$C$9:$BO$50,MATCH($B23,'Auxiliar Resultados'!$B$9:$B$50,0),MATCH(CONCATENATE($C23,W$7),'Auxiliar Resultados'!$C$6:$BO$6,0)),""))=0,"",IF($B23="","",IFERROR(INDEX('Auxiliar Resultados'!$C$9:$BO$50,MATCH($B23,'Auxiliar Resultados'!$B$9:$B$50,0),MATCH(CONCATENATE($C23,W$7),'Auxiliar Resultados'!$C$6:$BO$6,0)),"")))</f>
        <v/>
      </c>
      <c r="X23" s="52" t="str">
        <f>+IF(IF($B23="","",IFERROR(INDEX('Auxiliar Resultados'!$C$9:$BO$50,MATCH($B23,'Auxiliar Resultados'!$B$9:$B$50,0),MATCH(CONCATENATE($C23,X$7),'Auxiliar Resultados'!$C$6:$BO$6,0)),""))=0,"",IF($B23="","",IFERROR(INDEX('Auxiliar Resultados'!$C$9:$BO$50,MATCH($B23,'Auxiliar Resultados'!$B$9:$B$50,0),MATCH(CONCATENATE($C23,X$7),'Auxiliar Resultados'!$C$6:$BO$6,0)),"")))</f>
        <v/>
      </c>
      <c r="Y23" s="52" t="str">
        <f>+IF(IF($B23="","",IFERROR(INDEX('Auxiliar Resultados'!$C$9:$BO$50,MATCH($B23,'Auxiliar Resultados'!$B$9:$B$50,0),MATCH(CONCATENATE($C23,Y$7),'Auxiliar Resultados'!$C$6:$BO$6,0)),""))=0,"",IF($B23="","",IFERROR(INDEX('Auxiliar Resultados'!$C$9:$BO$50,MATCH($B23,'Auxiliar Resultados'!$B$9:$B$50,0),MATCH(CONCATENATE($C23,Y$7),'Auxiliar Resultados'!$C$6:$BO$6,0)),"")))</f>
        <v/>
      </c>
      <c r="Z23" s="52" t="str">
        <f>+IF(IF($B23="","",IFERROR(INDEX('Auxiliar Resultados'!$C$9:$BO$50,MATCH($B23,'Auxiliar Resultados'!$B$9:$B$50,0),MATCH(CONCATENATE($C23,Z$7),'Auxiliar Resultados'!$C$6:$BO$6,0)),""))=0,"",IF($B23="","",IFERROR(INDEX('Auxiliar Resultados'!$C$9:$BO$50,MATCH($B23,'Auxiliar Resultados'!$B$9:$B$50,0),MATCH(CONCATENATE($C23,Z$7),'Auxiliar Resultados'!$C$6:$BO$6,0)),"")))</f>
        <v/>
      </c>
      <c r="AA23" s="52" t="str">
        <f>+IF(IF($B23="","",IFERROR(INDEX('Auxiliar Resultados'!$C$9:$BO$50,MATCH($B23,'Auxiliar Resultados'!$B$9:$B$50,0),MATCH(CONCATENATE($C23,AA$7),'Auxiliar Resultados'!$C$6:$BO$6,0)),""))=0,"",IF($B23="","",IFERROR(INDEX('Auxiliar Resultados'!$C$9:$BO$50,MATCH($B23,'Auxiliar Resultados'!$B$9:$B$50,0),MATCH(CONCATENATE($C23,AA$7),'Auxiliar Resultados'!$C$6:$BO$6,0)),"")))</f>
        <v/>
      </c>
      <c r="AB23" s="52" t="str">
        <f>+IF(IF($B23="","",IFERROR(INDEX('Auxiliar Resultados'!$C$9:$BO$50,MATCH($B23,'Auxiliar Resultados'!$B$9:$B$50,0),MATCH(CONCATENATE($C23,AB$7),'Auxiliar Resultados'!$C$6:$BO$6,0)),""))=0,"",IF($B23="","",IFERROR(INDEX('Auxiliar Resultados'!$C$9:$BO$50,MATCH($B23,'Auxiliar Resultados'!$B$9:$B$50,0),MATCH(CONCATENATE($C23,AB$7),'Auxiliar Resultados'!$C$6:$BO$6,0)),"")))</f>
        <v/>
      </c>
      <c r="AC23" s="52" t="str">
        <f>+IF(IF($B23="","",IFERROR(INDEX('Auxiliar Resultados'!$C$9:$BO$50,MATCH($B23,'Auxiliar Resultados'!$B$9:$B$50,0),MATCH(CONCATENATE($C23,AC$7),'Auxiliar Resultados'!$C$6:$BO$6,0)),""))=0,"",IF($B23="","",IFERROR(INDEX('Auxiliar Resultados'!$C$9:$BO$50,MATCH($B23,'Auxiliar Resultados'!$B$9:$B$50,0),MATCH(CONCATENATE($C23,AC$7),'Auxiliar Resultados'!$C$6:$BO$6,0)),"")))</f>
        <v/>
      </c>
      <c r="AD23" s="52" t="str">
        <f>+IF(IF($B23="","",IFERROR(INDEX('Auxiliar Resultados'!$C$9:$BO$50,MATCH($B23,'Auxiliar Resultados'!$B$9:$B$50,0),MATCH(CONCATENATE($C23,AD$7),'Auxiliar Resultados'!$C$6:$BO$6,0)),""))=0,"",IF($B23="","",IFERROR(INDEX('Auxiliar Resultados'!$C$9:$BO$50,MATCH($B23,'Auxiliar Resultados'!$B$9:$B$50,0),MATCH(CONCATENATE($C23,AD$7),'Auxiliar Resultados'!$C$6:$BO$6,0)),"")))</f>
        <v/>
      </c>
      <c r="AE23" s="52" t="str">
        <f>+IF(IF($B23="","",IFERROR(INDEX('Auxiliar Resultados'!$C$9:$BO$50,MATCH($B23,'Auxiliar Resultados'!$B$9:$B$50,0),MATCH(CONCATENATE($C23,AE$7),'Auxiliar Resultados'!$C$6:$BO$6,0)),""))=0,"",IF($B23="","",IFERROR(INDEX('Auxiliar Resultados'!$C$9:$BO$50,MATCH($B23,'Auxiliar Resultados'!$B$9:$B$50,0),MATCH(CONCATENATE($C23,AE$7),'Auxiliar Resultados'!$C$6:$BO$6,0)),"")))</f>
        <v/>
      </c>
      <c r="AF23" s="52" t="str">
        <f>+IF(IF($B23="","",IFERROR(INDEX('Auxiliar Resultados'!$C$9:$BO$50,MATCH($B23,'Auxiliar Resultados'!$B$9:$B$50,0),MATCH(CONCATENATE($C23,AF$7),'Auxiliar Resultados'!$C$6:$BO$6,0)),""))=0,"",IF($B23="","",IFERROR(INDEX('Auxiliar Resultados'!$C$9:$BO$50,MATCH($B23,'Auxiliar Resultados'!$B$9:$B$50,0),MATCH(CONCATENATE($C23,AF$7),'Auxiliar Resultados'!$C$6:$BO$6,0)),"")))</f>
        <v/>
      </c>
      <c r="AG23" s="52" t="str">
        <f>+IF(IF($B23="","",IFERROR(INDEX('Auxiliar Resultados'!$C$9:$BO$50,MATCH($B23,'Auxiliar Resultados'!$B$9:$B$50,0),MATCH(CONCATENATE($C23,AG$7),'Auxiliar Resultados'!$C$6:$BO$6,0)),""))=0,"",IF($B23="","",IFERROR(INDEX('Auxiliar Resultados'!$C$9:$BO$50,MATCH($B23,'Auxiliar Resultados'!$B$9:$B$50,0),MATCH(CONCATENATE($C23,AG$7),'Auxiliar Resultados'!$C$6:$BO$6,0)),"")))</f>
        <v/>
      </c>
      <c r="AH23" s="52" t="str">
        <f>+IF(IF($B23="","",IFERROR(INDEX('Auxiliar Resultados'!$C$9:$BO$50,MATCH($B23,'Auxiliar Resultados'!$B$9:$B$50,0),MATCH(CONCATENATE($C23,AH$7),'Auxiliar Resultados'!$C$6:$BO$6,0)),""))=0,"",IF($B23="","",IFERROR(INDEX('Auxiliar Resultados'!$C$9:$BO$50,MATCH($B23,'Auxiliar Resultados'!$B$9:$B$50,0),MATCH(CONCATENATE($C23,AH$7),'Auxiliar Resultados'!$C$6:$BO$6,0)),"")))</f>
        <v/>
      </c>
      <c r="AI23" s="52" t="str">
        <f>+IF(IF($B23="","",IFERROR(INDEX('Auxiliar Resultados'!$C$9:$BO$50,MATCH($B23,'Auxiliar Resultados'!$B$9:$B$50,0),MATCH(CONCATENATE($C23,AI$7),'Auxiliar Resultados'!$C$6:$BO$6,0)),""))=0,"",IF($B23="","",IFERROR(INDEX('Auxiliar Resultados'!$C$9:$BO$50,MATCH($B23,'Auxiliar Resultados'!$B$9:$B$50,0),MATCH(CONCATENATE($C23,AI$7),'Auxiliar Resultados'!$C$6:$BO$6,0)),"")))</f>
        <v/>
      </c>
      <c r="AJ23" s="52" t="str">
        <f>+IF(IF($B23="","",IFERROR(INDEX('Auxiliar Resultados'!$C$9:$BO$50,MATCH($B23,'Auxiliar Resultados'!$B$9:$B$50,0),MATCH(CONCATENATE($C23,AJ$7),'Auxiliar Resultados'!$C$6:$BO$6,0)),""))=0,"",IF($B23="","",IFERROR(INDEX('Auxiliar Resultados'!$C$9:$BO$50,MATCH($B23,'Auxiliar Resultados'!$B$9:$B$50,0),MATCH(CONCATENATE($C23,AJ$7),'Auxiliar Resultados'!$C$6:$BO$6,0)),"")))</f>
        <v/>
      </c>
      <c r="AK23" s="52" t="str">
        <f>+IF(IF($B23="","",IFERROR(INDEX('Auxiliar Resultados'!$C$9:$BO$50,MATCH($B23,'Auxiliar Resultados'!$B$9:$B$50,0),MATCH(CONCATENATE($C23,AK$7),'Auxiliar Resultados'!$C$6:$BO$6,0)),""))=0,"",IF($B23="","",IFERROR(INDEX('Auxiliar Resultados'!$C$9:$BO$50,MATCH($B23,'Auxiliar Resultados'!$B$9:$B$50,0),MATCH(CONCATENATE($C23,AK$7),'Auxiliar Resultados'!$C$6:$BO$6,0)),"")))</f>
        <v/>
      </c>
      <c r="AL23" s="52" t="str">
        <f>+IF(IF($B23="","",IFERROR(INDEX('Auxiliar Resultados'!$C$9:$BO$50,MATCH($B23,'Auxiliar Resultados'!$B$9:$B$50,0),MATCH(CONCATENATE($C23,AL$7),'Auxiliar Resultados'!$C$6:$BO$6,0)),""))=0,"",IF($B23="","",IFERROR(INDEX('Auxiliar Resultados'!$C$9:$BO$50,MATCH($B23,'Auxiliar Resultados'!$B$9:$B$50,0),MATCH(CONCATENATE($C23,AL$7),'Auxiliar Resultados'!$C$6:$BO$6,0)),"")))</f>
        <v/>
      </c>
      <c r="AM23" s="52" t="str">
        <f>+IF(IF($B23="","",IFERROR(INDEX('Auxiliar Resultados'!$C$9:$BO$50,MATCH($B23,'Auxiliar Resultados'!$B$9:$B$50,0),MATCH(CONCATENATE($C23,AM$7),'Auxiliar Resultados'!$C$6:$BO$6,0)),""))=0,"",IF($B23="","",IFERROR(INDEX('Auxiliar Resultados'!$C$9:$BO$50,MATCH($B23,'Auxiliar Resultados'!$B$9:$B$50,0),MATCH(CONCATENATE($C23,AM$7),'Auxiliar Resultados'!$C$6:$BO$6,0)),"")))</f>
        <v/>
      </c>
      <c r="AN23" s="52" t="str">
        <f>+IF(IF($B23="","",IFERROR(INDEX('Auxiliar Resultados'!$C$9:$BO$50,MATCH($B23,'Auxiliar Resultados'!$B$9:$B$50,0),MATCH(CONCATENATE($C23,AN$7),'Auxiliar Resultados'!$C$6:$BO$6,0)),""))=0,"",IF($B23="","",IFERROR(INDEX('Auxiliar Resultados'!$C$9:$BO$50,MATCH($B23,'Auxiliar Resultados'!$B$9:$B$50,0),MATCH(CONCATENATE($C23,AN$7),'Auxiliar Resultados'!$C$6:$BO$6,0)),"")))</f>
        <v/>
      </c>
      <c r="AO23" s="52" t="str">
        <f>+IF(IF($B23="","",IFERROR(INDEX('Auxiliar Resultados'!$C$9:$BO$50,MATCH($B23,'Auxiliar Resultados'!$B$9:$B$50,0),MATCH(CONCATENATE($C23,AO$7),'Auxiliar Resultados'!$C$6:$BO$6,0)),""))=0,"",IF($B23="","",IFERROR(INDEX('Auxiliar Resultados'!$C$9:$BO$50,MATCH($B23,'Auxiliar Resultados'!$B$9:$B$50,0),MATCH(CONCATENATE($C23,AO$7),'Auxiliar Resultados'!$C$6:$BO$6,0)),"")))</f>
        <v/>
      </c>
      <c r="AP23" s="52" t="str">
        <f>+IF(IF($B23="","",IFERROR(INDEX('Auxiliar Resultados'!$C$9:$BO$50,MATCH($B23,'Auxiliar Resultados'!$B$9:$B$50,0),MATCH(CONCATENATE($C23,AP$7),'Auxiliar Resultados'!$C$6:$BO$6,0)),""))=0,"",IF($B23="","",IFERROR(INDEX('Auxiliar Resultados'!$C$9:$BO$50,MATCH($B23,'Auxiliar Resultados'!$B$9:$B$50,0),MATCH(CONCATENATE($C23,AP$7),'Auxiliar Resultados'!$C$6:$BO$6,0)),"")))</f>
        <v/>
      </c>
      <c r="AQ23" s="276" t="str">
        <f>+IF(IF($B23="","",IFERROR(INDEX('Auxiliar Resultados'!$C$9:$BO$50,MATCH($B23,'Auxiliar Resultados'!$B$9:$B$50,0),MATCH(CONCATENATE($C23,AQ$7),'Auxiliar Resultados'!$C$6:$BO$6,0)),""))=0,"",IF($B23="","",IFERROR(INDEX('Auxiliar Resultados'!$C$9:$BO$50,MATCH($B23,'Auxiliar Resultados'!$B$9:$B$50,0),MATCH(CONCATENATE($C23,AQ$7),'Auxiliar Resultados'!$C$6:$BO$6,0)),"")))</f>
        <v/>
      </c>
      <c r="AS23" s="46" t="str">
        <f t="shared" si="5"/>
        <v/>
      </c>
      <c r="AT23" s="292" t="str">
        <f t="shared" si="6"/>
        <v/>
      </c>
      <c r="AU23" s="36" t="str">
        <f>+IF(G23="","",INDEX('Modelo Optimización'!$AZ$4:$CO$149,MATCH(CONCATENATE(AU$7,$AT23),'Modelo Optimización'!$CQ$4:$CQ$149,0),MATCH($AS23,'Modelo Optimización'!$AZ$3:$CO$3,0)))</f>
        <v/>
      </c>
      <c r="AV23" s="32" t="str">
        <f>+IF(H23="","",INDEX('Modelo Optimización'!$AZ$4:$CO$149,MATCH(CONCATENATE(AV$7,$AT23),'Modelo Optimización'!$CQ$4:$CQ$149,0),MATCH($AS23,'Modelo Optimización'!$AZ$3:$CO$3,0)))</f>
        <v/>
      </c>
      <c r="AW23" s="32" t="str">
        <f>+IF(I23="","",INDEX('Modelo Optimización'!$AZ$4:$CO$149,MATCH(CONCATENATE(AW$7,$AT23),'Modelo Optimización'!$CQ$4:$CQ$149,0),MATCH($AS23,'Modelo Optimización'!$AZ$3:$CO$3,0)))</f>
        <v/>
      </c>
      <c r="AX23" s="32" t="str">
        <f>+IF(J23="","",INDEX('Modelo Optimización'!$AZ$4:$CO$149,MATCH(CONCATENATE(AX$7,$AT23),'Modelo Optimización'!$CQ$4:$CQ$149,0),MATCH($AS23,'Modelo Optimización'!$AZ$3:$CO$3,0)))</f>
        <v/>
      </c>
      <c r="AY23" s="32" t="str">
        <f>+IF(K23="","",INDEX('Modelo Optimización'!$AZ$4:$CO$149,MATCH(CONCATENATE(AY$7,$AT23),'Modelo Optimización'!$CQ$4:$CQ$149,0),MATCH($AS23,'Modelo Optimización'!$AZ$3:$CO$3,0)))</f>
        <v/>
      </c>
      <c r="AZ23" s="32" t="str">
        <f>+IF(L23="","",INDEX('Modelo Optimización'!$AZ$4:$CO$149,MATCH(CONCATENATE(AZ$7,$AT23),'Modelo Optimización'!$CQ$4:$CQ$149,0),MATCH($AS23,'Modelo Optimización'!$AZ$3:$CO$3,0)))</f>
        <v/>
      </c>
      <c r="BA23" s="32" t="str">
        <f>+IF(M23="","",INDEX('Modelo Optimización'!$AZ$4:$CO$149,MATCH(CONCATENATE(BA$7,$AT23),'Modelo Optimización'!$CQ$4:$CQ$149,0),MATCH($AS23,'Modelo Optimización'!$AZ$3:$CO$3,0)))</f>
        <v/>
      </c>
      <c r="BB23" s="32" t="str">
        <f>+IF(N23="","",INDEX('Modelo Optimización'!$AZ$4:$CO$149,MATCH(CONCATENATE(BB$7,$AT23),'Modelo Optimización'!$CQ$4:$CQ$149,0),MATCH($AS23,'Modelo Optimización'!$AZ$3:$CO$3,0)))</f>
        <v/>
      </c>
      <c r="BC23" s="32" t="str">
        <f>+IF(O23="","",INDEX('Modelo Optimización'!$AZ$4:$CO$149,MATCH(CONCATENATE(BC$7,$AT23),'Modelo Optimización'!$CQ$4:$CQ$149,0),MATCH($AS23,'Modelo Optimización'!$AZ$3:$CO$3,0)))</f>
        <v/>
      </c>
      <c r="BD23" s="32" t="str">
        <f>+IF(P23="","",INDEX('Modelo Optimización'!$AZ$4:$CO$149,MATCH(CONCATENATE(BD$7,$AT23),'Modelo Optimización'!$CQ$4:$CQ$149,0),MATCH($AS23,'Modelo Optimización'!$AZ$3:$CO$3,0)))</f>
        <v/>
      </c>
      <c r="BE23" s="32" t="str">
        <f>+IF(Q23="","",INDEX('Modelo Optimización'!$AZ$4:$CO$149,MATCH(CONCATENATE(BE$7,$AT23),'Modelo Optimización'!$CQ$4:$CQ$149,0),MATCH($AS23,'Modelo Optimización'!$AZ$3:$CO$3,0)))</f>
        <v/>
      </c>
      <c r="BF23" s="32" t="str">
        <f>+IF(R23="","",INDEX('Modelo Optimización'!$AZ$4:$CO$149,MATCH(CONCATENATE(BF$7,$AT23),'Modelo Optimización'!$CQ$4:$CQ$149,0),MATCH($AS23,'Modelo Optimización'!$AZ$3:$CO$3,0)))</f>
        <v/>
      </c>
      <c r="BG23" s="32" t="str">
        <f>+IF(S23="","",INDEX('Modelo Optimización'!$AZ$4:$CO$149,MATCH(CONCATENATE(BG$7,$AT23),'Modelo Optimización'!$CQ$4:$CQ$149,0),MATCH($AS23,'Modelo Optimización'!$AZ$3:$CO$3,0)))</f>
        <v/>
      </c>
      <c r="BH23" s="32" t="str">
        <f>+IF(T23="","",INDEX('Modelo Optimización'!$AZ$4:$CO$149,MATCH(CONCATENATE(BH$7,$AT23),'Modelo Optimización'!$CQ$4:$CQ$149,0),MATCH($AS23,'Modelo Optimización'!$AZ$3:$CO$3,0)))</f>
        <v/>
      </c>
      <c r="BI23" s="32" t="str">
        <f>+IF(U23="","",INDEX('Modelo Optimización'!$AZ$4:$CO$149,MATCH(CONCATENATE(BI$7,$AT23),'Modelo Optimización'!$CQ$4:$CQ$149,0),MATCH($AS23,'Modelo Optimización'!$AZ$3:$CO$3,0)))</f>
        <v/>
      </c>
      <c r="BJ23" s="32" t="str">
        <f>+IF(V23="","",INDEX('Modelo Optimización'!$AZ$4:$CO$149,MATCH(CONCATENATE(BJ$7,$AT23),'Modelo Optimización'!$CQ$4:$CQ$149,0),MATCH($AS23,'Modelo Optimización'!$AZ$3:$CO$3,0)))</f>
        <v/>
      </c>
      <c r="BK23" s="32" t="str">
        <f>+IF(W23="","",INDEX('Modelo Optimización'!$AZ$4:$CO$149,MATCH(CONCATENATE(BK$7,$AT23),'Modelo Optimización'!$CQ$4:$CQ$149,0),MATCH($AS23,'Modelo Optimización'!$AZ$3:$CO$3,0)))</f>
        <v/>
      </c>
      <c r="BL23" s="32" t="str">
        <f>+IF(X23="","",INDEX('Modelo Optimización'!$AZ$4:$CO$149,MATCH(CONCATENATE(BL$7,$AT23),'Modelo Optimización'!$CQ$4:$CQ$149,0),MATCH($AS23,'Modelo Optimización'!$AZ$3:$CO$3,0)))</f>
        <v/>
      </c>
      <c r="BM23" s="32" t="str">
        <f>+IF(Y23="","",INDEX('Modelo Optimización'!$AZ$4:$CO$149,MATCH(CONCATENATE(BM$7,$AT23),'Modelo Optimización'!$CQ$4:$CQ$149,0),MATCH($AS23,'Modelo Optimización'!$AZ$3:$CO$3,0)))</f>
        <v/>
      </c>
      <c r="BN23" s="32" t="str">
        <f>+IF(Z23="","",INDEX('Modelo Optimización'!$AZ$4:$CO$149,MATCH(CONCATENATE(BN$7,$AT23),'Modelo Optimización'!$CQ$4:$CQ$149,0),MATCH($AS23,'Modelo Optimización'!$AZ$3:$CO$3,0)))</f>
        <v/>
      </c>
      <c r="BO23" s="32" t="str">
        <f>+IF(AA23="","",INDEX('Modelo Optimización'!$AZ$4:$CO$149,MATCH(CONCATENATE(BO$7,$AT23),'Modelo Optimización'!$CQ$4:$CQ$149,0),MATCH($AS23,'Modelo Optimización'!$AZ$3:$CO$3,0)))</f>
        <v/>
      </c>
      <c r="BP23" s="32" t="str">
        <f>+IF(AB23="","",INDEX('Modelo Optimización'!$AZ$4:$CO$149,MATCH(CONCATENATE(BP$7,$AT23),'Modelo Optimización'!$CQ$4:$CQ$149,0),MATCH($AS23,'Modelo Optimización'!$AZ$3:$CO$3,0)))</f>
        <v/>
      </c>
      <c r="BQ23" s="32" t="str">
        <f>+IF(AC23="","",INDEX('Modelo Optimización'!$AZ$4:$CO$149,MATCH(CONCATENATE(BQ$7,$AT23),'Modelo Optimización'!$CQ$4:$CQ$149,0),MATCH($AS23,'Modelo Optimización'!$AZ$3:$CO$3,0)))</f>
        <v/>
      </c>
      <c r="BR23" s="32" t="str">
        <f>+IF(AD23="","",INDEX('Modelo Optimización'!$AZ$4:$CO$149,MATCH(CONCATENATE(BR$7,$AT23),'Modelo Optimización'!$CQ$4:$CQ$149,0),MATCH($AS23,'Modelo Optimización'!$AZ$3:$CO$3,0)))</f>
        <v/>
      </c>
      <c r="BS23" s="32" t="str">
        <f>+IF(AE23="","",INDEX('Modelo Optimización'!$AZ$4:$CO$149,MATCH(CONCATENATE(BS$7,$AT23),'Modelo Optimización'!$CQ$4:$CQ$149,0),MATCH($AS23,'Modelo Optimización'!$AZ$3:$CO$3,0)))</f>
        <v/>
      </c>
      <c r="BT23" s="32" t="str">
        <f>+IF(AF23="","",INDEX('Modelo Optimización'!$AZ$4:$CO$149,MATCH(CONCATENATE(BT$7,$AT23),'Modelo Optimización'!$CQ$4:$CQ$149,0),MATCH($AS23,'Modelo Optimización'!$AZ$3:$CO$3,0)))</f>
        <v/>
      </c>
      <c r="BU23" s="32" t="str">
        <f>+IF(AG23="","",INDEX('Modelo Optimización'!$AZ$4:$CO$149,MATCH(CONCATENATE(BU$7,$AT23),'Modelo Optimización'!$CQ$4:$CQ$149,0),MATCH($AS23,'Modelo Optimización'!$AZ$3:$CO$3,0)))</f>
        <v/>
      </c>
      <c r="BV23" s="32" t="str">
        <f>+IF(AH23="","",INDEX('Modelo Optimización'!$AZ$4:$CO$149,MATCH(CONCATENATE(BV$7,$AT23),'Modelo Optimización'!$CQ$4:$CQ$149,0),MATCH($AS23,'Modelo Optimización'!$AZ$3:$CO$3,0)))</f>
        <v/>
      </c>
      <c r="BW23" s="32" t="str">
        <f>+IF(AI23="","",INDEX('Modelo Optimización'!$AZ$4:$CO$149,MATCH(CONCATENATE(BW$7,$AT23),'Modelo Optimización'!$CQ$4:$CQ$149,0),MATCH($AS23,'Modelo Optimización'!$AZ$3:$CO$3,0)))</f>
        <v/>
      </c>
      <c r="BX23" s="32" t="str">
        <f>+IF(AJ23="","",INDEX('Modelo Optimización'!$AZ$4:$CO$149,MATCH(CONCATENATE(BX$7,$AT23),'Modelo Optimización'!$CQ$4:$CQ$149,0),MATCH($AS23,'Modelo Optimización'!$AZ$3:$CO$3,0)))</f>
        <v/>
      </c>
      <c r="BY23" s="32" t="str">
        <f>+IF(AK23="","",INDEX('Modelo Optimización'!$AZ$4:$CO$149,MATCH(CONCATENATE(BY$7,$AT23),'Modelo Optimización'!$CQ$4:$CQ$149,0),MATCH($AS23,'Modelo Optimización'!$AZ$3:$CO$3,0)))</f>
        <v/>
      </c>
      <c r="BZ23" s="32" t="str">
        <f>+IF(AL23="","",INDEX('Modelo Optimización'!$AZ$4:$CO$149,MATCH(CONCATENATE(BZ$7,$AT23),'Modelo Optimización'!$CQ$4:$CQ$149,0),MATCH($AS23,'Modelo Optimización'!$AZ$3:$CO$3,0)))</f>
        <v/>
      </c>
      <c r="CA23" s="32" t="str">
        <f>+IF(AM23="","",INDEX('Modelo Optimización'!$AZ$4:$CO$149,MATCH(CONCATENATE(CA$7,$AT23),'Modelo Optimización'!$CQ$4:$CQ$149,0),MATCH($AS23,'Modelo Optimización'!$AZ$3:$CO$3,0)))</f>
        <v/>
      </c>
      <c r="CB23" s="32" t="str">
        <f>+IF(AN23="","",INDEX('Modelo Optimización'!$AZ$4:$CO$149,MATCH(CONCATENATE(CB$7,$AT23),'Modelo Optimización'!$CQ$4:$CQ$149,0),MATCH($AS23,'Modelo Optimización'!$AZ$3:$CO$3,0)))</f>
        <v/>
      </c>
      <c r="CC23" s="32" t="str">
        <f>+IF(AO23="","",INDEX('Modelo Optimización'!$AZ$4:$CO$149,MATCH(CONCATENATE(CC$7,$AT23),'Modelo Optimización'!$CQ$4:$CQ$149,0),MATCH($AS23,'Modelo Optimización'!$AZ$3:$CO$3,0)))</f>
        <v/>
      </c>
      <c r="CD23" s="32" t="str">
        <f>+IF(AP23="","",INDEX('Modelo Optimización'!$AZ$4:$CO$149,MATCH(CONCATENATE(CD$7,$AT23),'Modelo Optimización'!$CQ$4:$CQ$149,0),MATCH($AS23,'Modelo Optimización'!$AZ$3:$CO$3,0)))</f>
        <v/>
      </c>
      <c r="CE23" s="37" t="str">
        <f>+IF(AQ23="","",INDEX('Modelo Optimización'!$AZ$4:$CO$149,MATCH(CONCATENATE(CE$7,$AT23),'Modelo Optimización'!$CQ$4:$CQ$149,0),MATCH($AS23,'Modelo Optimización'!$AZ$3:$CO$3,0)))</f>
        <v/>
      </c>
      <c r="CF23" s="301"/>
      <c r="CG23" s="305" t="str">
        <f t="shared" si="11"/>
        <v/>
      </c>
      <c r="CH23" s="303" t="str">
        <f t="shared" si="7"/>
        <v/>
      </c>
      <c r="CI23" s="292" t="str">
        <f t="shared" si="8"/>
        <v/>
      </c>
      <c r="CJ23" s="36" t="str">
        <f t="shared" si="12"/>
        <v/>
      </c>
      <c r="CK23" s="32" t="str">
        <f t="shared" si="13"/>
        <v/>
      </c>
      <c r="CL23" s="32" t="str">
        <f t="shared" si="14"/>
        <v/>
      </c>
      <c r="CM23" s="32" t="str">
        <f t="shared" si="15"/>
        <v/>
      </c>
      <c r="CN23" s="32" t="str">
        <f t="shared" si="16"/>
        <v/>
      </c>
      <c r="CO23" s="32" t="str">
        <f t="shared" si="17"/>
        <v/>
      </c>
      <c r="CP23" s="32" t="str">
        <f t="shared" si="18"/>
        <v/>
      </c>
      <c r="CQ23" s="32" t="str">
        <f t="shared" si="19"/>
        <v/>
      </c>
      <c r="CR23" s="32" t="str">
        <f t="shared" si="20"/>
        <v/>
      </c>
      <c r="CS23" s="32" t="str">
        <f t="shared" si="21"/>
        <v/>
      </c>
      <c r="CT23" s="32" t="str">
        <f t="shared" si="22"/>
        <v/>
      </c>
      <c r="CU23" s="32" t="str">
        <f t="shared" si="23"/>
        <v/>
      </c>
      <c r="CV23" s="32" t="str">
        <f t="shared" si="24"/>
        <v/>
      </c>
      <c r="CW23" s="32" t="str">
        <f t="shared" si="25"/>
        <v/>
      </c>
      <c r="CX23" s="32" t="str">
        <f t="shared" si="26"/>
        <v/>
      </c>
      <c r="CY23" s="32" t="str">
        <f t="shared" si="27"/>
        <v/>
      </c>
      <c r="CZ23" s="32" t="str">
        <f t="shared" si="28"/>
        <v/>
      </c>
      <c r="DA23" s="32" t="str">
        <f t="shared" si="29"/>
        <v/>
      </c>
      <c r="DB23" s="32" t="str">
        <f t="shared" si="30"/>
        <v/>
      </c>
      <c r="DC23" s="32" t="str">
        <f t="shared" si="31"/>
        <v/>
      </c>
      <c r="DD23" s="32" t="str">
        <f t="shared" si="32"/>
        <v/>
      </c>
      <c r="DE23" s="32" t="str">
        <f t="shared" si="33"/>
        <v/>
      </c>
      <c r="DF23" s="32" t="str">
        <f t="shared" si="34"/>
        <v/>
      </c>
      <c r="DG23" s="32" t="str">
        <f t="shared" si="35"/>
        <v/>
      </c>
      <c r="DH23" s="32" t="str">
        <f t="shared" si="36"/>
        <v/>
      </c>
      <c r="DI23" s="32" t="str">
        <f t="shared" si="37"/>
        <v/>
      </c>
      <c r="DJ23" s="32" t="str">
        <f t="shared" si="38"/>
        <v/>
      </c>
      <c r="DK23" s="32" t="str">
        <f t="shared" si="39"/>
        <v/>
      </c>
      <c r="DL23" s="32" t="str">
        <f t="shared" si="40"/>
        <v/>
      </c>
      <c r="DM23" s="32" t="str">
        <f t="shared" si="41"/>
        <v/>
      </c>
      <c r="DN23" s="32" t="str">
        <f t="shared" si="42"/>
        <v/>
      </c>
      <c r="DO23" s="32" t="str">
        <f t="shared" si="43"/>
        <v/>
      </c>
      <c r="DP23" s="32" t="str">
        <f t="shared" si="44"/>
        <v/>
      </c>
      <c r="DQ23" s="32" t="str">
        <f t="shared" si="45"/>
        <v/>
      </c>
      <c r="DR23" s="32" t="str">
        <f t="shared" si="46"/>
        <v/>
      </c>
      <c r="DS23" s="32" t="str">
        <f t="shared" si="47"/>
        <v/>
      </c>
      <c r="DT23" s="37" t="str">
        <f t="shared" si="48"/>
        <v/>
      </c>
    </row>
    <row r="24" spans="2:124" x14ac:dyDescent="0.35">
      <c r="B24" s="46"/>
      <c r="C24" s="212"/>
      <c r="D24" s="52"/>
      <c r="E24" s="52" t="str">
        <f>+IF(B24="","",IFERROR(SUMIF('Modelo Optimización'!$AS$72:$AS$217,C24,INDEX('Modelo Optimización'!$C$72:$AR$217,,MATCH(B24,'Modelo Optimización'!$C$71:$AR$71,0))),0))</f>
        <v/>
      </c>
      <c r="F24" s="281" t="str">
        <f t="shared" si="10"/>
        <v/>
      </c>
      <c r="G24" s="280" t="str">
        <f>+IF(IF($B24="","",IFERROR(INDEX('Auxiliar Resultados'!$C$9:$BO$50,MATCH($B24,'Auxiliar Resultados'!$B$9:$B$50,0),MATCH(CONCATENATE($C24,G$7),'Auxiliar Resultados'!$C$6:$BO$6,0)),""))=0,"",IF($B24="","",IFERROR(INDEX('Auxiliar Resultados'!$C$9:$BO$50,MATCH($B24,'Auxiliar Resultados'!$B$9:$B$50,0),MATCH(CONCATENATE($C24,G$7),'Auxiliar Resultados'!$C$6:$BO$6,0)),"")))</f>
        <v/>
      </c>
      <c r="H24" s="52" t="str">
        <f>+IF(IF($B24="","",IFERROR(INDEX('Auxiliar Resultados'!$C$9:$BO$50,MATCH($B24,'Auxiliar Resultados'!$B$9:$B$50,0),MATCH(CONCATENATE($C24,H$7),'Auxiliar Resultados'!$C$6:$BO$6,0)),""))=0,"",IF($B24="","",IFERROR(INDEX('Auxiliar Resultados'!$C$9:$BO$50,MATCH($B24,'Auxiliar Resultados'!$B$9:$B$50,0),MATCH(CONCATENATE($C24,H$7),'Auxiliar Resultados'!$C$6:$BO$6,0)),"")))</f>
        <v/>
      </c>
      <c r="I24" s="52" t="str">
        <f>+IF(IF($B24="","",IFERROR(INDEX('Auxiliar Resultados'!$C$9:$BO$50,MATCH($B24,'Auxiliar Resultados'!$B$9:$B$50,0),MATCH(CONCATENATE($C24,I$7),'Auxiliar Resultados'!$C$6:$BO$6,0)),""))=0,"",IF($B24="","",IFERROR(INDEX('Auxiliar Resultados'!$C$9:$BO$50,MATCH($B24,'Auxiliar Resultados'!$B$9:$B$50,0),MATCH(CONCATENATE($C24,I$7),'Auxiliar Resultados'!$C$6:$BO$6,0)),"")))</f>
        <v/>
      </c>
      <c r="J24" s="52" t="str">
        <f>+IF(IF($B24="","",IFERROR(INDEX('Auxiliar Resultados'!$C$9:$BO$50,MATCH($B24,'Auxiliar Resultados'!$B$9:$B$50,0),MATCH(CONCATENATE($C24,J$7),'Auxiliar Resultados'!$C$6:$BO$6,0)),""))=0,"",IF($B24="","",IFERROR(INDEX('Auxiliar Resultados'!$C$9:$BO$50,MATCH($B24,'Auxiliar Resultados'!$B$9:$B$50,0),MATCH(CONCATENATE($C24,J$7),'Auxiliar Resultados'!$C$6:$BO$6,0)),"")))</f>
        <v/>
      </c>
      <c r="K24" s="52" t="str">
        <f>+IF(IF($B24="","",IFERROR(INDEX('Auxiliar Resultados'!$C$9:$BO$50,MATCH($B24,'Auxiliar Resultados'!$B$9:$B$50,0),MATCH(CONCATENATE($C24,K$7),'Auxiliar Resultados'!$C$6:$BO$6,0)),""))=0,"",IF($B24="","",IFERROR(INDEX('Auxiliar Resultados'!$C$9:$BO$50,MATCH($B24,'Auxiliar Resultados'!$B$9:$B$50,0),MATCH(CONCATENATE($C24,K$7),'Auxiliar Resultados'!$C$6:$BO$6,0)),"")))</f>
        <v/>
      </c>
      <c r="L24" s="52" t="str">
        <f>+IF(IF($B24="","",IFERROR(INDEX('Auxiliar Resultados'!$C$9:$BO$50,MATCH($B24,'Auxiliar Resultados'!$B$9:$B$50,0),MATCH(CONCATENATE($C24,L$7),'Auxiliar Resultados'!$C$6:$BO$6,0)),""))=0,"",IF($B24="","",IFERROR(INDEX('Auxiliar Resultados'!$C$9:$BO$50,MATCH($B24,'Auxiliar Resultados'!$B$9:$B$50,0),MATCH(CONCATENATE($C24,L$7),'Auxiliar Resultados'!$C$6:$BO$6,0)),"")))</f>
        <v/>
      </c>
      <c r="M24" s="52" t="str">
        <f>+IF(IF($B24="","",IFERROR(INDEX('Auxiliar Resultados'!$C$9:$BO$50,MATCH($B24,'Auxiliar Resultados'!$B$9:$B$50,0),MATCH(CONCATENATE($C24,M$7),'Auxiliar Resultados'!$C$6:$BO$6,0)),""))=0,"",IF($B24="","",IFERROR(INDEX('Auxiliar Resultados'!$C$9:$BO$50,MATCH($B24,'Auxiliar Resultados'!$B$9:$B$50,0),MATCH(CONCATENATE($C24,M$7),'Auxiliar Resultados'!$C$6:$BO$6,0)),"")))</f>
        <v/>
      </c>
      <c r="N24" s="52" t="str">
        <f>+IF(IF($B24="","",IFERROR(INDEX('Auxiliar Resultados'!$C$9:$BO$50,MATCH($B24,'Auxiliar Resultados'!$B$9:$B$50,0),MATCH(CONCATENATE($C24,N$7),'Auxiliar Resultados'!$C$6:$BO$6,0)),""))=0,"",IF($B24="","",IFERROR(INDEX('Auxiliar Resultados'!$C$9:$BO$50,MATCH($B24,'Auxiliar Resultados'!$B$9:$B$50,0),MATCH(CONCATENATE($C24,N$7),'Auxiliar Resultados'!$C$6:$BO$6,0)),"")))</f>
        <v/>
      </c>
      <c r="O24" s="52" t="str">
        <f>+IF(IF($B24="","",IFERROR(INDEX('Auxiliar Resultados'!$C$9:$BO$50,MATCH($B24,'Auxiliar Resultados'!$B$9:$B$50,0),MATCH(CONCATENATE($C24,O$7),'Auxiliar Resultados'!$C$6:$BO$6,0)),""))=0,"",IF($B24="","",IFERROR(INDEX('Auxiliar Resultados'!$C$9:$BO$50,MATCH($B24,'Auxiliar Resultados'!$B$9:$B$50,0),MATCH(CONCATENATE($C24,O$7),'Auxiliar Resultados'!$C$6:$BO$6,0)),"")))</f>
        <v/>
      </c>
      <c r="P24" s="52" t="str">
        <f>+IF(IF($B24="","",IFERROR(INDEX('Auxiliar Resultados'!$C$9:$BO$50,MATCH($B24,'Auxiliar Resultados'!$B$9:$B$50,0),MATCH(CONCATENATE($C24,P$7),'Auxiliar Resultados'!$C$6:$BO$6,0)),""))=0,"",IF($B24="","",IFERROR(INDEX('Auxiliar Resultados'!$C$9:$BO$50,MATCH($B24,'Auxiliar Resultados'!$B$9:$B$50,0),MATCH(CONCATENATE($C24,P$7),'Auxiliar Resultados'!$C$6:$BO$6,0)),"")))</f>
        <v/>
      </c>
      <c r="Q24" s="52" t="str">
        <f>+IF(IF($B24="","",IFERROR(INDEX('Auxiliar Resultados'!$C$9:$BO$50,MATCH($B24,'Auxiliar Resultados'!$B$9:$B$50,0),MATCH(CONCATENATE($C24,Q$7),'Auxiliar Resultados'!$C$6:$BO$6,0)),""))=0,"",IF($B24="","",IFERROR(INDEX('Auxiliar Resultados'!$C$9:$BO$50,MATCH($B24,'Auxiliar Resultados'!$B$9:$B$50,0),MATCH(CONCATENATE($C24,Q$7),'Auxiliar Resultados'!$C$6:$BO$6,0)),"")))</f>
        <v/>
      </c>
      <c r="R24" s="52" t="str">
        <f>+IF(IF($B24="","",IFERROR(INDEX('Auxiliar Resultados'!$C$9:$BO$50,MATCH($B24,'Auxiliar Resultados'!$B$9:$B$50,0),MATCH(CONCATENATE($C24,R$7),'Auxiliar Resultados'!$C$6:$BO$6,0)),""))=0,"",IF($B24="","",IFERROR(INDEX('Auxiliar Resultados'!$C$9:$BO$50,MATCH($B24,'Auxiliar Resultados'!$B$9:$B$50,0),MATCH(CONCATENATE($C24,R$7),'Auxiliar Resultados'!$C$6:$BO$6,0)),"")))</f>
        <v/>
      </c>
      <c r="S24" s="52" t="str">
        <f>+IF(IF($B24="","",IFERROR(INDEX('Auxiliar Resultados'!$C$9:$BO$50,MATCH($B24,'Auxiliar Resultados'!$B$9:$B$50,0),MATCH(CONCATENATE($C24,S$7),'Auxiliar Resultados'!$C$6:$BO$6,0)),""))=0,"",IF($B24="","",IFERROR(INDEX('Auxiliar Resultados'!$C$9:$BO$50,MATCH($B24,'Auxiliar Resultados'!$B$9:$B$50,0),MATCH(CONCATENATE($C24,S$7),'Auxiliar Resultados'!$C$6:$BO$6,0)),"")))</f>
        <v/>
      </c>
      <c r="T24" s="52" t="str">
        <f>+IF(IF($B24="","",IFERROR(INDEX('Auxiliar Resultados'!$C$9:$BO$50,MATCH($B24,'Auxiliar Resultados'!$B$9:$B$50,0),MATCH(CONCATENATE($C24,T$7),'Auxiliar Resultados'!$C$6:$BO$6,0)),""))=0,"",IF($B24="","",IFERROR(INDEX('Auxiliar Resultados'!$C$9:$BO$50,MATCH($B24,'Auxiliar Resultados'!$B$9:$B$50,0),MATCH(CONCATENATE($C24,T$7),'Auxiliar Resultados'!$C$6:$BO$6,0)),"")))</f>
        <v/>
      </c>
      <c r="U24" s="52" t="str">
        <f>+IF(IF($B24="","",IFERROR(INDEX('Auxiliar Resultados'!$C$9:$BO$50,MATCH($B24,'Auxiliar Resultados'!$B$9:$B$50,0),MATCH(CONCATENATE($C24,U$7),'Auxiliar Resultados'!$C$6:$BO$6,0)),""))=0,"",IF($B24="","",IFERROR(INDEX('Auxiliar Resultados'!$C$9:$BO$50,MATCH($B24,'Auxiliar Resultados'!$B$9:$B$50,0),MATCH(CONCATENATE($C24,U$7),'Auxiliar Resultados'!$C$6:$BO$6,0)),"")))</f>
        <v/>
      </c>
      <c r="V24" s="52" t="str">
        <f>+IF(IF($B24="","",IFERROR(INDEX('Auxiliar Resultados'!$C$9:$BO$50,MATCH($B24,'Auxiliar Resultados'!$B$9:$B$50,0),MATCH(CONCATENATE($C24,V$7),'Auxiliar Resultados'!$C$6:$BO$6,0)),""))=0,"",IF($B24="","",IFERROR(INDEX('Auxiliar Resultados'!$C$9:$BO$50,MATCH($B24,'Auxiliar Resultados'!$B$9:$B$50,0),MATCH(CONCATENATE($C24,V$7),'Auxiliar Resultados'!$C$6:$BO$6,0)),"")))</f>
        <v/>
      </c>
      <c r="W24" s="52" t="str">
        <f>+IF(IF($B24="","",IFERROR(INDEX('Auxiliar Resultados'!$C$9:$BO$50,MATCH($B24,'Auxiliar Resultados'!$B$9:$B$50,0),MATCH(CONCATENATE($C24,W$7),'Auxiliar Resultados'!$C$6:$BO$6,0)),""))=0,"",IF($B24="","",IFERROR(INDEX('Auxiliar Resultados'!$C$9:$BO$50,MATCH($B24,'Auxiliar Resultados'!$B$9:$B$50,0),MATCH(CONCATENATE($C24,W$7),'Auxiliar Resultados'!$C$6:$BO$6,0)),"")))</f>
        <v/>
      </c>
      <c r="X24" s="52" t="str">
        <f>+IF(IF($B24="","",IFERROR(INDEX('Auxiliar Resultados'!$C$9:$BO$50,MATCH($B24,'Auxiliar Resultados'!$B$9:$B$50,0),MATCH(CONCATENATE($C24,X$7),'Auxiliar Resultados'!$C$6:$BO$6,0)),""))=0,"",IF($B24="","",IFERROR(INDEX('Auxiliar Resultados'!$C$9:$BO$50,MATCH($B24,'Auxiliar Resultados'!$B$9:$B$50,0),MATCH(CONCATENATE($C24,X$7),'Auxiliar Resultados'!$C$6:$BO$6,0)),"")))</f>
        <v/>
      </c>
      <c r="Y24" s="52" t="str">
        <f>+IF(IF($B24="","",IFERROR(INDEX('Auxiliar Resultados'!$C$9:$BO$50,MATCH($B24,'Auxiliar Resultados'!$B$9:$B$50,0),MATCH(CONCATENATE($C24,Y$7),'Auxiliar Resultados'!$C$6:$BO$6,0)),""))=0,"",IF($B24="","",IFERROR(INDEX('Auxiliar Resultados'!$C$9:$BO$50,MATCH($B24,'Auxiliar Resultados'!$B$9:$B$50,0),MATCH(CONCATENATE($C24,Y$7),'Auxiliar Resultados'!$C$6:$BO$6,0)),"")))</f>
        <v/>
      </c>
      <c r="Z24" s="52" t="str">
        <f>+IF(IF($B24="","",IFERROR(INDEX('Auxiliar Resultados'!$C$9:$BO$50,MATCH($B24,'Auxiliar Resultados'!$B$9:$B$50,0),MATCH(CONCATENATE($C24,Z$7),'Auxiliar Resultados'!$C$6:$BO$6,0)),""))=0,"",IF($B24="","",IFERROR(INDEX('Auxiliar Resultados'!$C$9:$BO$50,MATCH($B24,'Auxiliar Resultados'!$B$9:$B$50,0),MATCH(CONCATENATE($C24,Z$7),'Auxiliar Resultados'!$C$6:$BO$6,0)),"")))</f>
        <v/>
      </c>
      <c r="AA24" s="52" t="str">
        <f>+IF(IF($B24="","",IFERROR(INDEX('Auxiliar Resultados'!$C$9:$BO$50,MATCH($B24,'Auxiliar Resultados'!$B$9:$B$50,0),MATCH(CONCATENATE($C24,AA$7),'Auxiliar Resultados'!$C$6:$BO$6,0)),""))=0,"",IF($B24="","",IFERROR(INDEX('Auxiliar Resultados'!$C$9:$BO$50,MATCH($B24,'Auxiliar Resultados'!$B$9:$B$50,0),MATCH(CONCATENATE($C24,AA$7),'Auxiliar Resultados'!$C$6:$BO$6,0)),"")))</f>
        <v/>
      </c>
      <c r="AB24" s="52" t="str">
        <f>+IF(IF($B24="","",IFERROR(INDEX('Auxiliar Resultados'!$C$9:$BO$50,MATCH($B24,'Auxiliar Resultados'!$B$9:$B$50,0),MATCH(CONCATENATE($C24,AB$7),'Auxiliar Resultados'!$C$6:$BO$6,0)),""))=0,"",IF($B24="","",IFERROR(INDEX('Auxiliar Resultados'!$C$9:$BO$50,MATCH($B24,'Auxiliar Resultados'!$B$9:$B$50,0),MATCH(CONCATENATE($C24,AB$7),'Auxiliar Resultados'!$C$6:$BO$6,0)),"")))</f>
        <v/>
      </c>
      <c r="AC24" s="52" t="str">
        <f>+IF(IF($B24="","",IFERROR(INDEX('Auxiliar Resultados'!$C$9:$BO$50,MATCH($B24,'Auxiliar Resultados'!$B$9:$B$50,0),MATCH(CONCATENATE($C24,AC$7),'Auxiliar Resultados'!$C$6:$BO$6,0)),""))=0,"",IF($B24="","",IFERROR(INDEX('Auxiliar Resultados'!$C$9:$BO$50,MATCH($B24,'Auxiliar Resultados'!$B$9:$B$50,0),MATCH(CONCATENATE($C24,AC$7),'Auxiliar Resultados'!$C$6:$BO$6,0)),"")))</f>
        <v/>
      </c>
      <c r="AD24" s="52" t="str">
        <f>+IF(IF($B24="","",IFERROR(INDEX('Auxiliar Resultados'!$C$9:$BO$50,MATCH($B24,'Auxiliar Resultados'!$B$9:$B$50,0),MATCH(CONCATENATE($C24,AD$7),'Auxiliar Resultados'!$C$6:$BO$6,0)),""))=0,"",IF($B24="","",IFERROR(INDEX('Auxiliar Resultados'!$C$9:$BO$50,MATCH($B24,'Auxiliar Resultados'!$B$9:$B$50,0),MATCH(CONCATENATE($C24,AD$7),'Auxiliar Resultados'!$C$6:$BO$6,0)),"")))</f>
        <v/>
      </c>
      <c r="AE24" s="52" t="str">
        <f>+IF(IF($B24="","",IFERROR(INDEX('Auxiliar Resultados'!$C$9:$BO$50,MATCH($B24,'Auxiliar Resultados'!$B$9:$B$50,0),MATCH(CONCATENATE($C24,AE$7),'Auxiliar Resultados'!$C$6:$BO$6,0)),""))=0,"",IF($B24="","",IFERROR(INDEX('Auxiliar Resultados'!$C$9:$BO$50,MATCH($B24,'Auxiliar Resultados'!$B$9:$B$50,0),MATCH(CONCATENATE($C24,AE$7),'Auxiliar Resultados'!$C$6:$BO$6,0)),"")))</f>
        <v/>
      </c>
      <c r="AF24" s="52" t="str">
        <f>+IF(IF($B24="","",IFERROR(INDEX('Auxiliar Resultados'!$C$9:$BO$50,MATCH($B24,'Auxiliar Resultados'!$B$9:$B$50,0),MATCH(CONCATENATE($C24,AF$7),'Auxiliar Resultados'!$C$6:$BO$6,0)),""))=0,"",IF($B24="","",IFERROR(INDEX('Auxiliar Resultados'!$C$9:$BO$50,MATCH($B24,'Auxiliar Resultados'!$B$9:$B$50,0),MATCH(CONCATENATE($C24,AF$7),'Auxiliar Resultados'!$C$6:$BO$6,0)),"")))</f>
        <v/>
      </c>
      <c r="AG24" s="52" t="str">
        <f>+IF(IF($B24="","",IFERROR(INDEX('Auxiliar Resultados'!$C$9:$BO$50,MATCH($B24,'Auxiliar Resultados'!$B$9:$B$50,0),MATCH(CONCATENATE($C24,AG$7),'Auxiliar Resultados'!$C$6:$BO$6,0)),""))=0,"",IF($B24="","",IFERROR(INDEX('Auxiliar Resultados'!$C$9:$BO$50,MATCH($B24,'Auxiliar Resultados'!$B$9:$B$50,0),MATCH(CONCATENATE($C24,AG$7),'Auxiliar Resultados'!$C$6:$BO$6,0)),"")))</f>
        <v/>
      </c>
      <c r="AH24" s="52" t="str">
        <f>+IF(IF($B24="","",IFERROR(INDEX('Auxiliar Resultados'!$C$9:$BO$50,MATCH($B24,'Auxiliar Resultados'!$B$9:$B$50,0),MATCH(CONCATENATE($C24,AH$7),'Auxiliar Resultados'!$C$6:$BO$6,0)),""))=0,"",IF($B24="","",IFERROR(INDEX('Auxiliar Resultados'!$C$9:$BO$50,MATCH($B24,'Auxiliar Resultados'!$B$9:$B$50,0),MATCH(CONCATENATE($C24,AH$7),'Auxiliar Resultados'!$C$6:$BO$6,0)),"")))</f>
        <v/>
      </c>
      <c r="AI24" s="52" t="str">
        <f>+IF(IF($B24="","",IFERROR(INDEX('Auxiliar Resultados'!$C$9:$BO$50,MATCH($B24,'Auxiliar Resultados'!$B$9:$B$50,0),MATCH(CONCATENATE($C24,AI$7),'Auxiliar Resultados'!$C$6:$BO$6,0)),""))=0,"",IF($B24="","",IFERROR(INDEX('Auxiliar Resultados'!$C$9:$BO$50,MATCH($B24,'Auxiliar Resultados'!$B$9:$B$50,0),MATCH(CONCATENATE($C24,AI$7),'Auxiliar Resultados'!$C$6:$BO$6,0)),"")))</f>
        <v/>
      </c>
      <c r="AJ24" s="52" t="str">
        <f>+IF(IF($B24="","",IFERROR(INDEX('Auxiliar Resultados'!$C$9:$BO$50,MATCH($B24,'Auxiliar Resultados'!$B$9:$B$50,0),MATCH(CONCATENATE($C24,AJ$7),'Auxiliar Resultados'!$C$6:$BO$6,0)),""))=0,"",IF($B24="","",IFERROR(INDEX('Auxiliar Resultados'!$C$9:$BO$50,MATCH($B24,'Auxiliar Resultados'!$B$9:$B$50,0),MATCH(CONCATENATE($C24,AJ$7),'Auxiliar Resultados'!$C$6:$BO$6,0)),"")))</f>
        <v/>
      </c>
      <c r="AK24" s="52" t="str">
        <f>+IF(IF($B24="","",IFERROR(INDEX('Auxiliar Resultados'!$C$9:$BO$50,MATCH($B24,'Auxiliar Resultados'!$B$9:$B$50,0),MATCH(CONCATENATE($C24,AK$7),'Auxiliar Resultados'!$C$6:$BO$6,0)),""))=0,"",IF($B24="","",IFERROR(INDEX('Auxiliar Resultados'!$C$9:$BO$50,MATCH($B24,'Auxiliar Resultados'!$B$9:$B$50,0),MATCH(CONCATENATE($C24,AK$7),'Auxiliar Resultados'!$C$6:$BO$6,0)),"")))</f>
        <v/>
      </c>
      <c r="AL24" s="52" t="str">
        <f>+IF(IF($B24="","",IFERROR(INDEX('Auxiliar Resultados'!$C$9:$BO$50,MATCH($B24,'Auxiliar Resultados'!$B$9:$B$50,0),MATCH(CONCATENATE($C24,AL$7),'Auxiliar Resultados'!$C$6:$BO$6,0)),""))=0,"",IF($B24="","",IFERROR(INDEX('Auxiliar Resultados'!$C$9:$BO$50,MATCH($B24,'Auxiliar Resultados'!$B$9:$B$50,0),MATCH(CONCATENATE($C24,AL$7),'Auxiliar Resultados'!$C$6:$BO$6,0)),"")))</f>
        <v/>
      </c>
      <c r="AM24" s="52" t="str">
        <f>+IF(IF($B24="","",IFERROR(INDEX('Auxiliar Resultados'!$C$9:$BO$50,MATCH($B24,'Auxiliar Resultados'!$B$9:$B$50,0),MATCH(CONCATENATE($C24,AM$7),'Auxiliar Resultados'!$C$6:$BO$6,0)),""))=0,"",IF($B24="","",IFERROR(INDEX('Auxiliar Resultados'!$C$9:$BO$50,MATCH($B24,'Auxiliar Resultados'!$B$9:$B$50,0),MATCH(CONCATENATE($C24,AM$7),'Auxiliar Resultados'!$C$6:$BO$6,0)),"")))</f>
        <v/>
      </c>
      <c r="AN24" s="52" t="str">
        <f>+IF(IF($B24="","",IFERROR(INDEX('Auxiliar Resultados'!$C$9:$BO$50,MATCH($B24,'Auxiliar Resultados'!$B$9:$B$50,0),MATCH(CONCATENATE($C24,AN$7),'Auxiliar Resultados'!$C$6:$BO$6,0)),""))=0,"",IF($B24="","",IFERROR(INDEX('Auxiliar Resultados'!$C$9:$BO$50,MATCH($B24,'Auxiliar Resultados'!$B$9:$B$50,0),MATCH(CONCATENATE($C24,AN$7),'Auxiliar Resultados'!$C$6:$BO$6,0)),"")))</f>
        <v/>
      </c>
      <c r="AO24" s="52" t="str">
        <f>+IF(IF($B24="","",IFERROR(INDEX('Auxiliar Resultados'!$C$9:$BO$50,MATCH($B24,'Auxiliar Resultados'!$B$9:$B$50,0),MATCH(CONCATENATE($C24,AO$7),'Auxiliar Resultados'!$C$6:$BO$6,0)),""))=0,"",IF($B24="","",IFERROR(INDEX('Auxiliar Resultados'!$C$9:$BO$50,MATCH($B24,'Auxiliar Resultados'!$B$9:$B$50,0),MATCH(CONCATENATE($C24,AO$7),'Auxiliar Resultados'!$C$6:$BO$6,0)),"")))</f>
        <v/>
      </c>
      <c r="AP24" s="52" t="str">
        <f>+IF(IF($B24="","",IFERROR(INDEX('Auxiliar Resultados'!$C$9:$BO$50,MATCH($B24,'Auxiliar Resultados'!$B$9:$B$50,0),MATCH(CONCATENATE($C24,AP$7),'Auxiliar Resultados'!$C$6:$BO$6,0)),""))=0,"",IF($B24="","",IFERROR(INDEX('Auxiliar Resultados'!$C$9:$BO$50,MATCH($B24,'Auxiliar Resultados'!$B$9:$B$50,0),MATCH(CONCATENATE($C24,AP$7),'Auxiliar Resultados'!$C$6:$BO$6,0)),"")))</f>
        <v/>
      </c>
      <c r="AQ24" s="276" t="str">
        <f>+IF(IF($B24="","",IFERROR(INDEX('Auxiliar Resultados'!$C$9:$BO$50,MATCH($B24,'Auxiliar Resultados'!$B$9:$B$50,0),MATCH(CONCATENATE($C24,AQ$7),'Auxiliar Resultados'!$C$6:$BO$6,0)),""))=0,"",IF($B24="","",IFERROR(INDEX('Auxiliar Resultados'!$C$9:$BO$50,MATCH($B24,'Auxiliar Resultados'!$B$9:$B$50,0),MATCH(CONCATENATE($C24,AQ$7),'Auxiliar Resultados'!$C$6:$BO$6,0)),"")))</f>
        <v/>
      </c>
      <c r="AS24" s="46" t="str">
        <f t="shared" si="5"/>
        <v/>
      </c>
      <c r="AT24" s="292" t="str">
        <f t="shared" si="6"/>
        <v/>
      </c>
      <c r="AU24" s="36" t="str">
        <f>+IF(G24="","",INDEX('Modelo Optimización'!$AZ$4:$CO$149,MATCH(CONCATENATE(AU$7,$AT24),'Modelo Optimización'!$CQ$4:$CQ$149,0),MATCH($AS24,'Modelo Optimización'!$AZ$3:$CO$3,0)))</f>
        <v/>
      </c>
      <c r="AV24" s="32" t="str">
        <f>+IF(H24="","",INDEX('Modelo Optimización'!$AZ$4:$CO$149,MATCH(CONCATENATE(AV$7,$AT24),'Modelo Optimización'!$CQ$4:$CQ$149,0),MATCH($AS24,'Modelo Optimización'!$AZ$3:$CO$3,0)))</f>
        <v/>
      </c>
      <c r="AW24" s="32" t="str">
        <f>+IF(I24="","",INDEX('Modelo Optimización'!$AZ$4:$CO$149,MATCH(CONCATENATE(AW$7,$AT24),'Modelo Optimización'!$CQ$4:$CQ$149,0),MATCH($AS24,'Modelo Optimización'!$AZ$3:$CO$3,0)))</f>
        <v/>
      </c>
      <c r="AX24" s="32" t="str">
        <f>+IF(J24="","",INDEX('Modelo Optimización'!$AZ$4:$CO$149,MATCH(CONCATENATE(AX$7,$AT24),'Modelo Optimización'!$CQ$4:$CQ$149,0),MATCH($AS24,'Modelo Optimización'!$AZ$3:$CO$3,0)))</f>
        <v/>
      </c>
      <c r="AY24" s="32" t="str">
        <f>+IF(K24="","",INDEX('Modelo Optimización'!$AZ$4:$CO$149,MATCH(CONCATENATE(AY$7,$AT24),'Modelo Optimización'!$CQ$4:$CQ$149,0),MATCH($AS24,'Modelo Optimización'!$AZ$3:$CO$3,0)))</f>
        <v/>
      </c>
      <c r="AZ24" s="32" t="str">
        <f>+IF(L24="","",INDEX('Modelo Optimización'!$AZ$4:$CO$149,MATCH(CONCATENATE(AZ$7,$AT24),'Modelo Optimización'!$CQ$4:$CQ$149,0),MATCH($AS24,'Modelo Optimización'!$AZ$3:$CO$3,0)))</f>
        <v/>
      </c>
      <c r="BA24" s="32" t="str">
        <f>+IF(M24="","",INDEX('Modelo Optimización'!$AZ$4:$CO$149,MATCH(CONCATENATE(BA$7,$AT24),'Modelo Optimización'!$CQ$4:$CQ$149,0),MATCH($AS24,'Modelo Optimización'!$AZ$3:$CO$3,0)))</f>
        <v/>
      </c>
      <c r="BB24" s="32" t="str">
        <f>+IF(N24="","",INDEX('Modelo Optimización'!$AZ$4:$CO$149,MATCH(CONCATENATE(BB$7,$AT24),'Modelo Optimización'!$CQ$4:$CQ$149,0),MATCH($AS24,'Modelo Optimización'!$AZ$3:$CO$3,0)))</f>
        <v/>
      </c>
      <c r="BC24" s="32" t="str">
        <f>+IF(O24="","",INDEX('Modelo Optimización'!$AZ$4:$CO$149,MATCH(CONCATENATE(BC$7,$AT24),'Modelo Optimización'!$CQ$4:$CQ$149,0),MATCH($AS24,'Modelo Optimización'!$AZ$3:$CO$3,0)))</f>
        <v/>
      </c>
      <c r="BD24" s="32" t="str">
        <f>+IF(P24="","",INDEX('Modelo Optimización'!$AZ$4:$CO$149,MATCH(CONCATENATE(BD$7,$AT24),'Modelo Optimización'!$CQ$4:$CQ$149,0),MATCH($AS24,'Modelo Optimización'!$AZ$3:$CO$3,0)))</f>
        <v/>
      </c>
      <c r="BE24" s="32" t="str">
        <f>+IF(Q24="","",INDEX('Modelo Optimización'!$AZ$4:$CO$149,MATCH(CONCATENATE(BE$7,$AT24),'Modelo Optimización'!$CQ$4:$CQ$149,0),MATCH($AS24,'Modelo Optimización'!$AZ$3:$CO$3,0)))</f>
        <v/>
      </c>
      <c r="BF24" s="32" t="str">
        <f>+IF(R24="","",INDEX('Modelo Optimización'!$AZ$4:$CO$149,MATCH(CONCATENATE(BF$7,$AT24),'Modelo Optimización'!$CQ$4:$CQ$149,0),MATCH($AS24,'Modelo Optimización'!$AZ$3:$CO$3,0)))</f>
        <v/>
      </c>
      <c r="BG24" s="32" t="str">
        <f>+IF(S24="","",INDEX('Modelo Optimización'!$AZ$4:$CO$149,MATCH(CONCATENATE(BG$7,$AT24),'Modelo Optimización'!$CQ$4:$CQ$149,0),MATCH($AS24,'Modelo Optimización'!$AZ$3:$CO$3,0)))</f>
        <v/>
      </c>
      <c r="BH24" s="32" t="str">
        <f>+IF(T24="","",INDEX('Modelo Optimización'!$AZ$4:$CO$149,MATCH(CONCATENATE(BH$7,$AT24),'Modelo Optimización'!$CQ$4:$CQ$149,0),MATCH($AS24,'Modelo Optimización'!$AZ$3:$CO$3,0)))</f>
        <v/>
      </c>
      <c r="BI24" s="32" t="str">
        <f>+IF(U24="","",INDEX('Modelo Optimización'!$AZ$4:$CO$149,MATCH(CONCATENATE(BI$7,$AT24),'Modelo Optimización'!$CQ$4:$CQ$149,0),MATCH($AS24,'Modelo Optimización'!$AZ$3:$CO$3,0)))</f>
        <v/>
      </c>
      <c r="BJ24" s="32" t="str">
        <f>+IF(V24="","",INDEX('Modelo Optimización'!$AZ$4:$CO$149,MATCH(CONCATENATE(BJ$7,$AT24),'Modelo Optimización'!$CQ$4:$CQ$149,0),MATCH($AS24,'Modelo Optimización'!$AZ$3:$CO$3,0)))</f>
        <v/>
      </c>
      <c r="BK24" s="32" t="str">
        <f>+IF(W24="","",INDEX('Modelo Optimización'!$AZ$4:$CO$149,MATCH(CONCATENATE(BK$7,$AT24),'Modelo Optimización'!$CQ$4:$CQ$149,0),MATCH($AS24,'Modelo Optimización'!$AZ$3:$CO$3,0)))</f>
        <v/>
      </c>
      <c r="BL24" s="32" t="str">
        <f>+IF(X24="","",INDEX('Modelo Optimización'!$AZ$4:$CO$149,MATCH(CONCATENATE(BL$7,$AT24),'Modelo Optimización'!$CQ$4:$CQ$149,0),MATCH($AS24,'Modelo Optimización'!$AZ$3:$CO$3,0)))</f>
        <v/>
      </c>
      <c r="BM24" s="32" t="str">
        <f>+IF(Y24="","",INDEX('Modelo Optimización'!$AZ$4:$CO$149,MATCH(CONCATENATE(BM$7,$AT24),'Modelo Optimización'!$CQ$4:$CQ$149,0),MATCH($AS24,'Modelo Optimización'!$AZ$3:$CO$3,0)))</f>
        <v/>
      </c>
      <c r="BN24" s="32" t="str">
        <f>+IF(Z24="","",INDEX('Modelo Optimización'!$AZ$4:$CO$149,MATCH(CONCATENATE(BN$7,$AT24),'Modelo Optimización'!$CQ$4:$CQ$149,0),MATCH($AS24,'Modelo Optimización'!$AZ$3:$CO$3,0)))</f>
        <v/>
      </c>
      <c r="BO24" s="32" t="str">
        <f>+IF(AA24="","",INDEX('Modelo Optimización'!$AZ$4:$CO$149,MATCH(CONCATENATE(BO$7,$AT24),'Modelo Optimización'!$CQ$4:$CQ$149,0),MATCH($AS24,'Modelo Optimización'!$AZ$3:$CO$3,0)))</f>
        <v/>
      </c>
      <c r="BP24" s="32" t="str">
        <f>+IF(AB24="","",INDEX('Modelo Optimización'!$AZ$4:$CO$149,MATCH(CONCATENATE(BP$7,$AT24),'Modelo Optimización'!$CQ$4:$CQ$149,0),MATCH($AS24,'Modelo Optimización'!$AZ$3:$CO$3,0)))</f>
        <v/>
      </c>
      <c r="BQ24" s="32" t="str">
        <f>+IF(AC24="","",INDEX('Modelo Optimización'!$AZ$4:$CO$149,MATCH(CONCATENATE(BQ$7,$AT24),'Modelo Optimización'!$CQ$4:$CQ$149,0),MATCH($AS24,'Modelo Optimización'!$AZ$3:$CO$3,0)))</f>
        <v/>
      </c>
      <c r="BR24" s="32" t="str">
        <f>+IF(AD24="","",INDEX('Modelo Optimización'!$AZ$4:$CO$149,MATCH(CONCATENATE(BR$7,$AT24),'Modelo Optimización'!$CQ$4:$CQ$149,0),MATCH($AS24,'Modelo Optimización'!$AZ$3:$CO$3,0)))</f>
        <v/>
      </c>
      <c r="BS24" s="32" t="str">
        <f>+IF(AE24="","",INDEX('Modelo Optimización'!$AZ$4:$CO$149,MATCH(CONCATENATE(BS$7,$AT24),'Modelo Optimización'!$CQ$4:$CQ$149,0),MATCH($AS24,'Modelo Optimización'!$AZ$3:$CO$3,0)))</f>
        <v/>
      </c>
      <c r="BT24" s="32" t="str">
        <f>+IF(AF24="","",INDEX('Modelo Optimización'!$AZ$4:$CO$149,MATCH(CONCATENATE(BT$7,$AT24),'Modelo Optimización'!$CQ$4:$CQ$149,0),MATCH($AS24,'Modelo Optimización'!$AZ$3:$CO$3,0)))</f>
        <v/>
      </c>
      <c r="BU24" s="32" t="str">
        <f>+IF(AG24="","",INDEX('Modelo Optimización'!$AZ$4:$CO$149,MATCH(CONCATENATE(BU$7,$AT24),'Modelo Optimización'!$CQ$4:$CQ$149,0),MATCH($AS24,'Modelo Optimización'!$AZ$3:$CO$3,0)))</f>
        <v/>
      </c>
      <c r="BV24" s="32" t="str">
        <f>+IF(AH24="","",INDEX('Modelo Optimización'!$AZ$4:$CO$149,MATCH(CONCATENATE(BV$7,$AT24),'Modelo Optimización'!$CQ$4:$CQ$149,0),MATCH($AS24,'Modelo Optimización'!$AZ$3:$CO$3,0)))</f>
        <v/>
      </c>
      <c r="BW24" s="32" t="str">
        <f>+IF(AI24="","",INDEX('Modelo Optimización'!$AZ$4:$CO$149,MATCH(CONCATENATE(BW$7,$AT24),'Modelo Optimización'!$CQ$4:$CQ$149,0),MATCH($AS24,'Modelo Optimización'!$AZ$3:$CO$3,0)))</f>
        <v/>
      </c>
      <c r="BX24" s="32" t="str">
        <f>+IF(AJ24="","",INDEX('Modelo Optimización'!$AZ$4:$CO$149,MATCH(CONCATENATE(BX$7,$AT24),'Modelo Optimización'!$CQ$4:$CQ$149,0),MATCH($AS24,'Modelo Optimización'!$AZ$3:$CO$3,0)))</f>
        <v/>
      </c>
      <c r="BY24" s="32" t="str">
        <f>+IF(AK24="","",INDEX('Modelo Optimización'!$AZ$4:$CO$149,MATCH(CONCATENATE(BY$7,$AT24),'Modelo Optimización'!$CQ$4:$CQ$149,0),MATCH($AS24,'Modelo Optimización'!$AZ$3:$CO$3,0)))</f>
        <v/>
      </c>
      <c r="BZ24" s="32" t="str">
        <f>+IF(AL24="","",INDEX('Modelo Optimización'!$AZ$4:$CO$149,MATCH(CONCATENATE(BZ$7,$AT24),'Modelo Optimización'!$CQ$4:$CQ$149,0),MATCH($AS24,'Modelo Optimización'!$AZ$3:$CO$3,0)))</f>
        <v/>
      </c>
      <c r="CA24" s="32" t="str">
        <f>+IF(AM24="","",INDEX('Modelo Optimización'!$AZ$4:$CO$149,MATCH(CONCATENATE(CA$7,$AT24),'Modelo Optimización'!$CQ$4:$CQ$149,0),MATCH($AS24,'Modelo Optimización'!$AZ$3:$CO$3,0)))</f>
        <v/>
      </c>
      <c r="CB24" s="32" t="str">
        <f>+IF(AN24="","",INDEX('Modelo Optimización'!$AZ$4:$CO$149,MATCH(CONCATENATE(CB$7,$AT24),'Modelo Optimización'!$CQ$4:$CQ$149,0),MATCH($AS24,'Modelo Optimización'!$AZ$3:$CO$3,0)))</f>
        <v/>
      </c>
      <c r="CC24" s="32" t="str">
        <f>+IF(AO24="","",INDEX('Modelo Optimización'!$AZ$4:$CO$149,MATCH(CONCATENATE(CC$7,$AT24),'Modelo Optimización'!$CQ$4:$CQ$149,0),MATCH($AS24,'Modelo Optimización'!$AZ$3:$CO$3,0)))</f>
        <v/>
      </c>
      <c r="CD24" s="32" t="str">
        <f>+IF(AP24="","",INDEX('Modelo Optimización'!$AZ$4:$CO$149,MATCH(CONCATENATE(CD$7,$AT24),'Modelo Optimización'!$CQ$4:$CQ$149,0),MATCH($AS24,'Modelo Optimización'!$AZ$3:$CO$3,0)))</f>
        <v/>
      </c>
      <c r="CE24" s="37" t="str">
        <f>+IF(AQ24="","",INDEX('Modelo Optimización'!$AZ$4:$CO$149,MATCH(CONCATENATE(CE$7,$AT24),'Modelo Optimización'!$CQ$4:$CQ$149,0),MATCH($AS24,'Modelo Optimización'!$AZ$3:$CO$3,0)))</f>
        <v/>
      </c>
      <c r="CF24" s="301"/>
      <c r="CG24" s="305" t="str">
        <f t="shared" si="11"/>
        <v/>
      </c>
      <c r="CH24" s="303" t="str">
        <f t="shared" si="7"/>
        <v/>
      </c>
      <c r="CI24" s="292" t="str">
        <f t="shared" si="8"/>
        <v/>
      </c>
      <c r="CJ24" s="36" t="str">
        <f t="shared" si="12"/>
        <v/>
      </c>
      <c r="CK24" s="32" t="str">
        <f t="shared" si="13"/>
        <v/>
      </c>
      <c r="CL24" s="32" t="str">
        <f t="shared" si="14"/>
        <v/>
      </c>
      <c r="CM24" s="32" t="str">
        <f t="shared" si="15"/>
        <v/>
      </c>
      <c r="CN24" s="32" t="str">
        <f t="shared" si="16"/>
        <v/>
      </c>
      <c r="CO24" s="32" t="str">
        <f t="shared" si="17"/>
        <v/>
      </c>
      <c r="CP24" s="32" t="str">
        <f t="shared" si="18"/>
        <v/>
      </c>
      <c r="CQ24" s="32" t="str">
        <f t="shared" si="19"/>
        <v/>
      </c>
      <c r="CR24" s="32" t="str">
        <f t="shared" si="20"/>
        <v/>
      </c>
      <c r="CS24" s="32" t="str">
        <f t="shared" si="21"/>
        <v/>
      </c>
      <c r="CT24" s="32" t="str">
        <f t="shared" si="22"/>
        <v/>
      </c>
      <c r="CU24" s="32" t="str">
        <f t="shared" si="23"/>
        <v/>
      </c>
      <c r="CV24" s="32" t="str">
        <f t="shared" si="24"/>
        <v/>
      </c>
      <c r="CW24" s="32" t="str">
        <f t="shared" si="25"/>
        <v/>
      </c>
      <c r="CX24" s="32" t="str">
        <f t="shared" si="26"/>
        <v/>
      </c>
      <c r="CY24" s="32" t="str">
        <f t="shared" si="27"/>
        <v/>
      </c>
      <c r="CZ24" s="32" t="str">
        <f t="shared" si="28"/>
        <v/>
      </c>
      <c r="DA24" s="32" t="str">
        <f t="shared" si="29"/>
        <v/>
      </c>
      <c r="DB24" s="32" t="str">
        <f t="shared" si="30"/>
        <v/>
      </c>
      <c r="DC24" s="32" t="str">
        <f t="shared" si="31"/>
        <v/>
      </c>
      <c r="DD24" s="32" t="str">
        <f t="shared" si="32"/>
        <v/>
      </c>
      <c r="DE24" s="32" t="str">
        <f t="shared" si="33"/>
        <v/>
      </c>
      <c r="DF24" s="32" t="str">
        <f t="shared" si="34"/>
        <v/>
      </c>
      <c r="DG24" s="32" t="str">
        <f t="shared" si="35"/>
        <v/>
      </c>
      <c r="DH24" s="32" t="str">
        <f t="shared" si="36"/>
        <v/>
      </c>
      <c r="DI24" s="32" t="str">
        <f t="shared" si="37"/>
        <v/>
      </c>
      <c r="DJ24" s="32" t="str">
        <f t="shared" si="38"/>
        <v/>
      </c>
      <c r="DK24" s="32" t="str">
        <f t="shared" si="39"/>
        <v/>
      </c>
      <c r="DL24" s="32" t="str">
        <f t="shared" si="40"/>
        <v/>
      </c>
      <c r="DM24" s="32" t="str">
        <f t="shared" si="41"/>
        <v/>
      </c>
      <c r="DN24" s="32" t="str">
        <f t="shared" si="42"/>
        <v/>
      </c>
      <c r="DO24" s="32" t="str">
        <f t="shared" si="43"/>
        <v/>
      </c>
      <c r="DP24" s="32" t="str">
        <f t="shared" si="44"/>
        <v/>
      </c>
      <c r="DQ24" s="32" t="str">
        <f t="shared" si="45"/>
        <v/>
      </c>
      <c r="DR24" s="32" t="str">
        <f t="shared" si="46"/>
        <v/>
      </c>
      <c r="DS24" s="32" t="str">
        <f t="shared" si="47"/>
        <v/>
      </c>
      <c r="DT24" s="37" t="str">
        <f t="shared" si="48"/>
        <v/>
      </c>
    </row>
    <row r="25" spans="2:124" x14ac:dyDescent="0.35">
      <c r="B25" s="46"/>
      <c r="C25" s="212"/>
      <c r="D25" s="52"/>
      <c r="E25" s="52" t="str">
        <f>+IF(B25="","",IFERROR(SUMIF('Modelo Optimización'!$AS$72:$AS$217,C25,INDEX('Modelo Optimización'!$C$72:$AR$217,,MATCH(B25,'Modelo Optimización'!$C$71:$AR$71,0))),0))</f>
        <v/>
      </c>
      <c r="F25" s="281" t="str">
        <f t="shared" si="10"/>
        <v/>
      </c>
      <c r="G25" s="280" t="str">
        <f>+IF(IF($B25="","",IFERROR(INDEX('Auxiliar Resultados'!$C$9:$BO$50,MATCH($B25,'Auxiliar Resultados'!$B$9:$B$50,0),MATCH(CONCATENATE($C25,G$7),'Auxiliar Resultados'!$C$6:$BO$6,0)),""))=0,"",IF($B25="","",IFERROR(INDEX('Auxiliar Resultados'!$C$9:$BO$50,MATCH($B25,'Auxiliar Resultados'!$B$9:$B$50,0),MATCH(CONCATENATE($C25,G$7),'Auxiliar Resultados'!$C$6:$BO$6,0)),"")))</f>
        <v/>
      </c>
      <c r="H25" s="52" t="str">
        <f>+IF(IF($B25="","",IFERROR(INDEX('Auxiliar Resultados'!$C$9:$BO$50,MATCH($B25,'Auxiliar Resultados'!$B$9:$B$50,0),MATCH(CONCATENATE($C25,H$7),'Auxiliar Resultados'!$C$6:$BO$6,0)),""))=0,"",IF($B25="","",IFERROR(INDEX('Auxiliar Resultados'!$C$9:$BO$50,MATCH($B25,'Auxiliar Resultados'!$B$9:$B$50,0),MATCH(CONCATENATE($C25,H$7),'Auxiliar Resultados'!$C$6:$BO$6,0)),"")))</f>
        <v/>
      </c>
      <c r="I25" s="52" t="str">
        <f>+IF(IF($B25="","",IFERROR(INDEX('Auxiliar Resultados'!$C$9:$BO$50,MATCH($B25,'Auxiliar Resultados'!$B$9:$B$50,0),MATCH(CONCATENATE($C25,I$7),'Auxiliar Resultados'!$C$6:$BO$6,0)),""))=0,"",IF($B25="","",IFERROR(INDEX('Auxiliar Resultados'!$C$9:$BO$50,MATCH($B25,'Auxiliar Resultados'!$B$9:$B$50,0),MATCH(CONCATENATE($C25,I$7),'Auxiliar Resultados'!$C$6:$BO$6,0)),"")))</f>
        <v/>
      </c>
      <c r="J25" s="52" t="str">
        <f>+IF(IF($B25="","",IFERROR(INDEX('Auxiliar Resultados'!$C$9:$BO$50,MATCH($B25,'Auxiliar Resultados'!$B$9:$B$50,0),MATCH(CONCATENATE($C25,J$7),'Auxiliar Resultados'!$C$6:$BO$6,0)),""))=0,"",IF($B25="","",IFERROR(INDEX('Auxiliar Resultados'!$C$9:$BO$50,MATCH($B25,'Auxiliar Resultados'!$B$9:$B$50,0),MATCH(CONCATENATE($C25,J$7),'Auxiliar Resultados'!$C$6:$BO$6,0)),"")))</f>
        <v/>
      </c>
      <c r="K25" s="52" t="str">
        <f>+IF(IF($B25="","",IFERROR(INDEX('Auxiliar Resultados'!$C$9:$BO$50,MATCH($B25,'Auxiliar Resultados'!$B$9:$B$50,0),MATCH(CONCATENATE($C25,K$7),'Auxiliar Resultados'!$C$6:$BO$6,0)),""))=0,"",IF($B25="","",IFERROR(INDEX('Auxiliar Resultados'!$C$9:$BO$50,MATCH($B25,'Auxiliar Resultados'!$B$9:$B$50,0),MATCH(CONCATENATE($C25,K$7),'Auxiliar Resultados'!$C$6:$BO$6,0)),"")))</f>
        <v/>
      </c>
      <c r="L25" s="52" t="str">
        <f>+IF(IF($B25="","",IFERROR(INDEX('Auxiliar Resultados'!$C$9:$BO$50,MATCH($B25,'Auxiliar Resultados'!$B$9:$B$50,0),MATCH(CONCATENATE($C25,L$7),'Auxiliar Resultados'!$C$6:$BO$6,0)),""))=0,"",IF($B25="","",IFERROR(INDEX('Auxiliar Resultados'!$C$9:$BO$50,MATCH($B25,'Auxiliar Resultados'!$B$9:$B$50,0),MATCH(CONCATENATE($C25,L$7),'Auxiliar Resultados'!$C$6:$BO$6,0)),"")))</f>
        <v/>
      </c>
      <c r="M25" s="52" t="str">
        <f>+IF(IF($B25="","",IFERROR(INDEX('Auxiliar Resultados'!$C$9:$BO$50,MATCH($B25,'Auxiliar Resultados'!$B$9:$B$50,0),MATCH(CONCATENATE($C25,M$7),'Auxiliar Resultados'!$C$6:$BO$6,0)),""))=0,"",IF($B25="","",IFERROR(INDEX('Auxiliar Resultados'!$C$9:$BO$50,MATCH($B25,'Auxiliar Resultados'!$B$9:$B$50,0),MATCH(CONCATENATE($C25,M$7),'Auxiliar Resultados'!$C$6:$BO$6,0)),"")))</f>
        <v/>
      </c>
      <c r="N25" s="52" t="str">
        <f>+IF(IF($B25="","",IFERROR(INDEX('Auxiliar Resultados'!$C$9:$BO$50,MATCH($B25,'Auxiliar Resultados'!$B$9:$B$50,0),MATCH(CONCATENATE($C25,N$7),'Auxiliar Resultados'!$C$6:$BO$6,0)),""))=0,"",IF($B25="","",IFERROR(INDEX('Auxiliar Resultados'!$C$9:$BO$50,MATCH($B25,'Auxiliar Resultados'!$B$9:$B$50,0),MATCH(CONCATENATE($C25,N$7),'Auxiliar Resultados'!$C$6:$BO$6,0)),"")))</f>
        <v/>
      </c>
      <c r="O25" s="52" t="str">
        <f>+IF(IF($B25="","",IFERROR(INDEX('Auxiliar Resultados'!$C$9:$BO$50,MATCH($B25,'Auxiliar Resultados'!$B$9:$B$50,0),MATCH(CONCATENATE($C25,O$7),'Auxiliar Resultados'!$C$6:$BO$6,0)),""))=0,"",IF($B25="","",IFERROR(INDEX('Auxiliar Resultados'!$C$9:$BO$50,MATCH($B25,'Auxiliar Resultados'!$B$9:$B$50,0),MATCH(CONCATENATE($C25,O$7),'Auxiliar Resultados'!$C$6:$BO$6,0)),"")))</f>
        <v/>
      </c>
      <c r="P25" s="52" t="str">
        <f>+IF(IF($B25="","",IFERROR(INDEX('Auxiliar Resultados'!$C$9:$BO$50,MATCH($B25,'Auxiliar Resultados'!$B$9:$B$50,0),MATCH(CONCATENATE($C25,P$7),'Auxiliar Resultados'!$C$6:$BO$6,0)),""))=0,"",IF($B25="","",IFERROR(INDEX('Auxiliar Resultados'!$C$9:$BO$50,MATCH($B25,'Auxiliar Resultados'!$B$9:$B$50,0),MATCH(CONCATENATE($C25,P$7),'Auxiliar Resultados'!$C$6:$BO$6,0)),"")))</f>
        <v/>
      </c>
      <c r="Q25" s="52" t="str">
        <f>+IF(IF($B25="","",IFERROR(INDEX('Auxiliar Resultados'!$C$9:$BO$50,MATCH($B25,'Auxiliar Resultados'!$B$9:$B$50,0),MATCH(CONCATENATE($C25,Q$7),'Auxiliar Resultados'!$C$6:$BO$6,0)),""))=0,"",IF($B25="","",IFERROR(INDEX('Auxiliar Resultados'!$C$9:$BO$50,MATCH($B25,'Auxiliar Resultados'!$B$9:$B$50,0),MATCH(CONCATENATE($C25,Q$7),'Auxiliar Resultados'!$C$6:$BO$6,0)),"")))</f>
        <v/>
      </c>
      <c r="R25" s="52" t="str">
        <f>+IF(IF($B25="","",IFERROR(INDEX('Auxiliar Resultados'!$C$9:$BO$50,MATCH($B25,'Auxiliar Resultados'!$B$9:$B$50,0),MATCH(CONCATENATE($C25,R$7),'Auxiliar Resultados'!$C$6:$BO$6,0)),""))=0,"",IF($B25="","",IFERROR(INDEX('Auxiliar Resultados'!$C$9:$BO$50,MATCH($B25,'Auxiliar Resultados'!$B$9:$B$50,0),MATCH(CONCATENATE($C25,R$7),'Auxiliar Resultados'!$C$6:$BO$6,0)),"")))</f>
        <v/>
      </c>
      <c r="S25" s="52" t="str">
        <f>+IF(IF($B25="","",IFERROR(INDEX('Auxiliar Resultados'!$C$9:$BO$50,MATCH($B25,'Auxiliar Resultados'!$B$9:$B$50,0),MATCH(CONCATENATE($C25,S$7),'Auxiliar Resultados'!$C$6:$BO$6,0)),""))=0,"",IF($B25="","",IFERROR(INDEX('Auxiliar Resultados'!$C$9:$BO$50,MATCH($B25,'Auxiliar Resultados'!$B$9:$B$50,0),MATCH(CONCATENATE($C25,S$7),'Auxiliar Resultados'!$C$6:$BO$6,0)),"")))</f>
        <v/>
      </c>
      <c r="T25" s="52" t="str">
        <f>+IF(IF($B25="","",IFERROR(INDEX('Auxiliar Resultados'!$C$9:$BO$50,MATCH($B25,'Auxiliar Resultados'!$B$9:$B$50,0),MATCH(CONCATENATE($C25,T$7),'Auxiliar Resultados'!$C$6:$BO$6,0)),""))=0,"",IF($B25="","",IFERROR(INDEX('Auxiliar Resultados'!$C$9:$BO$50,MATCH($B25,'Auxiliar Resultados'!$B$9:$B$50,0),MATCH(CONCATENATE($C25,T$7),'Auxiliar Resultados'!$C$6:$BO$6,0)),"")))</f>
        <v/>
      </c>
      <c r="U25" s="52" t="str">
        <f>+IF(IF($B25="","",IFERROR(INDEX('Auxiliar Resultados'!$C$9:$BO$50,MATCH($B25,'Auxiliar Resultados'!$B$9:$B$50,0),MATCH(CONCATENATE($C25,U$7),'Auxiliar Resultados'!$C$6:$BO$6,0)),""))=0,"",IF($B25="","",IFERROR(INDEX('Auxiliar Resultados'!$C$9:$BO$50,MATCH($B25,'Auxiliar Resultados'!$B$9:$B$50,0),MATCH(CONCATENATE($C25,U$7),'Auxiliar Resultados'!$C$6:$BO$6,0)),"")))</f>
        <v/>
      </c>
      <c r="V25" s="52" t="str">
        <f>+IF(IF($B25="","",IFERROR(INDEX('Auxiliar Resultados'!$C$9:$BO$50,MATCH($B25,'Auxiliar Resultados'!$B$9:$B$50,0),MATCH(CONCATENATE($C25,V$7),'Auxiliar Resultados'!$C$6:$BO$6,0)),""))=0,"",IF($B25="","",IFERROR(INDEX('Auxiliar Resultados'!$C$9:$BO$50,MATCH($B25,'Auxiliar Resultados'!$B$9:$B$50,0),MATCH(CONCATENATE($C25,V$7),'Auxiliar Resultados'!$C$6:$BO$6,0)),"")))</f>
        <v/>
      </c>
      <c r="W25" s="52" t="str">
        <f>+IF(IF($B25="","",IFERROR(INDEX('Auxiliar Resultados'!$C$9:$BO$50,MATCH($B25,'Auxiliar Resultados'!$B$9:$B$50,0),MATCH(CONCATENATE($C25,W$7),'Auxiliar Resultados'!$C$6:$BO$6,0)),""))=0,"",IF($B25="","",IFERROR(INDEX('Auxiliar Resultados'!$C$9:$BO$50,MATCH($B25,'Auxiliar Resultados'!$B$9:$B$50,0),MATCH(CONCATENATE($C25,W$7),'Auxiliar Resultados'!$C$6:$BO$6,0)),"")))</f>
        <v/>
      </c>
      <c r="X25" s="52" t="str">
        <f>+IF(IF($B25="","",IFERROR(INDEX('Auxiliar Resultados'!$C$9:$BO$50,MATCH($B25,'Auxiliar Resultados'!$B$9:$B$50,0),MATCH(CONCATENATE($C25,X$7),'Auxiliar Resultados'!$C$6:$BO$6,0)),""))=0,"",IF($B25="","",IFERROR(INDEX('Auxiliar Resultados'!$C$9:$BO$50,MATCH($B25,'Auxiliar Resultados'!$B$9:$B$50,0),MATCH(CONCATENATE($C25,X$7),'Auxiliar Resultados'!$C$6:$BO$6,0)),"")))</f>
        <v/>
      </c>
      <c r="Y25" s="52" t="str">
        <f>+IF(IF($B25="","",IFERROR(INDEX('Auxiliar Resultados'!$C$9:$BO$50,MATCH($B25,'Auxiliar Resultados'!$B$9:$B$50,0),MATCH(CONCATENATE($C25,Y$7),'Auxiliar Resultados'!$C$6:$BO$6,0)),""))=0,"",IF($B25="","",IFERROR(INDEX('Auxiliar Resultados'!$C$9:$BO$50,MATCH($B25,'Auxiliar Resultados'!$B$9:$B$50,0),MATCH(CONCATENATE($C25,Y$7),'Auxiliar Resultados'!$C$6:$BO$6,0)),"")))</f>
        <v/>
      </c>
      <c r="Z25" s="52" t="str">
        <f>+IF(IF($B25="","",IFERROR(INDEX('Auxiliar Resultados'!$C$9:$BO$50,MATCH($B25,'Auxiliar Resultados'!$B$9:$B$50,0),MATCH(CONCATENATE($C25,Z$7),'Auxiliar Resultados'!$C$6:$BO$6,0)),""))=0,"",IF($B25="","",IFERROR(INDEX('Auxiliar Resultados'!$C$9:$BO$50,MATCH($B25,'Auxiliar Resultados'!$B$9:$B$50,0),MATCH(CONCATENATE($C25,Z$7),'Auxiliar Resultados'!$C$6:$BO$6,0)),"")))</f>
        <v/>
      </c>
      <c r="AA25" s="52" t="str">
        <f>+IF(IF($B25="","",IFERROR(INDEX('Auxiliar Resultados'!$C$9:$BO$50,MATCH($B25,'Auxiliar Resultados'!$B$9:$B$50,0),MATCH(CONCATENATE($C25,AA$7),'Auxiliar Resultados'!$C$6:$BO$6,0)),""))=0,"",IF($B25="","",IFERROR(INDEX('Auxiliar Resultados'!$C$9:$BO$50,MATCH($B25,'Auxiliar Resultados'!$B$9:$B$50,0),MATCH(CONCATENATE($C25,AA$7),'Auxiliar Resultados'!$C$6:$BO$6,0)),"")))</f>
        <v/>
      </c>
      <c r="AB25" s="52" t="str">
        <f>+IF(IF($B25="","",IFERROR(INDEX('Auxiliar Resultados'!$C$9:$BO$50,MATCH($B25,'Auxiliar Resultados'!$B$9:$B$50,0),MATCH(CONCATENATE($C25,AB$7),'Auxiliar Resultados'!$C$6:$BO$6,0)),""))=0,"",IF($B25="","",IFERROR(INDEX('Auxiliar Resultados'!$C$9:$BO$50,MATCH($B25,'Auxiliar Resultados'!$B$9:$B$50,0),MATCH(CONCATENATE($C25,AB$7),'Auxiliar Resultados'!$C$6:$BO$6,0)),"")))</f>
        <v/>
      </c>
      <c r="AC25" s="52" t="str">
        <f>+IF(IF($B25="","",IFERROR(INDEX('Auxiliar Resultados'!$C$9:$BO$50,MATCH($B25,'Auxiliar Resultados'!$B$9:$B$50,0),MATCH(CONCATENATE($C25,AC$7),'Auxiliar Resultados'!$C$6:$BO$6,0)),""))=0,"",IF($B25="","",IFERROR(INDEX('Auxiliar Resultados'!$C$9:$BO$50,MATCH($B25,'Auxiliar Resultados'!$B$9:$B$50,0),MATCH(CONCATENATE($C25,AC$7),'Auxiliar Resultados'!$C$6:$BO$6,0)),"")))</f>
        <v/>
      </c>
      <c r="AD25" s="52" t="str">
        <f>+IF(IF($B25="","",IFERROR(INDEX('Auxiliar Resultados'!$C$9:$BO$50,MATCH($B25,'Auxiliar Resultados'!$B$9:$B$50,0),MATCH(CONCATENATE($C25,AD$7),'Auxiliar Resultados'!$C$6:$BO$6,0)),""))=0,"",IF($B25="","",IFERROR(INDEX('Auxiliar Resultados'!$C$9:$BO$50,MATCH($B25,'Auxiliar Resultados'!$B$9:$B$50,0),MATCH(CONCATENATE($C25,AD$7),'Auxiliar Resultados'!$C$6:$BO$6,0)),"")))</f>
        <v/>
      </c>
      <c r="AE25" s="52" t="str">
        <f>+IF(IF($B25="","",IFERROR(INDEX('Auxiliar Resultados'!$C$9:$BO$50,MATCH($B25,'Auxiliar Resultados'!$B$9:$B$50,0),MATCH(CONCATENATE($C25,AE$7),'Auxiliar Resultados'!$C$6:$BO$6,0)),""))=0,"",IF($B25="","",IFERROR(INDEX('Auxiliar Resultados'!$C$9:$BO$50,MATCH($B25,'Auxiliar Resultados'!$B$9:$B$50,0),MATCH(CONCATENATE($C25,AE$7),'Auxiliar Resultados'!$C$6:$BO$6,0)),"")))</f>
        <v/>
      </c>
      <c r="AF25" s="52" t="str">
        <f>+IF(IF($B25="","",IFERROR(INDEX('Auxiliar Resultados'!$C$9:$BO$50,MATCH($B25,'Auxiliar Resultados'!$B$9:$B$50,0),MATCH(CONCATENATE($C25,AF$7),'Auxiliar Resultados'!$C$6:$BO$6,0)),""))=0,"",IF($B25="","",IFERROR(INDEX('Auxiliar Resultados'!$C$9:$BO$50,MATCH($B25,'Auxiliar Resultados'!$B$9:$B$50,0),MATCH(CONCATENATE($C25,AF$7),'Auxiliar Resultados'!$C$6:$BO$6,0)),"")))</f>
        <v/>
      </c>
      <c r="AG25" s="52" t="str">
        <f>+IF(IF($B25="","",IFERROR(INDEX('Auxiliar Resultados'!$C$9:$BO$50,MATCH($B25,'Auxiliar Resultados'!$B$9:$B$50,0),MATCH(CONCATENATE($C25,AG$7),'Auxiliar Resultados'!$C$6:$BO$6,0)),""))=0,"",IF($B25="","",IFERROR(INDEX('Auxiliar Resultados'!$C$9:$BO$50,MATCH($B25,'Auxiliar Resultados'!$B$9:$B$50,0),MATCH(CONCATENATE($C25,AG$7),'Auxiliar Resultados'!$C$6:$BO$6,0)),"")))</f>
        <v/>
      </c>
      <c r="AH25" s="52" t="str">
        <f>+IF(IF($B25="","",IFERROR(INDEX('Auxiliar Resultados'!$C$9:$BO$50,MATCH($B25,'Auxiliar Resultados'!$B$9:$B$50,0),MATCH(CONCATENATE($C25,AH$7),'Auxiliar Resultados'!$C$6:$BO$6,0)),""))=0,"",IF($B25="","",IFERROR(INDEX('Auxiliar Resultados'!$C$9:$BO$50,MATCH($B25,'Auxiliar Resultados'!$B$9:$B$50,0),MATCH(CONCATENATE($C25,AH$7),'Auxiliar Resultados'!$C$6:$BO$6,0)),"")))</f>
        <v/>
      </c>
      <c r="AI25" s="52" t="str">
        <f>+IF(IF($B25="","",IFERROR(INDEX('Auxiliar Resultados'!$C$9:$BO$50,MATCH($B25,'Auxiliar Resultados'!$B$9:$B$50,0),MATCH(CONCATENATE($C25,AI$7),'Auxiliar Resultados'!$C$6:$BO$6,0)),""))=0,"",IF($B25="","",IFERROR(INDEX('Auxiliar Resultados'!$C$9:$BO$50,MATCH($B25,'Auxiliar Resultados'!$B$9:$B$50,0),MATCH(CONCATENATE($C25,AI$7),'Auxiliar Resultados'!$C$6:$BO$6,0)),"")))</f>
        <v/>
      </c>
      <c r="AJ25" s="52" t="str">
        <f>+IF(IF($B25="","",IFERROR(INDEX('Auxiliar Resultados'!$C$9:$BO$50,MATCH($B25,'Auxiliar Resultados'!$B$9:$B$50,0),MATCH(CONCATENATE($C25,AJ$7),'Auxiliar Resultados'!$C$6:$BO$6,0)),""))=0,"",IF($B25="","",IFERROR(INDEX('Auxiliar Resultados'!$C$9:$BO$50,MATCH($B25,'Auxiliar Resultados'!$B$9:$B$50,0),MATCH(CONCATENATE($C25,AJ$7),'Auxiliar Resultados'!$C$6:$BO$6,0)),"")))</f>
        <v/>
      </c>
      <c r="AK25" s="52" t="str">
        <f>+IF(IF($B25="","",IFERROR(INDEX('Auxiliar Resultados'!$C$9:$BO$50,MATCH($B25,'Auxiliar Resultados'!$B$9:$B$50,0),MATCH(CONCATENATE($C25,AK$7),'Auxiliar Resultados'!$C$6:$BO$6,0)),""))=0,"",IF($B25="","",IFERROR(INDEX('Auxiliar Resultados'!$C$9:$BO$50,MATCH($B25,'Auxiliar Resultados'!$B$9:$B$50,0),MATCH(CONCATENATE($C25,AK$7),'Auxiliar Resultados'!$C$6:$BO$6,0)),"")))</f>
        <v/>
      </c>
      <c r="AL25" s="52" t="str">
        <f>+IF(IF($B25="","",IFERROR(INDEX('Auxiliar Resultados'!$C$9:$BO$50,MATCH($B25,'Auxiliar Resultados'!$B$9:$B$50,0),MATCH(CONCATENATE($C25,AL$7),'Auxiliar Resultados'!$C$6:$BO$6,0)),""))=0,"",IF($B25="","",IFERROR(INDEX('Auxiliar Resultados'!$C$9:$BO$50,MATCH($B25,'Auxiliar Resultados'!$B$9:$B$50,0),MATCH(CONCATENATE($C25,AL$7),'Auxiliar Resultados'!$C$6:$BO$6,0)),"")))</f>
        <v/>
      </c>
      <c r="AM25" s="52" t="str">
        <f>+IF(IF($B25="","",IFERROR(INDEX('Auxiliar Resultados'!$C$9:$BO$50,MATCH($B25,'Auxiliar Resultados'!$B$9:$B$50,0),MATCH(CONCATENATE($C25,AM$7),'Auxiliar Resultados'!$C$6:$BO$6,0)),""))=0,"",IF($B25="","",IFERROR(INDEX('Auxiliar Resultados'!$C$9:$BO$50,MATCH($B25,'Auxiliar Resultados'!$B$9:$B$50,0),MATCH(CONCATENATE($C25,AM$7),'Auxiliar Resultados'!$C$6:$BO$6,0)),"")))</f>
        <v/>
      </c>
      <c r="AN25" s="52" t="str">
        <f>+IF(IF($B25="","",IFERROR(INDEX('Auxiliar Resultados'!$C$9:$BO$50,MATCH($B25,'Auxiliar Resultados'!$B$9:$B$50,0),MATCH(CONCATENATE($C25,AN$7),'Auxiliar Resultados'!$C$6:$BO$6,0)),""))=0,"",IF($B25="","",IFERROR(INDEX('Auxiliar Resultados'!$C$9:$BO$50,MATCH($B25,'Auxiliar Resultados'!$B$9:$B$50,0),MATCH(CONCATENATE($C25,AN$7),'Auxiliar Resultados'!$C$6:$BO$6,0)),"")))</f>
        <v/>
      </c>
      <c r="AO25" s="52" t="str">
        <f>+IF(IF($B25="","",IFERROR(INDEX('Auxiliar Resultados'!$C$9:$BO$50,MATCH($B25,'Auxiliar Resultados'!$B$9:$B$50,0),MATCH(CONCATENATE($C25,AO$7),'Auxiliar Resultados'!$C$6:$BO$6,0)),""))=0,"",IF($B25="","",IFERROR(INDEX('Auxiliar Resultados'!$C$9:$BO$50,MATCH($B25,'Auxiliar Resultados'!$B$9:$B$50,0),MATCH(CONCATENATE($C25,AO$7),'Auxiliar Resultados'!$C$6:$BO$6,0)),"")))</f>
        <v/>
      </c>
      <c r="AP25" s="52" t="str">
        <f>+IF(IF($B25="","",IFERROR(INDEX('Auxiliar Resultados'!$C$9:$BO$50,MATCH($B25,'Auxiliar Resultados'!$B$9:$B$50,0),MATCH(CONCATENATE($C25,AP$7),'Auxiliar Resultados'!$C$6:$BO$6,0)),""))=0,"",IF($B25="","",IFERROR(INDEX('Auxiliar Resultados'!$C$9:$BO$50,MATCH($B25,'Auxiliar Resultados'!$B$9:$B$50,0),MATCH(CONCATENATE($C25,AP$7),'Auxiliar Resultados'!$C$6:$BO$6,0)),"")))</f>
        <v/>
      </c>
      <c r="AQ25" s="276" t="str">
        <f>+IF(IF($B25="","",IFERROR(INDEX('Auxiliar Resultados'!$C$9:$BO$50,MATCH($B25,'Auxiliar Resultados'!$B$9:$B$50,0),MATCH(CONCATENATE($C25,AQ$7),'Auxiliar Resultados'!$C$6:$BO$6,0)),""))=0,"",IF($B25="","",IFERROR(INDEX('Auxiliar Resultados'!$C$9:$BO$50,MATCH($B25,'Auxiliar Resultados'!$B$9:$B$50,0),MATCH(CONCATENATE($C25,AQ$7),'Auxiliar Resultados'!$C$6:$BO$6,0)),"")))</f>
        <v/>
      </c>
      <c r="AS25" s="46" t="str">
        <f t="shared" si="5"/>
        <v/>
      </c>
      <c r="AT25" s="292" t="str">
        <f t="shared" si="6"/>
        <v/>
      </c>
      <c r="AU25" s="36" t="str">
        <f>+IF(G25="","",INDEX('Modelo Optimización'!$AZ$4:$CO$149,MATCH(CONCATENATE(AU$7,$AT25),'Modelo Optimización'!$CQ$4:$CQ$149,0),MATCH($AS25,'Modelo Optimización'!$AZ$3:$CO$3,0)))</f>
        <v/>
      </c>
      <c r="AV25" s="32" t="str">
        <f>+IF(H25="","",INDEX('Modelo Optimización'!$AZ$4:$CO$149,MATCH(CONCATENATE(AV$7,$AT25),'Modelo Optimización'!$CQ$4:$CQ$149,0),MATCH($AS25,'Modelo Optimización'!$AZ$3:$CO$3,0)))</f>
        <v/>
      </c>
      <c r="AW25" s="32" t="str">
        <f>+IF(I25="","",INDEX('Modelo Optimización'!$AZ$4:$CO$149,MATCH(CONCATENATE(AW$7,$AT25),'Modelo Optimización'!$CQ$4:$CQ$149,0),MATCH($AS25,'Modelo Optimización'!$AZ$3:$CO$3,0)))</f>
        <v/>
      </c>
      <c r="AX25" s="32" t="str">
        <f>+IF(J25="","",INDEX('Modelo Optimización'!$AZ$4:$CO$149,MATCH(CONCATENATE(AX$7,$AT25),'Modelo Optimización'!$CQ$4:$CQ$149,0),MATCH($AS25,'Modelo Optimización'!$AZ$3:$CO$3,0)))</f>
        <v/>
      </c>
      <c r="AY25" s="32" t="str">
        <f>+IF(K25="","",INDEX('Modelo Optimización'!$AZ$4:$CO$149,MATCH(CONCATENATE(AY$7,$AT25),'Modelo Optimización'!$CQ$4:$CQ$149,0),MATCH($AS25,'Modelo Optimización'!$AZ$3:$CO$3,0)))</f>
        <v/>
      </c>
      <c r="AZ25" s="32" t="str">
        <f>+IF(L25="","",INDEX('Modelo Optimización'!$AZ$4:$CO$149,MATCH(CONCATENATE(AZ$7,$AT25),'Modelo Optimización'!$CQ$4:$CQ$149,0),MATCH($AS25,'Modelo Optimización'!$AZ$3:$CO$3,0)))</f>
        <v/>
      </c>
      <c r="BA25" s="32" t="str">
        <f>+IF(M25="","",INDEX('Modelo Optimización'!$AZ$4:$CO$149,MATCH(CONCATENATE(BA$7,$AT25),'Modelo Optimización'!$CQ$4:$CQ$149,0),MATCH($AS25,'Modelo Optimización'!$AZ$3:$CO$3,0)))</f>
        <v/>
      </c>
      <c r="BB25" s="32" t="str">
        <f>+IF(N25="","",INDEX('Modelo Optimización'!$AZ$4:$CO$149,MATCH(CONCATENATE(BB$7,$AT25),'Modelo Optimización'!$CQ$4:$CQ$149,0),MATCH($AS25,'Modelo Optimización'!$AZ$3:$CO$3,0)))</f>
        <v/>
      </c>
      <c r="BC25" s="32" t="str">
        <f>+IF(O25="","",INDEX('Modelo Optimización'!$AZ$4:$CO$149,MATCH(CONCATENATE(BC$7,$AT25),'Modelo Optimización'!$CQ$4:$CQ$149,0),MATCH($AS25,'Modelo Optimización'!$AZ$3:$CO$3,0)))</f>
        <v/>
      </c>
      <c r="BD25" s="32" t="str">
        <f>+IF(P25="","",INDEX('Modelo Optimización'!$AZ$4:$CO$149,MATCH(CONCATENATE(BD$7,$AT25),'Modelo Optimización'!$CQ$4:$CQ$149,0),MATCH($AS25,'Modelo Optimización'!$AZ$3:$CO$3,0)))</f>
        <v/>
      </c>
      <c r="BE25" s="32" t="str">
        <f>+IF(Q25="","",INDEX('Modelo Optimización'!$AZ$4:$CO$149,MATCH(CONCATENATE(BE$7,$AT25),'Modelo Optimización'!$CQ$4:$CQ$149,0),MATCH($AS25,'Modelo Optimización'!$AZ$3:$CO$3,0)))</f>
        <v/>
      </c>
      <c r="BF25" s="32" t="str">
        <f>+IF(R25="","",INDEX('Modelo Optimización'!$AZ$4:$CO$149,MATCH(CONCATENATE(BF$7,$AT25),'Modelo Optimización'!$CQ$4:$CQ$149,0),MATCH($AS25,'Modelo Optimización'!$AZ$3:$CO$3,0)))</f>
        <v/>
      </c>
      <c r="BG25" s="32" t="str">
        <f>+IF(S25="","",INDEX('Modelo Optimización'!$AZ$4:$CO$149,MATCH(CONCATENATE(BG$7,$AT25),'Modelo Optimización'!$CQ$4:$CQ$149,0),MATCH($AS25,'Modelo Optimización'!$AZ$3:$CO$3,0)))</f>
        <v/>
      </c>
      <c r="BH25" s="32" t="str">
        <f>+IF(T25="","",INDEX('Modelo Optimización'!$AZ$4:$CO$149,MATCH(CONCATENATE(BH$7,$AT25),'Modelo Optimización'!$CQ$4:$CQ$149,0),MATCH($AS25,'Modelo Optimización'!$AZ$3:$CO$3,0)))</f>
        <v/>
      </c>
      <c r="BI25" s="32" t="str">
        <f>+IF(U25="","",INDEX('Modelo Optimización'!$AZ$4:$CO$149,MATCH(CONCATENATE(BI$7,$AT25),'Modelo Optimización'!$CQ$4:$CQ$149,0),MATCH($AS25,'Modelo Optimización'!$AZ$3:$CO$3,0)))</f>
        <v/>
      </c>
      <c r="BJ25" s="32" t="str">
        <f>+IF(V25="","",INDEX('Modelo Optimización'!$AZ$4:$CO$149,MATCH(CONCATENATE(BJ$7,$AT25),'Modelo Optimización'!$CQ$4:$CQ$149,0),MATCH($AS25,'Modelo Optimización'!$AZ$3:$CO$3,0)))</f>
        <v/>
      </c>
      <c r="BK25" s="32" t="str">
        <f>+IF(W25="","",INDEX('Modelo Optimización'!$AZ$4:$CO$149,MATCH(CONCATENATE(BK$7,$AT25),'Modelo Optimización'!$CQ$4:$CQ$149,0),MATCH($AS25,'Modelo Optimización'!$AZ$3:$CO$3,0)))</f>
        <v/>
      </c>
      <c r="BL25" s="32" t="str">
        <f>+IF(X25="","",INDEX('Modelo Optimización'!$AZ$4:$CO$149,MATCH(CONCATENATE(BL$7,$AT25),'Modelo Optimización'!$CQ$4:$CQ$149,0),MATCH($AS25,'Modelo Optimización'!$AZ$3:$CO$3,0)))</f>
        <v/>
      </c>
      <c r="BM25" s="32" t="str">
        <f>+IF(Y25="","",INDEX('Modelo Optimización'!$AZ$4:$CO$149,MATCH(CONCATENATE(BM$7,$AT25),'Modelo Optimización'!$CQ$4:$CQ$149,0),MATCH($AS25,'Modelo Optimización'!$AZ$3:$CO$3,0)))</f>
        <v/>
      </c>
      <c r="BN25" s="32" t="str">
        <f>+IF(Z25="","",INDEX('Modelo Optimización'!$AZ$4:$CO$149,MATCH(CONCATENATE(BN$7,$AT25),'Modelo Optimización'!$CQ$4:$CQ$149,0),MATCH($AS25,'Modelo Optimización'!$AZ$3:$CO$3,0)))</f>
        <v/>
      </c>
      <c r="BO25" s="32" t="str">
        <f>+IF(AA25="","",INDEX('Modelo Optimización'!$AZ$4:$CO$149,MATCH(CONCATENATE(BO$7,$AT25),'Modelo Optimización'!$CQ$4:$CQ$149,0),MATCH($AS25,'Modelo Optimización'!$AZ$3:$CO$3,0)))</f>
        <v/>
      </c>
      <c r="BP25" s="32" t="str">
        <f>+IF(AB25="","",INDEX('Modelo Optimización'!$AZ$4:$CO$149,MATCH(CONCATENATE(BP$7,$AT25),'Modelo Optimización'!$CQ$4:$CQ$149,0),MATCH($AS25,'Modelo Optimización'!$AZ$3:$CO$3,0)))</f>
        <v/>
      </c>
      <c r="BQ25" s="32" t="str">
        <f>+IF(AC25="","",INDEX('Modelo Optimización'!$AZ$4:$CO$149,MATCH(CONCATENATE(BQ$7,$AT25),'Modelo Optimización'!$CQ$4:$CQ$149,0),MATCH($AS25,'Modelo Optimización'!$AZ$3:$CO$3,0)))</f>
        <v/>
      </c>
      <c r="BR25" s="32" t="str">
        <f>+IF(AD25="","",INDEX('Modelo Optimización'!$AZ$4:$CO$149,MATCH(CONCATENATE(BR$7,$AT25),'Modelo Optimización'!$CQ$4:$CQ$149,0),MATCH($AS25,'Modelo Optimización'!$AZ$3:$CO$3,0)))</f>
        <v/>
      </c>
      <c r="BS25" s="32" t="str">
        <f>+IF(AE25="","",INDEX('Modelo Optimización'!$AZ$4:$CO$149,MATCH(CONCATENATE(BS$7,$AT25),'Modelo Optimización'!$CQ$4:$CQ$149,0),MATCH($AS25,'Modelo Optimización'!$AZ$3:$CO$3,0)))</f>
        <v/>
      </c>
      <c r="BT25" s="32" t="str">
        <f>+IF(AF25="","",INDEX('Modelo Optimización'!$AZ$4:$CO$149,MATCH(CONCATENATE(BT$7,$AT25),'Modelo Optimización'!$CQ$4:$CQ$149,0),MATCH($AS25,'Modelo Optimización'!$AZ$3:$CO$3,0)))</f>
        <v/>
      </c>
      <c r="BU25" s="32" t="str">
        <f>+IF(AG25="","",INDEX('Modelo Optimización'!$AZ$4:$CO$149,MATCH(CONCATENATE(BU$7,$AT25),'Modelo Optimización'!$CQ$4:$CQ$149,0),MATCH($AS25,'Modelo Optimización'!$AZ$3:$CO$3,0)))</f>
        <v/>
      </c>
      <c r="BV25" s="32" t="str">
        <f>+IF(AH25="","",INDEX('Modelo Optimización'!$AZ$4:$CO$149,MATCH(CONCATENATE(BV$7,$AT25),'Modelo Optimización'!$CQ$4:$CQ$149,0),MATCH($AS25,'Modelo Optimización'!$AZ$3:$CO$3,0)))</f>
        <v/>
      </c>
      <c r="BW25" s="32" t="str">
        <f>+IF(AI25="","",INDEX('Modelo Optimización'!$AZ$4:$CO$149,MATCH(CONCATENATE(BW$7,$AT25),'Modelo Optimización'!$CQ$4:$CQ$149,0),MATCH($AS25,'Modelo Optimización'!$AZ$3:$CO$3,0)))</f>
        <v/>
      </c>
      <c r="BX25" s="32" t="str">
        <f>+IF(AJ25="","",INDEX('Modelo Optimización'!$AZ$4:$CO$149,MATCH(CONCATENATE(BX$7,$AT25),'Modelo Optimización'!$CQ$4:$CQ$149,0),MATCH($AS25,'Modelo Optimización'!$AZ$3:$CO$3,0)))</f>
        <v/>
      </c>
      <c r="BY25" s="32" t="str">
        <f>+IF(AK25="","",INDEX('Modelo Optimización'!$AZ$4:$CO$149,MATCH(CONCATENATE(BY$7,$AT25),'Modelo Optimización'!$CQ$4:$CQ$149,0),MATCH($AS25,'Modelo Optimización'!$AZ$3:$CO$3,0)))</f>
        <v/>
      </c>
      <c r="BZ25" s="32" t="str">
        <f>+IF(AL25="","",INDEX('Modelo Optimización'!$AZ$4:$CO$149,MATCH(CONCATENATE(BZ$7,$AT25),'Modelo Optimización'!$CQ$4:$CQ$149,0),MATCH($AS25,'Modelo Optimización'!$AZ$3:$CO$3,0)))</f>
        <v/>
      </c>
      <c r="CA25" s="32" t="str">
        <f>+IF(AM25="","",INDEX('Modelo Optimización'!$AZ$4:$CO$149,MATCH(CONCATENATE(CA$7,$AT25),'Modelo Optimización'!$CQ$4:$CQ$149,0),MATCH($AS25,'Modelo Optimización'!$AZ$3:$CO$3,0)))</f>
        <v/>
      </c>
      <c r="CB25" s="32" t="str">
        <f>+IF(AN25="","",INDEX('Modelo Optimización'!$AZ$4:$CO$149,MATCH(CONCATENATE(CB$7,$AT25),'Modelo Optimización'!$CQ$4:$CQ$149,0),MATCH($AS25,'Modelo Optimización'!$AZ$3:$CO$3,0)))</f>
        <v/>
      </c>
      <c r="CC25" s="32" t="str">
        <f>+IF(AO25="","",INDEX('Modelo Optimización'!$AZ$4:$CO$149,MATCH(CONCATENATE(CC$7,$AT25),'Modelo Optimización'!$CQ$4:$CQ$149,0),MATCH($AS25,'Modelo Optimización'!$AZ$3:$CO$3,0)))</f>
        <v/>
      </c>
      <c r="CD25" s="32" t="str">
        <f>+IF(AP25="","",INDEX('Modelo Optimización'!$AZ$4:$CO$149,MATCH(CONCATENATE(CD$7,$AT25),'Modelo Optimización'!$CQ$4:$CQ$149,0),MATCH($AS25,'Modelo Optimización'!$AZ$3:$CO$3,0)))</f>
        <v/>
      </c>
      <c r="CE25" s="37" t="str">
        <f>+IF(AQ25="","",INDEX('Modelo Optimización'!$AZ$4:$CO$149,MATCH(CONCATENATE(CE$7,$AT25),'Modelo Optimización'!$CQ$4:$CQ$149,0),MATCH($AS25,'Modelo Optimización'!$AZ$3:$CO$3,0)))</f>
        <v/>
      </c>
      <c r="CF25" s="301"/>
      <c r="CG25" s="305" t="str">
        <f t="shared" si="11"/>
        <v/>
      </c>
      <c r="CH25" s="303" t="str">
        <f t="shared" si="7"/>
        <v/>
      </c>
      <c r="CI25" s="292" t="str">
        <f t="shared" si="8"/>
        <v/>
      </c>
      <c r="CJ25" s="36" t="str">
        <f t="shared" si="12"/>
        <v/>
      </c>
      <c r="CK25" s="32" t="str">
        <f t="shared" si="13"/>
        <v/>
      </c>
      <c r="CL25" s="32" t="str">
        <f t="shared" si="14"/>
        <v/>
      </c>
      <c r="CM25" s="32" t="str">
        <f t="shared" si="15"/>
        <v/>
      </c>
      <c r="CN25" s="32" t="str">
        <f t="shared" si="16"/>
        <v/>
      </c>
      <c r="CO25" s="32" t="str">
        <f t="shared" si="17"/>
        <v/>
      </c>
      <c r="CP25" s="32" t="str">
        <f t="shared" si="18"/>
        <v/>
      </c>
      <c r="CQ25" s="32" t="str">
        <f t="shared" si="19"/>
        <v/>
      </c>
      <c r="CR25" s="32" t="str">
        <f t="shared" si="20"/>
        <v/>
      </c>
      <c r="CS25" s="32" t="str">
        <f t="shared" si="21"/>
        <v/>
      </c>
      <c r="CT25" s="32" t="str">
        <f t="shared" si="22"/>
        <v/>
      </c>
      <c r="CU25" s="32" t="str">
        <f t="shared" si="23"/>
        <v/>
      </c>
      <c r="CV25" s="32" t="str">
        <f t="shared" si="24"/>
        <v/>
      </c>
      <c r="CW25" s="32" t="str">
        <f t="shared" si="25"/>
        <v/>
      </c>
      <c r="CX25" s="32" t="str">
        <f t="shared" si="26"/>
        <v/>
      </c>
      <c r="CY25" s="32" t="str">
        <f t="shared" si="27"/>
        <v/>
      </c>
      <c r="CZ25" s="32" t="str">
        <f t="shared" si="28"/>
        <v/>
      </c>
      <c r="DA25" s="32" t="str">
        <f t="shared" si="29"/>
        <v/>
      </c>
      <c r="DB25" s="32" t="str">
        <f t="shared" si="30"/>
        <v/>
      </c>
      <c r="DC25" s="32" t="str">
        <f t="shared" si="31"/>
        <v/>
      </c>
      <c r="DD25" s="32" t="str">
        <f t="shared" si="32"/>
        <v/>
      </c>
      <c r="DE25" s="32" t="str">
        <f t="shared" si="33"/>
        <v/>
      </c>
      <c r="DF25" s="32" t="str">
        <f t="shared" si="34"/>
        <v/>
      </c>
      <c r="DG25" s="32" t="str">
        <f t="shared" si="35"/>
        <v/>
      </c>
      <c r="DH25" s="32" t="str">
        <f t="shared" si="36"/>
        <v/>
      </c>
      <c r="DI25" s="32" t="str">
        <f t="shared" si="37"/>
        <v/>
      </c>
      <c r="DJ25" s="32" t="str">
        <f t="shared" si="38"/>
        <v/>
      </c>
      <c r="DK25" s="32" t="str">
        <f t="shared" si="39"/>
        <v/>
      </c>
      <c r="DL25" s="32" t="str">
        <f t="shared" si="40"/>
        <v/>
      </c>
      <c r="DM25" s="32" t="str">
        <f t="shared" si="41"/>
        <v/>
      </c>
      <c r="DN25" s="32" t="str">
        <f t="shared" si="42"/>
        <v/>
      </c>
      <c r="DO25" s="32" t="str">
        <f t="shared" si="43"/>
        <v/>
      </c>
      <c r="DP25" s="32" t="str">
        <f t="shared" si="44"/>
        <v/>
      </c>
      <c r="DQ25" s="32" t="str">
        <f t="shared" si="45"/>
        <v/>
      </c>
      <c r="DR25" s="32" t="str">
        <f t="shared" si="46"/>
        <v/>
      </c>
      <c r="DS25" s="32" t="str">
        <f t="shared" si="47"/>
        <v/>
      </c>
      <c r="DT25" s="37" t="str">
        <f t="shared" si="48"/>
        <v/>
      </c>
    </row>
    <row r="26" spans="2:124" x14ac:dyDescent="0.35">
      <c r="B26" s="46"/>
      <c r="C26" s="212"/>
      <c r="D26" s="52"/>
      <c r="E26" s="52" t="str">
        <f>+IF(B26="","",IFERROR(SUMIF('Modelo Optimización'!$AS$72:$AS$217,C26,INDEX('Modelo Optimización'!$C$72:$AR$217,,MATCH(B26,'Modelo Optimización'!$C$71:$AR$71,0))),0))</f>
        <v/>
      </c>
      <c r="F26" s="281" t="str">
        <f t="shared" si="10"/>
        <v/>
      </c>
      <c r="G26" s="280" t="str">
        <f>+IF(IF($B26="","",IFERROR(INDEX('Auxiliar Resultados'!$C$9:$BO$50,MATCH($B26,'Auxiliar Resultados'!$B$9:$B$50,0),MATCH(CONCATENATE($C26,G$7),'Auxiliar Resultados'!$C$6:$BO$6,0)),""))=0,"",IF($B26="","",IFERROR(INDEX('Auxiliar Resultados'!$C$9:$BO$50,MATCH($B26,'Auxiliar Resultados'!$B$9:$B$50,0),MATCH(CONCATENATE($C26,G$7),'Auxiliar Resultados'!$C$6:$BO$6,0)),"")))</f>
        <v/>
      </c>
      <c r="H26" s="52" t="str">
        <f>+IF(IF($B26="","",IFERROR(INDEX('Auxiliar Resultados'!$C$9:$BO$50,MATCH($B26,'Auxiliar Resultados'!$B$9:$B$50,0),MATCH(CONCATENATE($C26,H$7),'Auxiliar Resultados'!$C$6:$BO$6,0)),""))=0,"",IF($B26="","",IFERROR(INDEX('Auxiliar Resultados'!$C$9:$BO$50,MATCH($B26,'Auxiliar Resultados'!$B$9:$B$50,0),MATCH(CONCATENATE($C26,H$7),'Auxiliar Resultados'!$C$6:$BO$6,0)),"")))</f>
        <v/>
      </c>
      <c r="I26" s="52" t="str">
        <f>+IF(IF($B26="","",IFERROR(INDEX('Auxiliar Resultados'!$C$9:$BO$50,MATCH($B26,'Auxiliar Resultados'!$B$9:$B$50,0),MATCH(CONCATENATE($C26,I$7),'Auxiliar Resultados'!$C$6:$BO$6,0)),""))=0,"",IF($B26="","",IFERROR(INDEX('Auxiliar Resultados'!$C$9:$BO$50,MATCH($B26,'Auxiliar Resultados'!$B$9:$B$50,0),MATCH(CONCATENATE($C26,I$7),'Auxiliar Resultados'!$C$6:$BO$6,0)),"")))</f>
        <v/>
      </c>
      <c r="J26" s="52" t="str">
        <f>+IF(IF($B26="","",IFERROR(INDEX('Auxiliar Resultados'!$C$9:$BO$50,MATCH($B26,'Auxiliar Resultados'!$B$9:$B$50,0),MATCH(CONCATENATE($C26,J$7),'Auxiliar Resultados'!$C$6:$BO$6,0)),""))=0,"",IF($B26="","",IFERROR(INDEX('Auxiliar Resultados'!$C$9:$BO$50,MATCH($B26,'Auxiliar Resultados'!$B$9:$B$50,0),MATCH(CONCATENATE($C26,J$7),'Auxiliar Resultados'!$C$6:$BO$6,0)),"")))</f>
        <v/>
      </c>
      <c r="K26" s="52" t="str">
        <f>+IF(IF($B26="","",IFERROR(INDEX('Auxiliar Resultados'!$C$9:$BO$50,MATCH($B26,'Auxiliar Resultados'!$B$9:$B$50,0),MATCH(CONCATENATE($C26,K$7),'Auxiliar Resultados'!$C$6:$BO$6,0)),""))=0,"",IF($B26="","",IFERROR(INDEX('Auxiliar Resultados'!$C$9:$BO$50,MATCH($B26,'Auxiliar Resultados'!$B$9:$B$50,0),MATCH(CONCATENATE($C26,K$7),'Auxiliar Resultados'!$C$6:$BO$6,0)),"")))</f>
        <v/>
      </c>
      <c r="L26" s="52" t="str">
        <f>+IF(IF($B26="","",IFERROR(INDEX('Auxiliar Resultados'!$C$9:$BO$50,MATCH($B26,'Auxiliar Resultados'!$B$9:$B$50,0),MATCH(CONCATENATE($C26,L$7),'Auxiliar Resultados'!$C$6:$BO$6,0)),""))=0,"",IF($B26="","",IFERROR(INDEX('Auxiliar Resultados'!$C$9:$BO$50,MATCH($B26,'Auxiliar Resultados'!$B$9:$B$50,0),MATCH(CONCATENATE($C26,L$7),'Auxiliar Resultados'!$C$6:$BO$6,0)),"")))</f>
        <v/>
      </c>
      <c r="M26" s="52" t="str">
        <f>+IF(IF($B26="","",IFERROR(INDEX('Auxiliar Resultados'!$C$9:$BO$50,MATCH($B26,'Auxiliar Resultados'!$B$9:$B$50,0),MATCH(CONCATENATE($C26,M$7),'Auxiliar Resultados'!$C$6:$BO$6,0)),""))=0,"",IF($B26="","",IFERROR(INDEX('Auxiliar Resultados'!$C$9:$BO$50,MATCH($B26,'Auxiliar Resultados'!$B$9:$B$50,0),MATCH(CONCATENATE($C26,M$7),'Auxiliar Resultados'!$C$6:$BO$6,0)),"")))</f>
        <v/>
      </c>
      <c r="N26" s="52" t="str">
        <f>+IF(IF($B26="","",IFERROR(INDEX('Auxiliar Resultados'!$C$9:$BO$50,MATCH($B26,'Auxiliar Resultados'!$B$9:$B$50,0),MATCH(CONCATENATE($C26,N$7),'Auxiliar Resultados'!$C$6:$BO$6,0)),""))=0,"",IF($B26="","",IFERROR(INDEX('Auxiliar Resultados'!$C$9:$BO$50,MATCH($B26,'Auxiliar Resultados'!$B$9:$B$50,0),MATCH(CONCATENATE($C26,N$7),'Auxiliar Resultados'!$C$6:$BO$6,0)),"")))</f>
        <v/>
      </c>
      <c r="O26" s="52" t="str">
        <f>+IF(IF($B26="","",IFERROR(INDEX('Auxiliar Resultados'!$C$9:$BO$50,MATCH($B26,'Auxiliar Resultados'!$B$9:$B$50,0),MATCH(CONCATENATE($C26,O$7),'Auxiliar Resultados'!$C$6:$BO$6,0)),""))=0,"",IF($B26="","",IFERROR(INDEX('Auxiliar Resultados'!$C$9:$BO$50,MATCH($B26,'Auxiliar Resultados'!$B$9:$B$50,0),MATCH(CONCATENATE($C26,O$7),'Auxiliar Resultados'!$C$6:$BO$6,0)),"")))</f>
        <v/>
      </c>
      <c r="P26" s="52" t="str">
        <f>+IF(IF($B26="","",IFERROR(INDEX('Auxiliar Resultados'!$C$9:$BO$50,MATCH($B26,'Auxiliar Resultados'!$B$9:$B$50,0),MATCH(CONCATENATE($C26,P$7),'Auxiliar Resultados'!$C$6:$BO$6,0)),""))=0,"",IF($B26="","",IFERROR(INDEX('Auxiliar Resultados'!$C$9:$BO$50,MATCH($B26,'Auxiliar Resultados'!$B$9:$B$50,0),MATCH(CONCATENATE($C26,P$7),'Auxiliar Resultados'!$C$6:$BO$6,0)),"")))</f>
        <v/>
      </c>
      <c r="Q26" s="52" t="str">
        <f>+IF(IF($B26="","",IFERROR(INDEX('Auxiliar Resultados'!$C$9:$BO$50,MATCH($B26,'Auxiliar Resultados'!$B$9:$B$50,0),MATCH(CONCATENATE($C26,Q$7),'Auxiliar Resultados'!$C$6:$BO$6,0)),""))=0,"",IF($B26="","",IFERROR(INDEX('Auxiliar Resultados'!$C$9:$BO$50,MATCH($B26,'Auxiliar Resultados'!$B$9:$B$50,0),MATCH(CONCATENATE($C26,Q$7),'Auxiliar Resultados'!$C$6:$BO$6,0)),"")))</f>
        <v/>
      </c>
      <c r="R26" s="52" t="str">
        <f>+IF(IF($B26="","",IFERROR(INDEX('Auxiliar Resultados'!$C$9:$BO$50,MATCH($B26,'Auxiliar Resultados'!$B$9:$B$50,0),MATCH(CONCATENATE($C26,R$7),'Auxiliar Resultados'!$C$6:$BO$6,0)),""))=0,"",IF($B26="","",IFERROR(INDEX('Auxiliar Resultados'!$C$9:$BO$50,MATCH($B26,'Auxiliar Resultados'!$B$9:$B$50,0),MATCH(CONCATENATE($C26,R$7),'Auxiliar Resultados'!$C$6:$BO$6,0)),"")))</f>
        <v/>
      </c>
      <c r="S26" s="52" t="str">
        <f>+IF(IF($B26="","",IFERROR(INDEX('Auxiliar Resultados'!$C$9:$BO$50,MATCH($B26,'Auxiliar Resultados'!$B$9:$B$50,0),MATCH(CONCATENATE($C26,S$7),'Auxiliar Resultados'!$C$6:$BO$6,0)),""))=0,"",IF($B26="","",IFERROR(INDEX('Auxiliar Resultados'!$C$9:$BO$50,MATCH($B26,'Auxiliar Resultados'!$B$9:$B$50,0),MATCH(CONCATENATE($C26,S$7),'Auxiliar Resultados'!$C$6:$BO$6,0)),"")))</f>
        <v/>
      </c>
      <c r="T26" s="52" t="str">
        <f>+IF(IF($B26="","",IFERROR(INDEX('Auxiliar Resultados'!$C$9:$BO$50,MATCH($B26,'Auxiliar Resultados'!$B$9:$B$50,0),MATCH(CONCATENATE($C26,T$7),'Auxiliar Resultados'!$C$6:$BO$6,0)),""))=0,"",IF($B26="","",IFERROR(INDEX('Auxiliar Resultados'!$C$9:$BO$50,MATCH($B26,'Auxiliar Resultados'!$B$9:$B$50,0),MATCH(CONCATENATE($C26,T$7),'Auxiliar Resultados'!$C$6:$BO$6,0)),"")))</f>
        <v/>
      </c>
      <c r="U26" s="52" t="str">
        <f>+IF(IF($B26="","",IFERROR(INDEX('Auxiliar Resultados'!$C$9:$BO$50,MATCH($B26,'Auxiliar Resultados'!$B$9:$B$50,0),MATCH(CONCATENATE($C26,U$7),'Auxiliar Resultados'!$C$6:$BO$6,0)),""))=0,"",IF($B26="","",IFERROR(INDEX('Auxiliar Resultados'!$C$9:$BO$50,MATCH($B26,'Auxiliar Resultados'!$B$9:$B$50,0),MATCH(CONCATENATE($C26,U$7),'Auxiliar Resultados'!$C$6:$BO$6,0)),"")))</f>
        <v/>
      </c>
      <c r="V26" s="52" t="str">
        <f>+IF(IF($B26="","",IFERROR(INDEX('Auxiliar Resultados'!$C$9:$BO$50,MATCH($B26,'Auxiliar Resultados'!$B$9:$B$50,0),MATCH(CONCATENATE($C26,V$7),'Auxiliar Resultados'!$C$6:$BO$6,0)),""))=0,"",IF($B26="","",IFERROR(INDEX('Auxiliar Resultados'!$C$9:$BO$50,MATCH($B26,'Auxiliar Resultados'!$B$9:$B$50,0),MATCH(CONCATENATE($C26,V$7),'Auxiliar Resultados'!$C$6:$BO$6,0)),"")))</f>
        <v/>
      </c>
      <c r="W26" s="52" t="str">
        <f>+IF(IF($B26="","",IFERROR(INDEX('Auxiliar Resultados'!$C$9:$BO$50,MATCH($B26,'Auxiliar Resultados'!$B$9:$B$50,0),MATCH(CONCATENATE($C26,W$7),'Auxiliar Resultados'!$C$6:$BO$6,0)),""))=0,"",IF($B26="","",IFERROR(INDEX('Auxiliar Resultados'!$C$9:$BO$50,MATCH($B26,'Auxiliar Resultados'!$B$9:$B$50,0),MATCH(CONCATENATE($C26,W$7),'Auxiliar Resultados'!$C$6:$BO$6,0)),"")))</f>
        <v/>
      </c>
      <c r="X26" s="52" t="str">
        <f>+IF(IF($B26="","",IFERROR(INDEX('Auxiliar Resultados'!$C$9:$BO$50,MATCH($B26,'Auxiliar Resultados'!$B$9:$B$50,0),MATCH(CONCATENATE($C26,X$7),'Auxiliar Resultados'!$C$6:$BO$6,0)),""))=0,"",IF($B26="","",IFERROR(INDEX('Auxiliar Resultados'!$C$9:$BO$50,MATCH($B26,'Auxiliar Resultados'!$B$9:$B$50,0),MATCH(CONCATENATE($C26,X$7),'Auxiliar Resultados'!$C$6:$BO$6,0)),"")))</f>
        <v/>
      </c>
      <c r="Y26" s="52" t="str">
        <f>+IF(IF($B26="","",IFERROR(INDEX('Auxiliar Resultados'!$C$9:$BO$50,MATCH($B26,'Auxiliar Resultados'!$B$9:$B$50,0),MATCH(CONCATENATE($C26,Y$7),'Auxiliar Resultados'!$C$6:$BO$6,0)),""))=0,"",IF($B26="","",IFERROR(INDEX('Auxiliar Resultados'!$C$9:$BO$50,MATCH($B26,'Auxiliar Resultados'!$B$9:$B$50,0),MATCH(CONCATENATE($C26,Y$7),'Auxiliar Resultados'!$C$6:$BO$6,0)),"")))</f>
        <v/>
      </c>
      <c r="Z26" s="52" t="str">
        <f>+IF(IF($B26="","",IFERROR(INDEX('Auxiliar Resultados'!$C$9:$BO$50,MATCH($B26,'Auxiliar Resultados'!$B$9:$B$50,0),MATCH(CONCATENATE($C26,Z$7),'Auxiliar Resultados'!$C$6:$BO$6,0)),""))=0,"",IF($B26="","",IFERROR(INDEX('Auxiliar Resultados'!$C$9:$BO$50,MATCH($B26,'Auxiliar Resultados'!$B$9:$B$50,0),MATCH(CONCATENATE($C26,Z$7),'Auxiliar Resultados'!$C$6:$BO$6,0)),"")))</f>
        <v/>
      </c>
      <c r="AA26" s="52" t="str">
        <f>+IF(IF($B26="","",IFERROR(INDEX('Auxiliar Resultados'!$C$9:$BO$50,MATCH($B26,'Auxiliar Resultados'!$B$9:$B$50,0),MATCH(CONCATENATE($C26,AA$7),'Auxiliar Resultados'!$C$6:$BO$6,0)),""))=0,"",IF($B26="","",IFERROR(INDEX('Auxiliar Resultados'!$C$9:$BO$50,MATCH($B26,'Auxiliar Resultados'!$B$9:$B$50,0),MATCH(CONCATENATE($C26,AA$7),'Auxiliar Resultados'!$C$6:$BO$6,0)),"")))</f>
        <v/>
      </c>
      <c r="AB26" s="52" t="str">
        <f>+IF(IF($B26="","",IFERROR(INDEX('Auxiliar Resultados'!$C$9:$BO$50,MATCH($B26,'Auxiliar Resultados'!$B$9:$B$50,0),MATCH(CONCATENATE($C26,AB$7),'Auxiliar Resultados'!$C$6:$BO$6,0)),""))=0,"",IF($B26="","",IFERROR(INDEX('Auxiliar Resultados'!$C$9:$BO$50,MATCH($B26,'Auxiliar Resultados'!$B$9:$B$50,0),MATCH(CONCATENATE($C26,AB$7),'Auxiliar Resultados'!$C$6:$BO$6,0)),"")))</f>
        <v/>
      </c>
      <c r="AC26" s="52" t="str">
        <f>+IF(IF($B26="","",IFERROR(INDEX('Auxiliar Resultados'!$C$9:$BO$50,MATCH($B26,'Auxiliar Resultados'!$B$9:$B$50,0),MATCH(CONCATENATE($C26,AC$7),'Auxiliar Resultados'!$C$6:$BO$6,0)),""))=0,"",IF($B26="","",IFERROR(INDEX('Auxiliar Resultados'!$C$9:$BO$50,MATCH($B26,'Auxiliar Resultados'!$B$9:$B$50,0),MATCH(CONCATENATE($C26,AC$7),'Auxiliar Resultados'!$C$6:$BO$6,0)),"")))</f>
        <v/>
      </c>
      <c r="AD26" s="52" t="str">
        <f>+IF(IF($B26="","",IFERROR(INDEX('Auxiliar Resultados'!$C$9:$BO$50,MATCH($B26,'Auxiliar Resultados'!$B$9:$B$50,0),MATCH(CONCATENATE($C26,AD$7),'Auxiliar Resultados'!$C$6:$BO$6,0)),""))=0,"",IF($B26="","",IFERROR(INDEX('Auxiliar Resultados'!$C$9:$BO$50,MATCH($B26,'Auxiliar Resultados'!$B$9:$B$50,0),MATCH(CONCATENATE($C26,AD$7),'Auxiliar Resultados'!$C$6:$BO$6,0)),"")))</f>
        <v/>
      </c>
      <c r="AE26" s="52" t="str">
        <f>+IF(IF($B26="","",IFERROR(INDEX('Auxiliar Resultados'!$C$9:$BO$50,MATCH($B26,'Auxiliar Resultados'!$B$9:$B$50,0),MATCH(CONCATENATE($C26,AE$7),'Auxiliar Resultados'!$C$6:$BO$6,0)),""))=0,"",IF($B26="","",IFERROR(INDEX('Auxiliar Resultados'!$C$9:$BO$50,MATCH($B26,'Auxiliar Resultados'!$B$9:$B$50,0),MATCH(CONCATENATE($C26,AE$7),'Auxiliar Resultados'!$C$6:$BO$6,0)),"")))</f>
        <v/>
      </c>
      <c r="AF26" s="52" t="str">
        <f>+IF(IF($B26="","",IFERROR(INDEX('Auxiliar Resultados'!$C$9:$BO$50,MATCH($B26,'Auxiliar Resultados'!$B$9:$B$50,0),MATCH(CONCATENATE($C26,AF$7),'Auxiliar Resultados'!$C$6:$BO$6,0)),""))=0,"",IF($B26="","",IFERROR(INDEX('Auxiliar Resultados'!$C$9:$BO$50,MATCH($B26,'Auxiliar Resultados'!$B$9:$B$50,0),MATCH(CONCATENATE($C26,AF$7),'Auxiliar Resultados'!$C$6:$BO$6,0)),"")))</f>
        <v/>
      </c>
      <c r="AG26" s="52" t="str">
        <f>+IF(IF($B26="","",IFERROR(INDEX('Auxiliar Resultados'!$C$9:$BO$50,MATCH($B26,'Auxiliar Resultados'!$B$9:$B$50,0),MATCH(CONCATENATE($C26,AG$7),'Auxiliar Resultados'!$C$6:$BO$6,0)),""))=0,"",IF($B26="","",IFERROR(INDEX('Auxiliar Resultados'!$C$9:$BO$50,MATCH($B26,'Auxiliar Resultados'!$B$9:$B$50,0),MATCH(CONCATENATE($C26,AG$7),'Auxiliar Resultados'!$C$6:$BO$6,0)),"")))</f>
        <v/>
      </c>
      <c r="AH26" s="52" t="str">
        <f>+IF(IF($B26="","",IFERROR(INDEX('Auxiliar Resultados'!$C$9:$BO$50,MATCH($B26,'Auxiliar Resultados'!$B$9:$B$50,0),MATCH(CONCATENATE($C26,AH$7),'Auxiliar Resultados'!$C$6:$BO$6,0)),""))=0,"",IF($B26="","",IFERROR(INDEX('Auxiliar Resultados'!$C$9:$BO$50,MATCH($B26,'Auxiliar Resultados'!$B$9:$B$50,0),MATCH(CONCATENATE($C26,AH$7),'Auxiliar Resultados'!$C$6:$BO$6,0)),"")))</f>
        <v/>
      </c>
      <c r="AI26" s="52" t="str">
        <f>+IF(IF($B26="","",IFERROR(INDEX('Auxiliar Resultados'!$C$9:$BO$50,MATCH($B26,'Auxiliar Resultados'!$B$9:$B$50,0),MATCH(CONCATENATE($C26,AI$7),'Auxiliar Resultados'!$C$6:$BO$6,0)),""))=0,"",IF($B26="","",IFERROR(INDEX('Auxiliar Resultados'!$C$9:$BO$50,MATCH($B26,'Auxiliar Resultados'!$B$9:$B$50,0),MATCH(CONCATENATE($C26,AI$7),'Auxiliar Resultados'!$C$6:$BO$6,0)),"")))</f>
        <v/>
      </c>
      <c r="AJ26" s="52" t="str">
        <f>+IF(IF($B26="","",IFERROR(INDEX('Auxiliar Resultados'!$C$9:$BO$50,MATCH($B26,'Auxiliar Resultados'!$B$9:$B$50,0),MATCH(CONCATENATE($C26,AJ$7),'Auxiliar Resultados'!$C$6:$BO$6,0)),""))=0,"",IF($B26="","",IFERROR(INDEX('Auxiliar Resultados'!$C$9:$BO$50,MATCH($B26,'Auxiliar Resultados'!$B$9:$B$50,0),MATCH(CONCATENATE($C26,AJ$7),'Auxiliar Resultados'!$C$6:$BO$6,0)),"")))</f>
        <v/>
      </c>
      <c r="AK26" s="52" t="str">
        <f>+IF(IF($B26="","",IFERROR(INDEX('Auxiliar Resultados'!$C$9:$BO$50,MATCH($B26,'Auxiliar Resultados'!$B$9:$B$50,0),MATCH(CONCATENATE($C26,AK$7),'Auxiliar Resultados'!$C$6:$BO$6,0)),""))=0,"",IF($B26="","",IFERROR(INDEX('Auxiliar Resultados'!$C$9:$BO$50,MATCH($B26,'Auxiliar Resultados'!$B$9:$B$50,0),MATCH(CONCATENATE($C26,AK$7),'Auxiliar Resultados'!$C$6:$BO$6,0)),"")))</f>
        <v/>
      </c>
      <c r="AL26" s="52" t="str">
        <f>+IF(IF($B26="","",IFERROR(INDEX('Auxiliar Resultados'!$C$9:$BO$50,MATCH($B26,'Auxiliar Resultados'!$B$9:$B$50,0),MATCH(CONCATENATE($C26,AL$7),'Auxiliar Resultados'!$C$6:$BO$6,0)),""))=0,"",IF($B26="","",IFERROR(INDEX('Auxiliar Resultados'!$C$9:$BO$50,MATCH($B26,'Auxiliar Resultados'!$B$9:$B$50,0),MATCH(CONCATENATE($C26,AL$7),'Auxiliar Resultados'!$C$6:$BO$6,0)),"")))</f>
        <v/>
      </c>
      <c r="AM26" s="52" t="str">
        <f>+IF(IF($B26="","",IFERROR(INDEX('Auxiliar Resultados'!$C$9:$BO$50,MATCH($B26,'Auxiliar Resultados'!$B$9:$B$50,0),MATCH(CONCATENATE($C26,AM$7),'Auxiliar Resultados'!$C$6:$BO$6,0)),""))=0,"",IF($B26="","",IFERROR(INDEX('Auxiliar Resultados'!$C$9:$BO$50,MATCH($B26,'Auxiliar Resultados'!$B$9:$B$50,0),MATCH(CONCATENATE($C26,AM$7),'Auxiliar Resultados'!$C$6:$BO$6,0)),"")))</f>
        <v/>
      </c>
      <c r="AN26" s="52" t="str">
        <f>+IF(IF($B26="","",IFERROR(INDEX('Auxiliar Resultados'!$C$9:$BO$50,MATCH($B26,'Auxiliar Resultados'!$B$9:$B$50,0),MATCH(CONCATENATE($C26,AN$7),'Auxiliar Resultados'!$C$6:$BO$6,0)),""))=0,"",IF($B26="","",IFERROR(INDEX('Auxiliar Resultados'!$C$9:$BO$50,MATCH($B26,'Auxiliar Resultados'!$B$9:$B$50,0),MATCH(CONCATENATE($C26,AN$7),'Auxiliar Resultados'!$C$6:$BO$6,0)),"")))</f>
        <v/>
      </c>
      <c r="AO26" s="52" t="str">
        <f>+IF(IF($B26="","",IFERROR(INDEX('Auxiliar Resultados'!$C$9:$BO$50,MATCH($B26,'Auxiliar Resultados'!$B$9:$B$50,0),MATCH(CONCATENATE($C26,AO$7),'Auxiliar Resultados'!$C$6:$BO$6,0)),""))=0,"",IF($B26="","",IFERROR(INDEX('Auxiliar Resultados'!$C$9:$BO$50,MATCH($B26,'Auxiliar Resultados'!$B$9:$B$50,0),MATCH(CONCATENATE($C26,AO$7),'Auxiliar Resultados'!$C$6:$BO$6,0)),"")))</f>
        <v/>
      </c>
      <c r="AP26" s="52" t="str">
        <f>+IF(IF($B26="","",IFERROR(INDEX('Auxiliar Resultados'!$C$9:$BO$50,MATCH($B26,'Auxiliar Resultados'!$B$9:$B$50,0),MATCH(CONCATENATE($C26,AP$7),'Auxiliar Resultados'!$C$6:$BO$6,0)),""))=0,"",IF($B26="","",IFERROR(INDEX('Auxiliar Resultados'!$C$9:$BO$50,MATCH($B26,'Auxiliar Resultados'!$B$9:$B$50,0),MATCH(CONCATENATE($C26,AP$7),'Auxiliar Resultados'!$C$6:$BO$6,0)),"")))</f>
        <v/>
      </c>
      <c r="AQ26" s="276" t="str">
        <f>+IF(IF($B26="","",IFERROR(INDEX('Auxiliar Resultados'!$C$9:$BO$50,MATCH($B26,'Auxiliar Resultados'!$B$9:$B$50,0),MATCH(CONCATENATE($C26,AQ$7),'Auxiliar Resultados'!$C$6:$BO$6,0)),""))=0,"",IF($B26="","",IFERROR(INDEX('Auxiliar Resultados'!$C$9:$BO$50,MATCH($B26,'Auxiliar Resultados'!$B$9:$B$50,0),MATCH(CONCATENATE($C26,AQ$7),'Auxiliar Resultados'!$C$6:$BO$6,0)),"")))</f>
        <v/>
      </c>
      <c r="AS26" s="46" t="str">
        <f t="shared" si="5"/>
        <v/>
      </c>
      <c r="AT26" s="292" t="str">
        <f t="shared" si="6"/>
        <v/>
      </c>
      <c r="AU26" s="36" t="str">
        <f>+IF(G26="","",INDEX('Modelo Optimización'!$AZ$4:$CO$149,MATCH(CONCATENATE(AU$7,$AT26),'Modelo Optimización'!$CQ$4:$CQ$149,0),MATCH($AS26,'Modelo Optimización'!$AZ$3:$CO$3,0)))</f>
        <v/>
      </c>
      <c r="AV26" s="32" t="str">
        <f>+IF(H26="","",INDEX('Modelo Optimización'!$AZ$4:$CO$149,MATCH(CONCATENATE(AV$7,$AT26),'Modelo Optimización'!$CQ$4:$CQ$149,0),MATCH($AS26,'Modelo Optimización'!$AZ$3:$CO$3,0)))</f>
        <v/>
      </c>
      <c r="AW26" s="32" t="str">
        <f>+IF(I26="","",INDEX('Modelo Optimización'!$AZ$4:$CO$149,MATCH(CONCATENATE(AW$7,$AT26),'Modelo Optimización'!$CQ$4:$CQ$149,0),MATCH($AS26,'Modelo Optimización'!$AZ$3:$CO$3,0)))</f>
        <v/>
      </c>
      <c r="AX26" s="32" t="str">
        <f>+IF(J26="","",INDEX('Modelo Optimización'!$AZ$4:$CO$149,MATCH(CONCATENATE(AX$7,$AT26),'Modelo Optimización'!$CQ$4:$CQ$149,0),MATCH($AS26,'Modelo Optimización'!$AZ$3:$CO$3,0)))</f>
        <v/>
      </c>
      <c r="AY26" s="32" t="str">
        <f>+IF(K26="","",INDEX('Modelo Optimización'!$AZ$4:$CO$149,MATCH(CONCATENATE(AY$7,$AT26),'Modelo Optimización'!$CQ$4:$CQ$149,0),MATCH($AS26,'Modelo Optimización'!$AZ$3:$CO$3,0)))</f>
        <v/>
      </c>
      <c r="AZ26" s="32" t="str">
        <f>+IF(L26="","",INDEX('Modelo Optimización'!$AZ$4:$CO$149,MATCH(CONCATENATE(AZ$7,$AT26),'Modelo Optimización'!$CQ$4:$CQ$149,0),MATCH($AS26,'Modelo Optimización'!$AZ$3:$CO$3,0)))</f>
        <v/>
      </c>
      <c r="BA26" s="32" t="str">
        <f>+IF(M26="","",INDEX('Modelo Optimización'!$AZ$4:$CO$149,MATCH(CONCATENATE(BA$7,$AT26),'Modelo Optimización'!$CQ$4:$CQ$149,0),MATCH($AS26,'Modelo Optimización'!$AZ$3:$CO$3,0)))</f>
        <v/>
      </c>
      <c r="BB26" s="32" t="str">
        <f>+IF(N26="","",INDEX('Modelo Optimización'!$AZ$4:$CO$149,MATCH(CONCATENATE(BB$7,$AT26),'Modelo Optimización'!$CQ$4:$CQ$149,0),MATCH($AS26,'Modelo Optimización'!$AZ$3:$CO$3,0)))</f>
        <v/>
      </c>
      <c r="BC26" s="32" t="str">
        <f>+IF(O26="","",INDEX('Modelo Optimización'!$AZ$4:$CO$149,MATCH(CONCATENATE(BC$7,$AT26),'Modelo Optimización'!$CQ$4:$CQ$149,0),MATCH($AS26,'Modelo Optimización'!$AZ$3:$CO$3,0)))</f>
        <v/>
      </c>
      <c r="BD26" s="32" t="str">
        <f>+IF(P26="","",INDEX('Modelo Optimización'!$AZ$4:$CO$149,MATCH(CONCATENATE(BD$7,$AT26),'Modelo Optimización'!$CQ$4:$CQ$149,0),MATCH($AS26,'Modelo Optimización'!$AZ$3:$CO$3,0)))</f>
        <v/>
      </c>
      <c r="BE26" s="32" t="str">
        <f>+IF(Q26="","",INDEX('Modelo Optimización'!$AZ$4:$CO$149,MATCH(CONCATENATE(BE$7,$AT26),'Modelo Optimización'!$CQ$4:$CQ$149,0),MATCH($AS26,'Modelo Optimización'!$AZ$3:$CO$3,0)))</f>
        <v/>
      </c>
      <c r="BF26" s="32" t="str">
        <f>+IF(R26="","",INDEX('Modelo Optimización'!$AZ$4:$CO$149,MATCH(CONCATENATE(BF$7,$AT26),'Modelo Optimización'!$CQ$4:$CQ$149,0),MATCH($AS26,'Modelo Optimización'!$AZ$3:$CO$3,0)))</f>
        <v/>
      </c>
      <c r="BG26" s="32" t="str">
        <f>+IF(S26="","",INDEX('Modelo Optimización'!$AZ$4:$CO$149,MATCH(CONCATENATE(BG$7,$AT26),'Modelo Optimización'!$CQ$4:$CQ$149,0),MATCH($AS26,'Modelo Optimización'!$AZ$3:$CO$3,0)))</f>
        <v/>
      </c>
      <c r="BH26" s="32" t="str">
        <f>+IF(T26="","",INDEX('Modelo Optimización'!$AZ$4:$CO$149,MATCH(CONCATENATE(BH$7,$AT26),'Modelo Optimización'!$CQ$4:$CQ$149,0),MATCH($AS26,'Modelo Optimización'!$AZ$3:$CO$3,0)))</f>
        <v/>
      </c>
      <c r="BI26" s="32" t="str">
        <f>+IF(U26="","",INDEX('Modelo Optimización'!$AZ$4:$CO$149,MATCH(CONCATENATE(BI$7,$AT26),'Modelo Optimización'!$CQ$4:$CQ$149,0),MATCH($AS26,'Modelo Optimización'!$AZ$3:$CO$3,0)))</f>
        <v/>
      </c>
      <c r="BJ26" s="32" t="str">
        <f>+IF(V26="","",INDEX('Modelo Optimización'!$AZ$4:$CO$149,MATCH(CONCATENATE(BJ$7,$AT26),'Modelo Optimización'!$CQ$4:$CQ$149,0),MATCH($AS26,'Modelo Optimización'!$AZ$3:$CO$3,0)))</f>
        <v/>
      </c>
      <c r="BK26" s="32" t="str">
        <f>+IF(W26="","",INDEX('Modelo Optimización'!$AZ$4:$CO$149,MATCH(CONCATENATE(BK$7,$AT26),'Modelo Optimización'!$CQ$4:$CQ$149,0),MATCH($AS26,'Modelo Optimización'!$AZ$3:$CO$3,0)))</f>
        <v/>
      </c>
      <c r="BL26" s="32" t="str">
        <f>+IF(X26="","",INDEX('Modelo Optimización'!$AZ$4:$CO$149,MATCH(CONCATENATE(BL$7,$AT26),'Modelo Optimización'!$CQ$4:$CQ$149,0),MATCH($AS26,'Modelo Optimización'!$AZ$3:$CO$3,0)))</f>
        <v/>
      </c>
      <c r="BM26" s="32" t="str">
        <f>+IF(Y26="","",INDEX('Modelo Optimización'!$AZ$4:$CO$149,MATCH(CONCATENATE(BM$7,$AT26),'Modelo Optimización'!$CQ$4:$CQ$149,0),MATCH($AS26,'Modelo Optimización'!$AZ$3:$CO$3,0)))</f>
        <v/>
      </c>
      <c r="BN26" s="32" t="str">
        <f>+IF(Z26="","",INDEX('Modelo Optimización'!$AZ$4:$CO$149,MATCH(CONCATENATE(BN$7,$AT26),'Modelo Optimización'!$CQ$4:$CQ$149,0),MATCH($AS26,'Modelo Optimización'!$AZ$3:$CO$3,0)))</f>
        <v/>
      </c>
      <c r="BO26" s="32" t="str">
        <f>+IF(AA26="","",INDEX('Modelo Optimización'!$AZ$4:$CO$149,MATCH(CONCATENATE(BO$7,$AT26),'Modelo Optimización'!$CQ$4:$CQ$149,0),MATCH($AS26,'Modelo Optimización'!$AZ$3:$CO$3,0)))</f>
        <v/>
      </c>
      <c r="BP26" s="32" t="str">
        <f>+IF(AB26="","",INDEX('Modelo Optimización'!$AZ$4:$CO$149,MATCH(CONCATENATE(BP$7,$AT26),'Modelo Optimización'!$CQ$4:$CQ$149,0),MATCH($AS26,'Modelo Optimización'!$AZ$3:$CO$3,0)))</f>
        <v/>
      </c>
      <c r="BQ26" s="32" t="str">
        <f>+IF(AC26="","",INDEX('Modelo Optimización'!$AZ$4:$CO$149,MATCH(CONCATENATE(BQ$7,$AT26),'Modelo Optimización'!$CQ$4:$CQ$149,0),MATCH($AS26,'Modelo Optimización'!$AZ$3:$CO$3,0)))</f>
        <v/>
      </c>
      <c r="BR26" s="32" t="str">
        <f>+IF(AD26="","",INDEX('Modelo Optimización'!$AZ$4:$CO$149,MATCH(CONCATENATE(BR$7,$AT26),'Modelo Optimización'!$CQ$4:$CQ$149,0),MATCH($AS26,'Modelo Optimización'!$AZ$3:$CO$3,0)))</f>
        <v/>
      </c>
      <c r="BS26" s="32" t="str">
        <f>+IF(AE26="","",INDEX('Modelo Optimización'!$AZ$4:$CO$149,MATCH(CONCATENATE(BS$7,$AT26),'Modelo Optimización'!$CQ$4:$CQ$149,0),MATCH($AS26,'Modelo Optimización'!$AZ$3:$CO$3,0)))</f>
        <v/>
      </c>
      <c r="BT26" s="32" t="str">
        <f>+IF(AF26="","",INDEX('Modelo Optimización'!$AZ$4:$CO$149,MATCH(CONCATENATE(BT$7,$AT26),'Modelo Optimización'!$CQ$4:$CQ$149,0),MATCH($AS26,'Modelo Optimización'!$AZ$3:$CO$3,0)))</f>
        <v/>
      </c>
      <c r="BU26" s="32" t="str">
        <f>+IF(AG26="","",INDEX('Modelo Optimización'!$AZ$4:$CO$149,MATCH(CONCATENATE(BU$7,$AT26),'Modelo Optimización'!$CQ$4:$CQ$149,0),MATCH($AS26,'Modelo Optimización'!$AZ$3:$CO$3,0)))</f>
        <v/>
      </c>
      <c r="BV26" s="32" t="str">
        <f>+IF(AH26="","",INDEX('Modelo Optimización'!$AZ$4:$CO$149,MATCH(CONCATENATE(BV$7,$AT26),'Modelo Optimización'!$CQ$4:$CQ$149,0),MATCH($AS26,'Modelo Optimización'!$AZ$3:$CO$3,0)))</f>
        <v/>
      </c>
      <c r="BW26" s="32" t="str">
        <f>+IF(AI26="","",INDEX('Modelo Optimización'!$AZ$4:$CO$149,MATCH(CONCATENATE(BW$7,$AT26),'Modelo Optimización'!$CQ$4:$CQ$149,0),MATCH($AS26,'Modelo Optimización'!$AZ$3:$CO$3,0)))</f>
        <v/>
      </c>
      <c r="BX26" s="32" t="str">
        <f>+IF(AJ26="","",INDEX('Modelo Optimización'!$AZ$4:$CO$149,MATCH(CONCATENATE(BX$7,$AT26),'Modelo Optimización'!$CQ$4:$CQ$149,0),MATCH($AS26,'Modelo Optimización'!$AZ$3:$CO$3,0)))</f>
        <v/>
      </c>
      <c r="BY26" s="32" t="str">
        <f>+IF(AK26="","",INDEX('Modelo Optimización'!$AZ$4:$CO$149,MATCH(CONCATENATE(BY$7,$AT26),'Modelo Optimización'!$CQ$4:$CQ$149,0),MATCH($AS26,'Modelo Optimización'!$AZ$3:$CO$3,0)))</f>
        <v/>
      </c>
      <c r="BZ26" s="32" t="str">
        <f>+IF(AL26="","",INDEX('Modelo Optimización'!$AZ$4:$CO$149,MATCH(CONCATENATE(BZ$7,$AT26),'Modelo Optimización'!$CQ$4:$CQ$149,0),MATCH($AS26,'Modelo Optimización'!$AZ$3:$CO$3,0)))</f>
        <v/>
      </c>
      <c r="CA26" s="32" t="str">
        <f>+IF(AM26="","",INDEX('Modelo Optimización'!$AZ$4:$CO$149,MATCH(CONCATENATE(CA$7,$AT26),'Modelo Optimización'!$CQ$4:$CQ$149,0),MATCH($AS26,'Modelo Optimización'!$AZ$3:$CO$3,0)))</f>
        <v/>
      </c>
      <c r="CB26" s="32" t="str">
        <f>+IF(AN26="","",INDEX('Modelo Optimización'!$AZ$4:$CO$149,MATCH(CONCATENATE(CB$7,$AT26),'Modelo Optimización'!$CQ$4:$CQ$149,0),MATCH($AS26,'Modelo Optimización'!$AZ$3:$CO$3,0)))</f>
        <v/>
      </c>
      <c r="CC26" s="32" t="str">
        <f>+IF(AO26="","",INDEX('Modelo Optimización'!$AZ$4:$CO$149,MATCH(CONCATENATE(CC$7,$AT26),'Modelo Optimización'!$CQ$4:$CQ$149,0),MATCH($AS26,'Modelo Optimización'!$AZ$3:$CO$3,0)))</f>
        <v/>
      </c>
      <c r="CD26" s="32" t="str">
        <f>+IF(AP26="","",INDEX('Modelo Optimización'!$AZ$4:$CO$149,MATCH(CONCATENATE(CD$7,$AT26),'Modelo Optimización'!$CQ$4:$CQ$149,0),MATCH($AS26,'Modelo Optimización'!$AZ$3:$CO$3,0)))</f>
        <v/>
      </c>
      <c r="CE26" s="37" t="str">
        <f>+IF(AQ26="","",INDEX('Modelo Optimización'!$AZ$4:$CO$149,MATCH(CONCATENATE(CE$7,$AT26),'Modelo Optimización'!$CQ$4:$CQ$149,0),MATCH($AS26,'Modelo Optimización'!$AZ$3:$CO$3,0)))</f>
        <v/>
      </c>
      <c r="CF26" s="301"/>
      <c r="CG26" s="305" t="str">
        <f t="shared" si="11"/>
        <v/>
      </c>
      <c r="CH26" s="303" t="str">
        <f t="shared" si="7"/>
        <v/>
      </c>
      <c r="CI26" s="292" t="str">
        <f t="shared" si="8"/>
        <v/>
      </c>
      <c r="CJ26" s="36" t="str">
        <f t="shared" si="12"/>
        <v/>
      </c>
      <c r="CK26" s="32" t="str">
        <f t="shared" si="13"/>
        <v/>
      </c>
      <c r="CL26" s="32" t="str">
        <f t="shared" si="14"/>
        <v/>
      </c>
      <c r="CM26" s="32" t="str">
        <f t="shared" si="15"/>
        <v/>
      </c>
      <c r="CN26" s="32" t="str">
        <f t="shared" si="16"/>
        <v/>
      </c>
      <c r="CO26" s="32" t="str">
        <f t="shared" si="17"/>
        <v/>
      </c>
      <c r="CP26" s="32" t="str">
        <f t="shared" si="18"/>
        <v/>
      </c>
      <c r="CQ26" s="32" t="str">
        <f t="shared" si="19"/>
        <v/>
      </c>
      <c r="CR26" s="32" t="str">
        <f t="shared" si="20"/>
        <v/>
      </c>
      <c r="CS26" s="32" t="str">
        <f t="shared" si="21"/>
        <v/>
      </c>
      <c r="CT26" s="32" t="str">
        <f t="shared" si="22"/>
        <v/>
      </c>
      <c r="CU26" s="32" t="str">
        <f t="shared" si="23"/>
        <v/>
      </c>
      <c r="CV26" s="32" t="str">
        <f t="shared" si="24"/>
        <v/>
      </c>
      <c r="CW26" s="32" t="str">
        <f t="shared" si="25"/>
        <v/>
      </c>
      <c r="CX26" s="32" t="str">
        <f t="shared" si="26"/>
        <v/>
      </c>
      <c r="CY26" s="32" t="str">
        <f t="shared" si="27"/>
        <v/>
      </c>
      <c r="CZ26" s="32" t="str">
        <f t="shared" si="28"/>
        <v/>
      </c>
      <c r="DA26" s="32" t="str">
        <f t="shared" si="29"/>
        <v/>
      </c>
      <c r="DB26" s="32" t="str">
        <f t="shared" si="30"/>
        <v/>
      </c>
      <c r="DC26" s="32" t="str">
        <f t="shared" si="31"/>
        <v/>
      </c>
      <c r="DD26" s="32" t="str">
        <f t="shared" si="32"/>
        <v/>
      </c>
      <c r="DE26" s="32" t="str">
        <f t="shared" si="33"/>
        <v/>
      </c>
      <c r="DF26" s="32" t="str">
        <f t="shared" si="34"/>
        <v/>
      </c>
      <c r="DG26" s="32" t="str">
        <f t="shared" si="35"/>
        <v/>
      </c>
      <c r="DH26" s="32" t="str">
        <f t="shared" si="36"/>
        <v/>
      </c>
      <c r="DI26" s="32" t="str">
        <f t="shared" si="37"/>
        <v/>
      </c>
      <c r="DJ26" s="32" t="str">
        <f t="shared" si="38"/>
        <v/>
      </c>
      <c r="DK26" s="32" t="str">
        <f t="shared" si="39"/>
        <v/>
      </c>
      <c r="DL26" s="32" t="str">
        <f t="shared" si="40"/>
        <v/>
      </c>
      <c r="DM26" s="32" t="str">
        <f t="shared" si="41"/>
        <v/>
      </c>
      <c r="DN26" s="32" t="str">
        <f t="shared" si="42"/>
        <v/>
      </c>
      <c r="DO26" s="32" t="str">
        <f t="shared" si="43"/>
        <v/>
      </c>
      <c r="DP26" s="32" t="str">
        <f t="shared" si="44"/>
        <v/>
      </c>
      <c r="DQ26" s="32" t="str">
        <f t="shared" si="45"/>
        <v/>
      </c>
      <c r="DR26" s="32" t="str">
        <f t="shared" si="46"/>
        <v/>
      </c>
      <c r="DS26" s="32" t="str">
        <f t="shared" si="47"/>
        <v/>
      </c>
      <c r="DT26" s="37" t="str">
        <f t="shared" si="48"/>
        <v/>
      </c>
    </row>
    <row r="27" spans="2:124" x14ac:dyDescent="0.35">
      <c r="B27" s="46"/>
      <c r="C27" s="212"/>
      <c r="D27" s="52"/>
      <c r="E27" s="52" t="str">
        <f>+IF(B27="","",IFERROR(SUMIF('Modelo Optimización'!$AS$72:$AS$217,C27,INDEX('Modelo Optimización'!$C$72:$AR$217,,MATCH(B27,'Modelo Optimización'!$C$71:$AR$71,0))),0))</f>
        <v/>
      </c>
      <c r="F27" s="281" t="str">
        <f t="shared" si="10"/>
        <v/>
      </c>
      <c r="G27" s="280" t="str">
        <f>+IF(IF($B27="","",IFERROR(INDEX('Auxiliar Resultados'!$C$9:$BO$50,MATCH($B27,'Auxiliar Resultados'!$B$9:$B$50,0),MATCH(CONCATENATE($C27,G$7),'Auxiliar Resultados'!$C$6:$BO$6,0)),""))=0,"",IF($B27="","",IFERROR(INDEX('Auxiliar Resultados'!$C$9:$BO$50,MATCH($B27,'Auxiliar Resultados'!$B$9:$B$50,0),MATCH(CONCATENATE($C27,G$7),'Auxiliar Resultados'!$C$6:$BO$6,0)),"")))</f>
        <v/>
      </c>
      <c r="H27" s="52" t="str">
        <f>+IF(IF($B27="","",IFERROR(INDEX('Auxiliar Resultados'!$C$9:$BO$50,MATCH($B27,'Auxiliar Resultados'!$B$9:$B$50,0),MATCH(CONCATENATE($C27,H$7),'Auxiliar Resultados'!$C$6:$BO$6,0)),""))=0,"",IF($B27="","",IFERROR(INDEX('Auxiliar Resultados'!$C$9:$BO$50,MATCH($B27,'Auxiliar Resultados'!$B$9:$B$50,0),MATCH(CONCATENATE($C27,H$7),'Auxiliar Resultados'!$C$6:$BO$6,0)),"")))</f>
        <v/>
      </c>
      <c r="I27" s="52" t="str">
        <f>+IF(IF($B27="","",IFERROR(INDEX('Auxiliar Resultados'!$C$9:$BO$50,MATCH($B27,'Auxiliar Resultados'!$B$9:$B$50,0),MATCH(CONCATENATE($C27,I$7),'Auxiliar Resultados'!$C$6:$BO$6,0)),""))=0,"",IF($B27="","",IFERROR(INDEX('Auxiliar Resultados'!$C$9:$BO$50,MATCH($B27,'Auxiliar Resultados'!$B$9:$B$50,0),MATCH(CONCATENATE($C27,I$7),'Auxiliar Resultados'!$C$6:$BO$6,0)),"")))</f>
        <v/>
      </c>
      <c r="J27" s="52" t="str">
        <f>+IF(IF($B27="","",IFERROR(INDEX('Auxiliar Resultados'!$C$9:$BO$50,MATCH($B27,'Auxiliar Resultados'!$B$9:$B$50,0),MATCH(CONCATENATE($C27,J$7),'Auxiliar Resultados'!$C$6:$BO$6,0)),""))=0,"",IF($B27="","",IFERROR(INDEX('Auxiliar Resultados'!$C$9:$BO$50,MATCH($B27,'Auxiliar Resultados'!$B$9:$B$50,0),MATCH(CONCATENATE($C27,J$7),'Auxiliar Resultados'!$C$6:$BO$6,0)),"")))</f>
        <v/>
      </c>
      <c r="K27" s="52" t="str">
        <f>+IF(IF($B27="","",IFERROR(INDEX('Auxiliar Resultados'!$C$9:$BO$50,MATCH($B27,'Auxiliar Resultados'!$B$9:$B$50,0),MATCH(CONCATENATE($C27,K$7),'Auxiliar Resultados'!$C$6:$BO$6,0)),""))=0,"",IF($B27="","",IFERROR(INDEX('Auxiliar Resultados'!$C$9:$BO$50,MATCH($B27,'Auxiliar Resultados'!$B$9:$B$50,0),MATCH(CONCATENATE($C27,K$7),'Auxiliar Resultados'!$C$6:$BO$6,0)),"")))</f>
        <v/>
      </c>
      <c r="L27" s="52" t="str">
        <f>+IF(IF($B27="","",IFERROR(INDEX('Auxiliar Resultados'!$C$9:$BO$50,MATCH($B27,'Auxiliar Resultados'!$B$9:$B$50,0),MATCH(CONCATENATE($C27,L$7),'Auxiliar Resultados'!$C$6:$BO$6,0)),""))=0,"",IF($B27="","",IFERROR(INDEX('Auxiliar Resultados'!$C$9:$BO$50,MATCH($B27,'Auxiliar Resultados'!$B$9:$B$50,0),MATCH(CONCATENATE($C27,L$7),'Auxiliar Resultados'!$C$6:$BO$6,0)),"")))</f>
        <v/>
      </c>
      <c r="M27" s="52" t="str">
        <f>+IF(IF($B27="","",IFERROR(INDEX('Auxiliar Resultados'!$C$9:$BO$50,MATCH($B27,'Auxiliar Resultados'!$B$9:$B$50,0),MATCH(CONCATENATE($C27,M$7),'Auxiliar Resultados'!$C$6:$BO$6,0)),""))=0,"",IF($B27="","",IFERROR(INDEX('Auxiliar Resultados'!$C$9:$BO$50,MATCH($B27,'Auxiliar Resultados'!$B$9:$B$50,0),MATCH(CONCATENATE($C27,M$7),'Auxiliar Resultados'!$C$6:$BO$6,0)),"")))</f>
        <v/>
      </c>
      <c r="N27" s="52" t="str">
        <f>+IF(IF($B27="","",IFERROR(INDEX('Auxiliar Resultados'!$C$9:$BO$50,MATCH($B27,'Auxiliar Resultados'!$B$9:$B$50,0),MATCH(CONCATENATE($C27,N$7),'Auxiliar Resultados'!$C$6:$BO$6,0)),""))=0,"",IF($B27="","",IFERROR(INDEX('Auxiliar Resultados'!$C$9:$BO$50,MATCH($B27,'Auxiliar Resultados'!$B$9:$B$50,0),MATCH(CONCATENATE($C27,N$7),'Auxiliar Resultados'!$C$6:$BO$6,0)),"")))</f>
        <v/>
      </c>
      <c r="O27" s="52" t="str">
        <f>+IF(IF($B27="","",IFERROR(INDEX('Auxiliar Resultados'!$C$9:$BO$50,MATCH($B27,'Auxiliar Resultados'!$B$9:$B$50,0),MATCH(CONCATENATE($C27,O$7),'Auxiliar Resultados'!$C$6:$BO$6,0)),""))=0,"",IF($B27="","",IFERROR(INDEX('Auxiliar Resultados'!$C$9:$BO$50,MATCH($B27,'Auxiliar Resultados'!$B$9:$B$50,0),MATCH(CONCATENATE($C27,O$7),'Auxiliar Resultados'!$C$6:$BO$6,0)),"")))</f>
        <v/>
      </c>
      <c r="P27" s="52" t="str">
        <f>+IF(IF($B27="","",IFERROR(INDEX('Auxiliar Resultados'!$C$9:$BO$50,MATCH($B27,'Auxiliar Resultados'!$B$9:$B$50,0),MATCH(CONCATENATE($C27,P$7),'Auxiliar Resultados'!$C$6:$BO$6,0)),""))=0,"",IF($B27="","",IFERROR(INDEX('Auxiliar Resultados'!$C$9:$BO$50,MATCH($B27,'Auxiliar Resultados'!$B$9:$B$50,0),MATCH(CONCATENATE($C27,P$7),'Auxiliar Resultados'!$C$6:$BO$6,0)),"")))</f>
        <v/>
      </c>
      <c r="Q27" s="52" t="str">
        <f>+IF(IF($B27="","",IFERROR(INDEX('Auxiliar Resultados'!$C$9:$BO$50,MATCH($B27,'Auxiliar Resultados'!$B$9:$B$50,0),MATCH(CONCATENATE($C27,Q$7),'Auxiliar Resultados'!$C$6:$BO$6,0)),""))=0,"",IF($B27="","",IFERROR(INDEX('Auxiliar Resultados'!$C$9:$BO$50,MATCH($B27,'Auxiliar Resultados'!$B$9:$B$50,0),MATCH(CONCATENATE($C27,Q$7),'Auxiliar Resultados'!$C$6:$BO$6,0)),"")))</f>
        <v/>
      </c>
      <c r="R27" s="52" t="str">
        <f>+IF(IF($B27="","",IFERROR(INDEX('Auxiliar Resultados'!$C$9:$BO$50,MATCH($B27,'Auxiliar Resultados'!$B$9:$B$50,0),MATCH(CONCATENATE($C27,R$7),'Auxiliar Resultados'!$C$6:$BO$6,0)),""))=0,"",IF($B27="","",IFERROR(INDEX('Auxiliar Resultados'!$C$9:$BO$50,MATCH($B27,'Auxiliar Resultados'!$B$9:$B$50,0),MATCH(CONCATENATE($C27,R$7),'Auxiliar Resultados'!$C$6:$BO$6,0)),"")))</f>
        <v/>
      </c>
      <c r="S27" s="52" t="str">
        <f>+IF(IF($B27="","",IFERROR(INDEX('Auxiliar Resultados'!$C$9:$BO$50,MATCH($B27,'Auxiliar Resultados'!$B$9:$B$50,0),MATCH(CONCATENATE($C27,S$7),'Auxiliar Resultados'!$C$6:$BO$6,0)),""))=0,"",IF($B27="","",IFERROR(INDEX('Auxiliar Resultados'!$C$9:$BO$50,MATCH($B27,'Auxiliar Resultados'!$B$9:$B$50,0),MATCH(CONCATENATE($C27,S$7),'Auxiliar Resultados'!$C$6:$BO$6,0)),"")))</f>
        <v/>
      </c>
      <c r="T27" s="52" t="str">
        <f>+IF(IF($B27="","",IFERROR(INDEX('Auxiliar Resultados'!$C$9:$BO$50,MATCH($B27,'Auxiliar Resultados'!$B$9:$B$50,0),MATCH(CONCATENATE($C27,T$7),'Auxiliar Resultados'!$C$6:$BO$6,0)),""))=0,"",IF($B27="","",IFERROR(INDEX('Auxiliar Resultados'!$C$9:$BO$50,MATCH($B27,'Auxiliar Resultados'!$B$9:$B$50,0),MATCH(CONCATENATE($C27,T$7),'Auxiliar Resultados'!$C$6:$BO$6,0)),"")))</f>
        <v/>
      </c>
      <c r="U27" s="52" t="str">
        <f>+IF(IF($B27="","",IFERROR(INDEX('Auxiliar Resultados'!$C$9:$BO$50,MATCH($B27,'Auxiliar Resultados'!$B$9:$B$50,0),MATCH(CONCATENATE($C27,U$7),'Auxiliar Resultados'!$C$6:$BO$6,0)),""))=0,"",IF($B27="","",IFERROR(INDEX('Auxiliar Resultados'!$C$9:$BO$50,MATCH($B27,'Auxiliar Resultados'!$B$9:$B$50,0),MATCH(CONCATENATE($C27,U$7),'Auxiliar Resultados'!$C$6:$BO$6,0)),"")))</f>
        <v/>
      </c>
      <c r="V27" s="52" t="str">
        <f>+IF(IF($B27="","",IFERROR(INDEX('Auxiliar Resultados'!$C$9:$BO$50,MATCH($B27,'Auxiliar Resultados'!$B$9:$B$50,0),MATCH(CONCATENATE($C27,V$7),'Auxiliar Resultados'!$C$6:$BO$6,0)),""))=0,"",IF($B27="","",IFERROR(INDEX('Auxiliar Resultados'!$C$9:$BO$50,MATCH($B27,'Auxiliar Resultados'!$B$9:$B$50,0),MATCH(CONCATENATE($C27,V$7),'Auxiliar Resultados'!$C$6:$BO$6,0)),"")))</f>
        <v/>
      </c>
      <c r="W27" s="52" t="str">
        <f>+IF(IF($B27="","",IFERROR(INDEX('Auxiliar Resultados'!$C$9:$BO$50,MATCH($B27,'Auxiliar Resultados'!$B$9:$B$50,0),MATCH(CONCATENATE($C27,W$7),'Auxiliar Resultados'!$C$6:$BO$6,0)),""))=0,"",IF($B27="","",IFERROR(INDEX('Auxiliar Resultados'!$C$9:$BO$50,MATCH($B27,'Auxiliar Resultados'!$B$9:$B$50,0),MATCH(CONCATENATE($C27,W$7),'Auxiliar Resultados'!$C$6:$BO$6,0)),"")))</f>
        <v/>
      </c>
      <c r="X27" s="52" t="str">
        <f>+IF(IF($B27="","",IFERROR(INDEX('Auxiliar Resultados'!$C$9:$BO$50,MATCH($B27,'Auxiliar Resultados'!$B$9:$B$50,0),MATCH(CONCATENATE($C27,X$7),'Auxiliar Resultados'!$C$6:$BO$6,0)),""))=0,"",IF($B27="","",IFERROR(INDEX('Auxiliar Resultados'!$C$9:$BO$50,MATCH($B27,'Auxiliar Resultados'!$B$9:$B$50,0),MATCH(CONCATENATE($C27,X$7),'Auxiliar Resultados'!$C$6:$BO$6,0)),"")))</f>
        <v/>
      </c>
      <c r="Y27" s="52" t="str">
        <f>+IF(IF($B27="","",IFERROR(INDEX('Auxiliar Resultados'!$C$9:$BO$50,MATCH($B27,'Auxiliar Resultados'!$B$9:$B$50,0),MATCH(CONCATENATE($C27,Y$7),'Auxiliar Resultados'!$C$6:$BO$6,0)),""))=0,"",IF($B27="","",IFERROR(INDEX('Auxiliar Resultados'!$C$9:$BO$50,MATCH($B27,'Auxiliar Resultados'!$B$9:$B$50,0),MATCH(CONCATENATE($C27,Y$7),'Auxiliar Resultados'!$C$6:$BO$6,0)),"")))</f>
        <v/>
      </c>
      <c r="Z27" s="52" t="str">
        <f>+IF(IF($B27="","",IFERROR(INDEX('Auxiliar Resultados'!$C$9:$BO$50,MATCH($B27,'Auxiliar Resultados'!$B$9:$B$50,0),MATCH(CONCATENATE($C27,Z$7),'Auxiliar Resultados'!$C$6:$BO$6,0)),""))=0,"",IF($B27="","",IFERROR(INDEX('Auxiliar Resultados'!$C$9:$BO$50,MATCH($B27,'Auxiliar Resultados'!$B$9:$B$50,0),MATCH(CONCATENATE($C27,Z$7),'Auxiliar Resultados'!$C$6:$BO$6,0)),"")))</f>
        <v/>
      </c>
      <c r="AA27" s="52" t="str">
        <f>+IF(IF($B27="","",IFERROR(INDEX('Auxiliar Resultados'!$C$9:$BO$50,MATCH($B27,'Auxiliar Resultados'!$B$9:$B$50,0),MATCH(CONCATENATE($C27,AA$7),'Auxiliar Resultados'!$C$6:$BO$6,0)),""))=0,"",IF($B27="","",IFERROR(INDEX('Auxiliar Resultados'!$C$9:$BO$50,MATCH($B27,'Auxiliar Resultados'!$B$9:$B$50,0),MATCH(CONCATENATE($C27,AA$7),'Auxiliar Resultados'!$C$6:$BO$6,0)),"")))</f>
        <v/>
      </c>
      <c r="AB27" s="52" t="str">
        <f>+IF(IF($B27="","",IFERROR(INDEX('Auxiliar Resultados'!$C$9:$BO$50,MATCH($B27,'Auxiliar Resultados'!$B$9:$B$50,0),MATCH(CONCATENATE($C27,AB$7),'Auxiliar Resultados'!$C$6:$BO$6,0)),""))=0,"",IF($B27="","",IFERROR(INDEX('Auxiliar Resultados'!$C$9:$BO$50,MATCH($B27,'Auxiliar Resultados'!$B$9:$B$50,0),MATCH(CONCATENATE($C27,AB$7),'Auxiliar Resultados'!$C$6:$BO$6,0)),"")))</f>
        <v/>
      </c>
      <c r="AC27" s="52" t="str">
        <f>+IF(IF($B27="","",IFERROR(INDEX('Auxiliar Resultados'!$C$9:$BO$50,MATCH($B27,'Auxiliar Resultados'!$B$9:$B$50,0),MATCH(CONCATENATE($C27,AC$7),'Auxiliar Resultados'!$C$6:$BO$6,0)),""))=0,"",IF($B27="","",IFERROR(INDEX('Auxiliar Resultados'!$C$9:$BO$50,MATCH($B27,'Auxiliar Resultados'!$B$9:$B$50,0),MATCH(CONCATENATE($C27,AC$7),'Auxiliar Resultados'!$C$6:$BO$6,0)),"")))</f>
        <v/>
      </c>
      <c r="AD27" s="52" t="str">
        <f>+IF(IF($B27="","",IFERROR(INDEX('Auxiliar Resultados'!$C$9:$BO$50,MATCH($B27,'Auxiliar Resultados'!$B$9:$B$50,0),MATCH(CONCATENATE($C27,AD$7),'Auxiliar Resultados'!$C$6:$BO$6,0)),""))=0,"",IF($B27="","",IFERROR(INDEX('Auxiliar Resultados'!$C$9:$BO$50,MATCH($B27,'Auxiliar Resultados'!$B$9:$B$50,0),MATCH(CONCATENATE($C27,AD$7),'Auxiliar Resultados'!$C$6:$BO$6,0)),"")))</f>
        <v/>
      </c>
      <c r="AE27" s="52" t="str">
        <f>+IF(IF($B27="","",IFERROR(INDEX('Auxiliar Resultados'!$C$9:$BO$50,MATCH($B27,'Auxiliar Resultados'!$B$9:$B$50,0),MATCH(CONCATENATE($C27,AE$7),'Auxiliar Resultados'!$C$6:$BO$6,0)),""))=0,"",IF($B27="","",IFERROR(INDEX('Auxiliar Resultados'!$C$9:$BO$50,MATCH($B27,'Auxiliar Resultados'!$B$9:$B$50,0),MATCH(CONCATENATE($C27,AE$7),'Auxiliar Resultados'!$C$6:$BO$6,0)),"")))</f>
        <v/>
      </c>
      <c r="AF27" s="52" t="str">
        <f>+IF(IF($B27="","",IFERROR(INDEX('Auxiliar Resultados'!$C$9:$BO$50,MATCH($B27,'Auxiliar Resultados'!$B$9:$B$50,0),MATCH(CONCATENATE($C27,AF$7),'Auxiliar Resultados'!$C$6:$BO$6,0)),""))=0,"",IF($B27="","",IFERROR(INDEX('Auxiliar Resultados'!$C$9:$BO$50,MATCH($B27,'Auxiliar Resultados'!$B$9:$B$50,0),MATCH(CONCATENATE($C27,AF$7),'Auxiliar Resultados'!$C$6:$BO$6,0)),"")))</f>
        <v/>
      </c>
      <c r="AG27" s="52" t="str">
        <f>+IF(IF($B27="","",IFERROR(INDEX('Auxiliar Resultados'!$C$9:$BO$50,MATCH($B27,'Auxiliar Resultados'!$B$9:$B$50,0),MATCH(CONCATENATE($C27,AG$7),'Auxiliar Resultados'!$C$6:$BO$6,0)),""))=0,"",IF($B27="","",IFERROR(INDEX('Auxiliar Resultados'!$C$9:$BO$50,MATCH($B27,'Auxiliar Resultados'!$B$9:$B$50,0),MATCH(CONCATENATE($C27,AG$7),'Auxiliar Resultados'!$C$6:$BO$6,0)),"")))</f>
        <v/>
      </c>
      <c r="AH27" s="52" t="str">
        <f>+IF(IF($B27="","",IFERROR(INDEX('Auxiliar Resultados'!$C$9:$BO$50,MATCH($B27,'Auxiliar Resultados'!$B$9:$B$50,0),MATCH(CONCATENATE($C27,AH$7),'Auxiliar Resultados'!$C$6:$BO$6,0)),""))=0,"",IF($B27="","",IFERROR(INDEX('Auxiliar Resultados'!$C$9:$BO$50,MATCH($B27,'Auxiliar Resultados'!$B$9:$B$50,0),MATCH(CONCATENATE($C27,AH$7),'Auxiliar Resultados'!$C$6:$BO$6,0)),"")))</f>
        <v/>
      </c>
      <c r="AI27" s="52" t="str">
        <f>+IF(IF($B27="","",IFERROR(INDEX('Auxiliar Resultados'!$C$9:$BO$50,MATCH($B27,'Auxiliar Resultados'!$B$9:$B$50,0),MATCH(CONCATENATE($C27,AI$7),'Auxiliar Resultados'!$C$6:$BO$6,0)),""))=0,"",IF($B27="","",IFERROR(INDEX('Auxiliar Resultados'!$C$9:$BO$50,MATCH($B27,'Auxiliar Resultados'!$B$9:$B$50,0),MATCH(CONCATENATE($C27,AI$7),'Auxiliar Resultados'!$C$6:$BO$6,0)),"")))</f>
        <v/>
      </c>
      <c r="AJ27" s="52" t="str">
        <f>+IF(IF($B27="","",IFERROR(INDEX('Auxiliar Resultados'!$C$9:$BO$50,MATCH($B27,'Auxiliar Resultados'!$B$9:$B$50,0),MATCH(CONCATENATE($C27,AJ$7),'Auxiliar Resultados'!$C$6:$BO$6,0)),""))=0,"",IF($B27="","",IFERROR(INDEX('Auxiliar Resultados'!$C$9:$BO$50,MATCH($B27,'Auxiliar Resultados'!$B$9:$B$50,0),MATCH(CONCATENATE($C27,AJ$7),'Auxiliar Resultados'!$C$6:$BO$6,0)),"")))</f>
        <v/>
      </c>
      <c r="AK27" s="52" t="str">
        <f>+IF(IF($B27="","",IFERROR(INDEX('Auxiliar Resultados'!$C$9:$BO$50,MATCH($B27,'Auxiliar Resultados'!$B$9:$B$50,0),MATCH(CONCATENATE($C27,AK$7),'Auxiliar Resultados'!$C$6:$BO$6,0)),""))=0,"",IF($B27="","",IFERROR(INDEX('Auxiliar Resultados'!$C$9:$BO$50,MATCH($B27,'Auxiliar Resultados'!$B$9:$B$50,0),MATCH(CONCATENATE($C27,AK$7),'Auxiliar Resultados'!$C$6:$BO$6,0)),"")))</f>
        <v/>
      </c>
      <c r="AL27" s="52" t="str">
        <f>+IF(IF($B27="","",IFERROR(INDEX('Auxiliar Resultados'!$C$9:$BO$50,MATCH($B27,'Auxiliar Resultados'!$B$9:$B$50,0),MATCH(CONCATENATE($C27,AL$7),'Auxiliar Resultados'!$C$6:$BO$6,0)),""))=0,"",IF($B27="","",IFERROR(INDEX('Auxiliar Resultados'!$C$9:$BO$50,MATCH($B27,'Auxiliar Resultados'!$B$9:$B$50,0),MATCH(CONCATENATE($C27,AL$7),'Auxiliar Resultados'!$C$6:$BO$6,0)),"")))</f>
        <v/>
      </c>
      <c r="AM27" s="52" t="str">
        <f>+IF(IF($B27="","",IFERROR(INDEX('Auxiliar Resultados'!$C$9:$BO$50,MATCH($B27,'Auxiliar Resultados'!$B$9:$B$50,0),MATCH(CONCATENATE($C27,AM$7),'Auxiliar Resultados'!$C$6:$BO$6,0)),""))=0,"",IF($B27="","",IFERROR(INDEX('Auxiliar Resultados'!$C$9:$BO$50,MATCH($B27,'Auxiliar Resultados'!$B$9:$B$50,0),MATCH(CONCATENATE($C27,AM$7),'Auxiliar Resultados'!$C$6:$BO$6,0)),"")))</f>
        <v/>
      </c>
      <c r="AN27" s="52" t="str">
        <f>+IF(IF($B27="","",IFERROR(INDEX('Auxiliar Resultados'!$C$9:$BO$50,MATCH($B27,'Auxiliar Resultados'!$B$9:$B$50,0),MATCH(CONCATENATE($C27,AN$7),'Auxiliar Resultados'!$C$6:$BO$6,0)),""))=0,"",IF($B27="","",IFERROR(INDEX('Auxiliar Resultados'!$C$9:$BO$50,MATCH($B27,'Auxiliar Resultados'!$B$9:$B$50,0),MATCH(CONCATENATE($C27,AN$7),'Auxiliar Resultados'!$C$6:$BO$6,0)),"")))</f>
        <v/>
      </c>
      <c r="AO27" s="52" t="str">
        <f>+IF(IF($B27="","",IFERROR(INDEX('Auxiliar Resultados'!$C$9:$BO$50,MATCH($B27,'Auxiliar Resultados'!$B$9:$B$50,0),MATCH(CONCATENATE($C27,AO$7),'Auxiliar Resultados'!$C$6:$BO$6,0)),""))=0,"",IF($B27="","",IFERROR(INDEX('Auxiliar Resultados'!$C$9:$BO$50,MATCH($B27,'Auxiliar Resultados'!$B$9:$B$50,0),MATCH(CONCATENATE($C27,AO$7),'Auxiliar Resultados'!$C$6:$BO$6,0)),"")))</f>
        <v/>
      </c>
      <c r="AP27" s="52" t="str">
        <f>+IF(IF($B27="","",IFERROR(INDEX('Auxiliar Resultados'!$C$9:$BO$50,MATCH($B27,'Auxiliar Resultados'!$B$9:$B$50,0),MATCH(CONCATENATE($C27,AP$7),'Auxiliar Resultados'!$C$6:$BO$6,0)),""))=0,"",IF($B27="","",IFERROR(INDEX('Auxiliar Resultados'!$C$9:$BO$50,MATCH($B27,'Auxiliar Resultados'!$B$9:$B$50,0),MATCH(CONCATENATE($C27,AP$7),'Auxiliar Resultados'!$C$6:$BO$6,0)),"")))</f>
        <v/>
      </c>
      <c r="AQ27" s="276" t="str">
        <f>+IF(IF($B27="","",IFERROR(INDEX('Auxiliar Resultados'!$C$9:$BO$50,MATCH($B27,'Auxiliar Resultados'!$B$9:$B$50,0),MATCH(CONCATENATE($C27,AQ$7),'Auxiliar Resultados'!$C$6:$BO$6,0)),""))=0,"",IF($B27="","",IFERROR(INDEX('Auxiliar Resultados'!$C$9:$BO$50,MATCH($B27,'Auxiliar Resultados'!$B$9:$B$50,0),MATCH(CONCATENATE($C27,AQ$7),'Auxiliar Resultados'!$C$6:$BO$6,0)),"")))</f>
        <v/>
      </c>
      <c r="AS27" s="46" t="str">
        <f t="shared" si="5"/>
        <v/>
      </c>
      <c r="AT27" s="292" t="str">
        <f t="shared" si="6"/>
        <v/>
      </c>
      <c r="AU27" s="36" t="str">
        <f>+IF(G27="","",INDEX('Modelo Optimización'!$AZ$4:$CO$149,MATCH(CONCATENATE(AU$7,$AT27),'Modelo Optimización'!$CQ$4:$CQ$149,0),MATCH($AS27,'Modelo Optimización'!$AZ$3:$CO$3,0)))</f>
        <v/>
      </c>
      <c r="AV27" s="32" t="str">
        <f>+IF(H27="","",INDEX('Modelo Optimización'!$AZ$4:$CO$149,MATCH(CONCATENATE(AV$7,$AT27),'Modelo Optimización'!$CQ$4:$CQ$149,0),MATCH($AS27,'Modelo Optimización'!$AZ$3:$CO$3,0)))</f>
        <v/>
      </c>
      <c r="AW27" s="32" t="str">
        <f>+IF(I27="","",INDEX('Modelo Optimización'!$AZ$4:$CO$149,MATCH(CONCATENATE(AW$7,$AT27),'Modelo Optimización'!$CQ$4:$CQ$149,0),MATCH($AS27,'Modelo Optimización'!$AZ$3:$CO$3,0)))</f>
        <v/>
      </c>
      <c r="AX27" s="32" t="str">
        <f>+IF(J27="","",INDEX('Modelo Optimización'!$AZ$4:$CO$149,MATCH(CONCATENATE(AX$7,$AT27),'Modelo Optimización'!$CQ$4:$CQ$149,0),MATCH($AS27,'Modelo Optimización'!$AZ$3:$CO$3,0)))</f>
        <v/>
      </c>
      <c r="AY27" s="32" t="str">
        <f>+IF(K27="","",INDEX('Modelo Optimización'!$AZ$4:$CO$149,MATCH(CONCATENATE(AY$7,$AT27),'Modelo Optimización'!$CQ$4:$CQ$149,0),MATCH($AS27,'Modelo Optimización'!$AZ$3:$CO$3,0)))</f>
        <v/>
      </c>
      <c r="AZ27" s="32" t="str">
        <f>+IF(L27="","",INDEX('Modelo Optimización'!$AZ$4:$CO$149,MATCH(CONCATENATE(AZ$7,$AT27),'Modelo Optimización'!$CQ$4:$CQ$149,0),MATCH($AS27,'Modelo Optimización'!$AZ$3:$CO$3,0)))</f>
        <v/>
      </c>
      <c r="BA27" s="32" t="str">
        <f>+IF(M27="","",INDEX('Modelo Optimización'!$AZ$4:$CO$149,MATCH(CONCATENATE(BA$7,$AT27),'Modelo Optimización'!$CQ$4:$CQ$149,0),MATCH($AS27,'Modelo Optimización'!$AZ$3:$CO$3,0)))</f>
        <v/>
      </c>
      <c r="BB27" s="32" t="str">
        <f>+IF(N27="","",INDEX('Modelo Optimización'!$AZ$4:$CO$149,MATCH(CONCATENATE(BB$7,$AT27),'Modelo Optimización'!$CQ$4:$CQ$149,0),MATCH($AS27,'Modelo Optimización'!$AZ$3:$CO$3,0)))</f>
        <v/>
      </c>
      <c r="BC27" s="32" t="str">
        <f>+IF(O27="","",INDEX('Modelo Optimización'!$AZ$4:$CO$149,MATCH(CONCATENATE(BC$7,$AT27),'Modelo Optimización'!$CQ$4:$CQ$149,0),MATCH($AS27,'Modelo Optimización'!$AZ$3:$CO$3,0)))</f>
        <v/>
      </c>
      <c r="BD27" s="32" t="str">
        <f>+IF(P27="","",INDEX('Modelo Optimización'!$AZ$4:$CO$149,MATCH(CONCATENATE(BD$7,$AT27),'Modelo Optimización'!$CQ$4:$CQ$149,0),MATCH($AS27,'Modelo Optimización'!$AZ$3:$CO$3,0)))</f>
        <v/>
      </c>
      <c r="BE27" s="32" t="str">
        <f>+IF(Q27="","",INDEX('Modelo Optimización'!$AZ$4:$CO$149,MATCH(CONCATENATE(BE$7,$AT27),'Modelo Optimización'!$CQ$4:$CQ$149,0),MATCH($AS27,'Modelo Optimización'!$AZ$3:$CO$3,0)))</f>
        <v/>
      </c>
      <c r="BF27" s="32" t="str">
        <f>+IF(R27="","",INDEX('Modelo Optimización'!$AZ$4:$CO$149,MATCH(CONCATENATE(BF$7,$AT27),'Modelo Optimización'!$CQ$4:$CQ$149,0),MATCH($AS27,'Modelo Optimización'!$AZ$3:$CO$3,0)))</f>
        <v/>
      </c>
      <c r="BG27" s="32" t="str">
        <f>+IF(S27="","",INDEX('Modelo Optimización'!$AZ$4:$CO$149,MATCH(CONCATENATE(BG$7,$AT27),'Modelo Optimización'!$CQ$4:$CQ$149,0),MATCH($AS27,'Modelo Optimización'!$AZ$3:$CO$3,0)))</f>
        <v/>
      </c>
      <c r="BH27" s="32" t="str">
        <f>+IF(T27="","",INDEX('Modelo Optimización'!$AZ$4:$CO$149,MATCH(CONCATENATE(BH$7,$AT27),'Modelo Optimización'!$CQ$4:$CQ$149,0),MATCH($AS27,'Modelo Optimización'!$AZ$3:$CO$3,0)))</f>
        <v/>
      </c>
      <c r="BI27" s="32" t="str">
        <f>+IF(U27="","",INDEX('Modelo Optimización'!$AZ$4:$CO$149,MATCH(CONCATENATE(BI$7,$AT27),'Modelo Optimización'!$CQ$4:$CQ$149,0),MATCH($AS27,'Modelo Optimización'!$AZ$3:$CO$3,0)))</f>
        <v/>
      </c>
      <c r="BJ27" s="32" t="str">
        <f>+IF(V27="","",INDEX('Modelo Optimización'!$AZ$4:$CO$149,MATCH(CONCATENATE(BJ$7,$AT27),'Modelo Optimización'!$CQ$4:$CQ$149,0),MATCH($AS27,'Modelo Optimización'!$AZ$3:$CO$3,0)))</f>
        <v/>
      </c>
      <c r="BK27" s="32" t="str">
        <f>+IF(W27="","",INDEX('Modelo Optimización'!$AZ$4:$CO$149,MATCH(CONCATENATE(BK$7,$AT27),'Modelo Optimización'!$CQ$4:$CQ$149,0),MATCH($AS27,'Modelo Optimización'!$AZ$3:$CO$3,0)))</f>
        <v/>
      </c>
      <c r="BL27" s="32" t="str">
        <f>+IF(X27="","",INDEX('Modelo Optimización'!$AZ$4:$CO$149,MATCH(CONCATENATE(BL$7,$AT27),'Modelo Optimización'!$CQ$4:$CQ$149,0),MATCH($AS27,'Modelo Optimización'!$AZ$3:$CO$3,0)))</f>
        <v/>
      </c>
      <c r="BM27" s="32" t="str">
        <f>+IF(Y27="","",INDEX('Modelo Optimización'!$AZ$4:$CO$149,MATCH(CONCATENATE(BM$7,$AT27),'Modelo Optimización'!$CQ$4:$CQ$149,0),MATCH($AS27,'Modelo Optimización'!$AZ$3:$CO$3,0)))</f>
        <v/>
      </c>
      <c r="BN27" s="32" t="str">
        <f>+IF(Z27="","",INDEX('Modelo Optimización'!$AZ$4:$CO$149,MATCH(CONCATENATE(BN$7,$AT27),'Modelo Optimización'!$CQ$4:$CQ$149,0),MATCH($AS27,'Modelo Optimización'!$AZ$3:$CO$3,0)))</f>
        <v/>
      </c>
      <c r="BO27" s="32" t="str">
        <f>+IF(AA27="","",INDEX('Modelo Optimización'!$AZ$4:$CO$149,MATCH(CONCATENATE(BO$7,$AT27),'Modelo Optimización'!$CQ$4:$CQ$149,0),MATCH($AS27,'Modelo Optimización'!$AZ$3:$CO$3,0)))</f>
        <v/>
      </c>
      <c r="BP27" s="32" t="str">
        <f>+IF(AB27="","",INDEX('Modelo Optimización'!$AZ$4:$CO$149,MATCH(CONCATENATE(BP$7,$AT27),'Modelo Optimización'!$CQ$4:$CQ$149,0),MATCH($AS27,'Modelo Optimización'!$AZ$3:$CO$3,0)))</f>
        <v/>
      </c>
      <c r="BQ27" s="32" t="str">
        <f>+IF(AC27="","",INDEX('Modelo Optimización'!$AZ$4:$CO$149,MATCH(CONCATENATE(BQ$7,$AT27),'Modelo Optimización'!$CQ$4:$CQ$149,0),MATCH($AS27,'Modelo Optimización'!$AZ$3:$CO$3,0)))</f>
        <v/>
      </c>
      <c r="BR27" s="32" t="str">
        <f>+IF(AD27="","",INDEX('Modelo Optimización'!$AZ$4:$CO$149,MATCH(CONCATENATE(BR$7,$AT27),'Modelo Optimización'!$CQ$4:$CQ$149,0),MATCH($AS27,'Modelo Optimización'!$AZ$3:$CO$3,0)))</f>
        <v/>
      </c>
      <c r="BS27" s="32" t="str">
        <f>+IF(AE27="","",INDEX('Modelo Optimización'!$AZ$4:$CO$149,MATCH(CONCATENATE(BS$7,$AT27),'Modelo Optimización'!$CQ$4:$CQ$149,0),MATCH($AS27,'Modelo Optimización'!$AZ$3:$CO$3,0)))</f>
        <v/>
      </c>
      <c r="BT27" s="32" t="str">
        <f>+IF(AF27="","",INDEX('Modelo Optimización'!$AZ$4:$CO$149,MATCH(CONCATENATE(BT$7,$AT27),'Modelo Optimización'!$CQ$4:$CQ$149,0),MATCH($AS27,'Modelo Optimización'!$AZ$3:$CO$3,0)))</f>
        <v/>
      </c>
      <c r="BU27" s="32" t="str">
        <f>+IF(AG27="","",INDEX('Modelo Optimización'!$AZ$4:$CO$149,MATCH(CONCATENATE(BU$7,$AT27),'Modelo Optimización'!$CQ$4:$CQ$149,0),MATCH($AS27,'Modelo Optimización'!$AZ$3:$CO$3,0)))</f>
        <v/>
      </c>
      <c r="BV27" s="32" t="str">
        <f>+IF(AH27="","",INDEX('Modelo Optimización'!$AZ$4:$CO$149,MATCH(CONCATENATE(BV$7,$AT27),'Modelo Optimización'!$CQ$4:$CQ$149,0),MATCH($AS27,'Modelo Optimización'!$AZ$3:$CO$3,0)))</f>
        <v/>
      </c>
      <c r="BW27" s="32" t="str">
        <f>+IF(AI27="","",INDEX('Modelo Optimización'!$AZ$4:$CO$149,MATCH(CONCATENATE(BW$7,$AT27),'Modelo Optimización'!$CQ$4:$CQ$149,0),MATCH($AS27,'Modelo Optimización'!$AZ$3:$CO$3,0)))</f>
        <v/>
      </c>
      <c r="BX27" s="32" t="str">
        <f>+IF(AJ27="","",INDEX('Modelo Optimización'!$AZ$4:$CO$149,MATCH(CONCATENATE(BX$7,$AT27),'Modelo Optimización'!$CQ$4:$CQ$149,0),MATCH($AS27,'Modelo Optimización'!$AZ$3:$CO$3,0)))</f>
        <v/>
      </c>
      <c r="BY27" s="32" t="str">
        <f>+IF(AK27="","",INDEX('Modelo Optimización'!$AZ$4:$CO$149,MATCH(CONCATENATE(BY$7,$AT27),'Modelo Optimización'!$CQ$4:$CQ$149,0),MATCH($AS27,'Modelo Optimización'!$AZ$3:$CO$3,0)))</f>
        <v/>
      </c>
      <c r="BZ27" s="32" t="str">
        <f>+IF(AL27="","",INDEX('Modelo Optimización'!$AZ$4:$CO$149,MATCH(CONCATENATE(BZ$7,$AT27),'Modelo Optimización'!$CQ$4:$CQ$149,0),MATCH($AS27,'Modelo Optimización'!$AZ$3:$CO$3,0)))</f>
        <v/>
      </c>
      <c r="CA27" s="32" t="str">
        <f>+IF(AM27="","",INDEX('Modelo Optimización'!$AZ$4:$CO$149,MATCH(CONCATENATE(CA$7,$AT27),'Modelo Optimización'!$CQ$4:$CQ$149,0),MATCH($AS27,'Modelo Optimización'!$AZ$3:$CO$3,0)))</f>
        <v/>
      </c>
      <c r="CB27" s="32" t="str">
        <f>+IF(AN27="","",INDEX('Modelo Optimización'!$AZ$4:$CO$149,MATCH(CONCATENATE(CB$7,$AT27),'Modelo Optimización'!$CQ$4:$CQ$149,0),MATCH($AS27,'Modelo Optimización'!$AZ$3:$CO$3,0)))</f>
        <v/>
      </c>
      <c r="CC27" s="32" t="str">
        <f>+IF(AO27="","",INDEX('Modelo Optimización'!$AZ$4:$CO$149,MATCH(CONCATENATE(CC$7,$AT27),'Modelo Optimización'!$CQ$4:$CQ$149,0),MATCH($AS27,'Modelo Optimización'!$AZ$3:$CO$3,0)))</f>
        <v/>
      </c>
      <c r="CD27" s="32" t="str">
        <f>+IF(AP27="","",INDEX('Modelo Optimización'!$AZ$4:$CO$149,MATCH(CONCATENATE(CD$7,$AT27),'Modelo Optimización'!$CQ$4:$CQ$149,0),MATCH($AS27,'Modelo Optimización'!$AZ$3:$CO$3,0)))</f>
        <v/>
      </c>
      <c r="CE27" s="37" t="str">
        <f>+IF(AQ27="","",INDEX('Modelo Optimización'!$AZ$4:$CO$149,MATCH(CONCATENATE(CE$7,$AT27),'Modelo Optimización'!$CQ$4:$CQ$149,0),MATCH($AS27,'Modelo Optimización'!$AZ$3:$CO$3,0)))</f>
        <v/>
      </c>
      <c r="CF27" s="301"/>
      <c r="CG27" s="305" t="str">
        <f t="shared" si="11"/>
        <v/>
      </c>
      <c r="CH27" s="303" t="str">
        <f t="shared" si="7"/>
        <v/>
      </c>
      <c r="CI27" s="292" t="str">
        <f t="shared" si="8"/>
        <v/>
      </c>
      <c r="CJ27" s="36" t="str">
        <f t="shared" si="12"/>
        <v/>
      </c>
      <c r="CK27" s="32" t="str">
        <f t="shared" si="13"/>
        <v/>
      </c>
      <c r="CL27" s="32" t="str">
        <f t="shared" si="14"/>
        <v/>
      </c>
      <c r="CM27" s="32" t="str">
        <f t="shared" si="15"/>
        <v/>
      </c>
      <c r="CN27" s="32" t="str">
        <f t="shared" si="16"/>
        <v/>
      </c>
      <c r="CO27" s="32" t="str">
        <f t="shared" si="17"/>
        <v/>
      </c>
      <c r="CP27" s="32" t="str">
        <f t="shared" si="18"/>
        <v/>
      </c>
      <c r="CQ27" s="32" t="str">
        <f t="shared" si="19"/>
        <v/>
      </c>
      <c r="CR27" s="32" t="str">
        <f t="shared" si="20"/>
        <v/>
      </c>
      <c r="CS27" s="32" t="str">
        <f t="shared" si="21"/>
        <v/>
      </c>
      <c r="CT27" s="32" t="str">
        <f t="shared" si="22"/>
        <v/>
      </c>
      <c r="CU27" s="32" t="str">
        <f t="shared" si="23"/>
        <v/>
      </c>
      <c r="CV27" s="32" t="str">
        <f t="shared" si="24"/>
        <v/>
      </c>
      <c r="CW27" s="32" t="str">
        <f t="shared" si="25"/>
        <v/>
      </c>
      <c r="CX27" s="32" t="str">
        <f t="shared" si="26"/>
        <v/>
      </c>
      <c r="CY27" s="32" t="str">
        <f t="shared" si="27"/>
        <v/>
      </c>
      <c r="CZ27" s="32" t="str">
        <f t="shared" si="28"/>
        <v/>
      </c>
      <c r="DA27" s="32" t="str">
        <f t="shared" si="29"/>
        <v/>
      </c>
      <c r="DB27" s="32" t="str">
        <f t="shared" si="30"/>
        <v/>
      </c>
      <c r="DC27" s="32" t="str">
        <f t="shared" si="31"/>
        <v/>
      </c>
      <c r="DD27" s="32" t="str">
        <f t="shared" si="32"/>
        <v/>
      </c>
      <c r="DE27" s="32" t="str">
        <f t="shared" si="33"/>
        <v/>
      </c>
      <c r="DF27" s="32" t="str">
        <f t="shared" si="34"/>
        <v/>
      </c>
      <c r="DG27" s="32" t="str">
        <f t="shared" si="35"/>
        <v/>
      </c>
      <c r="DH27" s="32" t="str">
        <f t="shared" si="36"/>
        <v/>
      </c>
      <c r="DI27" s="32" t="str">
        <f t="shared" si="37"/>
        <v/>
      </c>
      <c r="DJ27" s="32" t="str">
        <f t="shared" si="38"/>
        <v/>
      </c>
      <c r="DK27" s="32" t="str">
        <f t="shared" si="39"/>
        <v/>
      </c>
      <c r="DL27" s="32" t="str">
        <f t="shared" si="40"/>
        <v/>
      </c>
      <c r="DM27" s="32" t="str">
        <f t="shared" si="41"/>
        <v/>
      </c>
      <c r="DN27" s="32" t="str">
        <f t="shared" si="42"/>
        <v/>
      </c>
      <c r="DO27" s="32" t="str">
        <f t="shared" si="43"/>
        <v/>
      </c>
      <c r="DP27" s="32" t="str">
        <f t="shared" si="44"/>
        <v/>
      </c>
      <c r="DQ27" s="32" t="str">
        <f t="shared" si="45"/>
        <v/>
      </c>
      <c r="DR27" s="32" t="str">
        <f t="shared" si="46"/>
        <v/>
      </c>
      <c r="DS27" s="32" t="str">
        <f t="shared" si="47"/>
        <v/>
      </c>
      <c r="DT27" s="37" t="str">
        <f t="shared" si="48"/>
        <v/>
      </c>
    </row>
    <row r="28" spans="2:124" x14ac:dyDescent="0.35">
      <c r="B28" s="46"/>
      <c r="C28" s="212"/>
      <c r="D28" s="52"/>
      <c r="E28" s="52" t="str">
        <f>+IF(B28="","",IFERROR(SUMIF('Modelo Optimización'!$AS$72:$AS$217,C28,INDEX('Modelo Optimización'!$C$72:$AR$217,,MATCH(B28,'Modelo Optimización'!$C$71:$AR$71,0))),0))</f>
        <v/>
      </c>
      <c r="F28" s="281" t="str">
        <f t="shared" si="10"/>
        <v/>
      </c>
      <c r="G28" s="280" t="str">
        <f>+IF(IF($B28="","",IFERROR(INDEX('Auxiliar Resultados'!$C$9:$BO$50,MATCH($B28,'Auxiliar Resultados'!$B$9:$B$50,0),MATCH(CONCATENATE($C28,G$7),'Auxiliar Resultados'!$C$6:$BO$6,0)),""))=0,"",IF($B28="","",IFERROR(INDEX('Auxiliar Resultados'!$C$9:$BO$50,MATCH($B28,'Auxiliar Resultados'!$B$9:$B$50,0),MATCH(CONCATENATE($C28,G$7),'Auxiliar Resultados'!$C$6:$BO$6,0)),"")))</f>
        <v/>
      </c>
      <c r="H28" s="52" t="str">
        <f>+IF(IF($B28="","",IFERROR(INDEX('Auxiliar Resultados'!$C$9:$BO$50,MATCH($B28,'Auxiliar Resultados'!$B$9:$B$50,0),MATCH(CONCATENATE($C28,H$7),'Auxiliar Resultados'!$C$6:$BO$6,0)),""))=0,"",IF($B28="","",IFERROR(INDEX('Auxiliar Resultados'!$C$9:$BO$50,MATCH($B28,'Auxiliar Resultados'!$B$9:$B$50,0),MATCH(CONCATENATE($C28,H$7),'Auxiliar Resultados'!$C$6:$BO$6,0)),"")))</f>
        <v/>
      </c>
      <c r="I28" s="52" t="str">
        <f>+IF(IF($B28="","",IFERROR(INDEX('Auxiliar Resultados'!$C$9:$BO$50,MATCH($B28,'Auxiliar Resultados'!$B$9:$B$50,0),MATCH(CONCATENATE($C28,I$7),'Auxiliar Resultados'!$C$6:$BO$6,0)),""))=0,"",IF($B28="","",IFERROR(INDEX('Auxiliar Resultados'!$C$9:$BO$50,MATCH($B28,'Auxiliar Resultados'!$B$9:$B$50,0),MATCH(CONCATENATE($C28,I$7),'Auxiliar Resultados'!$C$6:$BO$6,0)),"")))</f>
        <v/>
      </c>
      <c r="J28" s="52" t="str">
        <f>+IF(IF($B28="","",IFERROR(INDEX('Auxiliar Resultados'!$C$9:$BO$50,MATCH($B28,'Auxiliar Resultados'!$B$9:$B$50,0),MATCH(CONCATENATE($C28,J$7),'Auxiliar Resultados'!$C$6:$BO$6,0)),""))=0,"",IF($B28="","",IFERROR(INDEX('Auxiliar Resultados'!$C$9:$BO$50,MATCH($B28,'Auxiliar Resultados'!$B$9:$B$50,0),MATCH(CONCATENATE($C28,J$7),'Auxiliar Resultados'!$C$6:$BO$6,0)),"")))</f>
        <v/>
      </c>
      <c r="K28" s="52" t="str">
        <f>+IF(IF($B28="","",IFERROR(INDEX('Auxiliar Resultados'!$C$9:$BO$50,MATCH($B28,'Auxiliar Resultados'!$B$9:$B$50,0),MATCH(CONCATENATE($C28,K$7),'Auxiliar Resultados'!$C$6:$BO$6,0)),""))=0,"",IF($B28="","",IFERROR(INDEX('Auxiliar Resultados'!$C$9:$BO$50,MATCH($B28,'Auxiliar Resultados'!$B$9:$B$50,0),MATCH(CONCATENATE($C28,K$7),'Auxiliar Resultados'!$C$6:$BO$6,0)),"")))</f>
        <v/>
      </c>
      <c r="L28" s="52" t="str">
        <f>+IF(IF($B28="","",IFERROR(INDEX('Auxiliar Resultados'!$C$9:$BO$50,MATCH($B28,'Auxiliar Resultados'!$B$9:$B$50,0),MATCH(CONCATENATE($C28,L$7),'Auxiliar Resultados'!$C$6:$BO$6,0)),""))=0,"",IF($B28="","",IFERROR(INDEX('Auxiliar Resultados'!$C$9:$BO$50,MATCH($B28,'Auxiliar Resultados'!$B$9:$B$50,0),MATCH(CONCATENATE($C28,L$7),'Auxiliar Resultados'!$C$6:$BO$6,0)),"")))</f>
        <v/>
      </c>
      <c r="M28" s="52" t="str">
        <f>+IF(IF($B28="","",IFERROR(INDEX('Auxiliar Resultados'!$C$9:$BO$50,MATCH($B28,'Auxiliar Resultados'!$B$9:$B$50,0),MATCH(CONCATENATE($C28,M$7),'Auxiliar Resultados'!$C$6:$BO$6,0)),""))=0,"",IF($B28="","",IFERROR(INDEX('Auxiliar Resultados'!$C$9:$BO$50,MATCH($B28,'Auxiliar Resultados'!$B$9:$B$50,0),MATCH(CONCATENATE($C28,M$7),'Auxiliar Resultados'!$C$6:$BO$6,0)),"")))</f>
        <v/>
      </c>
      <c r="N28" s="52" t="str">
        <f>+IF(IF($B28="","",IFERROR(INDEX('Auxiliar Resultados'!$C$9:$BO$50,MATCH($B28,'Auxiliar Resultados'!$B$9:$B$50,0),MATCH(CONCATENATE($C28,N$7),'Auxiliar Resultados'!$C$6:$BO$6,0)),""))=0,"",IF($B28="","",IFERROR(INDEX('Auxiliar Resultados'!$C$9:$BO$50,MATCH($B28,'Auxiliar Resultados'!$B$9:$B$50,0),MATCH(CONCATENATE($C28,N$7),'Auxiliar Resultados'!$C$6:$BO$6,0)),"")))</f>
        <v/>
      </c>
      <c r="O28" s="52" t="str">
        <f>+IF(IF($B28="","",IFERROR(INDEX('Auxiliar Resultados'!$C$9:$BO$50,MATCH($B28,'Auxiliar Resultados'!$B$9:$B$50,0),MATCH(CONCATENATE($C28,O$7),'Auxiliar Resultados'!$C$6:$BO$6,0)),""))=0,"",IF($B28="","",IFERROR(INDEX('Auxiliar Resultados'!$C$9:$BO$50,MATCH($B28,'Auxiliar Resultados'!$B$9:$B$50,0),MATCH(CONCATENATE($C28,O$7),'Auxiliar Resultados'!$C$6:$BO$6,0)),"")))</f>
        <v/>
      </c>
      <c r="P28" s="52" t="str">
        <f>+IF(IF($B28="","",IFERROR(INDEX('Auxiliar Resultados'!$C$9:$BO$50,MATCH($B28,'Auxiliar Resultados'!$B$9:$B$50,0),MATCH(CONCATENATE($C28,P$7),'Auxiliar Resultados'!$C$6:$BO$6,0)),""))=0,"",IF($B28="","",IFERROR(INDEX('Auxiliar Resultados'!$C$9:$BO$50,MATCH($B28,'Auxiliar Resultados'!$B$9:$B$50,0),MATCH(CONCATENATE($C28,P$7),'Auxiliar Resultados'!$C$6:$BO$6,0)),"")))</f>
        <v/>
      </c>
      <c r="Q28" s="52" t="str">
        <f>+IF(IF($B28="","",IFERROR(INDEX('Auxiliar Resultados'!$C$9:$BO$50,MATCH($B28,'Auxiliar Resultados'!$B$9:$B$50,0),MATCH(CONCATENATE($C28,Q$7),'Auxiliar Resultados'!$C$6:$BO$6,0)),""))=0,"",IF($B28="","",IFERROR(INDEX('Auxiliar Resultados'!$C$9:$BO$50,MATCH($B28,'Auxiliar Resultados'!$B$9:$B$50,0),MATCH(CONCATENATE($C28,Q$7),'Auxiliar Resultados'!$C$6:$BO$6,0)),"")))</f>
        <v/>
      </c>
      <c r="R28" s="52" t="str">
        <f>+IF(IF($B28="","",IFERROR(INDEX('Auxiliar Resultados'!$C$9:$BO$50,MATCH($B28,'Auxiliar Resultados'!$B$9:$B$50,0),MATCH(CONCATENATE($C28,R$7),'Auxiliar Resultados'!$C$6:$BO$6,0)),""))=0,"",IF($B28="","",IFERROR(INDEX('Auxiliar Resultados'!$C$9:$BO$50,MATCH($B28,'Auxiliar Resultados'!$B$9:$B$50,0),MATCH(CONCATENATE($C28,R$7),'Auxiliar Resultados'!$C$6:$BO$6,0)),"")))</f>
        <v/>
      </c>
      <c r="S28" s="52" t="str">
        <f>+IF(IF($B28="","",IFERROR(INDEX('Auxiliar Resultados'!$C$9:$BO$50,MATCH($B28,'Auxiliar Resultados'!$B$9:$B$50,0),MATCH(CONCATENATE($C28,S$7),'Auxiliar Resultados'!$C$6:$BO$6,0)),""))=0,"",IF($B28="","",IFERROR(INDEX('Auxiliar Resultados'!$C$9:$BO$50,MATCH($B28,'Auxiliar Resultados'!$B$9:$B$50,0),MATCH(CONCATENATE($C28,S$7),'Auxiliar Resultados'!$C$6:$BO$6,0)),"")))</f>
        <v/>
      </c>
      <c r="T28" s="52" t="str">
        <f>+IF(IF($B28="","",IFERROR(INDEX('Auxiliar Resultados'!$C$9:$BO$50,MATCH($B28,'Auxiliar Resultados'!$B$9:$B$50,0),MATCH(CONCATENATE($C28,T$7),'Auxiliar Resultados'!$C$6:$BO$6,0)),""))=0,"",IF($B28="","",IFERROR(INDEX('Auxiliar Resultados'!$C$9:$BO$50,MATCH($B28,'Auxiliar Resultados'!$B$9:$B$50,0),MATCH(CONCATENATE($C28,T$7),'Auxiliar Resultados'!$C$6:$BO$6,0)),"")))</f>
        <v/>
      </c>
      <c r="U28" s="52" t="str">
        <f>+IF(IF($B28="","",IFERROR(INDEX('Auxiliar Resultados'!$C$9:$BO$50,MATCH($B28,'Auxiliar Resultados'!$B$9:$B$50,0),MATCH(CONCATENATE($C28,U$7),'Auxiliar Resultados'!$C$6:$BO$6,0)),""))=0,"",IF($B28="","",IFERROR(INDEX('Auxiliar Resultados'!$C$9:$BO$50,MATCH($B28,'Auxiliar Resultados'!$B$9:$B$50,0),MATCH(CONCATENATE($C28,U$7),'Auxiliar Resultados'!$C$6:$BO$6,0)),"")))</f>
        <v/>
      </c>
      <c r="V28" s="52" t="str">
        <f>+IF(IF($B28="","",IFERROR(INDEX('Auxiliar Resultados'!$C$9:$BO$50,MATCH($B28,'Auxiliar Resultados'!$B$9:$B$50,0),MATCH(CONCATENATE($C28,V$7),'Auxiliar Resultados'!$C$6:$BO$6,0)),""))=0,"",IF($B28="","",IFERROR(INDEX('Auxiliar Resultados'!$C$9:$BO$50,MATCH($B28,'Auxiliar Resultados'!$B$9:$B$50,0),MATCH(CONCATENATE($C28,V$7),'Auxiliar Resultados'!$C$6:$BO$6,0)),"")))</f>
        <v/>
      </c>
      <c r="W28" s="52" t="str">
        <f>+IF(IF($B28="","",IFERROR(INDEX('Auxiliar Resultados'!$C$9:$BO$50,MATCH($B28,'Auxiliar Resultados'!$B$9:$B$50,0),MATCH(CONCATENATE($C28,W$7),'Auxiliar Resultados'!$C$6:$BO$6,0)),""))=0,"",IF($B28="","",IFERROR(INDEX('Auxiliar Resultados'!$C$9:$BO$50,MATCH($B28,'Auxiliar Resultados'!$B$9:$B$50,0),MATCH(CONCATENATE($C28,W$7),'Auxiliar Resultados'!$C$6:$BO$6,0)),"")))</f>
        <v/>
      </c>
      <c r="X28" s="52" t="str">
        <f>+IF(IF($B28="","",IFERROR(INDEX('Auxiliar Resultados'!$C$9:$BO$50,MATCH($B28,'Auxiliar Resultados'!$B$9:$B$50,0),MATCH(CONCATENATE($C28,X$7),'Auxiliar Resultados'!$C$6:$BO$6,0)),""))=0,"",IF($B28="","",IFERROR(INDEX('Auxiliar Resultados'!$C$9:$BO$50,MATCH($B28,'Auxiliar Resultados'!$B$9:$B$50,0),MATCH(CONCATENATE($C28,X$7),'Auxiliar Resultados'!$C$6:$BO$6,0)),"")))</f>
        <v/>
      </c>
      <c r="Y28" s="52" t="str">
        <f>+IF(IF($B28="","",IFERROR(INDEX('Auxiliar Resultados'!$C$9:$BO$50,MATCH($B28,'Auxiliar Resultados'!$B$9:$B$50,0),MATCH(CONCATENATE($C28,Y$7),'Auxiliar Resultados'!$C$6:$BO$6,0)),""))=0,"",IF($B28="","",IFERROR(INDEX('Auxiliar Resultados'!$C$9:$BO$50,MATCH($B28,'Auxiliar Resultados'!$B$9:$B$50,0),MATCH(CONCATENATE($C28,Y$7),'Auxiliar Resultados'!$C$6:$BO$6,0)),"")))</f>
        <v/>
      </c>
      <c r="Z28" s="52" t="str">
        <f>+IF(IF($B28="","",IFERROR(INDEX('Auxiliar Resultados'!$C$9:$BO$50,MATCH($B28,'Auxiliar Resultados'!$B$9:$B$50,0),MATCH(CONCATENATE($C28,Z$7),'Auxiliar Resultados'!$C$6:$BO$6,0)),""))=0,"",IF($B28="","",IFERROR(INDEX('Auxiliar Resultados'!$C$9:$BO$50,MATCH($B28,'Auxiliar Resultados'!$B$9:$B$50,0),MATCH(CONCATENATE($C28,Z$7),'Auxiliar Resultados'!$C$6:$BO$6,0)),"")))</f>
        <v/>
      </c>
      <c r="AA28" s="52" t="str">
        <f>+IF(IF($B28="","",IFERROR(INDEX('Auxiliar Resultados'!$C$9:$BO$50,MATCH($B28,'Auxiliar Resultados'!$B$9:$B$50,0),MATCH(CONCATENATE($C28,AA$7),'Auxiliar Resultados'!$C$6:$BO$6,0)),""))=0,"",IF($B28="","",IFERROR(INDEX('Auxiliar Resultados'!$C$9:$BO$50,MATCH($B28,'Auxiliar Resultados'!$B$9:$B$50,0),MATCH(CONCATENATE($C28,AA$7),'Auxiliar Resultados'!$C$6:$BO$6,0)),"")))</f>
        <v/>
      </c>
      <c r="AB28" s="52" t="str">
        <f>+IF(IF($B28="","",IFERROR(INDEX('Auxiliar Resultados'!$C$9:$BO$50,MATCH($B28,'Auxiliar Resultados'!$B$9:$B$50,0),MATCH(CONCATENATE($C28,AB$7),'Auxiliar Resultados'!$C$6:$BO$6,0)),""))=0,"",IF($B28="","",IFERROR(INDEX('Auxiliar Resultados'!$C$9:$BO$50,MATCH($B28,'Auxiliar Resultados'!$B$9:$B$50,0),MATCH(CONCATENATE($C28,AB$7),'Auxiliar Resultados'!$C$6:$BO$6,0)),"")))</f>
        <v/>
      </c>
      <c r="AC28" s="52" t="str">
        <f>+IF(IF($B28="","",IFERROR(INDEX('Auxiliar Resultados'!$C$9:$BO$50,MATCH($B28,'Auxiliar Resultados'!$B$9:$B$50,0),MATCH(CONCATENATE($C28,AC$7),'Auxiliar Resultados'!$C$6:$BO$6,0)),""))=0,"",IF($B28="","",IFERROR(INDEX('Auxiliar Resultados'!$C$9:$BO$50,MATCH($B28,'Auxiliar Resultados'!$B$9:$B$50,0),MATCH(CONCATENATE($C28,AC$7),'Auxiliar Resultados'!$C$6:$BO$6,0)),"")))</f>
        <v/>
      </c>
      <c r="AD28" s="52" t="str">
        <f>+IF(IF($B28="","",IFERROR(INDEX('Auxiliar Resultados'!$C$9:$BO$50,MATCH($B28,'Auxiliar Resultados'!$B$9:$B$50,0),MATCH(CONCATENATE($C28,AD$7),'Auxiliar Resultados'!$C$6:$BO$6,0)),""))=0,"",IF($B28="","",IFERROR(INDEX('Auxiliar Resultados'!$C$9:$BO$50,MATCH($B28,'Auxiliar Resultados'!$B$9:$B$50,0),MATCH(CONCATENATE($C28,AD$7),'Auxiliar Resultados'!$C$6:$BO$6,0)),"")))</f>
        <v/>
      </c>
      <c r="AE28" s="52" t="str">
        <f>+IF(IF($B28="","",IFERROR(INDEX('Auxiliar Resultados'!$C$9:$BO$50,MATCH($B28,'Auxiliar Resultados'!$B$9:$B$50,0),MATCH(CONCATENATE($C28,AE$7),'Auxiliar Resultados'!$C$6:$BO$6,0)),""))=0,"",IF($B28="","",IFERROR(INDEX('Auxiliar Resultados'!$C$9:$BO$50,MATCH($B28,'Auxiliar Resultados'!$B$9:$B$50,0),MATCH(CONCATENATE($C28,AE$7),'Auxiliar Resultados'!$C$6:$BO$6,0)),"")))</f>
        <v/>
      </c>
      <c r="AF28" s="52" t="str">
        <f>+IF(IF($B28="","",IFERROR(INDEX('Auxiliar Resultados'!$C$9:$BO$50,MATCH($B28,'Auxiliar Resultados'!$B$9:$B$50,0),MATCH(CONCATENATE($C28,AF$7),'Auxiliar Resultados'!$C$6:$BO$6,0)),""))=0,"",IF($B28="","",IFERROR(INDEX('Auxiliar Resultados'!$C$9:$BO$50,MATCH($B28,'Auxiliar Resultados'!$B$9:$B$50,0),MATCH(CONCATENATE($C28,AF$7),'Auxiliar Resultados'!$C$6:$BO$6,0)),"")))</f>
        <v/>
      </c>
      <c r="AG28" s="52" t="str">
        <f>+IF(IF($B28="","",IFERROR(INDEX('Auxiliar Resultados'!$C$9:$BO$50,MATCH($B28,'Auxiliar Resultados'!$B$9:$B$50,0),MATCH(CONCATENATE($C28,AG$7),'Auxiliar Resultados'!$C$6:$BO$6,0)),""))=0,"",IF($B28="","",IFERROR(INDEX('Auxiliar Resultados'!$C$9:$BO$50,MATCH($B28,'Auxiliar Resultados'!$B$9:$B$50,0),MATCH(CONCATENATE($C28,AG$7),'Auxiliar Resultados'!$C$6:$BO$6,0)),"")))</f>
        <v/>
      </c>
      <c r="AH28" s="52" t="str">
        <f>+IF(IF($B28="","",IFERROR(INDEX('Auxiliar Resultados'!$C$9:$BO$50,MATCH($B28,'Auxiliar Resultados'!$B$9:$B$50,0),MATCH(CONCATENATE($C28,AH$7),'Auxiliar Resultados'!$C$6:$BO$6,0)),""))=0,"",IF($B28="","",IFERROR(INDEX('Auxiliar Resultados'!$C$9:$BO$50,MATCH($B28,'Auxiliar Resultados'!$B$9:$B$50,0),MATCH(CONCATENATE($C28,AH$7),'Auxiliar Resultados'!$C$6:$BO$6,0)),"")))</f>
        <v/>
      </c>
      <c r="AI28" s="52" t="str">
        <f>+IF(IF($B28="","",IFERROR(INDEX('Auxiliar Resultados'!$C$9:$BO$50,MATCH($B28,'Auxiliar Resultados'!$B$9:$B$50,0),MATCH(CONCATENATE($C28,AI$7),'Auxiliar Resultados'!$C$6:$BO$6,0)),""))=0,"",IF($B28="","",IFERROR(INDEX('Auxiliar Resultados'!$C$9:$BO$50,MATCH($B28,'Auxiliar Resultados'!$B$9:$B$50,0),MATCH(CONCATENATE($C28,AI$7),'Auxiliar Resultados'!$C$6:$BO$6,0)),"")))</f>
        <v/>
      </c>
      <c r="AJ28" s="52" t="str">
        <f>+IF(IF($B28="","",IFERROR(INDEX('Auxiliar Resultados'!$C$9:$BO$50,MATCH($B28,'Auxiliar Resultados'!$B$9:$B$50,0),MATCH(CONCATENATE($C28,AJ$7),'Auxiliar Resultados'!$C$6:$BO$6,0)),""))=0,"",IF($B28="","",IFERROR(INDEX('Auxiliar Resultados'!$C$9:$BO$50,MATCH($B28,'Auxiliar Resultados'!$B$9:$B$50,0),MATCH(CONCATENATE($C28,AJ$7),'Auxiliar Resultados'!$C$6:$BO$6,0)),"")))</f>
        <v/>
      </c>
      <c r="AK28" s="52" t="str">
        <f>+IF(IF($B28="","",IFERROR(INDEX('Auxiliar Resultados'!$C$9:$BO$50,MATCH($B28,'Auxiliar Resultados'!$B$9:$B$50,0),MATCH(CONCATENATE($C28,AK$7),'Auxiliar Resultados'!$C$6:$BO$6,0)),""))=0,"",IF($B28="","",IFERROR(INDEX('Auxiliar Resultados'!$C$9:$BO$50,MATCH($B28,'Auxiliar Resultados'!$B$9:$B$50,0),MATCH(CONCATENATE($C28,AK$7),'Auxiliar Resultados'!$C$6:$BO$6,0)),"")))</f>
        <v/>
      </c>
      <c r="AL28" s="52" t="str">
        <f>+IF(IF($B28="","",IFERROR(INDEX('Auxiliar Resultados'!$C$9:$BO$50,MATCH($B28,'Auxiliar Resultados'!$B$9:$B$50,0),MATCH(CONCATENATE($C28,AL$7),'Auxiliar Resultados'!$C$6:$BO$6,0)),""))=0,"",IF($B28="","",IFERROR(INDEX('Auxiliar Resultados'!$C$9:$BO$50,MATCH($B28,'Auxiliar Resultados'!$B$9:$B$50,0),MATCH(CONCATENATE($C28,AL$7),'Auxiliar Resultados'!$C$6:$BO$6,0)),"")))</f>
        <v/>
      </c>
      <c r="AM28" s="52" t="str">
        <f>+IF(IF($B28="","",IFERROR(INDEX('Auxiliar Resultados'!$C$9:$BO$50,MATCH($B28,'Auxiliar Resultados'!$B$9:$B$50,0),MATCH(CONCATENATE($C28,AM$7),'Auxiliar Resultados'!$C$6:$BO$6,0)),""))=0,"",IF($B28="","",IFERROR(INDEX('Auxiliar Resultados'!$C$9:$BO$50,MATCH($B28,'Auxiliar Resultados'!$B$9:$B$50,0),MATCH(CONCATENATE($C28,AM$7),'Auxiliar Resultados'!$C$6:$BO$6,0)),"")))</f>
        <v/>
      </c>
      <c r="AN28" s="52" t="str">
        <f>+IF(IF($B28="","",IFERROR(INDEX('Auxiliar Resultados'!$C$9:$BO$50,MATCH($B28,'Auxiliar Resultados'!$B$9:$B$50,0),MATCH(CONCATENATE($C28,AN$7),'Auxiliar Resultados'!$C$6:$BO$6,0)),""))=0,"",IF($B28="","",IFERROR(INDEX('Auxiliar Resultados'!$C$9:$BO$50,MATCH($B28,'Auxiliar Resultados'!$B$9:$B$50,0),MATCH(CONCATENATE($C28,AN$7),'Auxiliar Resultados'!$C$6:$BO$6,0)),"")))</f>
        <v/>
      </c>
      <c r="AO28" s="52" t="str">
        <f>+IF(IF($B28="","",IFERROR(INDEX('Auxiliar Resultados'!$C$9:$BO$50,MATCH($B28,'Auxiliar Resultados'!$B$9:$B$50,0),MATCH(CONCATENATE($C28,AO$7),'Auxiliar Resultados'!$C$6:$BO$6,0)),""))=0,"",IF($B28="","",IFERROR(INDEX('Auxiliar Resultados'!$C$9:$BO$50,MATCH($B28,'Auxiliar Resultados'!$B$9:$B$50,0),MATCH(CONCATENATE($C28,AO$7),'Auxiliar Resultados'!$C$6:$BO$6,0)),"")))</f>
        <v/>
      </c>
      <c r="AP28" s="52" t="str">
        <f>+IF(IF($B28="","",IFERROR(INDEX('Auxiliar Resultados'!$C$9:$BO$50,MATCH($B28,'Auxiliar Resultados'!$B$9:$B$50,0),MATCH(CONCATENATE($C28,AP$7),'Auxiliar Resultados'!$C$6:$BO$6,0)),""))=0,"",IF($B28="","",IFERROR(INDEX('Auxiliar Resultados'!$C$9:$BO$50,MATCH($B28,'Auxiliar Resultados'!$B$9:$B$50,0),MATCH(CONCATENATE($C28,AP$7),'Auxiliar Resultados'!$C$6:$BO$6,0)),"")))</f>
        <v/>
      </c>
      <c r="AQ28" s="276" t="str">
        <f>+IF(IF($B28="","",IFERROR(INDEX('Auxiliar Resultados'!$C$9:$BO$50,MATCH($B28,'Auxiliar Resultados'!$B$9:$B$50,0),MATCH(CONCATENATE($C28,AQ$7),'Auxiliar Resultados'!$C$6:$BO$6,0)),""))=0,"",IF($B28="","",IFERROR(INDEX('Auxiliar Resultados'!$C$9:$BO$50,MATCH($B28,'Auxiliar Resultados'!$B$9:$B$50,0),MATCH(CONCATENATE($C28,AQ$7),'Auxiliar Resultados'!$C$6:$BO$6,0)),"")))</f>
        <v/>
      </c>
      <c r="AS28" s="46" t="str">
        <f t="shared" si="5"/>
        <v/>
      </c>
      <c r="AT28" s="292" t="str">
        <f t="shared" si="6"/>
        <v/>
      </c>
      <c r="AU28" s="36" t="str">
        <f>+IF(G28="","",INDEX('Modelo Optimización'!$AZ$4:$CO$149,MATCH(CONCATENATE(AU$7,$AT28),'Modelo Optimización'!$CQ$4:$CQ$149,0),MATCH($AS28,'Modelo Optimización'!$AZ$3:$CO$3,0)))</f>
        <v/>
      </c>
      <c r="AV28" s="32" t="str">
        <f>+IF(H28="","",INDEX('Modelo Optimización'!$AZ$4:$CO$149,MATCH(CONCATENATE(AV$7,$AT28),'Modelo Optimización'!$CQ$4:$CQ$149,0),MATCH($AS28,'Modelo Optimización'!$AZ$3:$CO$3,0)))</f>
        <v/>
      </c>
      <c r="AW28" s="32" t="str">
        <f>+IF(I28="","",INDEX('Modelo Optimización'!$AZ$4:$CO$149,MATCH(CONCATENATE(AW$7,$AT28),'Modelo Optimización'!$CQ$4:$CQ$149,0),MATCH($AS28,'Modelo Optimización'!$AZ$3:$CO$3,0)))</f>
        <v/>
      </c>
      <c r="AX28" s="32" t="str">
        <f>+IF(J28="","",INDEX('Modelo Optimización'!$AZ$4:$CO$149,MATCH(CONCATENATE(AX$7,$AT28),'Modelo Optimización'!$CQ$4:$CQ$149,0),MATCH($AS28,'Modelo Optimización'!$AZ$3:$CO$3,0)))</f>
        <v/>
      </c>
      <c r="AY28" s="32" t="str">
        <f>+IF(K28="","",INDEX('Modelo Optimización'!$AZ$4:$CO$149,MATCH(CONCATENATE(AY$7,$AT28),'Modelo Optimización'!$CQ$4:$CQ$149,0),MATCH($AS28,'Modelo Optimización'!$AZ$3:$CO$3,0)))</f>
        <v/>
      </c>
      <c r="AZ28" s="32" t="str">
        <f>+IF(L28="","",INDEX('Modelo Optimización'!$AZ$4:$CO$149,MATCH(CONCATENATE(AZ$7,$AT28),'Modelo Optimización'!$CQ$4:$CQ$149,0),MATCH($AS28,'Modelo Optimización'!$AZ$3:$CO$3,0)))</f>
        <v/>
      </c>
      <c r="BA28" s="32" t="str">
        <f>+IF(M28="","",INDEX('Modelo Optimización'!$AZ$4:$CO$149,MATCH(CONCATENATE(BA$7,$AT28),'Modelo Optimización'!$CQ$4:$CQ$149,0),MATCH($AS28,'Modelo Optimización'!$AZ$3:$CO$3,0)))</f>
        <v/>
      </c>
      <c r="BB28" s="32" t="str">
        <f>+IF(N28="","",INDEX('Modelo Optimización'!$AZ$4:$CO$149,MATCH(CONCATENATE(BB$7,$AT28),'Modelo Optimización'!$CQ$4:$CQ$149,0),MATCH($AS28,'Modelo Optimización'!$AZ$3:$CO$3,0)))</f>
        <v/>
      </c>
      <c r="BC28" s="32" t="str">
        <f>+IF(O28="","",INDEX('Modelo Optimización'!$AZ$4:$CO$149,MATCH(CONCATENATE(BC$7,$AT28),'Modelo Optimización'!$CQ$4:$CQ$149,0),MATCH($AS28,'Modelo Optimización'!$AZ$3:$CO$3,0)))</f>
        <v/>
      </c>
      <c r="BD28" s="32" t="str">
        <f>+IF(P28="","",INDEX('Modelo Optimización'!$AZ$4:$CO$149,MATCH(CONCATENATE(BD$7,$AT28),'Modelo Optimización'!$CQ$4:$CQ$149,0),MATCH($AS28,'Modelo Optimización'!$AZ$3:$CO$3,0)))</f>
        <v/>
      </c>
      <c r="BE28" s="32" t="str">
        <f>+IF(Q28="","",INDEX('Modelo Optimización'!$AZ$4:$CO$149,MATCH(CONCATENATE(BE$7,$AT28),'Modelo Optimización'!$CQ$4:$CQ$149,0),MATCH($AS28,'Modelo Optimización'!$AZ$3:$CO$3,0)))</f>
        <v/>
      </c>
      <c r="BF28" s="32" t="str">
        <f>+IF(R28="","",INDEX('Modelo Optimización'!$AZ$4:$CO$149,MATCH(CONCATENATE(BF$7,$AT28),'Modelo Optimización'!$CQ$4:$CQ$149,0),MATCH($AS28,'Modelo Optimización'!$AZ$3:$CO$3,0)))</f>
        <v/>
      </c>
      <c r="BG28" s="32" t="str">
        <f>+IF(S28="","",INDEX('Modelo Optimización'!$AZ$4:$CO$149,MATCH(CONCATENATE(BG$7,$AT28),'Modelo Optimización'!$CQ$4:$CQ$149,0),MATCH($AS28,'Modelo Optimización'!$AZ$3:$CO$3,0)))</f>
        <v/>
      </c>
      <c r="BH28" s="32" t="str">
        <f>+IF(T28="","",INDEX('Modelo Optimización'!$AZ$4:$CO$149,MATCH(CONCATENATE(BH$7,$AT28),'Modelo Optimización'!$CQ$4:$CQ$149,0),MATCH($AS28,'Modelo Optimización'!$AZ$3:$CO$3,0)))</f>
        <v/>
      </c>
      <c r="BI28" s="32" t="str">
        <f>+IF(U28="","",INDEX('Modelo Optimización'!$AZ$4:$CO$149,MATCH(CONCATENATE(BI$7,$AT28),'Modelo Optimización'!$CQ$4:$CQ$149,0),MATCH($AS28,'Modelo Optimización'!$AZ$3:$CO$3,0)))</f>
        <v/>
      </c>
      <c r="BJ28" s="32" t="str">
        <f>+IF(V28="","",INDEX('Modelo Optimización'!$AZ$4:$CO$149,MATCH(CONCATENATE(BJ$7,$AT28),'Modelo Optimización'!$CQ$4:$CQ$149,0),MATCH($AS28,'Modelo Optimización'!$AZ$3:$CO$3,0)))</f>
        <v/>
      </c>
      <c r="BK28" s="32" t="str">
        <f>+IF(W28="","",INDEX('Modelo Optimización'!$AZ$4:$CO$149,MATCH(CONCATENATE(BK$7,$AT28),'Modelo Optimización'!$CQ$4:$CQ$149,0),MATCH($AS28,'Modelo Optimización'!$AZ$3:$CO$3,0)))</f>
        <v/>
      </c>
      <c r="BL28" s="32" t="str">
        <f>+IF(X28="","",INDEX('Modelo Optimización'!$AZ$4:$CO$149,MATCH(CONCATENATE(BL$7,$AT28),'Modelo Optimización'!$CQ$4:$CQ$149,0),MATCH($AS28,'Modelo Optimización'!$AZ$3:$CO$3,0)))</f>
        <v/>
      </c>
      <c r="BM28" s="32" t="str">
        <f>+IF(Y28="","",INDEX('Modelo Optimización'!$AZ$4:$CO$149,MATCH(CONCATENATE(BM$7,$AT28),'Modelo Optimización'!$CQ$4:$CQ$149,0),MATCH($AS28,'Modelo Optimización'!$AZ$3:$CO$3,0)))</f>
        <v/>
      </c>
      <c r="BN28" s="32" t="str">
        <f>+IF(Z28="","",INDEX('Modelo Optimización'!$AZ$4:$CO$149,MATCH(CONCATENATE(BN$7,$AT28),'Modelo Optimización'!$CQ$4:$CQ$149,0),MATCH($AS28,'Modelo Optimización'!$AZ$3:$CO$3,0)))</f>
        <v/>
      </c>
      <c r="BO28" s="32" t="str">
        <f>+IF(AA28="","",INDEX('Modelo Optimización'!$AZ$4:$CO$149,MATCH(CONCATENATE(BO$7,$AT28),'Modelo Optimización'!$CQ$4:$CQ$149,0),MATCH($AS28,'Modelo Optimización'!$AZ$3:$CO$3,0)))</f>
        <v/>
      </c>
      <c r="BP28" s="32" t="str">
        <f>+IF(AB28="","",INDEX('Modelo Optimización'!$AZ$4:$CO$149,MATCH(CONCATENATE(BP$7,$AT28),'Modelo Optimización'!$CQ$4:$CQ$149,0),MATCH($AS28,'Modelo Optimización'!$AZ$3:$CO$3,0)))</f>
        <v/>
      </c>
      <c r="BQ28" s="32" t="str">
        <f>+IF(AC28="","",INDEX('Modelo Optimización'!$AZ$4:$CO$149,MATCH(CONCATENATE(BQ$7,$AT28),'Modelo Optimización'!$CQ$4:$CQ$149,0),MATCH($AS28,'Modelo Optimización'!$AZ$3:$CO$3,0)))</f>
        <v/>
      </c>
      <c r="BR28" s="32" t="str">
        <f>+IF(AD28="","",INDEX('Modelo Optimización'!$AZ$4:$CO$149,MATCH(CONCATENATE(BR$7,$AT28),'Modelo Optimización'!$CQ$4:$CQ$149,0),MATCH($AS28,'Modelo Optimización'!$AZ$3:$CO$3,0)))</f>
        <v/>
      </c>
      <c r="BS28" s="32" t="str">
        <f>+IF(AE28="","",INDEX('Modelo Optimización'!$AZ$4:$CO$149,MATCH(CONCATENATE(BS$7,$AT28),'Modelo Optimización'!$CQ$4:$CQ$149,0),MATCH($AS28,'Modelo Optimización'!$AZ$3:$CO$3,0)))</f>
        <v/>
      </c>
      <c r="BT28" s="32" t="str">
        <f>+IF(AF28="","",INDEX('Modelo Optimización'!$AZ$4:$CO$149,MATCH(CONCATENATE(BT$7,$AT28),'Modelo Optimización'!$CQ$4:$CQ$149,0),MATCH($AS28,'Modelo Optimización'!$AZ$3:$CO$3,0)))</f>
        <v/>
      </c>
      <c r="BU28" s="32" t="str">
        <f>+IF(AG28="","",INDEX('Modelo Optimización'!$AZ$4:$CO$149,MATCH(CONCATENATE(BU$7,$AT28),'Modelo Optimización'!$CQ$4:$CQ$149,0),MATCH($AS28,'Modelo Optimización'!$AZ$3:$CO$3,0)))</f>
        <v/>
      </c>
      <c r="BV28" s="32" t="str">
        <f>+IF(AH28="","",INDEX('Modelo Optimización'!$AZ$4:$CO$149,MATCH(CONCATENATE(BV$7,$AT28),'Modelo Optimización'!$CQ$4:$CQ$149,0),MATCH($AS28,'Modelo Optimización'!$AZ$3:$CO$3,0)))</f>
        <v/>
      </c>
      <c r="BW28" s="32" t="str">
        <f>+IF(AI28="","",INDEX('Modelo Optimización'!$AZ$4:$CO$149,MATCH(CONCATENATE(BW$7,$AT28),'Modelo Optimización'!$CQ$4:$CQ$149,0),MATCH($AS28,'Modelo Optimización'!$AZ$3:$CO$3,0)))</f>
        <v/>
      </c>
      <c r="BX28" s="32" t="str">
        <f>+IF(AJ28="","",INDEX('Modelo Optimización'!$AZ$4:$CO$149,MATCH(CONCATENATE(BX$7,$AT28),'Modelo Optimización'!$CQ$4:$CQ$149,0),MATCH($AS28,'Modelo Optimización'!$AZ$3:$CO$3,0)))</f>
        <v/>
      </c>
      <c r="BY28" s="32" t="str">
        <f>+IF(AK28="","",INDEX('Modelo Optimización'!$AZ$4:$CO$149,MATCH(CONCATENATE(BY$7,$AT28),'Modelo Optimización'!$CQ$4:$CQ$149,0),MATCH($AS28,'Modelo Optimización'!$AZ$3:$CO$3,0)))</f>
        <v/>
      </c>
      <c r="BZ28" s="32" t="str">
        <f>+IF(AL28="","",INDEX('Modelo Optimización'!$AZ$4:$CO$149,MATCH(CONCATENATE(BZ$7,$AT28),'Modelo Optimización'!$CQ$4:$CQ$149,0),MATCH($AS28,'Modelo Optimización'!$AZ$3:$CO$3,0)))</f>
        <v/>
      </c>
      <c r="CA28" s="32" t="str">
        <f>+IF(AM28="","",INDEX('Modelo Optimización'!$AZ$4:$CO$149,MATCH(CONCATENATE(CA$7,$AT28),'Modelo Optimización'!$CQ$4:$CQ$149,0),MATCH($AS28,'Modelo Optimización'!$AZ$3:$CO$3,0)))</f>
        <v/>
      </c>
      <c r="CB28" s="32" t="str">
        <f>+IF(AN28="","",INDEX('Modelo Optimización'!$AZ$4:$CO$149,MATCH(CONCATENATE(CB$7,$AT28),'Modelo Optimización'!$CQ$4:$CQ$149,0),MATCH($AS28,'Modelo Optimización'!$AZ$3:$CO$3,0)))</f>
        <v/>
      </c>
      <c r="CC28" s="32" t="str">
        <f>+IF(AO28="","",INDEX('Modelo Optimización'!$AZ$4:$CO$149,MATCH(CONCATENATE(CC$7,$AT28),'Modelo Optimización'!$CQ$4:$CQ$149,0),MATCH($AS28,'Modelo Optimización'!$AZ$3:$CO$3,0)))</f>
        <v/>
      </c>
      <c r="CD28" s="32" t="str">
        <f>+IF(AP28="","",INDEX('Modelo Optimización'!$AZ$4:$CO$149,MATCH(CONCATENATE(CD$7,$AT28),'Modelo Optimización'!$CQ$4:$CQ$149,0),MATCH($AS28,'Modelo Optimización'!$AZ$3:$CO$3,0)))</f>
        <v/>
      </c>
      <c r="CE28" s="37" t="str">
        <f>+IF(AQ28="","",INDEX('Modelo Optimización'!$AZ$4:$CO$149,MATCH(CONCATENATE(CE$7,$AT28),'Modelo Optimización'!$CQ$4:$CQ$149,0),MATCH($AS28,'Modelo Optimización'!$AZ$3:$CO$3,0)))</f>
        <v/>
      </c>
      <c r="CF28" s="301"/>
      <c r="CG28" s="305" t="str">
        <f t="shared" si="11"/>
        <v/>
      </c>
      <c r="CH28" s="303" t="str">
        <f t="shared" si="7"/>
        <v/>
      </c>
      <c r="CI28" s="292" t="str">
        <f t="shared" si="8"/>
        <v/>
      </c>
      <c r="CJ28" s="36" t="str">
        <f t="shared" si="12"/>
        <v/>
      </c>
      <c r="CK28" s="32" t="str">
        <f t="shared" si="13"/>
        <v/>
      </c>
      <c r="CL28" s="32" t="str">
        <f t="shared" si="14"/>
        <v/>
      </c>
      <c r="CM28" s="32" t="str">
        <f t="shared" si="15"/>
        <v/>
      </c>
      <c r="CN28" s="32" t="str">
        <f t="shared" si="16"/>
        <v/>
      </c>
      <c r="CO28" s="32" t="str">
        <f t="shared" si="17"/>
        <v/>
      </c>
      <c r="CP28" s="32" t="str">
        <f t="shared" si="18"/>
        <v/>
      </c>
      <c r="CQ28" s="32" t="str">
        <f t="shared" si="19"/>
        <v/>
      </c>
      <c r="CR28" s="32" t="str">
        <f t="shared" si="20"/>
        <v/>
      </c>
      <c r="CS28" s="32" t="str">
        <f t="shared" si="21"/>
        <v/>
      </c>
      <c r="CT28" s="32" t="str">
        <f t="shared" si="22"/>
        <v/>
      </c>
      <c r="CU28" s="32" t="str">
        <f t="shared" si="23"/>
        <v/>
      </c>
      <c r="CV28" s="32" t="str">
        <f t="shared" si="24"/>
        <v/>
      </c>
      <c r="CW28" s="32" t="str">
        <f t="shared" si="25"/>
        <v/>
      </c>
      <c r="CX28" s="32" t="str">
        <f t="shared" si="26"/>
        <v/>
      </c>
      <c r="CY28" s="32" t="str">
        <f t="shared" si="27"/>
        <v/>
      </c>
      <c r="CZ28" s="32" t="str">
        <f t="shared" si="28"/>
        <v/>
      </c>
      <c r="DA28" s="32" t="str">
        <f t="shared" si="29"/>
        <v/>
      </c>
      <c r="DB28" s="32" t="str">
        <f t="shared" si="30"/>
        <v/>
      </c>
      <c r="DC28" s="32" t="str">
        <f t="shared" si="31"/>
        <v/>
      </c>
      <c r="DD28" s="32" t="str">
        <f t="shared" si="32"/>
        <v/>
      </c>
      <c r="DE28" s="32" t="str">
        <f t="shared" si="33"/>
        <v/>
      </c>
      <c r="DF28" s="32" t="str">
        <f t="shared" si="34"/>
        <v/>
      </c>
      <c r="DG28" s="32" t="str">
        <f t="shared" si="35"/>
        <v/>
      </c>
      <c r="DH28" s="32" t="str">
        <f t="shared" si="36"/>
        <v/>
      </c>
      <c r="DI28" s="32" t="str">
        <f t="shared" si="37"/>
        <v/>
      </c>
      <c r="DJ28" s="32" t="str">
        <f t="shared" si="38"/>
        <v/>
      </c>
      <c r="DK28" s="32" t="str">
        <f t="shared" si="39"/>
        <v/>
      </c>
      <c r="DL28" s="32" t="str">
        <f t="shared" si="40"/>
        <v/>
      </c>
      <c r="DM28" s="32" t="str">
        <f t="shared" si="41"/>
        <v/>
      </c>
      <c r="DN28" s="32" t="str">
        <f t="shared" si="42"/>
        <v/>
      </c>
      <c r="DO28" s="32" t="str">
        <f t="shared" si="43"/>
        <v/>
      </c>
      <c r="DP28" s="32" t="str">
        <f t="shared" si="44"/>
        <v/>
      </c>
      <c r="DQ28" s="32" t="str">
        <f t="shared" si="45"/>
        <v/>
      </c>
      <c r="DR28" s="32" t="str">
        <f t="shared" si="46"/>
        <v/>
      </c>
      <c r="DS28" s="32" t="str">
        <f t="shared" si="47"/>
        <v/>
      </c>
      <c r="DT28" s="37" t="str">
        <f t="shared" si="48"/>
        <v/>
      </c>
    </row>
    <row r="29" spans="2:124" x14ac:dyDescent="0.35">
      <c r="B29" s="46"/>
      <c r="C29" s="212"/>
      <c r="D29" s="52"/>
      <c r="E29" s="52" t="str">
        <f>+IF(B29="","",IFERROR(SUMIF('Modelo Optimización'!$AS$72:$AS$217,C29,INDEX('Modelo Optimización'!$C$72:$AR$217,,MATCH(B29,'Modelo Optimización'!$C$71:$AR$71,0))),0))</f>
        <v/>
      </c>
      <c r="F29" s="281" t="str">
        <f t="shared" si="10"/>
        <v/>
      </c>
      <c r="G29" s="280" t="str">
        <f>+IF(IF($B29="","",IFERROR(INDEX('Auxiliar Resultados'!$C$9:$BO$50,MATCH($B29,'Auxiliar Resultados'!$B$9:$B$50,0),MATCH(CONCATENATE($C29,G$7),'Auxiliar Resultados'!$C$6:$BO$6,0)),""))=0,"",IF($B29="","",IFERROR(INDEX('Auxiliar Resultados'!$C$9:$BO$50,MATCH($B29,'Auxiliar Resultados'!$B$9:$B$50,0),MATCH(CONCATENATE($C29,G$7),'Auxiliar Resultados'!$C$6:$BO$6,0)),"")))</f>
        <v/>
      </c>
      <c r="H29" s="52" t="str">
        <f>+IF(IF($B29="","",IFERROR(INDEX('Auxiliar Resultados'!$C$9:$BO$50,MATCH($B29,'Auxiliar Resultados'!$B$9:$B$50,0),MATCH(CONCATENATE($C29,H$7),'Auxiliar Resultados'!$C$6:$BO$6,0)),""))=0,"",IF($B29="","",IFERROR(INDEX('Auxiliar Resultados'!$C$9:$BO$50,MATCH($B29,'Auxiliar Resultados'!$B$9:$B$50,0),MATCH(CONCATENATE($C29,H$7),'Auxiliar Resultados'!$C$6:$BO$6,0)),"")))</f>
        <v/>
      </c>
      <c r="I29" s="52" t="str">
        <f>+IF(IF($B29="","",IFERROR(INDEX('Auxiliar Resultados'!$C$9:$BO$50,MATCH($B29,'Auxiliar Resultados'!$B$9:$B$50,0),MATCH(CONCATENATE($C29,I$7),'Auxiliar Resultados'!$C$6:$BO$6,0)),""))=0,"",IF($B29="","",IFERROR(INDEX('Auxiliar Resultados'!$C$9:$BO$50,MATCH($B29,'Auxiliar Resultados'!$B$9:$B$50,0),MATCH(CONCATENATE($C29,I$7),'Auxiliar Resultados'!$C$6:$BO$6,0)),"")))</f>
        <v/>
      </c>
      <c r="J29" s="52" t="str">
        <f>+IF(IF($B29="","",IFERROR(INDEX('Auxiliar Resultados'!$C$9:$BO$50,MATCH($B29,'Auxiliar Resultados'!$B$9:$B$50,0),MATCH(CONCATENATE($C29,J$7),'Auxiliar Resultados'!$C$6:$BO$6,0)),""))=0,"",IF($B29="","",IFERROR(INDEX('Auxiliar Resultados'!$C$9:$BO$50,MATCH($B29,'Auxiliar Resultados'!$B$9:$B$50,0),MATCH(CONCATENATE($C29,J$7),'Auxiliar Resultados'!$C$6:$BO$6,0)),"")))</f>
        <v/>
      </c>
      <c r="K29" s="52" t="str">
        <f>+IF(IF($B29="","",IFERROR(INDEX('Auxiliar Resultados'!$C$9:$BO$50,MATCH($B29,'Auxiliar Resultados'!$B$9:$B$50,0),MATCH(CONCATENATE($C29,K$7),'Auxiliar Resultados'!$C$6:$BO$6,0)),""))=0,"",IF($B29="","",IFERROR(INDEX('Auxiliar Resultados'!$C$9:$BO$50,MATCH($B29,'Auxiliar Resultados'!$B$9:$B$50,0),MATCH(CONCATENATE($C29,K$7),'Auxiliar Resultados'!$C$6:$BO$6,0)),"")))</f>
        <v/>
      </c>
      <c r="L29" s="52" t="str">
        <f>+IF(IF($B29="","",IFERROR(INDEX('Auxiliar Resultados'!$C$9:$BO$50,MATCH($B29,'Auxiliar Resultados'!$B$9:$B$50,0),MATCH(CONCATENATE($C29,L$7),'Auxiliar Resultados'!$C$6:$BO$6,0)),""))=0,"",IF($B29="","",IFERROR(INDEX('Auxiliar Resultados'!$C$9:$BO$50,MATCH($B29,'Auxiliar Resultados'!$B$9:$B$50,0),MATCH(CONCATENATE($C29,L$7),'Auxiliar Resultados'!$C$6:$BO$6,0)),"")))</f>
        <v/>
      </c>
      <c r="M29" s="52" t="str">
        <f>+IF(IF($B29="","",IFERROR(INDEX('Auxiliar Resultados'!$C$9:$BO$50,MATCH($B29,'Auxiliar Resultados'!$B$9:$B$50,0),MATCH(CONCATENATE($C29,M$7),'Auxiliar Resultados'!$C$6:$BO$6,0)),""))=0,"",IF($B29="","",IFERROR(INDEX('Auxiliar Resultados'!$C$9:$BO$50,MATCH($B29,'Auxiliar Resultados'!$B$9:$B$50,0),MATCH(CONCATENATE($C29,M$7),'Auxiliar Resultados'!$C$6:$BO$6,0)),"")))</f>
        <v/>
      </c>
      <c r="N29" s="52" t="str">
        <f>+IF(IF($B29="","",IFERROR(INDEX('Auxiliar Resultados'!$C$9:$BO$50,MATCH($B29,'Auxiliar Resultados'!$B$9:$B$50,0),MATCH(CONCATENATE($C29,N$7),'Auxiliar Resultados'!$C$6:$BO$6,0)),""))=0,"",IF($B29="","",IFERROR(INDEX('Auxiliar Resultados'!$C$9:$BO$50,MATCH($B29,'Auxiliar Resultados'!$B$9:$B$50,0),MATCH(CONCATENATE($C29,N$7),'Auxiliar Resultados'!$C$6:$BO$6,0)),"")))</f>
        <v/>
      </c>
      <c r="O29" s="52" t="str">
        <f>+IF(IF($B29="","",IFERROR(INDEX('Auxiliar Resultados'!$C$9:$BO$50,MATCH($B29,'Auxiliar Resultados'!$B$9:$B$50,0),MATCH(CONCATENATE($C29,O$7),'Auxiliar Resultados'!$C$6:$BO$6,0)),""))=0,"",IF($B29="","",IFERROR(INDEX('Auxiliar Resultados'!$C$9:$BO$50,MATCH($B29,'Auxiliar Resultados'!$B$9:$B$50,0),MATCH(CONCATENATE($C29,O$7),'Auxiliar Resultados'!$C$6:$BO$6,0)),"")))</f>
        <v/>
      </c>
      <c r="P29" s="52" t="str">
        <f>+IF(IF($B29="","",IFERROR(INDEX('Auxiliar Resultados'!$C$9:$BO$50,MATCH($B29,'Auxiliar Resultados'!$B$9:$B$50,0),MATCH(CONCATENATE($C29,P$7),'Auxiliar Resultados'!$C$6:$BO$6,0)),""))=0,"",IF($B29="","",IFERROR(INDEX('Auxiliar Resultados'!$C$9:$BO$50,MATCH($B29,'Auxiliar Resultados'!$B$9:$B$50,0),MATCH(CONCATENATE($C29,P$7),'Auxiliar Resultados'!$C$6:$BO$6,0)),"")))</f>
        <v/>
      </c>
      <c r="Q29" s="52" t="str">
        <f>+IF(IF($B29="","",IFERROR(INDEX('Auxiliar Resultados'!$C$9:$BO$50,MATCH($B29,'Auxiliar Resultados'!$B$9:$B$50,0),MATCH(CONCATENATE($C29,Q$7),'Auxiliar Resultados'!$C$6:$BO$6,0)),""))=0,"",IF($B29="","",IFERROR(INDEX('Auxiliar Resultados'!$C$9:$BO$50,MATCH($B29,'Auxiliar Resultados'!$B$9:$B$50,0),MATCH(CONCATENATE($C29,Q$7),'Auxiliar Resultados'!$C$6:$BO$6,0)),"")))</f>
        <v/>
      </c>
      <c r="R29" s="52" t="str">
        <f>+IF(IF($B29="","",IFERROR(INDEX('Auxiliar Resultados'!$C$9:$BO$50,MATCH($B29,'Auxiliar Resultados'!$B$9:$B$50,0),MATCH(CONCATENATE($C29,R$7),'Auxiliar Resultados'!$C$6:$BO$6,0)),""))=0,"",IF($B29="","",IFERROR(INDEX('Auxiliar Resultados'!$C$9:$BO$50,MATCH($B29,'Auxiliar Resultados'!$B$9:$B$50,0),MATCH(CONCATENATE($C29,R$7),'Auxiliar Resultados'!$C$6:$BO$6,0)),"")))</f>
        <v/>
      </c>
      <c r="S29" s="52" t="str">
        <f>+IF(IF($B29="","",IFERROR(INDEX('Auxiliar Resultados'!$C$9:$BO$50,MATCH($B29,'Auxiliar Resultados'!$B$9:$B$50,0),MATCH(CONCATENATE($C29,S$7),'Auxiliar Resultados'!$C$6:$BO$6,0)),""))=0,"",IF($B29="","",IFERROR(INDEX('Auxiliar Resultados'!$C$9:$BO$50,MATCH($B29,'Auxiliar Resultados'!$B$9:$B$50,0),MATCH(CONCATENATE($C29,S$7),'Auxiliar Resultados'!$C$6:$BO$6,0)),"")))</f>
        <v/>
      </c>
      <c r="T29" s="52" t="str">
        <f>+IF(IF($B29="","",IFERROR(INDEX('Auxiliar Resultados'!$C$9:$BO$50,MATCH($B29,'Auxiliar Resultados'!$B$9:$B$50,0),MATCH(CONCATENATE($C29,T$7),'Auxiliar Resultados'!$C$6:$BO$6,0)),""))=0,"",IF($B29="","",IFERROR(INDEX('Auxiliar Resultados'!$C$9:$BO$50,MATCH($B29,'Auxiliar Resultados'!$B$9:$B$50,0),MATCH(CONCATENATE($C29,T$7),'Auxiliar Resultados'!$C$6:$BO$6,0)),"")))</f>
        <v/>
      </c>
      <c r="U29" s="52" t="str">
        <f>+IF(IF($B29="","",IFERROR(INDEX('Auxiliar Resultados'!$C$9:$BO$50,MATCH($B29,'Auxiliar Resultados'!$B$9:$B$50,0),MATCH(CONCATENATE($C29,U$7),'Auxiliar Resultados'!$C$6:$BO$6,0)),""))=0,"",IF($B29="","",IFERROR(INDEX('Auxiliar Resultados'!$C$9:$BO$50,MATCH($B29,'Auxiliar Resultados'!$B$9:$B$50,0),MATCH(CONCATENATE($C29,U$7),'Auxiliar Resultados'!$C$6:$BO$6,0)),"")))</f>
        <v/>
      </c>
      <c r="V29" s="52" t="str">
        <f>+IF(IF($B29="","",IFERROR(INDEX('Auxiliar Resultados'!$C$9:$BO$50,MATCH($B29,'Auxiliar Resultados'!$B$9:$B$50,0),MATCH(CONCATENATE($C29,V$7),'Auxiliar Resultados'!$C$6:$BO$6,0)),""))=0,"",IF($B29="","",IFERROR(INDEX('Auxiliar Resultados'!$C$9:$BO$50,MATCH($B29,'Auxiliar Resultados'!$B$9:$B$50,0),MATCH(CONCATENATE($C29,V$7),'Auxiliar Resultados'!$C$6:$BO$6,0)),"")))</f>
        <v/>
      </c>
      <c r="W29" s="52" t="str">
        <f>+IF(IF($B29="","",IFERROR(INDEX('Auxiliar Resultados'!$C$9:$BO$50,MATCH($B29,'Auxiliar Resultados'!$B$9:$B$50,0),MATCH(CONCATENATE($C29,W$7),'Auxiliar Resultados'!$C$6:$BO$6,0)),""))=0,"",IF($B29="","",IFERROR(INDEX('Auxiliar Resultados'!$C$9:$BO$50,MATCH($B29,'Auxiliar Resultados'!$B$9:$B$50,0),MATCH(CONCATENATE($C29,W$7),'Auxiliar Resultados'!$C$6:$BO$6,0)),"")))</f>
        <v/>
      </c>
      <c r="X29" s="52" t="str">
        <f>+IF(IF($B29="","",IFERROR(INDEX('Auxiliar Resultados'!$C$9:$BO$50,MATCH($B29,'Auxiliar Resultados'!$B$9:$B$50,0),MATCH(CONCATENATE($C29,X$7),'Auxiliar Resultados'!$C$6:$BO$6,0)),""))=0,"",IF($B29="","",IFERROR(INDEX('Auxiliar Resultados'!$C$9:$BO$50,MATCH($B29,'Auxiliar Resultados'!$B$9:$B$50,0),MATCH(CONCATENATE($C29,X$7),'Auxiliar Resultados'!$C$6:$BO$6,0)),"")))</f>
        <v/>
      </c>
      <c r="Y29" s="52" t="str">
        <f>+IF(IF($B29="","",IFERROR(INDEX('Auxiliar Resultados'!$C$9:$BO$50,MATCH($B29,'Auxiliar Resultados'!$B$9:$B$50,0),MATCH(CONCATENATE($C29,Y$7),'Auxiliar Resultados'!$C$6:$BO$6,0)),""))=0,"",IF($B29="","",IFERROR(INDEX('Auxiliar Resultados'!$C$9:$BO$50,MATCH($B29,'Auxiliar Resultados'!$B$9:$B$50,0),MATCH(CONCATENATE($C29,Y$7),'Auxiliar Resultados'!$C$6:$BO$6,0)),"")))</f>
        <v/>
      </c>
      <c r="Z29" s="52" t="str">
        <f>+IF(IF($B29="","",IFERROR(INDEX('Auxiliar Resultados'!$C$9:$BO$50,MATCH($B29,'Auxiliar Resultados'!$B$9:$B$50,0),MATCH(CONCATENATE($C29,Z$7),'Auxiliar Resultados'!$C$6:$BO$6,0)),""))=0,"",IF($B29="","",IFERROR(INDEX('Auxiliar Resultados'!$C$9:$BO$50,MATCH($B29,'Auxiliar Resultados'!$B$9:$B$50,0),MATCH(CONCATENATE($C29,Z$7),'Auxiliar Resultados'!$C$6:$BO$6,0)),"")))</f>
        <v/>
      </c>
      <c r="AA29" s="52" t="str">
        <f>+IF(IF($B29="","",IFERROR(INDEX('Auxiliar Resultados'!$C$9:$BO$50,MATCH($B29,'Auxiliar Resultados'!$B$9:$B$50,0),MATCH(CONCATENATE($C29,AA$7),'Auxiliar Resultados'!$C$6:$BO$6,0)),""))=0,"",IF($B29="","",IFERROR(INDEX('Auxiliar Resultados'!$C$9:$BO$50,MATCH($B29,'Auxiliar Resultados'!$B$9:$B$50,0),MATCH(CONCATENATE($C29,AA$7),'Auxiliar Resultados'!$C$6:$BO$6,0)),"")))</f>
        <v/>
      </c>
      <c r="AB29" s="52" t="str">
        <f>+IF(IF($B29="","",IFERROR(INDEX('Auxiliar Resultados'!$C$9:$BO$50,MATCH($B29,'Auxiliar Resultados'!$B$9:$B$50,0),MATCH(CONCATENATE($C29,AB$7),'Auxiliar Resultados'!$C$6:$BO$6,0)),""))=0,"",IF($B29="","",IFERROR(INDEX('Auxiliar Resultados'!$C$9:$BO$50,MATCH($B29,'Auxiliar Resultados'!$B$9:$B$50,0),MATCH(CONCATENATE($C29,AB$7),'Auxiliar Resultados'!$C$6:$BO$6,0)),"")))</f>
        <v/>
      </c>
      <c r="AC29" s="52" t="str">
        <f>+IF(IF($B29="","",IFERROR(INDEX('Auxiliar Resultados'!$C$9:$BO$50,MATCH($B29,'Auxiliar Resultados'!$B$9:$B$50,0),MATCH(CONCATENATE($C29,AC$7),'Auxiliar Resultados'!$C$6:$BO$6,0)),""))=0,"",IF($B29="","",IFERROR(INDEX('Auxiliar Resultados'!$C$9:$BO$50,MATCH($B29,'Auxiliar Resultados'!$B$9:$B$50,0),MATCH(CONCATENATE($C29,AC$7),'Auxiliar Resultados'!$C$6:$BO$6,0)),"")))</f>
        <v/>
      </c>
      <c r="AD29" s="52" t="str">
        <f>+IF(IF($B29="","",IFERROR(INDEX('Auxiliar Resultados'!$C$9:$BO$50,MATCH($B29,'Auxiliar Resultados'!$B$9:$B$50,0),MATCH(CONCATENATE($C29,AD$7),'Auxiliar Resultados'!$C$6:$BO$6,0)),""))=0,"",IF($B29="","",IFERROR(INDEX('Auxiliar Resultados'!$C$9:$BO$50,MATCH($B29,'Auxiliar Resultados'!$B$9:$B$50,0),MATCH(CONCATENATE($C29,AD$7),'Auxiliar Resultados'!$C$6:$BO$6,0)),"")))</f>
        <v/>
      </c>
      <c r="AE29" s="52" t="str">
        <f>+IF(IF($B29="","",IFERROR(INDEX('Auxiliar Resultados'!$C$9:$BO$50,MATCH($B29,'Auxiliar Resultados'!$B$9:$B$50,0),MATCH(CONCATENATE($C29,AE$7),'Auxiliar Resultados'!$C$6:$BO$6,0)),""))=0,"",IF($B29="","",IFERROR(INDEX('Auxiliar Resultados'!$C$9:$BO$50,MATCH($B29,'Auxiliar Resultados'!$B$9:$B$50,0),MATCH(CONCATENATE($C29,AE$7),'Auxiliar Resultados'!$C$6:$BO$6,0)),"")))</f>
        <v/>
      </c>
      <c r="AF29" s="52" t="str">
        <f>+IF(IF($B29="","",IFERROR(INDEX('Auxiliar Resultados'!$C$9:$BO$50,MATCH($B29,'Auxiliar Resultados'!$B$9:$B$50,0),MATCH(CONCATENATE($C29,AF$7),'Auxiliar Resultados'!$C$6:$BO$6,0)),""))=0,"",IF($B29="","",IFERROR(INDEX('Auxiliar Resultados'!$C$9:$BO$50,MATCH($B29,'Auxiliar Resultados'!$B$9:$B$50,0),MATCH(CONCATENATE($C29,AF$7),'Auxiliar Resultados'!$C$6:$BO$6,0)),"")))</f>
        <v/>
      </c>
      <c r="AG29" s="52" t="str">
        <f>+IF(IF($B29="","",IFERROR(INDEX('Auxiliar Resultados'!$C$9:$BO$50,MATCH($B29,'Auxiliar Resultados'!$B$9:$B$50,0),MATCH(CONCATENATE($C29,AG$7),'Auxiliar Resultados'!$C$6:$BO$6,0)),""))=0,"",IF($B29="","",IFERROR(INDEX('Auxiliar Resultados'!$C$9:$BO$50,MATCH($B29,'Auxiliar Resultados'!$B$9:$B$50,0),MATCH(CONCATENATE($C29,AG$7),'Auxiliar Resultados'!$C$6:$BO$6,0)),"")))</f>
        <v/>
      </c>
      <c r="AH29" s="52" t="str">
        <f>+IF(IF($B29="","",IFERROR(INDEX('Auxiliar Resultados'!$C$9:$BO$50,MATCH($B29,'Auxiliar Resultados'!$B$9:$B$50,0),MATCH(CONCATENATE($C29,AH$7),'Auxiliar Resultados'!$C$6:$BO$6,0)),""))=0,"",IF($B29="","",IFERROR(INDEX('Auxiliar Resultados'!$C$9:$BO$50,MATCH($B29,'Auxiliar Resultados'!$B$9:$B$50,0),MATCH(CONCATENATE($C29,AH$7),'Auxiliar Resultados'!$C$6:$BO$6,0)),"")))</f>
        <v/>
      </c>
      <c r="AI29" s="52" t="str">
        <f>+IF(IF($B29="","",IFERROR(INDEX('Auxiliar Resultados'!$C$9:$BO$50,MATCH($B29,'Auxiliar Resultados'!$B$9:$B$50,0),MATCH(CONCATENATE($C29,AI$7),'Auxiliar Resultados'!$C$6:$BO$6,0)),""))=0,"",IF($B29="","",IFERROR(INDEX('Auxiliar Resultados'!$C$9:$BO$50,MATCH($B29,'Auxiliar Resultados'!$B$9:$B$50,0),MATCH(CONCATENATE($C29,AI$7),'Auxiliar Resultados'!$C$6:$BO$6,0)),"")))</f>
        <v/>
      </c>
      <c r="AJ29" s="52" t="str">
        <f>+IF(IF($B29="","",IFERROR(INDEX('Auxiliar Resultados'!$C$9:$BO$50,MATCH($B29,'Auxiliar Resultados'!$B$9:$B$50,0),MATCH(CONCATENATE($C29,AJ$7),'Auxiliar Resultados'!$C$6:$BO$6,0)),""))=0,"",IF($B29="","",IFERROR(INDEX('Auxiliar Resultados'!$C$9:$BO$50,MATCH($B29,'Auxiliar Resultados'!$B$9:$B$50,0),MATCH(CONCATENATE($C29,AJ$7),'Auxiliar Resultados'!$C$6:$BO$6,0)),"")))</f>
        <v/>
      </c>
      <c r="AK29" s="52" t="str">
        <f>+IF(IF($B29="","",IFERROR(INDEX('Auxiliar Resultados'!$C$9:$BO$50,MATCH($B29,'Auxiliar Resultados'!$B$9:$B$50,0),MATCH(CONCATENATE($C29,AK$7),'Auxiliar Resultados'!$C$6:$BO$6,0)),""))=0,"",IF($B29="","",IFERROR(INDEX('Auxiliar Resultados'!$C$9:$BO$50,MATCH($B29,'Auxiliar Resultados'!$B$9:$B$50,0),MATCH(CONCATENATE($C29,AK$7),'Auxiliar Resultados'!$C$6:$BO$6,0)),"")))</f>
        <v/>
      </c>
      <c r="AL29" s="52" t="str">
        <f>+IF(IF($B29="","",IFERROR(INDEX('Auxiliar Resultados'!$C$9:$BO$50,MATCH($B29,'Auxiliar Resultados'!$B$9:$B$50,0),MATCH(CONCATENATE($C29,AL$7),'Auxiliar Resultados'!$C$6:$BO$6,0)),""))=0,"",IF($B29="","",IFERROR(INDEX('Auxiliar Resultados'!$C$9:$BO$50,MATCH($B29,'Auxiliar Resultados'!$B$9:$B$50,0),MATCH(CONCATENATE($C29,AL$7),'Auxiliar Resultados'!$C$6:$BO$6,0)),"")))</f>
        <v/>
      </c>
      <c r="AM29" s="52" t="str">
        <f>+IF(IF($B29="","",IFERROR(INDEX('Auxiliar Resultados'!$C$9:$BO$50,MATCH($B29,'Auxiliar Resultados'!$B$9:$B$50,0),MATCH(CONCATENATE($C29,AM$7),'Auxiliar Resultados'!$C$6:$BO$6,0)),""))=0,"",IF($B29="","",IFERROR(INDEX('Auxiliar Resultados'!$C$9:$BO$50,MATCH($B29,'Auxiliar Resultados'!$B$9:$B$50,0),MATCH(CONCATENATE($C29,AM$7),'Auxiliar Resultados'!$C$6:$BO$6,0)),"")))</f>
        <v/>
      </c>
      <c r="AN29" s="52" t="str">
        <f>+IF(IF($B29="","",IFERROR(INDEX('Auxiliar Resultados'!$C$9:$BO$50,MATCH($B29,'Auxiliar Resultados'!$B$9:$B$50,0),MATCH(CONCATENATE($C29,AN$7),'Auxiliar Resultados'!$C$6:$BO$6,0)),""))=0,"",IF($B29="","",IFERROR(INDEX('Auxiliar Resultados'!$C$9:$BO$50,MATCH($B29,'Auxiliar Resultados'!$B$9:$B$50,0),MATCH(CONCATENATE($C29,AN$7),'Auxiliar Resultados'!$C$6:$BO$6,0)),"")))</f>
        <v/>
      </c>
      <c r="AO29" s="52" t="str">
        <f>+IF(IF($B29="","",IFERROR(INDEX('Auxiliar Resultados'!$C$9:$BO$50,MATCH($B29,'Auxiliar Resultados'!$B$9:$B$50,0),MATCH(CONCATENATE($C29,AO$7),'Auxiliar Resultados'!$C$6:$BO$6,0)),""))=0,"",IF($B29="","",IFERROR(INDEX('Auxiliar Resultados'!$C$9:$BO$50,MATCH($B29,'Auxiliar Resultados'!$B$9:$B$50,0),MATCH(CONCATENATE($C29,AO$7),'Auxiliar Resultados'!$C$6:$BO$6,0)),"")))</f>
        <v/>
      </c>
      <c r="AP29" s="52" t="str">
        <f>+IF(IF($B29="","",IFERROR(INDEX('Auxiliar Resultados'!$C$9:$BO$50,MATCH($B29,'Auxiliar Resultados'!$B$9:$B$50,0),MATCH(CONCATENATE($C29,AP$7),'Auxiliar Resultados'!$C$6:$BO$6,0)),""))=0,"",IF($B29="","",IFERROR(INDEX('Auxiliar Resultados'!$C$9:$BO$50,MATCH($B29,'Auxiliar Resultados'!$B$9:$B$50,0),MATCH(CONCATENATE($C29,AP$7),'Auxiliar Resultados'!$C$6:$BO$6,0)),"")))</f>
        <v/>
      </c>
      <c r="AQ29" s="276" t="str">
        <f>+IF(IF($B29="","",IFERROR(INDEX('Auxiliar Resultados'!$C$9:$BO$50,MATCH($B29,'Auxiliar Resultados'!$B$9:$B$50,0),MATCH(CONCATENATE($C29,AQ$7),'Auxiliar Resultados'!$C$6:$BO$6,0)),""))=0,"",IF($B29="","",IFERROR(INDEX('Auxiliar Resultados'!$C$9:$BO$50,MATCH($B29,'Auxiliar Resultados'!$B$9:$B$50,0),MATCH(CONCATENATE($C29,AQ$7),'Auxiliar Resultados'!$C$6:$BO$6,0)),"")))</f>
        <v/>
      </c>
      <c r="AS29" s="46" t="str">
        <f t="shared" si="5"/>
        <v/>
      </c>
      <c r="AT29" s="292" t="str">
        <f t="shared" si="6"/>
        <v/>
      </c>
      <c r="AU29" s="36" t="str">
        <f>+IF(G29="","",INDEX('Modelo Optimización'!$AZ$4:$CO$149,MATCH(CONCATENATE(AU$7,$AT29),'Modelo Optimización'!$CQ$4:$CQ$149,0),MATCH($AS29,'Modelo Optimización'!$AZ$3:$CO$3,0)))</f>
        <v/>
      </c>
      <c r="AV29" s="32" t="str">
        <f>+IF(H29="","",INDEX('Modelo Optimización'!$AZ$4:$CO$149,MATCH(CONCATENATE(AV$7,$AT29),'Modelo Optimización'!$CQ$4:$CQ$149,0),MATCH($AS29,'Modelo Optimización'!$AZ$3:$CO$3,0)))</f>
        <v/>
      </c>
      <c r="AW29" s="32" t="str">
        <f>+IF(I29="","",INDEX('Modelo Optimización'!$AZ$4:$CO$149,MATCH(CONCATENATE(AW$7,$AT29),'Modelo Optimización'!$CQ$4:$CQ$149,0),MATCH($AS29,'Modelo Optimización'!$AZ$3:$CO$3,0)))</f>
        <v/>
      </c>
      <c r="AX29" s="32" t="str">
        <f>+IF(J29="","",INDEX('Modelo Optimización'!$AZ$4:$CO$149,MATCH(CONCATENATE(AX$7,$AT29),'Modelo Optimización'!$CQ$4:$CQ$149,0),MATCH($AS29,'Modelo Optimización'!$AZ$3:$CO$3,0)))</f>
        <v/>
      </c>
      <c r="AY29" s="32" t="str">
        <f>+IF(K29="","",INDEX('Modelo Optimización'!$AZ$4:$CO$149,MATCH(CONCATENATE(AY$7,$AT29),'Modelo Optimización'!$CQ$4:$CQ$149,0),MATCH($AS29,'Modelo Optimización'!$AZ$3:$CO$3,0)))</f>
        <v/>
      </c>
      <c r="AZ29" s="32" t="str">
        <f>+IF(L29="","",INDEX('Modelo Optimización'!$AZ$4:$CO$149,MATCH(CONCATENATE(AZ$7,$AT29),'Modelo Optimización'!$CQ$4:$CQ$149,0),MATCH($AS29,'Modelo Optimización'!$AZ$3:$CO$3,0)))</f>
        <v/>
      </c>
      <c r="BA29" s="32" t="str">
        <f>+IF(M29="","",INDEX('Modelo Optimización'!$AZ$4:$CO$149,MATCH(CONCATENATE(BA$7,$AT29),'Modelo Optimización'!$CQ$4:$CQ$149,0),MATCH($AS29,'Modelo Optimización'!$AZ$3:$CO$3,0)))</f>
        <v/>
      </c>
      <c r="BB29" s="32" t="str">
        <f>+IF(N29="","",INDEX('Modelo Optimización'!$AZ$4:$CO$149,MATCH(CONCATENATE(BB$7,$AT29),'Modelo Optimización'!$CQ$4:$CQ$149,0),MATCH($AS29,'Modelo Optimización'!$AZ$3:$CO$3,0)))</f>
        <v/>
      </c>
      <c r="BC29" s="32" t="str">
        <f>+IF(O29="","",INDEX('Modelo Optimización'!$AZ$4:$CO$149,MATCH(CONCATENATE(BC$7,$AT29),'Modelo Optimización'!$CQ$4:$CQ$149,0),MATCH($AS29,'Modelo Optimización'!$AZ$3:$CO$3,0)))</f>
        <v/>
      </c>
      <c r="BD29" s="32" t="str">
        <f>+IF(P29="","",INDEX('Modelo Optimización'!$AZ$4:$CO$149,MATCH(CONCATENATE(BD$7,$AT29),'Modelo Optimización'!$CQ$4:$CQ$149,0),MATCH($AS29,'Modelo Optimización'!$AZ$3:$CO$3,0)))</f>
        <v/>
      </c>
      <c r="BE29" s="32" t="str">
        <f>+IF(Q29="","",INDEX('Modelo Optimización'!$AZ$4:$CO$149,MATCH(CONCATENATE(BE$7,$AT29),'Modelo Optimización'!$CQ$4:$CQ$149,0),MATCH($AS29,'Modelo Optimización'!$AZ$3:$CO$3,0)))</f>
        <v/>
      </c>
      <c r="BF29" s="32" t="str">
        <f>+IF(R29="","",INDEX('Modelo Optimización'!$AZ$4:$CO$149,MATCH(CONCATENATE(BF$7,$AT29),'Modelo Optimización'!$CQ$4:$CQ$149,0),MATCH($AS29,'Modelo Optimización'!$AZ$3:$CO$3,0)))</f>
        <v/>
      </c>
      <c r="BG29" s="32" t="str">
        <f>+IF(S29="","",INDEX('Modelo Optimización'!$AZ$4:$CO$149,MATCH(CONCATENATE(BG$7,$AT29),'Modelo Optimización'!$CQ$4:$CQ$149,0),MATCH($AS29,'Modelo Optimización'!$AZ$3:$CO$3,0)))</f>
        <v/>
      </c>
      <c r="BH29" s="32" t="str">
        <f>+IF(T29="","",INDEX('Modelo Optimización'!$AZ$4:$CO$149,MATCH(CONCATENATE(BH$7,$AT29),'Modelo Optimización'!$CQ$4:$CQ$149,0),MATCH($AS29,'Modelo Optimización'!$AZ$3:$CO$3,0)))</f>
        <v/>
      </c>
      <c r="BI29" s="32" t="str">
        <f>+IF(U29="","",INDEX('Modelo Optimización'!$AZ$4:$CO$149,MATCH(CONCATENATE(BI$7,$AT29),'Modelo Optimización'!$CQ$4:$CQ$149,0),MATCH($AS29,'Modelo Optimización'!$AZ$3:$CO$3,0)))</f>
        <v/>
      </c>
      <c r="BJ29" s="32" t="str">
        <f>+IF(V29="","",INDEX('Modelo Optimización'!$AZ$4:$CO$149,MATCH(CONCATENATE(BJ$7,$AT29),'Modelo Optimización'!$CQ$4:$CQ$149,0),MATCH($AS29,'Modelo Optimización'!$AZ$3:$CO$3,0)))</f>
        <v/>
      </c>
      <c r="BK29" s="32" t="str">
        <f>+IF(W29="","",INDEX('Modelo Optimización'!$AZ$4:$CO$149,MATCH(CONCATENATE(BK$7,$AT29),'Modelo Optimización'!$CQ$4:$CQ$149,0),MATCH($AS29,'Modelo Optimización'!$AZ$3:$CO$3,0)))</f>
        <v/>
      </c>
      <c r="BL29" s="32" t="str">
        <f>+IF(X29="","",INDEX('Modelo Optimización'!$AZ$4:$CO$149,MATCH(CONCATENATE(BL$7,$AT29),'Modelo Optimización'!$CQ$4:$CQ$149,0),MATCH($AS29,'Modelo Optimización'!$AZ$3:$CO$3,0)))</f>
        <v/>
      </c>
      <c r="BM29" s="32" t="str">
        <f>+IF(Y29="","",INDEX('Modelo Optimización'!$AZ$4:$CO$149,MATCH(CONCATENATE(BM$7,$AT29),'Modelo Optimización'!$CQ$4:$CQ$149,0),MATCH($AS29,'Modelo Optimización'!$AZ$3:$CO$3,0)))</f>
        <v/>
      </c>
      <c r="BN29" s="32" t="str">
        <f>+IF(Z29="","",INDEX('Modelo Optimización'!$AZ$4:$CO$149,MATCH(CONCATENATE(BN$7,$AT29),'Modelo Optimización'!$CQ$4:$CQ$149,0),MATCH($AS29,'Modelo Optimización'!$AZ$3:$CO$3,0)))</f>
        <v/>
      </c>
      <c r="BO29" s="32" t="str">
        <f>+IF(AA29="","",INDEX('Modelo Optimización'!$AZ$4:$CO$149,MATCH(CONCATENATE(BO$7,$AT29),'Modelo Optimización'!$CQ$4:$CQ$149,0),MATCH($AS29,'Modelo Optimización'!$AZ$3:$CO$3,0)))</f>
        <v/>
      </c>
      <c r="BP29" s="32" t="str">
        <f>+IF(AB29="","",INDEX('Modelo Optimización'!$AZ$4:$CO$149,MATCH(CONCATENATE(BP$7,$AT29),'Modelo Optimización'!$CQ$4:$CQ$149,0),MATCH($AS29,'Modelo Optimización'!$AZ$3:$CO$3,0)))</f>
        <v/>
      </c>
      <c r="BQ29" s="32" t="str">
        <f>+IF(AC29="","",INDEX('Modelo Optimización'!$AZ$4:$CO$149,MATCH(CONCATENATE(BQ$7,$AT29),'Modelo Optimización'!$CQ$4:$CQ$149,0),MATCH($AS29,'Modelo Optimización'!$AZ$3:$CO$3,0)))</f>
        <v/>
      </c>
      <c r="BR29" s="32" t="str">
        <f>+IF(AD29="","",INDEX('Modelo Optimización'!$AZ$4:$CO$149,MATCH(CONCATENATE(BR$7,$AT29),'Modelo Optimización'!$CQ$4:$CQ$149,0),MATCH($AS29,'Modelo Optimización'!$AZ$3:$CO$3,0)))</f>
        <v/>
      </c>
      <c r="BS29" s="32" t="str">
        <f>+IF(AE29="","",INDEX('Modelo Optimización'!$AZ$4:$CO$149,MATCH(CONCATENATE(BS$7,$AT29),'Modelo Optimización'!$CQ$4:$CQ$149,0),MATCH($AS29,'Modelo Optimización'!$AZ$3:$CO$3,0)))</f>
        <v/>
      </c>
      <c r="BT29" s="32" t="str">
        <f>+IF(AF29="","",INDEX('Modelo Optimización'!$AZ$4:$CO$149,MATCH(CONCATENATE(BT$7,$AT29),'Modelo Optimización'!$CQ$4:$CQ$149,0),MATCH($AS29,'Modelo Optimización'!$AZ$3:$CO$3,0)))</f>
        <v/>
      </c>
      <c r="BU29" s="32" t="str">
        <f>+IF(AG29="","",INDEX('Modelo Optimización'!$AZ$4:$CO$149,MATCH(CONCATENATE(BU$7,$AT29),'Modelo Optimización'!$CQ$4:$CQ$149,0),MATCH($AS29,'Modelo Optimización'!$AZ$3:$CO$3,0)))</f>
        <v/>
      </c>
      <c r="BV29" s="32" t="str">
        <f>+IF(AH29="","",INDEX('Modelo Optimización'!$AZ$4:$CO$149,MATCH(CONCATENATE(BV$7,$AT29),'Modelo Optimización'!$CQ$4:$CQ$149,0),MATCH($AS29,'Modelo Optimización'!$AZ$3:$CO$3,0)))</f>
        <v/>
      </c>
      <c r="BW29" s="32" t="str">
        <f>+IF(AI29="","",INDEX('Modelo Optimización'!$AZ$4:$CO$149,MATCH(CONCATENATE(BW$7,$AT29),'Modelo Optimización'!$CQ$4:$CQ$149,0),MATCH($AS29,'Modelo Optimización'!$AZ$3:$CO$3,0)))</f>
        <v/>
      </c>
      <c r="BX29" s="32" t="str">
        <f>+IF(AJ29="","",INDEX('Modelo Optimización'!$AZ$4:$CO$149,MATCH(CONCATENATE(BX$7,$AT29),'Modelo Optimización'!$CQ$4:$CQ$149,0),MATCH($AS29,'Modelo Optimización'!$AZ$3:$CO$3,0)))</f>
        <v/>
      </c>
      <c r="BY29" s="32" t="str">
        <f>+IF(AK29="","",INDEX('Modelo Optimización'!$AZ$4:$CO$149,MATCH(CONCATENATE(BY$7,$AT29),'Modelo Optimización'!$CQ$4:$CQ$149,0),MATCH($AS29,'Modelo Optimización'!$AZ$3:$CO$3,0)))</f>
        <v/>
      </c>
      <c r="BZ29" s="32" t="str">
        <f>+IF(AL29="","",INDEX('Modelo Optimización'!$AZ$4:$CO$149,MATCH(CONCATENATE(BZ$7,$AT29),'Modelo Optimización'!$CQ$4:$CQ$149,0),MATCH($AS29,'Modelo Optimización'!$AZ$3:$CO$3,0)))</f>
        <v/>
      </c>
      <c r="CA29" s="32" t="str">
        <f>+IF(AM29="","",INDEX('Modelo Optimización'!$AZ$4:$CO$149,MATCH(CONCATENATE(CA$7,$AT29),'Modelo Optimización'!$CQ$4:$CQ$149,0),MATCH($AS29,'Modelo Optimización'!$AZ$3:$CO$3,0)))</f>
        <v/>
      </c>
      <c r="CB29" s="32" t="str">
        <f>+IF(AN29="","",INDEX('Modelo Optimización'!$AZ$4:$CO$149,MATCH(CONCATENATE(CB$7,$AT29),'Modelo Optimización'!$CQ$4:$CQ$149,0),MATCH($AS29,'Modelo Optimización'!$AZ$3:$CO$3,0)))</f>
        <v/>
      </c>
      <c r="CC29" s="32" t="str">
        <f>+IF(AO29="","",INDEX('Modelo Optimización'!$AZ$4:$CO$149,MATCH(CONCATENATE(CC$7,$AT29),'Modelo Optimización'!$CQ$4:$CQ$149,0),MATCH($AS29,'Modelo Optimización'!$AZ$3:$CO$3,0)))</f>
        <v/>
      </c>
      <c r="CD29" s="32" t="str">
        <f>+IF(AP29="","",INDEX('Modelo Optimización'!$AZ$4:$CO$149,MATCH(CONCATENATE(CD$7,$AT29),'Modelo Optimización'!$CQ$4:$CQ$149,0),MATCH($AS29,'Modelo Optimización'!$AZ$3:$CO$3,0)))</f>
        <v/>
      </c>
      <c r="CE29" s="37" t="str">
        <f>+IF(AQ29="","",INDEX('Modelo Optimización'!$AZ$4:$CO$149,MATCH(CONCATENATE(CE$7,$AT29),'Modelo Optimización'!$CQ$4:$CQ$149,0),MATCH($AS29,'Modelo Optimización'!$AZ$3:$CO$3,0)))</f>
        <v/>
      </c>
      <c r="CF29" s="301"/>
      <c r="CG29" s="305" t="str">
        <f t="shared" si="11"/>
        <v/>
      </c>
      <c r="CH29" s="303" t="str">
        <f t="shared" si="7"/>
        <v/>
      </c>
      <c r="CI29" s="292" t="str">
        <f t="shared" si="8"/>
        <v/>
      </c>
      <c r="CJ29" s="36" t="str">
        <f t="shared" si="12"/>
        <v/>
      </c>
      <c r="CK29" s="32" t="str">
        <f t="shared" si="13"/>
        <v/>
      </c>
      <c r="CL29" s="32" t="str">
        <f t="shared" si="14"/>
        <v/>
      </c>
      <c r="CM29" s="32" t="str">
        <f t="shared" si="15"/>
        <v/>
      </c>
      <c r="CN29" s="32" t="str">
        <f t="shared" si="16"/>
        <v/>
      </c>
      <c r="CO29" s="32" t="str">
        <f t="shared" si="17"/>
        <v/>
      </c>
      <c r="CP29" s="32" t="str">
        <f t="shared" si="18"/>
        <v/>
      </c>
      <c r="CQ29" s="32" t="str">
        <f t="shared" si="19"/>
        <v/>
      </c>
      <c r="CR29" s="32" t="str">
        <f t="shared" si="20"/>
        <v/>
      </c>
      <c r="CS29" s="32" t="str">
        <f t="shared" si="21"/>
        <v/>
      </c>
      <c r="CT29" s="32" t="str">
        <f t="shared" si="22"/>
        <v/>
      </c>
      <c r="CU29" s="32" t="str">
        <f t="shared" si="23"/>
        <v/>
      </c>
      <c r="CV29" s="32" t="str">
        <f t="shared" si="24"/>
        <v/>
      </c>
      <c r="CW29" s="32" t="str">
        <f t="shared" si="25"/>
        <v/>
      </c>
      <c r="CX29" s="32" t="str">
        <f t="shared" si="26"/>
        <v/>
      </c>
      <c r="CY29" s="32" t="str">
        <f t="shared" si="27"/>
        <v/>
      </c>
      <c r="CZ29" s="32" t="str">
        <f t="shared" si="28"/>
        <v/>
      </c>
      <c r="DA29" s="32" t="str">
        <f t="shared" si="29"/>
        <v/>
      </c>
      <c r="DB29" s="32" t="str">
        <f t="shared" si="30"/>
        <v/>
      </c>
      <c r="DC29" s="32" t="str">
        <f t="shared" si="31"/>
        <v/>
      </c>
      <c r="DD29" s="32" t="str">
        <f t="shared" si="32"/>
        <v/>
      </c>
      <c r="DE29" s="32" t="str">
        <f t="shared" si="33"/>
        <v/>
      </c>
      <c r="DF29" s="32" t="str">
        <f t="shared" si="34"/>
        <v/>
      </c>
      <c r="DG29" s="32" t="str">
        <f t="shared" si="35"/>
        <v/>
      </c>
      <c r="DH29" s="32" t="str">
        <f t="shared" si="36"/>
        <v/>
      </c>
      <c r="DI29" s="32" t="str">
        <f t="shared" si="37"/>
        <v/>
      </c>
      <c r="DJ29" s="32" t="str">
        <f t="shared" si="38"/>
        <v/>
      </c>
      <c r="DK29" s="32" t="str">
        <f t="shared" si="39"/>
        <v/>
      </c>
      <c r="DL29" s="32" t="str">
        <f t="shared" si="40"/>
        <v/>
      </c>
      <c r="DM29" s="32" t="str">
        <f t="shared" si="41"/>
        <v/>
      </c>
      <c r="DN29" s="32" t="str">
        <f t="shared" si="42"/>
        <v/>
      </c>
      <c r="DO29" s="32" t="str">
        <f t="shared" si="43"/>
        <v/>
      </c>
      <c r="DP29" s="32" t="str">
        <f t="shared" si="44"/>
        <v/>
      </c>
      <c r="DQ29" s="32" t="str">
        <f t="shared" si="45"/>
        <v/>
      </c>
      <c r="DR29" s="32" t="str">
        <f t="shared" si="46"/>
        <v/>
      </c>
      <c r="DS29" s="32" t="str">
        <f t="shared" si="47"/>
        <v/>
      </c>
      <c r="DT29" s="37" t="str">
        <f t="shared" si="48"/>
        <v/>
      </c>
    </row>
    <row r="30" spans="2:124" x14ac:dyDescent="0.35">
      <c r="B30" s="46"/>
      <c r="C30" s="212"/>
      <c r="D30" s="52"/>
      <c r="E30" s="52" t="str">
        <f>+IF(B30="","",IFERROR(SUMIF('Modelo Optimización'!$AS$72:$AS$217,C30,INDEX('Modelo Optimización'!$C$72:$AR$217,,MATCH(B30,'Modelo Optimización'!$C$71:$AR$71,0))),0))</f>
        <v/>
      </c>
      <c r="F30" s="281" t="str">
        <f t="shared" si="10"/>
        <v/>
      </c>
      <c r="G30" s="280" t="str">
        <f>+IF(IF($B30="","",IFERROR(INDEX('Auxiliar Resultados'!$C$9:$BO$50,MATCH($B30,'Auxiliar Resultados'!$B$9:$B$50,0),MATCH(CONCATENATE($C30,G$7),'Auxiliar Resultados'!$C$6:$BO$6,0)),""))=0,"",IF($B30="","",IFERROR(INDEX('Auxiliar Resultados'!$C$9:$BO$50,MATCH($B30,'Auxiliar Resultados'!$B$9:$B$50,0),MATCH(CONCATENATE($C30,G$7),'Auxiliar Resultados'!$C$6:$BO$6,0)),"")))</f>
        <v/>
      </c>
      <c r="H30" s="52" t="str">
        <f>+IF(IF($B30="","",IFERROR(INDEX('Auxiliar Resultados'!$C$9:$BO$50,MATCH($B30,'Auxiliar Resultados'!$B$9:$B$50,0),MATCH(CONCATENATE($C30,H$7),'Auxiliar Resultados'!$C$6:$BO$6,0)),""))=0,"",IF($B30="","",IFERROR(INDEX('Auxiliar Resultados'!$C$9:$BO$50,MATCH($B30,'Auxiliar Resultados'!$B$9:$B$50,0),MATCH(CONCATENATE($C30,H$7),'Auxiliar Resultados'!$C$6:$BO$6,0)),"")))</f>
        <v/>
      </c>
      <c r="I30" s="52" t="str">
        <f>+IF(IF($B30="","",IFERROR(INDEX('Auxiliar Resultados'!$C$9:$BO$50,MATCH($B30,'Auxiliar Resultados'!$B$9:$B$50,0),MATCH(CONCATENATE($C30,I$7),'Auxiliar Resultados'!$C$6:$BO$6,0)),""))=0,"",IF($B30="","",IFERROR(INDEX('Auxiliar Resultados'!$C$9:$BO$50,MATCH($B30,'Auxiliar Resultados'!$B$9:$B$50,0),MATCH(CONCATENATE($C30,I$7),'Auxiliar Resultados'!$C$6:$BO$6,0)),"")))</f>
        <v/>
      </c>
      <c r="J30" s="52" t="str">
        <f>+IF(IF($B30="","",IFERROR(INDEX('Auxiliar Resultados'!$C$9:$BO$50,MATCH($B30,'Auxiliar Resultados'!$B$9:$B$50,0),MATCH(CONCATENATE($C30,J$7),'Auxiliar Resultados'!$C$6:$BO$6,0)),""))=0,"",IF($B30="","",IFERROR(INDEX('Auxiliar Resultados'!$C$9:$BO$50,MATCH($B30,'Auxiliar Resultados'!$B$9:$B$50,0),MATCH(CONCATENATE($C30,J$7),'Auxiliar Resultados'!$C$6:$BO$6,0)),"")))</f>
        <v/>
      </c>
      <c r="K30" s="52" t="str">
        <f>+IF(IF($B30="","",IFERROR(INDEX('Auxiliar Resultados'!$C$9:$BO$50,MATCH($B30,'Auxiliar Resultados'!$B$9:$B$50,0),MATCH(CONCATENATE($C30,K$7),'Auxiliar Resultados'!$C$6:$BO$6,0)),""))=0,"",IF($B30="","",IFERROR(INDEX('Auxiliar Resultados'!$C$9:$BO$50,MATCH($B30,'Auxiliar Resultados'!$B$9:$B$50,0),MATCH(CONCATENATE($C30,K$7),'Auxiliar Resultados'!$C$6:$BO$6,0)),"")))</f>
        <v/>
      </c>
      <c r="L30" s="52" t="str">
        <f>+IF(IF($B30="","",IFERROR(INDEX('Auxiliar Resultados'!$C$9:$BO$50,MATCH($B30,'Auxiliar Resultados'!$B$9:$B$50,0),MATCH(CONCATENATE($C30,L$7),'Auxiliar Resultados'!$C$6:$BO$6,0)),""))=0,"",IF($B30="","",IFERROR(INDEX('Auxiliar Resultados'!$C$9:$BO$50,MATCH($B30,'Auxiliar Resultados'!$B$9:$B$50,0),MATCH(CONCATENATE($C30,L$7),'Auxiliar Resultados'!$C$6:$BO$6,0)),"")))</f>
        <v/>
      </c>
      <c r="M30" s="52" t="str">
        <f>+IF(IF($B30="","",IFERROR(INDEX('Auxiliar Resultados'!$C$9:$BO$50,MATCH($B30,'Auxiliar Resultados'!$B$9:$B$50,0),MATCH(CONCATENATE($C30,M$7),'Auxiliar Resultados'!$C$6:$BO$6,0)),""))=0,"",IF($B30="","",IFERROR(INDEX('Auxiliar Resultados'!$C$9:$BO$50,MATCH($B30,'Auxiliar Resultados'!$B$9:$B$50,0),MATCH(CONCATENATE($C30,M$7),'Auxiliar Resultados'!$C$6:$BO$6,0)),"")))</f>
        <v/>
      </c>
      <c r="N30" s="52" t="str">
        <f>+IF(IF($B30="","",IFERROR(INDEX('Auxiliar Resultados'!$C$9:$BO$50,MATCH($B30,'Auxiliar Resultados'!$B$9:$B$50,0),MATCH(CONCATENATE($C30,N$7),'Auxiliar Resultados'!$C$6:$BO$6,0)),""))=0,"",IF($B30="","",IFERROR(INDEX('Auxiliar Resultados'!$C$9:$BO$50,MATCH($B30,'Auxiliar Resultados'!$B$9:$B$50,0),MATCH(CONCATENATE($C30,N$7),'Auxiliar Resultados'!$C$6:$BO$6,0)),"")))</f>
        <v/>
      </c>
      <c r="O30" s="52" t="str">
        <f>+IF(IF($B30="","",IFERROR(INDEX('Auxiliar Resultados'!$C$9:$BO$50,MATCH($B30,'Auxiliar Resultados'!$B$9:$B$50,0),MATCH(CONCATENATE($C30,O$7),'Auxiliar Resultados'!$C$6:$BO$6,0)),""))=0,"",IF($B30="","",IFERROR(INDEX('Auxiliar Resultados'!$C$9:$BO$50,MATCH($B30,'Auxiliar Resultados'!$B$9:$B$50,0),MATCH(CONCATENATE($C30,O$7),'Auxiliar Resultados'!$C$6:$BO$6,0)),"")))</f>
        <v/>
      </c>
      <c r="P30" s="52" t="str">
        <f>+IF(IF($B30="","",IFERROR(INDEX('Auxiliar Resultados'!$C$9:$BO$50,MATCH($B30,'Auxiliar Resultados'!$B$9:$B$50,0),MATCH(CONCATENATE($C30,P$7),'Auxiliar Resultados'!$C$6:$BO$6,0)),""))=0,"",IF($B30="","",IFERROR(INDEX('Auxiliar Resultados'!$C$9:$BO$50,MATCH($B30,'Auxiliar Resultados'!$B$9:$B$50,0),MATCH(CONCATENATE($C30,P$7),'Auxiliar Resultados'!$C$6:$BO$6,0)),"")))</f>
        <v/>
      </c>
      <c r="Q30" s="52" t="str">
        <f>+IF(IF($B30="","",IFERROR(INDEX('Auxiliar Resultados'!$C$9:$BO$50,MATCH($B30,'Auxiliar Resultados'!$B$9:$B$50,0),MATCH(CONCATENATE($C30,Q$7),'Auxiliar Resultados'!$C$6:$BO$6,0)),""))=0,"",IF($B30="","",IFERROR(INDEX('Auxiliar Resultados'!$C$9:$BO$50,MATCH($B30,'Auxiliar Resultados'!$B$9:$B$50,0),MATCH(CONCATENATE($C30,Q$7),'Auxiliar Resultados'!$C$6:$BO$6,0)),"")))</f>
        <v/>
      </c>
      <c r="R30" s="52" t="str">
        <f>+IF(IF($B30="","",IFERROR(INDEX('Auxiliar Resultados'!$C$9:$BO$50,MATCH($B30,'Auxiliar Resultados'!$B$9:$B$50,0),MATCH(CONCATENATE($C30,R$7),'Auxiliar Resultados'!$C$6:$BO$6,0)),""))=0,"",IF($B30="","",IFERROR(INDEX('Auxiliar Resultados'!$C$9:$BO$50,MATCH($B30,'Auxiliar Resultados'!$B$9:$B$50,0),MATCH(CONCATENATE($C30,R$7),'Auxiliar Resultados'!$C$6:$BO$6,0)),"")))</f>
        <v/>
      </c>
      <c r="S30" s="52" t="str">
        <f>+IF(IF($B30="","",IFERROR(INDEX('Auxiliar Resultados'!$C$9:$BO$50,MATCH($B30,'Auxiliar Resultados'!$B$9:$B$50,0),MATCH(CONCATENATE($C30,S$7),'Auxiliar Resultados'!$C$6:$BO$6,0)),""))=0,"",IF($B30="","",IFERROR(INDEX('Auxiliar Resultados'!$C$9:$BO$50,MATCH($B30,'Auxiliar Resultados'!$B$9:$B$50,0),MATCH(CONCATENATE($C30,S$7),'Auxiliar Resultados'!$C$6:$BO$6,0)),"")))</f>
        <v/>
      </c>
      <c r="T30" s="52" t="str">
        <f>+IF(IF($B30="","",IFERROR(INDEX('Auxiliar Resultados'!$C$9:$BO$50,MATCH($B30,'Auxiliar Resultados'!$B$9:$B$50,0),MATCH(CONCATENATE($C30,T$7),'Auxiliar Resultados'!$C$6:$BO$6,0)),""))=0,"",IF($B30="","",IFERROR(INDEX('Auxiliar Resultados'!$C$9:$BO$50,MATCH($B30,'Auxiliar Resultados'!$B$9:$B$50,0),MATCH(CONCATENATE($C30,T$7),'Auxiliar Resultados'!$C$6:$BO$6,0)),"")))</f>
        <v/>
      </c>
      <c r="U30" s="52" t="str">
        <f>+IF(IF($B30="","",IFERROR(INDEX('Auxiliar Resultados'!$C$9:$BO$50,MATCH($B30,'Auxiliar Resultados'!$B$9:$B$50,0),MATCH(CONCATENATE($C30,U$7),'Auxiliar Resultados'!$C$6:$BO$6,0)),""))=0,"",IF($B30="","",IFERROR(INDEX('Auxiliar Resultados'!$C$9:$BO$50,MATCH($B30,'Auxiliar Resultados'!$B$9:$B$50,0),MATCH(CONCATENATE($C30,U$7),'Auxiliar Resultados'!$C$6:$BO$6,0)),"")))</f>
        <v/>
      </c>
      <c r="V30" s="52" t="str">
        <f>+IF(IF($B30="","",IFERROR(INDEX('Auxiliar Resultados'!$C$9:$BO$50,MATCH($B30,'Auxiliar Resultados'!$B$9:$B$50,0),MATCH(CONCATENATE($C30,V$7),'Auxiliar Resultados'!$C$6:$BO$6,0)),""))=0,"",IF($B30="","",IFERROR(INDEX('Auxiliar Resultados'!$C$9:$BO$50,MATCH($B30,'Auxiliar Resultados'!$B$9:$B$50,0),MATCH(CONCATENATE($C30,V$7),'Auxiliar Resultados'!$C$6:$BO$6,0)),"")))</f>
        <v/>
      </c>
      <c r="W30" s="52" t="str">
        <f>+IF(IF($B30="","",IFERROR(INDEX('Auxiliar Resultados'!$C$9:$BO$50,MATCH($B30,'Auxiliar Resultados'!$B$9:$B$50,0),MATCH(CONCATENATE($C30,W$7),'Auxiliar Resultados'!$C$6:$BO$6,0)),""))=0,"",IF($B30="","",IFERROR(INDEX('Auxiliar Resultados'!$C$9:$BO$50,MATCH($B30,'Auxiliar Resultados'!$B$9:$B$50,0),MATCH(CONCATENATE($C30,W$7),'Auxiliar Resultados'!$C$6:$BO$6,0)),"")))</f>
        <v/>
      </c>
      <c r="X30" s="52" t="str">
        <f>+IF(IF($B30="","",IFERROR(INDEX('Auxiliar Resultados'!$C$9:$BO$50,MATCH($B30,'Auxiliar Resultados'!$B$9:$B$50,0),MATCH(CONCATENATE($C30,X$7),'Auxiliar Resultados'!$C$6:$BO$6,0)),""))=0,"",IF($B30="","",IFERROR(INDEX('Auxiliar Resultados'!$C$9:$BO$50,MATCH($B30,'Auxiliar Resultados'!$B$9:$B$50,0),MATCH(CONCATENATE($C30,X$7),'Auxiliar Resultados'!$C$6:$BO$6,0)),"")))</f>
        <v/>
      </c>
      <c r="Y30" s="52" t="str">
        <f>+IF(IF($B30="","",IFERROR(INDEX('Auxiliar Resultados'!$C$9:$BO$50,MATCH($B30,'Auxiliar Resultados'!$B$9:$B$50,0),MATCH(CONCATENATE($C30,Y$7),'Auxiliar Resultados'!$C$6:$BO$6,0)),""))=0,"",IF($B30="","",IFERROR(INDEX('Auxiliar Resultados'!$C$9:$BO$50,MATCH($B30,'Auxiliar Resultados'!$B$9:$B$50,0),MATCH(CONCATENATE($C30,Y$7),'Auxiliar Resultados'!$C$6:$BO$6,0)),"")))</f>
        <v/>
      </c>
      <c r="Z30" s="52" t="str">
        <f>+IF(IF($B30="","",IFERROR(INDEX('Auxiliar Resultados'!$C$9:$BO$50,MATCH($B30,'Auxiliar Resultados'!$B$9:$B$50,0),MATCH(CONCATENATE($C30,Z$7),'Auxiliar Resultados'!$C$6:$BO$6,0)),""))=0,"",IF($B30="","",IFERROR(INDEX('Auxiliar Resultados'!$C$9:$BO$50,MATCH($B30,'Auxiliar Resultados'!$B$9:$B$50,0),MATCH(CONCATENATE($C30,Z$7),'Auxiliar Resultados'!$C$6:$BO$6,0)),"")))</f>
        <v/>
      </c>
      <c r="AA30" s="52" t="str">
        <f>+IF(IF($B30="","",IFERROR(INDEX('Auxiliar Resultados'!$C$9:$BO$50,MATCH($B30,'Auxiliar Resultados'!$B$9:$B$50,0),MATCH(CONCATENATE($C30,AA$7),'Auxiliar Resultados'!$C$6:$BO$6,0)),""))=0,"",IF($B30="","",IFERROR(INDEX('Auxiliar Resultados'!$C$9:$BO$50,MATCH($B30,'Auxiliar Resultados'!$B$9:$B$50,0),MATCH(CONCATENATE($C30,AA$7),'Auxiliar Resultados'!$C$6:$BO$6,0)),"")))</f>
        <v/>
      </c>
      <c r="AB30" s="52" t="str">
        <f>+IF(IF($B30="","",IFERROR(INDEX('Auxiliar Resultados'!$C$9:$BO$50,MATCH($B30,'Auxiliar Resultados'!$B$9:$B$50,0),MATCH(CONCATENATE($C30,AB$7),'Auxiliar Resultados'!$C$6:$BO$6,0)),""))=0,"",IF($B30="","",IFERROR(INDEX('Auxiliar Resultados'!$C$9:$BO$50,MATCH($B30,'Auxiliar Resultados'!$B$9:$B$50,0),MATCH(CONCATENATE($C30,AB$7),'Auxiliar Resultados'!$C$6:$BO$6,0)),"")))</f>
        <v/>
      </c>
      <c r="AC30" s="52" t="str">
        <f>+IF(IF($B30="","",IFERROR(INDEX('Auxiliar Resultados'!$C$9:$BO$50,MATCH($B30,'Auxiliar Resultados'!$B$9:$B$50,0),MATCH(CONCATENATE($C30,AC$7),'Auxiliar Resultados'!$C$6:$BO$6,0)),""))=0,"",IF($B30="","",IFERROR(INDEX('Auxiliar Resultados'!$C$9:$BO$50,MATCH($B30,'Auxiliar Resultados'!$B$9:$B$50,0),MATCH(CONCATENATE($C30,AC$7),'Auxiliar Resultados'!$C$6:$BO$6,0)),"")))</f>
        <v/>
      </c>
      <c r="AD30" s="52" t="str">
        <f>+IF(IF($B30="","",IFERROR(INDEX('Auxiliar Resultados'!$C$9:$BO$50,MATCH($B30,'Auxiliar Resultados'!$B$9:$B$50,0),MATCH(CONCATENATE($C30,AD$7),'Auxiliar Resultados'!$C$6:$BO$6,0)),""))=0,"",IF($B30="","",IFERROR(INDEX('Auxiliar Resultados'!$C$9:$BO$50,MATCH($B30,'Auxiliar Resultados'!$B$9:$B$50,0),MATCH(CONCATENATE($C30,AD$7),'Auxiliar Resultados'!$C$6:$BO$6,0)),"")))</f>
        <v/>
      </c>
      <c r="AE30" s="52" t="str">
        <f>+IF(IF($B30="","",IFERROR(INDEX('Auxiliar Resultados'!$C$9:$BO$50,MATCH($B30,'Auxiliar Resultados'!$B$9:$B$50,0),MATCH(CONCATENATE($C30,AE$7),'Auxiliar Resultados'!$C$6:$BO$6,0)),""))=0,"",IF($B30="","",IFERROR(INDEX('Auxiliar Resultados'!$C$9:$BO$50,MATCH($B30,'Auxiliar Resultados'!$B$9:$B$50,0),MATCH(CONCATENATE($C30,AE$7),'Auxiliar Resultados'!$C$6:$BO$6,0)),"")))</f>
        <v/>
      </c>
      <c r="AF30" s="52" t="str">
        <f>+IF(IF($B30="","",IFERROR(INDEX('Auxiliar Resultados'!$C$9:$BO$50,MATCH($B30,'Auxiliar Resultados'!$B$9:$B$50,0),MATCH(CONCATENATE($C30,AF$7),'Auxiliar Resultados'!$C$6:$BO$6,0)),""))=0,"",IF($B30="","",IFERROR(INDEX('Auxiliar Resultados'!$C$9:$BO$50,MATCH($B30,'Auxiliar Resultados'!$B$9:$B$50,0),MATCH(CONCATENATE($C30,AF$7),'Auxiliar Resultados'!$C$6:$BO$6,0)),"")))</f>
        <v/>
      </c>
      <c r="AG30" s="52" t="str">
        <f>+IF(IF($B30="","",IFERROR(INDEX('Auxiliar Resultados'!$C$9:$BO$50,MATCH($B30,'Auxiliar Resultados'!$B$9:$B$50,0),MATCH(CONCATENATE($C30,AG$7),'Auxiliar Resultados'!$C$6:$BO$6,0)),""))=0,"",IF($B30="","",IFERROR(INDEX('Auxiliar Resultados'!$C$9:$BO$50,MATCH($B30,'Auxiliar Resultados'!$B$9:$B$50,0),MATCH(CONCATENATE($C30,AG$7),'Auxiliar Resultados'!$C$6:$BO$6,0)),"")))</f>
        <v/>
      </c>
      <c r="AH30" s="52" t="str">
        <f>+IF(IF($B30="","",IFERROR(INDEX('Auxiliar Resultados'!$C$9:$BO$50,MATCH($B30,'Auxiliar Resultados'!$B$9:$B$50,0),MATCH(CONCATENATE($C30,AH$7),'Auxiliar Resultados'!$C$6:$BO$6,0)),""))=0,"",IF($B30="","",IFERROR(INDEX('Auxiliar Resultados'!$C$9:$BO$50,MATCH($B30,'Auxiliar Resultados'!$B$9:$B$50,0),MATCH(CONCATENATE($C30,AH$7),'Auxiliar Resultados'!$C$6:$BO$6,0)),"")))</f>
        <v/>
      </c>
      <c r="AI30" s="52" t="str">
        <f>+IF(IF($B30="","",IFERROR(INDEX('Auxiliar Resultados'!$C$9:$BO$50,MATCH($B30,'Auxiliar Resultados'!$B$9:$B$50,0),MATCH(CONCATENATE($C30,AI$7),'Auxiliar Resultados'!$C$6:$BO$6,0)),""))=0,"",IF($B30="","",IFERROR(INDEX('Auxiliar Resultados'!$C$9:$BO$50,MATCH($B30,'Auxiliar Resultados'!$B$9:$B$50,0),MATCH(CONCATENATE($C30,AI$7),'Auxiliar Resultados'!$C$6:$BO$6,0)),"")))</f>
        <v/>
      </c>
      <c r="AJ30" s="52" t="str">
        <f>+IF(IF($B30="","",IFERROR(INDEX('Auxiliar Resultados'!$C$9:$BO$50,MATCH($B30,'Auxiliar Resultados'!$B$9:$B$50,0),MATCH(CONCATENATE($C30,AJ$7),'Auxiliar Resultados'!$C$6:$BO$6,0)),""))=0,"",IF($B30="","",IFERROR(INDEX('Auxiliar Resultados'!$C$9:$BO$50,MATCH($B30,'Auxiliar Resultados'!$B$9:$B$50,0),MATCH(CONCATENATE($C30,AJ$7),'Auxiliar Resultados'!$C$6:$BO$6,0)),"")))</f>
        <v/>
      </c>
      <c r="AK30" s="52" t="str">
        <f>+IF(IF($B30="","",IFERROR(INDEX('Auxiliar Resultados'!$C$9:$BO$50,MATCH($B30,'Auxiliar Resultados'!$B$9:$B$50,0),MATCH(CONCATENATE($C30,AK$7),'Auxiliar Resultados'!$C$6:$BO$6,0)),""))=0,"",IF($B30="","",IFERROR(INDEX('Auxiliar Resultados'!$C$9:$BO$50,MATCH($B30,'Auxiliar Resultados'!$B$9:$B$50,0),MATCH(CONCATENATE($C30,AK$7),'Auxiliar Resultados'!$C$6:$BO$6,0)),"")))</f>
        <v/>
      </c>
      <c r="AL30" s="52" t="str">
        <f>+IF(IF($B30="","",IFERROR(INDEX('Auxiliar Resultados'!$C$9:$BO$50,MATCH($B30,'Auxiliar Resultados'!$B$9:$B$50,0),MATCH(CONCATENATE($C30,AL$7),'Auxiliar Resultados'!$C$6:$BO$6,0)),""))=0,"",IF($B30="","",IFERROR(INDEX('Auxiliar Resultados'!$C$9:$BO$50,MATCH($B30,'Auxiliar Resultados'!$B$9:$B$50,0),MATCH(CONCATENATE($C30,AL$7),'Auxiliar Resultados'!$C$6:$BO$6,0)),"")))</f>
        <v/>
      </c>
      <c r="AM30" s="52" t="str">
        <f>+IF(IF($B30="","",IFERROR(INDEX('Auxiliar Resultados'!$C$9:$BO$50,MATCH($B30,'Auxiliar Resultados'!$B$9:$B$50,0),MATCH(CONCATENATE($C30,AM$7),'Auxiliar Resultados'!$C$6:$BO$6,0)),""))=0,"",IF($B30="","",IFERROR(INDEX('Auxiliar Resultados'!$C$9:$BO$50,MATCH($B30,'Auxiliar Resultados'!$B$9:$B$50,0),MATCH(CONCATENATE($C30,AM$7),'Auxiliar Resultados'!$C$6:$BO$6,0)),"")))</f>
        <v/>
      </c>
      <c r="AN30" s="52" t="str">
        <f>+IF(IF($B30="","",IFERROR(INDEX('Auxiliar Resultados'!$C$9:$BO$50,MATCH($B30,'Auxiliar Resultados'!$B$9:$B$50,0),MATCH(CONCATENATE($C30,AN$7),'Auxiliar Resultados'!$C$6:$BO$6,0)),""))=0,"",IF($B30="","",IFERROR(INDEX('Auxiliar Resultados'!$C$9:$BO$50,MATCH($B30,'Auxiliar Resultados'!$B$9:$B$50,0),MATCH(CONCATENATE($C30,AN$7),'Auxiliar Resultados'!$C$6:$BO$6,0)),"")))</f>
        <v/>
      </c>
      <c r="AO30" s="52" t="str">
        <f>+IF(IF($B30="","",IFERROR(INDEX('Auxiliar Resultados'!$C$9:$BO$50,MATCH($B30,'Auxiliar Resultados'!$B$9:$B$50,0),MATCH(CONCATENATE($C30,AO$7),'Auxiliar Resultados'!$C$6:$BO$6,0)),""))=0,"",IF($B30="","",IFERROR(INDEX('Auxiliar Resultados'!$C$9:$BO$50,MATCH($B30,'Auxiliar Resultados'!$B$9:$B$50,0),MATCH(CONCATENATE($C30,AO$7),'Auxiliar Resultados'!$C$6:$BO$6,0)),"")))</f>
        <v/>
      </c>
      <c r="AP30" s="52" t="str">
        <f>+IF(IF($B30="","",IFERROR(INDEX('Auxiliar Resultados'!$C$9:$BO$50,MATCH($B30,'Auxiliar Resultados'!$B$9:$B$50,0),MATCH(CONCATENATE($C30,AP$7),'Auxiliar Resultados'!$C$6:$BO$6,0)),""))=0,"",IF($B30="","",IFERROR(INDEX('Auxiliar Resultados'!$C$9:$BO$50,MATCH($B30,'Auxiliar Resultados'!$B$9:$B$50,0),MATCH(CONCATENATE($C30,AP$7),'Auxiliar Resultados'!$C$6:$BO$6,0)),"")))</f>
        <v/>
      </c>
      <c r="AQ30" s="276" t="str">
        <f>+IF(IF($B30="","",IFERROR(INDEX('Auxiliar Resultados'!$C$9:$BO$50,MATCH($B30,'Auxiliar Resultados'!$B$9:$B$50,0),MATCH(CONCATENATE($C30,AQ$7),'Auxiliar Resultados'!$C$6:$BO$6,0)),""))=0,"",IF($B30="","",IFERROR(INDEX('Auxiliar Resultados'!$C$9:$BO$50,MATCH($B30,'Auxiliar Resultados'!$B$9:$B$50,0),MATCH(CONCATENATE($C30,AQ$7),'Auxiliar Resultados'!$C$6:$BO$6,0)),"")))</f>
        <v/>
      </c>
      <c r="AS30" s="46" t="str">
        <f t="shared" si="5"/>
        <v/>
      </c>
      <c r="AT30" s="292" t="str">
        <f t="shared" si="6"/>
        <v/>
      </c>
      <c r="AU30" s="36" t="str">
        <f>+IF(G30="","",INDEX('Modelo Optimización'!$AZ$4:$CO$149,MATCH(CONCATENATE(AU$7,$AT30),'Modelo Optimización'!$CQ$4:$CQ$149,0),MATCH($AS30,'Modelo Optimización'!$AZ$3:$CO$3,0)))</f>
        <v/>
      </c>
      <c r="AV30" s="32" t="str">
        <f>+IF(H30="","",INDEX('Modelo Optimización'!$AZ$4:$CO$149,MATCH(CONCATENATE(AV$7,$AT30),'Modelo Optimización'!$CQ$4:$CQ$149,0),MATCH($AS30,'Modelo Optimización'!$AZ$3:$CO$3,0)))</f>
        <v/>
      </c>
      <c r="AW30" s="32" t="str">
        <f>+IF(I30="","",INDEX('Modelo Optimización'!$AZ$4:$CO$149,MATCH(CONCATENATE(AW$7,$AT30),'Modelo Optimización'!$CQ$4:$CQ$149,0),MATCH($AS30,'Modelo Optimización'!$AZ$3:$CO$3,0)))</f>
        <v/>
      </c>
      <c r="AX30" s="32" t="str">
        <f>+IF(J30="","",INDEX('Modelo Optimización'!$AZ$4:$CO$149,MATCH(CONCATENATE(AX$7,$AT30),'Modelo Optimización'!$CQ$4:$CQ$149,0),MATCH($AS30,'Modelo Optimización'!$AZ$3:$CO$3,0)))</f>
        <v/>
      </c>
      <c r="AY30" s="32" t="str">
        <f>+IF(K30="","",INDEX('Modelo Optimización'!$AZ$4:$CO$149,MATCH(CONCATENATE(AY$7,$AT30),'Modelo Optimización'!$CQ$4:$CQ$149,0),MATCH($AS30,'Modelo Optimización'!$AZ$3:$CO$3,0)))</f>
        <v/>
      </c>
      <c r="AZ30" s="32" t="str">
        <f>+IF(L30="","",INDEX('Modelo Optimización'!$AZ$4:$CO$149,MATCH(CONCATENATE(AZ$7,$AT30),'Modelo Optimización'!$CQ$4:$CQ$149,0),MATCH($AS30,'Modelo Optimización'!$AZ$3:$CO$3,0)))</f>
        <v/>
      </c>
      <c r="BA30" s="32" t="str">
        <f>+IF(M30="","",INDEX('Modelo Optimización'!$AZ$4:$CO$149,MATCH(CONCATENATE(BA$7,$AT30),'Modelo Optimización'!$CQ$4:$CQ$149,0),MATCH($AS30,'Modelo Optimización'!$AZ$3:$CO$3,0)))</f>
        <v/>
      </c>
      <c r="BB30" s="32" t="str">
        <f>+IF(N30="","",INDEX('Modelo Optimización'!$AZ$4:$CO$149,MATCH(CONCATENATE(BB$7,$AT30),'Modelo Optimización'!$CQ$4:$CQ$149,0),MATCH($AS30,'Modelo Optimización'!$AZ$3:$CO$3,0)))</f>
        <v/>
      </c>
      <c r="BC30" s="32" t="str">
        <f>+IF(O30="","",INDEX('Modelo Optimización'!$AZ$4:$CO$149,MATCH(CONCATENATE(BC$7,$AT30),'Modelo Optimización'!$CQ$4:$CQ$149,0),MATCH($AS30,'Modelo Optimización'!$AZ$3:$CO$3,0)))</f>
        <v/>
      </c>
      <c r="BD30" s="32" t="str">
        <f>+IF(P30="","",INDEX('Modelo Optimización'!$AZ$4:$CO$149,MATCH(CONCATENATE(BD$7,$AT30),'Modelo Optimización'!$CQ$4:$CQ$149,0),MATCH($AS30,'Modelo Optimización'!$AZ$3:$CO$3,0)))</f>
        <v/>
      </c>
      <c r="BE30" s="32" t="str">
        <f>+IF(Q30="","",INDEX('Modelo Optimización'!$AZ$4:$CO$149,MATCH(CONCATENATE(BE$7,$AT30),'Modelo Optimización'!$CQ$4:$CQ$149,0),MATCH($AS30,'Modelo Optimización'!$AZ$3:$CO$3,0)))</f>
        <v/>
      </c>
      <c r="BF30" s="32" t="str">
        <f>+IF(R30="","",INDEX('Modelo Optimización'!$AZ$4:$CO$149,MATCH(CONCATENATE(BF$7,$AT30),'Modelo Optimización'!$CQ$4:$CQ$149,0),MATCH($AS30,'Modelo Optimización'!$AZ$3:$CO$3,0)))</f>
        <v/>
      </c>
      <c r="BG30" s="32" t="str">
        <f>+IF(S30="","",INDEX('Modelo Optimización'!$AZ$4:$CO$149,MATCH(CONCATENATE(BG$7,$AT30),'Modelo Optimización'!$CQ$4:$CQ$149,0),MATCH($AS30,'Modelo Optimización'!$AZ$3:$CO$3,0)))</f>
        <v/>
      </c>
      <c r="BH30" s="32" t="str">
        <f>+IF(T30="","",INDEX('Modelo Optimización'!$AZ$4:$CO$149,MATCH(CONCATENATE(BH$7,$AT30),'Modelo Optimización'!$CQ$4:$CQ$149,0),MATCH($AS30,'Modelo Optimización'!$AZ$3:$CO$3,0)))</f>
        <v/>
      </c>
      <c r="BI30" s="32" t="str">
        <f>+IF(U30="","",INDEX('Modelo Optimización'!$AZ$4:$CO$149,MATCH(CONCATENATE(BI$7,$AT30),'Modelo Optimización'!$CQ$4:$CQ$149,0),MATCH($AS30,'Modelo Optimización'!$AZ$3:$CO$3,0)))</f>
        <v/>
      </c>
      <c r="BJ30" s="32" t="str">
        <f>+IF(V30="","",INDEX('Modelo Optimización'!$AZ$4:$CO$149,MATCH(CONCATENATE(BJ$7,$AT30),'Modelo Optimización'!$CQ$4:$CQ$149,0),MATCH($AS30,'Modelo Optimización'!$AZ$3:$CO$3,0)))</f>
        <v/>
      </c>
      <c r="BK30" s="32" t="str">
        <f>+IF(W30="","",INDEX('Modelo Optimización'!$AZ$4:$CO$149,MATCH(CONCATENATE(BK$7,$AT30),'Modelo Optimización'!$CQ$4:$CQ$149,0),MATCH($AS30,'Modelo Optimización'!$AZ$3:$CO$3,0)))</f>
        <v/>
      </c>
      <c r="BL30" s="32" t="str">
        <f>+IF(X30="","",INDEX('Modelo Optimización'!$AZ$4:$CO$149,MATCH(CONCATENATE(BL$7,$AT30),'Modelo Optimización'!$CQ$4:$CQ$149,0),MATCH($AS30,'Modelo Optimización'!$AZ$3:$CO$3,0)))</f>
        <v/>
      </c>
      <c r="BM30" s="32" t="str">
        <f>+IF(Y30="","",INDEX('Modelo Optimización'!$AZ$4:$CO$149,MATCH(CONCATENATE(BM$7,$AT30),'Modelo Optimización'!$CQ$4:$CQ$149,0),MATCH($AS30,'Modelo Optimización'!$AZ$3:$CO$3,0)))</f>
        <v/>
      </c>
      <c r="BN30" s="32" t="str">
        <f>+IF(Z30="","",INDEX('Modelo Optimización'!$AZ$4:$CO$149,MATCH(CONCATENATE(BN$7,$AT30),'Modelo Optimización'!$CQ$4:$CQ$149,0),MATCH($AS30,'Modelo Optimización'!$AZ$3:$CO$3,0)))</f>
        <v/>
      </c>
      <c r="BO30" s="32" t="str">
        <f>+IF(AA30="","",INDEX('Modelo Optimización'!$AZ$4:$CO$149,MATCH(CONCATENATE(BO$7,$AT30),'Modelo Optimización'!$CQ$4:$CQ$149,0),MATCH($AS30,'Modelo Optimización'!$AZ$3:$CO$3,0)))</f>
        <v/>
      </c>
      <c r="BP30" s="32" t="str">
        <f>+IF(AB30="","",INDEX('Modelo Optimización'!$AZ$4:$CO$149,MATCH(CONCATENATE(BP$7,$AT30),'Modelo Optimización'!$CQ$4:$CQ$149,0),MATCH($AS30,'Modelo Optimización'!$AZ$3:$CO$3,0)))</f>
        <v/>
      </c>
      <c r="BQ30" s="32" t="str">
        <f>+IF(AC30="","",INDEX('Modelo Optimización'!$AZ$4:$CO$149,MATCH(CONCATENATE(BQ$7,$AT30),'Modelo Optimización'!$CQ$4:$CQ$149,0),MATCH($AS30,'Modelo Optimización'!$AZ$3:$CO$3,0)))</f>
        <v/>
      </c>
      <c r="BR30" s="32" t="str">
        <f>+IF(AD30="","",INDEX('Modelo Optimización'!$AZ$4:$CO$149,MATCH(CONCATENATE(BR$7,$AT30),'Modelo Optimización'!$CQ$4:$CQ$149,0),MATCH($AS30,'Modelo Optimización'!$AZ$3:$CO$3,0)))</f>
        <v/>
      </c>
      <c r="BS30" s="32" t="str">
        <f>+IF(AE30="","",INDEX('Modelo Optimización'!$AZ$4:$CO$149,MATCH(CONCATENATE(BS$7,$AT30),'Modelo Optimización'!$CQ$4:$CQ$149,0),MATCH($AS30,'Modelo Optimización'!$AZ$3:$CO$3,0)))</f>
        <v/>
      </c>
      <c r="BT30" s="32" t="str">
        <f>+IF(AF30="","",INDEX('Modelo Optimización'!$AZ$4:$CO$149,MATCH(CONCATENATE(BT$7,$AT30),'Modelo Optimización'!$CQ$4:$CQ$149,0),MATCH($AS30,'Modelo Optimización'!$AZ$3:$CO$3,0)))</f>
        <v/>
      </c>
      <c r="BU30" s="32" t="str">
        <f>+IF(AG30="","",INDEX('Modelo Optimización'!$AZ$4:$CO$149,MATCH(CONCATENATE(BU$7,$AT30),'Modelo Optimización'!$CQ$4:$CQ$149,0),MATCH($AS30,'Modelo Optimización'!$AZ$3:$CO$3,0)))</f>
        <v/>
      </c>
      <c r="BV30" s="32" t="str">
        <f>+IF(AH30="","",INDEX('Modelo Optimización'!$AZ$4:$CO$149,MATCH(CONCATENATE(BV$7,$AT30),'Modelo Optimización'!$CQ$4:$CQ$149,0),MATCH($AS30,'Modelo Optimización'!$AZ$3:$CO$3,0)))</f>
        <v/>
      </c>
      <c r="BW30" s="32" t="str">
        <f>+IF(AI30="","",INDEX('Modelo Optimización'!$AZ$4:$CO$149,MATCH(CONCATENATE(BW$7,$AT30),'Modelo Optimización'!$CQ$4:$CQ$149,0),MATCH($AS30,'Modelo Optimización'!$AZ$3:$CO$3,0)))</f>
        <v/>
      </c>
      <c r="BX30" s="32" t="str">
        <f>+IF(AJ30="","",INDEX('Modelo Optimización'!$AZ$4:$CO$149,MATCH(CONCATENATE(BX$7,$AT30),'Modelo Optimización'!$CQ$4:$CQ$149,0),MATCH($AS30,'Modelo Optimización'!$AZ$3:$CO$3,0)))</f>
        <v/>
      </c>
      <c r="BY30" s="32" t="str">
        <f>+IF(AK30="","",INDEX('Modelo Optimización'!$AZ$4:$CO$149,MATCH(CONCATENATE(BY$7,$AT30),'Modelo Optimización'!$CQ$4:$CQ$149,0),MATCH($AS30,'Modelo Optimización'!$AZ$3:$CO$3,0)))</f>
        <v/>
      </c>
      <c r="BZ30" s="32" t="str">
        <f>+IF(AL30="","",INDEX('Modelo Optimización'!$AZ$4:$CO$149,MATCH(CONCATENATE(BZ$7,$AT30),'Modelo Optimización'!$CQ$4:$CQ$149,0),MATCH($AS30,'Modelo Optimización'!$AZ$3:$CO$3,0)))</f>
        <v/>
      </c>
      <c r="CA30" s="32" t="str">
        <f>+IF(AM30="","",INDEX('Modelo Optimización'!$AZ$4:$CO$149,MATCH(CONCATENATE(CA$7,$AT30),'Modelo Optimización'!$CQ$4:$CQ$149,0),MATCH($AS30,'Modelo Optimización'!$AZ$3:$CO$3,0)))</f>
        <v/>
      </c>
      <c r="CB30" s="32" t="str">
        <f>+IF(AN30="","",INDEX('Modelo Optimización'!$AZ$4:$CO$149,MATCH(CONCATENATE(CB$7,$AT30),'Modelo Optimización'!$CQ$4:$CQ$149,0),MATCH($AS30,'Modelo Optimización'!$AZ$3:$CO$3,0)))</f>
        <v/>
      </c>
      <c r="CC30" s="32" t="str">
        <f>+IF(AO30="","",INDEX('Modelo Optimización'!$AZ$4:$CO$149,MATCH(CONCATENATE(CC$7,$AT30),'Modelo Optimización'!$CQ$4:$CQ$149,0),MATCH($AS30,'Modelo Optimización'!$AZ$3:$CO$3,0)))</f>
        <v/>
      </c>
      <c r="CD30" s="32" t="str">
        <f>+IF(AP30="","",INDEX('Modelo Optimización'!$AZ$4:$CO$149,MATCH(CONCATENATE(CD$7,$AT30),'Modelo Optimización'!$CQ$4:$CQ$149,0),MATCH($AS30,'Modelo Optimización'!$AZ$3:$CO$3,0)))</f>
        <v/>
      </c>
      <c r="CE30" s="37" t="str">
        <f>+IF(AQ30="","",INDEX('Modelo Optimización'!$AZ$4:$CO$149,MATCH(CONCATENATE(CE$7,$AT30),'Modelo Optimización'!$CQ$4:$CQ$149,0),MATCH($AS30,'Modelo Optimización'!$AZ$3:$CO$3,0)))</f>
        <v/>
      </c>
      <c r="CF30" s="301"/>
      <c r="CG30" s="305" t="str">
        <f t="shared" si="11"/>
        <v/>
      </c>
      <c r="CH30" s="303" t="str">
        <f t="shared" si="7"/>
        <v/>
      </c>
      <c r="CI30" s="292" t="str">
        <f t="shared" si="8"/>
        <v/>
      </c>
      <c r="CJ30" s="36" t="str">
        <f t="shared" si="12"/>
        <v/>
      </c>
      <c r="CK30" s="32" t="str">
        <f t="shared" si="13"/>
        <v/>
      </c>
      <c r="CL30" s="32" t="str">
        <f t="shared" si="14"/>
        <v/>
      </c>
      <c r="CM30" s="32" t="str">
        <f t="shared" si="15"/>
        <v/>
      </c>
      <c r="CN30" s="32" t="str">
        <f t="shared" si="16"/>
        <v/>
      </c>
      <c r="CO30" s="32" t="str">
        <f t="shared" si="17"/>
        <v/>
      </c>
      <c r="CP30" s="32" t="str">
        <f t="shared" si="18"/>
        <v/>
      </c>
      <c r="CQ30" s="32" t="str">
        <f t="shared" si="19"/>
        <v/>
      </c>
      <c r="CR30" s="32" t="str">
        <f t="shared" si="20"/>
        <v/>
      </c>
      <c r="CS30" s="32" t="str">
        <f t="shared" si="21"/>
        <v/>
      </c>
      <c r="CT30" s="32" t="str">
        <f t="shared" si="22"/>
        <v/>
      </c>
      <c r="CU30" s="32" t="str">
        <f t="shared" si="23"/>
        <v/>
      </c>
      <c r="CV30" s="32" t="str">
        <f t="shared" si="24"/>
        <v/>
      </c>
      <c r="CW30" s="32" t="str">
        <f t="shared" si="25"/>
        <v/>
      </c>
      <c r="CX30" s="32" t="str">
        <f t="shared" si="26"/>
        <v/>
      </c>
      <c r="CY30" s="32" t="str">
        <f t="shared" si="27"/>
        <v/>
      </c>
      <c r="CZ30" s="32" t="str">
        <f t="shared" si="28"/>
        <v/>
      </c>
      <c r="DA30" s="32" t="str">
        <f t="shared" si="29"/>
        <v/>
      </c>
      <c r="DB30" s="32" t="str">
        <f t="shared" si="30"/>
        <v/>
      </c>
      <c r="DC30" s="32" t="str">
        <f t="shared" si="31"/>
        <v/>
      </c>
      <c r="DD30" s="32" t="str">
        <f t="shared" si="32"/>
        <v/>
      </c>
      <c r="DE30" s="32" t="str">
        <f t="shared" si="33"/>
        <v/>
      </c>
      <c r="DF30" s="32" t="str">
        <f t="shared" si="34"/>
        <v/>
      </c>
      <c r="DG30" s="32" t="str">
        <f t="shared" si="35"/>
        <v/>
      </c>
      <c r="DH30" s="32" t="str">
        <f t="shared" si="36"/>
        <v/>
      </c>
      <c r="DI30" s="32" t="str">
        <f t="shared" si="37"/>
        <v/>
      </c>
      <c r="DJ30" s="32" t="str">
        <f t="shared" si="38"/>
        <v/>
      </c>
      <c r="DK30" s="32" t="str">
        <f t="shared" si="39"/>
        <v/>
      </c>
      <c r="DL30" s="32" t="str">
        <f t="shared" si="40"/>
        <v/>
      </c>
      <c r="DM30" s="32" t="str">
        <f t="shared" si="41"/>
        <v/>
      </c>
      <c r="DN30" s="32" t="str">
        <f t="shared" si="42"/>
        <v/>
      </c>
      <c r="DO30" s="32" t="str">
        <f t="shared" si="43"/>
        <v/>
      </c>
      <c r="DP30" s="32" t="str">
        <f t="shared" si="44"/>
        <v/>
      </c>
      <c r="DQ30" s="32" t="str">
        <f t="shared" si="45"/>
        <v/>
      </c>
      <c r="DR30" s="32" t="str">
        <f t="shared" si="46"/>
        <v/>
      </c>
      <c r="DS30" s="32" t="str">
        <f t="shared" si="47"/>
        <v/>
      </c>
      <c r="DT30" s="37" t="str">
        <f t="shared" si="48"/>
        <v/>
      </c>
    </row>
    <row r="31" spans="2:124" x14ac:dyDescent="0.35">
      <c r="B31" s="46"/>
      <c r="C31" s="212"/>
      <c r="D31" s="52"/>
      <c r="E31" s="52" t="str">
        <f>+IF(B31="","",IFERROR(SUMIF('Modelo Optimización'!$AS$72:$AS$217,C31,INDEX('Modelo Optimización'!$C$72:$AR$217,,MATCH(B31,'Modelo Optimización'!$C$71:$AR$71,0))),0))</f>
        <v/>
      </c>
      <c r="F31" s="281" t="str">
        <f t="shared" si="10"/>
        <v/>
      </c>
      <c r="G31" s="280" t="str">
        <f>+IF(IF($B31="","",IFERROR(INDEX('Auxiliar Resultados'!$C$9:$BO$50,MATCH($B31,'Auxiliar Resultados'!$B$9:$B$50,0),MATCH(CONCATENATE($C31,G$7),'Auxiliar Resultados'!$C$6:$BO$6,0)),""))=0,"",IF($B31="","",IFERROR(INDEX('Auxiliar Resultados'!$C$9:$BO$50,MATCH($B31,'Auxiliar Resultados'!$B$9:$B$50,0),MATCH(CONCATENATE($C31,G$7),'Auxiliar Resultados'!$C$6:$BO$6,0)),"")))</f>
        <v/>
      </c>
      <c r="H31" s="52" t="str">
        <f>+IF(IF($B31="","",IFERROR(INDEX('Auxiliar Resultados'!$C$9:$BO$50,MATCH($B31,'Auxiliar Resultados'!$B$9:$B$50,0),MATCH(CONCATENATE($C31,H$7),'Auxiliar Resultados'!$C$6:$BO$6,0)),""))=0,"",IF($B31="","",IFERROR(INDEX('Auxiliar Resultados'!$C$9:$BO$50,MATCH($B31,'Auxiliar Resultados'!$B$9:$B$50,0),MATCH(CONCATENATE($C31,H$7),'Auxiliar Resultados'!$C$6:$BO$6,0)),"")))</f>
        <v/>
      </c>
      <c r="I31" s="52" t="str">
        <f>+IF(IF($B31="","",IFERROR(INDEX('Auxiliar Resultados'!$C$9:$BO$50,MATCH($B31,'Auxiliar Resultados'!$B$9:$B$50,0),MATCH(CONCATENATE($C31,I$7),'Auxiliar Resultados'!$C$6:$BO$6,0)),""))=0,"",IF($B31="","",IFERROR(INDEX('Auxiliar Resultados'!$C$9:$BO$50,MATCH($B31,'Auxiliar Resultados'!$B$9:$B$50,0),MATCH(CONCATENATE($C31,I$7),'Auxiliar Resultados'!$C$6:$BO$6,0)),"")))</f>
        <v/>
      </c>
      <c r="J31" s="52" t="str">
        <f>+IF(IF($B31="","",IFERROR(INDEX('Auxiliar Resultados'!$C$9:$BO$50,MATCH($B31,'Auxiliar Resultados'!$B$9:$B$50,0),MATCH(CONCATENATE($C31,J$7),'Auxiliar Resultados'!$C$6:$BO$6,0)),""))=0,"",IF($B31="","",IFERROR(INDEX('Auxiliar Resultados'!$C$9:$BO$50,MATCH($B31,'Auxiliar Resultados'!$B$9:$B$50,0),MATCH(CONCATENATE($C31,J$7),'Auxiliar Resultados'!$C$6:$BO$6,0)),"")))</f>
        <v/>
      </c>
      <c r="K31" s="52" t="str">
        <f>+IF(IF($B31="","",IFERROR(INDEX('Auxiliar Resultados'!$C$9:$BO$50,MATCH($B31,'Auxiliar Resultados'!$B$9:$B$50,0),MATCH(CONCATENATE($C31,K$7),'Auxiliar Resultados'!$C$6:$BO$6,0)),""))=0,"",IF($B31="","",IFERROR(INDEX('Auxiliar Resultados'!$C$9:$BO$50,MATCH($B31,'Auxiliar Resultados'!$B$9:$B$50,0),MATCH(CONCATENATE($C31,K$7),'Auxiliar Resultados'!$C$6:$BO$6,0)),"")))</f>
        <v/>
      </c>
      <c r="L31" s="52" t="str">
        <f>+IF(IF($B31="","",IFERROR(INDEX('Auxiliar Resultados'!$C$9:$BO$50,MATCH($B31,'Auxiliar Resultados'!$B$9:$B$50,0),MATCH(CONCATENATE($C31,L$7),'Auxiliar Resultados'!$C$6:$BO$6,0)),""))=0,"",IF($B31="","",IFERROR(INDEX('Auxiliar Resultados'!$C$9:$BO$50,MATCH($B31,'Auxiliar Resultados'!$B$9:$B$50,0),MATCH(CONCATENATE($C31,L$7),'Auxiliar Resultados'!$C$6:$BO$6,0)),"")))</f>
        <v/>
      </c>
      <c r="M31" s="52" t="str">
        <f>+IF(IF($B31="","",IFERROR(INDEX('Auxiliar Resultados'!$C$9:$BO$50,MATCH($B31,'Auxiliar Resultados'!$B$9:$B$50,0),MATCH(CONCATENATE($C31,M$7),'Auxiliar Resultados'!$C$6:$BO$6,0)),""))=0,"",IF($B31="","",IFERROR(INDEX('Auxiliar Resultados'!$C$9:$BO$50,MATCH($B31,'Auxiliar Resultados'!$B$9:$B$50,0),MATCH(CONCATENATE($C31,M$7),'Auxiliar Resultados'!$C$6:$BO$6,0)),"")))</f>
        <v/>
      </c>
      <c r="N31" s="52" t="str">
        <f>+IF(IF($B31="","",IFERROR(INDEX('Auxiliar Resultados'!$C$9:$BO$50,MATCH($B31,'Auxiliar Resultados'!$B$9:$B$50,0),MATCH(CONCATENATE($C31,N$7),'Auxiliar Resultados'!$C$6:$BO$6,0)),""))=0,"",IF($B31="","",IFERROR(INDEX('Auxiliar Resultados'!$C$9:$BO$50,MATCH($B31,'Auxiliar Resultados'!$B$9:$B$50,0),MATCH(CONCATENATE($C31,N$7),'Auxiliar Resultados'!$C$6:$BO$6,0)),"")))</f>
        <v/>
      </c>
      <c r="O31" s="52" t="str">
        <f>+IF(IF($B31="","",IFERROR(INDEX('Auxiliar Resultados'!$C$9:$BO$50,MATCH($B31,'Auxiliar Resultados'!$B$9:$B$50,0),MATCH(CONCATENATE($C31,O$7),'Auxiliar Resultados'!$C$6:$BO$6,0)),""))=0,"",IF($B31="","",IFERROR(INDEX('Auxiliar Resultados'!$C$9:$BO$50,MATCH($B31,'Auxiliar Resultados'!$B$9:$B$50,0),MATCH(CONCATENATE($C31,O$7),'Auxiliar Resultados'!$C$6:$BO$6,0)),"")))</f>
        <v/>
      </c>
      <c r="P31" s="52" t="str">
        <f>+IF(IF($B31="","",IFERROR(INDEX('Auxiliar Resultados'!$C$9:$BO$50,MATCH($B31,'Auxiliar Resultados'!$B$9:$B$50,0),MATCH(CONCATENATE($C31,P$7),'Auxiliar Resultados'!$C$6:$BO$6,0)),""))=0,"",IF($B31="","",IFERROR(INDEX('Auxiliar Resultados'!$C$9:$BO$50,MATCH($B31,'Auxiliar Resultados'!$B$9:$B$50,0),MATCH(CONCATENATE($C31,P$7),'Auxiliar Resultados'!$C$6:$BO$6,0)),"")))</f>
        <v/>
      </c>
      <c r="Q31" s="52" t="str">
        <f>+IF(IF($B31="","",IFERROR(INDEX('Auxiliar Resultados'!$C$9:$BO$50,MATCH($B31,'Auxiliar Resultados'!$B$9:$B$50,0),MATCH(CONCATENATE($C31,Q$7),'Auxiliar Resultados'!$C$6:$BO$6,0)),""))=0,"",IF($B31="","",IFERROR(INDEX('Auxiliar Resultados'!$C$9:$BO$50,MATCH($B31,'Auxiliar Resultados'!$B$9:$B$50,0),MATCH(CONCATENATE($C31,Q$7),'Auxiliar Resultados'!$C$6:$BO$6,0)),"")))</f>
        <v/>
      </c>
      <c r="R31" s="52" t="str">
        <f>+IF(IF($B31="","",IFERROR(INDEX('Auxiliar Resultados'!$C$9:$BO$50,MATCH($B31,'Auxiliar Resultados'!$B$9:$B$50,0),MATCH(CONCATENATE($C31,R$7),'Auxiliar Resultados'!$C$6:$BO$6,0)),""))=0,"",IF($B31="","",IFERROR(INDEX('Auxiliar Resultados'!$C$9:$BO$50,MATCH($B31,'Auxiliar Resultados'!$B$9:$B$50,0),MATCH(CONCATENATE($C31,R$7),'Auxiliar Resultados'!$C$6:$BO$6,0)),"")))</f>
        <v/>
      </c>
      <c r="S31" s="52" t="str">
        <f>+IF(IF($B31="","",IFERROR(INDEX('Auxiliar Resultados'!$C$9:$BO$50,MATCH($B31,'Auxiliar Resultados'!$B$9:$B$50,0),MATCH(CONCATENATE($C31,S$7),'Auxiliar Resultados'!$C$6:$BO$6,0)),""))=0,"",IF($B31="","",IFERROR(INDEX('Auxiliar Resultados'!$C$9:$BO$50,MATCH($B31,'Auxiliar Resultados'!$B$9:$B$50,0),MATCH(CONCATENATE($C31,S$7),'Auxiliar Resultados'!$C$6:$BO$6,0)),"")))</f>
        <v/>
      </c>
      <c r="T31" s="52" t="str">
        <f>+IF(IF($B31="","",IFERROR(INDEX('Auxiliar Resultados'!$C$9:$BO$50,MATCH($B31,'Auxiliar Resultados'!$B$9:$B$50,0),MATCH(CONCATENATE($C31,T$7),'Auxiliar Resultados'!$C$6:$BO$6,0)),""))=0,"",IF($B31="","",IFERROR(INDEX('Auxiliar Resultados'!$C$9:$BO$50,MATCH($B31,'Auxiliar Resultados'!$B$9:$B$50,0),MATCH(CONCATENATE($C31,T$7),'Auxiliar Resultados'!$C$6:$BO$6,0)),"")))</f>
        <v/>
      </c>
      <c r="U31" s="52" t="str">
        <f>+IF(IF($B31="","",IFERROR(INDEX('Auxiliar Resultados'!$C$9:$BO$50,MATCH($B31,'Auxiliar Resultados'!$B$9:$B$50,0),MATCH(CONCATENATE($C31,U$7),'Auxiliar Resultados'!$C$6:$BO$6,0)),""))=0,"",IF($B31="","",IFERROR(INDEX('Auxiliar Resultados'!$C$9:$BO$50,MATCH($B31,'Auxiliar Resultados'!$B$9:$B$50,0),MATCH(CONCATENATE($C31,U$7),'Auxiliar Resultados'!$C$6:$BO$6,0)),"")))</f>
        <v/>
      </c>
      <c r="V31" s="52" t="str">
        <f>+IF(IF($B31="","",IFERROR(INDEX('Auxiliar Resultados'!$C$9:$BO$50,MATCH($B31,'Auxiliar Resultados'!$B$9:$B$50,0),MATCH(CONCATENATE($C31,V$7),'Auxiliar Resultados'!$C$6:$BO$6,0)),""))=0,"",IF($B31="","",IFERROR(INDEX('Auxiliar Resultados'!$C$9:$BO$50,MATCH($B31,'Auxiliar Resultados'!$B$9:$B$50,0),MATCH(CONCATENATE($C31,V$7),'Auxiliar Resultados'!$C$6:$BO$6,0)),"")))</f>
        <v/>
      </c>
      <c r="W31" s="52" t="str">
        <f>+IF(IF($B31="","",IFERROR(INDEX('Auxiliar Resultados'!$C$9:$BO$50,MATCH($B31,'Auxiliar Resultados'!$B$9:$B$50,0),MATCH(CONCATENATE($C31,W$7),'Auxiliar Resultados'!$C$6:$BO$6,0)),""))=0,"",IF($B31="","",IFERROR(INDEX('Auxiliar Resultados'!$C$9:$BO$50,MATCH($B31,'Auxiliar Resultados'!$B$9:$B$50,0),MATCH(CONCATENATE($C31,W$7),'Auxiliar Resultados'!$C$6:$BO$6,0)),"")))</f>
        <v/>
      </c>
      <c r="X31" s="52" t="str">
        <f>+IF(IF($B31="","",IFERROR(INDEX('Auxiliar Resultados'!$C$9:$BO$50,MATCH($B31,'Auxiliar Resultados'!$B$9:$B$50,0),MATCH(CONCATENATE($C31,X$7),'Auxiliar Resultados'!$C$6:$BO$6,0)),""))=0,"",IF($B31="","",IFERROR(INDEX('Auxiliar Resultados'!$C$9:$BO$50,MATCH($B31,'Auxiliar Resultados'!$B$9:$B$50,0),MATCH(CONCATENATE($C31,X$7),'Auxiliar Resultados'!$C$6:$BO$6,0)),"")))</f>
        <v/>
      </c>
      <c r="Y31" s="52" t="str">
        <f>+IF(IF($B31="","",IFERROR(INDEX('Auxiliar Resultados'!$C$9:$BO$50,MATCH($B31,'Auxiliar Resultados'!$B$9:$B$50,0),MATCH(CONCATENATE($C31,Y$7),'Auxiliar Resultados'!$C$6:$BO$6,0)),""))=0,"",IF($B31="","",IFERROR(INDEX('Auxiliar Resultados'!$C$9:$BO$50,MATCH($B31,'Auxiliar Resultados'!$B$9:$B$50,0),MATCH(CONCATENATE($C31,Y$7),'Auxiliar Resultados'!$C$6:$BO$6,0)),"")))</f>
        <v/>
      </c>
      <c r="Z31" s="52" t="str">
        <f>+IF(IF($B31="","",IFERROR(INDEX('Auxiliar Resultados'!$C$9:$BO$50,MATCH($B31,'Auxiliar Resultados'!$B$9:$B$50,0),MATCH(CONCATENATE($C31,Z$7),'Auxiliar Resultados'!$C$6:$BO$6,0)),""))=0,"",IF($B31="","",IFERROR(INDEX('Auxiliar Resultados'!$C$9:$BO$50,MATCH($B31,'Auxiliar Resultados'!$B$9:$B$50,0),MATCH(CONCATENATE($C31,Z$7),'Auxiliar Resultados'!$C$6:$BO$6,0)),"")))</f>
        <v/>
      </c>
      <c r="AA31" s="52" t="str">
        <f>+IF(IF($B31="","",IFERROR(INDEX('Auxiliar Resultados'!$C$9:$BO$50,MATCH($B31,'Auxiliar Resultados'!$B$9:$B$50,0),MATCH(CONCATENATE($C31,AA$7),'Auxiliar Resultados'!$C$6:$BO$6,0)),""))=0,"",IF($B31="","",IFERROR(INDEX('Auxiliar Resultados'!$C$9:$BO$50,MATCH($B31,'Auxiliar Resultados'!$B$9:$B$50,0),MATCH(CONCATENATE($C31,AA$7),'Auxiliar Resultados'!$C$6:$BO$6,0)),"")))</f>
        <v/>
      </c>
      <c r="AB31" s="52" t="str">
        <f>+IF(IF($B31="","",IFERROR(INDEX('Auxiliar Resultados'!$C$9:$BO$50,MATCH($B31,'Auxiliar Resultados'!$B$9:$B$50,0),MATCH(CONCATENATE($C31,AB$7),'Auxiliar Resultados'!$C$6:$BO$6,0)),""))=0,"",IF($B31="","",IFERROR(INDEX('Auxiliar Resultados'!$C$9:$BO$50,MATCH($B31,'Auxiliar Resultados'!$B$9:$B$50,0),MATCH(CONCATENATE($C31,AB$7),'Auxiliar Resultados'!$C$6:$BO$6,0)),"")))</f>
        <v/>
      </c>
      <c r="AC31" s="52" t="str">
        <f>+IF(IF($B31="","",IFERROR(INDEX('Auxiliar Resultados'!$C$9:$BO$50,MATCH($B31,'Auxiliar Resultados'!$B$9:$B$50,0),MATCH(CONCATENATE($C31,AC$7),'Auxiliar Resultados'!$C$6:$BO$6,0)),""))=0,"",IF($B31="","",IFERROR(INDEX('Auxiliar Resultados'!$C$9:$BO$50,MATCH($B31,'Auxiliar Resultados'!$B$9:$B$50,0),MATCH(CONCATENATE($C31,AC$7),'Auxiliar Resultados'!$C$6:$BO$6,0)),"")))</f>
        <v/>
      </c>
      <c r="AD31" s="52" t="str">
        <f>+IF(IF($B31="","",IFERROR(INDEX('Auxiliar Resultados'!$C$9:$BO$50,MATCH($B31,'Auxiliar Resultados'!$B$9:$B$50,0),MATCH(CONCATENATE($C31,AD$7),'Auxiliar Resultados'!$C$6:$BO$6,0)),""))=0,"",IF($B31="","",IFERROR(INDEX('Auxiliar Resultados'!$C$9:$BO$50,MATCH($B31,'Auxiliar Resultados'!$B$9:$B$50,0),MATCH(CONCATENATE($C31,AD$7),'Auxiliar Resultados'!$C$6:$BO$6,0)),"")))</f>
        <v/>
      </c>
      <c r="AE31" s="52" t="str">
        <f>+IF(IF($B31="","",IFERROR(INDEX('Auxiliar Resultados'!$C$9:$BO$50,MATCH($B31,'Auxiliar Resultados'!$B$9:$B$50,0),MATCH(CONCATENATE($C31,AE$7),'Auxiliar Resultados'!$C$6:$BO$6,0)),""))=0,"",IF($B31="","",IFERROR(INDEX('Auxiliar Resultados'!$C$9:$BO$50,MATCH($B31,'Auxiliar Resultados'!$B$9:$B$50,0),MATCH(CONCATENATE($C31,AE$7),'Auxiliar Resultados'!$C$6:$BO$6,0)),"")))</f>
        <v/>
      </c>
      <c r="AF31" s="52" t="str">
        <f>+IF(IF($B31="","",IFERROR(INDEX('Auxiliar Resultados'!$C$9:$BO$50,MATCH($B31,'Auxiliar Resultados'!$B$9:$B$50,0),MATCH(CONCATENATE($C31,AF$7),'Auxiliar Resultados'!$C$6:$BO$6,0)),""))=0,"",IF($B31="","",IFERROR(INDEX('Auxiliar Resultados'!$C$9:$BO$50,MATCH($B31,'Auxiliar Resultados'!$B$9:$B$50,0),MATCH(CONCATENATE($C31,AF$7),'Auxiliar Resultados'!$C$6:$BO$6,0)),"")))</f>
        <v/>
      </c>
      <c r="AG31" s="52" t="str">
        <f>+IF(IF($B31="","",IFERROR(INDEX('Auxiliar Resultados'!$C$9:$BO$50,MATCH($B31,'Auxiliar Resultados'!$B$9:$B$50,0),MATCH(CONCATENATE($C31,AG$7),'Auxiliar Resultados'!$C$6:$BO$6,0)),""))=0,"",IF($B31="","",IFERROR(INDEX('Auxiliar Resultados'!$C$9:$BO$50,MATCH($B31,'Auxiliar Resultados'!$B$9:$B$50,0),MATCH(CONCATENATE($C31,AG$7),'Auxiliar Resultados'!$C$6:$BO$6,0)),"")))</f>
        <v/>
      </c>
      <c r="AH31" s="52" t="str">
        <f>+IF(IF($B31="","",IFERROR(INDEX('Auxiliar Resultados'!$C$9:$BO$50,MATCH($B31,'Auxiliar Resultados'!$B$9:$B$50,0),MATCH(CONCATENATE($C31,AH$7),'Auxiliar Resultados'!$C$6:$BO$6,0)),""))=0,"",IF($B31="","",IFERROR(INDEX('Auxiliar Resultados'!$C$9:$BO$50,MATCH($B31,'Auxiliar Resultados'!$B$9:$B$50,0),MATCH(CONCATENATE($C31,AH$7),'Auxiliar Resultados'!$C$6:$BO$6,0)),"")))</f>
        <v/>
      </c>
      <c r="AI31" s="52" t="str">
        <f>+IF(IF($B31="","",IFERROR(INDEX('Auxiliar Resultados'!$C$9:$BO$50,MATCH($B31,'Auxiliar Resultados'!$B$9:$B$50,0),MATCH(CONCATENATE($C31,AI$7),'Auxiliar Resultados'!$C$6:$BO$6,0)),""))=0,"",IF($B31="","",IFERROR(INDEX('Auxiliar Resultados'!$C$9:$BO$50,MATCH($B31,'Auxiliar Resultados'!$B$9:$B$50,0),MATCH(CONCATENATE($C31,AI$7),'Auxiliar Resultados'!$C$6:$BO$6,0)),"")))</f>
        <v/>
      </c>
      <c r="AJ31" s="52" t="str">
        <f>+IF(IF($B31="","",IFERROR(INDEX('Auxiliar Resultados'!$C$9:$BO$50,MATCH($B31,'Auxiliar Resultados'!$B$9:$B$50,0),MATCH(CONCATENATE($C31,AJ$7),'Auxiliar Resultados'!$C$6:$BO$6,0)),""))=0,"",IF($B31="","",IFERROR(INDEX('Auxiliar Resultados'!$C$9:$BO$50,MATCH($B31,'Auxiliar Resultados'!$B$9:$B$50,0),MATCH(CONCATENATE($C31,AJ$7),'Auxiliar Resultados'!$C$6:$BO$6,0)),"")))</f>
        <v/>
      </c>
      <c r="AK31" s="52" t="str">
        <f>+IF(IF($B31="","",IFERROR(INDEX('Auxiliar Resultados'!$C$9:$BO$50,MATCH($B31,'Auxiliar Resultados'!$B$9:$B$50,0),MATCH(CONCATENATE($C31,AK$7),'Auxiliar Resultados'!$C$6:$BO$6,0)),""))=0,"",IF($B31="","",IFERROR(INDEX('Auxiliar Resultados'!$C$9:$BO$50,MATCH($B31,'Auxiliar Resultados'!$B$9:$B$50,0),MATCH(CONCATENATE($C31,AK$7),'Auxiliar Resultados'!$C$6:$BO$6,0)),"")))</f>
        <v/>
      </c>
      <c r="AL31" s="52" t="str">
        <f>+IF(IF($B31="","",IFERROR(INDEX('Auxiliar Resultados'!$C$9:$BO$50,MATCH($B31,'Auxiliar Resultados'!$B$9:$B$50,0),MATCH(CONCATENATE($C31,AL$7),'Auxiliar Resultados'!$C$6:$BO$6,0)),""))=0,"",IF($B31="","",IFERROR(INDEX('Auxiliar Resultados'!$C$9:$BO$50,MATCH($B31,'Auxiliar Resultados'!$B$9:$B$50,0),MATCH(CONCATENATE($C31,AL$7),'Auxiliar Resultados'!$C$6:$BO$6,0)),"")))</f>
        <v/>
      </c>
      <c r="AM31" s="52" t="str">
        <f>+IF(IF($B31="","",IFERROR(INDEX('Auxiliar Resultados'!$C$9:$BO$50,MATCH($B31,'Auxiliar Resultados'!$B$9:$B$50,0),MATCH(CONCATENATE($C31,AM$7),'Auxiliar Resultados'!$C$6:$BO$6,0)),""))=0,"",IF($B31="","",IFERROR(INDEX('Auxiliar Resultados'!$C$9:$BO$50,MATCH($B31,'Auxiliar Resultados'!$B$9:$B$50,0),MATCH(CONCATENATE($C31,AM$7),'Auxiliar Resultados'!$C$6:$BO$6,0)),"")))</f>
        <v/>
      </c>
      <c r="AN31" s="52" t="str">
        <f>+IF(IF($B31="","",IFERROR(INDEX('Auxiliar Resultados'!$C$9:$BO$50,MATCH($B31,'Auxiliar Resultados'!$B$9:$B$50,0),MATCH(CONCATENATE($C31,AN$7),'Auxiliar Resultados'!$C$6:$BO$6,0)),""))=0,"",IF($B31="","",IFERROR(INDEX('Auxiliar Resultados'!$C$9:$BO$50,MATCH($B31,'Auxiliar Resultados'!$B$9:$B$50,0),MATCH(CONCATENATE($C31,AN$7),'Auxiliar Resultados'!$C$6:$BO$6,0)),"")))</f>
        <v/>
      </c>
      <c r="AO31" s="52" t="str">
        <f>+IF(IF($B31="","",IFERROR(INDEX('Auxiliar Resultados'!$C$9:$BO$50,MATCH($B31,'Auxiliar Resultados'!$B$9:$B$50,0),MATCH(CONCATENATE($C31,AO$7),'Auxiliar Resultados'!$C$6:$BO$6,0)),""))=0,"",IF($B31="","",IFERROR(INDEX('Auxiliar Resultados'!$C$9:$BO$50,MATCH($B31,'Auxiliar Resultados'!$B$9:$B$50,0),MATCH(CONCATENATE($C31,AO$7),'Auxiliar Resultados'!$C$6:$BO$6,0)),"")))</f>
        <v/>
      </c>
      <c r="AP31" s="52" t="str">
        <f>+IF(IF($B31="","",IFERROR(INDEX('Auxiliar Resultados'!$C$9:$BO$50,MATCH($B31,'Auxiliar Resultados'!$B$9:$B$50,0),MATCH(CONCATENATE($C31,AP$7),'Auxiliar Resultados'!$C$6:$BO$6,0)),""))=0,"",IF($B31="","",IFERROR(INDEX('Auxiliar Resultados'!$C$9:$BO$50,MATCH($B31,'Auxiliar Resultados'!$B$9:$B$50,0),MATCH(CONCATENATE($C31,AP$7),'Auxiliar Resultados'!$C$6:$BO$6,0)),"")))</f>
        <v/>
      </c>
      <c r="AQ31" s="276" t="str">
        <f>+IF(IF($B31="","",IFERROR(INDEX('Auxiliar Resultados'!$C$9:$BO$50,MATCH($B31,'Auxiliar Resultados'!$B$9:$B$50,0),MATCH(CONCATENATE($C31,AQ$7),'Auxiliar Resultados'!$C$6:$BO$6,0)),""))=0,"",IF($B31="","",IFERROR(INDEX('Auxiliar Resultados'!$C$9:$BO$50,MATCH($B31,'Auxiliar Resultados'!$B$9:$B$50,0),MATCH(CONCATENATE($C31,AQ$7),'Auxiliar Resultados'!$C$6:$BO$6,0)),"")))</f>
        <v/>
      </c>
      <c r="AS31" s="46" t="str">
        <f t="shared" si="5"/>
        <v/>
      </c>
      <c r="AT31" s="292" t="str">
        <f t="shared" si="6"/>
        <v/>
      </c>
      <c r="AU31" s="36" t="str">
        <f>+IF(G31="","",INDEX('Modelo Optimización'!$AZ$4:$CO$149,MATCH(CONCATENATE(AU$7,$AT31),'Modelo Optimización'!$CQ$4:$CQ$149,0),MATCH($AS31,'Modelo Optimización'!$AZ$3:$CO$3,0)))</f>
        <v/>
      </c>
      <c r="AV31" s="32" t="str">
        <f>+IF(H31="","",INDEX('Modelo Optimización'!$AZ$4:$CO$149,MATCH(CONCATENATE(AV$7,$AT31),'Modelo Optimización'!$CQ$4:$CQ$149,0),MATCH($AS31,'Modelo Optimización'!$AZ$3:$CO$3,0)))</f>
        <v/>
      </c>
      <c r="AW31" s="32" t="str">
        <f>+IF(I31="","",INDEX('Modelo Optimización'!$AZ$4:$CO$149,MATCH(CONCATENATE(AW$7,$AT31),'Modelo Optimización'!$CQ$4:$CQ$149,0),MATCH($AS31,'Modelo Optimización'!$AZ$3:$CO$3,0)))</f>
        <v/>
      </c>
      <c r="AX31" s="32" t="str">
        <f>+IF(J31="","",INDEX('Modelo Optimización'!$AZ$4:$CO$149,MATCH(CONCATENATE(AX$7,$AT31),'Modelo Optimización'!$CQ$4:$CQ$149,0),MATCH($AS31,'Modelo Optimización'!$AZ$3:$CO$3,0)))</f>
        <v/>
      </c>
      <c r="AY31" s="32" t="str">
        <f>+IF(K31="","",INDEX('Modelo Optimización'!$AZ$4:$CO$149,MATCH(CONCATENATE(AY$7,$AT31),'Modelo Optimización'!$CQ$4:$CQ$149,0),MATCH($AS31,'Modelo Optimización'!$AZ$3:$CO$3,0)))</f>
        <v/>
      </c>
      <c r="AZ31" s="32" t="str">
        <f>+IF(L31="","",INDEX('Modelo Optimización'!$AZ$4:$CO$149,MATCH(CONCATENATE(AZ$7,$AT31),'Modelo Optimización'!$CQ$4:$CQ$149,0),MATCH($AS31,'Modelo Optimización'!$AZ$3:$CO$3,0)))</f>
        <v/>
      </c>
      <c r="BA31" s="32" t="str">
        <f>+IF(M31="","",INDEX('Modelo Optimización'!$AZ$4:$CO$149,MATCH(CONCATENATE(BA$7,$AT31),'Modelo Optimización'!$CQ$4:$CQ$149,0),MATCH($AS31,'Modelo Optimización'!$AZ$3:$CO$3,0)))</f>
        <v/>
      </c>
      <c r="BB31" s="32" t="str">
        <f>+IF(N31="","",INDEX('Modelo Optimización'!$AZ$4:$CO$149,MATCH(CONCATENATE(BB$7,$AT31),'Modelo Optimización'!$CQ$4:$CQ$149,0),MATCH($AS31,'Modelo Optimización'!$AZ$3:$CO$3,0)))</f>
        <v/>
      </c>
      <c r="BC31" s="32" t="str">
        <f>+IF(O31="","",INDEX('Modelo Optimización'!$AZ$4:$CO$149,MATCH(CONCATENATE(BC$7,$AT31),'Modelo Optimización'!$CQ$4:$CQ$149,0),MATCH($AS31,'Modelo Optimización'!$AZ$3:$CO$3,0)))</f>
        <v/>
      </c>
      <c r="BD31" s="32" t="str">
        <f>+IF(P31="","",INDEX('Modelo Optimización'!$AZ$4:$CO$149,MATCH(CONCATENATE(BD$7,$AT31),'Modelo Optimización'!$CQ$4:$CQ$149,0),MATCH($AS31,'Modelo Optimización'!$AZ$3:$CO$3,0)))</f>
        <v/>
      </c>
      <c r="BE31" s="32" t="str">
        <f>+IF(Q31="","",INDEX('Modelo Optimización'!$AZ$4:$CO$149,MATCH(CONCATENATE(BE$7,$AT31),'Modelo Optimización'!$CQ$4:$CQ$149,0),MATCH($AS31,'Modelo Optimización'!$AZ$3:$CO$3,0)))</f>
        <v/>
      </c>
      <c r="BF31" s="32" t="str">
        <f>+IF(R31="","",INDEX('Modelo Optimización'!$AZ$4:$CO$149,MATCH(CONCATENATE(BF$7,$AT31),'Modelo Optimización'!$CQ$4:$CQ$149,0),MATCH($AS31,'Modelo Optimización'!$AZ$3:$CO$3,0)))</f>
        <v/>
      </c>
      <c r="BG31" s="32" t="str">
        <f>+IF(S31="","",INDEX('Modelo Optimización'!$AZ$4:$CO$149,MATCH(CONCATENATE(BG$7,$AT31),'Modelo Optimización'!$CQ$4:$CQ$149,0),MATCH($AS31,'Modelo Optimización'!$AZ$3:$CO$3,0)))</f>
        <v/>
      </c>
      <c r="BH31" s="32" t="str">
        <f>+IF(T31="","",INDEX('Modelo Optimización'!$AZ$4:$CO$149,MATCH(CONCATENATE(BH$7,$AT31),'Modelo Optimización'!$CQ$4:$CQ$149,0),MATCH($AS31,'Modelo Optimización'!$AZ$3:$CO$3,0)))</f>
        <v/>
      </c>
      <c r="BI31" s="32" t="str">
        <f>+IF(U31="","",INDEX('Modelo Optimización'!$AZ$4:$CO$149,MATCH(CONCATENATE(BI$7,$AT31),'Modelo Optimización'!$CQ$4:$CQ$149,0),MATCH($AS31,'Modelo Optimización'!$AZ$3:$CO$3,0)))</f>
        <v/>
      </c>
      <c r="BJ31" s="32" t="str">
        <f>+IF(V31="","",INDEX('Modelo Optimización'!$AZ$4:$CO$149,MATCH(CONCATENATE(BJ$7,$AT31),'Modelo Optimización'!$CQ$4:$CQ$149,0),MATCH($AS31,'Modelo Optimización'!$AZ$3:$CO$3,0)))</f>
        <v/>
      </c>
      <c r="BK31" s="32" t="str">
        <f>+IF(W31="","",INDEX('Modelo Optimización'!$AZ$4:$CO$149,MATCH(CONCATENATE(BK$7,$AT31),'Modelo Optimización'!$CQ$4:$CQ$149,0),MATCH($AS31,'Modelo Optimización'!$AZ$3:$CO$3,0)))</f>
        <v/>
      </c>
      <c r="BL31" s="32" t="str">
        <f>+IF(X31="","",INDEX('Modelo Optimización'!$AZ$4:$CO$149,MATCH(CONCATENATE(BL$7,$AT31),'Modelo Optimización'!$CQ$4:$CQ$149,0),MATCH($AS31,'Modelo Optimización'!$AZ$3:$CO$3,0)))</f>
        <v/>
      </c>
      <c r="BM31" s="32" t="str">
        <f>+IF(Y31="","",INDEX('Modelo Optimización'!$AZ$4:$CO$149,MATCH(CONCATENATE(BM$7,$AT31),'Modelo Optimización'!$CQ$4:$CQ$149,0),MATCH($AS31,'Modelo Optimización'!$AZ$3:$CO$3,0)))</f>
        <v/>
      </c>
      <c r="BN31" s="32" t="str">
        <f>+IF(Z31="","",INDEX('Modelo Optimización'!$AZ$4:$CO$149,MATCH(CONCATENATE(BN$7,$AT31),'Modelo Optimización'!$CQ$4:$CQ$149,0),MATCH($AS31,'Modelo Optimización'!$AZ$3:$CO$3,0)))</f>
        <v/>
      </c>
      <c r="BO31" s="32" t="str">
        <f>+IF(AA31="","",INDEX('Modelo Optimización'!$AZ$4:$CO$149,MATCH(CONCATENATE(BO$7,$AT31),'Modelo Optimización'!$CQ$4:$CQ$149,0),MATCH($AS31,'Modelo Optimización'!$AZ$3:$CO$3,0)))</f>
        <v/>
      </c>
      <c r="BP31" s="32" t="str">
        <f>+IF(AB31="","",INDEX('Modelo Optimización'!$AZ$4:$CO$149,MATCH(CONCATENATE(BP$7,$AT31),'Modelo Optimización'!$CQ$4:$CQ$149,0),MATCH($AS31,'Modelo Optimización'!$AZ$3:$CO$3,0)))</f>
        <v/>
      </c>
      <c r="BQ31" s="32" t="str">
        <f>+IF(AC31="","",INDEX('Modelo Optimización'!$AZ$4:$CO$149,MATCH(CONCATENATE(BQ$7,$AT31),'Modelo Optimización'!$CQ$4:$CQ$149,0),MATCH($AS31,'Modelo Optimización'!$AZ$3:$CO$3,0)))</f>
        <v/>
      </c>
      <c r="BR31" s="32" t="str">
        <f>+IF(AD31="","",INDEX('Modelo Optimización'!$AZ$4:$CO$149,MATCH(CONCATENATE(BR$7,$AT31),'Modelo Optimización'!$CQ$4:$CQ$149,0),MATCH($AS31,'Modelo Optimización'!$AZ$3:$CO$3,0)))</f>
        <v/>
      </c>
      <c r="BS31" s="32" t="str">
        <f>+IF(AE31="","",INDEX('Modelo Optimización'!$AZ$4:$CO$149,MATCH(CONCATENATE(BS$7,$AT31),'Modelo Optimización'!$CQ$4:$CQ$149,0),MATCH($AS31,'Modelo Optimización'!$AZ$3:$CO$3,0)))</f>
        <v/>
      </c>
      <c r="BT31" s="32" t="str">
        <f>+IF(AF31="","",INDEX('Modelo Optimización'!$AZ$4:$CO$149,MATCH(CONCATENATE(BT$7,$AT31),'Modelo Optimización'!$CQ$4:$CQ$149,0),MATCH($AS31,'Modelo Optimización'!$AZ$3:$CO$3,0)))</f>
        <v/>
      </c>
      <c r="BU31" s="32" t="str">
        <f>+IF(AG31="","",INDEX('Modelo Optimización'!$AZ$4:$CO$149,MATCH(CONCATENATE(BU$7,$AT31),'Modelo Optimización'!$CQ$4:$CQ$149,0),MATCH($AS31,'Modelo Optimización'!$AZ$3:$CO$3,0)))</f>
        <v/>
      </c>
      <c r="BV31" s="32" t="str">
        <f>+IF(AH31="","",INDEX('Modelo Optimización'!$AZ$4:$CO$149,MATCH(CONCATENATE(BV$7,$AT31),'Modelo Optimización'!$CQ$4:$CQ$149,0),MATCH($AS31,'Modelo Optimización'!$AZ$3:$CO$3,0)))</f>
        <v/>
      </c>
      <c r="BW31" s="32" t="str">
        <f>+IF(AI31="","",INDEX('Modelo Optimización'!$AZ$4:$CO$149,MATCH(CONCATENATE(BW$7,$AT31),'Modelo Optimización'!$CQ$4:$CQ$149,0),MATCH($AS31,'Modelo Optimización'!$AZ$3:$CO$3,0)))</f>
        <v/>
      </c>
      <c r="BX31" s="32" t="str">
        <f>+IF(AJ31="","",INDEX('Modelo Optimización'!$AZ$4:$CO$149,MATCH(CONCATENATE(BX$7,$AT31),'Modelo Optimización'!$CQ$4:$CQ$149,0),MATCH($AS31,'Modelo Optimización'!$AZ$3:$CO$3,0)))</f>
        <v/>
      </c>
      <c r="BY31" s="32" t="str">
        <f>+IF(AK31="","",INDEX('Modelo Optimización'!$AZ$4:$CO$149,MATCH(CONCATENATE(BY$7,$AT31),'Modelo Optimización'!$CQ$4:$CQ$149,0),MATCH($AS31,'Modelo Optimización'!$AZ$3:$CO$3,0)))</f>
        <v/>
      </c>
      <c r="BZ31" s="32" t="str">
        <f>+IF(AL31="","",INDEX('Modelo Optimización'!$AZ$4:$CO$149,MATCH(CONCATENATE(BZ$7,$AT31),'Modelo Optimización'!$CQ$4:$CQ$149,0),MATCH($AS31,'Modelo Optimización'!$AZ$3:$CO$3,0)))</f>
        <v/>
      </c>
      <c r="CA31" s="32" t="str">
        <f>+IF(AM31="","",INDEX('Modelo Optimización'!$AZ$4:$CO$149,MATCH(CONCATENATE(CA$7,$AT31),'Modelo Optimización'!$CQ$4:$CQ$149,0),MATCH($AS31,'Modelo Optimización'!$AZ$3:$CO$3,0)))</f>
        <v/>
      </c>
      <c r="CB31" s="32" t="str">
        <f>+IF(AN31="","",INDEX('Modelo Optimización'!$AZ$4:$CO$149,MATCH(CONCATENATE(CB$7,$AT31),'Modelo Optimización'!$CQ$4:$CQ$149,0),MATCH($AS31,'Modelo Optimización'!$AZ$3:$CO$3,0)))</f>
        <v/>
      </c>
      <c r="CC31" s="32" t="str">
        <f>+IF(AO31="","",INDEX('Modelo Optimización'!$AZ$4:$CO$149,MATCH(CONCATENATE(CC$7,$AT31),'Modelo Optimización'!$CQ$4:$CQ$149,0),MATCH($AS31,'Modelo Optimización'!$AZ$3:$CO$3,0)))</f>
        <v/>
      </c>
      <c r="CD31" s="32" t="str">
        <f>+IF(AP31="","",INDEX('Modelo Optimización'!$AZ$4:$CO$149,MATCH(CONCATENATE(CD$7,$AT31),'Modelo Optimización'!$CQ$4:$CQ$149,0),MATCH($AS31,'Modelo Optimización'!$AZ$3:$CO$3,0)))</f>
        <v/>
      </c>
      <c r="CE31" s="37" t="str">
        <f>+IF(AQ31="","",INDEX('Modelo Optimización'!$AZ$4:$CO$149,MATCH(CONCATENATE(CE$7,$AT31),'Modelo Optimización'!$CQ$4:$CQ$149,0),MATCH($AS31,'Modelo Optimización'!$AZ$3:$CO$3,0)))</f>
        <v/>
      </c>
      <c r="CF31" s="301"/>
      <c r="CG31" s="305" t="str">
        <f t="shared" si="11"/>
        <v/>
      </c>
      <c r="CH31" s="303" t="str">
        <f t="shared" si="7"/>
        <v/>
      </c>
      <c r="CI31" s="292" t="str">
        <f t="shared" si="8"/>
        <v/>
      </c>
      <c r="CJ31" s="36" t="str">
        <f t="shared" si="12"/>
        <v/>
      </c>
      <c r="CK31" s="32" t="str">
        <f t="shared" si="13"/>
        <v/>
      </c>
      <c r="CL31" s="32" t="str">
        <f t="shared" si="14"/>
        <v/>
      </c>
      <c r="CM31" s="32" t="str">
        <f t="shared" si="15"/>
        <v/>
      </c>
      <c r="CN31" s="32" t="str">
        <f t="shared" si="16"/>
        <v/>
      </c>
      <c r="CO31" s="32" t="str">
        <f t="shared" si="17"/>
        <v/>
      </c>
      <c r="CP31" s="32" t="str">
        <f t="shared" si="18"/>
        <v/>
      </c>
      <c r="CQ31" s="32" t="str">
        <f t="shared" si="19"/>
        <v/>
      </c>
      <c r="CR31" s="32" t="str">
        <f t="shared" si="20"/>
        <v/>
      </c>
      <c r="CS31" s="32" t="str">
        <f t="shared" si="21"/>
        <v/>
      </c>
      <c r="CT31" s="32" t="str">
        <f t="shared" si="22"/>
        <v/>
      </c>
      <c r="CU31" s="32" t="str">
        <f t="shared" si="23"/>
        <v/>
      </c>
      <c r="CV31" s="32" t="str">
        <f t="shared" si="24"/>
        <v/>
      </c>
      <c r="CW31" s="32" t="str">
        <f t="shared" si="25"/>
        <v/>
      </c>
      <c r="CX31" s="32" t="str">
        <f t="shared" si="26"/>
        <v/>
      </c>
      <c r="CY31" s="32" t="str">
        <f t="shared" si="27"/>
        <v/>
      </c>
      <c r="CZ31" s="32" t="str">
        <f t="shared" si="28"/>
        <v/>
      </c>
      <c r="DA31" s="32" t="str">
        <f t="shared" si="29"/>
        <v/>
      </c>
      <c r="DB31" s="32" t="str">
        <f t="shared" si="30"/>
        <v/>
      </c>
      <c r="DC31" s="32" t="str">
        <f t="shared" si="31"/>
        <v/>
      </c>
      <c r="DD31" s="32" t="str">
        <f t="shared" si="32"/>
        <v/>
      </c>
      <c r="DE31" s="32" t="str">
        <f t="shared" si="33"/>
        <v/>
      </c>
      <c r="DF31" s="32" t="str">
        <f t="shared" si="34"/>
        <v/>
      </c>
      <c r="DG31" s="32" t="str">
        <f t="shared" si="35"/>
        <v/>
      </c>
      <c r="DH31" s="32" t="str">
        <f t="shared" si="36"/>
        <v/>
      </c>
      <c r="DI31" s="32" t="str">
        <f t="shared" si="37"/>
        <v/>
      </c>
      <c r="DJ31" s="32" t="str">
        <f t="shared" si="38"/>
        <v/>
      </c>
      <c r="DK31" s="32" t="str">
        <f t="shared" si="39"/>
        <v/>
      </c>
      <c r="DL31" s="32" t="str">
        <f t="shared" si="40"/>
        <v/>
      </c>
      <c r="DM31" s="32" t="str">
        <f t="shared" si="41"/>
        <v/>
      </c>
      <c r="DN31" s="32" t="str">
        <f t="shared" si="42"/>
        <v/>
      </c>
      <c r="DO31" s="32" t="str">
        <f t="shared" si="43"/>
        <v/>
      </c>
      <c r="DP31" s="32" t="str">
        <f t="shared" si="44"/>
        <v/>
      </c>
      <c r="DQ31" s="32" t="str">
        <f t="shared" si="45"/>
        <v/>
      </c>
      <c r="DR31" s="32" t="str">
        <f t="shared" si="46"/>
        <v/>
      </c>
      <c r="DS31" s="32" t="str">
        <f t="shared" si="47"/>
        <v/>
      </c>
      <c r="DT31" s="37" t="str">
        <f t="shared" si="48"/>
        <v/>
      </c>
    </row>
    <row r="32" spans="2:124" x14ac:dyDescent="0.35">
      <c r="B32" s="46"/>
      <c r="C32" s="212"/>
      <c r="D32" s="52"/>
      <c r="E32" s="52" t="str">
        <f>+IF(B32="","",IFERROR(SUMIF('Modelo Optimización'!$AS$72:$AS$217,C32,INDEX('Modelo Optimización'!$C$72:$AR$217,,MATCH(B32,'Modelo Optimización'!$C$71:$AR$71,0))),0))</f>
        <v/>
      </c>
      <c r="F32" s="281" t="str">
        <f t="shared" si="10"/>
        <v/>
      </c>
      <c r="G32" s="280" t="str">
        <f>+IF(IF($B32="","",IFERROR(INDEX('Auxiliar Resultados'!$C$9:$BO$50,MATCH($B32,'Auxiliar Resultados'!$B$9:$B$50,0),MATCH(CONCATENATE($C32,G$7),'Auxiliar Resultados'!$C$6:$BO$6,0)),""))=0,"",IF($B32="","",IFERROR(INDEX('Auxiliar Resultados'!$C$9:$BO$50,MATCH($B32,'Auxiliar Resultados'!$B$9:$B$50,0),MATCH(CONCATENATE($C32,G$7),'Auxiliar Resultados'!$C$6:$BO$6,0)),"")))</f>
        <v/>
      </c>
      <c r="H32" s="52" t="str">
        <f>+IF(IF($B32="","",IFERROR(INDEX('Auxiliar Resultados'!$C$9:$BO$50,MATCH($B32,'Auxiliar Resultados'!$B$9:$B$50,0),MATCH(CONCATENATE($C32,H$7),'Auxiliar Resultados'!$C$6:$BO$6,0)),""))=0,"",IF($B32="","",IFERROR(INDEX('Auxiliar Resultados'!$C$9:$BO$50,MATCH($B32,'Auxiliar Resultados'!$B$9:$B$50,0),MATCH(CONCATENATE($C32,H$7),'Auxiliar Resultados'!$C$6:$BO$6,0)),"")))</f>
        <v/>
      </c>
      <c r="I32" s="52" t="str">
        <f>+IF(IF($B32="","",IFERROR(INDEX('Auxiliar Resultados'!$C$9:$BO$50,MATCH($B32,'Auxiliar Resultados'!$B$9:$B$50,0),MATCH(CONCATENATE($C32,I$7),'Auxiliar Resultados'!$C$6:$BO$6,0)),""))=0,"",IF($B32="","",IFERROR(INDEX('Auxiliar Resultados'!$C$9:$BO$50,MATCH($B32,'Auxiliar Resultados'!$B$9:$B$50,0),MATCH(CONCATENATE($C32,I$7),'Auxiliar Resultados'!$C$6:$BO$6,0)),"")))</f>
        <v/>
      </c>
      <c r="J32" s="52" t="str">
        <f>+IF(IF($B32="","",IFERROR(INDEX('Auxiliar Resultados'!$C$9:$BO$50,MATCH($B32,'Auxiliar Resultados'!$B$9:$B$50,0),MATCH(CONCATENATE($C32,J$7),'Auxiliar Resultados'!$C$6:$BO$6,0)),""))=0,"",IF($B32="","",IFERROR(INDEX('Auxiliar Resultados'!$C$9:$BO$50,MATCH($B32,'Auxiliar Resultados'!$B$9:$B$50,0),MATCH(CONCATENATE($C32,J$7),'Auxiliar Resultados'!$C$6:$BO$6,0)),"")))</f>
        <v/>
      </c>
      <c r="K32" s="52" t="str">
        <f>+IF(IF($B32="","",IFERROR(INDEX('Auxiliar Resultados'!$C$9:$BO$50,MATCH($B32,'Auxiliar Resultados'!$B$9:$B$50,0),MATCH(CONCATENATE($C32,K$7),'Auxiliar Resultados'!$C$6:$BO$6,0)),""))=0,"",IF($B32="","",IFERROR(INDEX('Auxiliar Resultados'!$C$9:$BO$50,MATCH($B32,'Auxiliar Resultados'!$B$9:$B$50,0),MATCH(CONCATENATE($C32,K$7),'Auxiliar Resultados'!$C$6:$BO$6,0)),"")))</f>
        <v/>
      </c>
      <c r="L32" s="52" t="str">
        <f>+IF(IF($B32="","",IFERROR(INDEX('Auxiliar Resultados'!$C$9:$BO$50,MATCH($B32,'Auxiliar Resultados'!$B$9:$B$50,0),MATCH(CONCATENATE($C32,L$7),'Auxiliar Resultados'!$C$6:$BO$6,0)),""))=0,"",IF($B32="","",IFERROR(INDEX('Auxiliar Resultados'!$C$9:$BO$50,MATCH($B32,'Auxiliar Resultados'!$B$9:$B$50,0),MATCH(CONCATENATE($C32,L$7),'Auxiliar Resultados'!$C$6:$BO$6,0)),"")))</f>
        <v/>
      </c>
      <c r="M32" s="52" t="str">
        <f>+IF(IF($B32="","",IFERROR(INDEX('Auxiliar Resultados'!$C$9:$BO$50,MATCH($B32,'Auxiliar Resultados'!$B$9:$B$50,0),MATCH(CONCATENATE($C32,M$7),'Auxiliar Resultados'!$C$6:$BO$6,0)),""))=0,"",IF($B32="","",IFERROR(INDEX('Auxiliar Resultados'!$C$9:$BO$50,MATCH($B32,'Auxiliar Resultados'!$B$9:$B$50,0),MATCH(CONCATENATE($C32,M$7),'Auxiliar Resultados'!$C$6:$BO$6,0)),"")))</f>
        <v/>
      </c>
      <c r="N32" s="52" t="str">
        <f>+IF(IF($B32="","",IFERROR(INDEX('Auxiliar Resultados'!$C$9:$BO$50,MATCH($B32,'Auxiliar Resultados'!$B$9:$B$50,0),MATCH(CONCATENATE($C32,N$7),'Auxiliar Resultados'!$C$6:$BO$6,0)),""))=0,"",IF($B32="","",IFERROR(INDEX('Auxiliar Resultados'!$C$9:$BO$50,MATCH($B32,'Auxiliar Resultados'!$B$9:$B$50,0),MATCH(CONCATENATE($C32,N$7),'Auxiliar Resultados'!$C$6:$BO$6,0)),"")))</f>
        <v/>
      </c>
      <c r="O32" s="52" t="str">
        <f>+IF(IF($B32="","",IFERROR(INDEX('Auxiliar Resultados'!$C$9:$BO$50,MATCH($B32,'Auxiliar Resultados'!$B$9:$B$50,0),MATCH(CONCATENATE($C32,O$7),'Auxiliar Resultados'!$C$6:$BO$6,0)),""))=0,"",IF($B32="","",IFERROR(INDEX('Auxiliar Resultados'!$C$9:$BO$50,MATCH($B32,'Auxiliar Resultados'!$B$9:$B$50,0),MATCH(CONCATENATE($C32,O$7),'Auxiliar Resultados'!$C$6:$BO$6,0)),"")))</f>
        <v/>
      </c>
      <c r="P32" s="52" t="str">
        <f>+IF(IF($B32="","",IFERROR(INDEX('Auxiliar Resultados'!$C$9:$BO$50,MATCH($B32,'Auxiliar Resultados'!$B$9:$B$50,0),MATCH(CONCATENATE($C32,P$7),'Auxiliar Resultados'!$C$6:$BO$6,0)),""))=0,"",IF($B32="","",IFERROR(INDEX('Auxiliar Resultados'!$C$9:$BO$50,MATCH($B32,'Auxiliar Resultados'!$B$9:$B$50,0),MATCH(CONCATENATE($C32,P$7),'Auxiliar Resultados'!$C$6:$BO$6,0)),"")))</f>
        <v/>
      </c>
      <c r="Q32" s="52" t="str">
        <f>+IF(IF($B32="","",IFERROR(INDEX('Auxiliar Resultados'!$C$9:$BO$50,MATCH($B32,'Auxiliar Resultados'!$B$9:$B$50,0),MATCH(CONCATENATE($C32,Q$7),'Auxiliar Resultados'!$C$6:$BO$6,0)),""))=0,"",IF($B32="","",IFERROR(INDEX('Auxiliar Resultados'!$C$9:$BO$50,MATCH($B32,'Auxiliar Resultados'!$B$9:$B$50,0),MATCH(CONCATENATE($C32,Q$7),'Auxiliar Resultados'!$C$6:$BO$6,0)),"")))</f>
        <v/>
      </c>
      <c r="R32" s="52" t="str">
        <f>+IF(IF($B32="","",IFERROR(INDEX('Auxiliar Resultados'!$C$9:$BO$50,MATCH($B32,'Auxiliar Resultados'!$B$9:$B$50,0),MATCH(CONCATENATE($C32,R$7),'Auxiliar Resultados'!$C$6:$BO$6,0)),""))=0,"",IF($B32="","",IFERROR(INDEX('Auxiliar Resultados'!$C$9:$BO$50,MATCH($B32,'Auxiliar Resultados'!$B$9:$B$50,0),MATCH(CONCATENATE($C32,R$7),'Auxiliar Resultados'!$C$6:$BO$6,0)),"")))</f>
        <v/>
      </c>
      <c r="S32" s="52" t="str">
        <f>+IF(IF($B32="","",IFERROR(INDEX('Auxiliar Resultados'!$C$9:$BO$50,MATCH($B32,'Auxiliar Resultados'!$B$9:$B$50,0),MATCH(CONCATENATE($C32,S$7),'Auxiliar Resultados'!$C$6:$BO$6,0)),""))=0,"",IF($B32="","",IFERROR(INDEX('Auxiliar Resultados'!$C$9:$BO$50,MATCH($B32,'Auxiliar Resultados'!$B$9:$B$50,0),MATCH(CONCATENATE($C32,S$7),'Auxiliar Resultados'!$C$6:$BO$6,0)),"")))</f>
        <v/>
      </c>
      <c r="T32" s="52" t="str">
        <f>+IF(IF($B32="","",IFERROR(INDEX('Auxiliar Resultados'!$C$9:$BO$50,MATCH($B32,'Auxiliar Resultados'!$B$9:$B$50,0),MATCH(CONCATENATE($C32,T$7),'Auxiliar Resultados'!$C$6:$BO$6,0)),""))=0,"",IF($B32="","",IFERROR(INDEX('Auxiliar Resultados'!$C$9:$BO$50,MATCH($B32,'Auxiliar Resultados'!$B$9:$B$50,0),MATCH(CONCATENATE($C32,T$7),'Auxiliar Resultados'!$C$6:$BO$6,0)),"")))</f>
        <v/>
      </c>
      <c r="U32" s="52" t="str">
        <f>+IF(IF($B32="","",IFERROR(INDEX('Auxiliar Resultados'!$C$9:$BO$50,MATCH($B32,'Auxiliar Resultados'!$B$9:$B$50,0),MATCH(CONCATENATE($C32,U$7),'Auxiliar Resultados'!$C$6:$BO$6,0)),""))=0,"",IF($B32="","",IFERROR(INDEX('Auxiliar Resultados'!$C$9:$BO$50,MATCH($B32,'Auxiliar Resultados'!$B$9:$B$50,0),MATCH(CONCATENATE($C32,U$7),'Auxiliar Resultados'!$C$6:$BO$6,0)),"")))</f>
        <v/>
      </c>
      <c r="V32" s="52" t="str">
        <f>+IF(IF($B32="","",IFERROR(INDEX('Auxiliar Resultados'!$C$9:$BO$50,MATCH($B32,'Auxiliar Resultados'!$B$9:$B$50,0),MATCH(CONCATENATE($C32,V$7),'Auxiliar Resultados'!$C$6:$BO$6,0)),""))=0,"",IF($B32="","",IFERROR(INDEX('Auxiliar Resultados'!$C$9:$BO$50,MATCH($B32,'Auxiliar Resultados'!$B$9:$B$50,0),MATCH(CONCATENATE($C32,V$7),'Auxiliar Resultados'!$C$6:$BO$6,0)),"")))</f>
        <v/>
      </c>
      <c r="W32" s="52" t="str">
        <f>+IF(IF($B32="","",IFERROR(INDEX('Auxiliar Resultados'!$C$9:$BO$50,MATCH($B32,'Auxiliar Resultados'!$B$9:$B$50,0),MATCH(CONCATENATE($C32,W$7),'Auxiliar Resultados'!$C$6:$BO$6,0)),""))=0,"",IF($B32="","",IFERROR(INDEX('Auxiliar Resultados'!$C$9:$BO$50,MATCH($B32,'Auxiliar Resultados'!$B$9:$B$50,0),MATCH(CONCATENATE($C32,W$7),'Auxiliar Resultados'!$C$6:$BO$6,0)),"")))</f>
        <v/>
      </c>
      <c r="X32" s="52" t="str">
        <f>+IF(IF($B32="","",IFERROR(INDEX('Auxiliar Resultados'!$C$9:$BO$50,MATCH($B32,'Auxiliar Resultados'!$B$9:$B$50,0),MATCH(CONCATENATE($C32,X$7),'Auxiliar Resultados'!$C$6:$BO$6,0)),""))=0,"",IF($B32="","",IFERROR(INDEX('Auxiliar Resultados'!$C$9:$BO$50,MATCH($B32,'Auxiliar Resultados'!$B$9:$B$50,0),MATCH(CONCATENATE($C32,X$7),'Auxiliar Resultados'!$C$6:$BO$6,0)),"")))</f>
        <v/>
      </c>
      <c r="Y32" s="52" t="str">
        <f>+IF(IF($B32="","",IFERROR(INDEX('Auxiliar Resultados'!$C$9:$BO$50,MATCH($B32,'Auxiliar Resultados'!$B$9:$B$50,0),MATCH(CONCATENATE($C32,Y$7),'Auxiliar Resultados'!$C$6:$BO$6,0)),""))=0,"",IF($B32="","",IFERROR(INDEX('Auxiliar Resultados'!$C$9:$BO$50,MATCH($B32,'Auxiliar Resultados'!$B$9:$B$50,0),MATCH(CONCATENATE($C32,Y$7),'Auxiliar Resultados'!$C$6:$BO$6,0)),"")))</f>
        <v/>
      </c>
      <c r="Z32" s="52" t="str">
        <f>+IF(IF($B32="","",IFERROR(INDEX('Auxiliar Resultados'!$C$9:$BO$50,MATCH($B32,'Auxiliar Resultados'!$B$9:$B$50,0),MATCH(CONCATENATE($C32,Z$7),'Auxiliar Resultados'!$C$6:$BO$6,0)),""))=0,"",IF($B32="","",IFERROR(INDEX('Auxiliar Resultados'!$C$9:$BO$50,MATCH($B32,'Auxiliar Resultados'!$B$9:$B$50,0),MATCH(CONCATENATE($C32,Z$7),'Auxiliar Resultados'!$C$6:$BO$6,0)),"")))</f>
        <v/>
      </c>
      <c r="AA32" s="52" t="str">
        <f>+IF(IF($B32="","",IFERROR(INDEX('Auxiliar Resultados'!$C$9:$BO$50,MATCH($B32,'Auxiliar Resultados'!$B$9:$B$50,0),MATCH(CONCATENATE($C32,AA$7),'Auxiliar Resultados'!$C$6:$BO$6,0)),""))=0,"",IF($B32="","",IFERROR(INDEX('Auxiliar Resultados'!$C$9:$BO$50,MATCH($B32,'Auxiliar Resultados'!$B$9:$B$50,0),MATCH(CONCATENATE($C32,AA$7),'Auxiliar Resultados'!$C$6:$BO$6,0)),"")))</f>
        <v/>
      </c>
      <c r="AB32" s="52" t="str">
        <f>+IF(IF($B32="","",IFERROR(INDEX('Auxiliar Resultados'!$C$9:$BO$50,MATCH($B32,'Auxiliar Resultados'!$B$9:$B$50,0),MATCH(CONCATENATE($C32,AB$7),'Auxiliar Resultados'!$C$6:$BO$6,0)),""))=0,"",IF($B32="","",IFERROR(INDEX('Auxiliar Resultados'!$C$9:$BO$50,MATCH($B32,'Auxiliar Resultados'!$B$9:$B$50,0),MATCH(CONCATENATE($C32,AB$7),'Auxiliar Resultados'!$C$6:$BO$6,0)),"")))</f>
        <v/>
      </c>
      <c r="AC32" s="52" t="str">
        <f>+IF(IF($B32="","",IFERROR(INDEX('Auxiliar Resultados'!$C$9:$BO$50,MATCH($B32,'Auxiliar Resultados'!$B$9:$B$50,0),MATCH(CONCATENATE($C32,AC$7),'Auxiliar Resultados'!$C$6:$BO$6,0)),""))=0,"",IF($B32="","",IFERROR(INDEX('Auxiliar Resultados'!$C$9:$BO$50,MATCH($B32,'Auxiliar Resultados'!$B$9:$B$50,0),MATCH(CONCATENATE($C32,AC$7),'Auxiliar Resultados'!$C$6:$BO$6,0)),"")))</f>
        <v/>
      </c>
      <c r="AD32" s="52" t="str">
        <f>+IF(IF($B32="","",IFERROR(INDEX('Auxiliar Resultados'!$C$9:$BO$50,MATCH($B32,'Auxiliar Resultados'!$B$9:$B$50,0),MATCH(CONCATENATE($C32,AD$7),'Auxiliar Resultados'!$C$6:$BO$6,0)),""))=0,"",IF($B32="","",IFERROR(INDEX('Auxiliar Resultados'!$C$9:$BO$50,MATCH($B32,'Auxiliar Resultados'!$B$9:$B$50,0),MATCH(CONCATENATE($C32,AD$7),'Auxiliar Resultados'!$C$6:$BO$6,0)),"")))</f>
        <v/>
      </c>
      <c r="AE32" s="52" t="str">
        <f>+IF(IF($B32="","",IFERROR(INDEX('Auxiliar Resultados'!$C$9:$BO$50,MATCH($B32,'Auxiliar Resultados'!$B$9:$B$50,0),MATCH(CONCATENATE($C32,AE$7),'Auxiliar Resultados'!$C$6:$BO$6,0)),""))=0,"",IF($B32="","",IFERROR(INDEX('Auxiliar Resultados'!$C$9:$BO$50,MATCH($B32,'Auxiliar Resultados'!$B$9:$B$50,0),MATCH(CONCATENATE($C32,AE$7),'Auxiliar Resultados'!$C$6:$BO$6,0)),"")))</f>
        <v/>
      </c>
      <c r="AF32" s="52" t="str">
        <f>+IF(IF($B32="","",IFERROR(INDEX('Auxiliar Resultados'!$C$9:$BO$50,MATCH($B32,'Auxiliar Resultados'!$B$9:$B$50,0),MATCH(CONCATENATE($C32,AF$7),'Auxiliar Resultados'!$C$6:$BO$6,0)),""))=0,"",IF($B32="","",IFERROR(INDEX('Auxiliar Resultados'!$C$9:$BO$50,MATCH($B32,'Auxiliar Resultados'!$B$9:$B$50,0),MATCH(CONCATENATE($C32,AF$7),'Auxiliar Resultados'!$C$6:$BO$6,0)),"")))</f>
        <v/>
      </c>
      <c r="AG32" s="52" t="str">
        <f>+IF(IF($B32="","",IFERROR(INDEX('Auxiliar Resultados'!$C$9:$BO$50,MATCH($B32,'Auxiliar Resultados'!$B$9:$B$50,0),MATCH(CONCATENATE($C32,AG$7),'Auxiliar Resultados'!$C$6:$BO$6,0)),""))=0,"",IF($B32="","",IFERROR(INDEX('Auxiliar Resultados'!$C$9:$BO$50,MATCH($B32,'Auxiliar Resultados'!$B$9:$B$50,0),MATCH(CONCATENATE($C32,AG$7),'Auxiliar Resultados'!$C$6:$BO$6,0)),"")))</f>
        <v/>
      </c>
      <c r="AH32" s="52" t="str">
        <f>+IF(IF($B32="","",IFERROR(INDEX('Auxiliar Resultados'!$C$9:$BO$50,MATCH($B32,'Auxiliar Resultados'!$B$9:$B$50,0),MATCH(CONCATENATE($C32,AH$7),'Auxiliar Resultados'!$C$6:$BO$6,0)),""))=0,"",IF($B32="","",IFERROR(INDEX('Auxiliar Resultados'!$C$9:$BO$50,MATCH($B32,'Auxiliar Resultados'!$B$9:$B$50,0),MATCH(CONCATENATE($C32,AH$7),'Auxiliar Resultados'!$C$6:$BO$6,0)),"")))</f>
        <v/>
      </c>
      <c r="AI32" s="52" t="str">
        <f>+IF(IF($B32="","",IFERROR(INDEX('Auxiliar Resultados'!$C$9:$BO$50,MATCH($B32,'Auxiliar Resultados'!$B$9:$B$50,0),MATCH(CONCATENATE($C32,AI$7),'Auxiliar Resultados'!$C$6:$BO$6,0)),""))=0,"",IF($B32="","",IFERROR(INDEX('Auxiliar Resultados'!$C$9:$BO$50,MATCH($B32,'Auxiliar Resultados'!$B$9:$B$50,0),MATCH(CONCATENATE($C32,AI$7),'Auxiliar Resultados'!$C$6:$BO$6,0)),"")))</f>
        <v/>
      </c>
      <c r="AJ32" s="52" t="str">
        <f>+IF(IF($B32="","",IFERROR(INDEX('Auxiliar Resultados'!$C$9:$BO$50,MATCH($B32,'Auxiliar Resultados'!$B$9:$B$50,0),MATCH(CONCATENATE($C32,AJ$7),'Auxiliar Resultados'!$C$6:$BO$6,0)),""))=0,"",IF($B32="","",IFERROR(INDEX('Auxiliar Resultados'!$C$9:$BO$50,MATCH($B32,'Auxiliar Resultados'!$B$9:$B$50,0),MATCH(CONCATENATE($C32,AJ$7),'Auxiliar Resultados'!$C$6:$BO$6,0)),"")))</f>
        <v/>
      </c>
      <c r="AK32" s="52" t="str">
        <f>+IF(IF($B32="","",IFERROR(INDEX('Auxiliar Resultados'!$C$9:$BO$50,MATCH($B32,'Auxiliar Resultados'!$B$9:$B$50,0),MATCH(CONCATENATE($C32,AK$7),'Auxiliar Resultados'!$C$6:$BO$6,0)),""))=0,"",IF($B32="","",IFERROR(INDEX('Auxiliar Resultados'!$C$9:$BO$50,MATCH($B32,'Auxiliar Resultados'!$B$9:$B$50,0),MATCH(CONCATENATE($C32,AK$7),'Auxiliar Resultados'!$C$6:$BO$6,0)),"")))</f>
        <v/>
      </c>
      <c r="AL32" s="52" t="str">
        <f>+IF(IF($B32="","",IFERROR(INDEX('Auxiliar Resultados'!$C$9:$BO$50,MATCH($B32,'Auxiliar Resultados'!$B$9:$B$50,0),MATCH(CONCATENATE($C32,AL$7),'Auxiliar Resultados'!$C$6:$BO$6,0)),""))=0,"",IF($B32="","",IFERROR(INDEX('Auxiliar Resultados'!$C$9:$BO$50,MATCH($B32,'Auxiliar Resultados'!$B$9:$B$50,0),MATCH(CONCATENATE($C32,AL$7),'Auxiliar Resultados'!$C$6:$BO$6,0)),"")))</f>
        <v/>
      </c>
      <c r="AM32" s="52" t="str">
        <f>+IF(IF($B32="","",IFERROR(INDEX('Auxiliar Resultados'!$C$9:$BO$50,MATCH($B32,'Auxiliar Resultados'!$B$9:$B$50,0),MATCH(CONCATENATE($C32,AM$7),'Auxiliar Resultados'!$C$6:$BO$6,0)),""))=0,"",IF($B32="","",IFERROR(INDEX('Auxiliar Resultados'!$C$9:$BO$50,MATCH($B32,'Auxiliar Resultados'!$B$9:$B$50,0),MATCH(CONCATENATE($C32,AM$7),'Auxiliar Resultados'!$C$6:$BO$6,0)),"")))</f>
        <v/>
      </c>
      <c r="AN32" s="52" t="str">
        <f>+IF(IF($B32="","",IFERROR(INDEX('Auxiliar Resultados'!$C$9:$BO$50,MATCH($B32,'Auxiliar Resultados'!$B$9:$B$50,0),MATCH(CONCATENATE($C32,AN$7),'Auxiliar Resultados'!$C$6:$BO$6,0)),""))=0,"",IF($B32="","",IFERROR(INDEX('Auxiliar Resultados'!$C$9:$BO$50,MATCH($B32,'Auxiliar Resultados'!$B$9:$B$50,0),MATCH(CONCATENATE($C32,AN$7),'Auxiliar Resultados'!$C$6:$BO$6,0)),"")))</f>
        <v/>
      </c>
      <c r="AO32" s="52" t="str">
        <f>+IF(IF($B32="","",IFERROR(INDEX('Auxiliar Resultados'!$C$9:$BO$50,MATCH($B32,'Auxiliar Resultados'!$B$9:$B$50,0),MATCH(CONCATENATE($C32,AO$7),'Auxiliar Resultados'!$C$6:$BO$6,0)),""))=0,"",IF($B32="","",IFERROR(INDEX('Auxiliar Resultados'!$C$9:$BO$50,MATCH($B32,'Auxiliar Resultados'!$B$9:$B$50,0),MATCH(CONCATENATE($C32,AO$7),'Auxiliar Resultados'!$C$6:$BO$6,0)),"")))</f>
        <v/>
      </c>
      <c r="AP32" s="52" t="str">
        <f>+IF(IF($B32="","",IFERROR(INDEX('Auxiliar Resultados'!$C$9:$BO$50,MATCH($B32,'Auxiliar Resultados'!$B$9:$B$50,0),MATCH(CONCATENATE($C32,AP$7),'Auxiliar Resultados'!$C$6:$BO$6,0)),""))=0,"",IF($B32="","",IFERROR(INDEX('Auxiliar Resultados'!$C$9:$BO$50,MATCH($B32,'Auxiliar Resultados'!$B$9:$B$50,0),MATCH(CONCATENATE($C32,AP$7),'Auxiliar Resultados'!$C$6:$BO$6,0)),"")))</f>
        <v/>
      </c>
      <c r="AQ32" s="276" t="str">
        <f>+IF(IF($B32="","",IFERROR(INDEX('Auxiliar Resultados'!$C$9:$BO$50,MATCH($B32,'Auxiliar Resultados'!$B$9:$B$50,0),MATCH(CONCATENATE($C32,AQ$7),'Auxiliar Resultados'!$C$6:$BO$6,0)),""))=0,"",IF($B32="","",IFERROR(INDEX('Auxiliar Resultados'!$C$9:$BO$50,MATCH($B32,'Auxiliar Resultados'!$B$9:$B$50,0),MATCH(CONCATENATE($C32,AQ$7),'Auxiliar Resultados'!$C$6:$BO$6,0)),"")))</f>
        <v/>
      </c>
      <c r="AS32" s="46" t="str">
        <f t="shared" si="5"/>
        <v/>
      </c>
      <c r="AT32" s="292" t="str">
        <f t="shared" si="6"/>
        <v/>
      </c>
      <c r="AU32" s="36" t="str">
        <f>+IF(G32="","",INDEX('Modelo Optimización'!$AZ$4:$CO$149,MATCH(CONCATENATE(AU$7,$AT32),'Modelo Optimización'!$CQ$4:$CQ$149,0),MATCH($AS32,'Modelo Optimización'!$AZ$3:$CO$3,0)))</f>
        <v/>
      </c>
      <c r="AV32" s="32" t="str">
        <f>+IF(H32="","",INDEX('Modelo Optimización'!$AZ$4:$CO$149,MATCH(CONCATENATE(AV$7,$AT32),'Modelo Optimización'!$CQ$4:$CQ$149,0),MATCH($AS32,'Modelo Optimización'!$AZ$3:$CO$3,0)))</f>
        <v/>
      </c>
      <c r="AW32" s="32" t="str">
        <f>+IF(I32="","",INDEX('Modelo Optimización'!$AZ$4:$CO$149,MATCH(CONCATENATE(AW$7,$AT32),'Modelo Optimización'!$CQ$4:$CQ$149,0),MATCH($AS32,'Modelo Optimización'!$AZ$3:$CO$3,0)))</f>
        <v/>
      </c>
      <c r="AX32" s="32" t="str">
        <f>+IF(J32="","",INDEX('Modelo Optimización'!$AZ$4:$CO$149,MATCH(CONCATENATE(AX$7,$AT32),'Modelo Optimización'!$CQ$4:$CQ$149,0),MATCH($AS32,'Modelo Optimización'!$AZ$3:$CO$3,0)))</f>
        <v/>
      </c>
      <c r="AY32" s="32" t="str">
        <f>+IF(K32="","",INDEX('Modelo Optimización'!$AZ$4:$CO$149,MATCH(CONCATENATE(AY$7,$AT32),'Modelo Optimización'!$CQ$4:$CQ$149,0),MATCH($AS32,'Modelo Optimización'!$AZ$3:$CO$3,0)))</f>
        <v/>
      </c>
      <c r="AZ32" s="32" t="str">
        <f>+IF(L32="","",INDEX('Modelo Optimización'!$AZ$4:$CO$149,MATCH(CONCATENATE(AZ$7,$AT32),'Modelo Optimización'!$CQ$4:$CQ$149,0),MATCH($AS32,'Modelo Optimización'!$AZ$3:$CO$3,0)))</f>
        <v/>
      </c>
      <c r="BA32" s="32" t="str">
        <f>+IF(M32="","",INDEX('Modelo Optimización'!$AZ$4:$CO$149,MATCH(CONCATENATE(BA$7,$AT32),'Modelo Optimización'!$CQ$4:$CQ$149,0),MATCH($AS32,'Modelo Optimización'!$AZ$3:$CO$3,0)))</f>
        <v/>
      </c>
      <c r="BB32" s="32" t="str">
        <f>+IF(N32="","",INDEX('Modelo Optimización'!$AZ$4:$CO$149,MATCH(CONCATENATE(BB$7,$AT32),'Modelo Optimización'!$CQ$4:$CQ$149,0),MATCH($AS32,'Modelo Optimización'!$AZ$3:$CO$3,0)))</f>
        <v/>
      </c>
      <c r="BC32" s="32" t="str">
        <f>+IF(O32="","",INDEX('Modelo Optimización'!$AZ$4:$CO$149,MATCH(CONCATENATE(BC$7,$AT32),'Modelo Optimización'!$CQ$4:$CQ$149,0),MATCH($AS32,'Modelo Optimización'!$AZ$3:$CO$3,0)))</f>
        <v/>
      </c>
      <c r="BD32" s="32" t="str">
        <f>+IF(P32="","",INDEX('Modelo Optimización'!$AZ$4:$CO$149,MATCH(CONCATENATE(BD$7,$AT32),'Modelo Optimización'!$CQ$4:$CQ$149,0),MATCH($AS32,'Modelo Optimización'!$AZ$3:$CO$3,0)))</f>
        <v/>
      </c>
      <c r="BE32" s="32" t="str">
        <f>+IF(Q32="","",INDEX('Modelo Optimización'!$AZ$4:$CO$149,MATCH(CONCATENATE(BE$7,$AT32),'Modelo Optimización'!$CQ$4:$CQ$149,0),MATCH($AS32,'Modelo Optimización'!$AZ$3:$CO$3,0)))</f>
        <v/>
      </c>
      <c r="BF32" s="32" t="str">
        <f>+IF(R32="","",INDEX('Modelo Optimización'!$AZ$4:$CO$149,MATCH(CONCATENATE(BF$7,$AT32),'Modelo Optimización'!$CQ$4:$CQ$149,0),MATCH($AS32,'Modelo Optimización'!$AZ$3:$CO$3,0)))</f>
        <v/>
      </c>
      <c r="BG32" s="32" t="str">
        <f>+IF(S32="","",INDEX('Modelo Optimización'!$AZ$4:$CO$149,MATCH(CONCATENATE(BG$7,$AT32),'Modelo Optimización'!$CQ$4:$CQ$149,0),MATCH($AS32,'Modelo Optimización'!$AZ$3:$CO$3,0)))</f>
        <v/>
      </c>
      <c r="BH32" s="32" t="str">
        <f>+IF(T32="","",INDEX('Modelo Optimización'!$AZ$4:$CO$149,MATCH(CONCATENATE(BH$7,$AT32),'Modelo Optimización'!$CQ$4:$CQ$149,0),MATCH($AS32,'Modelo Optimización'!$AZ$3:$CO$3,0)))</f>
        <v/>
      </c>
      <c r="BI32" s="32" t="str">
        <f>+IF(U32="","",INDEX('Modelo Optimización'!$AZ$4:$CO$149,MATCH(CONCATENATE(BI$7,$AT32),'Modelo Optimización'!$CQ$4:$CQ$149,0),MATCH($AS32,'Modelo Optimización'!$AZ$3:$CO$3,0)))</f>
        <v/>
      </c>
      <c r="BJ32" s="32" t="str">
        <f>+IF(V32="","",INDEX('Modelo Optimización'!$AZ$4:$CO$149,MATCH(CONCATENATE(BJ$7,$AT32),'Modelo Optimización'!$CQ$4:$CQ$149,0),MATCH($AS32,'Modelo Optimización'!$AZ$3:$CO$3,0)))</f>
        <v/>
      </c>
      <c r="BK32" s="32" t="str">
        <f>+IF(W32="","",INDEX('Modelo Optimización'!$AZ$4:$CO$149,MATCH(CONCATENATE(BK$7,$AT32),'Modelo Optimización'!$CQ$4:$CQ$149,0),MATCH($AS32,'Modelo Optimización'!$AZ$3:$CO$3,0)))</f>
        <v/>
      </c>
      <c r="BL32" s="32" t="str">
        <f>+IF(X32="","",INDEX('Modelo Optimización'!$AZ$4:$CO$149,MATCH(CONCATENATE(BL$7,$AT32),'Modelo Optimización'!$CQ$4:$CQ$149,0),MATCH($AS32,'Modelo Optimización'!$AZ$3:$CO$3,0)))</f>
        <v/>
      </c>
      <c r="BM32" s="32" t="str">
        <f>+IF(Y32="","",INDEX('Modelo Optimización'!$AZ$4:$CO$149,MATCH(CONCATENATE(BM$7,$AT32),'Modelo Optimización'!$CQ$4:$CQ$149,0),MATCH($AS32,'Modelo Optimización'!$AZ$3:$CO$3,0)))</f>
        <v/>
      </c>
      <c r="BN32" s="32" t="str">
        <f>+IF(Z32="","",INDEX('Modelo Optimización'!$AZ$4:$CO$149,MATCH(CONCATENATE(BN$7,$AT32),'Modelo Optimización'!$CQ$4:$CQ$149,0),MATCH($AS32,'Modelo Optimización'!$AZ$3:$CO$3,0)))</f>
        <v/>
      </c>
      <c r="BO32" s="32" t="str">
        <f>+IF(AA32="","",INDEX('Modelo Optimización'!$AZ$4:$CO$149,MATCH(CONCATENATE(BO$7,$AT32),'Modelo Optimización'!$CQ$4:$CQ$149,0),MATCH($AS32,'Modelo Optimización'!$AZ$3:$CO$3,0)))</f>
        <v/>
      </c>
      <c r="BP32" s="32" t="str">
        <f>+IF(AB32="","",INDEX('Modelo Optimización'!$AZ$4:$CO$149,MATCH(CONCATENATE(BP$7,$AT32),'Modelo Optimización'!$CQ$4:$CQ$149,0),MATCH($AS32,'Modelo Optimización'!$AZ$3:$CO$3,0)))</f>
        <v/>
      </c>
      <c r="BQ32" s="32" t="str">
        <f>+IF(AC32="","",INDEX('Modelo Optimización'!$AZ$4:$CO$149,MATCH(CONCATENATE(BQ$7,$AT32),'Modelo Optimización'!$CQ$4:$CQ$149,0),MATCH($AS32,'Modelo Optimización'!$AZ$3:$CO$3,0)))</f>
        <v/>
      </c>
      <c r="BR32" s="32" t="str">
        <f>+IF(AD32="","",INDEX('Modelo Optimización'!$AZ$4:$CO$149,MATCH(CONCATENATE(BR$7,$AT32),'Modelo Optimización'!$CQ$4:$CQ$149,0),MATCH($AS32,'Modelo Optimización'!$AZ$3:$CO$3,0)))</f>
        <v/>
      </c>
      <c r="BS32" s="32" t="str">
        <f>+IF(AE32="","",INDEX('Modelo Optimización'!$AZ$4:$CO$149,MATCH(CONCATENATE(BS$7,$AT32),'Modelo Optimización'!$CQ$4:$CQ$149,0),MATCH($AS32,'Modelo Optimización'!$AZ$3:$CO$3,0)))</f>
        <v/>
      </c>
      <c r="BT32" s="32" t="str">
        <f>+IF(AF32="","",INDEX('Modelo Optimización'!$AZ$4:$CO$149,MATCH(CONCATENATE(BT$7,$AT32),'Modelo Optimización'!$CQ$4:$CQ$149,0),MATCH($AS32,'Modelo Optimización'!$AZ$3:$CO$3,0)))</f>
        <v/>
      </c>
      <c r="BU32" s="32" t="str">
        <f>+IF(AG32="","",INDEX('Modelo Optimización'!$AZ$4:$CO$149,MATCH(CONCATENATE(BU$7,$AT32),'Modelo Optimización'!$CQ$4:$CQ$149,0),MATCH($AS32,'Modelo Optimización'!$AZ$3:$CO$3,0)))</f>
        <v/>
      </c>
      <c r="BV32" s="32" t="str">
        <f>+IF(AH32="","",INDEX('Modelo Optimización'!$AZ$4:$CO$149,MATCH(CONCATENATE(BV$7,$AT32),'Modelo Optimización'!$CQ$4:$CQ$149,0),MATCH($AS32,'Modelo Optimización'!$AZ$3:$CO$3,0)))</f>
        <v/>
      </c>
      <c r="BW32" s="32" t="str">
        <f>+IF(AI32="","",INDEX('Modelo Optimización'!$AZ$4:$CO$149,MATCH(CONCATENATE(BW$7,$AT32),'Modelo Optimización'!$CQ$4:$CQ$149,0),MATCH($AS32,'Modelo Optimización'!$AZ$3:$CO$3,0)))</f>
        <v/>
      </c>
      <c r="BX32" s="32" t="str">
        <f>+IF(AJ32="","",INDEX('Modelo Optimización'!$AZ$4:$CO$149,MATCH(CONCATENATE(BX$7,$AT32),'Modelo Optimización'!$CQ$4:$CQ$149,0),MATCH($AS32,'Modelo Optimización'!$AZ$3:$CO$3,0)))</f>
        <v/>
      </c>
      <c r="BY32" s="32" t="str">
        <f>+IF(AK32="","",INDEX('Modelo Optimización'!$AZ$4:$CO$149,MATCH(CONCATENATE(BY$7,$AT32),'Modelo Optimización'!$CQ$4:$CQ$149,0),MATCH($AS32,'Modelo Optimización'!$AZ$3:$CO$3,0)))</f>
        <v/>
      </c>
      <c r="BZ32" s="32" t="str">
        <f>+IF(AL32="","",INDEX('Modelo Optimización'!$AZ$4:$CO$149,MATCH(CONCATENATE(BZ$7,$AT32),'Modelo Optimización'!$CQ$4:$CQ$149,0),MATCH($AS32,'Modelo Optimización'!$AZ$3:$CO$3,0)))</f>
        <v/>
      </c>
      <c r="CA32" s="32" t="str">
        <f>+IF(AM32="","",INDEX('Modelo Optimización'!$AZ$4:$CO$149,MATCH(CONCATENATE(CA$7,$AT32),'Modelo Optimización'!$CQ$4:$CQ$149,0),MATCH($AS32,'Modelo Optimización'!$AZ$3:$CO$3,0)))</f>
        <v/>
      </c>
      <c r="CB32" s="32" t="str">
        <f>+IF(AN32="","",INDEX('Modelo Optimización'!$AZ$4:$CO$149,MATCH(CONCATENATE(CB$7,$AT32),'Modelo Optimización'!$CQ$4:$CQ$149,0),MATCH($AS32,'Modelo Optimización'!$AZ$3:$CO$3,0)))</f>
        <v/>
      </c>
      <c r="CC32" s="32" t="str">
        <f>+IF(AO32="","",INDEX('Modelo Optimización'!$AZ$4:$CO$149,MATCH(CONCATENATE(CC$7,$AT32),'Modelo Optimización'!$CQ$4:$CQ$149,0),MATCH($AS32,'Modelo Optimización'!$AZ$3:$CO$3,0)))</f>
        <v/>
      </c>
      <c r="CD32" s="32" t="str">
        <f>+IF(AP32="","",INDEX('Modelo Optimización'!$AZ$4:$CO$149,MATCH(CONCATENATE(CD$7,$AT32),'Modelo Optimización'!$CQ$4:$CQ$149,0),MATCH($AS32,'Modelo Optimización'!$AZ$3:$CO$3,0)))</f>
        <v/>
      </c>
      <c r="CE32" s="37" t="str">
        <f>+IF(AQ32="","",INDEX('Modelo Optimización'!$AZ$4:$CO$149,MATCH(CONCATENATE(CE$7,$AT32),'Modelo Optimización'!$CQ$4:$CQ$149,0),MATCH($AS32,'Modelo Optimización'!$AZ$3:$CO$3,0)))</f>
        <v/>
      </c>
      <c r="CF32" s="301"/>
      <c r="CG32" s="305" t="str">
        <f t="shared" si="11"/>
        <v/>
      </c>
      <c r="CH32" s="303" t="str">
        <f t="shared" si="7"/>
        <v/>
      </c>
      <c r="CI32" s="292" t="str">
        <f t="shared" si="8"/>
        <v/>
      </c>
      <c r="CJ32" s="36" t="str">
        <f t="shared" si="12"/>
        <v/>
      </c>
      <c r="CK32" s="32" t="str">
        <f t="shared" si="13"/>
        <v/>
      </c>
      <c r="CL32" s="32" t="str">
        <f t="shared" si="14"/>
        <v/>
      </c>
      <c r="CM32" s="32" t="str">
        <f t="shared" si="15"/>
        <v/>
      </c>
      <c r="CN32" s="32" t="str">
        <f t="shared" si="16"/>
        <v/>
      </c>
      <c r="CO32" s="32" t="str">
        <f t="shared" si="17"/>
        <v/>
      </c>
      <c r="CP32" s="32" t="str">
        <f t="shared" si="18"/>
        <v/>
      </c>
      <c r="CQ32" s="32" t="str">
        <f t="shared" si="19"/>
        <v/>
      </c>
      <c r="CR32" s="32" t="str">
        <f t="shared" si="20"/>
        <v/>
      </c>
      <c r="CS32" s="32" t="str">
        <f t="shared" si="21"/>
        <v/>
      </c>
      <c r="CT32" s="32" t="str">
        <f t="shared" si="22"/>
        <v/>
      </c>
      <c r="CU32" s="32" t="str">
        <f t="shared" si="23"/>
        <v/>
      </c>
      <c r="CV32" s="32" t="str">
        <f t="shared" si="24"/>
        <v/>
      </c>
      <c r="CW32" s="32" t="str">
        <f t="shared" si="25"/>
        <v/>
      </c>
      <c r="CX32" s="32" t="str">
        <f t="shared" si="26"/>
        <v/>
      </c>
      <c r="CY32" s="32" t="str">
        <f t="shared" si="27"/>
        <v/>
      </c>
      <c r="CZ32" s="32" t="str">
        <f t="shared" si="28"/>
        <v/>
      </c>
      <c r="DA32" s="32" t="str">
        <f t="shared" si="29"/>
        <v/>
      </c>
      <c r="DB32" s="32" t="str">
        <f t="shared" si="30"/>
        <v/>
      </c>
      <c r="DC32" s="32" t="str">
        <f t="shared" si="31"/>
        <v/>
      </c>
      <c r="DD32" s="32" t="str">
        <f t="shared" si="32"/>
        <v/>
      </c>
      <c r="DE32" s="32" t="str">
        <f t="shared" si="33"/>
        <v/>
      </c>
      <c r="DF32" s="32" t="str">
        <f t="shared" si="34"/>
        <v/>
      </c>
      <c r="DG32" s="32" t="str">
        <f t="shared" si="35"/>
        <v/>
      </c>
      <c r="DH32" s="32" t="str">
        <f t="shared" si="36"/>
        <v/>
      </c>
      <c r="DI32" s="32" t="str">
        <f t="shared" si="37"/>
        <v/>
      </c>
      <c r="DJ32" s="32" t="str">
        <f t="shared" si="38"/>
        <v/>
      </c>
      <c r="DK32" s="32" t="str">
        <f t="shared" si="39"/>
        <v/>
      </c>
      <c r="DL32" s="32" t="str">
        <f t="shared" si="40"/>
        <v/>
      </c>
      <c r="DM32" s="32" t="str">
        <f t="shared" si="41"/>
        <v/>
      </c>
      <c r="DN32" s="32" t="str">
        <f t="shared" si="42"/>
        <v/>
      </c>
      <c r="DO32" s="32" t="str">
        <f t="shared" si="43"/>
        <v/>
      </c>
      <c r="DP32" s="32" t="str">
        <f t="shared" si="44"/>
        <v/>
      </c>
      <c r="DQ32" s="32" t="str">
        <f t="shared" si="45"/>
        <v/>
      </c>
      <c r="DR32" s="32" t="str">
        <f t="shared" si="46"/>
        <v/>
      </c>
      <c r="DS32" s="32" t="str">
        <f t="shared" si="47"/>
        <v/>
      </c>
      <c r="DT32" s="37" t="str">
        <f t="shared" si="48"/>
        <v/>
      </c>
    </row>
    <row r="33" spans="2:124" x14ac:dyDescent="0.35">
      <c r="B33" s="46"/>
      <c r="C33" s="212"/>
      <c r="D33" s="52"/>
      <c r="E33" s="52" t="str">
        <f>+IF(B33="","",IFERROR(SUMIF('Modelo Optimización'!$AS$72:$AS$217,C33,INDEX('Modelo Optimización'!$C$72:$AR$217,,MATCH(B33,'Modelo Optimización'!$C$71:$AR$71,0))),0))</f>
        <v/>
      </c>
      <c r="F33" s="281" t="str">
        <f t="shared" si="10"/>
        <v/>
      </c>
      <c r="G33" s="280" t="str">
        <f>+IF(IF($B33="","",IFERROR(INDEX('Auxiliar Resultados'!$C$9:$BO$50,MATCH($B33,'Auxiliar Resultados'!$B$9:$B$50,0),MATCH(CONCATENATE($C33,G$7),'Auxiliar Resultados'!$C$6:$BO$6,0)),""))=0,"",IF($B33="","",IFERROR(INDEX('Auxiliar Resultados'!$C$9:$BO$50,MATCH($B33,'Auxiliar Resultados'!$B$9:$B$50,0),MATCH(CONCATENATE($C33,G$7),'Auxiliar Resultados'!$C$6:$BO$6,0)),"")))</f>
        <v/>
      </c>
      <c r="H33" s="52" t="str">
        <f>+IF(IF($B33="","",IFERROR(INDEX('Auxiliar Resultados'!$C$9:$BO$50,MATCH($B33,'Auxiliar Resultados'!$B$9:$B$50,0),MATCH(CONCATENATE($C33,H$7),'Auxiliar Resultados'!$C$6:$BO$6,0)),""))=0,"",IF($B33="","",IFERROR(INDEX('Auxiliar Resultados'!$C$9:$BO$50,MATCH($B33,'Auxiliar Resultados'!$B$9:$B$50,0),MATCH(CONCATENATE($C33,H$7),'Auxiliar Resultados'!$C$6:$BO$6,0)),"")))</f>
        <v/>
      </c>
      <c r="I33" s="52" t="str">
        <f>+IF(IF($B33="","",IFERROR(INDEX('Auxiliar Resultados'!$C$9:$BO$50,MATCH($B33,'Auxiliar Resultados'!$B$9:$B$50,0),MATCH(CONCATENATE($C33,I$7),'Auxiliar Resultados'!$C$6:$BO$6,0)),""))=0,"",IF($B33="","",IFERROR(INDEX('Auxiliar Resultados'!$C$9:$BO$50,MATCH($B33,'Auxiliar Resultados'!$B$9:$B$50,0),MATCH(CONCATENATE($C33,I$7),'Auxiliar Resultados'!$C$6:$BO$6,0)),"")))</f>
        <v/>
      </c>
      <c r="J33" s="52" t="str">
        <f>+IF(IF($B33="","",IFERROR(INDEX('Auxiliar Resultados'!$C$9:$BO$50,MATCH($B33,'Auxiliar Resultados'!$B$9:$B$50,0),MATCH(CONCATENATE($C33,J$7),'Auxiliar Resultados'!$C$6:$BO$6,0)),""))=0,"",IF($B33="","",IFERROR(INDEX('Auxiliar Resultados'!$C$9:$BO$50,MATCH($B33,'Auxiliar Resultados'!$B$9:$B$50,0),MATCH(CONCATENATE($C33,J$7),'Auxiliar Resultados'!$C$6:$BO$6,0)),"")))</f>
        <v/>
      </c>
      <c r="K33" s="52" t="str">
        <f>+IF(IF($B33="","",IFERROR(INDEX('Auxiliar Resultados'!$C$9:$BO$50,MATCH($B33,'Auxiliar Resultados'!$B$9:$B$50,0),MATCH(CONCATENATE($C33,K$7),'Auxiliar Resultados'!$C$6:$BO$6,0)),""))=0,"",IF($B33="","",IFERROR(INDEX('Auxiliar Resultados'!$C$9:$BO$50,MATCH($B33,'Auxiliar Resultados'!$B$9:$B$50,0),MATCH(CONCATENATE($C33,K$7),'Auxiliar Resultados'!$C$6:$BO$6,0)),"")))</f>
        <v/>
      </c>
      <c r="L33" s="52" t="str">
        <f>+IF(IF($B33="","",IFERROR(INDEX('Auxiliar Resultados'!$C$9:$BO$50,MATCH($B33,'Auxiliar Resultados'!$B$9:$B$50,0),MATCH(CONCATENATE($C33,L$7),'Auxiliar Resultados'!$C$6:$BO$6,0)),""))=0,"",IF($B33="","",IFERROR(INDEX('Auxiliar Resultados'!$C$9:$BO$50,MATCH($B33,'Auxiliar Resultados'!$B$9:$B$50,0),MATCH(CONCATENATE($C33,L$7),'Auxiliar Resultados'!$C$6:$BO$6,0)),"")))</f>
        <v/>
      </c>
      <c r="M33" s="52" t="str">
        <f>+IF(IF($B33="","",IFERROR(INDEX('Auxiliar Resultados'!$C$9:$BO$50,MATCH($B33,'Auxiliar Resultados'!$B$9:$B$50,0),MATCH(CONCATENATE($C33,M$7),'Auxiliar Resultados'!$C$6:$BO$6,0)),""))=0,"",IF($B33="","",IFERROR(INDEX('Auxiliar Resultados'!$C$9:$BO$50,MATCH($B33,'Auxiliar Resultados'!$B$9:$B$50,0),MATCH(CONCATENATE($C33,M$7),'Auxiliar Resultados'!$C$6:$BO$6,0)),"")))</f>
        <v/>
      </c>
      <c r="N33" s="52" t="str">
        <f>+IF(IF($B33="","",IFERROR(INDEX('Auxiliar Resultados'!$C$9:$BO$50,MATCH($B33,'Auxiliar Resultados'!$B$9:$B$50,0),MATCH(CONCATENATE($C33,N$7),'Auxiliar Resultados'!$C$6:$BO$6,0)),""))=0,"",IF($B33="","",IFERROR(INDEX('Auxiliar Resultados'!$C$9:$BO$50,MATCH($B33,'Auxiliar Resultados'!$B$9:$B$50,0),MATCH(CONCATENATE($C33,N$7),'Auxiliar Resultados'!$C$6:$BO$6,0)),"")))</f>
        <v/>
      </c>
      <c r="O33" s="52" t="str">
        <f>+IF(IF($B33="","",IFERROR(INDEX('Auxiliar Resultados'!$C$9:$BO$50,MATCH($B33,'Auxiliar Resultados'!$B$9:$B$50,0),MATCH(CONCATENATE($C33,O$7),'Auxiliar Resultados'!$C$6:$BO$6,0)),""))=0,"",IF($B33="","",IFERROR(INDEX('Auxiliar Resultados'!$C$9:$BO$50,MATCH($B33,'Auxiliar Resultados'!$B$9:$B$50,0),MATCH(CONCATENATE($C33,O$7),'Auxiliar Resultados'!$C$6:$BO$6,0)),"")))</f>
        <v/>
      </c>
      <c r="P33" s="52" t="str">
        <f>+IF(IF($B33="","",IFERROR(INDEX('Auxiliar Resultados'!$C$9:$BO$50,MATCH($B33,'Auxiliar Resultados'!$B$9:$B$50,0),MATCH(CONCATENATE($C33,P$7),'Auxiliar Resultados'!$C$6:$BO$6,0)),""))=0,"",IF($B33="","",IFERROR(INDEX('Auxiliar Resultados'!$C$9:$BO$50,MATCH($B33,'Auxiliar Resultados'!$B$9:$B$50,0),MATCH(CONCATENATE($C33,P$7),'Auxiliar Resultados'!$C$6:$BO$6,0)),"")))</f>
        <v/>
      </c>
      <c r="Q33" s="52" t="str">
        <f>+IF(IF($B33="","",IFERROR(INDEX('Auxiliar Resultados'!$C$9:$BO$50,MATCH($B33,'Auxiliar Resultados'!$B$9:$B$50,0),MATCH(CONCATENATE($C33,Q$7),'Auxiliar Resultados'!$C$6:$BO$6,0)),""))=0,"",IF($B33="","",IFERROR(INDEX('Auxiliar Resultados'!$C$9:$BO$50,MATCH($B33,'Auxiliar Resultados'!$B$9:$B$50,0),MATCH(CONCATENATE($C33,Q$7),'Auxiliar Resultados'!$C$6:$BO$6,0)),"")))</f>
        <v/>
      </c>
      <c r="R33" s="52" t="str">
        <f>+IF(IF($B33="","",IFERROR(INDEX('Auxiliar Resultados'!$C$9:$BO$50,MATCH($B33,'Auxiliar Resultados'!$B$9:$B$50,0),MATCH(CONCATENATE($C33,R$7),'Auxiliar Resultados'!$C$6:$BO$6,0)),""))=0,"",IF($B33="","",IFERROR(INDEX('Auxiliar Resultados'!$C$9:$BO$50,MATCH($B33,'Auxiliar Resultados'!$B$9:$B$50,0),MATCH(CONCATENATE($C33,R$7),'Auxiliar Resultados'!$C$6:$BO$6,0)),"")))</f>
        <v/>
      </c>
      <c r="S33" s="52" t="str">
        <f>+IF(IF($B33="","",IFERROR(INDEX('Auxiliar Resultados'!$C$9:$BO$50,MATCH($B33,'Auxiliar Resultados'!$B$9:$B$50,0),MATCH(CONCATENATE($C33,S$7),'Auxiliar Resultados'!$C$6:$BO$6,0)),""))=0,"",IF($B33="","",IFERROR(INDEX('Auxiliar Resultados'!$C$9:$BO$50,MATCH($B33,'Auxiliar Resultados'!$B$9:$B$50,0),MATCH(CONCATENATE($C33,S$7),'Auxiliar Resultados'!$C$6:$BO$6,0)),"")))</f>
        <v/>
      </c>
      <c r="T33" s="52" t="str">
        <f>+IF(IF($B33="","",IFERROR(INDEX('Auxiliar Resultados'!$C$9:$BO$50,MATCH($B33,'Auxiliar Resultados'!$B$9:$B$50,0),MATCH(CONCATENATE($C33,T$7),'Auxiliar Resultados'!$C$6:$BO$6,0)),""))=0,"",IF($B33="","",IFERROR(INDEX('Auxiliar Resultados'!$C$9:$BO$50,MATCH($B33,'Auxiliar Resultados'!$B$9:$B$50,0),MATCH(CONCATENATE($C33,T$7),'Auxiliar Resultados'!$C$6:$BO$6,0)),"")))</f>
        <v/>
      </c>
      <c r="U33" s="52" t="str">
        <f>+IF(IF($B33="","",IFERROR(INDEX('Auxiliar Resultados'!$C$9:$BO$50,MATCH($B33,'Auxiliar Resultados'!$B$9:$B$50,0),MATCH(CONCATENATE($C33,U$7),'Auxiliar Resultados'!$C$6:$BO$6,0)),""))=0,"",IF($B33="","",IFERROR(INDEX('Auxiliar Resultados'!$C$9:$BO$50,MATCH($B33,'Auxiliar Resultados'!$B$9:$B$50,0),MATCH(CONCATENATE($C33,U$7),'Auxiliar Resultados'!$C$6:$BO$6,0)),"")))</f>
        <v/>
      </c>
      <c r="V33" s="52" t="str">
        <f>+IF(IF($B33="","",IFERROR(INDEX('Auxiliar Resultados'!$C$9:$BO$50,MATCH($B33,'Auxiliar Resultados'!$B$9:$B$50,0),MATCH(CONCATENATE($C33,V$7),'Auxiliar Resultados'!$C$6:$BO$6,0)),""))=0,"",IF($B33="","",IFERROR(INDEX('Auxiliar Resultados'!$C$9:$BO$50,MATCH($B33,'Auxiliar Resultados'!$B$9:$B$50,0),MATCH(CONCATENATE($C33,V$7),'Auxiliar Resultados'!$C$6:$BO$6,0)),"")))</f>
        <v/>
      </c>
      <c r="W33" s="52" t="str">
        <f>+IF(IF($B33="","",IFERROR(INDEX('Auxiliar Resultados'!$C$9:$BO$50,MATCH($B33,'Auxiliar Resultados'!$B$9:$B$50,0),MATCH(CONCATENATE($C33,W$7),'Auxiliar Resultados'!$C$6:$BO$6,0)),""))=0,"",IF($B33="","",IFERROR(INDEX('Auxiliar Resultados'!$C$9:$BO$50,MATCH($B33,'Auxiliar Resultados'!$B$9:$B$50,0),MATCH(CONCATENATE($C33,W$7),'Auxiliar Resultados'!$C$6:$BO$6,0)),"")))</f>
        <v/>
      </c>
      <c r="X33" s="52" t="str">
        <f>+IF(IF($B33="","",IFERROR(INDEX('Auxiliar Resultados'!$C$9:$BO$50,MATCH($B33,'Auxiliar Resultados'!$B$9:$B$50,0),MATCH(CONCATENATE($C33,X$7),'Auxiliar Resultados'!$C$6:$BO$6,0)),""))=0,"",IF($B33="","",IFERROR(INDEX('Auxiliar Resultados'!$C$9:$BO$50,MATCH($B33,'Auxiliar Resultados'!$B$9:$B$50,0),MATCH(CONCATENATE($C33,X$7),'Auxiliar Resultados'!$C$6:$BO$6,0)),"")))</f>
        <v/>
      </c>
      <c r="Y33" s="52" t="str">
        <f>+IF(IF($B33="","",IFERROR(INDEX('Auxiliar Resultados'!$C$9:$BO$50,MATCH($B33,'Auxiliar Resultados'!$B$9:$B$50,0),MATCH(CONCATENATE($C33,Y$7),'Auxiliar Resultados'!$C$6:$BO$6,0)),""))=0,"",IF($B33="","",IFERROR(INDEX('Auxiliar Resultados'!$C$9:$BO$50,MATCH($B33,'Auxiliar Resultados'!$B$9:$B$50,0),MATCH(CONCATENATE($C33,Y$7),'Auxiliar Resultados'!$C$6:$BO$6,0)),"")))</f>
        <v/>
      </c>
      <c r="Z33" s="52" t="str">
        <f>+IF(IF($B33="","",IFERROR(INDEX('Auxiliar Resultados'!$C$9:$BO$50,MATCH($B33,'Auxiliar Resultados'!$B$9:$B$50,0),MATCH(CONCATENATE($C33,Z$7),'Auxiliar Resultados'!$C$6:$BO$6,0)),""))=0,"",IF($B33="","",IFERROR(INDEX('Auxiliar Resultados'!$C$9:$BO$50,MATCH($B33,'Auxiliar Resultados'!$B$9:$B$50,0),MATCH(CONCATENATE($C33,Z$7),'Auxiliar Resultados'!$C$6:$BO$6,0)),"")))</f>
        <v/>
      </c>
      <c r="AA33" s="52" t="str">
        <f>+IF(IF($B33="","",IFERROR(INDEX('Auxiliar Resultados'!$C$9:$BO$50,MATCH($B33,'Auxiliar Resultados'!$B$9:$B$50,0),MATCH(CONCATENATE($C33,AA$7),'Auxiliar Resultados'!$C$6:$BO$6,0)),""))=0,"",IF($B33="","",IFERROR(INDEX('Auxiliar Resultados'!$C$9:$BO$50,MATCH($B33,'Auxiliar Resultados'!$B$9:$B$50,0),MATCH(CONCATENATE($C33,AA$7),'Auxiliar Resultados'!$C$6:$BO$6,0)),"")))</f>
        <v/>
      </c>
      <c r="AB33" s="52" t="str">
        <f>+IF(IF($B33="","",IFERROR(INDEX('Auxiliar Resultados'!$C$9:$BO$50,MATCH($B33,'Auxiliar Resultados'!$B$9:$B$50,0),MATCH(CONCATENATE($C33,AB$7),'Auxiliar Resultados'!$C$6:$BO$6,0)),""))=0,"",IF($B33="","",IFERROR(INDEX('Auxiliar Resultados'!$C$9:$BO$50,MATCH($B33,'Auxiliar Resultados'!$B$9:$B$50,0),MATCH(CONCATENATE($C33,AB$7),'Auxiliar Resultados'!$C$6:$BO$6,0)),"")))</f>
        <v/>
      </c>
      <c r="AC33" s="52" t="str">
        <f>+IF(IF($B33="","",IFERROR(INDEX('Auxiliar Resultados'!$C$9:$BO$50,MATCH($B33,'Auxiliar Resultados'!$B$9:$B$50,0),MATCH(CONCATENATE($C33,AC$7),'Auxiliar Resultados'!$C$6:$BO$6,0)),""))=0,"",IF($B33="","",IFERROR(INDEX('Auxiliar Resultados'!$C$9:$BO$50,MATCH($B33,'Auxiliar Resultados'!$B$9:$B$50,0),MATCH(CONCATENATE($C33,AC$7),'Auxiliar Resultados'!$C$6:$BO$6,0)),"")))</f>
        <v/>
      </c>
      <c r="AD33" s="52" t="str">
        <f>+IF(IF($B33="","",IFERROR(INDEX('Auxiliar Resultados'!$C$9:$BO$50,MATCH($B33,'Auxiliar Resultados'!$B$9:$B$50,0),MATCH(CONCATENATE($C33,AD$7),'Auxiliar Resultados'!$C$6:$BO$6,0)),""))=0,"",IF($B33="","",IFERROR(INDEX('Auxiliar Resultados'!$C$9:$BO$50,MATCH($B33,'Auxiliar Resultados'!$B$9:$B$50,0),MATCH(CONCATENATE($C33,AD$7),'Auxiliar Resultados'!$C$6:$BO$6,0)),"")))</f>
        <v/>
      </c>
      <c r="AE33" s="52" t="str">
        <f>+IF(IF($B33="","",IFERROR(INDEX('Auxiliar Resultados'!$C$9:$BO$50,MATCH($B33,'Auxiliar Resultados'!$B$9:$B$50,0),MATCH(CONCATENATE($C33,AE$7),'Auxiliar Resultados'!$C$6:$BO$6,0)),""))=0,"",IF($B33="","",IFERROR(INDEX('Auxiliar Resultados'!$C$9:$BO$50,MATCH($B33,'Auxiliar Resultados'!$B$9:$B$50,0),MATCH(CONCATENATE($C33,AE$7),'Auxiliar Resultados'!$C$6:$BO$6,0)),"")))</f>
        <v/>
      </c>
      <c r="AF33" s="52" t="str">
        <f>+IF(IF($B33="","",IFERROR(INDEX('Auxiliar Resultados'!$C$9:$BO$50,MATCH($B33,'Auxiliar Resultados'!$B$9:$B$50,0),MATCH(CONCATENATE($C33,AF$7),'Auxiliar Resultados'!$C$6:$BO$6,0)),""))=0,"",IF($B33="","",IFERROR(INDEX('Auxiliar Resultados'!$C$9:$BO$50,MATCH($B33,'Auxiliar Resultados'!$B$9:$B$50,0),MATCH(CONCATENATE($C33,AF$7),'Auxiliar Resultados'!$C$6:$BO$6,0)),"")))</f>
        <v/>
      </c>
      <c r="AG33" s="52" t="str">
        <f>+IF(IF($B33="","",IFERROR(INDEX('Auxiliar Resultados'!$C$9:$BO$50,MATCH($B33,'Auxiliar Resultados'!$B$9:$B$50,0),MATCH(CONCATENATE($C33,AG$7),'Auxiliar Resultados'!$C$6:$BO$6,0)),""))=0,"",IF($B33="","",IFERROR(INDEX('Auxiliar Resultados'!$C$9:$BO$50,MATCH($B33,'Auxiliar Resultados'!$B$9:$B$50,0),MATCH(CONCATENATE($C33,AG$7),'Auxiliar Resultados'!$C$6:$BO$6,0)),"")))</f>
        <v/>
      </c>
      <c r="AH33" s="52" t="str">
        <f>+IF(IF($B33="","",IFERROR(INDEX('Auxiliar Resultados'!$C$9:$BO$50,MATCH($B33,'Auxiliar Resultados'!$B$9:$B$50,0),MATCH(CONCATENATE($C33,AH$7),'Auxiliar Resultados'!$C$6:$BO$6,0)),""))=0,"",IF($B33="","",IFERROR(INDEX('Auxiliar Resultados'!$C$9:$BO$50,MATCH($B33,'Auxiliar Resultados'!$B$9:$B$50,0),MATCH(CONCATENATE($C33,AH$7),'Auxiliar Resultados'!$C$6:$BO$6,0)),"")))</f>
        <v/>
      </c>
      <c r="AI33" s="52" t="str">
        <f>+IF(IF($B33="","",IFERROR(INDEX('Auxiliar Resultados'!$C$9:$BO$50,MATCH($B33,'Auxiliar Resultados'!$B$9:$B$50,0),MATCH(CONCATENATE($C33,AI$7),'Auxiliar Resultados'!$C$6:$BO$6,0)),""))=0,"",IF($B33="","",IFERROR(INDEX('Auxiliar Resultados'!$C$9:$BO$50,MATCH($B33,'Auxiliar Resultados'!$B$9:$B$50,0),MATCH(CONCATENATE($C33,AI$7),'Auxiliar Resultados'!$C$6:$BO$6,0)),"")))</f>
        <v/>
      </c>
      <c r="AJ33" s="52" t="str">
        <f>+IF(IF($B33="","",IFERROR(INDEX('Auxiliar Resultados'!$C$9:$BO$50,MATCH($B33,'Auxiliar Resultados'!$B$9:$B$50,0),MATCH(CONCATENATE($C33,AJ$7),'Auxiliar Resultados'!$C$6:$BO$6,0)),""))=0,"",IF($B33="","",IFERROR(INDEX('Auxiliar Resultados'!$C$9:$BO$50,MATCH($B33,'Auxiliar Resultados'!$B$9:$B$50,0),MATCH(CONCATENATE($C33,AJ$7),'Auxiliar Resultados'!$C$6:$BO$6,0)),"")))</f>
        <v/>
      </c>
      <c r="AK33" s="52" t="str">
        <f>+IF(IF($B33="","",IFERROR(INDEX('Auxiliar Resultados'!$C$9:$BO$50,MATCH($B33,'Auxiliar Resultados'!$B$9:$B$50,0),MATCH(CONCATENATE($C33,AK$7),'Auxiliar Resultados'!$C$6:$BO$6,0)),""))=0,"",IF($B33="","",IFERROR(INDEX('Auxiliar Resultados'!$C$9:$BO$50,MATCH($B33,'Auxiliar Resultados'!$B$9:$B$50,0),MATCH(CONCATENATE($C33,AK$7),'Auxiliar Resultados'!$C$6:$BO$6,0)),"")))</f>
        <v/>
      </c>
      <c r="AL33" s="52" t="str">
        <f>+IF(IF($B33="","",IFERROR(INDEX('Auxiliar Resultados'!$C$9:$BO$50,MATCH($B33,'Auxiliar Resultados'!$B$9:$B$50,0),MATCH(CONCATENATE($C33,AL$7),'Auxiliar Resultados'!$C$6:$BO$6,0)),""))=0,"",IF($B33="","",IFERROR(INDEX('Auxiliar Resultados'!$C$9:$BO$50,MATCH($B33,'Auxiliar Resultados'!$B$9:$B$50,0),MATCH(CONCATENATE($C33,AL$7),'Auxiliar Resultados'!$C$6:$BO$6,0)),"")))</f>
        <v/>
      </c>
      <c r="AM33" s="52" t="str">
        <f>+IF(IF($B33="","",IFERROR(INDEX('Auxiliar Resultados'!$C$9:$BO$50,MATCH($B33,'Auxiliar Resultados'!$B$9:$B$50,0),MATCH(CONCATENATE($C33,AM$7),'Auxiliar Resultados'!$C$6:$BO$6,0)),""))=0,"",IF($B33="","",IFERROR(INDEX('Auxiliar Resultados'!$C$9:$BO$50,MATCH($B33,'Auxiliar Resultados'!$B$9:$B$50,0),MATCH(CONCATENATE($C33,AM$7),'Auxiliar Resultados'!$C$6:$BO$6,0)),"")))</f>
        <v/>
      </c>
      <c r="AN33" s="52" t="str">
        <f>+IF(IF($B33="","",IFERROR(INDEX('Auxiliar Resultados'!$C$9:$BO$50,MATCH($B33,'Auxiliar Resultados'!$B$9:$B$50,0),MATCH(CONCATENATE($C33,AN$7),'Auxiliar Resultados'!$C$6:$BO$6,0)),""))=0,"",IF($B33="","",IFERROR(INDEX('Auxiliar Resultados'!$C$9:$BO$50,MATCH($B33,'Auxiliar Resultados'!$B$9:$B$50,0),MATCH(CONCATENATE($C33,AN$7),'Auxiliar Resultados'!$C$6:$BO$6,0)),"")))</f>
        <v/>
      </c>
      <c r="AO33" s="52" t="str">
        <f>+IF(IF($B33="","",IFERROR(INDEX('Auxiliar Resultados'!$C$9:$BO$50,MATCH($B33,'Auxiliar Resultados'!$B$9:$B$50,0),MATCH(CONCATENATE($C33,AO$7),'Auxiliar Resultados'!$C$6:$BO$6,0)),""))=0,"",IF($B33="","",IFERROR(INDEX('Auxiliar Resultados'!$C$9:$BO$50,MATCH($B33,'Auxiliar Resultados'!$B$9:$B$50,0),MATCH(CONCATENATE($C33,AO$7),'Auxiliar Resultados'!$C$6:$BO$6,0)),"")))</f>
        <v/>
      </c>
      <c r="AP33" s="52" t="str">
        <f>+IF(IF($B33="","",IFERROR(INDEX('Auxiliar Resultados'!$C$9:$BO$50,MATCH($B33,'Auxiliar Resultados'!$B$9:$B$50,0),MATCH(CONCATENATE($C33,AP$7),'Auxiliar Resultados'!$C$6:$BO$6,0)),""))=0,"",IF($B33="","",IFERROR(INDEX('Auxiliar Resultados'!$C$9:$BO$50,MATCH($B33,'Auxiliar Resultados'!$B$9:$B$50,0),MATCH(CONCATENATE($C33,AP$7),'Auxiliar Resultados'!$C$6:$BO$6,0)),"")))</f>
        <v/>
      </c>
      <c r="AQ33" s="276" t="str">
        <f>+IF(IF($B33="","",IFERROR(INDEX('Auxiliar Resultados'!$C$9:$BO$50,MATCH($B33,'Auxiliar Resultados'!$B$9:$B$50,0),MATCH(CONCATENATE($C33,AQ$7),'Auxiliar Resultados'!$C$6:$BO$6,0)),""))=0,"",IF($B33="","",IFERROR(INDEX('Auxiliar Resultados'!$C$9:$BO$50,MATCH($B33,'Auxiliar Resultados'!$B$9:$B$50,0),MATCH(CONCATENATE($C33,AQ$7),'Auxiliar Resultados'!$C$6:$BO$6,0)),"")))</f>
        <v/>
      </c>
      <c r="AS33" s="46" t="str">
        <f t="shared" si="5"/>
        <v/>
      </c>
      <c r="AT33" s="292" t="str">
        <f t="shared" si="6"/>
        <v/>
      </c>
      <c r="AU33" s="36" t="str">
        <f>+IF(G33="","",INDEX('Modelo Optimización'!$AZ$4:$CO$149,MATCH(CONCATENATE(AU$7,$AT33),'Modelo Optimización'!$CQ$4:$CQ$149,0),MATCH($AS33,'Modelo Optimización'!$AZ$3:$CO$3,0)))</f>
        <v/>
      </c>
      <c r="AV33" s="32" t="str">
        <f>+IF(H33="","",INDEX('Modelo Optimización'!$AZ$4:$CO$149,MATCH(CONCATENATE(AV$7,$AT33),'Modelo Optimización'!$CQ$4:$CQ$149,0),MATCH($AS33,'Modelo Optimización'!$AZ$3:$CO$3,0)))</f>
        <v/>
      </c>
      <c r="AW33" s="32" t="str">
        <f>+IF(I33="","",INDEX('Modelo Optimización'!$AZ$4:$CO$149,MATCH(CONCATENATE(AW$7,$AT33),'Modelo Optimización'!$CQ$4:$CQ$149,0),MATCH($AS33,'Modelo Optimización'!$AZ$3:$CO$3,0)))</f>
        <v/>
      </c>
      <c r="AX33" s="32" t="str">
        <f>+IF(J33="","",INDEX('Modelo Optimización'!$AZ$4:$CO$149,MATCH(CONCATENATE(AX$7,$AT33),'Modelo Optimización'!$CQ$4:$CQ$149,0),MATCH($AS33,'Modelo Optimización'!$AZ$3:$CO$3,0)))</f>
        <v/>
      </c>
      <c r="AY33" s="32" t="str">
        <f>+IF(K33="","",INDEX('Modelo Optimización'!$AZ$4:$CO$149,MATCH(CONCATENATE(AY$7,$AT33),'Modelo Optimización'!$CQ$4:$CQ$149,0),MATCH($AS33,'Modelo Optimización'!$AZ$3:$CO$3,0)))</f>
        <v/>
      </c>
      <c r="AZ33" s="32" t="str">
        <f>+IF(L33="","",INDEX('Modelo Optimización'!$AZ$4:$CO$149,MATCH(CONCATENATE(AZ$7,$AT33),'Modelo Optimización'!$CQ$4:$CQ$149,0),MATCH($AS33,'Modelo Optimización'!$AZ$3:$CO$3,0)))</f>
        <v/>
      </c>
      <c r="BA33" s="32" t="str">
        <f>+IF(M33="","",INDEX('Modelo Optimización'!$AZ$4:$CO$149,MATCH(CONCATENATE(BA$7,$AT33),'Modelo Optimización'!$CQ$4:$CQ$149,0),MATCH($AS33,'Modelo Optimización'!$AZ$3:$CO$3,0)))</f>
        <v/>
      </c>
      <c r="BB33" s="32" t="str">
        <f>+IF(N33="","",INDEX('Modelo Optimización'!$AZ$4:$CO$149,MATCH(CONCATENATE(BB$7,$AT33),'Modelo Optimización'!$CQ$4:$CQ$149,0),MATCH($AS33,'Modelo Optimización'!$AZ$3:$CO$3,0)))</f>
        <v/>
      </c>
      <c r="BC33" s="32" t="str">
        <f>+IF(O33="","",INDEX('Modelo Optimización'!$AZ$4:$CO$149,MATCH(CONCATENATE(BC$7,$AT33),'Modelo Optimización'!$CQ$4:$CQ$149,0),MATCH($AS33,'Modelo Optimización'!$AZ$3:$CO$3,0)))</f>
        <v/>
      </c>
      <c r="BD33" s="32" t="str">
        <f>+IF(P33="","",INDEX('Modelo Optimización'!$AZ$4:$CO$149,MATCH(CONCATENATE(BD$7,$AT33),'Modelo Optimización'!$CQ$4:$CQ$149,0),MATCH($AS33,'Modelo Optimización'!$AZ$3:$CO$3,0)))</f>
        <v/>
      </c>
      <c r="BE33" s="32" t="str">
        <f>+IF(Q33="","",INDEX('Modelo Optimización'!$AZ$4:$CO$149,MATCH(CONCATENATE(BE$7,$AT33),'Modelo Optimización'!$CQ$4:$CQ$149,0),MATCH($AS33,'Modelo Optimización'!$AZ$3:$CO$3,0)))</f>
        <v/>
      </c>
      <c r="BF33" s="32" t="str">
        <f>+IF(R33="","",INDEX('Modelo Optimización'!$AZ$4:$CO$149,MATCH(CONCATENATE(BF$7,$AT33),'Modelo Optimización'!$CQ$4:$CQ$149,0),MATCH($AS33,'Modelo Optimización'!$AZ$3:$CO$3,0)))</f>
        <v/>
      </c>
      <c r="BG33" s="32" t="str">
        <f>+IF(S33="","",INDEX('Modelo Optimización'!$AZ$4:$CO$149,MATCH(CONCATENATE(BG$7,$AT33),'Modelo Optimización'!$CQ$4:$CQ$149,0),MATCH($AS33,'Modelo Optimización'!$AZ$3:$CO$3,0)))</f>
        <v/>
      </c>
      <c r="BH33" s="32" t="str">
        <f>+IF(T33="","",INDEX('Modelo Optimización'!$AZ$4:$CO$149,MATCH(CONCATENATE(BH$7,$AT33),'Modelo Optimización'!$CQ$4:$CQ$149,0),MATCH($AS33,'Modelo Optimización'!$AZ$3:$CO$3,0)))</f>
        <v/>
      </c>
      <c r="BI33" s="32" t="str">
        <f>+IF(U33="","",INDEX('Modelo Optimización'!$AZ$4:$CO$149,MATCH(CONCATENATE(BI$7,$AT33),'Modelo Optimización'!$CQ$4:$CQ$149,0),MATCH($AS33,'Modelo Optimización'!$AZ$3:$CO$3,0)))</f>
        <v/>
      </c>
      <c r="BJ33" s="32" t="str">
        <f>+IF(V33="","",INDEX('Modelo Optimización'!$AZ$4:$CO$149,MATCH(CONCATENATE(BJ$7,$AT33),'Modelo Optimización'!$CQ$4:$CQ$149,0),MATCH($AS33,'Modelo Optimización'!$AZ$3:$CO$3,0)))</f>
        <v/>
      </c>
      <c r="BK33" s="32" t="str">
        <f>+IF(W33="","",INDEX('Modelo Optimización'!$AZ$4:$CO$149,MATCH(CONCATENATE(BK$7,$AT33),'Modelo Optimización'!$CQ$4:$CQ$149,0),MATCH($AS33,'Modelo Optimización'!$AZ$3:$CO$3,0)))</f>
        <v/>
      </c>
      <c r="BL33" s="32" t="str">
        <f>+IF(X33="","",INDEX('Modelo Optimización'!$AZ$4:$CO$149,MATCH(CONCATENATE(BL$7,$AT33),'Modelo Optimización'!$CQ$4:$CQ$149,0),MATCH($AS33,'Modelo Optimización'!$AZ$3:$CO$3,0)))</f>
        <v/>
      </c>
      <c r="BM33" s="32" t="str">
        <f>+IF(Y33="","",INDEX('Modelo Optimización'!$AZ$4:$CO$149,MATCH(CONCATENATE(BM$7,$AT33),'Modelo Optimización'!$CQ$4:$CQ$149,0),MATCH($AS33,'Modelo Optimización'!$AZ$3:$CO$3,0)))</f>
        <v/>
      </c>
      <c r="BN33" s="32" t="str">
        <f>+IF(Z33="","",INDEX('Modelo Optimización'!$AZ$4:$CO$149,MATCH(CONCATENATE(BN$7,$AT33),'Modelo Optimización'!$CQ$4:$CQ$149,0),MATCH($AS33,'Modelo Optimización'!$AZ$3:$CO$3,0)))</f>
        <v/>
      </c>
      <c r="BO33" s="32" t="str">
        <f>+IF(AA33="","",INDEX('Modelo Optimización'!$AZ$4:$CO$149,MATCH(CONCATENATE(BO$7,$AT33),'Modelo Optimización'!$CQ$4:$CQ$149,0),MATCH($AS33,'Modelo Optimización'!$AZ$3:$CO$3,0)))</f>
        <v/>
      </c>
      <c r="BP33" s="32" t="str">
        <f>+IF(AB33="","",INDEX('Modelo Optimización'!$AZ$4:$CO$149,MATCH(CONCATENATE(BP$7,$AT33),'Modelo Optimización'!$CQ$4:$CQ$149,0),MATCH($AS33,'Modelo Optimización'!$AZ$3:$CO$3,0)))</f>
        <v/>
      </c>
      <c r="BQ33" s="32" t="str">
        <f>+IF(AC33="","",INDEX('Modelo Optimización'!$AZ$4:$CO$149,MATCH(CONCATENATE(BQ$7,$AT33),'Modelo Optimización'!$CQ$4:$CQ$149,0),MATCH($AS33,'Modelo Optimización'!$AZ$3:$CO$3,0)))</f>
        <v/>
      </c>
      <c r="BR33" s="32" t="str">
        <f>+IF(AD33="","",INDEX('Modelo Optimización'!$AZ$4:$CO$149,MATCH(CONCATENATE(BR$7,$AT33),'Modelo Optimización'!$CQ$4:$CQ$149,0),MATCH($AS33,'Modelo Optimización'!$AZ$3:$CO$3,0)))</f>
        <v/>
      </c>
      <c r="BS33" s="32" t="str">
        <f>+IF(AE33="","",INDEX('Modelo Optimización'!$AZ$4:$CO$149,MATCH(CONCATENATE(BS$7,$AT33),'Modelo Optimización'!$CQ$4:$CQ$149,0),MATCH($AS33,'Modelo Optimización'!$AZ$3:$CO$3,0)))</f>
        <v/>
      </c>
      <c r="BT33" s="32" t="str">
        <f>+IF(AF33="","",INDEX('Modelo Optimización'!$AZ$4:$CO$149,MATCH(CONCATENATE(BT$7,$AT33),'Modelo Optimización'!$CQ$4:$CQ$149,0),MATCH($AS33,'Modelo Optimización'!$AZ$3:$CO$3,0)))</f>
        <v/>
      </c>
      <c r="BU33" s="32" t="str">
        <f>+IF(AG33="","",INDEX('Modelo Optimización'!$AZ$4:$CO$149,MATCH(CONCATENATE(BU$7,$AT33),'Modelo Optimización'!$CQ$4:$CQ$149,0),MATCH($AS33,'Modelo Optimización'!$AZ$3:$CO$3,0)))</f>
        <v/>
      </c>
      <c r="BV33" s="32" t="str">
        <f>+IF(AH33="","",INDEX('Modelo Optimización'!$AZ$4:$CO$149,MATCH(CONCATENATE(BV$7,$AT33),'Modelo Optimización'!$CQ$4:$CQ$149,0),MATCH($AS33,'Modelo Optimización'!$AZ$3:$CO$3,0)))</f>
        <v/>
      </c>
      <c r="BW33" s="32" t="str">
        <f>+IF(AI33="","",INDEX('Modelo Optimización'!$AZ$4:$CO$149,MATCH(CONCATENATE(BW$7,$AT33),'Modelo Optimización'!$CQ$4:$CQ$149,0),MATCH($AS33,'Modelo Optimización'!$AZ$3:$CO$3,0)))</f>
        <v/>
      </c>
      <c r="BX33" s="32" t="str">
        <f>+IF(AJ33="","",INDEX('Modelo Optimización'!$AZ$4:$CO$149,MATCH(CONCATENATE(BX$7,$AT33),'Modelo Optimización'!$CQ$4:$CQ$149,0),MATCH($AS33,'Modelo Optimización'!$AZ$3:$CO$3,0)))</f>
        <v/>
      </c>
      <c r="BY33" s="32" t="str">
        <f>+IF(AK33="","",INDEX('Modelo Optimización'!$AZ$4:$CO$149,MATCH(CONCATENATE(BY$7,$AT33),'Modelo Optimización'!$CQ$4:$CQ$149,0),MATCH($AS33,'Modelo Optimización'!$AZ$3:$CO$3,0)))</f>
        <v/>
      </c>
      <c r="BZ33" s="32" t="str">
        <f>+IF(AL33="","",INDEX('Modelo Optimización'!$AZ$4:$CO$149,MATCH(CONCATENATE(BZ$7,$AT33),'Modelo Optimización'!$CQ$4:$CQ$149,0),MATCH($AS33,'Modelo Optimización'!$AZ$3:$CO$3,0)))</f>
        <v/>
      </c>
      <c r="CA33" s="32" t="str">
        <f>+IF(AM33="","",INDEX('Modelo Optimización'!$AZ$4:$CO$149,MATCH(CONCATENATE(CA$7,$AT33),'Modelo Optimización'!$CQ$4:$CQ$149,0),MATCH($AS33,'Modelo Optimización'!$AZ$3:$CO$3,0)))</f>
        <v/>
      </c>
      <c r="CB33" s="32" t="str">
        <f>+IF(AN33="","",INDEX('Modelo Optimización'!$AZ$4:$CO$149,MATCH(CONCATENATE(CB$7,$AT33),'Modelo Optimización'!$CQ$4:$CQ$149,0),MATCH($AS33,'Modelo Optimización'!$AZ$3:$CO$3,0)))</f>
        <v/>
      </c>
      <c r="CC33" s="32" t="str">
        <f>+IF(AO33="","",INDEX('Modelo Optimización'!$AZ$4:$CO$149,MATCH(CONCATENATE(CC$7,$AT33),'Modelo Optimización'!$CQ$4:$CQ$149,0),MATCH($AS33,'Modelo Optimización'!$AZ$3:$CO$3,0)))</f>
        <v/>
      </c>
      <c r="CD33" s="32" t="str">
        <f>+IF(AP33="","",INDEX('Modelo Optimización'!$AZ$4:$CO$149,MATCH(CONCATENATE(CD$7,$AT33),'Modelo Optimización'!$CQ$4:$CQ$149,0),MATCH($AS33,'Modelo Optimización'!$AZ$3:$CO$3,0)))</f>
        <v/>
      </c>
      <c r="CE33" s="37" t="str">
        <f>+IF(AQ33="","",INDEX('Modelo Optimización'!$AZ$4:$CO$149,MATCH(CONCATENATE(CE$7,$AT33),'Modelo Optimización'!$CQ$4:$CQ$149,0),MATCH($AS33,'Modelo Optimización'!$AZ$3:$CO$3,0)))</f>
        <v/>
      </c>
      <c r="CF33" s="301"/>
      <c r="CG33" s="305" t="str">
        <f t="shared" si="11"/>
        <v/>
      </c>
      <c r="CH33" s="303" t="str">
        <f t="shared" si="7"/>
        <v/>
      </c>
      <c r="CI33" s="292" t="str">
        <f t="shared" si="8"/>
        <v/>
      </c>
      <c r="CJ33" s="36" t="str">
        <f t="shared" si="12"/>
        <v/>
      </c>
      <c r="CK33" s="32" t="str">
        <f t="shared" si="13"/>
        <v/>
      </c>
      <c r="CL33" s="32" t="str">
        <f t="shared" si="14"/>
        <v/>
      </c>
      <c r="CM33" s="32" t="str">
        <f t="shared" si="15"/>
        <v/>
      </c>
      <c r="CN33" s="32" t="str">
        <f t="shared" si="16"/>
        <v/>
      </c>
      <c r="CO33" s="32" t="str">
        <f t="shared" si="17"/>
        <v/>
      </c>
      <c r="CP33" s="32" t="str">
        <f t="shared" si="18"/>
        <v/>
      </c>
      <c r="CQ33" s="32" t="str">
        <f t="shared" si="19"/>
        <v/>
      </c>
      <c r="CR33" s="32" t="str">
        <f t="shared" si="20"/>
        <v/>
      </c>
      <c r="CS33" s="32" t="str">
        <f t="shared" si="21"/>
        <v/>
      </c>
      <c r="CT33" s="32" t="str">
        <f t="shared" si="22"/>
        <v/>
      </c>
      <c r="CU33" s="32" t="str">
        <f t="shared" si="23"/>
        <v/>
      </c>
      <c r="CV33" s="32" t="str">
        <f t="shared" si="24"/>
        <v/>
      </c>
      <c r="CW33" s="32" t="str">
        <f t="shared" si="25"/>
        <v/>
      </c>
      <c r="CX33" s="32" t="str">
        <f t="shared" si="26"/>
        <v/>
      </c>
      <c r="CY33" s="32" t="str">
        <f t="shared" si="27"/>
        <v/>
      </c>
      <c r="CZ33" s="32" t="str">
        <f t="shared" si="28"/>
        <v/>
      </c>
      <c r="DA33" s="32" t="str">
        <f t="shared" si="29"/>
        <v/>
      </c>
      <c r="DB33" s="32" t="str">
        <f t="shared" si="30"/>
        <v/>
      </c>
      <c r="DC33" s="32" t="str">
        <f t="shared" si="31"/>
        <v/>
      </c>
      <c r="DD33" s="32" t="str">
        <f t="shared" si="32"/>
        <v/>
      </c>
      <c r="DE33" s="32" t="str">
        <f t="shared" si="33"/>
        <v/>
      </c>
      <c r="DF33" s="32" t="str">
        <f t="shared" si="34"/>
        <v/>
      </c>
      <c r="DG33" s="32" t="str">
        <f t="shared" si="35"/>
        <v/>
      </c>
      <c r="DH33" s="32" t="str">
        <f t="shared" si="36"/>
        <v/>
      </c>
      <c r="DI33" s="32" t="str">
        <f t="shared" si="37"/>
        <v/>
      </c>
      <c r="DJ33" s="32" t="str">
        <f t="shared" si="38"/>
        <v/>
      </c>
      <c r="DK33" s="32" t="str">
        <f t="shared" si="39"/>
        <v/>
      </c>
      <c r="DL33" s="32" t="str">
        <f t="shared" si="40"/>
        <v/>
      </c>
      <c r="DM33" s="32" t="str">
        <f t="shared" si="41"/>
        <v/>
      </c>
      <c r="DN33" s="32" t="str">
        <f t="shared" si="42"/>
        <v/>
      </c>
      <c r="DO33" s="32" t="str">
        <f t="shared" si="43"/>
        <v/>
      </c>
      <c r="DP33" s="32" t="str">
        <f t="shared" si="44"/>
        <v/>
      </c>
      <c r="DQ33" s="32" t="str">
        <f t="shared" si="45"/>
        <v/>
      </c>
      <c r="DR33" s="32" t="str">
        <f t="shared" si="46"/>
        <v/>
      </c>
      <c r="DS33" s="32" t="str">
        <f t="shared" si="47"/>
        <v/>
      </c>
      <c r="DT33" s="37" t="str">
        <f t="shared" si="48"/>
        <v/>
      </c>
    </row>
    <row r="34" spans="2:124" x14ac:dyDescent="0.35">
      <c r="B34" s="46"/>
      <c r="C34" s="212"/>
      <c r="D34" s="52"/>
      <c r="E34" s="52" t="str">
        <f>+IF(B34="","",IFERROR(SUMIF('Modelo Optimización'!$AS$72:$AS$217,C34,INDEX('Modelo Optimización'!$C$72:$AR$217,,MATCH(B34,'Modelo Optimización'!$C$71:$AR$71,0))),0))</f>
        <v/>
      </c>
      <c r="F34" s="281" t="str">
        <f t="shared" si="10"/>
        <v/>
      </c>
      <c r="G34" s="280" t="str">
        <f>+IF(IF($B34="","",IFERROR(INDEX('Auxiliar Resultados'!$C$9:$BO$50,MATCH($B34,'Auxiliar Resultados'!$B$9:$B$50,0),MATCH(CONCATENATE($C34,G$7),'Auxiliar Resultados'!$C$6:$BO$6,0)),""))=0,"",IF($B34="","",IFERROR(INDEX('Auxiliar Resultados'!$C$9:$BO$50,MATCH($B34,'Auxiliar Resultados'!$B$9:$B$50,0),MATCH(CONCATENATE($C34,G$7),'Auxiliar Resultados'!$C$6:$BO$6,0)),"")))</f>
        <v/>
      </c>
      <c r="H34" s="52" t="str">
        <f>+IF(IF($B34="","",IFERROR(INDEX('Auxiliar Resultados'!$C$9:$BO$50,MATCH($B34,'Auxiliar Resultados'!$B$9:$B$50,0),MATCH(CONCATENATE($C34,H$7),'Auxiliar Resultados'!$C$6:$BO$6,0)),""))=0,"",IF($B34="","",IFERROR(INDEX('Auxiliar Resultados'!$C$9:$BO$50,MATCH($B34,'Auxiliar Resultados'!$B$9:$B$50,0),MATCH(CONCATENATE($C34,H$7),'Auxiliar Resultados'!$C$6:$BO$6,0)),"")))</f>
        <v/>
      </c>
      <c r="I34" s="52" t="str">
        <f>+IF(IF($B34="","",IFERROR(INDEX('Auxiliar Resultados'!$C$9:$BO$50,MATCH($B34,'Auxiliar Resultados'!$B$9:$B$50,0),MATCH(CONCATENATE($C34,I$7),'Auxiliar Resultados'!$C$6:$BO$6,0)),""))=0,"",IF($B34="","",IFERROR(INDEX('Auxiliar Resultados'!$C$9:$BO$50,MATCH($B34,'Auxiliar Resultados'!$B$9:$B$50,0),MATCH(CONCATENATE($C34,I$7),'Auxiliar Resultados'!$C$6:$BO$6,0)),"")))</f>
        <v/>
      </c>
      <c r="J34" s="52" t="str">
        <f>+IF(IF($B34="","",IFERROR(INDEX('Auxiliar Resultados'!$C$9:$BO$50,MATCH($B34,'Auxiliar Resultados'!$B$9:$B$50,0),MATCH(CONCATENATE($C34,J$7),'Auxiliar Resultados'!$C$6:$BO$6,0)),""))=0,"",IF($B34="","",IFERROR(INDEX('Auxiliar Resultados'!$C$9:$BO$50,MATCH($B34,'Auxiliar Resultados'!$B$9:$B$50,0),MATCH(CONCATENATE($C34,J$7),'Auxiliar Resultados'!$C$6:$BO$6,0)),"")))</f>
        <v/>
      </c>
      <c r="K34" s="52" t="str">
        <f>+IF(IF($B34="","",IFERROR(INDEX('Auxiliar Resultados'!$C$9:$BO$50,MATCH($B34,'Auxiliar Resultados'!$B$9:$B$50,0),MATCH(CONCATENATE($C34,K$7),'Auxiliar Resultados'!$C$6:$BO$6,0)),""))=0,"",IF($B34="","",IFERROR(INDEX('Auxiliar Resultados'!$C$9:$BO$50,MATCH($B34,'Auxiliar Resultados'!$B$9:$B$50,0),MATCH(CONCATENATE($C34,K$7),'Auxiliar Resultados'!$C$6:$BO$6,0)),"")))</f>
        <v/>
      </c>
      <c r="L34" s="52" t="str">
        <f>+IF(IF($B34="","",IFERROR(INDEX('Auxiliar Resultados'!$C$9:$BO$50,MATCH($B34,'Auxiliar Resultados'!$B$9:$B$50,0),MATCH(CONCATENATE($C34,L$7),'Auxiliar Resultados'!$C$6:$BO$6,0)),""))=0,"",IF($B34="","",IFERROR(INDEX('Auxiliar Resultados'!$C$9:$BO$50,MATCH($B34,'Auxiliar Resultados'!$B$9:$B$50,0),MATCH(CONCATENATE($C34,L$7),'Auxiliar Resultados'!$C$6:$BO$6,0)),"")))</f>
        <v/>
      </c>
      <c r="M34" s="52" t="str">
        <f>+IF(IF($B34="","",IFERROR(INDEX('Auxiliar Resultados'!$C$9:$BO$50,MATCH($B34,'Auxiliar Resultados'!$B$9:$B$50,0),MATCH(CONCATENATE($C34,M$7),'Auxiliar Resultados'!$C$6:$BO$6,0)),""))=0,"",IF($B34="","",IFERROR(INDEX('Auxiliar Resultados'!$C$9:$BO$50,MATCH($B34,'Auxiliar Resultados'!$B$9:$B$50,0),MATCH(CONCATENATE($C34,M$7),'Auxiliar Resultados'!$C$6:$BO$6,0)),"")))</f>
        <v/>
      </c>
      <c r="N34" s="52" t="str">
        <f>+IF(IF($B34="","",IFERROR(INDEX('Auxiliar Resultados'!$C$9:$BO$50,MATCH($B34,'Auxiliar Resultados'!$B$9:$B$50,0),MATCH(CONCATENATE($C34,N$7),'Auxiliar Resultados'!$C$6:$BO$6,0)),""))=0,"",IF($B34="","",IFERROR(INDEX('Auxiliar Resultados'!$C$9:$BO$50,MATCH($B34,'Auxiliar Resultados'!$B$9:$B$50,0),MATCH(CONCATENATE($C34,N$7),'Auxiliar Resultados'!$C$6:$BO$6,0)),"")))</f>
        <v/>
      </c>
      <c r="O34" s="52" t="str">
        <f>+IF(IF($B34="","",IFERROR(INDEX('Auxiliar Resultados'!$C$9:$BO$50,MATCH($B34,'Auxiliar Resultados'!$B$9:$B$50,0),MATCH(CONCATENATE($C34,O$7),'Auxiliar Resultados'!$C$6:$BO$6,0)),""))=0,"",IF($B34="","",IFERROR(INDEX('Auxiliar Resultados'!$C$9:$BO$50,MATCH($B34,'Auxiliar Resultados'!$B$9:$B$50,0),MATCH(CONCATENATE($C34,O$7),'Auxiliar Resultados'!$C$6:$BO$6,0)),"")))</f>
        <v/>
      </c>
      <c r="P34" s="52" t="str">
        <f>+IF(IF($B34="","",IFERROR(INDEX('Auxiliar Resultados'!$C$9:$BO$50,MATCH($B34,'Auxiliar Resultados'!$B$9:$B$50,0),MATCH(CONCATENATE($C34,P$7),'Auxiliar Resultados'!$C$6:$BO$6,0)),""))=0,"",IF($B34="","",IFERROR(INDEX('Auxiliar Resultados'!$C$9:$BO$50,MATCH($B34,'Auxiliar Resultados'!$B$9:$B$50,0),MATCH(CONCATENATE($C34,P$7),'Auxiliar Resultados'!$C$6:$BO$6,0)),"")))</f>
        <v/>
      </c>
      <c r="Q34" s="52" t="str">
        <f>+IF(IF($B34="","",IFERROR(INDEX('Auxiliar Resultados'!$C$9:$BO$50,MATCH($B34,'Auxiliar Resultados'!$B$9:$B$50,0),MATCH(CONCATENATE($C34,Q$7),'Auxiliar Resultados'!$C$6:$BO$6,0)),""))=0,"",IF($B34="","",IFERROR(INDEX('Auxiliar Resultados'!$C$9:$BO$50,MATCH($B34,'Auxiliar Resultados'!$B$9:$B$50,0),MATCH(CONCATENATE($C34,Q$7),'Auxiliar Resultados'!$C$6:$BO$6,0)),"")))</f>
        <v/>
      </c>
      <c r="R34" s="52" t="str">
        <f>+IF(IF($B34="","",IFERROR(INDEX('Auxiliar Resultados'!$C$9:$BO$50,MATCH($B34,'Auxiliar Resultados'!$B$9:$B$50,0),MATCH(CONCATENATE($C34,R$7),'Auxiliar Resultados'!$C$6:$BO$6,0)),""))=0,"",IF($B34="","",IFERROR(INDEX('Auxiliar Resultados'!$C$9:$BO$50,MATCH($B34,'Auxiliar Resultados'!$B$9:$B$50,0),MATCH(CONCATENATE($C34,R$7),'Auxiliar Resultados'!$C$6:$BO$6,0)),"")))</f>
        <v/>
      </c>
      <c r="S34" s="52" t="str">
        <f>+IF(IF($B34="","",IFERROR(INDEX('Auxiliar Resultados'!$C$9:$BO$50,MATCH($B34,'Auxiliar Resultados'!$B$9:$B$50,0),MATCH(CONCATENATE($C34,S$7),'Auxiliar Resultados'!$C$6:$BO$6,0)),""))=0,"",IF($B34="","",IFERROR(INDEX('Auxiliar Resultados'!$C$9:$BO$50,MATCH($B34,'Auxiliar Resultados'!$B$9:$B$50,0),MATCH(CONCATENATE($C34,S$7),'Auxiliar Resultados'!$C$6:$BO$6,0)),"")))</f>
        <v/>
      </c>
      <c r="T34" s="52" t="str">
        <f>+IF(IF($B34="","",IFERROR(INDEX('Auxiliar Resultados'!$C$9:$BO$50,MATCH($B34,'Auxiliar Resultados'!$B$9:$B$50,0),MATCH(CONCATENATE($C34,T$7),'Auxiliar Resultados'!$C$6:$BO$6,0)),""))=0,"",IF($B34="","",IFERROR(INDEX('Auxiliar Resultados'!$C$9:$BO$50,MATCH($B34,'Auxiliar Resultados'!$B$9:$B$50,0),MATCH(CONCATENATE($C34,T$7),'Auxiliar Resultados'!$C$6:$BO$6,0)),"")))</f>
        <v/>
      </c>
      <c r="U34" s="52" t="str">
        <f>+IF(IF($B34="","",IFERROR(INDEX('Auxiliar Resultados'!$C$9:$BO$50,MATCH($B34,'Auxiliar Resultados'!$B$9:$B$50,0),MATCH(CONCATENATE($C34,U$7),'Auxiliar Resultados'!$C$6:$BO$6,0)),""))=0,"",IF($B34="","",IFERROR(INDEX('Auxiliar Resultados'!$C$9:$BO$50,MATCH($B34,'Auxiliar Resultados'!$B$9:$B$50,0),MATCH(CONCATENATE($C34,U$7),'Auxiliar Resultados'!$C$6:$BO$6,0)),"")))</f>
        <v/>
      </c>
      <c r="V34" s="52" t="str">
        <f>+IF(IF($B34="","",IFERROR(INDEX('Auxiliar Resultados'!$C$9:$BO$50,MATCH($B34,'Auxiliar Resultados'!$B$9:$B$50,0),MATCH(CONCATENATE($C34,V$7),'Auxiliar Resultados'!$C$6:$BO$6,0)),""))=0,"",IF($B34="","",IFERROR(INDEX('Auxiliar Resultados'!$C$9:$BO$50,MATCH($B34,'Auxiliar Resultados'!$B$9:$B$50,0),MATCH(CONCATENATE($C34,V$7),'Auxiliar Resultados'!$C$6:$BO$6,0)),"")))</f>
        <v/>
      </c>
      <c r="W34" s="52" t="str">
        <f>+IF(IF($B34="","",IFERROR(INDEX('Auxiliar Resultados'!$C$9:$BO$50,MATCH($B34,'Auxiliar Resultados'!$B$9:$B$50,0),MATCH(CONCATENATE($C34,W$7),'Auxiliar Resultados'!$C$6:$BO$6,0)),""))=0,"",IF($B34="","",IFERROR(INDEX('Auxiliar Resultados'!$C$9:$BO$50,MATCH($B34,'Auxiliar Resultados'!$B$9:$B$50,0),MATCH(CONCATENATE($C34,W$7),'Auxiliar Resultados'!$C$6:$BO$6,0)),"")))</f>
        <v/>
      </c>
      <c r="X34" s="52" t="str">
        <f>+IF(IF($B34="","",IFERROR(INDEX('Auxiliar Resultados'!$C$9:$BO$50,MATCH($B34,'Auxiliar Resultados'!$B$9:$B$50,0),MATCH(CONCATENATE($C34,X$7),'Auxiliar Resultados'!$C$6:$BO$6,0)),""))=0,"",IF($B34="","",IFERROR(INDEX('Auxiliar Resultados'!$C$9:$BO$50,MATCH($B34,'Auxiliar Resultados'!$B$9:$B$50,0),MATCH(CONCATENATE($C34,X$7),'Auxiliar Resultados'!$C$6:$BO$6,0)),"")))</f>
        <v/>
      </c>
      <c r="Y34" s="52" t="str">
        <f>+IF(IF($B34="","",IFERROR(INDEX('Auxiliar Resultados'!$C$9:$BO$50,MATCH($B34,'Auxiliar Resultados'!$B$9:$B$50,0),MATCH(CONCATENATE($C34,Y$7),'Auxiliar Resultados'!$C$6:$BO$6,0)),""))=0,"",IF($B34="","",IFERROR(INDEX('Auxiliar Resultados'!$C$9:$BO$50,MATCH($B34,'Auxiliar Resultados'!$B$9:$B$50,0),MATCH(CONCATENATE($C34,Y$7),'Auxiliar Resultados'!$C$6:$BO$6,0)),"")))</f>
        <v/>
      </c>
      <c r="Z34" s="52" t="str">
        <f>+IF(IF($B34="","",IFERROR(INDEX('Auxiliar Resultados'!$C$9:$BO$50,MATCH($B34,'Auxiliar Resultados'!$B$9:$B$50,0),MATCH(CONCATENATE($C34,Z$7),'Auxiliar Resultados'!$C$6:$BO$6,0)),""))=0,"",IF($B34="","",IFERROR(INDEX('Auxiliar Resultados'!$C$9:$BO$50,MATCH($B34,'Auxiliar Resultados'!$B$9:$B$50,0),MATCH(CONCATENATE($C34,Z$7),'Auxiliar Resultados'!$C$6:$BO$6,0)),"")))</f>
        <v/>
      </c>
      <c r="AA34" s="52" t="str">
        <f>+IF(IF($B34="","",IFERROR(INDEX('Auxiliar Resultados'!$C$9:$BO$50,MATCH($B34,'Auxiliar Resultados'!$B$9:$B$50,0),MATCH(CONCATENATE($C34,AA$7),'Auxiliar Resultados'!$C$6:$BO$6,0)),""))=0,"",IF($B34="","",IFERROR(INDEX('Auxiliar Resultados'!$C$9:$BO$50,MATCH($B34,'Auxiliar Resultados'!$B$9:$B$50,0),MATCH(CONCATENATE($C34,AA$7),'Auxiliar Resultados'!$C$6:$BO$6,0)),"")))</f>
        <v/>
      </c>
      <c r="AB34" s="52" t="str">
        <f>+IF(IF($B34="","",IFERROR(INDEX('Auxiliar Resultados'!$C$9:$BO$50,MATCH($B34,'Auxiliar Resultados'!$B$9:$B$50,0),MATCH(CONCATENATE($C34,AB$7),'Auxiliar Resultados'!$C$6:$BO$6,0)),""))=0,"",IF($B34="","",IFERROR(INDEX('Auxiliar Resultados'!$C$9:$BO$50,MATCH($B34,'Auxiliar Resultados'!$B$9:$B$50,0),MATCH(CONCATENATE($C34,AB$7),'Auxiliar Resultados'!$C$6:$BO$6,0)),"")))</f>
        <v/>
      </c>
      <c r="AC34" s="52" t="str">
        <f>+IF(IF($B34="","",IFERROR(INDEX('Auxiliar Resultados'!$C$9:$BO$50,MATCH($B34,'Auxiliar Resultados'!$B$9:$B$50,0),MATCH(CONCATENATE($C34,AC$7),'Auxiliar Resultados'!$C$6:$BO$6,0)),""))=0,"",IF($B34="","",IFERROR(INDEX('Auxiliar Resultados'!$C$9:$BO$50,MATCH($B34,'Auxiliar Resultados'!$B$9:$B$50,0),MATCH(CONCATENATE($C34,AC$7),'Auxiliar Resultados'!$C$6:$BO$6,0)),"")))</f>
        <v/>
      </c>
      <c r="AD34" s="52" t="str">
        <f>+IF(IF($B34="","",IFERROR(INDEX('Auxiliar Resultados'!$C$9:$BO$50,MATCH($B34,'Auxiliar Resultados'!$B$9:$B$50,0),MATCH(CONCATENATE($C34,AD$7),'Auxiliar Resultados'!$C$6:$BO$6,0)),""))=0,"",IF($B34="","",IFERROR(INDEX('Auxiliar Resultados'!$C$9:$BO$50,MATCH($B34,'Auxiliar Resultados'!$B$9:$B$50,0),MATCH(CONCATENATE($C34,AD$7),'Auxiliar Resultados'!$C$6:$BO$6,0)),"")))</f>
        <v/>
      </c>
      <c r="AE34" s="52" t="str">
        <f>+IF(IF($B34="","",IFERROR(INDEX('Auxiliar Resultados'!$C$9:$BO$50,MATCH($B34,'Auxiliar Resultados'!$B$9:$B$50,0),MATCH(CONCATENATE($C34,AE$7),'Auxiliar Resultados'!$C$6:$BO$6,0)),""))=0,"",IF($B34="","",IFERROR(INDEX('Auxiliar Resultados'!$C$9:$BO$50,MATCH($B34,'Auxiliar Resultados'!$B$9:$B$50,0),MATCH(CONCATENATE($C34,AE$7),'Auxiliar Resultados'!$C$6:$BO$6,0)),"")))</f>
        <v/>
      </c>
      <c r="AF34" s="52" t="str">
        <f>+IF(IF($B34="","",IFERROR(INDEX('Auxiliar Resultados'!$C$9:$BO$50,MATCH($B34,'Auxiliar Resultados'!$B$9:$B$50,0),MATCH(CONCATENATE($C34,AF$7),'Auxiliar Resultados'!$C$6:$BO$6,0)),""))=0,"",IF($B34="","",IFERROR(INDEX('Auxiliar Resultados'!$C$9:$BO$50,MATCH($B34,'Auxiliar Resultados'!$B$9:$B$50,0),MATCH(CONCATENATE($C34,AF$7),'Auxiliar Resultados'!$C$6:$BO$6,0)),"")))</f>
        <v/>
      </c>
      <c r="AG34" s="52" t="str">
        <f>+IF(IF($B34="","",IFERROR(INDEX('Auxiliar Resultados'!$C$9:$BO$50,MATCH($B34,'Auxiliar Resultados'!$B$9:$B$50,0),MATCH(CONCATENATE($C34,AG$7),'Auxiliar Resultados'!$C$6:$BO$6,0)),""))=0,"",IF($B34="","",IFERROR(INDEX('Auxiliar Resultados'!$C$9:$BO$50,MATCH($B34,'Auxiliar Resultados'!$B$9:$B$50,0),MATCH(CONCATENATE($C34,AG$7),'Auxiliar Resultados'!$C$6:$BO$6,0)),"")))</f>
        <v/>
      </c>
      <c r="AH34" s="52" t="str">
        <f>+IF(IF($B34="","",IFERROR(INDEX('Auxiliar Resultados'!$C$9:$BO$50,MATCH($B34,'Auxiliar Resultados'!$B$9:$B$50,0),MATCH(CONCATENATE($C34,AH$7),'Auxiliar Resultados'!$C$6:$BO$6,0)),""))=0,"",IF($B34="","",IFERROR(INDEX('Auxiliar Resultados'!$C$9:$BO$50,MATCH($B34,'Auxiliar Resultados'!$B$9:$B$50,0),MATCH(CONCATENATE($C34,AH$7),'Auxiliar Resultados'!$C$6:$BO$6,0)),"")))</f>
        <v/>
      </c>
      <c r="AI34" s="52" t="str">
        <f>+IF(IF($B34="","",IFERROR(INDEX('Auxiliar Resultados'!$C$9:$BO$50,MATCH($B34,'Auxiliar Resultados'!$B$9:$B$50,0),MATCH(CONCATENATE($C34,AI$7),'Auxiliar Resultados'!$C$6:$BO$6,0)),""))=0,"",IF($B34="","",IFERROR(INDEX('Auxiliar Resultados'!$C$9:$BO$50,MATCH($B34,'Auxiliar Resultados'!$B$9:$B$50,0),MATCH(CONCATENATE($C34,AI$7),'Auxiliar Resultados'!$C$6:$BO$6,0)),"")))</f>
        <v/>
      </c>
      <c r="AJ34" s="52" t="str">
        <f>+IF(IF($B34="","",IFERROR(INDEX('Auxiliar Resultados'!$C$9:$BO$50,MATCH($B34,'Auxiliar Resultados'!$B$9:$B$50,0),MATCH(CONCATENATE($C34,AJ$7),'Auxiliar Resultados'!$C$6:$BO$6,0)),""))=0,"",IF($B34="","",IFERROR(INDEX('Auxiliar Resultados'!$C$9:$BO$50,MATCH($B34,'Auxiliar Resultados'!$B$9:$B$50,0),MATCH(CONCATENATE($C34,AJ$7),'Auxiliar Resultados'!$C$6:$BO$6,0)),"")))</f>
        <v/>
      </c>
      <c r="AK34" s="52" t="str">
        <f>+IF(IF($B34="","",IFERROR(INDEX('Auxiliar Resultados'!$C$9:$BO$50,MATCH($B34,'Auxiliar Resultados'!$B$9:$B$50,0),MATCH(CONCATENATE($C34,AK$7),'Auxiliar Resultados'!$C$6:$BO$6,0)),""))=0,"",IF($B34="","",IFERROR(INDEX('Auxiliar Resultados'!$C$9:$BO$50,MATCH($B34,'Auxiliar Resultados'!$B$9:$B$50,0),MATCH(CONCATENATE($C34,AK$7),'Auxiliar Resultados'!$C$6:$BO$6,0)),"")))</f>
        <v/>
      </c>
      <c r="AL34" s="52" t="str">
        <f>+IF(IF($B34="","",IFERROR(INDEX('Auxiliar Resultados'!$C$9:$BO$50,MATCH($B34,'Auxiliar Resultados'!$B$9:$B$50,0),MATCH(CONCATENATE($C34,AL$7),'Auxiliar Resultados'!$C$6:$BO$6,0)),""))=0,"",IF($B34="","",IFERROR(INDEX('Auxiliar Resultados'!$C$9:$BO$50,MATCH($B34,'Auxiliar Resultados'!$B$9:$B$50,0),MATCH(CONCATENATE($C34,AL$7),'Auxiliar Resultados'!$C$6:$BO$6,0)),"")))</f>
        <v/>
      </c>
      <c r="AM34" s="52" t="str">
        <f>+IF(IF($B34="","",IFERROR(INDEX('Auxiliar Resultados'!$C$9:$BO$50,MATCH($B34,'Auxiliar Resultados'!$B$9:$B$50,0),MATCH(CONCATENATE($C34,AM$7),'Auxiliar Resultados'!$C$6:$BO$6,0)),""))=0,"",IF($B34="","",IFERROR(INDEX('Auxiliar Resultados'!$C$9:$BO$50,MATCH($B34,'Auxiliar Resultados'!$B$9:$B$50,0),MATCH(CONCATENATE($C34,AM$7),'Auxiliar Resultados'!$C$6:$BO$6,0)),"")))</f>
        <v/>
      </c>
      <c r="AN34" s="52" t="str">
        <f>+IF(IF($B34="","",IFERROR(INDEX('Auxiliar Resultados'!$C$9:$BO$50,MATCH($B34,'Auxiliar Resultados'!$B$9:$B$50,0),MATCH(CONCATENATE($C34,AN$7),'Auxiliar Resultados'!$C$6:$BO$6,0)),""))=0,"",IF($B34="","",IFERROR(INDEX('Auxiliar Resultados'!$C$9:$BO$50,MATCH($B34,'Auxiliar Resultados'!$B$9:$B$50,0),MATCH(CONCATENATE($C34,AN$7),'Auxiliar Resultados'!$C$6:$BO$6,0)),"")))</f>
        <v/>
      </c>
      <c r="AO34" s="52" t="str">
        <f>+IF(IF($B34="","",IFERROR(INDEX('Auxiliar Resultados'!$C$9:$BO$50,MATCH($B34,'Auxiliar Resultados'!$B$9:$B$50,0),MATCH(CONCATENATE($C34,AO$7),'Auxiliar Resultados'!$C$6:$BO$6,0)),""))=0,"",IF($B34="","",IFERROR(INDEX('Auxiliar Resultados'!$C$9:$BO$50,MATCH($B34,'Auxiliar Resultados'!$B$9:$B$50,0),MATCH(CONCATENATE($C34,AO$7),'Auxiliar Resultados'!$C$6:$BO$6,0)),"")))</f>
        <v/>
      </c>
      <c r="AP34" s="52" t="str">
        <f>+IF(IF($B34="","",IFERROR(INDEX('Auxiliar Resultados'!$C$9:$BO$50,MATCH($B34,'Auxiliar Resultados'!$B$9:$B$50,0),MATCH(CONCATENATE($C34,AP$7),'Auxiliar Resultados'!$C$6:$BO$6,0)),""))=0,"",IF($B34="","",IFERROR(INDEX('Auxiliar Resultados'!$C$9:$BO$50,MATCH($B34,'Auxiliar Resultados'!$B$9:$B$50,0),MATCH(CONCATENATE($C34,AP$7),'Auxiliar Resultados'!$C$6:$BO$6,0)),"")))</f>
        <v/>
      </c>
      <c r="AQ34" s="276" t="str">
        <f>+IF(IF($B34="","",IFERROR(INDEX('Auxiliar Resultados'!$C$9:$BO$50,MATCH($B34,'Auxiliar Resultados'!$B$9:$B$50,0),MATCH(CONCATENATE($C34,AQ$7),'Auxiliar Resultados'!$C$6:$BO$6,0)),""))=0,"",IF($B34="","",IFERROR(INDEX('Auxiliar Resultados'!$C$9:$BO$50,MATCH($B34,'Auxiliar Resultados'!$B$9:$B$50,0),MATCH(CONCATENATE($C34,AQ$7),'Auxiliar Resultados'!$C$6:$BO$6,0)),"")))</f>
        <v/>
      </c>
      <c r="AS34" s="46" t="str">
        <f t="shared" si="5"/>
        <v/>
      </c>
      <c r="AT34" s="292" t="str">
        <f t="shared" si="6"/>
        <v/>
      </c>
      <c r="AU34" s="36" t="str">
        <f>+IF(G34="","",INDEX('Modelo Optimización'!$AZ$4:$CO$149,MATCH(CONCATENATE(AU$7,$AT34),'Modelo Optimización'!$CQ$4:$CQ$149,0),MATCH($AS34,'Modelo Optimización'!$AZ$3:$CO$3,0)))</f>
        <v/>
      </c>
      <c r="AV34" s="32" t="str">
        <f>+IF(H34="","",INDEX('Modelo Optimización'!$AZ$4:$CO$149,MATCH(CONCATENATE(AV$7,$AT34),'Modelo Optimización'!$CQ$4:$CQ$149,0),MATCH($AS34,'Modelo Optimización'!$AZ$3:$CO$3,0)))</f>
        <v/>
      </c>
      <c r="AW34" s="32" t="str">
        <f>+IF(I34="","",INDEX('Modelo Optimización'!$AZ$4:$CO$149,MATCH(CONCATENATE(AW$7,$AT34),'Modelo Optimización'!$CQ$4:$CQ$149,0),MATCH($AS34,'Modelo Optimización'!$AZ$3:$CO$3,0)))</f>
        <v/>
      </c>
      <c r="AX34" s="32" t="str">
        <f>+IF(J34="","",INDEX('Modelo Optimización'!$AZ$4:$CO$149,MATCH(CONCATENATE(AX$7,$AT34),'Modelo Optimización'!$CQ$4:$CQ$149,0),MATCH($AS34,'Modelo Optimización'!$AZ$3:$CO$3,0)))</f>
        <v/>
      </c>
      <c r="AY34" s="32" t="str">
        <f>+IF(K34="","",INDEX('Modelo Optimización'!$AZ$4:$CO$149,MATCH(CONCATENATE(AY$7,$AT34),'Modelo Optimización'!$CQ$4:$CQ$149,0),MATCH($AS34,'Modelo Optimización'!$AZ$3:$CO$3,0)))</f>
        <v/>
      </c>
      <c r="AZ34" s="32" t="str">
        <f>+IF(L34="","",INDEX('Modelo Optimización'!$AZ$4:$CO$149,MATCH(CONCATENATE(AZ$7,$AT34),'Modelo Optimización'!$CQ$4:$CQ$149,0),MATCH($AS34,'Modelo Optimización'!$AZ$3:$CO$3,0)))</f>
        <v/>
      </c>
      <c r="BA34" s="32" t="str">
        <f>+IF(M34="","",INDEX('Modelo Optimización'!$AZ$4:$CO$149,MATCH(CONCATENATE(BA$7,$AT34),'Modelo Optimización'!$CQ$4:$CQ$149,0),MATCH($AS34,'Modelo Optimización'!$AZ$3:$CO$3,0)))</f>
        <v/>
      </c>
      <c r="BB34" s="32" t="str">
        <f>+IF(N34="","",INDEX('Modelo Optimización'!$AZ$4:$CO$149,MATCH(CONCATENATE(BB$7,$AT34),'Modelo Optimización'!$CQ$4:$CQ$149,0),MATCH($AS34,'Modelo Optimización'!$AZ$3:$CO$3,0)))</f>
        <v/>
      </c>
      <c r="BC34" s="32" t="str">
        <f>+IF(O34="","",INDEX('Modelo Optimización'!$AZ$4:$CO$149,MATCH(CONCATENATE(BC$7,$AT34),'Modelo Optimización'!$CQ$4:$CQ$149,0),MATCH($AS34,'Modelo Optimización'!$AZ$3:$CO$3,0)))</f>
        <v/>
      </c>
      <c r="BD34" s="32" t="str">
        <f>+IF(P34="","",INDEX('Modelo Optimización'!$AZ$4:$CO$149,MATCH(CONCATENATE(BD$7,$AT34),'Modelo Optimización'!$CQ$4:$CQ$149,0),MATCH($AS34,'Modelo Optimización'!$AZ$3:$CO$3,0)))</f>
        <v/>
      </c>
      <c r="BE34" s="32" t="str">
        <f>+IF(Q34="","",INDEX('Modelo Optimización'!$AZ$4:$CO$149,MATCH(CONCATENATE(BE$7,$AT34),'Modelo Optimización'!$CQ$4:$CQ$149,0),MATCH($AS34,'Modelo Optimización'!$AZ$3:$CO$3,0)))</f>
        <v/>
      </c>
      <c r="BF34" s="32" t="str">
        <f>+IF(R34="","",INDEX('Modelo Optimización'!$AZ$4:$CO$149,MATCH(CONCATENATE(BF$7,$AT34),'Modelo Optimización'!$CQ$4:$CQ$149,0),MATCH($AS34,'Modelo Optimización'!$AZ$3:$CO$3,0)))</f>
        <v/>
      </c>
      <c r="BG34" s="32" t="str">
        <f>+IF(S34="","",INDEX('Modelo Optimización'!$AZ$4:$CO$149,MATCH(CONCATENATE(BG$7,$AT34),'Modelo Optimización'!$CQ$4:$CQ$149,0),MATCH($AS34,'Modelo Optimización'!$AZ$3:$CO$3,0)))</f>
        <v/>
      </c>
      <c r="BH34" s="32" t="str">
        <f>+IF(T34="","",INDEX('Modelo Optimización'!$AZ$4:$CO$149,MATCH(CONCATENATE(BH$7,$AT34),'Modelo Optimización'!$CQ$4:$CQ$149,0),MATCH($AS34,'Modelo Optimización'!$AZ$3:$CO$3,0)))</f>
        <v/>
      </c>
      <c r="BI34" s="32" t="str">
        <f>+IF(U34="","",INDEX('Modelo Optimización'!$AZ$4:$CO$149,MATCH(CONCATENATE(BI$7,$AT34),'Modelo Optimización'!$CQ$4:$CQ$149,0),MATCH($AS34,'Modelo Optimización'!$AZ$3:$CO$3,0)))</f>
        <v/>
      </c>
      <c r="BJ34" s="32" t="str">
        <f>+IF(V34="","",INDEX('Modelo Optimización'!$AZ$4:$CO$149,MATCH(CONCATENATE(BJ$7,$AT34),'Modelo Optimización'!$CQ$4:$CQ$149,0),MATCH($AS34,'Modelo Optimización'!$AZ$3:$CO$3,0)))</f>
        <v/>
      </c>
      <c r="BK34" s="32" t="str">
        <f>+IF(W34="","",INDEX('Modelo Optimización'!$AZ$4:$CO$149,MATCH(CONCATENATE(BK$7,$AT34),'Modelo Optimización'!$CQ$4:$CQ$149,0),MATCH($AS34,'Modelo Optimización'!$AZ$3:$CO$3,0)))</f>
        <v/>
      </c>
      <c r="BL34" s="32" t="str">
        <f>+IF(X34="","",INDEX('Modelo Optimización'!$AZ$4:$CO$149,MATCH(CONCATENATE(BL$7,$AT34),'Modelo Optimización'!$CQ$4:$CQ$149,0),MATCH($AS34,'Modelo Optimización'!$AZ$3:$CO$3,0)))</f>
        <v/>
      </c>
      <c r="BM34" s="32" t="str">
        <f>+IF(Y34="","",INDEX('Modelo Optimización'!$AZ$4:$CO$149,MATCH(CONCATENATE(BM$7,$AT34),'Modelo Optimización'!$CQ$4:$CQ$149,0),MATCH($AS34,'Modelo Optimización'!$AZ$3:$CO$3,0)))</f>
        <v/>
      </c>
      <c r="BN34" s="32" t="str">
        <f>+IF(Z34="","",INDEX('Modelo Optimización'!$AZ$4:$CO$149,MATCH(CONCATENATE(BN$7,$AT34),'Modelo Optimización'!$CQ$4:$CQ$149,0),MATCH($AS34,'Modelo Optimización'!$AZ$3:$CO$3,0)))</f>
        <v/>
      </c>
      <c r="BO34" s="32" t="str">
        <f>+IF(AA34="","",INDEX('Modelo Optimización'!$AZ$4:$CO$149,MATCH(CONCATENATE(BO$7,$AT34),'Modelo Optimización'!$CQ$4:$CQ$149,0),MATCH($AS34,'Modelo Optimización'!$AZ$3:$CO$3,0)))</f>
        <v/>
      </c>
      <c r="BP34" s="32" t="str">
        <f>+IF(AB34="","",INDEX('Modelo Optimización'!$AZ$4:$CO$149,MATCH(CONCATENATE(BP$7,$AT34),'Modelo Optimización'!$CQ$4:$CQ$149,0),MATCH($AS34,'Modelo Optimización'!$AZ$3:$CO$3,0)))</f>
        <v/>
      </c>
      <c r="BQ34" s="32" t="str">
        <f>+IF(AC34="","",INDEX('Modelo Optimización'!$AZ$4:$CO$149,MATCH(CONCATENATE(BQ$7,$AT34),'Modelo Optimización'!$CQ$4:$CQ$149,0),MATCH($AS34,'Modelo Optimización'!$AZ$3:$CO$3,0)))</f>
        <v/>
      </c>
      <c r="BR34" s="32" t="str">
        <f>+IF(AD34="","",INDEX('Modelo Optimización'!$AZ$4:$CO$149,MATCH(CONCATENATE(BR$7,$AT34),'Modelo Optimización'!$CQ$4:$CQ$149,0),MATCH($AS34,'Modelo Optimización'!$AZ$3:$CO$3,0)))</f>
        <v/>
      </c>
      <c r="BS34" s="32" t="str">
        <f>+IF(AE34="","",INDEX('Modelo Optimización'!$AZ$4:$CO$149,MATCH(CONCATENATE(BS$7,$AT34),'Modelo Optimización'!$CQ$4:$CQ$149,0),MATCH($AS34,'Modelo Optimización'!$AZ$3:$CO$3,0)))</f>
        <v/>
      </c>
      <c r="BT34" s="32" t="str">
        <f>+IF(AF34="","",INDEX('Modelo Optimización'!$AZ$4:$CO$149,MATCH(CONCATENATE(BT$7,$AT34),'Modelo Optimización'!$CQ$4:$CQ$149,0),MATCH($AS34,'Modelo Optimización'!$AZ$3:$CO$3,0)))</f>
        <v/>
      </c>
      <c r="BU34" s="32" t="str">
        <f>+IF(AG34="","",INDEX('Modelo Optimización'!$AZ$4:$CO$149,MATCH(CONCATENATE(BU$7,$AT34),'Modelo Optimización'!$CQ$4:$CQ$149,0),MATCH($AS34,'Modelo Optimización'!$AZ$3:$CO$3,0)))</f>
        <v/>
      </c>
      <c r="BV34" s="32" t="str">
        <f>+IF(AH34="","",INDEX('Modelo Optimización'!$AZ$4:$CO$149,MATCH(CONCATENATE(BV$7,$AT34),'Modelo Optimización'!$CQ$4:$CQ$149,0),MATCH($AS34,'Modelo Optimización'!$AZ$3:$CO$3,0)))</f>
        <v/>
      </c>
      <c r="BW34" s="32" t="str">
        <f>+IF(AI34="","",INDEX('Modelo Optimización'!$AZ$4:$CO$149,MATCH(CONCATENATE(BW$7,$AT34),'Modelo Optimización'!$CQ$4:$CQ$149,0),MATCH($AS34,'Modelo Optimización'!$AZ$3:$CO$3,0)))</f>
        <v/>
      </c>
      <c r="BX34" s="32" t="str">
        <f>+IF(AJ34="","",INDEX('Modelo Optimización'!$AZ$4:$CO$149,MATCH(CONCATENATE(BX$7,$AT34),'Modelo Optimización'!$CQ$4:$CQ$149,0),MATCH($AS34,'Modelo Optimización'!$AZ$3:$CO$3,0)))</f>
        <v/>
      </c>
      <c r="BY34" s="32" t="str">
        <f>+IF(AK34="","",INDEX('Modelo Optimización'!$AZ$4:$CO$149,MATCH(CONCATENATE(BY$7,$AT34),'Modelo Optimización'!$CQ$4:$CQ$149,0),MATCH($AS34,'Modelo Optimización'!$AZ$3:$CO$3,0)))</f>
        <v/>
      </c>
      <c r="BZ34" s="32" t="str">
        <f>+IF(AL34="","",INDEX('Modelo Optimización'!$AZ$4:$CO$149,MATCH(CONCATENATE(BZ$7,$AT34),'Modelo Optimización'!$CQ$4:$CQ$149,0),MATCH($AS34,'Modelo Optimización'!$AZ$3:$CO$3,0)))</f>
        <v/>
      </c>
      <c r="CA34" s="32" t="str">
        <f>+IF(AM34="","",INDEX('Modelo Optimización'!$AZ$4:$CO$149,MATCH(CONCATENATE(CA$7,$AT34),'Modelo Optimización'!$CQ$4:$CQ$149,0),MATCH($AS34,'Modelo Optimización'!$AZ$3:$CO$3,0)))</f>
        <v/>
      </c>
      <c r="CB34" s="32" t="str">
        <f>+IF(AN34="","",INDEX('Modelo Optimización'!$AZ$4:$CO$149,MATCH(CONCATENATE(CB$7,$AT34),'Modelo Optimización'!$CQ$4:$CQ$149,0),MATCH($AS34,'Modelo Optimización'!$AZ$3:$CO$3,0)))</f>
        <v/>
      </c>
      <c r="CC34" s="32" t="str">
        <f>+IF(AO34="","",INDEX('Modelo Optimización'!$AZ$4:$CO$149,MATCH(CONCATENATE(CC$7,$AT34),'Modelo Optimización'!$CQ$4:$CQ$149,0),MATCH($AS34,'Modelo Optimización'!$AZ$3:$CO$3,0)))</f>
        <v/>
      </c>
      <c r="CD34" s="32" t="str">
        <f>+IF(AP34="","",INDEX('Modelo Optimización'!$AZ$4:$CO$149,MATCH(CONCATENATE(CD$7,$AT34),'Modelo Optimización'!$CQ$4:$CQ$149,0),MATCH($AS34,'Modelo Optimización'!$AZ$3:$CO$3,0)))</f>
        <v/>
      </c>
      <c r="CE34" s="37" t="str">
        <f>+IF(AQ34="","",INDEX('Modelo Optimización'!$AZ$4:$CO$149,MATCH(CONCATENATE(CE$7,$AT34),'Modelo Optimización'!$CQ$4:$CQ$149,0),MATCH($AS34,'Modelo Optimización'!$AZ$3:$CO$3,0)))</f>
        <v/>
      </c>
      <c r="CF34" s="301"/>
      <c r="CG34" s="305" t="str">
        <f t="shared" si="11"/>
        <v/>
      </c>
      <c r="CH34" s="303" t="str">
        <f t="shared" si="7"/>
        <v/>
      </c>
      <c r="CI34" s="292" t="str">
        <f t="shared" si="8"/>
        <v/>
      </c>
      <c r="CJ34" s="36" t="str">
        <f t="shared" si="12"/>
        <v/>
      </c>
      <c r="CK34" s="32" t="str">
        <f t="shared" si="13"/>
        <v/>
      </c>
      <c r="CL34" s="32" t="str">
        <f t="shared" si="14"/>
        <v/>
      </c>
      <c r="CM34" s="32" t="str">
        <f t="shared" si="15"/>
        <v/>
      </c>
      <c r="CN34" s="32" t="str">
        <f t="shared" si="16"/>
        <v/>
      </c>
      <c r="CO34" s="32" t="str">
        <f t="shared" si="17"/>
        <v/>
      </c>
      <c r="CP34" s="32" t="str">
        <f t="shared" si="18"/>
        <v/>
      </c>
      <c r="CQ34" s="32" t="str">
        <f t="shared" si="19"/>
        <v/>
      </c>
      <c r="CR34" s="32" t="str">
        <f t="shared" si="20"/>
        <v/>
      </c>
      <c r="CS34" s="32" t="str">
        <f t="shared" si="21"/>
        <v/>
      </c>
      <c r="CT34" s="32" t="str">
        <f t="shared" si="22"/>
        <v/>
      </c>
      <c r="CU34" s="32" t="str">
        <f t="shared" si="23"/>
        <v/>
      </c>
      <c r="CV34" s="32" t="str">
        <f t="shared" si="24"/>
        <v/>
      </c>
      <c r="CW34" s="32" t="str">
        <f t="shared" si="25"/>
        <v/>
      </c>
      <c r="CX34" s="32" t="str">
        <f t="shared" si="26"/>
        <v/>
      </c>
      <c r="CY34" s="32" t="str">
        <f t="shared" si="27"/>
        <v/>
      </c>
      <c r="CZ34" s="32" t="str">
        <f t="shared" si="28"/>
        <v/>
      </c>
      <c r="DA34" s="32" t="str">
        <f t="shared" si="29"/>
        <v/>
      </c>
      <c r="DB34" s="32" t="str">
        <f t="shared" si="30"/>
        <v/>
      </c>
      <c r="DC34" s="32" t="str">
        <f t="shared" si="31"/>
        <v/>
      </c>
      <c r="DD34" s="32" t="str">
        <f t="shared" si="32"/>
        <v/>
      </c>
      <c r="DE34" s="32" t="str">
        <f t="shared" si="33"/>
        <v/>
      </c>
      <c r="DF34" s="32" t="str">
        <f t="shared" si="34"/>
        <v/>
      </c>
      <c r="DG34" s="32" t="str">
        <f t="shared" si="35"/>
        <v/>
      </c>
      <c r="DH34" s="32" t="str">
        <f t="shared" si="36"/>
        <v/>
      </c>
      <c r="DI34" s="32" t="str">
        <f t="shared" si="37"/>
        <v/>
      </c>
      <c r="DJ34" s="32" t="str">
        <f t="shared" si="38"/>
        <v/>
      </c>
      <c r="DK34" s="32" t="str">
        <f t="shared" si="39"/>
        <v/>
      </c>
      <c r="DL34" s="32" t="str">
        <f t="shared" si="40"/>
        <v/>
      </c>
      <c r="DM34" s="32" t="str">
        <f t="shared" si="41"/>
        <v/>
      </c>
      <c r="DN34" s="32" t="str">
        <f t="shared" si="42"/>
        <v/>
      </c>
      <c r="DO34" s="32" t="str">
        <f t="shared" si="43"/>
        <v/>
      </c>
      <c r="DP34" s="32" t="str">
        <f t="shared" si="44"/>
        <v/>
      </c>
      <c r="DQ34" s="32" t="str">
        <f t="shared" si="45"/>
        <v/>
      </c>
      <c r="DR34" s="32" t="str">
        <f t="shared" si="46"/>
        <v/>
      </c>
      <c r="DS34" s="32" t="str">
        <f t="shared" si="47"/>
        <v/>
      </c>
      <c r="DT34" s="37" t="str">
        <f t="shared" si="48"/>
        <v/>
      </c>
    </row>
    <row r="35" spans="2:124" x14ac:dyDescent="0.35">
      <c r="B35" s="46"/>
      <c r="C35" s="212"/>
      <c r="D35" s="52"/>
      <c r="E35" s="52" t="str">
        <f>+IF(B35="","",IFERROR(SUMIF('Modelo Optimización'!$AS$72:$AS$217,C35,INDEX('Modelo Optimización'!$C$72:$AR$217,,MATCH(B35,'Modelo Optimización'!$C$71:$AR$71,0))),0))</f>
        <v/>
      </c>
      <c r="F35" s="281" t="str">
        <f t="shared" si="10"/>
        <v/>
      </c>
      <c r="G35" s="280" t="str">
        <f>+IF(IF($B35="","",IFERROR(INDEX('Auxiliar Resultados'!$C$9:$BO$50,MATCH($B35,'Auxiliar Resultados'!$B$9:$B$50,0),MATCH(CONCATENATE($C35,G$7),'Auxiliar Resultados'!$C$6:$BO$6,0)),""))=0,"",IF($B35="","",IFERROR(INDEX('Auxiliar Resultados'!$C$9:$BO$50,MATCH($B35,'Auxiliar Resultados'!$B$9:$B$50,0),MATCH(CONCATENATE($C35,G$7),'Auxiliar Resultados'!$C$6:$BO$6,0)),"")))</f>
        <v/>
      </c>
      <c r="H35" s="52" t="str">
        <f>+IF(IF($B35="","",IFERROR(INDEX('Auxiliar Resultados'!$C$9:$BO$50,MATCH($B35,'Auxiliar Resultados'!$B$9:$B$50,0),MATCH(CONCATENATE($C35,H$7),'Auxiliar Resultados'!$C$6:$BO$6,0)),""))=0,"",IF($B35="","",IFERROR(INDEX('Auxiliar Resultados'!$C$9:$BO$50,MATCH($B35,'Auxiliar Resultados'!$B$9:$B$50,0),MATCH(CONCATENATE($C35,H$7),'Auxiliar Resultados'!$C$6:$BO$6,0)),"")))</f>
        <v/>
      </c>
      <c r="I35" s="52" t="str">
        <f>+IF(IF($B35="","",IFERROR(INDEX('Auxiliar Resultados'!$C$9:$BO$50,MATCH($B35,'Auxiliar Resultados'!$B$9:$B$50,0),MATCH(CONCATENATE($C35,I$7),'Auxiliar Resultados'!$C$6:$BO$6,0)),""))=0,"",IF($B35="","",IFERROR(INDEX('Auxiliar Resultados'!$C$9:$BO$50,MATCH($B35,'Auxiliar Resultados'!$B$9:$B$50,0),MATCH(CONCATENATE($C35,I$7),'Auxiliar Resultados'!$C$6:$BO$6,0)),"")))</f>
        <v/>
      </c>
      <c r="J35" s="52" t="str">
        <f>+IF(IF($B35="","",IFERROR(INDEX('Auxiliar Resultados'!$C$9:$BO$50,MATCH($B35,'Auxiliar Resultados'!$B$9:$B$50,0),MATCH(CONCATENATE($C35,J$7),'Auxiliar Resultados'!$C$6:$BO$6,0)),""))=0,"",IF($B35="","",IFERROR(INDEX('Auxiliar Resultados'!$C$9:$BO$50,MATCH($B35,'Auxiliar Resultados'!$B$9:$B$50,0),MATCH(CONCATENATE($C35,J$7),'Auxiliar Resultados'!$C$6:$BO$6,0)),"")))</f>
        <v/>
      </c>
      <c r="K35" s="52" t="str">
        <f>+IF(IF($B35="","",IFERROR(INDEX('Auxiliar Resultados'!$C$9:$BO$50,MATCH($B35,'Auxiliar Resultados'!$B$9:$B$50,0),MATCH(CONCATENATE($C35,K$7),'Auxiliar Resultados'!$C$6:$BO$6,0)),""))=0,"",IF($B35="","",IFERROR(INDEX('Auxiliar Resultados'!$C$9:$BO$50,MATCH($B35,'Auxiliar Resultados'!$B$9:$B$50,0),MATCH(CONCATENATE($C35,K$7),'Auxiliar Resultados'!$C$6:$BO$6,0)),"")))</f>
        <v/>
      </c>
      <c r="L35" s="52" t="str">
        <f>+IF(IF($B35="","",IFERROR(INDEX('Auxiliar Resultados'!$C$9:$BO$50,MATCH($B35,'Auxiliar Resultados'!$B$9:$B$50,0),MATCH(CONCATENATE($C35,L$7),'Auxiliar Resultados'!$C$6:$BO$6,0)),""))=0,"",IF($B35="","",IFERROR(INDEX('Auxiliar Resultados'!$C$9:$BO$50,MATCH($B35,'Auxiliar Resultados'!$B$9:$B$50,0),MATCH(CONCATENATE($C35,L$7),'Auxiliar Resultados'!$C$6:$BO$6,0)),"")))</f>
        <v/>
      </c>
      <c r="M35" s="52" t="str">
        <f>+IF(IF($B35="","",IFERROR(INDEX('Auxiliar Resultados'!$C$9:$BO$50,MATCH($B35,'Auxiliar Resultados'!$B$9:$B$50,0),MATCH(CONCATENATE($C35,M$7),'Auxiliar Resultados'!$C$6:$BO$6,0)),""))=0,"",IF($B35="","",IFERROR(INDEX('Auxiliar Resultados'!$C$9:$BO$50,MATCH($B35,'Auxiliar Resultados'!$B$9:$B$50,0),MATCH(CONCATENATE($C35,M$7),'Auxiliar Resultados'!$C$6:$BO$6,0)),"")))</f>
        <v/>
      </c>
      <c r="N35" s="52" t="str">
        <f>+IF(IF($B35="","",IFERROR(INDEX('Auxiliar Resultados'!$C$9:$BO$50,MATCH($B35,'Auxiliar Resultados'!$B$9:$B$50,0),MATCH(CONCATENATE($C35,N$7),'Auxiliar Resultados'!$C$6:$BO$6,0)),""))=0,"",IF($B35="","",IFERROR(INDEX('Auxiliar Resultados'!$C$9:$BO$50,MATCH($B35,'Auxiliar Resultados'!$B$9:$B$50,0),MATCH(CONCATENATE($C35,N$7),'Auxiliar Resultados'!$C$6:$BO$6,0)),"")))</f>
        <v/>
      </c>
      <c r="O35" s="52" t="str">
        <f>+IF(IF($B35="","",IFERROR(INDEX('Auxiliar Resultados'!$C$9:$BO$50,MATCH($B35,'Auxiliar Resultados'!$B$9:$B$50,0),MATCH(CONCATENATE($C35,O$7),'Auxiliar Resultados'!$C$6:$BO$6,0)),""))=0,"",IF($B35="","",IFERROR(INDEX('Auxiliar Resultados'!$C$9:$BO$50,MATCH($B35,'Auxiliar Resultados'!$B$9:$B$50,0),MATCH(CONCATENATE($C35,O$7),'Auxiliar Resultados'!$C$6:$BO$6,0)),"")))</f>
        <v/>
      </c>
      <c r="P35" s="52" t="str">
        <f>+IF(IF($B35="","",IFERROR(INDEX('Auxiliar Resultados'!$C$9:$BO$50,MATCH($B35,'Auxiliar Resultados'!$B$9:$B$50,0),MATCH(CONCATENATE($C35,P$7),'Auxiliar Resultados'!$C$6:$BO$6,0)),""))=0,"",IF($B35="","",IFERROR(INDEX('Auxiliar Resultados'!$C$9:$BO$50,MATCH($B35,'Auxiliar Resultados'!$B$9:$B$50,0),MATCH(CONCATENATE($C35,P$7),'Auxiliar Resultados'!$C$6:$BO$6,0)),"")))</f>
        <v/>
      </c>
      <c r="Q35" s="52" t="str">
        <f>+IF(IF($B35="","",IFERROR(INDEX('Auxiliar Resultados'!$C$9:$BO$50,MATCH($B35,'Auxiliar Resultados'!$B$9:$B$50,0),MATCH(CONCATENATE($C35,Q$7),'Auxiliar Resultados'!$C$6:$BO$6,0)),""))=0,"",IF($B35="","",IFERROR(INDEX('Auxiliar Resultados'!$C$9:$BO$50,MATCH($B35,'Auxiliar Resultados'!$B$9:$B$50,0),MATCH(CONCATENATE($C35,Q$7),'Auxiliar Resultados'!$C$6:$BO$6,0)),"")))</f>
        <v/>
      </c>
      <c r="R35" s="52" t="str">
        <f>+IF(IF($B35="","",IFERROR(INDEX('Auxiliar Resultados'!$C$9:$BO$50,MATCH($B35,'Auxiliar Resultados'!$B$9:$B$50,0),MATCH(CONCATENATE($C35,R$7),'Auxiliar Resultados'!$C$6:$BO$6,0)),""))=0,"",IF($B35="","",IFERROR(INDEX('Auxiliar Resultados'!$C$9:$BO$50,MATCH($B35,'Auxiliar Resultados'!$B$9:$B$50,0),MATCH(CONCATENATE($C35,R$7),'Auxiliar Resultados'!$C$6:$BO$6,0)),"")))</f>
        <v/>
      </c>
      <c r="S35" s="52" t="str">
        <f>+IF(IF($B35="","",IFERROR(INDEX('Auxiliar Resultados'!$C$9:$BO$50,MATCH($B35,'Auxiliar Resultados'!$B$9:$B$50,0),MATCH(CONCATENATE($C35,S$7),'Auxiliar Resultados'!$C$6:$BO$6,0)),""))=0,"",IF($B35="","",IFERROR(INDEX('Auxiliar Resultados'!$C$9:$BO$50,MATCH($B35,'Auxiliar Resultados'!$B$9:$B$50,0),MATCH(CONCATENATE($C35,S$7),'Auxiliar Resultados'!$C$6:$BO$6,0)),"")))</f>
        <v/>
      </c>
      <c r="T35" s="52" t="str">
        <f>+IF(IF($B35="","",IFERROR(INDEX('Auxiliar Resultados'!$C$9:$BO$50,MATCH($B35,'Auxiliar Resultados'!$B$9:$B$50,0),MATCH(CONCATENATE($C35,T$7),'Auxiliar Resultados'!$C$6:$BO$6,0)),""))=0,"",IF($B35="","",IFERROR(INDEX('Auxiliar Resultados'!$C$9:$BO$50,MATCH($B35,'Auxiliar Resultados'!$B$9:$B$50,0),MATCH(CONCATENATE($C35,T$7),'Auxiliar Resultados'!$C$6:$BO$6,0)),"")))</f>
        <v/>
      </c>
      <c r="U35" s="52" t="str">
        <f>+IF(IF($B35="","",IFERROR(INDEX('Auxiliar Resultados'!$C$9:$BO$50,MATCH($B35,'Auxiliar Resultados'!$B$9:$B$50,0),MATCH(CONCATENATE($C35,U$7),'Auxiliar Resultados'!$C$6:$BO$6,0)),""))=0,"",IF($B35="","",IFERROR(INDEX('Auxiliar Resultados'!$C$9:$BO$50,MATCH($B35,'Auxiliar Resultados'!$B$9:$B$50,0),MATCH(CONCATENATE($C35,U$7),'Auxiliar Resultados'!$C$6:$BO$6,0)),"")))</f>
        <v/>
      </c>
      <c r="V35" s="52" t="str">
        <f>+IF(IF($B35="","",IFERROR(INDEX('Auxiliar Resultados'!$C$9:$BO$50,MATCH($B35,'Auxiliar Resultados'!$B$9:$B$50,0),MATCH(CONCATENATE($C35,V$7),'Auxiliar Resultados'!$C$6:$BO$6,0)),""))=0,"",IF($B35="","",IFERROR(INDEX('Auxiliar Resultados'!$C$9:$BO$50,MATCH($B35,'Auxiliar Resultados'!$B$9:$B$50,0),MATCH(CONCATENATE($C35,V$7),'Auxiliar Resultados'!$C$6:$BO$6,0)),"")))</f>
        <v/>
      </c>
      <c r="W35" s="52" t="str">
        <f>+IF(IF($B35="","",IFERROR(INDEX('Auxiliar Resultados'!$C$9:$BO$50,MATCH($B35,'Auxiliar Resultados'!$B$9:$B$50,0),MATCH(CONCATENATE($C35,W$7),'Auxiliar Resultados'!$C$6:$BO$6,0)),""))=0,"",IF($B35="","",IFERROR(INDEX('Auxiliar Resultados'!$C$9:$BO$50,MATCH($B35,'Auxiliar Resultados'!$B$9:$B$50,0),MATCH(CONCATENATE($C35,W$7),'Auxiliar Resultados'!$C$6:$BO$6,0)),"")))</f>
        <v/>
      </c>
      <c r="X35" s="52" t="str">
        <f>+IF(IF($B35="","",IFERROR(INDEX('Auxiliar Resultados'!$C$9:$BO$50,MATCH($B35,'Auxiliar Resultados'!$B$9:$B$50,0),MATCH(CONCATENATE($C35,X$7),'Auxiliar Resultados'!$C$6:$BO$6,0)),""))=0,"",IF($B35="","",IFERROR(INDEX('Auxiliar Resultados'!$C$9:$BO$50,MATCH($B35,'Auxiliar Resultados'!$B$9:$B$50,0),MATCH(CONCATENATE($C35,X$7),'Auxiliar Resultados'!$C$6:$BO$6,0)),"")))</f>
        <v/>
      </c>
      <c r="Y35" s="52" t="str">
        <f>+IF(IF($B35="","",IFERROR(INDEX('Auxiliar Resultados'!$C$9:$BO$50,MATCH($B35,'Auxiliar Resultados'!$B$9:$B$50,0),MATCH(CONCATENATE($C35,Y$7),'Auxiliar Resultados'!$C$6:$BO$6,0)),""))=0,"",IF($B35="","",IFERROR(INDEX('Auxiliar Resultados'!$C$9:$BO$50,MATCH($B35,'Auxiliar Resultados'!$B$9:$B$50,0),MATCH(CONCATENATE($C35,Y$7),'Auxiliar Resultados'!$C$6:$BO$6,0)),"")))</f>
        <v/>
      </c>
      <c r="Z35" s="52" t="str">
        <f>+IF(IF($B35="","",IFERROR(INDEX('Auxiliar Resultados'!$C$9:$BO$50,MATCH($B35,'Auxiliar Resultados'!$B$9:$B$50,0),MATCH(CONCATENATE($C35,Z$7),'Auxiliar Resultados'!$C$6:$BO$6,0)),""))=0,"",IF($B35="","",IFERROR(INDEX('Auxiliar Resultados'!$C$9:$BO$50,MATCH($B35,'Auxiliar Resultados'!$B$9:$B$50,0),MATCH(CONCATENATE($C35,Z$7),'Auxiliar Resultados'!$C$6:$BO$6,0)),"")))</f>
        <v/>
      </c>
      <c r="AA35" s="52" t="str">
        <f>+IF(IF($B35="","",IFERROR(INDEX('Auxiliar Resultados'!$C$9:$BO$50,MATCH($B35,'Auxiliar Resultados'!$B$9:$B$50,0),MATCH(CONCATENATE($C35,AA$7),'Auxiliar Resultados'!$C$6:$BO$6,0)),""))=0,"",IF($B35="","",IFERROR(INDEX('Auxiliar Resultados'!$C$9:$BO$50,MATCH($B35,'Auxiliar Resultados'!$B$9:$B$50,0),MATCH(CONCATENATE($C35,AA$7),'Auxiliar Resultados'!$C$6:$BO$6,0)),"")))</f>
        <v/>
      </c>
      <c r="AB35" s="52" t="str">
        <f>+IF(IF($B35="","",IFERROR(INDEX('Auxiliar Resultados'!$C$9:$BO$50,MATCH($B35,'Auxiliar Resultados'!$B$9:$B$50,0),MATCH(CONCATENATE($C35,AB$7),'Auxiliar Resultados'!$C$6:$BO$6,0)),""))=0,"",IF($B35="","",IFERROR(INDEX('Auxiliar Resultados'!$C$9:$BO$50,MATCH($B35,'Auxiliar Resultados'!$B$9:$B$50,0),MATCH(CONCATENATE($C35,AB$7),'Auxiliar Resultados'!$C$6:$BO$6,0)),"")))</f>
        <v/>
      </c>
      <c r="AC35" s="52" t="str">
        <f>+IF(IF($B35="","",IFERROR(INDEX('Auxiliar Resultados'!$C$9:$BO$50,MATCH($B35,'Auxiliar Resultados'!$B$9:$B$50,0),MATCH(CONCATENATE($C35,AC$7),'Auxiliar Resultados'!$C$6:$BO$6,0)),""))=0,"",IF($B35="","",IFERROR(INDEX('Auxiliar Resultados'!$C$9:$BO$50,MATCH($B35,'Auxiliar Resultados'!$B$9:$B$50,0),MATCH(CONCATENATE($C35,AC$7),'Auxiliar Resultados'!$C$6:$BO$6,0)),"")))</f>
        <v/>
      </c>
      <c r="AD35" s="52" t="str">
        <f>+IF(IF($B35="","",IFERROR(INDEX('Auxiliar Resultados'!$C$9:$BO$50,MATCH($B35,'Auxiliar Resultados'!$B$9:$B$50,0),MATCH(CONCATENATE($C35,AD$7),'Auxiliar Resultados'!$C$6:$BO$6,0)),""))=0,"",IF($B35="","",IFERROR(INDEX('Auxiliar Resultados'!$C$9:$BO$50,MATCH($B35,'Auxiliar Resultados'!$B$9:$B$50,0),MATCH(CONCATENATE($C35,AD$7),'Auxiliar Resultados'!$C$6:$BO$6,0)),"")))</f>
        <v/>
      </c>
      <c r="AE35" s="52" t="str">
        <f>+IF(IF($B35="","",IFERROR(INDEX('Auxiliar Resultados'!$C$9:$BO$50,MATCH($B35,'Auxiliar Resultados'!$B$9:$B$50,0),MATCH(CONCATENATE($C35,AE$7),'Auxiliar Resultados'!$C$6:$BO$6,0)),""))=0,"",IF($B35="","",IFERROR(INDEX('Auxiliar Resultados'!$C$9:$BO$50,MATCH($B35,'Auxiliar Resultados'!$B$9:$B$50,0),MATCH(CONCATENATE($C35,AE$7),'Auxiliar Resultados'!$C$6:$BO$6,0)),"")))</f>
        <v/>
      </c>
      <c r="AF35" s="52" t="str">
        <f>+IF(IF($B35="","",IFERROR(INDEX('Auxiliar Resultados'!$C$9:$BO$50,MATCH($B35,'Auxiliar Resultados'!$B$9:$B$50,0),MATCH(CONCATENATE($C35,AF$7),'Auxiliar Resultados'!$C$6:$BO$6,0)),""))=0,"",IF($B35="","",IFERROR(INDEX('Auxiliar Resultados'!$C$9:$BO$50,MATCH($B35,'Auxiliar Resultados'!$B$9:$B$50,0),MATCH(CONCATENATE($C35,AF$7),'Auxiliar Resultados'!$C$6:$BO$6,0)),"")))</f>
        <v/>
      </c>
      <c r="AG35" s="52" t="str">
        <f>+IF(IF($B35="","",IFERROR(INDEX('Auxiliar Resultados'!$C$9:$BO$50,MATCH($B35,'Auxiliar Resultados'!$B$9:$B$50,0),MATCH(CONCATENATE($C35,AG$7),'Auxiliar Resultados'!$C$6:$BO$6,0)),""))=0,"",IF($B35="","",IFERROR(INDEX('Auxiliar Resultados'!$C$9:$BO$50,MATCH($B35,'Auxiliar Resultados'!$B$9:$B$50,0),MATCH(CONCATENATE($C35,AG$7),'Auxiliar Resultados'!$C$6:$BO$6,0)),"")))</f>
        <v/>
      </c>
      <c r="AH35" s="52" t="str">
        <f>+IF(IF($B35="","",IFERROR(INDEX('Auxiliar Resultados'!$C$9:$BO$50,MATCH($B35,'Auxiliar Resultados'!$B$9:$B$50,0),MATCH(CONCATENATE($C35,AH$7),'Auxiliar Resultados'!$C$6:$BO$6,0)),""))=0,"",IF($B35="","",IFERROR(INDEX('Auxiliar Resultados'!$C$9:$BO$50,MATCH($B35,'Auxiliar Resultados'!$B$9:$B$50,0),MATCH(CONCATENATE($C35,AH$7),'Auxiliar Resultados'!$C$6:$BO$6,0)),"")))</f>
        <v/>
      </c>
      <c r="AI35" s="52" t="str">
        <f>+IF(IF($B35="","",IFERROR(INDEX('Auxiliar Resultados'!$C$9:$BO$50,MATCH($B35,'Auxiliar Resultados'!$B$9:$B$50,0),MATCH(CONCATENATE($C35,AI$7),'Auxiliar Resultados'!$C$6:$BO$6,0)),""))=0,"",IF($B35="","",IFERROR(INDEX('Auxiliar Resultados'!$C$9:$BO$50,MATCH($B35,'Auxiliar Resultados'!$B$9:$B$50,0),MATCH(CONCATENATE($C35,AI$7),'Auxiliar Resultados'!$C$6:$BO$6,0)),"")))</f>
        <v/>
      </c>
      <c r="AJ35" s="52" t="str">
        <f>+IF(IF($B35="","",IFERROR(INDEX('Auxiliar Resultados'!$C$9:$BO$50,MATCH($B35,'Auxiliar Resultados'!$B$9:$B$50,0),MATCH(CONCATENATE($C35,AJ$7),'Auxiliar Resultados'!$C$6:$BO$6,0)),""))=0,"",IF($B35="","",IFERROR(INDEX('Auxiliar Resultados'!$C$9:$BO$50,MATCH($B35,'Auxiliar Resultados'!$B$9:$B$50,0),MATCH(CONCATENATE($C35,AJ$7),'Auxiliar Resultados'!$C$6:$BO$6,0)),"")))</f>
        <v/>
      </c>
      <c r="AK35" s="52" t="str">
        <f>+IF(IF($B35="","",IFERROR(INDEX('Auxiliar Resultados'!$C$9:$BO$50,MATCH($B35,'Auxiliar Resultados'!$B$9:$B$50,0),MATCH(CONCATENATE($C35,AK$7),'Auxiliar Resultados'!$C$6:$BO$6,0)),""))=0,"",IF($B35="","",IFERROR(INDEX('Auxiliar Resultados'!$C$9:$BO$50,MATCH($B35,'Auxiliar Resultados'!$B$9:$B$50,0),MATCH(CONCATENATE($C35,AK$7),'Auxiliar Resultados'!$C$6:$BO$6,0)),"")))</f>
        <v/>
      </c>
      <c r="AL35" s="52" t="str">
        <f>+IF(IF($B35="","",IFERROR(INDEX('Auxiliar Resultados'!$C$9:$BO$50,MATCH($B35,'Auxiliar Resultados'!$B$9:$B$50,0),MATCH(CONCATENATE($C35,AL$7),'Auxiliar Resultados'!$C$6:$BO$6,0)),""))=0,"",IF($B35="","",IFERROR(INDEX('Auxiliar Resultados'!$C$9:$BO$50,MATCH($B35,'Auxiliar Resultados'!$B$9:$B$50,0),MATCH(CONCATENATE($C35,AL$7),'Auxiliar Resultados'!$C$6:$BO$6,0)),"")))</f>
        <v/>
      </c>
      <c r="AM35" s="52" t="str">
        <f>+IF(IF($B35="","",IFERROR(INDEX('Auxiliar Resultados'!$C$9:$BO$50,MATCH($B35,'Auxiliar Resultados'!$B$9:$B$50,0),MATCH(CONCATENATE($C35,AM$7),'Auxiliar Resultados'!$C$6:$BO$6,0)),""))=0,"",IF($B35="","",IFERROR(INDEX('Auxiliar Resultados'!$C$9:$BO$50,MATCH($B35,'Auxiliar Resultados'!$B$9:$B$50,0),MATCH(CONCATENATE($C35,AM$7),'Auxiliar Resultados'!$C$6:$BO$6,0)),"")))</f>
        <v/>
      </c>
      <c r="AN35" s="52" t="str">
        <f>+IF(IF($B35="","",IFERROR(INDEX('Auxiliar Resultados'!$C$9:$BO$50,MATCH($B35,'Auxiliar Resultados'!$B$9:$B$50,0),MATCH(CONCATENATE($C35,AN$7),'Auxiliar Resultados'!$C$6:$BO$6,0)),""))=0,"",IF($B35="","",IFERROR(INDEX('Auxiliar Resultados'!$C$9:$BO$50,MATCH($B35,'Auxiliar Resultados'!$B$9:$B$50,0),MATCH(CONCATENATE($C35,AN$7),'Auxiliar Resultados'!$C$6:$BO$6,0)),"")))</f>
        <v/>
      </c>
      <c r="AO35" s="52" t="str">
        <f>+IF(IF($B35="","",IFERROR(INDEX('Auxiliar Resultados'!$C$9:$BO$50,MATCH($B35,'Auxiliar Resultados'!$B$9:$B$50,0),MATCH(CONCATENATE($C35,AO$7),'Auxiliar Resultados'!$C$6:$BO$6,0)),""))=0,"",IF($B35="","",IFERROR(INDEX('Auxiliar Resultados'!$C$9:$BO$50,MATCH($B35,'Auxiliar Resultados'!$B$9:$B$50,0),MATCH(CONCATENATE($C35,AO$7),'Auxiliar Resultados'!$C$6:$BO$6,0)),"")))</f>
        <v/>
      </c>
      <c r="AP35" s="52" t="str">
        <f>+IF(IF($B35="","",IFERROR(INDEX('Auxiliar Resultados'!$C$9:$BO$50,MATCH($B35,'Auxiliar Resultados'!$B$9:$B$50,0),MATCH(CONCATENATE($C35,AP$7),'Auxiliar Resultados'!$C$6:$BO$6,0)),""))=0,"",IF($B35="","",IFERROR(INDEX('Auxiliar Resultados'!$C$9:$BO$50,MATCH($B35,'Auxiliar Resultados'!$B$9:$B$50,0),MATCH(CONCATENATE($C35,AP$7),'Auxiliar Resultados'!$C$6:$BO$6,0)),"")))</f>
        <v/>
      </c>
      <c r="AQ35" s="276" t="str">
        <f>+IF(IF($B35="","",IFERROR(INDEX('Auxiliar Resultados'!$C$9:$BO$50,MATCH($B35,'Auxiliar Resultados'!$B$9:$B$50,0),MATCH(CONCATENATE($C35,AQ$7),'Auxiliar Resultados'!$C$6:$BO$6,0)),""))=0,"",IF($B35="","",IFERROR(INDEX('Auxiliar Resultados'!$C$9:$BO$50,MATCH($B35,'Auxiliar Resultados'!$B$9:$B$50,0),MATCH(CONCATENATE($C35,AQ$7),'Auxiliar Resultados'!$C$6:$BO$6,0)),"")))</f>
        <v/>
      </c>
      <c r="AS35" s="46" t="str">
        <f t="shared" si="5"/>
        <v/>
      </c>
      <c r="AT35" s="292" t="str">
        <f t="shared" si="6"/>
        <v/>
      </c>
      <c r="AU35" s="36" t="str">
        <f>+IF(G35="","",INDEX('Modelo Optimización'!$AZ$4:$CO$149,MATCH(CONCATENATE(AU$7,$AT35),'Modelo Optimización'!$CQ$4:$CQ$149,0),MATCH($AS35,'Modelo Optimización'!$AZ$3:$CO$3,0)))</f>
        <v/>
      </c>
      <c r="AV35" s="32" t="str">
        <f>+IF(H35="","",INDEX('Modelo Optimización'!$AZ$4:$CO$149,MATCH(CONCATENATE(AV$7,$AT35),'Modelo Optimización'!$CQ$4:$CQ$149,0),MATCH($AS35,'Modelo Optimización'!$AZ$3:$CO$3,0)))</f>
        <v/>
      </c>
      <c r="AW35" s="32" t="str">
        <f>+IF(I35="","",INDEX('Modelo Optimización'!$AZ$4:$CO$149,MATCH(CONCATENATE(AW$7,$AT35),'Modelo Optimización'!$CQ$4:$CQ$149,0),MATCH($AS35,'Modelo Optimización'!$AZ$3:$CO$3,0)))</f>
        <v/>
      </c>
      <c r="AX35" s="32" t="str">
        <f>+IF(J35="","",INDEX('Modelo Optimización'!$AZ$4:$CO$149,MATCH(CONCATENATE(AX$7,$AT35),'Modelo Optimización'!$CQ$4:$CQ$149,0),MATCH($AS35,'Modelo Optimización'!$AZ$3:$CO$3,0)))</f>
        <v/>
      </c>
      <c r="AY35" s="32" t="str">
        <f>+IF(K35="","",INDEX('Modelo Optimización'!$AZ$4:$CO$149,MATCH(CONCATENATE(AY$7,$AT35),'Modelo Optimización'!$CQ$4:$CQ$149,0),MATCH($AS35,'Modelo Optimización'!$AZ$3:$CO$3,0)))</f>
        <v/>
      </c>
      <c r="AZ35" s="32" t="str">
        <f>+IF(L35="","",INDEX('Modelo Optimización'!$AZ$4:$CO$149,MATCH(CONCATENATE(AZ$7,$AT35),'Modelo Optimización'!$CQ$4:$CQ$149,0),MATCH($AS35,'Modelo Optimización'!$AZ$3:$CO$3,0)))</f>
        <v/>
      </c>
      <c r="BA35" s="32" t="str">
        <f>+IF(M35="","",INDEX('Modelo Optimización'!$AZ$4:$CO$149,MATCH(CONCATENATE(BA$7,$AT35),'Modelo Optimización'!$CQ$4:$CQ$149,0),MATCH($AS35,'Modelo Optimización'!$AZ$3:$CO$3,0)))</f>
        <v/>
      </c>
      <c r="BB35" s="32" t="str">
        <f>+IF(N35="","",INDEX('Modelo Optimización'!$AZ$4:$CO$149,MATCH(CONCATENATE(BB$7,$AT35),'Modelo Optimización'!$CQ$4:$CQ$149,0),MATCH($AS35,'Modelo Optimización'!$AZ$3:$CO$3,0)))</f>
        <v/>
      </c>
      <c r="BC35" s="32" t="str">
        <f>+IF(O35="","",INDEX('Modelo Optimización'!$AZ$4:$CO$149,MATCH(CONCATENATE(BC$7,$AT35),'Modelo Optimización'!$CQ$4:$CQ$149,0),MATCH($AS35,'Modelo Optimización'!$AZ$3:$CO$3,0)))</f>
        <v/>
      </c>
      <c r="BD35" s="32" t="str">
        <f>+IF(P35="","",INDEX('Modelo Optimización'!$AZ$4:$CO$149,MATCH(CONCATENATE(BD$7,$AT35),'Modelo Optimización'!$CQ$4:$CQ$149,0),MATCH($AS35,'Modelo Optimización'!$AZ$3:$CO$3,0)))</f>
        <v/>
      </c>
      <c r="BE35" s="32" t="str">
        <f>+IF(Q35="","",INDEX('Modelo Optimización'!$AZ$4:$CO$149,MATCH(CONCATENATE(BE$7,$AT35),'Modelo Optimización'!$CQ$4:$CQ$149,0),MATCH($AS35,'Modelo Optimización'!$AZ$3:$CO$3,0)))</f>
        <v/>
      </c>
      <c r="BF35" s="32" t="str">
        <f>+IF(R35="","",INDEX('Modelo Optimización'!$AZ$4:$CO$149,MATCH(CONCATENATE(BF$7,$AT35),'Modelo Optimización'!$CQ$4:$CQ$149,0),MATCH($AS35,'Modelo Optimización'!$AZ$3:$CO$3,0)))</f>
        <v/>
      </c>
      <c r="BG35" s="32" t="str">
        <f>+IF(S35="","",INDEX('Modelo Optimización'!$AZ$4:$CO$149,MATCH(CONCATENATE(BG$7,$AT35),'Modelo Optimización'!$CQ$4:$CQ$149,0),MATCH($AS35,'Modelo Optimización'!$AZ$3:$CO$3,0)))</f>
        <v/>
      </c>
      <c r="BH35" s="32" t="str">
        <f>+IF(T35="","",INDEX('Modelo Optimización'!$AZ$4:$CO$149,MATCH(CONCATENATE(BH$7,$AT35),'Modelo Optimización'!$CQ$4:$CQ$149,0),MATCH($AS35,'Modelo Optimización'!$AZ$3:$CO$3,0)))</f>
        <v/>
      </c>
      <c r="BI35" s="32" t="str">
        <f>+IF(U35="","",INDEX('Modelo Optimización'!$AZ$4:$CO$149,MATCH(CONCATENATE(BI$7,$AT35),'Modelo Optimización'!$CQ$4:$CQ$149,0),MATCH($AS35,'Modelo Optimización'!$AZ$3:$CO$3,0)))</f>
        <v/>
      </c>
      <c r="BJ35" s="32" t="str">
        <f>+IF(V35="","",INDEX('Modelo Optimización'!$AZ$4:$CO$149,MATCH(CONCATENATE(BJ$7,$AT35),'Modelo Optimización'!$CQ$4:$CQ$149,0),MATCH($AS35,'Modelo Optimización'!$AZ$3:$CO$3,0)))</f>
        <v/>
      </c>
      <c r="BK35" s="32" t="str">
        <f>+IF(W35="","",INDEX('Modelo Optimización'!$AZ$4:$CO$149,MATCH(CONCATENATE(BK$7,$AT35),'Modelo Optimización'!$CQ$4:$CQ$149,0),MATCH($AS35,'Modelo Optimización'!$AZ$3:$CO$3,0)))</f>
        <v/>
      </c>
      <c r="BL35" s="32" t="str">
        <f>+IF(X35="","",INDEX('Modelo Optimización'!$AZ$4:$CO$149,MATCH(CONCATENATE(BL$7,$AT35),'Modelo Optimización'!$CQ$4:$CQ$149,0),MATCH($AS35,'Modelo Optimización'!$AZ$3:$CO$3,0)))</f>
        <v/>
      </c>
      <c r="BM35" s="32" t="str">
        <f>+IF(Y35="","",INDEX('Modelo Optimización'!$AZ$4:$CO$149,MATCH(CONCATENATE(BM$7,$AT35),'Modelo Optimización'!$CQ$4:$CQ$149,0),MATCH($AS35,'Modelo Optimización'!$AZ$3:$CO$3,0)))</f>
        <v/>
      </c>
      <c r="BN35" s="32" t="str">
        <f>+IF(Z35="","",INDEX('Modelo Optimización'!$AZ$4:$CO$149,MATCH(CONCATENATE(BN$7,$AT35),'Modelo Optimización'!$CQ$4:$CQ$149,0),MATCH($AS35,'Modelo Optimización'!$AZ$3:$CO$3,0)))</f>
        <v/>
      </c>
      <c r="BO35" s="32" t="str">
        <f>+IF(AA35="","",INDEX('Modelo Optimización'!$AZ$4:$CO$149,MATCH(CONCATENATE(BO$7,$AT35),'Modelo Optimización'!$CQ$4:$CQ$149,0),MATCH($AS35,'Modelo Optimización'!$AZ$3:$CO$3,0)))</f>
        <v/>
      </c>
      <c r="BP35" s="32" t="str">
        <f>+IF(AB35="","",INDEX('Modelo Optimización'!$AZ$4:$CO$149,MATCH(CONCATENATE(BP$7,$AT35),'Modelo Optimización'!$CQ$4:$CQ$149,0),MATCH($AS35,'Modelo Optimización'!$AZ$3:$CO$3,0)))</f>
        <v/>
      </c>
      <c r="BQ35" s="32" t="str">
        <f>+IF(AC35="","",INDEX('Modelo Optimización'!$AZ$4:$CO$149,MATCH(CONCATENATE(BQ$7,$AT35),'Modelo Optimización'!$CQ$4:$CQ$149,0),MATCH($AS35,'Modelo Optimización'!$AZ$3:$CO$3,0)))</f>
        <v/>
      </c>
      <c r="BR35" s="32" t="str">
        <f>+IF(AD35="","",INDEX('Modelo Optimización'!$AZ$4:$CO$149,MATCH(CONCATENATE(BR$7,$AT35),'Modelo Optimización'!$CQ$4:$CQ$149,0),MATCH($AS35,'Modelo Optimización'!$AZ$3:$CO$3,0)))</f>
        <v/>
      </c>
      <c r="BS35" s="32" t="str">
        <f>+IF(AE35="","",INDEX('Modelo Optimización'!$AZ$4:$CO$149,MATCH(CONCATENATE(BS$7,$AT35),'Modelo Optimización'!$CQ$4:$CQ$149,0),MATCH($AS35,'Modelo Optimización'!$AZ$3:$CO$3,0)))</f>
        <v/>
      </c>
      <c r="BT35" s="32" t="str">
        <f>+IF(AF35="","",INDEX('Modelo Optimización'!$AZ$4:$CO$149,MATCH(CONCATENATE(BT$7,$AT35),'Modelo Optimización'!$CQ$4:$CQ$149,0),MATCH($AS35,'Modelo Optimización'!$AZ$3:$CO$3,0)))</f>
        <v/>
      </c>
      <c r="BU35" s="32" t="str">
        <f>+IF(AG35="","",INDEX('Modelo Optimización'!$AZ$4:$CO$149,MATCH(CONCATENATE(BU$7,$AT35),'Modelo Optimización'!$CQ$4:$CQ$149,0),MATCH($AS35,'Modelo Optimización'!$AZ$3:$CO$3,0)))</f>
        <v/>
      </c>
      <c r="BV35" s="32" t="str">
        <f>+IF(AH35="","",INDEX('Modelo Optimización'!$AZ$4:$CO$149,MATCH(CONCATENATE(BV$7,$AT35),'Modelo Optimización'!$CQ$4:$CQ$149,0),MATCH($AS35,'Modelo Optimización'!$AZ$3:$CO$3,0)))</f>
        <v/>
      </c>
      <c r="BW35" s="32" t="str">
        <f>+IF(AI35="","",INDEX('Modelo Optimización'!$AZ$4:$CO$149,MATCH(CONCATENATE(BW$7,$AT35),'Modelo Optimización'!$CQ$4:$CQ$149,0),MATCH($AS35,'Modelo Optimización'!$AZ$3:$CO$3,0)))</f>
        <v/>
      </c>
      <c r="BX35" s="32" t="str">
        <f>+IF(AJ35="","",INDEX('Modelo Optimización'!$AZ$4:$CO$149,MATCH(CONCATENATE(BX$7,$AT35),'Modelo Optimización'!$CQ$4:$CQ$149,0),MATCH($AS35,'Modelo Optimización'!$AZ$3:$CO$3,0)))</f>
        <v/>
      </c>
      <c r="BY35" s="32" t="str">
        <f>+IF(AK35="","",INDEX('Modelo Optimización'!$AZ$4:$CO$149,MATCH(CONCATENATE(BY$7,$AT35),'Modelo Optimización'!$CQ$4:$CQ$149,0),MATCH($AS35,'Modelo Optimización'!$AZ$3:$CO$3,0)))</f>
        <v/>
      </c>
      <c r="BZ35" s="32" t="str">
        <f>+IF(AL35="","",INDEX('Modelo Optimización'!$AZ$4:$CO$149,MATCH(CONCATENATE(BZ$7,$AT35),'Modelo Optimización'!$CQ$4:$CQ$149,0),MATCH($AS35,'Modelo Optimización'!$AZ$3:$CO$3,0)))</f>
        <v/>
      </c>
      <c r="CA35" s="32" t="str">
        <f>+IF(AM35="","",INDEX('Modelo Optimización'!$AZ$4:$CO$149,MATCH(CONCATENATE(CA$7,$AT35),'Modelo Optimización'!$CQ$4:$CQ$149,0),MATCH($AS35,'Modelo Optimización'!$AZ$3:$CO$3,0)))</f>
        <v/>
      </c>
      <c r="CB35" s="32" t="str">
        <f>+IF(AN35="","",INDEX('Modelo Optimización'!$AZ$4:$CO$149,MATCH(CONCATENATE(CB$7,$AT35),'Modelo Optimización'!$CQ$4:$CQ$149,0),MATCH($AS35,'Modelo Optimización'!$AZ$3:$CO$3,0)))</f>
        <v/>
      </c>
      <c r="CC35" s="32" t="str">
        <f>+IF(AO35="","",INDEX('Modelo Optimización'!$AZ$4:$CO$149,MATCH(CONCATENATE(CC$7,$AT35),'Modelo Optimización'!$CQ$4:$CQ$149,0),MATCH($AS35,'Modelo Optimización'!$AZ$3:$CO$3,0)))</f>
        <v/>
      </c>
      <c r="CD35" s="32" t="str">
        <f>+IF(AP35="","",INDEX('Modelo Optimización'!$AZ$4:$CO$149,MATCH(CONCATENATE(CD$7,$AT35),'Modelo Optimización'!$CQ$4:$CQ$149,0),MATCH($AS35,'Modelo Optimización'!$AZ$3:$CO$3,0)))</f>
        <v/>
      </c>
      <c r="CE35" s="37" t="str">
        <f>+IF(AQ35="","",INDEX('Modelo Optimización'!$AZ$4:$CO$149,MATCH(CONCATENATE(CE$7,$AT35),'Modelo Optimización'!$CQ$4:$CQ$149,0),MATCH($AS35,'Modelo Optimización'!$AZ$3:$CO$3,0)))</f>
        <v/>
      </c>
      <c r="CF35" s="301"/>
      <c r="CG35" s="305" t="str">
        <f t="shared" si="11"/>
        <v/>
      </c>
      <c r="CH35" s="303" t="str">
        <f t="shared" si="7"/>
        <v/>
      </c>
      <c r="CI35" s="292" t="str">
        <f t="shared" si="8"/>
        <v/>
      </c>
      <c r="CJ35" s="36" t="str">
        <f t="shared" si="12"/>
        <v/>
      </c>
      <c r="CK35" s="32" t="str">
        <f t="shared" si="13"/>
        <v/>
      </c>
      <c r="CL35" s="32" t="str">
        <f t="shared" si="14"/>
        <v/>
      </c>
      <c r="CM35" s="32" t="str">
        <f t="shared" si="15"/>
        <v/>
      </c>
      <c r="CN35" s="32" t="str">
        <f t="shared" si="16"/>
        <v/>
      </c>
      <c r="CO35" s="32" t="str">
        <f t="shared" si="17"/>
        <v/>
      </c>
      <c r="CP35" s="32" t="str">
        <f t="shared" si="18"/>
        <v/>
      </c>
      <c r="CQ35" s="32" t="str">
        <f t="shared" si="19"/>
        <v/>
      </c>
      <c r="CR35" s="32" t="str">
        <f t="shared" si="20"/>
        <v/>
      </c>
      <c r="CS35" s="32" t="str">
        <f t="shared" si="21"/>
        <v/>
      </c>
      <c r="CT35" s="32" t="str">
        <f t="shared" si="22"/>
        <v/>
      </c>
      <c r="CU35" s="32" t="str">
        <f t="shared" si="23"/>
        <v/>
      </c>
      <c r="CV35" s="32" t="str">
        <f t="shared" si="24"/>
        <v/>
      </c>
      <c r="CW35" s="32" t="str">
        <f t="shared" si="25"/>
        <v/>
      </c>
      <c r="CX35" s="32" t="str">
        <f t="shared" si="26"/>
        <v/>
      </c>
      <c r="CY35" s="32" t="str">
        <f t="shared" si="27"/>
        <v/>
      </c>
      <c r="CZ35" s="32" t="str">
        <f t="shared" si="28"/>
        <v/>
      </c>
      <c r="DA35" s="32" t="str">
        <f t="shared" si="29"/>
        <v/>
      </c>
      <c r="DB35" s="32" t="str">
        <f t="shared" si="30"/>
        <v/>
      </c>
      <c r="DC35" s="32" t="str">
        <f t="shared" si="31"/>
        <v/>
      </c>
      <c r="DD35" s="32" t="str">
        <f t="shared" si="32"/>
        <v/>
      </c>
      <c r="DE35" s="32" t="str">
        <f t="shared" si="33"/>
        <v/>
      </c>
      <c r="DF35" s="32" t="str">
        <f t="shared" si="34"/>
        <v/>
      </c>
      <c r="DG35" s="32" t="str">
        <f t="shared" si="35"/>
        <v/>
      </c>
      <c r="DH35" s="32" t="str">
        <f t="shared" si="36"/>
        <v/>
      </c>
      <c r="DI35" s="32" t="str">
        <f t="shared" si="37"/>
        <v/>
      </c>
      <c r="DJ35" s="32" t="str">
        <f t="shared" si="38"/>
        <v/>
      </c>
      <c r="DK35" s="32" t="str">
        <f t="shared" si="39"/>
        <v/>
      </c>
      <c r="DL35" s="32" t="str">
        <f t="shared" si="40"/>
        <v/>
      </c>
      <c r="DM35" s="32" t="str">
        <f t="shared" si="41"/>
        <v/>
      </c>
      <c r="DN35" s="32" t="str">
        <f t="shared" si="42"/>
        <v/>
      </c>
      <c r="DO35" s="32" t="str">
        <f t="shared" si="43"/>
        <v/>
      </c>
      <c r="DP35" s="32" t="str">
        <f t="shared" si="44"/>
        <v/>
      </c>
      <c r="DQ35" s="32" t="str">
        <f t="shared" si="45"/>
        <v/>
      </c>
      <c r="DR35" s="32" t="str">
        <f t="shared" si="46"/>
        <v/>
      </c>
      <c r="DS35" s="32" t="str">
        <f t="shared" si="47"/>
        <v/>
      </c>
      <c r="DT35" s="37" t="str">
        <f t="shared" si="48"/>
        <v/>
      </c>
    </row>
    <row r="36" spans="2:124" x14ac:dyDescent="0.35">
      <c r="B36" s="46"/>
      <c r="C36" s="212"/>
      <c r="D36" s="52"/>
      <c r="E36" s="52" t="str">
        <f>+IF(B36="","",IFERROR(SUMIF('Modelo Optimización'!$AS$72:$AS$217,C36,INDEX('Modelo Optimización'!$C$72:$AR$217,,MATCH(B36,'Modelo Optimización'!$C$71:$AR$71,0))),0))</f>
        <v/>
      </c>
      <c r="F36" s="281" t="str">
        <f t="shared" si="10"/>
        <v/>
      </c>
      <c r="G36" s="280" t="str">
        <f>+IF(IF($B36="","",IFERROR(INDEX('Auxiliar Resultados'!$C$9:$BO$50,MATCH($B36,'Auxiliar Resultados'!$B$9:$B$50,0),MATCH(CONCATENATE($C36,G$7),'Auxiliar Resultados'!$C$6:$BO$6,0)),""))=0,"",IF($B36="","",IFERROR(INDEX('Auxiliar Resultados'!$C$9:$BO$50,MATCH($B36,'Auxiliar Resultados'!$B$9:$B$50,0),MATCH(CONCATENATE($C36,G$7),'Auxiliar Resultados'!$C$6:$BO$6,0)),"")))</f>
        <v/>
      </c>
      <c r="H36" s="52" t="str">
        <f>+IF(IF($B36="","",IFERROR(INDEX('Auxiliar Resultados'!$C$9:$BO$50,MATCH($B36,'Auxiliar Resultados'!$B$9:$B$50,0),MATCH(CONCATENATE($C36,H$7),'Auxiliar Resultados'!$C$6:$BO$6,0)),""))=0,"",IF($B36="","",IFERROR(INDEX('Auxiliar Resultados'!$C$9:$BO$50,MATCH($B36,'Auxiliar Resultados'!$B$9:$B$50,0),MATCH(CONCATENATE($C36,H$7),'Auxiliar Resultados'!$C$6:$BO$6,0)),"")))</f>
        <v/>
      </c>
      <c r="I36" s="52" t="str">
        <f>+IF(IF($B36="","",IFERROR(INDEX('Auxiliar Resultados'!$C$9:$BO$50,MATCH($B36,'Auxiliar Resultados'!$B$9:$B$50,0),MATCH(CONCATENATE($C36,I$7),'Auxiliar Resultados'!$C$6:$BO$6,0)),""))=0,"",IF($B36="","",IFERROR(INDEX('Auxiliar Resultados'!$C$9:$BO$50,MATCH($B36,'Auxiliar Resultados'!$B$9:$B$50,0),MATCH(CONCATENATE($C36,I$7),'Auxiliar Resultados'!$C$6:$BO$6,0)),"")))</f>
        <v/>
      </c>
      <c r="J36" s="52" t="str">
        <f>+IF(IF($B36="","",IFERROR(INDEX('Auxiliar Resultados'!$C$9:$BO$50,MATCH($B36,'Auxiliar Resultados'!$B$9:$B$50,0),MATCH(CONCATENATE($C36,J$7),'Auxiliar Resultados'!$C$6:$BO$6,0)),""))=0,"",IF($B36="","",IFERROR(INDEX('Auxiliar Resultados'!$C$9:$BO$50,MATCH($B36,'Auxiliar Resultados'!$B$9:$B$50,0),MATCH(CONCATENATE($C36,J$7),'Auxiliar Resultados'!$C$6:$BO$6,0)),"")))</f>
        <v/>
      </c>
      <c r="K36" s="52" t="str">
        <f>+IF(IF($B36="","",IFERROR(INDEX('Auxiliar Resultados'!$C$9:$BO$50,MATCH($B36,'Auxiliar Resultados'!$B$9:$B$50,0),MATCH(CONCATENATE($C36,K$7),'Auxiliar Resultados'!$C$6:$BO$6,0)),""))=0,"",IF($B36="","",IFERROR(INDEX('Auxiliar Resultados'!$C$9:$BO$50,MATCH($B36,'Auxiliar Resultados'!$B$9:$B$50,0),MATCH(CONCATENATE($C36,K$7),'Auxiliar Resultados'!$C$6:$BO$6,0)),"")))</f>
        <v/>
      </c>
      <c r="L36" s="52" t="str">
        <f>+IF(IF($B36="","",IFERROR(INDEX('Auxiliar Resultados'!$C$9:$BO$50,MATCH($B36,'Auxiliar Resultados'!$B$9:$B$50,0),MATCH(CONCATENATE($C36,L$7),'Auxiliar Resultados'!$C$6:$BO$6,0)),""))=0,"",IF($B36="","",IFERROR(INDEX('Auxiliar Resultados'!$C$9:$BO$50,MATCH($B36,'Auxiliar Resultados'!$B$9:$B$50,0),MATCH(CONCATENATE($C36,L$7),'Auxiliar Resultados'!$C$6:$BO$6,0)),"")))</f>
        <v/>
      </c>
      <c r="M36" s="52" t="str">
        <f>+IF(IF($B36="","",IFERROR(INDEX('Auxiliar Resultados'!$C$9:$BO$50,MATCH($B36,'Auxiliar Resultados'!$B$9:$B$50,0),MATCH(CONCATENATE($C36,M$7),'Auxiliar Resultados'!$C$6:$BO$6,0)),""))=0,"",IF($B36="","",IFERROR(INDEX('Auxiliar Resultados'!$C$9:$BO$50,MATCH($B36,'Auxiliar Resultados'!$B$9:$B$50,0),MATCH(CONCATENATE($C36,M$7),'Auxiliar Resultados'!$C$6:$BO$6,0)),"")))</f>
        <v/>
      </c>
      <c r="N36" s="52" t="str">
        <f>+IF(IF($B36="","",IFERROR(INDEX('Auxiliar Resultados'!$C$9:$BO$50,MATCH($B36,'Auxiliar Resultados'!$B$9:$B$50,0),MATCH(CONCATENATE($C36,N$7),'Auxiliar Resultados'!$C$6:$BO$6,0)),""))=0,"",IF($B36="","",IFERROR(INDEX('Auxiliar Resultados'!$C$9:$BO$50,MATCH($B36,'Auxiliar Resultados'!$B$9:$B$50,0),MATCH(CONCATENATE($C36,N$7),'Auxiliar Resultados'!$C$6:$BO$6,0)),"")))</f>
        <v/>
      </c>
      <c r="O36" s="52" t="str">
        <f>+IF(IF($B36="","",IFERROR(INDEX('Auxiliar Resultados'!$C$9:$BO$50,MATCH($B36,'Auxiliar Resultados'!$B$9:$B$50,0),MATCH(CONCATENATE($C36,O$7),'Auxiliar Resultados'!$C$6:$BO$6,0)),""))=0,"",IF($B36="","",IFERROR(INDEX('Auxiliar Resultados'!$C$9:$BO$50,MATCH($B36,'Auxiliar Resultados'!$B$9:$B$50,0),MATCH(CONCATENATE($C36,O$7),'Auxiliar Resultados'!$C$6:$BO$6,0)),"")))</f>
        <v/>
      </c>
      <c r="P36" s="52" t="str">
        <f>+IF(IF($B36="","",IFERROR(INDEX('Auxiliar Resultados'!$C$9:$BO$50,MATCH($B36,'Auxiliar Resultados'!$B$9:$B$50,0),MATCH(CONCATENATE($C36,P$7),'Auxiliar Resultados'!$C$6:$BO$6,0)),""))=0,"",IF($B36="","",IFERROR(INDEX('Auxiliar Resultados'!$C$9:$BO$50,MATCH($B36,'Auxiliar Resultados'!$B$9:$B$50,0),MATCH(CONCATENATE($C36,P$7),'Auxiliar Resultados'!$C$6:$BO$6,0)),"")))</f>
        <v/>
      </c>
      <c r="Q36" s="52" t="str">
        <f>+IF(IF($B36="","",IFERROR(INDEX('Auxiliar Resultados'!$C$9:$BO$50,MATCH($B36,'Auxiliar Resultados'!$B$9:$B$50,0),MATCH(CONCATENATE($C36,Q$7),'Auxiliar Resultados'!$C$6:$BO$6,0)),""))=0,"",IF($B36="","",IFERROR(INDEX('Auxiliar Resultados'!$C$9:$BO$50,MATCH($B36,'Auxiliar Resultados'!$B$9:$B$50,0),MATCH(CONCATENATE($C36,Q$7),'Auxiliar Resultados'!$C$6:$BO$6,0)),"")))</f>
        <v/>
      </c>
      <c r="R36" s="52" t="str">
        <f>+IF(IF($B36="","",IFERROR(INDEX('Auxiliar Resultados'!$C$9:$BO$50,MATCH($B36,'Auxiliar Resultados'!$B$9:$B$50,0),MATCH(CONCATENATE($C36,R$7),'Auxiliar Resultados'!$C$6:$BO$6,0)),""))=0,"",IF($B36="","",IFERROR(INDEX('Auxiliar Resultados'!$C$9:$BO$50,MATCH($B36,'Auxiliar Resultados'!$B$9:$B$50,0),MATCH(CONCATENATE($C36,R$7),'Auxiliar Resultados'!$C$6:$BO$6,0)),"")))</f>
        <v/>
      </c>
      <c r="S36" s="52" t="str">
        <f>+IF(IF($B36="","",IFERROR(INDEX('Auxiliar Resultados'!$C$9:$BO$50,MATCH($B36,'Auxiliar Resultados'!$B$9:$B$50,0),MATCH(CONCATENATE($C36,S$7),'Auxiliar Resultados'!$C$6:$BO$6,0)),""))=0,"",IF($B36="","",IFERROR(INDEX('Auxiliar Resultados'!$C$9:$BO$50,MATCH($B36,'Auxiliar Resultados'!$B$9:$B$50,0),MATCH(CONCATENATE($C36,S$7),'Auxiliar Resultados'!$C$6:$BO$6,0)),"")))</f>
        <v/>
      </c>
      <c r="T36" s="52" t="str">
        <f>+IF(IF($B36="","",IFERROR(INDEX('Auxiliar Resultados'!$C$9:$BO$50,MATCH($B36,'Auxiliar Resultados'!$B$9:$B$50,0),MATCH(CONCATENATE($C36,T$7),'Auxiliar Resultados'!$C$6:$BO$6,0)),""))=0,"",IF($B36="","",IFERROR(INDEX('Auxiliar Resultados'!$C$9:$BO$50,MATCH($B36,'Auxiliar Resultados'!$B$9:$B$50,0),MATCH(CONCATENATE($C36,T$7),'Auxiliar Resultados'!$C$6:$BO$6,0)),"")))</f>
        <v/>
      </c>
      <c r="U36" s="52" t="str">
        <f>+IF(IF($B36="","",IFERROR(INDEX('Auxiliar Resultados'!$C$9:$BO$50,MATCH($B36,'Auxiliar Resultados'!$B$9:$B$50,0),MATCH(CONCATENATE($C36,U$7),'Auxiliar Resultados'!$C$6:$BO$6,0)),""))=0,"",IF($B36="","",IFERROR(INDEX('Auxiliar Resultados'!$C$9:$BO$50,MATCH($B36,'Auxiliar Resultados'!$B$9:$B$50,0),MATCH(CONCATENATE($C36,U$7),'Auxiliar Resultados'!$C$6:$BO$6,0)),"")))</f>
        <v/>
      </c>
      <c r="V36" s="52" t="str">
        <f>+IF(IF($B36="","",IFERROR(INDEX('Auxiliar Resultados'!$C$9:$BO$50,MATCH($B36,'Auxiliar Resultados'!$B$9:$B$50,0),MATCH(CONCATENATE($C36,V$7),'Auxiliar Resultados'!$C$6:$BO$6,0)),""))=0,"",IF($B36="","",IFERROR(INDEX('Auxiliar Resultados'!$C$9:$BO$50,MATCH($B36,'Auxiliar Resultados'!$B$9:$B$50,0),MATCH(CONCATENATE($C36,V$7),'Auxiliar Resultados'!$C$6:$BO$6,0)),"")))</f>
        <v/>
      </c>
      <c r="W36" s="52" t="str">
        <f>+IF(IF($B36="","",IFERROR(INDEX('Auxiliar Resultados'!$C$9:$BO$50,MATCH($B36,'Auxiliar Resultados'!$B$9:$B$50,0),MATCH(CONCATENATE($C36,W$7),'Auxiliar Resultados'!$C$6:$BO$6,0)),""))=0,"",IF($B36="","",IFERROR(INDEX('Auxiliar Resultados'!$C$9:$BO$50,MATCH($B36,'Auxiliar Resultados'!$B$9:$B$50,0),MATCH(CONCATENATE($C36,W$7),'Auxiliar Resultados'!$C$6:$BO$6,0)),"")))</f>
        <v/>
      </c>
      <c r="X36" s="52" t="str">
        <f>+IF(IF($B36="","",IFERROR(INDEX('Auxiliar Resultados'!$C$9:$BO$50,MATCH($B36,'Auxiliar Resultados'!$B$9:$B$50,0),MATCH(CONCATENATE($C36,X$7),'Auxiliar Resultados'!$C$6:$BO$6,0)),""))=0,"",IF($B36="","",IFERROR(INDEX('Auxiliar Resultados'!$C$9:$BO$50,MATCH($B36,'Auxiliar Resultados'!$B$9:$B$50,0),MATCH(CONCATENATE($C36,X$7),'Auxiliar Resultados'!$C$6:$BO$6,0)),"")))</f>
        <v/>
      </c>
      <c r="Y36" s="52" t="str">
        <f>+IF(IF($B36="","",IFERROR(INDEX('Auxiliar Resultados'!$C$9:$BO$50,MATCH($B36,'Auxiliar Resultados'!$B$9:$B$50,0),MATCH(CONCATENATE($C36,Y$7),'Auxiliar Resultados'!$C$6:$BO$6,0)),""))=0,"",IF($B36="","",IFERROR(INDEX('Auxiliar Resultados'!$C$9:$BO$50,MATCH($B36,'Auxiliar Resultados'!$B$9:$B$50,0),MATCH(CONCATENATE($C36,Y$7),'Auxiliar Resultados'!$C$6:$BO$6,0)),"")))</f>
        <v/>
      </c>
      <c r="Z36" s="52" t="str">
        <f>+IF(IF($B36="","",IFERROR(INDEX('Auxiliar Resultados'!$C$9:$BO$50,MATCH($B36,'Auxiliar Resultados'!$B$9:$B$50,0),MATCH(CONCATENATE($C36,Z$7),'Auxiliar Resultados'!$C$6:$BO$6,0)),""))=0,"",IF($B36="","",IFERROR(INDEX('Auxiliar Resultados'!$C$9:$BO$50,MATCH($B36,'Auxiliar Resultados'!$B$9:$B$50,0),MATCH(CONCATENATE($C36,Z$7),'Auxiliar Resultados'!$C$6:$BO$6,0)),"")))</f>
        <v/>
      </c>
      <c r="AA36" s="52" t="str">
        <f>+IF(IF($B36="","",IFERROR(INDEX('Auxiliar Resultados'!$C$9:$BO$50,MATCH($B36,'Auxiliar Resultados'!$B$9:$B$50,0),MATCH(CONCATENATE($C36,AA$7),'Auxiliar Resultados'!$C$6:$BO$6,0)),""))=0,"",IF($B36="","",IFERROR(INDEX('Auxiliar Resultados'!$C$9:$BO$50,MATCH($B36,'Auxiliar Resultados'!$B$9:$B$50,0),MATCH(CONCATENATE($C36,AA$7),'Auxiliar Resultados'!$C$6:$BO$6,0)),"")))</f>
        <v/>
      </c>
      <c r="AB36" s="52" t="str">
        <f>+IF(IF($B36="","",IFERROR(INDEX('Auxiliar Resultados'!$C$9:$BO$50,MATCH($B36,'Auxiliar Resultados'!$B$9:$B$50,0),MATCH(CONCATENATE($C36,AB$7),'Auxiliar Resultados'!$C$6:$BO$6,0)),""))=0,"",IF($B36="","",IFERROR(INDEX('Auxiliar Resultados'!$C$9:$BO$50,MATCH($B36,'Auxiliar Resultados'!$B$9:$B$50,0),MATCH(CONCATENATE($C36,AB$7),'Auxiliar Resultados'!$C$6:$BO$6,0)),"")))</f>
        <v/>
      </c>
      <c r="AC36" s="52" t="str">
        <f>+IF(IF($B36="","",IFERROR(INDEX('Auxiliar Resultados'!$C$9:$BO$50,MATCH($B36,'Auxiliar Resultados'!$B$9:$B$50,0),MATCH(CONCATENATE($C36,AC$7),'Auxiliar Resultados'!$C$6:$BO$6,0)),""))=0,"",IF($B36="","",IFERROR(INDEX('Auxiliar Resultados'!$C$9:$BO$50,MATCH($B36,'Auxiliar Resultados'!$B$9:$B$50,0),MATCH(CONCATENATE($C36,AC$7),'Auxiliar Resultados'!$C$6:$BO$6,0)),"")))</f>
        <v/>
      </c>
      <c r="AD36" s="52" t="str">
        <f>+IF(IF($B36="","",IFERROR(INDEX('Auxiliar Resultados'!$C$9:$BO$50,MATCH($B36,'Auxiliar Resultados'!$B$9:$B$50,0),MATCH(CONCATENATE($C36,AD$7),'Auxiliar Resultados'!$C$6:$BO$6,0)),""))=0,"",IF($B36="","",IFERROR(INDEX('Auxiliar Resultados'!$C$9:$BO$50,MATCH($B36,'Auxiliar Resultados'!$B$9:$B$50,0),MATCH(CONCATENATE($C36,AD$7),'Auxiliar Resultados'!$C$6:$BO$6,0)),"")))</f>
        <v/>
      </c>
      <c r="AE36" s="52" t="str">
        <f>+IF(IF($B36="","",IFERROR(INDEX('Auxiliar Resultados'!$C$9:$BO$50,MATCH($B36,'Auxiliar Resultados'!$B$9:$B$50,0),MATCH(CONCATENATE($C36,AE$7),'Auxiliar Resultados'!$C$6:$BO$6,0)),""))=0,"",IF($B36="","",IFERROR(INDEX('Auxiliar Resultados'!$C$9:$BO$50,MATCH($B36,'Auxiliar Resultados'!$B$9:$B$50,0),MATCH(CONCATENATE($C36,AE$7),'Auxiliar Resultados'!$C$6:$BO$6,0)),"")))</f>
        <v/>
      </c>
      <c r="AF36" s="52" t="str">
        <f>+IF(IF($B36="","",IFERROR(INDEX('Auxiliar Resultados'!$C$9:$BO$50,MATCH($B36,'Auxiliar Resultados'!$B$9:$B$50,0),MATCH(CONCATENATE($C36,AF$7),'Auxiliar Resultados'!$C$6:$BO$6,0)),""))=0,"",IF($B36="","",IFERROR(INDEX('Auxiliar Resultados'!$C$9:$BO$50,MATCH($B36,'Auxiliar Resultados'!$B$9:$B$50,0),MATCH(CONCATENATE($C36,AF$7),'Auxiliar Resultados'!$C$6:$BO$6,0)),"")))</f>
        <v/>
      </c>
      <c r="AG36" s="52" t="str">
        <f>+IF(IF($B36="","",IFERROR(INDEX('Auxiliar Resultados'!$C$9:$BO$50,MATCH($B36,'Auxiliar Resultados'!$B$9:$B$50,0),MATCH(CONCATENATE($C36,AG$7),'Auxiliar Resultados'!$C$6:$BO$6,0)),""))=0,"",IF($B36="","",IFERROR(INDEX('Auxiliar Resultados'!$C$9:$BO$50,MATCH($B36,'Auxiliar Resultados'!$B$9:$B$50,0),MATCH(CONCATENATE($C36,AG$7),'Auxiliar Resultados'!$C$6:$BO$6,0)),"")))</f>
        <v/>
      </c>
      <c r="AH36" s="52" t="str">
        <f>+IF(IF($B36="","",IFERROR(INDEX('Auxiliar Resultados'!$C$9:$BO$50,MATCH($B36,'Auxiliar Resultados'!$B$9:$B$50,0),MATCH(CONCATENATE($C36,AH$7),'Auxiliar Resultados'!$C$6:$BO$6,0)),""))=0,"",IF($B36="","",IFERROR(INDEX('Auxiliar Resultados'!$C$9:$BO$50,MATCH($B36,'Auxiliar Resultados'!$B$9:$B$50,0),MATCH(CONCATENATE($C36,AH$7),'Auxiliar Resultados'!$C$6:$BO$6,0)),"")))</f>
        <v/>
      </c>
      <c r="AI36" s="52" t="str">
        <f>+IF(IF($B36="","",IFERROR(INDEX('Auxiliar Resultados'!$C$9:$BO$50,MATCH($B36,'Auxiliar Resultados'!$B$9:$B$50,0),MATCH(CONCATENATE($C36,AI$7),'Auxiliar Resultados'!$C$6:$BO$6,0)),""))=0,"",IF($B36="","",IFERROR(INDEX('Auxiliar Resultados'!$C$9:$BO$50,MATCH($B36,'Auxiliar Resultados'!$B$9:$B$50,0),MATCH(CONCATENATE($C36,AI$7),'Auxiliar Resultados'!$C$6:$BO$6,0)),"")))</f>
        <v/>
      </c>
      <c r="AJ36" s="52" t="str">
        <f>+IF(IF($B36="","",IFERROR(INDEX('Auxiliar Resultados'!$C$9:$BO$50,MATCH($B36,'Auxiliar Resultados'!$B$9:$B$50,0),MATCH(CONCATENATE($C36,AJ$7),'Auxiliar Resultados'!$C$6:$BO$6,0)),""))=0,"",IF($B36="","",IFERROR(INDEX('Auxiliar Resultados'!$C$9:$BO$50,MATCH($B36,'Auxiliar Resultados'!$B$9:$B$50,0),MATCH(CONCATENATE($C36,AJ$7),'Auxiliar Resultados'!$C$6:$BO$6,0)),"")))</f>
        <v/>
      </c>
      <c r="AK36" s="52" t="str">
        <f>+IF(IF($B36="","",IFERROR(INDEX('Auxiliar Resultados'!$C$9:$BO$50,MATCH($B36,'Auxiliar Resultados'!$B$9:$B$50,0),MATCH(CONCATENATE($C36,AK$7),'Auxiliar Resultados'!$C$6:$BO$6,0)),""))=0,"",IF($B36="","",IFERROR(INDEX('Auxiliar Resultados'!$C$9:$BO$50,MATCH($B36,'Auxiliar Resultados'!$B$9:$B$50,0),MATCH(CONCATENATE($C36,AK$7),'Auxiliar Resultados'!$C$6:$BO$6,0)),"")))</f>
        <v/>
      </c>
      <c r="AL36" s="52" t="str">
        <f>+IF(IF($B36="","",IFERROR(INDEX('Auxiliar Resultados'!$C$9:$BO$50,MATCH($B36,'Auxiliar Resultados'!$B$9:$B$50,0),MATCH(CONCATENATE($C36,AL$7),'Auxiliar Resultados'!$C$6:$BO$6,0)),""))=0,"",IF($B36="","",IFERROR(INDEX('Auxiliar Resultados'!$C$9:$BO$50,MATCH($B36,'Auxiliar Resultados'!$B$9:$B$50,0),MATCH(CONCATENATE($C36,AL$7),'Auxiliar Resultados'!$C$6:$BO$6,0)),"")))</f>
        <v/>
      </c>
      <c r="AM36" s="52" t="str">
        <f>+IF(IF($B36="","",IFERROR(INDEX('Auxiliar Resultados'!$C$9:$BO$50,MATCH($B36,'Auxiliar Resultados'!$B$9:$B$50,0),MATCH(CONCATENATE($C36,AM$7),'Auxiliar Resultados'!$C$6:$BO$6,0)),""))=0,"",IF($B36="","",IFERROR(INDEX('Auxiliar Resultados'!$C$9:$BO$50,MATCH($B36,'Auxiliar Resultados'!$B$9:$B$50,0),MATCH(CONCATENATE($C36,AM$7),'Auxiliar Resultados'!$C$6:$BO$6,0)),"")))</f>
        <v/>
      </c>
      <c r="AN36" s="52" t="str">
        <f>+IF(IF($B36="","",IFERROR(INDEX('Auxiliar Resultados'!$C$9:$BO$50,MATCH($B36,'Auxiliar Resultados'!$B$9:$B$50,0),MATCH(CONCATENATE($C36,AN$7),'Auxiliar Resultados'!$C$6:$BO$6,0)),""))=0,"",IF($B36="","",IFERROR(INDEX('Auxiliar Resultados'!$C$9:$BO$50,MATCH($B36,'Auxiliar Resultados'!$B$9:$B$50,0),MATCH(CONCATENATE($C36,AN$7),'Auxiliar Resultados'!$C$6:$BO$6,0)),"")))</f>
        <v/>
      </c>
      <c r="AO36" s="52" t="str">
        <f>+IF(IF($B36="","",IFERROR(INDEX('Auxiliar Resultados'!$C$9:$BO$50,MATCH($B36,'Auxiliar Resultados'!$B$9:$B$50,0),MATCH(CONCATENATE($C36,AO$7),'Auxiliar Resultados'!$C$6:$BO$6,0)),""))=0,"",IF($B36="","",IFERROR(INDEX('Auxiliar Resultados'!$C$9:$BO$50,MATCH($B36,'Auxiliar Resultados'!$B$9:$B$50,0),MATCH(CONCATENATE($C36,AO$7),'Auxiliar Resultados'!$C$6:$BO$6,0)),"")))</f>
        <v/>
      </c>
      <c r="AP36" s="52" t="str">
        <f>+IF(IF($B36="","",IFERROR(INDEX('Auxiliar Resultados'!$C$9:$BO$50,MATCH($B36,'Auxiliar Resultados'!$B$9:$B$50,0),MATCH(CONCATENATE($C36,AP$7),'Auxiliar Resultados'!$C$6:$BO$6,0)),""))=0,"",IF($B36="","",IFERROR(INDEX('Auxiliar Resultados'!$C$9:$BO$50,MATCH($B36,'Auxiliar Resultados'!$B$9:$B$50,0),MATCH(CONCATENATE($C36,AP$7),'Auxiliar Resultados'!$C$6:$BO$6,0)),"")))</f>
        <v/>
      </c>
      <c r="AQ36" s="276" t="str">
        <f>+IF(IF($B36="","",IFERROR(INDEX('Auxiliar Resultados'!$C$9:$BO$50,MATCH($B36,'Auxiliar Resultados'!$B$9:$B$50,0),MATCH(CONCATENATE($C36,AQ$7),'Auxiliar Resultados'!$C$6:$BO$6,0)),""))=0,"",IF($B36="","",IFERROR(INDEX('Auxiliar Resultados'!$C$9:$BO$50,MATCH($B36,'Auxiliar Resultados'!$B$9:$B$50,0),MATCH(CONCATENATE($C36,AQ$7),'Auxiliar Resultados'!$C$6:$BO$6,0)),"")))</f>
        <v/>
      </c>
      <c r="AS36" s="46" t="str">
        <f t="shared" si="5"/>
        <v/>
      </c>
      <c r="AT36" s="292" t="str">
        <f t="shared" si="6"/>
        <v/>
      </c>
      <c r="AU36" s="36" t="str">
        <f>+IF(G36="","",INDEX('Modelo Optimización'!$AZ$4:$CO$149,MATCH(CONCATENATE(AU$7,$AT36),'Modelo Optimización'!$CQ$4:$CQ$149,0),MATCH($AS36,'Modelo Optimización'!$AZ$3:$CO$3,0)))</f>
        <v/>
      </c>
      <c r="AV36" s="32" t="str">
        <f>+IF(H36="","",INDEX('Modelo Optimización'!$AZ$4:$CO$149,MATCH(CONCATENATE(AV$7,$AT36),'Modelo Optimización'!$CQ$4:$CQ$149,0),MATCH($AS36,'Modelo Optimización'!$AZ$3:$CO$3,0)))</f>
        <v/>
      </c>
      <c r="AW36" s="32" t="str">
        <f>+IF(I36="","",INDEX('Modelo Optimización'!$AZ$4:$CO$149,MATCH(CONCATENATE(AW$7,$AT36),'Modelo Optimización'!$CQ$4:$CQ$149,0),MATCH($AS36,'Modelo Optimización'!$AZ$3:$CO$3,0)))</f>
        <v/>
      </c>
      <c r="AX36" s="32" t="str">
        <f>+IF(J36="","",INDEX('Modelo Optimización'!$AZ$4:$CO$149,MATCH(CONCATENATE(AX$7,$AT36),'Modelo Optimización'!$CQ$4:$CQ$149,0),MATCH($AS36,'Modelo Optimización'!$AZ$3:$CO$3,0)))</f>
        <v/>
      </c>
      <c r="AY36" s="32" t="str">
        <f>+IF(K36="","",INDEX('Modelo Optimización'!$AZ$4:$CO$149,MATCH(CONCATENATE(AY$7,$AT36),'Modelo Optimización'!$CQ$4:$CQ$149,0),MATCH($AS36,'Modelo Optimización'!$AZ$3:$CO$3,0)))</f>
        <v/>
      </c>
      <c r="AZ36" s="32" t="str">
        <f>+IF(L36="","",INDEX('Modelo Optimización'!$AZ$4:$CO$149,MATCH(CONCATENATE(AZ$7,$AT36),'Modelo Optimización'!$CQ$4:$CQ$149,0),MATCH($AS36,'Modelo Optimización'!$AZ$3:$CO$3,0)))</f>
        <v/>
      </c>
      <c r="BA36" s="32" t="str">
        <f>+IF(M36="","",INDEX('Modelo Optimización'!$AZ$4:$CO$149,MATCH(CONCATENATE(BA$7,$AT36),'Modelo Optimización'!$CQ$4:$CQ$149,0),MATCH($AS36,'Modelo Optimización'!$AZ$3:$CO$3,0)))</f>
        <v/>
      </c>
      <c r="BB36" s="32" t="str">
        <f>+IF(N36="","",INDEX('Modelo Optimización'!$AZ$4:$CO$149,MATCH(CONCATENATE(BB$7,$AT36),'Modelo Optimización'!$CQ$4:$CQ$149,0),MATCH($AS36,'Modelo Optimización'!$AZ$3:$CO$3,0)))</f>
        <v/>
      </c>
      <c r="BC36" s="32" t="str">
        <f>+IF(O36="","",INDEX('Modelo Optimización'!$AZ$4:$CO$149,MATCH(CONCATENATE(BC$7,$AT36),'Modelo Optimización'!$CQ$4:$CQ$149,0),MATCH($AS36,'Modelo Optimización'!$AZ$3:$CO$3,0)))</f>
        <v/>
      </c>
      <c r="BD36" s="32" t="str">
        <f>+IF(P36="","",INDEX('Modelo Optimización'!$AZ$4:$CO$149,MATCH(CONCATENATE(BD$7,$AT36),'Modelo Optimización'!$CQ$4:$CQ$149,0),MATCH($AS36,'Modelo Optimización'!$AZ$3:$CO$3,0)))</f>
        <v/>
      </c>
      <c r="BE36" s="32" t="str">
        <f>+IF(Q36="","",INDEX('Modelo Optimización'!$AZ$4:$CO$149,MATCH(CONCATENATE(BE$7,$AT36),'Modelo Optimización'!$CQ$4:$CQ$149,0),MATCH($AS36,'Modelo Optimización'!$AZ$3:$CO$3,0)))</f>
        <v/>
      </c>
      <c r="BF36" s="32" t="str">
        <f>+IF(R36="","",INDEX('Modelo Optimización'!$AZ$4:$CO$149,MATCH(CONCATENATE(BF$7,$AT36),'Modelo Optimización'!$CQ$4:$CQ$149,0),MATCH($AS36,'Modelo Optimización'!$AZ$3:$CO$3,0)))</f>
        <v/>
      </c>
      <c r="BG36" s="32" t="str">
        <f>+IF(S36="","",INDEX('Modelo Optimización'!$AZ$4:$CO$149,MATCH(CONCATENATE(BG$7,$AT36),'Modelo Optimización'!$CQ$4:$CQ$149,0),MATCH($AS36,'Modelo Optimización'!$AZ$3:$CO$3,0)))</f>
        <v/>
      </c>
      <c r="BH36" s="32" t="str">
        <f>+IF(T36="","",INDEX('Modelo Optimización'!$AZ$4:$CO$149,MATCH(CONCATENATE(BH$7,$AT36),'Modelo Optimización'!$CQ$4:$CQ$149,0),MATCH($AS36,'Modelo Optimización'!$AZ$3:$CO$3,0)))</f>
        <v/>
      </c>
      <c r="BI36" s="32" t="str">
        <f>+IF(U36="","",INDEX('Modelo Optimización'!$AZ$4:$CO$149,MATCH(CONCATENATE(BI$7,$AT36),'Modelo Optimización'!$CQ$4:$CQ$149,0),MATCH($AS36,'Modelo Optimización'!$AZ$3:$CO$3,0)))</f>
        <v/>
      </c>
      <c r="BJ36" s="32" t="str">
        <f>+IF(V36="","",INDEX('Modelo Optimización'!$AZ$4:$CO$149,MATCH(CONCATENATE(BJ$7,$AT36),'Modelo Optimización'!$CQ$4:$CQ$149,0),MATCH($AS36,'Modelo Optimización'!$AZ$3:$CO$3,0)))</f>
        <v/>
      </c>
      <c r="BK36" s="32" t="str">
        <f>+IF(W36="","",INDEX('Modelo Optimización'!$AZ$4:$CO$149,MATCH(CONCATENATE(BK$7,$AT36),'Modelo Optimización'!$CQ$4:$CQ$149,0),MATCH($AS36,'Modelo Optimización'!$AZ$3:$CO$3,0)))</f>
        <v/>
      </c>
      <c r="BL36" s="32" t="str">
        <f>+IF(X36="","",INDEX('Modelo Optimización'!$AZ$4:$CO$149,MATCH(CONCATENATE(BL$7,$AT36),'Modelo Optimización'!$CQ$4:$CQ$149,0),MATCH($AS36,'Modelo Optimización'!$AZ$3:$CO$3,0)))</f>
        <v/>
      </c>
      <c r="BM36" s="32" t="str">
        <f>+IF(Y36="","",INDEX('Modelo Optimización'!$AZ$4:$CO$149,MATCH(CONCATENATE(BM$7,$AT36),'Modelo Optimización'!$CQ$4:$CQ$149,0),MATCH($AS36,'Modelo Optimización'!$AZ$3:$CO$3,0)))</f>
        <v/>
      </c>
      <c r="BN36" s="32" t="str">
        <f>+IF(Z36="","",INDEX('Modelo Optimización'!$AZ$4:$CO$149,MATCH(CONCATENATE(BN$7,$AT36),'Modelo Optimización'!$CQ$4:$CQ$149,0),MATCH($AS36,'Modelo Optimización'!$AZ$3:$CO$3,0)))</f>
        <v/>
      </c>
      <c r="BO36" s="32" t="str">
        <f>+IF(AA36="","",INDEX('Modelo Optimización'!$AZ$4:$CO$149,MATCH(CONCATENATE(BO$7,$AT36),'Modelo Optimización'!$CQ$4:$CQ$149,0),MATCH($AS36,'Modelo Optimización'!$AZ$3:$CO$3,0)))</f>
        <v/>
      </c>
      <c r="BP36" s="32" t="str">
        <f>+IF(AB36="","",INDEX('Modelo Optimización'!$AZ$4:$CO$149,MATCH(CONCATENATE(BP$7,$AT36),'Modelo Optimización'!$CQ$4:$CQ$149,0),MATCH($AS36,'Modelo Optimización'!$AZ$3:$CO$3,0)))</f>
        <v/>
      </c>
      <c r="BQ36" s="32" t="str">
        <f>+IF(AC36="","",INDEX('Modelo Optimización'!$AZ$4:$CO$149,MATCH(CONCATENATE(BQ$7,$AT36),'Modelo Optimización'!$CQ$4:$CQ$149,0),MATCH($AS36,'Modelo Optimización'!$AZ$3:$CO$3,0)))</f>
        <v/>
      </c>
      <c r="BR36" s="32" t="str">
        <f>+IF(AD36="","",INDEX('Modelo Optimización'!$AZ$4:$CO$149,MATCH(CONCATENATE(BR$7,$AT36),'Modelo Optimización'!$CQ$4:$CQ$149,0),MATCH($AS36,'Modelo Optimización'!$AZ$3:$CO$3,0)))</f>
        <v/>
      </c>
      <c r="BS36" s="32" t="str">
        <f>+IF(AE36="","",INDEX('Modelo Optimización'!$AZ$4:$CO$149,MATCH(CONCATENATE(BS$7,$AT36),'Modelo Optimización'!$CQ$4:$CQ$149,0),MATCH($AS36,'Modelo Optimización'!$AZ$3:$CO$3,0)))</f>
        <v/>
      </c>
      <c r="BT36" s="32" t="str">
        <f>+IF(AF36="","",INDEX('Modelo Optimización'!$AZ$4:$CO$149,MATCH(CONCATENATE(BT$7,$AT36),'Modelo Optimización'!$CQ$4:$CQ$149,0),MATCH($AS36,'Modelo Optimización'!$AZ$3:$CO$3,0)))</f>
        <v/>
      </c>
      <c r="BU36" s="32" t="str">
        <f>+IF(AG36="","",INDEX('Modelo Optimización'!$AZ$4:$CO$149,MATCH(CONCATENATE(BU$7,$AT36),'Modelo Optimización'!$CQ$4:$CQ$149,0),MATCH($AS36,'Modelo Optimización'!$AZ$3:$CO$3,0)))</f>
        <v/>
      </c>
      <c r="BV36" s="32" t="str">
        <f>+IF(AH36="","",INDEX('Modelo Optimización'!$AZ$4:$CO$149,MATCH(CONCATENATE(BV$7,$AT36),'Modelo Optimización'!$CQ$4:$CQ$149,0),MATCH($AS36,'Modelo Optimización'!$AZ$3:$CO$3,0)))</f>
        <v/>
      </c>
      <c r="BW36" s="32" t="str">
        <f>+IF(AI36="","",INDEX('Modelo Optimización'!$AZ$4:$CO$149,MATCH(CONCATENATE(BW$7,$AT36),'Modelo Optimización'!$CQ$4:$CQ$149,0),MATCH($AS36,'Modelo Optimización'!$AZ$3:$CO$3,0)))</f>
        <v/>
      </c>
      <c r="BX36" s="32" t="str">
        <f>+IF(AJ36="","",INDEX('Modelo Optimización'!$AZ$4:$CO$149,MATCH(CONCATENATE(BX$7,$AT36),'Modelo Optimización'!$CQ$4:$CQ$149,0),MATCH($AS36,'Modelo Optimización'!$AZ$3:$CO$3,0)))</f>
        <v/>
      </c>
      <c r="BY36" s="32" t="str">
        <f>+IF(AK36="","",INDEX('Modelo Optimización'!$AZ$4:$CO$149,MATCH(CONCATENATE(BY$7,$AT36),'Modelo Optimización'!$CQ$4:$CQ$149,0),MATCH($AS36,'Modelo Optimización'!$AZ$3:$CO$3,0)))</f>
        <v/>
      </c>
      <c r="BZ36" s="32" t="str">
        <f>+IF(AL36="","",INDEX('Modelo Optimización'!$AZ$4:$CO$149,MATCH(CONCATENATE(BZ$7,$AT36),'Modelo Optimización'!$CQ$4:$CQ$149,0),MATCH($AS36,'Modelo Optimización'!$AZ$3:$CO$3,0)))</f>
        <v/>
      </c>
      <c r="CA36" s="32" t="str">
        <f>+IF(AM36="","",INDEX('Modelo Optimización'!$AZ$4:$CO$149,MATCH(CONCATENATE(CA$7,$AT36),'Modelo Optimización'!$CQ$4:$CQ$149,0),MATCH($AS36,'Modelo Optimización'!$AZ$3:$CO$3,0)))</f>
        <v/>
      </c>
      <c r="CB36" s="32" t="str">
        <f>+IF(AN36="","",INDEX('Modelo Optimización'!$AZ$4:$CO$149,MATCH(CONCATENATE(CB$7,$AT36),'Modelo Optimización'!$CQ$4:$CQ$149,0),MATCH($AS36,'Modelo Optimización'!$AZ$3:$CO$3,0)))</f>
        <v/>
      </c>
      <c r="CC36" s="32" t="str">
        <f>+IF(AO36="","",INDEX('Modelo Optimización'!$AZ$4:$CO$149,MATCH(CONCATENATE(CC$7,$AT36),'Modelo Optimización'!$CQ$4:$CQ$149,0),MATCH($AS36,'Modelo Optimización'!$AZ$3:$CO$3,0)))</f>
        <v/>
      </c>
      <c r="CD36" s="32" t="str">
        <f>+IF(AP36="","",INDEX('Modelo Optimización'!$AZ$4:$CO$149,MATCH(CONCATENATE(CD$7,$AT36),'Modelo Optimización'!$CQ$4:$CQ$149,0),MATCH($AS36,'Modelo Optimización'!$AZ$3:$CO$3,0)))</f>
        <v/>
      </c>
      <c r="CE36" s="37" t="str">
        <f>+IF(AQ36="","",INDEX('Modelo Optimización'!$AZ$4:$CO$149,MATCH(CONCATENATE(CE$7,$AT36),'Modelo Optimización'!$CQ$4:$CQ$149,0),MATCH($AS36,'Modelo Optimización'!$AZ$3:$CO$3,0)))</f>
        <v/>
      </c>
      <c r="CF36" s="301"/>
      <c r="CG36" s="305" t="str">
        <f t="shared" si="11"/>
        <v/>
      </c>
      <c r="CH36" s="303" t="str">
        <f t="shared" si="7"/>
        <v/>
      </c>
      <c r="CI36" s="292" t="str">
        <f t="shared" si="8"/>
        <v/>
      </c>
      <c r="CJ36" s="36" t="str">
        <f t="shared" si="12"/>
        <v/>
      </c>
      <c r="CK36" s="32" t="str">
        <f t="shared" si="13"/>
        <v/>
      </c>
      <c r="CL36" s="32" t="str">
        <f t="shared" si="14"/>
        <v/>
      </c>
      <c r="CM36" s="32" t="str">
        <f t="shared" si="15"/>
        <v/>
      </c>
      <c r="CN36" s="32" t="str">
        <f t="shared" si="16"/>
        <v/>
      </c>
      <c r="CO36" s="32" t="str">
        <f t="shared" si="17"/>
        <v/>
      </c>
      <c r="CP36" s="32" t="str">
        <f t="shared" si="18"/>
        <v/>
      </c>
      <c r="CQ36" s="32" t="str">
        <f t="shared" si="19"/>
        <v/>
      </c>
      <c r="CR36" s="32" t="str">
        <f t="shared" si="20"/>
        <v/>
      </c>
      <c r="CS36" s="32" t="str">
        <f t="shared" si="21"/>
        <v/>
      </c>
      <c r="CT36" s="32" t="str">
        <f t="shared" si="22"/>
        <v/>
      </c>
      <c r="CU36" s="32" t="str">
        <f t="shared" si="23"/>
        <v/>
      </c>
      <c r="CV36" s="32" t="str">
        <f t="shared" si="24"/>
        <v/>
      </c>
      <c r="CW36" s="32" t="str">
        <f t="shared" si="25"/>
        <v/>
      </c>
      <c r="CX36" s="32" t="str">
        <f t="shared" si="26"/>
        <v/>
      </c>
      <c r="CY36" s="32" t="str">
        <f t="shared" si="27"/>
        <v/>
      </c>
      <c r="CZ36" s="32" t="str">
        <f t="shared" si="28"/>
        <v/>
      </c>
      <c r="DA36" s="32" t="str">
        <f t="shared" si="29"/>
        <v/>
      </c>
      <c r="DB36" s="32" t="str">
        <f t="shared" si="30"/>
        <v/>
      </c>
      <c r="DC36" s="32" t="str">
        <f t="shared" si="31"/>
        <v/>
      </c>
      <c r="DD36" s="32" t="str">
        <f t="shared" si="32"/>
        <v/>
      </c>
      <c r="DE36" s="32" t="str">
        <f t="shared" si="33"/>
        <v/>
      </c>
      <c r="DF36" s="32" t="str">
        <f t="shared" si="34"/>
        <v/>
      </c>
      <c r="DG36" s="32" t="str">
        <f t="shared" si="35"/>
        <v/>
      </c>
      <c r="DH36" s="32" t="str">
        <f t="shared" si="36"/>
        <v/>
      </c>
      <c r="DI36" s="32" t="str">
        <f t="shared" si="37"/>
        <v/>
      </c>
      <c r="DJ36" s="32" t="str">
        <f t="shared" si="38"/>
        <v/>
      </c>
      <c r="DK36" s="32" t="str">
        <f t="shared" si="39"/>
        <v/>
      </c>
      <c r="DL36" s="32" t="str">
        <f t="shared" si="40"/>
        <v/>
      </c>
      <c r="DM36" s="32" t="str">
        <f t="shared" si="41"/>
        <v/>
      </c>
      <c r="DN36" s="32" t="str">
        <f t="shared" si="42"/>
        <v/>
      </c>
      <c r="DO36" s="32" t="str">
        <f t="shared" si="43"/>
        <v/>
      </c>
      <c r="DP36" s="32" t="str">
        <f t="shared" si="44"/>
        <v/>
      </c>
      <c r="DQ36" s="32" t="str">
        <f t="shared" si="45"/>
        <v/>
      </c>
      <c r="DR36" s="32" t="str">
        <f t="shared" si="46"/>
        <v/>
      </c>
      <c r="DS36" s="32" t="str">
        <f t="shared" si="47"/>
        <v/>
      </c>
      <c r="DT36" s="37" t="str">
        <f t="shared" si="48"/>
        <v/>
      </c>
    </row>
    <row r="37" spans="2:124" x14ac:dyDescent="0.35">
      <c r="B37" s="46"/>
      <c r="C37" s="212"/>
      <c r="D37" s="52"/>
      <c r="E37" s="52" t="str">
        <f>+IF(B37="","",IFERROR(SUMIF('Modelo Optimización'!$AS$72:$AS$217,C37,INDEX('Modelo Optimización'!$C$72:$AR$217,,MATCH(B37,'Modelo Optimización'!$C$71:$AR$71,0))),0))</f>
        <v/>
      </c>
      <c r="F37" s="281" t="str">
        <f t="shared" si="10"/>
        <v/>
      </c>
      <c r="G37" s="280" t="str">
        <f>+IF(IF($B37="","",IFERROR(INDEX('Auxiliar Resultados'!$C$9:$BO$50,MATCH($B37,'Auxiliar Resultados'!$B$9:$B$50,0),MATCH(CONCATENATE($C37,G$7),'Auxiliar Resultados'!$C$6:$BO$6,0)),""))=0,"",IF($B37="","",IFERROR(INDEX('Auxiliar Resultados'!$C$9:$BO$50,MATCH($B37,'Auxiliar Resultados'!$B$9:$B$50,0),MATCH(CONCATENATE($C37,G$7),'Auxiliar Resultados'!$C$6:$BO$6,0)),"")))</f>
        <v/>
      </c>
      <c r="H37" s="52" t="str">
        <f>+IF(IF($B37="","",IFERROR(INDEX('Auxiliar Resultados'!$C$9:$BO$50,MATCH($B37,'Auxiliar Resultados'!$B$9:$B$50,0),MATCH(CONCATENATE($C37,H$7),'Auxiliar Resultados'!$C$6:$BO$6,0)),""))=0,"",IF($B37="","",IFERROR(INDEX('Auxiliar Resultados'!$C$9:$BO$50,MATCH($B37,'Auxiliar Resultados'!$B$9:$B$50,0),MATCH(CONCATENATE($C37,H$7),'Auxiliar Resultados'!$C$6:$BO$6,0)),"")))</f>
        <v/>
      </c>
      <c r="I37" s="52" t="str">
        <f>+IF(IF($B37="","",IFERROR(INDEX('Auxiliar Resultados'!$C$9:$BO$50,MATCH($B37,'Auxiliar Resultados'!$B$9:$B$50,0),MATCH(CONCATENATE($C37,I$7),'Auxiliar Resultados'!$C$6:$BO$6,0)),""))=0,"",IF($B37="","",IFERROR(INDEX('Auxiliar Resultados'!$C$9:$BO$50,MATCH($B37,'Auxiliar Resultados'!$B$9:$B$50,0),MATCH(CONCATENATE($C37,I$7),'Auxiliar Resultados'!$C$6:$BO$6,0)),"")))</f>
        <v/>
      </c>
      <c r="J37" s="52" t="str">
        <f>+IF(IF($B37="","",IFERROR(INDEX('Auxiliar Resultados'!$C$9:$BO$50,MATCH($B37,'Auxiliar Resultados'!$B$9:$B$50,0),MATCH(CONCATENATE($C37,J$7),'Auxiliar Resultados'!$C$6:$BO$6,0)),""))=0,"",IF($B37="","",IFERROR(INDEX('Auxiliar Resultados'!$C$9:$BO$50,MATCH($B37,'Auxiliar Resultados'!$B$9:$B$50,0),MATCH(CONCATENATE($C37,J$7),'Auxiliar Resultados'!$C$6:$BO$6,0)),"")))</f>
        <v/>
      </c>
      <c r="K37" s="52" t="str">
        <f>+IF(IF($B37="","",IFERROR(INDEX('Auxiliar Resultados'!$C$9:$BO$50,MATCH($B37,'Auxiliar Resultados'!$B$9:$B$50,0),MATCH(CONCATENATE($C37,K$7),'Auxiliar Resultados'!$C$6:$BO$6,0)),""))=0,"",IF($B37="","",IFERROR(INDEX('Auxiliar Resultados'!$C$9:$BO$50,MATCH($B37,'Auxiliar Resultados'!$B$9:$B$50,0),MATCH(CONCATENATE($C37,K$7),'Auxiliar Resultados'!$C$6:$BO$6,0)),"")))</f>
        <v/>
      </c>
      <c r="L37" s="52" t="str">
        <f>+IF(IF($B37="","",IFERROR(INDEX('Auxiliar Resultados'!$C$9:$BO$50,MATCH($B37,'Auxiliar Resultados'!$B$9:$B$50,0),MATCH(CONCATENATE($C37,L$7),'Auxiliar Resultados'!$C$6:$BO$6,0)),""))=0,"",IF($B37="","",IFERROR(INDEX('Auxiliar Resultados'!$C$9:$BO$50,MATCH($B37,'Auxiliar Resultados'!$B$9:$B$50,0),MATCH(CONCATENATE($C37,L$7),'Auxiliar Resultados'!$C$6:$BO$6,0)),"")))</f>
        <v/>
      </c>
      <c r="M37" s="52" t="str">
        <f>+IF(IF($B37="","",IFERROR(INDEX('Auxiliar Resultados'!$C$9:$BO$50,MATCH($B37,'Auxiliar Resultados'!$B$9:$B$50,0),MATCH(CONCATENATE($C37,M$7),'Auxiliar Resultados'!$C$6:$BO$6,0)),""))=0,"",IF($B37="","",IFERROR(INDEX('Auxiliar Resultados'!$C$9:$BO$50,MATCH($B37,'Auxiliar Resultados'!$B$9:$B$50,0),MATCH(CONCATENATE($C37,M$7),'Auxiliar Resultados'!$C$6:$BO$6,0)),"")))</f>
        <v/>
      </c>
      <c r="N37" s="52" t="str">
        <f>+IF(IF($B37="","",IFERROR(INDEX('Auxiliar Resultados'!$C$9:$BO$50,MATCH($B37,'Auxiliar Resultados'!$B$9:$B$50,0),MATCH(CONCATENATE($C37,N$7),'Auxiliar Resultados'!$C$6:$BO$6,0)),""))=0,"",IF($B37="","",IFERROR(INDEX('Auxiliar Resultados'!$C$9:$BO$50,MATCH($B37,'Auxiliar Resultados'!$B$9:$B$50,0),MATCH(CONCATENATE($C37,N$7),'Auxiliar Resultados'!$C$6:$BO$6,0)),"")))</f>
        <v/>
      </c>
      <c r="O37" s="52" t="str">
        <f>+IF(IF($B37="","",IFERROR(INDEX('Auxiliar Resultados'!$C$9:$BO$50,MATCH($B37,'Auxiliar Resultados'!$B$9:$B$50,0),MATCH(CONCATENATE($C37,O$7),'Auxiliar Resultados'!$C$6:$BO$6,0)),""))=0,"",IF($B37="","",IFERROR(INDEX('Auxiliar Resultados'!$C$9:$BO$50,MATCH($B37,'Auxiliar Resultados'!$B$9:$B$50,0),MATCH(CONCATENATE($C37,O$7),'Auxiliar Resultados'!$C$6:$BO$6,0)),"")))</f>
        <v/>
      </c>
      <c r="P37" s="52" t="str">
        <f>+IF(IF($B37="","",IFERROR(INDEX('Auxiliar Resultados'!$C$9:$BO$50,MATCH($B37,'Auxiliar Resultados'!$B$9:$B$50,0),MATCH(CONCATENATE($C37,P$7),'Auxiliar Resultados'!$C$6:$BO$6,0)),""))=0,"",IF($B37="","",IFERROR(INDEX('Auxiliar Resultados'!$C$9:$BO$50,MATCH($B37,'Auxiliar Resultados'!$B$9:$B$50,0),MATCH(CONCATENATE($C37,P$7),'Auxiliar Resultados'!$C$6:$BO$6,0)),"")))</f>
        <v/>
      </c>
      <c r="Q37" s="52" t="str">
        <f>+IF(IF($B37="","",IFERROR(INDEX('Auxiliar Resultados'!$C$9:$BO$50,MATCH($B37,'Auxiliar Resultados'!$B$9:$B$50,0),MATCH(CONCATENATE($C37,Q$7),'Auxiliar Resultados'!$C$6:$BO$6,0)),""))=0,"",IF($B37="","",IFERROR(INDEX('Auxiliar Resultados'!$C$9:$BO$50,MATCH($B37,'Auxiliar Resultados'!$B$9:$B$50,0),MATCH(CONCATENATE($C37,Q$7),'Auxiliar Resultados'!$C$6:$BO$6,0)),"")))</f>
        <v/>
      </c>
      <c r="R37" s="52" t="str">
        <f>+IF(IF($B37="","",IFERROR(INDEX('Auxiliar Resultados'!$C$9:$BO$50,MATCH($B37,'Auxiliar Resultados'!$B$9:$B$50,0),MATCH(CONCATENATE($C37,R$7),'Auxiliar Resultados'!$C$6:$BO$6,0)),""))=0,"",IF($B37="","",IFERROR(INDEX('Auxiliar Resultados'!$C$9:$BO$50,MATCH($B37,'Auxiliar Resultados'!$B$9:$B$50,0),MATCH(CONCATENATE($C37,R$7),'Auxiliar Resultados'!$C$6:$BO$6,0)),"")))</f>
        <v/>
      </c>
      <c r="S37" s="52" t="str">
        <f>+IF(IF($B37="","",IFERROR(INDEX('Auxiliar Resultados'!$C$9:$BO$50,MATCH($B37,'Auxiliar Resultados'!$B$9:$B$50,0),MATCH(CONCATENATE($C37,S$7),'Auxiliar Resultados'!$C$6:$BO$6,0)),""))=0,"",IF($B37="","",IFERROR(INDEX('Auxiliar Resultados'!$C$9:$BO$50,MATCH($B37,'Auxiliar Resultados'!$B$9:$B$50,0),MATCH(CONCATENATE($C37,S$7),'Auxiliar Resultados'!$C$6:$BO$6,0)),"")))</f>
        <v/>
      </c>
      <c r="T37" s="52" t="str">
        <f>+IF(IF($B37="","",IFERROR(INDEX('Auxiliar Resultados'!$C$9:$BO$50,MATCH($B37,'Auxiliar Resultados'!$B$9:$B$50,0),MATCH(CONCATENATE($C37,T$7),'Auxiliar Resultados'!$C$6:$BO$6,0)),""))=0,"",IF($B37="","",IFERROR(INDEX('Auxiliar Resultados'!$C$9:$BO$50,MATCH($B37,'Auxiliar Resultados'!$B$9:$B$50,0),MATCH(CONCATENATE($C37,T$7),'Auxiliar Resultados'!$C$6:$BO$6,0)),"")))</f>
        <v/>
      </c>
      <c r="U37" s="52" t="str">
        <f>+IF(IF($B37="","",IFERROR(INDEX('Auxiliar Resultados'!$C$9:$BO$50,MATCH($B37,'Auxiliar Resultados'!$B$9:$B$50,0),MATCH(CONCATENATE($C37,U$7),'Auxiliar Resultados'!$C$6:$BO$6,0)),""))=0,"",IF($B37="","",IFERROR(INDEX('Auxiliar Resultados'!$C$9:$BO$50,MATCH($B37,'Auxiliar Resultados'!$B$9:$B$50,0),MATCH(CONCATENATE($C37,U$7),'Auxiliar Resultados'!$C$6:$BO$6,0)),"")))</f>
        <v/>
      </c>
      <c r="V37" s="52" t="str">
        <f>+IF(IF($B37="","",IFERROR(INDEX('Auxiliar Resultados'!$C$9:$BO$50,MATCH($B37,'Auxiliar Resultados'!$B$9:$B$50,0),MATCH(CONCATENATE($C37,V$7),'Auxiliar Resultados'!$C$6:$BO$6,0)),""))=0,"",IF($B37="","",IFERROR(INDEX('Auxiliar Resultados'!$C$9:$BO$50,MATCH($B37,'Auxiliar Resultados'!$B$9:$B$50,0),MATCH(CONCATENATE($C37,V$7),'Auxiliar Resultados'!$C$6:$BO$6,0)),"")))</f>
        <v/>
      </c>
      <c r="W37" s="52" t="str">
        <f>+IF(IF($B37="","",IFERROR(INDEX('Auxiliar Resultados'!$C$9:$BO$50,MATCH($B37,'Auxiliar Resultados'!$B$9:$B$50,0),MATCH(CONCATENATE($C37,W$7),'Auxiliar Resultados'!$C$6:$BO$6,0)),""))=0,"",IF($B37="","",IFERROR(INDEX('Auxiliar Resultados'!$C$9:$BO$50,MATCH($B37,'Auxiliar Resultados'!$B$9:$B$50,0),MATCH(CONCATENATE($C37,W$7),'Auxiliar Resultados'!$C$6:$BO$6,0)),"")))</f>
        <v/>
      </c>
      <c r="X37" s="52" t="str">
        <f>+IF(IF($B37="","",IFERROR(INDEX('Auxiliar Resultados'!$C$9:$BO$50,MATCH($B37,'Auxiliar Resultados'!$B$9:$B$50,0),MATCH(CONCATENATE($C37,X$7),'Auxiliar Resultados'!$C$6:$BO$6,0)),""))=0,"",IF($B37="","",IFERROR(INDEX('Auxiliar Resultados'!$C$9:$BO$50,MATCH($B37,'Auxiliar Resultados'!$B$9:$B$50,0),MATCH(CONCATENATE($C37,X$7),'Auxiliar Resultados'!$C$6:$BO$6,0)),"")))</f>
        <v/>
      </c>
      <c r="Y37" s="52" t="str">
        <f>+IF(IF($B37="","",IFERROR(INDEX('Auxiliar Resultados'!$C$9:$BO$50,MATCH($B37,'Auxiliar Resultados'!$B$9:$B$50,0),MATCH(CONCATENATE($C37,Y$7),'Auxiliar Resultados'!$C$6:$BO$6,0)),""))=0,"",IF($B37="","",IFERROR(INDEX('Auxiliar Resultados'!$C$9:$BO$50,MATCH($B37,'Auxiliar Resultados'!$B$9:$B$50,0),MATCH(CONCATENATE($C37,Y$7),'Auxiliar Resultados'!$C$6:$BO$6,0)),"")))</f>
        <v/>
      </c>
      <c r="Z37" s="52" t="str">
        <f>+IF(IF($B37="","",IFERROR(INDEX('Auxiliar Resultados'!$C$9:$BO$50,MATCH($B37,'Auxiliar Resultados'!$B$9:$B$50,0),MATCH(CONCATENATE($C37,Z$7),'Auxiliar Resultados'!$C$6:$BO$6,0)),""))=0,"",IF($B37="","",IFERROR(INDEX('Auxiliar Resultados'!$C$9:$BO$50,MATCH($B37,'Auxiliar Resultados'!$B$9:$B$50,0),MATCH(CONCATENATE($C37,Z$7),'Auxiliar Resultados'!$C$6:$BO$6,0)),"")))</f>
        <v/>
      </c>
      <c r="AA37" s="52" t="str">
        <f>+IF(IF($B37="","",IFERROR(INDEX('Auxiliar Resultados'!$C$9:$BO$50,MATCH($B37,'Auxiliar Resultados'!$B$9:$B$50,0),MATCH(CONCATENATE($C37,AA$7),'Auxiliar Resultados'!$C$6:$BO$6,0)),""))=0,"",IF($B37="","",IFERROR(INDEX('Auxiliar Resultados'!$C$9:$BO$50,MATCH($B37,'Auxiliar Resultados'!$B$9:$B$50,0),MATCH(CONCATENATE($C37,AA$7),'Auxiliar Resultados'!$C$6:$BO$6,0)),"")))</f>
        <v/>
      </c>
      <c r="AB37" s="52" t="str">
        <f>+IF(IF($B37="","",IFERROR(INDEX('Auxiliar Resultados'!$C$9:$BO$50,MATCH($B37,'Auxiliar Resultados'!$B$9:$B$50,0),MATCH(CONCATENATE($C37,AB$7),'Auxiliar Resultados'!$C$6:$BO$6,0)),""))=0,"",IF($B37="","",IFERROR(INDEX('Auxiliar Resultados'!$C$9:$BO$50,MATCH($B37,'Auxiliar Resultados'!$B$9:$B$50,0),MATCH(CONCATENATE($C37,AB$7),'Auxiliar Resultados'!$C$6:$BO$6,0)),"")))</f>
        <v/>
      </c>
      <c r="AC37" s="52" t="str">
        <f>+IF(IF($B37="","",IFERROR(INDEX('Auxiliar Resultados'!$C$9:$BO$50,MATCH($B37,'Auxiliar Resultados'!$B$9:$B$50,0),MATCH(CONCATENATE($C37,AC$7),'Auxiliar Resultados'!$C$6:$BO$6,0)),""))=0,"",IF($B37="","",IFERROR(INDEX('Auxiliar Resultados'!$C$9:$BO$50,MATCH($B37,'Auxiliar Resultados'!$B$9:$B$50,0),MATCH(CONCATENATE($C37,AC$7),'Auxiliar Resultados'!$C$6:$BO$6,0)),"")))</f>
        <v/>
      </c>
      <c r="AD37" s="52" t="str">
        <f>+IF(IF($B37="","",IFERROR(INDEX('Auxiliar Resultados'!$C$9:$BO$50,MATCH($B37,'Auxiliar Resultados'!$B$9:$B$50,0),MATCH(CONCATENATE($C37,AD$7),'Auxiliar Resultados'!$C$6:$BO$6,0)),""))=0,"",IF($B37="","",IFERROR(INDEX('Auxiliar Resultados'!$C$9:$BO$50,MATCH($B37,'Auxiliar Resultados'!$B$9:$B$50,0),MATCH(CONCATENATE($C37,AD$7),'Auxiliar Resultados'!$C$6:$BO$6,0)),"")))</f>
        <v/>
      </c>
      <c r="AE37" s="52" t="str">
        <f>+IF(IF($B37="","",IFERROR(INDEX('Auxiliar Resultados'!$C$9:$BO$50,MATCH($B37,'Auxiliar Resultados'!$B$9:$B$50,0),MATCH(CONCATENATE($C37,AE$7),'Auxiliar Resultados'!$C$6:$BO$6,0)),""))=0,"",IF($B37="","",IFERROR(INDEX('Auxiliar Resultados'!$C$9:$BO$50,MATCH($B37,'Auxiliar Resultados'!$B$9:$B$50,0),MATCH(CONCATENATE($C37,AE$7),'Auxiliar Resultados'!$C$6:$BO$6,0)),"")))</f>
        <v/>
      </c>
      <c r="AF37" s="52" t="str">
        <f>+IF(IF($B37="","",IFERROR(INDEX('Auxiliar Resultados'!$C$9:$BO$50,MATCH($B37,'Auxiliar Resultados'!$B$9:$B$50,0),MATCH(CONCATENATE($C37,AF$7),'Auxiliar Resultados'!$C$6:$BO$6,0)),""))=0,"",IF($B37="","",IFERROR(INDEX('Auxiliar Resultados'!$C$9:$BO$50,MATCH($B37,'Auxiliar Resultados'!$B$9:$B$50,0),MATCH(CONCATENATE($C37,AF$7),'Auxiliar Resultados'!$C$6:$BO$6,0)),"")))</f>
        <v/>
      </c>
      <c r="AG37" s="52" t="str">
        <f>+IF(IF($B37="","",IFERROR(INDEX('Auxiliar Resultados'!$C$9:$BO$50,MATCH($B37,'Auxiliar Resultados'!$B$9:$B$50,0),MATCH(CONCATENATE($C37,AG$7),'Auxiliar Resultados'!$C$6:$BO$6,0)),""))=0,"",IF($B37="","",IFERROR(INDEX('Auxiliar Resultados'!$C$9:$BO$50,MATCH($B37,'Auxiliar Resultados'!$B$9:$B$50,0),MATCH(CONCATENATE($C37,AG$7),'Auxiliar Resultados'!$C$6:$BO$6,0)),"")))</f>
        <v/>
      </c>
      <c r="AH37" s="52" t="str">
        <f>+IF(IF($B37="","",IFERROR(INDEX('Auxiliar Resultados'!$C$9:$BO$50,MATCH($B37,'Auxiliar Resultados'!$B$9:$B$50,0),MATCH(CONCATENATE($C37,AH$7),'Auxiliar Resultados'!$C$6:$BO$6,0)),""))=0,"",IF($B37="","",IFERROR(INDEX('Auxiliar Resultados'!$C$9:$BO$50,MATCH($B37,'Auxiliar Resultados'!$B$9:$B$50,0),MATCH(CONCATENATE($C37,AH$7),'Auxiliar Resultados'!$C$6:$BO$6,0)),"")))</f>
        <v/>
      </c>
      <c r="AI37" s="52" t="str">
        <f>+IF(IF($B37="","",IFERROR(INDEX('Auxiliar Resultados'!$C$9:$BO$50,MATCH($B37,'Auxiliar Resultados'!$B$9:$B$50,0),MATCH(CONCATENATE($C37,AI$7),'Auxiliar Resultados'!$C$6:$BO$6,0)),""))=0,"",IF($B37="","",IFERROR(INDEX('Auxiliar Resultados'!$C$9:$BO$50,MATCH($B37,'Auxiliar Resultados'!$B$9:$B$50,0),MATCH(CONCATENATE($C37,AI$7),'Auxiliar Resultados'!$C$6:$BO$6,0)),"")))</f>
        <v/>
      </c>
      <c r="AJ37" s="52" t="str">
        <f>+IF(IF($B37="","",IFERROR(INDEX('Auxiliar Resultados'!$C$9:$BO$50,MATCH($B37,'Auxiliar Resultados'!$B$9:$B$50,0),MATCH(CONCATENATE($C37,AJ$7),'Auxiliar Resultados'!$C$6:$BO$6,0)),""))=0,"",IF($B37="","",IFERROR(INDEX('Auxiliar Resultados'!$C$9:$BO$50,MATCH($B37,'Auxiliar Resultados'!$B$9:$B$50,0),MATCH(CONCATENATE($C37,AJ$7),'Auxiliar Resultados'!$C$6:$BO$6,0)),"")))</f>
        <v/>
      </c>
      <c r="AK37" s="52" t="str">
        <f>+IF(IF($B37="","",IFERROR(INDEX('Auxiliar Resultados'!$C$9:$BO$50,MATCH($B37,'Auxiliar Resultados'!$B$9:$B$50,0),MATCH(CONCATENATE($C37,AK$7),'Auxiliar Resultados'!$C$6:$BO$6,0)),""))=0,"",IF($B37="","",IFERROR(INDEX('Auxiliar Resultados'!$C$9:$BO$50,MATCH($B37,'Auxiliar Resultados'!$B$9:$B$50,0),MATCH(CONCATENATE($C37,AK$7),'Auxiliar Resultados'!$C$6:$BO$6,0)),"")))</f>
        <v/>
      </c>
      <c r="AL37" s="52" t="str">
        <f>+IF(IF($B37="","",IFERROR(INDEX('Auxiliar Resultados'!$C$9:$BO$50,MATCH($B37,'Auxiliar Resultados'!$B$9:$B$50,0),MATCH(CONCATENATE($C37,AL$7),'Auxiliar Resultados'!$C$6:$BO$6,0)),""))=0,"",IF($B37="","",IFERROR(INDEX('Auxiliar Resultados'!$C$9:$BO$50,MATCH($B37,'Auxiliar Resultados'!$B$9:$B$50,0),MATCH(CONCATENATE($C37,AL$7),'Auxiliar Resultados'!$C$6:$BO$6,0)),"")))</f>
        <v/>
      </c>
      <c r="AM37" s="52" t="str">
        <f>+IF(IF($B37="","",IFERROR(INDEX('Auxiliar Resultados'!$C$9:$BO$50,MATCH($B37,'Auxiliar Resultados'!$B$9:$B$50,0),MATCH(CONCATENATE($C37,AM$7),'Auxiliar Resultados'!$C$6:$BO$6,0)),""))=0,"",IF($B37="","",IFERROR(INDEX('Auxiliar Resultados'!$C$9:$BO$50,MATCH($B37,'Auxiliar Resultados'!$B$9:$B$50,0),MATCH(CONCATENATE($C37,AM$7),'Auxiliar Resultados'!$C$6:$BO$6,0)),"")))</f>
        <v/>
      </c>
      <c r="AN37" s="52" t="str">
        <f>+IF(IF($B37="","",IFERROR(INDEX('Auxiliar Resultados'!$C$9:$BO$50,MATCH($B37,'Auxiliar Resultados'!$B$9:$B$50,0),MATCH(CONCATENATE($C37,AN$7),'Auxiliar Resultados'!$C$6:$BO$6,0)),""))=0,"",IF($B37="","",IFERROR(INDEX('Auxiliar Resultados'!$C$9:$BO$50,MATCH($B37,'Auxiliar Resultados'!$B$9:$B$50,0),MATCH(CONCATENATE($C37,AN$7),'Auxiliar Resultados'!$C$6:$BO$6,0)),"")))</f>
        <v/>
      </c>
      <c r="AO37" s="52" t="str">
        <f>+IF(IF($B37="","",IFERROR(INDEX('Auxiliar Resultados'!$C$9:$BO$50,MATCH($B37,'Auxiliar Resultados'!$B$9:$B$50,0),MATCH(CONCATENATE($C37,AO$7),'Auxiliar Resultados'!$C$6:$BO$6,0)),""))=0,"",IF($B37="","",IFERROR(INDEX('Auxiliar Resultados'!$C$9:$BO$50,MATCH($B37,'Auxiliar Resultados'!$B$9:$B$50,0),MATCH(CONCATENATE($C37,AO$7),'Auxiliar Resultados'!$C$6:$BO$6,0)),"")))</f>
        <v/>
      </c>
      <c r="AP37" s="52" t="str">
        <f>+IF(IF($B37="","",IFERROR(INDEX('Auxiliar Resultados'!$C$9:$BO$50,MATCH($B37,'Auxiliar Resultados'!$B$9:$B$50,0),MATCH(CONCATENATE($C37,AP$7),'Auxiliar Resultados'!$C$6:$BO$6,0)),""))=0,"",IF($B37="","",IFERROR(INDEX('Auxiliar Resultados'!$C$9:$BO$50,MATCH($B37,'Auxiliar Resultados'!$B$9:$B$50,0),MATCH(CONCATENATE($C37,AP$7),'Auxiliar Resultados'!$C$6:$BO$6,0)),"")))</f>
        <v/>
      </c>
      <c r="AQ37" s="276" t="str">
        <f>+IF(IF($B37="","",IFERROR(INDEX('Auxiliar Resultados'!$C$9:$BO$50,MATCH($B37,'Auxiliar Resultados'!$B$9:$B$50,0),MATCH(CONCATENATE($C37,AQ$7),'Auxiliar Resultados'!$C$6:$BO$6,0)),""))=0,"",IF($B37="","",IFERROR(INDEX('Auxiliar Resultados'!$C$9:$BO$50,MATCH($B37,'Auxiliar Resultados'!$B$9:$B$50,0),MATCH(CONCATENATE($C37,AQ$7),'Auxiliar Resultados'!$C$6:$BO$6,0)),"")))</f>
        <v/>
      </c>
      <c r="AS37" s="46" t="str">
        <f t="shared" si="5"/>
        <v/>
      </c>
      <c r="AT37" s="292" t="str">
        <f t="shared" si="6"/>
        <v/>
      </c>
      <c r="AU37" s="36" t="str">
        <f>+IF(G37="","",INDEX('Modelo Optimización'!$AZ$4:$CO$149,MATCH(CONCATENATE(AU$7,$AT37),'Modelo Optimización'!$CQ$4:$CQ$149,0),MATCH($AS37,'Modelo Optimización'!$AZ$3:$CO$3,0)))</f>
        <v/>
      </c>
      <c r="AV37" s="32" t="str">
        <f>+IF(H37="","",INDEX('Modelo Optimización'!$AZ$4:$CO$149,MATCH(CONCATENATE(AV$7,$AT37),'Modelo Optimización'!$CQ$4:$CQ$149,0),MATCH($AS37,'Modelo Optimización'!$AZ$3:$CO$3,0)))</f>
        <v/>
      </c>
      <c r="AW37" s="32" t="str">
        <f>+IF(I37="","",INDEX('Modelo Optimización'!$AZ$4:$CO$149,MATCH(CONCATENATE(AW$7,$AT37),'Modelo Optimización'!$CQ$4:$CQ$149,0),MATCH($AS37,'Modelo Optimización'!$AZ$3:$CO$3,0)))</f>
        <v/>
      </c>
      <c r="AX37" s="32" t="str">
        <f>+IF(J37="","",INDEX('Modelo Optimización'!$AZ$4:$CO$149,MATCH(CONCATENATE(AX$7,$AT37),'Modelo Optimización'!$CQ$4:$CQ$149,0),MATCH($AS37,'Modelo Optimización'!$AZ$3:$CO$3,0)))</f>
        <v/>
      </c>
      <c r="AY37" s="32" t="str">
        <f>+IF(K37="","",INDEX('Modelo Optimización'!$AZ$4:$CO$149,MATCH(CONCATENATE(AY$7,$AT37),'Modelo Optimización'!$CQ$4:$CQ$149,0),MATCH($AS37,'Modelo Optimización'!$AZ$3:$CO$3,0)))</f>
        <v/>
      </c>
      <c r="AZ37" s="32" t="str">
        <f>+IF(L37="","",INDEX('Modelo Optimización'!$AZ$4:$CO$149,MATCH(CONCATENATE(AZ$7,$AT37),'Modelo Optimización'!$CQ$4:$CQ$149,0),MATCH($AS37,'Modelo Optimización'!$AZ$3:$CO$3,0)))</f>
        <v/>
      </c>
      <c r="BA37" s="32" t="str">
        <f>+IF(M37="","",INDEX('Modelo Optimización'!$AZ$4:$CO$149,MATCH(CONCATENATE(BA$7,$AT37),'Modelo Optimización'!$CQ$4:$CQ$149,0),MATCH($AS37,'Modelo Optimización'!$AZ$3:$CO$3,0)))</f>
        <v/>
      </c>
      <c r="BB37" s="32" t="str">
        <f>+IF(N37="","",INDEX('Modelo Optimización'!$AZ$4:$CO$149,MATCH(CONCATENATE(BB$7,$AT37),'Modelo Optimización'!$CQ$4:$CQ$149,0),MATCH($AS37,'Modelo Optimización'!$AZ$3:$CO$3,0)))</f>
        <v/>
      </c>
      <c r="BC37" s="32" t="str">
        <f>+IF(O37="","",INDEX('Modelo Optimización'!$AZ$4:$CO$149,MATCH(CONCATENATE(BC$7,$AT37),'Modelo Optimización'!$CQ$4:$CQ$149,0),MATCH($AS37,'Modelo Optimización'!$AZ$3:$CO$3,0)))</f>
        <v/>
      </c>
      <c r="BD37" s="32" t="str">
        <f>+IF(P37="","",INDEX('Modelo Optimización'!$AZ$4:$CO$149,MATCH(CONCATENATE(BD$7,$AT37),'Modelo Optimización'!$CQ$4:$CQ$149,0),MATCH($AS37,'Modelo Optimización'!$AZ$3:$CO$3,0)))</f>
        <v/>
      </c>
      <c r="BE37" s="32" t="str">
        <f>+IF(Q37="","",INDEX('Modelo Optimización'!$AZ$4:$CO$149,MATCH(CONCATENATE(BE$7,$AT37),'Modelo Optimización'!$CQ$4:$CQ$149,0),MATCH($AS37,'Modelo Optimización'!$AZ$3:$CO$3,0)))</f>
        <v/>
      </c>
      <c r="BF37" s="32" t="str">
        <f>+IF(R37="","",INDEX('Modelo Optimización'!$AZ$4:$CO$149,MATCH(CONCATENATE(BF$7,$AT37),'Modelo Optimización'!$CQ$4:$CQ$149,0),MATCH($AS37,'Modelo Optimización'!$AZ$3:$CO$3,0)))</f>
        <v/>
      </c>
      <c r="BG37" s="32" t="str">
        <f>+IF(S37="","",INDEX('Modelo Optimización'!$AZ$4:$CO$149,MATCH(CONCATENATE(BG$7,$AT37),'Modelo Optimización'!$CQ$4:$CQ$149,0),MATCH($AS37,'Modelo Optimización'!$AZ$3:$CO$3,0)))</f>
        <v/>
      </c>
      <c r="BH37" s="32" t="str">
        <f>+IF(T37="","",INDEX('Modelo Optimización'!$AZ$4:$CO$149,MATCH(CONCATENATE(BH$7,$AT37),'Modelo Optimización'!$CQ$4:$CQ$149,0),MATCH($AS37,'Modelo Optimización'!$AZ$3:$CO$3,0)))</f>
        <v/>
      </c>
      <c r="BI37" s="32" t="str">
        <f>+IF(U37="","",INDEX('Modelo Optimización'!$AZ$4:$CO$149,MATCH(CONCATENATE(BI$7,$AT37),'Modelo Optimización'!$CQ$4:$CQ$149,0),MATCH($AS37,'Modelo Optimización'!$AZ$3:$CO$3,0)))</f>
        <v/>
      </c>
      <c r="BJ37" s="32" t="str">
        <f>+IF(V37="","",INDEX('Modelo Optimización'!$AZ$4:$CO$149,MATCH(CONCATENATE(BJ$7,$AT37),'Modelo Optimización'!$CQ$4:$CQ$149,0),MATCH($AS37,'Modelo Optimización'!$AZ$3:$CO$3,0)))</f>
        <v/>
      </c>
      <c r="BK37" s="32" t="str">
        <f>+IF(W37="","",INDEX('Modelo Optimización'!$AZ$4:$CO$149,MATCH(CONCATENATE(BK$7,$AT37),'Modelo Optimización'!$CQ$4:$CQ$149,0),MATCH($AS37,'Modelo Optimización'!$AZ$3:$CO$3,0)))</f>
        <v/>
      </c>
      <c r="BL37" s="32" t="str">
        <f>+IF(X37="","",INDEX('Modelo Optimización'!$AZ$4:$CO$149,MATCH(CONCATENATE(BL$7,$AT37),'Modelo Optimización'!$CQ$4:$CQ$149,0),MATCH($AS37,'Modelo Optimización'!$AZ$3:$CO$3,0)))</f>
        <v/>
      </c>
      <c r="BM37" s="32" t="str">
        <f>+IF(Y37="","",INDEX('Modelo Optimización'!$AZ$4:$CO$149,MATCH(CONCATENATE(BM$7,$AT37),'Modelo Optimización'!$CQ$4:$CQ$149,0),MATCH($AS37,'Modelo Optimización'!$AZ$3:$CO$3,0)))</f>
        <v/>
      </c>
      <c r="BN37" s="32" t="str">
        <f>+IF(Z37="","",INDEX('Modelo Optimización'!$AZ$4:$CO$149,MATCH(CONCATENATE(BN$7,$AT37),'Modelo Optimización'!$CQ$4:$CQ$149,0),MATCH($AS37,'Modelo Optimización'!$AZ$3:$CO$3,0)))</f>
        <v/>
      </c>
      <c r="BO37" s="32" t="str">
        <f>+IF(AA37="","",INDEX('Modelo Optimización'!$AZ$4:$CO$149,MATCH(CONCATENATE(BO$7,$AT37),'Modelo Optimización'!$CQ$4:$CQ$149,0),MATCH($AS37,'Modelo Optimización'!$AZ$3:$CO$3,0)))</f>
        <v/>
      </c>
      <c r="BP37" s="32" t="str">
        <f>+IF(AB37="","",INDEX('Modelo Optimización'!$AZ$4:$CO$149,MATCH(CONCATENATE(BP$7,$AT37),'Modelo Optimización'!$CQ$4:$CQ$149,0),MATCH($AS37,'Modelo Optimización'!$AZ$3:$CO$3,0)))</f>
        <v/>
      </c>
      <c r="BQ37" s="32" t="str">
        <f>+IF(AC37="","",INDEX('Modelo Optimización'!$AZ$4:$CO$149,MATCH(CONCATENATE(BQ$7,$AT37),'Modelo Optimización'!$CQ$4:$CQ$149,0),MATCH($AS37,'Modelo Optimización'!$AZ$3:$CO$3,0)))</f>
        <v/>
      </c>
      <c r="BR37" s="32" t="str">
        <f>+IF(AD37="","",INDEX('Modelo Optimización'!$AZ$4:$CO$149,MATCH(CONCATENATE(BR$7,$AT37),'Modelo Optimización'!$CQ$4:$CQ$149,0),MATCH($AS37,'Modelo Optimización'!$AZ$3:$CO$3,0)))</f>
        <v/>
      </c>
      <c r="BS37" s="32" t="str">
        <f>+IF(AE37="","",INDEX('Modelo Optimización'!$AZ$4:$CO$149,MATCH(CONCATENATE(BS$7,$AT37),'Modelo Optimización'!$CQ$4:$CQ$149,0),MATCH($AS37,'Modelo Optimización'!$AZ$3:$CO$3,0)))</f>
        <v/>
      </c>
      <c r="BT37" s="32" t="str">
        <f>+IF(AF37="","",INDEX('Modelo Optimización'!$AZ$4:$CO$149,MATCH(CONCATENATE(BT$7,$AT37),'Modelo Optimización'!$CQ$4:$CQ$149,0),MATCH($AS37,'Modelo Optimización'!$AZ$3:$CO$3,0)))</f>
        <v/>
      </c>
      <c r="BU37" s="32" t="str">
        <f>+IF(AG37="","",INDEX('Modelo Optimización'!$AZ$4:$CO$149,MATCH(CONCATENATE(BU$7,$AT37),'Modelo Optimización'!$CQ$4:$CQ$149,0),MATCH($AS37,'Modelo Optimización'!$AZ$3:$CO$3,0)))</f>
        <v/>
      </c>
      <c r="BV37" s="32" t="str">
        <f>+IF(AH37="","",INDEX('Modelo Optimización'!$AZ$4:$CO$149,MATCH(CONCATENATE(BV$7,$AT37),'Modelo Optimización'!$CQ$4:$CQ$149,0),MATCH($AS37,'Modelo Optimización'!$AZ$3:$CO$3,0)))</f>
        <v/>
      </c>
      <c r="BW37" s="32" t="str">
        <f>+IF(AI37="","",INDEX('Modelo Optimización'!$AZ$4:$CO$149,MATCH(CONCATENATE(BW$7,$AT37),'Modelo Optimización'!$CQ$4:$CQ$149,0),MATCH($AS37,'Modelo Optimización'!$AZ$3:$CO$3,0)))</f>
        <v/>
      </c>
      <c r="BX37" s="32" t="str">
        <f>+IF(AJ37="","",INDEX('Modelo Optimización'!$AZ$4:$CO$149,MATCH(CONCATENATE(BX$7,$AT37),'Modelo Optimización'!$CQ$4:$CQ$149,0),MATCH($AS37,'Modelo Optimización'!$AZ$3:$CO$3,0)))</f>
        <v/>
      </c>
      <c r="BY37" s="32" t="str">
        <f>+IF(AK37="","",INDEX('Modelo Optimización'!$AZ$4:$CO$149,MATCH(CONCATENATE(BY$7,$AT37),'Modelo Optimización'!$CQ$4:$CQ$149,0),MATCH($AS37,'Modelo Optimización'!$AZ$3:$CO$3,0)))</f>
        <v/>
      </c>
      <c r="BZ37" s="32" t="str">
        <f>+IF(AL37="","",INDEX('Modelo Optimización'!$AZ$4:$CO$149,MATCH(CONCATENATE(BZ$7,$AT37),'Modelo Optimización'!$CQ$4:$CQ$149,0),MATCH($AS37,'Modelo Optimización'!$AZ$3:$CO$3,0)))</f>
        <v/>
      </c>
      <c r="CA37" s="32" t="str">
        <f>+IF(AM37="","",INDEX('Modelo Optimización'!$AZ$4:$CO$149,MATCH(CONCATENATE(CA$7,$AT37),'Modelo Optimización'!$CQ$4:$CQ$149,0),MATCH($AS37,'Modelo Optimización'!$AZ$3:$CO$3,0)))</f>
        <v/>
      </c>
      <c r="CB37" s="32" t="str">
        <f>+IF(AN37="","",INDEX('Modelo Optimización'!$AZ$4:$CO$149,MATCH(CONCATENATE(CB$7,$AT37),'Modelo Optimización'!$CQ$4:$CQ$149,0),MATCH($AS37,'Modelo Optimización'!$AZ$3:$CO$3,0)))</f>
        <v/>
      </c>
      <c r="CC37" s="32" t="str">
        <f>+IF(AO37="","",INDEX('Modelo Optimización'!$AZ$4:$CO$149,MATCH(CONCATENATE(CC$7,$AT37),'Modelo Optimización'!$CQ$4:$CQ$149,0),MATCH($AS37,'Modelo Optimización'!$AZ$3:$CO$3,0)))</f>
        <v/>
      </c>
      <c r="CD37" s="32" t="str">
        <f>+IF(AP37="","",INDEX('Modelo Optimización'!$AZ$4:$CO$149,MATCH(CONCATENATE(CD$7,$AT37),'Modelo Optimización'!$CQ$4:$CQ$149,0),MATCH($AS37,'Modelo Optimización'!$AZ$3:$CO$3,0)))</f>
        <v/>
      </c>
      <c r="CE37" s="37" t="str">
        <f>+IF(AQ37="","",INDEX('Modelo Optimización'!$AZ$4:$CO$149,MATCH(CONCATENATE(CE$7,$AT37),'Modelo Optimización'!$CQ$4:$CQ$149,0),MATCH($AS37,'Modelo Optimización'!$AZ$3:$CO$3,0)))</f>
        <v/>
      </c>
      <c r="CF37" s="301"/>
      <c r="CG37" s="305" t="str">
        <f t="shared" si="11"/>
        <v/>
      </c>
      <c r="CH37" s="303" t="str">
        <f t="shared" si="7"/>
        <v/>
      </c>
      <c r="CI37" s="292" t="str">
        <f t="shared" si="8"/>
        <v/>
      </c>
      <c r="CJ37" s="36" t="str">
        <f t="shared" si="12"/>
        <v/>
      </c>
      <c r="CK37" s="32" t="str">
        <f t="shared" si="13"/>
        <v/>
      </c>
      <c r="CL37" s="32" t="str">
        <f t="shared" si="14"/>
        <v/>
      </c>
      <c r="CM37" s="32" t="str">
        <f t="shared" si="15"/>
        <v/>
      </c>
      <c r="CN37" s="32" t="str">
        <f t="shared" si="16"/>
        <v/>
      </c>
      <c r="CO37" s="32" t="str">
        <f t="shared" si="17"/>
        <v/>
      </c>
      <c r="CP37" s="32" t="str">
        <f t="shared" si="18"/>
        <v/>
      </c>
      <c r="CQ37" s="32" t="str">
        <f t="shared" si="19"/>
        <v/>
      </c>
      <c r="CR37" s="32" t="str">
        <f t="shared" si="20"/>
        <v/>
      </c>
      <c r="CS37" s="32" t="str">
        <f t="shared" si="21"/>
        <v/>
      </c>
      <c r="CT37" s="32" t="str">
        <f t="shared" si="22"/>
        <v/>
      </c>
      <c r="CU37" s="32" t="str">
        <f t="shared" si="23"/>
        <v/>
      </c>
      <c r="CV37" s="32" t="str">
        <f t="shared" si="24"/>
        <v/>
      </c>
      <c r="CW37" s="32" t="str">
        <f t="shared" si="25"/>
        <v/>
      </c>
      <c r="CX37" s="32" t="str">
        <f t="shared" si="26"/>
        <v/>
      </c>
      <c r="CY37" s="32" t="str">
        <f t="shared" si="27"/>
        <v/>
      </c>
      <c r="CZ37" s="32" t="str">
        <f t="shared" si="28"/>
        <v/>
      </c>
      <c r="DA37" s="32" t="str">
        <f t="shared" si="29"/>
        <v/>
      </c>
      <c r="DB37" s="32" t="str">
        <f t="shared" si="30"/>
        <v/>
      </c>
      <c r="DC37" s="32" t="str">
        <f t="shared" si="31"/>
        <v/>
      </c>
      <c r="DD37" s="32" t="str">
        <f t="shared" si="32"/>
        <v/>
      </c>
      <c r="DE37" s="32" t="str">
        <f t="shared" si="33"/>
        <v/>
      </c>
      <c r="DF37" s="32" t="str">
        <f t="shared" si="34"/>
        <v/>
      </c>
      <c r="DG37" s="32" t="str">
        <f t="shared" si="35"/>
        <v/>
      </c>
      <c r="DH37" s="32" t="str">
        <f t="shared" si="36"/>
        <v/>
      </c>
      <c r="DI37" s="32" t="str">
        <f t="shared" si="37"/>
        <v/>
      </c>
      <c r="DJ37" s="32" t="str">
        <f t="shared" si="38"/>
        <v/>
      </c>
      <c r="DK37" s="32" t="str">
        <f t="shared" si="39"/>
        <v/>
      </c>
      <c r="DL37" s="32" t="str">
        <f t="shared" si="40"/>
        <v/>
      </c>
      <c r="DM37" s="32" t="str">
        <f t="shared" si="41"/>
        <v/>
      </c>
      <c r="DN37" s="32" t="str">
        <f t="shared" si="42"/>
        <v/>
      </c>
      <c r="DO37" s="32" t="str">
        <f t="shared" si="43"/>
        <v/>
      </c>
      <c r="DP37" s="32" t="str">
        <f t="shared" si="44"/>
        <v/>
      </c>
      <c r="DQ37" s="32" t="str">
        <f t="shared" si="45"/>
        <v/>
      </c>
      <c r="DR37" s="32" t="str">
        <f t="shared" si="46"/>
        <v/>
      </c>
      <c r="DS37" s="32" t="str">
        <f t="shared" si="47"/>
        <v/>
      </c>
      <c r="DT37" s="37" t="str">
        <f t="shared" si="48"/>
        <v/>
      </c>
    </row>
    <row r="38" spans="2:124" x14ac:dyDescent="0.35">
      <c r="B38" s="46"/>
      <c r="C38" s="212"/>
      <c r="D38" s="52"/>
      <c r="E38" s="52" t="str">
        <f>+IF(B38="","",IFERROR(SUMIF('Modelo Optimización'!$AS$72:$AS$217,C38,INDEX('Modelo Optimización'!$C$72:$AR$217,,MATCH(B38,'Modelo Optimización'!$C$71:$AR$71,0))),0))</f>
        <v/>
      </c>
      <c r="F38" s="281" t="str">
        <f t="shared" si="10"/>
        <v/>
      </c>
      <c r="G38" s="280" t="str">
        <f>+IF(IF($B38="","",IFERROR(INDEX('Auxiliar Resultados'!$C$9:$BO$50,MATCH($B38,'Auxiliar Resultados'!$B$9:$B$50,0),MATCH(CONCATENATE($C38,G$7),'Auxiliar Resultados'!$C$6:$BO$6,0)),""))=0,"",IF($B38="","",IFERROR(INDEX('Auxiliar Resultados'!$C$9:$BO$50,MATCH($B38,'Auxiliar Resultados'!$B$9:$B$50,0),MATCH(CONCATENATE($C38,G$7),'Auxiliar Resultados'!$C$6:$BO$6,0)),"")))</f>
        <v/>
      </c>
      <c r="H38" s="52" t="str">
        <f>+IF(IF($B38="","",IFERROR(INDEX('Auxiliar Resultados'!$C$9:$BO$50,MATCH($B38,'Auxiliar Resultados'!$B$9:$B$50,0),MATCH(CONCATENATE($C38,H$7),'Auxiliar Resultados'!$C$6:$BO$6,0)),""))=0,"",IF($B38="","",IFERROR(INDEX('Auxiliar Resultados'!$C$9:$BO$50,MATCH($B38,'Auxiliar Resultados'!$B$9:$B$50,0),MATCH(CONCATENATE($C38,H$7),'Auxiliar Resultados'!$C$6:$BO$6,0)),"")))</f>
        <v/>
      </c>
      <c r="I38" s="52" t="str">
        <f>+IF(IF($B38="","",IFERROR(INDEX('Auxiliar Resultados'!$C$9:$BO$50,MATCH($B38,'Auxiliar Resultados'!$B$9:$B$50,0),MATCH(CONCATENATE($C38,I$7),'Auxiliar Resultados'!$C$6:$BO$6,0)),""))=0,"",IF($B38="","",IFERROR(INDEX('Auxiliar Resultados'!$C$9:$BO$50,MATCH($B38,'Auxiliar Resultados'!$B$9:$B$50,0),MATCH(CONCATENATE($C38,I$7),'Auxiliar Resultados'!$C$6:$BO$6,0)),"")))</f>
        <v/>
      </c>
      <c r="J38" s="52" t="str">
        <f>+IF(IF($B38="","",IFERROR(INDEX('Auxiliar Resultados'!$C$9:$BO$50,MATCH($B38,'Auxiliar Resultados'!$B$9:$B$50,0),MATCH(CONCATENATE($C38,J$7),'Auxiliar Resultados'!$C$6:$BO$6,0)),""))=0,"",IF($B38="","",IFERROR(INDEX('Auxiliar Resultados'!$C$9:$BO$50,MATCH($B38,'Auxiliar Resultados'!$B$9:$B$50,0),MATCH(CONCATENATE($C38,J$7),'Auxiliar Resultados'!$C$6:$BO$6,0)),"")))</f>
        <v/>
      </c>
      <c r="K38" s="52" t="str">
        <f>+IF(IF($B38="","",IFERROR(INDEX('Auxiliar Resultados'!$C$9:$BO$50,MATCH($B38,'Auxiliar Resultados'!$B$9:$B$50,0),MATCH(CONCATENATE($C38,K$7),'Auxiliar Resultados'!$C$6:$BO$6,0)),""))=0,"",IF($B38="","",IFERROR(INDEX('Auxiliar Resultados'!$C$9:$BO$50,MATCH($B38,'Auxiliar Resultados'!$B$9:$B$50,0),MATCH(CONCATENATE($C38,K$7),'Auxiliar Resultados'!$C$6:$BO$6,0)),"")))</f>
        <v/>
      </c>
      <c r="L38" s="52" t="str">
        <f>+IF(IF($B38="","",IFERROR(INDEX('Auxiliar Resultados'!$C$9:$BO$50,MATCH($B38,'Auxiliar Resultados'!$B$9:$B$50,0),MATCH(CONCATENATE($C38,L$7),'Auxiliar Resultados'!$C$6:$BO$6,0)),""))=0,"",IF($B38="","",IFERROR(INDEX('Auxiliar Resultados'!$C$9:$BO$50,MATCH($B38,'Auxiliar Resultados'!$B$9:$B$50,0),MATCH(CONCATENATE($C38,L$7),'Auxiliar Resultados'!$C$6:$BO$6,0)),"")))</f>
        <v/>
      </c>
      <c r="M38" s="52" t="str">
        <f>+IF(IF($B38="","",IFERROR(INDEX('Auxiliar Resultados'!$C$9:$BO$50,MATCH($B38,'Auxiliar Resultados'!$B$9:$B$50,0),MATCH(CONCATENATE($C38,M$7),'Auxiliar Resultados'!$C$6:$BO$6,0)),""))=0,"",IF($B38="","",IFERROR(INDEX('Auxiliar Resultados'!$C$9:$BO$50,MATCH($B38,'Auxiliar Resultados'!$B$9:$B$50,0),MATCH(CONCATENATE($C38,M$7),'Auxiliar Resultados'!$C$6:$BO$6,0)),"")))</f>
        <v/>
      </c>
      <c r="N38" s="52" t="str">
        <f>+IF(IF($B38="","",IFERROR(INDEX('Auxiliar Resultados'!$C$9:$BO$50,MATCH($B38,'Auxiliar Resultados'!$B$9:$B$50,0),MATCH(CONCATENATE($C38,N$7),'Auxiliar Resultados'!$C$6:$BO$6,0)),""))=0,"",IF($B38="","",IFERROR(INDEX('Auxiliar Resultados'!$C$9:$BO$50,MATCH($B38,'Auxiliar Resultados'!$B$9:$B$50,0),MATCH(CONCATENATE($C38,N$7),'Auxiliar Resultados'!$C$6:$BO$6,0)),"")))</f>
        <v/>
      </c>
      <c r="O38" s="52" t="str">
        <f>+IF(IF($B38="","",IFERROR(INDEX('Auxiliar Resultados'!$C$9:$BO$50,MATCH($B38,'Auxiliar Resultados'!$B$9:$B$50,0),MATCH(CONCATENATE($C38,O$7),'Auxiliar Resultados'!$C$6:$BO$6,0)),""))=0,"",IF($B38="","",IFERROR(INDEX('Auxiliar Resultados'!$C$9:$BO$50,MATCH($B38,'Auxiliar Resultados'!$B$9:$B$50,0),MATCH(CONCATENATE($C38,O$7),'Auxiliar Resultados'!$C$6:$BO$6,0)),"")))</f>
        <v/>
      </c>
      <c r="P38" s="52" t="str">
        <f>+IF(IF($B38="","",IFERROR(INDEX('Auxiliar Resultados'!$C$9:$BO$50,MATCH($B38,'Auxiliar Resultados'!$B$9:$B$50,0),MATCH(CONCATENATE($C38,P$7),'Auxiliar Resultados'!$C$6:$BO$6,0)),""))=0,"",IF($B38="","",IFERROR(INDEX('Auxiliar Resultados'!$C$9:$BO$50,MATCH($B38,'Auxiliar Resultados'!$B$9:$B$50,0),MATCH(CONCATENATE($C38,P$7),'Auxiliar Resultados'!$C$6:$BO$6,0)),"")))</f>
        <v/>
      </c>
      <c r="Q38" s="52" t="str">
        <f>+IF(IF($B38="","",IFERROR(INDEX('Auxiliar Resultados'!$C$9:$BO$50,MATCH($B38,'Auxiliar Resultados'!$B$9:$B$50,0),MATCH(CONCATENATE($C38,Q$7),'Auxiliar Resultados'!$C$6:$BO$6,0)),""))=0,"",IF($B38="","",IFERROR(INDEX('Auxiliar Resultados'!$C$9:$BO$50,MATCH($B38,'Auxiliar Resultados'!$B$9:$B$50,0),MATCH(CONCATENATE($C38,Q$7),'Auxiliar Resultados'!$C$6:$BO$6,0)),"")))</f>
        <v/>
      </c>
      <c r="R38" s="52" t="str">
        <f>+IF(IF($B38="","",IFERROR(INDEX('Auxiliar Resultados'!$C$9:$BO$50,MATCH($B38,'Auxiliar Resultados'!$B$9:$B$50,0),MATCH(CONCATENATE($C38,R$7),'Auxiliar Resultados'!$C$6:$BO$6,0)),""))=0,"",IF($B38="","",IFERROR(INDEX('Auxiliar Resultados'!$C$9:$BO$50,MATCH($B38,'Auxiliar Resultados'!$B$9:$B$50,0),MATCH(CONCATENATE($C38,R$7),'Auxiliar Resultados'!$C$6:$BO$6,0)),"")))</f>
        <v/>
      </c>
      <c r="S38" s="52" t="str">
        <f>+IF(IF($B38="","",IFERROR(INDEX('Auxiliar Resultados'!$C$9:$BO$50,MATCH($B38,'Auxiliar Resultados'!$B$9:$B$50,0),MATCH(CONCATENATE($C38,S$7),'Auxiliar Resultados'!$C$6:$BO$6,0)),""))=0,"",IF($B38="","",IFERROR(INDEX('Auxiliar Resultados'!$C$9:$BO$50,MATCH($B38,'Auxiliar Resultados'!$B$9:$B$50,0),MATCH(CONCATENATE($C38,S$7),'Auxiliar Resultados'!$C$6:$BO$6,0)),"")))</f>
        <v/>
      </c>
      <c r="T38" s="52" t="str">
        <f>+IF(IF($B38="","",IFERROR(INDEX('Auxiliar Resultados'!$C$9:$BO$50,MATCH($B38,'Auxiliar Resultados'!$B$9:$B$50,0),MATCH(CONCATENATE($C38,T$7),'Auxiliar Resultados'!$C$6:$BO$6,0)),""))=0,"",IF($B38="","",IFERROR(INDEX('Auxiliar Resultados'!$C$9:$BO$50,MATCH($B38,'Auxiliar Resultados'!$B$9:$B$50,0),MATCH(CONCATENATE($C38,T$7),'Auxiliar Resultados'!$C$6:$BO$6,0)),"")))</f>
        <v/>
      </c>
      <c r="U38" s="52" t="str">
        <f>+IF(IF($B38="","",IFERROR(INDEX('Auxiliar Resultados'!$C$9:$BO$50,MATCH($B38,'Auxiliar Resultados'!$B$9:$B$50,0),MATCH(CONCATENATE($C38,U$7),'Auxiliar Resultados'!$C$6:$BO$6,0)),""))=0,"",IF($B38="","",IFERROR(INDEX('Auxiliar Resultados'!$C$9:$BO$50,MATCH($B38,'Auxiliar Resultados'!$B$9:$B$50,0),MATCH(CONCATENATE($C38,U$7),'Auxiliar Resultados'!$C$6:$BO$6,0)),"")))</f>
        <v/>
      </c>
      <c r="V38" s="52" t="str">
        <f>+IF(IF($B38="","",IFERROR(INDEX('Auxiliar Resultados'!$C$9:$BO$50,MATCH($B38,'Auxiliar Resultados'!$B$9:$B$50,0),MATCH(CONCATENATE($C38,V$7),'Auxiliar Resultados'!$C$6:$BO$6,0)),""))=0,"",IF($B38="","",IFERROR(INDEX('Auxiliar Resultados'!$C$9:$BO$50,MATCH($B38,'Auxiliar Resultados'!$B$9:$B$50,0),MATCH(CONCATENATE($C38,V$7),'Auxiliar Resultados'!$C$6:$BO$6,0)),"")))</f>
        <v/>
      </c>
      <c r="W38" s="52" t="str">
        <f>+IF(IF($B38="","",IFERROR(INDEX('Auxiliar Resultados'!$C$9:$BO$50,MATCH($B38,'Auxiliar Resultados'!$B$9:$B$50,0),MATCH(CONCATENATE($C38,W$7),'Auxiliar Resultados'!$C$6:$BO$6,0)),""))=0,"",IF($B38="","",IFERROR(INDEX('Auxiliar Resultados'!$C$9:$BO$50,MATCH($B38,'Auxiliar Resultados'!$B$9:$B$50,0),MATCH(CONCATENATE($C38,W$7),'Auxiliar Resultados'!$C$6:$BO$6,0)),"")))</f>
        <v/>
      </c>
      <c r="X38" s="52" t="str">
        <f>+IF(IF($B38="","",IFERROR(INDEX('Auxiliar Resultados'!$C$9:$BO$50,MATCH($B38,'Auxiliar Resultados'!$B$9:$B$50,0),MATCH(CONCATENATE($C38,X$7),'Auxiliar Resultados'!$C$6:$BO$6,0)),""))=0,"",IF($B38="","",IFERROR(INDEX('Auxiliar Resultados'!$C$9:$BO$50,MATCH($B38,'Auxiliar Resultados'!$B$9:$B$50,0),MATCH(CONCATENATE($C38,X$7),'Auxiliar Resultados'!$C$6:$BO$6,0)),"")))</f>
        <v/>
      </c>
      <c r="Y38" s="52" t="str">
        <f>+IF(IF($B38="","",IFERROR(INDEX('Auxiliar Resultados'!$C$9:$BO$50,MATCH($B38,'Auxiliar Resultados'!$B$9:$B$50,0),MATCH(CONCATENATE($C38,Y$7),'Auxiliar Resultados'!$C$6:$BO$6,0)),""))=0,"",IF($B38="","",IFERROR(INDEX('Auxiliar Resultados'!$C$9:$BO$50,MATCH($B38,'Auxiliar Resultados'!$B$9:$B$50,0),MATCH(CONCATENATE($C38,Y$7),'Auxiliar Resultados'!$C$6:$BO$6,0)),"")))</f>
        <v/>
      </c>
      <c r="Z38" s="52" t="str">
        <f>+IF(IF($B38="","",IFERROR(INDEX('Auxiliar Resultados'!$C$9:$BO$50,MATCH($B38,'Auxiliar Resultados'!$B$9:$B$50,0),MATCH(CONCATENATE($C38,Z$7),'Auxiliar Resultados'!$C$6:$BO$6,0)),""))=0,"",IF($B38="","",IFERROR(INDEX('Auxiliar Resultados'!$C$9:$BO$50,MATCH($B38,'Auxiliar Resultados'!$B$9:$B$50,0),MATCH(CONCATENATE($C38,Z$7),'Auxiliar Resultados'!$C$6:$BO$6,0)),"")))</f>
        <v/>
      </c>
      <c r="AA38" s="52" t="str">
        <f>+IF(IF($B38="","",IFERROR(INDEX('Auxiliar Resultados'!$C$9:$BO$50,MATCH($B38,'Auxiliar Resultados'!$B$9:$B$50,0),MATCH(CONCATENATE($C38,AA$7),'Auxiliar Resultados'!$C$6:$BO$6,0)),""))=0,"",IF($B38="","",IFERROR(INDEX('Auxiliar Resultados'!$C$9:$BO$50,MATCH($B38,'Auxiliar Resultados'!$B$9:$B$50,0),MATCH(CONCATENATE($C38,AA$7),'Auxiliar Resultados'!$C$6:$BO$6,0)),"")))</f>
        <v/>
      </c>
      <c r="AB38" s="52" t="str">
        <f>+IF(IF($B38="","",IFERROR(INDEX('Auxiliar Resultados'!$C$9:$BO$50,MATCH($B38,'Auxiliar Resultados'!$B$9:$B$50,0),MATCH(CONCATENATE($C38,AB$7),'Auxiliar Resultados'!$C$6:$BO$6,0)),""))=0,"",IF($B38="","",IFERROR(INDEX('Auxiliar Resultados'!$C$9:$BO$50,MATCH($B38,'Auxiliar Resultados'!$B$9:$B$50,0),MATCH(CONCATENATE($C38,AB$7),'Auxiliar Resultados'!$C$6:$BO$6,0)),"")))</f>
        <v/>
      </c>
      <c r="AC38" s="52" t="str">
        <f>+IF(IF($B38="","",IFERROR(INDEX('Auxiliar Resultados'!$C$9:$BO$50,MATCH($B38,'Auxiliar Resultados'!$B$9:$B$50,0),MATCH(CONCATENATE($C38,AC$7),'Auxiliar Resultados'!$C$6:$BO$6,0)),""))=0,"",IF($B38="","",IFERROR(INDEX('Auxiliar Resultados'!$C$9:$BO$50,MATCH($B38,'Auxiliar Resultados'!$B$9:$B$50,0),MATCH(CONCATENATE($C38,AC$7),'Auxiliar Resultados'!$C$6:$BO$6,0)),"")))</f>
        <v/>
      </c>
      <c r="AD38" s="52" t="str">
        <f>+IF(IF($B38="","",IFERROR(INDEX('Auxiliar Resultados'!$C$9:$BO$50,MATCH($B38,'Auxiliar Resultados'!$B$9:$B$50,0),MATCH(CONCATENATE($C38,AD$7),'Auxiliar Resultados'!$C$6:$BO$6,0)),""))=0,"",IF($B38="","",IFERROR(INDEX('Auxiliar Resultados'!$C$9:$BO$50,MATCH($B38,'Auxiliar Resultados'!$B$9:$B$50,0),MATCH(CONCATENATE($C38,AD$7),'Auxiliar Resultados'!$C$6:$BO$6,0)),"")))</f>
        <v/>
      </c>
      <c r="AE38" s="52" t="str">
        <f>+IF(IF($B38="","",IFERROR(INDEX('Auxiliar Resultados'!$C$9:$BO$50,MATCH($B38,'Auxiliar Resultados'!$B$9:$B$50,0),MATCH(CONCATENATE($C38,AE$7),'Auxiliar Resultados'!$C$6:$BO$6,0)),""))=0,"",IF($B38="","",IFERROR(INDEX('Auxiliar Resultados'!$C$9:$BO$50,MATCH($B38,'Auxiliar Resultados'!$B$9:$B$50,0),MATCH(CONCATENATE($C38,AE$7),'Auxiliar Resultados'!$C$6:$BO$6,0)),"")))</f>
        <v/>
      </c>
      <c r="AF38" s="52" t="str">
        <f>+IF(IF($B38="","",IFERROR(INDEX('Auxiliar Resultados'!$C$9:$BO$50,MATCH($B38,'Auxiliar Resultados'!$B$9:$B$50,0),MATCH(CONCATENATE($C38,AF$7),'Auxiliar Resultados'!$C$6:$BO$6,0)),""))=0,"",IF($B38="","",IFERROR(INDEX('Auxiliar Resultados'!$C$9:$BO$50,MATCH($B38,'Auxiliar Resultados'!$B$9:$B$50,0),MATCH(CONCATENATE($C38,AF$7),'Auxiliar Resultados'!$C$6:$BO$6,0)),"")))</f>
        <v/>
      </c>
      <c r="AG38" s="52" t="str">
        <f>+IF(IF($B38="","",IFERROR(INDEX('Auxiliar Resultados'!$C$9:$BO$50,MATCH($B38,'Auxiliar Resultados'!$B$9:$B$50,0),MATCH(CONCATENATE($C38,AG$7),'Auxiliar Resultados'!$C$6:$BO$6,0)),""))=0,"",IF($B38="","",IFERROR(INDEX('Auxiliar Resultados'!$C$9:$BO$50,MATCH($B38,'Auxiliar Resultados'!$B$9:$B$50,0),MATCH(CONCATENATE($C38,AG$7),'Auxiliar Resultados'!$C$6:$BO$6,0)),"")))</f>
        <v/>
      </c>
      <c r="AH38" s="52" t="str">
        <f>+IF(IF($B38="","",IFERROR(INDEX('Auxiliar Resultados'!$C$9:$BO$50,MATCH($B38,'Auxiliar Resultados'!$B$9:$B$50,0),MATCH(CONCATENATE($C38,AH$7),'Auxiliar Resultados'!$C$6:$BO$6,0)),""))=0,"",IF($B38="","",IFERROR(INDEX('Auxiliar Resultados'!$C$9:$BO$50,MATCH($B38,'Auxiliar Resultados'!$B$9:$B$50,0),MATCH(CONCATENATE($C38,AH$7),'Auxiliar Resultados'!$C$6:$BO$6,0)),"")))</f>
        <v/>
      </c>
      <c r="AI38" s="52" t="str">
        <f>+IF(IF($B38="","",IFERROR(INDEX('Auxiliar Resultados'!$C$9:$BO$50,MATCH($B38,'Auxiliar Resultados'!$B$9:$B$50,0),MATCH(CONCATENATE($C38,AI$7),'Auxiliar Resultados'!$C$6:$BO$6,0)),""))=0,"",IF($B38="","",IFERROR(INDEX('Auxiliar Resultados'!$C$9:$BO$50,MATCH($B38,'Auxiliar Resultados'!$B$9:$B$50,0),MATCH(CONCATENATE($C38,AI$7),'Auxiliar Resultados'!$C$6:$BO$6,0)),"")))</f>
        <v/>
      </c>
      <c r="AJ38" s="52" t="str">
        <f>+IF(IF($B38="","",IFERROR(INDEX('Auxiliar Resultados'!$C$9:$BO$50,MATCH($B38,'Auxiliar Resultados'!$B$9:$B$50,0),MATCH(CONCATENATE($C38,AJ$7),'Auxiliar Resultados'!$C$6:$BO$6,0)),""))=0,"",IF($B38="","",IFERROR(INDEX('Auxiliar Resultados'!$C$9:$BO$50,MATCH($B38,'Auxiliar Resultados'!$B$9:$B$50,0),MATCH(CONCATENATE($C38,AJ$7),'Auxiliar Resultados'!$C$6:$BO$6,0)),"")))</f>
        <v/>
      </c>
      <c r="AK38" s="52" t="str">
        <f>+IF(IF($B38="","",IFERROR(INDEX('Auxiliar Resultados'!$C$9:$BO$50,MATCH($B38,'Auxiliar Resultados'!$B$9:$B$50,0),MATCH(CONCATENATE($C38,AK$7),'Auxiliar Resultados'!$C$6:$BO$6,0)),""))=0,"",IF($B38="","",IFERROR(INDEX('Auxiliar Resultados'!$C$9:$BO$50,MATCH($B38,'Auxiliar Resultados'!$B$9:$B$50,0),MATCH(CONCATENATE($C38,AK$7),'Auxiliar Resultados'!$C$6:$BO$6,0)),"")))</f>
        <v/>
      </c>
      <c r="AL38" s="52" t="str">
        <f>+IF(IF($B38="","",IFERROR(INDEX('Auxiliar Resultados'!$C$9:$BO$50,MATCH($B38,'Auxiliar Resultados'!$B$9:$B$50,0),MATCH(CONCATENATE($C38,AL$7),'Auxiliar Resultados'!$C$6:$BO$6,0)),""))=0,"",IF($B38="","",IFERROR(INDEX('Auxiliar Resultados'!$C$9:$BO$50,MATCH($B38,'Auxiliar Resultados'!$B$9:$B$50,0),MATCH(CONCATENATE($C38,AL$7),'Auxiliar Resultados'!$C$6:$BO$6,0)),"")))</f>
        <v/>
      </c>
      <c r="AM38" s="52" t="str">
        <f>+IF(IF($B38="","",IFERROR(INDEX('Auxiliar Resultados'!$C$9:$BO$50,MATCH($B38,'Auxiliar Resultados'!$B$9:$B$50,0),MATCH(CONCATENATE($C38,AM$7),'Auxiliar Resultados'!$C$6:$BO$6,0)),""))=0,"",IF($B38="","",IFERROR(INDEX('Auxiliar Resultados'!$C$9:$BO$50,MATCH($B38,'Auxiliar Resultados'!$B$9:$B$50,0),MATCH(CONCATENATE($C38,AM$7),'Auxiliar Resultados'!$C$6:$BO$6,0)),"")))</f>
        <v/>
      </c>
      <c r="AN38" s="52" t="str">
        <f>+IF(IF($B38="","",IFERROR(INDEX('Auxiliar Resultados'!$C$9:$BO$50,MATCH($B38,'Auxiliar Resultados'!$B$9:$B$50,0),MATCH(CONCATENATE($C38,AN$7),'Auxiliar Resultados'!$C$6:$BO$6,0)),""))=0,"",IF($B38="","",IFERROR(INDEX('Auxiliar Resultados'!$C$9:$BO$50,MATCH($B38,'Auxiliar Resultados'!$B$9:$B$50,0),MATCH(CONCATENATE($C38,AN$7),'Auxiliar Resultados'!$C$6:$BO$6,0)),"")))</f>
        <v/>
      </c>
      <c r="AO38" s="52" t="str">
        <f>+IF(IF($B38="","",IFERROR(INDEX('Auxiliar Resultados'!$C$9:$BO$50,MATCH($B38,'Auxiliar Resultados'!$B$9:$B$50,0),MATCH(CONCATENATE($C38,AO$7),'Auxiliar Resultados'!$C$6:$BO$6,0)),""))=0,"",IF($B38="","",IFERROR(INDEX('Auxiliar Resultados'!$C$9:$BO$50,MATCH($B38,'Auxiliar Resultados'!$B$9:$B$50,0),MATCH(CONCATENATE($C38,AO$7),'Auxiliar Resultados'!$C$6:$BO$6,0)),"")))</f>
        <v/>
      </c>
      <c r="AP38" s="52" t="str">
        <f>+IF(IF($B38="","",IFERROR(INDEX('Auxiliar Resultados'!$C$9:$BO$50,MATCH($B38,'Auxiliar Resultados'!$B$9:$B$50,0),MATCH(CONCATENATE($C38,AP$7),'Auxiliar Resultados'!$C$6:$BO$6,0)),""))=0,"",IF($B38="","",IFERROR(INDEX('Auxiliar Resultados'!$C$9:$BO$50,MATCH($B38,'Auxiliar Resultados'!$B$9:$B$50,0),MATCH(CONCATENATE($C38,AP$7),'Auxiliar Resultados'!$C$6:$BO$6,0)),"")))</f>
        <v/>
      </c>
      <c r="AQ38" s="276" t="str">
        <f>+IF(IF($B38="","",IFERROR(INDEX('Auxiliar Resultados'!$C$9:$BO$50,MATCH($B38,'Auxiliar Resultados'!$B$9:$B$50,0),MATCH(CONCATENATE($C38,AQ$7),'Auxiliar Resultados'!$C$6:$BO$6,0)),""))=0,"",IF($B38="","",IFERROR(INDEX('Auxiliar Resultados'!$C$9:$BO$50,MATCH($B38,'Auxiliar Resultados'!$B$9:$B$50,0),MATCH(CONCATENATE($C38,AQ$7),'Auxiliar Resultados'!$C$6:$BO$6,0)),"")))</f>
        <v/>
      </c>
      <c r="AS38" s="46" t="str">
        <f t="shared" si="5"/>
        <v/>
      </c>
      <c r="AT38" s="292" t="str">
        <f t="shared" si="6"/>
        <v/>
      </c>
      <c r="AU38" s="36" t="str">
        <f>+IF(G38="","",INDEX('Modelo Optimización'!$AZ$4:$CO$149,MATCH(CONCATENATE(AU$7,$AT38),'Modelo Optimización'!$CQ$4:$CQ$149,0),MATCH($AS38,'Modelo Optimización'!$AZ$3:$CO$3,0)))</f>
        <v/>
      </c>
      <c r="AV38" s="32" t="str">
        <f>+IF(H38="","",INDEX('Modelo Optimización'!$AZ$4:$CO$149,MATCH(CONCATENATE(AV$7,$AT38),'Modelo Optimización'!$CQ$4:$CQ$149,0),MATCH($AS38,'Modelo Optimización'!$AZ$3:$CO$3,0)))</f>
        <v/>
      </c>
      <c r="AW38" s="32" t="str">
        <f>+IF(I38="","",INDEX('Modelo Optimización'!$AZ$4:$CO$149,MATCH(CONCATENATE(AW$7,$AT38),'Modelo Optimización'!$CQ$4:$CQ$149,0),MATCH($AS38,'Modelo Optimización'!$AZ$3:$CO$3,0)))</f>
        <v/>
      </c>
      <c r="AX38" s="32" t="str">
        <f>+IF(J38="","",INDEX('Modelo Optimización'!$AZ$4:$CO$149,MATCH(CONCATENATE(AX$7,$AT38),'Modelo Optimización'!$CQ$4:$CQ$149,0),MATCH($AS38,'Modelo Optimización'!$AZ$3:$CO$3,0)))</f>
        <v/>
      </c>
      <c r="AY38" s="32" t="str">
        <f>+IF(K38="","",INDEX('Modelo Optimización'!$AZ$4:$CO$149,MATCH(CONCATENATE(AY$7,$AT38),'Modelo Optimización'!$CQ$4:$CQ$149,0),MATCH($AS38,'Modelo Optimización'!$AZ$3:$CO$3,0)))</f>
        <v/>
      </c>
      <c r="AZ38" s="32" t="str">
        <f>+IF(L38="","",INDEX('Modelo Optimización'!$AZ$4:$CO$149,MATCH(CONCATENATE(AZ$7,$AT38),'Modelo Optimización'!$CQ$4:$CQ$149,0),MATCH($AS38,'Modelo Optimización'!$AZ$3:$CO$3,0)))</f>
        <v/>
      </c>
      <c r="BA38" s="32" t="str">
        <f>+IF(M38="","",INDEX('Modelo Optimización'!$AZ$4:$CO$149,MATCH(CONCATENATE(BA$7,$AT38),'Modelo Optimización'!$CQ$4:$CQ$149,0),MATCH($AS38,'Modelo Optimización'!$AZ$3:$CO$3,0)))</f>
        <v/>
      </c>
      <c r="BB38" s="32" t="str">
        <f>+IF(N38="","",INDEX('Modelo Optimización'!$AZ$4:$CO$149,MATCH(CONCATENATE(BB$7,$AT38),'Modelo Optimización'!$CQ$4:$CQ$149,0),MATCH($AS38,'Modelo Optimización'!$AZ$3:$CO$3,0)))</f>
        <v/>
      </c>
      <c r="BC38" s="32" t="str">
        <f>+IF(O38="","",INDEX('Modelo Optimización'!$AZ$4:$CO$149,MATCH(CONCATENATE(BC$7,$AT38),'Modelo Optimización'!$CQ$4:$CQ$149,0),MATCH($AS38,'Modelo Optimización'!$AZ$3:$CO$3,0)))</f>
        <v/>
      </c>
      <c r="BD38" s="32" t="str">
        <f>+IF(P38="","",INDEX('Modelo Optimización'!$AZ$4:$CO$149,MATCH(CONCATENATE(BD$7,$AT38),'Modelo Optimización'!$CQ$4:$CQ$149,0),MATCH($AS38,'Modelo Optimización'!$AZ$3:$CO$3,0)))</f>
        <v/>
      </c>
      <c r="BE38" s="32" t="str">
        <f>+IF(Q38="","",INDEX('Modelo Optimización'!$AZ$4:$CO$149,MATCH(CONCATENATE(BE$7,$AT38),'Modelo Optimización'!$CQ$4:$CQ$149,0),MATCH($AS38,'Modelo Optimización'!$AZ$3:$CO$3,0)))</f>
        <v/>
      </c>
      <c r="BF38" s="32" t="str">
        <f>+IF(R38="","",INDEX('Modelo Optimización'!$AZ$4:$CO$149,MATCH(CONCATENATE(BF$7,$AT38),'Modelo Optimización'!$CQ$4:$CQ$149,0),MATCH($AS38,'Modelo Optimización'!$AZ$3:$CO$3,0)))</f>
        <v/>
      </c>
      <c r="BG38" s="32" t="str">
        <f>+IF(S38="","",INDEX('Modelo Optimización'!$AZ$4:$CO$149,MATCH(CONCATENATE(BG$7,$AT38),'Modelo Optimización'!$CQ$4:$CQ$149,0),MATCH($AS38,'Modelo Optimización'!$AZ$3:$CO$3,0)))</f>
        <v/>
      </c>
      <c r="BH38" s="32" t="str">
        <f>+IF(T38="","",INDEX('Modelo Optimización'!$AZ$4:$CO$149,MATCH(CONCATENATE(BH$7,$AT38),'Modelo Optimización'!$CQ$4:$CQ$149,0),MATCH($AS38,'Modelo Optimización'!$AZ$3:$CO$3,0)))</f>
        <v/>
      </c>
      <c r="BI38" s="32" t="str">
        <f>+IF(U38="","",INDEX('Modelo Optimización'!$AZ$4:$CO$149,MATCH(CONCATENATE(BI$7,$AT38),'Modelo Optimización'!$CQ$4:$CQ$149,0),MATCH($AS38,'Modelo Optimización'!$AZ$3:$CO$3,0)))</f>
        <v/>
      </c>
      <c r="BJ38" s="32" t="str">
        <f>+IF(V38="","",INDEX('Modelo Optimización'!$AZ$4:$CO$149,MATCH(CONCATENATE(BJ$7,$AT38),'Modelo Optimización'!$CQ$4:$CQ$149,0),MATCH($AS38,'Modelo Optimización'!$AZ$3:$CO$3,0)))</f>
        <v/>
      </c>
      <c r="BK38" s="32" t="str">
        <f>+IF(W38="","",INDEX('Modelo Optimización'!$AZ$4:$CO$149,MATCH(CONCATENATE(BK$7,$AT38),'Modelo Optimización'!$CQ$4:$CQ$149,0),MATCH($AS38,'Modelo Optimización'!$AZ$3:$CO$3,0)))</f>
        <v/>
      </c>
      <c r="BL38" s="32" t="str">
        <f>+IF(X38="","",INDEX('Modelo Optimización'!$AZ$4:$CO$149,MATCH(CONCATENATE(BL$7,$AT38),'Modelo Optimización'!$CQ$4:$CQ$149,0),MATCH($AS38,'Modelo Optimización'!$AZ$3:$CO$3,0)))</f>
        <v/>
      </c>
      <c r="BM38" s="32" t="str">
        <f>+IF(Y38="","",INDEX('Modelo Optimización'!$AZ$4:$CO$149,MATCH(CONCATENATE(BM$7,$AT38),'Modelo Optimización'!$CQ$4:$CQ$149,0),MATCH($AS38,'Modelo Optimización'!$AZ$3:$CO$3,0)))</f>
        <v/>
      </c>
      <c r="BN38" s="32" t="str">
        <f>+IF(Z38="","",INDEX('Modelo Optimización'!$AZ$4:$CO$149,MATCH(CONCATENATE(BN$7,$AT38),'Modelo Optimización'!$CQ$4:$CQ$149,0),MATCH($AS38,'Modelo Optimización'!$AZ$3:$CO$3,0)))</f>
        <v/>
      </c>
      <c r="BO38" s="32" t="str">
        <f>+IF(AA38="","",INDEX('Modelo Optimización'!$AZ$4:$CO$149,MATCH(CONCATENATE(BO$7,$AT38),'Modelo Optimización'!$CQ$4:$CQ$149,0),MATCH($AS38,'Modelo Optimización'!$AZ$3:$CO$3,0)))</f>
        <v/>
      </c>
      <c r="BP38" s="32" t="str">
        <f>+IF(AB38="","",INDEX('Modelo Optimización'!$AZ$4:$CO$149,MATCH(CONCATENATE(BP$7,$AT38),'Modelo Optimización'!$CQ$4:$CQ$149,0),MATCH($AS38,'Modelo Optimización'!$AZ$3:$CO$3,0)))</f>
        <v/>
      </c>
      <c r="BQ38" s="32" t="str">
        <f>+IF(AC38="","",INDEX('Modelo Optimización'!$AZ$4:$CO$149,MATCH(CONCATENATE(BQ$7,$AT38),'Modelo Optimización'!$CQ$4:$CQ$149,0),MATCH($AS38,'Modelo Optimización'!$AZ$3:$CO$3,0)))</f>
        <v/>
      </c>
      <c r="BR38" s="32" t="str">
        <f>+IF(AD38="","",INDEX('Modelo Optimización'!$AZ$4:$CO$149,MATCH(CONCATENATE(BR$7,$AT38),'Modelo Optimización'!$CQ$4:$CQ$149,0),MATCH($AS38,'Modelo Optimización'!$AZ$3:$CO$3,0)))</f>
        <v/>
      </c>
      <c r="BS38" s="32" t="str">
        <f>+IF(AE38="","",INDEX('Modelo Optimización'!$AZ$4:$CO$149,MATCH(CONCATENATE(BS$7,$AT38),'Modelo Optimización'!$CQ$4:$CQ$149,0),MATCH($AS38,'Modelo Optimización'!$AZ$3:$CO$3,0)))</f>
        <v/>
      </c>
      <c r="BT38" s="32" t="str">
        <f>+IF(AF38="","",INDEX('Modelo Optimización'!$AZ$4:$CO$149,MATCH(CONCATENATE(BT$7,$AT38),'Modelo Optimización'!$CQ$4:$CQ$149,0),MATCH($AS38,'Modelo Optimización'!$AZ$3:$CO$3,0)))</f>
        <v/>
      </c>
      <c r="BU38" s="32" t="str">
        <f>+IF(AG38="","",INDEX('Modelo Optimización'!$AZ$4:$CO$149,MATCH(CONCATENATE(BU$7,$AT38),'Modelo Optimización'!$CQ$4:$CQ$149,0),MATCH($AS38,'Modelo Optimización'!$AZ$3:$CO$3,0)))</f>
        <v/>
      </c>
      <c r="BV38" s="32" t="str">
        <f>+IF(AH38="","",INDEX('Modelo Optimización'!$AZ$4:$CO$149,MATCH(CONCATENATE(BV$7,$AT38),'Modelo Optimización'!$CQ$4:$CQ$149,0),MATCH($AS38,'Modelo Optimización'!$AZ$3:$CO$3,0)))</f>
        <v/>
      </c>
      <c r="BW38" s="32" t="str">
        <f>+IF(AI38="","",INDEX('Modelo Optimización'!$AZ$4:$CO$149,MATCH(CONCATENATE(BW$7,$AT38),'Modelo Optimización'!$CQ$4:$CQ$149,0),MATCH($AS38,'Modelo Optimización'!$AZ$3:$CO$3,0)))</f>
        <v/>
      </c>
      <c r="BX38" s="32" t="str">
        <f>+IF(AJ38="","",INDEX('Modelo Optimización'!$AZ$4:$CO$149,MATCH(CONCATENATE(BX$7,$AT38),'Modelo Optimización'!$CQ$4:$CQ$149,0),MATCH($AS38,'Modelo Optimización'!$AZ$3:$CO$3,0)))</f>
        <v/>
      </c>
      <c r="BY38" s="32" t="str">
        <f>+IF(AK38="","",INDEX('Modelo Optimización'!$AZ$4:$CO$149,MATCH(CONCATENATE(BY$7,$AT38),'Modelo Optimización'!$CQ$4:$CQ$149,0),MATCH($AS38,'Modelo Optimización'!$AZ$3:$CO$3,0)))</f>
        <v/>
      </c>
      <c r="BZ38" s="32" t="str">
        <f>+IF(AL38="","",INDEX('Modelo Optimización'!$AZ$4:$CO$149,MATCH(CONCATENATE(BZ$7,$AT38),'Modelo Optimización'!$CQ$4:$CQ$149,0),MATCH($AS38,'Modelo Optimización'!$AZ$3:$CO$3,0)))</f>
        <v/>
      </c>
      <c r="CA38" s="32" t="str">
        <f>+IF(AM38="","",INDEX('Modelo Optimización'!$AZ$4:$CO$149,MATCH(CONCATENATE(CA$7,$AT38),'Modelo Optimización'!$CQ$4:$CQ$149,0),MATCH($AS38,'Modelo Optimización'!$AZ$3:$CO$3,0)))</f>
        <v/>
      </c>
      <c r="CB38" s="32" t="str">
        <f>+IF(AN38="","",INDEX('Modelo Optimización'!$AZ$4:$CO$149,MATCH(CONCATENATE(CB$7,$AT38),'Modelo Optimización'!$CQ$4:$CQ$149,0),MATCH($AS38,'Modelo Optimización'!$AZ$3:$CO$3,0)))</f>
        <v/>
      </c>
      <c r="CC38" s="32" t="str">
        <f>+IF(AO38="","",INDEX('Modelo Optimización'!$AZ$4:$CO$149,MATCH(CONCATENATE(CC$7,$AT38),'Modelo Optimización'!$CQ$4:$CQ$149,0),MATCH($AS38,'Modelo Optimización'!$AZ$3:$CO$3,0)))</f>
        <v/>
      </c>
      <c r="CD38" s="32" t="str">
        <f>+IF(AP38="","",INDEX('Modelo Optimización'!$AZ$4:$CO$149,MATCH(CONCATENATE(CD$7,$AT38),'Modelo Optimización'!$CQ$4:$CQ$149,0),MATCH($AS38,'Modelo Optimización'!$AZ$3:$CO$3,0)))</f>
        <v/>
      </c>
      <c r="CE38" s="37" t="str">
        <f>+IF(AQ38="","",INDEX('Modelo Optimización'!$AZ$4:$CO$149,MATCH(CONCATENATE(CE$7,$AT38),'Modelo Optimización'!$CQ$4:$CQ$149,0),MATCH($AS38,'Modelo Optimización'!$AZ$3:$CO$3,0)))</f>
        <v/>
      </c>
      <c r="CF38" s="301"/>
      <c r="CG38" s="305" t="str">
        <f t="shared" si="11"/>
        <v/>
      </c>
      <c r="CH38" s="303" t="str">
        <f t="shared" si="7"/>
        <v/>
      </c>
      <c r="CI38" s="292" t="str">
        <f t="shared" si="8"/>
        <v/>
      </c>
      <c r="CJ38" s="36" t="str">
        <f t="shared" si="12"/>
        <v/>
      </c>
      <c r="CK38" s="32" t="str">
        <f t="shared" si="13"/>
        <v/>
      </c>
      <c r="CL38" s="32" t="str">
        <f t="shared" si="14"/>
        <v/>
      </c>
      <c r="CM38" s="32" t="str">
        <f t="shared" si="15"/>
        <v/>
      </c>
      <c r="CN38" s="32" t="str">
        <f t="shared" si="16"/>
        <v/>
      </c>
      <c r="CO38" s="32" t="str">
        <f t="shared" si="17"/>
        <v/>
      </c>
      <c r="CP38" s="32" t="str">
        <f t="shared" si="18"/>
        <v/>
      </c>
      <c r="CQ38" s="32" t="str">
        <f t="shared" si="19"/>
        <v/>
      </c>
      <c r="CR38" s="32" t="str">
        <f t="shared" si="20"/>
        <v/>
      </c>
      <c r="CS38" s="32" t="str">
        <f t="shared" si="21"/>
        <v/>
      </c>
      <c r="CT38" s="32" t="str">
        <f t="shared" si="22"/>
        <v/>
      </c>
      <c r="CU38" s="32" t="str">
        <f t="shared" si="23"/>
        <v/>
      </c>
      <c r="CV38" s="32" t="str">
        <f t="shared" si="24"/>
        <v/>
      </c>
      <c r="CW38" s="32" t="str">
        <f t="shared" si="25"/>
        <v/>
      </c>
      <c r="CX38" s="32" t="str">
        <f t="shared" si="26"/>
        <v/>
      </c>
      <c r="CY38" s="32" t="str">
        <f t="shared" si="27"/>
        <v/>
      </c>
      <c r="CZ38" s="32" t="str">
        <f t="shared" si="28"/>
        <v/>
      </c>
      <c r="DA38" s="32" t="str">
        <f t="shared" si="29"/>
        <v/>
      </c>
      <c r="DB38" s="32" t="str">
        <f t="shared" si="30"/>
        <v/>
      </c>
      <c r="DC38" s="32" t="str">
        <f t="shared" si="31"/>
        <v/>
      </c>
      <c r="DD38" s="32" t="str">
        <f t="shared" si="32"/>
        <v/>
      </c>
      <c r="DE38" s="32" t="str">
        <f t="shared" si="33"/>
        <v/>
      </c>
      <c r="DF38" s="32" t="str">
        <f t="shared" si="34"/>
        <v/>
      </c>
      <c r="DG38" s="32" t="str">
        <f t="shared" si="35"/>
        <v/>
      </c>
      <c r="DH38" s="32" t="str">
        <f t="shared" si="36"/>
        <v/>
      </c>
      <c r="DI38" s="32" t="str">
        <f t="shared" si="37"/>
        <v/>
      </c>
      <c r="DJ38" s="32" t="str">
        <f t="shared" si="38"/>
        <v/>
      </c>
      <c r="DK38" s="32" t="str">
        <f t="shared" si="39"/>
        <v/>
      </c>
      <c r="DL38" s="32" t="str">
        <f t="shared" si="40"/>
        <v/>
      </c>
      <c r="DM38" s="32" t="str">
        <f t="shared" si="41"/>
        <v/>
      </c>
      <c r="DN38" s="32" t="str">
        <f t="shared" si="42"/>
        <v/>
      </c>
      <c r="DO38" s="32" t="str">
        <f t="shared" si="43"/>
        <v/>
      </c>
      <c r="DP38" s="32" t="str">
        <f t="shared" si="44"/>
        <v/>
      </c>
      <c r="DQ38" s="32" t="str">
        <f t="shared" si="45"/>
        <v/>
      </c>
      <c r="DR38" s="32" t="str">
        <f t="shared" si="46"/>
        <v/>
      </c>
      <c r="DS38" s="32" t="str">
        <f t="shared" si="47"/>
        <v/>
      </c>
      <c r="DT38" s="37" t="str">
        <f t="shared" si="48"/>
        <v/>
      </c>
    </row>
    <row r="39" spans="2:124" x14ac:dyDescent="0.35">
      <c r="B39" s="46"/>
      <c r="C39" s="212"/>
      <c r="D39" s="52"/>
      <c r="E39" s="52" t="str">
        <f>+IF(B39="","",IFERROR(SUMIF('Modelo Optimización'!$AS$72:$AS$217,C39,INDEX('Modelo Optimización'!$C$72:$AR$217,,MATCH(B39,'Modelo Optimización'!$C$71:$AR$71,0))),0))</f>
        <v/>
      </c>
      <c r="F39" s="281" t="str">
        <f t="shared" si="10"/>
        <v/>
      </c>
      <c r="G39" s="280" t="str">
        <f>+IF(IF($B39="","",IFERROR(INDEX('Auxiliar Resultados'!$C$9:$BO$50,MATCH($B39,'Auxiliar Resultados'!$B$9:$B$50,0),MATCH(CONCATENATE($C39,G$7),'Auxiliar Resultados'!$C$6:$BO$6,0)),""))=0,"",IF($B39="","",IFERROR(INDEX('Auxiliar Resultados'!$C$9:$BO$50,MATCH($B39,'Auxiliar Resultados'!$B$9:$B$50,0),MATCH(CONCATENATE($C39,G$7),'Auxiliar Resultados'!$C$6:$BO$6,0)),"")))</f>
        <v/>
      </c>
      <c r="H39" s="52" t="str">
        <f>+IF(IF($B39="","",IFERROR(INDEX('Auxiliar Resultados'!$C$9:$BO$50,MATCH($B39,'Auxiliar Resultados'!$B$9:$B$50,0),MATCH(CONCATENATE($C39,H$7),'Auxiliar Resultados'!$C$6:$BO$6,0)),""))=0,"",IF($B39="","",IFERROR(INDEX('Auxiliar Resultados'!$C$9:$BO$50,MATCH($B39,'Auxiliar Resultados'!$B$9:$B$50,0),MATCH(CONCATENATE($C39,H$7),'Auxiliar Resultados'!$C$6:$BO$6,0)),"")))</f>
        <v/>
      </c>
      <c r="I39" s="52" t="str">
        <f>+IF(IF($B39="","",IFERROR(INDEX('Auxiliar Resultados'!$C$9:$BO$50,MATCH($B39,'Auxiliar Resultados'!$B$9:$B$50,0),MATCH(CONCATENATE($C39,I$7),'Auxiliar Resultados'!$C$6:$BO$6,0)),""))=0,"",IF($B39="","",IFERROR(INDEX('Auxiliar Resultados'!$C$9:$BO$50,MATCH($B39,'Auxiliar Resultados'!$B$9:$B$50,0),MATCH(CONCATENATE($C39,I$7),'Auxiliar Resultados'!$C$6:$BO$6,0)),"")))</f>
        <v/>
      </c>
      <c r="J39" s="52" t="str">
        <f>+IF(IF($B39="","",IFERROR(INDEX('Auxiliar Resultados'!$C$9:$BO$50,MATCH($B39,'Auxiliar Resultados'!$B$9:$B$50,0),MATCH(CONCATENATE($C39,J$7),'Auxiliar Resultados'!$C$6:$BO$6,0)),""))=0,"",IF($B39="","",IFERROR(INDEX('Auxiliar Resultados'!$C$9:$BO$50,MATCH($B39,'Auxiliar Resultados'!$B$9:$B$50,0),MATCH(CONCATENATE($C39,J$7),'Auxiliar Resultados'!$C$6:$BO$6,0)),"")))</f>
        <v/>
      </c>
      <c r="K39" s="52" t="str">
        <f>+IF(IF($B39="","",IFERROR(INDEX('Auxiliar Resultados'!$C$9:$BO$50,MATCH($B39,'Auxiliar Resultados'!$B$9:$B$50,0),MATCH(CONCATENATE($C39,K$7),'Auxiliar Resultados'!$C$6:$BO$6,0)),""))=0,"",IF($B39="","",IFERROR(INDEX('Auxiliar Resultados'!$C$9:$BO$50,MATCH($B39,'Auxiliar Resultados'!$B$9:$B$50,0),MATCH(CONCATENATE($C39,K$7),'Auxiliar Resultados'!$C$6:$BO$6,0)),"")))</f>
        <v/>
      </c>
      <c r="L39" s="52" t="str">
        <f>+IF(IF($B39="","",IFERROR(INDEX('Auxiliar Resultados'!$C$9:$BO$50,MATCH($B39,'Auxiliar Resultados'!$B$9:$B$50,0),MATCH(CONCATENATE($C39,L$7),'Auxiliar Resultados'!$C$6:$BO$6,0)),""))=0,"",IF($B39="","",IFERROR(INDEX('Auxiliar Resultados'!$C$9:$BO$50,MATCH($B39,'Auxiliar Resultados'!$B$9:$B$50,0),MATCH(CONCATENATE($C39,L$7),'Auxiliar Resultados'!$C$6:$BO$6,0)),"")))</f>
        <v/>
      </c>
      <c r="M39" s="52" t="str">
        <f>+IF(IF($B39="","",IFERROR(INDEX('Auxiliar Resultados'!$C$9:$BO$50,MATCH($B39,'Auxiliar Resultados'!$B$9:$B$50,0),MATCH(CONCATENATE($C39,M$7),'Auxiliar Resultados'!$C$6:$BO$6,0)),""))=0,"",IF($B39="","",IFERROR(INDEX('Auxiliar Resultados'!$C$9:$BO$50,MATCH($B39,'Auxiliar Resultados'!$B$9:$B$50,0),MATCH(CONCATENATE($C39,M$7),'Auxiliar Resultados'!$C$6:$BO$6,0)),"")))</f>
        <v/>
      </c>
      <c r="N39" s="52" t="str">
        <f>+IF(IF($B39="","",IFERROR(INDEX('Auxiliar Resultados'!$C$9:$BO$50,MATCH($B39,'Auxiliar Resultados'!$B$9:$B$50,0),MATCH(CONCATENATE($C39,N$7),'Auxiliar Resultados'!$C$6:$BO$6,0)),""))=0,"",IF($B39="","",IFERROR(INDEX('Auxiliar Resultados'!$C$9:$BO$50,MATCH($B39,'Auxiliar Resultados'!$B$9:$B$50,0),MATCH(CONCATENATE($C39,N$7),'Auxiliar Resultados'!$C$6:$BO$6,0)),"")))</f>
        <v/>
      </c>
      <c r="O39" s="52" t="str">
        <f>+IF(IF($B39="","",IFERROR(INDEX('Auxiliar Resultados'!$C$9:$BO$50,MATCH($B39,'Auxiliar Resultados'!$B$9:$B$50,0),MATCH(CONCATENATE($C39,O$7),'Auxiliar Resultados'!$C$6:$BO$6,0)),""))=0,"",IF($B39="","",IFERROR(INDEX('Auxiliar Resultados'!$C$9:$BO$50,MATCH($B39,'Auxiliar Resultados'!$B$9:$B$50,0),MATCH(CONCATENATE($C39,O$7),'Auxiliar Resultados'!$C$6:$BO$6,0)),"")))</f>
        <v/>
      </c>
      <c r="P39" s="52" t="str">
        <f>+IF(IF($B39="","",IFERROR(INDEX('Auxiliar Resultados'!$C$9:$BO$50,MATCH($B39,'Auxiliar Resultados'!$B$9:$B$50,0),MATCH(CONCATENATE($C39,P$7),'Auxiliar Resultados'!$C$6:$BO$6,0)),""))=0,"",IF($B39="","",IFERROR(INDEX('Auxiliar Resultados'!$C$9:$BO$50,MATCH($B39,'Auxiliar Resultados'!$B$9:$B$50,0),MATCH(CONCATENATE($C39,P$7),'Auxiliar Resultados'!$C$6:$BO$6,0)),"")))</f>
        <v/>
      </c>
      <c r="Q39" s="52" t="str">
        <f>+IF(IF($B39="","",IFERROR(INDEX('Auxiliar Resultados'!$C$9:$BO$50,MATCH($B39,'Auxiliar Resultados'!$B$9:$B$50,0),MATCH(CONCATENATE($C39,Q$7),'Auxiliar Resultados'!$C$6:$BO$6,0)),""))=0,"",IF($B39="","",IFERROR(INDEX('Auxiliar Resultados'!$C$9:$BO$50,MATCH($B39,'Auxiliar Resultados'!$B$9:$B$50,0),MATCH(CONCATENATE($C39,Q$7),'Auxiliar Resultados'!$C$6:$BO$6,0)),"")))</f>
        <v/>
      </c>
      <c r="R39" s="52" t="str">
        <f>+IF(IF($B39="","",IFERROR(INDEX('Auxiliar Resultados'!$C$9:$BO$50,MATCH($B39,'Auxiliar Resultados'!$B$9:$B$50,0),MATCH(CONCATENATE($C39,R$7),'Auxiliar Resultados'!$C$6:$BO$6,0)),""))=0,"",IF($B39="","",IFERROR(INDEX('Auxiliar Resultados'!$C$9:$BO$50,MATCH($B39,'Auxiliar Resultados'!$B$9:$B$50,0),MATCH(CONCATENATE($C39,R$7),'Auxiliar Resultados'!$C$6:$BO$6,0)),"")))</f>
        <v/>
      </c>
      <c r="S39" s="52" t="str">
        <f>+IF(IF($B39="","",IFERROR(INDEX('Auxiliar Resultados'!$C$9:$BO$50,MATCH($B39,'Auxiliar Resultados'!$B$9:$B$50,0),MATCH(CONCATENATE($C39,S$7),'Auxiliar Resultados'!$C$6:$BO$6,0)),""))=0,"",IF($B39="","",IFERROR(INDEX('Auxiliar Resultados'!$C$9:$BO$50,MATCH($B39,'Auxiliar Resultados'!$B$9:$B$50,0),MATCH(CONCATENATE($C39,S$7),'Auxiliar Resultados'!$C$6:$BO$6,0)),"")))</f>
        <v/>
      </c>
      <c r="T39" s="52" t="str">
        <f>+IF(IF($B39="","",IFERROR(INDEX('Auxiliar Resultados'!$C$9:$BO$50,MATCH($B39,'Auxiliar Resultados'!$B$9:$B$50,0),MATCH(CONCATENATE($C39,T$7),'Auxiliar Resultados'!$C$6:$BO$6,0)),""))=0,"",IF($B39="","",IFERROR(INDEX('Auxiliar Resultados'!$C$9:$BO$50,MATCH($B39,'Auxiliar Resultados'!$B$9:$B$50,0),MATCH(CONCATENATE($C39,T$7),'Auxiliar Resultados'!$C$6:$BO$6,0)),"")))</f>
        <v/>
      </c>
      <c r="U39" s="52" t="str">
        <f>+IF(IF($B39="","",IFERROR(INDEX('Auxiliar Resultados'!$C$9:$BO$50,MATCH($B39,'Auxiliar Resultados'!$B$9:$B$50,0),MATCH(CONCATENATE($C39,U$7),'Auxiliar Resultados'!$C$6:$BO$6,0)),""))=0,"",IF($B39="","",IFERROR(INDEX('Auxiliar Resultados'!$C$9:$BO$50,MATCH($B39,'Auxiliar Resultados'!$B$9:$B$50,0),MATCH(CONCATENATE($C39,U$7),'Auxiliar Resultados'!$C$6:$BO$6,0)),"")))</f>
        <v/>
      </c>
      <c r="V39" s="52" t="str">
        <f>+IF(IF($B39="","",IFERROR(INDEX('Auxiliar Resultados'!$C$9:$BO$50,MATCH($B39,'Auxiliar Resultados'!$B$9:$B$50,0),MATCH(CONCATENATE($C39,V$7),'Auxiliar Resultados'!$C$6:$BO$6,0)),""))=0,"",IF($B39="","",IFERROR(INDEX('Auxiliar Resultados'!$C$9:$BO$50,MATCH($B39,'Auxiliar Resultados'!$B$9:$B$50,0),MATCH(CONCATENATE($C39,V$7),'Auxiliar Resultados'!$C$6:$BO$6,0)),"")))</f>
        <v/>
      </c>
      <c r="W39" s="52" t="str">
        <f>+IF(IF($B39="","",IFERROR(INDEX('Auxiliar Resultados'!$C$9:$BO$50,MATCH($B39,'Auxiliar Resultados'!$B$9:$B$50,0),MATCH(CONCATENATE($C39,W$7),'Auxiliar Resultados'!$C$6:$BO$6,0)),""))=0,"",IF($B39="","",IFERROR(INDEX('Auxiliar Resultados'!$C$9:$BO$50,MATCH($B39,'Auxiliar Resultados'!$B$9:$B$50,0),MATCH(CONCATENATE($C39,W$7),'Auxiliar Resultados'!$C$6:$BO$6,0)),"")))</f>
        <v/>
      </c>
      <c r="X39" s="52" t="str">
        <f>+IF(IF($B39="","",IFERROR(INDEX('Auxiliar Resultados'!$C$9:$BO$50,MATCH($B39,'Auxiliar Resultados'!$B$9:$B$50,0),MATCH(CONCATENATE($C39,X$7),'Auxiliar Resultados'!$C$6:$BO$6,0)),""))=0,"",IF($B39="","",IFERROR(INDEX('Auxiliar Resultados'!$C$9:$BO$50,MATCH($B39,'Auxiliar Resultados'!$B$9:$B$50,0),MATCH(CONCATENATE($C39,X$7),'Auxiliar Resultados'!$C$6:$BO$6,0)),"")))</f>
        <v/>
      </c>
      <c r="Y39" s="52" t="str">
        <f>+IF(IF($B39="","",IFERROR(INDEX('Auxiliar Resultados'!$C$9:$BO$50,MATCH($B39,'Auxiliar Resultados'!$B$9:$B$50,0),MATCH(CONCATENATE($C39,Y$7),'Auxiliar Resultados'!$C$6:$BO$6,0)),""))=0,"",IF($B39="","",IFERROR(INDEX('Auxiliar Resultados'!$C$9:$BO$50,MATCH($B39,'Auxiliar Resultados'!$B$9:$B$50,0),MATCH(CONCATENATE($C39,Y$7),'Auxiliar Resultados'!$C$6:$BO$6,0)),"")))</f>
        <v/>
      </c>
      <c r="Z39" s="52" t="str">
        <f>+IF(IF($B39="","",IFERROR(INDEX('Auxiliar Resultados'!$C$9:$BO$50,MATCH($B39,'Auxiliar Resultados'!$B$9:$B$50,0),MATCH(CONCATENATE($C39,Z$7),'Auxiliar Resultados'!$C$6:$BO$6,0)),""))=0,"",IF($B39="","",IFERROR(INDEX('Auxiliar Resultados'!$C$9:$BO$50,MATCH($B39,'Auxiliar Resultados'!$B$9:$B$50,0),MATCH(CONCATENATE($C39,Z$7),'Auxiliar Resultados'!$C$6:$BO$6,0)),"")))</f>
        <v/>
      </c>
      <c r="AA39" s="52" t="str">
        <f>+IF(IF($B39="","",IFERROR(INDEX('Auxiliar Resultados'!$C$9:$BO$50,MATCH($B39,'Auxiliar Resultados'!$B$9:$B$50,0),MATCH(CONCATENATE($C39,AA$7),'Auxiliar Resultados'!$C$6:$BO$6,0)),""))=0,"",IF($B39="","",IFERROR(INDEX('Auxiliar Resultados'!$C$9:$BO$50,MATCH($B39,'Auxiliar Resultados'!$B$9:$B$50,0),MATCH(CONCATENATE($C39,AA$7),'Auxiliar Resultados'!$C$6:$BO$6,0)),"")))</f>
        <v/>
      </c>
      <c r="AB39" s="52" t="str">
        <f>+IF(IF($B39="","",IFERROR(INDEX('Auxiliar Resultados'!$C$9:$BO$50,MATCH($B39,'Auxiliar Resultados'!$B$9:$B$50,0),MATCH(CONCATENATE($C39,AB$7),'Auxiliar Resultados'!$C$6:$BO$6,0)),""))=0,"",IF($B39="","",IFERROR(INDEX('Auxiliar Resultados'!$C$9:$BO$50,MATCH($B39,'Auxiliar Resultados'!$B$9:$B$50,0),MATCH(CONCATENATE($C39,AB$7),'Auxiliar Resultados'!$C$6:$BO$6,0)),"")))</f>
        <v/>
      </c>
      <c r="AC39" s="52" t="str">
        <f>+IF(IF($B39="","",IFERROR(INDEX('Auxiliar Resultados'!$C$9:$BO$50,MATCH($B39,'Auxiliar Resultados'!$B$9:$B$50,0),MATCH(CONCATENATE($C39,AC$7),'Auxiliar Resultados'!$C$6:$BO$6,0)),""))=0,"",IF($B39="","",IFERROR(INDEX('Auxiliar Resultados'!$C$9:$BO$50,MATCH($B39,'Auxiliar Resultados'!$B$9:$B$50,0),MATCH(CONCATENATE($C39,AC$7),'Auxiliar Resultados'!$C$6:$BO$6,0)),"")))</f>
        <v/>
      </c>
      <c r="AD39" s="52" t="str">
        <f>+IF(IF($B39="","",IFERROR(INDEX('Auxiliar Resultados'!$C$9:$BO$50,MATCH($B39,'Auxiliar Resultados'!$B$9:$B$50,0),MATCH(CONCATENATE($C39,AD$7),'Auxiliar Resultados'!$C$6:$BO$6,0)),""))=0,"",IF($B39="","",IFERROR(INDEX('Auxiliar Resultados'!$C$9:$BO$50,MATCH($B39,'Auxiliar Resultados'!$B$9:$B$50,0),MATCH(CONCATENATE($C39,AD$7),'Auxiliar Resultados'!$C$6:$BO$6,0)),"")))</f>
        <v/>
      </c>
      <c r="AE39" s="52" t="str">
        <f>+IF(IF($B39="","",IFERROR(INDEX('Auxiliar Resultados'!$C$9:$BO$50,MATCH($B39,'Auxiliar Resultados'!$B$9:$B$50,0),MATCH(CONCATENATE($C39,AE$7),'Auxiliar Resultados'!$C$6:$BO$6,0)),""))=0,"",IF($B39="","",IFERROR(INDEX('Auxiliar Resultados'!$C$9:$BO$50,MATCH($B39,'Auxiliar Resultados'!$B$9:$B$50,0),MATCH(CONCATENATE($C39,AE$7),'Auxiliar Resultados'!$C$6:$BO$6,0)),"")))</f>
        <v/>
      </c>
      <c r="AF39" s="52" t="str">
        <f>+IF(IF($B39="","",IFERROR(INDEX('Auxiliar Resultados'!$C$9:$BO$50,MATCH($B39,'Auxiliar Resultados'!$B$9:$B$50,0),MATCH(CONCATENATE($C39,AF$7),'Auxiliar Resultados'!$C$6:$BO$6,0)),""))=0,"",IF($B39="","",IFERROR(INDEX('Auxiliar Resultados'!$C$9:$BO$50,MATCH($B39,'Auxiliar Resultados'!$B$9:$B$50,0),MATCH(CONCATENATE($C39,AF$7),'Auxiliar Resultados'!$C$6:$BO$6,0)),"")))</f>
        <v/>
      </c>
      <c r="AG39" s="52" t="str">
        <f>+IF(IF($B39="","",IFERROR(INDEX('Auxiliar Resultados'!$C$9:$BO$50,MATCH($B39,'Auxiliar Resultados'!$B$9:$B$50,0),MATCH(CONCATENATE($C39,AG$7),'Auxiliar Resultados'!$C$6:$BO$6,0)),""))=0,"",IF($B39="","",IFERROR(INDEX('Auxiliar Resultados'!$C$9:$BO$50,MATCH($B39,'Auxiliar Resultados'!$B$9:$B$50,0),MATCH(CONCATENATE($C39,AG$7),'Auxiliar Resultados'!$C$6:$BO$6,0)),"")))</f>
        <v/>
      </c>
      <c r="AH39" s="52" t="str">
        <f>+IF(IF($B39="","",IFERROR(INDEX('Auxiliar Resultados'!$C$9:$BO$50,MATCH($B39,'Auxiliar Resultados'!$B$9:$B$50,0),MATCH(CONCATENATE($C39,AH$7),'Auxiliar Resultados'!$C$6:$BO$6,0)),""))=0,"",IF($B39="","",IFERROR(INDEX('Auxiliar Resultados'!$C$9:$BO$50,MATCH($B39,'Auxiliar Resultados'!$B$9:$B$50,0),MATCH(CONCATENATE($C39,AH$7),'Auxiliar Resultados'!$C$6:$BO$6,0)),"")))</f>
        <v/>
      </c>
      <c r="AI39" s="52" t="str">
        <f>+IF(IF($B39="","",IFERROR(INDEX('Auxiliar Resultados'!$C$9:$BO$50,MATCH($B39,'Auxiliar Resultados'!$B$9:$B$50,0),MATCH(CONCATENATE($C39,AI$7),'Auxiliar Resultados'!$C$6:$BO$6,0)),""))=0,"",IF($B39="","",IFERROR(INDEX('Auxiliar Resultados'!$C$9:$BO$50,MATCH($B39,'Auxiliar Resultados'!$B$9:$B$50,0),MATCH(CONCATENATE($C39,AI$7),'Auxiliar Resultados'!$C$6:$BO$6,0)),"")))</f>
        <v/>
      </c>
      <c r="AJ39" s="52" t="str">
        <f>+IF(IF($B39="","",IFERROR(INDEX('Auxiliar Resultados'!$C$9:$BO$50,MATCH($B39,'Auxiliar Resultados'!$B$9:$B$50,0),MATCH(CONCATENATE($C39,AJ$7),'Auxiliar Resultados'!$C$6:$BO$6,0)),""))=0,"",IF($B39="","",IFERROR(INDEX('Auxiliar Resultados'!$C$9:$BO$50,MATCH($B39,'Auxiliar Resultados'!$B$9:$B$50,0),MATCH(CONCATENATE($C39,AJ$7),'Auxiliar Resultados'!$C$6:$BO$6,0)),"")))</f>
        <v/>
      </c>
      <c r="AK39" s="52" t="str">
        <f>+IF(IF($B39="","",IFERROR(INDEX('Auxiliar Resultados'!$C$9:$BO$50,MATCH($B39,'Auxiliar Resultados'!$B$9:$B$50,0),MATCH(CONCATENATE($C39,AK$7),'Auxiliar Resultados'!$C$6:$BO$6,0)),""))=0,"",IF($B39="","",IFERROR(INDEX('Auxiliar Resultados'!$C$9:$BO$50,MATCH($B39,'Auxiliar Resultados'!$B$9:$B$50,0),MATCH(CONCATENATE($C39,AK$7),'Auxiliar Resultados'!$C$6:$BO$6,0)),"")))</f>
        <v/>
      </c>
      <c r="AL39" s="52" t="str">
        <f>+IF(IF($B39="","",IFERROR(INDEX('Auxiliar Resultados'!$C$9:$BO$50,MATCH($B39,'Auxiliar Resultados'!$B$9:$B$50,0),MATCH(CONCATENATE($C39,AL$7),'Auxiliar Resultados'!$C$6:$BO$6,0)),""))=0,"",IF($B39="","",IFERROR(INDEX('Auxiliar Resultados'!$C$9:$BO$50,MATCH($B39,'Auxiliar Resultados'!$B$9:$B$50,0),MATCH(CONCATENATE($C39,AL$7),'Auxiliar Resultados'!$C$6:$BO$6,0)),"")))</f>
        <v/>
      </c>
      <c r="AM39" s="52" t="str">
        <f>+IF(IF($B39="","",IFERROR(INDEX('Auxiliar Resultados'!$C$9:$BO$50,MATCH($B39,'Auxiliar Resultados'!$B$9:$B$50,0),MATCH(CONCATENATE($C39,AM$7),'Auxiliar Resultados'!$C$6:$BO$6,0)),""))=0,"",IF($B39="","",IFERROR(INDEX('Auxiliar Resultados'!$C$9:$BO$50,MATCH($B39,'Auxiliar Resultados'!$B$9:$B$50,0),MATCH(CONCATENATE($C39,AM$7),'Auxiliar Resultados'!$C$6:$BO$6,0)),"")))</f>
        <v/>
      </c>
      <c r="AN39" s="52" t="str">
        <f>+IF(IF($B39="","",IFERROR(INDEX('Auxiliar Resultados'!$C$9:$BO$50,MATCH($B39,'Auxiliar Resultados'!$B$9:$B$50,0),MATCH(CONCATENATE($C39,AN$7),'Auxiliar Resultados'!$C$6:$BO$6,0)),""))=0,"",IF($B39="","",IFERROR(INDEX('Auxiliar Resultados'!$C$9:$BO$50,MATCH($B39,'Auxiliar Resultados'!$B$9:$B$50,0),MATCH(CONCATENATE($C39,AN$7),'Auxiliar Resultados'!$C$6:$BO$6,0)),"")))</f>
        <v/>
      </c>
      <c r="AO39" s="52" t="str">
        <f>+IF(IF($B39="","",IFERROR(INDEX('Auxiliar Resultados'!$C$9:$BO$50,MATCH($B39,'Auxiliar Resultados'!$B$9:$B$50,0),MATCH(CONCATENATE($C39,AO$7),'Auxiliar Resultados'!$C$6:$BO$6,0)),""))=0,"",IF($B39="","",IFERROR(INDEX('Auxiliar Resultados'!$C$9:$BO$50,MATCH($B39,'Auxiliar Resultados'!$B$9:$B$50,0),MATCH(CONCATENATE($C39,AO$7),'Auxiliar Resultados'!$C$6:$BO$6,0)),"")))</f>
        <v/>
      </c>
      <c r="AP39" s="52" t="str">
        <f>+IF(IF($B39="","",IFERROR(INDEX('Auxiliar Resultados'!$C$9:$BO$50,MATCH($B39,'Auxiliar Resultados'!$B$9:$B$50,0),MATCH(CONCATENATE($C39,AP$7),'Auxiliar Resultados'!$C$6:$BO$6,0)),""))=0,"",IF($B39="","",IFERROR(INDEX('Auxiliar Resultados'!$C$9:$BO$50,MATCH($B39,'Auxiliar Resultados'!$B$9:$B$50,0),MATCH(CONCATENATE($C39,AP$7),'Auxiliar Resultados'!$C$6:$BO$6,0)),"")))</f>
        <v/>
      </c>
      <c r="AQ39" s="276" t="str">
        <f>+IF(IF($B39="","",IFERROR(INDEX('Auxiliar Resultados'!$C$9:$BO$50,MATCH($B39,'Auxiliar Resultados'!$B$9:$B$50,0),MATCH(CONCATENATE($C39,AQ$7),'Auxiliar Resultados'!$C$6:$BO$6,0)),""))=0,"",IF($B39="","",IFERROR(INDEX('Auxiliar Resultados'!$C$9:$BO$50,MATCH($B39,'Auxiliar Resultados'!$B$9:$B$50,0),MATCH(CONCATENATE($C39,AQ$7),'Auxiliar Resultados'!$C$6:$BO$6,0)),"")))</f>
        <v/>
      </c>
      <c r="AS39" s="46" t="str">
        <f t="shared" si="5"/>
        <v/>
      </c>
      <c r="AT39" s="292" t="str">
        <f t="shared" si="6"/>
        <v/>
      </c>
      <c r="AU39" s="36" t="str">
        <f>+IF(G39="","",INDEX('Modelo Optimización'!$AZ$4:$CO$149,MATCH(CONCATENATE(AU$7,$AT39),'Modelo Optimización'!$CQ$4:$CQ$149,0),MATCH($AS39,'Modelo Optimización'!$AZ$3:$CO$3,0)))</f>
        <v/>
      </c>
      <c r="AV39" s="32" t="str">
        <f>+IF(H39="","",INDEX('Modelo Optimización'!$AZ$4:$CO$149,MATCH(CONCATENATE(AV$7,$AT39),'Modelo Optimización'!$CQ$4:$CQ$149,0),MATCH($AS39,'Modelo Optimización'!$AZ$3:$CO$3,0)))</f>
        <v/>
      </c>
      <c r="AW39" s="32" t="str">
        <f>+IF(I39="","",INDEX('Modelo Optimización'!$AZ$4:$CO$149,MATCH(CONCATENATE(AW$7,$AT39),'Modelo Optimización'!$CQ$4:$CQ$149,0),MATCH($AS39,'Modelo Optimización'!$AZ$3:$CO$3,0)))</f>
        <v/>
      </c>
      <c r="AX39" s="32" t="str">
        <f>+IF(J39="","",INDEX('Modelo Optimización'!$AZ$4:$CO$149,MATCH(CONCATENATE(AX$7,$AT39),'Modelo Optimización'!$CQ$4:$CQ$149,0),MATCH($AS39,'Modelo Optimización'!$AZ$3:$CO$3,0)))</f>
        <v/>
      </c>
      <c r="AY39" s="32" t="str">
        <f>+IF(K39="","",INDEX('Modelo Optimización'!$AZ$4:$CO$149,MATCH(CONCATENATE(AY$7,$AT39),'Modelo Optimización'!$CQ$4:$CQ$149,0),MATCH($AS39,'Modelo Optimización'!$AZ$3:$CO$3,0)))</f>
        <v/>
      </c>
      <c r="AZ39" s="32" t="str">
        <f>+IF(L39="","",INDEX('Modelo Optimización'!$AZ$4:$CO$149,MATCH(CONCATENATE(AZ$7,$AT39),'Modelo Optimización'!$CQ$4:$CQ$149,0),MATCH($AS39,'Modelo Optimización'!$AZ$3:$CO$3,0)))</f>
        <v/>
      </c>
      <c r="BA39" s="32" t="str">
        <f>+IF(M39="","",INDEX('Modelo Optimización'!$AZ$4:$CO$149,MATCH(CONCATENATE(BA$7,$AT39),'Modelo Optimización'!$CQ$4:$CQ$149,0),MATCH($AS39,'Modelo Optimización'!$AZ$3:$CO$3,0)))</f>
        <v/>
      </c>
      <c r="BB39" s="32" t="str">
        <f>+IF(N39="","",INDEX('Modelo Optimización'!$AZ$4:$CO$149,MATCH(CONCATENATE(BB$7,$AT39),'Modelo Optimización'!$CQ$4:$CQ$149,0),MATCH($AS39,'Modelo Optimización'!$AZ$3:$CO$3,0)))</f>
        <v/>
      </c>
      <c r="BC39" s="32" t="str">
        <f>+IF(O39="","",INDEX('Modelo Optimización'!$AZ$4:$CO$149,MATCH(CONCATENATE(BC$7,$AT39),'Modelo Optimización'!$CQ$4:$CQ$149,0),MATCH($AS39,'Modelo Optimización'!$AZ$3:$CO$3,0)))</f>
        <v/>
      </c>
      <c r="BD39" s="32" t="str">
        <f>+IF(P39="","",INDEX('Modelo Optimización'!$AZ$4:$CO$149,MATCH(CONCATENATE(BD$7,$AT39),'Modelo Optimización'!$CQ$4:$CQ$149,0),MATCH($AS39,'Modelo Optimización'!$AZ$3:$CO$3,0)))</f>
        <v/>
      </c>
      <c r="BE39" s="32" t="str">
        <f>+IF(Q39="","",INDEX('Modelo Optimización'!$AZ$4:$CO$149,MATCH(CONCATENATE(BE$7,$AT39),'Modelo Optimización'!$CQ$4:$CQ$149,0),MATCH($AS39,'Modelo Optimización'!$AZ$3:$CO$3,0)))</f>
        <v/>
      </c>
      <c r="BF39" s="32" t="str">
        <f>+IF(R39="","",INDEX('Modelo Optimización'!$AZ$4:$CO$149,MATCH(CONCATENATE(BF$7,$AT39),'Modelo Optimización'!$CQ$4:$CQ$149,0),MATCH($AS39,'Modelo Optimización'!$AZ$3:$CO$3,0)))</f>
        <v/>
      </c>
      <c r="BG39" s="32" t="str">
        <f>+IF(S39="","",INDEX('Modelo Optimización'!$AZ$4:$CO$149,MATCH(CONCATENATE(BG$7,$AT39),'Modelo Optimización'!$CQ$4:$CQ$149,0),MATCH($AS39,'Modelo Optimización'!$AZ$3:$CO$3,0)))</f>
        <v/>
      </c>
      <c r="BH39" s="32" t="str">
        <f>+IF(T39="","",INDEX('Modelo Optimización'!$AZ$4:$CO$149,MATCH(CONCATENATE(BH$7,$AT39),'Modelo Optimización'!$CQ$4:$CQ$149,0),MATCH($AS39,'Modelo Optimización'!$AZ$3:$CO$3,0)))</f>
        <v/>
      </c>
      <c r="BI39" s="32" t="str">
        <f>+IF(U39="","",INDEX('Modelo Optimización'!$AZ$4:$CO$149,MATCH(CONCATENATE(BI$7,$AT39),'Modelo Optimización'!$CQ$4:$CQ$149,0),MATCH($AS39,'Modelo Optimización'!$AZ$3:$CO$3,0)))</f>
        <v/>
      </c>
      <c r="BJ39" s="32" t="str">
        <f>+IF(V39="","",INDEX('Modelo Optimización'!$AZ$4:$CO$149,MATCH(CONCATENATE(BJ$7,$AT39),'Modelo Optimización'!$CQ$4:$CQ$149,0),MATCH($AS39,'Modelo Optimización'!$AZ$3:$CO$3,0)))</f>
        <v/>
      </c>
      <c r="BK39" s="32" t="str">
        <f>+IF(W39="","",INDEX('Modelo Optimización'!$AZ$4:$CO$149,MATCH(CONCATENATE(BK$7,$AT39),'Modelo Optimización'!$CQ$4:$CQ$149,0),MATCH($AS39,'Modelo Optimización'!$AZ$3:$CO$3,0)))</f>
        <v/>
      </c>
      <c r="BL39" s="32" t="str">
        <f>+IF(X39="","",INDEX('Modelo Optimización'!$AZ$4:$CO$149,MATCH(CONCATENATE(BL$7,$AT39),'Modelo Optimización'!$CQ$4:$CQ$149,0),MATCH($AS39,'Modelo Optimización'!$AZ$3:$CO$3,0)))</f>
        <v/>
      </c>
      <c r="BM39" s="32" t="str">
        <f>+IF(Y39="","",INDEX('Modelo Optimización'!$AZ$4:$CO$149,MATCH(CONCATENATE(BM$7,$AT39),'Modelo Optimización'!$CQ$4:$CQ$149,0),MATCH($AS39,'Modelo Optimización'!$AZ$3:$CO$3,0)))</f>
        <v/>
      </c>
      <c r="BN39" s="32" t="str">
        <f>+IF(Z39="","",INDEX('Modelo Optimización'!$AZ$4:$CO$149,MATCH(CONCATENATE(BN$7,$AT39),'Modelo Optimización'!$CQ$4:$CQ$149,0),MATCH($AS39,'Modelo Optimización'!$AZ$3:$CO$3,0)))</f>
        <v/>
      </c>
      <c r="BO39" s="32" t="str">
        <f>+IF(AA39="","",INDEX('Modelo Optimización'!$AZ$4:$CO$149,MATCH(CONCATENATE(BO$7,$AT39),'Modelo Optimización'!$CQ$4:$CQ$149,0),MATCH($AS39,'Modelo Optimización'!$AZ$3:$CO$3,0)))</f>
        <v/>
      </c>
      <c r="BP39" s="32" t="str">
        <f>+IF(AB39="","",INDEX('Modelo Optimización'!$AZ$4:$CO$149,MATCH(CONCATENATE(BP$7,$AT39),'Modelo Optimización'!$CQ$4:$CQ$149,0),MATCH($AS39,'Modelo Optimización'!$AZ$3:$CO$3,0)))</f>
        <v/>
      </c>
      <c r="BQ39" s="32" t="str">
        <f>+IF(AC39="","",INDEX('Modelo Optimización'!$AZ$4:$CO$149,MATCH(CONCATENATE(BQ$7,$AT39),'Modelo Optimización'!$CQ$4:$CQ$149,0),MATCH($AS39,'Modelo Optimización'!$AZ$3:$CO$3,0)))</f>
        <v/>
      </c>
      <c r="BR39" s="32" t="str">
        <f>+IF(AD39="","",INDEX('Modelo Optimización'!$AZ$4:$CO$149,MATCH(CONCATENATE(BR$7,$AT39),'Modelo Optimización'!$CQ$4:$CQ$149,0),MATCH($AS39,'Modelo Optimización'!$AZ$3:$CO$3,0)))</f>
        <v/>
      </c>
      <c r="BS39" s="32" t="str">
        <f>+IF(AE39="","",INDEX('Modelo Optimización'!$AZ$4:$CO$149,MATCH(CONCATENATE(BS$7,$AT39),'Modelo Optimización'!$CQ$4:$CQ$149,0),MATCH($AS39,'Modelo Optimización'!$AZ$3:$CO$3,0)))</f>
        <v/>
      </c>
      <c r="BT39" s="32" t="str">
        <f>+IF(AF39="","",INDEX('Modelo Optimización'!$AZ$4:$CO$149,MATCH(CONCATENATE(BT$7,$AT39),'Modelo Optimización'!$CQ$4:$CQ$149,0),MATCH($AS39,'Modelo Optimización'!$AZ$3:$CO$3,0)))</f>
        <v/>
      </c>
      <c r="BU39" s="32" t="str">
        <f>+IF(AG39="","",INDEX('Modelo Optimización'!$AZ$4:$CO$149,MATCH(CONCATENATE(BU$7,$AT39),'Modelo Optimización'!$CQ$4:$CQ$149,0),MATCH($AS39,'Modelo Optimización'!$AZ$3:$CO$3,0)))</f>
        <v/>
      </c>
      <c r="BV39" s="32" t="str">
        <f>+IF(AH39="","",INDEX('Modelo Optimización'!$AZ$4:$CO$149,MATCH(CONCATENATE(BV$7,$AT39),'Modelo Optimización'!$CQ$4:$CQ$149,0),MATCH($AS39,'Modelo Optimización'!$AZ$3:$CO$3,0)))</f>
        <v/>
      </c>
      <c r="BW39" s="32" t="str">
        <f>+IF(AI39="","",INDEX('Modelo Optimización'!$AZ$4:$CO$149,MATCH(CONCATENATE(BW$7,$AT39),'Modelo Optimización'!$CQ$4:$CQ$149,0),MATCH($AS39,'Modelo Optimización'!$AZ$3:$CO$3,0)))</f>
        <v/>
      </c>
      <c r="BX39" s="32" t="str">
        <f>+IF(AJ39="","",INDEX('Modelo Optimización'!$AZ$4:$CO$149,MATCH(CONCATENATE(BX$7,$AT39),'Modelo Optimización'!$CQ$4:$CQ$149,0),MATCH($AS39,'Modelo Optimización'!$AZ$3:$CO$3,0)))</f>
        <v/>
      </c>
      <c r="BY39" s="32" t="str">
        <f>+IF(AK39="","",INDEX('Modelo Optimización'!$AZ$4:$CO$149,MATCH(CONCATENATE(BY$7,$AT39),'Modelo Optimización'!$CQ$4:$CQ$149,0),MATCH($AS39,'Modelo Optimización'!$AZ$3:$CO$3,0)))</f>
        <v/>
      </c>
      <c r="BZ39" s="32" t="str">
        <f>+IF(AL39="","",INDEX('Modelo Optimización'!$AZ$4:$CO$149,MATCH(CONCATENATE(BZ$7,$AT39),'Modelo Optimización'!$CQ$4:$CQ$149,0),MATCH($AS39,'Modelo Optimización'!$AZ$3:$CO$3,0)))</f>
        <v/>
      </c>
      <c r="CA39" s="32" t="str">
        <f>+IF(AM39="","",INDEX('Modelo Optimización'!$AZ$4:$CO$149,MATCH(CONCATENATE(CA$7,$AT39),'Modelo Optimización'!$CQ$4:$CQ$149,0),MATCH($AS39,'Modelo Optimización'!$AZ$3:$CO$3,0)))</f>
        <v/>
      </c>
      <c r="CB39" s="32" t="str">
        <f>+IF(AN39="","",INDEX('Modelo Optimización'!$AZ$4:$CO$149,MATCH(CONCATENATE(CB$7,$AT39),'Modelo Optimización'!$CQ$4:$CQ$149,0),MATCH($AS39,'Modelo Optimización'!$AZ$3:$CO$3,0)))</f>
        <v/>
      </c>
      <c r="CC39" s="32" t="str">
        <f>+IF(AO39="","",INDEX('Modelo Optimización'!$AZ$4:$CO$149,MATCH(CONCATENATE(CC$7,$AT39),'Modelo Optimización'!$CQ$4:$CQ$149,0),MATCH($AS39,'Modelo Optimización'!$AZ$3:$CO$3,0)))</f>
        <v/>
      </c>
      <c r="CD39" s="32" t="str">
        <f>+IF(AP39="","",INDEX('Modelo Optimización'!$AZ$4:$CO$149,MATCH(CONCATENATE(CD$7,$AT39),'Modelo Optimización'!$CQ$4:$CQ$149,0),MATCH($AS39,'Modelo Optimización'!$AZ$3:$CO$3,0)))</f>
        <v/>
      </c>
      <c r="CE39" s="37" t="str">
        <f>+IF(AQ39="","",INDEX('Modelo Optimización'!$AZ$4:$CO$149,MATCH(CONCATENATE(CE$7,$AT39),'Modelo Optimización'!$CQ$4:$CQ$149,0),MATCH($AS39,'Modelo Optimización'!$AZ$3:$CO$3,0)))</f>
        <v/>
      </c>
      <c r="CF39" s="301"/>
      <c r="CG39" s="305" t="str">
        <f t="shared" si="11"/>
        <v/>
      </c>
      <c r="CH39" s="303" t="str">
        <f t="shared" si="7"/>
        <v/>
      </c>
      <c r="CI39" s="292" t="str">
        <f t="shared" si="8"/>
        <v/>
      </c>
      <c r="CJ39" s="36" t="str">
        <f t="shared" si="12"/>
        <v/>
      </c>
      <c r="CK39" s="32" t="str">
        <f t="shared" si="13"/>
        <v/>
      </c>
      <c r="CL39" s="32" t="str">
        <f t="shared" si="14"/>
        <v/>
      </c>
      <c r="CM39" s="32" t="str">
        <f t="shared" si="15"/>
        <v/>
      </c>
      <c r="CN39" s="32" t="str">
        <f t="shared" si="16"/>
        <v/>
      </c>
      <c r="CO39" s="32" t="str">
        <f t="shared" si="17"/>
        <v/>
      </c>
      <c r="CP39" s="32" t="str">
        <f t="shared" si="18"/>
        <v/>
      </c>
      <c r="CQ39" s="32" t="str">
        <f t="shared" si="19"/>
        <v/>
      </c>
      <c r="CR39" s="32" t="str">
        <f t="shared" si="20"/>
        <v/>
      </c>
      <c r="CS39" s="32" t="str">
        <f t="shared" si="21"/>
        <v/>
      </c>
      <c r="CT39" s="32" t="str">
        <f t="shared" si="22"/>
        <v/>
      </c>
      <c r="CU39" s="32" t="str">
        <f t="shared" si="23"/>
        <v/>
      </c>
      <c r="CV39" s="32" t="str">
        <f t="shared" si="24"/>
        <v/>
      </c>
      <c r="CW39" s="32" t="str">
        <f t="shared" si="25"/>
        <v/>
      </c>
      <c r="CX39" s="32" t="str">
        <f t="shared" si="26"/>
        <v/>
      </c>
      <c r="CY39" s="32" t="str">
        <f t="shared" si="27"/>
        <v/>
      </c>
      <c r="CZ39" s="32" t="str">
        <f t="shared" si="28"/>
        <v/>
      </c>
      <c r="DA39" s="32" t="str">
        <f t="shared" si="29"/>
        <v/>
      </c>
      <c r="DB39" s="32" t="str">
        <f t="shared" si="30"/>
        <v/>
      </c>
      <c r="DC39" s="32" t="str">
        <f t="shared" si="31"/>
        <v/>
      </c>
      <c r="DD39" s="32" t="str">
        <f t="shared" si="32"/>
        <v/>
      </c>
      <c r="DE39" s="32" t="str">
        <f t="shared" si="33"/>
        <v/>
      </c>
      <c r="DF39" s="32" t="str">
        <f t="shared" si="34"/>
        <v/>
      </c>
      <c r="DG39" s="32" t="str">
        <f t="shared" si="35"/>
        <v/>
      </c>
      <c r="DH39" s="32" t="str">
        <f t="shared" si="36"/>
        <v/>
      </c>
      <c r="DI39" s="32" t="str">
        <f t="shared" si="37"/>
        <v/>
      </c>
      <c r="DJ39" s="32" t="str">
        <f t="shared" si="38"/>
        <v/>
      </c>
      <c r="DK39" s="32" t="str">
        <f t="shared" si="39"/>
        <v/>
      </c>
      <c r="DL39" s="32" t="str">
        <f t="shared" si="40"/>
        <v/>
      </c>
      <c r="DM39" s="32" t="str">
        <f t="shared" si="41"/>
        <v/>
      </c>
      <c r="DN39" s="32" t="str">
        <f t="shared" si="42"/>
        <v/>
      </c>
      <c r="DO39" s="32" t="str">
        <f t="shared" si="43"/>
        <v/>
      </c>
      <c r="DP39" s="32" t="str">
        <f t="shared" si="44"/>
        <v/>
      </c>
      <c r="DQ39" s="32" t="str">
        <f t="shared" si="45"/>
        <v/>
      </c>
      <c r="DR39" s="32" t="str">
        <f t="shared" si="46"/>
        <v/>
      </c>
      <c r="DS39" s="32" t="str">
        <f t="shared" si="47"/>
        <v/>
      </c>
      <c r="DT39" s="37" t="str">
        <f t="shared" si="48"/>
        <v/>
      </c>
    </row>
    <row r="40" spans="2:124" x14ac:dyDescent="0.35">
      <c r="B40" s="46"/>
      <c r="C40" s="212"/>
      <c r="D40" s="52"/>
      <c r="E40" s="52" t="str">
        <f>+IF(B40="","",IFERROR(SUMIF('Modelo Optimización'!$AS$72:$AS$217,C40,INDEX('Modelo Optimización'!$C$72:$AR$217,,MATCH(B40,'Modelo Optimización'!$C$71:$AR$71,0))),0))</f>
        <v/>
      </c>
      <c r="F40" s="281" t="str">
        <f t="shared" si="10"/>
        <v/>
      </c>
      <c r="G40" s="280" t="str">
        <f>+IF(IF($B40="","",IFERROR(INDEX('Auxiliar Resultados'!$C$9:$BO$50,MATCH($B40,'Auxiliar Resultados'!$B$9:$B$50,0),MATCH(CONCATENATE($C40,G$7),'Auxiliar Resultados'!$C$6:$BO$6,0)),""))=0,"",IF($B40="","",IFERROR(INDEX('Auxiliar Resultados'!$C$9:$BO$50,MATCH($B40,'Auxiliar Resultados'!$B$9:$B$50,0),MATCH(CONCATENATE($C40,G$7),'Auxiliar Resultados'!$C$6:$BO$6,0)),"")))</f>
        <v/>
      </c>
      <c r="H40" s="52" t="str">
        <f>+IF(IF($B40="","",IFERROR(INDEX('Auxiliar Resultados'!$C$9:$BO$50,MATCH($B40,'Auxiliar Resultados'!$B$9:$B$50,0),MATCH(CONCATENATE($C40,H$7),'Auxiliar Resultados'!$C$6:$BO$6,0)),""))=0,"",IF($B40="","",IFERROR(INDEX('Auxiliar Resultados'!$C$9:$BO$50,MATCH($B40,'Auxiliar Resultados'!$B$9:$B$50,0),MATCH(CONCATENATE($C40,H$7),'Auxiliar Resultados'!$C$6:$BO$6,0)),"")))</f>
        <v/>
      </c>
      <c r="I40" s="52" t="str">
        <f>+IF(IF($B40="","",IFERROR(INDEX('Auxiliar Resultados'!$C$9:$BO$50,MATCH($B40,'Auxiliar Resultados'!$B$9:$B$50,0),MATCH(CONCATENATE($C40,I$7),'Auxiliar Resultados'!$C$6:$BO$6,0)),""))=0,"",IF($B40="","",IFERROR(INDEX('Auxiliar Resultados'!$C$9:$BO$50,MATCH($B40,'Auxiliar Resultados'!$B$9:$B$50,0),MATCH(CONCATENATE($C40,I$7),'Auxiliar Resultados'!$C$6:$BO$6,0)),"")))</f>
        <v/>
      </c>
      <c r="J40" s="52" t="str">
        <f>+IF(IF($B40="","",IFERROR(INDEX('Auxiliar Resultados'!$C$9:$BO$50,MATCH($B40,'Auxiliar Resultados'!$B$9:$B$50,0),MATCH(CONCATENATE($C40,J$7),'Auxiliar Resultados'!$C$6:$BO$6,0)),""))=0,"",IF($B40="","",IFERROR(INDEX('Auxiliar Resultados'!$C$9:$BO$50,MATCH($B40,'Auxiliar Resultados'!$B$9:$B$50,0),MATCH(CONCATENATE($C40,J$7),'Auxiliar Resultados'!$C$6:$BO$6,0)),"")))</f>
        <v/>
      </c>
      <c r="K40" s="52" t="str">
        <f>+IF(IF($B40="","",IFERROR(INDEX('Auxiliar Resultados'!$C$9:$BO$50,MATCH($B40,'Auxiliar Resultados'!$B$9:$B$50,0),MATCH(CONCATENATE($C40,K$7),'Auxiliar Resultados'!$C$6:$BO$6,0)),""))=0,"",IF($B40="","",IFERROR(INDEX('Auxiliar Resultados'!$C$9:$BO$50,MATCH($B40,'Auxiliar Resultados'!$B$9:$B$50,0),MATCH(CONCATENATE($C40,K$7),'Auxiliar Resultados'!$C$6:$BO$6,0)),"")))</f>
        <v/>
      </c>
      <c r="L40" s="52" t="str">
        <f>+IF(IF($B40="","",IFERROR(INDEX('Auxiliar Resultados'!$C$9:$BO$50,MATCH($B40,'Auxiliar Resultados'!$B$9:$B$50,0),MATCH(CONCATENATE($C40,L$7),'Auxiliar Resultados'!$C$6:$BO$6,0)),""))=0,"",IF($B40="","",IFERROR(INDEX('Auxiliar Resultados'!$C$9:$BO$50,MATCH($B40,'Auxiliar Resultados'!$B$9:$B$50,0),MATCH(CONCATENATE($C40,L$7),'Auxiliar Resultados'!$C$6:$BO$6,0)),"")))</f>
        <v/>
      </c>
      <c r="M40" s="52" t="str">
        <f>+IF(IF($B40="","",IFERROR(INDEX('Auxiliar Resultados'!$C$9:$BO$50,MATCH($B40,'Auxiliar Resultados'!$B$9:$B$50,0),MATCH(CONCATENATE($C40,M$7),'Auxiliar Resultados'!$C$6:$BO$6,0)),""))=0,"",IF($B40="","",IFERROR(INDEX('Auxiliar Resultados'!$C$9:$BO$50,MATCH($B40,'Auxiliar Resultados'!$B$9:$B$50,0),MATCH(CONCATENATE($C40,M$7),'Auxiliar Resultados'!$C$6:$BO$6,0)),"")))</f>
        <v/>
      </c>
      <c r="N40" s="52" t="str">
        <f>+IF(IF($B40="","",IFERROR(INDEX('Auxiliar Resultados'!$C$9:$BO$50,MATCH($B40,'Auxiliar Resultados'!$B$9:$B$50,0),MATCH(CONCATENATE($C40,N$7),'Auxiliar Resultados'!$C$6:$BO$6,0)),""))=0,"",IF($B40="","",IFERROR(INDEX('Auxiliar Resultados'!$C$9:$BO$50,MATCH($B40,'Auxiliar Resultados'!$B$9:$B$50,0),MATCH(CONCATENATE($C40,N$7),'Auxiliar Resultados'!$C$6:$BO$6,0)),"")))</f>
        <v/>
      </c>
      <c r="O40" s="52" t="str">
        <f>+IF(IF($B40="","",IFERROR(INDEX('Auxiliar Resultados'!$C$9:$BO$50,MATCH($B40,'Auxiliar Resultados'!$B$9:$B$50,0),MATCH(CONCATENATE($C40,O$7),'Auxiliar Resultados'!$C$6:$BO$6,0)),""))=0,"",IF($B40="","",IFERROR(INDEX('Auxiliar Resultados'!$C$9:$BO$50,MATCH($B40,'Auxiliar Resultados'!$B$9:$B$50,0),MATCH(CONCATENATE($C40,O$7),'Auxiliar Resultados'!$C$6:$BO$6,0)),"")))</f>
        <v/>
      </c>
      <c r="P40" s="52" t="str">
        <f>+IF(IF($B40="","",IFERROR(INDEX('Auxiliar Resultados'!$C$9:$BO$50,MATCH($B40,'Auxiliar Resultados'!$B$9:$B$50,0),MATCH(CONCATENATE($C40,P$7),'Auxiliar Resultados'!$C$6:$BO$6,0)),""))=0,"",IF($B40="","",IFERROR(INDEX('Auxiliar Resultados'!$C$9:$BO$50,MATCH($B40,'Auxiliar Resultados'!$B$9:$B$50,0),MATCH(CONCATENATE($C40,P$7),'Auxiliar Resultados'!$C$6:$BO$6,0)),"")))</f>
        <v/>
      </c>
      <c r="Q40" s="52" t="str">
        <f>+IF(IF($B40="","",IFERROR(INDEX('Auxiliar Resultados'!$C$9:$BO$50,MATCH($B40,'Auxiliar Resultados'!$B$9:$B$50,0),MATCH(CONCATENATE($C40,Q$7),'Auxiliar Resultados'!$C$6:$BO$6,0)),""))=0,"",IF($B40="","",IFERROR(INDEX('Auxiliar Resultados'!$C$9:$BO$50,MATCH($B40,'Auxiliar Resultados'!$B$9:$B$50,0),MATCH(CONCATENATE($C40,Q$7),'Auxiliar Resultados'!$C$6:$BO$6,0)),"")))</f>
        <v/>
      </c>
      <c r="R40" s="52" t="str">
        <f>+IF(IF($B40="","",IFERROR(INDEX('Auxiliar Resultados'!$C$9:$BO$50,MATCH($B40,'Auxiliar Resultados'!$B$9:$B$50,0),MATCH(CONCATENATE($C40,R$7),'Auxiliar Resultados'!$C$6:$BO$6,0)),""))=0,"",IF($B40="","",IFERROR(INDEX('Auxiliar Resultados'!$C$9:$BO$50,MATCH($B40,'Auxiliar Resultados'!$B$9:$B$50,0),MATCH(CONCATENATE($C40,R$7),'Auxiliar Resultados'!$C$6:$BO$6,0)),"")))</f>
        <v/>
      </c>
      <c r="S40" s="52" t="str">
        <f>+IF(IF($B40="","",IFERROR(INDEX('Auxiliar Resultados'!$C$9:$BO$50,MATCH($B40,'Auxiliar Resultados'!$B$9:$B$50,0),MATCH(CONCATENATE($C40,S$7),'Auxiliar Resultados'!$C$6:$BO$6,0)),""))=0,"",IF($B40="","",IFERROR(INDEX('Auxiliar Resultados'!$C$9:$BO$50,MATCH($B40,'Auxiliar Resultados'!$B$9:$B$50,0),MATCH(CONCATENATE($C40,S$7),'Auxiliar Resultados'!$C$6:$BO$6,0)),"")))</f>
        <v/>
      </c>
      <c r="T40" s="52" t="str">
        <f>+IF(IF($B40="","",IFERROR(INDEX('Auxiliar Resultados'!$C$9:$BO$50,MATCH($B40,'Auxiliar Resultados'!$B$9:$B$50,0),MATCH(CONCATENATE($C40,T$7),'Auxiliar Resultados'!$C$6:$BO$6,0)),""))=0,"",IF($B40="","",IFERROR(INDEX('Auxiliar Resultados'!$C$9:$BO$50,MATCH($B40,'Auxiliar Resultados'!$B$9:$B$50,0),MATCH(CONCATENATE($C40,T$7),'Auxiliar Resultados'!$C$6:$BO$6,0)),"")))</f>
        <v/>
      </c>
      <c r="U40" s="52" t="str">
        <f>+IF(IF($B40="","",IFERROR(INDEX('Auxiliar Resultados'!$C$9:$BO$50,MATCH($B40,'Auxiliar Resultados'!$B$9:$B$50,0),MATCH(CONCATENATE($C40,U$7),'Auxiliar Resultados'!$C$6:$BO$6,0)),""))=0,"",IF($B40="","",IFERROR(INDEX('Auxiliar Resultados'!$C$9:$BO$50,MATCH($B40,'Auxiliar Resultados'!$B$9:$B$50,0),MATCH(CONCATENATE($C40,U$7),'Auxiliar Resultados'!$C$6:$BO$6,0)),"")))</f>
        <v/>
      </c>
      <c r="V40" s="52" t="str">
        <f>+IF(IF($B40="","",IFERROR(INDEX('Auxiliar Resultados'!$C$9:$BO$50,MATCH($B40,'Auxiliar Resultados'!$B$9:$B$50,0),MATCH(CONCATENATE($C40,V$7),'Auxiliar Resultados'!$C$6:$BO$6,0)),""))=0,"",IF($B40="","",IFERROR(INDEX('Auxiliar Resultados'!$C$9:$BO$50,MATCH($B40,'Auxiliar Resultados'!$B$9:$B$50,0),MATCH(CONCATENATE($C40,V$7),'Auxiliar Resultados'!$C$6:$BO$6,0)),"")))</f>
        <v/>
      </c>
      <c r="W40" s="52" t="str">
        <f>+IF(IF($B40="","",IFERROR(INDEX('Auxiliar Resultados'!$C$9:$BO$50,MATCH($B40,'Auxiliar Resultados'!$B$9:$B$50,0),MATCH(CONCATENATE($C40,W$7),'Auxiliar Resultados'!$C$6:$BO$6,0)),""))=0,"",IF($B40="","",IFERROR(INDEX('Auxiliar Resultados'!$C$9:$BO$50,MATCH($B40,'Auxiliar Resultados'!$B$9:$B$50,0),MATCH(CONCATENATE($C40,W$7),'Auxiliar Resultados'!$C$6:$BO$6,0)),"")))</f>
        <v/>
      </c>
      <c r="X40" s="52" t="str">
        <f>+IF(IF($B40="","",IFERROR(INDEX('Auxiliar Resultados'!$C$9:$BO$50,MATCH($B40,'Auxiliar Resultados'!$B$9:$B$50,0),MATCH(CONCATENATE($C40,X$7),'Auxiliar Resultados'!$C$6:$BO$6,0)),""))=0,"",IF($B40="","",IFERROR(INDEX('Auxiliar Resultados'!$C$9:$BO$50,MATCH($B40,'Auxiliar Resultados'!$B$9:$B$50,0),MATCH(CONCATENATE($C40,X$7),'Auxiliar Resultados'!$C$6:$BO$6,0)),"")))</f>
        <v/>
      </c>
      <c r="Y40" s="52" t="str">
        <f>+IF(IF($B40="","",IFERROR(INDEX('Auxiliar Resultados'!$C$9:$BO$50,MATCH($B40,'Auxiliar Resultados'!$B$9:$B$50,0),MATCH(CONCATENATE($C40,Y$7),'Auxiliar Resultados'!$C$6:$BO$6,0)),""))=0,"",IF($B40="","",IFERROR(INDEX('Auxiliar Resultados'!$C$9:$BO$50,MATCH($B40,'Auxiliar Resultados'!$B$9:$B$50,0),MATCH(CONCATENATE($C40,Y$7),'Auxiliar Resultados'!$C$6:$BO$6,0)),"")))</f>
        <v/>
      </c>
      <c r="Z40" s="52" t="str">
        <f>+IF(IF($B40="","",IFERROR(INDEX('Auxiliar Resultados'!$C$9:$BO$50,MATCH($B40,'Auxiliar Resultados'!$B$9:$B$50,0),MATCH(CONCATENATE($C40,Z$7),'Auxiliar Resultados'!$C$6:$BO$6,0)),""))=0,"",IF($B40="","",IFERROR(INDEX('Auxiliar Resultados'!$C$9:$BO$50,MATCH($B40,'Auxiliar Resultados'!$B$9:$B$50,0),MATCH(CONCATENATE($C40,Z$7),'Auxiliar Resultados'!$C$6:$BO$6,0)),"")))</f>
        <v/>
      </c>
      <c r="AA40" s="52" t="str">
        <f>+IF(IF($B40="","",IFERROR(INDEX('Auxiliar Resultados'!$C$9:$BO$50,MATCH($B40,'Auxiliar Resultados'!$B$9:$B$50,0),MATCH(CONCATENATE($C40,AA$7),'Auxiliar Resultados'!$C$6:$BO$6,0)),""))=0,"",IF($B40="","",IFERROR(INDEX('Auxiliar Resultados'!$C$9:$BO$50,MATCH($B40,'Auxiliar Resultados'!$B$9:$B$50,0),MATCH(CONCATENATE($C40,AA$7),'Auxiliar Resultados'!$C$6:$BO$6,0)),"")))</f>
        <v/>
      </c>
      <c r="AB40" s="52" t="str">
        <f>+IF(IF($B40="","",IFERROR(INDEX('Auxiliar Resultados'!$C$9:$BO$50,MATCH($B40,'Auxiliar Resultados'!$B$9:$B$50,0),MATCH(CONCATENATE($C40,AB$7),'Auxiliar Resultados'!$C$6:$BO$6,0)),""))=0,"",IF($B40="","",IFERROR(INDEX('Auxiliar Resultados'!$C$9:$BO$50,MATCH($B40,'Auxiliar Resultados'!$B$9:$B$50,0),MATCH(CONCATENATE($C40,AB$7),'Auxiliar Resultados'!$C$6:$BO$6,0)),"")))</f>
        <v/>
      </c>
      <c r="AC40" s="52" t="str">
        <f>+IF(IF($B40="","",IFERROR(INDEX('Auxiliar Resultados'!$C$9:$BO$50,MATCH($B40,'Auxiliar Resultados'!$B$9:$B$50,0),MATCH(CONCATENATE($C40,AC$7),'Auxiliar Resultados'!$C$6:$BO$6,0)),""))=0,"",IF($B40="","",IFERROR(INDEX('Auxiliar Resultados'!$C$9:$BO$50,MATCH($B40,'Auxiliar Resultados'!$B$9:$B$50,0),MATCH(CONCATENATE($C40,AC$7),'Auxiliar Resultados'!$C$6:$BO$6,0)),"")))</f>
        <v/>
      </c>
      <c r="AD40" s="52" t="str">
        <f>+IF(IF($B40="","",IFERROR(INDEX('Auxiliar Resultados'!$C$9:$BO$50,MATCH($B40,'Auxiliar Resultados'!$B$9:$B$50,0),MATCH(CONCATENATE($C40,AD$7),'Auxiliar Resultados'!$C$6:$BO$6,0)),""))=0,"",IF($B40="","",IFERROR(INDEX('Auxiliar Resultados'!$C$9:$BO$50,MATCH($B40,'Auxiliar Resultados'!$B$9:$B$50,0),MATCH(CONCATENATE($C40,AD$7),'Auxiliar Resultados'!$C$6:$BO$6,0)),"")))</f>
        <v/>
      </c>
      <c r="AE40" s="52" t="str">
        <f>+IF(IF($B40="","",IFERROR(INDEX('Auxiliar Resultados'!$C$9:$BO$50,MATCH($B40,'Auxiliar Resultados'!$B$9:$B$50,0),MATCH(CONCATENATE($C40,AE$7),'Auxiliar Resultados'!$C$6:$BO$6,0)),""))=0,"",IF($B40="","",IFERROR(INDEX('Auxiliar Resultados'!$C$9:$BO$50,MATCH($B40,'Auxiliar Resultados'!$B$9:$B$50,0),MATCH(CONCATENATE($C40,AE$7),'Auxiliar Resultados'!$C$6:$BO$6,0)),"")))</f>
        <v/>
      </c>
      <c r="AF40" s="52" t="str">
        <f>+IF(IF($B40="","",IFERROR(INDEX('Auxiliar Resultados'!$C$9:$BO$50,MATCH($B40,'Auxiliar Resultados'!$B$9:$B$50,0),MATCH(CONCATENATE($C40,AF$7),'Auxiliar Resultados'!$C$6:$BO$6,0)),""))=0,"",IF($B40="","",IFERROR(INDEX('Auxiliar Resultados'!$C$9:$BO$50,MATCH($B40,'Auxiliar Resultados'!$B$9:$B$50,0),MATCH(CONCATENATE($C40,AF$7),'Auxiliar Resultados'!$C$6:$BO$6,0)),"")))</f>
        <v/>
      </c>
      <c r="AG40" s="52" t="str">
        <f>+IF(IF($B40="","",IFERROR(INDEX('Auxiliar Resultados'!$C$9:$BO$50,MATCH($B40,'Auxiliar Resultados'!$B$9:$B$50,0),MATCH(CONCATENATE($C40,AG$7),'Auxiliar Resultados'!$C$6:$BO$6,0)),""))=0,"",IF($B40="","",IFERROR(INDEX('Auxiliar Resultados'!$C$9:$BO$50,MATCH($B40,'Auxiliar Resultados'!$B$9:$B$50,0),MATCH(CONCATENATE($C40,AG$7),'Auxiliar Resultados'!$C$6:$BO$6,0)),"")))</f>
        <v/>
      </c>
      <c r="AH40" s="52" t="str">
        <f>+IF(IF($B40="","",IFERROR(INDEX('Auxiliar Resultados'!$C$9:$BO$50,MATCH($B40,'Auxiliar Resultados'!$B$9:$B$50,0),MATCH(CONCATENATE($C40,AH$7),'Auxiliar Resultados'!$C$6:$BO$6,0)),""))=0,"",IF($B40="","",IFERROR(INDEX('Auxiliar Resultados'!$C$9:$BO$50,MATCH($B40,'Auxiliar Resultados'!$B$9:$B$50,0),MATCH(CONCATENATE($C40,AH$7),'Auxiliar Resultados'!$C$6:$BO$6,0)),"")))</f>
        <v/>
      </c>
      <c r="AI40" s="52" t="str">
        <f>+IF(IF($B40="","",IFERROR(INDEX('Auxiliar Resultados'!$C$9:$BO$50,MATCH($B40,'Auxiliar Resultados'!$B$9:$B$50,0),MATCH(CONCATENATE($C40,AI$7),'Auxiliar Resultados'!$C$6:$BO$6,0)),""))=0,"",IF($B40="","",IFERROR(INDEX('Auxiliar Resultados'!$C$9:$BO$50,MATCH($B40,'Auxiliar Resultados'!$B$9:$B$50,0),MATCH(CONCATENATE($C40,AI$7),'Auxiliar Resultados'!$C$6:$BO$6,0)),"")))</f>
        <v/>
      </c>
      <c r="AJ40" s="52" t="str">
        <f>+IF(IF($B40="","",IFERROR(INDEX('Auxiliar Resultados'!$C$9:$BO$50,MATCH($B40,'Auxiliar Resultados'!$B$9:$B$50,0),MATCH(CONCATENATE($C40,AJ$7),'Auxiliar Resultados'!$C$6:$BO$6,0)),""))=0,"",IF($B40="","",IFERROR(INDEX('Auxiliar Resultados'!$C$9:$BO$50,MATCH($B40,'Auxiliar Resultados'!$B$9:$B$50,0),MATCH(CONCATENATE($C40,AJ$7),'Auxiliar Resultados'!$C$6:$BO$6,0)),"")))</f>
        <v/>
      </c>
      <c r="AK40" s="52" t="str">
        <f>+IF(IF($B40="","",IFERROR(INDEX('Auxiliar Resultados'!$C$9:$BO$50,MATCH($B40,'Auxiliar Resultados'!$B$9:$B$50,0),MATCH(CONCATENATE($C40,AK$7),'Auxiliar Resultados'!$C$6:$BO$6,0)),""))=0,"",IF($B40="","",IFERROR(INDEX('Auxiliar Resultados'!$C$9:$BO$50,MATCH($B40,'Auxiliar Resultados'!$B$9:$B$50,0),MATCH(CONCATENATE($C40,AK$7),'Auxiliar Resultados'!$C$6:$BO$6,0)),"")))</f>
        <v/>
      </c>
      <c r="AL40" s="52" t="str">
        <f>+IF(IF($B40="","",IFERROR(INDEX('Auxiliar Resultados'!$C$9:$BO$50,MATCH($B40,'Auxiliar Resultados'!$B$9:$B$50,0),MATCH(CONCATENATE($C40,AL$7),'Auxiliar Resultados'!$C$6:$BO$6,0)),""))=0,"",IF($B40="","",IFERROR(INDEX('Auxiliar Resultados'!$C$9:$BO$50,MATCH($B40,'Auxiliar Resultados'!$B$9:$B$50,0),MATCH(CONCATENATE($C40,AL$7),'Auxiliar Resultados'!$C$6:$BO$6,0)),"")))</f>
        <v/>
      </c>
      <c r="AM40" s="52" t="str">
        <f>+IF(IF($B40="","",IFERROR(INDEX('Auxiliar Resultados'!$C$9:$BO$50,MATCH($B40,'Auxiliar Resultados'!$B$9:$B$50,0),MATCH(CONCATENATE($C40,AM$7),'Auxiliar Resultados'!$C$6:$BO$6,0)),""))=0,"",IF($B40="","",IFERROR(INDEX('Auxiliar Resultados'!$C$9:$BO$50,MATCH($B40,'Auxiliar Resultados'!$B$9:$B$50,0),MATCH(CONCATENATE($C40,AM$7),'Auxiliar Resultados'!$C$6:$BO$6,0)),"")))</f>
        <v/>
      </c>
      <c r="AN40" s="52" t="str">
        <f>+IF(IF($B40="","",IFERROR(INDEX('Auxiliar Resultados'!$C$9:$BO$50,MATCH($B40,'Auxiliar Resultados'!$B$9:$B$50,0),MATCH(CONCATENATE($C40,AN$7),'Auxiliar Resultados'!$C$6:$BO$6,0)),""))=0,"",IF($B40="","",IFERROR(INDEX('Auxiliar Resultados'!$C$9:$BO$50,MATCH($B40,'Auxiliar Resultados'!$B$9:$B$50,0),MATCH(CONCATENATE($C40,AN$7),'Auxiliar Resultados'!$C$6:$BO$6,0)),"")))</f>
        <v/>
      </c>
      <c r="AO40" s="52" t="str">
        <f>+IF(IF($B40="","",IFERROR(INDEX('Auxiliar Resultados'!$C$9:$BO$50,MATCH($B40,'Auxiliar Resultados'!$B$9:$B$50,0),MATCH(CONCATENATE($C40,AO$7),'Auxiliar Resultados'!$C$6:$BO$6,0)),""))=0,"",IF($B40="","",IFERROR(INDEX('Auxiliar Resultados'!$C$9:$BO$50,MATCH($B40,'Auxiliar Resultados'!$B$9:$B$50,0),MATCH(CONCATENATE($C40,AO$7),'Auxiliar Resultados'!$C$6:$BO$6,0)),"")))</f>
        <v/>
      </c>
      <c r="AP40" s="52" t="str">
        <f>+IF(IF($B40="","",IFERROR(INDEX('Auxiliar Resultados'!$C$9:$BO$50,MATCH($B40,'Auxiliar Resultados'!$B$9:$B$50,0),MATCH(CONCATENATE($C40,AP$7),'Auxiliar Resultados'!$C$6:$BO$6,0)),""))=0,"",IF($B40="","",IFERROR(INDEX('Auxiliar Resultados'!$C$9:$BO$50,MATCH($B40,'Auxiliar Resultados'!$B$9:$B$50,0),MATCH(CONCATENATE($C40,AP$7),'Auxiliar Resultados'!$C$6:$BO$6,0)),"")))</f>
        <v/>
      </c>
      <c r="AQ40" s="276" t="str">
        <f>+IF(IF($B40="","",IFERROR(INDEX('Auxiliar Resultados'!$C$9:$BO$50,MATCH($B40,'Auxiliar Resultados'!$B$9:$B$50,0),MATCH(CONCATENATE($C40,AQ$7),'Auxiliar Resultados'!$C$6:$BO$6,0)),""))=0,"",IF($B40="","",IFERROR(INDEX('Auxiliar Resultados'!$C$9:$BO$50,MATCH($B40,'Auxiliar Resultados'!$B$9:$B$50,0),MATCH(CONCATENATE($C40,AQ$7),'Auxiliar Resultados'!$C$6:$BO$6,0)),"")))</f>
        <v/>
      </c>
      <c r="AS40" s="46" t="str">
        <f t="shared" si="5"/>
        <v/>
      </c>
      <c r="AT40" s="292" t="str">
        <f t="shared" si="6"/>
        <v/>
      </c>
      <c r="AU40" s="36" t="str">
        <f>+IF(G40="","",INDEX('Modelo Optimización'!$AZ$4:$CO$149,MATCH(CONCATENATE(AU$7,$AT40),'Modelo Optimización'!$CQ$4:$CQ$149,0),MATCH($AS40,'Modelo Optimización'!$AZ$3:$CO$3,0)))</f>
        <v/>
      </c>
      <c r="AV40" s="32" t="str">
        <f>+IF(H40="","",INDEX('Modelo Optimización'!$AZ$4:$CO$149,MATCH(CONCATENATE(AV$7,$AT40),'Modelo Optimización'!$CQ$4:$CQ$149,0),MATCH($AS40,'Modelo Optimización'!$AZ$3:$CO$3,0)))</f>
        <v/>
      </c>
      <c r="AW40" s="32" t="str">
        <f>+IF(I40="","",INDEX('Modelo Optimización'!$AZ$4:$CO$149,MATCH(CONCATENATE(AW$7,$AT40),'Modelo Optimización'!$CQ$4:$CQ$149,0),MATCH($AS40,'Modelo Optimización'!$AZ$3:$CO$3,0)))</f>
        <v/>
      </c>
      <c r="AX40" s="32" t="str">
        <f>+IF(J40="","",INDEX('Modelo Optimización'!$AZ$4:$CO$149,MATCH(CONCATENATE(AX$7,$AT40),'Modelo Optimización'!$CQ$4:$CQ$149,0),MATCH($AS40,'Modelo Optimización'!$AZ$3:$CO$3,0)))</f>
        <v/>
      </c>
      <c r="AY40" s="32" t="str">
        <f>+IF(K40="","",INDEX('Modelo Optimización'!$AZ$4:$CO$149,MATCH(CONCATENATE(AY$7,$AT40),'Modelo Optimización'!$CQ$4:$CQ$149,0),MATCH($AS40,'Modelo Optimización'!$AZ$3:$CO$3,0)))</f>
        <v/>
      </c>
      <c r="AZ40" s="32" t="str">
        <f>+IF(L40="","",INDEX('Modelo Optimización'!$AZ$4:$CO$149,MATCH(CONCATENATE(AZ$7,$AT40),'Modelo Optimización'!$CQ$4:$CQ$149,0),MATCH($AS40,'Modelo Optimización'!$AZ$3:$CO$3,0)))</f>
        <v/>
      </c>
      <c r="BA40" s="32" t="str">
        <f>+IF(M40="","",INDEX('Modelo Optimización'!$AZ$4:$CO$149,MATCH(CONCATENATE(BA$7,$AT40),'Modelo Optimización'!$CQ$4:$CQ$149,0),MATCH($AS40,'Modelo Optimización'!$AZ$3:$CO$3,0)))</f>
        <v/>
      </c>
      <c r="BB40" s="32" t="str">
        <f>+IF(N40="","",INDEX('Modelo Optimización'!$AZ$4:$CO$149,MATCH(CONCATENATE(BB$7,$AT40),'Modelo Optimización'!$CQ$4:$CQ$149,0),MATCH($AS40,'Modelo Optimización'!$AZ$3:$CO$3,0)))</f>
        <v/>
      </c>
      <c r="BC40" s="32" t="str">
        <f>+IF(O40="","",INDEX('Modelo Optimización'!$AZ$4:$CO$149,MATCH(CONCATENATE(BC$7,$AT40),'Modelo Optimización'!$CQ$4:$CQ$149,0),MATCH($AS40,'Modelo Optimización'!$AZ$3:$CO$3,0)))</f>
        <v/>
      </c>
      <c r="BD40" s="32" t="str">
        <f>+IF(P40="","",INDEX('Modelo Optimización'!$AZ$4:$CO$149,MATCH(CONCATENATE(BD$7,$AT40),'Modelo Optimización'!$CQ$4:$CQ$149,0),MATCH($AS40,'Modelo Optimización'!$AZ$3:$CO$3,0)))</f>
        <v/>
      </c>
      <c r="BE40" s="32" t="str">
        <f>+IF(Q40="","",INDEX('Modelo Optimización'!$AZ$4:$CO$149,MATCH(CONCATENATE(BE$7,$AT40),'Modelo Optimización'!$CQ$4:$CQ$149,0),MATCH($AS40,'Modelo Optimización'!$AZ$3:$CO$3,0)))</f>
        <v/>
      </c>
      <c r="BF40" s="32" t="str">
        <f>+IF(R40="","",INDEX('Modelo Optimización'!$AZ$4:$CO$149,MATCH(CONCATENATE(BF$7,$AT40),'Modelo Optimización'!$CQ$4:$CQ$149,0),MATCH($AS40,'Modelo Optimización'!$AZ$3:$CO$3,0)))</f>
        <v/>
      </c>
      <c r="BG40" s="32" t="str">
        <f>+IF(S40="","",INDEX('Modelo Optimización'!$AZ$4:$CO$149,MATCH(CONCATENATE(BG$7,$AT40),'Modelo Optimización'!$CQ$4:$CQ$149,0),MATCH($AS40,'Modelo Optimización'!$AZ$3:$CO$3,0)))</f>
        <v/>
      </c>
      <c r="BH40" s="32" t="str">
        <f>+IF(T40="","",INDEX('Modelo Optimización'!$AZ$4:$CO$149,MATCH(CONCATENATE(BH$7,$AT40),'Modelo Optimización'!$CQ$4:$CQ$149,0),MATCH($AS40,'Modelo Optimización'!$AZ$3:$CO$3,0)))</f>
        <v/>
      </c>
      <c r="BI40" s="32" t="str">
        <f>+IF(U40="","",INDEX('Modelo Optimización'!$AZ$4:$CO$149,MATCH(CONCATENATE(BI$7,$AT40),'Modelo Optimización'!$CQ$4:$CQ$149,0),MATCH($AS40,'Modelo Optimización'!$AZ$3:$CO$3,0)))</f>
        <v/>
      </c>
      <c r="BJ40" s="32" t="str">
        <f>+IF(V40="","",INDEX('Modelo Optimización'!$AZ$4:$CO$149,MATCH(CONCATENATE(BJ$7,$AT40),'Modelo Optimización'!$CQ$4:$CQ$149,0),MATCH($AS40,'Modelo Optimización'!$AZ$3:$CO$3,0)))</f>
        <v/>
      </c>
      <c r="BK40" s="32" t="str">
        <f>+IF(W40="","",INDEX('Modelo Optimización'!$AZ$4:$CO$149,MATCH(CONCATENATE(BK$7,$AT40),'Modelo Optimización'!$CQ$4:$CQ$149,0),MATCH($AS40,'Modelo Optimización'!$AZ$3:$CO$3,0)))</f>
        <v/>
      </c>
      <c r="BL40" s="32" t="str">
        <f>+IF(X40="","",INDEX('Modelo Optimización'!$AZ$4:$CO$149,MATCH(CONCATENATE(BL$7,$AT40),'Modelo Optimización'!$CQ$4:$CQ$149,0),MATCH($AS40,'Modelo Optimización'!$AZ$3:$CO$3,0)))</f>
        <v/>
      </c>
      <c r="BM40" s="32" t="str">
        <f>+IF(Y40="","",INDEX('Modelo Optimización'!$AZ$4:$CO$149,MATCH(CONCATENATE(BM$7,$AT40),'Modelo Optimización'!$CQ$4:$CQ$149,0),MATCH($AS40,'Modelo Optimización'!$AZ$3:$CO$3,0)))</f>
        <v/>
      </c>
      <c r="BN40" s="32" t="str">
        <f>+IF(Z40="","",INDEX('Modelo Optimización'!$AZ$4:$CO$149,MATCH(CONCATENATE(BN$7,$AT40),'Modelo Optimización'!$CQ$4:$CQ$149,0),MATCH($AS40,'Modelo Optimización'!$AZ$3:$CO$3,0)))</f>
        <v/>
      </c>
      <c r="BO40" s="32" t="str">
        <f>+IF(AA40="","",INDEX('Modelo Optimización'!$AZ$4:$CO$149,MATCH(CONCATENATE(BO$7,$AT40),'Modelo Optimización'!$CQ$4:$CQ$149,0),MATCH($AS40,'Modelo Optimización'!$AZ$3:$CO$3,0)))</f>
        <v/>
      </c>
      <c r="BP40" s="32" t="str">
        <f>+IF(AB40="","",INDEX('Modelo Optimización'!$AZ$4:$CO$149,MATCH(CONCATENATE(BP$7,$AT40),'Modelo Optimización'!$CQ$4:$CQ$149,0),MATCH($AS40,'Modelo Optimización'!$AZ$3:$CO$3,0)))</f>
        <v/>
      </c>
      <c r="BQ40" s="32" t="str">
        <f>+IF(AC40="","",INDEX('Modelo Optimización'!$AZ$4:$CO$149,MATCH(CONCATENATE(BQ$7,$AT40),'Modelo Optimización'!$CQ$4:$CQ$149,0),MATCH($AS40,'Modelo Optimización'!$AZ$3:$CO$3,0)))</f>
        <v/>
      </c>
      <c r="BR40" s="32" t="str">
        <f>+IF(AD40="","",INDEX('Modelo Optimización'!$AZ$4:$CO$149,MATCH(CONCATENATE(BR$7,$AT40),'Modelo Optimización'!$CQ$4:$CQ$149,0),MATCH($AS40,'Modelo Optimización'!$AZ$3:$CO$3,0)))</f>
        <v/>
      </c>
      <c r="BS40" s="32" t="str">
        <f>+IF(AE40="","",INDEX('Modelo Optimización'!$AZ$4:$CO$149,MATCH(CONCATENATE(BS$7,$AT40),'Modelo Optimización'!$CQ$4:$CQ$149,0),MATCH($AS40,'Modelo Optimización'!$AZ$3:$CO$3,0)))</f>
        <v/>
      </c>
      <c r="BT40" s="32" t="str">
        <f>+IF(AF40="","",INDEX('Modelo Optimización'!$AZ$4:$CO$149,MATCH(CONCATENATE(BT$7,$AT40),'Modelo Optimización'!$CQ$4:$CQ$149,0),MATCH($AS40,'Modelo Optimización'!$AZ$3:$CO$3,0)))</f>
        <v/>
      </c>
      <c r="BU40" s="32" t="str">
        <f>+IF(AG40="","",INDEX('Modelo Optimización'!$AZ$4:$CO$149,MATCH(CONCATENATE(BU$7,$AT40),'Modelo Optimización'!$CQ$4:$CQ$149,0),MATCH($AS40,'Modelo Optimización'!$AZ$3:$CO$3,0)))</f>
        <v/>
      </c>
      <c r="BV40" s="32" t="str">
        <f>+IF(AH40="","",INDEX('Modelo Optimización'!$AZ$4:$CO$149,MATCH(CONCATENATE(BV$7,$AT40),'Modelo Optimización'!$CQ$4:$CQ$149,0),MATCH($AS40,'Modelo Optimización'!$AZ$3:$CO$3,0)))</f>
        <v/>
      </c>
      <c r="BW40" s="32" t="str">
        <f>+IF(AI40="","",INDEX('Modelo Optimización'!$AZ$4:$CO$149,MATCH(CONCATENATE(BW$7,$AT40),'Modelo Optimización'!$CQ$4:$CQ$149,0),MATCH($AS40,'Modelo Optimización'!$AZ$3:$CO$3,0)))</f>
        <v/>
      </c>
      <c r="BX40" s="32" t="str">
        <f>+IF(AJ40="","",INDEX('Modelo Optimización'!$AZ$4:$CO$149,MATCH(CONCATENATE(BX$7,$AT40),'Modelo Optimización'!$CQ$4:$CQ$149,0),MATCH($AS40,'Modelo Optimización'!$AZ$3:$CO$3,0)))</f>
        <v/>
      </c>
      <c r="BY40" s="32" t="str">
        <f>+IF(AK40="","",INDEX('Modelo Optimización'!$AZ$4:$CO$149,MATCH(CONCATENATE(BY$7,$AT40),'Modelo Optimización'!$CQ$4:$CQ$149,0),MATCH($AS40,'Modelo Optimización'!$AZ$3:$CO$3,0)))</f>
        <v/>
      </c>
      <c r="BZ40" s="32" t="str">
        <f>+IF(AL40="","",INDEX('Modelo Optimización'!$AZ$4:$CO$149,MATCH(CONCATENATE(BZ$7,$AT40),'Modelo Optimización'!$CQ$4:$CQ$149,0),MATCH($AS40,'Modelo Optimización'!$AZ$3:$CO$3,0)))</f>
        <v/>
      </c>
      <c r="CA40" s="32" t="str">
        <f>+IF(AM40="","",INDEX('Modelo Optimización'!$AZ$4:$CO$149,MATCH(CONCATENATE(CA$7,$AT40),'Modelo Optimización'!$CQ$4:$CQ$149,0),MATCH($AS40,'Modelo Optimización'!$AZ$3:$CO$3,0)))</f>
        <v/>
      </c>
      <c r="CB40" s="32" t="str">
        <f>+IF(AN40="","",INDEX('Modelo Optimización'!$AZ$4:$CO$149,MATCH(CONCATENATE(CB$7,$AT40),'Modelo Optimización'!$CQ$4:$CQ$149,0),MATCH($AS40,'Modelo Optimización'!$AZ$3:$CO$3,0)))</f>
        <v/>
      </c>
      <c r="CC40" s="32" t="str">
        <f>+IF(AO40="","",INDEX('Modelo Optimización'!$AZ$4:$CO$149,MATCH(CONCATENATE(CC$7,$AT40),'Modelo Optimización'!$CQ$4:$CQ$149,0),MATCH($AS40,'Modelo Optimización'!$AZ$3:$CO$3,0)))</f>
        <v/>
      </c>
      <c r="CD40" s="32" t="str">
        <f>+IF(AP40="","",INDEX('Modelo Optimización'!$AZ$4:$CO$149,MATCH(CONCATENATE(CD$7,$AT40),'Modelo Optimización'!$CQ$4:$CQ$149,0),MATCH($AS40,'Modelo Optimización'!$AZ$3:$CO$3,0)))</f>
        <v/>
      </c>
      <c r="CE40" s="37" t="str">
        <f>+IF(AQ40="","",INDEX('Modelo Optimización'!$AZ$4:$CO$149,MATCH(CONCATENATE(CE$7,$AT40),'Modelo Optimización'!$CQ$4:$CQ$149,0),MATCH($AS40,'Modelo Optimización'!$AZ$3:$CO$3,0)))</f>
        <v/>
      </c>
      <c r="CF40" s="301"/>
      <c r="CG40" s="305" t="str">
        <f t="shared" si="11"/>
        <v/>
      </c>
      <c r="CH40" s="303" t="str">
        <f t="shared" si="7"/>
        <v/>
      </c>
      <c r="CI40" s="292" t="str">
        <f t="shared" si="8"/>
        <v/>
      </c>
      <c r="CJ40" s="36" t="str">
        <f t="shared" si="12"/>
        <v/>
      </c>
      <c r="CK40" s="32" t="str">
        <f t="shared" si="13"/>
        <v/>
      </c>
      <c r="CL40" s="32" t="str">
        <f t="shared" si="14"/>
        <v/>
      </c>
      <c r="CM40" s="32" t="str">
        <f t="shared" si="15"/>
        <v/>
      </c>
      <c r="CN40" s="32" t="str">
        <f t="shared" si="16"/>
        <v/>
      </c>
      <c r="CO40" s="32" t="str">
        <f t="shared" si="17"/>
        <v/>
      </c>
      <c r="CP40" s="32" t="str">
        <f t="shared" si="18"/>
        <v/>
      </c>
      <c r="CQ40" s="32" t="str">
        <f t="shared" si="19"/>
        <v/>
      </c>
      <c r="CR40" s="32" t="str">
        <f t="shared" si="20"/>
        <v/>
      </c>
      <c r="CS40" s="32" t="str">
        <f t="shared" si="21"/>
        <v/>
      </c>
      <c r="CT40" s="32" t="str">
        <f t="shared" si="22"/>
        <v/>
      </c>
      <c r="CU40" s="32" t="str">
        <f t="shared" si="23"/>
        <v/>
      </c>
      <c r="CV40" s="32" t="str">
        <f t="shared" si="24"/>
        <v/>
      </c>
      <c r="CW40" s="32" t="str">
        <f t="shared" si="25"/>
        <v/>
      </c>
      <c r="CX40" s="32" t="str">
        <f t="shared" si="26"/>
        <v/>
      </c>
      <c r="CY40" s="32" t="str">
        <f t="shared" si="27"/>
        <v/>
      </c>
      <c r="CZ40" s="32" t="str">
        <f t="shared" si="28"/>
        <v/>
      </c>
      <c r="DA40" s="32" t="str">
        <f t="shared" si="29"/>
        <v/>
      </c>
      <c r="DB40" s="32" t="str">
        <f t="shared" si="30"/>
        <v/>
      </c>
      <c r="DC40" s="32" t="str">
        <f t="shared" si="31"/>
        <v/>
      </c>
      <c r="DD40" s="32" t="str">
        <f t="shared" si="32"/>
        <v/>
      </c>
      <c r="DE40" s="32" t="str">
        <f t="shared" si="33"/>
        <v/>
      </c>
      <c r="DF40" s="32" t="str">
        <f t="shared" si="34"/>
        <v/>
      </c>
      <c r="DG40" s="32" t="str">
        <f t="shared" si="35"/>
        <v/>
      </c>
      <c r="DH40" s="32" t="str">
        <f t="shared" si="36"/>
        <v/>
      </c>
      <c r="DI40" s="32" t="str">
        <f t="shared" si="37"/>
        <v/>
      </c>
      <c r="DJ40" s="32" t="str">
        <f t="shared" si="38"/>
        <v/>
      </c>
      <c r="DK40" s="32" t="str">
        <f t="shared" si="39"/>
        <v/>
      </c>
      <c r="DL40" s="32" t="str">
        <f t="shared" si="40"/>
        <v/>
      </c>
      <c r="DM40" s="32" t="str">
        <f t="shared" si="41"/>
        <v/>
      </c>
      <c r="DN40" s="32" t="str">
        <f t="shared" si="42"/>
        <v/>
      </c>
      <c r="DO40" s="32" t="str">
        <f t="shared" si="43"/>
        <v/>
      </c>
      <c r="DP40" s="32" t="str">
        <f t="shared" si="44"/>
        <v/>
      </c>
      <c r="DQ40" s="32" t="str">
        <f t="shared" si="45"/>
        <v/>
      </c>
      <c r="DR40" s="32" t="str">
        <f t="shared" si="46"/>
        <v/>
      </c>
      <c r="DS40" s="32" t="str">
        <f t="shared" si="47"/>
        <v/>
      </c>
      <c r="DT40" s="37" t="str">
        <f t="shared" si="48"/>
        <v/>
      </c>
    </row>
    <row r="41" spans="2:124" x14ac:dyDescent="0.35">
      <c r="B41" s="46"/>
      <c r="C41" s="212"/>
      <c r="D41" s="52"/>
      <c r="E41" s="52" t="str">
        <f>+IF(B41="","",IFERROR(SUMIF('Modelo Optimización'!$AS$72:$AS$217,C41,INDEX('Modelo Optimización'!$C$72:$AR$217,,MATCH(B41,'Modelo Optimización'!$C$71:$AR$71,0))),0))</f>
        <v/>
      </c>
      <c r="F41" s="281" t="str">
        <f t="shared" si="10"/>
        <v/>
      </c>
      <c r="G41" s="280" t="str">
        <f>+IF(IF($B41="","",IFERROR(INDEX('Auxiliar Resultados'!$C$9:$BO$50,MATCH($B41,'Auxiliar Resultados'!$B$9:$B$50,0),MATCH(CONCATENATE($C41,G$7),'Auxiliar Resultados'!$C$6:$BO$6,0)),""))=0,"",IF($B41="","",IFERROR(INDEX('Auxiliar Resultados'!$C$9:$BO$50,MATCH($B41,'Auxiliar Resultados'!$B$9:$B$50,0),MATCH(CONCATENATE($C41,G$7),'Auxiliar Resultados'!$C$6:$BO$6,0)),"")))</f>
        <v/>
      </c>
      <c r="H41" s="52" t="str">
        <f>+IF(IF($B41="","",IFERROR(INDEX('Auxiliar Resultados'!$C$9:$BO$50,MATCH($B41,'Auxiliar Resultados'!$B$9:$B$50,0),MATCH(CONCATENATE($C41,H$7),'Auxiliar Resultados'!$C$6:$BO$6,0)),""))=0,"",IF($B41="","",IFERROR(INDEX('Auxiliar Resultados'!$C$9:$BO$50,MATCH($B41,'Auxiliar Resultados'!$B$9:$B$50,0),MATCH(CONCATENATE($C41,H$7),'Auxiliar Resultados'!$C$6:$BO$6,0)),"")))</f>
        <v/>
      </c>
      <c r="I41" s="52" t="str">
        <f>+IF(IF($B41="","",IFERROR(INDEX('Auxiliar Resultados'!$C$9:$BO$50,MATCH($B41,'Auxiliar Resultados'!$B$9:$B$50,0),MATCH(CONCATENATE($C41,I$7),'Auxiliar Resultados'!$C$6:$BO$6,0)),""))=0,"",IF($B41="","",IFERROR(INDEX('Auxiliar Resultados'!$C$9:$BO$50,MATCH($B41,'Auxiliar Resultados'!$B$9:$B$50,0),MATCH(CONCATENATE($C41,I$7),'Auxiliar Resultados'!$C$6:$BO$6,0)),"")))</f>
        <v/>
      </c>
      <c r="J41" s="52" t="str">
        <f>+IF(IF($B41="","",IFERROR(INDEX('Auxiliar Resultados'!$C$9:$BO$50,MATCH($B41,'Auxiliar Resultados'!$B$9:$B$50,0),MATCH(CONCATENATE($C41,J$7),'Auxiliar Resultados'!$C$6:$BO$6,0)),""))=0,"",IF($B41="","",IFERROR(INDEX('Auxiliar Resultados'!$C$9:$BO$50,MATCH($B41,'Auxiliar Resultados'!$B$9:$B$50,0),MATCH(CONCATENATE($C41,J$7),'Auxiliar Resultados'!$C$6:$BO$6,0)),"")))</f>
        <v/>
      </c>
      <c r="K41" s="52" t="str">
        <f>+IF(IF($B41="","",IFERROR(INDEX('Auxiliar Resultados'!$C$9:$BO$50,MATCH($B41,'Auxiliar Resultados'!$B$9:$B$50,0),MATCH(CONCATENATE($C41,K$7),'Auxiliar Resultados'!$C$6:$BO$6,0)),""))=0,"",IF($B41="","",IFERROR(INDEX('Auxiliar Resultados'!$C$9:$BO$50,MATCH($B41,'Auxiliar Resultados'!$B$9:$B$50,0),MATCH(CONCATENATE($C41,K$7),'Auxiliar Resultados'!$C$6:$BO$6,0)),"")))</f>
        <v/>
      </c>
      <c r="L41" s="52" t="str">
        <f>+IF(IF($B41="","",IFERROR(INDEX('Auxiliar Resultados'!$C$9:$BO$50,MATCH($B41,'Auxiliar Resultados'!$B$9:$B$50,0),MATCH(CONCATENATE($C41,L$7),'Auxiliar Resultados'!$C$6:$BO$6,0)),""))=0,"",IF($B41="","",IFERROR(INDEX('Auxiliar Resultados'!$C$9:$BO$50,MATCH($B41,'Auxiliar Resultados'!$B$9:$B$50,0),MATCH(CONCATENATE($C41,L$7),'Auxiliar Resultados'!$C$6:$BO$6,0)),"")))</f>
        <v/>
      </c>
      <c r="M41" s="52" t="str">
        <f>+IF(IF($B41="","",IFERROR(INDEX('Auxiliar Resultados'!$C$9:$BO$50,MATCH($B41,'Auxiliar Resultados'!$B$9:$B$50,0),MATCH(CONCATENATE($C41,M$7),'Auxiliar Resultados'!$C$6:$BO$6,0)),""))=0,"",IF($B41="","",IFERROR(INDEX('Auxiliar Resultados'!$C$9:$BO$50,MATCH($B41,'Auxiliar Resultados'!$B$9:$B$50,0),MATCH(CONCATENATE($C41,M$7),'Auxiliar Resultados'!$C$6:$BO$6,0)),"")))</f>
        <v/>
      </c>
      <c r="N41" s="52" t="str">
        <f>+IF(IF($B41="","",IFERROR(INDEX('Auxiliar Resultados'!$C$9:$BO$50,MATCH($B41,'Auxiliar Resultados'!$B$9:$B$50,0),MATCH(CONCATENATE($C41,N$7),'Auxiliar Resultados'!$C$6:$BO$6,0)),""))=0,"",IF($B41="","",IFERROR(INDEX('Auxiliar Resultados'!$C$9:$BO$50,MATCH($B41,'Auxiliar Resultados'!$B$9:$B$50,0),MATCH(CONCATENATE($C41,N$7),'Auxiliar Resultados'!$C$6:$BO$6,0)),"")))</f>
        <v/>
      </c>
      <c r="O41" s="52" t="str">
        <f>+IF(IF($B41="","",IFERROR(INDEX('Auxiliar Resultados'!$C$9:$BO$50,MATCH($B41,'Auxiliar Resultados'!$B$9:$B$50,0),MATCH(CONCATENATE($C41,O$7),'Auxiliar Resultados'!$C$6:$BO$6,0)),""))=0,"",IF($B41="","",IFERROR(INDEX('Auxiliar Resultados'!$C$9:$BO$50,MATCH($B41,'Auxiliar Resultados'!$B$9:$B$50,0),MATCH(CONCATENATE($C41,O$7),'Auxiliar Resultados'!$C$6:$BO$6,0)),"")))</f>
        <v/>
      </c>
      <c r="P41" s="52" t="str">
        <f>+IF(IF($B41="","",IFERROR(INDEX('Auxiliar Resultados'!$C$9:$BO$50,MATCH($B41,'Auxiliar Resultados'!$B$9:$B$50,0),MATCH(CONCATENATE($C41,P$7),'Auxiliar Resultados'!$C$6:$BO$6,0)),""))=0,"",IF($B41="","",IFERROR(INDEX('Auxiliar Resultados'!$C$9:$BO$50,MATCH($B41,'Auxiliar Resultados'!$B$9:$B$50,0),MATCH(CONCATENATE($C41,P$7),'Auxiliar Resultados'!$C$6:$BO$6,0)),"")))</f>
        <v/>
      </c>
      <c r="Q41" s="52" t="str">
        <f>+IF(IF($B41="","",IFERROR(INDEX('Auxiliar Resultados'!$C$9:$BO$50,MATCH($B41,'Auxiliar Resultados'!$B$9:$B$50,0),MATCH(CONCATENATE($C41,Q$7),'Auxiliar Resultados'!$C$6:$BO$6,0)),""))=0,"",IF($B41="","",IFERROR(INDEX('Auxiliar Resultados'!$C$9:$BO$50,MATCH($B41,'Auxiliar Resultados'!$B$9:$B$50,0),MATCH(CONCATENATE($C41,Q$7),'Auxiliar Resultados'!$C$6:$BO$6,0)),"")))</f>
        <v/>
      </c>
      <c r="R41" s="52" t="str">
        <f>+IF(IF($B41="","",IFERROR(INDEX('Auxiliar Resultados'!$C$9:$BO$50,MATCH($B41,'Auxiliar Resultados'!$B$9:$B$50,0),MATCH(CONCATENATE($C41,R$7),'Auxiliar Resultados'!$C$6:$BO$6,0)),""))=0,"",IF($B41="","",IFERROR(INDEX('Auxiliar Resultados'!$C$9:$BO$50,MATCH($B41,'Auxiliar Resultados'!$B$9:$B$50,0),MATCH(CONCATENATE($C41,R$7),'Auxiliar Resultados'!$C$6:$BO$6,0)),"")))</f>
        <v/>
      </c>
      <c r="S41" s="52" t="str">
        <f>+IF(IF($B41="","",IFERROR(INDEX('Auxiliar Resultados'!$C$9:$BO$50,MATCH($B41,'Auxiliar Resultados'!$B$9:$B$50,0),MATCH(CONCATENATE($C41,S$7),'Auxiliar Resultados'!$C$6:$BO$6,0)),""))=0,"",IF($B41="","",IFERROR(INDEX('Auxiliar Resultados'!$C$9:$BO$50,MATCH($B41,'Auxiliar Resultados'!$B$9:$B$50,0),MATCH(CONCATENATE($C41,S$7),'Auxiliar Resultados'!$C$6:$BO$6,0)),"")))</f>
        <v/>
      </c>
      <c r="T41" s="52" t="str">
        <f>+IF(IF($B41="","",IFERROR(INDEX('Auxiliar Resultados'!$C$9:$BO$50,MATCH($B41,'Auxiliar Resultados'!$B$9:$B$50,0),MATCH(CONCATENATE($C41,T$7),'Auxiliar Resultados'!$C$6:$BO$6,0)),""))=0,"",IF($B41="","",IFERROR(INDEX('Auxiliar Resultados'!$C$9:$BO$50,MATCH($B41,'Auxiliar Resultados'!$B$9:$B$50,0),MATCH(CONCATENATE($C41,T$7),'Auxiliar Resultados'!$C$6:$BO$6,0)),"")))</f>
        <v/>
      </c>
      <c r="U41" s="52" t="str">
        <f>+IF(IF($B41="","",IFERROR(INDEX('Auxiliar Resultados'!$C$9:$BO$50,MATCH($B41,'Auxiliar Resultados'!$B$9:$B$50,0),MATCH(CONCATENATE($C41,U$7),'Auxiliar Resultados'!$C$6:$BO$6,0)),""))=0,"",IF($B41="","",IFERROR(INDEX('Auxiliar Resultados'!$C$9:$BO$50,MATCH($B41,'Auxiliar Resultados'!$B$9:$B$50,0),MATCH(CONCATENATE($C41,U$7),'Auxiliar Resultados'!$C$6:$BO$6,0)),"")))</f>
        <v/>
      </c>
      <c r="V41" s="52" t="str">
        <f>+IF(IF($B41="","",IFERROR(INDEX('Auxiliar Resultados'!$C$9:$BO$50,MATCH($B41,'Auxiliar Resultados'!$B$9:$B$50,0),MATCH(CONCATENATE($C41,V$7),'Auxiliar Resultados'!$C$6:$BO$6,0)),""))=0,"",IF($B41="","",IFERROR(INDEX('Auxiliar Resultados'!$C$9:$BO$50,MATCH($B41,'Auxiliar Resultados'!$B$9:$B$50,0),MATCH(CONCATENATE($C41,V$7),'Auxiliar Resultados'!$C$6:$BO$6,0)),"")))</f>
        <v/>
      </c>
      <c r="W41" s="52" t="str">
        <f>+IF(IF($B41="","",IFERROR(INDEX('Auxiliar Resultados'!$C$9:$BO$50,MATCH($B41,'Auxiliar Resultados'!$B$9:$B$50,0),MATCH(CONCATENATE($C41,W$7),'Auxiliar Resultados'!$C$6:$BO$6,0)),""))=0,"",IF($B41="","",IFERROR(INDEX('Auxiliar Resultados'!$C$9:$BO$50,MATCH($B41,'Auxiliar Resultados'!$B$9:$B$50,0),MATCH(CONCATENATE($C41,W$7),'Auxiliar Resultados'!$C$6:$BO$6,0)),"")))</f>
        <v/>
      </c>
      <c r="X41" s="52" t="str">
        <f>+IF(IF($B41="","",IFERROR(INDEX('Auxiliar Resultados'!$C$9:$BO$50,MATCH($B41,'Auxiliar Resultados'!$B$9:$B$50,0),MATCH(CONCATENATE($C41,X$7),'Auxiliar Resultados'!$C$6:$BO$6,0)),""))=0,"",IF($B41="","",IFERROR(INDEX('Auxiliar Resultados'!$C$9:$BO$50,MATCH($B41,'Auxiliar Resultados'!$B$9:$B$50,0),MATCH(CONCATENATE($C41,X$7),'Auxiliar Resultados'!$C$6:$BO$6,0)),"")))</f>
        <v/>
      </c>
      <c r="Y41" s="52" t="str">
        <f>+IF(IF($B41="","",IFERROR(INDEX('Auxiliar Resultados'!$C$9:$BO$50,MATCH($B41,'Auxiliar Resultados'!$B$9:$B$50,0),MATCH(CONCATENATE($C41,Y$7),'Auxiliar Resultados'!$C$6:$BO$6,0)),""))=0,"",IF($B41="","",IFERROR(INDEX('Auxiliar Resultados'!$C$9:$BO$50,MATCH($B41,'Auxiliar Resultados'!$B$9:$B$50,0),MATCH(CONCATENATE($C41,Y$7),'Auxiliar Resultados'!$C$6:$BO$6,0)),"")))</f>
        <v/>
      </c>
      <c r="Z41" s="52" t="str">
        <f>+IF(IF($B41="","",IFERROR(INDEX('Auxiliar Resultados'!$C$9:$BO$50,MATCH($B41,'Auxiliar Resultados'!$B$9:$B$50,0),MATCH(CONCATENATE($C41,Z$7),'Auxiliar Resultados'!$C$6:$BO$6,0)),""))=0,"",IF($B41="","",IFERROR(INDEX('Auxiliar Resultados'!$C$9:$BO$50,MATCH($B41,'Auxiliar Resultados'!$B$9:$B$50,0),MATCH(CONCATENATE($C41,Z$7),'Auxiliar Resultados'!$C$6:$BO$6,0)),"")))</f>
        <v/>
      </c>
      <c r="AA41" s="52" t="str">
        <f>+IF(IF($B41="","",IFERROR(INDEX('Auxiliar Resultados'!$C$9:$BO$50,MATCH($B41,'Auxiliar Resultados'!$B$9:$B$50,0),MATCH(CONCATENATE($C41,AA$7),'Auxiliar Resultados'!$C$6:$BO$6,0)),""))=0,"",IF($B41="","",IFERROR(INDEX('Auxiliar Resultados'!$C$9:$BO$50,MATCH($B41,'Auxiliar Resultados'!$B$9:$B$50,0),MATCH(CONCATENATE($C41,AA$7),'Auxiliar Resultados'!$C$6:$BO$6,0)),"")))</f>
        <v/>
      </c>
      <c r="AB41" s="52" t="str">
        <f>+IF(IF($B41="","",IFERROR(INDEX('Auxiliar Resultados'!$C$9:$BO$50,MATCH($B41,'Auxiliar Resultados'!$B$9:$B$50,0),MATCH(CONCATENATE($C41,AB$7),'Auxiliar Resultados'!$C$6:$BO$6,0)),""))=0,"",IF($B41="","",IFERROR(INDEX('Auxiliar Resultados'!$C$9:$BO$50,MATCH($B41,'Auxiliar Resultados'!$B$9:$B$50,0),MATCH(CONCATENATE($C41,AB$7),'Auxiliar Resultados'!$C$6:$BO$6,0)),"")))</f>
        <v/>
      </c>
      <c r="AC41" s="52" t="str">
        <f>+IF(IF($B41="","",IFERROR(INDEX('Auxiliar Resultados'!$C$9:$BO$50,MATCH($B41,'Auxiliar Resultados'!$B$9:$B$50,0),MATCH(CONCATENATE($C41,AC$7),'Auxiliar Resultados'!$C$6:$BO$6,0)),""))=0,"",IF($B41="","",IFERROR(INDEX('Auxiliar Resultados'!$C$9:$BO$50,MATCH($B41,'Auxiliar Resultados'!$B$9:$B$50,0),MATCH(CONCATENATE($C41,AC$7),'Auxiliar Resultados'!$C$6:$BO$6,0)),"")))</f>
        <v/>
      </c>
      <c r="AD41" s="52" t="str">
        <f>+IF(IF($B41="","",IFERROR(INDEX('Auxiliar Resultados'!$C$9:$BO$50,MATCH($B41,'Auxiliar Resultados'!$B$9:$B$50,0),MATCH(CONCATENATE($C41,AD$7),'Auxiliar Resultados'!$C$6:$BO$6,0)),""))=0,"",IF($B41="","",IFERROR(INDEX('Auxiliar Resultados'!$C$9:$BO$50,MATCH($B41,'Auxiliar Resultados'!$B$9:$B$50,0),MATCH(CONCATENATE($C41,AD$7),'Auxiliar Resultados'!$C$6:$BO$6,0)),"")))</f>
        <v/>
      </c>
      <c r="AE41" s="52" t="str">
        <f>+IF(IF($B41="","",IFERROR(INDEX('Auxiliar Resultados'!$C$9:$BO$50,MATCH($B41,'Auxiliar Resultados'!$B$9:$B$50,0),MATCH(CONCATENATE($C41,AE$7),'Auxiliar Resultados'!$C$6:$BO$6,0)),""))=0,"",IF($B41="","",IFERROR(INDEX('Auxiliar Resultados'!$C$9:$BO$50,MATCH($B41,'Auxiliar Resultados'!$B$9:$B$50,0),MATCH(CONCATENATE($C41,AE$7),'Auxiliar Resultados'!$C$6:$BO$6,0)),"")))</f>
        <v/>
      </c>
      <c r="AF41" s="52" t="str">
        <f>+IF(IF($B41="","",IFERROR(INDEX('Auxiliar Resultados'!$C$9:$BO$50,MATCH($B41,'Auxiliar Resultados'!$B$9:$B$50,0),MATCH(CONCATENATE($C41,AF$7),'Auxiliar Resultados'!$C$6:$BO$6,0)),""))=0,"",IF($B41="","",IFERROR(INDEX('Auxiliar Resultados'!$C$9:$BO$50,MATCH($B41,'Auxiliar Resultados'!$B$9:$B$50,0),MATCH(CONCATENATE($C41,AF$7),'Auxiliar Resultados'!$C$6:$BO$6,0)),"")))</f>
        <v/>
      </c>
      <c r="AG41" s="52" t="str">
        <f>+IF(IF($B41="","",IFERROR(INDEX('Auxiliar Resultados'!$C$9:$BO$50,MATCH($B41,'Auxiliar Resultados'!$B$9:$B$50,0),MATCH(CONCATENATE($C41,AG$7),'Auxiliar Resultados'!$C$6:$BO$6,0)),""))=0,"",IF($B41="","",IFERROR(INDEX('Auxiliar Resultados'!$C$9:$BO$50,MATCH($B41,'Auxiliar Resultados'!$B$9:$B$50,0),MATCH(CONCATENATE($C41,AG$7),'Auxiliar Resultados'!$C$6:$BO$6,0)),"")))</f>
        <v/>
      </c>
      <c r="AH41" s="52" t="str">
        <f>+IF(IF($B41="","",IFERROR(INDEX('Auxiliar Resultados'!$C$9:$BO$50,MATCH($B41,'Auxiliar Resultados'!$B$9:$B$50,0),MATCH(CONCATENATE($C41,AH$7),'Auxiliar Resultados'!$C$6:$BO$6,0)),""))=0,"",IF($B41="","",IFERROR(INDEX('Auxiliar Resultados'!$C$9:$BO$50,MATCH($B41,'Auxiliar Resultados'!$B$9:$B$50,0),MATCH(CONCATENATE($C41,AH$7),'Auxiliar Resultados'!$C$6:$BO$6,0)),"")))</f>
        <v/>
      </c>
      <c r="AI41" s="52" t="str">
        <f>+IF(IF($B41="","",IFERROR(INDEX('Auxiliar Resultados'!$C$9:$BO$50,MATCH($B41,'Auxiliar Resultados'!$B$9:$B$50,0),MATCH(CONCATENATE($C41,AI$7),'Auxiliar Resultados'!$C$6:$BO$6,0)),""))=0,"",IF($B41="","",IFERROR(INDEX('Auxiliar Resultados'!$C$9:$BO$50,MATCH($B41,'Auxiliar Resultados'!$B$9:$B$50,0),MATCH(CONCATENATE($C41,AI$7),'Auxiliar Resultados'!$C$6:$BO$6,0)),"")))</f>
        <v/>
      </c>
      <c r="AJ41" s="52" t="str">
        <f>+IF(IF($B41="","",IFERROR(INDEX('Auxiliar Resultados'!$C$9:$BO$50,MATCH($B41,'Auxiliar Resultados'!$B$9:$B$50,0),MATCH(CONCATENATE($C41,AJ$7),'Auxiliar Resultados'!$C$6:$BO$6,0)),""))=0,"",IF($B41="","",IFERROR(INDEX('Auxiliar Resultados'!$C$9:$BO$50,MATCH($B41,'Auxiliar Resultados'!$B$9:$B$50,0),MATCH(CONCATENATE($C41,AJ$7),'Auxiliar Resultados'!$C$6:$BO$6,0)),"")))</f>
        <v/>
      </c>
      <c r="AK41" s="52" t="str">
        <f>+IF(IF($B41="","",IFERROR(INDEX('Auxiliar Resultados'!$C$9:$BO$50,MATCH($B41,'Auxiliar Resultados'!$B$9:$B$50,0),MATCH(CONCATENATE($C41,AK$7),'Auxiliar Resultados'!$C$6:$BO$6,0)),""))=0,"",IF($B41="","",IFERROR(INDEX('Auxiliar Resultados'!$C$9:$BO$50,MATCH($B41,'Auxiliar Resultados'!$B$9:$B$50,0),MATCH(CONCATENATE($C41,AK$7),'Auxiliar Resultados'!$C$6:$BO$6,0)),"")))</f>
        <v/>
      </c>
      <c r="AL41" s="52" t="str">
        <f>+IF(IF($B41="","",IFERROR(INDEX('Auxiliar Resultados'!$C$9:$BO$50,MATCH($B41,'Auxiliar Resultados'!$B$9:$B$50,0),MATCH(CONCATENATE($C41,AL$7),'Auxiliar Resultados'!$C$6:$BO$6,0)),""))=0,"",IF($B41="","",IFERROR(INDEX('Auxiliar Resultados'!$C$9:$BO$50,MATCH($B41,'Auxiliar Resultados'!$B$9:$B$50,0),MATCH(CONCATENATE($C41,AL$7),'Auxiliar Resultados'!$C$6:$BO$6,0)),"")))</f>
        <v/>
      </c>
      <c r="AM41" s="52" t="str">
        <f>+IF(IF($B41="","",IFERROR(INDEX('Auxiliar Resultados'!$C$9:$BO$50,MATCH($B41,'Auxiliar Resultados'!$B$9:$B$50,0),MATCH(CONCATENATE($C41,AM$7),'Auxiliar Resultados'!$C$6:$BO$6,0)),""))=0,"",IF($B41="","",IFERROR(INDEX('Auxiliar Resultados'!$C$9:$BO$50,MATCH($B41,'Auxiliar Resultados'!$B$9:$B$50,0),MATCH(CONCATENATE($C41,AM$7),'Auxiliar Resultados'!$C$6:$BO$6,0)),"")))</f>
        <v/>
      </c>
      <c r="AN41" s="52" t="str">
        <f>+IF(IF($B41="","",IFERROR(INDEX('Auxiliar Resultados'!$C$9:$BO$50,MATCH($B41,'Auxiliar Resultados'!$B$9:$B$50,0),MATCH(CONCATENATE($C41,AN$7),'Auxiliar Resultados'!$C$6:$BO$6,0)),""))=0,"",IF($B41="","",IFERROR(INDEX('Auxiliar Resultados'!$C$9:$BO$50,MATCH($B41,'Auxiliar Resultados'!$B$9:$B$50,0),MATCH(CONCATENATE($C41,AN$7),'Auxiliar Resultados'!$C$6:$BO$6,0)),"")))</f>
        <v/>
      </c>
      <c r="AO41" s="52" t="str">
        <f>+IF(IF($B41="","",IFERROR(INDEX('Auxiliar Resultados'!$C$9:$BO$50,MATCH($B41,'Auxiliar Resultados'!$B$9:$B$50,0),MATCH(CONCATENATE($C41,AO$7),'Auxiliar Resultados'!$C$6:$BO$6,0)),""))=0,"",IF($B41="","",IFERROR(INDEX('Auxiliar Resultados'!$C$9:$BO$50,MATCH($B41,'Auxiliar Resultados'!$B$9:$B$50,0),MATCH(CONCATENATE($C41,AO$7),'Auxiliar Resultados'!$C$6:$BO$6,0)),"")))</f>
        <v/>
      </c>
      <c r="AP41" s="52" t="str">
        <f>+IF(IF($B41="","",IFERROR(INDEX('Auxiliar Resultados'!$C$9:$BO$50,MATCH($B41,'Auxiliar Resultados'!$B$9:$B$50,0),MATCH(CONCATENATE($C41,AP$7),'Auxiliar Resultados'!$C$6:$BO$6,0)),""))=0,"",IF($B41="","",IFERROR(INDEX('Auxiliar Resultados'!$C$9:$BO$50,MATCH($B41,'Auxiliar Resultados'!$B$9:$B$50,0),MATCH(CONCATENATE($C41,AP$7),'Auxiliar Resultados'!$C$6:$BO$6,0)),"")))</f>
        <v/>
      </c>
      <c r="AQ41" s="276" t="str">
        <f>+IF(IF($B41="","",IFERROR(INDEX('Auxiliar Resultados'!$C$9:$BO$50,MATCH($B41,'Auxiliar Resultados'!$B$9:$B$50,0),MATCH(CONCATENATE($C41,AQ$7),'Auxiliar Resultados'!$C$6:$BO$6,0)),""))=0,"",IF($B41="","",IFERROR(INDEX('Auxiliar Resultados'!$C$9:$BO$50,MATCH($B41,'Auxiliar Resultados'!$B$9:$B$50,0),MATCH(CONCATENATE($C41,AQ$7),'Auxiliar Resultados'!$C$6:$BO$6,0)),"")))</f>
        <v/>
      </c>
      <c r="AS41" s="46" t="str">
        <f t="shared" si="5"/>
        <v/>
      </c>
      <c r="AT41" s="292" t="str">
        <f t="shared" si="6"/>
        <v/>
      </c>
      <c r="AU41" s="36" t="str">
        <f>+IF(G41="","",INDEX('Modelo Optimización'!$AZ$4:$CO$149,MATCH(CONCATENATE(AU$7,$AT41),'Modelo Optimización'!$CQ$4:$CQ$149,0),MATCH($AS41,'Modelo Optimización'!$AZ$3:$CO$3,0)))</f>
        <v/>
      </c>
      <c r="AV41" s="32" t="str">
        <f>+IF(H41="","",INDEX('Modelo Optimización'!$AZ$4:$CO$149,MATCH(CONCATENATE(AV$7,$AT41),'Modelo Optimización'!$CQ$4:$CQ$149,0),MATCH($AS41,'Modelo Optimización'!$AZ$3:$CO$3,0)))</f>
        <v/>
      </c>
      <c r="AW41" s="32" t="str">
        <f>+IF(I41="","",INDEX('Modelo Optimización'!$AZ$4:$CO$149,MATCH(CONCATENATE(AW$7,$AT41),'Modelo Optimización'!$CQ$4:$CQ$149,0),MATCH($AS41,'Modelo Optimización'!$AZ$3:$CO$3,0)))</f>
        <v/>
      </c>
      <c r="AX41" s="32" t="str">
        <f>+IF(J41="","",INDEX('Modelo Optimización'!$AZ$4:$CO$149,MATCH(CONCATENATE(AX$7,$AT41),'Modelo Optimización'!$CQ$4:$CQ$149,0),MATCH($AS41,'Modelo Optimización'!$AZ$3:$CO$3,0)))</f>
        <v/>
      </c>
      <c r="AY41" s="32" t="str">
        <f>+IF(K41="","",INDEX('Modelo Optimización'!$AZ$4:$CO$149,MATCH(CONCATENATE(AY$7,$AT41),'Modelo Optimización'!$CQ$4:$CQ$149,0),MATCH($AS41,'Modelo Optimización'!$AZ$3:$CO$3,0)))</f>
        <v/>
      </c>
      <c r="AZ41" s="32" t="str">
        <f>+IF(L41="","",INDEX('Modelo Optimización'!$AZ$4:$CO$149,MATCH(CONCATENATE(AZ$7,$AT41),'Modelo Optimización'!$CQ$4:$CQ$149,0),MATCH($AS41,'Modelo Optimización'!$AZ$3:$CO$3,0)))</f>
        <v/>
      </c>
      <c r="BA41" s="32" t="str">
        <f>+IF(M41="","",INDEX('Modelo Optimización'!$AZ$4:$CO$149,MATCH(CONCATENATE(BA$7,$AT41),'Modelo Optimización'!$CQ$4:$CQ$149,0),MATCH($AS41,'Modelo Optimización'!$AZ$3:$CO$3,0)))</f>
        <v/>
      </c>
      <c r="BB41" s="32" t="str">
        <f>+IF(N41="","",INDEX('Modelo Optimización'!$AZ$4:$CO$149,MATCH(CONCATENATE(BB$7,$AT41),'Modelo Optimización'!$CQ$4:$CQ$149,0),MATCH($AS41,'Modelo Optimización'!$AZ$3:$CO$3,0)))</f>
        <v/>
      </c>
      <c r="BC41" s="32" t="str">
        <f>+IF(O41="","",INDEX('Modelo Optimización'!$AZ$4:$CO$149,MATCH(CONCATENATE(BC$7,$AT41),'Modelo Optimización'!$CQ$4:$CQ$149,0),MATCH($AS41,'Modelo Optimización'!$AZ$3:$CO$3,0)))</f>
        <v/>
      </c>
      <c r="BD41" s="32" t="str">
        <f>+IF(P41="","",INDEX('Modelo Optimización'!$AZ$4:$CO$149,MATCH(CONCATENATE(BD$7,$AT41),'Modelo Optimización'!$CQ$4:$CQ$149,0),MATCH($AS41,'Modelo Optimización'!$AZ$3:$CO$3,0)))</f>
        <v/>
      </c>
      <c r="BE41" s="32" t="str">
        <f>+IF(Q41="","",INDEX('Modelo Optimización'!$AZ$4:$CO$149,MATCH(CONCATENATE(BE$7,$AT41),'Modelo Optimización'!$CQ$4:$CQ$149,0),MATCH($AS41,'Modelo Optimización'!$AZ$3:$CO$3,0)))</f>
        <v/>
      </c>
      <c r="BF41" s="32" t="str">
        <f>+IF(R41="","",INDEX('Modelo Optimización'!$AZ$4:$CO$149,MATCH(CONCATENATE(BF$7,$AT41),'Modelo Optimización'!$CQ$4:$CQ$149,0),MATCH($AS41,'Modelo Optimización'!$AZ$3:$CO$3,0)))</f>
        <v/>
      </c>
      <c r="BG41" s="32" t="str">
        <f>+IF(S41="","",INDEX('Modelo Optimización'!$AZ$4:$CO$149,MATCH(CONCATENATE(BG$7,$AT41),'Modelo Optimización'!$CQ$4:$CQ$149,0),MATCH($AS41,'Modelo Optimización'!$AZ$3:$CO$3,0)))</f>
        <v/>
      </c>
      <c r="BH41" s="32" t="str">
        <f>+IF(T41="","",INDEX('Modelo Optimización'!$AZ$4:$CO$149,MATCH(CONCATENATE(BH$7,$AT41),'Modelo Optimización'!$CQ$4:$CQ$149,0),MATCH($AS41,'Modelo Optimización'!$AZ$3:$CO$3,0)))</f>
        <v/>
      </c>
      <c r="BI41" s="32" t="str">
        <f>+IF(U41="","",INDEX('Modelo Optimización'!$AZ$4:$CO$149,MATCH(CONCATENATE(BI$7,$AT41),'Modelo Optimización'!$CQ$4:$CQ$149,0),MATCH($AS41,'Modelo Optimización'!$AZ$3:$CO$3,0)))</f>
        <v/>
      </c>
      <c r="BJ41" s="32" t="str">
        <f>+IF(V41="","",INDEX('Modelo Optimización'!$AZ$4:$CO$149,MATCH(CONCATENATE(BJ$7,$AT41),'Modelo Optimización'!$CQ$4:$CQ$149,0),MATCH($AS41,'Modelo Optimización'!$AZ$3:$CO$3,0)))</f>
        <v/>
      </c>
      <c r="BK41" s="32" t="str">
        <f>+IF(W41="","",INDEX('Modelo Optimización'!$AZ$4:$CO$149,MATCH(CONCATENATE(BK$7,$AT41),'Modelo Optimización'!$CQ$4:$CQ$149,0),MATCH($AS41,'Modelo Optimización'!$AZ$3:$CO$3,0)))</f>
        <v/>
      </c>
      <c r="BL41" s="32" t="str">
        <f>+IF(X41="","",INDEX('Modelo Optimización'!$AZ$4:$CO$149,MATCH(CONCATENATE(BL$7,$AT41),'Modelo Optimización'!$CQ$4:$CQ$149,0),MATCH($AS41,'Modelo Optimización'!$AZ$3:$CO$3,0)))</f>
        <v/>
      </c>
      <c r="BM41" s="32" t="str">
        <f>+IF(Y41="","",INDEX('Modelo Optimización'!$AZ$4:$CO$149,MATCH(CONCATENATE(BM$7,$AT41),'Modelo Optimización'!$CQ$4:$CQ$149,0),MATCH($AS41,'Modelo Optimización'!$AZ$3:$CO$3,0)))</f>
        <v/>
      </c>
      <c r="BN41" s="32" t="str">
        <f>+IF(Z41="","",INDEX('Modelo Optimización'!$AZ$4:$CO$149,MATCH(CONCATENATE(BN$7,$AT41),'Modelo Optimización'!$CQ$4:$CQ$149,0),MATCH($AS41,'Modelo Optimización'!$AZ$3:$CO$3,0)))</f>
        <v/>
      </c>
      <c r="BO41" s="32" t="str">
        <f>+IF(AA41="","",INDEX('Modelo Optimización'!$AZ$4:$CO$149,MATCH(CONCATENATE(BO$7,$AT41),'Modelo Optimización'!$CQ$4:$CQ$149,0),MATCH($AS41,'Modelo Optimización'!$AZ$3:$CO$3,0)))</f>
        <v/>
      </c>
      <c r="BP41" s="32" t="str">
        <f>+IF(AB41="","",INDEX('Modelo Optimización'!$AZ$4:$CO$149,MATCH(CONCATENATE(BP$7,$AT41),'Modelo Optimización'!$CQ$4:$CQ$149,0),MATCH($AS41,'Modelo Optimización'!$AZ$3:$CO$3,0)))</f>
        <v/>
      </c>
      <c r="BQ41" s="32" t="str">
        <f>+IF(AC41="","",INDEX('Modelo Optimización'!$AZ$4:$CO$149,MATCH(CONCATENATE(BQ$7,$AT41),'Modelo Optimización'!$CQ$4:$CQ$149,0),MATCH($AS41,'Modelo Optimización'!$AZ$3:$CO$3,0)))</f>
        <v/>
      </c>
      <c r="BR41" s="32" t="str">
        <f>+IF(AD41="","",INDEX('Modelo Optimización'!$AZ$4:$CO$149,MATCH(CONCATENATE(BR$7,$AT41),'Modelo Optimización'!$CQ$4:$CQ$149,0),MATCH($AS41,'Modelo Optimización'!$AZ$3:$CO$3,0)))</f>
        <v/>
      </c>
      <c r="BS41" s="32" t="str">
        <f>+IF(AE41="","",INDEX('Modelo Optimización'!$AZ$4:$CO$149,MATCH(CONCATENATE(BS$7,$AT41),'Modelo Optimización'!$CQ$4:$CQ$149,0),MATCH($AS41,'Modelo Optimización'!$AZ$3:$CO$3,0)))</f>
        <v/>
      </c>
      <c r="BT41" s="32" t="str">
        <f>+IF(AF41="","",INDEX('Modelo Optimización'!$AZ$4:$CO$149,MATCH(CONCATENATE(BT$7,$AT41),'Modelo Optimización'!$CQ$4:$CQ$149,0),MATCH($AS41,'Modelo Optimización'!$AZ$3:$CO$3,0)))</f>
        <v/>
      </c>
      <c r="BU41" s="32" t="str">
        <f>+IF(AG41="","",INDEX('Modelo Optimización'!$AZ$4:$CO$149,MATCH(CONCATENATE(BU$7,$AT41),'Modelo Optimización'!$CQ$4:$CQ$149,0),MATCH($AS41,'Modelo Optimización'!$AZ$3:$CO$3,0)))</f>
        <v/>
      </c>
      <c r="BV41" s="32" t="str">
        <f>+IF(AH41="","",INDEX('Modelo Optimización'!$AZ$4:$CO$149,MATCH(CONCATENATE(BV$7,$AT41),'Modelo Optimización'!$CQ$4:$CQ$149,0),MATCH($AS41,'Modelo Optimización'!$AZ$3:$CO$3,0)))</f>
        <v/>
      </c>
      <c r="BW41" s="32" t="str">
        <f>+IF(AI41="","",INDEX('Modelo Optimización'!$AZ$4:$CO$149,MATCH(CONCATENATE(BW$7,$AT41),'Modelo Optimización'!$CQ$4:$CQ$149,0),MATCH($AS41,'Modelo Optimización'!$AZ$3:$CO$3,0)))</f>
        <v/>
      </c>
      <c r="BX41" s="32" t="str">
        <f>+IF(AJ41="","",INDEX('Modelo Optimización'!$AZ$4:$CO$149,MATCH(CONCATENATE(BX$7,$AT41),'Modelo Optimización'!$CQ$4:$CQ$149,0),MATCH($AS41,'Modelo Optimización'!$AZ$3:$CO$3,0)))</f>
        <v/>
      </c>
      <c r="BY41" s="32" t="str">
        <f>+IF(AK41="","",INDEX('Modelo Optimización'!$AZ$4:$CO$149,MATCH(CONCATENATE(BY$7,$AT41),'Modelo Optimización'!$CQ$4:$CQ$149,0),MATCH($AS41,'Modelo Optimización'!$AZ$3:$CO$3,0)))</f>
        <v/>
      </c>
      <c r="BZ41" s="32" t="str">
        <f>+IF(AL41="","",INDEX('Modelo Optimización'!$AZ$4:$CO$149,MATCH(CONCATENATE(BZ$7,$AT41),'Modelo Optimización'!$CQ$4:$CQ$149,0),MATCH($AS41,'Modelo Optimización'!$AZ$3:$CO$3,0)))</f>
        <v/>
      </c>
      <c r="CA41" s="32" t="str">
        <f>+IF(AM41="","",INDEX('Modelo Optimización'!$AZ$4:$CO$149,MATCH(CONCATENATE(CA$7,$AT41),'Modelo Optimización'!$CQ$4:$CQ$149,0),MATCH($AS41,'Modelo Optimización'!$AZ$3:$CO$3,0)))</f>
        <v/>
      </c>
      <c r="CB41" s="32" t="str">
        <f>+IF(AN41="","",INDEX('Modelo Optimización'!$AZ$4:$CO$149,MATCH(CONCATENATE(CB$7,$AT41),'Modelo Optimización'!$CQ$4:$CQ$149,0),MATCH($AS41,'Modelo Optimización'!$AZ$3:$CO$3,0)))</f>
        <v/>
      </c>
      <c r="CC41" s="32" t="str">
        <f>+IF(AO41="","",INDEX('Modelo Optimización'!$AZ$4:$CO$149,MATCH(CONCATENATE(CC$7,$AT41),'Modelo Optimización'!$CQ$4:$CQ$149,0),MATCH($AS41,'Modelo Optimización'!$AZ$3:$CO$3,0)))</f>
        <v/>
      </c>
      <c r="CD41" s="32" t="str">
        <f>+IF(AP41="","",INDEX('Modelo Optimización'!$AZ$4:$CO$149,MATCH(CONCATENATE(CD$7,$AT41),'Modelo Optimización'!$CQ$4:$CQ$149,0),MATCH($AS41,'Modelo Optimización'!$AZ$3:$CO$3,0)))</f>
        <v/>
      </c>
      <c r="CE41" s="37" t="str">
        <f>+IF(AQ41="","",INDEX('Modelo Optimización'!$AZ$4:$CO$149,MATCH(CONCATENATE(CE$7,$AT41),'Modelo Optimización'!$CQ$4:$CQ$149,0),MATCH($AS41,'Modelo Optimización'!$AZ$3:$CO$3,0)))</f>
        <v/>
      </c>
      <c r="CF41" s="301"/>
      <c r="CG41" s="305" t="str">
        <f t="shared" si="11"/>
        <v/>
      </c>
      <c r="CH41" s="303" t="str">
        <f t="shared" si="7"/>
        <v/>
      </c>
      <c r="CI41" s="292" t="str">
        <f t="shared" si="8"/>
        <v/>
      </c>
      <c r="CJ41" s="36" t="str">
        <f t="shared" si="12"/>
        <v/>
      </c>
      <c r="CK41" s="32" t="str">
        <f t="shared" si="13"/>
        <v/>
      </c>
      <c r="CL41" s="32" t="str">
        <f t="shared" si="14"/>
        <v/>
      </c>
      <c r="CM41" s="32" t="str">
        <f t="shared" si="15"/>
        <v/>
      </c>
      <c r="CN41" s="32" t="str">
        <f t="shared" si="16"/>
        <v/>
      </c>
      <c r="CO41" s="32" t="str">
        <f t="shared" si="17"/>
        <v/>
      </c>
      <c r="CP41" s="32" t="str">
        <f t="shared" si="18"/>
        <v/>
      </c>
      <c r="CQ41" s="32" t="str">
        <f t="shared" si="19"/>
        <v/>
      </c>
      <c r="CR41" s="32" t="str">
        <f t="shared" si="20"/>
        <v/>
      </c>
      <c r="CS41" s="32" t="str">
        <f t="shared" si="21"/>
        <v/>
      </c>
      <c r="CT41" s="32" t="str">
        <f t="shared" si="22"/>
        <v/>
      </c>
      <c r="CU41" s="32" t="str">
        <f t="shared" si="23"/>
        <v/>
      </c>
      <c r="CV41" s="32" t="str">
        <f t="shared" si="24"/>
        <v/>
      </c>
      <c r="CW41" s="32" t="str">
        <f t="shared" si="25"/>
        <v/>
      </c>
      <c r="CX41" s="32" t="str">
        <f t="shared" si="26"/>
        <v/>
      </c>
      <c r="CY41" s="32" t="str">
        <f t="shared" si="27"/>
        <v/>
      </c>
      <c r="CZ41" s="32" t="str">
        <f t="shared" si="28"/>
        <v/>
      </c>
      <c r="DA41" s="32" t="str">
        <f t="shared" si="29"/>
        <v/>
      </c>
      <c r="DB41" s="32" t="str">
        <f t="shared" si="30"/>
        <v/>
      </c>
      <c r="DC41" s="32" t="str">
        <f t="shared" si="31"/>
        <v/>
      </c>
      <c r="DD41" s="32" t="str">
        <f t="shared" si="32"/>
        <v/>
      </c>
      <c r="DE41" s="32" t="str">
        <f t="shared" si="33"/>
        <v/>
      </c>
      <c r="DF41" s="32" t="str">
        <f t="shared" si="34"/>
        <v/>
      </c>
      <c r="DG41" s="32" t="str">
        <f t="shared" si="35"/>
        <v/>
      </c>
      <c r="DH41" s="32" t="str">
        <f t="shared" si="36"/>
        <v/>
      </c>
      <c r="DI41" s="32" t="str">
        <f t="shared" si="37"/>
        <v/>
      </c>
      <c r="DJ41" s="32" t="str">
        <f t="shared" si="38"/>
        <v/>
      </c>
      <c r="DK41" s="32" t="str">
        <f t="shared" si="39"/>
        <v/>
      </c>
      <c r="DL41" s="32" t="str">
        <f t="shared" si="40"/>
        <v/>
      </c>
      <c r="DM41" s="32" t="str">
        <f t="shared" si="41"/>
        <v/>
      </c>
      <c r="DN41" s="32" t="str">
        <f t="shared" si="42"/>
        <v/>
      </c>
      <c r="DO41" s="32" t="str">
        <f t="shared" si="43"/>
        <v/>
      </c>
      <c r="DP41" s="32" t="str">
        <f t="shared" si="44"/>
        <v/>
      </c>
      <c r="DQ41" s="32" t="str">
        <f t="shared" si="45"/>
        <v/>
      </c>
      <c r="DR41" s="32" t="str">
        <f t="shared" si="46"/>
        <v/>
      </c>
      <c r="DS41" s="32" t="str">
        <f t="shared" si="47"/>
        <v/>
      </c>
      <c r="DT41" s="37" t="str">
        <f t="shared" si="48"/>
        <v/>
      </c>
    </row>
    <row r="42" spans="2:124" x14ac:dyDescent="0.35">
      <c r="B42" s="46"/>
      <c r="C42" s="212"/>
      <c r="D42" s="52"/>
      <c r="E42" s="52" t="str">
        <f>+IF(B42="","",IFERROR(SUMIF('Modelo Optimización'!$AS$72:$AS$217,C42,INDEX('Modelo Optimización'!$C$72:$AR$217,,MATCH(B42,'Modelo Optimización'!$C$71:$AR$71,0))),0))</f>
        <v/>
      </c>
      <c r="F42" s="281" t="str">
        <f t="shared" si="10"/>
        <v/>
      </c>
      <c r="G42" s="280" t="str">
        <f>+IF(IF($B42="","",IFERROR(INDEX('Auxiliar Resultados'!$C$9:$BO$50,MATCH($B42,'Auxiliar Resultados'!$B$9:$B$50,0),MATCH(CONCATENATE($C42,G$7),'Auxiliar Resultados'!$C$6:$BO$6,0)),""))=0,"",IF($B42="","",IFERROR(INDEX('Auxiliar Resultados'!$C$9:$BO$50,MATCH($B42,'Auxiliar Resultados'!$B$9:$B$50,0),MATCH(CONCATENATE($C42,G$7),'Auxiliar Resultados'!$C$6:$BO$6,0)),"")))</f>
        <v/>
      </c>
      <c r="H42" s="52" t="str">
        <f>+IF(IF($B42="","",IFERROR(INDEX('Auxiliar Resultados'!$C$9:$BO$50,MATCH($B42,'Auxiliar Resultados'!$B$9:$B$50,0),MATCH(CONCATENATE($C42,H$7),'Auxiliar Resultados'!$C$6:$BO$6,0)),""))=0,"",IF($B42="","",IFERROR(INDEX('Auxiliar Resultados'!$C$9:$BO$50,MATCH($B42,'Auxiliar Resultados'!$B$9:$B$50,0),MATCH(CONCATENATE($C42,H$7),'Auxiliar Resultados'!$C$6:$BO$6,0)),"")))</f>
        <v/>
      </c>
      <c r="I42" s="52" t="str">
        <f>+IF(IF($B42="","",IFERROR(INDEX('Auxiliar Resultados'!$C$9:$BO$50,MATCH($B42,'Auxiliar Resultados'!$B$9:$B$50,0),MATCH(CONCATENATE($C42,I$7),'Auxiliar Resultados'!$C$6:$BO$6,0)),""))=0,"",IF($B42="","",IFERROR(INDEX('Auxiliar Resultados'!$C$9:$BO$50,MATCH($B42,'Auxiliar Resultados'!$B$9:$B$50,0),MATCH(CONCATENATE($C42,I$7),'Auxiliar Resultados'!$C$6:$BO$6,0)),"")))</f>
        <v/>
      </c>
      <c r="J42" s="52" t="str">
        <f>+IF(IF($B42="","",IFERROR(INDEX('Auxiliar Resultados'!$C$9:$BO$50,MATCH($B42,'Auxiliar Resultados'!$B$9:$B$50,0),MATCH(CONCATENATE($C42,J$7),'Auxiliar Resultados'!$C$6:$BO$6,0)),""))=0,"",IF($B42="","",IFERROR(INDEX('Auxiliar Resultados'!$C$9:$BO$50,MATCH($B42,'Auxiliar Resultados'!$B$9:$B$50,0),MATCH(CONCATENATE($C42,J$7),'Auxiliar Resultados'!$C$6:$BO$6,0)),"")))</f>
        <v/>
      </c>
      <c r="K42" s="52" t="str">
        <f>+IF(IF($B42="","",IFERROR(INDEX('Auxiliar Resultados'!$C$9:$BO$50,MATCH($B42,'Auxiliar Resultados'!$B$9:$B$50,0),MATCH(CONCATENATE($C42,K$7),'Auxiliar Resultados'!$C$6:$BO$6,0)),""))=0,"",IF($B42="","",IFERROR(INDEX('Auxiliar Resultados'!$C$9:$BO$50,MATCH($B42,'Auxiliar Resultados'!$B$9:$B$50,0),MATCH(CONCATENATE($C42,K$7),'Auxiliar Resultados'!$C$6:$BO$6,0)),"")))</f>
        <v/>
      </c>
      <c r="L42" s="52" t="str">
        <f>+IF(IF($B42="","",IFERROR(INDEX('Auxiliar Resultados'!$C$9:$BO$50,MATCH($B42,'Auxiliar Resultados'!$B$9:$B$50,0),MATCH(CONCATENATE($C42,L$7),'Auxiliar Resultados'!$C$6:$BO$6,0)),""))=0,"",IF($B42="","",IFERROR(INDEX('Auxiliar Resultados'!$C$9:$BO$50,MATCH($B42,'Auxiliar Resultados'!$B$9:$B$50,0),MATCH(CONCATENATE($C42,L$7),'Auxiliar Resultados'!$C$6:$BO$6,0)),"")))</f>
        <v/>
      </c>
      <c r="M42" s="52" t="str">
        <f>+IF(IF($B42="","",IFERROR(INDEX('Auxiliar Resultados'!$C$9:$BO$50,MATCH($B42,'Auxiliar Resultados'!$B$9:$B$50,0),MATCH(CONCATENATE($C42,M$7),'Auxiliar Resultados'!$C$6:$BO$6,0)),""))=0,"",IF($B42="","",IFERROR(INDEX('Auxiliar Resultados'!$C$9:$BO$50,MATCH($B42,'Auxiliar Resultados'!$B$9:$B$50,0),MATCH(CONCATENATE($C42,M$7),'Auxiliar Resultados'!$C$6:$BO$6,0)),"")))</f>
        <v/>
      </c>
      <c r="N42" s="52" t="str">
        <f>+IF(IF($B42="","",IFERROR(INDEX('Auxiliar Resultados'!$C$9:$BO$50,MATCH($B42,'Auxiliar Resultados'!$B$9:$B$50,0),MATCH(CONCATENATE($C42,N$7),'Auxiliar Resultados'!$C$6:$BO$6,0)),""))=0,"",IF($B42="","",IFERROR(INDEX('Auxiliar Resultados'!$C$9:$BO$50,MATCH($B42,'Auxiliar Resultados'!$B$9:$B$50,0),MATCH(CONCATENATE($C42,N$7),'Auxiliar Resultados'!$C$6:$BO$6,0)),"")))</f>
        <v/>
      </c>
      <c r="O42" s="52" t="str">
        <f>+IF(IF($B42="","",IFERROR(INDEX('Auxiliar Resultados'!$C$9:$BO$50,MATCH($B42,'Auxiliar Resultados'!$B$9:$B$50,0),MATCH(CONCATENATE($C42,O$7),'Auxiliar Resultados'!$C$6:$BO$6,0)),""))=0,"",IF($B42="","",IFERROR(INDEX('Auxiliar Resultados'!$C$9:$BO$50,MATCH($B42,'Auxiliar Resultados'!$B$9:$B$50,0),MATCH(CONCATENATE($C42,O$7),'Auxiliar Resultados'!$C$6:$BO$6,0)),"")))</f>
        <v/>
      </c>
      <c r="P42" s="52" t="str">
        <f>+IF(IF($B42="","",IFERROR(INDEX('Auxiliar Resultados'!$C$9:$BO$50,MATCH($B42,'Auxiliar Resultados'!$B$9:$B$50,0),MATCH(CONCATENATE($C42,P$7),'Auxiliar Resultados'!$C$6:$BO$6,0)),""))=0,"",IF($B42="","",IFERROR(INDEX('Auxiliar Resultados'!$C$9:$BO$50,MATCH($B42,'Auxiliar Resultados'!$B$9:$B$50,0),MATCH(CONCATENATE($C42,P$7),'Auxiliar Resultados'!$C$6:$BO$6,0)),"")))</f>
        <v/>
      </c>
      <c r="Q42" s="52" t="str">
        <f>+IF(IF($B42="","",IFERROR(INDEX('Auxiliar Resultados'!$C$9:$BO$50,MATCH($B42,'Auxiliar Resultados'!$B$9:$B$50,0),MATCH(CONCATENATE($C42,Q$7),'Auxiliar Resultados'!$C$6:$BO$6,0)),""))=0,"",IF($B42="","",IFERROR(INDEX('Auxiliar Resultados'!$C$9:$BO$50,MATCH($B42,'Auxiliar Resultados'!$B$9:$B$50,0),MATCH(CONCATENATE($C42,Q$7),'Auxiliar Resultados'!$C$6:$BO$6,0)),"")))</f>
        <v/>
      </c>
      <c r="R42" s="52" t="str">
        <f>+IF(IF($B42="","",IFERROR(INDEX('Auxiliar Resultados'!$C$9:$BO$50,MATCH($B42,'Auxiliar Resultados'!$B$9:$B$50,0),MATCH(CONCATENATE($C42,R$7),'Auxiliar Resultados'!$C$6:$BO$6,0)),""))=0,"",IF($B42="","",IFERROR(INDEX('Auxiliar Resultados'!$C$9:$BO$50,MATCH($B42,'Auxiliar Resultados'!$B$9:$B$50,0),MATCH(CONCATENATE($C42,R$7),'Auxiliar Resultados'!$C$6:$BO$6,0)),"")))</f>
        <v/>
      </c>
      <c r="S42" s="52" t="str">
        <f>+IF(IF($B42="","",IFERROR(INDEX('Auxiliar Resultados'!$C$9:$BO$50,MATCH($B42,'Auxiliar Resultados'!$B$9:$B$50,0),MATCH(CONCATENATE($C42,S$7),'Auxiliar Resultados'!$C$6:$BO$6,0)),""))=0,"",IF($B42="","",IFERROR(INDEX('Auxiliar Resultados'!$C$9:$BO$50,MATCH($B42,'Auxiliar Resultados'!$B$9:$B$50,0),MATCH(CONCATENATE($C42,S$7),'Auxiliar Resultados'!$C$6:$BO$6,0)),"")))</f>
        <v/>
      </c>
      <c r="T42" s="52" t="str">
        <f>+IF(IF($B42="","",IFERROR(INDEX('Auxiliar Resultados'!$C$9:$BO$50,MATCH($B42,'Auxiliar Resultados'!$B$9:$B$50,0),MATCH(CONCATENATE($C42,T$7),'Auxiliar Resultados'!$C$6:$BO$6,0)),""))=0,"",IF($B42="","",IFERROR(INDEX('Auxiliar Resultados'!$C$9:$BO$50,MATCH($B42,'Auxiliar Resultados'!$B$9:$B$50,0),MATCH(CONCATENATE($C42,T$7),'Auxiliar Resultados'!$C$6:$BO$6,0)),"")))</f>
        <v/>
      </c>
      <c r="U42" s="52" t="str">
        <f>+IF(IF($B42="","",IFERROR(INDEX('Auxiliar Resultados'!$C$9:$BO$50,MATCH($B42,'Auxiliar Resultados'!$B$9:$B$50,0),MATCH(CONCATENATE($C42,U$7),'Auxiliar Resultados'!$C$6:$BO$6,0)),""))=0,"",IF($B42="","",IFERROR(INDEX('Auxiliar Resultados'!$C$9:$BO$50,MATCH($B42,'Auxiliar Resultados'!$B$9:$B$50,0),MATCH(CONCATENATE($C42,U$7),'Auxiliar Resultados'!$C$6:$BO$6,0)),"")))</f>
        <v/>
      </c>
      <c r="V42" s="52" t="str">
        <f>+IF(IF($B42="","",IFERROR(INDEX('Auxiliar Resultados'!$C$9:$BO$50,MATCH($B42,'Auxiliar Resultados'!$B$9:$B$50,0),MATCH(CONCATENATE($C42,V$7),'Auxiliar Resultados'!$C$6:$BO$6,0)),""))=0,"",IF($B42="","",IFERROR(INDEX('Auxiliar Resultados'!$C$9:$BO$50,MATCH($B42,'Auxiliar Resultados'!$B$9:$B$50,0),MATCH(CONCATENATE($C42,V$7),'Auxiliar Resultados'!$C$6:$BO$6,0)),"")))</f>
        <v/>
      </c>
      <c r="W42" s="52" t="str">
        <f>+IF(IF($B42="","",IFERROR(INDEX('Auxiliar Resultados'!$C$9:$BO$50,MATCH($B42,'Auxiliar Resultados'!$B$9:$B$50,0),MATCH(CONCATENATE($C42,W$7),'Auxiliar Resultados'!$C$6:$BO$6,0)),""))=0,"",IF($B42="","",IFERROR(INDEX('Auxiliar Resultados'!$C$9:$BO$50,MATCH($B42,'Auxiliar Resultados'!$B$9:$B$50,0),MATCH(CONCATENATE($C42,W$7),'Auxiliar Resultados'!$C$6:$BO$6,0)),"")))</f>
        <v/>
      </c>
      <c r="X42" s="52" t="str">
        <f>+IF(IF($B42="","",IFERROR(INDEX('Auxiliar Resultados'!$C$9:$BO$50,MATCH($B42,'Auxiliar Resultados'!$B$9:$B$50,0),MATCH(CONCATENATE($C42,X$7),'Auxiliar Resultados'!$C$6:$BO$6,0)),""))=0,"",IF($B42="","",IFERROR(INDEX('Auxiliar Resultados'!$C$9:$BO$50,MATCH($B42,'Auxiliar Resultados'!$B$9:$B$50,0),MATCH(CONCATENATE($C42,X$7),'Auxiliar Resultados'!$C$6:$BO$6,0)),"")))</f>
        <v/>
      </c>
      <c r="Y42" s="52" t="str">
        <f>+IF(IF($B42="","",IFERROR(INDEX('Auxiliar Resultados'!$C$9:$BO$50,MATCH($B42,'Auxiliar Resultados'!$B$9:$B$50,0),MATCH(CONCATENATE($C42,Y$7),'Auxiliar Resultados'!$C$6:$BO$6,0)),""))=0,"",IF($B42="","",IFERROR(INDEX('Auxiliar Resultados'!$C$9:$BO$50,MATCH($B42,'Auxiliar Resultados'!$B$9:$B$50,0),MATCH(CONCATENATE($C42,Y$7),'Auxiliar Resultados'!$C$6:$BO$6,0)),"")))</f>
        <v/>
      </c>
      <c r="Z42" s="52" t="str">
        <f>+IF(IF($B42="","",IFERROR(INDEX('Auxiliar Resultados'!$C$9:$BO$50,MATCH($B42,'Auxiliar Resultados'!$B$9:$B$50,0),MATCH(CONCATENATE($C42,Z$7),'Auxiliar Resultados'!$C$6:$BO$6,0)),""))=0,"",IF($B42="","",IFERROR(INDEX('Auxiliar Resultados'!$C$9:$BO$50,MATCH($B42,'Auxiliar Resultados'!$B$9:$B$50,0),MATCH(CONCATENATE($C42,Z$7),'Auxiliar Resultados'!$C$6:$BO$6,0)),"")))</f>
        <v/>
      </c>
      <c r="AA42" s="52" t="str">
        <f>+IF(IF($B42="","",IFERROR(INDEX('Auxiliar Resultados'!$C$9:$BO$50,MATCH($B42,'Auxiliar Resultados'!$B$9:$B$50,0),MATCH(CONCATENATE($C42,AA$7),'Auxiliar Resultados'!$C$6:$BO$6,0)),""))=0,"",IF($B42="","",IFERROR(INDEX('Auxiliar Resultados'!$C$9:$BO$50,MATCH($B42,'Auxiliar Resultados'!$B$9:$B$50,0),MATCH(CONCATENATE($C42,AA$7),'Auxiliar Resultados'!$C$6:$BO$6,0)),"")))</f>
        <v/>
      </c>
      <c r="AB42" s="52" t="str">
        <f>+IF(IF($B42="","",IFERROR(INDEX('Auxiliar Resultados'!$C$9:$BO$50,MATCH($B42,'Auxiliar Resultados'!$B$9:$B$50,0),MATCH(CONCATENATE($C42,AB$7),'Auxiliar Resultados'!$C$6:$BO$6,0)),""))=0,"",IF($B42="","",IFERROR(INDEX('Auxiliar Resultados'!$C$9:$BO$50,MATCH($B42,'Auxiliar Resultados'!$B$9:$B$50,0),MATCH(CONCATENATE($C42,AB$7),'Auxiliar Resultados'!$C$6:$BO$6,0)),"")))</f>
        <v/>
      </c>
      <c r="AC42" s="52" t="str">
        <f>+IF(IF($B42="","",IFERROR(INDEX('Auxiliar Resultados'!$C$9:$BO$50,MATCH($B42,'Auxiliar Resultados'!$B$9:$B$50,0),MATCH(CONCATENATE($C42,AC$7),'Auxiliar Resultados'!$C$6:$BO$6,0)),""))=0,"",IF($B42="","",IFERROR(INDEX('Auxiliar Resultados'!$C$9:$BO$50,MATCH($B42,'Auxiliar Resultados'!$B$9:$B$50,0),MATCH(CONCATENATE($C42,AC$7),'Auxiliar Resultados'!$C$6:$BO$6,0)),"")))</f>
        <v/>
      </c>
      <c r="AD42" s="52" t="str">
        <f>+IF(IF($B42="","",IFERROR(INDEX('Auxiliar Resultados'!$C$9:$BO$50,MATCH($B42,'Auxiliar Resultados'!$B$9:$B$50,0),MATCH(CONCATENATE($C42,AD$7),'Auxiliar Resultados'!$C$6:$BO$6,0)),""))=0,"",IF($B42="","",IFERROR(INDEX('Auxiliar Resultados'!$C$9:$BO$50,MATCH($B42,'Auxiliar Resultados'!$B$9:$B$50,0),MATCH(CONCATENATE($C42,AD$7),'Auxiliar Resultados'!$C$6:$BO$6,0)),"")))</f>
        <v/>
      </c>
      <c r="AE42" s="52" t="str">
        <f>+IF(IF($B42="","",IFERROR(INDEX('Auxiliar Resultados'!$C$9:$BO$50,MATCH($B42,'Auxiliar Resultados'!$B$9:$B$50,0),MATCH(CONCATENATE($C42,AE$7),'Auxiliar Resultados'!$C$6:$BO$6,0)),""))=0,"",IF($B42="","",IFERROR(INDEX('Auxiliar Resultados'!$C$9:$BO$50,MATCH($B42,'Auxiliar Resultados'!$B$9:$B$50,0),MATCH(CONCATENATE($C42,AE$7),'Auxiliar Resultados'!$C$6:$BO$6,0)),"")))</f>
        <v/>
      </c>
      <c r="AF42" s="52" t="str">
        <f>+IF(IF($B42="","",IFERROR(INDEX('Auxiliar Resultados'!$C$9:$BO$50,MATCH($B42,'Auxiliar Resultados'!$B$9:$B$50,0),MATCH(CONCATENATE($C42,AF$7),'Auxiliar Resultados'!$C$6:$BO$6,0)),""))=0,"",IF($B42="","",IFERROR(INDEX('Auxiliar Resultados'!$C$9:$BO$50,MATCH($B42,'Auxiliar Resultados'!$B$9:$B$50,0),MATCH(CONCATENATE($C42,AF$7),'Auxiliar Resultados'!$C$6:$BO$6,0)),"")))</f>
        <v/>
      </c>
      <c r="AG42" s="52" t="str">
        <f>+IF(IF($B42="","",IFERROR(INDEX('Auxiliar Resultados'!$C$9:$BO$50,MATCH($B42,'Auxiliar Resultados'!$B$9:$B$50,0),MATCH(CONCATENATE($C42,AG$7),'Auxiliar Resultados'!$C$6:$BO$6,0)),""))=0,"",IF($B42="","",IFERROR(INDEX('Auxiliar Resultados'!$C$9:$BO$50,MATCH($B42,'Auxiliar Resultados'!$B$9:$B$50,0),MATCH(CONCATENATE($C42,AG$7),'Auxiliar Resultados'!$C$6:$BO$6,0)),"")))</f>
        <v/>
      </c>
      <c r="AH42" s="52" t="str">
        <f>+IF(IF($B42="","",IFERROR(INDEX('Auxiliar Resultados'!$C$9:$BO$50,MATCH($B42,'Auxiliar Resultados'!$B$9:$B$50,0),MATCH(CONCATENATE($C42,AH$7),'Auxiliar Resultados'!$C$6:$BO$6,0)),""))=0,"",IF($B42="","",IFERROR(INDEX('Auxiliar Resultados'!$C$9:$BO$50,MATCH($B42,'Auxiliar Resultados'!$B$9:$B$50,0),MATCH(CONCATENATE($C42,AH$7),'Auxiliar Resultados'!$C$6:$BO$6,0)),"")))</f>
        <v/>
      </c>
      <c r="AI42" s="52" t="str">
        <f>+IF(IF($B42="","",IFERROR(INDEX('Auxiliar Resultados'!$C$9:$BO$50,MATCH($B42,'Auxiliar Resultados'!$B$9:$B$50,0),MATCH(CONCATENATE($C42,AI$7),'Auxiliar Resultados'!$C$6:$BO$6,0)),""))=0,"",IF($B42="","",IFERROR(INDEX('Auxiliar Resultados'!$C$9:$BO$50,MATCH($B42,'Auxiliar Resultados'!$B$9:$B$50,0),MATCH(CONCATENATE($C42,AI$7),'Auxiliar Resultados'!$C$6:$BO$6,0)),"")))</f>
        <v/>
      </c>
      <c r="AJ42" s="52" t="str">
        <f>+IF(IF($B42="","",IFERROR(INDEX('Auxiliar Resultados'!$C$9:$BO$50,MATCH($B42,'Auxiliar Resultados'!$B$9:$B$50,0),MATCH(CONCATENATE($C42,AJ$7),'Auxiliar Resultados'!$C$6:$BO$6,0)),""))=0,"",IF($B42="","",IFERROR(INDEX('Auxiliar Resultados'!$C$9:$BO$50,MATCH($B42,'Auxiliar Resultados'!$B$9:$B$50,0),MATCH(CONCATENATE($C42,AJ$7),'Auxiliar Resultados'!$C$6:$BO$6,0)),"")))</f>
        <v/>
      </c>
      <c r="AK42" s="52" t="str">
        <f>+IF(IF($B42="","",IFERROR(INDEX('Auxiliar Resultados'!$C$9:$BO$50,MATCH($B42,'Auxiliar Resultados'!$B$9:$B$50,0),MATCH(CONCATENATE($C42,AK$7),'Auxiliar Resultados'!$C$6:$BO$6,0)),""))=0,"",IF($B42="","",IFERROR(INDEX('Auxiliar Resultados'!$C$9:$BO$50,MATCH($B42,'Auxiliar Resultados'!$B$9:$B$50,0),MATCH(CONCATENATE($C42,AK$7),'Auxiliar Resultados'!$C$6:$BO$6,0)),"")))</f>
        <v/>
      </c>
      <c r="AL42" s="52" t="str">
        <f>+IF(IF($B42="","",IFERROR(INDEX('Auxiliar Resultados'!$C$9:$BO$50,MATCH($B42,'Auxiliar Resultados'!$B$9:$B$50,0),MATCH(CONCATENATE($C42,AL$7),'Auxiliar Resultados'!$C$6:$BO$6,0)),""))=0,"",IF($B42="","",IFERROR(INDEX('Auxiliar Resultados'!$C$9:$BO$50,MATCH($B42,'Auxiliar Resultados'!$B$9:$B$50,0),MATCH(CONCATENATE($C42,AL$7),'Auxiliar Resultados'!$C$6:$BO$6,0)),"")))</f>
        <v/>
      </c>
      <c r="AM42" s="52" t="str">
        <f>+IF(IF($B42="","",IFERROR(INDEX('Auxiliar Resultados'!$C$9:$BO$50,MATCH($B42,'Auxiliar Resultados'!$B$9:$B$50,0),MATCH(CONCATENATE($C42,AM$7),'Auxiliar Resultados'!$C$6:$BO$6,0)),""))=0,"",IF($B42="","",IFERROR(INDEX('Auxiliar Resultados'!$C$9:$BO$50,MATCH($B42,'Auxiliar Resultados'!$B$9:$B$50,0),MATCH(CONCATENATE($C42,AM$7),'Auxiliar Resultados'!$C$6:$BO$6,0)),"")))</f>
        <v/>
      </c>
      <c r="AN42" s="52" t="str">
        <f>+IF(IF($B42="","",IFERROR(INDEX('Auxiliar Resultados'!$C$9:$BO$50,MATCH($B42,'Auxiliar Resultados'!$B$9:$B$50,0),MATCH(CONCATENATE($C42,AN$7),'Auxiliar Resultados'!$C$6:$BO$6,0)),""))=0,"",IF($B42="","",IFERROR(INDEX('Auxiliar Resultados'!$C$9:$BO$50,MATCH($B42,'Auxiliar Resultados'!$B$9:$B$50,0),MATCH(CONCATENATE($C42,AN$7),'Auxiliar Resultados'!$C$6:$BO$6,0)),"")))</f>
        <v/>
      </c>
      <c r="AO42" s="52" t="str">
        <f>+IF(IF($B42="","",IFERROR(INDEX('Auxiliar Resultados'!$C$9:$BO$50,MATCH($B42,'Auxiliar Resultados'!$B$9:$B$50,0),MATCH(CONCATENATE($C42,AO$7),'Auxiliar Resultados'!$C$6:$BO$6,0)),""))=0,"",IF($B42="","",IFERROR(INDEX('Auxiliar Resultados'!$C$9:$BO$50,MATCH($B42,'Auxiliar Resultados'!$B$9:$B$50,0),MATCH(CONCATENATE($C42,AO$7),'Auxiliar Resultados'!$C$6:$BO$6,0)),"")))</f>
        <v/>
      </c>
      <c r="AP42" s="52" t="str">
        <f>+IF(IF($B42="","",IFERROR(INDEX('Auxiliar Resultados'!$C$9:$BO$50,MATCH($B42,'Auxiliar Resultados'!$B$9:$B$50,0),MATCH(CONCATENATE($C42,AP$7),'Auxiliar Resultados'!$C$6:$BO$6,0)),""))=0,"",IF($B42="","",IFERROR(INDEX('Auxiliar Resultados'!$C$9:$BO$50,MATCH($B42,'Auxiliar Resultados'!$B$9:$B$50,0),MATCH(CONCATENATE($C42,AP$7),'Auxiliar Resultados'!$C$6:$BO$6,0)),"")))</f>
        <v/>
      </c>
      <c r="AQ42" s="276" t="str">
        <f>+IF(IF($B42="","",IFERROR(INDEX('Auxiliar Resultados'!$C$9:$BO$50,MATCH($B42,'Auxiliar Resultados'!$B$9:$B$50,0),MATCH(CONCATENATE($C42,AQ$7),'Auxiliar Resultados'!$C$6:$BO$6,0)),""))=0,"",IF($B42="","",IFERROR(INDEX('Auxiliar Resultados'!$C$9:$BO$50,MATCH($B42,'Auxiliar Resultados'!$B$9:$B$50,0),MATCH(CONCATENATE($C42,AQ$7),'Auxiliar Resultados'!$C$6:$BO$6,0)),"")))</f>
        <v/>
      </c>
      <c r="AS42" s="46" t="str">
        <f t="shared" si="5"/>
        <v/>
      </c>
      <c r="AT42" s="292" t="str">
        <f t="shared" si="6"/>
        <v/>
      </c>
      <c r="AU42" s="36" t="str">
        <f>+IF(G42="","",INDEX('Modelo Optimización'!$AZ$4:$CO$149,MATCH(CONCATENATE(AU$7,$AT42),'Modelo Optimización'!$CQ$4:$CQ$149,0),MATCH($AS42,'Modelo Optimización'!$AZ$3:$CO$3,0)))</f>
        <v/>
      </c>
      <c r="AV42" s="32" t="str">
        <f>+IF(H42="","",INDEX('Modelo Optimización'!$AZ$4:$CO$149,MATCH(CONCATENATE(AV$7,$AT42),'Modelo Optimización'!$CQ$4:$CQ$149,0),MATCH($AS42,'Modelo Optimización'!$AZ$3:$CO$3,0)))</f>
        <v/>
      </c>
      <c r="AW42" s="32" t="str">
        <f>+IF(I42="","",INDEX('Modelo Optimización'!$AZ$4:$CO$149,MATCH(CONCATENATE(AW$7,$AT42),'Modelo Optimización'!$CQ$4:$CQ$149,0),MATCH($AS42,'Modelo Optimización'!$AZ$3:$CO$3,0)))</f>
        <v/>
      </c>
      <c r="AX42" s="32" t="str">
        <f>+IF(J42="","",INDEX('Modelo Optimización'!$AZ$4:$CO$149,MATCH(CONCATENATE(AX$7,$AT42),'Modelo Optimización'!$CQ$4:$CQ$149,0),MATCH($AS42,'Modelo Optimización'!$AZ$3:$CO$3,0)))</f>
        <v/>
      </c>
      <c r="AY42" s="32" t="str">
        <f>+IF(K42="","",INDEX('Modelo Optimización'!$AZ$4:$CO$149,MATCH(CONCATENATE(AY$7,$AT42),'Modelo Optimización'!$CQ$4:$CQ$149,0),MATCH($AS42,'Modelo Optimización'!$AZ$3:$CO$3,0)))</f>
        <v/>
      </c>
      <c r="AZ42" s="32" t="str">
        <f>+IF(L42="","",INDEX('Modelo Optimización'!$AZ$4:$CO$149,MATCH(CONCATENATE(AZ$7,$AT42),'Modelo Optimización'!$CQ$4:$CQ$149,0),MATCH($AS42,'Modelo Optimización'!$AZ$3:$CO$3,0)))</f>
        <v/>
      </c>
      <c r="BA42" s="32" t="str">
        <f>+IF(M42="","",INDEX('Modelo Optimización'!$AZ$4:$CO$149,MATCH(CONCATENATE(BA$7,$AT42),'Modelo Optimización'!$CQ$4:$CQ$149,0),MATCH($AS42,'Modelo Optimización'!$AZ$3:$CO$3,0)))</f>
        <v/>
      </c>
      <c r="BB42" s="32" t="str">
        <f>+IF(N42="","",INDEX('Modelo Optimización'!$AZ$4:$CO$149,MATCH(CONCATENATE(BB$7,$AT42),'Modelo Optimización'!$CQ$4:$CQ$149,0),MATCH($AS42,'Modelo Optimización'!$AZ$3:$CO$3,0)))</f>
        <v/>
      </c>
      <c r="BC42" s="32" t="str">
        <f>+IF(O42="","",INDEX('Modelo Optimización'!$AZ$4:$CO$149,MATCH(CONCATENATE(BC$7,$AT42),'Modelo Optimización'!$CQ$4:$CQ$149,0),MATCH($AS42,'Modelo Optimización'!$AZ$3:$CO$3,0)))</f>
        <v/>
      </c>
      <c r="BD42" s="32" t="str">
        <f>+IF(P42="","",INDEX('Modelo Optimización'!$AZ$4:$CO$149,MATCH(CONCATENATE(BD$7,$AT42),'Modelo Optimización'!$CQ$4:$CQ$149,0),MATCH($AS42,'Modelo Optimización'!$AZ$3:$CO$3,0)))</f>
        <v/>
      </c>
      <c r="BE42" s="32" t="str">
        <f>+IF(Q42="","",INDEX('Modelo Optimización'!$AZ$4:$CO$149,MATCH(CONCATENATE(BE$7,$AT42),'Modelo Optimización'!$CQ$4:$CQ$149,0),MATCH($AS42,'Modelo Optimización'!$AZ$3:$CO$3,0)))</f>
        <v/>
      </c>
      <c r="BF42" s="32" t="str">
        <f>+IF(R42="","",INDEX('Modelo Optimización'!$AZ$4:$CO$149,MATCH(CONCATENATE(BF$7,$AT42),'Modelo Optimización'!$CQ$4:$CQ$149,0),MATCH($AS42,'Modelo Optimización'!$AZ$3:$CO$3,0)))</f>
        <v/>
      </c>
      <c r="BG42" s="32" t="str">
        <f>+IF(S42="","",INDEX('Modelo Optimización'!$AZ$4:$CO$149,MATCH(CONCATENATE(BG$7,$AT42),'Modelo Optimización'!$CQ$4:$CQ$149,0),MATCH($AS42,'Modelo Optimización'!$AZ$3:$CO$3,0)))</f>
        <v/>
      </c>
      <c r="BH42" s="32" t="str">
        <f>+IF(T42="","",INDEX('Modelo Optimización'!$AZ$4:$CO$149,MATCH(CONCATENATE(BH$7,$AT42),'Modelo Optimización'!$CQ$4:$CQ$149,0),MATCH($AS42,'Modelo Optimización'!$AZ$3:$CO$3,0)))</f>
        <v/>
      </c>
      <c r="BI42" s="32" t="str">
        <f>+IF(U42="","",INDEX('Modelo Optimización'!$AZ$4:$CO$149,MATCH(CONCATENATE(BI$7,$AT42),'Modelo Optimización'!$CQ$4:$CQ$149,0),MATCH($AS42,'Modelo Optimización'!$AZ$3:$CO$3,0)))</f>
        <v/>
      </c>
      <c r="BJ42" s="32" t="str">
        <f>+IF(V42="","",INDEX('Modelo Optimización'!$AZ$4:$CO$149,MATCH(CONCATENATE(BJ$7,$AT42),'Modelo Optimización'!$CQ$4:$CQ$149,0),MATCH($AS42,'Modelo Optimización'!$AZ$3:$CO$3,0)))</f>
        <v/>
      </c>
      <c r="BK42" s="32" t="str">
        <f>+IF(W42="","",INDEX('Modelo Optimización'!$AZ$4:$CO$149,MATCH(CONCATENATE(BK$7,$AT42),'Modelo Optimización'!$CQ$4:$CQ$149,0),MATCH($AS42,'Modelo Optimización'!$AZ$3:$CO$3,0)))</f>
        <v/>
      </c>
      <c r="BL42" s="32" t="str">
        <f>+IF(X42="","",INDEX('Modelo Optimización'!$AZ$4:$CO$149,MATCH(CONCATENATE(BL$7,$AT42),'Modelo Optimización'!$CQ$4:$CQ$149,0),MATCH($AS42,'Modelo Optimización'!$AZ$3:$CO$3,0)))</f>
        <v/>
      </c>
      <c r="BM42" s="32" t="str">
        <f>+IF(Y42="","",INDEX('Modelo Optimización'!$AZ$4:$CO$149,MATCH(CONCATENATE(BM$7,$AT42),'Modelo Optimización'!$CQ$4:$CQ$149,0),MATCH($AS42,'Modelo Optimización'!$AZ$3:$CO$3,0)))</f>
        <v/>
      </c>
      <c r="BN42" s="32" t="str">
        <f>+IF(Z42="","",INDEX('Modelo Optimización'!$AZ$4:$CO$149,MATCH(CONCATENATE(BN$7,$AT42),'Modelo Optimización'!$CQ$4:$CQ$149,0),MATCH($AS42,'Modelo Optimización'!$AZ$3:$CO$3,0)))</f>
        <v/>
      </c>
      <c r="BO42" s="32" t="str">
        <f>+IF(AA42="","",INDEX('Modelo Optimización'!$AZ$4:$CO$149,MATCH(CONCATENATE(BO$7,$AT42),'Modelo Optimización'!$CQ$4:$CQ$149,0),MATCH($AS42,'Modelo Optimización'!$AZ$3:$CO$3,0)))</f>
        <v/>
      </c>
      <c r="BP42" s="32" t="str">
        <f>+IF(AB42="","",INDEX('Modelo Optimización'!$AZ$4:$CO$149,MATCH(CONCATENATE(BP$7,$AT42),'Modelo Optimización'!$CQ$4:$CQ$149,0),MATCH($AS42,'Modelo Optimización'!$AZ$3:$CO$3,0)))</f>
        <v/>
      </c>
      <c r="BQ42" s="32" t="str">
        <f>+IF(AC42="","",INDEX('Modelo Optimización'!$AZ$4:$CO$149,MATCH(CONCATENATE(BQ$7,$AT42),'Modelo Optimización'!$CQ$4:$CQ$149,0),MATCH($AS42,'Modelo Optimización'!$AZ$3:$CO$3,0)))</f>
        <v/>
      </c>
      <c r="BR42" s="32" t="str">
        <f>+IF(AD42="","",INDEX('Modelo Optimización'!$AZ$4:$CO$149,MATCH(CONCATENATE(BR$7,$AT42),'Modelo Optimización'!$CQ$4:$CQ$149,0),MATCH($AS42,'Modelo Optimización'!$AZ$3:$CO$3,0)))</f>
        <v/>
      </c>
      <c r="BS42" s="32" t="str">
        <f>+IF(AE42="","",INDEX('Modelo Optimización'!$AZ$4:$CO$149,MATCH(CONCATENATE(BS$7,$AT42),'Modelo Optimización'!$CQ$4:$CQ$149,0),MATCH($AS42,'Modelo Optimización'!$AZ$3:$CO$3,0)))</f>
        <v/>
      </c>
      <c r="BT42" s="32" t="str">
        <f>+IF(AF42="","",INDEX('Modelo Optimización'!$AZ$4:$CO$149,MATCH(CONCATENATE(BT$7,$AT42),'Modelo Optimización'!$CQ$4:$CQ$149,0),MATCH($AS42,'Modelo Optimización'!$AZ$3:$CO$3,0)))</f>
        <v/>
      </c>
      <c r="BU42" s="32" t="str">
        <f>+IF(AG42="","",INDEX('Modelo Optimización'!$AZ$4:$CO$149,MATCH(CONCATENATE(BU$7,$AT42),'Modelo Optimización'!$CQ$4:$CQ$149,0),MATCH($AS42,'Modelo Optimización'!$AZ$3:$CO$3,0)))</f>
        <v/>
      </c>
      <c r="BV42" s="32" t="str">
        <f>+IF(AH42="","",INDEX('Modelo Optimización'!$AZ$4:$CO$149,MATCH(CONCATENATE(BV$7,$AT42),'Modelo Optimización'!$CQ$4:$CQ$149,0),MATCH($AS42,'Modelo Optimización'!$AZ$3:$CO$3,0)))</f>
        <v/>
      </c>
      <c r="BW42" s="32" t="str">
        <f>+IF(AI42="","",INDEX('Modelo Optimización'!$AZ$4:$CO$149,MATCH(CONCATENATE(BW$7,$AT42),'Modelo Optimización'!$CQ$4:$CQ$149,0),MATCH($AS42,'Modelo Optimización'!$AZ$3:$CO$3,0)))</f>
        <v/>
      </c>
      <c r="BX42" s="32" t="str">
        <f>+IF(AJ42="","",INDEX('Modelo Optimización'!$AZ$4:$CO$149,MATCH(CONCATENATE(BX$7,$AT42),'Modelo Optimización'!$CQ$4:$CQ$149,0),MATCH($AS42,'Modelo Optimización'!$AZ$3:$CO$3,0)))</f>
        <v/>
      </c>
      <c r="BY42" s="32" t="str">
        <f>+IF(AK42="","",INDEX('Modelo Optimización'!$AZ$4:$CO$149,MATCH(CONCATENATE(BY$7,$AT42),'Modelo Optimización'!$CQ$4:$CQ$149,0),MATCH($AS42,'Modelo Optimización'!$AZ$3:$CO$3,0)))</f>
        <v/>
      </c>
      <c r="BZ42" s="32" t="str">
        <f>+IF(AL42="","",INDEX('Modelo Optimización'!$AZ$4:$CO$149,MATCH(CONCATENATE(BZ$7,$AT42),'Modelo Optimización'!$CQ$4:$CQ$149,0),MATCH($AS42,'Modelo Optimización'!$AZ$3:$CO$3,0)))</f>
        <v/>
      </c>
      <c r="CA42" s="32" t="str">
        <f>+IF(AM42="","",INDEX('Modelo Optimización'!$AZ$4:$CO$149,MATCH(CONCATENATE(CA$7,$AT42),'Modelo Optimización'!$CQ$4:$CQ$149,0),MATCH($AS42,'Modelo Optimización'!$AZ$3:$CO$3,0)))</f>
        <v/>
      </c>
      <c r="CB42" s="32" t="str">
        <f>+IF(AN42="","",INDEX('Modelo Optimización'!$AZ$4:$CO$149,MATCH(CONCATENATE(CB$7,$AT42),'Modelo Optimización'!$CQ$4:$CQ$149,0),MATCH($AS42,'Modelo Optimización'!$AZ$3:$CO$3,0)))</f>
        <v/>
      </c>
      <c r="CC42" s="32" t="str">
        <f>+IF(AO42="","",INDEX('Modelo Optimización'!$AZ$4:$CO$149,MATCH(CONCATENATE(CC$7,$AT42),'Modelo Optimización'!$CQ$4:$CQ$149,0),MATCH($AS42,'Modelo Optimización'!$AZ$3:$CO$3,0)))</f>
        <v/>
      </c>
      <c r="CD42" s="32" t="str">
        <f>+IF(AP42="","",INDEX('Modelo Optimización'!$AZ$4:$CO$149,MATCH(CONCATENATE(CD$7,$AT42),'Modelo Optimización'!$CQ$4:$CQ$149,0),MATCH($AS42,'Modelo Optimización'!$AZ$3:$CO$3,0)))</f>
        <v/>
      </c>
      <c r="CE42" s="37" t="str">
        <f>+IF(AQ42="","",INDEX('Modelo Optimización'!$AZ$4:$CO$149,MATCH(CONCATENATE(CE$7,$AT42),'Modelo Optimización'!$CQ$4:$CQ$149,0),MATCH($AS42,'Modelo Optimización'!$AZ$3:$CO$3,0)))</f>
        <v/>
      </c>
      <c r="CF42" s="301"/>
      <c r="CG42" s="305" t="str">
        <f t="shared" si="11"/>
        <v/>
      </c>
      <c r="CH42" s="303" t="str">
        <f t="shared" si="7"/>
        <v/>
      </c>
      <c r="CI42" s="292" t="str">
        <f t="shared" si="8"/>
        <v/>
      </c>
      <c r="CJ42" s="36" t="str">
        <f t="shared" si="12"/>
        <v/>
      </c>
      <c r="CK42" s="32" t="str">
        <f t="shared" si="13"/>
        <v/>
      </c>
      <c r="CL42" s="32" t="str">
        <f t="shared" si="14"/>
        <v/>
      </c>
      <c r="CM42" s="32" t="str">
        <f t="shared" si="15"/>
        <v/>
      </c>
      <c r="CN42" s="32" t="str">
        <f t="shared" si="16"/>
        <v/>
      </c>
      <c r="CO42" s="32" t="str">
        <f t="shared" si="17"/>
        <v/>
      </c>
      <c r="CP42" s="32" t="str">
        <f t="shared" si="18"/>
        <v/>
      </c>
      <c r="CQ42" s="32" t="str">
        <f t="shared" si="19"/>
        <v/>
      </c>
      <c r="CR42" s="32" t="str">
        <f t="shared" si="20"/>
        <v/>
      </c>
      <c r="CS42" s="32" t="str">
        <f t="shared" si="21"/>
        <v/>
      </c>
      <c r="CT42" s="32" t="str">
        <f t="shared" si="22"/>
        <v/>
      </c>
      <c r="CU42" s="32" t="str">
        <f t="shared" si="23"/>
        <v/>
      </c>
      <c r="CV42" s="32" t="str">
        <f t="shared" si="24"/>
        <v/>
      </c>
      <c r="CW42" s="32" t="str">
        <f t="shared" si="25"/>
        <v/>
      </c>
      <c r="CX42" s="32" t="str">
        <f t="shared" si="26"/>
        <v/>
      </c>
      <c r="CY42" s="32" t="str">
        <f t="shared" si="27"/>
        <v/>
      </c>
      <c r="CZ42" s="32" t="str">
        <f t="shared" si="28"/>
        <v/>
      </c>
      <c r="DA42" s="32" t="str">
        <f t="shared" si="29"/>
        <v/>
      </c>
      <c r="DB42" s="32" t="str">
        <f t="shared" si="30"/>
        <v/>
      </c>
      <c r="DC42" s="32" t="str">
        <f t="shared" si="31"/>
        <v/>
      </c>
      <c r="DD42" s="32" t="str">
        <f t="shared" si="32"/>
        <v/>
      </c>
      <c r="DE42" s="32" t="str">
        <f t="shared" si="33"/>
        <v/>
      </c>
      <c r="DF42" s="32" t="str">
        <f t="shared" si="34"/>
        <v/>
      </c>
      <c r="DG42" s="32" t="str">
        <f t="shared" si="35"/>
        <v/>
      </c>
      <c r="DH42" s="32" t="str">
        <f t="shared" si="36"/>
        <v/>
      </c>
      <c r="DI42" s="32" t="str">
        <f t="shared" si="37"/>
        <v/>
      </c>
      <c r="DJ42" s="32" t="str">
        <f t="shared" si="38"/>
        <v/>
      </c>
      <c r="DK42" s="32" t="str">
        <f t="shared" si="39"/>
        <v/>
      </c>
      <c r="DL42" s="32" t="str">
        <f t="shared" si="40"/>
        <v/>
      </c>
      <c r="DM42" s="32" t="str">
        <f t="shared" si="41"/>
        <v/>
      </c>
      <c r="DN42" s="32" t="str">
        <f t="shared" si="42"/>
        <v/>
      </c>
      <c r="DO42" s="32" t="str">
        <f t="shared" si="43"/>
        <v/>
      </c>
      <c r="DP42" s="32" t="str">
        <f t="shared" si="44"/>
        <v/>
      </c>
      <c r="DQ42" s="32" t="str">
        <f t="shared" si="45"/>
        <v/>
      </c>
      <c r="DR42" s="32" t="str">
        <f t="shared" si="46"/>
        <v/>
      </c>
      <c r="DS42" s="32" t="str">
        <f t="shared" si="47"/>
        <v/>
      </c>
      <c r="DT42" s="37" t="str">
        <f t="shared" si="48"/>
        <v/>
      </c>
    </row>
    <row r="43" spans="2:124" x14ac:dyDescent="0.35">
      <c r="B43" s="46"/>
      <c r="C43" s="212"/>
      <c r="D43" s="52"/>
      <c r="E43" s="52" t="str">
        <f>+IF(B43="","",IFERROR(SUMIF('Modelo Optimización'!$AS$72:$AS$217,C43,INDEX('Modelo Optimización'!$C$72:$AR$217,,MATCH(B43,'Modelo Optimización'!$C$71:$AR$71,0))),0))</f>
        <v/>
      </c>
      <c r="F43" s="281" t="str">
        <f t="shared" si="10"/>
        <v/>
      </c>
      <c r="G43" s="280" t="str">
        <f>+IF(IF($B43="","",IFERROR(INDEX('Auxiliar Resultados'!$C$9:$BO$50,MATCH($B43,'Auxiliar Resultados'!$B$9:$B$50,0),MATCH(CONCATENATE($C43,G$7),'Auxiliar Resultados'!$C$6:$BO$6,0)),""))=0,"",IF($B43="","",IFERROR(INDEX('Auxiliar Resultados'!$C$9:$BO$50,MATCH($B43,'Auxiliar Resultados'!$B$9:$B$50,0),MATCH(CONCATENATE($C43,G$7),'Auxiliar Resultados'!$C$6:$BO$6,0)),"")))</f>
        <v/>
      </c>
      <c r="H43" s="52" t="str">
        <f>+IF(IF($B43="","",IFERROR(INDEX('Auxiliar Resultados'!$C$9:$BO$50,MATCH($B43,'Auxiliar Resultados'!$B$9:$B$50,0),MATCH(CONCATENATE($C43,H$7),'Auxiliar Resultados'!$C$6:$BO$6,0)),""))=0,"",IF($B43="","",IFERROR(INDEX('Auxiliar Resultados'!$C$9:$BO$50,MATCH($B43,'Auxiliar Resultados'!$B$9:$B$50,0),MATCH(CONCATENATE($C43,H$7),'Auxiliar Resultados'!$C$6:$BO$6,0)),"")))</f>
        <v/>
      </c>
      <c r="I43" s="52" t="str">
        <f>+IF(IF($B43="","",IFERROR(INDEX('Auxiliar Resultados'!$C$9:$BO$50,MATCH($B43,'Auxiliar Resultados'!$B$9:$B$50,0),MATCH(CONCATENATE($C43,I$7),'Auxiliar Resultados'!$C$6:$BO$6,0)),""))=0,"",IF($B43="","",IFERROR(INDEX('Auxiliar Resultados'!$C$9:$BO$50,MATCH($B43,'Auxiliar Resultados'!$B$9:$B$50,0),MATCH(CONCATENATE($C43,I$7),'Auxiliar Resultados'!$C$6:$BO$6,0)),"")))</f>
        <v/>
      </c>
      <c r="J43" s="52" t="str">
        <f>+IF(IF($B43="","",IFERROR(INDEX('Auxiliar Resultados'!$C$9:$BO$50,MATCH($B43,'Auxiliar Resultados'!$B$9:$B$50,0),MATCH(CONCATENATE($C43,J$7),'Auxiliar Resultados'!$C$6:$BO$6,0)),""))=0,"",IF($B43="","",IFERROR(INDEX('Auxiliar Resultados'!$C$9:$BO$50,MATCH($B43,'Auxiliar Resultados'!$B$9:$B$50,0),MATCH(CONCATENATE($C43,J$7),'Auxiliar Resultados'!$C$6:$BO$6,0)),"")))</f>
        <v/>
      </c>
      <c r="K43" s="52" t="str">
        <f>+IF(IF($B43="","",IFERROR(INDEX('Auxiliar Resultados'!$C$9:$BO$50,MATCH($B43,'Auxiliar Resultados'!$B$9:$B$50,0),MATCH(CONCATENATE($C43,K$7),'Auxiliar Resultados'!$C$6:$BO$6,0)),""))=0,"",IF($B43="","",IFERROR(INDEX('Auxiliar Resultados'!$C$9:$BO$50,MATCH($B43,'Auxiliar Resultados'!$B$9:$B$50,0),MATCH(CONCATENATE($C43,K$7),'Auxiliar Resultados'!$C$6:$BO$6,0)),"")))</f>
        <v/>
      </c>
      <c r="L43" s="52" t="str">
        <f>+IF(IF($B43="","",IFERROR(INDEX('Auxiliar Resultados'!$C$9:$BO$50,MATCH($B43,'Auxiliar Resultados'!$B$9:$B$50,0),MATCH(CONCATENATE($C43,L$7),'Auxiliar Resultados'!$C$6:$BO$6,0)),""))=0,"",IF($B43="","",IFERROR(INDEX('Auxiliar Resultados'!$C$9:$BO$50,MATCH($B43,'Auxiliar Resultados'!$B$9:$B$50,0),MATCH(CONCATENATE($C43,L$7),'Auxiliar Resultados'!$C$6:$BO$6,0)),"")))</f>
        <v/>
      </c>
      <c r="M43" s="52" t="str">
        <f>+IF(IF($B43="","",IFERROR(INDEX('Auxiliar Resultados'!$C$9:$BO$50,MATCH($B43,'Auxiliar Resultados'!$B$9:$B$50,0),MATCH(CONCATENATE($C43,M$7),'Auxiliar Resultados'!$C$6:$BO$6,0)),""))=0,"",IF($B43="","",IFERROR(INDEX('Auxiliar Resultados'!$C$9:$BO$50,MATCH($B43,'Auxiliar Resultados'!$B$9:$B$50,0),MATCH(CONCATENATE($C43,M$7),'Auxiliar Resultados'!$C$6:$BO$6,0)),"")))</f>
        <v/>
      </c>
      <c r="N43" s="52" t="str">
        <f>+IF(IF($B43="","",IFERROR(INDEX('Auxiliar Resultados'!$C$9:$BO$50,MATCH($B43,'Auxiliar Resultados'!$B$9:$B$50,0),MATCH(CONCATENATE($C43,N$7),'Auxiliar Resultados'!$C$6:$BO$6,0)),""))=0,"",IF($B43="","",IFERROR(INDEX('Auxiliar Resultados'!$C$9:$BO$50,MATCH($B43,'Auxiliar Resultados'!$B$9:$B$50,0),MATCH(CONCATENATE($C43,N$7),'Auxiliar Resultados'!$C$6:$BO$6,0)),"")))</f>
        <v/>
      </c>
      <c r="O43" s="52" t="str">
        <f>+IF(IF($B43="","",IFERROR(INDEX('Auxiliar Resultados'!$C$9:$BO$50,MATCH($B43,'Auxiliar Resultados'!$B$9:$B$50,0),MATCH(CONCATENATE($C43,O$7),'Auxiliar Resultados'!$C$6:$BO$6,0)),""))=0,"",IF($B43="","",IFERROR(INDEX('Auxiliar Resultados'!$C$9:$BO$50,MATCH($B43,'Auxiliar Resultados'!$B$9:$B$50,0),MATCH(CONCATENATE($C43,O$7),'Auxiliar Resultados'!$C$6:$BO$6,0)),"")))</f>
        <v/>
      </c>
      <c r="P43" s="52" t="str">
        <f>+IF(IF($B43="","",IFERROR(INDEX('Auxiliar Resultados'!$C$9:$BO$50,MATCH($B43,'Auxiliar Resultados'!$B$9:$B$50,0),MATCH(CONCATENATE($C43,P$7),'Auxiliar Resultados'!$C$6:$BO$6,0)),""))=0,"",IF($B43="","",IFERROR(INDEX('Auxiliar Resultados'!$C$9:$BO$50,MATCH($B43,'Auxiliar Resultados'!$B$9:$B$50,0),MATCH(CONCATENATE($C43,P$7),'Auxiliar Resultados'!$C$6:$BO$6,0)),"")))</f>
        <v/>
      </c>
      <c r="Q43" s="52" t="str">
        <f>+IF(IF($B43="","",IFERROR(INDEX('Auxiliar Resultados'!$C$9:$BO$50,MATCH($B43,'Auxiliar Resultados'!$B$9:$B$50,0),MATCH(CONCATENATE($C43,Q$7),'Auxiliar Resultados'!$C$6:$BO$6,0)),""))=0,"",IF($B43="","",IFERROR(INDEX('Auxiliar Resultados'!$C$9:$BO$50,MATCH($B43,'Auxiliar Resultados'!$B$9:$B$50,0),MATCH(CONCATENATE($C43,Q$7),'Auxiliar Resultados'!$C$6:$BO$6,0)),"")))</f>
        <v/>
      </c>
      <c r="R43" s="52" t="str">
        <f>+IF(IF($B43="","",IFERROR(INDEX('Auxiliar Resultados'!$C$9:$BO$50,MATCH($B43,'Auxiliar Resultados'!$B$9:$B$50,0),MATCH(CONCATENATE($C43,R$7),'Auxiliar Resultados'!$C$6:$BO$6,0)),""))=0,"",IF($B43="","",IFERROR(INDEX('Auxiliar Resultados'!$C$9:$BO$50,MATCH($B43,'Auxiliar Resultados'!$B$9:$B$50,0),MATCH(CONCATENATE($C43,R$7),'Auxiliar Resultados'!$C$6:$BO$6,0)),"")))</f>
        <v/>
      </c>
      <c r="S43" s="52" t="str">
        <f>+IF(IF($B43="","",IFERROR(INDEX('Auxiliar Resultados'!$C$9:$BO$50,MATCH($B43,'Auxiliar Resultados'!$B$9:$B$50,0),MATCH(CONCATENATE($C43,S$7),'Auxiliar Resultados'!$C$6:$BO$6,0)),""))=0,"",IF($B43="","",IFERROR(INDEX('Auxiliar Resultados'!$C$9:$BO$50,MATCH($B43,'Auxiliar Resultados'!$B$9:$B$50,0),MATCH(CONCATENATE($C43,S$7),'Auxiliar Resultados'!$C$6:$BO$6,0)),"")))</f>
        <v/>
      </c>
      <c r="T43" s="52" t="str">
        <f>+IF(IF($B43="","",IFERROR(INDEX('Auxiliar Resultados'!$C$9:$BO$50,MATCH($B43,'Auxiliar Resultados'!$B$9:$B$50,0),MATCH(CONCATENATE($C43,T$7),'Auxiliar Resultados'!$C$6:$BO$6,0)),""))=0,"",IF($B43="","",IFERROR(INDEX('Auxiliar Resultados'!$C$9:$BO$50,MATCH($B43,'Auxiliar Resultados'!$B$9:$B$50,0),MATCH(CONCATENATE($C43,T$7),'Auxiliar Resultados'!$C$6:$BO$6,0)),"")))</f>
        <v/>
      </c>
      <c r="U43" s="52" t="str">
        <f>+IF(IF($B43="","",IFERROR(INDEX('Auxiliar Resultados'!$C$9:$BO$50,MATCH($B43,'Auxiliar Resultados'!$B$9:$B$50,0),MATCH(CONCATENATE($C43,U$7),'Auxiliar Resultados'!$C$6:$BO$6,0)),""))=0,"",IF($B43="","",IFERROR(INDEX('Auxiliar Resultados'!$C$9:$BO$50,MATCH($B43,'Auxiliar Resultados'!$B$9:$B$50,0),MATCH(CONCATENATE($C43,U$7),'Auxiliar Resultados'!$C$6:$BO$6,0)),"")))</f>
        <v/>
      </c>
      <c r="V43" s="52" t="str">
        <f>+IF(IF($B43="","",IFERROR(INDEX('Auxiliar Resultados'!$C$9:$BO$50,MATCH($B43,'Auxiliar Resultados'!$B$9:$B$50,0),MATCH(CONCATENATE($C43,V$7),'Auxiliar Resultados'!$C$6:$BO$6,0)),""))=0,"",IF($B43="","",IFERROR(INDEX('Auxiliar Resultados'!$C$9:$BO$50,MATCH($B43,'Auxiliar Resultados'!$B$9:$B$50,0),MATCH(CONCATENATE($C43,V$7),'Auxiliar Resultados'!$C$6:$BO$6,0)),"")))</f>
        <v/>
      </c>
      <c r="W43" s="52" t="str">
        <f>+IF(IF($B43="","",IFERROR(INDEX('Auxiliar Resultados'!$C$9:$BO$50,MATCH($B43,'Auxiliar Resultados'!$B$9:$B$50,0),MATCH(CONCATENATE($C43,W$7),'Auxiliar Resultados'!$C$6:$BO$6,0)),""))=0,"",IF($B43="","",IFERROR(INDEX('Auxiliar Resultados'!$C$9:$BO$50,MATCH($B43,'Auxiliar Resultados'!$B$9:$B$50,0),MATCH(CONCATENATE($C43,W$7),'Auxiliar Resultados'!$C$6:$BO$6,0)),"")))</f>
        <v/>
      </c>
      <c r="X43" s="52" t="str">
        <f>+IF(IF($B43="","",IFERROR(INDEX('Auxiliar Resultados'!$C$9:$BO$50,MATCH($B43,'Auxiliar Resultados'!$B$9:$B$50,0),MATCH(CONCATENATE($C43,X$7),'Auxiliar Resultados'!$C$6:$BO$6,0)),""))=0,"",IF($B43="","",IFERROR(INDEX('Auxiliar Resultados'!$C$9:$BO$50,MATCH($B43,'Auxiliar Resultados'!$B$9:$B$50,0),MATCH(CONCATENATE($C43,X$7),'Auxiliar Resultados'!$C$6:$BO$6,0)),"")))</f>
        <v/>
      </c>
      <c r="Y43" s="52" t="str">
        <f>+IF(IF($B43="","",IFERROR(INDEX('Auxiliar Resultados'!$C$9:$BO$50,MATCH($B43,'Auxiliar Resultados'!$B$9:$B$50,0),MATCH(CONCATENATE($C43,Y$7),'Auxiliar Resultados'!$C$6:$BO$6,0)),""))=0,"",IF($B43="","",IFERROR(INDEX('Auxiliar Resultados'!$C$9:$BO$50,MATCH($B43,'Auxiliar Resultados'!$B$9:$B$50,0),MATCH(CONCATENATE($C43,Y$7),'Auxiliar Resultados'!$C$6:$BO$6,0)),"")))</f>
        <v/>
      </c>
      <c r="Z43" s="52" t="str">
        <f>+IF(IF($B43="","",IFERROR(INDEX('Auxiliar Resultados'!$C$9:$BO$50,MATCH($B43,'Auxiliar Resultados'!$B$9:$B$50,0),MATCH(CONCATENATE($C43,Z$7),'Auxiliar Resultados'!$C$6:$BO$6,0)),""))=0,"",IF($B43="","",IFERROR(INDEX('Auxiliar Resultados'!$C$9:$BO$50,MATCH($B43,'Auxiliar Resultados'!$B$9:$B$50,0),MATCH(CONCATENATE($C43,Z$7),'Auxiliar Resultados'!$C$6:$BO$6,0)),"")))</f>
        <v/>
      </c>
      <c r="AA43" s="52" t="str">
        <f>+IF(IF($B43="","",IFERROR(INDEX('Auxiliar Resultados'!$C$9:$BO$50,MATCH($B43,'Auxiliar Resultados'!$B$9:$B$50,0),MATCH(CONCATENATE($C43,AA$7),'Auxiliar Resultados'!$C$6:$BO$6,0)),""))=0,"",IF($B43="","",IFERROR(INDEX('Auxiliar Resultados'!$C$9:$BO$50,MATCH($B43,'Auxiliar Resultados'!$B$9:$B$50,0),MATCH(CONCATENATE($C43,AA$7),'Auxiliar Resultados'!$C$6:$BO$6,0)),"")))</f>
        <v/>
      </c>
      <c r="AB43" s="52" t="str">
        <f>+IF(IF($B43="","",IFERROR(INDEX('Auxiliar Resultados'!$C$9:$BO$50,MATCH($B43,'Auxiliar Resultados'!$B$9:$B$50,0),MATCH(CONCATENATE($C43,AB$7),'Auxiliar Resultados'!$C$6:$BO$6,0)),""))=0,"",IF($B43="","",IFERROR(INDEX('Auxiliar Resultados'!$C$9:$BO$50,MATCH($B43,'Auxiliar Resultados'!$B$9:$B$50,0),MATCH(CONCATENATE($C43,AB$7),'Auxiliar Resultados'!$C$6:$BO$6,0)),"")))</f>
        <v/>
      </c>
      <c r="AC43" s="52" t="str">
        <f>+IF(IF($B43="","",IFERROR(INDEX('Auxiliar Resultados'!$C$9:$BO$50,MATCH($B43,'Auxiliar Resultados'!$B$9:$B$50,0),MATCH(CONCATENATE($C43,AC$7),'Auxiliar Resultados'!$C$6:$BO$6,0)),""))=0,"",IF($B43="","",IFERROR(INDEX('Auxiliar Resultados'!$C$9:$BO$50,MATCH($B43,'Auxiliar Resultados'!$B$9:$B$50,0),MATCH(CONCATENATE($C43,AC$7),'Auxiliar Resultados'!$C$6:$BO$6,0)),"")))</f>
        <v/>
      </c>
      <c r="AD43" s="52" t="str">
        <f>+IF(IF($B43="","",IFERROR(INDEX('Auxiliar Resultados'!$C$9:$BO$50,MATCH($B43,'Auxiliar Resultados'!$B$9:$B$50,0),MATCH(CONCATENATE($C43,AD$7),'Auxiliar Resultados'!$C$6:$BO$6,0)),""))=0,"",IF($B43="","",IFERROR(INDEX('Auxiliar Resultados'!$C$9:$BO$50,MATCH($B43,'Auxiliar Resultados'!$B$9:$B$50,0),MATCH(CONCATENATE($C43,AD$7),'Auxiliar Resultados'!$C$6:$BO$6,0)),"")))</f>
        <v/>
      </c>
      <c r="AE43" s="52" t="str">
        <f>+IF(IF($B43="","",IFERROR(INDEX('Auxiliar Resultados'!$C$9:$BO$50,MATCH($B43,'Auxiliar Resultados'!$B$9:$B$50,0),MATCH(CONCATENATE($C43,AE$7),'Auxiliar Resultados'!$C$6:$BO$6,0)),""))=0,"",IF($B43="","",IFERROR(INDEX('Auxiliar Resultados'!$C$9:$BO$50,MATCH($B43,'Auxiliar Resultados'!$B$9:$B$50,0),MATCH(CONCATENATE($C43,AE$7),'Auxiliar Resultados'!$C$6:$BO$6,0)),"")))</f>
        <v/>
      </c>
      <c r="AF43" s="52" t="str">
        <f>+IF(IF($B43="","",IFERROR(INDEX('Auxiliar Resultados'!$C$9:$BO$50,MATCH($B43,'Auxiliar Resultados'!$B$9:$B$50,0),MATCH(CONCATENATE($C43,AF$7),'Auxiliar Resultados'!$C$6:$BO$6,0)),""))=0,"",IF($B43="","",IFERROR(INDEX('Auxiliar Resultados'!$C$9:$BO$50,MATCH($B43,'Auxiliar Resultados'!$B$9:$B$50,0),MATCH(CONCATENATE($C43,AF$7),'Auxiliar Resultados'!$C$6:$BO$6,0)),"")))</f>
        <v/>
      </c>
      <c r="AG43" s="52" t="str">
        <f>+IF(IF($B43="","",IFERROR(INDEX('Auxiliar Resultados'!$C$9:$BO$50,MATCH($B43,'Auxiliar Resultados'!$B$9:$B$50,0),MATCH(CONCATENATE($C43,AG$7),'Auxiliar Resultados'!$C$6:$BO$6,0)),""))=0,"",IF($B43="","",IFERROR(INDEX('Auxiliar Resultados'!$C$9:$BO$50,MATCH($B43,'Auxiliar Resultados'!$B$9:$B$50,0),MATCH(CONCATENATE($C43,AG$7),'Auxiliar Resultados'!$C$6:$BO$6,0)),"")))</f>
        <v/>
      </c>
      <c r="AH43" s="52" t="str">
        <f>+IF(IF($B43="","",IFERROR(INDEX('Auxiliar Resultados'!$C$9:$BO$50,MATCH($B43,'Auxiliar Resultados'!$B$9:$B$50,0),MATCH(CONCATENATE($C43,AH$7),'Auxiliar Resultados'!$C$6:$BO$6,0)),""))=0,"",IF($B43="","",IFERROR(INDEX('Auxiliar Resultados'!$C$9:$BO$50,MATCH($B43,'Auxiliar Resultados'!$B$9:$B$50,0),MATCH(CONCATENATE($C43,AH$7),'Auxiliar Resultados'!$C$6:$BO$6,0)),"")))</f>
        <v/>
      </c>
      <c r="AI43" s="52" t="str">
        <f>+IF(IF($B43="","",IFERROR(INDEX('Auxiliar Resultados'!$C$9:$BO$50,MATCH($B43,'Auxiliar Resultados'!$B$9:$B$50,0),MATCH(CONCATENATE($C43,AI$7),'Auxiliar Resultados'!$C$6:$BO$6,0)),""))=0,"",IF($B43="","",IFERROR(INDEX('Auxiliar Resultados'!$C$9:$BO$50,MATCH($B43,'Auxiliar Resultados'!$B$9:$B$50,0),MATCH(CONCATENATE($C43,AI$7),'Auxiliar Resultados'!$C$6:$BO$6,0)),"")))</f>
        <v/>
      </c>
      <c r="AJ43" s="52" t="str">
        <f>+IF(IF($B43="","",IFERROR(INDEX('Auxiliar Resultados'!$C$9:$BO$50,MATCH($B43,'Auxiliar Resultados'!$B$9:$B$50,0),MATCH(CONCATENATE($C43,AJ$7),'Auxiliar Resultados'!$C$6:$BO$6,0)),""))=0,"",IF($B43="","",IFERROR(INDEX('Auxiliar Resultados'!$C$9:$BO$50,MATCH($B43,'Auxiliar Resultados'!$B$9:$B$50,0),MATCH(CONCATENATE($C43,AJ$7),'Auxiliar Resultados'!$C$6:$BO$6,0)),"")))</f>
        <v/>
      </c>
      <c r="AK43" s="52" t="str">
        <f>+IF(IF($B43="","",IFERROR(INDEX('Auxiliar Resultados'!$C$9:$BO$50,MATCH($B43,'Auxiliar Resultados'!$B$9:$B$50,0),MATCH(CONCATENATE($C43,AK$7),'Auxiliar Resultados'!$C$6:$BO$6,0)),""))=0,"",IF($B43="","",IFERROR(INDEX('Auxiliar Resultados'!$C$9:$BO$50,MATCH($B43,'Auxiliar Resultados'!$B$9:$B$50,0),MATCH(CONCATENATE($C43,AK$7),'Auxiliar Resultados'!$C$6:$BO$6,0)),"")))</f>
        <v/>
      </c>
      <c r="AL43" s="52" t="str">
        <f>+IF(IF($B43="","",IFERROR(INDEX('Auxiliar Resultados'!$C$9:$BO$50,MATCH($B43,'Auxiliar Resultados'!$B$9:$B$50,0),MATCH(CONCATENATE($C43,AL$7),'Auxiliar Resultados'!$C$6:$BO$6,0)),""))=0,"",IF($B43="","",IFERROR(INDEX('Auxiliar Resultados'!$C$9:$BO$50,MATCH($B43,'Auxiliar Resultados'!$B$9:$B$50,0),MATCH(CONCATENATE($C43,AL$7),'Auxiliar Resultados'!$C$6:$BO$6,0)),"")))</f>
        <v/>
      </c>
      <c r="AM43" s="52" t="str">
        <f>+IF(IF($B43="","",IFERROR(INDEX('Auxiliar Resultados'!$C$9:$BO$50,MATCH($B43,'Auxiliar Resultados'!$B$9:$B$50,0),MATCH(CONCATENATE($C43,AM$7),'Auxiliar Resultados'!$C$6:$BO$6,0)),""))=0,"",IF($B43="","",IFERROR(INDEX('Auxiliar Resultados'!$C$9:$BO$50,MATCH($B43,'Auxiliar Resultados'!$B$9:$B$50,0),MATCH(CONCATENATE($C43,AM$7),'Auxiliar Resultados'!$C$6:$BO$6,0)),"")))</f>
        <v/>
      </c>
      <c r="AN43" s="52" t="str">
        <f>+IF(IF($B43="","",IFERROR(INDEX('Auxiliar Resultados'!$C$9:$BO$50,MATCH($B43,'Auxiliar Resultados'!$B$9:$B$50,0),MATCH(CONCATENATE($C43,AN$7),'Auxiliar Resultados'!$C$6:$BO$6,0)),""))=0,"",IF($B43="","",IFERROR(INDEX('Auxiliar Resultados'!$C$9:$BO$50,MATCH($B43,'Auxiliar Resultados'!$B$9:$B$50,0),MATCH(CONCATENATE($C43,AN$7),'Auxiliar Resultados'!$C$6:$BO$6,0)),"")))</f>
        <v/>
      </c>
      <c r="AO43" s="52" t="str">
        <f>+IF(IF($B43="","",IFERROR(INDEX('Auxiliar Resultados'!$C$9:$BO$50,MATCH($B43,'Auxiliar Resultados'!$B$9:$B$50,0),MATCH(CONCATENATE($C43,AO$7),'Auxiliar Resultados'!$C$6:$BO$6,0)),""))=0,"",IF($B43="","",IFERROR(INDEX('Auxiliar Resultados'!$C$9:$BO$50,MATCH($B43,'Auxiliar Resultados'!$B$9:$B$50,0),MATCH(CONCATENATE($C43,AO$7),'Auxiliar Resultados'!$C$6:$BO$6,0)),"")))</f>
        <v/>
      </c>
      <c r="AP43" s="52" t="str">
        <f>+IF(IF($B43="","",IFERROR(INDEX('Auxiliar Resultados'!$C$9:$BO$50,MATCH($B43,'Auxiliar Resultados'!$B$9:$B$50,0),MATCH(CONCATENATE($C43,AP$7),'Auxiliar Resultados'!$C$6:$BO$6,0)),""))=0,"",IF($B43="","",IFERROR(INDEX('Auxiliar Resultados'!$C$9:$BO$50,MATCH($B43,'Auxiliar Resultados'!$B$9:$B$50,0),MATCH(CONCATENATE($C43,AP$7),'Auxiliar Resultados'!$C$6:$BO$6,0)),"")))</f>
        <v/>
      </c>
      <c r="AQ43" s="276" t="str">
        <f>+IF(IF($B43="","",IFERROR(INDEX('Auxiliar Resultados'!$C$9:$BO$50,MATCH($B43,'Auxiliar Resultados'!$B$9:$B$50,0),MATCH(CONCATENATE($C43,AQ$7),'Auxiliar Resultados'!$C$6:$BO$6,0)),""))=0,"",IF($B43="","",IFERROR(INDEX('Auxiliar Resultados'!$C$9:$BO$50,MATCH($B43,'Auxiliar Resultados'!$B$9:$B$50,0),MATCH(CONCATENATE($C43,AQ$7),'Auxiliar Resultados'!$C$6:$BO$6,0)),"")))</f>
        <v/>
      </c>
      <c r="AS43" s="46" t="str">
        <f t="shared" si="5"/>
        <v/>
      </c>
      <c r="AT43" s="292" t="str">
        <f t="shared" si="6"/>
        <v/>
      </c>
      <c r="AU43" s="36" t="str">
        <f>+IF(G43="","",INDEX('Modelo Optimización'!$AZ$4:$CO$149,MATCH(CONCATENATE(AU$7,$AT43),'Modelo Optimización'!$CQ$4:$CQ$149,0),MATCH($AS43,'Modelo Optimización'!$AZ$3:$CO$3,0)))</f>
        <v/>
      </c>
      <c r="AV43" s="32" t="str">
        <f>+IF(H43="","",INDEX('Modelo Optimización'!$AZ$4:$CO$149,MATCH(CONCATENATE(AV$7,$AT43),'Modelo Optimización'!$CQ$4:$CQ$149,0),MATCH($AS43,'Modelo Optimización'!$AZ$3:$CO$3,0)))</f>
        <v/>
      </c>
      <c r="AW43" s="32" t="str">
        <f>+IF(I43="","",INDEX('Modelo Optimización'!$AZ$4:$CO$149,MATCH(CONCATENATE(AW$7,$AT43),'Modelo Optimización'!$CQ$4:$CQ$149,0),MATCH($AS43,'Modelo Optimización'!$AZ$3:$CO$3,0)))</f>
        <v/>
      </c>
      <c r="AX43" s="32" t="str">
        <f>+IF(J43="","",INDEX('Modelo Optimización'!$AZ$4:$CO$149,MATCH(CONCATENATE(AX$7,$AT43),'Modelo Optimización'!$CQ$4:$CQ$149,0),MATCH($AS43,'Modelo Optimización'!$AZ$3:$CO$3,0)))</f>
        <v/>
      </c>
      <c r="AY43" s="32" t="str">
        <f>+IF(K43="","",INDEX('Modelo Optimización'!$AZ$4:$CO$149,MATCH(CONCATENATE(AY$7,$AT43),'Modelo Optimización'!$CQ$4:$CQ$149,0),MATCH($AS43,'Modelo Optimización'!$AZ$3:$CO$3,0)))</f>
        <v/>
      </c>
      <c r="AZ43" s="32" t="str">
        <f>+IF(L43="","",INDEX('Modelo Optimización'!$AZ$4:$CO$149,MATCH(CONCATENATE(AZ$7,$AT43),'Modelo Optimización'!$CQ$4:$CQ$149,0),MATCH($AS43,'Modelo Optimización'!$AZ$3:$CO$3,0)))</f>
        <v/>
      </c>
      <c r="BA43" s="32" t="str">
        <f>+IF(M43="","",INDEX('Modelo Optimización'!$AZ$4:$CO$149,MATCH(CONCATENATE(BA$7,$AT43),'Modelo Optimización'!$CQ$4:$CQ$149,0),MATCH($AS43,'Modelo Optimización'!$AZ$3:$CO$3,0)))</f>
        <v/>
      </c>
      <c r="BB43" s="32" t="str">
        <f>+IF(N43="","",INDEX('Modelo Optimización'!$AZ$4:$CO$149,MATCH(CONCATENATE(BB$7,$AT43),'Modelo Optimización'!$CQ$4:$CQ$149,0),MATCH($AS43,'Modelo Optimización'!$AZ$3:$CO$3,0)))</f>
        <v/>
      </c>
      <c r="BC43" s="32" t="str">
        <f>+IF(O43="","",INDEX('Modelo Optimización'!$AZ$4:$CO$149,MATCH(CONCATENATE(BC$7,$AT43),'Modelo Optimización'!$CQ$4:$CQ$149,0),MATCH($AS43,'Modelo Optimización'!$AZ$3:$CO$3,0)))</f>
        <v/>
      </c>
      <c r="BD43" s="32" t="str">
        <f>+IF(P43="","",INDEX('Modelo Optimización'!$AZ$4:$CO$149,MATCH(CONCATENATE(BD$7,$AT43),'Modelo Optimización'!$CQ$4:$CQ$149,0),MATCH($AS43,'Modelo Optimización'!$AZ$3:$CO$3,0)))</f>
        <v/>
      </c>
      <c r="BE43" s="32" t="str">
        <f>+IF(Q43="","",INDEX('Modelo Optimización'!$AZ$4:$CO$149,MATCH(CONCATENATE(BE$7,$AT43),'Modelo Optimización'!$CQ$4:$CQ$149,0),MATCH($AS43,'Modelo Optimización'!$AZ$3:$CO$3,0)))</f>
        <v/>
      </c>
      <c r="BF43" s="32" t="str">
        <f>+IF(R43="","",INDEX('Modelo Optimización'!$AZ$4:$CO$149,MATCH(CONCATENATE(BF$7,$AT43),'Modelo Optimización'!$CQ$4:$CQ$149,0),MATCH($AS43,'Modelo Optimización'!$AZ$3:$CO$3,0)))</f>
        <v/>
      </c>
      <c r="BG43" s="32" t="str">
        <f>+IF(S43="","",INDEX('Modelo Optimización'!$AZ$4:$CO$149,MATCH(CONCATENATE(BG$7,$AT43),'Modelo Optimización'!$CQ$4:$CQ$149,0),MATCH($AS43,'Modelo Optimización'!$AZ$3:$CO$3,0)))</f>
        <v/>
      </c>
      <c r="BH43" s="32" t="str">
        <f>+IF(T43="","",INDEX('Modelo Optimización'!$AZ$4:$CO$149,MATCH(CONCATENATE(BH$7,$AT43),'Modelo Optimización'!$CQ$4:$CQ$149,0),MATCH($AS43,'Modelo Optimización'!$AZ$3:$CO$3,0)))</f>
        <v/>
      </c>
      <c r="BI43" s="32" t="str">
        <f>+IF(U43="","",INDEX('Modelo Optimización'!$AZ$4:$CO$149,MATCH(CONCATENATE(BI$7,$AT43),'Modelo Optimización'!$CQ$4:$CQ$149,0),MATCH($AS43,'Modelo Optimización'!$AZ$3:$CO$3,0)))</f>
        <v/>
      </c>
      <c r="BJ43" s="32" t="str">
        <f>+IF(V43="","",INDEX('Modelo Optimización'!$AZ$4:$CO$149,MATCH(CONCATENATE(BJ$7,$AT43),'Modelo Optimización'!$CQ$4:$CQ$149,0),MATCH($AS43,'Modelo Optimización'!$AZ$3:$CO$3,0)))</f>
        <v/>
      </c>
      <c r="BK43" s="32" t="str">
        <f>+IF(W43="","",INDEX('Modelo Optimización'!$AZ$4:$CO$149,MATCH(CONCATENATE(BK$7,$AT43),'Modelo Optimización'!$CQ$4:$CQ$149,0),MATCH($AS43,'Modelo Optimización'!$AZ$3:$CO$3,0)))</f>
        <v/>
      </c>
      <c r="BL43" s="32" t="str">
        <f>+IF(X43="","",INDEX('Modelo Optimización'!$AZ$4:$CO$149,MATCH(CONCATENATE(BL$7,$AT43),'Modelo Optimización'!$CQ$4:$CQ$149,0),MATCH($AS43,'Modelo Optimización'!$AZ$3:$CO$3,0)))</f>
        <v/>
      </c>
      <c r="BM43" s="32" t="str">
        <f>+IF(Y43="","",INDEX('Modelo Optimización'!$AZ$4:$CO$149,MATCH(CONCATENATE(BM$7,$AT43),'Modelo Optimización'!$CQ$4:$CQ$149,0),MATCH($AS43,'Modelo Optimización'!$AZ$3:$CO$3,0)))</f>
        <v/>
      </c>
      <c r="BN43" s="32" t="str">
        <f>+IF(Z43="","",INDEX('Modelo Optimización'!$AZ$4:$CO$149,MATCH(CONCATENATE(BN$7,$AT43),'Modelo Optimización'!$CQ$4:$CQ$149,0),MATCH($AS43,'Modelo Optimización'!$AZ$3:$CO$3,0)))</f>
        <v/>
      </c>
      <c r="BO43" s="32" t="str">
        <f>+IF(AA43="","",INDEX('Modelo Optimización'!$AZ$4:$CO$149,MATCH(CONCATENATE(BO$7,$AT43),'Modelo Optimización'!$CQ$4:$CQ$149,0),MATCH($AS43,'Modelo Optimización'!$AZ$3:$CO$3,0)))</f>
        <v/>
      </c>
      <c r="BP43" s="32" t="str">
        <f>+IF(AB43="","",INDEX('Modelo Optimización'!$AZ$4:$CO$149,MATCH(CONCATENATE(BP$7,$AT43),'Modelo Optimización'!$CQ$4:$CQ$149,0),MATCH($AS43,'Modelo Optimización'!$AZ$3:$CO$3,0)))</f>
        <v/>
      </c>
      <c r="BQ43" s="32" t="str">
        <f>+IF(AC43="","",INDEX('Modelo Optimización'!$AZ$4:$CO$149,MATCH(CONCATENATE(BQ$7,$AT43),'Modelo Optimización'!$CQ$4:$CQ$149,0),MATCH($AS43,'Modelo Optimización'!$AZ$3:$CO$3,0)))</f>
        <v/>
      </c>
      <c r="BR43" s="32" t="str">
        <f>+IF(AD43="","",INDEX('Modelo Optimización'!$AZ$4:$CO$149,MATCH(CONCATENATE(BR$7,$AT43),'Modelo Optimización'!$CQ$4:$CQ$149,0),MATCH($AS43,'Modelo Optimización'!$AZ$3:$CO$3,0)))</f>
        <v/>
      </c>
      <c r="BS43" s="32" t="str">
        <f>+IF(AE43="","",INDEX('Modelo Optimización'!$AZ$4:$CO$149,MATCH(CONCATENATE(BS$7,$AT43),'Modelo Optimización'!$CQ$4:$CQ$149,0),MATCH($AS43,'Modelo Optimización'!$AZ$3:$CO$3,0)))</f>
        <v/>
      </c>
      <c r="BT43" s="32" t="str">
        <f>+IF(AF43="","",INDEX('Modelo Optimización'!$AZ$4:$CO$149,MATCH(CONCATENATE(BT$7,$AT43),'Modelo Optimización'!$CQ$4:$CQ$149,0),MATCH($AS43,'Modelo Optimización'!$AZ$3:$CO$3,0)))</f>
        <v/>
      </c>
      <c r="BU43" s="32" t="str">
        <f>+IF(AG43="","",INDEX('Modelo Optimización'!$AZ$4:$CO$149,MATCH(CONCATENATE(BU$7,$AT43),'Modelo Optimización'!$CQ$4:$CQ$149,0),MATCH($AS43,'Modelo Optimización'!$AZ$3:$CO$3,0)))</f>
        <v/>
      </c>
      <c r="BV43" s="32" t="str">
        <f>+IF(AH43="","",INDEX('Modelo Optimización'!$AZ$4:$CO$149,MATCH(CONCATENATE(BV$7,$AT43),'Modelo Optimización'!$CQ$4:$CQ$149,0),MATCH($AS43,'Modelo Optimización'!$AZ$3:$CO$3,0)))</f>
        <v/>
      </c>
      <c r="BW43" s="32" t="str">
        <f>+IF(AI43="","",INDEX('Modelo Optimización'!$AZ$4:$CO$149,MATCH(CONCATENATE(BW$7,$AT43),'Modelo Optimización'!$CQ$4:$CQ$149,0),MATCH($AS43,'Modelo Optimización'!$AZ$3:$CO$3,0)))</f>
        <v/>
      </c>
      <c r="BX43" s="32" t="str">
        <f>+IF(AJ43="","",INDEX('Modelo Optimización'!$AZ$4:$CO$149,MATCH(CONCATENATE(BX$7,$AT43),'Modelo Optimización'!$CQ$4:$CQ$149,0),MATCH($AS43,'Modelo Optimización'!$AZ$3:$CO$3,0)))</f>
        <v/>
      </c>
      <c r="BY43" s="32" t="str">
        <f>+IF(AK43="","",INDEX('Modelo Optimización'!$AZ$4:$CO$149,MATCH(CONCATENATE(BY$7,$AT43),'Modelo Optimización'!$CQ$4:$CQ$149,0),MATCH($AS43,'Modelo Optimización'!$AZ$3:$CO$3,0)))</f>
        <v/>
      </c>
      <c r="BZ43" s="32" t="str">
        <f>+IF(AL43="","",INDEX('Modelo Optimización'!$AZ$4:$CO$149,MATCH(CONCATENATE(BZ$7,$AT43),'Modelo Optimización'!$CQ$4:$CQ$149,0),MATCH($AS43,'Modelo Optimización'!$AZ$3:$CO$3,0)))</f>
        <v/>
      </c>
      <c r="CA43" s="32" t="str">
        <f>+IF(AM43="","",INDEX('Modelo Optimización'!$AZ$4:$CO$149,MATCH(CONCATENATE(CA$7,$AT43),'Modelo Optimización'!$CQ$4:$CQ$149,0),MATCH($AS43,'Modelo Optimización'!$AZ$3:$CO$3,0)))</f>
        <v/>
      </c>
      <c r="CB43" s="32" t="str">
        <f>+IF(AN43="","",INDEX('Modelo Optimización'!$AZ$4:$CO$149,MATCH(CONCATENATE(CB$7,$AT43),'Modelo Optimización'!$CQ$4:$CQ$149,0),MATCH($AS43,'Modelo Optimización'!$AZ$3:$CO$3,0)))</f>
        <v/>
      </c>
      <c r="CC43" s="32" t="str">
        <f>+IF(AO43="","",INDEX('Modelo Optimización'!$AZ$4:$CO$149,MATCH(CONCATENATE(CC$7,$AT43),'Modelo Optimización'!$CQ$4:$CQ$149,0),MATCH($AS43,'Modelo Optimización'!$AZ$3:$CO$3,0)))</f>
        <v/>
      </c>
      <c r="CD43" s="32" t="str">
        <f>+IF(AP43="","",INDEX('Modelo Optimización'!$AZ$4:$CO$149,MATCH(CONCATENATE(CD$7,$AT43),'Modelo Optimización'!$CQ$4:$CQ$149,0),MATCH($AS43,'Modelo Optimización'!$AZ$3:$CO$3,0)))</f>
        <v/>
      </c>
      <c r="CE43" s="37" t="str">
        <f>+IF(AQ43="","",INDEX('Modelo Optimización'!$AZ$4:$CO$149,MATCH(CONCATENATE(CE$7,$AT43),'Modelo Optimización'!$CQ$4:$CQ$149,0),MATCH($AS43,'Modelo Optimización'!$AZ$3:$CO$3,0)))</f>
        <v/>
      </c>
      <c r="CF43" s="301"/>
      <c r="CG43" s="305" t="str">
        <f t="shared" si="11"/>
        <v/>
      </c>
      <c r="CH43" s="303" t="str">
        <f t="shared" si="7"/>
        <v/>
      </c>
      <c r="CI43" s="292" t="str">
        <f t="shared" si="8"/>
        <v/>
      </c>
      <c r="CJ43" s="36" t="str">
        <f t="shared" si="12"/>
        <v/>
      </c>
      <c r="CK43" s="32" t="str">
        <f t="shared" si="13"/>
        <v/>
      </c>
      <c r="CL43" s="32" t="str">
        <f t="shared" si="14"/>
        <v/>
      </c>
      <c r="CM43" s="32" t="str">
        <f t="shared" si="15"/>
        <v/>
      </c>
      <c r="CN43" s="32" t="str">
        <f t="shared" si="16"/>
        <v/>
      </c>
      <c r="CO43" s="32" t="str">
        <f t="shared" si="17"/>
        <v/>
      </c>
      <c r="CP43" s="32" t="str">
        <f t="shared" si="18"/>
        <v/>
      </c>
      <c r="CQ43" s="32" t="str">
        <f t="shared" si="19"/>
        <v/>
      </c>
      <c r="CR43" s="32" t="str">
        <f t="shared" si="20"/>
        <v/>
      </c>
      <c r="CS43" s="32" t="str">
        <f t="shared" si="21"/>
        <v/>
      </c>
      <c r="CT43" s="32" t="str">
        <f t="shared" si="22"/>
        <v/>
      </c>
      <c r="CU43" s="32" t="str">
        <f t="shared" si="23"/>
        <v/>
      </c>
      <c r="CV43" s="32" t="str">
        <f t="shared" si="24"/>
        <v/>
      </c>
      <c r="CW43" s="32" t="str">
        <f t="shared" si="25"/>
        <v/>
      </c>
      <c r="CX43" s="32" t="str">
        <f t="shared" si="26"/>
        <v/>
      </c>
      <c r="CY43" s="32" t="str">
        <f t="shared" si="27"/>
        <v/>
      </c>
      <c r="CZ43" s="32" t="str">
        <f t="shared" si="28"/>
        <v/>
      </c>
      <c r="DA43" s="32" t="str">
        <f t="shared" si="29"/>
        <v/>
      </c>
      <c r="DB43" s="32" t="str">
        <f t="shared" si="30"/>
        <v/>
      </c>
      <c r="DC43" s="32" t="str">
        <f t="shared" si="31"/>
        <v/>
      </c>
      <c r="DD43" s="32" t="str">
        <f t="shared" si="32"/>
        <v/>
      </c>
      <c r="DE43" s="32" t="str">
        <f t="shared" si="33"/>
        <v/>
      </c>
      <c r="DF43" s="32" t="str">
        <f t="shared" si="34"/>
        <v/>
      </c>
      <c r="DG43" s="32" t="str">
        <f t="shared" si="35"/>
        <v/>
      </c>
      <c r="DH43" s="32" t="str">
        <f t="shared" si="36"/>
        <v/>
      </c>
      <c r="DI43" s="32" t="str">
        <f t="shared" si="37"/>
        <v/>
      </c>
      <c r="DJ43" s="32" t="str">
        <f t="shared" si="38"/>
        <v/>
      </c>
      <c r="DK43" s="32" t="str">
        <f t="shared" si="39"/>
        <v/>
      </c>
      <c r="DL43" s="32" t="str">
        <f t="shared" si="40"/>
        <v/>
      </c>
      <c r="DM43" s="32" t="str">
        <f t="shared" si="41"/>
        <v/>
      </c>
      <c r="DN43" s="32" t="str">
        <f t="shared" si="42"/>
        <v/>
      </c>
      <c r="DO43" s="32" t="str">
        <f t="shared" si="43"/>
        <v/>
      </c>
      <c r="DP43" s="32" t="str">
        <f t="shared" si="44"/>
        <v/>
      </c>
      <c r="DQ43" s="32" t="str">
        <f t="shared" si="45"/>
        <v/>
      </c>
      <c r="DR43" s="32" t="str">
        <f t="shared" si="46"/>
        <v/>
      </c>
      <c r="DS43" s="32" t="str">
        <f t="shared" si="47"/>
        <v/>
      </c>
      <c r="DT43" s="37" t="str">
        <f t="shared" si="48"/>
        <v/>
      </c>
    </row>
    <row r="44" spans="2:124" x14ac:dyDescent="0.35">
      <c r="B44" s="46"/>
      <c r="C44" s="212"/>
      <c r="D44" s="52"/>
      <c r="E44" s="52" t="str">
        <f>+IF(B44="","",IFERROR(SUMIF('Modelo Optimización'!$AS$72:$AS$217,C44,INDEX('Modelo Optimización'!$C$72:$AR$217,,MATCH(B44,'Modelo Optimización'!$C$71:$AR$71,0))),0))</f>
        <v/>
      </c>
      <c r="F44" s="281" t="str">
        <f t="shared" si="10"/>
        <v/>
      </c>
      <c r="G44" s="280" t="str">
        <f>+IF(IF($B44="","",IFERROR(INDEX('Auxiliar Resultados'!$C$9:$BO$50,MATCH($B44,'Auxiliar Resultados'!$B$9:$B$50,0),MATCH(CONCATENATE($C44,G$7),'Auxiliar Resultados'!$C$6:$BO$6,0)),""))=0,"",IF($B44="","",IFERROR(INDEX('Auxiliar Resultados'!$C$9:$BO$50,MATCH($B44,'Auxiliar Resultados'!$B$9:$B$50,0),MATCH(CONCATENATE($C44,G$7),'Auxiliar Resultados'!$C$6:$BO$6,0)),"")))</f>
        <v/>
      </c>
      <c r="H44" s="52" t="str">
        <f>+IF(IF($B44="","",IFERROR(INDEX('Auxiliar Resultados'!$C$9:$BO$50,MATCH($B44,'Auxiliar Resultados'!$B$9:$B$50,0),MATCH(CONCATENATE($C44,H$7),'Auxiliar Resultados'!$C$6:$BO$6,0)),""))=0,"",IF($B44="","",IFERROR(INDEX('Auxiliar Resultados'!$C$9:$BO$50,MATCH($B44,'Auxiliar Resultados'!$B$9:$B$50,0),MATCH(CONCATENATE($C44,H$7),'Auxiliar Resultados'!$C$6:$BO$6,0)),"")))</f>
        <v/>
      </c>
      <c r="I44" s="52" t="str">
        <f>+IF(IF($B44="","",IFERROR(INDEX('Auxiliar Resultados'!$C$9:$BO$50,MATCH($B44,'Auxiliar Resultados'!$B$9:$B$50,0),MATCH(CONCATENATE($C44,I$7),'Auxiliar Resultados'!$C$6:$BO$6,0)),""))=0,"",IF($B44="","",IFERROR(INDEX('Auxiliar Resultados'!$C$9:$BO$50,MATCH($B44,'Auxiliar Resultados'!$B$9:$B$50,0),MATCH(CONCATENATE($C44,I$7),'Auxiliar Resultados'!$C$6:$BO$6,0)),"")))</f>
        <v/>
      </c>
      <c r="J44" s="52" t="str">
        <f>+IF(IF($B44="","",IFERROR(INDEX('Auxiliar Resultados'!$C$9:$BO$50,MATCH($B44,'Auxiliar Resultados'!$B$9:$B$50,0),MATCH(CONCATENATE($C44,J$7),'Auxiliar Resultados'!$C$6:$BO$6,0)),""))=0,"",IF($B44="","",IFERROR(INDEX('Auxiliar Resultados'!$C$9:$BO$50,MATCH($B44,'Auxiliar Resultados'!$B$9:$B$50,0),MATCH(CONCATENATE($C44,J$7),'Auxiliar Resultados'!$C$6:$BO$6,0)),"")))</f>
        <v/>
      </c>
      <c r="K44" s="52" t="str">
        <f>+IF(IF($B44="","",IFERROR(INDEX('Auxiliar Resultados'!$C$9:$BO$50,MATCH($B44,'Auxiliar Resultados'!$B$9:$B$50,0),MATCH(CONCATENATE($C44,K$7),'Auxiliar Resultados'!$C$6:$BO$6,0)),""))=0,"",IF($B44="","",IFERROR(INDEX('Auxiliar Resultados'!$C$9:$BO$50,MATCH($B44,'Auxiliar Resultados'!$B$9:$B$50,0),MATCH(CONCATENATE($C44,K$7),'Auxiliar Resultados'!$C$6:$BO$6,0)),"")))</f>
        <v/>
      </c>
      <c r="L44" s="52" t="str">
        <f>+IF(IF($B44="","",IFERROR(INDEX('Auxiliar Resultados'!$C$9:$BO$50,MATCH($B44,'Auxiliar Resultados'!$B$9:$B$50,0),MATCH(CONCATENATE($C44,L$7),'Auxiliar Resultados'!$C$6:$BO$6,0)),""))=0,"",IF($B44="","",IFERROR(INDEX('Auxiliar Resultados'!$C$9:$BO$50,MATCH($B44,'Auxiliar Resultados'!$B$9:$B$50,0),MATCH(CONCATENATE($C44,L$7),'Auxiliar Resultados'!$C$6:$BO$6,0)),"")))</f>
        <v/>
      </c>
      <c r="M44" s="52" t="str">
        <f>+IF(IF($B44="","",IFERROR(INDEX('Auxiliar Resultados'!$C$9:$BO$50,MATCH($B44,'Auxiliar Resultados'!$B$9:$B$50,0),MATCH(CONCATENATE($C44,M$7),'Auxiliar Resultados'!$C$6:$BO$6,0)),""))=0,"",IF($B44="","",IFERROR(INDEX('Auxiliar Resultados'!$C$9:$BO$50,MATCH($B44,'Auxiliar Resultados'!$B$9:$B$50,0),MATCH(CONCATENATE($C44,M$7),'Auxiliar Resultados'!$C$6:$BO$6,0)),"")))</f>
        <v/>
      </c>
      <c r="N44" s="52" t="str">
        <f>+IF(IF($B44="","",IFERROR(INDEX('Auxiliar Resultados'!$C$9:$BO$50,MATCH($B44,'Auxiliar Resultados'!$B$9:$B$50,0),MATCH(CONCATENATE($C44,N$7),'Auxiliar Resultados'!$C$6:$BO$6,0)),""))=0,"",IF($B44="","",IFERROR(INDEX('Auxiliar Resultados'!$C$9:$BO$50,MATCH($B44,'Auxiliar Resultados'!$B$9:$B$50,0),MATCH(CONCATENATE($C44,N$7),'Auxiliar Resultados'!$C$6:$BO$6,0)),"")))</f>
        <v/>
      </c>
      <c r="O44" s="52" t="str">
        <f>+IF(IF($B44="","",IFERROR(INDEX('Auxiliar Resultados'!$C$9:$BO$50,MATCH($B44,'Auxiliar Resultados'!$B$9:$B$50,0),MATCH(CONCATENATE($C44,O$7),'Auxiliar Resultados'!$C$6:$BO$6,0)),""))=0,"",IF($B44="","",IFERROR(INDEX('Auxiliar Resultados'!$C$9:$BO$50,MATCH($B44,'Auxiliar Resultados'!$B$9:$B$50,0),MATCH(CONCATENATE($C44,O$7),'Auxiliar Resultados'!$C$6:$BO$6,0)),"")))</f>
        <v/>
      </c>
      <c r="P44" s="52" t="str">
        <f>+IF(IF($B44="","",IFERROR(INDEX('Auxiliar Resultados'!$C$9:$BO$50,MATCH($B44,'Auxiliar Resultados'!$B$9:$B$50,0),MATCH(CONCATENATE($C44,P$7),'Auxiliar Resultados'!$C$6:$BO$6,0)),""))=0,"",IF($B44="","",IFERROR(INDEX('Auxiliar Resultados'!$C$9:$BO$50,MATCH($B44,'Auxiliar Resultados'!$B$9:$B$50,0),MATCH(CONCATENATE($C44,P$7),'Auxiliar Resultados'!$C$6:$BO$6,0)),"")))</f>
        <v/>
      </c>
      <c r="Q44" s="52" t="str">
        <f>+IF(IF($B44="","",IFERROR(INDEX('Auxiliar Resultados'!$C$9:$BO$50,MATCH($B44,'Auxiliar Resultados'!$B$9:$B$50,0),MATCH(CONCATENATE($C44,Q$7),'Auxiliar Resultados'!$C$6:$BO$6,0)),""))=0,"",IF($B44="","",IFERROR(INDEX('Auxiliar Resultados'!$C$9:$BO$50,MATCH($B44,'Auxiliar Resultados'!$B$9:$B$50,0),MATCH(CONCATENATE($C44,Q$7),'Auxiliar Resultados'!$C$6:$BO$6,0)),"")))</f>
        <v/>
      </c>
      <c r="R44" s="52" t="str">
        <f>+IF(IF($B44="","",IFERROR(INDEX('Auxiliar Resultados'!$C$9:$BO$50,MATCH($B44,'Auxiliar Resultados'!$B$9:$B$50,0),MATCH(CONCATENATE($C44,R$7),'Auxiliar Resultados'!$C$6:$BO$6,0)),""))=0,"",IF($B44="","",IFERROR(INDEX('Auxiliar Resultados'!$C$9:$BO$50,MATCH($B44,'Auxiliar Resultados'!$B$9:$B$50,0),MATCH(CONCATENATE($C44,R$7),'Auxiliar Resultados'!$C$6:$BO$6,0)),"")))</f>
        <v/>
      </c>
      <c r="S44" s="52" t="str">
        <f>+IF(IF($B44="","",IFERROR(INDEX('Auxiliar Resultados'!$C$9:$BO$50,MATCH($B44,'Auxiliar Resultados'!$B$9:$B$50,0),MATCH(CONCATENATE($C44,S$7),'Auxiliar Resultados'!$C$6:$BO$6,0)),""))=0,"",IF($B44="","",IFERROR(INDEX('Auxiliar Resultados'!$C$9:$BO$50,MATCH($B44,'Auxiliar Resultados'!$B$9:$B$50,0),MATCH(CONCATENATE($C44,S$7),'Auxiliar Resultados'!$C$6:$BO$6,0)),"")))</f>
        <v/>
      </c>
      <c r="T44" s="52" t="str">
        <f>+IF(IF($B44="","",IFERROR(INDEX('Auxiliar Resultados'!$C$9:$BO$50,MATCH($B44,'Auxiliar Resultados'!$B$9:$B$50,0),MATCH(CONCATENATE($C44,T$7),'Auxiliar Resultados'!$C$6:$BO$6,0)),""))=0,"",IF($B44="","",IFERROR(INDEX('Auxiliar Resultados'!$C$9:$BO$50,MATCH($B44,'Auxiliar Resultados'!$B$9:$B$50,0),MATCH(CONCATENATE($C44,T$7),'Auxiliar Resultados'!$C$6:$BO$6,0)),"")))</f>
        <v/>
      </c>
      <c r="U44" s="52" t="str">
        <f>+IF(IF($B44="","",IFERROR(INDEX('Auxiliar Resultados'!$C$9:$BO$50,MATCH($B44,'Auxiliar Resultados'!$B$9:$B$50,0),MATCH(CONCATENATE($C44,U$7),'Auxiliar Resultados'!$C$6:$BO$6,0)),""))=0,"",IF($B44="","",IFERROR(INDEX('Auxiliar Resultados'!$C$9:$BO$50,MATCH($B44,'Auxiliar Resultados'!$B$9:$B$50,0),MATCH(CONCATENATE($C44,U$7),'Auxiliar Resultados'!$C$6:$BO$6,0)),"")))</f>
        <v/>
      </c>
      <c r="V44" s="52" t="str">
        <f>+IF(IF($B44="","",IFERROR(INDEX('Auxiliar Resultados'!$C$9:$BO$50,MATCH($B44,'Auxiliar Resultados'!$B$9:$B$50,0),MATCH(CONCATENATE($C44,V$7),'Auxiliar Resultados'!$C$6:$BO$6,0)),""))=0,"",IF($B44="","",IFERROR(INDEX('Auxiliar Resultados'!$C$9:$BO$50,MATCH($B44,'Auxiliar Resultados'!$B$9:$B$50,0),MATCH(CONCATENATE($C44,V$7),'Auxiliar Resultados'!$C$6:$BO$6,0)),"")))</f>
        <v/>
      </c>
      <c r="W44" s="52" t="str">
        <f>+IF(IF($B44="","",IFERROR(INDEX('Auxiliar Resultados'!$C$9:$BO$50,MATCH($B44,'Auxiliar Resultados'!$B$9:$B$50,0),MATCH(CONCATENATE($C44,W$7),'Auxiliar Resultados'!$C$6:$BO$6,0)),""))=0,"",IF($B44="","",IFERROR(INDEX('Auxiliar Resultados'!$C$9:$BO$50,MATCH($B44,'Auxiliar Resultados'!$B$9:$B$50,0),MATCH(CONCATENATE($C44,W$7),'Auxiliar Resultados'!$C$6:$BO$6,0)),"")))</f>
        <v/>
      </c>
      <c r="X44" s="52" t="str">
        <f>+IF(IF($B44="","",IFERROR(INDEX('Auxiliar Resultados'!$C$9:$BO$50,MATCH($B44,'Auxiliar Resultados'!$B$9:$B$50,0),MATCH(CONCATENATE($C44,X$7),'Auxiliar Resultados'!$C$6:$BO$6,0)),""))=0,"",IF($B44="","",IFERROR(INDEX('Auxiliar Resultados'!$C$9:$BO$50,MATCH($B44,'Auxiliar Resultados'!$B$9:$B$50,0),MATCH(CONCATENATE($C44,X$7),'Auxiliar Resultados'!$C$6:$BO$6,0)),"")))</f>
        <v/>
      </c>
      <c r="Y44" s="52" t="str">
        <f>+IF(IF($B44="","",IFERROR(INDEX('Auxiliar Resultados'!$C$9:$BO$50,MATCH($B44,'Auxiliar Resultados'!$B$9:$B$50,0),MATCH(CONCATENATE($C44,Y$7),'Auxiliar Resultados'!$C$6:$BO$6,0)),""))=0,"",IF($B44="","",IFERROR(INDEX('Auxiliar Resultados'!$C$9:$BO$50,MATCH($B44,'Auxiliar Resultados'!$B$9:$B$50,0),MATCH(CONCATENATE($C44,Y$7),'Auxiliar Resultados'!$C$6:$BO$6,0)),"")))</f>
        <v/>
      </c>
      <c r="Z44" s="52" t="str">
        <f>+IF(IF($B44="","",IFERROR(INDEX('Auxiliar Resultados'!$C$9:$BO$50,MATCH($B44,'Auxiliar Resultados'!$B$9:$B$50,0),MATCH(CONCATENATE($C44,Z$7),'Auxiliar Resultados'!$C$6:$BO$6,0)),""))=0,"",IF($B44="","",IFERROR(INDEX('Auxiliar Resultados'!$C$9:$BO$50,MATCH($B44,'Auxiliar Resultados'!$B$9:$B$50,0),MATCH(CONCATENATE($C44,Z$7),'Auxiliar Resultados'!$C$6:$BO$6,0)),"")))</f>
        <v/>
      </c>
      <c r="AA44" s="52" t="str">
        <f>+IF(IF($B44="","",IFERROR(INDEX('Auxiliar Resultados'!$C$9:$BO$50,MATCH($B44,'Auxiliar Resultados'!$B$9:$B$50,0),MATCH(CONCATENATE($C44,AA$7),'Auxiliar Resultados'!$C$6:$BO$6,0)),""))=0,"",IF($B44="","",IFERROR(INDEX('Auxiliar Resultados'!$C$9:$BO$50,MATCH($B44,'Auxiliar Resultados'!$B$9:$B$50,0),MATCH(CONCATENATE($C44,AA$7),'Auxiliar Resultados'!$C$6:$BO$6,0)),"")))</f>
        <v/>
      </c>
      <c r="AB44" s="52" t="str">
        <f>+IF(IF($B44="","",IFERROR(INDEX('Auxiliar Resultados'!$C$9:$BO$50,MATCH($B44,'Auxiliar Resultados'!$B$9:$B$50,0),MATCH(CONCATENATE($C44,AB$7),'Auxiliar Resultados'!$C$6:$BO$6,0)),""))=0,"",IF($B44="","",IFERROR(INDEX('Auxiliar Resultados'!$C$9:$BO$50,MATCH($B44,'Auxiliar Resultados'!$B$9:$B$50,0),MATCH(CONCATENATE($C44,AB$7),'Auxiliar Resultados'!$C$6:$BO$6,0)),"")))</f>
        <v/>
      </c>
      <c r="AC44" s="52" t="str">
        <f>+IF(IF($B44="","",IFERROR(INDEX('Auxiliar Resultados'!$C$9:$BO$50,MATCH($B44,'Auxiliar Resultados'!$B$9:$B$50,0),MATCH(CONCATENATE($C44,AC$7),'Auxiliar Resultados'!$C$6:$BO$6,0)),""))=0,"",IF($B44="","",IFERROR(INDEX('Auxiliar Resultados'!$C$9:$BO$50,MATCH($B44,'Auxiliar Resultados'!$B$9:$B$50,0),MATCH(CONCATENATE($C44,AC$7),'Auxiliar Resultados'!$C$6:$BO$6,0)),"")))</f>
        <v/>
      </c>
      <c r="AD44" s="52" t="str">
        <f>+IF(IF($B44="","",IFERROR(INDEX('Auxiliar Resultados'!$C$9:$BO$50,MATCH($B44,'Auxiliar Resultados'!$B$9:$B$50,0),MATCH(CONCATENATE($C44,AD$7),'Auxiliar Resultados'!$C$6:$BO$6,0)),""))=0,"",IF($B44="","",IFERROR(INDEX('Auxiliar Resultados'!$C$9:$BO$50,MATCH($B44,'Auxiliar Resultados'!$B$9:$B$50,0),MATCH(CONCATENATE($C44,AD$7),'Auxiliar Resultados'!$C$6:$BO$6,0)),"")))</f>
        <v/>
      </c>
      <c r="AE44" s="52" t="str">
        <f>+IF(IF($B44="","",IFERROR(INDEX('Auxiliar Resultados'!$C$9:$BO$50,MATCH($B44,'Auxiliar Resultados'!$B$9:$B$50,0),MATCH(CONCATENATE($C44,AE$7),'Auxiliar Resultados'!$C$6:$BO$6,0)),""))=0,"",IF($B44="","",IFERROR(INDEX('Auxiliar Resultados'!$C$9:$BO$50,MATCH($B44,'Auxiliar Resultados'!$B$9:$B$50,0),MATCH(CONCATENATE($C44,AE$7),'Auxiliar Resultados'!$C$6:$BO$6,0)),"")))</f>
        <v/>
      </c>
      <c r="AF44" s="52" t="str">
        <f>+IF(IF($B44="","",IFERROR(INDEX('Auxiliar Resultados'!$C$9:$BO$50,MATCH($B44,'Auxiliar Resultados'!$B$9:$B$50,0),MATCH(CONCATENATE($C44,AF$7),'Auxiliar Resultados'!$C$6:$BO$6,0)),""))=0,"",IF($B44="","",IFERROR(INDEX('Auxiliar Resultados'!$C$9:$BO$50,MATCH($B44,'Auxiliar Resultados'!$B$9:$B$50,0),MATCH(CONCATENATE($C44,AF$7),'Auxiliar Resultados'!$C$6:$BO$6,0)),"")))</f>
        <v/>
      </c>
      <c r="AG44" s="52" t="str">
        <f>+IF(IF($B44="","",IFERROR(INDEX('Auxiliar Resultados'!$C$9:$BO$50,MATCH($B44,'Auxiliar Resultados'!$B$9:$B$50,0),MATCH(CONCATENATE($C44,AG$7),'Auxiliar Resultados'!$C$6:$BO$6,0)),""))=0,"",IF($B44="","",IFERROR(INDEX('Auxiliar Resultados'!$C$9:$BO$50,MATCH($B44,'Auxiliar Resultados'!$B$9:$B$50,0),MATCH(CONCATENATE($C44,AG$7),'Auxiliar Resultados'!$C$6:$BO$6,0)),"")))</f>
        <v/>
      </c>
      <c r="AH44" s="52" t="str">
        <f>+IF(IF($B44="","",IFERROR(INDEX('Auxiliar Resultados'!$C$9:$BO$50,MATCH($B44,'Auxiliar Resultados'!$B$9:$B$50,0),MATCH(CONCATENATE($C44,AH$7),'Auxiliar Resultados'!$C$6:$BO$6,0)),""))=0,"",IF($B44="","",IFERROR(INDEX('Auxiliar Resultados'!$C$9:$BO$50,MATCH($B44,'Auxiliar Resultados'!$B$9:$B$50,0),MATCH(CONCATENATE($C44,AH$7),'Auxiliar Resultados'!$C$6:$BO$6,0)),"")))</f>
        <v/>
      </c>
      <c r="AI44" s="52" t="str">
        <f>+IF(IF($B44="","",IFERROR(INDEX('Auxiliar Resultados'!$C$9:$BO$50,MATCH($B44,'Auxiliar Resultados'!$B$9:$B$50,0),MATCH(CONCATENATE($C44,AI$7),'Auxiliar Resultados'!$C$6:$BO$6,0)),""))=0,"",IF($B44="","",IFERROR(INDEX('Auxiliar Resultados'!$C$9:$BO$50,MATCH($B44,'Auxiliar Resultados'!$B$9:$B$50,0),MATCH(CONCATENATE($C44,AI$7),'Auxiliar Resultados'!$C$6:$BO$6,0)),"")))</f>
        <v/>
      </c>
      <c r="AJ44" s="52" t="str">
        <f>+IF(IF($B44="","",IFERROR(INDEX('Auxiliar Resultados'!$C$9:$BO$50,MATCH($B44,'Auxiliar Resultados'!$B$9:$B$50,0),MATCH(CONCATENATE($C44,AJ$7),'Auxiliar Resultados'!$C$6:$BO$6,0)),""))=0,"",IF($B44="","",IFERROR(INDEX('Auxiliar Resultados'!$C$9:$BO$50,MATCH($B44,'Auxiliar Resultados'!$B$9:$B$50,0),MATCH(CONCATENATE($C44,AJ$7),'Auxiliar Resultados'!$C$6:$BO$6,0)),"")))</f>
        <v/>
      </c>
      <c r="AK44" s="52" t="str">
        <f>+IF(IF($B44="","",IFERROR(INDEX('Auxiliar Resultados'!$C$9:$BO$50,MATCH($B44,'Auxiliar Resultados'!$B$9:$B$50,0),MATCH(CONCATENATE($C44,AK$7),'Auxiliar Resultados'!$C$6:$BO$6,0)),""))=0,"",IF($B44="","",IFERROR(INDEX('Auxiliar Resultados'!$C$9:$BO$50,MATCH($B44,'Auxiliar Resultados'!$B$9:$B$50,0),MATCH(CONCATENATE($C44,AK$7),'Auxiliar Resultados'!$C$6:$BO$6,0)),"")))</f>
        <v/>
      </c>
      <c r="AL44" s="52" t="str">
        <f>+IF(IF($B44="","",IFERROR(INDEX('Auxiliar Resultados'!$C$9:$BO$50,MATCH($B44,'Auxiliar Resultados'!$B$9:$B$50,0),MATCH(CONCATENATE($C44,AL$7),'Auxiliar Resultados'!$C$6:$BO$6,0)),""))=0,"",IF($B44="","",IFERROR(INDEX('Auxiliar Resultados'!$C$9:$BO$50,MATCH($B44,'Auxiliar Resultados'!$B$9:$B$50,0),MATCH(CONCATENATE($C44,AL$7),'Auxiliar Resultados'!$C$6:$BO$6,0)),"")))</f>
        <v/>
      </c>
      <c r="AM44" s="52" t="str">
        <f>+IF(IF($B44="","",IFERROR(INDEX('Auxiliar Resultados'!$C$9:$BO$50,MATCH($B44,'Auxiliar Resultados'!$B$9:$B$50,0),MATCH(CONCATENATE($C44,AM$7),'Auxiliar Resultados'!$C$6:$BO$6,0)),""))=0,"",IF($B44="","",IFERROR(INDEX('Auxiliar Resultados'!$C$9:$BO$50,MATCH($B44,'Auxiliar Resultados'!$B$9:$B$50,0),MATCH(CONCATENATE($C44,AM$7),'Auxiliar Resultados'!$C$6:$BO$6,0)),"")))</f>
        <v/>
      </c>
      <c r="AN44" s="52" t="str">
        <f>+IF(IF($B44="","",IFERROR(INDEX('Auxiliar Resultados'!$C$9:$BO$50,MATCH($B44,'Auxiliar Resultados'!$B$9:$B$50,0),MATCH(CONCATENATE($C44,AN$7),'Auxiliar Resultados'!$C$6:$BO$6,0)),""))=0,"",IF($B44="","",IFERROR(INDEX('Auxiliar Resultados'!$C$9:$BO$50,MATCH($B44,'Auxiliar Resultados'!$B$9:$B$50,0),MATCH(CONCATENATE($C44,AN$7),'Auxiliar Resultados'!$C$6:$BO$6,0)),"")))</f>
        <v/>
      </c>
      <c r="AO44" s="52" t="str">
        <f>+IF(IF($B44="","",IFERROR(INDEX('Auxiliar Resultados'!$C$9:$BO$50,MATCH($B44,'Auxiliar Resultados'!$B$9:$B$50,0),MATCH(CONCATENATE($C44,AO$7),'Auxiliar Resultados'!$C$6:$BO$6,0)),""))=0,"",IF($B44="","",IFERROR(INDEX('Auxiliar Resultados'!$C$9:$BO$50,MATCH($B44,'Auxiliar Resultados'!$B$9:$B$50,0),MATCH(CONCATENATE($C44,AO$7),'Auxiliar Resultados'!$C$6:$BO$6,0)),"")))</f>
        <v/>
      </c>
      <c r="AP44" s="52" t="str">
        <f>+IF(IF($B44="","",IFERROR(INDEX('Auxiliar Resultados'!$C$9:$BO$50,MATCH($B44,'Auxiliar Resultados'!$B$9:$B$50,0),MATCH(CONCATENATE($C44,AP$7),'Auxiliar Resultados'!$C$6:$BO$6,0)),""))=0,"",IF($B44="","",IFERROR(INDEX('Auxiliar Resultados'!$C$9:$BO$50,MATCH($B44,'Auxiliar Resultados'!$B$9:$B$50,0),MATCH(CONCATENATE($C44,AP$7),'Auxiliar Resultados'!$C$6:$BO$6,0)),"")))</f>
        <v/>
      </c>
      <c r="AQ44" s="276" t="str">
        <f>+IF(IF($B44="","",IFERROR(INDEX('Auxiliar Resultados'!$C$9:$BO$50,MATCH($B44,'Auxiliar Resultados'!$B$9:$B$50,0),MATCH(CONCATENATE($C44,AQ$7),'Auxiliar Resultados'!$C$6:$BO$6,0)),""))=0,"",IF($B44="","",IFERROR(INDEX('Auxiliar Resultados'!$C$9:$BO$50,MATCH($B44,'Auxiliar Resultados'!$B$9:$B$50,0),MATCH(CONCATENATE($C44,AQ$7),'Auxiliar Resultados'!$C$6:$BO$6,0)),"")))</f>
        <v/>
      </c>
      <c r="AS44" s="46" t="str">
        <f t="shared" si="5"/>
        <v/>
      </c>
      <c r="AT44" s="292" t="str">
        <f t="shared" si="6"/>
        <v/>
      </c>
      <c r="AU44" s="36" t="str">
        <f>+IF(G44="","",INDEX('Modelo Optimización'!$AZ$4:$CO$149,MATCH(CONCATENATE(AU$7,$AT44),'Modelo Optimización'!$CQ$4:$CQ$149,0),MATCH($AS44,'Modelo Optimización'!$AZ$3:$CO$3,0)))</f>
        <v/>
      </c>
      <c r="AV44" s="32" t="str">
        <f>+IF(H44="","",INDEX('Modelo Optimización'!$AZ$4:$CO$149,MATCH(CONCATENATE(AV$7,$AT44),'Modelo Optimización'!$CQ$4:$CQ$149,0),MATCH($AS44,'Modelo Optimización'!$AZ$3:$CO$3,0)))</f>
        <v/>
      </c>
      <c r="AW44" s="32" t="str">
        <f>+IF(I44="","",INDEX('Modelo Optimización'!$AZ$4:$CO$149,MATCH(CONCATENATE(AW$7,$AT44),'Modelo Optimización'!$CQ$4:$CQ$149,0),MATCH($AS44,'Modelo Optimización'!$AZ$3:$CO$3,0)))</f>
        <v/>
      </c>
      <c r="AX44" s="32" t="str">
        <f>+IF(J44="","",INDEX('Modelo Optimización'!$AZ$4:$CO$149,MATCH(CONCATENATE(AX$7,$AT44),'Modelo Optimización'!$CQ$4:$CQ$149,0),MATCH($AS44,'Modelo Optimización'!$AZ$3:$CO$3,0)))</f>
        <v/>
      </c>
      <c r="AY44" s="32" t="str">
        <f>+IF(K44="","",INDEX('Modelo Optimización'!$AZ$4:$CO$149,MATCH(CONCATENATE(AY$7,$AT44),'Modelo Optimización'!$CQ$4:$CQ$149,0),MATCH($AS44,'Modelo Optimización'!$AZ$3:$CO$3,0)))</f>
        <v/>
      </c>
      <c r="AZ44" s="32" t="str">
        <f>+IF(L44="","",INDEX('Modelo Optimización'!$AZ$4:$CO$149,MATCH(CONCATENATE(AZ$7,$AT44),'Modelo Optimización'!$CQ$4:$CQ$149,0),MATCH($AS44,'Modelo Optimización'!$AZ$3:$CO$3,0)))</f>
        <v/>
      </c>
      <c r="BA44" s="32" t="str">
        <f>+IF(M44="","",INDEX('Modelo Optimización'!$AZ$4:$CO$149,MATCH(CONCATENATE(BA$7,$AT44),'Modelo Optimización'!$CQ$4:$CQ$149,0),MATCH($AS44,'Modelo Optimización'!$AZ$3:$CO$3,0)))</f>
        <v/>
      </c>
      <c r="BB44" s="32" t="str">
        <f>+IF(N44="","",INDEX('Modelo Optimización'!$AZ$4:$CO$149,MATCH(CONCATENATE(BB$7,$AT44),'Modelo Optimización'!$CQ$4:$CQ$149,0),MATCH($AS44,'Modelo Optimización'!$AZ$3:$CO$3,0)))</f>
        <v/>
      </c>
      <c r="BC44" s="32" t="str">
        <f>+IF(O44="","",INDEX('Modelo Optimización'!$AZ$4:$CO$149,MATCH(CONCATENATE(BC$7,$AT44),'Modelo Optimización'!$CQ$4:$CQ$149,0),MATCH($AS44,'Modelo Optimización'!$AZ$3:$CO$3,0)))</f>
        <v/>
      </c>
      <c r="BD44" s="32" t="str">
        <f>+IF(P44="","",INDEX('Modelo Optimización'!$AZ$4:$CO$149,MATCH(CONCATENATE(BD$7,$AT44),'Modelo Optimización'!$CQ$4:$CQ$149,0),MATCH($AS44,'Modelo Optimización'!$AZ$3:$CO$3,0)))</f>
        <v/>
      </c>
      <c r="BE44" s="32" t="str">
        <f>+IF(Q44="","",INDEX('Modelo Optimización'!$AZ$4:$CO$149,MATCH(CONCATENATE(BE$7,$AT44),'Modelo Optimización'!$CQ$4:$CQ$149,0),MATCH($AS44,'Modelo Optimización'!$AZ$3:$CO$3,0)))</f>
        <v/>
      </c>
      <c r="BF44" s="32" t="str">
        <f>+IF(R44="","",INDEX('Modelo Optimización'!$AZ$4:$CO$149,MATCH(CONCATENATE(BF$7,$AT44),'Modelo Optimización'!$CQ$4:$CQ$149,0),MATCH($AS44,'Modelo Optimización'!$AZ$3:$CO$3,0)))</f>
        <v/>
      </c>
      <c r="BG44" s="32" t="str">
        <f>+IF(S44="","",INDEX('Modelo Optimización'!$AZ$4:$CO$149,MATCH(CONCATENATE(BG$7,$AT44),'Modelo Optimización'!$CQ$4:$CQ$149,0),MATCH($AS44,'Modelo Optimización'!$AZ$3:$CO$3,0)))</f>
        <v/>
      </c>
      <c r="BH44" s="32" t="str">
        <f>+IF(T44="","",INDEX('Modelo Optimización'!$AZ$4:$CO$149,MATCH(CONCATENATE(BH$7,$AT44),'Modelo Optimización'!$CQ$4:$CQ$149,0),MATCH($AS44,'Modelo Optimización'!$AZ$3:$CO$3,0)))</f>
        <v/>
      </c>
      <c r="BI44" s="32" t="str">
        <f>+IF(U44="","",INDEX('Modelo Optimización'!$AZ$4:$CO$149,MATCH(CONCATENATE(BI$7,$AT44),'Modelo Optimización'!$CQ$4:$CQ$149,0),MATCH($AS44,'Modelo Optimización'!$AZ$3:$CO$3,0)))</f>
        <v/>
      </c>
      <c r="BJ44" s="32" t="str">
        <f>+IF(V44="","",INDEX('Modelo Optimización'!$AZ$4:$CO$149,MATCH(CONCATENATE(BJ$7,$AT44),'Modelo Optimización'!$CQ$4:$CQ$149,0),MATCH($AS44,'Modelo Optimización'!$AZ$3:$CO$3,0)))</f>
        <v/>
      </c>
      <c r="BK44" s="32" t="str">
        <f>+IF(W44="","",INDEX('Modelo Optimización'!$AZ$4:$CO$149,MATCH(CONCATENATE(BK$7,$AT44),'Modelo Optimización'!$CQ$4:$CQ$149,0),MATCH($AS44,'Modelo Optimización'!$AZ$3:$CO$3,0)))</f>
        <v/>
      </c>
      <c r="BL44" s="32" t="str">
        <f>+IF(X44="","",INDEX('Modelo Optimización'!$AZ$4:$CO$149,MATCH(CONCATENATE(BL$7,$AT44),'Modelo Optimización'!$CQ$4:$CQ$149,0),MATCH($AS44,'Modelo Optimización'!$AZ$3:$CO$3,0)))</f>
        <v/>
      </c>
      <c r="BM44" s="32" t="str">
        <f>+IF(Y44="","",INDEX('Modelo Optimización'!$AZ$4:$CO$149,MATCH(CONCATENATE(BM$7,$AT44),'Modelo Optimización'!$CQ$4:$CQ$149,0),MATCH($AS44,'Modelo Optimización'!$AZ$3:$CO$3,0)))</f>
        <v/>
      </c>
      <c r="BN44" s="32" t="str">
        <f>+IF(Z44="","",INDEX('Modelo Optimización'!$AZ$4:$CO$149,MATCH(CONCATENATE(BN$7,$AT44),'Modelo Optimización'!$CQ$4:$CQ$149,0),MATCH($AS44,'Modelo Optimización'!$AZ$3:$CO$3,0)))</f>
        <v/>
      </c>
      <c r="BO44" s="32" t="str">
        <f>+IF(AA44="","",INDEX('Modelo Optimización'!$AZ$4:$CO$149,MATCH(CONCATENATE(BO$7,$AT44),'Modelo Optimización'!$CQ$4:$CQ$149,0),MATCH($AS44,'Modelo Optimización'!$AZ$3:$CO$3,0)))</f>
        <v/>
      </c>
      <c r="BP44" s="32" t="str">
        <f>+IF(AB44="","",INDEX('Modelo Optimización'!$AZ$4:$CO$149,MATCH(CONCATENATE(BP$7,$AT44),'Modelo Optimización'!$CQ$4:$CQ$149,0),MATCH($AS44,'Modelo Optimización'!$AZ$3:$CO$3,0)))</f>
        <v/>
      </c>
      <c r="BQ44" s="32" t="str">
        <f>+IF(AC44="","",INDEX('Modelo Optimización'!$AZ$4:$CO$149,MATCH(CONCATENATE(BQ$7,$AT44),'Modelo Optimización'!$CQ$4:$CQ$149,0),MATCH($AS44,'Modelo Optimización'!$AZ$3:$CO$3,0)))</f>
        <v/>
      </c>
      <c r="BR44" s="32" t="str">
        <f>+IF(AD44="","",INDEX('Modelo Optimización'!$AZ$4:$CO$149,MATCH(CONCATENATE(BR$7,$AT44),'Modelo Optimización'!$CQ$4:$CQ$149,0),MATCH($AS44,'Modelo Optimización'!$AZ$3:$CO$3,0)))</f>
        <v/>
      </c>
      <c r="BS44" s="32" t="str">
        <f>+IF(AE44="","",INDEX('Modelo Optimización'!$AZ$4:$CO$149,MATCH(CONCATENATE(BS$7,$AT44),'Modelo Optimización'!$CQ$4:$CQ$149,0),MATCH($AS44,'Modelo Optimización'!$AZ$3:$CO$3,0)))</f>
        <v/>
      </c>
      <c r="BT44" s="32" t="str">
        <f>+IF(AF44="","",INDEX('Modelo Optimización'!$AZ$4:$CO$149,MATCH(CONCATENATE(BT$7,$AT44),'Modelo Optimización'!$CQ$4:$CQ$149,0),MATCH($AS44,'Modelo Optimización'!$AZ$3:$CO$3,0)))</f>
        <v/>
      </c>
      <c r="BU44" s="32" t="str">
        <f>+IF(AG44="","",INDEX('Modelo Optimización'!$AZ$4:$CO$149,MATCH(CONCATENATE(BU$7,$AT44),'Modelo Optimización'!$CQ$4:$CQ$149,0),MATCH($AS44,'Modelo Optimización'!$AZ$3:$CO$3,0)))</f>
        <v/>
      </c>
      <c r="BV44" s="32" t="str">
        <f>+IF(AH44="","",INDEX('Modelo Optimización'!$AZ$4:$CO$149,MATCH(CONCATENATE(BV$7,$AT44),'Modelo Optimización'!$CQ$4:$CQ$149,0),MATCH($AS44,'Modelo Optimización'!$AZ$3:$CO$3,0)))</f>
        <v/>
      </c>
      <c r="BW44" s="32" t="str">
        <f>+IF(AI44="","",INDEX('Modelo Optimización'!$AZ$4:$CO$149,MATCH(CONCATENATE(BW$7,$AT44),'Modelo Optimización'!$CQ$4:$CQ$149,0),MATCH($AS44,'Modelo Optimización'!$AZ$3:$CO$3,0)))</f>
        <v/>
      </c>
      <c r="BX44" s="32" t="str">
        <f>+IF(AJ44="","",INDEX('Modelo Optimización'!$AZ$4:$CO$149,MATCH(CONCATENATE(BX$7,$AT44),'Modelo Optimización'!$CQ$4:$CQ$149,0),MATCH($AS44,'Modelo Optimización'!$AZ$3:$CO$3,0)))</f>
        <v/>
      </c>
      <c r="BY44" s="32" t="str">
        <f>+IF(AK44="","",INDEX('Modelo Optimización'!$AZ$4:$CO$149,MATCH(CONCATENATE(BY$7,$AT44),'Modelo Optimización'!$CQ$4:$CQ$149,0),MATCH($AS44,'Modelo Optimización'!$AZ$3:$CO$3,0)))</f>
        <v/>
      </c>
      <c r="BZ44" s="32" t="str">
        <f>+IF(AL44="","",INDEX('Modelo Optimización'!$AZ$4:$CO$149,MATCH(CONCATENATE(BZ$7,$AT44),'Modelo Optimización'!$CQ$4:$CQ$149,0),MATCH($AS44,'Modelo Optimización'!$AZ$3:$CO$3,0)))</f>
        <v/>
      </c>
      <c r="CA44" s="32" t="str">
        <f>+IF(AM44="","",INDEX('Modelo Optimización'!$AZ$4:$CO$149,MATCH(CONCATENATE(CA$7,$AT44),'Modelo Optimización'!$CQ$4:$CQ$149,0),MATCH($AS44,'Modelo Optimización'!$AZ$3:$CO$3,0)))</f>
        <v/>
      </c>
      <c r="CB44" s="32" t="str">
        <f>+IF(AN44="","",INDEX('Modelo Optimización'!$AZ$4:$CO$149,MATCH(CONCATENATE(CB$7,$AT44),'Modelo Optimización'!$CQ$4:$CQ$149,0),MATCH($AS44,'Modelo Optimización'!$AZ$3:$CO$3,0)))</f>
        <v/>
      </c>
      <c r="CC44" s="32" t="str">
        <f>+IF(AO44="","",INDEX('Modelo Optimización'!$AZ$4:$CO$149,MATCH(CONCATENATE(CC$7,$AT44),'Modelo Optimización'!$CQ$4:$CQ$149,0),MATCH($AS44,'Modelo Optimización'!$AZ$3:$CO$3,0)))</f>
        <v/>
      </c>
      <c r="CD44" s="32" t="str">
        <f>+IF(AP44="","",INDEX('Modelo Optimización'!$AZ$4:$CO$149,MATCH(CONCATENATE(CD$7,$AT44),'Modelo Optimización'!$CQ$4:$CQ$149,0),MATCH($AS44,'Modelo Optimización'!$AZ$3:$CO$3,0)))</f>
        <v/>
      </c>
      <c r="CE44" s="37" t="str">
        <f>+IF(AQ44="","",INDEX('Modelo Optimización'!$AZ$4:$CO$149,MATCH(CONCATENATE(CE$7,$AT44),'Modelo Optimización'!$CQ$4:$CQ$149,0),MATCH($AS44,'Modelo Optimización'!$AZ$3:$CO$3,0)))</f>
        <v/>
      </c>
      <c r="CF44" s="301"/>
      <c r="CG44" s="305" t="str">
        <f t="shared" si="11"/>
        <v/>
      </c>
      <c r="CH44" s="303" t="str">
        <f t="shared" si="7"/>
        <v/>
      </c>
      <c r="CI44" s="292" t="str">
        <f t="shared" si="8"/>
        <v/>
      </c>
      <c r="CJ44" s="36" t="str">
        <f t="shared" si="12"/>
        <v/>
      </c>
      <c r="CK44" s="32" t="str">
        <f t="shared" si="13"/>
        <v/>
      </c>
      <c r="CL44" s="32" t="str">
        <f t="shared" si="14"/>
        <v/>
      </c>
      <c r="CM44" s="32" t="str">
        <f t="shared" si="15"/>
        <v/>
      </c>
      <c r="CN44" s="32" t="str">
        <f t="shared" si="16"/>
        <v/>
      </c>
      <c r="CO44" s="32" t="str">
        <f t="shared" si="17"/>
        <v/>
      </c>
      <c r="CP44" s="32" t="str">
        <f t="shared" si="18"/>
        <v/>
      </c>
      <c r="CQ44" s="32" t="str">
        <f t="shared" si="19"/>
        <v/>
      </c>
      <c r="CR44" s="32" t="str">
        <f t="shared" si="20"/>
        <v/>
      </c>
      <c r="CS44" s="32" t="str">
        <f t="shared" si="21"/>
        <v/>
      </c>
      <c r="CT44" s="32" t="str">
        <f t="shared" si="22"/>
        <v/>
      </c>
      <c r="CU44" s="32" t="str">
        <f t="shared" si="23"/>
        <v/>
      </c>
      <c r="CV44" s="32" t="str">
        <f t="shared" si="24"/>
        <v/>
      </c>
      <c r="CW44" s="32" t="str">
        <f t="shared" si="25"/>
        <v/>
      </c>
      <c r="CX44" s="32" t="str">
        <f t="shared" si="26"/>
        <v/>
      </c>
      <c r="CY44" s="32" t="str">
        <f t="shared" si="27"/>
        <v/>
      </c>
      <c r="CZ44" s="32" t="str">
        <f t="shared" si="28"/>
        <v/>
      </c>
      <c r="DA44" s="32" t="str">
        <f t="shared" si="29"/>
        <v/>
      </c>
      <c r="DB44" s="32" t="str">
        <f t="shared" si="30"/>
        <v/>
      </c>
      <c r="DC44" s="32" t="str">
        <f t="shared" si="31"/>
        <v/>
      </c>
      <c r="DD44" s="32" t="str">
        <f t="shared" si="32"/>
        <v/>
      </c>
      <c r="DE44" s="32" t="str">
        <f t="shared" si="33"/>
        <v/>
      </c>
      <c r="DF44" s="32" t="str">
        <f t="shared" si="34"/>
        <v/>
      </c>
      <c r="DG44" s="32" t="str">
        <f t="shared" si="35"/>
        <v/>
      </c>
      <c r="DH44" s="32" t="str">
        <f t="shared" si="36"/>
        <v/>
      </c>
      <c r="DI44" s="32" t="str">
        <f t="shared" si="37"/>
        <v/>
      </c>
      <c r="DJ44" s="32" t="str">
        <f t="shared" si="38"/>
        <v/>
      </c>
      <c r="DK44" s="32" t="str">
        <f t="shared" si="39"/>
        <v/>
      </c>
      <c r="DL44" s="32" t="str">
        <f t="shared" si="40"/>
        <v/>
      </c>
      <c r="DM44" s="32" t="str">
        <f t="shared" si="41"/>
        <v/>
      </c>
      <c r="DN44" s="32" t="str">
        <f t="shared" si="42"/>
        <v/>
      </c>
      <c r="DO44" s="32" t="str">
        <f t="shared" si="43"/>
        <v/>
      </c>
      <c r="DP44" s="32" t="str">
        <f t="shared" si="44"/>
        <v/>
      </c>
      <c r="DQ44" s="32" t="str">
        <f t="shared" si="45"/>
        <v/>
      </c>
      <c r="DR44" s="32" t="str">
        <f t="shared" si="46"/>
        <v/>
      </c>
      <c r="DS44" s="32" t="str">
        <f t="shared" si="47"/>
        <v/>
      </c>
      <c r="DT44" s="37" t="str">
        <f t="shared" si="48"/>
        <v/>
      </c>
    </row>
    <row r="45" spans="2:124" x14ac:dyDescent="0.35">
      <c r="B45" s="46"/>
      <c r="C45" s="212"/>
      <c r="D45" s="52"/>
      <c r="E45" s="52" t="str">
        <f>+IF(B45="","",IFERROR(SUMIF('Modelo Optimización'!$AS$72:$AS$217,C45,INDEX('Modelo Optimización'!$C$72:$AR$217,,MATCH(B45,'Modelo Optimización'!$C$71:$AR$71,0))),0))</f>
        <v/>
      </c>
      <c r="F45" s="281" t="str">
        <f t="shared" si="10"/>
        <v/>
      </c>
      <c r="G45" s="280" t="str">
        <f>+IF(IF($B45="","",IFERROR(INDEX('Auxiliar Resultados'!$C$9:$BO$50,MATCH($B45,'Auxiliar Resultados'!$B$9:$B$50,0),MATCH(CONCATENATE($C45,G$7),'Auxiliar Resultados'!$C$6:$BO$6,0)),""))=0,"",IF($B45="","",IFERROR(INDEX('Auxiliar Resultados'!$C$9:$BO$50,MATCH($B45,'Auxiliar Resultados'!$B$9:$B$50,0),MATCH(CONCATENATE($C45,G$7),'Auxiliar Resultados'!$C$6:$BO$6,0)),"")))</f>
        <v/>
      </c>
      <c r="H45" s="52" t="str">
        <f>+IF(IF($B45="","",IFERROR(INDEX('Auxiliar Resultados'!$C$9:$BO$50,MATCH($B45,'Auxiliar Resultados'!$B$9:$B$50,0),MATCH(CONCATENATE($C45,H$7),'Auxiliar Resultados'!$C$6:$BO$6,0)),""))=0,"",IF($B45="","",IFERROR(INDEX('Auxiliar Resultados'!$C$9:$BO$50,MATCH($B45,'Auxiliar Resultados'!$B$9:$B$50,0),MATCH(CONCATENATE($C45,H$7),'Auxiliar Resultados'!$C$6:$BO$6,0)),"")))</f>
        <v/>
      </c>
      <c r="I45" s="52" t="str">
        <f>+IF(IF($B45="","",IFERROR(INDEX('Auxiliar Resultados'!$C$9:$BO$50,MATCH($B45,'Auxiliar Resultados'!$B$9:$B$50,0),MATCH(CONCATENATE($C45,I$7),'Auxiliar Resultados'!$C$6:$BO$6,0)),""))=0,"",IF($B45="","",IFERROR(INDEX('Auxiliar Resultados'!$C$9:$BO$50,MATCH($B45,'Auxiliar Resultados'!$B$9:$B$50,0),MATCH(CONCATENATE($C45,I$7),'Auxiliar Resultados'!$C$6:$BO$6,0)),"")))</f>
        <v/>
      </c>
      <c r="J45" s="52" t="str">
        <f>+IF(IF($B45="","",IFERROR(INDEX('Auxiliar Resultados'!$C$9:$BO$50,MATCH($B45,'Auxiliar Resultados'!$B$9:$B$50,0),MATCH(CONCATENATE($C45,J$7),'Auxiliar Resultados'!$C$6:$BO$6,0)),""))=0,"",IF($B45="","",IFERROR(INDEX('Auxiliar Resultados'!$C$9:$BO$50,MATCH($B45,'Auxiliar Resultados'!$B$9:$B$50,0),MATCH(CONCATENATE($C45,J$7),'Auxiliar Resultados'!$C$6:$BO$6,0)),"")))</f>
        <v/>
      </c>
      <c r="K45" s="52" t="str">
        <f>+IF(IF($B45="","",IFERROR(INDEX('Auxiliar Resultados'!$C$9:$BO$50,MATCH($B45,'Auxiliar Resultados'!$B$9:$B$50,0),MATCH(CONCATENATE($C45,K$7),'Auxiliar Resultados'!$C$6:$BO$6,0)),""))=0,"",IF($B45="","",IFERROR(INDEX('Auxiliar Resultados'!$C$9:$BO$50,MATCH($B45,'Auxiliar Resultados'!$B$9:$B$50,0),MATCH(CONCATENATE($C45,K$7),'Auxiliar Resultados'!$C$6:$BO$6,0)),"")))</f>
        <v/>
      </c>
      <c r="L45" s="52" t="str">
        <f>+IF(IF($B45="","",IFERROR(INDEX('Auxiliar Resultados'!$C$9:$BO$50,MATCH($B45,'Auxiliar Resultados'!$B$9:$B$50,0),MATCH(CONCATENATE($C45,L$7),'Auxiliar Resultados'!$C$6:$BO$6,0)),""))=0,"",IF($B45="","",IFERROR(INDEX('Auxiliar Resultados'!$C$9:$BO$50,MATCH($B45,'Auxiliar Resultados'!$B$9:$B$50,0),MATCH(CONCATENATE($C45,L$7),'Auxiliar Resultados'!$C$6:$BO$6,0)),"")))</f>
        <v/>
      </c>
      <c r="M45" s="52" t="str">
        <f>+IF(IF($B45="","",IFERROR(INDEX('Auxiliar Resultados'!$C$9:$BO$50,MATCH($B45,'Auxiliar Resultados'!$B$9:$B$50,0),MATCH(CONCATENATE($C45,M$7),'Auxiliar Resultados'!$C$6:$BO$6,0)),""))=0,"",IF($B45="","",IFERROR(INDEX('Auxiliar Resultados'!$C$9:$BO$50,MATCH($B45,'Auxiliar Resultados'!$B$9:$B$50,0),MATCH(CONCATENATE($C45,M$7),'Auxiliar Resultados'!$C$6:$BO$6,0)),"")))</f>
        <v/>
      </c>
      <c r="N45" s="52" t="str">
        <f>+IF(IF($B45="","",IFERROR(INDEX('Auxiliar Resultados'!$C$9:$BO$50,MATCH($B45,'Auxiliar Resultados'!$B$9:$B$50,0),MATCH(CONCATENATE($C45,N$7),'Auxiliar Resultados'!$C$6:$BO$6,0)),""))=0,"",IF($B45="","",IFERROR(INDEX('Auxiliar Resultados'!$C$9:$BO$50,MATCH($B45,'Auxiliar Resultados'!$B$9:$B$50,0),MATCH(CONCATENATE($C45,N$7),'Auxiliar Resultados'!$C$6:$BO$6,0)),"")))</f>
        <v/>
      </c>
      <c r="O45" s="52" t="str">
        <f>+IF(IF($B45="","",IFERROR(INDEX('Auxiliar Resultados'!$C$9:$BO$50,MATCH($B45,'Auxiliar Resultados'!$B$9:$B$50,0),MATCH(CONCATENATE($C45,O$7),'Auxiliar Resultados'!$C$6:$BO$6,0)),""))=0,"",IF($B45="","",IFERROR(INDEX('Auxiliar Resultados'!$C$9:$BO$50,MATCH($B45,'Auxiliar Resultados'!$B$9:$B$50,0),MATCH(CONCATENATE($C45,O$7),'Auxiliar Resultados'!$C$6:$BO$6,0)),"")))</f>
        <v/>
      </c>
      <c r="P45" s="52" t="str">
        <f>+IF(IF($B45="","",IFERROR(INDEX('Auxiliar Resultados'!$C$9:$BO$50,MATCH($B45,'Auxiliar Resultados'!$B$9:$B$50,0),MATCH(CONCATENATE($C45,P$7),'Auxiliar Resultados'!$C$6:$BO$6,0)),""))=0,"",IF($B45="","",IFERROR(INDEX('Auxiliar Resultados'!$C$9:$BO$50,MATCH($B45,'Auxiliar Resultados'!$B$9:$B$50,0),MATCH(CONCATENATE($C45,P$7),'Auxiliar Resultados'!$C$6:$BO$6,0)),"")))</f>
        <v/>
      </c>
      <c r="Q45" s="52" t="str">
        <f>+IF(IF($B45="","",IFERROR(INDEX('Auxiliar Resultados'!$C$9:$BO$50,MATCH($B45,'Auxiliar Resultados'!$B$9:$B$50,0),MATCH(CONCATENATE($C45,Q$7),'Auxiliar Resultados'!$C$6:$BO$6,0)),""))=0,"",IF($B45="","",IFERROR(INDEX('Auxiliar Resultados'!$C$9:$BO$50,MATCH($B45,'Auxiliar Resultados'!$B$9:$B$50,0),MATCH(CONCATENATE($C45,Q$7),'Auxiliar Resultados'!$C$6:$BO$6,0)),"")))</f>
        <v/>
      </c>
      <c r="R45" s="52" t="str">
        <f>+IF(IF($B45="","",IFERROR(INDEX('Auxiliar Resultados'!$C$9:$BO$50,MATCH($B45,'Auxiliar Resultados'!$B$9:$B$50,0),MATCH(CONCATENATE($C45,R$7),'Auxiliar Resultados'!$C$6:$BO$6,0)),""))=0,"",IF($B45="","",IFERROR(INDEX('Auxiliar Resultados'!$C$9:$BO$50,MATCH($B45,'Auxiliar Resultados'!$B$9:$B$50,0),MATCH(CONCATENATE($C45,R$7),'Auxiliar Resultados'!$C$6:$BO$6,0)),"")))</f>
        <v/>
      </c>
      <c r="S45" s="52" t="str">
        <f>+IF(IF($B45="","",IFERROR(INDEX('Auxiliar Resultados'!$C$9:$BO$50,MATCH($B45,'Auxiliar Resultados'!$B$9:$B$50,0),MATCH(CONCATENATE($C45,S$7),'Auxiliar Resultados'!$C$6:$BO$6,0)),""))=0,"",IF($B45="","",IFERROR(INDEX('Auxiliar Resultados'!$C$9:$BO$50,MATCH($B45,'Auxiliar Resultados'!$B$9:$B$50,0),MATCH(CONCATENATE($C45,S$7),'Auxiliar Resultados'!$C$6:$BO$6,0)),"")))</f>
        <v/>
      </c>
      <c r="T45" s="52" t="str">
        <f>+IF(IF($B45="","",IFERROR(INDEX('Auxiliar Resultados'!$C$9:$BO$50,MATCH($B45,'Auxiliar Resultados'!$B$9:$B$50,0),MATCH(CONCATENATE($C45,T$7),'Auxiliar Resultados'!$C$6:$BO$6,0)),""))=0,"",IF($B45="","",IFERROR(INDEX('Auxiliar Resultados'!$C$9:$BO$50,MATCH($B45,'Auxiliar Resultados'!$B$9:$B$50,0),MATCH(CONCATENATE($C45,T$7),'Auxiliar Resultados'!$C$6:$BO$6,0)),"")))</f>
        <v/>
      </c>
      <c r="U45" s="52" t="str">
        <f>+IF(IF($B45="","",IFERROR(INDEX('Auxiliar Resultados'!$C$9:$BO$50,MATCH($B45,'Auxiliar Resultados'!$B$9:$B$50,0),MATCH(CONCATENATE($C45,U$7),'Auxiliar Resultados'!$C$6:$BO$6,0)),""))=0,"",IF($B45="","",IFERROR(INDEX('Auxiliar Resultados'!$C$9:$BO$50,MATCH($B45,'Auxiliar Resultados'!$B$9:$B$50,0),MATCH(CONCATENATE($C45,U$7),'Auxiliar Resultados'!$C$6:$BO$6,0)),"")))</f>
        <v/>
      </c>
      <c r="V45" s="52" t="str">
        <f>+IF(IF($B45="","",IFERROR(INDEX('Auxiliar Resultados'!$C$9:$BO$50,MATCH($B45,'Auxiliar Resultados'!$B$9:$B$50,0),MATCH(CONCATENATE($C45,V$7),'Auxiliar Resultados'!$C$6:$BO$6,0)),""))=0,"",IF($B45="","",IFERROR(INDEX('Auxiliar Resultados'!$C$9:$BO$50,MATCH($B45,'Auxiliar Resultados'!$B$9:$B$50,0),MATCH(CONCATENATE($C45,V$7),'Auxiliar Resultados'!$C$6:$BO$6,0)),"")))</f>
        <v/>
      </c>
      <c r="W45" s="52" t="str">
        <f>+IF(IF($B45="","",IFERROR(INDEX('Auxiliar Resultados'!$C$9:$BO$50,MATCH($B45,'Auxiliar Resultados'!$B$9:$B$50,0),MATCH(CONCATENATE($C45,W$7),'Auxiliar Resultados'!$C$6:$BO$6,0)),""))=0,"",IF($B45="","",IFERROR(INDEX('Auxiliar Resultados'!$C$9:$BO$50,MATCH($B45,'Auxiliar Resultados'!$B$9:$B$50,0),MATCH(CONCATENATE($C45,W$7),'Auxiliar Resultados'!$C$6:$BO$6,0)),"")))</f>
        <v/>
      </c>
      <c r="X45" s="52" t="str">
        <f>+IF(IF($B45="","",IFERROR(INDEX('Auxiliar Resultados'!$C$9:$BO$50,MATCH($B45,'Auxiliar Resultados'!$B$9:$B$50,0),MATCH(CONCATENATE($C45,X$7),'Auxiliar Resultados'!$C$6:$BO$6,0)),""))=0,"",IF($B45="","",IFERROR(INDEX('Auxiliar Resultados'!$C$9:$BO$50,MATCH($B45,'Auxiliar Resultados'!$B$9:$B$50,0),MATCH(CONCATENATE($C45,X$7),'Auxiliar Resultados'!$C$6:$BO$6,0)),"")))</f>
        <v/>
      </c>
      <c r="Y45" s="52" t="str">
        <f>+IF(IF($B45="","",IFERROR(INDEX('Auxiliar Resultados'!$C$9:$BO$50,MATCH($B45,'Auxiliar Resultados'!$B$9:$B$50,0),MATCH(CONCATENATE($C45,Y$7),'Auxiliar Resultados'!$C$6:$BO$6,0)),""))=0,"",IF($B45="","",IFERROR(INDEX('Auxiliar Resultados'!$C$9:$BO$50,MATCH($B45,'Auxiliar Resultados'!$B$9:$B$50,0),MATCH(CONCATENATE($C45,Y$7),'Auxiliar Resultados'!$C$6:$BO$6,0)),"")))</f>
        <v/>
      </c>
      <c r="Z45" s="52" t="str">
        <f>+IF(IF($B45="","",IFERROR(INDEX('Auxiliar Resultados'!$C$9:$BO$50,MATCH($B45,'Auxiliar Resultados'!$B$9:$B$50,0),MATCH(CONCATENATE($C45,Z$7),'Auxiliar Resultados'!$C$6:$BO$6,0)),""))=0,"",IF($B45="","",IFERROR(INDEX('Auxiliar Resultados'!$C$9:$BO$50,MATCH($B45,'Auxiliar Resultados'!$B$9:$B$50,0),MATCH(CONCATENATE($C45,Z$7),'Auxiliar Resultados'!$C$6:$BO$6,0)),"")))</f>
        <v/>
      </c>
      <c r="AA45" s="52" t="str">
        <f>+IF(IF($B45="","",IFERROR(INDEX('Auxiliar Resultados'!$C$9:$BO$50,MATCH($B45,'Auxiliar Resultados'!$B$9:$B$50,0),MATCH(CONCATENATE($C45,AA$7),'Auxiliar Resultados'!$C$6:$BO$6,0)),""))=0,"",IF($B45="","",IFERROR(INDEX('Auxiliar Resultados'!$C$9:$BO$50,MATCH($B45,'Auxiliar Resultados'!$B$9:$B$50,0),MATCH(CONCATENATE($C45,AA$7),'Auxiliar Resultados'!$C$6:$BO$6,0)),"")))</f>
        <v/>
      </c>
      <c r="AB45" s="52" t="str">
        <f>+IF(IF($B45="","",IFERROR(INDEX('Auxiliar Resultados'!$C$9:$BO$50,MATCH($B45,'Auxiliar Resultados'!$B$9:$B$50,0),MATCH(CONCATENATE($C45,AB$7),'Auxiliar Resultados'!$C$6:$BO$6,0)),""))=0,"",IF($B45="","",IFERROR(INDEX('Auxiliar Resultados'!$C$9:$BO$50,MATCH($B45,'Auxiliar Resultados'!$B$9:$B$50,0),MATCH(CONCATENATE($C45,AB$7),'Auxiliar Resultados'!$C$6:$BO$6,0)),"")))</f>
        <v/>
      </c>
      <c r="AC45" s="52" t="str">
        <f>+IF(IF($B45="","",IFERROR(INDEX('Auxiliar Resultados'!$C$9:$BO$50,MATCH($B45,'Auxiliar Resultados'!$B$9:$B$50,0),MATCH(CONCATENATE($C45,AC$7),'Auxiliar Resultados'!$C$6:$BO$6,0)),""))=0,"",IF($B45="","",IFERROR(INDEX('Auxiliar Resultados'!$C$9:$BO$50,MATCH($B45,'Auxiliar Resultados'!$B$9:$B$50,0),MATCH(CONCATENATE($C45,AC$7),'Auxiliar Resultados'!$C$6:$BO$6,0)),"")))</f>
        <v/>
      </c>
      <c r="AD45" s="52" t="str">
        <f>+IF(IF($B45="","",IFERROR(INDEX('Auxiliar Resultados'!$C$9:$BO$50,MATCH($B45,'Auxiliar Resultados'!$B$9:$B$50,0),MATCH(CONCATENATE($C45,AD$7),'Auxiliar Resultados'!$C$6:$BO$6,0)),""))=0,"",IF($B45="","",IFERROR(INDEX('Auxiliar Resultados'!$C$9:$BO$50,MATCH($B45,'Auxiliar Resultados'!$B$9:$B$50,0),MATCH(CONCATENATE($C45,AD$7),'Auxiliar Resultados'!$C$6:$BO$6,0)),"")))</f>
        <v/>
      </c>
      <c r="AE45" s="52" t="str">
        <f>+IF(IF($B45="","",IFERROR(INDEX('Auxiliar Resultados'!$C$9:$BO$50,MATCH($B45,'Auxiliar Resultados'!$B$9:$B$50,0),MATCH(CONCATENATE($C45,AE$7),'Auxiliar Resultados'!$C$6:$BO$6,0)),""))=0,"",IF($B45="","",IFERROR(INDEX('Auxiliar Resultados'!$C$9:$BO$50,MATCH($B45,'Auxiliar Resultados'!$B$9:$B$50,0),MATCH(CONCATENATE($C45,AE$7),'Auxiliar Resultados'!$C$6:$BO$6,0)),"")))</f>
        <v/>
      </c>
      <c r="AF45" s="52" t="str">
        <f>+IF(IF($B45="","",IFERROR(INDEX('Auxiliar Resultados'!$C$9:$BO$50,MATCH($B45,'Auxiliar Resultados'!$B$9:$B$50,0),MATCH(CONCATENATE($C45,AF$7),'Auxiliar Resultados'!$C$6:$BO$6,0)),""))=0,"",IF($B45="","",IFERROR(INDEX('Auxiliar Resultados'!$C$9:$BO$50,MATCH($B45,'Auxiliar Resultados'!$B$9:$B$50,0),MATCH(CONCATENATE($C45,AF$7),'Auxiliar Resultados'!$C$6:$BO$6,0)),"")))</f>
        <v/>
      </c>
      <c r="AG45" s="52" t="str">
        <f>+IF(IF($B45="","",IFERROR(INDEX('Auxiliar Resultados'!$C$9:$BO$50,MATCH($B45,'Auxiliar Resultados'!$B$9:$B$50,0),MATCH(CONCATENATE($C45,AG$7),'Auxiliar Resultados'!$C$6:$BO$6,0)),""))=0,"",IF($B45="","",IFERROR(INDEX('Auxiliar Resultados'!$C$9:$BO$50,MATCH($B45,'Auxiliar Resultados'!$B$9:$B$50,0),MATCH(CONCATENATE($C45,AG$7),'Auxiliar Resultados'!$C$6:$BO$6,0)),"")))</f>
        <v/>
      </c>
      <c r="AH45" s="52" t="str">
        <f>+IF(IF($B45="","",IFERROR(INDEX('Auxiliar Resultados'!$C$9:$BO$50,MATCH($B45,'Auxiliar Resultados'!$B$9:$B$50,0),MATCH(CONCATENATE($C45,AH$7),'Auxiliar Resultados'!$C$6:$BO$6,0)),""))=0,"",IF($B45="","",IFERROR(INDEX('Auxiliar Resultados'!$C$9:$BO$50,MATCH($B45,'Auxiliar Resultados'!$B$9:$B$50,0),MATCH(CONCATENATE($C45,AH$7),'Auxiliar Resultados'!$C$6:$BO$6,0)),"")))</f>
        <v/>
      </c>
      <c r="AI45" s="52" t="str">
        <f>+IF(IF($B45="","",IFERROR(INDEX('Auxiliar Resultados'!$C$9:$BO$50,MATCH($B45,'Auxiliar Resultados'!$B$9:$B$50,0),MATCH(CONCATENATE($C45,AI$7),'Auxiliar Resultados'!$C$6:$BO$6,0)),""))=0,"",IF($B45="","",IFERROR(INDEX('Auxiliar Resultados'!$C$9:$BO$50,MATCH($B45,'Auxiliar Resultados'!$B$9:$B$50,0),MATCH(CONCATENATE($C45,AI$7),'Auxiliar Resultados'!$C$6:$BO$6,0)),"")))</f>
        <v/>
      </c>
      <c r="AJ45" s="52" t="str">
        <f>+IF(IF($B45="","",IFERROR(INDEX('Auxiliar Resultados'!$C$9:$BO$50,MATCH($B45,'Auxiliar Resultados'!$B$9:$B$50,0),MATCH(CONCATENATE($C45,AJ$7),'Auxiliar Resultados'!$C$6:$BO$6,0)),""))=0,"",IF($B45="","",IFERROR(INDEX('Auxiliar Resultados'!$C$9:$BO$50,MATCH($B45,'Auxiliar Resultados'!$B$9:$B$50,0),MATCH(CONCATENATE($C45,AJ$7),'Auxiliar Resultados'!$C$6:$BO$6,0)),"")))</f>
        <v/>
      </c>
      <c r="AK45" s="52" t="str">
        <f>+IF(IF($B45="","",IFERROR(INDEX('Auxiliar Resultados'!$C$9:$BO$50,MATCH($B45,'Auxiliar Resultados'!$B$9:$B$50,0),MATCH(CONCATENATE($C45,AK$7),'Auxiliar Resultados'!$C$6:$BO$6,0)),""))=0,"",IF($B45="","",IFERROR(INDEX('Auxiliar Resultados'!$C$9:$BO$50,MATCH($B45,'Auxiliar Resultados'!$B$9:$B$50,0),MATCH(CONCATENATE($C45,AK$7),'Auxiliar Resultados'!$C$6:$BO$6,0)),"")))</f>
        <v/>
      </c>
      <c r="AL45" s="52" t="str">
        <f>+IF(IF($B45="","",IFERROR(INDEX('Auxiliar Resultados'!$C$9:$BO$50,MATCH($B45,'Auxiliar Resultados'!$B$9:$B$50,0),MATCH(CONCATENATE($C45,AL$7),'Auxiliar Resultados'!$C$6:$BO$6,0)),""))=0,"",IF($B45="","",IFERROR(INDEX('Auxiliar Resultados'!$C$9:$BO$50,MATCH($B45,'Auxiliar Resultados'!$B$9:$B$50,0),MATCH(CONCATENATE($C45,AL$7),'Auxiliar Resultados'!$C$6:$BO$6,0)),"")))</f>
        <v/>
      </c>
      <c r="AM45" s="52" t="str">
        <f>+IF(IF($B45="","",IFERROR(INDEX('Auxiliar Resultados'!$C$9:$BO$50,MATCH($B45,'Auxiliar Resultados'!$B$9:$B$50,0),MATCH(CONCATENATE($C45,AM$7),'Auxiliar Resultados'!$C$6:$BO$6,0)),""))=0,"",IF($B45="","",IFERROR(INDEX('Auxiliar Resultados'!$C$9:$BO$50,MATCH($B45,'Auxiliar Resultados'!$B$9:$B$50,0),MATCH(CONCATENATE($C45,AM$7),'Auxiliar Resultados'!$C$6:$BO$6,0)),"")))</f>
        <v/>
      </c>
      <c r="AN45" s="52" t="str">
        <f>+IF(IF($B45="","",IFERROR(INDEX('Auxiliar Resultados'!$C$9:$BO$50,MATCH($B45,'Auxiliar Resultados'!$B$9:$B$50,0),MATCH(CONCATENATE($C45,AN$7),'Auxiliar Resultados'!$C$6:$BO$6,0)),""))=0,"",IF($B45="","",IFERROR(INDEX('Auxiliar Resultados'!$C$9:$BO$50,MATCH($B45,'Auxiliar Resultados'!$B$9:$B$50,0),MATCH(CONCATENATE($C45,AN$7),'Auxiliar Resultados'!$C$6:$BO$6,0)),"")))</f>
        <v/>
      </c>
      <c r="AO45" s="52" t="str">
        <f>+IF(IF($B45="","",IFERROR(INDEX('Auxiliar Resultados'!$C$9:$BO$50,MATCH($B45,'Auxiliar Resultados'!$B$9:$B$50,0),MATCH(CONCATENATE($C45,AO$7),'Auxiliar Resultados'!$C$6:$BO$6,0)),""))=0,"",IF($B45="","",IFERROR(INDEX('Auxiliar Resultados'!$C$9:$BO$50,MATCH($B45,'Auxiliar Resultados'!$B$9:$B$50,0),MATCH(CONCATENATE($C45,AO$7),'Auxiliar Resultados'!$C$6:$BO$6,0)),"")))</f>
        <v/>
      </c>
      <c r="AP45" s="52" t="str">
        <f>+IF(IF($B45="","",IFERROR(INDEX('Auxiliar Resultados'!$C$9:$BO$50,MATCH($B45,'Auxiliar Resultados'!$B$9:$B$50,0),MATCH(CONCATENATE($C45,AP$7),'Auxiliar Resultados'!$C$6:$BO$6,0)),""))=0,"",IF($B45="","",IFERROR(INDEX('Auxiliar Resultados'!$C$9:$BO$50,MATCH($B45,'Auxiliar Resultados'!$B$9:$B$50,0),MATCH(CONCATENATE($C45,AP$7),'Auxiliar Resultados'!$C$6:$BO$6,0)),"")))</f>
        <v/>
      </c>
      <c r="AQ45" s="276" t="str">
        <f>+IF(IF($B45="","",IFERROR(INDEX('Auxiliar Resultados'!$C$9:$BO$50,MATCH($B45,'Auxiliar Resultados'!$B$9:$B$50,0),MATCH(CONCATENATE($C45,AQ$7),'Auxiliar Resultados'!$C$6:$BO$6,0)),""))=0,"",IF($B45="","",IFERROR(INDEX('Auxiliar Resultados'!$C$9:$BO$50,MATCH($B45,'Auxiliar Resultados'!$B$9:$B$50,0),MATCH(CONCATENATE($C45,AQ$7),'Auxiliar Resultados'!$C$6:$BO$6,0)),"")))</f>
        <v/>
      </c>
      <c r="AS45" s="46" t="str">
        <f t="shared" si="5"/>
        <v/>
      </c>
      <c r="AT45" s="292" t="str">
        <f t="shared" si="6"/>
        <v/>
      </c>
      <c r="AU45" s="36" t="str">
        <f>+IF(G45="","",INDEX('Modelo Optimización'!$AZ$4:$CO$149,MATCH(CONCATENATE(AU$7,$AT45),'Modelo Optimización'!$CQ$4:$CQ$149,0),MATCH($AS45,'Modelo Optimización'!$AZ$3:$CO$3,0)))</f>
        <v/>
      </c>
      <c r="AV45" s="32" t="str">
        <f>+IF(H45="","",INDEX('Modelo Optimización'!$AZ$4:$CO$149,MATCH(CONCATENATE(AV$7,$AT45),'Modelo Optimización'!$CQ$4:$CQ$149,0),MATCH($AS45,'Modelo Optimización'!$AZ$3:$CO$3,0)))</f>
        <v/>
      </c>
      <c r="AW45" s="32" t="str">
        <f>+IF(I45="","",INDEX('Modelo Optimización'!$AZ$4:$CO$149,MATCH(CONCATENATE(AW$7,$AT45),'Modelo Optimización'!$CQ$4:$CQ$149,0),MATCH($AS45,'Modelo Optimización'!$AZ$3:$CO$3,0)))</f>
        <v/>
      </c>
      <c r="AX45" s="32" t="str">
        <f>+IF(J45="","",INDEX('Modelo Optimización'!$AZ$4:$CO$149,MATCH(CONCATENATE(AX$7,$AT45),'Modelo Optimización'!$CQ$4:$CQ$149,0),MATCH($AS45,'Modelo Optimización'!$AZ$3:$CO$3,0)))</f>
        <v/>
      </c>
      <c r="AY45" s="32" t="str">
        <f>+IF(K45="","",INDEX('Modelo Optimización'!$AZ$4:$CO$149,MATCH(CONCATENATE(AY$7,$AT45),'Modelo Optimización'!$CQ$4:$CQ$149,0),MATCH($AS45,'Modelo Optimización'!$AZ$3:$CO$3,0)))</f>
        <v/>
      </c>
      <c r="AZ45" s="32" t="str">
        <f>+IF(L45="","",INDEX('Modelo Optimización'!$AZ$4:$CO$149,MATCH(CONCATENATE(AZ$7,$AT45),'Modelo Optimización'!$CQ$4:$CQ$149,0),MATCH($AS45,'Modelo Optimización'!$AZ$3:$CO$3,0)))</f>
        <v/>
      </c>
      <c r="BA45" s="32" t="str">
        <f>+IF(M45="","",INDEX('Modelo Optimización'!$AZ$4:$CO$149,MATCH(CONCATENATE(BA$7,$AT45),'Modelo Optimización'!$CQ$4:$CQ$149,0),MATCH($AS45,'Modelo Optimización'!$AZ$3:$CO$3,0)))</f>
        <v/>
      </c>
      <c r="BB45" s="32" t="str">
        <f>+IF(N45="","",INDEX('Modelo Optimización'!$AZ$4:$CO$149,MATCH(CONCATENATE(BB$7,$AT45),'Modelo Optimización'!$CQ$4:$CQ$149,0),MATCH($AS45,'Modelo Optimización'!$AZ$3:$CO$3,0)))</f>
        <v/>
      </c>
      <c r="BC45" s="32" t="str">
        <f>+IF(O45="","",INDEX('Modelo Optimización'!$AZ$4:$CO$149,MATCH(CONCATENATE(BC$7,$AT45),'Modelo Optimización'!$CQ$4:$CQ$149,0),MATCH($AS45,'Modelo Optimización'!$AZ$3:$CO$3,0)))</f>
        <v/>
      </c>
      <c r="BD45" s="32" t="str">
        <f>+IF(P45="","",INDEX('Modelo Optimización'!$AZ$4:$CO$149,MATCH(CONCATENATE(BD$7,$AT45),'Modelo Optimización'!$CQ$4:$CQ$149,0),MATCH($AS45,'Modelo Optimización'!$AZ$3:$CO$3,0)))</f>
        <v/>
      </c>
      <c r="BE45" s="32" t="str">
        <f>+IF(Q45="","",INDEX('Modelo Optimización'!$AZ$4:$CO$149,MATCH(CONCATENATE(BE$7,$AT45),'Modelo Optimización'!$CQ$4:$CQ$149,0),MATCH($AS45,'Modelo Optimización'!$AZ$3:$CO$3,0)))</f>
        <v/>
      </c>
      <c r="BF45" s="32" t="str">
        <f>+IF(R45="","",INDEX('Modelo Optimización'!$AZ$4:$CO$149,MATCH(CONCATENATE(BF$7,$AT45),'Modelo Optimización'!$CQ$4:$CQ$149,0),MATCH($AS45,'Modelo Optimización'!$AZ$3:$CO$3,0)))</f>
        <v/>
      </c>
      <c r="BG45" s="32" t="str">
        <f>+IF(S45="","",INDEX('Modelo Optimización'!$AZ$4:$CO$149,MATCH(CONCATENATE(BG$7,$AT45),'Modelo Optimización'!$CQ$4:$CQ$149,0),MATCH($AS45,'Modelo Optimización'!$AZ$3:$CO$3,0)))</f>
        <v/>
      </c>
      <c r="BH45" s="32" t="str">
        <f>+IF(T45="","",INDEX('Modelo Optimización'!$AZ$4:$CO$149,MATCH(CONCATENATE(BH$7,$AT45),'Modelo Optimización'!$CQ$4:$CQ$149,0),MATCH($AS45,'Modelo Optimización'!$AZ$3:$CO$3,0)))</f>
        <v/>
      </c>
      <c r="BI45" s="32" t="str">
        <f>+IF(U45="","",INDEX('Modelo Optimización'!$AZ$4:$CO$149,MATCH(CONCATENATE(BI$7,$AT45),'Modelo Optimización'!$CQ$4:$CQ$149,0),MATCH($AS45,'Modelo Optimización'!$AZ$3:$CO$3,0)))</f>
        <v/>
      </c>
      <c r="BJ45" s="32" t="str">
        <f>+IF(V45="","",INDEX('Modelo Optimización'!$AZ$4:$CO$149,MATCH(CONCATENATE(BJ$7,$AT45),'Modelo Optimización'!$CQ$4:$CQ$149,0),MATCH($AS45,'Modelo Optimización'!$AZ$3:$CO$3,0)))</f>
        <v/>
      </c>
      <c r="BK45" s="32" t="str">
        <f>+IF(W45="","",INDEX('Modelo Optimización'!$AZ$4:$CO$149,MATCH(CONCATENATE(BK$7,$AT45),'Modelo Optimización'!$CQ$4:$CQ$149,0),MATCH($AS45,'Modelo Optimización'!$AZ$3:$CO$3,0)))</f>
        <v/>
      </c>
      <c r="BL45" s="32" t="str">
        <f>+IF(X45="","",INDEX('Modelo Optimización'!$AZ$4:$CO$149,MATCH(CONCATENATE(BL$7,$AT45),'Modelo Optimización'!$CQ$4:$CQ$149,0),MATCH($AS45,'Modelo Optimización'!$AZ$3:$CO$3,0)))</f>
        <v/>
      </c>
      <c r="BM45" s="32" t="str">
        <f>+IF(Y45="","",INDEX('Modelo Optimización'!$AZ$4:$CO$149,MATCH(CONCATENATE(BM$7,$AT45),'Modelo Optimización'!$CQ$4:$CQ$149,0),MATCH($AS45,'Modelo Optimización'!$AZ$3:$CO$3,0)))</f>
        <v/>
      </c>
      <c r="BN45" s="32" t="str">
        <f>+IF(Z45="","",INDEX('Modelo Optimización'!$AZ$4:$CO$149,MATCH(CONCATENATE(BN$7,$AT45),'Modelo Optimización'!$CQ$4:$CQ$149,0),MATCH($AS45,'Modelo Optimización'!$AZ$3:$CO$3,0)))</f>
        <v/>
      </c>
      <c r="BO45" s="32" t="str">
        <f>+IF(AA45="","",INDEX('Modelo Optimización'!$AZ$4:$CO$149,MATCH(CONCATENATE(BO$7,$AT45),'Modelo Optimización'!$CQ$4:$CQ$149,0),MATCH($AS45,'Modelo Optimización'!$AZ$3:$CO$3,0)))</f>
        <v/>
      </c>
      <c r="BP45" s="32" t="str">
        <f>+IF(AB45="","",INDEX('Modelo Optimización'!$AZ$4:$CO$149,MATCH(CONCATENATE(BP$7,$AT45),'Modelo Optimización'!$CQ$4:$CQ$149,0),MATCH($AS45,'Modelo Optimización'!$AZ$3:$CO$3,0)))</f>
        <v/>
      </c>
      <c r="BQ45" s="32" t="str">
        <f>+IF(AC45="","",INDEX('Modelo Optimización'!$AZ$4:$CO$149,MATCH(CONCATENATE(BQ$7,$AT45),'Modelo Optimización'!$CQ$4:$CQ$149,0),MATCH($AS45,'Modelo Optimización'!$AZ$3:$CO$3,0)))</f>
        <v/>
      </c>
      <c r="BR45" s="32" t="str">
        <f>+IF(AD45="","",INDEX('Modelo Optimización'!$AZ$4:$CO$149,MATCH(CONCATENATE(BR$7,$AT45),'Modelo Optimización'!$CQ$4:$CQ$149,0),MATCH($AS45,'Modelo Optimización'!$AZ$3:$CO$3,0)))</f>
        <v/>
      </c>
      <c r="BS45" s="32" t="str">
        <f>+IF(AE45="","",INDEX('Modelo Optimización'!$AZ$4:$CO$149,MATCH(CONCATENATE(BS$7,$AT45),'Modelo Optimización'!$CQ$4:$CQ$149,0),MATCH($AS45,'Modelo Optimización'!$AZ$3:$CO$3,0)))</f>
        <v/>
      </c>
      <c r="BT45" s="32" t="str">
        <f>+IF(AF45="","",INDEX('Modelo Optimización'!$AZ$4:$CO$149,MATCH(CONCATENATE(BT$7,$AT45),'Modelo Optimización'!$CQ$4:$CQ$149,0),MATCH($AS45,'Modelo Optimización'!$AZ$3:$CO$3,0)))</f>
        <v/>
      </c>
      <c r="BU45" s="32" t="str">
        <f>+IF(AG45="","",INDEX('Modelo Optimización'!$AZ$4:$CO$149,MATCH(CONCATENATE(BU$7,$AT45),'Modelo Optimización'!$CQ$4:$CQ$149,0),MATCH($AS45,'Modelo Optimización'!$AZ$3:$CO$3,0)))</f>
        <v/>
      </c>
      <c r="BV45" s="32" t="str">
        <f>+IF(AH45="","",INDEX('Modelo Optimización'!$AZ$4:$CO$149,MATCH(CONCATENATE(BV$7,$AT45),'Modelo Optimización'!$CQ$4:$CQ$149,0),MATCH($AS45,'Modelo Optimización'!$AZ$3:$CO$3,0)))</f>
        <v/>
      </c>
      <c r="BW45" s="32" t="str">
        <f>+IF(AI45="","",INDEX('Modelo Optimización'!$AZ$4:$CO$149,MATCH(CONCATENATE(BW$7,$AT45),'Modelo Optimización'!$CQ$4:$CQ$149,0),MATCH($AS45,'Modelo Optimización'!$AZ$3:$CO$3,0)))</f>
        <v/>
      </c>
      <c r="BX45" s="32" t="str">
        <f>+IF(AJ45="","",INDEX('Modelo Optimización'!$AZ$4:$CO$149,MATCH(CONCATENATE(BX$7,$AT45),'Modelo Optimización'!$CQ$4:$CQ$149,0),MATCH($AS45,'Modelo Optimización'!$AZ$3:$CO$3,0)))</f>
        <v/>
      </c>
      <c r="BY45" s="32" t="str">
        <f>+IF(AK45="","",INDEX('Modelo Optimización'!$AZ$4:$CO$149,MATCH(CONCATENATE(BY$7,$AT45),'Modelo Optimización'!$CQ$4:$CQ$149,0),MATCH($AS45,'Modelo Optimización'!$AZ$3:$CO$3,0)))</f>
        <v/>
      </c>
      <c r="BZ45" s="32" t="str">
        <f>+IF(AL45="","",INDEX('Modelo Optimización'!$AZ$4:$CO$149,MATCH(CONCATENATE(BZ$7,$AT45),'Modelo Optimización'!$CQ$4:$CQ$149,0),MATCH($AS45,'Modelo Optimización'!$AZ$3:$CO$3,0)))</f>
        <v/>
      </c>
      <c r="CA45" s="32" t="str">
        <f>+IF(AM45="","",INDEX('Modelo Optimización'!$AZ$4:$CO$149,MATCH(CONCATENATE(CA$7,$AT45),'Modelo Optimización'!$CQ$4:$CQ$149,0),MATCH($AS45,'Modelo Optimización'!$AZ$3:$CO$3,0)))</f>
        <v/>
      </c>
      <c r="CB45" s="32" t="str">
        <f>+IF(AN45="","",INDEX('Modelo Optimización'!$AZ$4:$CO$149,MATCH(CONCATENATE(CB$7,$AT45),'Modelo Optimización'!$CQ$4:$CQ$149,0),MATCH($AS45,'Modelo Optimización'!$AZ$3:$CO$3,0)))</f>
        <v/>
      </c>
      <c r="CC45" s="32" t="str">
        <f>+IF(AO45="","",INDEX('Modelo Optimización'!$AZ$4:$CO$149,MATCH(CONCATENATE(CC$7,$AT45),'Modelo Optimización'!$CQ$4:$CQ$149,0),MATCH($AS45,'Modelo Optimización'!$AZ$3:$CO$3,0)))</f>
        <v/>
      </c>
      <c r="CD45" s="32" t="str">
        <f>+IF(AP45="","",INDEX('Modelo Optimización'!$AZ$4:$CO$149,MATCH(CONCATENATE(CD$7,$AT45),'Modelo Optimización'!$CQ$4:$CQ$149,0),MATCH($AS45,'Modelo Optimización'!$AZ$3:$CO$3,0)))</f>
        <v/>
      </c>
      <c r="CE45" s="37" t="str">
        <f>+IF(AQ45="","",INDEX('Modelo Optimización'!$AZ$4:$CO$149,MATCH(CONCATENATE(CE$7,$AT45),'Modelo Optimización'!$CQ$4:$CQ$149,0),MATCH($AS45,'Modelo Optimización'!$AZ$3:$CO$3,0)))</f>
        <v/>
      </c>
      <c r="CF45" s="301"/>
      <c r="CG45" s="305" t="str">
        <f t="shared" si="11"/>
        <v/>
      </c>
      <c r="CH45" s="303" t="str">
        <f t="shared" si="7"/>
        <v/>
      </c>
      <c r="CI45" s="292" t="str">
        <f t="shared" si="8"/>
        <v/>
      </c>
      <c r="CJ45" s="36" t="str">
        <f t="shared" si="12"/>
        <v/>
      </c>
      <c r="CK45" s="32" t="str">
        <f t="shared" si="13"/>
        <v/>
      </c>
      <c r="CL45" s="32" t="str">
        <f t="shared" si="14"/>
        <v/>
      </c>
      <c r="CM45" s="32" t="str">
        <f t="shared" si="15"/>
        <v/>
      </c>
      <c r="CN45" s="32" t="str">
        <f t="shared" si="16"/>
        <v/>
      </c>
      <c r="CO45" s="32" t="str">
        <f t="shared" si="17"/>
        <v/>
      </c>
      <c r="CP45" s="32" t="str">
        <f t="shared" si="18"/>
        <v/>
      </c>
      <c r="CQ45" s="32" t="str">
        <f t="shared" si="19"/>
        <v/>
      </c>
      <c r="CR45" s="32" t="str">
        <f t="shared" si="20"/>
        <v/>
      </c>
      <c r="CS45" s="32" t="str">
        <f t="shared" si="21"/>
        <v/>
      </c>
      <c r="CT45" s="32" t="str">
        <f t="shared" si="22"/>
        <v/>
      </c>
      <c r="CU45" s="32" t="str">
        <f t="shared" si="23"/>
        <v/>
      </c>
      <c r="CV45" s="32" t="str">
        <f t="shared" si="24"/>
        <v/>
      </c>
      <c r="CW45" s="32" t="str">
        <f t="shared" si="25"/>
        <v/>
      </c>
      <c r="CX45" s="32" t="str">
        <f t="shared" si="26"/>
        <v/>
      </c>
      <c r="CY45" s="32" t="str">
        <f t="shared" si="27"/>
        <v/>
      </c>
      <c r="CZ45" s="32" t="str">
        <f t="shared" si="28"/>
        <v/>
      </c>
      <c r="DA45" s="32" t="str">
        <f t="shared" si="29"/>
        <v/>
      </c>
      <c r="DB45" s="32" t="str">
        <f t="shared" si="30"/>
        <v/>
      </c>
      <c r="DC45" s="32" t="str">
        <f t="shared" si="31"/>
        <v/>
      </c>
      <c r="DD45" s="32" t="str">
        <f t="shared" si="32"/>
        <v/>
      </c>
      <c r="DE45" s="32" t="str">
        <f t="shared" si="33"/>
        <v/>
      </c>
      <c r="DF45" s="32" t="str">
        <f t="shared" si="34"/>
        <v/>
      </c>
      <c r="DG45" s="32" t="str">
        <f t="shared" si="35"/>
        <v/>
      </c>
      <c r="DH45" s="32" t="str">
        <f t="shared" si="36"/>
        <v/>
      </c>
      <c r="DI45" s="32" t="str">
        <f t="shared" si="37"/>
        <v/>
      </c>
      <c r="DJ45" s="32" t="str">
        <f t="shared" si="38"/>
        <v/>
      </c>
      <c r="DK45" s="32" t="str">
        <f t="shared" si="39"/>
        <v/>
      </c>
      <c r="DL45" s="32" t="str">
        <f t="shared" si="40"/>
        <v/>
      </c>
      <c r="DM45" s="32" t="str">
        <f t="shared" si="41"/>
        <v/>
      </c>
      <c r="DN45" s="32" t="str">
        <f t="shared" si="42"/>
        <v/>
      </c>
      <c r="DO45" s="32" t="str">
        <f t="shared" si="43"/>
        <v/>
      </c>
      <c r="DP45" s="32" t="str">
        <f t="shared" si="44"/>
        <v/>
      </c>
      <c r="DQ45" s="32" t="str">
        <f t="shared" si="45"/>
        <v/>
      </c>
      <c r="DR45" s="32" t="str">
        <f t="shared" si="46"/>
        <v/>
      </c>
      <c r="DS45" s="32" t="str">
        <f t="shared" si="47"/>
        <v/>
      </c>
      <c r="DT45" s="37" t="str">
        <f t="shared" si="48"/>
        <v/>
      </c>
    </row>
    <row r="46" spans="2:124" x14ac:dyDescent="0.35">
      <c r="B46" s="46"/>
      <c r="C46" s="212"/>
      <c r="D46" s="52"/>
      <c r="E46" s="52" t="str">
        <f>+IF(B46="","",IFERROR(SUMIF('Modelo Optimización'!$AS$72:$AS$217,C46,INDEX('Modelo Optimización'!$C$72:$AR$217,,MATCH(B46,'Modelo Optimización'!$C$71:$AR$71,0))),0))</f>
        <v/>
      </c>
      <c r="F46" s="281" t="str">
        <f t="shared" si="10"/>
        <v/>
      </c>
      <c r="G46" s="280" t="str">
        <f>+IF(IF($B46="","",IFERROR(INDEX('Auxiliar Resultados'!$C$9:$BO$50,MATCH($B46,'Auxiliar Resultados'!$B$9:$B$50,0),MATCH(CONCATENATE($C46,G$7),'Auxiliar Resultados'!$C$6:$BO$6,0)),""))=0,"",IF($B46="","",IFERROR(INDEX('Auxiliar Resultados'!$C$9:$BO$50,MATCH($B46,'Auxiliar Resultados'!$B$9:$B$50,0),MATCH(CONCATENATE($C46,G$7),'Auxiliar Resultados'!$C$6:$BO$6,0)),"")))</f>
        <v/>
      </c>
      <c r="H46" s="52" t="str">
        <f>+IF(IF($B46="","",IFERROR(INDEX('Auxiliar Resultados'!$C$9:$BO$50,MATCH($B46,'Auxiliar Resultados'!$B$9:$B$50,0),MATCH(CONCATENATE($C46,H$7),'Auxiliar Resultados'!$C$6:$BO$6,0)),""))=0,"",IF($B46="","",IFERROR(INDEX('Auxiliar Resultados'!$C$9:$BO$50,MATCH($B46,'Auxiliar Resultados'!$B$9:$B$50,0),MATCH(CONCATENATE($C46,H$7),'Auxiliar Resultados'!$C$6:$BO$6,0)),"")))</f>
        <v/>
      </c>
      <c r="I46" s="52" t="str">
        <f>+IF(IF($B46="","",IFERROR(INDEX('Auxiliar Resultados'!$C$9:$BO$50,MATCH($B46,'Auxiliar Resultados'!$B$9:$B$50,0),MATCH(CONCATENATE($C46,I$7),'Auxiliar Resultados'!$C$6:$BO$6,0)),""))=0,"",IF($B46="","",IFERROR(INDEX('Auxiliar Resultados'!$C$9:$BO$50,MATCH($B46,'Auxiliar Resultados'!$B$9:$B$50,0),MATCH(CONCATENATE($C46,I$7),'Auxiliar Resultados'!$C$6:$BO$6,0)),"")))</f>
        <v/>
      </c>
      <c r="J46" s="52" t="str">
        <f>+IF(IF($B46="","",IFERROR(INDEX('Auxiliar Resultados'!$C$9:$BO$50,MATCH($B46,'Auxiliar Resultados'!$B$9:$B$50,0),MATCH(CONCATENATE($C46,J$7),'Auxiliar Resultados'!$C$6:$BO$6,0)),""))=0,"",IF($B46="","",IFERROR(INDEX('Auxiliar Resultados'!$C$9:$BO$50,MATCH($B46,'Auxiliar Resultados'!$B$9:$B$50,0),MATCH(CONCATENATE($C46,J$7),'Auxiliar Resultados'!$C$6:$BO$6,0)),"")))</f>
        <v/>
      </c>
      <c r="K46" s="52" t="str">
        <f>+IF(IF($B46="","",IFERROR(INDEX('Auxiliar Resultados'!$C$9:$BO$50,MATCH($B46,'Auxiliar Resultados'!$B$9:$B$50,0),MATCH(CONCATENATE($C46,K$7),'Auxiliar Resultados'!$C$6:$BO$6,0)),""))=0,"",IF($B46="","",IFERROR(INDEX('Auxiliar Resultados'!$C$9:$BO$50,MATCH($B46,'Auxiliar Resultados'!$B$9:$B$50,0),MATCH(CONCATENATE($C46,K$7),'Auxiliar Resultados'!$C$6:$BO$6,0)),"")))</f>
        <v/>
      </c>
      <c r="L46" s="52" t="str">
        <f>+IF(IF($B46="","",IFERROR(INDEX('Auxiliar Resultados'!$C$9:$BO$50,MATCH($B46,'Auxiliar Resultados'!$B$9:$B$50,0),MATCH(CONCATENATE($C46,L$7),'Auxiliar Resultados'!$C$6:$BO$6,0)),""))=0,"",IF($B46="","",IFERROR(INDEX('Auxiliar Resultados'!$C$9:$BO$50,MATCH($B46,'Auxiliar Resultados'!$B$9:$B$50,0),MATCH(CONCATENATE($C46,L$7),'Auxiliar Resultados'!$C$6:$BO$6,0)),"")))</f>
        <v/>
      </c>
      <c r="M46" s="52" t="str">
        <f>+IF(IF($B46="","",IFERROR(INDEX('Auxiliar Resultados'!$C$9:$BO$50,MATCH($B46,'Auxiliar Resultados'!$B$9:$B$50,0),MATCH(CONCATENATE($C46,M$7),'Auxiliar Resultados'!$C$6:$BO$6,0)),""))=0,"",IF($B46="","",IFERROR(INDEX('Auxiliar Resultados'!$C$9:$BO$50,MATCH($B46,'Auxiliar Resultados'!$B$9:$B$50,0),MATCH(CONCATENATE($C46,M$7),'Auxiliar Resultados'!$C$6:$BO$6,0)),"")))</f>
        <v/>
      </c>
      <c r="N46" s="52" t="str">
        <f>+IF(IF($B46="","",IFERROR(INDEX('Auxiliar Resultados'!$C$9:$BO$50,MATCH($B46,'Auxiliar Resultados'!$B$9:$B$50,0),MATCH(CONCATENATE($C46,N$7),'Auxiliar Resultados'!$C$6:$BO$6,0)),""))=0,"",IF($B46="","",IFERROR(INDEX('Auxiliar Resultados'!$C$9:$BO$50,MATCH($B46,'Auxiliar Resultados'!$B$9:$B$50,0),MATCH(CONCATENATE($C46,N$7),'Auxiliar Resultados'!$C$6:$BO$6,0)),"")))</f>
        <v/>
      </c>
      <c r="O46" s="52" t="str">
        <f>+IF(IF($B46="","",IFERROR(INDEX('Auxiliar Resultados'!$C$9:$BO$50,MATCH($B46,'Auxiliar Resultados'!$B$9:$B$50,0),MATCH(CONCATENATE($C46,O$7),'Auxiliar Resultados'!$C$6:$BO$6,0)),""))=0,"",IF($B46="","",IFERROR(INDEX('Auxiliar Resultados'!$C$9:$BO$50,MATCH($B46,'Auxiliar Resultados'!$B$9:$B$50,0),MATCH(CONCATENATE($C46,O$7),'Auxiliar Resultados'!$C$6:$BO$6,0)),"")))</f>
        <v/>
      </c>
      <c r="P46" s="52" t="str">
        <f>+IF(IF($B46="","",IFERROR(INDEX('Auxiliar Resultados'!$C$9:$BO$50,MATCH($B46,'Auxiliar Resultados'!$B$9:$B$50,0),MATCH(CONCATENATE($C46,P$7),'Auxiliar Resultados'!$C$6:$BO$6,0)),""))=0,"",IF($B46="","",IFERROR(INDEX('Auxiliar Resultados'!$C$9:$BO$50,MATCH($B46,'Auxiliar Resultados'!$B$9:$B$50,0),MATCH(CONCATENATE($C46,P$7),'Auxiliar Resultados'!$C$6:$BO$6,0)),"")))</f>
        <v/>
      </c>
      <c r="Q46" s="52" t="str">
        <f>+IF(IF($B46="","",IFERROR(INDEX('Auxiliar Resultados'!$C$9:$BO$50,MATCH($B46,'Auxiliar Resultados'!$B$9:$B$50,0),MATCH(CONCATENATE($C46,Q$7),'Auxiliar Resultados'!$C$6:$BO$6,0)),""))=0,"",IF($B46="","",IFERROR(INDEX('Auxiliar Resultados'!$C$9:$BO$50,MATCH($B46,'Auxiliar Resultados'!$B$9:$B$50,0),MATCH(CONCATENATE($C46,Q$7),'Auxiliar Resultados'!$C$6:$BO$6,0)),"")))</f>
        <v/>
      </c>
      <c r="R46" s="52" t="str">
        <f>+IF(IF($B46="","",IFERROR(INDEX('Auxiliar Resultados'!$C$9:$BO$50,MATCH($B46,'Auxiliar Resultados'!$B$9:$B$50,0),MATCH(CONCATENATE($C46,R$7),'Auxiliar Resultados'!$C$6:$BO$6,0)),""))=0,"",IF($B46="","",IFERROR(INDEX('Auxiliar Resultados'!$C$9:$BO$50,MATCH($B46,'Auxiliar Resultados'!$B$9:$B$50,0),MATCH(CONCATENATE($C46,R$7),'Auxiliar Resultados'!$C$6:$BO$6,0)),"")))</f>
        <v/>
      </c>
      <c r="S46" s="52" t="str">
        <f>+IF(IF($B46="","",IFERROR(INDEX('Auxiliar Resultados'!$C$9:$BO$50,MATCH($B46,'Auxiliar Resultados'!$B$9:$B$50,0),MATCH(CONCATENATE($C46,S$7),'Auxiliar Resultados'!$C$6:$BO$6,0)),""))=0,"",IF($B46="","",IFERROR(INDEX('Auxiliar Resultados'!$C$9:$BO$50,MATCH($B46,'Auxiliar Resultados'!$B$9:$B$50,0),MATCH(CONCATENATE($C46,S$7),'Auxiliar Resultados'!$C$6:$BO$6,0)),"")))</f>
        <v/>
      </c>
      <c r="T46" s="52" t="str">
        <f>+IF(IF($B46="","",IFERROR(INDEX('Auxiliar Resultados'!$C$9:$BO$50,MATCH($B46,'Auxiliar Resultados'!$B$9:$B$50,0),MATCH(CONCATENATE($C46,T$7),'Auxiliar Resultados'!$C$6:$BO$6,0)),""))=0,"",IF($B46="","",IFERROR(INDEX('Auxiliar Resultados'!$C$9:$BO$50,MATCH($B46,'Auxiliar Resultados'!$B$9:$B$50,0),MATCH(CONCATENATE($C46,T$7),'Auxiliar Resultados'!$C$6:$BO$6,0)),"")))</f>
        <v/>
      </c>
      <c r="U46" s="52" t="str">
        <f>+IF(IF($B46="","",IFERROR(INDEX('Auxiliar Resultados'!$C$9:$BO$50,MATCH($B46,'Auxiliar Resultados'!$B$9:$B$50,0),MATCH(CONCATENATE($C46,U$7),'Auxiliar Resultados'!$C$6:$BO$6,0)),""))=0,"",IF($B46="","",IFERROR(INDEX('Auxiliar Resultados'!$C$9:$BO$50,MATCH($B46,'Auxiliar Resultados'!$B$9:$B$50,0),MATCH(CONCATENATE($C46,U$7),'Auxiliar Resultados'!$C$6:$BO$6,0)),"")))</f>
        <v/>
      </c>
      <c r="V46" s="52" t="str">
        <f>+IF(IF($B46="","",IFERROR(INDEX('Auxiliar Resultados'!$C$9:$BO$50,MATCH($B46,'Auxiliar Resultados'!$B$9:$B$50,0),MATCH(CONCATENATE($C46,V$7),'Auxiliar Resultados'!$C$6:$BO$6,0)),""))=0,"",IF($B46="","",IFERROR(INDEX('Auxiliar Resultados'!$C$9:$BO$50,MATCH($B46,'Auxiliar Resultados'!$B$9:$B$50,0),MATCH(CONCATENATE($C46,V$7),'Auxiliar Resultados'!$C$6:$BO$6,0)),"")))</f>
        <v/>
      </c>
      <c r="W46" s="52" t="str">
        <f>+IF(IF($B46="","",IFERROR(INDEX('Auxiliar Resultados'!$C$9:$BO$50,MATCH($B46,'Auxiliar Resultados'!$B$9:$B$50,0),MATCH(CONCATENATE($C46,W$7),'Auxiliar Resultados'!$C$6:$BO$6,0)),""))=0,"",IF($B46="","",IFERROR(INDEX('Auxiliar Resultados'!$C$9:$BO$50,MATCH($B46,'Auxiliar Resultados'!$B$9:$B$50,0),MATCH(CONCATENATE($C46,W$7),'Auxiliar Resultados'!$C$6:$BO$6,0)),"")))</f>
        <v/>
      </c>
      <c r="X46" s="52" t="str">
        <f>+IF(IF($B46="","",IFERROR(INDEX('Auxiliar Resultados'!$C$9:$BO$50,MATCH($B46,'Auxiliar Resultados'!$B$9:$B$50,0),MATCH(CONCATENATE($C46,X$7),'Auxiliar Resultados'!$C$6:$BO$6,0)),""))=0,"",IF($B46="","",IFERROR(INDEX('Auxiliar Resultados'!$C$9:$BO$50,MATCH($B46,'Auxiliar Resultados'!$B$9:$B$50,0),MATCH(CONCATENATE($C46,X$7),'Auxiliar Resultados'!$C$6:$BO$6,0)),"")))</f>
        <v/>
      </c>
      <c r="Y46" s="52" t="str">
        <f>+IF(IF($B46="","",IFERROR(INDEX('Auxiliar Resultados'!$C$9:$BO$50,MATCH($B46,'Auxiliar Resultados'!$B$9:$B$50,0),MATCH(CONCATENATE($C46,Y$7),'Auxiliar Resultados'!$C$6:$BO$6,0)),""))=0,"",IF($B46="","",IFERROR(INDEX('Auxiliar Resultados'!$C$9:$BO$50,MATCH($B46,'Auxiliar Resultados'!$B$9:$B$50,0),MATCH(CONCATENATE($C46,Y$7),'Auxiliar Resultados'!$C$6:$BO$6,0)),"")))</f>
        <v/>
      </c>
      <c r="Z46" s="52" t="str">
        <f>+IF(IF($B46="","",IFERROR(INDEX('Auxiliar Resultados'!$C$9:$BO$50,MATCH($B46,'Auxiliar Resultados'!$B$9:$B$50,0),MATCH(CONCATENATE($C46,Z$7),'Auxiliar Resultados'!$C$6:$BO$6,0)),""))=0,"",IF($B46="","",IFERROR(INDEX('Auxiliar Resultados'!$C$9:$BO$50,MATCH($B46,'Auxiliar Resultados'!$B$9:$B$50,0),MATCH(CONCATENATE($C46,Z$7),'Auxiliar Resultados'!$C$6:$BO$6,0)),"")))</f>
        <v/>
      </c>
      <c r="AA46" s="52" t="str">
        <f>+IF(IF($B46="","",IFERROR(INDEX('Auxiliar Resultados'!$C$9:$BO$50,MATCH($B46,'Auxiliar Resultados'!$B$9:$B$50,0),MATCH(CONCATENATE($C46,AA$7),'Auxiliar Resultados'!$C$6:$BO$6,0)),""))=0,"",IF($B46="","",IFERROR(INDEX('Auxiliar Resultados'!$C$9:$BO$50,MATCH($B46,'Auxiliar Resultados'!$B$9:$B$50,0),MATCH(CONCATENATE($C46,AA$7),'Auxiliar Resultados'!$C$6:$BO$6,0)),"")))</f>
        <v/>
      </c>
      <c r="AB46" s="52" t="str">
        <f>+IF(IF($B46="","",IFERROR(INDEX('Auxiliar Resultados'!$C$9:$BO$50,MATCH($B46,'Auxiliar Resultados'!$B$9:$B$50,0),MATCH(CONCATENATE($C46,AB$7),'Auxiliar Resultados'!$C$6:$BO$6,0)),""))=0,"",IF($B46="","",IFERROR(INDEX('Auxiliar Resultados'!$C$9:$BO$50,MATCH($B46,'Auxiliar Resultados'!$B$9:$B$50,0),MATCH(CONCATENATE($C46,AB$7),'Auxiliar Resultados'!$C$6:$BO$6,0)),"")))</f>
        <v/>
      </c>
      <c r="AC46" s="52" t="str">
        <f>+IF(IF($B46="","",IFERROR(INDEX('Auxiliar Resultados'!$C$9:$BO$50,MATCH($B46,'Auxiliar Resultados'!$B$9:$B$50,0),MATCH(CONCATENATE($C46,AC$7),'Auxiliar Resultados'!$C$6:$BO$6,0)),""))=0,"",IF($B46="","",IFERROR(INDEX('Auxiliar Resultados'!$C$9:$BO$50,MATCH($B46,'Auxiliar Resultados'!$B$9:$B$50,0),MATCH(CONCATENATE($C46,AC$7),'Auxiliar Resultados'!$C$6:$BO$6,0)),"")))</f>
        <v/>
      </c>
      <c r="AD46" s="52" t="str">
        <f>+IF(IF($B46="","",IFERROR(INDEX('Auxiliar Resultados'!$C$9:$BO$50,MATCH($B46,'Auxiliar Resultados'!$B$9:$B$50,0),MATCH(CONCATENATE($C46,AD$7),'Auxiliar Resultados'!$C$6:$BO$6,0)),""))=0,"",IF($B46="","",IFERROR(INDEX('Auxiliar Resultados'!$C$9:$BO$50,MATCH($B46,'Auxiliar Resultados'!$B$9:$B$50,0),MATCH(CONCATENATE($C46,AD$7),'Auxiliar Resultados'!$C$6:$BO$6,0)),"")))</f>
        <v/>
      </c>
      <c r="AE46" s="52" t="str">
        <f>+IF(IF($B46="","",IFERROR(INDEX('Auxiliar Resultados'!$C$9:$BO$50,MATCH($B46,'Auxiliar Resultados'!$B$9:$B$50,0),MATCH(CONCATENATE($C46,AE$7),'Auxiliar Resultados'!$C$6:$BO$6,0)),""))=0,"",IF($B46="","",IFERROR(INDEX('Auxiliar Resultados'!$C$9:$BO$50,MATCH($B46,'Auxiliar Resultados'!$B$9:$B$50,0),MATCH(CONCATENATE($C46,AE$7),'Auxiliar Resultados'!$C$6:$BO$6,0)),"")))</f>
        <v/>
      </c>
      <c r="AF46" s="52" t="str">
        <f>+IF(IF($B46="","",IFERROR(INDEX('Auxiliar Resultados'!$C$9:$BO$50,MATCH($B46,'Auxiliar Resultados'!$B$9:$B$50,0),MATCH(CONCATENATE($C46,AF$7),'Auxiliar Resultados'!$C$6:$BO$6,0)),""))=0,"",IF($B46="","",IFERROR(INDEX('Auxiliar Resultados'!$C$9:$BO$50,MATCH($B46,'Auxiliar Resultados'!$B$9:$B$50,0),MATCH(CONCATENATE($C46,AF$7),'Auxiliar Resultados'!$C$6:$BO$6,0)),"")))</f>
        <v/>
      </c>
      <c r="AG46" s="52" t="str">
        <f>+IF(IF($B46="","",IFERROR(INDEX('Auxiliar Resultados'!$C$9:$BO$50,MATCH($B46,'Auxiliar Resultados'!$B$9:$B$50,0),MATCH(CONCATENATE($C46,AG$7),'Auxiliar Resultados'!$C$6:$BO$6,0)),""))=0,"",IF($B46="","",IFERROR(INDEX('Auxiliar Resultados'!$C$9:$BO$50,MATCH($B46,'Auxiliar Resultados'!$B$9:$B$50,0),MATCH(CONCATENATE($C46,AG$7),'Auxiliar Resultados'!$C$6:$BO$6,0)),"")))</f>
        <v/>
      </c>
      <c r="AH46" s="52" t="str">
        <f>+IF(IF($B46="","",IFERROR(INDEX('Auxiliar Resultados'!$C$9:$BO$50,MATCH($B46,'Auxiliar Resultados'!$B$9:$B$50,0),MATCH(CONCATENATE($C46,AH$7),'Auxiliar Resultados'!$C$6:$BO$6,0)),""))=0,"",IF($B46="","",IFERROR(INDEX('Auxiliar Resultados'!$C$9:$BO$50,MATCH($B46,'Auxiliar Resultados'!$B$9:$B$50,0),MATCH(CONCATENATE($C46,AH$7),'Auxiliar Resultados'!$C$6:$BO$6,0)),"")))</f>
        <v/>
      </c>
      <c r="AI46" s="52" t="str">
        <f>+IF(IF($B46="","",IFERROR(INDEX('Auxiliar Resultados'!$C$9:$BO$50,MATCH($B46,'Auxiliar Resultados'!$B$9:$B$50,0),MATCH(CONCATENATE($C46,AI$7),'Auxiliar Resultados'!$C$6:$BO$6,0)),""))=0,"",IF($B46="","",IFERROR(INDEX('Auxiliar Resultados'!$C$9:$BO$50,MATCH($B46,'Auxiliar Resultados'!$B$9:$B$50,0),MATCH(CONCATENATE($C46,AI$7),'Auxiliar Resultados'!$C$6:$BO$6,0)),"")))</f>
        <v/>
      </c>
      <c r="AJ46" s="52" t="str">
        <f>+IF(IF($B46="","",IFERROR(INDEX('Auxiliar Resultados'!$C$9:$BO$50,MATCH($B46,'Auxiliar Resultados'!$B$9:$B$50,0),MATCH(CONCATENATE($C46,AJ$7),'Auxiliar Resultados'!$C$6:$BO$6,0)),""))=0,"",IF($B46="","",IFERROR(INDEX('Auxiliar Resultados'!$C$9:$BO$50,MATCH($B46,'Auxiliar Resultados'!$B$9:$B$50,0),MATCH(CONCATENATE($C46,AJ$7),'Auxiliar Resultados'!$C$6:$BO$6,0)),"")))</f>
        <v/>
      </c>
      <c r="AK46" s="52" t="str">
        <f>+IF(IF($B46="","",IFERROR(INDEX('Auxiliar Resultados'!$C$9:$BO$50,MATCH($B46,'Auxiliar Resultados'!$B$9:$B$50,0),MATCH(CONCATENATE($C46,AK$7),'Auxiliar Resultados'!$C$6:$BO$6,0)),""))=0,"",IF($B46="","",IFERROR(INDEX('Auxiliar Resultados'!$C$9:$BO$50,MATCH($B46,'Auxiliar Resultados'!$B$9:$B$50,0),MATCH(CONCATENATE($C46,AK$7),'Auxiliar Resultados'!$C$6:$BO$6,0)),"")))</f>
        <v/>
      </c>
      <c r="AL46" s="52" t="str">
        <f>+IF(IF($B46="","",IFERROR(INDEX('Auxiliar Resultados'!$C$9:$BO$50,MATCH($B46,'Auxiliar Resultados'!$B$9:$B$50,0),MATCH(CONCATENATE($C46,AL$7),'Auxiliar Resultados'!$C$6:$BO$6,0)),""))=0,"",IF($B46="","",IFERROR(INDEX('Auxiliar Resultados'!$C$9:$BO$50,MATCH($B46,'Auxiliar Resultados'!$B$9:$B$50,0),MATCH(CONCATENATE($C46,AL$7),'Auxiliar Resultados'!$C$6:$BO$6,0)),"")))</f>
        <v/>
      </c>
      <c r="AM46" s="52" t="str">
        <f>+IF(IF($B46="","",IFERROR(INDEX('Auxiliar Resultados'!$C$9:$BO$50,MATCH($B46,'Auxiliar Resultados'!$B$9:$B$50,0),MATCH(CONCATENATE($C46,AM$7),'Auxiliar Resultados'!$C$6:$BO$6,0)),""))=0,"",IF($B46="","",IFERROR(INDEX('Auxiliar Resultados'!$C$9:$BO$50,MATCH($B46,'Auxiliar Resultados'!$B$9:$B$50,0),MATCH(CONCATENATE($C46,AM$7),'Auxiliar Resultados'!$C$6:$BO$6,0)),"")))</f>
        <v/>
      </c>
      <c r="AN46" s="52" t="str">
        <f>+IF(IF($B46="","",IFERROR(INDEX('Auxiliar Resultados'!$C$9:$BO$50,MATCH($B46,'Auxiliar Resultados'!$B$9:$B$50,0),MATCH(CONCATENATE($C46,AN$7),'Auxiliar Resultados'!$C$6:$BO$6,0)),""))=0,"",IF($B46="","",IFERROR(INDEX('Auxiliar Resultados'!$C$9:$BO$50,MATCH($B46,'Auxiliar Resultados'!$B$9:$B$50,0),MATCH(CONCATENATE($C46,AN$7),'Auxiliar Resultados'!$C$6:$BO$6,0)),"")))</f>
        <v/>
      </c>
      <c r="AO46" s="52" t="str">
        <f>+IF(IF($B46="","",IFERROR(INDEX('Auxiliar Resultados'!$C$9:$BO$50,MATCH($B46,'Auxiliar Resultados'!$B$9:$B$50,0),MATCH(CONCATENATE($C46,AO$7),'Auxiliar Resultados'!$C$6:$BO$6,0)),""))=0,"",IF($B46="","",IFERROR(INDEX('Auxiliar Resultados'!$C$9:$BO$50,MATCH($B46,'Auxiliar Resultados'!$B$9:$B$50,0),MATCH(CONCATENATE($C46,AO$7),'Auxiliar Resultados'!$C$6:$BO$6,0)),"")))</f>
        <v/>
      </c>
      <c r="AP46" s="52" t="str">
        <f>+IF(IF($B46="","",IFERROR(INDEX('Auxiliar Resultados'!$C$9:$BO$50,MATCH($B46,'Auxiliar Resultados'!$B$9:$B$50,0),MATCH(CONCATENATE($C46,AP$7),'Auxiliar Resultados'!$C$6:$BO$6,0)),""))=0,"",IF($B46="","",IFERROR(INDEX('Auxiliar Resultados'!$C$9:$BO$50,MATCH($B46,'Auxiliar Resultados'!$B$9:$B$50,0),MATCH(CONCATENATE($C46,AP$7),'Auxiliar Resultados'!$C$6:$BO$6,0)),"")))</f>
        <v/>
      </c>
      <c r="AQ46" s="276" t="str">
        <f>+IF(IF($B46="","",IFERROR(INDEX('Auxiliar Resultados'!$C$9:$BO$50,MATCH($B46,'Auxiliar Resultados'!$B$9:$B$50,0),MATCH(CONCATENATE($C46,AQ$7),'Auxiliar Resultados'!$C$6:$BO$6,0)),""))=0,"",IF($B46="","",IFERROR(INDEX('Auxiliar Resultados'!$C$9:$BO$50,MATCH($B46,'Auxiliar Resultados'!$B$9:$B$50,0),MATCH(CONCATENATE($C46,AQ$7),'Auxiliar Resultados'!$C$6:$BO$6,0)),"")))</f>
        <v/>
      </c>
      <c r="AS46" s="46" t="str">
        <f t="shared" si="5"/>
        <v/>
      </c>
      <c r="AT46" s="292" t="str">
        <f t="shared" si="6"/>
        <v/>
      </c>
      <c r="AU46" s="36" t="str">
        <f>+IF(G46="","",INDEX('Modelo Optimización'!$AZ$4:$CO$149,MATCH(CONCATENATE(AU$7,$AT46),'Modelo Optimización'!$CQ$4:$CQ$149,0),MATCH($AS46,'Modelo Optimización'!$AZ$3:$CO$3,0)))</f>
        <v/>
      </c>
      <c r="AV46" s="32" t="str">
        <f>+IF(H46="","",INDEX('Modelo Optimización'!$AZ$4:$CO$149,MATCH(CONCATENATE(AV$7,$AT46),'Modelo Optimización'!$CQ$4:$CQ$149,0),MATCH($AS46,'Modelo Optimización'!$AZ$3:$CO$3,0)))</f>
        <v/>
      </c>
      <c r="AW46" s="32" t="str">
        <f>+IF(I46="","",INDEX('Modelo Optimización'!$AZ$4:$CO$149,MATCH(CONCATENATE(AW$7,$AT46),'Modelo Optimización'!$CQ$4:$CQ$149,0),MATCH($AS46,'Modelo Optimización'!$AZ$3:$CO$3,0)))</f>
        <v/>
      </c>
      <c r="AX46" s="32" t="str">
        <f>+IF(J46="","",INDEX('Modelo Optimización'!$AZ$4:$CO$149,MATCH(CONCATENATE(AX$7,$AT46),'Modelo Optimización'!$CQ$4:$CQ$149,0),MATCH($AS46,'Modelo Optimización'!$AZ$3:$CO$3,0)))</f>
        <v/>
      </c>
      <c r="AY46" s="32" t="str">
        <f>+IF(K46="","",INDEX('Modelo Optimización'!$AZ$4:$CO$149,MATCH(CONCATENATE(AY$7,$AT46),'Modelo Optimización'!$CQ$4:$CQ$149,0),MATCH($AS46,'Modelo Optimización'!$AZ$3:$CO$3,0)))</f>
        <v/>
      </c>
      <c r="AZ46" s="32" t="str">
        <f>+IF(L46="","",INDEX('Modelo Optimización'!$AZ$4:$CO$149,MATCH(CONCATENATE(AZ$7,$AT46),'Modelo Optimización'!$CQ$4:$CQ$149,0),MATCH($AS46,'Modelo Optimización'!$AZ$3:$CO$3,0)))</f>
        <v/>
      </c>
      <c r="BA46" s="32" t="str">
        <f>+IF(M46="","",INDEX('Modelo Optimización'!$AZ$4:$CO$149,MATCH(CONCATENATE(BA$7,$AT46),'Modelo Optimización'!$CQ$4:$CQ$149,0),MATCH($AS46,'Modelo Optimización'!$AZ$3:$CO$3,0)))</f>
        <v/>
      </c>
      <c r="BB46" s="32" t="str">
        <f>+IF(N46="","",INDEX('Modelo Optimización'!$AZ$4:$CO$149,MATCH(CONCATENATE(BB$7,$AT46),'Modelo Optimización'!$CQ$4:$CQ$149,0),MATCH($AS46,'Modelo Optimización'!$AZ$3:$CO$3,0)))</f>
        <v/>
      </c>
      <c r="BC46" s="32" t="str">
        <f>+IF(O46="","",INDEX('Modelo Optimización'!$AZ$4:$CO$149,MATCH(CONCATENATE(BC$7,$AT46),'Modelo Optimización'!$CQ$4:$CQ$149,0),MATCH($AS46,'Modelo Optimización'!$AZ$3:$CO$3,0)))</f>
        <v/>
      </c>
      <c r="BD46" s="32" t="str">
        <f>+IF(P46="","",INDEX('Modelo Optimización'!$AZ$4:$CO$149,MATCH(CONCATENATE(BD$7,$AT46),'Modelo Optimización'!$CQ$4:$CQ$149,0),MATCH($AS46,'Modelo Optimización'!$AZ$3:$CO$3,0)))</f>
        <v/>
      </c>
      <c r="BE46" s="32" t="str">
        <f>+IF(Q46="","",INDEX('Modelo Optimización'!$AZ$4:$CO$149,MATCH(CONCATENATE(BE$7,$AT46),'Modelo Optimización'!$CQ$4:$CQ$149,0),MATCH($AS46,'Modelo Optimización'!$AZ$3:$CO$3,0)))</f>
        <v/>
      </c>
      <c r="BF46" s="32" t="str">
        <f>+IF(R46="","",INDEX('Modelo Optimización'!$AZ$4:$CO$149,MATCH(CONCATENATE(BF$7,$AT46),'Modelo Optimización'!$CQ$4:$CQ$149,0),MATCH($AS46,'Modelo Optimización'!$AZ$3:$CO$3,0)))</f>
        <v/>
      </c>
      <c r="BG46" s="32" t="str">
        <f>+IF(S46="","",INDEX('Modelo Optimización'!$AZ$4:$CO$149,MATCH(CONCATENATE(BG$7,$AT46),'Modelo Optimización'!$CQ$4:$CQ$149,0),MATCH($AS46,'Modelo Optimización'!$AZ$3:$CO$3,0)))</f>
        <v/>
      </c>
      <c r="BH46" s="32" t="str">
        <f>+IF(T46="","",INDEX('Modelo Optimización'!$AZ$4:$CO$149,MATCH(CONCATENATE(BH$7,$AT46),'Modelo Optimización'!$CQ$4:$CQ$149,0),MATCH($AS46,'Modelo Optimización'!$AZ$3:$CO$3,0)))</f>
        <v/>
      </c>
      <c r="BI46" s="32" t="str">
        <f>+IF(U46="","",INDEX('Modelo Optimización'!$AZ$4:$CO$149,MATCH(CONCATENATE(BI$7,$AT46),'Modelo Optimización'!$CQ$4:$CQ$149,0),MATCH($AS46,'Modelo Optimización'!$AZ$3:$CO$3,0)))</f>
        <v/>
      </c>
      <c r="BJ46" s="32" t="str">
        <f>+IF(V46="","",INDEX('Modelo Optimización'!$AZ$4:$CO$149,MATCH(CONCATENATE(BJ$7,$AT46),'Modelo Optimización'!$CQ$4:$CQ$149,0),MATCH($AS46,'Modelo Optimización'!$AZ$3:$CO$3,0)))</f>
        <v/>
      </c>
      <c r="BK46" s="32" t="str">
        <f>+IF(W46="","",INDEX('Modelo Optimización'!$AZ$4:$CO$149,MATCH(CONCATENATE(BK$7,$AT46),'Modelo Optimización'!$CQ$4:$CQ$149,0),MATCH($AS46,'Modelo Optimización'!$AZ$3:$CO$3,0)))</f>
        <v/>
      </c>
      <c r="BL46" s="32" t="str">
        <f>+IF(X46="","",INDEX('Modelo Optimización'!$AZ$4:$CO$149,MATCH(CONCATENATE(BL$7,$AT46),'Modelo Optimización'!$CQ$4:$CQ$149,0),MATCH($AS46,'Modelo Optimización'!$AZ$3:$CO$3,0)))</f>
        <v/>
      </c>
      <c r="BM46" s="32" t="str">
        <f>+IF(Y46="","",INDEX('Modelo Optimización'!$AZ$4:$CO$149,MATCH(CONCATENATE(BM$7,$AT46),'Modelo Optimización'!$CQ$4:$CQ$149,0),MATCH($AS46,'Modelo Optimización'!$AZ$3:$CO$3,0)))</f>
        <v/>
      </c>
      <c r="BN46" s="32" t="str">
        <f>+IF(Z46="","",INDEX('Modelo Optimización'!$AZ$4:$CO$149,MATCH(CONCATENATE(BN$7,$AT46),'Modelo Optimización'!$CQ$4:$CQ$149,0),MATCH($AS46,'Modelo Optimización'!$AZ$3:$CO$3,0)))</f>
        <v/>
      </c>
      <c r="BO46" s="32" t="str">
        <f>+IF(AA46="","",INDEX('Modelo Optimización'!$AZ$4:$CO$149,MATCH(CONCATENATE(BO$7,$AT46),'Modelo Optimización'!$CQ$4:$CQ$149,0),MATCH($AS46,'Modelo Optimización'!$AZ$3:$CO$3,0)))</f>
        <v/>
      </c>
      <c r="BP46" s="32" t="str">
        <f>+IF(AB46="","",INDEX('Modelo Optimización'!$AZ$4:$CO$149,MATCH(CONCATENATE(BP$7,$AT46),'Modelo Optimización'!$CQ$4:$CQ$149,0),MATCH($AS46,'Modelo Optimización'!$AZ$3:$CO$3,0)))</f>
        <v/>
      </c>
      <c r="BQ46" s="32" t="str">
        <f>+IF(AC46="","",INDEX('Modelo Optimización'!$AZ$4:$CO$149,MATCH(CONCATENATE(BQ$7,$AT46),'Modelo Optimización'!$CQ$4:$CQ$149,0),MATCH($AS46,'Modelo Optimización'!$AZ$3:$CO$3,0)))</f>
        <v/>
      </c>
      <c r="BR46" s="32" t="str">
        <f>+IF(AD46="","",INDEX('Modelo Optimización'!$AZ$4:$CO$149,MATCH(CONCATENATE(BR$7,$AT46),'Modelo Optimización'!$CQ$4:$CQ$149,0),MATCH($AS46,'Modelo Optimización'!$AZ$3:$CO$3,0)))</f>
        <v/>
      </c>
      <c r="BS46" s="32" t="str">
        <f>+IF(AE46="","",INDEX('Modelo Optimización'!$AZ$4:$CO$149,MATCH(CONCATENATE(BS$7,$AT46),'Modelo Optimización'!$CQ$4:$CQ$149,0),MATCH($AS46,'Modelo Optimización'!$AZ$3:$CO$3,0)))</f>
        <v/>
      </c>
      <c r="BT46" s="32" t="str">
        <f>+IF(AF46="","",INDEX('Modelo Optimización'!$AZ$4:$CO$149,MATCH(CONCATENATE(BT$7,$AT46),'Modelo Optimización'!$CQ$4:$CQ$149,0),MATCH($AS46,'Modelo Optimización'!$AZ$3:$CO$3,0)))</f>
        <v/>
      </c>
      <c r="BU46" s="32" t="str">
        <f>+IF(AG46="","",INDEX('Modelo Optimización'!$AZ$4:$CO$149,MATCH(CONCATENATE(BU$7,$AT46),'Modelo Optimización'!$CQ$4:$CQ$149,0),MATCH($AS46,'Modelo Optimización'!$AZ$3:$CO$3,0)))</f>
        <v/>
      </c>
      <c r="BV46" s="32" t="str">
        <f>+IF(AH46="","",INDEX('Modelo Optimización'!$AZ$4:$CO$149,MATCH(CONCATENATE(BV$7,$AT46),'Modelo Optimización'!$CQ$4:$CQ$149,0),MATCH($AS46,'Modelo Optimización'!$AZ$3:$CO$3,0)))</f>
        <v/>
      </c>
      <c r="BW46" s="32" t="str">
        <f>+IF(AI46="","",INDEX('Modelo Optimización'!$AZ$4:$CO$149,MATCH(CONCATENATE(BW$7,$AT46),'Modelo Optimización'!$CQ$4:$CQ$149,0),MATCH($AS46,'Modelo Optimización'!$AZ$3:$CO$3,0)))</f>
        <v/>
      </c>
      <c r="BX46" s="32" t="str">
        <f>+IF(AJ46="","",INDEX('Modelo Optimización'!$AZ$4:$CO$149,MATCH(CONCATENATE(BX$7,$AT46),'Modelo Optimización'!$CQ$4:$CQ$149,0),MATCH($AS46,'Modelo Optimización'!$AZ$3:$CO$3,0)))</f>
        <v/>
      </c>
      <c r="BY46" s="32" t="str">
        <f>+IF(AK46="","",INDEX('Modelo Optimización'!$AZ$4:$CO$149,MATCH(CONCATENATE(BY$7,$AT46),'Modelo Optimización'!$CQ$4:$CQ$149,0),MATCH($AS46,'Modelo Optimización'!$AZ$3:$CO$3,0)))</f>
        <v/>
      </c>
      <c r="BZ46" s="32" t="str">
        <f>+IF(AL46="","",INDEX('Modelo Optimización'!$AZ$4:$CO$149,MATCH(CONCATENATE(BZ$7,$AT46),'Modelo Optimización'!$CQ$4:$CQ$149,0),MATCH($AS46,'Modelo Optimización'!$AZ$3:$CO$3,0)))</f>
        <v/>
      </c>
      <c r="CA46" s="32" t="str">
        <f>+IF(AM46="","",INDEX('Modelo Optimización'!$AZ$4:$CO$149,MATCH(CONCATENATE(CA$7,$AT46),'Modelo Optimización'!$CQ$4:$CQ$149,0),MATCH($AS46,'Modelo Optimización'!$AZ$3:$CO$3,0)))</f>
        <v/>
      </c>
      <c r="CB46" s="32" t="str">
        <f>+IF(AN46="","",INDEX('Modelo Optimización'!$AZ$4:$CO$149,MATCH(CONCATENATE(CB$7,$AT46),'Modelo Optimización'!$CQ$4:$CQ$149,0),MATCH($AS46,'Modelo Optimización'!$AZ$3:$CO$3,0)))</f>
        <v/>
      </c>
      <c r="CC46" s="32" t="str">
        <f>+IF(AO46="","",INDEX('Modelo Optimización'!$AZ$4:$CO$149,MATCH(CONCATENATE(CC$7,$AT46),'Modelo Optimización'!$CQ$4:$CQ$149,0),MATCH($AS46,'Modelo Optimización'!$AZ$3:$CO$3,0)))</f>
        <v/>
      </c>
      <c r="CD46" s="32" t="str">
        <f>+IF(AP46="","",INDEX('Modelo Optimización'!$AZ$4:$CO$149,MATCH(CONCATENATE(CD$7,$AT46),'Modelo Optimización'!$CQ$4:$CQ$149,0),MATCH($AS46,'Modelo Optimización'!$AZ$3:$CO$3,0)))</f>
        <v/>
      </c>
      <c r="CE46" s="37" t="str">
        <f>+IF(AQ46="","",INDEX('Modelo Optimización'!$AZ$4:$CO$149,MATCH(CONCATENATE(CE$7,$AT46),'Modelo Optimización'!$CQ$4:$CQ$149,0),MATCH($AS46,'Modelo Optimización'!$AZ$3:$CO$3,0)))</f>
        <v/>
      </c>
      <c r="CF46" s="301"/>
      <c r="CG46" s="305" t="str">
        <f t="shared" si="11"/>
        <v/>
      </c>
      <c r="CH46" s="303" t="str">
        <f t="shared" si="7"/>
        <v/>
      </c>
      <c r="CI46" s="292" t="str">
        <f t="shared" si="8"/>
        <v/>
      </c>
      <c r="CJ46" s="36" t="str">
        <f t="shared" si="12"/>
        <v/>
      </c>
      <c r="CK46" s="32" t="str">
        <f t="shared" si="13"/>
        <v/>
      </c>
      <c r="CL46" s="32" t="str">
        <f t="shared" si="14"/>
        <v/>
      </c>
      <c r="CM46" s="32" t="str">
        <f t="shared" si="15"/>
        <v/>
      </c>
      <c r="CN46" s="32" t="str">
        <f t="shared" si="16"/>
        <v/>
      </c>
      <c r="CO46" s="32" t="str">
        <f t="shared" si="17"/>
        <v/>
      </c>
      <c r="CP46" s="32" t="str">
        <f t="shared" si="18"/>
        <v/>
      </c>
      <c r="CQ46" s="32" t="str">
        <f t="shared" si="19"/>
        <v/>
      </c>
      <c r="CR46" s="32" t="str">
        <f t="shared" si="20"/>
        <v/>
      </c>
      <c r="CS46" s="32" t="str">
        <f t="shared" si="21"/>
        <v/>
      </c>
      <c r="CT46" s="32" t="str">
        <f t="shared" si="22"/>
        <v/>
      </c>
      <c r="CU46" s="32" t="str">
        <f t="shared" si="23"/>
        <v/>
      </c>
      <c r="CV46" s="32" t="str">
        <f t="shared" si="24"/>
        <v/>
      </c>
      <c r="CW46" s="32" t="str">
        <f t="shared" si="25"/>
        <v/>
      </c>
      <c r="CX46" s="32" t="str">
        <f t="shared" si="26"/>
        <v/>
      </c>
      <c r="CY46" s="32" t="str">
        <f t="shared" si="27"/>
        <v/>
      </c>
      <c r="CZ46" s="32" t="str">
        <f t="shared" si="28"/>
        <v/>
      </c>
      <c r="DA46" s="32" t="str">
        <f t="shared" si="29"/>
        <v/>
      </c>
      <c r="DB46" s="32" t="str">
        <f t="shared" si="30"/>
        <v/>
      </c>
      <c r="DC46" s="32" t="str">
        <f t="shared" si="31"/>
        <v/>
      </c>
      <c r="DD46" s="32" t="str">
        <f t="shared" si="32"/>
        <v/>
      </c>
      <c r="DE46" s="32" t="str">
        <f t="shared" si="33"/>
        <v/>
      </c>
      <c r="DF46" s="32" t="str">
        <f t="shared" si="34"/>
        <v/>
      </c>
      <c r="DG46" s="32" t="str">
        <f t="shared" si="35"/>
        <v/>
      </c>
      <c r="DH46" s="32" t="str">
        <f t="shared" si="36"/>
        <v/>
      </c>
      <c r="DI46" s="32" t="str">
        <f t="shared" si="37"/>
        <v/>
      </c>
      <c r="DJ46" s="32" t="str">
        <f t="shared" si="38"/>
        <v/>
      </c>
      <c r="DK46" s="32" t="str">
        <f t="shared" si="39"/>
        <v/>
      </c>
      <c r="DL46" s="32" t="str">
        <f t="shared" si="40"/>
        <v/>
      </c>
      <c r="DM46" s="32" t="str">
        <f t="shared" si="41"/>
        <v/>
      </c>
      <c r="DN46" s="32" t="str">
        <f t="shared" si="42"/>
        <v/>
      </c>
      <c r="DO46" s="32" t="str">
        <f t="shared" si="43"/>
        <v/>
      </c>
      <c r="DP46" s="32" t="str">
        <f t="shared" si="44"/>
        <v/>
      </c>
      <c r="DQ46" s="32" t="str">
        <f t="shared" si="45"/>
        <v/>
      </c>
      <c r="DR46" s="32" t="str">
        <f t="shared" si="46"/>
        <v/>
      </c>
      <c r="DS46" s="32" t="str">
        <f t="shared" si="47"/>
        <v/>
      </c>
      <c r="DT46" s="37" t="str">
        <f t="shared" si="48"/>
        <v/>
      </c>
    </row>
    <row r="47" spans="2:124" x14ac:dyDescent="0.35">
      <c r="B47" s="46"/>
      <c r="C47" s="212"/>
      <c r="D47" s="52"/>
      <c r="E47" s="52" t="str">
        <f>+IF(B47="","",IFERROR(SUMIF('Modelo Optimización'!$AS$72:$AS$217,C47,INDEX('Modelo Optimización'!$C$72:$AR$217,,MATCH(B47,'Modelo Optimización'!$C$71:$AR$71,0))),0))</f>
        <v/>
      </c>
      <c r="F47" s="281" t="str">
        <f t="shared" si="10"/>
        <v/>
      </c>
      <c r="G47" s="280" t="str">
        <f>+IF(IF($B47="","",IFERROR(INDEX('Auxiliar Resultados'!$C$9:$BO$50,MATCH($B47,'Auxiliar Resultados'!$B$9:$B$50,0),MATCH(CONCATENATE($C47,G$7),'Auxiliar Resultados'!$C$6:$BO$6,0)),""))=0,"",IF($B47="","",IFERROR(INDEX('Auxiliar Resultados'!$C$9:$BO$50,MATCH($B47,'Auxiliar Resultados'!$B$9:$B$50,0),MATCH(CONCATENATE($C47,G$7),'Auxiliar Resultados'!$C$6:$BO$6,0)),"")))</f>
        <v/>
      </c>
      <c r="H47" s="52" t="str">
        <f>+IF(IF($B47="","",IFERROR(INDEX('Auxiliar Resultados'!$C$9:$BO$50,MATCH($B47,'Auxiliar Resultados'!$B$9:$B$50,0),MATCH(CONCATENATE($C47,H$7),'Auxiliar Resultados'!$C$6:$BO$6,0)),""))=0,"",IF($B47="","",IFERROR(INDEX('Auxiliar Resultados'!$C$9:$BO$50,MATCH($B47,'Auxiliar Resultados'!$B$9:$B$50,0),MATCH(CONCATENATE($C47,H$7),'Auxiliar Resultados'!$C$6:$BO$6,0)),"")))</f>
        <v/>
      </c>
      <c r="I47" s="52" t="str">
        <f>+IF(IF($B47="","",IFERROR(INDEX('Auxiliar Resultados'!$C$9:$BO$50,MATCH($B47,'Auxiliar Resultados'!$B$9:$B$50,0),MATCH(CONCATENATE($C47,I$7),'Auxiliar Resultados'!$C$6:$BO$6,0)),""))=0,"",IF($B47="","",IFERROR(INDEX('Auxiliar Resultados'!$C$9:$BO$50,MATCH($B47,'Auxiliar Resultados'!$B$9:$B$50,0),MATCH(CONCATENATE($C47,I$7),'Auxiliar Resultados'!$C$6:$BO$6,0)),"")))</f>
        <v/>
      </c>
      <c r="J47" s="52" t="str">
        <f>+IF(IF($B47="","",IFERROR(INDEX('Auxiliar Resultados'!$C$9:$BO$50,MATCH($B47,'Auxiliar Resultados'!$B$9:$B$50,0),MATCH(CONCATENATE($C47,J$7),'Auxiliar Resultados'!$C$6:$BO$6,0)),""))=0,"",IF($B47="","",IFERROR(INDEX('Auxiliar Resultados'!$C$9:$BO$50,MATCH($B47,'Auxiliar Resultados'!$B$9:$B$50,0),MATCH(CONCATENATE($C47,J$7),'Auxiliar Resultados'!$C$6:$BO$6,0)),"")))</f>
        <v/>
      </c>
      <c r="K47" s="52" t="str">
        <f>+IF(IF($B47="","",IFERROR(INDEX('Auxiliar Resultados'!$C$9:$BO$50,MATCH($B47,'Auxiliar Resultados'!$B$9:$B$50,0),MATCH(CONCATENATE($C47,K$7),'Auxiliar Resultados'!$C$6:$BO$6,0)),""))=0,"",IF($B47="","",IFERROR(INDEX('Auxiliar Resultados'!$C$9:$BO$50,MATCH($B47,'Auxiliar Resultados'!$B$9:$B$50,0),MATCH(CONCATENATE($C47,K$7),'Auxiliar Resultados'!$C$6:$BO$6,0)),"")))</f>
        <v/>
      </c>
      <c r="L47" s="52" t="str">
        <f>+IF(IF($B47="","",IFERROR(INDEX('Auxiliar Resultados'!$C$9:$BO$50,MATCH($B47,'Auxiliar Resultados'!$B$9:$B$50,0),MATCH(CONCATENATE($C47,L$7),'Auxiliar Resultados'!$C$6:$BO$6,0)),""))=0,"",IF($B47="","",IFERROR(INDEX('Auxiliar Resultados'!$C$9:$BO$50,MATCH($B47,'Auxiliar Resultados'!$B$9:$B$50,0),MATCH(CONCATENATE($C47,L$7),'Auxiliar Resultados'!$C$6:$BO$6,0)),"")))</f>
        <v/>
      </c>
      <c r="M47" s="52" t="str">
        <f>+IF(IF($B47="","",IFERROR(INDEX('Auxiliar Resultados'!$C$9:$BO$50,MATCH($B47,'Auxiliar Resultados'!$B$9:$B$50,0),MATCH(CONCATENATE($C47,M$7),'Auxiliar Resultados'!$C$6:$BO$6,0)),""))=0,"",IF($B47="","",IFERROR(INDEX('Auxiliar Resultados'!$C$9:$BO$50,MATCH($B47,'Auxiliar Resultados'!$B$9:$B$50,0),MATCH(CONCATENATE($C47,M$7),'Auxiliar Resultados'!$C$6:$BO$6,0)),"")))</f>
        <v/>
      </c>
      <c r="N47" s="52" t="str">
        <f>+IF(IF($B47="","",IFERROR(INDEX('Auxiliar Resultados'!$C$9:$BO$50,MATCH($B47,'Auxiliar Resultados'!$B$9:$B$50,0),MATCH(CONCATENATE($C47,N$7),'Auxiliar Resultados'!$C$6:$BO$6,0)),""))=0,"",IF($B47="","",IFERROR(INDEX('Auxiliar Resultados'!$C$9:$BO$50,MATCH($B47,'Auxiliar Resultados'!$B$9:$B$50,0),MATCH(CONCATENATE($C47,N$7),'Auxiliar Resultados'!$C$6:$BO$6,0)),"")))</f>
        <v/>
      </c>
      <c r="O47" s="52" t="str">
        <f>+IF(IF($B47="","",IFERROR(INDEX('Auxiliar Resultados'!$C$9:$BO$50,MATCH($B47,'Auxiliar Resultados'!$B$9:$B$50,0),MATCH(CONCATENATE($C47,O$7),'Auxiliar Resultados'!$C$6:$BO$6,0)),""))=0,"",IF($B47="","",IFERROR(INDEX('Auxiliar Resultados'!$C$9:$BO$50,MATCH($B47,'Auxiliar Resultados'!$B$9:$B$50,0),MATCH(CONCATENATE($C47,O$7),'Auxiliar Resultados'!$C$6:$BO$6,0)),"")))</f>
        <v/>
      </c>
      <c r="P47" s="52" t="str">
        <f>+IF(IF($B47="","",IFERROR(INDEX('Auxiliar Resultados'!$C$9:$BO$50,MATCH($B47,'Auxiliar Resultados'!$B$9:$B$50,0),MATCH(CONCATENATE($C47,P$7),'Auxiliar Resultados'!$C$6:$BO$6,0)),""))=0,"",IF($B47="","",IFERROR(INDEX('Auxiliar Resultados'!$C$9:$BO$50,MATCH($B47,'Auxiliar Resultados'!$B$9:$B$50,0),MATCH(CONCATENATE($C47,P$7),'Auxiliar Resultados'!$C$6:$BO$6,0)),"")))</f>
        <v/>
      </c>
      <c r="Q47" s="52" t="str">
        <f>+IF(IF($B47="","",IFERROR(INDEX('Auxiliar Resultados'!$C$9:$BO$50,MATCH($B47,'Auxiliar Resultados'!$B$9:$B$50,0),MATCH(CONCATENATE($C47,Q$7),'Auxiliar Resultados'!$C$6:$BO$6,0)),""))=0,"",IF($B47="","",IFERROR(INDEX('Auxiliar Resultados'!$C$9:$BO$50,MATCH($B47,'Auxiliar Resultados'!$B$9:$B$50,0),MATCH(CONCATENATE($C47,Q$7),'Auxiliar Resultados'!$C$6:$BO$6,0)),"")))</f>
        <v/>
      </c>
      <c r="R47" s="52" t="str">
        <f>+IF(IF($B47="","",IFERROR(INDEX('Auxiliar Resultados'!$C$9:$BO$50,MATCH($B47,'Auxiliar Resultados'!$B$9:$B$50,0),MATCH(CONCATENATE($C47,R$7),'Auxiliar Resultados'!$C$6:$BO$6,0)),""))=0,"",IF($B47="","",IFERROR(INDEX('Auxiliar Resultados'!$C$9:$BO$50,MATCH($B47,'Auxiliar Resultados'!$B$9:$B$50,0),MATCH(CONCATENATE($C47,R$7),'Auxiliar Resultados'!$C$6:$BO$6,0)),"")))</f>
        <v/>
      </c>
      <c r="S47" s="52" t="str">
        <f>+IF(IF($B47="","",IFERROR(INDEX('Auxiliar Resultados'!$C$9:$BO$50,MATCH($B47,'Auxiliar Resultados'!$B$9:$B$50,0),MATCH(CONCATENATE($C47,S$7),'Auxiliar Resultados'!$C$6:$BO$6,0)),""))=0,"",IF($B47="","",IFERROR(INDEX('Auxiliar Resultados'!$C$9:$BO$50,MATCH($B47,'Auxiliar Resultados'!$B$9:$B$50,0),MATCH(CONCATENATE($C47,S$7),'Auxiliar Resultados'!$C$6:$BO$6,0)),"")))</f>
        <v/>
      </c>
      <c r="T47" s="52" t="str">
        <f>+IF(IF($B47="","",IFERROR(INDEX('Auxiliar Resultados'!$C$9:$BO$50,MATCH($B47,'Auxiliar Resultados'!$B$9:$B$50,0),MATCH(CONCATENATE($C47,T$7),'Auxiliar Resultados'!$C$6:$BO$6,0)),""))=0,"",IF($B47="","",IFERROR(INDEX('Auxiliar Resultados'!$C$9:$BO$50,MATCH($B47,'Auxiliar Resultados'!$B$9:$B$50,0),MATCH(CONCATENATE($C47,T$7),'Auxiliar Resultados'!$C$6:$BO$6,0)),"")))</f>
        <v/>
      </c>
      <c r="U47" s="52" t="str">
        <f>+IF(IF($B47="","",IFERROR(INDEX('Auxiliar Resultados'!$C$9:$BO$50,MATCH($B47,'Auxiliar Resultados'!$B$9:$B$50,0),MATCH(CONCATENATE($C47,U$7),'Auxiliar Resultados'!$C$6:$BO$6,0)),""))=0,"",IF($B47="","",IFERROR(INDEX('Auxiliar Resultados'!$C$9:$BO$50,MATCH($B47,'Auxiliar Resultados'!$B$9:$B$50,0),MATCH(CONCATENATE($C47,U$7),'Auxiliar Resultados'!$C$6:$BO$6,0)),"")))</f>
        <v/>
      </c>
      <c r="V47" s="52" t="str">
        <f>+IF(IF($B47="","",IFERROR(INDEX('Auxiliar Resultados'!$C$9:$BO$50,MATCH($B47,'Auxiliar Resultados'!$B$9:$B$50,0),MATCH(CONCATENATE($C47,V$7),'Auxiliar Resultados'!$C$6:$BO$6,0)),""))=0,"",IF($B47="","",IFERROR(INDEX('Auxiliar Resultados'!$C$9:$BO$50,MATCH($B47,'Auxiliar Resultados'!$B$9:$B$50,0),MATCH(CONCATENATE($C47,V$7),'Auxiliar Resultados'!$C$6:$BO$6,0)),"")))</f>
        <v/>
      </c>
      <c r="W47" s="52" t="str">
        <f>+IF(IF($B47="","",IFERROR(INDEX('Auxiliar Resultados'!$C$9:$BO$50,MATCH($B47,'Auxiliar Resultados'!$B$9:$B$50,0),MATCH(CONCATENATE($C47,W$7),'Auxiliar Resultados'!$C$6:$BO$6,0)),""))=0,"",IF($B47="","",IFERROR(INDEX('Auxiliar Resultados'!$C$9:$BO$50,MATCH($B47,'Auxiliar Resultados'!$B$9:$B$50,0),MATCH(CONCATENATE($C47,W$7),'Auxiliar Resultados'!$C$6:$BO$6,0)),"")))</f>
        <v/>
      </c>
      <c r="X47" s="52" t="str">
        <f>+IF(IF($B47="","",IFERROR(INDEX('Auxiliar Resultados'!$C$9:$BO$50,MATCH($B47,'Auxiliar Resultados'!$B$9:$B$50,0),MATCH(CONCATENATE($C47,X$7),'Auxiliar Resultados'!$C$6:$BO$6,0)),""))=0,"",IF($B47="","",IFERROR(INDEX('Auxiliar Resultados'!$C$9:$BO$50,MATCH($B47,'Auxiliar Resultados'!$B$9:$B$50,0),MATCH(CONCATENATE($C47,X$7),'Auxiliar Resultados'!$C$6:$BO$6,0)),"")))</f>
        <v/>
      </c>
      <c r="Y47" s="52" t="str">
        <f>+IF(IF($B47="","",IFERROR(INDEX('Auxiliar Resultados'!$C$9:$BO$50,MATCH($B47,'Auxiliar Resultados'!$B$9:$B$50,0),MATCH(CONCATENATE($C47,Y$7),'Auxiliar Resultados'!$C$6:$BO$6,0)),""))=0,"",IF($B47="","",IFERROR(INDEX('Auxiliar Resultados'!$C$9:$BO$50,MATCH($B47,'Auxiliar Resultados'!$B$9:$B$50,0),MATCH(CONCATENATE($C47,Y$7),'Auxiliar Resultados'!$C$6:$BO$6,0)),"")))</f>
        <v/>
      </c>
      <c r="Z47" s="52" t="str">
        <f>+IF(IF($B47="","",IFERROR(INDEX('Auxiliar Resultados'!$C$9:$BO$50,MATCH($B47,'Auxiliar Resultados'!$B$9:$B$50,0),MATCH(CONCATENATE($C47,Z$7),'Auxiliar Resultados'!$C$6:$BO$6,0)),""))=0,"",IF($B47="","",IFERROR(INDEX('Auxiliar Resultados'!$C$9:$BO$50,MATCH($B47,'Auxiliar Resultados'!$B$9:$B$50,0),MATCH(CONCATENATE($C47,Z$7),'Auxiliar Resultados'!$C$6:$BO$6,0)),"")))</f>
        <v/>
      </c>
      <c r="AA47" s="52" t="str">
        <f>+IF(IF($B47="","",IFERROR(INDEX('Auxiliar Resultados'!$C$9:$BO$50,MATCH($B47,'Auxiliar Resultados'!$B$9:$B$50,0),MATCH(CONCATENATE($C47,AA$7),'Auxiliar Resultados'!$C$6:$BO$6,0)),""))=0,"",IF($B47="","",IFERROR(INDEX('Auxiliar Resultados'!$C$9:$BO$50,MATCH($B47,'Auxiliar Resultados'!$B$9:$B$50,0),MATCH(CONCATENATE($C47,AA$7),'Auxiliar Resultados'!$C$6:$BO$6,0)),"")))</f>
        <v/>
      </c>
      <c r="AB47" s="52" t="str">
        <f>+IF(IF($B47="","",IFERROR(INDEX('Auxiliar Resultados'!$C$9:$BO$50,MATCH($B47,'Auxiliar Resultados'!$B$9:$B$50,0),MATCH(CONCATENATE($C47,AB$7),'Auxiliar Resultados'!$C$6:$BO$6,0)),""))=0,"",IF($B47="","",IFERROR(INDEX('Auxiliar Resultados'!$C$9:$BO$50,MATCH($B47,'Auxiliar Resultados'!$B$9:$B$50,0),MATCH(CONCATENATE($C47,AB$7),'Auxiliar Resultados'!$C$6:$BO$6,0)),"")))</f>
        <v/>
      </c>
      <c r="AC47" s="52" t="str">
        <f>+IF(IF($B47="","",IFERROR(INDEX('Auxiliar Resultados'!$C$9:$BO$50,MATCH($B47,'Auxiliar Resultados'!$B$9:$B$50,0),MATCH(CONCATENATE($C47,AC$7),'Auxiliar Resultados'!$C$6:$BO$6,0)),""))=0,"",IF($B47="","",IFERROR(INDEX('Auxiliar Resultados'!$C$9:$BO$50,MATCH($B47,'Auxiliar Resultados'!$B$9:$B$50,0),MATCH(CONCATENATE($C47,AC$7),'Auxiliar Resultados'!$C$6:$BO$6,0)),"")))</f>
        <v/>
      </c>
      <c r="AD47" s="52" t="str">
        <f>+IF(IF($B47="","",IFERROR(INDEX('Auxiliar Resultados'!$C$9:$BO$50,MATCH($B47,'Auxiliar Resultados'!$B$9:$B$50,0),MATCH(CONCATENATE($C47,AD$7),'Auxiliar Resultados'!$C$6:$BO$6,0)),""))=0,"",IF($B47="","",IFERROR(INDEX('Auxiliar Resultados'!$C$9:$BO$50,MATCH($B47,'Auxiliar Resultados'!$B$9:$B$50,0),MATCH(CONCATENATE($C47,AD$7),'Auxiliar Resultados'!$C$6:$BO$6,0)),"")))</f>
        <v/>
      </c>
      <c r="AE47" s="52" t="str">
        <f>+IF(IF($B47="","",IFERROR(INDEX('Auxiliar Resultados'!$C$9:$BO$50,MATCH($B47,'Auxiliar Resultados'!$B$9:$B$50,0),MATCH(CONCATENATE($C47,AE$7),'Auxiliar Resultados'!$C$6:$BO$6,0)),""))=0,"",IF($B47="","",IFERROR(INDEX('Auxiliar Resultados'!$C$9:$BO$50,MATCH($B47,'Auxiliar Resultados'!$B$9:$B$50,0),MATCH(CONCATENATE($C47,AE$7),'Auxiliar Resultados'!$C$6:$BO$6,0)),"")))</f>
        <v/>
      </c>
      <c r="AF47" s="52" t="str">
        <f>+IF(IF($B47="","",IFERROR(INDEX('Auxiliar Resultados'!$C$9:$BO$50,MATCH($B47,'Auxiliar Resultados'!$B$9:$B$50,0),MATCH(CONCATENATE($C47,AF$7),'Auxiliar Resultados'!$C$6:$BO$6,0)),""))=0,"",IF($B47="","",IFERROR(INDEX('Auxiliar Resultados'!$C$9:$BO$50,MATCH($B47,'Auxiliar Resultados'!$B$9:$B$50,0),MATCH(CONCATENATE($C47,AF$7),'Auxiliar Resultados'!$C$6:$BO$6,0)),"")))</f>
        <v/>
      </c>
      <c r="AG47" s="52" t="str">
        <f>+IF(IF($B47="","",IFERROR(INDEX('Auxiliar Resultados'!$C$9:$BO$50,MATCH($B47,'Auxiliar Resultados'!$B$9:$B$50,0),MATCH(CONCATENATE($C47,AG$7),'Auxiliar Resultados'!$C$6:$BO$6,0)),""))=0,"",IF($B47="","",IFERROR(INDEX('Auxiliar Resultados'!$C$9:$BO$50,MATCH($B47,'Auxiliar Resultados'!$B$9:$B$50,0),MATCH(CONCATENATE($C47,AG$7),'Auxiliar Resultados'!$C$6:$BO$6,0)),"")))</f>
        <v/>
      </c>
      <c r="AH47" s="52" t="str">
        <f>+IF(IF($B47="","",IFERROR(INDEX('Auxiliar Resultados'!$C$9:$BO$50,MATCH($B47,'Auxiliar Resultados'!$B$9:$B$50,0),MATCH(CONCATENATE($C47,AH$7),'Auxiliar Resultados'!$C$6:$BO$6,0)),""))=0,"",IF($B47="","",IFERROR(INDEX('Auxiliar Resultados'!$C$9:$BO$50,MATCH($B47,'Auxiliar Resultados'!$B$9:$B$50,0),MATCH(CONCATENATE($C47,AH$7),'Auxiliar Resultados'!$C$6:$BO$6,0)),"")))</f>
        <v/>
      </c>
      <c r="AI47" s="52" t="str">
        <f>+IF(IF($B47="","",IFERROR(INDEX('Auxiliar Resultados'!$C$9:$BO$50,MATCH($B47,'Auxiliar Resultados'!$B$9:$B$50,0),MATCH(CONCATENATE($C47,AI$7),'Auxiliar Resultados'!$C$6:$BO$6,0)),""))=0,"",IF($B47="","",IFERROR(INDEX('Auxiliar Resultados'!$C$9:$BO$50,MATCH($B47,'Auxiliar Resultados'!$B$9:$B$50,0),MATCH(CONCATENATE($C47,AI$7),'Auxiliar Resultados'!$C$6:$BO$6,0)),"")))</f>
        <v/>
      </c>
      <c r="AJ47" s="52" t="str">
        <f>+IF(IF($B47="","",IFERROR(INDEX('Auxiliar Resultados'!$C$9:$BO$50,MATCH($B47,'Auxiliar Resultados'!$B$9:$B$50,0),MATCH(CONCATENATE($C47,AJ$7),'Auxiliar Resultados'!$C$6:$BO$6,0)),""))=0,"",IF($B47="","",IFERROR(INDEX('Auxiliar Resultados'!$C$9:$BO$50,MATCH($B47,'Auxiliar Resultados'!$B$9:$B$50,0),MATCH(CONCATENATE($C47,AJ$7),'Auxiliar Resultados'!$C$6:$BO$6,0)),"")))</f>
        <v/>
      </c>
      <c r="AK47" s="52" t="str">
        <f>+IF(IF($B47="","",IFERROR(INDEX('Auxiliar Resultados'!$C$9:$BO$50,MATCH($B47,'Auxiliar Resultados'!$B$9:$B$50,0),MATCH(CONCATENATE($C47,AK$7),'Auxiliar Resultados'!$C$6:$BO$6,0)),""))=0,"",IF($B47="","",IFERROR(INDEX('Auxiliar Resultados'!$C$9:$BO$50,MATCH($B47,'Auxiliar Resultados'!$B$9:$B$50,0),MATCH(CONCATENATE($C47,AK$7),'Auxiliar Resultados'!$C$6:$BO$6,0)),"")))</f>
        <v/>
      </c>
      <c r="AL47" s="52" t="str">
        <f>+IF(IF($B47="","",IFERROR(INDEX('Auxiliar Resultados'!$C$9:$BO$50,MATCH($B47,'Auxiliar Resultados'!$B$9:$B$50,0),MATCH(CONCATENATE($C47,AL$7),'Auxiliar Resultados'!$C$6:$BO$6,0)),""))=0,"",IF($B47="","",IFERROR(INDEX('Auxiliar Resultados'!$C$9:$BO$50,MATCH($B47,'Auxiliar Resultados'!$B$9:$B$50,0),MATCH(CONCATENATE($C47,AL$7),'Auxiliar Resultados'!$C$6:$BO$6,0)),"")))</f>
        <v/>
      </c>
      <c r="AM47" s="52" t="str">
        <f>+IF(IF($B47="","",IFERROR(INDEX('Auxiliar Resultados'!$C$9:$BO$50,MATCH($B47,'Auxiliar Resultados'!$B$9:$B$50,0),MATCH(CONCATENATE($C47,AM$7),'Auxiliar Resultados'!$C$6:$BO$6,0)),""))=0,"",IF($B47="","",IFERROR(INDEX('Auxiliar Resultados'!$C$9:$BO$50,MATCH($B47,'Auxiliar Resultados'!$B$9:$B$50,0),MATCH(CONCATENATE($C47,AM$7),'Auxiliar Resultados'!$C$6:$BO$6,0)),"")))</f>
        <v/>
      </c>
      <c r="AN47" s="52" t="str">
        <f>+IF(IF($B47="","",IFERROR(INDEX('Auxiliar Resultados'!$C$9:$BO$50,MATCH($B47,'Auxiliar Resultados'!$B$9:$B$50,0),MATCH(CONCATENATE($C47,AN$7),'Auxiliar Resultados'!$C$6:$BO$6,0)),""))=0,"",IF($B47="","",IFERROR(INDEX('Auxiliar Resultados'!$C$9:$BO$50,MATCH($B47,'Auxiliar Resultados'!$B$9:$B$50,0),MATCH(CONCATENATE($C47,AN$7),'Auxiliar Resultados'!$C$6:$BO$6,0)),"")))</f>
        <v/>
      </c>
      <c r="AO47" s="52" t="str">
        <f>+IF(IF($B47="","",IFERROR(INDEX('Auxiliar Resultados'!$C$9:$BO$50,MATCH($B47,'Auxiliar Resultados'!$B$9:$B$50,0),MATCH(CONCATENATE($C47,AO$7),'Auxiliar Resultados'!$C$6:$BO$6,0)),""))=0,"",IF($B47="","",IFERROR(INDEX('Auxiliar Resultados'!$C$9:$BO$50,MATCH($B47,'Auxiliar Resultados'!$B$9:$B$50,0),MATCH(CONCATENATE($C47,AO$7),'Auxiliar Resultados'!$C$6:$BO$6,0)),"")))</f>
        <v/>
      </c>
      <c r="AP47" s="52" t="str">
        <f>+IF(IF($B47="","",IFERROR(INDEX('Auxiliar Resultados'!$C$9:$BO$50,MATCH($B47,'Auxiliar Resultados'!$B$9:$B$50,0),MATCH(CONCATENATE($C47,AP$7),'Auxiliar Resultados'!$C$6:$BO$6,0)),""))=0,"",IF($B47="","",IFERROR(INDEX('Auxiliar Resultados'!$C$9:$BO$50,MATCH($B47,'Auxiliar Resultados'!$B$9:$B$50,0),MATCH(CONCATENATE($C47,AP$7),'Auxiliar Resultados'!$C$6:$BO$6,0)),"")))</f>
        <v/>
      </c>
      <c r="AQ47" s="276" t="str">
        <f>+IF(IF($B47="","",IFERROR(INDEX('Auxiliar Resultados'!$C$9:$BO$50,MATCH($B47,'Auxiliar Resultados'!$B$9:$B$50,0),MATCH(CONCATENATE($C47,AQ$7),'Auxiliar Resultados'!$C$6:$BO$6,0)),""))=0,"",IF($B47="","",IFERROR(INDEX('Auxiliar Resultados'!$C$9:$BO$50,MATCH($B47,'Auxiliar Resultados'!$B$9:$B$50,0),MATCH(CONCATENATE($C47,AQ$7),'Auxiliar Resultados'!$C$6:$BO$6,0)),"")))</f>
        <v/>
      </c>
      <c r="AS47" s="46" t="str">
        <f t="shared" si="5"/>
        <v/>
      </c>
      <c r="AT47" s="292" t="str">
        <f t="shared" si="6"/>
        <v/>
      </c>
      <c r="AU47" s="36" t="str">
        <f>+IF(G47="","",INDEX('Modelo Optimización'!$AZ$4:$CO$149,MATCH(CONCATENATE(AU$7,$AT47),'Modelo Optimización'!$CQ$4:$CQ$149,0),MATCH($AS47,'Modelo Optimización'!$AZ$3:$CO$3,0)))</f>
        <v/>
      </c>
      <c r="AV47" s="32" t="str">
        <f>+IF(H47="","",INDEX('Modelo Optimización'!$AZ$4:$CO$149,MATCH(CONCATENATE(AV$7,$AT47),'Modelo Optimización'!$CQ$4:$CQ$149,0),MATCH($AS47,'Modelo Optimización'!$AZ$3:$CO$3,0)))</f>
        <v/>
      </c>
      <c r="AW47" s="32" t="str">
        <f>+IF(I47="","",INDEX('Modelo Optimización'!$AZ$4:$CO$149,MATCH(CONCATENATE(AW$7,$AT47),'Modelo Optimización'!$CQ$4:$CQ$149,0),MATCH($AS47,'Modelo Optimización'!$AZ$3:$CO$3,0)))</f>
        <v/>
      </c>
      <c r="AX47" s="32" t="str">
        <f>+IF(J47="","",INDEX('Modelo Optimización'!$AZ$4:$CO$149,MATCH(CONCATENATE(AX$7,$AT47),'Modelo Optimización'!$CQ$4:$CQ$149,0),MATCH($AS47,'Modelo Optimización'!$AZ$3:$CO$3,0)))</f>
        <v/>
      </c>
      <c r="AY47" s="32" t="str">
        <f>+IF(K47="","",INDEX('Modelo Optimización'!$AZ$4:$CO$149,MATCH(CONCATENATE(AY$7,$AT47),'Modelo Optimización'!$CQ$4:$CQ$149,0),MATCH($AS47,'Modelo Optimización'!$AZ$3:$CO$3,0)))</f>
        <v/>
      </c>
      <c r="AZ47" s="32" t="str">
        <f>+IF(L47="","",INDEX('Modelo Optimización'!$AZ$4:$CO$149,MATCH(CONCATENATE(AZ$7,$AT47),'Modelo Optimización'!$CQ$4:$CQ$149,0),MATCH($AS47,'Modelo Optimización'!$AZ$3:$CO$3,0)))</f>
        <v/>
      </c>
      <c r="BA47" s="32" t="str">
        <f>+IF(M47="","",INDEX('Modelo Optimización'!$AZ$4:$CO$149,MATCH(CONCATENATE(BA$7,$AT47),'Modelo Optimización'!$CQ$4:$CQ$149,0),MATCH($AS47,'Modelo Optimización'!$AZ$3:$CO$3,0)))</f>
        <v/>
      </c>
      <c r="BB47" s="32" t="str">
        <f>+IF(N47="","",INDEX('Modelo Optimización'!$AZ$4:$CO$149,MATCH(CONCATENATE(BB$7,$AT47),'Modelo Optimización'!$CQ$4:$CQ$149,0),MATCH($AS47,'Modelo Optimización'!$AZ$3:$CO$3,0)))</f>
        <v/>
      </c>
      <c r="BC47" s="32" t="str">
        <f>+IF(O47="","",INDEX('Modelo Optimización'!$AZ$4:$CO$149,MATCH(CONCATENATE(BC$7,$AT47),'Modelo Optimización'!$CQ$4:$CQ$149,0),MATCH($AS47,'Modelo Optimización'!$AZ$3:$CO$3,0)))</f>
        <v/>
      </c>
      <c r="BD47" s="32" t="str">
        <f>+IF(P47="","",INDEX('Modelo Optimización'!$AZ$4:$CO$149,MATCH(CONCATENATE(BD$7,$AT47),'Modelo Optimización'!$CQ$4:$CQ$149,0),MATCH($AS47,'Modelo Optimización'!$AZ$3:$CO$3,0)))</f>
        <v/>
      </c>
      <c r="BE47" s="32" t="str">
        <f>+IF(Q47="","",INDEX('Modelo Optimización'!$AZ$4:$CO$149,MATCH(CONCATENATE(BE$7,$AT47),'Modelo Optimización'!$CQ$4:$CQ$149,0),MATCH($AS47,'Modelo Optimización'!$AZ$3:$CO$3,0)))</f>
        <v/>
      </c>
      <c r="BF47" s="32" t="str">
        <f>+IF(R47="","",INDEX('Modelo Optimización'!$AZ$4:$CO$149,MATCH(CONCATENATE(BF$7,$AT47),'Modelo Optimización'!$CQ$4:$CQ$149,0),MATCH($AS47,'Modelo Optimización'!$AZ$3:$CO$3,0)))</f>
        <v/>
      </c>
      <c r="BG47" s="32" t="str">
        <f>+IF(S47="","",INDEX('Modelo Optimización'!$AZ$4:$CO$149,MATCH(CONCATENATE(BG$7,$AT47),'Modelo Optimización'!$CQ$4:$CQ$149,0),MATCH($AS47,'Modelo Optimización'!$AZ$3:$CO$3,0)))</f>
        <v/>
      </c>
      <c r="BH47" s="32" t="str">
        <f>+IF(T47="","",INDEX('Modelo Optimización'!$AZ$4:$CO$149,MATCH(CONCATENATE(BH$7,$AT47),'Modelo Optimización'!$CQ$4:$CQ$149,0),MATCH($AS47,'Modelo Optimización'!$AZ$3:$CO$3,0)))</f>
        <v/>
      </c>
      <c r="BI47" s="32" t="str">
        <f>+IF(U47="","",INDEX('Modelo Optimización'!$AZ$4:$CO$149,MATCH(CONCATENATE(BI$7,$AT47),'Modelo Optimización'!$CQ$4:$CQ$149,0),MATCH($AS47,'Modelo Optimización'!$AZ$3:$CO$3,0)))</f>
        <v/>
      </c>
      <c r="BJ47" s="32" t="str">
        <f>+IF(V47="","",INDEX('Modelo Optimización'!$AZ$4:$CO$149,MATCH(CONCATENATE(BJ$7,$AT47),'Modelo Optimización'!$CQ$4:$CQ$149,0),MATCH($AS47,'Modelo Optimización'!$AZ$3:$CO$3,0)))</f>
        <v/>
      </c>
      <c r="BK47" s="32" t="str">
        <f>+IF(W47="","",INDEX('Modelo Optimización'!$AZ$4:$CO$149,MATCH(CONCATENATE(BK$7,$AT47),'Modelo Optimización'!$CQ$4:$CQ$149,0),MATCH($AS47,'Modelo Optimización'!$AZ$3:$CO$3,0)))</f>
        <v/>
      </c>
      <c r="BL47" s="32" t="str">
        <f>+IF(X47="","",INDEX('Modelo Optimización'!$AZ$4:$CO$149,MATCH(CONCATENATE(BL$7,$AT47),'Modelo Optimización'!$CQ$4:$CQ$149,0),MATCH($AS47,'Modelo Optimización'!$AZ$3:$CO$3,0)))</f>
        <v/>
      </c>
      <c r="BM47" s="32" t="str">
        <f>+IF(Y47="","",INDEX('Modelo Optimización'!$AZ$4:$CO$149,MATCH(CONCATENATE(BM$7,$AT47),'Modelo Optimización'!$CQ$4:$CQ$149,0),MATCH($AS47,'Modelo Optimización'!$AZ$3:$CO$3,0)))</f>
        <v/>
      </c>
      <c r="BN47" s="32" t="str">
        <f>+IF(Z47="","",INDEX('Modelo Optimización'!$AZ$4:$CO$149,MATCH(CONCATENATE(BN$7,$AT47),'Modelo Optimización'!$CQ$4:$CQ$149,0),MATCH($AS47,'Modelo Optimización'!$AZ$3:$CO$3,0)))</f>
        <v/>
      </c>
      <c r="BO47" s="32" t="str">
        <f>+IF(AA47="","",INDEX('Modelo Optimización'!$AZ$4:$CO$149,MATCH(CONCATENATE(BO$7,$AT47),'Modelo Optimización'!$CQ$4:$CQ$149,0),MATCH($AS47,'Modelo Optimización'!$AZ$3:$CO$3,0)))</f>
        <v/>
      </c>
      <c r="BP47" s="32" t="str">
        <f>+IF(AB47="","",INDEX('Modelo Optimización'!$AZ$4:$CO$149,MATCH(CONCATENATE(BP$7,$AT47),'Modelo Optimización'!$CQ$4:$CQ$149,0),MATCH($AS47,'Modelo Optimización'!$AZ$3:$CO$3,0)))</f>
        <v/>
      </c>
      <c r="BQ47" s="32" t="str">
        <f>+IF(AC47="","",INDEX('Modelo Optimización'!$AZ$4:$CO$149,MATCH(CONCATENATE(BQ$7,$AT47),'Modelo Optimización'!$CQ$4:$CQ$149,0),MATCH($AS47,'Modelo Optimización'!$AZ$3:$CO$3,0)))</f>
        <v/>
      </c>
      <c r="BR47" s="32" t="str">
        <f>+IF(AD47="","",INDEX('Modelo Optimización'!$AZ$4:$CO$149,MATCH(CONCATENATE(BR$7,$AT47),'Modelo Optimización'!$CQ$4:$CQ$149,0),MATCH($AS47,'Modelo Optimización'!$AZ$3:$CO$3,0)))</f>
        <v/>
      </c>
      <c r="BS47" s="32" t="str">
        <f>+IF(AE47="","",INDEX('Modelo Optimización'!$AZ$4:$CO$149,MATCH(CONCATENATE(BS$7,$AT47),'Modelo Optimización'!$CQ$4:$CQ$149,0),MATCH($AS47,'Modelo Optimización'!$AZ$3:$CO$3,0)))</f>
        <v/>
      </c>
      <c r="BT47" s="32" t="str">
        <f>+IF(AF47="","",INDEX('Modelo Optimización'!$AZ$4:$CO$149,MATCH(CONCATENATE(BT$7,$AT47),'Modelo Optimización'!$CQ$4:$CQ$149,0),MATCH($AS47,'Modelo Optimización'!$AZ$3:$CO$3,0)))</f>
        <v/>
      </c>
      <c r="BU47" s="32" t="str">
        <f>+IF(AG47="","",INDEX('Modelo Optimización'!$AZ$4:$CO$149,MATCH(CONCATENATE(BU$7,$AT47),'Modelo Optimización'!$CQ$4:$CQ$149,0),MATCH($AS47,'Modelo Optimización'!$AZ$3:$CO$3,0)))</f>
        <v/>
      </c>
      <c r="BV47" s="32" t="str">
        <f>+IF(AH47="","",INDEX('Modelo Optimización'!$AZ$4:$CO$149,MATCH(CONCATENATE(BV$7,$AT47),'Modelo Optimización'!$CQ$4:$CQ$149,0),MATCH($AS47,'Modelo Optimización'!$AZ$3:$CO$3,0)))</f>
        <v/>
      </c>
      <c r="BW47" s="32" t="str">
        <f>+IF(AI47="","",INDEX('Modelo Optimización'!$AZ$4:$CO$149,MATCH(CONCATENATE(BW$7,$AT47),'Modelo Optimización'!$CQ$4:$CQ$149,0),MATCH($AS47,'Modelo Optimización'!$AZ$3:$CO$3,0)))</f>
        <v/>
      </c>
      <c r="BX47" s="32" t="str">
        <f>+IF(AJ47="","",INDEX('Modelo Optimización'!$AZ$4:$CO$149,MATCH(CONCATENATE(BX$7,$AT47),'Modelo Optimización'!$CQ$4:$CQ$149,0),MATCH($AS47,'Modelo Optimización'!$AZ$3:$CO$3,0)))</f>
        <v/>
      </c>
      <c r="BY47" s="32" t="str">
        <f>+IF(AK47="","",INDEX('Modelo Optimización'!$AZ$4:$CO$149,MATCH(CONCATENATE(BY$7,$AT47),'Modelo Optimización'!$CQ$4:$CQ$149,0),MATCH($AS47,'Modelo Optimización'!$AZ$3:$CO$3,0)))</f>
        <v/>
      </c>
      <c r="BZ47" s="32" t="str">
        <f>+IF(AL47="","",INDEX('Modelo Optimización'!$AZ$4:$CO$149,MATCH(CONCATENATE(BZ$7,$AT47),'Modelo Optimización'!$CQ$4:$CQ$149,0),MATCH($AS47,'Modelo Optimización'!$AZ$3:$CO$3,0)))</f>
        <v/>
      </c>
      <c r="CA47" s="32" t="str">
        <f>+IF(AM47="","",INDEX('Modelo Optimización'!$AZ$4:$CO$149,MATCH(CONCATENATE(CA$7,$AT47),'Modelo Optimización'!$CQ$4:$CQ$149,0),MATCH($AS47,'Modelo Optimización'!$AZ$3:$CO$3,0)))</f>
        <v/>
      </c>
      <c r="CB47" s="32" t="str">
        <f>+IF(AN47="","",INDEX('Modelo Optimización'!$AZ$4:$CO$149,MATCH(CONCATENATE(CB$7,$AT47),'Modelo Optimización'!$CQ$4:$CQ$149,0),MATCH($AS47,'Modelo Optimización'!$AZ$3:$CO$3,0)))</f>
        <v/>
      </c>
      <c r="CC47" s="32" t="str">
        <f>+IF(AO47="","",INDEX('Modelo Optimización'!$AZ$4:$CO$149,MATCH(CONCATENATE(CC$7,$AT47),'Modelo Optimización'!$CQ$4:$CQ$149,0),MATCH($AS47,'Modelo Optimización'!$AZ$3:$CO$3,0)))</f>
        <v/>
      </c>
      <c r="CD47" s="32" t="str">
        <f>+IF(AP47="","",INDEX('Modelo Optimización'!$AZ$4:$CO$149,MATCH(CONCATENATE(CD$7,$AT47),'Modelo Optimización'!$CQ$4:$CQ$149,0),MATCH($AS47,'Modelo Optimización'!$AZ$3:$CO$3,0)))</f>
        <v/>
      </c>
      <c r="CE47" s="37" t="str">
        <f>+IF(AQ47="","",INDEX('Modelo Optimización'!$AZ$4:$CO$149,MATCH(CONCATENATE(CE$7,$AT47),'Modelo Optimización'!$CQ$4:$CQ$149,0),MATCH($AS47,'Modelo Optimización'!$AZ$3:$CO$3,0)))</f>
        <v/>
      </c>
      <c r="CF47" s="301"/>
      <c r="CG47" s="305" t="str">
        <f t="shared" si="11"/>
        <v/>
      </c>
      <c r="CH47" s="303" t="str">
        <f t="shared" si="7"/>
        <v/>
      </c>
      <c r="CI47" s="292" t="str">
        <f t="shared" si="8"/>
        <v/>
      </c>
      <c r="CJ47" s="36" t="str">
        <f t="shared" si="12"/>
        <v/>
      </c>
      <c r="CK47" s="32" t="str">
        <f t="shared" si="13"/>
        <v/>
      </c>
      <c r="CL47" s="32" t="str">
        <f t="shared" si="14"/>
        <v/>
      </c>
      <c r="CM47" s="32" t="str">
        <f t="shared" si="15"/>
        <v/>
      </c>
      <c r="CN47" s="32" t="str">
        <f t="shared" si="16"/>
        <v/>
      </c>
      <c r="CO47" s="32" t="str">
        <f t="shared" si="17"/>
        <v/>
      </c>
      <c r="CP47" s="32" t="str">
        <f t="shared" si="18"/>
        <v/>
      </c>
      <c r="CQ47" s="32" t="str">
        <f t="shared" si="19"/>
        <v/>
      </c>
      <c r="CR47" s="32" t="str">
        <f t="shared" si="20"/>
        <v/>
      </c>
      <c r="CS47" s="32" t="str">
        <f t="shared" si="21"/>
        <v/>
      </c>
      <c r="CT47" s="32" t="str">
        <f t="shared" si="22"/>
        <v/>
      </c>
      <c r="CU47" s="32" t="str">
        <f t="shared" si="23"/>
        <v/>
      </c>
      <c r="CV47" s="32" t="str">
        <f t="shared" si="24"/>
        <v/>
      </c>
      <c r="CW47" s="32" t="str">
        <f t="shared" si="25"/>
        <v/>
      </c>
      <c r="CX47" s="32" t="str">
        <f t="shared" si="26"/>
        <v/>
      </c>
      <c r="CY47" s="32" t="str">
        <f t="shared" si="27"/>
        <v/>
      </c>
      <c r="CZ47" s="32" t="str">
        <f t="shared" si="28"/>
        <v/>
      </c>
      <c r="DA47" s="32" t="str">
        <f t="shared" si="29"/>
        <v/>
      </c>
      <c r="DB47" s="32" t="str">
        <f t="shared" si="30"/>
        <v/>
      </c>
      <c r="DC47" s="32" t="str">
        <f t="shared" si="31"/>
        <v/>
      </c>
      <c r="DD47" s="32" t="str">
        <f t="shared" si="32"/>
        <v/>
      </c>
      <c r="DE47" s="32" t="str">
        <f t="shared" si="33"/>
        <v/>
      </c>
      <c r="DF47" s="32" t="str">
        <f t="shared" si="34"/>
        <v/>
      </c>
      <c r="DG47" s="32" t="str">
        <f t="shared" si="35"/>
        <v/>
      </c>
      <c r="DH47" s="32" t="str">
        <f t="shared" si="36"/>
        <v/>
      </c>
      <c r="DI47" s="32" t="str">
        <f t="shared" si="37"/>
        <v/>
      </c>
      <c r="DJ47" s="32" t="str">
        <f t="shared" si="38"/>
        <v/>
      </c>
      <c r="DK47" s="32" t="str">
        <f t="shared" si="39"/>
        <v/>
      </c>
      <c r="DL47" s="32" t="str">
        <f t="shared" si="40"/>
        <v/>
      </c>
      <c r="DM47" s="32" t="str">
        <f t="shared" si="41"/>
        <v/>
      </c>
      <c r="DN47" s="32" t="str">
        <f t="shared" si="42"/>
        <v/>
      </c>
      <c r="DO47" s="32" t="str">
        <f t="shared" si="43"/>
        <v/>
      </c>
      <c r="DP47" s="32" t="str">
        <f t="shared" si="44"/>
        <v/>
      </c>
      <c r="DQ47" s="32" t="str">
        <f t="shared" si="45"/>
        <v/>
      </c>
      <c r="DR47" s="32" t="str">
        <f t="shared" si="46"/>
        <v/>
      </c>
      <c r="DS47" s="32" t="str">
        <f t="shared" si="47"/>
        <v/>
      </c>
      <c r="DT47" s="37" t="str">
        <f t="shared" si="48"/>
        <v/>
      </c>
    </row>
    <row r="48" spans="2:124" x14ac:dyDescent="0.35">
      <c r="B48" s="46"/>
      <c r="C48" s="212"/>
      <c r="D48" s="52"/>
      <c r="E48" s="52" t="str">
        <f>+IF(B48="","",IFERROR(SUMIF('Modelo Optimización'!$AS$72:$AS$217,C48,INDEX('Modelo Optimización'!$C$72:$AR$217,,MATCH(B48,'Modelo Optimización'!$C$71:$AR$71,0))),0))</f>
        <v/>
      </c>
      <c r="F48" s="281" t="str">
        <f t="shared" si="10"/>
        <v/>
      </c>
      <c r="G48" s="280" t="str">
        <f>+IF(IF($B48="","",IFERROR(INDEX('Auxiliar Resultados'!$C$9:$BO$50,MATCH($B48,'Auxiliar Resultados'!$B$9:$B$50,0),MATCH(CONCATENATE($C48,G$7),'Auxiliar Resultados'!$C$6:$BO$6,0)),""))=0,"",IF($B48="","",IFERROR(INDEX('Auxiliar Resultados'!$C$9:$BO$50,MATCH($B48,'Auxiliar Resultados'!$B$9:$B$50,0),MATCH(CONCATENATE($C48,G$7),'Auxiliar Resultados'!$C$6:$BO$6,0)),"")))</f>
        <v/>
      </c>
      <c r="H48" s="52" t="str">
        <f>+IF(IF($B48="","",IFERROR(INDEX('Auxiliar Resultados'!$C$9:$BO$50,MATCH($B48,'Auxiliar Resultados'!$B$9:$B$50,0),MATCH(CONCATENATE($C48,H$7),'Auxiliar Resultados'!$C$6:$BO$6,0)),""))=0,"",IF($B48="","",IFERROR(INDEX('Auxiliar Resultados'!$C$9:$BO$50,MATCH($B48,'Auxiliar Resultados'!$B$9:$B$50,0),MATCH(CONCATENATE($C48,H$7),'Auxiliar Resultados'!$C$6:$BO$6,0)),"")))</f>
        <v/>
      </c>
      <c r="I48" s="52" t="str">
        <f>+IF(IF($B48="","",IFERROR(INDEX('Auxiliar Resultados'!$C$9:$BO$50,MATCH($B48,'Auxiliar Resultados'!$B$9:$B$50,0),MATCH(CONCATENATE($C48,I$7),'Auxiliar Resultados'!$C$6:$BO$6,0)),""))=0,"",IF($B48="","",IFERROR(INDEX('Auxiliar Resultados'!$C$9:$BO$50,MATCH($B48,'Auxiliar Resultados'!$B$9:$B$50,0),MATCH(CONCATENATE($C48,I$7),'Auxiliar Resultados'!$C$6:$BO$6,0)),"")))</f>
        <v/>
      </c>
      <c r="J48" s="52" t="str">
        <f>+IF(IF($B48="","",IFERROR(INDEX('Auxiliar Resultados'!$C$9:$BO$50,MATCH($B48,'Auxiliar Resultados'!$B$9:$B$50,0),MATCH(CONCATENATE($C48,J$7),'Auxiliar Resultados'!$C$6:$BO$6,0)),""))=0,"",IF($B48="","",IFERROR(INDEX('Auxiliar Resultados'!$C$9:$BO$50,MATCH($B48,'Auxiliar Resultados'!$B$9:$B$50,0),MATCH(CONCATENATE($C48,J$7),'Auxiliar Resultados'!$C$6:$BO$6,0)),"")))</f>
        <v/>
      </c>
      <c r="K48" s="52" t="str">
        <f>+IF(IF($B48="","",IFERROR(INDEX('Auxiliar Resultados'!$C$9:$BO$50,MATCH($B48,'Auxiliar Resultados'!$B$9:$B$50,0),MATCH(CONCATENATE($C48,K$7),'Auxiliar Resultados'!$C$6:$BO$6,0)),""))=0,"",IF($B48="","",IFERROR(INDEX('Auxiliar Resultados'!$C$9:$BO$50,MATCH($B48,'Auxiliar Resultados'!$B$9:$B$50,0),MATCH(CONCATENATE($C48,K$7),'Auxiliar Resultados'!$C$6:$BO$6,0)),"")))</f>
        <v/>
      </c>
      <c r="L48" s="52" t="str">
        <f>+IF(IF($B48="","",IFERROR(INDEX('Auxiliar Resultados'!$C$9:$BO$50,MATCH($B48,'Auxiliar Resultados'!$B$9:$B$50,0),MATCH(CONCATENATE($C48,L$7),'Auxiliar Resultados'!$C$6:$BO$6,0)),""))=0,"",IF($B48="","",IFERROR(INDEX('Auxiliar Resultados'!$C$9:$BO$50,MATCH($B48,'Auxiliar Resultados'!$B$9:$B$50,0),MATCH(CONCATENATE($C48,L$7),'Auxiliar Resultados'!$C$6:$BO$6,0)),"")))</f>
        <v/>
      </c>
      <c r="M48" s="52" t="str">
        <f>+IF(IF($B48="","",IFERROR(INDEX('Auxiliar Resultados'!$C$9:$BO$50,MATCH($B48,'Auxiliar Resultados'!$B$9:$B$50,0),MATCH(CONCATENATE($C48,M$7),'Auxiliar Resultados'!$C$6:$BO$6,0)),""))=0,"",IF($B48="","",IFERROR(INDEX('Auxiliar Resultados'!$C$9:$BO$50,MATCH($B48,'Auxiliar Resultados'!$B$9:$B$50,0),MATCH(CONCATENATE($C48,M$7),'Auxiliar Resultados'!$C$6:$BO$6,0)),"")))</f>
        <v/>
      </c>
      <c r="N48" s="52" t="str">
        <f>+IF(IF($B48="","",IFERROR(INDEX('Auxiliar Resultados'!$C$9:$BO$50,MATCH($B48,'Auxiliar Resultados'!$B$9:$B$50,0),MATCH(CONCATENATE($C48,N$7),'Auxiliar Resultados'!$C$6:$BO$6,0)),""))=0,"",IF($B48="","",IFERROR(INDEX('Auxiliar Resultados'!$C$9:$BO$50,MATCH($B48,'Auxiliar Resultados'!$B$9:$B$50,0),MATCH(CONCATENATE($C48,N$7),'Auxiliar Resultados'!$C$6:$BO$6,0)),"")))</f>
        <v/>
      </c>
      <c r="O48" s="52" t="str">
        <f>+IF(IF($B48="","",IFERROR(INDEX('Auxiliar Resultados'!$C$9:$BO$50,MATCH($B48,'Auxiliar Resultados'!$B$9:$B$50,0),MATCH(CONCATENATE($C48,O$7),'Auxiliar Resultados'!$C$6:$BO$6,0)),""))=0,"",IF($B48="","",IFERROR(INDEX('Auxiliar Resultados'!$C$9:$BO$50,MATCH($B48,'Auxiliar Resultados'!$B$9:$B$50,0),MATCH(CONCATENATE($C48,O$7),'Auxiliar Resultados'!$C$6:$BO$6,0)),"")))</f>
        <v/>
      </c>
      <c r="P48" s="52" t="str">
        <f>+IF(IF($B48="","",IFERROR(INDEX('Auxiliar Resultados'!$C$9:$BO$50,MATCH($B48,'Auxiliar Resultados'!$B$9:$B$50,0),MATCH(CONCATENATE($C48,P$7),'Auxiliar Resultados'!$C$6:$BO$6,0)),""))=0,"",IF($B48="","",IFERROR(INDEX('Auxiliar Resultados'!$C$9:$BO$50,MATCH($B48,'Auxiliar Resultados'!$B$9:$B$50,0),MATCH(CONCATENATE($C48,P$7),'Auxiliar Resultados'!$C$6:$BO$6,0)),"")))</f>
        <v/>
      </c>
      <c r="Q48" s="52" t="str">
        <f>+IF(IF($B48="","",IFERROR(INDEX('Auxiliar Resultados'!$C$9:$BO$50,MATCH($B48,'Auxiliar Resultados'!$B$9:$B$50,0),MATCH(CONCATENATE($C48,Q$7),'Auxiliar Resultados'!$C$6:$BO$6,0)),""))=0,"",IF($B48="","",IFERROR(INDEX('Auxiliar Resultados'!$C$9:$BO$50,MATCH($B48,'Auxiliar Resultados'!$B$9:$B$50,0),MATCH(CONCATENATE($C48,Q$7),'Auxiliar Resultados'!$C$6:$BO$6,0)),"")))</f>
        <v/>
      </c>
      <c r="R48" s="52" t="str">
        <f>+IF(IF($B48="","",IFERROR(INDEX('Auxiliar Resultados'!$C$9:$BO$50,MATCH($B48,'Auxiliar Resultados'!$B$9:$B$50,0),MATCH(CONCATENATE($C48,R$7),'Auxiliar Resultados'!$C$6:$BO$6,0)),""))=0,"",IF($B48="","",IFERROR(INDEX('Auxiliar Resultados'!$C$9:$BO$50,MATCH($B48,'Auxiliar Resultados'!$B$9:$B$50,0),MATCH(CONCATENATE($C48,R$7),'Auxiliar Resultados'!$C$6:$BO$6,0)),"")))</f>
        <v/>
      </c>
      <c r="S48" s="52" t="str">
        <f>+IF(IF($B48="","",IFERROR(INDEX('Auxiliar Resultados'!$C$9:$BO$50,MATCH($B48,'Auxiliar Resultados'!$B$9:$B$50,0),MATCH(CONCATENATE($C48,S$7),'Auxiliar Resultados'!$C$6:$BO$6,0)),""))=0,"",IF($B48="","",IFERROR(INDEX('Auxiliar Resultados'!$C$9:$BO$50,MATCH($B48,'Auxiliar Resultados'!$B$9:$B$50,0),MATCH(CONCATENATE($C48,S$7),'Auxiliar Resultados'!$C$6:$BO$6,0)),"")))</f>
        <v/>
      </c>
      <c r="T48" s="52" t="str">
        <f>+IF(IF($B48="","",IFERROR(INDEX('Auxiliar Resultados'!$C$9:$BO$50,MATCH($B48,'Auxiliar Resultados'!$B$9:$B$50,0),MATCH(CONCATENATE($C48,T$7),'Auxiliar Resultados'!$C$6:$BO$6,0)),""))=0,"",IF($B48="","",IFERROR(INDEX('Auxiliar Resultados'!$C$9:$BO$50,MATCH($B48,'Auxiliar Resultados'!$B$9:$B$50,0),MATCH(CONCATENATE($C48,T$7),'Auxiliar Resultados'!$C$6:$BO$6,0)),"")))</f>
        <v/>
      </c>
      <c r="U48" s="52" t="str">
        <f>+IF(IF($B48="","",IFERROR(INDEX('Auxiliar Resultados'!$C$9:$BO$50,MATCH($B48,'Auxiliar Resultados'!$B$9:$B$50,0),MATCH(CONCATENATE($C48,U$7),'Auxiliar Resultados'!$C$6:$BO$6,0)),""))=0,"",IF($B48="","",IFERROR(INDEX('Auxiliar Resultados'!$C$9:$BO$50,MATCH($B48,'Auxiliar Resultados'!$B$9:$B$50,0),MATCH(CONCATENATE($C48,U$7),'Auxiliar Resultados'!$C$6:$BO$6,0)),"")))</f>
        <v/>
      </c>
      <c r="V48" s="52" t="str">
        <f>+IF(IF($B48="","",IFERROR(INDEX('Auxiliar Resultados'!$C$9:$BO$50,MATCH($B48,'Auxiliar Resultados'!$B$9:$B$50,0),MATCH(CONCATENATE($C48,V$7),'Auxiliar Resultados'!$C$6:$BO$6,0)),""))=0,"",IF($B48="","",IFERROR(INDEX('Auxiliar Resultados'!$C$9:$BO$50,MATCH($B48,'Auxiliar Resultados'!$B$9:$B$50,0),MATCH(CONCATENATE($C48,V$7),'Auxiliar Resultados'!$C$6:$BO$6,0)),"")))</f>
        <v/>
      </c>
      <c r="W48" s="52" t="str">
        <f>+IF(IF($B48="","",IFERROR(INDEX('Auxiliar Resultados'!$C$9:$BO$50,MATCH($B48,'Auxiliar Resultados'!$B$9:$B$50,0),MATCH(CONCATENATE($C48,W$7),'Auxiliar Resultados'!$C$6:$BO$6,0)),""))=0,"",IF($B48="","",IFERROR(INDEX('Auxiliar Resultados'!$C$9:$BO$50,MATCH($B48,'Auxiliar Resultados'!$B$9:$B$50,0),MATCH(CONCATENATE($C48,W$7),'Auxiliar Resultados'!$C$6:$BO$6,0)),"")))</f>
        <v/>
      </c>
      <c r="X48" s="52" t="str">
        <f>+IF(IF($B48="","",IFERROR(INDEX('Auxiliar Resultados'!$C$9:$BO$50,MATCH($B48,'Auxiliar Resultados'!$B$9:$B$50,0),MATCH(CONCATENATE($C48,X$7),'Auxiliar Resultados'!$C$6:$BO$6,0)),""))=0,"",IF($B48="","",IFERROR(INDEX('Auxiliar Resultados'!$C$9:$BO$50,MATCH($B48,'Auxiliar Resultados'!$B$9:$B$50,0),MATCH(CONCATENATE($C48,X$7),'Auxiliar Resultados'!$C$6:$BO$6,0)),"")))</f>
        <v/>
      </c>
      <c r="Y48" s="52" t="str">
        <f>+IF(IF($B48="","",IFERROR(INDEX('Auxiliar Resultados'!$C$9:$BO$50,MATCH($B48,'Auxiliar Resultados'!$B$9:$B$50,0),MATCH(CONCATENATE($C48,Y$7),'Auxiliar Resultados'!$C$6:$BO$6,0)),""))=0,"",IF($B48="","",IFERROR(INDEX('Auxiliar Resultados'!$C$9:$BO$50,MATCH($B48,'Auxiliar Resultados'!$B$9:$B$50,0),MATCH(CONCATENATE($C48,Y$7),'Auxiliar Resultados'!$C$6:$BO$6,0)),"")))</f>
        <v/>
      </c>
      <c r="Z48" s="52" t="str">
        <f>+IF(IF($B48="","",IFERROR(INDEX('Auxiliar Resultados'!$C$9:$BO$50,MATCH($B48,'Auxiliar Resultados'!$B$9:$B$50,0),MATCH(CONCATENATE($C48,Z$7),'Auxiliar Resultados'!$C$6:$BO$6,0)),""))=0,"",IF($B48="","",IFERROR(INDEX('Auxiliar Resultados'!$C$9:$BO$50,MATCH($B48,'Auxiliar Resultados'!$B$9:$B$50,0),MATCH(CONCATENATE($C48,Z$7),'Auxiliar Resultados'!$C$6:$BO$6,0)),"")))</f>
        <v/>
      </c>
      <c r="AA48" s="52" t="str">
        <f>+IF(IF($B48="","",IFERROR(INDEX('Auxiliar Resultados'!$C$9:$BO$50,MATCH($B48,'Auxiliar Resultados'!$B$9:$B$50,0),MATCH(CONCATENATE($C48,AA$7),'Auxiliar Resultados'!$C$6:$BO$6,0)),""))=0,"",IF($B48="","",IFERROR(INDEX('Auxiliar Resultados'!$C$9:$BO$50,MATCH($B48,'Auxiliar Resultados'!$B$9:$B$50,0),MATCH(CONCATENATE($C48,AA$7),'Auxiliar Resultados'!$C$6:$BO$6,0)),"")))</f>
        <v/>
      </c>
      <c r="AB48" s="52" t="str">
        <f>+IF(IF($B48="","",IFERROR(INDEX('Auxiliar Resultados'!$C$9:$BO$50,MATCH($B48,'Auxiliar Resultados'!$B$9:$B$50,0),MATCH(CONCATENATE($C48,AB$7),'Auxiliar Resultados'!$C$6:$BO$6,0)),""))=0,"",IF($B48="","",IFERROR(INDEX('Auxiliar Resultados'!$C$9:$BO$50,MATCH($B48,'Auxiliar Resultados'!$B$9:$B$50,0),MATCH(CONCATENATE($C48,AB$7),'Auxiliar Resultados'!$C$6:$BO$6,0)),"")))</f>
        <v/>
      </c>
      <c r="AC48" s="52" t="str">
        <f>+IF(IF($B48="","",IFERROR(INDEX('Auxiliar Resultados'!$C$9:$BO$50,MATCH($B48,'Auxiliar Resultados'!$B$9:$B$50,0),MATCH(CONCATENATE($C48,AC$7),'Auxiliar Resultados'!$C$6:$BO$6,0)),""))=0,"",IF($B48="","",IFERROR(INDEX('Auxiliar Resultados'!$C$9:$BO$50,MATCH($B48,'Auxiliar Resultados'!$B$9:$B$50,0),MATCH(CONCATENATE($C48,AC$7),'Auxiliar Resultados'!$C$6:$BO$6,0)),"")))</f>
        <v/>
      </c>
      <c r="AD48" s="52" t="str">
        <f>+IF(IF($B48="","",IFERROR(INDEX('Auxiliar Resultados'!$C$9:$BO$50,MATCH($B48,'Auxiliar Resultados'!$B$9:$B$50,0),MATCH(CONCATENATE($C48,AD$7),'Auxiliar Resultados'!$C$6:$BO$6,0)),""))=0,"",IF($B48="","",IFERROR(INDEX('Auxiliar Resultados'!$C$9:$BO$50,MATCH($B48,'Auxiliar Resultados'!$B$9:$B$50,0),MATCH(CONCATENATE($C48,AD$7),'Auxiliar Resultados'!$C$6:$BO$6,0)),"")))</f>
        <v/>
      </c>
      <c r="AE48" s="52" t="str">
        <f>+IF(IF($B48="","",IFERROR(INDEX('Auxiliar Resultados'!$C$9:$BO$50,MATCH($B48,'Auxiliar Resultados'!$B$9:$B$50,0),MATCH(CONCATENATE($C48,AE$7),'Auxiliar Resultados'!$C$6:$BO$6,0)),""))=0,"",IF($B48="","",IFERROR(INDEX('Auxiliar Resultados'!$C$9:$BO$50,MATCH($B48,'Auxiliar Resultados'!$B$9:$B$50,0),MATCH(CONCATENATE($C48,AE$7),'Auxiliar Resultados'!$C$6:$BO$6,0)),"")))</f>
        <v/>
      </c>
      <c r="AF48" s="52" t="str">
        <f>+IF(IF($B48="","",IFERROR(INDEX('Auxiliar Resultados'!$C$9:$BO$50,MATCH($B48,'Auxiliar Resultados'!$B$9:$B$50,0),MATCH(CONCATENATE($C48,AF$7),'Auxiliar Resultados'!$C$6:$BO$6,0)),""))=0,"",IF($B48="","",IFERROR(INDEX('Auxiliar Resultados'!$C$9:$BO$50,MATCH($B48,'Auxiliar Resultados'!$B$9:$B$50,0),MATCH(CONCATENATE($C48,AF$7),'Auxiliar Resultados'!$C$6:$BO$6,0)),"")))</f>
        <v/>
      </c>
      <c r="AG48" s="52" t="str">
        <f>+IF(IF($B48="","",IFERROR(INDEX('Auxiliar Resultados'!$C$9:$BO$50,MATCH($B48,'Auxiliar Resultados'!$B$9:$B$50,0),MATCH(CONCATENATE($C48,AG$7),'Auxiliar Resultados'!$C$6:$BO$6,0)),""))=0,"",IF($B48="","",IFERROR(INDEX('Auxiliar Resultados'!$C$9:$BO$50,MATCH($B48,'Auxiliar Resultados'!$B$9:$B$50,0),MATCH(CONCATENATE($C48,AG$7),'Auxiliar Resultados'!$C$6:$BO$6,0)),"")))</f>
        <v/>
      </c>
      <c r="AH48" s="52" t="str">
        <f>+IF(IF($B48="","",IFERROR(INDEX('Auxiliar Resultados'!$C$9:$BO$50,MATCH($B48,'Auxiliar Resultados'!$B$9:$B$50,0),MATCH(CONCATENATE($C48,AH$7),'Auxiliar Resultados'!$C$6:$BO$6,0)),""))=0,"",IF($B48="","",IFERROR(INDEX('Auxiliar Resultados'!$C$9:$BO$50,MATCH($B48,'Auxiliar Resultados'!$B$9:$B$50,0),MATCH(CONCATENATE($C48,AH$7),'Auxiliar Resultados'!$C$6:$BO$6,0)),"")))</f>
        <v/>
      </c>
      <c r="AI48" s="52" t="str">
        <f>+IF(IF($B48="","",IFERROR(INDEX('Auxiliar Resultados'!$C$9:$BO$50,MATCH($B48,'Auxiliar Resultados'!$B$9:$B$50,0),MATCH(CONCATENATE($C48,AI$7),'Auxiliar Resultados'!$C$6:$BO$6,0)),""))=0,"",IF($B48="","",IFERROR(INDEX('Auxiliar Resultados'!$C$9:$BO$50,MATCH($B48,'Auxiliar Resultados'!$B$9:$B$50,0),MATCH(CONCATENATE($C48,AI$7),'Auxiliar Resultados'!$C$6:$BO$6,0)),"")))</f>
        <v/>
      </c>
      <c r="AJ48" s="52" t="str">
        <f>+IF(IF($B48="","",IFERROR(INDEX('Auxiliar Resultados'!$C$9:$BO$50,MATCH($B48,'Auxiliar Resultados'!$B$9:$B$50,0),MATCH(CONCATENATE($C48,AJ$7),'Auxiliar Resultados'!$C$6:$BO$6,0)),""))=0,"",IF($B48="","",IFERROR(INDEX('Auxiliar Resultados'!$C$9:$BO$50,MATCH($B48,'Auxiliar Resultados'!$B$9:$B$50,0),MATCH(CONCATENATE($C48,AJ$7),'Auxiliar Resultados'!$C$6:$BO$6,0)),"")))</f>
        <v/>
      </c>
      <c r="AK48" s="52" t="str">
        <f>+IF(IF($B48="","",IFERROR(INDEX('Auxiliar Resultados'!$C$9:$BO$50,MATCH($B48,'Auxiliar Resultados'!$B$9:$B$50,0),MATCH(CONCATENATE($C48,AK$7),'Auxiliar Resultados'!$C$6:$BO$6,0)),""))=0,"",IF($B48="","",IFERROR(INDEX('Auxiliar Resultados'!$C$9:$BO$50,MATCH($B48,'Auxiliar Resultados'!$B$9:$B$50,0),MATCH(CONCATENATE($C48,AK$7),'Auxiliar Resultados'!$C$6:$BO$6,0)),"")))</f>
        <v/>
      </c>
      <c r="AL48" s="52" t="str">
        <f>+IF(IF($B48="","",IFERROR(INDEX('Auxiliar Resultados'!$C$9:$BO$50,MATCH($B48,'Auxiliar Resultados'!$B$9:$B$50,0),MATCH(CONCATENATE($C48,AL$7),'Auxiliar Resultados'!$C$6:$BO$6,0)),""))=0,"",IF($B48="","",IFERROR(INDEX('Auxiliar Resultados'!$C$9:$BO$50,MATCH($B48,'Auxiliar Resultados'!$B$9:$B$50,0),MATCH(CONCATENATE($C48,AL$7),'Auxiliar Resultados'!$C$6:$BO$6,0)),"")))</f>
        <v/>
      </c>
      <c r="AM48" s="52" t="str">
        <f>+IF(IF($B48="","",IFERROR(INDEX('Auxiliar Resultados'!$C$9:$BO$50,MATCH($B48,'Auxiliar Resultados'!$B$9:$B$50,0),MATCH(CONCATENATE($C48,AM$7),'Auxiliar Resultados'!$C$6:$BO$6,0)),""))=0,"",IF($B48="","",IFERROR(INDEX('Auxiliar Resultados'!$C$9:$BO$50,MATCH($B48,'Auxiliar Resultados'!$B$9:$B$50,0),MATCH(CONCATENATE($C48,AM$7),'Auxiliar Resultados'!$C$6:$BO$6,0)),"")))</f>
        <v/>
      </c>
      <c r="AN48" s="52" t="str">
        <f>+IF(IF($B48="","",IFERROR(INDEX('Auxiliar Resultados'!$C$9:$BO$50,MATCH($B48,'Auxiliar Resultados'!$B$9:$B$50,0),MATCH(CONCATENATE($C48,AN$7),'Auxiliar Resultados'!$C$6:$BO$6,0)),""))=0,"",IF($B48="","",IFERROR(INDEX('Auxiliar Resultados'!$C$9:$BO$50,MATCH($B48,'Auxiliar Resultados'!$B$9:$B$50,0),MATCH(CONCATENATE($C48,AN$7),'Auxiliar Resultados'!$C$6:$BO$6,0)),"")))</f>
        <v/>
      </c>
      <c r="AO48" s="52" t="str">
        <f>+IF(IF($B48="","",IFERROR(INDEX('Auxiliar Resultados'!$C$9:$BO$50,MATCH($B48,'Auxiliar Resultados'!$B$9:$B$50,0),MATCH(CONCATENATE($C48,AO$7),'Auxiliar Resultados'!$C$6:$BO$6,0)),""))=0,"",IF($B48="","",IFERROR(INDEX('Auxiliar Resultados'!$C$9:$BO$50,MATCH($B48,'Auxiliar Resultados'!$B$9:$B$50,0),MATCH(CONCATENATE($C48,AO$7),'Auxiliar Resultados'!$C$6:$BO$6,0)),"")))</f>
        <v/>
      </c>
      <c r="AP48" s="52" t="str">
        <f>+IF(IF($B48="","",IFERROR(INDEX('Auxiliar Resultados'!$C$9:$BO$50,MATCH($B48,'Auxiliar Resultados'!$B$9:$B$50,0),MATCH(CONCATENATE($C48,AP$7),'Auxiliar Resultados'!$C$6:$BO$6,0)),""))=0,"",IF($B48="","",IFERROR(INDEX('Auxiliar Resultados'!$C$9:$BO$50,MATCH($B48,'Auxiliar Resultados'!$B$9:$B$50,0),MATCH(CONCATENATE($C48,AP$7),'Auxiliar Resultados'!$C$6:$BO$6,0)),"")))</f>
        <v/>
      </c>
      <c r="AQ48" s="276" t="str">
        <f>+IF(IF($B48="","",IFERROR(INDEX('Auxiliar Resultados'!$C$9:$BO$50,MATCH($B48,'Auxiliar Resultados'!$B$9:$B$50,0),MATCH(CONCATENATE($C48,AQ$7),'Auxiliar Resultados'!$C$6:$BO$6,0)),""))=0,"",IF($B48="","",IFERROR(INDEX('Auxiliar Resultados'!$C$9:$BO$50,MATCH($B48,'Auxiliar Resultados'!$B$9:$B$50,0),MATCH(CONCATENATE($C48,AQ$7),'Auxiliar Resultados'!$C$6:$BO$6,0)),"")))</f>
        <v/>
      </c>
      <c r="AS48" s="46" t="str">
        <f t="shared" si="5"/>
        <v/>
      </c>
      <c r="AT48" s="292" t="str">
        <f t="shared" si="6"/>
        <v/>
      </c>
      <c r="AU48" s="36" t="str">
        <f>+IF(G48="","",INDEX('Modelo Optimización'!$AZ$4:$CO$149,MATCH(CONCATENATE(AU$7,$AT48),'Modelo Optimización'!$CQ$4:$CQ$149,0),MATCH($AS48,'Modelo Optimización'!$AZ$3:$CO$3,0)))</f>
        <v/>
      </c>
      <c r="AV48" s="32" t="str">
        <f>+IF(H48="","",INDEX('Modelo Optimización'!$AZ$4:$CO$149,MATCH(CONCATENATE(AV$7,$AT48),'Modelo Optimización'!$CQ$4:$CQ$149,0),MATCH($AS48,'Modelo Optimización'!$AZ$3:$CO$3,0)))</f>
        <v/>
      </c>
      <c r="AW48" s="32" t="str">
        <f>+IF(I48="","",INDEX('Modelo Optimización'!$AZ$4:$CO$149,MATCH(CONCATENATE(AW$7,$AT48),'Modelo Optimización'!$CQ$4:$CQ$149,0),MATCH($AS48,'Modelo Optimización'!$AZ$3:$CO$3,0)))</f>
        <v/>
      </c>
      <c r="AX48" s="32" t="str">
        <f>+IF(J48="","",INDEX('Modelo Optimización'!$AZ$4:$CO$149,MATCH(CONCATENATE(AX$7,$AT48),'Modelo Optimización'!$CQ$4:$CQ$149,0),MATCH($AS48,'Modelo Optimización'!$AZ$3:$CO$3,0)))</f>
        <v/>
      </c>
      <c r="AY48" s="32" t="str">
        <f>+IF(K48="","",INDEX('Modelo Optimización'!$AZ$4:$CO$149,MATCH(CONCATENATE(AY$7,$AT48),'Modelo Optimización'!$CQ$4:$CQ$149,0),MATCH($AS48,'Modelo Optimización'!$AZ$3:$CO$3,0)))</f>
        <v/>
      </c>
      <c r="AZ48" s="32" t="str">
        <f>+IF(L48="","",INDEX('Modelo Optimización'!$AZ$4:$CO$149,MATCH(CONCATENATE(AZ$7,$AT48),'Modelo Optimización'!$CQ$4:$CQ$149,0),MATCH($AS48,'Modelo Optimización'!$AZ$3:$CO$3,0)))</f>
        <v/>
      </c>
      <c r="BA48" s="32" t="str">
        <f>+IF(M48="","",INDEX('Modelo Optimización'!$AZ$4:$CO$149,MATCH(CONCATENATE(BA$7,$AT48),'Modelo Optimización'!$CQ$4:$CQ$149,0),MATCH($AS48,'Modelo Optimización'!$AZ$3:$CO$3,0)))</f>
        <v/>
      </c>
      <c r="BB48" s="32" t="str">
        <f>+IF(N48="","",INDEX('Modelo Optimización'!$AZ$4:$CO$149,MATCH(CONCATENATE(BB$7,$AT48),'Modelo Optimización'!$CQ$4:$CQ$149,0),MATCH($AS48,'Modelo Optimización'!$AZ$3:$CO$3,0)))</f>
        <v/>
      </c>
      <c r="BC48" s="32" t="str">
        <f>+IF(O48="","",INDEX('Modelo Optimización'!$AZ$4:$CO$149,MATCH(CONCATENATE(BC$7,$AT48),'Modelo Optimización'!$CQ$4:$CQ$149,0),MATCH($AS48,'Modelo Optimización'!$AZ$3:$CO$3,0)))</f>
        <v/>
      </c>
      <c r="BD48" s="32" t="str">
        <f>+IF(P48="","",INDEX('Modelo Optimización'!$AZ$4:$CO$149,MATCH(CONCATENATE(BD$7,$AT48),'Modelo Optimización'!$CQ$4:$CQ$149,0),MATCH($AS48,'Modelo Optimización'!$AZ$3:$CO$3,0)))</f>
        <v/>
      </c>
      <c r="BE48" s="32" t="str">
        <f>+IF(Q48="","",INDEX('Modelo Optimización'!$AZ$4:$CO$149,MATCH(CONCATENATE(BE$7,$AT48),'Modelo Optimización'!$CQ$4:$CQ$149,0),MATCH($AS48,'Modelo Optimización'!$AZ$3:$CO$3,0)))</f>
        <v/>
      </c>
      <c r="BF48" s="32" t="str">
        <f>+IF(R48="","",INDEX('Modelo Optimización'!$AZ$4:$CO$149,MATCH(CONCATENATE(BF$7,$AT48),'Modelo Optimización'!$CQ$4:$CQ$149,0),MATCH($AS48,'Modelo Optimización'!$AZ$3:$CO$3,0)))</f>
        <v/>
      </c>
      <c r="BG48" s="32" t="str">
        <f>+IF(S48="","",INDEX('Modelo Optimización'!$AZ$4:$CO$149,MATCH(CONCATENATE(BG$7,$AT48),'Modelo Optimización'!$CQ$4:$CQ$149,0),MATCH($AS48,'Modelo Optimización'!$AZ$3:$CO$3,0)))</f>
        <v/>
      </c>
      <c r="BH48" s="32" t="str">
        <f>+IF(T48="","",INDEX('Modelo Optimización'!$AZ$4:$CO$149,MATCH(CONCATENATE(BH$7,$AT48),'Modelo Optimización'!$CQ$4:$CQ$149,0),MATCH($AS48,'Modelo Optimización'!$AZ$3:$CO$3,0)))</f>
        <v/>
      </c>
      <c r="BI48" s="32" t="str">
        <f>+IF(U48="","",INDEX('Modelo Optimización'!$AZ$4:$CO$149,MATCH(CONCATENATE(BI$7,$AT48),'Modelo Optimización'!$CQ$4:$CQ$149,0),MATCH($AS48,'Modelo Optimización'!$AZ$3:$CO$3,0)))</f>
        <v/>
      </c>
      <c r="BJ48" s="32" t="str">
        <f>+IF(V48="","",INDEX('Modelo Optimización'!$AZ$4:$CO$149,MATCH(CONCATENATE(BJ$7,$AT48),'Modelo Optimización'!$CQ$4:$CQ$149,0),MATCH($AS48,'Modelo Optimización'!$AZ$3:$CO$3,0)))</f>
        <v/>
      </c>
      <c r="BK48" s="32" t="str">
        <f>+IF(W48="","",INDEX('Modelo Optimización'!$AZ$4:$CO$149,MATCH(CONCATENATE(BK$7,$AT48),'Modelo Optimización'!$CQ$4:$CQ$149,0),MATCH($AS48,'Modelo Optimización'!$AZ$3:$CO$3,0)))</f>
        <v/>
      </c>
      <c r="BL48" s="32" t="str">
        <f>+IF(X48="","",INDEX('Modelo Optimización'!$AZ$4:$CO$149,MATCH(CONCATENATE(BL$7,$AT48),'Modelo Optimización'!$CQ$4:$CQ$149,0),MATCH($AS48,'Modelo Optimización'!$AZ$3:$CO$3,0)))</f>
        <v/>
      </c>
      <c r="BM48" s="32" t="str">
        <f>+IF(Y48="","",INDEX('Modelo Optimización'!$AZ$4:$CO$149,MATCH(CONCATENATE(BM$7,$AT48),'Modelo Optimización'!$CQ$4:$CQ$149,0),MATCH($AS48,'Modelo Optimización'!$AZ$3:$CO$3,0)))</f>
        <v/>
      </c>
      <c r="BN48" s="32" t="str">
        <f>+IF(Z48="","",INDEX('Modelo Optimización'!$AZ$4:$CO$149,MATCH(CONCATENATE(BN$7,$AT48),'Modelo Optimización'!$CQ$4:$CQ$149,0),MATCH($AS48,'Modelo Optimización'!$AZ$3:$CO$3,0)))</f>
        <v/>
      </c>
      <c r="BO48" s="32" t="str">
        <f>+IF(AA48="","",INDEX('Modelo Optimización'!$AZ$4:$CO$149,MATCH(CONCATENATE(BO$7,$AT48),'Modelo Optimización'!$CQ$4:$CQ$149,0),MATCH($AS48,'Modelo Optimización'!$AZ$3:$CO$3,0)))</f>
        <v/>
      </c>
      <c r="BP48" s="32" t="str">
        <f>+IF(AB48="","",INDEX('Modelo Optimización'!$AZ$4:$CO$149,MATCH(CONCATENATE(BP$7,$AT48),'Modelo Optimización'!$CQ$4:$CQ$149,0),MATCH($AS48,'Modelo Optimización'!$AZ$3:$CO$3,0)))</f>
        <v/>
      </c>
      <c r="BQ48" s="32" t="str">
        <f>+IF(AC48="","",INDEX('Modelo Optimización'!$AZ$4:$CO$149,MATCH(CONCATENATE(BQ$7,$AT48),'Modelo Optimización'!$CQ$4:$CQ$149,0),MATCH($AS48,'Modelo Optimización'!$AZ$3:$CO$3,0)))</f>
        <v/>
      </c>
      <c r="BR48" s="32" t="str">
        <f>+IF(AD48="","",INDEX('Modelo Optimización'!$AZ$4:$CO$149,MATCH(CONCATENATE(BR$7,$AT48),'Modelo Optimización'!$CQ$4:$CQ$149,0),MATCH($AS48,'Modelo Optimización'!$AZ$3:$CO$3,0)))</f>
        <v/>
      </c>
      <c r="BS48" s="32" t="str">
        <f>+IF(AE48="","",INDEX('Modelo Optimización'!$AZ$4:$CO$149,MATCH(CONCATENATE(BS$7,$AT48),'Modelo Optimización'!$CQ$4:$CQ$149,0),MATCH($AS48,'Modelo Optimización'!$AZ$3:$CO$3,0)))</f>
        <v/>
      </c>
      <c r="BT48" s="32" t="str">
        <f>+IF(AF48="","",INDEX('Modelo Optimización'!$AZ$4:$CO$149,MATCH(CONCATENATE(BT$7,$AT48),'Modelo Optimización'!$CQ$4:$CQ$149,0),MATCH($AS48,'Modelo Optimización'!$AZ$3:$CO$3,0)))</f>
        <v/>
      </c>
      <c r="BU48" s="32" t="str">
        <f>+IF(AG48="","",INDEX('Modelo Optimización'!$AZ$4:$CO$149,MATCH(CONCATENATE(BU$7,$AT48),'Modelo Optimización'!$CQ$4:$CQ$149,0),MATCH($AS48,'Modelo Optimización'!$AZ$3:$CO$3,0)))</f>
        <v/>
      </c>
      <c r="BV48" s="32" t="str">
        <f>+IF(AH48="","",INDEX('Modelo Optimización'!$AZ$4:$CO$149,MATCH(CONCATENATE(BV$7,$AT48),'Modelo Optimización'!$CQ$4:$CQ$149,0),MATCH($AS48,'Modelo Optimización'!$AZ$3:$CO$3,0)))</f>
        <v/>
      </c>
      <c r="BW48" s="32" t="str">
        <f>+IF(AI48="","",INDEX('Modelo Optimización'!$AZ$4:$CO$149,MATCH(CONCATENATE(BW$7,$AT48),'Modelo Optimización'!$CQ$4:$CQ$149,0),MATCH($AS48,'Modelo Optimización'!$AZ$3:$CO$3,0)))</f>
        <v/>
      </c>
      <c r="BX48" s="32" t="str">
        <f>+IF(AJ48="","",INDEX('Modelo Optimización'!$AZ$4:$CO$149,MATCH(CONCATENATE(BX$7,$AT48),'Modelo Optimización'!$CQ$4:$CQ$149,0),MATCH($AS48,'Modelo Optimización'!$AZ$3:$CO$3,0)))</f>
        <v/>
      </c>
      <c r="BY48" s="32" t="str">
        <f>+IF(AK48="","",INDEX('Modelo Optimización'!$AZ$4:$CO$149,MATCH(CONCATENATE(BY$7,$AT48),'Modelo Optimización'!$CQ$4:$CQ$149,0),MATCH($AS48,'Modelo Optimización'!$AZ$3:$CO$3,0)))</f>
        <v/>
      </c>
      <c r="BZ48" s="32" t="str">
        <f>+IF(AL48="","",INDEX('Modelo Optimización'!$AZ$4:$CO$149,MATCH(CONCATENATE(BZ$7,$AT48),'Modelo Optimización'!$CQ$4:$CQ$149,0),MATCH($AS48,'Modelo Optimización'!$AZ$3:$CO$3,0)))</f>
        <v/>
      </c>
      <c r="CA48" s="32" t="str">
        <f>+IF(AM48="","",INDEX('Modelo Optimización'!$AZ$4:$CO$149,MATCH(CONCATENATE(CA$7,$AT48),'Modelo Optimización'!$CQ$4:$CQ$149,0),MATCH($AS48,'Modelo Optimización'!$AZ$3:$CO$3,0)))</f>
        <v/>
      </c>
      <c r="CB48" s="32" t="str">
        <f>+IF(AN48="","",INDEX('Modelo Optimización'!$AZ$4:$CO$149,MATCH(CONCATENATE(CB$7,$AT48),'Modelo Optimización'!$CQ$4:$CQ$149,0),MATCH($AS48,'Modelo Optimización'!$AZ$3:$CO$3,0)))</f>
        <v/>
      </c>
      <c r="CC48" s="32" t="str">
        <f>+IF(AO48="","",INDEX('Modelo Optimización'!$AZ$4:$CO$149,MATCH(CONCATENATE(CC$7,$AT48),'Modelo Optimización'!$CQ$4:$CQ$149,0),MATCH($AS48,'Modelo Optimización'!$AZ$3:$CO$3,0)))</f>
        <v/>
      </c>
      <c r="CD48" s="32" t="str">
        <f>+IF(AP48="","",INDEX('Modelo Optimización'!$AZ$4:$CO$149,MATCH(CONCATENATE(CD$7,$AT48),'Modelo Optimización'!$CQ$4:$CQ$149,0),MATCH($AS48,'Modelo Optimización'!$AZ$3:$CO$3,0)))</f>
        <v/>
      </c>
      <c r="CE48" s="37" t="str">
        <f>+IF(AQ48="","",INDEX('Modelo Optimización'!$AZ$4:$CO$149,MATCH(CONCATENATE(CE$7,$AT48),'Modelo Optimización'!$CQ$4:$CQ$149,0),MATCH($AS48,'Modelo Optimización'!$AZ$3:$CO$3,0)))</f>
        <v/>
      </c>
      <c r="CF48" s="301"/>
      <c r="CG48" s="305" t="str">
        <f t="shared" si="11"/>
        <v/>
      </c>
      <c r="CH48" s="303" t="str">
        <f t="shared" si="7"/>
        <v/>
      </c>
      <c r="CI48" s="292" t="str">
        <f t="shared" si="8"/>
        <v/>
      </c>
      <c r="CJ48" s="36" t="str">
        <f t="shared" si="12"/>
        <v/>
      </c>
      <c r="CK48" s="32" t="str">
        <f t="shared" si="13"/>
        <v/>
      </c>
      <c r="CL48" s="32" t="str">
        <f t="shared" si="14"/>
        <v/>
      </c>
      <c r="CM48" s="32" t="str">
        <f t="shared" si="15"/>
        <v/>
      </c>
      <c r="CN48" s="32" t="str">
        <f t="shared" si="16"/>
        <v/>
      </c>
      <c r="CO48" s="32" t="str">
        <f t="shared" si="17"/>
        <v/>
      </c>
      <c r="CP48" s="32" t="str">
        <f t="shared" si="18"/>
        <v/>
      </c>
      <c r="CQ48" s="32" t="str">
        <f t="shared" si="19"/>
        <v/>
      </c>
      <c r="CR48" s="32" t="str">
        <f t="shared" si="20"/>
        <v/>
      </c>
      <c r="CS48" s="32" t="str">
        <f t="shared" si="21"/>
        <v/>
      </c>
      <c r="CT48" s="32" t="str">
        <f t="shared" si="22"/>
        <v/>
      </c>
      <c r="CU48" s="32" t="str">
        <f t="shared" si="23"/>
        <v/>
      </c>
      <c r="CV48" s="32" t="str">
        <f t="shared" si="24"/>
        <v/>
      </c>
      <c r="CW48" s="32" t="str">
        <f t="shared" si="25"/>
        <v/>
      </c>
      <c r="CX48" s="32" t="str">
        <f t="shared" si="26"/>
        <v/>
      </c>
      <c r="CY48" s="32" t="str">
        <f t="shared" si="27"/>
        <v/>
      </c>
      <c r="CZ48" s="32" t="str">
        <f t="shared" si="28"/>
        <v/>
      </c>
      <c r="DA48" s="32" t="str">
        <f t="shared" si="29"/>
        <v/>
      </c>
      <c r="DB48" s="32" t="str">
        <f t="shared" si="30"/>
        <v/>
      </c>
      <c r="DC48" s="32" t="str">
        <f t="shared" si="31"/>
        <v/>
      </c>
      <c r="DD48" s="32" t="str">
        <f t="shared" si="32"/>
        <v/>
      </c>
      <c r="DE48" s="32" t="str">
        <f t="shared" si="33"/>
        <v/>
      </c>
      <c r="DF48" s="32" t="str">
        <f t="shared" si="34"/>
        <v/>
      </c>
      <c r="DG48" s="32" t="str">
        <f t="shared" si="35"/>
        <v/>
      </c>
      <c r="DH48" s="32" t="str">
        <f t="shared" si="36"/>
        <v/>
      </c>
      <c r="DI48" s="32" t="str">
        <f t="shared" si="37"/>
        <v/>
      </c>
      <c r="DJ48" s="32" t="str">
        <f t="shared" si="38"/>
        <v/>
      </c>
      <c r="DK48" s="32" t="str">
        <f t="shared" si="39"/>
        <v/>
      </c>
      <c r="DL48" s="32" t="str">
        <f t="shared" si="40"/>
        <v/>
      </c>
      <c r="DM48" s="32" t="str">
        <f t="shared" si="41"/>
        <v/>
      </c>
      <c r="DN48" s="32" t="str">
        <f t="shared" si="42"/>
        <v/>
      </c>
      <c r="DO48" s="32" t="str">
        <f t="shared" si="43"/>
        <v/>
      </c>
      <c r="DP48" s="32" t="str">
        <f t="shared" si="44"/>
        <v/>
      </c>
      <c r="DQ48" s="32" t="str">
        <f t="shared" si="45"/>
        <v/>
      </c>
      <c r="DR48" s="32" t="str">
        <f t="shared" si="46"/>
        <v/>
      </c>
      <c r="DS48" s="32" t="str">
        <f t="shared" si="47"/>
        <v/>
      </c>
      <c r="DT48" s="37" t="str">
        <f t="shared" si="48"/>
        <v/>
      </c>
    </row>
    <row r="49" spans="2:124" x14ac:dyDescent="0.35">
      <c r="B49" s="46"/>
      <c r="C49" s="212"/>
      <c r="D49" s="52"/>
      <c r="E49" s="52" t="str">
        <f>+IF(B49="","",IFERROR(SUMIF('Modelo Optimización'!$AS$72:$AS$217,C49,INDEX('Modelo Optimización'!$C$72:$AR$217,,MATCH(B49,'Modelo Optimización'!$C$71:$AR$71,0))),0))</f>
        <v/>
      </c>
      <c r="F49" s="281" t="str">
        <f t="shared" si="10"/>
        <v/>
      </c>
      <c r="G49" s="280" t="str">
        <f>+IF(IF($B49="","",IFERROR(INDEX('Auxiliar Resultados'!$C$9:$BO$50,MATCH($B49,'Auxiliar Resultados'!$B$9:$B$50,0),MATCH(CONCATENATE($C49,G$7),'Auxiliar Resultados'!$C$6:$BO$6,0)),""))=0,"",IF($B49="","",IFERROR(INDEX('Auxiliar Resultados'!$C$9:$BO$50,MATCH($B49,'Auxiliar Resultados'!$B$9:$B$50,0),MATCH(CONCATENATE($C49,G$7),'Auxiliar Resultados'!$C$6:$BO$6,0)),"")))</f>
        <v/>
      </c>
      <c r="H49" s="52" t="str">
        <f>+IF(IF($B49="","",IFERROR(INDEX('Auxiliar Resultados'!$C$9:$BO$50,MATCH($B49,'Auxiliar Resultados'!$B$9:$B$50,0),MATCH(CONCATENATE($C49,H$7),'Auxiliar Resultados'!$C$6:$BO$6,0)),""))=0,"",IF($B49="","",IFERROR(INDEX('Auxiliar Resultados'!$C$9:$BO$50,MATCH($B49,'Auxiliar Resultados'!$B$9:$B$50,0),MATCH(CONCATENATE($C49,H$7),'Auxiliar Resultados'!$C$6:$BO$6,0)),"")))</f>
        <v/>
      </c>
      <c r="I49" s="52" t="str">
        <f>+IF(IF($B49="","",IFERROR(INDEX('Auxiliar Resultados'!$C$9:$BO$50,MATCH($B49,'Auxiliar Resultados'!$B$9:$B$50,0),MATCH(CONCATENATE($C49,I$7),'Auxiliar Resultados'!$C$6:$BO$6,0)),""))=0,"",IF($B49="","",IFERROR(INDEX('Auxiliar Resultados'!$C$9:$BO$50,MATCH($B49,'Auxiliar Resultados'!$B$9:$B$50,0),MATCH(CONCATENATE($C49,I$7),'Auxiliar Resultados'!$C$6:$BO$6,0)),"")))</f>
        <v/>
      </c>
      <c r="J49" s="52" t="str">
        <f>+IF(IF($B49="","",IFERROR(INDEX('Auxiliar Resultados'!$C$9:$BO$50,MATCH($B49,'Auxiliar Resultados'!$B$9:$B$50,0),MATCH(CONCATENATE($C49,J$7),'Auxiliar Resultados'!$C$6:$BO$6,0)),""))=0,"",IF($B49="","",IFERROR(INDEX('Auxiliar Resultados'!$C$9:$BO$50,MATCH($B49,'Auxiliar Resultados'!$B$9:$B$50,0),MATCH(CONCATENATE($C49,J$7),'Auxiliar Resultados'!$C$6:$BO$6,0)),"")))</f>
        <v/>
      </c>
      <c r="K49" s="52" t="str">
        <f>+IF(IF($B49="","",IFERROR(INDEX('Auxiliar Resultados'!$C$9:$BO$50,MATCH($B49,'Auxiliar Resultados'!$B$9:$B$50,0),MATCH(CONCATENATE($C49,K$7),'Auxiliar Resultados'!$C$6:$BO$6,0)),""))=0,"",IF($B49="","",IFERROR(INDEX('Auxiliar Resultados'!$C$9:$BO$50,MATCH($B49,'Auxiliar Resultados'!$B$9:$B$50,0),MATCH(CONCATENATE($C49,K$7),'Auxiliar Resultados'!$C$6:$BO$6,0)),"")))</f>
        <v/>
      </c>
      <c r="L49" s="52" t="str">
        <f>+IF(IF($B49="","",IFERROR(INDEX('Auxiliar Resultados'!$C$9:$BO$50,MATCH($B49,'Auxiliar Resultados'!$B$9:$B$50,0),MATCH(CONCATENATE($C49,L$7),'Auxiliar Resultados'!$C$6:$BO$6,0)),""))=0,"",IF($B49="","",IFERROR(INDEX('Auxiliar Resultados'!$C$9:$BO$50,MATCH($B49,'Auxiliar Resultados'!$B$9:$B$50,0),MATCH(CONCATENATE($C49,L$7),'Auxiliar Resultados'!$C$6:$BO$6,0)),"")))</f>
        <v/>
      </c>
      <c r="M49" s="52" t="str">
        <f>+IF(IF($B49="","",IFERROR(INDEX('Auxiliar Resultados'!$C$9:$BO$50,MATCH($B49,'Auxiliar Resultados'!$B$9:$B$50,0),MATCH(CONCATENATE($C49,M$7),'Auxiliar Resultados'!$C$6:$BO$6,0)),""))=0,"",IF($B49="","",IFERROR(INDEX('Auxiliar Resultados'!$C$9:$BO$50,MATCH($B49,'Auxiliar Resultados'!$B$9:$B$50,0),MATCH(CONCATENATE($C49,M$7),'Auxiliar Resultados'!$C$6:$BO$6,0)),"")))</f>
        <v/>
      </c>
      <c r="N49" s="52" t="str">
        <f>+IF(IF($B49="","",IFERROR(INDEX('Auxiliar Resultados'!$C$9:$BO$50,MATCH($B49,'Auxiliar Resultados'!$B$9:$B$50,0),MATCH(CONCATENATE($C49,N$7),'Auxiliar Resultados'!$C$6:$BO$6,0)),""))=0,"",IF($B49="","",IFERROR(INDEX('Auxiliar Resultados'!$C$9:$BO$50,MATCH($B49,'Auxiliar Resultados'!$B$9:$B$50,0),MATCH(CONCATENATE($C49,N$7),'Auxiliar Resultados'!$C$6:$BO$6,0)),"")))</f>
        <v/>
      </c>
      <c r="O49" s="52" t="str">
        <f>+IF(IF($B49="","",IFERROR(INDEX('Auxiliar Resultados'!$C$9:$BO$50,MATCH($B49,'Auxiliar Resultados'!$B$9:$B$50,0),MATCH(CONCATENATE($C49,O$7),'Auxiliar Resultados'!$C$6:$BO$6,0)),""))=0,"",IF($B49="","",IFERROR(INDEX('Auxiliar Resultados'!$C$9:$BO$50,MATCH($B49,'Auxiliar Resultados'!$B$9:$B$50,0),MATCH(CONCATENATE($C49,O$7),'Auxiliar Resultados'!$C$6:$BO$6,0)),"")))</f>
        <v/>
      </c>
      <c r="P49" s="52" t="str">
        <f>+IF(IF($B49="","",IFERROR(INDEX('Auxiliar Resultados'!$C$9:$BO$50,MATCH($B49,'Auxiliar Resultados'!$B$9:$B$50,0),MATCH(CONCATENATE($C49,P$7),'Auxiliar Resultados'!$C$6:$BO$6,0)),""))=0,"",IF($B49="","",IFERROR(INDEX('Auxiliar Resultados'!$C$9:$BO$50,MATCH($B49,'Auxiliar Resultados'!$B$9:$B$50,0),MATCH(CONCATENATE($C49,P$7),'Auxiliar Resultados'!$C$6:$BO$6,0)),"")))</f>
        <v/>
      </c>
      <c r="Q49" s="52" t="str">
        <f>+IF(IF($B49="","",IFERROR(INDEX('Auxiliar Resultados'!$C$9:$BO$50,MATCH($B49,'Auxiliar Resultados'!$B$9:$B$50,0),MATCH(CONCATENATE($C49,Q$7),'Auxiliar Resultados'!$C$6:$BO$6,0)),""))=0,"",IF($B49="","",IFERROR(INDEX('Auxiliar Resultados'!$C$9:$BO$50,MATCH($B49,'Auxiliar Resultados'!$B$9:$B$50,0),MATCH(CONCATENATE($C49,Q$7),'Auxiliar Resultados'!$C$6:$BO$6,0)),"")))</f>
        <v/>
      </c>
      <c r="R49" s="52" t="str">
        <f>+IF(IF($B49="","",IFERROR(INDEX('Auxiliar Resultados'!$C$9:$BO$50,MATCH($B49,'Auxiliar Resultados'!$B$9:$B$50,0),MATCH(CONCATENATE($C49,R$7),'Auxiliar Resultados'!$C$6:$BO$6,0)),""))=0,"",IF($B49="","",IFERROR(INDEX('Auxiliar Resultados'!$C$9:$BO$50,MATCH($B49,'Auxiliar Resultados'!$B$9:$B$50,0),MATCH(CONCATENATE($C49,R$7),'Auxiliar Resultados'!$C$6:$BO$6,0)),"")))</f>
        <v/>
      </c>
      <c r="S49" s="52" t="str">
        <f>+IF(IF($B49="","",IFERROR(INDEX('Auxiliar Resultados'!$C$9:$BO$50,MATCH($B49,'Auxiliar Resultados'!$B$9:$B$50,0),MATCH(CONCATENATE($C49,S$7),'Auxiliar Resultados'!$C$6:$BO$6,0)),""))=0,"",IF($B49="","",IFERROR(INDEX('Auxiliar Resultados'!$C$9:$BO$50,MATCH($B49,'Auxiliar Resultados'!$B$9:$B$50,0),MATCH(CONCATENATE($C49,S$7),'Auxiliar Resultados'!$C$6:$BO$6,0)),"")))</f>
        <v/>
      </c>
      <c r="T49" s="52" t="str">
        <f>+IF(IF($B49="","",IFERROR(INDEX('Auxiliar Resultados'!$C$9:$BO$50,MATCH($B49,'Auxiliar Resultados'!$B$9:$B$50,0),MATCH(CONCATENATE($C49,T$7),'Auxiliar Resultados'!$C$6:$BO$6,0)),""))=0,"",IF($B49="","",IFERROR(INDEX('Auxiliar Resultados'!$C$9:$BO$50,MATCH($B49,'Auxiliar Resultados'!$B$9:$B$50,0),MATCH(CONCATENATE($C49,T$7),'Auxiliar Resultados'!$C$6:$BO$6,0)),"")))</f>
        <v/>
      </c>
      <c r="U49" s="52" t="str">
        <f>+IF(IF($B49="","",IFERROR(INDEX('Auxiliar Resultados'!$C$9:$BO$50,MATCH($B49,'Auxiliar Resultados'!$B$9:$B$50,0),MATCH(CONCATENATE($C49,U$7),'Auxiliar Resultados'!$C$6:$BO$6,0)),""))=0,"",IF($B49="","",IFERROR(INDEX('Auxiliar Resultados'!$C$9:$BO$50,MATCH($B49,'Auxiliar Resultados'!$B$9:$B$50,0),MATCH(CONCATENATE($C49,U$7),'Auxiliar Resultados'!$C$6:$BO$6,0)),"")))</f>
        <v/>
      </c>
      <c r="V49" s="52" t="str">
        <f>+IF(IF($B49="","",IFERROR(INDEX('Auxiliar Resultados'!$C$9:$BO$50,MATCH($B49,'Auxiliar Resultados'!$B$9:$B$50,0),MATCH(CONCATENATE($C49,V$7),'Auxiliar Resultados'!$C$6:$BO$6,0)),""))=0,"",IF($B49="","",IFERROR(INDEX('Auxiliar Resultados'!$C$9:$BO$50,MATCH($B49,'Auxiliar Resultados'!$B$9:$B$50,0),MATCH(CONCATENATE($C49,V$7),'Auxiliar Resultados'!$C$6:$BO$6,0)),"")))</f>
        <v/>
      </c>
      <c r="W49" s="52" t="str">
        <f>+IF(IF($B49="","",IFERROR(INDEX('Auxiliar Resultados'!$C$9:$BO$50,MATCH($B49,'Auxiliar Resultados'!$B$9:$B$50,0),MATCH(CONCATENATE($C49,W$7),'Auxiliar Resultados'!$C$6:$BO$6,0)),""))=0,"",IF($B49="","",IFERROR(INDEX('Auxiliar Resultados'!$C$9:$BO$50,MATCH($B49,'Auxiliar Resultados'!$B$9:$B$50,0),MATCH(CONCATENATE($C49,W$7),'Auxiliar Resultados'!$C$6:$BO$6,0)),"")))</f>
        <v/>
      </c>
      <c r="X49" s="52" t="str">
        <f>+IF(IF($B49="","",IFERROR(INDEX('Auxiliar Resultados'!$C$9:$BO$50,MATCH($B49,'Auxiliar Resultados'!$B$9:$B$50,0),MATCH(CONCATENATE($C49,X$7),'Auxiliar Resultados'!$C$6:$BO$6,0)),""))=0,"",IF($B49="","",IFERROR(INDEX('Auxiliar Resultados'!$C$9:$BO$50,MATCH($B49,'Auxiliar Resultados'!$B$9:$B$50,0),MATCH(CONCATENATE($C49,X$7),'Auxiliar Resultados'!$C$6:$BO$6,0)),"")))</f>
        <v/>
      </c>
      <c r="Y49" s="52" t="str">
        <f>+IF(IF($B49="","",IFERROR(INDEX('Auxiliar Resultados'!$C$9:$BO$50,MATCH($B49,'Auxiliar Resultados'!$B$9:$B$50,0),MATCH(CONCATENATE($C49,Y$7),'Auxiliar Resultados'!$C$6:$BO$6,0)),""))=0,"",IF($B49="","",IFERROR(INDEX('Auxiliar Resultados'!$C$9:$BO$50,MATCH($B49,'Auxiliar Resultados'!$B$9:$B$50,0),MATCH(CONCATENATE($C49,Y$7),'Auxiliar Resultados'!$C$6:$BO$6,0)),"")))</f>
        <v/>
      </c>
      <c r="Z49" s="52" t="str">
        <f>+IF(IF($B49="","",IFERROR(INDEX('Auxiliar Resultados'!$C$9:$BO$50,MATCH($B49,'Auxiliar Resultados'!$B$9:$B$50,0),MATCH(CONCATENATE($C49,Z$7),'Auxiliar Resultados'!$C$6:$BO$6,0)),""))=0,"",IF($B49="","",IFERROR(INDEX('Auxiliar Resultados'!$C$9:$BO$50,MATCH($B49,'Auxiliar Resultados'!$B$9:$B$50,0),MATCH(CONCATENATE($C49,Z$7),'Auxiliar Resultados'!$C$6:$BO$6,0)),"")))</f>
        <v/>
      </c>
      <c r="AA49" s="52" t="str">
        <f>+IF(IF($B49="","",IFERROR(INDEX('Auxiliar Resultados'!$C$9:$BO$50,MATCH($B49,'Auxiliar Resultados'!$B$9:$B$50,0),MATCH(CONCATENATE($C49,AA$7),'Auxiliar Resultados'!$C$6:$BO$6,0)),""))=0,"",IF($B49="","",IFERROR(INDEX('Auxiliar Resultados'!$C$9:$BO$50,MATCH($B49,'Auxiliar Resultados'!$B$9:$B$50,0),MATCH(CONCATENATE($C49,AA$7),'Auxiliar Resultados'!$C$6:$BO$6,0)),"")))</f>
        <v/>
      </c>
      <c r="AB49" s="52" t="str">
        <f>+IF(IF($B49="","",IFERROR(INDEX('Auxiliar Resultados'!$C$9:$BO$50,MATCH($B49,'Auxiliar Resultados'!$B$9:$B$50,0),MATCH(CONCATENATE($C49,AB$7),'Auxiliar Resultados'!$C$6:$BO$6,0)),""))=0,"",IF($B49="","",IFERROR(INDEX('Auxiliar Resultados'!$C$9:$BO$50,MATCH($B49,'Auxiliar Resultados'!$B$9:$B$50,0),MATCH(CONCATENATE($C49,AB$7),'Auxiliar Resultados'!$C$6:$BO$6,0)),"")))</f>
        <v/>
      </c>
      <c r="AC49" s="52" t="str">
        <f>+IF(IF($B49="","",IFERROR(INDEX('Auxiliar Resultados'!$C$9:$BO$50,MATCH($B49,'Auxiliar Resultados'!$B$9:$B$50,0),MATCH(CONCATENATE($C49,AC$7),'Auxiliar Resultados'!$C$6:$BO$6,0)),""))=0,"",IF($B49="","",IFERROR(INDEX('Auxiliar Resultados'!$C$9:$BO$50,MATCH($B49,'Auxiliar Resultados'!$B$9:$B$50,0),MATCH(CONCATENATE($C49,AC$7),'Auxiliar Resultados'!$C$6:$BO$6,0)),"")))</f>
        <v/>
      </c>
      <c r="AD49" s="52" t="str">
        <f>+IF(IF($B49="","",IFERROR(INDEX('Auxiliar Resultados'!$C$9:$BO$50,MATCH($B49,'Auxiliar Resultados'!$B$9:$B$50,0),MATCH(CONCATENATE($C49,AD$7),'Auxiliar Resultados'!$C$6:$BO$6,0)),""))=0,"",IF($B49="","",IFERROR(INDEX('Auxiliar Resultados'!$C$9:$BO$50,MATCH($B49,'Auxiliar Resultados'!$B$9:$B$50,0),MATCH(CONCATENATE($C49,AD$7),'Auxiliar Resultados'!$C$6:$BO$6,0)),"")))</f>
        <v/>
      </c>
      <c r="AE49" s="52" t="str">
        <f>+IF(IF($B49="","",IFERROR(INDEX('Auxiliar Resultados'!$C$9:$BO$50,MATCH($B49,'Auxiliar Resultados'!$B$9:$B$50,0),MATCH(CONCATENATE($C49,AE$7),'Auxiliar Resultados'!$C$6:$BO$6,0)),""))=0,"",IF($B49="","",IFERROR(INDEX('Auxiliar Resultados'!$C$9:$BO$50,MATCH($B49,'Auxiliar Resultados'!$B$9:$B$50,0),MATCH(CONCATENATE($C49,AE$7),'Auxiliar Resultados'!$C$6:$BO$6,0)),"")))</f>
        <v/>
      </c>
      <c r="AF49" s="52" t="str">
        <f>+IF(IF($B49="","",IFERROR(INDEX('Auxiliar Resultados'!$C$9:$BO$50,MATCH($B49,'Auxiliar Resultados'!$B$9:$B$50,0),MATCH(CONCATENATE($C49,AF$7),'Auxiliar Resultados'!$C$6:$BO$6,0)),""))=0,"",IF($B49="","",IFERROR(INDEX('Auxiliar Resultados'!$C$9:$BO$50,MATCH($B49,'Auxiliar Resultados'!$B$9:$B$50,0),MATCH(CONCATENATE($C49,AF$7),'Auxiliar Resultados'!$C$6:$BO$6,0)),"")))</f>
        <v/>
      </c>
      <c r="AG49" s="52" t="str">
        <f>+IF(IF($B49="","",IFERROR(INDEX('Auxiliar Resultados'!$C$9:$BO$50,MATCH($B49,'Auxiliar Resultados'!$B$9:$B$50,0),MATCH(CONCATENATE($C49,AG$7),'Auxiliar Resultados'!$C$6:$BO$6,0)),""))=0,"",IF($B49="","",IFERROR(INDEX('Auxiliar Resultados'!$C$9:$BO$50,MATCH($B49,'Auxiliar Resultados'!$B$9:$B$50,0),MATCH(CONCATENATE($C49,AG$7),'Auxiliar Resultados'!$C$6:$BO$6,0)),"")))</f>
        <v/>
      </c>
      <c r="AH49" s="52" t="str">
        <f>+IF(IF($B49="","",IFERROR(INDEX('Auxiliar Resultados'!$C$9:$BO$50,MATCH($B49,'Auxiliar Resultados'!$B$9:$B$50,0),MATCH(CONCATENATE($C49,AH$7),'Auxiliar Resultados'!$C$6:$BO$6,0)),""))=0,"",IF($B49="","",IFERROR(INDEX('Auxiliar Resultados'!$C$9:$BO$50,MATCH($B49,'Auxiliar Resultados'!$B$9:$B$50,0),MATCH(CONCATENATE($C49,AH$7),'Auxiliar Resultados'!$C$6:$BO$6,0)),"")))</f>
        <v/>
      </c>
      <c r="AI49" s="52" t="str">
        <f>+IF(IF($B49="","",IFERROR(INDEX('Auxiliar Resultados'!$C$9:$BO$50,MATCH($B49,'Auxiliar Resultados'!$B$9:$B$50,0),MATCH(CONCATENATE($C49,AI$7),'Auxiliar Resultados'!$C$6:$BO$6,0)),""))=0,"",IF($B49="","",IFERROR(INDEX('Auxiliar Resultados'!$C$9:$BO$50,MATCH($B49,'Auxiliar Resultados'!$B$9:$B$50,0),MATCH(CONCATENATE($C49,AI$7),'Auxiliar Resultados'!$C$6:$BO$6,0)),"")))</f>
        <v/>
      </c>
      <c r="AJ49" s="52" t="str">
        <f>+IF(IF($B49="","",IFERROR(INDEX('Auxiliar Resultados'!$C$9:$BO$50,MATCH($B49,'Auxiliar Resultados'!$B$9:$B$50,0),MATCH(CONCATENATE($C49,AJ$7),'Auxiliar Resultados'!$C$6:$BO$6,0)),""))=0,"",IF($B49="","",IFERROR(INDEX('Auxiliar Resultados'!$C$9:$BO$50,MATCH($B49,'Auxiliar Resultados'!$B$9:$B$50,0),MATCH(CONCATENATE($C49,AJ$7),'Auxiliar Resultados'!$C$6:$BO$6,0)),"")))</f>
        <v/>
      </c>
      <c r="AK49" s="52" t="str">
        <f>+IF(IF($B49="","",IFERROR(INDEX('Auxiliar Resultados'!$C$9:$BO$50,MATCH($B49,'Auxiliar Resultados'!$B$9:$B$50,0),MATCH(CONCATENATE($C49,AK$7),'Auxiliar Resultados'!$C$6:$BO$6,0)),""))=0,"",IF($B49="","",IFERROR(INDEX('Auxiliar Resultados'!$C$9:$BO$50,MATCH($B49,'Auxiliar Resultados'!$B$9:$B$50,0),MATCH(CONCATENATE($C49,AK$7),'Auxiliar Resultados'!$C$6:$BO$6,0)),"")))</f>
        <v/>
      </c>
      <c r="AL49" s="52" t="str">
        <f>+IF(IF($B49="","",IFERROR(INDEX('Auxiliar Resultados'!$C$9:$BO$50,MATCH($B49,'Auxiliar Resultados'!$B$9:$B$50,0),MATCH(CONCATENATE($C49,AL$7),'Auxiliar Resultados'!$C$6:$BO$6,0)),""))=0,"",IF($B49="","",IFERROR(INDEX('Auxiliar Resultados'!$C$9:$BO$50,MATCH($B49,'Auxiliar Resultados'!$B$9:$B$50,0),MATCH(CONCATENATE($C49,AL$7),'Auxiliar Resultados'!$C$6:$BO$6,0)),"")))</f>
        <v/>
      </c>
      <c r="AM49" s="52" t="str">
        <f>+IF(IF($B49="","",IFERROR(INDEX('Auxiliar Resultados'!$C$9:$BO$50,MATCH($B49,'Auxiliar Resultados'!$B$9:$B$50,0),MATCH(CONCATENATE($C49,AM$7),'Auxiliar Resultados'!$C$6:$BO$6,0)),""))=0,"",IF($B49="","",IFERROR(INDEX('Auxiliar Resultados'!$C$9:$BO$50,MATCH($B49,'Auxiliar Resultados'!$B$9:$B$50,0),MATCH(CONCATENATE($C49,AM$7),'Auxiliar Resultados'!$C$6:$BO$6,0)),"")))</f>
        <v/>
      </c>
      <c r="AN49" s="52" t="str">
        <f>+IF(IF($B49="","",IFERROR(INDEX('Auxiliar Resultados'!$C$9:$BO$50,MATCH($B49,'Auxiliar Resultados'!$B$9:$B$50,0),MATCH(CONCATENATE($C49,AN$7),'Auxiliar Resultados'!$C$6:$BO$6,0)),""))=0,"",IF($B49="","",IFERROR(INDEX('Auxiliar Resultados'!$C$9:$BO$50,MATCH($B49,'Auxiliar Resultados'!$B$9:$B$50,0),MATCH(CONCATENATE($C49,AN$7),'Auxiliar Resultados'!$C$6:$BO$6,0)),"")))</f>
        <v/>
      </c>
      <c r="AO49" s="52" t="str">
        <f>+IF(IF($B49="","",IFERROR(INDEX('Auxiliar Resultados'!$C$9:$BO$50,MATCH($B49,'Auxiliar Resultados'!$B$9:$B$50,0),MATCH(CONCATENATE($C49,AO$7),'Auxiliar Resultados'!$C$6:$BO$6,0)),""))=0,"",IF($B49="","",IFERROR(INDEX('Auxiliar Resultados'!$C$9:$BO$50,MATCH($B49,'Auxiliar Resultados'!$B$9:$B$50,0),MATCH(CONCATENATE($C49,AO$7),'Auxiliar Resultados'!$C$6:$BO$6,0)),"")))</f>
        <v/>
      </c>
      <c r="AP49" s="52" t="str">
        <f>+IF(IF($B49="","",IFERROR(INDEX('Auxiliar Resultados'!$C$9:$BO$50,MATCH($B49,'Auxiliar Resultados'!$B$9:$B$50,0),MATCH(CONCATENATE($C49,AP$7),'Auxiliar Resultados'!$C$6:$BO$6,0)),""))=0,"",IF($B49="","",IFERROR(INDEX('Auxiliar Resultados'!$C$9:$BO$50,MATCH($B49,'Auxiliar Resultados'!$B$9:$B$50,0),MATCH(CONCATENATE($C49,AP$7),'Auxiliar Resultados'!$C$6:$BO$6,0)),"")))</f>
        <v/>
      </c>
      <c r="AQ49" s="276" t="str">
        <f>+IF(IF($B49="","",IFERROR(INDEX('Auxiliar Resultados'!$C$9:$BO$50,MATCH($B49,'Auxiliar Resultados'!$B$9:$B$50,0),MATCH(CONCATENATE($C49,AQ$7),'Auxiliar Resultados'!$C$6:$BO$6,0)),""))=0,"",IF($B49="","",IFERROR(INDEX('Auxiliar Resultados'!$C$9:$BO$50,MATCH($B49,'Auxiliar Resultados'!$B$9:$B$50,0),MATCH(CONCATENATE($C49,AQ$7),'Auxiliar Resultados'!$C$6:$BO$6,0)),"")))</f>
        <v/>
      </c>
      <c r="AS49" s="46" t="str">
        <f t="shared" si="5"/>
        <v/>
      </c>
      <c r="AT49" s="292" t="str">
        <f t="shared" si="6"/>
        <v/>
      </c>
      <c r="AU49" s="36" t="str">
        <f>+IF(G49="","",INDEX('Modelo Optimización'!$AZ$4:$CO$149,MATCH(CONCATENATE(AU$7,$AT49),'Modelo Optimización'!$CQ$4:$CQ$149,0),MATCH($AS49,'Modelo Optimización'!$AZ$3:$CO$3,0)))</f>
        <v/>
      </c>
      <c r="AV49" s="32" t="str">
        <f>+IF(H49="","",INDEX('Modelo Optimización'!$AZ$4:$CO$149,MATCH(CONCATENATE(AV$7,$AT49),'Modelo Optimización'!$CQ$4:$CQ$149,0),MATCH($AS49,'Modelo Optimización'!$AZ$3:$CO$3,0)))</f>
        <v/>
      </c>
      <c r="AW49" s="32" t="str">
        <f>+IF(I49="","",INDEX('Modelo Optimización'!$AZ$4:$CO$149,MATCH(CONCATENATE(AW$7,$AT49),'Modelo Optimización'!$CQ$4:$CQ$149,0),MATCH($AS49,'Modelo Optimización'!$AZ$3:$CO$3,0)))</f>
        <v/>
      </c>
      <c r="AX49" s="32" t="str">
        <f>+IF(J49="","",INDEX('Modelo Optimización'!$AZ$4:$CO$149,MATCH(CONCATENATE(AX$7,$AT49),'Modelo Optimización'!$CQ$4:$CQ$149,0),MATCH($AS49,'Modelo Optimización'!$AZ$3:$CO$3,0)))</f>
        <v/>
      </c>
      <c r="AY49" s="32" t="str">
        <f>+IF(K49="","",INDEX('Modelo Optimización'!$AZ$4:$CO$149,MATCH(CONCATENATE(AY$7,$AT49),'Modelo Optimización'!$CQ$4:$CQ$149,0),MATCH($AS49,'Modelo Optimización'!$AZ$3:$CO$3,0)))</f>
        <v/>
      </c>
      <c r="AZ49" s="32" t="str">
        <f>+IF(L49="","",INDEX('Modelo Optimización'!$AZ$4:$CO$149,MATCH(CONCATENATE(AZ$7,$AT49),'Modelo Optimización'!$CQ$4:$CQ$149,0),MATCH($AS49,'Modelo Optimización'!$AZ$3:$CO$3,0)))</f>
        <v/>
      </c>
      <c r="BA49" s="32" t="str">
        <f>+IF(M49="","",INDEX('Modelo Optimización'!$AZ$4:$CO$149,MATCH(CONCATENATE(BA$7,$AT49),'Modelo Optimización'!$CQ$4:$CQ$149,0),MATCH($AS49,'Modelo Optimización'!$AZ$3:$CO$3,0)))</f>
        <v/>
      </c>
      <c r="BB49" s="32" t="str">
        <f>+IF(N49="","",INDEX('Modelo Optimización'!$AZ$4:$CO$149,MATCH(CONCATENATE(BB$7,$AT49),'Modelo Optimización'!$CQ$4:$CQ$149,0),MATCH($AS49,'Modelo Optimización'!$AZ$3:$CO$3,0)))</f>
        <v/>
      </c>
      <c r="BC49" s="32" t="str">
        <f>+IF(O49="","",INDEX('Modelo Optimización'!$AZ$4:$CO$149,MATCH(CONCATENATE(BC$7,$AT49),'Modelo Optimización'!$CQ$4:$CQ$149,0),MATCH($AS49,'Modelo Optimización'!$AZ$3:$CO$3,0)))</f>
        <v/>
      </c>
      <c r="BD49" s="32" t="str">
        <f>+IF(P49="","",INDEX('Modelo Optimización'!$AZ$4:$CO$149,MATCH(CONCATENATE(BD$7,$AT49),'Modelo Optimización'!$CQ$4:$CQ$149,0),MATCH($AS49,'Modelo Optimización'!$AZ$3:$CO$3,0)))</f>
        <v/>
      </c>
      <c r="BE49" s="32" t="str">
        <f>+IF(Q49="","",INDEX('Modelo Optimización'!$AZ$4:$CO$149,MATCH(CONCATENATE(BE$7,$AT49),'Modelo Optimización'!$CQ$4:$CQ$149,0),MATCH($AS49,'Modelo Optimización'!$AZ$3:$CO$3,0)))</f>
        <v/>
      </c>
      <c r="BF49" s="32" t="str">
        <f>+IF(R49="","",INDEX('Modelo Optimización'!$AZ$4:$CO$149,MATCH(CONCATENATE(BF$7,$AT49),'Modelo Optimización'!$CQ$4:$CQ$149,0),MATCH($AS49,'Modelo Optimización'!$AZ$3:$CO$3,0)))</f>
        <v/>
      </c>
      <c r="BG49" s="32" t="str">
        <f>+IF(S49="","",INDEX('Modelo Optimización'!$AZ$4:$CO$149,MATCH(CONCATENATE(BG$7,$AT49),'Modelo Optimización'!$CQ$4:$CQ$149,0),MATCH($AS49,'Modelo Optimización'!$AZ$3:$CO$3,0)))</f>
        <v/>
      </c>
      <c r="BH49" s="32" t="str">
        <f>+IF(T49="","",INDEX('Modelo Optimización'!$AZ$4:$CO$149,MATCH(CONCATENATE(BH$7,$AT49),'Modelo Optimización'!$CQ$4:$CQ$149,0),MATCH($AS49,'Modelo Optimización'!$AZ$3:$CO$3,0)))</f>
        <v/>
      </c>
      <c r="BI49" s="32" t="str">
        <f>+IF(U49="","",INDEX('Modelo Optimización'!$AZ$4:$CO$149,MATCH(CONCATENATE(BI$7,$AT49),'Modelo Optimización'!$CQ$4:$CQ$149,0),MATCH($AS49,'Modelo Optimización'!$AZ$3:$CO$3,0)))</f>
        <v/>
      </c>
      <c r="BJ49" s="32" t="str">
        <f>+IF(V49="","",INDEX('Modelo Optimización'!$AZ$4:$CO$149,MATCH(CONCATENATE(BJ$7,$AT49),'Modelo Optimización'!$CQ$4:$CQ$149,0),MATCH($AS49,'Modelo Optimización'!$AZ$3:$CO$3,0)))</f>
        <v/>
      </c>
      <c r="BK49" s="32" t="str">
        <f>+IF(W49="","",INDEX('Modelo Optimización'!$AZ$4:$CO$149,MATCH(CONCATENATE(BK$7,$AT49),'Modelo Optimización'!$CQ$4:$CQ$149,0),MATCH($AS49,'Modelo Optimización'!$AZ$3:$CO$3,0)))</f>
        <v/>
      </c>
      <c r="BL49" s="32" t="str">
        <f>+IF(X49="","",INDEX('Modelo Optimización'!$AZ$4:$CO$149,MATCH(CONCATENATE(BL$7,$AT49),'Modelo Optimización'!$CQ$4:$CQ$149,0),MATCH($AS49,'Modelo Optimización'!$AZ$3:$CO$3,0)))</f>
        <v/>
      </c>
      <c r="BM49" s="32" t="str">
        <f>+IF(Y49="","",INDEX('Modelo Optimización'!$AZ$4:$CO$149,MATCH(CONCATENATE(BM$7,$AT49),'Modelo Optimización'!$CQ$4:$CQ$149,0),MATCH($AS49,'Modelo Optimización'!$AZ$3:$CO$3,0)))</f>
        <v/>
      </c>
      <c r="BN49" s="32" t="str">
        <f>+IF(Z49="","",INDEX('Modelo Optimización'!$AZ$4:$CO$149,MATCH(CONCATENATE(BN$7,$AT49),'Modelo Optimización'!$CQ$4:$CQ$149,0),MATCH($AS49,'Modelo Optimización'!$AZ$3:$CO$3,0)))</f>
        <v/>
      </c>
      <c r="BO49" s="32" t="str">
        <f>+IF(AA49="","",INDEX('Modelo Optimización'!$AZ$4:$CO$149,MATCH(CONCATENATE(BO$7,$AT49),'Modelo Optimización'!$CQ$4:$CQ$149,0),MATCH($AS49,'Modelo Optimización'!$AZ$3:$CO$3,0)))</f>
        <v/>
      </c>
      <c r="BP49" s="32" t="str">
        <f>+IF(AB49="","",INDEX('Modelo Optimización'!$AZ$4:$CO$149,MATCH(CONCATENATE(BP$7,$AT49),'Modelo Optimización'!$CQ$4:$CQ$149,0),MATCH($AS49,'Modelo Optimización'!$AZ$3:$CO$3,0)))</f>
        <v/>
      </c>
      <c r="BQ49" s="32" t="str">
        <f>+IF(AC49="","",INDEX('Modelo Optimización'!$AZ$4:$CO$149,MATCH(CONCATENATE(BQ$7,$AT49),'Modelo Optimización'!$CQ$4:$CQ$149,0),MATCH($AS49,'Modelo Optimización'!$AZ$3:$CO$3,0)))</f>
        <v/>
      </c>
      <c r="BR49" s="32" t="str">
        <f>+IF(AD49="","",INDEX('Modelo Optimización'!$AZ$4:$CO$149,MATCH(CONCATENATE(BR$7,$AT49),'Modelo Optimización'!$CQ$4:$CQ$149,0),MATCH($AS49,'Modelo Optimización'!$AZ$3:$CO$3,0)))</f>
        <v/>
      </c>
      <c r="BS49" s="32" t="str">
        <f>+IF(AE49="","",INDEX('Modelo Optimización'!$AZ$4:$CO$149,MATCH(CONCATENATE(BS$7,$AT49),'Modelo Optimización'!$CQ$4:$CQ$149,0),MATCH($AS49,'Modelo Optimización'!$AZ$3:$CO$3,0)))</f>
        <v/>
      </c>
      <c r="BT49" s="32" t="str">
        <f>+IF(AF49="","",INDEX('Modelo Optimización'!$AZ$4:$CO$149,MATCH(CONCATENATE(BT$7,$AT49),'Modelo Optimización'!$CQ$4:$CQ$149,0),MATCH($AS49,'Modelo Optimización'!$AZ$3:$CO$3,0)))</f>
        <v/>
      </c>
      <c r="BU49" s="32" t="str">
        <f>+IF(AG49="","",INDEX('Modelo Optimización'!$AZ$4:$CO$149,MATCH(CONCATENATE(BU$7,$AT49),'Modelo Optimización'!$CQ$4:$CQ$149,0),MATCH($AS49,'Modelo Optimización'!$AZ$3:$CO$3,0)))</f>
        <v/>
      </c>
      <c r="BV49" s="32" t="str">
        <f>+IF(AH49="","",INDEX('Modelo Optimización'!$AZ$4:$CO$149,MATCH(CONCATENATE(BV$7,$AT49),'Modelo Optimización'!$CQ$4:$CQ$149,0),MATCH($AS49,'Modelo Optimización'!$AZ$3:$CO$3,0)))</f>
        <v/>
      </c>
      <c r="BW49" s="32" t="str">
        <f>+IF(AI49="","",INDEX('Modelo Optimización'!$AZ$4:$CO$149,MATCH(CONCATENATE(BW$7,$AT49),'Modelo Optimización'!$CQ$4:$CQ$149,0),MATCH($AS49,'Modelo Optimización'!$AZ$3:$CO$3,0)))</f>
        <v/>
      </c>
      <c r="BX49" s="32" t="str">
        <f>+IF(AJ49="","",INDEX('Modelo Optimización'!$AZ$4:$CO$149,MATCH(CONCATENATE(BX$7,$AT49),'Modelo Optimización'!$CQ$4:$CQ$149,0),MATCH($AS49,'Modelo Optimización'!$AZ$3:$CO$3,0)))</f>
        <v/>
      </c>
      <c r="BY49" s="32" t="str">
        <f>+IF(AK49="","",INDEX('Modelo Optimización'!$AZ$4:$CO$149,MATCH(CONCATENATE(BY$7,$AT49),'Modelo Optimización'!$CQ$4:$CQ$149,0),MATCH($AS49,'Modelo Optimización'!$AZ$3:$CO$3,0)))</f>
        <v/>
      </c>
      <c r="BZ49" s="32" t="str">
        <f>+IF(AL49="","",INDEX('Modelo Optimización'!$AZ$4:$CO$149,MATCH(CONCATENATE(BZ$7,$AT49),'Modelo Optimización'!$CQ$4:$CQ$149,0),MATCH($AS49,'Modelo Optimización'!$AZ$3:$CO$3,0)))</f>
        <v/>
      </c>
      <c r="CA49" s="32" t="str">
        <f>+IF(AM49="","",INDEX('Modelo Optimización'!$AZ$4:$CO$149,MATCH(CONCATENATE(CA$7,$AT49),'Modelo Optimización'!$CQ$4:$CQ$149,0),MATCH($AS49,'Modelo Optimización'!$AZ$3:$CO$3,0)))</f>
        <v/>
      </c>
      <c r="CB49" s="32" t="str">
        <f>+IF(AN49="","",INDEX('Modelo Optimización'!$AZ$4:$CO$149,MATCH(CONCATENATE(CB$7,$AT49),'Modelo Optimización'!$CQ$4:$CQ$149,0),MATCH($AS49,'Modelo Optimización'!$AZ$3:$CO$3,0)))</f>
        <v/>
      </c>
      <c r="CC49" s="32" t="str">
        <f>+IF(AO49="","",INDEX('Modelo Optimización'!$AZ$4:$CO$149,MATCH(CONCATENATE(CC$7,$AT49),'Modelo Optimización'!$CQ$4:$CQ$149,0),MATCH($AS49,'Modelo Optimización'!$AZ$3:$CO$3,0)))</f>
        <v/>
      </c>
      <c r="CD49" s="32" t="str">
        <f>+IF(AP49="","",INDEX('Modelo Optimización'!$AZ$4:$CO$149,MATCH(CONCATENATE(CD$7,$AT49),'Modelo Optimización'!$CQ$4:$CQ$149,0),MATCH($AS49,'Modelo Optimización'!$AZ$3:$CO$3,0)))</f>
        <v/>
      </c>
      <c r="CE49" s="37" t="str">
        <f>+IF(AQ49="","",INDEX('Modelo Optimización'!$AZ$4:$CO$149,MATCH(CONCATENATE(CE$7,$AT49),'Modelo Optimización'!$CQ$4:$CQ$149,0),MATCH($AS49,'Modelo Optimización'!$AZ$3:$CO$3,0)))</f>
        <v/>
      </c>
      <c r="CF49" s="301"/>
      <c r="CG49" s="305" t="str">
        <f t="shared" si="11"/>
        <v/>
      </c>
      <c r="CH49" s="303" t="str">
        <f t="shared" si="7"/>
        <v/>
      </c>
      <c r="CI49" s="292" t="str">
        <f t="shared" si="8"/>
        <v/>
      </c>
      <c r="CJ49" s="36" t="str">
        <f t="shared" si="12"/>
        <v/>
      </c>
      <c r="CK49" s="32" t="str">
        <f t="shared" si="13"/>
        <v/>
      </c>
      <c r="CL49" s="32" t="str">
        <f t="shared" si="14"/>
        <v/>
      </c>
      <c r="CM49" s="32" t="str">
        <f t="shared" si="15"/>
        <v/>
      </c>
      <c r="CN49" s="32" t="str">
        <f t="shared" si="16"/>
        <v/>
      </c>
      <c r="CO49" s="32" t="str">
        <f t="shared" si="17"/>
        <v/>
      </c>
      <c r="CP49" s="32" t="str">
        <f t="shared" si="18"/>
        <v/>
      </c>
      <c r="CQ49" s="32" t="str">
        <f t="shared" si="19"/>
        <v/>
      </c>
      <c r="CR49" s="32" t="str">
        <f t="shared" si="20"/>
        <v/>
      </c>
      <c r="CS49" s="32" t="str">
        <f t="shared" si="21"/>
        <v/>
      </c>
      <c r="CT49" s="32" t="str">
        <f t="shared" si="22"/>
        <v/>
      </c>
      <c r="CU49" s="32" t="str">
        <f t="shared" si="23"/>
        <v/>
      </c>
      <c r="CV49" s="32" t="str">
        <f t="shared" si="24"/>
        <v/>
      </c>
      <c r="CW49" s="32" t="str">
        <f t="shared" si="25"/>
        <v/>
      </c>
      <c r="CX49" s="32" t="str">
        <f t="shared" si="26"/>
        <v/>
      </c>
      <c r="CY49" s="32" t="str">
        <f t="shared" si="27"/>
        <v/>
      </c>
      <c r="CZ49" s="32" t="str">
        <f t="shared" si="28"/>
        <v/>
      </c>
      <c r="DA49" s="32" t="str">
        <f t="shared" si="29"/>
        <v/>
      </c>
      <c r="DB49" s="32" t="str">
        <f t="shared" si="30"/>
        <v/>
      </c>
      <c r="DC49" s="32" t="str">
        <f t="shared" si="31"/>
        <v/>
      </c>
      <c r="DD49" s="32" t="str">
        <f t="shared" si="32"/>
        <v/>
      </c>
      <c r="DE49" s="32" t="str">
        <f t="shared" si="33"/>
        <v/>
      </c>
      <c r="DF49" s="32" t="str">
        <f t="shared" si="34"/>
        <v/>
      </c>
      <c r="DG49" s="32" t="str">
        <f t="shared" si="35"/>
        <v/>
      </c>
      <c r="DH49" s="32" t="str">
        <f t="shared" si="36"/>
        <v/>
      </c>
      <c r="DI49" s="32" t="str">
        <f t="shared" si="37"/>
        <v/>
      </c>
      <c r="DJ49" s="32" t="str">
        <f t="shared" si="38"/>
        <v/>
      </c>
      <c r="DK49" s="32" t="str">
        <f t="shared" si="39"/>
        <v/>
      </c>
      <c r="DL49" s="32" t="str">
        <f t="shared" si="40"/>
        <v/>
      </c>
      <c r="DM49" s="32" t="str">
        <f t="shared" si="41"/>
        <v/>
      </c>
      <c r="DN49" s="32" t="str">
        <f t="shared" si="42"/>
        <v/>
      </c>
      <c r="DO49" s="32" t="str">
        <f t="shared" si="43"/>
        <v/>
      </c>
      <c r="DP49" s="32" t="str">
        <f t="shared" si="44"/>
        <v/>
      </c>
      <c r="DQ49" s="32" t="str">
        <f t="shared" si="45"/>
        <v/>
      </c>
      <c r="DR49" s="32" t="str">
        <f t="shared" si="46"/>
        <v/>
      </c>
      <c r="DS49" s="32" t="str">
        <f t="shared" si="47"/>
        <v/>
      </c>
      <c r="DT49" s="37" t="str">
        <f t="shared" si="48"/>
        <v/>
      </c>
    </row>
    <row r="50" spans="2:124" x14ac:dyDescent="0.35">
      <c r="B50" s="46"/>
      <c r="C50" s="212"/>
      <c r="D50" s="52"/>
      <c r="E50" s="52" t="str">
        <f>+IF(B50="","",IFERROR(SUMIF('Modelo Optimización'!$AS$72:$AS$217,C50,INDEX('Modelo Optimización'!$C$72:$AR$217,,MATCH(B50,'Modelo Optimización'!$C$71:$AR$71,0))),0))</f>
        <v/>
      </c>
      <c r="F50" s="281" t="str">
        <f t="shared" si="10"/>
        <v/>
      </c>
      <c r="G50" s="280" t="str">
        <f>+IF(IF($B50="","",IFERROR(INDEX('Auxiliar Resultados'!$C$9:$BO$50,MATCH($B50,'Auxiliar Resultados'!$B$9:$B$50,0),MATCH(CONCATENATE($C50,G$7),'Auxiliar Resultados'!$C$6:$BO$6,0)),""))=0,"",IF($B50="","",IFERROR(INDEX('Auxiliar Resultados'!$C$9:$BO$50,MATCH($B50,'Auxiliar Resultados'!$B$9:$B$50,0),MATCH(CONCATENATE($C50,G$7),'Auxiliar Resultados'!$C$6:$BO$6,0)),"")))</f>
        <v/>
      </c>
      <c r="H50" s="52" t="str">
        <f>+IF(IF($B50="","",IFERROR(INDEX('Auxiliar Resultados'!$C$9:$BO$50,MATCH($B50,'Auxiliar Resultados'!$B$9:$B$50,0),MATCH(CONCATENATE($C50,H$7),'Auxiliar Resultados'!$C$6:$BO$6,0)),""))=0,"",IF($B50="","",IFERROR(INDEX('Auxiliar Resultados'!$C$9:$BO$50,MATCH($B50,'Auxiliar Resultados'!$B$9:$B$50,0),MATCH(CONCATENATE($C50,H$7),'Auxiliar Resultados'!$C$6:$BO$6,0)),"")))</f>
        <v/>
      </c>
      <c r="I50" s="52" t="str">
        <f>+IF(IF($B50="","",IFERROR(INDEX('Auxiliar Resultados'!$C$9:$BO$50,MATCH($B50,'Auxiliar Resultados'!$B$9:$B$50,0),MATCH(CONCATENATE($C50,I$7),'Auxiliar Resultados'!$C$6:$BO$6,0)),""))=0,"",IF($B50="","",IFERROR(INDEX('Auxiliar Resultados'!$C$9:$BO$50,MATCH($B50,'Auxiliar Resultados'!$B$9:$B$50,0),MATCH(CONCATENATE($C50,I$7),'Auxiliar Resultados'!$C$6:$BO$6,0)),"")))</f>
        <v/>
      </c>
      <c r="J50" s="52" t="str">
        <f>+IF(IF($B50="","",IFERROR(INDEX('Auxiliar Resultados'!$C$9:$BO$50,MATCH($B50,'Auxiliar Resultados'!$B$9:$B$50,0),MATCH(CONCATENATE($C50,J$7),'Auxiliar Resultados'!$C$6:$BO$6,0)),""))=0,"",IF($B50="","",IFERROR(INDEX('Auxiliar Resultados'!$C$9:$BO$50,MATCH($B50,'Auxiliar Resultados'!$B$9:$B$50,0),MATCH(CONCATENATE($C50,J$7),'Auxiliar Resultados'!$C$6:$BO$6,0)),"")))</f>
        <v/>
      </c>
      <c r="K50" s="52" t="str">
        <f>+IF(IF($B50="","",IFERROR(INDEX('Auxiliar Resultados'!$C$9:$BO$50,MATCH($B50,'Auxiliar Resultados'!$B$9:$B$50,0),MATCH(CONCATENATE($C50,K$7),'Auxiliar Resultados'!$C$6:$BO$6,0)),""))=0,"",IF($B50="","",IFERROR(INDEX('Auxiliar Resultados'!$C$9:$BO$50,MATCH($B50,'Auxiliar Resultados'!$B$9:$B$50,0),MATCH(CONCATENATE($C50,K$7),'Auxiliar Resultados'!$C$6:$BO$6,0)),"")))</f>
        <v/>
      </c>
      <c r="L50" s="52" t="str">
        <f>+IF(IF($B50="","",IFERROR(INDEX('Auxiliar Resultados'!$C$9:$BO$50,MATCH($B50,'Auxiliar Resultados'!$B$9:$B$50,0),MATCH(CONCATENATE($C50,L$7),'Auxiliar Resultados'!$C$6:$BO$6,0)),""))=0,"",IF($B50="","",IFERROR(INDEX('Auxiliar Resultados'!$C$9:$BO$50,MATCH($B50,'Auxiliar Resultados'!$B$9:$B$50,0),MATCH(CONCATENATE($C50,L$7),'Auxiliar Resultados'!$C$6:$BO$6,0)),"")))</f>
        <v/>
      </c>
      <c r="M50" s="52" t="str">
        <f>+IF(IF($B50="","",IFERROR(INDEX('Auxiliar Resultados'!$C$9:$BO$50,MATCH($B50,'Auxiliar Resultados'!$B$9:$B$50,0),MATCH(CONCATENATE($C50,M$7),'Auxiliar Resultados'!$C$6:$BO$6,0)),""))=0,"",IF($B50="","",IFERROR(INDEX('Auxiliar Resultados'!$C$9:$BO$50,MATCH($B50,'Auxiliar Resultados'!$B$9:$B$50,0),MATCH(CONCATENATE($C50,M$7),'Auxiliar Resultados'!$C$6:$BO$6,0)),"")))</f>
        <v/>
      </c>
      <c r="N50" s="52" t="str">
        <f>+IF(IF($B50="","",IFERROR(INDEX('Auxiliar Resultados'!$C$9:$BO$50,MATCH($B50,'Auxiliar Resultados'!$B$9:$B$50,0),MATCH(CONCATENATE($C50,N$7),'Auxiliar Resultados'!$C$6:$BO$6,0)),""))=0,"",IF($B50="","",IFERROR(INDEX('Auxiliar Resultados'!$C$9:$BO$50,MATCH($B50,'Auxiliar Resultados'!$B$9:$B$50,0),MATCH(CONCATENATE($C50,N$7),'Auxiliar Resultados'!$C$6:$BO$6,0)),"")))</f>
        <v/>
      </c>
      <c r="O50" s="52" t="str">
        <f>+IF(IF($B50="","",IFERROR(INDEX('Auxiliar Resultados'!$C$9:$BO$50,MATCH($B50,'Auxiliar Resultados'!$B$9:$B$50,0),MATCH(CONCATENATE($C50,O$7),'Auxiliar Resultados'!$C$6:$BO$6,0)),""))=0,"",IF($B50="","",IFERROR(INDEX('Auxiliar Resultados'!$C$9:$BO$50,MATCH($B50,'Auxiliar Resultados'!$B$9:$B$50,0),MATCH(CONCATENATE($C50,O$7),'Auxiliar Resultados'!$C$6:$BO$6,0)),"")))</f>
        <v/>
      </c>
      <c r="P50" s="52" t="str">
        <f>+IF(IF($B50="","",IFERROR(INDEX('Auxiliar Resultados'!$C$9:$BO$50,MATCH($B50,'Auxiliar Resultados'!$B$9:$B$50,0),MATCH(CONCATENATE($C50,P$7),'Auxiliar Resultados'!$C$6:$BO$6,0)),""))=0,"",IF($B50="","",IFERROR(INDEX('Auxiliar Resultados'!$C$9:$BO$50,MATCH($B50,'Auxiliar Resultados'!$B$9:$B$50,0),MATCH(CONCATENATE($C50,P$7),'Auxiliar Resultados'!$C$6:$BO$6,0)),"")))</f>
        <v/>
      </c>
      <c r="Q50" s="52" t="str">
        <f>+IF(IF($B50="","",IFERROR(INDEX('Auxiliar Resultados'!$C$9:$BO$50,MATCH($B50,'Auxiliar Resultados'!$B$9:$B$50,0),MATCH(CONCATENATE($C50,Q$7),'Auxiliar Resultados'!$C$6:$BO$6,0)),""))=0,"",IF($B50="","",IFERROR(INDEX('Auxiliar Resultados'!$C$9:$BO$50,MATCH($B50,'Auxiliar Resultados'!$B$9:$B$50,0),MATCH(CONCATENATE($C50,Q$7),'Auxiliar Resultados'!$C$6:$BO$6,0)),"")))</f>
        <v/>
      </c>
      <c r="R50" s="52" t="str">
        <f>+IF(IF($B50="","",IFERROR(INDEX('Auxiliar Resultados'!$C$9:$BO$50,MATCH($B50,'Auxiliar Resultados'!$B$9:$B$50,0),MATCH(CONCATENATE($C50,R$7),'Auxiliar Resultados'!$C$6:$BO$6,0)),""))=0,"",IF($B50="","",IFERROR(INDEX('Auxiliar Resultados'!$C$9:$BO$50,MATCH($B50,'Auxiliar Resultados'!$B$9:$B$50,0),MATCH(CONCATENATE($C50,R$7),'Auxiliar Resultados'!$C$6:$BO$6,0)),"")))</f>
        <v/>
      </c>
      <c r="S50" s="52" t="str">
        <f>+IF(IF($B50="","",IFERROR(INDEX('Auxiliar Resultados'!$C$9:$BO$50,MATCH($B50,'Auxiliar Resultados'!$B$9:$B$50,0),MATCH(CONCATENATE($C50,S$7),'Auxiliar Resultados'!$C$6:$BO$6,0)),""))=0,"",IF($B50="","",IFERROR(INDEX('Auxiliar Resultados'!$C$9:$BO$50,MATCH($B50,'Auxiliar Resultados'!$B$9:$B$50,0),MATCH(CONCATENATE($C50,S$7),'Auxiliar Resultados'!$C$6:$BO$6,0)),"")))</f>
        <v/>
      </c>
      <c r="T50" s="52" t="str">
        <f>+IF(IF($B50="","",IFERROR(INDEX('Auxiliar Resultados'!$C$9:$BO$50,MATCH($B50,'Auxiliar Resultados'!$B$9:$B$50,0),MATCH(CONCATENATE($C50,T$7),'Auxiliar Resultados'!$C$6:$BO$6,0)),""))=0,"",IF($B50="","",IFERROR(INDEX('Auxiliar Resultados'!$C$9:$BO$50,MATCH($B50,'Auxiliar Resultados'!$B$9:$B$50,0),MATCH(CONCATENATE($C50,T$7),'Auxiliar Resultados'!$C$6:$BO$6,0)),"")))</f>
        <v/>
      </c>
      <c r="U50" s="52" t="str">
        <f>+IF(IF($B50="","",IFERROR(INDEX('Auxiliar Resultados'!$C$9:$BO$50,MATCH($B50,'Auxiliar Resultados'!$B$9:$B$50,0),MATCH(CONCATENATE($C50,U$7),'Auxiliar Resultados'!$C$6:$BO$6,0)),""))=0,"",IF($B50="","",IFERROR(INDEX('Auxiliar Resultados'!$C$9:$BO$50,MATCH($B50,'Auxiliar Resultados'!$B$9:$B$50,0),MATCH(CONCATENATE($C50,U$7),'Auxiliar Resultados'!$C$6:$BO$6,0)),"")))</f>
        <v/>
      </c>
      <c r="V50" s="52" t="str">
        <f>+IF(IF($B50="","",IFERROR(INDEX('Auxiliar Resultados'!$C$9:$BO$50,MATCH($B50,'Auxiliar Resultados'!$B$9:$B$50,0),MATCH(CONCATENATE($C50,V$7),'Auxiliar Resultados'!$C$6:$BO$6,0)),""))=0,"",IF($B50="","",IFERROR(INDEX('Auxiliar Resultados'!$C$9:$BO$50,MATCH($B50,'Auxiliar Resultados'!$B$9:$B$50,0),MATCH(CONCATENATE($C50,V$7),'Auxiliar Resultados'!$C$6:$BO$6,0)),"")))</f>
        <v/>
      </c>
      <c r="W50" s="52" t="str">
        <f>+IF(IF($B50="","",IFERROR(INDEX('Auxiliar Resultados'!$C$9:$BO$50,MATCH($B50,'Auxiliar Resultados'!$B$9:$B$50,0),MATCH(CONCATENATE($C50,W$7),'Auxiliar Resultados'!$C$6:$BO$6,0)),""))=0,"",IF($B50="","",IFERROR(INDEX('Auxiliar Resultados'!$C$9:$BO$50,MATCH($B50,'Auxiliar Resultados'!$B$9:$B$50,0),MATCH(CONCATENATE($C50,W$7),'Auxiliar Resultados'!$C$6:$BO$6,0)),"")))</f>
        <v/>
      </c>
      <c r="X50" s="52" t="str">
        <f>+IF(IF($B50="","",IFERROR(INDEX('Auxiliar Resultados'!$C$9:$BO$50,MATCH($B50,'Auxiliar Resultados'!$B$9:$B$50,0),MATCH(CONCATENATE($C50,X$7),'Auxiliar Resultados'!$C$6:$BO$6,0)),""))=0,"",IF($B50="","",IFERROR(INDEX('Auxiliar Resultados'!$C$9:$BO$50,MATCH($B50,'Auxiliar Resultados'!$B$9:$B$50,0),MATCH(CONCATENATE($C50,X$7),'Auxiliar Resultados'!$C$6:$BO$6,0)),"")))</f>
        <v/>
      </c>
      <c r="Y50" s="52" t="str">
        <f>+IF(IF($B50="","",IFERROR(INDEX('Auxiliar Resultados'!$C$9:$BO$50,MATCH($B50,'Auxiliar Resultados'!$B$9:$B$50,0),MATCH(CONCATENATE($C50,Y$7),'Auxiliar Resultados'!$C$6:$BO$6,0)),""))=0,"",IF($B50="","",IFERROR(INDEX('Auxiliar Resultados'!$C$9:$BO$50,MATCH($B50,'Auxiliar Resultados'!$B$9:$B$50,0),MATCH(CONCATENATE($C50,Y$7),'Auxiliar Resultados'!$C$6:$BO$6,0)),"")))</f>
        <v/>
      </c>
      <c r="Z50" s="52" t="str">
        <f>+IF(IF($B50="","",IFERROR(INDEX('Auxiliar Resultados'!$C$9:$BO$50,MATCH($B50,'Auxiliar Resultados'!$B$9:$B$50,0),MATCH(CONCATENATE($C50,Z$7),'Auxiliar Resultados'!$C$6:$BO$6,0)),""))=0,"",IF($B50="","",IFERROR(INDEX('Auxiliar Resultados'!$C$9:$BO$50,MATCH($B50,'Auxiliar Resultados'!$B$9:$B$50,0),MATCH(CONCATENATE($C50,Z$7),'Auxiliar Resultados'!$C$6:$BO$6,0)),"")))</f>
        <v/>
      </c>
      <c r="AA50" s="52" t="str">
        <f>+IF(IF($B50="","",IFERROR(INDEX('Auxiliar Resultados'!$C$9:$BO$50,MATCH($B50,'Auxiliar Resultados'!$B$9:$B$50,0),MATCH(CONCATENATE($C50,AA$7),'Auxiliar Resultados'!$C$6:$BO$6,0)),""))=0,"",IF($B50="","",IFERROR(INDEX('Auxiliar Resultados'!$C$9:$BO$50,MATCH($B50,'Auxiliar Resultados'!$B$9:$B$50,0),MATCH(CONCATENATE($C50,AA$7),'Auxiliar Resultados'!$C$6:$BO$6,0)),"")))</f>
        <v/>
      </c>
      <c r="AB50" s="52" t="str">
        <f>+IF(IF($B50="","",IFERROR(INDEX('Auxiliar Resultados'!$C$9:$BO$50,MATCH($B50,'Auxiliar Resultados'!$B$9:$B$50,0),MATCH(CONCATENATE($C50,AB$7),'Auxiliar Resultados'!$C$6:$BO$6,0)),""))=0,"",IF($B50="","",IFERROR(INDEX('Auxiliar Resultados'!$C$9:$BO$50,MATCH($B50,'Auxiliar Resultados'!$B$9:$B$50,0),MATCH(CONCATENATE($C50,AB$7),'Auxiliar Resultados'!$C$6:$BO$6,0)),"")))</f>
        <v/>
      </c>
      <c r="AC50" s="52" t="str">
        <f>+IF(IF($B50="","",IFERROR(INDEX('Auxiliar Resultados'!$C$9:$BO$50,MATCH($B50,'Auxiliar Resultados'!$B$9:$B$50,0),MATCH(CONCATENATE($C50,AC$7),'Auxiliar Resultados'!$C$6:$BO$6,0)),""))=0,"",IF($B50="","",IFERROR(INDEX('Auxiliar Resultados'!$C$9:$BO$50,MATCH($B50,'Auxiliar Resultados'!$B$9:$B$50,0),MATCH(CONCATENATE($C50,AC$7),'Auxiliar Resultados'!$C$6:$BO$6,0)),"")))</f>
        <v/>
      </c>
      <c r="AD50" s="52" t="str">
        <f>+IF(IF($B50="","",IFERROR(INDEX('Auxiliar Resultados'!$C$9:$BO$50,MATCH($B50,'Auxiliar Resultados'!$B$9:$B$50,0),MATCH(CONCATENATE($C50,AD$7),'Auxiliar Resultados'!$C$6:$BO$6,0)),""))=0,"",IF($B50="","",IFERROR(INDEX('Auxiliar Resultados'!$C$9:$BO$50,MATCH($B50,'Auxiliar Resultados'!$B$9:$B$50,0),MATCH(CONCATENATE($C50,AD$7),'Auxiliar Resultados'!$C$6:$BO$6,0)),"")))</f>
        <v/>
      </c>
      <c r="AE50" s="52" t="str">
        <f>+IF(IF($B50="","",IFERROR(INDEX('Auxiliar Resultados'!$C$9:$BO$50,MATCH($B50,'Auxiliar Resultados'!$B$9:$B$50,0),MATCH(CONCATENATE($C50,AE$7),'Auxiliar Resultados'!$C$6:$BO$6,0)),""))=0,"",IF($B50="","",IFERROR(INDEX('Auxiliar Resultados'!$C$9:$BO$50,MATCH($B50,'Auxiliar Resultados'!$B$9:$B$50,0),MATCH(CONCATENATE($C50,AE$7),'Auxiliar Resultados'!$C$6:$BO$6,0)),"")))</f>
        <v/>
      </c>
      <c r="AF50" s="52" t="str">
        <f>+IF(IF($B50="","",IFERROR(INDEX('Auxiliar Resultados'!$C$9:$BO$50,MATCH($B50,'Auxiliar Resultados'!$B$9:$B$50,0),MATCH(CONCATENATE($C50,AF$7),'Auxiliar Resultados'!$C$6:$BO$6,0)),""))=0,"",IF($B50="","",IFERROR(INDEX('Auxiliar Resultados'!$C$9:$BO$50,MATCH($B50,'Auxiliar Resultados'!$B$9:$B$50,0),MATCH(CONCATENATE($C50,AF$7),'Auxiliar Resultados'!$C$6:$BO$6,0)),"")))</f>
        <v/>
      </c>
      <c r="AG50" s="52" t="str">
        <f>+IF(IF($B50="","",IFERROR(INDEX('Auxiliar Resultados'!$C$9:$BO$50,MATCH($B50,'Auxiliar Resultados'!$B$9:$B$50,0),MATCH(CONCATENATE($C50,AG$7),'Auxiliar Resultados'!$C$6:$BO$6,0)),""))=0,"",IF($B50="","",IFERROR(INDEX('Auxiliar Resultados'!$C$9:$BO$50,MATCH($B50,'Auxiliar Resultados'!$B$9:$B$50,0),MATCH(CONCATENATE($C50,AG$7),'Auxiliar Resultados'!$C$6:$BO$6,0)),"")))</f>
        <v/>
      </c>
      <c r="AH50" s="52" t="str">
        <f>+IF(IF($B50="","",IFERROR(INDEX('Auxiliar Resultados'!$C$9:$BO$50,MATCH($B50,'Auxiliar Resultados'!$B$9:$B$50,0),MATCH(CONCATENATE($C50,AH$7),'Auxiliar Resultados'!$C$6:$BO$6,0)),""))=0,"",IF($B50="","",IFERROR(INDEX('Auxiliar Resultados'!$C$9:$BO$50,MATCH($B50,'Auxiliar Resultados'!$B$9:$B$50,0),MATCH(CONCATENATE($C50,AH$7),'Auxiliar Resultados'!$C$6:$BO$6,0)),"")))</f>
        <v/>
      </c>
      <c r="AI50" s="52" t="str">
        <f>+IF(IF($B50="","",IFERROR(INDEX('Auxiliar Resultados'!$C$9:$BO$50,MATCH($B50,'Auxiliar Resultados'!$B$9:$B$50,0),MATCH(CONCATENATE($C50,AI$7),'Auxiliar Resultados'!$C$6:$BO$6,0)),""))=0,"",IF($B50="","",IFERROR(INDEX('Auxiliar Resultados'!$C$9:$BO$50,MATCH($B50,'Auxiliar Resultados'!$B$9:$B$50,0),MATCH(CONCATENATE($C50,AI$7),'Auxiliar Resultados'!$C$6:$BO$6,0)),"")))</f>
        <v/>
      </c>
      <c r="AJ50" s="52" t="str">
        <f>+IF(IF($B50="","",IFERROR(INDEX('Auxiliar Resultados'!$C$9:$BO$50,MATCH($B50,'Auxiliar Resultados'!$B$9:$B$50,0),MATCH(CONCATENATE($C50,AJ$7),'Auxiliar Resultados'!$C$6:$BO$6,0)),""))=0,"",IF($B50="","",IFERROR(INDEX('Auxiliar Resultados'!$C$9:$BO$50,MATCH($B50,'Auxiliar Resultados'!$B$9:$B$50,0),MATCH(CONCATENATE($C50,AJ$7),'Auxiliar Resultados'!$C$6:$BO$6,0)),"")))</f>
        <v/>
      </c>
      <c r="AK50" s="52" t="str">
        <f>+IF(IF($B50="","",IFERROR(INDEX('Auxiliar Resultados'!$C$9:$BO$50,MATCH($B50,'Auxiliar Resultados'!$B$9:$B$50,0),MATCH(CONCATENATE($C50,AK$7),'Auxiliar Resultados'!$C$6:$BO$6,0)),""))=0,"",IF($B50="","",IFERROR(INDEX('Auxiliar Resultados'!$C$9:$BO$50,MATCH($B50,'Auxiliar Resultados'!$B$9:$B$50,0),MATCH(CONCATENATE($C50,AK$7),'Auxiliar Resultados'!$C$6:$BO$6,0)),"")))</f>
        <v/>
      </c>
      <c r="AL50" s="52" t="str">
        <f>+IF(IF($B50="","",IFERROR(INDEX('Auxiliar Resultados'!$C$9:$BO$50,MATCH($B50,'Auxiliar Resultados'!$B$9:$B$50,0),MATCH(CONCATENATE($C50,AL$7),'Auxiliar Resultados'!$C$6:$BO$6,0)),""))=0,"",IF($B50="","",IFERROR(INDEX('Auxiliar Resultados'!$C$9:$BO$50,MATCH($B50,'Auxiliar Resultados'!$B$9:$B$50,0),MATCH(CONCATENATE($C50,AL$7),'Auxiliar Resultados'!$C$6:$BO$6,0)),"")))</f>
        <v/>
      </c>
      <c r="AM50" s="52" t="str">
        <f>+IF(IF($B50="","",IFERROR(INDEX('Auxiliar Resultados'!$C$9:$BO$50,MATCH($B50,'Auxiliar Resultados'!$B$9:$B$50,0),MATCH(CONCATENATE($C50,AM$7),'Auxiliar Resultados'!$C$6:$BO$6,0)),""))=0,"",IF($B50="","",IFERROR(INDEX('Auxiliar Resultados'!$C$9:$BO$50,MATCH($B50,'Auxiliar Resultados'!$B$9:$B$50,0),MATCH(CONCATENATE($C50,AM$7),'Auxiliar Resultados'!$C$6:$BO$6,0)),"")))</f>
        <v/>
      </c>
      <c r="AN50" s="52" t="str">
        <f>+IF(IF($B50="","",IFERROR(INDEX('Auxiliar Resultados'!$C$9:$BO$50,MATCH($B50,'Auxiliar Resultados'!$B$9:$B$50,0),MATCH(CONCATENATE($C50,AN$7),'Auxiliar Resultados'!$C$6:$BO$6,0)),""))=0,"",IF($B50="","",IFERROR(INDEX('Auxiliar Resultados'!$C$9:$BO$50,MATCH($B50,'Auxiliar Resultados'!$B$9:$B$50,0),MATCH(CONCATENATE($C50,AN$7),'Auxiliar Resultados'!$C$6:$BO$6,0)),"")))</f>
        <v/>
      </c>
      <c r="AO50" s="52" t="str">
        <f>+IF(IF($B50="","",IFERROR(INDEX('Auxiliar Resultados'!$C$9:$BO$50,MATCH($B50,'Auxiliar Resultados'!$B$9:$B$50,0),MATCH(CONCATENATE($C50,AO$7),'Auxiliar Resultados'!$C$6:$BO$6,0)),""))=0,"",IF($B50="","",IFERROR(INDEX('Auxiliar Resultados'!$C$9:$BO$50,MATCH($B50,'Auxiliar Resultados'!$B$9:$B$50,0),MATCH(CONCATENATE($C50,AO$7),'Auxiliar Resultados'!$C$6:$BO$6,0)),"")))</f>
        <v/>
      </c>
      <c r="AP50" s="52" t="str">
        <f>+IF(IF($B50="","",IFERROR(INDEX('Auxiliar Resultados'!$C$9:$BO$50,MATCH($B50,'Auxiliar Resultados'!$B$9:$B$50,0),MATCH(CONCATENATE($C50,AP$7),'Auxiliar Resultados'!$C$6:$BO$6,0)),""))=0,"",IF($B50="","",IFERROR(INDEX('Auxiliar Resultados'!$C$9:$BO$50,MATCH($B50,'Auxiliar Resultados'!$B$9:$B$50,0),MATCH(CONCATENATE($C50,AP$7),'Auxiliar Resultados'!$C$6:$BO$6,0)),"")))</f>
        <v/>
      </c>
      <c r="AQ50" s="276" t="str">
        <f>+IF(IF($B50="","",IFERROR(INDEX('Auxiliar Resultados'!$C$9:$BO$50,MATCH($B50,'Auxiliar Resultados'!$B$9:$B$50,0),MATCH(CONCATENATE($C50,AQ$7),'Auxiliar Resultados'!$C$6:$BO$6,0)),""))=0,"",IF($B50="","",IFERROR(INDEX('Auxiliar Resultados'!$C$9:$BO$50,MATCH($B50,'Auxiliar Resultados'!$B$9:$B$50,0),MATCH(CONCATENATE($C50,AQ$7),'Auxiliar Resultados'!$C$6:$BO$6,0)),"")))</f>
        <v/>
      </c>
      <c r="AS50" s="46" t="str">
        <f t="shared" si="5"/>
        <v/>
      </c>
      <c r="AT50" s="292" t="str">
        <f t="shared" si="6"/>
        <v/>
      </c>
      <c r="AU50" s="36" t="str">
        <f>+IF(G50="","",INDEX('Modelo Optimización'!$AZ$4:$CO$149,MATCH(CONCATENATE(AU$7,$AT50),'Modelo Optimización'!$CQ$4:$CQ$149,0),MATCH($AS50,'Modelo Optimización'!$AZ$3:$CO$3,0)))</f>
        <v/>
      </c>
      <c r="AV50" s="32" t="str">
        <f>+IF(H50="","",INDEX('Modelo Optimización'!$AZ$4:$CO$149,MATCH(CONCATENATE(AV$7,$AT50),'Modelo Optimización'!$CQ$4:$CQ$149,0),MATCH($AS50,'Modelo Optimización'!$AZ$3:$CO$3,0)))</f>
        <v/>
      </c>
      <c r="AW50" s="32" t="str">
        <f>+IF(I50="","",INDEX('Modelo Optimización'!$AZ$4:$CO$149,MATCH(CONCATENATE(AW$7,$AT50),'Modelo Optimización'!$CQ$4:$CQ$149,0),MATCH($AS50,'Modelo Optimización'!$AZ$3:$CO$3,0)))</f>
        <v/>
      </c>
      <c r="AX50" s="32" t="str">
        <f>+IF(J50="","",INDEX('Modelo Optimización'!$AZ$4:$CO$149,MATCH(CONCATENATE(AX$7,$AT50),'Modelo Optimización'!$CQ$4:$CQ$149,0),MATCH($AS50,'Modelo Optimización'!$AZ$3:$CO$3,0)))</f>
        <v/>
      </c>
      <c r="AY50" s="32" t="str">
        <f>+IF(K50="","",INDEX('Modelo Optimización'!$AZ$4:$CO$149,MATCH(CONCATENATE(AY$7,$AT50),'Modelo Optimización'!$CQ$4:$CQ$149,0),MATCH($AS50,'Modelo Optimización'!$AZ$3:$CO$3,0)))</f>
        <v/>
      </c>
      <c r="AZ50" s="32" t="str">
        <f>+IF(L50="","",INDEX('Modelo Optimización'!$AZ$4:$CO$149,MATCH(CONCATENATE(AZ$7,$AT50),'Modelo Optimización'!$CQ$4:$CQ$149,0),MATCH($AS50,'Modelo Optimización'!$AZ$3:$CO$3,0)))</f>
        <v/>
      </c>
      <c r="BA50" s="32" t="str">
        <f>+IF(M50="","",INDEX('Modelo Optimización'!$AZ$4:$CO$149,MATCH(CONCATENATE(BA$7,$AT50),'Modelo Optimización'!$CQ$4:$CQ$149,0),MATCH($AS50,'Modelo Optimización'!$AZ$3:$CO$3,0)))</f>
        <v/>
      </c>
      <c r="BB50" s="32" t="str">
        <f>+IF(N50="","",INDEX('Modelo Optimización'!$AZ$4:$CO$149,MATCH(CONCATENATE(BB$7,$AT50),'Modelo Optimización'!$CQ$4:$CQ$149,0),MATCH($AS50,'Modelo Optimización'!$AZ$3:$CO$3,0)))</f>
        <v/>
      </c>
      <c r="BC50" s="32" t="str">
        <f>+IF(O50="","",INDEX('Modelo Optimización'!$AZ$4:$CO$149,MATCH(CONCATENATE(BC$7,$AT50),'Modelo Optimización'!$CQ$4:$CQ$149,0),MATCH($AS50,'Modelo Optimización'!$AZ$3:$CO$3,0)))</f>
        <v/>
      </c>
      <c r="BD50" s="32" t="str">
        <f>+IF(P50="","",INDEX('Modelo Optimización'!$AZ$4:$CO$149,MATCH(CONCATENATE(BD$7,$AT50),'Modelo Optimización'!$CQ$4:$CQ$149,0),MATCH($AS50,'Modelo Optimización'!$AZ$3:$CO$3,0)))</f>
        <v/>
      </c>
      <c r="BE50" s="32" t="str">
        <f>+IF(Q50="","",INDEX('Modelo Optimización'!$AZ$4:$CO$149,MATCH(CONCATENATE(BE$7,$AT50),'Modelo Optimización'!$CQ$4:$CQ$149,0),MATCH($AS50,'Modelo Optimización'!$AZ$3:$CO$3,0)))</f>
        <v/>
      </c>
      <c r="BF50" s="32" t="str">
        <f>+IF(R50="","",INDEX('Modelo Optimización'!$AZ$4:$CO$149,MATCH(CONCATENATE(BF$7,$AT50),'Modelo Optimización'!$CQ$4:$CQ$149,0),MATCH($AS50,'Modelo Optimización'!$AZ$3:$CO$3,0)))</f>
        <v/>
      </c>
      <c r="BG50" s="32" t="str">
        <f>+IF(S50="","",INDEX('Modelo Optimización'!$AZ$4:$CO$149,MATCH(CONCATENATE(BG$7,$AT50),'Modelo Optimización'!$CQ$4:$CQ$149,0),MATCH($AS50,'Modelo Optimización'!$AZ$3:$CO$3,0)))</f>
        <v/>
      </c>
      <c r="BH50" s="32" t="str">
        <f>+IF(T50="","",INDEX('Modelo Optimización'!$AZ$4:$CO$149,MATCH(CONCATENATE(BH$7,$AT50),'Modelo Optimización'!$CQ$4:$CQ$149,0),MATCH($AS50,'Modelo Optimización'!$AZ$3:$CO$3,0)))</f>
        <v/>
      </c>
      <c r="BI50" s="32" t="str">
        <f>+IF(U50="","",INDEX('Modelo Optimización'!$AZ$4:$CO$149,MATCH(CONCATENATE(BI$7,$AT50),'Modelo Optimización'!$CQ$4:$CQ$149,0),MATCH($AS50,'Modelo Optimización'!$AZ$3:$CO$3,0)))</f>
        <v/>
      </c>
      <c r="BJ50" s="32" t="str">
        <f>+IF(V50="","",INDEX('Modelo Optimización'!$AZ$4:$CO$149,MATCH(CONCATENATE(BJ$7,$AT50),'Modelo Optimización'!$CQ$4:$CQ$149,0),MATCH($AS50,'Modelo Optimización'!$AZ$3:$CO$3,0)))</f>
        <v/>
      </c>
      <c r="BK50" s="32" t="str">
        <f>+IF(W50="","",INDEX('Modelo Optimización'!$AZ$4:$CO$149,MATCH(CONCATENATE(BK$7,$AT50),'Modelo Optimización'!$CQ$4:$CQ$149,0),MATCH($AS50,'Modelo Optimización'!$AZ$3:$CO$3,0)))</f>
        <v/>
      </c>
      <c r="BL50" s="32" t="str">
        <f>+IF(X50="","",INDEX('Modelo Optimización'!$AZ$4:$CO$149,MATCH(CONCATENATE(BL$7,$AT50),'Modelo Optimización'!$CQ$4:$CQ$149,0),MATCH($AS50,'Modelo Optimización'!$AZ$3:$CO$3,0)))</f>
        <v/>
      </c>
      <c r="BM50" s="32" t="str">
        <f>+IF(Y50="","",INDEX('Modelo Optimización'!$AZ$4:$CO$149,MATCH(CONCATENATE(BM$7,$AT50),'Modelo Optimización'!$CQ$4:$CQ$149,0),MATCH($AS50,'Modelo Optimización'!$AZ$3:$CO$3,0)))</f>
        <v/>
      </c>
      <c r="BN50" s="32" t="str">
        <f>+IF(Z50="","",INDEX('Modelo Optimización'!$AZ$4:$CO$149,MATCH(CONCATENATE(BN$7,$AT50),'Modelo Optimización'!$CQ$4:$CQ$149,0),MATCH($AS50,'Modelo Optimización'!$AZ$3:$CO$3,0)))</f>
        <v/>
      </c>
      <c r="BO50" s="32" t="str">
        <f>+IF(AA50="","",INDEX('Modelo Optimización'!$AZ$4:$CO$149,MATCH(CONCATENATE(BO$7,$AT50),'Modelo Optimización'!$CQ$4:$CQ$149,0),MATCH($AS50,'Modelo Optimización'!$AZ$3:$CO$3,0)))</f>
        <v/>
      </c>
      <c r="BP50" s="32" t="str">
        <f>+IF(AB50="","",INDEX('Modelo Optimización'!$AZ$4:$CO$149,MATCH(CONCATENATE(BP$7,$AT50),'Modelo Optimización'!$CQ$4:$CQ$149,0),MATCH($AS50,'Modelo Optimización'!$AZ$3:$CO$3,0)))</f>
        <v/>
      </c>
      <c r="BQ50" s="32" t="str">
        <f>+IF(AC50="","",INDEX('Modelo Optimización'!$AZ$4:$CO$149,MATCH(CONCATENATE(BQ$7,$AT50),'Modelo Optimización'!$CQ$4:$CQ$149,0),MATCH($AS50,'Modelo Optimización'!$AZ$3:$CO$3,0)))</f>
        <v/>
      </c>
      <c r="BR50" s="32" t="str">
        <f>+IF(AD50="","",INDEX('Modelo Optimización'!$AZ$4:$CO$149,MATCH(CONCATENATE(BR$7,$AT50),'Modelo Optimización'!$CQ$4:$CQ$149,0),MATCH($AS50,'Modelo Optimización'!$AZ$3:$CO$3,0)))</f>
        <v/>
      </c>
      <c r="BS50" s="32" t="str">
        <f>+IF(AE50="","",INDEX('Modelo Optimización'!$AZ$4:$CO$149,MATCH(CONCATENATE(BS$7,$AT50),'Modelo Optimización'!$CQ$4:$CQ$149,0),MATCH($AS50,'Modelo Optimización'!$AZ$3:$CO$3,0)))</f>
        <v/>
      </c>
      <c r="BT50" s="32" t="str">
        <f>+IF(AF50="","",INDEX('Modelo Optimización'!$AZ$4:$CO$149,MATCH(CONCATENATE(BT$7,$AT50),'Modelo Optimización'!$CQ$4:$CQ$149,0),MATCH($AS50,'Modelo Optimización'!$AZ$3:$CO$3,0)))</f>
        <v/>
      </c>
      <c r="BU50" s="32" t="str">
        <f>+IF(AG50="","",INDEX('Modelo Optimización'!$AZ$4:$CO$149,MATCH(CONCATENATE(BU$7,$AT50),'Modelo Optimización'!$CQ$4:$CQ$149,0),MATCH($AS50,'Modelo Optimización'!$AZ$3:$CO$3,0)))</f>
        <v/>
      </c>
      <c r="BV50" s="32" t="str">
        <f>+IF(AH50="","",INDEX('Modelo Optimización'!$AZ$4:$CO$149,MATCH(CONCATENATE(BV$7,$AT50),'Modelo Optimización'!$CQ$4:$CQ$149,0),MATCH($AS50,'Modelo Optimización'!$AZ$3:$CO$3,0)))</f>
        <v/>
      </c>
      <c r="BW50" s="32" t="str">
        <f>+IF(AI50="","",INDEX('Modelo Optimización'!$AZ$4:$CO$149,MATCH(CONCATENATE(BW$7,$AT50),'Modelo Optimización'!$CQ$4:$CQ$149,0),MATCH($AS50,'Modelo Optimización'!$AZ$3:$CO$3,0)))</f>
        <v/>
      </c>
      <c r="BX50" s="32" t="str">
        <f>+IF(AJ50="","",INDEX('Modelo Optimización'!$AZ$4:$CO$149,MATCH(CONCATENATE(BX$7,$AT50),'Modelo Optimización'!$CQ$4:$CQ$149,0),MATCH($AS50,'Modelo Optimización'!$AZ$3:$CO$3,0)))</f>
        <v/>
      </c>
      <c r="BY50" s="32" t="str">
        <f>+IF(AK50="","",INDEX('Modelo Optimización'!$AZ$4:$CO$149,MATCH(CONCATENATE(BY$7,$AT50),'Modelo Optimización'!$CQ$4:$CQ$149,0),MATCH($AS50,'Modelo Optimización'!$AZ$3:$CO$3,0)))</f>
        <v/>
      </c>
      <c r="BZ50" s="32" t="str">
        <f>+IF(AL50="","",INDEX('Modelo Optimización'!$AZ$4:$CO$149,MATCH(CONCATENATE(BZ$7,$AT50),'Modelo Optimización'!$CQ$4:$CQ$149,0),MATCH($AS50,'Modelo Optimización'!$AZ$3:$CO$3,0)))</f>
        <v/>
      </c>
      <c r="CA50" s="32" t="str">
        <f>+IF(AM50="","",INDEX('Modelo Optimización'!$AZ$4:$CO$149,MATCH(CONCATENATE(CA$7,$AT50),'Modelo Optimización'!$CQ$4:$CQ$149,0),MATCH($AS50,'Modelo Optimización'!$AZ$3:$CO$3,0)))</f>
        <v/>
      </c>
      <c r="CB50" s="32" t="str">
        <f>+IF(AN50="","",INDEX('Modelo Optimización'!$AZ$4:$CO$149,MATCH(CONCATENATE(CB$7,$AT50),'Modelo Optimización'!$CQ$4:$CQ$149,0),MATCH($AS50,'Modelo Optimización'!$AZ$3:$CO$3,0)))</f>
        <v/>
      </c>
      <c r="CC50" s="32" t="str">
        <f>+IF(AO50="","",INDEX('Modelo Optimización'!$AZ$4:$CO$149,MATCH(CONCATENATE(CC$7,$AT50),'Modelo Optimización'!$CQ$4:$CQ$149,0),MATCH($AS50,'Modelo Optimización'!$AZ$3:$CO$3,0)))</f>
        <v/>
      </c>
      <c r="CD50" s="32" t="str">
        <f>+IF(AP50="","",INDEX('Modelo Optimización'!$AZ$4:$CO$149,MATCH(CONCATENATE(CD$7,$AT50),'Modelo Optimización'!$CQ$4:$CQ$149,0),MATCH($AS50,'Modelo Optimización'!$AZ$3:$CO$3,0)))</f>
        <v/>
      </c>
      <c r="CE50" s="37" t="str">
        <f>+IF(AQ50="","",INDEX('Modelo Optimización'!$AZ$4:$CO$149,MATCH(CONCATENATE(CE$7,$AT50),'Modelo Optimización'!$CQ$4:$CQ$149,0),MATCH($AS50,'Modelo Optimización'!$AZ$3:$CO$3,0)))</f>
        <v/>
      </c>
      <c r="CF50" s="301"/>
      <c r="CG50" s="305" t="str">
        <f t="shared" si="11"/>
        <v/>
      </c>
      <c r="CH50" s="303" t="str">
        <f t="shared" si="7"/>
        <v/>
      </c>
      <c r="CI50" s="292" t="str">
        <f t="shared" si="8"/>
        <v/>
      </c>
      <c r="CJ50" s="36" t="str">
        <f t="shared" si="12"/>
        <v/>
      </c>
      <c r="CK50" s="32" t="str">
        <f t="shared" si="13"/>
        <v/>
      </c>
      <c r="CL50" s="32" t="str">
        <f t="shared" si="14"/>
        <v/>
      </c>
      <c r="CM50" s="32" t="str">
        <f t="shared" si="15"/>
        <v/>
      </c>
      <c r="CN50" s="32" t="str">
        <f t="shared" si="16"/>
        <v/>
      </c>
      <c r="CO50" s="32" t="str">
        <f t="shared" si="17"/>
        <v/>
      </c>
      <c r="CP50" s="32" t="str">
        <f t="shared" si="18"/>
        <v/>
      </c>
      <c r="CQ50" s="32" t="str">
        <f t="shared" si="19"/>
        <v/>
      </c>
      <c r="CR50" s="32" t="str">
        <f t="shared" si="20"/>
        <v/>
      </c>
      <c r="CS50" s="32" t="str">
        <f t="shared" si="21"/>
        <v/>
      </c>
      <c r="CT50" s="32" t="str">
        <f t="shared" si="22"/>
        <v/>
      </c>
      <c r="CU50" s="32" t="str">
        <f t="shared" si="23"/>
        <v/>
      </c>
      <c r="CV50" s="32" t="str">
        <f t="shared" si="24"/>
        <v/>
      </c>
      <c r="CW50" s="32" t="str">
        <f t="shared" si="25"/>
        <v/>
      </c>
      <c r="CX50" s="32" t="str">
        <f t="shared" si="26"/>
        <v/>
      </c>
      <c r="CY50" s="32" t="str">
        <f t="shared" si="27"/>
        <v/>
      </c>
      <c r="CZ50" s="32" t="str">
        <f t="shared" si="28"/>
        <v/>
      </c>
      <c r="DA50" s="32" t="str">
        <f t="shared" si="29"/>
        <v/>
      </c>
      <c r="DB50" s="32" t="str">
        <f t="shared" si="30"/>
        <v/>
      </c>
      <c r="DC50" s="32" t="str">
        <f t="shared" si="31"/>
        <v/>
      </c>
      <c r="DD50" s="32" t="str">
        <f t="shared" si="32"/>
        <v/>
      </c>
      <c r="DE50" s="32" t="str">
        <f t="shared" si="33"/>
        <v/>
      </c>
      <c r="DF50" s="32" t="str">
        <f t="shared" si="34"/>
        <v/>
      </c>
      <c r="DG50" s="32" t="str">
        <f t="shared" si="35"/>
        <v/>
      </c>
      <c r="DH50" s="32" t="str">
        <f t="shared" si="36"/>
        <v/>
      </c>
      <c r="DI50" s="32" t="str">
        <f t="shared" si="37"/>
        <v/>
      </c>
      <c r="DJ50" s="32" t="str">
        <f t="shared" si="38"/>
        <v/>
      </c>
      <c r="DK50" s="32" t="str">
        <f t="shared" si="39"/>
        <v/>
      </c>
      <c r="DL50" s="32" t="str">
        <f t="shared" si="40"/>
        <v/>
      </c>
      <c r="DM50" s="32" t="str">
        <f t="shared" si="41"/>
        <v/>
      </c>
      <c r="DN50" s="32" t="str">
        <f t="shared" si="42"/>
        <v/>
      </c>
      <c r="DO50" s="32" t="str">
        <f t="shared" si="43"/>
        <v/>
      </c>
      <c r="DP50" s="32" t="str">
        <f t="shared" si="44"/>
        <v/>
      </c>
      <c r="DQ50" s="32" t="str">
        <f t="shared" si="45"/>
        <v/>
      </c>
      <c r="DR50" s="32" t="str">
        <f t="shared" si="46"/>
        <v/>
      </c>
      <c r="DS50" s="32" t="str">
        <f t="shared" si="47"/>
        <v/>
      </c>
      <c r="DT50" s="37" t="str">
        <f t="shared" si="48"/>
        <v/>
      </c>
    </row>
    <row r="51" spans="2:124" x14ac:dyDescent="0.35">
      <c r="B51" s="46"/>
      <c r="C51" s="212"/>
      <c r="D51" s="52"/>
      <c r="E51" s="52" t="str">
        <f>+IF(B51="","",IFERROR(SUMIF('Modelo Optimización'!$AS$72:$AS$217,C51,INDEX('Modelo Optimización'!$C$72:$AR$217,,MATCH(B51,'Modelo Optimización'!$C$71:$AR$71,0))),0))</f>
        <v/>
      </c>
      <c r="F51" s="281" t="str">
        <f t="shared" si="10"/>
        <v/>
      </c>
      <c r="G51" s="280" t="str">
        <f>+IF(IF($B51="","",IFERROR(INDEX('Auxiliar Resultados'!$C$9:$BO$50,MATCH($B51,'Auxiliar Resultados'!$B$9:$B$50,0),MATCH(CONCATENATE($C51,G$7),'Auxiliar Resultados'!$C$6:$BO$6,0)),""))=0,"",IF($B51="","",IFERROR(INDEX('Auxiliar Resultados'!$C$9:$BO$50,MATCH($B51,'Auxiliar Resultados'!$B$9:$B$50,0),MATCH(CONCATENATE($C51,G$7),'Auxiliar Resultados'!$C$6:$BO$6,0)),"")))</f>
        <v/>
      </c>
      <c r="H51" s="52" t="str">
        <f>+IF(IF($B51="","",IFERROR(INDEX('Auxiliar Resultados'!$C$9:$BO$50,MATCH($B51,'Auxiliar Resultados'!$B$9:$B$50,0),MATCH(CONCATENATE($C51,H$7),'Auxiliar Resultados'!$C$6:$BO$6,0)),""))=0,"",IF($B51="","",IFERROR(INDEX('Auxiliar Resultados'!$C$9:$BO$50,MATCH($B51,'Auxiliar Resultados'!$B$9:$B$50,0),MATCH(CONCATENATE($C51,H$7),'Auxiliar Resultados'!$C$6:$BO$6,0)),"")))</f>
        <v/>
      </c>
      <c r="I51" s="52" t="str">
        <f>+IF(IF($B51="","",IFERROR(INDEX('Auxiliar Resultados'!$C$9:$BO$50,MATCH($B51,'Auxiliar Resultados'!$B$9:$B$50,0),MATCH(CONCATENATE($C51,I$7),'Auxiliar Resultados'!$C$6:$BO$6,0)),""))=0,"",IF($B51="","",IFERROR(INDEX('Auxiliar Resultados'!$C$9:$BO$50,MATCH($B51,'Auxiliar Resultados'!$B$9:$B$50,0),MATCH(CONCATENATE($C51,I$7),'Auxiliar Resultados'!$C$6:$BO$6,0)),"")))</f>
        <v/>
      </c>
      <c r="J51" s="52" t="str">
        <f>+IF(IF($B51="","",IFERROR(INDEX('Auxiliar Resultados'!$C$9:$BO$50,MATCH($B51,'Auxiliar Resultados'!$B$9:$B$50,0),MATCH(CONCATENATE($C51,J$7),'Auxiliar Resultados'!$C$6:$BO$6,0)),""))=0,"",IF($B51="","",IFERROR(INDEX('Auxiliar Resultados'!$C$9:$BO$50,MATCH($B51,'Auxiliar Resultados'!$B$9:$B$50,0),MATCH(CONCATENATE($C51,J$7),'Auxiliar Resultados'!$C$6:$BO$6,0)),"")))</f>
        <v/>
      </c>
      <c r="K51" s="52" t="str">
        <f>+IF(IF($B51="","",IFERROR(INDEX('Auxiliar Resultados'!$C$9:$BO$50,MATCH($B51,'Auxiliar Resultados'!$B$9:$B$50,0),MATCH(CONCATENATE($C51,K$7),'Auxiliar Resultados'!$C$6:$BO$6,0)),""))=0,"",IF($B51="","",IFERROR(INDEX('Auxiliar Resultados'!$C$9:$BO$50,MATCH($B51,'Auxiliar Resultados'!$B$9:$B$50,0),MATCH(CONCATENATE($C51,K$7),'Auxiliar Resultados'!$C$6:$BO$6,0)),"")))</f>
        <v/>
      </c>
      <c r="L51" s="52" t="str">
        <f>+IF(IF($B51="","",IFERROR(INDEX('Auxiliar Resultados'!$C$9:$BO$50,MATCH($B51,'Auxiliar Resultados'!$B$9:$B$50,0),MATCH(CONCATENATE($C51,L$7),'Auxiliar Resultados'!$C$6:$BO$6,0)),""))=0,"",IF($B51="","",IFERROR(INDEX('Auxiliar Resultados'!$C$9:$BO$50,MATCH($B51,'Auxiliar Resultados'!$B$9:$B$50,0),MATCH(CONCATENATE($C51,L$7),'Auxiliar Resultados'!$C$6:$BO$6,0)),"")))</f>
        <v/>
      </c>
      <c r="M51" s="52" t="str">
        <f>+IF(IF($B51="","",IFERROR(INDEX('Auxiliar Resultados'!$C$9:$BO$50,MATCH($B51,'Auxiliar Resultados'!$B$9:$B$50,0),MATCH(CONCATENATE($C51,M$7),'Auxiliar Resultados'!$C$6:$BO$6,0)),""))=0,"",IF($B51="","",IFERROR(INDEX('Auxiliar Resultados'!$C$9:$BO$50,MATCH($B51,'Auxiliar Resultados'!$B$9:$B$50,0),MATCH(CONCATENATE($C51,M$7),'Auxiliar Resultados'!$C$6:$BO$6,0)),"")))</f>
        <v/>
      </c>
      <c r="N51" s="52" t="str">
        <f>+IF(IF($B51="","",IFERROR(INDEX('Auxiliar Resultados'!$C$9:$BO$50,MATCH($B51,'Auxiliar Resultados'!$B$9:$B$50,0),MATCH(CONCATENATE($C51,N$7),'Auxiliar Resultados'!$C$6:$BO$6,0)),""))=0,"",IF($B51="","",IFERROR(INDEX('Auxiliar Resultados'!$C$9:$BO$50,MATCH($B51,'Auxiliar Resultados'!$B$9:$B$50,0),MATCH(CONCATENATE($C51,N$7),'Auxiliar Resultados'!$C$6:$BO$6,0)),"")))</f>
        <v/>
      </c>
      <c r="O51" s="52" t="str">
        <f>+IF(IF($B51="","",IFERROR(INDEX('Auxiliar Resultados'!$C$9:$BO$50,MATCH($B51,'Auxiliar Resultados'!$B$9:$B$50,0),MATCH(CONCATENATE($C51,O$7),'Auxiliar Resultados'!$C$6:$BO$6,0)),""))=0,"",IF($B51="","",IFERROR(INDEX('Auxiliar Resultados'!$C$9:$BO$50,MATCH($B51,'Auxiliar Resultados'!$B$9:$B$50,0),MATCH(CONCATENATE($C51,O$7),'Auxiliar Resultados'!$C$6:$BO$6,0)),"")))</f>
        <v/>
      </c>
      <c r="P51" s="52" t="str">
        <f>+IF(IF($B51="","",IFERROR(INDEX('Auxiliar Resultados'!$C$9:$BO$50,MATCH($B51,'Auxiliar Resultados'!$B$9:$B$50,0),MATCH(CONCATENATE($C51,P$7),'Auxiliar Resultados'!$C$6:$BO$6,0)),""))=0,"",IF($B51="","",IFERROR(INDEX('Auxiliar Resultados'!$C$9:$BO$50,MATCH($B51,'Auxiliar Resultados'!$B$9:$B$50,0),MATCH(CONCATENATE($C51,P$7),'Auxiliar Resultados'!$C$6:$BO$6,0)),"")))</f>
        <v/>
      </c>
      <c r="Q51" s="52" t="str">
        <f>+IF(IF($B51="","",IFERROR(INDEX('Auxiliar Resultados'!$C$9:$BO$50,MATCH($B51,'Auxiliar Resultados'!$B$9:$B$50,0),MATCH(CONCATENATE($C51,Q$7),'Auxiliar Resultados'!$C$6:$BO$6,0)),""))=0,"",IF($B51="","",IFERROR(INDEX('Auxiliar Resultados'!$C$9:$BO$50,MATCH($B51,'Auxiliar Resultados'!$B$9:$B$50,0),MATCH(CONCATENATE($C51,Q$7),'Auxiliar Resultados'!$C$6:$BO$6,0)),"")))</f>
        <v/>
      </c>
      <c r="R51" s="52" t="str">
        <f>+IF(IF($B51="","",IFERROR(INDEX('Auxiliar Resultados'!$C$9:$BO$50,MATCH($B51,'Auxiliar Resultados'!$B$9:$B$50,0),MATCH(CONCATENATE($C51,R$7),'Auxiliar Resultados'!$C$6:$BO$6,0)),""))=0,"",IF($B51="","",IFERROR(INDEX('Auxiliar Resultados'!$C$9:$BO$50,MATCH($B51,'Auxiliar Resultados'!$B$9:$B$50,0),MATCH(CONCATENATE($C51,R$7),'Auxiliar Resultados'!$C$6:$BO$6,0)),"")))</f>
        <v/>
      </c>
      <c r="S51" s="52" t="str">
        <f>+IF(IF($B51="","",IFERROR(INDEX('Auxiliar Resultados'!$C$9:$BO$50,MATCH($B51,'Auxiliar Resultados'!$B$9:$B$50,0),MATCH(CONCATENATE($C51,S$7),'Auxiliar Resultados'!$C$6:$BO$6,0)),""))=0,"",IF($B51="","",IFERROR(INDEX('Auxiliar Resultados'!$C$9:$BO$50,MATCH($B51,'Auxiliar Resultados'!$B$9:$B$50,0),MATCH(CONCATENATE($C51,S$7),'Auxiliar Resultados'!$C$6:$BO$6,0)),"")))</f>
        <v/>
      </c>
      <c r="T51" s="52" t="str">
        <f>+IF(IF($B51="","",IFERROR(INDEX('Auxiliar Resultados'!$C$9:$BO$50,MATCH($B51,'Auxiliar Resultados'!$B$9:$B$50,0),MATCH(CONCATENATE($C51,T$7),'Auxiliar Resultados'!$C$6:$BO$6,0)),""))=0,"",IF($B51="","",IFERROR(INDEX('Auxiliar Resultados'!$C$9:$BO$50,MATCH($B51,'Auxiliar Resultados'!$B$9:$B$50,0),MATCH(CONCATENATE($C51,T$7),'Auxiliar Resultados'!$C$6:$BO$6,0)),"")))</f>
        <v/>
      </c>
      <c r="U51" s="52" t="str">
        <f>+IF(IF($B51="","",IFERROR(INDEX('Auxiliar Resultados'!$C$9:$BO$50,MATCH($B51,'Auxiliar Resultados'!$B$9:$B$50,0),MATCH(CONCATENATE($C51,U$7),'Auxiliar Resultados'!$C$6:$BO$6,0)),""))=0,"",IF($B51="","",IFERROR(INDEX('Auxiliar Resultados'!$C$9:$BO$50,MATCH($B51,'Auxiliar Resultados'!$B$9:$B$50,0),MATCH(CONCATENATE($C51,U$7),'Auxiliar Resultados'!$C$6:$BO$6,0)),"")))</f>
        <v/>
      </c>
      <c r="V51" s="52" t="str">
        <f>+IF(IF($B51="","",IFERROR(INDEX('Auxiliar Resultados'!$C$9:$BO$50,MATCH($B51,'Auxiliar Resultados'!$B$9:$B$50,0),MATCH(CONCATENATE($C51,V$7),'Auxiliar Resultados'!$C$6:$BO$6,0)),""))=0,"",IF($B51="","",IFERROR(INDEX('Auxiliar Resultados'!$C$9:$BO$50,MATCH($B51,'Auxiliar Resultados'!$B$9:$B$50,0),MATCH(CONCATENATE($C51,V$7),'Auxiliar Resultados'!$C$6:$BO$6,0)),"")))</f>
        <v/>
      </c>
      <c r="W51" s="52" t="str">
        <f>+IF(IF($B51="","",IFERROR(INDEX('Auxiliar Resultados'!$C$9:$BO$50,MATCH($B51,'Auxiliar Resultados'!$B$9:$B$50,0),MATCH(CONCATENATE($C51,W$7),'Auxiliar Resultados'!$C$6:$BO$6,0)),""))=0,"",IF($B51="","",IFERROR(INDEX('Auxiliar Resultados'!$C$9:$BO$50,MATCH($B51,'Auxiliar Resultados'!$B$9:$B$50,0),MATCH(CONCATENATE($C51,W$7),'Auxiliar Resultados'!$C$6:$BO$6,0)),"")))</f>
        <v/>
      </c>
      <c r="X51" s="52" t="str">
        <f>+IF(IF($B51="","",IFERROR(INDEX('Auxiliar Resultados'!$C$9:$BO$50,MATCH($B51,'Auxiliar Resultados'!$B$9:$B$50,0),MATCH(CONCATENATE($C51,X$7),'Auxiliar Resultados'!$C$6:$BO$6,0)),""))=0,"",IF($B51="","",IFERROR(INDEX('Auxiliar Resultados'!$C$9:$BO$50,MATCH($B51,'Auxiliar Resultados'!$B$9:$B$50,0),MATCH(CONCATENATE($C51,X$7),'Auxiliar Resultados'!$C$6:$BO$6,0)),"")))</f>
        <v/>
      </c>
      <c r="Y51" s="52" t="str">
        <f>+IF(IF($B51="","",IFERROR(INDEX('Auxiliar Resultados'!$C$9:$BO$50,MATCH($B51,'Auxiliar Resultados'!$B$9:$B$50,0),MATCH(CONCATENATE($C51,Y$7),'Auxiliar Resultados'!$C$6:$BO$6,0)),""))=0,"",IF($B51="","",IFERROR(INDEX('Auxiliar Resultados'!$C$9:$BO$50,MATCH($B51,'Auxiliar Resultados'!$B$9:$B$50,0),MATCH(CONCATENATE($C51,Y$7),'Auxiliar Resultados'!$C$6:$BO$6,0)),"")))</f>
        <v/>
      </c>
      <c r="Z51" s="52" t="str">
        <f>+IF(IF($B51="","",IFERROR(INDEX('Auxiliar Resultados'!$C$9:$BO$50,MATCH($B51,'Auxiliar Resultados'!$B$9:$B$50,0),MATCH(CONCATENATE($C51,Z$7),'Auxiliar Resultados'!$C$6:$BO$6,0)),""))=0,"",IF($B51="","",IFERROR(INDEX('Auxiliar Resultados'!$C$9:$BO$50,MATCH($B51,'Auxiliar Resultados'!$B$9:$B$50,0),MATCH(CONCATENATE($C51,Z$7),'Auxiliar Resultados'!$C$6:$BO$6,0)),"")))</f>
        <v/>
      </c>
      <c r="AA51" s="52" t="str">
        <f>+IF(IF($B51="","",IFERROR(INDEX('Auxiliar Resultados'!$C$9:$BO$50,MATCH($B51,'Auxiliar Resultados'!$B$9:$B$50,0),MATCH(CONCATENATE($C51,AA$7),'Auxiliar Resultados'!$C$6:$BO$6,0)),""))=0,"",IF($B51="","",IFERROR(INDEX('Auxiliar Resultados'!$C$9:$BO$50,MATCH($B51,'Auxiliar Resultados'!$B$9:$B$50,0),MATCH(CONCATENATE($C51,AA$7),'Auxiliar Resultados'!$C$6:$BO$6,0)),"")))</f>
        <v/>
      </c>
      <c r="AB51" s="52" t="str">
        <f>+IF(IF($B51="","",IFERROR(INDEX('Auxiliar Resultados'!$C$9:$BO$50,MATCH($B51,'Auxiliar Resultados'!$B$9:$B$50,0),MATCH(CONCATENATE($C51,AB$7),'Auxiliar Resultados'!$C$6:$BO$6,0)),""))=0,"",IF($B51="","",IFERROR(INDEX('Auxiliar Resultados'!$C$9:$BO$50,MATCH($B51,'Auxiliar Resultados'!$B$9:$B$50,0),MATCH(CONCATENATE($C51,AB$7),'Auxiliar Resultados'!$C$6:$BO$6,0)),"")))</f>
        <v/>
      </c>
      <c r="AC51" s="52" t="str">
        <f>+IF(IF($B51="","",IFERROR(INDEX('Auxiliar Resultados'!$C$9:$BO$50,MATCH($B51,'Auxiliar Resultados'!$B$9:$B$50,0),MATCH(CONCATENATE($C51,AC$7),'Auxiliar Resultados'!$C$6:$BO$6,0)),""))=0,"",IF($B51="","",IFERROR(INDEX('Auxiliar Resultados'!$C$9:$BO$50,MATCH($B51,'Auxiliar Resultados'!$B$9:$B$50,0),MATCH(CONCATENATE($C51,AC$7),'Auxiliar Resultados'!$C$6:$BO$6,0)),"")))</f>
        <v/>
      </c>
      <c r="AD51" s="52" t="str">
        <f>+IF(IF($B51="","",IFERROR(INDEX('Auxiliar Resultados'!$C$9:$BO$50,MATCH($B51,'Auxiliar Resultados'!$B$9:$B$50,0),MATCH(CONCATENATE($C51,AD$7),'Auxiliar Resultados'!$C$6:$BO$6,0)),""))=0,"",IF($B51="","",IFERROR(INDEX('Auxiliar Resultados'!$C$9:$BO$50,MATCH($B51,'Auxiliar Resultados'!$B$9:$B$50,0),MATCH(CONCATENATE($C51,AD$7),'Auxiliar Resultados'!$C$6:$BO$6,0)),"")))</f>
        <v/>
      </c>
      <c r="AE51" s="52" t="str">
        <f>+IF(IF($B51="","",IFERROR(INDEX('Auxiliar Resultados'!$C$9:$BO$50,MATCH($B51,'Auxiliar Resultados'!$B$9:$B$50,0),MATCH(CONCATENATE($C51,AE$7),'Auxiliar Resultados'!$C$6:$BO$6,0)),""))=0,"",IF($B51="","",IFERROR(INDEX('Auxiliar Resultados'!$C$9:$BO$50,MATCH($B51,'Auxiliar Resultados'!$B$9:$B$50,0),MATCH(CONCATENATE($C51,AE$7),'Auxiliar Resultados'!$C$6:$BO$6,0)),"")))</f>
        <v/>
      </c>
      <c r="AF51" s="52" t="str">
        <f>+IF(IF($B51="","",IFERROR(INDEX('Auxiliar Resultados'!$C$9:$BO$50,MATCH($B51,'Auxiliar Resultados'!$B$9:$B$50,0),MATCH(CONCATENATE($C51,AF$7),'Auxiliar Resultados'!$C$6:$BO$6,0)),""))=0,"",IF($B51="","",IFERROR(INDEX('Auxiliar Resultados'!$C$9:$BO$50,MATCH($B51,'Auxiliar Resultados'!$B$9:$B$50,0),MATCH(CONCATENATE($C51,AF$7),'Auxiliar Resultados'!$C$6:$BO$6,0)),"")))</f>
        <v/>
      </c>
      <c r="AG51" s="52" t="str">
        <f>+IF(IF($B51="","",IFERROR(INDEX('Auxiliar Resultados'!$C$9:$BO$50,MATCH($B51,'Auxiliar Resultados'!$B$9:$B$50,0),MATCH(CONCATENATE($C51,AG$7),'Auxiliar Resultados'!$C$6:$BO$6,0)),""))=0,"",IF($B51="","",IFERROR(INDEX('Auxiliar Resultados'!$C$9:$BO$50,MATCH($B51,'Auxiliar Resultados'!$B$9:$B$50,0),MATCH(CONCATENATE($C51,AG$7),'Auxiliar Resultados'!$C$6:$BO$6,0)),"")))</f>
        <v/>
      </c>
      <c r="AH51" s="52" t="str">
        <f>+IF(IF($B51="","",IFERROR(INDEX('Auxiliar Resultados'!$C$9:$BO$50,MATCH($B51,'Auxiliar Resultados'!$B$9:$B$50,0),MATCH(CONCATENATE($C51,AH$7),'Auxiliar Resultados'!$C$6:$BO$6,0)),""))=0,"",IF($B51="","",IFERROR(INDEX('Auxiliar Resultados'!$C$9:$BO$50,MATCH($B51,'Auxiliar Resultados'!$B$9:$B$50,0),MATCH(CONCATENATE($C51,AH$7),'Auxiliar Resultados'!$C$6:$BO$6,0)),"")))</f>
        <v/>
      </c>
      <c r="AI51" s="52" t="str">
        <f>+IF(IF($B51="","",IFERROR(INDEX('Auxiliar Resultados'!$C$9:$BO$50,MATCH($B51,'Auxiliar Resultados'!$B$9:$B$50,0),MATCH(CONCATENATE($C51,AI$7),'Auxiliar Resultados'!$C$6:$BO$6,0)),""))=0,"",IF($B51="","",IFERROR(INDEX('Auxiliar Resultados'!$C$9:$BO$50,MATCH($B51,'Auxiliar Resultados'!$B$9:$B$50,0),MATCH(CONCATENATE($C51,AI$7),'Auxiliar Resultados'!$C$6:$BO$6,0)),"")))</f>
        <v/>
      </c>
      <c r="AJ51" s="52" t="str">
        <f>+IF(IF($B51="","",IFERROR(INDEX('Auxiliar Resultados'!$C$9:$BO$50,MATCH($B51,'Auxiliar Resultados'!$B$9:$B$50,0),MATCH(CONCATENATE($C51,AJ$7),'Auxiliar Resultados'!$C$6:$BO$6,0)),""))=0,"",IF($B51="","",IFERROR(INDEX('Auxiliar Resultados'!$C$9:$BO$50,MATCH($B51,'Auxiliar Resultados'!$B$9:$B$50,0),MATCH(CONCATENATE($C51,AJ$7),'Auxiliar Resultados'!$C$6:$BO$6,0)),"")))</f>
        <v/>
      </c>
      <c r="AK51" s="52" t="str">
        <f>+IF(IF($B51="","",IFERROR(INDEX('Auxiliar Resultados'!$C$9:$BO$50,MATCH($B51,'Auxiliar Resultados'!$B$9:$B$50,0),MATCH(CONCATENATE($C51,AK$7),'Auxiliar Resultados'!$C$6:$BO$6,0)),""))=0,"",IF($B51="","",IFERROR(INDEX('Auxiliar Resultados'!$C$9:$BO$50,MATCH($B51,'Auxiliar Resultados'!$B$9:$B$50,0),MATCH(CONCATENATE($C51,AK$7),'Auxiliar Resultados'!$C$6:$BO$6,0)),"")))</f>
        <v/>
      </c>
      <c r="AL51" s="52" t="str">
        <f>+IF(IF($B51="","",IFERROR(INDEX('Auxiliar Resultados'!$C$9:$BO$50,MATCH($B51,'Auxiliar Resultados'!$B$9:$B$50,0),MATCH(CONCATENATE($C51,AL$7),'Auxiliar Resultados'!$C$6:$BO$6,0)),""))=0,"",IF($B51="","",IFERROR(INDEX('Auxiliar Resultados'!$C$9:$BO$50,MATCH($B51,'Auxiliar Resultados'!$B$9:$B$50,0),MATCH(CONCATENATE($C51,AL$7),'Auxiliar Resultados'!$C$6:$BO$6,0)),"")))</f>
        <v/>
      </c>
      <c r="AM51" s="52" t="str">
        <f>+IF(IF($B51="","",IFERROR(INDEX('Auxiliar Resultados'!$C$9:$BO$50,MATCH($B51,'Auxiliar Resultados'!$B$9:$B$50,0),MATCH(CONCATENATE($C51,AM$7),'Auxiliar Resultados'!$C$6:$BO$6,0)),""))=0,"",IF($B51="","",IFERROR(INDEX('Auxiliar Resultados'!$C$9:$BO$50,MATCH($B51,'Auxiliar Resultados'!$B$9:$B$50,0),MATCH(CONCATENATE($C51,AM$7),'Auxiliar Resultados'!$C$6:$BO$6,0)),"")))</f>
        <v/>
      </c>
      <c r="AN51" s="52" t="str">
        <f>+IF(IF($B51="","",IFERROR(INDEX('Auxiliar Resultados'!$C$9:$BO$50,MATCH($B51,'Auxiliar Resultados'!$B$9:$B$50,0),MATCH(CONCATENATE($C51,AN$7),'Auxiliar Resultados'!$C$6:$BO$6,0)),""))=0,"",IF($B51="","",IFERROR(INDEX('Auxiliar Resultados'!$C$9:$BO$50,MATCH($B51,'Auxiliar Resultados'!$B$9:$B$50,0),MATCH(CONCATENATE($C51,AN$7),'Auxiliar Resultados'!$C$6:$BO$6,0)),"")))</f>
        <v/>
      </c>
      <c r="AO51" s="52" t="str">
        <f>+IF(IF($B51="","",IFERROR(INDEX('Auxiliar Resultados'!$C$9:$BO$50,MATCH($B51,'Auxiliar Resultados'!$B$9:$B$50,0),MATCH(CONCATENATE($C51,AO$7),'Auxiliar Resultados'!$C$6:$BO$6,0)),""))=0,"",IF($B51="","",IFERROR(INDEX('Auxiliar Resultados'!$C$9:$BO$50,MATCH($B51,'Auxiliar Resultados'!$B$9:$B$50,0),MATCH(CONCATENATE($C51,AO$7),'Auxiliar Resultados'!$C$6:$BO$6,0)),"")))</f>
        <v/>
      </c>
      <c r="AP51" s="52" t="str">
        <f>+IF(IF($B51="","",IFERROR(INDEX('Auxiliar Resultados'!$C$9:$BO$50,MATCH($B51,'Auxiliar Resultados'!$B$9:$B$50,0),MATCH(CONCATENATE($C51,AP$7),'Auxiliar Resultados'!$C$6:$BO$6,0)),""))=0,"",IF($B51="","",IFERROR(INDEX('Auxiliar Resultados'!$C$9:$BO$50,MATCH($B51,'Auxiliar Resultados'!$B$9:$B$50,0),MATCH(CONCATENATE($C51,AP$7),'Auxiliar Resultados'!$C$6:$BO$6,0)),"")))</f>
        <v/>
      </c>
      <c r="AQ51" s="276" t="str">
        <f>+IF(IF($B51="","",IFERROR(INDEX('Auxiliar Resultados'!$C$9:$BO$50,MATCH($B51,'Auxiliar Resultados'!$B$9:$B$50,0),MATCH(CONCATENATE($C51,AQ$7),'Auxiliar Resultados'!$C$6:$BO$6,0)),""))=0,"",IF($B51="","",IFERROR(INDEX('Auxiliar Resultados'!$C$9:$BO$50,MATCH($B51,'Auxiliar Resultados'!$B$9:$B$50,0),MATCH(CONCATENATE($C51,AQ$7),'Auxiliar Resultados'!$C$6:$BO$6,0)),"")))</f>
        <v/>
      </c>
      <c r="AS51" s="46" t="str">
        <f t="shared" si="5"/>
        <v/>
      </c>
      <c r="AT51" s="292" t="str">
        <f t="shared" si="6"/>
        <v/>
      </c>
      <c r="AU51" s="36" t="str">
        <f>+IF(G51="","",INDEX('Modelo Optimización'!$AZ$4:$CO$149,MATCH(CONCATENATE(AU$7,$AT51),'Modelo Optimización'!$CQ$4:$CQ$149,0),MATCH($AS51,'Modelo Optimización'!$AZ$3:$CO$3,0)))</f>
        <v/>
      </c>
      <c r="AV51" s="32" t="str">
        <f>+IF(H51="","",INDEX('Modelo Optimización'!$AZ$4:$CO$149,MATCH(CONCATENATE(AV$7,$AT51),'Modelo Optimización'!$CQ$4:$CQ$149,0),MATCH($AS51,'Modelo Optimización'!$AZ$3:$CO$3,0)))</f>
        <v/>
      </c>
      <c r="AW51" s="32" t="str">
        <f>+IF(I51="","",INDEX('Modelo Optimización'!$AZ$4:$CO$149,MATCH(CONCATENATE(AW$7,$AT51),'Modelo Optimización'!$CQ$4:$CQ$149,0),MATCH($AS51,'Modelo Optimización'!$AZ$3:$CO$3,0)))</f>
        <v/>
      </c>
      <c r="AX51" s="32" t="str">
        <f>+IF(J51="","",INDEX('Modelo Optimización'!$AZ$4:$CO$149,MATCH(CONCATENATE(AX$7,$AT51),'Modelo Optimización'!$CQ$4:$CQ$149,0),MATCH($AS51,'Modelo Optimización'!$AZ$3:$CO$3,0)))</f>
        <v/>
      </c>
      <c r="AY51" s="32" t="str">
        <f>+IF(K51="","",INDEX('Modelo Optimización'!$AZ$4:$CO$149,MATCH(CONCATENATE(AY$7,$AT51),'Modelo Optimización'!$CQ$4:$CQ$149,0),MATCH($AS51,'Modelo Optimización'!$AZ$3:$CO$3,0)))</f>
        <v/>
      </c>
      <c r="AZ51" s="32" t="str">
        <f>+IF(L51="","",INDEX('Modelo Optimización'!$AZ$4:$CO$149,MATCH(CONCATENATE(AZ$7,$AT51),'Modelo Optimización'!$CQ$4:$CQ$149,0),MATCH($AS51,'Modelo Optimización'!$AZ$3:$CO$3,0)))</f>
        <v/>
      </c>
      <c r="BA51" s="32" t="str">
        <f>+IF(M51="","",INDEX('Modelo Optimización'!$AZ$4:$CO$149,MATCH(CONCATENATE(BA$7,$AT51),'Modelo Optimización'!$CQ$4:$CQ$149,0),MATCH($AS51,'Modelo Optimización'!$AZ$3:$CO$3,0)))</f>
        <v/>
      </c>
      <c r="BB51" s="32" t="str">
        <f>+IF(N51="","",INDEX('Modelo Optimización'!$AZ$4:$CO$149,MATCH(CONCATENATE(BB$7,$AT51),'Modelo Optimización'!$CQ$4:$CQ$149,0),MATCH($AS51,'Modelo Optimización'!$AZ$3:$CO$3,0)))</f>
        <v/>
      </c>
      <c r="BC51" s="32" t="str">
        <f>+IF(O51="","",INDEX('Modelo Optimización'!$AZ$4:$CO$149,MATCH(CONCATENATE(BC$7,$AT51),'Modelo Optimización'!$CQ$4:$CQ$149,0),MATCH($AS51,'Modelo Optimización'!$AZ$3:$CO$3,0)))</f>
        <v/>
      </c>
      <c r="BD51" s="32" t="str">
        <f>+IF(P51="","",INDEX('Modelo Optimización'!$AZ$4:$CO$149,MATCH(CONCATENATE(BD$7,$AT51),'Modelo Optimización'!$CQ$4:$CQ$149,0),MATCH($AS51,'Modelo Optimización'!$AZ$3:$CO$3,0)))</f>
        <v/>
      </c>
      <c r="BE51" s="32" t="str">
        <f>+IF(Q51="","",INDEX('Modelo Optimización'!$AZ$4:$CO$149,MATCH(CONCATENATE(BE$7,$AT51),'Modelo Optimización'!$CQ$4:$CQ$149,0),MATCH($AS51,'Modelo Optimización'!$AZ$3:$CO$3,0)))</f>
        <v/>
      </c>
      <c r="BF51" s="32" t="str">
        <f>+IF(R51="","",INDEX('Modelo Optimización'!$AZ$4:$CO$149,MATCH(CONCATENATE(BF$7,$AT51),'Modelo Optimización'!$CQ$4:$CQ$149,0),MATCH($AS51,'Modelo Optimización'!$AZ$3:$CO$3,0)))</f>
        <v/>
      </c>
      <c r="BG51" s="32" t="str">
        <f>+IF(S51="","",INDEX('Modelo Optimización'!$AZ$4:$CO$149,MATCH(CONCATENATE(BG$7,$AT51),'Modelo Optimización'!$CQ$4:$CQ$149,0),MATCH($AS51,'Modelo Optimización'!$AZ$3:$CO$3,0)))</f>
        <v/>
      </c>
      <c r="BH51" s="32" t="str">
        <f>+IF(T51="","",INDEX('Modelo Optimización'!$AZ$4:$CO$149,MATCH(CONCATENATE(BH$7,$AT51),'Modelo Optimización'!$CQ$4:$CQ$149,0),MATCH($AS51,'Modelo Optimización'!$AZ$3:$CO$3,0)))</f>
        <v/>
      </c>
      <c r="BI51" s="32" t="str">
        <f>+IF(U51="","",INDEX('Modelo Optimización'!$AZ$4:$CO$149,MATCH(CONCATENATE(BI$7,$AT51),'Modelo Optimización'!$CQ$4:$CQ$149,0),MATCH($AS51,'Modelo Optimización'!$AZ$3:$CO$3,0)))</f>
        <v/>
      </c>
      <c r="BJ51" s="32" t="str">
        <f>+IF(V51="","",INDEX('Modelo Optimización'!$AZ$4:$CO$149,MATCH(CONCATENATE(BJ$7,$AT51),'Modelo Optimización'!$CQ$4:$CQ$149,0),MATCH($AS51,'Modelo Optimización'!$AZ$3:$CO$3,0)))</f>
        <v/>
      </c>
      <c r="BK51" s="32" t="str">
        <f>+IF(W51="","",INDEX('Modelo Optimización'!$AZ$4:$CO$149,MATCH(CONCATENATE(BK$7,$AT51),'Modelo Optimización'!$CQ$4:$CQ$149,0),MATCH($AS51,'Modelo Optimización'!$AZ$3:$CO$3,0)))</f>
        <v/>
      </c>
      <c r="BL51" s="32" t="str">
        <f>+IF(X51="","",INDEX('Modelo Optimización'!$AZ$4:$CO$149,MATCH(CONCATENATE(BL$7,$AT51),'Modelo Optimización'!$CQ$4:$CQ$149,0),MATCH($AS51,'Modelo Optimización'!$AZ$3:$CO$3,0)))</f>
        <v/>
      </c>
      <c r="BM51" s="32" t="str">
        <f>+IF(Y51="","",INDEX('Modelo Optimización'!$AZ$4:$CO$149,MATCH(CONCATENATE(BM$7,$AT51),'Modelo Optimización'!$CQ$4:$CQ$149,0),MATCH($AS51,'Modelo Optimización'!$AZ$3:$CO$3,0)))</f>
        <v/>
      </c>
      <c r="BN51" s="32" t="str">
        <f>+IF(Z51="","",INDEX('Modelo Optimización'!$AZ$4:$CO$149,MATCH(CONCATENATE(BN$7,$AT51),'Modelo Optimización'!$CQ$4:$CQ$149,0),MATCH($AS51,'Modelo Optimización'!$AZ$3:$CO$3,0)))</f>
        <v/>
      </c>
      <c r="BO51" s="32" t="str">
        <f>+IF(AA51="","",INDEX('Modelo Optimización'!$AZ$4:$CO$149,MATCH(CONCATENATE(BO$7,$AT51),'Modelo Optimización'!$CQ$4:$CQ$149,0),MATCH($AS51,'Modelo Optimización'!$AZ$3:$CO$3,0)))</f>
        <v/>
      </c>
      <c r="BP51" s="32" t="str">
        <f>+IF(AB51="","",INDEX('Modelo Optimización'!$AZ$4:$CO$149,MATCH(CONCATENATE(BP$7,$AT51),'Modelo Optimización'!$CQ$4:$CQ$149,0),MATCH($AS51,'Modelo Optimización'!$AZ$3:$CO$3,0)))</f>
        <v/>
      </c>
      <c r="BQ51" s="32" t="str">
        <f>+IF(AC51="","",INDEX('Modelo Optimización'!$AZ$4:$CO$149,MATCH(CONCATENATE(BQ$7,$AT51),'Modelo Optimización'!$CQ$4:$CQ$149,0),MATCH($AS51,'Modelo Optimización'!$AZ$3:$CO$3,0)))</f>
        <v/>
      </c>
      <c r="BR51" s="32" t="str">
        <f>+IF(AD51="","",INDEX('Modelo Optimización'!$AZ$4:$CO$149,MATCH(CONCATENATE(BR$7,$AT51),'Modelo Optimización'!$CQ$4:$CQ$149,0),MATCH($AS51,'Modelo Optimización'!$AZ$3:$CO$3,0)))</f>
        <v/>
      </c>
      <c r="BS51" s="32" t="str">
        <f>+IF(AE51="","",INDEX('Modelo Optimización'!$AZ$4:$CO$149,MATCH(CONCATENATE(BS$7,$AT51),'Modelo Optimización'!$CQ$4:$CQ$149,0),MATCH($AS51,'Modelo Optimización'!$AZ$3:$CO$3,0)))</f>
        <v/>
      </c>
      <c r="BT51" s="32" t="str">
        <f>+IF(AF51="","",INDEX('Modelo Optimización'!$AZ$4:$CO$149,MATCH(CONCATENATE(BT$7,$AT51),'Modelo Optimización'!$CQ$4:$CQ$149,0),MATCH($AS51,'Modelo Optimización'!$AZ$3:$CO$3,0)))</f>
        <v/>
      </c>
      <c r="BU51" s="32" t="str">
        <f>+IF(AG51="","",INDEX('Modelo Optimización'!$AZ$4:$CO$149,MATCH(CONCATENATE(BU$7,$AT51),'Modelo Optimización'!$CQ$4:$CQ$149,0),MATCH($AS51,'Modelo Optimización'!$AZ$3:$CO$3,0)))</f>
        <v/>
      </c>
      <c r="BV51" s="32" t="str">
        <f>+IF(AH51="","",INDEX('Modelo Optimización'!$AZ$4:$CO$149,MATCH(CONCATENATE(BV$7,$AT51),'Modelo Optimización'!$CQ$4:$CQ$149,0),MATCH($AS51,'Modelo Optimización'!$AZ$3:$CO$3,0)))</f>
        <v/>
      </c>
      <c r="BW51" s="32" t="str">
        <f>+IF(AI51="","",INDEX('Modelo Optimización'!$AZ$4:$CO$149,MATCH(CONCATENATE(BW$7,$AT51),'Modelo Optimización'!$CQ$4:$CQ$149,0),MATCH($AS51,'Modelo Optimización'!$AZ$3:$CO$3,0)))</f>
        <v/>
      </c>
      <c r="BX51" s="32" t="str">
        <f>+IF(AJ51="","",INDEX('Modelo Optimización'!$AZ$4:$CO$149,MATCH(CONCATENATE(BX$7,$AT51),'Modelo Optimización'!$CQ$4:$CQ$149,0),MATCH($AS51,'Modelo Optimización'!$AZ$3:$CO$3,0)))</f>
        <v/>
      </c>
      <c r="BY51" s="32" t="str">
        <f>+IF(AK51="","",INDEX('Modelo Optimización'!$AZ$4:$CO$149,MATCH(CONCATENATE(BY$7,$AT51),'Modelo Optimización'!$CQ$4:$CQ$149,0),MATCH($AS51,'Modelo Optimización'!$AZ$3:$CO$3,0)))</f>
        <v/>
      </c>
      <c r="BZ51" s="32" t="str">
        <f>+IF(AL51="","",INDEX('Modelo Optimización'!$AZ$4:$CO$149,MATCH(CONCATENATE(BZ$7,$AT51),'Modelo Optimización'!$CQ$4:$CQ$149,0),MATCH($AS51,'Modelo Optimización'!$AZ$3:$CO$3,0)))</f>
        <v/>
      </c>
      <c r="CA51" s="32" t="str">
        <f>+IF(AM51="","",INDEX('Modelo Optimización'!$AZ$4:$CO$149,MATCH(CONCATENATE(CA$7,$AT51),'Modelo Optimización'!$CQ$4:$CQ$149,0),MATCH($AS51,'Modelo Optimización'!$AZ$3:$CO$3,0)))</f>
        <v/>
      </c>
      <c r="CB51" s="32" t="str">
        <f>+IF(AN51="","",INDEX('Modelo Optimización'!$AZ$4:$CO$149,MATCH(CONCATENATE(CB$7,$AT51),'Modelo Optimización'!$CQ$4:$CQ$149,0),MATCH($AS51,'Modelo Optimización'!$AZ$3:$CO$3,0)))</f>
        <v/>
      </c>
      <c r="CC51" s="32" t="str">
        <f>+IF(AO51="","",INDEX('Modelo Optimización'!$AZ$4:$CO$149,MATCH(CONCATENATE(CC$7,$AT51),'Modelo Optimización'!$CQ$4:$CQ$149,0),MATCH($AS51,'Modelo Optimización'!$AZ$3:$CO$3,0)))</f>
        <v/>
      </c>
      <c r="CD51" s="32" t="str">
        <f>+IF(AP51="","",INDEX('Modelo Optimización'!$AZ$4:$CO$149,MATCH(CONCATENATE(CD$7,$AT51),'Modelo Optimización'!$CQ$4:$CQ$149,0),MATCH($AS51,'Modelo Optimización'!$AZ$3:$CO$3,0)))</f>
        <v/>
      </c>
      <c r="CE51" s="37" t="str">
        <f>+IF(AQ51="","",INDEX('Modelo Optimización'!$AZ$4:$CO$149,MATCH(CONCATENATE(CE$7,$AT51),'Modelo Optimización'!$CQ$4:$CQ$149,0),MATCH($AS51,'Modelo Optimización'!$AZ$3:$CO$3,0)))</f>
        <v/>
      </c>
      <c r="CF51" s="301"/>
      <c r="CG51" s="305" t="str">
        <f t="shared" si="11"/>
        <v/>
      </c>
      <c r="CH51" s="303" t="str">
        <f t="shared" si="7"/>
        <v/>
      </c>
      <c r="CI51" s="292" t="str">
        <f t="shared" si="8"/>
        <v/>
      </c>
      <c r="CJ51" s="36" t="str">
        <f t="shared" si="12"/>
        <v/>
      </c>
      <c r="CK51" s="32" t="str">
        <f t="shared" si="13"/>
        <v/>
      </c>
      <c r="CL51" s="32" t="str">
        <f t="shared" si="14"/>
        <v/>
      </c>
      <c r="CM51" s="32" t="str">
        <f t="shared" si="15"/>
        <v/>
      </c>
      <c r="CN51" s="32" t="str">
        <f t="shared" si="16"/>
        <v/>
      </c>
      <c r="CO51" s="32" t="str">
        <f t="shared" si="17"/>
        <v/>
      </c>
      <c r="CP51" s="32" t="str">
        <f t="shared" si="18"/>
        <v/>
      </c>
      <c r="CQ51" s="32" t="str">
        <f t="shared" si="19"/>
        <v/>
      </c>
      <c r="CR51" s="32" t="str">
        <f t="shared" si="20"/>
        <v/>
      </c>
      <c r="CS51" s="32" t="str">
        <f t="shared" si="21"/>
        <v/>
      </c>
      <c r="CT51" s="32" t="str">
        <f t="shared" si="22"/>
        <v/>
      </c>
      <c r="CU51" s="32" t="str">
        <f t="shared" si="23"/>
        <v/>
      </c>
      <c r="CV51" s="32" t="str">
        <f t="shared" si="24"/>
        <v/>
      </c>
      <c r="CW51" s="32" t="str">
        <f t="shared" si="25"/>
        <v/>
      </c>
      <c r="CX51" s="32" t="str">
        <f t="shared" si="26"/>
        <v/>
      </c>
      <c r="CY51" s="32" t="str">
        <f t="shared" si="27"/>
        <v/>
      </c>
      <c r="CZ51" s="32" t="str">
        <f t="shared" si="28"/>
        <v/>
      </c>
      <c r="DA51" s="32" t="str">
        <f t="shared" si="29"/>
        <v/>
      </c>
      <c r="DB51" s="32" t="str">
        <f t="shared" si="30"/>
        <v/>
      </c>
      <c r="DC51" s="32" t="str">
        <f t="shared" si="31"/>
        <v/>
      </c>
      <c r="DD51" s="32" t="str">
        <f t="shared" si="32"/>
        <v/>
      </c>
      <c r="DE51" s="32" t="str">
        <f t="shared" si="33"/>
        <v/>
      </c>
      <c r="DF51" s="32" t="str">
        <f t="shared" si="34"/>
        <v/>
      </c>
      <c r="DG51" s="32" t="str">
        <f t="shared" si="35"/>
        <v/>
      </c>
      <c r="DH51" s="32" t="str">
        <f t="shared" si="36"/>
        <v/>
      </c>
      <c r="DI51" s="32" t="str">
        <f t="shared" si="37"/>
        <v/>
      </c>
      <c r="DJ51" s="32" t="str">
        <f t="shared" si="38"/>
        <v/>
      </c>
      <c r="DK51" s="32" t="str">
        <f t="shared" si="39"/>
        <v/>
      </c>
      <c r="DL51" s="32" t="str">
        <f t="shared" si="40"/>
        <v/>
      </c>
      <c r="DM51" s="32" t="str">
        <f t="shared" si="41"/>
        <v/>
      </c>
      <c r="DN51" s="32" t="str">
        <f t="shared" si="42"/>
        <v/>
      </c>
      <c r="DO51" s="32" t="str">
        <f t="shared" si="43"/>
        <v/>
      </c>
      <c r="DP51" s="32" t="str">
        <f t="shared" si="44"/>
        <v/>
      </c>
      <c r="DQ51" s="32" t="str">
        <f t="shared" si="45"/>
        <v/>
      </c>
      <c r="DR51" s="32" t="str">
        <f t="shared" si="46"/>
        <v/>
      </c>
      <c r="DS51" s="32" t="str">
        <f t="shared" si="47"/>
        <v/>
      </c>
      <c r="DT51" s="37" t="str">
        <f t="shared" si="48"/>
        <v/>
      </c>
    </row>
    <row r="52" spans="2:124" x14ac:dyDescent="0.35">
      <c r="B52" s="46"/>
      <c r="C52" s="212"/>
      <c r="D52" s="52"/>
      <c r="E52" s="52" t="str">
        <f>+IF(B52="","",IFERROR(SUMIF('Modelo Optimización'!$AS$72:$AS$217,C52,INDEX('Modelo Optimización'!$C$72:$AR$217,,MATCH(B52,'Modelo Optimización'!$C$71:$AR$71,0))),0))</f>
        <v/>
      </c>
      <c r="F52" s="281" t="str">
        <f t="shared" si="10"/>
        <v/>
      </c>
      <c r="G52" s="280" t="str">
        <f>+IF(IF($B52="","",IFERROR(INDEX('Auxiliar Resultados'!$C$9:$BO$50,MATCH($B52,'Auxiliar Resultados'!$B$9:$B$50,0),MATCH(CONCATENATE($C52,G$7),'Auxiliar Resultados'!$C$6:$BO$6,0)),""))=0,"",IF($B52="","",IFERROR(INDEX('Auxiliar Resultados'!$C$9:$BO$50,MATCH($B52,'Auxiliar Resultados'!$B$9:$B$50,0),MATCH(CONCATENATE($C52,G$7),'Auxiliar Resultados'!$C$6:$BO$6,0)),"")))</f>
        <v/>
      </c>
      <c r="H52" s="52" t="str">
        <f>+IF(IF($B52="","",IFERROR(INDEX('Auxiliar Resultados'!$C$9:$BO$50,MATCH($B52,'Auxiliar Resultados'!$B$9:$B$50,0),MATCH(CONCATENATE($C52,H$7),'Auxiliar Resultados'!$C$6:$BO$6,0)),""))=0,"",IF($B52="","",IFERROR(INDEX('Auxiliar Resultados'!$C$9:$BO$50,MATCH($B52,'Auxiliar Resultados'!$B$9:$B$50,0),MATCH(CONCATENATE($C52,H$7),'Auxiliar Resultados'!$C$6:$BO$6,0)),"")))</f>
        <v/>
      </c>
      <c r="I52" s="52" t="str">
        <f>+IF(IF($B52="","",IFERROR(INDEX('Auxiliar Resultados'!$C$9:$BO$50,MATCH($B52,'Auxiliar Resultados'!$B$9:$B$50,0),MATCH(CONCATENATE($C52,I$7),'Auxiliar Resultados'!$C$6:$BO$6,0)),""))=0,"",IF($B52="","",IFERROR(INDEX('Auxiliar Resultados'!$C$9:$BO$50,MATCH($B52,'Auxiliar Resultados'!$B$9:$B$50,0),MATCH(CONCATENATE($C52,I$7),'Auxiliar Resultados'!$C$6:$BO$6,0)),"")))</f>
        <v/>
      </c>
      <c r="J52" s="52" t="str">
        <f>+IF(IF($B52="","",IFERROR(INDEX('Auxiliar Resultados'!$C$9:$BO$50,MATCH($B52,'Auxiliar Resultados'!$B$9:$B$50,0),MATCH(CONCATENATE($C52,J$7),'Auxiliar Resultados'!$C$6:$BO$6,0)),""))=0,"",IF($B52="","",IFERROR(INDEX('Auxiliar Resultados'!$C$9:$BO$50,MATCH($B52,'Auxiliar Resultados'!$B$9:$B$50,0),MATCH(CONCATENATE($C52,J$7),'Auxiliar Resultados'!$C$6:$BO$6,0)),"")))</f>
        <v/>
      </c>
      <c r="K52" s="52" t="str">
        <f>+IF(IF($B52="","",IFERROR(INDEX('Auxiliar Resultados'!$C$9:$BO$50,MATCH($B52,'Auxiliar Resultados'!$B$9:$B$50,0),MATCH(CONCATENATE($C52,K$7),'Auxiliar Resultados'!$C$6:$BO$6,0)),""))=0,"",IF($B52="","",IFERROR(INDEX('Auxiliar Resultados'!$C$9:$BO$50,MATCH($B52,'Auxiliar Resultados'!$B$9:$B$50,0),MATCH(CONCATENATE($C52,K$7),'Auxiliar Resultados'!$C$6:$BO$6,0)),"")))</f>
        <v/>
      </c>
      <c r="L52" s="52" t="str">
        <f>+IF(IF($B52="","",IFERROR(INDEX('Auxiliar Resultados'!$C$9:$BO$50,MATCH($B52,'Auxiliar Resultados'!$B$9:$B$50,0),MATCH(CONCATENATE($C52,L$7),'Auxiliar Resultados'!$C$6:$BO$6,0)),""))=0,"",IF($B52="","",IFERROR(INDEX('Auxiliar Resultados'!$C$9:$BO$50,MATCH($B52,'Auxiliar Resultados'!$B$9:$B$50,0),MATCH(CONCATENATE($C52,L$7),'Auxiliar Resultados'!$C$6:$BO$6,0)),"")))</f>
        <v/>
      </c>
      <c r="M52" s="52" t="str">
        <f>+IF(IF($B52="","",IFERROR(INDEX('Auxiliar Resultados'!$C$9:$BO$50,MATCH($B52,'Auxiliar Resultados'!$B$9:$B$50,0),MATCH(CONCATENATE($C52,M$7),'Auxiliar Resultados'!$C$6:$BO$6,0)),""))=0,"",IF($B52="","",IFERROR(INDEX('Auxiliar Resultados'!$C$9:$BO$50,MATCH($B52,'Auxiliar Resultados'!$B$9:$B$50,0),MATCH(CONCATENATE($C52,M$7),'Auxiliar Resultados'!$C$6:$BO$6,0)),"")))</f>
        <v/>
      </c>
      <c r="N52" s="52" t="str">
        <f>+IF(IF($B52="","",IFERROR(INDEX('Auxiliar Resultados'!$C$9:$BO$50,MATCH($B52,'Auxiliar Resultados'!$B$9:$B$50,0),MATCH(CONCATENATE($C52,N$7),'Auxiliar Resultados'!$C$6:$BO$6,0)),""))=0,"",IF($B52="","",IFERROR(INDEX('Auxiliar Resultados'!$C$9:$BO$50,MATCH($B52,'Auxiliar Resultados'!$B$9:$B$50,0),MATCH(CONCATENATE($C52,N$7),'Auxiliar Resultados'!$C$6:$BO$6,0)),"")))</f>
        <v/>
      </c>
      <c r="O52" s="52" t="str">
        <f>+IF(IF($B52="","",IFERROR(INDEX('Auxiliar Resultados'!$C$9:$BO$50,MATCH($B52,'Auxiliar Resultados'!$B$9:$B$50,0),MATCH(CONCATENATE($C52,O$7),'Auxiliar Resultados'!$C$6:$BO$6,0)),""))=0,"",IF($B52="","",IFERROR(INDEX('Auxiliar Resultados'!$C$9:$BO$50,MATCH($B52,'Auxiliar Resultados'!$B$9:$B$50,0),MATCH(CONCATENATE($C52,O$7),'Auxiliar Resultados'!$C$6:$BO$6,0)),"")))</f>
        <v/>
      </c>
      <c r="P52" s="52" t="str">
        <f>+IF(IF($B52="","",IFERROR(INDEX('Auxiliar Resultados'!$C$9:$BO$50,MATCH($B52,'Auxiliar Resultados'!$B$9:$B$50,0),MATCH(CONCATENATE($C52,P$7),'Auxiliar Resultados'!$C$6:$BO$6,0)),""))=0,"",IF($B52="","",IFERROR(INDEX('Auxiliar Resultados'!$C$9:$BO$50,MATCH($B52,'Auxiliar Resultados'!$B$9:$B$50,0),MATCH(CONCATENATE($C52,P$7),'Auxiliar Resultados'!$C$6:$BO$6,0)),"")))</f>
        <v/>
      </c>
      <c r="Q52" s="52" t="str">
        <f>+IF(IF($B52="","",IFERROR(INDEX('Auxiliar Resultados'!$C$9:$BO$50,MATCH($B52,'Auxiliar Resultados'!$B$9:$B$50,0),MATCH(CONCATENATE($C52,Q$7),'Auxiliar Resultados'!$C$6:$BO$6,0)),""))=0,"",IF($B52="","",IFERROR(INDEX('Auxiliar Resultados'!$C$9:$BO$50,MATCH($B52,'Auxiliar Resultados'!$B$9:$B$50,0),MATCH(CONCATENATE($C52,Q$7),'Auxiliar Resultados'!$C$6:$BO$6,0)),"")))</f>
        <v/>
      </c>
      <c r="R52" s="52" t="str">
        <f>+IF(IF($B52="","",IFERROR(INDEX('Auxiliar Resultados'!$C$9:$BO$50,MATCH($B52,'Auxiliar Resultados'!$B$9:$B$50,0),MATCH(CONCATENATE($C52,R$7),'Auxiliar Resultados'!$C$6:$BO$6,0)),""))=0,"",IF($B52="","",IFERROR(INDEX('Auxiliar Resultados'!$C$9:$BO$50,MATCH($B52,'Auxiliar Resultados'!$B$9:$B$50,0),MATCH(CONCATENATE($C52,R$7),'Auxiliar Resultados'!$C$6:$BO$6,0)),"")))</f>
        <v/>
      </c>
      <c r="S52" s="52" t="str">
        <f>+IF(IF($B52="","",IFERROR(INDEX('Auxiliar Resultados'!$C$9:$BO$50,MATCH($B52,'Auxiliar Resultados'!$B$9:$B$50,0),MATCH(CONCATENATE($C52,S$7),'Auxiliar Resultados'!$C$6:$BO$6,0)),""))=0,"",IF($B52="","",IFERROR(INDEX('Auxiliar Resultados'!$C$9:$BO$50,MATCH($B52,'Auxiliar Resultados'!$B$9:$B$50,0),MATCH(CONCATENATE($C52,S$7),'Auxiliar Resultados'!$C$6:$BO$6,0)),"")))</f>
        <v/>
      </c>
      <c r="T52" s="52" t="str">
        <f>+IF(IF($B52="","",IFERROR(INDEX('Auxiliar Resultados'!$C$9:$BO$50,MATCH($B52,'Auxiliar Resultados'!$B$9:$B$50,0),MATCH(CONCATENATE($C52,T$7),'Auxiliar Resultados'!$C$6:$BO$6,0)),""))=0,"",IF($B52="","",IFERROR(INDEX('Auxiliar Resultados'!$C$9:$BO$50,MATCH($B52,'Auxiliar Resultados'!$B$9:$B$50,0),MATCH(CONCATENATE($C52,T$7),'Auxiliar Resultados'!$C$6:$BO$6,0)),"")))</f>
        <v/>
      </c>
      <c r="U52" s="52" t="str">
        <f>+IF(IF($B52="","",IFERROR(INDEX('Auxiliar Resultados'!$C$9:$BO$50,MATCH($B52,'Auxiliar Resultados'!$B$9:$B$50,0),MATCH(CONCATENATE($C52,U$7),'Auxiliar Resultados'!$C$6:$BO$6,0)),""))=0,"",IF($B52="","",IFERROR(INDEX('Auxiliar Resultados'!$C$9:$BO$50,MATCH($B52,'Auxiliar Resultados'!$B$9:$B$50,0),MATCH(CONCATENATE($C52,U$7),'Auxiliar Resultados'!$C$6:$BO$6,0)),"")))</f>
        <v/>
      </c>
      <c r="V52" s="52" t="str">
        <f>+IF(IF($B52="","",IFERROR(INDEX('Auxiliar Resultados'!$C$9:$BO$50,MATCH($B52,'Auxiliar Resultados'!$B$9:$B$50,0),MATCH(CONCATENATE($C52,V$7),'Auxiliar Resultados'!$C$6:$BO$6,0)),""))=0,"",IF($B52="","",IFERROR(INDEX('Auxiliar Resultados'!$C$9:$BO$50,MATCH($B52,'Auxiliar Resultados'!$B$9:$B$50,0),MATCH(CONCATENATE($C52,V$7),'Auxiliar Resultados'!$C$6:$BO$6,0)),"")))</f>
        <v/>
      </c>
      <c r="W52" s="52" t="str">
        <f>+IF(IF($B52="","",IFERROR(INDEX('Auxiliar Resultados'!$C$9:$BO$50,MATCH($B52,'Auxiliar Resultados'!$B$9:$B$50,0),MATCH(CONCATENATE($C52,W$7),'Auxiliar Resultados'!$C$6:$BO$6,0)),""))=0,"",IF($B52="","",IFERROR(INDEX('Auxiliar Resultados'!$C$9:$BO$50,MATCH($B52,'Auxiliar Resultados'!$B$9:$B$50,0),MATCH(CONCATENATE($C52,W$7),'Auxiliar Resultados'!$C$6:$BO$6,0)),"")))</f>
        <v/>
      </c>
      <c r="X52" s="52" t="str">
        <f>+IF(IF($B52="","",IFERROR(INDEX('Auxiliar Resultados'!$C$9:$BO$50,MATCH($B52,'Auxiliar Resultados'!$B$9:$B$50,0),MATCH(CONCATENATE($C52,X$7),'Auxiliar Resultados'!$C$6:$BO$6,0)),""))=0,"",IF($B52="","",IFERROR(INDEX('Auxiliar Resultados'!$C$9:$BO$50,MATCH($B52,'Auxiliar Resultados'!$B$9:$B$50,0),MATCH(CONCATENATE($C52,X$7),'Auxiliar Resultados'!$C$6:$BO$6,0)),"")))</f>
        <v/>
      </c>
      <c r="Y52" s="52" t="str">
        <f>+IF(IF($B52="","",IFERROR(INDEX('Auxiliar Resultados'!$C$9:$BO$50,MATCH($B52,'Auxiliar Resultados'!$B$9:$B$50,0),MATCH(CONCATENATE($C52,Y$7),'Auxiliar Resultados'!$C$6:$BO$6,0)),""))=0,"",IF($B52="","",IFERROR(INDEX('Auxiliar Resultados'!$C$9:$BO$50,MATCH($B52,'Auxiliar Resultados'!$B$9:$B$50,0),MATCH(CONCATENATE($C52,Y$7),'Auxiliar Resultados'!$C$6:$BO$6,0)),"")))</f>
        <v/>
      </c>
      <c r="Z52" s="52" t="str">
        <f>+IF(IF($B52="","",IFERROR(INDEX('Auxiliar Resultados'!$C$9:$BO$50,MATCH($B52,'Auxiliar Resultados'!$B$9:$B$50,0),MATCH(CONCATENATE($C52,Z$7),'Auxiliar Resultados'!$C$6:$BO$6,0)),""))=0,"",IF($B52="","",IFERROR(INDEX('Auxiliar Resultados'!$C$9:$BO$50,MATCH($B52,'Auxiliar Resultados'!$B$9:$B$50,0),MATCH(CONCATENATE($C52,Z$7),'Auxiliar Resultados'!$C$6:$BO$6,0)),"")))</f>
        <v/>
      </c>
      <c r="AA52" s="52" t="str">
        <f>+IF(IF($B52="","",IFERROR(INDEX('Auxiliar Resultados'!$C$9:$BO$50,MATCH($B52,'Auxiliar Resultados'!$B$9:$B$50,0),MATCH(CONCATENATE($C52,AA$7),'Auxiliar Resultados'!$C$6:$BO$6,0)),""))=0,"",IF($B52="","",IFERROR(INDEX('Auxiliar Resultados'!$C$9:$BO$50,MATCH($B52,'Auxiliar Resultados'!$B$9:$B$50,0),MATCH(CONCATENATE($C52,AA$7),'Auxiliar Resultados'!$C$6:$BO$6,0)),"")))</f>
        <v/>
      </c>
      <c r="AB52" s="52" t="str">
        <f>+IF(IF($B52="","",IFERROR(INDEX('Auxiliar Resultados'!$C$9:$BO$50,MATCH($B52,'Auxiliar Resultados'!$B$9:$B$50,0),MATCH(CONCATENATE($C52,AB$7),'Auxiliar Resultados'!$C$6:$BO$6,0)),""))=0,"",IF($B52="","",IFERROR(INDEX('Auxiliar Resultados'!$C$9:$BO$50,MATCH($B52,'Auxiliar Resultados'!$B$9:$B$50,0),MATCH(CONCATENATE($C52,AB$7),'Auxiliar Resultados'!$C$6:$BO$6,0)),"")))</f>
        <v/>
      </c>
      <c r="AC52" s="52" t="str">
        <f>+IF(IF($B52="","",IFERROR(INDEX('Auxiliar Resultados'!$C$9:$BO$50,MATCH($B52,'Auxiliar Resultados'!$B$9:$B$50,0),MATCH(CONCATENATE($C52,AC$7),'Auxiliar Resultados'!$C$6:$BO$6,0)),""))=0,"",IF($B52="","",IFERROR(INDEX('Auxiliar Resultados'!$C$9:$BO$50,MATCH($B52,'Auxiliar Resultados'!$B$9:$B$50,0),MATCH(CONCATENATE($C52,AC$7),'Auxiliar Resultados'!$C$6:$BO$6,0)),"")))</f>
        <v/>
      </c>
      <c r="AD52" s="52" t="str">
        <f>+IF(IF($B52="","",IFERROR(INDEX('Auxiliar Resultados'!$C$9:$BO$50,MATCH($B52,'Auxiliar Resultados'!$B$9:$B$50,0),MATCH(CONCATENATE($C52,AD$7),'Auxiliar Resultados'!$C$6:$BO$6,0)),""))=0,"",IF($B52="","",IFERROR(INDEX('Auxiliar Resultados'!$C$9:$BO$50,MATCH($B52,'Auxiliar Resultados'!$B$9:$B$50,0),MATCH(CONCATENATE($C52,AD$7),'Auxiliar Resultados'!$C$6:$BO$6,0)),"")))</f>
        <v/>
      </c>
      <c r="AE52" s="52" t="str">
        <f>+IF(IF($B52="","",IFERROR(INDEX('Auxiliar Resultados'!$C$9:$BO$50,MATCH($B52,'Auxiliar Resultados'!$B$9:$B$50,0),MATCH(CONCATENATE($C52,AE$7),'Auxiliar Resultados'!$C$6:$BO$6,0)),""))=0,"",IF($B52="","",IFERROR(INDEX('Auxiliar Resultados'!$C$9:$BO$50,MATCH($B52,'Auxiliar Resultados'!$B$9:$B$50,0),MATCH(CONCATENATE($C52,AE$7),'Auxiliar Resultados'!$C$6:$BO$6,0)),"")))</f>
        <v/>
      </c>
      <c r="AF52" s="52" t="str">
        <f>+IF(IF($B52="","",IFERROR(INDEX('Auxiliar Resultados'!$C$9:$BO$50,MATCH($B52,'Auxiliar Resultados'!$B$9:$B$50,0),MATCH(CONCATENATE($C52,AF$7),'Auxiliar Resultados'!$C$6:$BO$6,0)),""))=0,"",IF($B52="","",IFERROR(INDEX('Auxiliar Resultados'!$C$9:$BO$50,MATCH($B52,'Auxiliar Resultados'!$B$9:$B$50,0),MATCH(CONCATENATE($C52,AF$7),'Auxiliar Resultados'!$C$6:$BO$6,0)),"")))</f>
        <v/>
      </c>
      <c r="AG52" s="52" t="str">
        <f>+IF(IF($B52="","",IFERROR(INDEX('Auxiliar Resultados'!$C$9:$BO$50,MATCH($B52,'Auxiliar Resultados'!$B$9:$B$50,0),MATCH(CONCATENATE($C52,AG$7),'Auxiliar Resultados'!$C$6:$BO$6,0)),""))=0,"",IF($B52="","",IFERROR(INDEX('Auxiliar Resultados'!$C$9:$BO$50,MATCH($B52,'Auxiliar Resultados'!$B$9:$B$50,0),MATCH(CONCATENATE($C52,AG$7),'Auxiliar Resultados'!$C$6:$BO$6,0)),"")))</f>
        <v/>
      </c>
      <c r="AH52" s="52" t="str">
        <f>+IF(IF($B52="","",IFERROR(INDEX('Auxiliar Resultados'!$C$9:$BO$50,MATCH($B52,'Auxiliar Resultados'!$B$9:$B$50,0),MATCH(CONCATENATE($C52,AH$7),'Auxiliar Resultados'!$C$6:$BO$6,0)),""))=0,"",IF($B52="","",IFERROR(INDEX('Auxiliar Resultados'!$C$9:$BO$50,MATCH($B52,'Auxiliar Resultados'!$B$9:$B$50,0),MATCH(CONCATENATE($C52,AH$7),'Auxiliar Resultados'!$C$6:$BO$6,0)),"")))</f>
        <v/>
      </c>
      <c r="AI52" s="52" t="str">
        <f>+IF(IF($B52="","",IFERROR(INDEX('Auxiliar Resultados'!$C$9:$BO$50,MATCH($B52,'Auxiliar Resultados'!$B$9:$B$50,0),MATCH(CONCATENATE($C52,AI$7),'Auxiliar Resultados'!$C$6:$BO$6,0)),""))=0,"",IF($B52="","",IFERROR(INDEX('Auxiliar Resultados'!$C$9:$BO$50,MATCH($B52,'Auxiliar Resultados'!$B$9:$B$50,0),MATCH(CONCATENATE($C52,AI$7),'Auxiliar Resultados'!$C$6:$BO$6,0)),"")))</f>
        <v/>
      </c>
      <c r="AJ52" s="52" t="str">
        <f>+IF(IF($B52="","",IFERROR(INDEX('Auxiliar Resultados'!$C$9:$BO$50,MATCH($B52,'Auxiliar Resultados'!$B$9:$B$50,0),MATCH(CONCATENATE($C52,AJ$7),'Auxiliar Resultados'!$C$6:$BO$6,0)),""))=0,"",IF($B52="","",IFERROR(INDEX('Auxiliar Resultados'!$C$9:$BO$50,MATCH($B52,'Auxiliar Resultados'!$B$9:$B$50,0),MATCH(CONCATENATE($C52,AJ$7),'Auxiliar Resultados'!$C$6:$BO$6,0)),"")))</f>
        <v/>
      </c>
      <c r="AK52" s="52" t="str">
        <f>+IF(IF($B52="","",IFERROR(INDEX('Auxiliar Resultados'!$C$9:$BO$50,MATCH($B52,'Auxiliar Resultados'!$B$9:$B$50,0),MATCH(CONCATENATE($C52,AK$7),'Auxiliar Resultados'!$C$6:$BO$6,0)),""))=0,"",IF($B52="","",IFERROR(INDEX('Auxiliar Resultados'!$C$9:$BO$50,MATCH($B52,'Auxiliar Resultados'!$B$9:$B$50,0),MATCH(CONCATENATE($C52,AK$7),'Auxiliar Resultados'!$C$6:$BO$6,0)),"")))</f>
        <v/>
      </c>
      <c r="AL52" s="52" t="str">
        <f>+IF(IF($B52="","",IFERROR(INDEX('Auxiliar Resultados'!$C$9:$BO$50,MATCH($B52,'Auxiliar Resultados'!$B$9:$B$50,0),MATCH(CONCATENATE($C52,AL$7),'Auxiliar Resultados'!$C$6:$BO$6,0)),""))=0,"",IF($B52="","",IFERROR(INDEX('Auxiliar Resultados'!$C$9:$BO$50,MATCH($B52,'Auxiliar Resultados'!$B$9:$B$50,0),MATCH(CONCATENATE($C52,AL$7),'Auxiliar Resultados'!$C$6:$BO$6,0)),"")))</f>
        <v/>
      </c>
      <c r="AM52" s="52" t="str">
        <f>+IF(IF($B52="","",IFERROR(INDEX('Auxiliar Resultados'!$C$9:$BO$50,MATCH($B52,'Auxiliar Resultados'!$B$9:$B$50,0),MATCH(CONCATENATE($C52,AM$7),'Auxiliar Resultados'!$C$6:$BO$6,0)),""))=0,"",IF($B52="","",IFERROR(INDEX('Auxiliar Resultados'!$C$9:$BO$50,MATCH($B52,'Auxiliar Resultados'!$B$9:$B$50,0),MATCH(CONCATENATE($C52,AM$7),'Auxiliar Resultados'!$C$6:$BO$6,0)),"")))</f>
        <v/>
      </c>
      <c r="AN52" s="52" t="str">
        <f>+IF(IF($B52="","",IFERROR(INDEX('Auxiliar Resultados'!$C$9:$BO$50,MATCH($B52,'Auxiliar Resultados'!$B$9:$B$50,0),MATCH(CONCATENATE($C52,AN$7),'Auxiliar Resultados'!$C$6:$BO$6,0)),""))=0,"",IF($B52="","",IFERROR(INDEX('Auxiliar Resultados'!$C$9:$BO$50,MATCH($B52,'Auxiliar Resultados'!$B$9:$B$50,0),MATCH(CONCATENATE($C52,AN$7),'Auxiliar Resultados'!$C$6:$BO$6,0)),"")))</f>
        <v/>
      </c>
      <c r="AO52" s="52" t="str">
        <f>+IF(IF($B52="","",IFERROR(INDEX('Auxiliar Resultados'!$C$9:$BO$50,MATCH($B52,'Auxiliar Resultados'!$B$9:$B$50,0),MATCH(CONCATENATE($C52,AO$7),'Auxiliar Resultados'!$C$6:$BO$6,0)),""))=0,"",IF($B52="","",IFERROR(INDEX('Auxiliar Resultados'!$C$9:$BO$50,MATCH($B52,'Auxiliar Resultados'!$B$9:$B$50,0),MATCH(CONCATENATE($C52,AO$7),'Auxiliar Resultados'!$C$6:$BO$6,0)),"")))</f>
        <v/>
      </c>
      <c r="AP52" s="52" t="str">
        <f>+IF(IF($B52="","",IFERROR(INDEX('Auxiliar Resultados'!$C$9:$BO$50,MATCH($B52,'Auxiliar Resultados'!$B$9:$B$50,0),MATCH(CONCATENATE($C52,AP$7),'Auxiliar Resultados'!$C$6:$BO$6,0)),""))=0,"",IF($B52="","",IFERROR(INDEX('Auxiliar Resultados'!$C$9:$BO$50,MATCH($B52,'Auxiliar Resultados'!$B$9:$B$50,0),MATCH(CONCATENATE($C52,AP$7),'Auxiliar Resultados'!$C$6:$BO$6,0)),"")))</f>
        <v/>
      </c>
      <c r="AQ52" s="276" t="str">
        <f>+IF(IF($B52="","",IFERROR(INDEX('Auxiliar Resultados'!$C$9:$BO$50,MATCH($B52,'Auxiliar Resultados'!$B$9:$B$50,0),MATCH(CONCATENATE($C52,AQ$7),'Auxiliar Resultados'!$C$6:$BO$6,0)),""))=0,"",IF($B52="","",IFERROR(INDEX('Auxiliar Resultados'!$C$9:$BO$50,MATCH($B52,'Auxiliar Resultados'!$B$9:$B$50,0),MATCH(CONCATENATE($C52,AQ$7),'Auxiliar Resultados'!$C$6:$BO$6,0)),"")))</f>
        <v/>
      </c>
      <c r="AS52" s="46" t="str">
        <f t="shared" si="5"/>
        <v/>
      </c>
      <c r="AT52" s="292" t="str">
        <f t="shared" si="6"/>
        <v/>
      </c>
      <c r="AU52" s="36" t="str">
        <f>+IF(G52="","",INDEX('Modelo Optimización'!$AZ$4:$CO$149,MATCH(CONCATENATE(AU$7,$AT52),'Modelo Optimización'!$CQ$4:$CQ$149,0),MATCH($AS52,'Modelo Optimización'!$AZ$3:$CO$3,0)))</f>
        <v/>
      </c>
      <c r="AV52" s="32" t="str">
        <f>+IF(H52="","",INDEX('Modelo Optimización'!$AZ$4:$CO$149,MATCH(CONCATENATE(AV$7,$AT52),'Modelo Optimización'!$CQ$4:$CQ$149,0),MATCH($AS52,'Modelo Optimización'!$AZ$3:$CO$3,0)))</f>
        <v/>
      </c>
      <c r="AW52" s="32" t="str">
        <f>+IF(I52="","",INDEX('Modelo Optimización'!$AZ$4:$CO$149,MATCH(CONCATENATE(AW$7,$AT52),'Modelo Optimización'!$CQ$4:$CQ$149,0),MATCH($AS52,'Modelo Optimización'!$AZ$3:$CO$3,0)))</f>
        <v/>
      </c>
      <c r="AX52" s="32" t="str">
        <f>+IF(J52="","",INDEX('Modelo Optimización'!$AZ$4:$CO$149,MATCH(CONCATENATE(AX$7,$AT52),'Modelo Optimización'!$CQ$4:$CQ$149,0),MATCH($AS52,'Modelo Optimización'!$AZ$3:$CO$3,0)))</f>
        <v/>
      </c>
      <c r="AY52" s="32" t="str">
        <f>+IF(K52="","",INDEX('Modelo Optimización'!$AZ$4:$CO$149,MATCH(CONCATENATE(AY$7,$AT52),'Modelo Optimización'!$CQ$4:$CQ$149,0),MATCH($AS52,'Modelo Optimización'!$AZ$3:$CO$3,0)))</f>
        <v/>
      </c>
      <c r="AZ52" s="32" t="str">
        <f>+IF(L52="","",INDEX('Modelo Optimización'!$AZ$4:$CO$149,MATCH(CONCATENATE(AZ$7,$AT52),'Modelo Optimización'!$CQ$4:$CQ$149,0),MATCH($AS52,'Modelo Optimización'!$AZ$3:$CO$3,0)))</f>
        <v/>
      </c>
      <c r="BA52" s="32" t="str">
        <f>+IF(M52="","",INDEX('Modelo Optimización'!$AZ$4:$CO$149,MATCH(CONCATENATE(BA$7,$AT52),'Modelo Optimización'!$CQ$4:$CQ$149,0),MATCH($AS52,'Modelo Optimización'!$AZ$3:$CO$3,0)))</f>
        <v/>
      </c>
      <c r="BB52" s="32" t="str">
        <f>+IF(N52="","",INDEX('Modelo Optimización'!$AZ$4:$CO$149,MATCH(CONCATENATE(BB$7,$AT52),'Modelo Optimización'!$CQ$4:$CQ$149,0),MATCH($AS52,'Modelo Optimización'!$AZ$3:$CO$3,0)))</f>
        <v/>
      </c>
      <c r="BC52" s="32" t="str">
        <f>+IF(O52="","",INDEX('Modelo Optimización'!$AZ$4:$CO$149,MATCH(CONCATENATE(BC$7,$AT52),'Modelo Optimización'!$CQ$4:$CQ$149,0),MATCH($AS52,'Modelo Optimización'!$AZ$3:$CO$3,0)))</f>
        <v/>
      </c>
      <c r="BD52" s="32" t="str">
        <f>+IF(P52="","",INDEX('Modelo Optimización'!$AZ$4:$CO$149,MATCH(CONCATENATE(BD$7,$AT52),'Modelo Optimización'!$CQ$4:$CQ$149,0),MATCH($AS52,'Modelo Optimización'!$AZ$3:$CO$3,0)))</f>
        <v/>
      </c>
      <c r="BE52" s="32" t="str">
        <f>+IF(Q52="","",INDEX('Modelo Optimización'!$AZ$4:$CO$149,MATCH(CONCATENATE(BE$7,$AT52),'Modelo Optimización'!$CQ$4:$CQ$149,0),MATCH($AS52,'Modelo Optimización'!$AZ$3:$CO$3,0)))</f>
        <v/>
      </c>
      <c r="BF52" s="32" t="str">
        <f>+IF(R52="","",INDEX('Modelo Optimización'!$AZ$4:$CO$149,MATCH(CONCATENATE(BF$7,$AT52),'Modelo Optimización'!$CQ$4:$CQ$149,0),MATCH($AS52,'Modelo Optimización'!$AZ$3:$CO$3,0)))</f>
        <v/>
      </c>
      <c r="BG52" s="32" t="str">
        <f>+IF(S52="","",INDEX('Modelo Optimización'!$AZ$4:$CO$149,MATCH(CONCATENATE(BG$7,$AT52),'Modelo Optimización'!$CQ$4:$CQ$149,0),MATCH($AS52,'Modelo Optimización'!$AZ$3:$CO$3,0)))</f>
        <v/>
      </c>
      <c r="BH52" s="32" t="str">
        <f>+IF(T52="","",INDEX('Modelo Optimización'!$AZ$4:$CO$149,MATCH(CONCATENATE(BH$7,$AT52),'Modelo Optimización'!$CQ$4:$CQ$149,0),MATCH($AS52,'Modelo Optimización'!$AZ$3:$CO$3,0)))</f>
        <v/>
      </c>
      <c r="BI52" s="32" t="str">
        <f>+IF(U52="","",INDEX('Modelo Optimización'!$AZ$4:$CO$149,MATCH(CONCATENATE(BI$7,$AT52),'Modelo Optimización'!$CQ$4:$CQ$149,0),MATCH($AS52,'Modelo Optimización'!$AZ$3:$CO$3,0)))</f>
        <v/>
      </c>
      <c r="BJ52" s="32" t="str">
        <f>+IF(V52="","",INDEX('Modelo Optimización'!$AZ$4:$CO$149,MATCH(CONCATENATE(BJ$7,$AT52),'Modelo Optimización'!$CQ$4:$CQ$149,0),MATCH($AS52,'Modelo Optimización'!$AZ$3:$CO$3,0)))</f>
        <v/>
      </c>
      <c r="BK52" s="32" t="str">
        <f>+IF(W52="","",INDEX('Modelo Optimización'!$AZ$4:$CO$149,MATCH(CONCATENATE(BK$7,$AT52),'Modelo Optimización'!$CQ$4:$CQ$149,0),MATCH($AS52,'Modelo Optimización'!$AZ$3:$CO$3,0)))</f>
        <v/>
      </c>
      <c r="BL52" s="32" t="str">
        <f>+IF(X52="","",INDEX('Modelo Optimización'!$AZ$4:$CO$149,MATCH(CONCATENATE(BL$7,$AT52),'Modelo Optimización'!$CQ$4:$CQ$149,0),MATCH($AS52,'Modelo Optimización'!$AZ$3:$CO$3,0)))</f>
        <v/>
      </c>
      <c r="BM52" s="32" t="str">
        <f>+IF(Y52="","",INDEX('Modelo Optimización'!$AZ$4:$CO$149,MATCH(CONCATENATE(BM$7,$AT52),'Modelo Optimización'!$CQ$4:$CQ$149,0),MATCH($AS52,'Modelo Optimización'!$AZ$3:$CO$3,0)))</f>
        <v/>
      </c>
      <c r="BN52" s="32" t="str">
        <f>+IF(Z52="","",INDEX('Modelo Optimización'!$AZ$4:$CO$149,MATCH(CONCATENATE(BN$7,$AT52),'Modelo Optimización'!$CQ$4:$CQ$149,0),MATCH($AS52,'Modelo Optimización'!$AZ$3:$CO$3,0)))</f>
        <v/>
      </c>
      <c r="BO52" s="32" t="str">
        <f>+IF(AA52="","",INDEX('Modelo Optimización'!$AZ$4:$CO$149,MATCH(CONCATENATE(BO$7,$AT52),'Modelo Optimización'!$CQ$4:$CQ$149,0),MATCH($AS52,'Modelo Optimización'!$AZ$3:$CO$3,0)))</f>
        <v/>
      </c>
      <c r="BP52" s="32" t="str">
        <f>+IF(AB52="","",INDEX('Modelo Optimización'!$AZ$4:$CO$149,MATCH(CONCATENATE(BP$7,$AT52),'Modelo Optimización'!$CQ$4:$CQ$149,0),MATCH($AS52,'Modelo Optimización'!$AZ$3:$CO$3,0)))</f>
        <v/>
      </c>
      <c r="BQ52" s="32" t="str">
        <f>+IF(AC52="","",INDEX('Modelo Optimización'!$AZ$4:$CO$149,MATCH(CONCATENATE(BQ$7,$AT52),'Modelo Optimización'!$CQ$4:$CQ$149,0),MATCH($AS52,'Modelo Optimización'!$AZ$3:$CO$3,0)))</f>
        <v/>
      </c>
      <c r="BR52" s="32" t="str">
        <f>+IF(AD52="","",INDEX('Modelo Optimización'!$AZ$4:$CO$149,MATCH(CONCATENATE(BR$7,$AT52),'Modelo Optimización'!$CQ$4:$CQ$149,0),MATCH($AS52,'Modelo Optimización'!$AZ$3:$CO$3,0)))</f>
        <v/>
      </c>
      <c r="BS52" s="32" t="str">
        <f>+IF(AE52="","",INDEX('Modelo Optimización'!$AZ$4:$CO$149,MATCH(CONCATENATE(BS$7,$AT52),'Modelo Optimización'!$CQ$4:$CQ$149,0),MATCH($AS52,'Modelo Optimización'!$AZ$3:$CO$3,0)))</f>
        <v/>
      </c>
      <c r="BT52" s="32" t="str">
        <f>+IF(AF52="","",INDEX('Modelo Optimización'!$AZ$4:$CO$149,MATCH(CONCATENATE(BT$7,$AT52),'Modelo Optimización'!$CQ$4:$CQ$149,0),MATCH($AS52,'Modelo Optimización'!$AZ$3:$CO$3,0)))</f>
        <v/>
      </c>
      <c r="BU52" s="32" t="str">
        <f>+IF(AG52="","",INDEX('Modelo Optimización'!$AZ$4:$CO$149,MATCH(CONCATENATE(BU$7,$AT52),'Modelo Optimización'!$CQ$4:$CQ$149,0),MATCH($AS52,'Modelo Optimización'!$AZ$3:$CO$3,0)))</f>
        <v/>
      </c>
      <c r="BV52" s="32" t="str">
        <f>+IF(AH52="","",INDEX('Modelo Optimización'!$AZ$4:$CO$149,MATCH(CONCATENATE(BV$7,$AT52),'Modelo Optimización'!$CQ$4:$CQ$149,0),MATCH($AS52,'Modelo Optimización'!$AZ$3:$CO$3,0)))</f>
        <v/>
      </c>
      <c r="BW52" s="32" t="str">
        <f>+IF(AI52="","",INDEX('Modelo Optimización'!$AZ$4:$CO$149,MATCH(CONCATENATE(BW$7,$AT52),'Modelo Optimización'!$CQ$4:$CQ$149,0),MATCH($AS52,'Modelo Optimización'!$AZ$3:$CO$3,0)))</f>
        <v/>
      </c>
      <c r="BX52" s="32" t="str">
        <f>+IF(AJ52="","",INDEX('Modelo Optimización'!$AZ$4:$CO$149,MATCH(CONCATENATE(BX$7,$AT52),'Modelo Optimización'!$CQ$4:$CQ$149,0),MATCH($AS52,'Modelo Optimización'!$AZ$3:$CO$3,0)))</f>
        <v/>
      </c>
      <c r="BY52" s="32" t="str">
        <f>+IF(AK52="","",INDEX('Modelo Optimización'!$AZ$4:$CO$149,MATCH(CONCATENATE(BY$7,$AT52),'Modelo Optimización'!$CQ$4:$CQ$149,0),MATCH($AS52,'Modelo Optimización'!$AZ$3:$CO$3,0)))</f>
        <v/>
      </c>
      <c r="BZ52" s="32" t="str">
        <f>+IF(AL52="","",INDEX('Modelo Optimización'!$AZ$4:$CO$149,MATCH(CONCATENATE(BZ$7,$AT52),'Modelo Optimización'!$CQ$4:$CQ$149,0),MATCH($AS52,'Modelo Optimización'!$AZ$3:$CO$3,0)))</f>
        <v/>
      </c>
      <c r="CA52" s="32" t="str">
        <f>+IF(AM52="","",INDEX('Modelo Optimización'!$AZ$4:$CO$149,MATCH(CONCATENATE(CA$7,$AT52),'Modelo Optimización'!$CQ$4:$CQ$149,0),MATCH($AS52,'Modelo Optimización'!$AZ$3:$CO$3,0)))</f>
        <v/>
      </c>
      <c r="CB52" s="32" t="str">
        <f>+IF(AN52="","",INDEX('Modelo Optimización'!$AZ$4:$CO$149,MATCH(CONCATENATE(CB$7,$AT52),'Modelo Optimización'!$CQ$4:$CQ$149,0),MATCH($AS52,'Modelo Optimización'!$AZ$3:$CO$3,0)))</f>
        <v/>
      </c>
      <c r="CC52" s="32" t="str">
        <f>+IF(AO52="","",INDEX('Modelo Optimización'!$AZ$4:$CO$149,MATCH(CONCATENATE(CC$7,$AT52),'Modelo Optimización'!$CQ$4:$CQ$149,0),MATCH($AS52,'Modelo Optimización'!$AZ$3:$CO$3,0)))</f>
        <v/>
      </c>
      <c r="CD52" s="32" t="str">
        <f>+IF(AP52="","",INDEX('Modelo Optimización'!$AZ$4:$CO$149,MATCH(CONCATENATE(CD$7,$AT52),'Modelo Optimización'!$CQ$4:$CQ$149,0),MATCH($AS52,'Modelo Optimización'!$AZ$3:$CO$3,0)))</f>
        <v/>
      </c>
      <c r="CE52" s="37" t="str">
        <f>+IF(AQ52="","",INDEX('Modelo Optimización'!$AZ$4:$CO$149,MATCH(CONCATENATE(CE$7,$AT52),'Modelo Optimización'!$CQ$4:$CQ$149,0),MATCH($AS52,'Modelo Optimización'!$AZ$3:$CO$3,0)))</f>
        <v/>
      </c>
      <c r="CF52" s="301"/>
      <c r="CG52" s="305" t="str">
        <f t="shared" si="11"/>
        <v/>
      </c>
      <c r="CH52" s="303" t="str">
        <f t="shared" si="7"/>
        <v/>
      </c>
      <c r="CI52" s="292" t="str">
        <f t="shared" si="8"/>
        <v/>
      </c>
      <c r="CJ52" s="36" t="str">
        <f t="shared" si="12"/>
        <v/>
      </c>
      <c r="CK52" s="32" t="str">
        <f t="shared" si="13"/>
        <v/>
      </c>
      <c r="CL52" s="32" t="str">
        <f t="shared" si="14"/>
        <v/>
      </c>
      <c r="CM52" s="32" t="str">
        <f t="shared" si="15"/>
        <v/>
      </c>
      <c r="CN52" s="32" t="str">
        <f t="shared" si="16"/>
        <v/>
      </c>
      <c r="CO52" s="32" t="str">
        <f t="shared" si="17"/>
        <v/>
      </c>
      <c r="CP52" s="32" t="str">
        <f t="shared" si="18"/>
        <v/>
      </c>
      <c r="CQ52" s="32" t="str">
        <f t="shared" si="19"/>
        <v/>
      </c>
      <c r="CR52" s="32" t="str">
        <f t="shared" si="20"/>
        <v/>
      </c>
      <c r="CS52" s="32" t="str">
        <f t="shared" si="21"/>
        <v/>
      </c>
      <c r="CT52" s="32" t="str">
        <f t="shared" si="22"/>
        <v/>
      </c>
      <c r="CU52" s="32" t="str">
        <f t="shared" si="23"/>
        <v/>
      </c>
      <c r="CV52" s="32" t="str">
        <f t="shared" si="24"/>
        <v/>
      </c>
      <c r="CW52" s="32" t="str">
        <f t="shared" si="25"/>
        <v/>
      </c>
      <c r="CX52" s="32" t="str">
        <f t="shared" si="26"/>
        <v/>
      </c>
      <c r="CY52" s="32" t="str">
        <f t="shared" si="27"/>
        <v/>
      </c>
      <c r="CZ52" s="32" t="str">
        <f t="shared" si="28"/>
        <v/>
      </c>
      <c r="DA52" s="32" t="str">
        <f t="shared" si="29"/>
        <v/>
      </c>
      <c r="DB52" s="32" t="str">
        <f t="shared" si="30"/>
        <v/>
      </c>
      <c r="DC52" s="32" t="str">
        <f t="shared" si="31"/>
        <v/>
      </c>
      <c r="DD52" s="32" t="str">
        <f t="shared" si="32"/>
        <v/>
      </c>
      <c r="DE52" s="32" t="str">
        <f t="shared" si="33"/>
        <v/>
      </c>
      <c r="DF52" s="32" t="str">
        <f t="shared" si="34"/>
        <v/>
      </c>
      <c r="DG52" s="32" t="str">
        <f t="shared" si="35"/>
        <v/>
      </c>
      <c r="DH52" s="32" t="str">
        <f t="shared" si="36"/>
        <v/>
      </c>
      <c r="DI52" s="32" t="str">
        <f t="shared" si="37"/>
        <v/>
      </c>
      <c r="DJ52" s="32" t="str">
        <f t="shared" si="38"/>
        <v/>
      </c>
      <c r="DK52" s="32" t="str">
        <f t="shared" si="39"/>
        <v/>
      </c>
      <c r="DL52" s="32" t="str">
        <f t="shared" si="40"/>
        <v/>
      </c>
      <c r="DM52" s="32" t="str">
        <f t="shared" si="41"/>
        <v/>
      </c>
      <c r="DN52" s="32" t="str">
        <f t="shared" si="42"/>
        <v/>
      </c>
      <c r="DO52" s="32" t="str">
        <f t="shared" si="43"/>
        <v/>
      </c>
      <c r="DP52" s="32" t="str">
        <f t="shared" si="44"/>
        <v/>
      </c>
      <c r="DQ52" s="32" t="str">
        <f t="shared" si="45"/>
        <v/>
      </c>
      <c r="DR52" s="32" t="str">
        <f t="shared" si="46"/>
        <v/>
      </c>
      <c r="DS52" s="32" t="str">
        <f t="shared" si="47"/>
        <v/>
      </c>
      <c r="DT52" s="37" t="str">
        <f t="shared" si="48"/>
        <v/>
      </c>
    </row>
    <row r="53" spans="2:124" x14ac:dyDescent="0.35">
      <c r="B53" s="46"/>
      <c r="C53" s="212"/>
      <c r="D53" s="52"/>
      <c r="E53" s="52" t="str">
        <f>+IF(B53="","",IFERROR(SUMIF('Modelo Optimización'!$AS$72:$AS$217,C53,INDEX('Modelo Optimización'!$C$72:$AR$217,,MATCH(B53,'Modelo Optimización'!$C$71:$AR$71,0))),0))</f>
        <v/>
      </c>
      <c r="F53" s="281" t="str">
        <f t="shared" si="10"/>
        <v/>
      </c>
      <c r="G53" s="280" t="str">
        <f>+IF(IF($B53="","",IFERROR(INDEX('Auxiliar Resultados'!$C$9:$BO$50,MATCH($B53,'Auxiliar Resultados'!$B$9:$B$50,0),MATCH(CONCATENATE($C53,G$7),'Auxiliar Resultados'!$C$6:$BO$6,0)),""))=0,"",IF($B53="","",IFERROR(INDEX('Auxiliar Resultados'!$C$9:$BO$50,MATCH($B53,'Auxiliar Resultados'!$B$9:$B$50,0),MATCH(CONCATENATE($C53,G$7),'Auxiliar Resultados'!$C$6:$BO$6,0)),"")))</f>
        <v/>
      </c>
      <c r="H53" s="52" t="str">
        <f>+IF(IF($B53="","",IFERROR(INDEX('Auxiliar Resultados'!$C$9:$BO$50,MATCH($B53,'Auxiliar Resultados'!$B$9:$B$50,0),MATCH(CONCATENATE($C53,H$7),'Auxiliar Resultados'!$C$6:$BO$6,0)),""))=0,"",IF($B53="","",IFERROR(INDEX('Auxiliar Resultados'!$C$9:$BO$50,MATCH($B53,'Auxiliar Resultados'!$B$9:$B$50,0),MATCH(CONCATENATE($C53,H$7),'Auxiliar Resultados'!$C$6:$BO$6,0)),"")))</f>
        <v/>
      </c>
      <c r="I53" s="52" t="str">
        <f>+IF(IF($B53="","",IFERROR(INDEX('Auxiliar Resultados'!$C$9:$BO$50,MATCH($B53,'Auxiliar Resultados'!$B$9:$B$50,0),MATCH(CONCATENATE($C53,I$7),'Auxiliar Resultados'!$C$6:$BO$6,0)),""))=0,"",IF($B53="","",IFERROR(INDEX('Auxiliar Resultados'!$C$9:$BO$50,MATCH($B53,'Auxiliar Resultados'!$B$9:$B$50,0),MATCH(CONCATENATE($C53,I$7),'Auxiliar Resultados'!$C$6:$BO$6,0)),"")))</f>
        <v/>
      </c>
      <c r="J53" s="52" t="str">
        <f>+IF(IF($B53="","",IFERROR(INDEX('Auxiliar Resultados'!$C$9:$BO$50,MATCH($B53,'Auxiliar Resultados'!$B$9:$B$50,0),MATCH(CONCATENATE($C53,J$7),'Auxiliar Resultados'!$C$6:$BO$6,0)),""))=0,"",IF($B53="","",IFERROR(INDEX('Auxiliar Resultados'!$C$9:$BO$50,MATCH($B53,'Auxiliar Resultados'!$B$9:$B$50,0),MATCH(CONCATENATE($C53,J$7),'Auxiliar Resultados'!$C$6:$BO$6,0)),"")))</f>
        <v/>
      </c>
      <c r="K53" s="52" t="str">
        <f>+IF(IF($B53="","",IFERROR(INDEX('Auxiliar Resultados'!$C$9:$BO$50,MATCH($B53,'Auxiliar Resultados'!$B$9:$B$50,0),MATCH(CONCATENATE($C53,K$7),'Auxiliar Resultados'!$C$6:$BO$6,0)),""))=0,"",IF($B53="","",IFERROR(INDEX('Auxiliar Resultados'!$C$9:$BO$50,MATCH($B53,'Auxiliar Resultados'!$B$9:$B$50,0),MATCH(CONCATENATE($C53,K$7),'Auxiliar Resultados'!$C$6:$BO$6,0)),"")))</f>
        <v/>
      </c>
      <c r="L53" s="52" t="str">
        <f>+IF(IF($B53="","",IFERROR(INDEX('Auxiliar Resultados'!$C$9:$BO$50,MATCH($B53,'Auxiliar Resultados'!$B$9:$B$50,0),MATCH(CONCATENATE($C53,L$7),'Auxiliar Resultados'!$C$6:$BO$6,0)),""))=0,"",IF($B53="","",IFERROR(INDEX('Auxiliar Resultados'!$C$9:$BO$50,MATCH($B53,'Auxiliar Resultados'!$B$9:$B$50,0),MATCH(CONCATENATE($C53,L$7),'Auxiliar Resultados'!$C$6:$BO$6,0)),"")))</f>
        <v/>
      </c>
      <c r="M53" s="52" t="str">
        <f>+IF(IF($B53="","",IFERROR(INDEX('Auxiliar Resultados'!$C$9:$BO$50,MATCH($B53,'Auxiliar Resultados'!$B$9:$B$50,0),MATCH(CONCATENATE($C53,M$7),'Auxiliar Resultados'!$C$6:$BO$6,0)),""))=0,"",IF($B53="","",IFERROR(INDEX('Auxiliar Resultados'!$C$9:$BO$50,MATCH($B53,'Auxiliar Resultados'!$B$9:$B$50,0),MATCH(CONCATENATE($C53,M$7),'Auxiliar Resultados'!$C$6:$BO$6,0)),"")))</f>
        <v/>
      </c>
      <c r="N53" s="52" t="str">
        <f>+IF(IF($B53="","",IFERROR(INDEX('Auxiliar Resultados'!$C$9:$BO$50,MATCH($B53,'Auxiliar Resultados'!$B$9:$B$50,0),MATCH(CONCATENATE($C53,N$7),'Auxiliar Resultados'!$C$6:$BO$6,0)),""))=0,"",IF($B53="","",IFERROR(INDEX('Auxiliar Resultados'!$C$9:$BO$50,MATCH($B53,'Auxiliar Resultados'!$B$9:$B$50,0),MATCH(CONCATENATE($C53,N$7),'Auxiliar Resultados'!$C$6:$BO$6,0)),"")))</f>
        <v/>
      </c>
      <c r="O53" s="52" t="str">
        <f>+IF(IF($B53="","",IFERROR(INDEX('Auxiliar Resultados'!$C$9:$BO$50,MATCH($B53,'Auxiliar Resultados'!$B$9:$B$50,0),MATCH(CONCATENATE($C53,O$7),'Auxiliar Resultados'!$C$6:$BO$6,0)),""))=0,"",IF($B53="","",IFERROR(INDEX('Auxiliar Resultados'!$C$9:$BO$50,MATCH($B53,'Auxiliar Resultados'!$B$9:$B$50,0),MATCH(CONCATENATE($C53,O$7),'Auxiliar Resultados'!$C$6:$BO$6,0)),"")))</f>
        <v/>
      </c>
      <c r="P53" s="52" t="str">
        <f>+IF(IF($B53="","",IFERROR(INDEX('Auxiliar Resultados'!$C$9:$BO$50,MATCH($B53,'Auxiliar Resultados'!$B$9:$B$50,0),MATCH(CONCATENATE($C53,P$7),'Auxiliar Resultados'!$C$6:$BO$6,0)),""))=0,"",IF($B53="","",IFERROR(INDEX('Auxiliar Resultados'!$C$9:$BO$50,MATCH($B53,'Auxiliar Resultados'!$B$9:$B$50,0),MATCH(CONCATENATE($C53,P$7),'Auxiliar Resultados'!$C$6:$BO$6,0)),"")))</f>
        <v/>
      </c>
      <c r="Q53" s="52" t="str">
        <f>+IF(IF($B53="","",IFERROR(INDEX('Auxiliar Resultados'!$C$9:$BO$50,MATCH($B53,'Auxiliar Resultados'!$B$9:$B$50,0),MATCH(CONCATENATE($C53,Q$7),'Auxiliar Resultados'!$C$6:$BO$6,0)),""))=0,"",IF($B53="","",IFERROR(INDEX('Auxiliar Resultados'!$C$9:$BO$50,MATCH($B53,'Auxiliar Resultados'!$B$9:$B$50,0),MATCH(CONCATENATE($C53,Q$7),'Auxiliar Resultados'!$C$6:$BO$6,0)),"")))</f>
        <v/>
      </c>
      <c r="R53" s="52" t="str">
        <f>+IF(IF($B53="","",IFERROR(INDEX('Auxiliar Resultados'!$C$9:$BO$50,MATCH($B53,'Auxiliar Resultados'!$B$9:$B$50,0),MATCH(CONCATENATE($C53,R$7),'Auxiliar Resultados'!$C$6:$BO$6,0)),""))=0,"",IF($B53="","",IFERROR(INDEX('Auxiliar Resultados'!$C$9:$BO$50,MATCH($B53,'Auxiliar Resultados'!$B$9:$B$50,0),MATCH(CONCATENATE($C53,R$7),'Auxiliar Resultados'!$C$6:$BO$6,0)),"")))</f>
        <v/>
      </c>
      <c r="S53" s="52" t="str">
        <f>+IF(IF($B53="","",IFERROR(INDEX('Auxiliar Resultados'!$C$9:$BO$50,MATCH($B53,'Auxiliar Resultados'!$B$9:$B$50,0),MATCH(CONCATENATE($C53,S$7),'Auxiliar Resultados'!$C$6:$BO$6,0)),""))=0,"",IF($B53="","",IFERROR(INDEX('Auxiliar Resultados'!$C$9:$BO$50,MATCH($B53,'Auxiliar Resultados'!$B$9:$B$50,0),MATCH(CONCATENATE($C53,S$7),'Auxiliar Resultados'!$C$6:$BO$6,0)),"")))</f>
        <v/>
      </c>
      <c r="T53" s="52" t="str">
        <f>+IF(IF($B53="","",IFERROR(INDEX('Auxiliar Resultados'!$C$9:$BO$50,MATCH($B53,'Auxiliar Resultados'!$B$9:$B$50,0),MATCH(CONCATENATE($C53,T$7),'Auxiliar Resultados'!$C$6:$BO$6,0)),""))=0,"",IF($B53="","",IFERROR(INDEX('Auxiliar Resultados'!$C$9:$BO$50,MATCH($B53,'Auxiliar Resultados'!$B$9:$B$50,0),MATCH(CONCATENATE($C53,T$7),'Auxiliar Resultados'!$C$6:$BO$6,0)),"")))</f>
        <v/>
      </c>
      <c r="U53" s="52" t="str">
        <f>+IF(IF($B53="","",IFERROR(INDEX('Auxiliar Resultados'!$C$9:$BO$50,MATCH($B53,'Auxiliar Resultados'!$B$9:$B$50,0),MATCH(CONCATENATE($C53,U$7),'Auxiliar Resultados'!$C$6:$BO$6,0)),""))=0,"",IF($B53="","",IFERROR(INDEX('Auxiliar Resultados'!$C$9:$BO$50,MATCH($B53,'Auxiliar Resultados'!$B$9:$B$50,0),MATCH(CONCATENATE($C53,U$7),'Auxiliar Resultados'!$C$6:$BO$6,0)),"")))</f>
        <v/>
      </c>
      <c r="V53" s="52" t="str">
        <f>+IF(IF($B53="","",IFERROR(INDEX('Auxiliar Resultados'!$C$9:$BO$50,MATCH($B53,'Auxiliar Resultados'!$B$9:$B$50,0),MATCH(CONCATENATE($C53,V$7),'Auxiliar Resultados'!$C$6:$BO$6,0)),""))=0,"",IF($B53="","",IFERROR(INDEX('Auxiliar Resultados'!$C$9:$BO$50,MATCH($B53,'Auxiliar Resultados'!$B$9:$B$50,0),MATCH(CONCATENATE($C53,V$7),'Auxiliar Resultados'!$C$6:$BO$6,0)),"")))</f>
        <v/>
      </c>
      <c r="W53" s="52" t="str">
        <f>+IF(IF($B53="","",IFERROR(INDEX('Auxiliar Resultados'!$C$9:$BO$50,MATCH($B53,'Auxiliar Resultados'!$B$9:$B$50,0),MATCH(CONCATENATE($C53,W$7),'Auxiliar Resultados'!$C$6:$BO$6,0)),""))=0,"",IF($B53="","",IFERROR(INDEX('Auxiliar Resultados'!$C$9:$BO$50,MATCH($B53,'Auxiliar Resultados'!$B$9:$B$50,0),MATCH(CONCATENATE($C53,W$7),'Auxiliar Resultados'!$C$6:$BO$6,0)),"")))</f>
        <v/>
      </c>
      <c r="X53" s="52" t="str">
        <f>+IF(IF($B53="","",IFERROR(INDEX('Auxiliar Resultados'!$C$9:$BO$50,MATCH($B53,'Auxiliar Resultados'!$B$9:$B$50,0),MATCH(CONCATENATE($C53,X$7),'Auxiliar Resultados'!$C$6:$BO$6,0)),""))=0,"",IF($B53="","",IFERROR(INDEX('Auxiliar Resultados'!$C$9:$BO$50,MATCH($B53,'Auxiliar Resultados'!$B$9:$B$50,0),MATCH(CONCATENATE($C53,X$7),'Auxiliar Resultados'!$C$6:$BO$6,0)),"")))</f>
        <v/>
      </c>
      <c r="Y53" s="52" t="str">
        <f>+IF(IF($B53="","",IFERROR(INDEX('Auxiliar Resultados'!$C$9:$BO$50,MATCH($B53,'Auxiliar Resultados'!$B$9:$B$50,0),MATCH(CONCATENATE($C53,Y$7),'Auxiliar Resultados'!$C$6:$BO$6,0)),""))=0,"",IF($B53="","",IFERROR(INDEX('Auxiliar Resultados'!$C$9:$BO$50,MATCH($B53,'Auxiliar Resultados'!$B$9:$B$50,0),MATCH(CONCATENATE($C53,Y$7),'Auxiliar Resultados'!$C$6:$BO$6,0)),"")))</f>
        <v/>
      </c>
      <c r="Z53" s="52" t="str">
        <f>+IF(IF($B53="","",IFERROR(INDEX('Auxiliar Resultados'!$C$9:$BO$50,MATCH($B53,'Auxiliar Resultados'!$B$9:$B$50,0),MATCH(CONCATENATE($C53,Z$7),'Auxiliar Resultados'!$C$6:$BO$6,0)),""))=0,"",IF($B53="","",IFERROR(INDEX('Auxiliar Resultados'!$C$9:$BO$50,MATCH($B53,'Auxiliar Resultados'!$B$9:$B$50,0),MATCH(CONCATENATE($C53,Z$7),'Auxiliar Resultados'!$C$6:$BO$6,0)),"")))</f>
        <v/>
      </c>
      <c r="AA53" s="52" t="str">
        <f>+IF(IF($B53="","",IFERROR(INDEX('Auxiliar Resultados'!$C$9:$BO$50,MATCH($B53,'Auxiliar Resultados'!$B$9:$B$50,0),MATCH(CONCATENATE($C53,AA$7),'Auxiliar Resultados'!$C$6:$BO$6,0)),""))=0,"",IF($B53="","",IFERROR(INDEX('Auxiliar Resultados'!$C$9:$BO$50,MATCH($B53,'Auxiliar Resultados'!$B$9:$B$50,0),MATCH(CONCATENATE($C53,AA$7),'Auxiliar Resultados'!$C$6:$BO$6,0)),"")))</f>
        <v/>
      </c>
      <c r="AB53" s="52" t="str">
        <f>+IF(IF($B53="","",IFERROR(INDEX('Auxiliar Resultados'!$C$9:$BO$50,MATCH($B53,'Auxiliar Resultados'!$B$9:$B$50,0),MATCH(CONCATENATE($C53,AB$7),'Auxiliar Resultados'!$C$6:$BO$6,0)),""))=0,"",IF($B53="","",IFERROR(INDEX('Auxiliar Resultados'!$C$9:$BO$50,MATCH($B53,'Auxiliar Resultados'!$B$9:$B$50,0),MATCH(CONCATENATE($C53,AB$7),'Auxiliar Resultados'!$C$6:$BO$6,0)),"")))</f>
        <v/>
      </c>
      <c r="AC53" s="52" t="str">
        <f>+IF(IF($B53="","",IFERROR(INDEX('Auxiliar Resultados'!$C$9:$BO$50,MATCH($B53,'Auxiliar Resultados'!$B$9:$B$50,0),MATCH(CONCATENATE($C53,AC$7),'Auxiliar Resultados'!$C$6:$BO$6,0)),""))=0,"",IF($B53="","",IFERROR(INDEX('Auxiliar Resultados'!$C$9:$BO$50,MATCH($B53,'Auxiliar Resultados'!$B$9:$B$50,0),MATCH(CONCATENATE($C53,AC$7),'Auxiliar Resultados'!$C$6:$BO$6,0)),"")))</f>
        <v/>
      </c>
      <c r="AD53" s="52" t="str">
        <f>+IF(IF($B53="","",IFERROR(INDEX('Auxiliar Resultados'!$C$9:$BO$50,MATCH($B53,'Auxiliar Resultados'!$B$9:$B$50,0),MATCH(CONCATENATE($C53,AD$7),'Auxiliar Resultados'!$C$6:$BO$6,0)),""))=0,"",IF($B53="","",IFERROR(INDEX('Auxiliar Resultados'!$C$9:$BO$50,MATCH($B53,'Auxiliar Resultados'!$B$9:$B$50,0),MATCH(CONCATENATE($C53,AD$7),'Auxiliar Resultados'!$C$6:$BO$6,0)),"")))</f>
        <v/>
      </c>
      <c r="AE53" s="52" t="str">
        <f>+IF(IF($B53="","",IFERROR(INDEX('Auxiliar Resultados'!$C$9:$BO$50,MATCH($B53,'Auxiliar Resultados'!$B$9:$B$50,0),MATCH(CONCATENATE($C53,AE$7),'Auxiliar Resultados'!$C$6:$BO$6,0)),""))=0,"",IF($B53="","",IFERROR(INDEX('Auxiliar Resultados'!$C$9:$BO$50,MATCH($B53,'Auxiliar Resultados'!$B$9:$B$50,0),MATCH(CONCATENATE($C53,AE$7),'Auxiliar Resultados'!$C$6:$BO$6,0)),"")))</f>
        <v/>
      </c>
      <c r="AF53" s="52" t="str">
        <f>+IF(IF($B53="","",IFERROR(INDEX('Auxiliar Resultados'!$C$9:$BO$50,MATCH($B53,'Auxiliar Resultados'!$B$9:$B$50,0),MATCH(CONCATENATE($C53,AF$7),'Auxiliar Resultados'!$C$6:$BO$6,0)),""))=0,"",IF($B53="","",IFERROR(INDEX('Auxiliar Resultados'!$C$9:$BO$50,MATCH($B53,'Auxiliar Resultados'!$B$9:$B$50,0),MATCH(CONCATENATE($C53,AF$7),'Auxiliar Resultados'!$C$6:$BO$6,0)),"")))</f>
        <v/>
      </c>
      <c r="AG53" s="52" t="str">
        <f>+IF(IF($B53="","",IFERROR(INDEX('Auxiliar Resultados'!$C$9:$BO$50,MATCH($B53,'Auxiliar Resultados'!$B$9:$B$50,0),MATCH(CONCATENATE($C53,AG$7),'Auxiliar Resultados'!$C$6:$BO$6,0)),""))=0,"",IF($B53="","",IFERROR(INDEX('Auxiliar Resultados'!$C$9:$BO$50,MATCH($B53,'Auxiliar Resultados'!$B$9:$B$50,0),MATCH(CONCATENATE($C53,AG$7),'Auxiliar Resultados'!$C$6:$BO$6,0)),"")))</f>
        <v/>
      </c>
      <c r="AH53" s="52" t="str">
        <f>+IF(IF($B53="","",IFERROR(INDEX('Auxiliar Resultados'!$C$9:$BO$50,MATCH($B53,'Auxiliar Resultados'!$B$9:$B$50,0),MATCH(CONCATENATE($C53,AH$7),'Auxiliar Resultados'!$C$6:$BO$6,0)),""))=0,"",IF($B53="","",IFERROR(INDEX('Auxiliar Resultados'!$C$9:$BO$50,MATCH($B53,'Auxiliar Resultados'!$B$9:$B$50,0),MATCH(CONCATENATE($C53,AH$7),'Auxiliar Resultados'!$C$6:$BO$6,0)),"")))</f>
        <v/>
      </c>
      <c r="AI53" s="52" t="str">
        <f>+IF(IF($B53="","",IFERROR(INDEX('Auxiliar Resultados'!$C$9:$BO$50,MATCH($B53,'Auxiliar Resultados'!$B$9:$B$50,0),MATCH(CONCATENATE($C53,AI$7),'Auxiliar Resultados'!$C$6:$BO$6,0)),""))=0,"",IF($B53="","",IFERROR(INDEX('Auxiliar Resultados'!$C$9:$BO$50,MATCH($B53,'Auxiliar Resultados'!$B$9:$B$50,0),MATCH(CONCATENATE($C53,AI$7),'Auxiliar Resultados'!$C$6:$BO$6,0)),"")))</f>
        <v/>
      </c>
      <c r="AJ53" s="52" t="str">
        <f>+IF(IF($B53="","",IFERROR(INDEX('Auxiliar Resultados'!$C$9:$BO$50,MATCH($B53,'Auxiliar Resultados'!$B$9:$B$50,0),MATCH(CONCATENATE($C53,AJ$7),'Auxiliar Resultados'!$C$6:$BO$6,0)),""))=0,"",IF($B53="","",IFERROR(INDEX('Auxiliar Resultados'!$C$9:$BO$50,MATCH($B53,'Auxiliar Resultados'!$B$9:$B$50,0),MATCH(CONCATENATE($C53,AJ$7),'Auxiliar Resultados'!$C$6:$BO$6,0)),"")))</f>
        <v/>
      </c>
      <c r="AK53" s="52" t="str">
        <f>+IF(IF($B53="","",IFERROR(INDEX('Auxiliar Resultados'!$C$9:$BO$50,MATCH($B53,'Auxiliar Resultados'!$B$9:$B$50,0),MATCH(CONCATENATE($C53,AK$7),'Auxiliar Resultados'!$C$6:$BO$6,0)),""))=0,"",IF($B53="","",IFERROR(INDEX('Auxiliar Resultados'!$C$9:$BO$50,MATCH($B53,'Auxiliar Resultados'!$B$9:$B$50,0),MATCH(CONCATENATE($C53,AK$7),'Auxiliar Resultados'!$C$6:$BO$6,0)),"")))</f>
        <v/>
      </c>
      <c r="AL53" s="52" t="str">
        <f>+IF(IF($B53="","",IFERROR(INDEX('Auxiliar Resultados'!$C$9:$BO$50,MATCH($B53,'Auxiliar Resultados'!$B$9:$B$50,0),MATCH(CONCATENATE($C53,AL$7),'Auxiliar Resultados'!$C$6:$BO$6,0)),""))=0,"",IF($B53="","",IFERROR(INDEX('Auxiliar Resultados'!$C$9:$BO$50,MATCH($B53,'Auxiliar Resultados'!$B$9:$B$50,0),MATCH(CONCATENATE($C53,AL$7),'Auxiliar Resultados'!$C$6:$BO$6,0)),"")))</f>
        <v/>
      </c>
      <c r="AM53" s="52" t="str">
        <f>+IF(IF($B53="","",IFERROR(INDEX('Auxiliar Resultados'!$C$9:$BO$50,MATCH($B53,'Auxiliar Resultados'!$B$9:$B$50,0),MATCH(CONCATENATE($C53,AM$7),'Auxiliar Resultados'!$C$6:$BO$6,0)),""))=0,"",IF($B53="","",IFERROR(INDEX('Auxiliar Resultados'!$C$9:$BO$50,MATCH($B53,'Auxiliar Resultados'!$B$9:$B$50,0),MATCH(CONCATENATE($C53,AM$7),'Auxiliar Resultados'!$C$6:$BO$6,0)),"")))</f>
        <v/>
      </c>
      <c r="AN53" s="52" t="str">
        <f>+IF(IF($B53="","",IFERROR(INDEX('Auxiliar Resultados'!$C$9:$BO$50,MATCH($B53,'Auxiliar Resultados'!$B$9:$B$50,0),MATCH(CONCATENATE($C53,AN$7),'Auxiliar Resultados'!$C$6:$BO$6,0)),""))=0,"",IF($B53="","",IFERROR(INDEX('Auxiliar Resultados'!$C$9:$BO$50,MATCH($B53,'Auxiliar Resultados'!$B$9:$B$50,0),MATCH(CONCATENATE($C53,AN$7),'Auxiliar Resultados'!$C$6:$BO$6,0)),"")))</f>
        <v/>
      </c>
      <c r="AO53" s="52" t="str">
        <f>+IF(IF($B53="","",IFERROR(INDEX('Auxiliar Resultados'!$C$9:$BO$50,MATCH($B53,'Auxiliar Resultados'!$B$9:$B$50,0),MATCH(CONCATENATE($C53,AO$7),'Auxiliar Resultados'!$C$6:$BO$6,0)),""))=0,"",IF($B53="","",IFERROR(INDEX('Auxiliar Resultados'!$C$9:$BO$50,MATCH($B53,'Auxiliar Resultados'!$B$9:$B$50,0),MATCH(CONCATENATE($C53,AO$7),'Auxiliar Resultados'!$C$6:$BO$6,0)),"")))</f>
        <v/>
      </c>
      <c r="AP53" s="52" t="str">
        <f>+IF(IF($B53="","",IFERROR(INDEX('Auxiliar Resultados'!$C$9:$BO$50,MATCH($B53,'Auxiliar Resultados'!$B$9:$B$50,0),MATCH(CONCATENATE($C53,AP$7),'Auxiliar Resultados'!$C$6:$BO$6,0)),""))=0,"",IF($B53="","",IFERROR(INDEX('Auxiliar Resultados'!$C$9:$BO$50,MATCH($B53,'Auxiliar Resultados'!$B$9:$B$50,0),MATCH(CONCATENATE($C53,AP$7),'Auxiliar Resultados'!$C$6:$BO$6,0)),"")))</f>
        <v/>
      </c>
      <c r="AQ53" s="276" t="str">
        <f>+IF(IF($B53="","",IFERROR(INDEX('Auxiliar Resultados'!$C$9:$BO$50,MATCH($B53,'Auxiliar Resultados'!$B$9:$B$50,0),MATCH(CONCATENATE($C53,AQ$7),'Auxiliar Resultados'!$C$6:$BO$6,0)),""))=0,"",IF($B53="","",IFERROR(INDEX('Auxiliar Resultados'!$C$9:$BO$50,MATCH($B53,'Auxiliar Resultados'!$B$9:$B$50,0),MATCH(CONCATENATE($C53,AQ$7),'Auxiliar Resultados'!$C$6:$BO$6,0)),"")))</f>
        <v/>
      </c>
      <c r="AS53" s="46" t="str">
        <f t="shared" si="5"/>
        <v/>
      </c>
      <c r="AT53" s="292" t="str">
        <f t="shared" si="6"/>
        <v/>
      </c>
      <c r="AU53" s="36" t="str">
        <f>+IF(G53="","",INDEX('Modelo Optimización'!$AZ$4:$CO$149,MATCH(CONCATENATE(AU$7,$AT53),'Modelo Optimización'!$CQ$4:$CQ$149,0),MATCH($AS53,'Modelo Optimización'!$AZ$3:$CO$3,0)))</f>
        <v/>
      </c>
      <c r="AV53" s="32" t="str">
        <f>+IF(H53="","",INDEX('Modelo Optimización'!$AZ$4:$CO$149,MATCH(CONCATENATE(AV$7,$AT53),'Modelo Optimización'!$CQ$4:$CQ$149,0),MATCH($AS53,'Modelo Optimización'!$AZ$3:$CO$3,0)))</f>
        <v/>
      </c>
      <c r="AW53" s="32" t="str">
        <f>+IF(I53="","",INDEX('Modelo Optimización'!$AZ$4:$CO$149,MATCH(CONCATENATE(AW$7,$AT53),'Modelo Optimización'!$CQ$4:$CQ$149,0),MATCH($AS53,'Modelo Optimización'!$AZ$3:$CO$3,0)))</f>
        <v/>
      </c>
      <c r="AX53" s="32" t="str">
        <f>+IF(J53="","",INDEX('Modelo Optimización'!$AZ$4:$CO$149,MATCH(CONCATENATE(AX$7,$AT53),'Modelo Optimización'!$CQ$4:$CQ$149,0),MATCH($AS53,'Modelo Optimización'!$AZ$3:$CO$3,0)))</f>
        <v/>
      </c>
      <c r="AY53" s="32" t="str">
        <f>+IF(K53="","",INDEX('Modelo Optimización'!$AZ$4:$CO$149,MATCH(CONCATENATE(AY$7,$AT53),'Modelo Optimización'!$CQ$4:$CQ$149,0),MATCH($AS53,'Modelo Optimización'!$AZ$3:$CO$3,0)))</f>
        <v/>
      </c>
      <c r="AZ53" s="32" t="str">
        <f>+IF(L53="","",INDEX('Modelo Optimización'!$AZ$4:$CO$149,MATCH(CONCATENATE(AZ$7,$AT53),'Modelo Optimización'!$CQ$4:$CQ$149,0),MATCH($AS53,'Modelo Optimización'!$AZ$3:$CO$3,0)))</f>
        <v/>
      </c>
      <c r="BA53" s="32" t="str">
        <f>+IF(M53="","",INDEX('Modelo Optimización'!$AZ$4:$CO$149,MATCH(CONCATENATE(BA$7,$AT53),'Modelo Optimización'!$CQ$4:$CQ$149,0),MATCH($AS53,'Modelo Optimización'!$AZ$3:$CO$3,0)))</f>
        <v/>
      </c>
      <c r="BB53" s="32" t="str">
        <f>+IF(N53="","",INDEX('Modelo Optimización'!$AZ$4:$CO$149,MATCH(CONCATENATE(BB$7,$AT53),'Modelo Optimización'!$CQ$4:$CQ$149,0),MATCH($AS53,'Modelo Optimización'!$AZ$3:$CO$3,0)))</f>
        <v/>
      </c>
      <c r="BC53" s="32" t="str">
        <f>+IF(O53="","",INDEX('Modelo Optimización'!$AZ$4:$CO$149,MATCH(CONCATENATE(BC$7,$AT53),'Modelo Optimización'!$CQ$4:$CQ$149,0),MATCH($AS53,'Modelo Optimización'!$AZ$3:$CO$3,0)))</f>
        <v/>
      </c>
      <c r="BD53" s="32" t="str">
        <f>+IF(P53="","",INDEX('Modelo Optimización'!$AZ$4:$CO$149,MATCH(CONCATENATE(BD$7,$AT53),'Modelo Optimización'!$CQ$4:$CQ$149,0),MATCH($AS53,'Modelo Optimización'!$AZ$3:$CO$3,0)))</f>
        <v/>
      </c>
      <c r="BE53" s="32" t="str">
        <f>+IF(Q53="","",INDEX('Modelo Optimización'!$AZ$4:$CO$149,MATCH(CONCATENATE(BE$7,$AT53),'Modelo Optimización'!$CQ$4:$CQ$149,0),MATCH($AS53,'Modelo Optimización'!$AZ$3:$CO$3,0)))</f>
        <v/>
      </c>
      <c r="BF53" s="32" t="str">
        <f>+IF(R53="","",INDEX('Modelo Optimización'!$AZ$4:$CO$149,MATCH(CONCATENATE(BF$7,$AT53),'Modelo Optimización'!$CQ$4:$CQ$149,0),MATCH($AS53,'Modelo Optimización'!$AZ$3:$CO$3,0)))</f>
        <v/>
      </c>
      <c r="BG53" s="32" t="str">
        <f>+IF(S53="","",INDEX('Modelo Optimización'!$AZ$4:$CO$149,MATCH(CONCATENATE(BG$7,$AT53),'Modelo Optimización'!$CQ$4:$CQ$149,0),MATCH($AS53,'Modelo Optimización'!$AZ$3:$CO$3,0)))</f>
        <v/>
      </c>
      <c r="BH53" s="32" t="str">
        <f>+IF(T53="","",INDEX('Modelo Optimización'!$AZ$4:$CO$149,MATCH(CONCATENATE(BH$7,$AT53),'Modelo Optimización'!$CQ$4:$CQ$149,0),MATCH($AS53,'Modelo Optimización'!$AZ$3:$CO$3,0)))</f>
        <v/>
      </c>
      <c r="BI53" s="32" t="str">
        <f>+IF(U53="","",INDEX('Modelo Optimización'!$AZ$4:$CO$149,MATCH(CONCATENATE(BI$7,$AT53),'Modelo Optimización'!$CQ$4:$CQ$149,0),MATCH($AS53,'Modelo Optimización'!$AZ$3:$CO$3,0)))</f>
        <v/>
      </c>
      <c r="BJ53" s="32" t="str">
        <f>+IF(V53="","",INDEX('Modelo Optimización'!$AZ$4:$CO$149,MATCH(CONCATENATE(BJ$7,$AT53),'Modelo Optimización'!$CQ$4:$CQ$149,0),MATCH($AS53,'Modelo Optimización'!$AZ$3:$CO$3,0)))</f>
        <v/>
      </c>
      <c r="BK53" s="32" t="str">
        <f>+IF(W53="","",INDEX('Modelo Optimización'!$AZ$4:$CO$149,MATCH(CONCATENATE(BK$7,$AT53),'Modelo Optimización'!$CQ$4:$CQ$149,0),MATCH($AS53,'Modelo Optimización'!$AZ$3:$CO$3,0)))</f>
        <v/>
      </c>
      <c r="BL53" s="32" t="str">
        <f>+IF(X53="","",INDEX('Modelo Optimización'!$AZ$4:$CO$149,MATCH(CONCATENATE(BL$7,$AT53),'Modelo Optimización'!$CQ$4:$CQ$149,0),MATCH($AS53,'Modelo Optimización'!$AZ$3:$CO$3,0)))</f>
        <v/>
      </c>
      <c r="BM53" s="32" t="str">
        <f>+IF(Y53="","",INDEX('Modelo Optimización'!$AZ$4:$CO$149,MATCH(CONCATENATE(BM$7,$AT53),'Modelo Optimización'!$CQ$4:$CQ$149,0),MATCH($AS53,'Modelo Optimización'!$AZ$3:$CO$3,0)))</f>
        <v/>
      </c>
      <c r="BN53" s="32" t="str">
        <f>+IF(Z53="","",INDEX('Modelo Optimización'!$AZ$4:$CO$149,MATCH(CONCATENATE(BN$7,$AT53),'Modelo Optimización'!$CQ$4:$CQ$149,0),MATCH($AS53,'Modelo Optimización'!$AZ$3:$CO$3,0)))</f>
        <v/>
      </c>
      <c r="BO53" s="32" t="str">
        <f>+IF(AA53="","",INDEX('Modelo Optimización'!$AZ$4:$CO$149,MATCH(CONCATENATE(BO$7,$AT53),'Modelo Optimización'!$CQ$4:$CQ$149,0),MATCH($AS53,'Modelo Optimización'!$AZ$3:$CO$3,0)))</f>
        <v/>
      </c>
      <c r="BP53" s="32" t="str">
        <f>+IF(AB53="","",INDEX('Modelo Optimización'!$AZ$4:$CO$149,MATCH(CONCATENATE(BP$7,$AT53),'Modelo Optimización'!$CQ$4:$CQ$149,0),MATCH($AS53,'Modelo Optimización'!$AZ$3:$CO$3,0)))</f>
        <v/>
      </c>
      <c r="BQ53" s="32" t="str">
        <f>+IF(AC53="","",INDEX('Modelo Optimización'!$AZ$4:$CO$149,MATCH(CONCATENATE(BQ$7,$AT53),'Modelo Optimización'!$CQ$4:$CQ$149,0),MATCH($AS53,'Modelo Optimización'!$AZ$3:$CO$3,0)))</f>
        <v/>
      </c>
      <c r="BR53" s="32" t="str">
        <f>+IF(AD53="","",INDEX('Modelo Optimización'!$AZ$4:$CO$149,MATCH(CONCATENATE(BR$7,$AT53),'Modelo Optimización'!$CQ$4:$CQ$149,0),MATCH($AS53,'Modelo Optimización'!$AZ$3:$CO$3,0)))</f>
        <v/>
      </c>
      <c r="BS53" s="32" t="str">
        <f>+IF(AE53="","",INDEX('Modelo Optimización'!$AZ$4:$CO$149,MATCH(CONCATENATE(BS$7,$AT53),'Modelo Optimización'!$CQ$4:$CQ$149,0),MATCH($AS53,'Modelo Optimización'!$AZ$3:$CO$3,0)))</f>
        <v/>
      </c>
      <c r="BT53" s="32" t="str">
        <f>+IF(AF53="","",INDEX('Modelo Optimización'!$AZ$4:$CO$149,MATCH(CONCATENATE(BT$7,$AT53),'Modelo Optimización'!$CQ$4:$CQ$149,0),MATCH($AS53,'Modelo Optimización'!$AZ$3:$CO$3,0)))</f>
        <v/>
      </c>
      <c r="BU53" s="32" t="str">
        <f>+IF(AG53="","",INDEX('Modelo Optimización'!$AZ$4:$CO$149,MATCH(CONCATENATE(BU$7,$AT53),'Modelo Optimización'!$CQ$4:$CQ$149,0),MATCH($AS53,'Modelo Optimización'!$AZ$3:$CO$3,0)))</f>
        <v/>
      </c>
      <c r="BV53" s="32" t="str">
        <f>+IF(AH53="","",INDEX('Modelo Optimización'!$AZ$4:$CO$149,MATCH(CONCATENATE(BV$7,$AT53),'Modelo Optimización'!$CQ$4:$CQ$149,0),MATCH($AS53,'Modelo Optimización'!$AZ$3:$CO$3,0)))</f>
        <v/>
      </c>
      <c r="BW53" s="32" t="str">
        <f>+IF(AI53="","",INDEX('Modelo Optimización'!$AZ$4:$CO$149,MATCH(CONCATENATE(BW$7,$AT53),'Modelo Optimización'!$CQ$4:$CQ$149,0),MATCH($AS53,'Modelo Optimización'!$AZ$3:$CO$3,0)))</f>
        <v/>
      </c>
      <c r="BX53" s="32" t="str">
        <f>+IF(AJ53="","",INDEX('Modelo Optimización'!$AZ$4:$CO$149,MATCH(CONCATENATE(BX$7,$AT53),'Modelo Optimización'!$CQ$4:$CQ$149,0),MATCH($AS53,'Modelo Optimización'!$AZ$3:$CO$3,0)))</f>
        <v/>
      </c>
      <c r="BY53" s="32" t="str">
        <f>+IF(AK53="","",INDEX('Modelo Optimización'!$AZ$4:$CO$149,MATCH(CONCATENATE(BY$7,$AT53),'Modelo Optimización'!$CQ$4:$CQ$149,0),MATCH($AS53,'Modelo Optimización'!$AZ$3:$CO$3,0)))</f>
        <v/>
      </c>
      <c r="BZ53" s="32" t="str">
        <f>+IF(AL53="","",INDEX('Modelo Optimización'!$AZ$4:$CO$149,MATCH(CONCATENATE(BZ$7,$AT53),'Modelo Optimización'!$CQ$4:$CQ$149,0),MATCH($AS53,'Modelo Optimización'!$AZ$3:$CO$3,0)))</f>
        <v/>
      </c>
      <c r="CA53" s="32" t="str">
        <f>+IF(AM53="","",INDEX('Modelo Optimización'!$AZ$4:$CO$149,MATCH(CONCATENATE(CA$7,$AT53),'Modelo Optimización'!$CQ$4:$CQ$149,0),MATCH($AS53,'Modelo Optimización'!$AZ$3:$CO$3,0)))</f>
        <v/>
      </c>
      <c r="CB53" s="32" t="str">
        <f>+IF(AN53="","",INDEX('Modelo Optimización'!$AZ$4:$CO$149,MATCH(CONCATENATE(CB$7,$AT53),'Modelo Optimización'!$CQ$4:$CQ$149,0),MATCH($AS53,'Modelo Optimización'!$AZ$3:$CO$3,0)))</f>
        <v/>
      </c>
      <c r="CC53" s="32" t="str">
        <f>+IF(AO53="","",INDEX('Modelo Optimización'!$AZ$4:$CO$149,MATCH(CONCATENATE(CC$7,$AT53),'Modelo Optimización'!$CQ$4:$CQ$149,0),MATCH($AS53,'Modelo Optimización'!$AZ$3:$CO$3,0)))</f>
        <v/>
      </c>
      <c r="CD53" s="32" t="str">
        <f>+IF(AP53="","",INDEX('Modelo Optimización'!$AZ$4:$CO$149,MATCH(CONCATENATE(CD$7,$AT53),'Modelo Optimización'!$CQ$4:$CQ$149,0),MATCH($AS53,'Modelo Optimización'!$AZ$3:$CO$3,0)))</f>
        <v/>
      </c>
      <c r="CE53" s="37" t="str">
        <f>+IF(AQ53="","",INDEX('Modelo Optimización'!$AZ$4:$CO$149,MATCH(CONCATENATE(CE$7,$AT53),'Modelo Optimización'!$CQ$4:$CQ$149,0),MATCH($AS53,'Modelo Optimización'!$AZ$3:$CO$3,0)))</f>
        <v/>
      </c>
      <c r="CF53" s="301"/>
      <c r="CG53" s="305" t="str">
        <f t="shared" si="11"/>
        <v/>
      </c>
      <c r="CH53" s="303" t="str">
        <f t="shared" si="7"/>
        <v/>
      </c>
      <c r="CI53" s="292" t="str">
        <f t="shared" si="8"/>
        <v/>
      </c>
      <c r="CJ53" s="36" t="str">
        <f t="shared" si="12"/>
        <v/>
      </c>
      <c r="CK53" s="32" t="str">
        <f t="shared" si="13"/>
        <v/>
      </c>
      <c r="CL53" s="32" t="str">
        <f t="shared" si="14"/>
        <v/>
      </c>
      <c r="CM53" s="32" t="str">
        <f t="shared" si="15"/>
        <v/>
      </c>
      <c r="CN53" s="32" t="str">
        <f t="shared" si="16"/>
        <v/>
      </c>
      <c r="CO53" s="32" t="str">
        <f t="shared" si="17"/>
        <v/>
      </c>
      <c r="CP53" s="32" t="str">
        <f t="shared" si="18"/>
        <v/>
      </c>
      <c r="CQ53" s="32" t="str">
        <f t="shared" si="19"/>
        <v/>
      </c>
      <c r="CR53" s="32" t="str">
        <f t="shared" si="20"/>
        <v/>
      </c>
      <c r="CS53" s="32" t="str">
        <f t="shared" si="21"/>
        <v/>
      </c>
      <c r="CT53" s="32" t="str">
        <f t="shared" si="22"/>
        <v/>
      </c>
      <c r="CU53" s="32" t="str">
        <f t="shared" si="23"/>
        <v/>
      </c>
      <c r="CV53" s="32" t="str">
        <f t="shared" si="24"/>
        <v/>
      </c>
      <c r="CW53" s="32" t="str">
        <f t="shared" si="25"/>
        <v/>
      </c>
      <c r="CX53" s="32" t="str">
        <f t="shared" si="26"/>
        <v/>
      </c>
      <c r="CY53" s="32" t="str">
        <f t="shared" si="27"/>
        <v/>
      </c>
      <c r="CZ53" s="32" t="str">
        <f t="shared" si="28"/>
        <v/>
      </c>
      <c r="DA53" s="32" t="str">
        <f t="shared" si="29"/>
        <v/>
      </c>
      <c r="DB53" s="32" t="str">
        <f t="shared" si="30"/>
        <v/>
      </c>
      <c r="DC53" s="32" t="str">
        <f t="shared" si="31"/>
        <v/>
      </c>
      <c r="DD53" s="32" t="str">
        <f t="shared" si="32"/>
        <v/>
      </c>
      <c r="DE53" s="32" t="str">
        <f t="shared" si="33"/>
        <v/>
      </c>
      <c r="DF53" s="32" t="str">
        <f t="shared" si="34"/>
        <v/>
      </c>
      <c r="DG53" s="32" t="str">
        <f t="shared" si="35"/>
        <v/>
      </c>
      <c r="DH53" s="32" t="str">
        <f t="shared" si="36"/>
        <v/>
      </c>
      <c r="DI53" s="32" t="str">
        <f t="shared" si="37"/>
        <v/>
      </c>
      <c r="DJ53" s="32" t="str">
        <f t="shared" si="38"/>
        <v/>
      </c>
      <c r="DK53" s="32" t="str">
        <f t="shared" si="39"/>
        <v/>
      </c>
      <c r="DL53" s="32" t="str">
        <f t="shared" si="40"/>
        <v/>
      </c>
      <c r="DM53" s="32" t="str">
        <f t="shared" si="41"/>
        <v/>
      </c>
      <c r="DN53" s="32" t="str">
        <f t="shared" si="42"/>
        <v/>
      </c>
      <c r="DO53" s="32" t="str">
        <f t="shared" si="43"/>
        <v/>
      </c>
      <c r="DP53" s="32" t="str">
        <f t="shared" si="44"/>
        <v/>
      </c>
      <c r="DQ53" s="32" t="str">
        <f t="shared" si="45"/>
        <v/>
      </c>
      <c r="DR53" s="32" t="str">
        <f t="shared" si="46"/>
        <v/>
      </c>
      <c r="DS53" s="32" t="str">
        <f t="shared" si="47"/>
        <v/>
      </c>
      <c r="DT53" s="37" t="str">
        <f t="shared" si="48"/>
        <v/>
      </c>
    </row>
    <row r="54" spans="2:124" x14ac:dyDescent="0.35">
      <c r="B54" s="46"/>
      <c r="C54" s="212"/>
      <c r="D54" s="52"/>
      <c r="E54" s="52" t="str">
        <f>+IF(B54="","",IFERROR(SUMIF('Modelo Optimización'!$AS$72:$AS$217,C54,INDEX('Modelo Optimización'!$C$72:$AR$217,,MATCH(B54,'Modelo Optimización'!$C$71:$AR$71,0))),0))</f>
        <v/>
      </c>
      <c r="F54" s="281" t="str">
        <f t="shared" si="10"/>
        <v/>
      </c>
      <c r="G54" s="280" t="str">
        <f>+IF(IF($B54="","",IFERROR(INDEX('Auxiliar Resultados'!$C$9:$BO$50,MATCH($B54,'Auxiliar Resultados'!$B$9:$B$50,0),MATCH(CONCATENATE($C54,G$7),'Auxiliar Resultados'!$C$6:$BO$6,0)),""))=0,"",IF($B54="","",IFERROR(INDEX('Auxiliar Resultados'!$C$9:$BO$50,MATCH($B54,'Auxiliar Resultados'!$B$9:$B$50,0),MATCH(CONCATENATE($C54,G$7),'Auxiliar Resultados'!$C$6:$BO$6,0)),"")))</f>
        <v/>
      </c>
      <c r="H54" s="52" t="str">
        <f>+IF(IF($B54="","",IFERROR(INDEX('Auxiliar Resultados'!$C$9:$BO$50,MATCH($B54,'Auxiliar Resultados'!$B$9:$B$50,0),MATCH(CONCATENATE($C54,H$7),'Auxiliar Resultados'!$C$6:$BO$6,0)),""))=0,"",IF($B54="","",IFERROR(INDEX('Auxiliar Resultados'!$C$9:$BO$50,MATCH($B54,'Auxiliar Resultados'!$B$9:$B$50,0),MATCH(CONCATENATE($C54,H$7),'Auxiliar Resultados'!$C$6:$BO$6,0)),"")))</f>
        <v/>
      </c>
      <c r="I54" s="52" t="str">
        <f>+IF(IF($B54="","",IFERROR(INDEX('Auxiliar Resultados'!$C$9:$BO$50,MATCH($B54,'Auxiliar Resultados'!$B$9:$B$50,0),MATCH(CONCATENATE($C54,I$7),'Auxiliar Resultados'!$C$6:$BO$6,0)),""))=0,"",IF($B54="","",IFERROR(INDEX('Auxiliar Resultados'!$C$9:$BO$50,MATCH($B54,'Auxiliar Resultados'!$B$9:$B$50,0),MATCH(CONCATENATE($C54,I$7),'Auxiliar Resultados'!$C$6:$BO$6,0)),"")))</f>
        <v/>
      </c>
      <c r="J54" s="52" t="str">
        <f>+IF(IF($B54="","",IFERROR(INDEX('Auxiliar Resultados'!$C$9:$BO$50,MATCH($B54,'Auxiliar Resultados'!$B$9:$B$50,0),MATCH(CONCATENATE($C54,J$7),'Auxiliar Resultados'!$C$6:$BO$6,0)),""))=0,"",IF($B54="","",IFERROR(INDEX('Auxiliar Resultados'!$C$9:$BO$50,MATCH($B54,'Auxiliar Resultados'!$B$9:$B$50,0),MATCH(CONCATENATE($C54,J$7),'Auxiliar Resultados'!$C$6:$BO$6,0)),"")))</f>
        <v/>
      </c>
      <c r="K54" s="52" t="str">
        <f>+IF(IF($B54="","",IFERROR(INDEX('Auxiliar Resultados'!$C$9:$BO$50,MATCH($B54,'Auxiliar Resultados'!$B$9:$B$50,0),MATCH(CONCATENATE($C54,K$7),'Auxiliar Resultados'!$C$6:$BO$6,0)),""))=0,"",IF($B54="","",IFERROR(INDEX('Auxiliar Resultados'!$C$9:$BO$50,MATCH($B54,'Auxiliar Resultados'!$B$9:$B$50,0),MATCH(CONCATENATE($C54,K$7),'Auxiliar Resultados'!$C$6:$BO$6,0)),"")))</f>
        <v/>
      </c>
      <c r="L54" s="52" t="str">
        <f>+IF(IF($B54="","",IFERROR(INDEX('Auxiliar Resultados'!$C$9:$BO$50,MATCH($B54,'Auxiliar Resultados'!$B$9:$B$50,0),MATCH(CONCATENATE($C54,L$7),'Auxiliar Resultados'!$C$6:$BO$6,0)),""))=0,"",IF($B54="","",IFERROR(INDEX('Auxiliar Resultados'!$C$9:$BO$50,MATCH($B54,'Auxiliar Resultados'!$B$9:$B$50,0),MATCH(CONCATENATE($C54,L$7),'Auxiliar Resultados'!$C$6:$BO$6,0)),"")))</f>
        <v/>
      </c>
      <c r="M54" s="52" t="str">
        <f>+IF(IF($B54="","",IFERROR(INDEX('Auxiliar Resultados'!$C$9:$BO$50,MATCH($B54,'Auxiliar Resultados'!$B$9:$B$50,0),MATCH(CONCATENATE($C54,M$7),'Auxiliar Resultados'!$C$6:$BO$6,0)),""))=0,"",IF($B54="","",IFERROR(INDEX('Auxiliar Resultados'!$C$9:$BO$50,MATCH($B54,'Auxiliar Resultados'!$B$9:$B$50,0),MATCH(CONCATENATE($C54,M$7),'Auxiliar Resultados'!$C$6:$BO$6,0)),"")))</f>
        <v/>
      </c>
      <c r="N54" s="52" t="str">
        <f>+IF(IF($B54="","",IFERROR(INDEX('Auxiliar Resultados'!$C$9:$BO$50,MATCH($B54,'Auxiliar Resultados'!$B$9:$B$50,0),MATCH(CONCATENATE($C54,N$7),'Auxiliar Resultados'!$C$6:$BO$6,0)),""))=0,"",IF($B54="","",IFERROR(INDEX('Auxiliar Resultados'!$C$9:$BO$50,MATCH($B54,'Auxiliar Resultados'!$B$9:$B$50,0),MATCH(CONCATENATE($C54,N$7),'Auxiliar Resultados'!$C$6:$BO$6,0)),"")))</f>
        <v/>
      </c>
      <c r="O54" s="52" t="str">
        <f>+IF(IF($B54="","",IFERROR(INDEX('Auxiliar Resultados'!$C$9:$BO$50,MATCH($B54,'Auxiliar Resultados'!$B$9:$B$50,0),MATCH(CONCATENATE($C54,O$7),'Auxiliar Resultados'!$C$6:$BO$6,0)),""))=0,"",IF($B54="","",IFERROR(INDEX('Auxiliar Resultados'!$C$9:$BO$50,MATCH($B54,'Auxiliar Resultados'!$B$9:$B$50,0),MATCH(CONCATENATE($C54,O$7),'Auxiliar Resultados'!$C$6:$BO$6,0)),"")))</f>
        <v/>
      </c>
      <c r="P54" s="52" t="str">
        <f>+IF(IF($B54="","",IFERROR(INDEX('Auxiliar Resultados'!$C$9:$BO$50,MATCH($B54,'Auxiliar Resultados'!$B$9:$B$50,0),MATCH(CONCATENATE($C54,P$7),'Auxiliar Resultados'!$C$6:$BO$6,0)),""))=0,"",IF($B54="","",IFERROR(INDEX('Auxiliar Resultados'!$C$9:$BO$50,MATCH($B54,'Auxiliar Resultados'!$B$9:$B$50,0),MATCH(CONCATENATE($C54,P$7),'Auxiliar Resultados'!$C$6:$BO$6,0)),"")))</f>
        <v/>
      </c>
      <c r="Q54" s="52" t="str">
        <f>+IF(IF($B54="","",IFERROR(INDEX('Auxiliar Resultados'!$C$9:$BO$50,MATCH($B54,'Auxiliar Resultados'!$B$9:$B$50,0),MATCH(CONCATENATE($C54,Q$7),'Auxiliar Resultados'!$C$6:$BO$6,0)),""))=0,"",IF($B54="","",IFERROR(INDEX('Auxiliar Resultados'!$C$9:$BO$50,MATCH($B54,'Auxiliar Resultados'!$B$9:$B$50,0),MATCH(CONCATENATE($C54,Q$7),'Auxiliar Resultados'!$C$6:$BO$6,0)),"")))</f>
        <v/>
      </c>
      <c r="R54" s="52" t="str">
        <f>+IF(IF($B54="","",IFERROR(INDEX('Auxiliar Resultados'!$C$9:$BO$50,MATCH($B54,'Auxiliar Resultados'!$B$9:$B$50,0),MATCH(CONCATENATE($C54,R$7),'Auxiliar Resultados'!$C$6:$BO$6,0)),""))=0,"",IF($B54="","",IFERROR(INDEX('Auxiliar Resultados'!$C$9:$BO$50,MATCH($B54,'Auxiliar Resultados'!$B$9:$B$50,0),MATCH(CONCATENATE($C54,R$7),'Auxiliar Resultados'!$C$6:$BO$6,0)),"")))</f>
        <v/>
      </c>
      <c r="S54" s="52" t="str">
        <f>+IF(IF($B54="","",IFERROR(INDEX('Auxiliar Resultados'!$C$9:$BO$50,MATCH($B54,'Auxiliar Resultados'!$B$9:$B$50,0),MATCH(CONCATENATE($C54,S$7),'Auxiliar Resultados'!$C$6:$BO$6,0)),""))=0,"",IF($B54="","",IFERROR(INDEX('Auxiliar Resultados'!$C$9:$BO$50,MATCH($B54,'Auxiliar Resultados'!$B$9:$B$50,0),MATCH(CONCATENATE($C54,S$7),'Auxiliar Resultados'!$C$6:$BO$6,0)),"")))</f>
        <v/>
      </c>
      <c r="T54" s="52" t="str">
        <f>+IF(IF($B54="","",IFERROR(INDEX('Auxiliar Resultados'!$C$9:$BO$50,MATCH($B54,'Auxiliar Resultados'!$B$9:$B$50,0),MATCH(CONCATENATE($C54,T$7),'Auxiliar Resultados'!$C$6:$BO$6,0)),""))=0,"",IF($B54="","",IFERROR(INDEX('Auxiliar Resultados'!$C$9:$BO$50,MATCH($B54,'Auxiliar Resultados'!$B$9:$B$50,0),MATCH(CONCATENATE($C54,T$7),'Auxiliar Resultados'!$C$6:$BO$6,0)),"")))</f>
        <v/>
      </c>
      <c r="U54" s="52" t="str">
        <f>+IF(IF($B54="","",IFERROR(INDEX('Auxiliar Resultados'!$C$9:$BO$50,MATCH($B54,'Auxiliar Resultados'!$B$9:$B$50,0),MATCH(CONCATENATE($C54,U$7),'Auxiliar Resultados'!$C$6:$BO$6,0)),""))=0,"",IF($B54="","",IFERROR(INDEX('Auxiliar Resultados'!$C$9:$BO$50,MATCH($B54,'Auxiliar Resultados'!$B$9:$B$50,0),MATCH(CONCATENATE($C54,U$7),'Auxiliar Resultados'!$C$6:$BO$6,0)),"")))</f>
        <v/>
      </c>
      <c r="V54" s="52" t="str">
        <f>+IF(IF($B54="","",IFERROR(INDEX('Auxiliar Resultados'!$C$9:$BO$50,MATCH($B54,'Auxiliar Resultados'!$B$9:$B$50,0),MATCH(CONCATENATE($C54,V$7),'Auxiliar Resultados'!$C$6:$BO$6,0)),""))=0,"",IF($B54="","",IFERROR(INDEX('Auxiliar Resultados'!$C$9:$BO$50,MATCH($B54,'Auxiliar Resultados'!$B$9:$B$50,0),MATCH(CONCATENATE($C54,V$7),'Auxiliar Resultados'!$C$6:$BO$6,0)),"")))</f>
        <v/>
      </c>
      <c r="W54" s="52" t="str">
        <f>+IF(IF($B54="","",IFERROR(INDEX('Auxiliar Resultados'!$C$9:$BO$50,MATCH($B54,'Auxiliar Resultados'!$B$9:$B$50,0),MATCH(CONCATENATE($C54,W$7),'Auxiliar Resultados'!$C$6:$BO$6,0)),""))=0,"",IF($B54="","",IFERROR(INDEX('Auxiliar Resultados'!$C$9:$BO$50,MATCH($B54,'Auxiliar Resultados'!$B$9:$B$50,0),MATCH(CONCATENATE($C54,W$7),'Auxiliar Resultados'!$C$6:$BO$6,0)),"")))</f>
        <v/>
      </c>
      <c r="X54" s="52" t="str">
        <f>+IF(IF($B54="","",IFERROR(INDEX('Auxiliar Resultados'!$C$9:$BO$50,MATCH($B54,'Auxiliar Resultados'!$B$9:$B$50,0),MATCH(CONCATENATE($C54,X$7),'Auxiliar Resultados'!$C$6:$BO$6,0)),""))=0,"",IF($B54="","",IFERROR(INDEX('Auxiliar Resultados'!$C$9:$BO$50,MATCH($B54,'Auxiliar Resultados'!$B$9:$B$50,0),MATCH(CONCATENATE($C54,X$7),'Auxiliar Resultados'!$C$6:$BO$6,0)),"")))</f>
        <v/>
      </c>
      <c r="Y54" s="52" t="str">
        <f>+IF(IF($B54="","",IFERROR(INDEX('Auxiliar Resultados'!$C$9:$BO$50,MATCH($B54,'Auxiliar Resultados'!$B$9:$B$50,0),MATCH(CONCATENATE($C54,Y$7),'Auxiliar Resultados'!$C$6:$BO$6,0)),""))=0,"",IF($B54="","",IFERROR(INDEX('Auxiliar Resultados'!$C$9:$BO$50,MATCH($B54,'Auxiliar Resultados'!$B$9:$B$50,0),MATCH(CONCATENATE($C54,Y$7),'Auxiliar Resultados'!$C$6:$BO$6,0)),"")))</f>
        <v/>
      </c>
      <c r="Z54" s="52" t="str">
        <f>+IF(IF($B54="","",IFERROR(INDEX('Auxiliar Resultados'!$C$9:$BO$50,MATCH($B54,'Auxiliar Resultados'!$B$9:$B$50,0),MATCH(CONCATENATE($C54,Z$7),'Auxiliar Resultados'!$C$6:$BO$6,0)),""))=0,"",IF($B54="","",IFERROR(INDEX('Auxiliar Resultados'!$C$9:$BO$50,MATCH($B54,'Auxiliar Resultados'!$B$9:$B$50,0),MATCH(CONCATENATE($C54,Z$7),'Auxiliar Resultados'!$C$6:$BO$6,0)),"")))</f>
        <v/>
      </c>
      <c r="AA54" s="52" t="str">
        <f>+IF(IF($B54="","",IFERROR(INDEX('Auxiliar Resultados'!$C$9:$BO$50,MATCH($B54,'Auxiliar Resultados'!$B$9:$B$50,0),MATCH(CONCATENATE($C54,AA$7),'Auxiliar Resultados'!$C$6:$BO$6,0)),""))=0,"",IF($B54="","",IFERROR(INDEX('Auxiliar Resultados'!$C$9:$BO$50,MATCH($B54,'Auxiliar Resultados'!$B$9:$B$50,0),MATCH(CONCATENATE($C54,AA$7),'Auxiliar Resultados'!$C$6:$BO$6,0)),"")))</f>
        <v/>
      </c>
      <c r="AB54" s="52" t="str">
        <f>+IF(IF($B54="","",IFERROR(INDEX('Auxiliar Resultados'!$C$9:$BO$50,MATCH($B54,'Auxiliar Resultados'!$B$9:$B$50,0),MATCH(CONCATENATE($C54,AB$7),'Auxiliar Resultados'!$C$6:$BO$6,0)),""))=0,"",IF($B54="","",IFERROR(INDEX('Auxiliar Resultados'!$C$9:$BO$50,MATCH($B54,'Auxiliar Resultados'!$B$9:$B$50,0),MATCH(CONCATENATE($C54,AB$7),'Auxiliar Resultados'!$C$6:$BO$6,0)),"")))</f>
        <v/>
      </c>
      <c r="AC54" s="52" t="str">
        <f>+IF(IF($B54="","",IFERROR(INDEX('Auxiliar Resultados'!$C$9:$BO$50,MATCH($B54,'Auxiliar Resultados'!$B$9:$B$50,0),MATCH(CONCATENATE($C54,AC$7),'Auxiliar Resultados'!$C$6:$BO$6,0)),""))=0,"",IF($B54="","",IFERROR(INDEX('Auxiliar Resultados'!$C$9:$BO$50,MATCH($B54,'Auxiliar Resultados'!$B$9:$B$50,0),MATCH(CONCATENATE($C54,AC$7),'Auxiliar Resultados'!$C$6:$BO$6,0)),"")))</f>
        <v/>
      </c>
      <c r="AD54" s="52" t="str">
        <f>+IF(IF($B54="","",IFERROR(INDEX('Auxiliar Resultados'!$C$9:$BO$50,MATCH($B54,'Auxiliar Resultados'!$B$9:$B$50,0),MATCH(CONCATENATE($C54,AD$7),'Auxiliar Resultados'!$C$6:$BO$6,0)),""))=0,"",IF($B54="","",IFERROR(INDEX('Auxiliar Resultados'!$C$9:$BO$50,MATCH($B54,'Auxiliar Resultados'!$B$9:$B$50,0),MATCH(CONCATENATE($C54,AD$7),'Auxiliar Resultados'!$C$6:$BO$6,0)),"")))</f>
        <v/>
      </c>
      <c r="AE54" s="52" t="str">
        <f>+IF(IF($B54="","",IFERROR(INDEX('Auxiliar Resultados'!$C$9:$BO$50,MATCH($B54,'Auxiliar Resultados'!$B$9:$B$50,0),MATCH(CONCATENATE($C54,AE$7),'Auxiliar Resultados'!$C$6:$BO$6,0)),""))=0,"",IF($B54="","",IFERROR(INDEX('Auxiliar Resultados'!$C$9:$BO$50,MATCH($B54,'Auxiliar Resultados'!$B$9:$B$50,0),MATCH(CONCATENATE($C54,AE$7),'Auxiliar Resultados'!$C$6:$BO$6,0)),"")))</f>
        <v/>
      </c>
      <c r="AF54" s="52" t="str">
        <f>+IF(IF($B54="","",IFERROR(INDEX('Auxiliar Resultados'!$C$9:$BO$50,MATCH($B54,'Auxiliar Resultados'!$B$9:$B$50,0),MATCH(CONCATENATE($C54,AF$7),'Auxiliar Resultados'!$C$6:$BO$6,0)),""))=0,"",IF($B54="","",IFERROR(INDEX('Auxiliar Resultados'!$C$9:$BO$50,MATCH($B54,'Auxiliar Resultados'!$B$9:$B$50,0),MATCH(CONCATENATE($C54,AF$7),'Auxiliar Resultados'!$C$6:$BO$6,0)),"")))</f>
        <v/>
      </c>
      <c r="AG54" s="52" t="str">
        <f>+IF(IF($B54="","",IFERROR(INDEX('Auxiliar Resultados'!$C$9:$BO$50,MATCH($B54,'Auxiliar Resultados'!$B$9:$B$50,0),MATCH(CONCATENATE($C54,AG$7),'Auxiliar Resultados'!$C$6:$BO$6,0)),""))=0,"",IF($B54="","",IFERROR(INDEX('Auxiliar Resultados'!$C$9:$BO$50,MATCH($B54,'Auxiliar Resultados'!$B$9:$B$50,0),MATCH(CONCATENATE($C54,AG$7),'Auxiliar Resultados'!$C$6:$BO$6,0)),"")))</f>
        <v/>
      </c>
      <c r="AH54" s="52" t="str">
        <f>+IF(IF($B54="","",IFERROR(INDEX('Auxiliar Resultados'!$C$9:$BO$50,MATCH($B54,'Auxiliar Resultados'!$B$9:$B$50,0),MATCH(CONCATENATE($C54,AH$7),'Auxiliar Resultados'!$C$6:$BO$6,0)),""))=0,"",IF($B54="","",IFERROR(INDEX('Auxiliar Resultados'!$C$9:$BO$50,MATCH($B54,'Auxiliar Resultados'!$B$9:$B$50,0),MATCH(CONCATENATE($C54,AH$7),'Auxiliar Resultados'!$C$6:$BO$6,0)),"")))</f>
        <v/>
      </c>
      <c r="AI54" s="52" t="str">
        <f>+IF(IF($B54="","",IFERROR(INDEX('Auxiliar Resultados'!$C$9:$BO$50,MATCH($B54,'Auxiliar Resultados'!$B$9:$B$50,0),MATCH(CONCATENATE($C54,AI$7),'Auxiliar Resultados'!$C$6:$BO$6,0)),""))=0,"",IF($B54="","",IFERROR(INDEX('Auxiliar Resultados'!$C$9:$BO$50,MATCH($B54,'Auxiliar Resultados'!$B$9:$B$50,0),MATCH(CONCATENATE($C54,AI$7),'Auxiliar Resultados'!$C$6:$BO$6,0)),"")))</f>
        <v/>
      </c>
      <c r="AJ54" s="52" t="str">
        <f>+IF(IF($B54="","",IFERROR(INDEX('Auxiliar Resultados'!$C$9:$BO$50,MATCH($B54,'Auxiliar Resultados'!$B$9:$B$50,0),MATCH(CONCATENATE($C54,AJ$7),'Auxiliar Resultados'!$C$6:$BO$6,0)),""))=0,"",IF($B54="","",IFERROR(INDEX('Auxiliar Resultados'!$C$9:$BO$50,MATCH($B54,'Auxiliar Resultados'!$B$9:$B$50,0),MATCH(CONCATENATE($C54,AJ$7),'Auxiliar Resultados'!$C$6:$BO$6,0)),"")))</f>
        <v/>
      </c>
      <c r="AK54" s="52" t="str">
        <f>+IF(IF($B54="","",IFERROR(INDEX('Auxiliar Resultados'!$C$9:$BO$50,MATCH($B54,'Auxiliar Resultados'!$B$9:$B$50,0),MATCH(CONCATENATE($C54,AK$7),'Auxiliar Resultados'!$C$6:$BO$6,0)),""))=0,"",IF($B54="","",IFERROR(INDEX('Auxiliar Resultados'!$C$9:$BO$50,MATCH($B54,'Auxiliar Resultados'!$B$9:$B$50,0),MATCH(CONCATENATE($C54,AK$7),'Auxiliar Resultados'!$C$6:$BO$6,0)),"")))</f>
        <v/>
      </c>
      <c r="AL54" s="52" t="str">
        <f>+IF(IF($B54="","",IFERROR(INDEX('Auxiliar Resultados'!$C$9:$BO$50,MATCH($B54,'Auxiliar Resultados'!$B$9:$B$50,0),MATCH(CONCATENATE($C54,AL$7),'Auxiliar Resultados'!$C$6:$BO$6,0)),""))=0,"",IF($B54="","",IFERROR(INDEX('Auxiliar Resultados'!$C$9:$BO$50,MATCH($B54,'Auxiliar Resultados'!$B$9:$B$50,0),MATCH(CONCATENATE($C54,AL$7),'Auxiliar Resultados'!$C$6:$BO$6,0)),"")))</f>
        <v/>
      </c>
      <c r="AM54" s="52" t="str">
        <f>+IF(IF($B54="","",IFERROR(INDEX('Auxiliar Resultados'!$C$9:$BO$50,MATCH($B54,'Auxiliar Resultados'!$B$9:$B$50,0),MATCH(CONCATENATE($C54,AM$7),'Auxiliar Resultados'!$C$6:$BO$6,0)),""))=0,"",IF($B54="","",IFERROR(INDEX('Auxiliar Resultados'!$C$9:$BO$50,MATCH($B54,'Auxiliar Resultados'!$B$9:$B$50,0),MATCH(CONCATENATE($C54,AM$7),'Auxiliar Resultados'!$C$6:$BO$6,0)),"")))</f>
        <v/>
      </c>
      <c r="AN54" s="52" t="str">
        <f>+IF(IF($B54="","",IFERROR(INDEX('Auxiliar Resultados'!$C$9:$BO$50,MATCH($B54,'Auxiliar Resultados'!$B$9:$B$50,0),MATCH(CONCATENATE($C54,AN$7),'Auxiliar Resultados'!$C$6:$BO$6,0)),""))=0,"",IF($B54="","",IFERROR(INDEX('Auxiliar Resultados'!$C$9:$BO$50,MATCH($B54,'Auxiliar Resultados'!$B$9:$B$50,0),MATCH(CONCATENATE($C54,AN$7),'Auxiliar Resultados'!$C$6:$BO$6,0)),"")))</f>
        <v/>
      </c>
      <c r="AO54" s="52" t="str">
        <f>+IF(IF($B54="","",IFERROR(INDEX('Auxiliar Resultados'!$C$9:$BO$50,MATCH($B54,'Auxiliar Resultados'!$B$9:$B$50,0),MATCH(CONCATENATE($C54,AO$7),'Auxiliar Resultados'!$C$6:$BO$6,0)),""))=0,"",IF($B54="","",IFERROR(INDEX('Auxiliar Resultados'!$C$9:$BO$50,MATCH($B54,'Auxiliar Resultados'!$B$9:$B$50,0),MATCH(CONCATENATE($C54,AO$7),'Auxiliar Resultados'!$C$6:$BO$6,0)),"")))</f>
        <v/>
      </c>
      <c r="AP54" s="52" t="str">
        <f>+IF(IF($B54="","",IFERROR(INDEX('Auxiliar Resultados'!$C$9:$BO$50,MATCH($B54,'Auxiliar Resultados'!$B$9:$B$50,0),MATCH(CONCATENATE($C54,AP$7),'Auxiliar Resultados'!$C$6:$BO$6,0)),""))=0,"",IF($B54="","",IFERROR(INDEX('Auxiliar Resultados'!$C$9:$BO$50,MATCH($B54,'Auxiliar Resultados'!$B$9:$B$50,0),MATCH(CONCATENATE($C54,AP$7),'Auxiliar Resultados'!$C$6:$BO$6,0)),"")))</f>
        <v/>
      </c>
      <c r="AQ54" s="276" t="str">
        <f>+IF(IF($B54="","",IFERROR(INDEX('Auxiliar Resultados'!$C$9:$BO$50,MATCH($B54,'Auxiliar Resultados'!$B$9:$B$50,0),MATCH(CONCATENATE($C54,AQ$7),'Auxiliar Resultados'!$C$6:$BO$6,0)),""))=0,"",IF($B54="","",IFERROR(INDEX('Auxiliar Resultados'!$C$9:$BO$50,MATCH($B54,'Auxiliar Resultados'!$B$9:$B$50,0),MATCH(CONCATENATE($C54,AQ$7),'Auxiliar Resultados'!$C$6:$BO$6,0)),"")))</f>
        <v/>
      </c>
      <c r="AS54" s="46" t="str">
        <f t="shared" si="5"/>
        <v/>
      </c>
      <c r="AT54" s="292" t="str">
        <f t="shared" si="6"/>
        <v/>
      </c>
      <c r="AU54" s="36" t="str">
        <f>+IF(G54="","",INDEX('Modelo Optimización'!$AZ$4:$CO$149,MATCH(CONCATENATE(AU$7,$AT54),'Modelo Optimización'!$CQ$4:$CQ$149,0),MATCH($AS54,'Modelo Optimización'!$AZ$3:$CO$3,0)))</f>
        <v/>
      </c>
      <c r="AV54" s="32" t="str">
        <f>+IF(H54="","",INDEX('Modelo Optimización'!$AZ$4:$CO$149,MATCH(CONCATENATE(AV$7,$AT54),'Modelo Optimización'!$CQ$4:$CQ$149,0),MATCH($AS54,'Modelo Optimización'!$AZ$3:$CO$3,0)))</f>
        <v/>
      </c>
      <c r="AW54" s="32" t="str">
        <f>+IF(I54="","",INDEX('Modelo Optimización'!$AZ$4:$CO$149,MATCH(CONCATENATE(AW$7,$AT54),'Modelo Optimización'!$CQ$4:$CQ$149,0),MATCH($AS54,'Modelo Optimización'!$AZ$3:$CO$3,0)))</f>
        <v/>
      </c>
      <c r="AX54" s="32" t="str">
        <f>+IF(J54="","",INDEX('Modelo Optimización'!$AZ$4:$CO$149,MATCH(CONCATENATE(AX$7,$AT54),'Modelo Optimización'!$CQ$4:$CQ$149,0),MATCH($AS54,'Modelo Optimización'!$AZ$3:$CO$3,0)))</f>
        <v/>
      </c>
      <c r="AY54" s="32" t="str">
        <f>+IF(K54="","",INDEX('Modelo Optimización'!$AZ$4:$CO$149,MATCH(CONCATENATE(AY$7,$AT54),'Modelo Optimización'!$CQ$4:$CQ$149,0),MATCH($AS54,'Modelo Optimización'!$AZ$3:$CO$3,0)))</f>
        <v/>
      </c>
      <c r="AZ54" s="32" t="str">
        <f>+IF(L54="","",INDEX('Modelo Optimización'!$AZ$4:$CO$149,MATCH(CONCATENATE(AZ$7,$AT54),'Modelo Optimización'!$CQ$4:$CQ$149,0),MATCH($AS54,'Modelo Optimización'!$AZ$3:$CO$3,0)))</f>
        <v/>
      </c>
      <c r="BA54" s="32" t="str">
        <f>+IF(M54="","",INDEX('Modelo Optimización'!$AZ$4:$CO$149,MATCH(CONCATENATE(BA$7,$AT54),'Modelo Optimización'!$CQ$4:$CQ$149,0),MATCH($AS54,'Modelo Optimización'!$AZ$3:$CO$3,0)))</f>
        <v/>
      </c>
      <c r="BB54" s="32" t="str">
        <f>+IF(N54="","",INDEX('Modelo Optimización'!$AZ$4:$CO$149,MATCH(CONCATENATE(BB$7,$AT54),'Modelo Optimización'!$CQ$4:$CQ$149,0),MATCH($AS54,'Modelo Optimización'!$AZ$3:$CO$3,0)))</f>
        <v/>
      </c>
      <c r="BC54" s="32" t="str">
        <f>+IF(O54="","",INDEX('Modelo Optimización'!$AZ$4:$CO$149,MATCH(CONCATENATE(BC$7,$AT54),'Modelo Optimización'!$CQ$4:$CQ$149,0),MATCH($AS54,'Modelo Optimización'!$AZ$3:$CO$3,0)))</f>
        <v/>
      </c>
      <c r="BD54" s="32" t="str">
        <f>+IF(P54="","",INDEX('Modelo Optimización'!$AZ$4:$CO$149,MATCH(CONCATENATE(BD$7,$AT54),'Modelo Optimización'!$CQ$4:$CQ$149,0),MATCH($AS54,'Modelo Optimización'!$AZ$3:$CO$3,0)))</f>
        <v/>
      </c>
      <c r="BE54" s="32" t="str">
        <f>+IF(Q54="","",INDEX('Modelo Optimización'!$AZ$4:$CO$149,MATCH(CONCATENATE(BE$7,$AT54),'Modelo Optimización'!$CQ$4:$CQ$149,0),MATCH($AS54,'Modelo Optimización'!$AZ$3:$CO$3,0)))</f>
        <v/>
      </c>
      <c r="BF54" s="32" t="str">
        <f>+IF(R54="","",INDEX('Modelo Optimización'!$AZ$4:$CO$149,MATCH(CONCATENATE(BF$7,$AT54),'Modelo Optimización'!$CQ$4:$CQ$149,0),MATCH($AS54,'Modelo Optimización'!$AZ$3:$CO$3,0)))</f>
        <v/>
      </c>
      <c r="BG54" s="32" t="str">
        <f>+IF(S54="","",INDEX('Modelo Optimización'!$AZ$4:$CO$149,MATCH(CONCATENATE(BG$7,$AT54),'Modelo Optimización'!$CQ$4:$CQ$149,0),MATCH($AS54,'Modelo Optimización'!$AZ$3:$CO$3,0)))</f>
        <v/>
      </c>
      <c r="BH54" s="32" t="str">
        <f>+IF(T54="","",INDEX('Modelo Optimización'!$AZ$4:$CO$149,MATCH(CONCATENATE(BH$7,$AT54),'Modelo Optimización'!$CQ$4:$CQ$149,0),MATCH($AS54,'Modelo Optimización'!$AZ$3:$CO$3,0)))</f>
        <v/>
      </c>
      <c r="BI54" s="32" t="str">
        <f>+IF(U54="","",INDEX('Modelo Optimización'!$AZ$4:$CO$149,MATCH(CONCATENATE(BI$7,$AT54),'Modelo Optimización'!$CQ$4:$CQ$149,0),MATCH($AS54,'Modelo Optimización'!$AZ$3:$CO$3,0)))</f>
        <v/>
      </c>
      <c r="BJ54" s="32" t="str">
        <f>+IF(V54="","",INDEX('Modelo Optimización'!$AZ$4:$CO$149,MATCH(CONCATENATE(BJ$7,$AT54),'Modelo Optimización'!$CQ$4:$CQ$149,0),MATCH($AS54,'Modelo Optimización'!$AZ$3:$CO$3,0)))</f>
        <v/>
      </c>
      <c r="BK54" s="32" t="str">
        <f>+IF(W54="","",INDEX('Modelo Optimización'!$AZ$4:$CO$149,MATCH(CONCATENATE(BK$7,$AT54),'Modelo Optimización'!$CQ$4:$CQ$149,0),MATCH($AS54,'Modelo Optimización'!$AZ$3:$CO$3,0)))</f>
        <v/>
      </c>
      <c r="BL54" s="32" t="str">
        <f>+IF(X54="","",INDEX('Modelo Optimización'!$AZ$4:$CO$149,MATCH(CONCATENATE(BL$7,$AT54),'Modelo Optimización'!$CQ$4:$CQ$149,0),MATCH($AS54,'Modelo Optimización'!$AZ$3:$CO$3,0)))</f>
        <v/>
      </c>
      <c r="BM54" s="32" t="str">
        <f>+IF(Y54="","",INDEX('Modelo Optimización'!$AZ$4:$CO$149,MATCH(CONCATENATE(BM$7,$AT54),'Modelo Optimización'!$CQ$4:$CQ$149,0),MATCH($AS54,'Modelo Optimización'!$AZ$3:$CO$3,0)))</f>
        <v/>
      </c>
      <c r="BN54" s="32" t="str">
        <f>+IF(Z54="","",INDEX('Modelo Optimización'!$AZ$4:$CO$149,MATCH(CONCATENATE(BN$7,$AT54),'Modelo Optimización'!$CQ$4:$CQ$149,0),MATCH($AS54,'Modelo Optimización'!$AZ$3:$CO$3,0)))</f>
        <v/>
      </c>
      <c r="BO54" s="32" t="str">
        <f>+IF(AA54="","",INDEX('Modelo Optimización'!$AZ$4:$CO$149,MATCH(CONCATENATE(BO$7,$AT54),'Modelo Optimización'!$CQ$4:$CQ$149,0),MATCH($AS54,'Modelo Optimización'!$AZ$3:$CO$3,0)))</f>
        <v/>
      </c>
      <c r="BP54" s="32" t="str">
        <f>+IF(AB54="","",INDEX('Modelo Optimización'!$AZ$4:$CO$149,MATCH(CONCATENATE(BP$7,$AT54),'Modelo Optimización'!$CQ$4:$CQ$149,0),MATCH($AS54,'Modelo Optimización'!$AZ$3:$CO$3,0)))</f>
        <v/>
      </c>
      <c r="BQ54" s="32" t="str">
        <f>+IF(AC54="","",INDEX('Modelo Optimización'!$AZ$4:$CO$149,MATCH(CONCATENATE(BQ$7,$AT54),'Modelo Optimización'!$CQ$4:$CQ$149,0),MATCH($AS54,'Modelo Optimización'!$AZ$3:$CO$3,0)))</f>
        <v/>
      </c>
      <c r="BR54" s="32" t="str">
        <f>+IF(AD54="","",INDEX('Modelo Optimización'!$AZ$4:$CO$149,MATCH(CONCATENATE(BR$7,$AT54),'Modelo Optimización'!$CQ$4:$CQ$149,0),MATCH($AS54,'Modelo Optimización'!$AZ$3:$CO$3,0)))</f>
        <v/>
      </c>
      <c r="BS54" s="32" t="str">
        <f>+IF(AE54="","",INDEX('Modelo Optimización'!$AZ$4:$CO$149,MATCH(CONCATENATE(BS$7,$AT54),'Modelo Optimización'!$CQ$4:$CQ$149,0),MATCH($AS54,'Modelo Optimización'!$AZ$3:$CO$3,0)))</f>
        <v/>
      </c>
      <c r="BT54" s="32" t="str">
        <f>+IF(AF54="","",INDEX('Modelo Optimización'!$AZ$4:$CO$149,MATCH(CONCATENATE(BT$7,$AT54),'Modelo Optimización'!$CQ$4:$CQ$149,0),MATCH($AS54,'Modelo Optimización'!$AZ$3:$CO$3,0)))</f>
        <v/>
      </c>
      <c r="BU54" s="32" t="str">
        <f>+IF(AG54="","",INDEX('Modelo Optimización'!$AZ$4:$CO$149,MATCH(CONCATENATE(BU$7,$AT54),'Modelo Optimización'!$CQ$4:$CQ$149,0),MATCH($AS54,'Modelo Optimización'!$AZ$3:$CO$3,0)))</f>
        <v/>
      </c>
      <c r="BV54" s="32" t="str">
        <f>+IF(AH54="","",INDEX('Modelo Optimización'!$AZ$4:$CO$149,MATCH(CONCATENATE(BV$7,$AT54),'Modelo Optimización'!$CQ$4:$CQ$149,0),MATCH($AS54,'Modelo Optimización'!$AZ$3:$CO$3,0)))</f>
        <v/>
      </c>
      <c r="BW54" s="32" t="str">
        <f>+IF(AI54="","",INDEX('Modelo Optimización'!$AZ$4:$CO$149,MATCH(CONCATENATE(BW$7,$AT54),'Modelo Optimización'!$CQ$4:$CQ$149,0),MATCH($AS54,'Modelo Optimización'!$AZ$3:$CO$3,0)))</f>
        <v/>
      </c>
      <c r="BX54" s="32" t="str">
        <f>+IF(AJ54="","",INDEX('Modelo Optimización'!$AZ$4:$CO$149,MATCH(CONCATENATE(BX$7,$AT54),'Modelo Optimización'!$CQ$4:$CQ$149,0),MATCH($AS54,'Modelo Optimización'!$AZ$3:$CO$3,0)))</f>
        <v/>
      </c>
      <c r="BY54" s="32" t="str">
        <f>+IF(AK54="","",INDEX('Modelo Optimización'!$AZ$4:$CO$149,MATCH(CONCATENATE(BY$7,$AT54),'Modelo Optimización'!$CQ$4:$CQ$149,0),MATCH($AS54,'Modelo Optimización'!$AZ$3:$CO$3,0)))</f>
        <v/>
      </c>
      <c r="BZ54" s="32" t="str">
        <f>+IF(AL54="","",INDEX('Modelo Optimización'!$AZ$4:$CO$149,MATCH(CONCATENATE(BZ$7,$AT54),'Modelo Optimización'!$CQ$4:$CQ$149,0),MATCH($AS54,'Modelo Optimización'!$AZ$3:$CO$3,0)))</f>
        <v/>
      </c>
      <c r="CA54" s="32" t="str">
        <f>+IF(AM54="","",INDEX('Modelo Optimización'!$AZ$4:$CO$149,MATCH(CONCATENATE(CA$7,$AT54),'Modelo Optimización'!$CQ$4:$CQ$149,0),MATCH($AS54,'Modelo Optimización'!$AZ$3:$CO$3,0)))</f>
        <v/>
      </c>
      <c r="CB54" s="32" t="str">
        <f>+IF(AN54="","",INDEX('Modelo Optimización'!$AZ$4:$CO$149,MATCH(CONCATENATE(CB$7,$AT54),'Modelo Optimización'!$CQ$4:$CQ$149,0),MATCH($AS54,'Modelo Optimización'!$AZ$3:$CO$3,0)))</f>
        <v/>
      </c>
      <c r="CC54" s="32" t="str">
        <f>+IF(AO54="","",INDEX('Modelo Optimización'!$AZ$4:$CO$149,MATCH(CONCATENATE(CC$7,$AT54),'Modelo Optimización'!$CQ$4:$CQ$149,0),MATCH($AS54,'Modelo Optimización'!$AZ$3:$CO$3,0)))</f>
        <v/>
      </c>
      <c r="CD54" s="32" t="str">
        <f>+IF(AP54="","",INDEX('Modelo Optimización'!$AZ$4:$CO$149,MATCH(CONCATENATE(CD$7,$AT54),'Modelo Optimización'!$CQ$4:$CQ$149,0),MATCH($AS54,'Modelo Optimización'!$AZ$3:$CO$3,0)))</f>
        <v/>
      </c>
      <c r="CE54" s="37" t="str">
        <f>+IF(AQ54="","",INDEX('Modelo Optimización'!$AZ$4:$CO$149,MATCH(CONCATENATE(CE$7,$AT54),'Modelo Optimización'!$CQ$4:$CQ$149,0),MATCH($AS54,'Modelo Optimización'!$AZ$3:$CO$3,0)))</f>
        <v/>
      </c>
      <c r="CF54" s="301"/>
      <c r="CG54" s="305" t="str">
        <f t="shared" si="11"/>
        <v/>
      </c>
      <c r="CH54" s="303" t="str">
        <f t="shared" si="7"/>
        <v/>
      </c>
      <c r="CI54" s="292" t="str">
        <f t="shared" si="8"/>
        <v/>
      </c>
      <c r="CJ54" s="36" t="str">
        <f t="shared" si="12"/>
        <v/>
      </c>
      <c r="CK54" s="32" t="str">
        <f t="shared" si="13"/>
        <v/>
      </c>
      <c r="CL54" s="32" t="str">
        <f t="shared" si="14"/>
        <v/>
      </c>
      <c r="CM54" s="32" t="str">
        <f t="shared" si="15"/>
        <v/>
      </c>
      <c r="CN54" s="32" t="str">
        <f t="shared" si="16"/>
        <v/>
      </c>
      <c r="CO54" s="32" t="str">
        <f t="shared" si="17"/>
        <v/>
      </c>
      <c r="CP54" s="32" t="str">
        <f t="shared" si="18"/>
        <v/>
      </c>
      <c r="CQ54" s="32" t="str">
        <f t="shared" si="19"/>
        <v/>
      </c>
      <c r="CR54" s="32" t="str">
        <f t="shared" si="20"/>
        <v/>
      </c>
      <c r="CS54" s="32" t="str">
        <f t="shared" si="21"/>
        <v/>
      </c>
      <c r="CT54" s="32" t="str">
        <f t="shared" si="22"/>
        <v/>
      </c>
      <c r="CU54" s="32" t="str">
        <f t="shared" si="23"/>
        <v/>
      </c>
      <c r="CV54" s="32" t="str">
        <f t="shared" si="24"/>
        <v/>
      </c>
      <c r="CW54" s="32" t="str">
        <f t="shared" si="25"/>
        <v/>
      </c>
      <c r="CX54" s="32" t="str">
        <f t="shared" si="26"/>
        <v/>
      </c>
      <c r="CY54" s="32" t="str">
        <f t="shared" si="27"/>
        <v/>
      </c>
      <c r="CZ54" s="32" t="str">
        <f t="shared" si="28"/>
        <v/>
      </c>
      <c r="DA54" s="32" t="str">
        <f t="shared" si="29"/>
        <v/>
      </c>
      <c r="DB54" s="32" t="str">
        <f t="shared" si="30"/>
        <v/>
      </c>
      <c r="DC54" s="32" t="str">
        <f t="shared" si="31"/>
        <v/>
      </c>
      <c r="DD54" s="32" t="str">
        <f t="shared" si="32"/>
        <v/>
      </c>
      <c r="DE54" s="32" t="str">
        <f t="shared" si="33"/>
        <v/>
      </c>
      <c r="DF54" s="32" t="str">
        <f t="shared" si="34"/>
        <v/>
      </c>
      <c r="DG54" s="32" t="str">
        <f t="shared" si="35"/>
        <v/>
      </c>
      <c r="DH54" s="32" t="str">
        <f t="shared" si="36"/>
        <v/>
      </c>
      <c r="DI54" s="32" t="str">
        <f t="shared" si="37"/>
        <v/>
      </c>
      <c r="DJ54" s="32" t="str">
        <f t="shared" si="38"/>
        <v/>
      </c>
      <c r="DK54" s="32" t="str">
        <f t="shared" si="39"/>
        <v/>
      </c>
      <c r="DL54" s="32" t="str">
        <f t="shared" si="40"/>
        <v/>
      </c>
      <c r="DM54" s="32" t="str">
        <f t="shared" si="41"/>
        <v/>
      </c>
      <c r="DN54" s="32" t="str">
        <f t="shared" si="42"/>
        <v/>
      </c>
      <c r="DO54" s="32" t="str">
        <f t="shared" si="43"/>
        <v/>
      </c>
      <c r="DP54" s="32" t="str">
        <f t="shared" si="44"/>
        <v/>
      </c>
      <c r="DQ54" s="32" t="str">
        <f t="shared" si="45"/>
        <v/>
      </c>
      <c r="DR54" s="32" t="str">
        <f t="shared" si="46"/>
        <v/>
      </c>
      <c r="DS54" s="32" t="str">
        <f t="shared" si="47"/>
        <v/>
      </c>
      <c r="DT54" s="37" t="str">
        <f t="shared" si="48"/>
        <v/>
      </c>
    </row>
    <row r="55" spans="2:124" x14ac:dyDescent="0.35">
      <c r="B55" s="46"/>
      <c r="C55" s="212"/>
      <c r="D55" s="52"/>
      <c r="E55" s="52" t="str">
        <f>+IF(B55="","",IFERROR(SUMIF('Modelo Optimización'!$AS$72:$AS$217,C55,INDEX('Modelo Optimización'!$C$72:$AR$217,,MATCH(B55,'Modelo Optimización'!$C$71:$AR$71,0))),0))</f>
        <v/>
      </c>
      <c r="F55" s="281" t="str">
        <f t="shared" si="10"/>
        <v/>
      </c>
      <c r="G55" s="280" t="str">
        <f>+IF(IF($B55="","",IFERROR(INDEX('Auxiliar Resultados'!$C$9:$BO$50,MATCH($B55,'Auxiliar Resultados'!$B$9:$B$50,0),MATCH(CONCATENATE($C55,G$7),'Auxiliar Resultados'!$C$6:$BO$6,0)),""))=0,"",IF($B55="","",IFERROR(INDEX('Auxiliar Resultados'!$C$9:$BO$50,MATCH($B55,'Auxiliar Resultados'!$B$9:$B$50,0),MATCH(CONCATENATE($C55,G$7),'Auxiliar Resultados'!$C$6:$BO$6,0)),"")))</f>
        <v/>
      </c>
      <c r="H55" s="52" t="str">
        <f>+IF(IF($B55="","",IFERROR(INDEX('Auxiliar Resultados'!$C$9:$BO$50,MATCH($B55,'Auxiliar Resultados'!$B$9:$B$50,0),MATCH(CONCATENATE($C55,H$7),'Auxiliar Resultados'!$C$6:$BO$6,0)),""))=0,"",IF($B55="","",IFERROR(INDEX('Auxiliar Resultados'!$C$9:$BO$50,MATCH($B55,'Auxiliar Resultados'!$B$9:$B$50,0),MATCH(CONCATENATE($C55,H$7),'Auxiliar Resultados'!$C$6:$BO$6,0)),"")))</f>
        <v/>
      </c>
      <c r="I55" s="52" t="str">
        <f>+IF(IF($B55="","",IFERROR(INDEX('Auxiliar Resultados'!$C$9:$BO$50,MATCH($B55,'Auxiliar Resultados'!$B$9:$B$50,0),MATCH(CONCATENATE($C55,I$7),'Auxiliar Resultados'!$C$6:$BO$6,0)),""))=0,"",IF($B55="","",IFERROR(INDEX('Auxiliar Resultados'!$C$9:$BO$50,MATCH($B55,'Auxiliar Resultados'!$B$9:$B$50,0),MATCH(CONCATENATE($C55,I$7),'Auxiliar Resultados'!$C$6:$BO$6,0)),"")))</f>
        <v/>
      </c>
      <c r="J55" s="52" t="str">
        <f>+IF(IF($B55="","",IFERROR(INDEX('Auxiliar Resultados'!$C$9:$BO$50,MATCH($B55,'Auxiliar Resultados'!$B$9:$B$50,0),MATCH(CONCATENATE($C55,J$7),'Auxiliar Resultados'!$C$6:$BO$6,0)),""))=0,"",IF($B55="","",IFERROR(INDEX('Auxiliar Resultados'!$C$9:$BO$50,MATCH($B55,'Auxiliar Resultados'!$B$9:$B$50,0),MATCH(CONCATENATE($C55,J$7),'Auxiliar Resultados'!$C$6:$BO$6,0)),"")))</f>
        <v/>
      </c>
      <c r="K55" s="52" t="str">
        <f>+IF(IF($B55="","",IFERROR(INDEX('Auxiliar Resultados'!$C$9:$BO$50,MATCH($B55,'Auxiliar Resultados'!$B$9:$B$50,0),MATCH(CONCATENATE($C55,K$7),'Auxiliar Resultados'!$C$6:$BO$6,0)),""))=0,"",IF($B55="","",IFERROR(INDEX('Auxiliar Resultados'!$C$9:$BO$50,MATCH($B55,'Auxiliar Resultados'!$B$9:$B$50,0),MATCH(CONCATENATE($C55,K$7),'Auxiliar Resultados'!$C$6:$BO$6,0)),"")))</f>
        <v/>
      </c>
      <c r="L55" s="52" t="str">
        <f>+IF(IF($B55="","",IFERROR(INDEX('Auxiliar Resultados'!$C$9:$BO$50,MATCH($B55,'Auxiliar Resultados'!$B$9:$B$50,0),MATCH(CONCATENATE($C55,L$7),'Auxiliar Resultados'!$C$6:$BO$6,0)),""))=0,"",IF($B55="","",IFERROR(INDEX('Auxiliar Resultados'!$C$9:$BO$50,MATCH($B55,'Auxiliar Resultados'!$B$9:$B$50,0),MATCH(CONCATENATE($C55,L$7),'Auxiliar Resultados'!$C$6:$BO$6,0)),"")))</f>
        <v/>
      </c>
      <c r="M55" s="52" t="str">
        <f>+IF(IF($B55="","",IFERROR(INDEX('Auxiliar Resultados'!$C$9:$BO$50,MATCH($B55,'Auxiliar Resultados'!$B$9:$B$50,0),MATCH(CONCATENATE($C55,M$7),'Auxiliar Resultados'!$C$6:$BO$6,0)),""))=0,"",IF($B55="","",IFERROR(INDEX('Auxiliar Resultados'!$C$9:$BO$50,MATCH($B55,'Auxiliar Resultados'!$B$9:$B$50,0),MATCH(CONCATENATE($C55,M$7),'Auxiliar Resultados'!$C$6:$BO$6,0)),"")))</f>
        <v/>
      </c>
      <c r="N55" s="52" t="str">
        <f>+IF(IF($B55="","",IFERROR(INDEX('Auxiliar Resultados'!$C$9:$BO$50,MATCH($B55,'Auxiliar Resultados'!$B$9:$B$50,0),MATCH(CONCATENATE($C55,N$7),'Auxiliar Resultados'!$C$6:$BO$6,0)),""))=0,"",IF($B55="","",IFERROR(INDEX('Auxiliar Resultados'!$C$9:$BO$50,MATCH($B55,'Auxiliar Resultados'!$B$9:$B$50,0),MATCH(CONCATENATE($C55,N$7),'Auxiliar Resultados'!$C$6:$BO$6,0)),"")))</f>
        <v/>
      </c>
      <c r="O55" s="52" t="str">
        <f>+IF(IF($B55="","",IFERROR(INDEX('Auxiliar Resultados'!$C$9:$BO$50,MATCH($B55,'Auxiliar Resultados'!$B$9:$B$50,0),MATCH(CONCATENATE($C55,O$7),'Auxiliar Resultados'!$C$6:$BO$6,0)),""))=0,"",IF($B55="","",IFERROR(INDEX('Auxiliar Resultados'!$C$9:$BO$50,MATCH($B55,'Auxiliar Resultados'!$B$9:$B$50,0),MATCH(CONCATENATE($C55,O$7),'Auxiliar Resultados'!$C$6:$BO$6,0)),"")))</f>
        <v/>
      </c>
      <c r="P55" s="52" t="str">
        <f>+IF(IF($B55="","",IFERROR(INDEX('Auxiliar Resultados'!$C$9:$BO$50,MATCH($B55,'Auxiliar Resultados'!$B$9:$B$50,0),MATCH(CONCATENATE($C55,P$7),'Auxiliar Resultados'!$C$6:$BO$6,0)),""))=0,"",IF($B55="","",IFERROR(INDEX('Auxiliar Resultados'!$C$9:$BO$50,MATCH($B55,'Auxiliar Resultados'!$B$9:$B$50,0),MATCH(CONCATENATE($C55,P$7),'Auxiliar Resultados'!$C$6:$BO$6,0)),"")))</f>
        <v/>
      </c>
      <c r="Q55" s="52" t="str">
        <f>+IF(IF($B55="","",IFERROR(INDEX('Auxiliar Resultados'!$C$9:$BO$50,MATCH($B55,'Auxiliar Resultados'!$B$9:$B$50,0),MATCH(CONCATENATE($C55,Q$7),'Auxiliar Resultados'!$C$6:$BO$6,0)),""))=0,"",IF($B55="","",IFERROR(INDEX('Auxiliar Resultados'!$C$9:$BO$50,MATCH($B55,'Auxiliar Resultados'!$B$9:$B$50,0),MATCH(CONCATENATE($C55,Q$7),'Auxiliar Resultados'!$C$6:$BO$6,0)),"")))</f>
        <v/>
      </c>
      <c r="R55" s="52" t="str">
        <f>+IF(IF($B55="","",IFERROR(INDEX('Auxiliar Resultados'!$C$9:$BO$50,MATCH($B55,'Auxiliar Resultados'!$B$9:$B$50,0),MATCH(CONCATENATE($C55,R$7),'Auxiliar Resultados'!$C$6:$BO$6,0)),""))=0,"",IF($B55="","",IFERROR(INDEX('Auxiliar Resultados'!$C$9:$BO$50,MATCH($B55,'Auxiliar Resultados'!$B$9:$B$50,0),MATCH(CONCATENATE($C55,R$7),'Auxiliar Resultados'!$C$6:$BO$6,0)),"")))</f>
        <v/>
      </c>
      <c r="S55" s="52" t="str">
        <f>+IF(IF($B55="","",IFERROR(INDEX('Auxiliar Resultados'!$C$9:$BO$50,MATCH($B55,'Auxiliar Resultados'!$B$9:$B$50,0),MATCH(CONCATENATE($C55,S$7),'Auxiliar Resultados'!$C$6:$BO$6,0)),""))=0,"",IF($B55="","",IFERROR(INDEX('Auxiliar Resultados'!$C$9:$BO$50,MATCH($B55,'Auxiliar Resultados'!$B$9:$B$50,0),MATCH(CONCATENATE($C55,S$7),'Auxiliar Resultados'!$C$6:$BO$6,0)),"")))</f>
        <v/>
      </c>
      <c r="T55" s="52" t="str">
        <f>+IF(IF($B55="","",IFERROR(INDEX('Auxiliar Resultados'!$C$9:$BO$50,MATCH($B55,'Auxiliar Resultados'!$B$9:$B$50,0),MATCH(CONCATENATE($C55,T$7),'Auxiliar Resultados'!$C$6:$BO$6,0)),""))=0,"",IF($B55="","",IFERROR(INDEX('Auxiliar Resultados'!$C$9:$BO$50,MATCH($B55,'Auxiliar Resultados'!$B$9:$B$50,0),MATCH(CONCATENATE($C55,T$7),'Auxiliar Resultados'!$C$6:$BO$6,0)),"")))</f>
        <v/>
      </c>
      <c r="U55" s="52" t="str">
        <f>+IF(IF($B55="","",IFERROR(INDEX('Auxiliar Resultados'!$C$9:$BO$50,MATCH($B55,'Auxiliar Resultados'!$B$9:$B$50,0),MATCH(CONCATENATE($C55,U$7),'Auxiliar Resultados'!$C$6:$BO$6,0)),""))=0,"",IF($B55="","",IFERROR(INDEX('Auxiliar Resultados'!$C$9:$BO$50,MATCH($B55,'Auxiliar Resultados'!$B$9:$B$50,0),MATCH(CONCATENATE($C55,U$7),'Auxiliar Resultados'!$C$6:$BO$6,0)),"")))</f>
        <v/>
      </c>
      <c r="V55" s="52" t="str">
        <f>+IF(IF($B55="","",IFERROR(INDEX('Auxiliar Resultados'!$C$9:$BO$50,MATCH($B55,'Auxiliar Resultados'!$B$9:$B$50,0),MATCH(CONCATENATE($C55,V$7),'Auxiliar Resultados'!$C$6:$BO$6,0)),""))=0,"",IF($B55="","",IFERROR(INDEX('Auxiliar Resultados'!$C$9:$BO$50,MATCH($B55,'Auxiliar Resultados'!$B$9:$B$50,0),MATCH(CONCATENATE($C55,V$7),'Auxiliar Resultados'!$C$6:$BO$6,0)),"")))</f>
        <v/>
      </c>
      <c r="W55" s="52" t="str">
        <f>+IF(IF($B55="","",IFERROR(INDEX('Auxiliar Resultados'!$C$9:$BO$50,MATCH($B55,'Auxiliar Resultados'!$B$9:$B$50,0),MATCH(CONCATENATE($C55,W$7),'Auxiliar Resultados'!$C$6:$BO$6,0)),""))=0,"",IF($B55="","",IFERROR(INDEX('Auxiliar Resultados'!$C$9:$BO$50,MATCH($B55,'Auxiliar Resultados'!$B$9:$B$50,0),MATCH(CONCATENATE($C55,W$7),'Auxiliar Resultados'!$C$6:$BO$6,0)),"")))</f>
        <v/>
      </c>
      <c r="X55" s="52" t="str">
        <f>+IF(IF($B55="","",IFERROR(INDEX('Auxiliar Resultados'!$C$9:$BO$50,MATCH($B55,'Auxiliar Resultados'!$B$9:$B$50,0),MATCH(CONCATENATE($C55,X$7),'Auxiliar Resultados'!$C$6:$BO$6,0)),""))=0,"",IF($B55="","",IFERROR(INDEX('Auxiliar Resultados'!$C$9:$BO$50,MATCH($B55,'Auxiliar Resultados'!$B$9:$B$50,0),MATCH(CONCATENATE($C55,X$7),'Auxiliar Resultados'!$C$6:$BO$6,0)),"")))</f>
        <v/>
      </c>
      <c r="Y55" s="52" t="str">
        <f>+IF(IF($B55="","",IFERROR(INDEX('Auxiliar Resultados'!$C$9:$BO$50,MATCH($B55,'Auxiliar Resultados'!$B$9:$B$50,0),MATCH(CONCATENATE($C55,Y$7),'Auxiliar Resultados'!$C$6:$BO$6,0)),""))=0,"",IF($B55="","",IFERROR(INDEX('Auxiliar Resultados'!$C$9:$BO$50,MATCH($B55,'Auxiliar Resultados'!$B$9:$B$50,0),MATCH(CONCATENATE($C55,Y$7),'Auxiliar Resultados'!$C$6:$BO$6,0)),"")))</f>
        <v/>
      </c>
      <c r="Z55" s="52" t="str">
        <f>+IF(IF($B55="","",IFERROR(INDEX('Auxiliar Resultados'!$C$9:$BO$50,MATCH($B55,'Auxiliar Resultados'!$B$9:$B$50,0),MATCH(CONCATENATE($C55,Z$7),'Auxiliar Resultados'!$C$6:$BO$6,0)),""))=0,"",IF($B55="","",IFERROR(INDEX('Auxiliar Resultados'!$C$9:$BO$50,MATCH($B55,'Auxiliar Resultados'!$B$9:$B$50,0),MATCH(CONCATENATE($C55,Z$7),'Auxiliar Resultados'!$C$6:$BO$6,0)),"")))</f>
        <v/>
      </c>
      <c r="AA55" s="52" t="str">
        <f>+IF(IF($B55="","",IFERROR(INDEX('Auxiliar Resultados'!$C$9:$BO$50,MATCH($B55,'Auxiliar Resultados'!$B$9:$B$50,0),MATCH(CONCATENATE($C55,AA$7),'Auxiliar Resultados'!$C$6:$BO$6,0)),""))=0,"",IF($B55="","",IFERROR(INDEX('Auxiliar Resultados'!$C$9:$BO$50,MATCH($B55,'Auxiliar Resultados'!$B$9:$B$50,0),MATCH(CONCATENATE($C55,AA$7),'Auxiliar Resultados'!$C$6:$BO$6,0)),"")))</f>
        <v/>
      </c>
      <c r="AB55" s="52" t="str">
        <f>+IF(IF($B55="","",IFERROR(INDEX('Auxiliar Resultados'!$C$9:$BO$50,MATCH($B55,'Auxiliar Resultados'!$B$9:$B$50,0),MATCH(CONCATENATE($C55,AB$7),'Auxiliar Resultados'!$C$6:$BO$6,0)),""))=0,"",IF($B55="","",IFERROR(INDEX('Auxiliar Resultados'!$C$9:$BO$50,MATCH($B55,'Auxiliar Resultados'!$B$9:$B$50,0),MATCH(CONCATENATE($C55,AB$7),'Auxiliar Resultados'!$C$6:$BO$6,0)),"")))</f>
        <v/>
      </c>
      <c r="AC55" s="52" t="str">
        <f>+IF(IF($B55="","",IFERROR(INDEX('Auxiliar Resultados'!$C$9:$BO$50,MATCH($B55,'Auxiliar Resultados'!$B$9:$B$50,0),MATCH(CONCATENATE($C55,AC$7),'Auxiliar Resultados'!$C$6:$BO$6,0)),""))=0,"",IF($B55="","",IFERROR(INDEX('Auxiliar Resultados'!$C$9:$BO$50,MATCH($B55,'Auxiliar Resultados'!$B$9:$B$50,0),MATCH(CONCATENATE($C55,AC$7),'Auxiliar Resultados'!$C$6:$BO$6,0)),"")))</f>
        <v/>
      </c>
      <c r="AD55" s="52" t="str">
        <f>+IF(IF($B55="","",IFERROR(INDEX('Auxiliar Resultados'!$C$9:$BO$50,MATCH($B55,'Auxiliar Resultados'!$B$9:$B$50,0),MATCH(CONCATENATE($C55,AD$7),'Auxiliar Resultados'!$C$6:$BO$6,0)),""))=0,"",IF($B55="","",IFERROR(INDEX('Auxiliar Resultados'!$C$9:$BO$50,MATCH($B55,'Auxiliar Resultados'!$B$9:$B$50,0),MATCH(CONCATENATE($C55,AD$7),'Auxiliar Resultados'!$C$6:$BO$6,0)),"")))</f>
        <v/>
      </c>
      <c r="AE55" s="52" t="str">
        <f>+IF(IF($B55="","",IFERROR(INDEX('Auxiliar Resultados'!$C$9:$BO$50,MATCH($B55,'Auxiliar Resultados'!$B$9:$B$50,0),MATCH(CONCATENATE($C55,AE$7),'Auxiliar Resultados'!$C$6:$BO$6,0)),""))=0,"",IF($B55="","",IFERROR(INDEX('Auxiliar Resultados'!$C$9:$BO$50,MATCH($B55,'Auxiliar Resultados'!$B$9:$B$50,0),MATCH(CONCATENATE($C55,AE$7),'Auxiliar Resultados'!$C$6:$BO$6,0)),"")))</f>
        <v/>
      </c>
      <c r="AF55" s="52" t="str">
        <f>+IF(IF($B55="","",IFERROR(INDEX('Auxiliar Resultados'!$C$9:$BO$50,MATCH($B55,'Auxiliar Resultados'!$B$9:$B$50,0),MATCH(CONCATENATE($C55,AF$7),'Auxiliar Resultados'!$C$6:$BO$6,0)),""))=0,"",IF($B55="","",IFERROR(INDEX('Auxiliar Resultados'!$C$9:$BO$50,MATCH($B55,'Auxiliar Resultados'!$B$9:$B$50,0),MATCH(CONCATENATE($C55,AF$7),'Auxiliar Resultados'!$C$6:$BO$6,0)),"")))</f>
        <v/>
      </c>
      <c r="AG55" s="52" t="str">
        <f>+IF(IF($B55="","",IFERROR(INDEX('Auxiliar Resultados'!$C$9:$BO$50,MATCH($B55,'Auxiliar Resultados'!$B$9:$B$50,0),MATCH(CONCATENATE($C55,AG$7),'Auxiliar Resultados'!$C$6:$BO$6,0)),""))=0,"",IF($B55="","",IFERROR(INDEX('Auxiliar Resultados'!$C$9:$BO$50,MATCH($B55,'Auxiliar Resultados'!$B$9:$B$50,0),MATCH(CONCATENATE($C55,AG$7),'Auxiliar Resultados'!$C$6:$BO$6,0)),"")))</f>
        <v/>
      </c>
      <c r="AH55" s="52" t="str">
        <f>+IF(IF($B55="","",IFERROR(INDEX('Auxiliar Resultados'!$C$9:$BO$50,MATCH($B55,'Auxiliar Resultados'!$B$9:$B$50,0),MATCH(CONCATENATE($C55,AH$7),'Auxiliar Resultados'!$C$6:$BO$6,0)),""))=0,"",IF($B55="","",IFERROR(INDEX('Auxiliar Resultados'!$C$9:$BO$50,MATCH($B55,'Auxiliar Resultados'!$B$9:$B$50,0),MATCH(CONCATENATE($C55,AH$7),'Auxiliar Resultados'!$C$6:$BO$6,0)),"")))</f>
        <v/>
      </c>
      <c r="AI55" s="52" t="str">
        <f>+IF(IF($B55="","",IFERROR(INDEX('Auxiliar Resultados'!$C$9:$BO$50,MATCH($B55,'Auxiliar Resultados'!$B$9:$B$50,0),MATCH(CONCATENATE($C55,AI$7),'Auxiliar Resultados'!$C$6:$BO$6,0)),""))=0,"",IF($B55="","",IFERROR(INDEX('Auxiliar Resultados'!$C$9:$BO$50,MATCH($B55,'Auxiliar Resultados'!$B$9:$B$50,0),MATCH(CONCATENATE($C55,AI$7),'Auxiliar Resultados'!$C$6:$BO$6,0)),"")))</f>
        <v/>
      </c>
      <c r="AJ55" s="52" t="str">
        <f>+IF(IF($B55="","",IFERROR(INDEX('Auxiliar Resultados'!$C$9:$BO$50,MATCH($B55,'Auxiliar Resultados'!$B$9:$B$50,0),MATCH(CONCATENATE($C55,AJ$7),'Auxiliar Resultados'!$C$6:$BO$6,0)),""))=0,"",IF($B55="","",IFERROR(INDEX('Auxiliar Resultados'!$C$9:$BO$50,MATCH($B55,'Auxiliar Resultados'!$B$9:$B$50,0),MATCH(CONCATENATE($C55,AJ$7),'Auxiliar Resultados'!$C$6:$BO$6,0)),"")))</f>
        <v/>
      </c>
      <c r="AK55" s="52" t="str">
        <f>+IF(IF($B55="","",IFERROR(INDEX('Auxiliar Resultados'!$C$9:$BO$50,MATCH($B55,'Auxiliar Resultados'!$B$9:$B$50,0),MATCH(CONCATENATE($C55,AK$7),'Auxiliar Resultados'!$C$6:$BO$6,0)),""))=0,"",IF($B55="","",IFERROR(INDEX('Auxiliar Resultados'!$C$9:$BO$50,MATCH($B55,'Auxiliar Resultados'!$B$9:$B$50,0),MATCH(CONCATENATE($C55,AK$7),'Auxiliar Resultados'!$C$6:$BO$6,0)),"")))</f>
        <v/>
      </c>
      <c r="AL55" s="52" t="str">
        <f>+IF(IF($B55="","",IFERROR(INDEX('Auxiliar Resultados'!$C$9:$BO$50,MATCH($B55,'Auxiliar Resultados'!$B$9:$B$50,0),MATCH(CONCATENATE($C55,AL$7),'Auxiliar Resultados'!$C$6:$BO$6,0)),""))=0,"",IF($B55="","",IFERROR(INDEX('Auxiliar Resultados'!$C$9:$BO$50,MATCH($B55,'Auxiliar Resultados'!$B$9:$B$50,0),MATCH(CONCATENATE($C55,AL$7),'Auxiliar Resultados'!$C$6:$BO$6,0)),"")))</f>
        <v/>
      </c>
      <c r="AM55" s="52" t="str">
        <f>+IF(IF($B55="","",IFERROR(INDEX('Auxiliar Resultados'!$C$9:$BO$50,MATCH($B55,'Auxiliar Resultados'!$B$9:$B$50,0),MATCH(CONCATENATE($C55,AM$7),'Auxiliar Resultados'!$C$6:$BO$6,0)),""))=0,"",IF($B55="","",IFERROR(INDEX('Auxiliar Resultados'!$C$9:$BO$50,MATCH($B55,'Auxiliar Resultados'!$B$9:$B$50,0),MATCH(CONCATENATE($C55,AM$7),'Auxiliar Resultados'!$C$6:$BO$6,0)),"")))</f>
        <v/>
      </c>
      <c r="AN55" s="52" t="str">
        <f>+IF(IF($B55="","",IFERROR(INDEX('Auxiliar Resultados'!$C$9:$BO$50,MATCH($B55,'Auxiliar Resultados'!$B$9:$B$50,0),MATCH(CONCATENATE($C55,AN$7),'Auxiliar Resultados'!$C$6:$BO$6,0)),""))=0,"",IF($B55="","",IFERROR(INDEX('Auxiliar Resultados'!$C$9:$BO$50,MATCH($B55,'Auxiliar Resultados'!$B$9:$B$50,0),MATCH(CONCATENATE($C55,AN$7),'Auxiliar Resultados'!$C$6:$BO$6,0)),"")))</f>
        <v/>
      </c>
      <c r="AO55" s="52" t="str">
        <f>+IF(IF($B55="","",IFERROR(INDEX('Auxiliar Resultados'!$C$9:$BO$50,MATCH($B55,'Auxiliar Resultados'!$B$9:$B$50,0),MATCH(CONCATENATE($C55,AO$7),'Auxiliar Resultados'!$C$6:$BO$6,0)),""))=0,"",IF($B55="","",IFERROR(INDEX('Auxiliar Resultados'!$C$9:$BO$50,MATCH($B55,'Auxiliar Resultados'!$B$9:$B$50,0),MATCH(CONCATENATE($C55,AO$7),'Auxiliar Resultados'!$C$6:$BO$6,0)),"")))</f>
        <v/>
      </c>
      <c r="AP55" s="52" t="str">
        <f>+IF(IF($B55="","",IFERROR(INDEX('Auxiliar Resultados'!$C$9:$BO$50,MATCH($B55,'Auxiliar Resultados'!$B$9:$B$50,0),MATCH(CONCATENATE($C55,AP$7),'Auxiliar Resultados'!$C$6:$BO$6,0)),""))=0,"",IF($B55="","",IFERROR(INDEX('Auxiliar Resultados'!$C$9:$BO$50,MATCH($B55,'Auxiliar Resultados'!$B$9:$B$50,0),MATCH(CONCATENATE($C55,AP$7),'Auxiliar Resultados'!$C$6:$BO$6,0)),"")))</f>
        <v/>
      </c>
      <c r="AQ55" s="276" t="str">
        <f>+IF(IF($B55="","",IFERROR(INDEX('Auxiliar Resultados'!$C$9:$BO$50,MATCH($B55,'Auxiliar Resultados'!$B$9:$B$50,0),MATCH(CONCATENATE($C55,AQ$7),'Auxiliar Resultados'!$C$6:$BO$6,0)),""))=0,"",IF($B55="","",IFERROR(INDEX('Auxiliar Resultados'!$C$9:$BO$50,MATCH($B55,'Auxiliar Resultados'!$B$9:$B$50,0),MATCH(CONCATENATE($C55,AQ$7),'Auxiliar Resultados'!$C$6:$BO$6,0)),"")))</f>
        <v/>
      </c>
      <c r="AS55" s="46" t="str">
        <f t="shared" si="5"/>
        <v/>
      </c>
      <c r="AT55" s="292" t="str">
        <f t="shared" si="6"/>
        <v/>
      </c>
      <c r="AU55" s="36" t="str">
        <f>+IF(G55="","",INDEX('Modelo Optimización'!$AZ$4:$CO$149,MATCH(CONCATENATE(AU$7,$AT55),'Modelo Optimización'!$CQ$4:$CQ$149,0),MATCH($AS55,'Modelo Optimización'!$AZ$3:$CO$3,0)))</f>
        <v/>
      </c>
      <c r="AV55" s="32" t="str">
        <f>+IF(H55="","",INDEX('Modelo Optimización'!$AZ$4:$CO$149,MATCH(CONCATENATE(AV$7,$AT55),'Modelo Optimización'!$CQ$4:$CQ$149,0),MATCH($AS55,'Modelo Optimización'!$AZ$3:$CO$3,0)))</f>
        <v/>
      </c>
      <c r="AW55" s="32" t="str">
        <f>+IF(I55="","",INDEX('Modelo Optimización'!$AZ$4:$CO$149,MATCH(CONCATENATE(AW$7,$AT55),'Modelo Optimización'!$CQ$4:$CQ$149,0),MATCH($AS55,'Modelo Optimización'!$AZ$3:$CO$3,0)))</f>
        <v/>
      </c>
      <c r="AX55" s="32" t="str">
        <f>+IF(J55="","",INDEX('Modelo Optimización'!$AZ$4:$CO$149,MATCH(CONCATENATE(AX$7,$AT55),'Modelo Optimización'!$CQ$4:$CQ$149,0),MATCH($AS55,'Modelo Optimización'!$AZ$3:$CO$3,0)))</f>
        <v/>
      </c>
      <c r="AY55" s="32" t="str">
        <f>+IF(K55="","",INDEX('Modelo Optimización'!$AZ$4:$CO$149,MATCH(CONCATENATE(AY$7,$AT55),'Modelo Optimización'!$CQ$4:$CQ$149,0),MATCH($AS55,'Modelo Optimización'!$AZ$3:$CO$3,0)))</f>
        <v/>
      </c>
      <c r="AZ55" s="32" t="str">
        <f>+IF(L55="","",INDEX('Modelo Optimización'!$AZ$4:$CO$149,MATCH(CONCATENATE(AZ$7,$AT55),'Modelo Optimización'!$CQ$4:$CQ$149,0),MATCH($AS55,'Modelo Optimización'!$AZ$3:$CO$3,0)))</f>
        <v/>
      </c>
      <c r="BA55" s="32" t="str">
        <f>+IF(M55="","",INDEX('Modelo Optimización'!$AZ$4:$CO$149,MATCH(CONCATENATE(BA$7,$AT55),'Modelo Optimización'!$CQ$4:$CQ$149,0),MATCH($AS55,'Modelo Optimización'!$AZ$3:$CO$3,0)))</f>
        <v/>
      </c>
      <c r="BB55" s="32" t="str">
        <f>+IF(N55="","",INDEX('Modelo Optimización'!$AZ$4:$CO$149,MATCH(CONCATENATE(BB$7,$AT55),'Modelo Optimización'!$CQ$4:$CQ$149,0),MATCH($AS55,'Modelo Optimización'!$AZ$3:$CO$3,0)))</f>
        <v/>
      </c>
      <c r="BC55" s="32" t="str">
        <f>+IF(O55="","",INDEX('Modelo Optimización'!$AZ$4:$CO$149,MATCH(CONCATENATE(BC$7,$AT55),'Modelo Optimización'!$CQ$4:$CQ$149,0),MATCH($AS55,'Modelo Optimización'!$AZ$3:$CO$3,0)))</f>
        <v/>
      </c>
      <c r="BD55" s="32" t="str">
        <f>+IF(P55="","",INDEX('Modelo Optimización'!$AZ$4:$CO$149,MATCH(CONCATENATE(BD$7,$AT55),'Modelo Optimización'!$CQ$4:$CQ$149,0),MATCH($AS55,'Modelo Optimización'!$AZ$3:$CO$3,0)))</f>
        <v/>
      </c>
      <c r="BE55" s="32" t="str">
        <f>+IF(Q55="","",INDEX('Modelo Optimización'!$AZ$4:$CO$149,MATCH(CONCATENATE(BE$7,$AT55),'Modelo Optimización'!$CQ$4:$CQ$149,0),MATCH($AS55,'Modelo Optimización'!$AZ$3:$CO$3,0)))</f>
        <v/>
      </c>
      <c r="BF55" s="32" t="str">
        <f>+IF(R55="","",INDEX('Modelo Optimización'!$AZ$4:$CO$149,MATCH(CONCATENATE(BF$7,$AT55),'Modelo Optimización'!$CQ$4:$CQ$149,0),MATCH($AS55,'Modelo Optimización'!$AZ$3:$CO$3,0)))</f>
        <v/>
      </c>
      <c r="BG55" s="32" t="str">
        <f>+IF(S55="","",INDEX('Modelo Optimización'!$AZ$4:$CO$149,MATCH(CONCATENATE(BG$7,$AT55),'Modelo Optimización'!$CQ$4:$CQ$149,0),MATCH($AS55,'Modelo Optimización'!$AZ$3:$CO$3,0)))</f>
        <v/>
      </c>
      <c r="BH55" s="32" t="str">
        <f>+IF(T55="","",INDEX('Modelo Optimización'!$AZ$4:$CO$149,MATCH(CONCATENATE(BH$7,$AT55),'Modelo Optimización'!$CQ$4:$CQ$149,0),MATCH($AS55,'Modelo Optimización'!$AZ$3:$CO$3,0)))</f>
        <v/>
      </c>
      <c r="BI55" s="32" t="str">
        <f>+IF(U55="","",INDEX('Modelo Optimización'!$AZ$4:$CO$149,MATCH(CONCATENATE(BI$7,$AT55),'Modelo Optimización'!$CQ$4:$CQ$149,0),MATCH($AS55,'Modelo Optimización'!$AZ$3:$CO$3,0)))</f>
        <v/>
      </c>
      <c r="BJ55" s="32" t="str">
        <f>+IF(V55="","",INDEX('Modelo Optimización'!$AZ$4:$CO$149,MATCH(CONCATENATE(BJ$7,$AT55),'Modelo Optimización'!$CQ$4:$CQ$149,0),MATCH($AS55,'Modelo Optimización'!$AZ$3:$CO$3,0)))</f>
        <v/>
      </c>
      <c r="BK55" s="32" t="str">
        <f>+IF(W55="","",INDEX('Modelo Optimización'!$AZ$4:$CO$149,MATCH(CONCATENATE(BK$7,$AT55),'Modelo Optimización'!$CQ$4:$CQ$149,0),MATCH($AS55,'Modelo Optimización'!$AZ$3:$CO$3,0)))</f>
        <v/>
      </c>
      <c r="BL55" s="32" t="str">
        <f>+IF(X55="","",INDEX('Modelo Optimización'!$AZ$4:$CO$149,MATCH(CONCATENATE(BL$7,$AT55),'Modelo Optimización'!$CQ$4:$CQ$149,0),MATCH($AS55,'Modelo Optimización'!$AZ$3:$CO$3,0)))</f>
        <v/>
      </c>
      <c r="BM55" s="32" t="str">
        <f>+IF(Y55="","",INDEX('Modelo Optimización'!$AZ$4:$CO$149,MATCH(CONCATENATE(BM$7,$AT55),'Modelo Optimización'!$CQ$4:$CQ$149,0),MATCH($AS55,'Modelo Optimización'!$AZ$3:$CO$3,0)))</f>
        <v/>
      </c>
      <c r="BN55" s="32" t="str">
        <f>+IF(Z55="","",INDEX('Modelo Optimización'!$AZ$4:$CO$149,MATCH(CONCATENATE(BN$7,$AT55),'Modelo Optimización'!$CQ$4:$CQ$149,0),MATCH($AS55,'Modelo Optimización'!$AZ$3:$CO$3,0)))</f>
        <v/>
      </c>
      <c r="BO55" s="32" t="str">
        <f>+IF(AA55="","",INDEX('Modelo Optimización'!$AZ$4:$CO$149,MATCH(CONCATENATE(BO$7,$AT55),'Modelo Optimización'!$CQ$4:$CQ$149,0),MATCH($AS55,'Modelo Optimización'!$AZ$3:$CO$3,0)))</f>
        <v/>
      </c>
      <c r="BP55" s="32" t="str">
        <f>+IF(AB55="","",INDEX('Modelo Optimización'!$AZ$4:$CO$149,MATCH(CONCATENATE(BP$7,$AT55),'Modelo Optimización'!$CQ$4:$CQ$149,0),MATCH($AS55,'Modelo Optimización'!$AZ$3:$CO$3,0)))</f>
        <v/>
      </c>
      <c r="BQ55" s="32" t="str">
        <f>+IF(AC55="","",INDEX('Modelo Optimización'!$AZ$4:$CO$149,MATCH(CONCATENATE(BQ$7,$AT55),'Modelo Optimización'!$CQ$4:$CQ$149,0),MATCH($AS55,'Modelo Optimización'!$AZ$3:$CO$3,0)))</f>
        <v/>
      </c>
      <c r="BR55" s="32" t="str">
        <f>+IF(AD55="","",INDEX('Modelo Optimización'!$AZ$4:$CO$149,MATCH(CONCATENATE(BR$7,$AT55),'Modelo Optimización'!$CQ$4:$CQ$149,0),MATCH($AS55,'Modelo Optimización'!$AZ$3:$CO$3,0)))</f>
        <v/>
      </c>
      <c r="BS55" s="32" t="str">
        <f>+IF(AE55="","",INDEX('Modelo Optimización'!$AZ$4:$CO$149,MATCH(CONCATENATE(BS$7,$AT55),'Modelo Optimización'!$CQ$4:$CQ$149,0),MATCH($AS55,'Modelo Optimización'!$AZ$3:$CO$3,0)))</f>
        <v/>
      </c>
      <c r="BT55" s="32" t="str">
        <f>+IF(AF55="","",INDEX('Modelo Optimización'!$AZ$4:$CO$149,MATCH(CONCATENATE(BT$7,$AT55),'Modelo Optimización'!$CQ$4:$CQ$149,0),MATCH($AS55,'Modelo Optimización'!$AZ$3:$CO$3,0)))</f>
        <v/>
      </c>
      <c r="BU55" s="32" t="str">
        <f>+IF(AG55="","",INDEX('Modelo Optimización'!$AZ$4:$CO$149,MATCH(CONCATENATE(BU$7,$AT55),'Modelo Optimización'!$CQ$4:$CQ$149,0),MATCH($AS55,'Modelo Optimización'!$AZ$3:$CO$3,0)))</f>
        <v/>
      </c>
      <c r="BV55" s="32" t="str">
        <f>+IF(AH55="","",INDEX('Modelo Optimización'!$AZ$4:$CO$149,MATCH(CONCATENATE(BV$7,$AT55),'Modelo Optimización'!$CQ$4:$CQ$149,0),MATCH($AS55,'Modelo Optimización'!$AZ$3:$CO$3,0)))</f>
        <v/>
      </c>
      <c r="BW55" s="32" t="str">
        <f>+IF(AI55="","",INDEX('Modelo Optimización'!$AZ$4:$CO$149,MATCH(CONCATENATE(BW$7,$AT55),'Modelo Optimización'!$CQ$4:$CQ$149,0),MATCH($AS55,'Modelo Optimización'!$AZ$3:$CO$3,0)))</f>
        <v/>
      </c>
      <c r="BX55" s="32" t="str">
        <f>+IF(AJ55="","",INDEX('Modelo Optimización'!$AZ$4:$CO$149,MATCH(CONCATENATE(BX$7,$AT55),'Modelo Optimización'!$CQ$4:$CQ$149,0),MATCH($AS55,'Modelo Optimización'!$AZ$3:$CO$3,0)))</f>
        <v/>
      </c>
      <c r="BY55" s="32" t="str">
        <f>+IF(AK55="","",INDEX('Modelo Optimización'!$AZ$4:$CO$149,MATCH(CONCATENATE(BY$7,$AT55),'Modelo Optimización'!$CQ$4:$CQ$149,0),MATCH($AS55,'Modelo Optimización'!$AZ$3:$CO$3,0)))</f>
        <v/>
      </c>
      <c r="BZ55" s="32" t="str">
        <f>+IF(AL55="","",INDEX('Modelo Optimización'!$AZ$4:$CO$149,MATCH(CONCATENATE(BZ$7,$AT55),'Modelo Optimización'!$CQ$4:$CQ$149,0),MATCH($AS55,'Modelo Optimización'!$AZ$3:$CO$3,0)))</f>
        <v/>
      </c>
      <c r="CA55" s="32" t="str">
        <f>+IF(AM55="","",INDEX('Modelo Optimización'!$AZ$4:$CO$149,MATCH(CONCATENATE(CA$7,$AT55),'Modelo Optimización'!$CQ$4:$CQ$149,0),MATCH($AS55,'Modelo Optimización'!$AZ$3:$CO$3,0)))</f>
        <v/>
      </c>
      <c r="CB55" s="32" t="str">
        <f>+IF(AN55="","",INDEX('Modelo Optimización'!$AZ$4:$CO$149,MATCH(CONCATENATE(CB$7,$AT55),'Modelo Optimización'!$CQ$4:$CQ$149,0),MATCH($AS55,'Modelo Optimización'!$AZ$3:$CO$3,0)))</f>
        <v/>
      </c>
      <c r="CC55" s="32" t="str">
        <f>+IF(AO55="","",INDEX('Modelo Optimización'!$AZ$4:$CO$149,MATCH(CONCATENATE(CC$7,$AT55),'Modelo Optimización'!$CQ$4:$CQ$149,0),MATCH($AS55,'Modelo Optimización'!$AZ$3:$CO$3,0)))</f>
        <v/>
      </c>
      <c r="CD55" s="32" t="str">
        <f>+IF(AP55="","",INDEX('Modelo Optimización'!$AZ$4:$CO$149,MATCH(CONCATENATE(CD$7,$AT55),'Modelo Optimización'!$CQ$4:$CQ$149,0),MATCH($AS55,'Modelo Optimización'!$AZ$3:$CO$3,0)))</f>
        <v/>
      </c>
      <c r="CE55" s="37" t="str">
        <f>+IF(AQ55="","",INDEX('Modelo Optimización'!$AZ$4:$CO$149,MATCH(CONCATENATE(CE$7,$AT55),'Modelo Optimización'!$CQ$4:$CQ$149,0),MATCH($AS55,'Modelo Optimización'!$AZ$3:$CO$3,0)))</f>
        <v/>
      </c>
      <c r="CF55" s="301"/>
      <c r="CG55" s="305" t="str">
        <f t="shared" si="11"/>
        <v/>
      </c>
      <c r="CH55" s="303" t="str">
        <f t="shared" si="7"/>
        <v/>
      </c>
      <c r="CI55" s="292" t="str">
        <f t="shared" si="8"/>
        <v/>
      </c>
      <c r="CJ55" s="36" t="str">
        <f t="shared" si="12"/>
        <v/>
      </c>
      <c r="CK55" s="32" t="str">
        <f t="shared" si="13"/>
        <v/>
      </c>
      <c r="CL55" s="32" t="str">
        <f t="shared" si="14"/>
        <v/>
      </c>
      <c r="CM55" s="32" t="str">
        <f t="shared" si="15"/>
        <v/>
      </c>
      <c r="CN55" s="32" t="str">
        <f t="shared" si="16"/>
        <v/>
      </c>
      <c r="CO55" s="32" t="str">
        <f t="shared" si="17"/>
        <v/>
      </c>
      <c r="CP55" s="32" t="str">
        <f t="shared" si="18"/>
        <v/>
      </c>
      <c r="CQ55" s="32" t="str">
        <f t="shared" si="19"/>
        <v/>
      </c>
      <c r="CR55" s="32" t="str">
        <f t="shared" si="20"/>
        <v/>
      </c>
      <c r="CS55" s="32" t="str">
        <f t="shared" si="21"/>
        <v/>
      </c>
      <c r="CT55" s="32" t="str">
        <f t="shared" si="22"/>
        <v/>
      </c>
      <c r="CU55" s="32" t="str">
        <f t="shared" si="23"/>
        <v/>
      </c>
      <c r="CV55" s="32" t="str">
        <f t="shared" si="24"/>
        <v/>
      </c>
      <c r="CW55" s="32" t="str">
        <f t="shared" si="25"/>
        <v/>
      </c>
      <c r="CX55" s="32" t="str">
        <f t="shared" si="26"/>
        <v/>
      </c>
      <c r="CY55" s="32" t="str">
        <f t="shared" si="27"/>
        <v/>
      </c>
      <c r="CZ55" s="32" t="str">
        <f t="shared" si="28"/>
        <v/>
      </c>
      <c r="DA55" s="32" t="str">
        <f t="shared" si="29"/>
        <v/>
      </c>
      <c r="DB55" s="32" t="str">
        <f t="shared" si="30"/>
        <v/>
      </c>
      <c r="DC55" s="32" t="str">
        <f t="shared" si="31"/>
        <v/>
      </c>
      <c r="DD55" s="32" t="str">
        <f t="shared" si="32"/>
        <v/>
      </c>
      <c r="DE55" s="32" t="str">
        <f t="shared" si="33"/>
        <v/>
      </c>
      <c r="DF55" s="32" t="str">
        <f t="shared" si="34"/>
        <v/>
      </c>
      <c r="DG55" s="32" t="str">
        <f t="shared" si="35"/>
        <v/>
      </c>
      <c r="DH55" s="32" t="str">
        <f t="shared" si="36"/>
        <v/>
      </c>
      <c r="DI55" s="32" t="str">
        <f t="shared" si="37"/>
        <v/>
      </c>
      <c r="DJ55" s="32" t="str">
        <f t="shared" si="38"/>
        <v/>
      </c>
      <c r="DK55" s="32" t="str">
        <f t="shared" si="39"/>
        <v/>
      </c>
      <c r="DL55" s="32" t="str">
        <f t="shared" si="40"/>
        <v/>
      </c>
      <c r="DM55" s="32" t="str">
        <f t="shared" si="41"/>
        <v/>
      </c>
      <c r="DN55" s="32" t="str">
        <f t="shared" si="42"/>
        <v/>
      </c>
      <c r="DO55" s="32" t="str">
        <f t="shared" si="43"/>
        <v/>
      </c>
      <c r="DP55" s="32" t="str">
        <f t="shared" si="44"/>
        <v/>
      </c>
      <c r="DQ55" s="32" t="str">
        <f t="shared" si="45"/>
        <v/>
      </c>
      <c r="DR55" s="32" t="str">
        <f t="shared" si="46"/>
        <v/>
      </c>
      <c r="DS55" s="32" t="str">
        <f t="shared" si="47"/>
        <v/>
      </c>
      <c r="DT55" s="37" t="str">
        <f t="shared" si="48"/>
        <v/>
      </c>
    </row>
    <row r="56" spans="2:124" x14ac:dyDescent="0.35">
      <c r="B56" s="46"/>
      <c r="C56" s="212"/>
      <c r="D56" s="52"/>
      <c r="E56" s="52" t="str">
        <f>+IF(B56="","",IFERROR(SUMIF('Modelo Optimización'!$AS$72:$AS$217,C56,INDEX('Modelo Optimización'!$C$72:$AR$217,,MATCH(B56,'Modelo Optimización'!$C$71:$AR$71,0))),0))</f>
        <v/>
      </c>
      <c r="F56" s="281" t="str">
        <f t="shared" si="10"/>
        <v/>
      </c>
      <c r="G56" s="280" t="str">
        <f>+IF(IF($B56="","",IFERROR(INDEX('Auxiliar Resultados'!$C$9:$BO$50,MATCH($B56,'Auxiliar Resultados'!$B$9:$B$50,0),MATCH(CONCATENATE($C56,G$7),'Auxiliar Resultados'!$C$6:$BO$6,0)),""))=0,"",IF($B56="","",IFERROR(INDEX('Auxiliar Resultados'!$C$9:$BO$50,MATCH($B56,'Auxiliar Resultados'!$B$9:$B$50,0),MATCH(CONCATENATE($C56,G$7),'Auxiliar Resultados'!$C$6:$BO$6,0)),"")))</f>
        <v/>
      </c>
      <c r="H56" s="52" t="str">
        <f>+IF(IF($B56="","",IFERROR(INDEX('Auxiliar Resultados'!$C$9:$BO$50,MATCH($B56,'Auxiliar Resultados'!$B$9:$B$50,0),MATCH(CONCATENATE($C56,H$7),'Auxiliar Resultados'!$C$6:$BO$6,0)),""))=0,"",IF($B56="","",IFERROR(INDEX('Auxiliar Resultados'!$C$9:$BO$50,MATCH($B56,'Auxiliar Resultados'!$B$9:$B$50,0),MATCH(CONCATENATE($C56,H$7),'Auxiliar Resultados'!$C$6:$BO$6,0)),"")))</f>
        <v/>
      </c>
      <c r="I56" s="52" t="str">
        <f>+IF(IF($B56="","",IFERROR(INDEX('Auxiliar Resultados'!$C$9:$BO$50,MATCH($B56,'Auxiliar Resultados'!$B$9:$B$50,0),MATCH(CONCATENATE($C56,I$7),'Auxiliar Resultados'!$C$6:$BO$6,0)),""))=0,"",IF($B56="","",IFERROR(INDEX('Auxiliar Resultados'!$C$9:$BO$50,MATCH($B56,'Auxiliar Resultados'!$B$9:$B$50,0),MATCH(CONCATENATE($C56,I$7),'Auxiliar Resultados'!$C$6:$BO$6,0)),"")))</f>
        <v/>
      </c>
      <c r="J56" s="52" t="str">
        <f>+IF(IF($B56="","",IFERROR(INDEX('Auxiliar Resultados'!$C$9:$BO$50,MATCH($B56,'Auxiliar Resultados'!$B$9:$B$50,0),MATCH(CONCATENATE($C56,J$7),'Auxiliar Resultados'!$C$6:$BO$6,0)),""))=0,"",IF($B56="","",IFERROR(INDEX('Auxiliar Resultados'!$C$9:$BO$50,MATCH($B56,'Auxiliar Resultados'!$B$9:$B$50,0),MATCH(CONCATENATE($C56,J$7),'Auxiliar Resultados'!$C$6:$BO$6,0)),"")))</f>
        <v/>
      </c>
      <c r="K56" s="52" t="str">
        <f>+IF(IF($B56="","",IFERROR(INDEX('Auxiliar Resultados'!$C$9:$BO$50,MATCH($B56,'Auxiliar Resultados'!$B$9:$B$50,0),MATCH(CONCATENATE($C56,K$7),'Auxiliar Resultados'!$C$6:$BO$6,0)),""))=0,"",IF($B56="","",IFERROR(INDEX('Auxiliar Resultados'!$C$9:$BO$50,MATCH($B56,'Auxiliar Resultados'!$B$9:$B$50,0),MATCH(CONCATENATE($C56,K$7),'Auxiliar Resultados'!$C$6:$BO$6,0)),"")))</f>
        <v/>
      </c>
      <c r="L56" s="52" t="str">
        <f>+IF(IF($B56="","",IFERROR(INDEX('Auxiliar Resultados'!$C$9:$BO$50,MATCH($B56,'Auxiliar Resultados'!$B$9:$B$50,0),MATCH(CONCATENATE($C56,L$7),'Auxiliar Resultados'!$C$6:$BO$6,0)),""))=0,"",IF($B56="","",IFERROR(INDEX('Auxiliar Resultados'!$C$9:$BO$50,MATCH($B56,'Auxiliar Resultados'!$B$9:$B$50,0),MATCH(CONCATENATE($C56,L$7),'Auxiliar Resultados'!$C$6:$BO$6,0)),"")))</f>
        <v/>
      </c>
      <c r="M56" s="52" t="str">
        <f>+IF(IF($B56="","",IFERROR(INDEX('Auxiliar Resultados'!$C$9:$BO$50,MATCH($B56,'Auxiliar Resultados'!$B$9:$B$50,0),MATCH(CONCATENATE($C56,M$7),'Auxiliar Resultados'!$C$6:$BO$6,0)),""))=0,"",IF($B56="","",IFERROR(INDEX('Auxiliar Resultados'!$C$9:$BO$50,MATCH($B56,'Auxiliar Resultados'!$B$9:$B$50,0),MATCH(CONCATENATE($C56,M$7),'Auxiliar Resultados'!$C$6:$BO$6,0)),"")))</f>
        <v/>
      </c>
      <c r="N56" s="52" t="str">
        <f>+IF(IF($B56="","",IFERROR(INDEX('Auxiliar Resultados'!$C$9:$BO$50,MATCH($B56,'Auxiliar Resultados'!$B$9:$B$50,0),MATCH(CONCATENATE($C56,N$7),'Auxiliar Resultados'!$C$6:$BO$6,0)),""))=0,"",IF($B56="","",IFERROR(INDEX('Auxiliar Resultados'!$C$9:$BO$50,MATCH($B56,'Auxiliar Resultados'!$B$9:$B$50,0),MATCH(CONCATENATE($C56,N$7),'Auxiliar Resultados'!$C$6:$BO$6,0)),"")))</f>
        <v/>
      </c>
      <c r="O56" s="52" t="str">
        <f>+IF(IF($B56="","",IFERROR(INDEX('Auxiliar Resultados'!$C$9:$BO$50,MATCH($B56,'Auxiliar Resultados'!$B$9:$B$50,0),MATCH(CONCATENATE($C56,O$7),'Auxiliar Resultados'!$C$6:$BO$6,0)),""))=0,"",IF($B56="","",IFERROR(INDEX('Auxiliar Resultados'!$C$9:$BO$50,MATCH($B56,'Auxiliar Resultados'!$B$9:$B$50,0),MATCH(CONCATENATE($C56,O$7),'Auxiliar Resultados'!$C$6:$BO$6,0)),"")))</f>
        <v/>
      </c>
      <c r="P56" s="52" t="str">
        <f>+IF(IF($B56="","",IFERROR(INDEX('Auxiliar Resultados'!$C$9:$BO$50,MATCH($B56,'Auxiliar Resultados'!$B$9:$B$50,0),MATCH(CONCATENATE($C56,P$7),'Auxiliar Resultados'!$C$6:$BO$6,0)),""))=0,"",IF($B56="","",IFERROR(INDEX('Auxiliar Resultados'!$C$9:$BO$50,MATCH($B56,'Auxiliar Resultados'!$B$9:$B$50,0),MATCH(CONCATENATE($C56,P$7),'Auxiliar Resultados'!$C$6:$BO$6,0)),"")))</f>
        <v/>
      </c>
      <c r="Q56" s="52" t="str">
        <f>+IF(IF($B56="","",IFERROR(INDEX('Auxiliar Resultados'!$C$9:$BO$50,MATCH($B56,'Auxiliar Resultados'!$B$9:$B$50,0),MATCH(CONCATENATE($C56,Q$7),'Auxiliar Resultados'!$C$6:$BO$6,0)),""))=0,"",IF($B56="","",IFERROR(INDEX('Auxiliar Resultados'!$C$9:$BO$50,MATCH($B56,'Auxiliar Resultados'!$B$9:$B$50,0),MATCH(CONCATENATE($C56,Q$7),'Auxiliar Resultados'!$C$6:$BO$6,0)),"")))</f>
        <v/>
      </c>
      <c r="R56" s="52" t="str">
        <f>+IF(IF($B56="","",IFERROR(INDEX('Auxiliar Resultados'!$C$9:$BO$50,MATCH($B56,'Auxiliar Resultados'!$B$9:$B$50,0),MATCH(CONCATENATE($C56,R$7),'Auxiliar Resultados'!$C$6:$BO$6,0)),""))=0,"",IF($B56="","",IFERROR(INDEX('Auxiliar Resultados'!$C$9:$BO$50,MATCH($B56,'Auxiliar Resultados'!$B$9:$B$50,0),MATCH(CONCATENATE($C56,R$7),'Auxiliar Resultados'!$C$6:$BO$6,0)),"")))</f>
        <v/>
      </c>
      <c r="S56" s="52" t="str">
        <f>+IF(IF($B56="","",IFERROR(INDEX('Auxiliar Resultados'!$C$9:$BO$50,MATCH($B56,'Auxiliar Resultados'!$B$9:$B$50,0),MATCH(CONCATENATE($C56,S$7),'Auxiliar Resultados'!$C$6:$BO$6,0)),""))=0,"",IF($B56="","",IFERROR(INDEX('Auxiliar Resultados'!$C$9:$BO$50,MATCH($B56,'Auxiliar Resultados'!$B$9:$B$50,0),MATCH(CONCATENATE($C56,S$7),'Auxiliar Resultados'!$C$6:$BO$6,0)),"")))</f>
        <v/>
      </c>
      <c r="T56" s="52" t="str">
        <f>+IF(IF($B56="","",IFERROR(INDEX('Auxiliar Resultados'!$C$9:$BO$50,MATCH($B56,'Auxiliar Resultados'!$B$9:$B$50,0),MATCH(CONCATENATE($C56,T$7),'Auxiliar Resultados'!$C$6:$BO$6,0)),""))=0,"",IF($B56="","",IFERROR(INDEX('Auxiliar Resultados'!$C$9:$BO$50,MATCH($B56,'Auxiliar Resultados'!$B$9:$B$50,0),MATCH(CONCATENATE($C56,T$7),'Auxiliar Resultados'!$C$6:$BO$6,0)),"")))</f>
        <v/>
      </c>
      <c r="U56" s="52" t="str">
        <f>+IF(IF($B56="","",IFERROR(INDEX('Auxiliar Resultados'!$C$9:$BO$50,MATCH($B56,'Auxiliar Resultados'!$B$9:$B$50,0),MATCH(CONCATENATE($C56,U$7),'Auxiliar Resultados'!$C$6:$BO$6,0)),""))=0,"",IF($B56="","",IFERROR(INDEX('Auxiliar Resultados'!$C$9:$BO$50,MATCH($B56,'Auxiliar Resultados'!$B$9:$B$50,0),MATCH(CONCATENATE($C56,U$7),'Auxiliar Resultados'!$C$6:$BO$6,0)),"")))</f>
        <v/>
      </c>
      <c r="V56" s="52" t="str">
        <f>+IF(IF($B56="","",IFERROR(INDEX('Auxiliar Resultados'!$C$9:$BO$50,MATCH($B56,'Auxiliar Resultados'!$B$9:$B$50,0),MATCH(CONCATENATE($C56,V$7),'Auxiliar Resultados'!$C$6:$BO$6,0)),""))=0,"",IF($B56="","",IFERROR(INDEX('Auxiliar Resultados'!$C$9:$BO$50,MATCH($B56,'Auxiliar Resultados'!$B$9:$B$50,0),MATCH(CONCATENATE($C56,V$7),'Auxiliar Resultados'!$C$6:$BO$6,0)),"")))</f>
        <v/>
      </c>
      <c r="W56" s="52" t="str">
        <f>+IF(IF($B56="","",IFERROR(INDEX('Auxiliar Resultados'!$C$9:$BO$50,MATCH($B56,'Auxiliar Resultados'!$B$9:$B$50,0),MATCH(CONCATENATE($C56,W$7),'Auxiliar Resultados'!$C$6:$BO$6,0)),""))=0,"",IF($B56="","",IFERROR(INDEX('Auxiliar Resultados'!$C$9:$BO$50,MATCH($B56,'Auxiliar Resultados'!$B$9:$B$50,0),MATCH(CONCATENATE($C56,W$7),'Auxiliar Resultados'!$C$6:$BO$6,0)),"")))</f>
        <v/>
      </c>
      <c r="X56" s="52" t="str">
        <f>+IF(IF($B56="","",IFERROR(INDEX('Auxiliar Resultados'!$C$9:$BO$50,MATCH($B56,'Auxiliar Resultados'!$B$9:$B$50,0),MATCH(CONCATENATE($C56,X$7),'Auxiliar Resultados'!$C$6:$BO$6,0)),""))=0,"",IF($B56="","",IFERROR(INDEX('Auxiliar Resultados'!$C$9:$BO$50,MATCH($B56,'Auxiliar Resultados'!$B$9:$B$50,0),MATCH(CONCATENATE($C56,X$7),'Auxiliar Resultados'!$C$6:$BO$6,0)),"")))</f>
        <v/>
      </c>
      <c r="Y56" s="52" t="str">
        <f>+IF(IF($B56="","",IFERROR(INDEX('Auxiliar Resultados'!$C$9:$BO$50,MATCH($B56,'Auxiliar Resultados'!$B$9:$B$50,0),MATCH(CONCATENATE($C56,Y$7),'Auxiliar Resultados'!$C$6:$BO$6,0)),""))=0,"",IF($B56="","",IFERROR(INDEX('Auxiliar Resultados'!$C$9:$BO$50,MATCH($B56,'Auxiliar Resultados'!$B$9:$B$50,0),MATCH(CONCATENATE($C56,Y$7),'Auxiliar Resultados'!$C$6:$BO$6,0)),"")))</f>
        <v/>
      </c>
      <c r="Z56" s="52" t="str">
        <f>+IF(IF($B56="","",IFERROR(INDEX('Auxiliar Resultados'!$C$9:$BO$50,MATCH($B56,'Auxiliar Resultados'!$B$9:$B$50,0),MATCH(CONCATENATE($C56,Z$7),'Auxiliar Resultados'!$C$6:$BO$6,0)),""))=0,"",IF($B56="","",IFERROR(INDEX('Auxiliar Resultados'!$C$9:$BO$50,MATCH($B56,'Auxiliar Resultados'!$B$9:$B$50,0),MATCH(CONCATENATE($C56,Z$7),'Auxiliar Resultados'!$C$6:$BO$6,0)),"")))</f>
        <v/>
      </c>
      <c r="AA56" s="52" t="str">
        <f>+IF(IF($B56="","",IFERROR(INDEX('Auxiliar Resultados'!$C$9:$BO$50,MATCH($B56,'Auxiliar Resultados'!$B$9:$B$50,0),MATCH(CONCATENATE($C56,AA$7),'Auxiliar Resultados'!$C$6:$BO$6,0)),""))=0,"",IF($B56="","",IFERROR(INDEX('Auxiliar Resultados'!$C$9:$BO$50,MATCH($B56,'Auxiliar Resultados'!$B$9:$B$50,0),MATCH(CONCATENATE($C56,AA$7),'Auxiliar Resultados'!$C$6:$BO$6,0)),"")))</f>
        <v/>
      </c>
      <c r="AB56" s="52" t="str">
        <f>+IF(IF($B56="","",IFERROR(INDEX('Auxiliar Resultados'!$C$9:$BO$50,MATCH($B56,'Auxiliar Resultados'!$B$9:$B$50,0),MATCH(CONCATENATE($C56,AB$7),'Auxiliar Resultados'!$C$6:$BO$6,0)),""))=0,"",IF($B56="","",IFERROR(INDEX('Auxiliar Resultados'!$C$9:$BO$50,MATCH($B56,'Auxiliar Resultados'!$B$9:$B$50,0),MATCH(CONCATENATE($C56,AB$7),'Auxiliar Resultados'!$C$6:$BO$6,0)),"")))</f>
        <v/>
      </c>
      <c r="AC56" s="52" t="str">
        <f>+IF(IF($B56="","",IFERROR(INDEX('Auxiliar Resultados'!$C$9:$BO$50,MATCH($B56,'Auxiliar Resultados'!$B$9:$B$50,0),MATCH(CONCATENATE($C56,AC$7),'Auxiliar Resultados'!$C$6:$BO$6,0)),""))=0,"",IF($B56="","",IFERROR(INDEX('Auxiliar Resultados'!$C$9:$BO$50,MATCH($B56,'Auxiliar Resultados'!$B$9:$B$50,0),MATCH(CONCATENATE($C56,AC$7),'Auxiliar Resultados'!$C$6:$BO$6,0)),"")))</f>
        <v/>
      </c>
      <c r="AD56" s="52" t="str">
        <f>+IF(IF($B56="","",IFERROR(INDEX('Auxiliar Resultados'!$C$9:$BO$50,MATCH($B56,'Auxiliar Resultados'!$B$9:$B$50,0),MATCH(CONCATENATE($C56,AD$7),'Auxiliar Resultados'!$C$6:$BO$6,0)),""))=0,"",IF($B56="","",IFERROR(INDEX('Auxiliar Resultados'!$C$9:$BO$50,MATCH($B56,'Auxiliar Resultados'!$B$9:$B$50,0),MATCH(CONCATENATE($C56,AD$7),'Auxiliar Resultados'!$C$6:$BO$6,0)),"")))</f>
        <v/>
      </c>
      <c r="AE56" s="52" t="str">
        <f>+IF(IF($B56="","",IFERROR(INDEX('Auxiliar Resultados'!$C$9:$BO$50,MATCH($B56,'Auxiliar Resultados'!$B$9:$B$50,0),MATCH(CONCATENATE($C56,AE$7),'Auxiliar Resultados'!$C$6:$BO$6,0)),""))=0,"",IF($B56="","",IFERROR(INDEX('Auxiliar Resultados'!$C$9:$BO$50,MATCH($B56,'Auxiliar Resultados'!$B$9:$B$50,0),MATCH(CONCATENATE($C56,AE$7),'Auxiliar Resultados'!$C$6:$BO$6,0)),"")))</f>
        <v/>
      </c>
      <c r="AF56" s="52" t="str">
        <f>+IF(IF($B56="","",IFERROR(INDEX('Auxiliar Resultados'!$C$9:$BO$50,MATCH($B56,'Auxiliar Resultados'!$B$9:$B$50,0),MATCH(CONCATENATE($C56,AF$7),'Auxiliar Resultados'!$C$6:$BO$6,0)),""))=0,"",IF($B56="","",IFERROR(INDEX('Auxiliar Resultados'!$C$9:$BO$50,MATCH($B56,'Auxiliar Resultados'!$B$9:$B$50,0),MATCH(CONCATENATE($C56,AF$7),'Auxiliar Resultados'!$C$6:$BO$6,0)),"")))</f>
        <v/>
      </c>
      <c r="AG56" s="52" t="str">
        <f>+IF(IF($B56="","",IFERROR(INDEX('Auxiliar Resultados'!$C$9:$BO$50,MATCH($B56,'Auxiliar Resultados'!$B$9:$B$50,0),MATCH(CONCATENATE($C56,AG$7),'Auxiliar Resultados'!$C$6:$BO$6,0)),""))=0,"",IF($B56="","",IFERROR(INDEX('Auxiliar Resultados'!$C$9:$BO$50,MATCH($B56,'Auxiliar Resultados'!$B$9:$B$50,0),MATCH(CONCATENATE($C56,AG$7),'Auxiliar Resultados'!$C$6:$BO$6,0)),"")))</f>
        <v/>
      </c>
      <c r="AH56" s="52" t="str">
        <f>+IF(IF($B56="","",IFERROR(INDEX('Auxiliar Resultados'!$C$9:$BO$50,MATCH($B56,'Auxiliar Resultados'!$B$9:$B$50,0),MATCH(CONCATENATE($C56,AH$7),'Auxiliar Resultados'!$C$6:$BO$6,0)),""))=0,"",IF($B56="","",IFERROR(INDEX('Auxiliar Resultados'!$C$9:$BO$50,MATCH($B56,'Auxiliar Resultados'!$B$9:$B$50,0),MATCH(CONCATENATE($C56,AH$7),'Auxiliar Resultados'!$C$6:$BO$6,0)),"")))</f>
        <v/>
      </c>
      <c r="AI56" s="52" t="str">
        <f>+IF(IF($B56="","",IFERROR(INDEX('Auxiliar Resultados'!$C$9:$BO$50,MATCH($B56,'Auxiliar Resultados'!$B$9:$B$50,0),MATCH(CONCATENATE($C56,AI$7),'Auxiliar Resultados'!$C$6:$BO$6,0)),""))=0,"",IF($B56="","",IFERROR(INDEX('Auxiliar Resultados'!$C$9:$BO$50,MATCH($B56,'Auxiliar Resultados'!$B$9:$B$50,0),MATCH(CONCATENATE($C56,AI$7),'Auxiliar Resultados'!$C$6:$BO$6,0)),"")))</f>
        <v/>
      </c>
      <c r="AJ56" s="52" t="str">
        <f>+IF(IF($B56="","",IFERROR(INDEX('Auxiliar Resultados'!$C$9:$BO$50,MATCH($B56,'Auxiliar Resultados'!$B$9:$B$50,0),MATCH(CONCATENATE($C56,AJ$7),'Auxiliar Resultados'!$C$6:$BO$6,0)),""))=0,"",IF($B56="","",IFERROR(INDEX('Auxiliar Resultados'!$C$9:$BO$50,MATCH($B56,'Auxiliar Resultados'!$B$9:$B$50,0),MATCH(CONCATENATE($C56,AJ$7),'Auxiliar Resultados'!$C$6:$BO$6,0)),"")))</f>
        <v/>
      </c>
      <c r="AK56" s="52" t="str">
        <f>+IF(IF($B56="","",IFERROR(INDEX('Auxiliar Resultados'!$C$9:$BO$50,MATCH($B56,'Auxiliar Resultados'!$B$9:$B$50,0),MATCH(CONCATENATE($C56,AK$7),'Auxiliar Resultados'!$C$6:$BO$6,0)),""))=0,"",IF($B56="","",IFERROR(INDEX('Auxiliar Resultados'!$C$9:$BO$50,MATCH($B56,'Auxiliar Resultados'!$B$9:$B$50,0),MATCH(CONCATENATE($C56,AK$7),'Auxiliar Resultados'!$C$6:$BO$6,0)),"")))</f>
        <v/>
      </c>
      <c r="AL56" s="52" t="str">
        <f>+IF(IF($B56="","",IFERROR(INDEX('Auxiliar Resultados'!$C$9:$BO$50,MATCH($B56,'Auxiliar Resultados'!$B$9:$B$50,0),MATCH(CONCATENATE($C56,AL$7),'Auxiliar Resultados'!$C$6:$BO$6,0)),""))=0,"",IF($B56="","",IFERROR(INDEX('Auxiliar Resultados'!$C$9:$BO$50,MATCH($B56,'Auxiliar Resultados'!$B$9:$B$50,0),MATCH(CONCATENATE($C56,AL$7),'Auxiliar Resultados'!$C$6:$BO$6,0)),"")))</f>
        <v/>
      </c>
      <c r="AM56" s="52" t="str">
        <f>+IF(IF($B56="","",IFERROR(INDEX('Auxiliar Resultados'!$C$9:$BO$50,MATCH($B56,'Auxiliar Resultados'!$B$9:$B$50,0),MATCH(CONCATENATE($C56,AM$7),'Auxiliar Resultados'!$C$6:$BO$6,0)),""))=0,"",IF($B56="","",IFERROR(INDEX('Auxiliar Resultados'!$C$9:$BO$50,MATCH($B56,'Auxiliar Resultados'!$B$9:$B$50,0),MATCH(CONCATENATE($C56,AM$7),'Auxiliar Resultados'!$C$6:$BO$6,0)),"")))</f>
        <v/>
      </c>
      <c r="AN56" s="52" t="str">
        <f>+IF(IF($B56="","",IFERROR(INDEX('Auxiliar Resultados'!$C$9:$BO$50,MATCH($B56,'Auxiliar Resultados'!$B$9:$B$50,0),MATCH(CONCATENATE($C56,AN$7),'Auxiliar Resultados'!$C$6:$BO$6,0)),""))=0,"",IF($B56="","",IFERROR(INDEX('Auxiliar Resultados'!$C$9:$BO$50,MATCH($B56,'Auxiliar Resultados'!$B$9:$B$50,0),MATCH(CONCATENATE($C56,AN$7),'Auxiliar Resultados'!$C$6:$BO$6,0)),"")))</f>
        <v/>
      </c>
      <c r="AO56" s="52" t="str">
        <f>+IF(IF($B56="","",IFERROR(INDEX('Auxiliar Resultados'!$C$9:$BO$50,MATCH($B56,'Auxiliar Resultados'!$B$9:$B$50,0),MATCH(CONCATENATE($C56,AO$7),'Auxiliar Resultados'!$C$6:$BO$6,0)),""))=0,"",IF($B56="","",IFERROR(INDEX('Auxiliar Resultados'!$C$9:$BO$50,MATCH($B56,'Auxiliar Resultados'!$B$9:$B$50,0),MATCH(CONCATENATE($C56,AO$7),'Auxiliar Resultados'!$C$6:$BO$6,0)),"")))</f>
        <v/>
      </c>
      <c r="AP56" s="52" t="str">
        <f>+IF(IF($B56="","",IFERROR(INDEX('Auxiliar Resultados'!$C$9:$BO$50,MATCH($B56,'Auxiliar Resultados'!$B$9:$B$50,0),MATCH(CONCATENATE($C56,AP$7),'Auxiliar Resultados'!$C$6:$BO$6,0)),""))=0,"",IF($B56="","",IFERROR(INDEX('Auxiliar Resultados'!$C$9:$BO$50,MATCH($B56,'Auxiliar Resultados'!$B$9:$B$50,0),MATCH(CONCATENATE($C56,AP$7),'Auxiliar Resultados'!$C$6:$BO$6,0)),"")))</f>
        <v/>
      </c>
      <c r="AQ56" s="276" t="str">
        <f>+IF(IF($B56="","",IFERROR(INDEX('Auxiliar Resultados'!$C$9:$BO$50,MATCH($B56,'Auxiliar Resultados'!$B$9:$B$50,0),MATCH(CONCATENATE($C56,AQ$7),'Auxiliar Resultados'!$C$6:$BO$6,0)),""))=0,"",IF($B56="","",IFERROR(INDEX('Auxiliar Resultados'!$C$9:$BO$50,MATCH($B56,'Auxiliar Resultados'!$B$9:$B$50,0),MATCH(CONCATENATE($C56,AQ$7),'Auxiliar Resultados'!$C$6:$BO$6,0)),"")))</f>
        <v/>
      </c>
      <c r="AS56" s="46" t="str">
        <f t="shared" si="5"/>
        <v/>
      </c>
      <c r="AT56" s="292" t="str">
        <f t="shared" si="6"/>
        <v/>
      </c>
      <c r="AU56" s="36" t="str">
        <f>+IF(G56="","",INDEX('Modelo Optimización'!$AZ$4:$CO$149,MATCH(CONCATENATE(AU$7,$AT56),'Modelo Optimización'!$CQ$4:$CQ$149,0),MATCH($AS56,'Modelo Optimización'!$AZ$3:$CO$3,0)))</f>
        <v/>
      </c>
      <c r="AV56" s="32" t="str">
        <f>+IF(H56="","",INDEX('Modelo Optimización'!$AZ$4:$CO$149,MATCH(CONCATENATE(AV$7,$AT56),'Modelo Optimización'!$CQ$4:$CQ$149,0),MATCH($AS56,'Modelo Optimización'!$AZ$3:$CO$3,0)))</f>
        <v/>
      </c>
      <c r="AW56" s="32" t="str">
        <f>+IF(I56="","",INDEX('Modelo Optimización'!$AZ$4:$CO$149,MATCH(CONCATENATE(AW$7,$AT56),'Modelo Optimización'!$CQ$4:$CQ$149,0),MATCH($AS56,'Modelo Optimización'!$AZ$3:$CO$3,0)))</f>
        <v/>
      </c>
      <c r="AX56" s="32" t="str">
        <f>+IF(J56="","",INDEX('Modelo Optimización'!$AZ$4:$CO$149,MATCH(CONCATENATE(AX$7,$AT56),'Modelo Optimización'!$CQ$4:$CQ$149,0),MATCH($AS56,'Modelo Optimización'!$AZ$3:$CO$3,0)))</f>
        <v/>
      </c>
      <c r="AY56" s="32" t="str">
        <f>+IF(K56="","",INDEX('Modelo Optimización'!$AZ$4:$CO$149,MATCH(CONCATENATE(AY$7,$AT56),'Modelo Optimización'!$CQ$4:$CQ$149,0),MATCH($AS56,'Modelo Optimización'!$AZ$3:$CO$3,0)))</f>
        <v/>
      </c>
      <c r="AZ56" s="32" t="str">
        <f>+IF(L56="","",INDEX('Modelo Optimización'!$AZ$4:$CO$149,MATCH(CONCATENATE(AZ$7,$AT56),'Modelo Optimización'!$CQ$4:$CQ$149,0),MATCH($AS56,'Modelo Optimización'!$AZ$3:$CO$3,0)))</f>
        <v/>
      </c>
      <c r="BA56" s="32" t="str">
        <f>+IF(M56="","",INDEX('Modelo Optimización'!$AZ$4:$CO$149,MATCH(CONCATENATE(BA$7,$AT56),'Modelo Optimización'!$CQ$4:$CQ$149,0),MATCH($AS56,'Modelo Optimización'!$AZ$3:$CO$3,0)))</f>
        <v/>
      </c>
      <c r="BB56" s="32" t="str">
        <f>+IF(N56="","",INDEX('Modelo Optimización'!$AZ$4:$CO$149,MATCH(CONCATENATE(BB$7,$AT56),'Modelo Optimización'!$CQ$4:$CQ$149,0),MATCH($AS56,'Modelo Optimización'!$AZ$3:$CO$3,0)))</f>
        <v/>
      </c>
      <c r="BC56" s="32" t="str">
        <f>+IF(O56="","",INDEX('Modelo Optimización'!$AZ$4:$CO$149,MATCH(CONCATENATE(BC$7,$AT56),'Modelo Optimización'!$CQ$4:$CQ$149,0),MATCH($AS56,'Modelo Optimización'!$AZ$3:$CO$3,0)))</f>
        <v/>
      </c>
      <c r="BD56" s="32" t="str">
        <f>+IF(P56="","",INDEX('Modelo Optimización'!$AZ$4:$CO$149,MATCH(CONCATENATE(BD$7,$AT56),'Modelo Optimización'!$CQ$4:$CQ$149,0),MATCH($AS56,'Modelo Optimización'!$AZ$3:$CO$3,0)))</f>
        <v/>
      </c>
      <c r="BE56" s="32" t="str">
        <f>+IF(Q56="","",INDEX('Modelo Optimización'!$AZ$4:$CO$149,MATCH(CONCATENATE(BE$7,$AT56),'Modelo Optimización'!$CQ$4:$CQ$149,0),MATCH($AS56,'Modelo Optimización'!$AZ$3:$CO$3,0)))</f>
        <v/>
      </c>
      <c r="BF56" s="32" t="str">
        <f>+IF(R56="","",INDEX('Modelo Optimización'!$AZ$4:$CO$149,MATCH(CONCATENATE(BF$7,$AT56),'Modelo Optimización'!$CQ$4:$CQ$149,0),MATCH($AS56,'Modelo Optimización'!$AZ$3:$CO$3,0)))</f>
        <v/>
      </c>
      <c r="BG56" s="32" t="str">
        <f>+IF(S56="","",INDEX('Modelo Optimización'!$AZ$4:$CO$149,MATCH(CONCATENATE(BG$7,$AT56),'Modelo Optimización'!$CQ$4:$CQ$149,0),MATCH($AS56,'Modelo Optimización'!$AZ$3:$CO$3,0)))</f>
        <v/>
      </c>
      <c r="BH56" s="32" t="str">
        <f>+IF(T56="","",INDEX('Modelo Optimización'!$AZ$4:$CO$149,MATCH(CONCATENATE(BH$7,$AT56),'Modelo Optimización'!$CQ$4:$CQ$149,0),MATCH($AS56,'Modelo Optimización'!$AZ$3:$CO$3,0)))</f>
        <v/>
      </c>
      <c r="BI56" s="32" t="str">
        <f>+IF(U56="","",INDEX('Modelo Optimización'!$AZ$4:$CO$149,MATCH(CONCATENATE(BI$7,$AT56),'Modelo Optimización'!$CQ$4:$CQ$149,0),MATCH($AS56,'Modelo Optimización'!$AZ$3:$CO$3,0)))</f>
        <v/>
      </c>
      <c r="BJ56" s="32" t="str">
        <f>+IF(V56="","",INDEX('Modelo Optimización'!$AZ$4:$CO$149,MATCH(CONCATENATE(BJ$7,$AT56),'Modelo Optimización'!$CQ$4:$CQ$149,0),MATCH($AS56,'Modelo Optimización'!$AZ$3:$CO$3,0)))</f>
        <v/>
      </c>
      <c r="BK56" s="32" t="str">
        <f>+IF(W56="","",INDEX('Modelo Optimización'!$AZ$4:$CO$149,MATCH(CONCATENATE(BK$7,$AT56),'Modelo Optimización'!$CQ$4:$CQ$149,0),MATCH($AS56,'Modelo Optimización'!$AZ$3:$CO$3,0)))</f>
        <v/>
      </c>
      <c r="BL56" s="32" t="str">
        <f>+IF(X56="","",INDEX('Modelo Optimización'!$AZ$4:$CO$149,MATCH(CONCATENATE(BL$7,$AT56),'Modelo Optimización'!$CQ$4:$CQ$149,0),MATCH($AS56,'Modelo Optimización'!$AZ$3:$CO$3,0)))</f>
        <v/>
      </c>
      <c r="BM56" s="32" t="str">
        <f>+IF(Y56="","",INDEX('Modelo Optimización'!$AZ$4:$CO$149,MATCH(CONCATENATE(BM$7,$AT56),'Modelo Optimización'!$CQ$4:$CQ$149,0),MATCH($AS56,'Modelo Optimización'!$AZ$3:$CO$3,0)))</f>
        <v/>
      </c>
      <c r="BN56" s="32" t="str">
        <f>+IF(Z56="","",INDEX('Modelo Optimización'!$AZ$4:$CO$149,MATCH(CONCATENATE(BN$7,$AT56),'Modelo Optimización'!$CQ$4:$CQ$149,0),MATCH($AS56,'Modelo Optimización'!$AZ$3:$CO$3,0)))</f>
        <v/>
      </c>
      <c r="BO56" s="32" t="str">
        <f>+IF(AA56="","",INDEX('Modelo Optimización'!$AZ$4:$CO$149,MATCH(CONCATENATE(BO$7,$AT56),'Modelo Optimización'!$CQ$4:$CQ$149,0),MATCH($AS56,'Modelo Optimización'!$AZ$3:$CO$3,0)))</f>
        <v/>
      </c>
      <c r="BP56" s="32" t="str">
        <f>+IF(AB56="","",INDEX('Modelo Optimización'!$AZ$4:$CO$149,MATCH(CONCATENATE(BP$7,$AT56),'Modelo Optimización'!$CQ$4:$CQ$149,0),MATCH($AS56,'Modelo Optimización'!$AZ$3:$CO$3,0)))</f>
        <v/>
      </c>
      <c r="BQ56" s="32" t="str">
        <f>+IF(AC56="","",INDEX('Modelo Optimización'!$AZ$4:$CO$149,MATCH(CONCATENATE(BQ$7,$AT56),'Modelo Optimización'!$CQ$4:$CQ$149,0),MATCH($AS56,'Modelo Optimización'!$AZ$3:$CO$3,0)))</f>
        <v/>
      </c>
      <c r="BR56" s="32" t="str">
        <f>+IF(AD56="","",INDEX('Modelo Optimización'!$AZ$4:$CO$149,MATCH(CONCATENATE(BR$7,$AT56),'Modelo Optimización'!$CQ$4:$CQ$149,0),MATCH($AS56,'Modelo Optimización'!$AZ$3:$CO$3,0)))</f>
        <v/>
      </c>
      <c r="BS56" s="32" t="str">
        <f>+IF(AE56="","",INDEX('Modelo Optimización'!$AZ$4:$CO$149,MATCH(CONCATENATE(BS$7,$AT56),'Modelo Optimización'!$CQ$4:$CQ$149,0),MATCH($AS56,'Modelo Optimización'!$AZ$3:$CO$3,0)))</f>
        <v/>
      </c>
      <c r="BT56" s="32" t="str">
        <f>+IF(AF56="","",INDEX('Modelo Optimización'!$AZ$4:$CO$149,MATCH(CONCATENATE(BT$7,$AT56),'Modelo Optimización'!$CQ$4:$CQ$149,0),MATCH($AS56,'Modelo Optimización'!$AZ$3:$CO$3,0)))</f>
        <v/>
      </c>
      <c r="BU56" s="32" t="str">
        <f>+IF(AG56="","",INDEX('Modelo Optimización'!$AZ$4:$CO$149,MATCH(CONCATENATE(BU$7,$AT56),'Modelo Optimización'!$CQ$4:$CQ$149,0),MATCH($AS56,'Modelo Optimización'!$AZ$3:$CO$3,0)))</f>
        <v/>
      </c>
      <c r="BV56" s="32" t="str">
        <f>+IF(AH56="","",INDEX('Modelo Optimización'!$AZ$4:$CO$149,MATCH(CONCATENATE(BV$7,$AT56),'Modelo Optimización'!$CQ$4:$CQ$149,0),MATCH($AS56,'Modelo Optimización'!$AZ$3:$CO$3,0)))</f>
        <v/>
      </c>
      <c r="BW56" s="32" t="str">
        <f>+IF(AI56="","",INDEX('Modelo Optimización'!$AZ$4:$CO$149,MATCH(CONCATENATE(BW$7,$AT56),'Modelo Optimización'!$CQ$4:$CQ$149,0),MATCH($AS56,'Modelo Optimización'!$AZ$3:$CO$3,0)))</f>
        <v/>
      </c>
      <c r="BX56" s="32" t="str">
        <f>+IF(AJ56="","",INDEX('Modelo Optimización'!$AZ$4:$CO$149,MATCH(CONCATENATE(BX$7,$AT56),'Modelo Optimización'!$CQ$4:$CQ$149,0),MATCH($AS56,'Modelo Optimización'!$AZ$3:$CO$3,0)))</f>
        <v/>
      </c>
      <c r="BY56" s="32" t="str">
        <f>+IF(AK56="","",INDEX('Modelo Optimización'!$AZ$4:$CO$149,MATCH(CONCATENATE(BY$7,$AT56),'Modelo Optimización'!$CQ$4:$CQ$149,0),MATCH($AS56,'Modelo Optimización'!$AZ$3:$CO$3,0)))</f>
        <v/>
      </c>
      <c r="BZ56" s="32" t="str">
        <f>+IF(AL56="","",INDEX('Modelo Optimización'!$AZ$4:$CO$149,MATCH(CONCATENATE(BZ$7,$AT56),'Modelo Optimización'!$CQ$4:$CQ$149,0),MATCH($AS56,'Modelo Optimización'!$AZ$3:$CO$3,0)))</f>
        <v/>
      </c>
      <c r="CA56" s="32" t="str">
        <f>+IF(AM56="","",INDEX('Modelo Optimización'!$AZ$4:$CO$149,MATCH(CONCATENATE(CA$7,$AT56),'Modelo Optimización'!$CQ$4:$CQ$149,0),MATCH($AS56,'Modelo Optimización'!$AZ$3:$CO$3,0)))</f>
        <v/>
      </c>
      <c r="CB56" s="32" t="str">
        <f>+IF(AN56="","",INDEX('Modelo Optimización'!$AZ$4:$CO$149,MATCH(CONCATENATE(CB$7,$AT56),'Modelo Optimización'!$CQ$4:$CQ$149,0),MATCH($AS56,'Modelo Optimización'!$AZ$3:$CO$3,0)))</f>
        <v/>
      </c>
      <c r="CC56" s="32" t="str">
        <f>+IF(AO56="","",INDEX('Modelo Optimización'!$AZ$4:$CO$149,MATCH(CONCATENATE(CC$7,$AT56),'Modelo Optimización'!$CQ$4:$CQ$149,0),MATCH($AS56,'Modelo Optimización'!$AZ$3:$CO$3,0)))</f>
        <v/>
      </c>
      <c r="CD56" s="32" t="str">
        <f>+IF(AP56="","",INDEX('Modelo Optimización'!$AZ$4:$CO$149,MATCH(CONCATENATE(CD$7,$AT56),'Modelo Optimización'!$CQ$4:$CQ$149,0),MATCH($AS56,'Modelo Optimización'!$AZ$3:$CO$3,0)))</f>
        <v/>
      </c>
      <c r="CE56" s="37" t="str">
        <f>+IF(AQ56="","",INDEX('Modelo Optimización'!$AZ$4:$CO$149,MATCH(CONCATENATE(CE$7,$AT56),'Modelo Optimización'!$CQ$4:$CQ$149,0),MATCH($AS56,'Modelo Optimización'!$AZ$3:$CO$3,0)))</f>
        <v/>
      </c>
      <c r="CF56" s="301"/>
      <c r="CG56" s="305" t="str">
        <f t="shared" si="11"/>
        <v/>
      </c>
      <c r="CH56" s="303" t="str">
        <f t="shared" si="7"/>
        <v/>
      </c>
      <c r="CI56" s="292" t="str">
        <f t="shared" si="8"/>
        <v/>
      </c>
      <c r="CJ56" s="36" t="str">
        <f t="shared" si="12"/>
        <v/>
      </c>
      <c r="CK56" s="32" t="str">
        <f t="shared" si="13"/>
        <v/>
      </c>
      <c r="CL56" s="32" t="str">
        <f t="shared" si="14"/>
        <v/>
      </c>
      <c r="CM56" s="32" t="str">
        <f t="shared" si="15"/>
        <v/>
      </c>
      <c r="CN56" s="32" t="str">
        <f t="shared" si="16"/>
        <v/>
      </c>
      <c r="CO56" s="32" t="str">
        <f t="shared" si="17"/>
        <v/>
      </c>
      <c r="CP56" s="32" t="str">
        <f t="shared" si="18"/>
        <v/>
      </c>
      <c r="CQ56" s="32" t="str">
        <f t="shared" si="19"/>
        <v/>
      </c>
      <c r="CR56" s="32" t="str">
        <f t="shared" si="20"/>
        <v/>
      </c>
      <c r="CS56" s="32" t="str">
        <f t="shared" si="21"/>
        <v/>
      </c>
      <c r="CT56" s="32" t="str">
        <f t="shared" si="22"/>
        <v/>
      </c>
      <c r="CU56" s="32" t="str">
        <f t="shared" si="23"/>
        <v/>
      </c>
      <c r="CV56" s="32" t="str">
        <f t="shared" si="24"/>
        <v/>
      </c>
      <c r="CW56" s="32" t="str">
        <f t="shared" si="25"/>
        <v/>
      </c>
      <c r="CX56" s="32" t="str">
        <f t="shared" si="26"/>
        <v/>
      </c>
      <c r="CY56" s="32" t="str">
        <f t="shared" si="27"/>
        <v/>
      </c>
      <c r="CZ56" s="32" t="str">
        <f t="shared" si="28"/>
        <v/>
      </c>
      <c r="DA56" s="32" t="str">
        <f t="shared" si="29"/>
        <v/>
      </c>
      <c r="DB56" s="32" t="str">
        <f t="shared" si="30"/>
        <v/>
      </c>
      <c r="DC56" s="32" t="str">
        <f t="shared" si="31"/>
        <v/>
      </c>
      <c r="DD56" s="32" t="str">
        <f t="shared" si="32"/>
        <v/>
      </c>
      <c r="DE56" s="32" t="str">
        <f t="shared" si="33"/>
        <v/>
      </c>
      <c r="DF56" s="32" t="str">
        <f t="shared" si="34"/>
        <v/>
      </c>
      <c r="DG56" s="32" t="str">
        <f t="shared" si="35"/>
        <v/>
      </c>
      <c r="DH56" s="32" t="str">
        <f t="shared" si="36"/>
        <v/>
      </c>
      <c r="DI56" s="32" t="str">
        <f t="shared" si="37"/>
        <v/>
      </c>
      <c r="DJ56" s="32" t="str">
        <f t="shared" si="38"/>
        <v/>
      </c>
      <c r="DK56" s="32" t="str">
        <f t="shared" si="39"/>
        <v/>
      </c>
      <c r="DL56" s="32" t="str">
        <f t="shared" si="40"/>
        <v/>
      </c>
      <c r="DM56" s="32" t="str">
        <f t="shared" si="41"/>
        <v/>
      </c>
      <c r="DN56" s="32" t="str">
        <f t="shared" si="42"/>
        <v/>
      </c>
      <c r="DO56" s="32" t="str">
        <f t="shared" si="43"/>
        <v/>
      </c>
      <c r="DP56" s="32" t="str">
        <f t="shared" si="44"/>
        <v/>
      </c>
      <c r="DQ56" s="32" t="str">
        <f t="shared" si="45"/>
        <v/>
      </c>
      <c r="DR56" s="32" t="str">
        <f t="shared" si="46"/>
        <v/>
      </c>
      <c r="DS56" s="32" t="str">
        <f t="shared" si="47"/>
        <v/>
      </c>
      <c r="DT56" s="37" t="str">
        <f t="shared" si="48"/>
        <v/>
      </c>
    </row>
    <row r="57" spans="2:124" x14ac:dyDescent="0.35">
      <c r="B57" s="46"/>
      <c r="C57" s="212"/>
      <c r="D57" s="52"/>
      <c r="E57" s="52" t="str">
        <f>+IF(B57="","",IFERROR(SUMIF('Modelo Optimización'!$AS$72:$AS$217,C57,INDEX('Modelo Optimización'!$C$72:$AR$217,,MATCH(B57,'Modelo Optimización'!$C$71:$AR$71,0))),0))</f>
        <v/>
      </c>
      <c r="F57" s="281" t="str">
        <f t="shared" si="10"/>
        <v/>
      </c>
      <c r="G57" s="280" t="str">
        <f>+IF(IF($B57="","",IFERROR(INDEX('Auxiliar Resultados'!$C$9:$BO$50,MATCH($B57,'Auxiliar Resultados'!$B$9:$B$50,0),MATCH(CONCATENATE($C57,G$7),'Auxiliar Resultados'!$C$6:$BO$6,0)),""))=0,"",IF($B57="","",IFERROR(INDEX('Auxiliar Resultados'!$C$9:$BO$50,MATCH($B57,'Auxiliar Resultados'!$B$9:$B$50,0),MATCH(CONCATENATE($C57,G$7),'Auxiliar Resultados'!$C$6:$BO$6,0)),"")))</f>
        <v/>
      </c>
      <c r="H57" s="52" t="str">
        <f>+IF(IF($B57="","",IFERROR(INDEX('Auxiliar Resultados'!$C$9:$BO$50,MATCH($B57,'Auxiliar Resultados'!$B$9:$B$50,0),MATCH(CONCATENATE($C57,H$7),'Auxiliar Resultados'!$C$6:$BO$6,0)),""))=0,"",IF($B57="","",IFERROR(INDEX('Auxiliar Resultados'!$C$9:$BO$50,MATCH($B57,'Auxiliar Resultados'!$B$9:$B$50,0),MATCH(CONCATENATE($C57,H$7),'Auxiliar Resultados'!$C$6:$BO$6,0)),"")))</f>
        <v/>
      </c>
      <c r="I57" s="52" t="str">
        <f>+IF(IF($B57="","",IFERROR(INDEX('Auxiliar Resultados'!$C$9:$BO$50,MATCH($B57,'Auxiliar Resultados'!$B$9:$B$50,0),MATCH(CONCATENATE($C57,I$7),'Auxiliar Resultados'!$C$6:$BO$6,0)),""))=0,"",IF($B57="","",IFERROR(INDEX('Auxiliar Resultados'!$C$9:$BO$50,MATCH($B57,'Auxiliar Resultados'!$B$9:$B$50,0),MATCH(CONCATENATE($C57,I$7),'Auxiliar Resultados'!$C$6:$BO$6,0)),"")))</f>
        <v/>
      </c>
      <c r="J57" s="52" t="str">
        <f>+IF(IF($B57="","",IFERROR(INDEX('Auxiliar Resultados'!$C$9:$BO$50,MATCH($B57,'Auxiliar Resultados'!$B$9:$B$50,0),MATCH(CONCATENATE($C57,J$7),'Auxiliar Resultados'!$C$6:$BO$6,0)),""))=0,"",IF($B57="","",IFERROR(INDEX('Auxiliar Resultados'!$C$9:$BO$50,MATCH($B57,'Auxiliar Resultados'!$B$9:$B$50,0),MATCH(CONCATENATE($C57,J$7),'Auxiliar Resultados'!$C$6:$BO$6,0)),"")))</f>
        <v/>
      </c>
      <c r="K57" s="52" t="str">
        <f>+IF(IF($B57="","",IFERROR(INDEX('Auxiliar Resultados'!$C$9:$BO$50,MATCH($B57,'Auxiliar Resultados'!$B$9:$B$50,0),MATCH(CONCATENATE($C57,K$7),'Auxiliar Resultados'!$C$6:$BO$6,0)),""))=0,"",IF($B57="","",IFERROR(INDEX('Auxiliar Resultados'!$C$9:$BO$50,MATCH($B57,'Auxiliar Resultados'!$B$9:$B$50,0),MATCH(CONCATENATE($C57,K$7),'Auxiliar Resultados'!$C$6:$BO$6,0)),"")))</f>
        <v/>
      </c>
      <c r="L57" s="52" t="str">
        <f>+IF(IF($B57="","",IFERROR(INDEX('Auxiliar Resultados'!$C$9:$BO$50,MATCH($B57,'Auxiliar Resultados'!$B$9:$B$50,0),MATCH(CONCATENATE($C57,L$7),'Auxiliar Resultados'!$C$6:$BO$6,0)),""))=0,"",IF($B57="","",IFERROR(INDEX('Auxiliar Resultados'!$C$9:$BO$50,MATCH($B57,'Auxiliar Resultados'!$B$9:$B$50,0),MATCH(CONCATENATE($C57,L$7),'Auxiliar Resultados'!$C$6:$BO$6,0)),"")))</f>
        <v/>
      </c>
      <c r="M57" s="52" t="str">
        <f>+IF(IF($B57="","",IFERROR(INDEX('Auxiliar Resultados'!$C$9:$BO$50,MATCH($B57,'Auxiliar Resultados'!$B$9:$B$50,0),MATCH(CONCATENATE($C57,M$7),'Auxiliar Resultados'!$C$6:$BO$6,0)),""))=0,"",IF($B57="","",IFERROR(INDEX('Auxiliar Resultados'!$C$9:$BO$50,MATCH($B57,'Auxiliar Resultados'!$B$9:$B$50,0),MATCH(CONCATENATE($C57,M$7),'Auxiliar Resultados'!$C$6:$BO$6,0)),"")))</f>
        <v/>
      </c>
      <c r="N57" s="52" t="str">
        <f>+IF(IF($B57="","",IFERROR(INDEX('Auxiliar Resultados'!$C$9:$BO$50,MATCH($B57,'Auxiliar Resultados'!$B$9:$B$50,0),MATCH(CONCATENATE($C57,N$7),'Auxiliar Resultados'!$C$6:$BO$6,0)),""))=0,"",IF($B57="","",IFERROR(INDEX('Auxiliar Resultados'!$C$9:$BO$50,MATCH($B57,'Auxiliar Resultados'!$B$9:$B$50,0),MATCH(CONCATENATE($C57,N$7),'Auxiliar Resultados'!$C$6:$BO$6,0)),"")))</f>
        <v/>
      </c>
      <c r="O57" s="52" t="str">
        <f>+IF(IF($B57="","",IFERROR(INDEX('Auxiliar Resultados'!$C$9:$BO$50,MATCH($B57,'Auxiliar Resultados'!$B$9:$B$50,0),MATCH(CONCATENATE($C57,O$7),'Auxiliar Resultados'!$C$6:$BO$6,0)),""))=0,"",IF($B57="","",IFERROR(INDEX('Auxiliar Resultados'!$C$9:$BO$50,MATCH($B57,'Auxiliar Resultados'!$B$9:$B$50,0),MATCH(CONCATENATE($C57,O$7),'Auxiliar Resultados'!$C$6:$BO$6,0)),"")))</f>
        <v/>
      </c>
      <c r="P57" s="52" t="str">
        <f>+IF(IF($B57="","",IFERROR(INDEX('Auxiliar Resultados'!$C$9:$BO$50,MATCH($B57,'Auxiliar Resultados'!$B$9:$B$50,0),MATCH(CONCATENATE($C57,P$7),'Auxiliar Resultados'!$C$6:$BO$6,0)),""))=0,"",IF($B57="","",IFERROR(INDEX('Auxiliar Resultados'!$C$9:$BO$50,MATCH($B57,'Auxiliar Resultados'!$B$9:$B$50,0),MATCH(CONCATENATE($C57,P$7),'Auxiliar Resultados'!$C$6:$BO$6,0)),"")))</f>
        <v/>
      </c>
      <c r="Q57" s="52" t="str">
        <f>+IF(IF($B57="","",IFERROR(INDEX('Auxiliar Resultados'!$C$9:$BO$50,MATCH($B57,'Auxiliar Resultados'!$B$9:$B$50,0),MATCH(CONCATENATE($C57,Q$7),'Auxiliar Resultados'!$C$6:$BO$6,0)),""))=0,"",IF($B57="","",IFERROR(INDEX('Auxiliar Resultados'!$C$9:$BO$50,MATCH($B57,'Auxiliar Resultados'!$B$9:$B$50,0),MATCH(CONCATENATE($C57,Q$7),'Auxiliar Resultados'!$C$6:$BO$6,0)),"")))</f>
        <v/>
      </c>
      <c r="R57" s="52" t="str">
        <f>+IF(IF($B57="","",IFERROR(INDEX('Auxiliar Resultados'!$C$9:$BO$50,MATCH($B57,'Auxiliar Resultados'!$B$9:$B$50,0),MATCH(CONCATENATE($C57,R$7),'Auxiliar Resultados'!$C$6:$BO$6,0)),""))=0,"",IF($B57="","",IFERROR(INDEX('Auxiliar Resultados'!$C$9:$BO$50,MATCH($B57,'Auxiliar Resultados'!$B$9:$B$50,0),MATCH(CONCATENATE($C57,R$7),'Auxiliar Resultados'!$C$6:$BO$6,0)),"")))</f>
        <v/>
      </c>
      <c r="S57" s="52" t="str">
        <f>+IF(IF($B57="","",IFERROR(INDEX('Auxiliar Resultados'!$C$9:$BO$50,MATCH($B57,'Auxiliar Resultados'!$B$9:$B$50,0),MATCH(CONCATENATE($C57,S$7),'Auxiliar Resultados'!$C$6:$BO$6,0)),""))=0,"",IF($B57="","",IFERROR(INDEX('Auxiliar Resultados'!$C$9:$BO$50,MATCH($B57,'Auxiliar Resultados'!$B$9:$B$50,0),MATCH(CONCATENATE($C57,S$7),'Auxiliar Resultados'!$C$6:$BO$6,0)),"")))</f>
        <v/>
      </c>
      <c r="T57" s="52" t="str">
        <f>+IF(IF($B57="","",IFERROR(INDEX('Auxiliar Resultados'!$C$9:$BO$50,MATCH($B57,'Auxiliar Resultados'!$B$9:$B$50,0),MATCH(CONCATENATE($C57,T$7),'Auxiliar Resultados'!$C$6:$BO$6,0)),""))=0,"",IF($B57="","",IFERROR(INDEX('Auxiliar Resultados'!$C$9:$BO$50,MATCH($B57,'Auxiliar Resultados'!$B$9:$B$50,0),MATCH(CONCATENATE($C57,T$7),'Auxiliar Resultados'!$C$6:$BO$6,0)),"")))</f>
        <v/>
      </c>
      <c r="U57" s="52" t="str">
        <f>+IF(IF($B57="","",IFERROR(INDEX('Auxiliar Resultados'!$C$9:$BO$50,MATCH($B57,'Auxiliar Resultados'!$B$9:$B$50,0),MATCH(CONCATENATE($C57,U$7),'Auxiliar Resultados'!$C$6:$BO$6,0)),""))=0,"",IF($B57="","",IFERROR(INDEX('Auxiliar Resultados'!$C$9:$BO$50,MATCH($B57,'Auxiliar Resultados'!$B$9:$B$50,0),MATCH(CONCATENATE($C57,U$7),'Auxiliar Resultados'!$C$6:$BO$6,0)),"")))</f>
        <v/>
      </c>
      <c r="V57" s="52" t="str">
        <f>+IF(IF($B57="","",IFERROR(INDEX('Auxiliar Resultados'!$C$9:$BO$50,MATCH($B57,'Auxiliar Resultados'!$B$9:$B$50,0),MATCH(CONCATENATE($C57,V$7),'Auxiliar Resultados'!$C$6:$BO$6,0)),""))=0,"",IF($B57="","",IFERROR(INDEX('Auxiliar Resultados'!$C$9:$BO$50,MATCH($B57,'Auxiliar Resultados'!$B$9:$B$50,0),MATCH(CONCATENATE($C57,V$7),'Auxiliar Resultados'!$C$6:$BO$6,0)),"")))</f>
        <v/>
      </c>
      <c r="W57" s="52" t="str">
        <f>+IF(IF($B57="","",IFERROR(INDEX('Auxiliar Resultados'!$C$9:$BO$50,MATCH($B57,'Auxiliar Resultados'!$B$9:$B$50,0),MATCH(CONCATENATE($C57,W$7),'Auxiliar Resultados'!$C$6:$BO$6,0)),""))=0,"",IF($B57="","",IFERROR(INDEX('Auxiliar Resultados'!$C$9:$BO$50,MATCH($B57,'Auxiliar Resultados'!$B$9:$B$50,0),MATCH(CONCATENATE($C57,W$7),'Auxiliar Resultados'!$C$6:$BO$6,0)),"")))</f>
        <v/>
      </c>
      <c r="X57" s="52" t="str">
        <f>+IF(IF($B57="","",IFERROR(INDEX('Auxiliar Resultados'!$C$9:$BO$50,MATCH($B57,'Auxiliar Resultados'!$B$9:$B$50,0),MATCH(CONCATENATE($C57,X$7),'Auxiliar Resultados'!$C$6:$BO$6,0)),""))=0,"",IF($B57="","",IFERROR(INDEX('Auxiliar Resultados'!$C$9:$BO$50,MATCH($B57,'Auxiliar Resultados'!$B$9:$B$50,0),MATCH(CONCATENATE($C57,X$7),'Auxiliar Resultados'!$C$6:$BO$6,0)),"")))</f>
        <v/>
      </c>
      <c r="Y57" s="52" t="str">
        <f>+IF(IF($B57="","",IFERROR(INDEX('Auxiliar Resultados'!$C$9:$BO$50,MATCH($B57,'Auxiliar Resultados'!$B$9:$B$50,0),MATCH(CONCATENATE($C57,Y$7),'Auxiliar Resultados'!$C$6:$BO$6,0)),""))=0,"",IF($B57="","",IFERROR(INDEX('Auxiliar Resultados'!$C$9:$BO$50,MATCH($B57,'Auxiliar Resultados'!$B$9:$B$50,0),MATCH(CONCATENATE($C57,Y$7),'Auxiliar Resultados'!$C$6:$BO$6,0)),"")))</f>
        <v/>
      </c>
      <c r="Z57" s="52" t="str">
        <f>+IF(IF($B57="","",IFERROR(INDEX('Auxiliar Resultados'!$C$9:$BO$50,MATCH($B57,'Auxiliar Resultados'!$B$9:$B$50,0),MATCH(CONCATENATE($C57,Z$7),'Auxiliar Resultados'!$C$6:$BO$6,0)),""))=0,"",IF($B57="","",IFERROR(INDEX('Auxiliar Resultados'!$C$9:$BO$50,MATCH($B57,'Auxiliar Resultados'!$B$9:$B$50,0),MATCH(CONCATENATE($C57,Z$7),'Auxiliar Resultados'!$C$6:$BO$6,0)),"")))</f>
        <v/>
      </c>
      <c r="AA57" s="52" t="str">
        <f>+IF(IF($B57="","",IFERROR(INDEX('Auxiliar Resultados'!$C$9:$BO$50,MATCH($B57,'Auxiliar Resultados'!$B$9:$B$50,0),MATCH(CONCATENATE($C57,AA$7),'Auxiliar Resultados'!$C$6:$BO$6,0)),""))=0,"",IF($B57="","",IFERROR(INDEX('Auxiliar Resultados'!$C$9:$BO$50,MATCH($B57,'Auxiliar Resultados'!$B$9:$B$50,0),MATCH(CONCATENATE($C57,AA$7),'Auxiliar Resultados'!$C$6:$BO$6,0)),"")))</f>
        <v/>
      </c>
      <c r="AB57" s="52" t="str">
        <f>+IF(IF($B57="","",IFERROR(INDEX('Auxiliar Resultados'!$C$9:$BO$50,MATCH($B57,'Auxiliar Resultados'!$B$9:$B$50,0),MATCH(CONCATENATE($C57,AB$7),'Auxiliar Resultados'!$C$6:$BO$6,0)),""))=0,"",IF($B57="","",IFERROR(INDEX('Auxiliar Resultados'!$C$9:$BO$50,MATCH($B57,'Auxiliar Resultados'!$B$9:$B$50,0),MATCH(CONCATENATE($C57,AB$7),'Auxiliar Resultados'!$C$6:$BO$6,0)),"")))</f>
        <v/>
      </c>
      <c r="AC57" s="52" t="str">
        <f>+IF(IF($B57="","",IFERROR(INDEX('Auxiliar Resultados'!$C$9:$BO$50,MATCH($B57,'Auxiliar Resultados'!$B$9:$B$50,0),MATCH(CONCATENATE($C57,AC$7),'Auxiliar Resultados'!$C$6:$BO$6,0)),""))=0,"",IF($B57="","",IFERROR(INDEX('Auxiliar Resultados'!$C$9:$BO$50,MATCH($B57,'Auxiliar Resultados'!$B$9:$B$50,0),MATCH(CONCATENATE($C57,AC$7),'Auxiliar Resultados'!$C$6:$BO$6,0)),"")))</f>
        <v/>
      </c>
      <c r="AD57" s="52" t="str">
        <f>+IF(IF($B57="","",IFERROR(INDEX('Auxiliar Resultados'!$C$9:$BO$50,MATCH($B57,'Auxiliar Resultados'!$B$9:$B$50,0),MATCH(CONCATENATE($C57,AD$7),'Auxiliar Resultados'!$C$6:$BO$6,0)),""))=0,"",IF($B57="","",IFERROR(INDEX('Auxiliar Resultados'!$C$9:$BO$50,MATCH($B57,'Auxiliar Resultados'!$B$9:$B$50,0),MATCH(CONCATENATE($C57,AD$7),'Auxiliar Resultados'!$C$6:$BO$6,0)),"")))</f>
        <v/>
      </c>
      <c r="AE57" s="52" t="str">
        <f>+IF(IF($B57="","",IFERROR(INDEX('Auxiliar Resultados'!$C$9:$BO$50,MATCH($B57,'Auxiliar Resultados'!$B$9:$B$50,0),MATCH(CONCATENATE($C57,AE$7),'Auxiliar Resultados'!$C$6:$BO$6,0)),""))=0,"",IF($B57="","",IFERROR(INDEX('Auxiliar Resultados'!$C$9:$BO$50,MATCH($B57,'Auxiliar Resultados'!$B$9:$B$50,0),MATCH(CONCATENATE($C57,AE$7),'Auxiliar Resultados'!$C$6:$BO$6,0)),"")))</f>
        <v/>
      </c>
      <c r="AF57" s="52" t="str">
        <f>+IF(IF($B57="","",IFERROR(INDEX('Auxiliar Resultados'!$C$9:$BO$50,MATCH($B57,'Auxiliar Resultados'!$B$9:$B$50,0),MATCH(CONCATENATE($C57,AF$7),'Auxiliar Resultados'!$C$6:$BO$6,0)),""))=0,"",IF($B57="","",IFERROR(INDEX('Auxiliar Resultados'!$C$9:$BO$50,MATCH($B57,'Auxiliar Resultados'!$B$9:$B$50,0),MATCH(CONCATENATE($C57,AF$7),'Auxiliar Resultados'!$C$6:$BO$6,0)),"")))</f>
        <v/>
      </c>
      <c r="AG57" s="52" t="str">
        <f>+IF(IF($B57="","",IFERROR(INDEX('Auxiliar Resultados'!$C$9:$BO$50,MATCH($B57,'Auxiliar Resultados'!$B$9:$B$50,0),MATCH(CONCATENATE($C57,AG$7),'Auxiliar Resultados'!$C$6:$BO$6,0)),""))=0,"",IF($B57="","",IFERROR(INDEX('Auxiliar Resultados'!$C$9:$BO$50,MATCH($B57,'Auxiliar Resultados'!$B$9:$B$50,0),MATCH(CONCATENATE($C57,AG$7),'Auxiliar Resultados'!$C$6:$BO$6,0)),"")))</f>
        <v/>
      </c>
      <c r="AH57" s="52" t="str">
        <f>+IF(IF($B57="","",IFERROR(INDEX('Auxiliar Resultados'!$C$9:$BO$50,MATCH($B57,'Auxiliar Resultados'!$B$9:$B$50,0),MATCH(CONCATENATE($C57,AH$7),'Auxiliar Resultados'!$C$6:$BO$6,0)),""))=0,"",IF($B57="","",IFERROR(INDEX('Auxiliar Resultados'!$C$9:$BO$50,MATCH($B57,'Auxiliar Resultados'!$B$9:$B$50,0),MATCH(CONCATENATE($C57,AH$7),'Auxiliar Resultados'!$C$6:$BO$6,0)),"")))</f>
        <v/>
      </c>
      <c r="AI57" s="52" t="str">
        <f>+IF(IF($B57="","",IFERROR(INDEX('Auxiliar Resultados'!$C$9:$BO$50,MATCH($B57,'Auxiliar Resultados'!$B$9:$B$50,0),MATCH(CONCATENATE($C57,AI$7),'Auxiliar Resultados'!$C$6:$BO$6,0)),""))=0,"",IF($B57="","",IFERROR(INDEX('Auxiliar Resultados'!$C$9:$BO$50,MATCH($B57,'Auxiliar Resultados'!$B$9:$B$50,0),MATCH(CONCATENATE($C57,AI$7),'Auxiliar Resultados'!$C$6:$BO$6,0)),"")))</f>
        <v/>
      </c>
      <c r="AJ57" s="52" t="str">
        <f>+IF(IF($B57="","",IFERROR(INDEX('Auxiliar Resultados'!$C$9:$BO$50,MATCH($B57,'Auxiliar Resultados'!$B$9:$B$50,0),MATCH(CONCATENATE($C57,AJ$7),'Auxiliar Resultados'!$C$6:$BO$6,0)),""))=0,"",IF($B57="","",IFERROR(INDEX('Auxiliar Resultados'!$C$9:$BO$50,MATCH($B57,'Auxiliar Resultados'!$B$9:$B$50,0),MATCH(CONCATENATE($C57,AJ$7),'Auxiliar Resultados'!$C$6:$BO$6,0)),"")))</f>
        <v/>
      </c>
      <c r="AK57" s="52" t="str">
        <f>+IF(IF($B57="","",IFERROR(INDEX('Auxiliar Resultados'!$C$9:$BO$50,MATCH($B57,'Auxiliar Resultados'!$B$9:$B$50,0),MATCH(CONCATENATE($C57,AK$7),'Auxiliar Resultados'!$C$6:$BO$6,0)),""))=0,"",IF($B57="","",IFERROR(INDEX('Auxiliar Resultados'!$C$9:$BO$50,MATCH($B57,'Auxiliar Resultados'!$B$9:$B$50,0),MATCH(CONCATENATE($C57,AK$7),'Auxiliar Resultados'!$C$6:$BO$6,0)),"")))</f>
        <v/>
      </c>
      <c r="AL57" s="52" t="str">
        <f>+IF(IF($B57="","",IFERROR(INDEX('Auxiliar Resultados'!$C$9:$BO$50,MATCH($B57,'Auxiliar Resultados'!$B$9:$B$50,0),MATCH(CONCATENATE($C57,AL$7),'Auxiliar Resultados'!$C$6:$BO$6,0)),""))=0,"",IF($B57="","",IFERROR(INDEX('Auxiliar Resultados'!$C$9:$BO$50,MATCH($B57,'Auxiliar Resultados'!$B$9:$B$50,0),MATCH(CONCATENATE($C57,AL$7),'Auxiliar Resultados'!$C$6:$BO$6,0)),"")))</f>
        <v/>
      </c>
      <c r="AM57" s="52" t="str">
        <f>+IF(IF($B57="","",IFERROR(INDEX('Auxiliar Resultados'!$C$9:$BO$50,MATCH($B57,'Auxiliar Resultados'!$B$9:$B$50,0),MATCH(CONCATENATE($C57,AM$7),'Auxiliar Resultados'!$C$6:$BO$6,0)),""))=0,"",IF($B57="","",IFERROR(INDEX('Auxiliar Resultados'!$C$9:$BO$50,MATCH($B57,'Auxiliar Resultados'!$B$9:$B$50,0),MATCH(CONCATENATE($C57,AM$7),'Auxiliar Resultados'!$C$6:$BO$6,0)),"")))</f>
        <v/>
      </c>
      <c r="AN57" s="52" t="str">
        <f>+IF(IF($B57="","",IFERROR(INDEX('Auxiliar Resultados'!$C$9:$BO$50,MATCH($B57,'Auxiliar Resultados'!$B$9:$B$50,0),MATCH(CONCATENATE($C57,AN$7),'Auxiliar Resultados'!$C$6:$BO$6,0)),""))=0,"",IF($B57="","",IFERROR(INDEX('Auxiliar Resultados'!$C$9:$BO$50,MATCH($B57,'Auxiliar Resultados'!$B$9:$B$50,0),MATCH(CONCATENATE($C57,AN$7),'Auxiliar Resultados'!$C$6:$BO$6,0)),"")))</f>
        <v/>
      </c>
      <c r="AO57" s="52" t="str">
        <f>+IF(IF($B57="","",IFERROR(INDEX('Auxiliar Resultados'!$C$9:$BO$50,MATCH($B57,'Auxiliar Resultados'!$B$9:$B$50,0),MATCH(CONCATENATE($C57,AO$7),'Auxiliar Resultados'!$C$6:$BO$6,0)),""))=0,"",IF($B57="","",IFERROR(INDEX('Auxiliar Resultados'!$C$9:$BO$50,MATCH($B57,'Auxiliar Resultados'!$B$9:$B$50,0),MATCH(CONCATENATE($C57,AO$7),'Auxiliar Resultados'!$C$6:$BO$6,0)),"")))</f>
        <v/>
      </c>
      <c r="AP57" s="52" t="str">
        <f>+IF(IF($B57="","",IFERROR(INDEX('Auxiliar Resultados'!$C$9:$BO$50,MATCH($B57,'Auxiliar Resultados'!$B$9:$B$50,0),MATCH(CONCATENATE($C57,AP$7),'Auxiliar Resultados'!$C$6:$BO$6,0)),""))=0,"",IF($B57="","",IFERROR(INDEX('Auxiliar Resultados'!$C$9:$BO$50,MATCH($B57,'Auxiliar Resultados'!$B$9:$B$50,0),MATCH(CONCATENATE($C57,AP$7),'Auxiliar Resultados'!$C$6:$BO$6,0)),"")))</f>
        <v/>
      </c>
      <c r="AQ57" s="276" t="str">
        <f>+IF(IF($B57="","",IFERROR(INDEX('Auxiliar Resultados'!$C$9:$BO$50,MATCH($B57,'Auxiliar Resultados'!$B$9:$B$50,0),MATCH(CONCATENATE($C57,AQ$7),'Auxiliar Resultados'!$C$6:$BO$6,0)),""))=0,"",IF($B57="","",IFERROR(INDEX('Auxiliar Resultados'!$C$9:$BO$50,MATCH($B57,'Auxiliar Resultados'!$B$9:$B$50,0),MATCH(CONCATENATE($C57,AQ$7),'Auxiliar Resultados'!$C$6:$BO$6,0)),"")))</f>
        <v/>
      </c>
      <c r="AS57" s="46" t="str">
        <f t="shared" si="5"/>
        <v/>
      </c>
      <c r="AT57" s="292" t="str">
        <f t="shared" si="6"/>
        <v/>
      </c>
      <c r="AU57" s="36" t="str">
        <f>+IF(G57="","",INDEX('Modelo Optimización'!$AZ$4:$CO$149,MATCH(CONCATENATE(AU$7,$AT57),'Modelo Optimización'!$CQ$4:$CQ$149,0),MATCH($AS57,'Modelo Optimización'!$AZ$3:$CO$3,0)))</f>
        <v/>
      </c>
      <c r="AV57" s="32" t="str">
        <f>+IF(H57="","",INDEX('Modelo Optimización'!$AZ$4:$CO$149,MATCH(CONCATENATE(AV$7,$AT57),'Modelo Optimización'!$CQ$4:$CQ$149,0),MATCH($AS57,'Modelo Optimización'!$AZ$3:$CO$3,0)))</f>
        <v/>
      </c>
      <c r="AW57" s="32" t="str">
        <f>+IF(I57="","",INDEX('Modelo Optimización'!$AZ$4:$CO$149,MATCH(CONCATENATE(AW$7,$AT57),'Modelo Optimización'!$CQ$4:$CQ$149,0),MATCH($AS57,'Modelo Optimización'!$AZ$3:$CO$3,0)))</f>
        <v/>
      </c>
      <c r="AX57" s="32" t="str">
        <f>+IF(J57="","",INDEX('Modelo Optimización'!$AZ$4:$CO$149,MATCH(CONCATENATE(AX$7,$AT57),'Modelo Optimización'!$CQ$4:$CQ$149,0),MATCH($AS57,'Modelo Optimización'!$AZ$3:$CO$3,0)))</f>
        <v/>
      </c>
      <c r="AY57" s="32" t="str">
        <f>+IF(K57="","",INDEX('Modelo Optimización'!$AZ$4:$CO$149,MATCH(CONCATENATE(AY$7,$AT57),'Modelo Optimización'!$CQ$4:$CQ$149,0),MATCH($AS57,'Modelo Optimización'!$AZ$3:$CO$3,0)))</f>
        <v/>
      </c>
      <c r="AZ57" s="32" t="str">
        <f>+IF(L57="","",INDEX('Modelo Optimización'!$AZ$4:$CO$149,MATCH(CONCATENATE(AZ$7,$AT57),'Modelo Optimización'!$CQ$4:$CQ$149,0),MATCH($AS57,'Modelo Optimización'!$AZ$3:$CO$3,0)))</f>
        <v/>
      </c>
      <c r="BA57" s="32" t="str">
        <f>+IF(M57="","",INDEX('Modelo Optimización'!$AZ$4:$CO$149,MATCH(CONCATENATE(BA$7,$AT57),'Modelo Optimización'!$CQ$4:$CQ$149,0),MATCH($AS57,'Modelo Optimización'!$AZ$3:$CO$3,0)))</f>
        <v/>
      </c>
      <c r="BB57" s="32" t="str">
        <f>+IF(N57="","",INDEX('Modelo Optimización'!$AZ$4:$CO$149,MATCH(CONCATENATE(BB$7,$AT57),'Modelo Optimización'!$CQ$4:$CQ$149,0),MATCH($AS57,'Modelo Optimización'!$AZ$3:$CO$3,0)))</f>
        <v/>
      </c>
      <c r="BC57" s="32" t="str">
        <f>+IF(O57="","",INDEX('Modelo Optimización'!$AZ$4:$CO$149,MATCH(CONCATENATE(BC$7,$AT57),'Modelo Optimización'!$CQ$4:$CQ$149,0),MATCH($AS57,'Modelo Optimización'!$AZ$3:$CO$3,0)))</f>
        <v/>
      </c>
      <c r="BD57" s="32" t="str">
        <f>+IF(P57="","",INDEX('Modelo Optimización'!$AZ$4:$CO$149,MATCH(CONCATENATE(BD$7,$AT57),'Modelo Optimización'!$CQ$4:$CQ$149,0),MATCH($AS57,'Modelo Optimización'!$AZ$3:$CO$3,0)))</f>
        <v/>
      </c>
      <c r="BE57" s="32" t="str">
        <f>+IF(Q57="","",INDEX('Modelo Optimización'!$AZ$4:$CO$149,MATCH(CONCATENATE(BE$7,$AT57),'Modelo Optimización'!$CQ$4:$CQ$149,0),MATCH($AS57,'Modelo Optimización'!$AZ$3:$CO$3,0)))</f>
        <v/>
      </c>
      <c r="BF57" s="32" t="str">
        <f>+IF(R57="","",INDEX('Modelo Optimización'!$AZ$4:$CO$149,MATCH(CONCATENATE(BF$7,$AT57),'Modelo Optimización'!$CQ$4:$CQ$149,0),MATCH($AS57,'Modelo Optimización'!$AZ$3:$CO$3,0)))</f>
        <v/>
      </c>
      <c r="BG57" s="32" t="str">
        <f>+IF(S57="","",INDEX('Modelo Optimización'!$AZ$4:$CO$149,MATCH(CONCATENATE(BG$7,$AT57),'Modelo Optimización'!$CQ$4:$CQ$149,0),MATCH($AS57,'Modelo Optimización'!$AZ$3:$CO$3,0)))</f>
        <v/>
      </c>
      <c r="BH57" s="32" t="str">
        <f>+IF(T57="","",INDEX('Modelo Optimización'!$AZ$4:$CO$149,MATCH(CONCATENATE(BH$7,$AT57),'Modelo Optimización'!$CQ$4:$CQ$149,0),MATCH($AS57,'Modelo Optimización'!$AZ$3:$CO$3,0)))</f>
        <v/>
      </c>
      <c r="BI57" s="32" t="str">
        <f>+IF(U57="","",INDEX('Modelo Optimización'!$AZ$4:$CO$149,MATCH(CONCATENATE(BI$7,$AT57),'Modelo Optimización'!$CQ$4:$CQ$149,0),MATCH($AS57,'Modelo Optimización'!$AZ$3:$CO$3,0)))</f>
        <v/>
      </c>
      <c r="BJ57" s="32" t="str">
        <f>+IF(V57="","",INDEX('Modelo Optimización'!$AZ$4:$CO$149,MATCH(CONCATENATE(BJ$7,$AT57),'Modelo Optimización'!$CQ$4:$CQ$149,0),MATCH($AS57,'Modelo Optimización'!$AZ$3:$CO$3,0)))</f>
        <v/>
      </c>
      <c r="BK57" s="32" t="str">
        <f>+IF(W57="","",INDEX('Modelo Optimización'!$AZ$4:$CO$149,MATCH(CONCATENATE(BK$7,$AT57),'Modelo Optimización'!$CQ$4:$CQ$149,0),MATCH($AS57,'Modelo Optimización'!$AZ$3:$CO$3,0)))</f>
        <v/>
      </c>
      <c r="BL57" s="32" t="str">
        <f>+IF(X57="","",INDEX('Modelo Optimización'!$AZ$4:$CO$149,MATCH(CONCATENATE(BL$7,$AT57),'Modelo Optimización'!$CQ$4:$CQ$149,0),MATCH($AS57,'Modelo Optimización'!$AZ$3:$CO$3,0)))</f>
        <v/>
      </c>
      <c r="BM57" s="32" t="str">
        <f>+IF(Y57="","",INDEX('Modelo Optimización'!$AZ$4:$CO$149,MATCH(CONCATENATE(BM$7,$AT57),'Modelo Optimización'!$CQ$4:$CQ$149,0),MATCH($AS57,'Modelo Optimización'!$AZ$3:$CO$3,0)))</f>
        <v/>
      </c>
      <c r="BN57" s="32" t="str">
        <f>+IF(Z57="","",INDEX('Modelo Optimización'!$AZ$4:$CO$149,MATCH(CONCATENATE(BN$7,$AT57),'Modelo Optimización'!$CQ$4:$CQ$149,0),MATCH($AS57,'Modelo Optimización'!$AZ$3:$CO$3,0)))</f>
        <v/>
      </c>
      <c r="BO57" s="32" t="str">
        <f>+IF(AA57="","",INDEX('Modelo Optimización'!$AZ$4:$CO$149,MATCH(CONCATENATE(BO$7,$AT57),'Modelo Optimización'!$CQ$4:$CQ$149,0),MATCH($AS57,'Modelo Optimización'!$AZ$3:$CO$3,0)))</f>
        <v/>
      </c>
      <c r="BP57" s="32" t="str">
        <f>+IF(AB57="","",INDEX('Modelo Optimización'!$AZ$4:$CO$149,MATCH(CONCATENATE(BP$7,$AT57),'Modelo Optimización'!$CQ$4:$CQ$149,0),MATCH($AS57,'Modelo Optimización'!$AZ$3:$CO$3,0)))</f>
        <v/>
      </c>
      <c r="BQ57" s="32" t="str">
        <f>+IF(AC57="","",INDEX('Modelo Optimización'!$AZ$4:$CO$149,MATCH(CONCATENATE(BQ$7,$AT57),'Modelo Optimización'!$CQ$4:$CQ$149,0),MATCH($AS57,'Modelo Optimización'!$AZ$3:$CO$3,0)))</f>
        <v/>
      </c>
      <c r="BR57" s="32" t="str">
        <f>+IF(AD57="","",INDEX('Modelo Optimización'!$AZ$4:$CO$149,MATCH(CONCATENATE(BR$7,$AT57),'Modelo Optimización'!$CQ$4:$CQ$149,0),MATCH($AS57,'Modelo Optimización'!$AZ$3:$CO$3,0)))</f>
        <v/>
      </c>
      <c r="BS57" s="32" t="str">
        <f>+IF(AE57="","",INDEX('Modelo Optimización'!$AZ$4:$CO$149,MATCH(CONCATENATE(BS$7,$AT57),'Modelo Optimización'!$CQ$4:$CQ$149,0),MATCH($AS57,'Modelo Optimización'!$AZ$3:$CO$3,0)))</f>
        <v/>
      </c>
      <c r="BT57" s="32" t="str">
        <f>+IF(AF57="","",INDEX('Modelo Optimización'!$AZ$4:$CO$149,MATCH(CONCATENATE(BT$7,$AT57),'Modelo Optimización'!$CQ$4:$CQ$149,0),MATCH($AS57,'Modelo Optimización'!$AZ$3:$CO$3,0)))</f>
        <v/>
      </c>
      <c r="BU57" s="32" t="str">
        <f>+IF(AG57="","",INDEX('Modelo Optimización'!$AZ$4:$CO$149,MATCH(CONCATENATE(BU$7,$AT57),'Modelo Optimización'!$CQ$4:$CQ$149,0),MATCH($AS57,'Modelo Optimización'!$AZ$3:$CO$3,0)))</f>
        <v/>
      </c>
      <c r="BV57" s="32" t="str">
        <f>+IF(AH57="","",INDEX('Modelo Optimización'!$AZ$4:$CO$149,MATCH(CONCATENATE(BV$7,$AT57),'Modelo Optimización'!$CQ$4:$CQ$149,0),MATCH($AS57,'Modelo Optimización'!$AZ$3:$CO$3,0)))</f>
        <v/>
      </c>
      <c r="BW57" s="32" t="str">
        <f>+IF(AI57="","",INDEX('Modelo Optimización'!$AZ$4:$CO$149,MATCH(CONCATENATE(BW$7,$AT57),'Modelo Optimización'!$CQ$4:$CQ$149,0),MATCH($AS57,'Modelo Optimización'!$AZ$3:$CO$3,0)))</f>
        <v/>
      </c>
      <c r="BX57" s="32" t="str">
        <f>+IF(AJ57="","",INDEX('Modelo Optimización'!$AZ$4:$CO$149,MATCH(CONCATENATE(BX$7,$AT57),'Modelo Optimización'!$CQ$4:$CQ$149,0),MATCH($AS57,'Modelo Optimización'!$AZ$3:$CO$3,0)))</f>
        <v/>
      </c>
      <c r="BY57" s="32" t="str">
        <f>+IF(AK57="","",INDEX('Modelo Optimización'!$AZ$4:$CO$149,MATCH(CONCATENATE(BY$7,$AT57),'Modelo Optimización'!$CQ$4:$CQ$149,0),MATCH($AS57,'Modelo Optimización'!$AZ$3:$CO$3,0)))</f>
        <v/>
      </c>
      <c r="BZ57" s="32" t="str">
        <f>+IF(AL57="","",INDEX('Modelo Optimización'!$AZ$4:$CO$149,MATCH(CONCATENATE(BZ$7,$AT57),'Modelo Optimización'!$CQ$4:$CQ$149,0),MATCH($AS57,'Modelo Optimización'!$AZ$3:$CO$3,0)))</f>
        <v/>
      </c>
      <c r="CA57" s="32" t="str">
        <f>+IF(AM57="","",INDEX('Modelo Optimización'!$AZ$4:$CO$149,MATCH(CONCATENATE(CA$7,$AT57),'Modelo Optimización'!$CQ$4:$CQ$149,0),MATCH($AS57,'Modelo Optimización'!$AZ$3:$CO$3,0)))</f>
        <v/>
      </c>
      <c r="CB57" s="32" t="str">
        <f>+IF(AN57="","",INDEX('Modelo Optimización'!$AZ$4:$CO$149,MATCH(CONCATENATE(CB$7,$AT57),'Modelo Optimización'!$CQ$4:$CQ$149,0),MATCH($AS57,'Modelo Optimización'!$AZ$3:$CO$3,0)))</f>
        <v/>
      </c>
      <c r="CC57" s="32" t="str">
        <f>+IF(AO57="","",INDEX('Modelo Optimización'!$AZ$4:$CO$149,MATCH(CONCATENATE(CC$7,$AT57),'Modelo Optimización'!$CQ$4:$CQ$149,0),MATCH($AS57,'Modelo Optimización'!$AZ$3:$CO$3,0)))</f>
        <v/>
      </c>
      <c r="CD57" s="32" t="str">
        <f>+IF(AP57="","",INDEX('Modelo Optimización'!$AZ$4:$CO$149,MATCH(CONCATENATE(CD$7,$AT57),'Modelo Optimización'!$CQ$4:$CQ$149,0),MATCH($AS57,'Modelo Optimización'!$AZ$3:$CO$3,0)))</f>
        <v/>
      </c>
      <c r="CE57" s="37" t="str">
        <f>+IF(AQ57="","",INDEX('Modelo Optimización'!$AZ$4:$CO$149,MATCH(CONCATENATE(CE$7,$AT57),'Modelo Optimización'!$CQ$4:$CQ$149,0),MATCH($AS57,'Modelo Optimización'!$AZ$3:$CO$3,0)))</f>
        <v/>
      </c>
      <c r="CF57" s="301"/>
      <c r="CG57" s="305" t="str">
        <f t="shared" si="11"/>
        <v/>
      </c>
      <c r="CH57" s="303" t="str">
        <f t="shared" si="7"/>
        <v/>
      </c>
      <c r="CI57" s="292" t="str">
        <f t="shared" si="8"/>
        <v/>
      </c>
      <c r="CJ57" s="36" t="str">
        <f t="shared" si="12"/>
        <v/>
      </c>
      <c r="CK57" s="32" t="str">
        <f t="shared" si="13"/>
        <v/>
      </c>
      <c r="CL57" s="32" t="str">
        <f t="shared" si="14"/>
        <v/>
      </c>
      <c r="CM57" s="32" t="str">
        <f t="shared" si="15"/>
        <v/>
      </c>
      <c r="CN57" s="32" t="str">
        <f t="shared" si="16"/>
        <v/>
      </c>
      <c r="CO57" s="32" t="str">
        <f t="shared" si="17"/>
        <v/>
      </c>
      <c r="CP57" s="32" t="str">
        <f t="shared" si="18"/>
        <v/>
      </c>
      <c r="CQ57" s="32" t="str">
        <f t="shared" si="19"/>
        <v/>
      </c>
      <c r="CR57" s="32" t="str">
        <f t="shared" si="20"/>
        <v/>
      </c>
      <c r="CS57" s="32" t="str">
        <f t="shared" si="21"/>
        <v/>
      </c>
      <c r="CT57" s="32" t="str">
        <f t="shared" si="22"/>
        <v/>
      </c>
      <c r="CU57" s="32" t="str">
        <f t="shared" si="23"/>
        <v/>
      </c>
      <c r="CV57" s="32" t="str">
        <f t="shared" si="24"/>
        <v/>
      </c>
      <c r="CW57" s="32" t="str">
        <f t="shared" si="25"/>
        <v/>
      </c>
      <c r="CX57" s="32" t="str">
        <f t="shared" si="26"/>
        <v/>
      </c>
      <c r="CY57" s="32" t="str">
        <f t="shared" si="27"/>
        <v/>
      </c>
      <c r="CZ57" s="32" t="str">
        <f t="shared" si="28"/>
        <v/>
      </c>
      <c r="DA57" s="32" t="str">
        <f t="shared" si="29"/>
        <v/>
      </c>
      <c r="DB57" s="32" t="str">
        <f t="shared" si="30"/>
        <v/>
      </c>
      <c r="DC57" s="32" t="str">
        <f t="shared" si="31"/>
        <v/>
      </c>
      <c r="DD57" s="32" t="str">
        <f t="shared" si="32"/>
        <v/>
      </c>
      <c r="DE57" s="32" t="str">
        <f t="shared" si="33"/>
        <v/>
      </c>
      <c r="DF57" s="32" t="str">
        <f t="shared" si="34"/>
        <v/>
      </c>
      <c r="DG57" s="32" t="str">
        <f t="shared" si="35"/>
        <v/>
      </c>
      <c r="DH57" s="32" t="str">
        <f t="shared" si="36"/>
        <v/>
      </c>
      <c r="DI57" s="32" t="str">
        <f t="shared" si="37"/>
        <v/>
      </c>
      <c r="DJ57" s="32" t="str">
        <f t="shared" si="38"/>
        <v/>
      </c>
      <c r="DK57" s="32" t="str">
        <f t="shared" si="39"/>
        <v/>
      </c>
      <c r="DL57" s="32" t="str">
        <f t="shared" si="40"/>
        <v/>
      </c>
      <c r="DM57" s="32" t="str">
        <f t="shared" si="41"/>
        <v/>
      </c>
      <c r="DN57" s="32" t="str">
        <f t="shared" si="42"/>
        <v/>
      </c>
      <c r="DO57" s="32" t="str">
        <f t="shared" si="43"/>
        <v/>
      </c>
      <c r="DP57" s="32" t="str">
        <f t="shared" si="44"/>
        <v/>
      </c>
      <c r="DQ57" s="32" t="str">
        <f t="shared" si="45"/>
        <v/>
      </c>
      <c r="DR57" s="32" t="str">
        <f t="shared" si="46"/>
        <v/>
      </c>
      <c r="DS57" s="32" t="str">
        <f t="shared" si="47"/>
        <v/>
      </c>
      <c r="DT57" s="37" t="str">
        <f t="shared" si="48"/>
        <v/>
      </c>
    </row>
    <row r="58" spans="2:124" x14ac:dyDescent="0.35">
      <c r="B58" s="46"/>
      <c r="C58" s="212"/>
      <c r="D58" s="52"/>
      <c r="E58" s="52" t="str">
        <f>+IF(B58="","",IFERROR(SUMIF('Modelo Optimización'!$AS$72:$AS$217,C58,INDEX('Modelo Optimización'!$C$72:$AR$217,,MATCH(B58,'Modelo Optimización'!$C$71:$AR$71,0))),0))</f>
        <v/>
      </c>
      <c r="F58" s="281" t="str">
        <f t="shared" si="10"/>
        <v/>
      </c>
      <c r="G58" s="280" t="str">
        <f>+IF(IF($B58="","",IFERROR(INDEX('Auxiliar Resultados'!$C$9:$BO$50,MATCH($B58,'Auxiliar Resultados'!$B$9:$B$50,0),MATCH(CONCATENATE($C58,G$7),'Auxiliar Resultados'!$C$6:$BO$6,0)),""))=0,"",IF($B58="","",IFERROR(INDEX('Auxiliar Resultados'!$C$9:$BO$50,MATCH($B58,'Auxiliar Resultados'!$B$9:$B$50,0),MATCH(CONCATENATE($C58,G$7),'Auxiliar Resultados'!$C$6:$BO$6,0)),"")))</f>
        <v/>
      </c>
      <c r="H58" s="52" t="str">
        <f>+IF(IF($B58="","",IFERROR(INDEX('Auxiliar Resultados'!$C$9:$BO$50,MATCH($B58,'Auxiliar Resultados'!$B$9:$B$50,0),MATCH(CONCATENATE($C58,H$7),'Auxiliar Resultados'!$C$6:$BO$6,0)),""))=0,"",IF($B58="","",IFERROR(INDEX('Auxiliar Resultados'!$C$9:$BO$50,MATCH($B58,'Auxiliar Resultados'!$B$9:$B$50,0),MATCH(CONCATENATE($C58,H$7),'Auxiliar Resultados'!$C$6:$BO$6,0)),"")))</f>
        <v/>
      </c>
      <c r="I58" s="52" t="str">
        <f>+IF(IF($B58="","",IFERROR(INDEX('Auxiliar Resultados'!$C$9:$BO$50,MATCH($B58,'Auxiliar Resultados'!$B$9:$B$50,0),MATCH(CONCATENATE($C58,I$7),'Auxiliar Resultados'!$C$6:$BO$6,0)),""))=0,"",IF($B58="","",IFERROR(INDEX('Auxiliar Resultados'!$C$9:$BO$50,MATCH($B58,'Auxiliar Resultados'!$B$9:$B$50,0),MATCH(CONCATENATE($C58,I$7),'Auxiliar Resultados'!$C$6:$BO$6,0)),"")))</f>
        <v/>
      </c>
      <c r="J58" s="52" t="str">
        <f>+IF(IF($B58="","",IFERROR(INDEX('Auxiliar Resultados'!$C$9:$BO$50,MATCH($B58,'Auxiliar Resultados'!$B$9:$B$50,0),MATCH(CONCATENATE($C58,J$7),'Auxiliar Resultados'!$C$6:$BO$6,0)),""))=0,"",IF($B58="","",IFERROR(INDEX('Auxiliar Resultados'!$C$9:$BO$50,MATCH($B58,'Auxiliar Resultados'!$B$9:$B$50,0),MATCH(CONCATENATE($C58,J$7),'Auxiliar Resultados'!$C$6:$BO$6,0)),"")))</f>
        <v/>
      </c>
      <c r="K58" s="52" t="str">
        <f>+IF(IF($B58="","",IFERROR(INDEX('Auxiliar Resultados'!$C$9:$BO$50,MATCH($B58,'Auxiliar Resultados'!$B$9:$B$50,0),MATCH(CONCATENATE($C58,K$7),'Auxiliar Resultados'!$C$6:$BO$6,0)),""))=0,"",IF($B58="","",IFERROR(INDEX('Auxiliar Resultados'!$C$9:$BO$50,MATCH($B58,'Auxiliar Resultados'!$B$9:$B$50,0),MATCH(CONCATENATE($C58,K$7),'Auxiliar Resultados'!$C$6:$BO$6,0)),"")))</f>
        <v/>
      </c>
      <c r="L58" s="52" t="str">
        <f>+IF(IF($B58="","",IFERROR(INDEX('Auxiliar Resultados'!$C$9:$BO$50,MATCH($B58,'Auxiliar Resultados'!$B$9:$B$50,0),MATCH(CONCATENATE($C58,L$7),'Auxiliar Resultados'!$C$6:$BO$6,0)),""))=0,"",IF($B58="","",IFERROR(INDEX('Auxiliar Resultados'!$C$9:$BO$50,MATCH($B58,'Auxiliar Resultados'!$B$9:$B$50,0),MATCH(CONCATENATE($C58,L$7),'Auxiliar Resultados'!$C$6:$BO$6,0)),"")))</f>
        <v/>
      </c>
      <c r="M58" s="52" t="str">
        <f>+IF(IF($B58="","",IFERROR(INDEX('Auxiliar Resultados'!$C$9:$BO$50,MATCH($B58,'Auxiliar Resultados'!$B$9:$B$50,0),MATCH(CONCATENATE($C58,M$7),'Auxiliar Resultados'!$C$6:$BO$6,0)),""))=0,"",IF($B58="","",IFERROR(INDEX('Auxiliar Resultados'!$C$9:$BO$50,MATCH($B58,'Auxiliar Resultados'!$B$9:$B$50,0),MATCH(CONCATENATE($C58,M$7),'Auxiliar Resultados'!$C$6:$BO$6,0)),"")))</f>
        <v/>
      </c>
      <c r="N58" s="52" t="str">
        <f>+IF(IF($B58="","",IFERROR(INDEX('Auxiliar Resultados'!$C$9:$BO$50,MATCH($B58,'Auxiliar Resultados'!$B$9:$B$50,0),MATCH(CONCATENATE($C58,N$7),'Auxiliar Resultados'!$C$6:$BO$6,0)),""))=0,"",IF($B58="","",IFERROR(INDEX('Auxiliar Resultados'!$C$9:$BO$50,MATCH($B58,'Auxiliar Resultados'!$B$9:$B$50,0),MATCH(CONCATENATE($C58,N$7),'Auxiliar Resultados'!$C$6:$BO$6,0)),"")))</f>
        <v/>
      </c>
      <c r="O58" s="52" t="str">
        <f>+IF(IF($B58="","",IFERROR(INDEX('Auxiliar Resultados'!$C$9:$BO$50,MATCH($B58,'Auxiliar Resultados'!$B$9:$B$50,0),MATCH(CONCATENATE($C58,O$7),'Auxiliar Resultados'!$C$6:$BO$6,0)),""))=0,"",IF($B58="","",IFERROR(INDEX('Auxiliar Resultados'!$C$9:$BO$50,MATCH($B58,'Auxiliar Resultados'!$B$9:$B$50,0),MATCH(CONCATENATE($C58,O$7),'Auxiliar Resultados'!$C$6:$BO$6,0)),"")))</f>
        <v/>
      </c>
      <c r="P58" s="52" t="str">
        <f>+IF(IF($B58="","",IFERROR(INDEX('Auxiliar Resultados'!$C$9:$BO$50,MATCH($B58,'Auxiliar Resultados'!$B$9:$B$50,0),MATCH(CONCATENATE($C58,P$7),'Auxiliar Resultados'!$C$6:$BO$6,0)),""))=0,"",IF($B58="","",IFERROR(INDEX('Auxiliar Resultados'!$C$9:$BO$50,MATCH($B58,'Auxiliar Resultados'!$B$9:$B$50,0),MATCH(CONCATENATE($C58,P$7),'Auxiliar Resultados'!$C$6:$BO$6,0)),"")))</f>
        <v/>
      </c>
      <c r="Q58" s="52" t="str">
        <f>+IF(IF($B58="","",IFERROR(INDEX('Auxiliar Resultados'!$C$9:$BO$50,MATCH($B58,'Auxiliar Resultados'!$B$9:$B$50,0),MATCH(CONCATENATE($C58,Q$7),'Auxiliar Resultados'!$C$6:$BO$6,0)),""))=0,"",IF($B58="","",IFERROR(INDEX('Auxiliar Resultados'!$C$9:$BO$50,MATCH($B58,'Auxiliar Resultados'!$B$9:$B$50,0),MATCH(CONCATENATE($C58,Q$7),'Auxiliar Resultados'!$C$6:$BO$6,0)),"")))</f>
        <v/>
      </c>
      <c r="R58" s="52" t="str">
        <f>+IF(IF($B58="","",IFERROR(INDEX('Auxiliar Resultados'!$C$9:$BO$50,MATCH($B58,'Auxiliar Resultados'!$B$9:$B$50,0),MATCH(CONCATENATE($C58,R$7),'Auxiliar Resultados'!$C$6:$BO$6,0)),""))=0,"",IF($B58="","",IFERROR(INDEX('Auxiliar Resultados'!$C$9:$BO$50,MATCH($B58,'Auxiliar Resultados'!$B$9:$B$50,0),MATCH(CONCATENATE($C58,R$7),'Auxiliar Resultados'!$C$6:$BO$6,0)),"")))</f>
        <v/>
      </c>
      <c r="S58" s="52" t="str">
        <f>+IF(IF($B58="","",IFERROR(INDEX('Auxiliar Resultados'!$C$9:$BO$50,MATCH($B58,'Auxiliar Resultados'!$B$9:$B$50,0),MATCH(CONCATENATE($C58,S$7),'Auxiliar Resultados'!$C$6:$BO$6,0)),""))=0,"",IF($B58="","",IFERROR(INDEX('Auxiliar Resultados'!$C$9:$BO$50,MATCH($B58,'Auxiliar Resultados'!$B$9:$B$50,0),MATCH(CONCATENATE($C58,S$7),'Auxiliar Resultados'!$C$6:$BO$6,0)),"")))</f>
        <v/>
      </c>
      <c r="T58" s="52" t="str">
        <f>+IF(IF($B58="","",IFERROR(INDEX('Auxiliar Resultados'!$C$9:$BO$50,MATCH($B58,'Auxiliar Resultados'!$B$9:$B$50,0),MATCH(CONCATENATE($C58,T$7),'Auxiliar Resultados'!$C$6:$BO$6,0)),""))=0,"",IF($B58="","",IFERROR(INDEX('Auxiliar Resultados'!$C$9:$BO$50,MATCH($B58,'Auxiliar Resultados'!$B$9:$B$50,0),MATCH(CONCATENATE($C58,T$7),'Auxiliar Resultados'!$C$6:$BO$6,0)),"")))</f>
        <v/>
      </c>
      <c r="U58" s="52" t="str">
        <f>+IF(IF($B58="","",IFERROR(INDEX('Auxiliar Resultados'!$C$9:$BO$50,MATCH($B58,'Auxiliar Resultados'!$B$9:$B$50,0),MATCH(CONCATENATE($C58,U$7),'Auxiliar Resultados'!$C$6:$BO$6,0)),""))=0,"",IF($B58="","",IFERROR(INDEX('Auxiliar Resultados'!$C$9:$BO$50,MATCH($B58,'Auxiliar Resultados'!$B$9:$B$50,0),MATCH(CONCATENATE($C58,U$7),'Auxiliar Resultados'!$C$6:$BO$6,0)),"")))</f>
        <v/>
      </c>
      <c r="V58" s="52" t="str">
        <f>+IF(IF($B58="","",IFERROR(INDEX('Auxiliar Resultados'!$C$9:$BO$50,MATCH($B58,'Auxiliar Resultados'!$B$9:$B$50,0),MATCH(CONCATENATE($C58,V$7),'Auxiliar Resultados'!$C$6:$BO$6,0)),""))=0,"",IF($B58="","",IFERROR(INDEX('Auxiliar Resultados'!$C$9:$BO$50,MATCH($B58,'Auxiliar Resultados'!$B$9:$B$50,0),MATCH(CONCATENATE($C58,V$7),'Auxiliar Resultados'!$C$6:$BO$6,0)),"")))</f>
        <v/>
      </c>
      <c r="W58" s="52" t="str">
        <f>+IF(IF($B58="","",IFERROR(INDEX('Auxiliar Resultados'!$C$9:$BO$50,MATCH($B58,'Auxiliar Resultados'!$B$9:$B$50,0),MATCH(CONCATENATE($C58,W$7),'Auxiliar Resultados'!$C$6:$BO$6,0)),""))=0,"",IF($B58="","",IFERROR(INDEX('Auxiliar Resultados'!$C$9:$BO$50,MATCH($B58,'Auxiliar Resultados'!$B$9:$B$50,0),MATCH(CONCATENATE($C58,W$7),'Auxiliar Resultados'!$C$6:$BO$6,0)),"")))</f>
        <v/>
      </c>
      <c r="X58" s="52" t="str">
        <f>+IF(IF($B58="","",IFERROR(INDEX('Auxiliar Resultados'!$C$9:$BO$50,MATCH($B58,'Auxiliar Resultados'!$B$9:$B$50,0),MATCH(CONCATENATE($C58,X$7),'Auxiliar Resultados'!$C$6:$BO$6,0)),""))=0,"",IF($B58="","",IFERROR(INDEX('Auxiliar Resultados'!$C$9:$BO$50,MATCH($B58,'Auxiliar Resultados'!$B$9:$B$50,0),MATCH(CONCATENATE($C58,X$7),'Auxiliar Resultados'!$C$6:$BO$6,0)),"")))</f>
        <v/>
      </c>
      <c r="Y58" s="52" t="str">
        <f>+IF(IF($B58="","",IFERROR(INDEX('Auxiliar Resultados'!$C$9:$BO$50,MATCH($B58,'Auxiliar Resultados'!$B$9:$B$50,0),MATCH(CONCATENATE($C58,Y$7),'Auxiliar Resultados'!$C$6:$BO$6,0)),""))=0,"",IF($B58="","",IFERROR(INDEX('Auxiliar Resultados'!$C$9:$BO$50,MATCH($B58,'Auxiliar Resultados'!$B$9:$B$50,0),MATCH(CONCATENATE($C58,Y$7),'Auxiliar Resultados'!$C$6:$BO$6,0)),"")))</f>
        <v/>
      </c>
      <c r="Z58" s="52" t="str">
        <f>+IF(IF($B58="","",IFERROR(INDEX('Auxiliar Resultados'!$C$9:$BO$50,MATCH($B58,'Auxiliar Resultados'!$B$9:$B$50,0),MATCH(CONCATENATE($C58,Z$7),'Auxiliar Resultados'!$C$6:$BO$6,0)),""))=0,"",IF($B58="","",IFERROR(INDEX('Auxiliar Resultados'!$C$9:$BO$50,MATCH($B58,'Auxiliar Resultados'!$B$9:$B$50,0),MATCH(CONCATENATE($C58,Z$7),'Auxiliar Resultados'!$C$6:$BO$6,0)),"")))</f>
        <v/>
      </c>
      <c r="AA58" s="52" t="str">
        <f>+IF(IF($B58="","",IFERROR(INDEX('Auxiliar Resultados'!$C$9:$BO$50,MATCH($B58,'Auxiliar Resultados'!$B$9:$B$50,0),MATCH(CONCATENATE($C58,AA$7),'Auxiliar Resultados'!$C$6:$BO$6,0)),""))=0,"",IF($B58="","",IFERROR(INDEX('Auxiliar Resultados'!$C$9:$BO$50,MATCH($B58,'Auxiliar Resultados'!$B$9:$B$50,0),MATCH(CONCATENATE($C58,AA$7),'Auxiliar Resultados'!$C$6:$BO$6,0)),"")))</f>
        <v/>
      </c>
      <c r="AB58" s="52" t="str">
        <f>+IF(IF($B58="","",IFERROR(INDEX('Auxiliar Resultados'!$C$9:$BO$50,MATCH($B58,'Auxiliar Resultados'!$B$9:$B$50,0),MATCH(CONCATENATE($C58,AB$7),'Auxiliar Resultados'!$C$6:$BO$6,0)),""))=0,"",IF($B58="","",IFERROR(INDEX('Auxiliar Resultados'!$C$9:$BO$50,MATCH($B58,'Auxiliar Resultados'!$B$9:$B$50,0),MATCH(CONCATENATE($C58,AB$7),'Auxiliar Resultados'!$C$6:$BO$6,0)),"")))</f>
        <v/>
      </c>
      <c r="AC58" s="52" t="str">
        <f>+IF(IF($B58="","",IFERROR(INDEX('Auxiliar Resultados'!$C$9:$BO$50,MATCH($B58,'Auxiliar Resultados'!$B$9:$B$50,0),MATCH(CONCATENATE($C58,AC$7),'Auxiliar Resultados'!$C$6:$BO$6,0)),""))=0,"",IF($B58="","",IFERROR(INDEX('Auxiliar Resultados'!$C$9:$BO$50,MATCH($B58,'Auxiliar Resultados'!$B$9:$B$50,0),MATCH(CONCATENATE($C58,AC$7),'Auxiliar Resultados'!$C$6:$BO$6,0)),"")))</f>
        <v/>
      </c>
      <c r="AD58" s="52" t="str">
        <f>+IF(IF($B58="","",IFERROR(INDEX('Auxiliar Resultados'!$C$9:$BO$50,MATCH($B58,'Auxiliar Resultados'!$B$9:$B$50,0),MATCH(CONCATENATE($C58,AD$7),'Auxiliar Resultados'!$C$6:$BO$6,0)),""))=0,"",IF($B58="","",IFERROR(INDEX('Auxiliar Resultados'!$C$9:$BO$50,MATCH($B58,'Auxiliar Resultados'!$B$9:$B$50,0),MATCH(CONCATENATE($C58,AD$7),'Auxiliar Resultados'!$C$6:$BO$6,0)),"")))</f>
        <v/>
      </c>
      <c r="AE58" s="52" t="str">
        <f>+IF(IF($B58="","",IFERROR(INDEX('Auxiliar Resultados'!$C$9:$BO$50,MATCH($B58,'Auxiliar Resultados'!$B$9:$B$50,0),MATCH(CONCATENATE($C58,AE$7),'Auxiliar Resultados'!$C$6:$BO$6,0)),""))=0,"",IF($B58="","",IFERROR(INDEX('Auxiliar Resultados'!$C$9:$BO$50,MATCH($B58,'Auxiliar Resultados'!$B$9:$B$50,0),MATCH(CONCATENATE($C58,AE$7),'Auxiliar Resultados'!$C$6:$BO$6,0)),"")))</f>
        <v/>
      </c>
      <c r="AF58" s="52" t="str">
        <f>+IF(IF($B58="","",IFERROR(INDEX('Auxiliar Resultados'!$C$9:$BO$50,MATCH($B58,'Auxiliar Resultados'!$B$9:$B$50,0),MATCH(CONCATENATE($C58,AF$7),'Auxiliar Resultados'!$C$6:$BO$6,0)),""))=0,"",IF($B58="","",IFERROR(INDEX('Auxiliar Resultados'!$C$9:$BO$50,MATCH($B58,'Auxiliar Resultados'!$B$9:$B$50,0),MATCH(CONCATENATE($C58,AF$7),'Auxiliar Resultados'!$C$6:$BO$6,0)),"")))</f>
        <v/>
      </c>
      <c r="AG58" s="52" t="str">
        <f>+IF(IF($B58="","",IFERROR(INDEX('Auxiliar Resultados'!$C$9:$BO$50,MATCH($B58,'Auxiliar Resultados'!$B$9:$B$50,0),MATCH(CONCATENATE($C58,AG$7),'Auxiliar Resultados'!$C$6:$BO$6,0)),""))=0,"",IF($B58="","",IFERROR(INDEX('Auxiliar Resultados'!$C$9:$BO$50,MATCH($B58,'Auxiliar Resultados'!$B$9:$B$50,0),MATCH(CONCATENATE($C58,AG$7),'Auxiliar Resultados'!$C$6:$BO$6,0)),"")))</f>
        <v/>
      </c>
      <c r="AH58" s="52" t="str">
        <f>+IF(IF($B58="","",IFERROR(INDEX('Auxiliar Resultados'!$C$9:$BO$50,MATCH($B58,'Auxiliar Resultados'!$B$9:$B$50,0),MATCH(CONCATENATE($C58,AH$7),'Auxiliar Resultados'!$C$6:$BO$6,0)),""))=0,"",IF($B58="","",IFERROR(INDEX('Auxiliar Resultados'!$C$9:$BO$50,MATCH($B58,'Auxiliar Resultados'!$B$9:$B$50,0),MATCH(CONCATENATE($C58,AH$7),'Auxiliar Resultados'!$C$6:$BO$6,0)),"")))</f>
        <v/>
      </c>
      <c r="AI58" s="52" t="str">
        <f>+IF(IF($B58="","",IFERROR(INDEX('Auxiliar Resultados'!$C$9:$BO$50,MATCH($B58,'Auxiliar Resultados'!$B$9:$B$50,0),MATCH(CONCATENATE($C58,AI$7),'Auxiliar Resultados'!$C$6:$BO$6,0)),""))=0,"",IF($B58="","",IFERROR(INDEX('Auxiliar Resultados'!$C$9:$BO$50,MATCH($B58,'Auxiliar Resultados'!$B$9:$B$50,0),MATCH(CONCATENATE($C58,AI$7),'Auxiliar Resultados'!$C$6:$BO$6,0)),"")))</f>
        <v/>
      </c>
      <c r="AJ58" s="52" t="str">
        <f>+IF(IF($B58="","",IFERROR(INDEX('Auxiliar Resultados'!$C$9:$BO$50,MATCH($B58,'Auxiliar Resultados'!$B$9:$B$50,0),MATCH(CONCATENATE($C58,AJ$7),'Auxiliar Resultados'!$C$6:$BO$6,0)),""))=0,"",IF($B58="","",IFERROR(INDEX('Auxiliar Resultados'!$C$9:$BO$50,MATCH($B58,'Auxiliar Resultados'!$B$9:$B$50,0),MATCH(CONCATENATE($C58,AJ$7),'Auxiliar Resultados'!$C$6:$BO$6,0)),"")))</f>
        <v/>
      </c>
      <c r="AK58" s="52" t="str">
        <f>+IF(IF($B58="","",IFERROR(INDEX('Auxiliar Resultados'!$C$9:$BO$50,MATCH($B58,'Auxiliar Resultados'!$B$9:$B$50,0),MATCH(CONCATENATE($C58,AK$7),'Auxiliar Resultados'!$C$6:$BO$6,0)),""))=0,"",IF($B58="","",IFERROR(INDEX('Auxiliar Resultados'!$C$9:$BO$50,MATCH($B58,'Auxiliar Resultados'!$B$9:$B$50,0),MATCH(CONCATENATE($C58,AK$7),'Auxiliar Resultados'!$C$6:$BO$6,0)),"")))</f>
        <v/>
      </c>
      <c r="AL58" s="52" t="str">
        <f>+IF(IF($B58="","",IFERROR(INDEX('Auxiliar Resultados'!$C$9:$BO$50,MATCH($B58,'Auxiliar Resultados'!$B$9:$B$50,0),MATCH(CONCATENATE($C58,AL$7),'Auxiliar Resultados'!$C$6:$BO$6,0)),""))=0,"",IF($B58="","",IFERROR(INDEX('Auxiliar Resultados'!$C$9:$BO$50,MATCH($B58,'Auxiliar Resultados'!$B$9:$B$50,0),MATCH(CONCATENATE($C58,AL$7),'Auxiliar Resultados'!$C$6:$BO$6,0)),"")))</f>
        <v/>
      </c>
      <c r="AM58" s="52" t="str">
        <f>+IF(IF($B58="","",IFERROR(INDEX('Auxiliar Resultados'!$C$9:$BO$50,MATCH($B58,'Auxiliar Resultados'!$B$9:$B$50,0),MATCH(CONCATENATE($C58,AM$7),'Auxiliar Resultados'!$C$6:$BO$6,0)),""))=0,"",IF($B58="","",IFERROR(INDEX('Auxiliar Resultados'!$C$9:$BO$50,MATCH($B58,'Auxiliar Resultados'!$B$9:$B$50,0),MATCH(CONCATENATE($C58,AM$7),'Auxiliar Resultados'!$C$6:$BO$6,0)),"")))</f>
        <v/>
      </c>
      <c r="AN58" s="52" t="str">
        <f>+IF(IF($B58="","",IFERROR(INDEX('Auxiliar Resultados'!$C$9:$BO$50,MATCH($B58,'Auxiliar Resultados'!$B$9:$B$50,0),MATCH(CONCATENATE($C58,AN$7),'Auxiliar Resultados'!$C$6:$BO$6,0)),""))=0,"",IF($B58="","",IFERROR(INDEX('Auxiliar Resultados'!$C$9:$BO$50,MATCH($B58,'Auxiliar Resultados'!$B$9:$B$50,0),MATCH(CONCATENATE($C58,AN$7),'Auxiliar Resultados'!$C$6:$BO$6,0)),"")))</f>
        <v/>
      </c>
      <c r="AO58" s="52" t="str">
        <f>+IF(IF($B58="","",IFERROR(INDEX('Auxiliar Resultados'!$C$9:$BO$50,MATCH($B58,'Auxiliar Resultados'!$B$9:$B$50,0),MATCH(CONCATENATE($C58,AO$7),'Auxiliar Resultados'!$C$6:$BO$6,0)),""))=0,"",IF($B58="","",IFERROR(INDEX('Auxiliar Resultados'!$C$9:$BO$50,MATCH($B58,'Auxiliar Resultados'!$B$9:$B$50,0),MATCH(CONCATENATE($C58,AO$7),'Auxiliar Resultados'!$C$6:$BO$6,0)),"")))</f>
        <v/>
      </c>
      <c r="AP58" s="52" t="str">
        <f>+IF(IF($B58="","",IFERROR(INDEX('Auxiliar Resultados'!$C$9:$BO$50,MATCH($B58,'Auxiliar Resultados'!$B$9:$B$50,0),MATCH(CONCATENATE($C58,AP$7),'Auxiliar Resultados'!$C$6:$BO$6,0)),""))=0,"",IF($B58="","",IFERROR(INDEX('Auxiliar Resultados'!$C$9:$BO$50,MATCH($B58,'Auxiliar Resultados'!$B$9:$B$50,0),MATCH(CONCATENATE($C58,AP$7),'Auxiliar Resultados'!$C$6:$BO$6,0)),"")))</f>
        <v/>
      </c>
      <c r="AQ58" s="276" t="str">
        <f>+IF(IF($B58="","",IFERROR(INDEX('Auxiliar Resultados'!$C$9:$BO$50,MATCH($B58,'Auxiliar Resultados'!$B$9:$B$50,0),MATCH(CONCATENATE($C58,AQ$7),'Auxiliar Resultados'!$C$6:$BO$6,0)),""))=0,"",IF($B58="","",IFERROR(INDEX('Auxiliar Resultados'!$C$9:$BO$50,MATCH($B58,'Auxiliar Resultados'!$B$9:$B$50,0),MATCH(CONCATENATE($C58,AQ$7),'Auxiliar Resultados'!$C$6:$BO$6,0)),"")))</f>
        <v/>
      </c>
      <c r="AS58" s="46" t="str">
        <f t="shared" si="5"/>
        <v/>
      </c>
      <c r="AT58" s="292" t="str">
        <f t="shared" si="6"/>
        <v/>
      </c>
      <c r="AU58" s="36" t="str">
        <f>+IF(G58="","",INDEX('Modelo Optimización'!$AZ$4:$CO$149,MATCH(CONCATENATE(AU$7,$AT58),'Modelo Optimización'!$CQ$4:$CQ$149,0),MATCH($AS58,'Modelo Optimización'!$AZ$3:$CO$3,0)))</f>
        <v/>
      </c>
      <c r="AV58" s="32" t="str">
        <f>+IF(H58="","",INDEX('Modelo Optimización'!$AZ$4:$CO$149,MATCH(CONCATENATE(AV$7,$AT58),'Modelo Optimización'!$CQ$4:$CQ$149,0),MATCH($AS58,'Modelo Optimización'!$AZ$3:$CO$3,0)))</f>
        <v/>
      </c>
      <c r="AW58" s="32" t="str">
        <f>+IF(I58="","",INDEX('Modelo Optimización'!$AZ$4:$CO$149,MATCH(CONCATENATE(AW$7,$AT58),'Modelo Optimización'!$CQ$4:$CQ$149,0),MATCH($AS58,'Modelo Optimización'!$AZ$3:$CO$3,0)))</f>
        <v/>
      </c>
      <c r="AX58" s="32" t="str">
        <f>+IF(J58="","",INDEX('Modelo Optimización'!$AZ$4:$CO$149,MATCH(CONCATENATE(AX$7,$AT58),'Modelo Optimización'!$CQ$4:$CQ$149,0),MATCH($AS58,'Modelo Optimización'!$AZ$3:$CO$3,0)))</f>
        <v/>
      </c>
      <c r="AY58" s="32" t="str">
        <f>+IF(K58="","",INDEX('Modelo Optimización'!$AZ$4:$CO$149,MATCH(CONCATENATE(AY$7,$AT58),'Modelo Optimización'!$CQ$4:$CQ$149,0),MATCH($AS58,'Modelo Optimización'!$AZ$3:$CO$3,0)))</f>
        <v/>
      </c>
      <c r="AZ58" s="32" t="str">
        <f>+IF(L58="","",INDEX('Modelo Optimización'!$AZ$4:$CO$149,MATCH(CONCATENATE(AZ$7,$AT58),'Modelo Optimización'!$CQ$4:$CQ$149,0),MATCH($AS58,'Modelo Optimización'!$AZ$3:$CO$3,0)))</f>
        <v/>
      </c>
      <c r="BA58" s="32" t="str">
        <f>+IF(M58="","",INDEX('Modelo Optimización'!$AZ$4:$CO$149,MATCH(CONCATENATE(BA$7,$AT58),'Modelo Optimización'!$CQ$4:$CQ$149,0),MATCH($AS58,'Modelo Optimización'!$AZ$3:$CO$3,0)))</f>
        <v/>
      </c>
      <c r="BB58" s="32" t="str">
        <f>+IF(N58="","",INDEX('Modelo Optimización'!$AZ$4:$CO$149,MATCH(CONCATENATE(BB$7,$AT58),'Modelo Optimización'!$CQ$4:$CQ$149,0),MATCH($AS58,'Modelo Optimización'!$AZ$3:$CO$3,0)))</f>
        <v/>
      </c>
      <c r="BC58" s="32" t="str">
        <f>+IF(O58="","",INDEX('Modelo Optimización'!$AZ$4:$CO$149,MATCH(CONCATENATE(BC$7,$AT58),'Modelo Optimización'!$CQ$4:$CQ$149,0),MATCH($AS58,'Modelo Optimización'!$AZ$3:$CO$3,0)))</f>
        <v/>
      </c>
      <c r="BD58" s="32" t="str">
        <f>+IF(P58="","",INDEX('Modelo Optimización'!$AZ$4:$CO$149,MATCH(CONCATENATE(BD$7,$AT58),'Modelo Optimización'!$CQ$4:$CQ$149,0),MATCH($AS58,'Modelo Optimización'!$AZ$3:$CO$3,0)))</f>
        <v/>
      </c>
      <c r="BE58" s="32" t="str">
        <f>+IF(Q58="","",INDEX('Modelo Optimización'!$AZ$4:$CO$149,MATCH(CONCATENATE(BE$7,$AT58),'Modelo Optimización'!$CQ$4:$CQ$149,0),MATCH($AS58,'Modelo Optimización'!$AZ$3:$CO$3,0)))</f>
        <v/>
      </c>
      <c r="BF58" s="32" t="str">
        <f>+IF(R58="","",INDEX('Modelo Optimización'!$AZ$4:$CO$149,MATCH(CONCATENATE(BF$7,$AT58),'Modelo Optimización'!$CQ$4:$CQ$149,0),MATCH($AS58,'Modelo Optimización'!$AZ$3:$CO$3,0)))</f>
        <v/>
      </c>
      <c r="BG58" s="32" t="str">
        <f>+IF(S58="","",INDEX('Modelo Optimización'!$AZ$4:$CO$149,MATCH(CONCATENATE(BG$7,$AT58),'Modelo Optimización'!$CQ$4:$CQ$149,0),MATCH($AS58,'Modelo Optimización'!$AZ$3:$CO$3,0)))</f>
        <v/>
      </c>
      <c r="BH58" s="32" t="str">
        <f>+IF(T58="","",INDEX('Modelo Optimización'!$AZ$4:$CO$149,MATCH(CONCATENATE(BH$7,$AT58),'Modelo Optimización'!$CQ$4:$CQ$149,0),MATCH($AS58,'Modelo Optimización'!$AZ$3:$CO$3,0)))</f>
        <v/>
      </c>
      <c r="BI58" s="32" t="str">
        <f>+IF(U58="","",INDEX('Modelo Optimización'!$AZ$4:$CO$149,MATCH(CONCATENATE(BI$7,$AT58),'Modelo Optimización'!$CQ$4:$CQ$149,0),MATCH($AS58,'Modelo Optimización'!$AZ$3:$CO$3,0)))</f>
        <v/>
      </c>
      <c r="BJ58" s="32" t="str">
        <f>+IF(V58="","",INDEX('Modelo Optimización'!$AZ$4:$CO$149,MATCH(CONCATENATE(BJ$7,$AT58),'Modelo Optimización'!$CQ$4:$CQ$149,0),MATCH($AS58,'Modelo Optimización'!$AZ$3:$CO$3,0)))</f>
        <v/>
      </c>
      <c r="BK58" s="32" t="str">
        <f>+IF(W58="","",INDEX('Modelo Optimización'!$AZ$4:$CO$149,MATCH(CONCATENATE(BK$7,$AT58),'Modelo Optimización'!$CQ$4:$CQ$149,0),MATCH($AS58,'Modelo Optimización'!$AZ$3:$CO$3,0)))</f>
        <v/>
      </c>
      <c r="BL58" s="32" t="str">
        <f>+IF(X58="","",INDEX('Modelo Optimización'!$AZ$4:$CO$149,MATCH(CONCATENATE(BL$7,$AT58),'Modelo Optimización'!$CQ$4:$CQ$149,0),MATCH($AS58,'Modelo Optimización'!$AZ$3:$CO$3,0)))</f>
        <v/>
      </c>
      <c r="BM58" s="32" t="str">
        <f>+IF(Y58="","",INDEX('Modelo Optimización'!$AZ$4:$CO$149,MATCH(CONCATENATE(BM$7,$AT58),'Modelo Optimización'!$CQ$4:$CQ$149,0),MATCH($AS58,'Modelo Optimización'!$AZ$3:$CO$3,0)))</f>
        <v/>
      </c>
      <c r="BN58" s="32" t="str">
        <f>+IF(Z58="","",INDEX('Modelo Optimización'!$AZ$4:$CO$149,MATCH(CONCATENATE(BN$7,$AT58),'Modelo Optimización'!$CQ$4:$CQ$149,0),MATCH($AS58,'Modelo Optimización'!$AZ$3:$CO$3,0)))</f>
        <v/>
      </c>
      <c r="BO58" s="32" t="str">
        <f>+IF(AA58="","",INDEX('Modelo Optimización'!$AZ$4:$CO$149,MATCH(CONCATENATE(BO$7,$AT58),'Modelo Optimización'!$CQ$4:$CQ$149,0),MATCH($AS58,'Modelo Optimización'!$AZ$3:$CO$3,0)))</f>
        <v/>
      </c>
      <c r="BP58" s="32" t="str">
        <f>+IF(AB58="","",INDEX('Modelo Optimización'!$AZ$4:$CO$149,MATCH(CONCATENATE(BP$7,$AT58),'Modelo Optimización'!$CQ$4:$CQ$149,0),MATCH($AS58,'Modelo Optimización'!$AZ$3:$CO$3,0)))</f>
        <v/>
      </c>
      <c r="BQ58" s="32" t="str">
        <f>+IF(AC58="","",INDEX('Modelo Optimización'!$AZ$4:$CO$149,MATCH(CONCATENATE(BQ$7,$AT58),'Modelo Optimización'!$CQ$4:$CQ$149,0),MATCH($AS58,'Modelo Optimización'!$AZ$3:$CO$3,0)))</f>
        <v/>
      </c>
      <c r="BR58" s="32" t="str">
        <f>+IF(AD58="","",INDEX('Modelo Optimización'!$AZ$4:$CO$149,MATCH(CONCATENATE(BR$7,$AT58),'Modelo Optimización'!$CQ$4:$CQ$149,0),MATCH($AS58,'Modelo Optimización'!$AZ$3:$CO$3,0)))</f>
        <v/>
      </c>
      <c r="BS58" s="32" t="str">
        <f>+IF(AE58="","",INDEX('Modelo Optimización'!$AZ$4:$CO$149,MATCH(CONCATENATE(BS$7,$AT58),'Modelo Optimización'!$CQ$4:$CQ$149,0),MATCH($AS58,'Modelo Optimización'!$AZ$3:$CO$3,0)))</f>
        <v/>
      </c>
      <c r="BT58" s="32" t="str">
        <f>+IF(AF58="","",INDEX('Modelo Optimización'!$AZ$4:$CO$149,MATCH(CONCATENATE(BT$7,$AT58),'Modelo Optimización'!$CQ$4:$CQ$149,0),MATCH($AS58,'Modelo Optimización'!$AZ$3:$CO$3,0)))</f>
        <v/>
      </c>
      <c r="BU58" s="32" t="str">
        <f>+IF(AG58="","",INDEX('Modelo Optimización'!$AZ$4:$CO$149,MATCH(CONCATENATE(BU$7,$AT58),'Modelo Optimización'!$CQ$4:$CQ$149,0),MATCH($AS58,'Modelo Optimización'!$AZ$3:$CO$3,0)))</f>
        <v/>
      </c>
      <c r="BV58" s="32" t="str">
        <f>+IF(AH58="","",INDEX('Modelo Optimización'!$AZ$4:$CO$149,MATCH(CONCATENATE(BV$7,$AT58),'Modelo Optimización'!$CQ$4:$CQ$149,0),MATCH($AS58,'Modelo Optimización'!$AZ$3:$CO$3,0)))</f>
        <v/>
      </c>
      <c r="BW58" s="32" t="str">
        <f>+IF(AI58="","",INDEX('Modelo Optimización'!$AZ$4:$CO$149,MATCH(CONCATENATE(BW$7,$AT58),'Modelo Optimización'!$CQ$4:$CQ$149,0),MATCH($AS58,'Modelo Optimización'!$AZ$3:$CO$3,0)))</f>
        <v/>
      </c>
      <c r="BX58" s="32" t="str">
        <f>+IF(AJ58="","",INDEX('Modelo Optimización'!$AZ$4:$CO$149,MATCH(CONCATENATE(BX$7,$AT58),'Modelo Optimización'!$CQ$4:$CQ$149,0),MATCH($AS58,'Modelo Optimización'!$AZ$3:$CO$3,0)))</f>
        <v/>
      </c>
      <c r="BY58" s="32" t="str">
        <f>+IF(AK58="","",INDEX('Modelo Optimización'!$AZ$4:$CO$149,MATCH(CONCATENATE(BY$7,$AT58),'Modelo Optimización'!$CQ$4:$CQ$149,0),MATCH($AS58,'Modelo Optimización'!$AZ$3:$CO$3,0)))</f>
        <v/>
      </c>
      <c r="BZ58" s="32" t="str">
        <f>+IF(AL58="","",INDEX('Modelo Optimización'!$AZ$4:$CO$149,MATCH(CONCATENATE(BZ$7,$AT58),'Modelo Optimización'!$CQ$4:$CQ$149,0),MATCH($AS58,'Modelo Optimización'!$AZ$3:$CO$3,0)))</f>
        <v/>
      </c>
      <c r="CA58" s="32" t="str">
        <f>+IF(AM58="","",INDEX('Modelo Optimización'!$AZ$4:$CO$149,MATCH(CONCATENATE(CA$7,$AT58),'Modelo Optimización'!$CQ$4:$CQ$149,0),MATCH($AS58,'Modelo Optimización'!$AZ$3:$CO$3,0)))</f>
        <v/>
      </c>
      <c r="CB58" s="32" t="str">
        <f>+IF(AN58="","",INDEX('Modelo Optimización'!$AZ$4:$CO$149,MATCH(CONCATENATE(CB$7,$AT58),'Modelo Optimización'!$CQ$4:$CQ$149,0),MATCH($AS58,'Modelo Optimización'!$AZ$3:$CO$3,0)))</f>
        <v/>
      </c>
      <c r="CC58" s="32" t="str">
        <f>+IF(AO58="","",INDEX('Modelo Optimización'!$AZ$4:$CO$149,MATCH(CONCATENATE(CC$7,$AT58),'Modelo Optimización'!$CQ$4:$CQ$149,0),MATCH($AS58,'Modelo Optimización'!$AZ$3:$CO$3,0)))</f>
        <v/>
      </c>
      <c r="CD58" s="32" t="str">
        <f>+IF(AP58="","",INDEX('Modelo Optimización'!$AZ$4:$CO$149,MATCH(CONCATENATE(CD$7,$AT58),'Modelo Optimización'!$CQ$4:$CQ$149,0),MATCH($AS58,'Modelo Optimización'!$AZ$3:$CO$3,0)))</f>
        <v/>
      </c>
      <c r="CE58" s="37" t="str">
        <f>+IF(AQ58="","",INDEX('Modelo Optimización'!$AZ$4:$CO$149,MATCH(CONCATENATE(CE$7,$AT58),'Modelo Optimización'!$CQ$4:$CQ$149,0),MATCH($AS58,'Modelo Optimización'!$AZ$3:$CO$3,0)))</f>
        <v/>
      </c>
      <c r="CF58" s="301"/>
      <c r="CG58" s="305" t="str">
        <f t="shared" si="11"/>
        <v/>
      </c>
      <c r="CH58" s="303" t="str">
        <f t="shared" si="7"/>
        <v/>
      </c>
      <c r="CI58" s="292" t="str">
        <f t="shared" si="8"/>
        <v/>
      </c>
      <c r="CJ58" s="36" t="str">
        <f t="shared" si="12"/>
        <v/>
      </c>
      <c r="CK58" s="32" t="str">
        <f t="shared" si="13"/>
        <v/>
      </c>
      <c r="CL58" s="32" t="str">
        <f t="shared" si="14"/>
        <v/>
      </c>
      <c r="CM58" s="32" t="str">
        <f t="shared" si="15"/>
        <v/>
      </c>
      <c r="CN58" s="32" t="str">
        <f t="shared" si="16"/>
        <v/>
      </c>
      <c r="CO58" s="32" t="str">
        <f t="shared" si="17"/>
        <v/>
      </c>
      <c r="CP58" s="32" t="str">
        <f t="shared" si="18"/>
        <v/>
      </c>
      <c r="CQ58" s="32" t="str">
        <f t="shared" si="19"/>
        <v/>
      </c>
      <c r="CR58" s="32" t="str">
        <f t="shared" si="20"/>
        <v/>
      </c>
      <c r="CS58" s="32" t="str">
        <f t="shared" si="21"/>
        <v/>
      </c>
      <c r="CT58" s="32" t="str">
        <f t="shared" si="22"/>
        <v/>
      </c>
      <c r="CU58" s="32" t="str">
        <f t="shared" si="23"/>
        <v/>
      </c>
      <c r="CV58" s="32" t="str">
        <f t="shared" si="24"/>
        <v/>
      </c>
      <c r="CW58" s="32" t="str">
        <f t="shared" si="25"/>
        <v/>
      </c>
      <c r="CX58" s="32" t="str">
        <f t="shared" si="26"/>
        <v/>
      </c>
      <c r="CY58" s="32" t="str">
        <f t="shared" si="27"/>
        <v/>
      </c>
      <c r="CZ58" s="32" t="str">
        <f t="shared" si="28"/>
        <v/>
      </c>
      <c r="DA58" s="32" t="str">
        <f t="shared" si="29"/>
        <v/>
      </c>
      <c r="DB58" s="32" t="str">
        <f t="shared" si="30"/>
        <v/>
      </c>
      <c r="DC58" s="32" t="str">
        <f t="shared" si="31"/>
        <v/>
      </c>
      <c r="DD58" s="32" t="str">
        <f t="shared" si="32"/>
        <v/>
      </c>
      <c r="DE58" s="32" t="str">
        <f t="shared" si="33"/>
        <v/>
      </c>
      <c r="DF58" s="32" t="str">
        <f t="shared" si="34"/>
        <v/>
      </c>
      <c r="DG58" s="32" t="str">
        <f t="shared" si="35"/>
        <v/>
      </c>
      <c r="DH58" s="32" t="str">
        <f t="shared" si="36"/>
        <v/>
      </c>
      <c r="DI58" s="32" t="str">
        <f t="shared" si="37"/>
        <v/>
      </c>
      <c r="DJ58" s="32" t="str">
        <f t="shared" si="38"/>
        <v/>
      </c>
      <c r="DK58" s="32" t="str">
        <f t="shared" si="39"/>
        <v/>
      </c>
      <c r="DL58" s="32" t="str">
        <f t="shared" si="40"/>
        <v/>
      </c>
      <c r="DM58" s="32" t="str">
        <f t="shared" si="41"/>
        <v/>
      </c>
      <c r="DN58" s="32" t="str">
        <f t="shared" si="42"/>
        <v/>
      </c>
      <c r="DO58" s="32" t="str">
        <f t="shared" si="43"/>
        <v/>
      </c>
      <c r="DP58" s="32" t="str">
        <f t="shared" si="44"/>
        <v/>
      </c>
      <c r="DQ58" s="32" t="str">
        <f t="shared" si="45"/>
        <v/>
      </c>
      <c r="DR58" s="32" t="str">
        <f t="shared" si="46"/>
        <v/>
      </c>
      <c r="DS58" s="32" t="str">
        <f t="shared" si="47"/>
        <v/>
      </c>
      <c r="DT58" s="37" t="str">
        <f t="shared" si="48"/>
        <v/>
      </c>
    </row>
    <row r="59" spans="2:124" x14ac:dyDescent="0.35">
      <c r="B59" s="46"/>
      <c r="C59" s="212"/>
      <c r="D59" s="52"/>
      <c r="E59" s="52" t="str">
        <f>+IF(B59="","",IFERROR(SUMIF('Modelo Optimización'!$AS$72:$AS$217,C59,INDEX('Modelo Optimización'!$C$72:$AR$217,,MATCH(B59,'Modelo Optimización'!$C$71:$AR$71,0))),0))</f>
        <v/>
      </c>
      <c r="F59" s="281" t="str">
        <f t="shared" si="10"/>
        <v/>
      </c>
      <c r="G59" s="280" t="str">
        <f>+IF(IF($B59="","",IFERROR(INDEX('Auxiliar Resultados'!$C$9:$BO$50,MATCH($B59,'Auxiliar Resultados'!$B$9:$B$50,0),MATCH(CONCATENATE($C59,G$7),'Auxiliar Resultados'!$C$6:$BO$6,0)),""))=0,"",IF($B59="","",IFERROR(INDEX('Auxiliar Resultados'!$C$9:$BO$50,MATCH($B59,'Auxiliar Resultados'!$B$9:$B$50,0),MATCH(CONCATENATE($C59,G$7),'Auxiliar Resultados'!$C$6:$BO$6,0)),"")))</f>
        <v/>
      </c>
      <c r="H59" s="52" t="str">
        <f>+IF(IF($B59="","",IFERROR(INDEX('Auxiliar Resultados'!$C$9:$BO$50,MATCH($B59,'Auxiliar Resultados'!$B$9:$B$50,0),MATCH(CONCATENATE($C59,H$7),'Auxiliar Resultados'!$C$6:$BO$6,0)),""))=0,"",IF($B59="","",IFERROR(INDEX('Auxiliar Resultados'!$C$9:$BO$50,MATCH($B59,'Auxiliar Resultados'!$B$9:$B$50,0),MATCH(CONCATENATE($C59,H$7),'Auxiliar Resultados'!$C$6:$BO$6,0)),"")))</f>
        <v/>
      </c>
      <c r="I59" s="52" t="str">
        <f>+IF(IF($B59="","",IFERROR(INDEX('Auxiliar Resultados'!$C$9:$BO$50,MATCH($B59,'Auxiliar Resultados'!$B$9:$B$50,0),MATCH(CONCATENATE($C59,I$7),'Auxiliar Resultados'!$C$6:$BO$6,0)),""))=0,"",IF($B59="","",IFERROR(INDEX('Auxiliar Resultados'!$C$9:$BO$50,MATCH($B59,'Auxiliar Resultados'!$B$9:$B$50,0),MATCH(CONCATENATE($C59,I$7),'Auxiliar Resultados'!$C$6:$BO$6,0)),"")))</f>
        <v/>
      </c>
      <c r="J59" s="52" t="str">
        <f>+IF(IF($B59="","",IFERROR(INDEX('Auxiliar Resultados'!$C$9:$BO$50,MATCH($B59,'Auxiliar Resultados'!$B$9:$B$50,0),MATCH(CONCATENATE($C59,J$7),'Auxiliar Resultados'!$C$6:$BO$6,0)),""))=0,"",IF($B59="","",IFERROR(INDEX('Auxiliar Resultados'!$C$9:$BO$50,MATCH($B59,'Auxiliar Resultados'!$B$9:$B$50,0),MATCH(CONCATENATE($C59,J$7),'Auxiliar Resultados'!$C$6:$BO$6,0)),"")))</f>
        <v/>
      </c>
      <c r="K59" s="52" t="str">
        <f>+IF(IF($B59="","",IFERROR(INDEX('Auxiliar Resultados'!$C$9:$BO$50,MATCH($B59,'Auxiliar Resultados'!$B$9:$B$50,0),MATCH(CONCATENATE($C59,K$7),'Auxiliar Resultados'!$C$6:$BO$6,0)),""))=0,"",IF($B59="","",IFERROR(INDEX('Auxiliar Resultados'!$C$9:$BO$50,MATCH($B59,'Auxiliar Resultados'!$B$9:$B$50,0),MATCH(CONCATENATE($C59,K$7),'Auxiliar Resultados'!$C$6:$BO$6,0)),"")))</f>
        <v/>
      </c>
      <c r="L59" s="52" t="str">
        <f>+IF(IF($B59="","",IFERROR(INDEX('Auxiliar Resultados'!$C$9:$BO$50,MATCH($B59,'Auxiliar Resultados'!$B$9:$B$50,0),MATCH(CONCATENATE($C59,L$7),'Auxiliar Resultados'!$C$6:$BO$6,0)),""))=0,"",IF($B59="","",IFERROR(INDEX('Auxiliar Resultados'!$C$9:$BO$50,MATCH($B59,'Auxiliar Resultados'!$B$9:$B$50,0),MATCH(CONCATENATE($C59,L$7),'Auxiliar Resultados'!$C$6:$BO$6,0)),"")))</f>
        <v/>
      </c>
      <c r="M59" s="52" t="str">
        <f>+IF(IF($B59="","",IFERROR(INDEX('Auxiliar Resultados'!$C$9:$BO$50,MATCH($B59,'Auxiliar Resultados'!$B$9:$B$50,0),MATCH(CONCATENATE($C59,M$7),'Auxiliar Resultados'!$C$6:$BO$6,0)),""))=0,"",IF($B59="","",IFERROR(INDEX('Auxiliar Resultados'!$C$9:$BO$50,MATCH($B59,'Auxiliar Resultados'!$B$9:$B$50,0),MATCH(CONCATENATE($C59,M$7),'Auxiliar Resultados'!$C$6:$BO$6,0)),"")))</f>
        <v/>
      </c>
      <c r="N59" s="52" t="str">
        <f>+IF(IF($B59="","",IFERROR(INDEX('Auxiliar Resultados'!$C$9:$BO$50,MATCH($B59,'Auxiliar Resultados'!$B$9:$B$50,0),MATCH(CONCATENATE($C59,N$7),'Auxiliar Resultados'!$C$6:$BO$6,0)),""))=0,"",IF($B59="","",IFERROR(INDEX('Auxiliar Resultados'!$C$9:$BO$50,MATCH($B59,'Auxiliar Resultados'!$B$9:$B$50,0),MATCH(CONCATENATE($C59,N$7),'Auxiliar Resultados'!$C$6:$BO$6,0)),"")))</f>
        <v/>
      </c>
      <c r="O59" s="52" t="str">
        <f>+IF(IF($B59="","",IFERROR(INDEX('Auxiliar Resultados'!$C$9:$BO$50,MATCH($B59,'Auxiliar Resultados'!$B$9:$B$50,0),MATCH(CONCATENATE($C59,O$7),'Auxiliar Resultados'!$C$6:$BO$6,0)),""))=0,"",IF($B59="","",IFERROR(INDEX('Auxiliar Resultados'!$C$9:$BO$50,MATCH($B59,'Auxiliar Resultados'!$B$9:$B$50,0),MATCH(CONCATENATE($C59,O$7),'Auxiliar Resultados'!$C$6:$BO$6,0)),"")))</f>
        <v/>
      </c>
      <c r="P59" s="52" t="str">
        <f>+IF(IF($B59="","",IFERROR(INDEX('Auxiliar Resultados'!$C$9:$BO$50,MATCH($B59,'Auxiliar Resultados'!$B$9:$B$50,0),MATCH(CONCATENATE($C59,P$7),'Auxiliar Resultados'!$C$6:$BO$6,0)),""))=0,"",IF($B59="","",IFERROR(INDEX('Auxiliar Resultados'!$C$9:$BO$50,MATCH($B59,'Auxiliar Resultados'!$B$9:$B$50,0),MATCH(CONCATENATE($C59,P$7),'Auxiliar Resultados'!$C$6:$BO$6,0)),"")))</f>
        <v/>
      </c>
      <c r="Q59" s="52" t="str">
        <f>+IF(IF($B59="","",IFERROR(INDEX('Auxiliar Resultados'!$C$9:$BO$50,MATCH($B59,'Auxiliar Resultados'!$B$9:$B$50,0),MATCH(CONCATENATE($C59,Q$7),'Auxiliar Resultados'!$C$6:$BO$6,0)),""))=0,"",IF($B59="","",IFERROR(INDEX('Auxiliar Resultados'!$C$9:$BO$50,MATCH($B59,'Auxiliar Resultados'!$B$9:$B$50,0),MATCH(CONCATENATE($C59,Q$7),'Auxiliar Resultados'!$C$6:$BO$6,0)),"")))</f>
        <v/>
      </c>
      <c r="R59" s="52" t="str">
        <f>+IF(IF($B59="","",IFERROR(INDEX('Auxiliar Resultados'!$C$9:$BO$50,MATCH($B59,'Auxiliar Resultados'!$B$9:$B$50,0),MATCH(CONCATENATE($C59,R$7),'Auxiliar Resultados'!$C$6:$BO$6,0)),""))=0,"",IF($B59="","",IFERROR(INDEX('Auxiliar Resultados'!$C$9:$BO$50,MATCH($B59,'Auxiliar Resultados'!$B$9:$B$50,0),MATCH(CONCATENATE($C59,R$7),'Auxiliar Resultados'!$C$6:$BO$6,0)),"")))</f>
        <v/>
      </c>
      <c r="S59" s="52" t="str">
        <f>+IF(IF($B59="","",IFERROR(INDEX('Auxiliar Resultados'!$C$9:$BO$50,MATCH($B59,'Auxiliar Resultados'!$B$9:$B$50,0),MATCH(CONCATENATE($C59,S$7),'Auxiliar Resultados'!$C$6:$BO$6,0)),""))=0,"",IF($B59="","",IFERROR(INDEX('Auxiliar Resultados'!$C$9:$BO$50,MATCH($B59,'Auxiliar Resultados'!$B$9:$B$50,0),MATCH(CONCATENATE($C59,S$7),'Auxiliar Resultados'!$C$6:$BO$6,0)),"")))</f>
        <v/>
      </c>
      <c r="T59" s="52" t="str">
        <f>+IF(IF($B59="","",IFERROR(INDEX('Auxiliar Resultados'!$C$9:$BO$50,MATCH($B59,'Auxiliar Resultados'!$B$9:$B$50,0),MATCH(CONCATENATE($C59,T$7),'Auxiliar Resultados'!$C$6:$BO$6,0)),""))=0,"",IF($B59="","",IFERROR(INDEX('Auxiliar Resultados'!$C$9:$BO$50,MATCH($B59,'Auxiliar Resultados'!$B$9:$B$50,0),MATCH(CONCATENATE($C59,T$7),'Auxiliar Resultados'!$C$6:$BO$6,0)),"")))</f>
        <v/>
      </c>
      <c r="U59" s="52" t="str">
        <f>+IF(IF($B59="","",IFERROR(INDEX('Auxiliar Resultados'!$C$9:$BO$50,MATCH($B59,'Auxiliar Resultados'!$B$9:$B$50,0),MATCH(CONCATENATE($C59,U$7),'Auxiliar Resultados'!$C$6:$BO$6,0)),""))=0,"",IF($B59="","",IFERROR(INDEX('Auxiliar Resultados'!$C$9:$BO$50,MATCH($B59,'Auxiliar Resultados'!$B$9:$B$50,0),MATCH(CONCATENATE($C59,U$7),'Auxiliar Resultados'!$C$6:$BO$6,0)),"")))</f>
        <v/>
      </c>
      <c r="V59" s="52" t="str">
        <f>+IF(IF($B59="","",IFERROR(INDEX('Auxiliar Resultados'!$C$9:$BO$50,MATCH($B59,'Auxiliar Resultados'!$B$9:$B$50,0),MATCH(CONCATENATE($C59,V$7),'Auxiliar Resultados'!$C$6:$BO$6,0)),""))=0,"",IF($B59="","",IFERROR(INDEX('Auxiliar Resultados'!$C$9:$BO$50,MATCH($B59,'Auxiliar Resultados'!$B$9:$B$50,0),MATCH(CONCATENATE($C59,V$7),'Auxiliar Resultados'!$C$6:$BO$6,0)),"")))</f>
        <v/>
      </c>
      <c r="W59" s="52" t="str">
        <f>+IF(IF($B59="","",IFERROR(INDEX('Auxiliar Resultados'!$C$9:$BO$50,MATCH($B59,'Auxiliar Resultados'!$B$9:$B$50,0),MATCH(CONCATENATE($C59,W$7),'Auxiliar Resultados'!$C$6:$BO$6,0)),""))=0,"",IF($B59="","",IFERROR(INDEX('Auxiliar Resultados'!$C$9:$BO$50,MATCH($B59,'Auxiliar Resultados'!$B$9:$B$50,0),MATCH(CONCATENATE($C59,W$7),'Auxiliar Resultados'!$C$6:$BO$6,0)),"")))</f>
        <v/>
      </c>
      <c r="X59" s="52" t="str">
        <f>+IF(IF($B59="","",IFERROR(INDEX('Auxiliar Resultados'!$C$9:$BO$50,MATCH($B59,'Auxiliar Resultados'!$B$9:$B$50,0),MATCH(CONCATENATE($C59,X$7),'Auxiliar Resultados'!$C$6:$BO$6,0)),""))=0,"",IF($B59="","",IFERROR(INDEX('Auxiliar Resultados'!$C$9:$BO$50,MATCH($B59,'Auxiliar Resultados'!$B$9:$B$50,0),MATCH(CONCATENATE($C59,X$7),'Auxiliar Resultados'!$C$6:$BO$6,0)),"")))</f>
        <v/>
      </c>
      <c r="Y59" s="52" t="str">
        <f>+IF(IF($B59="","",IFERROR(INDEX('Auxiliar Resultados'!$C$9:$BO$50,MATCH($B59,'Auxiliar Resultados'!$B$9:$B$50,0),MATCH(CONCATENATE($C59,Y$7),'Auxiliar Resultados'!$C$6:$BO$6,0)),""))=0,"",IF($B59="","",IFERROR(INDEX('Auxiliar Resultados'!$C$9:$BO$50,MATCH($B59,'Auxiliar Resultados'!$B$9:$B$50,0),MATCH(CONCATENATE($C59,Y$7),'Auxiliar Resultados'!$C$6:$BO$6,0)),"")))</f>
        <v/>
      </c>
      <c r="Z59" s="52" t="str">
        <f>+IF(IF($B59="","",IFERROR(INDEX('Auxiliar Resultados'!$C$9:$BO$50,MATCH($B59,'Auxiliar Resultados'!$B$9:$B$50,0),MATCH(CONCATENATE($C59,Z$7),'Auxiliar Resultados'!$C$6:$BO$6,0)),""))=0,"",IF($B59="","",IFERROR(INDEX('Auxiliar Resultados'!$C$9:$BO$50,MATCH($B59,'Auxiliar Resultados'!$B$9:$B$50,0),MATCH(CONCATENATE($C59,Z$7),'Auxiliar Resultados'!$C$6:$BO$6,0)),"")))</f>
        <v/>
      </c>
      <c r="AA59" s="52" t="str">
        <f>+IF(IF($B59="","",IFERROR(INDEX('Auxiliar Resultados'!$C$9:$BO$50,MATCH($B59,'Auxiliar Resultados'!$B$9:$B$50,0),MATCH(CONCATENATE($C59,AA$7),'Auxiliar Resultados'!$C$6:$BO$6,0)),""))=0,"",IF($B59="","",IFERROR(INDEX('Auxiliar Resultados'!$C$9:$BO$50,MATCH($B59,'Auxiliar Resultados'!$B$9:$B$50,0),MATCH(CONCATENATE($C59,AA$7),'Auxiliar Resultados'!$C$6:$BO$6,0)),"")))</f>
        <v/>
      </c>
      <c r="AB59" s="52" t="str">
        <f>+IF(IF($B59="","",IFERROR(INDEX('Auxiliar Resultados'!$C$9:$BO$50,MATCH($B59,'Auxiliar Resultados'!$B$9:$B$50,0),MATCH(CONCATENATE($C59,AB$7),'Auxiliar Resultados'!$C$6:$BO$6,0)),""))=0,"",IF($B59="","",IFERROR(INDEX('Auxiliar Resultados'!$C$9:$BO$50,MATCH($B59,'Auxiliar Resultados'!$B$9:$B$50,0),MATCH(CONCATENATE($C59,AB$7),'Auxiliar Resultados'!$C$6:$BO$6,0)),"")))</f>
        <v/>
      </c>
      <c r="AC59" s="52" t="str">
        <f>+IF(IF($B59="","",IFERROR(INDEX('Auxiliar Resultados'!$C$9:$BO$50,MATCH($B59,'Auxiliar Resultados'!$B$9:$B$50,0),MATCH(CONCATENATE($C59,AC$7),'Auxiliar Resultados'!$C$6:$BO$6,0)),""))=0,"",IF($B59="","",IFERROR(INDEX('Auxiliar Resultados'!$C$9:$BO$50,MATCH($B59,'Auxiliar Resultados'!$B$9:$B$50,0),MATCH(CONCATENATE($C59,AC$7),'Auxiliar Resultados'!$C$6:$BO$6,0)),"")))</f>
        <v/>
      </c>
      <c r="AD59" s="52" t="str">
        <f>+IF(IF($B59="","",IFERROR(INDEX('Auxiliar Resultados'!$C$9:$BO$50,MATCH($B59,'Auxiliar Resultados'!$B$9:$B$50,0),MATCH(CONCATENATE($C59,AD$7),'Auxiliar Resultados'!$C$6:$BO$6,0)),""))=0,"",IF($B59="","",IFERROR(INDEX('Auxiliar Resultados'!$C$9:$BO$50,MATCH($B59,'Auxiliar Resultados'!$B$9:$B$50,0),MATCH(CONCATENATE($C59,AD$7),'Auxiliar Resultados'!$C$6:$BO$6,0)),"")))</f>
        <v/>
      </c>
      <c r="AE59" s="52" t="str">
        <f>+IF(IF($B59="","",IFERROR(INDEX('Auxiliar Resultados'!$C$9:$BO$50,MATCH($B59,'Auxiliar Resultados'!$B$9:$B$50,0),MATCH(CONCATENATE($C59,AE$7),'Auxiliar Resultados'!$C$6:$BO$6,0)),""))=0,"",IF($B59="","",IFERROR(INDEX('Auxiliar Resultados'!$C$9:$BO$50,MATCH($B59,'Auxiliar Resultados'!$B$9:$B$50,0),MATCH(CONCATENATE($C59,AE$7),'Auxiliar Resultados'!$C$6:$BO$6,0)),"")))</f>
        <v/>
      </c>
      <c r="AF59" s="52" t="str">
        <f>+IF(IF($B59="","",IFERROR(INDEX('Auxiliar Resultados'!$C$9:$BO$50,MATCH($B59,'Auxiliar Resultados'!$B$9:$B$50,0),MATCH(CONCATENATE($C59,AF$7),'Auxiliar Resultados'!$C$6:$BO$6,0)),""))=0,"",IF($B59="","",IFERROR(INDEX('Auxiliar Resultados'!$C$9:$BO$50,MATCH($B59,'Auxiliar Resultados'!$B$9:$B$50,0),MATCH(CONCATENATE($C59,AF$7),'Auxiliar Resultados'!$C$6:$BO$6,0)),"")))</f>
        <v/>
      </c>
      <c r="AG59" s="52" t="str">
        <f>+IF(IF($B59="","",IFERROR(INDEX('Auxiliar Resultados'!$C$9:$BO$50,MATCH($B59,'Auxiliar Resultados'!$B$9:$B$50,0),MATCH(CONCATENATE($C59,AG$7),'Auxiliar Resultados'!$C$6:$BO$6,0)),""))=0,"",IF($B59="","",IFERROR(INDEX('Auxiliar Resultados'!$C$9:$BO$50,MATCH($B59,'Auxiliar Resultados'!$B$9:$B$50,0),MATCH(CONCATENATE($C59,AG$7),'Auxiliar Resultados'!$C$6:$BO$6,0)),"")))</f>
        <v/>
      </c>
      <c r="AH59" s="52" t="str">
        <f>+IF(IF($B59="","",IFERROR(INDEX('Auxiliar Resultados'!$C$9:$BO$50,MATCH($B59,'Auxiliar Resultados'!$B$9:$B$50,0),MATCH(CONCATENATE($C59,AH$7),'Auxiliar Resultados'!$C$6:$BO$6,0)),""))=0,"",IF($B59="","",IFERROR(INDEX('Auxiliar Resultados'!$C$9:$BO$50,MATCH($B59,'Auxiliar Resultados'!$B$9:$B$50,0),MATCH(CONCATENATE($C59,AH$7),'Auxiliar Resultados'!$C$6:$BO$6,0)),"")))</f>
        <v/>
      </c>
      <c r="AI59" s="52" t="str">
        <f>+IF(IF($B59="","",IFERROR(INDEX('Auxiliar Resultados'!$C$9:$BO$50,MATCH($B59,'Auxiliar Resultados'!$B$9:$B$50,0),MATCH(CONCATENATE($C59,AI$7),'Auxiliar Resultados'!$C$6:$BO$6,0)),""))=0,"",IF($B59="","",IFERROR(INDEX('Auxiliar Resultados'!$C$9:$BO$50,MATCH($B59,'Auxiliar Resultados'!$B$9:$B$50,0),MATCH(CONCATENATE($C59,AI$7),'Auxiliar Resultados'!$C$6:$BO$6,0)),"")))</f>
        <v/>
      </c>
      <c r="AJ59" s="52" t="str">
        <f>+IF(IF($B59="","",IFERROR(INDEX('Auxiliar Resultados'!$C$9:$BO$50,MATCH($B59,'Auxiliar Resultados'!$B$9:$B$50,0),MATCH(CONCATENATE($C59,AJ$7),'Auxiliar Resultados'!$C$6:$BO$6,0)),""))=0,"",IF($B59="","",IFERROR(INDEX('Auxiliar Resultados'!$C$9:$BO$50,MATCH($B59,'Auxiliar Resultados'!$B$9:$B$50,0),MATCH(CONCATENATE($C59,AJ$7),'Auxiliar Resultados'!$C$6:$BO$6,0)),"")))</f>
        <v/>
      </c>
      <c r="AK59" s="52" t="str">
        <f>+IF(IF($B59="","",IFERROR(INDEX('Auxiliar Resultados'!$C$9:$BO$50,MATCH($B59,'Auxiliar Resultados'!$B$9:$B$50,0),MATCH(CONCATENATE($C59,AK$7),'Auxiliar Resultados'!$C$6:$BO$6,0)),""))=0,"",IF($B59="","",IFERROR(INDEX('Auxiliar Resultados'!$C$9:$BO$50,MATCH($B59,'Auxiliar Resultados'!$B$9:$B$50,0),MATCH(CONCATENATE($C59,AK$7),'Auxiliar Resultados'!$C$6:$BO$6,0)),"")))</f>
        <v/>
      </c>
      <c r="AL59" s="52" t="str">
        <f>+IF(IF($B59="","",IFERROR(INDEX('Auxiliar Resultados'!$C$9:$BO$50,MATCH($B59,'Auxiliar Resultados'!$B$9:$B$50,0),MATCH(CONCATENATE($C59,AL$7),'Auxiliar Resultados'!$C$6:$BO$6,0)),""))=0,"",IF($B59="","",IFERROR(INDEX('Auxiliar Resultados'!$C$9:$BO$50,MATCH($B59,'Auxiliar Resultados'!$B$9:$B$50,0),MATCH(CONCATENATE($C59,AL$7),'Auxiliar Resultados'!$C$6:$BO$6,0)),"")))</f>
        <v/>
      </c>
      <c r="AM59" s="52" t="str">
        <f>+IF(IF($B59="","",IFERROR(INDEX('Auxiliar Resultados'!$C$9:$BO$50,MATCH($B59,'Auxiliar Resultados'!$B$9:$B$50,0),MATCH(CONCATENATE($C59,AM$7),'Auxiliar Resultados'!$C$6:$BO$6,0)),""))=0,"",IF($B59="","",IFERROR(INDEX('Auxiliar Resultados'!$C$9:$BO$50,MATCH($B59,'Auxiliar Resultados'!$B$9:$B$50,0),MATCH(CONCATENATE($C59,AM$7),'Auxiliar Resultados'!$C$6:$BO$6,0)),"")))</f>
        <v/>
      </c>
      <c r="AN59" s="52" t="str">
        <f>+IF(IF($B59="","",IFERROR(INDEX('Auxiliar Resultados'!$C$9:$BO$50,MATCH($B59,'Auxiliar Resultados'!$B$9:$B$50,0),MATCH(CONCATENATE($C59,AN$7),'Auxiliar Resultados'!$C$6:$BO$6,0)),""))=0,"",IF($B59="","",IFERROR(INDEX('Auxiliar Resultados'!$C$9:$BO$50,MATCH($B59,'Auxiliar Resultados'!$B$9:$B$50,0),MATCH(CONCATENATE($C59,AN$7),'Auxiliar Resultados'!$C$6:$BO$6,0)),"")))</f>
        <v/>
      </c>
      <c r="AO59" s="52" t="str">
        <f>+IF(IF($B59="","",IFERROR(INDEX('Auxiliar Resultados'!$C$9:$BO$50,MATCH($B59,'Auxiliar Resultados'!$B$9:$B$50,0),MATCH(CONCATENATE($C59,AO$7),'Auxiliar Resultados'!$C$6:$BO$6,0)),""))=0,"",IF($B59="","",IFERROR(INDEX('Auxiliar Resultados'!$C$9:$BO$50,MATCH($B59,'Auxiliar Resultados'!$B$9:$B$50,0),MATCH(CONCATENATE($C59,AO$7),'Auxiliar Resultados'!$C$6:$BO$6,0)),"")))</f>
        <v/>
      </c>
      <c r="AP59" s="52" t="str">
        <f>+IF(IF($B59="","",IFERROR(INDEX('Auxiliar Resultados'!$C$9:$BO$50,MATCH($B59,'Auxiliar Resultados'!$B$9:$B$50,0),MATCH(CONCATENATE($C59,AP$7),'Auxiliar Resultados'!$C$6:$BO$6,0)),""))=0,"",IF($B59="","",IFERROR(INDEX('Auxiliar Resultados'!$C$9:$BO$50,MATCH($B59,'Auxiliar Resultados'!$B$9:$B$50,0),MATCH(CONCATENATE($C59,AP$7),'Auxiliar Resultados'!$C$6:$BO$6,0)),"")))</f>
        <v/>
      </c>
      <c r="AQ59" s="276" t="str">
        <f>+IF(IF($B59="","",IFERROR(INDEX('Auxiliar Resultados'!$C$9:$BO$50,MATCH($B59,'Auxiliar Resultados'!$B$9:$B$50,0),MATCH(CONCATENATE($C59,AQ$7),'Auxiliar Resultados'!$C$6:$BO$6,0)),""))=0,"",IF($B59="","",IFERROR(INDEX('Auxiliar Resultados'!$C$9:$BO$50,MATCH($B59,'Auxiliar Resultados'!$B$9:$B$50,0),MATCH(CONCATENATE($C59,AQ$7),'Auxiliar Resultados'!$C$6:$BO$6,0)),"")))</f>
        <v/>
      </c>
      <c r="AS59" s="46" t="str">
        <f t="shared" si="5"/>
        <v/>
      </c>
      <c r="AT59" s="292" t="str">
        <f t="shared" si="6"/>
        <v/>
      </c>
      <c r="AU59" s="36" t="str">
        <f>+IF(G59="","",INDEX('Modelo Optimización'!$AZ$4:$CO$149,MATCH(CONCATENATE(AU$7,$AT59),'Modelo Optimización'!$CQ$4:$CQ$149,0),MATCH($AS59,'Modelo Optimización'!$AZ$3:$CO$3,0)))</f>
        <v/>
      </c>
      <c r="AV59" s="32" t="str">
        <f>+IF(H59="","",INDEX('Modelo Optimización'!$AZ$4:$CO$149,MATCH(CONCATENATE(AV$7,$AT59),'Modelo Optimización'!$CQ$4:$CQ$149,0),MATCH($AS59,'Modelo Optimización'!$AZ$3:$CO$3,0)))</f>
        <v/>
      </c>
      <c r="AW59" s="32" t="str">
        <f>+IF(I59="","",INDEX('Modelo Optimización'!$AZ$4:$CO$149,MATCH(CONCATENATE(AW$7,$AT59),'Modelo Optimización'!$CQ$4:$CQ$149,0),MATCH($AS59,'Modelo Optimización'!$AZ$3:$CO$3,0)))</f>
        <v/>
      </c>
      <c r="AX59" s="32" t="str">
        <f>+IF(J59="","",INDEX('Modelo Optimización'!$AZ$4:$CO$149,MATCH(CONCATENATE(AX$7,$AT59),'Modelo Optimización'!$CQ$4:$CQ$149,0),MATCH($AS59,'Modelo Optimización'!$AZ$3:$CO$3,0)))</f>
        <v/>
      </c>
      <c r="AY59" s="32" t="str">
        <f>+IF(K59="","",INDEX('Modelo Optimización'!$AZ$4:$CO$149,MATCH(CONCATENATE(AY$7,$AT59),'Modelo Optimización'!$CQ$4:$CQ$149,0),MATCH($AS59,'Modelo Optimización'!$AZ$3:$CO$3,0)))</f>
        <v/>
      </c>
      <c r="AZ59" s="32" t="str">
        <f>+IF(L59="","",INDEX('Modelo Optimización'!$AZ$4:$CO$149,MATCH(CONCATENATE(AZ$7,$AT59),'Modelo Optimización'!$CQ$4:$CQ$149,0),MATCH($AS59,'Modelo Optimización'!$AZ$3:$CO$3,0)))</f>
        <v/>
      </c>
      <c r="BA59" s="32" t="str">
        <f>+IF(M59="","",INDEX('Modelo Optimización'!$AZ$4:$CO$149,MATCH(CONCATENATE(BA$7,$AT59),'Modelo Optimización'!$CQ$4:$CQ$149,0),MATCH($AS59,'Modelo Optimización'!$AZ$3:$CO$3,0)))</f>
        <v/>
      </c>
      <c r="BB59" s="32" t="str">
        <f>+IF(N59="","",INDEX('Modelo Optimización'!$AZ$4:$CO$149,MATCH(CONCATENATE(BB$7,$AT59),'Modelo Optimización'!$CQ$4:$CQ$149,0),MATCH($AS59,'Modelo Optimización'!$AZ$3:$CO$3,0)))</f>
        <v/>
      </c>
      <c r="BC59" s="32" t="str">
        <f>+IF(O59="","",INDEX('Modelo Optimización'!$AZ$4:$CO$149,MATCH(CONCATENATE(BC$7,$AT59),'Modelo Optimización'!$CQ$4:$CQ$149,0),MATCH($AS59,'Modelo Optimización'!$AZ$3:$CO$3,0)))</f>
        <v/>
      </c>
      <c r="BD59" s="32" t="str">
        <f>+IF(P59="","",INDEX('Modelo Optimización'!$AZ$4:$CO$149,MATCH(CONCATENATE(BD$7,$AT59),'Modelo Optimización'!$CQ$4:$CQ$149,0),MATCH($AS59,'Modelo Optimización'!$AZ$3:$CO$3,0)))</f>
        <v/>
      </c>
      <c r="BE59" s="32" t="str">
        <f>+IF(Q59="","",INDEX('Modelo Optimización'!$AZ$4:$CO$149,MATCH(CONCATENATE(BE$7,$AT59),'Modelo Optimización'!$CQ$4:$CQ$149,0),MATCH($AS59,'Modelo Optimización'!$AZ$3:$CO$3,0)))</f>
        <v/>
      </c>
      <c r="BF59" s="32" t="str">
        <f>+IF(R59="","",INDEX('Modelo Optimización'!$AZ$4:$CO$149,MATCH(CONCATENATE(BF$7,$AT59),'Modelo Optimización'!$CQ$4:$CQ$149,0),MATCH($AS59,'Modelo Optimización'!$AZ$3:$CO$3,0)))</f>
        <v/>
      </c>
      <c r="BG59" s="32" t="str">
        <f>+IF(S59="","",INDEX('Modelo Optimización'!$AZ$4:$CO$149,MATCH(CONCATENATE(BG$7,$AT59),'Modelo Optimización'!$CQ$4:$CQ$149,0),MATCH($AS59,'Modelo Optimización'!$AZ$3:$CO$3,0)))</f>
        <v/>
      </c>
      <c r="BH59" s="32" t="str">
        <f>+IF(T59="","",INDEX('Modelo Optimización'!$AZ$4:$CO$149,MATCH(CONCATENATE(BH$7,$AT59),'Modelo Optimización'!$CQ$4:$CQ$149,0),MATCH($AS59,'Modelo Optimización'!$AZ$3:$CO$3,0)))</f>
        <v/>
      </c>
      <c r="BI59" s="32" t="str">
        <f>+IF(U59="","",INDEX('Modelo Optimización'!$AZ$4:$CO$149,MATCH(CONCATENATE(BI$7,$AT59),'Modelo Optimización'!$CQ$4:$CQ$149,0),MATCH($AS59,'Modelo Optimización'!$AZ$3:$CO$3,0)))</f>
        <v/>
      </c>
      <c r="BJ59" s="32" t="str">
        <f>+IF(V59="","",INDEX('Modelo Optimización'!$AZ$4:$CO$149,MATCH(CONCATENATE(BJ$7,$AT59),'Modelo Optimización'!$CQ$4:$CQ$149,0),MATCH($AS59,'Modelo Optimización'!$AZ$3:$CO$3,0)))</f>
        <v/>
      </c>
      <c r="BK59" s="32" t="str">
        <f>+IF(W59="","",INDEX('Modelo Optimización'!$AZ$4:$CO$149,MATCH(CONCATENATE(BK$7,$AT59),'Modelo Optimización'!$CQ$4:$CQ$149,0),MATCH($AS59,'Modelo Optimización'!$AZ$3:$CO$3,0)))</f>
        <v/>
      </c>
      <c r="BL59" s="32" t="str">
        <f>+IF(X59="","",INDEX('Modelo Optimización'!$AZ$4:$CO$149,MATCH(CONCATENATE(BL$7,$AT59),'Modelo Optimización'!$CQ$4:$CQ$149,0),MATCH($AS59,'Modelo Optimización'!$AZ$3:$CO$3,0)))</f>
        <v/>
      </c>
      <c r="BM59" s="32" t="str">
        <f>+IF(Y59="","",INDEX('Modelo Optimización'!$AZ$4:$CO$149,MATCH(CONCATENATE(BM$7,$AT59),'Modelo Optimización'!$CQ$4:$CQ$149,0),MATCH($AS59,'Modelo Optimización'!$AZ$3:$CO$3,0)))</f>
        <v/>
      </c>
      <c r="BN59" s="32" t="str">
        <f>+IF(Z59="","",INDEX('Modelo Optimización'!$AZ$4:$CO$149,MATCH(CONCATENATE(BN$7,$AT59),'Modelo Optimización'!$CQ$4:$CQ$149,0),MATCH($AS59,'Modelo Optimización'!$AZ$3:$CO$3,0)))</f>
        <v/>
      </c>
      <c r="BO59" s="32" t="str">
        <f>+IF(AA59="","",INDEX('Modelo Optimización'!$AZ$4:$CO$149,MATCH(CONCATENATE(BO$7,$AT59),'Modelo Optimización'!$CQ$4:$CQ$149,0),MATCH($AS59,'Modelo Optimización'!$AZ$3:$CO$3,0)))</f>
        <v/>
      </c>
      <c r="BP59" s="32" t="str">
        <f>+IF(AB59="","",INDEX('Modelo Optimización'!$AZ$4:$CO$149,MATCH(CONCATENATE(BP$7,$AT59),'Modelo Optimización'!$CQ$4:$CQ$149,0),MATCH($AS59,'Modelo Optimización'!$AZ$3:$CO$3,0)))</f>
        <v/>
      </c>
      <c r="BQ59" s="32" t="str">
        <f>+IF(AC59="","",INDEX('Modelo Optimización'!$AZ$4:$CO$149,MATCH(CONCATENATE(BQ$7,$AT59),'Modelo Optimización'!$CQ$4:$CQ$149,0),MATCH($AS59,'Modelo Optimización'!$AZ$3:$CO$3,0)))</f>
        <v/>
      </c>
      <c r="BR59" s="32" t="str">
        <f>+IF(AD59="","",INDEX('Modelo Optimización'!$AZ$4:$CO$149,MATCH(CONCATENATE(BR$7,$AT59),'Modelo Optimización'!$CQ$4:$CQ$149,0),MATCH($AS59,'Modelo Optimización'!$AZ$3:$CO$3,0)))</f>
        <v/>
      </c>
      <c r="BS59" s="32" t="str">
        <f>+IF(AE59="","",INDEX('Modelo Optimización'!$AZ$4:$CO$149,MATCH(CONCATENATE(BS$7,$AT59),'Modelo Optimización'!$CQ$4:$CQ$149,0),MATCH($AS59,'Modelo Optimización'!$AZ$3:$CO$3,0)))</f>
        <v/>
      </c>
      <c r="BT59" s="32" t="str">
        <f>+IF(AF59="","",INDEX('Modelo Optimización'!$AZ$4:$CO$149,MATCH(CONCATENATE(BT$7,$AT59),'Modelo Optimización'!$CQ$4:$CQ$149,0),MATCH($AS59,'Modelo Optimización'!$AZ$3:$CO$3,0)))</f>
        <v/>
      </c>
      <c r="BU59" s="32" t="str">
        <f>+IF(AG59="","",INDEX('Modelo Optimización'!$AZ$4:$CO$149,MATCH(CONCATENATE(BU$7,$AT59),'Modelo Optimización'!$CQ$4:$CQ$149,0),MATCH($AS59,'Modelo Optimización'!$AZ$3:$CO$3,0)))</f>
        <v/>
      </c>
      <c r="BV59" s="32" t="str">
        <f>+IF(AH59="","",INDEX('Modelo Optimización'!$AZ$4:$CO$149,MATCH(CONCATENATE(BV$7,$AT59),'Modelo Optimización'!$CQ$4:$CQ$149,0),MATCH($AS59,'Modelo Optimización'!$AZ$3:$CO$3,0)))</f>
        <v/>
      </c>
      <c r="BW59" s="32" t="str">
        <f>+IF(AI59="","",INDEX('Modelo Optimización'!$AZ$4:$CO$149,MATCH(CONCATENATE(BW$7,$AT59),'Modelo Optimización'!$CQ$4:$CQ$149,0),MATCH($AS59,'Modelo Optimización'!$AZ$3:$CO$3,0)))</f>
        <v/>
      </c>
      <c r="BX59" s="32" t="str">
        <f>+IF(AJ59="","",INDEX('Modelo Optimización'!$AZ$4:$CO$149,MATCH(CONCATENATE(BX$7,$AT59),'Modelo Optimización'!$CQ$4:$CQ$149,0),MATCH($AS59,'Modelo Optimización'!$AZ$3:$CO$3,0)))</f>
        <v/>
      </c>
      <c r="BY59" s="32" t="str">
        <f>+IF(AK59="","",INDEX('Modelo Optimización'!$AZ$4:$CO$149,MATCH(CONCATENATE(BY$7,$AT59),'Modelo Optimización'!$CQ$4:$CQ$149,0),MATCH($AS59,'Modelo Optimización'!$AZ$3:$CO$3,0)))</f>
        <v/>
      </c>
      <c r="BZ59" s="32" t="str">
        <f>+IF(AL59="","",INDEX('Modelo Optimización'!$AZ$4:$CO$149,MATCH(CONCATENATE(BZ$7,$AT59),'Modelo Optimización'!$CQ$4:$CQ$149,0),MATCH($AS59,'Modelo Optimización'!$AZ$3:$CO$3,0)))</f>
        <v/>
      </c>
      <c r="CA59" s="32" t="str">
        <f>+IF(AM59="","",INDEX('Modelo Optimización'!$AZ$4:$CO$149,MATCH(CONCATENATE(CA$7,$AT59),'Modelo Optimización'!$CQ$4:$CQ$149,0),MATCH($AS59,'Modelo Optimización'!$AZ$3:$CO$3,0)))</f>
        <v/>
      </c>
      <c r="CB59" s="32" t="str">
        <f>+IF(AN59="","",INDEX('Modelo Optimización'!$AZ$4:$CO$149,MATCH(CONCATENATE(CB$7,$AT59),'Modelo Optimización'!$CQ$4:$CQ$149,0),MATCH($AS59,'Modelo Optimización'!$AZ$3:$CO$3,0)))</f>
        <v/>
      </c>
      <c r="CC59" s="32" t="str">
        <f>+IF(AO59="","",INDEX('Modelo Optimización'!$AZ$4:$CO$149,MATCH(CONCATENATE(CC$7,$AT59),'Modelo Optimización'!$CQ$4:$CQ$149,0),MATCH($AS59,'Modelo Optimización'!$AZ$3:$CO$3,0)))</f>
        <v/>
      </c>
      <c r="CD59" s="32" t="str">
        <f>+IF(AP59="","",INDEX('Modelo Optimización'!$AZ$4:$CO$149,MATCH(CONCATENATE(CD$7,$AT59),'Modelo Optimización'!$CQ$4:$CQ$149,0),MATCH($AS59,'Modelo Optimización'!$AZ$3:$CO$3,0)))</f>
        <v/>
      </c>
      <c r="CE59" s="37" t="str">
        <f>+IF(AQ59="","",INDEX('Modelo Optimización'!$AZ$4:$CO$149,MATCH(CONCATENATE(CE$7,$AT59),'Modelo Optimización'!$CQ$4:$CQ$149,0),MATCH($AS59,'Modelo Optimización'!$AZ$3:$CO$3,0)))</f>
        <v/>
      </c>
      <c r="CF59" s="301"/>
      <c r="CG59" s="305" t="str">
        <f t="shared" si="11"/>
        <v/>
      </c>
      <c r="CH59" s="303" t="str">
        <f t="shared" si="7"/>
        <v/>
      </c>
      <c r="CI59" s="292" t="str">
        <f t="shared" si="8"/>
        <v/>
      </c>
      <c r="CJ59" s="36" t="str">
        <f t="shared" si="12"/>
        <v/>
      </c>
      <c r="CK59" s="32" t="str">
        <f t="shared" si="13"/>
        <v/>
      </c>
      <c r="CL59" s="32" t="str">
        <f t="shared" si="14"/>
        <v/>
      </c>
      <c r="CM59" s="32" t="str">
        <f t="shared" si="15"/>
        <v/>
      </c>
      <c r="CN59" s="32" t="str">
        <f t="shared" si="16"/>
        <v/>
      </c>
      <c r="CO59" s="32" t="str">
        <f t="shared" si="17"/>
        <v/>
      </c>
      <c r="CP59" s="32" t="str">
        <f t="shared" si="18"/>
        <v/>
      </c>
      <c r="CQ59" s="32" t="str">
        <f t="shared" si="19"/>
        <v/>
      </c>
      <c r="CR59" s="32" t="str">
        <f t="shared" si="20"/>
        <v/>
      </c>
      <c r="CS59" s="32" t="str">
        <f t="shared" si="21"/>
        <v/>
      </c>
      <c r="CT59" s="32" t="str">
        <f t="shared" si="22"/>
        <v/>
      </c>
      <c r="CU59" s="32" t="str">
        <f t="shared" si="23"/>
        <v/>
      </c>
      <c r="CV59" s="32" t="str">
        <f t="shared" si="24"/>
        <v/>
      </c>
      <c r="CW59" s="32" t="str">
        <f t="shared" si="25"/>
        <v/>
      </c>
      <c r="CX59" s="32" t="str">
        <f t="shared" si="26"/>
        <v/>
      </c>
      <c r="CY59" s="32" t="str">
        <f t="shared" si="27"/>
        <v/>
      </c>
      <c r="CZ59" s="32" t="str">
        <f t="shared" si="28"/>
        <v/>
      </c>
      <c r="DA59" s="32" t="str">
        <f t="shared" si="29"/>
        <v/>
      </c>
      <c r="DB59" s="32" t="str">
        <f t="shared" si="30"/>
        <v/>
      </c>
      <c r="DC59" s="32" t="str">
        <f t="shared" si="31"/>
        <v/>
      </c>
      <c r="DD59" s="32" t="str">
        <f t="shared" si="32"/>
        <v/>
      </c>
      <c r="DE59" s="32" t="str">
        <f t="shared" si="33"/>
        <v/>
      </c>
      <c r="DF59" s="32" t="str">
        <f t="shared" si="34"/>
        <v/>
      </c>
      <c r="DG59" s="32" t="str">
        <f t="shared" si="35"/>
        <v/>
      </c>
      <c r="DH59" s="32" t="str">
        <f t="shared" si="36"/>
        <v/>
      </c>
      <c r="DI59" s="32" t="str">
        <f t="shared" si="37"/>
        <v/>
      </c>
      <c r="DJ59" s="32" t="str">
        <f t="shared" si="38"/>
        <v/>
      </c>
      <c r="DK59" s="32" t="str">
        <f t="shared" si="39"/>
        <v/>
      </c>
      <c r="DL59" s="32" t="str">
        <f t="shared" si="40"/>
        <v/>
      </c>
      <c r="DM59" s="32" t="str">
        <f t="shared" si="41"/>
        <v/>
      </c>
      <c r="DN59" s="32" t="str">
        <f t="shared" si="42"/>
        <v/>
      </c>
      <c r="DO59" s="32" t="str">
        <f t="shared" si="43"/>
        <v/>
      </c>
      <c r="DP59" s="32" t="str">
        <f t="shared" si="44"/>
        <v/>
      </c>
      <c r="DQ59" s="32" t="str">
        <f t="shared" si="45"/>
        <v/>
      </c>
      <c r="DR59" s="32" t="str">
        <f t="shared" si="46"/>
        <v/>
      </c>
      <c r="DS59" s="32" t="str">
        <f t="shared" si="47"/>
        <v/>
      </c>
      <c r="DT59" s="37" t="str">
        <f t="shared" si="48"/>
        <v/>
      </c>
    </row>
    <row r="60" spans="2:124" x14ac:dyDescent="0.35">
      <c r="B60" s="46"/>
      <c r="C60" s="212"/>
      <c r="D60" s="52"/>
      <c r="E60" s="52" t="str">
        <f>+IF(B60="","",IFERROR(SUMIF('Modelo Optimización'!$AS$72:$AS$217,C60,INDEX('Modelo Optimización'!$C$72:$AR$217,,MATCH(B60,'Modelo Optimización'!$C$71:$AR$71,0))),0))</f>
        <v/>
      </c>
      <c r="F60" s="281" t="str">
        <f t="shared" si="10"/>
        <v/>
      </c>
      <c r="G60" s="280" t="str">
        <f>+IF(IF($B60="","",IFERROR(INDEX('Auxiliar Resultados'!$C$9:$BO$50,MATCH($B60,'Auxiliar Resultados'!$B$9:$B$50,0),MATCH(CONCATENATE($C60,G$7),'Auxiliar Resultados'!$C$6:$BO$6,0)),""))=0,"",IF($B60="","",IFERROR(INDEX('Auxiliar Resultados'!$C$9:$BO$50,MATCH($B60,'Auxiliar Resultados'!$B$9:$B$50,0),MATCH(CONCATENATE($C60,G$7),'Auxiliar Resultados'!$C$6:$BO$6,0)),"")))</f>
        <v/>
      </c>
      <c r="H60" s="52" t="str">
        <f>+IF(IF($B60="","",IFERROR(INDEX('Auxiliar Resultados'!$C$9:$BO$50,MATCH($B60,'Auxiliar Resultados'!$B$9:$B$50,0),MATCH(CONCATENATE($C60,H$7),'Auxiliar Resultados'!$C$6:$BO$6,0)),""))=0,"",IF($B60="","",IFERROR(INDEX('Auxiliar Resultados'!$C$9:$BO$50,MATCH($B60,'Auxiliar Resultados'!$B$9:$B$50,0),MATCH(CONCATENATE($C60,H$7),'Auxiliar Resultados'!$C$6:$BO$6,0)),"")))</f>
        <v/>
      </c>
      <c r="I60" s="52" t="str">
        <f>+IF(IF($B60="","",IFERROR(INDEX('Auxiliar Resultados'!$C$9:$BO$50,MATCH($B60,'Auxiliar Resultados'!$B$9:$B$50,0),MATCH(CONCATENATE($C60,I$7),'Auxiliar Resultados'!$C$6:$BO$6,0)),""))=0,"",IF($B60="","",IFERROR(INDEX('Auxiliar Resultados'!$C$9:$BO$50,MATCH($B60,'Auxiliar Resultados'!$B$9:$B$50,0),MATCH(CONCATENATE($C60,I$7),'Auxiliar Resultados'!$C$6:$BO$6,0)),"")))</f>
        <v/>
      </c>
      <c r="J60" s="52" t="str">
        <f>+IF(IF($B60="","",IFERROR(INDEX('Auxiliar Resultados'!$C$9:$BO$50,MATCH($B60,'Auxiliar Resultados'!$B$9:$B$50,0),MATCH(CONCATENATE($C60,J$7),'Auxiliar Resultados'!$C$6:$BO$6,0)),""))=0,"",IF($B60="","",IFERROR(INDEX('Auxiliar Resultados'!$C$9:$BO$50,MATCH($B60,'Auxiliar Resultados'!$B$9:$B$50,0),MATCH(CONCATENATE($C60,J$7),'Auxiliar Resultados'!$C$6:$BO$6,0)),"")))</f>
        <v/>
      </c>
      <c r="K60" s="52" t="str">
        <f>+IF(IF($B60="","",IFERROR(INDEX('Auxiliar Resultados'!$C$9:$BO$50,MATCH($B60,'Auxiliar Resultados'!$B$9:$B$50,0),MATCH(CONCATENATE($C60,K$7),'Auxiliar Resultados'!$C$6:$BO$6,0)),""))=0,"",IF($B60="","",IFERROR(INDEX('Auxiliar Resultados'!$C$9:$BO$50,MATCH($B60,'Auxiliar Resultados'!$B$9:$B$50,0),MATCH(CONCATENATE($C60,K$7),'Auxiliar Resultados'!$C$6:$BO$6,0)),"")))</f>
        <v/>
      </c>
      <c r="L60" s="52" t="str">
        <f>+IF(IF($B60="","",IFERROR(INDEX('Auxiliar Resultados'!$C$9:$BO$50,MATCH($B60,'Auxiliar Resultados'!$B$9:$B$50,0),MATCH(CONCATENATE($C60,L$7),'Auxiliar Resultados'!$C$6:$BO$6,0)),""))=0,"",IF($B60="","",IFERROR(INDEX('Auxiliar Resultados'!$C$9:$BO$50,MATCH($B60,'Auxiliar Resultados'!$B$9:$B$50,0),MATCH(CONCATENATE($C60,L$7),'Auxiliar Resultados'!$C$6:$BO$6,0)),"")))</f>
        <v/>
      </c>
      <c r="M60" s="52" t="str">
        <f>+IF(IF($B60="","",IFERROR(INDEX('Auxiliar Resultados'!$C$9:$BO$50,MATCH($B60,'Auxiliar Resultados'!$B$9:$B$50,0),MATCH(CONCATENATE($C60,M$7),'Auxiliar Resultados'!$C$6:$BO$6,0)),""))=0,"",IF($B60="","",IFERROR(INDEX('Auxiliar Resultados'!$C$9:$BO$50,MATCH($B60,'Auxiliar Resultados'!$B$9:$B$50,0),MATCH(CONCATENATE($C60,M$7),'Auxiliar Resultados'!$C$6:$BO$6,0)),"")))</f>
        <v/>
      </c>
      <c r="N60" s="52" t="str">
        <f>+IF(IF($B60="","",IFERROR(INDEX('Auxiliar Resultados'!$C$9:$BO$50,MATCH($B60,'Auxiliar Resultados'!$B$9:$B$50,0),MATCH(CONCATENATE($C60,N$7),'Auxiliar Resultados'!$C$6:$BO$6,0)),""))=0,"",IF($B60="","",IFERROR(INDEX('Auxiliar Resultados'!$C$9:$BO$50,MATCH($B60,'Auxiliar Resultados'!$B$9:$B$50,0),MATCH(CONCATENATE($C60,N$7),'Auxiliar Resultados'!$C$6:$BO$6,0)),"")))</f>
        <v/>
      </c>
      <c r="O60" s="52" t="str">
        <f>+IF(IF($B60="","",IFERROR(INDEX('Auxiliar Resultados'!$C$9:$BO$50,MATCH($B60,'Auxiliar Resultados'!$B$9:$B$50,0),MATCH(CONCATENATE($C60,O$7),'Auxiliar Resultados'!$C$6:$BO$6,0)),""))=0,"",IF($B60="","",IFERROR(INDEX('Auxiliar Resultados'!$C$9:$BO$50,MATCH($B60,'Auxiliar Resultados'!$B$9:$B$50,0),MATCH(CONCATENATE($C60,O$7),'Auxiliar Resultados'!$C$6:$BO$6,0)),"")))</f>
        <v/>
      </c>
      <c r="P60" s="52" t="str">
        <f>+IF(IF($B60="","",IFERROR(INDEX('Auxiliar Resultados'!$C$9:$BO$50,MATCH($B60,'Auxiliar Resultados'!$B$9:$B$50,0),MATCH(CONCATENATE($C60,P$7),'Auxiliar Resultados'!$C$6:$BO$6,0)),""))=0,"",IF($B60="","",IFERROR(INDEX('Auxiliar Resultados'!$C$9:$BO$50,MATCH($B60,'Auxiliar Resultados'!$B$9:$B$50,0),MATCH(CONCATENATE($C60,P$7),'Auxiliar Resultados'!$C$6:$BO$6,0)),"")))</f>
        <v/>
      </c>
      <c r="Q60" s="52" t="str">
        <f>+IF(IF($B60="","",IFERROR(INDEX('Auxiliar Resultados'!$C$9:$BO$50,MATCH($B60,'Auxiliar Resultados'!$B$9:$B$50,0),MATCH(CONCATENATE($C60,Q$7),'Auxiliar Resultados'!$C$6:$BO$6,0)),""))=0,"",IF($B60="","",IFERROR(INDEX('Auxiliar Resultados'!$C$9:$BO$50,MATCH($B60,'Auxiliar Resultados'!$B$9:$B$50,0),MATCH(CONCATENATE($C60,Q$7),'Auxiliar Resultados'!$C$6:$BO$6,0)),"")))</f>
        <v/>
      </c>
      <c r="R60" s="52" t="str">
        <f>+IF(IF($B60="","",IFERROR(INDEX('Auxiliar Resultados'!$C$9:$BO$50,MATCH($B60,'Auxiliar Resultados'!$B$9:$B$50,0),MATCH(CONCATENATE($C60,R$7),'Auxiliar Resultados'!$C$6:$BO$6,0)),""))=0,"",IF($B60="","",IFERROR(INDEX('Auxiliar Resultados'!$C$9:$BO$50,MATCH($B60,'Auxiliar Resultados'!$B$9:$B$50,0),MATCH(CONCATENATE($C60,R$7),'Auxiliar Resultados'!$C$6:$BO$6,0)),"")))</f>
        <v/>
      </c>
      <c r="S60" s="52" t="str">
        <f>+IF(IF($B60="","",IFERROR(INDEX('Auxiliar Resultados'!$C$9:$BO$50,MATCH($B60,'Auxiliar Resultados'!$B$9:$B$50,0),MATCH(CONCATENATE($C60,S$7),'Auxiliar Resultados'!$C$6:$BO$6,0)),""))=0,"",IF($B60="","",IFERROR(INDEX('Auxiliar Resultados'!$C$9:$BO$50,MATCH($B60,'Auxiliar Resultados'!$B$9:$B$50,0),MATCH(CONCATENATE($C60,S$7),'Auxiliar Resultados'!$C$6:$BO$6,0)),"")))</f>
        <v/>
      </c>
      <c r="T60" s="52" t="str">
        <f>+IF(IF($B60="","",IFERROR(INDEX('Auxiliar Resultados'!$C$9:$BO$50,MATCH($B60,'Auxiliar Resultados'!$B$9:$B$50,0),MATCH(CONCATENATE($C60,T$7),'Auxiliar Resultados'!$C$6:$BO$6,0)),""))=0,"",IF($B60="","",IFERROR(INDEX('Auxiliar Resultados'!$C$9:$BO$50,MATCH($B60,'Auxiliar Resultados'!$B$9:$B$50,0),MATCH(CONCATENATE($C60,T$7),'Auxiliar Resultados'!$C$6:$BO$6,0)),"")))</f>
        <v/>
      </c>
      <c r="U60" s="52" t="str">
        <f>+IF(IF($B60="","",IFERROR(INDEX('Auxiliar Resultados'!$C$9:$BO$50,MATCH($B60,'Auxiliar Resultados'!$B$9:$B$50,0),MATCH(CONCATENATE($C60,U$7),'Auxiliar Resultados'!$C$6:$BO$6,0)),""))=0,"",IF($B60="","",IFERROR(INDEX('Auxiliar Resultados'!$C$9:$BO$50,MATCH($B60,'Auxiliar Resultados'!$B$9:$B$50,0),MATCH(CONCATENATE($C60,U$7),'Auxiliar Resultados'!$C$6:$BO$6,0)),"")))</f>
        <v/>
      </c>
      <c r="V60" s="52" t="str">
        <f>+IF(IF($B60="","",IFERROR(INDEX('Auxiliar Resultados'!$C$9:$BO$50,MATCH($B60,'Auxiliar Resultados'!$B$9:$B$50,0),MATCH(CONCATENATE($C60,V$7),'Auxiliar Resultados'!$C$6:$BO$6,0)),""))=0,"",IF($B60="","",IFERROR(INDEX('Auxiliar Resultados'!$C$9:$BO$50,MATCH($B60,'Auxiliar Resultados'!$B$9:$B$50,0),MATCH(CONCATENATE($C60,V$7),'Auxiliar Resultados'!$C$6:$BO$6,0)),"")))</f>
        <v/>
      </c>
      <c r="W60" s="52" t="str">
        <f>+IF(IF($B60="","",IFERROR(INDEX('Auxiliar Resultados'!$C$9:$BO$50,MATCH($B60,'Auxiliar Resultados'!$B$9:$B$50,0),MATCH(CONCATENATE($C60,W$7),'Auxiliar Resultados'!$C$6:$BO$6,0)),""))=0,"",IF($B60="","",IFERROR(INDEX('Auxiliar Resultados'!$C$9:$BO$50,MATCH($B60,'Auxiliar Resultados'!$B$9:$B$50,0),MATCH(CONCATENATE($C60,W$7),'Auxiliar Resultados'!$C$6:$BO$6,0)),"")))</f>
        <v/>
      </c>
      <c r="X60" s="52" t="str">
        <f>+IF(IF($B60="","",IFERROR(INDEX('Auxiliar Resultados'!$C$9:$BO$50,MATCH($B60,'Auxiliar Resultados'!$B$9:$B$50,0),MATCH(CONCATENATE($C60,X$7),'Auxiliar Resultados'!$C$6:$BO$6,0)),""))=0,"",IF($B60="","",IFERROR(INDEX('Auxiliar Resultados'!$C$9:$BO$50,MATCH($B60,'Auxiliar Resultados'!$B$9:$B$50,0),MATCH(CONCATENATE($C60,X$7),'Auxiliar Resultados'!$C$6:$BO$6,0)),"")))</f>
        <v/>
      </c>
      <c r="Y60" s="52" t="str">
        <f>+IF(IF($B60="","",IFERROR(INDEX('Auxiliar Resultados'!$C$9:$BO$50,MATCH($B60,'Auxiliar Resultados'!$B$9:$B$50,0),MATCH(CONCATENATE($C60,Y$7),'Auxiliar Resultados'!$C$6:$BO$6,0)),""))=0,"",IF($B60="","",IFERROR(INDEX('Auxiliar Resultados'!$C$9:$BO$50,MATCH($B60,'Auxiliar Resultados'!$B$9:$B$50,0),MATCH(CONCATENATE($C60,Y$7),'Auxiliar Resultados'!$C$6:$BO$6,0)),"")))</f>
        <v/>
      </c>
      <c r="Z60" s="52" t="str">
        <f>+IF(IF($B60="","",IFERROR(INDEX('Auxiliar Resultados'!$C$9:$BO$50,MATCH($B60,'Auxiliar Resultados'!$B$9:$B$50,0),MATCH(CONCATENATE($C60,Z$7),'Auxiliar Resultados'!$C$6:$BO$6,0)),""))=0,"",IF($B60="","",IFERROR(INDEX('Auxiliar Resultados'!$C$9:$BO$50,MATCH($B60,'Auxiliar Resultados'!$B$9:$B$50,0),MATCH(CONCATENATE($C60,Z$7),'Auxiliar Resultados'!$C$6:$BO$6,0)),"")))</f>
        <v/>
      </c>
      <c r="AA60" s="52" t="str">
        <f>+IF(IF($B60="","",IFERROR(INDEX('Auxiliar Resultados'!$C$9:$BO$50,MATCH($B60,'Auxiliar Resultados'!$B$9:$B$50,0),MATCH(CONCATENATE($C60,AA$7),'Auxiliar Resultados'!$C$6:$BO$6,0)),""))=0,"",IF($B60="","",IFERROR(INDEX('Auxiliar Resultados'!$C$9:$BO$50,MATCH($B60,'Auxiliar Resultados'!$B$9:$B$50,0),MATCH(CONCATENATE($C60,AA$7),'Auxiliar Resultados'!$C$6:$BO$6,0)),"")))</f>
        <v/>
      </c>
      <c r="AB60" s="52" t="str">
        <f>+IF(IF($B60="","",IFERROR(INDEX('Auxiliar Resultados'!$C$9:$BO$50,MATCH($B60,'Auxiliar Resultados'!$B$9:$B$50,0),MATCH(CONCATENATE($C60,AB$7),'Auxiliar Resultados'!$C$6:$BO$6,0)),""))=0,"",IF($B60="","",IFERROR(INDEX('Auxiliar Resultados'!$C$9:$BO$50,MATCH($B60,'Auxiliar Resultados'!$B$9:$B$50,0),MATCH(CONCATENATE($C60,AB$7),'Auxiliar Resultados'!$C$6:$BO$6,0)),"")))</f>
        <v/>
      </c>
      <c r="AC60" s="52" t="str">
        <f>+IF(IF($B60="","",IFERROR(INDEX('Auxiliar Resultados'!$C$9:$BO$50,MATCH($B60,'Auxiliar Resultados'!$B$9:$B$50,0),MATCH(CONCATENATE($C60,AC$7),'Auxiliar Resultados'!$C$6:$BO$6,0)),""))=0,"",IF($B60="","",IFERROR(INDEX('Auxiliar Resultados'!$C$9:$BO$50,MATCH($B60,'Auxiliar Resultados'!$B$9:$B$50,0),MATCH(CONCATENATE($C60,AC$7),'Auxiliar Resultados'!$C$6:$BO$6,0)),"")))</f>
        <v/>
      </c>
      <c r="AD60" s="52" t="str">
        <f>+IF(IF($B60="","",IFERROR(INDEX('Auxiliar Resultados'!$C$9:$BO$50,MATCH($B60,'Auxiliar Resultados'!$B$9:$B$50,0),MATCH(CONCATENATE($C60,AD$7),'Auxiliar Resultados'!$C$6:$BO$6,0)),""))=0,"",IF($B60="","",IFERROR(INDEX('Auxiliar Resultados'!$C$9:$BO$50,MATCH($B60,'Auxiliar Resultados'!$B$9:$B$50,0),MATCH(CONCATENATE($C60,AD$7),'Auxiliar Resultados'!$C$6:$BO$6,0)),"")))</f>
        <v/>
      </c>
      <c r="AE60" s="52" t="str">
        <f>+IF(IF($B60="","",IFERROR(INDEX('Auxiliar Resultados'!$C$9:$BO$50,MATCH($B60,'Auxiliar Resultados'!$B$9:$B$50,0),MATCH(CONCATENATE($C60,AE$7),'Auxiliar Resultados'!$C$6:$BO$6,0)),""))=0,"",IF($B60="","",IFERROR(INDEX('Auxiliar Resultados'!$C$9:$BO$50,MATCH($B60,'Auxiliar Resultados'!$B$9:$B$50,0),MATCH(CONCATENATE($C60,AE$7),'Auxiliar Resultados'!$C$6:$BO$6,0)),"")))</f>
        <v/>
      </c>
      <c r="AF60" s="52" t="str">
        <f>+IF(IF($B60="","",IFERROR(INDEX('Auxiliar Resultados'!$C$9:$BO$50,MATCH($B60,'Auxiliar Resultados'!$B$9:$B$50,0),MATCH(CONCATENATE($C60,AF$7),'Auxiliar Resultados'!$C$6:$BO$6,0)),""))=0,"",IF($B60="","",IFERROR(INDEX('Auxiliar Resultados'!$C$9:$BO$50,MATCH($B60,'Auxiliar Resultados'!$B$9:$B$50,0),MATCH(CONCATENATE($C60,AF$7),'Auxiliar Resultados'!$C$6:$BO$6,0)),"")))</f>
        <v/>
      </c>
      <c r="AG60" s="52" t="str">
        <f>+IF(IF($B60="","",IFERROR(INDEX('Auxiliar Resultados'!$C$9:$BO$50,MATCH($B60,'Auxiliar Resultados'!$B$9:$B$50,0),MATCH(CONCATENATE($C60,AG$7),'Auxiliar Resultados'!$C$6:$BO$6,0)),""))=0,"",IF($B60="","",IFERROR(INDEX('Auxiliar Resultados'!$C$9:$BO$50,MATCH($B60,'Auxiliar Resultados'!$B$9:$B$50,0),MATCH(CONCATENATE($C60,AG$7),'Auxiliar Resultados'!$C$6:$BO$6,0)),"")))</f>
        <v/>
      </c>
      <c r="AH60" s="52" t="str">
        <f>+IF(IF($B60="","",IFERROR(INDEX('Auxiliar Resultados'!$C$9:$BO$50,MATCH($B60,'Auxiliar Resultados'!$B$9:$B$50,0),MATCH(CONCATENATE($C60,AH$7),'Auxiliar Resultados'!$C$6:$BO$6,0)),""))=0,"",IF($B60="","",IFERROR(INDEX('Auxiliar Resultados'!$C$9:$BO$50,MATCH($B60,'Auxiliar Resultados'!$B$9:$B$50,0),MATCH(CONCATENATE($C60,AH$7),'Auxiliar Resultados'!$C$6:$BO$6,0)),"")))</f>
        <v/>
      </c>
      <c r="AI60" s="52" t="str">
        <f>+IF(IF($B60="","",IFERROR(INDEX('Auxiliar Resultados'!$C$9:$BO$50,MATCH($B60,'Auxiliar Resultados'!$B$9:$B$50,0),MATCH(CONCATENATE($C60,AI$7),'Auxiliar Resultados'!$C$6:$BO$6,0)),""))=0,"",IF($B60="","",IFERROR(INDEX('Auxiliar Resultados'!$C$9:$BO$50,MATCH($B60,'Auxiliar Resultados'!$B$9:$B$50,0),MATCH(CONCATENATE($C60,AI$7),'Auxiliar Resultados'!$C$6:$BO$6,0)),"")))</f>
        <v/>
      </c>
      <c r="AJ60" s="52" t="str">
        <f>+IF(IF($B60="","",IFERROR(INDEX('Auxiliar Resultados'!$C$9:$BO$50,MATCH($B60,'Auxiliar Resultados'!$B$9:$B$50,0),MATCH(CONCATENATE($C60,AJ$7),'Auxiliar Resultados'!$C$6:$BO$6,0)),""))=0,"",IF($B60="","",IFERROR(INDEX('Auxiliar Resultados'!$C$9:$BO$50,MATCH($B60,'Auxiliar Resultados'!$B$9:$B$50,0),MATCH(CONCATENATE($C60,AJ$7),'Auxiliar Resultados'!$C$6:$BO$6,0)),"")))</f>
        <v/>
      </c>
      <c r="AK60" s="52" t="str">
        <f>+IF(IF($B60="","",IFERROR(INDEX('Auxiliar Resultados'!$C$9:$BO$50,MATCH($B60,'Auxiliar Resultados'!$B$9:$B$50,0),MATCH(CONCATENATE($C60,AK$7),'Auxiliar Resultados'!$C$6:$BO$6,0)),""))=0,"",IF($B60="","",IFERROR(INDEX('Auxiliar Resultados'!$C$9:$BO$50,MATCH($B60,'Auxiliar Resultados'!$B$9:$B$50,0),MATCH(CONCATENATE($C60,AK$7),'Auxiliar Resultados'!$C$6:$BO$6,0)),"")))</f>
        <v/>
      </c>
      <c r="AL60" s="52" t="str">
        <f>+IF(IF($B60="","",IFERROR(INDEX('Auxiliar Resultados'!$C$9:$BO$50,MATCH($B60,'Auxiliar Resultados'!$B$9:$B$50,0),MATCH(CONCATENATE($C60,AL$7),'Auxiliar Resultados'!$C$6:$BO$6,0)),""))=0,"",IF($B60="","",IFERROR(INDEX('Auxiliar Resultados'!$C$9:$BO$50,MATCH($B60,'Auxiliar Resultados'!$B$9:$B$50,0),MATCH(CONCATENATE($C60,AL$7),'Auxiliar Resultados'!$C$6:$BO$6,0)),"")))</f>
        <v/>
      </c>
      <c r="AM60" s="52" t="str">
        <f>+IF(IF($B60="","",IFERROR(INDEX('Auxiliar Resultados'!$C$9:$BO$50,MATCH($B60,'Auxiliar Resultados'!$B$9:$B$50,0),MATCH(CONCATENATE($C60,AM$7),'Auxiliar Resultados'!$C$6:$BO$6,0)),""))=0,"",IF($B60="","",IFERROR(INDEX('Auxiliar Resultados'!$C$9:$BO$50,MATCH($B60,'Auxiliar Resultados'!$B$9:$B$50,0),MATCH(CONCATENATE($C60,AM$7),'Auxiliar Resultados'!$C$6:$BO$6,0)),"")))</f>
        <v/>
      </c>
      <c r="AN60" s="52" t="str">
        <f>+IF(IF($B60="","",IFERROR(INDEX('Auxiliar Resultados'!$C$9:$BO$50,MATCH($B60,'Auxiliar Resultados'!$B$9:$B$50,0),MATCH(CONCATENATE($C60,AN$7),'Auxiliar Resultados'!$C$6:$BO$6,0)),""))=0,"",IF($B60="","",IFERROR(INDEX('Auxiliar Resultados'!$C$9:$BO$50,MATCH($B60,'Auxiliar Resultados'!$B$9:$B$50,0),MATCH(CONCATENATE($C60,AN$7),'Auxiliar Resultados'!$C$6:$BO$6,0)),"")))</f>
        <v/>
      </c>
      <c r="AO60" s="52" t="str">
        <f>+IF(IF($B60="","",IFERROR(INDEX('Auxiliar Resultados'!$C$9:$BO$50,MATCH($B60,'Auxiliar Resultados'!$B$9:$B$50,0),MATCH(CONCATENATE($C60,AO$7),'Auxiliar Resultados'!$C$6:$BO$6,0)),""))=0,"",IF($B60="","",IFERROR(INDEX('Auxiliar Resultados'!$C$9:$BO$50,MATCH($B60,'Auxiliar Resultados'!$B$9:$B$50,0),MATCH(CONCATENATE($C60,AO$7),'Auxiliar Resultados'!$C$6:$BO$6,0)),"")))</f>
        <v/>
      </c>
      <c r="AP60" s="52" t="str">
        <f>+IF(IF($B60="","",IFERROR(INDEX('Auxiliar Resultados'!$C$9:$BO$50,MATCH($B60,'Auxiliar Resultados'!$B$9:$B$50,0),MATCH(CONCATENATE($C60,AP$7),'Auxiliar Resultados'!$C$6:$BO$6,0)),""))=0,"",IF($B60="","",IFERROR(INDEX('Auxiliar Resultados'!$C$9:$BO$50,MATCH($B60,'Auxiliar Resultados'!$B$9:$B$50,0),MATCH(CONCATENATE($C60,AP$7),'Auxiliar Resultados'!$C$6:$BO$6,0)),"")))</f>
        <v/>
      </c>
      <c r="AQ60" s="276" t="str">
        <f>+IF(IF($B60="","",IFERROR(INDEX('Auxiliar Resultados'!$C$9:$BO$50,MATCH($B60,'Auxiliar Resultados'!$B$9:$B$50,0),MATCH(CONCATENATE($C60,AQ$7),'Auxiliar Resultados'!$C$6:$BO$6,0)),""))=0,"",IF($B60="","",IFERROR(INDEX('Auxiliar Resultados'!$C$9:$BO$50,MATCH($B60,'Auxiliar Resultados'!$B$9:$B$50,0),MATCH(CONCATENATE($C60,AQ$7),'Auxiliar Resultados'!$C$6:$BO$6,0)),"")))</f>
        <v/>
      </c>
      <c r="AS60" s="46" t="str">
        <f t="shared" si="5"/>
        <v/>
      </c>
      <c r="AT60" s="292" t="str">
        <f t="shared" si="6"/>
        <v/>
      </c>
      <c r="AU60" s="36" t="str">
        <f>+IF(G60="","",INDEX('Modelo Optimización'!$AZ$4:$CO$149,MATCH(CONCATENATE(AU$7,$AT60),'Modelo Optimización'!$CQ$4:$CQ$149,0),MATCH($AS60,'Modelo Optimización'!$AZ$3:$CO$3,0)))</f>
        <v/>
      </c>
      <c r="AV60" s="32" t="str">
        <f>+IF(H60="","",INDEX('Modelo Optimización'!$AZ$4:$CO$149,MATCH(CONCATENATE(AV$7,$AT60),'Modelo Optimización'!$CQ$4:$CQ$149,0),MATCH($AS60,'Modelo Optimización'!$AZ$3:$CO$3,0)))</f>
        <v/>
      </c>
      <c r="AW60" s="32" t="str">
        <f>+IF(I60="","",INDEX('Modelo Optimización'!$AZ$4:$CO$149,MATCH(CONCATENATE(AW$7,$AT60),'Modelo Optimización'!$CQ$4:$CQ$149,0),MATCH($AS60,'Modelo Optimización'!$AZ$3:$CO$3,0)))</f>
        <v/>
      </c>
      <c r="AX60" s="32" t="str">
        <f>+IF(J60="","",INDEX('Modelo Optimización'!$AZ$4:$CO$149,MATCH(CONCATENATE(AX$7,$AT60),'Modelo Optimización'!$CQ$4:$CQ$149,0),MATCH($AS60,'Modelo Optimización'!$AZ$3:$CO$3,0)))</f>
        <v/>
      </c>
      <c r="AY60" s="32" t="str">
        <f>+IF(K60="","",INDEX('Modelo Optimización'!$AZ$4:$CO$149,MATCH(CONCATENATE(AY$7,$AT60),'Modelo Optimización'!$CQ$4:$CQ$149,0),MATCH($AS60,'Modelo Optimización'!$AZ$3:$CO$3,0)))</f>
        <v/>
      </c>
      <c r="AZ60" s="32" t="str">
        <f>+IF(L60="","",INDEX('Modelo Optimización'!$AZ$4:$CO$149,MATCH(CONCATENATE(AZ$7,$AT60),'Modelo Optimización'!$CQ$4:$CQ$149,0),MATCH($AS60,'Modelo Optimización'!$AZ$3:$CO$3,0)))</f>
        <v/>
      </c>
      <c r="BA60" s="32" t="str">
        <f>+IF(M60="","",INDEX('Modelo Optimización'!$AZ$4:$CO$149,MATCH(CONCATENATE(BA$7,$AT60),'Modelo Optimización'!$CQ$4:$CQ$149,0),MATCH($AS60,'Modelo Optimización'!$AZ$3:$CO$3,0)))</f>
        <v/>
      </c>
      <c r="BB60" s="32" t="str">
        <f>+IF(N60="","",INDEX('Modelo Optimización'!$AZ$4:$CO$149,MATCH(CONCATENATE(BB$7,$AT60),'Modelo Optimización'!$CQ$4:$CQ$149,0),MATCH($AS60,'Modelo Optimización'!$AZ$3:$CO$3,0)))</f>
        <v/>
      </c>
      <c r="BC60" s="32" t="str">
        <f>+IF(O60="","",INDEX('Modelo Optimización'!$AZ$4:$CO$149,MATCH(CONCATENATE(BC$7,$AT60),'Modelo Optimización'!$CQ$4:$CQ$149,0),MATCH($AS60,'Modelo Optimización'!$AZ$3:$CO$3,0)))</f>
        <v/>
      </c>
      <c r="BD60" s="32" t="str">
        <f>+IF(P60="","",INDEX('Modelo Optimización'!$AZ$4:$CO$149,MATCH(CONCATENATE(BD$7,$AT60),'Modelo Optimización'!$CQ$4:$CQ$149,0),MATCH($AS60,'Modelo Optimización'!$AZ$3:$CO$3,0)))</f>
        <v/>
      </c>
      <c r="BE60" s="32" t="str">
        <f>+IF(Q60="","",INDEX('Modelo Optimización'!$AZ$4:$CO$149,MATCH(CONCATENATE(BE$7,$AT60),'Modelo Optimización'!$CQ$4:$CQ$149,0),MATCH($AS60,'Modelo Optimización'!$AZ$3:$CO$3,0)))</f>
        <v/>
      </c>
      <c r="BF60" s="32" t="str">
        <f>+IF(R60="","",INDEX('Modelo Optimización'!$AZ$4:$CO$149,MATCH(CONCATENATE(BF$7,$AT60),'Modelo Optimización'!$CQ$4:$CQ$149,0),MATCH($AS60,'Modelo Optimización'!$AZ$3:$CO$3,0)))</f>
        <v/>
      </c>
      <c r="BG60" s="32" t="str">
        <f>+IF(S60="","",INDEX('Modelo Optimización'!$AZ$4:$CO$149,MATCH(CONCATENATE(BG$7,$AT60),'Modelo Optimización'!$CQ$4:$CQ$149,0),MATCH($AS60,'Modelo Optimización'!$AZ$3:$CO$3,0)))</f>
        <v/>
      </c>
      <c r="BH60" s="32" t="str">
        <f>+IF(T60="","",INDEX('Modelo Optimización'!$AZ$4:$CO$149,MATCH(CONCATENATE(BH$7,$AT60),'Modelo Optimización'!$CQ$4:$CQ$149,0),MATCH($AS60,'Modelo Optimización'!$AZ$3:$CO$3,0)))</f>
        <v/>
      </c>
      <c r="BI60" s="32" t="str">
        <f>+IF(U60="","",INDEX('Modelo Optimización'!$AZ$4:$CO$149,MATCH(CONCATENATE(BI$7,$AT60),'Modelo Optimización'!$CQ$4:$CQ$149,0),MATCH($AS60,'Modelo Optimización'!$AZ$3:$CO$3,0)))</f>
        <v/>
      </c>
      <c r="BJ60" s="32" t="str">
        <f>+IF(V60="","",INDEX('Modelo Optimización'!$AZ$4:$CO$149,MATCH(CONCATENATE(BJ$7,$AT60),'Modelo Optimización'!$CQ$4:$CQ$149,0),MATCH($AS60,'Modelo Optimización'!$AZ$3:$CO$3,0)))</f>
        <v/>
      </c>
      <c r="BK60" s="32" t="str">
        <f>+IF(W60="","",INDEX('Modelo Optimización'!$AZ$4:$CO$149,MATCH(CONCATENATE(BK$7,$AT60),'Modelo Optimización'!$CQ$4:$CQ$149,0),MATCH($AS60,'Modelo Optimización'!$AZ$3:$CO$3,0)))</f>
        <v/>
      </c>
      <c r="BL60" s="32" t="str">
        <f>+IF(X60="","",INDEX('Modelo Optimización'!$AZ$4:$CO$149,MATCH(CONCATENATE(BL$7,$AT60),'Modelo Optimización'!$CQ$4:$CQ$149,0),MATCH($AS60,'Modelo Optimización'!$AZ$3:$CO$3,0)))</f>
        <v/>
      </c>
      <c r="BM60" s="32" t="str">
        <f>+IF(Y60="","",INDEX('Modelo Optimización'!$AZ$4:$CO$149,MATCH(CONCATENATE(BM$7,$AT60),'Modelo Optimización'!$CQ$4:$CQ$149,0),MATCH($AS60,'Modelo Optimización'!$AZ$3:$CO$3,0)))</f>
        <v/>
      </c>
      <c r="BN60" s="32" t="str">
        <f>+IF(Z60="","",INDEX('Modelo Optimización'!$AZ$4:$CO$149,MATCH(CONCATENATE(BN$7,$AT60),'Modelo Optimización'!$CQ$4:$CQ$149,0),MATCH($AS60,'Modelo Optimización'!$AZ$3:$CO$3,0)))</f>
        <v/>
      </c>
      <c r="BO60" s="32" t="str">
        <f>+IF(AA60="","",INDEX('Modelo Optimización'!$AZ$4:$CO$149,MATCH(CONCATENATE(BO$7,$AT60),'Modelo Optimización'!$CQ$4:$CQ$149,0),MATCH($AS60,'Modelo Optimización'!$AZ$3:$CO$3,0)))</f>
        <v/>
      </c>
      <c r="BP60" s="32" t="str">
        <f>+IF(AB60="","",INDEX('Modelo Optimización'!$AZ$4:$CO$149,MATCH(CONCATENATE(BP$7,$AT60),'Modelo Optimización'!$CQ$4:$CQ$149,0),MATCH($AS60,'Modelo Optimización'!$AZ$3:$CO$3,0)))</f>
        <v/>
      </c>
      <c r="BQ60" s="32" t="str">
        <f>+IF(AC60="","",INDEX('Modelo Optimización'!$AZ$4:$CO$149,MATCH(CONCATENATE(BQ$7,$AT60),'Modelo Optimización'!$CQ$4:$CQ$149,0),MATCH($AS60,'Modelo Optimización'!$AZ$3:$CO$3,0)))</f>
        <v/>
      </c>
      <c r="BR60" s="32" t="str">
        <f>+IF(AD60="","",INDEX('Modelo Optimización'!$AZ$4:$CO$149,MATCH(CONCATENATE(BR$7,$AT60),'Modelo Optimización'!$CQ$4:$CQ$149,0),MATCH($AS60,'Modelo Optimización'!$AZ$3:$CO$3,0)))</f>
        <v/>
      </c>
      <c r="BS60" s="32" t="str">
        <f>+IF(AE60="","",INDEX('Modelo Optimización'!$AZ$4:$CO$149,MATCH(CONCATENATE(BS$7,$AT60),'Modelo Optimización'!$CQ$4:$CQ$149,0),MATCH($AS60,'Modelo Optimización'!$AZ$3:$CO$3,0)))</f>
        <v/>
      </c>
      <c r="BT60" s="32" t="str">
        <f>+IF(AF60="","",INDEX('Modelo Optimización'!$AZ$4:$CO$149,MATCH(CONCATENATE(BT$7,$AT60),'Modelo Optimización'!$CQ$4:$CQ$149,0),MATCH($AS60,'Modelo Optimización'!$AZ$3:$CO$3,0)))</f>
        <v/>
      </c>
      <c r="BU60" s="32" t="str">
        <f>+IF(AG60="","",INDEX('Modelo Optimización'!$AZ$4:$CO$149,MATCH(CONCATENATE(BU$7,$AT60),'Modelo Optimización'!$CQ$4:$CQ$149,0),MATCH($AS60,'Modelo Optimización'!$AZ$3:$CO$3,0)))</f>
        <v/>
      </c>
      <c r="BV60" s="32" t="str">
        <f>+IF(AH60="","",INDEX('Modelo Optimización'!$AZ$4:$CO$149,MATCH(CONCATENATE(BV$7,$AT60),'Modelo Optimización'!$CQ$4:$CQ$149,0),MATCH($AS60,'Modelo Optimización'!$AZ$3:$CO$3,0)))</f>
        <v/>
      </c>
      <c r="BW60" s="32" t="str">
        <f>+IF(AI60="","",INDEX('Modelo Optimización'!$AZ$4:$CO$149,MATCH(CONCATENATE(BW$7,$AT60),'Modelo Optimización'!$CQ$4:$CQ$149,0),MATCH($AS60,'Modelo Optimización'!$AZ$3:$CO$3,0)))</f>
        <v/>
      </c>
      <c r="BX60" s="32" t="str">
        <f>+IF(AJ60="","",INDEX('Modelo Optimización'!$AZ$4:$CO$149,MATCH(CONCATENATE(BX$7,$AT60),'Modelo Optimización'!$CQ$4:$CQ$149,0),MATCH($AS60,'Modelo Optimización'!$AZ$3:$CO$3,0)))</f>
        <v/>
      </c>
      <c r="BY60" s="32" t="str">
        <f>+IF(AK60="","",INDEX('Modelo Optimización'!$AZ$4:$CO$149,MATCH(CONCATENATE(BY$7,$AT60),'Modelo Optimización'!$CQ$4:$CQ$149,0),MATCH($AS60,'Modelo Optimización'!$AZ$3:$CO$3,0)))</f>
        <v/>
      </c>
      <c r="BZ60" s="32" t="str">
        <f>+IF(AL60="","",INDEX('Modelo Optimización'!$AZ$4:$CO$149,MATCH(CONCATENATE(BZ$7,$AT60),'Modelo Optimización'!$CQ$4:$CQ$149,0),MATCH($AS60,'Modelo Optimización'!$AZ$3:$CO$3,0)))</f>
        <v/>
      </c>
      <c r="CA60" s="32" t="str">
        <f>+IF(AM60="","",INDEX('Modelo Optimización'!$AZ$4:$CO$149,MATCH(CONCATENATE(CA$7,$AT60),'Modelo Optimización'!$CQ$4:$CQ$149,0),MATCH($AS60,'Modelo Optimización'!$AZ$3:$CO$3,0)))</f>
        <v/>
      </c>
      <c r="CB60" s="32" t="str">
        <f>+IF(AN60="","",INDEX('Modelo Optimización'!$AZ$4:$CO$149,MATCH(CONCATENATE(CB$7,$AT60),'Modelo Optimización'!$CQ$4:$CQ$149,0),MATCH($AS60,'Modelo Optimización'!$AZ$3:$CO$3,0)))</f>
        <v/>
      </c>
      <c r="CC60" s="32" t="str">
        <f>+IF(AO60="","",INDEX('Modelo Optimización'!$AZ$4:$CO$149,MATCH(CONCATENATE(CC$7,$AT60),'Modelo Optimización'!$CQ$4:$CQ$149,0),MATCH($AS60,'Modelo Optimización'!$AZ$3:$CO$3,0)))</f>
        <v/>
      </c>
      <c r="CD60" s="32" t="str">
        <f>+IF(AP60="","",INDEX('Modelo Optimización'!$AZ$4:$CO$149,MATCH(CONCATENATE(CD$7,$AT60),'Modelo Optimización'!$CQ$4:$CQ$149,0),MATCH($AS60,'Modelo Optimización'!$AZ$3:$CO$3,0)))</f>
        <v/>
      </c>
      <c r="CE60" s="37" t="str">
        <f>+IF(AQ60="","",INDEX('Modelo Optimización'!$AZ$4:$CO$149,MATCH(CONCATENATE(CE$7,$AT60),'Modelo Optimización'!$CQ$4:$CQ$149,0),MATCH($AS60,'Modelo Optimización'!$AZ$3:$CO$3,0)))</f>
        <v/>
      </c>
      <c r="CF60" s="301"/>
      <c r="CG60" s="305" t="str">
        <f t="shared" si="11"/>
        <v/>
      </c>
      <c r="CH60" s="303" t="str">
        <f t="shared" si="7"/>
        <v/>
      </c>
      <c r="CI60" s="292" t="str">
        <f t="shared" si="8"/>
        <v/>
      </c>
      <c r="CJ60" s="36" t="str">
        <f t="shared" si="12"/>
        <v/>
      </c>
      <c r="CK60" s="32" t="str">
        <f t="shared" si="13"/>
        <v/>
      </c>
      <c r="CL60" s="32" t="str">
        <f t="shared" si="14"/>
        <v/>
      </c>
      <c r="CM60" s="32" t="str">
        <f t="shared" si="15"/>
        <v/>
      </c>
      <c r="CN60" s="32" t="str">
        <f t="shared" si="16"/>
        <v/>
      </c>
      <c r="CO60" s="32" t="str">
        <f t="shared" si="17"/>
        <v/>
      </c>
      <c r="CP60" s="32" t="str">
        <f t="shared" si="18"/>
        <v/>
      </c>
      <c r="CQ60" s="32" t="str">
        <f t="shared" si="19"/>
        <v/>
      </c>
      <c r="CR60" s="32" t="str">
        <f t="shared" si="20"/>
        <v/>
      </c>
      <c r="CS60" s="32" t="str">
        <f t="shared" si="21"/>
        <v/>
      </c>
      <c r="CT60" s="32" t="str">
        <f t="shared" si="22"/>
        <v/>
      </c>
      <c r="CU60" s="32" t="str">
        <f t="shared" si="23"/>
        <v/>
      </c>
      <c r="CV60" s="32" t="str">
        <f t="shared" si="24"/>
        <v/>
      </c>
      <c r="CW60" s="32" t="str">
        <f t="shared" si="25"/>
        <v/>
      </c>
      <c r="CX60" s="32" t="str">
        <f t="shared" si="26"/>
        <v/>
      </c>
      <c r="CY60" s="32" t="str">
        <f t="shared" si="27"/>
        <v/>
      </c>
      <c r="CZ60" s="32" t="str">
        <f t="shared" si="28"/>
        <v/>
      </c>
      <c r="DA60" s="32" t="str">
        <f t="shared" si="29"/>
        <v/>
      </c>
      <c r="DB60" s="32" t="str">
        <f t="shared" si="30"/>
        <v/>
      </c>
      <c r="DC60" s="32" t="str">
        <f t="shared" si="31"/>
        <v/>
      </c>
      <c r="DD60" s="32" t="str">
        <f t="shared" si="32"/>
        <v/>
      </c>
      <c r="DE60" s="32" t="str">
        <f t="shared" si="33"/>
        <v/>
      </c>
      <c r="DF60" s="32" t="str">
        <f t="shared" si="34"/>
        <v/>
      </c>
      <c r="DG60" s="32" t="str">
        <f t="shared" si="35"/>
        <v/>
      </c>
      <c r="DH60" s="32" t="str">
        <f t="shared" si="36"/>
        <v/>
      </c>
      <c r="DI60" s="32" t="str">
        <f t="shared" si="37"/>
        <v/>
      </c>
      <c r="DJ60" s="32" t="str">
        <f t="shared" si="38"/>
        <v/>
      </c>
      <c r="DK60" s="32" t="str">
        <f t="shared" si="39"/>
        <v/>
      </c>
      <c r="DL60" s="32" t="str">
        <f t="shared" si="40"/>
        <v/>
      </c>
      <c r="DM60" s="32" t="str">
        <f t="shared" si="41"/>
        <v/>
      </c>
      <c r="DN60" s="32" t="str">
        <f t="shared" si="42"/>
        <v/>
      </c>
      <c r="DO60" s="32" t="str">
        <f t="shared" si="43"/>
        <v/>
      </c>
      <c r="DP60" s="32" t="str">
        <f t="shared" si="44"/>
        <v/>
      </c>
      <c r="DQ60" s="32" t="str">
        <f t="shared" si="45"/>
        <v/>
      </c>
      <c r="DR60" s="32" t="str">
        <f t="shared" si="46"/>
        <v/>
      </c>
      <c r="DS60" s="32" t="str">
        <f t="shared" si="47"/>
        <v/>
      </c>
      <c r="DT60" s="37" t="str">
        <f t="shared" si="48"/>
        <v/>
      </c>
    </row>
    <row r="61" spans="2:124" x14ac:dyDescent="0.35">
      <c r="B61" s="46"/>
      <c r="C61" s="212"/>
      <c r="D61" s="52"/>
      <c r="E61" s="52" t="str">
        <f>+IF(B61="","",IFERROR(SUMIF('Modelo Optimización'!$AS$72:$AS$217,C61,INDEX('Modelo Optimización'!$C$72:$AR$217,,MATCH(B61,'Modelo Optimización'!$C$71:$AR$71,0))),0))</f>
        <v/>
      </c>
      <c r="F61" s="281" t="str">
        <f t="shared" si="10"/>
        <v/>
      </c>
      <c r="G61" s="280" t="str">
        <f>+IF(IF($B61="","",IFERROR(INDEX('Auxiliar Resultados'!$C$9:$BO$50,MATCH($B61,'Auxiliar Resultados'!$B$9:$B$50,0),MATCH(CONCATENATE($C61,G$7),'Auxiliar Resultados'!$C$6:$BO$6,0)),""))=0,"",IF($B61="","",IFERROR(INDEX('Auxiliar Resultados'!$C$9:$BO$50,MATCH($B61,'Auxiliar Resultados'!$B$9:$B$50,0),MATCH(CONCATENATE($C61,G$7),'Auxiliar Resultados'!$C$6:$BO$6,0)),"")))</f>
        <v/>
      </c>
      <c r="H61" s="52" t="str">
        <f>+IF(IF($B61="","",IFERROR(INDEX('Auxiliar Resultados'!$C$9:$BO$50,MATCH($B61,'Auxiliar Resultados'!$B$9:$B$50,0),MATCH(CONCATENATE($C61,H$7),'Auxiliar Resultados'!$C$6:$BO$6,0)),""))=0,"",IF($B61="","",IFERROR(INDEX('Auxiliar Resultados'!$C$9:$BO$50,MATCH($B61,'Auxiliar Resultados'!$B$9:$B$50,0),MATCH(CONCATENATE($C61,H$7),'Auxiliar Resultados'!$C$6:$BO$6,0)),"")))</f>
        <v/>
      </c>
      <c r="I61" s="52" t="str">
        <f>+IF(IF($B61="","",IFERROR(INDEX('Auxiliar Resultados'!$C$9:$BO$50,MATCH($B61,'Auxiliar Resultados'!$B$9:$B$50,0),MATCH(CONCATENATE($C61,I$7),'Auxiliar Resultados'!$C$6:$BO$6,0)),""))=0,"",IF($B61="","",IFERROR(INDEX('Auxiliar Resultados'!$C$9:$BO$50,MATCH($B61,'Auxiliar Resultados'!$B$9:$B$50,0),MATCH(CONCATENATE($C61,I$7),'Auxiliar Resultados'!$C$6:$BO$6,0)),"")))</f>
        <v/>
      </c>
      <c r="J61" s="52" t="str">
        <f>+IF(IF($B61="","",IFERROR(INDEX('Auxiliar Resultados'!$C$9:$BO$50,MATCH($B61,'Auxiliar Resultados'!$B$9:$B$50,0),MATCH(CONCATENATE($C61,J$7),'Auxiliar Resultados'!$C$6:$BO$6,0)),""))=0,"",IF($B61="","",IFERROR(INDEX('Auxiliar Resultados'!$C$9:$BO$50,MATCH($B61,'Auxiliar Resultados'!$B$9:$B$50,0),MATCH(CONCATENATE($C61,J$7),'Auxiliar Resultados'!$C$6:$BO$6,0)),"")))</f>
        <v/>
      </c>
      <c r="K61" s="52" t="str">
        <f>+IF(IF($B61="","",IFERROR(INDEX('Auxiliar Resultados'!$C$9:$BO$50,MATCH($B61,'Auxiliar Resultados'!$B$9:$B$50,0),MATCH(CONCATENATE($C61,K$7),'Auxiliar Resultados'!$C$6:$BO$6,0)),""))=0,"",IF($B61="","",IFERROR(INDEX('Auxiliar Resultados'!$C$9:$BO$50,MATCH($B61,'Auxiliar Resultados'!$B$9:$B$50,0),MATCH(CONCATENATE($C61,K$7),'Auxiliar Resultados'!$C$6:$BO$6,0)),"")))</f>
        <v/>
      </c>
      <c r="L61" s="52" t="str">
        <f>+IF(IF($B61="","",IFERROR(INDEX('Auxiliar Resultados'!$C$9:$BO$50,MATCH($B61,'Auxiliar Resultados'!$B$9:$B$50,0),MATCH(CONCATENATE($C61,L$7),'Auxiliar Resultados'!$C$6:$BO$6,0)),""))=0,"",IF($B61="","",IFERROR(INDEX('Auxiliar Resultados'!$C$9:$BO$50,MATCH($B61,'Auxiliar Resultados'!$B$9:$B$50,0),MATCH(CONCATENATE($C61,L$7),'Auxiliar Resultados'!$C$6:$BO$6,0)),"")))</f>
        <v/>
      </c>
      <c r="M61" s="52" t="str">
        <f>+IF(IF($B61="","",IFERROR(INDEX('Auxiliar Resultados'!$C$9:$BO$50,MATCH($B61,'Auxiliar Resultados'!$B$9:$B$50,0),MATCH(CONCATENATE($C61,M$7),'Auxiliar Resultados'!$C$6:$BO$6,0)),""))=0,"",IF($B61="","",IFERROR(INDEX('Auxiliar Resultados'!$C$9:$BO$50,MATCH($B61,'Auxiliar Resultados'!$B$9:$B$50,0),MATCH(CONCATENATE($C61,M$7),'Auxiliar Resultados'!$C$6:$BO$6,0)),"")))</f>
        <v/>
      </c>
      <c r="N61" s="52" t="str">
        <f>+IF(IF($B61="","",IFERROR(INDEX('Auxiliar Resultados'!$C$9:$BO$50,MATCH($B61,'Auxiliar Resultados'!$B$9:$B$50,0),MATCH(CONCATENATE($C61,N$7),'Auxiliar Resultados'!$C$6:$BO$6,0)),""))=0,"",IF($B61="","",IFERROR(INDEX('Auxiliar Resultados'!$C$9:$BO$50,MATCH($B61,'Auxiliar Resultados'!$B$9:$B$50,0),MATCH(CONCATENATE($C61,N$7),'Auxiliar Resultados'!$C$6:$BO$6,0)),"")))</f>
        <v/>
      </c>
      <c r="O61" s="52" t="str">
        <f>+IF(IF($B61="","",IFERROR(INDEX('Auxiliar Resultados'!$C$9:$BO$50,MATCH($B61,'Auxiliar Resultados'!$B$9:$B$50,0),MATCH(CONCATENATE($C61,O$7),'Auxiliar Resultados'!$C$6:$BO$6,0)),""))=0,"",IF($B61="","",IFERROR(INDEX('Auxiliar Resultados'!$C$9:$BO$50,MATCH($B61,'Auxiliar Resultados'!$B$9:$B$50,0),MATCH(CONCATENATE($C61,O$7),'Auxiliar Resultados'!$C$6:$BO$6,0)),"")))</f>
        <v/>
      </c>
      <c r="P61" s="52" t="str">
        <f>+IF(IF($B61="","",IFERROR(INDEX('Auxiliar Resultados'!$C$9:$BO$50,MATCH($B61,'Auxiliar Resultados'!$B$9:$B$50,0),MATCH(CONCATENATE($C61,P$7),'Auxiliar Resultados'!$C$6:$BO$6,0)),""))=0,"",IF($B61="","",IFERROR(INDEX('Auxiliar Resultados'!$C$9:$BO$50,MATCH($B61,'Auxiliar Resultados'!$B$9:$B$50,0),MATCH(CONCATENATE($C61,P$7),'Auxiliar Resultados'!$C$6:$BO$6,0)),"")))</f>
        <v/>
      </c>
      <c r="Q61" s="52" t="str">
        <f>+IF(IF($B61="","",IFERROR(INDEX('Auxiliar Resultados'!$C$9:$BO$50,MATCH($B61,'Auxiliar Resultados'!$B$9:$B$50,0),MATCH(CONCATENATE($C61,Q$7),'Auxiliar Resultados'!$C$6:$BO$6,0)),""))=0,"",IF($B61="","",IFERROR(INDEX('Auxiliar Resultados'!$C$9:$BO$50,MATCH($B61,'Auxiliar Resultados'!$B$9:$B$50,0),MATCH(CONCATENATE($C61,Q$7),'Auxiliar Resultados'!$C$6:$BO$6,0)),"")))</f>
        <v/>
      </c>
      <c r="R61" s="52" t="str">
        <f>+IF(IF($B61="","",IFERROR(INDEX('Auxiliar Resultados'!$C$9:$BO$50,MATCH($B61,'Auxiliar Resultados'!$B$9:$B$50,0),MATCH(CONCATENATE($C61,R$7),'Auxiliar Resultados'!$C$6:$BO$6,0)),""))=0,"",IF($B61="","",IFERROR(INDEX('Auxiliar Resultados'!$C$9:$BO$50,MATCH($B61,'Auxiliar Resultados'!$B$9:$B$50,0),MATCH(CONCATENATE($C61,R$7),'Auxiliar Resultados'!$C$6:$BO$6,0)),"")))</f>
        <v/>
      </c>
      <c r="S61" s="52" t="str">
        <f>+IF(IF($B61="","",IFERROR(INDEX('Auxiliar Resultados'!$C$9:$BO$50,MATCH($B61,'Auxiliar Resultados'!$B$9:$B$50,0),MATCH(CONCATENATE($C61,S$7),'Auxiliar Resultados'!$C$6:$BO$6,0)),""))=0,"",IF($B61="","",IFERROR(INDEX('Auxiliar Resultados'!$C$9:$BO$50,MATCH($B61,'Auxiliar Resultados'!$B$9:$B$50,0),MATCH(CONCATENATE($C61,S$7),'Auxiliar Resultados'!$C$6:$BO$6,0)),"")))</f>
        <v/>
      </c>
      <c r="T61" s="52" t="str">
        <f>+IF(IF($B61="","",IFERROR(INDEX('Auxiliar Resultados'!$C$9:$BO$50,MATCH($B61,'Auxiliar Resultados'!$B$9:$B$50,0),MATCH(CONCATENATE($C61,T$7),'Auxiliar Resultados'!$C$6:$BO$6,0)),""))=0,"",IF($B61="","",IFERROR(INDEX('Auxiliar Resultados'!$C$9:$BO$50,MATCH($B61,'Auxiliar Resultados'!$B$9:$B$50,0),MATCH(CONCATENATE($C61,T$7),'Auxiliar Resultados'!$C$6:$BO$6,0)),"")))</f>
        <v/>
      </c>
      <c r="U61" s="52" t="str">
        <f>+IF(IF($B61="","",IFERROR(INDEX('Auxiliar Resultados'!$C$9:$BO$50,MATCH($B61,'Auxiliar Resultados'!$B$9:$B$50,0),MATCH(CONCATENATE($C61,U$7),'Auxiliar Resultados'!$C$6:$BO$6,0)),""))=0,"",IF($B61="","",IFERROR(INDEX('Auxiliar Resultados'!$C$9:$BO$50,MATCH($B61,'Auxiliar Resultados'!$B$9:$B$50,0),MATCH(CONCATENATE($C61,U$7),'Auxiliar Resultados'!$C$6:$BO$6,0)),"")))</f>
        <v/>
      </c>
      <c r="V61" s="52" t="str">
        <f>+IF(IF($B61="","",IFERROR(INDEX('Auxiliar Resultados'!$C$9:$BO$50,MATCH($B61,'Auxiliar Resultados'!$B$9:$B$50,0),MATCH(CONCATENATE($C61,V$7),'Auxiliar Resultados'!$C$6:$BO$6,0)),""))=0,"",IF($B61="","",IFERROR(INDEX('Auxiliar Resultados'!$C$9:$BO$50,MATCH($B61,'Auxiliar Resultados'!$B$9:$B$50,0),MATCH(CONCATENATE($C61,V$7),'Auxiliar Resultados'!$C$6:$BO$6,0)),"")))</f>
        <v/>
      </c>
      <c r="W61" s="52" t="str">
        <f>+IF(IF($B61="","",IFERROR(INDEX('Auxiliar Resultados'!$C$9:$BO$50,MATCH($B61,'Auxiliar Resultados'!$B$9:$B$50,0),MATCH(CONCATENATE($C61,W$7),'Auxiliar Resultados'!$C$6:$BO$6,0)),""))=0,"",IF($B61="","",IFERROR(INDEX('Auxiliar Resultados'!$C$9:$BO$50,MATCH($B61,'Auxiliar Resultados'!$B$9:$B$50,0),MATCH(CONCATENATE($C61,W$7),'Auxiliar Resultados'!$C$6:$BO$6,0)),"")))</f>
        <v/>
      </c>
      <c r="X61" s="52" t="str">
        <f>+IF(IF($B61="","",IFERROR(INDEX('Auxiliar Resultados'!$C$9:$BO$50,MATCH($B61,'Auxiliar Resultados'!$B$9:$B$50,0),MATCH(CONCATENATE($C61,X$7),'Auxiliar Resultados'!$C$6:$BO$6,0)),""))=0,"",IF($B61="","",IFERROR(INDEX('Auxiliar Resultados'!$C$9:$BO$50,MATCH($B61,'Auxiliar Resultados'!$B$9:$B$50,0),MATCH(CONCATENATE($C61,X$7),'Auxiliar Resultados'!$C$6:$BO$6,0)),"")))</f>
        <v/>
      </c>
      <c r="Y61" s="52" t="str">
        <f>+IF(IF($B61="","",IFERROR(INDEX('Auxiliar Resultados'!$C$9:$BO$50,MATCH($B61,'Auxiliar Resultados'!$B$9:$B$50,0),MATCH(CONCATENATE($C61,Y$7),'Auxiliar Resultados'!$C$6:$BO$6,0)),""))=0,"",IF($B61="","",IFERROR(INDEX('Auxiliar Resultados'!$C$9:$BO$50,MATCH($B61,'Auxiliar Resultados'!$B$9:$B$50,0),MATCH(CONCATENATE($C61,Y$7),'Auxiliar Resultados'!$C$6:$BO$6,0)),"")))</f>
        <v/>
      </c>
      <c r="Z61" s="52" t="str">
        <f>+IF(IF($B61="","",IFERROR(INDEX('Auxiliar Resultados'!$C$9:$BO$50,MATCH($B61,'Auxiliar Resultados'!$B$9:$B$50,0),MATCH(CONCATENATE($C61,Z$7),'Auxiliar Resultados'!$C$6:$BO$6,0)),""))=0,"",IF($B61="","",IFERROR(INDEX('Auxiliar Resultados'!$C$9:$BO$50,MATCH($B61,'Auxiliar Resultados'!$B$9:$B$50,0),MATCH(CONCATENATE($C61,Z$7),'Auxiliar Resultados'!$C$6:$BO$6,0)),"")))</f>
        <v/>
      </c>
      <c r="AA61" s="52" t="str">
        <f>+IF(IF($B61="","",IFERROR(INDEX('Auxiliar Resultados'!$C$9:$BO$50,MATCH($B61,'Auxiliar Resultados'!$B$9:$B$50,0),MATCH(CONCATENATE($C61,AA$7),'Auxiliar Resultados'!$C$6:$BO$6,0)),""))=0,"",IF($B61="","",IFERROR(INDEX('Auxiliar Resultados'!$C$9:$BO$50,MATCH($B61,'Auxiliar Resultados'!$B$9:$B$50,0),MATCH(CONCATENATE($C61,AA$7),'Auxiliar Resultados'!$C$6:$BO$6,0)),"")))</f>
        <v/>
      </c>
      <c r="AB61" s="52" t="str">
        <f>+IF(IF($B61="","",IFERROR(INDEX('Auxiliar Resultados'!$C$9:$BO$50,MATCH($B61,'Auxiliar Resultados'!$B$9:$B$50,0),MATCH(CONCATENATE($C61,AB$7),'Auxiliar Resultados'!$C$6:$BO$6,0)),""))=0,"",IF($B61="","",IFERROR(INDEX('Auxiliar Resultados'!$C$9:$BO$50,MATCH($B61,'Auxiliar Resultados'!$B$9:$B$50,0),MATCH(CONCATENATE($C61,AB$7),'Auxiliar Resultados'!$C$6:$BO$6,0)),"")))</f>
        <v/>
      </c>
      <c r="AC61" s="52" t="str">
        <f>+IF(IF($B61="","",IFERROR(INDEX('Auxiliar Resultados'!$C$9:$BO$50,MATCH($B61,'Auxiliar Resultados'!$B$9:$B$50,0),MATCH(CONCATENATE($C61,AC$7),'Auxiliar Resultados'!$C$6:$BO$6,0)),""))=0,"",IF($B61="","",IFERROR(INDEX('Auxiliar Resultados'!$C$9:$BO$50,MATCH($B61,'Auxiliar Resultados'!$B$9:$B$50,0),MATCH(CONCATENATE($C61,AC$7),'Auxiliar Resultados'!$C$6:$BO$6,0)),"")))</f>
        <v/>
      </c>
      <c r="AD61" s="52" t="str">
        <f>+IF(IF($B61="","",IFERROR(INDEX('Auxiliar Resultados'!$C$9:$BO$50,MATCH($B61,'Auxiliar Resultados'!$B$9:$B$50,0),MATCH(CONCATENATE($C61,AD$7),'Auxiliar Resultados'!$C$6:$BO$6,0)),""))=0,"",IF($B61="","",IFERROR(INDEX('Auxiliar Resultados'!$C$9:$BO$50,MATCH($B61,'Auxiliar Resultados'!$B$9:$B$50,0),MATCH(CONCATENATE($C61,AD$7),'Auxiliar Resultados'!$C$6:$BO$6,0)),"")))</f>
        <v/>
      </c>
      <c r="AE61" s="52" t="str">
        <f>+IF(IF($B61="","",IFERROR(INDEX('Auxiliar Resultados'!$C$9:$BO$50,MATCH($B61,'Auxiliar Resultados'!$B$9:$B$50,0),MATCH(CONCATENATE($C61,AE$7),'Auxiliar Resultados'!$C$6:$BO$6,0)),""))=0,"",IF($B61="","",IFERROR(INDEX('Auxiliar Resultados'!$C$9:$BO$50,MATCH($B61,'Auxiliar Resultados'!$B$9:$B$50,0),MATCH(CONCATENATE($C61,AE$7),'Auxiliar Resultados'!$C$6:$BO$6,0)),"")))</f>
        <v/>
      </c>
      <c r="AF61" s="52" t="str">
        <f>+IF(IF($B61="","",IFERROR(INDEX('Auxiliar Resultados'!$C$9:$BO$50,MATCH($B61,'Auxiliar Resultados'!$B$9:$B$50,0),MATCH(CONCATENATE($C61,AF$7),'Auxiliar Resultados'!$C$6:$BO$6,0)),""))=0,"",IF($B61="","",IFERROR(INDEX('Auxiliar Resultados'!$C$9:$BO$50,MATCH($B61,'Auxiliar Resultados'!$B$9:$B$50,0),MATCH(CONCATENATE($C61,AF$7),'Auxiliar Resultados'!$C$6:$BO$6,0)),"")))</f>
        <v/>
      </c>
      <c r="AG61" s="52" t="str">
        <f>+IF(IF($B61="","",IFERROR(INDEX('Auxiliar Resultados'!$C$9:$BO$50,MATCH($B61,'Auxiliar Resultados'!$B$9:$B$50,0),MATCH(CONCATENATE($C61,AG$7),'Auxiliar Resultados'!$C$6:$BO$6,0)),""))=0,"",IF($B61="","",IFERROR(INDEX('Auxiliar Resultados'!$C$9:$BO$50,MATCH($B61,'Auxiliar Resultados'!$B$9:$B$50,0),MATCH(CONCATENATE($C61,AG$7),'Auxiliar Resultados'!$C$6:$BO$6,0)),"")))</f>
        <v/>
      </c>
      <c r="AH61" s="52" t="str">
        <f>+IF(IF($B61="","",IFERROR(INDEX('Auxiliar Resultados'!$C$9:$BO$50,MATCH($B61,'Auxiliar Resultados'!$B$9:$B$50,0),MATCH(CONCATENATE($C61,AH$7),'Auxiliar Resultados'!$C$6:$BO$6,0)),""))=0,"",IF($B61="","",IFERROR(INDEX('Auxiliar Resultados'!$C$9:$BO$50,MATCH($B61,'Auxiliar Resultados'!$B$9:$B$50,0),MATCH(CONCATENATE($C61,AH$7),'Auxiliar Resultados'!$C$6:$BO$6,0)),"")))</f>
        <v/>
      </c>
      <c r="AI61" s="52" t="str">
        <f>+IF(IF($B61="","",IFERROR(INDEX('Auxiliar Resultados'!$C$9:$BO$50,MATCH($B61,'Auxiliar Resultados'!$B$9:$B$50,0),MATCH(CONCATENATE($C61,AI$7),'Auxiliar Resultados'!$C$6:$BO$6,0)),""))=0,"",IF($B61="","",IFERROR(INDEX('Auxiliar Resultados'!$C$9:$BO$50,MATCH($B61,'Auxiliar Resultados'!$B$9:$B$50,0),MATCH(CONCATENATE($C61,AI$7),'Auxiliar Resultados'!$C$6:$BO$6,0)),"")))</f>
        <v/>
      </c>
      <c r="AJ61" s="52" t="str">
        <f>+IF(IF($B61="","",IFERROR(INDEX('Auxiliar Resultados'!$C$9:$BO$50,MATCH($B61,'Auxiliar Resultados'!$B$9:$B$50,0),MATCH(CONCATENATE($C61,AJ$7),'Auxiliar Resultados'!$C$6:$BO$6,0)),""))=0,"",IF($B61="","",IFERROR(INDEX('Auxiliar Resultados'!$C$9:$BO$50,MATCH($B61,'Auxiliar Resultados'!$B$9:$B$50,0),MATCH(CONCATENATE($C61,AJ$7),'Auxiliar Resultados'!$C$6:$BO$6,0)),"")))</f>
        <v/>
      </c>
      <c r="AK61" s="52" t="str">
        <f>+IF(IF($B61="","",IFERROR(INDEX('Auxiliar Resultados'!$C$9:$BO$50,MATCH($B61,'Auxiliar Resultados'!$B$9:$B$50,0),MATCH(CONCATENATE($C61,AK$7),'Auxiliar Resultados'!$C$6:$BO$6,0)),""))=0,"",IF($B61="","",IFERROR(INDEX('Auxiliar Resultados'!$C$9:$BO$50,MATCH($B61,'Auxiliar Resultados'!$B$9:$B$50,0),MATCH(CONCATENATE($C61,AK$7),'Auxiliar Resultados'!$C$6:$BO$6,0)),"")))</f>
        <v/>
      </c>
      <c r="AL61" s="52" t="str">
        <f>+IF(IF($B61="","",IFERROR(INDEX('Auxiliar Resultados'!$C$9:$BO$50,MATCH($B61,'Auxiliar Resultados'!$B$9:$B$50,0),MATCH(CONCATENATE($C61,AL$7),'Auxiliar Resultados'!$C$6:$BO$6,0)),""))=0,"",IF($B61="","",IFERROR(INDEX('Auxiliar Resultados'!$C$9:$BO$50,MATCH($B61,'Auxiliar Resultados'!$B$9:$B$50,0),MATCH(CONCATENATE($C61,AL$7),'Auxiliar Resultados'!$C$6:$BO$6,0)),"")))</f>
        <v/>
      </c>
      <c r="AM61" s="52" t="str">
        <f>+IF(IF($B61="","",IFERROR(INDEX('Auxiliar Resultados'!$C$9:$BO$50,MATCH($B61,'Auxiliar Resultados'!$B$9:$B$50,0),MATCH(CONCATENATE($C61,AM$7),'Auxiliar Resultados'!$C$6:$BO$6,0)),""))=0,"",IF($B61="","",IFERROR(INDEX('Auxiliar Resultados'!$C$9:$BO$50,MATCH($B61,'Auxiliar Resultados'!$B$9:$B$50,0),MATCH(CONCATENATE($C61,AM$7),'Auxiliar Resultados'!$C$6:$BO$6,0)),"")))</f>
        <v/>
      </c>
      <c r="AN61" s="52" t="str">
        <f>+IF(IF($B61="","",IFERROR(INDEX('Auxiliar Resultados'!$C$9:$BO$50,MATCH($B61,'Auxiliar Resultados'!$B$9:$B$50,0),MATCH(CONCATENATE($C61,AN$7),'Auxiliar Resultados'!$C$6:$BO$6,0)),""))=0,"",IF($B61="","",IFERROR(INDEX('Auxiliar Resultados'!$C$9:$BO$50,MATCH($B61,'Auxiliar Resultados'!$B$9:$B$50,0),MATCH(CONCATENATE($C61,AN$7),'Auxiliar Resultados'!$C$6:$BO$6,0)),"")))</f>
        <v/>
      </c>
      <c r="AO61" s="52" t="str">
        <f>+IF(IF($B61="","",IFERROR(INDEX('Auxiliar Resultados'!$C$9:$BO$50,MATCH($B61,'Auxiliar Resultados'!$B$9:$B$50,0),MATCH(CONCATENATE($C61,AO$7),'Auxiliar Resultados'!$C$6:$BO$6,0)),""))=0,"",IF($B61="","",IFERROR(INDEX('Auxiliar Resultados'!$C$9:$BO$50,MATCH($B61,'Auxiliar Resultados'!$B$9:$B$50,0),MATCH(CONCATENATE($C61,AO$7),'Auxiliar Resultados'!$C$6:$BO$6,0)),"")))</f>
        <v/>
      </c>
      <c r="AP61" s="52" t="str">
        <f>+IF(IF($B61="","",IFERROR(INDEX('Auxiliar Resultados'!$C$9:$BO$50,MATCH($B61,'Auxiliar Resultados'!$B$9:$B$50,0),MATCH(CONCATENATE($C61,AP$7),'Auxiliar Resultados'!$C$6:$BO$6,0)),""))=0,"",IF($B61="","",IFERROR(INDEX('Auxiliar Resultados'!$C$9:$BO$50,MATCH($B61,'Auxiliar Resultados'!$B$9:$B$50,0),MATCH(CONCATENATE($C61,AP$7),'Auxiliar Resultados'!$C$6:$BO$6,0)),"")))</f>
        <v/>
      </c>
      <c r="AQ61" s="276" t="str">
        <f>+IF(IF($B61="","",IFERROR(INDEX('Auxiliar Resultados'!$C$9:$BO$50,MATCH($B61,'Auxiliar Resultados'!$B$9:$B$50,0),MATCH(CONCATENATE($C61,AQ$7),'Auxiliar Resultados'!$C$6:$BO$6,0)),""))=0,"",IF($B61="","",IFERROR(INDEX('Auxiliar Resultados'!$C$9:$BO$50,MATCH($B61,'Auxiliar Resultados'!$B$9:$B$50,0),MATCH(CONCATENATE($C61,AQ$7),'Auxiliar Resultados'!$C$6:$BO$6,0)),"")))</f>
        <v/>
      </c>
      <c r="AS61" s="46" t="str">
        <f t="shared" si="5"/>
        <v/>
      </c>
      <c r="AT61" s="292" t="str">
        <f t="shared" si="6"/>
        <v/>
      </c>
      <c r="AU61" s="36" t="str">
        <f>+IF(G61="","",INDEX('Modelo Optimización'!$AZ$4:$CO$149,MATCH(CONCATENATE(AU$7,$AT61),'Modelo Optimización'!$CQ$4:$CQ$149,0),MATCH($AS61,'Modelo Optimización'!$AZ$3:$CO$3,0)))</f>
        <v/>
      </c>
      <c r="AV61" s="32" t="str">
        <f>+IF(H61="","",INDEX('Modelo Optimización'!$AZ$4:$CO$149,MATCH(CONCATENATE(AV$7,$AT61),'Modelo Optimización'!$CQ$4:$CQ$149,0),MATCH($AS61,'Modelo Optimización'!$AZ$3:$CO$3,0)))</f>
        <v/>
      </c>
      <c r="AW61" s="32" t="str">
        <f>+IF(I61="","",INDEX('Modelo Optimización'!$AZ$4:$CO$149,MATCH(CONCATENATE(AW$7,$AT61),'Modelo Optimización'!$CQ$4:$CQ$149,0),MATCH($AS61,'Modelo Optimización'!$AZ$3:$CO$3,0)))</f>
        <v/>
      </c>
      <c r="AX61" s="32" t="str">
        <f>+IF(J61="","",INDEX('Modelo Optimización'!$AZ$4:$CO$149,MATCH(CONCATENATE(AX$7,$AT61),'Modelo Optimización'!$CQ$4:$CQ$149,0),MATCH($AS61,'Modelo Optimización'!$AZ$3:$CO$3,0)))</f>
        <v/>
      </c>
      <c r="AY61" s="32" t="str">
        <f>+IF(K61="","",INDEX('Modelo Optimización'!$AZ$4:$CO$149,MATCH(CONCATENATE(AY$7,$AT61),'Modelo Optimización'!$CQ$4:$CQ$149,0),MATCH($AS61,'Modelo Optimización'!$AZ$3:$CO$3,0)))</f>
        <v/>
      </c>
      <c r="AZ61" s="32" t="str">
        <f>+IF(L61="","",INDEX('Modelo Optimización'!$AZ$4:$CO$149,MATCH(CONCATENATE(AZ$7,$AT61),'Modelo Optimización'!$CQ$4:$CQ$149,0),MATCH($AS61,'Modelo Optimización'!$AZ$3:$CO$3,0)))</f>
        <v/>
      </c>
      <c r="BA61" s="32" t="str">
        <f>+IF(M61="","",INDEX('Modelo Optimización'!$AZ$4:$CO$149,MATCH(CONCATENATE(BA$7,$AT61),'Modelo Optimización'!$CQ$4:$CQ$149,0),MATCH($AS61,'Modelo Optimización'!$AZ$3:$CO$3,0)))</f>
        <v/>
      </c>
      <c r="BB61" s="32" t="str">
        <f>+IF(N61="","",INDEX('Modelo Optimización'!$AZ$4:$CO$149,MATCH(CONCATENATE(BB$7,$AT61),'Modelo Optimización'!$CQ$4:$CQ$149,0),MATCH($AS61,'Modelo Optimización'!$AZ$3:$CO$3,0)))</f>
        <v/>
      </c>
      <c r="BC61" s="32" t="str">
        <f>+IF(O61="","",INDEX('Modelo Optimización'!$AZ$4:$CO$149,MATCH(CONCATENATE(BC$7,$AT61),'Modelo Optimización'!$CQ$4:$CQ$149,0),MATCH($AS61,'Modelo Optimización'!$AZ$3:$CO$3,0)))</f>
        <v/>
      </c>
      <c r="BD61" s="32" t="str">
        <f>+IF(P61="","",INDEX('Modelo Optimización'!$AZ$4:$CO$149,MATCH(CONCATENATE(BD$7,$AT61),'Modelo Optimización'!$CQ$4:$CQ$149,0),MATCH($AS61,'Modelo Optimización'!$AZ$3:$CO$3,0)))</f>
        <v/>
      </c>
      <c r="BE61" s="32" t="str">
        <f>+IF(Q61="","",INDEX('Modelo Optimización'!$AZ$4:$CO$149,MATCH(CONCATENATE(BE$7,$AT61),'Modelo Optimización'!$CQ$4:$CQ$149,0),MATCH($AS61,'Modelo Optimización'!$AZ$3:$CO$3,0)))</f>
        <v/>
      </c>
      <c r="BF61" s="32" t="str">
        <f>+IF(R61="","",INDEX('Modelo Optimización'!$AZ$4:$CO$149,MATCH(CONCATENATE(BF$7,$AT61),'Modelo Optimización'!$CQ$4:$CQ$149,0),MATCH($AS61,'Modelo Optimización'!$AZ$3:$CO$3,0)))</f>
        <v/>
      </c>
      <c r="BG61" s="32" t="str">
        <f>+IF(S61="","",INDEX('Modelo Optimización'!$AZ$4:$CO$149,MATCH(CONCATENATE(BG$7,$AT61),'Modelo Optimización'!$CQ$4:$CQ$149,0),MATCH($AS61,'Modelo Optimización'!$AZ$3:$CO$3,0)))</f>
        <v/>
      </c>
      <c r="BH61" s="32" t="str">
        <f>+IF(T61="","",INDEX('Modelo Optimización'!$AZ$4:$CO$149,MATCH(CONCATENATE(BH$7,$AT61),'Modelo Optimización'!$CQ$4:$CQ$149,0),MATCH($AS61,'Modelo Optimización'!$AZ$3:$CO$3,0)))</f>
        <v/>
      </c>
      <c r="BI61" s="32" t="str">
        <f>+IF(U61="","",INDEX('Modelo Optimización'!$AZ$4:$CO$149,MATCH(CONCATENATE(BI$7,$AT61),'Modelo Optimización'!$CQ$4:$CQ$149,0),MATCH($AS61,'Modelo Optimización'!$AZ$3:$CO$3,0)))</f>
        <v/>
      </c>
      <c r="BJ61" s="32" t="str">
        <f>+IF(V61="","",INDEX('Modelo Optimización'!$AZ$4:$CO$149,MATCH(CONCATENATE(BJ$7,$AT61),'Modelo Optimización'!$CQ$4:$CQ$149,0),MATCH($AS61,'Modelo Optimización'!$AZ$3:$CO$3,0)))</f>
        <v/>
      </c>
      <c r="BK61" s="32" t="str">
        <f>+IF(W61="","",INDEX('Modelo Optimización'!$AZ$4:$CO$149,MATCH(CONCATENATE(BK$7,$AT61),'Modelo Optimización'!$CQ$4:$CQ$149,0),MATCH($AS61,'Modelo Optimización'!$AZ$3:$CO$3,0)))</f>
        <v/>
      </c>
      <c r="BL61" s="32" t="str">
        <f>+IF(X61="","",INDEX('Modelo Optimización'!$AZ$4:$CO$149,MATCH(CONCATENATE(BL$7,$AT61),'Modelo Optimización'!$CQ$4:$CQ$149,0),MATCH($AS61,'Modelo Optimización'!$AZ$3:$CO$3,0)))</f>
        <v/>
      </c>
      <c r="BM61" s="32" t="str">
        <f>+IF(Y61="","",INDEX('Modelo Optimización'!$AZ$4:$CO$149,MATCH(CONCATENATE(BM$7,$AT61),'Modelo Optimización'!$CQ$4:$CQ$149,0),MATCH($AS61,'Modelo Optimización'!$AZ$3:$CO$3,0)))</f>
        <v/>
      </c>
      <c r="BN61" s="32" t="str">
        <f>+IF(Z61="","",INDEX('Modelo Optimización'!$AZ$4:$CO$149,MATCH(CONCATENATE(BN$7,$AT61),'Modelo Optimización'!$CQ$4:$CQ$149,0),MATCH($AS61,'Modelo Optimización'!$AZ$3:$CO$3,0)))</f>
        <v/>
      </c>
      <c r="BO61" s="32" t="str">
        <f>+IF(AA61="","",INDEX('Modelo Optimización'!$AZ$4:$CO$149,MATCH(CONCATENATE(BO$7,$AT61),'Modelo Optimización'!$CQ$4:$CQ$149,0),MATCH($AS61,'Modelo Optimización'!$AZ$3:$CO$3,0)))</f>
        <v/>
      </c>
      <c r="BP61" s="32" t="str">
        <f>+IF(AB61="","",INDEX('Modelo Optimización'!$AZ$4:$CO$149,MATCH(CONCATENATE(BP$7,$AT61),'Modelo Optimización'!$CQ$4:$CQ$149,0),MATCH($AS61,'Modelo Optimización'!$AZ$3:$CO$3,0)))</f>
        <v/>
      </c>
      <c r="BQ61" s="32" t="str">
        <f>+IF(AC61="","",INDEX('Modelo Optimización'!$AZ$4:$CO$149,MATCH(CONCATENATE(BQ$7,$AT61),'Modelo Optimización'!$CQ$4:$CQ$149,0),MATCH($AS61,'Modelo Optimización'!$AZ$3:$CO$3,0)))</f>
        <v/>
      </c>
      <c r="BR61" s="32" t="str">
        <f>+IF(AD61="","",INDEX('Modelo Optimización'!$AZ$4:$CO$149,MATCH(CONCATENATE(BR$7,$AT61),'Modelo Optimización'!$CQ$4:$CQ$149,0),MATCH($AS61,'Modelo Optimización'!$AZ$3:$CO$3,0)))</f>
        <v/>
      </c>
      <c r="BS61" s="32" t="str">
        <f>+IF(AE61="","",INDEX('Modelo Optimización'!$AZ$4:$CO$149,MATCH(CONCATENATE(BS$7,$AT61),'Modelo Optimización'!$CQ$4:$CQ$149,0),MATCH($AS61,'Modelo Optimización'!$AZ$3:$CO$3,0)))</f>
        <v/>
      </c>
      <c r="BT61" s="32" t="str">
        <f>+IF(AF61="","",INDEX('Modelo Optimización'!$AZ$4:$CO$149,MATCH(CONCATENATE(BT$7,$AT61),'Modelo Optimización'!$CQ$4:$CQ$149,0),MATCH($AS61,'Modelo Optimización'!$AZ$3:$CO$3,0)))</f>
        <v/>
      </c>
      <c r="BU61" s="32" t="str">
        <f>+IF(AG61="","",INDEX('Modelo Optimización'!$AZ$4:$CO$149,MATCH(CONCATENATE(BU$7,$AT61),'Modelo Optimización'!$CQ$4:$CQ$149,0),MATCH($AS61,'Modelo Optimización'!$AZ$3:$CO$3,0)))</f>
        <v/>
      </c>
      <c r="BV61" s="32" t="str">
        <f>+IF(AH61="","",INDEX('Modelo Optimización'!$AZ$4:$CO$149,MATCH(CONCATENATE(BV$7,$AT61),'Modelo Optimización'!$CQ$4:$CQ$149,0),MATCH($AS61,'Modelo Optimización'!$AZ$3:$CO$3,0)))</f>
        <v/>
      </c>
      <c r="BW61" s="32" t="str">
        <f>+IF(AI61="","",INDEX('Modelo Optimización'!$AZ$4:$CO$149,MATCH(CONCATENATE(BW$7,$AT61),'Modelo Optimización'!$CQ$4:$CQ$149,0),MATCH($AS61,'Modelo Optimización'!$AZ$3:$CO$3,0)))</f>
        <v/>
      </c>
      <c r="BX61" s="32" t="str">
        <f>+IF(AJ61="","",INDEX('Modelo Optimización'!$AZ$4:$CO$149,MATCH(CONCATENATE(BX$7,$AT61),'Modelo Optimización'!$CQ$4:$CQ$149,0),MATCH($AS61,'Modelo Optimización'!$AZ$3:$CO$3,0)))</f>
        <v/>
      </c>
      <c r="BY61" s="32" t="str">
        <f>+IF(AK61="","",INDEX('Modelo Optimización'!$AZ$4:$CO$149,MATCH(CONCATENATE(BY$7,$AT61),'Modelo Optimización'!$CQ$4:$CQ$149,0),MATCH($AS61,'Modelo Optimización'!$AZ$3:$CO$3,0)))</f>
        <v/>
      </c>
      <c r="BZ61" s="32" t="str">
        <f>+IF(AL61="","",INDEX('Modelo Optimización'!$AZ$4:$CO$149,MATCH(CONCATENATE(BZ$7,$AT61),'Modelo Optimización'!$CQ$4:$CQ$149,0),MATCH($AS61,'Modelo Optimización'!$AZ$3:$CO$3,0)))</f>
        <v/>
      </c>
      <c r="CA61" s="32" t="str">
        <f>+IF(AM61="","",INDEX('Modelo Optimización'!$AZ$4:$CO$149,MATCH(CONCATENATE(CA$7,$AT61),'Modelo Optimización'!$CQ$4:$CQ$149,0),MATCH($AS61,'Modelo Optimización'!$AZ$3:$CO$3,0)))</f>
        <v/>
      </c>
      <c r="CB61" s="32" t="str">
        <f>+IF(AN61="","",INDEX('Modelo Optimización'!$AZ$4:$CO$149,MATCH(CONCATENATE(CB$7,$AT61),'Modelo Optimización'!$CQ$4:$CQ$149,0),MATCH($AS61,'Modelo Optimización'!$AZ$3:$CO$3,0)))</f>
        <v/>
      </c>
      <c r="CC61" s="32" t="str">
        <f>+IF(AO61="","",INDEX('Modelo Optimización'!$AZ$4:$CO$149,MATCH(CONCATENATE(CC$7,$AT61),'Modelo Optimización'!$CQ$4:$CQ$149,0),MATCH($AS61,'Modelo Optimización'!$AZ$3:$CO$3,0)))</f>
        <v/>
      </c>
      <c r="CD61" s="32" t="str">
        <f>+IF(AP61="","",INDEX('Modelo Optimización'!$AZ$4:$CO$149,MATCH(CONCATENATE(CD$7,$AT61),'Modelo Optimización'!$CQ$4:$CQ$149,0),MATCH($AS61,'Modelo Optimización'!$AZ$3:$CO$3,0)))</f>
        <v/>
      </c>
      <c r="CE61" s="37" t="str">
        <f>+IF(AQ61="","",INDEX('Modelo Optimización'!$AZ$4:$CO$149,MATCH(CONCATENATE(CE$7,$AT61),'Modelo Optimización'!$CQ$4:$CQ$149,0),MATCH($AS61,'Modelo Optimización'!$AZ$3:$CO$3,0)))</f>
        <v/>
      </c>
      <c r="CF61" s="301"/>
      <c r="CG61" s="305" t="str">
        <f t="shared" si="11"/>
        <v/>
      </c>
      <c r="CH61" s="303" t="str">
        <f t="shared" si="7"/>
        <v/>
      </c>
      <c r="CI61" s="292" t="str">
        <f t="shared" si="8"/>
        <v/>
      </c>
      <c r="CJ61" s="36" t="str">
        <f t="shared" si="12"/>
        <v/>
      </c>
      <c r="CK61" s="32" t="str">
        <f t="shared" si="13"/>
        <v/>
      </c>
      <c r="CL61" s="32" t="str">
        <f t="shared" si="14"/>
        <v/>
      </c>
      <c r="CM61" s="32" t="str">
        <f t="shared" si="15"/>
        <v/>
      </c>
      <c r="CN61" s="32" t="str">
        <f t="shared" si="16"/>
        <v/>
      </c>
      <c r="CO61" s="32" t="str">
        <f t="shared" si="17"/>
        <v/>
      </c>
      <c r="CP61" s="32" t="str">
        <f t="shared" si="18"/>
        <v/>
      </c>
      <c r="CQ61" s="32" t="str">
        <f t="shared" si="19"/>
        <v/>
      </c>
      <c r="CR61" s="32" t="str">
        <f t="shared" si="20"/>
        <v/>
      </c>
      <c r="CS61" s="32" t="str">
        <f t="shared" si="21"/>
        <v/>
      </c>
      <c r="CT61" s="32" t="str">
        <f t="shared" si="22"/>
        <v/>
      </c>
      <c r="CU61" s="32" t="str">
        <f t="shared" si="23"/>
        <v/>
      </c>
      <c r="CV61" s="32" t="str">
        <f t="shared" si="24"/>
        <v/>
      </c>
      <c r="CW61" s="32" t="str">
        <f t="shared" si="25"/>
        <v/>
      </c>
      <c r="CX61" s="32" t="str">
        <f t="shared" si="26"/>
        <v/>
      </c>
      <c r="CY61" s="32" t="str">
        <f t="shared" si="27"/>
        <v/>
      </c>
      <c r="CZ61" s="32" t="str">
        <f t="shared" si="28"/>
        <v/>
      </c>
      <c r="DA61" s="32" t="str">
        <f t="shared" si="29"/>
        <v/>
      </c>
      <c r="DB61" s="32" t="str">
        <f t="shared" si="30"/>
        <v/>
      </c>
      <c r="DC61" s="32" t="str">
        <f t="shared" si="31"/>
        <v/>
      </c>
      <c r="DD61" s="32" t="str">
        <f t="shared" si="32"/>
        <v/>
      </c>
      <c r="DE61" s="32" t="str">
        <f t="shared" si="33"/>
        <v/>
      </c>
      <c r="DF61" s="32" t="str">
        <f t="shared" si="34"/>
        <v/>
      </c>
      <c r="DG61" s="32" t="str">
        <f t="shared" si="35"/>
        <v/>
      </c>
      <c r="DH61" s="32" t="str">
        <f t="shared" si="36"/>
        <v/>
      </c>
      <c r="DI61" s="32" t="str">
        <f t="shared" si="37"/>
        <v/>
      </c>
      <c r="DJ61" s="32" t="str">
        <f t="shared" si="38"/>
        <v/>
      </c>
      <c r="DK61" s="32" t="str">
        <f t="shared" si="39"/>
        <v/>
      </c>
      <c r="DL61" s="32" t="str">
        <f t="shared" si="40"/>
        <v/>
      </c>
      <c r="DM61" s="32" t="str">
        <f t="shared" si="41"/>
        <v/>
      </c>
      <c r="DN61" s="32" t="str">
        <f t="shared" si="42"/>
        <v/>
      </c>
      <c r="DO61" s="32" t="str">
        <f t="shared" si="43"/>
        <v/>
      </c>
      <c r="DP61" s="32" t="str">
        <f t="shared" si="44"/>
        <v/>
      </c>
      <c r="DQ61" s="32" t="str">
        <f t="shared" si="45"/>
        <v/>
      </c>
      <c r="DR61" s="32" t="str">
        <f t="shared" si="46"/>
        <v/>
      </c>
      <c r="DS61" s="32" t="str">
        <f t="shared" si="47"/>
        <v/>
      </c>
      <c r="DT61" s="37" t="str">
        <f t="shared" si="48"/>
        <v/>
      </c>
    </row>
    <row r="62" spans="2:124" x14ac:dyDescent="0.35">
      <c r="B62" s="46"/>
      <c r="C62" s="212"/>
      <c r="D62" s="52"/>
      <c r="E62" s="52" t="str">
        <f>+IF(B62="","",IFERROR(SUMIF('Modelo Optimización'!$AS$72:$AS$217,C62,INDEX('Modelo Optimización'!$C$72:$AR$217,,MATCH(B62,'Modelo Optimización'!$C$71:$AR$71,0))),0))</f>
        <v/>
      </c>
      <c r="F62" s="281" t="str">
        <f t="shared" si="10"/>
        <v/>
      </c>
      <c r="G62" s="280" t="str">
        <f>+IF(IF($B62="","",IFERROR(INDEX('Auxiliar Resultados'!$C$9:$BO$50,MATCH($B62,'Auxiliar Resultados'!$B$9:$B$50,0),MATCH(CONCATENATE($C62,G$7),'Auxiliar Resultados'!$C$6:$BO$6,0)),""))=0,"",IF($B62="","",IFERROR(INDEX('Auxiliar Resultados'!$C$9:$BO$50,MATCH($B62,'Auxiliar Resultados'!$B$9:$B$50,0),MATCH(CONCATENATE($C62,G$7),'Auxiliar Resultados'!$C$6:$BO$6,0)),"")))</f>
        <v/>
      </c>
      <c r="H62" s="52" t="str">
        <f>+IF(IF($B62="","",IFERROR(INDEX('Auxiliar Resultados'!$C$9:$BO$50,MATCH($B62,'Auxiliar Resultados'!$B$9:$B$50,0),MATCH(CONCATENATE($C62,H$7),'Auxiliar Resultados'!$C$6:$BO$6,0)),""))=0,"",IF($B62="","",IFERROR(INDEX('Auxiliar Resultados'!$C$9:$BO$50,MATCH($B62,'Auxiliar Resultados'!$B$9:$B$50,0),MATCH(CONCATENATE($C62,H$7),'Auxiliar Resultados'!$C$6:$BO$6,0)),"")))</f>
        <v/>
      </c>
      <c r="I62" s="52" t="str">
        <f>+IF(IF($B62="","",IFERROR(INDEX('Auxiliar Resultados'!$C$9:$BO$50,MATCH($B62,'Auxiliar Resultados'!$B$9:$B$50,0),MATCH(CONCATENATE($C62,I$7),'Auxiliar Resultados'!$C$6:$BO$6,0)),""))=0,"",IF($B62="","",IFERROR(INDEX('Auxiliar Resultados'!$C$9:$BO$50,MATCH($B62,'Auxiliar Resultados'!$B$9:$B$50,0),MATCH(CONCATENATE($C62,I$7),'Auxiliar Resultados'!$C$6:$BO$6,0)),"")))</f>
        <v/>
      </c>
      <c r="J62" s="52" t="str">
        <f>+IF(IF($B62="","",IFERROR(INDEX('Auxiliar Resultados'!$C$9:$BO$50,MATCH($B62,'Auxiliar Resultados'!$B$9:$B$50,0),MATCH(CONCATENATE($C62,J$7),'Auxiliar Resultados'!$C$6:$BO$6,0)),""))=0,"",IF($B62="","",IFERROR(INDEX('Auxiliar Resultados'!$C$9:$BO$50,MATCH($B62,'Auxiliar Resultados'!$B$9:$B$50,0),MATCH(CONCATENATE($C62,J$7),'Auxiliar Resultados'!$C$6:$BO$6,0)),"")))</f>
        <v/>
      </c>
      <c r="K62" s="52" t="str">
        <f>+IF(IF($B62="","",IFERROR(INDEX('Auxiliar Resultados'!$C$9:$BO$50,MATCH($B62,'Auxiliar Resultados'!$B$9:$B$50,0),MATCH(CONCATENATE($C62,K$7),'Auxiliar Resultados'!$C$6:$BO$6,0)),""))=0,"",IF($B62="","",IFERROR(INDEX('Auxiliar Resultados'!$C$9:$BO$50,MATCH($B62,'Auxiliar Resultados'!$B$9:$B$50,0),MATCH(CONCATENATE($C62,K$7),'Auxiliar Resultados'!$C$6:$BO$6,0)),"")))</f>
        <v/>
      </c>
      <c r="L62" s="52" t="str">
        <f>+IF(IF($B62="","",IFERROR(INDEX('Auxiliar Resultados'!$C$9:$BO$50,MATCH($B62,'Auxiliar Resultados'!$B$9:$B$50,0),MATCH(CONCATENATE($C62,L$7),'Auxiliar Resultados'!$C$6:$BO$6,0)),""))=0,"",IF($B62="","",IFERROR(INDEX('Auxiliar Resultados'!$C$9:$BO$50,MATCH($B62,'Auxiliar Resultados'!$B$9:$B$50,0),MATCH(CONCATENATE($C62,L$7),'Auxiliar Resultados'!$C$6:$BO$6,0)),"")))</f>
        <v/>
      </c>
      <c r="M62" s="52" t="str">
        <f>+IF(IF($B62="","",IFERROR(INDEX('Auxiliar Resultados'!$C$9:$BO$50,MATCH($B62,'Auxiliar Resultados'!$B$9:$B$50,0),MATCH(CONCATENATE($C62,M$7),'Auxiliar Resultados'!$C$6:$BO$6,0)),""))=0,"",IF($B62="","",IFERROR(INDEX('Auxiliar Resultados'!$C$9:$BO$50,MATCH($B62,'Auxiliar Resultados'!$B$9:$B$50,0),MATCH(CONCATENATE($C62,M$7),'Auxiliar Resultados'!$C$6:$BO$6,0)),"")))</f>
        <v/>
      </c>
      <c r="N62" s="52" t="str">
        <f>+IF(IF($B62="","",IFERROR(INDEX('Auxiliar Resultados'!$C$9:$BO$50,MATCH($B62,'Auxiliar Resultados'!$B$9:$B$50,0),MATCH(CONCATENATE($C62,N$7),'Auxiliar Resultados'!$C$6:$BO$6,0)),""))=0,"",IF($B62="","",IFERROR(INDEX('Auxiliar Resultados'!$C$9:$BO$50,MATCH($B62,'Auxiliar Resultados'!$B$9:$B$50,0),MATCH(CONCATENATE($C62,N$7),'Auxiliar Resultados'!$C$6:$BO$6,0)),"")))</f>
        <v/>
      </c>
      <c r="O62" s="52" t="str">
        <f>+IF(IF($B62="","",IFERROR(INDEX('Auxiliar Resultados'!$C$9:$BO$50,MATCH($B62,'Auxiliar Resultados'!$B$9:$B$50,0),MATCH(CONCATENATE($C62,O$7),'Auxiliar Resultados'!$C$6:$BO$6,0)),""))=0,"",IF($B62="","",IFERROR(INDEX('Auxiliar Resultados'!$C$9:$BO$50,MATCH($B62,'Auxiliar Resultados'!$B$9:$B$50,0),MATCH(CONCATENATE($C62,O$7),'Auxiliar Resultados'!$C$6:$BO$6,0)),"")))</f>
        <v/>
      </c>
      <c r="P62" s="52" t="str">
        <f>+IF(IF($B62="","",IFERROR(INDEX('Auxiliar Resultados'!$C$9:$BO$50,MATCH($B62,'Auxiliar Resultados'!$B$9:$B$50,0),MATCH(CONCATENATE($C62,P$7),'Auxiliar Resultados'!$C$6:$BO$6,0)),""))=0,"",IF($B62="","",IFERROR(INDEX('Auxiliar Resultados'!$C$9:$BO$50,MATCH($B62,'Auxiliar Resultados'!$B$9:$B$50,0),MATCH(CONCATENATE($C62,P$7),'Auxiliar Resultados'!$C$6:$BO$6,0)),"")))</f>
        <v/>
      </c>
      <c r="Q62" s="52" t="str">
        <f>+IF(IF($B62="","",IFERROR(INDEX('Auxiliar Resultados'!$C$9:$BO$50,MATCH($B62,'Auxiliar Resultados'!$B$9:$B$50,0),MATCH(CONCATENATE($C62,Q$7),'Auxiliar Resultados'!$C$6:$BO$6,0)),""))=0,"",IF($B62="","",IFERROR(INDEX('Auxiliar Resultados'!$C$9:$BO$50,MATCH($B62,'Auxiliar Resultados'!$B$9:$B$50,0),MATCH(CONCATENATE($C62,Q$7),'Auxiliar Resultados'!$C$6:$BO$6,0)),"")))</f>
        <v/>
      </c>
      <c r="R62" s="52" t="str">
        <f>+IF(IF($B62="","",IFERROR(INDEX('Auxiliar Resultados'!$C$9:$BO$50,MATCH($B62,'Auxiliar Resultados'!$B$9:$B$50,0),MATCH(CONCATENATE($C62,R$7),'Auxiliar Resultados'!$C$6:$BO$6,0)),""))=0,"",IF($B62="","",IFERROR(INDEX('Auxiliar Resultados'!$C$9:$BO$50,MATCH($B62,'Auxiliar Resultados'!$B$9:$B$50,0),MATCH(CONCATENATE($C62,R$7),'Auxiliar Resultados'!$C$6:$BO$6,0)),"")))</f>
        <v/>
      </c>
      <c r="S62" s="52" t="str">
        <f>+IF(IF($B62="","",IFERROR(INDEX('Auxiliar Resultados'!$C$9:$BO$50,MATCH($B62,'Auxiliar Resultados'!$B$9:$B$50,0),MATCH(CONCATENATE($C62,S$7),'Auxiliar Resultados'!$C$6:$BO$6,0)),""))=0,"",IF($B62="","",IFERROR(INDEX('Auxiliar Resultados'!$C$9:$BO$50,MATCH($B62,'Auxiliar Resultados'!$B$9:$B$50,0),MATCH(CONCATENATE($C62,S$7),'Auxiliar Resultados'!$C$6:$BO$6,0)),"")))</f>
        <v/>
      </c>
      <c r="T62" s="52" t="str">
        <f>+IF(IF($B62="","",IFERROR(INDEX('Auxiliar Resultados'!$C$9:$BO$50,MATCH($B62,'Auxiliar Resultados'!$B$9:$B$50,0),MATCH(CONCATENATE($C62,T$7),'Auxiliar Resultados'!$C$6:$BO$6,0)),""))=0,"",IF($B62="","",IFERROR(INDEX('Auxiliar Resultados'!$C$9:$BO$50,MATCH($B62,'Auxiliar Resultados'!$B$9:$B$50,0),MATCH(CONCATENATE($C62,T$7),'Auxiliar Resultados'!$C$6:$BO$6,0)),"")))</f>
        <v/>
      </c>
      <c r="U62" s="52" t="str">
        <f>+IF(IF($B62="","",IFERROR(INDEX('Auxiliar Resultados'!$C$9:$BO$50,MATCH($B62,'Auxiliar Resultados'!$B$9:$B$50,0),MATCH(CONCATENATE($C62,U$7),'Auxiliar Resultados'!$C$6:$BO$6,0)),""))=0,"",IF($B62="","",IFERROR(INDEX('Auxiliar Resultados'!$C$9:$BO$50,MATCH($B62,'Auxiliar Resultados'!$B$9:$B$50,0),MATCH(CONCATENATE($C62,U$7),'Auxiliar Resultados'!$C$6:$BO$6,0)),"")))</f>
        <v/>
      </c>
      <c r="V62" s="52" t="str">
        <f>+IF(IF($B62="","",IFERROR(INDEX('Auxiliar Resultados'!$C$9:$BO$50,MATCH($B62,'Auxiliar Resultados'!$B$9:$B$50,0),MATCH(CONCATENATE($C62,V$7),'Auxiliar Resultados'!$C$6:$BO$6,0)),""))=0,"",IF($B62="","",IFERROR(INDEX('Auxiliar Resultados'!$C$9:$BO$50,MATCH($B62,'Auxiliar Resultados'!$B$9:$B$50,0),MATCH(CONCATENATE($C62,V$7),'Auxiliar Resultados'!$C$6:$BO$6,0)),"")))</f>
        <v/>
      </c>
      <c r="W62" s="52" t="str">
        <f>+IF(IF($B62="","",IFERROR(INDEX('Auxiliar Resultados'!$C$9:$BO$50,MATCH($B62,'Auxiliar Resultados'!$B$9:$B$50,0),MATCH(CONCATENATE($C62,W$7),'Auxiliar Resultados'!$C$6:$BO$6,0)),""))=0,"",IF($B62="","",IFERROR(INDEX('Auxiliar Resultados'!$C$9:$BO$50,MATCH($B62,'Auxiliar Resultados'!$B$9:$B$50,0),MATCH(CONCATENATE($C62,W$7),'Auxiliar Resultados'!$C$6:$BO$6,0)),"")))</f>
        <v/>
      </c>
      <c r="X62" s="52" t="str">
        <f>+IF(IF($B62="","",IFERROR(INDEX('Auxiliar Resultados'!$C$9:$BO$50,MATCH($B62,'Auxiliar Resultados'!$B$9:$B$50,0),MATCH(CONCATENATE($C62,X$7),'Auxiliar Resultados'!$C$6:$BO$6,0)),""))=0,"",IF($B62="","",IFERROR(INDEX('Auxiliar Resultados'!$C$9:$BO$50,MATCH($B62,'Auxiliar Resultados'!$B$9:$B$50,0),MATCH(CONCATENATE($C62,X$7),'Auxiliar Resultados'!$C$6:$BO$6,0)),"")))</f>
        <v/>
      </c>
      <c r="Y62" s="52" t="str">
        <f>+IF(IF($B62="","",IFERROR(INDEX('Auxiliar Resultados'!$C$9:$BO$50,MATCH($B62,'Auxiliar Resultados'!$B$9:$B$50,0),MATCH(CONCATENATE($C62,Y$7),'Auxiliar Resultados'!$C$6:$BO$6,0)),""))=0,"",IF($B62="","",IFERROR(INDEX('Auxiliar Resultados'!$C$9:$BO$50,MATCH($B62,'Auxiliar Resultados'!$B$9:$B$50,0),MATCH(CONCATENATE($C62,Y$7),'Auxiliar Resultados'!$C$6:$BO$6,0)),"")))</f>
        <v/>
      </c>
      <c r="Z62" s="52" t="str">
        <f>+IF(IF($B62="","",IFERROR(INDEX('Auxiliar Resultados'!$C$9:$BO$50,MATCH($B62,'Auxiliar Resultados'!$B$9:$B$50,0),MATCH(CONCATENATE($C62,Z$7),'Auxiliar Resultados'!$C$6:$BO$6,0)),""))=0,"",IF($B62="","",IFERROR(INDEX('Auxiliar Resultados'!$C$9:$BO$50,MATCH($B62,'Auxiliar Resultados'!$B$9:$B$50,0),MATCH(CONCATENATE($C62,Z$7),'Auxiliar Resultados'!$C$6:$BO$6,0)),"")))</f>
        <v/>
      </c>
      <c r="AA62" s="52" t="str">
        <f>+IF(IF($B62="","",IFERROR(INDEX('Auxiliar Resultados'!$C$9:$BO$50,MATCH($B62,'Auxiliar Resultados'!$B$9:$B$50,0),MATCH(CONCATENATE($C62,AA$7),'Auxiliar Resultados'!$C$6:$BO$6,0)),""))=0,"",IF($B62="","",IFERROR(INDEX('Auxiliar Resultados'!$C$9:$BO$50,MATCH($B62,'Auxiliar Resultados'!$B$9:$B$50,0),MATCH(CONCATENATE($C62,AA$7),'Auxiliar Resultados'!$C$6:$BO$6,0)),"")))</f>
        <v/>
      </c>
      <c r="AB62" s="52" t="str">
        <f>+IF(IF($B62="","",IFERROR(INDEX('Auxiliar Resultados'!$C$9:$BO$50,MATCH($B62,'Auxiliar Resultados'!$B$9:$B$50,0),MATCH(CONCATENATE($C62,AB$7),'Auxiliar Resultados'!$C$6:$BO$6,0)),""))=0,"",IF($B62="","",IFERROR(INDEX('Auxiliar Resultados'!$C$9:$BO$50,MATCH($B62,'Auxiliar Resultados'!$B$9:$B$50,0),MATCH(CONCATENATE($C62,AB$7),'Auxiliar Resultados'!$C$6:$BO$6,0)),"")))</f>
        <v/>
      </c>
      <c r="AC62" s="52" t="str">
        <f>+IF(IF($B62="","",IFERROR(INDEX('Auxiliar Resultados'!$C$9:$BO$50,MATCH($B62,'Auxiliar Resultados'!$B$9:$B$50,0),MATCH(CONCATENATE($C62,AC$7),'Auxiliar Resultados'!$C$6:$BO$6,0)),""))=0,"",IF($B62="","",IFERROR(INDEX('Auxiliar Resultados'!$C$9:$BO$50,MATCH($B62,'Auxiliar Resultados'!$B$9:$B$50,0),MATCH(CONCATENATE($C62,AC$7),'Auxiliar Resultados'!$C$6:$BO$6,0)),"")))</f>
        <v/>
      </c>
      <c r="AD62" s="52" t="str">
        <f>+IF(IF($B62="","",IFERROR(INDEX('Auxiliar Resultados'!$C$9:$BO$50,MATCH($B62,'Auxiliar Resultados'!$B$9:$B$50,0),MATCH(CONCATENATE($C62,AD$7),'Auxiliar Resultados'!$C$6:$BO$6,0)),""))=0,"",IF($B62="","",IFERROR(INDEX('Auxiliar Resultados'!$C$9:$BO$50,MATCH($B62,'Auxiliar Resultados'!$B$9:$B$50,0),MATCH(CONCATENATE($C62,AD$7),'Auxiliar Resultados'!$C$6:$BO$6,0)),"")))</f>
        <v/>
      </c>
      <c r="AE62" s="52" t="str">
        <f>+IF(IF($B62="","",IFERROR(INDEX('Auxiliar Resultados'!$C$9:$BO$50,MATCH($B62,'Auxiliar Resultados'!$B$9:$B$50,0),MATCH(CONCATENATE($C62,AE$7),'Auxiliar Resultados'!$C$6:$BO$6,0)),""))=0,"",IF($B62="","",IFERROR(INDEX('Auxiliar Resultados'!$C$9:$BO$50,MATCH($B62,'Auxiliar Resultados'!$B$9:$B$50,0),MATCH(CONCATENATE($C62,AE$7),'Auxiliar Resultados'!$C$6:$BO$6,0)),"")))</f>
        <v/>
      </c>
      <c r="AF62" s="52" t="str">
        <f>+IF(IF($B62="","",IFERROR(INDEX('Auxiliar Resultados'!$C$9:$BO$50,MATCH($B62,'Auxiliar Resultados'!$B$9:$B$50,0),MATCH(CONCATENATE($C62,AF$7),'Auxiliar Resultados'!$C$6:$BO$6,0)),""))=0,"",IF($B62="","",IFERROR(INDEX('Auxiliar Resultados'!$C$9:$BO$50,MATCH($B62,'Auxiliar Resultados'!$B$9:$B$50,0),MATCH(CONCATENATE($C62,AF$7),'Auxiliar Resultados'!$C$6:$BO$6,0)),"")))</f>
        <v/>
      </c>
      <c r="AG62" s="52" t="str">
        <f>+IF(IF($B62="","",IFERROR(INDEX('Auxiliar Resultados'!$C$9:$BO$50,MATCH($B62,'Auxiliar Resultados'!$B$9:$B$50,0),MATCH(CONCATENATE($C62,AG$7),'Auxiliar Resultados'!$C$6:$BO$6,0)),""))=0,"",IF($B62="","",IFERROR(INDEX('Auxiliar Resultados'!$C$9:$BO$50,MATCH($B62,'Auxiliar Resultados'!$B$9:$B$50,0),MATCH(CONCATENATE($C62,AG$7),'Auxiliar Resultados'!$C$6:$BO$6,0)),"")))</f>
        <v/>
      </c>
      <c r="AH62" s="52" t="str">
        <f>+IF(IF($B62="","",IFERROR(INDEX('Auxiliar Resultados'!$C$9:$BO$50,MATCH($B62,'Auxiliar Resultados'!$B$9:$B$50,0),MATCH(CONCATENATE($C62,AH$7),'Auxiliar Resultados'!$C$6:$BO$6,0)),""))=0,"",IF($B62="","",IFERROR(INDEX('Auxiliar Resultados'!$C$9:$BO$50,MATCH($B62,'Auxiliar Resultados'!$B$9:$B$50,0),MATCH(CONCATENATE($C62,AH$7),'Auxiliar Resultados'!$C$6:$BO$6,0)),"")))</f>
        <v/>
      </c>
      <c r="AI62" s="52" t="str">
        <f>+IF(IF($B62="","",IFERROR(INDEX('Auxiliar Resultados'!$C$9:$BO$50,MATCH($B62,'Auxiliar Resultados'!$B$9:$B$50,0),MATCH(CONCATENATE($C62,AI$7),'Auxiliar Resultados'!$C$6:$BO$6,0)),""))=0,"",IF($B62="","",IFERROR(INDEX('Auxiliar Resultados'!$C$9:$BO$50,MATCH($B62,'Auxiliar Resultados'!$B$9:$B$50,0),MATCH(CONCATENATE($C62,AI$7),'Auxiliar Resultados'!$C$6:$BO$6,0)),"")))</f>
        <v/>
      </c>
      <c r="AJ62" s="52" t="str">
        <f>+IF(IF($B62="","",IFERROR(INDEX('Auxiliar Resultados'!$C$9:$BO$50,MATCH($B62,'Auxiliar Resultados'!$B$9:$B$50,0),MATCH(CONCATENATE($C62,AJ$7),'Auxiliar Resultados'!$C$6:$BO$6,0)),""))=0,"",IF($B62="","",IFERROR(INDEX('Auxiliar Resultados'!$C$9:$BO$50,MATCH($B62,'Auxiliar Resultados'!$B$9:$B$50,0),MATCH(CONCATENATE($C62,AJ$7),'Auxiliar Resultados'!$C$6:$BO$6,0)),"")))</f>
        <v/>
      </c>
      <c r="AK62" s="52" t="str">
        <f>+IF(IF($B62="","",IFERROR(INDEX('Auxiliar Resultados'!$C$9:$BO$50,MATCH($B62,'Auxiliar Resultados'!$B$9:$B$50,0),MATCH(CONCATENATE($C62,AK$7),'Auxiliar Resultados'!$C$6:$BO$6,0)),""))=0,"",IF($B62="","",IFERROR(INDEX('Auxiliar Resultados'!$C$9:$BO$50,MATCH($B62,'Auxiliar Resultados'!$B$9:$B$50,0),MATCH(CONCATENATE($C62,AK$7),'Auxiliar Resultados'!$C$6:$BO$6,0)),"")))</f>
        <v/>
      </c>
      <c r="AL62" s="52" t="str">
        <f>+IF(IF($B62="","",IFERROR(INDEX('Auxiliar Resultados'!$C$9:$BO$50,MATCH($B62,'Auxiliar Resultados'!$B$9:$B$50,0),MATCH(CONCATENATE($C62,AL$7),'Auxiliar Resultados'!$C$6:$BO$6,0)),""))=0,"",IF($B62="","",IFERROR(INDEX('Auxiliar Resultados'!$C$9:$BO$50,MATCH($B62,'Auxiliar Resultados'!$B$9:$B$50,0),MATCH(CONCATENATE($C62,AL$7),'Auxiliar Resultados'!$C$6:$BO$6,0)),"")))</f>
        <v/>
      </c>
      <c r="AM62" s="52" t="str">
        <f>+IF(IF($B62="","",IFERROR(INDEX('Auxiliar Resultados'!$C$9:$BO$50,MATCH($B62,'Auxiliar Resultados'!$B$9:$B$50,0),MATCH(CONCATENATE($C62,AM$7),'Auxiliar Resultados'!$C$6:$BO$6,0)),""))=0,"",IF($B62="","",IFERROR(INDEX('Auxiliar Resultados'!$C$9:$BO$50,MATCH($B62,'Auxiliar Resultados'!$B$9:$B$50,0),MATCH(CONCATENATE($C62,AM$7),'Auxiliar Resultados'!$C$6:$BO$6,0)),"")))</f>
        <v/>
      </c>
      <c r="AN62" s="52" t="str">
        <f>+IF(IF($B62="","",IFERROR(INDEX('Auxiliar Resultados'!$C$9:$BO$50,MATCH($B62,'Auxiliar Resultados'!$B$9:$B$50,0),MATCH(CONCATENATE($C62,AN$7),'Auxiliar Resultados'!$C$6:$BO$6,0)),""))=0,"",IF($B62="","",IFERROR(INDEX('Auxiliar Resultados'!$C$9:$BO$50,MATCH($B62,'Auxiliar Resultados'!$B$9:$B$50,0),MATCH(CONCATENATE($C62,AN$7),'Auxiliar Resultados'!$C$6:$BO$6,0)),"")))</f>
        <v/>
      </c>
      <c r="AO62" s="52" t="str">
        <f>+IF(IF($B62="","",IFERROR(INDEX('Auxiliar Resultados'!$C$9:$BO$50,MATCH($B62,'Auxiliar Resultados'!$B$9:$B$50,0),MATCH(CONCATENATE($C62,AO$7),'Auxiliar Resultados'!$C$6:$BO$6,0)),""))=0,"",IF($B62="","",IFERROR(INDEX('Auxiliar Resultados'!$C$9:$BO$50,MATCH($B62,'Auxiliar Resultados'!$B$9:$B$50,0),MATCH(CONCATENATE($C62,AO$7),'Auxiliar Resultados'!$C$6:$BO$6,0)),"")))</f>
        <v/>
      </c>
      <c r="AP62" s="52" t="str">
        <f>+IF(IF($B62="","",IFERROR(INDEX('Auxiliar Resultados'!$C$9:$BO$50,MATCH($B62,'Auxiliar Resultados'!$B$9:$B$50,0),MATCH(CONCATENATE($C62,AP$7),'Auxiliar Resultados'!$C$6:$BO$6,0)),""))=0,"",IF($B62="","",IFERROR(INDEX('Auxiliar Resultados'!$C$9:$BO$50,MATCH($B62,'Auxiliar Resultados'!$B$9:$B$50,0),MATCH(CONCATENATE($C62,AP$7),'Auxiliar Resultados'!$C$6:$BO$6,0)),"")))</f>
        <v/>
      </c>
      <c r="AQ62" s="276" t="str">
        <f>+IF(IF($B62="","",IFERROR(INDEX('Auxiliar Resultados'!$C$9:$BO$50,MATCH($B62,'Auxiliar Resultados'!$B$9:$B$50,0),MATCH(CONCATENATE($C62,AQ$7),'Auxiliar Resultados'!$C$6:$BO$6,0)),""))=0,"",IF($B62="","",IFERROR(INDEX('Auxiliar Resultados'!$C$9:$BO$50,MATCH($B62,'Auxiliar Resultados'!$B$9:$B$50,0),MATCH(CONCATENATE($C62,AQ$7),'Auxiliar Resultados'!$C$6:$BO$6,0)),"")))</f>
        <v/>
      </c>
      <c r="AS62" s="46" t="str">
        <f t="shared" si="5"/>
        <v/>
      </c>
      <c r="AT62" s="292" t="str">
        <f t="shared" si="6"/>
        <v/>
      </c>
      <c r="AU62" s="36" t="str">
        <f>+IF(G62="","",INDEX('Modelo Optimización'!$AZ$4:$CO$149,MATCH(CONCATENATE(AU$7,$AT62),'Modelo Optimización'!$CQ$4:$CQ$149,0),MATCH($AS62,'Modelo Optimización'!$AZ$3:$CO$3,0)))</f>
        <v/>
      </c>
      <c r="AV62" s="32" t="str">
        <f>+IF(H62="","",INDEX('Modelo Optimización'!$AZ$4:$CO$149,MATCH(CONCATENATE(AV$7,$AT62),'Modelo Optimización'!$CQ$4:$CQ$149,0),MATCH($AS62,'Modelo Optimización'!$AZ$3:$CO$3,0)))</f>
        <v/>
      </c>
      <c r="AW62" s="32" t="str">
        <f>+IF(I62="","",INDEX('Modelo Optimización'!$AZ$4:$CO$149,MATCH(CONCATENATE(AW$7,$AT62),'Modelo Optimización'!$CQ$4:$CQ$149,0),MATCH($AS62,'Modelo Optimización'!$AZ$3:$CO$3,0)))</f>
        <v/>
      </c>
      <c r="AX62" s="32" t="str">
        <f>+IF(J62="","",INDEX('Modelo Optimización'!$AZ$4:$CO$149,MATCH(CONCATENATE(AX$7,$AT62),'Modelo Optimización'!$CQ$4:$CQ$149,0),MATCH($AS62,'Modelo Optimización'!$AZ$3:$CO$3,0)))</f>
        <v/>
      </c>
      <c r="AY62" s="32" t="str">
        <f>+IF(K62="","",INDEX('Modelo Optimización'!$AZ$4:$CO$149,MATCH(CONCATENATE(AY$7,$AT62),'Modelo Optimización'!$CQ$4:$CQ$149,0),MATCH($AS62,'Modelo Optimización'!$AZ$3:$CO$3,0)))</f>
        <v/>
      </c>
      <c r="AZ62" s="32" t="str">
        <f>+IF(L62="","",INDEX('Modelo Optimización'!$AZ$4:$CO$149,MATCH(CONCATENATE(AZ$7,$AT62),'Modelo Optimización'!$CQ$4:$CQ$149,0),MATCH($AS62,'Modelo Optimización'!$AZ$3:$CO$3,0)))</f>
        <v/>
      </c>
      <c r="BA62" s="32" t="str">
        <f>+IF(M62="","",INDEX('Modelo Optimización'!$AZ$4:$CO$149,MATCH(CONCATENATE(BA$7,$AT62),'Modelo Optimización'!$CQ$4:$CQ$149,0),MATCH($AS62,'Modelo Optimización'!$AZ$3:$CO$3,0)))</f>
        <v/>
      </c>
      <c r="BB62" s="32" t="str">
        <f>+IF(N62="","",INDEX('Modelo Optimización'!$AZ$4:$CO$149,MATCH(CONCATENATE(BB$7,$AT62),'Modelo Optimización'!$CQ$4:$CQ$149,0),MATCH($AS62,'Modelo Optimización'!$AZ$3:$CO$3,0)))</f>
        <v/>
      </c>
      <c r="BC62" s="32" t="str">
        <f>+IF(O62="","",INDEX('Modelo Optimización'!$AZ$4:$CO$149,MATCH(CONCATENATE(BC$7,$AT62),'Modelo Optimización'!$CQ$4:$CQ$149,0),MATCH($AS62,'Modelo Optimización'!$AZ$3:$CO$3,0)))</f>
        <v/>
      </c>
      <c r="BD62" s="32" t="str">
        <f>+IF(P62="","",INDEX('Modelo Optimización'!$AZ$4:$CO$149,MATCH(CONCATENATE(BD$7,$AT62),'Modelo Optimización'!$CQ$4:$CQ$149,0),MATCH($AS62,'Modelo Optimización'!$AZ$3:$CO$3,0)))</f>
        <v/>
      </c>
      <c r="BE62" s="32" t="str">
        <f>+IF(Q62="","",INDEX('Modelo Optimización'!$AZ$4:$CO$149,MATCH(CONCATENATE(BE$7,$AT62),'Modelo Optimización'!$CQ$4:$CQ$149,0),MATCH($AS62,'Modelo Optimización'!$AZ$3:$CO$3,0)))</f>
        <v/>
      </c>
      <c r="BF62" s="32" t="str">
        <f>+IF(R62="","",INDEX('Modelo Optimización'!$AZ$4:$CO$149,MATCH(CONCATENATE(BF$7,$AT62),'Modelo Optimización'!$CQ$4:$CQ$149,0),MATCH($AS62,'Modelo Optimización'!$AZ$3:$CO$3,0)))</f>
        <v/>
      </c>
      <c r="BG62" s="32" t="str">
        <f>+IF(S62="","",INDEX('Modelo Optimización'!$AZ$4:$CO$149,MATCH(CONCATENATE(BG$7,$AT62),'Modelo Optimización'!$CQ$4:$CQ$149,0),MATCH($AS62,'Modelo Optimización'!$AZ$3:$CO$3,0)))</f>
        <v/>
      </c>
      <c r="BH62" s="32" t="str">
        <f>+IF(T62="","",INDEX('Modelo Optimización'!$AZ$4:$CO$149,MATCH(CONCATENATE(BH$7,$AT62),'Modelo Optimización'!$CQ$4:$CQ$149,0),MATCH($AS62,'Modelo Optimización'!$AZ$3:$CO$3,0)))</f>
        <v/>
      </c>
      <c r="BI62" s="32" t="str">
        <f>+IF(U62="","",INDEX('Modelo Optimización'!$AZ$4:$CO$149,MATCH(CONCATENATE(BI$7,$AT62),'Modelo Optimización'!$CQ$4:$CQ$149,0),MATCH($AS62,'Modelo Optimización'!$AZ$3:$CO$3,0)))</f>
        <v/>
      </c>
      <c r="BJ62" s="32" t="str">
        <f>+IF(V62="","",INDEX('Modelo Optimización'!$AZ$4:$CO$149,MATCH(CONCATENATE(BJ$7,$AT62),'Modelo Optimización'!$CQ$4:$CQ$149,0),MATCH($AS62,'Modelo Optimización'!$AZ$3:$CO$3,0)))</f>
        <v/>
      </c>
      <c r="BK62" s="32" t="str">
        <f>+IF(W62="","",INDEX('Modelo Optimización'!$AZ$4:$CO$149,MATCH(CONCATENATE(BK$7,$AT62),'Modelo Optimización'!$CQ$4:$CQ$149,0),MATCH($AS62,'Modelo Optimización'!$AZ$3:$CO$3,0)))</f>
        <v/>
      </c>
      <c r="BL62" s="32" t="str">
        <f>+IF(X62="","",INDEX('Modelo Optimización'!$AZ$4:$CO$149,MATCH(CONCATENATE(BL$7,$AT62),'Modelo Optimización'!$CQ$4:$CQ$149,0),MATCH($AS62,'Modelo Optimización'!$AZ$3:$CO$3,0)))</f>
        <v/>
      </c>
      <c r="BM62" s="32" t="str">
        <f>+IF(Y62="","",INDEX('Modelo Optimización'!$AZ$4:$CO$149,MATCH(CONCATENATE(BM$7,$AT62),'Modelo Optimización'!$CQ$4:$CQ$149,0),MATCH($AS62,'Modelo Optimización'!$AZ$3:$CO$3,0)))</f>
        <v/>
      </c>
      <c r="BN62" s="32" t="str">
        <f>+IF(Z62="","",INDEX('Modelo Optimización'!$AZ$4:$CO$149,MATCH(CONCATENATE(BN$7,$AT62),'Modelo Optimización'!$CQ$4:$CQ$149,0),MATCH($AS62,'Modelo Optimización'!$AZ$3:$CO$3,0)))</f>
        <v/>
      </c>
      <c r="BO62" s="32" t="str">
        <f>+IF(AA62="","",INDEX('Modelo Optimización'!$AZ$4:$CO$149,MATCH(CONCATENATE(BO$7,$AT62),'Modelo Optimización'!$CQ$4:$CQ$149,0),MATCH($AS62,'Modelo Optimización'!$AZ$3:$CO$3,0)))</f>
        <v/>
      </c>
      <c r="BP62" s="32" t="str">
        <f>+IF(AB62="","",INDEX('Modelo Optimización'!$AZ$4:$CO$149,MATCH(CONCATENATE(BP$7,$AT62),'Modelo Optimización'!$CQ$4:$CQ$149,0),MATCH($AS62,'Modelo Optimización'!$AZ$3:$CO$3,0)))</f>
        <v/>
      </c>
      <c r="BQ62" s="32" t="str">
        <f>+IF(AC62="","",INDEX('Modelo Optimización'!$AZ$4:$CO$149,MATCH(CONCATENATE(BQ$7,$AT62),'Modelo Optimización'!$CQ$4:$CQ$149,0),MATCH($AS62,'Modelo Optimización'!$AZ$3:$CO$3,0)))</f>
        <v/>
      </c>
      <c r="BR62" s="32" t="str">
        <f>+IF(AD62="","",INDEX('Modelo Optimización'!$AZ$4:$CO$149,MATCH(CONCATENATE(BR$7,$AT62),'Modelo Optimización'!$CQ$4:$CQ$149,0),MATCH($AS62,'Modelo Optimización'!$AZ$3:$CO$3,0)))</f>
        <v/>
      </c>
      <c r="BS62" s="32" t="str">
        <f>+IF(AE62="","",INDEX('Modelo Optimización'!$AZ$4:$CO$149,MATCH(CONCATENATE(BS$7,$AT62),'Modelo Optimización'!$CQ$4:$CQ$149,0),MATCH($AS62,'Modelo Optimización'!$AZ$3:$CO$3,0)))</f>
        <v/>
      </c>
      <c r="BT62" s="32" t="str">
        <f>+IF(AF62="","",INDEX('Modelo Optimización'!$AZ$4:$CO$149,MATCH(CONCATENATE(BT$7,$AT62),'Modelo Optimización'!$CQ$4:$CQ$149,0),MATCH($AS62,'Modelo Optimización'!$AZ$3:$CO$3,0)))</f>
        <v/>
      </c>
      <c r="BU62" s="32" t="str">
        <f>+IF(AG62="","",INDEX('Modelo Optimización'!$AZ$4:$CO$149,MATCH(CONCATENATE(BU$7,$AT62),'Modelo Optimización'!$CQ$4:$CQ$149,0),MATCH($AS62,'Modelo Optimización'!$AZ$3:$CO$3,0)))</f>
        <v/>
      </c>
      <c r="BV62" s="32" t="str">
        <f>+IF(AH62="","",INDEX('Modelo Optimización'!$AZ$4:$CO$149,MATCH(CONCATENATE(BV$7,$AT62),'Modelo Optimización'!$CQ$4:$CQ$149,0),MATCH($AS62,'Modelo Optimización'!$AZ$3:$CO$3,0)))</f>
        <v/>
      </c>
      <c r="BW62" s="32" t="str">
        <f>+IF(AI62="","",INDEX('Modelo Optimización'!$AZ$4:$CO$149,MATCH(CONCATENATE(BW$7,$AT62),'Modelo Optimización'!$CQ$4:$CQ$149,0),MATCH($AS62,'Modelo Optimización'!$AZ$3:$CO$3,0)))</f>
        <v/>
      </c>
      <c r="BX62" s="32" t="str">
        <f>+IF(AJ62="","",INDEX('Modelo Optimización'!$AZ$4:$CO$149,MATCH(CONCATENATE(BX$7,$AT62),'Modelo Optimización'!$CQ$4:$CQ$149,0),MATCH($AS62,'Modelo Optimización'!$AZ$3:$CO$3,0)))</f>
        <v/>
      </c>
      <c r="BY62" s="32" t="str">
        <f>+IF(AK62="","",INDEX('Modelo Optimización'!$AZ$4:$CO$149,MATCH(CONCATENATE(BY$7,$AT62),'Modelo Optimización'!$CQ$4:$CQ$149,0),MATCH($AS62,'Modelo Optimización'!$AZ$3:$CO$3,0)))</f>
        <v/>
      </c>
      <c r="BZ62" s="32" t="str">
        <f>+IF(AL62="","",INDEX('Modelo Optimización'!$AZ$4:$CO$149,MATCH(CONCATENATE(BZ$7,$AT62),'Modelo Optimización'!$CQ$4:$CQ$149,0),MATCH($AS62,'Modelo Optimización'!$AZ$3:$CO$3,0)))</f>
        <v/>
      </c>
      <c r="CA62" s="32" t="str">
        <f>+IF(AM62="","",INDEX('Modelo Optimización'!$AZ$4:$CO$149,MATCH(CONCATENATE(CA$7,$AT62),'Modelo Optimización'!$CQ$4:$CQ$149,0),MATCH($AS62,'Modelo Optimización'!$AZ$3:$CO$3,0)))</f>
        <v/>
      </c>
      <c r="CB62" s="32" t="str">
        <f>+IF(AN62="","",INDEX('Modelo Optimización'!$AZ$4:$CO$149,MATCH(CONCATENATE(CB$7,$AT62),'Modelo Optimización'!$CQ$4:$CQ$149,0),MATCH($AS62,'Modelo Optimización'!$AZ$3:$CO$3,0)))</f>
        <v/>
      </c>
      <c r="CC62" s="32" t="str">
        <f>+IF(AO62="","",INDEX('Modelo Optimización'!$AZ$4:$CO$149,MATCH(CONCATENATE(CC$7,$AT62),'Modelo Optimización'!$CQ$4:$CQ$149,0),MATCH($AS62,'Modelo Optimización'!$AZ$3:$CO$3,0)))</f>
        <v/>
      </c>
      <c r="CD62" s="32" t="str">
        <f>+IF(AP62="","",INDEX('Modelo Optimización'!$AZ$4:$CO$149,MATCH(CONCATENATE(CD$7,$AT62),'Modelo Optimización'!$CQ$4:$CQ$149,0),MATCH($AS62,'Modelo Optimización'!$AZ$3:$CO$3,0)))</f>
        <v/>
      </c>
      <c r="CE62" s="37" t="str">
        <f>+IF(AQ62="","",INDEX('Modelo Optimización'!$AZ$4:$CO$149,MATCH(CONCATENATE(CE$7,$AT62),'Modelo Optimización'!$CQ$4:$CQ$149,0),MATCH($AS62,'Modelo Optimización'!$AZ$3:$CO$3,0)))</f>
        <v/>
      </c>
      <c r="CF62" s="301"/>
      <c r="CG62" s="305" t="str">
        <f t="shared" si="11"/>
        <v/>
      </c>
      <c r="CH62" s="303" t="str">
        <f t="shared" si="7"/>
        <v/>
      </c>
      <c r="CI62" s="292" t="str">
        <f t="shared" si="8"/>
        <v/>
      </c>
      <c r="CJ62" s="36" t="str">
        <f t="shared" si="12"/>
        <v/>
      </c>
      <c r="CK62" s="32" t="str">
        <f t="shared" si="13"/>
        <v/>
      </c>
      <c r="CL62" s="32" t="str">
        <f t="shared" si="14"/>
        <v/>
      </c>
      <c r="CM62" s="32" t="str">
        <f t="shared" si="15"/>
        <v/>
      </c>
      <c r="CN62" s="32" t="str">
        <f t="shared" si="16"/>
        <v/>
      </c>
      <c r="CO62" s="32" t="str">
        <f t="shared" si="17"/>
        <v/>
      </c>
      <c r="CP62" s="32" t="str">
        <f t="shared" si="18"/>
        <v/>
      </c>
      <c r="CQ62" s="32" t="str">
        <f t="shared" si="19"/>
        <v/>
      </c>
      <c r="CR62" s="32" t="str">
        <f t="shared" si="20"/>
        <v/>
      </c>
      <c r="CS62" s="32" t="str">
        <f t="shared" si="21"/>
        <v/>
      </c>
      <c r="CT62" s="32" t="str">
        <f t="shared" si="22"/>
        <v/>
      </c>
      <c r="CU62" s="32" t="str">
        <f t="shared" si="23"/>
        <v/>
      </c>
      <c r="CV62" s="32" t="str">
        <f t="shared" si="24"/>
        <v/>
      </c>
      <c r="CW62" s="32" t="str">
        <f t="shared" si="25"/>
        <v/>
      </c>
      <c r="CX62" s="32" t="str">
        <f t="shared" si="26"/>
        <v/>
      </c>
      <c r="CY62" s="32" t="str">
        <f t="shared" si="27"/>
        <v/>
      </c>
      <c r="CZ62" s="32" t="str">
        <f t="shared" si="28"/>
        <v/>
      </c>
      <c r="DA62" s="32" t="str">
        <f t="shared" si="29"/>
        <v/>
      </c>
      <c r="DB62" s="32" t="str">
        <f t="shared" si="30"/>
        <v/>
      </c>
      <c r="DC62" s="32" t="str">
        <f t="shared" si="31"/>
        <v/>
      </c>
      <c r="DD62" s="32" t="str">
        <f t="shared" si="32"/>
        <v/>
      </c>
      <c r="DE62" s="32" t="str">
        <f t="shared" si="33"/>
        <v/>
      </c>
      <c r="DF62" s="32" t="str">
        <f t="shared" si="34"/>
        <v/>
      </c>
      <c r="DG62" s="32" t="str">
        <f t="shared" si="35"/>
        <v/>
      </c>
      <c r="DH62" s="32" t="str">
        <f t="shared" si="36"/>
        <v/>
      </c>
      <c r="DI62" s="32" t="str">
        <f t="shared" si="37"/>
        <v/>
      </c>
      <c r="DJ62" s="32" t="str">
        <f t="shared" si="38"/>
        <v/>
      </c>
      <c r="DK62" s="32" t="str">
        <f t="shared" si="39"/>
        <v/>
      </c>
      <c r="DL62" s="32" t="str">
        <f t="shared" si="40"/>
        <v/>
      </c>
      <c r="DM62" s="32" t="str">
        <f t="shared" si="41"/>
        <v/>
      </c>
      <c r="DN62" s="32" t="str">
        <f t="shared" si="42"/>
        <v/>
      </c>
      <c r="DO62" s="32" t="str">
        <f t="shared" si="43"/>
        <v/>
      </c>
      <c r="DP62" s="32" t="str">
        <f t="shared" si="44"/>
        <v/>
      </c>
      <c r="DQ62" s="32" t="str">
        <f t="shared" si="45"/>
        <v/>
      </c>
      <c r="DR62" s="32" t="str">
        <f t="shared" si="46"/>
        <v/>
      </c>
      <c r="DS62" s="32" t="str">
        <f t="shared" si="47"/>
        <v/>
      </c>
      <c r="DT62" s="37" t="str">
        <f t="shared" si="48"/>
        <v/>
      </c>
    </row>
    <row r="63" spans="2:124" ht="15" thickBot="1" x14ac:dyDescent="0.4">
      <c r="B63" s="50"/>
      <c r="C63" s="290"/>
      <c r="D63" s="283"/>
      <c r="E63" s="283" t="str">
        <f>+IF(B63="","",IFERROR(SUMIF('Modelo Optimización'!$AS$72:$AS$217,C63,INDEX('Modelo Optimización'!$C$72:$AR$217,,MATCH(B63,'Modelo Optimización'!$C$71:$AR$71,0))),0))</f>
        <v/>
      </c>
      <c r="F63" s="284" t="str">
        <f t="shared" si="10"/>
        <v/>
      </c>
      <c r="G63" s="282" t="str">
        <f>+IF(IF($B63="","",IFERROR(INDEX('Auxiliar Resultados'!$C$9:$BO$50,MATCH($B63,'Auxiliar Resultados'!$B$9:$B$50,0),MATCH(CONCATENATE($C63,G$7),'Auxiliar Resultados'!$C$6:$BO$6,0)),""))=0,"",IF($B63="","",IFERROR(INDEX('Auxiliar Resultados'!$C$9:$BO$50,MATCH($B63,'Auxiliar Resultados'!$B$9:$B$50,0),MATCH(CONCATENATE($C63,G$7),'Auxiliar Resultados'!$C$6:$BO$6,0)),"")))</f>
        <v/>
      </c>
      <c r="H63" s="283" t="str">
        <f>+IF(IF($B63="","",IFERROR(INDEX('Auxiliar Resultados'!$C$9:$BO$50,MATCH($B63,'Auxiliar Resultados'!$B$9:$B$50,0),MATCH(CONCATENATE($C63,H$7),'Auxiliar Resultados'!$C$6:$BO$6,0)),""))=0,"",IF($B63="","",IFERROR(INDEX('Auxiliar Resultados'!$C$9:$BO$50,MATCH($B63,'Auxiliar Resultados'!$B$9:$B$50,0),MATCH(CONCATENATE($C63,H$7),'Auxiliar Resultados'!$C$6:$BO$6,0)),"")))</f>
        <v/>
      </c>
      <c r="I63" s="283" t="str">
        <f>+IF(IF($B63="","",IFERROR(INDEX('Auxiliar Resultados'!$C$9:$BO$50,MATCH($B63,'Auxiliar Resultados'!$B$9:$B$50,0),MATCH(CONCATENATE($C63,I$7),'Auxiliar Resultados'!$C$6:$BO$6,0)),""))=0,"",IF($B63="","",IFERROR(INDEX('Auxiliar Resultados'!$C$9:$BO$50,MATCH($B63,'Auxiliar Resultados'!$B$9:$B$50,0),MATCH(CONCATENATE($C63,I$7),'Auxiliar Resultados'!$C$6:$BO$6,0)),"")))</f>
        <v/>
      </c>
      <c r="J63" s="283" t="str">
        <f>+IF(IF($B63="","",IFERROR(INDEX('Auxiliar Resultados'!$C$9:$BO$50,MATCH($B63,'Auxiliar Resultados'!$B$9:$B$50,0),MATCH(CONCATENATE($C63,J$7),'Auxiliar Resultados'!$C$6:$BO$6,0)),""))=0,"",IF($B63="","",IFERROR(INDEX('Auxiliar Resultados'!$C$9:$BO$50,MATCH($B63,'Auxiliar Resultados'!$B$9:$B$50,0),MATCH(CONCATENATE($C63,J$7),'Auxiliar Resultados'!$C$6:$BO$6,0)),"")))</f>
        <v/>
      </c>
      <c r="K63" s="283" t="str">
        <f>+IF(IF($B63="","",IFERROR(INDEX('Auxiliar Resultados'!$C$9:$BO$50,MATCH($B63,'Auxiliar Resultados'!$B$9:$B$50,0),MATCH(CONCATENATE($C63,K$7),'Auxiliar Resultados'!$C$6:$BO$6,0)),""))=0,"",IF($B63="","",IFERROR(INDEX('Auxiliar Resultados'!$C$9:$BO$50,MATCH($B63,'Auxiliar Resultados'!$B$9:$B$50,0),MATCH(CONCATENATE($C63,K$7),'Auxiliar Resultados'!$C$6:$BO$6,0)),"")))</f>
        <v/>
      </c>
      <c r="L63" s="283" t="str">
        <f>+IF(IF($B63="","",IFERROR(INDEX('Auxiliar Resultados'!$C$9:$BO$50,MATCH($B63,'Auxiliar Resultados'!$B$9:$B$50,0),MATCH(CONCATENATE($C63,L$7),'Auxiliar Resultados'!$C$6:$BO$6,0)),""))=0,"",IF($B63="","",IFERROR(INDEX('Auxiliar Resultados'!$C$9:$BO$50,MATCH($B63,'Auxiliar Resultados'!$B$9:$B$50,0),MATCH(CONCATENATE($C63,L$7),'Auxiliar Resultados'!$C$6:$BO$6,0)),"")))</f>
        <v/>
      </c>
      <c r="M63" s="283" t="str">
        <f>+IF(IF($B63="","",IFERROR(INDEX('Auxiliar Resultados'!$C$9:$BO$50,MATCH($B63,'Auxiliar Resultados'!$B$9:$B$50,0),MATCH(CONCATENATE($C63,M$7),'Auxiliar Resultados'!$C$6:$BO$6,0)),""))=0,"",IF($B63="","",IFERROR(INDEX('Auxiliar Resultados'!$C$9:$BO$50,MATCH($B63,'Auxiliar Resultados'!$B$9:$B$50,0),MATCH(CONCATENATE($C63,M$7),'Auxiliar Resultados'!$C$6:$BO$6,0)),"")))</f>
        <v/>
      </c>
      <c r="N63" s="283" t="str">
        <f>+IF(IF($B63="","",IFERROR(INDEX('Auxiliar Resultados'!$C$9:$BO$50,MATCH($B63,'Auxiliar Resultados'!$B$9:$B$50,0),MATCH(CONCATENATE($C63,N$7),'Auxiliar Resultados'!$C$6:$BO$6,0)),""))=0,"",IF($B63="","",IFERROR(INDEX('Auxiliar Resultados'!$C$9:$BO$50,MATCH($B63,'Auxiliar Resultados'!$B$9:$B$50,0),MATCH(CONCATENATE($C63,N$7),'Auxiliar Resultados'!$C$6:$BO$6,0)),"")))</f>
        <v/>
      </c>
      <c r="O63" s="283" t="str">
        <f>+IF(IF($B63="","",IFERROR(INDEX('Auxiliar Resultados'!$C$9:$BO$50,MATCH($B63,'Auxiliar Resultados'!$B$9:$B$50,0),MATCH(CONCATENATE($C63,O$7),'Auxiliar Resultados'!$C$6:$BO$6,0)),""))=0,"",IF($B63="","",IFERROR(INDEX('Auxiliar Resultados'!$C$9:$BO$50,MATCH($B63,'Auxiliar Resultados'!$B$9:$B$50,0),MATCH(CONCATENATE($C63,O$7),'Auxiliar Resultados'!$C$6:$BO$6,0)),"")))</f>
        <v/>
      </c>
      <c r="P63" s="283" t="str">
        <f>+IF(IF($B63="","",IFERROR(INDEX('Auxiliar Resultados'!$C$9:$BO$50,MATCH($B63,'Auxiliar Resultados'!$B$9:$B$50,0),MATCH(CONCATENATE($C63,P$7),'Auxiliar Resultados'!$C$6:$BO$6,0)),""))=0,"",IF($B63="","",IFERROR(INDEX('Auxiliar Resultados'!$C$9:$BO$50,MATCH($B63,'Auxiliar Resultados'!$B$9:$B$50,0),MATCH(CONCATENATE($C63,P$7),'Auxiliar Resultados'!$C$6:$BO$6,0)),"")))</f>
        <v/>
      </c>
      <c r="Q63" s="283" t="str">
        <f>+IF(IF($B63="","",IFERROR(INDEX('Auxiliar Resultados'!$C$9:$BO$50,MATCH($B63,'Auxiliar Resultados'!$B$9:$B$50,0),MATCH(CONCATENATE($C63,Q$7),'Auxiliar Resultados'!$C$6:$BO$6,0)),""))=0,"",IF($B63="","",IFERROR(INDEX('Auxiliar Resultados'!$C$9:$BO$50,MATCH($B63,'Auxiliar Resultados'!$B$9:$B$50,0),MATCH(CONCATENATE($C63,Q$7),'Auxiliar Resultados'!$C$6:$BO$6,0)),"")))</f>
        <v/>
      </c>
      <c r="R63" s="283" t="str">
        <f>+IF(IF($B63="","",IFERROR(INDEX('Auxiliar Resultados'!$C$9:$BO$50,MATCH($B63,'Auxiliar Resultados'!$B$9:$B$50,0),MATCH(CONCATENATE($C63,R$7),'Auxiliar Resultados'!$C$6:$BO$6,0)),""))=0,"",IF($B63="","",IFERROR(INDEX('Auxiliar Resultados'!$C$9:$BO$50,MATCH($B63,'Auxiliar Resultados'!$B$9:$B$50,0),MATCH(CONCATENATE($C63,R$7),'Auxiliar Resultados'!$C$6:$BO$6,0)),"")))</f>
        <v/>
      </c>
      <c r="S63" s="283" t="str">
        <f>+IF(IF($B63="","",IFERROR(INDEX('Auxiliar Resultados'!$C$9:$BO$50,MATCH($B63,'Auxiliar Resultados'!$B$9:$B$50,0),MATCH(CONCATENATE($C63,S$7),'Auxiliar Resultados'!$C$6:$BO$6,0)),""))=0,"",IF($B63="","",IFERROR(INDEX('Auxiliar Resultados'!$C$9:$BO$50,MATCH($B63,'Auxiliar Resultados'!$B$9:$B$50,0),MATCH(CONCATENATE($C63,S$7),'Auxiliar Resultados'!$C$6:$BO$6,0)),"")))</f>
        <v/>
      </c>
      <c r="T63" s="283" t="str">
        <f>+IF(IF($B63="","",IFERROR(INDEX('Auxiliar Resultados'!$C$9:$BO$50,MATCH($B63,'Auxiliar Resultados'!$B$9:$B$50,0),MATCH(CONCATENATE($C63,T$7),'Auxiliar Resultados'!$C$6:$BO$6,0)),""))=0,"",IF($B63="","",IFERROR(INDEX('Auxiliar Resultados'!$C$9:$BO$50,MATCH($B63,'Auxiliar Resultados'!$B$9:$B$50,0),MATCH(CONCATENATE($C63,T$7),'Auxiliar Resultados'!$C$6:$BO$6,0)),"")))</f>
        <v/>
      </c>
      <c r="U63" s="283" t="str">
        <f>+IF(IF($B63="","",IFERROR(INDEX('Auxiliar Resultados'!$C$9:$BO$50,MATCH($B63,'Auxiliar Resultados'!$B$9:$B$50,0),MATCH(CONCATENATE($C63,U$7),'Auxiliar Resultados'!$C$6:$BO$6,0)),""))=0,"",IF($B63="","",IFERROR(INDEX('Auxiliar Resultados'!$C$9:$BO$50,MATCH($B63,'Auxiliar Resultados'!$B$9:$B$50,0),MATCH(CONCATENATE($C63,U$7),'Auxiliar Resultados'!$C$6:$BO$6,0)),"")))</f>
        <v/>
      </c>
      <c r="V63" s="283" t="str">
        <f>+IF(IF($B63="","",IFERROR(INDEX('Auxiliar Resultados'!$C$9:$BO$50,MATCH($B63,'Auxiliar Resultados'!$B$9:$B$50,0),MATCH(CONCATENATE($C63,V$7),'Auxiliar Resultados'!$C$6:$BO$6,0)),""))=0,"",IF($B63="","",IFERROR(INDEX('Auxiliar Resultados'!$C$9:$BO$50,MATCH($B63,'Auxiliar Resultados'!$B$9:$B$50,0),MATCH(CONCATENATE($C63,V$7),'Auxiliar Resultados'!$C$6:$BO$6,0)),"")))</f>
        <v/>
      </c>
      <c r="W63" s="283" t="str">
        <f>+IF(IF($B63="","",IFERROR(INDEX('Auxiliar Resultados'!$C$9:$BO$50,MATCH($B63,'Auxiliar Resultados'!$B$9:$B$50,0),MATCH(CONCATENATE($C63,W$7),'Auxiliar Resultados'!$C$6:$BO$6,0)),""))=0,"",IF($B63="","",IFERROR(INDEX('Auxiliar Resultados'!$C$9:$BO$50,MATCH($B63,'Auxiliar Resultados'!$B$9:$B$50,0),MATCH(CONCATENATE($C63,W$7),'Auxiliar Resultados'!$C$6:$BO$6,0)),"")))</f>
        <v/>
      </c>
      <c r="X63" s="283" t="str">
        <f>+IF(IF($B63="","",IFERROR(INDEX('Auxiliar Resultados'!$C$9:$BO$50,MATCH($B63,'Auxiliar Resultados'!$B$9:$B$50,0),MATCH(CONCATENATE($C63,X$7),'Auxiliar Resultados'!$C$6:$BO$6,0)),""))=0,"",IF($B63="","",IFERROR(INDEX('Auxiliar Resultados'!$C$9:$BO$50,MATCH($B63,'Auxiliar Resultados'!$B$9:$B$50,0),MATCH(CONCATENATE($C63,X$7),'Auxiliar Resultados'!$C$6:$BO$6,0)),"")))</f>
        <v/>
      </c>
      <c r="Y63" s="283" t="str">
        <f>+IF(IF($B63="","",IFERROR(INDEX('Auxiliar Resultados'!$C$9:$BO$50,MATCH($B63,'Auxiliar Resultados'!$B$9:$B$50,0),MATCH(CONCATENATE($C63,Y$7),'Auxiliar Resultados'!$C$6:$BO$6,0)),""))=0,"",IF($B63="","",IFERROR(INDEX('Auxiliar Resultados'!$C$9:$BO$50,MATCH($B63,'Auxiliar Resultados'!$B$9:$B$50,0),MATCH(CONCATENATE($C63,Y$7),'Auxiliar Resultados'!$C$6:$BO$6,0)),"")))</f>
        <v/>
      </c>
      <c r="Z63" s="283" t="str">
        <f>+IF(IF($B63="","",IFERROR(INDEX('Auxiliar Resultados'!$C$9:$BO$50,MATCH($B63,'Auxiliar Resultados'!$B$9:$B$50,0),MATCH(CONCATENATE($C63,Z$7),'Auxiliar Resultados'!$C$6:$BO$6,0)),""))=0,"",IF($B63="","",IFERROR(INDEX('Auxiliar Resultados'!$C$9:$BO$50,MATCH($B63,'Auxiliar Resultados'!$B$9:$B$50,0),MATCH(CONCATENATE($C63,Z$7),'Auxiliar Resultados'!$C$6:$BO$6,0)),"")))</f>
        <v/>
      </c>
      <c r="AA63" s="283" t="str">
        <f>+IF(IF($B63="","",IFERROR(INDEX('Auxiliar Resultados'!$C$9:$BO$50,MATCH($B63,'Auxiliar Resultados'!$B$9:$B$50,0),MATCH(CONCATENATE($C63,AA$7),'Auxiliar Resultados'!$C$6:$BO$6,0)),""))=0,"",IF($B63="","",IFERROR(INDEX('Auxiliar Resultados'!$C$9:$BO$50,MATCH($B63,'Auxiliar Resultados'!$B$9:$B$50,0),MATCH(CONCATENATE($C63,AA$7),'Auxiliar Resultados'!$C$6:$BO$6,0)),"")))</f>
        <v/>
      </c>
      <c r="AB63" s="283" t="str">
        <f>+IF(IF($B63="","",IFERROR(INDEX('Auxiliar Resultados'!$C$9:$BO$50,MATCH($B63,'Auxiliar Resultados'!$B$9:$B$50,0),MATCH(CONCATENATE($C63,AB$7),'Auxiliar Resultados'!$C$6:$BO$6,0)),""))=0,"",IF($B63="","",IFERROR(INDEX('Auxiliar Resultados'!$C$9:$BO$50,MATCH($B63,'Auxiliar Resultados'!$B$9:$B$50,0),MATCH(CONCATENATE($C63,AB$7),'Auxiliar Resultados'!$C$6:$BO$6,0)),"")))</f>
        <v/>
      </c>
      <c r="AC63" s="283" t="str">
        <f>+IF(IF($B63="","",IFERROR(INDEX('Auxiliar Resultados'!$C$9:$BO$50,MATCH($B63,'Auxiliar Resultados'!$B$9:$B$50,0),MATCH(CONCATENATE($C63,AC$7),'Auxiliar Resultados'!$C$6:$BO$6,0)),""))=0,"",IF($B63="","",IFERROR(INDEX('Auxiliar Resultados'!$C$9:$BO$50,MATCH($B63,'Auxiliar Resultados'!$B$9:$B$50,0),MATCH(CONCATENATE($C63,AC$7),'Auxiliar Resultados'!$C$6:$BO$6,0)),"")))</f>
        <v/>
      </c>
      <c r="AD63" s="283" t="str">
        <f>+IF(IF($B63="","",IFERROR(INDEX('Auxiliar Resultados'!$C$9:$BO$50,MATCH($B63,'Auxiliar Resultados'!$B$9:$B$50,0),MATCH(CONCATENATE($C63,AD$7),'Auxiliar Resultados'!$C$6:$BO$6,0)),""))=0,"",IF($B63="","",IFERROR(INDEX('Auxiliar Resultados'!$C$9:$BO$50,MATCH($B63,'Auxiliar Resultados'!$B$9:$B$50,0),MATCH(CONCATENATE($C63,AD$7),'Auxiliar Resultados'!$C$6:$BO$6,0)),"")))</f>
        <v/>
      </c>
      <c r="AE63" s="283" t="str">
        <f>+IF(IF($B63="","",IFERROR(INDEX('Auxiliar Resultados'!$C$9:$BO$50,MATCH($B63,'Auxiliar Resultados'!$B$9:$B$50,0),MATCH(CONCATENATE($C63,AE$7),'Auxiliar Resultados'!$C$6:$BO$6,0)),""))=0,"",IF($B63="","",IFERROR(INDEX('Auxiliar Resultados'!$C$9:$BO$50,MATCH($B63,'Auxiliar Resultados'!$B$9:$B$50,0),MATCH(CONCATENATE($C63,AE$7),'Auxiliar Resultados'!$C$6:$BO$6,0)),"")))</f>
        <v/>
      </c>
      <c r="AF63" s="283" t="str">
        <f>+IF(IF($B63="","",IFERROR(INDEX('Auxiliar Resultados'!$C$9:$BO$50,MATCH($B63,'Auxiliar Resultados'!$B$9:$B$50,0),MATCH(CONCATENATE($C63,AF$7),'Auxiliar Resultados'!$C$6:$BO$6,0)),""))=0,"",IF($B63="","",IFERROR(INDEX('Auxiliar Resultados'!$C$9:$BO$50,MATCH($B63,'Auxiliar Resultados'!$B$9:$B$50,0),MATCH(CONCATENATE($C63,AF$7),'Auxiliar Resultados'!$C$6:$BO$6,0)),"")))</f>
        <v/>
      </c>
      <c r="AG63" s="283" t="str">
        <f>+IF(IF($B63="","",IFERROR(INDEX('Auxiliar Resultados'!$C$9:$BO$50,MATCH($B63,'Auxiliar Resultados'!$B$9:$B$50,0),MATCH(CONCATENATE($C63,AG$7),'Auxiliar Resultados'!$C$6:$BO$6,0)),""))=0,"",IF($B63="","",IFERROR(INDEX('Auxiliar Resultados'!$C$9:$BO$50,MATCH($B63,'Auxiliar Resultados'!$B$9:$B$50,0),MATCH(CONCATENATE($C63,AG$7),'Auxiliar Resultados'!$C$6:$BO$6,0)),"")))</f>
        <v/>
      </c>
      <c r="AH63" s="283" t="str">
        <f>+IF(IF($B63="","",IFERROR(INDEX('Auxiliar Resultados'!$C$9:$BO$50,MATCH($B63,'Auxiliar Resultados'!$B$9:$B$50,0),MATCH(CONCATENATE($C63,AH$7),'Auxiliar Resultados'!$C$6:$BO$6,0)),""))=0,"",IF($B63="","",IFERROR(INDEX('Auxiliar Resultados'!$C$9:$BO$50,MATCH($B63,'Auxiliar Resultados'!$B$9:$B$50,0),MATCH(CONCATENATE($C63,AH$7),'Auxiliar Resultados'!$C$6:$BO$6,0)),"")))</f>
        <v/>
      </c>
      <c r="AI63" s="283" t="str">
        <f>+IF(IF($B63="","",IFERROR(INDEX('Auxiliar Resultados'!$C$9:$BO$50,MATCH($B63,'Auxiliar Resultados'!$B$9:$B$50,0),MATCH(CONCATENATE($C63,AI$7),'Auxiliar Resultados'!$C$6:$BO$6,0)),""))=0,"",IF($B63="","",IFERROR(INDEX('Auxiliar Resultados'!$C$9:$BO$50,MATCH($B63,'Auxiliar Resultados'!$B$9:$B$50,0),MATCH(CONCATENATE($C63,AI$7),'Auxiliar Resultados'!$C$6:$BO$6,0)),"")))</f>
        <v/>
      </c>
      <c r="AJ63" s="283" t="str">
        <f>+IF(IF($B63="","",IFERROR(INDEX('Auxiliar Resultados'!$C$9:$BO$50,MATCH($B63,'Auxiliar Resultados'!$B$9:$B$50,0),MATCH(CONCATENATE($C63,AJ$7),'Auxiliar Resultados'!$C$6:$BO$6,0)),""))=0,"",IF($B63="","",IFERROR(INDEX('Auxiliar Resultados'!$C$9:$BO$50,MATCH($B63,'Auxiliar Resultados'!$B$9:$B$50,0),MATCH(CONCATENATE($C63,AJ$7),'Auxiliar Resultados'!$C$6:$BO$6,0)),"")))</f>
        <v/>
      </c>
      <c r="AK63" s="283" t="str">
        <f>+IF(IF($B63="","",IFERROR(INDEX('Auxiliar Resultados'!$C$9:$BO$50,MATCH($B63,'Auxiliar Resultados'!$B$9:$B$50,0),MATCH(CONCATENATE($C63,AK$7),'Auxiliar Resultados'!$C$6:$BO$6,0)),""))=0,"",IF($B63="","",IFERROR(INDEX('Auxiliar Resultados'!$C$9:$BO$50,MATCH($B63,'Auxiliar Resultados'!$B$9:$B$50,0),MATCH(CONCATENATE($C63,AK$7),'Auxiliar Resultados'!$C$6:$BO$6,0)),"")))</f>
        <v/>
      </c>
      <c r="AL63" s="283" t="str">
        <f>+IF(IF($B63="","",IFERROR(INDEX('Auxiliar Resultados'!$C$9:$BO$50,MATCH($B63,'Auxiliar Resultados'!$B$9:$B$50,0),MATCH(CONCATENATE($C63,AL$7),'Auxiliar Resultados'!$C$6:$BO$6,0)),""))=0,"",IF($B63="","",IFERROR(INDEX('Auxiliar Resultados'!$C$9:$BO$50,MATCH($B63,'Auxiliar Resultados'!$B$9:$B$50,0),MATCH(CONCATENATE($C63,AL$7),'Auxiliar Resultados'!$C$6:$BO$6,0)),"")))</f>
        <v/>
      </c>
      <c r="AM63" s="283" t="str">
        <f>+IF(IF($B63="","",IFERROR(INDEX('Auxiliar Resultados'!$C$9:$BO$50,MATCH($B63,'Auxiliar Resultados'!$B$9:$B$50,0),MATCH(CONCATENATE($C63,AM$7),'Auxiliar Resultados'!$C$6:$BO$6,0)),""))=0,"",IF($B63="","",IFERROR(INDEX('Auxiliar Resultados'!$C$9:$BO$50,MATCH($B63,'Auxiliar Resultados'!$B$9:$B$50,0),MATCH(CONCATENATE($C63,AM$7),'Auxiliar Resultados'!$C$6:$BO$6,0)),"")))</f>
        <v/>
      </c>
      <c r="AN63" s="283" t="str">
        <f>+IF(IF($B63="","",IFERROR(INDEX('Auxiliar Resultados'!$C$9:$BO$50,MATCH($B63,'Auxiliar Resultados'!$B$9:$B$50,0),MATCH(CONCATENATE($C63,AN$7),'Auxiliar Resultados'!$C$6:$BO$6,0)),""))=0,"",IF($B63="","",IFERROR(INDEX('Auxiliar Resultados'!$C$9:$BO$50,MATCH($B63,'Auxiliar Resultados'!$B$9:$B$50,0),MATCH(CONCATENATE($C63,AN$7),'Auxiliar Resultados'!$C$6:$BO$6,0)),"")))</f>
        <v/>
      </c>
      <c r="AO63" s="283" t="str">
        <f>+IF(IF($B63="","",IFERROR(INDEX('Auxiliar Resultados'!$C$9:$BO$50,MATCH($B63,'Auxiliar Resultados'!$B$9:$B$50,0),MATCH(CONCATENATE($C63,AO$7),'Auxiliar Resultados'!$C$6:$BO$6,0)),""))=0,"",IF($B63="","",IFERROR(INDEX('Auxiliar Resultados'!$C$9:$BO$50,MATCH($B63,'Auxiliar Resultados'!$B$9:$B$50,0),MATCH(CONCATENATE($C63,AO$7),'Auxiliar Resultados'!$C$6:$BO$6,0)),"")))</f>
        <v/>
      </c>
      <c r="AP63" s="283" t="str">
        <f>+IF(IF($B63="","",IFERROR(INDEX('Auxiliar Resultados'!$C$9:$BO$50,MATCH($B63,'Auxiliar Resultados'!$B$9:$B$50,0),MATCH(CONCATENATE($C63,AP$7),'Auxiliar Resultados'!$C$6:$BO$6,0)),""))=0,"",IF($B63="","",IFERROR(INDEX('Auxiliar Resultados'!$C$9:$BO$50,MATCH($B63,'Auxiliar Resultados'!$B$9:$B$50,0),MATCH(CONCATENATE($C63,AP$7),'Auxiliar Resultados'!$C$6:$BO$6,0)),"")))</f>
        <v/>
      </c>
      <c r="AQ63" s="277" t="str">
        <f>+IF(IF($B63="","",IFERROR(INDEX('Auxiliar Resultados'!$C$9:$BO$50,MATCH($B63,'Auxiliar Resultados'!$B$9:$B$50,0),MATCH(CONCATENATE($C63,AQ$7),'Auxiliar Resultados'!$C$6:$BO$6,0)),""))=0,"",IF($B63="","",IFERROR(INDEX('Auxiliar Resultados'!$C$9:$BO$50,MATCH($B63,'Auxiliar Resultados'!$B$9:$B$50,0),MATCH(CONCATENATE($C63,AQ$7),'Auxiliar Resultados'!$C$6:$BO$6,0)),"")))</f>
        <v/>
      </c>
      <c r="AS63" s="50" t="str">
        <f t="shared" si="5"/>
        <v/>
      </c>
      <c r="AT63" s="293" t="str">
        <f t="shared" si="6"/>
        <v/>
      </c>
      <c r="AU63" s="38" t="str">
        <f>+IF(G63="","",INDEX('Modelo Optimización'!$AZ$4:$CO$149,MATCH(CONCATENATE(AU$7,$AT63),'Modelo Optimización'!$CQ$4:$CQ$149,0),MATCH($AS63,'Modelo Optimización'!$AZ$3:$CO$3,0)))</f>
        <v/>
      </c>
      <c r="AV63" s="39" t="str">
        <f>+IF(H63="","",INDEX('Modelo Optimización'!$AZ$4:$CO$149,MATCH(CONCATENATE(AV$7,$AT63),'Modelo Optimización'!$CQ$4:$CQ$149,0),MATCH($AS63,'Modelo Optimización'!$AZ$3:$CO$3,0)))</f>
        <v/>
      </c>
      <c r="AW63" s="39" t="str">
        <f>+IF(I63="","",INDEX('Modelo Optimización'!$AZ$4:$CO$149,MATCH(CONCATENATE(AW$7,$AT63),'Modelo Optimización'!$CQ$4:$CQ$149,0),MATCH($AS63,'Modelo Optimización'!$AZ$3:$CO$3,0)))</f>
        <v/>
      </c>
      <c r="AX63" s="39" t="str">
        <f>+IF(J63="","",INDEX('Modelo Optimización'!$AZ$4:$CO$149,MATCH(CONCATENATE(AX$7,$AT63),'Modelo Optimización'!$CQ$4:$CQ$149,0),MATCH($AS63,'Modelo Optimización'!$AZ$3:$CO$3,0)))</f>
        <v/>
      </c>
      <c r="AY63" s="39" t="str">
        <f>+IF(K63="","",INDEX('Modelo Optimización'!$AZ$4:$CO$149,MATCH(CONCATENATE(AY$7,$AT63),'Modelo Optimización'!$CQ$4:$CQ$149,0),MATCH($AS63,'Modelo Optimización'!$AZ$3:$CO$3,0)))</f>
        <v/>
      </c>
      <c r="AZ63" s="39" t="str">
        <f>+IF(L63="","",INDEX('Modelo Optimización'!$AZ$4:$CO$149,MATCH(CONCATENATE(AZ$7,$AT63),'Modelo Optimización'!$CQ$4:$CQ$149,0),MATCH($AS63,'Modelo Optimización'!$AZ$3:$CO$3,0)))</f>
        <v/>
      </c>
      <c r="BA63" s="39" t="str">
        <f>+IF(M63="","",INDEX('Modelo Optimización'!$AZ$4:$CO$149,MATCH(CONCATENATE(BA$7,$AT63),'Modelo Optimización'!$CQ$4:$CQ$149,0),MATCH($AS63,'Modelo Optimización'!$AZ$3:$CO$3,0)))</f>
        <v/>
      </c>
      <c r="BB63" s="39" t="str">
        <f>+IF(N63="","",INDEX('Modelo Optimización'!$AZ$4:$CO$149,MATCH(CONCATENATE(BB$7,$AT63),'Modelo Optimización'!$CQ$4:$CQ$149,0),MATCH($AS63,'Modelo Optimización'!$AZ$3:$CO$3,0)))</f>
        <v/>
      </c>
      <c r="BC63" s="39" t="str">
        <f>+IF(O63="","",INDEX('Modelo Optimización'!$AZ$4:$CO$149,MATCH(CONCATENATE(BC$7,$AT63),'Modelo Optimización'!$CQ$4:$CQ$149,0),MATCH($AS63,'Modelo Optimización'!$AZ$3:$CO$3,0)))</f>
        <v/>
      </c>
      <c r="BD63" s="39" t="str">
        <f>+IF(P63="","",INDEX('Modelo Optimización'!$AZ$4:$CO$149,MATCH(CONCATENATE(BD$7,$AT63),'Modelo Optimización'!$CQ$4:$CQ$149,0),MATCH($AS63,'Modelo Optimización'!$AZ$3:$CO$3,0)))</f>
        <v/>
      </c>
      <c r="BE63" s="39" t="str">
        <f>+IF(Q63="","",INDEX('Modelo Optimización'!$AZ$4:$CO$149,MATCH(CONCATENATE(BE$7,$AT63),'Modelo Optimización'!$CQ$4:$CQ$149,0),MATCH($AS63,'Modelo Optimización'!$AZ$3:$CO$3,0)))</f>
        <v/>
      </c>
      <c r="BF63" s="39" t="str">
        <f>+IF(R63="","",INDEX('Modelo Optimización'!$AZ$4:$CO$149,MATCH(CONCATENATE(BF$7,$AT63),'Modelo Optimización'!$CQ$4:$CQ$149,0),MATCH($AS63,'Modelo Optimización'!$AZ$3:$CO$3,0)))</f>
        <v/>
      </c>
      <c r="BG63" s="39" t="str">
        <f>+IF(S63="","",INDEX('Modelo Optimización'!$AZ$4:$CO$149,MATCH(CONCATENATE(BG$7,$AT63),'Modelo Optimización'!$CQ$4:$CQ$149,0),MATCH($AS63,'Modelo Optimización'!$AZ$3:$CO$3,0)))</f>
        <v/>
      </c>
      <c r="BH63" s="39" t="str">
        <f>+IF(T63="","",INDEX('Modelo Optimización'!$AZ$4:$CO$149,MATCH(CONCATENATE(BH$7,$AT63),'Modelo Optimización'!$CQ$4:$CQ$149,0),MATCH($AS63,'Modelo Optimización'!$AZ$3:$CO$3,0)))</f>
        <v/>
      </c>
      <c r="BI63" s="39" t="str">
        <f>+IF(U63="","",INDEX('Modelo Optimización'!$AZ$4:$CO$149,MATCH(CONCATENATE(BI$7,$AT63),'Modelo Optimización'!$CQ$4:$CQ$149,0),MATCH($AS63,'Modelo Optimización'!$AZ$3:$CO$3,0)))</f>
        <v/>
      </c>
      <c r="BJ63" s="39" t="str">
        <f>+IF(V63="","",INDEX('Modelo Optimización'!$AZ$4:$CO$149,MATCH(CONCATENATE(BJ$7,$AT63),'Modelo Optimización'!$CQ$4:$CQ$149,0),MATCH($AS63,'Modelo Optimización'!$AZ$3:$CO$3,0)))</f>
        <v/>
      </c>
      <c r="BK63" s="39" t="str">
        <f>+IF(W63="","",INDEX('Modelo Optimización'!$AZ$4:$CO$149,MATCH(CONCATENATE(BK$7,$AT63),'Modelo Optimización'!$CQ$4:$CQ$149,0),MATCH($AS63,'Modelo Optimización'!$AZ$3:$CO$3,0)))</f>
        <v/>
      </c>
      <c r="BL63" s="39" t="str">
        <f>+IF(X63="","",INDEX('Modelo Optimización'!$AZ$4:$CO$149,MATCH(CONCATENATE(BL$7,$AT63),'Modelo Optimización'!$CQ$4:$CQ$149,0),MATCH($AS63,'Modelo Optimización'!$AZ$3:$CO$3,0)))</f>
        <v/>
      </c>
      <c r="BM63" s="39" t="str">
        <f>+IF(Y63="","",INDEX('Modelo Optimización'!$AZ$4:$CO$149,MATCH(CONCATENATE(BM$7,$AT63),'Modelo Optimización'!$CQ$4:$CQ$149,0),MATCH($AS63,'Modelo Optimización'!$AZ$3:$CO$3,0)))</f>
        <v/>
      </c>
      <c r="BN63" s="39" t="str">
        <f>+IF(Z63="","",INDEX('Modelo Optimización'!$AZ$4:$CO$149,MATCH(CONCATENATE(BN$7,$AT63),'Modelo Optimización'!$CQ$4:$CQ$149,0),MATCH($AS63,'Modelo Optimización'!$AZ$3:$CO$3,0)))</f>
        <v/>
      </c>
      <c r="BO63" s="39" t="str">
        <f>+IF(AA63="","",INDEX('Modelo Optimización'!$AZ$4:$CO$149,MATCH(CONCATENATE(BO$7,$AT63),'Modelo Optimización'!$CQ$4:$CQ$149,0),MATCH($AS63,'Modelo Optimización'!$AZ$3:$CO$3,0)))</f>
        <v/>
      </c>
      <c r="BP63" s="39" t="str">
        <f>+IF(AB63="","",INDEX('Modelo Optimización'!$AZ$4:$CO$149,MATCH(CONCATENATE(BP$7,$AT63),'Modelo Optimización'!$CQ$4:$CQ$149,0),MATCH($AS63,'Modelo Optimización'!$AZ$3:$CO$3,0)))</f>
        <v/>
      </c>
      <c r="BQ63" s="39" t="str">
        <f>+IF(AC63="","",INDEX('Modelo Optimización'!$AZ$4:$CO$149,MATCH(CONCATENATE(BQ$7,$AT63),'Modelo Optimización'!$CQ$4:$CQ$149,0),MATCH($AS63,'Modelo Optimización'!$AZ$3:$CO$3,0)))</f>
        <v/>
      </c>
      <c r="BR63" s="39" t="str">
        <f>+IF(AD63="","",INDEX('Modelo Optimización'!$AZ$4:$CO$149,MATCH(CONCATENATE(BR$7,$AT63),'Modelo Optimización'!$CQ$4:$CQ$149,0),MATCH($AS63,'Modelo Optimización'!$AZ$3:$CO$3,0)))</f>
        <v/>
      </c>
      <c r="BS63" s="39" t="str">
        <f>+IF(AE63="","",INDEX('Modelo Optimización'!$AZ$4:$CO$149,MATCH(CONCATENATE(BS$7,$AT63),'Modelo Optimización'!$CQ$4:$CQ$149,0),MATCH($AS63,'Modelo Optimización'!$AZ$3:$CO$3,0)))</f>
        <v/>
      </c>
      <c r="BT63" s="39" t="str">
        <f>+IF(AF63="","",INDEX('Modelo Optimización'!$AZ$4:$CO$149,MATCH(CONCATENATE(BT$7,$AT63),'Modelo Optimización'!$CQ$4:$CQ$149,0),MATCH($AS63,'Modelo Optimización'!$AZ$3:$CO$3,0)))</f>
        <v/>
      </c>
      <c r="BU63" s="39" t="str">
        <f>+IF(AG63="","",INDEX('Modelo Optimización'!$AZ$4:$CO$149,MATCH(CONCATENATE(BU$7,$AT63),'Modelo Optimización'!$CQ$4:$CQ$149,0),MATCH($AS63,'Modelo Optimización'!$AZ$3:$CO$3,0)))</f>
        <v/>
      </c>
      <c r="BV63" s="39" t="str">
        <f>+IF(AH63="","",INDEX('Modelo Optimización'!$AZ$4:$CO$149,MATCH(CONCATENATE(BV$7,$AT63),'Modelo Optimización'!$CQ$4:$CQ$149,0),MATCH($AS63,'Modelo Optimización'!$AZ$3:$CO$3,0)))</f>
        <v/>
      </c>
      <c r="BW63" s="39" t="str">
        <f>+IF(AI63="","",INDEX('Modelo Optimización'!$AZ$4:$CO$149,MATCH(CONCATENATE(BW$7,$AT63),'Modelo Optimización'!$CQ$4:$CQ$149,0),MATCH($AS63,'Modelo Optimización'!$AZ$3:$CO$3,0)))</f>
        <v/>
      </c>
      <c r="BX63" s="39" t="str">
        <f>+IF(AJ63="","",INDEX('Modelo Optimización'!$AZ$4:$CO$149,MATCH(CONCATENATE(BX$7,$AT63),'Modelo Optimización'!$CQ$4:$CQ$149,0),MATCH($AS63,'Modelo Optimización'!$AZ$3:$CO$3,0)))</f>
        <v/>
      </c>
      <c r="BY63" s="39" t="str">
        <f>+IF(AK63="","",INDEX('Modelo Optimización'!$AZ$4:$CO$149,MATCH(CONCATENATE(BY$7,$AT63),'Modelo Optimización'!$CQ$4:$CQ$149,0),MATCH($AS63,'Modelo Optimización'!$AZ$3:$CO$3,0)))</f>
        <v/>
      </c>
      <c r="BZ63" s="39" t="str">
        <f>+IF(AL63="","",INDEX('Modelo Optimización'!$AZ$4:$CO$149,MATCH(CONCATENATE(BZ$7,$AT63),'Modelo Optimización'!$CQ$4:$CQ$149,0),MATCH($AS63,'Modelo Optimización'!$AZ$3:$CO$3,0)))</f>
        <v/>
      </c>
      <c r="CA63" s="39" t="str">
        <f>+IF(AM63="","",INDEX('Modelo Optimización'!$AZ$4:$CO$149,MATCH(CONCATENATE(CA$7,$AT63),'Modelo Optimización'!$CQ$4:$CQ$149,0),MATCH($AS63,'Modelo Optimización'!$AZ$3:$CO$3,0)))</f>
        <v/>
      </c>
      <c r="CB63" s="39" t="str">
        <f>+IF(AN63="","",INDEX('Modelo Optimización'!$AZ$4:$CO$149,MATCH(CONCATENATE(CB$7,$AT63),'Modelo Optimización'!$CQ$4:$CQ$149,0),MATCH($AS63,'Modelo Optimización'!$AZ$3:$CO$3,0)))</f>
        <v/>
      </c>
      <c r="CC63" s="39" t="str">
        <f>+IF(AO63="","",INDEX('Modelo Optimización'!$AZ$4:$CO$149,MATCH(CONCATENATE(CC$7,$AT63),'Modelo Optimización'!$CQ$4:$CQ$149,0),MATCH($AS63,'Modelo Optimización'!$AZ$3:$CO$3,0)))</f>
        <v/>
      </c>
      <c r="CD63" s="39" t="str">
        <f>+IF(AP63="","",INDEX('Modelo Optimización'!$AZ$4:$CO$149,MATCH(CONCATENATE(CD$7,$AT63),'Modelo Optimización'!$CQ$4:$CQ$149,0),MATCH($AS63,'Modelo Optimización'!$AZ$3:$CO$3,0)))</f>
        <v/>
      </c>
      <c r="CE63" s="40" t="str">
        <f>+IF(AQ63="","",INDEX('Modelo Optimización'!$AZ$4:$CO$149,MATCH(CONCATENATE(CE$7,$AT63),'Modelo Optimización'!$CQ$4:$CQ$149,0),MATCH($AS63,'Modelo Optimización'!$AZ$3:$CO$3,0)))</f>
        <v/>
      </c>
      <c r="CF63" s="301"/>
      <c r="CG63" s="263" t="str">
        <f t="shared" si="11"/>
        <v/>
      </c>
      <c r="CH63" s="304" t="str">
        <f t="shared" si="7"/>
        <v/>
      </c>
      <c r="CI63" s="293" t="str">
        <f t="shared" si="8"/>
        <v/>
      </c>
      <c r="CJ63" s="38" t="str">
        <f t="shared" si="12"/>
        <v/>
      </c>
      <c r="CK63" s="39" t="str">
        <f t="shared" si="13"/>
        <v/>
      </c>
      <c r="CL63" s="39" t="str">
        <f t="shared" si="14"/>
        <v/>
      </c>
      <c r="CM63" s="39" t="str">
        <f t="shared" si="15"/>
        <v/>
      </c>
      <c r="CN63" s="39" t="str">
        <f t="shared" si="16"/>
        <v/>
      </c>
      <c r="CO63" s="39" t="str">
        <f t="shared" si="17"/>
        <v/>
      </c>
      <c r="CP63" s="39" t="str">
        <f t="shared" si="18"/>
        <v/>
      </c>
      <c r="CQ63" s="39" t="str">
        <f t="shared" si="19"/>
        <v/>
      </c>
      <c r="CR63" s="39" t="str">
        <f t="shared" si="20"/>
        <v/>
      </c>
      <c r="CS63" s="39" t="str">
        <f t="shared" si="21"/>
        <v/>
      </c>
      <c r="CT63" s="39" t="str">
        <f t="shared" si="22"/>
        <v/>
      </c>
      <c r="CU63" s="39" t="str">
        <f t="shared" si="23"/>
        <v/>
      </c>
      <c r="CV63" s="39" t="str">
        <f t="shared" si="24"/>
        <v/>
      </c>
      <c r="CW63" s="39" t="str">
        <f t="shared" si="25"/>
        <v/>
      </c>
      <c r="CX63" s="39" t="str">
        <f t="shared" si="26"/>
        <v/>
      </c>
      <c r="CY63" s="39" t="str">
        <f t="shared" si="27"/>
        <v/>
      </c>
      <c r="CZ63" s="39" t="str">
        <f t="shared" si="28"/>
        <v/>
      </c>
      <c r="DA63" s="39" t="str">
        <f t="shared" si="29"/>
        <v/>
      </c>
      <c r="DB63" s="39" t="str">
        <f t="shared" si="30"/>
        <v/>
      </c>
      <c r="DC63" s="39" t="str">
        <f t="shared" si="31"/>
        <v/>
      </c>
      <c r="DD63" s="39" t="str">
        <f t="shared" si="32"/>
        <v/>
      </c>
      <c r="DE63" s="39" t="str">
        <f t="shared" si="33"/>
        <v/>
      </c>
      <c r="DF63" s="39" t="str">
        <f t="shared" si="34"/>
        <v/>
      </c>
      <c r="DG63" s="39" t="str">
        <f t="shared" si="35"/>
        <v/>
      </c>
      <c r="DH63" s="39" t="str">
        <f t="shared" si="36"/>
        <v/>
      </c>
      <c r="DI63" s="39" t="str">
        <f t="shared" si="37"/>
        <v/>
      </c>
      <c r="DJ63" s="39" t="str">
        <f t="shared" si="38"/>
        <v/>
      </c>
      <c r="DK63" s="39" t="str">
        <f t="shared" si="39"/>
        <v/>
      </c>
      <c r="DL63" s="39" t="str">
        <f t="shared" si="40"/>
        <v/>
      </c>
      <c r="DM63" s="39" t="str">
        <f t="shared" si="41"/>
        <v/>
      </c>
      <c r="DN63" s="39" t="str">
        <f t="shared" si="42"/>
        <v/>
      </c>
      <c r="DO63" s="39" t="str">
        <f t="shared" si="43"/>
        <v/>
      </c>
      <c r="DP63" s="39" t="str">
        <f t="shared" si="44"/>
        <v/>
      </c>
      <c r="DQ63" s="39" t="str">
        <f t="shared" si="45"/>
        <v/>
      </c>
      <c r="DR63" s="39" t="str">
        <f t="shared" si="46"/>
        <v/>
      </c>
      <c r="DS63" s="39" t="str">
        <f t="shared" si="47"/>
        <v/>
      </c>
      <c r="DT63" s="40" t="str">
        <f t="shared" si="48"/>
        <v/>
      </c>
    </row>
    <row r="65" spans="2:12" ht="15" thickBot="1" x14ac:dyDescent="0.4">
      <c r="B65" s="287" t="s">
        <v>180</v>
      </c>
      <c r="C65" s="286">
        <f>+SUM(C67:C103)</f>
        <v>0</v>
      </c>
      <c r="D65" s="294">
        <f>+SUM(D67:D103)</f>
        <v>0</v>
      </c>
      <c r="F65" s="287" t="s">
        <v>182</v>
      </c>
      <c r="G65" s="286">
        <f ca="1">+SUM(G67:G103)</f>
        <v>0</v>
      </c>
      <c r="H65" s="294">
        <f>+SUM(H67:H103)</f>
        <v>0</v>
      </c>
      <c r="J65" s="287" t="s">
        <v>182</v>
      </c>
      <c r="K65" s="286">
        <f ca="1">+SUM(K67:K103)</f>
        <v>0</v>
      </c>
      <c r="L65" s="294">
        <f>+SUM(L67:L103)</f>
        <v>0</v>
      </c>
    </row>
    <row r="66" spans="2:12" ht="15" thickBot="1" x14ac:dyDescent="0.4">
      <c r="B66" s="308" t="s">
        <v>11</v>
      </c>
      <c r="C66" s="29" t="s">
        <v>166</v>
      </c>
      <c r="D66" s="309" t="s">
        <v>181</v>
      </c>
      <c r="F66" s="308" t="s">
        <v>101</v>
      </c>
      <c r="G66" s="19" t="s">
        <v>166</v>
      </c>
      <c r="H66" s="300" t="s">
        <v>181</v>
      </c>
      <c r="J66" s="308" t="s">
        <v>183</v>
      </c>
      <c r="K66" s="29" t="s">
        <v>166</v>
      </c>
      <c r="L66" s="309" t="s">
        <v>181</v>
      </c>
    </row>
    <row r="67" spans="2:12" x14ac:dyDescent="0.35">
      <c r="B67" s="244" t="e" cm="1" vm="1">
        <f t="array" ref="B67:B103">+IF(TRANSPOSE(G7:AQ7)="","",TRANSPOSE(G7:AQ7))</f>
        <v>#VALUE!</v>
      </c>
      <c r="C67" s="278" t="str" cm="1">
        <f t="array" ref="C67:C103">+IF(TRANSPOSE(G6:AQ6)="","",TRANSPOSE(G6:AQ6))</f>
        <v/>
      </c>
      <c r="D67" s="35" t="str" cm="1">
        <f t="array" ref="D67:D103">+IF(TRANSPOSE(CJ6:DT6)="","",TRANSPOSE(CJ6:DT6))</f>
        <v/>
      </c>
      <c r="F67" s="244" t="str" cm="1">
        <f t="array" ref="F67:F68">+_xlfn._xlws.FILTER(_xlfn.UNIQUE(B8:B63),_xlfn.UNIQUE(B8:B63)&lt;&gt;"")</f>
        <v>El Retorno</v>
      </c>
      <c r="G67" s="278">
        <f ca="1">+IF(F67="","",SUMIF($B$8:$B$63,F67,$E$8:$E$63))</f>
        <v>0</v>
      </c>
      <c r="H67" s="35">
        <f>+IF(F67="","",SUMIF($CH$8:$CH$63,F67,$CG$8:$CG$63))</f>
        <v>0</v>
      </c>
      <c r="J67" s="244" t="str" cm="1">
        <f t="array" ref="J67">+_xlfn._xlws.FILTER(_xlfn.UNIQUE(C8:C63),_xlfn.UNIQUE(C8:C63)&lt;&gt;"")</f>
        <v>MOSTAZAL</v>
      </c>
      <c r="K67" s="278">
        <f ca="1">+IF(J67="","",SUMIF($C$8:$C$63,J67,$E$8:$E$63))</f>
        <v>0</v>
      </c>
      <c r="L67" s="35">
        <f>+IF(J67="","",SUMIF($CI$8:$CI$63,J67,$CG$8:$CG$63))</f>
        <v>0</v>
      </c>
    </row>
    <row r="68" spans="2:12" x14ac:dyDescent="0.35">
      <c r="B68" s="245" t="str">
        <v/>
      </c>
      <c r="C68" s="280" t="str">
        <v/>
      </c>
      <c r="D68" s="37" t="str">
        <v/>
      </c>
      <c r="F68" s="245" t="str">
        <v>Panquehue</v>
      </c>
      <c r="G68" s="280">
        <f t="shared" ref="G68:G103" ca="1" si="49">+IF(F68="","",SUMIF($B$8:$B$63,F68,$E$8:$E$63))</f>
        <v>0</v>
      </c>
      <c r="H68" s="310">
        <f t="shared" ref="H68:H103" si="50">+IF(F68="","",SUMIF($CH$8:$CH$63,F68,$CG$8:$CG$63))</f>
        <v>0</v>
      </c>
      <c r="J68" s="245"/>
      <c r="K68" s="280" t="str">
        <f t="shared" ref="K68:K103" si="51">+IF(J68="","",SUMIF($C$8:$C$63,J68,$E$8:$E$63))</f>
        <v/>
      </c>
      <c r="L68" s="37" t="str">
        <f t="shared" ref="L68:L103" si="52">+IF(J68="","",SUMIF($CI$8:$CI$63,J68,$CG$8:$CG$63))</f>
        <v/>
      </c>
    </row>
    <row r="69" spans="2:12" x14ac:dyDescent="0.35">
      <c r="B69" s="245" t="str">
        <v/>
      </c>
      <c r="C69" s="280" t="str">
        <v/>
      </c>
      <c r="D69" s="37" t="str">
        <v/>
      </c>
      <c r="F69" s="245"/>
      <c r="G69" s="280" t="str">
        <f t="shared" si="49"/>
        <v/>
      </c>
      <c r="H69" s="310" t="str">
        <f t="shared" si="50"/>
        <v/>
      </c>
      <c r="J69" s="245"/>
      <c r="K69" s="280" t="str">
        <f t="shared" si="51"/>
        <v/>
      </c>
      <c r="L69" s="37" t="str">
        <f t="shared" si="52"/>
        <v/>
      </c>
    </row>
    <row r="70" spans="2:12" x14ac:dyDescent="0.35">
      <c r="B70" s="245" t="str">
        <v/>
      </c>
      <c r="C70" s="280" t="str">
        <v/>
      </c>
      <c r="D70" s="37" t="str">
        <v/>
      </c>
      <c r="F70" s="245"/>
      <c r="G70" s="280" t="str">
        <f t="shared" si="49"/>
        <v/>
      </c>
      <c r="H70" s="310" t="str">
        <f t="shared" si="50"/>
        <v/>
      </c>
      <c r="J70" s="245"/>
      <c r="K70" s="280" t="str">
        <f t="shared" si="51"/>
        <v/>
      </c>
      <c r="L70" s="37" t="str">
        <f t="shared" si="52"/>
        <v/>
      </c>
    </row>
    <row r="71" spans="2:12" x14ac:dyDescent="0.35">
      <c r="B71" s="245" t="str">
        <v/>
      </c>
      <c r="C71" s="280" t="str">
        <v/>
      </c>
      <c r="D71" s="37" t="str">
        <v/>
      </c>
      <c r="F71" s="245"/>
      <c r="G71" s="280" t="str">
        <f t="shared" si="49"/>
        <v/>
      </c>
      <c r="H71" s="310" t="str">
        <f t="shared" si="50"/>
        <v/>
      </c>
      <c r="J71" s="245"/>
      <c r="K71" s="280" t="str">
        <f t="shared" si="51"/>
        <v/>
      </c>
      <c r="L71" s="37" t="str">
        <f t="shared" si="52"/>
        <v/>
      </c>
    </row>
    <row r="72" spans="2:12" x14ac:dyDescent="0.35">
      <c r="B72" s="245" t="str">
        <v/>
      </c>
      <c r="C72" s="280" t="str">
        <v/>
      </c>
      <c r="D72" s="37" t="str">
        <v/>
      </c>
      <c r="F72" s="245"/>
      <c r="G72" s="280" t="str">
        <f t="shared" si="49"/>
        <v/>
      </c>
      <c r="H72" s="310" t="str">
        <f t="shared" si="50"/>
        <v/>
      </c>
      <c r="J72" s="245"/>
      <c r="K72" s="280" t="str">
        <f t="shared" si="51"/>
        <v/>
      </c>
      <c r="L72" s="37" t="str">
        <f t="shared" si="52"/>
        <v/>
      </c>
    </row>
    <row r="73" spans="2:12" x14ac:dyDescent="0.35">
      <c r="B73" s="245" t="str">
        <v/>
      </c>
      <c r="C73" s="280" t="str">
        <v/>
      </c>
      <c r="D73" s="37" t="str">
        <v/>
      </c>
      <c r="F73" s="245"/>
      <c r="G73" s="280" t="str">
        <f t="shared" si="49"/>
        <v/>
      </c>
      <c r="H73" s="310" t="str">
        <f t="shared" si="50"/>
        <v/>
      </c>
      <c r="J73" s="245"/>
      <c r="K73" s="280" t="str">
        <f t="shared" si="51"/>
        <v/>
      </c>
      <c r="L73" s="37" t="str">
        <f t="shared" si="52"/>
        <v/>
      </c>
    </row>
    <row r="74" spans="2:12" x14ac:dyDescent="0.35">
      <c r="B74" s="245" t="str">
        <v/>
      </c>
      <c r="C74" s="280" t="str">
        <v/>
      </c>
      <c r="D74" s="37" t="str">
        <v/>
      </c>
      <c r="F74" s="245"/>
      <c r="G74" s="280" t="str">
        <f t="shared" si="49"/>
        <v/>
      </c>
      <c r="H74" s="310" t="str">
        <f t="shared" si="50"/>
        <v/>
      </c>
      <c r="J74" s="245"/>
      <c r="K74" s="280" t="str">
        <f t="shared" si="51"/>
        <v/>
      </c>
      <c r="L74" s="37" t="str">
        <f t="shared" si="52"/>
        <v/>
      </c>
    </row>
    <row r="75" spans="2:12" x14ac:dyDescent="0.35">
      <c r="B75" s="245" t="str">
        <v/>
      </c>
      <c r="C75" s="280" t="str">
        <v/>
      </c>
      <c r="D75" s="37" t="str">
        <v/>
      </c>
      <c r="F75" s="245"/>
      <c r="G75" s="280" t="str">
        <f t="shared" si="49"/>
        <v/>
      </c>
      <c r="H75" s="310" t="str">
        <f t="shared" si="50"/>
        <v/>
      </c>
      <c r="J75" s="245"/>
      <c r="K75" s="280" t="str">
        <f t="shared" si="51"/>
        <v/>
      </c>
      <c r="L75" s="37" t="str">
        <f t="shared" si="52"/>
        <v/>
      </c>
    </row>
    <row r="76" spans="2:12" x14ac:dyDescent="0.35">
      <c r="B76" s="245" t="str">
        <v/>
      </c>
      <c r="C76" s="280" t="str">
        <v/>
      </c>
      <c r="D76" s="37" t="str">
        <v/>
      </c>
      <c r="F76" s="245"/>
      <c r="G76" s="280" t="str">
        <f t="shared" si="49"/>
        <v/>
      </c>
      <c r="H76" s="310" t="str">
        <f t="shared" si="50"/>
        <v/>
      </c>
      <c r="J76" s="245"/>
      <c r="K76" s="280" t="str">
        <f t="shared" si="51"/>
        <v/>
      </c>
      <c r="L76" s="37" t="str">
        <f t="shared" si="52"/>
        <v/>
      </c>
    </row>
    <row r="77" spans="2:12" x14ac:dyDescent="0.35">
      <c r="B77" s="245" t="str">
        <v/>
      </c>
      <c r="C77" s="280" t="str">
        <v/>
      </c>
      <c r="D77" s="37" t="str">
        <v/>
      </c>
      <c r="F77" s="245"/>
      <c r="G77" s="280" t="str">
        <f t="shared" si="49"/>
        <v/>
      </c>
      <c r="H77" s="310" t="str">
        <f t="shared" si="50"/>
        <v/>
      </c>
      <c r="J77" s="245"/>
      <c r="K77" s="280" t="str">
        <f t="shared" si="51"/>
        <v/>
      </c>
      <c r="L77" s="37" t="str">
        <f t="shared" si="52"/>
        <v/>
      </c>
    </row>
    <row r="78" spans="2:12" x14ac:dyDescent="0.35">
      <c r="B78" s="245" t="str">
        <v/>
      </c>
      <c r="C78" s="280" t="str">
        <v/>
      </c>
      <c r="D78" s="37" t="str">
        <v/>
      </c>
      <c r="F78" s="245"/>
      <c r="G78" s="280" t="str">
        <f t="shared" si="49"/>
        <v/>
      </c>
      <c r="H78" s="310" t="str">
        <f t="shared" si="50"/>
        <v/>
      </c>
      <c r="J78" s="245"/>
      <c r="K78" s="280" t="str">
        <f t="shared" si="51"/>
        <v/>
      </c>
      <c r="L78" s="37" t="str">
        <f t="shared" si="52"/>
        <v/>
      </c>
    </row>
    <row r="79" spans="2:12" x14ac:dyDescent="0.35">
      <c r="B79" s="245" t="str">
        <v/>
      </c>
      <c r="C79" s="280" t="str">
        <v/>
      </c>
      <c r="D79" s="37" t="str">
        <v/>
      </c>
      <c r="F79" s="245"/>
      <c r="G79" s="280" t="str">
        <f t="shared" si="49"/>
        <v/>
      </c>
      <c r="H79" s="310" t="str">
        <f t="shared" si="50"/>
        <v/>
      </c>
      <c r="J79" s="245"/>
      <c r="K79" s="280" t="str">
        <f t="shared" si="51"/>
        <v/>
      </c>
      <c r="L79" s="37" t="str">
        <f t="shared" si="52"/>
        <v/>
      </c>
    </row>
    <row r="80" spans="2:12" x14ac:dyDescent="0.35">
      <c r="B80" s="245" t="str">
        <v/>
      </c>
      <c r="C80" s="280" t="str">
        <v/>
      </c>
      <c r="D80" s="37" t="str">
        <v/>
      </c>
      <c r="F80" s="245"/>
      <c r="G80" s="280" t="str">
        <f t="shared" si="49"/>
        <v/>
      </c>
      <c r="H80" s="310" t="str">
        <f t="shared" si="50"/>
        <v/>
      </c>
      <c r="J80" s="245"/>
      <c r="K80" s="280" t="str">
        <f t="shared" si="51"/>
        <v/>
      </c>
      <c r="L80" s="37" t="str">
        <f t="shared" si="52"/>
        <v/>
      </c>
    </row>
    <row r="81" spans="2:12" x14ac:dyDescent="0.35">
      <c r="B81" s="245" t="str">
        <v/>
      </c>
      <c r="C81" s="280" t="str">
        <v/>
      </c>
      <c r="D81" s="37" t="str">
        <v/>
      </c>
      <c r="F81" s="245"/>
      <c r="G81" s="280" t="str">
        <f t="shared" si="49"/>
        <v/>
      </c>
      <c r="H81" s="310" t="str">
        <f t="shared" si="50"/>
        <v/>
      </c>
      <c r="J81" s="245"/>
      <c r="K81" s="280" t="str">
        <f t="shared" si="51"/>
        <v/>
      </c>
      <c r="L81" s="37" t="str">
        <f t="shared" si="52"/>
        <v/>
      </c>
    </row>
    <row r="82" spans="2:12" x14ac:dyDescent="0.35">
      <c r="B82" s="245" t="str">
        <v/>
      </c>
      <c r="C82" s="280" t="str">
        <v/>
      </c>
      <c r="D82" s="37" t="str">
        <v/>
      </c>
      <c r="F82" s="245"/>
      <c r="G82" s="280" t="str">
        <f t="shared" si="49"/>
        <v/>
      </c>
      <c r="H82" s="310" t="str">
        <f t="shared" si="50"/>
        <v/>
      </c>
      <c r="J82" s="245"/>
      <c r="K82" s="280" t="str">
        <f t="shared" si="51"/>
        <v/>
      </c>
      <c r="L82" s="37" t="str">
        <f t="shared" si="52"/>
        <v/>
      </c>
    </row>
    <row r="83" spans="2:12" x14ac:dyDescent="0.35">
      <c r="B83" s="245" t="str">
        <v/>
      </c>
      <c r="C83" s="280" t="str">
        <v/>
      </c>
      <c r="D83" s="37" t="str">
        <v/>
      </c>
      <c r="F83" s="245"/>
      <c r="G83" s="280" t="str">
        <f t="shared" si="49"/>
        <v/>
      </c>
      <c r="H83" s="310" t="str">
        <f t="shared" si="50"/>
        <v/>
      </c>
      <c r="J83" s="245"/>
      <c r="K83" s="280" t="str">
        <f t="shared" si="51"/>
        <v/>
      </c>
      <c r="L83" s="37" t="str">
        <f t="shared" si="52"/>
        <v/>
      </c>
    </row>
    <row r="84" spans="2:12" x14ac:dyDescent="0.35">
      <c r="B84" s="245" t="str">
        <v/>
      </c>
      <c r="C84" s="280" t="str">
        <v/>
      </c>
      <c r="D84" s="37" t="str">
        <v/>
      </c>
      <c r="F84" s="245"/>
      <c r="G84" s="280" t="str">
        <f t="shared" si="49"/>
        <v/>
      </c>
      <c r="H84" s="310" t="str">
        <f t="shared" si="50"/>
        <v/>
      </c>
      <c r="J84" s="245"/>
      <c r="K84" s="280" t="str">
        <f t="shared" si="51"/>
        <v/>
      </c>
      <c r="L84" s="37" t="str">
        <f t="shared" si="52"/>
        <v/>
      </c>
    </row>
    <row r="85" spans="2:12" x14ac:dyDescent="0.35">
      <c r="B85" s="245" t="str">
        <v/>
      </c>
      <c r="C85" s="280" t="str">
        <v/>
      </c>
      <c r="D85" s="37" t="str">
        <v/>
      </c>
      <c r="F85" s="245"/>
      <c r="G85" s="280" t="str">
        <f t="shared" si="49"/>
        <v/>
      </c>
      <c r="H85" s="310" t="str">
        <f t="shared" si="50"/>
        <v/>
      </c>
      <c r="J85" s="245"/>
      <c r="K85" s="280" t="str">
        <f t="shared" si="51"/>
        <v/>
      </c>
      <c r="L85" s="37" t="str">
        <f t="shared" si="52"/>
        <v/>
      </c>
    </row>
    <row r="86" spans="2:12" x14ac:dyDescent="0.35">
      <c r="B86" s="245" t="str">
        <v/>
      </c>
      <c r="C86" s="280" t="str">
        <v/>
      </c>
      <c r="D86" s="37" t="str">
        <v/>
      </c>
      <c r="F86" s="245"/>
      <c r="G86" s="280" t="str">
        <f t="shared" si="49"/>
        <v/>
      </c>
      <c r="H86" s="310" t="str">
        <f t="shared" si="50"/>
        <v/>
      </c>
      <c r="J86" s="245"/>
      <c r="K86" s="280" t="str">
        <f t="shared" si="51"/>
        <v/>
      </c>
      <c r="L86" s="37" t="str">
        <f t="shared" si="52"/>
        <v/>
      </c>
    </row>
    <row r="87" spans="2:12" x14ac:dyDescent="0.35">
      <c r="B87" s="245" t="str">
        <v/>
      </c>
      <c r="C87" s="280" t="str">
        <v/>
      </c>
      <c r="D87" s="37" t="str">
        <v/>
      </c>
      <c r="F87" s="245"/>
      <c r="G87" s="280" t="str">
        <f t="shared" si="49"/>
        <v/>
      </c>
      <c r="H87" s="310" t="str">
        <f t="shared" si="50"/>
        <v/>
      </c>
      <c r="J87" s="245"/>
      <c r="K87" s="280" t="str">
        <f t="shared" si="51"/>
        <v/>
      </c>
      <c r="L87" s="37" t="str">
        <f t="shared" si="52"/>
        <v/>
      </c>
    </row>
    <row r="88" spans="2:12" x14ac:dyDescent="0.35">
      <c r="B88" s="245" t="str">
        <v/>
      </c>
      <c r="C88" s="280" t="str">
        <v/>
      </c>
      <c r="D88" s="37" t="str">
        <v/>
      </c>
      <c r="F88" s="245"/>
      <c r="G88" s="280" t="str">
        <f t="shared" si="49"/>
        <v/>
      </c>
      <c r="H88" s="310" t="str">
        <f t="shared" si="50"/>
        <v/>
      </c>
      <c r="J88" s="245"/>
      <c r="K88" s="280" t="str">
        <f t="shared" si="51"/>
        <v/>
      </c>
      <c r="L88" s="37" t="str">
        <f t="shared" si="52"/>
        <v/>
      </c>
    </row>
    <row r="89" spans="2:12" x14ac:dyDescent="0.35">
      <c r="B89" s="245" t="str">
        <v/>
      </c>
      <c r="C89" s="280" t="str">
        <v/>
      </c>
      <c r="D89" s="37" t="str">
        <v/>
      </c>
      <c r="F89" s="245"/>
      <c r="G89" s="280" t="str">
        <f t="shared" si="49"/>
        <v/>
      </c>
      <c r="H89" s="310" t="str">
        <f t="shared" si="50"/>
        <v/>
      </c>
      <c r="J89" s="245"/>
      <c r="K89" s="280" t="str">
        <f t="shared" si="51"/>
        <v/>
      </c>
      <c r="L89" s="37" t="str">
        <f t="shared" si="52"/>
        <v/>
      </c>
    </row>
    <row r="90" spans="2:12" x14ac:dyDescent="0.35">
      <c r="B90" s="245" t="str">
        <v/>
      </c>
      <c r="C90" s="280" t="str">
        <v/>
      </c>
      <c r="D90" s="37" t="str">
        <v/>
      </c>
      <c r="F90" s="245"/>
      <c r="G90" s="280" t="str">
        <f t="shared" si="49"/>
        <v/>
      </c>
      <c r="H90" s="310" t="str">
        <f t="shared" si="50"/>
        <v/>
      </c>
      <c r="J90" s="245"/>
      <c r="K90" s="280" t="str">
        <f t="shared" si="51"/>
        <v/>
      </c>
      <c r="L90" s="37" t="str">
        <f t="shared" si="52"/>
        <v/>
      </c>
    </row>
    <row r="91" spans="2:12" x14ac:dyDescent="0.35">
      <c r="B91" s="245" t="str">
        <v/>
      </c>
      <c r="C91" s="280" t="str">
        <v/>
      </c>
      <c r="D91" s="37" t="str">
        <v/>
      </c>
      <c r="F91" s="245"/>
      <c r="G91" s="280" t="str">
        <f t="shared" si="49"/>
        <v/>
      </c>
      <c r="H91" s="310" t="str">
        <f t="shared" si="50"/>
        <v/>
      </c>
      <c r="J91" s="245"/>
      <c r="K91" s="280" t="str">
        <f t="shared" si="51"/>
        <v/>
      </c>
      <c r="L91" s="37" t="str">
        <f t="shared" si="52"/>
        <v/>
      </c>
    </row>
    <row r="92" spans="2:12" x14ac:dyDescent="0.35">
      <c r="B92" s="245" t="str">
        <v/>
      </c>
      <c r="C92" s="280" t="str">
        <v/>
      </c>
      <c r="D92" s="37" t="str">
        <v/>
      </c>
      <c r="F92" s="245"/>
      <c r="G92" s="280" t="str">
        <f t="shared" si="49"/>
        <v/>
      </c>
      <c r="H92" s="310" t="str">
        <f t="shared" si="50"/>
        <v/>
      </c>
      <c r="J92" s="245"/>
      <c r="K92" s="280" t="str">
        <f t="shared" si="51"/>
        <v/>
      </c>
      <c r="L92" s="37" t="str">
        <f t="shared" si="52"/>
        <v/>
      </c>
    </row>
    <row r="93" spans="2:12" x14ac:dyDescent="0.35">
      <c r="B93" s="245" t="str">
        <v/>
      </c>
      <c r="C93" s="280" t="str">
        <v/>
      </c>
      <c r="D93" s="37" t="str">
        <v/>
      </c>
      <c r="F93" s="245"/>
      <c r="G93" s="280" t="str">
        <f t="shared" si="49"/>
        <v/>
      </c>
      <c r="H93" s="310" t="str">
        <f t="shared" si="50"/>
        <v/>
      </c>
      <c r="J93" s="245"/>
      <c r="K93" s="280" t="str">
        <f t="shared" si="51"/>
        <v/>
      </c>
      <c r="L93" s="37" t="str">
        <f t="shared" si="52"/>
        <v/>
      </c>
    </row>
    <row r="94" spans="2:12" x14ac:dyDescent="0.35">
      <c r="B94" s="245" t="str">
        <v/>
      </c>
      <c r="C94" s="280" t="str">
        <v/>
      </c>
      <c r="D94" s="37" t="str">
        <v/>
      </c>
      <c r="F94" s="245"/>
      <c r="G94" s="280" t="str">
        <f t="shared" si="49"/>
        <v/>
      </c>
      <c r="H94" s="310" t="str">
        <f t="shared" si="50"/>
        <v/>
      </c>
      <c r="J94" s="245"/>
      <c r="K94" s="280" t="str">
        <f t="shared" si="51"/>
        <v/>
      </c>
      <c r="L94" s="37" t="str">
        <f t="shared" si="52"/>
        <v/>
      </c>
    </row>
    <row r="95" spans="2:12" x14ac:dyDescent="0.35">
      <c r="B95" s="245" t="str">
        <v/>
      </c>
      <c r="C95" s="280" t="str">
        <v/>
      </c>
      <c r="D95" s="37" t="str">
        <v/>
      </c>
      <c r="F95" s="245"/>
      <c r="G95" s="280" t="str">
        <f t="shared" si="49"/>
        <v/>
      </c>
      <c r="H95" s="310" t="str">
        <f t="shared" si="50"/>
        <v/>
      </c>
      <c r="J95" s="245"/>
      <c r="K95" s="280" t="str">
        <f t="shared" si="51"/>
        <v/>
      </c>
      <c r="L95" s="37" t="str">
        <f t="shared" si="52"/>
        <v/>
      </c>
    </row>
    <row r="96" spans="2:12" x14ac:dyDescent="0.35">
      <c r="B96" s="245" t="str">
        <v/>
      </c>
      <c r="C96" s="280" t="str">
        <v/>
      </c>
      <c r="D96" s="37" t="str">
        <v/>
      </c>
      <c r="F96" s="245"/>
      <c r="G96" s="280" t="str">
        <f t="shared" si="49"/>
        <v/>
      </c>
      <c r="H96" s="310" t="str">
        <f t="shared" si="50"/>
        <v/>
      </c>
      <c r="J96" s="245"/>
      <c r="K96" s="280" t="str">
        <f t="shared" si="51"/>
        <v/>
      </c>
      <c r="L96" s="37" t="str">
        <f t="shared" si="52"/>
        <v/>
      </c>
    </row>
    <row r="97" spans="2:12" x14ac:dyDescent="0.35">
      <c r="B97" s="245" t="str">
        <v/>
      </c>
      <c r="C97" s="280" t="str">
        <v/>
      </c>
      <c r="D97" s="37" t="str">
        <v/>
      </c>
      <c r="F97" s="245"/>
      <c r="G97" s="280" t="str">
        <f t="shared" si="49"/>
        <v/>
      </c>
      <c r="H97" s="310" t="str">
        <f t="shared" si="50"/>
        <v/>
      </c>
      <c r="J97" s="245"/>
      <c r="K97" s="280" t="str">
        <f t="shared" si="51"/>
        <v/>
      </c>
      <c r="L97" s="37" t="str">
        <f t="shared" si="52"/>
        <v/>
      </c>
    </row>
    <row r="98" spans="2:12" x14ac:dyDescent="0.35">
      <c r="B98" s="245" t="str">
        <v/>
      </c>
      <c r="C98" s="280" t="str">
        <v/>
      </c>
      <c r="D98" s="37" t="str">
        <v/>
      </c>
      <c r="F98" s="245"/>
      <c r="G98" s="280" t="str">
        <f t="shared" si="49"/>
        <v/>
      </c>
      <c r="H98" s="310" t="str">
        <f t="shared" si="50"/>
        <v/>
      </c>
      <c r="J98" s="245"/>
      <c r="K98" s="280" t="str">
        <f t="shared" si="51"/>
        <v/>
      </c>
      <c r="L98" s="37" t="str">
        <f t="shared" si="52"/>
        <v/>
      </c>
    </row>
    <row r="99" spans="2:12" x14ac:dyDescent="0.35">
      <c r="B99" s="245" t="str">
        <v/>
      </c>
      <c r="C99" s="280" t="str">
        <v/>
      </c>
      <c r="D99" s="37" t="str">
        <v/>
      </c>
      <c r="F99" s="245"/>
      <c r="G99" s="280" t="str">
        <f t="shared" si="49"/>
        <v/>
      </c>
      <c r="H99" s="310" t="str">
        <f t="shared" si="50"/>
        <v/>
      </c>
      <c r="J99" s="245"/>
      <c r="K99" s="280" t="str">
        <f t="shared" si="51"/>
        <v/>
      </c>
      <c r="L99" s="37" t="str">
        <f t="shared" si="52"/>
        <v/>
      </c>
    </row>
    <row r="100" spans="2:12" x14ac:dyDescent="0.35">
      <c r="B100" s="245" t="str">
        <v/>
      </c>
      <c r="C100" s="280" t="str">
        <v/>
      </c>
      <c r="D100" s="37" t="str">
        <v/>
      </c>
      <c r="F100" s="245"/>
      <c r="G100" s="280" t="str">
        <f t="shared" si="49"/>
        <v/>
      </c>
      <c r="H100" s="310" t="str">
        <f t="shared" si="50"/>
        <v/>
      </c>
      <c r="J100" s="245"/>
      <c r="K100" s="280" t="str">
        <f t="shared" si="51"/>
        <v/>
      </c>
      <c r="L100" s="37" t="str">
        <f t="shared" si="52"/>
        <v/>
      </c>
    </row>
    <row r="101" spans="2:12" x14ac:dyDescent="0.35">
      <c r="B101" s="245" t="str">
        <v/>
      </c>
      <c r="C101" s="280" t="str">
        <v/>
      </c>
      <c r="D101" s="37" t="str">
        <v/>
      </c>
      <c r="F101" s="245"/>
      <c r="G101" s="280" t="str">
        <f t="shared" si="49"/>
        <v/>
      </c>
      <c r="H101" s="310" t="str">
        <f t="shared" si="50"/>
        <v/>
      </c>
      <c r="J101" s="245"/>
      <c r="K101" s="280" t="str">
        <f t="shared" si="51"/>
        <v/>
      </c>
      <c r="L101" s="37" t="str">
        <f t="shared" si="52"/>
        <v/>
      </c>
    </row>
    <row r="102" spans="2:12" x14ac:dyDescent="0.35">
      <c r="B102" s="245" t="str">
        <v/>
      </c>
      <c r="C102" s="280" t="str">
        <v/>
      </c>
      <c r="D102" s="37" t="str">
        <v/>
      </c>
      <c r="F102" s="245"/>
      <c r="G102" s="280" t="str">
        <f t="shared" si="49"/>
        <v/>
      </c>
      <c r="H102" s="310" t="str">
        <f t="shared" si="50"/>
        <v/>
      </c>
      <c r="J102" s="245"/>
      <c r="K102" s="280" t="str">
        <f t="shared" si="51"/>
        <v/>
      </c>
      <c r="L102" s="37" t="str">
        <f t="shared" si="52"/>
        <v/>
      </c>
    </row>
    <row r="103" spans="2:12" ht="15" thickBot="1" x14ac:dyDescent="0.4">
      <c r="B103" s="246" t="str">
        <v/>
      </c>
      <c r="C103" s="282" t="str">
        <v/>
      </c>
      <c r="D103" s="40" t="str">
        <v/>
      </c>
      <c r="F103" s="246"/>
      <c r="G103" s="282" t="str">
        <f t="shared" si="49"/>
        <v/>
      </c>
      <c r="H103" s="311" t="str">
        <f t="shared" si="50"/>
        <v/>
      </c>
      <c r="J103" s="246"/>
      <c r="K103" s="282" t="str">
        <f t="shared" si="51"/>
        <v/>
      </c>
      <c r="L103" s="40" t="str">
        <f t="shared" si="52"/>
        <v/>
      </c>
    </row>
  </sheetData>
  <conditionalFormatting sqref="F8:F6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:AQ6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:CF6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8:DT6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6:DT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8:CG6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:AQ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7:D10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C10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7:G10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7:K10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7:H10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7:L10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00A62-7476-41CE-BC3A-64C426803C28}">
  <sheetPr codeName="Sheet6"/>
  <dimension ref="B6:BO51"/>
  <sheetViews>
    <sheetView showGridLines="0" zoomScaleNormal="100" workbookViewId="0">
      <selection activeCell="E7" sqref="E7"/>
    </sheetView>
  </sheetViews>
  <sheetFormatPr baseColWidth="10" defaultColWidth="8.7265625" defaultRowHeight="14.5" x14ac:dyDescent="0.35"/>
  <cols>
    <col min="1" max="1" width="2.1796875" customWidth="1"/>
    <col min="2" max="2" width="23" style="43" bestFit="1" customWidth="1"/>
    <col min="3" max="3" width="26.453125" style="43" bestFit="1" customWidth="1"/>
    <col min="4" max="5" width="21.54296875" style="43" bestFit="1" customWidth="1"/>
    <col min="6" max="6" width="10.54296875" style="43" bestFit="1" customWidth="1"/>
    <col min="7" max="7" width="16.1796875" style="43" bestFit="1" customWidth="1"/>
    <col min="8" max="8" width="17.26953125" style="43" bestFit="1" customWidth="1"/>
    <col min="9" max="9" width="16.7265625" style="43" bestFit="1" customWidth="1"/>
    <col min="10" max="10" width="28.453125" style="43" bestFit="1" customWidth="1"/>
    <col min="11" max="11" width="8.453125" style="43" bestFit="1" customWidth="1"/>
    <col min="12" max="12" width="10.1796875" style="43" bestFit="1" customWidth="1"/>
    <col min="13" max="13" width="9.54296875" style="43" bestFit="1" customWidth="1"/>
    <col min="14" max="14" width="9.81640625" style="43" bestFit="1" customWidth="1"/>
    <col min="15" max="15" width="12.1796875" style="43" bestFit="1" customWidth="1"/>
    <col min="16" max="16" width="9.54296875" style="43" customWidth="1"/>
    <col min="17" max="17" width="9.7265625" style="43" bestFit="1" customWidth="1"/>
    <col min="18" max="18" width="10.7265625" style="43" bestFit="1" customWidth="1"/>
    <col min="19" max="19" width="10" style="43" bestFit="1" customWidth="1"/>
    <col min="20" max="20" width="13.7265625" style="43" bestFit="1" customWidth="1"/>
    <col min="21" max="21" width="9.26953125" style="43" bestFit="1" customWidth="1"/>
    <col min="22" max="22" width="11" style="43" bestFit="1" customWidth="1"/>
    <col min="23" max="23" width="23" style="43" bestFit="1" customWidth="1"/>
    <col min="24" max="24" width="11.1796875" style="43" bestFit="1" customWidth="1"/>
    <col min="25" max="25" width="11" style="43" bestFit="1" customWidth="1"/>
    <col min="26" max="26" width="12.7265625" style="43" bestFit="1" customWidth="1"/>
    <col min="27" max="46" width="9.1796875" style="43"/>
  </cols>
  <sheetData>
    <row r="6" spans="2:67" x14ac:dyDescent="0.35">
      <c r="C6" s="43" t="e" vm="1">
        <f>+CONCATENATE(C7,C8)</f>
        <v>#VALUE!</v>
      </c>
      <c r="D6" s="43" t="str">
        <f t="shared" ref="D6:BO6" si="0">+CONCATENATE(D7,D8)</f>
        <v/>
      </c>
      <c r="E6" s="43" t="str">
        <f t="shared" si="0"/>
        <v/>
      </c>
      <c r="F6" s="43" t="str">
        <f t="shared" si="0"/>
        <v/>
      </c>
      <c r="G6" s="43" t="str">
        <f t="shared" si="0"/>
        <v/>
      </c>
      <c r="H6" s="43" t="str">
        <f t="shared" si="0"/>
        <v/>
      </c>
      <c r="I6" s="43" t="str">
        <f t="shared" si="0"/>
        <v/>
      </c>
      <c r="J6" s="43" t="str">
        <f t="shared" si="0"/>
        <v/>
      </c>
      <c r="K6" s="43" t="str">
        <f t="shared" si="0"/>
        <v/>
      </c>
      <c r="L6" s="43" t="str">
        <f t="shared" si="0"/>
        <v/>
      </c>
      <c r="M6" s="43" t="str">
        <f t="shared" si="0"/>
        <v/>
      </c>
      <c r="N6" s="43" t="str">
        <f t="shared" si="0"/>
        <v/>
      </c>
      <c r="O6" s="43" t="str">
        <f t="shared" si="0"/>
        <v/>
      </c>
      <c r="P6" s="43" t="str">
        <f t="shared" si="0"/>
        <v/>
      </c>
      <c r="Q6" s="43" t="str">
        <f t="shared" si="0"/>
        <v/>
      </c>
      <c r="R6" s="43" t="str">
        <f t="shared" si="0"/>
        <v/>
      </c>
      <c r="S6" s="43" t="str">
        <f t="shared" si="0"/>
        <v/>
      </c>
      <c r="T6" s="43" t="str">
        <f t="shared" si="0"/>
        <v/>
      </c>
      <c r="U6" s="43" t="str">
        <f t="shared" si="0"/>
        <v/>
      </c>
      <c r="V6" s="43" t="str">
        <f t="shared" si="0"/>
        <v/>
      </c>
      <c r="W6" s="43" t="str">
        <f t="shared" si="0"/>
        <v/>
      </c>
      <c r="X6" s="43" t="str">
        <f t="shared" si="0"/>
        <v/>
      </c>
      <c r="Y6" s="43" t="str">
        <f t="shared" si="0"/>
        <v/>
      </c>
      <c r="Z6" s="43" t="str">
        <f t="shared" si="0"/>
        <v/>
      </c>
      <c r="AA6" s="43" t="str">
        <f t="shared" si="0"/>
        <v/>
      </c>
      <c r="AB6" s="43" t="str">
        <f t="shared" si="0"/>
        <v/>
      </c>
      <c r="AC6" s="43" t="str">
        <f t="shared" si="0"/>
        <v/>
      </c>
      <c r="AD6" s="43" t="str">
        <f t="shared" si="0"/>
        <v/>
      </c>
      <c r="AE6" s="43" t="str">
        <f t="shared" si="0"/>
        <v/>
      </c>
      <c r="AF6" s="52" t="str">
        <f t="shared" si="0"/>
        <v/>
      </c>
      <c r="AG6" s="52" t="str">
        <f t="shared" si="0"/>
        <v/>
      </c>
      <c r="AH6" s="52" t="str">
        <f t="shared" si="0"/>
        <v/>
      </c>
      <c r="AI6" s="52" t="str">
        <f t="shared" si="0"/>
        <v/>
      </c>
      <c r="AJ6" s="52" t="str">
        <f t="shared" si="0"/>
        <v/>
      </c>
      <c r="AK6" s="52" t="str">
        <f t="shared" si="0"/>
        <v/>
      </c>
      <c r="AL6" s="52" t="str">
        <f t="shared" si="0"/>
        <v/>
      </c>
      <c r="AM6" s="52" t="str">
        <f t="shared" si="0"/>
        <v/>
      </c>
      <c r="AN6" s="52" t="str">
        <f t="shared" si="0"/>
        <v/>
      </c>
      <c r="AO6" s="52" t="str">
        <f t="shared" si="0"/>
        <v/>
      </c>
      <c r="AP6" s="52" t="str">
        <f t="shared" si="0"/>
        <v/>
      </c>
      <c r="AQ6" s="52" t="str">
        <f t="shared" si="0"/>
        <v/>
      </c>
      <c r="AR6" s="52" t="str">
        <f t="shared" si="0"/>
        <v/>
      </c>
      <c r="AS6" s="52" t="str">
        <f t="shared" si="0"/>
        <v/>
      </c>
      <c r="AT6" s="52" t="str">
        <f t="shared" si="0"/>
        <v/>
      </c>
      <c r="AU6" s="52" t="str">
        <f t="shared" si="0"/>
        <v/>
      </c>
      <c r="AV6" s="52" t="str">
        <f t="shared" si="0"/>
        <v/>
      </c>
      <c r="AW6" s="52" t="str">
        <f t="shared" si="0"/>
        <v/>
      </c>
      <c r="AX6" s="52" t="str">
        <f t="shared" si="0"/>
        <v/>
      </c>
      <c r="AY6" s="52" t="str">
        <f t="shared" si="0"/>
        <v/>
      </c>
      <c r="AZ6" s="52" t="str">
        <f t="shared" si="0"/>
        <v/>
      </c>
      <c r="BA6" s="52" t="str">
        <f t="shared" si="0"/>
        <v/>
      </c>
      <c r="BB6" s="52" t="str">
        <f t="shared" si="0"/>
        <v/>
      </c>
      <c r="BC6" s="52" t="str">
        <f t="shared" si="0"/>
        <v/>
      </c>
      <c r="BD6" s="52" t="str">
        <f t="shared" si="0"/>
        <v/>
      </c>
      <c r="BE6" s="52" t="str">
        <f t="shared" si="0"/>
        <v/>
      </c>
      <c r="BF6" s="52" t="str">
        <f t="shared" si="0"/>
        <v/>
      </c>
      <c r="BG6" s="52" t="str">
        <f t="shared" si="0"/>
        <v/>
      </c>
      <c r="BH6" s="52" t="str">
        <f t="shared" si="0"/>
        <v/>
      </c>
      <c r="BI6" s="52" t="str">
        <f t="shared" si="0"/>
        <v/>
      </c>
      <c r="BJ6" s="52" t="str">
        <f t="shared" si="0"/>
        <v/>
      </c>
      <c r="BK6" s="52" t="str">
        <f t="shared" si="0"/>
        <v/>
      </c>
      <c r="BL6" s="52" t="str">
        <f t="shared" si="0"/>
        <v/>
      </c>
      <c r="BM6" s="52" t="str">
        <f t="shared" si="0"/>
        <v/>
      </c>
      <c r="BN6" s="52" t="str">
        <f t="shared" si="0"/>
        <v/>
      </c>
      <c r="BO6" s="52" t="str">
        <f t="shared" si="0"/>
        <v/>
      </c>
    </row>
    <row r="7" spans="2:67" x14ac:dyDescent="0.35">
      <c r="B7" s="12" t="s">
        <v>171</v>
      </c>
      <c r="C7" s="52" t="str">
        <f>+IF(C51="","",C51)</f>
        <v/>
      </c>
      <c r="D7" s="52" t="str">
        <f t="shared" ref="D7:AM7" si="1">+IF(D51="","",D51)</f>
        <v/>
      </c>
      <c r="E7" s="52" t="str">
        <f t="shared" si="1"/>
        <v/>
      </c>
      <c r="F7" s="52" t="str">
        <f t="shared" si="1"/>
        <v/>
      </c>
      <c r="G7" s="52" t="str">
        <f t="shared" si="1"/>
        <v/>
      </c>
      <c r="H7" s="52" t="str">
        <f t="shared" si="1"/>
        <v/>
      </c>
      <c r="I7" s="52" t="str">
        <f t="shared" si="1"/>
        <v/>
      </c>
      <c r="J7" s="52" t="str">
        <f t="shared" si="1"/>
        <v/>
      </c>
      <c r="K7" s="52" t="str">
        <f t="shared" si="1"/>
        <v/>
      </c>
      <c r="L7" s="52" t="str">
        <f t="shared" si="1"/>
        <v/>
      </c>
      <c r="M7" s="52" t="str">
        <f t="shared" si="1"/>
        <v/>
      </c>
      <c r="N7" s="52" t="str">
        <f t="shared" si="1"/>
        <v/>
      </c>
      <c r="O7" s="52" t="str">
        <f t="shared" si="1"/>
        <v/>
      </c>
      <c r="P7" s="52" t="str">
        <f t="shared" si="1"/>
        <v/>
      </c>
      <c r="Q7" s="52" t="str">
        <f t="shared" si="1"/>
        <v/>
      </c>
      <c r="R7" s="52" t="str">
        <f t="shared" si="1"/>
        <v/>
      </c>
      <c r="S7" s="52" t="str">
        <f t="shared" si="1"/>
        <v/>
      </c>
      <c r="T7" s="52" t="str">
        <f t="shared" si="1"/>
        <v/>
      </c>
      <c r="U7" s="52" t="str">
        <f t="shared" si="1"/>
        <v/>
      </c>
      <c r="V7" s="52" t="str">
        <f t="shared" si="1"/>
        <v/>
      </c>
      <c r="W7" s="52" t="str">
        <f t="shared" si="1"/>
        <v/>
      </c>
      <c r="X7" s="52" t="str">
        <f t="shared" si="1"/>
        <v/>
      </c>
      <c r="Y7" s="52" t="str">
        <f t="shared" si="1"/>
        <v/>
      </c>
      <c r="Z7" s="52" t="str">
        <f t="shared" si="1"/>
        <v/>
      </c>
      <c r="AA7" s="52" t="str">
        <f t="shared" si="1"/>
        <v/>
      </c>
      <c r="AB7" s="52" t="str">
        <f t="shared" si="1"/>
        <v/>
      </c>
      <c r="AC7" s="52" t="str">
        <f t="shared" si="1"/>
        <v/>
      </c>
      <c r="AD7" s="52" t="str">
        <f t="shared" si="1"/>
        <v/>
      </c>
      <c r="AE7" s="285" t="str">
        <f t="shared" si="1"/>
        <v/>
      </c>
      <c r="AF7" s="52" t="str">
        <f t="shared" si="1"/>
        <v/>
      </c>
      <c r="AG7" s="52" t="str">
        <f t="shared" si="1"/>
        <v/>
      </c>
      <c r="AH7" s="52" t="str">
        <f t="shared" si="1"/>
        <v/>
      </c>
      <c r="AI7" s="52" t="str">
        <f t="shared" si="1"/>
        <v/>
      </c>
      <c r="AJ7" s="52" t="str">
        <f t="shared" si="1"/>
        <v/>
      </c>
      <c r="AK7" s="52" t="str">
        <f t="shared" si="1"/>
        <v/>
      </c>
      <c r="AL7" s="52" t="str">
        <f t="shared" si="1"/>
        <v/>
      </c>
      <c r="AM7" s="52" t="str">
        <f t="shared" si="1"/>
        <v/>
      </c>
      <c r="AN7" s="52"/>
      <c r="AO7" s="52"/>
      <c r="AP7" s="52"/>
      <c r="AQ7" s="52"/>
      <c r="AR7" s="52"/>
      <c r="AS7" s="52"/>
      <c r="AT7" s="52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</row>
    <row r="8" spans="2:67" x14ac:dyDescent="0.35">
      <c r="B8" s="194" t="s">
        <v>170</v>
      </c>
      <c r="C8" s="52" t="e" cm="1" vm="2">
        <f t="array" ref="C8">+TRANSPOSE(_xlfn._xlws.FILTER('Modelo Optimización'!B72:AS217,'Modelo Optimización'!AT72:AT217&gt;0))</f>
        <v>#VALUE!</v>
      </c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285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</row>
    <row r="9" spans="2:67" x14ac:dyDescent="0.35">
      <c r="B9" s="52" t="str" cm="1">
        <f t="array" ref="B9:B51">+TRANSPOSE('Modelo Optimización'!C71:AS71)</f>
        <v>El Retorno</v>
      </c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285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</row>
    <row r="10" spans="2:67" x14ac:dyDescent="0.35">
      <c r="B10" s="52" t="str">
        <v>Panquehue</v>
      </c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285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</row>
    <row r="11" spans="2:67" x14ac:dyDescent="0.35">
      <c r="B11" s="52">
        <v>0</v>
      </c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285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</row>
    <row r="12" spans="2:67" x14ac:dyDescent="0.35">
      <c r="B12" s="52">
        <v>0</v>
      </c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285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</row>
    <row r="13" spans="2:67" x14ac:dyDescent="0.35">
      <c r="B13" s="52">
        <v>0</v>
      </c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285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</row>
    <row r="14" spans="2:67" x14ac:dyDescent="0.35">
      <c r="B14" s="52">
        <v>0</v>
      </c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285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</row>
    <row r="15" spans="2:67" x14ac:dyDescent="0.35">
      <c r="B15" s="52">
        <v>0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285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</row>
    <row r="16" spans="2:67" x14ac:dyDescent="0.35">
      <c r="B16" s="52">
        <v>0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285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</row>
    <row r="17" spans="2:67" x14ac:dyDescent="0.35">
      <c r="B17" s="52">
        <v>0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285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</row>
    <row r="18" spans="2:67" x14ac:dyDescent="0.35">
      <c r="B18" s="52">
        <v>0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285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</row>
    <row r="19" spans="2:67" x14ac:dyDescent="0.35">
      <c r="B19" s="52">
        <v>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285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</row>
    <row r="20" spans="2:67" x14ac:dyDescent="0.35">
      <c r="B20" s="52">
        <v>0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285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</row>
    <row r="21" spans="2:67" x14ac:dyDescent="0.35">
      <c r="B21" s="52">
        <v>0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285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</row>
    <row r="22" spans="2:67" x14ac:dyDescent="0.35">
      <c r="B22" s="52">
        <v>0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285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</row>
    <row r="23" spans="2:67" x14ac:dyDescent="0.35">
      <c r="B23" s="52">
        <v>0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285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</row>
    <row r="24" spans="2:67" x14ac:dyDescent="0.35">
      <c r="B24" s="52">
        <v>0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285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</row>
    <row r="25" spans="2:67" x14ac:dyDescent="0.35">
      <c r="B25" s="52">
        <v>0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285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</row>
    <row r="26" spans="2:67" x14ac:dyDescent="0.35">
      <c r="B26" s="52">
        <v>0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285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</row>
    <row r="27" spans="2:67" x14ac:dyDescent="0.35">
      <c r="B27" s="52">
        <v>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285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</row>
    <row r="28" spans="2:67" x14ac:dyDescent="0.35">
      <c r="B28" s="52">
        <v>0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285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</row>
    <row r="29" spans="2:67" x14ac:dyDescent="0.35">
      <c r="B29" s="52">
        <v>0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285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</row>
    <row r="30" spans="2:67" x14ac:dyDescent="0.35">
      <c r="B30" s="52">
        <v>0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285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</row>
    <row r="31" spans="2:67" x14ac:dyDescent="0.35">
      <c r="B31" s="52">
        <v>0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285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</row>
    <row r="32" spans="2:67" x14ac:dyDescent="0.35">
      <c r="B32" s="52">
        <v>0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285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</row>
    <row r="33" spans="2:67" x14ac:dyDescent="0.35">
      <c r="B33" s="52">
        <v>0</v>
      </c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285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</row>
    <row r="34" spans="2:67" x14ac:dyDescent="0.35">
      <c r="B34" s="52">
        <v>0</v>
      </c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285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</row>
    <row r="35" spans="2:67" x14ac:dyDescent="0.35">
      <c r="B35" s="52">
        <v>0</v>
      </c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285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</row>
    <row r="36" spans="2:67" x14ac:dyDescent="0.35">
      <c r="B36" s="52">
        <v>0</v>
      </c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285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</row>
    <row r="37" spans="2:67" x14ac:dyDescent="0.35">
      <c r="B37" s="52">
        <v>0</v>
      </c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285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</row>
    <row r="38" spans="2:67" x14ac:dyDescent="0.35">
      <c r="B38" s="52">
        <v>0</v>
      </c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285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</row>
    <row r="39" spans="2:67" x14ac:dyDescent="0.35">
      <c r="B39" s="52">
        <v>0</v>
      </c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285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</row>
    <row r="40" spans="2:67" x14ac:dyDescent="0.35">
      <c r="B40" s="52">
        <v>0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285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</row>
    <row r="41" spans="2:67" x14ac:dyDescent="0.35">
      <c r="B41" s="52">
        <v>0</v>
      </c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285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</row>
    <row r="42" spans="2:67" x14ac:dyDescent="0.35">
      <c r="B42" s="52">
        <v>0</v>
      </c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285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</row>
    <row r="43" spans="2:67" x14ac:dyDescent="0.35">
      <c r="B43" s="52">
        <v>0</v>
      </c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285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</row>
    <row r="44" spans="2:67" x14ac:dyDescent="0.35">
      <c r="B44" s="52">
        <v>0</v>
      </c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285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</row>
    <row r="45" spans="2:67" x14ac:dyDescent="0.35">
      <c r="B45" s="52">
        <v>0</v>
      </c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285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</row>
    <row r="46" spans="2:67" x14ac:dyDescent="0.35">
      <c r="B46" s="52">
        <v>0</v>
      </c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285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</row>
    <row r="47" spans="2:67" x14ac:dyDescent="0.35">
      <c r="B47" s="52">
        <v>0</v>
      </c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285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</row>
    <row r="48" spans="2:67" x14ac:dyDescent="0.35">
      <c r="B48" s="52">
        <v>0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285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</row>
    <row r="49" spans="2:67" x14ac:dyDescent="0.35">
      <c r="B49" s="52">
        <v>0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285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</row>
    <row r="50" spans="2:67" x14ac:dyDescent="0.35">
      <c r="B50" s="52">
        <v>0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285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</row>
    <row r="51" spans="2:67" x14ac:dyDescent="0.35">
      <c r="B51" s="52" t="str">
        <v>Destino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DE9F-079F-4E5C-AD0A-563AF100ABD7}">
  <sheetPr codeName="Sheet9">
    <tabColor rgb="FFFF0000"/>
  </sheetPr>
  <dimension ref="B6:D65"/>
  <sheetViews>
    <sheetView showGridLines="0" topLeftCell="A31" workbookViewId="0">
      <selection activeCell="F6" sqref="F6:G8"/>
    </sheetView>
  </sheetViews>
  <sheetFormatPr baseColWidth="10" defaultColWidth="8.7265625" defaultRowHeight="14.5" x14ac:dyDescent="0.35"/>
  <cols>
    <col min="2" max="2" width="13.81640625" bestFit="1" customWidth="1"/>
    <col min="4" max="4" width="32.453125" bestFit="1" customWidth="1"/>
  </cols>
  <sheetData>
    <row r="6" spans="2:4" x14ac:dyDescent="0.35">
      <c r="B6" s="5" t="s">
        <v>3</v>
      </c>
      <c r="D6" s="212" t="s">
        <v>160</v>
      </c>
    </row>
    <row r="7" spans="2:4" x14ac:dyDescent="0.35">
      <c r="B7" s="5" t="s">
        <v>2</v>
      </c>
      <c r="D7" s="5" t="str" cm="1">
        <f t="array" ref="D7:D42">+_xlfn._xlws.SORT(_xlfn._xlws.FILTER(_xlfn.UNIQUE('Data Consolidada'!B7:B891),_xlfn.UNIQUE('Data Consolidada'!B7:B891)&lt;&gt;""),1)</f>
        <v xml:space="preserve"> Cocalán</v>
      </c>
    </row>
    <row r="8" spans="2:4" x14ac:dyDescent="0.35">
      <c r="B8" s="5" t="s">
        <v>1</v>
      </c>
      <c r="D8" s="5" t="str">
        <v>Almahue</v>
      </c>
    </row>
    <row r="9" spans="2:4" x14ac:dyDescent="0.35">
      <c r="B9" s="5" t="s">
        <v>20</v>
      </c>
      <c r="D9" s="5" t="str">
        <v>Bodega</v>
      </c>
    </row>
    <row r="10" spans="2:4" x14ac:dyDescent="0.35">
      <c r="D10" s="5" t="str">
        <v xml:space="preserve">Caliboro </v>
      </c>
    </row>
    <row r="11" spans="2:4" x14ac:dyDescent="0.35">
      <c r="D11" s="5" t="str">
        <v>Calleuque</v>
      </c>
    </row>
    <row r="12" spans="2:4" x14ac:dyDescent="0.35">
      <c r="D12" s="5" t="str">
        <v>Chumpirro</v>
      </c>
    </row>
    <row r="13" spans="2:4" x14ac:dyDescent="0.35">
      <c r="D13" s="5" t="str">
        <v>El Cóndor</v>
      </c>
    </row>
    <row r="14" spans="2:4" x14ac:dyDescent="0.35">
      <c r="D14" s="5" t="str">
        <v>El Descanso</v>
      </c>
    </row>
    <row r="15" spans="2:4" x14ac:dyDescent="0.35">
      <c r="D15" s="5" t="str">
        <v>El Espino</v>
      </c>
    </row>
    <row r="16" spans="2:4" x14ac:dyDescent="0.35">
      <c r="D16" s="5" t="str">
        <v>El Huaico</v>
      </c>
    </row>
    <row r="17" spans="4:4" x14ac:dyDescent="0.35">
      <c r="D17" s="5" t="str">
        <v>El Parque</v>
      </c>
    </row>
    <row r="18" spans="4:4" x14ac:dyDescent="0.35">
      <c r="D18" s="5" t="str">
        <v>El Picaso</v>
      </c>
    </row>
    <row r="19" spans="4:4" x14ac:dyDescent="0.35">
      <c r="D19" s="5" t="str">
        <v>El Recurso</v>
      </c>
    </row>
    <row r="20" spans="4:4" x14ac:dyDescent="0.35">
      <c r="D20" s="5" t="str">
        <v>El Retiro</v>
      </c>
    </row>
    <row r="21" spans="4:4" x14ac:dyDescent="0.35">
      <c r="D21" s="5" t="str">
        <v>El Rosario</v>
      </c>
    </row>
    <row r="22" spans="4:4" x14ac:dyDescent="0.35">
      <c r="D22" s="5" t="str">
        <v>Entre Rios/Puente Negro/Rio Claro</v>
      </c>
    </row>
    <row r="23" spans="4:4" x14ac:dyDescent="0.35">
      <c r="D23" s="5" t="str">
        <v>La Esperanza</v>
      </c>
    </row>
    <row r="24" spans="4:4" x14ac:dyDescent="0.35">
      <c r="D24" s="5" t="str">
        <v>La Estación</v>
      </c>
    </row>
    <row r="25" spans="4:4" x14ac:dyDescent="0.35">
      <c r="D25" s="5" t="str">
        <v>La Lajuela</v>
      </c>
    </row>
    <row r="26" spans="4:4" x14ac:dyDescent="0.35">
      <c r="D26" s="5" t="str">
        <v>La Morera</v>
      </c>
    </row>
    <row r="27" spans="4:4" x14ac:dyDescent="0.35">
      <c r="D27" s="5" t="str">
        <v>La Rinconada</v>
      </c>
    </row>
    <row r="28" spans="4:4" x14ac:dyDescent="0.35">
      <c r="D28" s="5" t="str">
        <v xml:space="preserve">La Roblería </v>
      </c>
    </row>
    <row r="29" spans="4:4" x14ac:dyDescent="0.35">
      <c r="D29" s="5" t="str">
        <v>Las Cabras</v>
      </c>
    </row>
    <row r="30" spans="4:4" x14ac:dyDescent="0.35">
      <c r="D30" s="5" t="str">
        <v>Las Vertientes</v>
      </c>
    </row>
    <row r="31" spans="4:4" x14ac:dyDescent="0.35">
      <c r="D31" s="5" t="str">
        <v>Lihueimo</v>
      </c>
    </row>
    <row r="32" spans="4:4" x14ac:dyDescent="0.35">
      <c r="D32" s="5" t="str">
        <v>Los Encinos</v>
      </c>
    </row>
    <row r="33" spans="4:4" x14ac:dyDescent="0.35">
      <c r="D33" s="5" t="str">
        <v>Los Maitenes</v>
      </c>
    </row>
    <row r="34" spans="4:4" x14ac:dyDescent="0.35">
      <c r="D34" s="5" t="str">
        <v>Los Toldos</v>
      </c>
    </row>
    <row r="35" spans="4:4" x14ac:dyDescent="0.35">
      <c r="D35" s="5" t="str">
        <v>Mallorca</v>
      </c>
    </row>
    <row r="36" spans="4:4" x14ac:dyDescent="0.35">
      <c r="D36" s="5" t="str">
        <v>Panquehue</v>
      </c>
    </row>
    <row r="37" spans="4:4" x14ac:dyDescent="0.35">
      <c r="D37" s="5" t="str">
        <v>Retorno</v>
      </c>
    </row>
    <row r="38" spans="4:4" x14ac:dyDescent="0.35">
      <c r="D38" s="5" t="str">
        <v>San Hernán</v>
      </c>
    </row>
    <row r="39" spans="4:4" x14ac:dyDescent="0.35">
      <c r="D39" s="5" t="str">
        <v>Santa Mónica</v>
      </c>
    </row>
    <row r="40" spans="4:4" x14ac:dyDescent="0.35">
      <c r="D40" s="5" t="str">
        <v>Talhuén</v>
      </c>
    </row>
    <row r="41" spans="4:4" x14ac:dyDescent="0.35">
      <c r="D41" s="5" t="str">
        <v>Triunfo</v>
      </c>
    </row>
    <row r="42" spans="4:4" x14ac:dyDescent="0.35">
      <c r="D42" s="5" t="str">
        <v>Villaseca</v>
      </c>
    </row>
    <row r="43" spans="4:4" x14ac:dyDescent="0.35">
      <c r="D43" s="5" t="s">
        <v>54</v>
      </c>
    </row>
    <row r="44" spans="4:4" x14ac:dyDescent="0.35">
      <c r="D44" s="5"/>
    </row>
    <row r="45" spans="4:4" x14ac:dyDescent="0.35">
      <c r="D45" s="5"/>
    </row>
    <row r="46" spans="4:4" x14ac:dyDescent="0.35">
      <c r="D46" s="5"/>
    </row>
    <row r="47" spans="4:4" x14ac:dyDescent="0.35">
      <c r="D47" s="5"/>
    </row>
    <row r="48" spans="4:4" x14ac:dyDescent="0.35">
      <c r="D48" s="5"/>
    </row>
    <row r="49" spans="4:4" x14ac:dyDescent="0.35">
      <c r="D49" s="5"/>
    </row>
    <row r="50" spans="4:4" x14ac:dyDescent="0.35">
      <c r="D50" s="5"/>
    </row>
    <row r="51" spans="4:4" x14ac:dyDescent="0.35">
      <c r="D51" s="5"/>
    </row>
    <row r="52" spans="4:4" x14ac:dyDescent="0.35">
      <c r="D52" s="5"/>
    </row>
    <row r="53" spans="4:4" x14ac:dyDescent="0.35">
      <c r="D53" s="5"/>
    </row>
    <row r="54" spans="4:4" x14ac:dyDescent="0.35">
      <c r="D54" s="5"/>
    </row>
    <row r="55" spans="4:4" x14ac:dyDescent="0.35">
      <c r="D55" s="5"/>
    </row>
    <row r="56" spans="4:4" x14ac:dyDescent="0.35">
      <c r="D56" s="5"/>
    </row>
    <row r="57" spans="4:4" x14ac:dyDescent="0.35">
      <c r="D57" s="5"/>
    </row>
    <row r="58" spans="4:4" x14ac:dyDescent="0.35">
      <c r="D58" s="5"/>
    </row>
    <row r="59" spans="4:4" x14ac:dyDescent="0.35">
      <c r="D59" s="5"/>
    </row>
    <row r="60" spans="4:4" x14ac:dyDescent="0.35">
      <c r="D60" s="5"/>
    </row>
    <row r="61" spans="4:4" x14ac:dyDescent="0.35">
      <c r="D61" s="5"/>
    </row>
    <row r="62" spans="4:4" x14ac:dyDescent="0.35">
      <c r="D62" s="5"/>
    </row>
    <row r="63" spans="4:4" x14ac:dyDescent="0.35">
      <c r="D63" s="5"/>
    </row>
    <row r="64" spans="4:4" x14ac:dyDescent="0.35">
      <c r="D64" s="5"/>
    </row>
    <row r="65" spans="4:4" x14ac:dyDescent="0.35">
      <c r="D65" s="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635376AC288A49BB55AAA69D6C60B3" ma:contentTypeVersion="15" ma:contentTypeDescription="Create a new document." ma:contentTypeScope="" ma:versionID="29a8686cee96eaafce9ea042273d4f1a">
  <xsd:schema xmlns:xsd="http://www.w3.org/2001/XMLSchema" xmlns:xs="http://www.w3.org/2001/XMLSchema" xmlns:p="http://schemas.microsoft.com/office/2006/metadata/properties" xmlns:ns2="5cdc9776-750d-4f56-94ec-35391e3c70c6" xmlns:ns3="30efe399-575e-44e0-9bab-98a1374c9117" targetNamespace="http://schemas.microsoft.com/office/2006/metadata/properties" ma:root="true" ma:fieldsID="9d6c5edd0afa37b8cd9a93de74edc47e" ns2:_="" ns3:_="">
    <xsd:import namespace="5cdc9776-750d-4f56-94ec-35391e3c70c6"/>
    <xsd:import namespace="30efe399-575e-44e0-9bab-98a1374c911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dc9776-750d-4f56-94ec-35391e3c70c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6c74619-9129-422b-b1ce-a07c5b8ff531}" ma:internalName="TaxCatchAll" ma:showField="CatchAllData" ma:web="5cdc9776-750d-4f56-94ec-35391e3c70c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efe399-575e-44e0-9bab-98a1374c911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ea582fc9-757c-4d25-a043-a013c6d88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0efe399-575e-44e0-9bab-98a1374c9117">
      <Terms xmlns="http://schemas.microsoft.com/office/infopath/2007/PartnerControls"/>
    </lcf76f155ced4ddcb4097134ff3c332f>
    <TaxCatchAll xmlns="5cdc9776-750d-4f56-94ec-35391e3c70c6" xsi:nil="true"/>
  </documentManagement>
</p:properties>
</file>

<file path=customXml/itemProps1.xml><?xml version="1.0" encoding="utf-8"?>
<ds:datastoreItem xmlns:ds="http://schemas.openxmlformats.org/officeDocument/2006/customXml" ds:itemID="{762C74E2-4D0B-4AAC-8206-EFA86D884D47}"/>
</file>

<file path=customXml/itemProps2.xml><?xml version="1.0" encoding="utf-8"?>
<ds:datastoreItem xmlns:ds="http://schemas.openxmlformats.org/officeDocument/2006/customXml" ds:itemID="{43C99F96-F2ED-4F23-B252-67BAF6251067}"/>
</file>

<file path=customXml/itemProps3.xml><?xml version="1.0" encoding="utf-8"?>
<ds:datastoreItem xmlns:ds="http://schemas.openxmlformats.org/officeDocument/2006/customXml" ds:itemID="{D2B8E81D-A8ED-465E-BB6B-49785684123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Instructivo</vt:lpstr>
      <vt:lpstr>Data Pura Costos</vt:lpstr>
      <vt:lpstr>Data Pura Producción</vt:lpstr>
      <vt:lpstr>Data Consolidada</vt:lpstr>
      <vt:lpstr>Modelo Optimización</vt:lpstr>
      <vt:lpstr>Resultados Modelo</vt:lpstr>
      <vt:lpstr>Auxiliar Resultados</vt:lpstr>
      <vt:lpstr>Parámetros Auxiliares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Matias Garcés Gazmuri</cp:lastModifiedBy>
  <dcterms:created xsi:type="dcterms:W3CDTF">2015-06-05T18:17:20Z</dcterms:created>
  <dcterms:modified xsi:type="dcterms:W3CDTF">2024-10-18T13:02:10Z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0x010100FF635376AC288A49BB55AAA69D6C60B3</vt:lpwstr>
  </property>
</Properties>
</file>